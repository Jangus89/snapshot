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5620" tabRatio="600" firstSheet="0" activeTab="8" autoFilterDateGrouping="1"/>
  </bookViews>
  <sheets>
    <sheet xmlns:r="http://schemas.openxmlformats.org/officeDocument/2006/relationships" name="Dashboard" sheetId="1" state="visible" r:id="rId1"/>
    <sheet xmlns:r="http://schemas.openxmlformats.org/officeDocument/2006/relationships" name="Field Teams" sheetId="2" state="visible" r:id="rId2"/>
    <sheet xmlns:r="http://schemas.openxmlformats.org/officeDocument/2006/relationships" name="Settings" sheetId="3" state="visible" r:id="rId3"/>
    <sheet xmlns:r="http://schemas.openxmlformats.org/officeDocument/2006/relationships" name="Monthly Matrix" sheetId="4" state="visible" r:id="rId4"/>
    <sheet xmlns:r="http://schemas.openxmlformats.org/officeDocument/2006/relationships" name="Data - Skillko" sheetId="5" state="visible" r:id="rId5"/>
    <sheet xmlns:r="http://schemas.openxmlformats.org/officeDocument/2006/relationships" name="Data - HSQE Events" sheetId="6" state="visible" r:id="rId6"/>
    <sheet xmlns:r="http://schemas.openxmlformats.org/officeDocument/2006/relationships" name="Data - Post-Cut Quality" sheetId="7" state="visible" r:id="rId7"/>
    <sheet xmlns:r="http://schemas.openxmlformats.org/officeDocument/2006/relationships" name="Data - SSV" sheetId="8" state="visible" r:id="rId8"/>
    <sheet xmlns:r="http://schemas.openxmlformats.org/officeDocument/2006/relationships" name="Pole Results" sheetId="9" state="visible" r:id="rId9"/>
    <sheet xmlns:r="http://schemas.openxmlformats.org/officeDocument/2006/relationships" name="Historical Scores" sheetId="10" state="visible" r:id="rId10"/>
    <sheet xmlns:r="http://schemas.openxmlformats.org/officeDocument/2006/relationships" name="Action Log" sheetId="11" state="visible" r:id="rId11"/>
    <sheet xmlns:r="http://schemas.openxmlformats.org/officeDocument/2006/relationships" name="Audit Schedule" sheetId="12" state="visible" r:id="rId12"/>
    <sheet xmlns:r="http://schemas.openxmlformats.org/officeDocument/2006/relationships" name="FT Reps Meetings" sheetId="13" state="visible" r:id="rId13"/>
    <sheet xmlns:r="http://schemas.openxmlformats.org/officeDocument/2006/relationships" name="Monthly Import Guide" sheetId="14" state="visible" r:id="rId14"/>
    <sheet xmlns:r="http://schemas.openxmlformats.org/officeDocument/2006/relationships" name="Scoring Guide" sheetId="15" state="visible" r:id="rId15"/>
    <sheet xmlns:r="http://schemas.openxmlformats.org/officeDocument/2006/relationships" name="Debug Review" sheetId="16" state="visible" r:id="rId16"/>
    <sheet xmlns:r="http://schemas.openxmlformats.org/officeDocument/2006/relationships" name="PQ_Code" sheetId="17" state="visible" r:id="rId17"/>
    <sheet xmlns:r="http://schemas.openxmlformats.org/officeDocument/2006/relationships" name="Data - Vehicle Inspection" sheetId="18" state="visible" r:id="rId18"/>
  </sheets>
  <definedNames/>
  <calcPr calcId="191029" fullCalcOnLoad="1"/>
</workbook>
</file>

<file path=xl/styles.xml><?xml version="1.0" encoding="utf-8"?>
<styleSheet xmlns="http://schemas.openxmlformats.org/spreadsheetml/2006/main">
  <numFmts count="5">
    <numFmt numFmtId="164" formatCode="mmm\ yyyy"/>
    <numFmt numFmtId="165" formatCode="0.0"/>
    <numFmt numFmtId="166" formatCode="0.0%"/>
    <numFmt numFmtId="167" formatCode="yyyy\-mm\-dd\ h:mm:ss"/>
    <numFmt numFmtId="168" formatCode="yyyy-mm-dd h:mm:ss"/>
  </numFmts>
  <fonts count="59">
    <font>
      <name val="Arial"/>
      <family val="2"/>
      <sz val="10"/>
    </font>
    <font>
      <name val="Calibri"/>
      <family val="2"/>
      <color theme="1"/>
      <sz val="11"/>
    </font>
    <font>
      <name val="Arial"/>
      <family val="2"/>
      <b val="1"/>
      <color rgb="FFFFFFFF"/>
      <sz val="13"/>
    </font>
    <font>
      <name val="Cambria"/>
      <family val="1"/>
      <b val="1"/>
      <sz val="11"/>
    </font>
    <font>
      <name val="Calibri"/>
      <family val="2"/>
      <color rgb="FF1F3864"/>
      <sz val="10"/>
    </font>
    <font>
      <name val="Calibri"/>
      <family val="2"/>
      <i val="1"/>
      <color rgb="FF595959"/>
      <sz val="8"/>
    </font>
    <font>
      <name val="Arial"/>
      <family val="2"/>
      <b val="1"/>
      <color rgb="FFFFFFFF"/>
      <sz val="10"/>
    </font>
    <font>
      <name val="Arial"/>
      <family val="2"/>
      <b val="1"/>
      <color rgb="FFFFFFFF"/>
      <sz val="9"/>
    </font>
    <font>
      <name val="Arial"/>
      <family val="2"/>
      <b val="1"/>
      <color rgb="FF2D6A4F"/>
      <sz val="24"/>
    </font>
    <font>
      <name val="Arial"/>
      <family val="2"/>
      <b val="1"/>
      <color rgb="FF1E8449"/>
      <sz val="24"/>
    </font>
    <font>
      <name val="Arial"/>
      <family val="2"/>
      <b val="1"/>
      <color rgb="FF7D6608"/>
      <sz val="24"/>
    </font>
    <font>
      <name val="Arial"/>
      <family val="2"/>
      <b val="1"/>
      <color rgb="FF922B21"/>
      <sz val="24"/>
    </font>
    <font>
      <name val="Arial"/>
      <family val="2"/>
      <b val="1"/>
      <color rgb="FF922B21"/>
      <sz val="10"/>
    </font>
    <font>
      <name val="Arial"/>
      <family val="2"/>
      <b val="1"/>
      <color rgb="FF1A3A2A"/>
      <sz val="9"/>
    </font>
    <font>
      <name val="Cambria"/>
      <family val="1"/>
      <b val="1"/>
      <color rgb="FFFFFFFF"/>
      <sz val="11"/>
    </font>
    <font>
      <name val="Arial"/>
      <family val="2"/>
      <color rgb="FF000000"/>
      <sz val="9"/>
    </font>
    <font>
      <name val="Arial"/>
      <family val="2"/>
      <b val="1"/>
      <color rgb="FF000000"/>
      <sz val="9"/>
    </font>
    <font>
      <name val="Calibri"/>
      <family val="2"/>
      <sz val="10"/>
    </font>
    <font>
      <name val="Arial"/>
      <family val="2"/>
      <color rgb="FF1A3A2A"/>
      <sz val="9"/>
    </font>
    <font>
      <name val="Calibri"/>
      <family val="2"/>
      <b val="1"/>
      <color rgb="FFFFFFFF"/>
      <sz val="11"/>
    </font>
    <font>
      <name val="Calibri"/>
      <family val="2"/>
      <b val="1"/>
      <color rgb="FFFFFFFF"/>
      <sz val="9"/>
    </font>
    <font>
      <name val="Calibri"/>
      <family val="2"/>
      <color rgb="FF1F1F1F"/>
      <sz val="10"/>
    </font>
    <font>
      <name val="Arial"/>
      <family val="2"/>
      <b val="1"/>
      <color rgb="FFFFFFFF"/>
      <sz val="11"/>
    </font>
    <font>
      <name val="Arial"/>
      <family val="2"/>
      <color rgb="FF1F1F1F"/>
      <sz val="9"/>
    </font>
    <font>
      <name val="Arial"/>
      <family val="2"/>
      <color rgb="FF595959"/>
      <sz val="9"/>
    </font>
    <font>
      <name val="Arial"/>
      <family val="2"/>
      <color rgb="FF7F3F00"/>
      <sz val="9"/>
    </font>
    <font>
      <name val="Calibri"/>
      <family val="2"/>
      <b val="1"/>
      <sz val="10"/>
    </font>
    <font>
      <name val="Arial"/>
      <family val="2"/>
      <b val="1"/>
      <color rgb="FF1E8449"/>
      <sz val="11"/>
    </font>
    <font>
      <name val="Calibri"/>
      <family val="2"/>
      <b val="1"/>
      <color rgb="FFFFFFFF"/>
      <sz val="10"/>
    </font>
    <font>
      <name val="Calibri"/>
      <family val="2"/>
      <color rgb="FF595959"/>
      <sz val="9"/>
    </font>
    <font>
      <name val="Calibri"/>
      <family val="2"/>
      <b val="1"/>
      <color rgb="FFFFFFFF"/>
      <sz val="12"/>
    </font>
    <font>
      <name val="Calibri"/>
      <family val="2"/>
      <color rgb="FF1F1F1F"/>
      <sz val="9"/>
    </font>
    <font>
      <name val="Calibri"/>
      <family val="2"/>
      <sz val="9"/>
    </font>
    <font>
      <name val="Calibri"/>
      <family val="2"/>
      <color rgb="FF7F3F00"/>
      <sz val="9"/>
    </font>
    <font>
      <name val="Calibri"/>
      <family val="2"/>
      <b val="1"/>
      <color rgb="FFFFFFFF"/>
      <sz val="13"/>
    </font>
    <font>
      <name val="Cambria"/>
      <family val="1"/>
      <sz val="11"/>
    </font>
    <font>
      <name val="Arial"/>
      <family val="2"/>
      <b val="1"/>
      <color rgb="FFFFFFFF"/>
      <sz val="10"/>
    </font>
    <font>
      <name val="Arial"/>
      <family val="2"/>
      <sz val="10"/>
    </font>
    <font>
      <name val="Arial"/>
      <family val="2"/>
      <b val="1"/>
      <color rgb="FFFFFFFF"/>
      <sz val="13"/>
    </font>
    <font>
      <name val="Arial"/>
      <family val="2"/>
      <i val="1"/>
      <sz val="10"/>
    </font>
    <font>
      <name val="Arial"/>
      <family val="2"/>
      <b val="1"/>
      <color rgb="FF7F6000"/>
      <sz val="10"/>
    </font>
    <font>
      <name val="Arial"/>
      <family val="2"/>
      <b val="1"/>
      <color rgb="FFFFFFFF"/>
      <sz val="11"/>
    </font>
    <font>
      <name val="Arial"/>
      <family val="2"/>
      <b val="1"/>
      <color rgb="FF1F3864"/>
      <sz val="10"/>
    </font>
    <font>
      <name val="Arial"/>
      <family val="2"/>
      <sz val="10"/>
    </font>
    <font>
      <name val="Arial"/>
      <family val="2"/>
      <i val="1"/>
      <color rgb="FFFFFFFF"/>
      <sz val="9"/>
    </font>
    <font>
      <name val="Arial"/>
      <family val="2"/>
      <b val="1"/>
      <color rgb="FF375623"/>
      <sz val="11"/>
    </font>
    <font>
      <name val="Arial"/>
      <family val="2"/>
      <b val="1"/>
      <color rgb="FFFFFFFF"/>
      <sz val="10"/>
    </font>
    <font>
      <name val="Courier New"/>
      <family val="1"/>
      <sz val="9"/>
    </font>
    <font>
      <name val="Arial"/>
      <family val="2"/>
      <i val="1"/>
      <color rgb="FF808080"/>
      <sz val="8"/>
    </font>
    <font>
      <name val="Arial"/>
      <family val="2"/>
      <b val="1"/>
      <color rgb="FF7F6000"/>
      <sz val="9"/>
    </font>
    <font>
      <name val="Arial"/>
      <family val="2"/>
      <b val="1"/>
      <color rgb="FFB2D235"/>
      <sz val="10"/>
    </font>
    <font>
      <name val="Arial"/>
      <family val="2"/>
      <b val="1"/>
      <color rgb="FFFFFFFF"/>
      <sz val="9"/>
    </font>
    <font>
      <name val="Arial"/>
      <family val="2"/>
      <i val="1"/>
      <color rgb="FF595959"/>
      <sz val="8"/>
    </font>
    <font>
      <name val="Arial"/>
      <family val="2"/>
      <i val="1"/>
      <color rgb="FFF57821"/>
      <sz val="8"/>
    </font>
    <font>
      <name val="Arial"/>
      <family val="2"/>
      <b val="1"/>
      <color rgb="FFFFFFFF"/>
      <sz val="8"/>
    </font>
    <font>
      <name val="Arial"/>
      <family val="2"/>
      <b val="1"/>
      <color rgb="FF294238"/>
      <sz val="8"/>
    </font>
    <font>
      <name val="Arial"/>
      <family val="2"/>
      <sz val="9"/>
    </font>
    <font>
      <name val="Arial"/>
      <family val="2"/>
      <b val="1"/>
      <color rgb="FFF57821"/>
      <sz val="10"/>
    </font>
    <font>
      <name val="Arial"/>
      <family val="2"/>
      <sz val="12"/>
    </font>
  </fonts>
  <fills count="41">
    <fill>
      <patternFill/>
    </fill>
    <fill>
      <patternFill patternType="gray125"/>
    </fill>
    <fill>
      <patternFill patternType="solid">
        <fgColor rgb="FF1A3A2A"/>
        <bgColor rgb="FF1C2833"/>
      </patternFill>
    </fill>
    <fill>
      <patternFill patternType="solid">
        <fgColor rgb="FFFFF2CC"/>
        <bgColor rgb="FFFEF3CD"/>
      </patternFill>
    </fill>
    <fill>
      <patternFill patternType="solid">
        <fgColor rgb="FFD9E2DC"/>
        <bgColor rgb="FFD9D9D9"/>
      </patternFill>
    </fill>
    <fill>
      <patternFill patternType="solid">
        <fgColor rgb="FF2D6A4F"/>
        <bgColor rgb="FF1E8449"/>
      </patternFill>
    </fill>
    <fill>
      <patternFill patternType="solid">
        <fgColor rgb="FF1E8449"/>
        <bgColor rgb="FF2D6A4F"/>
      </patternFill>
    </fill>
    <fill>
      <patternFill patternType="solid">
        <fgColor rgb="FF7D6608"/>
        <bgColor rgb="FF7F3F00"/>
      </patternFill>
    </fill>
    <fill>
      <patternFill patternType="solid">
        <fgColor rgb="FF922B21"/>
        <bgColor rgb="FF7F3F00"/>
      </patternFill>
    </fill>
    <fill>
      <patternFill patternType="solid">
        <fgColor rgb="FFFFFFFF"/>
        <bgColor rgb="FFF7F9F7"/>
      </patternFill>
    </fill>
    <fill>
      <patternFill patternType="solid">
        <fgColor rgb="FFFADBD8"/>
        <bgColor rgb="FFD9D9D9"/>
      </patternFill>
    </fill>
    <fill>
      <patternFill patternType="solid">
        <fgColor rgb="FF1C2833"/>
        <bgColor rgb="FF1F1F1F"/>
      </patternFill>
    </fill>
    <fill>
      <patternFill patternType="solid">
        <fgColor rgb="FF95D5B2"/>
        <bgColor rgb="FFB8B8B8"/>
      </patternFill>
    </fill>
    <fill>
      <patternFill patternType="solid">
        <fgColor rgb="FF1F4E78"/>
        <bgColor rgb="FF1F3864"/>
      </patternFill>
    </fill>
    <fill>
      <patternFill patternType="solid">
        <fgColor rgb="FFF7F9F7"/>
        <bgColor rgb="FFF2F2F2"/>
      </patternFill>
    </fill>
    <fill>
      <patternFill patternType="solid">
        <fgColor rgb="FF375623"/>
        <bgColor rgb="FF404040"/>
      </patternFill>
    </fill>
    <fill>
      <patternFill patternType="solid">
        <fgColor rgb="FF2E75B6"/>
        <bgColor rgb="FF2980B9"/>
      </patternFill>
    </fill>
    <fill>
      <patternFill patternType="solid">
        <fgColor rgb="FF1F3864"/>
        <bgColor rgb="FF1F4E78"/>
      </patternFill>
    </fill>
    <fill>
      <patternFill patternType="solid">
        <fgColor rgb="FFE2EFDA"/>
        <bgColor rgb="FFD5F5E3"/>
      </patternFill>
    </fill>
    <fill>
      <patternFill patternType="solid">
        <fgColor rgb="FFF2F2F2"/>
        <bgColor rgb="FFF7F9F7"/>
      </patternFill>
    </fill>
    <fill>
      <patternFill patternType="solid">
        <fgColor rgb="FFFFF9C4"/>
        <bgColor rgb="FFFEF3CD"/>
      </patternFill>
    </fill>
    <fill>
      <patternFill patternType="solid">
        <fgColor rgb="FFD5F5E3"/>
        <bgColor rgb="FFE2EFDA"/>
      </patternFill>
    </fill>
    <fill>
      <patternFill patternType="solid">
        <fgColor rgb="FFFEF3CD"/>
        <bgColor rgb="FFFFF2CC"/>
      </patternFill>
    </fill>
    <fill>
      <patternFill patternType="solid">
        <fgColor rgb="FFD9E1F2"/>
        <bgColor rgb="FFD9E2DC"/>
      </patternFill>
    </fill>
    <fill>
      <patternFill patternType="solid">
        <fgColor rgb="FFC00000"/>
        <bgColor rgb="FF800000"/>
      </patternFill>
    </fill>
    <fill>
      <patternFill patternType="solid">
        <fgColor rgb="FFFFC000"/>
        <bgColor rgb="FFF4A100"/>
      </patternFill>
    </fill>
    <fill>
      <patternFill patternType="solid">
        <fgColor rgb="FF1F3864"/>
      </patternFill>
    </fill>
    <fill>
      <patternFill patternType="solid">
        <fgColor rgb="FFCCFFCC"/>
      </patternFill>
    </fill>
    <fill>
      <patternFill patternType="solid">
        <fgColor rgb="FFFFCCCC"/>
      </patternFill>
    </fill>
    <fill>
      <patternFill patternType="solid">
        <fgColor rgb="FFDEEAF1"/>
      </patternFill>
    </fill>
    <fill>
      <patternFill patternType="solid">
        <fgColor rgb="FFFFF2CC"/>
      </patternFill>
    </fill>
    <fill>
      <patternFill patternType="solid">
        <fgColor rgb="FF2E75B6"/>
      </patternFill>
    </fill>
    <fill>
      <patternFill patternType="solid">
        <fgColor rgb="FFEBF3FB"/>
      </patternFill>
    </fill>
    <fill>
      <patternFill patternType="solid">
        <fgColor rgb="FFD6E4F0"/>
      </patternFill>
    </fill>
    <fill>
      <patternFill patternType="solid">
        <fgColor rgb="FFE2EFDA"/>
      </patternFill>
    </fill>
    <fill>
      <patternFill patternType="solid">
        <fgColor rgb="FF7F7F7F"/>
      </patternFill>
    </fill>
    <fill>
      <patternFill patternType="solid">
        <fgColor rgb="FFD9D9D9"/>
        <bgColor rgb="FFD9D9D9"/>
      </patternFill>
    </fill>
    <fill>
      <patternFill patternType="solid">
        <fgColor rgb="FFFFF2CC"/>
        <bgColor rgb="FFFFF2CC"/>
      </patternFill>
    </fill>
    <fill>
      <patternFill patternType="solid">
        <fgColor rgb="FF294238"/>
        <bgColor rgb="FF294238"/>
      </patternFill>
    </fill>
    <fill>
      <patternFill patternType="solid">
        <fgColor rgb="FFB2D235"/>
        <bgColor rgb="FFB2D235"/>
      </patternFill>
    </fill>
    <fill>
      <patternFill patternType="solid">
        <fgColor rgb="FFE6EBE3"/>
        <bgColor rgb="FFE6EBE3"/>
      </patternFill>
    </fill>
  </fills>
  <borders count="17">
    <border>
      <left/>
      <right/>
      <top/>
      <bottom/>
      <diagonal/>
    </border>
    <border>
      <left style="medium">
        <color rgb="FF1F3864"/>
      </left>
      <right style="medium">
        <color rgb="FF1F3864"/>
      </right>
      <top style="medium">
        <color rgb="FF1F3864"/>
      </top>
      <bottom style="medium">
        <color rgb="FF1F3864"/>
      </bottom>
      <diagonal/>
    </border>
    <border>
      <left style="medium">
        <color auto="1"/>
      </left>
      <right style="medium">
        <color auto="1"/>
      </right>
      <top style="medium">
        <color auto="1"/>
      </top>
      <bottom style="medium">
        <color auto="1"/>
      </bottom>
      <diagonal/>
    </border>
    <border>
      <left style="medium">
        <color rgb="FF1A3A2A"/>
      </left>
      <right/>
      <top style="medium">
        <color rgb="FF1A3A2A"/>
      </top>
      <bottom style="medium">
        <color rgb="FF1A3A2A"/>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diagonal/>
    </border>
    <border>
      <left style="thin">
        <color rgb="FFD9D9D9"/>
      </left>
      <right style="thin">
        <color rgb="FFD9D9D9"/>
      </right>
      <top style="thin">
        <color rgb="FFD9D9D9"/>
      </top>
      <bottom style="thin">
        <color rgb="FFD9D9D9"/>
      </bottom>
      <diagonal/>
    </border>
    <border>
      <left style="medium">
        <color rgb="FF404040"/>
      </left>
      <right style="medium">
        <color rgb="FF404040"/>
      </right>
      <top style="medium">
        <color rgb="FF404040"/>
      </top>
      <bottom style="medium">
        <color rgb="FF404040"/>
      </bottom>
      <diagonal/>
    </border>
    <border>
      <left style="thin">
        <color rgb="FFB8B8B8"/>
      </left>
      <right style="thin">
        <color rgb="FFB8B8B8"/>
      </right>
      <top style="thin">
        <color rgb="FFB8B8B8"/>
      </top>
      <bottom style="thin">
        <color rgb="FFB8B8B8"/>
      </bottom>
      <diagonal/>
    </border>
    <border>
      <left/>
      <right/>
      <top style="medium">
        <color rgb="FF1A3A2A"/>
      </top>
      <bottom style="medium">
        <color rgb="FF1A3A2A"/>
      </bottom>
      <diagonal/>
    </border>
    <border>
      <left/>
      <right/>
      <top style="thin">
        <color rgb="FFAAAAAA"/>
      </top>
      <bottom/>
      <diagonal/>
    </border>
    <border>
      <left/>
      <right/>
      <top style="thin">
        <color rgb="FFAAAAAA"/>
      </top>
      <bottom style="thin">
        <color rgb="FFAAAAAA"/>
      </bottom>
      <diagonal/>
    </border>
    <border>
      <left style="thin">
        <color rgb="FFAAAAAA"/>
      </left>
      <right/>
      <top/>
      <bottom/>
      <diagonal/>
    </border>
    <border>
      <left/>
      <right style="thin">
        <color rgb="FFAAAAAA"/>
      </right>
      <top style="thin">
        <color rgb="FFAAAAAA"/>
      </top>
      <bottom style="thin">
        <color rgb="FFAAAAAA"/>
      </bottom>
      <diagonal/>
    </border>
    <border>
      <left/>
      <right/>
      <top style="medium">
        <color rgb="FF1A3A2A"/>
      </top>
      <bottom/>
      <diagonal/>
    </border>
    <border>
      <left/>
      <right style="thin">
        <color rgb="FFAAAAAA"/>
      </right>
      <top style="thin">
        <color rgb="FFAAAAAA"/>
      </top>
      <bottom/>
      <diagonal/>
    </border>
  </borders>
  <cellStyleXfs count="1">
    <xf numFmtId="0" fontId="43" fillId="0" borderId="0"/>
  </cellStyleXfs>
  <cellXfs count="190">
    <xf numFmtId="0" fontId="0" fillId="0" borderId="0" pivotButton="0" quotePrefix="0" xfId="0"/>
    <xf numFmtId="0" fontId="1" fillId="0" borderId="0" pivotButton="0" quotePrefix="0" xfId="0"/>
    <xf numFmtId="164" fontId="5" fillId="0" borderId="2" applyAlignment="1" pivotButton="0" quotePrefix="0" xfId="0">
      <alignment horizontal="center" vertical="center"/>
    </xf>
    <xf numFmtId="0" fontId="6" fillId="5" borderId="0" applyAlignment="1" pivotButton="0" quotePrefix="0" xfId="0">
      <alignment horizontal="center" vertical="center"/>
    </xf>
    <xf numFmtId="0" fontId="14" fillId="13" borderId="5" applyAlignment="1" pivotButton="0" quotePrefix="0" xfId="0">
      <alignment horizontal="center" vertical="center" wrapText="1"/>
    </xf>
    <xf numFmtId="0" fontId="7" fillId="2" borderId="5" applyAlignment="1" pivotButton="0" quotePrefix="0" xfId="0">
      <alignment horizontal="center" vertical="center" wrapText="1"/>
    </xf>
    <xf numFmtId="0" fontId="15" fillId="0" borderId="5" applyAlignment="1" pivotButton="0" quotePrefix="0" xfId="0">
      <alignment horizontal="center" vertical="center"/>
    </xf>
    <xf numFmtId="0" fontId="15" fillId="0" borderId="5" applyAlignment="1" pivotButton="0" quotePrefix="0" xfId="0">
      <alignment horizontal="left" vertical="center" wrapText="1"/>
    </xf>
    <xf numFmtId="165" fontId="15" fillId="0" borderId="5" applyAlignment="1" pivotButton="0" quotePrefix="0" xfId="0">
      <alignment horizontal="center" vertical="center"/>
    </xf>
    <xf numFmtId="166" fontId="15" fillId="0" borderId="5" applyAlignment="1" pivotButton="0" quotePrefix="0" xfId="0">
      <alignment horizontal="center" vertical="center"/>
    </xf>
    <xf numFmtId="0" fontId="15" fillId="14" borderId="5" applyAlignment="1" pivotButton="0" quotePrefix="0" xfId="0">
      <alignment horizontal="center" vertical="center"/>
    </xf>
    <xf numFmtId="0" fontId="15" fillId="14" borderId="5" applyAlignment="1" pivotButton="0" quotePrefix="0" xfId="0">
      <alignment horizontal="left" vertical="center" wrapText="1"/>
    </xf>
    <xf numFmtId="165" fontId="15" fillId="14" borderId="5" applyAlignment="1" pivotButton="0" quotePrefix="0" xfId="0">
      <alignment horizontal="center" vertical="center"/>
    </xf>
    <xf numFmtId="166" fontId="15" fillId="14" borderId="5" applyAlignment="1" pivotButton="0" quotePrefix="0" xfId="0">
      <alignment horizontal="center" vertical="center"/>
    </xf>
    <xf numFmtId="0" fontId="16" fillId="14" borderId="5" applyAlignment="1" pivotButton="0" quotePrefix="0" xfId="0">
      <alignment horizontal="left" vertical="center"/>
    </xf>
    <xf numFmtId="165" fontId="16" fillId="0" borderId="5" applyAlignment="1" pivotButton="0" quotePrefix="0" xfId="0">
      <alignment horizontal="center" vertical="center"/>
    </xf>
    <xf numFmtId="0" fontId="16" fillId="0" borderId="5" applyAlignment="1" pivotButton="0" quotePrefix="0" xfId="0">
      <alignment horizontal="center" vertical="center"/>
    </xf>
    <xf numFmtId="0" fontId="16" fillId="9" borderId="5" applyAlignment="1" pivotButton="0" quotePrefix="0" xfId="0">
      <alignment horizontal="left" vertical="center"/>
    </xf>
    <xf numFmtId="0" fontId="17" fillId="14" borderId="5" applyAlignment="1" pivotButton="0" quotePrefix="0" xfId="0">
      <alignment horizontal="left" vertical="center"/>
    </xf>
    <xf numFmtId="165" fontId="17" fillId="0" borderId="5" applyAlignment="1" pivotButton="0" quotePrefix="0" xfId="0">
      <alignment horizontal="center" vertical="center"/>
    </xf>
    <xf numFmtId="0" fontId="17" fillId="0" borderId="5" applyAlignment="1" pivotButton="0" quotePrefix="0" xfId="0">
      <alignment horizontal="center" vertical="center"/>
    </xf>
    <xf numFmtId="0" fontId="14" fillId="13" borderId="7" applyAlignment="1" pivotButton="0" quotePrefix="0" xfId="0">
      <alignment horizontal="center" vertical="center" wrapText="1"/>
    </xf>
    <xf numFmtId="0" fontId="20" fillId="16" borderId="7" applyAlignment="1" pivotButton="0" quotePrefix="0" xfId="0">
      <alignment horizontal="center" vertical="center"/>
    </xf>
    <xf numFmtId="0" fontId="21" fillId="0" borderId="0" applyAlignment="1" pivotButton="0" quotePrefix="0" xfId="0">
      <alignment horizontal="center" vertical="center"/>
    </xf>
    <xf numFmtId="0" fontId="21" fillId="0" borderId="7" applyAlignment="1" pivotButton="0" quotePrefix="0" xfId="0">
      <alignment horizontal="left" vertical="center"/>
    </xf>
    <xf numFmtId="165" fontId="21" fillId="0" borderId="7" applyAlignment="1" pivotButton="0" quotePrefix="0" xfId="0">
      <alignment horizontal="left" vertical="center"/>
    </xf>
    <xf numFmtId="166" fontId="21" fillId="0" borderId="7" applyAlignment="1" pivotButton="0" quotePrefix="0" xfId="0">
      <alignment horizontal="left" vertical="center"/>
    </xf>
    <xf numFmtId="0" fontId="6" fillId="16" borderId="8" applyAlignment="1" pivotButton="0" quotePrefix="0" xfId="0">
      <alignment horizontal="center" vertical="center" wrapText="1"/>
    </xf>
    <xf numFmtId="0" fontId="15" fillId="0" borderId="5" applyAlignment="1" pivotButton="0" quotePrefix="0" xfId="0">
      <alignment horizontal="left" vertical="center"/>
    </xf>
    <xf numFmtId="0" fontId="15" fillId="20" borderId="5" applyAlignment="1" pivotButton="0" quotePrefix="0" xfId="0">
      <alignment horizontal="center" vertical="center"/>
    </xf>
    <xf numFmtId="0" fontId="15" fillId="14" borderId="5" applyAlignment="1" pivotButton="0" quotePrefix="0" xfId="0">
      <alignment horizontal="left" vertical="center"/>
    </xf>
    <xf numFmtId="0" fontId="15" fillId="4" borderId="5" applyAlignment="1" pivotButton="0" quotePrefix="0" xfId="0">
      <alignment horizontal="center" vertical="center"/>
    </xf>
    <xf numFmtId="0" fontId="16" fillId="14" borderId="5" applyAlignment="1" pivotButton="0" quotePrefix="0" xfId="0">
      <alignment horizontal="left" vertical="center" wrapText="1"/>
    </xf>
    <xf numFmtId="0" fontId="16" fillId="20" borderId="5" applyAlignment="1" pivotButton="0" quotePrefix="0" xfId="0">
      <alignment horizontal="center" vertical="center"/>
    </xf>
    <xf numFmtId="0" fontId="16" fillId="0" borderId="5" applyAlignment="1" pivotButton="0" quotePrefix="0" xfId="0">
      <alignment horizontal="left" vertical="center" wrapText="1"/>
    </xf>
    <xf numFmtId="0" fontId="16" fillId="4" borderId="5" applyAlignment="1" pivotButton="0" quotePrefix="0" xfId="0">
      <alignment horizontal="center" vertical="center"/>
    </xf>
    <xf numFmtId="0" fontId="16" fillId="0" borderId="4" applyAlignment="1" pivotButton="0" quotePrefix="0" xfId="0">
      <alignment horizontal="left" vertical="center" wrapText="1"/>
    </xf>
    <xf numFmtId="0" fontId="13" fillId="12" borderId="5" applyAlignment="1" pivotButton="0" quotePrefix="0" xfId="0">
      <alignment horizontal="center" vertical="center"/>
    </xf>
    <xf numFmtId="0" fontId="1" fillId="0" borderId="5" pivotButton="0" quotePrefix="0" xfId="0"/>
    <xf numFmtId="0" fontId="15" fillId="21" borderId="5" applyAlignment="1" pivotButton="0" quotePrefix="0" xfId="0">
      <alignment horizontal="center" vertical="center"/>
    </xf>
    <xf numFmtId="0" fontId="15" fillId="22" borderId="5" applyAlignment="1" pivotButton="0" quotePrefix="0" xfId="0">
      <alignment horizontal="center" vertical="center"/>
    </xf>
    <xf numFmtId="0" fontId="15" fillId="10" borderId="5" applyAlignment="1" pivotButton="0" quotePrefix="0" xfId="0">
      <alignment horizontal="center" vertical="center"/>
    </xf>
    <xf numFmtId="0" fontId="7" fillId="11" borderId="4" applyAlignment="1" pivotButton="0" quotePrefix="0" xfId="0">
      <alignment horizontal="left" vertical="center" wrapText="1"/>
    </xf>
    <xf numFmtId="0" fontId="18" fillId="12" borderId="4" applyAlignment="1" pivotButton="0" quotePrefix="0" xfId="0">
      <alignment horizontal="left" vertical="center" wrapText="1"/>
    </xf>
    <xf numFmtId="0" fontId="17" fillId="0" borderId="0" pivotButton="0" quotePrefix="0" xfId="0"/>
    <xf numFmtId="0" fontId="26" fillId="0" borderId="0" pivotButton="0" quotePrefix="0" xfId="0"/>
    <xf numFmtId="0" fontId="1" fillId="0" borderId="0" applyAlignment="1" pivotButton="0" quotePrefix="0" xfId="0">
      <alignment wrapText="1"/>
    </xf>
    <xf numFmtId="0" fontId="20" fillId="16" borderId="0" applyAlignment="1" pivotButton="0" quotePrefix="0" xfId="0">
      <alignment horizontal="center" vertical="center" wrapText="1"/>
    </xf>
    <xf numFmtId="0" fontId="20" fillId="15" borderId="0" applyAlignment="1" pivotButton="0" quotePrefix="0" xfId="0">
      <alignment horizontal="center" vertical="center" wrapText="1"/>
    </xf>
    <xf numFmtId="0" fontId="17" fillId="0" borderId="0" applyAlignment="1" pivotButton="0" quotePrefix="0" xfId="0">
      <alignment horizontal="center" vertical="center"/>
    </xf>
    <xf numFmtId="0" fontId="7" fillId="5" borderId="5" applyAlignment="1" pivotButton="0" quotePrefix="0" xfId="0">
      <alignment horizontal="center" vertical="center"/>
    </xf>
    <xf numFmtId="0" fontId="27" fillId="0" borderId="5" applyAlignment="1" pivotButton="0" quotePrefix="0" xfId="0">
      <alignment horizontal="center" vertical="center"/>
    </xf>
    <xf numFmtId="0" fontId="28" fillId="15" borderId="0" pivotButton="0" quotePrefix="0" xfId="0"/>
    <xf numFmtId="0" fontId="15" fillId="0" borderId="0" applyAlignment="1" pivotButton="0" quotePrefix="0" xfId="0">
      <alignment horizontal="left" vertical="center"/>
    </xf>
    <xf numFmtId="166" fontId="15" fillId="0" borderId="0" applyAlignment="1" pivotButton="0" quotePrefix="0" xfId="0">
      <alignment horizontal="center" vertical="center"/>
    </xf>
    <xf numFmtId="0" fontId="15" fillId="0" borderId="0" applyAlignment="1" pivotButton="0" quotePrefix="0" xfId="0">
      <alignment horizontal="center" vertical="center"/>
    </xf>
    <xf numFmtId="167" fontId="15" fillId="0" borderId="0" applyAlignment="1" pivotButton="0" quotePrefix="0" xfId="0">
      <alignment horizontal="center" vertical="center"/>
    </xf>
    <xf numFmtId="167" fontId="1" fillId="0" borderId="0" pivotButton="0" quotePrefix="0" xfId="0"/>
    <xf numFmtId="0" fontId="29" fillId="0" borderId="0" pivotButton="0" quotePrefix="0" xfId="0"/>
    <xf numFmtId="0" fontId="20" fillId="16" borderId="9" applyAlignment="1" pivotButton="0" quotePrefix="0" xfId="0">
      <alignment horizontal="center" vertical="center" wrapText="1"/>
    </xf>
    <xf numFmtId="0" fontId="20" fillId="15" borderId="9" applyAlignment="1" pivotButton="0" quotePrefix="0" xfId="0">
      <alignment horizontal="center" vertical="center" wrapText="1"/>
    </xf>
    <xf numFmtId="0" fontId="20" fillId="16" borderId="9" applyAlignment="1" pivotButton="0" quotePrefix="0" xfId="0">
      <alignment horizontal="center" vertical="center"/>
    </xf>
    <xf numFmtId="0" fontId="20" fillId="15" borderId="9" applyAlignment="1" pivotButton="0" quotePrefix="0" xfId="0">
      <alignment horizontal="center" vertical="center"/>
    </xf>
    <xf numFmtId="0" fontId="20" fillId="24" borderId="0" applyAlignment="1" pivotButton="0" quotePrefix="0" xfId="0">
      <alignment horizontal="center" vertical="center" wrapText="1"/>
    </xf>
    <xf numFmtId="0" fontId="26" fillId="25" borderId="9" applyAlignment="1" pivotButton="0" quotePrefix="0" xfId="0">
      <alignment horizontal="center" vertical="center"/>
    </xf>
    <xf numFmtId="0" fontId="26" fillId="0" borderId="9" applyAlignment="1" pivotButton="0" quotePrefix="0" xfId="0">
      <alignment horizontal="center" vertical="center"/>
    </xf>
    <xf numFmtId="0" fontId="17" fillId="0" borderId="9" applyAlignment="1" pivotButton="0" quotePrefix="0" xfId="0">
      <alignment horizontal="center" vertical="center"/>
    </xf>
    <xf numFmtId="0" fontId="20" fillId="17" borderId="0" applyAlignment="1" pivotButton="0" quotePrefix="0" xfId="0">
      <alignment horizontal="center" vertical="center"/>
    </xf>
    <xf numFmtId="0" fontId="17" fillId="0" borderId="5" applyAlignment="1" pivotButton="0" quotePrefix="0" xfId="0">
      <alignment horizontal="left" vertical="center"/>
    </xf>
    <xf numFmtId="165" fontId="15" fillId="20" borderId="5" applyAlignment="1" pivotButton="0" quotePrefix="0" xfId="0">
      <alignment horizontal="center" vertical="center"/>
    </xf>
    <xf numFmtId="0" fontId="17" fillId="14" borderId="5" applyAlignment="1" pivotButton="0" quotePrefix="0" xfId="0">
      <alignment horizontal="center" vertical="center"/>
    </xf>
    <xf numFmtId="165" fontId="17" fillId="14" borderId="5" applyAlignment="1" pivotButton="0" quotePrefix="0" xfId="0">
      <alignment horizontal="center" vertical="center"/>
    </xf>
    <xf numFmtId="0" fontId="17" fillId="0" borderId="0" applyAlignment="1" pivotButton="0" quotePrefix="0" xfId="0">
      <alignment horizontal="left" vertical="center"/>
    </xf>
    <xf numFmtId="0" fontId="28" fillId="17" borderId="0" applyAlignment="1" pivotButton="0" quotePrefix="0" xfId="0">
      <alignment horizontal="center" vertical="center"/>
    </xf>
    <xf numFmtId="0" fontId="28" fillId="16" borderId="0" applyAlignment="1" pivotButton="0" quotePrefix="0" xfId="0">
      <alignment horizontal="center" vertical="center"/>
    </xf>
    <xf numFmtId="0" fontId="16" fillId="4" borderId="5" pivotButton="0" quotePrefix="0" xfId="0"/>
    <xf numFmtId="0" fontId="7" fillId="5" borderId="5" applyAlignment="1" pivotButton="0" quotePrefix="0" xfId="0">
      <alignment horizontal="center" vertical="center" wrapText="1"/>
    </xf>
    <xf numFmtId="0" fontId="16" fillId="9" borderId="5" applyAlignment="1" pivotButton="0" quotePrefix="0" xfId="0">
      <alignment horizontal="left" vertical="center" wrapText="1"/>
    </xf>
    <xf numFmtId="0" fontId="15" fillId="9" borderId="5" applyAlignment="1" pivotButton="0" quotePrefix="0" xfId="0">
      <alignment horizontal="left" vertical="center" wrapText="1"/>
    </xf>
    <xf numFmtId="0" fontId="35" fillId="0" borderId="5" applyAlignment="1" pivotButton="0" quotePrefix="0" xfId="0">
      <alignment horizontal="left" vertical="center" wrapText="1"/>
    </xf>
    <xf numFmtId="0" fontId="35" fillId="0" borderId="0" pivotButton="0" quotePrefix="0" xfId="0"/>
    <xf numFmtId="0" fontId="13" fillId="4" borderId="5" applyAlignment="1" pivotButton="0" quotePrefix="0" xfId="0">
      <alignment horizontal="center" vertical="center"/>
    </xf>
    <xf numFmtId="0" fontId="15" fillId="14" borderId="4" applyAlignment="1" pivotButton="0" quotePrefix="0" xfId="0">
      <alignment horizontal="left" vertical="center" wrapText="1"/>
    </xf>
    <xf numFmtId="0" fontId="35" fillId="0" borderId="4" applyAlignment="1" pivotButton="0" quotePrefix="0" xfId="0">
      <alignment horizontal="left" vertical="center"/>
    </xf>
    <xf numFmtId="0" fontId="35" fillId="0" borderId="5" applyAlignment="1" pivotButton="0" quotePrefix="0" xfId="0">
      <alignment horizontal="center" vertical="center"/>
    </xf>
    <xf numFmtId="0" fontId="35" fillId="0" borderId="4" applyAlignment="1" pivotButton="0" quotePrefix="0" xfId="0">
      <alignment horizontal="left" vertical="center" wrapText="1"/>
    </xf>
    <xf numFmtId="0" fontId="6" fillId="5" borderId="4" applyAlignment="1" pivotButton="0" quotePrefix="0" xfId="0">
      <alignment horizontal="left" vertical="center" wrapText="1"/>
    </xf>
    <xf numFmtId="0" fontId="16" fillId="4" borderId="5" applyAlignment="1" pivotButton="0" quotePrefix="0" xfId="0">
      <alignment horizontal="left" vertical="center" wrapText="1"/>
    </xf>
    <xf numFmtId="0" fontId="16" fillId="21" borderId="5" applyAlignment="1" pivotButton="0" quotePrefix="0" xfId="0">
      <alignment horizontal="left" vertical="center" wrapText="1"/>
    </xf>
    <xf numFmtId="0" fontId="16" fillId="22" borderId="5" applyAlignment="1" pivotButton="0" quotePrefix="0" xfId="0">
      <alignment horizontal="left" vertical="center" wrapText="1"/>
    </xf>
    <xf numFmtId="0" fontId="16" fillId="10" borderId="5" applyAlignment="1" pivotButton="0" quotePrefix="0" xfId="0">
      <alignment horizontal="left" vertical="center" wrapText="1"/>
    </xf>
    <xf numFmtId="0" fontId="14" fillId="13" borderId="0" pivotButton="0" quotePrefix="0" xfId="0"/>
    <xf numFmtId="0" fontId="1" fillId="0" borderId="0" applyAlignment="1" pivotButton="0" quotePrefix="0" xfId="0">
      <alignment vertical="top" wrapText="1"/>
    </xf>
    <xf numFmtId="0" fontId="0" fillId="0" borderId="12" pivotButton="0" quotePrefix="0" xfId="0"/>
    <xf numFmtId="14" fontId="3" fillId="3" borderId="1" applyAlignment="1" pivotButton="0" quotePrefix="0" xfId="0">
      <alignment horizontal="center"/>
    </xf>
    <xf numFmtId="14" fontId="0" fillId="0" borderId="0" pivotButton="0" quotePrefix="0" xfId="0"/>
    <xf numFmtId="0" fontId="42" fillId="32" borderId="0" applyAlignment="1" pivotButton="0" quotePrefix="0" xfId="0">
      <alignment horizontal="center" vertical="top" wrapText="1"/>
    </xf>
    <xf numFmtId="0" fontId="36" fillId="26" borderId="0" applyAlignment="1" pivotButton="0" quotePrefix="0" xfId="0">
      <alignment horizontal="center" vertical="center" wrapText="1"/>
    </xf>
    <xf numFmtId="14" fontId="36" fillId="26" borderId="0" applyAlignment="1" pivotButton="0" quotePrefix="0" xfId="0">
      <alignment horizontal="center" vertical="center" wrapText="1"/>
    </xf>
    <xf numFmtId="0" fontId="37" fillId="0" borderId="0" pivotButton="0" quotePrefix="0" xfId="0"/>
    <xf numFmtId="14" fontId="37" fillId="0" borderId="0" pivotButton="0" quotePrefix="0" xfId="0"/>
    <xf numFmtId="0" fontId="37" fillId="27" borderId="0" pivotButton="0" quotePrefix="0" xfId="0"/>
    <xf numFmtId="0" fontId="37" fillId="28" borderId="0" pivotButton="0" quotePrefix="0" xfId="0"/>
    <xf numFmtId="0" fontId="47" fillId="0" borderId="0" applyAlignment="1" pivotButton="0" quotePrefix="0" xfId="0">
      <alignment vertical="top" wrapText="1"/>
    </xf>
    <xf numFmtId="164" fontId="48" fillId="36" borderId="5" applyAlignment="1" pivotButton="0" quotePrefix="0" xfId="0">
      <alignment horizontal="center" vertical="center"/>
    </xf>
    <xf numFmtId="0" fontId="48" fillId="36" borderId="0" pivotButton="0" quotePrefix="0" xfId="0"/>
    <xf numFmtId="0" fontId="48" fillId="0" borderId="0" pivotButton="0" quotePrefix="0" xfId="0"/>
    <xf numFmtId="0" fontId="49" fillId="37" borderId="9" applyAlignment="1" pivotButton="0" quotePrefix="0" xfId="0">
      <alignment horizontal="center" vertical="center" wrapText="1"/>
    </xf>
    <xf numFmtId="0" fontId="56" fillId="0" borderId="0" pivotButton="0" quotePrefix="0" xfId="0"/>
    <xf numFmtId="0" fontId="50" fillId="38" borderId="0" applyAlignment="1" pivotButton="0" quotePrefix="0" xfId="0">
      <alignment horizontal="center" vertical="center" wrapText="1"/>
    </xf>
    <xf numFmtId="0" fontId="57" fillId="38" borderId="0" applyAlignment="1" pivotButton="0" quotePrefix="0" xfId="0">
      <alignment horizontal="center" vertical="center" wrapText="1"/>
    </xf>
    <xf numFmtId="0" fontId="52" fillId="40" borderId="0" applyAlignment="1" pivotButton="0" quotePrefix="0" xfId="0">
      <alignment horizontal="center" vertical="center" wrapText="1"/>
    </xf>
    <xf numFmtId="0" fontId="54" fillId="38" borderId="0" applyAlignment="1" pivotButton="0" quotePrefix="0" xfId="0">
      <alignment horizontal="center" vertical="center" wrapText="1"/>
    </xf>
    <xf numFmtId="0" fontId="55" fillId="39" borderId="0" applyAlignment="1" pivotButton="0" quotePrefix="0" xfId="0">
      <alignment horizontal="center" vertical="center" wrapText="1"/>
    </xf>
    <xf numFmtId="0" fontId="55" fillId="40" borderId="0" applyAlignment="1" pivotButton="0" quotePrefix="0" xfId="0">
      <alignment horizontal="center" vertical="center" wrapText="1"/>
    </xf>
    <xf numFmtId="0" fontId="58" fillId="0" borderId="0" applyAlignment="1" pivotButton="0" quotePrefix="0" xfId="0">
      <alignment horizontal="center" vertical="center"/>
    </xf>
    <xf numFmtId="0" fontId="0" fillId="0" borderId="0" applyAlignment="1" pivotButton="0" quotePrefix="0" xfId="0">
      <alignment horizontal="center" vertical="center"/>
    </xf>
    <xf numFmtId="0" fontId="55" fillId="40" borderId="0" applyAlignment="1" pivotButton="0" quotePrefix="0" xfId="0">
      <alignment horizontal="center" vertical="center"/>
    </xf>
    <xf numFmtId="0" fontId="13" fillId="12" borderId="4" applyAlignment="1" pivotButton="0" quotePrefix="0" xfId="0">
      <alignment horizontal="center" vertical="center"/>
    </xf>
    <xf numFmtId="0" fontId="0" fillId="0" borderId="12" pivotButton="0" quotePrefix="0" xfId="0"/>
    <xf numFmtId="0" fontId="6" fillId="11" borderId="4" applyAlignment="1" pivotButton="0" quotePrefix="0" xfId="0">
      <alignment horizontal="center" vertical="center"/>
    </xf>
    <xf numFmtId="0" fontId="2" fillId="2" borderId="0" applyAlignment="1" pivotButton="0" quotePrefix="0" xfId="0">
      <alignment horizontal="center" vertical="center"/>
    </xf>
    <xf numFmtId="0" fontId="1" fillId="0" borderId="0" pivotButton="0" quotePrefix="0" xfId="0"/>
    <xf numFmtId="0" fontId="7" fillId="6" borderId="0" applyAlignment="1" pivotButton="0" quotePrefix="0" xfId="0">
      <alignment horizontal="center" vertical="center"/>
    </xf>
    <xf numFmtId="0" fontId="7" fillId="5" borderId="0" applyAlignment="1" pivotButton="0" quotePrefix="0" xfId="0">
      <alignment horizontal="center" vertical="center"/>
    </xf>
    <xf numFmtId="0" fontId="6" fillId="5" borderId="0" applyAlignment="1" pivotButton="0" quotePrefix="0" xfId="0">
      <alignment horizontal="center" vertical="center"/>
    </xf>
    <xf numFmtId="0" fontId="7" fillId="7" borderId="0" applyAlignment="1" pivotButton="0" quotePrefix="0" xfId="0">
      <alignment horizontal="center" vertical="center"/>
    </xf>
    <xf numFmtId="0" fontId="7" fillId="8" borderId="0" applyAlignment="1" pivotButton="0" quotePrefix="0" xfId="0">
      <alignment horizontal="center" vertical="center"/>
    </xf>
    <xf numFmtId="0" fontId="8" fillId="9" borderId="3" applyAlignment="1" pivotButton="0" quotePrefix="0" xfId="0">
      <alignment horizontal="center" vertical="center"/>
    </xf>
    <xf numFmtId="0" fontId="0" fillId="0" borderId="10" pivotButton="0" quotePrefix="0" xfId="0"/>
    <xf numFmtId="0" fontId="12" fillId="10" borderId="4" applyAlignment="1" pivotButton="0" quotePrefix="0" xfId="0">
      <alignment horizontal="center" vertical="center"/>
    </xf>
    <xf numFmtId="0" fontId="18" fillId="12" borderId="6" applyAlignment="1" pivotButton="0" quotePrefix="0" xfId="0">
      <alignment horizontal="left" vertical="center" wrapText="1"/>
    </xf>
    <xf numFmtId="0" fontId="0" fillId="0" borderId="11" pivotButton="0" quotePrefix="0" xfId="0"/>
    <xf numFmtId="0" fontId="0" fillId="0" borderId="13" pivotButton="0" quotePrefix="0" xfId="0"/>
    <xf numFmtId="0" fontId="9" fillId="9" borderId="3" applyAlignment="1" pivotButton="0" quotePrefix="0" xfId="0">
      <alignment horizontal="center" vertical="center"/>
    </xf>
    <xf numFmtId="0" fontId="19" fillId="15" borderId="0" applyAlignment="1" pivotButton="0" quotePrefix="0" xfId="0">
      <alignment horizontal="center" vertical="center"/>
    </xf>
    <xf numFmtId="0" fontId="11" fillId="9" borderId="3" applyAlignment="1" pivotButton="0" quotePrefix="0" xfId="0">
      <alignment horizontal="center" vertical="center"/>
    </xf>
    <xf numFmtId="0" fontId="4" fillId="4" borderId="0" applyAlignment="1" pivotButton="0" quotePrefix="0" xfId="0">
      <alignment horizontal="left" vertical="center"/>
    </xf>
    <xf numFmtId="0" fontId="10" fillId="9" borderId="3" applyAlignment="1" pivotButton="0" quotePrefix="0" xfId="0">
      <alignment horizontal="center" vertical="center"/>
    </xf>
    <xf numFmtId="0" fontId="22" fillId="17" borderId="0" applyAlignment="1" pivotButton="0" quotePrefix="0" xfId="0">
      <alignment horizontal="center" vertical="center"/>
    </xf>
    <xf numFmtId="0" fontId="18" fillId="12" borderId="0" applyAlignment="1" pivotButton="0" quotePrefix="0" xfId="0">
      <alignment horizontal="left" vertical="center" wrapText="1"/>
    </xf>
    <xf numFmtId="0" fontId="25" fillId="3" borderId="0" applyAlignment="1" pivotButton="0" quotePrefix="0" xfId="0">
      <alignment horizontal="left" vertical="center" wrapText="1"/>
    </xf>
    <xf numFmtId="0" fontId="18" fillId="4" borderId="0" applyAlignment="1" pivotButton="0" quotePrefix="0" xfId="0">
      <alignment horizontal="left" vertical="center" wrapText="1"/>
    </xf>
    <xf numFmtId="0" fontId="23" fillId="18" borderId="0" applyAlignment="1" pivotButton="0" quotePrefix="0" xfId="0">
      <alignment horizontal="left" vertical="center" wrapText="1"/>
    </xf>
    <xf numFmtId="0" fontId="24" fillId="19" borderId="0" applyAlignment="1" pivotButton="0" quotePrefix="0" xfId="0">
      <alignment horizontal="left" vertical="center" wrapText="1"/>
    </xf>
    <xf numFmtId="0" fontId="56" fillId="0" borderId="0" pivotButton="0" quotePrefix="0" xfId="0"/>
    <xf numFmtId="0" fontId="0" fillId="0" borderId="0" pivotButton="0" quotePrefix="0" xfId="0"/>
    <xf numFmtId="0" fontId="2" fillId="5" borderId="0" applyAlignment="1" pivotButton="0" quotePrefix="0" xfId="0">
      <alignment horizontal="center" vertical="center"/>
    </xf>
    <xf numFmtId="0" fontId="31" fillId="23" borderId="0" applyAlignment="1" pivotButton="0" quotePrefix="0" xfId="0">
      <alignment horizontal="left" vertical="center" wrapText="1"/>
    </xf>
    <xf numFmtId="0" fontId="31" fillId="18" borderId="0" applyAlignment="1" pivotButton="0" quotePrefix="0" xfId="0">
      <alignment horizontal="left" vertical="center" wrapText="1"/>
    </xf>
    <xf numFmtId="0" fontId="30" fillId="17" borderId="0" applyAlignment="1" pivotButton="0" quotePrefix="0" xfId="0">
      <alignment horizontal="center" vertical="center"/>
    </xf>
    <xf numFmtId="0" fontId="31" fillId="3" borderId="5" applyAlignment="1" pivotButton="0" quotePrefix="0" xfId="0">
      <alignment horizontal="left" vertical="center" wrapText="1"/>
    </xf>
    <xf numFmtId="0" fontId="0" fillId="0" borderId="14" pivotButton="0" quotePrefix="0" xfId="0"/>
    <xf numFmtId="0" fontId="32" fillId="23" borderId="0" applyAlignment="1" pivotButton="0" quotePrefix="0" xfId="0">
      <alignment horizontal="left" vertical="center" wrapText="1"/>
    </xf>
    <xf numFmtId="0" fontId="33" fillId="3" borderId="0" applyAlignment="1" pivotButton="0" quotePrefix="0" xfId="0">
      <alignment horizontal="left" vertical="center" wrapText="1"/>
    </xf>
    <xf numFmtId="0" fontId="52" fillId="0" borderId="0" pivotButton="0" quotePrefix="0" xfId="0"/>
    <xf numFmtId="0" fontId="51" fillId="38" borderId="0" pivotButton="0" quotePrefix="0" xfId="0"/>
    <xf numFmtId="0" fontId="53" fillId="37" borderId="0" pivotButton="0" quotePrefix="0" xfId="0"/>
    <xf numFmtId="0" fontId="39" fillId="29" borderId="0" applyAlignment="1" pivotButton="0" quotePrefix="0" xfId="0">
      <alignment vertical="top" wrapText="1"/>
    </xf>
    <xf numFmtId="0" fontId="44" fillId="33" borderId="0" applyAlignment="1" pivotButton="0" quotePrefix="0" xfId="0">
      <alignment horizontal="center" vertical="center"/>
    </xf>
    <xf numFmtId="14" fontId="43" fillId="32" borderId="0" applyAlignment="1" pivotButton="0" quotePrefix="0" xfId="0">
      <alignment vertical="top" wrapText="1"/>
    </xf>
    <xf numFmtId="0" fontId="38" fillId="26" borderId="0" applyAlignment="1" pivotButton="0" quotePrefix="0" xfId="0">
      <alignment horizontal="center" vertical="center"/>
    </xf>
    <xf numFmtId="0" fontId="45" fillId="34" borderId="0" applyAlignment="1" pivotButton="0" quotePrefix="0" xfId="0">
      <alignment horizontal="center" vertical="center" wrapText="1"/>
    </xf>
    <xf numFmtId="0" fontId="46" fillId="35" borderId="0" applyAlignment="1" pivotButton="0" quotePrefix="0" xfId="0">
      <alignment horizontal="center" vertical="center"/>
    </xf>
    <xf numFmtId="0" fontId="41" fillId="31" borderId="0" applyAlignment="1" pivotButton="0" quotePrefix="0" xfId="0">
      <alignment horizontal="center" vertical="center"/>
    </xf>
    <xf numFmtId="0" fontId="40" fillId="30" borderId="0" applyAlignment="1" pivotButton="0" quotePrefix="0" xfId="0">
      <alignment horizontal="center" vertical="center" wrapText="1"/>
    </xf>
    <xf numFmtId="0" fontId="20" fillId="17" borderId="5" applyAlignment="1" pivotButton="0" quotePrefix="0" xfId="0">
      <alignment horizontal="center" vertical="center"/>
    </xf>
    <xf numFmtId="0" fontId="34" fillId="17" borderId="0" applyAlignment="1" pivotButton="0" quotePrefix="0" xfId="0">
      <alignment horizontal="center" vertical="center"/>
    </xf>
    <xf numFmtId="0" fontId="20" fillId="16" borderId="5" applyAlignment="1" pivotButton="0" quotePrefix="0" xfId="0">
      <alignment horizontal="center" vertical="center"/>
    </xf>
    <xf numFmtId="0" fontId="22" fillId="5" borderId="0" applyAlignment="1" pivotButton="0" quotePrefix="0" xfId="0">
      <alignment horizontal="center" vertical="center"/>
    </xf>
    <xf numFmtId="0" fontId="1" fillId="20" borderId="4" applyAlignment="1" pivotButton="0" quotePrefix="0" xfId="0">
      <alignment horizontal="left" vertical="center" wrapText="1"/>
    </xf>
    <xf numFmtId="0" fontId="18" fillId="4" borderId="4" applyAlignment="1" pivotButton="0" quotePrefix="0" xfId="0">
      <alignment horizontal="left" vertical="center" wrapText="1"/>
    </xf>
    <xf numFmtId="0" fontId="6" fillId="2" borderId="0" applyAlignment="1" pivotButton="0" quotePrefix="0" xfId="0">
      <alignment horizontal="center" vertical="center"/>
    </xf>
    <xf numFmtId="0" fontId="6" fillId="5" borderId="4" applyAlignment="1" pivotButton="0" quotePrefix="0" xfId="0">
      <alignment horizontal="left" vertical="center"/>
    </xf>
    <xf numFmtId="0" fontId="15" fillId="14" borderId="4" applyAlignment="1" pivotButton="0" quotePrefix="0" xfId="0">
      <alignment horizontal="left" vertical="center" wrapText="1"/>
    </xf>
    <xf numFmtId="0" fontId="15" fillId="9" borderId="4" applyAlignment="1" pivotButton="0" quotePrefix="0" xfId="0">
      <alignment horizontal="left" vertical="center" wrapText="1"/>
    </xf>
    <xf numFmtId="0" fontId="1" fillId="9" borderId="4" applyAlignment="1" pivotButton="0" quotePrefix="0" xfId="0">
      <alignment horizontal="left" vertical="center" wrapText="1"/>
    </xf>
    <xf numFmtId="0" fontId="15" fillId="21" borderId="4" applyAlignment="1" pivotButton="0" quotePrefix="0" xfId="0">
      <alignment horizontal="left" vertical="center" wrapText="1"/>
    </xf>
    <xf numFmtId="0" fontId="15" fillId="10" borderId="4" applyAlignment="1" pivotButton="0" quotePrefix="0" xfId="0">
      <alignment horizontal="left" vertical="center" wrapText="1"/>
    </xf>
    <xf numFmtId="0" fontId="15" fillId="12" borderId="4" applyAlignment="1" pivotButton="0" quotePrefix="0" xfId="0">
      <alignment horizontal="left" vertical="center" wrapText="1"/>
    </xf>
    <xf numFmtId="0" fontId="6" fillId="5" borderId="4" applyAlignment="1" pivotButton="0" quotePrefix="0" xfId="0">
      <alignment horizontal="left" vertical="center" wrapText="1"/>
    </xf>
    <xf numFmtId="0" fontId="35" fillId="0" borderId="4" applyAlignment="1" pivotButton="0" quotePrefix="0" xfId="0">
      <alignment horizontal="left" vertical="center" wrapText="1"/>
    </xf>
    <xf numFmtId="0" fontId="15" fillId="22" borderId="4" applyAlignment="1" pivotButton="0" quotePrefix="0" xfId="0">
      <alignment horizontal="left" vertical="center" wrapText="1"/>
    </xf>
    <xf numFmtId="0" fontId="16" fillId="10" borderId="5" applyAlignment="1" pivotButton="0" quotePrefix="0" xfId="0">
      <alignment horizontal="left" vertical="center" wrapText="1"/>
    </xf>
    <xf numFmtId="0" fontId="16" fillId="4" borderId="5" applyAlignment="1" pivotButton="0" quotePrefix="0" xfId="0">
      <alignment horizontal="left" vertical="center" wrapText="1"/>
    </xf>
    <xf numFmtId="0" fontId="39" fillId="29" borderId="0" pivotButton="0" quotePrefix="0" xfId="0"/>
    <xf numFmtId="0" fontId="38" fillId="26" borderId="0" pivotButton="0" quotePrefix="0" xfId="0"/>
    <xf numFmtId="22" fontId="0" fillId="0" borderId="0" pivotButton="0" quotePrefix="0" xfId="0"/>
    <xf numFmtId="0" fontId="0" fillId="0" borderId="0" applyAlignment="1" pivotButton="0" quotePrefix="0" xfId="0">
      <alignment wrapText="1"/>
    </xf>
    <xf numFmtId="168" fontId="0" fillId="0" borderId="0" pivotButton="0" quotePrefix="0" xfId="0"/>
  </cellXfs>
  <cellStyles count="1">
    <cellStyle name="Normal" xfId="0" builtinId="0"/>
  </cellStyles>
  <dxfs count="29">
    <dxf>
      <font>
        <b val="1"/>
        <color rgb="FF1E8449"/>
      </font>
      <fill>
        <patternFill>
          <bgColor rgb="FFD5F5E3"/>
        </patternFill>
      </fill>
    </dxf>
    <dxf>
      <font>
        <b val="1"/>
        <color rgb="FF922B21"/>
      </font>
      <fill>
        <patternFill>
          <bgColor rgb="FFFADBD8"/>
        </patternFill>
      </fill>
    </dxf>
    <dxf>
      <font>
        <b val="1"/>
        <color rgb="FF7D6608"/>
      </font>
      <fill>
        <patternFill>
          <bgColor rgb="FFFEF3CD"/>
        </patternFill>
      </fill>
    </dxf>
    <dxf>
      <font>
        <b val="1"/>
        <color rgb="FF922B21"/>
      </font>
      <fill>
        <patternFill>
          <bgColor rgb="FFFADBD8"/>
        </patternFill>
      </fill>
    </dxf>
    <dxf>
      <font>
        <b val="1"/>
        <color rgb="FF1E8449"/>
      </font>
      <fill>
        <patternFill>
          <bgColor rgb="FFD5F5E3"/>
        </patternFill>
      </fill>
    </dxf>
    <dxf>
      <font>
        <b val="1"/>
        <color rgb="FF922B21"/>
      </font>
      <fill>
        <patternFill>
          <bgColor rgb="FFFADBD8"/>
        </patternFill>
      </fill>
    </dxf>
    <dxf>
      <font>
        <b val="1"/>
        <color rgb="FF922B21"/>
      </font>
      <fill>
        <patternFill>
          <bgColor rgb="FFFADBD8"/>
        </patternFill>
      </fill>
    </dxf>
    <dxf>
      <font>
        <b val="1"/>
        <color rgb="FF1E8449"/>
      </font>
      <fill>
        <patternFill>
          <bgColor rgb="FFD5F5E3"/>
        </patternFill>
      </fill>
    </dxf>
    <dxf>
      <font>
        <b val="1"/>
        <color rgb="FF922B21"/>
      </font>
      <fill>
        <patternFill>
          <bgColor rgb="FFFADBD8"/>
        </patternFill>
      </fill>
    </dxf>
    <dxf>
      <font>
        <b val="1"/>
        <color rgb="FF1E8449"/>
      </font>
      <fill>
        <patternFill>
          <bgColor rgb="FFD5F5E3"/>
        </patternFill>
      </fill>
    </dxf>
    <dxf>
      <font>
        <b val="1"/>
        <color rgb="FF922B21"/>
      </font>
      <fill>
        <patternFill>
          <bgColor rgb="FFFADBD8"/>
        </patternFill>
      </fill>
    </dxf>
    <dxf>
      <font>
        <b val="1"/>
        <color rgb="FF922B21"/>
      </font>
      <fill>
        <patternFill>
          <bgColor rgb="FFFADBD8"/>
        </patternFill>
      </fill>
    </dxf>
    <dxf>
      <font>
        <b val="1"/>
        <color rgb="FF922B21"/>
      </font>
      <fill>
        <patternFill>
          <bgColor rgb="FFFADBD8"/>
        </patternFill>
      </fill>
    </dxf>
    <dxf>
      <font>
        <b val="1"/>
        <color rgb="FF922B21"/>
      </font>
      <fill>
        <patternFill>
          <bgColor rgb="FFFADBD8"/>
        </patternFill>
      </fill>
    </dxf>
    <dxf>
      <font>
        <b val="1"/>
        <color rgb="FF1E8449"/>
      </font>
      <fill>
        <patternFill>
          <bgColor rgb="FFD5F5E3"/>
        </patternFill>
      </fill>
    </dxf>
    <dxf>
      <font>
        <color rgb="FF7D6608"/>
      </font>
      <fill>
        <patternFill>
          <bgColor rgb="FFFEF3CD"/>
        </patternFill>
      </fill>
    </dxf>
    <dxf>
      <font>
        <b val="1"/>
        <color rgb="FF7D6608"/>
      </font>
      <fill>
        <patternFill>
          <bgColor rgb="FFFEF3CD"/>
        </patternFill>
      </fill>
    </dxf>
    <dxf>
      <font>
        <b val="1"/>
        <color rgb="FF922B21"/>
      </font>
      <fill>
        <patternFill>
          <bgColor rgb="FFFADBD8"/>
        </patternFill>
      </fill>
    </dxf>
    <dxf>
      <font>
        <b val="1"/>
        <color rgb="FF922B21"/>
      </font>
      <fill>
        <patternFill>
          <bgColor rgb="FFFADBD8"/>
        </patternFill>
      </fill>
    </dxf>
    <dxf>
      <font>
        <b val="1"/>
        <color rgb="FF1E8449"/>
      </font>
      <fill>
        <patternFill>
          <bgColor rgb="FFD5F5E3"/>
        </patternFill>
      </fill>
    </dxf>
    <dxf>
      <font>
        <b val="1"/>
        <color rgb="FF7D6608"/>
      </font>
      <fill>
        <patternFill>
          <bgColor rgb="FFFEF3CD"/>
        </patternFill>
      </fill>
    </dxf>
    <dxf>
      <font>
        <b val="1"/>
        <color rgb="FF922B21"/>
      </font>
      <fill>
        <patternFill>
          <bgColor rgb="FFFADBD8"/>
        </patternFill>
      </fill>
    </dxf>
    <dxf>
      <font>
        <b val="1"/>
        <color rgb="FF922B21"/>
      </font>
      <fill>
        <patternFill>
          <bgColor rgb="FFFADBD8"/>
        </patternFill>
      </fill>
    </dxf>
    <dxf>
      <font>
        <b val="1"/>
        <color rgb="FF922B21"/>
      </font>
      <fill>
        <patternFill>
          <bgColor rgb="FFFADBD8"/>
        </patternFill>
      </fill>
    </dxf>
    <dxf>
      <font>
        <b val="1"/>
        <color rgb="FF922B21"/>
      </font>
      <fill>
        <patternFill>
          <bgColor rgb="FFFADBD8"/>
        </patternFill>
      </fill>
    </dxf>
    <dxf>
      <font>
        <b val="1"/>
        <color rgb="FF7D6608"/>
      </font>
      <fill>
        <patternFill>
          <bgColor rgb="FFFEF3CD"/>
        </patternFill>
      </fill>
    </dxf>
    <dxf>
      <font>
        <b val="1"/>
        <color rgb="FF922B21"/>
      </font>
      <fill>
        <patternFill>
          <bgColor rgb="FFFADBD8"/>
        </patternFill>
      </fill>
    </dxf>
    <dxf>
      <font>
        <b val="1"/>
        <color rgb="FF922B21"/>
      </font>
      <fill>
        <patternFill>
          <bgColor rgb="FFFADBD8"/>
        </patternFill>
      </fill>
    </dxf>
    <dxf>
      <font>
        <b val="1"/>
        <color rgb="FF1E8449"/>
      </font>
      <fill>
        <patternFill>
          <bgColor rgb="FFD5F5E3"/>
        </patternFill>
      </fill>
    </dxf>
  </dxfs>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7F3F00"/>
      <rgbColor rgb="FF375623"/>
      <rgbColor rgb="FF1F1F1F"/>
      <rgbColor rgb="FF7D6608"/>
      <rgbColor rgb="FF800080"/>
      <rgbColor rgb="FF2980B9"/>
      <rgbColor rgb="FFB8B8B8"/>
      <rgbColor rgb="FF808080"/>
      <rgbColor rgb="FF9999FF"/>
      <rgbColor rgb="FF6C3483"/>
      <rgbColor rgb="FFFFF9C4"/>
      <rgbColor rgb="FFE2EFDA"/>
      <rgbColor rgb="FF660066"/>
      <rgbColor rgb="FFFF8080"/>
      <rgbColor rgb="FF0066CC"/>
      <rgbColor rgb="FFD9D9D9"/>
      <rgbColor rgb="FF000080"/>
      <rgbColor rgb="FFFF00FF"/>
      <rgbColor rgb="FFF7F9F7"/>
      <rgbColor rgb="FF00FFFF"/>
      <rgbColor rgb="FF800080"/>
      <rgbColor rgb="FF800000"/>
      <rgbColor rgb="FF2D6A4F"/>
      <rgbColor rgb="FF0000FF"/>
      <rgbColor rgb="FF00CCFF"/>
      <rgbColor rgb="FFF2F2F2"/>
      <rgbColor rgb="FFD5F5E3"/>
      <rgbColor rgb="FFFEF3CD"/>
      <rgbColor rgb="FF95D5B2"/>
      <rgbColor rgb="FFD9E2DC"/>
      <rgbColor rgb="FFD9E1F2"/>
      <rgbColor rgb="FFFADBD8"/>
      <rgbColor rgb="FF2E75B6"/>
      <rgbColor rgb="FF33CCCC"/>
      <rgbColor rgb="FF99CC00"/>
      <rgbColor rgb="FFFFC000"/>
      <rgbColor rgb="FFF4A100"/>
      <rgbColor rgb="FFFF6600"/>
      <rgbColor rgb="FF595959"/>
      <rgbColor rgb="FFAAAAAA"/>
      <rgbColor rgb="FF1F3864"/>
      <rgbColor rgb="FF1E8449"/>
      <rgbColor rgb="FF1C2833"/>
      <rgbColor rgb="FF1A3A2A"/>
      <rgbColor rgb="FF922B21"/>
      <rgbColor rgb="FFC0392B"/>
      <rgbColor rgb="FF1F4E78"/>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HSQE Matrix</author>
  </authors>
  <commentList>
    <comment ref="U3" authorId="0" shapeId="0">
      <text>
        <t>★ AMBER ALERTS
Measures proactive near-miss and hazard reporting against a target of 2 per operative per month.
★★★★★  Target met or exceeded
★★★★☆  Reporting at 75–99% of target
★★★☆☆  Reporting at 50–74% of target
★★☆☆☆  Reporting at 25–49% of target
★☆☆☆☆  Zero or near-zero reports submitted
Weight: 18 of 49 in composite (highest weighted metric).
Zero reporting triggers automatic escalation regardless of composite.</t>
      </text>
    </comment>
    <comment ref="V3" authorId="0" shapeId="0">
      <text>
        <t>★ RED ALERTS
Measures recorded incidents over the month.
★★★★★  No incidents recorded
★★★★☆  1–2 minor incidents
★★★☆☆  3–4 minor incidents or 1 moderate/major
★★☆☆☆  Approaching threshold
★☆☆☆☆  5+ minor or 2+ moderate/major incidents
Weight: 6 of 49 in composite.
Any major impact event triggers automatic escalation regardless of composite.</t>
      </text>
    </comment>
    <comment ref="W3" authorId="0" shapeId="0">
      <text>
        <t>★ SKILLKO COMPLIANCE
Measures operative training and competency compliance.
★★★★★  100% compliant
★★★★☆  87–99% compliant
★★★☆☆  75–86% compliant
★★☆☆☆  62–74% compliant
★☆☆☆☆  Below 62% compliant
Weight: 8 of 49 in composite.</t>
      </text>
    </comment>
    <comment ref="X3" authorId="0" shapeId="0">
      <text>
        <t>★ POST-CUT QUALITY
Measures defect rate from pole inspection results in the current period.
★★★★★  No defects recorded
★★★★☆  Up to 12% defect rate
★★★☆☆  12–37% defect rate
★★☆☆☆  37–62% defect rate
★☆☆☆☆  62%+ defect rate
Weight: 7 of 49 in composite.
No inspections in the period = 3 stars (neutral, no penalty).</t>
      </text>
    </comment>
    <comment ref="Y3" authorId="0" shapeId="0">
      <text>
        <t>★ SITE SAFETY VISIT
Measures SafetyCulture audit outcomes over the last 90 days.
Only completed audits with a valid result are counted.
★★★★★  2+ visits, all returning High Standards
★★★★☆  Mostly High Standards, or 1 visit High Standards
★★★☆☆  All visits Compliant, or no visits (neutral)
★★☆☆☆  Mix including Minor Nonconformity (single NC finding)
★☆☆☆☆  Minor Nonconformity with multiple findings
Weight: 10 of 49 in composite.
Audit result scoring: High Standards=4, Compliant=3, Minor NC (1 finding)=2, Minor NC (2+ findings)=1.</t>
      </text>
    </comment>
    <comment ref="Z3" authorId="0" shapeId="0">
      <text>
        <t>★ COMPOSITE RATING
Weighted average of all five metric star ratings.
Weights:
  Amber Alerts:      18 / 49
  Red Alerts:         6 / 49
  Skillko:            8 / 49
  Post-Cut Quality:   7 / 49
  Site Safety Visit: 10 / 49
The RAG column to the right shows the resulting escalation band.
Automatic escalation overrides apply for zero amber reporting and major impact events.</t>
      </text>
    </comment>
  </commentList>
</comment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1A3A2A"/>
    <outlinePr summaryBelow="1" summaryRight="1"/>
    <pageSetUpPr/>
  </sheetPr>
  <dimension ref="A1:O48"/>
  <sheetViews>
    <sheetView showGridLines="0" zoomScaleNormal="100" workbookViewId="0">
      <selection activeCell="A1" sqref="A1:M1"/>
    </sheetView>
  </sheetViews>
  <sheetFormatPr baseColWidth="10" defaultColWidth="8.6640625" defaultRowHeight="15" customHeight="1"/>
  <cols>
    <col width="6" customWidth="1" style="122" min="1" max="1"/>
    <col width="26" customWidth="1" style="122" min="2" max="2"/>
    <col width="20" customWidth="1" style="122" min="3" max="3"/>
    <col width="18" customWidth="1" style="122" min="4" max="4"/>
    <col width="9" customWidth="1" style="122" min="5" max="7"/>
    <col width="12" customWidth="1" style="122" min="8" max="12"/>
    <col width="22" customWidth="1" style="122" min="13" max="14"/>
  </cols>
  <sheetData>
    <row r="1" ht="36" customHeight="1" s="146">
      <c r="A1" s="121" t="inlineStr">
        <is>
          <t>FIELD TEAM RISK MATRIX - MONTHLY DASHBOARD</t>
        </is>
      </c>
      <c r="N1" s="94" t="n">
        <v>46145</v>
      </c>
      <c r="O1" s="95" t="n">
        <v>46152</v>
      </c>
    </row>
    <row r="2" ht="27.75" customHeight="1" s="146">
      <c r="A2" s="137" t="inlineStr">
        <is>
          <t>Set date range: N1 = start date, O1 = end date  |  Update all Data tabs and regenerate Pole Results before presenting to SOMs  |  Complete by working day 5 each month</t>
        </is>
      </c>
      <c r="N2" s="2" t="inlineStr">
        <is>
          <t>Start date</t>
        </is>
      </c>
      <c r="O2" t="inlineStr">
        <is>
          <t>End date</t>
        </is>
      </c>
    </row>
    <row r="4" ht="25.5" customHeight="1" s="146">
      <c r="A4" s="125" t="inlineStr">
        <is>
          <t>RISK BAND SUMMARY</t>
        </is>
      </c>
    </row>
    <row r="5" ht="21.75" customHeight="1" s="146">
      <c r="A5" s="124" t="inlineStr">
        <is>
          <t>Active Teams</t>
        </is>
      </c>
      <c r="D5" s="123" t="inlineStr">
        <is>
          <t>LOW Risk</t>
        </is>
      </c>
      <c r="H5" s="126" t="inlineStr">
        <is>
          <t>MEDIUM Risk</t>
        </is>
      </c>
      <c r="L5" s="127" t="inlineStr">
        <is>
          <t>HIGH Risk</t>
        </is>
      </c>
    </row>
    <row r="6" ht="43.5" customHeight="1" s="146">
      <c r="A6" s="128">
        <f>COUNTA('Field Teams'!B5:B204)-COUNTIF('Field Teams'!I5:I204,"Inactive")</f>
        <v/>
      </c>
      <c r="B6" s="129" t="n"/>
      <c r="C6" s="129" t="n"/>
      <c r="D6" s="134">
        <f>COUNTIF('Monthly Matrix'!AA4:AA76,"LOW")</f>
        <v/>
      </c>
      <c r="E6" s="129" t="n"/>
      <c r="F6" s="129" t="n"/>
      <c r="H6" s="138">
        <f>COUNTIF('Monthly Matrix'!AA4:AA76,"MEDIUM")</f>
        <v/>
      </c>
      <c r="I6" s="129" t="n"/>
      <c r="J6" s="129" t="n"/>
      <c r="L6" s="136">
        <f>COUNTIF('Monthly Matrix'!AA4:AA76,"HIGH")</f>
        <v/>
      </c>
      <c r="M6" s="129" t="n"/>
      <c r="N6" s="129" t="n"/>
    </row>
    <row r="7" ht="25.5" customHeight="1" s="146">
      <c r="A7" s="130">
        <f>IF(COUNTIF('Monthly Matrix'!AA4:AA76,"HIGH")=0,"No HIGH risk teams this month","HIGH risk teams require action - see table below")</f>
        <v/>
      </c>
      <c r="B7" s="119" t="n"/>
      <c r="C7" s="119" t="n"/>
      <c r="D7" s="119" t="n"/>
      <c r="E7" s="119" t="n"/>
      <c r="F7" s="119" t="n"/>
      <c r="G7" s="119" t="n"/>
      <c r="H7" s="119" t="n"/>
      <c r="I7" s="119" t="n"/>
      <c r="J7" s="119" t="n"/>
      <c r="K7" s="119" t="n"/>
      <c r="L7" s="119" t="n"/>
      <c r="M7" s="119" t="n"/>
      <c r="N7" s="119" t="n"/>
    </row>
    <row r="8" ht="25.5" customHeight="1" s="146">
      <c r="A8" s="120">
        <f>IF(COUNTIF('Monthly Matrix'!M4:M76,"YES")=0,"No Major impact events this month","MAJOR EVENT recorded - immediate escalation required")</f>
        <v/>
      </c>
      <c r="B8" s="119" t="n"/>
      <c r="C8" s="119" t="n"/>
      <c r="D8" s="119" t="n"/>
      <c r="E8" s="119" t="n"/>
      <c r="F8" s="119" t="n"/>
      <c r="G8" s="119" t="n"/>
      <c r="H8" s="119" t="n"/>
      <c r="I8" s="119" t="n"/>
      <c r="J8" s="119" t="n"/>
      <c r="K8" s="119" t="n"/>
      <c r="L8" s="119" t="n"/>
      <c r="M8" s="119" t="n"/>
      <c r="N8" s="119" t="n"/>
    </row>
    <row r="9" ht="21.75" customHeight="1" s="146">
      <c r="A9" s="118">
        <f>"Total operatives in scope: "&amp;SUM('Field Teams'!H5:H77)&amp;"  |  Amber target this month: "&amp;SUM('Monthly Matrix'!I4:I76)&amp;" events across all teams"</f>
        <v/>
      </c>
      <c r="B9" s="119" t="n"/>
      <c r="C9" s="119" t="n"/>
      <c r="D9" s="119" t="n"/>
      <c r="E9" s="119" t="n"/>
      <c r="F9" s="119" t="n"/>
      <c r="G9" s="119" t="n"/>
      <c r="H9" s="119" t="n"/>
      <c r="I9" s="119" t="n"/>
      <c r="J9" s="119" t="n"/>
      <c r="K9" s="119" t="n"/>
      <c r="L9" s="119" t="n"/>
      <c r="M9" s="119" t="n"/>
      <c r="N9" s="119" t="n"/>
    </row>
    <row r="11" ht="25.5" customHeight="1" s="146">
      <c r="A11" s="125" t="inlineStr">
        <is>
          <t>TOP 10 HIGHEST RISK TEAMS</t>
        </is>
      </c>
    </row>
    <row r="12" ht="31.5" customHeight="1" s="146">
      <c r="A12" s="4" t="inlineStr">
        <is>
          <t>Rank</t>
        </is>
      </c>
      <c r="B12" s="4" t="inlineStr">
        <is>
          <t>Team</t>
        </is>
      </c>
      <c r="C12" s="4" t="inlineStr">
        <is>
          <t>Contract</t>
        </is>
      </c>
      <c r="D12" s="4" t="inlineStr">
        <is>
          <t>SOM</t>
        </is>
      </c>
      <c r="E12" s="4" t="inlineStr">
        <is>
          <t>Score</t>
        </is>
      </c>
      <c r="F12" s="4" t="inlineStr">
        <is>
          <t>RAG</t>
        </is>
      </c>
      <c r="G12" s="4" t="inlineStr">
        <is>
          <t>Amber Count</t>
        </is>
      </c>
      <c r="H12" s="4" t="inlineStr">
        <is>
          <t>Amber Target</t>
        </is>
      </c>
      <c r="I12" s="4" t="inlineStr">
        <is>
          <t>Skillko %</t>
        </is>
      </c>
      <c r="J12" s="4" t="inlineStr">
        <is>
          <t>Quality Fails</t>
        </is>
      </c>
      <c r="K12" s="4" t="inlineStr">
        <is>
          <t>Checks Assessed</t>
        </is>
      </c>
      <c r="L12" s="4" t="inlineStr">
        <is>
          <t>Compliant
Checks</t>
        </is>
      </c>
      <c r="M12" s="4" t="inlineStr">
        <is>
          <t>Plan?</t>
        </is>
      </c>
      <c r="N12" s="5" t="n"/>
    </row>
    <row r="13" ht="21.75" customHeight="1" s="146">
      <c r="A13" s="6" t="n">
        <v>1</v>
      </c>
      <c r="B13" s="7">
        <f>IFERROR(INDEX('Monthly Matrix'!$B$4:$B$76,MATCH(LARGE('Monthly Matrix'!$AB$4:$AB$76,1),'Monthly Matrix'!$AB$4:$AB$76,0)),"")</f>
        <v/>
      </c>
      <c r="C13" s="7">
        <f>IFERROR(INDEX('Monthly Matrix'!$C$4:$C$76,MATCH(LARGE('Monthly Matrix'!$AB$4:$AB$76,1),'Monthly Matrix'!$AB$4:$AB$76,0)),"")</f>
        <v/>
      </c>
      <c r="D13" s="7">
        <f>IFERROR(INDEX('Monthly Matrix'!$E$4:$E$76,MATCH(LARGE('Monthly Matrix'!$AB$4:$AB$76,1),'Monthly Matrix'!$AB$4:$AB$76,0)),"")</f>
        <v/>
      </c>
      <c r="E13" s="6">
        <f>IFERROR(INDEX('Monthly Matrix'!$T$4:$T$76,MATCH(LARGE('Monthly Matrix'!$AB$4:$AB$76,1),'Monthly Matrix'!$AB$4:$AB$76,0)),"")</f>
        <v/>
      </c>
      <c r="F13" s="6">
        <f>IFERROR(INDEX('Monthly Matrix'!$V$4:$AA$76,MATCH(LARGE('Monthly Matrix'!$AB$4:$AB$76,1),'Monthly Matrix'!$AB$4:$AB$76,0)),"")</f>
        <v/>
      </c>
      <c r="G13" s="6">
        <f>IFERROR(INDEX('Monthly Matrix'!$J$4:$J$76,MATCH(LARGE('Monthly Matrix'!$AB$4:$AB$76,1),'Monthly Matrix'!$AB$4:$AB$76,0)),"")</f>
        <v/>
      </c>
      <c r="H13" s="6">
        <f>IFERROR(INDEX('Monthly Matrix'!$I$4:$I$76,MATCH(LARGE('Monthly Matrix'!$AB$4:$AB$76,1),'Monthly Matrix'!$AB$4:$AB$76,0)),"")</f>
        <v/>
      </c>
      <c r="I13" s="8">
        <f>IFERROR(INDEX('Monthly Matrix'!$N$4:$N$76,MATCH(LARGE('Monthly Matrix'!$AB$4:$AB$76,1),'Monthly Matrix'!$AB$4:$AB$76,0)),"")</f>
        <v/>
      </c>
      <c r="J13" s="6">
        <f>IFERROR(INDEX('Monthly Matrix'!$P$4:$P$76,MATCH(LARGE('Monthly Matrix'!$AB$4:$AB$76,1),'Monthly Matrix'!$AB$4:$AB$76,0)),"")</f>
        <v/>
      </c>
      <c r="K13" s="6">
        <f>IFERROR(INDEX('Monthly Matrix'!$AH$4:$AH$76,MATCH(LARGE('Monthly Matrix'!$AB$4:$AB$76,1),'Monthly Matrix'!$AB$4:$AB$76,0)),"")</f>
        <v/>
      </c>
      <c r="L13" s="9">
        <f>IFERROR(INDEX('Monthly Matrix'!$AI$4:$AI$76,MATCH(LARGE('Monthly Matrix'!$AB$4:$AB$76,1),'Monthly Matrix'!$AB$4:$AB$76,0))/K13,"")</f>
        <v/>
      </c>
      <c r="M13" s="6">
        <f>IFERROR(INDEX('Monthly Matrix'!$AF$4:$AF$76,MATCH(LARGE('Monthly Matrix'!$AB$4:$AB$76,1),'Monthly Matrix'!$AB$4:$AB$76,0)),"")</f>
        <v/>
      </c>
      <c r="N13" s="7" t="n"/>
    </row>
    <row r="14" ht="21.75" customHeight="1" s="146">
      <c r="A14" s="10" t="n">
        <v>2</v>
      </c>
      <c r="B14" s="11">
        <f>IFERROR(INDEX('Monthly Matrix'!$B$4:$B$76,MATCH(LARGE('Monthly Matrix'!$AB$4:$AB$76,2),'Monthly Matrix'!$AB$4:$AB$76,0)),"")</f>
        <v/>
      </c>
      <c r="C14" s="11">
        <f>IFERROR(INDEX('Monthly Matrix'!$C$4:$C$76,MATCH(LARGE('Monthly Matrix'!$AB$4:$AB$76,2),'Monthly Matrix'!$AB$4:$AB$76,0)),"")</f>
        <v/>
      </c>
      <c r="D14" s="11">
        <f>IFERROR(INDEX('Monthly Matrix'!$E$4:$E$76,MATCH(LARGE('Monthly Matrix'!$AB$4:$AB$76,2),'Monthly Matrix'!$AB$4:$AB$76,0)),"")</f>
        <v/>
      </c>
      <c r="E14" s="10">
        <f>IFERROR(INDEX('Monthly Matrix'!$T$4:$T$76,MATCH(LARGE('Monthly Matrix'!$AB$4:$AB$76,2),'Monthly Matrix'!$AB$4:$AB$76,0)),"")</f>
        <v/>
      </c>
      <c r="F14" s="10">
        <f>IFERROR(INDEX('Monthly Matrix'!$V$4:$AA$76,MATCH(LARGE('Monthly Matrix'!$AB$4:$AB$76,2),'Monthly Matrix'!$AB$4:$AB$76,0)),"")</f>
        <v/>
      </c>
      <c r="G14" s="10">
        <f>IFERROR(INDEX('Monthly Matrix'!$J$4:$J$76,MATCH(LARGE('Monthly Matrix'!$AB$4:$AB$76,2),'Monthly Matrix'!$AB$4:$AB$76,0)),"")</f>
        <v/>
      </c>
      <c r="H14" s="10">
        <f>IFERROR(INDEX('Monthly Matrix'!$I$4:$I$76,MATCH(LARGE('Monthly Matrix'!$AB$4:$AB$76,2),'Monthly Matrix'!$AB$4:$AB$76,0)),"")</f>
        <v/>
      </c>
      <c r="I14" s="12">
        <f>IFERROR(INDEX('Monthly Matrix'!$N$4:$N$76,MATCH(LARGE('Monthly Matrix'!$AB$4:$AB$76,2),'Monthly Matrix'!$AB$4:$AB$76,0)),"")</f>
        <v/>
      </c>
      <c r="J14" s="10">
        <f>IFERROR(INDEX('Monthly Matrix'!$P$4:$P$76,MATCH(LARGE('Monthly Matrix'!$AB$4:$AB$76,2),'Monthly Matrix'!$AB$4:$AB$76,0)),"")</f>
        <v/>
      </c>
      <c r="K14" s="10">
        <f>IFERROR(INDEX('Monthly Matrix'!$AH$4:$AH$76,MATCH(LARGE('Monthly Matrix'!$AB$4:$AB$76,2),'Monthly Matrix'!$AB$4:$AB$76,0)),"")</f>
        <v/>
      </c>
      <c r="L14" s="13">
        <f>IFERROR(INDEX('Monthly Matrix'!$AI$4:$AI$76,MATCH(LARGE('Monthly Matrix'!$AB$4:$AB$76,2),'Monthly Matrix'!$AB$4:$AB$76,0))/K14,"")</f>
        <v/>
      </c>
      <c r="M14" s="10">
        <f>IFERROR(INDEX('Monthly Matrix'!$AF$4:$AF$76,MATCH(LARGE('Monthly Matrix'!$AB$4:$AB$76,2),'Monthly Matrix'!$AB$4:$AB$76,0)),"")</f>
        <v/>
      </c>
      <c r="N14" s="11" t="n"/>
    </row>
    <row r="15" ht="21.75" customHeight="1" s="146">
      <c r="A15" s="6" t="n">
        <v>3</v>
      </c>
      <c r="B15" s="7">
        <f>IFERROR(INDEX('Monthly Matrix'!$B$4:$B$76,MATCH(LARGE('Monthly Matrix'!$AB$4:$AB$76,3),'Monthly Matrix'!$AB$4:$AB$76,0)),"")</f>
        <v/>
      </c>
      <c r="C15" s="7">
        <f>IFERROR(INDEX('Monthly Matrix'!$C$4:$C$76,MATCH(LARGE('Monthly Matrix'!$AB$4:$AB$76,3),'Monthly Matrix'!$AB$4:$AB$76,0)),"")</f>
        <v/>
      </c>
      <c r="D15" s="7">
        <f>IFERROR(INDEX('Monthly Matrix'!$E$4:$E$76,MATCH(LARGE('Monthly Matrix'!$AB$4:$AB$76,3),'Monthly Matrix'!$AB$4:$AB$76,0)),"")</f>
        <v/>
      </c>
      <c r="E15" s="6">
        <f>IFERROR(INDEX('Monthly Matrix'!$T$4:$T$76,MATCH(LARGE('Monthly Matrix'!$AB$4:$AB$76,3),'Monthly Matrix'!$AB$4:$AB$76,0)),"")</f>
        <v/>
      </c>
      <c r="F15" s="6">
        <f>IFERROR(INDEX('Monthly Matrix'!$V$4:$AA$76,MATCH(LARGE('Monthly Matrix'!$AB$4:$AB$76,3),'Monthly Matrix'!$AB$4:$AB$76,0)),"")</f>
        <v/>
      </c>
      <c r="G15" s="6">
        <f>IFERROR(INDEX('Monthly Matrix'!$J$4:$J$76,MATCH(LARGE('Monthly Matrix'!$AB$4:$AB$76,3),'Monthly Matrix'!$AB$4:$AB$76,0)),"")</f>
        <v/>
      </c>
      <c r="H15" s="6">
        <f>IFERROR(INDEX('Monthly Matrix'!$I$4:$I$76,MATCH(LARGE('Monthly Matrix'!$AB$4:$AB$76,3),'Monthly Matrix'!$AB$4:$AB$76,0)),"")</f>
        <v/>
      </c>
      <c r="I15" s="8">
        <f>IFERROR(INDEX('Monthly Matrix'!$N$4:$N$76,MATCH(LARGE('Monthly Matrix'!$AB$4:$AB$76,3),'Monthly Matrix'!$AB$4:$AB$76,0)),"")</f>
        <v/>
      </c>
      <c r="J15" s="6">
        <f>IFERROR(INDEX('Monthly Matrix'!$P$4:$P$76,MATCH(LARGE('Monthly Matrix'!$AB$4:$AB$76,3),'Monthly Matrix'!$AB$4:$AB$76,0)),"")</f>
        <v/>
      </c>
      <c r="K15" s="6">
        <f>IFERROR(INDEX('Monthly Matrix'!$AH$4:$AH$76,MATCH(LARGE('Monthly Matrix'!$AB$4:$AB$76,3),'Monthly Matrix'!$AB$4:$AB$76,0)),"")</f>
        <v/>
      </c>
      <c r="L15" s="9">
        <f>IFERROR(INDEX('Monthly Matrix'!$AI$4:$AI$76,MATCH(LARGE('Monthly Matrix'!$AB$4:$AB$76,3),'Monthly Matrix'!$AB$4:$AB$76,0))/K15,"")</f>
        <v/>
      </c>
      <c r="M15" s="6">
        <f>IFERROR(INDEX('Monthly Matrix'!$AF$4:$AF$76,MATCH(LARGE('Monthly Matrix'!$AB$4:$AB$76,3),'Monthly Matrix'!$AB$4:$AB$76,0)),"")</f>
        <v/>
      </c>
      <c r="N15" s="7" t="n"/>
    </row>
    <row r="16" ht="21.75" customHeight="1" s="146">
      <c r="A16" s="10" t="n">
        <v>4</v>
      </c>
      <c r="B16" s="11">
        <f>IFERROR(INDEX('Monthly Matrix'!$B$4:$B$76,MATCH(LARGE('Monthly Matrix'!$AB$4:$AB$76,4),'Monthly Matrix'!$AB$4:$AB$76,0)),"")</f>
        <v/>
      </c>
      <c r="C16" s="11">
        <f>IFERROR(INDEX('Monthly Matrix'!$C$4:$C$76,MATCH(LARGE('Monthly Matrix'!$AB$4:$AB$76,4),'Monthly Matrix'!$AB$4:$AB$76,0)),"")</f>
        <v/>
      </c>
      <c r="D16" s="11">
        <f>IFERROR(INDEX('Monthly Matrix'!$E$4:$E$76,MATCH(LARGE('Monthly Matrix'!$AB$4:$AB$76,4),'Monthly Matrix'!$AB$4:$AB$76,0)),"")</f>
        <v/>
      </c>
      <c r="E16" s="10">
        <f>IFERROR(INDEX('Monthly Matrix'!$T$4:$T$76,MATCH(LARGE('Monthly Matrix'!$AB$4:$AB$76,4),'Monthly Matrix'!$AB$4:$AB$76,0)),"")</f>
        <v/>
      </c>
      <c r="F16" s="10">
        <f>IFERROR(INDEX('Monthly Matrix'!$V$4:$AA$76,MATCH(LARGE('Monthly Matrix'!$AB$4:$AB$76,4),'Monthly Matrix'!$AB$4:$AB$76,0)),"")</f>
        <v/>
      </c>
      <c r="G16" s="10">
        <f>IFERROR(INDEX('Monthly Matrix'!$J$4:$J$76,MATCH(LARGE('Monthly Matrix'!$AB$4:$AB$76,4),'Monthly Matrix'!$AB$4:$AB$76,0)),"")</f>
        <v/>
      </c>
      <c r="H16" s="10">
        <f>IFERROR(INDEX('Monthly Matrix'!$I$4:$I$76,MATCH(LARGE('Monthly Matrix'!$AB$4:$AB$76,4),'Monthly Matrix'!$AB$4:$AB$76,0)),"")</f>
        <v/>
      </c>
      <c r="I16" s="12">
        <f>IFERROR(INDEX('Monthly Matrix'!$N$4:$N$76,MATCH(LARGE('Monthly Matrix'!$AB$4:$AB$76,4),'Monthly Matrix'!$AB$4:$AB$76,0)),"")</f>
        <v/>
      </c>
      <c r="J16" s="10">
        <f>IFERROR(INDEX('Monthly Matrix'!$P$4:$P$76,MATCH(LARGE('Monthly Matrix'!$AB$4:$AB$76,4),'Monthly Matrix'!$AB$4:$AB$76,0)),"")</f>
        <v/>
      </c>
      <c r="K16" s="10">
        <f>IFERROR(INDEX('Monthly Matrix'!$AH$4:$AH$76,MATCH(LARGE('Monthly Matrix'!$AB$4:$AB$76,4),'Monthly Matrix'!$AB$4:$AB$76,0)),"")</f>
        <v/>
      </c>
      <c r="L16" s="13">
        <f>IFERROR(INDEX('Monthly Matrix'!$AI$4:$AI$76,MATCH(LARGE('Monthly Matrix'!$AB$4:$AB$76,4),'Monthly Matrix'!$AB$4:$AB$76,0))/K16,"")</f>
        <v/>
      </c>
      <c r="M16" s="10">
        <f>IFERROR(INDEX('Monthly Matrix'!$AF$4:$AF$76,MATCH(LARGE('Monthly Matrix'!$AB$4:$AB$76,4),'Monthly Matrix'!$AB$4:$AB$76,0)),"")</f>
        <v/>
      </c>
      <c r="N16" s="11" t="n"/>
    </row>
    <row r="17" ht="21.75" customHeight="1" s="146">
      <c r="A17" s="6" t="n">
        <v>5</v>
      </c>
      <c r="B17" s="7">
        <f>IFERROR(INDEX('Monthly Matrix'!$B$4:$B$76,MATCH(LARGE('Monthly Matrix'!$AB$4:$AB$76,5),'Monthly Matrix'!$AB$4:$AB$76,0)),"")</f>
        <v/>
      </c>
      <c r="C17" s="7">
        <f>IFERROR(INDEX('Monthly Matrix'!$C$4:$C$76,MATCH(LARGE('Monthly Matrix'!$AB$4:$AB$76,5),'Monthly Matrix'!$AB$4:$AB$76,0)),"")</f>
        <v/>
      </c>
      <c r="D17" s="7">
        <f>IFERROR(INDEX('Monthly Matrix'!$E$4:$E$76,MATCH(LARGE('Monthly Matrix'!$AB$4:$AB$76,5),'Monthly Matrix'!$AB$4:$AB$76,0)),"")</f>
        <v/>
      </c>
      <c r="E17" s="6">
        <f>IFERROR(INDEX('Monthly Matrix'!$T$4:$T$76,MATCH(LARGE('Monthly Matrix'!$AB$4:$AB$76,5),'Monthly Matrix'!$AB$4:$AB$76,0)),"")</f>
        <v/>
      </c>
      <c r="F17" s="6">
        <f>IFERROR(INDEX('Monthly Matrix'!$V$4:$AA$76,MATCH(LARGE('Monthly Matrix'!$AB$4:$AB$76,5),'Monthly Matrix'!$AB$4:$AB$76,0)),"")</f>
        <v/>
      </c>
      <c r="G17" s="6">
        <f>IFERROR(INDEX('Monthly Matrix'!$J$4:$J$76,MATCH(LARGE('Monthly Matrix'!$AB$4:$AB$76,5),'Monthly Matrix'!$AB$4:$AB$76,0)),"")</f>
        <v/>
      </c>
      <c r="H17" s="6">
        <f>IFERROR(INDEX('Monthly Matrix'!$I$4:$I$76,MATCH(LARGE('Monthly Matrix'!$AB$4:$AB$76,5),'Monthly Matrix'!$AB$4:$AB$76,0)),"")</f>
        <v/>
      </c>
      <c r="I17" s="8">
        <f>IFERROR(INDEX('Monthly Matrix'!$N$4:$N$76,MATCH(LARGE('Monthly Matrix'!$AB$4:$AB$76,5),'Monthly Matrix'!$AB$4:$AB$76,0)),"")</f>
        <v/>
      </c>
      <c r="J17" s="6">
        <f>IFERROR(INDEX('Monthly Matrix'!$P$4:$P$76,MATCH(LARGE('Monthly Matrix'!$AB$4:$AB$76,5),'Monthly Matrix'!$AB$4:$AB$76,0)),"")</f>
        <v/>
      </c>
      <c r="K17" s="6">
        <f>IFERROR(INDEX('Monthly Matrix'!$AH$4:$AH$76,MATCH(LARGE('Monthly Matrix'!$AB$4:$AB$76,5),'Monthly Matrix'!$AB$4:$AB$76,0)),"")</f>
        <v/>
      </c>
      <c r="L17" s="9">
        <f>IFERROR(INDEX('Monthly Matrix'!$AI$4:$AI$76,MATCH(LARGE('Monthly Matrix'!$AB$4:$AB$76,5),'Monthly Matrix'!$AB$4:$AB$76,0))/K17,"")</f>
        <v/>
      </c>
      <c r="M17" s="6">
        <f>IFERROR(INDEX('Monthly Matrix'!$AF$4:$AF$76,MATCH(LARGE('Monthly Matrix'!$AB$4:$AB$76,5),'Monthly Matrix'!$AB$4:$AB$76,0)),"")</f>
        <v/>
      </c>
      <c r="N17" s="7" t="n"/>
    </row>
    <row r="18" ht="21.75" customHeight="1" s="146">
      <c r="A18" s="10" t="n">
        <v>6</v>
      </c>
      <c r="B18" s="11">
        <f>IFERROR(INDEX('Monthly Matrix'!$B$4:$B$76,MATCH(LARGE('Monthly Matrix'!$AB$4:$AB$76,6),'Monthly Matrix'!$AB$4:$AB$76,0)),"")</f>
        <v/>
      </c>
      <c r="C18" s="11">
        <f>IFERROR(INDEX('Monthly Matrix'!$C$4:$C$76,MATCH(LARGE('Monthly Matrix'!$AB$4:$AB$76,6),'Monthly Matrix'!$AB$4:$AB$76,0)),"")</f>
        <v/>
      </c>
      <c r="D18" s="11">
        <f>IFERROR(INDEX('Monthly Matrix'!$E$4:$E$76,MATCH(LARGE('Monthly Matrix'!$AB$4:$AB$76,6),'Monthly Matrix'!$AB$4:$AB$76,0)),"")</f>
        <v/>
      </c>
      <c r="E18" s="10">
        <f>IFERROR(INDEX('Monthly Matrix'!$T$4:$T$76,MATCH(LARGE('Monthly Matrix'!$AB$4:$AB$76,6),'Monthly Matrix'!$AB$4:$AB$76,0)),"")</f>
        <v/>
      </c>
      <c r="F18" s="10">
        <f>IFERROR(INDEX('Monthly Matrix'!$V$4:$AA$76,MATCH(LARGE('Monthly Matrix'!$AB$4:$AB$76,6),'Monthly Matrix'!$AB$4:$AB$76,0)),"")</f>
        <v/>
      </c>
      <c r="G18" s="10">
        <f>IFERROR(INDEX('Monthly Matrix'!$J$4:$J$76,MATCH(LARGE('Monthly Matrix'!$AB$4:$AB$76,6),'Monthly Matrix'!$AB$4:$AB$76,0)),"")</f>
        <v/>
      </c>
      <c r="H18" s="10">
        <f>IFERROR(INDEX('Monthly Matrix'!$I$4:$I$76,MATCH(LARGE('Monthly Matrix'!$AB$4:$AB$76,6),'Monthly Matrix'!$AB$4:$AB$76,0)),"")</f>
        <v/>
      </c>
      <c r="I18" s="12">
        <f>IFERROR(INDEX('Monthly Matrix'!$N$4:$N$76,MATCH(LARGE('Monthly Matrix'!$AB$4:$AB$76,6),'Monthly Matrix'!$AB$4:$AB$76,0)),"")</f>
        <v/>
      </c>
      <c r="J18" s="10">
        <f>IFERROR(INDEX('Monthly Matrix'!$P$4:$P$76,MATCH(LARGE('Monthly Matrix'!$AB$4:$AB$76,6),'Monthly Matrix'!$AB$4:$AB$76,0)),"")</f>
        <v/>
      </c>
      <c r="K18" s="10">
        <f>IFERROR(INDEX('Monthly Matrix'!$AH$4:$AH$76,MATCH(LARGE('Monthly Matrix'!$AB$4:$AB$76,6),'Monthly Matrix'!$AB$4:$AB$76,0)),"")</f>
        <v/>
      </c>
      <c r="L18" s="13">
        <f>IFERROR(INDEX('Monthly Matrix'!$AI$4:$AI$76,MATCH(LARGE('Monthly Matrix'!$AB$4:$AB$76,6),'Monthly Matrix'!$AB$4:$AB$76,0))/K18,"")</f>
        <v/>
      </c>
      <c r="M18" s="10">
        <f>IFERROR(INDEX('Monthly Matrix'!$AF$4:$AF$76,MATCH(LARGE('Monthly Matrix'!$AB$4:$AB$76,6),'Monthly Matrix'!$AB$4:$AB$76,0)),"")</f>
        <v/>
      </c>
      <c r="N18" s="11" t="n"/>
    </row>
    <row r="19" ht="21.75" customHeight="1" s="146">
      <c r="A19" s="6" t="n">
        <v>7</v>
      </c>
      <c r="B19" s="7">
        <f>IFERROR(INDEX('Monthly Matrix'!$B$4:$B$76,MATCH(LARGE('Monthly Matrix'!$AB$4:$AB$76,7),'Monthly Matrix'!$AB$4:$AB$76,0)),"")</f>
        <v/>
      </c>
      <c r="C19" s="7">
        <f>IFERROR(INDEX('Monthly Matrix'!$C$4:$C$76,MATCH(LARGE('Monthly Matrix'!$AB$4:$AB$76,7),'Monthly Matrix'!$AB$4:$AB$76,0)),"")</f>
        <v/>
      </c>
      <c r="D19" s="7">
        <f>IFERROR(INDEX('Monthly Matrix'!$E$4:$E$76,MATCH(LARGE('Monthly Matrix'!$AB$4:$AB$76,7),'Monthly Matrix'!$AB$4:$AB$76,0)),"")</f>
        <v/>
      </c>
      <c r="E19" s="6">
        <f>IFERROR(INDEX('Monthly Matrix'!$T$4:$T$76,MATCH(LARGE('Monthly Matrix'!$AB$4:$AB$76,7),'Monthly Matrix'!$AB$4:$AB$76,0)),"")</f>
        <v/>
      </c>
      <c r="F19" s="6">
        <f>IFERROR(INDEX('Monthly Matrix'!$V$4:$AA$76,MATCH(LARGE('Monthly Matrix'!$AB$4:$AB$76,7),'Monthly Matrix'!$AB$4:$AB$76,0)),"")</f>
        <v/>
      </c>
      <c r="G19" s="6">
        <f>IFERROR(INDEX('Monthly Matrix'!$J$4:$J$76,MATCH(LARGE('Monthly Matrix'!$AB$4:$AB$76,7),'Monthly Matrix'!$AB$4:$AB$76,0)),"")</f>
        <v/>
      </c>
      <c r="H19" s="6">
        <f>IFERROR(INDEX('Monthly Matrix'!$I$4:$I$76,MATCH(LARGE('Monthly Matrix'!$AB$4:$AB$76,7),'Monthly Matrix'!$AB$4:$AB$76,0)),"")</f>
        <v/>
      </c>
      <c r="I19" s="8">
        <f>IFERROR(INDEX('Monthly Matrix'!$N$4:$N$76,MATCH(LARGE('Monthly Matrix'!$AB$4:$AB$76,7),'Monthly Matrix'!$AB$4:$AB$76,0)),"")</f>
        <v/>
      </c>
      <c r="J19" s="6">
        <f>IFERROR(INDEX('Monthly Matrix'!$P$4:$P$76,MATCH(LARGE('Monthly Matrix'!$AB$4:$AB$76,7),'Monthly Matrix'!$AB$4:$AB$76,0)),"")</f>
        <v/>
      </c>
      <c r="K19" s="6">
        <f>IFERROR(INDEX('Monthly Matrix'!$AH$4:$AH$76,MATCH(LARGE('Monthly Matrix'!$AB$4:$AB$76,7),'Monthly Matrix'!$AB$4:$AB$76,0)),"")</f>
        <v/>
      </c>
      <c r="L19" s="9">
        <f>IFERROR(INDEX('Monthly Matrix'!$AI$4:$AI$76,MATCH(LARGE('Monthly Matrix'!$AB$4:$AB$76,7),'Monthly Matrix'!$AB$4:$AB$76,0))/K19,"")</f>
        <v/>
      </c>
      <c r="M19" s="6">
        <f>IFERROR(INDEX('Monthly Matrix'!$AF$4:$AF$76,MATCH(LARGE('Monthly Matrix'!$AB$4:$AB$76,7),'Monthly Matrix'!$AB$4:$AB$76,0)),"")</f>
        <v/>
      </c>
      <c r="N19" s="7" t="n"/>
    </row>
    <row r="20" ht="21.75" customHeight="1" s="146">
      <c r="A20" s="10" t="n">
        <v>8</v>
      </c>
      <c r="B20" s="11">
        <f>IFERROR(INDEX('Monthly Matrix'!$B$4:$B$76,MATCH(LARGE('Monthly Matrix'!$AB$4:$AB$76,8),'Monthly Matrix'!$AB$4:$AB$76,0)),"")</f>
        <v/>
      </c>
      <c r="C20" s="11">
        <f>IFERROR(INDEX('Monthly Matrix'!$C$4:$C$76,MATCH(LARGE('Monthly Matrix'!$AB$4:$AB$76,8),'Monthly Matrix'!$AB$4:$AB$76,0)),"")</f>
        <v/>
      </c>
      <c r="D20" s="11">
        <f>IFERROR(INDEX('Monthly Matrix'!$E$4:$E$76,MATCH(LARGE('Monthly Matrix'!$AB$4:$AB$76,8),'Monthly Matrix'!$AB$4:$AB$76,0)),"")</f>
        <v/>
      </c>
      <c r="E20" s="10">
        <f>IFERROR(INDEX('Monthly Matrix'!$T$4:$T$76,MATCH(LARGE('Monthly Matrix'!$AB$4:$AB$76,8),'Monthly Matrix'!$AB$4:$AB$76,0)),"")</f>
        <v/>
      </c>
      <c r="F20" s="10">
        <f>IFERROR(INDEX('Monthly Matrix'!$V$4:$AA$76,MATCH(LARGE('Monthly Matrix'!$AB$4:$AB$76,8),'Monthly Matrix'!$AB$4:$AB$76,0)),"")</f>
        <v/>
      </c>
      <c r="G20" s="10">
        <f>IFERROR(INDEX('Monthly Matrix'!$J$4:$J$76,MATCH(LARGE('Monthly Matrix'!$AB$4:$AB$76,8),'Monthly Matrix'!$AB$4:$AB$76,0)),"")</f>
        <v/>
      </c>
      <c r="H20" s="10">
        <f>IFERROR(INDEX('Monthly Matrix'!$I$4:$I$76,MATCH(LARGE('Monthly Matrix'!$AB$4:$AB$76,8),'Monthly Matrix'!$AB$4:$AB$76,0)),"")</f>
        <v/>
      </c>
      <c r="I20" s="12">
        <f>IFERROR(INDEX('Monthly Matrix'!$N$4:$N$76,MATCH(LARGE('Monthly Matrix'!$AB$4:$AB$76,8),'Monthly Matrix'!$AB$4:$AB$76,0)),"")</f>
        <v/>
      </c>
      <c r="J20" s="10">
        <f>IFERROR(INDEX('Monthly Matrix'!$P$4:$P$76,MATCH(LARGE('Monthly Matrix'!$AB$4:$AB$76,8),'Monthly Matrix'!$AB$4:$AB$76,0)),"")</f>
        <v/>
      </c>
      <c r="K20" s="10">
        <f>IFERROR(INDEX('Monthly Matrix'!$AH$4:$AH$76,MATCH(LARGE('Monthly Matrix'!$AB$4:$AB$76,8),'Monthly Matrix'!$AB$4:$AB$76,0)),"")</f>
        <v/>
      </c>
      <c r="L20" s="13">
        <f>IFERROR(INDEX('Monthly Matrix'!$AI$4:$AI$76,MATCH(LARGE('Monthly Matrix'!$AB$4:$AB$76,8),'Monthly Matrix'!$AB$4:$AB$76,0))/K20,"")</f>
        <v/>
      </c>
      <c r="M20" s="10">
        <f>IFERROR(INDEX('Monthly Matrix'!$AF$4:$AF$76,MATCH(LARGE('Monthly Matrix'!$AB$4:$AB$76,8),'Monthly Matrix'!$AB$4:$AB$76,0)),"")</f>
        <v/>
      </c>
      <c r="N20" s="11" t="n"/>
    </row>
    <row r="21" ht="21.75" customHeight="1" s="146">
      <c r="A21" s="6" t="n">
        <v>9</v>
      </c>
      <c r="B21" s="7">
        <f>IFERROR(INDEX('Monthly Matrix'!$B$4:$B$76,MATCH(LARGE('Monthly Matrix'!$AB$4:$AB$76,9),'Monthly Matrix'!$AB$4:$AB$76,0)),"")</f>
        <v/>
      </c>
      <c r="C21" s="7">
        <f>IFERROR(INDEX('Monthly Matrix'!$C$4:$C$76,MATCH(LARGE('Monthly Matrix'!$AB$4:$AB$76,9),'Monthly Matrix'!$AB$4:$AB$76,0)),"")</f>
        <v/>
      </c>
      <c r="D21" s="7">
        <f>IFERROR(INDEX('Monthly Matrix'!$E$4:$E$76,MATCH(LARGE('Monthly Matrix'!$AB$4:$AB$76,9),'Monthly Matrix'!$AB$4:$AB$76,0)),"")</f>
        <v/>
      </c>
      <c r="E21" s="6">
        <f>IFERROR(INDEX('Monthly Matrix'!$T$4:$T$76,MATCH(LARGE('Monthly Matrix'!$AB$4:$AB$76,9),'Monthly Matrix'!$AB$4:$AB$76,0)),"")</f>
        <v/>
      </c>
      <c r="F21" s="6">
        <f>IFERROR(INDEX('Monthly Matrix'!$V$4:$AA$76,MATCH(LARGE('Monthly Matrix'!$AB$4:$AB$76,9),'Monthly Matrix'!$AB$4:$AB$76,0)),"")</f>
        <v/>
      </c>
      <c r="G21" s="6">
        <f>IFERROR(INDEX('Monthly Matrix'!$J$4:$J$76,MATCH(LARGE('Monthly Matrix'!$AB$4:$AB$76,9),'Monthly Matrix'!$AB$4:$AB$76,0)),"")</f>
        <v/>
      </c>
      <c r="H21" s="6">
        <f>IFERROR(INDEX('Monthly Matrix'!$I$4:$I$76,MATCH(LARGE('Monthly Matrix'!$AB$4:$AB$76,9),'Monthly Matrix'!$AB$4:$AB$76,0)),"")</f>
        <v/>
      </c>
      <c r="I21" s="8">
        <f>IFERROR(INDEX('Monthly Matrix'!$N$4:$N$76,MATCH(LARGE('Monthly Matrix'!$AB$4:$AB$76,9),'Monthly Matrix'!$AB$4:$AB$76,0)),"")</f>
        <v/>
      </c>
      <c r="J21" s="6">
        <f>IFERROR(INDEX('Monthly Matrix'!$P$4:$P$76,MATCH(LARGE('Monthly Matrix'!$AB$4:$AB$76,9),'Monthly Matrix'!$AB$4:$AB$76,0)),"")</f>
        <v/>
      </c>
      <c r="K21" s="6">
        <f>IFERROR(INDEX('Monthly Matrix'!$AH$4:$AH$76,MATCH(LARGE('Monthly Matrix'!$AB$4:$AB$76,9),'Monthly Matrix'!$AB$4:$AB$76,0)),"")</f>
        <v/>
      </c>
      <c r="L21" s="9">
        <f>IFERROR(INDEX('Monthly Matrix'!$AI$4:$AI$76,MATCH(LARGE('Monthly Matrix'!$AB$4:$AB$76,9),'Monthly Matrix'!$AB$4:$AB$76,0))/K21,"")</f>
        <v/>
      </c>
      <c r="M21" s="6">
        <f>IFERROR(INDEX('Monthly Matrix'!$AF$4:$AF$76,MATCH(LARGE('Monthly Matrix'!$AB$4:$AB$76,9),'Monthly Matrix'!$AB$4:$AB$76,0)),"")</f>
        <v/>
      </c>
      <c r="N21" s="7" t="n"/>
    </row>
    <row r="22" ht="21.75" customHeight="1" s="146">
      <c r="A22" s="10" t="n">
        <v>10</v>
      </c>
      <c r="B22" s="11">
        <f>IFERROR(INDEX('Monthly Matrix'!$B$4:$B$76,MATCH(LARGE('Monthly Matrix'!$AB$4:$AB$76,10),'Monthly Matrix'!$AB$4:$AB$76,0)),"")</f>
        <v/>
      </c>
      <c r="C22" s="11">
        <f>IFERROR(INDEX('Monthly Matrix'!$C$4:$C$76,MATCH(LARGE('Monthly Matrix'!$AB$4:$AB$76,10),'Monthly Matrix'!$AB$4:$AB$76,0)),"")</f>
        <v/>
      </c>
      <c r="D22" s="11">
        <f>IFERROR(INDEX('Monthly Matrix'!$E$4:$E$76,MATCH(LARGE('Monthly Matrix'!$AB$4:$AB$76,10),'Monthly Matrix'!$AB$4:$AB$76,0)),"")</f>
        <v/>
      </c>
      <c r="E22" s="10">
        <f>IFERROR(INDEX('Monthly Matrix'!$T$4:$T$76,MATCH(LARGE('Monthly Matrix'!$AB$4:$AB$76,10),'Monthly Matrix'!$AB$4:$AB$76,0)),"")</f>
        <v/>
      </c>
      <c r="F22" s="10">
        <f>IFERROR(INDEX('Monthly Matrix'!$V$4:$AA$76,MATCH(LARGE('Monthly Matrix'!$AB$4:$AB$76,10),'Monthly Matrix'!$AB$4:$AB$76,0)),"")</f>
        <v/>
      </c>
      <c r="G22" s="10">
        <f>IFERROR(INDEX('Monthly Matrix'!$J$4:$J$76,MATCH(LARGE('Monthly Matrix'!$AB$4:$AB$76,10),'Monthly Matrix'!$AB$4:$AB$76,0)),"")</f>
        <v/>
      </c>
      <c r="H22" s="10">
        <f>IFERROR(INDEX('Monthly Matrix'!$I$4:$I$76,MATCH(LARGE('Monthly Matrix'!$AB$4:$AB$76,10),'Monthly Matrix'!$AB$4:$AB$76,0)),"")</f>
        <v/>
      </c>
      <c r="I22" s="12">
        <f>IFERROR(INDEX('Monthly Matrix'!$N$4:$N$76,MATCH(LARGE('Monthly Matrix'!$AB$4:$AB$76,10),'Monthly Matrix'!$AB$4:$AB$76,0)),"")</f>
        <v/>
      </c>
      <c r="J22" s="10">
        <f>IFERROR(INDEX('Monthly Matrix'!$P$4:$P$76,MATCH(LARGE('Monthly Matrix'!$AB$4:$AB$76,10),'Monthly Matrix'!$AB$4:$AB$76,0)),"")</f>
        <v/>
      </c>
      <c r="K22" s="10">
        <f>IFERROR(INDEX('Monthly Matrix'!$AH$4:$AH$76,MATCH(LARGE('Monthly Matrix'!$AB$4:$AB$76,10),'Monthly Matrix'!$AB$4:$AB$76,0)),"")</f>
        <v/>
      </c>
      <c r="L22" s="13">
        <f>IFERROR(INDEX('Monthly Matrix'!$AI$4:$AI$76,MATCH(LARGE('Monthly Matrix'!$AB$4:$AB$76,10),'Monthly Matrix'!$AB$4:$AB$76,0))/K22,"")</f>
        <v/>
      </c>
      <c r="M22" s="10">
        <f>IFERROR(INDEX('Monthly Matrix'!$AF$4:$AF$76,MATCH(LARGE('Monthly Matrix'!$AB$4:$AB$76,10),'Monthly Matrix'!$AB$4:$AB$76,0)),"")</f>
        <v/>
      </c>
      <c r="N22" s="11" t="n"/>
    </row>
    <row r="24" ht="25.5" customHeight="1" s="146">
      <c r="A24" s="125" t="inlineStr">
        <is>
          <t>PORTFOLIO AVERAGES - KEY METRICS</t>
        </is>
      </c>
    </row>
    <row r="25" ht="25.5" customHeight="1" s="146">
      <c r="A25" s="4" t="inlineStr">
        <is>
          <t>Metric</t>
        </is>
      </c>
      <c r="B25" s="4" t="inlineStr">
        <is>
          <t>This Month</t>
        </is>
      </c>
      <c r="C25" s="4" t="inlineStr">
        <is>
          <t>Target</t>
        </is>
      </c>
      <c r="D25" s="4" t="inlineStr">
        <is>
          <t>Status</t>
        </is>
      </c>
    </row>
    <row r="26" ht="21.75" customHeight="1" s="146">
      <c r="A26" s="14" t="inlineStr">
        <is>
          <t>Amber alerts - total vs target</t>
        </is>
      </c>
      <c r="B26" s="15">
        <f>SUM('Monthly Matrix'!J4:J76)</f>
        <v/>
      </c>
      <c r="C26" s="8">
        <f>SUM('Monthly Matrix'!I4:I76)</f>
        <v/>
      </c>
      <c r="D26" s="16">
        <f>IF(B26&gt;=C26,"ON TARGET","BELOW TARGET")</f>
        <v/>
      </c>
    </row>
    <row r="27" ht="21.75" customHeight="1" s="146">
      <c r="A27" s="17" t="inlineStr">
        <is>
          <t>Skillko Compliance - portfolio avg %</t>
        </is>
      </c>
      <c r="B27" s="15">
        <f>IFERROR(ROUND(AVERAGEIF('Monthly Matrix'!N4:N76,"&gt;0"),1),0)</f>
        <v/>
      </c>
      <c r="C27" s="8" t="n">
        <v>95</v>
      </c>
      <c r="D27" s="16">
        <f>IF(B27&gt;=C27,"ON TARGET","BELOW TARGET")</f>
        <v/>
      </c>
    </row>
    <row r="28" ht="21.75" customHeight="1" s="146">
      <c r="A28" s="14" t="inlineStr">
        <is>
          <t>Post-Cut Quality - compliant pole rate %</t>
        </is>
      </c>
      <c r="B28" s="15">
        <f>IFERROR(ROUND(SUM('Monthly Matrix'!AD4:AD76)/SUM('Monthly Matrix'!AC4:AC76)*100,1),"-")</f>
        <v/>
      </c>
      <c r="C28" s="8" t="n">
        <v>95</v>
      </c>
      <c r="D28" s="16">
        <f>IF(ISNUMBER(B28),IF(B28&gt;=C28,"ON TARGET","BELOW TARGET"),"-")</f>
        <v/>
      </c>
    </row>
    <row r="29" ht="21.75" customHeight="1" s="146">
      <c r="A29" s="17" t="inlineStr">
        <is>
          <t>Post-Cut Quality - non-compliant poles total</t>
        </is>
      </c>
      <c r="B29" s="15">
        <f>SUM('Monthly Matrix'!P4:P76)</f>
        <v/>
      </c>
      <c r="C29" s="8" t="n">
        <v>0</v>
      </c>
      <c r="D29" s="16">
        <f>IF(B29=0,"ON TARGET","BELOW TARGET")</f>
        <v/>
      </c>
    </row>
    <row r="30" ht="21.75" customHeight="1" s="146">
      <c r="A30" s="18" t="inlineStr">
        <is>
          <t>HIGH risk teams</t>
        </is>
      </c>
      <c r="B30" s="19">
        <f>COUNTIF('Monthly Matrix'!AA4:AA76,"HIGH")</f>
        <v/>
      </c>
      <c r="C30" s="19" t="n">
        <v>0</v>
      </c>
      <c r="D30" s="20">
        <f>IF(B30=0,"ON TARGET","ACTION REQUIRED")</f>
        <v/>
      </c>
    </row>
    <row r="31" ht="21.75" customHeight="1" s="146">
      <c r="A31" s="17" t="inlineStr">
        <is>
          <t>Audit completion rate %</t>
        </is>
      </c>
      <c r="B31" s="15">
        <f>IFERROR(ROUND(COUNTIF('Audit Schedule'!J4:J76,"Completed")/MAX(1,COUNTA('Audit Schedule'!A4:A76))*100,1),"-")</f>
        <v/>
      </c>
      <c r="C31" s="6" t="n">
        <v>100</v>
      </c>
      <c r="D31" s="16">
        <f>IF(ISNUMBER(B31),IF(B31&gt;=80,"ON TARGET","BELOW TARGET"),"-")</f>
        <v/>
      </c>
    </row>
    <row r="32">
      <c r="A32" t="inlineStr">
        <is>
          <t>Portfolio avg composite score - this month</t>
        </is>
      </c>
      <c r="B32">
        <f>IFERROR(ROUND(SUMPRODUCT(('Monthly Matrix'!AA4:AA76&lt;&gt;"")*'Monthly Matrix'!T4:T76)/MAX(1,COUNTIF('Monthly Matrix'!AA4:AA76,"&lt;&gt;")),1),"-")</f>
        <v/>
      </c>
      <c r="C32" t="inlineStr">
        <is>
          <t>&gt; 3.25 (portfolio LOW risk)</t>
        </is>
      </c>
      <c r="D32">
        <f>IF(ISNUMBER(B32),IF(B32&gt;3.25,"ON TARGET","BELOW TARGET"),"-")</f>
        <v/>
      </c>
    </row>
    <row r="33" ht="19.5" customHeight="1" s="146">
      <c r="A33" s="131" t="inlineStr">
        <is>
          <t>GOVERNANCE
• HIGH risk: PM 3x site visits per week until LOW for 4 consecutive weeks
• Improvement plans due within 5 working days of month-end score
• Major events: immediate escalation - do not wait for month-end review</t>
        </is>
      </c>
      <c r="B33" s="132" t="n"/>
      <c r="C33" s="132" t="n"/>
      <c r="D33" s="132" t="n"/>
    </row>
    <row r="34" ht="19.5" customHeight="1" s="146">
      <c r="A34" s="133" t="n"/>
    </row>
    <row r="35" ht="19.5" customHeight="1" s="146">
      <c r="A35" s="133" t="n"/>
    </row>
    <row r="37" ht="21.75" customHeight="1" s="146">
      <c r="A37" s="135" t="inlineStr">
        <is>
          <t>TOP 10 LOWEST RISK TEAMS</t>
        </is>
      </c>
    </row>
    <row r="38" ht="31.5" customHeight="1" s="146">
      <c r="A38" s="21" t="inlineStr">
        <is>
          <t>Rank</t>
        </is>
      </c>
      <c r="B38" s="21" t="inlineStr">
        <is>
          <t>Team</t>
        </is>
      </c>
      <c r="C38" s="21" t="inlineStr">
        <is>
          <t>Contract</t>
        </is>
      </c>
      <c r="D38" s="21" t="inlineStr">
        <is>
          <t>SOM</t>
        </is>
      </c>
      <c r="E38" s="21" t="inlineStr">
        <is>
          <t>Score</t>
        </is>
      </c>
      <c r="F38" s="21" t="inlineStr">
        <is>
          <t>RAG</t>
        </is>
      </c>
      <c r="G38" s="21" t="inlineStr">
        <is>
          <t>Amber Count</t>
        </is>
      </c>
      <c r="H38" s="21" t="inlineStr">
        <is>
          <t>Amber Target</t>
        </is>
      </c>
      <c r="I38" s="21" t="inlineStr">
        <is>
          <t>Skillko %</t>
        </is>
      </c>
      <c r="J38" s="21" t="inlineStr">
        <is>
          <t>Quality Fails</t>
        </is>
      </c>
      <c r="K38" s="21" t="inlineStr">
        <is>
          <t>Checks Assessed</t>
        </is>
      </c>
      <c r="L38" s="21" t="inlineStr">
        <is>
          <t>Compliant
Checks</t>
        </is>
      </c>
      <c r="M38" s="21" t="inlineStr">
        <is>
          <t>Plan?</t>
        </is>
      </c>
      <c r="N38" s="22" t="n"/>
    </row>
    <row r="39" ht="21.75" customHeight="1" s="146">
      <c r="A39" s="23" t="n">
        <v>1</v>
      </c>
      <c r="B39" s="24">
        <f>IFERROR(INDEX('Monthly Matrix'!$B$4:$B$76,MATCH(SMALL('Monthly Matrix'!$AH$4:$AH$76,1),'Monthly Matrix'!$AH$4:$AH$76,0)),"")</f>
        <v/>
      </c>
      <c r="C39" s="24">
        <f>IFERROR(INDEX('Monthly Matrix'!$C$4:$C$76,MATCH(SMALL('Monthly Matrix'!$AH$4:$AH$76,1),'Monthly Matrix'!$AH$4:$AH$76,0)),"")</f>
        <v/>
      </c>
      <c r="D39" s="24">
        <f>IFERROR(INDEX('Monthly Matrix'!$E$4:$E$76,MATCH(SMALL('Monthly Matrix'!$AH$4:$AH$76,1),'Monthly Matrix'!$AH$4:$AH$76,0)),"")</f>
        <v/>
      </c>
      <c r="E39" s="24">
        <f>IFERROR(INDEX('Monthly Matrix'!$T$4:$T$76,MATCH(SMALL('Monthly Matrix'!$AH$4:$AH$76,1),'Monthly Matrix'!$AH$4:$AH$76,0)),"")</f>
        <v/>
      </c>
      <c r="F39" s="24">
        <f>IFERROR(INDEX('Monthly Matrix'!$V$4:$AA$76,MATCH(SMALL('Monthly Matrix'!$AH$4:$AH$76,1),'Monthly Matrix'!$AH$4:$AH$76,0)),"")</f>
        <v/>
      </c>
      <c r="G39" s="24">
        <f>IFERROR(INDEX('Monthly Matrix'!$J$4:$J$76,MATCH(SMALL('Monthly Matrix'!$AH$4:$AH$76,1),'Monthly Matrix'!$AH$4:$AH$76,0)),"")</f>
        <v/>
      </c>
      <c r="H39" s="24">
        <f>IFERROR(INDEX('Monthly Matrix'!$I$4:$I$76,MATCH(SMALL('Monthly Matrix'!$AH$4:$AH$76,1),'Monthly Matrix'!$AH$4:$AH$76,0)),"")</f>
        <v/>
      </c>
      <c r="I39" s="25">
        <f>IFERROR(INDEX('Monthly Matrix'!$N$4:$N$76,MATCH(SMALL('Monthly Matrix'!$AH$4:$AH$76,1),'Monthly Matrix'!$AH$4:$AH$76,0)),"")</f>
        <v/>
      </c>
      <c r="J39" s="24">
        <f>IFERROR(INDEX('Monthly Matrix'!$P$4:$P$76,MATCH(SMALL('Monthly Matrix'!$AH$4:$AH$76,1),'Monthly Matrix'!$AH$4:$AH$76,0)),"")</f>
        <v/>
      </c>
      <c r="K39" s="24">
        <f>IFERROR(INDEX('Monthly Matrix'!$AH$4:$AH$76,MATCH(SMALL('Monthly Matrix'!$AH$4:$AH$76,1),'Monthly Matrix'!$AH$4:$AH$76,0)),"")</f>
        <v/>
      </c>
      <c r="L39" s="26">
        <f>IFERROR(INDEX('Monthly Matrix'!$AI$4:$AI$76,MATCH(SMALL('Monthly Matrix'!$AH$4:$AH$76,1),'Monthly Matrix'!$AH$4:$AH$76,0))/K39,"")</f>
        <v/>
      </c>
      <c r="M39" s="24">
        <f>IFERROR(INDEX('Monthly Matrix'!$AF$4:$AF$76,MATCH(SMALL('Monthly Matrix'!$AH$4:$AH$76,1),'Monthly Matrix'!$AH$4:$AH$76,0)),"")</f>
        <v/>
      </c>
    </row>
    <row r="40" ht="21.75" customHeight="1" s="146">
      <c r="A40" s="23" t="n">
        <v>2</v>
      </c>
      <c r="B40" s="24">
        <f>IFERROR(INDEX('Monthly Matrix'!$B$4:$B$76,MATCH(SMALL('Monthly Matrix'!$AH$4:$AH$76,2),'Monthly Matrix'!$AH$4:$AH$76,0)),"")</f>
        <v/>
      </c>
      <c r="C40" s="24">
        <f>IFERROR(INDEX('Monthly Matrix'!$C$4:$C$76,MATCH(SMALL('Monthly Matrix'!$AH$4:$AH$76,2),'Monthly Matrix'!$AH$4:$AH$76,0)),"")</f>
        <v/>
      </c>
      <c r="D40" s="24">
        <f>IFERROR(INDEX('Monthly Matrix'!$E$4:$E$76,MATCH(SMALL('Monthly Matrix'!$AH$4:$AH$76,2),'Monthly Matrix'!$AH$4:$AH$76,0)),"")</f>
        <v/>
      </c>
      <c r="E40" s="24">
        <f>IFERROR(INDEX('Monthly Matrix'!$T$4:$T$76,MATCH(SMALL('Monthly Matrix'!$AH$4:$AH$76,2),'Monthly Matrix'!$AH$4:$AH$76,0)),"")</f>
        <v/>
      </c>
      <c r="F40" s="24">
        <f>IFERROR(INDEX('Monthly Matrix'!$V$4:$AA$76,MATCH(SMALL('Monthly Matrix'!$AH$4:$AH$76,2),'Monthly Matrix'!$AH$4:$AH$76,0)),"")</f>
        <v/>
      </c>
      <c r="G40" s="24">
        <f>IFERROR(INDEX('Monthly Matrix'!$J$4:$J$76,MATCH(SMALL('Monthly Matrix'!$AH$4:$AH$76,2),'Monthly Matrix'!$AH$4:$AH$76,0)),"")</f>
        <v/>
      </c>
      <c r="H40" s="24">
        <f>IFERROR(INDEX('Monthly Matrix'!$I$4:$I$76,MATCH(SMALL('Monthly Matrix'!$AH$4:$AH$76,2),'Monthly Matrix'!$AH$4:$AH$76,0)),"")</f>
        <v/>
      </c>
      <c r="I40" s="25">
        <f>IFERROR(INDEX('Monthly Matrix'!$N$4:$N$76,MATCH(SMALL('Monthly Matrix'!$AH$4:$AH$76,2),'Monthly Matrix'!$AH$4:$AH$76,0)),"")</f>
        <v/>
      </c>
      <c r="J40" s="24">
        <f>IFERROR(INDEX('Monthly Matrix'!$P$4:$P$76,MATCH(SMALL('Monthly Matrix'!$AH$4:$AH$76,2),'Monthly Matrix'!$AH$4:$AH$76,0)),"")</f>
        <v/>
      </c>
      <c r="K40" s="24">
        <f>IFERROR(INDEX('Monthly Matrix'!$AH$4:$AH$76,MATCH(SMALL('Monthly Matrix'!$AH$4:$AH$76,2),'Monthly Matrix'!$AH$4:$AH$76,0)),"")</f>
        <v/>
      </c>
      <c r="L40" s="26">
        <f>IFERROR(INDEX('Monthly Matrix'!$AI$4:$AI$76,MATCH(SMALL('Monthly Matrix'!$AH$4:$AH$76,2),'Monthly Matrix'!$AH$4:$AH$76,0))/K40,"")</f>
        <v/>
      </c>
      <c r="M40" s="24">
        <f>IFERROR(INDEX('Monthly Matrix'!$AF$4:$AF$76,MATCH(SMALL('Monthly Matrix'!$AH$4:$AH$76,2),'Monthly Matrix'!$AH$4:$AH$76,0)),"")</f>
        <v/>
      </c>
    </row>
    <row r="41" ht="21.75" customHeight="1" s="146">
      <c r="A41" s="23" t="n">
        <v>3</v>
      </c>
      <c r="B41" s="24">
        <f>IFERROR(INDEX('Monthly Matrix'!$B$4:$B$76,MATCH(SMALL('Monthly Matrix'!$AH$4:$AH$76,3),'Monthly Matrix'!$AH$4:$AH$76,0)),"")</f>
        <v/>
      </c>
      <c r="C41" s="24">
        <f>IFERROR(INDEX('Monthly Matrix'!$C$4:$C$76,MATCH(SMALL('Monthly Matrix'!$AH$4:$AH$76,3),'Monthly Matrix'!$AH$4:$AH$76,0)),"")</f>
        <v/>
      </c>
      <c r="D41" s="24">
        <f>IFERROR(INDEX('Monthly Matrix'!$E$4:$E$76,MATCH(SMALL('Monthly Matrix'!$AH$4:$AH$76,3),'Monthly Matrix'!$AH$4:$AH$76,0)),"")</f>
        <v/>
      </c>
      <c r="E41" s="24">
        <f>IFERROR(INDEX('Monthly Matrix'!$T$4:$T$76,MATCH(SMALL('Monthly Matrix'!$AH$4:$AH$76,3),'Monthly Matrix'!$AH$4:$AH$76,0)),"")</f>
        <v/>
      </c>
      <c r="F41" s="24">
        <f>IFERROR(INDEX('Monthly Matrix'!$V$4:$AA$76,MATCH(SMALL('Monthly Matrix'!$AH$4:$AH$76,3),'Monthly Matrix'!$AH$4:$AH$76,0)),"")</f>
        <v/>
      </c>
      <c r="G41" s="24">
        <f>IFERROR(INDEX('Monthly Matrix'!$J$4:$J$76,MATCH(SMALL('Monthly Matrix'!$AH$4:$AH$76,3),'Monthly Matrix'!$AH$4:$AH$76,0)),"")</f>
        <v/>
      </c>
      <c r="H41" s="24">
        <f>IFERROR(INDEX('Monthly Matrix'!$I$4:$I$76,MATCH(SMALL('Monthly Matrix'!$AH$4:$AH$76,3),'Monthly Matrix'!$AH$4:$AH$76,0)),"")</f>
        <v/>
      </c>
      <c r="I41" s="25">
        <f>IFERROR(INDEX('Monthly Matrix'!$N$4:$N$76,MATCH(SMALL('Monthly Matrix'!$AH$4:$AH$76,3),'Monthly Matrix'!$AH$4:$AH$76,0)),"")</f>
        <v/>
      </c>
      <c r="J41" s="24">
        <f>IFERROR(INDEX('Monthly Matrix'!$P$4:$P$76,MATCH(SMALL('Monthly Matrix'!$AH$4:$AH$76,3),'Monthly Matrix'!$AH$4:$AH$76,0)),"")</f>
        <v/>
      </c>
      <c r="K41" s="24">
        <f>IFERROR(INDEX('Monthly Matrix'!$AH$4:$AH$76,MATCH(SMALL('Monthly Matrix'!$AH$4:$AH$76,3),'Monthly Matrix'!$AH$4:$AH$76,0)),"")</f>
        <v/>
      </c>
      <c r="L41" s="26">
        <f>IFERROR(INDEX('Monthly Matrix'!$AI$4:$AI$76,MATCH(SMALL('Monthly Matrix'!$AH$4:$AH$76,3),'Monthly Matrix'!$AH$4:$AH$76,0))/K41,"")</f>
        <v/>
      </c>
      <c r="M41" s="24">
        <f>IFERROR(INDEX('Monthly Matrix'!$AF$4:$AF$76,MATCH(SMALL('Monthly Matrix'!$AH$4:$AH$76,3),'Monthly Matrix'!$AH$4:$AH$76,0)),"")</f>
        <v/>
      </c>
    </row>
    <row r="42" ht="21.75" customHeight="1" s="146">
      <c r="A42" s="23" t="n">
        <v>4</v>
      </c>
      <c r="B42" s="24">
        <f>IFERROR(INDEX('Monthly Matrix'!$B$4:$B$76,MATCH(SMALL('Monthly Matrix'!$AH$4:$AH$76,4),'Monthly Matrix'!$AH$4:$AH$76,0)),"")</f>
        <v/>
      </c>
      <c r="C42" s="24">
        <f>IFERROR(INDEX('Monthly Matrix'!$C$4:$C$76,MATCH(SMALL('Monthly Matrix'!$AH$4:$AH$76,4),'Monthly Matrix'!$AH$4:$AH$76,0)),"")</f>
        <v/>
      </c>
      <c r="D42" s="24">
        <f>IFERROR(INDEX('Monthly Matrix'!$E$4:$E$76,MATCH(SMALL('Monthly Matrix'!$AH$4:$AH$76,4),'Monthly Matrix'!$AH$4:$AH$76,0)),"")</f>
        <v/>
      </c>
      <c r="E42" s="24">
        <f>IFERROR(INDEX('Monthly Matrix'!$T$4:$T$76,MATCH(SMALL('Monthly Matrix'!$AH$4:$AH$76,4),'Monthly Matrix'!$AH$4:$AH$76,0)),"")</f>
        <v/>
      </c>
      <c r="F42" s="24">
        <f>IFERROR(INDEX('Monthly Matrix'!$V$4:$AA$76,MATCH(SMALL('Monthly Matrix'!$AH$4:$AH$76,4),'Monthly Matrix'!$AH$4:$AH$76,0)),"")</f>
        <v/>
      </c>
      <c r="G42" s="24">
        <f>IFERROR(INDEX('Monthly Matrix'!$J$4:$J$76,MATCH(SMALL('Monthly Matrix'!$AH$4:$AH$76,4),'Monthly Matrix'!$AH$4:$AH$76,0)),"")</f>
        <v/>
      </c>
      <c r="H42" s="24">
        <f>IFERROR(INDEX('Monthly Matrix'!$I$4:$I$76,MATCH(SMALL('Monthly Matrix'!$AH$4:$AH$76,4),'Monthly Matrix'!$AH$4:$AH$76,0)),"")</f>
        <v/>
      </c>
      <c r="I42" s="25">
        <f>IFERROR(INDEX('Monthly Matrix'!$N$4:$N$76,MATCH(SMALL('Monthly Matrix'!$AH$4:$AH$76,4),'Monthly Matrix'!$AH$4:$AH$76,0)),"")</f>
        <v/>
      </c>
      <c r="J42" s="24">
        <f>IFERROR(INDEX('Monthly Matrix'!$P$4:$P$76,MATCH(SMALL('Monthly Matrix'!$AH$4:$AH$76,4),'Monthly Matrix'!$AH$4:$AH$76,0)),"")</f>
        <v/>
      </c>
      <c r="K42" s="24">
        <f>IFERROR(INDEX('Monthly Matrix'!$AH$4:$AH$76,MATCH(SMALL('Monthly Matrix'!$AH$4:$AH$76,4),'Monthly Matrix'!$AH$4:$AH$76,0)),"")</f>
        <v/>
      </c>
      <c r="L42" s="26">
        <f>IFERROR(INDEX('Monthly Matrix'!$AI$4:$AI$76,MATCH(SMALL('Monthly Matrix'!$AH$4:$AH$76,4),'Monthly Matrix'!$AH$4:$AH$76,0))/K42,"")</f>
        <v/>
      </c>
      <c r="M42" s="24">
        <f>IFERROR(INDEX('Monthly Matrix'!$AF$4:$AF$76,MATCH(SMALL('Monthly Matrix'!$AH$4:$AH$76,4),'Monthly Matrix'!$AH$4:$AH$76,0)),"")</f>
        <v/>
      </c>
    </row>
    <row r="43" ht="21.75" customHeight="1" s="146">
      <c r="A43" s="23" t="n">
        <v>5</v>
      </c>
      <c r="B43" s="24">
        <f>IFERROR(INDEX('Monthly Matrix'!$B$4:$B$76,MATCH(SMALL('Monthly Matrix'!$AH$4:$AH$76,5),'Monthly Matrix'!$AH$4:$AH$76,0)),"")</f>
        <v/>
      </c>
      <c r="C43" s="24">
        <f>IFERROR(INDEX('Monthly Matrix'!$C$4:$C$76,MATCH(SMALL('Monthly Matrix'!$AH$4:$AH$76,5),'Monthly Matrix'!$AH$4:$AH$76,0)),"")</f>
        <v/>
      </c>
      <c r="D43" s="24">
        <f>IFERROR(INDEX('Monthly Matrix'!$E$4:$E$76,MATCH(SMALL('Monthly Matrix'!$AH$4:$AH$76,5),'Monthly Matrix'!$AH$4:$AH$76,0)),"")</f>
        <v/>
      </c>
      <c r="E43" s="24">
        <f>IFERROR(INDEX('Monthly Matrix'!$T$4:$T$76,MATCH(SMALL('Monthly Matrix'!$AH$4:$AH$76,5),'Monthly Matrix'!$AH$4:$AH$76,0)),"")</f>
        <v/>
      </c>
      <c r="F43" s="24">
        <f>IFERROR(INDEX('Monthly Matrix'!$V$4:$AA$76,MATCH(SMALL('Monthly Matrix'!$AH$4:$AH$76,5),'Monthly Matrix'!$AH$4:$AH$76,0)),"")</f>
        <v/>
      </c>
      <c r="G43" s="24">
        <f>IFERROR(INDEX('Monthly Matrix'!$J$4:$J$76,MATCH(SMALL('Monthly Matrix'!$AH$4:$AH$76,5),'Monthly Matrix'!$AH$4:$AH$76,0)),"")</f>
        <v/>
      </c>
      <c r="H43" s="24">
        <f>IFERROR(INDEX('Monthly Matrix'!$I$4:$I$76,MATCH(SMALL('Monthly Matrix'!$AH$4:$AH$76,5),'Monthly Matrix'!$AH$4:$AH$76,0)),"")</f>
        <v/>
      </c>
      <c r="I43" s="25">
        <f>IFERROR(INDEX('Monthly Matrix'!$N$4:$N$76,MATCH(SMALL('Monthly Matrix'!$AH$4:$AH$76,5),'Monthly Matrix'!$AH$4:$AH$76,0)),"")</f>
        <v/>
      </c>
      <c r="J43" s="24">
        <f>IFERROR(INDEX('Monthly Matrix'!$P$4:$P$76,MATCH(SMALL('Monthly Matrix'!$AH$4:$AH$76,5),'Monthly Matrix'!$AH$4:$AH$76,0)),"")</f>
        <v/>
      </c>
      <c r="K43" s="24">
        <f>IFERROR(INDEX('Monthly Matrix'!$AH$4:$AH$76,MATCH(SMALL('Monthly Matrix'!$AH$4:$AH$76,5),'Monthly Matrix'!$AH$4:$AH$76,0)),"")</f>
        <v/>
      </c>
      <c r="L43" s="26">
        <f>IFERROR(INDEX('Monthly Matrix'!$AI$4:$AI$76,MATCH(SMALL('Monthly Matrix'!$AH$4:$AH$76,5),'Monthly Matrix'!$AH$4:$AH$76,0))/K43,"")</f>
        <v/>
      </c>
      <c r="M43" s="24">
        <f>IFERROR(INDEX('Monthly Matrix'!$AF$4:$AF$76,MATCH(SMALL('Monthly Matrix'!$AH$4:$AH$76,5),'Monthly Matrix'!$AH$4:$AH$76,0)),"")</f>
        <v/>
      </c>
    </row>
    <row r="44" ht="21.75" customHeight="1" s="146">
      <c r="A44" s="23" t="n">
        <v>6</v>
      </c>
      <c r="B44" s="24">
        <f>IFERROR(INDEX('Monthly Matrix'!$B$4:$B$76,MATCH(SMALL('Monthly Matrix'!$AH$4:$AH$76,6),'Monthly Matrix'!$AH$4:$AH$76,0)),"")</f>
        <v/>
      </c>
      <c r="C44" s="24">
        <f>IFERROR(INDEX('Monthly Matrix'!$C$4:$C$76,MATCH(SMALL('Monthly Matrix'!$AH$4:$AH$76,6),'Monthly Matrix'!$AH$4:$AH$76,0)),"")</f>
        <v/>
      </c>
      <c r="D44" s="24">
        <f>IFERROR(INDEX('Monthly Matrix'!$E$4:$E$76,MATCH(SMALL('Monthly Matrix'!$AH$4:$AH$76,6),'Monthly Matrix'!$AH$4:$AH$76,0)),"")</f>
        <v/>
      </c>
      <c r="E44" s="24">
        <f>IFERROR(INDEX('Monthly Matrix'!$T$4:$T$76,MATCH(SMALL('Monthly Matrix'!$AH$4:$AH$76,6),'Monthly Matrix'!$AH$4:$AH$76,0)),"")</f>
        <v/>
      </c>
      <c r="F44" s="24">
        <f>IFERROR(INDEX('Monthly Matrix'!$V$4:$AA$76,MATCH(SMALL('Monthly Matrix'!$AH$4:$AH$76,6),'Monthly Matrix'!$AH$4:$AH$76,0)),"")</f>
        <v/>
      </c>
      <c r="G44" s="24">
        <f>IFERROR(INDEX('Monthly Matrix'!$J$4:$J$76,MATCH(SMALL('Monthly Matrix'!$AH$4:$AH$76,6),'Monthly Matrix'!$AH$4:$AH$76,0)),"")</f>
        <v/>
      </c>
      <c r="H44" s="24">
        <f>IFERROR(INDEX('Monthly Matrix'!$I$4:$I$76,MATCH(SMALL('Monthly Matrix'!$AH$4:$AH$76,6),'Monthly Matrix'!$AH$4:$AH$76,0)),"")</f>
        <v/>
      </c>
      <c r="I44" s="25">
        <f>IFERROR(INDEX('Monthly Matrix'!$N$4:$N$76,MATCH(SMALL('Monthly Matrix'!$AH$4:$AH$76,6),'Monthly Matrix'!$AH$4:$AH$76,0)),"")</f>
        <v/>
      </c>
      <c r="J44" s="24">
        <f>IFERROR(INDEX('Monthly Matrix'!$P$4:$P$76,MATCH(SMALL('Monthly Matrix'!$AH$4:$AH$76,6),'Monthly Matrix'!$AH$4:$AH$76,0)),"")</f>
        <v/>
      </c>
      <c r="K44" s="24">
        <f>IFERROR(INDEX('Monthly Matrix'!$AH$4:$AH$76,MATCH(SMALL('Monthly Matrix'!$AH$4:$AH$76,6),'Monthly Matrix'!$AH$4:$AH$76,0)),"")</f>
        <v/>
      </c>
      <c r="L44" s="26">
        <f>IFERROR(INDEX('Monthly Matrix'!$AI$4:$AI$76,MATCH(SMALL('Monthly Matrix'!$AH$4:$AH$76,6),'Monthly Matrix'!$AH$4:$AH$76,0))/K44,"")</f>
        <v/>
      </c>
      <c r="M44" s="24">
        <f>IFERROR(INDEX('Monthly Matrix'!$AF$4:$AF$76,MATCH(SMALL('Monthly Matrix'!$AH$4:$AH$76,6),'Monthly Matrix'!$AH$4:$AH$76,0)),"")</f>
        <v/>
      </c>
    </row>
    <row r="45" ht="21.75" customHeight="1" s="146">
      <c r="A45" s="23" t="n">
        <v>7</v>
      </c>
      <c r="B45" s="24">
        <f>IFERROR(INDEX('Monthly Matrix'!$B$4:$B$76,MATCH(SMALL('Monthly Matrix'!$AH$4:$AH$76,7),'Monthly Matrix'!$AH$4:$AH$76,0)),"")</f>
        <v/>
      </c>
      <c r="C45" s="24">
        <f>IFERROR(INDEX('Monthly Matrix'!$C$4:$C$76,MATCH(SMALL('Monthly Matrix'!$AH$4:$AH$76,7),'Monthly Matrix'!$AH$4:$AH$76,0)),"")</f>
        <v/>
      </c>
      <c r="D45" s="24">
        <f>IFERROR(INDEX('Monthly Matrix'!$E$4:$E$76,MATCH(SMALL('Monthly Matrix'!$AH$4:$AH$76,7),'Monthly Matrix'!$AH$4:$AH$76,0)),"")</f>
        <v/>
      </c>
      <c r="E45" s="24">
        <f>IFERROR(INDEX('Monthly Matrix'!$T$4:$T$76,MATCH(SMALL('Monthly Matrix'!$AH$4:$AH$76,7),'Monthly Matrix'!$AH$4:$AH$76,0)),"")</f>
        <v/>
      </c>
      <c r="F45" s="24">
        <f>IFERROR(INDEX('Monthly Matrix'!$V$4:$AA$76,MATCH(SMALL('Monthly Matrix'!$AH$4:$AH$76,7),'Monthly Matrix'!$AH$4:$AH$76,0)),"")</f>
        <v/>
      </c>
      <c r="G45" s="24">
        <f>IFERROR(INDEX('Monthly Matrix'!$J$4:$J$76,MATCH(SMALL('Monthly Matrix'!$AH$4:$AH$76,7),'Monthly Matrix'!$AH$4:$AH$76,0)),"")</f>
        <v/>
      </c>
      <c r="H45" s="24">
        <f>IFERROR(INDEX('Monthly Matrix'!$I$4:$I$76,MATCH(SMALL('Monthly Matrix'!$AH$4:$AH$76,7),'Monthly Matrix'!$AH$4:$AH$76,0)),"")</f>
        <v/>
      </c>
      <c r="I45" s="25">
        <f>IFERROR(INDEX('Monthly Matrix'!$N$4:$N$76,MATCH(SMALL('Monthly Matrix'!$AH$4:$AH$76,7),'Monthly Matrix'!$AH$4:$AH$76,0)),"")</f>
        <v/>
      </c>
      <c r="J45" s="24">
        <f>IFERROR(INDEX('Monthly Matrix'!$P$4:$P$76,MATCH(SMALL('Monthly Matrix'!$AH$4:$AH$76,7),'Monthly Matrix'!$AH$4:$AH$76,0)),"")</f>
        <v/>
      </c>
      <c r="K45" s="24">
        <f>IFERROR(INDEX('Monthly Matrix'!$AH$4:$AH$76,MATCH(SMALL('Monthly Matrix'!$AH$4:$AH$76,7),'Monthly Matrix'!$AH$4:$AH$76,0)),"")</f>
        <v/>
      </c>
      <c r="L45" s="26">
        <f>IFERROR(INDEX('Monthly Matrix'!$AI$4:$AI$76,MATCH(SMALL('Monthly Matrix'!$AH$4:$AH$76,7),'Monthly Matrix'!$AH$4:$AH$76,0))/K45,"")</f>
        <v/>
      </c>
      <c r="M45" s="24">
        <f>IFERROR(INDEX('Monthly Matrix'!$AF$4:$AF$76,MATCH(SMALL('Monthly Matrix'!$AH$4:$AH$76,7),'Monthly Matrix'!$AH$4:$AH$76,0)),"")</f>
        <v/>
      </c>
    </row>
    <row r="46" ht="21.75" customHeight="1" s="146">
      <c r="A46" s="23" t="n">
        <v>8</v>
      </c>
      <c r="B46" s="24">
        <f>IFERROR(INDEX('Monthly Matrix'!$B$4:$B$76,MATCH(SMALL('Monthly Matrix'!$AH$4:$AH$76,8),'Monthly Matrix'!$AH$4:$AH$76,0)),"")</f>
        <v/>
      </c>
      <c r="C46" s="24">
        <f>IFERROR(INDEX('Monthly Matrix'!$C$4:$C$76,MATCH(SMALL('Monthly Matrix'!$AH$4:$AH$76,8),'Monthly Matrix'!$AH$4:$AH$76,0)),"")</f>
        <v/>
      </c>
      <c r="D46" s="24">
        <f>IFERROR(INDEX('Monthly Matrix'!$E$4:$E$76,MATCH(SMALL('Monthly Matrix'!$AH$4:$AH$76,8),'Monthly Matrix'!$AH$4:$AH$76,0)),"")</f>
        <v/>
      </c>
      <c r="E46" s="24">
        <f>IFERROR(INDEX('Monthly Matrix'!$T$4:$T$76,MATCH(SMALL('Monthly Matrix'!$AH$4:$AH$76,8),'Monthly Matrix'!$AH$4:$AH$76,0)),"")</f>
        <v/>
      </c>
      <c r="F46" s="24">
        <f>IFERROR(INDEX('Monthly Matrix'!$V$4:$AA$76,MATCH(SMALL('Monthly Matrix'!$AH$4:$AH$76,8),'Monthly Matrix'!$AH$4:$AH$76,0)),"")</f>
        <v/>
      </c>
      <c r="G46" s="24">
        <f>IFERROR(INDEX('Monthly Matrix'!$J$4:$J$76,MATCH(SMALL('Monthly Matrix'!$AH$4:$AH$76,8),'Monthly Matrix'!$AH$4:$AH$76,0)),"")</f>
        <v/>
      </c>
      <c r="H46" s="24">
        <f>IFERROR(INDEX('Monthly Matrix'!$I$4:$I$76,MATCH(SMALL('Monthly Matrix'!$AH$4:$AH$76,8),'Monthly Matrix'!$AH$4:$AH$76,0)),"")</f>
        <v/>
      </c>
      <c r="I46" s="25">
        <f>IFERROR(INDEX('Monthly Matrix'!$N$4:$N$76,MATCH(SMALL('Monthly Matrix'!$AH$4:$AH$76,8),'Monthly Matrix'!$AH$4:$AH$76,0)),"")</f>
        <v/>
      </c>
      <c r="J46" s="24">
        <f>IFERROR(INDEX('Monthly Matrix'!$P$4:$P$76,MATCH(SMALL('Monthly Matrix'!$AH$4:$AH$76,8),'Monthly Matrix'!$AH$4:$AH$76,0)),"")</f>
        <v/>
      </c>
      <c r="K46" s="24">
        <f>IFERROR(INDEX('Monthly Matrix'!$AH$4:$AH$76,MATCH(SMALL('Monthly Matrix'!$AH$4:$AH$76,8),'Monthly Matrix'!$AH$4:$AH$76,0)),"")</f>
        <v/>
      </c>
      <c r="L46" s="26">
        <f>IFERROR(INDEX('Monthly Matrix'!$AI$4:$AI$76,MATCH(SMALL('Monthly Matrix'!$AH$4:$AH$76,8),'Monthly Matrix'!$AH$4:$AH$76,0))/K46,"")</f>
        <v/>
      </c>
      <c r="M46" s="24">
        <f>IFERROR(INDEX('Monthly Matrix'!$AF$4:$AF$76,MATCH(SMALL('Monthly Matrix'!$AH$4:$AH$76,8),'Monthly Matrix'!$AH$4:$AH$76,0)),"")</f>
        <v/>
      </c>
    </row>
    <row r="47" ht="21.75" customHeight="1" s="146">
      <c r="A47" s="23" t="n">
        <v>9</v>
      </c>
      <c r="B47" s="24">
        <f>IFERROR(INDEX('Monthly Matrix'!$B$4:$B$76,MATCH(SMALL('Monthly Matrix'!$AH$4:$AH$76,9),'Monthly Matrix'!$AH$4:$AH$76,0)),"")</f>
        <v/>
      </c>
      <c r="C47" s="24">
        <f>IFERROR(INDEX('Monthly Matrix'!$C$4:$C$76,MATCH(SMALL('Monthly Matrix'!$AH$4:$AH$76,9),'Monthly Matrix'!$AH$4:$AH$76,0)),"")</f>
        <v/>
      </c>
      <c r="D47" s="24">
        <f>IFERROR(INDEX('Monthly Matrix'!$E$4:$E$76,MATCH(SMALL('Monthly Matrix'!$AH$4:$AH$76,9),'Monthly Matrix'!$AH$4:$AH$76,0)),"")</f>
        <v/>
      </c>
      <c r="E47" s="24">
        <f>IFERROR(INDEX('Monthly Matrix'!$T$4:$T$76,MATCH(SMALL('Monthly Matrix'!$AH$4:$AH$76,9),'Monthly Matrix'!$AH$4:$AH$76,0)),"")</f>
        <v/>
      </c>
      <c r="F47" s="24">
        <f>IFERROR(INDEX('Monthly Matrix'!$V$4:$AA$76,MATCH(SMALL('Monthly Matrix'!$AH$4:$AH$76,9),'Monthly Matrix'!$AH$4:$AH$76,0)),"")</f>
        <v/>
      </c>
      <c r="G47" s="24">
        <f>IFERROR(INDEX('Monthly Matrix'!$J$4:$J$76,MATCH(SMALL('Monthly Matrix'!$AH$4:$AH$76,9),'Monthly Matrix'!$AH$4:$AH$76,0)),"")</f>
        <v/>
      </c>
      <c r="H47" s="24">
        <f>IFERROR(INDEX('Monthly Matrix'!$I$4:$I$76,MATCH(SMALL('Monthly Matrix'!$AH$4:$AH$76,9),'Monthly Matrix'!$AH$4:$AH$76,0)),"")</f>
        <v/>
      </c>
      <c r="I47" s="25">
        <f>IFERROR(INDEX('Monthly Matrix'!$N$4:$N$76,MATCH(SMALL('Monthly Matrix'!$AH$4:$AH$76,9),'Monthly Matrix'!$AH$4:$AH$76,0)),"")</f>
        <v/>
      </c>
      <c r="J47" s="24">
        <f>IFERROR(INDEX('Monthly Matrix'!$P$4:$P$76,MATCH(SMALL('Monthly Matrix'!$AH$4:$AH$76,9),'Monthly Matrix'!$AH$4:$AH$76,0)),"")</f>
        <v/>
      </c>
      <c r="K47" s="24">
        <f>IFERROR(INDEX('Monthly Matrix'!$AH$4:$AH$76,MATCH(SMALL('Monthly Matrix'!$AH$4:$AH$76,9),'Monthly Matrix'!$AH$4:$AH$76,0)),"")</f>
        <v/>
      </c>
      <c r="L47" s="26">
        <f>IFERROR(INDEX('Monthly Matrix'!$AI$4:$AI$76,MATCH(SMALL('Monthly Matrix'!$AH$4:$AH$76,9),'Monthly Matrix'!$AH$4:$AH$76,0))/K47,"")</f>
        <v/>
      </c>
      <c r="M47" s="24">
        <f>IFERROR(INDEX('Monthly Matrix'!$AF$4:$AF$76,MATCH(SMALL('Monthly Matrix'!$AH$4:$AH$76,9),'Monthly Matrix'!$AH$4:$AH$76,0)),"")</f>
        <v/>
      </c>
    </row>
    <row r="48" ht="21.75" customHeight="1" s="146">
      <c r="A48" s="23" t="n">
        <v>10</v>
      </c>
      <c r="B48" s="24">
        <f>IFERROR(INDEX('Monthly Matrix'!$B$4:$B$76,MATCH(SMALL('Monthly Matrix'!$AH$4:$AH$76,10),'Monthly Matrix'!$AH$4:$AH$76,0)),"")</f>
        <v/>
      </c>
      <c r="C48" s="24">
        <f>IFERROR(INDEX('Monthly Matrix'!$C$4:$C$76,MATCH(SMALL('Monthly Matrix'!$AH$4:$AH$76,10),'Monthly Matrix'!$AH$4:$AH$76,0)),"")</f>
        <v/>
      </c>
      <c r="D48" s="24">
        <f>IFERROR(INDEX('Monthly Matrix'!$E$4:$E$76,MATCH(SMALL('Monthly Matrix'!$AH$4:$AH$76,10),'Monthly Matrix'!$AH$4:$AH$76,0)),"")</f>
        <v/>
      </c>
      <c r="E48" s="24">
        <f>IFERROR(INDEX('Monthly Matrix'!$T$4:$T$76,MATCH(SMALL('Monthly Matrix'!$AH$4:$AH$76,10),'Monthly Matrix'!$AH$4:$AH$76,0)),"")</f>
        <v/>
      </c>
      <c r="F48" s="24">
        <f>IFERROR(INDEX('Monthly Matrix'!$V$4:$AA$76,MATCH(SMALL('Monthly Matrix'!$AH$4:$AH$76,10),'Monthly Matrix'!$AH$4:$AH$76,0)),"")</f>
        <v/>
      </c>
      <c r="G48" s="24">
        <f>IFERROR(INDEX('Monthly Matrix'!$J$4:$J$76,MATCH(SMALL('Monthly Matrix'!$AH$4:$AH$76,10),'Monthly Matrix'!$AH$4:$AH$76,0)),"")</f>
        <v/>
      </c>
      <c r="H48" s="24">
        <f>IFERROR(INDEX('Monthly Matrix'!$I$4:$I$76,MATCH(SMALL('Monthly Matrix'!$AH$4:$AH$76,10),'Monthly Matrix'!$AH$4:$AH$76,0)),"")</f>
        <v/>
      </c>
      <c r="I48" s="25">
        <f>IFERROR(INDEX('Monthly Matrix'!$N$4:$N$76,MATCH(SMALL('Monthly Matrix'!$AH$4:$AH$76,10),'Monthly Matrix'!$AH$4:$AH$76,0)),"")</f>
        <v/>
      </c>
      <c r="J48" s="24">
        <f>IFERROR(INDEX('Monthly Matrix'!$P$4:$P$76,MATCH(SMALL('Monthly Matrix'!$AH$4:$AH$76,10),'Monthly Matrix'!$AH$4:$AH$76,0)),"")</f>
        <v/>
      </c>
      <c r="K48" s="24">
        <f>IFERROR(INDEX('Monthly Matrix'!$AH$4:$AH$76,MATCH(SMALL('Monthly Matrix'!$AH$4:$AH$76,10),'Monthly Matrix'!$AH$4:$AH$76,0)),"")</f>
        <v/>
      </c>
      <c r="L48" s="26">
        <f>IFERROR(INDEX('Monthly Matrix'!$AI$4:$AI$76,MATCH(SMALL('Monthly Matrix'!$AH$4:$AH$76,10),'Monthly Matrix'!$AH$4:$AH$76,0))/K48,"")</f>
        <v/>
      </c>
      <c r="M48" s="24">
        <f>IFERROR(INDEX('Monthly Matrix'!$AF$4:$AF$76,MATCH(SMALL('Monthly Matrix'!$AH$4:$AH$76,10),'Monthly Matrix'!$AH$4:$AH$76,0)),"")</f>
        <v/>
      </c>
    </row>
  </sheetData>
  <mergeCells count="18">
    <mergeCell ref="L6:N6"/>
    <mergeCell ref="A9:N9"/>
    <mergeCell ref="A8:N8"/>
    <mergeCell ref="A1:M1"/>
    <mergeCell ref="D5:F5"/>
    <mergeCell ref="A5:C5"/>
    <mergeCell ref="A4:N4"/>
    <mergeCell ref="A24:N24"/>
    <mergeCell ref="A33:D35"/>
    <mergeCell ref="L5:N5"/>
    <mergeCell ref="A6:C6"/>
    <mergeCell ref="A7:N7"/>
    <mergeCell ref="H5:J5"/>
    <mergeCell ref="A11:N11"/>
    <mergeCell ref="A37:N37"/>
    <mergeCell ref="D6:F6"/>
    <mergeCell ref="A2:M2"/>
    <mergeCell ref="H6:J6"/>
  </mergeCells>
  <conditionalFormatting sqref="D26:D31">
    <cfRule type="containsText" priority="6" operator="containsText" dxfId="0" text="ON TARGET">
      <formula>NOT(ISERROR(SEARCH("ON TARGET",D26)))</formula>
    </cfRule>
    <cfRule type="containsText" priority="7" operator="containsText" dxfId="1" text="BELOW">
      <formula>NOT(ISERROR(SEARCH("BELOW",D26)))</formula>
    </cfRule>
  </conditionalFormatting>
  <conditionalFormatting sqref="F13:F22">
    <cfRule type="containsText" priority="2" operator="containsText" dxfId="1" text="HIGH">
      <formula>NOT(ISERROR(SEARCH("HIGH",F13)))</formula>
    </cfRule>
    <cfRule type="containsText" priority="3" operator="containsText" dxfId="2" text="MEDIUM">
      <formula>NOT(ISERROR(SEARCH("MEDIUM",F13)))</formula>
    </cfRule>
  </conditionalFormatting>
  <conditionalFormatting sqref="K13:K22">
    <cfRule type="containsText" priority="4" operator="containsText" dxfId="1" text="YES">
      <formula>NOT(ISERROR(SEARCH("YES",K13)))</formula>
    </cfRule>
  </conditionalFormatting>
  <conditionalFormatting sqref="N13:N22">
    <cfRule type="containsText" priority="5" operator="containsText" dxfId="1" text="YES">
      <formula>NOT(ISERROR(SEARCH("YES",N13)))</formula>
    </cfRule>
  </conditionalFormatting>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A3A2A"/>
    <outlinePr summaryBelow="1" summaryRight="1"/>
    <pageSetUpPr/>
  </sheetPr>
  <dimension ref="A1:N204"/>
  <sheetViews>
    <sheetView showGridLines="0" zoomScaleNormal="100" workbookViewId="0">
      <selection activeCell="A1" sqref="A1"/>
    </sheetView>
  </sheetViews>
  <sheetFormatPr baseColWidth="10" defaultColWidth="8.6640625" defaultRowHeight="15" customHeight="1"/>
  <cols>
    <col width="9" customWidth="1" style="122" min="1" max="1"/>
    <col width="36" customWidth="1" style="122" min="2" max="2"/>
    <col width="26" customWidth="1" style="122" min="3" max="3"/>
    <col width="18" customWidth="1" style="122" min="4" max="5"/>
    <col width="16" customWidth="1" style="122" min="6" max="7"/>
    <col width="14" customWidth="1" style="122" min="8" max="8"/>
    <col width="10" customWidth="1" style="122" min="9" max="9"/>
    <col width="2" customWidth="1" style="122" min="11" max="11"/>
    <col width="36" customWidth="1" style="122" min="12" max="12"/>
    <col width="12" customWidth="1" style="122" min="13" max="13"/>
    <col width="26" customWidth="1" style="122" min="14" max="14"/>
  </cols>
  <sheetData>
    <row r="1" ht="27.75" customHeight="1" s="146">
      <c r="A1" s="121" t="inlineStr">
        <is>
          <t>FIELD TEAM MASTER LIST</t>
        </is>
      </c>
      <c r="L1" s="139" t="inlineStr">
        <is>
          <t>NEW TEAM CHECKER - auto-updates when Skillko data is pasted</t>
        </is>
      </c>
    </row>
    <row r="2" ht="30" customHeight="1" s="146">
      <c r="A2" s="140" t="inlineStr">
        <is>
          <t>Master list — drives Monthly Matrix, Audit Schedule, Action Log and Dashboard automatically. Add new teams at the bottom. Use the Status dropdown (col I) to set Active or Inactive. Inactive teams are excluded from all scoring, rankings and counts. Do not delete rows.</t>
        </is>
      </c>
      <c r="L2" s="143" t="inlineStr">
        <is>
          <t>Teams found in Skillko export but NOT in master list are highlighted amber. Add them manually to the master list below (cols A–I) then set Status = Active.</t>
        </is>
      </c>
    </row>
    <row r="3" ht="30" customHeight="1" s="146">
      <c r="A3" s="142" t="inlineStr">
        <is>
          <t>NOD = Sponsor Manager  |  SOM = Sponsor  |  CM = Contract Manager  |  PM = Project Manager  |  Operative Count auto-calculates from Data - Skillko tab  |  Status dropdown: Active / Inactive only</t>
        </is>
      </c>
      <c r="L3" s="144" t="inlineStr">
        <is>
          <t>Only team-level rows are shown (Job Role = Total, excluding company-named rows). Refresh by re-pasting Skillko data.</t>
        </is>
      </c>
    </row>
    <row r="4" ht="31.5" customHeight="1" s="146">
      <c r="A4" s="5" t="inlineStr">
        <is>
          <t>Team ID</t>
        </is>
      </c>
      <c r="B4" s="5" t="inlineStr">
        <is>
          <t>Field Team Name</t>
        </is>
      </c>
      <c r="C4" s="5" t="inlineStr">
        <is>
          <t>Contract</t>
        </is>
      </c>
      <c r="D4" s="5" t="inlineStr">
        <is>
          <t>NOD</t>
        </is>
      </c>
      <c r="E4" s="5" t="inlineStr">
        <is>
          <t>SOM</t>
        </is>
      </c>
      <c r="F4" s="5" t="inlineStr">
        <is>
          <t>CM</t>
        </is>
      </c>
      <c r="G4" s="5" t="inlineStr">
        <is>
          <t>PM</t>
        </is>
      </c>
      <c r="H4" s="5" t="inlineStr">
        <is>
          <t>Operative
Count
(auto)</t>
        </is>
      </c>
      <c r="I4" s="5" t="inlineStr">
        <is>
          <t>Status</t>
        </is>
      </c>
      <c r="L4" s="27" t="inlineStr">
        <is>
          <t>Field Team Name (from Skillko)</t>
        </is>
      </c>
      <c r="M4" s="27" t="inlineStr">
        <is>
          <t>In Master List?</t>
        </is>
      </c>
      <c r="N4" s="27" t="inlineStr">
        <is>
          <t>Contract (Operating Unit)</t>
        </is>
      </c>
    </row>
    <row r="5" ht="39.75" customHeight="1" s="146">
      <c r="A5" s="6" t="inlineStr">
        <is>
          <t>FT-001</t>
        </is>
      </c>
      <c r="B5" s="28" t="inlineStr">
        <is>
          <t>Kingfisher Tree Services Ltd</t>
        </is>
      </c>
      <c r="C5" s="6" t="inlineStr">
        <is>
          <t>ESB - Utility Arboriculture</t>
        </is>
      </c>
      <c r="D5" s="6" t="inlineStr">
        <is>
          <t>Donovan  Gosher</t>
        </is>
      </c>
      <c r="E5" s="6" t="inlineStr">
        <is>
          <t>Jake Bolwell</t>
        </is>
      </c>
      <c r="F5" s="29" t="n"/>
      <c r="G5" s="29" t="n"/>
      <c r="H5" s="20">
        <f>IFERROR(SUMPRODUCT(('Data - Skillko'!I$5:I$1547=B5)*('Data - Skillko'!D$5:D$1547="Total")*('Data - Skillko'!C$5:C$1547&lt;&gt;"Total")*('Data - Skillko'!C$5:C$1547&lt;&gt;"")*(NOT(ISNUMBER(SEARCH(B5,'Data - Skillko'!C$5:C$1547))))),0)</f>
        <v/>
      </c>
      <c r="I5" s="6" t="inlineStr">
        <is>
          <t>Active</t>
        </is>
      </c>
      <c r="L5" s="141" t="inlineStr">
        <is>
          <t>Note: requires Excel 365 for UNIQUE and FILTER functions. If formula errors appear in L6, these functions are not available on this version.</t>
        </is>
      </c>
    </row>
    <row r="6" ht="18" customHeight="1" s="146">
      <c r="A6" s="10" t="inlineStr">
        <is>
          <t>FT-002</t>
        </is>
      </c>
      <c r="B6" s="30" t="inlineStr">
        <is>
          <t>WRS Tree Services Ltd</t>
        </is>
      </c>
      <c r="C6" s="10" t="inlineStr">
        <is>
          <t>Utility Arboriculture</t>
        </is>
      </c>
      <c r="D6" s="10" t="inlineStr">
        <is>
          <t>David Damm</t>
        </is>
      </c>
      <c r="E6" s="10" t="inlineStr">
        <is>
          <t>Mike Jackson</t>
        </is>
      </c>
      <c r="F6" s="29" t="n"/>
      <c r="G6" s="29" t="n"/>
      <c r="H6" s="20">
        <f>IFERROR(SUMPRODUCT(('Data - Skillko'!I$5:I$1547=B6)*('Data - Skillko'!D$5:D$1547="Total")*('Data - Skillko'!C$5:C$1547&lt;&gt;"Total")*('Data - Skillko'!C$5:C$1547&lt;&gt;"")*(NOT(ISNUMBER(SEARCH(B6,'Data - Skillko'!C$5:C$1547))))),0)</f>
        <v/>
      </c>
      <c r="I6" s="10" t="inlineStr">
        <is>
          <t>Active</t>
        </is>
      </c>
      <c r="L6" s="122" t="inlineStr">
        <is>
          <t>No new Skillko teams missing from master list in current paste</t>
        </is>
      </c>
    </row>
    <row r="7" ht="18" customHeight="1" s="146">
      <c r="A7" s="6" t="inlineStr">
        <is>
          <t>FT-003</t>
        </is>
      </c>
      <c r="B7" s="28" t="inlineStr">
        <is>
          <t>Ashdown Tree Limited</t>
        </is>
      </c>
      <c r="C7" s="6" t="inlineStr">
        <is>
          <t>Utility Arboriculture</t>
        </is>
      </c>
      <c r="D7" s="6" t="inlineStr">
        <is>
          <t>Donovan  Gosher</t>
        </is>
      </c>
      <c r="E7" s="6" t="inlineStr">
        <is>
          <t>Barry Bright</t>
        </is>
      </c>
      <c r="F7" s="29" t="n"/>
      <c r="G7" s="29" t="n"/>
      <c r="H7" s="20">
        <f>IFERROR(SUMPRODUCT(('Data - Skillko'!I$5:I$1547=B7)*('Data - Skillko'!D$5:D$1547="Total")*('Data - Skillko'!C$5:C$1547&lt;&gt;"Total")*('Data - Skillko'!C$5:C$1547&lt;&gt;"")*(NOT(ISNUMBER(SEARCH(B7,'Data - Skillko'!C$5:C$1547))))),0)</f>
        <v/>
      </c>
      <c r="I7" s="6" t="inlineStr">
        <is>
          <t>Active</t>
        </is>
      </c>
    </row>
    <row r="8" ht="18" customHeight="1" s="146">
      <c r="A8" s="10" t="inlineStr">
        <is>
          <t>FT-004</t>
        </is>
      </c>
      <c r="B8" s="30" t="inlineStr">
        <is>
          <t>Austin Tree Care LTD</t>
        </is>
      </c>
      <c r="C8" s="10" t="inlineStr">
        <is>
          <t>Utility Arboriculture</t>
        </is>
      </c>
      <c r="D8" s="10" t="inlineStr">
        <is>
          <t>Donovan  Gosher</t>
        </is>
      </c>
      <c r="E8" s="10" t="inlineStr">
        <is>
          <t>Barry Bright</t>
        </is>
      </c>
      <c r="F8" s="29" t="n"/>
      <c r="G8" s="29" t="n"/>
      <c r="H8" s="20">
        <f>IFERROR(SUMPRODUCT(('Data - Skillko'!I$5:I$1547=B8)*('Data - Skillko'!D$5:D$1547="Total")*('Data - Skillko'!C$5:C$1547&lt;&gt;"Total")*('Data - Skillko'!C$5:C$1547&lt;&gt;"")*(NOT(ISNUMBER(SEARCH(B8,'Data - Skillko'!C$5:C$1547))))),0)</f>
        <v/>
      </c>
      <c r="I8" s="10" t="inlineStr">
        <is>
          <t>Active</t>
        </is>
      </c>
    </row>
    <row r="9" ht="18" customHeight="1" s="146">
      <c r="A9" s="6" t="inlineStr">
        <is>
          <t>FT-005</t>
        </is>
      </c>
      <c r="B9" s="28" t="inlineStr">
        <is>
          <t>D &amp; R Landscapes</t>
        </is>
      </c>
      <c r="C9" s="6" t="inlineStr">
        <is>
          <t>Utility Arboriculture</t>
        </is>
      </c>
      <c r="D9" s="6" t="inlineStr">
        <is>
          <t>Donovan  Gosher</t>
        </is>
      </c>
      <c r="E9" s="6" t="inlineStr">
        <is>
          <t>Barry Bright</t>
        </is>
      </c>
      <c r="F9" s="29" t="n"/>
      <c r="G9" s="29" t="n"/>
      <c r="H9" s="20">
        <f>IFERROR(SUMPRODUCT(('Data - Skillko'!I$5:I$1547=B9)*('Data - Skillko'!D$5:D$1547="Total")*('Data - Skillko'!C$5:C$1547&lt;&gt;"Total")*('Data - Skillko'!C$5:C$1547&lt;&gt;"")*(NOT(ISNUMBER(SEARCH(B9,'Data - Skillko'!C$5:C$1547))))),0)</f>
        <v/>
      </c>
      <c r="I9" s="6" t="inlineStr">
        <is>
          <t>Active</t>
        </is>
      </c>
    </row>
    <row r="10" ht="18" customHeight="1" s="146">
      <c r="A10" s="10" t="inlineStr">
        <is>
          <t>FT-006</t>
        </is>
      </c>
      <c r="B10" s="30" t="inlineStr">
        <is>
          <t>Eastwoodbury Tree Services Ltd</t>
        </is>
      </c>
      <c r="C10" s="10" t="inlineStr">
        <is>
          <t>Utility Arboriculture</t>
        </is>
      </c>
      <c r="D10" s="10" t="inlineStr">
        <is>
          <t>Donovan  Gosher</t>
        </is>
      </c>
      <c r="E10" s="10" t="inlineStr">
        <is>
          <t>Barry Bright</t>
        </is>
      </c>
      <c r="F10" s="29" t="n"/>
      <c r="G10" s="29" t="n"/>
      <c r="H10" s="20">
        <f>IFERROR(SUMPRODUCT(('Data - Skillko'!I$5:I$1547=B10)*('Data - Skillko'!D$5:D$1547="Total")*('Data - Skillko'!C$5:C$1547&lt;&gt;"Total")*('Data - Skillko'!C$5:C$1547&lt;&gt;"")*(NOT(ISNUMBER(SEARCH(B10,'Data - Skillko'!C$5:C$1547))))),0)</f>
        <v/>
      </c>
      <c r="I10" s="10" t="inlineStr">
        <is>
          <t>Active</t>
        </is>
      </c>
    </row>
    <row r="11" ht="18" customHeight="1" s="146">
      <c r="A11" s="6" t="inlineStr">
        <is>
          <t>FT-007</t>
        </is>
      </c>
      <c r="B11" s="28" t="inlineStr">
        <is>
          <t>Green Net Eco Ltd</t>
        </is>
      </c>
      <c r="C11" s="6" t="inlineStr">
        <is>
          <t>Utility Arboriculture</t>
        </is>
      </c>
      <c r="D11" s="6" t="inlineStr">
        <is>
          <t>Donovan  Gosher</t>
        </is>
      </c>
      <c r="E11" s="6" t="inlineStr">
        <is>
          <t>Barry Bright</t>
        </is>
      </c>
      <c r="F11" s="29" t="n"/>
      <c r="G11" s="29" t="n"/>
      <c r="H11" s="20">
        <f>IFERROR(SUMPRODUCT(('Data - Skillko'!I$5:I$1547=B11)*('Data - Skillko'!D$5:D$1547="Total")*('Data - Skillko'!C$5:C$1547&lt;&gt;"Total")*('Data - Skillko'!C$5:C$1547&lt;&gt;"")*(NOT(ISNUMBER(SEARCH(B11,'Data - Skillko'!C$5:C$1547))))),0)</f>
        <v/>
      </c>
      <c r="I11" s="6" t="inlineStr">
        <is>
          <t>Active</t>
        </is>
      </c>
    </row>
    <row r="12" ht="18" customHeight="1" s="146">
      <c r="A12" s="10" t="inlineStr">
        <is>
          <t>FT-008</t>
        </is>
      </c>
      <c r="B12" s="30" t="inlineStr">
        <is>
          <t>Hope Ground and Tree Care</t>
        </is>
      </c>
      <c r="C12" s="10" t="inlineStr">
        <is>
          <t>Utility Arboriculture</t>
        </is>
      </c>
      <c r="D12" s="10" t="inlineStr">
        <is>
          <t>Donovan  Gosher</t>
        </is>
      </c>
      <c r="E12" s="10" t="inlineStr">
        <is>
          <t>Barry Bright</t>
        </is>
      </c>
      <c r="F12" s="29" t="n"/>
      <c r="G12" s="29" t="n"/>
      <c r="H12" s="20">
        <f>IFERROR(SUMPRODUCT(('Data - Skillko'!I$5:I$1547=B12)*('Data - Skillko'!D$5:D$1547="Total")*('Data - Skillko'!C$5:C$1547&lt;&gt;"Total")*('Data - Skillko'!C$5:C$1547&lt;&gt;"")*(NOT(ISNUMBER(SEARCH(B12,'Data - Skillko'!C$5:C$1547))))),0)</f>
        <v/>
      </c>
      <c r="I12" s="10" t="inlineStr">
        <is>
          <t>Active</t>
        </is>
      </c>
    </row>
    <row r="13" ht="18" customHeight="1" s="146">
      <c r="A13" s="6" t="inlineStr">
        <is>
          <t>FT-009</t>
        </is>
      </c>
      <c r="B13" s="28" t="inlineStr">
        <is>
          <t>M G Tree Surgery Ltd</t>
        </is>
      </c>
      <c r="C13" s="6" t="inlineStr">
        <is>
          <t>Utility Arboriculture</t>
        </is>
      </c>
      <c r="D13" s="6" t="inlineStr">
        <is>
          <t>Donovan  Gosher</t>
        </is>
      </c>
      <c r="E13" s="6" t="inlineStr">
        <is>
          <t>Barry Bright</t>
        </is>
      </c>
      <c r="F13" s="29" t="n"/>
      <c r="G13" s="29" t="n"/>
      <c r="H13" s="20">
        <f>IFERROR(SUMPRODUCT(('Data - Skillko'!I$5:I$1547=B13)*('Data - Skillko'!D$5:D$1547="Total")*('Data - Skillko'!C$5:C$1547&lt;&gt;"Total")*('Data - Skillko'!C$5:C$1547&lt;&gt;"")*(NOT(ISNUMBER(SEARCH(B13,'Data - Skillko'!C$5:C$1547))))),0)</f>
        <v/>
      </c>
      <c r="I13" s="6" t="inlineStr">
        <is>
          <t>Active</t>
        </is>
      </c>
    </row>
    <row r="14" ht="18" customHeight="1" s="146">
      <c r="A14" s="10" t="inlineStr">
        <is>
          <t>FT-010</t>
        </is>
      </c>
      <c r="B14" s="30" t="inlineStr">
        <is>
          <t>MAC Tree Surgery and Fencing Ltd</t>
        </is>
      </c>
      <c r="C14" s="10" t="inlineStr">
        <is>
          <t>Utility Arboriculture</t>
        </is>
      </c>
      <c r="D14" s="10" t="inlineStr">
        <is>
          <t>Donovan  Gosher</t>
        </is>
      </c>
      <c r="E14" s="10" t="inlineStr">
        <is>
          <t>Barry Bright</t>
        </is>
      </c>
      <c r="F14" s="29" t="n"/>
      <c r="G14" s="29" t="n"/>
      <c r="H14" s="20">
        <f>IFERROR(SUMPRODUCT(('Data - Skillko'!I$5:I$1547=B14)*('Data - Skillko'!D$5:D$1547="Total")*('Data - Skillko'!C$5:C$1547&lt;&gt;"Total")*('Data - Skillko'!C$5:C$1547&lt;&gt;"")*(NOT(ISNUMBER(SEARCH(B14,'Data - Skillko'!C$5:C$1547))))),0)</f>
        <v/>
      </c>
      <c r="I14" s="10" t="inlineStr">
        <is>
          <t>Active</t>
        </is>
      </c>
    </row>
    <row r="15" ht="18" customHeight="1" s="146">
      <c r="A15" s="6" t="inlineStr">
        <is>
          <t>FT-011</t>
        </is>
      </c>
      <c r="B15" s="28" t="inlineStr">
        <is>
          <t>Optimum Tree Services</t>
        </is>
      </c>
      <c r="C15" s="6" t="inlineStr">
        <is>
          <t>Utility Arboriculture</t>
        </is>
      </c>
      <c r="D15" s="6" t="inlineStr">
        <is>
          <t>Donovan  Gosher</t>
        </is>
      </c>
      <c r="E15" s="6" t="inlineStr">
        <is>
          <t>Barry Bright</t>
        </is>
      </c>
      <c r="F15" s="29" t="n"/>
      <c r="G15" s="29" t="n"/>
      <c r="H15" s="20">
        <f>IFERROR(SUMPRODUCT(('Data - Skillko'!I$5:I$1547=B15)*('Data - Skillko'!D$5:D$1547="Total")*('Data - Skillko'!C$5:C$1547&lt;&gt;"Total")*('Data - Skillko'!C$5:C$1547&lt;&gt;"")*(NOT(ISNUMBER(SEARCH(B15,'Data - Skillko'!C$5:C$1547))))),0)</f>
        <v/>
      </c>
      <c r="I15" s="6" t="inlineStr">
        <is>
          <t>Active</t>
        </is>
      </c>
    </row>
    <row r="16" ht="18" customHeight="1" s="146">
      <c r="A16" s="10" t="inlineStr">
        <is>
          <t>FT-012</t>
        </is>
      </c>
      <c r="B16" s="30" t="inlineStr">
        <is>
          <t>S6 Tree Specialists Ltd</t>
        </is>
      </c>
      <c r="C16" s="10" t="inlineStr">
        <is>
          <t>Utility Arboriculture</t>
        </is>
      </c>
      <c r="D16" s="10" t="inlineStr">
        <is>
          <t>Donovan  Gosher</t>
        </is>
      </c>
      <c r="E16" s="10" t="inlineStr">
        <is>
          <t>Barry Bright</t>
        </is>
      </c>
      <c r="F16" s="29" t="n"/>
      <c r="G16" s="29" t="n"/>
      <c r="H16" s="20">
        <f>IFERROR(SUMPRODUCT(('Data - Skillko'!I$5:I$1547=B16)*('Data - Skillko'!D$5:D$1547="Total")*('Data - Skillko'!C$5:C$1547&lt;&gt;"Total")*('Data - Skillko'!C$5:C$1547&lt;&gt;"")*(NOT(ISNUMBER(SEARCH(B16,'Data - Skillko'!C$5:C$1547))))),0)</f>
        <v/>
      </c>
      <c r="I16" s="10" t="inlineStr">
        <is>
          <t>Active</t>
        </is>
      </c>
    </row>
    <row r="17" ht="18" customHeight="1" s="146">
      <c r="A17" s="6" t="inlineStr">
        <is>
          <t>FT-013</t>
        </is>
      </c>
      <c r="B17" s="28" t="inlineStr">
        <is>
          <t>Tree Tech Suffolk Ltd</t>
        </is>
      </c>
      <c r="C17" s="6" t="inlineStr">
        <is>
          <t>Utility Arboriculture</t>
        </is>
      </c>
      <c r="D17" s="6" t="inlineStr">
        <is>
          <t>Donovan  Gosher</t>
        </is>
      </c>
      <c r="E17" s="6" t="inlineStr">
        <is>
          <t>Barry Bright</t>
        </is>
      </c>
      <c r="F17" s="29" t="n"/>
      <c r="G17" s="29" t="n"/>
      <c r="H17" s="20">
        <f>IFERROR(SUMPRODUCT(('Data - Skillko'!I$5:I$1547=B17)*('Data - Skillko'!D$5:D$1547="Total")*('Data - Skillko'!C$5:C$1547&lt;&gt;"Total")*('Data - Skillko'!C$5:C$1547&lt;&gt;"")*(NOT(ISNUMBER(SEARCH(B17,'Data - Skillko'!C$5:C$1547))))),0)</f>
        <v/>
      </c>
      <c r="I17" s="6" t="inlineStr">
        <is>
          <t>Active</t>
        </is>
      </c>
    </row>
    <row r="18" ht="18" customHeight="1" s="146">
      <c r="A18" s="10" t="inlineStr">
        <is>
          <t>FT-014</t>
        </is>
      </c>
      <c r="B18" s="30" t="inlineStr">
        <is>
          <t>Tree Tops Arborist</t>
        </is>
      </c>
      <c r="C18" s="10" t="inlineStr">
        <is>
          <t>Utility Arboriculture</t>
        </is>
      </c>
      <c r="D18" s="10" t="inlineStr">
        <is>
          <t>Donovan  Gosher</t>
        </is>
      </c>
      <c r="E18" s="10" t="inlineStr">
        <is>
          <t>Barry Bright</t>
        </is>
      </c>
      <c r="F18" s="29" t="n"/>
      <c r="G18" s="29" t="n"/>
      <c r="H18" s="20">
        <f>IFERROR(SUMPRODUCT(('Data - Skillko'!I$5:I$1547=B18)*('Data - Skillko'!D$5:D$1547="Total")*('Data - Skillko'!C$5:C$1547&lt;&gt;"Total")*('Data - Skillko'!C$5:C$1547&lt;&gt;"")*(NOT(ISNUMBER(SEARCH(B18,'Data - Skillko'!C$5:C$1547))))),0)</f>
        <v/>
      </c>
      <c r="I18" s="10" t="inlineStr">
        <is>
          <t>Active</t>
        </is>
      </c>
    </row>
    <row r="19" ht="18" customHeight="1" s="146">
      <c r="A19" s="6" t="inlineStr">
        <is>
          <t>FT-015</t>
        </is>
      </c>
      <c r="B19" s="28" t="inlineStr">
        <is>
          <t>Valiant Arborist Ltd</t>
        </is>
      </c>
      <c r="C19" s="6" t="inlineStr">
        <is>
          <t>Utility Arboriculture</t>
        </is>
      </c>
      <c r="D19" s="6" t="inlineStr">
        <is>
          <t>Donovan  Gosher</t>
        </is>
      </c>
      <c r="E19" s="6" t="inlineStr">
        <is>
          <t>Barry Bright</t>
        </is>
      </c>
      <c r="F19" s="29" t="n"/>
      <c r="G19" s="29" t="n"/>
      <c r="H19" s="20">
        <f>IFERROR(SUMPRODUCT(('Data - Skillko'!I$5:I$1547=B19)*('Data - Skillko'!D$5:D$1547="Total")*('Data - Skillko'!C$5:C$1547&lt;&gt;"Total")*('Data - Skillko'!C$5:C$1547&lt;&gt;"")*(NOT(ISNUMBER(SEARCH(B19,'Data - Skillko'!C$5:C$1547))))),0)</f>
        <v/>
      </c>
      <c r="I19" s="6" t="inlineStr">
        <is>
          <t>Active</t>
        </is>
      </c>
    </row>
    <row r="20" ht="18" customHeight="1" s="146">
      <c r="A20" s="10" t="inlineStr">
        <is>
          <t>FT-016</t>
        </is>
      </c>
      <c r="B20" s="30" t="inlineStr">
        <is>
          <t>A J Arborists Ltd</t>
        </is>
      </c>
      <c r="C20" s="10" t="inlineStr">
        <is>
          <t>Utility Arboriculture</t>
        </is>
      </c>
      <c r="D20" s="10" t="inlineStr">
        <is>
          <t>Donovan  Gosher</t>
        </is>
      </c>
      <c r="E20" s="10" t="inlineStr">
        <is>
          <t>Jake Bolwell</t>
        </is>
      </c>
      <c r="F20" s="29" t="n"/>
      <c r="G20" s="29" t="n"/>
      <c r="H20" s="20">
        <f>IFERROR(SUMPRODUCT(('Data - Skillko'!I$5:I$1547=B20)*('Data - Skillko'!D$5:D$1547="Total")*('Data - Skillko'!C$5:C$1547&lt;&gt;"Total")*('Data - Skillko'!C$5:C$1547&lt;&gt;"")*(NOT(ISNUMBER(SEARCH(B20,'Data - Skillko'!C$5:C$1547))))),0)</f>
        <v/>
      </c>
      <c r="I20" s="10" t="inlineStr">
        <is>
          <t>Active</t>
        </is>
      </c>
    </row>
    <row r="21" ht="18" customHeight="1" s="146">
      <c r="A21" s="6" t="inlineStr">
        <is>
          <t>FT-017</t>
        </is>
      </c>
      <c r="B21" s="28" t="inlineStr">
        <is>
          <t>Andrew Munns Tree Surgery Ltd</t>
        </is>
      </c>
      <c r="C21" s="6" t="inlineStr">
        <is>
          <t>Utility Arboriculture</t>
        </is>
      </c>
      <c r="D21" s="6" t="inlineStr">
        <is>
          <t>Donovan  Gosher</t>
        </is>
      </c>
      <c r="E21" s="6" t="inlineStr">
        <is>
          <t>Jake Bolwell</t>
        </is>
      </c>
      <c r="F21" s="29" t="n"/>
      <c r="G21" s="29" t="n"/>
      <c r="H21" s="20">
        <f>IFERROR(SUMPRODUCT(('Data - Skillko'!I$5:I$1547=B21)*('Data - Skillko'!D$5:D$1547="Total")*('Data - Skillko'!C$5:C$1547&lt;&gt;"Total")*('Data - Skillko'!C$5:C$1547&lt;&gt;"")*(NOT(ISNUMBER(SEARCH(B21,'Data - Skillko'!C$5:C$1547))))),0)</f>
        <v/>
      </c>
      <c r="I21" s="6" t="inlineStr">
        <is>
          <t>Active</t>
        </is>
      </c>
    </row>
    <row r="22" ht="18" customHeight="1" s="146">
      <c r="A22" s="10" t="inlineStr">
        <is>
          <t>FT-018</t>
        </is>
      </c>
      <c r="B22" s="30" t="inlineStr">
        <is>
          <t>Bourne VP</t>
        </is>
      </c>
      <c r="C22" s="10" t="inlineStr">
        <is>
          <t>Utility Arboriculture</t>
        </is>
      </c>
      <c r="D22" s="10" t="inlineStr">
        <is>
          <t>Donovan  Gosher</t>
        </is>
      </c>
      <c r="E22" s="10" t="inlineStr">
        <is>
          <t>Jake Bolwell</t>
        </is>
      </c>
      <c r="F22" s="29" t="n"/>
      <c r="G22" s="29" t="n"/>
      <c r="H22" s="20">
        <f>IFERROR(SUMPRODUCT(('Data - Skillko'!I$5:I$1547=B22)*('Data - Skillko'!D$5:D$1547="Total")*('Data - Skillko'!C$5:C$1547&lt;&gt;"Total")*('Data - Skillko'!C$5:C$1547&lt;&gt;"")*(NOT(ISNUMBER(SEARCH(B22,'Data - Skillko'!C$5:C$1547))))),0)</f>
        <v/>
      </c>
      <c r="I22" s="10" t="inlineStr">
        <is>
          <t>Active</t>
        </is>
      </c>
    </row>
    <row r="23" ht="18" customHeight="1" s="146">
      <c r="A23" s="6" t="inlineStr">
        <is>
          <t>FT-019</t>
        </is>
      </c>
      <c r="B23" s="28" t="inlineStr">
        <is>
          <t>Brinksworth Tree Services Ltd</t>
        </is>
      </c>
      <c r="C23" s="6" t="inlineStr">
        <is>
          <t>Utility Arboriculture</t>
        </is>
      </c>
      <c r="D23" s="6" t="inlineStr">
        <is>
          <t>Donovan  Gosher</t>
        </is>
      </c>
      <c r="E23" s="6" t="inlineStr">
        <is>
          <t>Jake Bolwell</t>
        </is>
      </c>
      <c r="F23" s="29" t="n"/>
      <c r="G23" s="29" t="n"/>
      <c r="H23" s="20">
        <f>IFERROR(SUMPRODUCT(('Data - Skillko'!I$5:I$1547=B23)*('Data - Skillko'!D$5:D$1547="Total")*('Data - Skillko'!C$5:C$1547&lt;&gt;"Total")*('Data - Skillko'!C$5:C$1547&lt;&gt;"")*(NOT(ISNUMBER(SEARCH(B23,'Data - Skillko'!C$5:C$1547))))),0)</f>
        <v/>
      </c>
      <c r="I23" s="6" t="inlineStr">
        <is>
          <t>Active</t>
        </is>
      </c>
    </row>
    <row r="24" ht="18" customHeight="1" s="146">
      <c r="A24" s="10" t="inlineStr">
        <is>
          <t>FT-020</t>
        </is>
      </c>
      <c r="B24" s="30" t="inlineStr">
        <is>
          <t>C G Tree Cutting Services</t>
        </is>
      </c>
      <c r="C24" s="10" t="inlineStr">
        <is>
          <t>Utility Arboriculture</t>
        </is>
      </c>
      <c r="D24" s="10" t="inlineStr">
        <is>
          <t>Donovan  Gosher</t>
        </is>
      </c>
      <c r="E24" s="10" t="inlineStr">
        <is>
          <t>Jake Bolwell</t>
        </is>
      </c>
      <c r="F24" s="29" t="n"/>
      <c r="G24" s="29" t="n"/>
      <c r="H24" s="20">
        <f>IFERROR(SUMPRODUCT(('Data - Skillko'!I$5:I$1547=B24)*('Data - Skillko'!D$5:D$1547="Total")*('Data - Skillko'!C$5:C$1547&lt;&gt;"Total")*('Data - Skillko'!C$5:C$1547&lt;&gt;"")*(NOT(ISNUMBER(SEARCH(B24,'Data - Skillko'!C$5:C$1547))))),0)</f>
        <v/>
      </c>
      <c r="I24" s="10" t="inlineStr">
        <is>
          <t>Active</t>
        </is>
      </c>
    </row>
    <row r="25" ht="18" customHeight="1" s="146">
      <c r="A25" s="6" t="inlineStr">
        <is>
          <t>FT-021</t>
        </is>
      </c>
      <c r="B25" s="28" t="inlineStr">
        <is>
          <t>Central Tree Maintenance</t>
        </is>
      </c>
      <c r="C25" s="6" t="inlineStr">
        <is>
          <t>Utility Arboriculture</t>
        </is>
      </c>
      <c r="D25" s="6" t="inlineStr">
        <is>
          <t>Donovan  Gosher</t>
        </is>
      </c>
      <c r="E25" s="6" t="inlineStr">
        <is>
          <t>Jake Bolwell</t>
        </is>
      </c>
      <c r="F25" s="29" t="n"/>
      <c r="G25" s="29" t="n"/>
      <c r="H25" s="20">
        <f>IFERROR(SUMPRODUCT(('Data - Skillko'!I$5:I$1547=B25)*('Data - Skillko'!D$5:D$1547="Total")*('Data - Skillko'!C$5:C$1547&lt;&gt;"Total")*('Data - Skillko'!C$5:C$1547&lt;&gt;"")*(NOT(ISNUMBER(SEARCH(B25,'Data - Skillko'!C$5:C$1547))))),0)</f>
        <v/>
      </c>
      <c r="I25" s="6" t="inlineStr">
        <is>
          <t>Active</t>
        </is>
      </c>
    </row>
    <row r="26" ht="18" customHeight="1" s="146">
      <c r="A26" s="10" t="inlineStr">
        <is>
          <t>FT-022</t>
        </is>
      </c>
      <c r="B26" s="30" t="inlineStr">
        <is>
          <t>Flint Tree Surgeons</t>
        </is>
      </c>
      <c r="C26" s="10" t="inlineStr">
        <is>
          <t>Utility Arboriculture</t>
        </is>
      </c>
      <c r="D26" s="10" t="inlineStr">
        <is>
          <t>Donovan  Gosher</t>
        </is>
      </c>
      <c r="E26" s="10" t="inlineStr">
        <is>
          <t>Jake Bolwell</t>
        </is>
      </c>
      <c r="F26" s="29" t="n"/>
      <c r="G26" s="29" t="n"/>
      <c r="H26" s="20">
        <f>IFERROR(SUMPRODUCT(('Data - Skillko'!I$5:I$1547=B26)*('Data - Skillko'!D$5:D$1547="Total")*('Data - Skillko'!C$5:C$1547&lt;&gt;"Total")*('Data - Skillko'!C$5:C$1547&lt;&gt;"")*(NOT(ISNUMBER(SEARCH(B26,'Data - Skillko'!C$5:C$1547))))),0)</f>
        <v/>
      </c>
      <c r="I26" s="10" t="inlineStr">
        <is>
          <t>Active</t>
        </is>
      </c>
    </row>
    <row r="27" ht="18" customHeight="1" s="146">
      <c r="A27" s="6" t="inlineStr">
        <is>
          <t>FT-023</t>
        </is>
      </c>
      <c r="B27" s="28" t="inlineStr">
        <is>
          <t>George Harris Tree Services</t>
        </is>
      </c>
      <c r="C27" s="6" t="inlineStr">
        <is>
          <t>Utility Arboriculture</t>
        </is>
      </c>
      <c r="D27" s="6" t="inlineStr">
        <is>
          <t>Donovan  Gosher</t>
        </is>
      </c>
      <c r="E27" s="6" t="inlineStr">
        <is>
          <t>Jake Bolwell</t>
        </is>
      </c>
      <c r="F27" s="29" t="n"/>
      <c r="G27" s="29" t="n"/>
      <c r="H27" s="20">
        <f>IFERROR(SUMPRODUCT(('Data - Skillko'!I$5:I$1547=B27)*('Data - Skillko'!D$5:D$1547="Total")*('Data - Skillko'!C$5:C$1547&lt;&gt;"Total")*('Data - Skillko'!C$5:C$1547&lt;&gt;"")*(NOT(ISNUMBER(SEARCH(B27,'Data - Skillko'!C$5:C$1547))))),0)</f>
        <v/>
      </c>
      <c r="I27" s="6" t="inlineStr">
        <is>
          <t>Active</t>
        </is>
      </c>
    </row>
    <row r="28" ht="18" customHeight="1" s="146">
      <c r="A28" s="10" t="inlineStr">
        <is>
          <t>FT-024</t>
        </is>
      </c>
      <c r="B28" s="30" t="inlineStr">
        <is>
          <t>HJ Tree Services</t>
        </is>
      </c>
      <c r="C28" s="10" t="inlineStr">
        <is>
          <t>Utility Arboriculture</t>
        </is>
      </c>
      <c r="D28" s="10" t="inlineStr">
        <is>
          <t>Donovan  Gosher</t>
        </is>
      </c>
      <c r="E28" s="10" t="inlineStr">
        <is>
          <t>Jake Bolwell</t>
        </is>
      </c>
      <c r="F28" s="29" t="n"/>
      <c r="G28" s="29" t="n"/>
      <c r="H28" s="20">
        <f>IFERROR(SUMPRODUCT(('Data - Skillko'!I$5:I$1547=B28)*('Data - Skillko'!D$5:D$1547="Total")*('Data - Skillko'!C$5:C$1547&lt;&gt;"Total")*('Data - Skillko'!C$5:C$1547&lt;&gt;"")*(NOT(ISNUMBER(SEARCH(B28,'Data - Skillko'!C$5:C$1547))))),0)</f>
        <v/>
      </c>
      <c r="I28" s="10" t="inlineStr">
        <is>
          <t>Active</t>
        </is>
      </c>
    </row>
    <row r="29" ht="18" customHeight="1" s="146">
      <c r="A29" s="6" t="inlineStr">
        <is>
          <t>FT-025</t>
        </is>
      </c>
      <c r="B29" s="28" t="inlineStr">
        <is>
          <t>High Branch</t>
        </is>
      </c>
      <c r="C29" s="6" t="inlineStr">
        <is>
          <t>Utility Arboriculture</t>
        </is>
      </c>
      <c r="D29" s="6" t="inlineStr">
        <is>
          <t>Donovan  Gosher</t>
        </is>
      </c>
      <c r="E29" s="6" t="inlineStr">
        <is>
          <t>Jake Bolwell</t>
        </is>
      </c>
      <c r="F29" s="29" t="n"/>
      <c r="G29" s="29" t="n"/>
      <c r="H29" s="20">
        <f>IFERROR(SUMPRODUCT(('Data - Skillko'!I$5:I$1547=B29)*('Data - Skillko'!D$5:D$1547="Total")*('Data - Skillko'!C$5:C$1547&lt;&gt;"Total")*('Data - Skillko'!C$5:C$1547&lt;&gt;"")*(NOT(ISNUMBER(SEARCH(B29,'Data - Skillko'!C$5:C$1547))))),0)</f>
        <v/>
      </c>
      <c r="I29" s="6" t="inlineStr">
        <is>
          <t>Active</t>
        </is>
      </c>
    </row>
    <row r="30" ht="18" customHeight="1" s="146">
      <c r="A30" s="10" t="inlineStr">
        <is>
          <t>FT-026</t>
        </is>
      </c>
      <c r="B30" s="30" t="inlineStr">
        <is>
          <t>Housman Tree Services Ltd</t>
        </is>
      </c>
      <c r="C30" s="10" t="inlineStr">
        <is>
          <t>Utility Arboriculture</t>
        </is>
      </c>
      <c r="D30" s="10" t="inlineStr">
        <is>
          <t>Donovan  Gosher</t>
        </is>
      </c>
      <c r="E30" s="10" t="inlineStr">
        <is>
          <t>Jake Bolwell</t>
        </is>
      </c>
      <c r="F30" s="29" t="n"/>
      <c r="G30" s="29" t="n"/>
      <c r="H30" s="20">
        <f>IFERROR(SUMPRODUCT(('Data - Skillko'!I$5:I$1547=B30)*('Data - Skillko'!D$5:D$1547="Total")*('Data - Skillko'!C$5:C$1547&lt;&gt;"Total")*('Data - Skillko'!C$5:C$1547&lt;&gt;"")*(NOT(ISNUMBER(SEARCH(B30,'Data - Skillko'!C$5:C$1547))))),0)</f>
        <v/>
      </c>
      <c r="I30" s="10" t="inlineStr">
        <is>
          <t>Active</t>
        </is>
      </c>
    </row>
    <row r="31" ht="18" customHeight="1" s="146">
      <c r="A31" s="6" t="inlineStr">
        <is>
          <t>FT-027</t>
        </is>
      </c>
      <c r="B31" s="28" t="inlineStr">
        <is>
          <t>JPAS Contracting Ltd</t>
        </is>
      </c>
      <c r="C31" s="6" t="inlineStr">
        <is>
          <t>Utility Arboriculture</t>
        </is>
      </c>
      <c r="D31" s="6" t="inlineStr">
        <is>
          <t>Donovan  Gosher</t>
        </is>
      </c>
      <c r="E31" s="6" t="inlineStr">
        <is>
          <t>Jake Bolwell</t>
        </is>
      </c>
      <c r="F31" s="29" t="n"/>
      <c r="G31" s="29" t="n"/>
      <c r="H31" s="20">
        <f>IFERROR(SUMPRODUCT(('Data - Skillko'!I$5:I$1547=B31)*('Data - Skillko'!D$5:D$1547="Total")*('Data - Skillko'!C$5:C$1547&lt;&gt;"Total")*('Data - Skillko'!C$5:C$1547&lt;&gt;"")*(NOT(ISNUMBER(SEARCH(B31,'Data - Skillko'!C$5:C$1547))))),0)</f>
        <v/>
      </c>
      <c r="I31" s="6" t="inlineStr">
        <is>
          <t>Active</t>
        </is>
      </c>
    </row>
    <row r="32" ht="18" customHeight="1" s="146">
      <c r="A32" s="10" t="inlineStr">
        <is>
          <t>FT-028</t>
        </is>
      </c>
      <c r="B32" s="30" t="inlineStr">
        <is>
          <t>MJR Tree Works</t>
        </is>
      </c>
      <c r="C32" s="10" t="inlineStr">
        <is>
          <t>Utility Arboriculture</t>
        </is>
      </c>
      <c r="D32" s="10" t="inlineStr">
        <is>
          <t>Donovan  Gosher</t>
        </is>
      </c>
      <c r="E32" s="10" t="inlineStr">
        <is>
          <t>Jake Bolwell</t>
        </is>
      </c>
      <c r="F32" s="29" t="n"/>
      <c r="G32" s="29" t="n"/>
      <c r="H32" s="20">
        <f>IFERROR(SUMPRODUCT(('Data - Skillko'!I$5:I$1547=B32)*('Data - Skillko'!D$5:D$1547="Total")*('Data - Skillko'!C$5:C$1547&lt;&gt;"Total")*('Data - Skillko'!C$5:C$1547&lt;&gt;"")*(NOT(ISNUMBER(SEARCH(B32,'Data - Skillko'!C$5:C$1547))))),0)</f>
        <v/>
      </c>
      <c r="I32" s="10" t="inlineStr">
        <is>
          <t>Active</t>
        </is>
      </c>
    </row>
    <row r="33" ht="18" customHeight="1" s="146">
      <c r="A33" s="6" t="inlineStr">
        <is>
          <t>FT-029</t>
        </is>
      </c>
      <c r="B33" s="28" t="inlineStr">
        <is>
          <t>Mon &amp; Brec Tree Services Ltd</t>
        </is>
      </c>
      <c r="C33" s="6" t="inlineStr">
        <is>
          <t>Utility Arboriculture</t>
        </is>
      </c>
      <c r="D33" s="6" t="inlineStr">
        <is>
          <t>Donovan  Gosher</t>
        </is>
      </c>
      <c r="E33" s="6" t="inlineStr">
        <is>
          <t>Jake Bolwell</t>
        </is>
      </c>
      <c r="F33" s="29" t="n"/>
      <c r="G33" s="29" t="n"/>
      <c r="H33" s="20">
        <f>IFERROR(SUMPRODUCT(('Data - Skillko'!I$5:I$1547=B33)*('Data - Skillko'!D$5:D$1547="Total")*('Data - Skillko'!C$5:C$1547&lt;&gt;"Total")*('Data - Skillko'!C$5:C$1547&lt;&gt;"")*(NOT(ISNUMBER(SEARCH(B33,'Data - Skillko'!C$5:C$1547))))),0)</f>
        <v/>
      </c>
      <c r="I33" s="6" t="inlineStr">
        <is>
          <t>Active</t>
        </is>
      </c>
    </row>
    <row r="34" ht="18" customHeight="1" s="146">
      <c r="A34" s="10" t="inlineStr">
        <is>
          <t>FT-030</t>
        </is>
      </c>
      <c r="B34" s="30" t="inlineStr">
        <is>
          <t>Quill Hall Arboriculture Ltd</t>
        </is>
      </c>
      <c r="C34" s="10" t="inlineStr">
        <is>
          <t>Utility Arboriculture</t>
        </is>
      </c>
      <c r="D34" s="10" t="inlineStr">
        <is>
          <t>Donovan  Gosher</t>
        </is>
      </c>
      <c r="E34" s="10" t="inlineStr">
        <is>
          <t>Jake Bolwell</t>
        </is>
      </c>
      <c r="F34" s="29" t="n"/>
      <c r="G34" s="29" t="n"/>
      <c r="H34" s="20">
        <f>IFERROR(SUMPRODUCT(('Data - Skillko'!I$5:I$1547=B34)*('Data - Skillko'!D$5:D$1547="Total")*('Data - Skillko'!C$5:C$1547&lt;&gt;"Total")*('Data - Skillko'!C$5:C$1547&lt;&gt;"")*(NOT(ISNUMBER(SEARCH(B34,'Data - Skillko'!C$5:C$1547))))),0)</f>
        <v/>
      </c>
      <c r="I34" s="10" t="inlineStr">
        <is>
          <t>Active</t>
        </is>
      </c>
    </row>
    <row r="35" ht="18" customHeight="1" s="146">
      <c r="A35" s="6" t="inlineStr">
        <is>
          <t>FT-031</t>
        </is>
      </c>
      <c r="B35" s="28" t="inlineStr">
        <is>
          <t>RFP Tree and Landscape Services Ltd</t>
        </is>
      </c>
      <c r="C35" s="6" t="inlineStr">
        <is>
          <t>Utility Arboriculture</t>
        </is>
      </c>
      <c r="D35" s="6" t="inlineStr">
        <is>
          <t>Donovan  Gosher</t>
        </is>
      </c>
      <c r="E35" s="6" t="inlineStr">
        <is>
          <t>Jake Bolwell</t>
        </is>
      </c>
      <c r="F35" s="29" t="n"/>
      <c r="G35" s="29" t="n"/>
      <c r="H35" s="20">
        <f>IFERROR(SUMPRODUCT(('Data - Skillko'!I$5:I$1547=B35)*('Data - Skillko'!D$5:D$1547="Total")*('Data - Skillko'!C$5:C$1547&lt;&gt;"Total")*('Data - Skillko'!C$5:C$1547&lt;&gt;"")*(NOT(ISNUMBER(SEARCH(B35,'Data - Skillko'!C$5:C$1547))))),0)</f>
        <v/>
      </c>
      <c r="I35" s="6" t="inlineStr">
        <is>
          <t>Active</t>
        </is>
      </c>
    </row>
    <row r="36" ht="18" customHeight="1" s="146">
      <c r="A36" s="10" t="inlineStr">
        <is>
          <t>FT-032</t>
        </is>
      </c>
      <c r="B36" s="30" t="inlineStr">
        <is>
          <t>Roots 2 Shoots Tree Care Ltd</t>
        </is>
      </c>
      <c r="C36" s="10" t="inlineStr">
        <is>
          <t>Utility Arboriculture</t>
        </is>
      </c>
      <c r="D36" s="10" t="inlineStr">
        <is>
          <t>Donovan  Gosher</t>
        </is>
      </c>
      <c r="E36" s="10" t="inlineStr">
        <is>
          <t>Jake Bolwell</t>
        </is>
      </c>
      <c r="F36" s="29" t="n"/>
      <c r="G36" s="29" t="n"/>
      <c r="H36" s="20">
        <f>IFERROR(SUMPRODUCT(('Data - Skillko'!I$5:I$1547=B36)*('Data - Skillko'!D$5:D$1547="Total")*('Data - Skillko'!C$5:C$1547&lt;&gt;"Total")*('Data - Skillko'!C$5:C$1547&lt;&gt;"")*(NOT(ISNUMBER(SEARCH(B36,'Data - Skillko'!C$5:C$1547))))),0)</f>
        <v/>
      </c>
      <c r="I36" s="10" t="inlineStr">
        <is>
          <t>Active</t>
        </is>
      </c>
    </row>
    <row r="37" ht="18" customHeight="1" s="146">
      <c r="A37" s="6" t="inlineStr">
        <is>
          <t>FT-033</t>
        </is>
      </c>
      <c r="B37" s="28" t="inlineStr">
        <is>
          <t>TRACCS South West LTD</t>
        </is>
      </c>
      <c r="C37" s="6" t="inlineStr">
        <is>
          <t>Utility Arboriculture</t>
        </is>
      </c>
      <c r="D37" s="6" t="inlineStr">
        <is>
          <t>Donovan  Gosher</t>
        </is>
      </c>
      <c r="E37" s="6" t="inlineStr">
        <is>
          <t>Jake Bolwell</t>
        </is>
      </c>
      <c r="F37" s="29" t="n"/>
      <c r="G37" s="29" t="n"/>
      <c r="H37" s="20">
        <f>IFERROR(SUMPRODUCT(('Data - Skillko'!I$5:I$1547=B37)*('Data - Skillko'!D$5:D$1547="Total")*('Data - Skillko'!C$5:C$1547&lt;&gt;"Total")*('Data - Skillko'!C$5:C$1547&lt;&gt;"")*(NOT(ISNUMBER(SEARCH(B37,'Data - Skillko'!C$5:C$1547))))),0)</f>
        <v/>
      </c>
      <c r="I37" s="6" t="inlineStr">
        <is>
          <t>Active</t>
        </is>
      </c>
    </row>
    <row r="38" ht="18" customHeight="1" s="146">
      <c r="A38" s="10" t="inlineStr">
        <is>
          <t>FT-034</t>
        </is>
      </c>
      <c r="B38" s="30" t="inlineStr">
        <is>
          <t>Treerebral Ltd</t>
        </is>
      </c>
      <c r="C38" s="10" t="inlineStr">
        <is>
          <t>Utility Arboriculture</t>
        </is>
      </c>
      <c r="D38" s="10" t="inlineStr">
        <is>
          <t>Donovan  Gosher</t>
        </is>
      </c>
      <c r="E38" s="10" t="inlineStr">
        <is>
          <t>Jake Bolwell</t>
        </is>
      </c>
      <c r="F38" s="29" t="n"/>
      <c r="G38" s="29" t="n"/>
      <c r="H38" s="20">
        <f>IFERROR(SUMPRODUCT(('Data - Skillko'!I$5:I$1547=B38)*('Data - Skillko'!D$5:D$1547="Total")*('Data - Skillko'!C$5:C$1547&lt;&gt;"Total")*('Data - Skillko'!C$5:C$1547&lt;&gt;"")*(NOT(ISNUMBER(SEARCH(B38,'Data - Skillko'!C$5:C$1547))))),0)</f>
        <v/>
      </c>
      <c r="I38" s="10" t="inlineStr">
        <is>
          <t>Active</t>
        </is>
      </c>
    </row>
    <row r="39" ht="18" customHeight="1" s="146">
      <c r="A39" s="6" t="inlineStr">
        <is>
          <t>FT-035</t>
        </is>
      </c>
      <c r="B39" s="28" t="inlineStr">
        <is>
          <t>Two Counties Tree Care Ltd</t>
        </is>
      </c>
      <c r="C39" s="6" t="inlineStr">
        <is>
          <t>Utility Arboriculture</t>
        </is>
      </c>
      <c r="D39" s="6" t="inlineStr">
        <is>
          <t>Donovan  Gosher</t>
        </is>
      </c>
      <c r="E39" s="6" t="inlineStr">
        <is>
          <t>Jake Bolwell</t>
        </is>
      </c>
      <c r="F39" s="29" t="n"/>
      <c r="G39" s="29" t="n"/>
      <c r="H39" s="20">
        <f>IFERROR(SUMPRODUCT(('Data - Skillko'!I$5:I$1547=B39)*('Data - Skillko'!D$5:D$1547="Total")*('Data - Skillko'!C$5:C$1547&lt;&gt;"Total")*('Data - Skillko'!C$5:C$1547&lt;&gt;"")*(NOT(ISNUMBER(SEARCH(B39,'Data - Skillko'!C$5:C$1547))))),0)</f>
        <v/>
      </c>
      <c r="I39" s="6" t="inlineStr">
        <is>
          <t>Active</t>
        </is>
      </c>
    </row>
    <row r="40" ht="18" customHeight="1" s="146">
      <c r="A40" s="10" t="inlineStr">
        <is>
          <t>FT-036</t>
        </is>
      </c>
      <c r="B40" s="30" t="inlineStr">
        <is>
          <t>Vale Tree Surgeons</t>
        </is>
      </c>
      <c r="C40" s="10" t="inlineStr">
        <is>
          <t>Utility Arboriculture</t>
        </is>
      </c>
      <c r="D40" s="10" t="inlineStr">
        <is>
          <t>Donovan  Gosher</t>
        </is>
      </c>
      <c r="E40" s="10" t="inlineStr">
        <is>
          <t>Jake Bolwell</t>
        </is>
      </c>
      <c r="F40" s="29" t="n"/>
      <c r="G40" s="29" t="n"/>
      <c r="H40" s="20">
        <f>IFERROR(SUMPRODUCT(('Data - Skillko'!I$5:I$1547=B40)*('Data - Skillko'!D$5:D$1547="Total")*('Data - Skillko'!C$5:C$1547&lt;&gt;"Total")*('Data - Skillko'!C$5:C$1547&lt;&gt;"")*(NOT(ISNUMBER(SEARCH(B40,'Data - Skillko'!C$5:C$1547))))),0)</f>
        <v/>
      </c>
      <c r="I40" s="10" t="inlineStr">
        <is>
          <t>Active</t>
        </is>
      </c>
    </row>
    <row r="41" ht="18" customHeight="1" s="146">
      <c r="A41" s="6" t="inlineStr">
        <is>
          <t>FT-037</t>
        </is>
      </c>
      <c r="B41" s="28" t="inlineStr">
        <is>
          <t>LT Countryside Services Ltd</t>
        </is>
      </c>
      <c r="C41" s="6" t="inlineStr">
        <is>
          <t>Utility Arboriculture</t>
        </is>
      </c>
      <c r="D41" s="6" t="inlineStr">
        <is>
          <t>Donovan  Gosher</t>
        </is>
      </c>
      <c r="E41" s="6" t="inlineStr">
        <is>
          <t>Jon Addis|Jake Bolwell</t>
        </is>
      </c>
      <c r="F41" s="29" t="n"/>
      <c r="G41" s="29" t="n"/>
      <c r="H41" s="20">
        <f>IFERROR(SUMPRODUCT(('Data - Skillko'!I$5:I$1547=B41)*('Data - Skillko'!D$5:D$1547="Total")*('Data - Skillko'!C$5:C$1547&lt;&gt;"Total")*('Data - Skillko'!C$5:C$1547&lt;&gt;"")*(NOT(ISNUMBER(SEARCH(B41,'Data - Skillko'!C$5:C$1547))))),0)</f>
        <v/>
      </c>
      <c r="I41" s="6" t="inlineStr">
        <is>
          <t>Active</t>
        </is>
      </c>
    </row>
    <row r="42" ht="18" customHeight="1" s="146">
      <c r="A42" s="10" t="inlineStr">
        <is>
          <t>FT-038</t>
        </is>
      </c>
      <c r="B42" s="30" t="inlineStr">
        <is>
          <t>ACME Arb Ltd (Pend Arb Utility)</t>
        </is>
      </c>
      <c r="C42" s="10" t="inlineStr">
        <is>
          <t>Utility Arboriculture</t>
        </is>
      </c>
      <c r="D42" s="10" t="inlineStr">
        <is>
          <t>Donovan  Gosher</t>
        </is>
      </c>
      <c r="E42" s="10" t="inlineStr">
        <is>
          <t>Paul Shaw</t>
        </is>
      </c>
      <c r="F42" s="29" t="n"/>
      <c r="G42" s="29" t="n"/>
      <c r="H42" s="20">
        <f>IFERROR(SUMPRODUCT(('Data - Skillko'!I$5:I$1547=B42)*('Data - Skillko'!D$5:D$1547="Total")*('Data - Skillko'!C$5:C$1547&lt;&gt;"Total")*('Data - Skillko'!C$5:C$1547&lt;&gt;"")*(NOT(ISNUMBER(SEARCH(B42,'Data - Skillko'!C$5:C$1547))))),0)</f>
        <v/>
      </c>
      <c r="I42" s="10" t="inlineStr">
        <is>
          <t>Active</t>
        </is>
      </c>
    </row>
    <row r="43" ht="18" customHeight="1" s="146">
      <c r="A43" s="6" t="inlineStr">
        <is>
          <t>FT-039</t>
        </is>
      </c>
      <c r="B43" s="28" t="inlineStr">
        <is>
          <t>Astbury Tree Care</t>
        </is>
      </c>
      <c r="C43" s="6" t="inlineStr">
        <is>
          <t>Utility Arboriculture</t>
        </is>
      </c>
      <c r="D43" s="6" t="inlineStr">
        <is>
          <t>Donovan  Gosher</t>
        </is>
      </c>
      <c r="E43" s="6" t="inlineStr">
        <is>
          <t>Paul Shaw</t>
        </is>
      </c>
      <c r="F43" s="29" t="n"/>
      <c r="G43" s="29" t="n"/>
      <c r="H43" s="20">
        <f>IFERROR(SUMPRODUCT(('Data - Skillko'!I$5:I$1547=B43)*('Data - Skillko'!D$5:D$1547="Total")*('Data - Skillko'!C$5:C$1547&lt;&gt;"Total")*('Data - Skillko'!C$5:C$1547&lt;&gt;"")*(NOT(ISNUMBER(SEARCH(B43,'Data - Skillko'!C$5:C$1547))))),0)</f>
        <v/>
      </c>
      <c r="I43" s="6" t="inlineStr">
        <is>
          <t>Active</t>
        </is>
      </c>
    </row>
    <row r="44" ht="18" customHeight="1" s="146">
      <c r="A44" s="10" t="inlineStr">
        <is>
          <t>FT-040</t>
        </is>
      </c>
      <c r="B44" s="30" t="inlineStr">
        <is>
          <t>Bathams Tree Care Ltd</t>
        </is>
      </c>
      <c r="C44" s="10" t="inlineStr">
        <is>
          <t>Utility Arboriculture</t>
        </is>
      </c>
      <c r="D44" s="10" t="inlineStr">
        <is>
          <t>Donovan  Gosher</t>
        </is>
      </c>
      <c r="E44" s="10" t="inlineStr">
        <is>
          <t>Paul Shaw</t>
        </is>
      </c>
      <c r="F44" s="29" t="n"/>
      <c r="G44" s="29" t="n"/>
      <c r="H44" s="20">
        <f>IFERROR(SUMPRODUCT(('Data - Skillko'!I$5:I$1547=B44)*('Data - Skillko'!D$5:D$1547="Total")*('Data - Skillko'!C$5:C$1547&lt;&gt;"Total")*('Data - Skillko'!C$5:C$1547&lt;&gt;"")*(NOT(ISNUMBER(SEARCH(B44,'Data - Skillko'!C$5:C$1547))))),0)</f>
        <v/>
      </c>
      <c r="I44" s="10" t="inlineStr">
        <is>
          <t>Active</t>
        </is>
      </c>
    </row>
    <row r="45" ht="18" customHeight="1" s="146">
      <c r="A45" s="6" t="inlineStr">
        <is>
          <t>FT-041</t>
        </is>
      </c>
      <c r="B45" s="28" t="inlineStr">
        <is>
          <t>Belvoir Tree Care</t>
        </is>
      </c>
      <c r="C45" s="6" t="inlineStr">
        <is>
          <t>Utility Arboriculture</t>
        </is>
      </c>
      <c r="D45" s="6" t="inlineStr">
        <is>
          <t>Donovan  Gosher</t>
        </is>
      </c>
      <c r="E45" s="6" t="inlineStr">
        <is>
          <t>Paul Shaw</t>
        </is>
      </c>
      <c r="F45" s="29" t="n"/>
      <c r="G45" s="29" t="n"/>
      <c r="H45" s="20">
        <f>IFERROR(SUMPRODUCT(('Data - Skillko'!I$5:I$1547=B45)*('Data - Skillko'!D$5:D$1547="Total")*('Data - Skillko'!C$5:C$1547&lt;&gt;"Total")*('Data - Skillko'!C$5:C$1547&lt;&gt;"")*(NOT(ISNUMBER(SEARCH(B45,'Data - Skillko'!C$5:C$1547))))),0)</f>
        <v/>
      </c>
      <c r="I45" s="6" t="inlineStr">
        <is>
          <t>Active</t>
        </is>
      </c>
    </row>
    <row r="46" ht="18" customHeight="1" s="146">
      <c r="A46" s="10" t="inlineStr">
        <is>
          <t>FT-042</t>
        </is>
      </c>
      <c r="B46" s="30" t="inlineStr">
        <is>
          <t>Cedar Park Tree Care Ltd</t>
        </is>
      </c>
      <c r="C46" s="10" t="inlineStr">
        <is>
          <t>Utility Arboriculture</t>
        </is>
      </c>
      <c r="D46" s="10" t="inlineStr">
        <is>
          <t>Donovan  Gosher</t>
        </is>
      </c>
      <c r="E46" s="10" t="inlineStr">
        <is>
          <t>Paul Shaw</t>
        </is>
      </c>
      <c r="F46" s="29" t="n"/>
      <c r="G46" s="29" t="n"/>
      <c r="H46" s="20">
        <f>IFERROR(SUMPRODUCT(('Data - Skillko'!I$5:I$1547=B46)*('Data - Skillko'!D$5:D$1547="Total")*('Data - Skillko'!C$5:C$1547&lt;&gt;"Total")*('Data - Skillko'!C$5:C$1547&lt;&gt;"")*(NOT(ISNUMBER(SEARCH(B46,'Data - Skillko'!C$5:C$1547))))),0)</f>
        <v/>
      </c>
      <c r="I46" s="10" t="inlineStr">
        <is>
          <t>Active</t>
        </is>
      </c>
    </row>
    <row r="47" ht="18" customHeight="1" s="146">
      <c r="A47" s="6" t="inlineStr">
        <is>
          <t>FT-043</t>
        </is>
      </c>
      <c r="B47" s="28" t="inlineStr">
        <is>
          <t>Cliff Tree Services Ian</t>
        </is>
      </c>
      <c r="C47" s="6" t="inlineStr">
        <is>
          <t>Utility Arboriculture</t>
        </is>
      </c>
      <c r="D47" s="6" t="inlineStr">
        <is>
          <t>Donovan  Gosher</t>
        </is>
      </c>
      <c r="E47" s="6" t="inlineStr">
        <is>
          <t>Paul Shaw</t>
        </is>
      </c>
      <c r="F47" s="29" t="n"/>
      <c r="G47" s="29" t="n"/>
      <c r="H47" s="20">
        <f>IFERROR(SUMPRODUCT(('Data - Skillko'!I$5:I$1547=B47)*('Data - Skillko'!D$5:D$1547="Total")*('Data - Skillko'!C$5:C$1547&lt;&gt;"Total")*('Data - Skillko'!C$5:C$1547&lt;&gt;"")*(NOT(ISNUMBER(SEARCH(B47,'Data - Skillko'!C$5:C$1547))))),0)</f>
        <v/>
      </c>
      <c r="I47" s="6" t="inlineStr">
        <is>
          <t>Active</t>
        </is>
      </c>
    </row>
    <row r="48" ht="18" customHeight="1" s="146">
      <c r="A48" s="10" t="inlineStr">
        <is>
          <t>FT-044</t>
        </is>
      </c>
      <c r="B48" s="30" t="inlineStr">
        <is>
          <t>Coxley Tree Care Ltd</t>
        </is>
      </c>
      <c r="C48" s="10" t="inlineStr">
        <is>
          <t>Utility Arboriculture</t>
        </is>
      </c>
      <c r="D48" s="10" t="inlineStr">
        <is>
          <t>Donovan  Gosher</t>
        </is>
      </c>
      <c r="E48" s="10" t="inlineStr">
        <is>
          <t>Paul Shaw</t>
        </is>
      </c>
      <c r="F48" s="29" t="n"/>
      <c r="G48" s="29" t="n"/>
      <c r="H48" s="20">
        <f>IFERROR(SUMPRODUCT(('Data - Skillko'!I$5:I$1547=B48)*('Data - Skillko'!D$5:D$1547="Total")*('Data - Skillko'!C$5:C$1547&lt;&gt;"Total")*('Data - Skillko'!C$5:C$1547&lt;&gt;"")*(NOT(ISNUMBER(SEARCH(B48,'Data - Skillko'!C$5:C$1547))))),0)</f>
        <v/>
      </c>
      <c r="I48" s="10" t="inlineStr">
        <is>
          <t>Active</t>
        </is>
      </c>
    </row>
    <row r="49" ht="18" customHeight="1" s="146">
      <c r="A49" s="6" t="inlineStr">
        <is>
          <t>FT-045</t>
        </is>
      </c>
      <c r="B49" s="28" t="inlineStr">
        <is>
          <t>Crimson Kings (Midlands) Ltd</t>
        </is>
      </c>
      <c r="C49" s="6" t="inlineStr">
        <is>
          <t>Utility Arboriculture</t>
        </is>
      </c>
      <c r="D49" s="6" t="inlineStr">
        <is>
          <t>Donovan  Gosher</t>
        </is>
      </c>
      <c r="E49" s="6" t="inlineStr">
        <is>
          <t>Paul Shaw</t>
        </is>
      </c>
      <c r="F49" s="29" t="n"/>
      <c r="G49" s="29" t="n"/>
      <c r="H49" s="20">
        <f>IFERROR(SUMPRODUCT(('Data - Skillko'!I$5:I$1547=B49)*('Data - Skillko'!D$5:D$1547="Total")*('Data - Skillko'!C$5:C$1547&lt;&gt;"Total")*('Data - Skillko'!C$5:C$1547&lt;&gt;"")*(NOT(ISNUMBER(SEARCH(B49,'Data - Skillko'!C$5:C$1547))))),0)</f>
        <v/>
      </c>
      <c r="I49" s="6" t="inlineStr">
        <is>
          <t>Active</t>
        </is>
      </c>
    </row>
    <row r="50" ht="18" customHeight="1" s="146">
      <c r="A50" s="10" t="inlineStr">
        <is>
          <t>FT-046</t>
        </is>
      </c>
      <c r="B50" s="30" t="inlineStr">
        <is>
          <t>Down To Earth Tree Management</t>
        </is>
      </c>
      <c r="C50" s="10" t="inlineStr">
        <is>
          <t>Utility Arboriculture</t>
        </is>
      </c>
      <c r="D50" s="10" t="inlineStr">
        <is>
          <t>Donovan  Gosher</t>
        </is>
      </c>
      <c r="E50" s="10" t="inlineStr">
        <is>
          <t>Paul Shaw</t>
        </is>
      </c>
      <c r="F50" s="29" t="n"/>
      <c r="G50" s="29" t="n"/>
      <c r="H50" s="20">
        <f>IFERROR(SUMPRODUCT(('Data - Skillko'!I$5:I$1547=B50)*('Data - Skillko'!D$5:D$1547="Total")*('Data - Skillko'!C$5:C$1547&lt;&gt;"Total")*('Data - Skillko'!C$5:C$1547&lt;&gt;"")*(NOT(ISNUMBER(SEARCH(B50,'Data - Skillko'!C$5:C$1547))))),0)</f>
        <v/>
      </c>
      <c r="I50" s="10" t="inlineStr">
        <is>
          <t>Active</t>
        </is>
      </c>
    </row>
    <row r="51" ht="18" customHeight="1" s="146">
      <c r="A51" s="6" t="inlineStr">
        <is>
          <t>FT-047</t>
        </is>
      </c>
      <c r="B51" s="28" t="inlineStr">
        <is>
          <t>EWS Tree Services Ltd</t>
        </is>
      </c>
      <c r="C51" s="6" t="inlineStr">
        <is>
          <t>Utility Arboriculture</t>
        </is>
      </c>
      <c r="D51" s="6" t="inlineStr">
        <is>
          <t>Donovan  Gosher</t>
        </is>
      </c>
      <c r="E51" s="6" t="inlineStr">
        <is>
          <t>Paul Shaw</t>
        </is>
      </c>
      <c r="F51" s="29" t="n"/>
      <c r="G51" s="29" t="n"/>
      <c r="H51" s="20">
        <f>IFERROR(SUMPRODUCT(('Data - Skillko'!I$5:I$1547=B51)*('Data - Skillko'!D$5:D$1547="Total")*('Data - Skillko'!C$5:C$1547&lt;&gt;"Total")*('Data - Skillko'!C$5:C$1547&lt;&gt;"")*(NOT(ISNUMBER(SEARCH(B51,'Data - Skillko'!C$5:C$1547))))),0)</f>
        <v/>
      </c>
      <c r="I51" s="6" t="inlineStr">
        <is>
          <t>Active</t>
        </is>
      </c>
    </row>
    <row r="52" ht="18" customHeight="1" s="146">
      <c r="A52" s="10" t="inlineStr">
        <is>
          <t>FT-048</t>
        </is>
      </c>
      <c r="B52" s="30" t="inlineStr">
        <is>
          <t>East Midlands Arb Ltd</t>
        </is>
      </c>
      <c r="C52" s="10" t="inlineStr">
        <is>
          <t>Utility Arboriculture</t>
        </is>
      </c>
      <c r="D52" s="10" t="inlineStr">
        <is>
          <t>Donovan  Gosher</t>
        </is>
      </c>
      <c r="E52" s="10" t="inlineStr">
        <is>
          <t>Paul Shaw</t>
        </is>
      </c>
      <c r="F52" s="29" t="n"/>
      <c r="G52" s="29" t="n"/>
      <c r="H52" s="20">
        <f>IFERROR(SUMPRODUCT(('Data - Skillko'!I$5:I$1547=B52)*('Data - Skillko'!D$5:D$1547="Total")*('Data - Skillko'!C$5:C$1547&lt;&gt;"Total")*('Data - Skillko'!C$5:C$1547&lt;&gt;"")*(NOT(ISNUMBER(SEARCH(B52,'Data - Skillko'!C$5:C$1547))))),0)</f>
        <v/>
      </c>
      <c r="I52" s="10" t="inlineStr">
        <is>
          <t>Active</t>
        </is>
      </c>
    </row>
    <row r="53" ht="18" customHeight="1" s="146">
      <c r="A53" s="6" t="inlineStr">
        <is>
          <t>FT-049</t>
        </is>
      </c>
      <c r="B53" s="28" t="inlineStr">
        <is>
          <t>GB Construction (Herts) Ltd</t>
        </is>
      </c>
      <c r="C53" s="6" t="inlineStr">
        <is>
          <t>Utility Arboriculture</t>
        </is>
      </c>
      <c r="D53" s="6" t="inlineStr">
        <is>
          <t>Donovan  Gosher</t>
        </is>
      </c>
      <c r="E53" s="6" t="inlineStr">
        <is>
          <t>Paul Shaw</t>
        </is>
      </c>
      <c r="F53" s="29" t="n"/>
      <c r="G53" s="29" t="n"/>
      <c r="H53" s="20">
        <f>IFERROR(SUMPRODUCT(('Data - Skillko'!I$5:I$1547=B53)*('Data - Skillko'!D$5:D$1547="Total")*('Data - Skillko'!C$5:C$1547&lt;&gt;"Total")*('Data - Skillko'!C$5:C$1547&lt;&gt;"")*(NOT(ISNUMBER(SEARCH(B53,'Data - Skillko'!C$5:C$1547))))),0)</f>
        <v/>
      </c>
      <c r="I53" s="6" t="inlineStr">
        <is>
          <t>Active</t>
        </is>
      </c>
    </row>
    <row r="54" ht="18" customHeight="1" s="146">
      <c r="A54" s="10" t="inlineStr">
        <is>
          <t>FT-050</t>
        </is>
      </c>
      <c r="B54" s="30" t="inlineStr">
        <is>
          <t>Greenland Services Ltd</t>
        </is>
      </c>
      <c r="C54" s="10" t="inlineStr">
        <is>
          <t>Utility Arboriculture</t>
        </is>
      </c>
      <c r="D54" s="10" t="inlineStr">
        <is>
          <t>Donovan  Gosher</t>
        </is>
      </c>
      <c r="E54" s="10" t="inlineStr">
        <is>
          <t>Paul Shaw</t>
        </is>
      </c>
      <c r="F54" s="29" t="n"/>
      <c r="G54" s="29" t="n"/>
      <c r="H54" s="20">
        <f>IFERROR(SUMPRODUCT(('Data - Skillko'!I$5:I$1547=B54)*('Data - Skillko'!D$5:D$1547="Total")*('Data - Skillko'!C$5:C$1547&lt;&gt;"Total")*('Data - Skillko'!C$5:C$1547&lt;&gt;"")*(NOT(ISNUMBER(SEARCH(B54,'Data - Skillko'!C$5:C$1547))))),0)</f>
        <v/>
      </c>
      <c r="I54" s="10" t="inlineStr">
        <is>
          <t>Active</t>
        </is>
      </c>
    </row>
    <row r="55" ht="18" customHeight="1" s="146">
      <c r="A55" s="6" t="inlineStr">
        <is>
          <t>FT-051</t>
        </is>
      </c>
      <c r="B55" s="28" t="inlineStr">
        <is>
          <t>J Ashby Tree Services</t>
        </is>
      </c>
      <c r="C55" s="6" t="inlineStr">
        <is>
          <t>Utility Arboriculture</t>
        </is>
      </c>
      <c r="D55" s="6" t="inlineStr">
        <is>
          <t>Donovan  Gosher</t>
        </is>
      </c>
      <c r="E55" s="6" t="inlineStr">
        <is>
          <t>Paul Shaw</t>
        </is>
      </c>
      <c r="F55" s="29" t="n"/>
      <c r="G55" s="29" t="n"/>
      <c r="H55" s="20">
        <f>IFERROR(SUMPRODUCT(('Data - Skillko'!I$5:I$1547=B55)*('Data - Skillko'!D$5:D$1547="Total")*('Data - Skillko'!C$5:C$1547&lt;&gt;"Total")*('Data - Skillko'!C$5:C$1547&lt;&gt;"")*(NOT(ISNUMBER(SEARCH(B55,'Data - Skillko'!C$5:C$1547))))),0)</f>
        <v/>
      </c>
      <c r="I55" s="6" t="inlineStr">
        <is>
          <t>Active</t>
        </is>
      </c>
    </row>
    <row r="56" ht="18" customHeight="1" s="146">
      <c r="A56" s="10" t="inlineStr">
        <is>
          <t>FT-052</t>
        </is>
      </c>
      <c r="B56" s="30" t="inlineStr">
        <is>
          <t>Lincolnshire Hardwoods Jim</t>
        </is>
      </c>
      <c r="C56" s="10" t="inlineStr">
        <is>
          <t>Utility Arboriculture</t>
        </is>
      </c>
      <c r="D56" s="10" t="inlineStr">
        <is>
          <t>Donovan  Gosher</t>
        </is>
      </c>
      <c r="E56" s="10" t="inlineStr">
        <is>
          <t>Paul Shaw</t>
        </is>
      </c>
      <c r="F56" s="29" t="n"/>
      <c r="G56" s="29" t="n"/>
      <c r="H56" s="20">
        <f>IFERROR(SUMPRODUCT(('Data - Skillko'!I$5:I$1547=B56)*('Data - Skillko'!D$5:D$1547="Total")*('Data - Skillko'!C$5:C$1547&lt;&gt;"Total")*('Data - Skillko'!C$5:C$1547&lt;&gt;"")*(NOT(ISNUMBER(SEARCH(B56,'Data - Skillko'!C$5:C$1547))))),0)</f>
        <v/>
      </c>
      <c r="I56" s="10" t="inlineStr">
        <is>
          <t>Active</t>
        </is>
      </c>
    </row>
    <row r="57" ht="18" customHeight="1" s="146">
      <c r="A57" s="6" t="inlineStr">
        <is>
          <t>FT-053</t>
        </is>
      </c>
      <c r="B57" s="28" t="inlineStr">
        <is>
          <t>Mmtreescape Tree Services Ltd</t>
        </is>
      </c>
      <c r="C57" s="6" t="inlineStr">
        <is>
          <t>Utility Arboriculture</t>
        </is>
      </c>
      <c r="D57" s="6" t="inlineStr">
        <is>
          <t>Donovan  Gosher</t>
        </is>
      </c>
      <c r="E57" s="6" t="inlineStr">
        <is>
          <t>Paul Shaw</t>
        </is>
      </c>
      <c r="F57" s="29" t="n"/>
      <c r="G57" s="29" t="n"/>
      <c r="H57" s="20">
        <f>IFERROR(SUMPRODUCT(('Data - Skillko'!I$5:I$1547=B57)*('Data - Skillko'!D$5:D$1547="Total")*('Data - Skillko'!C$5:C$1547&lt;&gt;"Total")*('Data - Skillko'!C$5:C$1547&lt;&gt;"")*(NOT(ISNUMBER(SEARCH(B57,'Data - Skillko'!C$5:C$1547))))),0)</f>
        <v/>
      </c>
      <c r="I57" s="6" t="inlineStr">
        <is>
          <t>Active</t>
        </is>
      </c>
    </row>
    <row r="58" ht="18" customHeight="1" s="146">
      <c r="A58" s="10" t="inlineStr">
        <is>
          <t>FT-054</t>
        </is>
      </c>
      <c r="B58" s="30" t="inlineStr">
        <is>
          <t>New Leaf Arb Ltd</t>
        </is>
      </c>
      <c r="C58" s="10" t="inlineStr">
        <is>
          <t>Utility Arboriculture</t>
        </is>
      </c>
      <c r="D58" s="10" t="inlineStr">
        <is>
          <t>Donovan  Gosher</t>
        </is>
      </c>
      <c r="E58" s="10" t="inlineStr">
        <is>
          <t>Paul Shaw</t>
        </is>
      </c>
      <c r="F58" s="29" t="n"/>
      <c r="G58" s="29" t="n"/>
      <c r="H58" s="20">
        <f>IFERROR(SUMPRODUCT(('Data - Skillko'!I$5:I$1547=B58)*('Data - Skillko'!D$5:D$1547="Total")*('Data - Skillko'!C$5:C$1547&lt;&gt;"Total")*('Data - Skillko'!C$5:C$1547&lt;&gt;"")*(NOT(ISNUMBER(SEARCH(B58,'Data - Skillko'!C$5:C$1547))))),0)</f>
        <v/>
      </c>
      <c r="I58" s="10" t="inlineStr">
        <is>
          <t>Active</t>
        </is>
      </c>
    </row>
    <row r="59" ht="18" customHeight="1" s="146">
      <c r="A59" s="6" t="inlineStr">
        <is>
          <t>FT-055</t>
        </is>
      </c>
      <c r="B59" s="28" t="inlineStr">
        <is>
          <t>OJ Morgan Services Ltd</t>
        </is>
      </c>
      <c r="C59" s="6" t="inlineStr">
        <is>
          <t>Utility Arboriculture</t>
        </is>
      </c>
      <c r="D59" s="6" t="inlineStr">
        <is>
          <t>Donovan  Gosher</t>
        </is>
      </c>
      <c r="E59" s="6" t="inlineStr">
        <is>
          <t>Paul Shaw</t>
        </is>
      </c>
      <c r="F59" s="29" t="n"/>
      <c r="G59" s="29" t="n"/>
      <c r="H59" s="20">
        <f>IFERROR(SUMPRODUCT(('Data - Skillko'!I$5:I$1547=B59)*('Data - Skillko'!D$5:D$1547="Total")*('Data - Skillko'!C$5:C$1547&lt;&gt;"Total")*('Data - Skillko'!C$5:C$1547&lt;&gt;"")*(NOT(ISNUMBER(SEARCH(B59,'Data - Skillko'!C$5:C$1547))))),0)</f>
        <v/>
      </c>
      <c r="I59" s="6" t="inlineStr">
        <is>
          <t>Active</t>
        </is>
      </c>
    </row>
    <row r="60" ht="18" customHeight="1" s="146">
      <c r="A60" s="10" t="inlineStr">
        <is>
          <t>FT-056</t>
        </is>
      </c>
      <c r="B60" s="30" t="inlineStr">
        <is>
          <t>Olney Landscapes</t>
        </is>
      </c>
      <c r="C60" s="10" t="inlineStr">
        <is>
          <t>Utility Arboriculture</t>
        </is>
      </c>
      <c r="D60" s="10" t="inlineStr">
        <is>
          <t>Donovan  Gosher</t>
        </is>
      </c>
      <c r="E60" s="10" t="inlineStr">
        <is>
          <t>Paul Shaw</t>
        </is>
      </c>
      <c r="F60" s="29" t="n"/>
      <c r="G60" s="29" t="n"/>
      <c r="H60" s="20">
        <f>IFERROR(SUMPRODUCT(('Data - Skillko'!I$5:I$1547=B60)*('Data - Skillko'!D$5:D$1547="Total")*('Data - Skillko'!C$5:C$1547&lt;&gt;"Total")*('Data - Skillko'!C$5:C$1547&lt;&gt;"")*(NOT(ISNUMBER(SEARCH(B60,'Data - Skillko'!C$5:C$1547))))),0)</f>
        <v/>
      </c>
      <c r="I60" s="10" t="inlineStr">
        <is>
          <t>Active</t>
        </is>
      </c>
    </row>
    <row r="61" ht="18" customHeight="1" s="146">
      <c r="A61" s="6" t="inlineStr">
        <is>
          <t>FT-057</t>
        </is>
      </c>
      <c r="B61" s="28" t="inlineStr">
        <is>
          <t>PB Tree Contractors</t>
        </is>
      </c>
      <c r="C61" s="6" t="inlineStr">
        <is>
          <t>Utility Arboriculture</t>
        </is>
      </c>
      <c r="D61" s="6" t="inlineStr">
        <is>
          <t>Donovan  Gosher</t>
        </is>
      </c>
      <c r="E61" s="6" t="inlineStr">
        <is>
          <t>Paul Shaw</t>
        </is>
      </c>
      <c r="F61" s="29" t="n"/>
      <c r="G61" s="29" t="n"/>
      <c r="H61" s="20">
        <f>IFERROR(SUMPRODUCT(('Data - Skillko'!I$5:I$1547=B61)*('Data - Skillko'!D$5:D$1547="Total")*('Data - Skillko'!C$5:C$1547&lt;&gt;"Total")*('Data - Skillko'!C$5:C$1547&lt;&gt;"")*(NOT(ISNUMBER(SEARCH(B61,'Data - Skillko'!C$5:C$1547))))),0)</f>
        <v/>
      </c>
      <c r="I61" s="6" t="inlineStr">
        <is>
          <t>Active</t>
        </is>
      </c>
    </row>
    <row r="62" ht="18" customHeight="1" s="146">
      <c r="A62" s="10" t="inlineStr">
        <is>
          <t>FT-058</t>
        </is>
      </c>
      <c r="B62" s="30" t="inlineStr">
        <is>
          <t>Watmough's Forestry Adam</t>
        </is>
      </c>
      <c r="C62" s="10" t="inlineStr">
        <is>
          <t>Utility Arboriculture</t>
        </is>
      </c>
      <c r="D62" s="10" t="inlineStr">
        <is>
          <t>Donovan  Gosher</t>
        </is>
      </c>
      <c r="E62" s="10" t="inlineStr">
        <is>
          <t>Paul Shaw</t>
        </is>
      </c>
      <c r="F62" s="29" t="n"/>
      <c r="G62" s="29" t="n"/>
      <c r="H62" s="20">
        <f>IFERROR(SUMPRODUCT(('Data - Skillko'!I$5:I$1547=B62)*('Data - Skillko'!D$5:D$1547="Total")*('Data - Skillko'!C$5:C$1547&lt;&gt;"Total")*('Data - Skillko'!C$5:C$1547&lt;&gt;"")*(NOT(ISNUMBER(SEARCH(B62,'Data - Skillko'!C$5:C$1547))))),0)</f>
        <v/>
      </c>
      <c r="I62" s="10" t="inlineStr">
        <is>
          <t>Active</t>
        </is>
      </c>
    </row>
    <row r="63" ht="18" customHeight="1" s="146">
      <c r="A63" s="6" t="inlineStr">
        <is>
          <t>FT-059</t>
        </is>
      </c>
      <c r="B63" s="28" t="inlineStr">
        <is>
          <t>Jack Cotterill Tree Services Ltd</t>
        </is>
      </c>
      <c r="C63" s="6" t="inlineStr">
        <is>
          <t>Utility Arboriculture</t>
        </is>
      </c>
      <c r="D63" s="6" t="inlineStr">
        <is>
          <t>Karl Cunningham</t>
        </is>
      </c>
      <c r="E63" s="6" t="inlineStr">
        <is>
          <t>David Damm|Craig Horton</t>
        </is>
      </c>
      <c r="F63" s="29" t="n"/>
      <c r="G63" s="29" t="n"/>
      <c r="H63" s="20">
        <f>IFERROR(SUMPRODUCT(('Data - Skillko'!I$5:I$1547=B63)*('Data - Skillko'!D$5:D$1547="Total")*('Data - Skillko'!C$5:C$1547&lt;&gt;"Total")*('Data - Skillko'!C$5:C$1547&lt;&gt;"")*(NOT(ISNUMBER(SEARCH(B63,'Data - Skillko'!C$5:C$1547))))),0)</f>
        <v/>
      </c>
      <c r="I63" s="6" t="inlineStr">
        <is>
          <t>Active</t>
        </is>
      </c>
    </row>
    <row r="64" ht="18" customHeight="1" s="146">
      <c r="A64" s="10" t="inlineStr">
        <is>
          <t>FT-060</t>
        </is>
      </c>
      <c r="B64" s="30" t="inlineStr">
        <is>
          <t>Integrated Arb Solutions</t>
        </is>
      </c>
      <c r="C64" s="10" t="inlineStr">
        <is>
          <t>Utility Arboriculture</t>
        </is>
      </c>
      <c r="D64" s="10" t="inlineStr">
        <is>
          <t>Laura Daly</t>
        </is>
      </c>
      <c r="E64" s="10" t="inlineStr">
        <is>
          <t>Jon Addis</t>
        </is>
      </c>
      <c r="F64" s="29" t="n"/>
      <c r="G64" s="29" t="n"/>
      <c r="H64" s="20">
        <f>IFERROR(SUMPRODUCT(('Data - Skillko'!I$5:I$1547=B64)*('Data - Skillko'!D$5:D$1547="Total")*('Data - Skillko'!C$5:C$1547&lt;&gt;"Total")*('Data - Skillko'!C$5:C$1547&lt;&gt;"")*(NOT(ISNUMBER(SEARCH(B64,'Data - Skillko'!C$5:C$1547))))),0)</f>
        <v/>
      </c>
      <c r="I64" s="10" t="inlineStr">
        <is>
          <t>Active</t>
        </is>
      </c>
    </row>
    <row r="65" ht="18" customHeight="1" s="146">
      <c r="A65" s="6" t="inlineStr">
        <is>
          <t>FT-061</t>
        </is>
      </c>
      <c r="B65" s="28" t="inlineStr">
        <is>
          <t>L&amp;L Group LTD</t>
        </is>
      </c>
      <c r="C65" s="6" t="inlineStr">
        <is>
          <t>Utility Arboriculture</t>
        </is>
      </c>
      <c r="D65" s="6" t="inlineStr">
        <is>
          <t>Laura Daly</t>
        </is>
      </c>
      <c r="E65" s="6" t="inlineStr">
        <is>
          <t>Jon Addis</t>
        </is>
      </c>
      <c r="F65" s="29" t="n"/>
      <c r="G65" s="29" t="n"/>
      <c r="H65" s="20">
        <f>IFERROR(SUMPRODUCT(('Data - Skillko'!I$5:I$1547=B65)*('Data - Skillko'!D$5:D$1547="Total")*('Data - Skillko'!C$5:C$1547&lt;&gt;"Total")*('Data - Skillko'!C$5:C$1547&lt;&gt;"")*(NOT(ISNUMBER(SEARCH(B65,'Data - Skillko'!C$5:C$1547))))),0)</f>
        <v/>
      </c>
      <c r="I65" s="6" t="inlineStr">
        <is>
          <t>Active</t>
        </is>
      </c>
    </row>
    <row r="66" ht="18" customHeight="1" s="146">
      <c r="A66" s="10" t="inlineStr">
        <is>
          <t>FT-062</t>
        </is>
      </c>
      <c r="B66" s="30" t="inlineStr">
        <is>
          <t>Blue Sky Arboriculture Ltd</t>
        </is>
      </c>
      <c r="C66" s="10" t="inlineStr">
        <is>
          <t>Utility Arboriculture</t>
        </is>
      </c>
      <c r="D66" s="10" t="inlineStr">
        <is>
          <t>Matthew Gilmore</t>
        </is>
      </c>
      <c r="E66" s="10" t="inlineStr">
        <is>
          <t>Dan Robinson</t>
        </is>
      </c>
      <c r="F66" s="29" t="n"/>
      <c r="G66" s="29" t="n"/>
      <c r="H66" s="20">
        <f>IFERROR(SUMPRODUCT(('Data - Skillko'!I$5:I$1547=B66)*('Data - Skillko'!D$5:D$1547="Total")*('Data - Skillko'!C$5:C$1547&lt;&gt;"Total")*('Data - Skillko'!C$5:C$1547&lt;&gt;"")*(NOT(ISNUMBER(SEARCH(B66,'Data - Skillko'!C$5:C$1547))))),0)</f>
        <v/>
      </c>
      <c r="I66" s="10" t="inlineStr">
        <is>
          <t>Active</t>
        </is>
      </c>
    </row>
    <row r="67" ht="18" customHeight="1" s="146">
      <c r="A67" s="6" t="inlineStr">
        <is>
          <t>FT-063</t>
        </is>
      </c>
      <c r="B67" s="28" t="inlineStr">
        <is>
          <t>Rother Valley Tree Services Ltd</t>
        </is>
      </c>
      <c r="C67" s="6" t="inlineStr">
        <is>
          <t>Utility Arboriculture</t>
        </is>
      </c>
      <c r="D67" s="6" t="inlineStr">
        <is>
          <t>Matthew Gilmore</t>
        </is>
      </c>
      <c r="E67" s="6" t="inlineStr">
        <is>
          <t>James Jennings</t>
        </is>
      </c>
      <c r="F67" s="29" t="n"/>
      <c r="G67" s="29" t="n"/>
      <c r="H67" s="20">
        <f>IFERROR(SUMPRODUCT(('Data - Skillko'!I$5:I$1547=B67)*('Data - Skillko'!D$5:D$1547="Total")*('Data - Skillko'!C$5:C$1547&lt;&gt;"Total")*('Data - Skillko'!C$5:C$1547&lt;&gt;"")*(NOT(ISNUMBER(SEARCH(B67,'Data - Skillko'!C$5:C$1547))))),0)</f>
        <v/>
      </c>
      <c r="I67" s="6" t="inlineStr">
        <is>
          <t>Active</t>
        </is>
      </c>
    </row>
    <row r="68" ht="18" customHeight="1" s="146">
      <c r="A68" s="10" t="inlineStr">
        <is>
          <t>FT-064</t>
        </is>
      </c>
      <c r="B68" s="30" t="inlineStr">
        <is>
          <t>AAT Tree Services</t>
        </is>
      </c>
      <c r="C68" s="10" t="inlineStr">
        <is>
          <t>Utility Arboriculture</t>
        </is>
      </c>
      <c r="D68" s="10" t="inlineStr">
        <is>
          <t>Paul Shaw</t>
        </is>
      </c>
      <c r="E68" s="10" t="inlineStr">
        <is>
          <t>David Damm</t>
        </is>
      </c>
      <c r="F68" s="29" t="n"/>
      <c r="G68" s="29" t="n"/>
      <c r="H68" s="20">
        <f>IFERROR(SUMPRODUCT(('Data - Skillko'!I$5:I$1547=B68)*('Data - Skillko'!D$5:D$1547="Total")*('Data - Skillko'!C$5:C$1547&lt;&gt;"Total")*('Data - Skillko'!C$5:C$1547&lt;&gt;"")*(NOT(ISNUMBER(SEARCH(B68,'Data - Skillko'!C$5:C$1547))))),0)</f>
        <v/>
      </c>
      <c r="I68" s="10" t="inlineStr">
        <is>
          <t>Active</t>
        </is>
      </c>
    </row>
    <row r="69" ht="18" customHeight="1" s="146">
      <c r="A69" s="6" t="inlineStr">
        <is>
          <t>FT-065</t>
        </is>
      </c>
      <c r="B69" s="28" t="inlineStr">
        <is>
          <t>Electrification Construction Services Ltd</t>
        </is>
      </c>
      <c r="C69" s="6" t="inlineStr">
        <is>
          <t>Utility Arboriculture</t>
        </is>
      </c>
      <c r="D69" s="6" t="inlineStr">
        <is>
          <t>Paul Shaw</t>
        </is>
      </c>
      <c r="E69" s="6" t="inlineStr">
        <is>
          <t>David Damm</t>
        </is>
      </c>
      <c r="F69" s="29" t="n"/>
      <c r="G69" s="29" t="n"/>
      <c r="H69" s="20">
        <f>IFERROR(SUMPRODUCT(('Data - Skillko'!I$5:I$1547=B69)*('Data - Skillko'!D$5:D$1547="Total")*('Data - Skillko'!C$5:C$1547&lt;&gt;"Total")*('Data - Skillko'!C$5:C$1547&lt;&gt;"")*(NOT(ISNUMBER(SEARCH(B69,'Data - Skillko'!C$5:C$1547))))),0)</f>
        <v/>
      </c>
      <c r="I69" s="6" t="inlineStr">
        <is>
          <t>Active</t>
        </is>
      </c>
    </row>
    <row r="70" ht="18" customHeight="1" s="146">
      <c r="A70" s="10" t="inlineStr">
        <is>
          <t>FT-066</t>
        </is>
      </c>
      <c r="B70" s="30" t="inlineStr">
        <is>
          <t>Heartwood Tree Surgeons Ltd</t>
        </is>
      </c>
      <c r="C70" s="10" t="inlineStr">
        <is>
          <t>Utility Arboriculture</t>
        </is>
      </c>
      <c r="D70" s="10" t="inlineStr">
        <is>
          <t>Paul Shaw</t>
        </is>
      </c>
      <c r="E70" s="10" t="inlineStr">
        <is>
          <t>David Damm</t>
        </is>
      </c>
      <c r="F70" s="29" t="n"/>
      <c r="G70" s="29" t="n"/>
      <c r="H70" s="20">
        <f>IFERROR(SUMPRODUCT(('Data - Skillko'!I$5:I$1547=B70)*('Data - Skillko'!D$5:D$1547="Total")*('Data - Skillko'!C$5:C$1547&lt;&gt;"Total")*('Data - Skillko'!C$5:C$1547&lt;&gt;"")*(NOT(ISNUMBER(SEARCH(B70,'Data - Skillko'!C$5:C$1547))))),0)</f>
        <v/>
      </c>
      <c r="I70" s="10" t="inlineStr">
        <is>
          <t>Active</t>
        </is>
      </c>
    </row>
    <row r="71" ht="18" customHeight="1" s="146">
      <c r="A71" s="6" t="inlineStr">
        <is>
          <t>FT-067</t>
        </is>
      </c>
      <c r="B71" s="28" t="inlineStr">
        <is>
          <t>Keighley Tree Services</t>
        </is>
      </c>
      <c r="C71" s="6" t="inlineStr">
        <is>
          <t>Utility Arboriculture</t>
        </is>
      </c>
      <c r="D71" s="6" t="inlineStr">
        <is>
          <t>Paul Shaw</t>
        </is>
      </c>
      <c r="E71" s="6" t="inlineStr">
        <is>
          <t>David Damm</t>
        </is>
      </c>
      <c r="F71" s="29" t="n"/>
      <c r="G71" s="29" t="n"/>
      <c r="H71" s="20">
        <f>IFERROR(SUMPRODUCT(('Data - Skillko'!I$5:I$1547=B71)*('Data - Skillko'!D$5:D$1547="Total")*('Data - Skillko'!C$5:C$1547&lt;&gt;"Total")*('Data - Skillko'!C$5:C$1547&lt;&gt;"")*(NOT(ISNUMBER(SEARCH(B71,'Data - Skillko'!C$5:C$1547))))),0)</f>
        <v/>
      </c>
      <c r="I71" s="6" t="inlineStr">
        <is>
          <t>Active</t>
        </is>
      </c>
    </row>
    <row r="72" ht="18" customHeight="1" s="146">
      <c r="A72" s="10" t="inlineStr">
        <is>
          <t>FT-068</t>
        </is>
      </c>
      <c r="B72" s="30" t="inlineStr">
        <is>
          <t>MJP Tree Services Ltd</t>
        </is>
      </c>
      <c r="C72" s="10" t="inlineStr">
        <is>
          <t>Utility Arboriculture</t>
        </is>
      </c>
      <c r="D72" s="10" t="inlineStr">
        <is>
          <t>Paul Shaw</t>
        </is>
      </c>
      <c r="E72" s="10" t="inlineStr">
        <is>
          <t>David Damm</t>
        </is>
      </c>
      <c r="F72" s="29" t="n"/>
      <c r="G72" s="29" t="n"/>
      <c r="H72" s="20">
        <f>IFERROR(SUMPRODUCT(('Data - Skillko'!I$5:I$1547=B72)*('Data - Skillko'!D$5:D$1547="Total")*('Data - Skillko'!C$5:C$1547&lt;&gt;"Total")*('Data - Skillko'!C$5:C$1547&lt;&gt;"")*(NOT(ISNUMBER(SEARCH(B72,'Data - Skillko'!C$5:C$1547))))),0)</f>
        <v/>
      </c>
      <c r="I72" s="10" t="inlineStr">
        <is>
          <t>Active</t>
        </is>
      </c>
    </row>
    <row r="73" ht="18" customHeight="1" s="146">
      <c r="A73" s="6" t="inlineStr">
        <is>
          <t>FT-069</t>
        </is>
      </c>
      <c r="B73" s="28" t="inlineStr">
        <is>
          <t>MX2 Trees Ltd</t>
        </is>
      </c>
      <c r="C73" s="6" t="inlineStr">
        <is>
          <t>Utility Arboriculture</t>
        </is>
      </c>
      <c r="D73" s="6" t="inlineStr">
        <is>
          <t>Paul Shaw</t>
        </is>
      </c>
      <c r="E73" s="6" t="inlineStr">
        <is>
          <t>David Damm</t>
        </is>
      </c>
      <c r="F73" s="29" t="n"/>
      <c r="G73" s="29" t="n"/>
      <c r="H73" s="20">
        <f>IFERROR(SUMPRODUCT(('Data - Skillko'!I$5:I$1547=B73)*('Data - Skillko'!D$5:D$1547="Total")*('Data - Skillko'!C$5:C$1547&lt;&gt;"Total")*('Data - Skillko'!C$5:C$1547&lt;&gt;"")*(NOT(ISNUMBER(SEARCH(B73,'Data - Skillko'!C$5:C$1547))))),0)</f>
        <v/>
      </c>
      <c r="I73" s="6" t="inlineStr">
        <is>
          <t>Active</t>
        </is>
      </c>
    </row>
    <row r="74" ht="18" customHeight="1" s="146">
      <c r="A74" s="10" t="inlineStr">
        <is>
          <t>FT-070</t>
        </is>
      </c>
      <c r="B74" s="30" t="inlineStr">
        <is>
          <t>Ropes and Slopes Limited</t>
        </is>
      </c>
      <c r="C74" s="10" t="inlineStr">
        <is>
          <t>Utility Arboriculture</t>
        </is>
      </c>
      <c r="D74" s="10" t="inlineStr">
        <is>
          <t>Paul Shaw</t>
        </is>
      </c>
      <c r="E74" s="10" t="inlineStr">
        <is>
          <t>David Damm</t>
        </is>
      </c>
      <c r="F74" s="29" t="n"/>
      <c r="G74" s="29" t="n"/>
      <c r="H74" s="20">
        <f>IFERROR(SUMPRODUCT(('Data - Skillko'!I$5:I$1547=B74)*('Data - Skillko'!D$5:D$1547="Total")*('Data - Skillko'!C$5:C$1547&lt;&gt;"Total")*('Data - Skillko'!C$5:C$1547&lt;&gt;"")*(NOT(ISNUMBER(SEARCH(B74,'Data - Skillko'!C$5:C$1547))))),0)</f>
        <v/>
      </c>
      <c r="I74" s="10" t="inlineStr">
        <is>
          <t>Active</t>
        </is>
      </c>
    </row>
    <row r="75" ht="18" customHeight="1" s="146">
      <c r="A75" s="6" t="inlineStr">
        <is>
          <t>FT-071</t>
        </is>
      </c>
      <c r="B75" s="28" t="inlineStr">
        <is>
          <t>SJ Tree &amp; Security Maintenance</t>
        </is>
      </c>
      <c r="C75" s="6" t="inlineStr">
        <is>
          <t>Utility Arboriculture</t>
        </is>
      </c>
      <c r="D75" s="6" t="inlineStr">
        <is>
          <t>Paul Shaw</t>
        </is>
      </c>
      <c r="E75" s="6" t="inlineStr">
        <is>
          <t>David Damm</t>
        </is>
      </c>
      <c r="F75" s="29" t="n"/>
      <c r="G75" s="29" t="n"/>
      <c r="H75" s="20">
        <f>IFERROR(SUMPRODUCT(('Data - Skillko'!I$5:I$1547=B75)*('Data - Skillko'!D$5:D$1547="Total")*('Data - Skillko'!C$5:C$1547&lt;&gt;"Total")*('Data - Skillko'!C$5:C$1547&lt;&gt;"")*(NOT(ISNUMBER(SEARCH(B75,'Data - Skillko'!C$5:C$1547))))),0)</f>
        <v/>
      </c>
      <c r="I75" s="6" t="inlineStr">
        <is>
          <t>Active</t>
        </is>
      </c>
    </row>
    <row r="76" ht="18" customHeight="1" s="146">
      <c r="A76" s="10" t="inlineStr">
        <is>
          <t>FT-072</t>
        </is>
      </c>
      <c r="B76" s="30" t="inlineStr">
        <is>
          <t>Tree Flex Ltd</t>
        </is>
      </c>
      <c r="C76" s="10" t="inlineStr">
        <is>
          <t>Utility Arboriculture</t>
        </is>
      </c>
      <c r="D76" s="10" t="inlineStr">
        <is>
          <t>Paul Shaw</t>
        </is>
      </c>
      <c r="E76" s="10" t="inlineStr">
        <is>
          <t>David Damm</t>
        </is>
      </c>
      <c r="F76" s="29" t="n"/>
      <c r="G76" s="29" t="n"/>
      <c r="H76" s="20">
        <f>IFERROR(SUMPRODUCT(('Data - Skillko'!I$5:I$1547=B76)*('Data - Skillko'!D$5:D$1547="Total")*('Data - Skillko'!C$5:C$1547&lt;&gt;"Total")*('Data - Skillko'!C$5:C$1547&lt;&gt;"")*(NOT(ISNUMBER(SEARCH(B76,'Data - Skillko'!C$5:C$1547))))),0)</f>
        <v/>
      </c>
      <c r="I76" s="10" t="inlineStr">
        <is>
          <t>Active</t>
        </is>
      </c>
    </row>
    <row r="77" ht="18" customHeight="1" s="146">
      <c r="A77" s="6" t="inlineStr">
        <is>
          <t>FT-073</t>
        </is>
      </c>
      <c r="B77" s="28" t="inlineStr">
        <is>
          <t>Wootton Forestry &amp; Powerline Services Ltd</t>
        </is>
      </c>
      <c r="C77" s="6" t="inlineStr">
        <is>
          <t>Utility Arboriculture</t>
        </is>
      </c>
      <c r="D77" s="6" t="inlineStr">
        <is>
          <t>Paul Shaw</t>
        </is>
      </c>
      <c r="E77" s="6" t="inlineStr">
        <is>
          <t>David Damm</t>
        </is>
      </c>
      <c r="F77" s="29" t="n"/>
      <c r="G77" s="29" t="n"/>
      <c r="H77" s="20">
        <f>IFERROR(SUMPRODUCT(('Data - Skillko'!I$5:I$1547=B77)*('Data - Skillko'!D$5:D$1547="Total")*('Data - Skillko'!C$5:C$1547&lt;&gt;"Total")*('Data - Skillko'!C$5:C$1547&lt;&gt;"")*(NOT(ISNUMBER(SEARCH(B77,'Data - Skillko'!C$5:C$1547))))),0)</f>
        <v/>
      </c>
      <c r="I77" s="6" t="inlineStr">
        <is>
          <t>Active</t>
        </is>
      </c>
    </row>
    <row r="78" ht="18" customHeight="1" s="146">
      <c r="A78" s="29" t="n"/>
      <c r="B78" s="29" t="n"/>
      <c r="C78" s="29" t="n"/>
      <c r="D78" s="29" t="n"/>
      <c r="E78" s="29" t="n"/>
      <c r="F78" s="29" t="n"/>
      <c r="G78" s="29" t="n"/>
      <c r="H78" s="31" t="n"/>
      <c r="I78" s="29" t="inlineStr">
        <is>
          <t>Active</t>
        </is>
      </c>
    </row>
    <row r="79" ht="18" customHeight="1" s="146">
      <c r="A79" s="29" t="n"/>
      <c r="B79" s="29" t="n"/>
      <c r="C79" s="29" t="n"/>
      <c r="D79" s="29" t="n"/>
      <c r="E79" s="29" t="n"/>
      <c r="F79" s="29" t="n"/>
      <c r="G79" s="29" t="n"/>
      <c r="H79" s="31" t="n"/>
      <c r="I79" s="29" t="inlineStr">
        <is>
          <t>Active</t>
        </is>
      </c>
    </row>
    <row r="80" ht="18" customHeight="1" s="146">
      <c r="A80" s="29" t="n"/>
      <c r="B80" s="29" t="n"/>
      <c r="C80" s="29" t="n"/>
      <c r="D80" s="29" t="n"/>
      <c r="E80" s="29" t="n"/>
      <c r="F80" s="29" t="n"/>
      <c r="G80" s="29" t="n"/>
      <c r="H80" s="31" t="n"/>
      <c r="I80" s="29" t="inlineStr">
        <is>
          <t>Active</t>
        </is>
      </c>
    </row>
    <row r="81" ht="18" customHeight="1" s="146">
      <c r="A81" s="29" t="n"/>
      <c r="B81" s="29" t="n"/>
      <c r="C81" s="29" t="n"/>
      <c r="D81" s="29" t="n"/>
      <c r="E81" s="29" t="n"/>
      <c r="F81" s="29" t="n"/>
      <c r="G81" s="29" t="n"/>
      <c r="H81" s="31" t="n"/>
      <c r="I81" s="29" t="inlineStr">
        <is>
          <t>Active</t>
        </is>
      </c>
    </row>
    <row r="82" ht="18" customHeight="1" s="146">
      <c r="A82" s="29" t="n"/>
      <c r="B82" s="29" t="n"/>
      <c r="C82" s="29" t="n"/>
      <c r="D82" s="29" t="n"/>
      <c r="E82" s="29" t="n"/>
      <c r="F82" s="29" t="n"/>
      <c r="G82" s="29" t="n"/>
      <c r="H82" s="31" t="n"/>
      <c r="I82" s="29" t="inlineStr">
        <is>
          <t>Active</t>
        </is>
      </c>
    </row>
    <row r="83" ht="18" customHeight="1" s="146">
      <c r="A83" s="29" t="n"/>
      <c r="B83" s="29" t="n"/>
      <c r="C83" s="29" t="n"/>
      <c r="D83" s="29" t="n"/>
      <c r="E83" s="29" t="n"/>
      <c r="F83" s="29" t="n"/>
      <c r="G83" s="29" t="n"/>
      <c r="H83" s="31" t="n"/>
      <c r="I83" s="29" t="inlineStr">
        <is>
          <t>Active</t>
        </is>
      </c>
    </row>
    <row r="84" ht="18" customHeight="1" s="146">
      <c r="A84" s="29" t="n"/>
      <c r="B84" s="29" t="n"/>
      <c r="C84" s="29" t="n"/>
      <c r="D84" s="29" t="n"/>
      <c r="E84" s="29" t="n"/>
      <c r="F84" s="29" t="n"/>
      <c r="G84" s="29" t="n"/>
      <c r="H84" s="31" t="n"/>
      <c r="I84" s="29" t="inlineStr">
        <is>
          <t>Active</t>
        </is>
      </c>
    </row>
    <row r="85" ht="18" customHeight="1" s="146">
      <c r="A85" s="29" t="n"/>
      <c r="B85" s="29" t="n"/>
      <c r="C85" s="29" t="n"/>
      <c r="D85" s="29" t="n"/>
      <c r="E85" s="29" t="n"/>
      <c r="F85" s="29" t="n"/>
      <c r="G85" s="29" t="n"/>
      <c r="H85" s="31" t="n"/>
      <c r="I85" s="29" t="inlineStr">
        <is>
          <t>Active</t>
        </is>
      </c>
    </row>
    <row r="86" ht="18" customHeight="1" s="146">
      <c r="A86" s="29" t="n"/>
      <c r="B86" s="29" t="n"/>
      <c r="C86" s="29" t="n"/>
      <c r="D86" s="29" t="n"/>
      <c r="E86" s="29" t="n"/>
      <c r="F86" s="29" t="n"/>
      <c r="G86" s="29" t="n"/>
      <c r="H86" s="31" t="n"/>
      <c r="I86" s="29" t="inlineStr">
        <is>
          <t>Active</t>
        </is>
      </c>
    </row>
    <row r="87" ht="18" customHeight="1" s="146">
      <c r="A87" s="29" t="n"/>
      <c r="B87" s="29" t="n"/>
      <c r="C87" s="29" t="n"/>
      <c r="D87" s="29" t="n"/>
      <c r="E87" s="29" t="n"/>
      <c r="F87" s="29" t="n"/>
      <c r="G87" s="29" t="n"/>
      <c r="H87" s="31" t="n"/>
      <c r="I87" s="29" t="inlineStr">
        <is>
          <t>Active</t>
        </is>
      </c>
    </row>
    <row r="88" ht="18" customHeight="1" s="146">
      <c r="A88" s="29" t="n"/>
      <c r="B88" s="29" t="n"/>
      <c r="C88" s="29" t="n"/>
      <c r="D88" s="29" t="n"/>
      <c r="E88" s="29" t="n"/>
      <c r="F88" s="29" t="n"/>
      <c r="G88" s="29" t="n"/>
      <c r="H88" s="31" t="n"/>
      <c r="I88" s="29" t="inlineStr">
        <is>
          <t>Active</t>
        </is>
      </c>
    </row>
    <row r="89" ht="18" customHeight="1" s="146">
      <c r="A89" s="29" t="n"/>
      <c r="B89" s="29" t="n"/>
      <c r="C89" s="29" t="n"/>
      <c r="D89" s="29" t="n"/>
      <c r="E89" s="29" t="n"/>
      <c r="F89" s="29" t="n"/>
      <c r="G89" s="29" t="n"/>
      <c r="H89" s="31" t="n"/>
      <c r="I89" s="29" t="inlineStr">
        <is>
          <t>Active</t>
        </is>
      </c>
    </row>
    <row r="90" ht="18" customHeight="1" s="146">
      <c r="A90" s="29" t="n"/>
      <c r="B90" s="29" t="n"/>
      <c r="C90" s="29" t="n"/>
      <c r="D90" s="29" t="n"/>
      <c r="E90" s="29" t="n"/>
      <c r="F90" s="29" t="n"/>
      <c r="G90" s="29" t="n"/>
      <c r="H90" s="31" t="n"/>
      <c r="I90" s="29" t="inlineStr">
        <is>
          <t>Active</t>
        </is>
      </c>
    </row>
    <row r="91" ht="18" customHeight="1" s="146">
      <c r="A91" s="29" t="n"/>
      <c r="B91" s="29" t="n"/>
      <c r="C91" s="29" t="n"/>
      <c r="D91" s="29" t="n"/>
      <c r="E91" s="29" t="n"/>
      <c r="F91" s="29" t="n"/>
      <c r="G91" s="29" t="n"/>
      <c r="H91" s="31" t="n"/>
      <c r="I91" s="29" t="inlineStr">
        <is>
          <t>Active</t>
        </is>
      </c>
    </row>
    <row r="92" ht="18" customHeight="1" s="146">
      <c r="A92" s="29" t="n"/>
      <c r="B92" s="29" t="n"/>
      <c r="C92" s="29" t="n"/>
      <c r="D92" s="29" t="n"/>
      <c r="E92" s="29" t="n"/>
      <c r="F92" s="29" t="n"/>
      <c r="G92" s="29" t="n"/>
      <c r="H92" s="31" t="n"/>
      <c r="I92" s="29" t="inlineStr">
        <is>
          <t>Active</t>
        </is>
      </c>
    </row>
    <row r="93" ht="18" customHeight="1" s="146">
      <c r="A93" s="29" t="n"/>
      <c r="B93" s="29" t="n"/>
      <c r="C93" s="29" t="n"/>
      <c r="D93" s="29" t="n"/>
      <c r="E93" s="29" t="n"/>
      <c r="F93" s="29" t="n"/>
      <c r="G93" s="29" t="n"/>
      <c r="H93" s="31" t="n"/>
      <c r="I93" s="29" t="inlineStr">
        <is>
          <t>Active</t>
        </is>
      </c>
    </row>
    <row r="94" ht="18" customHeight="1" s="146">
      <c r="A94" s="29" t="n"/>
      <c r="B94" s="29" t="n"/>
      <c r="C94" s="29" t="n"/>
      <c r="D94" s="29" t="n"/>
      <c r="E94" s="29" t="n"/>
      <c r="F94" s="29" t="n"/>
      <c r="G94" s="29" t="n"/>
      <c r="H94" s="31" t="n"/>
      <c r="I94" s="29" t="inlineStr">
        <is>
          <t>Active</t>
        </is>
      </c>
    </row>
    <row r="95" ht="18" customHeight="1" s="146">
      <c r="A95" s="29" t="n"/>
      <c r="B95" s="29" t="n"/>
      <c r="C95" s="29" t="n"/>
      <c r="D95" s="29" t="n"/>
      <c r="E95" s="29" t="n"/>
      <c r="F95" s="29" t="n"/>
      <c r="G95" s="29" t="n"/>
      <c r="H95" s="31" t="n"/>
      <c r="I95" s="29" t="inlineStr">
        <is>
          <t>Active</t>
        </is>
      </c>
    </row>
    <row r="96" ht="18" customHeight="1" s="146">
      <c r="A96" s="29" t="n"/>
      <c r="B96" s="29" t="n"/>
      <c r="C96" s="29" t="n"/>
      <c r="D96" s="29" t="n"/>
      <c r="E96" s="29" t="n"/>
      <c r="F96" s="29" t="n"/>
      <c r="G96" s="29" t="n"/>
      <c r="H96" s="31" t="n"/>
      <c r="I96" s="29" t="inlineStr">
        <is>
          <t>Active</t>
        </is>
      </c>
    </row>
    <row r="97" ht="18" customHeight="1" s="146">
      <c r="A97" s="29" t="n"/>
      <c r="B97" s="29" t="n"/>
      <c r="C97" s="29" t="n"/>
      <c r="D97" s="29" t="n"/>
      <c r="E97" s="29" t="n"/>
      <c r="F97" s="29" t="n"/>
      <c r="G97" s="29" t="n"/>
      <c r="H97" s="31" t="n"/>
      <c r="I97" s="29" t="inlineStr">
        <is>
          <t>Active</t>
        </is>
      </c>
    </row>
    <row r="98" ht="18" customHeight="1" s="146">
      <c r="A98" s="29" t="n"/>
      <c r="B98" s="29" t="n"/>
      <c r="C98" s="29" t="n"/>
      <c r="D98" s="29" t="n"/>
      <c r="E98" s="29" t="n"/>
      <c r="F98" s="29" t="n"/>
      <c r="G98" s="29" t="n"/>
      <c r="H98" s="31" t="n"/>
      <c r="I98" s="29" t="inlineStr">
        <is>
          <t>Active</t>
        </is>
      </c>
    </row>
    <row r="99" ht="18" customHeight="1" s="146">
      <c r="A99" s="29" t="n"/>
      <c r="B99" s="29" t="n"/>
      <c r="C99" s="29" t="n"/>
      <c r="D99" s="29" t="n"/>
      <c r="E99" s="29" t="n"/>
      <c r="F99" s="29" t="n"/>
      <c r="G99" s="29" t="n"/>
      <c r="H99" s="31" t="n"/>
      <c r="I99" s="29" t="inlineStr">
        <is>
          <t>Active</t>
        </is>
      </c>
    </row>
    <row r="100" ht="18" customHeight="1" s="146">
      <c r="A100" s="29" t="n"/>
      <c r="B100" s="29" t="n"/>
      <c r="C100" s="29" t="n"/>
      <c r="D100" s="29" t="n"/>
      <c r="E100" s="29" t="n"/>
      <c r="F100" s="29" t="n"/>
      <c r="G100" s="29" t="n"/>
      <c r="H100" s="31" t="n"/>
      <c r="I100" s="29" t="inlineStr">
        <is>
          <t>Active</t>
        </is>
      </c>
    </row>
    <row r="101" ht="18" customHeight="1" s="146">
      <c r="A101" s="29" t="n"/>
      <c r="B101" s="29" t="n"/>
      <c r="C101" s="29" t="n"/>
      <c r="D101" s="29" t="n"/>
      <c r="E101" s="29" t="n"/>
      <c r="F101" s="29" t="n"/>
      <c r="G101" s="29" t="n"/>
      <c r="H101" s="31" t="n"/>
      <c r="I101" s="29" t="inlineStr">
        <is>
          <t>Active</t>
        </is>
      </c>
    </row>
    <row r="102" ht="18" customHeight="1" s="146">
      <c r="A102" s="29" t="n"/>
      <c r="B102" s="29" t="n"/>
      <c r="C102" s="29" t="n"/>
      <c r="D102" s="29" t="n"/>
      <c r="E102" s="29" t="n"/>
      <c r="F102" s="29" t="n"/>
      <c r="G102" s="29" t="n"/>
      <c r="H102" s="31" t="n"/>
      <c r="I102" s="29" t="inlineStr">
        <is>
          <t>Active</t>
        </is>
      </c>
    </row>
    <row r="103" ht="18" customHeight="1" s="146">
      <c r="A103" s="29" t="n"/>
      <c r="B103" s="29" t="n"/>
      <c r="C103" s="29" t="n"/>
      <c r="D103" s="29" t="n"/>
      <c r="E103" s="29" t="n"/>
      <c r="F103" s="29" t="n"/>
      <c r="G103" s="29" t="n"/>
      <c r="H103" s="31" t="n"/>
      <c r="I103" s="29" t="inlineStr">
        <is>
          <t>Active</t>
        </is>
      </c>
    </row>
    <row r="104" ht="18" customHeight="1" s="146">
      <c r="A104" s="29" t="n"/>
      <c r="B104" s="29" t="n"/>
      <c r="C104" s="29" t="n"/>
      <c r="D104" s="29" t="n"/>
      <c r="E104" s="29" t="n"/>
      <c r="F104" s="29" t="n"/>
      <c r="G104" s="29" t="n"/>
      <c r="H104" s="31" t="n"/>
      <c r="I104" s="29" t="inlineStr">
        <is>
          <t>Active</t>
        </is>
      </c>
    </row>
    <row r="105" ht="18" customHeight="1" s="146">
      <c r="A105" s="29" t="n"/>
      <c r="B105" s="29" t="n"/>
      <c r="C105" s="29" t="n"/>
      <c r="D105" s="29" t="n"/>
      <c r="E105" s="29" t="n"/>
      <c r="F105" s="29" t="n"/>
      <c r="G105" s="29" t="n"/>
      <c r="H105" s="31" t="n"/>
      <c r="I105" s="29" t="inlineStr">
        <is>
          <t>Active</t>
        </is>
      </c>
    </row>
    <row r="106" ht="18" customHeight="1" s="146">
      <c r="A106" s="29" t="n"/>
      <c r="B106" s="29" t="n"/>
      <c r="C106" s="29" t="n"/>
      <c r="D106" s="29" t="n"/>
      <c r="E106" s="29" t="n"/>
      <c r="F106" s="29" t="n"/>
      <c r="G106" s="29" t="n"/>
      <c r="H106" s="31" t="n"/>
      <c r="I106" s="29" t="inlineStr">
        <is>
          <t>Active</t>
        </is>
      </c>
    </row>
    <row r="107" ht="18" customHeight="1" s="146">
      <c r="A107" s="29" t="n"/>
      <c r="B107" s="29" t="n"/>
      <c r="C107" s="29" t="n"/>
      <c r="D107" s="29" t="n"/>
      <c r="E107" s="29" t="n"/>
      <c r="F107" s="29" t="n"/>
      <c r="G107" s="29" t="n"/>
      <c r="H107" s="31" t="n"/>
      <c r="I107" s="29" t="inlineStr">
        <is>
          <t>Active</t>
        </is>
      </c>
    </row>
    <row r="108" ht="18" customHeight="1" s="146">
      <c r="A108" s="29" t="n"/>
      <c r="B108" s="29" t="n"/>
      <c r="C108" s="29" t="n"/>
      <c r="D108" s="29" t="n"/>
      <c r="E108" s="29" t="n"/>
      <c r="F108" s="29" t="n"/>
      <c r="G108" s="29" t="n"/>
      <c r="H108" s="31" t="n"/>
      <c r="I108" s="29" t="inlineStr">
        <is>
          <t>Active</t>
        </is>
      </c>
    </row>
    <row r="109" ht="18" customHeight="1" s="146">
      <c r="A109" s="29" t="n"/>
      <c r="B109" s="29" t="n"/>
      <c r="C109" s="29" t="n"/>
      <c r="D109" s="29" t="n"/>
      <c r="E109" s="29" t="n"/>
      <c r="F109" s="29" t="n"/>
      <c r="G109" s="29" t="n"/>
      <c r="H109" s="31" t="n"/>
      <c r="I109" s="29" t="inlineStr">
        <is>
          <t>Active</t>
        </is>
      </c>
    </row>
    <row r="110" ht="18" customHeight="1" s="146">
      <c r="A110" s="29" t="n"/>
      <c r="B110" s="29" t="n"/>
      <c r="C110" s="29" t="n"/>
      <c r="D110" s="29" t="n"/>
      <c r="E110" s="29" t="n"/>
      <c r="F110" s="29" t="n"/>
      <c r="G110" s="29" t="n"/>
      <c r="H110" s="31" t="n"/>
      <c r="I110" s="29" t="inlineStr">
        <is>
          <t>Active</t>
        </is>
      </c>
    </row>
    <row r="111" ht="18" customHeight="1" s="146">
      <c r="A111" s="29" t="n"/>
      <c r="B111" s="29" t="n"/>
      <c r="C111" s="29" t="n"/>
      <c r="D111" s="29" t="n"/>
      <c r="E111" s="29" t="n"/>
      <c r="F111" s="29" t="n"/>
      <c r="G111" s="29" t="n"/>
      <c r="H111" s="31" t="n"/>
      <c r="I111" s="29" t="inlineStr">
        <is>
          <t>Active</t>
        </is>
      </c>
    </row>
    <row r="112" ht="18" customHeight="1" s="146">
      <c r="A112" s="29" t="n"/>
      <c r="B112" s="29" t="n"/>
      <c r="C112" s="29" t="n"/>
      <c r="D112" s="29" t="n"/>
      <c r="E112" s="29" t="n"/>
      <c r="F112" s="29" t="n"/>
      <c r="G112" s="29" t="n"/>
      <c r="H112" s="31" t="n"/>
      <c r="I112" s="29" t="inlineStr">
        <is>
          <t>Active</t>
        </is>
      </c>
    </row>
    <row r="113" ht="18" customHeight="1" s="146">
      <c r="A113" s="29" t="n"/>
      <c r="B113" s="29" t="n"/>
      <c r="C113" s="29" t="n"/>
      <c r="D113" s="29" t="n"/>
      <c r="E113" s="29" t="n"/>
      <c r="F113" s="29" t="n"/>
      <c r="G113" s="29" t="n"/>
      <c r="H113" s="31" t="n"/>
      <c r="I113" s="29" t="inlineStr">
        <is>
          <t>Active</t>
        </is>
      </c>
    </row>
    <row r="114" ht="18" customHeight="1" s="146">
      <c r="A114" s="29" t="n"/>
      <c r="B114" s="29" t="n"/>
      <c r="C114" s="29" t="n"/>
      <c r="D114" s="29" t="n"/>
      <c r="E114" s="29" t="n"/>
      <c r="F114" s="29" t="n"/>
      <c r="G114" s="29" t="n"/>
      <c r="H114" s="31" t="n"/>
      <c r="I114" s="29" t="inlineStr">
        <is>
          <t>Active</t>
        </is>
      </c>
    </row>
    <row r="115" ht="18" customHeight="1" s="146">
      <c r="A115" s="29" t="n"/>
      <c r="B115" s="29" t="n"/>
      <c r="C115" s="29" t="n"/>
      <c r="D115" s="29" t="n"/>
      <c r="E115" s="29" t="n"/>
      <c r="F115" s="29" t="n"/>
      <c r="G115" s="29" t="n"/>
      <c r="H115" s="31" t="n"/>
      <c r="I115" s="29" t="inlineStr">
        <is>
          <t>Active</t>
        </is>
      </c>
    </row>
    <row r="116" ht="18" customHeight="1" s="146">
      <c r="A116" s="29" t="n"/>
      <c r="B116" s="29" t="n"/>
      <c r="C116" s="29" t="n"/>
      <c r="D116" s="29" t="n"/>
      <c r="E116" s="29" t="n"/>
      <c r="F116" s="29" t="n"/>
      <c r="G116" s="29" t="n"/>
      <c r="H116" s="31" t="n"/>
      <c r="I116" s="29" t="inlineStr">
        <is>
          <t>Active</t>
        </is>
      </c>
    </row>
    <row r="117" ht="18" customHeight="1" s="146">
      <c r="A117" s="29" t="n"/>
      <c r="B117" s="29" t="n"/>
      <c r="C117" s="29" t="n"/>
      <c r="D117" s="29" t="n"/>
      <c r="E117" s="29" t="n"/>
      <c r="F117" s="29" t="n"/>
      <c r="G117" s="29" t="n"/>
      <c r="H117" s="31" t="n"/>
      <c r="I117" s="29" t="inlineStr">
        <is>
          <t>Active</t>
        </is>
      </c>
    </row>
    <row r="118" ht="18" customHeight="1" s="146">
      <c r="A118" s="29" t="n"/>
      <c r="B118" s="29" t="n"/>
      <c r="C118" s="29" t="n"/>
      <c r="D118" s="29" t="n"/>
      <c r="E118" s="29" t="n"/>
      <c r="F118" s="29" t="n"/>
      <c r="G118" s="29" t="n"/>
      <c r="H118" s="31" t="n"/>
      <c r="I118" s="29" t="inlineStr">
        <is>
          <t>Active</t>
        </is>
      </c>
    </row>
    <row r="119" ht="18" customHeight="1" s="146">
      <c r="A119" s="29" t="n"/>
      <c r="B119" s="29" t="n"/>
      <c r="C119" s="29" t="n"/>
      <c r="D119" s="29" t="n"/>
      <c r="E119" s="29" t="n"/>
      <c r="F119" s="29" t="n"/>
      <c r="G119" s="29" t="n"/>
      <c r="H119" s="31" t="n"/>
      <c r="I119" s="29" t="inlineStr">
        <is>
          <t>Active</t>
        </is>
      </c>
    </row>
    <row r="120" ht="18" customHeight="1" s="146">
      <c r="A120" s="29" t="n"/>
      <c r="B120" s="29" t="n"/>
      <c r="C120" s="29" t="n"/>
      <c r="D120" s="29" t="n"/>
      <c r="E120" s="29" t="n"/>
      <c r="F120" s="29" t="n"/>
      <c r="G120" s="29" t="n"/>
      <c r="H120" s="31" t="n"/>
      <c r="I120" s="29" t="inlineStr">
        <is>
          <t>Active</t>
        </is>
      </c>
    </row>
    <row r="121" ht="18" customHeight="1" s="146">
      <c r="A121" s="29" t="n"/>
      <c r="B121" s="29" t="n"/>
      <c r="C121" s="29" t="n"/>
      <c r="D121" s="29" t="n"/>
      <c r="E121" s="29" t="n"/>
      <c r="F121" s="29" t="n"/>
      <c r="G121" s="29" t="n"/>
      <c r="H121" s="31" t="n"/>
      <c r="I121" s="29" t="inlineStr">
        <is>
          <t>Active</t>
        </is>
      </c>
    </row>
    <row r="122" ht="18" customHeight="1" s="146">
      <c r="A122" s="29" t="n"/>
      <c r="B122" s="29" t="n"/>
      <c r="C122" s="29" t="n"/>
      <c r="D122" s="29" t="n"/>
      <c r="E122" s="29" t="n"/>
      <c r="F122" s="29" t="n"/>
      <c r="G122" s="29" t="n"/>
      <c r="H122" s="31" t="n"/>
      <c r="I122" s="29" t="inlineStr">
        <is>
          <t>Active</t>
        </is>
      </c>
    </row>
    <row r="123" ht="18" customHeight="1" s="146">
      <c r="A123" s="29" t="n"/>
      <c r="B123" s="29" t="n"/>
      <c r="C123" s="29" t="n"/>
      <c r="D123" s="29" t="n"/>
      <c r="E123" s="29" t="n"/>
      <c r="F123" s="29" t="n"/>
      <c r="G123" s="29" t="n"/>
      <c r="H123" s="31" t="n"/>
      <c r="I123" s="29" t="inlineStr">
        <is>
          <t>Active</t>
        </is>
      </c>
    </row>
    <row r="124" ht="18" customHeight="1" s="146">
      <c r="A124" s="29" t="n"/>
      <c r="B124" s="29" t="n"/>
      <c r="C124" s="29" t="n"/>
      <c r="D124" s="29" t="n"/>
      <c r="E124" s="29" t="n"/>
      <c r="F124" s="29" t="n"/>
      <c r="G124" s="29" t="n"/>
      <c r="H124" s="31" t="n"/>
      <c r="I124" s="29" t="inlineStr">
        <is>
          <t>Active</t>
        </is>
      </c>
    </row>
    <row r="125" ht="18" customHeight="1" s="146">
      <c r="A125" s="29" t="n"/>
      <c r="B125" s="29" t="n"/>
      <c r="C125" s="29" t="n"/>
      <c r="D125" s="29" t="n"/>
      <c r="E125" s="29" t="n"/>
      <c r="F125" s="29" t="n"/>
      <c r="G125" s="29" t="n"/>
      <c r="H125" s="31" t="n"/>
      <c r="I125" s="29" t="inlineStr">
        <is>
          <t>Active</t>
        </is>
      </c>
    </row>
    <row r="126" ht="18" customHeight="1" s="146">
      <c r="A126" s="29" t="n"/>
      <c r="B126" s="29" t="n"/>
      <c r="C126" s="29" t="n"/>
      <c r="D126" s="29" t="n"/>
      <c r="E126" s="29" t="n"/>
      <c r="F126" s="29" t="n"/>
      <c r="G126" s="29" t="n"/>
      <c r="H126" s="31" t="n"/>
      <c r="I126" s="29" t="inlineStr">
        <is>
          <t>Active</t>
        </is>
      </c>
    </row>
    <row r="127" ht="18" customHeight="1" s="146">
      <c r="A127" s="29" t="n"/>
      <c r="B127" s="29" t="n"/>
      <c r="C127" s="29" t="n"/>
      <c r="D127" s="29" t="n"/>
      <c r="E127" s="29" t="n"/>
      <c r="F127" s="29" t="n"/>
      <c r="G127" s="29" t="n"/>
      <c r="H127" s="31" t="n"/>
      <c r="I127" s="29" t="inlineStr">
        <is>
          <t>Active</t>
        </is>
      </c>
    </row>
    <row r="128" ht="18" customHeight="1" s="146">
      <c r="A128" s="29" t="n"/>
      <c r="B128" s="29" t="n"/>
      <c r="C128" s="29" t="n"/>
      <c r="D128" s="29" t="n"/>
      <c r="E128" s="29" t="n"/>
      <c r="F128" s="29" t="n"/>
      <c r="G128" s="29" t="n"/>
      <c r="H128" s="31" t="n"/>
      <c r="I128" s="29" t="inlineStr">
        <is>
          <t>Active</t>
        </is>
      </c>
    </row>
    <row r="129" ht="18" customHeight="1" s="146">
      <c r="A129" s="29" t="n"/>
      <c r="B129" s="29" t="n"/>
      <c r="C129" s="29" t="n"/>
      <c r="D129" s="29" t="n"/>
      <c r="E129" s="29" t="n"/>
      <c r="F129" s="29" t="n"/>
      <c r="G129" s="29" t="n"/>
      <c r="H129" s="31" t="n"/>
      <c r="I129" s="29" t="inlineStr">
        <is>
          <t>Active</t>
        </is>
      </c>
    </row>
    <row r="130" ht="18" customHeight="1" s="146">
      <c r="A130" s="29" t="n"/>
      <c r="B130" s="29" t="n"/>
      <c r="C130" s="29" t="n"/>
      <c r="D130" s="29" t="n"/>
      <c r="E130" s="29" t="n"/>
      <c r="F130" s="29" t="n"/>
      <c r="G130" s="29" t="n"/>
      <c r="H130" s="31" t="n"/>
      <c r="I130" s="29" t="inlineStr">
        <is>
          <t>Active</t>
        </is>
      </c>
    </row>
    <row r="131" ht="18" customHeight="1" s="146">
      <c r="A131" s="29" t="n"/>
      <c r="B131" s="29" t="n"/>
      <c r="C131" s="29" t="n"/>
      <c r="D131" s="29" t="n"/>
      <c r="E131" s="29" t="n"/>
      <c r="F131" s="29" t="n"/>
      <c r="G131" s="29" t="n"/>
      <c r="H131" s="31" t="n"/>
      <c r="I131" s="29" t="inlineStr">
        <is>
          <t>Active</t>
        </is>
      </c>
    </row>
    <row r="132" ht="18" customHeight="1" s="146">
      <c r="A132" s="29" t="n"/>
      <c r="B132" s="29" t="n"/>
      <c r="C132" s="29" t="n"/>
      <c r="D132" s="29" t="n"/>
      <c r="E132" s="29" t="n"/>
      <c r="F132" s="29" t="n"/>
      <c r="G132" s="29" t="n"/>
      <c r="H132" s="31" t="n"/>
      <c r="I132" s="29" t="inlineStr">
        <is>
          <t>Active</t>
        </is>
      </c>
    </row>
    <row r="133" ht="18" customHeight="1" s="146">
      <c r="A133" s="29" t="n"/>
      <c r="B133" s="29" t="n"/>
      <c r="C133" s="29" t="n"/>
      <c r="D133" s="29" t="n"/>
      <c r="E133" s="29" t="n"/>
      <c r="F133" s="29" t="n"/>
      <c r="G133" s="29" t="n"/>
      <c r="H133" s="31" t="n"/>
      <c r="I133" s="29" t="inlineStr">
        <is>
          <t>Active</t>
        </is>
      </c>
    </row>
    <row r="134" ht="18" customHeight="1" s="146">
      <c r="A134" s="29" t="n"/>
      <c r="B134" s="29" t="n"/>
      <c r="C134" s="29" t="n"/>
      <c r="D134" s="29" t="n"/>
      <c r="E134" s="29" t="n"/>
      <c r="F134" s="29" t="n"/>
      <c r="G134" s="29" t="n"/>
      <c r="H134" s="31" t="n"/>
      <c r="I134" s="29" t="inlineStr">
        <is>
          <t>Active</t>
        </is>
      </c>
    </row>
    <row r="135" ht="18" customHeight="1" s="146">
      <c r="A135" s="29" t="n"/>
      <c r="B135" s="29" t="n"/>
      <c r="C135" s="29" t="n"/>
      <c r="D135" s="29" t="n"/>
      <c r="E135" s="29" t="n"/>
      <c r="F135" s="29" t="n"/>
      <c r="G135" s="29" t="n"/>
      <c r="H135" s="31" t="n"/>
      <c r="I135" s="29" t="inlineStr">
        <is>
          <t>Active</t>
        </is>
      </c>
    </row>
    <row r="136" ht="18" customHeight="1" s="146">
      <c r="A136" s="29" t="n"/>
      <c r="B136" s="29" t="n"/>
      <c r="C136" s="29" t="n"/>
      <c r="D136" s="29" t="n"/>
      <c r="E136" s="29" t="n"/>
      <c r="F136" s="29" t="n"/>
      <c r="G136" s="29" t="n"/>
      <c r="H136" s="31" t="n"/>
      <c r="I136" s="29" t="inlineStr">
        <is>
          <t>Active</t>
        </is>
      </c>
    </row>
    <row r="137" ht="18" customHeight="1" s="146">
      <c r="A137" s="29" t="n"/>
      <c r="B137" s="29" t="n"/>
      <c r="C137" s="29" t="n"/>
      <c r="D137" s="29" t="n"/>
      <c r="E137" s="29" t="n"/>
      <c r="F137" s="29" t="n"/>
      <c r="G137" s="29" t="n"/>
      <c r="H137" s="31" t="n"/>
      <c r="I137" s="29" t="inlineStr">
        <is>
          <t>Active</t>
        </is>
      </c>
    </row>
    <row r="138" ht="18" customHeight="1" s="146">
      <c r="A138" s="29" t="n"/>
      <c r="B138" s="29" t="n"/>
      <c r="C138" s="29" t="n"/>
      <c r="D138" s="29" t="n"/>
      <c r="E138" s="29" t="n"/>
      <c r="F138" s="29" t="n"/>
      <c r="G138" s="29" t="n"/>
      <c r="H138" s="31" t="n"/>
      <c r="I138" s="29" t="inlineStr">
        <is>
          <t>Active</t>
        </is>
      </c>
    </row>
    <row r="139" ht="18" customHeight="1" s="146">
      <c r="A139" s="29" t="n"/>
      <c r="B139" s="29" t="n"/>
      <c r="C139" s="29" t="n"/>
      <c r="D139" s="29" t="n"/>
      <c r="E139" s="29" t="n"/>
      <c r="F139" s="29" t="n"/>
      <c r="G139" s="29" t="n"/>
      <c r="H139" s="31" t="n"/>
      <c r="I139" s="29" t="inlineStr">
        <is>
          <t>Active</t>
        </is>
      </c>
    </row>
    <row r="140" ht="18" customHeight="1" s="146">
      <c r="A140" s="29" t="n"/>
      <c r="B140" s="29" t="n"/>
      <c r="C140" s="29" t="n"/>
      <c r="D140" s="29" t="n"/>
      <c r="E140" s="29" t="n"/>
      <c r="F140" s="29" t="n"/>
      <c r="G140" s="29" t="n"/>
      <c r="H140" s="31" t="n"/>
      <c r="I140" s="29" t="inlineStr">
        <is>
          <t>Active</t>
        </is>
      </c>
    </row>
    <row r="141" ht="18" customHeight="1" s="146">
      <c r="A141" s="29" t="n"/>
      <c r="B141" s="29" t="n"/>
      <c r="C141" s="29" t="n"/>
      <c r="D141" s="29" t="n"/>
      <c r="E141" s="29" t="n"/>
      <c r="F141" s="29" t="n"/>
      <c r="G141" s="29" t="n"/>
      <c r="H141" s="31" t="n"/>
      <c r="I141" s="29" t="inlineStr">
        <is>
          <t>Active</t>
        </is>
      </c>
    </row>
    <row r="142" ht="18" customHeight="1" s="146">
      <c r="A142" s="29" t="n"/>
      <c r="B142" s="29" t="n"/>
      <c r="C142" s="29" t="n"/>
      <c r="D142" s="29" t="n"/>
      <c r="E142" s="29" t="n"/>
      <c r="F142" s="29" t="n"/>
      <c r="G142" s="29" t="n"/>
      <c r="H142" s="31" t="n"/>
      <c r="I142" s="29" t="inlineStr">
        <is>
          <t>Active</t>
        </is>
      </c>
    </row>
    <row r="143" ht="18" customHeight="1" s="146">
      <c r="A143" s="29" t="n"/>
      <c r="B143" s="29" t="n"/>
      <c r="C143" s="29" t="n"/>
      <c r="D143" s="29" t="n"/>
      <c r="E143" s="29" t="n"/>
      <c r="F143" s="29" t="n"/>
      <c r="G143" s="29" t="n"/>
      <c r="H143" s="31" t="n"/>
      <c r="I143" s="29" t="inlineStr">
        <is>
          <t>Active</t>
        </is>
      </c>
    </row>
    <row r="144" ht="18" customHeight="1" s="146">
      <c r="A144" s="29" t="n"/>
      <c r="B144" s="29" t="n"/>
      <c r="C144" s="29" t="n"/>
      <c r="D144" s="29" t="n"/>
      <c r="E144" s="29" t="n"/>
      <c r="F144" s="29" t="n"/>
      <c r="G144" s="29" t="n"/>
      <c r="H144" s="31" t="n"/>
      <c r="I144" s="29" t="inlineStr">
        <is>
          <t>Active</t>
        </is>
      </c>
    </row>
    <row r="145" ht="18" customHeight="1" s="146">
      <c r="A145" s="29" t="n"/>
      <c r="B145" s="29" t="n"/>
      <c r="C145" s="29" t="n"/>
      <c r="D145" s="29" t="n"/>
      <c r="E145" s="29" t="n"/>
      <c r="F145" s="29" t="n"/>
      <c r="G145" s="29" t="n"/>
      <c r="H145" s="31" t="n"/>
      <c r="I145" s="29" t="inlineStr">
        <is>
          <t>Active</t>
        </is>
      </c>
    </row>
    <row r="146" ht="18" customHeight="1" s="146">
      <c r="A146" s="29" t="n"/>
      <c r="B146" s="29" t="n"/>
      <c r="C146" s="29" t="n"/>
      <c r="D146" s="29" t="n"/>
      <c r="E146" s="29" t="n"/>
      <c r="F146" s="29" t="n"/>
      <c r="G146" s="29" t="n"/>
      <c r="H146" s="31" t="n"/>
      <c r="I146" s="29" t="inlineStr">
        <is>
          <t>Active</t>
        </is>
      </c>
    </row>
    <row r="147" ht="18" customHeight="1" s="146">
      <c r="A147" s="29" t="n"/>
      <c r="B147" s="29" t="n"/>
      <c r="C147" s="29" t="n"/>
      <c r="D147" s="29" t="n"/>
      <c r="E147" s="29" t="n"/>
      <c r="F147" s="29" t="n"/>
      <c r="G147" s="29" t="n"/>
      <c r="H147" s="31" t="n"/>
      <c r="I147" s="29" t="inlineStr">
        <is>
          <t>Active</t>
        </is>
      </c>
    </row>
    <row r="148" ht="18" customHeight="1" s="146">
      <c r="A148" s="29" t="n"/>
      <c r="B148" s="29" t="n"/>
      <c r="C148" s="29" t="n"/>
      <c r="D148" s="29" t="n"/>
      <c r="E148" s="29" t="n"/>
      <c r="F148" s="29" t="n"/>
      <c r="G148" s="29" t="n"/>
      <c r="H148" s="31" t="n"/>
      <c r="I148" s="29" t="inlineStr">
        <is>
          <t>Active</t>
        </is>
      </c>
    </row>
    <row r="149" ht="18" customHeight="1" s="146">
      <c r="A149" s="29" t="n"/>
      <c r="B149" s="29" t="n"/>
      <c r="C149" s="29" t="n"/>
      <c r="D149" s="29" t="n"/>
      <c r="E149" s="29" t="n"/>
      <c r="F149" s="29" t="n"/>
      <c r="G149" s="29" t="n"/>
      <c r="H149" s="31" t="n"/>
      <c r="I149" s="29" t="inlineStr">
        <is>
          <t>Active</t>
        </is>
      </c>
    </row>
    <row r="150" ht="18" customHeight="1" s="146">
      <c r="A150" s="29" t="n"/>
      <c r="B150" s="29" t="n"/>
      <c r="C150" s="29" t="n"/>
      <c r="D150" s="29" t="n"/>
      <c r="E150" s="29" t="n"/>
      <c r="F150" s="29" t="n"/>
      <c r="G150" s="29" t="n"/>
      <c r="H150" s="31" t="n"/>
      <c r="I150" s="29" t="inlineStr">
        <is>
          <t>Active</t>
        </is>
      </c>
    </row>
    <row r="151" ht="18" customHeight="1" s="146">
      <c r="A151" s="29" t="n"/>
      <c r="B151" s="29" t="n"/>
      <c r="C151" s="29" t="n"/>
      <c r="D151" s="29" t="n"/>
      <c r="E151" s="29" t="n"/>
      <c r="F151" s="29" t="n"/>
      <c r="G151" s="29" t="n"/>
      <c r="H151" s="31" t="n"/>
      <c r="I151" s="29" t="inlineStr">
        <is>
          <t>Active</t>
        </is>
      </c>
    </row>
    <row r="152" ht="18" customHeight="1" s="146">
      <c r="A152" s="29" t="n"/>
      <c r="B152" s="29" t="n"/>
      <c r="C152" s="29" t="n"/>
      <c r="D152" s="29" t="n"/>
      <c r="E152" s="29" t="n"/>
      <c r="F152" s="29" t="n"/>
      <c r="G152" s="29" t="n"/>
      <c r="H152" s="31" t="n"/>
      <c r="I152" s="29" t="inlineStr">
        <is>
          <t>Active</t>
        </is>
      </c>
    </row>
    <row r="153" ht="18" customHeight="1" s="146">
      <c r="A153" s="29" t="n"/>
      <c r="B153" s="29" t="n"/>
      <c r="C153" s="29" t="n"/>
      <c r="D153" s="29" t="n"/>
      <c r="E153" s="29" t="n"/>
      <c r="F153" s="29" t="n"/>
      <c r="G153" s="29" t="n"/>
      <c r="H153" s="31" t="n"/>
      <c r="I153" s="29" t="inlineStr">
        <is>
          <t>Active</t>
        </is>
      </c>
    </row>
    <row r="154" ht="18" customHeight="1" s="146">
      <c r="A154" s="29" t="n"/>
      <c r="B154" s="29" t="n"/>
      <c r="C154" s="29" t="n"/>
      <c r="D154" s="29" t="n"/>
      <c r="E154" s="29" t="n"/>
      <c r="F154" s="29" t="n"/>
      <c r="G154" s="29" t="n"/>
      <c r="H154" s="31" t="n"/>
      <c r="I154" s="29" t="inlineStr">
        <is>
          <t>Active</t>
        </is>
      </c>
    </row>
    <row r="155" ht="18" customHeight="1" s="146">
      <c r="A155" s="29" t="n"/>
      <c r="B155" s="29" t="n"/>
      <c r="C155" s="29" t="n"/>
      <c r="D155" s="29" t="n"/>
      <c r="E155" s="29" t="n"/>
      <c r="F155" s="29" t="n"/>
      <c r="G155" s="29" t="n"/>
      <c r="H155" s="31" t="n"/>
      <c r="I155" s="29" t="inlineStr">
        <is>
          <t>Active</t>
        </is>
      </c>
    </row>
    <row r="156" ht="18" customHeight="1" s="146">
      <c r="A156" s="29" t="n"/>
      <c r="B156" s="29" t="n"/>
      <c r="C156" s="29" t="n"/>
      <c r="D156" s="29" t="n"/>
      <c r="E156" s="29" t="n"/>
      <c r="F156" s="29" t="n"/>
      <c r="G156" s="29" t="n"/>
      <c r="H156" s="31" t="n"/>
      <c r="I156" s="29" t="inlineStr">
        <is>
          <t>Active</t>
        </is>
      </c>
    </row>
    <row r="157" ht="18" customHeight="1" s="146">
      <c r="A157" s="29" t="n"/>
      <c r="B157" s="29" t="n"/>
      <c r="C157" s="29" t="n"/>
      <c r="D157" s="29" t="n"/>
      <c r="E157" s="29" t="n"/>
      <c r="F157" s="29" t="n"/>
      <c r="G157" s="29" t="n"/>
      <c r="H157" s="31" t="n"/>
      <c r="I157" s="29" t="inlineStr">
        <is>
          <t>Active</t>
        </is>
      </c>
    </row>
    <row r="158" ht="18" customHeight="1" s="146">
      <c r="A158" s="29" t="n"/>
      <c r="B158" s="29" t="n"/>
      <c r="C158" s="29" t="n"/>
      <c r="D158" s="29" t="n"/>
      <c r="E158" s="29" t="n"/>
      <c r="F158" s="29" t="n"/>
      <c r="G158" s="29" t="n"/>
      <c r="H158" s="31" t="n"/>
      <c r="I158" s="29" t="inlineStr">
        <is>
          <t>Active</t>
        </is>
      </c>
    </row>
    <row r="159" ht="18" customHeight="1" s="146">
      <c r="A159" s="29" t="n"/>
      <c r="B159" s="29" t="n"/>
      <c r="C159" s="29" t="n"/>
      <c r="D159" s="29" t="n"/>
      <c r="E159" s="29" t="n"/>
      <c r="F159" s="29" t="n"/>
      <c r="G159" s="29" t="n"/>
      <c r="H159" s="31" t="n"/>
      <c r="I159" s="29" t="inlineStr">
        <is>
          <t>Active</t>
        </is>
      </c>
    </row>
    <row r="160" ht="18" customHeight="1" s="146">
      <c r="A160" s="29" t="n"/>
      <c r="B160" s="29" t="n"/>
      <c r="C160" s="29" t="n"/>
      <c r="D160" s="29" t="n"/>
      <c r="E160" s="29" t="n"/>
      <c r="F160" s="29" t="n"/>
      <c r="G160" s="29" t="n"/>
      <c r="H160" s="31" t="n"/>
      <c r="I160" s="29" t="inlineStr">
        <is>
          <t>Active</t>
        </is>
      </c>
    </row>
    <row r="161" ht="18" customHeight="1" s="146">
      <c r="A161" s="29" t="n"/>
      <c r="B161" s="29" t="n"/>
      <c r="C161" s="29" t="n"/>
      <c r="D161" s="29" t="n"/>
      <c r="E161" s="29" t="n"/>
      <c r="F161" s="29" t="n"/>
      <c r="G161" s="29" t="n"/>
      <c r="H161" s="31" t="n"/>
      <c r="I161" s="29" t="inlineStr">
        <is>
          <t>Active</t>
        </is>
      </c>
    </row>
    <row r="162" ht="18" customHeight="1" s="146">
      <c r="A162" s="29" t="n"/>
      <c r="B162" s="29" t="n"/>
      <c r="C162" s="29" t="n"/>
      <c r="D162" s="29" t="n"/>
      <c r="E162" s="29" t="n"/>
      <c r="F162" s="29" t="n"/>
      <c r="G162" s="29" t="n"/>
      <c r="H162" s="31" t="n"/>
      <c r="I162" s="29" t="inlineStr">
        <is>
          <t>Active</t>
        </is>
      </c>
    </row>
    <row r="163" ht="18" customHeight="1" s="146">
      <c r="A163" s="29" t="n"/>
      <c r="B163" s="29" t="n"/>
      <c r="C163" s="29" t="n"/>
      <c r="D163" s="29" t="n"/>
      <c r="E163" s="29" t="n"/>
      <c r="F163" s="29" t="n"/>
      <c r="G163" s="29" t="n"/>
      <c r="H163" s="31" t="n"/>
      <c r="I163" s="29" t="inlineStr">
        <is>
          <t>Active</t>
        </is>
      </c>
    </row>
    <row r="164" ht="18" customHeight="1" s="146">
      <c r="A164" s="29" t="n"/>
      <c r="B164" s="29" t="n"/>
      <c r="C164" s="29" t="n"/>
      <c r="D164" s="29" t="n"/>
      <c r="E164" s="29" t="n"/>
      <c r="F164" s="29" t="n"/>
      <c r="G164" s="29" t="n"/>
      <c r="H164" s="31" t="n"/>
      <c r="I164" s="29" t="inlineStr">
        <is>
          <t>Active</t>
        </is>
      </c>
    </row>
    <row r="165" ht="18" customHeight="1" s="146">
      <c r="A165" s="29" t="n"/>
      <c r="B165" s="29" t="n"/>
      <c r="C165" s="29" t="n"/>
      <c r="D165" s="29" t="n"/>
      <c r="E165" s="29" t="n"/>
      <c r="F165" s="29" t="n"/>
      <c r="G165" s="29" t="n"/>
      <c r="H165" s="31" t="n"/>
      <c r="I165" s="29" t="inlineStr">
        <is>
          <t>Active</t>
        </is>
      </c>
    </row>
    <row r="166" ht="18" customHeight="1" s="146">
      <c r="A166" s="29" t="n"/>
      <c r="B166" s="29" t="n"/>
      <c r="C166" s="29" t="n"/>
      <c r="D166" s="29" t="n"/>
      <c r="E166" s="29" t="n"/>
      <c r="F166" s="29" t="n"/>
      <c r="G166" s="29" t="n"/>
      <c r="H166" s="31" t="n"/>
      <c r="I166" s="29" t="inlineStr">
        <is>
          <t>Active</t>
        </is>
      </c>
    </row>
    <row r="167" ht="18" customHeight="1" s="146">
      <c r="A167" s="29" t="n"/>
      <c r="B167" s="29" t="n"/>
      <c r="C167" s="29" t="n"/>
      <c r="D167" s="29" t="n"/>
      <c r="E167" s="29" t="n"/>
      <c r="F167" s="29" t="n"/>
      <c r="G167" s="29" t="n"/>
      <c r="H167" s="31" t="n"/>
      <c r="I167" s="29" t="inlineStr">
        <is>
          <t>Active</t>
        </is>
      </c>
    </row>
    <row r="168" ht="18" customHeight="1" s="146">
      <c r="A168" s="29" t="n"/>
      <c r="B168" s="29" t="n"/>
      <c r="C168" s="29" t="n"/>
      <c r="D168" s="29" t="n"/>
      <c r="E168" s="29" t="n"/>
      <c r="F168" s="29" t="n"/>
      <c r="G168" s="29" t="n"/>
      <c r="H168" s="31" t="n"/>
      <c r="I168" s="29" t="inlineStr">
        <is>
          <t>Active</t>
        </is>
      </c>
    </row>
    <row r="169" ht="18" customHeight="1" s="146">
      <c r="A169" s="29" t="n"/>
      <c r="B169" s="29" t="n"/>
      <c r="C169" s="29" t="n"/>
      <c r="D169" s="29" t="n"/>
      <c r="E169" s="29" t="n"/>
      <c r="F169" s="29" t="n"/>
      <c r="G169" s="29" t="n"/>
      <c r="H169" s="31" t="n"/>
      <c r="I169" s="29" t="inlineStr">
        <is>
          <t>Active</t>
        </is>
      </c>
    </row>
    <row r="170" ht="18" customHeight="1" s="146">
      <c r="A170" s="29" t="n"/>
      <c r="B170" s="29" t="n"/>
      <c r="C170" s="29" t="n"/>
      <c r="D170" s="29" t="n"/>
      <c r="E170" s="29" t="n"/>
      <c r="F170" s="29" t="n"/>
      <c r="G170" s="29" t="n"/>
      <c r="H170" s="31" t="n"/>
      <c r="I170" s="29" t="inlineStr">
        <is>
          <t>Active</t>
        </is>
      </c>
    </row>
    <row r="171" ht="18" customHeight="1" s="146">
      <c r="A171" s="29" t="n"/>
      <c r="B171" s="29" t="n"/>
      <c r="C171" s="29" t="n"/>
      <c r="D171" s="29" t="n"/>
      <c r="E171" s="29" t="n"/>
      <c r="F171" s="29" t="n"/>
      <c r="G171" s="29" t="n"/>
      <c r="H171" s="31" t="n"/>
      <c r="I171" s="29" t="inlineStr">
        <is>
          <t>Active</t>
        </is>
      </c>
    </row>
    <row r="172" ht="18" customHeight="1" s="146">
      <c r="A172" s="29" t="n"/>
      <c r="B172" s="29" t="n"/>
      <c r="C172" s="29" t="n"/>
      <c r="D172" s="29" t="n"/>
      <c r="E172" s="29" t="n"/>
      <c r="F172" s="29" t="n"/>
      <c r="G172" s="29" t="n"/>
      <c r="H172" s="31" t="n"/>
      <c r="I172" s="29" t="inlineStr">
        <is>
          <t>Active</t>
        </is>
      </c>
    </row>
    <row r="173" ht="18" customHeight="1" s="146">
      <c r="A173" s="29" t="n"/>
      <c r="B173" s="29" t="n"/>
      <c r="C173" s="29" t="n"/>
      <c r="D173" s="29" t="n"/>
      <c r="E173" s="29" t="n"/>
      <c r="F173" s="29" t="n"/>
      <c r="G173" s="29" t="n"/>
      <c r="H173" s="31" t="n"/>
      <c r="I173" s="29" t="inlineStr">
        <is>
          <t>Active</t>
        </is>
      </c>
    </row>
    <row r="174" ht="18" customHeight="1" s="146">
      <c r="A174" s="29" t="n"/>
      <c r="B174" s="29" t="n"/>
      <c r="C174" s="29" t="n"/>
      <c r="D174" s="29" t="n"/>
      <c r="E174" s="29" t="n"/>
      <c r="F174" s="29" t="n"/>
      <c r="G174" s="29" t="n"/>
      <c r="H174" s="31" t="n"/>
      <c r="I174" s="29" t="inlineStr">
        <is>
          <t>Active</t>
        </is>
      </c>
    </row>
    <row r="175" ht="18" customHeight="1" s="146">
      <c r="A175" s="29" t="n"/>
      <c r="B175" s="29" t="n"/>
      <c r="C175" s="29" t="n"/>
      <c r="D175" s="29" t="n"/>
      <c r="E175" s="29" t="n"/>
      <c r="F175" s="29" t="n"/>
      <c r="G175" s="29" t="n"/>
      <c r="H175" s="31" t="n"/>
      <c r="I175" s="29" t="inlineStr">
        <is>
          <t>Active</t>
        </is>
      </c>
    </row>
    <row r="176" ht="18" customHeight="1" s="146">
      <c r="A176" s="29" t="n"/>
      <c r="B176" s="29" t="n"/>
      <c r="C176" s="29" t="n"/>
      <c r="D176" s="29" t="n"/>
      <c r="E176" s="29" t="n"/>
      <c r="F176" s="29" t="n"/>
      <c r="G176" s="29" t="n"/>
      <c r="H176" s="31" t="n"/>
      <c r="I176" s="29" t="inlineStr">
        <is>
          <t>Active</t>
        </is>
      </c>
    </row>
    <row r="177" ht="18" customHeight="1" s="146">
      <c r="A177" s="29" t="n"/>
      <c r="B177" s="29" t="n"/>
      <c r="C177" s="29" t="n"/>
      <c r="D177" s="29" t="n"/>
      <c r="E177" s="29" t="n"/>
      <c r="F177" s="29" t="n"/>
      <c r="G177" s="29" t="n"/>
      <c r="H177" s="31" t="n"/>
      <c r="I177" s="29" t="inlineStr">
        <is>
          <t>Active</t>
        </is>
      </c>
    </row>
    <row r="178" ht="18" customHeight="1" s="146">
      <c r="A178" s="29" t="n"/>
      <c r="B178" s="29" t="n"/>
      <c r="C178" s="29" t="n"/>
      <c r="D178" s="29" t="n"/>
      <c r="E178" s="29" t="n"/>
      <c r="F178" s="29" t="n"/>
      <c r="G178" s="29" t="n"/>
      <c r="H178" s="31" t="n"/>
      <c r="I178" s="29" t="inlineStr">
        <is>
          <t>Active</t>
        </is>
      </c>
    </row>
    <row r="179" ht="18" customHeight="1" s="146">
      <c r="A179" s="29" t="n"/>
      <c r="B179" s="29" t="n"/>
      <c r="C179" s="29" t="n"/>
      <c r="D179" s="29" t="n"/>
      <c r="E179" s="29" t="n"/>
      <c r="F179" s="29" t="n"/>
      <c r="G179" s="29" t="n"/>
      <c r="H179" s="31" t="n"/>
      <c r="I179" s="29" t="inlineStr">
        <is>
          <t>Active</t>
        </is>
      </c>
    </row>
    <row r="180" ht="18" customHeight="1" s="146">
      <c r="A180" s="29" t="n"/>
      <c r="B180" s="29" t="n"/>
      <c r="C180" s="29" t="n"/>
      <c r="D180" s="29" t="n"/>
      <c r="E180" s="29" t="n"/>
      <c r="F180" s="29" t="n"/>
      <c r="G180" s="29" t="n"/>
      <c r="H180" s="31" t="n"/>
      <c r="I180" s="29" t="inlineStr">
        <is>
          <t>Active</t>
        </is>
      </c>
    </row>
    <row r="181" ht="18" customHeight="1" s="146">
      <c r="A181" s="29" t="n"/>
      <c r="B181" s="29" t="n"/>
      <c r="C181" s="29" t="n"/>
      <c r="D181" s="29" t="n"/>
      <c r="E181" s="29" t="n"/>
      <c r="F181" s="29" t="n"/>
      <c r="G181" s="29" t="n"/>
      <c r="H181" s="31" t="n"/>
      <c r="I181" s="29" t="inlineStr">
        <is>
          <t>Active</t>
        </is>
      </c>
    </row>
    <row r="182" ht="18" customHeight="1" s="146">
      <c r="A182" s="29" t="n"/>
      <c r="B182" s="29" t="n"/>
      <c r="C182" s="29" t="n"/>
      <c r="D182" s="29" t="n"/>
      <c r="E182" s="29" t="n"/>
      <c r="F182" s="29" t="n"/>
      <c r="G182" s="29" t="n"/>
      <c r="H182" s="31" t="n"/>
      <c r="I182" s="29" t="inlineStr">
        <is>
          <t>Active</t>
        </is>
      </c>
    </row>
    <row r="183" ht="18" customHeight="1" s="146">
      <c r="A183" s="29" t="n"/>
      <c r="B183" s="29" t="n"/>
      <c r="C183" s="29" t="n"/>
      <c r="D183" s="29" t="n"/>
      <c r="E183" s="29" t="n"/>
      <c r="F183" s="29" t="n"/>
      <c r="G183" s="29" t="n"/>
      <c r="H183" s="31" t="n"/>
      <c r="I183" s="29" t="inlineStr">
        <is>
          <t>Active</t>
        </is>
      </c>
    </row>
    <row r="184" ht="18" customHeight="1" s="146">
      <c r="A184" s="29" t="n"/>
      <c r="B184" s="29" t="n"/>
      <c r="C184" s="29" t="n"/>
      <c r="D184" s="29" t="n"/>
      <c r="E184" s="29" t="n"/>
      <c r="F184" s="29" t="n"/>
      <c r="G184" s="29" t="n"/>
      <c r="H184" s="31" t="n"/>
      <c r="I184" s="29" t="inlineStr">
        <is>
          <t>Active</t>
        </is>
      </c>
    </row>
    <row r="185" ht="18" customHeight="1" s="146">
      <c r="A185" s="29" t="n"/>
      <c r="B185" s="29" t="n"/>
      <c r="C185" s="29" t="n"/>
      <c r="D185" s="29" t="n"/>
      <c r="E185" s="29" t="n"/>
      <c r="F185" s="29" t="n"/>
      <c r="G185" s="29" t="n"/>
      <c r="H185" s="31" t="n"/>
      <c r="I185" s="29" t="inlineStr">
        <is>
          <t>Active</t>
        </is>
      </c>
    </row>
    <row r="186" ht="18" customHeight="1" s="146">
      <c r="A186" s="29" t="n"/>
      <c r="B186" s="29" t="n"/>
      <c r="C186" s="29" t="n"/>
      <c r="D186" s="29" t="n"/>
      <c r="E186" s="29" t="n"/>
      <c r="F186" s="29" t="n"/>
      <c r="G186" s="29" t="n"/>
      <c r="H186" s="31" t="n"/>
      <c r="I186" s="29" t="inlineStr">
        <is>
          <t>Active</t>
        </is>
      </c>
    </row>
    <row r="187" ht="18" customHeight="1" s="146">
      <c r="A187" s="29" t="n"/>
      <c r="B187" s="29" t="n"/>
      <c r="C187" s="29" t="n"/>
      <c r="D187" s="29" t="n"/>
      <c r="E187" s="29" t="n"/>
      <c r="F187" s="29" t="n"/>
      <c r="G187" s="29" t="n"/>
      <c r="H187" s="31" t="n"/>
      <c r="I187" s="29" t="inlineStr">
        <is>
          <t>Active</t>
        </is>
      </c>
    </row>
    <row r="188" ht="18" customHeight="1" s="146">
      <c r="A188" s="29" t="n"/>
      <c r="B188" s="29" t="n"/>
      <c r="C188" s="29" t="n"/>
      <c r="D188" s="29" t="n"/>
      <c r="E188" s="29" t="n"/>
      <c r="F188" s="29" t="n"/>
      <c r="G188" s="29" t="n"/>
      <c r="H188" s="31" t="n"/>
      <c r="I188" s="29" t="inlineStr">
        <is>
          <t>Active</t>
        </is>
      </c>
    </row>
    <row r="189" ht="18" customHeight="1" s="146">
      <c r="A189" s="29" t="n"/>
      <c r="B189" s="29" t="n"/>
      <c r="C189" s="29" t="n"/>
      <c r="D189" s="29" t="n"/>
      <c r="E189" s="29" t="n"/>
      <c r="F189" s="29" t="n"/>
      <c r="G189" s="29" t="n"/>
      <c r="H189" s="31" t="n"/>
      <c r="I189" s="29" t="inlineStr">
        <is>
          <t>Active</t>
        </is>
      </c>
    </row>
    <row r="190" ht="18" customHeight="1" s="146">
      <c r="A190" s="29" t="n"/>
      <c r="B190" s="29" t="n"/>
      <c r="C190" s="29" t="n"/>
      <c r="D190" s="29" t="n"/>
      <c r="E190" s="29" t="n"/>
      <c r="F190" s="29" t="n"/>
      <c r="G190" s="29" t="n"/>
      <c r="H190" s="31" t="n"/>
      <c r="I190" s="29" t="inlineStr">
        <is>
          <t>Active</t>
        </is>
      </c>
    </row>
    <row r="191" ht="18" customHeight="1" s="146">
      <c r="A191" s="29" t="n"/>
      <c r="B191" s="29" t="n"/>
      <c r="C191" s="29" t="n"/>
      <c r="D191" s="29" t="n"/>
      <c r="E191" s="29" t="n"/>
      <c r="F191" s="29" t="n"/>
      <c r="G191" s="29" t="n"/>
      <c r="H191" s="31" t="n"/>
      <c r="I191" s="29" t="inlineStr">
        <is>
          <t>Active</t>
        </is>
      </c>
    </row>
    <row r="192" ht="18" customHeight="1" s="146">
      <c r="A192" s="29" t="n"/>
      <c r="B192" s="29" t="n"/>
      <c r="C192" s="29" t="n"/>
      <c r="D192" s="29" t="n"/>
      <c r="E192" s="29" t="n"/>
      <c r="F192" s="29" t="n"/>
      <c r="G192" s="29" t="n"/>
      <c r="H192" s="31" t="n"/>
      <c r="I192" s="29" t="inlineStr">
        <is>
          <t>Active</t>
        </is>
      </c>
    </row>
    <row r="193" ht="18" customHeight="1" s="146">
      <c r="A193" s="29" t="n"/>
      <c r="B193" s="29" t="n"/>
      <c r="C193" s="29" t="n"/>
      <c r="D193" s="29" t="n"/>
      <c r="E193" s="29" t="n"/>
      <c r="F193" s="29" t="n"/>
      <c r="G193" s="29" t="n"/>
      <c r="H193" s="31" t="n"/>
      <c r="I193" s="29" t="inlineStr">
        <is>
          <t>Active</t>
        </is>
      </c>
    </row>
    <row r="194" ht="18" customHeight="1" s="146">
      <c r="A194" s="29" t="n"/>
      <c r="B194" s="29" t="n"/>
      <c r="C194" s="29" t="n"/>
      <c r="D194" s="29" t="n"/>
      <c r="E194" s="29" t="n"/>
      <c r="F194" s="29" t="n"/>
      <c r="G194" s="29" t="n"/>
      <c r="H194" s="31" t="n"/>
      <c r="I194" s="29" t="inlineStr">
        <is>
          <t>Active</t>
        </is>
      </c>
    </row>
    <row r="195" ht="18" customHeight="1" s="146">
      <c r="A195" s="29" t="n"/>
      <c r="B195" s="29" t="n"/>
      <c r="C195" s="29" t="n"/>
      <c r="D195" s="29" t="n"/>
      <c r="E195" s="29" t="n"/>
      <c r="F195" s="29" t="n"/>
      <c r="G195" s="29" t="n"/>
      <c r="H195" s="31" t="n"/>
      <c r="I195" s="29" t="inlineStr">
        <is>
          <t>Active</t>
        </is>
      </c>
    </row>
    <row r="196" ht="18" customHeight="1" s="146">
      <c r="A196" s="29" t="n"/>
      <c r="B196" s="29" t="n"/>
      <c r="C196" s="29" t="n"/>
      <c r="D196" s="29" t="n"/>
      <c r="E196" s="29" t="n"/>
      <c r="F196" s="29" t="n"/>
      <c r="G196" s="29" t="n"/>
      <c r="H196" s="31" t="n"/>
      <c r="I196" s="29" t="inlineStr">
        <is>
          <t>Active</t>
        </is>
      </c>
    </row>
    <row r="197" ht="18" customHeight="1" s="146">
      <c r="A197" s="29" t="n"/>
      <c r="B197" s="29" t="n"/>
      <c r="C197" s="29" t="n"/>
      <c r="D197" s="29" t="n"/>
      <c r="E197" s="29" t="n"/>
      <c r="F197" s="29" t="n"/>
      <c r="G197" s="29" t="n"/>
      <c r="H197" s="31" t="n"/>
      <c r="I197" s="29" t="inlineStr">
        <is>
          <t>Active</t>
        </is>
      </c>
    </row>
    <row r="198" ht="18" customHeight="1" s="146">
      <c r="A198" s="29" t="n"/>
      <c r="B198" s="29" t="n"/>
      <c r="C198" s="29" t="n"/>
      <c r="D198" s="29" t="n"/>
      <c r="E198" s="29" t="n"/>
      <c r="F198" s="29" t="n"/>
      <c r="G198" s="29" t="n"/>
      <c r="H198" s="31" t="n"/>
      <c r="I198" s="29" t="inlineStr">
        <is>
          <t>Active</t>
        </is>
      </c>
    </row>
    <row r="199" ht="18" customHeight="1" s="146">
      <c r="A199" s="29" t="n"/>
      <c r="B199" s="29" t="n"/>
      <c r="C199" s="29" t="n"/>
      <c r="D199" s="29" t="n"/>
      <c r="E199" s="29" t="n"/>
      <c r="F199" s="29" t="n"/>
      <c r="G199" s="29" t="n"/>
      <c r="H199" s="31" t="n"/>
      <c r="I199" s="29" t="inlineStr">
        <is>
          <t>Active</t>
        </is>
      </c>
    </row>
    <row r="200" ht="18" customHeight="1" s="146">
      <c r="A200" s="29" t="n"/>
      <c r="B200" s="29" t="n"/>
      <c r="C200" s="29" t="n"/>
      <c r="D200" s="29" t="n"/>
      <c r="E200" s="29" t="n"/>
      <c r="F200" s="29" t="n"/>
      <c r="G200" s="29" t="n"/>
      <c r="H200" s="31" t="n"/>
      <c r="I200" s="29" t="inlineStr">
        <is>
          <t>Active</t>
        </is>
      </c>
    </row>
    <row r="201" ht="18" customHeight="1" s="146">
      <c r="A201" s="29" t="n"/>
      <c r="B201" s="29" t="n"/>
      <c r="C201" s="29" t="n"/>
      <c r="D201" s="29" t="n"/>
      <c r="E201" s="29" t="n"/>
      <c r="F201" s="29" t="n"/>
      <c r="G201" s="29" t="n"/>
      <c r="H201" s="31" t="n"/>
      <c r="I201" s="29" t="inlineStr">
        <is>
          <t>Active</t>
        </is>
      </c>
    </row>
    <row r="202" ht="18" customHeight="1" s="146">
      <c r="A202" s="29" t="n"/>
      <c r="B202" s="29" t="n"/>
      <c r="C202" s="29" t="n"/>
      <c r="D202" s="29" t="n"/>
      <c r="E202" s="29" t="n"/>
      <c r="F202" s="29" t="n"/>
      <c r="G202" s="29" t="n"/>
      <c r="H202" s="31" t="n"/>
      <c r="I202" s="29" t="inlineStr">
        <is>
          <t>Active</t>
        </is>
      </c>
    </row>
    <row r="203" ht="18" customHeight="1" s="146">
      <c r="A203" s="29" t="n"/>
      <c r="B203" s="29" t="n"/>
      <c r="C203" s="29" t="n"/>
      <c r="D203" s="29" t="n"/>
      <c r="E203" s="29" t="n"/>
      <c r="F203" s="29" t="n"/>
      <c r="G203" s="29" t="n"/>
      <c r="H203" s="31" t="n"/>
      <c r="I203" s="29" t="inlineStr">
        <is>
          <t>Active</t>
        </is>
      </c>
    </row>
    <row r="204" ht="18" customHeight="1" s="146">
      <c r="A204" s="29" t="n"/>
      <c r="B204" s="29" t="n"/>
      <c r="C204" s="29" t="n"/>
      <c r="D204" s="29" t="n"/>
      <c r="E204" s="29" t="n"/>
      <c r="F204" s="29" t="n"/>
      <c r="G204" s="29" t="n"/>
      <c r="H204" s="31" t="n"/>
      <c r="I204" s="29" t="inlineStr">
        <is>
          <t>Active</t>
        </is>
      </c>
    </row>
  </sheetData>
  <mergeCells count="7">
    <mergeCell ref="L1:N1"/>
    <mergeCell ref="A2:I2"/>
    <mergeCell ref="L5:N5"/>
    <mergeCell ref="A1:I1"/>
    <mergeCell ref="A3:I3"/>
    <mergeCell ref="L2:N2"/>
    <mergeCell ref="L3:N3"/>
  </mergeCells>
  <dataValidations count="1">
    <dataValidation sqref="I5:I204" showDropDown="0" showInputMessage="1" showErrorMessage="1" allowBlank="0" errorTitle="Invalid entry" error="Please select Active or Inactive from the dropdown." promptTitle="Team Status" prompt="Select Active or Inactive." type="list">
      <formula1>"Active,Inactive"</formula1>
    </dataValidation>
  </dataValidation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tabColor rgb="FF1A3A2A"/>
    <outlinePr summaryBelow="1" summaryRight="1"/>
    <pageSetUpPr/>
  </sheetPr>
  <dimension ref="A1:F26"/>
  <sheetViews>
    <sheetView showGridLines="0" zoomScaleNormal="100" workbookViewId="0">
      <selection activeCell="A1" sqref="A1"/>
    </sheetView>
  </sheetViews>
  <sheetFormatPr baseColWidth="10" defaultColWidth="8.6640625" defaultRowHeight="15" customHeight="1"/>
  <cols>
    <col width="32" customWidth="1" style="122" min="1" max="1"/>
    <col width="14" customWidth="1" style="122" min="2" max="2"/>
    <col width="20" customWidth="1" style="122" min="3" max="3"/>
    <col width="12" customWidth="1" style="122" min="4" max="4"/>
    <col width="42" customWidth="1" style="122" min="5" max="6"/>
  </cols>
  <sheetData>
    <row r="1" ht="36" customHeight="1" s="146">
      <c r="A1" s="121" t="inlineStr">
        <is>
          <t>FIELD TEAM RISK MATRIX - SETTINGS &amp; WEIGHTS</t>
        </is>
      </c>
    </row>
    <row r="2" ht="30" customHeight="1" s="146">
      <c r="A2" s="140" t="inlineStr">
        <is>
          <t>Adjust weights and thresholds here — all other sheets update automatically. Do not modify metric formulas directly. Weights: Amber=18, Red Alerts=6, Skillko=8, Quality=7 (total=39 — scores now 1–5 per metric). Thresholds: HIGH ≤2.75, MEDIUM ≤3.24, LOW ≥3.25. Amber floor: teams scoring ≤2.0 on amber metric are auto-rated HIGH regardless of composite.</t>
        </is>
      </c>
    </row>
    <row r="4" ht="25.5" customHeight="1" s="146">
      <c r="A4" s="125" t="inlineStr">
        <is>
          <t>METRIC WEIGHTS &amp; SCORING - adjust Weight column only</t>
        </is>
      </c>
    </row>
    <row r="5" ht="30" customHeight="1" s="146">
      <c r="A5" s="5" t="inlineStr">
        <is>
          <t>Metric</t>
        </is>
      </c>
      <c r="B5" s="5" t="inlineStr">
        <is>
          <t>Target</t>
        </is>
      </c>
      <c r="C5" s="5" t="inlineStr">
        <is>
          <t>Direction</t>
        </is>
      </c>
      <c r="D5" s="5" t="inlineStr">
        <is>
          <t>Weight (1-10)</t>
        </is>
      </c>
      <c r="E5" s="5" t="inlineStr">
        <is>
          <t>Scoring Logic</t>
        </is>
      </c>
      <c r="F5" s="5" t="inlineStr">
        <is>
          <t>Source</t>
        </is>
      </c>
    </row>
    <row r="6" ht="27.75" customHeight="1" s="146">
      <c r="A6" s="32" t="inlineStr">
        <is>
          <t>Amber Alert Count</t>
        </is>
      </c>
      <c r="B6" s="10" t="inlineStr">
        <is>
          <t>2 per person per month</t>
        </is>
      </c>
      <c r="C6" s="10" t="inlineStr">
        <is>
          <t>Low amber count = HIGH risk</t>
        </is>
      </c>
      <c r="D6" s="33" t="n">
        <v>18</v>
      </c>
      <c r="E6" s="11" t="inlineStr">
        <is>
          <t>Score = MAX(0,(target-actual)/target×10). Zero ambers = score 10.</t>
        </is>
      </c>
      <c r="F6" s="11" t="inlineStr">
        <is>
          <t>HSQE Tracker - Impact = Opportunity, DE/FT Name</t>
        </is>
      </c>
    </row>
    <row r="7" ht="27.75" customHeight="1" s="146">
      <c r="A7" s="34" t="inlineStr">
        <is>
          <t>Red Alerts - Minor (G2)</t>
        </is>
      </c>
      <c r="B7" s="6" t="inlineStr">
        <is>
          <t>0</t>
        </is>
      </c>
      <c r="C7" s="6" t="inlineStr">
        <is>
          <t>Any red alerts = HIGH risk signal</t>
        </is>
      </c>
      <c r="D7" s="33" t="n">
        <v>6</v>
      </c>
      <c r="E7" s="7" t="inlineStr">
        <is>
          <t>Red Alert Score = MAX(Minor sub-score, Moderate/Major sub-score). Minor: each event = +0.8 above baseline 1, capped at 5. Moderate/Major: each event = +2 above baseline 1, capped at 5. Score = MAX(MIN(5, minor×0.8+1), MIN(5, mod_maj×2+1)). Major event also forces AUTO HIGH via override regardless of score.</t>
        </is>
      </c>
      <c r="F7" s="7" t="inlineStr">
        <is>
          <t>HSQE Events export - Impact = Minor | Moderate | Major, DE/FT Name</t>
        </is>
      </c>
    </row>
    <row r="8" ht="27.75" customHeight="1" s="146">
      <c r="A8" s="32" t="inlineStr">
        <is>
          <t>Red Alerts - Moderate/Major (G3+)</t>
        </is>
      </c>
      <c r="B8" s="10" t="inlineStr">
        <is>
          <t>0</t>
        </is>
      </c>
      <c r="C8" s="10" t="inlineStr">
        <is>
          <t>Folded into Red Alert Score above</t>
        </is>
      </c>
      <c r="D8" s="33" t="n">
        <v>0</v>
      </c>
      <c r="E8" s="11" t="inlineStr">
        <is>
          <t>Count only - scoring handled by Red Alert Score in row 7.</t>
        </is>
      </c>
      <c r="F8" s="11" t="inlineStr">
        <is>
          <t>HSQE Events export - Impact = Moderate | Major, DE/FT Name</t>
        </is>
      </c>
    </row>
    <row r="9" ht="27.75" customHeight="1" s="146">
      <c r="A9" s="34" t="inlineStr">
        <is>
          <t>Major event override</t>
        </is>
      </c>
      <c r="B9" s="6" t="inlineStr">
        <is>
          <t>0</t>
        </is>
      </c>
      <c r="C9" s="6" t="inlineStr">
        <is>
          <t>Any Major = AUTO HIGH</t>
        </is>
      </c>
      <c r="D9" s="35" t="n">
        <v>0</v>
      </c>
      <c r="E9" s="7" t="inlineStr">
        <is>
          <t>Any Major impact event forces team to HIGH regardless of composite score.</t>
        </is>
      </c>
      <c r="F9" s="7" t="inlineStr">
        <is>
          <t>HSQE Tracker 2 CSV - Impact = Major, DE/FT Name</t>
        </is>
      </c>
    </row>
    <row r="10" ht="27.75" customHeight="1" s="146">
      <c r="A10" s="32" t="inlineStr">
        <is>
          <t>Skillko Compliance</t>
        </is>
      </c>
      <c r="B10" s="10" t="inlineStr">
        <is>
          <t>95%</t>
        </is>
      </c>
      <c r="C10" s="10" t="inlineStr">
        <is>
          <t>Low % = HIGH risk</t>
        </is>
      </c>
      <c r="D10" s="33" t="n">
        <v>8</v>
      </c>
      <c r="E10" s="11" t="inlineStr">
        <is>
          <t>Score = (1 − actual%) × 4 + 1, range 1–5. E.g. 70% compliance = score 2.2.</t>
        </is>
      </c>
      <c r="F10" s="11" t="inlineStr">
        <is>
          <t>Skillko export - team summary rows, Compliance column</t>
        </is>
      </c>
    </row>
    <row r="11" ht="27.75" customHeight="1" s="146">
      <c r="A11" s="34" t="n"/>
      <c r="B11" s="6" t="n"/>
      <c r="C11" s="6" t="n"/>
      <c r="D11" s="33" t="n">
        <v>0</v>
      </c>
      <c r="E11" s="7" t="n"/>
      <c r="F11" s="7" t="n"/>
    </row>
    <row r="12" ht="27.75" customHeight="1" s="146">
      <c r="A12" s="32" t="inlineStr">
        <is>
          <t>Post-Cut Quality - defect rate</t>
        </is>
      </c>
      <c r="B12" s="10" t="inlineStr">
        <is>
          <t>0% defect rate per month</t>
        </is>
      </c>
      <c r="C12" s="10" t="inlineStr">
        <is>
          <t>High defect rate = HIGH risk</t>
        </is>
      </c>
      <c r="D12" s="33" t="n">
        <v>7</v>
      </c>
      <c r="E12" s="11" t="inlineStr">
        <is>
          <t>Score = (non-compliant poles / total poles assessed) × 4 + 1, range 1–5, capped at 5. If no poles assessed this month, score = 0 (no data = no penalty). Uses rate not count, so team workload does not inflate risk.</t>
        </is>
      </c>
      <c r="F12" s="11" t="inlineStr">
        <is>
          <t>Post-cut quality export - FT On Site, Completed, Summary of Works</t>
        </is>
      </c>
    </row>
    <row r="13" ht="15" customHeight="1" s="146">
      <c r="A13" s="145" t="inlineStr">
        <is>
          <t>Site Safety Visit (SSV)</t>
        </is>
      </c>
      <c r="D13" s="145" t="n">
        <v>10</v>
      </c>
      <c r="E13" s="145" t="inlineStr">
        <is>
          <t>Score based on Overall Result of SafetyCulture audits in rolling 90-day window. High Standards=4, Compliant=3, Minor NC with 1 finding=2, Minor NC with 2+ findings=1. 5 stars requires 2+ visits all returning High Standards. 1 visit High Standards = 4 stars maximum. No visits in window = 3 (neutral).</t>
        </is>
      </c>
      <c r="F13" s="145" t="inlineStr">
        <is>
          <t>SafetyCulture SSV export — Data - SSV tab</t>
        </is>
      </c>
    </row>
    <row r="14">
      <c r="A14" s="36" t="inlineStr">
        <is>
          <t>Total Weight (active metrics)</t>
        </is>
      </c>
      <c r="B14" s="119" t="n"/>
      <c r="C14" s="119" t="n"/>
      <c r="D14" s="37">
        <f>D6+D7+D10+D12+D13</f>
        <v/>
      </c>
      <c r="E14" s="38" t="n"/>
      <c r="F14" s="38" t="n"/>
    </row>
    <row r="15" ht="25.5" customHeight="1" s="146">
      <c r="A15" t="inlineStr">
        <is>
          <t>Close-out Rate</t>
        </is>
      </c>
    </row>
    <row r="16" ht="30" customHeight="1" s="146">
      <c r="A16" s="125" t="inlineStr">
        <is>
          <t>RISK THRESHOLDS</t>
        </is>
      </c>
    </row>
    <row r="17" ht="25.5" customHeight="1" s="146">
      <c r="A17" s="5" t="inlineStr">
        <is>
          <t>Band</t>
        </is>
      </c>
      <c r="B17" s="5" t="inlineStr">
        <is>
          <t>Score Range</t>
        </is>
      </c>
      <c r="C17" s="5" t="inlineStr">
        <is>
          <t>RAG</t>
        </is>
      </c>
      <c r="D17" s="5" t="inlineStr">
        <is>
          <t>PM Visit Cadence</t>
        </is>
      </c>
      <c r="E17" s="5" t="inlineStr">
        <is>
          <t>Plan Required?</t>
        </is>
      </c>
      <c r="F17" s="5" t="inlineStr">
        <is>
          <t>Notes</t>
        </is>
      </c>
    </row>
    <row r="18" ht="25.5" customHeight="1" s="146">
      <c r="A18" s="16" t="inlineStr">
        <is>
          <t>LOW</t>
        </is>
      </c>
      <c r="B18" s="6" t="inlineStr">
        <is>
          <t>1.0 – 2.74</t>
        </is>
      </c>
      <c r="C18" s="39" t="inlineStr">
        <is>
          <t>Green</t>
        </is>
      </c>
      <c r="D18" s="6" t="inlineStr">
        <is>
          <t>Standard cadence</t>
        </is>
      </c>
      <c r="E18" s="6" t="inlineStr">
        <is>
          <t>No</t>
        </is>
      </c>
      <c r="F18" s="7" t="inlineStr">
        <is>
          <t>All metrics within target. Continue monthly monitoring.</t>
        </is>
      </c>
    </row>
    <row r="19" ht="25.5" customHeight="1" s="146">
      <c r="A19" s="16" t="inlineStr">
        <is>
          <t>MEDIUM</t>
        </is>
      </c>
      <c r="B19" s="6" t="inlineStr">
        <is>
          <t>2.75 – 5.4</t>
        </is>
      </c>
      <c r="C19" s="40" t="inlineStr">
        <is>
          <t>Amber</t>
        </is>
      </c>
      <c r="D19" s="6" t="inlineStr">
        <is>
          <t>Weekly PM check-in</t>
        </is>
      </c>
      <c r="E19" s="6" t="inlineStr">
        <is>
          <t>No</t>
        </is>
      </c>
      <c r="F19" s="7" t="inlineStr">
        <is>
          <t>One or more metrics underperforming. Initiate coaching.</t>
        </is>
      </c>
    </row>
    <row r="20" ht="13" customHeight="1" s="146">
      <c r="A20" s="16" t="inlineStr">
        <is>
          <t>HIGH</t>
        </is>
      </c>
      <c r="B20" s="6" t="inlineStr">
        <is>
          <t>3.25 – 10.0</t>
        </is>
      </c>
      <c r="C20" s="41" t="inlineStr">
        <is>
          <t>Red</t>
        </is>
      </c>
      <c r="D20" s="6" t="inlineStr">
        <is>
          <t>3x per week (PM)</t>
        </is>
      </c>
      <c r="E20" s="6" t="inlineStr">
        <is>
          <t>Yes</t>
        </is>
      </c>
      <c r="F20" s="7" t="inlineStr">
        <is>
          <t>Improvement plan within 5 working days. Review weekly.</t>
        </is>
      </c>
    </row>
    <row r="21" ht="30" customHeight="1" s="146">
      <c r="A21" s="122" t="n"/>
    </row>
    <row r="22" ht="15" customHeight="1" s="146">
      <c r="A22" s="42" t="inlineStr">
        <is>
          <t>MAJOR EVENT OVERRIDE: Any team with a Major impact event this month is automatically scored HIGH regardless of composite score. This appears in col M of Monthly Matrix.</t>
        </is>
      </c>
      <c r="B22" s="119" t="n"/>
      <c r="C22" s="119" t="n"/>
      <c r="D22" s="119" t="n"/>
      <c r="E22" s="119" t="n"/>
      <c r="F22" s="119" t="n"/>
    </row>
    <row r="23" ht="36" customHeight="1" s="146">
      <c r="C23" s="122" t="inlineStr">
        <is>
          <t>HIGH threshold (&gt;=)</t>
        </is>
      </c>
      <c r="D23" s="122" t="n">
        <v>2.75</v>
      </c>
    </row>
    <row r="24" ht="15" customHeight="1" s="146">
      <c r="A24" s="43" t="inlineStr">
        <is>
          <t>AMBER TARGET: Calculated per team as Operative Count × 2 per month. Zero amber reporting is treated as a risk signal, not a low-risk outcome.</t>
        </is>
      </c>
      <c r="C24" s="122" t="inlineStr">
        <is>
          <t>MEDIUM threshold (&gt;=)</t>
        </is>
      </c>
      <c r="D24" s="122" t="n">
        <v>3.25</v>
      </c>
    </row>
    <row r="25">
      <c r="C25" s="44" t="n"/>
      <c r="D25" s="45" t="n">
        <v>95</v>
      </c>
    </row>
    <row r="26">
      <c r="A26" t="inlineStr">
        <is>
          <t>AMBER FLOOR OVERRIDE: Teams submitting fewer than 20% of their amber target are automatically HIGH. This captures near-zero reporters, not just absolute zero.</t>
        </is>
      </c>
      <c r="C26" t="inlineStr">
        <is>
          <t>Amber floor threshold (score &gt;= = AUTO HIGH)</t>
        </is>
      </c>
      <c r="D26" t="n">
        <v>2</v>
      </c>
      <c r="E26" t="inlineStr">
        <is>
          <t>Teams with amber score &gt;= 8 (submitting &lt; 20% of monthly target) are automatically rated HIGH regardless of composite score. Zero reporters score 10 and are always captured by this rule.</t>
        </is>
      </c>
    </row>
  </sheetData>
  <mergeCells count="6">
    <mergeCell ref="A2:F2"/>
    <mergeCell ref="A13:C13"/>
    <mergeCell ref="A1:F1"/>
    <mergeCell ref="A4:F4"/>
    <mergeCell ref="A21:F21"/>
    <mergeCell ref="A15:F15"/>
  </mergeCell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tabColor rgb="FF2D6A4F"/>
    <outlinePr summaryBelow="1" summaryRight="1"/>
    <pageSetUpPr/>
  </sheetPr>
  <dimension ref="A1:AO77"/>
  <sheetViews>
    <sheetView showGridLines="0" zoomScaleNormal="100" workbookViewId="0">
      <selection activeCell="A1" sqref="A1"/>
    </sheetView>
  </sheetViews>
  <sheetFormatPr baseColWidth="10" defaultColWidth="8.6640625" defaultRowHeight="15" customHeight="1"/>
  <cols>
    <col width="8" customWidth="1" style="122" min="1" max="1"/>
    <col width="28" customWidth="1" style="122" min="2" max="2"/>
    <col width="18" customWidth="1" style="122" min="3" max="3"/>
    <col width="14" customWidth="1" style="122" min="4" max="4"/>
    <col width="14" customWidth="1" style="146" min="5" max="5"/>
    <col width="14" customWidth="1" style="122" min="6" max="6"/>
    <col width="14" customWidth="1" style="146" min="7" max="7"/>
    <col hidden="1" width="3" customWidth="1" style="122" min="8" max="8"/>
    <col hidden="1" width="3" customWidth="1" style="146" min="9" max="16"/>
    <col hidden="1" width="3" customWidth="1" style="122" min="17" max="17"/>
    <col hidden="1" width="3" customWidth="1" style="146" min="18" max="20"/>
    <col width="13" customWidth="1" style="146" min="21" max="22"/>
    <col width="13" customWidth="1" style="122" min="23" max="23"/>
    <col width="13" customWidth="1" style="146" min="24" max="24"/>
    <col width="13" customWidth="1" style="122" min="25" max="25"/>
    <col width="14" customWidth="1" style="122" min="26" max="26"/>
    <col width="10" customWidth="1" style="122" min="27" max="27"/>
    <col hidden="1" width="3" customWidth="1" style="122" min="28" max="29"/>
    <col hidden="1" width="3" customWidth="1" style="146" min="30" max="31"/>
    <col width="18" customWidth="1" style="146" min="32" max="32"/>
    <col hidden="1" width="3" customWidth="1" style="146" min="33" max="38"/>
    <col width="12" customWidth="1" style="146" min="39" max="39"/>
    <col hidden="1" width="3" customWidth="1" style="146" min="40" max="41"/>
  </cols>
  <sheetData>
    <row r="1" ht="36" customHeight="1" s="146">
      <c r="A1" s="121" t="inlineStr">
        <is>
          <t>FIELD TEAM RISK MATRIX - MONTHLY SCORING</t>
        </is>
      </c>
    </row>
    <row r="2" ht="30" customHeight="1" s="146">
      <c r="A2" s="140" t="inlineStr">
        <is>
          <t>Scores calculate automatically from Field Teams and Data tabs. Set date range in Dashboard: N1 = start date, O1 = end date. Regenerate Pole Results sheet after each quality data paste. RAG logic: Major event or amber score ≥8 forces HIGH regardless of composite. Inactive teams show blank scores and are excluded from all rankings.</t>
        </is>
      </c>
    </row>
    <row r="3" ht="42" customHeight="1" s="146">
      <c r="A3" s="5" t="inlineStr">
        <is>
          <t>Team ID</t>
        </is>
      </c>
      <c r="B3" s="5" t="inlineStr">
        <is>
          <t>Team Name</t>
        </is>
      </c>
      <c r="C3" s="5" t="inlineStr">
        <is>
          <t>Contract</t>
        </is>
      </c>
      <c r="D3" s="5" t="inlineStr">
        <is>
          <t>NOD</t>
        </is>
      </c>
      <c r="E3" s="5" t="inlineStr">
        <is>
          <t>SOM</t>
        </is>
      </c>
      <c r="F3" s="5" t="inlineStr">
        <is>
          <t>CM</t>
        </is>
      </c>
      <c r="G3" s="5" t="inlineStr">
        <is>
          <t>PM</t>
        </is>
      </c>
      <c r="H3" s="5" t="inlineStr">
        <is>
          <t>Operative
Count</t>
        </is>
      </c>
      <c r="I3" s="5" t="inlineStr">
        <is>
          <t>Amber
Target</t>
        </is>
      </c>
      <c r="J3" s="5" t="inlineStr">
        <is>
          <t>Amber
Count</t>
        </is>
      </c>
      <c r="K3" s="5" t="inlineStr">
        <is>
          <t>Red Alerts
(Minor)</t>
        </is>
      </c>
      <c r="L3" s="5" t="inlineStr">
        <is>
          <t>Red Alerts
(Mod/Maj)</t>
        </is>
      </c>
      <c r="M3" s="5" t="inlineStr">
        <is>
          <t>Major
Event?</t>
        </is>
      </c>
      <c r="N3" s="5" t="inlineStr">
        <is>
          <t>Skillko
(%)</t>
        </is>
      </c>
      <c r="O3" s="5" t="inlineStr">
        <is>
          <t>Skillko
Score</t>
        </is>
      </c>
      <c r="P3" s="5" t="inlineStr">
        <is>
          <t>Non-Compliant
Poles</t>
        </is>
      </c>
      <c r="Q3" s="5" t="inlineStr">
        <is>
          <t>Amber
Score</t>
        </is>
      </c>
      <c r="R3" s="5" t="inlineStr">
        <is>
          <t>Red Alert
Score</t>
        </is>
      </c>
      <c r="S3" s="46" t="inlineStr">
        <is>
          <t>Quality
Score
(rate)</t>
        </is>
      </c>
      <c r="T3" s="5" t="inlineStr">
        <is>
          <t>COMPOSITE
SCORE
(★1–5)</t>
        </is>
      </c>
      <c r="U3" s="109" t="inlineStr">
        <is>
          <t>★ Amber</t>
        </is>
      </c>
      <c r="V3" s="109" t="inlineStr">
        <is>
          <t>★ Red Alerts</t>
        </is>
      </c>
      <c r="W3" s="109" t="inlineStr">
        <is>
          <t>★ Skillko</t>
        </is>
      </c>
      <c r="X3" s="109" t="inlineStr">
        <is>
          <t>★ Quality</t>
        </is>
      </c>
      <c r="Y3" s="109" t="inlineStr">
        <is>
          <t>★ SSV</t>
        </is>
      </c>
      <c r="Z3" s="110" t="inlineStr">
        <is>
          <t>★ Composite</t>
        </is>
      </c>
      <c r="AA3" s="5" t="inlineStr">
        <is>
          <t>RAG</t>
        </is>
      </c>
      <c r="AB3" s="5" t="inlineStr">
        <is>
          <t>Rank
(high)</t>
        </is>
      </c>
      <c r="AC3" s="5" t="inlineStr">
        <is>
          <t>Rank
(low)</t>
        </is>
      </c>
      <c r="AD3" s="5" t="inlineStr">
        <is>
          <t>Rank Score (low-risk tie-break)</t>
        </is>
      </c>
      <c r="AE3" s="5" t="inlineStr">
        <is>
          <t>4wk
HIGH</t>
        </is>
      </c>
      <c r="AF3" s="5" t="inlineStr">
        <is>
          <t>Plan
Required?</t>
        </is>
      </c>
      <c r="AG3" s="104" t="inlineStr">
        <is>
          <t>Date
Start
(helper)</t>
        </is>
      </c>
      <c r="AH3" s="47" t="inlineStr">
        <is>
          <t>Pole/Criteria
Checks</t>
        </is>
      </c>
      <c r="AI3" s="48" t="inlineStr">
        <is>
          <t>Compliant
Checks</t>
        </is>
      </c>
      <c r="AJ3" s="105" t="inlineStr">
        <is>
          <t>Date
End
(helper)</t>
        </is>
      </c>
      <c r="AK3" s="106" t="inlineStr">
        <is>
          <t>HIGH
Rank
(helper)</t>
        </is>
      </c>
      <c r="AL3" s="106" t="inlineStr">
        <is>
          <t>H+M
Rank
(helper)</t>
        </is>
      </c>
      <c r="AM3" t="inlineStr">
        <is>
          <t>Trend
vs
Prev Month</t>
        </is>
      </c>
      <c r="AN3" s="111" t="inlineStr">
        <is>
          <t>SSV
Visit Count
(helper)</t>
        </is>
      </c>
      <c r="AO3" s="111" t="inlineStr">
        <is>
          <t>SSV
Score
(1–5)</t>
        </is>
      </c>
    </row>
    <row r="4" ht="19.5" customHeight="1" s="146">
      <c r="A4" s="10">
        <f>'Field Teams'!A5</f>
        <v/>
      </c>
      <c r="B4" s="30">
        <f>'Field Teams'!B5</f>
        <v/>
      </c>
      <c r="C4" s="30">
        <f>'Field Teams'!C5</f>
        <v/>
      </c>
      <c r="D4" s="10">
        <f>'Field Teams'!D5</f>
        <v/>
      </c>
      <c r="E4" s="10">
        <f>'Field Teams'!E5</f>
        <v/>
      </c>
      <c r="F4" s="10">
        <f>'Field Teams'!F5</f>
        <v/>
      </c>
      <c r="G4" s="10">
        <f>'Field Teams'!G5</f>
        <v/>
      </c>
      <c r="H4" s="31">
        <f>'Field Teams'!H5</f>
        <v/>
      </c>
      <c r="I4" s="31">
        <f>H4*2</f>
        <v/>
      </c>
      <c r="J4" s="31">
        <f>IFERROR(SUMPRODUCT((((ISNUMBER(SEARCH(B4,'Data - HSQE Events'!V$6:V$3000))+ISNUMBER(SEARCH(B4,'Data - HSQE Events'!H$6:H$3000)))&gt;0))*('Data - HSQE Events'!F$6:F$3000&gt;=$AG$3)*('Data - HSQE Events'!F$6:F$3000&lt;=$AJ$3)*('Data - HSQE Events'!R$6:R$3000="Opportunity")),0)</f>
        <v/>
      </c>
      <c r="K4" s="31">
        <f>IFERROR(SUMPRODUCT((((ISNUMBER(SEARCH(B4,'Data - HSQE Events'!V$6:V$3000))+ISNUMBER(SEARCH(B4,'Data - HSQE Events'!H$6:H$3000)))&gt;0))*('Data - HSQE Events'!F$6:F$3000&gt;=$AG$3)*('Data - HSQE Events'!F$6:F$3000&lt;=$AJ$3)*('Data - HSQE Events'!R$6:R$3000="Minor")),0)</f>
        <v/>
      </c>
      <c r="L4" s="31">
        <f>IFERROR(SUMPRODUCT((((ISNUMBER(SEARCH(B4,'Data - HSQE Events'!V$6:V$3000))+ISNUMBER(SEARCH(B4,'Data - HSQE Events'!H$6:H$3000)))&gt;0))*('Data - HSQE Events'!F$6:F$3000&gt;=$AG$3)*('Data - HSQE Events'!F$6:F$3000&lt;=$AJ$3)*(('Data - HSQE Events'!R$6:R$3000="Moderate")+('Data - HSQE Events'!R$6:R$3000="Major"))),0)</f>
        <v/>
      </c>
      <c r="M4" s="31">
        <f>IF(IFERROR(SUMPRODUCT((((ISNUMBER(SEARCH(B4,'Data - HSQE Events'!V$6:V$3000))+ISNUMBER(SEARCH(B4,'Data - HSQE Events'!H$6:H$3000)))&gt;0))*('Data - HSQE Events'!F$6:F$3000&gt;=$AG$3)*('Data - HSQE Events'!F$6:F$3000&lt;=$AJ$3)*('Data - HSQE Events'!R$6:R$3000="Major")),0)&gt;0,"YES","NO")</f>
        <v/>
      </c>
      <c r="N4" s="31">
        <f>IFERROR(SUMPRODUCT(('Data - Skillko'!B$6:B$3000=B4)*('Data - Skillko'!C$6:C$3000="Total")*('Data - Skillko'!E$6:E$3000))*100,0)</f>
        <v/>
      </c>
      <c r="O4" s="31">
        <f>ROUND(MAX(1,MIN(5,1+N4/100*4)),1)</f>
        <v/>
      </c>
      <c r="P4" s="31">
        <f>IFERROR(SUMPRODUCT(ISNUMBER(SEARCH(B4,'Pole Results'!$A$13:$A$2000))*('Pole Results'!$B$13:$B$2000&gt;=$AG$3)*('Pole Results'!$B$13:$B$2000&lt;=$AE$3)*('Pole Results'!$E$13:$E$2000="Non-Compliant")),0)</f>
        <v/>
      </c>
      <c r="Q4" s="31">
        <f>IF(I4=0,1,IFERROR(ROUND(MAX(1,MIN(5,1+J4/I4*4)),1),3))</f>
        <v/>
      </c>
      <c r="R4" s="31">
        <f>ROUND(6-MAX(MIN(5,K4*0.8+1),MIN(5,L4*2+1)),1)</f>
        <v/>
      </c>
      <c r="S4" s="49">
        <f>IFERROR(ROUND(MAX(1,MIN(5,5-(P4/MAX(1,AI4))*4)),1),5)</f>
        <v/>
      </c>
      <c r="T4" s="31">
        <f>IF('Field Teams'!$I$5="Inactive","",ROUND((Q4*Settings!$D$6+R4*Settings!$D$7+O4*Settings!$D$10+S4*Settings!$D$12+AO4*Settings!$D$13)/Settings!$D$14,1))</f>
        <v/>
      </c>
      <c r="U4" s="115">
        <f>IF('Field Teams'!$I$5="Inactive","",IF(Q4="","",IF(Q4&gt;=4.5,"★★★★★",IF(Q4&gt;=3.5,"★★★★☆",IF(Q4&gt;=2.5,"★★★☆☆",IF(Q4&gt;=1.5,"★★☆☆☆","★☆☆☆☆"))))))</f>
        <v/>
      </c>
      <c r="V4" s="115">
        <f>IF('Field Teams'!$I$5="Inactive","",IF(R4="","",IF(R4&gt;=4.5,"★★★★★",IF(R4&gt;=3.5,"★★★★☆",IF(R4&gt;=2.5,"★★★☆☆",IF(R4&gt;=1.5,"★★☆☆☆","★☆☆☆☆"))))))</f>
        <v/>
      </c>
      <c r="W4" s="115">
        <f>IF('Field Teams'!$I$5="Inactive","",IF(O4="","",IF(O4&gt;=4.5,"★★★★★",IF(O4&gt;=3.5,"★★★★☆",IF(O4&gt;=2.5,"★★★☆☆",IF(O4&gt;=1.5,"★★☆☆☆","★☆☆☆☆"))))))</f>
        <v/>
      </c>
      <c r="X4" s="115">
        <f>IF('Field Teams'!$I$5="Inactive","",IF(S4="","",IF(S4&gt;=4.5,"★★★★★",IF(S4&gt;=3.5,"★★★★☆",IF(S4&gt;=2.5,"★★★☆☆",IF(S4&gt;=1.5,"★★☆☆☆","★☆☆☆☆"))))))</f>
        <v/>
      </c>
      <c r="Y4" s="115">
        <f>IF('Field Teams'!$I$5="Inactive","",IF(AO4="","",IF(AO4&gt;=4.5,"★★★★★",IF(AO4&gt;=3.5,"★★★★☆",IF(AO4&gt;=2.5,"★★★☆☆",IF(AO4&gt;=1.5,"★★☆☆☆","★☆☆☆☆"))))))</f>
        <v/>
      </c>
      <c r="Z4" s="115">
        <f>IF('Field Teams'!$I$5="Inactive","",IF(T4="","",IF(T4&gt;=4.5,"★★★★★",IF(T4&gt;=3.5,"★★★★☆",IF(T4&gt;=2.5,"★★★☆☆",IF(T4&gt;=1.5,"★★☆☆☆","★☆☆☆☆"))))))</f>
        <v/>
      </c>
      <c r="AA4" s="31">
        <f>IF('Field Teams'!$I$5="Inactive","",IF(M4="YES","HIGH",IF(Q4&lt;=Settings!$D$26,"HIGH",IF(T4&lt;=Settings!$D$23,"HIGH",IF(T4&lt;=Settings!$D$24,"MEDIUM","LOW")))))</f>
        <v/>
      </c>
      <c r="AB4" s="31">
        <f>IF('Field Teams'!$I$5="Inactive",-1,IFERROR((6-T4)+(77-ROW())*0.0001,0))</f>
        <v/>
      </c>
      <c r="AC4" s="35">
        <f>IF('Field Teams'!$I$5="Inactive",999,IFERROR((6-T4)+(ROW()-3)*0.0001,99))</f>
        <v/>
      </c>
      <c r="AD4" s="31">
        <f>IF('Field Teams'!$I$5="Inactive",999,IFERROR(AB4+(ROW()-3)*0.0001,99))</f>
        <v/>
      </c>
      <c r="AE4" s="29" t="n">
        <v>0</v>
      </c>
      <c r="AF4" s="31">
        <f>IF('Field Teams'!$I$5="Inactive","",IF(AA4="HIGH","YES - within 5 working days",""))</f>
        <v/>
      </c>
      <c r="AG4" s="105" t="n"/>
      <c r="AH4" s="49">
        <f>IFERROR(SUMPRODUCT(ISNUMBER(SEARCH(B4,'Pole Results'!$A$13:$A$2000))*('Pole Results'!$B$13:$B$2000&gt;=$AG$3)*('Pole Results'!$B$13:$B$2000&lt;=$AE$3)),0)</f>
        <v/>
      </c>
      <c r="AI4" s="49">
        <f>IFERROR(SUMPRODUCT(ISNUMBER(SEARCH(B4,'Pole Results'!$A$13:$A$2000))*('Pole Results'!$B$13:$B$2000&gt;=$AG$3)*('Pole Results'!$B$13:$B$2000&lt;=$AE$3)*('Pole Results'!$E$13:$E$2000="Compliant")),0)</f>
        <v/>
      </c>
      <c r="AJ4" s="105" t="n"/>
      <c r="AK4" s="106">
        <f>IF('Field Teams'!$I$5="Inactive",-1,IF(AA4="HIGH",AB4,-1))</f>
        <v/>
      </c>
      <c r="AL4" s="106">
        <f>IF('Field Teams'!$I$5="Inactive",-1,IF(OR(AA4="HIGH",AA4="MEDIUM"),AB4,-1))</f>
        <v/>
      </c>
      <c r="AM4">
        <f>IF('Field Teams'!$I$5="Inactive","",IF(IFERROR(LOOKUP(2,1/('Historical Scores'!C5:N5&lt;&gt;""),'Historical Scores'!C5:N5),"")="","New",IF(T4=""," ",IF(T4&gt;IFERROR(LOOKUP(2,1/('Historical Scores'!C5:N5&lt;&gt;""),'Historical Scores'!C5:N5),""),"▲ Worsening",IF(T4&lt;IFERROR(LOOKUP(2,1/('Historical Scores'!C5:N5&lt;&gt;""),'Historical Scores'!C5:N5),""),"▼ Improving","► Stable")))))</f>
        <v/>
      </c>
      <c r="AN4">
        <f>IFERROR(SUMPRODUCT((ISNUMBER(SEARCH(B4,'Data - SSV'!AE$6:AE$3000)))*('Data - SSV'!AF$6:AF$3000&gt;=(AJ$3-90))*('Data - SSV'!AF$6:AF$3000&lt;=AJ$3)*('Data - SSV'!AH$6:AH$3000&lt;&gt;"")),0)</f>
        <v/>
      </c>
      <c r="AO4">
        <f>IF('Field Teams'!$I$5="Inactive","",IF(AN4=0,3,IF(AN4=1,IF(IFERROR(SUMPRODUCT((ISNUMBER(SEARCH(B4,'Data - SSV'!AE$6:AE$3000)))*('Data - SSV'!AF$6:AF$3000&gt;=(AJ$3-90))*('Data - SSV'!AF$6:AF$3000&lt;=AJ$3)*('Data - SSV'!AH$6:AH$3000&lt;&gt;"")*IF('Data - SSV'!AH$6:AH$3000="",0,'Data - SSV'!AH$6:AH$3000))/AN4,3)=4,4,IF(IFERROR(SUMPRODUCT((ISNUMBER(SEARCH(B4,'Data - SSV'!AE$6:AE$3000)))*('Data - SSV'!AF$6:AF$3000&gt;=(AJ$3-90))*('Data - SSV'!AF$6:AF$3000&lt;=AJ$3)*('Data - SSV'!AH$6:AH$3000&lt;&gt;"")*IF('Data - SSV'!AH$6:AH$3000="",0,'Data - SSV'!AH$6:AH$3000))/AN4,3)&gt;=3,3,IF(IFERROR(SUMPRODUCT((ISNUMBER(SEARCH(B4,'Data - SSV'!AE$6:AE$3000)))*('Data - SSV'!AF$6:AF$3000&gt;=(AJ$3-90))*('Data - SSV'!AF$6:AF$3000&lt;=AJ$3)*('Data - SSV'!AH$6:AH$3000&lt;&gt;"")*IF('Data - SSV'!AH$6:AH$3000="",0,'Data - SSV'!AH$6:AH$3000))/AN4,3)&gt;=2,2,1))),IF(IFERROR(SUMPRODUCT((ISNUMBER(SEARCH(B4,'Data - SSV'!AE$6:AE$3000)))*('Data - SSV'!AF$6:AF$3000&gt;=(AJ$3-90))*('Data - SSV'!AF$6:AF$3000&lt;=AJ$3)*('Data - SSV'!AH$6:AH$3000&lt;&gt;"")*IF('Data - SSV'!AH$6:AH$3000="",0,'Data - SSV'!AH$6:AH$3000))/AN4,3)=4,5,IF(IFERROR(SUMPRODUCT((ISNUMBER(SEARCH(B4,'Data - SSV'!AE$6:AE$3000)))*('Data - SSV'!AF$6:AF$3000&gt;=(AJ$3-90))*('Data - SSV'!AF$6:AF$3000&lt;=AJ$3)*('Data - SSV'!AH$6:AH$3000&lt;&gt;"")*IF('Data - SSV'!AH$6:AH$3000="",0,'Data - SSV'!AH$6:AH$3000))/AN4,3)&gt;=3.5,4,IF(IFERROR(SUMPRODUCT((ISNUMBER(SEARCH(B4,'Data - SSV'!AE$6:AE$3000)))*('Data - SSV'!AF$6:AF$3000&gt;=(AJ$3-90))*('Data - SSV'!AF$6:AF$3000&lt;=AJ$3)*('Data - SSV'!AH$6:AH$3000&lt;&gt;"")*IF('Data - SSV'!AH$6:AH$3000="",0,'Data - SSV'!AH$6:AH$3000))/AN4,3)&gt;=3,3,IF(IFERROR(SUMPRODUCT((ISNUMBER(SEARCH(B4,'Data - SSV'!AE$6:AE$3000)))*('Data - SSV'!AF$6:AF$3000&gt;=(AJ$3-90))*('Data - SSV'!AF$6:AF$3000&lt;=AJ$3)*('Data - SSV'!AH$6:AH$3000&lt;&gt;"")*IF('Data - SSV'!AH$6:AH$3000="",0,'Data - SSV'!AH$6:AH$3000))/AN4,3)&gt;=2,2,1)))))))</f>
        <v/>
      </c>
    </row>
    <row r="5" ht="19.5" customHeight="1" s="146">
      <c r="A5" s="6">
        <f>'Field Teams'!A6</f>
        <v/>
      </c>
      <c r="B5" s="28">
        <f>'Field Teams'!B6</f>
        <v/>
      </c>
      <c r="C5" s="28">
        <f>'Field Teams'!C6</f>
        <v/>
      </c>
      <c r="D5" s="6">
        <f>'Field Teams'!D6</f>
        <v/>
      </c>
      <c r="E5" s="6">
        <f>'Field Teams'!E6</f>
        <v/>
      </c>
      <c r="F5" s="6">
        <f>'Field Teams'!F6</f>
        <v/>
      </c>
      <c r="G5" s="6">
        <f>'Field Teams'!G6</f>
        <v/>
      </c>
      <c r="H5" s="31">
        <f>'Field Teams'!H6</f>
        <v/>
      </c>
      <c r="I5" s="31">
        <f>H5*2</f>
        <v/>
      </c>
      <c r="J5" s="31">
        <f>IFERROR(SUMPRODUCT((((ISNUMBER(SEARCH(B5,'Data - HSQE Events'!V$6:V$3000))+ISNUMBER(SEARCH(B5,'Data - HSQE Events'!H$6:H$3000)))&gt;0))*('Data - HSQE Events'!F$6:F$3000&gt;=$AG$3)*('Data - HSQE Events'!F$6:F$3000&lt;=$AJ$3)*('Data - HSQE Events'!R$6:R$3000="Opportunity")),0)</f>
        <v/>
      </c>
      <c r="K5" s="31">
        <f>IFERROR(SUMPRODUCT((((ISNUMBER(SEARCH(B5,'Data - HSQE Events'!V$6:V$3000))+ISNUMBER(SEARCH(B5,'Data - HSQE Events'!H$6:H$3000)))&gt;0))*('Data - HSQE Events'!F$6:F$3000&gt;=$AG$3)*('Data - HSQE Events'!F$6:F$3000&lt;=$AJ$3)*('Data - HSQE Events'!R$6:R$3000="Minor")),0)</f>
        <v/>
      </c>
      <c r="L5" s="31">
        <f>IFERROR(SUMPRODUCT((((ISNUMBER(SEARCH(B5,'Data - HSQE Events'!V$6:V$3000))+ISNUMBER(SEARCH(B5,'Data - HSQE Events'!H$6:H$3000)))&gt;0))*('Data - HSQE Events'!F$6:F$3000&gt;=$AG$3)*('Data - HSQE Events'!F$6:F$3000&lt;=$AJ$3)*(('Data - HSQE Events'!R$6:R$3000="Moderate")+('Data - HSQE Events'!R$6:R$3000="Major"))),0)</f>
        <v/>
      </c>
      <c r="M5" s="31">
        <f>IF(IFERROR(SUMPRODUCT((((ISNUMBER(SEARCH(B5,'Data - HSQE Events'!V$6:V$3000))+ISNUMBER(SEARCH(B5,'Data - HSQE Events'!H$6:H$3000)))&gt;0))*('Data - HSQE Events'!F$6:F$3000&gt;=$AG$3)*('Data - HSQE Events'!F$6:F$3000&lt;=$AJ$3)*('Data - HSQE Events'!R$6:R$3000="Major")),0)&gt;0,"YES","NO")</f>
        <v/>
      </c>
      <c r="N5" s="31">
        <f>IFERROR(SUMPRODUCT(('Data - Skillko'!B$6:B$3000=B5)*('Data - Skillko'!C$6:C$3000="Total")*('Data - Skillko'!E$6:E$3000))*100,0)</f>
        <v/>
      </c>
      <c r="O5" s="31">
        <f>ROUND(MAX(1,MIN(5,1+N5/100*4)),1)</f>
        <v/>
      </c>
      <c r="P5" s="31">
        <f>IFERROR(SUMPRODUCT(ISNUMBER(SEARCH(B5,'Pole Results'!$A$13:$A$2000))*('Pole Results'!$B$13:$B$2000&gt;=$AG$3)*('Pole Results'!$B$13:$B$2000&lt;=$AE$3)*('Pole Results'!$E$13:$E$2000="Non-Compliant")),0)</f>
        <v/>
      </c>
      <c r="Q5" s="31">
        <f>IF(I5=0,1,IFERROR(ROUND(MAX(1,MIN(5,1+J5/I5*4)),1),3))</f>
        <v/>
      </c>
      <c r="R5" s="31">
        <f>ROUND(6-MAX(MIN(5,K5*0.8+1),MIN(5,L5*2+1)),1)</f>
        <v/>
      </c>
      <c r="S5" s="49">
        <f>IFERROR(ROUND(MAX(1,MIN(5,5-(P5/MAX(1,AI5))*4)),1),5)</f>
        <v/>
      </c>
      <c r="T5" s="31">
        <f>IF('Field Teams'!$I$6="Inactive","",ROUND((Q5*Settings!$D$6+R5*Settings!$D$7+O5*Settings!$D$10+S5*Settings!$D$12+AO5*Settings!$D$13)/Settings!$D$14,1))</f>
        <v/>
      </c>
      <c r="U5" s="115">
        <f>IF('Field Teams'!$I$6="Inactive","",IF(Q5="","",IF(Q5&gt;=4.5,"★★★★★",IF(Q5&gt;=3.5,"★★★★☆",IF(Q5&gt;=2.5,"★★★☆☆",IF(Q5&gt;=1.5,"★★☆☆☆","★☆☆☆☆"))))))</f>
        <v/>
      </c>
      <c r="V5" s="115">
        <f>IF('Field Teams'!$I$6="Inactive","",IF(R5="","",IF(R5&gt;=4.5,"★★★★★",IF(R5&gt;=3.5,"★★★★☆",IF(R5&gt;=2.5,"★★★☆☆",IF(R5&gt;=1.5,"★★☆☆☆","★☆☆☆☆"))))))</f>
        <v/>
      </c>
      <c r="W5" s="115">
        <f>IF('Field Teams'!$I$6="Inactive","",IF(O5="","",IF(O5&gt;=4.5,"★★★★★",IF(O5&gt;=3.5,"★★★★☆",IF(O5&gt;=2.5,"★★★☆☆",IF(O5&gt;=1.5,"★★☆☆☆","★☆☆☆☆"))))))</f>
        <v/>
      </c>
      <c r="X5" s="115">
        <f>IF('Field Teams'!$I$6="Inactive","",IF(S5="","",IF(S5&gt;=4.5,"★★★★★",IF(S5&gt;=3.5,"★★★★☆",IF(S5&gt;=2.5,"★★★☆☆",IF(S5&gt;=1.5,"★★☆☆☆","★☆☆☆☆"))))))</f>
        <v/>
      </c>
      <c r="Y5" s="115">
        <f>IF('Field Teams'!$I$6="Inactive","",IF(AO5="","",IF(AO5&gt;=4.5,"★★★★★",IF(AO5&gt;=3.5,"★★★★☆",IF(AO5&gt;=2.5,"★★★☆☆",IF(AO5&gt;=1.5,"★★☆☆☆","★☆☆☆☆"))))))</f>
        <v/>
      </c>
      <c r="Z5" s="115">
        <f>IF('Field Teams'!$I$5="Inactive","",IF(T5="","",IF(T5&gt;=4.5,"★★★★★",IF(T5&gt;=3.5,"★★★★☆",IF(T5&gt;=2.5,"★★★☆☆",IF(T5&gt;=1.5,"★★☆☆☆","★☆☆☆☆"))))))</f>
        <v/>
      </c>
      <c r="AA5" s="31">
        <f>IF('Field Teams'!$I$6="Inactive","",IF(M5="YES","HIGH",IF(Q5&lt;=Settings!$D$26,"HIGH",IF(T5&lt;=Settings!$D$23,"HIGH",IF(T5&lt;=Settings!$D$24,"MEDIUM","LOW")))))</f>
        <v/>
      </c>
      <c r="AB5" s="31">
        <f>IF('Field Teams'!$I$5="Inactive",-1,IFERROR((6-T5)+(77-ROW())*0.0001,0))</f>
        <v/>
      </c>
      <c r="AC5" s="35">
        <f>IF('Field Teams'!$I$5="Inactive",999,IFERROR((6-T5)+(ROW()-3)*0.0001,99))</f>
        <v/>
      </c>
      <c r="AD5" s="31">
        <f>IF('Field Teams'!$I$6="Inactive",999,IFERROR(AB5+(ROW()-3)*0.0001,99))</f>
        <v/>
      </c>
      <c r="AE5" s="29" t="n">
        <v>0</v>
      </c>
      <c r="AF5" s="31">
        <f>IF('Field Teams'!$I$6="Inactive","",IF(AA5="HIGH","YES - within 5 working days",""))</f>
        <v/>
      </c>
      <c r="AG5" s="105" t="n"/>
      <c r="AH5" s="49">
        <f>IFERROR(SUMPRODUCT(ISNUMBER(SEARCH(B5,'Pole Results'!$A$13:$A$2000))*('Pole Results'!$B$13:$B$2000&gt;=$AG$3)*('Pole Results'!$B$13:$B$2000&lt;=$AE$3)),0)</f>
        <v/>
      </c>
      <c r="AI5" s="49">
        <f>IFERROR(SUMPRODUCT(ISNUMBER(SEARCH(B5,'Pole Results'!$A$13:$A$2000))*('Pole Results'!$B$13:$B$2000&gt;=$AG$3)*('Pole Results'!$B$13:$B$2000&lt;=$AE$3)*('Pole Results'!$E$13:$E$2000="Compliant")),0)</f>
        <v/>
      </c>
      <c r="AJ5" s="105" t="n"/>
      <c r="AK5" s="106">
        <f>IF('Field Teams'!$I$6="Inactive",-1,IF(AA5="HIGH",AB5,-1))</f>
        <v/>
      </c>
      <c r="AL5" s="106">
        <f>IF('Field Teams'!$I$6="Inactive",-1,IF(OR(AA5="HIGH",AA5="MEDIUM"),AB5,-1))</f>
        <v/>
      </c>
      <c r="AM5">
        <f>IF('Field Teams'!$I$6="Inactive","",IF(IFERROR(LOOKUP(2,1/('Historical Scores'!C6:N6&lt;&gt;""),'Historical Scores'!C6:N6),"")="","New",IF(T5=""," ",IF(T5&gt;IFERROR(LOOKUP(2,1/('Historical Scores'!C6:N6&lt;&gt;""),'Historical Scores'!C6:N6),""),"▲ Worsening",IF(T5&lt;IFERROR(LOOKUP(2,1/('Historical Scores'!C6:N6&lt;&gt;""),'Historical Scores'!C6:N6),""),"▼ Improving","► Stable")))))</f>
        <v/>
      </c>
      <c r="AN5">
        <f>IFERROR(SUMPRODUCT((ISNUMBER(SEARCH(B5,'Data - SSV'!AE$6:AE$3000)))*('Data - SSV'!AF$6:AF$3000&gt;=(AJ$3-90))*('Data - SSV'!AF$6:AF$3000&lt;=AJ$3)*('Data - SSV'!AH$6:AH$3000&lt;&gt;"")),0)</f>
        <v/>
      </c>
      <c r="AO5">
        <f>IF('Field Teams'!$I$6="Inactive","",IF(AN5=0,3,IF(AN5=1,IF(IFERROR(SUMPRODUCT((ISNUMBER(SEARCH(B5,'Data - SSV'!AE$6:AE$3000)))*('Data - SSV'!AF$6:AF$3000&gt;=(AJ$3-90))*('Data - SSV'!AF$6:AF$3000&lt;=AJ$3)*('Data - SSV'!AH$6:AH$3000&lt;&gt;"")*IF('Data - SSV'!AH$6:AH$3000="",0,'Data - SSV'!AH$6:AH$3000))/AN5,3)=4,4,IF(IFERROR(SUMPRODUCT((ISNUMBER(SEARCH(B5,'Data - SSV'!AE$6:AE$3000)))*('Data - SSV'!AF$6:AF$3000&gt;=(AJ$3-90))*('Data - SSV'!AF$6:AF$3000&lt;=AJ$3)*('Data - SSV'!AH$6:AH$3000&lt;&gt;"")*IF('Data - SSV'!AH$6:AH$3000="",0,'Data - SSV'!AH$6:AH$3000))/AN5,3)&gt;=3,3,IF(IFERROR(SUMPRODUCT((ISNUMBER(SEARCH(B5,'Data - SSV'!AE$6:AE$3000)))*('Data - SSV'!AF$6:AF$3000&gt;=(AJ$3-90))*('Data - SSV'!AF$6:AF$3000&lt;=AJ$3)*('Data - SSV'!AH$6:AH$3000&lt;&gt;"")*IF('Data - SSV'!AH$6:AH$3000="",0,'Data - SSV'!AH$6:AH$3000))/AN5,3)&gt;=2,2,1))),IF(IFERROR(SUMPRODUCT((ISNUMBER(SEARCH(B5,'Data - SSV'!AE$6:AE$3000)))*('Data - SSV'!AF$6:AF$3000&gt;=(AJ$3-90))*('Data - SSV'!AF$6:AF$3000&lt;=AJ$3)*('Data - SSV'!AH$6:AH$3000&lt;&gt;"")*IF('Data - SSV'!AH$6:AH$3000="",0,'Data - SSV'!AH$6:AH$3000))/AN5,3)=4,5,IF(IFERROR(SUMPRODUCT((ISNUMBER(SEARCH(B5,'Data - SSV'!AE$6:AE$3000)))*('Data - SSV'!AF$6:AF$3000&gt;=(AJ$3-90))*('Data - SSV'!AF$6:AF$3000&lt;=AJ$3)*('Data - SSV'!AH$6:AH$3000&lt;&gt;"")*IF('Data - SSV'!AH$6:AH$3000="",0,'Data - SSV'!AH$6:AH$3000))/AN5,3)&gt;=3.5,4,IF(IFERROR(SUMPRODUCT((ISNUMBER(SEARCH(B5,'Data - SSV'!AE$6:AE$3000)))*('Data - SSV'!AF$6:AF$3000&gt;=(AJ$3-90))*('Data - SSV'!AF$6:AF$3000&lt;=AJ$3)*('Data - SSV'!AH$6:AH$3000&lt;&gt;"")*IF('Data - SSV'!AH$6:AH$3000="",0,'Data - SSV'!AH$6:AH$3000))/AN5,3)&gt;=3,3,IF(IFERROR(SUMPRODUCT((ISNUMBER(SEARCH(B5,'Data - SSV'!AE$6:AE$3000)))*('Data - SSV'!AF$6:AF$3000&gt;=(AJ$3-90))*('Data - SSV'!AF$6:AF$3000&lt;=AJ$3)*('Data - SSV'!AH$6:AH$3000&lt;&gt;"")*IF('Data - SSV'!AH$6:AH$3000="",0,'Data - SSV'!AH$6:AH$3000))/AN5,3)&gt;=2,2,1)))))))</f>
        <v/>
      </c>
    </row>
    <row r="6" ht="19.5" customHeight="1" s="146">
      <c r="A6" s="10">
        <f>'Field Teams'!A7</f>
        <v/>
      </c>
      <c r="B6" s="30">
        <f>'Field Teams'!B7</f>
        <v/>
      </c>
      <c r="C6" s="30">
        <f>'Field Teams'!C7</f>
        <v/>
      </c>
      <c r="D6" s="10">
        <f>'Field Teams'!D7</f>
        <v/>
      </c>
      <c r="E6" s="10">
        <f>'Field Teams'!E7</f>
        <v/>
      </c>
      <c r="F6" s="10">
        <f>'Field Teams'!F7</f>
        <v/>
      </c>
      <c r="G6" s="10">
        <f>'Field Teams'!G7</f>
        <v/>
      </c>
      <c r="H6" s="31">
        <f>'Field Teams'!H7</f>
        <v/>
      </c>
      <c r="I6" s="31">
        <f>H6*2</f>
        <v/>
      </c>
      <c r="J6" s="31">
        <f>IFERROR(SUMPRODUCT((((ISNUMBER(SEARCH(B6,'Data - HSQE Events'!V$6:V$3000))+ISNUMBER(SEARCH(B6,'Data - HSQE Events'!H$6:H$3000)))&gt;0))*('Data - HSQE Events'!F$6:F$3000&gt;=$AG$3)*('Data - HSQE Events'!F$6:F$3000&lt;=$AJ$3)*('Data - HSQE Events'!R$6:R$3000="Opportunity")),0)</f>
        <v/>
      </c>
      <c r="K6" s="31">
        <f>IFERROR(SUMPRODUCT((((ISNUMBER(SEARCH(B6,'Data - HSQE Events'!V$6:V$3000))+ISNUMBER(SEARCH(B6,'Data - HSQE Events'!H$6:H$3000)))&gt;0))*('Data - HSQE Events'!F$6:F$3000&gt;=$AG$3)*('Data - HSQE Events'!F$6:F$3000&lt;=$AJ$3)*('Data - HSQE Events'!R$6:R$3000="Minor")),0)</f>
        <v/>
      </c>
      <c r="L6" s="31">
        <f>IFERROR(SUMPRODUCT((((ISNUMBER(SEARCH(B6,'Data - HSQE Events'!V$6:V$3000))+ISNUMBER(SEARCH(B6,'Data - HSQE Events'!H$6:H$3000)))&gt;0))*('Data - HSQE Events'!F$6:F$3000&gt;=$AG$3)*('Data - HSQE Events'!F$6:F$3000&lt;=$AJ$3)*(('Data - HSQE Events'!R$6:R$3000="Moderate")+('Data - HSQE Events'!R$6:R$3000="Major"))),0)</f>
        <v/>
      </c>
      <c r="M6" s="31">
        <f>IF(IFERROR(SUMPRODUCT((((ISNUMBER(SEARCH(B6,'Data - HSQE Events'!V$6:V$3000))+ISNUMBER(SEARCH(B6,'Data - HSQE Events'!H$6:H$3000)))&gt;0))*('Data - HSQE Events'!F$6:F$3000&gt;=$AG$3)*('Data - HSQE Events'!F$6:F$3000&lt;=$AJ$3)*('Data - HSQE Events'!R$6:R$3000="Major")),0)&gt;0,"YES","NO")</f>
        <v/>
      </c>
      <c r="N6" s="31">
        <f>IFERROR(SUMPRODUCT(('Data - Skillko'!B$6:B$3000=B6)*('Data - Skillko'!C$6:C$3000="Total")*('Data - Skillko'!E$6:E$3000))*100,0)</f>
        <v/>
      </c>
      <c r="O6" s="31">
        <f>ROUND(MAX(1,MIN(5,1+N6/100*4)),1)</f>
        <v/>
      </c>
      <c r="P6" s="31">
        <f>IFERROR(SUMPRODUCT(ISNUMBER(SEARCH(B6,'Pole Results'!$A$13:$A$2000))*('Pole Results'!$B$13:$B$2000&gt;=$AG$3)*('Pole Results'!$B$13:$B$2000&lt;=$AE$3)*('Pole Results'!$E$13:$E$2000="Non-Compliant")),0)</f>
        <v/>
      </c>
      <c r="Q6" s="31">
        <f>IF(I6=0,1,IFERROR(ROUND(MAX(1,MIN(5,1+J6/I6*4)),1),3))</f>
        <v/>
      </c>
      <c r="R6" s="31">
        <f>ROUND(6-MAX(MIN(5,K6*0.8+1),MIN(5,L6*2+1)),1)</f>
        <v/>
      </c>
      <c r="S6" s="49">
        <f>IFERROR(ROUND(MAX(1,MIN(5,5-(P6/MAX(1,AI6))*4)),1),5)</f>
        <v/>
      </c>
      <c r="T6" s="31">
        <f>IF('Field Teams'!$I$7="Inactive","",ROUND((Q6*Settings!$D$6+R6*Settings!$D$7+O6*Settings!$D$10+S6*Settings!$D$12+AO6*Settings!$D$13)/Settings!$D$14,1))</f>
        <v/>
      </c>
      <c r="U6" s="115">
        <f>IF('Field Teams'!$I$7="Inactive","",IF(Q6="","",IF(Q6&gt;=4.5,"★★★★★",IF(Q6&gt;=3.5,"★★★★☆",IF(Q6&gt;=2.5,"★★★☆☆",IF(Q6&gt;=1.5,"★★☆☆☆","★☆☆☆☆"))))))</f>
        <v/>
      </c>
      <c r="V6" s="115">
        <f>IF('Field Teams'!$I$7="Inactive","",IF(R6="","",IF(R6&gt;=4.5,"★★★★★",IF(R6&gt;=3.5,"★★★★☆",IF(R6&gt;=2.5,"★★★☆☆",IF(R6&gt;=1.5,"★★☆☆☆","★☆☆☆☆"))))))</f>
        <v/>
      </c>
      <c r="W6" s="115">
        <f>IF('Field Teams'!$I$7="Inactive","",IF(O6="","",IF(O6&gt;=4.5,"★★★★★",IF(O6&gt;=3.5,"★★★★☆",IF(O6&gt;=2.5,"★★★☆☆",IF(O6&gt;=1.5,"★★☆☆☆","★☆☆☆☆"))))))</f>
        <v/>
      </c>
      <c r="X6" s="115">
        <f>IF('Field Teams'!$I$7="Inactive","",IF(S6="","",IF(S6&gt;=4.5,"★★★★★",IF(S6&gt;=3.5,"★★★★☆",IF(S6&gt;=2.5,"★★★☆☆",IF(S6&gt;=1.5,"★★☆☆☆","★☆☆☆☆"))))))</f>
        <v/>
      </c>
      <c r="Y6" s="115">
        <f>IF('Field Teams'!$I$7="Inactive","",IF(AO6="","",IF(AO6&gt;=4.5,"★★★★★",IF(AO6&gt;=3.5,"★★★★☆",IF(AO6&gt;=2.5,"★★★☆☆",IF(AO6&gt;=1.5,"★★☆☆☆","★☆☆☆☆"))))))</f>
        <v/>
      </c>
      <c r="Z6" s="115">
        <f>IF('Field Teams'!$I$5="Inactive","",IF(T6="","",IF(T6&gt;=4.5,"★★★★★",IF(T6&gt;=3.5,"★★★★☆",IF(T6&gt;=2.5,"★★★☆☆",IF(T6&gt;=1.5,"★★☆☆☆","★☆☆☆☆"))))))</f>
        <v/>
      </c>
      <c r="AA6" s="31">
        <f>IF('Field Teams'!$I$7="Inactive","",IF(M6="YES","HIGH",IF(Q6&lt;=Settings!$D$26,"HIGH",IF(T6&lt;=Settings!$D$23,"HIGH",IF(T6&lt;=Settings!$D$24,"MEDIUM","LOW")))))</f>
        <v/>
      </c>
      <c r="AB6" s="31">
        <f>IF('Field Teams'!$I$5="Inactive",-1,IFERROR((6-T6)+(77-ROW())*0.0001,0))</f>
        <v/>
      </c>
      <c r="AC6" s="35">
        <f>IF('Field Teams'!$I$5="Inactive",999,IFERROR((6-T6)+(ROW()-3)*0.0001,99))</f>
        <v/>
      </c>
      <c r="AD6" s="31">
        <f>IF('Field Teams'!$I$7="Inactive",999,IFERROR(AB6+(ROW()-3)*0.0001,99))</f>
        <v/>
      </c>
      <c r="AE6" s="29" t="n">
        <v>0</v>
      </c>
      <c r="AF6" s="31">
        <f>IF('Field Teams'!$I$7="Inactive","",IF(AA6="HIGH","YES - within 5 working days",""))</f>
        <v/>
      </c>
      <c r="AG6" s="105" t="n"/>
      <c r="AH6" s="49">
        <f>IFERROR(SUMPRODUCT(ISNUMBER(SEARCH(B6,'Pole Results'!$A$13:$A$2000))*('Pole Results'!$B$13:$B$2000&gt;=$AG$3)*('Pole Results'!$B$13:$B$2000&lt;=$AE$3)),0)</f>
        <v/>
      </c>
      <c r="AI6" s="49">
        <f>IFERROR(SUMPRODUCT(ISNUMBER(SEARCH(B6,'Pole Results'!$A$13:$A$2000))*('Pole Results'!$B$13:$B$2000&gt;=$AG$3)*('Pole Results'!$B$13:$B$2000&lt;=$AE$3)*('Pole Results'!$E$13:$E$2000="Compliant")),0)</f>
        <v/>
      </c>
      <c r="AJ6" s="105" t="n"/>
      <c r="AK6" s="106">
        <f>IF('Field Teams'!$I$7="Inactive",-1,IF(AA6="HIGH",AB6,-1))</f>
        <v/>
      </c>
      <c r="AL6" s="106">
        <f>IF('Field Teams'!$I$7="Inactive",-1,IF(OR(AA6="HIGH",AA6="MEDIUM"),AB6,-1))</f>
        <v/>
      </c>
      <c r="AM6">
        <f>IF('Field Teams'!$I$7="Inactive","",IF(IFERROR(LOOKUP(2,1/('Historical Scores'!C7:N7&lt;&gt;""),'Historical Scores'!C7:N7),"")="","New",IF(T6=""," ",IF(T6&gt;IFERROR(LOOKUP(2,1/('Historical Scores'!C7:N7&lt;&gt;""),'Historical Scores'!C7:N7),""),"▲ Worsening",IF(T6&lt;IFERROR(LOOKUP(2,1/('Historical Scores'!C7:N7&lt;&gt;""),'Historical Scores'!C7:N7),""),"▼ Improving","► Stable")))))</f>
        <v/>
      </c>
      <c r="AN6">
        <f>IFERROR(SUMPRODUCT((ISNUMBER(SEARCH(B6,'Data - SSV'!AE$6:AE$3000)))*('Data - SSV'!AF$6:AF$3000&gt;=(AJ$3-90))*('Data - SSV'!AF$6:AF$3000&lt;=AJ$3)*('Data - SSV'!AH$6:AH$3000&lt;&gt;"")),0)</f>
        <v/>
      </c>
      <c r="AO6">
        <f>IF('Field Teams'!$I$7="Inactive","",IF(AN6=0,3,IF(AN6=1,IF(IFERROR(SUMPRODUCT((ISNUMBER(SEARCH(B6,'Data - SSV'!AE$6:AE$3000)))*('Data - SSV'!AF$6:AF$3000&gt;=(AJ$3-90))*('Data - SSV'!AF$6:AF$3000&lt;=AJ$3)*('Data - SSV'!AH$6:AH$3000&lt;&gt;"")*IF('Data - SSV'!AH$6:AH$3000="",0,'Data - SSV'!AH$6:AH$3000))/AN6,3)=4,4,IF(IFERROR(SUMPRODUCT((ISNUMBER(SEARCH(B6,'Data - SSV'!AE$6:AE$3000)))*('Data - SSV'!AF$6:AF$3000&gt;=(AJ$3-90))*('Data - SSV'!AF$6:AF$3000&lt;=AJ$3)*('Data - SSV'!AH$6:AH$3000&lt;&gt;"")*IF('Data - SSV'!AH$6:AH$3000="",0,'Data - SSV'!AH$6:AH$3000))/AN6,3)&gt;=3,3,IF(IFERROR(SUMPRODUCT((ISNUMBER(SEARCH(B6,'Data - SSV'!AE$6:AE$3000)))*('Data - SSV'!AF$6:AF$3000&gt;=(AJ$3-90))*('Data - SSV'!AF$6:AF$3000&lt;=AJ$3)*('Data - SSV'!AH$6:AH$3000&lt;&gt;"")*IF('Data - SSV'!AH$6:AH$3000="",0,'Data - SSV'!AH$6:AH$3000))/AN6,3)&gt;=2,2,1))),IF(IFERROR(SUMPRODUCT((ISNUMBER(SEARCH(B6,'Data - SSV'!AE$6:AE$3000)))*('Data - SSV'!AF$6:AF$3000&gt;=(AJ$3-90))*('Data - SSV'!AF$6:AF$3000&lt;=AJ$3)*('Data - SSV'!AH$6:AH$3000&lt;&gt;"")*IF('Data - SSV'!AH$6:AH$3000="",0,'Data - SSV'!AH$6:AH$3000))/AN6,3)=4,5,IF(IFERROR(SUMPRODUCT((ISNUMBER(SEARCH(B6,'Data - SSV'!AE$6:AE$3000)))*('Data - SSV'!AF$6:AF$3000&gt;=(AJ$3-90))*('Data - SSV'!AF$6:AF$3000&lt;=AJ$3)*('Data - SSV'!AH$6:AH$3000&lt;&gt;"")*IF('Data - SSV'!AH$6:AH$3000="",0,'Data - SSV'!AH$6:AH$3000))/AN6,3)&gt;=3.5,4,IF(IFERROR(SUMPRODUCT((ISNUMBER(SEARCH(B6,'Data - SSV'!AE$6:AE$3000)))*('Data - SSV'!AF$6:AF$3000&gt;=(AJ$3-90))*('Data - SSV'!AF$6:AF$3000&lt;=AJ$3)*('Data - SSV'!AH$6:AH$3000&lt;&gt;"")*IF('Data - SSV'!AH$6:AH$3000="",0,'Data - SSV'!AH$6:AH$3000))/AN6,3)&gt;=3,3,IF(IFERROR(SUMPRODUCT((ISNUMBER(SEARCH(B6,'Data - SSV'!AE$6:AE$3000)))*('Data - SSV'!AF$6:AF$3000&gt;=(AJ$3-90))*('Data - SSV'!AF$6:AF$3000&lt;=AJ$3)*('Data - SSV'!AH$6:AH$3000&lt;&gt;"")*IF('Data - SSV'!AH$6:AH$3000="",0,'Data - SSV'!AH$6:AH$3000))/AN6,3)&gt;=2,2,1)))))))</f>
        <v/>
      </c>
    </row>
    <row r="7" ht="19.5" customHeight="1" s="146">
      <c r="A7" s="6">
        <f>'Field Teams'!A8</f>
        <v/>
      </c>
      <c r="B7" s="28">
        <f>'Field Teams'!B8</f>
        <v/>
      </c>
      <c r="C7" s="28">
        <f>'Field Teams'!C8</f>
        <v/>
      </c>
      <c r="D7" s="6">
        <f>'Field Teams'!D8</f>
        <v/>
      </c>
      <c r="E7" s="6">
        <f>'Field Teams'!E8</f>
        <v/>
      </c>
      <c r="F7" s="6">
        <f>'Field Teams'!F8</f>
        <v/>
      </c>
      <c r="G7" s="6">
        <f>'Field Teams'!G8</f>
        <v/>
      </c>
      <c r="H7" s="31">
        <f>'Field Teams'!H8</f>
        <v/>
      </c>
      <c r="I7" s="31">
        <f>H7*2</f>
        <v/>
      </c>
      <c r="J7" s="31">
        <f>IFERROR(SUMPRODUCT((((ISNUMBER(SEARCH(B7,'Data - HSQE Events'!V$6:V$3000))+ISNUMBER(SEARCH(B7,'Data - HSQE Events'!H$6:H$3000)))&gt;0))*('Data - HSQE Events'!F$6:F$3000&gt;=$AG$3)*('Data - HSQE Events'!F$6:F$3000&lt;=$AJ$3)*('Data - HSQE Events'!R$6:R$3000="Opportunity")),0)</f>
        <v/>
      </c>
      <c r="K7" s="31">
        <f>IFERROR(SUMPRODUCT((((ISNUMBER(SEARCH(B7,'Data - HSQE Events'!V$6:V$3000))+ISNUMBER(SEARCH(B7,'Data - HSQE Events'!H$6:H$3000)))&gt;0))*('Data - HSQE Events'!F$6:F$3000&gt;=$AG$3)*('Data - HSQE Events'!F$6:F$3000&lt;=$AJ$3)*('Data - HSQE Events'!R$6:R$3000="Minor")),0)</f>
        <v/>
      </c>
      <c r="L7" s="31">
        <f>IFERROR(SUMPRODUCT((((ISNUMBER(SEARCH(B7,'Data - HSQE Events'!V$6:V$3000))+ISNUMBER(SEARCH(B7,'Data - HSQE Events'!H$6:H$3000)))&gt;0))*('Data - HSQE Events'!F$6:F$3000&gt;=$AG$3)*('Data - HSQE Events'!F$6:F$3000&lt;=$AJ$3)*(('Data - HSQE Events'!R$6:R$3000="Moderate")+('Data - HSQE Events'!R$6:R$3000="Major"))),0)</f>
        <v/>
      </c>
      <c r="M7" s="31">
        <f>IF(IFERROR(SUMPRODUCT((((ISNUMBER(SEARCH(B7,'Data - HSQE Events'!V$6:V$3000))+ISNUMBER(SEARCH(B7,'Data - HSQE Events'!H$6:H$3000)))&gt;0))*('Data - HSQE Events'!F$6:F$3000&gt;=$AG$3)*('Data - HSQE Events'!F$6:F$3000&lt;=$AJ$3)*('Data - HSQE Events'!R$6:R$3000="Major")),0)&gt;0,"YES","NO")</f>
        <v/>
      </c>
      <c r="N7" s="31">
        <f>IFERROR(SUMPRODUCT(('Data - Skillko'!B$6:B$3000=B7)*('Data - Skillko'!C$6:C$3000="Total")*('Data - Skillko'!E$6:E$3000))*100,0)</f>
        <v/>
      </c>
      <c r="O7" s="31">
        <f>ROUND(MAX(1,MIN(5,1+N7/100*4)),1)</f>
        <v/>
      </c>
      <c r="P7" s="31">
        <f>IFERROR(SUMPRODUCT(ISNUMBER(SEARCH(B7,'Pole Results'!$A$13:$A$2000))*('Pole Results'!$B$13:$B$2000&gt;=$AG$3)*('Pole Results'!$B$13:$B$2000&lt;=$AE$3)*('Pole Results'!$E$13:$E$2000="Non-Compliant")),0)</f>
        <v/>
      </c>
      <c r="Q7" s="31">
        <f>IF(I7=0,1,IFERROR(ROUND(MAX(1,MIN(5,1+J7/I7*4)),1),3))</f>
        <v/>
      </c>
      <c r="R7" s="31">
        <f>ROUND(6-MAX(MIN(5,K7*0.8+1),MIN(5,L7*2+1)),1)</f>
        <v/>
      </c>
      <c r="S7" s="49">
        <f>IFERROR(ROUND(MAX(1,MIN(5,5-(P7/MAX(1,AI7))*4)),1),5)</f>
        <v/>
      </c>
      <c r="T7" s="31">
        <f>IF('Field Teams'!$I$8="Inactive","",ROUND((Q7*Settings!$D$6+R7*Settings!$D$7+O7*Settings!$D$10+S7*Settings!$D$12+AO7*Settings!$D$13)/Settings!$D$14,1))</f>
        <v/>
      </c>
      <c r="U7" s="115">
        <f>IF('Field Teams'!$I$8="Inactive","",IF(Q7="","",IF(Q7&gt;=4.5,"★★★★★",IF(Q7&gt;=3.5,"★★★★☆",IF(Q7&gt;=2.5,"★★★☆☆",IF(Q7&gt;=1.5,"★★☆☆☆","★☆☆☆☆"))))))</f>
        <v/>
      </c>
      <c r="V7" s="115">
        <f>IF('Field Teams'!$I$8="Inactive","",IF(R7="","",IF(R7&gt;=4.5,"★★★★★",IF(R7&gt;=3.5,"★★★★☆",IF(R7&gt;=2.5,"★★★☆☆",IF(R7&gt;=1.5,"★★☆☆☆","★☆☆☆☆"))))))</f>
        <v/>
      </c>
      <c r="W7" s="115">
        <f>IF('Field Teams'!$I$8="Inactive","",IF(O7="","",IF(O7&gt;=4.5,"★★★★★",IF(O7&gt;=3.5,"★★★★☆",IF(O7&gt;=2.5,"★★★☆☆",IF(O7&gt;=1.5,"★★☆☆☆","★☆☆☆☆"))))))</f>
        <v/>
      </c>
      <c r="X7" s="115">
        <f>IF('Field Teams'!$I$8="Inactive","",IF(S7="","",IF(S7&gt;=4.5,"★★★★★",IF(S7&gt;=3.5,"★★★★☆",IF(S7&gt;=2.5,"★★★☆☆",IF(S7&gt;=1.5,"★★☆☆☆","★☆☆☆☆"))))))</f>
        <v/>
      </c>
      <c r="Y7" s="115">
        <f>IF('Field Teams'!$I$8="Inactive","",IF(AO7="","",IF(AO7&gt;=4.5,"★★★★★",IF(AO7&gt;=3.5,"★★★★☆",IF(AO7&gt;=2.5,"★★★☆☆",IF(AO7&gt;=1.5,"★★☆☆☆","★☆☆☆☆"))))))</f>
        <v/>
      </c>
      <c r="Z7" s="115">
        <f>IF('Field Teams'!$I$5="Inactive","",IF(T7="","",IF(T7&gt;=4.5,"★★★★★",IF(T7&gt;=3.5,"★★★★☆",IF(T7&gt;=2.5,"★★★☆☆",IF(T7&gt;=1.5,"★★☆☆☆","★☆☆☆☆"))))))</f>
        <v/>
      </c>
      <c r="AA7" s="31">
        <f>IF('Field Teams'!$I$8="Inactive","",IF(M7="YES","HIGH",IF(Q7&lt;=Settings!$D$26,"HIGH",IF(T7&lt;=Settings!$D$23,"HIGH",IF(T7&lt;=Settings!$D$24,"MEDIUM","LOW")))))</f>
        <v/>
      </c>
      <c r="AB7" s="31">
        <f>IF('Field Teams'!$I$5="Inactive",-1,IFERROR((6-T7)+(77-ROW())*0.0001,0))</f>
        <v/>
      </c>
      <c r="AC7" s="35">
        <f>IF('Field Teams'!$I$5="Inactive",999,IFERROR((6-T7)+(ROW()-3)*0.0001,99))</f>
        <v/>
      </c>
      <c r="AD7" s="31">
        <f>IF('Field Teams'!$I$8="Inactive",999,IFERROR(AB7+(ROW()-3)*0.0001,99))</f>
        <v/>
      </c>
      <c r="AE7" s="29" t="n">
        <v>0</v>
      </c>
      <c r="AF7" s="31">
        <f>IF('Field Teams'!$I$8="Inactive","",IF(AA7="HIGH","YES - within 5 working days",""))</f>
        <v/>
      </c>
      <c r="AG7" s="105" t="n"/>
      <c r="AH7" s="49">
        <f>IFERROR(SUMPRODUCT(ISNUMBER(SEARCH(B7,'Pole Results'!$A$13:$A$2000))*('Pole Results'!$B$13:$B$2000&gt;=$AG$3)*('Pole Results'!$B$13:$B$2000&lt;=$AE$3)),0)</f>
        <v/>
      </c>
      <c r="AI7" s="49">
        <f>IFERROR(SUMPRODUCT(ISNUMBER(SEARCH(B7,'Pole Results'!$A$13:$A$2000))*('Pole Results'!$B$13:$B$2000&gt;=$AG$3)*('Pole Results'!$B$13:$B$2000&lt;=$AE$3)*('Pole Results'!$E$13:$E$2000="Compliant")),0)</f>
        <v/>
      </c>
      <c r="AJ7" s="105" t="n"/>
      <c r="AK7" s="106">
        <f>IF('Field Teams'!$I$8="Inactive",-1,IF(AA7="HIGH",AB7,-1))</f>
        <v/>
      </c>
      <c r="AL7" s="106">
        <f>IF('Field Teams'!$I$8="Inactive",-1,IF(OR(AA7="HIGH",AA7="MEDIUM"),AB7,-1))</f>
        <v/>
      </c>
      <c r="AM7">
        <f>IF('Field Teams'!$I$8="Inactive","",IF(IFERROR(LOOKUP(2,1/('Historical Scores'!C8:N8&lt;&gt;""),'Historical Scores'!C8:N8),"")="","New",IF(T7=""," ",IF(T7&gt;IFERROR(LOOKUP(2,1/('Historical Scores'!C8:N8&lt;&gt;""),'Historical Scores'!C8:N8),""),"▲ Worsening",IF(T7&lt;IFERROR(LOOKUP(2,1/('Historical Scores'!C8:N8&lt;&gt;""),'Historical Scores'!C8:N8),""),"▼ Improving","► Stable")))))</f>
        <v/>
      </c>
      <c r="AN7">
        <f>IFERROR(SUMPRODUCT((ISNUMBER(SEARCH(B7,'Data - SSV'!AE$6:AE$3000)))*('Data - SSV'!AF$6:AF$3000&gt;=(AJ$3-90))*('Data - SSV'!AF$6:AF$3000&lt;=AJ$3)*('Data - SSV'!AH$6:AH$3000&lt;&gt;"")),0)</f>
        <v/>
      </c>
      <c r="AO7">
        <f>IF('Field Teams'!$I$8="Inactive","",IF(AN7=0,3,IF(AN7=1,IF(IFERROR(SUMPRODUCT((ISNUMBER(SEARCH(B7,'Data - SSV'!AE$6:AE$3000)))*('Data - SSV'!AF$6:AF$3000&gt;=(AJ$3-90))*('Data - SSV'!AF$6:AF$3000&lt;=AJ$3)*('Data - SSV'!AH$6:AH$3000&lt;&gt;"")*IF('Data - SSV'!AH$6:AH$3000="",0,'Data - SSV'!AH$6:AH$3000))/AN7,3)=4,4,IF(IFERROR(SUMPRODUCT((ISNUMBER(SEARCH(B7,'Data - SSV'!AE$6:AE$3000)))*('Data - SSV'!AF$6:AF$3000&gt;=(AJ$3-90))*('Data - SSV'!AF$6:AF$3000&lt;=AJ$3)*('Data - SSV'!AH$6:AH$3000&lt;&gt;"")*IF('Data - SSV'!AH$6:AH$3000="",0,'Data - SSV'!AH$6:AH$3000))/AN7,3)&gt;=3,3,IF(IFERROR(SUMPRODUCT((ISNUMBER(SEARCH(B7,'Data - SSV'!AE$6:AE$3000)))*('Data - SSV'!AF$6:AF$3000&gt;=(AJ$3-90))*('Data - SSV'!AF$6:AF$3000&lt;=AJ$3)*('Data - SSV'!AH$6:AH$3000&lt;&gt;"")*IF('Data - SSV'!AH$6:AH$3000="",0,'Data - SSV'!AH$6:AH$3000))/AN7,3)&gt;=2,2,1))),IF(IFERROR(SUMPRODUCT((ISNUMBER(SEARCH(B7,'Data - SSV'!AE$6:AE$3000)))*('Data - SSV'!AF$6:AF$3000&gt;=(AJ$3-90))*('Data - SSV'!AF$6:AF$3000&lt;=AJ$3)*('Data - SSV'!AH$6:AH$3000&lt;&gt;"")*IF('Data - SSV'!AH$6:AH$3000="",0,'Data - SSV'!AH$6:AH$3000))/AN7,3)=4,5,IF(IFERROR(SUMPRODUCT((ISNUMBER(SEARCH(B7,'Data - SSV'!AE$6:AE$3000)))*('Data - SSV'!AF$6:AF$3000&gt;=(AJ$3-90))*('Data - SSV'!AF$6:AF$3000&lt;=AJ$3)*('Data - SSV'!AH$6:AH$3000&lt;&gt;"")*IF('Data - SSV'!AH$6:AH$3000="",0,'Data - SSV'!AH$6:AH$3000))/AN7,3)&gt;=3.5,4,IF(IFERROR(SUMPRODUCT((ISNUMBER(SEARCH(B7,'Data - SSV'!AE$6:AE$3000)))*('Data - SSV'!AF$6:AF$3000&gt;=(AJ$3-90))*('Data - SSV'!AF$6:AF$3000&lt;=AJ$3)*('Data - SSV'!AH$6:AH$3000&lt;&gt;"")*IF('Data - SSV'!AH$6:AH$3000="",0,'Data - SSV'!AH$6:AH$3000))/AN7,3)&gt;=3,3,IF(IFERROR(SUMPRODUCT((ISNUMBER(SEARCH(B7,'Data - SSV'!AE$6:AE$3000)))*('Data - SSV'!AF$6:AF$3000&gt;=(AJ$3-90))*('Data - SSV'!AF$6:AF$3000&lt;=AJ$3)*('Data - SSV'!AH$6:AH$3000&lt;&gt;"")*IF('Data - SSV'!AH$6:AH$3000="",0,'Data - SSV'!AH$6:AH$3000))/AN7,3)&gt;=2,2,1)))))))</f>
        <v/>
      </c>
    </row>
    <row r="8" ht="19.5" customHeight="1" s="146">
      <c r="A8" s="10">
        <f>'Field Teams'!A9</f>
        <v/>
      </c>
      <c r="B8" s="30">
        <f>'Field Teams'!B9</f>
        <v/>
      </c>
      <c r="C8" s="30">
        <f>'Field Teams'!C9</f>
        <v/>
      </c>
      <c r="D8" s="10">
        <f>'Field Teams'!D9</f>
        <v/>
      </c>
      <c r="E8" s="10">
        <f>'Field Teams'!E9</f>
        <v/>
      </c>
      <c r="F8" s="10">
        <f>'Field Teams'!F9</f>
        <v/>
      </c>
      <c r="G8" s="10">
        <f>'Field Teams'!G9</f>
        <v/>
      </c>
      <c r="H8" s="31">
        <f>'Field Teams'!H9</f>
        <v/>
      </c>
      <c r="I8" s="31">
        <f>H8*2</f>
        <v/>
      </c>
      <c r="J8" s="31">
        <f>IFERROR(SUMPRODUCT((((ISNUMBER(SEARCH(B8,'Data - HSQE Events'!V$6:V$3000))+ISNUMBER(SEARCH(B8,'Data - HSQE Events'!H$6:H$3000)))&gt;0))*('Data - HSQE Events'!F$6:F$3000&gt;=$AG$3)*('Data - HSQE Events'!F$6:F$3000&lt;=$AJ$3)*('Data - HSQE Events'!R$6:R$3000="Opportunity")),0)</f>
        <v/>
      </c>
      <c r="K8" s="31">
        <f>IFERROR(SUMPRODUCT((((ISNUMBER(SEARCH(B8,'Data - HSQE Events'!V$6:V$3000))+ISNUMBER(SEARCH(B8,'Data - HSQE Events'!H$6:H$3000)))&gt;0))*('Data - HSQE Events'!F$6:F$3000&gt;=$AG$3)*('Data - HSQE Events'!F$6:F$3000&lt;=$AJ$3)*('Data - HSQE Events'!R$6:R$3000="Minor")),0)</f>
        <v/>
      </c>
      <c r="L8" s="31">
        <f>IFERROR(SUMPRODUCT((((ISNUMBER(SEARCH(B8,'Data - HSQE Events'!V$6:V$3000))+ISNUMBER(SEARCH(B8,'Data - HSQE Events'!H$6:H$3000)))&gt;0))*('Data - HSQE Events'!F$6:F$3000&gt;=$AG$3)*('Data - HSQE Events'!F$6:F$3000&lt;=$AJ$3)*(('Data - HSQE Events'!R$6:R$3000="Moderate")+('Data - HSQE Events'!R$6:R$3000="Major"))),0)</f>
        <v/>
      </c>
      <c r="M8" s="31">
        <f>IF(IFERROR(SUMPRODUCT((((ISNUMBER(SEARCH(B8,'Data - HSQE Events'!V$6:V$3000))+ISNUMBER(SEARCH(B8,'Data - HSQE Events'!H$6:H$3000)))&gt;0))*('Data - HSQE Events'!F$6:F$3000&gt;=$AG$3)*('Data - HSQE Events'!F$6:F$3000&lt;=$AJ$3)*('Data - HSQE Events'!R$6:R$3000="Major")),0)&gt;0,"YES","NO")</f>
        <v/>
      </c>
      <c r="N8" s="31">
        <f>IFERROR(SUMPRODUCT(('Data - Skillko'!B$6:B$3000=B8)*('Data - Skillko'!C$6:C$3000="Total")*('Data - Skillko'!E$6:E$3000))*100,0)</f>
        <v/>
      </c>
      <c r="O8" s="31">
        <f>ROUND(MAX(1,MIN(5,1+N8/100*4)),1)</f>
        <v/>
      </c>
      <c r="P8" s="31">
        <f>IFERROR(SUMPRODUCT(ISNUMBER(SEARCH(B8,'Pole Results'!$A$13:$A$2000))*('Pole Results'!$B$13:$B$2000&gt;=$AG$3)*('Pole Results'!$B$13:$B$2000&lt;=$AE$3)*('Pole Results'!$E$13:$E$2000="Non-Compliant")),0)</f>
        <v/>
      </c>
      <c r="Q8" s="31">
        <f>IF(I8=0,1,IFERROR(ROUND(MAX(1,MIN(5,1+J8/I8*4)),1),3))</f>
        <v/>
      </c>
      <c r="R8" s="31">
        <f>ROUND(6-MAX(MIN(5,K8*0.8+1),MIN(5,L8*2+1)),1)</f>
        <v/>
      </c>
      <c r="S8" s="49">
        <f>IFERROR(ROUND(MAX(1,MIN(5,5-(P8/MAX(1,AI8))*4)),1),5)</f>
        <v/>
      </c>
      <c r="T8" s="31">
        <f>IF('Field Teams'!$I$9="Inactive","",ROUND((Q8*Settings!$D$6+R8*Settings!$D$7+O8*Settings!$D$10+S8*Settings!$D$12+AO8*Settings!$D$13)/Settings!$D$14,1))</f>
        <v/>
      </c>
      <c r="U8" s="115">
        <f>IF('Field Teams'!$I$9="Inactive","",IF(Q8="","",IF(Q8&gt;=4.5,"★★★★★",IF(Q8&gt;=3.5,"★★★★☆",IF(Q8&gt;=2.5,"★★★☆☆",IF(Q8&gt;=1.5,"★★☆☆☆","★☆☆☆☆"))))))</f>
        <v/>
      </c>
      <c r="V8" s="115">
        <f>IF('Field Teams'!$I$9="Inactive","",IF(R8="","",IF(R8&gt;=4.5,"★★★★★",IF(R8&gt;=3.5,"★★★★☆",IF(R8&gt;=2.5,"★★★☆☆",IF(R8&gt;=1.5,"★★☆☆☆","★☆☆☆☆"))))))</f>
        <v/>
      </c>
      <c r="W8" s="115">
        <f>IF('Field Teams'!$I$9="Inactive","",IF(O8="","",IF(O8&gt;=4.5,"★★★★★",IF(O8&gt;=3.5,"★★★★☆",IF(O8&gt;=2.5,"★★★☆☆",IF(O8&gt;=1.5,"★★☆☆☆","★☆☆☆☆"))))))</f>
        <v/>
      </c>
      <c r="X8" s="115">
        <f>IF('Field Teams'!$I$9="Inactive","",IF(S8="","",IF(S8&gt;=4.5,"★★★★★",IF(S8&gt;=3.5,"★★★★☆",IF(S8&gt;=2.5,"★★★☆☆",IF(S8&gt;=1.5,"★★☆☆☆","★☆☆☆☆"))))))</f>
        <v/>
      </c>
      <c r="Y8" s="115">
        <f>IF('Field Teams'!$I$9="Inactive","",IF(AO8="","",IF(AO8&gt;=4.5,"★★★★★",IF(AO8&gt;=3.5,"★★★★☆",IF(AO8&gt;=2.5,"★★★☆☆",IF(AO8&gt;=1.5,"★★☆☆☆","★☆☆☆☆"))))))</f>
        <v/>
      </c>
      <c r="Z8" s="115">
        <f>IF('Field Teams'!$I$5="Inactive","",IF(T8="","",IF(T8&gt;=4.5,"★★★★★",IF(T8&gt;=3.5,"★★★★☆",IF(T8&gt;=2.5,"★★★☆☆",IF(T8&gt;=1.5,"★★☆☆☆","★☆☆☆☆"))))))</f>
        <v/>
      </c>
      <c r="AA8" s="31">
        <f>IF('Field Teams'!$I$9="Inactive","",IF(M8="YES","HIGH",IF(Q8&lt;=Settings!$D$26,"HIGH",IF(T8&lt;=Settings!$D$23,"HIGH",IF(T8&lt;=Settings!$D$24,"MEDIUM","LOW")))))</f>
        <v/>
      </c>
      <c r="AB8" s="31">
        <f>IF('Field Teams'!$I$5="Inactive",-1,IFERROR((6-T8)+(77-ROW())*0.0001,0))</f>
        <v/>
      </c>
      <c r="AC8" s="35">
        <f>IF('Field Teams'!$I$5="Inactive",999,IFERROR((6-T8)+(ROW()-3)*0.0001,99))</f>
        <v/>
      </c>
      <c r="AD8" s="31">
        <f>IF('Field Teams'!$I$9="Inactive",999,IFERROR(AB8+(ROW()-3)*0.0001,99))</f>
        <v/>
      </c>
      <c r="AE8" s="29" t="n">
        <v>0</v>
      </c>
      <c r="AF8" s="31">
        <f>IF('Field Teams'!$I$9="Inactive","",IF(AA8="HIGH","YES - within 5 working days",""))</f>
        <v/>
      </c>
      <c r="AG8" s="105" t="n"/>
      <c r="AH8" s="49">
        <f>IFERROR(SUMPRODUCT(ISNUMBER(SEARCH(B8,'Pole Results'!$A$13:$A$2000))*('Pole Results'!$B$13:$B$2000&gt;=$AG$3)*('Pole Results'!$B$13:$B$2000&lt;=$AE$3)),0)</f>
        <v/>
      </c>
      <c r="AI8" s="49">
        <f>IFERROR(SUMPRODUCT(ISNUMBER(SEARCH(B8,'Pole Results'!$A$13:$A$2000))*('Pole Results'!$B$13:$B$2000&gt;=$AG$3)*('Pole Results'!$B$13:$B$2000&lt;=$AE$3)*('Pole Results'!$E$13:$E$2000="Compliant")),0)</f>
        <v/>
      </c>
      <c r="AJ8" s="105" t="n"/>
      <c r="AK8" s="106">
        <f>IF('Field Teams'!$I$9="Inactive",-1,IF(AA8="HIGH",AB8,-1))</f>
        <v/>
      </c>
      <c r="AL8" s="106">
        <f>IF('Field Teams'!$I$9="Inactive",-1,IF(OR(AA8="HIGH",AA8="MEDIUM"),AB8,-1))</f>
        <v/>
      </c>
      <c r="AM8">
        <f>IF('Field Teams'!$I$9="Inactive","",IF(IFERROR(LOOKUP(2,1/('Historical Scores'!C9:N9&lt;&gt;""),'Historical Scores'!C9:N9),"")="","New",IF(T8=""," ",IF(T8&gt;IFERROR(LOOKUP(2,1/('Historical Scores'!C9:N9&lt;&gt;""),'Historical Scores'!C9:N9),""),"▲ Worsening",IF(T8&lt;IFERROR(LOOKUP(2,1/('Historical Scores'!C9:N9&lt;&gt;""),'Historical Scores'!C9:N9),""),"▼ Improving","► Stable")))))</f>
        <v/>
      </c>
      <c r="AN8">
        <f>IFERROR(SUMPRODUCT((ISNUMBER(SEARCH(B8,'Data - SSV'!AE$6:AE$3000)))*('Data - SSV'!AF$6:AF$3000&gt;=(AJ$3-90))*('Data - SSV'!AF$6:AF$3000&lt;=AJ$3)*('Data - SSV'!AH$6:AH$3000&lt;&gt;"")),0)</f>
        <v/>
      </c>
      <c r="AO8">
        <f>IF('Field Teams'!$I$9="Inactive","",IF(AN8=0,3,IF(AN8=1,IF(IFERROR(SUMPRODUCT((ISNUMBER(SEARCH(B8,'Data - SSV'!AE$6:AE$3000)))*('Data - SSV'!AF$6:AF$3000&gt;=(AJ$3-90))*('Data - SSV'!AF$6:AF$3000&lt;=AJ$3)*('Data - SSV'!AH$6:AH$3000&lt;&gt;"")*IF('Data - SSV'!AH$6:AH$3000="",0,'Data - SSV'!AH$6:AH$3000))/AN8,3)=4,4,IF(IFERROR(SUMPRODUCT((ISNUMBER(SEARCH(B8,'Data - SSV'!AE$6:AE$3000)))*('Data - SSV'!AF$6:AF$3000&gt;=(AJ$3-90))*('Data - SSV'!AF$6:AF$3000&lt;=AJ$3)*('Data - SSV'!AH$6:AH$3000&lt;&gt;"")*IF('Data - SSV'!AH$6:AH$3000="",0,'Data - SSV'!AH$6:AH$3000))/AN8,3)&gt;=3,3,IF(IFERROR(SUMPRODUCT((ISNUMBER(SEARCH(B8,'Data - SSV'!AE$6:AE$3000)))*('Data - SSV'!AF$6:AF$3000&gt;=(AJ$3-90))*('Data - SSV'!AF$6:AF$3000&lt;=AJ$3)*('Data - SSV'!AH$6:AH$3000&lt;&gt;"")*IF('Data - SSV'!AH$6:AH$3000="",0,'Data - SSV'!AH$6:AH$3000))/AN8,3)&gt;=2,2,1))),IF(IFERROR(SUMPRODUCT((ISNUMBER(SEARCH(B8,'Data - SSV'!AE$6:AE$3000)))*('Data - SSV'!AF$6:AF$3000&gt;=(AJ$3-90))*('Data - SSV'!AF$6:AF$3000&lt;=AJ$3)*('Data - SSV'!AH$6:AH$3000&lt;&gt;"")*IF('Data - SSV'!AH$6:AH$3000="",0,'Data - SSV'!AH$6:AH$3000))/AN8,3)=4,5,IF(IFERROR(SUMPRODUCT((ISNUMBER(SEARCH(B8,'Data - SSV'!AE$6:AE$3000)))*('Data - SSV'!AF$6:AF$3000&gt;=(AJ$3-90))*('Data - SSV'!AF$6:AF$3000&lt;=AJ$3)*('Data - SSV'!AH$6:AH$3000&lt;&gt;"")*IF('Data - SSV'!AH$6:AH$3000="",0,'Data - SSV'!AH$6:AH$3000))/AN8,3)&gt;=3.5,4,IF(IFERROR(SUMPRODUCT((ISNUMBER(SEARCH(B8,'Data - SSV'!AE$6:AE$3000)))*('Data - SSV'!AF$6:AF$3000&gt;=(AJ$3-90))*('Data - SSV'!AF$6:AF$3000&lt;=AJ$3)*('Data - SSV'!AH$6:AH$3000&lt;&gt;"")*IF('Data - SSV'!AH$6:AH$3000="",0,'Data - SSV'!AH$6:AH$3000))/AN8,3)&gt;=3,3,IF(IFERROR(SUMPRODUCT((ISNUMBER(SEARCH(B8,'Data - SSV'!AE$6:AE$3000)))*('Data - SSV'!AF$6:AF$3000&gt;=(AJ$3-90))*('Data - SSV'!AF$6:AF$3000&lt;=AJ$3)*('Data - SSV'!AH$6:AH$3000&lt;&gt;"")*IF('Data - SSV'!AH$6:AH$3000="",0,'Data - SSV'!AH$6:AH$3000))/AN8,3)&gt;=2,2,1)))))))</f>
        <v/>
      </c>
    </row>
    <row r="9" ht="19.5" customHeight="1" s="146">
      <c r="A9" s="6">
        <f>'Field Teams'!A10</f>
        <v/>
      </c>
      <c r="B9" s="28">
        <f>'Field Teams'!B10</f>
        <v/>
      </c>
      <c r="C9" s="28">
        <f>'Field Teams'!C10</f>
        <v/>
      </c>
      <c r="D9" s="6">
        <f>'Field Teams'!D10</f>
        <v/>
      </c>
      <c r="E9" s="6">
        <f>'Field Teams'!E10</f>
        <v/>
      </c>
      <c r="F9" s="6">
        <f>'Field Teams'!F10</f>
        <v/>
      </c>
      <c r="G9" s="6">
        <f>'Field Teams'!G10</f>
        <v/>
      </c>
      <c r="H9" s="31">
        <f>'Field Teams'!H10</f>
        <v/>
      </c>
      <c r="I9" s="31">
        <f>H9*2</f>
        <v/>
      </c>
      <c r="J9" s="31">
        <f>IFERROR(SUMPRODUCT((((ISNUMBER(SEARCH(B9,'Data - HSQE Events'!V$6:V$3000))+ISNUMBER(SEARCH(B9,'Data - HSQE Events'!H$6:H$3000)))&gt;0))*('Data - HSQE Events'!F$6:F$3000&gt;=$AG$3)*('Data - HSQE Events'!F$6:F$3000&lt;=$AJ$3)*('Data - HSQE Events'!R$6:R$3000="Opportunity")),0)</f>
        <v/>
      </c>
      <c r="K9" s="31">
        <f>IFERROR(SUMPRODUCT((((ISNUMBER(SEARCH(B9,'Data - HSQE Events'!V$6:V$3000))+ISNUMBER(SEARCH(B9,'Data - HSQE Events'!H$6:H$3000)))&gt;0))*('Data - HSQE Events'!F$6:F$3000&gt;=$AG$3)*('Data - HSQE Events'!F$6:F$3000&lt;=$AJ$3)*('Data - HSQE Events'!R$6:R$3000="Minor")),0)</f>
        <v/>
      </c>
      <c r="L9" s="31">
        <f>IFERROR(SUMPRODUCT((((ISNUMBER(SEARCH(B9,'Data - HSQE Events'!V$6:V$3000))+ISNUMBER(SEARCH(B9,'Data - HSQE Events'!H$6:H$3000)))&gt;0))*('Data - HSQE Events'!F$6:F$3000&gt;=$AG$3)*('Data - HSQE Events'!F$6:F$3000&lt;=$AJ$3)*(('Data - HSQE Events'!R$6:R$3000="Moderate")+('Data - HSQE Events'!R$6:R$3000="Major"))),0)</f>
        <v/>
      </c>
      <c r="M9" s="31">
        <f>IF(IFERROR(SUMPRODUCT((((ISNUMBER(SEARCH(B9,'Data - HSQE Events'!V$6:V$3000))+ISNUMBER(SEARCH(B9,'Data - HSQE Events'!H$6:H$3000)))&gt;0))*('Data - HSQE Events'!F$6:F$3000&gt;=$AG$3)*('Data - HSQE Events'!F$6:F$3000&lt;=$AJ$3)*('Data - HSQE Events'!R$6:R$3000="Major")),0)&gt;0,"YES","NO")</f>
        <v/>
      </c>
      <c r="N9" s="31">
        <f>IFERROR(SUMPRODUCT(('Data - Skillko'!B$6:B$3000=B9)*('Data - Skillko'!C$6:C$3000="Total")*('Data - Skillko'!E$6:E$3000))*100,0)</f>
        <v/>
      </c>
      <c r="O9" s="31">
        <f>ROUND(MAX(1,MIN(5,1+N9/100*4)),1)</f>
        <v/>
      </c>
      <c r="P9" s="31">
        <f>IFERROR(SUMPRODUCT(ISNUMBER(SEARCH(B9,'Pole Results'!$A$13:$A$2000))*('Pole Results'!$B$13:$B$2000&gt;=$AG$3)*('Pole Results'!$B$13:$B$2000&lt;=$AE$3)*('Pole Results'!$E$13:$E$2000="Non-Compliant")),0)</f>
        <v/>
      </c>
      <c r="Q9" s="31">
        <f>IF(I9=0,1,IFERROR(ROUND(MAX(1,MIN(5,1+J9/I9*4)),1),3))</f>
        <v/>
      </c>
      <c r="R9" s="31">
        <f>ROUND(6-MAX(MIN(5,K9*0.8+1),MIN(5,L9*2+1)),1)</f>
        <v/>
      </c>
      <c r="S9" s="49">
        <f>IFERROR(ROUND(MAX(1,MIN(5,5-(P9/MAX(1,AI9))*4)),1),5)</f>
        <v/>
      </c>
      <c r="T9" s="31">
        <f>IF('Field Teams'!$I$10="Inactive","",ROUND((Q9*Settings!$D$6+R9*Settings!$D$7+O9*Settings!$D$10+S9*Settings!$D$12+AO9*Settings!$D$13)/Settings!$D$14,1))</f>
        <v/>
      </c>
      <c r="U9" s="115">
        <f>IF('Field Teams'!$I$10="Inactive","",IF(Q9="","",IF(Q9&gt;=4.5,"★★★★★",IF(Q9&gt;=3.5,"★★★★☆",IF(Q9&gt;=2.5,"★★★☆☆",IF(Q9&gt;=1.5,"★★☆☆☆","★☆☆☆☆"))))))</f>
        <v/>
      </c>
      <c r="V9" s="115">
        <f>IF('Field Teams'!$I$10="Inactive","",IF(R9="","",IF(R9&gt;=4.5,"★★★★★",IF(R9&gt;=3.5,"★★★★☆",IF(R9&gt;=2.5,"★★★☆☆",IF(R9&gt;=1.5,"★★☆☆☆","★☆☆☆☆"))))))</f>
        <v/>
      </c>
      <c r="W9" s="115">
        <f>IF('Field Teams'!$I$10="Inactive","",IF(O9="","",IF(O9&gt;=4.5,"★★★★★",IF(O9&gt;=3.5,"★★★★☆",IF(O9&gt;=2.5,"★★★☆☆",IF(O9&gt;=1.5,"★★☆☆☆","★☆☆☆☆"))))))</f>
        <v/>
      </c>
      <c r="X9" s="115">
        <f>IF('Field Teams'!$I$10="Inactive","",IF(S9="","",IF(S9&gt;=4.5,"★★★★★",IF(S9&gt;=3.5,"★★★★☆",IF(S9&gt;=2.5,"★★★☆☆",IF(S9&gt;=1.5,"★★☆☆☆","★☆☆☆☆"))))))</f>
        <v/>
      </c>
      <c r="Y9" s="115">
        <f>IF('Field Teams'!$I$10="Inactive","",IF(AO9="","",IF(AO9&gt;=4.5,"★★★★★",IF(AO9&gt;=3.5,"★★★★☆",IF(AO9&gt;=2.5,"★★★☆☆",IF(AO9&gt;=1.5,"★★☆☆☆","★☆☆☆☆"))))))</f>
        <v/>
      </c>
      <c r="Z9" s="115">
        <f>IF('Field Teams'!$I$5="Inactive","",IF(T9="","",IF(T9&gt;=4.5,"★★★★★",IF(T9&gt;=3.5,"★★★★☆",IF(T9&gt;=2.5,"★★★☆☆",IF(T9&gt;=1.5,"★★☆☆☆","★☆☆☆☆"))))))</f>
        <v/>
      </c>
      <c r="AA9" s="31">
        <f>IF('Field Teams'!$I$10="Inactive","",IF(M9="YES","HIGH",IF(Q9&lt;=Settings!$D$26,"HIGH",IF(T9&lt;=Settings!$D$23,"HIGH",IF(T9&lt;=Settings!$D$24,"MEDIUM","LOW")))))</f>
        <v/>
      </c>
      <c r="AB9" s="31">
        <f>IF('Field Teams'!$I$5="Inactive",-1,IFERROR((6-T9)+(77-ROW())*0.0001,0))</f>
        <v/>
      </c>
      <c r="AC9" s="35">
        <f>IF('Field Teams'!$I$5="Inactive",999,IFERROR((6-T9)+(ROW()-3)*0.0001,99))</f>
        <v/>
      </c>
      <c r="AD9" s="31">
        <f>IF('Field Teams'!$I$10="Inactive",999,IFERROR(AB9+(ROW()-3)*0.0001,99))</f>
        <v/>
      </c>
      <c r="AE9" s="29" t="n">
        <v>0</v>
      </c>
      <c r="AF9" s="31">
        <f>IF('Field Teams'!$I$10="Inactive","",IF(AA9="HIGH","YES - within 5 working days",""))</f>
        <v/>
      </c>
      <c r="AG9" s="105" t="n"/>
      <c r="AH9" s="49">
        <f>IFERROR(SUMPRODUCT(ISNUMBER(SEARCH(B9,'Pole Results'!$A$13:$A$2000))*('Pole Results'!$B$13:$B$2000&gt;=$AG$3)*('Pole Results'!$B$13:$B$2000&lt;=$AE$3)),0)</f>
        <v/>
      </c>
      <c r="AI9" s="49">
        <f>IFERROR(SUMPRODUCT(ISNUMBER(SEARCH(B9,'Pole Results'!$A$13:$A$2000))*('Pole Results'!$B$13:$B$2000&gt;=$AG$3)*('Pole Results'!$B$13:$B$2000&lt;=$AE$3)*('Pole Results'!$E$13:$E$2000="Compliant")),0)</f>
        <v/>
      </c>
      <c r="AJ9" s="105" t="n"/>
      <c r="AK9" s="106">
        <f>IF('Field Teams'!$I$10="Inactive",-1,IF(AA9="HIGH",AB9,-1))</f>
        <v/>
      </c>
      <c r="AL9" s="106">
        <f>IF('Field Teams'!$I$10="Inactive",-1,IF(OR(AA9="HIGH",AA9="MEDIUM"),AB9,-1))</f>
        <v/>
      </c>
      <c r="AM9">
        <f>IF('Field Teams'!$I$10="Inactive","",IF(IFERROR(LOOKUP(2,1/('Historical Scores'!C10:N10&lt;&gt;""),'Historical Scores'!C10:N10),"")="","New",IF(T9=""," ",IF(T9&gt;IFERROR(LOOKUP(2,1/('Historical Scores'!C10:N10&lt;&gt;""),'Historical Scores'!C10:N10),""),"▲ Worsening",IF(T9&lt;IFERROR(LOOKUP(2,1/('Historical Scores'!C10:N10&lt;&gt;""),'Historical Scores'!C10:N10),""),"▼ Improving","► Stable")))))</f>
        <v/>
      </c>
      <c r="AN9">
        <f>IFERROR(SUMPRODUCT((ISNUMBER(SEARCH(B9,'Data - SSV'!AE$6:AE$3000)))*('Data - SSV'!AF$6:AF$3000&gt;=(AJ$3-90))*('Data - SSV'!AF$6:AF$3000&lt;=AJ$3)*('Data - SSV'!AH$6:AH$3000&lt;&gt;"")),0)</f>
        <v/>
      </c>
      <c r="AO9">
        <f>IF('Field Teams'!$I$10="Inactive","",IF(AN9=0,3,IF(AN9=1,IF(IFERROR(SUMPRODUCT((ISNUMBER(SEARCH(B9,'Data - SSV'!AE$6:AE$3000)))*('Data - SSV'!AF$6:AF$3000&gt;=(AJ$3-90))*('Data - SSV'!AF$6:AF$3000&lt;=AJ$3)*('Data - SSV'!AH$6:AH$3000&lt;&gt;"")*IF('Data - SSV'!AH$6:AH$3000="",0,'Data - SSV'!AH$6:AH$3000))/AN9,3)=4,4,IF(IFERROR(SUMPRODUCT((ISNUMBER(SEARCH(B9,'Data - SSV'!AE$6:AE$3000)))*('Data - SSV'!AF$6:AF$3000&gt;=(AJ$3-90))*('Data - SSV'!AF$6:AF$3000&lt;=AJ$3)*('Data - SSV'!AH$6:AH$3000&lt;&gt;"")*IF('Data - SSV'!AH$6:AH$3000="",0,'Data - SSV'!AH$6:AH$3000))/AN9,3)&gt;=3,3,IF(IFERROR(SUMPRODUCT((ISNUMBER(SEARCH(B9,'Data - SSV'!AE$6:AE$3000)))*('Data - SSV'!AF$6:AF$3000&gt;=(AJ$3-90))*('Data - SSV'!AF$6:AF$3000&lt;=AJ$3)*('Data - SSV'!AH$6:AH$3000&lt;&gt;"")*IF('Data - SSV'!AH$6:AH$3000="",0,'Data - SSV'!AH$6:AH$3000))/AN9,3)&gt;=2,2,1))),IF(IFERROR(SUMPRODUCT((ISNUMBER(SEARCH(B9,'Data - SSV'!AE$6:AE$3000)))*('Data - SSV'!AF$6:AF$3000&gt;=(AJ$3-90))*('Data - SSV'!AF$6:AF$3000&lt;=AJ$3)*('Data - SSV'!AH$6:AH$3000&lt;&gt;"")*IF('Data - SSV'!AH$6:AH$3000="",0,'Data - SSV'!AH$6:AH$3000))/AN9,3)=4,5,IF(IFERROR(SUMPRODUCT((ISNUMBER(SEARCH(B9,'Data - SSV'!AE$6:AE$3000)))*('Data - SSV'!AF$6:AF$3000&gt;=(AJ$3-90))*('Data - SSV'!AF$6:AF$3000&lt;=AJ$3)*('Data - SSV'!AH$6:AH$3000&lt;&gt;"")*IF('Data - SSV'!AH$6:AH$3000="",0,'Data - SSV'!AH$6:AH$3000))/AN9,3)&gt;=3.5,4,IF(IFERROR(SUMPRODUCT((ISNUMBER(SEARCH(B9,'Data - SSV'!AE$6:AE$3000)))*('Data - SSV'!AF$6:AF$3000&gt;=(AJ$3-90))*('Data - SSV'!AF$6:AF$3000&lt;=AJ$3)*('Data - SSV'!AH$6:AH$3000&lt;&gt;"")*IF('Data - SSV'!AH$6:AH$3000="",0,'Data - SSV'!AH$6:AH$3000))/AN9,3)&gt;=3,3,IF(IFERROR(SUMPRODUCT((ISNUMBER(SEARCH(B9,'Data - SSV'!AE$6:AE$3000)))*('Data - SSV'!AF$6:AF$3000&gt;=(AJ$3-90))*('Data - SSV'!AF$6:AF$3000&lt;=AJ$3)*('Data - SSV'!AH$6:AH$3000&lt;&gt;"")*IF('Data - SSV'!AH$6:AH$3000="",0,'Data - SSV'!AH$6:AH$3000))/AN9,3)&gt;=2,2,1)))))))</f>
        <v/>
      </c>
    </row>
    <row r="10" ht="19.5" customHeight="1" s="146">
      <c r="A10" s="10">
        <f>'Field Teams'!A11</f>
        <v/>
      </c>
      <c r="B10" s="30">
        <f>'Field Teams'!B11</f>
        <v/>
      </c>
      <c r="C10" s="30">
        <f>'Field Teams'!C11</f>
        <v/>
      </c>
      <c r="D10" s="10">
        <f>'Field Teams'!D11</f>
        <v/>
      </c>
      <c r="E10" s="10">
        <f>'Field Teams'!E11</f>
        <v/>
      </c>
      <c r="F10" s="10">
        <f>'Field Teams'!F11</f>
        <v/>
      </c>
      <c r="G10" s="10">
        <f>'Field Teams'!G11</f>
        <v/>
      </c>
      <c r="H10" s="31">
        <f>'Field Teams'!H11</f>
        <v/>
      </c>
      <c r="I10" s="31">
        <f>H10*2</f>
        <v/>
      </c>
      <c r="J10" s="31">
        <f>IFERROR(SUMPRODUCT((((ISNUMBER(SEARCH(B10,'Data - HSQE Events'!V$6:V$3000))+ISNUMBER(SEARCH(B10,'Data - HSQE Events'!H$6:H$3000)))&gt;0))*('Data - HSQE Events'!F$6:F$3000&gt;=$AG$3)*('Data - HSQE Events'!F$6:F$3000&lt;=$AJ$3)*('Data - HSQE Events'!R$6:R$3000="Opportunity")),0)</f>
        <v/>
      </c>
      <c r="K10" s="31">
        <f>IFERROR(SUMPRODUCT((((ISNUMBER(SEARCH(B10,'Data - HSQE Events'!V$6:V$3000))+ISNUMBER(SEARCH(B10,'Data - HSQE Events'!H$6:H$3000)))&gt;0))*('Data - HSQE Events'!F$6:F$3000&gt;=$AG$3)*('Data - HSQE Events'!F$6:F$3000&lt;=$AJ$3)*('Data - HSQE Events'!R$6:R$3000="Minor")),0)</f>
        <v/>
      </c>
      <c r="L10" s="31">
        <f>IFERROR(SUMPRODUCT((((ISNUMBER(SEARCH(B10,'Data - HSQE Events'!V$6:V$3000))+ISNUMBER(SEARCH(B10,'Data - HSQE Events'!H$6:H$3000)))&gt;0))*('Data - HSQE Events'!F$6:F$3000&gt;=$AG$3)*('Data - HSQE Events'!F$6:F$3000&lt;=$AJ$3)*(('Data - HSQE Events'!R$6:R$3000="Moderate")+('Data - HSQE Events'!R$6:R$3000="Major"))),0)</f>
        <v/>
      </c>
      <c r="M10" s="31">
        <f>IF(IFERROR(SUMPRODUCT((((ISNUMBER(SEARCH(B10,'Data - HSQE Events'!V$6:V$3000))+ISNUMBER(SEARCH(B10,'Data - HSQE Events'!H$6:H$3000)))&gt;0))*('Data - HSQE Events'!F$6:F$3000&gt;=$AG$3)*('Data - HSQE Events'!F$6:F$3000&lt;=$AJ$3)*('Data - HSQE Events'!R$6:R$3000="Major")),0)&gt;0,"YES","NO")</f>
        <v/>
      </c>
      <c r="N10" s="31">
        <f>IFERROR(SUMPRODUCT(('Data - Skillko'!B$6:B$3000=B10)*('Data - Skillko'!C$6:C$3000="Total")*('Data - Skillko'!E$6:E$3000))*100,0)</f>
        <v/>
      </c>
      <c r="O10" s="31">
        <f>ROUND(MAX(1,MIN(5,1+N10/100*4)),1)</f>
        <v/>
      </c>
      <c r="P10" s="31">
        <f>IFERROR(SUMPRODUCT(ISNUMBER(SEARCH(B10,'Pole Results'!$A$13:$A$2000))*('Pole Results'!$B$13:$B$2000&gt;=$AG$3)*('Pole Results'!$B$13:$B$2000&lt;=$AE$3)*('Pole Results'!$E$13:$E$2000="Non-Compliant")),0)</f>
        <v/>
      </c>
      <c r="Q10" s="31">
        <f>IF(I10=0,1,IFERROR(ROUND(MAX(1,MIN(5,1+J10/I10*4)),1),3))</f>
        <v/>
      </c>
      <c r="R10" s="31">
        <f>ROUND(6-MAX(MIN(5,K10*0.8+1),MIN(5,L10*2+1)),1)</f>
        <v/>
      </c>
      <c r="S10" s="49">
        <f>IFERROR(ROUND(MAX(1,MIN(5,5-(P10/MAX(1,AI10))*4)),1),5)</f>
        <v/>
      </c>
      <c r="T10" s="31">
        <f>IF('Field Teams'!$I$11="Inactive","",ROUND((Q10*Settings!$D$6+R10*Settings!$D$7+O10*Settings!$D$10+S10*Settings!$D$12+AO10*Settings!$D$13)/Settings!$D$14,1))</f>
        <v/>
      </c>
      <c r="U10" s="115">
        <f>IF('Field Teams'!$I$11="Inactive","",IF(Q10="","",IF(Q10&gt;=4.5,"★★★★★",IF(Q10&gt;=3.5,"★★★★☆",IF(Q10&gt;=2.5,"★★★☆☆",IF(Q10&gt;=1.5,"★★☆☆☆","★☆☆☆☆"))))))</f>
        <v/>
      </c>
      <c r="V10" s="115">
        <f>IF('Field Teams'!$I$11="Inactive","",IF(R10="","",IF(R10&gt;=4.5,"★★★★★",IF(R10&gt;=3.5,"★★★★☆",IF(R10&gt;=2.5,"★★★☆☆",IF(R10&gt;=1.5,"★★☆☆☆","★☆☆☆☆"))))))</f>
        <v/>
      </c>
      <c r="W10" s="115">
        <f>IF('Field Teams'!$I$11="Inactive","",IF(O10="","",IF(O10&gt;=4.5,"★★★★★",IF(O10&gt;=3.5,"★★★★☆",IF(O10&gt;=2.5,"★★★☆☆",IF(O10&gt;=1.5,"★★☆☆☆","★☆☆☆☆"))))))</f>
        <v/>
      </c>
      <c r="X10" s="115">
        <f>IF('Field Teams'!$I$11="Inactive","",IF(S10="","",IF(S10&gt;=4.5,"★★★★★",IF(S10&gt;=3.5,"★★★★☆",IF(S10&gt;=2.5,"★★★☆☆",IF(S10&gt;=1.5,"★★☆☆☆","★☆☆☆☆"))))))</f>
        <v/>
      </c>
      <c r="Y10" s="115">
        <f>IF('Field Teams'!$I$11="Inactive","",IF(AO10="","",IF(AO10&gt;=4.5,"★★★★★",IF(AO10&gt;=3.5,"★★★★☆",IF(AO10&gt;=2.5,"★★★☆☆",IF(AO10&gt;=1.5,"★★☆☆☆","★☆☆☆☆"))))))</f>
        <v/>
      </c>
      <c r="Z10" s="115">
        <f>IF('Field Teams'!$I$5="Inactive","",IF(T10="","",IF(T10&gt;=4.5,"★★★★★",IF(T10&gt;=3.5,"★★★★☆",IF(T10&gt;=2.5,"★★★☆☆",IF(T10&gt;=1.5,"★★☆☆☆","★☆☆☆☆"))))))</f>
        <v/>
      </c>
      <c r="AA10" s="31">
        <f>IF('Field Teams'!$I$11="Inactive","",IF(M10="YES","HIGH",IF(Q10&lt;=Settings!$D$26,"HIGH",IF(T10&lt;=Settings!$D$23,"HIGH",IF(T10&lt;=Settings!$D$24,"MEDIUM","LOW")))))</f>
        <v/>
      </c>
      <c r="AB10" s="31">
        <f>IF('Field Teams'!$I$5="Inactive",-1,IFERROR((6-T10)+(77-ROW())*0.0001,0))</f>
        <v/>
      </c>
      <c r="AC10" s="35">
        <f>IF('Field Teams'!$I$5="Inactive",999,IFERROR((6-T10)+(ROW()-3)*0.0001,99))</f>
        <v/>
      </c>
      <c r="AD10" s="31">
        <f>IF('Field Teams'!$I$11="Inactive",999,IFERROR(AB10+(ROW()-3)*0.0001,99))</f>
        <v/>
      </c>
      <c r="AE10" s="29" t="n">
        <v>0</v>
      </c>
      <c r="AF10" s="31">
        <f>IF('Field Teams'!$I$11="Inactive","",IF(AA10="HIGH","YES - within 5 working days",""))</f>
        <v/>
      </c>
      <c r="AG10" s="105" t="n"/>
      <c r="AH10" s="49">
        <f>IFERROR(SUMPRODUCT(ISNUMBER(SEARCH(B10,'Pole Results'!$A$13:$A$2000))*('Pole Results'!$B$13:$B$2000&gt;=$AG$3)*('Pole Results'!$B$13:$B$2000&lt;=$AE$3)),0)</f>
        <v/>
      </c>
      <c r="AI10" s="49">
        <f>IFERROR(SUMPRODUCT(ISNUMBER(SEARCH(B10,'Pole Results'!$A$13:$A$2000))*('Pole Results'!$B$13:$B$2000&gt;=$AG$3)*('Pole Results'!$B$13:$B$2000&lt;=$AE$3)*('Pole Results'!$E$13:$E$2000="Compliant")),0)</f>
        <v/>
      </c>
      <c r="AJ10" s="105" t="n"/>
      <c r="AK10" s="106">
        <f>IF('Field Teams'!$I$11="Inactive",-1,IF(AA10="HIGH",AB10,-1))</f>
        <v/>
      </c>
      <c r="AL10" s="106">
        <f>IF('Field Teams'!$I$11="Inactive",-1,IF(OR(AA10="HIGH",AA10="MEDIUM"),AB10,-1))</f>
        <v/>
      </c>
      <c r="AM10">
        <f>IF('Field Teams'!$I$11="Inactive","",IF(IFERROR(LOOKUP(2,1/('Historical Scores'!C11:N11&lt;&gt;""),'Historical Scores'!C11:N11),"")="","New",IF(T10=""," ",IF(T10&gt;IFERROR(LOOKUP(2,1/('Historical Scores'!C11:N11&lt;&gt;""),'Historical Scores'!C11:N11),""),"▲ Worsening",IF(T10&lt;IFERROR(LOOKUP(2,1/('Historical Scores'!C11:N11&lt;&gt;""),'Historical Scores'!C11:N11),""),"▼ Improving","► Stable")))))</f>
        <v/>
      </c>
      <c r="AN10">
        <f>IFERROR(SUMPRODUCT((ISNUMBER(SEARCH(B10,'Data - SSV'!AE$6:AE$3000)))*('Data - SSV'!AF$6:AF$3000&gt;=(AJ$3-90))*('Data - SSV'!AF$6:AF$3000&lt;=AJ$3)*('Data - SSV'!AH$6:AH$3000&lt;&gt;"")),0)</f>
        <v/>
      </c>
      <c r="AO10">
        <f>IF('Field Teams'!$I$11="Inactive","",IF(AN10=0,3,IF(AN10=1,IF(IFERROR(SUMPRODUCT((ISNUMBER(SEARCH(B10,'Data - SSV'!AE$6:AE$3000)))*('Data - SSV'!AF$6:AF$3000&gt;=(AJ$3-90))*('Data - SSV'!AF$6:AF$3000&lt;=AJ$3)*('Data - SSV'!AH$6:AH$3000&lt;&gt;"")*IF('Data - SSV'!AH$6:AH$3000="",0,'Data - SSV'!AH$6:AH$3000))/AN10,3)=4,4,IF(IFERROR(SUMPRODUCT((ISNUMBER(SEARCH(B10,'Data - SSV'!AE$6:AE$3000)))*('Data - SSV'!AF$6:AF$3000&gt;=(AJ$3-90))*('Data - SSV'!AF$6:AF$3000&lt;=AJ$3)*('Data - SSV'!AH$6:AH$3000&lt;&gt;"")*IF('Data - SSV'!AH$6:AH$3000="",0,'Data - SSV'!AH$6:AH$3000))/AN10,3)&gt;=3,3,IF(IFERROR(SUMPRODUCT((ISNUMBER(SEARCH(B10,'Data - SSV'!AE$6:AE$3000)))*('Data - SSV'!AF$6:AF$3000&gt;=(AJ$3-90))*('Data - SSV'!AF$6:AF$3000&lt;=AJ$3)*('Data - SSV'!AH$6:AH$3000&lt;&gt;"")*IF('Data - SSV'!AH$6:AH$3000="",0,'Data - SSV'!AH$6:AH$3000))/AN10,3)&gt;=2,2,1))),IF(IFERROR(SUMPRODUCT((ISNUMBER(SEARCH(B10,'Data - SSV'!AE$6:AE$3000)))*('Data - SSV'!AF$6:AF$3000&gt;=(AJ$3-90))*('Data - SSV'!AF$6:AF$3000&lt;=AJ$3)*('Data - SSV'!AH$6:AH$3000&lt;&gt;"")*IF('Data - SSV'!AH$6:AH$3000="",0,'Data - SSV'!AH$6:AH$3000))/AN10,3)=4,5,IF(IFERROR(SUMPRODUCT((ISNUMBER(SEARCH(B10,'Data - SSV'!AE$6:AE$3000)))*('Data - SSV'!AF$6:AF$3000&gt;=(AJ$3-90))*('Data - SSV'!AF$6:AF$3000&lt;=AJ$3)*('Data - SSV'!AH$6:AH$3000&lt;&gt;"")*IF('Data - SSV'!AH$6:AH$3000="",0,'Data - SSV'!AH$6:AH$3000))/AN10,3)&gt;=3.5,4,IF(IFERROR(SUMPRODUCT((ISNUMBER(SEARCH(B10,'Data - SSV'!AE$6:AE$3000)))*('Data - SSV'!AF$6:AF$3000&gt;=(AJ$3-90))*('Data - SSV'!AF$6:AF$3000&lt;=AJ$3)*('Data - SSV'!AH$6:AH$3000&lt;&gt;"")*IF('Data - SSV'!AH$6:AH$3000="",0,'Data - SSV'!AH$6:AH$3000))/AN10,3)&gt;=3,3,IF(IFERROR(SUMPRODUCT((ISNUMBER(SEARCH(B10,'Data - SSV'!AE$6:AE$3000)))*('Data - SSV'!AF$6:AF$3000&gt;=(AJ$3-90))*('Data - SSV'!AF$6:AF$3000&lt;=AJ$3)*('Data - SSV'!AH$6:AH$3000&lt;&gt;"")*IF('Data - SSV'!AH$6:AH$3000="",0,'Data - SSV'!AH$6:AH$3000))/AN10,3)&gt;=2,2,1)))))))</f>
        <v/>
      </c>
    </row>
    <row r="11" ht="19.5" customHeight="1" s="146">
      <c r="A11" s="6">
        <f>'Field Teams'!A12</f>
        <v/>
      </c>
      <c r="B11" s="28">
        <f>'Field Teams'!B12</f>
        <v/>
      </c>
      <c r="C11" s="28">
        <f>'Field Teams'!C12</f>
        <v/>
      </c>
      <c r="D11" s="6">
        <f>'Field Teams'!D12</f>
        <v/>
      </c>
      <c r="E11" s="6">
        <f>'Field Teams'!E12</f>
        <v/>
      </c>
      <c r="F11" s="6">
        <f>'Field Teams'!F12</f>
        <v/>
      </c>
      <c r="G11" s="6">
        <f>'Field Teams'!G12</f>
        <v/>
      </c>
      <c r="H11" s="31">
        <f>'Field Teams'!H12</f>
        <v/>
      </c>
      <c r="I11" s="31">
        <f>H11*2</f>
        <v/>
      </c>
      <c r="J11" s="31">
        <f>IFERROR(SUMPRODUCT((((ISNUMBER(SEARCH(B11,'Data - HSQE Events'!V$6:V$3000))+ISNUMBER(SEARCH(B11,'Data - HSQE Events'!H$6:H$3000)))&gt;0))*('Data - HSQE Events'!F$6:F$3000&gt;=$AG$3)*('Data - HSQE Events'!F$6:F$3000&lt;=$AJ$3)*('Data - HSQE Events'!R$6:R$3000="Opportunity")),0)</f>
        <v/>
      </c>
      <c r="K11" s="31">
        <f>IFERROR(SUMPRODUCT((((ISNUMBER(SEARCH(B11,'Data - HSQE Events'!V$6:V$3000))+ISNUMBER(SEARCH(B11,'Data - HSQE Events'!H$6:H$3000)))&gt;0))*('Data - HSQE Events'!F$6:F$3000&gt;=$AG$3)*('Data - HSQE Events'!F$6:F$3000&lt;=$AJ$3)*('Data - HSQE Events'!R$6:R$3000="Minor")),0)</f>
        <v/>
      </c>
      <c r="L11" s="31">
        <f>IFERROR(SUMPRODUCT((((ISNUMBER(SEARCH(B11,'Data - HSQE Events'!V$6:V$3000))+ISNUMBER(SEARCH(B11,'Data - HSQE Events'!H$6:H$3000)))&gt;0))*('Data - HSQE Events'!F$6:F$3000&gt;=$AG$3)*('Data - HSQE Events'!F$6:F$3000&lt;=$AJ$3)*(('Data - HSQE Events'!R$6:R$3000="Moderate")+('Data - HSQE Events'!R$6:R$3000="Major"))),0)</f>
        <v/>
      </c>
      <c r="M11" s="31">
        <f>IF(IFERROR(SUMPRODUCT((((ISNUMBER(SEARCH(B11,'Data - HSQE Events'!V$6:V$3000))+ISNUMBER(SEARCH(B11,'Data - HSQE Events'!H$6:H$3000)))&gt;0))*('Data - HSQE Events'!F$6:F$3000&gt;=$AG$3)*('Data - HSQE Events'!F$6:F$3000&lt;=$AJ$3)*('Data - HSQE Events'!R$6:R$3000="Major")),0)&gt;0,"YES","NO")</f>
        <v/>
      </c>
      <c r="N11" s="31">
        <f>IFERROR(SUMPRODUCT(('Data - Skillko'!B$6:B$3000=B11)*('Data - Skillko'!C$6:C$3000="Total")*('Data - Skillko'!E$6:E$3000))*100,0)</f>
        <v/>
      </c>
      <c r="O11" s="31">
        <f>ROUND(MAX(1,MIN(5,1+N11/100*4)),1)</f>
        <v/>
      </c>
      <c r="P11" s="31">
        <f>IFERROR(SUMPRODUCT(ISNUMBER(SEARCH(B11,'Pole Results'!$A$13:$A$2000))*('Pole Results'!$B$13:$B$2000&gt;=$AG$3)*('Pole Results'!$B$13:$B$2000&lt;=$AE$3)*('Pole Results'!$E$13:$E$2000="Non-Compliant")),0)</f>
        <v/>
      </c>
      <c r="Q11" s="31">
        <f>IF(I11=0,1,IFERROR(ROUND(MAX(1,MIN(5,1+J11/I11*4)),1),3))</f>
        <v/>
      </c>
      <c r="R11" s="31">
        <f>ROUND(6-MAX(MIN(5,K11*0.8+1),MIN(5,L11*2+1)),1)</f>
        <v/>
      </c>
      <c r="S11" s="49">
        <f>IFERROR(ROUND(MAX(1,MIN(5,5-(P11/MAX(1,AI11))*4)),1),5)</f>
        <v/>
      </c>
      <c r="T11" s="31">
        <f>IF('Field Teams'!$I$12="Inactive","",ROUND((Q11*Settings!$D$6+R11*Settings!$D$7+O11*Settings!$D$10+S11*Settings!$D$12+AO11*Settings!$D$13)/Settings!$D$14,1))</f>
        <v/>
      </c>
      <c r="U11" s="115">
        <f>IF('Field Teams'!$I$12="Inactive","",IF(Q11="","",IF(Q11&gt;=4.5,"★★★★★",IF(Q11&gt;=3.5,"★★★★☆",IF(Q11&gt;=2.5,"★★★☆☆",IF(Q11&gt;=1.5,"★★☆☆☆","★☆☆☆☆"))))))</f>
        <v/>
      </c>
      <c r="V11" s="115">
        <f>IF('Field Teams'!$I$12="Inactive","",IF(R11="","",IF(R11&gt;=4.5,"★★★★★",IF(R11&gt;=3.5,"★★★★☆",IF(R11&gt;=2.5,"★★★☆☆",IF(R11&gt;=1.5,"★★☆☆☆","★☆☆☆☆"))))))</f>
        <v/>
      </c>
      <c r="W11" s="115">
        <f>IF('Field Teams'!$I$12="Inactive","",IF(O11="","",IF(O11&gt;=4.5,"★★★★★",IF(O11&gt;=3.5,"★★★★☆",IF(O11&gt;=2.5,"★★★☆☆",IF(O11&gt;=1.5,"★★☆☆☆","★☆☆☆☆"))))))</f>
        <v/>
      </c>
      <c r="X11" s="115">
        <f>IF('Field Teams'!$I$12="Inactive","",IF(S11="","",IF(S11&gt;=4.5,"★★★★★",IF(S11&gt;=3.5,"★★★★☆",IF(S11&gt;=2.5,"★★★☆☆",IF(S11&gt;=1.5,"★★☆☆☆","★☆☆☆☆"))))))</f>
        <v/>
      </c>
      <c r="Y11" s="115">
        <f>IF('Field Teams'!$I$12="Inactive","",IF(AO11="","",IF(AO11&gt;=4.5,"★★★★★",IF(AO11&gt;=3.5,"★★★★☆",IF(AO11&gt;=2.5,"★★★☆☆",IF(AO11&gt;=1.5,"★★☆☆☆","★☆☆☆☆"))))))</f>
        <v/>
      </c>
      <c r="Z11" s="115">
        <f>IF('Field Teams'!$I$5="Inactive","",IF(T11="","",IF(T11&gt;=4.5,"★★★★★",IF(T11&gt;=3.5,"★★★★☆",IF(T11&gt;=2.5,"★★★☆☆",IF(T11&gt;=1.5,"★★☆☆☆","★☆☆☆☆"))))))</f>
        <v/>
      </c>
      <c r="AA11" s="31">
        <f>IF('Field Teams'!$I$12="Inactive","",IF(M11="YES","HIGH",IF(Q11&lt;=Settings!$D$26,"HIGH",IF(T11&lt;=Settings!$D$23,"HIGH",IF(T11&lt;=Settings!$D$24,"MEDIUM","LOW")))))</f>
        <v/>
      </c>
      <c r="AB11" s="31">
        <f>IF('Field Teams'!$I$5="Inactive",-1,IFERROR((6-T11)+(77-ROW())*0.0001,0))</f>
        <v/>
      </c>
      <c r="AC11" s="35">
        <f>IF('Field Teams'!$I$5="Inactive",999,IFERROR((6-T11)+(ROW()-3)*0.0001,99))</f>
        <v/>
      </c>
      <c r="AD11" s="31">
        <f>IF('Field Teams'!$I$12="Inactive",999,IFERROR(AB11+(ROW()-3)*0.0001,99))</f>
        <v/>
      </c>
      <c r="AE11" s="29" t="n">
        <v>0</v>
      </c>
      <c r="AF11" s="31">
        <f>IF('Field Teams'!$I$12="Inactive","",IF(AA11="HIGH","YES - within 5 working days",""))</f>
        <v/>
      </c>
      <c r="AG11" s="105" t="n"/>
      <c r="AH11" s="49">
        <f>IFERROR(SUMPRODUCT(ISNUMBER(SEARCH(B11,'Pole Results'!$A$13:$A$2000))*('Pole Results'!$B$13:$B$2000&gt;=$AG$3)*('Pole Results'!$B$13:$B$2000&lt;=$AE$3)),0)</f>
        <v/>
      </c>
      <c r="AI11" s="49">
        <f>IFERROR(SUMPRODUCT(ISNUMBER(SEARCH(B11,'Pole Results'!$A$13:$A$2000))*('Pole Results'!$B$13:$B$2000&gt;=$AG$3)*('Pole Results'!$B$13:$B$2000&lt;=$AE$3)*('Pole Results'!$E$13:$E$2000="Compliant")),0)</f>
        <v/>
      </c>
      <c r="AJ11" s="105" t="n"/>
      <c r="AK11" s="106">
        <f>IF('Field Teams'!$I$12="Inactive",-1,IF(AA11="HIGH",AB11,-1))</f>
        <v/>
      </c>
      <c r="AL11" s="106">
        <f>IF('Field Teams'!$I$12="Inactive",-1,IF(OR(AA11="HIGH",AA11="MEDIUM"),AB11,-1))</f>
        <v/>
      </c>
      <c r="AM11">
        <f>IF('Field Teams'!$I$12="Inactive","",IF(IFERROR(LOOKUP(2,1/('Historical Scores'!C12:N12&lt;&gt;""),'Historical Scores'!C12:N12),"")="","New",IF(T11=""," ",IF(T11&gt;IFERROR(LOOKUP(2,1/('Historical Scores'!C12:N12&lt;&gt;""),'Historical Scores'!C12:N12),""),"▲ Worsening",IF(T11&lt;IFERROR(LOOKUP(2,1/('Historical Scores'!C12:N12&lt;&gt;""),'Historical Scores'!C12:N12),""),"▼ Improving","► Stable")))))</f>
        <v/>
      </c>
      <c r="AN11">
        <f>IFERROR(SUMPRODUCT((ISNUMBER(SEARCH(B11,'Data - SSV'!AE$6:AE$3000)))*('Data - SSV'!AF$6:AF$3000&gt;=(AJ$3-90))*('Data - SSV'!AF$6:AF$3000&lt;=AJ$3)*('Data - SSV'!AH$6:AH$3000&lt;&gt;"")),0)</f>
        <v/>
      </c>
      <c r="AO11">
        <f>IF('Field Teams'!$I$12="Inactive","",IF(AN11=0,3,IF(AN11=1,IF(IFERROR(SUMPRODUCT((ISNUMBER(SEARCH(B11,'Data - SSV'!AE$6:AE$3000)))*('Data - SSV'!AF$6:AF$3000&gt;=(AJ$3-90))*('Data - SSV'!AF$6:AF$3000&lt;=AJ$3)*('Data - SSV'!AH$6:AH$3000&lt;&gt;"")*IF('Data - SSV'!AH$6:AH$3000="",0,'Data - SSV'!AH$6:AH$3000))/AN11,3)=4,4,IF(IFERROR(SUMPRODUCT((ISNUMBER(SEARCH(B11,'Data - SSV'!AE$6:AE$3000)))*('Data - SSV'!AF$6:AF$3000&gt;=(AJ$3-90))*('Data - SSV'!AF$6:AF$3000&lt;=AJ$3)*('Data - SSV'!AH$6:AH$3000&lt;&gt;"")*IF('Data - SSV'!AH$6:AH$3000="",0,'Data - SSV'!AH$6:AH$3000))/AN11,3)&gt;=3,3,IF(IFERROR(SUMPRODUCT((ISNUMBER(SEARCH(B11,'Data - SSV'!AE$6:AE$3000)))*('Data - SSV'!AF$6:AF$3000&gt;=(AJ$3-90))*('Data - SSV'!AF$6:AF$3000&lt;=AJ$3)*('Data - SSV'!AH$6:AH$3000&lt;&gt;"")*IF('Data - SSV'!AH$6:AH$3000="",0,'Data - SSV'!AH$6:AH$3000))/AN11,3)&gt;=2,2,1))),IF(IFERROR(SUMPRODUCT((ISNUMBER(SEARCH(B11,'Data - SSV'!AE$6:AE$3000)))*('Data - SSV'!AF$6:AF$3000&gt;=(AJ$3-90))*('Data - SSV'!AF$6:AF$3000&lt;=AJ$3)*('Data - SSV'!AH$6:AH$3000&lt;&gt;"")*IF('Data - SSV'!AH$6:AH$3000="",0,'Data - SSV'!AH$6:AH$3000))/AN11,3)=4,5,IF(IFERROR(SUMPRODUCT((ISNUMBER(SEARCH(B11,'Data - SSV'!AE$6:AE$3000)))*('Data - SSV'!AF$6:AF$3000&gt;=(AJ$3-90))*('Data - SSV'!AF$6:AF$3000&lt;=AJ$3)*('Data - SSV'!AH$6:AH$3000&lt;&gt;"")*IF('Data - SSV'!AH$6:AH$3000="",0,'Data - SSV'!AH$6:AH$3000))/AN11,3)&gt;=3.5,4,IF(IFERROR(SUMPRODUCT((ISNUMBER(SEARCH(B11,'Data - SSV'!AE$6:AE$3000)))*('Data - SSV'!AF$6:AF$3000&gt;=(AJ$3-90))*('Data - SSV'!AF$6:AF$3000&lt;=AJ$3)*('Data - SSV'!AH$6:AH$3000&lt;&gt;"")*IF('Data - SSV'!AH$6:AH$3000="",0,'Data - SSV'!AH$6:AH$3000))/AN11,3)&gt;=3,3,IF(IFERROR(SUMPRODUCT((ISNUMBER(SEARCH(B11,'Data - SSV'!AE$6:AE$3000)))*('Data - SSV'!AF$6:AF$3000&gt;=(AJ$3-90))*('Data - SSV'!AF$6:AF$3000&lt;=AJ$3)*('Data - SSV'!AH$6:AH$3000&lt;&gt;"")*IF('Data - SSV'!AH$6:AH$3000="",0,'Data - SSV'!AH$6:AH$3000))/AN11,3)&gt;=2,2,1)))))))</f>
        <v/>
      </c>
    </row>
    <row r="12" ht="19.5" customHeight="1" s="146">
      <c r="A12" s="10">
        <f>'Field Teams'!A13</f>
        <v/>
      </c>
      <c r="B12" s="30">
        <f>'Field Teams'!B13</f>
        <v/>
      </c>
      <c r="C12" s="30">
        <f>'Field Teams'!C13</f>
        <v/>
      </c>
      <c r="D12" s="10">
        <f>'Field Teams'!D13</f>
        <v/>
      </c>
      <c r="E12" s="10">
        <f>'Field Teams'!E13</f>
        <v/>
      </c>
      <c r="F12" s="10">
        <f>'Field Teams'!F13</f>
        <v/>
      </c>
      <c r="G12" s="10">
        <f>'Field Teams'!G13</f>
        <v/>
      </c>
      <c r="H12" s="31">
        <f>'Field Teams'!H13</f>
        <v/>
      </c>
      <c r="I12" s="31">
        <f>H12*2</f>
        <v/>
      </c>
      <c r="J12" s="31">
        <f>IFERROR(SUMPRODUCT((((ISNUMBER(SEARCH(B12,'Data - HSQE Events'!V$6:V$3000))+ISNUMBER(SEARCH(B12,'Data - HSQE Events'!H$6:H$3000)))&gt;0))*('Data - HSQE Events'!F$6:F$3000&gt;=$AG$3)*('Data - HSQE Events'!F$6:F$3000&lt;=$AJ$3)*('Data - HSQE Events'!R$6:R$3000="Opportunity")),0)</f>
        <v/>
      </c>
      <c r="K12" s="31">
        <f>IFERROR(SUMPRODUCT((((ISNUMBER(SEARCH(B12,'Data - HSQE Events'!V$6:V$3000))+ISNUMBER(SEARCH(B12,'Data - HSQE Events'!H$6:H$3000)))&gt;0))*('Data - HSQE Events'!F$6:F$3000&gt;=$AG$3)*('Data - HSQE Events'!F$6:F$3000&lt;=$AJ$3)*('Data - HSQE Events'!R$6:R$3000="Minor")),0)</f>
        <v/>
      </c>
      <c r="L12" s="31">
        <f>IFERROR(SUMPRODUCT((((ISNUMBER(SEARCH(B12,'Data - HSQE Events'!V$6:V$3000))+ISNUMBER(SEARCH(B12,'Data - HSQE Events'!H$6:H$3000)))&gt;0))*('Data - HSQE Events'!F$6:F$3000&gt;=$AG$3)*('Data - HSQE Events'!F$6:F$3000&lt;=$AJ$3)*(('Data - HSQE Events'!R$6:R$3000="Moderate")+('Data - HSQE Events'!R$6:R$3000="Major"))),0)</f>
        <v/>
      </c>
      <c r="M12" s="31">
        <f>IF(IFERROR(SUMPRODUCT((((ISNUMBER(SEARCH(B12,'Data - HSQE Events'!V$6:V$3000))+ISNUMBER(SEARCH(B12,'Data - HSQE Events'!H$6:H$3000)))&gt;0))*('Data - HSQE Events'!F$6:F$3000&gt;=$AG$3)*('Data - HSQE Events'!F$6:F$3000&lt;=$AJ$3)*('Data - HSQE Events'!R$6:R$3000="Major")),0)&gt;0,"YES","NO")</f>
        <v/>
      </c>
      <c r="N12" s="31">
        <f>IFERROR(SUMPRODUCT(('Data - Skillko'!B$6:B$3000=B12)*('Data - Skillko'!C$6:C$3000="Total")*('Data - Skillko'!E$6:E$3000))*100,0)</f>
        <v/>
      </c>
      <c r="O12" s="31">
        <f>ROUND(MAX(1,MIN(5,1+N12/100*4)),1)</f>
        <v/>
      </c>
      <c r="P12" s="31">
        <f>IFERROR(SUMPRODUCT(ISNUMBER(SEARCH(B12,'Pole Results'!$A$13:$A$2000))*('Pole Results'!$B$13:$B$2000&gt;=$AG$3)*('Pole Results'!$B$13:$B$2000&lt;=$AE$3)*('Pole Results'!$E$13:$E$2000="Non-Compliant")),0)</f>
        <v/>
      </c>
      <c r="Q12" s="31">
        <f>IF(I12=0,1,IFERROR(ROUND(MAX(1,MIN(5,1+J12/I12*4)),1),3))</f>
        <v/>
      </c>
      <c r="R12" s="31">
        <f>ROUND(6-MAX(MIN(5,K12*0.8+1),MIN(5,L12*2+1)),1)</f>
        <v/>
      </c>
      <c r="S12" s="49">
        <f>IFERROR(ROUND(MAX(1,MIN(5,5-(P12/MAX(1,AI12))*4)),1),5)</f>
        <v/>
      </c>
      <c r="T12" s="31">
        <f>IF('Field Teams'!$I$13="Inactive","",ROUND((Q12*Settings!$D$6+R12*Settings!$D$7+O12*Settings!$D$10+S12*Settings!$D$12+AO12*Settings!$D$13)/Settings!$D$14,1))</f>
        <v/>
      </c>
      <c r="U12" s="115">
        <f>IF('Field Teams'!$I$13="Inactive","",IF(Q12="","",IF(Q12&gt;=4.5,"★★★★★",IF(Q12&gt;=3.5,"★★★★☆",IF(Q12&gt;=2.5,"★★★☆☆",IF(Q12&gt;=1.5,"★★☆☆☆","★☆☆☆☆"))))))</f>
        <v/>
      </c>
      <c r="V12" s="115">
        <f>IF('Field Teams'!$I$13="Inactive","",IF(R12="","",IF(R12&gt;=4.5,"★★★★★",IF(R12&gt;=3.5,"★★★★☆",IF(R12&gt;=2.5,"★★★☆☆",IF(R12&gt;=1.5,"★★☆☆☆","★☆☆☆☆"))))))</f>
        <v/>
      </c>
      <c r="W12" s="115">
        <f>IF('Field Teams'!$I$13="Inactive","",IF(O12="","",IF(O12&gt;=4.5,"★★★★★",IF(O12&gt;=3.5,"★★★★☆",IF(O12&gt;=2.5,"★★★☆☆",IF(O12&gt;=1.5,"★★☆☆☆","★☆☆☆☆"))))))</f>
        <v/>
      </c>
      <c r="X12" s="115">
        <f>IF('Field Teams'!$I$13="Inactive","",IF(S12="","",IF(S12&gt;=4.5,"★★★★★",IF(S12&gt;=3.5,"★★★★☆",IF(S12&gt;=2.5,"★★★☆☆",IF(S12&gt;=1.5,"★★☆☆☆","★☆☆☆☆"))))))</f>
        <v/>
      </c>
      <c r="Y12" s="115">
        <f>IF('Field Teams'!$I$13="Inactive","",IF(AO12="","",IF(AO12&gt;=4.5,"★★★★★",IF(AO12&gt;=3.5,"★★★★☆",IF(AO12&gt;=2.5,"★★★☆☆",IF(AO12&gt;=1.5,"★★☆☆☆","★☆☆☆☆"))))))</f>
        <v/>
      </c>
      <c r="Z12" s="115">
        <f>IF('Field Teams'!$I$5="Inactive","",IF(T12="","",IF(T12&gt;=4.5,"★★★★★",IF(T12&gt;=3.5,"★★★★☆",IF(T12&gt;=2.5,"★★★☆☆",IF(T12&gt;=1.5,"★★☆☆☆","★☆☆☆☆"))))))</f>
        <v/>
      </c>
      <c r="AA12" s="31">
        <f>IF('Field Teams'!$I$13="Inactive","",IF(M12="YES","HIGH",IF(Q12&lt;=Settings!$D$26,"HIGH",IF(T12&lt;=Settings!$D$23,"HIGH",IF(T12&lt;=Settings!$D$24,"MEDIUM","LOW")))))</f>
        <v/>
      </c>
      <c r="AB12" s="31">
        <f>IF('Field Teams'!$I$5="Inactive",-1,IFERROR((6-T12)+(77-ROW())*0.0001,0))</f>
        <v/>
      </c>
      <c r="AC12" s="35">
        <f>IF('Field Teams'!$I$5="Inactive",999,IFERROR((6-T12)+(ROW()-3)*0.0001,99))</f>
        <v/>
      </c>
      <c r="AD12" s="31">
        <f>IF('Field Teams'!$I$13="Inactive",999,IFERROR(AB12+(ROW()-3)*0.0001,99))</f>
        <v/>
      </c>
      <c r="AE12" s="29" t="n">
        <v>0</v>
      </c>
      <c r="AF12" s="31">
        <f>IF('Field Teams'!$I$13="Inactive","",IF(AA12="HIGH","YES - within 5 working days",""))</f>
        <v/>
      </c>
      <c r="AG12" s="105" t="n"/>
      <c r="AH12" s="49">
        <f>IFERROR(SUMPRODUCT(ISNUMBER(SEARCH(B12,'Pole Results'!$A$13:$A$2000))*('Pole Results'!$B$13:$B$2000&gt;=$AG$3)*('Pole Results'!$B$13:$B$2000&lt;=$AE$3)),0)</f>
        <v/>
      </c>
      <c r="AI12" s="49">
        <f>IFERROR(SUMPRODUCT(ISNUMBER(SEARCH(B12,'Pole Results'!$A$13:$A$2000))*('Pole Results'!$B$13:$B$2000&gt;=$AG$3)*('Pole Results'!$B$13:$B$2000&lt;=$AE$3)*('Pole Results'!$E$13:$E$2000="Compliant")),0)</f>
        <v/>
      </c>
      <c r="AJ12" s="105" t="n"/>
      <c r="AK12" s="106">
        <f>IF('Field Teams'!$I$13="Inactive",-1,IF(AA12="HIGH",AB12,-1))</f>
        <v/>
      </c>
      <c r="AL12" s="106">
        <f>IF('Field Teams'!$I$13="Inactive",-1,IF(OR(AA12="HIGH",AA12="MEDIUM"),AB12,-1))</f>
        <v/>
      </c>
      <c r="AM12">
        <f>IF('Field Teams'!$I$13="Inactive","",IF(IFERROR(LOOKUP(2,1/('Historical Scores'!C13:N13&lt;&gt;""),'Historical Scores'!C13:N13),"")="","New",IF(T12=""," ",IF(T12&gt;IFERROR(LOOKUP(2,1/('Historical Scores'!C13:N13&lt;&gt;""),'Historical Scores'!C13:N13),""),"▲ Worsening",IF(T12&lt;IFERROR(LOOKUP(2,1/('Historical Scores'!C13:N13&lt;&gt;""),'Historical Scores'!C13:N13),""),"▼ Improving","► Stable")))))</f>
        <v/>
      </c>
      <c r="AN12">
        <f>IFERROR(SUMPRODUCT((ISNUMBER(SEARCH(B12,'Data - SSV'!AE$6:AE$3000)))*('Data - SSV'!AF$6:AF$3000&gt;=(AJ$3-90))*('Data - SSV'!AF$6:AF$3000&lt;=AJ$3)*('Data - SSV'!AH$6:AH$3000&lt;&gt;"")),0)</f>
        <v/>
      </c>
      <c r="AO12">
        <f>IF('Field Teams'!$I$13="Inactive","",IF(AN12=0,3,IF(AN12=1,IF(IFERROR(SUMPRODUCT((ISNUMBER(SEARCH(B12,'Data - SSV'!AE$6:AE$3000)))*('Data - SSV'!AF$6:AF$3000&gt;=(AJ$3-90))*('Data - SSV'!AF$6:AF$3000&lt;=AJ$3)*('Data - SSV'!AH$6:AH$3000&lt;&gt;"")*IF('Data - SSV'!AH$6:AH$3000="",0,'Data - SSV'!AH$6:AH$3000))/AN12,3)=4,4,IF(IFERROR(SUMPRODUCT((ISNUMBER(SEARCH(B12,'Data - SSV'!AE$6:AE$3000)))*('Data - SSV'!AF$6:AF$3000&gt;=(AJ$3-90))*('Data - SSV'!AF$6:AF$3000&lt;=AJ$3)*('Data - SSV'!AH$6:AH$3000&lt;&gt;"")*IF('Data - SSV'!AH$6:AH$3000="",0,'Data - SSV'!AH$6:AH$3000))/AN12,3)&gt;=3,3,IF(IFERROR(SUMPRODUCT((ISNUMBER(SEARCH(B12,'Data - SSV'!AE$6:AE$3000)))*('Data - SSV'!AF$6:AF$3000&gt;=(AJ$3-90))*('Data - SSV'!AF$6:AF$3000&lt;=AJ$3)*('Data - SSV'!AH$6:AH$3000&lt;&gt;"")*IF('Data - SSV'!AH$6:AH$3000="",0,'Data - SSV'!AH$6:AH$3000))/AN12,3)&gt;=2,2,1))),IF(IFERROR(SUMPRODUCT((ISNUMBER(SEARCH(B12,'Data - SSV'!AE$6:AE$3000)))*('Data - SSV'!AF$6:AF$3000&gt;=(AJ$3-90))*('Data - SSV'!AF$6:AF$3000&lt;=AJ$3)*('Data - SSV'!AH$6:AH$3000&lt;&gt;"")*IF('Data - SSV'!AH$6:AH$3000="",0,'Data - SSV'!AH$6:AH$3000))/AN12,3)=4,5,IF(IFERROR(SUMPRODUCT((ISNUMBER(SEARCH(B12,'Data - SSV'!AE$6:AE$3000)))*('Data - SSV'!AF$6:AF$3000&gt;=(AJ$3-90))*('Data - SSV'!AF$6:AF$3000&lt;=AJ$3)*('Data - SSV'!AH$6:AH$3000&lt;&gt;"")*IF('Data - SSV'!AH$6:AH$3000="",0,'Data - SSV'!AH$6:AH$3000))/AN12,3)&gt;=3.5,4,IF(IFERROR(SUMPRODUCT((ISNUMBER(SEARCH(B12,'Data - SSV'!AE$6:AE$3000)))*('Data - SSV'!AF$6:AF$3000&gt;=(AJ$3-90))*('Data - SSV'!AF$6:AF$3000&lt;=AJ$3)*('Data - SSV'!AH$6:AH$3000&lt;&gt;"")*IF('Data - SSV'!AH$6:AH$3000="",0,'Data - SSV'!AH$6:AH$3000))/AN12,3)&gt;=3,3,IF(IFERROR(SUMPRODUCT((ISNUMBER(SEARCH(B12,'Data - SSV'!AE$6:AE$3000)))*('Data - SSV'!AF$6:AF$3000&gt;=(AJ$3-90))*('Data - SSV'!AF$6:AF$3000&lt;=AJ$3)*('Data - SSV'!AH$6:AH$3000&lt;&gt;"")*IF('Data - SSV'!AH$6:AH$3000="",0,'Data - SSV'!AH$6:AH$3000))/AN12,3)&gt;=2,2,1)))))))</f>
        <v/>
      </c>
    </row>
    <row r="13" ht="19.5" customHeight="1" s="146">
      <c r="A13" s="6">
        <f>'Field Teams'!A14</f>
        <v/>
      </c>
      <c r="B13" s="28">
        <f>'Field Teams'!B14</f>
        <v/>
      </c>
      <c r="C13" s="28">
        <f>'Field Teams'!C14</f>
        <v/>
      </c>
      <c r="D13" s="6">
        <f>'Field Teams'!D14</f>
        <v/>
      </c>
      <c r="E13" s="6">
        <f>'Field Teams'!E14</f>
        <v/>
      </c>
      <c r="F13" s="6">
        <f>'Field Teams'!F14</f>
        <v/>
      </c>
      <c r="G13" s="6">
        <f>'Field Teams'!G14</f>
        <v/>
      </c>
      <c r="H13" s="31">
        <f>'Field Teams'!H14</f>
        <v/>
      </c>
      <c r="I13" s="31">
        <f>H13*2</f>
        <v/>
      </c>
      <c r="J13" s="31">
        <f>IFERROR(SUMPRODUCT((((ISNUMBER(SEARCH(B13,'Data - HSQE Events'!V$6:V$3000))+ISNUMBER(SEARCH(B13,'Data - HSQE Events'!H$6:H$3000)))&gt;0))*('Data - HSQE Events'!F$6:F$3000&gt;=$AG$3)*('Data - HSQE Events'!F$6:F$3000&lt;=$AJ$3)*('Data - HSQE Events'!R$6:R$3000="Opportunity")),0)</f>
        <v/>
      </c>
      <c r="K13" s="31">
        <f>IFERROR(SUMPRODUCT((((ISNUMBER(SEARCH(B13,'Data - HSQE Events'!V$6:V$3000))+ISNUMBER(SEARCH(B13,'Data - HSQE Events'!H$6:H$3000)))&gt;0))*('Data - HSQE Events'!F$6:F$3000&gt;=$AG$3)*('Data - HSQE Events'!F$6:F$3000&lt;=$AJ$3)*('Data - HSQE Events'!R$6:R$3000="Minor")),0)</f>
        <v/>
      </c>
      <c r="L13" s="31">
        <f>IFERROR(SUMPRODUCT((((ISNUMBER(SEARCH(B13,'Data - HSQE Events'!V$6:V$3000))+ISNUMBER(SEARCH(B13,'Data - HSQE Events'!H$6:H$3000)))&gt;0))*('Data - HSQE Events'!F$6:F$3000&gt;=$AG$3)*('Data - HSQE Events'!F$6:F$3000&lt;=$AJ$3)*(('Data - HSQE Events'!R$6:R$3000="Moderate")+('Data - HSQE Events'!R$6:R$3000="Major"))),0)</f>
        <v/>
      </c>
      <c r="M13" s="31">
        <f>IF(IFERROR(SUMPRODUCT((((ISNUMBER(SEARCH(B13,'Data - HSQE Events'!V$6:V$3000))+ISNUMBER(SEARCH(B13,'Data - HSQE Events'!H$6:H$3000)))&gt;0))*('Data - HSQE Events'!F$6:F$3000&gt;=$AG$3)*('Data - HSQE Events'!F$6:F$3000&lt;=$AJ$3)*('Data - HSQE Events'!R$6:R$3000="Major")),0)&gt;0,"YES","NO")</f>
        <v/>
      </c>
      <c r="N13" s="31">
        <f>IFERROR(SUMPRODUCT(('Data - Skillko'!B$6:B$3000=B13)*('Data - Skillko'!C$6:C$3000="Total")*('Data - Skillko'!E$6:E$3000))*100,0)</f>
        <v/>
      </c>
      <c r="O13" s="31">
        <f>ROUND(MAX(1,MIN(5,1+N13/100*4)),1)</f>
        <v/>
      </c>
      <c r="P13" s="31">
        <f>IFERROR(SUMPRODUCT(ISNUMBER(SEARCH(B13,'Pole Results'!$A$13:$A$2000))*('Pole Results'!$B$13:$B$2000&gt;=$AG$3)*('Pole Results'!$B$13:$B$2000&lt;=$AE$3)*('Pole Results'!$E$13:$E$2000="Non-Compliant")),0)</f>
        <v/>
      </c>
      <c r="Q13" s="31">
        <f>IF(I13=0,1,IFERROR(ROUND(MAX(1,MIN(5,1+J13/I13*4)),1),3))</f>
        <v/>
      </c>
      <c r="R13" s="31">
        <f>ROUND(6-MAX(MIN(5,K13*0.8+1),MIN(5,L13*2+1)),1)</f>
        <v/>
      </c>
      <c r="S13" s="49">
        <f>IFERROR(ROUND(MAX(1,MIN(5,5-(P13/MAX(1,AI13))*4)),1),5)</f>
        <v/>
      </c>
      <c r="T13" s="31">
        <f>IF('Field Teams'!$I$14="Inactive","",ROUND((Q13*Settings!$D$6+R13*Settings!$D$7+O13*Settings!$D$10+S13*Settings!$D$12+AO13*Settings!$D$13)/Settings!$D$14,1))</f>
        <v/>
      </c>
      <c r="U13" s="115">
        <f>IF('Field Teams'!$I$14="Inactive","",IF(Q13="","",IF(Q13&gt;=4.5,"★★★★★",IF(Q13&gt;=3.5,"★★★★☆",IF(Q13&gt;=2.5,"★★★☆☆",IF(Q13&gt;=1.5,"★★☆☆☆","★☆☆☆☆"))))))</f>
        <v/>
      </c>
      <c r="V13" s="115">
        <f>IF('Field Teams'!$I$14="Inactive","",IF(R13="","",IF(R13&gt;=4.5,"★★★★★",IF(R13&gt;=3.5,"★★★★☆",IF(R13&gt;=2.5,"★★★☆☆",IF(R13&gt;=1.5,"★★☆☆☆","★☆☆☆☆"))))))</f>
        <v/>
      </c>
      <c r="W13" s="115">
        <f>IF('Field Teams'!$I$14="Inactive","",IF(O13="","",IF(O13&gt;=4.5,"★★★★★",IF(O13&gt;=3.5,"★★★★☆",IF(O13&gt;=2.5,"★★★☆☆",IF(O13&gt;=1.5,"★★☆☆☆","★☆☆☆☆"))))))</f>
        <v/>
      </c>
      <c r="X13" s="115">
        <f>IF('Field Teams'!$I$14="Inactive","",IF(S13="","",IF(S13&gt;=4.5,"★★★★★",IF(S13&gt;=3.5,"★★★★☆",IF(S13&gt;=2.5,"★★★☆☆",IF(S13&gt;=1.5,"★★☆☆☆","★☆☆☆☆"))))))</f>
        <v/>
      </c>
      <c r="Y13" s="115">
        <f>IF('Field Teams'!$I$14="Inactive","",IF(AO13="","",IF(AO13&gt;=4.5,"★★★★★",IF(AO13&gt;=3.5,"★★★★☆",IF(AO13&gt;=2.5,"★★★☆☆",IF(AO13&gt;=1.5,"★★☆☆☆","★☆☆☆☆"))))))</f>
        <v/>
      </c>
      <c r="Z13" s="115">
        <f>IF('Field Teams'!$I$5="Inactive","",IF(T13="","",IF(T13&gt;=4.5,"★★★★★",IF(T13&gt;=3.5,"★★★★☆",IF(T13&gt;=2.5,"★★★☆☆",IF(T13&gt;=1.5,"★★☆☆☆","★☆☆☆☆"))))))</f>
        <v/>
      </c>
      <c r="AA13" s="31">
        <f>IF('Field Teams'!$I$14="Inactive","",IF(M13="YES","HIGH",IF(Q13&lt;=Settings!$D$26,"HIGH",IF(T13&lt;=Settings!$D$23,"HIGH",IF(T13&lt;=Settings!$D$24,"MEDIUM","LOW")))))</f>
        <v/>
      </c>
      <c r="AB13" s="31">
        <f>IF('Field Teams'!$I$5="Inactive",-1,IFERROR((6-T13)+(77-ROW())*0.0001,0))</f>
        <v/>
      </c>
      <c r="AC13" s="35">
        <f>IF('Field Teams'!$I$5="Inactive",999,IFERROR((6-T13)+(ROW()-3)*0.0001,99))</f>
        <v/>
      </c>
      <c r="AD13" s="31">
        <f>IF('Field Teams'!$I$14="Inactive",999,IFERROR(AB13+(ROW()-3)*0.0001,99))</f>
        <v/>
      </c>
      <c r="AE13" s="29" t="n">
        <v>0</v>
      </c>
      <c r="AF13" s="31">
        <f>IF('Field Teams'!$I$14="Inactive","",IF(AA13="HIGH","YES - within 5 working days",""))</f>
        <v/>
      </c>
      <c r="AG13" s="105" t="n"/>
      <c r="AH13" s="49">
        <f>IFERROR(SUMPRODUCT(ISNUMBER(SEARCH(B13,'Pole Results'!$A$13:$A$2000))*('Pole Results'!$B$13:$B$2000&gt;=$AG$3)*('Pole Results'!$B$13:$B$2000&lt;=$AE$3)),0)</f>
        <v/>
      </c>
      <c r="AI13" s="49">
        <f>IFERROR(SUMPRODUCT(ISNUMBER(SEARCH(B13,'Pole Results'!$A$13:$A$2000))*('Pole Results'!$B$13:$B$2000&gt;=$AG$3)*('Pole Results'!$B$13:$B$2000&lt;=$AE$3)*('Pole Results'!$E$13:$E$2000="Compliant")),0)</f>
        <v/>
      </c>
      <c r="AJ13" s="105" t="n"/>
      <c r="AK13" s="106">
        <f>IF('Field Teams'!$I$14="Inactive",-1,IF(AA13="HIGH",AB13,-1))</f>
        <v/>
      </c>
      <c r="AL13" s="106">
        <f>IF('Field Teams'!$I$14="Inactive",-1,IF(OR(AA13="HIGH",AA13="MEDIUM"),AB13,-1))</f>
        <v/>
      </c>
      <c r="AM13">
        <f>IF('Field Teams'!$I$14="Inactive","",IF(IFERROR(LOOKUP(2,1/('Historical Scores'!C14:N14&lt;&gt;""),'Historical Scores'!C14:N14),"")="","New",IF(T13=""," ",IF(T13&gt;IFERROR(LOOKUP(2,1/('Historical Scores'!C14:N14&lt;&gt;""),'Historical Scores'!C14:N14),""),"▲ Worsening",IF(T13&lt;IFERROR(LOOKUP(2,1/('Historical Scores'!C14:N14&lt;&gt;""),'Historical Scores'!C14:N14),""),"▼ Improving","► Stable")))))</f>
        <v/>
      </c>
      <c r="AN13">
        <f>IFERROR(SUMPRODUCT((ISNUMBER(SEARCH(B13,'Data - SSV'!AE$6:AE$3000)))*('Data - SSV'!AF$6:AF$3000&gt;=(AJ$3-90))*('Data - SSV'!AF$6:AF$3000&lt;=AJ$3)*('Data - SSV'!AH$6:AH$3000&lt;&gt;"")),0)</f>
        <v/>
      </c>
      <c r="AO13">
        <f>IF('Field Teams'!$I$14="Inactive","",IF(AN13=0,3,IF(AN13=1,IF(IFERROR(SUMPRODUCT((ISNUMBER(SEARCH(B13,'Data - SSV'!AE$6:AE$3000)))*('Data - SSV'!AF$6:AF$3000&gt;=(AJ$3-90))*('Data - SSV'!AF$6:AF$3000&lt;=AJ$3)*('Data - SSV'!AH$6:AH$3000&lt;&gt;"")*IF('Data - SSV'!AH$6:AH$3000="",0,'Data - SSV'!AH$6:AH$3000))/AN13,3)=4,4,IF(IFERROR(SUMPRODUCT((ISNUMBER(SEARCH(B13,'Data - SSV'!AE$6:AE$3000)))*('Data - SSV'!AF$6:AF$3000&gt;=(AJ$3-90))*('Data - SSV'!AF$6:AF$3000&lt;=AJ$3)*('Data - SSV'!AH$6:AH$3000&lt;&gt;"")*IF('Data - SSV'!AH$6:AH$3000="",0,'Data - SSV'!AH$6:AH$3000))/AN13,3)&gt;=3,3,IF(IFERROR(SUMPRODUCT((ISNUMBER(SEARCH(B13,'Data - SSV'!AE$6:AE$3000)))*('Data - SSV'!AF$6:AF$3000&gt;=(AJ$3-90))*('Data - SSV'!AF$6:AF$3000&lt;=AJ$3)*('Data - SSV'!AH$6:AH$3000&lt;&gt;"")*IF('Data - SSV'!AH$6:AH$3000="",0,'Data - SSV'!AH$6:AH$3000))/AN13,3)&gt;=2,2,1))),IF(IFERROR(SUMPRODUCT((ISNUMBER(SEARCH(B13,'Data - SSV'!AE$6:AE$3000)))*('Data - SSV'!AF$6:AF$3000&gt;=(AJ$3-90))*('Data - SSV'!AF$6:AF$3000&lt;=AJ$3)*('Data - SSV'!AH$6:AH$3000&lt;&gt;"")*IF('Data - SSV'!AH$6:AH$3000="",0,'Data - SSV'!AH$6:AH$3000))/AN13,3)=4,5,IF(IFERROR(SUMPRODUCT((ISNUMBER(SEARCH(B13,'Data - SSV'!AE$6:AE$3000)))*('Data - SSV'!AF$6:AF$3000&gt;=(AJ$3-90))*('Data - SSV'!AF$6:AF$3000&lt;=AJ$3)*('Data - SSV'!AH$6:AH$3000&lt;&gt;"")*IF('Data - SSV'!AH$6:AH$3000="",0,'Data - SSV'!AH$6:AH$3000))/AN13,3)&gt;=3.5,4,IF(IFERROR(SUMPRODUCT((ISNUMBER(SEARCH(B13,'Data - SSV'!AE$6:AE$3000)))*('Data - SSV'!AF$6:AF$3000&gt;=(AJ$3-90))*('Data - SSV'!AF$6:AF$3000&lt;=AJ$3)*('Data - SSV'!AH$6:AH$3000&lt;&gt;"")*IF('Data - SSV'!AH$6:AH$3000="",0,'Data - SSV'!AH$6:AH$3000))/AN13,3)&gt;=3,3,IF(IFERROR(SUMPRODUCT((ISNUMBER(SEARCH(B13,'Data - SSV'!AE$6:AE$3000)))*('Data - SSV'!AF$6:AF$3000&gt;=(AJ$3-90))*('Data - SSV'!AF$6:AF$3000&lt;=AJ$3)*('Data - SSV'!AH$6:AH$3000&lt;&gt;"")*IF('Data - SSV'!AH$6:AH$3000="",0,'Data - SSV'!AH$6:AH$3000))/AN13,3)&gt;=2,2,1)))))))</f>
        <v/>
      </c>
    </row>
    <row r="14" ht="19.5" customHeight="1" s="146">
      <c r="A14" s="10">
        <f>'Field Teams'!A15</f>
        <v/>
      </c>
      <c r="B14" s="30">
        <f>'Field Teams'!B15</f>
        <v/>
      </c>
      <c r="C14" s="30">
        <f>'Field Teams'!C15</f>
        <v/>
      </c>
      <c r="D14" s="10">
        <f>'Field Teams'!D15</f>
        <v/>
      </c>
      <c r="E14" s="10">
        <f>'Field Teams'!E15</f>
        <v/>
      </c>
      <c r="F14" s="10">
        <f>'Field Teams'!F15</f>
        <v/>
      </c>
      <c r="G14" s="10">
        <f>'Field Teams'!G15</f>
        <v/>
      </c>
      <c r="H14" s="31">
        <f>'Field Teams'!H15</f>
        <v/>
      </c>
      <c r="I14" s="31">
        <f>H14*2</f>
        <v/>
      </c>
      <c r="J14" s="31">
        <f>IFERROR(SUMPRODUCT((((ISNUMBER(SEARCH(B14,'Data - HSQE Events'!V$6:V$3000))+ISNUMBER(SEARCH(B14,'Data - HSQE Events'!H$6:H$3000)))&gt;0))*('Data - HSQE Events'!F$6:F$3000&gt;=$AG$3)*('Data - HSQE Events'!F$6:F$3000&lt;=$AJ$3)*('Data - HSQE Events'!R$6:R$3000="Opportunity")),0)</f>
        <v/>
      </c>
      <c r="K14" s="31">
        <f>IFERROR(SUMPRODUCT((((ISNUMBER(SEARCH(B14,'Data - HSQE Events'!V$6:V$3000))+ISNUMBER(SEARCH(B14,'Data - HSQE Events'!H$6:H$3000)))&gt;0))*('Data - HSQE Events'!F$6:F$3000&gt;=$AG$3)*('Data - HSQE Events'!F$6:F$3000&lt;=$AJ$3)*('Data - HSQE Events'!R$6:R$3000="Minor")),0)</f>
        <v/>
      </c>
      <c r="L14" s="31">
        <f>IFERROR(SUMPRODUCT((((ISNUMBER(SEARCH(B14,'Data - HSQE Events'!V$6:V$3000))+ISNUMBER(SEARCH(B14,'Data - HSQE Events'!H$6:H$3000)))&gt;0))*('Data - HSQE Events'!F$6:F$3000&gt;=$AG$3)*('Data - HSQE Events'!F$6:F$3000&lt;=$AJ$3)*(('Data - HSQE Events'!R$6:R$3000="Moderate")+('Data - HSQE Events'!R$6:R$3000="Major"))),0)</f>
        <v/>
      </c>
      <c r="M14" s="31">
        <f>IF(IFERROR(SUMPRODUCT((((ISNUMBER(SEARCH(B14,'Data - HSQE Events'!V$6:V$3000))+ISNUMBER(SEARCH(B14,'Data - HSQE Events'!H$6:H$3000)))&gt;0))*('Data - HSQE Events'!F$6:F$3000&gt;=$AG$3)*('Data - HSQE Events'!F$6:F$3000&lt;=$AJ$3)*('Data - HSQE Events'!R$6:R$3000="Major")),0)&gt;0,"YES","NO")</f>
        <v/>
      </c>
      <c r="N14" s="31">
        <f>IFERROR(SUMPRODUCT(('Data - Skillko'!B$6:B$3000=B14)*('Data - Skillko'!C$6:C$3000="Total")*('Data - Skillko'!E$6:E$3000))*100,0)</f>
        <v/>
      </c>
      <c r="O14" s="31">
        <f>ROUND(MAX(1,MIN(5,1+N14/100*4)),1)</f>
        <v/>
      </c>
      <c r="P14" s="31">
        <f>IFERROR(SUMPRODUCT(ISNUMBER(SEARCH(B14,'Pole Results'!$A$13:$A$2000))*('Pole Results'!$B$13:$B$2000&gt;=$AG$3)*('Pole Results'!$B$13:$B$2000&lt;=$AE$3)*('Pole Results'!$E$13:$E$2000="Non-Compliant")),0)</f>
        <v/>
      </c>
      <c r="Q14" s="31">
        <f>IF(I14=0,1,IFERROR(ROUND(MAX(1,MIN(5,1+J14/I14*4)),1),3))</f>
        <v/>
      </c>
      <c r="R14" s="31">
        <f>ROUND(6-MAX(MIN(5,K14*0.8+1),MIN(5,L14*2+1)),1)</f>
        <v/>
      </c>
      <c r="S14" s="49">
        <f>IFERROR(ROUND(MAX(1,MIN(5,5-(P14/MAX(1,AI14))*4)),1),5)</f>
        <v/>
      </c>
      <c r="T14" s="31">
        <f>IF('Field Teams'!$I$15="Inactive","",ROUND((Q14*Settings!$D$6+R14*Settings!$D$7+O14*Settings!$D$10+S14*Settings!$D$12+AO14*Settings!$D$13)/Settings!$D$14,1))</f>
        <v/>
      </c>
      <c r="U14" s="115">
        <f>IF('Field Teams'!$I$15="Inactive","",IF(Q14="","",IF(Q14&gt;=4.5,"★★★★★",IF(Q14&gt;=3.5,"★★★★☆",IF(Q14&gt;=2.5,"★★★☆☆",IF(Q14&gt;=1.5,"★★☆☆☆","★☆☆☆☆"))))))</f>
        <v/>
      </c>
      <c r="V14" s="115">
        <f>IF('Field Teams'!$I$15="Inactive","",IF(R14="","",IF(R14&gt;=4.5,"★★★★★",IF(R14&gt;=3.5,"★★★★☆",IF(R14&gt;=2.5,"★★★☆☆",IF(R14&gt;=1.5,"★★☆☆☆","★☆☆☆☆"))))))</f>
        <v/>
      </c>
      <c r="W14" s="115">
        <f>IF('Field Teams'!$I$15="Inactive","",IF(O14="","",IF(O14&gt;=4.5,"★★★★★",IF(O14&gt;=3.5,"★★★★☆",IF(O14&gt;=2.5,"★★★☆☆",IF(O14&gt;=1.5,"★★☆☆☆","★☆☆☆☆"))))))</f>
        <v/>
      </c>
      <c r="X14" s="115">
        <f>IF('Field Teams'!$I$15="Inactive","",IF(S14="","",IF(S14&gt;=4.5,"★★★★★",IF(S14&gt;=3.5,"★★★★☆",IF(S14&gt;=2.5,"★★★☆☆",IF(S14&gt;=1.5,"★★☆☆☆","★☆☆☆☆"))))))</f>
        <v/>
      </c>
      <c r="Y14" s="115">
        <f>IF('Field Teams'!$I$15="Inactive","",IF(AO14="","",IF(AO14&gt;=4.5,"★★★★★",IF(AO14&gt;=3.5,"★★★★☆",IF(AO14&gt;=2.5,"★★★☆☆",IF(AO14&gt;=1.5,"★★☆☆☆","★☆☆☆☆"))))))</f>
        <v/>
      </c>
      <c r="Z14" s="115">
        <f>IF('Field Teams'!$I$5="Inactive","",IF(T14="","",IF(T14&gt;=4.5,"★★★★★",IF(T14&gt;=3.5,"★★★★☆",IF(T14&gt;=2.5,"★★★☆☆",IF(T14&gt;=1.5,"★★☆☆☆","★☆☆☆☆"))))))</f>
        <v/>
      </c>
      <c r="AA14" s="31">
        <f>IF('Field Teams'!$I$15="Inactive","",IF(M14="YES","HIGH",IF(Q14&lt;=Settings!$D$26,"HIGH",IF(T14&lt;=Settings!$D$23,"HIGH",IF(T14&lt;=Settings!$D$24,"MEDIUM","LOW")))))</f>
        <v/>
      </c>
      <c r="AB14" s="31">
        <f>IF('Field Teams'!$I$5="Inactive",-1,IFERROR((6-T14)+(77-ROW())*0.0001,0))</f>
        <v/>
      </c>
      <c r="AC14" s="35">
        <f>IF('Field Teams'!$I$5="Inactive",999,IFERROR((6-T14)+(ROW()-3)*0.0001,99))</f>
        <v/>
      </c>
      <c r="AD14" s="31">
        <f>IF('Field Teams'!$I$15="Inactive",999,IFERROR(AB14+(ROW()-3)*0.0001,99))</f>
        <v/>
      </c>
      <c r="AE14" s="29" t="n">
        <v>0</v>
      </c>
      <c r="AF14" s="31">
        <f>IF('Field Teams'!$I$15="Inactive","",IF(AA14="HIGH","YES - within 5 working days",""))</f>
        <v/>
      </c>
      <c r="AG14" s="105" t="n"/>
      <c r="AH14" s="49">
        <f>IFERROR(SUMPRODUCT(ISNUMBER(SEARCH(B14,'Pole Results'!$A$13:$A$2000))*('Pole Results'!$B$13:$B$2000&gt;=$AG$3)*('Pole Results'!$B$13:$B$2000&lt;=$AE$3)),0)</f>
        <v/>
      </c>
      <c r="AI14" s="49">
        <f>IFERROR(SUMPRODUCT(ISNUMBER(SEARCH(B14,'Pole Results'!$A$13:$A$2000))*('Pole Results'!$B$13:$B$2000&gt;=$AG$3)*('Pole Results'!$B$13:$B$2000&lt;=$AE$3)*('Pole Results'!$E$13:$E$2000="Compliant")),0)</f>
        <v/>
      </c>
      <c r="AJ14" s="105" t="n"/>
      <c r="AK14" s="106">
        <f>IF('Field Teams'!$I$15="Inactive",-1,IF(AA14="HIGH",AB14,-1))</f>
        <v/>
      </c>
      <c r="AL14" s="106">
        <f>IF('Field Teams'!$I$15="Inactive",-1,IF(OR(AA14="HIGH",AA14="MEDIUM"),AB14,-1))</f>
        <v/>
      </c>
      <c r="AM14">
        <f>IF('Field Teams'!$I$15="Inactive","",IF(IFERROR(LOOKUP(2,1/('Historical Scores'!C15:N15&lt;&gt;""),'Historical Scores'!C15:N15),"")="","New",IF(T14=""," ",IF(T14&gt;IFERROR(LOOKUP(2,1/('Historical Scores'!C15:N15&lt;&gt;""),'Historical Scores'!C15:N15),""),"▲ Worsening",IF(T14&lt;IFERROR(LOOKUP(2,1/('Historical Scores'!C15:N15&lt;&gt;""),'Historical Scores'!C15:N15),""),"▼ Improving","► Stable")))))</f>
        <v/>
      </c>
      <c r="AN14">
        <f>IFERROR(SUMPRODUCT((ISNUMBER(SEARCH(B14,'Data - SSV'!AE$6:AE$3000)))*('Data - SSV'!AF$6:AF$3000&gt;=(AJ$3-90))*('Data - SSV'!AF$6:AF$3000&lt;=AJ$3)*('Data - SSV'!AH$6:AH$3000&lt;&gt;"")),0)</f>
        <v/>
      </c>
      <c r="AO14">
        <f>IF('Field Teams'!$I$15="Inactive","",IF(AN14=0,3,IF(AN14=1,IF(IFERROR(SUMPRODUCT((ISNUMBER(SEARCH(B14,'Data - SSV'!AE$6:AE$3000)))*('Data - SSV'!AF$6:AF$3000&gt;=(AJ$3-90))*('Data - SSV'!AF$6:AF$3000&lt;=AJ$3)*('Data - SSV'!AH$6:AH$3000&lt;&gt;"")*IF('Data - SSV'!AH$6:AH$3000="",0,'Data - SSV'!AH$6:AH$3000))/AN14,3)=4,4,IF(IFERROR(SUMPRODUCT((ISNUMBER(SEARCH(B14,'Data - SSV'!AE$6:AE$3000)))*('Data - SSV'!AF$6:AF$3000&gt;=(AJ$3-90))*('Data - SSV'!AF$6:AF$3000&lt;=AJ$3)*('Data - SSV'!AH$6:AH$3000&lt;&gt;"")*IF('Data - SSV'!AH$6:AH$3000="",0,'Data - SSV'!AH$6:AH$3000))/AN14,3)&gt;=3,3,IF(IFERROR(SUMPRODUCT((ISNUMBER(SEARCH(B14,'Data - SSV'!AE$6:AE$3000)))*('Data - SSV'!AF$6:AF$3000&gt;=(AJ$3-90))*('Data - SSV'!AF$6:AF$3000&lt;=AJ$3)*('Data - SSV'!AH$6:AH$3000&lt;&gt;"")*IF('Data - SSV'!AH$6:AH$3000="",0,'Data - SSV'!AH$6:AH$3000))/AN14,3)&gt;=2,2,1))),IF(IFERROR(SUMPRODUCT((ISNUMBER(SEARCH(B14,'Data - SSV'!AE$6:AE$3000)))*('Data - SSV'!AF$6:AF$3000&gt;=(AJ$3-90))*('Data - SSV'!AF$6:AF$3000&lt;=AJ$3)*('Data - SSV'!AH$6:AH$3000&lt;&gt;"")*IF('Data - SSV'!AH$6:AH$3000="",0,'Data - SSV'!AH$6:AH$3000))/AN14,3)=4,5,IF(IFERROR(SUMPRODUCT((ISNUMBER(SEARCH(B14,'Data - SSV'!AE$6:AE$3000)))*('Data - SSV'!AF$6:AF$3000&gt;=(AJ$3-90))*('Data - SSV'!AF$6:AF$3000&lt;=AJ$3)*('Data - SSV'!AH$6:AH$3000&lt;&gt;"")*IF('Data - SSV'!AH$6:AH$3000="",0,'Data - SSV'!AH$6:AH$3000))/AN14,3)&gt;=3.5,4,IF(IFERROR(SUMPRODUCT((ISNUMBER(SEARCH(B14,'Data - SSV'!AE$6:AE$3000)))*('Data - SSV'!AF$6:AF$3000&gt;=(AJ$3-90))*('Data - SSV'!AF$6:AF$3000&lt;=AJ$3)*('Data - SSV'!AH$6:AH$3000&lt;&gt;"")*IF('Data - SSV'!AH$6:AH$3000="",0,'Data - SSV'!AH$6:AH$3000))/AN14,3)&gt;=3,3,IF(IFERROR(SUMPRODUCT((ISNUMBER(SEARCH(B14,'Data - SSV'!AE$6:AE$3000)))*('Data - SSV'!AF$6:AF$3000&gt;=(AJ$3-90))*('Data - SSV'!AF$6:AF$3000&lt;=AJ$3)*('Data - SSV'!AH$6:AH$3000&lt;&gt;"")*IF('Data - SSV'!AH$6:AH$3000="",0,'Data - SSV'!AH$6:AH$3000))/AN14,3)&gt;=2,2,1)))))))</f>
        <v/>
      </c>
    </row>
    <row r="15" ht="19.5" customHeight="1" s="146">
      <c r="A15" s="6">
        <f>'Field Teams'!A16</f>
        <v/>
      </c>
      <c r="B15" s="28">
        <f>'Field Teams'!B16</f>
        <v/>
      </c>
      <c r="C15" s="28">
        <f>'Field Teams'!C16</f>
        <v/>
      </c>
      <c r="D15" s="6">
        <f>'Field Teams'!D16</f>
        <v/>
      </c>
      <c r="E15" s="6">
        <f>'Field Teams'!E16</f>
        <v/>
      </c>
      <c r="F15" s="6">
        <f>'Field Teams'!F16</f>
        <v/>
      </c>
      <c r="G15" s="6">
        <f>'Field Teams'!G16</f>
        <v/>
      </c>
      <c r="H15" s="31">
        <f>'Field Teams'!H16</f>
        <v/>
      </c>
      <c r="I15" s="31">
        <f>H15*2</f>
        <v/>
      </c>
      <c r="J15" s="31">
        <f>IFERROR(SUMPRODUCT((((ISNUMBER(SEARCH(B15,'Data - HSQE Events'!V$6:V$3000))+ISNUMBER(SEARCH(B15,'Data - HSQE Events'!H$6:H$3000)))&gt;0))*('Data - HSQE Events'!F$6:F$3000&gt;=$AG$3)*('Data - HSQE Events'!F$6:F$3000&lt;=$AJ$3)*('Data - HSQE Events'!R$6:R$3000="Opportunity")),0)</f>
        <v/>
      </c>
      <c r="K15" s="31">
        <f>IFERROR(SUMPRODUCT((((ISNUMBER(SEARCH(B15,'Data - HSQE Events'!V$6:V$3000))+ISNUMBER(SEARCH(B15,'Data - HSQE Events'!H$6:H$3000)))&gt;0))*('Data - HSQE Events'!F$6:F$3000&gt;=$AG$3)*('Data - HSQE Events'!F$6:F$3000&lt;=$AJ$3)*('Data - HSQE Events'!R$6:R$3000="Minor")),0)</f>
        <v/>
      </c>
      <c r="L15" s="31">
        <f>IFERROR(SUMPRODUCT((((ISNUMBER(SEARCH(B15,'Data - HSQE Events'!V$6:V$3000))+ISNUMBER(SEARCH(B15,'Data - HSQE Events'!H$6:H$3000)))&gt;0))*('Data - HSQE Events'!F$6:F$3000&gt;=$AG$3)*('Data - HSQE Events'!F$6:F$3000&lt;=$AJ$3)*(('Data - HSQE Events'!R$6:R$3000="Moderate")+('Data - HSQE Events'!R$6:R$3000="Major"))),0)</f>
        <v/>
      </c>
      <c r="M15" s="31">
        <f>IF(IFERROR(SUMPRODUCT((((ISNUMBER(SEARCH(B15,'Data - HSQE Events'!V$6:V$3000))+ISNUMBER(SEARCH(B15,'Data - HSQE Events'!H$6:H$3000)))&gt;0))*('Data - HSQE Events'!F$6:F$3000&gt;=$AG$3)*('Data - HSQE Events'!F$6:F$3000&lt;=$AJ$3)*('Data - HSQE Events'!R$6:R$3000="Major")),0)&gt;0,"YES","NO")</f>
        <v/>
      </c>
      <c r="N15" s="31">
        <f>IFERROR(SUMPRODUCT(('Data - Skillko'!B$6:B$3000=B15)*('Data - Skillko'!C$6:C$3000="Total")*('Data - Skillko'!E$6:E$3000))*100,0)</f>
        <v/>
      </c>
      <c r="O15" s="31">
        <f>ROUND(MAX(1,MIN(5,1+N15/100*4)),1)</f>
        <v/>
      </c>
      <c r="P15" s="31">
        <f>IFERROR(SUMPRODUCT(ISNUMBER(SEARCH(B15,'Pole Results'!$A$13:$A$2000))*('Pole Results'!$B$13:$B$2000&gt;=$AG$3)*('Pole Results'!$B$13:$B$2000&lt;=$AE$3)*('Pole Results'!$E$13:$E$2000="Non-Compliant")),0)</f>
        <v/>
      </c>
      <c r="Q15" s="31">
        <f>IF(I15=0,1,IFERROR(ROUND(MAX(1,MIN(5,1+J15/I15*4)),1),3))</f>
        <v/>
      </c>
      <c r="R15" s="31">
        <f>ROUND(6-MAX(MIN(5,K15*0.8+1),MIN(5,L15*2+1)),1)</f>
        <v/>
      </c>
      <c r="S15" s="49">
        <f>IFERROR(ROUND(MAX(1,MIN(5,5-(P15/MAX(1,AI15))*4)),1),5)</f>
        <v/>
      </c>
      <c r="T15" s="31">
        <f>IF('Field Teams'!$I$16="Inactive","",ROUND((Q15*Settings!$D$6+R15*Settings!$D$7+O15*Settings!$D$10+S15*Settings!$D$12+AO15*Settings!$D$13)/Settings!$D$14,1))</f>
        <v/>
      </c>
      <c r="U15" s="115">
        <f>IF('Field Teams'!$I$16="Inactive","",IF(Q15="","",IF(Q15&gt;=4.5,"★★★★★",IF(Q15&gt;=3.5,"★★★★☆",IF(Q15&gt;=2.5,"★★★☆☆",IF(Q15&gt;=1.5,"★★☆☆☆","★☆☆☆☆"))))))</f>
        <v/>
      </c>
      <c r="V15" s="115">
        <f>IF('Field Teams'!$I$16="Inactive","",IF(R15="","",IF(R15&gt;=4.5,"★★★★★",IF(R15&gt;=3.5,"★★★★☆",IF(R15&gt;=2.5,"★★★☆☆",IF(R15&gt;=1.5,"★★☆☆☆","★☆☆☆☆"))))))</f>
        <v/>
      </c>
      <c r="W15" s="115">
        <f>IF('Field Teams'!$I$16="Inactive","",IF(O15="","",IF(O15&gt;=4.5,"★★★★★",IF(O15&gt;=3.5,"★★★★☆",IF(O15&gt;=2.5,"★★★☆☆",IF(O15&gt;=1.5,"★★☆☆☆","★☆☆☆☆"))))))</f>
        <v/>
      </c>
      <c r="X15" s="115">
        <f>IF('Field Teams'!$I$16="Inactive","",IF(S15="","",IF(S15&gt;=4.5,"★★★★★",IF(S15&gt;=3.5,"★★★★☆",IF(S15&gt;=2.5,"★★★☆☆",IF(S15&gt;=1.5,"★★☆☆☆","★☆☆☆☆"))))))</f>
        <v/>
      </c>
      <c r="Y15" s="115">
        <f>IF('Field Teams'!$I$16="Inactive","",IF(AO15="","",IF(AO15&gt;=4.5,"★★★★★",IF(AO15&gt;=3.5,"★★★★☆",IF(AO15&gt;=2.5,"★★★☆☆",IF(AO15&gt;=1.5,"★★☆☆☆","★☆☆☆☆"))))))</f>
        <v/>
      </c>
      <c r="Z15" s="115">
        <f>IF('Field Teams'!$I$5="Inactive","",IF(T15="","",IF(T15&gt;=4.5,"★★★★★",IF(T15&gt;=3.5,"★★★★☆",IF(T15&gt;=2.5,"★★★☆☆",IF(T15&gt;=1.5,"★★☆☆☆","★☆☆☆☆"))))))</f>
        <v/>
      </c>
      <c r="AA15" s="31">
        <f>IF('Field Teams'!$I$16="Inactive","",IF(M15="YES","HIGH",IF(Q15&lt;=Settings!$D$26,"HIGH",IF(T15&lt;=Settings!$D$23,"HIGH",IF(T15&lt;=Settings!$D$24,"MEDIUM","LOW")))))</f>
        <v/>
      </c>
      <c r="AB15" s="31">
        <f>IF('Field Teams'!$I$5="Inactive",-1,IFERROR((6-T15)+(77-ROW())*0.0001,0))</f>
        <v/>
      </c>
      <c r="AC15" s="35">
        <f>IF('Field Teams'!$I$5="Inactive",999,IFERROR((6-T15)+(ROW()-3)*0.0001,99))</f>
        <v/>
      </c>
      <c r="AD15" s="31">
        <f>IF('Field Teams'!$I$16="Inactive",999,IFERROR(AB15+(ROW()-3)*0.0001,99))</f>
        <v/>
      </c>
      <c r="AE15" s="29" t="n">
        <v>0</v>
      </c>
      <c r="AF15" s="31">
        <f>IF('Field Teams'!$I$16="Inactive","",IF(AA15="HIGH","YES - within 5 working days",""))</f>
        <v/>
      </c>
      <c r="AG15" s="105" t="n"/>
      <c r="AH15" s="49">
        <f>IFERROR(SUMPRODUCT(ISNUMBER(SEARCH(B15,'Pole Results'!$A$13:$A$2000))*('Pole Results'!$B$13:$B$2000&gt;=$AG$3)*('Pole Results'!$B$13:$B$2000&lt;=$AE$3)),0)</f>
        <v/>
      </c>
      <c r="AI15" s="49">
        <f>IFERROR(SUMPRODUCT(ISNUMBER(SEARCH(B15,'Pole Results'!$A$13:$A$2000))*('Pole Results'!$B$13:$B$2000&gt;=$AG$3)*('Pole Results'!$B$13:$B$2000&lt;=$AE$3)*('Pole Results'!$E$13:$E$2000="Compliant")),0)</f>
        <v/>
      </c>
      <c r="AJ15" s="105" t="n"/>
      <c r="AK15" s="106">
        <f>IF('Field Teams'!$I$16="Inactive",-1,IF(AA15="HIGH",AB15,-1))</f>
        <v/>
      </c>
      <c r="AL15" s="106">
        <f>IF('Field Teams'!$I$16="Inactive",-1,IF(OR(AA15="HIGH",AA15="MEDIUM"),AB15,-1))</f>
        <v/>
      </c>
      <c r="AM15">
        <f>IF('Field Teams'!$I$16="Inactive","",IF(IFERROR(LOOKUP(2,1/('Historical Scores'!C16:N16&lt;&gt;""),'Historical Scores'!C16:N16),"")="","New",IF(T15=""," ",IF(T15&gt;IFERROR(LOOKUP(2,1/('Historical Scores'!C16:N16&lt;&gt;""),'Historical Scores'!C16:N16),""),"▲ Worsening",IF(T15&lt;IFERROR(LOOKUP(2,1/('Historical Scores'!C16:N16&lt;&gt;""),'Historical Scores'!C16:N16),""),"▼ Improving","► Stable")))))</f>
        <v/>
      </c>
      <c r="AN15">
        <f>IFERROR(SUMPRODUCT((ISNUMBER(SEARCH(B15,'Data - SSV'!AE$6:AE$3000)))*('Data - SSV'!AF$6:AF$3000&gt;=(AJ$3-90))*('Data - SSV'!AF$6:AF$3000&lt;=AJ$3)*('Data - SSV'!AH$6:AH$3000&lt;&gt;"")),0)</f>
        <v/>
      </c>
      <c r="AO15">
        <f>IF('Field Teams'!$I$16="Inactive","",IF(AN15=0,3,IF(AN15=1,IF(IFERROR(SUMPRODUCT((ISNUMBER(SEARCH(B15,'Data - SSV'!AE$6:AE$3000)))*('Data - SSV'!AF$6:AF$3000&gt;=(AJ$3-90))*('Data - SSV'!AF$6:AF$3000&lt;=AJ$3)*('Data - SSV'!AH$6:AH$3000&lt;&gt;"")*IF('Data - SSV'!AH$6:AH$3000="",0,'Data - SSV'!AH$6:AH$3000))/AN15,3)=4,4,IF(IFERROR(SUMPRODUCT((ISNUMBER(SEARCH(B15,'Data - SSV'!AE$6:AE$3000)))*('Data - SSV'!AF$6:AF$3000&gt;=(AJ$3-90))*('Data - SSV'!AF$6:AF$3000&lt;=AJ$3)*('Data - SSV'!AH$6:AH$3000&lt;&gt;"")*IF('Data - SSV'!AH$6:AH$3000="",0,'Data - SSV'!AH$6:AH$3000))/AN15,3)&gt;=3,3,IF(IFERROR(SUMPRODUCT((ISNUMBER(SEARCH(B15,'Data - SSV'!AE$6:AE$3000)))*('Data - SSV'!AF$6:AF$3000&gt;=(AJ$3-90))*('Data - SSV'!AF$6:AF$3000&lt;=AJ$3)*('Data - SSV'!AH$6:AH$3000&lt;&gt;"")*IF('Data - SSV'!AH$6:AH$3000="",0,'Data - SSV'!AH$6:AH$3000))/AN15,3)&gt;=2,2,1))),IF(IFERROR(SUMPRODUCT((ISNUMBER(SEARCH(B15,'Data - SSV'!AE$6:AE$3000)))*('Data - SSV'!AF$6:AF$3000&gt;=(AJ$3-90))*('Data - SSV'!AF$6:AF$3000&lt;=AJ$3)*('Data - SSV'!AH$6:AH$3000&lt;&gt;"")*IF('Data - SSV'!AH$6:AH$3000="",0,'Data - SSV'!AH$6:AH$3000))/AN15,3)=4,5,IF(IFERROR(SUMPRODUCT((ISNUMBER(SEARCH(B15,'Data - SSV'!AE$6:AE$3000)))*('Data - SSV'!AF$6:AF$3000&gt;=(AJ$3-90))*('Data - SSV'!AF$6:AF$3000&lt;=AJ$3)*('Data - SSV'!AH$6:AH$3000&lt;&gt;"")*IF('Data - SSV'!AH$6:AH$3000="",0,'Data - SSV'!AH$6:AH$3000))/AN15,3)&gt;=3.5,4,IF(IFERROR(SUMPRODUCT((ISNUMBER(SEARCH(B15,'Data - SSV'!AE$6:AE$3000)))*('Data - SSV'!AF$6:AF$3000&gt;=(AJ$3-90))*('Data - SSV'!AF$6:AF$3000&lt;=AJ$3)*('Data - SSV'!AH$6:AH$3000&lt;&gt;"")*IF('Data - SSV'!AH$6:AH$3000="",0,'Data - SSV'!AH$6:AH$3000))/AN15,3)&gt;=3,3,IF(IFERROR(SUMPRODUCT((ISNUMBER(SEARCH(B15,'Data - SSV'!AE$6:AE$3000)))*('Data - SSV'!AF$6:AF$3000&gt;=(AJ$3-90))*('Data - SSV'!AF$6:AF$3000&lt;=AJ$3)*('Data - SSV'!AH$6:AH$3000&lt;&gt;"")*IF('Data - SSV'!AH$6:AH$3000="",0,'Data - SSV'!AH$6:AH$3000))/AN15,3)&gt;=2,2,1)))))))</f>
        <v/>
      </c>
    </row>
    <row r="16" ht="19.5" customHeight="1" s="146">
      <c r="A16" s="10">
        <f>'Field Teams'!A17</f>
        <v/>
      </c>
      <c r="B16" s="30">
        <f>'Field Teams'!B17</f>
        <v/>
      </c>
      <c r="C16" s="30">
        <f>'Field Teams'!C17</f>
        <v/>
      </c>
      <c r="D16" s="10">
        <f>'Field Teams'!D17</f>
        <v/>
      </c>
      <c r="E16" s="10">
        <f>'Field Teams'!E17</f>
        <v/>
      </c>
      <c r="F16" s="10">
        <f>'Field Teams'!F17</f>
        <v/>
      </c>
      <c r="G16" s="10">
        <f>'Field Teams'!G17</f>
        <v/>
      </c>
      <c r="H16" s="31">
        <f>'Field Teams'!H17</f>
        <v/>
      </c>
      <c r="I16" s="31">
        <f>H16*2</f>
        <v/>
      </c>
      <c r="J16" s="31">
        <f>IFERROR(SUMPRODUCT((((ISNUMBER(SEARCH(B16,'Data - HSQE Events'!V$6:V$3000))+ISNUMBER(SEARCH(B16,'Data - HSQE Events'!H$6:H$3000)))&gt;0))*('Data - HSQE Events'!F$6:F$3000&gt;=$AG$3)*('Data - HSQE Events'!F$6:F$3000&lt;=$AJ$3)*('Data - HSQE Events'!R$6:R$3000="Opportunity")),0)</f>
        <v/>
      </c>
      <c r="K16" s="31">
        <f>IFERROR(SUMPRODUCT((((ISNUMBER(SEARCH(B16,'Data - HSQE Events'!V$6:V$3000))+ISNUMBER(SEARCH(B16,'Data - HSQE Events'!H$6:H$3000)))&gt;0))*('Data - HSQE Events'!F$6:F$3000&gt;=$AG$3)*('Data - HSQE Events'!F$6:F$3000&lt;=$AJ$3)*('Data - HSQE Events'!R$6:R$3000="Minor")),0)</f>
        <v/>
      </c>
      <c r="L16" s="31">
        <f>IFERROR(SUMPRODUCT((((ISNUMBER(SEARCH(B16,'Data - HSQE Events'!V$6:V$3000))+ISNUMBER(SEARCH(B16,'Data - HSQE Events'!H$6:H$3000)))&gt;0))*('Data - HSQE Events'!F$6:F$3000&gt;=$AG$3)*('Data - HSQE Events'!F$6:F$3000&lt;=$AJ$3)*(('Data - HSQE Events'!R$6:R$3000="Moderate")+('Data - HSQE Events'!R$6:R$3000="Major"))),0)</f>
        <v/>
      </c>
      <c r="M16" s="31">
        <f>IF(IFERROR(SUMPRODUCT((((ISNUMBER(SEARCH(B16,'Data - HSQE Events'!V$6:V$3000))+ISNUMBER(SEARCH(B16,'Data - HSQE Events'!H$6:H$3000)))&gt;0))*('Data - HSQE Events'!F$6:F$3000&gt;=$AG$3)*('Data - HSQE Events'!F$6:F$3000&lt;=$AJ$3)*('Data - HSQE Events'!R$6:R$3000="Major")),0)&gt;0,"YES","NO")</f>
        <v/>
      </c>
      <c r="N16" s="31">
        <f>IFERROR(SUMPRODUCT(('Data - Skillko'!B$6:B$3000=B16)*('Data - Skillko'!C$6:C$3000="Total")*('Data - Skillko'!E$6:E$3000))*100,0)</f>
        <v/>
      </c>
      <c r="O16" s="31">
        <f>ROUND(MAX(1,MIN(5,1+N16/100*4)),1)</f>
        <v/>
      </c>
      <c r="P16" s="31">
        <f>IFERROR(SUMPRODUCT(ISNUMBER(SEARCH(B16,'Pole Results'!$A$13:$A$2000))*('Pole Results'!$B$13:$B$2000&gt;=$AG$3)*('Pole Results'!$B$13:$B$2000&lt;=$AE$3)*('Pole Results'!$E$13:$E$2000="Non-Compliant")),0)</f>
        <v/>
      </c>
      <c r="Q16" s="31">
        <f>IF(I16=0,1,IFERROR(ROUND(MAX(1,MIN(5,1+J16/I16*4)),1),3))</f>
        <v/>
      </c>
      <c r="R16" s="31">
        <f>ROUND(6-MAX(MIN(5,K16*0.8+1),MIN(5,L16*2+1)),1)</f>
        <v/>
      </c>
      <c r="S16" s="49">
        <f>IFERROR(ROUND(MAX(1,MIN(5,5-(P16/MAX(1,AI16))*4)),1),5)</f>
        <v/>
      </c>
      <c r="T16" s="31">
        <f>IF('Field Teams'!$I$17="Inactive","",ROUND((Q16*Settings!$D$6+R16*Settings!$D$7+O16*Settings!$D$10+S16*Settings!$D$12+AO16*Settings!$D$13)/Settings!$D$14,1))</f>
        <v/>
      </c>
      <c r="U16" s="115">
        <f>IF('Field Teams'!$I$17="Inactive","",IF(Q16="","",IF(Q16&gt;=4.5,"★★★★★",IF(Q16&gt;=3.5,"★★★★☆",IF(Q16&gt;=2.5,"★★★☆☆",IF(Q16&gt;=1.5,"★★☆☆☆","★☆☆☆☆"))))))</f>
        <v/>
      </c>
      <c r="V16" s="115">
        <f>IF('Field Teams'!$I$17="Inactive","",IF(R16="","",IF(R16&gt;=4.5,"★★★★★",IF(R16&gt;=3.5,"★★★★☆",IF(R16&gt;=2.5,"★★★☆☆",IF(R16&gt;=1.5,"★★☆☆☆","★☆☆☆☆"))))))</f>
        <v/>
      </c>
      <c r="W16" s="115">
        <f>IF('Field Teams'!$I$17="Inactive","",IF(O16="","",IF(O16&gt;=4.5,"★★★★★",IF(O16&gt;=3.5,"★★★★☆",IF(O16&gt;=2.5,"★★★☆☆",IF(O16&gt;=1.5,"★★☆☆☆","★☆☆☆☆"))))))</f>
        <v/>
      </c>
      <c r="X16" s="115">
        <f>IF('Field Teams'!$I$17="Inactive","",IF(S16="","",IF(S16&gt;=4.5,"★★★★★",IF(S16&gt;=3.5,"★★★★☆",IF(S16&gt;=2.5,"★★★☆☆",IF(S16&gt;=1.5,"★★☆☆☆","★☆☆☆☆"))))))</f>
        <v/>
      </c>
      <c r="Y16" s="115">
        <f>IF('Field Teams'!$I$17="Inactive","",IF(AO16="","",IF(AO16&gt;=4.5,"★★★★★",IF(AO16&gt;=3.5,"★★★★☆",IF(AO16&gt;=2.5,"★★★☆☆",IF(AO16&gt;=1.5,"★★☆☆☆","★☆☆☆☆"))))))</f>
        <v/>
      </c>
      <c r="Z16" s="115">
        <f>IF('Field Teams'!$I$5="Inactive","",IF(T16="","",IF(T16&gt;=4.5,"★★★★★",IF(T16&gt;=3.5,"★★★★☆",IF(T16&gt;=2.5,"★★★☆☆",IF(T16&gt;=1.5,"★★☆☆☆","★☆☆☆☆"))))))</f>
        <v/>
      </c>
      <c r="AA16" s="31">
        <f>IF('Field Teams'!$I$17="Inactive","",IF(M16="YES","HIGH",IF(Q16&lt;=Settings!$D$26,"HIGH",IF(T16&lt;=Settings!$D$23,"HIGH",IF(T16&lt;=Settings!$D$24,"MEDIUM","LOW")))))</f>
        <v/>
      </c>
      <c r="AB16" s="31">
        <f>IF('Field Teams'!$I$5="Inactive",-1,IFERROR((6-T16)+(77-ROW())*0.0001,0))</f>
        <v/>
      </c>
      <c r="AC16" s="35">
        <f>IF('Field Teams'!$I$5="Inactive",999,IFERROR((6-T16)+(ROW()-3)*0.0001,99))</f>
        <v/>
      </c>
      <c r="AD16" s="31">
        <f>IF('Field Teams'!$I$17="Inactive",999,IFERROR(AB16+(ROW()-3)*0.0001,99))</f>
        <v/>
      </c>
      <c r="AE16" s="29" t="n">
        <v>0</v>
      </c>
      <c r="AF16" s="31">
        <f>IF('Field Teams'!$I$17="Inactive","",IF(AA16="HIGH","YES - within 5 working days",""))</f>
        <v/>
      </c>
      <c r="AG16" s="105" t="n"/>
      <c r="AH16" s="49">
        <f>IFERROR(SUMPRODUCT(ISNUMBER(SEARCH(B16,'Pole Results'!$A$13:$A$2000))*('Pole Results'!$B$13:$B$2000&gt;=$AG$3)*('Pole Results'!$B$13:$B$2000&lt;=$AE$3)),0)</f>
        <v/>
      </c>
      <c r="AI16" s="49">
        <f>IFERROR(SUMPRODUCT(ISNUMBER(SEARCH(B16,'Pole Results'!$A$13:$A$2000))*('Pole Results'!$B$13:$B$2000&gt;=$AG$3)*('Pole Results'!$B$13:$B$2000&lt;=$AE$3)*('Pole Results'!$E$13:$E$2000="Compliant")),0)</f>
        <v/>
      </c>
      <c r="AJ16" s="105" t="n"/>
      <c r="AK16" s="106">
        <f>IF('Field Teams'!$I$17="Inactive",-1,IF(AA16="HIGH",AB16,-1))</f>
        <v/>
      </c>
      <c r="AL16" s="106">
        <f>IF('Field Teams'!$I$17="Inactive",-1,IF(OR(AA16="HIGH",AA16="MEDIUM"),AB16,-1))</f>
        <v/>
      </c>
      <c r="AM16">
        <f>IF('Field Teams'!$I$17="Inactive","",IF(IFERROR(LOOKUP(2,1/('Historical Scores'!C17:N17&lt;&gt;""),'Historical Scores'!C17:N17),"")="","New",IF(T16=""," ",IF(T16&gt;IFERROR(LOOKUP(2,1/('Historical Scores'!C17:N17&lt;&gt;""),'Historical Scores'!C17:N17),""),"▲ Worsening",IF(T16&lt;IFERROR(LOOKUP(2,1/('Historical Scores'!C17:N17&lt;&gt;""),'Historical Scores'!C17:N17),""),"▼ Improving","► Stable")))))</f>
        <v/>
      </c>
      <c r="AN16">
        <f>IFERROR(SUMPRODUCT((ISNUMBER(SEARCH(B16,'Data - SSV'!AE$6:AE$3000)))*('Data - SSV'!AF$6:AF$3000&gt;=(AJ$3-90))*('Data - SSV'!AF$6:AF$3000&lt;=AJ$3)*('Data - SSV'!AH$6:AH$3000&lt;&gt;"")),0)</f>
        <v/>
      </c>
      <c r="AO16">
        <f>IF('Field Teams'!$I$17="Inactive","",IF(AN16=0,3,IF(AN16=1,IF(IFERROR(SUMPRODUCT((ISNUMBER(SEARCH(B16,'Data - SSV'!AE$6:AE$3000)))*('Data - SSV'!AF$6:AF$3000&gt;=(AJ$3-90))*('Data - SSV'!AF$6:AF$3000&lt;=AJ$3)*('Data - SSV'!AH$6:AH$3000&lt;&gt;"")*IF('Data - SSV'!AH$6:AH$3000="",0,'Data - SSV'!AH$6:AH$3000))/AN16,3)=4,4,IF(IFERROR(SUMPRODUCT((ISNUMBER(SEARCH(B16,'Data - SSV'!AE$6:AE$3000)))*('Data - SSV'!AF$6:AF$3000&gt;=(AJ$3-90))*('Data - SSV'!AF$6:AF$3000&lt;=AJ$3)*('Data - SSV'!AH$6:AH$3000&lt;&gt;"")*IF('Data - SSV'!AH$6:AH$3000="",0,'Data - SSV'!AH$6:AH$3000))/AN16,3)&gt;=3,3,IF(IFERROR(SUMPRODUCT((ISNUMBER(SEARCH(B16,'Data - SSV'!AE$6:AE$3000)))*('Data - SSV'!AF$6:AF$3000&gt;=(AJ$3-90))*('Data - SSV'!AF$6:AF$3000&lt;=AJ$3)*('Data - SSV'!AH$6:AH$3000&lt;&gt;"")*IF('Data - SSV'!AH$6:AH$3000="",0,'Data - SSV'!AH$6:AH$3000))/AN16,3)&gt;=2,2,1))),IF(IFERROR(SUMPRODUCT((ISNUMBER(SEARCH(B16,'Data - SSV'!AE$6:AE$3000)))*('Data - SSV'!AF$6:AF$3000&gt;=(AJ$3-90))*('Data - SSV'!AF$6:AF$3000&lt;=AJ$3)*('Data - SSV'!AH$6:AH$3000&lt;&gt;"")*IF('Data - SSV'!AH$6:AH$3000="",0,'Data - SSV'!AH$6:AH$3000))/AN16,3)=4,5,IF(IFERROR(SUMPRODUCT((ISNUMBER(SEARCH(B16,'Data - SSV'!AE$6:AE$3000)))*('Data - SSV'!AF$6:AF$3000&gt;=(AJ$3-90))*('Data - SSV'!AF$6:AF$3000&lt;=AJ$3)*('Data - SSV'!AH$6:AH$3000&lt;&gt;"")*IF('Data - SSV'!AH$6:AH$3000="",0,'Data - SSV'!AH$6:AH$3000))/AN16,3)&gt;=3.5,4,IF(IFERROR(SUMPRODUCT((ISNUMBER(SEARCH(B16,'Data - SSV'!AE$6:AE$3000)))*('Data - SSV'!AF$6:AF$3000&gt;=(AJ$3-90))*('Data - SSV'!AF$6:AF$3000&lt;=AJ$3)*('Data - SSV'!AH$6:AH$3000&lt;&gt;"")*IF('Data - SSV'!AH$6:AH$3000="",0,'Data - SSV'!AH$6:AH$3000))/AN16,3)&gt;=3,3,IF(IFERROR(SUMPRODUCT((ISNUMBER(SEARCH(B16,'Data - SSV'!AE$6:AE$3000)))*('Data - SSV'!AF$6:AF$3000&gt;=(AJ$3-90))*('Data - SSV'!AF$6:AF$3000&lt;=AJ$3)*('Data - SSV'!AH$6:AH$3000&lt;&gt;"")*IF('Data - SSV'!AH$6:AH$3000="",0,'Data - SSV'!AH$6:AH$3000))/AN16,3)&gt;=2,2,1)))))))</f>
        <v/>
      </c>
    </row>
    <row r="17" ht="19.5" customHeight="1" s="146">
      <c r="A17" s="6">
        <f>'Field Teams'!A18</f>
        <v/>
      </c>
      <c r="B17" s="28">
        <f>'Field Teams'!B18</f>
        <v/>
      </c>
      <c r="C17" s="28">
        <f>'Field Teams'!C18</f>
        <v/>
      </c>
      <c r="D17" s="6">
        <f>'Field Teams'!D18</f>
        <v/>
      </c>
      <c r="E17" s="6">
        <f>'Field Teams'!E18</f>
        <v/>
      </c>
      <c r="F17" s="6">
        <f>'Field Teams'!F18</f>
        <v/>
      </c>
      <c r="G17" s="6">
        <f>'Field Teams'!G18</f>
        <v/>
      </c>
      <c r="H17" s="31">
        <f>'Field Teams'!H18</f>
        <v/>
      </c>
      <c r="I17" s="31">
        <f>H17*2</f>
        <v/>
      </c>
      <c r="J17" s="31">
        <f>IFERROR(SUMPRODUCT((((ISNUMBER(SEARCH(B17,'Data - HSQE Events'!V$6:V$3000))+ISNUMBER(SEARCH(B17,'Data - HSQE Events'!H$6:H$3000)))&gt;0))*('Data - HSQE Events'!F$6:F$3000&gt;=$AG$3)*('Data - HSQE Events'!F$6:F$3000&lt;=$AJ$3)*('Data - HSQE Events'!R$6:R$3000="Opportunity")),0)</f>
        <v/>
      </c>
      <c r="K17" s="31">
        <f>IFERROR(SUMPRODUCT((((ISNUMBER(SEARCH(B17,'Data - HSQE Events'!V$6:V$3000))+ISNUMBER(SEARCH(B17,'Data - HSQE Events'!H$6:H$3000)))&gt;0))*('Data - HSQE Events'!F$6:F$3000&gt;=$AG$3)*('Data - HSQE Events'!F$6:F$3000&lt;=$AJ$3)*('Data - HSQE Events'!R$6:R$3000="Minor")),0)</f>
        <v/>
      </c>
      <c r="L17" s="31">
        <f>IFERROR(SUMPRODUCT((((ISNUMBER(SEARCH(B17,'Data - HSQE Events'!V$6:V$3000))+ISNUMBER(SEARCH(B17,'Data - HSQE Events'!H$6:H$3000)))&gt;0))*('Data - HSQE Events'!F$6:F$3000&gt;=$AG$3)*('Data - HSQE Events'!F$6:F$3000&lt;=$AJ$3)*(('Data - HSQE Events'!R$6:R$3000="Moderate")+('Data - HSQE Events'!R$6:R$3000="Major"))),0)</f>
        <v/>
      </c>
      <c r="M17" s="31">
        <f>IF(IFERROR(SUMPRODUCT((((ISNUMBER(SEARCH(B17,'Data - HSQE Events'!V$6:V$3000))+ISNUMBER(SEARCH(B17,'Data - HSQE Events'!H$6:H$3000)))&gt;0))*('Data - HSQE Events'!F$6:F$3000&gt;=$AG$3)*('Data - HSQE Events'!F$6:F$3000&lt;=$AJ$3)*('Data - HSQE Events'!R$6:R$3000="Major")),0)&gt;0,"YES","NO")</f>
        <v/>
      </c>
      <c r="N17" s="31">
        <f>IFERROR(SUMPRODUCT(('Data - Skillko'!B$6:B$3000=B17)*('Data - Skillko'!C$6:C$3000="Total")*('Data - Skillko'!E$6:E$3000))*100,0)</f>
        <v/>
      </c>
      <c r="O17" s="31">
        <f>ROUND(MAX(1,MIN(5,1+N17/100*4)),1)</f>
        <v/>
      </c>
      <c r="P17" s="31">
        <f>IFERROR(SUMPRODUCT(ISNUMBER(SEARCH(B17,'Pole Results'!$A$13:$A$2000))*('Pole Results'!$B$13:$B$2000&gt;=$AG$3)*('Pole Results'!$B$13:$B$2000&lt;=$AE$3)*('Pole Results'!$E$13:$E$2000="Non-Compliant")),0)</f>
        <v/>
      </c>
      <c r="Q17" s="31">
        <f>IF(I17=0,1,IFERROR(ROUND(MAX(1,MIN(5,1+J17/I17*4)),1),3))</f>
        <v/>
      </c>
      <c r="R17" s="31">
        <f>ROUND(6-MAX(MIN(5,K17*0.8+1),MIN(5,L17*2+1)),1)</f>
        <v/>
      </c>
      <c r="S17" s="49">
        <f>IFERROR(ROUND(MAX(1,MIN(5,5-(P17/MAX(1,AI17))*4)),1),5)</f>
        <v/>
      </c>
      <c r="T17" s="31">
        <f>IF('Field Teams'!$I$18="Inactive","",ROUND((Q17*Settings!$D$6+R17*Settings!$D$7+O17*Settings!$D$10+S17*Settings!$D$12+AO17*Settings!$D$13)/Settings!$D$14,1))</f>
        <v/>
      </c>
      <c r="U17" s="115">
        <f>IF('Field Teams'!$I$18="Inactive","",IF(Q17="","",IF(Q17&gt;=4.5,"★★★★★",IF(Q17&gt;=3.5,"★★★★☆",IF(Q17&gt;=2.5,"★★★☆☆",IF(Q17&gt;=1.5,"★★☆☆☆","★☆☆☆☆"))))))</f>
        <v/>
      </c>
      <c r="V17" s="115">
        <f>IF('Field Teams'!$I$18="Inactive","",IF(R17="","",IF(R17&gt;=4.5,"★★★★★",IF(R17&gt;=3.5,"★★★★☆",IF(R17&gt;=2.5,"★★★☆☆",IF(R17&gt;=1.5,"★★☆☆☆","★☆☆☆☆"))))))</f>
        <v/>
      </c>
      <c r="W17" s="115">
        <f>IF('Field Teams'!$I$18="Inactive","",IF(O17="","",IF(O17&gt;=4.5,"★★★★★",IF(O17&gt;=3.5,"★★★★☆",IF(O17&gt;=2.5,"★★★☆☆",IF(O17&gt;=1.5,"★★☆☆☆","★☆☆☆☆"))))))</f>
        <v/>
      </c>
      <c r="X17" s="115">
        <f>IF('Field Teams'!$I$18="Inactive","",IF(S17="","",IF(S17&gt;=4.5,"★★★★★",IF(S17&gt;=3.5,"★★★★☆",IF(S17&gt;=2.5,"★★★☆☆",IF(S17&gt;=1.5,"★★☆☆☆","★☆☆☆☆"))))))</f>
        <v/>
      </c>
      <c r="Y17" s="115">
        <f>IF('Field Teams'!$I$18="Inactive","",IF(AO17="","",IF(AO17&gt;=4.5,"★★★★★",IF(AO17&gt;=3.5,"★★★★☆",IF(AO17&gt;=2.5,"★★★☆☆",IF(AO17&gt;=1.5,"★★☆☆☆","★☆☆☆☆"))))))</f>
        <v/>
      </c>
      <c r="Z17" s="115">
        <f>IF('Field Teams'!$I$5="Inactive","",IF(T17="","",IF(T17&gt;=4.5,"★★★★★",IF(T17&gt;=3.5,"★★★★☆",IF(T17&gt;=2.5,"★★★☆☆",IF(T17&gt;=1.5,"★★☆☆☆","★☆☆☆☆"))))))</f>
        <v/>
      </c>
      <c r="AA17" s="31">
        <f>IF('Field Teams'!$I$18="Inactive","",IF(M17="YES","HIGH",IF(Q17&lt;=Settings!$D$26,"HIGH",IF(T17&lt;=Settings!$D$23,"HIGH",IF(T17&lt;=Settings!$D$24,"MEDIUM","LOW")))))</f>
        <v/>
      </c>
      <c r="AB17" s="31">
        <f>IF('Field Teams'!$I$5="Inactive",-1,IFERROR((6-T17)+(77-ROW())*0.0001,0))</f>
        <v/>
      </c>
      <c r="AC17" s="35">
        <f>IF('Field Teams'!$I$5="Inactive",999,IFERROR((6-T17)+(ROW()-3)*0.0001,99))</f>
        <v/>
      </c>
      <c r="AD17" s="31">
        <f>IF('Field Teams'!$I$18="Inactive",999,IFERROR(AB17+(ROW()-3)*0.0001,99))</f>
        <v/>
      </c>
      <c r="AE17" s="29" t="n">
        <v>0</v>
      </c>
      <c r="AF17" s="31">
        <f>IF('Field Teams'!$I$18="Inactive","",IF(AA17="HIGH","YES - within 5 working days",""))</f>
        <v/>
      </c>
      <c r="AG17" s="105" t="n"/>
      <c r="AH17" s="49">
        <f>IFERROR(SUMPRODUCT(ISNUMBER(SEARCH(B17,'Pole Results'!$A$13:$A$2000))*('Pole Results'!$B$13:$B$2000&gt;=$AG$3)*('Pole Results'!$B$13:$B$2000&lt;=$AE$3)),0)</f>
        <v/>
      </c>
      <c r="AI17" s="49">
        <f>IFERROR(SUMPRODUCT(ISNUMBER(SEARCH(B17,'Pole Results'!$A$13:$A$2000))*('Pole Results'!$B$13:$B$2000&gt;=$AG$3)*('Pole Results'!$B$13:$B$2000&lt;=$AE$3)*('Pole Results'!$E$13:$E$2000="Compliant")),0)</f>
        <v/>
      </c>
      <c r="AJ17" s="105" t="n"/>
      <c r="AK17" s="106">
        <f>IF('Field Teams'!$I$18="Inactive",-1,IF(AA17="HIGH",AB17,-1))</f>
        <v/>
      </c>
      <c r="AL17" s="106">
        <f>IF('Field Teams'!$I$18="Inactive",-1,IF(OR(AA17="HIGH",AA17="MEDIUM"),AB17,-1))</f>
        <v/>
      </c>
      <c r="AM17">
        <f>IF('Field Teams'!$I$18="Inactive","",IF(IFERROR(LOOKUP(2,1/('Historical Scores'!C18:N18&lt;&gt;""),'Historical Scores'!C18:N18),"")="","New",IF(T17=""," ",IF(T17&gt;IFERROR(LOOKUP(2,1/('Historical Scores'!C18:N18&lt;&gt;""),'Historical Scores'!C18:N18),""),"▲ Worsening",IF(T17&lt;IFERROR(LOOKUP(2,1/('Historical Scores'!C18:N18&lt;&gt;""),'Historical Scores'!C18:N18),""),"▼ Improving","► Stable")))))</f>
        <v/>
      </c>
      <c r="AN17">
        <f>IFERROR(SUMPRODUCT((ISNUMBER(SEARCH(B17,'Data - SSV'!AE$6:AE$3000)))*('Data - SSV'!AF$6:AF$3000&gt;=(AJ$3-90))*('Data - SSV'!AF$6:AF$3000&lt;=AJ$3)*('Data - SSV'!AH$6:AH$3000&lt;&gt;"")),0)</f>
        <v/>
      </c>
      <c r="AO17">
        <f>IF('Field Teams'!$I$18="Inactive","",IF(AN17=0,3,IF(AN17=1,IF(IFERROR(SUMPRODUCT((ISNUMBER(SEARCH(B17,'Data - SSV'!AE$6:AE$3000)))*('Data - SSV'!AF$6:AF$3000&gt;=(AJ$3-90))*('Data - SSV'!AF$6:AF$3000&lt;=AJ$3)*('Data - SSV'!AH$6:AH$3000&lt;&gt;"")*IF('Data - SSV'!AH$6:AH$3000="",0,'Data - SSV'!AH$6:AH$3000))/AN17,3)=4,4,IF(IFERROR(SUMPRODUCT((ISNUMBER(SEARCH(B17,'Data - SSV'!AE$6:AE$3000)))*('Data - SSV'!AF$6:AF$3000&gt;=(AJ$3-90))*('Data - SSV'!AF$6:AF$3000&lt;=AJ$3)*('Data - SSV'!AH$6:AH$3000&lt;&gt;"")*IF('Data - SSV'!AH$6:AH$3000="",0,'Data - SSV'!AH$6:AH$3000))/AN17,3)&gt;=3,3,IF(IFERROR(SUMPRODUCT((ISNUMBER(SEARCH(B17,'Data - SSV'!AE$6:AE$3000)))*('Data - SSV'!AF$6:AF$3000&gt;=(AJ$3-90))*('Data - SSV'!AF$6:AF$3000&lt;=AJ$3)*('Data - SSV'!AH$6:AH$3000&lt;&gt;"")*IF('Data - SSV'!AH$6:AH$3000="",0,'Data - SSV'!AH$6:AH$3000))/AN17,3)&gt;=2,2,1))),IF(IFERROR(SUMPRODUCT((ISNUMBER(SEARCH(B17,'Data - SSV'!AE$6:AE$3000)))*('Data - SSV'!AF$6:AF$3000&gt;=(AJ$3-90))*('Data - SSV'!AF$6:AF$3000&lt;=AJ$3)*('Data - SSV'!AH$6:AH$3000&lt;&gt;"")*IF('Data - SSV'!AH$6:AH$3000="",0,'Data - SSV'!AH$6:AH$3000))/AN17,3)=4,5,IF(IFERROR(SUMPRODUCT((ISNUMBER(SEARCH(B17,'Data - SSV'!AE$6:AE$3000)))*('Data - SSV'!AF$6:AF$3000&gt;=(AJ$3-90))*('Data - SSV'!AF$6:AF$3000&lt;=AJ$3)*('Data - SSV'!AH$6:AH$3000&lt;&gt;"")*IF('Data - SSV'!AH$6:AH$3000="",0,'Data - SSV'!AH$6:AH$3000))/AN17,3)&gt;=3.5,4,IF(IFERROR(SUMPRODUCT((ISNUMBER(SEARCH(B17,'Data - SSV'!AE$6:AE$3000)))*('Data - SSV'!AF$6:AF$3000&gt;=(AJ$3-90))*('Data - SSV'!AF$6:AF$3000&lt;=AJ$3)*('Data - SSV'!AH$6:AH$3000&lt;&gt;"")*IF('Data - SSV'!AH$6:AH$3000="",0,'Data - SSV'!AH$6:AH$3000))/AN17,3)&gt;=3,3,IF(IFERROR(SUMPRODUCT((ISNUMBER(SEARCH(B17,'Data - SSV'!AE$6:AE$3000)))*('Data - SSV'!AF$6:AF$3000&gt;=(AJ$3-90))*('Data - SSV'!AF$6:AF$3000&lt;=AJ$3)*('Data - SSV'!AH$6:AH$3000&lt;&gt;"")*IF('Data - SSV'!AH$6:AH$3000="",0,'Data - SSV'!AH$6:AH$3000))/AN17,3)&gt;=2,2,1)))))))</f>
        <v/>
      </c>
    </row>
    <row r="18" ht="19.5" customHeight="1" s="146">
      <c r="A18" s="10">
        <f>'Field Teams'!A19</f>
        <v/>
      </c>
      <c r="B18" s="30">
        <f>'Field Teams'!B19</f>
        <v/>
      </c>
      <c r="C18" s="30">
        <f>'Field Teams'!C19</f>
        <v/>
      </c>
      <c r="D18" s="10">
        <f>'Field Teams'!D19</f>
        <v/>
      </c>
      <c r="E18" s="10">
        <f>'Field Teams'!E19</f>
        <v/>
      </c>
      <c r="F18" s="10">
        <f>'Field Teams'!F19</f>
        <v/>
      </c>
      <c r="G18" s="10">
        <f>'Field Teams'!G19</f>
        <v/>
      </c>
      <c r="H18" s="31">
        <f>'Field Teams'!H19</f>
        <v/>
      </c>
      <c r="I18" s="31">
        <f>H18*2</f>
        <v/>
      </c>
      <c r="J18" s="31">
        <f>IFERROR(SUMPRODUCT((((ISNUMBER(SEARCH(B18,'Data - HSQE Events'!V$6:V$3000))+ISNUMBER(SEARCH(B18,'Data - HSQE Events'!H$6:H$3000)))&gt;0))*('Data - HSQE Events'!F$6:F$3000&gt;=$AG$3)*('Data - HSQE Events'!F$6:F$3000&lt;=$AJ$3)*('Data - HSQE Events'!R$6:R$3000="Opportunity")),0)</f>
        <v/>
      </c>
      <c r="K18" s="31">
        <f>IFERROR(SUMPRODUCT((((ISNUMBER(SEARCH(B18,'Data - HSQE Events'!V$6:V$3000))+ISNUMBER(SEARCH(B18,'Data - HSQE Events'!H$6:H$3000)))&gt;0))*('Data - HSQE Events'!F$6:F$3000&gt;=$AG$3)*('Data - HSQE Events'!F$6:F$3000&lt;=$AJ$3)*('Data - HSQE Events'!R$6:R$3000="Minor")),0)</f>
        <v/>
      </c>
      <c r="L18" s="31">
        <f>IFERROR(SUMPRODUCT((((ISNUMBER(SEARCH(B18,'Data - HSQE Events'!V$6:V$3000))+ISNUMBER(SEARCH(B18,'Data - HSQE Events'!H$6:H$3000)))&gt;0))*('Data - HSQE Events'!F$6:F$3000&gt;=$AG$3)*('Data - HSQE Events'!F$6:F$3000&lt;=$AJ$3)*(('Data - HSQE Events'!R$6:R$3000="Moderate")+('Data - HSQE Events'!R$6:R$3000="Major"))),0)</f>
        <v/>
      </c>
      <c r="M18" s="31">
        <f>IF(IFERROR(SUMPRODUCT((((ISNUMBER(SEARCH(B18,'Data - HSQE Events'!V$6:V$3000))+ISNUMBER(SEARCH(B18,'Data - HSQE Events'!H$6:H$3000)))&gt;0))*('Data - HSQE Events'!F$6:F$3000&gt;=$AG$3)*('Data - HSQE Events'!F$6:F$3000&lt;=$AJ$3)*('Data - HSQE Events'!R$6:R$3000="Major")),0)&gt;0,"YES","NO")</f>
        <v/>
      </c>
      <c r="N18" s="31">
        <f>IFERROR(SUMPRODUCT(('Data - Skillko'!B$6:B$3000=B18)*('Data - Skillko'!C$6:C$3000="Total")*('Data - Skillko'!E$6:E$3000))*100,0)</f>
        <v/>
      </c>
      <c r="O18" s="31">
        <f>ROUND(MAX(1,MIN(5,1+N18/100*4)),1)</f>
        <v/>
      </c>
      <c r="P18" s="31">
        <f>IFERROR(SUMPRODUCT(ISNUMBER(SEARCH(B18,'Pole Results'!$A$13:$A$2000))*('Pole Results'!$B$13:$B$2000&gt;=$AG$3)*('Pole Results'!$B$13:$B$2000&lt;=$AE$3)*('Pole Results'!$E$13:$E$2000="Non-Compliant")),0)</f>
        <v/>
      </c>
      <c r="Q18" s="31">
        <f>IF(I18=0,1,IFERROR(ROUND(MAX(1,MIN(5,1+J18/I18*4)),1),3))</f>
        <v/>
      </c>
      <c r="R18" s="31">
        <f>ROUND(6-MAX(MIN(5,K18*0.8+1),MIN(5,L18*2+1)),1)</f>
        <v/>
      </c>
      <c r="S18" s="49">
        <f>IFERROR(ROUND(MAX(1,MIN(5,5-(P18/MAX(1,AI18))*4)),1),5)</f>
        <v/>
      </c>
      <c r="T18" s="31">
        <f>IF('Field Teams'!$I$19="Inactive","",ROUND((Q18*Settings!$D$6+R18*Settings!$D$7+O18*Settings!$D$10+S18*Settings!$D$12+AO18*Settings!$D$13)/Settings!$D$14,1))</f>
        <v/>
      </c>
      <c r="U18" s="115">
        <f>IF('Field Teams'!$I$19="Inactive","",IF(Q18="","",IF(Q18&gt;=4.5,"★★★★★",IF(Q18&gt;=3.5,"★★★★☆",IF(Q18&gt;=2.5,"★★★☆☆",IF(Q18&gt;=1.5,"★★☆☆☆","★☆☆☆☆"))))))</f>
        <v/>
      </c>
      <c r="V18" s="115">
        <f>IF('Field Teams'!$I$19="Inactive","",IF(R18="","",IF(R18&gt;=4.5,"★★★★★",IF(R18&gt;=3.5,"★★★★☆",IF(R18&gt;=2.5,"★★★☆☆",IF(R18&gt;=1.5,"★★☆☆☆","★☆☆☆☆"))))))</f>
        <v/>
      </c>
      <c r="W18" s="115">
        <f>IF('Field Teams'!$I$19="Inactive","",IF(O18="","",IF(O18&gt;=4.5,"★★★★★",IF(O18&gt;=3.5,"★★★★☆",IF(O18&gt;=2.5,"★★★☆☆",IF(O18&gt;=1.5,"★★☆☆☆","★☆☆☆☆"))))))</f>
        <v/>
      </c>
      <c r="X18" s="115">
        <f>IF('Field Teams'!$I$19="Inactive","",IF(S18="","",IF(S18&gt;=4.5,"★★★★★",IF(S18&gt;=3.5,"★★★★☆",IF(S18&gt;=2.5,"★★★☆☆",IF(S18&gt;=1.5,"★★☆☆☆","★☆☆☆☆"))))))</f>
        <v/>
      </c>
      <c r="Y18" s="115">
        <f>IF('Field Teams'!$I$19="Inactive","",IF(AO18="","",IF(AO18&gt;=4.5,"★★★★★",IF(AO18&gt;=3.5,"★★★★☆",IF(AO18&gt;=2.5,"★★★☆☆",IF(AO18&gt;=1.5,"★★☆☆☆","★☆☆☆☆"))))))</f>
        <v/>
      </c>
      <c r="Z18" s="115">
        <f>IF('Field Teams'!$I$5="Inactive","",IF(T18="","",IF(T18&gt;=4.5,"★★★★★",IF(T18&gt;=3.5,"★★★★☆",IF(T18&gt;=2.5,"★★★☆☆",IF(T18&gt;=1.5,"★★☆☆☆","★☆☆☆☆"))))))</f>
        <v/>
      </c>
      <c r="AA18" s="31">
        <f>IF('Field Teams'!$I$19="Inactive","",IF(M18="YES","HIGH",IF(Q18&lt;=Settings!$D$26,"HIGH",IF(T18&lt;=Settings!$D$23,"HIGH",IF(T18&lt;=Settings!$D$24,"MEDIUM","LOW")))))</f>
        <v/>
      </c>
      <c r="AB18" s="31">
        <f>IF('Field Teams'!$I$5="Inactive",-1,IFERROR((6-T18)+(77-ROW())*0.0001,0))</f>
        <v/>
      </c>
      <c r="AC18" s="35">
        <f>IF('Field Teams'!$I$5="Inactive",999,IFERROR((6-T18)+(ROW()-3)*0.0001,99))</f>
        <v/>
      </c>
      <c r="AD18" s="31">
        <f>IF('Field Teams'!$I$19="Inactive",999,IFERROR(AB18+(ROW()-3)*0.0001,99))</f>
        <v/>
      </c>
      <c r="AE18" s="29" t="n">
        <v>0</v>
      </c>
      <c r="AF18" s="31">
        <f>IF('Field Teams'!$I$19="Inactive","",IF(AA18="HIGH","YES - within 5 working days",""))</f>
        <v/>
      </c>
      <c r="AG18" s="105" t="n"/>
      <c r="AH18" s="49">
        <f>IFERROR(SUMPRODUCT(ISNUMBER(SEARCH(B18,'Pole Results'!$A$13:$A$2000))*('Pole Results'!$B$13:$B$2000&gt;=$AG$3)*('Pole Results'!$B$13:$B$2000&lt;=$AE$3)),0)</f>
        <v/>
      </c>
      <c r="AI18" s="49">
        <f>IFERROR(SUMPRODUCT(ISNUMBER(SEARCH(B18,'Pole Results'!$A$13:$A$2000))*('Pole Results'!$B$13:$B$2000&gt;=$AG$3)*('Pole Results'!$B$13:$B$2000&lt;=$AE$3)*('Pole Results'!$E$13:$E$2000="Compliant")),0)</f>
        <v/>
      </c>
      <c r="AJ18" s="105" t="n"/>
      <c r="AK18" s="106">
        <f>IF('Field Teams'!$I$19="Inactive",-1,IF(AA18="HIGH",AB18,-1))</f>
        <v/>
      </c>
      <c r="AL18" s="106">
        <f>IF('Field Teams'!$I$19="Inactive",-1,IF(OR(AA18="HIGH",AA18="MEDIUM"),AB18,-1))</f>
        <v/>
      </c>
      <c r="AM18">
        <f>IF('Field Teams'!$I$19="Inactive","",IF(IFERROR(LOOKUP(2,1/('Historical Scores'!C19:N19&lt;&gt;""),'Historical Scores'!C19:N19),"")="","New",IF(T18=""," ",IF(T18&gt;IFERROR(LOOKUP(2,1/('Historical Scores'!C19:N19&lt;&gt;""),'Historical Scores'!C19:N19),""),"▲ Worsening",IF(T18&lt;IFERROR(LOOKUP(2,1/('Historical Scores'!C19:N19&lt;&gt;""),'Historical Scores'!C19:N19),""),"▼ Improving","► Stable")))))</f>
        <v/>
      </c>
      <c r="AN18">
        <f>IFERROR(SUMPRODUCT((ISNUMBER(SEARCH(B18,'Data - SSV'!AE$6:AE$3000)))*('Data - SSV'!AF$6:AF$3000&gt;=(AJ$3-90))*('Data - SSV'!AF$6:AF$3000&lt;=AJ$3)*('Data - SSV'!AH$6:AH$3000&lt;&gt;"")),0)</f>
        <v/>
      </c>
      <c r="AO18">
        <f>IF('Field Teams'!$I$19="Inactive","",IF(AN18=0,3,IF(AN18=1,IF(IFERROR(SUMPRODUCT((ISNUMBER(SEARCH(B18,'Data - SSV'!AE$6:AE$3000)))*('Data - SSV'!AF$6:AF$3000&gt;=(AJ$3-90))*('Data - SSV'!AF$6:AF$3000&lt;=AJ$3)*('Data - SSV'!AH$6:AH$3000&lt;&gt;"")*IF('Data - SSV'!AH$6:AH$3000="",0,'Data - SSV'!AH$6:AH$3000))/AN18,3)=4,4,IF(IFERROR(SUMPRODUCT((ISNUMBER(SEARCH(B18,'Data - SSV'!AE$6:AE$3000)))*('Data - SSV'!AF$6:AF$3000&gt;=(AJ$3-90))*('Data - SSV'!AF$6:AF$3000&lt;=AJ$3)*('Data - SSV'!AH$6:AH$3000&lt;&gt;"")*IF('Data - SSV'!AH$6:AH$3000="",0,'Data - SSV'!AH$6:AH$3000))/AN18,3)&gt;=3,3,IF(IFERROR(SUMPRODUCT((ISNUMBER(SEARCH(B18,'Data - SSV'!AE$6:AE$3000)))*('Data - SSV'!AF$6:AF$3000&gt;=(AJ$3-90))*('Data - SSV'!AF$6:AF$3000&lt;=AJ$3)*('Data - SSV'!AH$6:AH$3000&lt;&gt;"")*IF('Data - SSV'!AH$6:AH$3000="",0,'Data - SSV'!AH$6:AH$3000))/AN18,3)&gt;=2,2,1))),IF(IFERROR(SUMPRODUCT((ISNUMBER(SEARCH(B18,'Data - SSV'!AE$6:AE$3000)))*('Data - SSV'!AF$6:AF$3000&gt;=(AJ$3-90))*('Data - SSV'!AF$6:AF$3000&lt;=AJ$3)*('Data - SSV'!AH$6:AH$3000&lt;&gt;"")*IF('Data - SSV'!AH$6:AH$3000="",0,'Data - SSV'!AH$6:AH$3000))/AN18,3)=4,5,IF(IFERROR(SUMPRODUCT((ISNUMBER(SEARCH(B18,'Data - SSV'!AE$6:AE$3000)))*('Data - SSV'!AF$6:AF$3000&gt;=(AJ$3-90))*('Data - SSV'!AF$6:AF$3000&lt;=AJ$3)*('Data - SSV'!AH$6:AH$3000&lt;&gt;"")*IF('Data - SSV'!AH$6:AH$3000="",0,'Data - SSV'!AH$6:AH$3000))/AN18,3)&gt;=3.5,4,IF(IFERROR(SUMPRODUCT((ISNUMBER(SEARCH(B18,'Data - SSV'!AE$6:AE$3000)))*('Data - SSV'!AF$6:AF$3000&gt;=(AJ$3-90))*('Data - SSV'!AF$6:AF$3000&lt;=AJ$3)*('Data - SSV'!AH$6:AH$3000&lt;&gt;"")*IF('Data - SSV'!AH$6:AH$3000="",0,'Data - SSV'!AH$6:AH$3000))/AN18,3)&gt;=3,3,IF(IFERROR(SUMPRODUCT((ISNUMBER(SEARCH(B18,'Data - SSV'!AE$6:AE$3000)))*('Data - SSV'!AF$6:AF$3000&gt;=(AJ$3-90))*('Data - SSV'!AF$6:AF$3000&lt;=AJ$3)*('Data - SSV'!AH$6:AH$3000&lt;&gt;"")*IF('Data - SSV'!AH$6:AH$3000="",0,'Data - SSV'!AH$6:AH$3000))/AN18,3)&gt;=2,2,1)))))))</f>
        <v/>
      </c>
    </row>
    <row r="19" ht="19.5" customHeight="1" s="146">
      <c r="A19" s="6">
        <f>'Field Teams'!A20</f>
        <v/>
      </c>
      <c r="B19" s="28">
        <f>'Field Teams'!B20</f>
        <v/>
      </c>
      <c r="C19" s="28">
        <f>'Field Teams'!C20</f>
        <v/>
      </c>
      <c r="D19" s="6">
        <f>'Field Teams'!D20</f>
        <v/>
      </c>
      <c r="E19" s="6">
        <f>'Field Teams'!E20</f>
        <v/>
      </c>
      <c r="F19" s="6">
        <f>'Field Teams'!F20</f>
        <v/>
      </c>
      <c r="G19" s="6">
        <f>'Field Teams'!G20</f>
        <v/>
      </c>
      <c r="H19" s="31">
        <f>'Field Teams'!H20</f>
        <v/>
      </c>
      <c r="I19" s="31">
        <f>H19*2</f>
        <v/>
      </c>
      <c r="J19" s="31">
        <f>IFERROR(SUMPRODUCT((((ISNUMBER(SEARCH(B19,'Data - HSQE Events'!V$6:V$3000))+ISNUMBER(SEARCH(B19,'Data - HSQE Events'!H$6:H$3000)))&gt;0))*('Data - HSQE Events'!F$6:F$3000&gt;=$AG$3)*('Data - HSQE Events'!F$6:F$3000&lt;=$AJ$3)*('Data - HSQE Events'!R$6:R$3000="Opportunity")),0)</f>
        <v/>
      </c>
      <c r="K19" s="31">
        <f>IFERROR(SUMPRODUCT((((ISNUMBER(SEARCH(B19,'Data - HSQE Events'!V$6:V$3000))+ISNUMBER(SEARCH(B19,'Data - HSQE Events'!H$6:H$3000)))&gt;0))*('Data - HSQE Events'!F$6:F$3000&gt;=$AG$3)*('Data - HSQE Events'!F$6:F$3000&lt;=$AJ$3)*('Data - HSQE Events'!R$6:R$3000="Minor")),0)</f>
        <v/>
      </c>
      <c r="L19" s="31">
        <f>IFERROR(SUMPRODUCT((((ISNUMBER(SEARCH(B19,'Data - HSQE Events'!V$6:V$3000))+ISNUMBER(SEARCH(B19,'Data - HSQE Events'!H$6:H$3000)))&gt;0))*('Data - HSQE Events'!F$6:F$3000&gt;=$AG$3)*('Data - HSQE Events'!F$6:F$3000&lt;=$AJ$3)*(('Data - HSQE Events'!R$6:R$3000="Moderate")+('Data - HSQE Events'!R$6:R$3000="Major"))),0)</f>
        <v/>
      </c>
      <c r="M19" s="31">
        <f>IF(IFERROR(SUMPRODUCT((((ISNUMBER(SEARCH(B19,'Data - HSQE Events'!V$6:V$3000))+ISNUMBER(SEARCH(B19,'Data - HSQE Events'!H$6:H$3000)))&gt;0))*('Data - HSQE Events'!F$6:F$3000&gt;=$AG$3)*('Data - HSQE Events'!F$6:F$3000&lt;=$AJ$3)*('Data - HSQE Events'!R$6:R$3000="Major")),0)&gt;0,"YES","NO")</f>
        <v/>
      </c>
      <c r="N19" s="31">
        <f>IFERROR(SUMPRODUCT(('Data - Skillko'!B$6:B$3000=B19)*('Data - Skillko'!C$6:C$3000="Total")*('Data - Skillko'!E$6:E$3000))*100,0)</f>
        <v/>
      </c>
      <c r="O19" s="31">
        <f>ROUND(MAX(1,MIN(5,1+N19/100*4)),1)</f>
        <v/>
      </c>
      <c r="P19" s="31">
        <f>IFERROR(SUMPRODUCT(ISNUMBER(SEARCH(B19,'Pole Results'!$A$13:$A$2000))*('Pole Results'!$B$13:$B$2000&gt;=$AG$3)*('Pole Results'!$B$13:$B$2000&lt;=$AE$3)*('Pole Results'!$E$13:$E$2000="Non-Compliant")),0)</f>
        <v/>
      </c>
      <c r="Q19" s="31">
        <f>IF(I19=0,1,IFERROR(ROUND(MAX(1,MIN(5,1+J19/I19*4)),1),3))</f>
        <v/>
      </c>
      <c r="R19" s="31">
        <f>ROUND(6-MAX(MIN(5,K19*0.8+1),MIN(5,L19*2+1)),1)</f>
        <v/>
      </c>
      <c r="S19" s="49">
        <f>IFERROR(ROUND(MAX(1,MIN(5,5-(P19/MAX(1,AI19))*4)),1),5)</f>
        <v/>
      </c>
      <c r="T19" s="31">
        <f>IF('Field Teams'!$I$20="Inactive","",ROUND((Q19*Settings!$D$6+R19*Settings!$D$7+O19*Settings!$D$10+S19*Settings!$D$12+AO19*Settings!$D$13)/Settings!$D$14,1))</f>
        <v/>
      </c>
      <c r="U19" s="115">
        <f>IF('Field Teams'!$I$20="Inactive","",IF(Q19="","",IF(Q19&gt;=4.5,"★★★★★",IF(Q19&gt;=3.5,"★★★★☆",IF(Q19&gt;=2.5,"★★★☆☆",IF(Q19&gt;=1.5,"★★☆☆☆","★☆☆☆☆"))))))</f>
        <v/>
      </c>
      <c r="V19" s="115">
        <f>IF('Field Teams'!$I$20="Inactive","",IF(R19="","",IF(R19&gt;=4.5,"★★★★★",IF(R19&gt;=3.5,"★★★★☆",IF(R19&gt;=2.5,"★★★☆☆",IF(R19&gt;=1.5,"★★☆☆☆","★☆☆☆☆"))))))</f>
        <v/>
      </c>
      <c r="W19" s="115">
        <f>IF('Field Teams'!$I$20="Inactive","",IF(O19="","",IF(O19&gt;=4.5,"★★★★★",IF(O19&gt;=3.5,"★★★★☆",IF(O19&gt;=2.5,"★★★☆☆",IF(O19&gt;=1.5,"★★☆☆☆","★☆☆☆☆"))))))</f>
        <v/>
      </c>
      <c r="X19" s="115">
        <f>IF('Field Teams'!$I$20="Inactive","",IF(S19="","",IF(S19&gt;=4.5,"★★★★★",IF(S19&gt;=3.5,"★★★★☆",IF(S19&gt;=2.5,"★★★☆☆",IF(S19&gt;=1.5,"★★☆☆☆","★☆☆☆☆"))))))</f>
        <v/>
      </c>
      <c r="Y19" s="115">
        <f>IF('Field Teams'!$I$20="Inactive","",IF(AO19="","",IF(AO19&gt;=4.5,"★★★★★",IF(AO19&gt;=3.5,"★★★★☆",IF(AO19&gt;=2.5,"★★★☆☆",IF(AO19&gt;=1.5,"★★☆☆☆","★☆☆☆☆"))))))</f>
        <v/>
      </c>
      <c r="Z19" s="115">
        <f>IF('Field Teams'!$I$5="Inactive","",IF(T19="","",IF(T19&gt;=4.5,"★★★★★",IF(T19&gt;=3.5,"★★★★☆",IF(T19&gt;=2.5,"★★★☆☆",IF(T19&gt;=1.5,"★★☆☆☆","★☆☆☆☆"))))))</f>
        <v/>
      </c>
      <c r="AA19" s="31">
        <f>IF('Field Teams'!$I$20="Inactive","",IF(M19="YES","HIGH",IF(Q19&lt;=Settings!$D$26,"HIGH",IF(T19&lt;=Settings!$D$23,"HIGH",IF(T19&lt;=Settings!$D$24,"MEDIUM","LOW")))))</f>
        <v/>
      </c>
      <c r="AB19" s="31">
        <f>IF('Field Teams'!$I$5="Inactive",-1,IFERROR((6-T19)+(77-ROW())*0.0001,0))</f>
        <v/>
      </c>
      <c r="AC19" s="35">
        <f>IF('Field Teams'!$I$5="Inactive",999,IFERROR((6-T19)+(ROW()-3)*0.0001,99))</f>
        <v/>
      </c>
      <c r="AD19" s="31">
        <f>IF('Field Teams'!$I$20="Inactive",999,IFERROR(AB19+(ROW()-3)*0.0001,99))</f>
        <v/>
      </c>
      <c r="AE19" s="29" t="n">
        <v>0</v>
      </c>
      <c r="AF19" s="31">
        <f>IF('Field Teams'!$I$20="Inactive","",IF(AA19="HIGH","YES - within 5 working days",""))</f>
        <v/>
      </c>
      <c r="AG19" s="105" t="n"/>
      <c r="AH19" s="49">
        <f>IFERROR(SUMPRODUCT(ISNUMBER(SEARCH(B19,'Pole Results'!$A$13:$A$2000))*('Pole Results'!$B$13:$B$2000&gt;=$AG$3)*('Pole Results'!$B$13:$B$2000&lt;=$AE$3)),0)</f>
        <v/>
      </c>
      <c r="AI19" s="49">
        <f>IFERROR(SUMPRODUCT(ISNUMBER(SEARCH(B19,'Pole Results'!$A$13:$A$2000))*('Pole Results'!$B$13:$B$2000&gt;=$AG$3)*('Pole Results'!$B$13:$B$2000&lt;=$AE$3)*('Pole Results'!$E$13:$E$2000="Compliant")),0)</f>
        <v/>
      </c>
      <c r="AJ19" s="105" t="n"/>
      <c r="AK19" s="106">
        <f>IF('Field Teams'!$I$20="Inactive",-1,IF(AA19="HIGH",AB19,-1))</f>
        <v/>
      </c>
      <c r="AL19" s="106">
        <f>IF('Field Teams'!$I$20="Inactive",-1,IF(OR(AA19="HIGH",AA19="MEDIUM"),AB19,-1))</f>
        <v/>
      </c>
      <c r="AM19">
        <f>IF('Field Teams'!$I$20="Inactive","",IF(IFERROR(LOOKUP(2,1/('Historical Scores'!C20:N20&lt;&gt;""),'Historical Scores'!C20:N20),"")="","New",IF(T19=""," ",IF(T19&gt;IFERROR(LOOKUP(2,1/('Historical Scores'!C20:N20&lt;&gt;""),'Historical Scores'!C20:N20),""),"▲ Worsening",IF(T19&lt;IFERROR(LOOKUP(2,1/('Historical Scores'!C20:N20&lt;&gt;""),'Historical Scores'!C20:N20),""),"▼ Improving","► Stable")))))</f>
        <v/>
      </c>
      <c r="AN19">
        <f>IFERROR(SUMPRODUCT((ISNUMBER(SEARCH(B19,'Data - SSV'!AE$6:AE$3000)))*('Data - SSV'!AF$6:AF$3000&gt;=(AJ$3-90))*('Data - SSV'!AF$6:AF$3000&lt;=AJ$3)*('Data - SSV'!AH$6:AH$3000&lt;&gt;"")),0)</f>
        <v/>
      </c>
      <c r="AO19">
        <f>IF('Field Teams'!$I$20="Inactive","",IF(AN19=0,3,IF(AN19=1,IF(IFERROR(SUMPRODUCT((ISNUMBER(SEARCH(B19,'Data - SSV'!AE$6:AE$3000)))*('Data - SSV'!AF$6:AF$3000&gt;=(AJ$3-90))*('Data - SSV'!AF$6:AF$3000&lt;=AJ$3)*('Data - SSV'!AH$6:AH$3000&lt;&gt;"")*IF('Data - SSV'!AH$6:AH$3000="",0,'Data - SSV'!AH$6:AH$3000))/AN19,3)=4,4,IF(IFERROR(SUMPRODUCT((ISNUMBER(SEARCH(B19,'Data - SSV'!AE$6:AE$3000)))*('Data - SSV'!AF$6:AF$3000&gt;=(AJ$3-90))*('Data - SSV'!AF$6:AF$3000&lt;=AJ$3)*('Data - SSV'!AH$6:AH$3000&lt;&gt;"")*IF('Data - SSV'!AH$6:AH$3000="",0,'Data - SSV'!AH$6:AH$3000))/AN19,3)&gt;=3,3,IF(IFERROR(SUMPRODUCT((ISNUMBER(SEARCH(B19,'Data - SSV'!AE$6:AE$3000)))*('Data - SSV'!AF$6:AF$3000&gt;=(AJ$3-90))*('Data - SSV'!AF$6:AF$3000&lt;=AJ$3)*('Data - SSV'!AH$6:AH$3000&lt;&gt;"")*IF('Data - SSV'!AH$6:AH$3000="",0,'Data - SSV'!AH$6:AH$3000))/AN19,3)&gt;=2,2,1))),IF(IFERROR(SUMPRODUCT((ISNUMBER(SEARCH(B19,'Data - SSV'!AE$6:AE$3000)))*('Data - SSV'!AF$6:AF$3000&gt;=(AJ$3-90))*('Data - SSV'!AF$6:AF$3000&lt;=AJ$3)*('Data - SSV'!AH$6:AH$3000&lt;&gt;"")*IF('Data - SSV'!AH$6:AH$3000="",0,'Data - SSV'!AH$6:AH$3000))/AN19,3)=4,5,IF(IFERROR(SUMPRODUCT((ISNUMBER(SEARCH(B19,'Data - SSV'!AE$6:AE$3000)))*('Data - SSV'!AF$6:AF$3000&gt;=(AJ$3-90))*('Data - SSV'!AF$6:AF$3000&lt;=AJ$3)*('Data - SSV'!AH$6:AH$3000&lt;&gt;"")*IF('Data - SSV'!AH$6:AH$3000="",0,'Data - SSV'!AH$6:AH$3000))/AN19,3)&gt;=3.5,4,IF(IFERROR(SUMPRODUCT((ISNUMBER(SEARCH(B19,'Data - SSV'!AE$6:AE$3000)))*('Data - SSV'!AF$6:AF$3000&gt;=(AJ$3-90))*('Data - SSV'!AF$6:AF$3000&lt;=AJ$3)*('Data - SSV'!AH$6:AH$3000&lt;&gt;"")*IF('Data - SSV'!AH$6:AH$3000="",0,'Data - SSV'!AH$6:AH$3000))/AN19,3)&gt;=3,3,IF(IFERROR(SUMPRODUCT((ISNUMBER(SEARCH(B19,'Data - SSV'!AE$6:AE$3000)))*('Data - SSV'!AF$6:AF$3000&gt;=(AJ$3-90))*('Data - SSV'!AF$6:AF$3000&lt;=AJ$3)*('Data - SSV'!AH$6:AH$3000&lt;&gt;"")*IF('Data - SSV'!AH$6:AH$3000="",0,'Data - SSV'!AH$6:AH$3000))/AN19,3)&gt;=2,2,1)))))))</f>
        <v/>
      </c>
    </row>
    <row r="20" ht="19.5" customHeight="1" s="146">
      <c r="A20" s="10">
        <f>'Field Teams'!A21</f>
        <v/>
      </c>
      <c r="B20" s="30">
        <f>'Field Teams'!B21</f>
        <v/>
      </c>
      <c r="C20" s="30">
        <f>'Field Teams'!C21</f>
        <v/>
      </c>
      <c r="D20" s="10">
        <f>'Field Teams'!D21</f>
        <v/>
      </c>
      <c r="E20" s="10">
        <f>'Field Teams'!E21</f>
        <v/>
      </c>
      <c r="F20" s="10">
        <f>'Field Teams'!F21</f>
        <v/>
      </c>
      <c r="G20" s="10">
        <f>'Field Teams'!G21</f>
        <v/>
      </c>
      <c r="H20" s="31">
        <f>'Field Teams'!H21</f>
        <v/>
      </c>
      <c r="I20" s="31">
        <f>H20*2</f>
        <v/>
      </c>
      <c r="J20" s="31">
        <f>IFERROR(SUMPRODUCT((((ISNUMBER(SEARCH(B20,'Data - HSQE Events'!V$6:V$3000))+ISNUMBER(SEARCH(B20,'Data - HSQE Events'!H$6:H$3000)))&gt;0))*('Data - HSQE Events'!F$6:F$3000&gt;=$AG$3)*('Data - HSQE Events'!F$6:F$3000&lt;=$AJ$3)*('Data - HSQE Events'!R$6:R$3000="Opportunity")),0)</f>
        <v/>
      </c>
      <c r="K20" s="31">
        <f>IFERROR(SUMPRODUCT((((ISNUMBER(SEARCH(B20,'Data - HSQE Events'!V$6:V$3000))+ISNUMBER(SEARCH(B20,'Data - HSQE Events'!H$6:H$3000)))&gt;0))*('Data - HSQE Events'!F$6:F$3000&gt;=$AG$3)*('Data - HSQE Events'!F$6:F$3000&lt;=$AJ$3)*('Data - HSQE Events'!R$6:R$3000="Minor")),0)</f>
        <v/>
      </c>
      <c r="L20" s="31">
        <f>IFERROR(SUMPRODUCT((((ISNUMBER(SEARCH(B20,'Data - HSQE Events'!V$6:V$3000))+ISNUMBER(SEARCH(B20,'Data - HSQE Events'!H$6:H$3000)))&gt;0))*('Data - HSQE Events'!F$6:F$3000&gt;=$AG$3)*('Data - HSQE Events'!F$6:F$3000&lt;=$AJ$3)*(('Data - HSQE Events'!R$6:R$3000="Moderate")+('Data - HSQE Events'!R$6:R$3000="Major"))),0)</f>
        <v/>
      </c>
      <c r="M20" s="31">
        <f>IF(IFERROR(SUMPRODUCT((((ISNUMBER(SEARCH(B20,'Data - HSQE Events'!V$6:V$3000))+ISNUMBER(SEARCH(B20,'Data - HSQE Events'!H$6:H$3000)))&gt;0))*('Data - HSQE Events'!F$6:F$3000&gt;=$AG$3)*('Data - HSQE Events'!F$6:F$3000&lt;=$AJ$3)*('Data - HSQE Events'!R$6:R$3000="Major")),0)&gt;0,"YES","NO")</f>
        <v/>
      </c>
      <c r="N20" s="31">
        <f>IFERROR(SUMPRODUCT(('Data - Skillko'!B$6:B$3000=B20)*('Data - Skillko'!C$6:C$3000="Total")*('Data - Skillko'!E$6:E$3000))*100,0)</f>
        <v/>
      </c>
      <c r="O20" s="31">
        <f>ROUND(MAX(1,MIN(5,1+N20/100*4)),1)</f>
        <v/>
      </c>
      <c r="P20" s="31">
        <f>IFERROR(SUMPRODUCT(ISNUMBER(SEARCH(B20,'Pole Results'!$A$13:$A$2000))*('Pole Results'!$B$13:$B$2000&gt;=$AG$3)*('Pole Results'!$B$13:$B$2000&lt;=$AE$3)*('Pole Results'!$E$13:$E$2000="Non-Compliant")),0)</f>
        <v/>
      </c>
      <c r="Q20" s="31">
        <f>IF(I20=0,1,IFERROR(ROUND(MAX(1,MIN(5,1+J20/I20*4)),1),3))</f>
        <v/>
      </c>
      <c r="R20" s="31">
        <f>ROUND(6-MAX(MIN(5,K20*0.8+1),MIN(5,L20*2+1)),1)</f>
        <v/>
      </c>
      <c r="S20" s="49">
        <f>IFERROR(ROUND(MAX(1,MIN(5,5-(P20/MAX(1,AI20))*4)),1),5)</f>
        <v/>
      </c>
      <c r="T20" s="31">
        <f>IF('Field Teams'!$I$21="Inactive","",ROUND((Q20*Settings!$D$6+R20*Settings!$D$7+O20*Settings!$D$10+S20*Settings!$D$12+AO20*Settings!$D$13)/Settings!$D$14,1))</f>
        <v/>
      </c>
      <c r="U20" s="115">
        <f>IF('Field Teams'!$I$21="Inactive","",IF(Q20="","",IF(Q20&gt;=4.5,"★★★★★",IF(Q20&gt;=3.5,"★★★★☆",IF(Q20&gt;=2.5,"★★★☆☆",IF(Q20&gt;=1.5,"★★☆☆☆","★☆☆☆☆"))))))</f>
        <v/>
      </c>
      <c r="V20" s="115">
        <f>IF('Field Teams'!$I$21="Inactive","",IF(R20="","",IF(R20&gt;=4.5,"★★★★★",IF(R20&gt;=3.5,"★★★★☆",IF(R20&gt;=2.5,"★★★☆☆",IF(R20&gt;=1.5,"★★☆☆☆","★☆☆☆☆"))))))</f>
        <v/>
      </c>
      <c r="W20" s="115">
        <f>IF('Field Teams'!$I$21="Inactive","",IF(O20="","",IF(O20&gt;=4.5,"★★★★★",IF(O20&gt;=3.5,"★★★★☆",IF(O20&gt;=2.5,"★★★☆☆",IF(O20&gt;=1.5,"★★☆☆☆","★☆☆☆☆"))))))</f>
        <v/>
      </c>
      <c r="X20" s="115">
        <f>IF('Field Teams'!$I$21="Inactive","",IF(S20="","",IF(S20&gt;=4.5,"★★★★★",IF(S20&gt;=3.5,"★★★★☆",IF(S20&gt;=2.5,"★★★☆☆",IF(S20&gt;=1.5,"★★☆☆☆","★☆☆☆☆"))))))</f>
        <v/>
      </c>
      <c r="Y20" s="115">
        <f>IF('Field Teams'!$I$21="Inactive","",IF(AO20="","",IF(AO20&gt;=4.5,"★★★★★",IF(AO20&gt;=3.5,"★★★★☆",IF(AO20&gt;=2.5,"★★★☆☆",IF(AO20&gt;=1.5,"★★☆☆☆","★☆☆☆☆"))))))</f>
        <v/>
      </c>
      <c r="Z20" s="115">
        <f>IF('Field Teams'!$I$5="Inactive","",IF(T20="","",IF(T20&gt;=4.5,"★★★★★",IF(T20&gt;=3.5,"★★★★☆",IF(T20&gt;=2.5,"★★★☆☆",IF(T20&gt;=1.5,"★★☆☆☆","★☆☆☆☆"))))))</f>
        <v/>
      </c>
      <c r="AA20" s="31">
        <f>IF('Field Teams'!$I$21="Inactive","",IF(M20="YES","HIGH",IF(Q20&lt;=Settings!$D$26,"HIGH",IF(T20&lt;=Settings!$D$23,"HIGH",IF(T20&lt;=Settings!$D$24,"MEDIUM","LOW")))))</f>
        <v/>
      </c>
      <c r="AB20" s="31">
        <f>IF('Field Teams'!$I$5="Inactive",-1,IFERROR((6-T20)+(77-ROW())*0.0001,0))</f>
        <v/>
      </c>
      <c r="AC20" s="35">
        <f>IF('Field Teams'!$I$5="Inactive",999,IFERROR((6-T20)+(ROW()-3)*0.0001,99))</f>
        <v/>
      </c>
      <c r="AD20" s="31">
        <f>IF('Field Teams'!$I$21="Inactive",999,IFERROR(AB20+(ROW()-3)*0.0001,99))</f>
        <v/>
      </c>
      <c r="AE20" s="29" t="n">
        <v>0</v>
      </c>
      <c r="AF20" s="31">
        <f>IF('Field Teams'!$I$21="Inactive","",IF(AA20="HIGH","YES - within 5 working days",""))</f>
        <v/>
      </c>
      <c r="AG20" s="105" t="n"/>
      <c r="AH20" s="49">
        <f>IFERROR(SUMPRODUCT(ISNUMBER(SEARCH(B20,'Pole Results'!$A$13:$A$2000))*('Pole Results'!$B$13:$B$2000&gt;=$AG$3)*('Pole Results'!$B$13:$B$2000&lt;=$AE$3)),0)</f>
        <v/>
      </c>
      <c r="AI20" s="49">
        <f>IFERROR(SUMPRODUCT(ISNUMBER(SEARCH(B20,'Pole Results'!$A$13:$A$2000))*('Pole Results'!$B$13:$B$2000&gt;=$AG$3)*('Pole Results'!$B$13:$B$2000&lt;=$AE$3)*('Pole Results'!$E$13:$E$2000="Compliant")),0)</f>
        <v/>
      </c>
      <c r="AJ20" s="105" t="n"/>
      <c r="AK20" s="106">
        <f>IF('Field Teams'!$I$21="Inactive",-1,IF(AA20="HIGH",AB20,-1))</f>
        <v/>
      </c>
      <c r="AL20" s="106">
        <f>IF('Field Teams'!$I$21="Inactive",-1,IF(OR(AA20="HIGH",AA20="MEDIUM"),AB20,-1))</f>
        <v/>
      </c>
      <c r="AM20">
        <f>IF('Field Teams'!$I$21="Inactive","",IF(IFERROR(LOOKUP(2,1/('Historical Scores'!C21:N21&lt;&gt;""),'Historical Scores'!C21:N21),"")="","New",IF(T20=""," ",IF(T20&gt;IFERROR(LOOKUP(2,1/('Historical Scores'!C21:N21&lt;&gt;""),'Historical Scores'!C21:N21),""),"▲ Worsening",IF(T20&lt;IFERROR(LOOKUP(2,1/('Historical Scores'!C21:N21&lt;&gt;""),'Historical Scores'!C21:N21),""),"▼ Improving","► Stable")))))</f>
        <v/>
      </c>
      <c r="AN20">
        <f>IFERROR(SUMPRODUCT((ISNUMBER(SEARCH(B20,'Data - SSV'!AE$6:AE$3000)))*('Data - SSV'!AF$6:AF$3000&gt;=(AJ$3-90))*('Data - SSV'!AF$6:AF$3000&lt;=AJ$3)*('Data - SSV'!AH$6:AH$3000&lt;&gt;"")),0)</f>
        <v/>
      </c>
      <c r="AO20">
        <f>IF('Field Teams'!$I$21="Inactive","",IF(AN20=0,3,IF(AN20=1,IF(IFERROR(SUMPRODUCT((ISNUMBER(SEARCH(B20,'Data - SSV'!AE$6:AE$3000)))*('Data - SSV'!AF$6:AF$3000&gt;=(AJ$3-90))*('Data - SSV'!AF$6:AF$3000&lt;=AJ$3)*('Data - SSV'!AH$6:AH$3000&lt;&gt;"")*IF('Data - SSV'!AH$6:AH$3000="",0,'Data - SSV'!AH$6:AH$3000))/AN20,3)=4,4,IF(IFERROR(SUMPRODUCT((ISNUMBER(SEARCH(B20,'Data - SSV'!AE$6:AE$3000)))*('Data - SSV'!AF$6:AF$3000&gt;=(AJ$3-90))*('Data - SSV'!AF$6:AF$3000&lt;=AJ$3)*('Data - SSV'!AH$6:AH$3000&lt;&gt;"")*IF('Data - SSV'!AH$6:AH$3000="",0,'Data - SSV'!AH$6:AH$3000))/AN20,3)&gt;=3,3,IF(IFERROR(SUMPRODUCT((ISNUMBER(SEARCH(B20,'Data - SSV'!AE$6:AE$3000)))*('Data - SSV'!AF$6:AF$3000&gt;=(AJ$3-90))*('Data - SSV'!AF$6:AF$3000&lt;=AJ$3)*('Data - SSV'!AH$6:AH$3000&lt;&gt;"")*IF('Data - SSV'!AH$6:AH$3000="",0,'Data - SSV'!AH$6:AH$3000))/AN20,3)&gt;=2,2,1))),IF(IFERROR(SUMPRODUCT((ISNUMBER(SEARCH(B20,'Data - SSV'!AE$6:AE$3000)))*('Data - SSV'!AF$6:AF$3000&gt;=(AJ$3-90))*('Data - SSV'!AF$6:AF$3000&lt;=AJ$3)*('Data - SSV'!AH$6:AH$3000&lt;&gt;"")*IF('Data - SSV'!AH$6:AH$3000="",0,'Data - SSV'!AH$6:AH$3000))/AN20,3)=4,5,IF(IFERROR(SUMPRODUCT((ISNUMBER(SEARCH(B20,'Data - SSV'!AE$6:AE$3000)))*('Data - SSV'!AF$6:AF$3000&gt;=(AJ$3-90))*('Data - SSV'!AF$6:AF$3000&lt;=AJ$3)*('Data - SSV'!AH$6:AH$3000&lt;&gt;"")*IF('Data - SSV'!AH$6:AH$3000="",0,'Data - SSV'!AH$6:AH$3000))/AN20,3)&gt;=3.5,4,IF(IFERROR(SUMPRODUCT((ISNUMBER(SEARCH(B20,'Data - SSV'!AE$6:AE$3000)))*('Data - SSV'!AF$6:AF$3000&gt;=(AJ$3-90))*('Data - SSV'!AF$6:AF$3000&lt;=AJ$3)*('Data - SSV'!AH$6:AH$3000&lt;&gt;"")*IF('Data - SSV'!AH$6:AH$3000="",0,'Data - SSV'!AH$6:AH$3000))/AN20,3)&gt;=3,3,IF(IFERROR(SUMPRODUCT((ISNUMBER(SEARCH(B20,'Data - SSV'!AE$6:AE$3000)))*('Data - SSV'!AF$6:AF$3000&gt;=(AJ$3-90))*('Data - SSV'!AF$6:AF$3000&lt;=AJ$3)*('Data - SSV'!AH$6:AH$3000&lt;&gt;"")*IF('Data - SSV'!AH$6:AH$3000="",0,'Data - SSV'!AH$6:AH$3000))/AN20,3)&gt;=2,2,1)))))))</f>
        <v/>
      </c>
    </row>
    <row r="21" ht="19.5" customHeight="1" s="146">
      <c r="A21" s="6">
        <f>'Field Teams'!A22</f>
        <v/>
      </c>
      <c r="B21" s="28">
        <f>'Field Teams'!B22</f>
        <v/>
      </c>
      <c r="C21" s="28">
        <f>'Field Teams'!C22</f>
        <v/>
      </c>
      <c r="D21" s="6">
        <f>'Field Teams'!D22</f>
        <v/>
      </c>
      <c r="E21" s="6">
        <f>'Field Teams'!E22</f>
        <v/>
      </c>
      <c r="F21" s="6">
        <f>'Field Teams'!F22</f>
        <v/>
      </c>
      <c r="G21" s="6">
        <f>'Field Teams'!G22</f>
        <v/>
      </c>
      <c r="H21" s="31">
        <f>'Field Teams'!H22</f>
        <v/>
      </c>
      <c r="I21" s="31">
        <f>H21*2</f>
        <v/>
      </c>
      <c r="J21" s="31">
        <f>IFERROR(SUMPRODUCT((((ISNUMBER(SEARCH(B21,'Data - HSQE Events'!V$6:V$3000))+ISNUMBER(SEARCH(B21,'Data - HSQE Events'!H$6:H$3000)))&gt;0))*('Data - HSQE Events'!F$6:F$3000&gt;=$AG$3)*('Data - HSQE Events'!F$6:F$3000&lt;=$AJ$3)*('Data - HSQE Events'!R$6:R$3000="Opportunity")),0)</f>
        <v/>
      </c>
      <c r="K21" s="31">
        <f>IFERROR(SUMPRODUCT((((ISNUMBER(SEARCH(B21,'Data - HSQE Events'!V$6:V$3000))+ISNUMBER(SEARCH(B21,'Data - HSQE Events'!H$6:H$3000)))&gt;0))*('Data - HSQE Events'!F$6:F$3000&gt;=$AG$3)*('Data - HSQE Events'!F$6:F$3000&lt;=$AJ$3)*('Data - HSQE Events'!R$6:R$3000="Minor")),0)</f>
        <v/>
      </c>
      <c r="L21" s="31">
        <f>IFERROR(SUMPRODUCT((((ISNUMBER(SEARCH(B21,'Data - HSQE Events'!V$6:V$3000))+ISNUMBER(SEARCH(B21,'Data - HSQE Events'!H$6:H$3000)))&gt;0))*('Data - HSQE Events'!F$6:F$3000&gt;=$AG$3)*('Data - HSQE Events'!F$6:F$3000&lt;=$AJ$3)*(('Data - HSQE Events'!R$6:R$3000="Moderate")+('Data - HSQE Events'!R$6:R$3000="Major"))),0)</f>
        <v/>
      </c>
      <c r="M21" s="31">
        <f>IF(IFERROR(SUMPRODUCT((((ISNUMBER(SEARCH(B21,'Data - HSQE Events'!V$6:V$3000))+ISNUMBER(SEARCH(B21,'Data - HSQE Events'!H$6:H$3000)))&gt;0))*('Data - HSQE Events'!F$6:F$3000&gt;=$AG$3)*('Data - HSQE Events'!F$6:F$3000&lt;=$AJ$3)*('Data - HSQE Events'!R$6:R$3000="Major")),0)&gt;0,"YES","NO")</f>
        <v/>
      </c>
      <c r="N21" s="31">
        <f>IFERROR(SUMPRODUCT(('Data - Skillko'!B$6:B$3000=B21)*('Data - Skillko'!C$6:C$3000="Total")*('Data - Skillko'!E$6:E$3000))*100,0)</f>
        <v/>
      </c>
      <c r="O21" s="31">
        <f>ROUND(MAX(1,MIN(5,1+N21/100*4)),1)</f>
        <v/>
      </c>
      <c r="P21" s="31">
        <f>IFERROR(SUMPRODUCT(ISNUMBER(SEARCH(B21,'Pole Results'!$A$13:$A$2000))*('Pole Results'!$B$13:$B$2000&gt;=$AG$3)*('Pole Results'!$B$13:$B$2000&lt;=$AE$3)*('Pole Results'!$E$13:$E$2000="Non-Compliant")),0)</f>
        <v/>
      </c>
      <c r="Q21" s="31">
        <f>IF(I21=0,1,IFERROR(ROUND(MAX(1,MIN(5,1+J21/I21*4)),1),3))</f>
        <v/>
      </c>
      <c r="R21" s="31">
        <f>ROUND(6-MAX(MIN(5,K21*0.8+1),MIN(5,L21*2+1)),1)</f>
        <v/>
      </c>
      <c r="S21" s="49">
        <f>IFERROR(ROUND(MAX(1,MIN(5,5-(P21/MAX(1,AI21))*4)),1),5)</f>
        <v/>
      </c>
      <c r="T21" s="31">
        <f>IF('Field Teams'!$I$22="Inactive","",ROUND((Q21*Settings!$D$6+R21*Settings!$D$7+O21*Settings!$D$10+S21*Settings!$D$12+AO21*Settings!$D$13)/Settings!$D$14,1))</f>
        <v/>
      </c>
      <c r="U21" s="115">
        <f>IF('Field Teams'!$I$22="Inactive","",IF(Q21="","",IF(Q21&gt;=4.5,"★★★★★",IF(Q21&gt;=3.5,"★★★★☆",IF(Q21&gt;=2.5,"★★★☆☆",IF(Q21&gt;=1.5,"★★☆☆☆","★☆☆☆☆"))))))</f>
        <v/>
      </c>
      <c r="V21" s="115">
        <f>IF('Field Teams'!$I$22="Inactive","",IF(R21="","",IF(R21&gt;=4.5,"★★★★★",IF(R21&gt;=3.5,"★★★★☆",IF(R21&gt;=2.5,"★★★☆☆",IF(R21&gt;=1.5,"★★☆☆☆","★☆☆☆☆"))))))</f>
        <v/>
      </c>
      <c r="W21" s="115">
        <f>IF('Field Teams'!$I$22="Inactive","",IF(O21="","",IF(O21&gt;=4.5,"★★★★★",IF(O21&gt;=3.5,"★★★★☆",IF(O21&gt;=2.5,"★★★☆☆",IF(O21&gt;=1.5,"★★☆☆☆","★☆☆☆☆"))))))</f>
        <v/>
      </c>
      <c r="X21" s="115">
        <f>IF('Field Teams'!$I$22="Inactive","",IF(S21="","",IF(S21&gt;=4.5,"★★★★★",IF(S21&gt;=3.5,"★★★★☆",IF(S21&gt;=2.5,"★★★☆☆",IF(S21&gt;=1.5,"★★☆☆☆","★☆☆☆☆"))))))</f>
        <v/>
      </c>
      <c r="Y21" s="115">
        <f>IF('Field Teams'!$I$22="Inactive","",IF(AO21="","",IF(AO21&gt;=4.5,"★★★★★",IF(AO21&gt;=3.5,"★★★★☆",IF(AO21&gt;=2.5,"★★★☆☆",IF(AO21&gt;=1.5,"★★☆☆☆","★☆☆☆☆"))))))</f>
        <v/>
      </c>
      <c r="Z21" s="115">
        <f>IF('Field Teams'!$I$5="Inactive","",IF(T21="","",IF(T21&gt;=4.5,"★★★★★",IF(T21&gt;=3.5,"★★★★☆",IF(T21&gt;=2.5,"★★★☆☆",IF(T21&gt;=1.5,"★★☆☆☆","★☆☆☆☆"))))))</f>
        <v/>
      </c>
      <c r="AA21" s="31">
        <f>IF('Field Teams'!$I$22="Inactive","",IF(M21="YES","HIGH",IF(Q21&lt;=Settings!$D$26,"HIGH",IF(T21&lt;=Settings!$D$23,"HIGH",IF(T21&lt;=Settings!$D$24,"MEDIUM","LOW")))))</f>
        <v/>
      </c>
      <c r="AB21" s="31">
        <f>IF('Field Teams'!$I$5="Inactive",-1,IFERROR((6-T21)+(77-ROW())*0.0001,0))</f>
        <v/>
      </c>
      <c r="AC21" s="35">
        <f>IF('Field Teams'!$I$5="Inactive",999,IFERROR((6-T21)+(ROW()-3)*0.0001,99))</f>
        <v/>
      </c>
      <c r="AD21" s="31">
        <f>IF('Field Teams'!$I$22="Inactive",999,IFERROR(AB21+(ROW()-3)*0.0001,99))</f>
        <v/>
      </c>
      <c r="AE21" s="29" t="n">
        <v>0</v>
      </c>
      <c r="AF21" s="31">
        <f>IF('Field Teams'!$I$22="Inactive","",IF(AA21="HIGH","YES - within 5 working days",""))</f>
        <v/>
      </c>
      <c r="AG21" s="105" t="n"/>
      <c r="AH21" s="49">
        <f>IFERROR(SUMPRODUCT(ISNUMBER(SEARCH(B21,'Pole Results'!$A$13:$A$2000))*('Pole Results'!$B$13:$B$2000&gt;=$AG$3)*('Pole Results'!$B$13:$B$2000&lt;=$AE$3)),0)</f>
        <v/>
      </c>
      <c r="AI21" s="49">
        <f>IFERROR(SUMPRODUCT(ISNUMBER(SEARCH(B21,'Pole Results'!$A$13:$A$2000))*('Pole Results'!$B$13:$B$2000&gt;=$AG$3)*('Pole Results'!$B$13:$B$2000&lt;=$AE$3)*('Pole Results'!$E$13:$E$2000="Compliant")),0)</f>
        <v/>
      </c>
      <c r="AJ21" s="105" t="n"/>
      <c r="AK21" s="106">
        <f>IF('Field Teams'!$I$22="Inactive",-1,IF(AA21="HIGH",AB21,-1))</f>
        <v/>
      </c>
      <c r="AL21" s="106">
        <f>IF('Field Teams'!$I$22="Inactive",-1,IF(OR(AA21="HIGH",AA21="MEDIUM"),AB21,-1))</f>
        <v/>
      </c>
      <c r="AM21">
        <f>IF('Field Teams'!$I$22="Inactive","",IF(IFERROR(LOOKUP(2,1/('Historical Scores'!C22:N22&lt;&gt;""),'Historical Scores'!C22:N22),"")="","New",IF(T21=""," ",IF(T21&gt;IFERROR(LOOKUP(2,1/('Historical Scores'!C22:N22&lt;&gt;""),'Historical Scores'!C22:N22),""),"▲ Worsening",IF(T21&lt;IFERROR(LOOKUP(2,1/('Historical Scores'!C22:N22&lt;&gt;""),'Historical Scores'!C22:N22),""),"▼ Improving","► Stable")))))</f>
        <v/>
      </c>
      <c r="AN21">
        <f>IFERROR(SUMPRODUCT((ISNUMBER(SEARCH(B21,'Data - SSV'!AE$6:AE$3000)))*('Data - SSV'!AF$6:AF$3000&gt;=(AJ$3-90))*('Data - SSV'!AF$6:AF$3000&lt;=AJ$3)*('Data - SSV'!AH$6:AH$3000&lt;&gt;"")),0)</f>
        <v/>
      </c>
      <c r="AO21">
        <f>IF('Field Teams'!$I$22="Inactive","",IF(AN21=0,3,IF(AN21=1,IF(IFERROR(SUMPRODUCT((ISNUMBER(SEARCH(B21,'Data - SSV'!AE$6:AE$3000)))*('Data - SSV'!AF$6:AF$3000&gt;=(AJ$3-90))*('Data - SSV'!AF$6:AF$3000&lt;=AJ$3)*('Data - SSV'!AH$6:AH$3000&lt;&gt;"")*IF('Data - SSV'!AH$6:AH$3000="",0,'Data - SSV'!AH$6:AH$3000))/AN21,3)=4,4,IF(IFERROR(SUMPRODUCT((ISNUMBER(SEARCH(B21,'Data - SSV'!AE$6:AE$3000)))*('Data - SSV'!AF$6:AF$3000&gt;=(AJ$3-90))*('Data - SSV'!AF$6:AF$3000&lt;=AJ$3)*('Data - SSV'!AH$6:AH$3000&lt;&gt;"")*IF('Data - SSV'!AH$6:AH$3000="",0,'Data - SSV'!AH$6:AH$3000))/AN21,3)&gt;=3,3,IF(IFERROR(SUMPRODUCT((ISNUMBER(SEARCH(B21,'Data - SSV'!AE$6:AE$3000)))*('Data - SSV'!AF$6:AF$3000&gt;=(AJ$3-90))*('Data - SSV'!AF$6:AF$3000&lt;=AJ$3)*('Data - SSV'!AH$6:AH$3000&lt;&gt;"")*IF('Data - SSV'!AH$6:AH$3000="",0,'Data - SSV'!AH$6:AH$3000))/AN21,3)&gt;=2,2,1))),IF(IFERROR(SUMPRODUCT((ISNUMBER(SEARCH(B21,'Data - SSV'!AE$6:AE$3000)))*('Data - SSV'!AF$6:AF$3000&gt;=(AJ$3-90))*('Data - SSV'!AF$6:AF$3000&lt;=AJ$3)*('Data - SSV'!AH$6:AH$3000&lt;&gt;"")*IF('Data - SSV'!AH$6:AH$3000="",0,'Data - SSV'!AH$6:AH$3000))/AN21,3)=4,5,IF(IFERROR(SUMPRODUCT((ISNUMBER(SEARCH(B21,'Data - SSV'!AE$6:AE$3000)))*('Data - SSV'!AF$6:AF$3000&gt;=(AJ$3-90))*('Data - SSV'!AF$6:AF$3000&lt;=AJ$3)*('Data - SSV'!AH$6:AH$3000&lt;&gt;"")*IF('Data - SSV'!AH$6:AH$3000="",0,'Data - SSV'!AH$6:AH$3000))/AN21,3)&gt;=3.5,4,IF(IFERROR(SUMPRODUCT((ISNUMBER(SEARCH(B21,'Data - SSV'!AE$6:AE$3000)))*('Data - SSV'!AF$6:AF$3000&gt;=(AJ$3-90))*('Data - SSV'!AF$6:AF$3000&lt;=AJ$3)*('Data - SSV'!AH$6:AH$3000&lt;&gt;"")*IF('Data - SSV'!AH$6:AH$3000="",0,'Data - SSV'!AH$6:AH$3000))/AN21,3)&gt;=3,3,IF(IFERROR(SUMPRODUCT((ISNUMBER(SEARCH(B21,'Data - SSV'!AE$6:AE$3000)))*('Data - SSV'!AF$6:AF$3000&gt;=(AJ$3-90))*('Data - SSV'!AF$6:AF$3000&lt;=AJ$3)*('Data - SSV'!AH$6:AH$3000&lt;&gt;"")*IF('Data - SSV'!AH$6:AH$3000="",0,'Data - SSV'!AH$6:AH$3000))/AN21,3)&gt;=2,2,1)))))))</f>
        <v/>
      </c>
    </row>
    <row r="22" ht="19.5" customHeight="1" s="146">
      <c r="A22" s="10">
        <f>'Field Teams'!A23</f>
        <v/>
      </c>
      <c r="B22" s="30">
        <f>'Field Teams'!B23</f>
        <v/>
      </c>
      <c r="C22" s="30">
        <f>'Field Teams'!C23</f>
        <v/>
      </c>
      <c r="D22" s="10">
        <f>'Field Teams'!D23</f>
        <v/>
      </c>
      <c r="E22" s="10">
        <f>'Field Teams'!E23</f>
        <v/>
      </c>
      <c r="F22" s="10">
        <f>'Field Teams'!F23</f>
        <v/>
      </c>
      <c r="G22" s="10">
        <f>'Field Teams'!G23</f>
        <v/>
      </c>
      <c r="H22" s="31">
        <f>'Field Teams'!H23</f>
        <v/>
      </c>
      <c r="I22" s="31">
        <f>H22*2</f>
        <v/>
      </c>
      <c r="J22" s="31">
        <f>IFERROR(SUMPRODUCT((((ISNUMBER(SEARCH(B22,'Data - HSQE Events'!V$6:V$3000))+ISNUMBER(SEARCH(B22,'Data - HSQE Events'!H$6:H$3000)))&gt;0))*('Data - HSQE Events'!F$6:F$3000&gt;=$AG$3)*('Data - HSQE Events'!F$6:F$3000&lt;=$AJ$3)*('Data - HSQE Events'!R$6:R$3000="Opportunity")),0)</f>
        <v/>
      </c>
      <c r="K22" s="31">
        <f>IFERROR(SUMPRODUCT((((ISNUMBER(SEARCH(B22,'Data - HSQE Events'!V$6:V$3000))+ISNUMBER(SEARCH(B22,'Data - HSQE Events'!H$6:H$3000)))&gt;0))*('Data - HSQE Events'!F$6:F$3000&gt;=$AG$3)*('Data - HSQE Events'!F$6:F$3000&lt;=$AJ$3)*('Data - HSQE Events'!R$6:R$3000="Minor")),0)</f>
        <v/>
      </c>
      <c r="L22" s="31">
        <f>IFERROR(SUMPRODUCT((((ISNUMBER(SEARCH(B22,'Data - HSQE Events'!V$6:V$3000))+ISNUMBER(SEARCH(B22,'Data - HSQE Events'!H$6:H$3000)))&gt;0))*('Data - HSQE Events'!F$6:F$3000&gt;=$AG$3)*('Data - HSQE Events'!F$6:F$3000&lt;=$AJ$3)*(('Data - HSQE Events'!R$6:R$3000="Moderate")+('Data - HSQE Events'!R$6:R$3000="Major"))),0)</f>
        <v/>
      </c>
      <c r="M22" s="31">
        <f>IF(IFERROR(SUMPRODUCT((((ISNUMBER(SEARCH(B22,'Data - HSQE Events'!V$6:V$3000))+ISNUMBER(SEARCH(B22,'Data - HSQE Events'!H$6:H$3000)))&gt;0))*('Data - HSQE Events'!F$6:F$3000&gt;=$AG$3)*('Data - HSQE Events'!F$6:F$3000&lt;=$AJ$3)*('Data - HSQE Events'!R$6:R$3000="Major")),0)&gt;0,"YES","NO")</f>
        <v/>
      </c>
      <c r="N22" s="31">
        <f>IFERROR(SUMPRODUCT(('Data - Skillko'!B$6:B$3000=B22)*('Data - Skillko'!C$6:C$3000="Total")*('Data - Skillko'!E$6:E$3000))*100,0)</f>
        <v/>
      </c>
      <c r="O22" s="31">
        <f>ROUND(MAX(1,MIN(5,1+N22/100*4)),1)</f>
        <v/>
      </c>
      <c r="P22" s="31">
        <f>IFERROR(SUMPRODUCT(ISNUMBER(SEARCH(B22,'Pole Results'!$A$13:$A$2000))*('Pole Results'!$B$13:$B$2000&gt;=$AG$3)*('Pole Results'!$B$13:$B$2000&lt;=$AE$3)*('Pole Results'!$E$13:$E$2000="Non-Compliant")),0)</f>
        <v/>
      </c>
      <c r="Q22" s="31">
        <f>IF(I22=0,1,IFERROR(ROUND(MAX(1,MIN(5,1+J22/I22*4)),1),3))</f>
        <v/>
      </c>
      <c r="R22" s="31">
        <f>ROUND(6-MAX(MIN(5,K22*0.8+1),MIN(5,L22*2+1)),1)</f>
        <v/>
      </c>
      <c r="S22" s="49">
        <f>IFERROR(ROUND(MAX(1,MIN(5,5-(P22/MAX(1,AI22))*4)),1),5)</f>
        <v/>
      </c>
      <c r="T22" s="31">
        <f>IF('Field Teams'!$I$23="Inactive","",ROUND((Q22*Settings!$D$6+R22*Settings!$D$7+O22*Settings!$D$10+S22*Settings!$D$12+AO22*Settings!$D$13)/Settings!$D$14,1))</f>
        <v/>
      </c>
      <c r="U22" s="115">
        <f>IF('Field Teams'!$I$23="Inactive","",IF(Q22="","",IF(Q22&gt;=4.5,"★★★★★",IF(Q22&gt;=3.5,"★★★★☆",IF(Q22&gt;=2.5,"★★★☆☆",IF(Q22&gt;=1.5,"★★☆☆☆","★☆☆☆☆"))))))</f>
        <v/>
      </c>
      <c r="V22" s="115">
        <f>IF('Field Teams'!$I$23="Inactive","",IF(R22="","",IF(R22&gt;=4.5,"★★★★★",IF(R22&gt;=3.5,"★★★★☆",IF(R22&gt;=2.5,"★★★☆☆",IF(R22&gt;=1.5,"★★☆☆☆","★☆☆☆☆"))))))</f>
        <v/>
      </c>
      <c r="W22" s="115">
        <f>IF('Field Teams'!$I$23="Inactive","",IF(O22="","",IF(O22&gt;=4.5,"★★★★★",IF(O22&gt;=3.5,"★★★★☆",IF(O22&gt;=2.5,"★★★☆☆",IF(O22&gt;=1.5,"★★☆☆☆","★☆☆☆☆"))))))</f>
        <v/>
      </c>
      <c r="X22" s="115">
        <f>IF('Field Teams'!$I$23="Inactive","",IF(S22="","",IF(S22&gt;=4.5,"★★★★★",IF(S22&gt;=3.5,"★★★★☆",IF(S22&gt;=2.5,"★★★☆☆",IF(S22&gt;=1.5,"★★☆☆☆","★☆☆☆☆"))))))</f>
        <v/>
      </c>
      <c r="Y22" s="115">
        <f>IF('Field Teams'!$I$23="Inactive","",IF(AO22="","",IF(AO22&gt;=4.5,"★★★★★",IF(AO22&gt;=3.5,"★★★★☆",IF(AO22&gt;=2.5,"★★★☆☆",IF(AO22&gt;=1.5,"★★☆☆☆","★☆☆☆☆"))))))</f>
        <v/>
      </c>
      <c r="Z22" s="115">
        <f>IF('Field Teams'!$I$5="Inactive","",IF(T22="","",IF(T22&gt;=4.5,"★★★★★",IF(T22&gt;=3.5,"★★★★☆",IF(T22&gt;=2.5,"★★★☆☆",IF(T22&gt;=1.5,"★★☆☆☆","★☆☆☆☆"))))))</f>
        <v/>
      </c>
      <c r="AA22" s="31">
        <f>IF('Field Teams'!$I$23="Inactive","",IF(M22="YES","HIGH",IF(Q22&lt;=Settings!$D$26,"HIGH",IF(T22&lt;=Settings!$D$23,"HIGH",IF(T22&lt;=Settings!$D$24,"MEDIUM","LOW")))))</f>
        <v/>
      </c>
      <c r="AB22" s="31">
        <f>IF('Field Teams'!$I$5="Inactive",-1,IFERROR((6-T22)+(77-ROW())*0.0001,0))</f>
        <v/>
      </c>
      <c r="AC22" s="35">
        <f>IF('Field Teams'!$I$5="Inactive",999,IFERROR((6-T22)+(ROW()-3)*0.0001,99))</f>
        <v/>
      </c>
      <c r="AD22" s="31">
        <f>IF('Field Teams'!$I$23="Inactive",999,IFERROR(AB22+(ROW()-3)*0.0001,99))</f>
        <v/>
      </c>
      <c r="AE22" s="29" t="n">
        <v>0</v>
      </c>
      <c r="AF22" s="31">
        <f>IF('Field Teams'!$I$23="Inactive","",IF(AA22="HIGH","YES - within 5 working days",""))</f>
        <v/>
      </c>
      <c r="AG22" s="105" t="n"/>
      <c r="AH22" s="49">
        <f>IFERROR(SUMPRODUCT(ISNUMBER(SEARCH(B22,'Pole Results'!$A$13:$A$2000))*('Pole Results'!$B$13:$B$2000&gt;=$AG$3)*('Pole Results'!$B$13:$B$2000&lt;=$AE$3)),0)</f>
        <v/>
      </c>
      <c r="AI22" s="49">
        <f>IFERROR(SUMPRODUCT(ISNUMBER(SEARCH(B22,'Pole Results'!$A$13:$A$2000))*('Pole Results'!$B$13:$B$2000&gt;=$AG$3)*('Pole Results'!$B$13:$B$2000&lt;=$AE$3)*('Pole Results'!$E$13:$E$2000="Compliant")),0)</f>
        <v/>
      </c>
      <c r="AJ22" s="105" t="n"/>
      <c r="AK22" s="106">
        <f>IF('Field Teams'!$I$23="Inactive",-1,IF(AA22="HIGH",AB22,-1))</f>
        <v/>
      </c>
      <c r="AL22" s="106">
        <f>IF('Field Teams'!$I$23="Inactive",-1,IF(OR(AA22="HIGH",AA22="MEDIUM"),AB22,-1))</f>
        <v/>
      </c>
      <c r="AM22">
        <f>IF('Field Teams'!$I$23="Inactive","",IF(IFERROR(LOOKUP(2,1/('Historical Scores'!C23:N23&lt;&gt;""),'Historical Scores'!C23:N23),"")="","New",IF(T22=""," ",IF(T22&gt;IFERROR(LOOKUP(2,1/('Historical Scores'!C23:N23&lt;&gt;""),'Historical Scores'!C23:N23),""),"▲ Worsening",IF(T22&lt;IFERROR(LOOKUP(2,1/('Historical Scores'!C23:N23&lt;&gt;""),'Historical Scores'!C23:N23),""),"▼ Improving","► Stable")))))</f>
        <v/>
      </c>
      <c r="AN22">
        <f>IFERROR(SUMPRODUCT((ISNUMBER(SEARCH(B22,'Data - SSV'!AE$6:AE$3000)))*('Data - SSV'!AF$6:AF$3000&gt;=(AJ$3-90))*('Data - SSV'!AF$6:AF$3000&lt;=AJ$3)*('Data - SSV'!AH$6:AH$3000&lt;&gt;"")),0)</f>
        <v/>
      </c>
      <c r="AO22">
        <f>IF('Field Teams'!$I$23="Inactive","",IF(AN22=0,3,IF(AN22=1,IF(IFERROR(SUMPRODUCT((ISNUMBER(SEARCH(B22,'Data - SSV'!AE$6:AE$3000)))*('Data - SSV'!AF$6:AF$3000&gt;=(AJ$3-90))*('Data - SSV'!AF$6:AF$3000&lt;=AJ$3)*('Data - SSV'!AH$6:AH$3000&lt;&gt;"")*IF('Data - SSV'!AH$6:AH$3000="",0,'Data - SSV'!AH$6:AH$3000))/AN22,3)=4,4,IF(IFERROR(SUMPRODUCT((ISNUMBER(SEARCH(B22,'Data - SSV'!AE$6:AE$3000)))*('Data - SSV'!AF$6:AF$3000&gt;=(AJ$3-90))*('Data - SSV'!AF$6:AF$3000&lt;=AJ$3)*('Data - SSV'!AH$6:AH$3000&lt;&gt;"")*IF('Data - SSV'!AH$6:AH$3000="",0,'Data - SSV'!AH$6:AH$3000))/AN22,3)&gt;=3,3,IF(IFERROR(SUMPRODUCT((ISNUMBER(SEARCH(B22,'Data - SSV'!AE$6:AE$3000)))*('Data - SSV'!AF$6:AF$3000&gt;=(AJ$3-90))*('Data - SSV'!AF$6:AF$3000&lt;=AJ$3)*('Data - SSV'!AH$6:AH$3000&lt;&gt;"")*IF('Data - SSV'!AH$6:AH$3000="",0,'Data - SSV'!AH$6:AH$3000))/AN22,3)&gt;=2,2,1))),IF(IFERROR(SUMPRODUCT((ISNUMBER(SEARCH(B22,'Data - SSV'!AE$6:AE$3000)))*('Data - SSV'!AF$6:AF$3000&gt;=(AJ$3-90))*('Data - SSV'!AF$6:AF$3000&lt;=AJ$3)*('Data - SSV'!AH$6:AH$3000&lt;&gt;"")*IF('Data - SSV'!AH$6:AH$3000="",0,'Data - SSV'!AH$6:AH$3000))/AN22,3)=4,5,IF(IFERROR(SUMPRODUCT((ISNUMBER(SEARCH(B22,'Data - SSV'!AE$6:AE$3000)))*('Data - SSV'!AF$6:AF$3000&gt;=(AJ$3-90))*('Data - SSV'!AF$6:AF$3000&lt;=AJ$3)*('Data - SSV'!AH$6:AH$3000&lt;&gt;"")*IF('Data - SSV'!AH$6:AH$3000="",0,'Data - SSV'!AH$6:AH$3000))/AN22,3)&gt;=3.5,4,IF(IFERROR(SUMPRODUCT((ISNUMBER(SEARCH(B22,'Data - SSV'!AE$6:AE$3000)))*('Data - SSV'!AF$6:AF$3000&gt;=(AJ$3-90))*('Data - SSV'!AF$6:AF$3000&lt;=AJ$3)*('Data - SSV'!AH$6:AH$3000&lt;&gt;"")*IF('Data - SSV'!AH$6:AH$3000="",0,'Data - SSV'!AH$6:AH$3000))/AN22,3)&gt;=3,3,IF(IFERROR(SUMPRODUCT((ISNUMBER(SEARCH(B22,'Data - SSV'!AE$6:AE$3000)))*('Data - SSV'!AF$6:AF$3000&gt;=(AJ$3-90))*('Data - SSV'!AF$6:AF$3000&lt;=AJ$3)*('Data - SSV'!AH$6:AH$3000&lt;&gt;"")*IF('Data - SSV'!AH$6:AH$3000="",0,'Data - SSV'!AH$6:AH$3000))/AN22,3)&gt;=2,2,1)))))))</f>
        <v/>
      </c>
    </row>
    <row r="23" ht="19.5" customHeight="1" s="146">
      <c r="A23" s="6">
        <f>'Field Teams'!A24</f>
        <v/>
      </c>
      <c r="B23" s="28">
        <f>'Field Teams'!B24</f>
        <v/>
      </c>
      <c r="C23" s="28">
        <f>'Field Teams'!C24</f>
        <v/>
      </c>
      <c r="D23" s="6">
        <f>'Field Teams'!D24</f>
        <v/>
      </c>
      <c r="E23" s="6">
        <f>'Field Teams'!E24</f>
        <v/>
      </c>
      <c r="F23" s="6">
        <f>'Field Teams'!F24</f>
        <v/>
      </c>
      <c r="G23" s="6">
        <f>'Field Teams'!G24</f>
        <v/>
      </c>
      <c r="H23" s="31">
        <f>'Field Teams'!H24</f>
        <v/>
      </c>
      <c r="I23" s="31">
        <f>H23*2</f>
        <v/>
      </c>
      <c r="J23" s="31">
        <f>IFERROR(SUMPRODUCT((((ISNUMBER(SEARCH(B23,'Data - HSQE Events'!V$6:V$3000))+ISNUMBER(SEARCH(B23,'Data - HSQE Events'!H$6:H$3000)))&gt;0))*('Data - HSQE Events'!F$6:F$3000&gt;=$AG$3)*('Data - HSQE Events'!F$6:F$3000&lt;=$AJ$3)*('Data - HSQE Events'!R$6:R$3000="Opportunity")),0)</f>
        <v/>
      </c>
      <c r="K23" s="31">
        <f>IFERROR(SUMPRODUCT((((ISNUMBER(SEARCH(B23,'Data - HSQE Events'!V$6:V$3000))+ISNUMBER(SEARCH(B23,'Data - HSQE Events'!H$6:H$3000)))&gt;0))*('Data - HSQE Events'!F$6:F$3000&gt;=$AG$3)*('Data - HSQE Events'!F$6:F$3000&lt;=$AJ$3)*('Data - HSQE Events'!R$6:R$3000="Minor")),0)</f>
        <v/>
      </c>
      <c r="L23" s="31">
        <f>IFERROR(SUMPRODUCT((((ISNUMBER(SEARCH(B23,'Data - HSQE Events'!V$6:V$3000))+ISNUMBER(SEARCH(B23,'Data - HSQE Events'!H$6:H$3000)))&gt;0))*('Data - HSQE Events'!F$6:F$3000&gt;=$AG$3)*('Data - HSQE Events'!F$6:F$3000&lt;=$AJ$3)*(('Data - HSQE Events'!R$6:R$3000="Moderate")+('Data - HSQE Events'!R$6:R$3000="Major"))),0)</f>
        <v/>
      </c>
      <c r="M23" s="31">
        <f>IF(IFERROR(SUMPRODUCT((((ISNUMBER(SEARCH(B23,'Data - HSQE Events'!V$6:V$3000))+ISNUMBER(SEARCH(B23,'Data - HSQE Events'!H$6:H$3000)))&gt;0))*('Data - HSQE Events'!F$6:F$3000&gt;=$AG$3)*('Data - HSQE Events'!F$6:F$3000&lt;=$AJ$3)*('Data - HSQE Events'!R$6:R$3000="Major")),0)&gt;0,"YES","NO")</f>
        <v/>
      </c>
      <c r="N23" s="31">
        <f>IFERROR(SUMPRODUCT(('Data - Skillko'!B$6:B$3000=B23)*('Data - Skillko'!C$6:C$3000="Total")*('Data - Skillko'!E$6:E$3000))*100,0)</f>
        <v/>
      </c>
      <c r="O23" s="31">
        <f>ROUND(MAX(1,MIN(5,1+N23/100*4)),1)</f>
        <v/>
      </c>
      <c r="P23" s="31">
        <f>IFERROR(SUMPRODUCT(ISNUMBER(SEARCH(B23,'Pole Results'!$A$13:$A$2000))*('Pole Results'!$B$13:$B$2000&gt;=$AG$3)*('Pole Results'!$B$13:$B$2000&lt;=$AE$3)*('Pole Results'!$E$13:$E$2000="Non-Compliant")),0)</f>
        <v/>
      </c>
      <c r="Q23" s="31">
        <f>IF(I23=0,1,IFERROR(ROUND(MAX(1,MIN(5,1+J23/I23*4)),1),3))</f>
        <v/>
      </c>
      <c r="R23" s="31">
        <f>ROUND(6-MAX(MIN(5,K23*0.8+1),MIN(5,L23*2+1)),1)</f>
        <v/>
      </c>
      <c r="S23" s="49">
        <f>IFERROR(ROUND(MAX(1,MIN(5,5-(P23/MAX(1,AI23))*4)),1),5)</f>
        <v/>
      </c>
      <c r="T23" s="31">
        <f>IF('Field Teams'!$I$24="Inactive","",ROUND((Q23*Settings!$D$6+R23*Settings!$D$7+O23*Settings!$D$10+S23*Settings!$D$12+AO23*Settings!$D$13)/Settings!$D$14,1))</f>
        <v/>
      </c>
      <c r="U23" s="115">
        <f>IF('Field Teams'!$I$24="Inactive","",IF(Q23="","",IF(Q23&gt;=4.5,"★★★★★",IF(Q23&gt;=3.5,"★★★★☆",IF(Q23&gt;=2.5,"★★★☆☆",IF(Q23&gt;=1.5,"★★☆☆☆","★☆☆☆☆"))))))</f>
        <v/>
      </c>
      <c r="V23" s="115">
        <f>IF('Field Teams'!$I$24="Inactive","",IF(R23="","",IF(R23&gt;=4.5,"★★★★★",IF(R23&gt;=3.5,"★★★★☆",IF(R23&gt;=2.5,"★★★☆☆",IF(R23&gt;=1.5,"★★☆☆☆","★☆☆☆☆"))))))</f>
        <v/>
      </c>
      <c r="W23" s="115">
        <f>IF('Field Teams'!$I$24="Inactive","",IF(O23="","",IF(O23&gt;=4.5,"★★★★★",IF(O23&gt;=3.5,"★★★★☆",IF(O23&gt;=2.5,"★★★☆☆",IF(O23&gt;=1.5,"★★☆☆☆","★☆☆☆☆"))))))</f>
        <v/>
      </c>
      <c r="X23" s="115">
        <f>IF('Field Teams'!$I$24="Inactive","",IF(S23="","",IF(S23&gt;=4.5,"★★★★★",IF(S23&gt;=3.5,"★★★★☆",IF(S23&gt;=2.5,"★★★☆☆",IF(S23&gt;=1.5,"★★☆☆☆","★☆☆☆☆"))))))</f>
        <v/>
      </c>
      <c r="Y23" s="115">
        <f>IF('Field Teams'!$I$24="Inactive","",IF(AO23="","",IF(AO23&gt;=4.5,"★★★★★",IF(AO23&gt;=3.5,"★★★★☆",IF(AO23&gt;=2.5,"★★★☆☆",IF(AO23&gt;=1.5,"★★☆☆☆","★☆☆☆☆"))))))</f>
        <v/>
      </c>
      <c r="Z23" s="115">
        <f>IF('Field Teams'!$I$5="Inactive","",IF(T23="","",IF(T23&gt;=4.5,"★★★★★",IF(T23&gt;=3.5,"★★★★☆",IF(T23&gt;=2.5,"★★★☆☆",IF(T23&gt;=1.5,"★★☆☆☆","★☆☆☆☆"))))))</f>
        <v/>
      </c>
      <c r="AA23" s="31">
        <f>IF('Field Teams'!$I$24="Inactive","",IF(M23="YES","HIGH",IF(Q23&lt;=Settings!$D$26,"HIGH",IF(T23&lt;=Settings!$D$23,"HIGH",IF(T23&lt;=Settings!$D$24,"MEDIUM","LOW")))))</f>
        <v/>
      </c>
      <c r="AB23" s="31">
        <f>IF('Field Teams'!$I$5="Inactive",-1,IFERROR((6-T23)+(77-ROW())*0.0001,0))</f>
        <v/>
      </c>
      <c r="AC23" s="35">
        <f>IF('Field Teams'!$I$5="Inactive",999,IFERROR((6-T23)+(ROW()-3)*0.0001,99))</f>
        <v/>
      </c>
      <c r="AD23" s="31">
        <f>IF('Field Teams'!$I$24="Inactive",999,IFERROR(AB23+(ROW()-3)*0.0001,99))</f>
        <v/>
      </c>
      <c r="AE23" s="29" t="n">
        <v>0</v>
      </c>
      <c r="AF23" s="31">
        <f>IF('Field Teams'!$I$24="Inactive","",IF(AA23="HIGH","YES - within 5 working days",""))</f>
        <v/>
      </c>
      <c r="AG23" s="105" t="n"/>
      <c r="AH23" s="49">
        <f>IFERROR(SUMPRODUCT(ISNUMBER(SEARCH(B23,'Pole Results'!$A$13:$A$2000))*('Pole Results'!$B$13:$B$2000&gt;=$AG$3)*('Pole Results'!$B$13:$B$2000&lt;=$AE$3)),0)</f>
        <v/>
      </c>
      <c r="AI23" s="49">
        <f>IFERROR(SUMPRODUCT(ISNUMBER(SEARCH(B23,'Pole Results'!$A$13:$A$2000))*('Pole Results'!$B$13:$B$2000&gt;=$AG$3)*('Pole Results'!$B$13:$B$2000&lt;=$AE$3)*('Pole Results'!$E$13:$E$2000="Compliant")),0)</f>
        <v/>
      </c>
      <c r="AJ23" s="105" t="n"/>
      <c r="AK23" s="106">
        <f>IF('Field Teams'!$I$24="Inactive",-1,IF(AA23="HIGH",AB23,-1))</f>
        <v/>
      </c>
      <c r="AL23" s="106">
        <f>IF('Field Teams'!$I$24="Inactive",-1,IF(OR(AA23="HIGH",AA23="MEDIUM"),AB23,-1))</f>
        <v/>
      </c>
      <c r="AM23">
        <f>IF('Field Teams'!$I$24="Inactive","",IF(IFERROR(LOOKUP(2,1/('Historical Scores'!C24:N24&lt;&gt;""),'Historical Scores'!C24:N24),"")="","New",IF(T23=""," ",IF(T23&gt;IFERROR(LOOKUP(2,1/('Historical Scores'!C24:N24&lt;&gt;""),'Historical Scores'!C24:N24),""),"▲ Worsening",IF(T23&lt;IFERROR(LOOKUP(2,1/('Historical Scores'!C24:N24&lt;&gt;""),'Historical Scores'!C24:N24),""),"▼ Improving","► Stable")))))</f>
        <v/>
      </c>
      <c r="AN23">
        <f>IFERROR(SUMPRODUCT((ISNUMBER(SEARCH(B23,'Data - SSV'!AE$6:AE$3000)))*('Data - SSV'!AF$6:AF$3000&gt;=(AJ$3-90))*('Data - SSV'!AF$6:AF$3000&lt;=AJ$3)*('Data - SSV'!AH$6:AH$3000&lt;&gt;"")),0)</f>
        <v/>
      </c>
      <c r="AO23">
        <f>IF('Field Teams'!$I$24="Inactive","",IF(AN23=0,3,IF(AN23=1,IF(IFERROR(SUMPRODUCT((ISNUMBER(SEARCH(B23,'Data - SSV'!AE$6:AE$3000)))*('Data - SSV'!AF$6:AF$3000&gt;=(AJ$3-90))*('Data - SSV'!AF$6:AF$3000&lt;=AJ$3)*('Data - SSV'!AH$6:AH$3000&lt;&gt;"")*IF('Data - SSV'!AH$6:AH$3000="",0,'Data - SSV'!AH$6:AH$3000))/AN23,3)=4,4,IF(IFERROR(SUMPRODUCT((ISNUMBER(SEARCH(B23,'Data - SSV'!AE$6:AE$3000)))*('Data - SSV'!AF$6:AF$3000&gt;=(AJ$3-90))*('Data - SSV'!AF$6:AF$3000&lt;=AJ$3)*('Data - SSV'!AH$6:AH$3000&lt;&gt;"")*IF('Data - SSV'!AH$6:AH$3000="",0,'Data - SSV'!AH$6:AH$3000))/AN23,3)&gt;=3,3,IF(IFERROR(SUMPRODUCT((ISNUMBER(SEARCH(B23,'Data - SSV'!AE$6:AE$3000)))*('Data - SSV'!AF$6:AF$3000&gt;=(AJ$3-90))*('Data - SSV'!AF$6:AF$3000&lt;=AJ$3)*('Data - SSV'!AH$6:AH$3000&lt;&gt;"")*IF('Data - SSV'!AH$6:AH$3000="",0,'Data - SSV'!AH$6:AH$3000))/AN23,3)&gt;=2,2,1))),IF(IFERROR(SUMPRODUCT((ISNUMBER(SEARCH(B23,'Data - SSV'!AE$6:AE$3000)))*('Data - SSV'!AF$6:AF$3000&gt;=(AJ$3-90))*('Data - SSV'!AF$6:AF$3000&lt;=AJ$3)*('Data - SSV'!AH$6:AH$3000&lt;&gt;"")*IF('Data - SSV'!AH$6:AH$3000="",0,'Data - SSV'!AH$6:AH$3000))/AN23,3)=4,5,IF(IFERROR(SUMPRODUCT((ISNUMBER(SEARCH(B23,'Data - SSV'!AE$6:AE$3000)))*('Data - SSV'!AF$6:AF$3000&gt;=(AJ$3-90))*('Data - SSV'!AF$6:AF$3000&lt;=AJ$3)*('Data - SSV'!AH$6:AH$3000&lt;&gt;"")*IF('Data - SSV'!AH$6:AH$3000="",0,'Data - SSV'!AH$6:AH$3000))/AN23,3)&gt;=3.5,4,IF(IFERROR(SUMPRODUCT((ISNUMBER(SEARCH(B23,'Data - SSV'!AE$6:AE$3000)))*('Data - SSV'!AF$6:AF$3000&gt;=(AJ$3-90))*('Data - SSV'!AF$6:AF$3000&lt;=AJ$3)*('Data - SSV'!AH$6:AH$3000&lt;&gt;"")*IF('Data - SSV'!AH$6:AH$3000="",0,'Data - SSV'!AH$6:AH$3000))/AN23,3)&gt;=3,3,IF(IFERROR(SUMPRODUCT((ISNUMBER(SEARCH(B23,'Data - SSV'!AE$6:AE$3000)))*('Data - SSV'!AF$6:AF$3000&gt;=(AJ$3-90))*('Data - SSV'!AF$6:AF$3000&lt;=AJ$3)*('Data - SSV'!AH$6:AH$3000&lt;&gt;"")*IF('Data - SSV'!AH$6:AH$3000="",0,'Data - SSV'!AH$6:AH$3000))/AN23,3)&gt;=2,2,1)))))))</f>
        <v/>
      </c>
    </row>
    <row r="24" ht="19.5" customHeight="1" s="146">
      <c r="A24" s="10">
        <f>'Field Teams'!A25</f>
        <v/>
      </c>
      <c r="B24" s="30">
        <f>'Field Teams'!B25</f>
        <v/>
      </c>
      <c r="C24" s="30">
        <f>'Field Teams'!C25</f>
        <v/>
      </c>
      <c r="D24" s="10">
        <f>'Field Teams'!D25</f>
        <v/>
      </c>
      <c r="E24" s="10">
        <f>'Field Teams'!E25</f>
        <v/>
      </c>
      <c r="F24" s="10">
        <f>'Field Teams'!F25</f>
        <v/>
      </c>
      <c r="G24" s="10">
        <f>'Field Teams'!G25</f>
        <v/>
      </c>
      <c r="H24" s="31">
        <f>'Field Teams'!H25</f>
        <v/>
      </c>
      <c r="I24" s="31">
        <f>H24*2</f>
        <v/>
      </c>
      <c r="J24" s="31">
        <f>IFERROR(SUMPRODUCT((((ISNUMBER(SEARCH(B24,'Data - HSQE Events'!V$6:V$3000))+ISNUMBER(SEARCH(B24,'Data - HSQE Events'!H$6:H$3000)))&gt;0))*('Data - HSQE Events'!F$6:F$3000&gt;=$AG$3)*('Data - HSQE Events'!F$6:F$3000&lt;=$AJ$3)*('Data - HSQE Events'!R$6:R$3000="Opportunity")),0)</f>
        <v/>
      </c>
      <c r="K24" s="31">
        <f>IFERROR(SUMPRODUCT((((ISNUMBER(SEARCH(B24,'Data - HSQE Events'!V$6:V$3000))+ISNUMBER(SEARCH(B24,'Data - HSQE Events'!H$6:H$3000)))&gt;0))*('Data - HSQE Events'!F$6:F$3000&gt;=$AG$3)*('Data - HSQE Events'!F$6:F$3000&lt;=$AJ$3)*('Data - HSQE Events'!R$6:R$3000="Minor")),0)</f>
        <v/>
      </c>
      <c r="L24" s="31">
        <f>IFERROR(SUMPRODUCT((((ISNUMBER(SEARCH(B24,'Data - HSQE Events'!V$6:V$3000))+ISNUMBER(SEARCH(B24,'Data - HSQE Events'!H$6:H$3000)))&gt;0))*('Data - HSQE Events'!F$6:F$3000&gt;=$AG$3)*('Data - HSQE Events'!F$6:F$3000&lt;=$AJ$3)*(('Data - HSQE Events'!R$6:R$3000="Moderate")+('Data - HSQE Events'!R$6:R$3000="Major"))),0)</f>
        <v/>
      </c>
      <c r="M24" s="31">
        <f>IF(IFERROR(SUMPRODUCT((((ISNUMBER(SEARCH(B24,'Data - HSQE Events'!V$6:V$3000))+ISNUMBER(SEARCH(B24,'Data - HSQE Events'!H$6:H$3000)))&gt;0))*('Data - HSQE Events'!F$6:F$3000&gt;=$AG$3)*('Data - HSQE Events'!F$6:F$3000&lt;=$AJ$3)*('Data - HSQE Events'!R$6:R$3000="Major")),0)&gt;0,"YES","NO")</f>
        <v/>
      </c>
      <c r="N24" s="31">
        <f>IFERROR(SUMPRODUCT(('Data - Skillko'!B$6:B$3000=B24)*('Data - Skillko'!C$6:C$3000="Total")*('Data - Skillko'!E$6:E$3000))*100,0)</f>
        <v/>
      </c>
      <c r="O24" s="31">
        <f>ROUND(MAX(1,MIN(5,1+N24/100*4)),1)</f>
        <v/>
      </c>
      <c r="P24" s="31">
        <f>IFERROR(SUMPRODUCT(ISNUMBER(SEARCH(B24,'Pole Results'!$A$13:$A$2000))*('Pole Results'!$B$13:$B$2000&gt;=$AG$3)*('Pole Results'!$B$13:$B$2000&lt;=$AE$3)*('Pole Results'!$E$13:$E$2000="Non-Compliant")),0)</f>
        <v/>
      </c>
      <c r="Q24" s="31">
        <f>IF(I24=0,1,IFERROR(ROUND(MAX(1,MIN(5,1+J24/I24*4)),1),3))</f>
        <v/>
      </c>
      <c r="R24" s="31">
        <f>ROUND(6-MAX(MIN(5,K24*0.8+1),MIN(5,L24*2+1)),1)</f>
        <v/>
      </c>
      <c r="S24" s="49">
        <f>IFERROR(ROUND(MAX(1,MIN(5,5-(P24/MAX(1,AI24))*4)),1),5)</f>
        <v/>
      </c>
      <c r="T24" s="31">
        <f>IF('Field Teams'!$I$25="Inactive","",ROUND((Q24*Settings!$D$6+R24*Settings!$D$7+O24*Settings!$D$10+S24*Settings!$D$12+AO24*Settings!$D$13)/Settings!$D$14,1))</f>
        <v/>
      </c>
      <c r="U24" s="115">
        <f>IF('Field Teams'!$I$25="Inactive","",IF(Q24="","",IF(Q24&gt;=4.5,"★★★★★",IF(Q24&gt;=3.5,"★★★★☆",IF(Q24&gt;=2.5,"★★★☆☆",IF(Q24&gt;=1.5,"★★☆☆☆","★☆☆☆☆"))))))</f>
        <v/>
      </c>
      <c r="V24" s="115">
        <f>IF('Field Teams'!$I$25="Inactive","",IF(R24="","",IF(R24&gt;=4.5,"★★★★★",IF(R24&gt;=3.5,"★★★★☆",IF(R24&gt;=2.5,"★★★☆☆",IF(R24&gt;=1.5,"★★☆☆☆","★☆☆☆☆"))))))</f>
        <v/>
      </c>
      <c r="W24" s="115">
        <f>IF('Field Teams'!$I$25="Inactive","",IF(O24="","",IF(O24&gt;=4.5,"★★★★★",IF(O24&gt;=3.5,"★★★★☆",IF(O24&gt;=2.5,"★★★☆☆",IF(O24&gt;=1.5,"★★☆☆☆","★☆☆☆☆"))))))</f>
        <v/>
      </c>
      <c r="X24" s="115">
        <f>IF('Field Teams'!$I$25="Inactive","",IF(S24="","",IF(S24&gt;=4.5,"★★★★★",IF(S24&gt;=3.5,"★★★★☆",IF(S24&gt;=2.5,"★★★☆☆",IF(S24&gt;=1.5,"★★☆☆☆","★☆☆☆☆"))))))</f>
        <v/>
      </c>
      <c r="Y24" s="115">
        <f>IF('Field Teams'!$I$25="Inactive","",IF(AO24="","",IF(AO24&gt;=4.5,"★★★★★",IF(AO24&gt;=3.5,"★★★★☆",IF(AO24&gt;=2.5,"★★★☆☆",IF(AO24&gt;=1.5,"★★☆☆☆","★☆☆☆☆"))))))</f>
        <v/>
      </c>
      <c r="Z24" s="115">
        <f>IF('Field Teams'!$I$5="Inactive","",IF(T24="","",IF(T24&gt;=4.5,"★★★★★",IF(T24&gt;=3.5,"★★★★☆",IF(T24&gt;=2.5,"★★★☆☆",IF(T24&gt;=1.5,"★★☆☆☆","★☆☆☆☆"))))))</f>
        <v/>
      </c>
      <c r="AA24" s="31">
        <f>IF('Field Teams'!$I$25="Inactive","",IF(M24="YES","HIGH",IF(Q24&lt;=Settings!$D$26,"HIGH",IF(T24&lt;=Settings!$D$23,"HIGH",IF(T24&lt;=Settings!$D$24,"MEDIUM","LOW")))))</f>
        <v/>
      </c>
      <c r="AB24" s="31">
        <f>IF('Field Teams'!$I$5="Inactive",-1,IFERROR((6-T24)+(77-ROW())*0.0001,0))</f>
        <v/>
      </c>
      <c r="AC24" s="35">
        <f>IF('Field Teams'!$I$5="Inactive",999,IFERROR((6-T24)+(ROW()-3)*0.0001,99))</f>
        <v/>
      </c>
      <c r="AD24" s="31">
        <f>IF('Field Teams'!$I$25="Inactive",999,IFERROR(AB24+(ROW()-3)*0.0001,99))</f>
        <v/>
      </c>
      <c r="AE24" s="29" t="n">
        <v>0</v>
      </c>
      <c r="AF24" s="31">
        <f>IF('Field Teams'!$I$25="Inactive","",IF(AA24="HIGH","YES - within 5 working days",""))</f>
        <v/>
      </c>
      <c r="AG24" s="105" t="n"/>
      <c r="AH24" s="49">
        <f>IFERROR(SUMPRODUCT(ISNUMBER(SEARCH(B24,'Pole Results'!$A$13:$A$2000))*('Pole Results'!$B$13:$B$2000&gt;=$AG$3)*('Pole Results'!$B$13:$B$2000&lt;=$AE$3)),0)</f>
        <v/>
      </c>
      <c r="AI24" s="49">
        <f>IFERROR(SUMPRODUCT(ISNUMBER(SEARCH(B24,'Pole Results'!$A$13:$A$2000))*('Pole Results'!$B$13:$B$2000&gt;=$AG$3)*('Pole Results'!$B$13:$B$2000&lt;=$AE$3)*('Pole Results'!$E$13:$E$2000="Compliant")),0)</f>
        <v/>
      </c>
      <c r="AJ24" s="105" t="n"/>
      <c r="AK24" s="106">
        <f>IF('Field Teams'!$I$25="Inactive",-1,IF(AA24="HIGH",AB24,-1))</f>
        <v/>
      </c>
      <c r="AL24" s="106">
        <f>IF('Field Teams'!$I$25="Inactive",-1,IF(OR(AA24="HIGH",AA24="MEDIUM"),AB24,-1))</f>
        <v/>
      </c>
      <c r="AM24">
        <f>IF('Field Teams'!$I$25="Inactive","",IF(IFERROR(LOOKUP(2,1/('Historical Scores'!C25:N25&lt;&gt;""),'Historical Scores'!C25:N25),"")="","New",IF(T24=""," ",IF(T24&gt;IFERROR(LOOKUP(2,1/('Historical Scores'!C25:N25&lt;&gt;""),'Historical Scores'!C25:N25),""),"▲ Worsening",IF(T24&lt;IFERROR(LOOKUP(2,1/('Historical Scores'!C25:N25&lt;&gt;""),'Historical Scores'!C25:N25),""),"▼ Improving","► Stable")))))</f>
        <v/>
      </c>
      <c r="AN24">
        <f>IFERROR(SUMPRODUCT((ISNUMBER(SEARCH(B24,'Data - SSV'!AE$6:AE$3000)))*('Data - SSV'!AF$6:AF$3000&gt;=(AJ$3-90))*('Data - SSV'!AF$6:AF$3000&lt;=AJ$3)*('Data - SSV'!AH$6:AH$3000&lt;&gt;"")),0)</f>
        <v/>
      </c>
      <c r="AO24">
        <f>IF('Field Teams'!$I$25="Inactive","",IF(AN24=0,3,IF(AN24=1,IF(IFERROR(SUMPRODUCT((ISNUMBER(SEARCH(B24,'Data - SSV'!AE$6:AE$3000)))*('Data - SSV'!AF$6:AF$3000&gt;=(AJ$3-90))*('Data - SSV'!AF$6:AF$3000&lt;=AJ$3)*('Data - SSV'!AH$6:AH$3000&lt;&gt;"")*IF('Data - SSV'!AH$6:AH$3000="",0,'Data - SSV'!AH$6:AH$3000))/AN24,3)=4,4,IF(IFERROR(SUMPRODUCT((ISNUMBER(SEARCH(B24,'Data - SSV'!AE$6:AE$3000)))*('Data - SSV'!AF$6:AF$3000&gt;=(AJ$3-90))*('Data - SSV'!AF$6:AF$3000&lt;=AJ$3)*('Data - SSV'!AH$6:AH$3000&lt;&gt;"")*IF('Data - SSV'!AH$6:AH$3000="",0,'Data - SSV'!AH$6:AH$3000))/AN24,3)&gt;=3,3,IF(IFERROR(SUMPRODUCT((ISNUMBER(SEARCH(B24,'Data - SSV'!AE$6:AE$3000)))*('Data - SSV'!AF$6:AF$3000&gt;=(AJ$3-90))*('Data - SSV'!AF$6:AF$3000&lt;=AJ$3)*('Data - SSV'!AH$6:AH$3000&lt;&gt;"")*IF('Data - SSV'!AH$6:AH$3000="",0,'Data - SSV'!AH$6:AH$3000))/AN24,3)&gt;=2,2,1))),IF(IFERROR(SUMPRODUCT((ISNUMBER(SEARCH(B24,'Data - SSV'!AE$6:AE$3000)))*('Data - SSV'!AF$6:AF$3000&gt;=(AJ$3-90))*('Data - SSV'!AF$6:AF$3000&lt;=AJ$3)*('Data - SSV'!AH$6:AH$3000&lt;&gt;"")*IF('Data - SSV'!AH$6:AH$3000="",0,'Data - SSV'!AH$6:AH$3000))/AN24,3)=4,5,IF(IFERROR(SUMPRODUCT((ISNUMBER(SEARCH(B24,'Data - SSV'!AE$6:AE$3000)))*('Data - SSV'!AF$6:AF$3000&gt;=(AJ$3-90))*('Data - SSV'!AF$6:AF$3000&lt;=AJ$3)*('Data - SSV'!AH$6:AH$3000&lt;&gt;"")*IF('Data - SSV'!AH$6:AH$3000="",0,'Data - SSV'!AH$6:AH$3000))/AN24,3)&gt;=3.5,4,IF(IFERROR(SUMPRODUCT((ISNUMBER(SEARCH(B24,'Data - SSV'!AE$6:AE$3000)))*('Data - SSV'!AF$6:AF$3000&gt;=(AJ$3-90))*('Data - SSV'!AF$6:AF$3000&lt;=AJ$3)*('Data - SSV'!AH$6:AH$3000&lt;&gt;"")*IF('Data - SSV'!AH$6:AH$3000="",0,'Data - SSV'!AH$6:AH$3000))/AN24,3)&gt;=3,3,IF(IFERROR(SUMPRODUCT((ISNUMBER(SEARCH(B24,'Data - SSV'!AE$6:AE$3000)))*('Data - SSV'!AF$6:AF$3000&gt;=(AJ$3-90))*('Data - SSV'!AF$6:AF$3000&lt;=AJ$3)*('Data - SSV'!AH$6:AH$3000&lt;&gt;"")*IF('Data - SSV'!AH$6:AH$3000="",0,'Data - SSV'!AH$6:AH$3000))/AN24,3)&gt;=2,2,1)))))))</f>
        <v/>
      </c>
    </row>
    <row r="25" ht="19.5" customHeight="1" s="146">
      <c r="A25" s="6">
        <f>'Field Teams'!A26</f>
        <v/>
      </c>
      <c r="B25" s="28">
        <f>'Field Teams'!B26</f>
        <v/>
      </c>
      <c r="C25" s="28">
        <f>'Field Teams'!C26</f>
        <v/>
      </c>
      <c r="D25" s="6">
        <f>'Field Teams'!D26</f>
        <v/>
      </c>
      <c r="E25" s="6">
        <f>'Field Teams'!E26</f>
        <v/>
      </c>
      <c r="F25" s="6">
        <f>'Field Teams'!F26</f>
        <v/>
      </c>
      <c r="G25" s="6">
        <f>'Field Teams'!G26</f>
        <v/>
      </c>
      <c r="H25" s="31">
        <f>'Field Teams'!H26</f>
        <v/>
      </c>
      <c r="I25" s="31">
        <f>H25*2</f>
        <v/>
      </c>
      <c r="J25" s="31">
        <f>IFERROR(SUMPRODUCT((((ISNUMBER(SEARCH(B25,'Data - HSQE Events'!V$6:V$3000))+ISNUMBER(SEARCH(B25,'Data - HSQE Events'!H$6:H$3000)))&gt;0))*('Data - HSQE Events'!F$6:F$3000&gt;=$AG$3)*('Data - HSQE Events'!F$6:F$3000&lt;=$AJ$3)*('Data - HSQE Events'!R$6:R$3000="Opportunity")),0)</f>
        <v/>
      </c>
      <c r="K25" s="31">
        <f>IFERROR(SUMPRODUCT((((ISNUMBER(SEARCH(B25,'Data - HSQE Events'!V$6:V$3000))+ISNUMBER(SEARCH(B25,'Data - HSQE Events'!H$6:H$3000)))&gt;0))*('Data - HSQE Events'!F$6:F$3000&gt;=$AG$3)*('Data - HSQE Events'!F$6:F$3000&lt;=$AJ$3)*('Data - HSQE Events'!R$6:R$3000="Minor")),0)</f>
        <v/>
      </c>
      <c r="L25" s="31">
        <f>IFERROR(SUMPRODUCT((((ISNUMBER(SEARCH(B25,'Data - HSQE Events'!V$6:V$3000))+ISNUMBER(SEARCH(B25,'Data - HSQE Events'!H$6:H$3000)))&gt;0))*('Data - HSQE Events'!F$6:F$3000&gt;=$AG$3)*('Data - HSQE Events'!F$6:F$3000&lt;=$AJ$3)*(('Data - HSQE Events'!R$6:R$3000="Moderate")+('Data - HSQE Events'!R$6:R$3000="Major"))),0)</f>
        <v/>
      </c>
      <c r="M25" s="31">
        <f>IF(IFERROR(SUMPRODUCT((((ISNUMBER(SEARCH(B25,'Data - HSQE Events'!V$6:V$3000))+ISNUMBER(SEARCH(B25,'Data - HSQE Events'!H$6:H$3000)))&gt;0))*('Data - HSQE Events'!F$6:F$3000&gt;=$AG$3)*('Data - HSQE Events'!F$6:F$3000&lt;=$AJ$3)*('Data - HSQE Events'!R$6:R$3000="Major")),0)&gt;0,"YES","NO")</f>
        <v/>
      </c>
      <c r="N25" s="31">
        <f>IFERROR(SUMPRODUCT(('Data - Skillko'!B$6:B$3000=B25)*('Data - Skillko'!C$6:C$3000="Total")*('Data - Skillko'!E$6:E$3000))*100,0)</f>
        <v/>
      </c>
      <c r="O25" s="31">
        <f>ROUND(MAX(1,MIN(5,1+N25/100*4)),1)</f>
        <v/>
      </c>
      <c r="P25" s="31">
        <f>IFERROR(SUMPRODUCT(ISNUMBER(SEARCH(B25,'Pole Results'!$A$13:$A$2000))*('Pole Results'!$B$13:$B$2000&gt;=$AG$3)*('Pole Results'!$B$13:$B$2000&lt;=$AE$3)*('Pole Results'!$E$13:$E$2000="Non-Compliant")),0)</f>
        <v/>
      </c>
      <c r="Q25" s="31">
        <f>IF(I25=0,1,IFERROR(ROUND(MAX(1,MIN(5,1+J25/I25*4)),1),3))</f>
        <v/>
      </c>
      <c r="R25" s="31">
        <f>ROUND(6-MAX(MIN(5,K25*0.8+1),MIN(5,L25*2+1)),1)</f>
        <v/>
      </c>
      <c r="S25" s="49">
        <f>IFERROR(ROUND(MAX(1,MIN(5,5-(P25/MAX(1,AI25))*4)),1),5)</f>
        <v/>
      </c>
      <c r="T25" s="31">
        <f>IF('Field Teams'!$I$26="Inactive","",ROUND((Q25*Settings!$D$6+R25*Settings!$D$7+O25*Settings!$D$10+S25*Settings!$D$12+AO25*Settings!$D$13)/Settings!$D$14,1))</f>
        <v/>
      </c>
      <c r="U25" s="115">
        <f>IF('Field Teams'!$I$26="Inactive","",IF(Q25="","",IF(Q25&gt;=4.5,"★★★★★",IF(Q25&gt;=3.5,"★★★★☆",IF(Q25&gt;=2.5,"★★★☆☆",IF(Q25&gt;=1.5,"★★☆☆☆","★☆☆☆☆"))))))</f>
        <v/>
      </c>
      <c r="V25" s="115">
        <f>IF('Field Teams'!$I$26="Inactive","",IF(R25="","",IF(R25&gt;=4.5,"★★★★★",IF(R25&gt;=3.5,"★★★★☆",IF(R25&gt;=2.5,"★★★☆☆",IF(R25&gt;=1.5,"★★☆☆☆","★☆☆☆☆"))))))</f>
        <v/>
      </c>
      <c r="W25" s="115">
        <f>IF('Field Teams'!$I$26="Inactive","",IF(O25="","",IF(O25&gt;=4.5,"★★★★★",IF(O25&gt;=3.5,"★★★★☆",IF(O25&gt;=2.5,"★★★☆☆",IF(O25&gt;=1.5,"★★☆☆☆","★☆☆☆☆"))))))</f>
        <v/>
      </c>
      <c r="X25" s="115">
        <f>IF('Field Teams'!$I$26="Inactive","",IF(S25="","",IF(S25&gt;=4.5,"★★★★★",IF(S25&gt;=3.5,"★★★★☆",IF(S25&gt;=2.5,"★★★☆☆",IF(S25&gt;=1.5,"★★☆☆☆","★☆☆☆☆"))))))</f>
        <v/>
      </c>
      <c r="Y25" s="115">
        <f>IF('Field Teams'!$I$26="Inactive","",IF(AO25="","",IF(AO25&gt;=4.5,"★★★★★",IF(AO25&gt;=3.5,"★★★★☆",IF(AO25&gt;=2.5,"★★★☆☆",IF(AO25&gt;=1.5,"★★☆☆☆","★☆☆☆☆"))))))</f>
        <v/>
      </c>
      <c r="Z25" s="115">
        <f>IF('Field Teams'!$I$5="Inactive","",IF(T25="","",IF(T25&gt;=4.5,"★★★★★",IF(T25&gt;=3.5,"★★★★☆",IF(T25&gt;=2.5,"★★★☆☆",IF(T25&gt;=1.5,"★★☆☆☆","★☆☆☆☆"))))))</f>
        <v/>
      </c>
      <c r="AA25" s="31">
        <f>IF('Field Teams'!$I$26="Inactive","",IF(M25="YES","HIGH",IF(Q25&lt;=Settings!$D$26,"HIGH",IF(T25&lt;=Settings!$D$23,"HIGH",IF(T25&lt;=Settings!$D$24,"MEDIUM","LOW")))))</f>
        <v/>
      </c>
      <c r="AB25" s="31">
        <f>IF('Field Teams'!$I$5="Inactive",-1,IFERROR((6-T25)+(77-ROW())*0.0001,0))</f>
        <v/>
      </c>
      <c r="AC25" s="35">
        <f>IF('Field Teams'!$I$5="Inactive",999,IFERROR((6-T25)+(ROW()-3)*0.0001,99))</f>
        <v/>
      </c>
      <c r="AD25" s="31">
        <f>IF('Field Teams'!$I$26="Inactive",999,IFERROR(AB25+(ROW()-3)*0.0001,99))</f>
        <v/>
      </c>
      <c r="AE25" s="29" t="n">
        <v>0</v>
      </c>
      <c r="AF25" s="31">
        <f>IF('Field Teams'!$I$26="Inactive","",IF(AA25="HIGH","YES - within 5 working days",""))</f>
        <v/>
      </c>
      <c r="AG25" s="105" t="n"/>
      <c r="AH25" s="49">
        <f>IFERROR(SUMPRODUCT(ISNUMBER(SEARCH(B25,'Pole Results'!$A$13:$A$2000))*('Pole Results'!$B$13:$B$2000&gt;=$AG$3)*('Pole Results'!$B$13:$B$2000&lt;=$AE$3)),0)</f>
        <v/>
      </c>
      <c r="AI25" s="49">
        <f>IFERROR(SUMPRODUCT(ISNUMBER(SEARCH(B25,'Pole Results'!$A$13:$A$2000))*('Pole Results'!$B$13:$B$2000&gt;=$AG$3)*('Pole Results'!$B$13:$B$2000&lt;=$AE$3)*('Pole Results'!$E$13:$E$2000="Compliant")),0)</f>
        <v/>
      </c>
      <c r="AJ25" s="105" t="n"/>
      <c r="AK25" s="106">
        <f>IF('Field Teams'!$I$26="Inactive",-1,IF(AA25="HIGH",AB25,-1))</f>
        <v/>
      </c>
      <c r="AL25" s="106">
        <f>IF('Field Teams'!$I$26="Inactive",-1,IF(OR(AA25="HIGH",AA25="MEDIUM"),AB25,-1))</f>
        <v/>
      </c>
      <c r="AM25">
        <f>IF('Field Teams'!$I$26="Inactive","",IF(IFERROR(LOOKUP(2,1/('Historical Scores'!C26:N26&lt;&gt;""),'Historical Scores'!C26:N26),"")="","New",IF(T25=""," ",IF(T25&gt;IFERROR(LOOKUP(2,1/('Historical Scores'!C26:N26&lt;&gt;""),'Historical Scores'!C26:N26),""),"▲ Worsening",IF(T25&lt;IFERROR(LOOKUP(2,1/('Historical Scores'!C26:N26&lt;&gt;""),'Historical Scores'!C26:N26),""),"▼ Improving","► Stable")))))</f>
        <v/>
      </c>
      <c r="AN25">
        <f>IFERROR(SUMPRODUCT((ISNUMBER(SEARCH(B25,'Data - SSV'!AE$6:AE$3000)))*('Data - SSV'!AF$6:AF$3000&gt;=(AJ$3-90))*('Data - SSV'!AF$6:AF$3000&lt;=AJ$3)*('Data - SSV'!AH$6:AH$3000&lt;&gt;"")),0)</f>
        <v/>
      </c>
      <c r="AO25">
        <f>IF('Field Teams'!$I$26="Inactive","",IF(AN25=0,3,IF(AN25=1,IF(IFERROR(SUMPRODUCT((ISNUMBER(SEARCH(B25,'Data - SSV'!AE$6:AE$3000)))*('Data - SSV'!AF$6:AF$3000&gt;=(AJ$3-90))*('Data - SSV'!AF$6:AF$3000&lt;=AJ$3)*('Data - SSV'!AH$6:AH$3000&lt;&gt;"")*IF('Data - SSV'!AH$6:AH$3000="",0,'Data - SSV'!AH$6:AH$3000))/AN25,3)=4,4,IF(IFERROR(SUMPRODUCT((ISNUMBER(SEARCH(B25,'Data - SSV'!AE$6:AE$3000)))*('Data - SSV'!AF$6:AF$3000&gt;=(AJ$3-90))*('Data - SSV'!AF$6:AF$3000&lt;=AJ$3)*('Data - SSV'!AH$6:AH$3000&lt;&gt;"")*IF('Data - SSV'!AH$6:AH$3000="",0,'Data - SSV'!AH$6:AH$3000))/AN25,3)&gt;=3,3,IF(IFERROR(SUMPRODUCT((ISNUMBER(SEARCH(B25,'Data - SSV'!AE$6:AE$3000)))*('Data - SSV'!AF$6:AF$3000&gt;=(AJ$3-90))*('Data - SSV'!AF$6:AF$3000&lt;=AJ$3)*('Data - SSV'!AH$6:AH$3000&lt;&gt;"")*IF('Data - SSV'!AH$6:AH$3000="",0,'Data - SSV'!AH$6:AH$3000))/AN25,3)&gt;=2,2,1))),IF(IFERROR(SUMPRODUCT((ISNUMBER(SEARCH(B25,'Data - SSV'!AE$6:AE$3000)))*('Data - SSV'!AF$6:AF$3000&gt;=(AJ$3-90))*('Data - SSV'!AF$6:AF$3000&lt;=AJ$3)*('Data - SSV'!AH$6:AH$3000&lt;&gt;"")*IF('Data - SSV'!AH$6:AH$3000="",0,'Data - SSV'!AH$6:AH$3000))/AN25,3)=4,5,IF(IFERROR(SUMPRODUCT((ISNUMBER(SEARCH(B25,'Data - SSV'!AE$6:AE$3000)))*('Data - SSV'!AF$6:AF$3000&gt;=(AJ$3-90))*('Data - SSV'!AF$6:AF$3000&lt;=AJ$3)*('Data - SSV'!AH$6:AH$3000&lt;&gt;"")*IF('Data - SSV'!AH$6:AH$3000="",0,'Data - SSV'!AH$6:AH$3000))/AN25,3)&gt;=3.5,4,IF(IFERROR(SUMPRODUCT((ISNUMBER(SEARCH(B25,'Data - SSV'!AE$6:AE$3000)))*('Data - SSV'!AF$6:AF$3000&gt;=(AJ$3-90))*('Data - SSV'!AF$6:AF$3000&lt;=AJ$3)*('Data - SSV'!AH$6:AH$3000&lt;&gt;"")*IF('Data - SSV'!AH$6:AH$3000="",0,'Data - SSV'!AH$6:AH$3000))/AN25,3)&gt;=3,3,IF(IFERROR(SUMPRODUCT((ISNUMBER(SEARCH(B25,'Data - SSV'!AE$6:AE$3000)))*('Data - SSV'!AF$6:AF$3000&gt;=(AJ$3-90))*('Data - SSV'!AF$6:AF$3000&lt;=AJ$3)*('Data - SSV'!AH$6:AH$3000&lt;&gt;"")*IF('Data - SSV'!AH$6:AH$3000="",0,'Data - SSV'!AH$6:AH$3000))/AN25,3)&gt;=2,2,1)))))))</f>
        <v/>
      </c>
    </row>
    <row r="26" ht="19.5" customHeight="1" s="146">
      <c r="A26" s="10">
        <f>'Field Teams'!A27</f>
        <v/>
      </c>
      <c r="B26" s="30">
        <f>'Field Teams'!B27</f>
        <v/>
      </c>
      <c r="C26" s="30">
        <f>'Field Teams'!C27</f>
        <v/>
      </c>
      <c r="D26" s="10">
        <f>'Field Teams'!D27</f>
        <v/>
      </c>
      <c r="E26" s="10">
        <f>'Field Teams'!E27</f>
        <v/>
      </c>
      <c r="F26" s="10">
        <f>'Field Teams'!F27</f>
        <v/>
      </c>
      <c r="G26" s="10">
        <f>'Field Teams'!G27</f>
        <v/>
      </c>
      <c r="H26" s="31">
        <f>'Field Teams'!H27</f>
        <v/>
      </c>
      <c r="I26" s="31">
        <f>H26*2</f>
        <v/>
      </c>
      <c r="J26" s="31">
        <f>IFERROR(SUMPRODUCT((((ISNUMBER(SEARCH(B26,'Data - HSQE Events'!V$6:V$3000))+ISNUMBER(SEARCH(B26,'Data - HSQE Events'!H$6:H$3000)))&gt;0))*('Data - HSQE Events'!F$6:F$3000&gt;=$AG$3)*('Data - HSQE Events'!F$6:F$3000&lt;=$AJ$3)*('Data - HSQE Events'!R$6:R$3000="Opportunity")),0)</f>
        <v/>
      </c>
      <c r="K26" s="31">
        <f>IFERROR(SUMPRODUCT((((ISNUMBER(SEARCH(B26,'Data - HSQE Events'!V$6:V$3000))+ISNUMBER(SEARCH(B26,'Data - HSQE Events'!H$6:H$3000)))&gt;0))*('Data - HSQE Events'!F$6:F$3000&gt;=$AG$3)*('Data - HSQE Events'!F$6:F$3000&lt;=$AJ$3)*('Data - HSQE Events'!R$6:R$3000="Minor")),0)</f>
        <v/>
      </c>
      <c r="L26" s="31">
        <f>IFERROR(SUMPRODUCT((((ISNUMBER(SEARCH(B26,'Data - HSQE Events'!V$6:V$3000))+ISNUMBER(SEARCH(B26,'Data - HSQE Events'!H$6:H$3000)))&gt;0))*('Data - HSQE Events'!F$6:F$3000&gt;=$AG$3)*('Data - HSQE Events'!F$6:F$3000&lt;=$AJ$3)*(('Data - HSQE Events'!R$6:R$3000="Moderate")+('Data - HSQE Events'!R$6:R$3000="Major"))),0)</f>
        <v/>
      </c>
      <c r="M26" s="31">
        <f>IF(IFERROR(SUMPRODUCT((((ISNUMBER(SEARCH(B26,'Data - HSQE Events'!V$6:V$3000))+ISNUMBER(SEARCH(B26,'Data - HSQE Events'!H$6:H$3000)))&gt;0))*('Data - HSQE Events'!F$6:F$3000&gt;=$AG$3)*('Data - HSQE Events'!F$6:F$3000&lt;=$AJ$3)*('Data - HSQE Events'!R$6:R$3000="Major")),0)&gt;0,"YES","NO")</f>
        <v/>
      </c>
      <c r="N26" s="31">
        <f>IFERROR(SUMPRODUCT(('Data - Skillko'!B$6:B$3000=B26)*('Data - Skillko'!C$6:C$3000="Total")*('Data - Skillko'!E$6:E$3000))*100,0)</f>
        <v/>
      </c>
      <c r="O26" s="31">
        <f>ROUND(MAX(1,MIN(5,1+N26/100*4)),1)</f>
        <v/>
      </c>
      <c r="P26" s="31">
        <f>IFERROR(SUMPRODUCT(ISNUMBER(SEARCH(B26,'Pole Results'!$A$13:$A$2000))*('Pole Results'!$B$13:$B$2000&gt;=$AG$3)*('Pole Results'!$B$13:$B$2000&lt;=$AE$3)*('Pole Results'!$E$13:$E$2000="Non-Compliant")),0)</f>
        <v/>
      </c>
      <c r="Q26" s="31">
        <f>IF(I26=0,1,IFERROR(ROUND(MAX(1,MIN(5,1+J26/I26*4)),1),3))</f>
        <v/>
      </c>
      <c r="R26" s="31">
        <f>ROUND(6-MAX(MIN(5,K26*0.8+1),MIN(5,L26*2+1)),1)</f>
        <v/>
      </c>
      <c r="S26" s="49">
        <f>IFERROR(ROUND(MAX(1,MIN(5,5-(P26/MAX(1,AI26))*4)),1),5)</f>
        <v/>
      </c>
      <c r="T26" s="31">
        <f>IF('Field Teams'!$I$27="Inactive","",ROUND((Q26*Settings!$D$6+R26*Settings!$D$7+O26*Settings!$D$10+S26*Settings!$D$12+AO26*Settings!$D$13)/Settings!$D$14,1))</f>
        <v/>
      </c>
      <c r="U26" s="115">
        <f>IF('Field Teams'!$I$27="Inactive","",IF(Q26="","",IF(Q26&gt;=4.5,"★★★★★",IF(Q26&gt;=3.5,"★★★★☆",IF(Q26&gt;=2.5,"★★★☆☆",IF(Q26&gt;=1.5,"★★☆☆☆","★☆☆☆☆"))))))</f>
        <v/>
      </c>
      <c r="V26" s="115">
        <f>IF('Field Teams'!$I$27="Inactive","",IF(R26="","",IF(R26&gt;=4.5,"★★★★★",IF(R26&gt;=3.5,"★★★★☆",IF(R26&gt;=2.5,"★★★☆☆",IF(R26&gt;=1.5,"★★☆☆☆","★☆☆☆☆"))))))</f>
        <v/>
      </c>
      <c r="W26" s="115">
        <f>IF('Field Teams'!$I$27="Inactive","",IF(O26="","",IF(O26&gt;=4.5,"★★★★★",IF(O26&gt;=3.5,"★★★★☆",IF(O26&gt;=2.5,"★★★☆☆",IF(O26&gt;=1.5,"★★☆☆☆","★☆☆☆☆"))))))</f>
        <v/>
      </c>
      <c r="X26" s="115">
        <f>IF('Field Teams'!$I$27="Inactive","",IF(S26="","",IF(S26&gt;=4.5,"★★★★★",IF(S26&gt;=3.5,"★★★★☆",IF(S26&gt;=2.5,"★★★☆☆",IF(S26&gt;=1.5,"★★☆☆☆","★☆☆☆☆"))))))</f>
        <v/>
      </c>
      <c r="Y26" s="115">
        <f>IF('Field Teams'!$I$27="Inactive","",IF(AO26="","",IF(AO26&gt;=4.5,"★★★★★",IF(AO26&gt;=3.5,"★★★★☆",IF(AO26&gt;=2.5,"★★★☆☆",IF(AO26&gt;=1.5,"★★☆☆☆","★☆☆☆☆"))))))</f>
        <v/>
      </c>
      <c r="Z26" s="115">
        <f>IF('Field Teams'!$I$5="Inactive","",IF(T26="","",IF(T26&gt;=4.5,"★★★★★",IF(T26&gt;=3.5,"★★★★☆",IF(T26&gt;=2.5,"★★★☆☆",IF(T26&gt;=1.5,"★★☆☆☆","★☆☆☆☆"))))))</f>
        <v/>
      </c>
      <c r="AA26" s="31">
        <f>IF('Field Teams'!$I$27="Inactive","",IF(M26="YES","HIGH",IF(Q26&lt;=Settings!$D$26,"HIGH",IF(T26&lt;=Settings!$D$23,"HIGH",IF(T26&lt;=Settings!$D$24,"MEDIUM","LOW")))))</f>
        <v/>
      </c>
      <c r="AB26" s="31">
        <f>IF('Field Teams'!$I$5="Inactive",-1,IFERROR((6-T26)+(77-ROW())*0.0001,0))</f>
        <v/>
      </c>
      <c r="AC26" s="35">
        <f>IF('Field Teams'!$I$5="Inactive",999,IFERROR((6-T26)+(ROW()-3)*0.0001,99))</f>
        <v/>
      </c>
      <c r="AD26" s="31">
        <f>IF('Field Teams'!$I$27="Inactive",999,IFERROR(AB26+(ROW()-3)*0.0001,99))</f>
        <v/>
      </c>
      <c r="AE26" s="29" t="n">
        <v>0</v>
      </c>
      <c r="AF26" s="31">
        <f>IF('Field Teams'!$I$27="Inactive","",IF(AA26="HIGH","YES - within 5 working days",""))</f>
        <v/>
      </c>
      <c r="AG26" s="105" t="n"/>
      <c r="AH26" s="49">
        <f>IFERROR(SUMPRODUCT(ISNUMBER(SEARCH(B26,'Pole Results'!$A$13:$A$2000))*('Pole Results'!$B$13:$B$2000&gt;=$AG$3)*('Pole Results'!$B$13:$B$2000&lt;=$AE$3)),0)</f>
        <v/>
      </c>
      <c r="AI26" s="49">
        <f>IFERROR(SUMPRODUCT(ISNUMBER(SEARCH(B26,'Pole Results'!$A$13:$A$2000))*('Pole Results'!$B$13:$B$2000&gt;=$AG$3)*('Pole Results'!$B$13:$B$2000&lt;=$AE$3)*('Pole Results'!$E$13:$E$2000="Compliant")),0)</f>
        <v/>
      </c>
      <c r="AJ26" s="105" t="n"/>
      <c r="AK26" s="106">
        <f>IF('Field Teams'!$I$27="Inactive",-1,IF(AA26="HIGH",AB26,-1))</f>
        <v/>
      </c>
      <c r="AL26" s="106">
        <f>IF('Field Teams'!$I$27="Inactive",-1,IF(OR(AA26="HIGH",AA26="MEDIUM"),AB26,-1))</f>
        <v/>
      </c>
      <c r="AM26">
        <f>IF('Field Teams'!$I$27="Inactive","",IF(IFERROR(LOOKUP(2,1/('Historical Scores'!C27:N27&lt;&gt;""),'Historical Scores'!C27:N27),"")="","New",IF(T26=""," ",IF(T26&gt;IFERROR(LOOKUP(2,1/('Historical Scores'!C27:N27&lt;&gt;""),'Historical Scores'!C27:N27),""),"▲ Worsening",IF(T26&lt;IFERROR(LOOKUP(2,1/('Historical Scores'!C27:N27&lt;&gt;""),'Historical Scores'!C27:N27),""),"▼ Improving","► Stable")))))</f>
        <v/>
      </c>
      <c r="AN26">
        <f>IFERROR(SUMPRODUCT((ISNUMBER(SEARCH(B26,'Data - SSV'!AE$6:AE$3000)))*('Data - SSV'!AF$6:AF$3000&gt;=(AJ$3-90))*('Data - SSV'!AF$6:AF$3000&lt;=AJ$3)*('Data - SSV'!AH$6:AH$3000&lt;&gt;"")),0)</f>
        <v/>
      </c>
      <c r="AO26">
        <f>IF('Field Teams'!$I$27="Inactive","",IF(AN26=0,3,IF(AN26=1,IF(IFERROR(SUMPRODUCT((ISNUMBER(SEARCH(B26,'Data - SSV'!AE$6:AE$3000)))*('Data - SSV'!AF$6:AF$3000&gt;=(AJ$3-90))*('Data - SSV'!AF$6:AF$3000&lt;=AJ$3)*('Data - SSV'!AH$6:AH$3000&lt;&gt;"")*IF('Data - SSV'!AH$6:AH$3000="",0,'Data - SSV'!AH$6:AH$3000))/AN26,3)=4,4,IF(IFERROR(SUMPRODUCT((ISNUMBER(SEARCH(B26,'Data - SSV'!AE$6:AE$3000)))*('Data - SSV'!AF$6:AF$3000&gt;=(AJ$3-90))*('Data - SSV'!AF$6:AF$3000&lt;=AJ$3)*('Data - SSV'!AH$6:AH$3000&lt;&gt;"")*IF('Data - SSV'!AH$6:AH$3000="",0,'Data - SSV'!AH$6:AH$3000))/AN26,3)&gt;=3,3,IF(IFERROR(SUMPRODUCT((ISNUMBER(SEARCH(B26,'Data - SSV'!AE$6:AE$3000)))*('Data - SSV'!AF$6:AF$3000&gt;=(AJ$3-90))*('Data - SSV'!AF$6:AF$3000&lt;=AJ$3)*('Data - SSV'!AH$6:AH$3000&lt;&gt;"")*IF('Data - SSV'!AH$6:AH$3000="",0,'Data - SSV'!AH$6:AH$3000))/AN26,3)&gt;=2,2,1))),IF(IFERROR(SUMPRODUCT((ISNUMBER(SEARCH(B26,'Data - SSV'!AE$6:AE$3000)))*('Data - SSV'!AF$6:AF$3000&gt;=(AJ$3-90))*('Data - SSV'!AF$6:AF$3000&lt;=AJ$3)*('Data - SSV'!AH$6:AH$3000&lt;&gt;"")*IF('Data - SSV'!AH$6:AH$3000="",0,'Data - SSV'!AH$6:AH$3000))/AN26,3)=4,5,IF(IFERROR(SUMPRODUCT((ISNUMBER(SEARCH(B26,'Data - SSV'!AE$6:AE$3000)))*('Data - SSV'!AF$6:AF$3000&gt;=(AJ$3-90))*('Data - SSV'!AF$6:AF$3000&lt;=AJ$3)*('Data - SSV'!AH$6:AH$3000&lt;&gt;"")*IF('Data - SSV'!AH$6:AH$3000="",0,'Data - SSV'!AH$6:AH$3000))/AN26,3)&gt;=3.5,4,IF(IFERROR(SUMPRODUCT((ISNUMBER(SEARCH(B26,'Data - SSV'!AE$6:AE$3000)))*('Data - SSV'!AF$6:AF$3000&gt;=(AJ$3-90))*('Data - SSV'!AF$6:AF$3000&lt;=AJ$3)*('Data - SSV'!AH$6:AH$3000&lt;&gt;"")*IF('Data - SSV'!AH$6:AH$3000="",0,'Data - SSV'!AH$6:AH$3000))/AN26,3)&gt;=3,3,IF(IFERROR(SUMPRODUCT((ISNUMBER(SEARCH(B26,'Data - SSV'!AE$6:AE$3000)))*('Data - SSV'!AF$6:AF$3000&gt;=(AJ$3-90))*('Data - SSV'!AF$6:AF$3000&lt;=AJ$3)*('Data - SSV'!AH$6:AH$3000&lt;&gt;"")*IF('Data - SSV'!AH$6:AH$3000="",0,'Data - SSV'!AH$6:AH$3000))/AN26,3)&gt;=2,2,1)))))))</f>
        <v/>
      </c>
    </row>
    <row r="27" ht="19.5" customHeight="1" s="146">
      <c r="A27" s="6">
        <f>'Field Teams'!A28</f>
        <v/>
      </c>
      <c r="B27" s="28">
        <f>'Field Teams'!B28</f>
        <v/>
      </c>
      <c r="C27" s="28">
        <f>'Field Teams'!C28</f>
        <v/>
      </c>
      <c r="D27" s="6">
        <f>'Field Teams'!D28</f>
        <v/>
      </c>
      <c r="E27" s="6">
        <f>'Field Teams'!E28</f>
        <v/>
      </c>
      <c r="F27" s="6">
        <f>'Field Teams'!F28</f>
        <v/>
      </c>
      <c r="G27" s="6">
        <f>'Field Teams'!G28</f>
        <v/>
      </c>
      <c r="H27" s="31">
        <f>'Field Teams'!H28</f>
        <v/>
      </c>
      <c r="I27" s="31">
        <f>H27*2</f>
        <v/>
      </c>
      <c r="J27" s="31">
        <f>IFERROR(SUMPRODUCT((((ISNUMBER(SEARCH(B27,'Data - HSQE Events'!V$6:V$3000))+ISNUMBER(SEARCH(B27,'Data - HSQE Events'!H$6:H$3000)))&gt;0))*('Data - HSQE Events'!F$6:F$3000&gt;=$AG$3)*('Data - HSQE Events'!F$6:F$3000&lt;=$AJ$3)*('Data - HSQE Events'!R$6:R$3000="Opportunity")),0)</f>
        <v/>
      </c>
      <c r="K27" s="31">
        <f>IFERROR(SUMPRODUCT((((ISNUMBER(SEARCH(B27,'Data - HSQE Events'!V$6:V$3000))+ISNUMBER(SEARCH(B27,'Data - HSQE Events'!H$6:H$3000)))&gt;0))*('Data - HSQE Events'!F$6:F$3000&gt;=$AG$3)*('Data - HSQE Events'!F$6:F$3000&lt;=$AJ$3)*('Data - HSQE Events'!R$6:R$3000="Minor")),0)</f>
        <v/>
      </c>
      <c r="L27" s="31">
        <f>IFERROR(SUMPRODUCT((((ISNUMBER(SEARCH(B27,'Data - HSQE Events'!V$6:V$3000))+ISNUMBER(SEARCH(B27,'Data - HSQE Events'!H$6:H$3000)))&gt;0))*('Data - HSQE Events'!F$6:F$3000&gt;=$AG$3)*('Data - HSQE Events'!F$6:F$3000&lt;=$AJ$3)*(('Data - HSQE Events'!R$6:R$3000="Moderate")+('Data - HSQE Events'!R$6:R$3000="Major"))),0)</f>
        <v/>
      </c>
      <c r="M27" s="31">
        <f>IF(IFERROR(SUMPRODUCT((((ISNUMBER(SEARCH(B27,'Data - HSQE Events'!V$6:V$3000))+ISNUMBER(SEARCH(B27,'Data - HSQE Events'!H$6:H$3000)))&gt;0))*('Data - HSQE Events'!F$6:F$3000&gt;=$AG$3)*('Data - HSQE Events'!F$6:F$3000&lt;=$AJ$3)*('Data - HSQE Events'!R$6:R$3000="Major")),0)&gt;0,"YES","NO")</f>
        <v/>
      </c>
      <c r="N27" s="31">
        <f>IFERROR(SUMPRODUCT(('Data - Skillko'!B$6:B$3000=B27)*('Data - Skillko'!C$6:C$3000="Total")*('Data - Skillko'!E$6:E$3000))*100,0)</f>
        <v/>
      </c>
      <c r="O27" s="31">
        <f>ROUND(MAX(1,MIN(5,1+N27/100*4)),1)</f>
        <v/>
      </c>
      <c r="P27" s="31">
        <f>IFERROR(SUMPRODUCT(ISNUMBER(SEARCH(B27,'Pole Results'!$A$13:$A$2000))*('Pole Results'!$B$13:$B$2000&gt;=$AG$3)*('Pole Results'!$B$13:$B$2000&lt;=$AE$3)*('Pole Results'!$E$13:$E$2000="Non-Compliant")),0)</f>
        <v/>
      </c>
      <c r="Q27" s="31">
        <f>IF(I27=0,1,IFERROR(ROUND(MAX(1,MIN(5,1+J27/I27*4)),1),3))</f>
        <v/>
      </c>
      <c r="R27" s="31">
        <f>ROUND(6-MAX(MIN(5,K27*0.8+1),MIN(5,L27*2+1)),1)</f>
        <v/>
      </c>
      <c r="S27" s="49">
        <f>IFERROR(ROUND(MAX(1,MIN(5,5-(P27/MAX(1,AI27))*4)),1),5)</f>
        <v/>
      </c>
      <c r="T27" s="31">
        <f>IF('Field Teams'!$I$28="Inactive","",ROUND((Q27*Settings!$D$6+R27*Settings!$D$7+O27*Settings!$D$10+S27*Settings!$D$12+AO27*Settings!$D$13)/Settings!$D$14,1))</f>
        <v/>
      </c>
      <c r="U27" s="115">
        <f>IF('Field Teams'!$I$28="Inactive","",IF(Q27="","",IF(Q27&gt;=4.5,"★★★★★",IF(Q27&gt;=3.5,"★★★★☆",IF(Q27&gt;=2.5,"★★★☆☆",IF(Q27&gt;=1.5,"★★☆☆☆","★☆☆☆☆"))))))</f>
        <v/>
      </c>
      <c r="V27" s="115">
        <f>IF('Field Teams'!$I$28="Inactive","",IF(R27="","",IF(R27&gt;=4.5,"★★★★★",IF(R27&gt;=3.5,"★★★★☆",IF(R27&gt;=2.5,"★★★☆☆",IF(R27&gt;=1.5,"★★☆☆☆","★☆☆☆☆"))))))</f>
        <v/>
      </c>
      <c r="W27" s="115">
        <f>IF('Field Teams'!$I$28="Inactive","",IF(O27="","",IF(O27&gt;=4.5,"★★★★★",IF(O27&gt;=3.5,"★★★★☆",IF(O27&gt;=2.5,"★★★☆☆",IF(O27&gt;=1.5,"★★☆☆☆","★☆☆☆☆"))))))</f>
        <v/>
      </c>
      <c r="X27" s="115">
        <f>IF('Field Teams'!$I$28="Inactive","",IF(S27="","",IF(S27&gt;=4.5,"★★★★★",IF(S27&gt;=3.5,"★★★★☆",IF(S27&gt;=2.5,"★★★☆☆",IF(S27&gt;=1.5,"★★☆☆☆","★☆☆☆☆"))))))</f>
        <v/>
      </c>
      <c r="Y27" s="115">
        <f>IF('Field Teams'!$I$28="Inactive","",IF(AO27="","",IF(AO27&gt;=4.5,"★★★★★",IF(AO27&gt;=3.5,"★★★★☆",IF(AO27&gt;=2.5,"★★★☆☆",IF(AO27&gt;=1.5,"★★☆☆☆","★☆☆☆☆"))))))</f>
        <v/>
      </c>
      <c r="Z27" s="115">
        <f>IF('Field Teams'!$I$5="Inactive","",IF(T27="","",IF(T27&gt;=4.5,"★★★★★",IF(T27&gt;=3.5,"★★★★☆",IF(T27&gt;=2.5,"★★★☆☆",IF(T27&gt;=1.5,"★★☆☆☆","★☆☆☆☆"))))))</f>
        <v/>
      </c>
      <c r="AA27" s="31">
        <f>IF('Field Teams'!$I$28="Inactive","",IF(M27="YES","HIGH",IF(Q27&lt;=Settings!$D$26,"HIGH",IF(T27&lt;=Settings!$D$23,"HIGH",IF(T27&lt;=Settings!$D$24,"MEDIUM","LOW")))))</f>
        <v/>
      </c>
      <c r="AB27" s="31">
        <f>IF('Field Teams'!$I$5="Inactive",-1,IFERROR((6-T27)+(77-ROW())*0.0001,0))</f>
        <v/>
      </c>
      <c r="AC27" s="35">
        <f>IF('Field Teams'!$I$5="Inactive",999,IFERROR((6-T27)+(ROW()-3)*0.0001,99))</f>
        <v/>
      </c>
      <c r="AD27" s="31">
        <f>IF('Field Teams'!$I$28="Inactive",999,IFERROR(AB27+(ROW()-3)*0.0001,99))</f>
        <v/>
      </c>
      <c r="AE27" s="29" t="n">
        <v>0</v>
      </c>
      <c r="AF27" s="31">
        <f>IF('Field Teams'!$I$28="Inactive","",IF(AA27="HIGH","YES - within 5 working days",""))</f>
        <v/>
      </c>
      <c r="AG27" s="105" t="n"/>
      <c r="AH27" s="49">
        <f>IFERROR(SUMPRODUCT(ISNUMBER(SEARCH(B27,'Pole Results'!$A$13:$A$2000))*('Pole Results'!$B$13:$B$2000&gt;=$AG$3)*('Pole Results'!$B$13:$B$2000&lt;=$AE$3)),0)</f>
        <v/>
      </c>
      <c r="AI27" s="49">
        <f>IFERROR(SUMPRODUCT(ISNUMBER(SEARCH(B27,'Pole Results'!$A$13:$A$2000))*('Pole Results'!$B$13:$B$2000&gt;=$AG$3)*('Pole Results'!$B$13:$B$2000&lt;=$AE$3)*('Pole Results'!$E$13:$E$2000="Compliant")),0)</f>
        <v/>
      </c>
      <c r="AJ27" s="105" t="n"/>
      <c r="AK27" s="106">
        <f>IF('Field Teams'!$I$28="Inactive",-1,IF(AA27="HIGH",AB27,-1))</f>
        <v/>
      </c>
      <c r="AL27" s="106">
        <f>IF('Field Teams'!$I$28="Inactive",-1,IF(OR(AA27="HIGH",AA27="MEDIUM"),AB27,-1))</f>
        <v/>
      </c>
      <c r="AM27">
        <f>IF('Field Teams'!$I$28="Inactive","",IF(IFERROR(LOOKUP(2,1/('Historical Scores'!C28:N28&lt;&gt;""),'Historical Scores'!C28:N28),"")="","New",IF(T27=""," ",IF(T27&gt;IFERROR(LOOKUP(2,1/('Historical Scores'!C28:N28&lt;&gt;""),'Historical Scores'!C28:N28),""),"▲ Worsening",IF(T27&lt;IFERROR(LOOKUP(2,1/('Historical Scores'!C28:N28&lt;&gt;""),'Historical Scores'!C28:N28),""),"▼ Improving","► Stable")))))</f>
        <v/>
      </c>
      <c r="AN27">
        <f>IFERROR(SUMPRODUCT((ISNUMBER(SEARCH(B27,'Data - SSV'!AE$6:AE$3000)))*('Data - SSV'!AF$6:AF$3000&gt;=(AJ$3-90))*('Data - SSV'!AF$6:AF$3000&lt;=AJ$3)*('Data - SSV'!AH$6:AH$3000&lt;&gt;"")),0)</f>
        <v/>
      </c>
      <c r="AO27">
        <f>IF('Field Teams'!$I$28="Inactive","",IF(AN27=0,3,IF(AN27=1,IF(IFERROR(SUMPRODUCT((ISNUMBER(SEARCH(B27,'Data - SSV'!AE$6:AE$3000)))*('Data - SSV'!AF$6:AF$3000&gt;=(AJ$3-90))*('Data - SSV'!AF$6:AF$3000&lt;=AJ$3)*('Data - SSV'!AH$6:AH$3000&lt;&gt;"")*IF('Data - SSV'!AH$6:AH$3000="",0,'Data - SSV'!AH$6:AH$3000))/AN27,3)=4,4,IF(IFERROR(SUMPRODUCT((ISNUMBER(SEARCH(B27,'Data - SSV'!AE$6:AE$3000)))*('Data - SSV'!AF$6:AF$3000&gt;=(AJ$3-90))*('Data - SSV'!AF$6:AF$3000&lt;=AJ$3)*('Data - SSV'!AH$6:AH$3000&lt;&gt;"")*IF('Data - SSV'!AH$6:AH$3000="",0,'Data - SSV'!AH$6:AH$3000))/AN27,3)&gt;=3,3,IF(IFERROR(SUMPRODUCT((ISNUMBER(SEARCH(B27,'Data - SSV'!AE$6:AE$3000)))*('Data - SSV'!AF$6:AF$3000&gt;=(AJ$3-90))*('Data - SSV'!AF$6:AF$3000&lt;=AJ$3)*('Data - SSV'!AH$6:AH$3000&lt;&gt;"")*IF('Data - SSV'!AH$6:AH$3000="",0,'Data - SSV'!AH$6:AH$3000))/AN27,3)&gt;=2,2,1))),IF(IFERROR(SUMPRODUCT((ISNUMBER(SEARCH(B27,'Data - SSV'!AE$6:AE$3000)))*('Data - SSV'!AF$6:AF$3000&gt;=(AJ$3-90))*('Data - SSV'!AF$6:AF$3000&lt;=AJ$3)*('Data - SSV'!AH$6:AH$3000&lt;&gt;"")*IF('Data - SSV'!AH$6:AH$3000="",0,'Data - SSV'!AH$6:AH$3000))/AN27,3)=4,5,IF(IFERROR(SUMPRODUCT((ISNUMBER(SEARCH(B27,'Data - SSV'!AE$6:AE$3000)))*('Data - SSV'!AF$6:AF$3000&gt;=(AJ$3-90))*('Data - SSV'!AF$6:AF$3000&lt;=AJ$3)*('Data - SSV'!AH$6:AH$3000&lt;&gt;"")*IF('Data - SSV'!AH$6:AH$3000="",0,'Data - SSV'!AH$6:AH$3000))/AN27,3)&gt;=3.5,4,IF(IFERROR(SUMPRODUCT((ISNUMBER(SEARCH(B27,'Data - SSV'!AE$6:AE$3000)))*('Data - SSV'!AF$6:AF$3000&gt;=(AJ$3-90))*('Data - SSV'!AF$6:AF$3000&lt;=AJ$3)*('Data - SSV'!AH$6:AH$3000&lt;&gt;"")*IF('Data - SSV'!AH$6:AH$3000="",0,'Data - SSV'!AH$6:AH$3000))/AN27,3)&gt;=3,3,IF(IFERROR(SUMPRODUCT((ISNUMBER(SEARCH(B27,'Data - SSV'!AE$6:AE$3000)))*('Data - SSV'!AF$6:AF$3000&gt;=(AJ$3-90))*('Data - SSV'!AF$6:AF$3000&lt;=AJ$3)*('Data - SSV'!AH$6:AH$3000&lt;&gt;"")*IF('Data - SSV'!AH$6:AH$3000="",0,'Data - SSV'!AH$6:AH$3000))/AN27,3)&gt;=2,2,1)))))))</f>
        <v/>
      </c>
    </row>
    <row r="28" ht="19.5" customHeight="1" s="146">
      <c r="A28" s="10">
        <f>'Field Teams'!A29</f>
        <v/>
      </c>
      <c r="B28" s="30">
        <f>'Field Teams'!B29</f>
        <v/>
      </c>
      <c r="C28" s="30">
        <f>'Field Teams'!C29</f>
        <v/>
      </c>
      <c r="D28" s="10">
        <f>'Field Teams'!D29</f>
        <v/>
      </c>
      <c r="E28" s="10">
        <f>'Field Teams'!E29</f>
        <v/>
      </c>
      <c r="F28" s="10">
        <f>'Field Teams'!F29</f>
        <v/>
      </c>
      <c r="G28" s="10">
        <f>'Field Teams'!G29</f>
        <v/>
      </c>
      <c r="H28" s="31">
        <f>'Field Teams'!H29</f>
        <v/>
      </c>
      <c r="I28" s="31">
        <f>H28*2</f>
        <v/>
      </c>
      <c r="J28" s="31">
        <f>IFERROR(SUMPRODUCT((((ISNUMBER(SEARCH(B28,'Data - HSQE Events'!V$6:V$3000))+ISNUMBER(SEARCH(B28,'Data - HSQE Events'!H$6:H$3000)))&gt;0))*('Data - HSQE Events'!F$6:F$3000&gt;=$AG$3)*('Data - HSQE Events'!F$6:F$3000&lt;=$AJ$3)*('Data - HSQE Events'!R$6:R$3000="Opportunity")),0)</f>
        <v/>
      </c>
      <c r="K28" s="31">
        <f>IFERROR(SUMPRODUCT((((ISNUMBER(SEARCH(B28,'Data - HSQE Events'!V$6:V$3000))+ISNUMBER(SEARCH(B28,'Data - HSQE Events'!H$6:H$3000)))&gt;0))*('Data - HSQE Events'!F$6:F$3000&gt;=$AG$3)*('Data - HSQE Events'!F$6:F$3000&lt;=$AJ$3)*('Data - HSQE Events'!R$6:R$3000="Minor")),0)</f>
        <v/>
      </c>
      <c r="L28" s="31">
        <f>IFERROR(SUMPRODUCT((((ISNUMBER(SEARCH(B28,'Data - HSQE Events'!V$6:V$3000))+ISNUMBER(SEARCH(B28,'Data - HSQE Events'!H$6:H$3000)))&gt;0))*('Data - HSQE Events'!F$6:F$3000&gt;=$AG$3)*('Data - HSQE Events'!F$6:F$3000&lt;=$AJ$3)*(('Data - HSQE Events'!R$6:R$3000="Moderate")+('Data - HSQE Events'!R$6:R$3000="Major"))),0)</f>
        <v/>
      </c>
      <c r="M28" s="31">
        <f>IF(IFERROR(SUMPRODUCT((((ISNUMBER(SEARCH(B28,'Data - HSQE Events'!V$6:V$3000))+ISNUMBER(SEARCH(B28,'Data - HSQE Events'!H$6:H$3000)))&gt;0))*('Data - HSQE Events'!F$6:F$3000&gt;=$AG$3)*('Data - HSQE Events'!F$6:F$3000&lt;=$AJ$3)*('Data - HSQE Events'!R$6:R$3000="Major")),0)&gt;0,"YES","NO")</f>
        <v/>
      </c>
      <c r="N28" s="31">
        <f>IFERROR(SUMPRODUCT(('Data - Skillko'!B$6:B$3000=B28)*('Data - Skillko'!C$6:C$3000="Total")*('Data - Skillko'!E$6:E$3000))*100,0)</f>
        <v/>
      </c>
      <c r="O28" s="31">
        <f>ROUND(MAX(1,MIN(5,1+N28/100*4)),1)</f>
        <v/>
      </c>
      <c r="P28" s="31">
        <f>IFERROR(SUMPRODUCT(ISNUMBER(SEARCH(B28,'Pole Results'!$A$13:$A$2000))*('Pole Results'!$B$13:$B$2000&gt;=$AG$3)*('Pole Results'!$B$13:$B$2000&lt;=$AE$3)*('Pole Results'!$E$13:$E$2000="Non-Compliant")),0)</f>
        <v/>
      </c>
      <c r="Q28" s="31">
        <f>IF(I28=0,1,IFERROR(ROUND(MAX(1,MIN(5,1+J28/I28*4)),1),3))</f>
        <v/>
      </c>
      <c r="R28" s="31">
        <f>ROUND(6-MAX(MIN(5,K28*0.8+1),MIN(5,L28*2+1)),1)</f>
        <v/>
      </c>
      <c r="S28" s="49">
        <f>IFERROR(ROUND(MAX(1,MIN(5,5-(P28/MAX(1,AI28))*4)),1),5)</f>
        <v/>
      </c>
      <c r="T28" s="31">
        <f>IF('Field Teams'!$I$29="Inactive","",ROUND((Q28*Settings!$D$6+R28*Settings!$D$7+O28*Settings!$D$10+S28*Settings!$D$12+AO28*Settings!$D$13)/Settings!$D$14,1))</f>
        <v/>
      </c>
      <c r="U28" s="115">
        <f>IF('Field Teams'!$I$29="Inactive","",IF(Q28="","",IF(Q28&gt;=4.5,"★★★★★",IF(Q28&gt;=3.5,"★★★★☆",IF(Q28&gt;=2.5,"★★★☆☆",IF(Q28&gt;=1.5,"★★☆☆☆","★☆☆☆☆"))))))</f>
        <v/>
      </c>
      <c r="V28" s="115">
        <f>IF('Field Teams'!$I$29="Inactive","",IF(R28="","",IF(R28&gt;=4.5,"★★★★★",IF(R28&gt;=3.5,"★★★★☆",IF(R28&gt;=2.5,"★★★☆☆",IF(R28&gt;=1.5,"★★☆☆☆","★☆☆☆☆"))))))</f>
        <v/>
      </c>
      <c r="W28" s="115">
        <f>IF('Field Teams'!$I$29="Inactive","",IF(O28="","",IF(O28&gt;=4.5,"★★★★★",IF(O28&gt;=3.5,"★★★★☆",IF(O28&gt;=2.5,"★★★☆☆",IF(O28&gt;=1.5,"★★☆☆☆","★☆☆☆☆"))))))</f>
        <v/>
      </c>
      <c r="X28" s="115">
        <f>IF('Field Teams'!$I$29="Inactive","",IF(S28="","",IF(S28&gt;=4.5,"★★★★★",IF(S28&gt;=3.5,"★★★★☆",IF(S28&gt;=2.5,"★★★☆☆",IF(S28&gt;=1.5,"★★☆☆☆","★☆☆☆☆"))))))</f>
        <v/>
      </c>
      <c r="Y28" s="115">
        <f>IF('Field Teams'!$I$29="Inactive","",IF(AO28="","",IF(AO28&gt;=4.5,"★★★★★",IF(AO28&gt;=3.5,"★★★★☆",IF(AO28&gt;=2.5,"★★★☆☆",IF(AO28&gt;=1.5,"★★☆☆☆","★☆☆☆☆"))))))</f>
        <v/>
      </c>
      <c r="Z28" s="115">
        <f>IF('Field Teams'!$I$5="Inactive","",IF(T28="","",IF(T28&gt;=4.5,"★★★★★",IF(T28&gt;=3.5,"★★★★☆",IF(T28&gt;=2.5,"★★★☆☆",IF(T28&gt;=1.5,"★★☆☆☆","★☆☆☆☆"))))))</f>
        <v/>
      </c>
      <c r="AA28" s="31">
        <f>IF('Field Teams'!$I$29="Inactive","",IF(M28="YES","HIGH",IF(Q28&lt;=Settings!$D$26,"HIGH",IF(T28&lt;=Settings!$D$23,"HIGH",IF(T28&lt;=Settings!$D$24,"MEDIUM","LOW")))))</f>
        <v/>
      </c>
      <c r="AB28" s="31">
        <f>IF('Field Teams'!$I$5="Inactive",-1,IFERROR((6-T28)+(77-ROW())*0.0001,0))</f>
        <v/>
      </c>
      <c r="AC28" s="35">
        <f>IF('Field Teams'!$I$5="Inactive",999,IFERROR((6-T28)+(ROW()-3)*0.0001,99))</f>
        <v/>
      </c>
      <c r="AD28" s="31">
        <f>IF('Field Teams'!$I$29="Inactive",999,IFERROR(AB28+(ROW()-3)*0.0001,99))</f>
        <v/>
      </c>
      <c r="AE28" s="29" t="n">
        <v>0</v>
      </c>
      <c r="AF28" s="31">
        <f>IF('Field Teams'!$I$29="Inactive","",IF(AA28="HIGH","YES - within 5 working days",""))</f>
        <v/>
      </c>
      <c r="AG28" s="105" t="n"/>
      <c r="AH28" s="49">
        <f>IFERROR(SUMPRODUCT(ISNUMBER(SEARCH(B28,'Pole Results'!$A$13:$A$2000))*('Pole Results'!$B$13:$B$2000&gt;=$AG$3)*('Pole Results'!$B$13:$B$2000&lt;=$AE$3)),0)</f>
        <v/>
      </c>
      <c r="AI28" s="49">
        <f>IFERROR(SUMPRODUCT(ISNUMBER(SEARCH(B28,'Pole Results'!$A$13:$A$2000))*('Pole Results'!$B$13:$B$2000&gt;=$AG$3)*('Pole Results'!$B$13:$B$2000&lt;=$AE$3)*('Pole Results'!$E$13:$E$2000="Compliant")),0)</f>
        <v/>
      </c>
      <c r="AJ28" s="105" t="n"/>
      <c r="AK28" s="106">
        <f>IF('Field Teams'!$I$29="Inactive",-1,IF(AA28="HIGH",AB28,-1))</f>
        <v/>
      </c>
      <c r="AL28" s="106">
        <f>IF('Field Teams'!$I$29="Inactive",-1,IF(OR(AA28="HIGH",AA28="MEDIUM"),AB28,-1))</f>
        <v/>
      </c>
      <c r="AM28">
        <f>IF('Field Teams'!$I$29="Inactive","",IF(IFERROR(LOOKUP(2,1/('Historical Scores'!C29:N29&lt;&gt;""),'Historical Scores'!C29:N29),"")="","New",IF(T28=""," ",IF(T28&gt;IFERROR(LOOKUP(2,1/('Historical Scores'!C29:N29&lt;&gt;""),'Historical Scores'!C29:N29),""),"▲ Worsening",IF(T28&lt;IFERROR(LOOKUP(2,1/('Historical Scores'!C29:N29&lt;&gt;""),'Historical Scores'!C29:N29),""),"▼ Improving","► Stable")))))</f>
        <v/>
      </c>
      <c r="AN28">
        <f>IFERROR(SUMPRODUCT((ISNUMBER(SEARCH(B28,'Data - SSV'!AE$6:AE$3000)))*('Data - SSV'!AF$6:AF$3000&gt;=(AJ$3-90))*('Data - SSV'!AF$6:AF$3000&lt;=AJ$3)*('Data - SSV'!AH$6:AH$3000&lt;&gt;"")),0)</f>
        <v/>
      </c>
      <c r="AO28">
        <f>IF('Field Teams'!$I$29="Inactive","",IF(AN28=0,3,IF(AN28=1,IF(IFERROR(SUMPRODUCT((ISNUMBER(SEARCH(B28,'Data - SSV'!AE$6:AE$3000)))*('Data - SSV'!AF$6:AF$3000&gt;=(AJ$3-90))*('Data - SSV'!AF$6:AF$3000&lt;=AJ$3)*('Data - SSV'!AH$6:AH$3000&lt;&gt;"")*IF('Data - SSV'!AH$6:AH$3000="",0,'Data - SSV'!AH$6:AH$3000))/AN28,3)=4,4,IF(IFERROR(SUMPRODUCT((ISNUMBER(SEARCH(B28,'Data - SSV'!AE$6:AE$3000)))*('Data - SSV'!AF$6:AF$3000&gt;=(AJ$3-90))*('Data - SSV'!AF$6:AF$3000&lt;=AJ$3)*('Data - SSV'!AH$6:AH$3000&lt;&gt;"")*IF('Data - SSV'!AH$6:AH$3000="",0,'Data - SSV'!AH$6:AH$3000))/AN28,3)&gt;=3,3,IF(IFERROR(SUMPRODUCT((ISNUMBER(SEARCH(B28,'Data - SSV'!AE$6:AE$3000)))*('Data - SSV'!AF$6:AF$3000&gt;=(AJ$3-90))*('Data - SSV'!AF$6:AF$3000&lt;=AJ$3)*('Data - SSV'!AH$6:AH$3000&lt;&gt;"")*IF('Data - SSV'!AH$6:AH$3000="",0,'Data - SSV'!AH$6:AH$3000))/AN28,3)&gt;=2,2,1))),IF(IFERROR(SUMPRODUCT((ISNUMBER(SEARCH(B28,'Data - SSV'!AE$6:AE$3000)))*('Data - SSV'!AF$6:AF$3000&gt;=(AJ$3-90))*('Data - SSV'!AF$6:AF$3000&lt;=AJ$3)*('Data - SSV'!AH$6:AH$3000&lt;&gt;"")*IF('Data - SSV'!AH$6:AH$3000="",0,'Data - SSV'!AH$6:AH$3000))/AN28,3)=4,5,IF(IFERROR(SUMPRODUCT((ISNUMBER(SEARCH(B28,'Data - SSV'!AE$6:AE$3000)))*('Data - SSV'!AF$6:AF$3000&gt;=(AJ$3-90))*('Data - SSV'!AF$6:AF$3000&lt;=AJ$3)*('Data - SSV'!AH$6:AH$3000&lt;&gt;"")*IF('Data - SSV'!AH$6:AH$3000="",0,'Data - SSV'!AH$6:AH$3000))/AN28,3)&gt;=3.5,4,IF(IFERROR(SUMPRODUCT((ISNUMBER(SEARCH(B28,'Data - SSV'!AE$6:AE$3000)))*('Data - SSV'!AF$6:AF$3000&gt;=(AJ$3-90))*('Data - SSV'!AF$6:AF$3000&lt;=AJ$3)*('Data - SSV'!AH$6:AH$3000&lt;&gt;"")*IF('Data - SSV'!AH$6:AH$3000="",0,'Data - SSV'!AH$6:AH$3000))/AN28,3)&gt;=3,3,IF(IFERROR(SUMPRODUCT((ISNUMBER(SEARCH(B28,'Data - SSV'!AE$6:AE$3000)))*('Data - SSV'!AF$6:AF$3000&gt;=(AJ$3-90))*('Data - SSV'!AF$6:AF$3000&lt;=AJ$3)*('Data - SSV'!AH$6:AH$3000&lt;&gt;"")*IF('Data - SSV'!AH$6:AH$3000="",0,'Data - SSV'!AH$6:AH$3000))/AN28,3)&gt;=2,2,1)))))))</f>
        <v/>
      </c>
    </row>
    <row r="29" ht="19.5" customHeight="1" s="146">
      <c r="A29" s="6">
        <f>'Field Teams'!A30</f>
        <v/>
      </c>
      <c r="B29" s="28">
        <f>'Field Teams'!B30</f>
        <v/>
      </c>
      <c r="C29" s="28">
        <f>'Field Teams'!C30</f>
        <v/>
      </c>
      <c r="D29" s="6">
        <f>'Field Teams'!D30</f>
        <v/>
      </c>
      <c r="E29" s="6">
        <f>'Field Teams'!E30</f>
        <v/>
      </c>
      <c r="F29" s="6">
        <f>'Field Teams'!F30</f>
        <v/>
      </c>
      <c r="G29" s="6">
        <f>'Field Teams'!G30</f>
        <v/>
      </c>
      <c r="H29" s="31">
        <f>'Field Teams'!H30</f>
        <v/>
      </c>
      <c r="I29" s="31">
        <f>H29*2</f>
        <v/>
      </c>
      <c r="J29" s="31">
        <f>IFERROR(SUMPRODUCT((((ISNUMBER(SEARCH(B29,'Data - HSQE Events'!V$6:V$3000))+ISNUMBER(SEARCH(B29,'Data - HSQE Events'!H$6:H$3000)))&gt;0))*('Data - HSQE Events'!F$6:F$3000&gt;=$AG$3)*('Data - HSQE Events'!F$6:F$3000&lt;=$AJ$3)*('Data - HSQE Events'!R$6:R$3000="Opportunity")),0)</f>
        <v/>
      </c>
      <c r="K29" s="31">
        <f>IFERROR(SUMPRODUCT((((ISNUMBER(SEARCH(B29,'Data - HSQE Events'!V$6:V$3000))+ISNUMBER(SEARCH(B29,'Data - HSQE Events'!H$6:H$3000)))&gt;0))*('Data - HSQE Events'!F$6:F$3000&gt;=$AG$3)*('Data - HSQE Events'!F$6:F$3000&lt;=$AJ$3)*('Data - HSQE Events'!R$6:R$3000="Minor")),0)</f>
        <v/>
      </c>
      <c r="L29" s="31">
        <f>IFERROR(SUMPRODUCT((((ISNUMBER(SEARCH(B29,'Data - HSQE Events'!V$6:V$3000))+ISNUMBER(SEARCH(B29,'Data - HSQE Events'!H$6:H$3000)))&gt;0))*('Data - HSQE Events'!F$6:F$3000&gt;=$AG$3)*('Data - HSQE Events'!F$6:F$3000&lt;=$AJ$3)*(('Data - HSQE Events'!R$6:R$3000="Moderate")+('Data - HSQE Events'!R$6:R$3000="Major"))),0)</f>
        <v/>
      </c>
      <c r="M29" s="31">
        <f>IF(IFERROR(SUMPRODUCT((((ISNUMBER(SEARCH(B29,'Data - HSQE Events'!V$6:V$3000))+ISNUMBER(SEARCH(B29,'Data - HSQE Events'!H$6:H$3000)))&gt;0))*('Data - HSQE Events'!F$6:F$3000&gt;=$AG$3)*('Data - HSQE Events'!F$6:F$3000&lt;=$AJ$3)*('Data - HSQE Events'!R$6:R$3000="Major")),0)&gt;0,"YES","NO")</f>
        <v/>
      </c>
      <c r="N29" s="31">
        <f>IFERROR(SUMPRODUCT(('Data - Skillko'!B$6:B$3000=B29)*('Data - Skillko'!C$6:C$3000="Total")*('Data - Skillko'!E$6:E$3000))*100,0)</f>
        <v/>
      </c>
      <c r="O29" s="31">
        <f>ROUND(MAX(1,MIN(5,1+N29/100*4)),1)</f>
        <v/>
      </c>
      <c r="P29" s="31">
        <f>IFERROR(SUMPRODUCT(ISNUMBER(SEARCH(B29,'Pole Results'!$A$13:$A$2000))*('Pole Results'!$B$13:$B$2000&gt;=$AG$3)*('Pole Results'!$B$13:$B$2000&lt;=$AE$3)*('Pole Results'!$E$13:$E$2000="Non-Compliant")),0)</f>
        <v/>
      </c>
      <c r="Q29" s="31">
        <f>IF(I29=0,1,IFERROR(ROUND(MAX(1,MIN(5,1+J29/I29*4)),1),3))</f>
        <v/>
      </c>
      <c r="R29" s="31">
        <f>ROUND(6-MAX(MIN(5,K29*0.8+1),MIN(5,L29*2+1)),1)</f>
        <v/>
      </c>
      <c r="S29" s="49">
        <f>IFERROR(ROUND(MAX(1,MIN(5,5-(P29/MAX(1,AI29))*4)),1),5)</f>
        <v/>
      </c>
      <c r="T29" s="31">
        <f>IF('Field Teams'!$I$30="Inactive","",ROUND((Q29*Settings!$D$6+R29*Settings!$D$7+O29*Settings!$D$10+S29*Settings!$D$12+AO29*Settings!$D$13)/Settings!$D$14,1))</f>
        <v/>
      </c>
      <c r="U29" s="115">
        <f>IF('Field Teams'!$I$30="Inactive","",IF(Q29="","",IF(Q29&gt;=4.5,"★★★★★",IF(Q29&gt;=3.5,"★★★★☆",IF(Q29&gt;=2.5,"★★★☆☆",IF(Q29&gt;=1.5,"★★☆☆☆","★☆☆☆☆"))))))</f>
        <v/>
      </c>
      <c r="V29" s="115">
        <f>IF('Field Teams'!$I$30="Inactive","",IF(R29="","",IF(R29&gt;=4.5,"★★★★★",IF(R29&gt;=3.5,"★★★★☆",IF(R29&gt;=2.5,"★★★☆☆",IF(R29&gt;=1.5,"★★☆☆☆","★☆☆☆☆"))))))</f>
        <v/>
      </c>
      <c r="W29" s="115">
        <f>IF('Field Teams'!$I$30="Inactive","",IF(O29="","",IF(O29&gt;=4.5,"★★★★★",IF(O29&gt;=3.5,"★★★★☆",IF(O29&gt;=2.5,"★★★☆☆",IF(O29&gt;=1.5,"★★☆☆☆","★☆☆☆☆"))))))</f>
        <v/>
      </c>
      <c r="X29" s="115">
        <f>IF('Field Teams'!$I$30="Inactive","",IF(S29="","",IF(S29&gt;=4.5,"★★★★★",IF(S29&gt;=3.5,"★★★★☆",IF(S29&gt;=2.5,"★★★☆☆",IF(S29&gt;=1.5,"★★☆☆☆","★☆☆☆☆"))))))</f>
        <v/>
      </c>
      <c r="Y29" s="115">
        <f>IF('Field Teams'!$I$30="Inactive","",IF(AO29="","",IF(AO29&gt;=4.5,"★★★★★",IF(AO29&gt;=3.5,"★★★★☆",IF(AO29&gt;=2.5,"★★★☆☆",IF(AO29&gt;=1.5,"★★☆☆☆","★☆☆☆☆"))))))</f>
        <v/>
      </c>
      <c r="Z29" s="115">
        <f>IF('Field Teams'!$I$5="Inactive","",IF(T29="","",IF(T29&gt;=4.5,"★★★★★",IF(T29&gt;=3.5,"★★★★☆",IF(T29&gt;=2.5,"★★★☆☆",IF(T29&gt;=1.5,"★★☆☆☆","★☆☆☆☆"))))))</f>
        <v/>
      </c>
      <c r="AA29" s="31">
        <f>IF('Field Teams'!$I$30="Inactive","",IF(M29="YES","HIGH",IF(Q29&lt;=Settings!$D$26,"HIGH",IF(T29&lt;=Settings!$D$23,"HIGH",IF(T29&lt;=Settings!$D$24,"MEDIUM","LOW")))))</f>
        <v/>
      </c>
      <c r="AB29" s="31">
        <f>IF('Field Teams'!$I$5="Inactive",-1,IFERROR((6-T29)+(77-ROW())*0.0001,0))</f>
        <v/>
      </c>
      <c r="AC29" s="35">
        <f>IF('Field Teams'!$I$5="Inactive",999,IFERROR((6-T29)+(ROW()-3)*0.0001,99))</f>
        <v/>
      </c>
      <c r="AD29" s="31">
        <f>IF('Field Teams'!$I$30="Inactive",999,IFERROR(AB29+(ROW()-3)*0.0001,99))</f>
        <v/>
      </c>
      <c r="AE29" s="29" t="n">
        <v>0</v>
      </c>
      <c r="AF29" s="31">
        <f>IF('Field Teams'!$I$30="Inactive","",IF(AA29="HIGH","YES - within 5 working days",""))</f>
        <v/>
      </c>
      <c r="AG29" s="105" t="n"/>
      <c r="AH29" s="49">
        <f>IFERROR(SUMPRODUCT(ISNUMBER(SEARCH(B29,'Pole Results'!$A$13:$A$2000))*('Pole Results'!$B$13:$B$2000&gt;=$AG$3)*('Pole Results'!$B$13:$B$2000&lt;=$AE$3)),0)</f>
        <v/>
      </c>
      <c r="AI29" s="49">
        <f>IFERROR(SUMPRODUCT(ISNUMBER(SEARCH(B29,'Pole Results'!$A$13:$A$2000))*('Pole Results'!$B$13:$B$2000&gt;=$AG$3)*('Pole Results'!$B$13:$B$2000&lt;=$AE$3)*('Pole Results'!$E$13:$E$2000="Compliant")),0)</f>
        <v/>
      </c>
      <c r="AJ29" s="105" t="n"/>
      <c r="AK29" s="106">
        <f>IF('Field Teams'!$I$30="Inactive",-1,IF(AA29="HIGH",AB29,-1))</f>
        <v/>
      </c>
      <c r="AL29" s="106">
        <f>IF('Field Teams'!$I$30="Inactive",-1,IF(OR(AA29="HIGH",AA29="MEDIUM"),AB29,-1))</f>
        <v/>
      </c>
      <c r="AM29">
        <f>IF('Field Teams'!$I$30="Inactive","",IF(IFERROR(LOOKUP(2,1/('Historical Scores'!C30:N30&lt;&gt;""),'Historical Scores'!C30:N30),"")="","New",IF(T29=""," ",IF(T29&gt;IFERROR(LOOKUP(2,1/('Historical Scores'!C30:N30&lt;&gt;""),'Historical Scores'!C30:N30),""),"▲ Worsening",IF(T29&lt;IFERROR(LOOKUP(2,1/('Historical Scores'!C30:N30&lt;&gt;""),'Historical Scores'!C30:N30),""),"▼ Improving","► Stable")))))</f>
        <v/>
      </c>
      <c r="AN29">
        <f>IFERROR(SUMPRODUCT((ISNUMBER(SEARCH(B29,'Data - SSV'!AE$6:AE$3000)))*('Data - SSV'!AF$6:AF$3000&gt;=(AJ$3-90))*('Data - SSV'!AF$6:AF$3000&lt;=AJ$3)*('Data - SSV'!AH$6:AH$3000&lt;&gt;"")),0)</f>
        <v/>
      </c>
      <c r="AO29">
        <f>IF('Field Teams'!$I$30="Inactive","",IF(AN29=0,3,IF(AN29=1,IF(IFERROR(SUMPRODUCT((ISNUMBER(SEARCH(B29,'Data - SSV'!AE$6:AE$3000)))*('Data - SSV'!AF$6:AF$3000&gt;=(AJ$3-90))*('Data - SSV'!AF$6:AF$3000&lt;=AJ$3)*('Data - SSV'!AH$6:AH$3000&lt;&gt;"")*IF('Data - SSV'!AH$6:AH$3000="",0,'Data - SSV'!AH$6:AH$3000))/AN29,3)=4,4,IF(IFERROR(SUMPRODUCT((ISNUMBER(SEARCH(B29,'Data - SSV'!AE$6:AE$3000)))*('Data - SSV'!AF$6:AF$3000&gt;=(AJ$3-90))*('Data - SSV'!AF$6:AF$3000&lt;=AJ$3)*('Data - SSV'!AH$6:AH$3000&lt;&gt;"")*IF('Data - SSV'!AH$6:AH$3000="",0,'Data - SSV'!AH$6:AH$3000))/AN29,3)&gt;=3,3,IF(IFERROR(SUMPRODUCT((ISNUMBER(SEARCH(B29,'Data - SSV'!AE$6:AE$3000)))*('Data - SSV'!AF$6:AF$3000&gt;=(AJ$3-90))*('Data - SSV'!AF$6:AF$3000&lt;=AJ$3)*('Data - SSV'!AH$6:AH$3000&lt;&gt;"")*IF('Data - SSV'!AH$6:AH$3000="",0,'Data - SSV'!AH$6:AH$3000))/AN29,3)&gt;=2,2,1))),IF(IFERROR(SUMPRODUCT((ISNUMBER(SEARCH(B29,'Data - SSV'!AE$6:AE$3000)))*('Data - SSV'!AF$6:AF$3000&gt;=(AJ$3-90))*('Data - SSV'!AF$6:AF$3000&lt;=AJ$3)*('Data - SSV'!AH$6:AH$3000&lt;&gt;"")*IF('Data - SSV'!AH$6:AH$3000="",0,'Data - SSV'!AH$6:AH$3000))/AN29,3)=4,5,IF(IFERROR(SUMPRODUCT((ISNUMBER(SEARCH(B29,'Data - SSV'!AE$6:AE$3000)))*('Data - SSV'!AF$6:AF$3000&gt;=(AJ$3-90))*('Data - SSV'!AF$6:AF$3000&lt;=AJ$3)*('Data - SSV'!AH$6:AH$3000&lt;&gt;"")*IF('Data - SSV'!AH$6:AH$3000="",0,'Data - SSV'!AH$6:AH$3000))/AN29,3)&gt;=3.5,4,IF(IFERROR(SUMPRODUCT((ISNUMBER(SEARCH(B29,'Data - SSV'!AE$6:AE$3000)))*('Data - SSV'!AF$6:AF$3000&gt;=(AJ$3-90))*('Data - SSV'!AF$6:AF$3000&lt;=AJ$3)*('Data - SSV'!AH$6:AH$3000&lt;&gt;"")*IF('Data - SSV'!AH$6:AH$3000="",0,'Data - SSV'!AH$6:AH$3000))/AN29,3)&gt;=3,3,IF(IFERROR(SUMPRODUCT((ISNUMBER(SEARCH(B29,'Data - SSV'!AE$6:AE$3000)))*('Data - SSV'!AF$6:AF$3000&gt;=(AJ$3-90))*('Data - SSV'!AF$6:AF$3000&lt;=AJ$3)*('Data - SSV'!AH$6:AH$3000&lt;&gt;"")*IF('Data - SSV'!AH$6:AH$3000="",0,'Data - SSV'!AH$6:AH$3000))/AN29,3)&gt;=2,2,1)))))))</f>
        <v/>
      </c>
    </row>
    <row r="30" ht="19.5" customHeight="1" s="146">
      <c r="A30" s="10">
        <f>'Field Teams'!A31</f>
        <v/>
      </c>
      <c r="B30" s="30">
        <f>'Field Teams'!B31</f>
        <v/>
      </c>
      <c r="C30" s="30">
        <f>'Field Teams'!C31</f>
        <v/>
      </c>
      <c r="D30" s="10">
        <f>'Field Teams'!D31</f>
        <v/>
      </c>
      <c r="E30" s="10">
        <f>'Field Teams'!E31</f>
        <v/>
      </c>
      <c r="F30" s="10">
        <f>'Field Teams'!F31</f>
        <v/>
      </c>
      <c r="G30" s="10">
        <f>'Field Teams'!G31</f>
        <v/>
      </c>
      <c r="H30" s="31">
        <f>'Field Teams'!H31</f>
        <v/>
      </c>
      <c r="I30" s="31">
        <f>H30*2</f>
        <v/>
      </c>
      <c r="J30" s="31">
        <f>IFERROR(SUMPRODUCT((((ISNUMBER(SEARCH(B30,'Data - HSQE Events'!V$6:V$3000))+ISNUMBER(SEARCH(B30,'Data - HSQE Events'!H$6:H$3000)))&gt;0))*('Data - HSQE Events'!F$6:F$3000&gt;=$AG$3)*('Data - HSQE Events'!F$6:F$3000&lt;=$AJ$3)*('Data - HSQE Events'!R$6:R$3000="Opportunity")),0)</f>
        <v/>
      </c>
      <c r="K30" s="31">
        <f>IFERROR(SUMPRODUCT((((ISNUMBER(SEARCH(B30,'Data - HSQE Events'!V$6:V$3000))+ISNUMBER(SEARCH(B30,'Data - HSQE Events'!H$6:H$3000)))&gt;0))*('Data - HSQE Events'!F$6:F$3000&gt;=$AG$3)*('Data - HSQE Events'!F$6:F$3000&lt;=$AJ$3)*('Data - HSQE Events'!R$6:R$3000="Minor")),0)</f>
        <v/>
      </c>
      <c r="L30" s="31">
        <f>IFERROR(SUMPRODUCT((((ISNUMBER(SEARCH(B30,'Data - HSQE Events'!V$6:V$3000))+ISNUMBER(SEARCH(B30,'Data - HSQE Events'!H$6:H$3000)))&gt;0))*('Data - HSQE Events'!F$6:F$3000&gt;=$AG$3)*('Data - HSQE Events'!F$6:F$3000&lt;=$AJ$3)*(('Data - HSQE Events'!R$6:R$3000="Moderate")+('Data - HSQE Events'!R$6:R$3000="Major"))),0)</f>
        <v/>
      </c>
      <c r="M30" s="31">
        <f>IF(IFERROR(SUMPRODUCT((((ISNUMBER(SEARCH(B30,'Data - HSQE Events'!V$6:V$3000))+ISNUMBER(SEARCH(B30,'Data - HSQE Events'!H$6:H$3000)))&gt;0))*('Data - HSQE Events'!F$6:F$3000&gt;=$AG$3)*('Data - HSQE Events'!F$6:F$3000&lt;=$AJ$3)*('Data - HSQE Events'!R$6:R$3000="Major")),0)&gt;0,"YES","NO")</f>
        <v/>
      </c>
      <c r="N30" s="31">
        <f>IFERROR(SUMPRODUCT(('Data - Skillko'!B$6:B$3000=B30)*('Data - Skillko'!C$6:C$3000="Total")*('Data - Skillko'!E$6:E$3000))*100,0)</f>
        <v/>
      </c>
      <c r="O30" s="31">
        <f>ROUND(MAX(1,MIN(5,1+N30/100*4)),1)</f>
        <v/>
      </c>
      <c r="P30" s="31">
        <f>IFERROR(SUMPRODUCT(ISNUMBER(SEARCH(B30,'Pole Results'!$A$13:$A$2000))*('Pole Results'!$B$13:$B$2000&gt;=$AG$3)*('Pole Results'!$B$13:$B$2000&lt;=$AE$3)*('Pole Results'!$E$13:$E$2000="Non-Compliant")),0)</f>
        <v/>
      </c>
      <c r="Q30" s="31">
        <f>IF(I30=0,1,IFERROR(ROUND(MAX(1,MIN(5,1+J30/I30*4)),1),3))</f>
        <v/>
      </c>
      <c r="R30" s="31">
        <f>ROUND(6-MAX(MIN(5,K30*0.8+1),MIN(5,L30*2+1)),1)</f>
        <v/>
      </c>
      <c r="S30" s="49">
        <f>IFERROR(ROUND(MAX(1,MIN(5,5-(P30/MAX(1,AI30))*4)),1),5)</f>
        <v/>
      </c>
      <c r="T30" s="31">
        <f>IF('Field Teams'!$I$31="Inactive","",ROUND((Q30*Settings!$D$6+R30*Settings!$D$7+O30*Settings!$D$10+S30*Settings!$D$12+AO30*Settings!$D$13)/Settings!$D$14,1))</f>
        <v/>
      </c>
      <c r="U30" s="115">
        <f>IF('Field Teams'!$I$31="Inactive","",IF(Q30="","",IF(Q30&gt;=4.5,"★★★★★",IF(Q30&gt;=3.5,"★★★★☆",IF(Q30&gt;=2.5,"★★★☆☆",IF(Q30&gt;=1.5,"★★☆☆☆","★☆☆☆☆"))))))</f>
        <v/>
      </c>
      <c r="V30" s="115">
        <f>IF('Field Teams'!$I$31="Inactive","",IF(R30="","",IF(R30&gt;=4.5,"★★★★★",IF(R30&gt;=3.5,"★★★★☆",IF(R30&gt;=2.5,"★★★☆☆",IF(R30&gt;=1.5,"★★☆☆☆","★☆☆☆☆"))))))</f>
        <v/>
      </c>
      <c r="W30" s="115">
        <f>IF('Field Teams'!$I$31="Inactive","",IF(O30="","",IF(O30&gt;=4.5,"★★★★★",IF(O30&gt;=3.5,"★★★★☆",IF(O30&gt;=2.5,"★★★☆☆",IF(O30&gt;=1.5,"★★☆☆☆","★☆☆☆☆"))))))</f>
        <v/>
      </c>
      <c r="X30" s="115">
        <f>IF('Field Teams'!$I$31="Inactive","",IF(S30="","",IF(S30&gt;=4.5,"★★★★★",IF(S30&gt;=3.5,"★★★★☆",IF(S30&gt;=2.5,"★★★☆☆",IF(S30&gt;=1.5,"★★☆☆☆","★☆☆☆☆"))))))</f>
        <v/>
      </c>
      <c r="Y30" s="115">
        <f>IF('Field Teams'!$I$31="Inactive","",IF(AO30="","",IF(AO30&gt;=4.5,"★★★★★",IF(AO30&gt;=3.5,"★★★★☆",IF(AO30&gt;=2.5,"★★★☆☆",IF(AO30&gt;=1.5,"★★☆☆☆","★☆☆☆☆"))))))</f>
        <v/>
      </c>
      <c r="Z30" s="115">
        <f>IF('Field Teams'!$I$5="Inactive","",IF(T30="","",IF(T30&gt;=4.5,"★★★★★",IF(T30&gt;=3.5,"★★★★☆",IF(T30&gt;=2.5,"★★★☆☆",IF(T30&gt;=1.5,"★★☆☆☆","★☆☆☆☆"))))))</f>
        <v/>
      </c>
      <c r="AA30" s="31">
        <f>IF('Field Teams'!$I$31="Inactive","",IF(M30="YES","HIGH",IF(Q30&lt;=Settings!$D$26,"HIGH",IF(T30&lt;=Settings!$D$23,"HIGH",IF(T30&lt;=Settings!$D$24,"MEDIUM","LOW")))))</f>
        <v/>
      </c>
      <c r="AB30" s="31">
        <f>IF('Field Teams'!$I$5="Inactive",-1,IFERROR((6-T30)+(77-ROW())*0.0001,0))</f>
        <v/>
      </c>
      <c r="AC30" s="35">
        <f>IF('Field Teams'!$I$5="Inactive",999,IFERROR((6-T30)+(ROW()-3)*0.0001,99))</f>
        <v/>
      </c>
      <c r="AD30" s="31">
        <f>IF('Field Teams'!$I$31="Inactive",999,IFERROR(AB30+(ROW()-3)*0.0001,99))</f>
        <v/>
      </c>
      <c r="AE30" s="29" t="n">
        <v>0</v>
      </c>
      <c r="AF30" s="31">
        <f>IF('Field Teams'!$I$31="Inactive","",IF(AA30="HIGH","YES - within 5 working days",""))</f>
        <v/>
      </c>
      <c r="AG30" s="105" t="n"/>
      <c r="AH30" s="49">
        <f>IFERROR(SUMPRODUCT(ISNUMBER(SEARCH(B30,'Pole Results'!$A$13:$A$2000))*('Pole Results'!$B$13:$B$2000&gt;=$AG$3)*('Pole Results'!$B$13:$B$2000&lt;=$AE$3)),0)</f>
        <v/>
      </c>
      <c r="AI30" s="49">
        <f>IFERROR(SUMPRODUCT(ISNUMBER(SEARCH(B30,'Pole Results'!$A$13:$A$2000))*('Pole Results'!$B$13:$B$2000&gt;=$AG$3)*('Pole Results'!$B$13:$B$2000&lt;=$AE$3)*('Pole Results'!$E$13:$E$2000="Compliant")),0)</f>
        <v/>
      </c>
      <c r="AJ30" s="105" t="n"/>
      <c r="AK30" s="106">
        <f>IF('Field Teams'!$I$31="Inactive",-1,IF(AA30="HIGH",AB30,-1))</f>
        <v/>
      </c>
      <c r="AL30" s="106">
        <f>IF('Field Teams'!$I$31="Inactive",-1,IF(OR(AA30="HIGH",AA30="MEDIUM"),AB30,-1))</f>
        <v/>
      </c>
      <c r="AM30">
        <f>IF('Field Teams'!$I$31="Inactive","",IF(IFERROR(LOOKUP(2,1/('Historical Scores'!C31:N31&lt;&gt;""),'Historical Scores'!C31:N31),"")="","New",IF(T30=""," ",IF(T30&gt;IFERROR(LOOKUP(2,1/('Historical Scores'!C31:N31&lt;&gt;""),'Historical Scores'!C31:N31),""),"▲ Worsening",IF(T30&lt;IFERROR(LOOKUP(2,1/('Historical Scores'!C31:N31&lt;&gt;""),'Historical Scores'!C31:N31),""),"▼ Improving","► Stable")))))</f>
        <v/>
      </c>
      <c r="AN30">
        <f>IFERROR(SUMPRODUCT((ISNUMBER(SEARCH(B30,'Data - SSV'!AE$6:AE$3000)))*('Data - SSV'!AF$6:AF$3000&gt;=(AJ$3-90))*('Data - SSV'!AF$6:AF$3000&lt;=AJ$3)*('Data - SSV'!AH$6:AH$3000&lt;&gt;"")),0)</f>
        <v/>
      </c>
      <c r="AO30">
        <f>IF('Field Teams'!$I$31="Inactive","",IF(AN30=0,3,IF(AN30=1,IF(IFERROR(SUMPRODUCT((ISNUMBER(SEARCH(B30,'Data - SSV'!AE$6:AE$3000)))*('Data - SSV'!AF$6:AF$3000&gt;=(AJ$3-90))*('Data - SSV'!AF$6:AF$3000&lt;=AJ$3)*('Data - SSV'!AH$6:AH$3000&lt;&gt;"")*IF('Data - SSV'!AH$6:AH$3000="",0,'Data - SSV'!AH$6:AH$3000))/AN30,3)=4,4,IF(IFERROR(SUMPRODUCT((ISNUMBER(SEARCH(B30,'Data - SSV'!AE$6:AE$3000)))*('Data - SSV'!AF$6:AF$3000&gt;=(AJ$3-90))*('Data - SSV'!AF$6:AF$3000&lt;=AJ$3)*('Data - SSV'!AH$6:AH$3000&lt;&gt;"")*IF('Data - SSV'!AH$6:AH$3000="",0,'Data - SSV'!AH$6:AH$3000))/AN30,3)&gt;=3,3,IF(IFERROR(SUMPRODUCT((ISNUMBER(SEARCH(B30,'Data - SSV'!AE$6:AE$3000)))*('Data - SSV'!AF$6:AF$3000&gt;=(AJ$3-90))*('Data - SSV'!AF$6:AF$3000&lt;=AJ$3)*('Data - SSV'!AH$6:AH$3000&lt;&gt;"")*IF('Data - SSV'!AH$6:AH$3000="",0,'Data - SSV'!AH$6:AH$3000))/AN30,3)&gt;=2,2,1))),IF(IFERROR(SUMPRODUCT((ISNUMBER(SEARCH(B30,'Data - SSV'!AE$6:AE$3000)))*('Data - SSV'!AF$6:AF$3000&gt;=(AJ$3-90))*('Data - SSV'!AF$6:AF$3000&lt;=AJ$3)*('Data - SSV'!AH$6:AH$3000&lt;&gt;"")*IF('Data - SSV'!AH$6:AH$3000="",0,'Data - SSV'!AH$6:AH$3000))/AN30,3)=4,5,IF(IFERROR(SUMPRODUCT((ISNUMBER(SEARCH(B30,'Data - SSV'!AE$6:AE$3000)))*('Data - SSV'!AF$6:AF$3000&gt;=(AJ$3-90))*('Data - SSV'!AF$6:AF$3000&lt;=AJ$3)*('Data - SSV'!AH$6:AH$3000&lt;&gt;"")*IF('Data - SSV'!AH$6:AH$3000="",0,'Data - SSV'!AH$6:AH$3000))/AN30,3)&gt;=3.5,4,IF(IFERROR(SUMPRODUCT((ISNUMBER(SEARCH(B30,'Data - SSV'!AE$6:AE$3000)))*('Data - SSV'!AF$6:AF$3000&gt;=(AJ$3-90))*('Data - SSV'!AF$6:AF$3000&lt;=AJ$3)*('Data - SSV'!AH$6:AH$3000&lt;&gt;"")*IF('Data - SSV'!AH$6:AH$3000="",0,'Data - SSV'!AH$6:AH$3000))/AN30,3)&gt;=3,3,IF(IFERROR(SUMPRODUCT((ISNUMBER(SEARCH(B30,'Data - SSV'!AE$6:AE$3000)))*('Data - SSV'!AF$6:AF$3000&gt;=(AJ$3-90))*('Data - SSV'!AF$6:AF$3000&lt;=AJ$3)*('Data - SSV'!AH$6:AH$3000&lt;&gt;"")*IF('Data - SSV'!AH$6:AH$3000="",0,'Data - SSV'!AH$6:AH$3000))/AN30,3)&gt;=2,2,1)))))))</f>
        <v/>
      </c>
    </row>
    <row r="31" ht="19.5" customHeight="1" s="146">
      <c r="A31" s="6">
        <f>'Field Teams'!A32</f>
        <v/>
      </c>
      <c r="B31" s="28">
        <f>'Field Teams'!B32</f>
        <v/>
      </c>
      <c r="C31" s="28">
        <f>'Field Teams'!C32</f>
        <v/>
      </c>
      <c r="D31" s="6">
        <f>'Field Teams'!D32</f>
        <v/>
      </c>
      <c r="E31" s="6">
        <f>'Field Teams'!E32</f>
        <v/>
      </c>
      <c r="F31" s="6">
        <f>'Field Teams'!F32</f>
        <v/>
      </c>
      <c r="G31" s="6">
        <f>'Field Teams'!G32</f>
        <v/>
      </c>
      <c r="H31" s="31">
        <f>'Field Teams'!H32</f>
        <v/>
      </c>
      <c r="I31" s="31">
        <f>H31*2</f>
        <v/>
      </c>
      <c r="J31" s="31">
        <f>IFERROR(SUMPRODUCT((((ISNUMBER(SEARCH(B31,'Data - HSQE Events'!V$6:V$3000))+ISNUMBER(SEARCH(B31,'Data - HSQE Events'!H$6:H$3000)))&gt;0))*('Data - HSQE Events'!F$6:F$3000&gt;=$AG$3)*('Data - HSQE Events'!F$6:F$3000&lt;=$AJ$3)*('Data - HSQE Events'!R$6:R$3000="Opportunity")),0)</f>
        <v/>
      </c>
      <c r="K31" s="31">
        <f>IFERROR(SUMPRODUCT((((ISNUMBER(SEARCH(B31,'Data - HSQE Events'!V$6:V$3000))+ISNUMBER(SEARCH(B31,'Data - HSQE Events'!H$6:H$3000)))&gt;0))*('Data - HSQE Events'!F$6:F$3000&gt;=$AG$3)*('Data - HSQE Events'!F$6:F$3000&lt;=$AJ$3)*('Data - HSQE Events'!R$6:R$3000="Minor")),0)</f>
        <v/>
      </c>
      <c r="L31" s="31">
        <f>IFERROR(SUMPRODUCT((((ISNUMBER(SEARCH(B31,'Data - HSQE Events'!V$6:V$3000))+ISNUMBER(SEARCH(B31,'Data - HSQE Events'!H$6:H$3000)))&gt;0))*('Data - HSQE Events'!F$6:F$3000&gt;=$AG$3)*('Data - HSQE Events'!F$6:F$3000&lt;=$AJ$3)*(('Data - HSQE Events'!R$6:R$3000="Moderate")+('Data - HSQE Events'!R$6:R$3000="Major"))),0)</f>
        <v/>
      </c>
      <c r="M31" s="31">
        <f>IF(IFERROR(SUMPRODUCT((((ISNUMBER(SEARCH(B31,'Data - HSQE Events'!V$6:V$3000))+ISNUMBER(SEARCH(B31,'Data - HSQE Events'!H$6:H$3000)))&gt;0))*('Data - HSQE Events'!F$6:F$3000&gt;=$AG$3)*('Data - HSQE Events'!F$6:F$3000&lt;=$AJ$3)*('Data - HSQE Events'!R$6:R$3000="Major")),0)&gt;0,"YES","NO")</f>
        <v/>
      </c>
      <c r="N31" s="31">
        <f>IFERROR(SUMPRODUCT(('Data - Skillko'!B$6:B$3000=B31)*('Data - Skillko'!C$6:C$3000="Total")*('Data - Skillko'!E$6:E$3000))*100,0)</f>
        <v/>
      </c>
      <c r="O31" s="31">
        <f>ROUND(MAX(1,MIN(5,1+N31/100*4)),1)</f>
        <v/>
      </c>
      <c r="P31" s="31">
        <f>IFERROR(SUMPRODUCT(ISNUMBER(SEARCH(B31,'Pole Results'!$A$13:$A$2000))*('Pole Results'!$B$13:$B$2000&gt;=$AG$3)*('Pole Results'!$B$13:$B$2000&lt;=$AE$3)*('Pole Results'!$E$13:$E$2000="Non-Compliant")),0)</f>
        <v/>
      </c>
      <c r="Q31" s="31">
        <f>IF(I31=0,1,IFERROR(ROUND(MAX(1,MIN(5,1+J31/I31*4)),1),3))</f>
        <v/>
      </c>
      <c r="R31" s="31">
        <f>ROUND(6-MAX(MIN(5,K31*0.8+1),MIN(5,L31*2+1)),1)</f>
        <v/>
      </c>
      <c r="S31" s="49">
        <f>IFERROR(ROUND(MAX(1,MIN(5,5-(P31/MAX(1,AI31))*4)),1),5)</f>
        <v/>
      </c>
      <c r="T31" s="31">
        <f>IF('Field Teams'!$I$32="Inactive","",ROUND((Q31*Settings!$D$6+R31*Settings!$D$7+O31*Settings!$D$10+S31*Settings!$D$12+AO31*Settings!$D$13)/Settings!$D$14,1))</f>
        <v/>
      </c>
      <c r="U31" s="115">
        <f>IF('Field Teams'!$I$32="Inactive","",IF(Q31="","",IF(Q31&gt;=4.5,"★★★★★",IF(Q31&gt;=3.5,"★★★★☆",IF(Q31&gt;=2.5,"★★★☆☆",IF(Q31&gt;=1.5,"★★☆☆☆","★☆☆☆☆"))))))</f>
        <v/>
      </c>
      <c r="V31" s="115">
        <f>IF('Field Teams'!$I$32="Inactive","",IF(R31="","",IF(R31&gt;=4.5,"★★★★★",IF(R31&gt;=3.5,"★★★★☆",IF(R31&gt;=2.5,"★★★☆☆",IF(R31&gt;=1.5,"★★☆☆☆","★☆☆☆☆"))))))</f>
        <v/>
      </c>
      <c r="W31" s="115">
        <f>IF('Field Teams'!$I$32="Inactive","",IF(O31="","",IF(O31&gt;=4.5,"★★★★★",IF(O31&gt;=3.5,"★★★★☆",IF(O31&gt;=2.5,"★★★☆☆",IF(O31&gt;=1.5,"★★☆☆☆","★☆☆☆☆"))))))</f>
        <v/>
      </c>
      <c r="X31" s="115">
        <f>IF('Field Teams'!$I$32="Inactive","",IF(S31="","",IF(S31&gt;=4.5,"★★★★★",IF(S31&gt;=3.5,"★★★★☆",IF(S31&gt;=2.5,"★★★☆☆",IF(S31&gt;=1.5,"★★☆☆☆","★☆☆☆☆"))))))</f>
        <v/>
      </c>
      <c r="Y31" s="115">
        <f>IF('Field Teams'!$I$32="Inactive","",IF(AO31="","",IF(AO31&gt;=4.5,"★★★★★",IF(AO31&gt;=3.5,"★★★★☆",IF(AO31&gt;=2.5,"★★★☆☆",IF(AO31&gt;=1.5,"★★☆☆☆","★☆☆☆☆"))))))</f>
        <v/>
      </c>
      <c r="Z31" s="115">
        <f>IF('Field Teams'!$I$5="Inactive","",IF(T31="","",IF(T31&gt;=4.5,"★★★★★",IF(T31&gt;=3.5,"★★★★☆",IF(T31&gt;=2.5,"★★★☆☆",IF(T31&gt;=1.5,"★★☆☆☆","★☆☆☆☆"))))))</f>
        <v/>
      </c>
      <c r="AA31" s="31">
        <f>IF('Field Teams'!$I$32="Inactive","",IF(M31="YES","HIGH",IF(Q31&lt;=Settings!$D$26,"HIGH",IF(T31&lt;=Settings!$D$23,"HIGH",IF(T31&lt;=Settings!$D$24,"MEDIUM","LOW")))))</f>
        <v/>
      </c>
      <c r="AB31" s="31">
        <f>IF('Field Teams'!$I$5="Inactive",-1,IFERROR((6-T31)+(77-ROW())*0.0001,0))</f>
        <v/>
      </c>
      <c r="AC31" s="35">
        <f>IF('Field Teams'!$I$5="Inactive",999,IFERROR((6-T31)+(ROW()-3)*0.0001,99))</f>
        <v/>
      </c>
      <c r="AD31" s="31">
        <f>IF('Field Teams'!$I$32="Inactive",999,IFERROR(AB31+(ROW()-3)*0.0001,99))</f>
        <v/>
      </c>
      <c r="AE31" s="29" t="n">
        <v>0</v>
      </c>
      <c r="AF31" s="31">
        <f>IF('Field Teams'!$I$32="Inactive","",IF(AA31="HIGH","YES - within 5 working days",""))</f>
        <v/>
      </c>
      <c r="AG31" s="105" t="n"/>
      <c r="AH31" s="49">
        <f>IFERROR(SUMPRODUCT(ISNUMBER(SEARCH(B31,'Pole Results'!$A$13:$A$2000))*('Pole Results'!$B$13:$B$2000&gt;=$AG$3)*('Pole Results'!$B$13:$B$2000&lt;=$AE$3)),0)</f>
        <v/>
      </c>
      <c r="AI31" s="49">
        <f>IFERROR(SUMPRODUCT(ISNUMBER(SEARCH(B31,'Pole Results'!$A$13:$A$2000))*('Pole Results'!$B$13:$B$2000&gt;=$AG$3)*('Pole Results'!$B$13:$B$2000&lt;=$AE$3)*('Pole Results'!$E$13:$E$2000="Compliant")),0)</f>
        <v/>
      </c>
      <c r="AJ31" s="105" t="n"/>
      <c r="AK31" s="106">
        <f>IF('Field Teams'!$I$32="Inactive",-1,IF(AA31="HIGH",AB31,-1))</f>
        <v/>
      </c>
      <c r="AL31" s="106">
        <f>IF('Field Teams'!$I$32="Inactive",-1,IF(OR(AA31="HIGH",AA31="MEDIUM"),AB31,-1))</f>
        <v/>
      </c>
      <c r="AM31">
        <f>IF('Field Teams'!$I$32="Inactive","",IF(IFERROR(LOOKUP(2,1/('Historical Scores'!C32:N32&lt;&gt;""),'Historical Scores'!C32:N32),"")="","New",IF(T31=""," ",IF(T31&gt;IFERROR(LOOKUP(2,1/('Historical Scores'!C32:N32&lt;&gt;""),'Historical Scores'!C32:N32),""),"▲ Worsening",IF(T31&lt;IFERROR(LOOKUP(2,1/('Historical Scores'!C32:N32&lt;&gt;""),'Historical Scores'!C32:N32),""),"▼ Improving","► Stable")))))</f>
        <v/>
      </c>
      <c r="AN31">
        <f>IFERROR(SUMPRODUCT((ISNUMBER(SEARCH(B31,'Data - SSV'!AE$6:AE$3000)))*('Data - SSV'!AF$6:AF$3000&gt;=(AJ$3-90))*('Data - SSV'!AF$6:AF$3000&lt;=AJ$3)*('Data - SSV'!AH$6:AH$3000&lt;&gt;"")),0)</f>
        <v/>
      </c>
      <c r="AO31">
        <f>IF('Field Teams'!$I$32="Inactive","",IF(AN31=0,3,IF(AN31=1,IF(IFERROR(SUMPRODUCT((ISNUMBER(SEARCH(B31,'Data - SSV'!AE$6:AE$3000)))*('Data - SSV'!AF$6:AF$3000&gt;=(AJ$3-90))*('Data - SSV'!AF$6:AF$3000&lt;=AJ$3)*('Data - SSV'!AH$6:AH$3000&lt;&gt;"")*IF('Data - SSV'!AH$6:AH$3000="",0,'Data - SSV'!AH$6:AH$3000))/AN31,3)=4,4,IF(IFERROR(SUMPRODUCT((ISNUMBER(SEARCH(B31,'Data - SSV'!AE$6:AE$3000)))*('Data - SSV'!AF$6:AF$3000&gt;=(AJ$3-90))*('Data - SSV'!AF$6:AF$3000&lt;=AJ$3)*('Data - SSV'!AH$6:AH$3000&lt;&gt;"")*IF('Data - SSV'!AH$6:AH$3000="",0,'Data - SSV'!AH$6:AH$3000))/AN31,3)&gt;=3,3,IF(IFERROR(SUMPRODUCT((ISNUMBER(SEARCH(B31,'Data - SSV'!AE$6:AE$3000)))*('Data - SSV'!AF$6:AF$3000&gt;=(AJ$3-90))*('Data - SSV'!AF$6:AF$3000&lt;=AJ$3)*('Data - SSV'!AH$6:AH$3000&lt;&gt;"")*IF('Data - SSV'!AH$6:AH$3000="",0,'Data - SSV'!AH$6:AH$3000))/AN31,3)&gt;=2,2,1))),IF(IFERROR(SUMPRODUCT((ISNUMBER(SEARCH(B31,'Data - SSV'!AE$6:AE$3000)))*('Data - SSV'!AF$6:AF$3000&gt;=(AJ$3-90))*('Data - SSV'!AF$6:AF$3000&lt;=AJ$3)*('Data - SSV'!AH$6:AH$3000&lt;&gt;"")*IF('Data - SSV'!AH$6:AH$3000="",0,'Data - SSV'!AH$6:AH$3000))/AN31,3)=4,5,IF(IFERROR(SUMPRODUCT((ISNUMBER(SEARCH(B31,'Data - SSV'!AE$6:AE$3000)))*('Data - SSV'!AF$6:AF$3000&gt;=(AJ$3-90))*('Data - SSV'!AF$6:AF$3000&lt;=AJ$3)*('Data - SSV'!AH$6:AH$3000&lt;&gt;"")*IF('Data - SSV'!AH$6:AH$3000="",0,'Data - SSV'!AH$6:AH$3000))/AN31,3)&gt;=3.5,4,IF(IFERROR(SUMPRODUCT((ISNUMBER(SEARCH(B31,'Data - SSV'!AE$6:AE$3000)))*('Data - SSV'!AF$6:AF$3000&gt;=(AJ$3-90))*('Data - SSV'!AF$6:AF$3000&lt;=AJ$3)*('Data - SSV'!AH$6:AH$3000&lt;&gt;"")*IF('Data - SSV'!AH$6:AH$3000="",0,'Data - SSV'!AH$6:AH$3000))/AN31,3)&gt;=3,3,IF(IFERROR(SUMPRODUCT((ISNUMBER(SEARCH(B31,'Data - SSV'!AE$6:AE$3000)))*('Data - SSV'!AF$6:AF$3000&gt;=(AJ$3-90))*('Data - SSV'!AF$6:AF$3000&lt;=AJ$3)*('Data - SSV'!AH$6:AH$3000&lt;&gt;"")*IF('Data - SSV'!AH$6:AH$3000="",0,'Data - SSV'!AH$6:AH$3000))/AN31,3)&gt;=2,2,1)))))))</f>
        <v/>
      </c>
    </row>
    <row r="32" ht="19.5" customHeight="1" s="146">
      <c r="A32" s="10">
        <f>'Field Teams'!A33</f>
        <v/>
      </c>
      <c r="B32" s="30">
        <f>'Field Teams'!B33</f>
        <v/>
      </c>
      <c r="C32" s="30">
        <f>'Field Teams'!C33</f>
        <v/>
      </c>
      <c r="D32" s="10">
        <f>'Field Teams'!D33</f>
        <v/>
      </c>
      <c r="E32" s="10">
        <f>'Field Teams'!E33</f>
        <v/>
      </c>
      <c r="F32" s="10">
        <f>'Field Teams'!F33</f>
        <v/>
      </c>
      <c r="G32" s="10">
        <f>'Field Teams'!G33</f>
        <v/>
      </c>
      <c r="H32" s="31">
        <f>'Field Teams'!H33</f>
        <v/>
      </c>
      <c r="I32" s="31">
        <f>H32*2</f>
        <v/>
      </c>
      <c r="J32" s="31">
        <f>IFERROR(SUMPRODUCT((((ISNUMBER(SEARCH(B32,'Data - HSQE Events'!V$6:V$3000))+ISNUMBER(SEARCH(B32,'Data - HSQE Events'!H$6:H$3000)))&gt;0))*('Data - HSQE Events'!F$6:F$3000&gt;=$AG$3)*('Data - HSQE Events'!F$6:F$3000&lt;=$AJ$3)*('Data - HSQE Events'!R$6:R$3000="Opportunity")),0)</f>
        <v/>
      </c>
      <c r="K32" s="31">
        <f>IFERROR(SUMPRODUCT((((ISNUMBER(SEARCH(B32,'Data - HSQE Events'!V$6:V$3000))+ISNUMBER(SEARCH(B32,'Data - HSQE Events'!H$6:H$3000)))&gt;0))*('Data - HSQE Events'!F$6:F$3000&gt;=$AG$3)*('Data - HSQE Events'!F$6:F$3000&lt;=$AJ$3)*('Data - HSQE Events'!R$6:R$3000="Minor")),0)</f>
        <v/>
      </c>
      <c r="L32" s="31">
        <f>IFERROR(SUMPRODUCT((((ISNUMBER(SEARCH(B32,'Data - HSQE Events'!V$6:V$3000))+ISNUMBER(SEARCH(B32,'Data - HSQE Events'!H$6:H$3000)))&gt;0))*('Data - HSQE Events'!F$6:F$3000&gt;=$AG$3)*('Data - HSQE Events'!F$6:F$3000&lt;=$AJ$3)*(('Data - HSQE Events'!R$6:R$3000="Moderate")+('Data - HSQE Events'!R$6:R$3000="Major"))),0)</f>
        <v/>
      </c>
      <c r="M32" s="31">
        <f>IF(IFERROR(SUMPRODUCT((((ISNUMBER(SEARCH(B32,'Data - HSQE Events'!V$6:V$3000))+ISNUMBER(SEARCH(B32,'Data - HSQE Events'!H$6:H$3000)))&gt;0))*('Data - HSQE Events'!F$6:F$3000&gt;=$AG$3)*('Data - HSQE Events'!F$6:F$3000&lt;=$AJ$3)*('Data - HSQE Events'!R$6:R$3000="Major")),0)&gt;0,"YES","NO")</f>
        <v/>
      </c>
      <c r="N32" s="31">
        <f>IFERROR(SUMPRODUCT(('Data - Skillko'!B$6:B$3000=B32)*('Data - Skillko'!C$6:C$3000="Total")*('Data - Skillko'!E$6:E$3000))*100,0)</f>
        <v/>
      </c>
      <c r="O32" s="31">
        <f>ROUND(MAX(1,MIN(5,1+N32/100*4)),1)</f>
        <v/>
      </c>
      <c r="P32" s="31">
        <f>IFERROR(SUMPRODUCT(ISNUMBER(SEARCH(B32,'Pole Results'!$A$13:$A$2000))*('Pole Results'!$B$13:$B$2000&gt;=$AG$3)*('Pole Results'!$B$13:$B$2000&lt;=$AE$3)*('Pole Results'!$E$13:$E$2000="Non-Compliant")),0)</f>
        <v/>
      </c>
      <c r="Q32" s="31">
        <f>IF(I32=0,1,IFERROR(ROUND(MAX(1,MIN(5,1+J32/I32*4)),1),3))</f>
        <v/>
      </c>
      <c r="R32" s="31">
        <f>ROUND(6-MAX(MIN(5,K32*0.8+1),MIN(5,L32*2+1)),1)</f>
        <v/>
      </c>
      <c r="S32" s="49">
        <f>IFERROR(ROUND(MAX(1,MIN(5,5-(P32/MAX(1,AI32))*4)),1),5)</f>
        <v/>
      </c>
      <c r="T32" s="31">
        <f>IF('Field Teams'!$I$33="Inactive","",ROUND((Q32*Settings!$D$6+R32*Settings!$D$7+O32*Settings!$D$10+S32*Settings!$D$12+AO32*Settings!$D$13)/Settings!$D$14,1))</f>
        <v/>
      </c>
      <c r="U32" s="115">
        <f>IF('Field Teams'!$I$33="Inactive","",IF(Q32="","",IF(Q32&gt;=4.5,"★★★★★",IF(Q32&gt;=3.5,"★★★★☆",IF(Q32&gt;=2.5,"★★★☆☆",IF(Q32&gt;=1.5,"★★☆☆☆","★☆☆☆☆"))))))</f>
        <v/>
      </c>
      <c r="V32" s="115">
        <f>IF('Field Teams'!$I$33="Inactive","",IF(R32="","",IF(R32&gt;=4.5,"★★★★★",IF(R32&gt;=3.5,"★★★★☆",IF(R32&gt;=2.5,"★★★☆☆",IF(R32&gt;=1.5,"★★☆☆☆","★☆☆☆☆"))))))</f>
        <v/>
      </c>
      <c r="W32" s="115">
        <f>IF('Field Teams'!$I$33="Inactive","",IF(O32="","",IF(O32&gt;=4.5,"★★★★★",IF(O32&gt;=3.5,"★★★★☆",IF(O32&gt;=2.5,"★★★☆☆",IF(O32&gt;=1.5,"★★☆☆☆","★☆☆☆☆"))))))</f>
        <v/>
      </c>
      <c r="X32" s="115">
        <f>IF('Field Teams'!$I$33="Inactive","",IF(S32="","",IF(S32&gt;=4.5,"★★★★★",IF(S32&gt;=3.5,"★★★★☆",IF(S32&gt;=2.5,"★★★☆☆",IF(S32&gt;=1.5,"★★☆☆☆","★☆☆☆☆"))))))</f>
        <v/>
      </c>
      <c r="Y32" s="115">
        <f>IF('Field Teams'!$I$33="Inactive","",IF(AO32="","",IF(AO32&gt;=4.5,"★★★★★",IF(AO32&gt;=3.5,"★★★★☆",IF(AO32&gt;=2.5,"★★★☆☆",IF(AO32&gt;=1.5,"★★☆☆☆","★☆☆☆☆"))))))</f>
        <v/>
      </c>
      <c r="Z32" s="115">
        <f>IF('Field Teams'!$I$5="Inactive","",IF(T32="","",IF(T32&gt;=4.5,"★★★★★",IF(T32&gt;=3.5,"★★★★☆",IF(T32&gt;=2.5,"★★★☆☆",IF(T32&gt;=1.5,"★★☆☆☆","★☆☆☆☆"))))))</f>
        <v/>
      </c>
      <c r="AA32" s="31">
        <f>IF('Field Teams'!$I$33="Inactive","",IF(M32="YES","HIGH",IF(Q32&lt;=Settings!$D$26,"HIGH",IF(T32&lt;=Settings!$D$23,"HIGH",IF(T32&lt;=Settings!$D$24,"MEDIUM","LOW")))))</f>
        <v/>
      </c>
      <c r="AB32" s="31">
        <f>IF('Field Teams'!$I$5="Inactive",-1,IFERROR((6-T32)+(77-ROW())*0.0001,0))</f>
        <v/>
      </c>
      <c r="AC32" s="35">
        <f>IF('Field Teams'!$I$5="Inactive",999,IFERROR((6-T32)+(ROW()-3)*0.0001,99))</f>
        <v/>
      </c>
      <c r="AD32" s="31">
        <f>IF('Field Teams'!$I$33="Inactive",999,IFERROR(AB32+(ROW()-3)*0.0001,99))</f>
        <v/>
      </c>
      <c r="AE32" s="29" t="n">
        <v>0</v>
      </c>
      <c r="AF32" s="31">
        <f>IF('Field Teams'!$I$33="Inactive","",IF(AA32="HIGH","YES - within 5 working days",""))</f>
        <v/>
      </c>
      <c r="AG32" s="105" t="n"/>
      <c r="AH32" s="49">
        <f>IFERROR(SUMPRODUCT(ISNUMBER(SEARCH(B32,'Pole Results'!$A$13:$A$2000))*('Pole Results'!$B$13:$B$2000&gt;=$AG$3)*('Pole Results'!$B$13:$B$2000&lt;=$AE$3)),0)</f>
        <v/>
      </c>
      <c r="AI32" s="49">
        <f>IFERROR(SUMPRODUCT(ISNUMBER(SEARCH(B32,'Pole Results'!$A$13:$A$2000))*('Pole Results'!$B$13:$B$2000&gt;=$AG$3)*('Pole Results'!$B$13:$B$2000&lt;=$AE$3)*('Pole Results'!$E$13:$E$2000="Compliant")),0)</f>
        <v/>
      </c>
      <c r="AJ32" s="105" t="n"/>
      <c r="AK32" s="106">
        <f>IF('Field Teams'!$I$33="Inactive",-1,IF(AA32="HIGH",AB32,-1))</f>
        <v/>
      </c>
      <c r="AL32" s="106">
        <f>IF('Field Teams'!$I$33="Inactive",-1,IF(OR(AA32="HIGH",AA32="MEDIUM"),AB32,-1))</f>
        <v/>
      </c>
      <c r="AM32">
        <f>IF('Field Teams'!$I$33="Inactive","",IF(IFERROR(LOOKUP(2,1/('Historical Scores'!C33:N33&lt;&gt;""),'Historical Scores'!C33:N33),"")="","New",IF(T32=""," ",IF(T32&gt;IFERROR(LOOKUP(2,1/('Historical Scores'!C33:N33&lt;&gt;""),'Historical Scores'!C33:N33),""),"▲ Worsening",IF(T32&lt;IFERROR(LOOKUP(2,1/('Historical Scores'!C33:N33&lt;&gt;""),'Historical Scores'!C33:N33),""),"▼ Improving","► Stable")))))</f>
        <v/>
      </c>
      <c r="AN32">
        <f>IFERROR(SUMPRODUCT((ISNUMBER(SEARCH(B32,'Data - SSV'!AE$6:AE$3000)))*('Data - SSV'!AF$6:AF$3000&gt;=(AJ$3-90))*('Data - SSV'!AF$6:AF$3000&lt;=AJ$3)*('Data - SSV'!AH$6:AH$3000&lt;&gt;"")),0)</f>
        <v/>
      </c>
      <c r="AO32">
        <f>IF('Field Teams'!$I$33="Inactive","",IF(AN32=0,3,IF(AN32=1,IF(IFERROR(SUMPRODUCT((ISNUMBER(SEARCH(B32,'Data - SSV'!AE$6:AE$3000)))*('Data - SSV'!AF$6:AF$3000&gt;=(AJ$3-90))*('Data - SSV'!AF$6:AF$3000&lt;=AJ$3)*('Data - SSV'!AH$6:AH$3000&lt;&gt;"")*IF('Data - SSV'!AH$6:AH$3000="",0,'Data - SSV'!AH$6:AH$3000))/AN32,3)=4,4,IF(IFERROR(SUMPRODUCT((ISNUMBER(SEARCH(B32,'Data - SSV'!AE$6:AE$3000)))*('Data - SSV'!AF$6:AF$3000&gt;=(AJ$3-90))*('Data - SSV'!AF$6:AF$3000&lt;=AJ$3)*('Data - SSV'!AH$6:AH$3000&lt;&gt;"")*IF('Data - SSV'!AH$6:AH$3000="",0,'Data - SSV'!AH$6:AH$3000))/AN32,3)&gt;=3,3,IF(IFERROR(SUMPRODUCT((ISNUMBER(SEARCH(B32,'Data - SSV'!AE$6:AE$3000)))*('Data - SSV'!AF$6:AF$3000&gt;=(AJ$3-90))*('Data - SSV'!AF$6:AF$3000&lt;=AJ$3)*('Data - SSV'!AH$6:AH$3000&lt;&gt;"")*IF('Data - SSV'!AH$6:AH$3000="",0,'Data - SSV'!AH$6:AH$3000))/AN32,3)&gt;=2,2,1))),IF(IFERROR(SUMPRODUCT((ISNUMBER(SEARCH(B32,'Data - SSV'!AE$6:AE$3000)))*('Data - SSV'!AF$6:AF$3000&gt;=(AJ$3-90))*('Data - SSV'!AF$6:AF$3000&lt;=AJ$3)*('Data - SSV'!AH$6:AH$3000&lt;&gt;"")*IF('Data - SSV'!AH$6:AH$3000="",0,'Data - SSV'!AH$6:AH$3000))/AN32,3)=4,5,IF(IFERROR(SUMPRODUCT((ISNUMBER(SEARCH(B32,'Data - SSV'!AE$6:AE$3000)))*('Data - SSV'!AF$6:AF$3000&gt;=(AJ$3-90))*('Data - SSV'!AF$6:AF$3000&lt;=AJ$3)*('Data - SSV'!AH$6:AH$3000&lt;&gt;"")*IF('Data - SSV'!AH$6:AH$3000="",0,'Data - SSV'!AH$6:AH$3000))/AN32,3)&gt;=3.5,4,IF(IFERROR(SUMPRODUCT((ISNUMBER(SEARCH(B32,'Data - SSV'!AE$6:AE$3000)))*('Data - SSV'!AF$6:AF$3000&gt;=(AJ$3-90))*('Data - SSV'!AF$6:AF$3000&lt;=AJ$3)*('Data - SSV'!AH$6:AH$3000&lt;&gt;"")*IF('Data - SSV'!AH$6:AH$3000="",0,'Data - SSV'!AH$6:AH$3000))/AN32,3)&gt;=3,3,IF(IFERROR(SUMPRODUCT((ISNUMBER(SEARCH(B32,'Data - SSV'!AE$6:AE$3000)))*('Data - SSV'!AF$6:AF$3000&gt;=(AJ$3-90))*('Data - SSV'!AF$6:AF$3000&lt;=AJ$3)*('Data - SSV'!AH$6:AH$3000&lt;&gt;"")*IF('Data - SSV'!AH$6:AH$3000="",0,'Data - SSV'!AH$6:AH$3000))/AN32,3)&gt;=2,2,1)))))))</f>
        <v/>
      </c>
    </row>
    <row r="33" ht="19.5" customHeight="1" s="146">
      <c r="A33" s="6">
        <f>'Field Teams'!A34</f>
        <v/>
      </c>
      <c r="B33" s="28">
        <f>'Field Teams'!B34</f>
        <v/>
      </c>
      <c r="C33" s="28">
        <f>'Field Teams'!C34</f>
        <v/>
      </c>
      <c r="D33" s="6">
        <f>'Field Teams'!D34</f>
        <v/>
      </c>
      <c r="E33" s="6">
        <f>'Field Teams'!E34</f>
        <v/>
      </c>
      <c r="F33" s="6">
        <f>'Field Teams'!F34</f>
        <v/>
      </c>
      <c r="G33" s="6">
        <f>'Field Teams'!G34</f>
        <v/>
      </c>
      <c r="H33" s="31">
        <f>'Field Teams'!H34</f>
        <v/>
      </c>
      <c r="I33" s="31">
        <f>H33*2</f>
        <v/>
      </c>
      <c r="J33" s="31">
        <f>IFERROR(SUMPRODUCT((((ISNUMBER(SEARCH(B33,'Data - HSQE Events'!V$6:V$3000))+ISNUMBER(SEARCH(B33,'Data - HSQE Events'!H$6:H$3000)))&gt;0))*('Data - HSQE Events'!F$6:F$3000&gt;=$AG$3)*('Data - HSQE Events'!F$6:F$3000&lt;=$AJ$3)*('Data - HSQE Events'!R$6:R$3000="Opportunity")),0)</f>
        <v/>
      </c>
      <c r="K33" s="31">
        <f>IFERROR(SUMPRODUCT((((ISNUMBER(SEARCH(B33,'Data - HSQE Events'!V$6:V$3000))+ISNUMBER(SEARCH(B33,'Data - HSQE Events'!H$6:H$3000)))&gt;0))*('Data - HSQE Events'!F$6:F$3000&gt;=$AG$3)*('Data - HSQE Events'!F$6:F$3000&lt;=$AJ$3)*('Data - HSQE Events'!R$6:R$3000="Minor")),0)</f>
        <v/>
      </c>
      <c r="L33" s="31">
        <f>IFERROR(SUMPRODUCT((((ISNUMBER(SEARCH(B33,'Data - HSQE Events'!V$6:V$3000))+ISNUMBER(SEARCH(B33,'Data - HSQE Events'!H$6:H$3000)))&gt;0))*('Data - HSQE Events'!F$6:F$3000&gt;=$AG$3)*('Data - HSQE Events'!F$6:F$3000&lt;=$AJ$3)*(('Data - HSQE Events'!R$6:R$3000="Moderate")+('Data - HSQE Events'!R$6:R$3000="Major"))),0)</f>
        <v/>
      </c>
      <c r="M33" s="31">
        <f>IF(IFERROR(SUMPRODUCT((((ISNUMBER(SEARCH(B33,'Data - HSQE Events'!V$6:V$3000))+ISNUMBER(SEARCH(B33,'Data - HSQE Events'!H$6:H$3000)))&gt;0))*('Data - HSQE Events'!F$6:F$3000&gt;=$AG$3)*('Data - HSQE Events'!F$6:F$3000&lt;=$AJ$3)*('Data - HSQE Events'!R$6:R$3000="Major")),0)&gt;0,"YES","NO")</f>
        <v/>
      </c>
      <c r="N33" s="31">
        <f>IFERROR(SUMPRODUCT(('Data - Skillko'!B$6:B$3000=B33)*('Data - Skillko'!C$6:C$3000="Total")*('Data - Skillko'!E$6:E$3000))*100,0)</f>
        <v/>
      </c>
      <c r="O33" s="31">
        <f>ROUND(MAX(1,MIN(5,1+N33/100*4)),1)</f>
        <v/>
      </c>
      <c r="P33" s="31">
        <f>IFERROR(SUMPRODUCT(ISNUMBER(SEARCH(B33,'Pole Results'!$A$13:$A$2000))*('Pole Results'!$B$13:$B$2000&gt;=$AG$3)*('Pole Results'!$B$13:$B$2000&lt;=$AE$3)*('Pole Results'!$E$13:$E$2000="Non-Compliant")),0)</f>
        <v/>
      </c>
      <c r="Q33" s="31">
        <f>IF(I33=0,1,IFERROR(ROUND(MAX(1,MIN(5,1+J33/I33*4)),1),3))</f>
        <v/>
      </c>
      <c r="R33" s="31">
        <f>ROUND(6-MAX(MIN(5,K33*0.8+1),MIN(5,L33*2+1)),1)</f>
        <v/>
      </c>
      <c r="S33" s="49">
        <f>IFERROR(ROUND(MAX(1,MIN(5,5-(P33/MAX(1,AI33))*4)),1),5)</f>
        <v/>
      </c>
      <c r="T33" s="31">
        <f>IF('Field Teams'!$I$34="Inactive","",ROUND((Q33*Settings!$D$6+R33*Settings!$D$7+O33*Settings!$D$10+S33*Settings!$D$12+AO33*Settings!$D$13)/Settings!$D$14,1))</f>
        <v/>
      </c>
      <c r="U33" s="115">
        <f>IF('Field Teams'!$I$34="Inactive","",IF(Q33="","",IF(Q33&gt;=4.5,"★★★★★",IF(Q33&gt;=3.5,"★★★★☆",IF(Q33&gt;=2.5,"★★★☆☆",IF(Q33&gt;=1.5,"★★☆☆☆","★☆☆☆☆"))))))</f>
        <v/>
      </c>
      <c r="V33" s="115">
        <f>IF('Field Teams'!$I$34="Inactive","",IF(R33="","",IF(R33&gt;=4.5,"★★★★★",IF(R33&gt;=3.5,"★★★★☆",IF(R33&gt;=2.5,"★★★☆☆",IF(R33&gt;=1.5,"★★☆☆☆","★☆☆☆☆"))))))</f>
        <v/>
      </c>
      <c r="W33" s="115">
        <f>IF('Field Teams'!$I$34="Inactive","",IF(O33="","",IF(O33&gt;=4.5,"★★★★★",IF(O33&gt;=3.5,"★★★★☆",IF(O33&gt;=2.5,"★★★☆☆",IF(O33&gt;=1.5,"★★☆☆☆","★☆☆☆☆"))))))</f>
        <v/>
      </c>
      <c r="X33" s="115">
        <f>IF('Field Teams'!$I$34="Inactive","",IF(S33="","",IF(S33&gt;=4.5,"★★★★★",IF(S33&gt;=3.5,"★★★★☆",IF(S33&gt;=2.5,"★★★☆☆",IF(S33&gt;=1.5,"★★☆☆☆","★☆☆☆☆"))))))</f>
        <v/>
      </c>
      <c r="Y33" s="115">
        <f>IF('Field Teams'!$I$34="Inactive","",IF(AO33="","",IF(AO33&gt;=4.5,"★★★★★",IF(AO33&gt;=3.5,"★★★★☆",IF(AO33&gt;=2.5,"★★★☆☆",IF(AO33&gt;=1.5,"★★☆☆☆","★☆☆☆☆"))))))</f>
        <v/>
      </c>
      <c r="Z33" s="115">
        <f>IF('Field Teams'!$I$5="Inactive","",IF(T33="","",IF(T33&gt;=4.5,"★★★★★",IF(T33&gt;=3.5,"★★★★☆",IF(T33&gt;=2.5,"★★★☆☆",IF(T33&gt;=1.5,"★★☆☆☆","★☆☆☆☆"))))))</f>
        <v/>
      </c>
      <c r="AA33" s="31">
        <f>IF('Field Teams'!$I$34="Inactive","",IF(M33="YES","HIGH",IF(Q33&lt;=Settings!$D$26,"HIGH",IF(T33&lt;=Settings!$D$23,"HIGH",IF(T33&lt;=Settings!$D$24,"MEDIUM","LOW")))))</f>
        <v/>
      </c>
      <c r="AB33" s="31">
        <f>IF('Field Teams'!$I$5="Inactive",-1,IFERROR((6-T33)+(77-ROW())*0.0001,0))</f>
        <v/>
      </c>
      <c r="AC33" s="35">
        <f>IF('Field Teams'!$I$5="Inactive",999,IFERROR((6-T33)+(ROW()-3)*0.0001,99))</f>
        <v/>
      </c>
      <c r="AD33" s="31">
        <f>IF('Field Teams'!$I$34="Inactive",999,IFERROR(AB33+(ROW()-3)*0.0001,99))</f>
        <v/>
      </c>
      <c r="AE33" s="29" t="n">
        <v>0</v>
      </c>
      <c r="AF33" s="31">
        <f>IF('Field Teams'!$I$34="Inactive","",IF(AA33="HIGH","YES - within 5 working days",""))</f>
        <v/>
      </c>
      <c r="AG33" s="105" t="n"/>
      <c r="AH33" s="49">
        <f>IFERROR(SUMPRODUCT(ISNUMBER(SEARCH(B33,'Pole Results'!$A$13:$A$2000))*('Pole Results'!$B$13:$B$2000&gt;=$AG$3)*('Pole Results'!$B$13:$B$2000&lt;=$AE$3)),0)</f>
        <v/>
      </c>
      <c r="AI33" s="49">
        <f>IFERROR(SUMPRODUCT(ISNUMBER(SEARCH(B33,'Pole Results'!$A$13:$A$2000))*('Pole Results'!$B$13:$B$2000&gt;=$AG$3)*('Pole Results'!$B$13:$B$2000&lt;=$AE$3)*('Pole Results'!$E$13:$E$2000="Compliant")),0)</f>
        <v/>
      </c>
      <c r="AJ33" s="105" t="n"/>
      <c r="AK33" s="106">
        <f>IF('Field Teams'!$I$34="Inactive",-1,IF(AA33="HIGH",AB33,-1))</f>
        <v/>
      </c>
      <c r="AL33" s="106">
        <f>IF('Field Teams'!$I$34="Inactive",-1,IF(OR(AA33="HIGH",AA33="MEDIUM"),AB33,-1))</f>
        <v/>
      </c>
      <c r="AM33">
        <f>IF('Field Teams'!$I$34="Inactive","",IF(IFERROR(LOOKUP(2,1/('Historical Scores'!C34:N34&lt;&gt;""),'Historical Scores'!C34:N34),"")="","New",IF(T33=""," ",IF(T33&gt;IFERROR(LOOKUP(2,1/('Historical Scores'!C34:N34&lt;&gt;""),'Historical Scores'!C34:N34),""),"▲ Worsening",IF(T33&lt;IFERROR(LOOKUP(2,1/('Historical Scores'!C34:N34&lt;&gt;""),'Historical Scores'!C34:N34),""),"▼ Improving","► Stable")))))</f>
        <v/>
      </c>
      <c r="AN33">
        <f>IFERROR(SUMPRODUCT((ISNUMBER(SEARCH(B33,'Data - SSV'!AE$6:AE$3000)))*('Data - SSV'!AF$6:AF$3000&gt;=(AJ$3-90))*('Data - SSV'!AF$6:AF$3000&lt;=AJ$3)*('Data - SSV'!AH$6:AH$3000&lt;&gt;"")),0)</f>
        <v/>
      </c>
      <c r="AO33">
        <f>IF('Field Teams'!$I$34="Inactive","",IF(AN33=0,3,IF(AN33=1,IF(IFERROR(SUMPRODUCT((ISNUMBER(SEARCH(B33,'Data - SSV'!AE$6:AE$3000)))*('Data - SSV'!AF$6:AF$3000&gt;=(AJ$3-90))*('Data - SSV'!AF$6:AF$3000&lt;=AJ$3)*('Data - SSV'!AH$6:AH$3000&lt;&gt;"")*IF('Data - SSV'!AH$6:AH$3000="",0,'Data - SSV'!AH$6:AH$3000))/AN33,3)=4,4,IF(IFERROR(SUMPRODUCT((ISNUMBER(SEARCH(B33,'Data - SSV'!AE$6:AE$3000)))*('Data - SSV'!AF$6:AF$3000&gt;=(AJ$3-90))*('Data - SSV'!AF$6:AF$3000&lt;=AJ$3)*('Data - SSV'!AH$6:AH$3000&lt;&gt;"")*IF('Data - SSV'!AH$6:AH$3000="",0,'Data - SSV'!AH$6:AH$3000))/AN33,3)&gt;=3,3,IF(IFERROR(SUMPRODUCT((ISNUMBER(SEARCH(B33,'Data - SSV'!AE$6:AE$3000)))*('Data - SSV'!AF$6:AF$3000&gt;=(AJ$3-90))*('Data - SSV'!AF$6:AF$3000&lt;=AJ$3)*('Data - SSV'!AH$6:AH$3000&lt;&gt;"")*IF('Data - SSV'!AH$6:AH$3000="",0,'Data - SSV'!AH$6:AH$3000))/AN33,3)&gt;=2,2,1))),IF(IFERROR(SUMPRODUCT((ISNUMBER(SEARCH(B33,'Data - SSV'!AE$6:AE$3000)))*('Data - SSV'!AF$6:AF$3000&gt;=(AJ$3-90))*('Data - SSV'!AF$6:AF$3000&lt;=AJ$3)*('Data - SSV'!AH$6:AH$3000&lt;&gt;"")*IF('Data - SSV'!AH$6:AH$3000="",0,'Data - SSV'!AH$6:AH$3000))/AN33,3)=4,5,IF(IFERROR(SUMPRODUCT((ISNUMBER(SEARCH(B33,'Data - SSV'!AE$6:AE$3000)))*('Data - SSV'!AF$6:AF$3000&gt;=(AJ$3-90))*('Data - SSV'!AF$6:AF$3000&lt;=AJ$3)*('Data - SSV'!AH$6:AH$3000&lt;&gt;"")*IF('Data - SSV'!AH$6:AH$3000="",0,'Data - SSV'!AH$6:AH$3000))/AN33,3)&gt;=3.5,4,IF(IFERROR(SUMPRODUCT((ISNUMBER(SEARCH(B33,'Data - SSV'!AE$6:AE$3000)))*('Data - SSV'!AF$6:AF$3000&gt;=(AJ$3-90))*('Data - SSV'!AF$6:AF$3000&lt;=AJ$3)*('Data - SSV'!AH$6:AH$3000&lt;&gt;"")*IF('Data - SSV'!AH$6:AH$3000="",0,'Data - SSV'!AH$6:AH$3000))/AN33,3)&gt;=3,3,IF(IFERROR(SUMPRODUCT((ISNUMBER(SEARCH(B33,'Data - SSV'!AE$6:AE$3000)))*('Data - SSV'!AF$6:AF$3000&gt;=(AJ$3-90))*('Data - SSV'!AF$6:AF$3000&lt;=AJ$3)*('Data - SSV'!AH$6:AH$3000&lt;&gt;"")*IF('Data - SSV'!AH$6:AH$3000="",0,'Data - SSV'!AH$6:AH$3000))/AN33,3)&gt;=2,2,1)))))))</f>
        <v/>
      </c>
    </row>
    <row r="34" ht="19.5" customHeight="1" s="146">
      <c r="A34" s="10">
        <f>'Field Teams'!A35</f>
        <v/>
      </c>
      <c r="B34" s="30">
        <f>'Field Teams'!B35</f>
        <v/>
      </c>
      <c r="C34" s="30">
        <f>'Field Teams'!C35</f>
        <v/>
      </c>
      <c r="D34" s="10">
        <f>'Field Teams'!D35</f>
        <v/>
      </c>
      <c r="E34" s="10">
        <f>'Field Teams'!E35</f>
        <v/>
      </c>
      <c r="F34" s="10">
        <f>'Field Teams'!F35</f>
        <v/>
      </c>
      <c r="G34" s="10">
        <f>'Field Teams'!G35</f>
        <v/>
      </c>
      <c r="H34" s="31">
        <f>'Field Teams'!H35</f>
        <v/>
      </c>
      <c r="I34" s="31">
        <f>H34*2</f>
        <v/>
      </c>
      <c r="J34" s="31">
        <f>IFERROR(SUMPRODUCT((((ISNUMBER(SEARCH(B34,'Data - HSQE Events'!V$6:V$3000))+ISNUMBER(SEARCH(B34,'Data - HSQE Events'!H$6:H$3000)))&gt;0))*('Data - HSQE Events'!F$6:F$3000&gt;=$AG$3)*('Data - HSQE Events'!F$6:F$3000&lt;=$AJ$3)*('Data - HSQE Events'!R$6:R$3000="Opportunity")),0)</f>
        <v/>
      </c>
      <c r="K34" s="31">
        <f>IFERROR(SUMPRODUCT((((ISNUMBER(SEARCH(B34,'Data - HSQE Events'!V$6:V$3000))+ISNUMBER(SEARCH(B34,'Data - HSQE Events'!H$6:H$3000)))&gt;0))*('Data - HSQE Events'!F$6:F$3000&gt;=$AG$3)*('Data - HSQE Events'!F$6:F$3000&lt;=$AJ$3)*('Data - HSQE Events'!R$6:R$3000="Minor")),0)</f>
        <v/>
      </c>
      <c r="L34" s="31">
        <f>IFERROR(SUMPRODUCT((((ISNUMBER(SEARCH(B34,'Data - HSQE Events'!V$6:V$3000))+ISNUMBER(SEARCH(B34,'Data - HSQE Events'!H$6:H$3000)))&gt;0))*('Data - HSQE Events'!F$6:F$3000&gt;=$AG$3)*('Data - HSQE Events'!F$6:F$3000&lt;=$AJ$3)*(('Data - HSQE Events'!R$6:R$3000="Moderate")+('Data - HSQE Events'!R$6:R$3000="Major"))),0)</f>
        <v/>
      </c>
      <c r="M34" s="31">
        <f>IF(IFERROR(SUMPRODUCT((((ISNUMBER(SEARCH(B34,'Data - HSQE Events'!V$6:V$3000))+ISNUMBER(SEARCH(B34,'Data - HSQE Events'!H$6:H$3000)))&gt;0))*('Data - HSQE Events'!F$6:F$3000&gt;=$AG$3)*('Data - HSQE Events'!F$6:F$3000&lt;=$AJ$3)*('Data - HSQE Events'!R$6:R$3000="Major")),0)&gt;0,"YES","NO")</f>
        <v/>
      </c>
      <c r="N34" s="31">
        <f>IFERROR(SUMPRODUCT(('Data - Skillko'!B$6:B$3000=B34)*('Data - Skillko'!C$6:C$3000="Total")*('Data - Skillko'!E$6:E$3000))*100,0)</f>
        <v/>
      </c>
      <c r="O34" s="31">
        <f>ROUND(MAX(1,MIN(5,1+N34/100*4)),1)</f>
        <v/>
      </c>
      <c r="P34" s="31">
        <f>IFERROR(SUMPRODUCT(ISNUMBER(SEARCH(B34,'Pole Results'!$A$13:$A$2000))*('Pole Results'!$B$13:$B$2000&gt;=$AG$3)*('Pole Results'!$B$13:$B$2000&lt;=$AE$3)*('Pole Results'!$E$13:$E$2000="Non-Compliant")),0)</f>
        <v/>
      </c>
      <c r="Q34" s="31">
        <f>IF(I34=0,1,IFERROR(ROUND(MAX(1,MIN(5,1+J34/I34*4)),1),3))</f>
        <v/>
      </c>
      <c r="R34" s="31">
        <f>ROUND(6-MAX(MIN(5,K34*0.8+1),MIN(5,L34*2+1)),1)</f>
        <v/>
      </c>
      <c r="S34" s="49">
        <f>IFERROR(ROUND(MAX(1,MIN(5,5-(P34/MAX(1,AI34))*4)),1),5)</f>
        <v/>
      </c>
      <c r="T34" s="31">
        <f>IF('Field Teams'!$I$35="Inactive","",ROUND((Q34*Settings!$D$6+R34*Settings!$D$7+O34*Settings!$D$10+S34*Settings!$D$12+AO34*Settings!$D$13)/Settings!$D$14,1))</f>
        <v/>
      </c>
      <c r="U34" s="115">
        <f>IF('Field Teams'!$I$35="Inactive","",IF(Q34="","",IF(Q34&gt;=4.5,"★★★★★",IF(Q34&gt;=3.5,"★★★★☆",IF(Q34&gt;=2.5,"★★★☆☆",IF(Q34&gt;=1.5,"★★☆☆☆","★☆☆☆☆"))))))</f>
        <v/>
      </c>
      <c r="V34" s="115">
        <f>IF('Field Teams'!$I$35="Inactive","",IF(R34="","",IF(R34&gt;=4.5,"★★★★★",IF(R34&gt;=3.5,"★★★★☆",IF(R34&gt;=2.5,"★★★☆☆",IF(R34&gt;=1.5,"★★☆☆☆","★☆☆☆☆"))))))</f>
        <v/>
      </c>
      <c r="W34" s="115">
        <f>IF('Field Teams'!$I$35="Inactive","",IF(O34="","",IF(O34&gt;=4.5,"★★★★★",IF(O34&gt;=3.5,"★★★★☆",IF(O34&gt;=2.5,"★★★☆☆",IF(O34&gt;=1.5,"★★☆☆☆","★☆☆☆☆"))))))</f>
        <v/>
      </c>
      <c r="X34" s="115">
        <f>IF('Field Teams'!$I$35="Inactive","",IF(S34="","",IF(S34&gt;=4.5,"★★★★★",IF(S34&gt;=3.5,"★★★★☆",IF(S34&gt;=2.5,"★★★☆☆",IF(S34&gt;=1.5,"★★☆☆☆","★☆☆☆☆"))))))</f>
        <v/>
      </c>
      <c r="Y34" s="115">
        <f>IF('Field Teams'!$I$35="Inactive","",IF(AO34="","",IF(AO34&gt;=4.5,"★★★★★",IF(AO34&gt;=3.5,"★★★★☆",IF(AO34&gt;=2.5,"★★★☆☆",IF(AO34&gt;=1.5,"★★☆☆☆","★☆☆☆☆"))))))</f>
        <v/>
      </c>
      <c r="Z34" s="115">
        <f>IF('Field Teams'!$I$5="Inactive","",IF(T34="","",IF(T34&gt;=4.5,"★★★★★",IF(T34&gt;=3.5,"★★★★☆",IF(T34&gt;=2.5,"★★★☆☆",IF(T34&gt;=1.5,"★★☆☆☆","★☆☆☆☆"))))))</f>
        <v/>
      </c>
      <c r="AA34" s="31">
        <f>IF('Field Teams'!$I$35="Inactive","",IF(M34="YES","HIGH",IF(Q34&lt;=Settings!$D$26,"HIGH",IF(T34&lt;=Settings!$D$23,"HIGH",IF(T34&lt;=Settings!$D$24,"MEDIUM","LOW")))))</f>
        <v/>
      </c>
      <c r="AB34" s="31">
        <f>IF('Field Teams'!$I$5="Inactive",-1,IFERROR((6-T34)+(77-ROW())*0.0001,0))</f>
        <v/>
      </c>
      <c r="AC34" s="35">
        <f>IF('Field Teams'!$I$5="Inactive",999,IFERROR((6-T34)+(ROW()-3)*0.0001,99))</f>
        <v/>
      </c>
      <c r="AD34" s="31">
        <f>IF('Field Teams'!$I$35="Inactive",999,IFERROR(AB34+(ROW()-3)*0.0001,99))</f>
        <v/>
      </c>
      <c r="AE34" s="29" t="n">
        <v>0</v>
      </c>
      <c r="AF34" s="31">
        <f>IF('Field Teams'!$I$35="Inactive","",IF(AA34="HIGH","YES - within 5 working days",""))</f>
        <v/>
      </c>
      <c r="AG34" s="105" t="n"/>
      <c r="AH34" s="49">
        <f>IFERROR(SUMPRODUCT(ISNUMBER(SEARCH(B34,'Pole Results'!$A$13:$A$2000))*('Pole Results'!$B$13:$B$2000&gt;=$AG$3)*('Pole Results'!$B$13:$B$2000&lt;=$AE$3)),0)</f>
        <v/>
      </c>
      <c r="AI34" s="49">
        <f>IFERROR(SUMPRODUCT(ISNUMBER(SEARCH(B34,'Pole Results'!$A$13:$A$2000))*('Pole Results'!$B$13:$B$2000&gt;=$AG$3)*('Pole Results'!$B$13:$B$2000&lt;=$AE$3)*('Pole Results'!$E$13:$E$2000="Compliant")),0)</f>
        <v/>
      </c>
      <c r="AJ34" s="105" t="n"/>
      <c r="AK34" s="106">
        <f>IF('Field Teams'!$I$35="Inactive",-1,IF(AA34="HIGH",AB34,-1))</f>
        <v/>
      </c>
      <c r="AL34" s="106">
        <f>IF('Field Teams'!$I$35="Inactive",-1,IF(OR(AA34="HIGH",AA34="MEDIUM"),AB34,-1))</f>
        <v/>
      </c>
      <c r="AM34">
        <f>IF('Field Teams'!$I$35="Inactive","",IF(IFERROR(LOOKUP(2,1/('Historical Scores'!C35:N35&lt;&gt;""),'Historical Scores'!C35:N35),"")="","New",IF(T34=""," ",IF(T34&gt;IFERROR(LOOKUP(2,1/('Historical Scores'!C35:N35&lt;&gt;""),'Historical Scores'!C35:N35),""),"▲ Worsening",IF(T34&lt;IFERROR(LOOKUP(2,1/('Historical Scores'!C35:N35&lt;&gt;""),'Historical Scores'!C35:N35),""),"▼ Improving","► Stable")))))</f>
        <v/>
      </c>
      <c r="AN34">
        <f>IFERROR(SUMPRODUCT((ISNUMBER(SEARCH(B34,'Data - SSV'!AE$6:AE$3000)))*('Data - SSV'!AF$6:AF$3000&gt;=(AJ$3-90))*('Data - SSV'!AF$6:AF$3000&lt;=AJ$3)*('Data - SSV'!AH$6:AH$3000&lt;&gt;"")),0)</f>
        <v/>
      </c>
      <c r="AO34">
        <f>IF('Field Teams'!$I$35="Inactive","",IF(AN34=0,3,IF(AN34=1,IF(IFERROR(SUMPRODUCT((ISNUMBER(SEARCH(B34,'Data - SSV'!AE$6:AE$3000)))*('Data - SSV'!AF$6:AF$3000&gt;=(AJ$3-90))*('Data - SSV'!AF$6:AF$3000&lt;=AJ$3)*('Data - SSV'!AH$6:AH$3000&lt;&gt;"")*IF('Data - SSV'!AH$6:AH$3000="",0,'Data - SSV'!AH$6:AH$3000))/AN34,3)=4,4,IF(IFERROR(SUMPRODUCT((ISNUMBER(SEARCH(B34,'Data - SSV'!AE$6:AE$3000)))*('Data - SSV'!AF$6:AF$3000&gt;=(AJ$3-90))*('Data - SSV'!AF$6:AF$3000&lt;=AJ$3)*('Data - SSV'!AH$6:AH$3000&lt;&gt;"")*IF('Data - SSV'!AH$6:AH$3000="",0,'Data - SSV'!AH$6:AH$3000))/AN34,3)&gt;=3,3,IF(IFERROR(SUMPRODUCT((ISNUMBER(SEARCH(B34,'Data - SSV'!AE$6:AE$3000)))*('Data - SSV'!AF$6:AF$3000&gt;=(AJ$3-90))*('Data - SSV'!AF$6:AF$3000&lt;=AJ$3)*('Data - SSV'!AH$6:AH$3000&lt;&gt;"")*IF('Data - SSV'!AH$6:AH$3000="",0,'Data - SSV'!AH$6:AH$3000))/AN34,3)&gt;=2,2,1))),IF(IFERROR(SUMPRODUCT((ISNUMBER(SEARCH(B34,'Data - SSV'!AE$6:AE$3000)))*('Data - SSV'!AF$6:AF$3000&gt;=(AJ$3-90))*('Data - SSV'!AF$6:AF$3000&lt;=AJ$3)*('Data - SSV'!AH$6:AH$3000&lt;&gt;"")*IF('Data - SSV'!AH$6:AH$3000="",0,'Data - SSV'!AH$6:AH$3000))/AN34,3)=4,5,IF(IFERROR(SUMPRODUCT((ISNUMBER(SEARCH(B34,'Data - SSV'!AE$6:AE$3000)))*('Data - SSV'!AF$6:AF$3000&gt;=(AJ$3-90))*('Data - SSV'!AF$6:AF$3000&lt;=AJ$3)*('Data - SSV'!AH$6:AH$3000&lt;&gt;"")*IF('Data - SSV'!AH$6:AH$3000="",0,'Data - SSV'!AH$6:AH$3000))/AN34,3)&gt;=3.5,4,IF(IFERROR(SUMPRODUCT((ISNUMBER(SEARCH(B34,'Data - SSV'!AE$6:AE$3000)))*('Data - SSV'!AF$6:AF$3000&gt;=(AJ$3-90))*('Data - SSV'!AF$6:AF$3000&lt;=AJ$3)*('Data - SSV'!AH$6:AH$3000&lt;&gt;"")*IF('Data - SSV'!AH$6:AH$3000="",0,'Data - SSV'!AH$6:AH$3000))/AN34,3)&gt;=3,3,IF(IFERROR(SUMPRODUCT((ISNUMBER(SEARCH(B34,'Data - SSV'!AE$6:AE$3000)))*('Data - SSV'!AF$6:AF$3000&gt;=(AJ$3-90))*('Data - SSV'!AF$6:AF$3000&lt;=AJ$3)*('Data - SSV'!AH$6:AH$3000&lt;&gt;"")*IF('Data - SSV'!AH$6:AH$3000="",0,'Data - SSV'!AH$6:AH$3000))/AN34,3)&gt;=2,2,1)))))))</f>
        <v/>
      </c>
    </row>
    <row r="35" ht="19.5" customHeight="1" s="146">
      <c r="A35" s="6">
        <f>'Field Teams'!A36</f>
        <v/>
      </c>
      <c r="B35" s="28">
        <f>'Field Teams'!B36</f>
        <v/>
      </c>
      <c r="C35" s="28">
        <f>'Field Teams'!C36</f>
        <v/>
      </c>
      <c r="D35" s="6">
        <f>'Field Teams'!D36</f>
        <v/>
      </c>
      <c r="E35" s="6">
        <f>'Field Teams'!E36</f>
        <v/>
      </c>
      <c r="F35" s="6">
        <f>'Field Teams'!F36</f>
        <v/>
      </c>
      <c r="G35" s="6">
        <f>'Field Teams'!G36</f>
        <v/>
      </c>
      <c r="H35" s="31">
        <f>'Field Teams'!H36</f>
        <v/>
      </c>
      <c r="I35" s="31">
        <f>H35*2</f>
        <v/>
      </c>
      <c r="J35" s="31">
        <f>IFERROR(SUMPRODUCT((((ISNUMBER(SEARCH(B35,'Data - HSQE Events'!V$6:V$3000))+ISNUMBER(SEARCH(B35,'Data - HSQE Events'!H$6:H$3000)))&gt;0))*('Data - HSQE Events'!F$6:F$3000&gt;=$AG$3)*('Data - HSQE Events'!F$6:F$3000&lt;=$AJ$3)*('Data - HSQE Events'!R$6:R$3000="Opportunity")),0)</f>
        <v/>
      </c>
      <c r="K35" s="31">
        <f>IFERROR(SUMPRODUCT((((ISNUMBER(SEARCH(B35,'Data - HSQE Events'!V$6:V$3000))+ISNUMBER(SEARCH(B35,'Data - HSQE Events'!H$6:H$3000)))&gt;0))*('Data - HSQE Events'!F$6:F$3000&gt;=$AG$3)*('Data - HSQE Events'!F$6:F$3000&lt;=$AJ$3)*('Data - HSQE Events'!R$6:R$3000="Minor")),0)</f>
        <v/>
      </c>
      <c r="L35" s="31">
        <f>IFERROR(SUMPRODUCT((((ISNUMBER(SEARCH(B35,'Data - HSQE Events'!V$6:V$3000))+ISNUMBER(SEARCH(B35,'Data - HSQE Events'!H$6:H$3000)))&gt;0))*('Data - HSQE Events'!F$6:F$3000&gt;=$AG$3)*('Data - HSQE Events'!F$6:F$3000&lt;=$AJ$3)*(('Data - HSQE Events'!R$6:R$3000="Moderate")+('Data - HSQE Events'!R$6:R$3000="Major"))),0)</f>
        <v/>
      </c>
      <c r="M35" s="31">
        <f>IF(IFERROR(SUMPRODUCT((((ISNUMBER(SEARCH(B35,'Data - HSQE Events'!V$6:V$3000))+ISNUMBER(SEARCH(B35,'Data - HSQE Events'!H$6:H$3000)))&gt;0))*('Data - HSQE Events'!F$6:F$3000&gt;=$AG$3)*('Data - HSQE Events'!F$6:F$3000&lt;=$AJ$3)*('Data - HSQE Events'!R$6:R$3000="Major")),0)&gt;0,"YES","NO")</f>
        <v/>
      </c>
      <c r="N35" s="31">
        <f>IFERROR(SUMPRODUCT(('Data - Skillko'!B$6:B$3000=B35)*('Data - Skillko'!C$6:C$3000="Total")*('Data - Skillko'!E$6:E$3000))*100,0)</f>
        <v/>
      </c>
      <c r="O35" s="31">
        <f>ROUND(MAX(1,MIN(5,1+N35/100*4)),1)</f>
        <v/>
      </c>
      <c r="P35" s="31">
        <f>IFERROR(SUMPRODUCT(ISNUMBER(SEARCH(B35,'Pole Results'!$A$13:$A$2000))*('Pole Results'!$B$13:$B$2000&gt;=$AG$3)*('Pole Results'!$B$13:$B$2000&lt;=$AE$3)*('Pole Results'!$E$13:$E$2000="Non-Compliant")),0)</f>
        <v/>
      </c>
      <c r="Q35" s="31">
        <f>IF(I35=0,1,IFERROR(ROUND(MAX(1,MIN(5,1+J35/I35*4)),1),3))</f>
        <v/>
      </c>
      <c r="R35" s="31">
        <f>ROUND(6-MAX(MIN(5,K35*0.8+1),MIN(5,L35*2+1)),1)</f>
        <v/>
      </c>
      <c r="S35" s="49">
        <f>IFERROR(ROUND(MAX(1,MIN(5,5-(P35/MAX(1,AI35))*4)),1),5)</f>
        <v/>
      </c>
      <c r="T35" s="31">
        <f>IF('Field Teams'!$I$36="Inactive","",ROUND((Q35*Settings!$D$6+R35*Settings!$D$7+O35*Settings!$D$10+S35*Settings!$D$12+AO35*Settings!$D$13)/Settings!$D$14,1))</f>
        <v/>
      </c>
      <c r="U35" s="115">
        <f>IF('Field Teams'!$I$36="Inactive","",IF(Q35="","",IF(Q35&gt;=4.5,"★★★★★",IF(Q35&gt;=3.5,"★★★★☆",IF(Q35&gt;=2.5,"★★★☆☆",IF(Q35&gt;=1.5,"★★☆☆☆","★☆☆☆☆"))))))</f>
        <v/>
      </c>
      <c r="V35" s="115">
        <f>IF('Field Teams'!$I$36="Inactive","",IF(R35="","",IF(R35&gt;=4.5,"★★★★★",IF(R35&gt;=3.5,"★★★★☆",IF(R35&gt;=2.5,"★★★☆☆",IF(R35&gt;=1.5,"★★☆☆☆","★☆☆☆☆"))))))</f>
        <v/>
      </c>
      <c r="W35" s="115">
        <f>IF('Field Teams'!$I$36="Inactive","",IF(O35="","",IF(O35&gt;=4.5,"★★★★★",IF(O35&gt;=3.5,"★★★★☆",IF(O35&gt;=2.5,"★★★☆☆",IF(O35&gt;=1.5,"★★☆☆☆","★☆☆☆☆"))))))</f>
        <v/>
      </c>
      <c r="X35" s="115">
        <f>IF('Field Teams'!$I$36="Inactive","",IF(S35="","",IF(S35&gt;=4.5,"★★★★★",IF(S35&gt;=3.5,"★★★★☆",IF(S35&gt;=2.5,"★★★☆☆",IF(S35&gt;=1.5,"★★☆☆☆","★☆☆☆☆"))))))</f>
        <v/>
      </c>
      <c r="Y35" s="115">
        <f>IF('Field Teams'!$I$36="Inactive","",IF(AO35="","",IF(AO35&gt;=4.5,"★★★★★",IF(AO35&gt;=3.5,"★★★★☆",IF(AO35&gt;=2.5,"★★★☆☆",IF(AO35&gt;=1.5,"★★☆☆☆","★☆☆☆☆"))))))</f>
        <v/>
      </c>
      <c r="Z35" s="115">
        <f>IF('Field Teams'!$I$5="Inactive","",IF(T35="","",IF(T35&gt;=4.5,"★★★★★",IF(T35&gt;=3.5,"★★★★☆",IF(T35&gt;=2.5,"★★★☆☆",IF(T35&gt;=1.5,"★★☆☆☆","★☆☆☆☆"))))))</f>
        <v/>
      </c>
      <c r="AA35" s="31">
        <f>IF('Field Teams'!$I$36="Inactive","",IF(M35="YES","HIGH",IF(Q35&lt;=Settings!$D$26,"HIGH",IF(T35&lt;=Settings!$D$23,"HIGH",IF(T35&lt;=Settings!$D$24,"MEDIUM","LOW")))))</f>
        <v/>
      </c>
      <c r="AB35" s="31">
        <f>IF('Field Teams'!$I$5="Inactive",-1,IFERROR((6-T35)+(77-ROW())*0.0001,0))</f>
        <v/>
      </c>
      <c r="AC35" s="35">
        <f>IF('Field Teams'!$I$5="Inactive",999,IFERROR((6-T35)+(ROW()-3)*0.0001,99))</f>
        <v/>
      </c>
      <c r="AD35" s="31">
        <f>IF('Field Teams'!$I$36="Inactive",999,IFERROR(AB35+(ROW()-3)*0.0001,99))</f>
        <v/>
      </c>
      <c r="AE35" s="29" t="n">
        <v>0</v>
      </c>
      <c r="AF35" s="31">
        <f>IF('Field Teams'!$I$36="Inactive","",IF(AA35="HIGH","YES - within 5 working days",""))</f>
        <v/>
      </c>
      <c r="AG35" s="105" t="n"/>
      <c r="AH35" s="49">
        <f>IFERROR(SUMPRODUCT(ISNUMBER(SEARCH(B35,'Pole Results'!$A$13:$A$2000))*('Pole Results'!$B$13:$B$2000&gt;=$AG$3)*('Pole Results'!$B$13:$B$2000&lt;=$AE$3)),0)</f>
        <v/>
      </c>
      <c r="AI35" s="49">
        <f>IFERROR(SUMPRODUCT(ISNUMBER(SEARCH(B35,'Pole Results'!$A$13:$A$2000))*('Pole Results'!$B$13:$B$2000&gt;=$AG$3)*('Pole Results'!$B$13:$B$2000&lt;=$AE$3)*('Pole Results'!$E$13:$E$2000="Compliant")),0)</f>
        <v/>
      </c>
      <c r="AJ35" s="105" t="n"/>
      <c r="AK35" s="106">
        <f>IF('Field Teams'!$I$36="Inactive",-1,IF(AA35="HIGH",AB35,-1))</f>
        <v/>
      </c>
      <c r="AL35" s="106">
        <f>IF('Field Teams'!$I$36="Inactive",-1,IF(OR(AA35="HIGH",AA35="MEDIUM"),AB35,-1))</f>
        <v/>
      </c>
      <c r="AM35">
        <f>IF('Field Teams'!$I$36="Inactive","",IF(IFERROR(LOOKUP(2,1/('Historical Scores'!C36:N36&lt;&gt;""),'Historical Scores'!C36:N36),"")="","New",IF(T35=""," ",IF(T35&gt;IFERROR(LOOKUP(2,1/('Historical Scores'!C36:N36&lt;&gt;""),'Historical Scores'!C36:N36),""),"▲ Worsening",IF(T35&lt;IFERROR(LOOKUP(2,1/('Historical Scores'!C36:N36&lt;&gt;""),'Historical Scores'!C36:N36),""),"▼ Improving","► Stable")))))</f>
        <v/>
      </c>
      <c r="AN35">
        <f>IFERROR(SUMPRODUCT((ISNUMBER(SEARCH(B35,'Data - SSV'!AE$6:AE$3000)))*('Data - SSV'!AF$6:AF$3000&gt;=(AJ$3-90))*('Data - SSV'!AF$6:AF$3000&lt;=AJ$3)*('Data - SSV'!AH$6:AH$3000&lt;&gt;"")),0)</f>
        <v/>
      </c>
      <c r="AO35">
        <f>IF('Field Teams'!$I$36="Inactive","",IF(AN35=0,3,IF(AN35=1,IF(IFERROR(SUMPRODUCT((ISNUMBER(SEARCH(B35,'Data - SSV'!AE$6:AE$3000)))*('Data - SSV'!AF$6:AF$3000&gt;=(AJ$3-90))*('Data - SSV'!AF$6:AF$3000&lt;=AJ$3)*('Data - SSV'!AH$6:AH$3000&lt;&gt;"")*IF('Data - SSV'!AH$6:AH$3000="",0,'Data - SSV'!AH$6:AH$3000))/AN35,3)=4,4,IF(IFERROR(SUMPRODUCT((ISNUMBER(SEARCH(B35,'Data - SSV'!AE$6:AE$3000)))*('Data - SSV'!AF$6:AF$3000&gt;=(AJ$3-90))*('Data - SSV'!AF$6:AF$3000&lt;=AJ$3)*('Data - SSV'!AH$6:AH$3000&lt;&gt;"")*IF('Data - SSV'!AH$6:AH$3000="",0,'Data - SSV'!AH$6:AH$3000))/AN35,3)&gt;=3,3,IF(IFERROR(SUMPRODUCT((ISNUMBER(SEARCH(B35,'Data - SSV'!AE$6:AE$3000)))*('Data - SSV'!AF$6:AF$3000&gt;=(AJ$3-90))*('Data - SSV'!AF$6:AF$3000&lt;=AJ$3)*('Data - SSV'!AH$6:AH$3000&lt;&gt;"")*IF('Data - SSV'!AH$6:AH$3000="",0,'Data - SSV'!AH$6:AH$3000))/AN35,3)&gt;=2,2,1))),IF(IFERROR(SUMPRODUCT((ISNUMBER(SEARCH(B35,'Data - SSV'!AE$6:AE$3000)))*('Data - SSV'!AF$6:AF$3000&gt;=(AJ$3-90))*('Data - SSV'!AF$6:AF$3000&lt;=AJ$3)*('Data - SSV'!AH$6:AH$3000&lt;&gt;"")*IF('Data - SSV'!AH$6:AH$3000="",0,'Data - SSV'!AH$6:AH$3000))/AN35,3)=4,5,IF(IFERROR(SUMPRODUCT((ISNUMBER(SEARCH(B35,'Data - SSV'!AE$6:AE$3000)))*('Data - SSV'!AF$6:AF$3000&gt;=(AJ$3-90))*('Data - SSV'!AF$6:AF$3000&lt;=AJ$3)*('Data - SSV'!AH$6:AH$3000&lt;&gt;"")*IF('Data - SSV'!AH$6:AH$3000="",0,'Data - SSV'!AH$6:AH$3000))/AN35,3)&gt;=3.5,4,IF(IFERROR(SUMPRODUCT((ISNUMBER(SEARCH(B35,'Data - SSV'!AE$6:AE$3000)))*('Data - SSV'!AF$6:AF$3000&gt;=(AJ$3-90))*('Data - SSV'!AF$6:AF$3000&lt;=AJ$3)*('Data - SSV'!AH$6:AH$3000&lt;&gt;"")*IF('Data - SSV'!AH$6:AH$3000="",0,'Data - SSV'!AH$6:AH$3000))/AN35,3)&gt;=3,3,IF(IFERROR(SUMPRODUCT((ISNUMBER(SEARCH(B35,'Data - SSV'!AE$6:AE$3000)))*('Data - SSV'!AF$6:AF$3000&gt;=(AJ$3-90))*('Data - SSV'!AF$6:AF$3000&lt;=AJ$3)*('Data - SSV'!AH$6:AH$3000&lt;&gt;"")*IF('Data - SSV'!AH$6:AH$3000="",0,'Data - SSV'!AH$6:AH$3000))/AN35,3)&gt;=2,2,1)))))))</f>
        <v/>
      </c>
    </row>
    <row r="36" ht="19.5" customHeight="1" s="146">
      <c r="A36" s="10">
        <f>'Field Teams'!A37</f>
        <v/>
      </c>
      <c r="B36" s="30">
        <f>'Field Teams'!B37</f>
        <v/>
      </c>
      <c r="C36" s="30">
        <f>'Field Teams'!C37</f>
        <v/>
      </c>
      <c r="D36" s="10">
        <f>'Field Teams'!D37</f>
        <v/>
      </c>
      <c r="E36" s="10">
        <f>'Field Teams'!E37</f>
        <v/>
      </c>
      <c r="F36" s="10">
        <f>'Field Teams'!F37</f>
        <v/>
      </c>
      <c r="G36" s="10">
        <f>'Field Teams'!G37</f>
        <v/>
      </c>
      <c r="H36" s="31">
        <f>'Field Teams'!H37</f>
        <v/>
      </c>
      <c r="I36" s="31">
        <f>H36*2</f>
        <v/>
      </c>
      <c r="J36" s="31">
        <f>IFERROR(SUMPRODUCT((((ISNUMBER(SEARCH(B36,'Data - HSQE Events'!V$6:V$3000))+ISNUMBER(SEARCH(B36,'Data - HSQE Events'!H$6:H$3000)))&gt;0))*('Data - HSQE Events'!F$6:F$3000&gt;=$AG$3)*('Data - HSQE Events'!F$6:F$3000&lt;=$AJ$3)*('Data - HSQE Events'!R$6:R$3000="Opportunity")),0)</f>
        <v/>
      </c>
      <c r="K36" s="31">
        <f>IFERROR(SUMPRODUCT((((ISNUMBER(SEARCH(B36,'Data - HSQE Events'!V$6:V$3000))+ISNUMBER(SEARCH(B36,'Data - HSQE Events'!H$6:H$3000)))&gt;0))*('Data - HSQE Events'!F$6:F$3000&gt;=$AG$3)*('Data - HSQE Events'!F$6:F$3000&lt;=$AJ$3)*('Data - HSQE Events'!R$6:R$3000="Minor")),0)</f>
        <v/>
      </c>
      <c r="L36" s="31">
        <f>IFERROR(SUMPRODUCT((((ISNUMBER(SEARCH(B36,'Data - HSQE Events'!V$6:V$3000))+ISNUMBER(SEARCH(B36,'Data - HSQE Events'!H$6:H$3000)))&gt;0))*('Data - HSQE Events'!F$6:F$3000&gt;=$AG$3)*('Data - HSQE Events'!F$6:F$3000&lt;=$AJ$3)*(('Data - HSQE Events'!R$6:R$3000="Moderate")+('Data - HSQE Events'!R$6:R$3000="Major"))),0)</f>
        <v/>
      </c>
      <c r="M36" s="31">
        <f>IF(IFERROR(SUMPRODUCT((((ISNUMBER(SEARCH(B36,'Data - HSQE Events'!V$6:V$3000))+ISNUMBER(SEARCH(B36,'Data - HSQE Events'!H$6:H$3000)))&gt;0))*('Data - HSQE Events'!F$6:F$3000&gt;=$AG$3)*('Data - HSQE Events'!F$6:F$3000&lt;=$AJ$3)*('Data - HSQE Events'!R$6:R$3000="Major")),0)&gt;0,"YES","NO")</f>
        <v/>
      </c>
      <c r="N36" s="31">
        <f>IFERROR(SUMPRODUCT(('Data - Skillko'!B$6:B$3000=B36)*('Data - Skillko'!C$6:C$3000="Total")*('Data - Skillko'!E$6:E$3000))*100,0)</f>
        <v/>
      </c>
      <c r="O36" s="31">
        <f>ROUND(MAX(1,MIN(5,1+N36/100*4)),1)</f>
        <v/>
      </c>
      <c r="P36" s="31">
        <f>IFERROR(SUMPRODUCT(ISNUMBER(SEARCH(B36,'Pole Results'!$A$13:$A$2000))*('Pole Results'!$B$13:$B$2000&gt;=$AG$3)*('Pole Results'!$B$13:$B$2000&lt;=$AE$3)*('Pole Results'!$E$13:$E$2000="Non-Compliant")),0)</f>
        <v/>
      </c>
      <c r="Q36" s="31">
        <f>IF(I36=0,1,IFERROR(ROUND(MAX(1,MIN(5,1+J36/I36*4)),1),3))</f>
        <v/>
      </c>
      <c r="R36" s="31">
        <f>ROUND(6-MAX(MIN(5,K36*0.8+1),MIN(5,L36*2+1)),1)</f>
        <v/>
      </c>
      <c r="S36" s="49">
        <f>IFERROR(ROUND(MAX(1,MIN(5,5-(P36/MAX(1,AI36))*4)),1),5)</f>
        <v/>
      </c>
      <c r="T36" s="31">
        <f>IF('Field Teams'!$I$37="Inactive","",ROUND((Q36*Settings!$D$6+R36*Settings!$D$7+O36*Settings!$D$10+S36*Settings!$D$12+AO36*Settings!$D$13)/Settings!$D$14,1))</f>
        <v/>
      </c>
      <c r="U36" s="115">
        <f>IF('Field Teams'!$I$37="Inactive","",IF(Q36="","",IF(Q36&gt;=4.5,"★★★★★",IF(Q36&gt;=3.5,"★★★★☆",IF(Q36&gt;=2.5,"★★★☆☆",IF(Q36&gt;=1.5,"★★☆☆☆","★☆☆☆☆"))))))</f>
        <v/>
      </c>
      <c r="V36" s="115">
        <f>IF('Field Teams'!$I$37="Inactive","",IF(R36="","",IF(R36&gt;=4.5,"★★★★★",IF(R36&gt;=3.5,"★★★★☆",IF(R36&gt;=2.5,"★★★☆☆",IF(R36&gt;=1.5,"★★☆☆☆","★☆☆☆☆"))))))</f>
        <v/>
      </c>
      <c r="W36" s="115">
        <f>IF('Field Teams'!$I$37="Inactive","",IF(O36="","",IF(O36&gt;=4.5,"★★★★★",IF(O36&gt;=3.5,"★★★★☆",IF(O36&gt;=2.5,"★★★☆☆",IF(O36&gt;=1.5,"★★☆☆☆","★☆☆☆☆"))))))</f>
        <v/>
      </c>
      <c r="X36" s="115">
        <f>IF('Field Teams'!$I$37="Inactive","",IF(S36="","",IF(S36&gt;=4.5,"★★★★★",IF(S36&gt;=3.5,"★★★★☆",IF(S36&gt;=2.5,"★★★☆☆",IF(S36&gt;=1.5,"★★☆☆☆","★☆☆☆☆"))))))</f>
        <v/>
      </c>
      <c r="Y36" s="115">
        <f>IF('Field Teams'!$I$37="Inactive","",IF(AO36="","",IF(AO36&gt;=4.5,"★★★★★",IF(AO36&gt;=3.5,"★★★★☆",IF(AO36&gt;=2.5,"★★★☆☆",IF(AO36&gt;=1.5,"★★☆☆☆","★☆☆☆☆"))))))</f>
        <v/>
      </c>
      <c r="Z36" s="115">
        <f>IF('Field Teams'!$I$5="Inactive","",IF(T36="","",IF(T36&gt;=4.5,"★★★★★",IF(T36&gt;=3.5,"★★★★☆",IF(T36&gt;=2.5,"★★★☆☆",IF(T36&gt;=1.5,"★★☆☆☆","★☆☆☆☆"))))))</f>
        <v/>
      </c>
      <c r="AA36" s="31">
        <f>IF('Field Teams'!$I$37="Inactive","",IF(M36="YES","HIGH",IF(Q36&lt;=Settings!$D$26,"HIGH",IF(T36&lt;=Settings!$D$23,"HIGH",IF(T36&lt;=Settings!$D$24,"MEDIUM","LOW")))))</f>
        <v/>
      </c>
      <c r="AB36" s="31">
        <f>IF('Field Teams'!$I$5="Inactive",-1,IFERROR((6-T36)+(77-ROW())*0.0001,0))</f>
        <v/>
      </c>
      <c r="AC36" s="35">
        <f>IF('Field Teams'!$I$5="Inactive",999,IFERROR((6-T36)+(ROW()-3)*0.0001,99))</f>
        <v/>
      </c>
      <c r="AD36" s="31">
        <f>IF('Field Teams'!$I$37="Inactive",999,IFERROR(AB36+(ROW()-3)*0.0001,99))</f>
        <v/>
      </c>
      <c r="AE36" s="29" t="n">
        <v>0</v>
      </c>
      <c r="AF36" s="31">
        <f>IF('Field Teams'!$I$37="Inactive","",IF(AA36="HIGH","YES - within 5 working days",""))</f>
        <v/>
      </c>
      <c r="AG36" s="105" t="n"/>
      <c r="AH36" s="49">
        <f>IFERROR(SUMPRODUCT(ISNUMBER(SEARCH(B36,'Pole Results'!$A$13:$A$2000))*('Pole Results'!$B$13:$B$2000&gt;=$AG$3)*('Pole Results'!$B$13:$B$2000&lt;=$AE$3)),0)</f>
        <v/>
      </c>
      <c r="AI36" s="49">
        <f>IFERROR(SUMPRODUCT(ISNUMBER(SEARCH(B36,'Pole Results'!$A$13:$A$2000))*('Pole Results'!$B$13:$B$2000&gt;=$AG$3)*('Pole Results'!$B$13:$B$2000&lt;=$AE$3)*('Pole Results'!$E$13:$E$2000="Compliant")),0)</f>
        <v/>
      </c>
      <c r="AJ36" s="105" t="n"/>
      <c r="AK36" s="106">
        <f>IF('Field Teams'!$I$37="Inactive",-1,IF(AA36="HIGH",AB36,-1))</f>
        <v/>
      </c>
      <c r="AL36" s="106">
        <f>IF('Field Teams'!$I$37="Inactive",-1,IF(OR(AA36="HIGH",AA36="MEDIUM"),AB36,-1))</f>
        <v/>
      </c>
      <c r="AM36">
        <f>IF('Field Teams'!$I$37="Inactive","",IF(IFERROR(LOOKUP(2,1/('Historical Scores'!C37:N37&lt;&gt;""),'Historical Scores'!C37:N37),"")="","New",IF(T36=""," ",IF(T36&gt;IFERROR(LOOKUP(2,1/('Historical Scores'!C37:N37&lt;&gt;""),'Historical Scores'!C37:N37),""),"▲ Worsening",IF(T36&lt;IFERROR(LOOKUP(2,1/('Historical Scores'!C37:N37&lt;&gt;""),'Historical Scores'!C37:N37),""),"▼ Improving","► Stable")))))</f>
        <v/>
      </c>
      <c r="AN36">
        <f>IFERROR(SUMPRODUCT((ISNUMBER(SEARCH(B36,'Data - SSV'!AE$6:AE$3000)))*('Data - SSV'!AF$6:AF$3000&gt;=(AJ$3-90))*('Data - SSV'!AF$6:AF$3000&lt;=AJ$3)*('Data - SSV'!AH$6:AH$3000&lt;&gt;"")),0)</f>
        <v/>
      </c>
      <c r="AO36">
        <f>IF('Field Teams'!$I$37="Inactive","",IF(AN36=0,3,IF(AN36=1,IF(IFERROR(SUMPRODUCT((ISNUMBER(SEARCH(B36,'Data - SSV'!AE$6:AE$3000)))*('Data - SSV'!AF$6:AF$3000&gt;=(AJ$3-90))*('Data - SSV'!AF$6:AF$3000&lt;=AJ$3)*('Data - SSV'!AH$6:AH$3000&lt;&gt;"")*IF('Data - SSV'!AH$6:AH$3000="",0,'Data - SSV'!AH$6:AH$3000))/AN36,3)=4,4,IF(IFERROR(SUMPRODUCT((ISNUMBER(SEARCH(B36,'Data - SSV'!AE$6:AE$3000)))*('Data - SSV'!AF$6:AF$3000&gt;=(AJ$3-90))*('Data - SSV'!AF$6:AF$3000&lt;=AJ$3)*('Data - SSV'!AH$6:AH$3000&lt;&gt;"")*IF('Data - SSV'!AH$6:AH$3000="",0,'Data - SSV'!AH$6:AH$3000))/AN36,3)&gt;=3,3,IF(IFERROR(SUMPRODUCT((ISNUMBER(SEARCH(B36,'Data - SSV'!AE$6:AE$3000)))*('Data - SSV'!AF$6:AF$3000&gt;=(AJ$3-90))*('Data - SSV'!AF$6:AF$3000&lt;=AJ$3)*('Data - SSV'!AH$6:AH$3000&lt;&gt;"")*IF('Data - SSV'!AH$6:AH$3000="",0,'Data - SSV'!AH$6:AH$3000))/AN36,3)&gt;=2,2,1))),IF(IFERROR(SUMPRODUCT((ISNUMBER(SEARCH(B36,'Data - SSV'!AE$6:AE$3000)))*('Data - SSV'!AF$6:AF$3000&gt;=(AJ$3-90))*('Data - SSV'!AF$6:AF$3000&lt;=AJ$3)*('Data - SSV'!AH$6:AH$3000&lt;&gt;"")*IF('Data - SSV'!AH$6:AH$3000="",0,'Data - SSV'!AH$6:AH$3000))/AN36,3)=4,5,IF(IFERROR(SUMPRODUCT((ISNUMBER(SEARCH(B36,'Data - SSV'!AE$6:AE$3000)))*('Data - SSV'!AF$6:AF$3000&gt;=(AJ$3-90))*('Data - SSV'!AF$6:AF$3000&lt;=AJ$3)*('Data - SSV'!AH$6:AH$3000&lt;&gt;"")*IF('Data - SSV'!AH$6:AH$3000="",0,'Data - SSV'!AH$6:AH$3000))/AN36,3)&gt;=3.5,4,IF(IFERROR(SUMPRODUCT((ISNUMBER(SEARCH(B36,'Data - SSV'!AE$6:AE$3000)))*('Data - SSV'!AF$6:AF$3000&gt;=(AJ$3-90))*('Data - SSV'!AF$6:AF$3000&lt;=AJ$3)*('Data - SSV'!AH$6:AH$3000&lt;&gt;"")*IF('Data - SSV'!AH$6:AH$3000="",0,'Data - SSV'!AH$6:AH$3000))/AN36,3)&gt;=3,3,IF(IFERROR(SUMPRODUCT((ISNUMBER(SEARCH(B36,'Data - SSV'!AE$6:AE$3000)))*('Data - SSV'!AF$6:AF$3000&gt;=(AJ$3-90))*('Data - SSV'!AF$6:AF$3000&lt;=AJ$3)*('Data - SSV'!AH$6:AH$3000&lt;&gt;"")*IF('Data - SSV'!AH$6:AH$3000="",0,'Data - SSV'!AH$6:AH$3000))/AN36,3)&gt;=2,2,1)))))))</f>
        <v/>
      </c>
    </row>
    <row r="37" ht="19.5" customHeight="1" s="146">
      <c r="A37" s="6">
        <f>'Field Teams'!A38</f>
        <v/>
      </c>
      <c r="B37" s="28">
        <f>'Field Teams'!B38</f>
        <v/>
      </c>
      <c r="C37" s="28">
        <f>'Field Teams'!C38</f>
        <v/>
      </c>
      <c r="D37" s="6">
        <f>'Field Teams'!D38</f>
        <v/>
      </c>
      <c r="E37" s="6">
        <f>'Field Teams'!E38</f>
        <v/>
      </c>
      <c r="F37" s="6">
        <f>'Field Teams'!F38</f>
        <v/>
      </c>
      <c r="G37" s="6">
        <f>'Field Teams'!G38</f>
        <v/>
      </c>
      <c r="H37" s="31">
        <f>'Field Teams'!H38</f>
        <v/>
      </c>
      <c r="I37" s="31">
        <f>H37*2</f>
        <v/>
      </c>
      <c r="J37" s="31">
        <f>IFERROR(SUMPRODUCT((((ISNUMBER(SEARCH(B37,'Data - HSQE Events'!V$6:V$3000))+ISNUMBER(SEARCH(B37,'Data - HSQE Events'!H$6:H$3000)))&gt;0))*('Data - HSQE Events'!F$6:F$3000&gt;=$AG$3)*('Data - HSQE Events'!F$6:F$3000&lt;=$AJ$3)*('Data - HSQE Events'!R$6:R$3000="Opportunity")),0)</f>
        <v/>
      </c>
      <c r="K37" s="31">
        <f>IFERROR(SUMPRODUCT((((ISNUMBER(SEARCH(B37,'Data - HSQE Events'!V$6:V$3000))+ISNUMBER(SEARCH(B37,'Data - HSQE Events'!H$6:H$3000)))&gt;0))*('Data - HSQE Events'!F$6:F$3000&gt;=$AG$3)*('Data - HSQE Events'!F$6:F$3000&lt;=$AJ$3)*('Data - HSQE Events'!R$6:R$3000="Minor")),0)</f>
        <v/>
      </c>
      <c r="L37" s="31">
        <f>IFERROR(SUMPRODUCT((((ISNUMBER(SEARCH(B37,'Data - HSQE Events'!V$6:V$3000))+ISNUMBER(SEARCH(B37,'Data - HSQE Events'!H$6:H$3000)))&gt;0))*('Data - HSQE Events'!F$6:F$3000&gt;=$AG$3)*('Data - HSQE Events'!F$6:F$3000&lt;=$AJ$3)*(('Data - HSQE Events'!R$6:R$3000="Moderate")+('Data - HSQE Events'!R$6:R$3000="Major"))),0)</f>
        <v/>
      </c>
      <c r="M37" s="31">
        <f>IF(IFERROR(SUMPRODUCT((((ISNUMBER(SEARCH(B37,'Data - HSQE Events'!V$6:V$3000))+ISNUMBER(SEARCH(B37,'Data - HSQE Events'!H$6:H$3000)))&gt;0))*('Data - HSQE Events'!F$6:F$3000&gt;=$AG$3)*('Data - HSQE Events'!F$6:F$3000&lt;=$AJ$3)*('Data - HSQE Events'!R$6:R$3000="Major")),0)&gt;0,"YES","NO")</f>
        <v/>
      </c>
      <c r="N37" s="31">
        <f>IFERROR(SUMPRODUCT(('Data - Skillko'!B$6:B$3000=B37)*('Data - Skillko'!C$6:C$3000="Total")*('Data - Skillko'!E$6:E$3000))*100,0)</f>
        <v/>
      </c>
      <c r="O37" s="31">
        <f>ROUND(MAX(1,MIN(5,1+N37/100*4)),1)</f>
        <v/>
      </c>
      <c r="P37" s="31">
        <f>IFERROR(SUMPRODUCT(ISNUMBER(SEARCH(B37,'Pole Results'!$A$13:$A$2000))*('Pole Results'!$B$13:$B$2000&gt;=$AG$3)*('Pole Results'!$B$13:$B$2000&lt;=$AE$3)*('Pole Results'!$E$13:$E$2000="Non-Compliant")),0)</f>
        <v/>
      </c>
      <c r="Q37" s="31">
        <f>IF(I37=0,1,IFERROR(ROUND(MAX(1,MIN(5,1+J37/I37*4)),1),3))</f>
        <v/>
      </c>
      <c r="R37" s="31">
        <f>ROUND(6-MAX(MIN(5,K37*0.8+1),MIN(5,L37*2+1)),1)</f>
        <v/>
      </c>
      <c r="S37" s="49">
        <f>IFERROR(ROUND(MAX(1,MIN(5,5-(P37/MAX(1,AI37))*4)),1),5)</f>
        <v/>
      </c>
      <c r="T37" s="31">
        <f>IF('Field Teams'!$I$38="Inactive","",ROUND((Q37*Settings!$D$6+R37*Settings!$D$7+O37*Settings!$D$10+S37*Settings!$D$12+AO37*Settings!$D$13)/Settings!$D$14,1))</f>
        <v/>
      </c>
      <c r="U37" s="115">
        <f>IF('Field Teams'!$I$38="Inactive","",IF(Q37="","",IF(Q37&gt;=4.5,"★★★★★",IF(Q37&gt;=3.5,"★★★★☆",IF(Q37&gt;=2.5,"★★★☆☆",IF(Q37&gt;=1.5,"★★☆☆☆","★☆☆☆☆"))))))</f>
        <v/>
      </c>
      <c r="V37" s="115">
        <f>IF('Field Teams'!$I$38="Inactive","",IF(R37="","",IF(R37&gt;=4.5,"★★★★★",IF(R37&gt;=3.5,"★★★★☆",IF(R37&gt;=2.5,"★★★☆☆",IF(R37&gt;=1.5,"★★☆☆☆","★☆☆☆☆"))))))</f>
        <v/>
      </c>
      <c r="W37" s="115">
        <f>IF('Field Teams'!$I$38="Inactive","",IF(O37="","",IF(O37&gt;=4.5,"★★★★★",IF(O37&gt;=3.5,"★★★★☆",IF(O37&gt;=2.5,"★★★☆☆",IF(O37&gt;=1.5,"★★☆☆☆","★☆☆☆☆"))))))</f>
        <v/>
      </c>
      <c r="X37" s="115">
        <f>IF('Field Teams'!$I$38="Inactive","",IF(S37="","",IF(S37&gt;=4.5,"★★★★★",IF(S37&gt;=3.5,"★★★★☆",IF(S37&gt;=2.5,"★★★☆☆",IF(S37&gt;=1.5,"★★☆☆☆","★☆☆☆☆"))))))</f>
        <v/>
      </c>
      <c r="Y37" s="115">
        <f>IF('Field Teams'!$I$38="Inactive","",IF(AO37="","",IF(AO37&gt;=4.5,"★★★★★",IF(AO37&gt;=3.5,"★★★★☆",IF(AO37&gt;=2.5,"★★★☆☆",IF(AO37&gt;=1.5,"★★☆☆☆","★☆☆☆☆"))))))</f>
        <v/>
      </c>
      <c r="Z37" s="115">
        <f>IF('Field Teams'!$I$5="Inactive","",IF(T37="","",IF(T37&gt;=4.5,"★★★★★",IF(T37&gt;=3.5,"★★★★☆",IF(T37&gt;=2.5,"★★★☆☆",IF(T37&gt;=1.5,"★★☆☆☆","★☆☆☆☆"))))))</f>
        <v/>
      </c>
      <c r="AA37" s="31">
        <f>IF('Field Teams'!$I$38="Inactive","",IF(M37="YES","HIGH",IF(Q37&lt;=Settings!$D$26,"HIGH",IF(T37&lt;=Settings!$D$23,"HIGH",IF(T37&lt;=Settings!$D$24,"MEDIUM","LOW")))))</f>
        <v/>
      </c>
      <c r="AB37" s="31">
        <f>IF('Field Teams'!$I$5="Inactive",-1,IFERROR((6-T37)+(77-ROW())*0.0001,0))</f>
        <v/>
      </c>
      <c r="AC37" s="35">
        <f>IF('Field Teams'!$I$5="Inactive",999,IFERROR((6-T37)+(ROW()-3)*0.0001,99))</f>
        <v/>
      </c>
      <c r="AD37" s="31">
        <f>IF('Field Teams'!$I$38="Inactive",999,IFERROR(AB37+(ROW()-3)*0.0001,99))</f>
        <v/>
      </c>
      <c r="AE37" s="29" t="n">
        <v>0</v>
      </c>
      <c r="AF37" s="31">
        <f>IF('Field Teams'!$I$38="Inactive","",IF(AA37="HIGH","YES - within 5 working days",""))</f>
        <v/>
      </c>
      <c r="AG37" s="105" t="n"/>
      <c r="AH37" s="49">
        <f>IFERROR(SUMPRODUCT(ISNUMBER(SEARCH(B37,'Pole Results'!$A$13:$A$2000))*('Pole Results'!$B$13:$B$2000&gt;=$AG$3)*('Pole Results'!$B$13:$B$2000&lt;=$AE$3)),0)</f>
        <v/>
      </c>
      <c r="AI37" s="49">
        <f>IFERROR(SUMPRODUCT(ISNUMBER(SEARCH(B37,'Pole Results'!$A$13:$A$2000))*('Pole Results'!$B$13:$B$2000&gt;=$AG$3)*('Pole Results'!$B$13:$B$2000&lt;=$AE$3)*('Pole Results'!$E$13:$E$2000="Compliant")),0)</f>
        <v/>
      </c>
      <c r="AJ37" s="105" t="n"/>
      <c r="AK37" s="106">
        <f>IF('Field Teams'!$I$38="Inactive",-1,IF(AA37="HIGH",AB37,-1))</f>
        <v/>
      </c>
      <c r="AL37" s="106">
        <f>IF('Field Teams'!$I$38="Inactive",-1,IF(OR(AA37="HIGH",AA37="MEDIUM"),AB37,-1))</f>
        <v/>
      </c>
      <c r="AM37">
        <f>IF('Field Teams'!$I$38="Inactive","",IF(IFERROR(LOOKUP(2,1/('Historical Scores'!C38:N38&lt;&gt;""),'Historical Scores'!C38:N38),"")="","New",IF(T37=""," ",IF(T37&gt;IFERROR(LOOKUP(2,1/('Historical Scores'!C38:N38&lt;&gt;""),'Historical Scores'!C38:N38),""),"▲ Worsening",IF(T37&lt;IFERROR(LOOKUP(2,1/('Historical Scores'!C38:N38&lt;&gt;""),'Historical Scores'!C38:N38),""),"▼ Improving","► Stable")))))</f>
        <v/>
      </c>
      <c r="AN37">
        <f>IFERROR(SUMPRODUCT((ISNUMBER(SEARCH(B37,'Data - SSV'!AE$6:AE$3000)))*('Data - SSV'!AF$6:AF$3000&gt;=(AJ$3-90))*('Data - SSV'!AF$6:AF$3000&lt;=AJ$3)*('Data - SSV'!AH$6:AH$3000&lt;&gt;"")),0)</f>
        <v/>
      </c>
      <c r="AO37">
        <f>IF('Field Teams'!$I$38="Inactive","",IF(AN37=0,3,IF(AN37=1,IF(IFERROR(SUMPRODUCT((ISNUMBER(SEARCH(B37,'Data - SSV'!AE$6:AE$3000)))*('Data - SSV'!AF$6:AF$3000&gt;=(AJ$3-90))*('Data - SSV'!AF$6:AF$3000&lt;=AJ$3)*('Data - SSV'!AH$6:AH$3000&lt;&gt;"")*IF('Data - SSV'!AH$6:AH$3000="",0,'Data - SSV'!AH$6:AH$3000))/AN37,3)=4,4,IF(IFERROR(SUMPRODUCT((ISNUMBER(SEARCH(B37,'Data - SSV'!AE$6:AE$3000)))*('Data - SSV'!AF$6:AF$3000&gt;=(AJ$3-90))*('Data - SSV'!AF$6:AF$3000&lt;=AJ$3)*('Data - SSV'!AH$6:AH$3000&lt;&gt;"")*IF('Data - SSV'!AH$6:AH$3000="",0,'Data - SSV'!AH$6:AH$3000))/AN37,3)&gt;=3,3,IF(IFERROR(SUMPRODUCT((ISNUMBER(SEARCH(B37,'Data - SSV'!AE$6:AE$3000)))*('Data - SSV'!AF$6:AF$3000&gt;=(AJ$3-90))*('Data - SSV'!AF$6:AF$3000&lt;=AJ$3)*('Data - SSV'!AH$6:AH$3000&lt;&gt;"")*IF('Data - SSV'!AH$6:AH$3000="",0,'Data - SSV'!AH$6:AH$3000))/AN37,3)&gt;=2,2,1))),IF(IFERROR(SUMPRODUCT((ISNUMBER(SEARCH(B37,'Data - SSV'!AE$6:AE$3000)))*('Data - SSV'!AF$6:AF$3000&gt;=(AJ$3-90))*('Data - SSV'!AF$6:AF$3000&lt;=AJ$3)*('Data - SSV'!AH$6:AH$3000&lt;&gt;"")*IF('Data - SSV'!AH$6:AH$3000="",0,'Data - SSV'!AH$6:AH$3000))/AN37,3)=4,5,IF(IFERROR(SUMPRODUCT((ISNUMBER(SEARCH(B37,'Data - SSV'!AE$6:AE$3000)))*('Data - SSV'!AF$6:AF$3000&gt;=(AJ$3-90))*('Data - SSV'!AF$6:AF$3000&lt;=AJ$3)*('Data - SSV'!AH$6:AH$3000&lt;&gt;"")*IF('Data - SSV'!AH$6:AH$3000="",0,'Data - SSV'!AH$6:AH$3000))/AN37,3)&gt;=3.5,4,IF(IFERROR(SUMPRODUCT((ISNUMBER(SEARCH(B37,'Data - SSV'!AE$6:AE$3000)))*('Data - SSV'!AF$6:AF$3000&gt;=(AJ$3-90))*('Data - SSV'!AF$6:AF$3000&lt;=AJ$3)*('Data - SSV'!AH$6:AH$3000&lt;&gt;"")*IF('Data - SSV'!AH$6:AH$3000="",0,'Data - SSV'!AH$6:AH$3000))/AN37,3)&gt;=3,3,IF(IFERROR(SUMPRODUCT((ISNUMBER(SEARCH(B37,'Data - SSV'!AE$6:AE$3000)))*('Data - SSV'!AF$6:AF$3000&gt;=(AJ$3-90))*('Data - SSV'!AF$6:AF$3000&lt;=AJ$3)*('Data - SSV'!AH$6:AH$3000&lt;&gt;"")*IF('Data - SSV'!AH$6:AH$3000="",0,'Data - SSV'!AH$6:AH$3000))/AN37,3)&gt;=2,2,1)))))))</f>
        <v/>
      </c>
    </row>
    <row r="38" ht="19.5" customHeight="1" s="146">
      <c r="A38" s="10">
        <f>'Field Teams'!A39</f>
        <v/>
      </c>
      <c r="B38" s="30">
        <f>'Field Teams'!B39</f>
        <v/>
      </c>
      <c r="C38" s="30">
        <f>'Field Teams'!C39</f>
        <v/>
      </c>
      <c r="D38" s="10">
        <f>'Field Teams'!D39</f>
        <v/>
      </c>
      <c r="E38" s="10">
        <f>'Field Teams'!E39</f>
        <v/>
      </c>
      <c r="F38" s="10">
        <f>'Field Teams'!F39</f>
        <v/>
      </c>
      <c r="G38" s="10">
        <f>'Field Teams'!G39</f>
        <v/>
      </c>
      <c r="H38" s="31">
        <f>'Field Teams'!H39</f>
        <v/>
      </c>
      <c r="I38" s="31">
        <f>H38*2</f>
        <v/>
      </c>
      <c r="J38" s="31">
        <f>IFERROR(SUMPRODUCT((((ISNUMBER(SEARCH(B38,'Data - HSQE Events'!V$6:V$3000))+ISNUMBER(SEARCH(B38,'Data - HSQE Events'!H$6:H$3000)))&gt;0))*('Data - HSQE Events'!F$6:F$3000&gt;=$AG$3)*('Data - HSQE Events'!F$6:F$3000&lt;=$AJ$3)*('Data - HSQE Events'!R$6:R$3000="Opportunity")),0)</f>
        <v/>
      </c>
      <c r="K38" s="31">
        <f>IFERROR(SUMPRODUCT((((ISNUMBER(SEARCH(B38,'Data - HSQE Events'!V$6:V$3000))+ISNUMBER(SEARCH(B38,'Data - HSQE Events'!H$6:H$3000)))&gt;0))*('Data - HSQE Events'!F$6:F$3000&gt;=$AG$3)*('Data - HSQE Events'!F$6:F$3000&lt;=$AJ$3)*('Data - HSQE Events'!R$6:R$3000="Minor")),0)</f>
        <v/>
      </c>
      <c r="L38" s="31">
        <f>IFERROR(SUMPRODUCT((((ISNUMBER(SEARCH(B38,'Data - HSQE Events'!V$6:V$3000))+ISNUMBER(SEARCH(B38,'Data - HSQE Events'!H$6:H$3000)))&gt;0))*('Data - HSQE Events'!F$6:F$3000&gt;=$AG$3)*('Data - HSQE Events'!F$6:F$3000&lt;=$AJ$3)*(('Data - HSQE Events'!R$6:R$3000="Moderate")+('Data - HSQE Events'!R$6:R$3000="Major"))),0)</f>
        <v/>
      </c>
      <c r="M38" s="31">
        <f>IF(IFERROR(SUMPRODUCT((((ISNUMBER(SEARCH(B38,'Data - HSQE Events'!V$6:V$3000))+ISNUMBER(SEARCH(B38,'Data - HSQE Events'!H$6:H$3000)))&gt;0))*('Data - HSQE Events'!F$6:F$3000&gt;=$AG$3)*('Data - HSQE Events'!F$6:F$3000&lt;=$AJ$3)*('Data - HSQE Events'!R$6:R$3000="Major")),0)&gt;0,"YES","NO")</f>
        <v/>
      </c>
      <c r="N38" s="31">
        <f>IFERROR(SUMPRODUCT(('Data - Skillko'!B$6:B$3000=B38)*('Data - Skillko'!C$6:C$3000="Total")*('Data - Skillko'!E$6:E$3000))*100,0)</f>
        <v/>
      </c>
      <c r="O38" s="31">
        <f>ROUND(MAX(1,MIN(5,1+N38/100*4)),1)</f>
        <v/>
      </c>
      <c r="P38" s="31">
        <f>IFERROR(SUMPRODUCT(ISNUMBER(SEARCH(B38,'Pole Results'!$A$13:$A$2000))*('Pole Results'!$B$13:$B$2000&gt;=$AG$3)*('Pole Results'!$B$13:$B$2000&lt;=$AE$3)*('Pole Results'!$E$13:$E$2000="Non-Compliant")),0)</f>
        <v/>
      </c>
      <c r="Q38" s="31">
        <f>IF(I38=0,1,IFERROR(ROUND(MAX(1,MIN(5,1+J38/I38*4)),1),3))</f>
        <v/>
      </c>
      <c r="R38" s="31">
        <f>ROUND(6-MAX(MIN(5,K38*0.8+1),MIN(5,L38*2+1)),1)</f>
        <v/>
      </c>
      <c r="S38" s="49">
        <f>IFERROR(ROUND(MAX(1,MIN(5,5-(P38/MAX(1,AI38))*4)),1),5)</f>
        <v/>
      </c>
      <c r="T38" s="31">
        <f>IF('Field Teams'!$I$39="Inactive","",ROUND((Q38*Settings!$D$6+R38*Settings!$D$7+O38*Settings!$D$10+S38*Settings!$D$12+AO38*Settings!$D$13)/Settings!$D$14,1))</f>
        <v/>
      </c>
      <c r="U38" s="115">
        <f>IF('Field Teams'!$I$39="Inactive","",IF(Q38="","",IF(Q38&gt;=4.5,"★★★★★",IF(Q38&gt;=3.5,"★★★★☆",IF(Q38&gt;=2.5,"★★★☆☆",IF(Q38&gt;=1.5,"★★☆☆☆","★☆☆☆☆"))))))</f>
        <v/>
      </c>
      <c r="V38" s="115">
        <f>IF('Field Teams'!$I$39="Inactive","",IF(R38="","",IF(R38&gt;=4.5,"★★★★★",IF(R38&gt;=3.5,"★★★★☆",IF(R38&gt;=2.5,"★★★☆☆",IF(R38&gt;=1.5,"★★☆☆☆","★☆☆☆☆"))))))</f>
        <v/>
      </c>
      <c r="W38" s="115">
        <f>IF('Field Teams'!$I$39="Inactive","",IF(O38="","",IF(O38&gt;=4.5,"★★★★★",IF(O38&gt;=3.5,"★★★★☆",IF(O38&gt;=2.5,"★★★☆☆",IF(O38&gt;=1.5,"★★☆☆☆","★☆☆☆☆"))))))</f>
        <v/>
      </c>
      <c r="X38" s="115">
        <f>IF('Field Teams'!$I$39="Inactive","",IF(S38="","",IF(S38&gt;=4.5,"★★★★★",IF(S38&gt;=3.5,"★★★★☆",IF(S38&gt;=2.5,"★★★☆☆",IF(S38&gt;=1.5,"★★☆☆☆","★☆☆☆☆"))))))</f>
        <v/>
      </c>
      <c r="Y38" s="115">
        <f>IF('Field Teams'!$I$39="Inactive","",IF(AO38="","",IF(AO38&gt;=4.5,"★★★★★",IF(AO38&gt;=3.5,"★★★★☆",IF(AO38&gt;=2.5,"★★★☆☆",IF(AO38&gt;=1.5,"★★☆☆☆","★☆☆☆☆"))))))</f>
        <v/>
      </c>
      <c r="Z38" s="115">
        <f>IF('Field Teams'!$I$5="Inactive","",IF(T38="","",IF(T38&gt;=4.5,"★★★★★",IF(T38&gt;=3.5,"★★★★☆",IF(T38&gt;=2.5,"★★★☆☆",IF(T38&gt;=1.5,"★★☆☆☆","★☆☆☆☆"))))))</f>
        <v/>
      </c>
      <c r="AA38" s="31">
        <f>IF('Field Teams'!$I$39="Inactive","",IF(M38="YES","HIGH",IF(Q38&lt;=Settings!$D$26,"HIGH",IF(T38&lt;=Settings!$D$23,"HIGH",IF(T38&lt;=Settings!$D$24,"MEDIUM","LOW")))))</f>
        <v/>
      </c>
      <c r="AB38" s="31">
        <f>IF('Field Teams'!$I$5="Inactive",-1,IFERROR((6-T38)+(77-ROW())*0.0001,0))</f>
        <v/>
      </c>
      <c r="AC38" s="35">
        <f>IF('Field Teams'!$I$5="Inactive",999,IFERROR((6-T38)+(ROW()-3)*0.0001,99))</f>
        <v/>
      </c>
      <c r="AD38" s="31">
        <f>IF('Field Teams'!$I$39="Inactive",999,IFERROR(AB38+(ROW()-3)*0.0001,99))</f>
        <v/>
      </c>
      <c r="AE38" s="29" t="n">
        <v>0</v>
      </c>
      <c r="AF38" s="31">
        <f>IF('Field Teams'!$I$39="Inactive","",IF(AA38="HIGH","YES - within 5 working days",""))</f>
        <v/>
      </c>
      <c r="AG38" s="105" t="n"/>
      <c r="AH38" s="49">
        <f>IFERROR(SUMPRODUCT(ISNUMBER(SEARCH(B38,'Pole Results'!$A$13:$A$2000))*('Pole Results'!$B$13:$B$2000&gt;=$AG$3)*('Pole Results'!$B$13:$B$2000&lt;=$AE$3)),0)</f>
        <v/>
      </c>
      <c r="AI38" s="49">
        <f>IFERROR(SUMPRODUCT(ISNUMBER(SEARCH(B38,'Pole Results'!$A$13:$A$2000))*('Pole Results'!$B$13:$B$2000&gt;=$AG$3)*('Pole Results'!$B$13:$B$2000&lt;=$AE$3)*('Pole Results'!$E$13:$E$2000="Compliant")),0)</f>
        <v/>
      </c>
      <c r="AJ38" s="105" t="n"/>
      <c r="AK38" s="106">
        <f>IF('Field Teams'!$I$39="Inactive",-1,IF(AA38="HIGH",AB38,-1))</f>
        <v/>
      </c>
      <c r="AL38" s="106">
        <f>IF('Field Teams'!$I$39="Inactive",-1,IF(OR(AA38="HIGH",AA38="MEDIUM"),AB38,-1))</f>
        <v/>
      </c>
      <c r="AM38">
        <f>IF('Field Teams'!$I$39="Inactive","",IF(IFERROR(LOOKUP(2,1/('Historical Scores'!C39:N39&lt;&gt;""),'Historical Scores'!C39:N39),"")="","New",IF(T38=""," ",IF(T38&gt;IFERROR(LOOKUP(2,1/('Historical Scores'!C39:N39&lt;&gt;""),'Historical Scores'!C39:N39),""),"▲ Worsening",IF(T38&lt;IFERROR(LOOKUP(2,1/('Historical Scores'!C39:N39&lt;&gt;""),'Historical Scores'!C39:N39),""),"▼ Improving","► Stable")))))</f>
        <v/>
      </c>
      <c r="AN38">
        <f>IFERROR(SUMPRODUCT((ISNUMBER(SEARCH(B38,'Data - SSV'!AE$6:AE$3000)))*('Data - SSV'!AF$6:AF$3000&gt;=(AJ$3-90))*('Data - SSV'!AF$6:AF$3000&lt;=AJ$3)*('Data - SSV'!AH$6:AH$3000&lt;&gt;"")),0)</f>
        <v/>
      </c>
      <c r="AO38">
        <f>IF('Field Teams'!$I$39="Inactive","",IF(AN38=0,3,IF(AN38=1,IF(IFERROR(SUMPRODUCT((ISNUMBER(SEARCH(B38,'Data - SSV'!AE$6:AE$3000)))*('Data - SSV'!AF$6:AF$3000&gt;=(AJ$3-90))*('Data - SSV'!AF$6:AF$3000&lt;=AJ$3)*('Data - SSV'!AH$6:AH$3000&lt;&gt;"")*IF('Data - SSV'!AH$6:AH$3000="",0,'Data - SSV'!AH$6:AH$3000))/AN38,3)=4,4,IF(IFERROR(SUMPRODUCT((ISNUMBER(SEARCH(B38,'Data - SSV'!AE$6:AE$3000)))*('Data - SSV'!AF$6:AF$3000&gt;=(AJ$3-90))*('Data - SSV'!AF$6:AF$3000&lt;=AJ$3)*('Data - SSV'!AH$6:AH$3000&lt;&gt;"")*IF('Data - SSV'!AH$6:AH$3000="",0,'Data - SSV'!AH$6:AH$3000))/AN38,3)&gt;=3,3,IF(IFERROR(SUMPRODUCT((ISNUMBER(SEARCH(B38,'Data - SSV'!AE$6:AE$3000)))*('Data - SSV'!AF$6:AF$3000&gt;=(AJ$3-90))*('Data - SSV'!AF$6:AF$3000&lt;=AJ$3)*('Data - SSV'!AH$6:AH$3000&lt;&gt;"")*IF('Data - SSV'!AH$6:AH$3000="",0,'Data - SSV'!AH$6:AH$3000))/AN38,3)&gt;=2,2,1))),IF(IFERROR(SUMPRODUCT((ISNUMBER(SEARCH(B38,'Data - SSV'!AE$6:AE$3000)))*('Data - SSV'!AF$6:AF$3000&gt;=(AJ$3-90))*('Data - SSV'!AF$6:AF$3000&lt;=AJ$3)*('Data - SSV'!AH$6:AH$3000&lt;&gt;"")*IF('Data - SSV'!AH$6:AH$3000="",0,'Data - SSV'!AH$6:AH$3000))/AN38,3)=4,5,IF(IFERROR(SUMPRODUCT((ISNUMBER(SEARCH(B38,'Data - SSV'!AE$6:AE$3000)))*('Data - SSV'!AF$6:AF$3000&gt;=(AJ$3-90))*('Data - SSV'!AF$6:AF$3000&lt;=AJ$3)*('Data - SSV'!AH$6:AH$3000&lt;&gt;"")*IF('Data - SSV'!AH$6:AH$3000="",0,'Data - SSV'!AH$6:AH$3000))/AN38,3)&gt;=3.5,4,IF(IFERROR(SUMPRODUCT((ISNUMBER(SEARCH(B38,'Data - SSV'!AE$6:AE$3000)))*('Data - SSV'!AF$6:AF$3000&gt;=(AJ$3-90))*('Data - SSV'!AF$6:AF$3000&lt;=AJ$3)*('Data - SSV'!AH$6:AH$3000&lt;&gt;"")*IF('Data - SSV'!AH$6:AH$3000="",0,'Data - SSV'!AH$6:AH$3000))/AN38,3)&gt;=3,3,IF(IFERROR(SUMPRODUCT((ISNUMBER(SEARCH(B38,'Data - SSV'!AE$6:AE$3000)))*('Data - SSV'!AF$6:AF$3000&gt;=(AJ$3-90))*('Data - SSV'!AF$6:AF$3000&lt;=AJ$3)*('Data - SSV'!AH$6:AH$3000&lt;&gt;"")*IF('Data - SSV'!AH$6:AH$3000="",0,'Data - SSV'!AH$6:AH$3000))/AN38,3)&gt;=2,2,1)))))))</f>
        <v/>
      </c>
    </row>
    <row r="39" ht="19.5" customHeight="1" s="146">
      <c r="A39" s="6">
        <f>'Field Teams'!A40</f>
        <v/>
      </c>
      <c r="B39" s="28">
        <f>'Field Teams'!B40</f>
        <v/>
      </c>
      <c r="C39" s="28">
        <f>'Field Teams'!C40</f>
        <v/>
      </c>
      <c r="D39" s="6">
        <f>'Field Teams'!D40</f>
        <v/>
      </c>
      <c r="E39" s="6">
        <f>'Field Teams'!E40</f>
        <v/>
      </c>
      <c r="F39" s="6">
        <f>'Field Teams'!F40</f>
        <v/>
      </c>
      <c r="G39" s="6">
        <f>'Field Teams'!G40</f>
        <v/>
      </c>
      <c r="H39" s="31">
        <f>'Field Teams'!H40</f>
        <v/>
      </c>
      <c r="I39" s="31">
        <f>H39*2</f>
        <v/>
      </c>
      <c r="J39" s="31">
        <f>IFERROR(SUMPRODUCT((((ISNUMBER(SEARCH(B39,'Data - HSQE Events'!V$6:V$3000))+ISNUMBER(SEARCH(B39,'Data - HSQE Events'!H$6:H$3000)))&gt;0))*('Data - HSQE Events'!F$6:F$3000&gt;=$AG$3)*('Data - HSQE Events'!F$6:F$3000&lt;=$AJ$3)*('Data - HSQE Events'!R$6:R$3000="Opportunity")),0)</f>
        <v/>
      </c>
      <c r="K39" s="31">
        <f>IFERROR(SUMPRODUCT((((ISNUMBER(SEARCH(B39,'Data - HSQE Events'!V$6:V$3000))+ISNUMBER(SEARCH(B39,'Data - HSQE Events'!H$6:H$3000)))&gt;0))*('Data - HSQE Events'!F$6:F$3000&gt;=$AG$3)*('Data - HSQE Events'!F$6:F$3000&lt;=$AJ$3)*('Data - HSQE Events'!R$6:R$3000="Minor")),0)</f>
        <v/>
      </c>
      <c r="L39" s="31">
        <f>IFERROR(SUMPRODUCT((((ISNUMBER(SEARCH(B39,'Data - HSQE Events'!V$6:V$3000))+ISNUMBER(SEARCH(B39,'Data - HSQE Events'!H$6:H$3000)))&gt;0))*('Data - HSQE Events'!F$6:F$3000&gt;=$AG$3)*('Data - HSQE Events'!F$6:F$3000&lt;=$AJ$3)*(('Data - HSQE Events'!R$6:R$3000="Moderate")+('Data - HSQE Events'!R$6:R$3000="Major"))),0)</f>
        <v/>
      </c>
      <c r="M39" s="31">
        <f>IF(IFERROR(SUMPRODUCT((((ISNUMBER(SEARCH(B39,'Data - HSQE Events'!V$6:V$3000))+ISNUMBER(SEARCH(B39,'Data - HSQE Events'!H$6:H$3000)))&gt;0))*('Data - HSQE Events'!F$6:F$3000&gt;=$AG$3)*('Data - HSQE Events'!F$6:F$3000&lt;=$AJ$3)*('Data - HSQE Events'!R$6:R$3000="Major")),0)&gt;0,"YES","NO")</f>
        <v/>
      </c>
      <c r="N39" s="31">
        <f>IFERROR(SUMPRODUCT(('Data - Skillko'!B$6:B$3000=B39)*('Data - Skillko'!C$6:C$3000="Total")*('Data - Skillko'!E$6:E$3000))*100,0)</f>
        <v/>
      </c>
      <c r="O39" s="31">
        <f>ROUND(MAX(1,MIN(5,1+N39/100*4)),1)</f>
        <v/>
      </c>
      <c r="P39" s="31">
        <f>IFERROR(SUMPRODUCT(ISNUMBER(SEARCH(B39,'Pole Results'!$A$13:$A$2000))*('Pole Results'!$B$13:$B$2000&gt;=$AG$3)*('Pole Results'!$B$13:$B$2000&lt;=$AE$3)*('Pole Results'!$E$13:$E$2000="Non-Compliant")),0)</f>
        <v/>
      </c>
      <c r="Q39" s="31">
        <f>IF(I39=0,1,IFERROR(ROUND(MAX(1,MIN(5,1+J39/I39*4)),1),3))</f>
        <v/>
      </c>
      <c r="R39" s="31">
        <f>ROUND(6-MAX(MIN(5,K39*0.8+1),MIN(5,L39*2+1)),1)</f>
        <v/>
      </c>
      <c r="S39" s="49">
        <f>IFERROR(ROUND(MAX(1,MIN(5,5-(P39/MAX(1,AI39))*4)),1),5)</f>
        <v/>
      </c>
      <c r="T39" s="31">
        <f>IF('Field Teams'!$I$40="Inactive","",ROUND((Q39*Settings!$D$6+R39*Settings!$D$7+O39*Settings!$D$10+S39*Settings!$D$12+AO39*Settings!$D$13)/Settings!$D$14,1))</f>
        <v/>
      </c>
      <c r="U39" s="115">
        <f>IF('Field Teams'!$I$40="Inactive","",IF(Q39="","",IF(Q39&gt;=4.5,"★★★★★",IF(Q39&gt;=3.5,"★★★★☆",IF(Q39&gt;=2.5,"★★★☆☆",IF(Q39&gt;=1.5,"★★☆☆☆","★☆☆☆☆"))))))</f>
        <v/>
      </c>
      <c r="V39" s="115">
        <f>IF('Field Teams'!$I$40="Inactive","",IF(R39="","",IF(R39&gt;=4.5,"★★★★★",IF(R39&gt;=3.5,"★★★★☆",IF(R39&gt;=2.5,"★★★☆☆",IF(R39&gt;=1.5,"★★☆☆☆","★☆☆☆☆"))))))</f>
        <v/>
      </c>
      <c r="W39" s="115">
        <f>IF('Field Teams'!$I$40="Inactive","",IF(O39="","",IF(O39&gt;=4.5,"★★★★★",IF(O39&gt;=3.5,"★★★★☆",IF(O39&gt;=2.5,"★★★☆☆",IF(O39&gt;=1.5,"★★☆☆☆","★☆☆☆☆"))))))</f>
        <v/>
      </c>
      <c r="X39" s="115">
        <f>IF('Field Teams'!$I$40="Inactive","",IF(S39="","",IF(S39&gt;=4.5,"★★★★★",IF(S39&gt;=3.5,"★★★★☆",IF(S39&gt;=2.5,"★★★☆☆",IF(S39&gt;=1.5,"★★☆☆☆","★☆☆☆☆"))))))</f>
        <v/>
      </c>
      <c r="Y39" s="115">
        <f>IF('Field Teams'!$I$40="Inactive","",IF(AO39="","",IF(AO39&gt;=4.5,"★★★★★",IF(AO39&gt;=3.5,"★★★★☆",IF(AO39&gt;=2.5,"★★★☆☆",IF(AO39&gt;=1.5,"★★☆☆☆","★☆☆☆☆"))))))</f>
        <v/>
      </c>
      <c r="Z39" s="115">
        <f>IF('Field Teams'!$I$5="Inactive","",IF(T39="","",IF(T39&gt;=4.5,"★★★★★",IF(T39&gt;=3.5,"★★★★☆",IF(T39&gt;=2.5,"★★★☆☆",IF(T39&gt;=1.5,"★★☆☆☆","★☆☆☆☆"))))))</f>
        <v/>
      </c>
      <c r="AA39" s="31">
        <f>IF('Field Teams'!$I$40="Inactive","",IF(M39="YES","HIGH",IF(Q39&lt;=Settings!$D$26,"HIGH",IF(T39&lt;=Settings!$D$23,"HIGH",IF(T39&lt;=Settings!$D$24,"MEDIUM","LOW")))))</f>
        <v/>
      </c>
      <c r="AB39" s="31">
        <f>IF('Field Teams'!$I$5="Inactive",-1,IFERROR((6-T39)+(77-ROW())*0.0001,0))</f>
        <v/>
      </c>
      <c r="AC39" s="35">
        <f>IF('Field Teams'!$I$5="Inactive",999,IFERROR((6-T39)+(ROW()-3)*0.0001,99))</f>
        <v/>
      </c>
      <c r="AD39" s="31">
        <f>IF('Field Teams'!$I$40="Inactive",999,IFERROR(AB39+(ROW()-3)*0.0001,99))</f>
        <v/>
      </c>
      <c r="AE39" s="29" t="n">
        <v>0</v>
      </c>
      <c r="AF39" s="31">
        <f>IF('Field Teams'!$I$40="Inactive","",IF(AA39="HIGH","YES - within 5 working days",""))</f>
        <v/>
      </c>
      <c r="AG39" s="105" t="n"/>
      <c r="AH39" s="49">
        <f>IFERROR(SUMPRODUCT(ISNUMBER(SEARCH(B39,'Pole Results'!$A$13:$A$2000))*('Pole Results'!$B$13:$B$2000&gt;=$AG$3)*('Pole Results'!$B$13:$B$2000&lt;=$AE$3)),0)</f>
        <v/>
      </c>
      <c r="AI39" s="49">
        <f>IFERROR(SUMPRODUCT(ISNUMBER(SEARCH(B39,'Pole Results'!$A$13:$A$2000))*('Pole Results'!$B$13:$B$2000&gt;=$AG$3)*('Pole Results'!$B$13:$B$2000&lt;=$AE$3)*('Pole Results'!$E$13:$E$2000="Compliant")),0)</f>
        <v/>
      </c>
      <c r="AJ39" s="105" t="n"/>
      <c r="AK39" s="106">
        <f>IF('Field Teams'!$I$40="Inactive",-1,IF(AA39="HIGH",AB39,-1))</f>
        <v/>
      </c>
      <c r="AL39" s="106">
        <f>IF('Field Teams'!$I$40="Inactive",-1,IF(OR(AA39="HIGH",AA39="MEDIUM"),AB39,-1))</f>
        <v/>
      </c>
      <c r="AM39">
        <f>IF('Field Teams'!$I$40="Inactive","",IF(IFERROR(LOOKUP(2,1/('Historical Scores'!C40:N40&lt;&gt;""),'Historical Scores'!C40:N40),"")="","New",IF(T39=""," ",IF(T39&gt;IFERROR(LOOKUP(2,1/('Historical Scores'!C40:N40&lt;&gt;""),'Historical Scores'!C40:N40),""),"▲ Worsening",IF(T39&lt;IFERROR(LOOKUP(2,1/('Historical Scores'!C40:N40&lt;&gt;""),'Historical Scores'!C40:N40),""),"▼ Improving","► Stable")))))</f>
        <v/>
      </c>
      <c r="AN39">
        <f>IFERROR(SUMPRODUCT((ISNUMBER(SEARCH(B39,'Data - SSV'!AE$6:AE$3000)))*('Data - SSV'!AF$6:AF$3000&gt;=(AJ$3-90))*('Data - SSV'!AF$6:AF$3000&lt;=AJ$3)*('Data - SSV'!AH$6:AH$3000&lt;&gt;"")),0)</f>
        <v/>
      </c>
      <c r="AO39">
        <f>IF('Field Teams'!$I$40="Inactive","",IF(AN39=0,3,IF(AN39=1,IF(IFERROR(SUMPRODUCT((ISNUMBER(SEARCH(B39,'Data - SSV'!AE$6:AE$3000)))*('Data - SSV'!AF$6:AF$3000&gt;=(AJ$3-90))*('Data - SSV'!AF$6:AF$3000&lt;=AJ$3)*('Data - SSV'!AH$6:AH$3000&lt;&gt;"")*IF('Data - SSV'!AH$6:AH$3000="",0,'Data - SSV'!AH$6:AH$3000))/AN39,3)=4,4,IF(IFERROR(SUMPRODUCT((ISNUMBER(SEARCH(B39,'Data - SSV'!AE$6:AE$3000)))*('Data - SSV'!AF$6:AF$3000&gt;=(AJ$3-90))*('Data - SSV'!AF$6:AF$3000&lt;=AJ$3)*('Data - SSV'!AH$6:AH$3000&lt;&gt;"")*IF('Data - SSV'!AH$6:AH$3000="",0,'Data - SSV'!AH$6:AH$3000))/AN39,3)&gt;=3,3,IF(IFERROR(SUMPRODUCT((ISNUMBER(SEARCH(B39,'Data - SSV'!AE$6:AE$3000)))*('Data - SSV'!AF$6:AF$3000&gt;=(AJ$3-90))*('Data - SSV'!AF$6:AF$3000&lt;=AJ$3)*('Data - SSV'!AH$6:AH$3000&lt;&gt;"")*IF('Data - SSV'!AH$6:AH$3000="",0,'Data - SSV'!AH$6:AH$3000))/AN39,3)&gt;=2,2,1))),IF(IFERROR(SUMPRODUCT((ISNUMBER(SEARCH(B39,'Data - SSV'!AE$6:AE$3000)))*('Data - SSV'!AF$6:AF$3000&gt;=(AJ$3-90))*('Data - SSV'!AF$6:AF$3000&lt;=AJ$3)*('Data - SSV'!AH$6:AH$3000&lt;&gt;"")*IF('Data - SSV'!AH$6:AH$3000="",0,'Data - SSV'!AH$6:AH$3000))/AN39,3)=4,5,IF(IFERROR(SUMPRODUCT((ISNUMBER(SEARCH(B39,'Data - SSV'!AE$6:AE$3000)))*('Data - SSV'!AF$6:AF$3000&gt;=(AJ$3-90))*('Data - SSV'!AF$6:AF$3000&lt;=AJ$3)*('Data - SSV'!AH$6:AH$3000&lt;&gt;"")*IF('Data - SSV'!AH$6:AH$3000="",0,'Data - SSV'!AH$6:AH$3000))/AN39,3)&gt;=3.5,4,IF(IFERROR(SUMPRODUCT((ISNUMBER(SEARCH(B39,'Data - SSV'!AE$6:AE$3000)))*('Data - SSV'!AF$6:AF$3000&gt;=(AJ$3-90))*('Data - SSV'!AF$6:AF$3000&lt;=AJ$3)*('Data - SSV'!AH$6:AH$3000&lt;&gt;"")*IF('Data - SSV'!AH$6:AH$3000="",0,'Data - SSV'!AH$6:AH$3000))/AN39,3)&gt;=3,3,IF(IFERROR(SUMPRODUCT((ISNUMBER(SEARCH(B39,'Data - SSV'!AE$6:AE$3000)))*('Data - SSV'!AF$6:AF$3000&gt;=(AJ$3-90))*('Data - SSV'!AF$6:AF$3000&lt;=AJ$3)*('Data - SSV'!AH$6:AH$3000&lt;&gt;"")*IF('Data - SSV'!AH$6:AH$3000="",0,'Data - SSV'!AH$6:AH$3000))/AN39,3)&gt;=2,2,1)))))))</f>
        <v/>
      </c>
    </row>
    <row r="40" ht="19.5" customHeight="1" s="146">
      <c r="A40" s="10">
        <f>'Field Teams'!A41</f>
        <v/>
      </c>
      <c r="B40" s="30">
        <f>'Field Teams'!B41</f>
        <v/>
      </c>
      <c r="C40" s="30">
        <f>'Field Teams'!C41</f>
        <v/>
      </c>
      <c r="D40" s="10">
        <f>'Field Teams'!D41</f>
        <v/>
      </c>
      <c r="E40" s="10">
        <f>'Field Teams'!E41</f>
        <v/>
      </c>
      <c r="F40" s="10">
        <f>'Field Teams'!F41</f>
        <v/>
      </c>
      <c r="G40" s="10">
        <f>'Field Teams'!G41</f>
        <v/>
      </c>
      <c r="H40" s="31">
        <f>'Field Teams'!H41</f>
        <v/>
      </c>
      <c r="I40" s="31">
        <f>H40*2</f>
        <v/>
      </c>
      <c r="J40" s="31">
        <f>IFERROR(SUMPRODUCT((((ISNUMBER(SEARCH(B40,'Data - HSQE Events'!V$6:V$3000))+ISNUMBER(SEARCH(B40,'Data - HSQE Events'!H$6:H$3000)))&gt;0))*('Data - HSQE Events'!F$6:F$3000&gt;=$AG$3)*('Data - HSQE Events'!F$6:F$3000&lt;=$AJ$3)*('Data - HSQE Events'!R$6:R$3000="Opportunity")),0)</f>
        <v/>
      </c>
      <c r="K40" s="31">
        <f>IFERROR(SUMPRODUCT((((ISNUMBER(SEARCH(B40,'Data - HSQE Events'!V$6:V$3000))+ISNUMBER(SEARCH(B40,'Data - HSQE Events'!H$6:H$3000)))&gt;0))*('Data - HSQE Events'!F$6:F$3000&gt;=$AG$3)*('Data - HSQE Events'!F$6:F$3000&lt;=$AJ$3)*('Data - HSQE Events'!R$6:R$3000="Minor")),0)</f>
        <v/>
      </c>
      <c r="L40" s="31">
        <f>IFERROR(SUMPRODUCT((((ISNUMBER(SEARCH(B40,'Data - HSQE Events'!V$6:V$3000))+ISNUMBER(SEARCH(B40,'Data - HSQE Events'!H$6:H$3000)))&gt;0))*('Data - HSQE Events'!F$6:F$3000&gt;=$AG$3)*('Data - HSQE Events'!F$6:F$3000&lt;=$AJ$3)*(('Data - HSQE Events'!R$6:R$3000="Moderate")+('Data - HSQE Events'!R$6:R$3000="Major"))),0)</f>
        <v/>
      </c>
      <c r="M40" s="31">
        <f>IF(IFERROR(SUMPRODUCT((((ISNUMBER(SEARCH(B40,'Data - HSQE Events'!V$6:V$3000))+ISNUMBER(SEARCH(B40,'Data - HSQE Events'!H$6:H$3000)))&gt;0))*('Data - HSQE Events'!F$6:F$3000&gt;=$AG$3)*('Data - HSQE Events'!F$6:F$3000&lt;=$AJ$3)*('Data - HSQE Events'!R$6:R$3000="Major")),0)&gt;0,"YES","NO")</f>
        <v/>
      </c>
      <c r="N40" s="31">
        <f>IFERROR(SUMPRODUCT(('Data - Skillko'!B$6:B$3000=B40)*('Data - Skillko'!C$6:C$3000="Total")*('Data - Skillko'!E$6:E$3000))*100,0)</f>
        <v/>
      </c>
      <c r="O40" s="31">
        <f>ROUND(MAX(1,MIN(5,1+N40/100*4)),1)</f>
        <v/>
      </c>
      <c r="P40" s="31">
        <f>IFERROR(SUMPRODUCT(ISNUMBER(SEARCH(B40,'Pole Results'!$A$13:$A$2000))*('Pole Results'!$B$13:$B$2000&gt;=$AG$3)*('Pole Results'!$B$13:$B$2000&lt;=$AE$3)*('Pole Results'!$E$13:$E$2000="Non-Compliant")),0)</f>
        <v/>
      </c>
      <c r="Q40" s="31">
        <f>IF(I40=0,1,IFERROR(ROUND(MAX(1,MIN(5,1+J40/I40*4)),1),3))</f>
        <v/>
      </c>
      <c r="R40" s="31">
        <f>ROUND(6-MAX(MIN(5,K40*0.8+1),MIN(5,L40*2+1)),1)</f>
        <v/>
      </c>
      <c r="S40" s="49">
        <f>IFERROR(ROUND(MAX(1,MIN(5,5-(P40/MAX(1,AI40))*4)),1),5)</f>
        <v/>
      </c>
      <c r="T40" s="31">
        <f>IF('Field Teams'!$I$41="Inactive","",ROUND((Q40*Settings!$D$6+R40*Settings!$D$7+O40*Settings!$D$10+S40*Settings!$D$12+AO40*Settings!$D$13)/Settings!$D$14,1))</f>
        <v/>
      </c>
      <c r="U40" s="115">
        <f>IF('Field Teams'!$I$41="Inactive","",IF(Q40="","",IF(Q40&gt;=4.5,"★★★★★",IF(Q40&gt;=3.5,"★★★★☆",IF(Q40&gt;=2.5,"★★★☆☆",IF(Q40&gt;=1.5,"★★☆☆☆","★☆☆☆☆"))))))</f>
        <v/>
      </c>
      <c r="V40" s="115">
        <f>IF('Field Teams'!$I$41="Inactive","",IF(R40="","",IF(R40&gt;=4.5,"★★★★★",IF(R40&gt;=3.5,"★★★★☆",IF(R40&gt;=2.5,"★★★☆☆",IF(R40&gt;=1.5,"★★☆☆☆","★☆☆☆☆"))))))</f>
        <v/>
      </c>
      <c r="W40" s="115">
        <f>IF('Field Teams'!$I$41="Inactive","",IF(O40="","",IF(O40&gt;=4.5,"★★★★★",IF(O40&gt;=3.5,"★★★★☆",IF(O40&gt;=2.5,"★★★☆☆",IF(O40&gt;=1.5,"★★☆☆☆","★☆☆☆☆"))))))</f>
        <v/>
      </c>
      <c r="X40" s="115">
        <f>IF('Field Teams'!$I$41="Inactive","",IF(S40="","",IF(S40&gt;=4.5,"★★★★★",IF(S40&gt;=3.5,"★★★★☆",IF(S40&gt;=2.5,"★★★☆☆",IF(S40&gt;=1.5,"★★☆☆☆","★☆☆☆☆"))))))</f>
        <v/>
      </c>
      <c r="Y40" s="115">
        <f>IF('Field Teams'!$I$41="Inactive","",IF(AO40="","",IF(AO40&gt;=4.5,"★★★★★",IF(AO40&gt;=3.5,"★★★★☆",IF(AO40&gt;=2.5,"★★★☆☆",IF(AO40&gt;=1.5,"★★☆☆☆","★☆☆☆☆"))))))</f>
        <v/>
      </c>
      <c r="Z40" s="115">
        <f>IF('Field Teams'!$I$5="Inactive","",IF(T40="","",IF(T40&gt;=4.5,"★★★★★",IF(T40&gt;=3.5,"★★★★☆",IF(T40&gt;=2.5,"★★★☆☆",IF(T40&gt;=1.5,"★★☆☆☆","★☆☆☆☆"))))))</f>
        <v/>
      </c>
      <c r="AA40" s="31">
        <f>IF('Field Teams'!$I$41="Inactive","",IF(M40="YES","HIGH",IF(Q40&lt;=Settings!$D$26,"HIGH",IF(T40&lt;=Settings!$D$23,"HIGH",IF(T40&lt;=Settings!$D$24,"MEDIUM","LOW")))))</f>
        <v/>
      </c>
      <c r="AB40" s="31">
        <f>IF('Field Teams'!$I$5="Inactive",-1,IFERROR((6-T40)+(77-ROW())*0.0001,0))</f>
        <v/>
      </c>
      <c r="AC40" s="35">
        <f>IF('Field Teams'!$I$5="Inactive",999,IFERROR((6-T40)+(ROW()-3)*0.0001,99))</f>
        <v/>
      </c>
      <c r="AD40" s="31">
        <f>IF('Field Teams'!$I$41="Inactive",999,IFERROR(AB40+(ROW()-3)*0.0001,99))</f>
        <v/>
      </c>
      <c r="AE40" s="29" t="n">
        <v>0</v>
      </c>
      <c r="AF40" s="31">
        <f>IF('Field Teams'!$I$41="Inactive","",IF(AA40="HIGH","YES - within 5 working days",""))</f>
        <v/>
      </c>
      <c r="AG40" s="105" t="n"/>
      <c r="AH40" s="49">
        <f>IFERROR(SUMPRODUCT(ISNUMBER(SEARCH(B40,'Pole Results'!$A$13:$A$2000))*('Pole Results'!$B$13:$B$2000&gt;=$AG$3)*('Pole Results'!$B$13:$B$2000&lt;=$AE$3)),0)</f>
        <v/>
      </c>
      <c r="AI40" s="49">
        <f>IFERROR(SUMPRODUCT(ISNUMBER(SEARCH(B40,'Pole Results'!$A$13:$A$2000))*('Pole Results'!$B$13:$B$2000&gt;=$AG$3)*('Pole Results'!$B$13:$B$2000&lt;=$AE$3)*('Pole Results'!$E$13:$E$2000="Compliant")),0)</f>
        <v/>
      </c>
      <c r="AJ40" s="105" t="n"/>
      <c r="AK40" s="106">
        <f>IF('Field Teams'!$I$41="Inactive",-1,IF(AA40="HIGH",AB40,-1))</f>
        <v/>
      </c>
      <c r="AL40" s="106">
        <f>IF('Field Teams'!$I$41="Inactive",-1,IF(OR(AA40="HIGH",AA40="MEDIUM"),AB40,-1))</f>
        <v/>
      </c>
      <c r="AM40">
        <f>IF('Field Teams'!$I$41="Inactive","",IF(IFERROR(LOOKUP(2,1/('Historical Scores'!C41:N41&lt;&gt;""),'Historical Scores'!C41:N41),"")="","New",IF(T40=""," ",IF(T40&gt;IFERROR(LOOKUP(2,1/('Historical Scores'!C41:N41&lt;&gt;""),'Historical Scores'!C41:N41),""),"▲ Worsening",IF(T40&lt;IFERROR(LOOKUP(2,1/('Historical Scores'!C41:N41&lt;&gt;""),'Historical Scores'!C41:N41),""),"▼ Improving","► Stable")))))</f>
        <v/>
      </c>
      <c r="AN40">
        <f>IFERROR(SUMPRODUCT((ISNUMBER(SEARCH(B40,'Data - SSV'!AE$6:AE$3000)))*('Data - SSV'!AF$6:AF$3000&gt;=(AJ$3-90))*('Data - SSV'!AF$6:AF$3000&lt;=AJ$3)*('Data - SSV'!AH$6:AH$3000&lt;&gt;"")),0)</f>
        <v/>
      </c>
      <c r="AO40">
        <f>IF('Field Teams'!$I$41="Inactive","",IF(AN40=0,3,IF(AN40=1,IF(IFERROR(SUMPRODUCT((ISNUMBER(SEARCH(B40,'Data - SSV'!AE$6:AE$3000)))*('Data - SSV'!AF$6:AF$3000&gt;=(AJ$3-90))*('Data - SSV'!AF$6:AF$3000&lt;=AJ$3)*('Data - SSV'!AH$6:AH$3000&lt;&gt;"")*IF('Data - SSV'!AH$6:AH$3000="",0,'Data - SSV'!AH$6:AH$3000))/AN40,3)=4,4,IF(IFERROR(SUMPRODUCT((ISNUMBER(SEARCH(B40,'Data - SSV'!AE$6:AE$3000)))*('Data - SSV'!AF$6:AF$3000&gt;=(AJ$3-90))*('Data - SSV'!AF$6:AF$3000&lt;=AJ$3)*('Data - SSV'!AH$6:AH$3000&lt;&gt;"")*IF('Data - SSV'!AH$6:AH$3000="",0,'Data - SSV'!AH$6:AH$3000))/AN40,3)&gt;=3,3,IF(IFERROR(SUMPRODUCT((ISNUMBER(SEARCH(B40,'Data - SSV'!AE$6:AE$3000)))*('Data - SSV'!AF$6:AF$3000&gt;=(AJ$3-90))*('Data - SSV'!AF$6:AF$3000&lt;=AJ$3)*('Data - SSV'!AH$6:AH$3000&lt;&gt;"")*IF('Data - SSV'!AH$6:AH$3000="",0,'Data - SSV'!AH$6:AH$3000))/AN40,3)&gt;=2,2,1))),IF(IFERROR(SUMPRODUCT((ISNUMBER(SEARCH(B40,'Data - SSV'!AE$6:AE$3000)))*('Data - SSV'!AF$6:AF$3000&gt;=(AJ$3-90))*('Data - SSV'!AF$6:AF$3000&lt;=AJ$3)*('Data - SSV'!AH$6:AH$3000&lt;&gt;"")*IF('Data - SSV'!AH$6:AH$3000="",0,'Data - SSV'!AH$6:AH$3000))/AN40,3)=4,5,IF(IFERROR(SUMPRODUCT((ISNUMBER(SEARCH(B40,'Data - SSV'!AE$6:AE$3000)))*('Data - SSV'!AF$6:AF$3000&gt;=(AJ$3-90))*('Data - SSV'!AF$6:AF$3000&lt;=AJ$3)*('Data - SSV'!AH$6:AH$3000&lt;&gt;"")*IF('Data - SSV'!AH$6:AH$3000="",0,'Data - SSV'!AH$6:AH$3000))/AN40,3)&gt;=3.5,4,IF(IFERROR(SUMPRODUCT((ISNUMBER(SEARCH(B40,'Data - SSV'!AE$6:AE$3000)))*('Data - SSV'!AF$6:AF$3000&gt;=(AJ$3-90))*('Data - SSV'!AF$6:AF$3000&lt;=AJ$3)*('Data - SSV'!AH$6:AH$3000&lt;&gt;"")*IF('Data - SSV'!AH$6:AH$3000="",0,'Data - SSV'!AH$6:AH$3000))/AN40,3)&gt;=3,3,IF(IFERROR(SUMPRODUCT((ISNUMBER(SEARCH(B40,'Data - SSV'!AE$6:AE$3000)))*('Data - SSV'!AF$6:AF$3000&gt;=(AJ$3-90))*('Data - SSV'!AF$6:AF$3000&lt;=AJ$3)*('Data - SSV'!AH$6:AH$3000&lt;&gt;"")*IF('Data - SSV'!AH$6:AH$3000="",0,'Data - SSV'!AH$6:AH$3000))/AN40,3)&gt;=2,2,1)))))))</f>
        <v/>
      </c>
    </row>
    <row r="41" ht="19.5" customHeight="1" s="146">
      <c r="A41" s="6">
        <f>'Field Teams'!A42</f>
        <v/>
      </c>
      <c r="B41" s="28">
        <f>'Field Teams'!B42</f>
        <v/>
      </c>
      <c r="C41" s="28">
        <f>'Field Teams'!C42</f>
        <v/>
      </c>
      <c r="D41" s="6">
        <f>'Field Teams'!D42</f>
        <v/>
      </c>
      <c r="E41" s="6">
        <f>'Field Teams'!E42</f>
        <v/>
      </c>
      <c r="F41" s="6">
        <f>'Field Teams'!F42</f>
        <v/>
      </c>
      <c r="G41" s="6">
        <f>'Field Teams'!G42</f>
        <v/>
      </c>
      <c r="H41" s="31">
        <f>'Field Teams'!H42</f>
        <v/>
      </c>
      <c r="I41" s="31">
        <f>H41*2</f>
        <v/>
      </c>
      <c r="J41" s="31">
        <f>IFERROR(SUMPRODUCT((((ISNUMBER(SEARCH(B41,'Data - HSQE Events'!V$6:V$3000))+ISNUMBER(SEARCH(B41,'Data - HSQE Events'!H$6:H$3000)))&gt;0))*('Data - HSQE Events'!F$6:F$3000&gt;=$AG$3)*('Data - HSQE Events'!F$6:F$3000&lt;=$AJ$3)*('Data - HSQE Events'!R$6:R$3000="Opportunity")),0)</f>
        <v/>
      </c>
      <c r="K41" s="31">
        <f>IFERROR(SUMPRODUCT((((ISNUMBER(SEARCH(B41,'Data - HSQE Events'!V$6:V$3000))+ISNUMBER(SEARCH(B41,'Data - HSQE Events'!H$6:H$3000)))&gt;0))*('Data - HSQE Events'!F$6:F$3000&gt;=$AG$3)*('Data - HSQE Events'!F$6:F$3000&lt;=$AJ$3)*('Data - HSQE Events'!R$6:R$3000="Minor")),0)</f>
        <v/>
      </c>
      <c r="L41" s="31">
        <f>IFERROR(SUMPRODUCT((((ISNUMBER(SEARCH(B41,'Data - HSQE Events'!V$6:V$3000))+ISNUMBER(SEARCH(B41,'Data - HSQE Events'!H$6:H$3000)))&gt;0))*('Data - HSQE Events'!F$6:F$3000&gt;=$AG$3)*('Data - HSQE Events'!F$6:F$3000&lt;=$AJ$3)*(('Data - HSQE Events'!R$6:R$3000="Moderate")+('Data - HSQE Events'!R$6:R$3000="Major"))),0)</f>
        <v/>
      </c>
      <c r="M41" s="31">
        <f>IF(IFERROR(SUMPRODUCT((((ISNUMBER(SEARCH(B41,'Data - HSQE Events'!V$6:V$3000))+ISNUMBER(SEARCH(B41,'Data - HSQE Events'!H$6:H$3000)))&gt;0))*('Data - HSQE Events'!F$6:F$3000&gt;=$AG$3)*('Data - HSQE Events'!F$6:F$3000&lt;=$AJ$3)*('Data - HSQE Events'!R$6:R$3000="Major")),0)&gt;0,"YES","NO")</f>
        <v/>
      </c>
      <c r="N41" s="31">
        <f>IFERROR(SUMPRODUCT(('Data - Skillko'!B$6:B$3000=B41)*('Data - Skillko'!C$6:C$3000="Total")*('Data - Skillko'!E$6:E$3000))*100,0)</f>
        <v/>
      </c>
      <c r="O41" s="31">
        <f>ROUND(MAX(1,MIN(5,1+N41/100*4)),1)</f>
        <v/>
      </c>
      <c r="P41" s="31">
        <f>IFERROR(SUMPRODUCT(ISNUMBER(SEARCH(B41,'Pole Results'!$A$13:$A$2000))*('Pole Results'!$B$13:$B$2000&gt;=$AG$3)*('Pole Results'!$B$13:$B$2000&lt;=$AE$3)*('Pole Results'!$E$13:$E$2000="Non-Compliant")),0)</f>
        <v/>
      </c>
      <c r="Q41" s="31">
        <f>IF(I41=0,1,IFERROR(ROUND(MAX(1,MIN(5,1+J41/I41*4)),1),3))</f>
        <v/>
      </c>
      <c r="R41" s="31">
        <f>ROUND(6-MAX(MIN(5,K41*0.8+1),MIN(5,L41*2+1)),1)</f>
        <v/>
      </c>
      <c r="S41" s="49">
        <f>IFERROR(ROUND(MAX(1,MIN(5,5-(P41/MAX(1,AI41))*4)),1),5)</f>
        <v/>
      </c>
      <c r="T41" s="31">
        <f>IF('Field Teams'!$I$42="Inactive","",ROUND((Q41*Settings!$D$6+R41*Settings!$D$7+O41*Settings!$D$10+S41*Settings!$D$12+AO41*Settings!$D$13)/Settings!$D$14,1))</f>
        <v/>
      </c>
      <c r="U41" s="115">
        <f>IF('Field Teams'!$I$42="Inactive","",IF(Q41="","",IF(Q41&gt;=4.5,"★★★★★",IF(Q41&gt;=3.5,"★★★★☆",IF(Q41&gt;=2.5,"★★★☆☆",IF(Q41&gt;=1.5,"★★☆☆☆","★☆☆☆☆"))))))</f>
        <v/>
      </c>
      <c r="V41" s="115">
        <f>IF('Field Teams'!$I$42="Inactive","",IF(R41="","",IF(R41&gt;=4.5,"★★★★★",IF(R41&gt;=3.5,"★★★★☆",IF(R41&gt;=2.5,"★★★☆☆",IF(R41&gt;=1.5,"★★☆☆☆","★☆☆☆☆"))))))</f>
        <v/>
      </c>
      <c r="W41" s="115">
        <f>IF('Field Teams'!$I$42="Inactive","",IF(O41="","",IF(O41&gt;=4.5,"★★★★★",IF(O41&gt;=3.5,"★★★★☆",IF(O41&gt;=2.5,"★★★☆☆",IF(O41&gt;=1.5,"★★☆☆☆","★☆☆☆☆"))))))</f>
        <v/>
      </c>
      <c r="X41" s="115">
        <f>IF('Field Teams'!$I$42="Inactive","",IF(S41="","",IF(S41&gt;=4.5,"★★★★★",IF(S41&gt;=3.5,"★★★★☆",IF(S41&gt;=2.5,"★★★☆☆",IF(S41&gt;=1.5,"★★☆☆☆","★☆☆☆☆"))))))</f>
        <v/>
      </c>
      <c r="Y41" s="115">
        <f>IF('Field Teams'!$I$42="Inactive","",IF(AO41="","",IF(AO41&gt;=4.5,"★★★★★",IF(AO41&gt;=3.5,"★★★★☆",IF(AO41&gt;=2.5,"★★★☆☆",IF(AO41&gt;=1.5,"★★☆☆☆","★☆☆☆☆"))))))</f>
        <v/>
      </c>
      <c r="Z41" s="115">
        <f>IF('Field Teams'!$I$5="Inactive","",IF(T41="","",IF(T41&gt;=4.5,"★★★★★",IF(T41&gt;=3.5,"★★★★☆",IF(T41&gt;=2.5,"★★★☆☆",IF(T41&gt;=1.5,"★★☆☆☆","★☆☆☆☆"))))))</f>
        <v/>
      </c>
      <c r="AA41" s="31">
        <f>IF('Field Teams'!$I$42="Inactive","",IF(M41="YES","HIGH",IF(Q41&lt;=Settings!$D$26,"HIGH",IF(T41&lt;=Settings!$D$23,"HIGH",IF(T41&lt;=Settings!$D$24,"MEDIUM","LOW")))))</f>
        <v/>
      </c>
      <c r="AB41" s="31">
        <f>IF('Field Teams'!$I$5="Inactive",-1,IFERROR((6-T41)+(77-ROW())*0.0001,0))</f>
        <v/>
      </c>
      <c r="AC41" s="35">
        <f>IF('Field Teams'!$I$5="Inactive",999,IFERROR((6-T41)+(ROW()-3)*0.0001,99))</f>
        <v/>
      </c>
      <c r="AD41" s="31">
        <f>IF('Field Teams'!$I$42="Inactive",999,IFERROR(AB41+(ROW()-3)*0.0001,99))</f>
        <v/>
      </c>
      <c r="AE41" s="29" t="n">
        <v>0</v>
      </c>
      <c r="AF41" s="31">
        <f>IF('Field Teams'!$I$42="Inactive","",IF(AA41="HIGH","YES - within 5 working days",""))</f>
        <v/>
      </c>
      <c r="AG41" s="105" t="n"/>
      <c r="AH41" s="49">
        <f>IFERROR(SUMPRODUCT(ISNUMBER(SEARCH(B41,'Pole Results'!$A$13:$A$2000))*('Pole Results'!$B$13:$B$2000&gt;=$AG$3)*('Pole Results'!$B$13:$B$2000&lt;=$AE$3)),0)</f>
        <v/>
      </c>
      <c r="AI41" s="49">
        <f>IFERROR(SUMPRODUCT(ISNUMBER(SEARCH(B41,'Pole Results'!$A$13:$A$2000))*('Pole Results'!$B$13:$B$2000&gt;=$AG$3)*('Pole Results'!$B$13:$B$2000&lt;=$AE$3)*('Pole Results'!$E$13:$E$2000="Compliant")),0)</f>
        <v/>
      </c>
      <c r="AJ41" s="105" t="n"/>
      <c r="AK41" s="106">
        <f>IF('Field Teams'!$I$42="Inactive",-1,IF(AA41="HIGH",AB41,-1))</f>
        <v/>
      </c>
      <c r="AL41" s="106">
        <f>IF('Field Teams'!$I$42="Inactive",-1,IF(OR(AA41="HIGH",AA41="MEDIUM"),AB41,-1))</f>
        <v/>
      </c>
      <c r="AM41">
        <f>IF('Field Teams'!$I$42="Inactive","",IF(IFERROR(LOOKUP(2,1/('Historical Scores'!C42:N42&lt;&gt;""),'Historical Scores'!C42:N42),"")="","New",IF(T41=""," ",IF(T41&gt;IFERROR(LOOKUP(2,1/('Historical Scores'!C42:N42&lt;&gt;""),'Historical Scores'!C42:N42),""),"▲ Worsening",IF(T41&lt;IFERROR(LOOKUP(2,1/('Historical Scores'!C42:N42&lt;&gt;""),'Historical Scores'!C42:N42),""),"▼ Improving","► Stable")))))</f>
        <v/>
      </c>
      <c r="AN41">
        <f>IFERROR(SUMPRODUCT((ISNUMBER(SEARCH(B41,'Data - SSV'!AE$6:AE$3000)))*('Data - SSV'!AF$6:AF$3000&gt;=(AJ$3-90))*('Data - SSV'!AF$6:AF$3000&lt;=AJ$3)*('Data - SSV'!AH$6:AH$3000&lt;&gt;"")),0)</f>
        <v/>
      </c>
      <c r="AO41">
        <f>IF('Field Teams'!$I$42="Inactive","",IF(AN41=0,3,IF(AN41=1,IF(IFERROR(SUMPRODUCT((ISNUMBER(SEARCH(B41,'Data - SSV'!AE$6:AE$3000)))*('Data - SSV'!AF$6:AF$3000&gt;=(AJ$3-90))*('Data - SSV'!AF$6:AF$3000&lt;=AJ$3)*('Data - SSV'!AH$6:AH$3000&lt;&gt;"")*IF('Data - SSV'!AH$6:AH$3000="",0,'Data - SSV'!AH$6:AH$3000))/AN41,3)=4,4,IF(IFERROR(SUMPRODUCT((ISNUMBER(SEARCH(B41,'Data - SSV'!AE$6:AE$3000)))*('Data - SSV'!AF$6:AF$3000&gt;=(AJ$3-90))*('Data - SSV'!AF$6:AF$3000&lt;=AJ$3)*('Data - SSV'!AH$6:AH$3000&lt;&gt;"")*IF('Data - SSV'!AH$6:AH$3000="",0,'Data - SSV'!AH$6:AH$3000))/AN41,3)&gt;=3,3,IF(IFERROR(SUMPRODUCT((ISNUMBER(SEARCH(B41,'Data - SSV'!AE$6:AE$3000)))*('Data - SSV'!AF$6:AF$3000&gt;=(AJ$3-90))*('Data - SSV'!AF$6:AF$3000&lt;=AJ$3)*('Data - SSV'!AH$6:AH$3000&lt;&gt;"")*IF('Data - SSV'!AH$6:AH$3000="",0,'Data - SSV'!AH$6:AH$3000))/AN41,3)&gt;=2,2,1))),IF(IFERROR(SUMPRODUCT((ISNUMBER(SEARCH(B41,'Data - SSV'!AE$6:AE$3000)))*('Data - SSV'!AF$6:AF$3000&gt;=(AJ$3-90))*('Data - SSV'!AF$6:AF$3000&lt;=AJ$3)*('Data - SSV'!AH$6:AH$3000&lt;&gt;"")*IF('Data - SSV'!AH$6:AH$3000="",0,'Data - SSV'!AH$6:AH$3000))/AN41,3)=4,5,IF(IFERROR(SUMPRODUCT((ISNUMBER(SEARCH(B41,'Data - SSV'!AE$6:AE$3000)))*('Data - SSV'!AF$6:AF$3000&gt;=(AJ$3-90))*('Data - SSV'!AF$6:AF$3000&lt;=AJ$3)*('Data - SSV'!AH$6:AH$3000&lt;&gt;"")*IF('Data - SSV'!AH$6:AH$3000="",0,'Data - SSV'!AH$6:AH$3000))/AN41,3)&gt;=3.5,4,IF(IFERROR(SUMPRODUCT((ISNUMBER(SEARCH(B41,'Data - SSV'!AE$6:AE$3000)))*('Data - SSV'!AF$6:AF$3000&gt;=(AJ$3-90))*('Data - SSV'!AF$6:AF$3000&lt;=AJ$3)*('Data - SSV'!AH$6:AH$3000&lt;&gt;"")*IF('Data - SSV'!AH$6:AH$3000="",0,'Data - SSV'!AH$6:AH$3000))/AN41,3)&gt;=3,3,IF(IFERROR(SUMPRODUCT((ISNUMBER(SEARCH(B41,'Data - SSV'!AE$6:AE$3000)))*('Data - SSV'!AF$6:AF$3000&gt;=(AJ$3-90))*('Data - SSV'!AF$6:AF$3000&lt;=AJ$3)*('Data - SSV'!AH$6:AH$3000&lt;&gt;"")*IF('Data - SSV'!AH$6:AH$3000="",0,'Data - SSV'!AH$6:AH$3000))/AN41,3)&gt;=2,2,1)))))))</f>
        <v/>
      </c>
    </row>
    <row r="42" ht="19.5" customHeight="1" s="146">
      <c r="A42" s="10">
        <f>'Field Teams'!A43</f>
        <v/>
      </c>
      <c r="B42" s="30">
        <f>'Field Teams'!B43</f>
        <v/>
      </c>
      <c r="C42" s="30">
        <f>'Field Teams'!C43</f>
        <v/>
      </c>
      <c r="D42" s="10">
        <f>'Field Teams'!D43</f>
        <v/>
      </c>
      <c r="E42" s="10">
        <f>'Field Teams'!E43</f>
        <v/>
      </c>
      <c r="F42" s="10">
        <f>'Field Teams'!F43</f>
        <v/>
      </c>
      <c r="G42" s="10">
        <f>'Field Teams'!G43</f>
        <v/>
      </c>
      <c r="H42" s="31">
        <f>'Field Teams'!H43</f>
        <v/>
      </c>
      <c r="I42" s="31">
        <f>H42*2</f>
        <v/>
      </c>
      <c r="J42" s="31">
        <f>IFERROR(SUMPRODUCT((((ISNUMBER(SEARCH(B42,'Data - HSQE Events'!V$6:V$3000))+ISNUMBER(SEARCH(B42,'Data - HSQE Events'!H$6:H$3000)))&gt;0))*('Data - HSQE Events'!F$6:F$3000&gt;=$AG$3)*('Data - HSQE Events'!F$6:F$3000&lt;=$AJ$3)*('Data - HSQE Events'!R$6:R$3000="Opportunity")),0)</f>
        <v/>
      </c>
      <c r="K42" s="31">
        <f>IFERROR(SUMPRODUCT((((ISNUMBER(SEARCH(B42,'Data - HSQE Events'!V$6:V$3000))+ISNUMBER(SEARCH(B42,'Data - HSQE Events'!H$6:H$3000)))&gt;0))*('Data - HSQE Events'!F$6:F$3000&gt;=$AG$3)*('Data - HSQE Events'!F$6:F$3000&lt;=$AJ$3)*('Data - HSQE Events'!R$6:R$3000="Minor")),0)</f>
        <v/>
      </c>
      <c r="L42" s="31">
        <f>IFERROR(SUMPRODUCT((((ISNUMBER(SEARCH(B42,'Data - HSQE Events'!V$6:V$3000))+ISNUMBER(SEARCH(B42,'Data - HSQE Events'!H$6:H$3000)))&gt;0))*('Data - HSQE Events'!F$6:F$3000&gt;=$AG$3)*('Data - HSQE Events'!F$6:F$3000&lt;=$AJ$3)*(('Data - HSQE Events'!R$6:R$3000="Moderate")+('Data - HSQE Events'!R$6:R$3000="Major"))),0)</f>
        <v/>
      </c>
      <c r="M42" s="31">
        <f>IF(IFERROR(SUMPRODUCT((((ISNUMBER(SEARCH(B42,'Data - HSQE Events'!V$6:V$3000))+ISNUMBER(SEARCH(B42,'Data - HSQE Events'!H$6:H$3000)))&gt;0))*('Data - HSQE Events'!F$6:F$3000&gt;=$AG$3)*('Data - HSQE Events'!F$6:F$3000&lt;=$AJ$3)*('Data - HSQE Events'!R$6:R$3000="Major")),0)&gt;0,"YES","NO")</f>
        <v/>
      </c>
      <c r="N42" s="31">
        <f>IFERROR(SUMPRODUCT(('Data - Skillko'!B$6:B$3000=B42)*('Data - Skillko'!C$6:C$3000="Total")*('Data - Skillko'!E$6:E$3000))*100,0)</f>
        <v/>
      </c>
      <c r="O42" s="31">
        <f>ROUND(MAX(1,MIN(5,1+N42/100*4)),1)</f>
        <v/>
      </c>
      <c r="P42" s="31">
        <f>IFERROR(SUMPRODUCT(ISNUMBER(SEARCH(B42,'Pole Results'!$A$13:$A$2000))*('Pole Results'!$B$13:$B$2000&gt;=$AG$3)*('Pole Results'!$B$13:$B$2000&lt;=$AE$3)*('Pole Results'!$E$13:$E$2000="Non-Compliant")),0)</f>
        <v/>
      </c>
      <c r="Q42" s="31">
        <f>IF(I42=0,1,IFERROR(ROUND(MAX(1,MIN(5,1+J42/I42*4)),1),3))</f>
        <v/>
      </c>
      <c r="R42" s="31">
        <f>ROUND(6-MAX(MIN(5,K42*0.8+1),MIN(5,L42*2+1)),1)</f>
        <v/>
      </c>
      <c r="S42" s="49">
        <f>IFERROR(ROUND(MAX(1,MIN(5,5-(P42/MAX(1,AI42))*4)),1),5)</f>
        <v/>
      </c>
      <c r="T42" s="31">
        <f>IF('Field Teams'!$I$43="Inactive","",ROUND((Q42*Settings!$D$6+R42*Settings!$D$7+O42*Settings!$D$10+S42*Settings!$D$12+AO42*Settings!$D$13)/Settings!$D$14,1))</f>
        <v/>
      </c>
      <c r="U42" s="115">
        <f>IF('Field Teams'!$I$43="Inactive","",IF(Q42="","",IF(Q42&gt;=4.5,"★★★★★",IF(Q42&gt;=3.5,"★★★★☆",IF(Q42&gt;=2.5,"★★★☆☆",IF(Q42&gt;=1.5,"★★☆☆☆","★☆☆☆☆"))))))</f>
        <v/>
      </c>
      <c r="V42" s="115">
        <f>IF('Field Teams'!$I$43="Inactive","",IF(R42="","",IF(R42&gt;=4.5,"★★★★★",IF(R42&gt;=3.5,"★★★★☆",IF(R42&gt;=2.5,"★★★☆☆",IF(R42&gt;=1.5,"★★☆☆☆","★☆☆☆☆"))))))</f>
        <v/>
      </c>
      <c r="W42" s="115">
        <f>IF('Field Teams'!$I$43="Inactive","",IF(O42="","",IF(O42&gt;=4.5,"★★★★★",IF(O42&gt;=3.5,"★★★★☆",IF(O42&gt;=2.5,"★★★☆☆",IF(O42&gt;=1.5,"★★☆☆☆","★☆☆☆☆"))))))</f>
        <v/>
      </c>
      <c r="X42" s="115">
        <f>IF('Field Teams'!$I$43="Inactive","",IF(S42="","",IF(S42&gt;=4.5,"★★★★★",IF(S42&gt;=3.5,"★★★★☆",IF(S42&gt;=2.5,"★★★☆☆",IF(S42&gt;=1.5,"★★☆☆☆","★☆☆☆☆"))))))</f>
        <v/>
      </c>
      <c r="Y42" s="115">
        <f>IF('Field Teams'!$I$43="Inactive","",IF(AO42="","",IF(AO42&gt;=4.5,"★★★★★",IF(AO42&gt;=3.5,"★★★★☆",IF(AO42&gt;=2.5,"★★★☆☆",IF(AO42&gt;=1.5,"★★☆☆☆","★☆☆☆☆"))))))</f>
        <v/>
      </c>
      <c r="Z42" s="115">
        <f>IF('Field Teams'!$I$5="Inactive","",IF(T42="","",IF(T42&gt;=4.5,"★★★★★",IF(T42&gt;=3.5,"★★★★☆",IF(T42&gt;=2.5,"★★★☆☆",IF(T42&gt;=1.5,"★★☆☆☆","★☆☆☆☆"))))))</f>
        <v/>
      </c>
      <c r="AA42" s="31">
        <f>IF('Field Teams'!$I$43="Inactive","",IF(M42="YES","HIGH",IF(Q42&lt;=Settings!$D$26,"HIGH",IF(T42&lt;=Settings!$D$23,"HIGH",IF(T42&lt;=Settings!$D$24,"MEDIUM","LOW")))))</f>
        <v/>
      </c>
      <c r="AB42" s="31">
        <f>IF('Field Teams'!$I$5="Inactive",-1,IFERROR((6-T42)+(77-ROW())*0.0001,0))</f>
        <v/>
      </c>
      <c r="AC42" s="35">
        <f>IF('Field Teams'!$I$5="Inactive",999,IFERROR((6-T42)+(ROW()-3)*0.0001,99))</f>
        <v/>
      </c>
      <c r="AD42" s="31">
        <f>IF('Field Teams'!$I$43="Inactive",999,IFERROR(AB42+(ROW()-3)*0.0001,99))</f>
        <v/>
      </c>
      <c r="AE42" s="29" t="n">
        <v>0</v>
      </c>
      <c r="AF42" s="31">
        <f>IF('Field Teams'!$I$43="Inactive","",IF(AA42="HIGH","YES - within 5 working days",""))</f>
        <v/>
      </c>
      <c r="AG42" s="105" t="n"/>
      <c r="AH42" s="49">
        <f>IFERROR(SUMPRODUCT(ISNUMBER(SEARCH(B42,'Pole Results'!$A$13:$A$2000))*('Pole Results'!$B$13:$B$2000&gt;=$AG$3)*('Pole Results'!$B$13:$B$2000&lt;=$AE$3)),0)</f>
        <v/>
      </c>
      <c r="AI42" s="49">
        <f>IFERROR(SUMPRODUCT(ISNUMBER(SEARCH(B42,'Pole Results'!$A$13:$A$2000))*('Pole Results'!$B$13:$B$2000&gt;=$AG$3)*('Pole Results'!$B$13:$B$2000&lt;=$AE$3)*('Pole Results'!$E$13:$E$2000="Compliant")),0)</f>
        <v/>
      </c>
      <c r="AJ42" s="105" t="n"/>
      <c r="AK42" s="106">
        <f>IF('Field Teams'!$I$43="Inactive",-1,IF(AA42="HIGH",AB42,-1))</f>
        <v/>
      </c>
      <c r="AL42" s="106">
        <f>IF('Field Teams'!$I$43="Inactive",-1,IF(OR(AA42="HIGH",AA42="MEDIUM"),AB42,-1))</f>
        <v/>
      </c>
      <c r="AM42">
        <f>IF('Field Teams'!$I$43="Inactive","",IF(IFERROR(LOOKUP(2,1/('Historical Scores'!C43:N43&lt;&gt;""),'Historical Scores'!C43:N43),"")="","New",IF(T42=""," ",IF(T42&gt;IFERROR(LOOKUP(2,1/('Historical Scores'!C43:N43&lt;&gt;""),'Historical Scores'!C43:N43),""),"▲ Worsening",IF(T42&lt;IFERROR(LOOKUP(2,1/('Historical Scores'!C43:N43&lt;&gt;""),'Historical Scores'!C43:N43),""),"▼ Improving","► Stable")))))</f>
        <v/>
      </c>
      <c r="AN42">
        <f>IFERROR(SUMPRODUCT((ISNUMBER(SEARCH(B42,'Data - SSV'!AE$6:AE$3000)))*('Data - SSV'!AF$6:AF$3000&gt;=(AJ$3-90))*('Data - SSV'!AF$6:AF$3000&lt;=AJ$3)*('Data - SSV'!AH$6:AH$3000&lt;&gt;"")),0)</f>
        <v/>
      </c>
      <c r="AO42">
        <f>IF('Field Teams'!$I$43="Inactive","",IF(AN42=0,3,IF(AN42=1,IF(IFERROR(SUMPRODUCT((ISNUMBER(SEARCH(B42,'Data - SSV'!AE$6:AE$3000)))*('Data - SSV'!AF$6:AF$3000&gt;=(AJ$3-90))*('Data - SSV'!AF$6:AF$3000&lt;=AJ$3)*('Data - SSV'!AH$6:AH$3000&lt;&gt;"")*IF('Data - SSV'!AH$6:AH$3000="",0,'Data - SSV'!AH$6:AH$3000))/AN42,3)=4,4,IF(IFERROR(SUMPRODUCT((ISNUMBER(SEARCH(B42,'Data - SSV'!AE$6:AE$3000)))*('Data - SSV'!AF$6:AF$3000&gt;=(AJ$3-90))*('Data - SSV'!AF$6:AF$3000&lt;=AJ$3)*('Data - SSV'!AH$6:AH$3000&lt;&gt;"")*IF('Data - SSV'!AH$6:AH$3000="",0,'Data - SSV'!AH$6:AH$3000))/AN42,3)&gt;=3,3,IF(IFERROR(SUMPRODUCT((ISNUMBER(SEARCH(B42,'Data - SSV'!AE$6:AE$3000)))*('Data - SSV'!AF$6:AF$3000&gt;=(AJ$3-90))*('Data - SSV'!AF$6:AF$3000&lt;=AJ$3)*('Data - SSV'!AH$6:AH$3000&lt;&gt;"")*IF('Data - SSV'!AH$6:AH$3000="",0,'Data - SSV'!AH$6:AH$3000))/AN42,3)&gt;=2,2,1))),IF(IFERROR(SUMPRODUCT((ISNUMBER(SEARCH(B42,'Data - SSV'!AE$6:AE$3000)))*('Data - SSV'!AF$6:AF$3000&gt;=(AJ$3-90))*('Data - SSV'!AF$6:AF$3000&lt;=AJ$3)*('Data - SSV'!AH$6:AH$3000&lt;&gt;"")*IF('Data - SSV'!AH$6:AH$3000="",0,'Data - SSV'!AH$6:AH$3000))/AN42,3)=4,5,IF(IFERROR(SUMPRODUCT((ISNUMBER(SEARCH(B42,'Data - SSV'!AE$6:AE$3000)))*('Data - SSV'!AF$6:AF$3000&gt;=(AJ$3-90))*('Data - SSV'!AF$6:AF$3000&lt;=AJ$3)*('Data - SSV'!AH$6:AH$3000&lt;&gt;"")*IF('Data - SSV'!AH$6:AH$3000="",0,'Data - SSV'!AH$6:AH$3000))/AN42,3)&gt;=3.5,4,IF(IFERROR(SUMPRODUCT((ISNUMBER(SEARCH(B42,'Data - SSV'!AE$6:AE$3000)))*('Data - SSV'!AF$6:AF$3000&gt;=(AJ$3-90))*('Data - SSV'!AF$6:AF$3000&lt;=AJ$3)*('Data - SSV'!AH$6:AH$3000&lt;&gt;"")*IF('Data - SSV'!AH$6:AH$3000="",0,'Data - SSV'!AH$6:AH$3000))/AN42,3)&gt;=3,3,IF(IFERROR(SUMPRODUCT((ISNUMBER(SEARCH(B42,'Data - SSV'!AE$6:AE$3000)))*('Data - SSV'!AF$6:AF$3000&gt;=(AJ$3-90))*('Data - SSV'!AF$6:AF$3000&lt;=AJ$3)*('Data - SSV'!AH$6:AH$3000&lt;&gt;"")*IF('Data - SSV'!AH$6:AH$3000="",0,'Data - SSV'!AH$6:AH$3000))/AN42,3)&gt;=2,2,1)))))))</f>
        <v/>
      </c>
    </row>
    <row r="43" ht="19.5" customHeight="1" s="146">
      <c r="A43" s="6">
        <f>'Field Teams'!A44</f>
        <v/>
      </c>
      <c r="B43" s="28">
        <f>'Field Teams'!B44</f>
        <v/>
      </c>
      <c r="C43" s="28">
        <f>'Field Teams'!C44</f>
        <v/>
      </c>
      <c r="D43" s="6">
        <f>'Field Teams'!D44</f>
        <v/>
      </c>
      <c r="E43" s="6">
        <f>'Field Teams'!E44</f>
        <v/>
      </c>
      <c r="F43" s="6">
        <f>'Field Teams'!F44</f>
        <v/>
      </c>
      <c r="G43" s="6">
        <f>'Field Teams'!G44</f>
        <v/>
      </c>
      <c r="H43" s="31">
        <f>'Field Teams'!H44</f>
        <v/>
      </c>
      <c r="I43" s="31">
        <f>H43*2</f>
        <v/>
      </c>
      <c r="J43" s="31">
        <f>IFERROR(SUMPRODUCT((((ISNUMBER(SEARCH(B43,'Data - HSQE Events'!V$6:V$3000))+ISNUMBER(SEARCH(B43,'Data - HSQE Events'!H$6:H$3000)))&gt;0))*('Data - HSQE Events'!F$6:F$3000&gt;=$AG$3)*('Data - HSQE Events'!F$6:F$3000&lt;=$AJ$3)*('Data - HSQE Events'!R$6:R$3000="Opportunity")),0)</f>
        <v/>
      </c>
      <c r="K43" s="31">
        <f>IFERROR(SUMPRODUCT((((ISNUMBER(SEARCH(B43,'Data - HSQE Events'!V$6:V$3000))+ISNUMBER(SEARCH(B43,'Data - HSQE Events'!H$6:H$3000)))&gt;0))*('Data - HSQE Events'!F$6:F$3000&gt;=$AG$3)*('Data - HSQE Events'!F$6:F$3000&lt;=$AJ$3)*('Data - HSQE Events'!R$6:R$3000="Minor")),0)</f>
        <v/>
      </c>
      <c r="L43" s="31">
        <f>IFERROR(SUMPRODUCT((((ISNUMBER(SEARCH(B43,'Data - HSQE Events'!V$6:V$3000))+ISNUMBER(SEARCH(B43,'Data - HSQE Events'!H$6:H$3000)))&gt;0))*('Data - HSQE Events'!F$6:F$3000&gt;=$AG$3)*('Data - HSQE Events'!F$6:F$3000&lt;=$AJ$3)*(('Data - HSQE Events'!R$6:R$3000="Moderate")+('Data - HSQE Events'!R$6:R$3000="Major"))),0)</f>
        <v/>
      </c>
      <c r="M43" s="31">
        <f>IF(IFERROR(SUMPRODUCT((((ISNUMBER(SEARCH(B43,'Data - HSQE Events'!V$6:V$3000))+ISNUMBER(SEARCH(B43,'Data - HSQE Events'!H$6:H$3000)))&gt;0))*('Data - HSQE Events'!F$6:F$3000&gt;=$AG$3)*('Data - HSQE Events'!F$6:F$3000&lt;=$AJ$3)*('Data - HSQE Events'!R$6:R$3000="Major")),0)&gt;0,"YES","NO")</f>
        <v/>
      </c>
      <c r="N43" s="31">
        <f>IFERROR(SUMPRODUCT(('Data - Skillko'!B$6:B$3000=B43)*('Data - Skillko'!C$6:C$3000="Total")*('Data - Skillko'!E$6:E$3000))*100,0)</f>
        <v/>
      </c>
      <c r="O43" s="31">
        <f>ROUND(MAX(1,MIN(5,1+N43/100*4)),1)</f>
        <v/>
      </c>
      <c r="P43" s="31">
        <f>IFERROR(SUMPRODUCT(ISNUMBER(SEARCH(B43,'Pole Results'!$A$13:$A$2000))*('Pole Results'!$B$13:$B$2000&gt;=$AG$3)*('Pole Results'!$B$13:$B$2000&lt;=$AE$3)*('Pole Results'!$E$13:$E$2000="Non-Compliant")),0)</f>
        <v/>
      </c>
      <c r="Q43" s="31">
        <f>IF(I43=0,1,IFERROR(ROUND(MAX(1,MIN(5,1+J43/I43*4)),1),3))</f>
        <v/>
      </c>
      <c r="R43" s="31">
        <f>ROUND(6-MAX(MIN(5,K43*0.8+1),MIN(5,L43*2+1)),1)</f>
        <v/>
      </c>
      <c r="S43" s="49">
        <f>IFERROR(ROUND(MAX(1,MIN(5,5-(P43/MAX(1,AI43))*4)),1),5)</f>
        <v/>
      </c>
      <c r="T43" s="31">
        <f>IF('Field Teams'!$I$44="Inactive","",ROUND((Q43*Settings!$D$6+R43*Settings!$D$7+O43*Settings!$D$10+S43*Settings!$D$12+AO43*Settings!$D$13)/Settings!$D$14,1))</f>
        <v/>
      </c>
      <c r="U43" s="115">
        <f>IF('Field Teams'!$I$44="Inactive","",IF(Q43="","",IF(Q43&gt;=4.5,"★★★★★",IF(Q43&gt;=3.5,"★★★★☆",IF(Q43&gt;=2.5,"★★★☆☆",IF(Q43&gt;=1.5,"★★☆☆☆","★☆☆☆☆"))))))</f>
        <v/>
      </c>
      <c r="V43" s="115">
        <f>IF('Field Teams'!$I$44="Inactive","",IF(R43="","",IF(R43&gt;=4.5,"★★★★★",IF(R43&gt;=3.5,"★★★★☆",IF(R43&gt;=2.5,"★★★☆☆",IF(R43&gt;=1.5,"★★☆☆☆","★☆☆☆☆"))))))</f>
        <v/>
      </c>
      <c r="W43" s="115">
        <f>IF('Field Teams'!$I$44="Inactive","",IF(O43="","",IF(O43&gt;=4.5,"★★★★★",IF(O43&gt;=3.5,"★★★★☆",IF(O43&gt;=2.5,"★★★☆☆",IF(O43&gt;=1.5,"★★☆☆☆","★☆☆☆☆"))))))</f>
        <v/>
      </c>
      <c r="X43" s="115">
        <f>IF('Field Teams'!$I$44="Inactive","",IF(S43="","",IF(S43&gt;=4.5,"★★★★★",IF(S43&gt;=3.5,"★★★★☆",IF(S43&gt;=2.5,"★★★☆☆",IF(S43&gt;=1.5,"★★☆☆☆","★☆☆☆☆"))))))</f>
        <v/>
      </c>
      <c r="Y43" s="115">
        <f>IF('Field Teams'!$I$44="Inactive","",IF(AO43="","",IF(AO43&gt;=4.5,"★★★★★",IF(AO43&gt;=3.5,"★★★★☆",IF(AO43&gt;=2.5,"★★★☆☆",IF(AO43&gt;=1.5,"★★☆☆☆","★☆☆☆☆"))))))</f>
        <v/>
      </c>
      <c r="Z43" s="115">
        <f>IF('Field Teams'!$I$5="Inactive","",IF(T43="","",IF(T43&gt;=4.5,"★★★★★",IF(T43&gt;=3.5,"★★★★☆",IF(T43&gt;=2.5,"★★★☆☆",IF(T43&gt;=1.5,"★★☆☆☆","★☆☆☆☆"))))))</f>
        <v/>
      </c>
      <c r="AA43" s="31">
        <f>IF('Field Teams'!$I$44="Inactive","",IF(M43="YES","HIGH",IF(Q43&lt;=Settings!$D$26,"HIGH",IF(T43&lt;=Settings!$D$23,"HIGH",IF(T43&lt;=Settings!$D$24,"MEDIUM","LOW")))))</f>
        <v/>
      </c>
      <c r="AB43" s="31">
        <f>IF('Field Teams'!$I$5="Inactive",-1,IFERROR((6-T43)+(77-ROW())*0.0001,0))</f>
        <v/>
      </c>
      <c r="AC43" s="35">
        <f>IF('Field Teams'!$I$5="Inactive",999,IFERROR((6-T43)+(ROW()-3)*0.0001,99))</f>
        <v/>
      </c>
      <c r="AD43" s="31">
        <f>IF('Field Teams'!$I$44="Inactive",999,IFERROR(AB43+(ROW()-3)*0.0001,99))</f>
        <v/>
      </c>
      <c r="AE43" s="29" t="n">
        <v>0</v>
      </c>
      <c r="AF43" s="31">
        <f>IF('Field Teams'!$I$44="Inactive","",IF(AA43="HIGH","YES - within 5 working days",""))</f>
        <v/>
      </c>
      <c r="AG43" s="105" t="n"/>
      <c r="AH43" s="49">
        <f>IFERROR(SUMPRODUCT(ISNUMBER(SEARCH(B43,'Pole Results'!$A$13:$A$2000))*('Pole Results'!$B$13:$B$2000&gt;=$AG$3)*('Pole Results'!$B$13:$B$2000&lt;=$AE$3)),0)</f>
        <v/>
      </c>
      <c r="AI43" s="49">
        <f>IFERROR(SUMPRODUCT(ISNUMBER(SEARCH(B43,'Pole Results'!$A$13:$A$2000))*('Pole Results'!$B$13:$B$2000&gt;=$AG$3)*('Pole Results'!$B$13:$B$2000&lt;=$AE$3)*('Pole Results'!$E$13:$E$2000="Compliant")),0)</f>
        <v/>
      </c>
      <c r="AJ43" s="105" t="n"/>
      <c r="AK43" s="106">
        <f>IF('Field Teams'!$I$44="Inactive",-1,IF(AA43="HIGH",AB43,-1))</f>
        <v/>
      </c>
      <c r="AL43" s="106">
        <f>IF('Field Teams'!$I$44="Inactive",-1,IF(OR(AA43="HIGH",AA43="MEDIUM"),AB43,-1))</f>
        <v/>
      </c>
      <c r="AM43">
        <f>IF('Field Teams'!$I$44="Inactive","",IF(IFERROR(LOOKUP(2,1/('Historical Scores'!C44:N44&lt;&gt;""),'Historical Scores'!C44:N44),"")="","New",IF(T43=""," ",IF(T43&gt;IFERROR(LOOKUP(2,1/('Historical Scores'!C44:N44&lt;&gt;""),'Historical Scores'!C44:N44),""),"▲ Worsening",IF(T43&lt;IFERROR(LOOKUP(2,1/('Historical Scores'!C44:N44&lt;&gt;""),'Historical Scores'!C44:N44),""),"▼ Improving","► Stable")))))</f>
        <v/>
      </c>
      <c r="AN43">
        <f>IFERROR(SUMPRODUCT((ISNUMBER(SEARCH(B43,'Data - SSV'!AE$6:AE$3000)))*('Data - SSV'!AF$6:AF$3000&gt;=(AJ$3-90))*('Data - SSV'!AF$6:AF$3000&lt;=AJ$3)*('Data - SSV'!AH$6:AH$3000&lt;&gt;"")),0)</f>
        <v/>
      </c>
      <c r="AO43">
        <f>IF('Field Teams'!$I$44="Inactive","",IF(AN43=0,3,IF(AN43=1,IF(IFERROR(SUMPRODUCT((ISNUMBER(SEARCH(B43,'Data - SSV'!AE$6:AE$3000)))*('Data - SSV'!AF$6:AF$3000&gt;=(AJ$3-90))*('Data - SSV'!AF$6:AF$3000&lt;=AJ$3)*('Data - SSV'!AH$6:AH$3000&lt;&gt;"")*IF('Data - SSV'!AH$6:AH$3000="",0,'Data - SSV'!AH$6:AH$3000))/AN43,3)=4,4,IF(IFERROR(SUMPRODUCT((ISNUMBER(SEARCH(B43,'Data - SSV'!AE$6:AE$3000)))*('Data - SSV'!AF$6:AF$3000&gt;=(AJ$3-90))*('Data - SSV'!AF$6:AF$3000&lt;=AJ$3)*('Data - SSV'!AH$6:AH$3000&lt;&gt;"")*IF('Data - SSV'!AH$6:AH$3000="",0,'Data - SSV'!AH$6:AH$3000))/AN43,3)&gt;=3,3,IF(IFERROR(SUMPRODUCT((ISNUMBER(SEARCH(B43,'Data - SSV'!AE$6:AE$3000)))*('Data - SSV'!AF$6:AF$3000&gt;=(AJ$3-90))*('Data - SSV'!AF$6:AF$3000&lt;=AJ$3)*('Data - SSV'!AH$6:AH$3000&lt;&gt;"")*IF('Data - SSV'!AH$6:AH$3000="",0,'Data - SSV'!AH$6:AH$3000))/AN43,3)&gt;=2,2,1))),IF(IFERROR(SUMPRODUCT((ISNUMBER(SEARCH(B43,'Data - SSV'!AE$6:AE$3000)))*('Data - SSV'!AF$6:AF$3000&gt;=(AJ$3-90))*('Data - SSV'!AF$6:AF$3000&lt;=AJ$3)*('Data - SSV'!AH$6:AH$3000&lt;&gt;"")*IF('Data - SSV'!AH$6:AH$3000="",0,'Data - SSV'!AH$6:AH$3000))/AN43,3)=4,5,IF(IFERROR(SUMPRODUCT((ISNUMBER(SEARCH(B43,'Data - SSV'!AE$6:AE$3000)))*('Data - SSV'!AF$6:AF$3000&gt;=(AJ$3-90))*('Data - SSV'!AF$6:AF$3000&lt;=AJ$3)*('Data - SSV'!AH$6:AH$3000&lt;&gt;"")*IF('Data - SSV'!AH$6:AH$3000="",0,'Data - SSV'!AH$6:AH$3000))/AN43,3)&gt;=3.5,4,IF(IFERROR(SUMPRODUCT((ISNUMBER(SEARCH(B43,'Data - SSV'!AE$6:AE$3000)))*('Data - SSV'!AF$6:AF$3000&gt;=(AJ$3-90))*('Data - SSV'!AF$6:AF$3000&lt;=AJ$3)*('Data - SSV'!AH$6:AH$3000&lt;&gt;"")*IF('Data - SSV'!AH$6:AH$3000="",0,'Data - SSV'!AH$6:AH$3000))/AN43,3)&gt;=3,3,IF(IFERROR(SUMPRODUCT((ISNUMBER(SEARCH(B43,'Data - SSV'!AE$6:AE$3000)))*('Data - SSV'!AF$6:AF$3000&gt;=(AJ$3-90))*('Data - SSV'!AF$6:AF$3000&lt;=AJ$3)*('Data - SSV'!AH$6:AH$3000&lt;&gt;"")*IF('Data - SSV'!AH$6:AH$3000="",0,'Data - SSV'!AH$6:AH$3000))/AN43,3)&gt;=2,2,1)))))))</f>
        <v/>
      </c>
    </row>
    <row r="44" ht="19.5" customHeight="1" s="146">
      <c r="A44" s="10">
        <f>'Field Teams'!A45</f>
        <v/>
      </c>
      <c r="B44" s="30">
        <f>'Field Teams'!B45</f>
        <v/>
      </c>
      <c r="C44" s="30">
        <f>'Field Teams'!C45</f>
        <v/>
      </c>
      <c r="D44" s="10">
        <f>'Field Teams'!D45</f>
        <v/>
      </c>
      <c r="E44" s="10">
        <f>'Field Teams'!E45</f>
        <v/>
      </c>
      <c r="F44" s="10">
        <f>'Field Teams'!F45</f>
        <v/>
      </c>
      <c r="G44" s="10">
        <f>'Field Teams'!G45</f>
        <v/>
      </c>
      <c r="H44" s="31">
        <f>'Field Teams'!H45</f>
        <v/>
      </c>
      <c r="I44" s="31">
        <f>H44*2</f>
        <v/>
      </c>
      <c r="J44" s="31">
        <f>IFERROR(SUMPRODUCT((((ISNUMBER(SEARCH(B44,'Data - HSQE Events'!V$6:V$3000))+ISNUMBER(SEARCH(B44,'Data - HSQE Events'!H$6:H$3000)))&gt;0))*('Data - HSQE Events'!F$6:F$3000&gt;=$AG$3)*('Data - HSQE Events'!F$6:F$3000&lt;=$AJ$3)*('Data - HSQE Events'!R$6:R$3000="Opportunity")),0)</f>
        <v/>
      </c>
      <c r="K44" s="31">
        <f>IFERROR(SUMPRODUCT((((ISNUMBER(SEARCH(B44,'Data - HSQE Events'!V$6:V$3000))+ISNUMBER(SEARCH(B44,'Data - HSQE Events'!H$6:H$3000)))&gt;0))*('Data - HSQE Events'!F$6:F$3000&gt;=$AG$3)*('Data - HSQE Events'!F$6:F$3000&lt;=$AJ$3)*('Data - HSQE Events'!R$6:R$3000="Minor")),0)</f>
        <v/>
      </c>
      <c r="L44" s="31">
        <f>IFERROR(SUMPRODUCT((((ISNUMBER(SEARCH(B44,'Data - HSQE Events'!V$6:V$3000))+ISNUMBER(SEARCH(B44,'Data - HSQE Events'!H$6:H$3000)))&gt;0))*('Data - HSQE Events'!F$6:F$3000&gt;=$AG$3)*('Data - HSQE Events'!F$6:F$3000&lt;=$AJ$3)*(('Data - HSQE Events'!R$6:R$3000="Moderate")+('Data - HSQE Events'!R$6:R$3000="Major"))),0)</f>
        <v/>
      </c>
      <c r="M44" s="31">
        <f>IF(IFERROR(SUMPRODUCT((((ISNUMBER(SEARCH(B44,'Data - HSQE Events'!V$6:V$3000))+ISNUMBER(SEARCH(B44,'Data - HSQE Events'!H$6:H$3000)))&gt;0))*('Data - HSQE Events'!F$6:F$3000&gt;=$AG$3)*('Data - HSQE Events'!F$6:F$3000&lt;=$AJ$3)*('Data - HSQE Events'!R$6:R$3000="Major")),0)&gt;0,"YES","NO")</f>
        <v/>
      </c>
      <c r="N44" s="31">
        <f>IFERROR(SUMPRODUCT(('Data - Skillko'!B$6:B$3000=B44)*('Data - Skillko'!C$6:C$3000="Total")*('Data - Skillko'!E$6:E$3000))*100,0)</f>
        <v/>
      </c>
      <c r="O44" s="31">
        <f>ROUND(MAX(1,MIN(5,1+N44/100*4)),1)</f>
        <v/>
      </c>
      <c r="P44" s="31">
        <f>IFERROR(SUMPRODUCT(ISNUMBER(SEARCH(B44,'Pole Results'!$A$13:$A$2000))*('Pole Results'!$B$13:$B$2000&gt;=$AG$3)*('Pole Results'!$B$13:$B$2000&lt;=$AE$3)*('Pole Results'!$E$13:$E$2000="Non-Compliant")),0)</f>
        <v/>
      </c>
      <c r="Q44" s="31">
        <f>IF(I44=0,1,IFERROR(ROUND(MAX(1,MIN(5,1+J44/I44*4)),1),3))</f>
        <v/>
      </c>
      <c r="R44" s="31">
        <f>ROUND(6-MAX(MIN(5,K44*0.8+1),MIN(5,L44*2+1)),1)</f>
        <v/>
      </c>
      <c r="S44" s="49">
        <f>IFERROR(ROUND(MAX(1,MIN(5,5-(P44/MAX(1,AI44))*4)),1),5)</f>
        <v/>
      </c>
      <c r="T44" s="31">
        <f>IF('Field Teams'!$I$45="Inactive","",ROUND((Q44*Settings!$D$6+R44*Settings!$D$7+O44*Settings!$D$10+S44*Settings!$D$12+AO44*Settings!$D$13)/Settings!$D$14,1))</f>
        <v/>
      </c>
      <c r="U44" s="115">
        <f>IF('Field Teams'!$I$45="Inactive","",IF(Q44="","",IF(Q44&gt;=4.5,"★★★★★",IF(Q44&gt;=3.5,"★★★★☆",IF(Q44&gt;=2.5,"★★★☆☆",IF(Q44&gt;=1.5,"★★☆☆☆","★☆☆☆☆"))))))</f>
        <v/>
      </c>
      <c r="V44" s="115">
        <f>IF('Field Teams'!$I$45="Inactive","",IF(R44="","",IF(R44&gt;=4.5,"★★★★★",IF(R44&gt;=3.5,"★★★★☆",IF(R44&gt;=2.5,"★★★☆☆",IF(R44&gt;=1.5,"★★☆☆☆","★☆☆☆☆"))))))</f>
        <v/>
      </c>
      <c r="W44" s="115">
        <f>IF('Field Teams'!$I$45="Inactive","",IF(O44="","",IF(O44&gt;=4.5,"★★★★★",IF(O44&gt;=3.5,"★★★★☆",IF(O44&gt;=2.5,"★★★☆☆",IF(O44&gt;=1.5,"★★☆☆☆","★☆☆☆☆"))))))</f>
        <v/>
      </c>
      <c r="X44" s="115">
        <f>IF('Field Teams'!$I$45="Inactive","",IF(S44="","",IF(S44&gt;=4.5,"★★★★★",IF(S44&gt;=3.5,"★★★★☆",IF(S44&gt;=2.5,"★★★☆☆",IF(S44&gt;=1.5,"★★☆☆☆","★☆☆☆☆"))))))</f>
        <v/>
      </c>
      <c r="Y44" s="115">
        <f>IF('Field Teams'!$I$45="Inactive","",IF(AO44="","",IF(AO44&gt;=4.5,"★★★★★",IF(AO44&gt;=3.5,"★★★★☆",IF(AO44&gt;=2.5,"★★★☆☆",IF(AO44&gt;=1.5,"★★☆☆☆","★☆☆☆☆"))))))</f>
        <v/>
      </c>
      <c r="Z44" s="115">
        <f>IF('Field Teams'!$I$5="Inactive","",IF(T44="","",IF(T44&gt;=4.5,"★★★★★",IF(T44&gt;=3.5,"★★★★☆",IF(T44&gt;=2.5,"★★★☆☆",IF(T44&gt;=1.5,"★★☆☆☆","★☆☆☆☆"))))))</f>
        <v/>
      </c>
      <c r="AA44" s="31">
        <f>IF('Field Teams'!$I$45="Inactive","",IF(M44="YES","HIGH",IF(Q44&lt;=Settings!$D$26,"HIGH",IF(T44&lt;=Settings!$D$23,"HIGH",IF(T44&lt;=Settings!$D$24,"MEDIUM","LOW")))))</f>
        <v/>
      </c>
      <c r="AB44" s="31">
        <f>IF('Field Teams'!$I$5="Inactive",-1,IFERROR((6-T44)+(77-ROW())*0.0001,0))</f>
        <v/>
      </c>
      <c r="AC44" s="35">
        <f>IF('Field Teams'!$I$5="Inactive",999,IFERROR((6-T44)+(ROW()-3)*0.0001,99))</f>
        <v/>
      </c>
      <c r="AD44" s="31">
        <f>IF('Field Teams'!$I$45="Inactive",999,IFERROR(AB44+(ROW()-3)*0.0001,99))</f>
        <v/>
      </c>
      <c r="AE44" s="29" t="n">
        <v>0</v>
      </c>
      <c r="AF44" s="31">
        <f>IF('Field Teams'!$I$45="Inactive","",IF(AA44="HIGH","YES - within 5 working days",""))</f>
        <v/>
      </c>
      <c r="AG44" s="105" t="n"/>
      <c r="AH44" s="49">
        <f>IFERROR(SUMPRODUCT(ISNUMBER(SEARCH(B44,'Pole Results'!$A$13:$A$2000))*('Pole Results'!$B$13:$B$2000&gt;=$AG$3)*('Pole Results'!$B$13:$B$2000&lt;=$AE$3)),0)</f>
        <v/>
      </c>
      <c r="AI44" s="49">
        <f>IFERROR(SUMPRODUCT(ISNUMBER(SEARCH(B44,'Pole Results'!$A$13:$A$2000))*('Pole Results'!$B$13:$B$2000&gt;=$AG$3)*('Pole Results'!$B$13:$B$2000&lt;=$AE$3)*('Pole Results'!$E$13:$E$2000="Compliant")),0)</f>
        <v/>
      </c>
      <c r="AJ44" s="105" t="n"/>
      <c r="AK44" s="106">
        <f>IF('Field Teams'!$I$45="Inactive",-1,IF(AA44="HIGH",AB44,-1))</f>
        <v/>
      </c>
      <c r="AL44" s="106">
        <f>IF('Field Teams'!$I$45="Inactive",-1,IF(OR(AA44="HIGH",AA44="MEDIUM"),AB44,-1))</f>
        <v/>
      </c>
      <c r="AM44">
        <f>IF('Field Teams'!$I$45="Inactive","",IF(IFERROR(LOOKUP(2,1/('Historical Scores'!C45:N45&lt;&gt;""),'Historical Scores'!C45:N45),"")="","New",IF(T44=""," ",IF(T44&gt;IFERROR(LOOKUP(2,1/('Historical Scores'!C45:N45&lt;&gt;""),'Historical Scores'!C45:N45),""),"▲ Worsening",IF(T44&lt;IFERROR(LOOKUP(2,1/('Historical Scores'!C45:N45&lt;&gt;""),'Historical Scores'!C45:N45),""),"▼ Improving","► Stable")))))</f>
        <v/>
      </c>
      <c r="AN44">
        <f>IFERROR(SUMPRODUCT((ISNUMBER(SEARCH(B44,'Data - SSV'!AE$6:AE$3000)))*('Data - SSV'!AF$6:AF$3000&gt;=(AJ$3-90))*('Data - SSV'!AF$6:AF$3000&lt;=AJ$3)*('Data - SSV'!AH$6:AH$3000&lt;&gt;"")),0)</f>
        <v/>
      </c>
      <c r="AO44">
        <f>IF('Field Teams'!$I$45="Inactive","",IF(AN44=0,3,IF(AN44=1,IF(IFERROR(SUMPRODUCT((ISNUMBER(SEARCH(B44,'Data - SSV'!AE$6:AE$3000)))*('Data - SSV'!AF$6:AF$3000&gt;=(AJ$3-90))*('Data - SSV'!AF$6:AF$3000&lt;=AJ$3)*('Data - SSV'!AH$6:AH$3000&lt;&gt;"")*IF('Data - SSV'!AH$6:AH$3000="",0,'Data - SSV'!AH$6:AH$3000))/AN44,3)=4,4,IF(IFERROR(SUMPRODUCT((ISNUMBER(SEARCH(B44,'Data - SSV'!AE$6:AE$3000)))*('Data - SSV'!AF$6:AF$3000&gt;=(AJ$3-90))*('Data - SSV'!AF$6:AF$3000&lt;=AJ$3)*('Data - SSV'!AH$6:AH$3000&lt;&gt;"")*IF('Data - SSV'!AH$6:AH$3000="",0,'Data - SSV'!AH$6:AH$3000))/AN44,3)&gt;=3,3,IF(IFERROR(SUMPRODUCT((ISNUMBER(SEARCH(B44,'Data - SSV'!AE$6:AE$3000)))*('Data - SSV'!AF$6:AF$3000&gt;=(AJ$3-90))*('Data - SSV'!AF$6:AF$3000&lt;=AJ$3)*('Data - SSV'!AH$6:AH$3000&lt;&gt;"")*IF('Data - SSV'!AH$6:AH$3000="",0,'Data - SSV'!AH$6:AH$3000))/AN44,3)&gt;=2,2,1))),IF(IFERROR(SUMPRODUCT((ISNUMBER(SEARCH(B44,'Data - SSV'!AE$6:AE$3000)))*('Data - SSV'!AF$6:AF$3000&gt;=(AJ$3-90))*('Data - SSV'!AF$6:AF$3000&lt;=AJ$3)*('Data - SSV'!AH$6:AH$3000&lt;&gt;"")*IF('Data - SSV'!AH$6:AH$3000="",0,'Data - SSV'!AH$6:AH$3000))/AN44,3)=4,5,IF(IFERROR(SUMPRODUCT((ISNUMBER(SEARCH(B44,'Data - SSV'!AE$6:AE$3000)))*('Data - SSV'!AF$6:AF$3000&gt;=(AJ$3-90))*('Data - SSV'!AF$6:AF$3000&lt;=AJ$3)*('Data - SSV'!AH$6:AH$3000&lt;&gt;"")*IF('Data - SSV'!AH$6:AH$3000="",0,'Data - SSV'!AH$6:AH$3000))/AN44,3)&gt;=3.5,4,IF(IFERROR(SUMPRODUCT((ISNUMBER(SEARCH(B44,'Data - SSV'!AE$6:AE$3000)))*('Data - SSV'!AF$6:AF$3000&gt;=(AJ$3-90))*('Data - SSV'!AF$6:AF$3000&lt;=AJ$3)*('Data - SSV'!AH$6:AH$3000&lt;&gt;"")*IF('Data - SSV'!AH$6:AH$3000="",0,'Data - SSV'!AH$6:AH$3000))/AN44,3)&gt;=3,3,IF(IFERROR(SUMPRODUCT((ISNUMBER(SEARCH(B44,'Data - SSV'!AE$6:AE$3000)))*('Data - SSV'!AF$6:AF$3000&gt;=(AJ$3-90))*('Data - SSV'!AF$6:AF$3000&lt;=AJ$3)*('Data - SSV'!AH$6:AH$3000&lt;&gt;"")*IF('Data - SSV'!AH$6:AH$3000="",0,'Data - SSV'!AH$6:AH$3000))/AN44,3)&gt;=2,2,1)))))))</f>
        <v/>
      </c>
    </row>
    <row r="45" ht="19.5" customHeight="1" s="146">
      <c r="A45" s="6">
        <f>'Field Teams'!A46</f>
        <v/>
      </c>
      <c r="B45" s="28">
        <f>'Field Teams'!B46</f>
        <v/>
      </c>
      <c r="C45" s="28">
        <f>'Field Teams'!C46</f>
        <v/>
      </c>
      <c r="D45" s="6">
        <f>'Field Teams'!D46</f>
        <v/>
      </c>
      <c r="E45" s="6">
        <f>'Field Teams'!E46</f>
        <v/>
      </c>
      <c r="F45" s="6">
        <f>'Field Teams'!F46</f>
        <v/>
      </c>
      <c r="G45" s="6">
        <f>'Field Teams'!G46</f>
        <v/>
      </c>
      <c r="H45" s="31">
        <f>'Field Teams'!H46</f>
        <v/>
      </c>
      <c r="I45" s="31">
        <f>H45*2</f>
        <v/>
      </c>
      <c r="J45" s="31">
        <f>IFERROR(SUMPRODUCT((((ISNUMBER(SEARCH(B45,'Data - HSQE Events'!V$6:V$3000))+ISNUMBER(SEARCH(B45,'Data - HSQE Events'!H$6:H$3000)))&gt;0))*('Data - HSQE Events'!F$6:F$3000&gt;=$AG$3)*('Data - HSQE Events'!F$6:F$3000&lt;=$AJ$3)*('Data - HSQE Events'!R$6:R$3000="Opportunity")),0)</f>
        <v/>
      </c>
      <c r="K45" s="31">
        <f>IFERROR(SUMPRODUCT((((ISNUMBER(SEARCH(B45,'Data - HSQE Events'!V$6:V$3000))+ISNUMBER(SEARCH(B45,'Data - HSQE Events'!H$6:H$3000)))&gt;0))*('Data - HSQE Events'!F$6:F$3000&gt;=$AG$3)*('Data - HSQE Events'!F$6:F$3000&lt;=$AJ$3)*('Data - HSQE Events'!R$6:R$3000="Minor")),0)</f>
        <v/>
      </c>
      <c r="L45" s="31">
        <f>IFERROR(SUMPRODUCT((((ISNUMBER(SEARCH(B45,'Data - HSQE Events'!V$6:V$3000))+ISNUMBER(SEARCH(B45,'Data - HSQE Events'!H$6:H$3000)))&gt;0))*('Data - HSQE Events'!F$6:F$3000&gt;=$AG$3)*('Data - HSQE Events'!F$6:F$3000&lt;=$AJ$3)*(('Data - HSQE Events'!R$6:R$3000="Moderate")+('Data - HSQE Events'!R$6:R$3000="Major"))),0)</f>
        <v/>
      </c>
      <c r="M45" s="31">
        <f>IF(IFERROR(SUMPRODUCT((((ISNUMBER(SEARCH(B45,'Data - HSQE Events'!V$6:V$3000))+ISNUMBER(SEARCH(B45,'Data - HSQE Events'!H$6:H$3000)))&gt;0))*('Data - HSQE Events'!F$6:F$3000&gt;=$AG$3)*('Data - HSQE Events'!F$6:F$3000&lt;=$AJ$3)*('Data - HSQE Events'!R$6:R$3000="Major")),0)&gt;0,"YES","NO")</f>
        <v/>
      </c>
      <c r="N45" s="31">
        <f>IFERROR(SUMPRODUCT(('Data - Skillko'!B$6:B$3000=B45)*('Data - Skillko'!C$6:C$3000="Total")*('Data - Skillko'!E$6:E$3000))*100,0)</f>
        <v/>
      </c>
      <c r="O45" s="31">
        <f>ROUND(MAX(1,MIN(5,1+N45/100*4)),1)</f>
        <v/>
      </c>
      <c r="P45" s="31">
        <f>IFERROR(SUMPRODUCT(ISNUMBER(SEARCH(B45,'Pole Results'!$A$13:$A$2000))*('Pole Results'!$B$13:$B$2000&gt;=$AG$3)*('Pole Results'!$B$13:$B$2000&lt;=$AE$3)*('Pole Results'!$E$13:$E$2000="Non-Compliant")),0)</f>
        <v/>
      </c>
      <c r="Q45" s="31">
        <f>IF(I45=0,1,IFERROR(ROUND(MAX(1,MIN(5,1+J45/I45*4)),1),3))</f>
        <v/>
      </c>
      <c r="R45" s="31">
        <f>ROUND(6-MAX(MIN(5,K45*0.8+1),MIN(5,L45*2+1)),1)</f>
        <v/>
      </c>
      <c r="S45" s="49">
        <f>IFERROR(ROUND(MAX(1,MIN(5,5-(P45/MAX(1,AI45))*4)),1),5)</f>
        <v/>
      </c>
      <c r="T45" s="31">
        <f>IF('Field Teams'!$I$46="Inactive","",ROUND((Q45*Settings!$D$6+R45*Settings!$D$7+O45*Settings!$D$10+S45*Settings!$D$12+AO45*Settings!$D$13)/Settings!$D$14,1))</f>
        <v/>
      </c>
      <c r="U45" s="115">
        <f>IF('Field Teams'!$I$46="Inactive","",IF(Q45="","",IF(Q45&gt;=4.5,"★★★★★",IF(Q45&gt;=3.5,"★★★★☆",IF(Q45&gt;=2.5,"★★★☆☆",IF(Q45&gt;=1.5,"★★☆☆☆","★☆☆☆☆"))))))</f>
        <v/>
      </c>
      <c r="V45" s="115">
        <f>IF('Field Teams'!$I$46="Inactive","",IF(R45="","",IF(R45&gt;=4.5,"★★★★★",IF(R45&gt;=3.5,"★★★★☆",IF(R45&gt;=2.5,"★★★☆☆",IF(R45&gt;=1.5,"★★☆☆☆","★☆☆☆☆"))))))</f>
        <v/>
      </c>
      <c r="W45" s="115">
        <f>IF('Field Teams'!$I$46="Inactive","",IF(O45="","",IF(O45&gt;=4.5,"★★★★★",IF(O45&gt;=3.5,"★★★★☆",IF(O45&gt;=2.5,"★★★☆☆",IF(O45&gt;=1.5,"★★☆☆☆","★☆☆☆☆"))))))</f>
        <v/>
      </c>
      <c r="X45" s="115">
        <f>IF('Field Teams'!$I$46="Inactive","",IF(S45="","",IF(S45&gt;=4.5,"★★★★★",IF(S45&gt;=3.5,"★★★★☆",IF(S45&gt;=2.5,"★★★☆☆",IF(S45&gt;=1.5,"★★☆☆☆","★☆☆☆☆"))))))</f>
        <v/>
      </c>
      <c r="Y45" s="115">
        <f>IF('Field Teams'!$I$46="Inactive","",IF(AO45="","",IF(AO45&gt;=4.5,"★★★★★",IF(AO45&gt;=3.5,"★★★★☆",IF(AO45&gt;=2.5,"★★★☆☆",IF(AO45&gt;=1.5,"★★☆☆☆","★☆☆☆☆"))))))</f>
        <v/>
      </c>
      <c r="Z45" s="115">
        <f>IF('Field Teams'!$I$5="Inactive","",IF(T45="","",IF(T45&gt;=4.5,"★★★★★",IF(T45&gt;=3.5,"★★★★☆",IF(T45&gt;=2.5,"★★★☆☆",IF(T45&gt;=1.5,"★★☆☆☆","★☆☆☆☆"))))))</f>
        <v/>
      </c>
      <c r="AA45" s="31">
        <f>IF('Field Teams'!$I$46="Inactive","",IF(M45="YES","HIGH",IF(Q45&lt;=Settings!$D$26,"HIGH",IF(T45&lt;=Settings!$D$23,"HIGH",IF(T45&lt;=Settings!$D$24,"MEDIUM","LOW")))))</f>
        <v/>
      </c>
      <c r="AB45" s="31">
        <f>IF('Field Teams'!$I$5="Inactive",-1,IFERROR((6-T45)+(77-ROW())*0.0001,0))</f>
        <v/>
      </c>
      <c r="AC45" s="35">
        <f>IF('Field Teams'!$I$5="Inactive",999,IFERROR((6-T45)+(ROW()-3)*0.0001,99))</f>
        <v/>
      </c>
      <c r="AD45" s="31">
        <f>IF('Field Teams'!$I$46="Inactive",999,IFERROR(AB45+(ROW()-3)*0.0001,99))</f>
        <v/>
      </c>
      <c r="AE45" s="29" t="n">
        <v>0</v>
      </c>
      <c r="AF45" s="31">
        <f>IF('Field Teams'!$I$46="Inactive","",IF(AA45="HIGH","YES - within 5 working days",""))</f>
        <v/>
      </c>
      <c r="AG45" s="105" t="n"/>
      <c r="AH45" s="49">
        <f>IFERROR(SUMPRODUCT(ISNUMBER(SEARCH(B45,'Pole Results'!$A$13:$A$2000))*('Pole Results'!$B$13:$B$2000&gt;=$AG$3)*('Pole Results'!$B$13:$B$2000&lt;=$AE$3)),0)</f>
        <v/>
      </c>
      <c r="AI45" s="49">
        <f>IFERROR(SUMPRODUCT(ISNUMBER(SEARCH(B45,'Pole Results'!$A$13:$A$2000))*('Pole Results'!$B$13:$B$2000&gt;=$AG$3)*('Pole Results'!$B$13:$B$2000&lt;=$AE$3)*('Pole Results'!$E$13:$E$2000="Compliant")),0)</f>
        <v/>
      </c>
      <c r="AJ45" s="105" t="n"/>
      <c r="AK45" s="106">
        <f>IF('Field Teams'!$I$46="Inactive",-1,IF(AA45="HIGH",AB45,-1))</f>
        <v/>
      </c>
      <c r="AL45" s="106">
        <f>IF('Field Teams'!$I$46="Inactive",-1,IF(OR(AA45="HIGH",AA45="MEDIUM"),AB45,-1))</f>
        <v/>
      </c>
      <c r="AM45">
        <f>IF('Field Teams'!$I$46="Inactive","",IF(IFERROR(LOOKUP(2,1/('Historical Scores'!C46:N46&lt;&gt;""),'Historical Scores'!C46:N46),"")="","New",IF(T45=""," ",IF(T45&gt;IFERROR(LOOKUP(2,1/('Historical Scores'!C46:N46&lt;&gt;""),'Historical Scores'!C46:N46),""),"▲ Worsening",IF(T45&lt;IFERROR(LOOKUP(2,1/('Historical Scores'!C46:N46&lt;&gt;""),'Historical Scores'!C46:N46),""),"▼ Improving","► Stable")))))</f>
        <v/>
      </c>
      <c r="AN45">
        <f>IFERROR(SUMPRODUCT((ISNUMBER(SEARCH(B45,'Data - SSV'!AE$6:AE$3000)))*('Data - SSV'!AF$6:AF$3000&gt;=(AJ$3-90))*('Data - SSV'!AF$6:AF$3000&lt;=AJ$3)*('Data - SSV'!AH$6:AH$3000&lt;&gt;"")),0)</f>
        <v/>
      </c>
      <c r="AO45">
        <f>IF('Field Teams'!$I$46="Inactive","",IF(AN45=0,3,IF(AN45=1,IF(IFERROR(SUMPRODUCT((ISNUMBER(SEARCH(B45,'Data - SSV'!AE$6:AE$3000)))*('Data - SSV'!AF$6:AF$3000&gt;=(AJ$3-90))*('Data - SSV'!AF$6:AF$3000&lt;=AJ$3)*('Data - SSV'!AH$6:AH$3000&lt;&gt;"")*IF('Data - SSV'!AH$6:AH$3000="",0,'Data - SSV'!AH$6:AH$3000))/AN45,3)=4,4,IF(IFERROR(SUMPRODUCT((ISNUMBER(SEARCH(B45,'Data - SSV'!AE$6:AE$3000)))*('Data - SSV'!AF$6:AF$3000&gt;=(AJ$3-90))*('Data - SSV'!AF$6:AF$3000&lt;=AJ$3)*('Data - SSV'!AH$6:AH$3000&lt;&gt;"")*IF('Data - SSV'!AH$6:AH$3000="",0,'Data - SSV'!AH$6:AH$3000))/AN45,3)&gt;=3,3,IF(IFERROR(SUMPRODUCT((ISNUMBER(SEARCH(B45,'Data - SSV'!AE$6:AE$3000)))*('Data - SSV'!AF$6:AF$3000&gt;=(AJ$3-90))*('Data - SSV'!AF$6:AF$3000&lt;=AJ$3)*('Data - SSV'!AH$6:AH$3000&lt;&gt;"")*IF('Data - SSV'!AH$6:AH$3000="",0,'Data - SSV'!AH$6:AH$3000))/AN45,3)&gt;=2,2,1))),IF(IFERROR(SUMPRODUCT((ISNUMBER(SEARCH(B45,'Data - SSV'!AE$6:AE$3000)))*('Data - SSV'!AF$6:AF$3000&gt;=(AJ$3-90))*('Data - SSV'!AF$6:AF$3000&lt;=AJ$3)*('Data - SSV'!AH$6:AH$3000&lt;&gt;"")*IF('Data - SSV'!AH$6:AH$3000="",0,'Data - SSV'!AH$6:AH$3000))/AN45,3)=4,5,IF(IFERROR(SUMPRODUCT((ISNUMBER(SEARCH(B45,'Data - SSV'!AE$6:AE$3000)))*('Data - SSV'!AF$6:AF$3000&gt;=(AJ$3-90))*('Data - SSV'!AF$6:AF$3000&lt;=AJ$3)*('Data - SSV'!AH$6:AH$3000&lt;&gt;"")*IF('Data - SSV'!AH$6:AH$3000="",0,'Data - SSV'!AH$6:AH$3000))/AN45,3)&gt;=3.5,4,IF(IFERROR(SUMPRODUCT((ISNUMBER(SEARCH(B45,'Data - SSV'!AE$6:AE$3000)))*('Data - SSV'!AF$6:AF$3000&gt;=(AJ$3-90))*('Data - SSV'!AF$6:AF$3000&lt;=AJ$3)*('Data - SSV'!AH$6:AH$3000&lt;&gt;"")*IF('Data - SSV'!AH$6:AH$3000="",0,'Data - SSV'!AH$6:AH$3000))/AN45,3)&gt;=3,3,IF(IFERROR(SUMPRODUCT((ISNUMBER(SEARCH(B45,'Data - SSV'!AE$6:AE$3000)))*('Data - SSV'!AF$6:AF$3000&gt;=(AJ$3-90))*('Data - SSV'!AF$6:AF$3000&lt;=AJ$3)*('Data - SSV'!AH$6:AH$3000&lt;&gt;"")*IF('Data - SSV'!AH$6:AH$3000="",0,'Data - SSV'!AH$6:AH$3000))/AN45,3)&gt;=2,2,1)))))))</f>
        <v/>
      </c>
    </row>
    <row r="46" ht="19.5" customHeight="1" s="146">
      <c r="A46" s="10">
        <f>'Field Teams'!A47</f>
        <v/>
      </c>
      <c r="B46" s="30">
        <f>'Field Teams'!B47</f>
        <v/>
      </c>
      <c r="C46" s="30">
        <f>'Field Teams'!C47</f>
        <v/>
      </c>
      <c r="D46" s="10">
        <f>'Field Teams'!D47</f>
        <v/>
      </c>
      <c r="E46" s="10">
        <f>'Field Teams'!E47</f>
        <v/>
      </c>
      <c r="F46" s="10">
        <f>'Field Teams'!F47</f>
        <v/>
      </c>
      <c r="G46" s="10">
        <f>'Field Teams'!G47</f>
        <v/>
      </c>
      <c r="H46" s="31">
        <f>'Field Teams'!H47</f>
        <v/>
      </c>
      <c r="I46" s="31">
        <f>H46*2</f>
        <v/>
      </c>
      <c r="J46" s="31">
        <f>IFERROR(SUMPRODUCT((((ISNUMBER(SEARCH(B46,'Data - HSQE Events'!V$6:V$3000))+ISNUMBER(SEARCH(B46,'Data - HSQE Events'!H$6:H$3000)))&gt;0))*('Data - HSQE Events'!F$6:F$3000&gt;=$AG$3)*('Data - HSQE Events'!F$6:F$3000&lt;=$AJ$3)*('Data - HSQE Events'!R$6:R$3000="Opportunity")),0)</f>
        <v/>
      </c>
      <c r="K46" s="31">
        <f>IFERROR(SUMPRODUCT((((ISNUMBER(SEARCH(B46,'Data - HSQE Events'!V$6:V$3000))+ISNUMBER(SEARCH(B46,'Data - HSQE Events'!H$6:H$3000)))&gt;0))*('Data - HSQE Events'!F$6:F$3000&gt;=$AG$3)*('Data - HSQE Events'!F$6:F$3000&lt;=$AJ$3)*('Data - HSQE Events'!R$6:R$3000="Minor")),0)</f>
        <v/>
      </c>
      <c r="L46" s="31">
        <f>IFERROR(SUMPRODUCT((((ISNUMBER(SEARCH(B46,'Data - HSQE Events'!V$6:V$3000))+ISNUMBER(SEARCH(B46,'Data - HSQE Events'!H$6:H$3000)))&gt;0))*('Data - HSQE Events'!F$6:F$3000&gt;=$AG$3)*('Data - HSQE Events'!F$6:F$3000&lt;=$AJ$3)*(('Data - HSQE Events'!R$6:R$3000="Moderate")+('Data - HSQE Events'!R$6:R$3000="Major"))),0)</f>
        <v/>
      </c>
      <c r="M46" s="31">
        <f>IF(IFERROR(SUMPRODUCT((((ISNUMBER(SEARCH(B46,'Data - HSQE Events'!V$6:V$3000))+ISNUMBER(SEARCH(B46,'Data - HSQE Events'!H$6:H$3000)))&gt;0))*('Data - HSQE Events'!F$6:F$3000&gt;=$AG$3)*('Data - HSQE Events'!F$6:F$3000&lt;=$AJ$3)*('Data - HSQE Events'!R$6:R$3000="Major")),0)&gt;0,"YES","NO")</f>
        <v/>
      </c>
      <c r="N46" s="31">
        <f>IFERROR(SUMPRODUCT(('Data - Skillko'!B$6:B$3000=B46)*('Data - Skillko'!C$6:C$3000="Total")*('Data - Skillko'!E$6:E$3000))*100,0)</f>
        <v/>
      </c>
      <c r="O46" s="31">
        <f>ROUND(MAX(1,MIN(5,1+N46/100*4)),1)</f>
        <v/>
      </c>
      <c r="P46" s="31">
        <f>IFERROR(SUMPRODUCT(ISNUMBER(SEARCH(B46,'Pole Results'!$A$13:$A$2000))*('Pole Results'!$B$13:$B$2000&gt;=$AG$3)*('Pole Results'!$B$13:$B$2000&lt;=$AE$3)*('Pole Results'!$E$13:$E$2000="Non-Compliant")),0)</f>
        <v/>
      </c>
      <c r="Q46" s="31">
        <f>IF(I46=0,1,IFERROR(ROUND(MAX(1,MIN(5,1+J46/I46*4)),1),3))</f>
        <v/>
      </c>
      <c r="R46" s="31">
        <f>ROUND(6-MAX(MIN(5,K46*0.8+1),MIN(5,L46*2+1)),1)</f>
        <v/>
      </c>
      <c r="S46" s="49">
        <f>IFERROR(ROUND(MAX(1,MIN(5,5-(P46/MAX(1,AI46))*4)),1),5)</f>
        <v/>
      </c>
      <c r="T46" s="31">
        <f>IF('Field Teams'!$I$47="Inactive","",ROUND((Q46*Settings!$D$6+R46*Settings!$D$7+O46*Settings!$D$10+S46*Settings!$D$12+AO46*Settings!$D$13)/Settings!$D$14,1))</f>
        <v/>
      </c>
      <c r="U46" s="115">
        <f>IF('Field Teams'!$I$47="Inactive","",IF(Q46="","",IF(Q46&gt;=4.5,"★★★★★",IF(Q46&gt;=3.5,"★★★★☆",IF(Q46&gt;=2.5,"★★★☆☆",IF(Q46&gt;=1.5,"★★☆☆☆","★☆☆☆☆"))))))</f>
        <v/>
      </c>
      <c r="V46" s="115">
        <f>IF('Field Teams'!$I$47="Inactive","",IF(R46="","",IF(R46&gt;=4.5,"★★★★★",IF(R46&gt;=3.5,"★★★★☆",IF(R46&gt;=2.5,"★★★☆☆",IF(R46&gt;=1.5,"★★☆☆☆","★☆☆☆☆"))))))</f>
        <v/>
      </c>
      <c r="W46" s="115">
        <f>IF('Field Teams'!$I$47="Inactive","",IF(O46="","",IF(O46&gt;=4.5,"★★★★★",IF(O46&gt;=3.5,"★★★★☆",IF(O46&gt;=2.5,"★★★☆☆",IF(O46&gt;=1.5,"★★☆☆☆","★☆☆☆☆"))))))</f>
        <v/>
      </c>
      <c r="X46" s="115">
        <f>IF('Field Teams'!$I$47="Inactive","",IF(S46="","",IF(S46&gt;=4.5,"★★★★★",IF(S46&gt;=3.5,"★★★★☆",IF(S46&gt;=2.5,"★★★☆☆",IF(S46&gt;=1.5,"★★☆☆☆","★☆☆☆☆"))))))</f>
        <v/>
      </c>
      <c r="Y46" s="115">
        <f>IF('Field Teams'!$I$47="Inactive","",IF(AO46="","",IF(AO46&gt;=4.5,"★★★★★",IF(AO46&gt;=3.5,"★★★★☆",IF(AO46&gt;=2.5,"★★★☆☆",IF(AO46&gt;=1.5,"★★☆☆☆","★☆☆☆☆"))))))</f>
        <v/>
      </c>
      <c r="Z46" s="115">
        <f>IF('Field Teams'!$I$5="Inactive","",IF(T46="","",IF(T46&gt;=4.5,"★★★★★",IF(T46&gt;=3.5,"★★★★☆",IF(T46&gt;=2.5,"★★★☆☆",IF(T46&gt;=1.5,"★★☆☆☆","★☆☆☆☆"))))))</f>
        <v/>
      </c>
      <c r="AA46" s="31">
        <f>IF('Field Teams'!$I$47="Inactive","",IF(M46="YES","HIGH",IF(Q46&lt;=Settings!$D$26,"HIGH",IF(T46&lt;=Settings!$D$23,"HIGH",IF(T46&lt;=Settings!$D$24,"MEDIUM","LOW")))))</f>
        <v/>
      </c>
      <c r="AB46" s="31">
        <f>IF('Field Teams'!$I$5="Inactive",-1,IFERROR((6-T46)+(77-ROW())*0.0001,0))</f>
        <v/>
      </c>
      <c r="AC46" s="35">
        <f>IF('Field Teams'!$I$5="Inactive",999,IFERROR((6-T46)+(ROW()-3)*0.0001,99))</f>
        <v/>
      </c>
      <c r="AD46" s="31">
        <f>IF('Field Teams'!$I$47="Inactive",999,IFERROR(AB46+(ROW()-3)*0.0001,99))</f>
        <v/>
      </c>
      <c r="AE46" s="29" t="n">
        <v>0</v>
      </c>
      <c r="AF46" s="31">
        <f>IF('Field Teams'!$I$47="Inactive","",IF(AA46="HIGH","YES - within 5 working days",""))</f>
        <v/>
      </c>
      <c r="AG46" s="105" t="n"/>
      <c r="AH46" s="49">
        <f>IFERROR(SUMPRODUCT(ISNUMBER(SEARCH(B46,'Pole Results'!$A$13:$A$2000))*('Pole Results'!$B$13:$B$2000&gt;=$AG$3)*('Pole Results'!$B$13:$B$2000&lt;=$AE$3)),0)</f>
        <v/>
      </c>
      <c r="AI46" s="49">
        <f>IFERROR(SUMPRODUCT(ISNUMBER(SEARCH(B46,'Pole Results'!$A$13:$A$2000))*('Pole Results'!$B$13:$B$2000&gt;=$AG$3)*('Pole Results'!$B$13:$B$2000&lt;=$AE$3)*('Pole Results'!$E$13:$E$2000="Compliant")),0)</f>
        <v/>
      </c>
      <c r="AJ46" s="105" t="n"/>
      <c r="AK46" s="106">
        <f>IF('Field Teams'!$I$47="Inactive",-1,IF(AA46="HIGH",AB46,-1))</f>
        <v/>
      </c>
      <c r="AL46" s="106">
        <f>IF('Field Teams'!$I$47="Inactive",-1,IF(OR(AA46="HIGH",AA46="MEDIUM"),AB46,-1))</f>
        <v/>
      </c>
      <c r="AM46">
        <f>IF('Field Teams'!$I$47="Inactive","",IF(IFERROR(LOOKUP(2,1/('Historical Scores'!C47:N47&lt;&gt;""),'Historical Scores'!C47:N47),"")="","New",IF(T46=""," ",IF(T46&gt;IFERROR(LOOKUP(2,1/('Historical Scores'!C47:N47&lt;&gt;""),'Historical Scores'!C47:N47),""),"▲ Worsening",IF(T46&lt;IFERROR(LOOKUP(2,1/('Historical Scores'!C47:N47&lt;&gt;""),'Historical Scores'!C47:N47),""),"▼ Improving","► Stable")))))</f>
        <v/>
      </c>
      <c r="AN46">
        <f>IFERROR(SUMPRODUCT((ISNUMBER(SEARCH(B46,'Data - SSV'!AE$6:AE$3000)))*('Data - SSV'!AF$6:AF$3000&gt;=(AJ$3-90))*('Data - SSV'!AF$6:AF$3000&lt;=AJ$3)*('Data - SSV'!AH$6:AH$3000&lt;&gt;"")),0)</f>
        <v/>
      </c>
      <c r="AO46">
        <f>IF('Field Teams'!$I$47="Inactive","",IF(AN46=0,3,IF(AN46=1,IF(IFERROR(SUMPRODUCT((ISNUMBER(SEARCH(B46,'Data - SSV'!AE$6:AE$3000)))*('Data - SSV'!AF$6:AF$3000&gt;=(AJ$3-90))*('Data - SSV'!AF$6:AF$3000&lt;=AJ$3)*('Data - SSV'!AH$6:AH$3000&lt;&gt;"")*IF('Data - SSV'!AH$6:AH$3000="",0,'Data - SSV'!AH$6:AH$3000))/AN46,3)=4,4,IF(IFERROR(SUMPRODUCT((ISNUMBER(SEARCH(B46,'Data - SSV'!AE$6:AE$3000)))*('Data - SSV'!AF$6:AF$3000&gt;=(AJ$3-90))*('Data - SSV'!AF$6:AF$3000&lt;=AJ$3)*('Data - SSV'!AH$6:AH$3000&lt;&gt;"")*IF('Data - SSV'!AH$6:AH$3000="",0,'Data - SSV'!AH$6:AH$3000))/AN46,3)&gt;=3,3,IF(IFERROR(SUMPRODUCT((ISNUMBER(SEARCH(B46,'Data - SSV'!AE$6:AE$3000)))*('Data - SSV'!AF$6:AF$3000&gt;=(AJ$3-90))*('Data - SSV'!AF$6:AF$3000&lt;=AJ$3)*('Data - SSV'!AH$6:AH$3000&lt;&gt;"")*IF('Data - SSV'!AH$6:AH$3000="",0,'Data - SSV'!AH$6:AH$3000))/AN46,3)&gt;=2,2,1))),IF(IFERROR(SUMPRODUCT((ISNUMBER(SEARCH(B46,'Data - SSV'!AE$6:AE$3000)))*('Data - SSV'!AF$6:AF$3000&gt;=(AJ$3-90))*('Data - SSV'!AF$6:AF$3000&lt;=AJ$3)*('Data - SSV'!AH$6:AH$3000&lt;&gt;"")*IF('Data - SSV'!AH$6:AH$3000="",0,'Data - SSV'!AH$6:AH$3000))/AN46,3)=4,5,IF(IFERROR(SUMPRODUCT((ISNUMBER(SEARCH(B46,'Data - SSV'!AE$6:AE$3000)))*('Data - SSV'!AF$6:AF$3000&gt;=(AJ$3-90))*('Data - SSV'!AF$6:AF$3000&lt;=AJ$3)*('Data - SSV'!AH$6:AH$3000&lt;&gt;"")*IF('Data - SSV'!AH$6:AH$3000="",0,'Data - SSV'!AH$6:AH$3000))/AN46,3)&gt;=3.5,4,IF(IFERROR(SUMPRODUCT((ISNUMBER(SEARCH(B46,'Data - SSV'!AE$6:AE$3000)))*('Data - SSV'!AF$6:AF$3000&gt;=(AJ$3-90))*('Data - SSV'!AF$6:AF$3000&lt;=AJ$3)*('Data - SSV'!AH$6:AH$3000&lt;&gt;"")*IF('Data - SSV'!AH$6:AH$3000="",0,'Data - SSV'!AH$6:AH$3000))/AN46,3)&gt;=3,3,IF(IFERROR(SUMPRODUCT((ISNUMBER(SEARCH(B46,'Data - SSV'!AE$6:AE$3000)))*('Data - SSV'!AF$6:AF$3000&gt;=(AJ$3-90))*('Data - SSV'!AF$6:AF$3000&lt;=AJ$3)*('Data - SSV'!AH$6:AH$3000&lt;&gt;"")*IF('Data - SSV'!AH$6:AH$3000="",0,'Data - SSV'!AH$6:AH$3000))/AN46,3)&gt;=2,2,1)))))))</f>
        <v/>
      </c>
    </row>
    <row r="47" ht="19.5" customHeight="1" s="146">
      <c r="A47" s="6">
        <f>'Field Teams'!A48</f>
        <v/>
      </c>
      <c r="B47" s="28">
        <f>'Field Teams'!B48</f>
        <v/>
      </c>
      <c r="C47" s="28">
        <f>'Field Teams'!C48</f>
        <v/>
      </c>
      <c r="D47" s="6">
        <f>'Field Teams'!D48</f>
        <v/>
      </c>
      <c r="E47" s="6">
        <f>'Field Teams'!E48</f>
        <v/>
      </c>
      <c r="F47" s="6">
        <f>'Field Teams'!F48</f>
        <v/>
      </c>
      <c r="G47" s="6">
        <f>'Field Teams'!G48</f>
        <v/>
      </c>
      <c r="H47" s="31">
        <f>'Field Teams'!H48</f>
        <v/>
      </c>
      <c r="I47" s="31">
        <f>H47*2</f>
        <v/>
      </c>
      <c r="J47" s="31">
        <f>IFERROR(SUMPRODUCT((((ISNUMBER(SEARCH(B47,'Data - HSQE Events'!V$6:V$3000))+ISNUMBER(SEARCH(B47,'Data - HSQE Events'!H$6:H$3000)))&gt;0))*('Data - HSQE Events'!F$6:F$3000&gt;=$AG$3)*('Data - HSQE Events'!F$6:F$3000&lt;=$AJ$3)*('Data - HSQE Events'!R$6:R$3000="Opportunity")),0)</f>
        <v/>
      </c>
      <c r="K47" s="31">
        <f>IFERROR(SUMPRODUCT((((ISNUMBER(SEARCH(B47,'Data - HSQE Events'!V$6:V$3000))+ISNUMBER(SEARCH(B47,'Data - HSQE Events'!H$6:H$3000)))&gt;0))*('Data - HSQE Events'!F$6:F$3000&gt;=$AG$3)*('Data - HSQE Events'!F$6:F$3000&lt;=$AJ$3)*('Data - HSQE Events'!R$6:R$3000="Minor")),0)</f>
        <v/>
      </c>
      <c r="L47" s="31">
        <f>IFERROR(SUMPRODUCT((((ISNUMBER(SEARCH(B47,'Data - HSQE Events'!V$6:V$3000))+ISNUMBER(SEARCH(B47,'Data - HSQE Events'!H$6:H$3000)))&gt;0))*('Data - HSQE Events'!F$6:F$3000&gt;=$AG$3)*('Data - HSQE Events'!F$6:F$3000&lt;=$AJ$3)*(('Data - HSQE Events'!R$6:R$3000="Moderate")+('Data - HSQE Events'!R$6:R$3000="Major"))),0)</f>
        <v/>
      </c>
      <c r="M47" s="31">
        <f>IF(IFERROR(SUMPRODUCT((((ISNUMBER(SEARCH(B47,'Data - HSQE Events'!V$6:V$3000))+ISNUMBER(SEARCH(B47,'Data - HSQE Events'!H$6:H$3000)))&gt;0))*('Data - HSQE Events'!F$6:F$3000&gt;=$AG$3)*('Data - HSQE Events'!F$6:F$3000&lt;=$AJ$3)*('Data - HSQE Events'!R$6:R$3000="Major")),0)&gt;0,"YES","NO")</f>
        <v/>
      </c>
      <c r="N47" s="31">
        <f>IFERROR(SUMPRODUCT(('Data - Skillko'!B$6:B$3000=B47)*('Data - Skillko'!C$6:C$3000="Total")*('Data - Skillko'!E$6:E$3000))*100,0)</f>
        <v/>
      </c>
      <c r="O47" s="31">
        <f>ROUND(MAX(1,MIN(5,1+N47/100*4)),1)</f>
        <v/>
      </c>
      <c r="P47" s="31">
        <f>IFERROR(SUMPRODUCT(ISNUMBER(SEARCH(B47,'Pole Results'!$A$13:$A$2000))*('Pole Results'!$B$13:$B$2000&gt;=$AG$3)*('Pole Results'!$B$13:$B$2000&lt;=$AE$3)*('Pole Results'!$E$13:$E$2000="Non-Compliant")),0)</f>
        <v/>
      </c>
      <c r="Q47" s="31">
        <f>IF(I47=0,1,IFERROR(ROUND(MAX(1,MIN(5,1+J47/I47*4)),1),3))</f>
        <v/>
      </c>
      <c r="R47" s="31">
        <f>ROUND(6-MAX(MIN(5,K47*0.8+1),MIN(5,L47*2+1)),1)</f>
        <v/>
      </c>
      <c r="S47" s="49">
        <f>IFERROR(ROUND(MAX(1,MIN(5,5-(P47/MAX(1,AI47))*4)),1),5)</f>
        <v/>
      </c>
      <c r="T47" s="31">
        <f>IF('Field Teams'!$I$48="Inactive","",ROUND((Q47*Settings!$D$6+R47*Settings!$D$7+O47*Settings!$D$10+S47*Settings!$D$12+AO47*Settings!$D$13)/Settings!$D$14,1))</f>
        <v/>
      </c>
      <c r="U47" s="115">
        <f>IF('Field Teams'!$I$48="Inactive","",IF(Q47="","",IF(Q47&gt;=4.5,"★★★★★",IF(Q47&gt;=3.5,"★★★★☆",IF(Q47&gt;=2.5,"★★★☆☆",IF(Q47&gt;=1.5,"★★☆☆☆","★☆☆☆☆"))))))</f>
        <v/>
      </c>
      <c r="V47" s="115">
        <f>IF('Field Teams'!$I$48="Inactive","",IF(R47="","",IF(R47&gt;=4.5,"★★★★★",IF(R47&gt;=3.5,"★★★★☆",IF(R47&gt;=2.5,"★★★☆☆",IF(R47&gt;=1.5,"★★☆☆☆","★☆☆☆☆"))))))</f>
        <v/>
      </c>
      <c r="W47" s="115">
        <f>IF('Field Teams'!$I$48="Inactive","",IF(O47="","",IF(O47&gt;=4.5,"★★★★★",IF(O47&gt;=3.5,"★★★★☆",IF(O47&gt;=2.5,"★★★☆☆",IF(O47&gt;=1.5,"★★☆☆☆","★☆☆☆☆"))))))</f>
        <v/>
      </c>
      <c r="X47" s="115">
        <f>IF('Field Teams'!$I$48="Inactive","",IF(S47="","",IF(S47&gt;=4.5,"★★★★★",IF(S47&gt;=3.5,"★★★★☆",IF(S47&gt;=2.5,"★★★☆☆",IF(S47&gt;=1.5,"★★☆☆☆","★☆☆☆☆"))))))</f>
        <v/>
      </c>
      <c r="Y47" s="115">
        <f>IF('Field Teams'!$I$48="Inactive","",IF(AO47="","",IF(AO47&gt;=4.5,"★★★★★",IF(AO47&gt;=3.5,"★★★★☆",IF(AO47&gt;=2.5,"★★★☆☆",IF(AO47&gt;=1.5,"★★☆☆☆","★☆☆☆☆"))))))</f>
        <v/>
      </c>
      <c r="Z47" s="115">
        <f>IF('Field Teams'!$I$5="Inactive","",IF(T47="","",IF(T47&gt;=4.5,"★★★★★",IF(T47&gt;=3.5,"★★★★☆",IF(T47&gt;=2.5,"★★★☆☆",IF(T47&gt;=1.5,"★★☆☆☆","★☆☆☆☆"))))))</f>
        <v/>
      </c>
      <c r="AA47" s="31">
        <f>IF('Field Teams'!$I$48="Inactive","",IF(M47="YES","HIGH",IF(Q47&lt;=Settings!$D$26,"HIGH",IF(T47&lt;=Settings!$D$23,"HIGH",IF(T47&lt;=Settings!$D$24,"MEDIUM","LOW")))))</f>
        <v/>
      </c>
      <c r="AB47" s="31">
        <f>IF('Field Teams'!$I$5="Inactive",-1,IFERROR((6-T47)+(77-ROW())*0.0001,0))</f>
        <v/>
      </c>
      <c r="AC47" s="35">
        <f>IF('Field Teams'!$I$5="Inactive",999,IFERROR((6-T47)+(ROW()-3)*0.0001,99))</f>
        <v/>
      </c>
      <c r="AD47" s="31">
        <f>IF('Field Teams'!$I$48="Inactive",999,IFERROR(AB47+(ROW()-3)*0.0001,99))</f>
        <v/>
      </c>
      <c r="AE47" s="29" t="n">
        <v>0</v>
      </c>
      <c r="AF47" s="31">
        <f>IF('Field Teams'!$I$48="Inactive","",IF(AA47="HIGH","YES - within 5 working days",""))</f>
        <v/>
      </c>
      <c r="AG47" s="105" t="n"/>
      <c r="AH47" s="49">
        <f>IFERROR(SUMPRODUCT(ISNUMBER(SEARCH(B47,'Pole Results'!$A$13:$A$2000))*('Pole Results'!$B$13:$B$2000&gt;=$AG$3)*('Pole Results'!$B$13:$B$2000&lt;=$AE$3)),0)</f>
        <v/>
      </c>
      <c r="AI47" s="49">
        <f>IFERROR(SUMPRODUCT(ISNUMBER(SEARCH(B47,'Pole Results'!$A$13:$A$2000))*('Pole Results'!$B$13:$B$2000&gt;=$AG$3)*('Pole Results'!$B$13:$B$2000&lt;=$AE$3)*('Pole Results'!$E$13:$E$2000="Compliant")),0)</f>
        <v/>
      </c>
      <c r="AJ47" s="105" t="n"/>
      <c r="AK47" s="106">
        <f>IF('Field Teams'!$I$48="Inactive",-1,IF(AA47="HIGH",AB47,-1))</f>
        <v/>
      </c>
      <c r="AL47" s="106">
        <f>IF('Field Teams'!$I$48="Inactive",-1,IF(OR(AA47="HIGH",AA47="MEDIUM"),AB47,-1))</f>
        <v/>
      </c>
      <c r="AM47">
        <f>IF('Field Teams'!$I$48="Inactive","",IF(IFERROR(LOOKUP(2,1/('Historical Scores'!C48:N48&lt;&gt;""),'Historical Scores'!C48:N48),"")="","New",IF(T47=""," ",IF(T47&gt;IFERROR(LOOKUP(2,1/('Historical Scores'!C48:N48&lt;&gt;""),'Historical Scores'!C48:N48),""),"▲ Worsening",IF(T47&lt;IFERROR(LOOKUP(2,1/('Historical Scores'!C48:N48&lt;&gt;""),'Historical Scores'!C48:N48),""),"▼ Improving","► Stable")))))</f>
        <v/>
      </c>
      <c r="AN47">
        <f>IFERROR(SUMPRODUCT((ISNUMBER(SEARCH(B47,'Data - SSV'!AE$6:AE$3000)))*('Data - SSV'!AF$6:AF$3000&gt;=(AJ$3-90))*('Data - SSV'!AF$6:AF$3000&lt;=AJ$3)*('Data - SSV'!AH$6:AH$3000&lt;&gt;"")),0)</f>
        <v/>
      </c>
      <c r="AO47">
        <f>IF('Field Teams'!$I$48="Inactive","",IF(AN47=0,3,IF(AN47=1,IF(IFERROR(SUMPRODUCT((ISNUMBER(SEARCH(B47,'Data - SSV'!AE$6:AE$3000)))*('Data - SSV'!AF$6:AF$3000&gt;=(AJ$3-90))*('Data - SSV'!AF$6:AF$3000&lt;=AJ$3)*('Data - SSV'!AH$6:AH$3000&lt;&gt;"")*IF('Data - SSV'!AH$6:AH$3000="",0,'Data - SSV'!AH$6:AH$3000))/AN47,3)=4,4,IF(IFERROR(SUMPRODUCT((ISNUMBER(SEARCH(B47,'Data - SSV'!AE$6:AE$3000)))*('Data - SSV'!AF$6:AF$3000&gt;=(AJ$3-90))*('Data - SSV'!AF$6:AF$3000&lt;=AJ$3)*('Data - SSV'!AH$6:AH$3000&lt;&gt;"")*IF('Data - SSV'!AH$6:AH$3000="",0,'Data - SSV'!AH$6:AH$3000))/AN47,3)&gt;=3,3,IF(IFERROR(SUMPRODUCT((ISNUMBER(SEARCH(B47,'Data - SSV'!AE$6:AE$3000)))*('Data - SSV'!AF$6:AF$3000&gt;=(AJ$3-90))*('Data - SSV'!AF$6:AF$3000&lt;=AJ$3)*('Data - SSV'!AH$6:AH$3000&lt;&gt;"")*IF('Data - SSV'!AH$6:AH$3000="",0,'Data - SSV'!AH$6:AH$3000))/AN47,3)&gt;=2,2,1))),IF(IFERROR(SUMPRODUCT((ISNUMBER(SEARCH(B47,'Data - SSV'!AE$6:AE$3000)))*('Data - SSV'!AF$6:AF$3000&gt;=(AJ$3-90))*('Data - SSV'!AF$6:AF$3000&lt;=AJ$3)*('Data - SSV'!AH$6:AH$3000&lt;&gt;"")*IF('Data - SSV'!AH$6:AH$3000="",0,'Data - SSV'!AH$6:AH$3000))/AN47,3)=4,5,IF(IFERROR(SUMPRODUCT((ISNUMBER(SEARCH(B47,'Data - SSV'!AE$6:AE$3000)))*('Data - SSV'!AF$6:AF$3000&gt;=(AJ$3-90))*('Data - SSV'!AF$6:AF$3000&lt;=AJ$3)*('Data - SSV'!AH$6:AH$3000&lt;&gt;"")*IF('Data - SSV'!AH$6:AH$3000="",0,'Data - SSV'!AH$6:AH$3000))/AN47,3)&gt;=3.5,4,IF(IFERROR(SUMPRODUCT((ISNUMBER(SEARCH(B47,'Data - SSV'!AE$6:AE$3000)))*('Data - SSV'!AF$6:AF$3000&gt;=(AJ$3-90))*('Data - SSV'!AF$6:AF$3000&lt;=AJ$3)*('Data - SSV'!AH$6:AH$3000&lt;&gt;"")*IF('Data - SSV'!AH$6:AH$3000="",0,'Data - SSV'!AH$6:AH$3000))/AN47,3)&gt;=3,3,IF(IFERROR(SUMPRODUCT((ISNUMBER(SEARCH(B47,'Data - SSV'!AE$6:AE$3000)))*('Data - SSV'!AF$6:AF$3000&gt;=(AJ$3-90))*('Data - SSV'!AF$6:AF$3000&lt;=AJ$3)*('Data - SSV'!AH$6:AH$3000&lt;&gt;"")*IF('Data - SSV'!AH$6:AH$3000="",0,'Data - SSV'!AH$6:AH$3000))/AN47,3)&gt;=2,2,1)))))))</f>
        <v/>
      </c>
    </row>
    <row r="48" ht="19.5" customHeight="1" s="146">
      <c r="A48" s="10">
        <f>'Field Teams'!A49</f>
        <v/>
      </c>
      <c r="B48" s="30">
        <f>'Field Teams'!B49</f>
        <v/>
      </c>
      <c r="C48" s="30">
        <f>'Field Teams'!C49</f>
        <v/>
      </c>
      <c r="D48" s="10">
        <f>'Field Teams'!D49</f>
        <v/>
      </c>
      <c r="E48" s="10">
        <f>'Field Teams'!E49</f>
        <v/>
      </c>
      <c r="F48" s="10">
        <f>'Field Teams'!F49</f>
        <v/>
      </c>
      <c r="G48" s="10">
        <f>'Field Teams'!G49</f>
        <v/>
      </c>
      <c r="H48" s="31">
        <f>'Field Teams'!H49</f>
        <v/>
      </c>
      <c r="I48" s="31">
        <f>H48*2</f>
        <v/>
      </c>
      <c r="J48" s="31">
        <f>IFERROR(SUMPRODUCT((((ISNUMBER(SEARCH(B48,'Data - HSQE Events'!V$6:V$3000))+ISNUMBER(SEARCH(B48,'Data - HSQE Events'!H$6:H$3000)))&gt;0))*('Data - HSQE Events'!F$6:F$3000&gt;=$AG$3)*('Data - HSQE Events'!F$6:F$3000&lt;=$AJ$3)*('Data - HSQE Events'!R$6:R$3000="Opportunity")),0)</f>
        <v/>
      </c>
      <c r="K48" s="31">
        <f>IFERROR(SUMPRODUCT((((ISNUMBER(SEARCH(B48,'Data - HSQE Events'!V$6:V$3000))+ISNUMBER(SEARCH(B48,'Data - HSQE Events'!H$6:H$3000)))&gt;0))*('Data - HSQE Events'!F$6:F$3000&gt;=$AG$3)*('Data - HSQE Events'!F$6:F$3000&lt;=$AJ$3)*('Data - HSQE Events'!R$6:R$3000="Minor")),0)</f>
        <v/>
      </c>
      <c r="L48" s="31">
        <f>IFERROR(SUMPRODUCT((((ISNUMBER(SEARCH(B48,'Data - HSQE Events'!V$6:V$3000))+ISNUMBER(SEARCH(B48,'Data - HSQE Events'!H$6:H$3000)))&gt;0))*('Data - HSQE Events'!F$6:F$3000&gt;=$AG$3)*('Data - HSQE Events'!F$6:F$3000&lt;=$AJ$3)*(('Data - HSQE Events'!R$6:R$3000="Moderate")+('Data - HSQE Events'!R$6:R$3000="Major"))),0)</f>
        <v/>
      </c>
      <c r="M48" s="31">
        <f>IF(IFERROR(SUMPRODUCT((((ISNUMBER(SEARCH(B48,'Data - HSQE Events'!V$6:V$3000))+ISNUMBER(SEARCH(B48,'Data - HSQE Events'!H$6:H$3000)))&gt;0))*('Data - HSQE Events'!F$6:F$3000&gt;=$AG$3)*('Data - HSQE Events'!F$6:F$3000&lt;=$AJ$3)*('Data - HSQE Events'!R$6:R$3000="Major")),0)&gt;0,"YES","NO")</f>
        <v/>
      </c>
      <c r="N48" s="31">
        <f>IFERROR(SUMPRODUCT(('Data - Skillko'!B$6:B$3000=B48)*('Data - Skillko'!C$6:C$3000="Total")*('Data - Skillko'!E$6:E$3000))*100,0)</f>
        <v/>
      </c>
      <c r="O48" s="31">
        <f>ROUND(MAX(1,MIN(5,1+N48/100*4)),1)</f>
        <v/>
      </c>
      <c r="P48" s="31">
        <f>IFERROR(SUMPRODUCT(ISNUMBER(SEARCH(B48,'Pole Results'!$A$13:$A$2000))*('Pole Results'!$B$13:$B$2000&gt;=$AG$3)*('Pole Results'!$B$13:$B$2000&lt;=$AE$3)*('Pole Results'!$E$13:$E$2000="Non-Compliant")),0)</f>
        <v/>
      </c>
      <c r="Q48" s="31">
        <f>IF(I48=0,1,IFERROR(ROUND(MAX(1,MIN(5,1+J48/I48*4)),1),3))</f>
        <v/>
      </c>
      <c r="R48" s="31">
        <f>ROUND(6-MAX(MIN(5,K48*0.8+1),MIN(5,L48*2+1)),1)</f>
        <v/>
      </c>
      <c r="S48" s="49">
        <f>IFERROR(ROUND(MAX(1,MIN(5,5-(P48/MAX(1,AI48))*4)),1),5)</f>
        <v/>
      </c>
      <c r="T48" s="31">
        <f>IF('Field Teams'!$I$49="Inactive","",ROUND((Q48*Settings!$D$6+R48*Settings!$D$7+O48*Settings!$D$10+S48*Settings!$D$12+AO48*Settings!$D$13)/Settings!$D$14,1))</f>
        <v/>
      </c>
      <c r="U48" s="115">
        <f>IF('Field Teams'!$I$49="Inactive","",IF(Q48="","",IF(Q48&gt;=4.5,"★★★★★",IF(Q48&gt;=3.5,"★★★★☆",IF(Q48&gt;=2.5,"★★★☆☆",IF(Q48&gt;=1.5,"★★☆☆☆","★☆☆☆☆"))))))</f>
        <v/>
      </c>
      <c r="V48" s="115">
        <f>IF('Field Teams'!$I$49="Inactive","",IF(R48="","",IF(R48&gt;=4.5,"★★★★★",IF(R48&gt;=3.5,"★★★★☆",IF(R48&gt;=2.5,"★★★☆☆",IF(R48&gt;=1.5,"★★☆☆☆","★☆☆☆☆"))))))</f>
        <v/>
      </c>
      <c r="W48" s="115">
        <f>IF('Field Teams'!$I$49="Inactive","",IF(O48="","",IF(O48&gt;=4.5,"★★★★★",IF(O48&gt;=3.5,"★★★★☆",IF(O48&gt;=2.5,"★★★☆☆",IF(O48&gt;=1.5,"★★☆☆☆","★☆☆☆☆"))))))</f>
        <v/>
      </c>
      <c r="X48" s="115">
        <f>IF('Field Teams'!$I$49="Inactive","",IF(S48="","",IF(S48&gt;=4.5,"★★★★★",IF(S48&gt;=3.5,"★★★★☆",IF(S48&gt;=2.5,"★★★☆☆",IF(S48&gt;=1.5,"★★☆☆☆","★☆☆☆☆"))))))</f>
        <v/>
      </c>
      <c r="Y48" s="115">
        <f>IF('Field Teams'!$I$49="Inactive","",IF(AO48="","",IF(AO48&gt;=4.5,"★★★★★",IF(AO48&gt;=3.5,"★★★★☆",IF(AO48&gt;=2.5,"★★★☆☆",IF(AO48&gt;=1.5,"★★☆☆☆","★☆☆☆☆"))))))</f>
        <v/>
      </c>
      <c r="Z48" s="115">
        <f>IF('Field Teams'!$I$5="Inactive","",IF(T48="","",IF(T48&gt;=4.5,"★★★★★",IF(T48&gt;=3.5,"★★★★☆",IF(T48&gt;=2.5,"★★★☆☆",IF(T48&gt;=1.5,"★★☆☆☆","★☆☆☆☆"))))))</f>
        <v/>
      </c>
      <c r="AA48" s="31">
        <f>IF('Field Teams'!$I$49="Inactive","",IF(M48="YES","HIGH",IF(Q48&lt;=Settings!$D$26,"HIGH",IF(T48&lt;=Settings!$D$23,"HIGH",IF(T48&lt;=Settings!$D$24,"MEDIUM","LOW")))))</f>
        <v/>
      </c>
      <c r="AB48" s="31">
        <f>IF('Field Teams'!$I$5="Inactive",-1,IFERROR((6-T48)+(77-ROW())*0.0001,0))</f>
        <v/>
      </c>
      <c r="AC48" s="35">
        <f>IF('Field Teams'!$I$5="Inactive",999,IFERROR((6-T48)+(ROW()-3)*0.0001,99))</f>
        <v/>
      </c>
      <c r="AD48" s="31">
        <f>IF('Field Teams'!$I$49="Inactive",999,IFERROR(AB48+(ROW()-3)*0.0001,99))</f>
        <v/>
      </c>
      <c r="AE48" s="29" t="n">
        <v>0</v>
      </c>
      <c r="AF48" s="31">
        <f>IF('Field Teams'!$I$49="Inactive","",IF(AA48="HIGH","YES - within 5 working days",""))</f>
        <v/>
      </c>
      <c r="AG48" s="105" t="n"/>
      <c r="AH48" s="49">
        <f>IFERROR(SUMPRODUCT(ISNUMBER(SEARCH(B48,'Pole Results'!$A$13:$A$2000))*('Pole Results'!$B$13:$B$2000&gt;=$AG$3)*('Pole Results'!$B$13:$B$2000&lt;=$AE$3)),0)</f>
        <v/>
      </c>
      <c r="AI48" s="49">
        <f>IFERROR(SUMPRODUCT(ISNUMBER(SEARCH(B48,'Pole Results'!$A$13:$A$2000))*('Pole Results'!$B$13:$B$2000&gt;=$AG$3)*('Pole Results'!$B$13:$B$2000&lt;=$AE$3)*('Pole Results'!$E$13:$E$2000="Compliant")),0)</f>
        <v/>
      </c>
      <c r="AJ48" s="105" t="n"/>
      <c r="AK48" s="106">
        <f>IF('Field Teams'!$I$49="Inactive",-1,IF(AA48="HIGH",AB48,-1))</f>
        <v/>
      </c>
      <c r="AL48" s="106">
        <f>IF('Field Teams'!$I$49="Inactive",-1,IF(OR(AA48="HIGH",AA48="MEDIUM"),AB48,-1))</f>
        <v/>
      </c>
      <c r="AM48">
        <f>IF('Field Teams'!$I$49="Inactive","",IF(IFERROR(LOOKUP(2,1/('Historical Scores'!C49:N49&lt;&gt;""),'Historical Scores'!C49:N49),"")="","New",IF(T48=""," ",IF(T48&gt;IFERROR(LOOKUP(2,1/('Historical Scores'!C49:N49&lt;&gt;""),'Historical Scores'!C49:N49),""),"▲ Worsening",IF(T48&lt;IFERROR(LOOKUP(2,1/('Historical Scores'!C49:N49&lt;&gt;""),'Historical Scores'!C49:N49),""),"▼ Improving","► Stable")))))</f>
        <v/>
      </c>
      <c r="AN48">
        <f>IFERROR(SUMPRODUCT((ISNUMBER(SEARCH(B48,'Data - SSV'!AE$6:AE$3000)))*('Data - SSV'!AF$6:AF$3000&gt;=(AJ$3-90))*('Data - SSV'!AF$6:AF$3000&lt;=AJ$3)*('Data - SSV'!AH$6:AH$3000&lt;&gt;"")),0)</f>
        <v/>
      </c>
      <c r="AO48">
        <f>IF('Field Teams'!$I$49="Inactive","",IF(AN48=0,3,IF(AN48=1,IF(IFERROR(SUMPRODUCT((ISNUMBER(SEARCH(B48,'Data - SSV'!AE$6:AE$3000)))*('Data - SSV'!AF$6:AF$3000&gt;=(AJ$3-90))*('Data - SSV'!AF$6:AF$3000&lt;=AJ$3)*('Data - SSV'!AH$6:AH$3000&lt;&gt;"")*IF('Data - SSV'!AH$6:AH$3000="",0,'Data - SSV'!AH$6:AH$3000))/AN48,3)=4,4,IF(IFERROR(SUMPRODUCT((ISNUMBER(SEARCH(B48,'Data - SSV'!AE$6:AE$3000)))*('Data - SSV'!AF$6:AF$3000&gt;=(AJ$3-90))*('Data - SSV'!AF$6:AF$3000&lt;=AJ$3)*('Data - SSV'!AH$6:AH$3000&lt;&gt;"")*IF('Data - SSV'!AH$6:AH$3000="",0,'Data - SSV'!AH$6:AH$3000))/AN48,3)&gt;=3,3,IF(IFERROR(SUMPRODUCT((ISNUMBER(SEARCH(B48,'Data - SSV'!AE$6:AE$3000)))*('Data - SSV'!AF$6:AF$3000&gt;=(AJ$3-90))*('Data - SSV'!AF$6:AF$3000&lt;=AJ$3)*('Data - SSV'!AH$6:AH$3000&lt;&gt;"")*IF('Data - SSV'!AH$6:AH$3000="",0,'Data - SSV'!AH$6:AH$3000))/AN48,3)&gt;=2,2,1))),IF(IFERROR(SUMPRODUCT((ISNUMBER(SEARCH(B48,'Data - SSV'!AE$6:AE$3000)))*('Data - SSV'!AF$6:AF$3000&gt;=(AJ$3-90))*('Data - SSV'!AF$6:AF$3000&lt;=AJ$3)*('Data - SSV'!AH$6:AH$3000&lt;&gt;"")*IF('Data - SSV'!AH$6:AH$3000="",0,'Data - SSV'!AH$6:AH$3000))/AN48,3)=4,5,IF(IFERROR(SUMPRODUCT((ISNUMBER(SEARCH(B48,'Data - SSV'!AE$6:AE$3000)))*('Data - SSV'!AF$6:AF$3000&gt;=(AJ$3-90))*('Data - SSV'!AF$6:AF$3000&lt;=AJ$3)*('Data - SSV'!AH$6:AH$3000&lt;&gt;"")*IF('Data - SSV'!AH$6:AH$3000="",0,'Data - SSV'!AH$6:AH$3000))/AN48,3)&gt;=3.5,4,IF(IFERROR(SUMPRODUCT((ISNUMBER(SEARCH(B48,'Data - SSV'!AE$6:AE$3000)))*('Data - SSV'!AF$6:AF$3000&gt;=(AJ$3-90))*('Data - SSV'!AF$6:AF$3000&lt;=AJ$3)*('Data - SSV'!AH$6:AH$3000&lt;&gt;"")*IF('Data - SSV'!AH$6:AH$3000="",0,'Data - SSV'!AH$6:AH$3000))/AN48,3)&gt;=3,3,IF(IFERROR(SUMPRODUCT((ISNUMBER(SEARCH(B48,'Data - SSV'!AE$6:AE$3000)))*('Data - SSV'!AF$6:AF$3000&gt;=(AJ$3-90))*('Data - SSV'!AF$6:AF$3000&lt;=AJ$3)*('Data - SSV'!AH$6:AH$3000&lt;&gt;"")*IF('Data - SSV'!AH$6:AH$3000="",0,'Data - SSV'!AH$6:AH$3000))/AN48,3)&gt;=2,2,1)))))))</f>
        <v/>
      </c>
    </row>
    <row r="49" ht="19.5" customHeight="1" s="146">
      <c r="A49" s="6">
        <f>'Field Teams'!A50</f>
        <v/>
      </c>
      <c r="B49" s="28">
        <f>'Field Teams'!B50</f>
        <v/>
      </c>
      <c r="C49" s="28">
        <f>'Field Teams'!C50</f>
        <v/>
      </c>
      <c r="D49" s="6">
        <f>'Field Teams'!D50</f>
        <v/>
      </c>
      <c r="E49" s="6">
        <f>'Field Teams'!E50</f>
        <v/>
      </c>
      <c r="F49" s="6">
        <f>'Field Teams'!F50</f>
        <v/>
      </c>
      <c r="G49" s="6">
        <f>'Field Teams'!G50</f>
        <v/>
      </c>
      <c r="H49" s="31">
        <f>'Field Teams'!H50</f>
        <v/>
      </c>
      <c r="I49" s="31">
        <f>H49*2</f>
        <v/>
      </c>
      <c r="J49" s="31">
        <f>IFERROR(SUMPRODUCT((((ISNUMBER(SEARCH(B49,'Data - HSQE Events'!V$6:V$3000))+ISNUMBER(SEARCH(B49,'Data - HSQE Events'!H$6:H$3000)))&gt;0))*('Data - HSQE Events'!F$6:F$3000&gt;=$AG$3)*('Data - HSQE Events'!F$6:F$3000&lt;=$AJ$3)*('Data - HSQE Events'!R$6:R$3000="Opportunity")),0)</f>
        <v/>
      </c>
      <c r="K49" s="31">
        <f>IFERROR(SUMPRODUCT((((ISNUMBER(SEARCH(B49,'Data - HSQE Events'!V$6:V$3000))+ISNUMBER(SEARCH(B49,'Data - HSQE Events'!H$6:H$3000)))&gt;0))*('Data - HSQE Events'!F$6:F$3000&gt;=$AG$3)*('Data - HSQE Events'!F$6:F$3000&lt;=$AJ$3)*('Data - HSQE Events'!R$6:R$3000="Minor")),0)</f>
        <v/>
      </c>
      <c r="L49" s="31">
        <f>IFERROR(SUMPRODUCT((((ISNUMBER(SEARCH(B49,'Data - HSQE Events'!V$6:V$3000))+ISNUMBER(SEARCH(B49,'Data - HSQE Events'!H$6:H$3000)))&gt;0))*('Data - HSQE Events'!F$6:F$3000&gt;=$AG$3)*('Data - HSQE Events'!F$6:F$3000&lt;=$AJ$3)*(('Data - HSQE Events'!R$6:R$3000="Moderate")+('Data - HSQE Events'!R$6:R$3000="Major"))),0)</f>
        <v/>
      </c>
      <c r="M49" s="31">
        <f>IF(IFERROR(SUMPRODUCT((((ISNUMBER(SEARCH(B49,'Data - HSQE Events'!V$6:V$3000))+ISNUMBER(SEARCH(B49,'Data - HSQE Events'!H$6:H$3000)))&gt;0))*('Data - HSQE Events'!F$6:F$3000&gt;=$AG$3)*('Data - HSQE Events'!F$6:F$3000&lt;=$AJ$3)*('Data - HSQE Events'!R$6:R$3000="Major")),0)&gt;0,"YES","NO")</f>
        <v/>
      </c>
      <c r="N49" s="31">
        <f>IFERROR(SUMPRODUCT(('Data - Skillko'!B$6:B$3000=B49)*('Data - Skillko'!C$6:C$3000="Total")*('Data - Skillko'!E$6:E$3000))*100,0)</f>
        <v/>
      </c>
      <c r="O49" s="31">
        <f>ROUND(MAX(1,MIN(5,1+N49/100*4)),1)</f>
        <v/>
      </c>
      <c r="P49" s="31">
        <f>IFERROR(SUMPRODUCT(ISNUMBER(SEARCH(B49,'Pole Results'!$A$13:$A$2000))*('Pole Results'!$B$13:$B$2000&gt;=$AG$3)*('Pole Results'!$B$13:$B$2000&lt;=$AE$3)*('Pole Results'!$E$13:$E$2000="Non-Compliant")),0)</f>
        <v/>
      </c>
      <c r="Q49" s="31">
        <f>IF(I49=0,1,IFERROR(ROUND(MAX(1,MIN(5,1+J49/I49*4)),1),3))</f>
        <v/>
      </c>
      <c r="R49" s="31">
        <f>ROUND(6-MAX(MIN(5,K49*0.8+1),MIN(5,L49*2+1)),1)</f>
        <v/>
      </c>
      <c r="S49" s="49">
        <f>IFERROR(ROUND(MAX(1,MIN(5,5-(P49/MAX(1,AI49))*4)),1),5)</f>
        <v/>
      </c>
      <c r="T49" s="31">
        <f>IF('Field Teams'!$I$50="Inactive","",ROUND((Q49*Settings!$D$6+R49*Settings!$D$7+O49*Settings!$D$10+S49*Settings!$D$12+AO49*Settings!$D$13)/Settings!$D$14,1))</f>
        <v/>
      </c>
      <c r="U49" s="115">
        <f>IF('Field Teams'!$I$50="Inactive","",IF(Q49="","",IF(Q49&gt;=4.5,"★★★★★",IF(Q49&gt;=3.5,"★★★★☆",IF(Q49&gt;=2.5,"★★★☆☆",IF(Q49&gt;=1.5,"★★☆☆☆","★☆☆☆☆"))))))</f>
        <v/>
      </c>
      <c r="V49" s="115">
        <f>IF('Field Teams'!$I$50="Inactive","",IF(R49="","",IF(R49&gt;=4.5,"★★★★★",IF(R49&gt;=3.5,"★★★★☆",IF(R49&gt;=2.5,"★★★☆☆",IF(R49&gt;=1.5,"★★☆☆☆","★☆☆☆☆"))))))</f>
        <v/>
      </c>
      <c r="W49" s="115">
        <f>IF('Field Teams'!$I$50="Inactive","",IF(O49="","",IF(O49&gt;=4.5,"★★★★★",IF(O49&gt;=3.5,"★★★★☆",IF(O49&gt;=2.5,"★★★☆☆",IF(O49&gt;=1.5,"★★☆☆☆","★☆☆☆☆"))))))</f>
        <v/>
      </c>
      <c r="X49" s="115">
        <f>IF('Field Teams'!$I$50="Inactive","",IF(S49="","",IF(S49&gt;=4.5,"★★★★★",IF(S49&gt;=3.5,"★★★★☆",IF(S49&gt;=2.5,"★★★☆☆",IF(S49&gt;=1.5,"★★☆☆☆","★☆☆☆☆"))))))</f>
        <v/>
      </c>
      <c r="Y49" s="115">
        <f>IF('Field Teams'!$I$50="Inactive","",IF(AO49="","",IF(AO49&gt;=4.5,"★★★★★",IF(AO49&gt;=3.5,"★★★★☆",IF(AO49&gt;=2.5,"★★★☆☆",IF(AO49&gt;=1.5,"★★☆☆☆","★☆☆☆☆"))))))</f>
        <v/>
      </c>
      <c r="Z49" s="115">
        <f>IF('Field Teams'!$I$5="Inactive","",IF(T49="","",IF(T49&gt;=4.5,"★★★★★",IF(T49&gt;=3.5,"★★★★☆",IF(T49&gt;=2.5,"★★★☆☆",IF(T49&gt;=1.5,"★★☆☆☆","★☆☆☆☆"))))))</f>
        <v/>
      </c>
      <c r="AA49" s="31">
        <f>IF('Field Teams'!$I$50="Inactive","",IF(M49="YES","HIGH",IF(Q49&lt;=Settings!$D$26,"HIGH",IF(T49&lt;=Settings!$D$23,"HIGH",IF(T49&lt;=Settings!$D$24,"MEDIUM","LOW")))))</f>
        <v/>
      </c>
      <c r="AB49" s="31">
        <f>IF('Field Teams'!$I$5="Inactive",-1,IFERROR((6-T49)+(77-ROW())*0.0001,0))</f>
        <v/>
      </c>
      <c r="AC49" s="35">
        <f>IF('Field Teams'!$I$5="Inactive",999,IFERROR((6-T49)+(ROW()-3)*0.0001,99))</f>
        <v/>
      </c>
      <c r="AD49" s="31">
        <f>IF('Field Teams'!$I$50="Inactive",999,IFERROR(AB49+(ROW()-3)*0.0001,99))</f>
        <v/>
      </c>
      <c r="AE49" s="29" t="n">
        <v>0</v>
      </c>
      <c r="AF49" s="31">
        <f>IF('Field Teams'!$I$50="Inactive","",IF(AA49="HIGH","YES - within 5 working days",""))</f>
        <v/>
      </c>
      <c r="AG49" s="105" t="n"/>
      <c r="AH49" s="49">
        <f>IFERROR(SUMPRODUCT(ISNUMBER(SEARCH(B49,'Pole Results'!$A$13:$A$2000))*('Pole Results'!$B$13:$B$2000&gt;=$AG$3)*('Pole Results'!$B$13:$B$2000&lt;=$AE$3)),0)</f>
        <v/>
      </c>
      <c r="AI49" s="49">
        <f>IFERROR(SUMPRODUCT(ISNUMBER(SEARCH(B49,'Pole Results'!$A$13:$A$2000))*('Pole Results'!$B$13:$B$2000&gt;=$AG$3)*('Pole Results'!$B$13:$B$2000&lt;=$AE$3)*('Pole Results'!$E$13:$E$2000="Compliant")),0)</f>
        <v/>
      </c>
      <c r="AJ49" s="105" t="n"/>
      <c r="AK49" s="106">
        <f>IF('Field Teams'!$I$50="Inactive",-1,IF(AA49="HIGH",AB49,-1))</f>
        <v/>
      </c>
      <c r="AL49" s="106">
        <f>IF('Field Teams'!$I$50="Inactive",-1,IF(OR(AA49="HIGH",AA49="MEDIUM"),AB49,-1))</f>
        <v/>
      </c>
      <c r="AM49">
        <f>IF('Field Teams'!$I$50="Inactive","",IF(IFERROR(LOOKUP(2,1/('Historical Scores'!C50:N50&lt;&gt;""),'Historical Scores'!C50:N50),"")="","New",IF(T49=""," ",IF(T49&gt;IFERROR(LOOKUP(2,1/('Historical Scores'!C50:N50&lt;&gt;""),'Historical Scores'!C50:N50),""),"▲ Worsening",IF(T49&lt;IFERROR(LOOKUP(2,1/('Historical Scores'!C50:N50&lt;&gt;""),'Historical Scores'!C50:N50),""),"▼ Improving","► Stable")))))</f>
        <v/>
      </c>
      <c r="AN49">
        <f>IFERROR(SUMPRODUCT((ISNUMBER(SEARCH(B49,'Data - SSV'!AE$6:AE$3000)))*('Data - SSV'!AF$6:AF$3000&gt;=(AJ$3-90))*('Data - SSV'!AF$6:AF$3000&lt;=AJ$3)*('Data - SSV'!AH$6:AH$3000&lt;&gt;"")),0)</f>
        <v/>
      </c>
      <c r="AO49">
        <f>IF('Field Teams'!$I$50="Inactive","",IF(AN49=0,3,IF(AN49=1,IF(IFERROR(SUMPRODUCT((ISNUMBER(SEARCH(B49,'Data - SSV'!AE$6:AE$3000)))*('Data - SSV'!AF$6:AF$3000&gt;=(AJ$3-90))*('Data - SSV'!AF$6:AF$3000&lt;=AJ$3)*('Data - SSV'!AH$6:AH$3000&lt;&gt;"")*IF('Data - SSV'!AH$6:AH$3000="",0,'Data - SSV'!AH$6:AH$3000))/AN49,3)=4,4,IF(IFERROR(SUMPRODUCT((ISNUMBER(SEARCH(B49,'Data - SSV'!AE$6:AE$3000)))*('Data - SSV'!AF$6:AF$3000&gt;=(AJ$3-90))*('Data - SSV'!AF$6:AF$3000&lt;=AJ$3)*('Data - SSV'!AH$6:AH$3000&lt;&gt;"")*IF('Data - SSV'!AH$6:AH$3000="",0,'Data - SSV'!AH$6:AH$3000))/AN49,3)&gt;=3,3,IF(IFERROR(SUMPRODUCT((ISNUMBER(SEARCH(B49,'Data - SSV'!AE$6:AE$3000)))*('Data - SSV'!AF$6:AF$3000&gt;=(AJ$3-90))*('Data - SSV'!AF$6:AF$3000&lt;=AJ$3)*('Data - SSV'!AH$6:AH$3000&lt;&gt;"")*IF('Data - SSV'!AH$6:AH$3000="",0,'Data - SSV'!AH$6:AH$3000))/AN49,3)&gt;=2,2,1))),IF(IFERROR(SUMPRODUCT((ISNUMBER(SEARCH(B49,'Data - SSV'!AE$6:AE$3000)))*('Data - SSV'!AF$6:AF$3000&gt;=(AJ$3-90))*('Data - SSV'!AF$6:AF$3000&lt;=AJ$3)*('Data - SSV'!AH$6:AH$3000&lt;&gt;"")*IF('Data - SSV'!AH$6:AH$3000="",0,'Data - SSV'!AH$6:AH$3000))/AN49,3)=4,5,IF(IFERROR(SUMPRODUCT((ISNUMBER(SEARCH(B49,'Data - SSV'!AE$6:AE$3000)))*('Data - SSV'!AF$6:AF$3000&gt;=(AJ$3-90))*('Data - SSV'!AF$6:AF$3000&lt;=AJ$3)*('Data - SSV'!AH$6:AH$3000&lt;&gt;"")*IF('Data - SSV'!AH$6:AH$3000="",0,'Data - SSV'!AH$6:AH$3000))/AN49,3)&gt;=3.5,4,IF(IFERROR(SUMPRODUCT((ISNUMBER(SEARCH(B49,'Data - SSV'!AE$6:AE$3000)))*('Data - SSV'!AF$6:AF$3000&gt;=(AJ$3-90))*('Data - SSV'!AF$6:AF$3000&lt;=AJ$3)*('Data - SSV'!AH$6:AH$3000&lt;&gt;"")*IF('Data - SSV'!AH$6:AH$3000="",0,'Data - SSV'!AH$6:AH$3000))/AN49,3)&gt;=3,3,IF(IFERROR(SUMPRODUCT((ISNUMBER(SEARCH(B49,'Data - SSV'!AE$6:AE$3000)))*('Data - SSV'!AF$6:AF$3000&gt;=(AJ$3-90))*('Data - SSV'!AF$6:AF$3000&lt;=AJ$3)*('Data - SSV'!AH$6:AH$3000&lt;&gt;"")*IF('Data - SSV'!AH$6:AH$3000="",0,'Data - SSV'!AH$6:AH$3000))/AN49,3)&gt;=2,2,1)))))))</f>
        <v/>
      </c>
    </row>
    <row r="50" ht="19.5" customHeight="1" s="146">
      <c r="A50" s="10">
        <f>'Field Teams'!A51</f>
        <v/>
      </c>
      <c r="B50" s="30">
        <f>'Field Teams'!B51</f>
        <v/>
      </c>
      <c r="C50" s="30">
        <f>'Field Teams'!C51</f>
        <v/>
      </c>
      <c r="D50" s="10">
        <f>'Field Teams'!D51</f>
        <v/>
      </c>
      <c r="E50" s="10">
        <f>'Field Teams'!E51</f>
        <v/>
      </c>
      <c r="F50" s="10">
        <f>'Field Teams'!F51</f>
        <v/>
      </c>
      <c r="G50" s="10">
        <f>'Field Teams'!G51</f>
        <v/>
      </c>
      <c r="H50" s="31">
        <f>'Field Teams'!H51</f>
        <v/>
      </c>
      <c r="I50" s="31">
        <f>H50*2</f>
        <v/>
      </c>
      <c r="J50" s="31">
        <f>IFERROR(SUMPRODUCT((((ISNUMBER(SEARCH(B50,'Data - HSQE Events'!V$6:V$3000))+ISNUMBER(SEARCH(B50,'Data - HSQE Events'!H$6:H$3000)))&gt;0))*('Data - HSQE Events'!F$6:F$3000&gt;=$AG$3)*('Data - HSQE Events'!F$6:F$3000&lt;=$AJ$3)*('Data - HSQE Events'!R$6:R$3000="Opportunity")),0)</f>
        <v/>
      </c>
      <c r="K50" s="31">
        <f>IFERROR(SUMPRODUCT((((ISNUMBER(SEARCH(B50,'Data - HSQE Events'!V$6:V$3000))+ISNUMBER(SEARCH(B50,'Data - HSQE Events'!H$6:H$3000)))&gt;0))*('Data - HSQE Events'!F$6:F$3000&gt;=$AG$3)*('Data - HSQE Events'!F$6:F$3000&lt;=$AJ$3)*('Data - HSQE Events'!R$6:R$3000="Minor")),0)</f>
        <v/>
      </c>
      <c r="L50" s="31">
        <f>IFERROR(SUMPRODUCT((((ISNUMBER(SEARCH(B50,'Data - HSQE Events'!V$6:V$3000))+ISNUMBER(SEARCH(B50,'Data - HSQE Events'!H$6:H$3000)))&gt;0))*('Data - HSQE Events'!F$6:F$3000&gt;=$AG$3)*('Data - HSQE Events'!F$6:F$3000&lt;=$AJ$3)*(('Data - HSQE Events'!R$6:R$3000="Moderate")+('Data - HSQE Events'!R$6:R$3000="Major"))),0)</f>
        <v/>
      </c>
      <c r="M50" s="31">
        <f>IF(IFERROR(SUMPRODUCT((((ISNUMBER(SEARCH(B50,'Data - HSQE Events'!V$6:V$3000))+ISNUMBER(SEARCH(B50,'Data - HSQE Events'!H$6:H$3000)))&gt;0))*('Data - HSQE Events'!F$6:F$3000&gt;=$AG$3)*('Data - HSQE Events'!F$6:F$3000&lt;=$AJ$3)*('Data - HSQE Events'!R$6:R$3000="Major")),0)&gt;0,"YES","NO")</f>
        <v/>
      </c>
      <c r="N50" s="31">
        <f>IFERROR(SUMPRODUCT(('Data - Skillko'!B$6:B$3000=B50)*('Data - Skillko'!C$6:C$3000="Total")*('Data - Skillko'!E$6:E$3000))*100,0)</f>
        <v/>
      </c>
      <c r="O50" s="31">
        <f>ROUND(MAX(1,MIN(5,1+N50/100*4)),1)</f>
        <v/>
      </c>
      <c r="P50" s="31">
        <f>IFERROR(SUMPRODUCT(ISNUMBER(SEARCH(B50,'Pole Results'!$A$13:$A$2000))*('Pole Results'!$B$13:$B$2000&gt;=$AG$3)*('Pole Results'!$B$13:$B$2000&lt;=$AE$3)*('Pole Results'!$E$13:$E$2000="Non-Compliant")),0)</f>
        <v/>
      </c>
      <c r="Q50" s="31">
        <f>IF(I50=0,1,IFERROR(ROUND(MAX(1,MIN(5,1+J50/I50*4)),1),3))</f>
        <v/>
      </c>
      <c r="R50" s="31">
        <f>ROUND(6-MAX(MIN(5,K50*0.8+1),MIN(5,L50*2+1)),1)</f>
        <v/>
      </c>
      <c r="S50" s="49">
        <f>IFERROR(ROUND(MAX(1,MIN(5,5-(P50/MAX(1,AI50))*4)),1),5)</f>
        <v/>
      </c>
      <c r="T50" s="31">
        <f>IF('Field Teams'!$I$51="Inactive","",ROUND((Q50*Settings!$D$6+R50*Settings!$D$7+O50*Settings!$D$10+S50*Settings!$D$12+AO50*Settings!$D$13)/Settings!$D$14,1))</f>
        <v/>
      </c>
      <c r="U50" s="115">
        <f>IF('Field Teams'!$I$51="Inactive","",IF(Q50="","",IF(Q50&gt;=4.5,"★★★★★",IF(Q50&gt;=3.5,"★★★★☆",IF(Q50&gt;=2.5,"★★★☆☆",IF(Q50&gt;=1.5,"★★☆☆☆","★☆☆☆☆"))))))</f>
        <v/>
      </c>
      <c r="V50" s="115">
        <f>IF('Field Teams'!$I$51="Inactive","",IF(R50="","",IF(R50&gt;=4.5,"★★★★★",IF(R50&gt;=3.5,"★★★★☆",IF(R50&gt;=2.5,"★★★☆☆",IF(R50&gt;=1.5,"★★☆☆☆","★☆☆☆☆"))))))</f>
        <v/>
      </c>
      <c r="W50" s="115">
        <f>IF('Field Teams'!$I$51="Inactive","",IF(O50="","",IF(O50&gt;=4.5,"★★★★★",IF(O50&gt;=3.5,"★★★★☆",IF(O50&gt;=2.5,"★★★☆☆",IF(O50&gt;=1.5,"★★☆☆☆","★☆☆☆☆"))))))</f>
        <v/>
      </c>
      <c r="X50" s="115">
        <f>IF('Field Teams'!$I$51="Inactive","",IF(S50="","",IF(S50&gt;=4.5,"★★★★★",IF(S50&gt;=3.5,"★★★★☆",IF(S50&gt;=2.5,"★★★☆☆",IF(S50&gt;=1.5,"★★☆☆☆","★☆☆☆☆"))))))</f>
        <v/>
      </c>
      <c r="Y50" s="115">
        <f>IF('Field Teams'!$I$51="Inactive","",IF(AO50="","",IF(AO50&gt;=4.5,"★★★★★",IF(AO50&gt;=3.5,"★★★★☆",IF(AO50&gt;=2.5,"★★★☆☆",IF(AO50&gt;=1.5,"★★☆☆☆","★☆☆☆☆"))))))</f>
        <v/>
      </c>
      <c r="Z50" s="115">
        <f>IF('Field Teams'!$I$5="Inactive","",IF(T50="","",IF(T50&gt;=4.5,"★★★★★",IF(T50&gt;=3.5,"★★★★☆",IF(T50&gt;=2.5,"★★★☆☆",IF(T50&gt;=1.5,"★★☆☆☆","★☆☆☆☆"))))))</f>
        <v/>
      </c>
      <c r="AA50" s="31">
        <f>IF('Field Teams'!$I$51="Inactive","",IF(M50="YES","HIGH",IF(Q50&lt;=Settings!$D$26,"HIGH",IF(T50&lt;=Settings!$D$23,"HIGH",IF(T50&lt;=Settings!$D$24,"MEDIUM","LOW")))))</f>
        <v/>
      </c>
      <c r="AB50" s="31">
        <f>IF('Field Teams'!$I$5="Inactive",-1,IFERROR((6-T50)+(77-ROW())*0.0001,0))</f>
        <v/>
      </c>
      <c r="AC50" s="35">
        <f>IF('Field Teams'!$I$5="Inactive",999,IFERROR((6-T50)+(ROW()-3)*0.0001,99))</f>
        <v/>
      </c>
      <c r="AD50" s="31">
        <f>IF('Field Teams'!$I$51="Inactive",999,IFERROR(AB50+(ROW()-3)*0.0001,99))</f>
        <v/>
      </c>
      <c r="AE50" s="29" t="n">
        <v>0</v>
      </c>
      <c r="AF50" s="31">
        <f>IF('Field Teams'!$I$51="Inactive","",IF(AA50="HIGH","YES - within 5 working days",""))</f>
        <v/>
      </c>
      <c r="AG50" s="105" t="n"/>
      <c r="AH50" s="49">
        <f>IFERROR(SUMPRODUCT(ISNUMBER(SEARCH(B50,'Pole Results'!$A$13:$A$2000))*('Pole Results'!$B$13:$B$2000&gt;=$AG$3)*('Pole Results'!$B$13:$B$2000&lt;=$AE$3)),0)</f>
        <v/>
      </c>
      <c r="AI50" s="49">
        <f>IFERROR(SUMPRODUCT(ISNUMBER(SEARCH(B50,'Pole Results'!$A$13:$A$2000))*('Pole Results'!$B$13:$B$2000&gt;=$AG$3)*('Pole Results'!$B$13:$B$2000&lt;=$AE$3)*('Pole Results'!$E$13:$E$2000="Compliant")),0)</f>
        <v/>
      </c>
      <c r="AJ50" s="105" t="n"/>
      <c r="AK50" s="106">
        <f>IF('Field Teams'!$I$51="Inactive",-1,IF(AA50="HIGH",AB50,-1))</f>
        <v/>
      </c>
      <c r="AL50" s="106">
        <f>IF('Field Teams'!$I$51="Inactive",-1,IF(OR(AA50="HIGH",AA50="MEDIUM"),AB50,-1))</f>
        <v/>
      </c>
      <c r="AM50">
        <f>IF('Field Teams'!$I$51="Inactive","",IF(IFERROR(LOOKUP(2,1/('Historical Scores'!C51:N51&lt;&gt;""),'Historical Scores'!C51:N51),"")="","New",IF(T50=""," ",IF(T50&gt;IFERROR(LOOKUP(2,1/('Historical Scores'!C51:N51&lt;&gt;""),'Historical Scores'!C51:N51),""),"▲ Worsening",IF(T50&lt;IFERROR(LOOKUP(2,1/('Historical Scores'!C51:N51&lt;&gt;""),'Historical Scores'!C51:N51),""),"▼ Improving","► Stable")))))</f>
        <v/>
      </c>
      <c r="AN50">
        <f>IFERROR(SUMPRODUCT((ISNUMBER(SEARCH(B50,'Data - SSV'!AE$6:AE$3000)))*('Data - SSV'!AF$6:AF$3000&gt;=(AJ$3-90))*('Data - SSV'!AF$6:AF$3000&lt;=AJ$3)*('Data - SSV'!AH$6:AH$3000&lt;&gt;"")),0)</f>
        <v/>
      </c>
      <c r="AO50">
        <f>IF('Field Teams'!$I$51="Inactive","",IF(AN50=0,3,IF(AN50=1,IF(IFERROR(SUMPRODUCT((ISNUMBER(SEARCH(B50,'Data - SSV'!AE$6:AE$3000)))*('Data - SSV'!AF$6:AF$3000&gt;=(AJ$3-90))*('Data - SSV'!AF$6:AF$3000&lt;=AJ$3)*('Data - SSV'!AH$6:AH$3000&lt;&gt;"")*IF('Data - SSV'!AH$6:AH$3000="",0,'Data - SSV'!AH$6:AH$3000))/AN50,3)=4,4,IF(IFERROR(SUMPRODUCT((ISNUMBER(SEARCH(B50,'Data - SSV'!AE$6:AE$3000)))*('Data - SSV'!AF$6:AF$3000&gt;=(AJ$3-90))*('Data - SSV'!AF$6:AF$3000&lt;=AJ$3)*('Data - SSV'!AH$6:AH$3000&lt;&gt;"")*IF('Data - SSV'!AH$6:AH$3000="",0,'Data - SSV'!AH$6:AH$3000))/AN50,3)&gt;=3,3,IF(IFERROR(SUMPRODUCT((ISNUMBER(SEARCH(B50,'Data - SSV'!AE$6:AE$3000)))*('Data - SSV'!AF$6:AF$3000&gt;=(AJ$3-90))*('Data - SSV'!AF$6:AF$3000&lt;=AJ$3)*('Data - SSV'!AH$6:AH$3000&lt;&gt;"")*IF('Data - SSV'!AH$6:AH$3000="",0,'Data - SSV'!AH$6:AH$3000))/AN50,3)&gt;=2,2,1))),IF(IFERROR(SUMPRODUCT((ISNUMBER(SEARCH(B50,'Data - SSV'!AE$6:AE$3000)))*('Data - SSV'!AF$6:AF$3000&gt;=(AJ$3-90))*('Data - SSV'!AF$6:AF$3000&lt;=AJ$3)*('Data - SSV'!AH$6:AH$3000&lt;&gt;"")*IF('Data - SSV'!AH$6:AH$3000="",0,'Data - SSV'!AH$6:AH$3000))/AN50,3)=4,5,IF(IFERROR(SUMPRODUCT((ISNUMBER(SEARCH(B50,'Data - SSV'!AE$6:AE$3000)))*('Data - SSV'!AF$6:AF$3000&gt;=(AJ$3-90))*('Data - SSV'!AF$6:AF$3000&lt;=AJ$3)*('Data - SSV'!AH$6:AH$3000&lt;&gt;"")*IF('Data - SSV'!AH$6:AH$3000="",0,'Data - SSV'!AH$6:AH$3000))/AN50,3)&gt;=3.5,4,IF(IFERROR(SUMPRODUCT((ISNUMBER(SEARCH(B50,'Data - SSV'!AE$6:AE$3000)))*('Data - SSV'!AF$6:AF$3000&gt;=(AJ$3-90))*('Data - SSV'!AF$6:AF$3000&lt;=AJ$3)*('Data - SSV'!AH$6:AH$3000&lt;&gt;"")*IF('Data - SSV'!AH$6:AH$3000="",0,'Data - SSV'!AH$6:AH$3000))/AN50,3)&gt;=3,3,IF(IFERROR(SUMPRODUCT((ISNUMBER(SEARCH(B50,'Data - SSV'!AE$6:AE$3000)))*('Data - SSV'!AF$6:AF$3000&gt;=(AJ$3-90))*('Data - SSV'!AF$6:AF$3000&lt;=AJ$3)*('Data - SSV'!AH$6:AH$3000&lt;&gt;"")*IF('Data - SSV'!AH$6:AH$3000="",0,'Data - SSV'!AH$6:AH$3000))/AN50,3)&gt;=2,2,1)))))))</f>
        <v/>
      </c>
    </row>
    <row r="51" ht="19.5" customHeight="1" s="146">
      <c r="A51" s="6">
        <f>'Field Teams'!A52</f>
        <v/>
      </c>
      <c r="B51" s="28">
        <f>'Field Teams'!B52</f>
        <v/>
      </c>
      <c r="C51" s="28">
        <f>'Field Teams'!C52</f>
        <v/>
      </c>
      <c r="D51" s="6">
        <f>'Field Teams'!D52</f>
        <v/>
      </c>
      <c r="E51" s="6">
        <f>'Field Teams'!E52</f>
        <v/>
      </c>
      <c r="F51" s="6">
        <f>'Field Teams'!F52</f>
        <v/>
      </c>
      <c r="G51" s="6">
        <f>'Field Teams'!G52</f>
        <v/>
      </c>
      <c r="H51" s="31">
        <f>'Field Teams'!H52</f>
        <v/>
      </c>
      <c r="I51" s="31">
        <f>H51*2</f>
        <v/>
      </c>
      <c r="J51" s="31">
        <f>IFERROR(SUMPRODUCT((((ISNUMBER(SEARCH(B51,'Data - HSQE Events'!V$6:V$3000))+ISNUMBER(SEARCH(B51,'Data - HSQE Events'!H$6:H$3000)))&gt;0))*('Data - HSQE Events'!F$6:F$3000&gt;=$AG$3)*('Data - HSQE Events'!F$6:F$3000&lt;=$AJ$3)*('Data - HSQE Events'!R$6:R$3000="Opportunity")),0)</f>
        <v/>
      </c>
      <c r="K51" s="31">
        <f>IFERROR(SUMPRODUCT((((ISNUMBER(SEARCH(B51,'Data - HSQE Events'!V$6:V$3000))+ISNUMBER(SEARCH(B51,'Data - HSQE Events'!H$6:H$3000)))&gt;0))*('Data - HSQE Events'!F$6:F$3000&gt;=$AG$3)*('Data - HSQE Events'!F$6:F$3000&lt;=$AJ$3)*('Data - HSQE Events'!R$6:R$3000="Minor")),0)</f>
        <v/>
      </c>
      <c r="L51" s="31">
        <f>IFERROR(SUMPRODUCT((((ISNUMBER(SEARCH(B51,'Data - HSQE Events'!V$6:V$3000))+ISNUMBER(SEARCH(B51,'Data - HSQE Events'!H$6:H$3000)))&gt;0))*('Data - HSQE Events'!F$6:F$3000&gt;=$AG$3)*('Data - HSQE Events'!F$6:F$3000&lt;=$AJ$3)*(('Data - HSQE Events'!R$6:R$3000="Moderate")+('Data - HSQE Events'!R$6:R$3000="Major"))),0)</f>
        <v/>
      </c>
      <c r="M51" s="31">
        <f>IF(IFERROR(SUMPRODUCT((((ISNUMBER(SEARCH(B51,'Data - HSQE Events'!V$6:V$3000))+ISNUMBER(SEARCH(B51,'Data - HSQE Events'!H$6:H$3000)))&gt;0))*('Data - HSQE Events'!F$6:F$3000&gt;=$AG$3)*('Data - HSQE Events'!F$6:F$3000&lt;=$AJ$3)*('Data - HSQE Events'!R$6:R$3000="Major")),0)&gt;0,"YES","NO")</f>
        <v/>
      </c>
      <c r="N51" s="31">
        <f>IFERROR(SUMPRODUCT(('Data - Skillko'!B$6:B$3000=B51)*('Data - Skillko'!C$6:C$3000="Total")*('Data - Skillko'!E$6:E$3000))*100,0)</f>
        <v/>
      </c>
      <c r="O51" s="31">
        <f>ROUND(MAX(1,MIN(5,1+N51/100*4)),1)</f>
        <v/>
      </c>
      <c r="P51" s="31">
        <f>IFERROR(SUMPRODUCT(ISNUMBER(SEARCH(B51,'Pole Results'!$A$13:$A$2000))*('Pole Results'!$B$13:$B$2000&gt;=$AG$3)*('Pole Results'!$B$13:$B$2000&lt;=$AE$3)*('Pole Results'!$E$13:$E$2000="Non-Compliant")),0)</f>
        <v/>
      </c>
      <c r="Q51" s="31">
        <f>IF(I51=0,1,IFERROR(ROUND(MAX(1,MIN(5,1+J51/I51*4)),1),3))</f>
        <v/>
      </c>
      <c r="R51" s="31">
        <f>ROUND(6-MAX(MIN(5,K51*0.8+1),MIN(5,L51*2+1)),1)</f>
        <v/>
      </c>
      <c r="S51" s="49">
        <f>IFERROR(ROUND(MAX(1,MIN(5,5-(P51/MAX(1,AI51))*4)),1),5)</f>
        <v/>
      </c>
      <c r="T51" s="31">
        <f>IF('Field Teams'!$I$52="Inactive","",ROUND((Q51*Settings!$D$6+R51*Settings!$D$7+O51*Settings!$D$10+S51*Settings!$D$12+AO51*Settings!$D$13)/Settings!$D$14,1))</f>
        <v/>
      </c>
      <c r="U51" s="115">
        <f>IF('Field Teams'!$I$52="Inactive","",IF(Q51="","",IF(Q51&gt;=4.5,"★★★★★",IF(Q51&gt;=3.5,"★★★★☆",IF(Q51&gt;=2.5,"★★★☆☆",IF(Q51&gt;=1.5,"★★☆☆☆","★☆☆☆☆"))))))</f>
        <v/>
      </c>
      <c r="V51" s="115">
        <f>IF('Field Teams'!$I$52="Inactive","",IF(R51="","",IF(R51&gt;=4.5,"★★★★★",IF(R51&gt;=3.5,"★★★★☆",IF(R51&gt;=2.5,"★★★☆☆",IF(R51&gt;=1.5,"★★☆☆☆","★☆☆☆☆"))))))</f>
        <v/>
      </c>
      <c r="W51" s="115">
        <f>IF('Field Teams'!$I$52="Inactive","",IF(O51="","",IF(O51&gt;=4.5,"★★★★★",IF(O51&gt;=3.5,"★★★★☆",IF(O51&gt;=2.5,"★★★☆☆",IF(O51&gt;=1.5,"★★☆☆☆","★☆☆☆☆"))))))</f>
        <v/>
      </c>
      <c r="X51" s="115">
        <f>IF('Field Teams'!$I$52="Inactive","",IF(S51="","",IF(S51&gt;=4.5,"★★★★★",IF(S51&gt;=3.5,"★★★★☆",IF(S51&gt;=2.5,"★★★☆☆",IF(S51&gt;=1.5,"★★☆☆☆","★☆☆☆☆"))))))</f>
        <v/>
      </c>
      <c r="Y51" s="115">
        <f>IF('Field Teams'!$I$52="Inactive","",IF(AO51="","",IF(AO51&gt;=4.5,"★★★★★",IF(AO51&gt;=3.5,"★★★★☆",IF(AO51&gt;=2.5,"★★★☆☆",IF(AO51&gt;=1.5,"★★☆☆☆","★☆☆☆☆"))))))</f>
        <v/>
      </c>
      <c r="Z51" s="115">
        <f>IF('Field Teams'!$I$5="Inactive","",IF(T51="","",IF(T51&gt;=4.5,"★★★★★",IF(T51&gt;=3.5,"★★★★☆",IF(T51&gt;=2.5,"★★★☆☆",IF(T51&gt;=1.5,"★★☆☆☆","★☆☆☆☆"))))))</f>
        <v/>
      </c>
      <c r="AA51" s="31">
        <f>IF('Field Teams'!$I$52="Inactive","",IF(M51="YES","HIGH",IF(Q51&lt;=Settings!$D$26,"HIGH",IF(T51&lt;=Settings!$D$23,"HIGH",IF(T51&lt;=Settings!$D$24,"MEDIUM","LOW")))))</f>
        <v/>
      </c>
      <c r="AB51" s="31">
        <f>IF('Field Teams'!$I$5="Inactive",-1,IFERROR((6-T51)+(77-ROW())*0.0001,0))</f>
        <v/>
      </c>
      <c r="AC51" s="35">
        <f>IF('Field Teams'!$I$5="Inactive",999,IFERROR((6-T51)+(ROW()-3)*0.0001,99))</f>
        <v/>
      </c>
      <c r="AD51" s="31">
        <f>IF('Field Teams'!$I$52="Inactive",999,IFERROR(AB51+(ROW()-3)*0.0001,99))</f>
        <v/>
      </c>
      <c r="AE51" s="29" t="n">
        <v>0</v>
      </c>
      <c r="AF51" s="31">
        <f>IF('Field Teams'!$I$52="Inactive","",IF(AA51="HIGH","YES - within 5 working days",""))</f>
        <v/>
      </c>
      <c r="AG51" s="105" t="n"/>
      <c r="AH51" s="49">
        <f>IFERROR(SUMPRODUCT(ISNUMBER(SEARCH(B51,'Pole Results'!$A$13:$A$2000))*('Pole Results'!$B$13:$B$2000&gt;=$AG$3)*('Pole Results'!$B$13:$B$2000&lt;=$AE$3)),0)</f>
        <v/>
      </c>
      <c r="AI51" s="49">
        <f>IFERROR(SUMPRODUCT(ISNUMBER(SEARCH(B51,'Pole Results'!$A$13:$A$2000))*('Pole Results'!$B$13:$B$2000&gt;=$AG$3)*('Pole Results'!$B$13:$B$2000&lt;=$AE$3)*('Pole Results'!$E$13:$E$2000="Compliant")),0)</f>
        <v/>
      </c>
      <c r="AJ51" s="105" t="n"/>
      <c r="AK51" s="106">
        <f>IF('Field Teams'!$I$52="Inactive",-1,IF(AA51="HIGH",AB51,-1))</f>
        <v/>
      </c>
      <c r="AL51" s="106">
        <f>IF('Field Teams'!$I$52="Inactive",-1,IF(OR(AA51="HIGH",AA51="MEDIUM"),AB51,-1))</f>
        <v/>
      </c>
      <c r="AM51">
        <f>IF('Field Teams'!$I$52="Inactive","",IF(IFERROR(LOOKUP(2,1/('Historical Scores'!C52:N52&lt;&gt;""),'Historical Scores'!C52:N52),"")="","New",IF(T51=""," ",IF(T51&gt;IFERROR(LOOKUP(2,1/('Historical Scores'!C52:N52&lt;&gt;""),'Historical Scores'!C52:N52),""),"▲ Worsening",IF(T51&lt;IFERROR(LOOKUP(2,1/('Historical Scores'!C52:N52&lt;&gt;""),'Historical Scores'!C52:N52),""),"▼ Improving","► Stable")))))</f>
        <v/>
      </c>
      <c r="AN51">
        <f>IFERROR(SUMPRODUCT((ISNUMBER(SEARCH(B51,'Data - SSV'!AE$6:AE$3000)))*('Data - SSV'!AF$6:AF$3000&gt;=(AJ$3-90))*('Data - SSV'!AF$6:AF$3000&lt;=AJ$3)*('Data - SSV'!AH$6:AH$3000&lt;&gt;"")),0)</f>
        <v/>
      </c>
      <c r="AO51">
        <f>IF('Field Teams'!$I$52="Inactive","",IF(AN51=0,3,IF(AN51=1,IF(IFERROR(SUMPRODUCT((ISNUMBER(SEARCH(B51,'Data - SSV'!AE$6:AE$3000)))*('Data - SSV'!AF$6:AF$3000&gt;=(AJ$3-90))*('Data - SSV'!AF$6:AF$3000&lt;=AJ$3)*('Data - SSV'!AH$6:AH$3000&lt;&gt;"")*IF('Data - SSV'!AH$6:AH$3000="",0,'Data - SSV'!AH$6:AH$3000))/AN51,3)=4,4,IF(IFERROR(SUMPRODUCT((ISNUMBER(SEARCH(B51,'Data - SSV'!AE$6:AE$3000)))*('Data - SSV'!AF$6:AF$3000&gt;=(AJ$3-90))*('Data - SSV'!AF$6:AF$3000&lt;=AJ$3)*('Data - SSV'!AH$6:AH$3000&lt;&gt;"")*IF('Data - SSV'!AH$6:AH$3000="",0,'Data - SSV'!AH$6:AH$3000))/AN51,3)&gt;=3,3,IF(IFERROR(SUMPRODUCT((ISNUMBER(SEARCH(B51,'Data - SSV'!AE$6:AE$3000)))*('Data - SSV'!AF$6:AF$3000&gt;=(AJ$3-90))*('Data - SSV'!AF$6:AF$3000&lt;=AJ$3)*('Data - SSV'!AH$6:AH$3000&lt;&gt;"")*IF('Data - SSV'!AH$6:AH$3000="",0,'Data - SSV'!AH$6:AH$3000))/AN51,3)&gt;=2,2,1))),IF(IFERROR(SUMPRODUCT((ISNUMBER(SEARCH(B51,'Data - SSV'!AE$6:AE$3000)))*('Data - SSV'!AF$6:AF$3000&gt;=(AJ$3-90))*('Data - SSV'!AF$6:AF$3000&lt;=AJ$3)*('Data - SSV'!AH$6:AH$3000&lt;&gt;"")*IF('Data - SSV'!AH$6:AH$3000="",0,'Data - SSV'!AH$6:AH$3000))/AN51,3)=4,5,IF(IFERROR(SUMPRODUCT((ISNUMBER(SEARCH(B51,'Data - SSV'!AE$6:AE$3000)))*('Data - SSV'!AF$6:AF$3000&gt;=(AJ$3-90))*('Data - SSV'!AF$6:AF$3000&lt;=AJ$3)*('Data - SSV'!AH$6:AH$3000&lt;&gt;"")*IF('Data - SSV'!AH$6:AH$3000="",0,'Data - SSV'!AH$6:AH$3000))/AN51,3)&gt;=3.5,4,IF(IFERROR(SUMPRODUCT((ISNUMBER(SEARCH(B51,'Data - SSV'!AE$6:AE$3000)))*('Data - SSV'!AF$6:AF$3000&gt;=(AJ$3-90))*('Data - SSV'!AF$6:AF$3000&lt;=AJ$3)*('Data - SSV'!AH$6:AH$3000&lt;&gt;"")*IF('Data - SSV'!AH$6:AH$3000="",0,'Data - SSV'!AH$6:AH$3000))/AN51,3)&gt;=3,3,IF(IFERROR(SUMPRODUCT((ISNUMBER(SEARCH(B51,'Data - SSV'!AE$6:AE$3000)))*('Data - SSV'!AF$6:AF$3000&gt;=(AJ$3-90))*('Data - SSV'!AF$6:AF$3000&lt;=AJ$3)*('Data - SSV'!AH$6:AH$3000&lt;&gt;"")*IF('Data - SSV'!AH$6:AH$3000="",0,'Data - SSV'!AH$6:AH$3000))/AN51,3)&gt;=2,2,1)))))))</f>
        <v/>
      </c>
    </row>
    <row r="52" ht="19.5" customHeight="1" s="146">
      <c r="A52" s="10">
        <f>'Field Teams'!A53</f>
        <v/>
      </c>
      <c r="B52" s="30">
        <f>'Field Teams'!B53</f>
        <v/>
      </c>
      <c r="C52" s="30">
        <f>'Field Teams'!C53</f>
        <v/>
      </c>
      <c r="D52" s="10">
        <f>'Field Teams'!D53</f>
        <v/>
      </c>
      <c r="E52" s="10">
        <f>'Field Teams'!E53</f>
        <v/>
      </c>
      <c r="F52" s="10">
        <f>'Field Teams'!F53</f>
        <v/>
      </c>
      <c r="G52" s="10">
        <f>'Field Teams'!G53</f>
        <v/>
      </c>
      <c r="H52" s="31">
        <f>'Field Teams'!H53</f>
        <v/>
      </c>
      <c r="I52" s="31">
        <f>H52*2</f>
        <v/>
      </c>
      <c r="J52" s="31">
        <f>IFERROR(SUMPRODUCT((((ISNUMBER(SEARCH(B52,'Data - HSQE Events'!V$6:V$3000))+ISNUMBER(SEARCH(B52,'Data - HSQE Events'!H$6:H$3000)))&gt;0))*('Data - HSQE Events'!F$6:F$3000&gt;=$AG$3)*('Data - HSQE Events'!F$6:F$3000&lt;=$AJ$3)*('Data - HSQE Events'!R$6:R$3000="Opportunity")),0)</f>
        <v/>
      </c>
      <c r="K52" s="31">
        <f>IFERROR(SUMPRODUCT((((ISNUMBER(SEARCH(B52,'Data - HSQE Events'!V$6:V$3000))+ISNUMBER(SEARCH(B52,'Data - HSQE Events'!H$6:H$3000)))&gt;0))*('Data - HSQE Events'!F$6:F$3000&gt;=$AG$3)*('Data - HSQE Events'!F$6:F$3000&lt;=$AJ$3)*('Data - HSQE Events'!R$6:R$3000="Minor")),0)</f>
        <v/>
      </c>
      <c r="L52" s="31">
        <f>IFERROR(SUMPRODUCT((((ISNUMBER(SEARCH(B52,'Data - HSQE Events'!V$6:V$3000))+ISNUMBER(SEARCH(B52,'Data - HSQE Events'!H$6:H$3000)))&gt;0))*('Data - HSQE Events'!F$6:F$3000&gt;=$AG$3)*('Data - HSQE Events'!F$6:F$3000&lt;=$AJ$3)*(('Data - HSQE Events'!R$6:R$3000="Moderate")+('Data - HSQE Events'!R$6:R$3000="Major"))),0)</f>
        <v/>
      </c>
      <c r="M52" s="31">
        <f>IF(IFERROR(SUMPRODUCT((((ISNUMBER(SEARCH(B52,'Data - HSQE Events'!V$6:V$3000))+ISNUMBER(SEARCH(B52,'Data - HSQE Events'!H$6:H$3000)))&gt;0))*('Data - HSQE Events'!F$6:F$3000&gt;=$AG$3)*('Data - HSQE Events'!F$6:F$3000&lt;=$AJ$3)*('Data - HSQE Events'!R$6:R$3000="Major")),0)&gt;0,"YES","NO")</f>
        <v/>
      </c>
      <c r="N52" s="31">
        <f>IFERROR(SUMPRODUCT(('Data - Skillko'!B$6:B$3000=B52)*('Data - Skillko'!C$6:C$3000="Total")*('Data - Skillko'!E$6:E$3000))*100,0)</f>
        <v/>
      </c>
      <c r="O52" s="31">
        <f>ROUND(MAX(1,MIN(5,1+N52/100*4)),1)</f>
        <v/>
      </c>
      <c r="P52" s="31">
        <f>IFERROR(SUMPRODUCT(ISNUMBER(SEARCH(B52,'Pole Results'!$A$13:$A$2000))*('Pole Results'!$B$13:$B$2000&gt;=$AG$3)*('Pole Results'!$B$13:$B$2000&lt;=$AE$3)*('Pole Results'!$E$13:$E$2000="Non-Compliant")),0)</f>
        <v/>
      </c>
      <c r="Q52" s="31">
        <f>IF(I52=0,1,IFERROR(ROUND(MAX(1,MIN(5,1+J52/I52*4)),1),3))</f>
        <v/>
      </c>
      <c r="R52" s="31">
        <f>ROUND(6-MAX(MIN(5,K52*0.8+1),MIN(5,L52*2+1)),1)</f>
        <v/>
      </c>
      <c r="S52" s="49">
        <f>IFERROR(ROUND(MAX(1,MIN(5,5-(P52/MAX(1,AI52))*4)),1),5)</f>
        <v/>
      </c>
      <c r="T52" s="31">
        <f>IF('Field Teams'!$I$53="Inactive","",ROUND((Q52*Settings!$D$6+R52*Settings!$D$7+O52*Settings!$D$10+S52*Settings!$D$12+AO52*Settings!$D$13)/Settings!$D$14,1))</f>
        <v/>
      </c>
      <c r="U52" s="115">
        <f>IF('Field Teams'!$I$53="Inactive","",IF(Q52="","",IF(Q52&gt;=4.5,"★★★★★",IF(Q52&gt;=3.5,"★★★★☆",IF(Q52&gt;=2.5,"★★★☆☆",IF(Q52&gt;=1.5,"★★☆☆☆","★☆☆☆☆"))))))</f>
        <v/>
      </c>
      <c r="V52" s="115">
        <f>IF('Field Teams'!$I$53="Inactive","",IF(R52="","",IF(R52&gt;=4.5,"★★★★★",IF(R52&gt;=3.5,"★★★★☆",IF(R52&gt;=2.5,"★★★☆☆",IF(R52&gt;=1.5,"★★☆☆☆","★☆☆☆☆"))))))</f>
        <v/>
      </c>
      <c r="W52" s="115">
        <f>IF('Field Teams'!$I$53="Inactive","",IF(O52="","",IF(O52&gt;=4.5,"★★★★★",IF(O52&gt;=3.5,"★★★★☆",IF(O52&gt;=2.5,"★★★☆☆",IF(O52&gt;=1.5,"★★☆☆☆","★☆☆☆☆"))))))</f>
        <v/>
      </c>
      <c r="X52" s="115">
        <f>IF('Field Teams'!$I$53="Inactive","",IF(S52="","",IF(S52&gt;=4.5,"★★★★★",IF(S52&gt;=3.5,"★★★★☆",IF(S52&gt;=2.5,"★★★☆☆",IF(S52&gt;=1.5,"★★☆☆☆","★☆☆☆☆"))))))</f>
        <v/>
      </c>
      <c r="Y52" s="115">
        <f>IF('Field Teams'!$I$53="Inactive","",IF(AO52="","",IF(AO52&gt;=4.5,"★★★★★",IF(AO52&gt;=3.5,"★★★★☆",IF(AO52&gt;=2.5,"★★★☆☆",IF(AO52&gt;=1.5,"★★☆☆☆","★☆☆☆☆"))))))</f>
        <v/>
      </c>
      <c r="Z52" s="115">
        <f>IF('Field Teams'!$I$5="Inactive","",IF(T52="","",IF(T52&gt;=4.5,"★★★★★",IF(T52&gt;=3.5,"★★★★☆",IF(T52&gt;=2.5,"★★★☆☆",IF(T52&gt;=1.5,"★★☆☆☆","★☆☆☆☆"))))))</f>
        <v/>
      </c>
      <c r="AA52" s="31">
        <f>IF('Field Teams'!$I$53="Inactive","",IF(M52="YES","HIGH",IF(Q52&lt;=Settings!$D$26,"HIGH",IF(T52&lt;=Settings!$D$23,"HIGH",IF(T52&lt;=Settings!$D$24,"MEDIUM","LOW")))))</f>
        <v/>
      </c>
      <c r="AB52" s="31">
        <f>IF('Field Teams'!$I$5="Inactive",-1,IFERROR((6-T52)+(77-ROW())*0.0001,0))</f>
        <v/>
      </c>
      <c r="AC52" s="35">
        <f>IF('Field Teams'!$I$5="Inactive",999,IFERROR((6-T52)+(ROW()-3)*0.0001,99))</f>
        <v/>
      </c>
      <c r="AD52" s="31">
        <f>IF('Field Teams'!$I$53="Inactive",999,IFERROR(AB52+(ROW()-3)*0.0001,99))</f>
        <v/>
      </c>
      <c r="AE52" s="29" t="n">
        <v>0</v>
      </c>
      <c r="AF52" s="31">
        <f>IF('Field Teams'!$I$53="Inactive","",IF(AA52="HIGH","YES - within 5 working days",""))</f>
        <v/>
      </c>
      <c r="AG52" s="105" t="n"/>
      <c r="AH52" s="49">
        <f>IFERROR(SUMPRODUCT(ISNUMBER(SEARCH(B52,'Pole Results'!$A$13:$A$2000))*('Pole Results'!$B$13:$B$2000&gt;=$AG$3)*('Pole Results'!$B$13:$B$2000&lt;=$AE$3)),0)</f>
        <v/>
      </c>
      <c r="AI52" s="49">
        <f>IFERROR(SUMPRODUCT(ISNUMBER(SEARCH(B52,'Pole Results'!$A$13:$A$2000))*('Pole Results'!$B$13:$B$2000&gt;=$AG$3)*('Pole Results'!$B$13:$B$2000&lt;=$AE$3)*('Pole Results'!$E$13:$E$2000="Compliant")),0)</f>
        <v/>
      </c>
      <c r="AJ52" s="105" t="n"/>
      <c r="AK52" s="106">
        <f>IF('Field Teams'!$I$53="Inactive",-1,IF(AA52="HIGH",AB52,-1))</f>
        <v/>
      </c>
      <c r="AL52" s="106">
        <f>IF('Field Teams'!$I$53="Inactive",-1,IF(OR(AA52="HIGH",AA52="MEDIUM"),AB52,-1))</f>
        <v/>
      </c>
      <c r="AM52">
        <f>IF('Field Teams'!$I$53="Inactive","",IF(IFERROR(LOOKUP(2,1/('Historical Scores'!C53:N53&lt;&gt;""),'Historical Scores'!C53:N53),"")="","New",IF(T52=""," ",IF(T52&gt;IFERROR(LOOKUP(2,1/('Historical Scores'!C53:N53&lt;&gt;""),'Historical Scores'!C53:N53),""),"▲ Worsening",IF(T52&lt;IFERROR(LOOKUP(2,1/('Historical Scores'!C53:N53&lt;&gt;""),'Historical Scores'!C53:N53),""),"▼ Improving","► Stable")))))</f>
        <v/>
      </c>
      <c r="AN52">
        <f>IFERROR(SUMPRODUCT((ISNUMBER(SEARCH(B52,'Data - SSV'!AE$6:AE$3000)))*('Data - SSV'!AF$6:AF$3000&gt;=(AJ$3-90))*('Data - SSV'!AF$6:AF$3000&lt;=AJ$3)*('Data - SSV'!AH$6:AH$3000&lt;&gt;"")),0)</f>
        <v/>
      </c>
      <c r="AO52">
        <f>IF('Field Teams'!$I$53="Inactive","",IF(AN52=0,3,IF(AN52=1,IF(IFERROR(SUMPRODUCT((ISNUMBER(SEARCH(B52,'Data - SSV'!AE$6:AE$3000)))*('Data - SSV'!AF$6:AF$3000&gt;=(AJ$3-90))*('Data - SSV'!AF$6:AF$3000&lt;=AJ$3)*('Data - SSV'!AH$6:AH$3000&lt;&gt;"")*IF('Data - SSV'!AH$6:AH$3000="",0,'Data - SSV'!AH$6:AH$3000))/AN52,3)=4,4,IF(IFERROR(SUMPRODUCT((ISNUMBER(SEARCH(B52,'Data - SSV'!AE$6:AE$3000)))*('Data - SSV'!AF$6:AF$3000&gt;=(AJ$3-90))*('Data - SSV'!AF$6:AF$3000&lt;=AJ$3)*('Data - SSV'!AH$6:AH$3000&lt;&gt;"")*IF('Data - SSV'!AH$6:AH$3000="",0,'Data - SSV'!AH$6:AH$3000))/AN52,3)&gt;=3,3,IF(IFERROR(SUMPRODUCT((ISNUMBER(SEARCH(B52,'Data - SSV'!AE$6:AE$3000)))*('Data - SSV'!AF$6:AF$3000&gt;=(AJ$3-90))*('Data - SSV'!AF$6:AF$3000&lt;=AJ$3)*('Data - SSV'!AH$6:AH$3000&lt;&gt;"")*IF('Data - SSV'!AH$6:AH$3000="",0,'Data - SSV'!AH$6:AH$3000))/AN52,3)&gt;=2,2,1))),IF(IFERROR(SUMPRODUCT((ISNUMBER(SEARCH(B52,'Data - SSV'!AE$6:AE$3000)))*('Data - SSV'!AF$6:AF$3000&gt;=(AJ$3-90))*('Data - SSV'!AF$6:AF$3000&lt;=AJ$3)*('Data - SSV'!AH$6:AH$3000&lt;&gt;"")*IF('Data - SSV'!AH$6:AH$3000="",0,'Data - SSV'!AH$6:AH$3000))/AN52,3)=4,5,IF(IFERROR(SUMPRODUCT((ISNUMBER(SEARCH(B52,'Data - SSV'!AE$6:AE$3000)))*('Data - SSV'!AF$6:AF$3000&gt;=(AJ$3-90))*('Data - SSV'!AF$6:AF$3000&lt;=AJ$3)*('Data - SSV'!AH$6:AH$3000&lt;&gt;"")*IF('Data - SSV'!AH$6:AH$3000="",0,'Data - SSV'!AH$6:AH$3000))/AN52,3)&gt;=3.5,4,IF(IFERROR(SUMPRODUCT((ISNUMBER(SEARCH(B52,'Data - SSV'!AE$6:AE$3000)))*('Data - SSV'!AF$6:AF$3000&gt;=(AJ$3-90))*('Data - SSV'!AF$6:AF$3000&lt;=AJ$3)*('Data - SSV'!AH$6:AH$3000&lt;&gt;"")*IF('Data - SSV'!AH$6:AH$3000="",0,'Data - SSV'!AH$6:AH$3000))/AN52,3)&gt;=3,3,IF(IFERROR(SUMPRODUCT((ISNUMBER(SEARCH(B52,'Data - SSV'!AE$6:AE$3000)))*('Data - SSV'!AF$6:AF$3000&gt;=(AJ$3-90))*('Data - SSV'!AF$6:AF$3000&lt;=AJ$3)*('Data - SSV'!AH$6:AH$3000&lt;&gt;"")*IF('Data - SSV'!AH$6:AH$3000="",0,'Data - SSV'!AH$6:AH$3000))/AN52,3)&gt;=2,2,1)))))))</f>
        <v/>
      </c>
    </row>
    <row r="53" ht="19.5" customHeight="1" s="146">
      <c r="A53" s="6">
        <f>'Field Teams'!A54</f>
        <v/>
      </c>
      <c r="B53" s="28">
        <f>'Field Teams'!B54</f>
        <v/>
      </c>
      <c r="C53" s="28">
        <f>'Field Teams'!C54</f>
        <v/>
      </c>
      <c r="D53" s="6">
        <f>'Field Teams'!D54</f>
        <v/>
      </c>
      <c r="E53" s="6">
        <f>'Field Teams'!E54</f>
        <v/>
      </c>
      <c r="F53" s="6">
        <f>'Field Teams'!F54</f>
        <v/>
      </c>
      <c r="G53" s="6">
        <f>'Field Teams'!G54</f>
        <v/>
      </c>
      <c r="H53" s="31">
        <f>'Field Teams'!H54</f>
        <v/>
      </c>
      <c r="I53" s="31">
        <f>H53*2</f>
        <v/>
      </c>
      <c r="J53" s="31">
        <f>IFERROR(SUMPRODUCT((((ISNUMBER(SEARCH(B53,'Data - HSQE Events'!V$6:V$3000))+ISNUMBER(SEARCH(B53,'Data - HSQE Events'!H$6:H$3000)))&gt;0))*('Data - HSQE Events'!F$6:F$3000&gt;=$AG$3)*('Data - HSQE Events'!F$6:F$3000&lt;=$AJ$3)*('Data - HSQE Events'!R$6:R$3000="Opportunity")),0)</f>
        <v/>
      </c>
      <c r="K53" s="31">
        <f>IFERROR(SUMPRODUCT((((ISNUMBER(SEARCH(B53,'Data - HSQE Events'!V$6:V$3000))+ISNUMBER(SEARCH(B53,'Data - HSQE Events'!H$6:H$3000)))&gt;0))*('Data - HSQE Events'!F$6:F$3000&gt;=$AG$3)*('Data - HSQE Events'!F$6:F$3000&lt;=$AJ$3)*('Data - HSQE Events'!R$6:R$3000="Minor")),0)</f>
        <v/>
      </c>
      <c r="L53" s="31">
        <f>IFERROR(SUMPRODUCT((((ISNUMBER(SEARCH(B53,'Data - HSQE Events'!V$6:V$3000))+ISNUMBER(SEARCH(B53,'Data - HSQE Events'!H$6:H$3000)))&gt;0))*('Data - HSQE Events'!F$6:F$3000&gt;=$AG$3)*('Data - HSQE Events'!F$6:F$3000&lt;=$AJ$3)*(('Data - HSQE Events'!R$6:R$3000="Moderate")+('Data - HSQE Events'!R$6:R$3000="Major"))),0)</f>
        <v/>
      </c>
      <c r="M53" s="31">
        <f>IF(IFERROR(SUMPRODUCT((((ISNUMBER(SEARCH(B53,'Data - HSQE Events'!V$6:V$3000))+ISNUMBER(SEARCH(B53,'Data - HSQE Events'!H$6:H$3000)))&gt;0))*('Data - HSQE Events'!F$6:F$3000&gt;=$AG$3)*('Data - HSQE Events'!F$6:F$3000&lt;=$AJ$3)*('Data - HSQE Events'!R$6:R$3000="Major")),0)&gt;0,"YES","NO")</f>
        <v/>
      </c>
      <c r="N53" s="31">
        <f>IFERROR(SUMPRODUCT(('Data - Skillko'!B$6:B$3000=B53)*('Data - Skillko'!C$6:C$3000="Total")*('Data - Skillko'!E$6:E$3000))*100,0)</f>
        <v/>
      </c>
      <c r="O53" s="31">
        <f>ROUND(MAX(1,MIN(5,1+N53/100*4)),1)</f>
        <v/>
      </c>
      <c r="P53" s="31">
        <f>IFERROR(SUMPRODUCT(ISNUMBER(SEARCH(B53,'Pole Results'!$A$13:$A$2000))*('Pole Results'!$B$13:$B$2000&gt;=$AG$3)*('Pole Results'!$B$13:$B$2000&lt;=$AE$3)*('Pole Results'!$E$13:$E$2000="Non-Compliant")),0)</f>
        <v/>
      </c>
      <c r="Q53" s="31">
        <f>IF(I53=0,1,IFERROR(ROUND(MAX(1,MIN(5,1+J53/I53*4)),1),3))</f>
        <v/>
      </c>
      <c r="R53" s="31">
        <f>ROUND(6-MAX(MIN(5,K53*0.8+1),MIN(5,L53*2+1)),1)</f>
        <v/>
      </c>
      <c r="S53" s="49">
        <f>IFERROR(ROUND(MAX(1,MIN(5,5-(P53/MAX(1,AI53))*4)),1),5)</f>
        <v/>
      </c>
      <c r="T53" s="31">
        <f>IF('Field Teams'!$I$54="Inactive","",ROUND((Q53*Settings!$D$6+R53*Settings!$D$7+O53*Settings!$D$10+S53*Settings!$D$12+AO53*Settings!$D$13)/Settings!$D$14,1))</f>
        <v/>
      </c>
      <c r="U53" s="115">
        <f>IF('Field Teams'!$I$54="Inactive","",IF(Q53="","",IF(Q53&gt;=4.5,"★★★★★",IF(Q53&gt;=3.5,"★★★★☆",IF(Q53&gt;=2.5,"★★★☆☆",IF(Q53&gt;=1.5,"★★☆☆☆","★☆☆☆☆"))))))</f>
        <v/>
      </c>
      <c r="V53" s="115">
        <f>IF('Field Teams'!$I$54="Inactive","",IF(R53="","",IF(R53&gt;=4.5,"★★★★★",IF(R53&gt;=3.5,"★★★★☆",IF(R53&gt;=2.5,"★★★☆☆",IF(R53&gt;=1.5,"★★☆☆☆","★☆☆☆☆"))))))</f>
        <v/>
      </c>
      <c r="W53" s="115">
        <f>IF('Field Teams'!$I$54="Inactive","",IF(O53="","",IF(O53&gt;=4.5,"★★★★★",IF(O53&gt;=3.5,"★★★★☆",IF(O53&gt;=2.5,"★★★☆☆",IF(O53&gt;=1.5,"★★☆☆☆","★☆☆☆☆"))))))</f>
        <v/>
      </c>
      <c r="X53" s="115">
        <f>IF('Field Teams'!$I$54="Inactive","",IF(S53="","",IF(S53&gt;=4.5,"★★★★★",IF(S53&gt;=3.5,"★★★★☆",IF(S53&gt;=2.5,"★★★☆☆",IF(S53&gt;=1.5,"★★☆☆☆","★☆☆☆☆"))))))</f>
        <v/>
      </c>
      <c r="Y53" s="115">
        <f>IF('Field Teams'!$I$54="Inactive","",IF(AO53="","",IF(AO53&gt;=4.5,"★★★★★",IF(AO53&gt;=3.5,"★★★★☆",IF(AO53&gt;=2.5,"★★★☆☆",IF(AO53&gt;=1.5,"★★☆☆☆","★☆☆☆☆"))))))</f>
        <v/>
      </c>
      <c r="Z53" s="115">
        <f>IF('Field Teams'!$I$5="Inactive","",IF(T53="","",IF(T53&gt;=4.5,"★★★★★",IF(T53&gt;=3.5,"★★★★☆",IF(T53&gt;=2.5,"★★★☆☆",IF(T53&gt;=1.5,"★★☆☆☆","★☆☆☆☆"))))))</f>
        <v/>
      </c>
      <c r="AA53" s="31">
        <f>IF('Field Teams'!$I$54="Inactive","",IF(M53="YES","HIGH",IF(Q53&lt;=Settings!$D$26,"HIGH",IF(T53&lt;=Settings!$D$23,"HIGH",IF(T53&lt;=Settings!$D$24,"MEDIUM","LOW")))))</f>
        <v/>
      </c>
      <c r="AB53" s="31">
        <f>IF('Field Teams'!$I$5="Inactive",-1,IFERROR((6-T53)+(77-ROW())*0.0001,0))</f>
        <v/>
      </c>
      <c r="AC53" s="35">
        <f>IF('Field Teams'!$I$5="Inactive",999,IFERROR((6-T53)+(ROW()-3)*0.0001,99))</f>
        <v/>
      </c>
      <c r="AD53" s="31">
        <f>IF('Field Teams'!$I$54="Inactive",999,IFERROR(AB53+(ROW()-3)*0.0001,99))</f>
        <v/>
      </c>
      <c r="AE53" s="29" t="n">
        <v>0</v>
      </c>
      <c r="AF53" s="31">
        <f>IF('Field Teams'!$I$54="Inactive","",IF(AA53="HIGH","YES - within 5 working days",""))</f>
        <v/>
      </c>
      <c r="AG53" s="105" t="n"/>
      <c r="AH53" s="49">
        <f>IFERROR(SUMPRODUCT(ISNUMBER(SEARCH(B53,'Pole Results'!$A$13:$A$2000))*('Pole Results'!$B$13:$B$2000&gt;=$AG$3)*('Pole Results'!$B$13:$B$2000&lt;=$AE$3)),0)</f>
        <v/>
      </c>
      <c r="AI53" s="49">
        <f>IFERROR(SUMPRODUCT(ISNUMBER(SEARCH(B53,'Pole Results'!$A$13:$A$2000))*('Pole Results'!$B$13:$B$2000&gt;=$AG$3)*('Pole Results'!$B$13:$B$2000&lt;=$AE$3)*('Pole Results'!$E$13:$E$2000="Compliant")),0)</f>
        <v/>
      </c>
      <c r="AJ53" s="105" t="n"/>
      <c r="AK53" s="106">
        <f>IF('Field Teams'!$I$54="Inactive",-1,IF(AA53="HIGH",AB53,-1))</f>
        <v/>
      </c>
      <c r="AL53" s="106">
        <f>IF('Field Teams'!$I$54="Inactive",-1,IF(OR(AA53="HIGH",AA53="MEDIUM"),AB53,-1))</f>
        <v/>
      </c>
      <c r="AM53">
        <f>IF('Field Teams'!$I$54="Inactive","",IF(IFERROR(LOOKUP(2,1/('Historical Scores'!C54:N54&lt;&gt;""),'Historical Scores'!C54:N54),"")="","New",IF(T53=""," ",IF(T53&gt;IFERROR(LOOKUP(2,1/('Historical Scores'!C54:N54&lt;&gt;""),'Historical Scores'!C54:N54),""),"▲ Worsening",IF(T53&lt;IFERROR(LOOKUP(2,1/('Historical Scores'!C54:N54&lt;&gt;""),'Historical Scores'!C54:N54),""),"▼ Improving","► Stable")))))</f>
        <v/>
      </c>
      <c r="AN53">
        <f>IFERROR(SUMPRODUCT((ISNUMBER(SEARCH(B53,'Data - SSV'!AE$6:AE$3000)))*('Data - SSV'!AF$6:AF$3000&gt;=(AJ$3-90))*('Data - SSV'!AF$6:AF$3000&lt;=AJ$3)*('Data - SSV'!AH$6:AH$3000&lt;&gt;"")),0)</f>
        <v/>
      </c>
      <c r="AO53">
        <f>IF('Field Teams'!$I$54="Inactive","",IF(AN53=0,3,IF(AN53=1,IF(IFERROR(SUMPRODUCT((ISNUMBER(SEARCH(B53,'Data - SSV'!AE$6:AE$3000)))*('Data - SSV'!AF$6:AF$3000&gt;=(AJ$3-90))*('Data - SSV'!AF$6:AF$3000&lt;=AJ$3)*('Data - SSV'!AH$6:AH$3000&lt;&gt;"")*IF('Data - SSV'!AH$6:AH$3000="",0,'Data - SSV'!AH$6:AH$3000))/AN53,3)=4,4,IF(IFERROR(SUMPRODUCT((ISNUMBER(SEARCH(B53,'Data - SSV'!AE$6:AE$3000)))*('Data - SSV'!AF$6:AF$3000&gt;=(AJ$3-90))*('Data - SSV'!AF$6:AF$3000&lt;=AJ$3)*('Data - SSV'!AH$6:AH$3000&lt;&gt;"")*IF('Data - SSV'!AH$6:AH$3000="",0,'Data - SSV'!AH$6:AH$3000))/AN53,3)&gt;=3,3,IF(IFERROR(SUMPRODUCT((ISNUMBER(SEARCH(B53,'Data - SSV'!AE$6:AE$3000)))*('Data - SSV'!AF$6:AF$3000&gt;=(AJ$3-90))*('Data - SSV'!AF$6:AF$3000&lt;=AJ$3)*('Data - SSV'!AH$6:AH$3000&lt;&gt;"")*IF('Data - SSV'!AH$6:AH$3000="",0,'Data - SSV'!AH$6:AH$3000))/AN53,3)&gt;=2,2,1))),IF(IFERROR(SUMPRODUCT((ISNUMBER(SEARCH(B53,'Data - SSV'!AE$6:AE$3000)))*('Data - SSV'!AF$6:AF$3000&gt;=(AJ$3-90))*('Data - SSV'!AF$6:AF$3000&lt;=AJ$3)*('Data - SSV'!AH$6:AH$3000&lt;&gt;"")*IF('Data - SSV'!AH$6:AH$3000="",0,'Data - SSV'!AH$6:AH$3000))/AN53,3)=4,5,IF(IFERROR(SUMPRODUCT((ISNUMBER(SEARCH(B53,'Data - SSV'!AE$6:AE$3000)))*('Data - SSV'!AF$6:AF$3000&gt;=(AJ$3-90))*('Data - SSV'!AF$6:AF$3000&lt;=AJ$3)*('Data - SSV'!AH$6:AH$3000&lt;&gt;"")*IF('Data - SSV'!AH$6:AH$3000="",0,'Data - SSV'!AH$6:AH$3000))/AN53,3)&gt;=3.5,4,IF(IFERROR(SUMPRODUCT((ISNUMBER(SEARCH(B53,'Data - SSV'!AE$6:AE$3000)))*('Data - SSV'!AF$6:AF$3000&gt;=(AJ$3-90))*('Data - SSV'!AF$6:AF$3000&lt;=AJ$3)*('Data - SSV'!AH$6:AH$3000&lt;&gt;"")*IF('Data - SSV'!AH$6:AH$3000="",0,'Data - SSV'!AH$6:AH$3000))/AN53,3)&gt;=3,3,IF(IFERROR(SUMPRODUCT((ISNUMBER(SEARCH(B53,'Data - SSV'!AE$6:AE$3000)))*('Data - SSV'!AF$6:AF$3000&gt;=(AJ$3-90))*('Data - SSV'!AF$6:AF$3000&lt;=AJ$3)*('Data - SSV'!AH$6:AH$3000&lt;&gt;"")*IF('Data - SSV'!AH$6:AH$3000="",0,'Data - SSV'!AH$6:AH$3000))/AN53,3)&gt;=2,2,1)))))))</f>
        <v/>
      </c>
    </row>
    <row r="54" ht="19.5" customHeight="1" s="146">
      <c r="A54" s="10">
        <f>'Field Teams'!A55</f>
        <v/>
      </c>
      <c r="B54" s="30">
        <f>'Field Teams'!B55</f>
        <v/>
      </c>
      <c r="C54" s="30">
        <f>'Field Teams'!C55</f>
        <v/>
      </c>
      <c r="D54" s="10">
        <f>'Field Teams'!D55</f>
        <v/>
      </c>
      <c r="E54" s="10">
        <f>'Field Teams'!E55</f>
        <v/>
      </c>
      <c r="F54" s="10">
        <f>'Field Teams'!F55</f>
        <v/>
      </c>
      <c r="G54" s="10">
        <f>'Field Teams'!G55</f>
        <v/>
      </c>
      <c r="H54" s="31">
        <f>'Field Teams'!H55</f>
        <v/>
      </c>
      <c r="I54" s="31">
        <f>H54*2</f>
        <v/>
      </c>
      <c r="J54" s="31">
        <f>IFERROR(SUMPRODUCT((((ISNUMBER(SEARCH(B54,'Data - HSQE Events'!V$6:V$3000))+ISNUMBER(SEARCH(B54,'Data - HSQE Events'!H$6:H$3000)))&gt;0))*('Data - HSQE Events'!F$6:F$3000&gt;=$AG$3)*('Data - HSQE Events'!F$6:F$3000&lt;=$AJ$3)*('Data - HSQE Events'!R$6:R$3000="Opportunity")),0)</f>
        <v/>
      </c>
      <c r="K54" s="31">
        <f>IFERROR(SUMPRODUCT((((ISNUMBER(SEARCH(B54,'Data - HSQE Events'!V$6:V$3000))+ISNUMBER(SEARCH(B54,'Data - HSQE Events'!H$6:H$3000)))&gt;0))*('Data - HSQE Events'!F$6:F$3000&gt;=$AG$3)*('Data - HSQE Events'!F$6:F$3000&lt;=$AJ$3)*('Data - HSQE Events'!R$6:R$3000="Minor")),0)</f>
        <v/>
      </c>
      <c r="L54" s="31">
        <f>IFERROR(SUMPRODUCT((((ISNUMBER(SEARCH(B54,'Data - HSQE Events'!V$6:V$3000))+ISNUMBER(SEARCH(B54,'Data - HSQE Events'!H$6:H$3000)))&gt;0))*('Data - HSQE Events'!F$6:F$3000&gt;=$AG$3)*('Data - HSQE Events'!F$6:F$3000&lt;=$AJ$3)*(('Data - HSQE Events'!R$6:R$3000="Moderate")+('Data - HSQE Events'!R$6:R$3000="Major"))),0)</f>
        <v/>
      </c>
      <c r="M54" s="31">
        <f>IF(IFERROR(SUMPRODUCT((((ISNUMBER(SEARCH(B54,'Data - HSQE Events'!V$6:V$3000))+ISNUMBER(SEARCH(B54,'Data - HSQE Events'!H$6:H$3000)))&gt;0))*('Data - HSQE Events'!F$6:F$3000&gt;=$AG$3)*('Data - HSQE Events'!F$6:F$3000&lt;=$AJ$3)*('Data - HSQE Events'!R$6:R$3000="Major")),0)&gt;0,"YES","NO")</f>
        <v/>
      </c>
      <c r="N54" s="31">
        <f>IFERROR(SUMPRODUCT(('Data - Skillko'!B$6:B$3000=B54)*('Data - Skillko'!C$6:C$3000="Total")*('Data - Skillko'!E$6:E$3000))*100,0)</f>
        <v/>
      </c>
      <c r="O54" s="31">
        <f>ROUND(MAX(1,MIN(5,1+N54/100*4)),1)</f>
        <v/>
      </c>
      <c r="P54" s="31">
        <f>IFERROR(SUMPRODUCT(ISNUMBER(SEARCH(B54,'Pole Results'!$A$13:$A$2000))*('Pole Results'!$B$13:$B$2000&gt;=$AG$3)*('Pole Results'!$B$13:$B$2000&lt;=$AE$3)*('Pole Results'!$E$13:$E$2000="Non-Compliant")),0)</f>
        <v/>
      </c>
      <c r="Q54" s="31">
        <f>IF(I54=0,1,IFERROR(ROUND(MAX(1,MIN(5,1+J54/I54*4)),1),3))</f>
        <v/>
      </c>
      <c r="R54" s="31">
        <f>ROUND(6-MAX(MIN(5,K54*0.8+1),MIN(5,L54*2+1)),1)</f>
        <v/>
      </c>
      <c r="S54" s="49">
        <f>IFERROR(ROUND(MAX(1,MIN(5,5-(P54/MAX(1,AI54))*4)),1),5)</f>
        <v/>
      </c>
      <c r="T54" s="31">
        <f>IF('Field Teams'!$I$55="Inactive","",ROUND((Q54*Settings!$D$6+R54*Settings!$D$7+O54*Settings!$D$10+S54*Settings!$D$12+AO54*Settings!$D$13)/Settings!$D$14,1))</f>
        <v/>
      </c>
      <c r="U54" s="115">
        <f>IF('Field Teams'!$I$55="Inactive","",IF(Q54="","",IF(Q54&gt;=4.5,"★★★★★",IF(Q54&gt;=3.5,"★★★★☆",IF(Q54&gt;=2.5,"★★★☆☆",IF(Q54&gt;=1.5,"★★☆☆☆","★☆☆☆☆"))))))</f>
        <v/>
      </c>
      <c r="V54" s="115">
        <f>IF('Field Teams'!$I$55="Inactive","",IF(R54="","",IF(R54&gt;=4.5,"★★★★★",IF(R54&gt;=3.5,"★★★★☆",IF(R54&gt;=2.5,"★★★☆☆",IF(R54&gt;=1.5,"★★☆☆☆","★☆☆☆☆"))))))</f>
        <v/>
      </c>
      <c r="W54" s="115">
        <f>IF('Field Teams'!$I$55="Inactive","",IF(O54="","",IF(O54&gt;=4.5,"★★★★★",IF(O54&gt;=3.5,"★★★★☆",IF(O54&gt;=2.5,"★★★☆☆",IF(O54&gt;=1.5,"★★☆☆☆","★☆☆☆☆"))))))</f>
        <v/>
      </c>
      <c r="X54" s="115">
        <f>IF('Field Teams'!$I$55="Inactive","",IF(S54="","",IF(S54&gt;=4.5,"★★★★★",IF(S54&gt;=3.5,"★★★★☆",IF(S54&gt;=2.5,"★★★☆☆",IF(S54&gt;=1.5,"★★☆☆☆","★☆☆☆☆"))))))</f>
        <v/>
      </c>
      <c r="Y54" s="115">
        <f>IF('Field Teams'!$I$55="Inactive","",IF(AO54="","",IF(AO54&gt;=4.5,"★★★★★",IF(AO54&gt;=3.5,"★★★★☆",IF(AO54&gt;=2.5,"★★★☆☆",IF(AO54&gt;=1.5,"★★☆☆☆","★☆☆☆☆"))))))</f>
        <v/>
      </c>
      <c r="Z54" s="115">
        <f>IF('Field Teams'!$I$5="Inactive","",IF(T54="","",IF(T54&gt;=4.5,"★★★★★",IF(T54&gt;=3.5,"★★★★☆",IF(T54&gt;=2.5,"★★★☆☆",IF(T54&gt;=1.5,"★★☆☆☆","★☆☆☆☆"))))))</f>
        <v/>
      </c>
      <c r="AA54" s="31">
        <f>IF('Field Teams'!$I$55="Inactive","",IF(M54="YES","HIGH",IF(Q54&lt;=Settings!$D$26,"HIGH",IF(T54&lt;=Settings!$D$23,"HIGH",IF(T54&lt;=Settings!$D$24,"MEDIUM","LOW")))))</f>
        <v/>
      </c>
      <c r="AB54" s="31">
        <f>IF('Field Teams'!$I$5="Inactive",-1,IFERROR((6-T54)+(77-ROW())*0.0001,0))</f>
        <v/>
      </c>
      <c r="AC54" s="35">
        <f>IF('Field Teams'!$I$5="Inactive",999,IFERROR((6-T54)+(ROW()-3)*0.0001,99))</f>
        <v/>
      </c>
      <c r="AD54" s="31">
        <f>IF('Field Teams'!$I$55="Inactive",999,IFERROR(AB54+(ROW()-3)*0.0001,99))</f>
        <v/>
      </c>
      <c r="AE54" s="29" t="n">
        <v>0</v>
      </c>
      <c r="AF54" s="31">
        <f>IF('Field Teams'!$I$55="Inactive","",IF(AA54="HIGH","YES - within 5 working days",""))</f>
        <v/>
      </c>
      <c r="AG54" s="105" t="n"/>
      <c r="AH54" s="49">
        <f>IFERROR(SUMPRODUCT(ISNUMBER(SEARCH(B54,'Pole Results'!$A$13:$A$2000))*('Pole Results'!$B$13:$B$2000&gt;=$AG$3)*('Pole Results'!$B$13:$B$2000&lt;=$AE$3)),0)</f>
        <v/>
      </c>
      <c r="AI54" s="49">
        <f>IFERROR(SUMPRODUCT(ISNUMBER(SEARCH(B54,'Pole Results'!$A$13:$A$2000))*('Pole Results'!$B$13:$B$2000&gt;=$AG$3)*('Pole Results'!$B$13:$B$2000&lt;=$AE$3)*('Pole Results'!$E$13:$E$2000="Compliant")),0)</f>
        <v/>
      </c>
      <c r="AJ54" s="105" t="n"/>
      <c r="AK54" s="106">
        <f>IF('Field Teams'!$I$55="Inactive",-1,IF(AA54="HIGH",AB54,-1))</f>
        <v/>
      </c>
      <c r="AL54" s="106">
        <f>IF('Field Teams'!$I$55="Inactive",-1,IF(OR(AA54="HIGH",AA54="MEDIUM"),AB54,-1))</f>
        <v/>
      </c>
      <c r="AM54">
        <f>IF('Field Teams'!$I$55="Inactive","",IF(IFERROR(LOOKUP(2,1/('Historical Scores'!C55:N55&lt;&gt;""),'Historical Scores'!C55:N55),"")="","New",IF(T54=""," ",IF(T54&gt;IFERROR(LOOKUP(2,1/('Historical Scores'!C55:N55&lt;&gt;""),'Historical Scores'!C55:N55),""),"▲ Worsening",IF(T54&lt;IFERROR(LOOKUP(2,1/('Historical Scores'!C55:N55&lt;&gt;""),'Historical Scores'!C55:N55),""),"▼ Improving","► Stable")))))</f>
        <v/>
      </c>
      <c r="AN54">
        <f>IFERROR(SUMPRODUCT((ISNUMBER(SEARCH(B54,'Data - SSV'!AE$6:AE$3000)))*('Data - SSV'!AF$6:AF$3000&gt;=(AJ$3-90))*('Data - SSV'!AF$6:AF$3000&lt;=AJ$3)*('Data - SSV'!AH$6:AH$3000&lt;&gt;"")),0)</f>
        <v/>
      </c>
      <c r="AO54">
        <f>IF('Field Teams'!$I$55="Inactive","",IF(AN54=0,3,IF(AN54=1,IF(IFERROR(SUMPRODUCT((ISNUMBER(SEARCH(B54,'Data - SSV'!AE$6:AE$3000)))*('Data - SSV'!AF$6:AF$3000&gt;=(AJ$3-90))*('Data - SSV'!AF$6:AF$3000&lt;=AJ$3)*('Data - SSV'!AH$6:AH$3000&lt;&gt;"")*IF('Data - SSV'!AH$6:AH$3000="",0,'Data - SSV'!AH$6:AH$3000))/AN54,3)=4,4,IF(IFERROR(SUMPRODUCT((ISNUMBER(SEARCH(B54,'Data - SSV'!AE$6:AE$3000)))*('Data - SSV'!AF$6:AF$3000&gt;=(AJ$3-90))*('Data - SSV'!AF$6:AF$3000&lt;=AJ$3)*('Data - SSV'!AH$6:AH$3000&lt;&gt;"")*IF('Data - SSV'!AH$6:AH$3000="",0,'Data - SSV'!AH$6:AH$3000))/AN54,3)&gt;=3,3,IF(IFERROR(SUMPRODUCT((ISNUMBER(SEARCH(B54,'Data - SSV'!AE$6:AE$3000)))*('Data - SSV'!AF$6:AF$3000&gt;=(AJ$3-90))*('Data - SSV'!AF$6:AF$3000&lt;=AJ$3)*('Data - SSV'!AH$6:AH$3000&lt;&gt;"")*IF('Data - SSV'!AH$6:AH$3000="",0,'Data - SSV'!AH$6:AH$3000))/AN54,3)&gt;=2,2,1))),IF(IFERROR(SUMPRODUCT((ISNUMBER(SEARCH(B54,'Data - SSV'!AE$6:AE$3000)))*('Data - SSV'!AF$6:AF$3000&gt;=(AJ$3-90))*('Data - SSV'!AF$6:AF$3000&lt;=AJ$3)*('Data - SSV'!AH$6:AH$3000&lt;&gt;"")*IF('Data - SSV'!AH$6:AH$3000="",0,'Data - SSV'!AH$6:AH$3000))/AN54,3)=4,5,IF(IFERROR(SUMPRODUCT((ISNUMBER(SEARCH(B54,'Data - SSV'!AE$6:AE$3000)))*('Data - SSV'!AF$6:AF$3000&gt;=(AJ$3-90))*('Data - SSV'!AF$6:AF$3000&lt;=AJ$3)*('Data - SSV'!AH$6:AH$3000&lt;&gt;"")*IF('Data - SSV'!AH$6:AH$3000="",0,'Data - SSV'!AH$6:AH$3000))/AN54,3)&gt;=3.5,4,IF(IFERROR(SUMPRODUCT((ISNUMBER(SEARCH(B54,'Data - SSV'!AE$6:AE$3000)))*('Data - SSV'!AF$6:AF$3000&gt;=(AJ$3-90))*('Data - SSV'!AF$6:AF$3000&lt;=AJ$3)*('Data - SSV'!AH$6:AH$3000&lt;&gt;"")*IF('Data - SSV'!AH$6:AH$3000="",0,'Data - SSV'!AH$6:AH$3000))/AN54,3)&gt;=3,3,IF(IFERROR(SUMPRODUCT((ISNUMBER(SEARCH(B54,'Data - SSV'!AE$6:AE$3000)))*('Data - SSV'!AF$6:AF$3000&gt;=(AJ$3-90))*('Data - SSV'!AF$6:AF$3000&lt;=AJ$3)*('Data - SSV'!AH$6:AH$3000&lt;&gt;"")*IF('Data - SSV'!AH$6:AH$3000="",0,'Data - SSV'!AH$6:AH$3000))/AN54,3)&gt;=2,2,1)))))))</f>
        <v/>
      </c>
    </row>
    <row r="55" ht="19.5" customHeight="1" s="146">
      <c r="A55" s="6">
        <f>'Field Teams'!A56</f>
        <v/>
      </c>
      <c r="B55" s="28">
        <f>'Field Teams'!B56</f>
        <v/>
      </c>
      <c r="C55" s="28">
        <f>'Field Teams'!C56</f>
        <v/>
      </c>
      <c r="D55" s="6">
        <f>'Field Teams'!D56</f>
        <v/>
      </c>
      <c r="E55" s="6">
        <f>'Field Teams'!E56</f>
        <v/>
      </c>
      <c r="F55" s="6">
        <f>'Field Teams'!F56</f>
        <v/>
      </c>
      <c r="G55" s="6">
        <f>'Field Teams'!G56</f>
        <v/>
      </c>
      <c r="H55" s="31">
        <f>'Field Teams'!H56</f>
        <v/>
      </c>
      <c r="I55" s="31">
        <f>H55*2</f>
        <v/>
      </c>
      <c r="J55" s="31">
        <f>IFERROR(SUMPRODUCT((((ISNUMBER(SEARCH(B55,'Data - HSQE Events'!V$6:V$3000))+ISNUMBER(SEARCH(B55,'Data - HSQE Events'!H$6:H$3000)))&gt;0))*('Data - HSQE Events'!F$6:F$3000&gt;=$AG$3)*('Data - HSQE Events'!F$6:F$3000&lt;=$AJ$3)*('Data - HSQE Events'!R$6:R$3000="Opportunity")),0)</f>
        <v/>
      </c>
      <c r="K55" s="31">
        <f>IFERROR(SUMPRODUCT((((ISNUMBER(SEARCH(B55,'Data - HSQE Events'!V$6:V$3000))+ISNUMBER(SEARCH(B55,'Data - HSQE Events'!H$6:H$3000)))&gt;0))*('Data - HSQE Events'!F$6:F$3000&gt;=$AG$3)*('Data - HSQE Events'!F$6:F$3000&lt;=$AJ$3)*('Data - HSQE Events'!R$6:R$3000="Minor")),0)</f>
        <v/>
      </c>
      <c r="L55" s="31">
        <f>IFERROR(SUMPRODUCT((((ISNUMBER(SEARCH(B55,'Data - HSQE Events'!V$6:V$3000))+ISNUMBER(SEARCH(B55,'Data - HSQE Events'!H$6:H$3000)))&gt;0))*('Data - HSQE Events'!F$6:F$3000&gt;=$AG$3)*('Data - HSQE Events'!F$6:F$3000&lt;=$AJ$3)*(('Data - HSQE Events'!R$6:R$3000="Moderate")+('Data - HSQE Events'!R$6:R$3000="Major"))),0)</f>
        <v/>
      </c>
      <c r="M55" s="31">
        <f>IF(IFERROR(SUMPRODUCT((((ISNUMBER(SEARCH(B55,'Data - HSQE Events'!V$6:V$3000))+ISNUMBER(SEARCH(B55,'Data - HSQE Events'!H$6:H$3000)))&gt;0))*('Data - HSQE Events'!F$6:F$3000&gt;=$AG$3)*('Data - HSQE Events'!F$6:F$3000&lt;=$AJ$3)*('Data - HSQE Events'!R$6:R$3000="Major")),0)&gt;0,"YES","NO")</f>
        <v/>
      </c>
      <c r="N55" s="31">
        <f>IFERROR(SUMPRODUCT(('Data - Skillko'!B$6:B$3000=B55)*('Data - Skillko'!C$6:C$3000="Total")*('Data - Skillko'!E$6:E$3000))*100,0)</f>
        <v/>
      </c>
      <c r="O55" s="31">
        <f>ROUND(MAX(1,MIN(5,1+N55/100*4)),1)</f>
        <v/>
      </c>
      <c r="P55" s="31">
        <f>IFERROR(SUMPRODUCT(ISNUMBER(SEARCH(B55,'Pole Results'!$A$13:$A$2000))*('Pole Results'!$B$13:$B$2000&gt;=$AG$3)*('Pole Results'!$B$13:$B$2000&lt;=$AE$3)*('Pole Results'!$E$13:$E$2000="Non-Compliant")),0)</f>
        <v/>
      </c>
      <c r="Q55" s="31">
        <f>IF(I55=0,1,IFERROR(ROUND(MAX(1,MIN(5,1+J55/I55*4)),1),3))</f>
        <v/>
      </c>
      <c r="R55" s="31">
        <f>ROUND(6-MAX(MIN(5,K55*0.8+1),MIN(5,L55*2+1)),1)</f>
        <v/>
      </c>
      <c r="S55" s="49">
        <f>IFERROR(ROUND(MAX(1,MIN(5,5-(P55/MAX(1,AI55))*4)),1),5)</f>
        <v/>
      </c>
      <c r="T55" s="31">
        <f>IF('Field Teams'!$I$56="Inactive","",ROUND((Q55*Settings!$D$6+R55*Settings!$D$7+O55*Settings!$D$10+S55*Settings!$D$12+AO55*Settings!$D$13)/Settings!$D$14,1))</f>
        <v/>
      </c>
      <c r="U55" s="115">
        <f>IF('Field Teams'!$I$56="Inactive","",IF(Q55="","",IF(Q55&gt;=4.5,"★★★★★",IF(Q55&gt;=3.5,"★★★★☆",IF(Q55&gt;=2.5,"★★★☆☆",IF(Q55&gt;=1.5,"★★☆☆☆","★☆☆☆☆"))))))</f>
        <v/>
      </c>
      <c r="V55" s="115">
        <f>IF('Field Teams'!$I$56="Inactive","",IF(R55="","",IF(R55&gt;=4.5,"★★★★★",IF(R55&gt;=3.5,"★★★★☆",IF(R55&gt;=2.5,"★★★☆☆",IF(R55&gt;=1.5,"★★☆☆☆","★☆☆☆☆"))))))</f>
        <v/>
      </c>
      <c r="W55" s="115">
        <f>IF('Field Teams'!$I$56="Inactive","",IF(O55="","",IF(O55&gt;=4.5,"★★★★★",IF(O55&gt;=3.5,"★★★★☆",IF(O55&gt;=2.5,"★★★☆☆",IF(O55&gt;=1.5,"★★☆☆☆","★☆☆☆☆"))))))</f>
        <v/>
      </c>
      <c r="X55" s="115">
        <f>IF('Field Teams'!$I$56="Inactive","",IF(S55="","",IF(S55&gt;=4.5,"★★★★★",IF(S55&gt;=3.5,"★★★★☆",IF(S55&gt;=2.5,"★★★☆☆",IF(S55&gt;=1.5,"★★☆☆☆","★☆☆☆☆"))))))</f>
        <v/>
      </c>
      <c r="Y55" s="115">
        <f>IF('Field Teams'!$I$56="Inactive","",IF(AO55="","",IF(AO55&gt;=4.5,"★★★★★",IF(AO55&gt;=3.5,"★★★★☆",IF(AO55&gt;=2.5,"★★★☆☆",IF(AO55&gt;=1.5,"★★☆☆☆","★☆☆☆☆"))))))</f>
        <v/>
      </c>
      <c r="Z55" s="115">
        <f>IF('Field Teams'!$I$5="Inactive","",IF(T55="","",IF(T55&gt;=4.5,"★★★★★",IF(T55&gt;=3.5,"★★★★☆",IF(T55&gt;=2.5,"★★★☆☆",IF(T55&gt;=1.5,"★★☆☆☆","★☆☆☆☆"))))))</f>
        <v/>
      </c>
      <c r="AA55" s="31">
        <f>IF('Field Teams'!$I$56="Inactive","",IF(M55="YES","HIGH",IF(Q55&lt;=Settings!$D$26,"HIGH",IF(T55&lt;=Settings!$D$23,"HIGH",IF(T55&lt;=Settings!$D$24,"MEDIUM","LOW")))))</f>
        <v/>
      </c>
      <c r="AB55" s="31">
        <f>IF('Field Teams'!$I$5="Inactive",-1,IFERROR((6-T55)+(77-ROW())*0.0001,0))</f>
        <v/>
      </c>
      <c r="AC55" s="35">
        <f>IF('Field Teams'!$I$5="Inactive",999,IFERROR((6-T55)+(ROW()-3)*0.0001,99))</f>
        <v/>
      </c>
      <c r="AD55" s="31">
        <f>IF('Field Teams'!$I$56="Inactive",999,IFERROR(AB55+(ROW()-3)*0.0001,99))</f>
        <v/>
      </c>
      <c r="AE55" s="29" t="n">
        <v>0</v>
      </c>
      <c r="AF55" s="31">
        <f>IF('Field Teams'!$I$56="Inactive","",IF(AA55="HIGH","YES - within 5 working days",""))</f>
        <v/>
      </c>
      <c r="AG55" s="105" t="n"/>
      <c r="AH55" s="49">
        <f>IFERROR(SUMPRODUCT(ISNUMBER(SEARCH(B55,'Pole Results'!$A$13:$A$2000))*('Pole Results'!$B$13:$B$2000&gt;=$AG$3)*('Pole Results'!$B$13:$B$2000&lt;=$AE$3)),0)</f>
        <v/>
      </c>
      <c r="AI55" s="49">
        <f>IFERROR(SUMPRODUCT(ISNUMBER(SEARCH(B55,'Pole Results'!$A$13:$A$2000))*('Pole Results'!$B$13:$B$2000&gt;=$AG$3)*('Pole Results'!$B$13:$B$2000&lt;=$AE$3)*('Pole Results'!$E$13:$E$2000="Compliant")),0)</f>
        <v/>
      </c>
      <c r="AJ55" s="105" t="n"/>
      <c r="AK55" s="106">
        <f>IF('Field Teams'!$I$56="Inactive",-1,IF(AA55="HIGH",AB55,-1))</f>
        <v/>
      </c>
      <c r="AL55" s="106">
        <f>IF('Field Teams'!$I$56="Inactive",-1,IF(OR(AA55="HIGH",AA55="MEDIUM"),AB55,-1))</f>
        <v/>
      </c>
      <c r="AM55">
        <f>IF('Field Teams'!$I$56="Inactive","",IF(IFERROR(LOOKUP(2,1/('Historical Scores'!C56:N56&lt;&gt;""),'Historical Scores'!C56:N56),"")="","New",IF(T55=""," ",IF(T55&gt;IFERROR(LOOKUP(2,1/('Historical Scores'!C56:N56&lt;&gt;""),'Historical Scores'!C56:N56),""),"▲ Worsening",IF(T55&lt;IFERROR(LOOKUP(2,1/('Historical Scores'!C56:N56&lt;&gt;""),'Historical Scores'!C56:N56),""),"▼ Improving","► Stable")))))</f>
        <v/>
      </c>
      <c r="AN55">
        <f>IFERROR(SUMPRODUCT((ISNUMBER(SEARCH(B55,'Data - SSV'!AE$6:AE$3000)))*('Data - SSV'!AF$6:AF$3000&gt;=(AJ$3-90))*('Data - SSV'!AF$6:AF$3000&lt;=AJ$3)*('Data - SSV'!AH$6:AH$3000&lt;&gt;"")),0)</f>
        <v/>
      </c>
      <c r="AO55">
        <f>IF('Field Teams'!$I$56="Inactive","",IF(AN55=0,3,IF(AN55=1,IF(IFERROR(SUMPRODUCT((ISNUMBER(SEARCH(B55,'Data - SSV'!AE$6:AE$3000)))*('Data - SSV'!AF$6:AF$3000&gt;=(AJ$3-90))*('Data - SSV'!AF$6:AF$3000&lt;=AJ$3)*('Data - SSV'!AH$6:AH$3000&lt;&gt;"")*IF('Data - SSV'!AH$6:AH$3000="",0,'Data - SSV'!AH$6:AH$3000))/AN55,3)=4,4,IF(IFERROR(SUMPRODUCT((ISNUMBER(SEARCH(B55,'Data - SSV'!AE$6:AE$3000)))*('Data - SSV'!AF$6:AF$3000&gt;=(AJ$3-90))*('Data - SSV'!AF$6:AF$3000&lt;=AJ$3)*('Data - SSV'!AH$6:AH$3000&lt;&gt;"")*IF('Data - SSV'!AH$6:AH$3000="",0,'Data - SSV'!AH$6:AH$3000))/AN55,3)&gt;=3,3,IF(IFERROR(SUMPRODUCT((ISNUMBER(SEARCH(B55,'Data - SSV'!AE$6:AE$3000)))*('Data - SSV'!AF$6:AF$3000&gt;=(AJ$3-90))*('Data - SSV'!AF$6:AF$3000&lt;=AJ$3)*('Data - SSV'!AH$6:AH$3000&lt;&gt;"")*IF('Data - SSV'!AH$6:AH$3000="",0,'Data - SSV'!AH$6:AH$3000))/AN55,3)&gt;=2,2,1))),IF(IFERROR(SUMPRODUCT((ISNUMBER(SEARCH(B55,'Data - SSV'!AE$6:AE$3000)))*('Data - SSV'!AF$6:AF$3000&gt;=(AJ$3-90))*('Data - SSV'!AF$6:AF$3000&lt;=AJ$3)*('Data - SSV'!AH$6:AH$3000&lt;&gt;"")*IF('Data - SSV'!AH$6:AH$3000="",0,'Data - SSV'!AH$6:AH$3000))/AN55,3)=4,5,IF(IFERROR(SUMPRODUCT((ISNUMBER(SEARCH(B55,'Data - SSV'!AE$6:AE$3000)))*('Data - SSV'!AF$6:AF$3000&gt;=(AJ$3-90))*('Data - SSV'!AF$6:AF$3000&lt;=AJ$3)*('Data - SSV'!AH$6:AH$3000&lt;&gt;"")*IF('Data - SSV'!AH$6:AH$3000="",0,'Data - SSV'!AH$6:AH$3000))/AN55,3)&gt;=3.5,4,IF(IFERROR(SUMPRODUCT((ISNUMBER(SEARCH(B55,'Data - SSV'!AE$6:AE$3000)))*('Data - SSV'!AF$6:AF$3000&gt;=(AJ$3-90))*('Data - SSV'!AF$6:AF$3000&lt;=AJ$3)*('Data - SSV'!AH$6:AH$3000&lt;&gt;"")*IF('Data - SSV'!AH$6:AH$3000="",0,'Data - SSV'!AH$6:AH$3000))/AN55,3)&gt;=3,3,IF(IFERROR(SUMPRODUCT((ISNUMBER(SEARCH(B55,'Data - SSV'!AE$6:AE$3000)))*('Data - SSV'!AF$6:AF$3000&gt;=(AJ$3-90))*('Data - SSV'!AF$6:AF$3000&lt;=AJ$3)*('Data - SSV'!AH$6:AH$3000&lt;&gt;"")*IF('Data - SSV'!AH$6:AH$3000="",0,'Data - SSV'!AH$6:AH$3000))/AN55,3)&gt;=2,2,1)))))))</f>
        <v/>
      </c>
    </row>
    <row r="56" ht="19.5" customHeight="1" s="146">
      <c r="A56" s="10">
        <f>'Field Teams'!A57</f>
        <v/>
      </c>
      <c r="B56" s="30">
        <f>'Field Teams'!B57</f>
        <v/>
      </c>
      <c r="C56" s="30">
        <f>'Field Teams'!C57</f>
        <v/>
      </c>
      <c r="D56" s="10">
        <f>'Field Teams'!D57</f>
        <v/>
      </c>
      <c r="E56" s="10">
        <f>'Field Teams'!E57</f>
        <v/>
      </c>
      <c r="F56" s="10">
        <f>'Field Teams'!F57</f>
        <v/>
      </c>
      <c r="G56" s="10">
        <f>'Field Teams'!G57</f>
        <v/>
      </c>
      <c r="H56" s="31">
        <f>'Field Teams'!H57</f>
        <v/>
      </c>
      <c r="I56" s="31">
        <f>H56*2</f>
        <v/>
      </c>
      <c r="J56" s="31">
        <f>IFERROR(SUMPRODUCT((((ISNUMBER(SEARCH(B56,'Data - HSQE Events'!V$6:V$3000))+ISNUMBER(SEARCH(B56,'Data - HSQE Events'!H$6:H$3000)))&gt;0))*('Data - HSQE Events'!F$6:F$3000&gt;=$AG$3)*('Data - HSQE Events'!F$6:F$3000&lt;=$AJ$3)*('Data - HSQE Events'!R$6:R$3000="Opportunity")),0)</f>
        <v/>
      </c>
      <c r="K56" s="31">
        <f>IFERROR(SUMPRODUCT((((ISNUMBER(SEARCH(B56,'Data - HSQE Events'!V$6:V$3000))+ISNUMBER(SEARCH(B56,'Data - HSQE Events'!H$6:H$3000)))&gt;0))*('Data - HSQE Events'!F$6:F$3000&gt;=$AG$3)*('Data - HSQE Events'!F$6:F$3000&lt;=$AJ$3)*('Data - HSQE Events'!R$6:R$3000="Minor")),0)</f>
        <v/>
      </c>
      <c r="L56" s="31">
        <f>IFERROR(SUMPRODUCT((((ISNUMBER(SEARCH(B56,'Data - HSQE Events'!V$6:V$3000))+ISNUMBER(SEARCH(B56,'Data - HSQE Events'!H$6:H$3000)))&gt;0))*('Data - HSQE Events'!F$6:F$3000&gt;=$AG$3)*('Data - HSQE Events'!F$6:F$3000&lt;=$AJ$3)*(('Data - HSQE Events'!R$6:R$3000="Moderate")+('Data - HSQE Events'!R$6:R$3000="Major"))),0)</f>
        <v/>
      </c>
      <c r="M56" s="31">
        <f>IF(IFERROR(SUMPRODUCT((((ISNUMBER(SEARCH(B56,'Data - HSQE Events'!V$6:V$3000))+ISNUMBER(SEARCH(B56,'Data - HSQE Events'!H$6:H$3000)))&gt;0))*('Data - HSQE Events'!F$6:F$3000&gt;=$AG$3)*('Data - HSQE Events'!F$6:F$3000&lt;=$AJ$3)*('Data - HSQE Events'!R$6:R$3000="Major")),0)&gt;0,"YES","NO")</f>
        <v/>
      </c>
      <c r="N56" s="31">
        <f>IFERROR(SUMPRODUCT(('Data - Skillko'!B$6:B$3000=B56)*('Data - Skillko'!C$6:C$3000="Total")*('Data - Skillko'!E$6:E$3000))*100,0)</f>
        <v/>
      </c>
      <c r="O56" s="31">
        <f>ROUND(MAX(1,MIN(5,1+N56/100*4)),1)</f>
        <v/>
      </c>
      <c r="P56" s="31">
        <f>IFERROR(SUMPRODUCT(ISNUMBER(SEARCH(B56,'Pole Results'!$A$13:$A$2000))*('Pole Results'!$B$13:$B$2000&gt;=$AG$3)*('Pole Results'!$B$13:$B$2000&lt;=$AE$3)*('Pole Results'!$E$13:$E$2000="Non-Compliant")),0)</f>
        <v/>
      </c>
      <c r="Q56" s="31">
        <f>IF(I56=0,1,IFERROR(ROUND(MAX(1,MIN(5,1+J56/I56*4)),1),3))</f>
        <v/>
      </c>
      <c r="R56" s="31">
        <f>ROUND(6-MAX(MIN(5,K56*0.8+1),MIN(5,L56*2+1)),1)</f>
        <v/>
      </c>
      <c r="S56" s="49">
        <f>IFERROR(ROUND(MAX(1,MIN(5,5-(P56/MAX(1,AI56))*4)),1),5)</f>
        <v/>
      </c>
      <c r="T56" s="31">
        <f>IF('Field Teams'!$I$57="Inactive","",ROUND((Q56*Settings!$D$6+R56*Settings!$D$7+O56*Settings!$D$10+S56*Settings!$D$12+AO56*Settings!$D$13)/Settings!$D$14,1))</f>
        <v/>
      </c>
      <c r="U56" s="115">
        <f>IF('Field Teams'!$I$57="Inactive","",IF(Q56="","",IF(Q56&gt;=4.5,"★★★★★",IF(Q56&gt;=3.5,"★★★★☆",IF(Q56&gt;=2.5,"★★★☆☆",IF(Q56&gt;=1.5,"★★☆☆☆","★☆☆☆☆"))))))</f>
        <v/>
      </c>
      <c r="V56" s="115">
        <f>IF('Field Teams'!$I$57="Inactive","",IF(R56="","",IF(R56&gt;=4.5,"★★★★★",IF(R56&gt;=3.5,"★★★★☆",IF(R56&gt;=2.5,"★★★☆☆",IF(R56&gt;=1.5,"★★☆☆☆","★☆☆☆☆"))))))</f>
        <v/>
      </c>
      <c r="W56" s="115">
        <f>IF('Field Teams'!$I$57="Inactive","",IF(O56="","",IF(O56&gt;=4.5,"★★★★★",IF(O56&gt;=3.5,"★★★★☆",IF(O56&gt;=2.5,"★★★☆☆",IF(O56&gt;=1.5,"★★☆☆☆","★☆☆☆☆"))))))</f>
        <v/>
      </c>
      <c r="X56" s="115">
        <f>IF('Field Teams'!$I$57="Inactive","",IF(S56="","",IF(S56&gt;=4.5,"★★★★★",IF(S56&gt;=3.5,"★★★★☆",IF(S56&gt;=2.5,"★★★☆☆",IF(S56&gt;=1.5,"★★☆☆☆","★☆☆☆☆"))))))</f>
        <v/>
      </c>
      <c r="Y56" s="115">
        <f>IF('Field Teams'!$I$57="Inactive","",IF(AO56="","",IF(AO56&gt;=4.5,"★★★★★",IF(AO56&gt;=3.5,"★★★★☆",IF(AO56&gt;=2.5,"★★★☆☆",IF(AO56&gt;=1.5,"★★☆☆☆","★☆☆☆☆"))))))</f>
        <v/>
      </c>
      <c r="Z56" s="115">
        <f>IF('Field Teams'!$I$5="Inactive","",IF(T56="","",IF(T56&gt;=4.5,"★★★★★",IF(T56&gt;=3.5,"★★★★☆",IF(T56&gt;=2.5,"★★★☆☆",IF(T56&gt;=1.5,"★★☆☆☆","★☆☆☆☆"))))))</f>
        <v/>
      </c>
      <c r="AA56" s="31">
        <f>IF('Field Teams'!$I$57="Inactive","",IF(M56="YES","HIGH",IF(Q56&lt;=Settings!$D$26,"HIGH",IF(T56&lt;=Settings!$D$23,"HIGH",IF(T56&lt;=Settings!$D$24,"MEDIUM","LOW")))))</f>
        <v/>
      </c>
      <c r="AB56" s="31">
        <f>IF('Field Teams'!$I$5="Inactive",-1,IFERROR((6-T56)+(77-ROW())*0.0001,0))</f>
        <v/>
      </c>
      <c r="AC56" s="35">
        <f>IF('Field Teams'!$I$5="Inactive",999,IFERROR((6-T56)+(ROW()-3)*0.0001,99))</f>
        <v/>
      </c>
      <c r="AD56" s="31">
        <f>IF('Field Teams'!$I$57="Inactive",999,IFERROR(AB56+(ROW()-3)*0.0001,99))</f>
        <v/>
      </c>
      <c r="AE56" s="29" t="n">
        <v>0</v>
      </c>
      <c r="AF56" s="31">
        <f>IF('Field Teams'!$I$57="Inactive","",IF(AA56="HIGH","YES - within 5 working days",""))</f>
        <v/>
      </c>
      <c r="AG56" s="105" t="n"/>
      <c r="AH56" s="49">
        <f>IFERROR(SUMPRODUCT(ISNUMBER(SEARCH(B56,'Pole Results'!$A$13:$A$2000))*('Pole Results'!$B$13:$B$2000&gt;=$AG$3)*('Pole Results'!$B$13:$B$2000&lt;=$AE$3)),0)</f>
        <v/>
      </c>
      <c r="AI56" s="49">
        <f>IFERROR(SUMPRODUCT(ISNUMBER(SEARCH(B56,'Pole Results'!$A$13:$A$2000))*('Pole Results'!$B$13:$B$2000&gt;=$AG$3)*('Pole Results'!$B$13:$B$2000&lt;=$AE$3)*('Pole Results'!$E$13:$E$2000="Compliant")),0)</f>
        <v/>
      </c>
      <c r="AJ56" s="105" t="n"/>
      <c r="AK56" s="106">
        <f>IF('Field Teams'!$I$57="Inactive",-1,IF(AA56="HIGH",AB56,-1))</f>
        <v/>
      </c>
      <c r="AL56" s="106">
        <f>IF('Field Teams'!$I$57="Inactive",-1,IF(OR(AA56="HIGH",AA56="MEDIUM"),AB56,-1))</f>
        <v/>
      </c>
      <c r="AM56">
        <f>IF('Field Teams'!$I$57="Inactive","",IF(IFERROR(LOOKUP(2,1/('Historical Scores'!C57:N57&lt;&gt;""),'Historical Scores'!C57:N57),"")="","New",IF(T56=""," ",IF(T56&gt;IFERROR(LOOKUP(2,1/('Historical Scores'!C57:N57&lt;&gt;""),'Historical Scores'!C57:N57),""),"▲ Worsening",IF(T56&lt;IFERROR(LOOKUP(2,1/('Historical Scores'!C57:N57&lt;&gt;""),'Historical Scores'!C57:N57),""),"▼ Improving","► Stable")))))</f>
        <v/>
      </c>
      <c r="AN56">
        <f>IFERROR(SUMPRODUCT((ISNUMBER(SEARCH(B56,'Data - SSV'!AE$6:AE$3000)))*('Data - SSV'!AF$6:AF$3000&gt;=(AJ$3-90))*('Data - SSV'!AF$6:AF$3000&lt;=AJ$3)*('Data - SSV'!AH$6:AH$3000&lt;&gt;"")),0)</f>
        <v/>
      </c>
      <c r="AO56">
        <f>IF('Field Teams'!$I$57="Inactive","",IF(AN56=0,3,IF(AN56=1,IF(IFERROR(SUMPRODUCT((ISNUMBER(SEARCH(B56,'Data - SSV'!AE$6:AE$3000)))*('Data - SSV'!AF$6:AF$3000&gt;=(AJ$3-90))*('Data - SSV'!AF$6:AF$3000&lt;=AJ$3)*('Data - SSV'!AH$6:AH$3000&lt;&gt;"")*IF('Data - SSV'!AH$6:AH$3000="",0,'Data - SSV'!AH$6:AH$3000))/AN56,3)=4,4,IF(IFERROR(SUMPRODUCT((ISNUMBER(SEARCH(B56,'Data - SSV'!AE$6:AE$3000)))*('Data - SSV'!AF$6:AF$3000&gt;=(AJ$3-90))*('Data - SSV'!AF$6:AF$3000&lt;=AJ$3)*('Data - SSV'!AH$6:AH$3000&lt;&gt;"")*IF('Data - SSV'!AH$6:AH$3000="",0,'Data - SSV'!AH$6:AH$3000))/AN56,3)&gt;=3,3,IF(IFERROR(SUMPRODUCT((ISNUMBER(SEARCH(B56,'Data - SSV'!AE$6:AE$3000)))*('Data - SSV'!AF$6:AF$3000&gt;=(AJ$3-90))*('Data - SSV'!AF$6:AF$3000&lt;=AJ$3)*('Data - SSV'!AH$6:AH$3000&lt;&gt;"")*IF('Data - SSV'!AH$6:AH$3000="",0,'Data - SSV'!AH$6:AH$3000))/AN56,3)&gt;=2,2,1))),IF(IFERROR(SUMPRODUCT((ISNUMBER(SEARCH(B56,'Data - SSV'!AE$6:AE$3000)))*('Data - SSV'!AF$6:AF$3000&gt;=(AJ$3-90))*('Data - SSV'!AF$6:AF$3000&lt;=AJ$3)*('Data - SSV'!AH$6:AH$3000&lt;&gt;"")*IF('Data - SSV'!AH$6:AH$3000="",0,'Data - SSV'!AH$6:AH$3000))/AN56,3)=4,5,IF(IFERROR(SUMPRODUCT((ISNUMBER(SEARCH(B56,'Data - SSV'!AE$6:AE$3000)))*('Data - SSV'!AF$6:AF$3000&gt;=(AJ$3-90))*('Data - SSV'!AF$6:AF$3000&lt;=AJ$3)*('Data - SSV'!AH$6:AH$3000&lt;&gt;"")*IF('Data - SSV'!AH$6:AH$3000="",0,'Data - SSV'!AH$6:AH$3000))/AN56,3)&gt;=3.5,4,IF(IFERROR(SUMPRODUCT((ISNUMBER(SEARCH(B56,'Data - SSV'!AE$6:AE$3000)))*('Data - SSV'!AF$6:AF$3000&gt;=(AJ$3-90))*('Data - SSV'!AF$6:AF$3000&lt;=AJ$3)*('Data - SSV'!AH$6:AH$3000&lt;&gt;"")*IF('Data - SSV'!AH$6:AH$3000="",0,'Data - SSV'!AH$6:AH$3000))/AN56,3)&gt;=3,3,IF(IFERROR(SUMPRODUCT((ISNUMBER(SEARCH(B56,'Data - SSV'!AE$6:AE$3000)))*('Data - SSV'!AF$6:AF$3000&gt;=(AJ$3-90))*('Data - SSV'!AF$6:AF$3000&lt;=AJ$3)*('Data - SSV'!AH$6:AH$3000&lt;&gt;"")*IF('Data - SSV'!AH$6:AH$3000="",0,'Data - SSV'!AH$6:AH$3000))/AN56,3)&gt;=2,2,1)))))))</f>
        <v/>
      </c>
    </row>
    <row r="57" ht="19.5" customHeight="1" s="146">
      <c r="A57" s="6">
        <f>'Field Teams'!A58</f>
        <v/>
      </c>
      <c r="B57" s="28">
        <f>'Field Teams'!B58</f>
        <v/>
      </c>
      <c r="C57" s="28">
        <f>'Field Teams'!C58</f>
        <v/>
      </c>
      <c r="D57" s="6">
        <f>'Field Teams'!D58</f>
        <v/>
      </c>
      <c r="E57" s="6">
        <f>'Field Teams'!E58</f>
        <v/>
      </c>
      <c r="F57" s="6">
        <f>'Field Teams'!F58</f>
        <v/>
      </c>
      <c r="G57" s="6">
        <f>'Field Teams'!G58</f>
        <v/>
      </c>
      <c r="H57" s="31">
        <f>'Field Teams'!H58</f>
        <v/>
      </c>
      <c r="I57" s="31">
        <f>H57*2</f>
        <v/>
      </c>
      <c r="J57" s="31">
        <f>IFERROR(SUMPRODUCT((((ISNUMBER(SEARCH(B57,'Data - HSQE Events'!V$6:V$3000))+ISNUMBER(SEARCH(B57,'Data - HSQE Events'!H$6:H$3000)))&gt;0))*('Data - HSQE Events'!F$6:F$3000&gt;=$AG$3)*('Data - HSQE Events'!F$6:F$3000&lt;=$AJ$3)*('Data - HSQE Events'!R$6:R$3000="Opportunity")),0)</f>
        <v/>
      </c>
      <c r="K57" s="31">
        <f>IFERROR(SUMPRODUCT((((ISNUMBER(SEARCH(B57,'Data - HSQE Events'!V$6:V$3000))+ISNUMBER(SEARCH(B57,'Data - HSQE Events'!H$6:H$3000)))&gt;0))*('Data - HSQE Events'!F$6:F$3000&gt;=$AG$3)*('Data - HSQE Events'!F$6:F$3000&lt;=$AJ$3)*('Data - HSQE Events'!R$6:R$3000="Minor")),0)</f>
        <v/>
      </c>
      <c r="L57" s="31">
        <f>IFERROR(SUMPRODUCT((((ISNUMBER(SEARCH(B57,'Data - HSQE Events'!V$6:V$3000))+ISNUMBER(SEARCH(B57,'Data - HSQE Events'!H$6:H$3000)))&gt;0))*('Data - HSQE Events'!F$6:F$3000&gt;=$AG$3)*('Data - HSQE Events'!F$6:F$3000&lt;=$AJ$3)*(('Data - HSQE Events'!R$6:R$3000="Moderate")+('Data - HSQE Events'!R$6:R$3000="Major"))),0)</f>
        <v/>
      </c>
      <c r="M57" s="31">
        <f>IF(IFERROR(SUMPRODUCT((((ISNUMBER(SEARCH(B57,'Data - HSQE Events'!V$6:V$3000))+ISNUMBER(SEARCH(B57,'Data - HSQE Events'!H$6:H$3000)))&gt;0))*('Data - HSQE Events'!F$6:F$3000&gt;=$AG$3)*('Data - HSQE Events'!F$6:F$3000&lt;=$AJ$3)*('Data - HSQE Events'!R$6:R$3000="Major")),0)&gt;0,"YES","NO")</f>
        <v/>
      </c>
      <c r="N57" s="31">
        <f>IFERROR(SUMPRODUCT(('Data - Skillko'!B$6:B$3000=B57)*('Data - Skillko'!C$6:C$3000="Total")*('Data - Skillko'!E$6:E$3000))*100,0)</f>
        <v/>
      </c>
      <c r="O57" s="31">
        <f>ROUND(MAX(1,MIN(5,1+N57/100*4)),1)</f>
        <v/>
      </c>
      <c r="P57" s="31">
        <f>IFERROR(SUMPRODUCT(ISNUMBER(SEARCH(B57,'Pole Results'!$A$13:$A$2000))*('Pole Results'!$B$13:$B$2000&gt;=$AG$3)*('Pole Results'!$B$13:$B$2000&lt;=$AE$3)*('Pole Results'!$E$13:$E$2000="Non-Compliant")),0)</f>
        <v/>
      </c>
      <c r="Q57" s="31">
        <f>IF(I57=0,1,IFERROR(ROUND(MAX(1,MIN(5,1+J57/I57*4)),1),3))</f>
        <v/>
      </c>
      <c r="R57" s="31">
        <f>ROUND(6-MAX(MIN(5,K57*0.8+1),MIN(5,L57*2+1)),1)</f>
        <v/>
      </c>
      <c r="S57" s="49">
        <f>IFERROR(ROUND(MAX(1,MIN(5,5-(P57/MAX(1,AI57))*4)),1),5)</f>
        <v/>
      </c>
      <c r="T57" s="31">
        <f>IF('Field Teams'!$I$58="Inactive","",ROUND((Q57*Settings!$D$6+R57*Settings!$D$7+O57*Settings!$D$10+S57*Settings!$D$12+AO57*Settings!$D$13)/Settings!$D$14,1))</f>
        <v/>
      </c>
      <c r="U57" s="115">
        <f>IF('Field Teams'!$I$58="Inactive","",IF(Q57="","",IF(Q57&gt;=4.5,"★★★★★",IF(Q57&gt;=3.5,"★★★★☆",IF(Q57&gt;=2.5,"★★★☆☆",IF(Q57&gt;=1.5,"★★☆☆☆","★☆☆☆☆"))))))</f>
        <v/>
      </c>
      <c r="V57" s="115">
        <f>IF('Field Teams'!$I$58="Inactive","",IF(R57="","",IF(R57&gt;=4.5,"★★★★★",IF(R57&gt;=3.5,"★★★★☆",IF(R57&gt;=2.5,"★★★☆☆",IF(R57&gt;=1.5,"★★☆☆☆","★☆☆☆☆"))))))</f>
        <v/>
      </c>
      <c r="W57" s="115">
        <f>IF('Field Teams'!$I$58="Inactive","",IF(O57="","",IF(O57&gt;=4.5,"★★★★★",IF(O57&gt;=3.5,"★★★★☆",IF(O57&gt;=2.5,"★★★☆☆",IF(O57&gt;=1.5,"★★☆☆☆","★☆☆☆☆"))))))</f>
        <v/>
      </c>
      <c r="X57" s="115">
        <f>IF('Field Teams'!$I$58="Inactive","",IF(S57="","",IF(S57&gt;=4.5,"★★★★★",IF(S57&gt;=3.5,"★★★★☆",IF(S57&gt;=2.5,"★★★☆☆",IF(S57&gt;=1.5,"★★☆☆☆","★☆☆☆☆"))))))</f>
        <v/>
      </c>
      <c r="Y57" s="115">
        <f>IF('Field Teams'!$I$58="Inactive","",IF(AO57="","",IF(AO57&gt;=4.5,"★★★★★",IF(AO57&gt;=3.5,"★★★★☆",IF(AO57&gt;=2.5,"★★★☆☆",IF(AO57&gt;=1.5,"★★☆☆☆","★☆☆☆☆"))))))</f>
        <v/>
      </c>
      <c r="Z57" s="115">
        <f>IF('Field Teams'!$I$5="Inactive","",IF(T57="","",IF(T57&gt;=4.5,"★★★★★",IF(T57&gt;=3.5,"★★★★☆",IF(T57&gt;=2.5,"★★★☆☆",IF(T57&gt;=1.5,"★★☆☆☆","★☆☆☆☆"))))))</f>
        <v/>
      </c>
      <c r="AA57" s="31">
        <f>IF('Field Teams'!$I$58="Inactive","",IF(M57="YES","HIGH",IF(Q57&lt;=Settings!$D$26,"HIGH",IF(T57&lt;=Settings!$D$23,"HIGH",IF(T57&lt;=Settings!$D$24,"MEDIUM","LOW")))))</f>
        <v/>
      </c>
      <c r="AB57" s="31">
        <f>IF('Field Teams'!$I$5="Inactive",-1,IFERROR((6-T57)+(77-ROW())*0.0001,0))</f>
        <v/>
      </c>
      <c r="AC57" s="35">
        <f>IF('Field Teams'!$I$5="Inactive",999,IFERROR((6-T57)+(ROW()-3)*0.0001,99))</f>
        <v/>
      </c>
      <c r="AD57" s="31">
        <f>IF('Field Teams'!$I$58="Inactive",999,IFERROR(AB57+(ROW()-3)*0.0001,99))</f>
        <v/>
      </c>
      <c r="AE57" s="29" t="n">
        <v>0</v>
      </c>
      <c r="AF57" s="31">
        <f>IF('Field Teams'!$I$58="Inactive","",IF(AA57="HIGH","YES - within 5 working days",""))</f>
        <v/>
      </c>
      <c r="AG57" s="105" t="n"/>
      <c r="AH57" s="49">
        <f>IFERROR(SUMPRODUCT(ISNUMBER(SEARCH(B57,'Pole Results'!$A$13:$A$2000))*('Pole Results'!$B$13:$B$2000&gt;=$AG$3)*('Pole Results'!$B$13:$B$2000&lt;=$AE$3)),0)</f>
        <v/>
      </c>
      <c r="AI57" s="49">
        <f>IFERROR(SUMPRODUCT(ISNUMBER(SEARCH(B57,'Pole Results'!$A$13:$A$2000))*('Pole Results'!$B$13:$B$2000&gt;=$AG$3)*('Pole Results'!$B$13:$B$2000&lt;=$AE$3)*('Pole Results'!$E$13:$E$2000="Compliant")),0)</f>
        <v/>
      </c>
      <c r="AJ57" s="105" t="n"/>
      <c r="AK57" s="106">
        <f>IF('Field Teams'!$I$58="Inactive",-1,IF(AA57="HIGH",AB57,-1))</f>
        <v/>
      </c>
      <c r="AL57" s="106">
        <f>IF('Field Teams'!$I$58="Inactive",-1,IF(OR(AA57="HIGH",AA57="MEDIUM"),AB57,-1))</f>
        <v/>
      </c>
      <c r="AM57">
        <f>IF('Field Teams'!$I$58="Inactive","",IF(IFERROR(LOOKUP(2,1/('Historical Scores'!C58:N58&lt;&gt;""),'Historical Scores'!C58:N58),"")="","New",IF(T57=""," ",IF(T57&gt;IFERROR(LOOKUP(2,1/('Historical Scores'!C58:N58&lt;&gt;""),'Historical Scores'!C58:N58),""),"▲ Worsening",IF(T57&lt;IFERROR(LOOKUP(2,1/('Historical Scores'!C58:N58&lt;&gt;""),'Historical Scores'!C58:N58),""),"▼ Improving","► Stable")))))</f>
        <v/>
      </c>
      <c r="AN57">
        <f>IFERROR(SUMPRODUCT((ISNUMBER(SEARCH(B57,'Data - SSV'!AE$6:AE$3000)))*('Data - SSV'!AF$6:AF$3000&gt;=(AJ$3-90))*('Data - SSV'!AF$6:AF$3000&lt;=AJ$3)*('Data - SSV'!AH$6:AH$3000&lt;&gt;"")),0)</f>
        <v/>
      </c>
      <c r="AO57">
        <f>IF('Field Teams'!$I$58="Inactive","",IF(AN57=0,3,IF(AN57=1,IF(IFERROR(SUMPRODUCT((ISNUMBER(SEARCH(B57,'Data - SSV'!AE$6:AE$3000)))*('Data - SSV'!AF$6:AF$3000&gt;=(AJ$3-90))*('Data - SSV'!AF$6:AF$3000&lt;=AJ$3)*('Data - SSV'!AH$6:AH$3000&lt;&gt;"")*IF('Data - SSV'!AH$6:AH$3000="",0,'Data - SSV'!AH$6:AH$3000))/AN57,3)=4,4,IF(IFERROR(SUMPRODUCT((ISNUMBER(SEARCH(B57,'Data - SSV'!AE$6:AE$3000)))*('Data - SSV'!AF$6:AF$3000&gt;=(AJ$3-90))*('Data - SSV'!AF$6:AF$3000&lt;=AJ$3)*('Data - SSV'!AH$6:AH$3000&lt;&gt;"")*IF('Data - SSV'!AH$6:AH$3000="",0,'Data - SSV'!AH$6:AH$3000))/AN57,3)&gt;=3,3,IF(IFERROR(SUMPRODUCT((ISNUMBER(SEARCH(B57,'Data - SSV'!AE$6:AE$3000)))*('Data - SSV'!AF$6:AF$3000&gt;=(AJ$3-90))*('Data - SSV'!AF$6:AF$3000&lt;=AJ$3)*('Data - SSV'!AH$6:AH$3000&lt;&gt;"")*IF('Data - SSV'!AH$6:AH$3000="",0,'Data - SSV'!AH$6:AH$3000))/AN57,3)&gt;=2,2,1))),IF(IFERROR(SUMPRODUCT((ISNUMBER(SEARCH(B57,'Data - SSV'!AE$6:AE$3000)))*('Data - SSV'!AF$6:AF$3000&gt;=(AJ$3-90))*('Data - SSV'!AF$6:AF$3000&lt;=AJ$3)*('Data - SSV'!AH$6:AH$3000&lt;&gt;"")*IF('Data - SSV'!AH$6:AH$3000="",0,'Data - SSV'!AH$6:AH$3000))/AN57,3)=4,5,IF(IFERROR(SUMPRODUCT((ISNUMBER(SEARCH(B57,'Data - SSV'!AE$6:AE$3000)))*('Data - SSV'!AF$6:AF$3000&gt;=(AJ$3-90))*('Data - SSV'!AF$6:AF$3000&lt;=AJ$3)*('Data - SSV'!AH$6:AH$3000&lt;&gt;"")*IF('Data - SSV'!AH$6:AH$3000="",0,'Data - SSV'!AH$6:AH$3000))/AN57,3)&gt;=3.5,4,IF(IFERROR(SUMPRODUCT((ISNUMBER(SEARCH(B57,'Data - SSV'!AE$6:AE$3000)))*('Data - SSV'!AF$6:AF$3000&gt;=(AJ$3-90))*('Data - SSV'!AF$6:AF$3000&lt;=AJ$3)*('Data - SSV'!AH$6:AH$3000&lt;&gt;"")*IF('Data - SSV'!AH$6:AH$3000="",0,'Data - SSV'!AH$6:AH$3000))/AN57,3)&gt;=3,3,IF(IFERROR(SUMPRODUCT((ISNUMBER(SEARCH(B57,'Data - SSV'!AE$6:AE$3000)))*('Data - SSV'!AF$6:AF$3000&gt;=(AJ$3-90))*('Data - SSV'!AF$6:AF$3000&lt;=AJ$3)*('Data - SSV'!AH$6:AH$3000&lt;&gt;"")*IF('Data - SSV'!AH$6:AH$3000="",0,'Data - SSV'!AH$6:AH$3000))/AN57,3)&gt;=2,2,1)))))))</f>
        <v/>
      </c>
    </row>
    <row r="58" ht="19.5" customHeight="1" s="146">
      <c r="A58" s="10">
        <f>'Field Teams'!A59</f>
        <v/>
      </c>
      <c r="B58" s="30">
        <f>'Field Teams'!B59</f>
        <v/>
      </c>
      <c r="C58" s="30">
        <f>'Field Teams'!C59</f>
        <v/>
      </c>
      <c r="D58" s="10">
        <f>'Field Teams'!D59</f>
        <v/>
      </c>
      <c r="E58" s="10">
        <f>'Field Teams'!E59</f>
        <v/>
      </c>
      <c r="F58" s="10">
        <f>'Field Teams'!F59</f>
        <v/>
      </c>
      <c r="G58" s="10">
        <f>'Field Teams'!G59</f>
        <v/>
      </c>
      <c r="H58" s="31">
        <f>'Field Teams'!H59</f>
        <v/>
      </c>
      <c r="I58" s="31">
        <f>H58*2</f>
        <v/>
      </c>
      <c r="J58" s="31">
        <f>IFERROR(SUMPRODUCT((((ISNUMBER(SEARCH(B58,'Data - HSQE Events'!V$6:V$3000))+ISNUMBER(SEARCH(B58,'Data - HSQE Events'!H$6:H$3000)))&gt;0))*('Data - HSQE Events'!F$6:F$3000&gt;=$AG$3)*('Data - HSQE Events'!F$6:F$3000&lt;=$AJ$3)*('Data - HSQE Events'!R$6:R$3000="Opportunity")),0)</f>
        <v/>
      </c>
      <c r="K58" s="31">
        <f>IFERROR(SUMPRODUCT((((ISNUMBER(SEARCH(B58,'Data - HSQE Events'!V$6:V$3000))+ISNUMBER(SEARCH(B58,'Data - HSQE Events'!H$6:H$3000)))&gt;0))*('Data - HSQE Events'!F$6:F$3000&gt;=$AG$3)*('Data - HSQE Events'!F$6:F$3000&lt;=$AJ$3)*('Data - HSQE Events'!R$6:R$3000="Minor")),0)</f>
        <v/>
      </c>
      <c r="L58" s="31">
        <f>IFERROR(SUMPRODUCT((((ISNUMBER(SEARCH(B58,'Data - HSQE Events'!V$6:V$3000))+ISNUMBER(SEARCH(B58,'Data - HSQE Events'!H$6:H$3000)))&gt;0))*('Data - HSQE Events'!F$6:F$3000&gt;=$AG$3)*('Data - HSQE Events'!F$6:F$3000&lt;=$AJ$3)*(('Data - HSQE Events'!R$6:R$3000="Moderate")+('Data - HSQE Events'!R$6:R$3000="Major"))),0)</f>
        <v/>
      </c>
      <c r="M58" s="31">
        <f>IF(IFERROR(SUMPRODUCT((((ISNUMBER(SEARCH(B58,'Data - HSQE Events'!V$6:V$3000))+ISNUMBER(SEARCH(B58,'Data - HSQE Events'!H$6:H$3000)))&gt;0))*('Data - HSQE Events'!F$6:F$3000&gt;=$AG$3)*('Data - HSQE Events'!F$6:F$3000&lt;=$AJ$3)*('Data - HSQE Events'!R$6:R$3000="Major")),0)&gt;0,"YES","NO")</f>
        <v/>
      </c>
      <c r="N58" s="31">
        <f>IFERROR(SUMPRODUCT(('Data - Skillko'!B$6:B$3000=B58)*('Data - Skillko'!C$6:C$3000="Total")*('Data - Skillko'!E$6:E$3000))*100,0)</f>
        <v/>
      </c>
      <c r="O58" s="31">
        <f>ROUND(MAX(1,MIN(5,1+N58/100*4)),1)</f>
        <v/>
      </c>
      <c r="P58" s="31">
        <f>IFERROR(SUMPRODUCT(ISNUMBER(SEARCH(B58,'Pole Results'!$A$13:$A$2000))*('Pole Results'!$B$13:$B$2000&gt;=$AG$3)*('Pole Results'!$B$13:$B$2000&lt;=$AE$3)*('Pole Results'!$E$13:$E$2000="Non-Compliant")),0)</f>
        <v/>
      </c>
      <c r="Q58" s="31">
        <f>IF(I58=0,1,IFERROR(ROUND(MAX(1,MIN(5,1+J58/I58*4)),1),3))</f>
        <v/>
      </c>
      <c r="R58" s="31">
        <f>ROUND(6-MAX(MIN(5,K58*0.8+1),MIN(5,L58*2+1)),1)</f>
        <v/>
      </c>
      <c r="S58" s="49">
        <f>IFERROR(ROUND(MAX(1,MIN(5,5-(P58/MAX(1,AI58))*4)),1),5)</f>
        <v/>
      </c>
      <c r="T58" s="31">
        <f>IF('Field Teams'!$I$59="Inactive","",ROUND((Q58*Settings!$D$6+R58*Settings!$D$7+O58*Settings!$D$10+S58*Settings!$D$12+AO58*Settings!$D$13)/Settings!$D$14,1))</f>
        <v/>
      </c>
      <c r="U58" s="115">
        <f>IF('Field Teams'!$I$59="Inactive","",IF(Q58="","",IF(Q58&gt;=4.5,"★★★★★",IF(Q58&gt;=3.5,"★★★★☆",IF(Q58&gt;=2.5,"★★★☆☆",IF(Q58&gt;=1.5,"★★☆☆☆","★☆☆☆☆"))))))</f>
        <v/>
      </c>
      <c r="V58" s="115">
        <f>IF('Field Teams'!$I$59="Inactive","",IF(R58="","",IF(R58&gt;=4.5,"★★★★★",IF(R58&gt;=3.5,"★★★★☆",IF(R58&gt;=2.5,"★★★☆☆",IF(R58&gt;=1.5,"★★☆☆☆","★☆☆☆☆"))))))</f>
        <v/>
      </c>
      <c r="W58" s="115">
        <f>IF('Field Teams'!$I$59="Inactive","",IF(O58="","",IF(O58&gt;=4.5,"★★★★★",IF(O58&gt;=3.5,"★★★★☆",IF(O58&gt;=2.5,"★★★☆☆",IF(O58&gt;=1.5,"★★☆☆☆","★☆☆☆☆"))))))</f>
        <v/>
      </c>
      <c r="X58" s="115">
        <f>IF('Field Teams'!$I$59="Inactive","",IF(S58="","",IF(S58&gt;=4.5,"★★★★★",IF(S58&gt;=3.5,"★★★★☆",IF(S58&gt;=2.5,"★★★☆☆",IF(S58&gt;=1.5,"★★☆☆☆","★☆☆☆☆"))))))</f>
        <v/>
      </c>
      <c r="Y58" s="115">
        <f>IF('Field Teams'!$I$59="Inactive","",IF(AO58="","",IF(AO58&gt;=4.5,"★★★★★",IF(AO58&gt;=3.5,"★★★★☆",IF(AO58&gt;=2.5,"★★★☆☆",IF(AO58&gt;=1.5,"★★☆☆☆","★☆☆☆☆"))))))</f>
        <v/>
      </c>
      <c r="Z58" s="115">
        <f>IF('Field Teams'!$I$5="Inactive","",IF(T58="","",IF(T58&gt;=4.5,"★★★★★",IF(T58&gt;=3.5,"★★★★☆",IF(T58&gt;=2.5,"★★★☆☆",IF(T58&gt;=1.5,"★★☆☆☆","★☆☆☆☆"))))))</f>
        <v/>
      </c>
      <c r="AA58" s="31">
        <f>IF('Field Teams'!$I$59="Inactive","",IF(M58="YES","HIGH",IF(Q58&lt;=Settings!$D$26,"HIGH",IF(T58&lt;=Settings!$D$23,"HIGH",IF(T58&lt;=Settings!$D$24,"MEDIUM","LOW")))))</f>
        <v/>
      </c>
      <c r="AB58" s="31">
        <f>IF('Field Teams'!$I$5="Inactive",-1,IFERROR((6-T58)+(77-ROW())*0.0001,0))</f>
        <v/>
      </c>
      <c r="AC58" s="35">
        <f>IF('Field Teams'!$I$5="Inactive",999,IFERROR((6-T58)+(ROW()-3)*0.0001,99))</f>
        <v/>
      </c>
      <c r="AD58" s="31">
        <f>IF('Field Teams'!$I$59="Inactive",999,IFERROR(AB58+(ROW()-3)*0.0001,99))</f>
        <v/>
      </c>
      <c r="AE58" s="29" t="n">
        <v>0</v>
      </c>
      <c r="AF58" s="31">
        <f>IF('Field Teams'!$I$59="Inactive","",IF(AA58="HIGH","YES - within 5 working days",""))</f>
        <v/>
      </c>
      <c r="AG58" s="105" t="n"/>
      <c r="AH58" s="49">
        <f>IFERROR(SUMPRODUCT(ISNUMBER(SEARCH(B58,'Pole Results'!$A$13:$A$2000))*('Pole Results'!$B$13:$B$2000&gt;=$AG$3)*('Pole Results'!$B$13:$B$2000&lt;=$AE$3)),0)</f>
        <v/>
      </c>
      <c r="AI58" s="49">
        <f>IFERROR(SUMPRODUCT(ISNUMBER(SEARCH(B58,'Pole Results'!$A$13:$A$2000))*('Pole Results'!$B$13:$B$2000&gt;=$AG$3)*('Pole Results'!$B$13:$B$2000&lt;=$AE$3)*('Pole Results'!$E$13:$E$2000="Compliant")),0)</f>
        <v/>
      </c>
      <c r="AJ58" s="105" t="n"/>
      <c r="AK58" s="106">
        <f>IF('Field Teams'!$I$59="Inactive",-1,IF(AA58="HIGH",AB58,-1))</f>
        <v/>
      </c>
      <c r="AL58" s="106">
        <f>IF('Field Teams'!$I$59="Inactive",-1,IF(OR(AA58="HIGH",AA58="MEDIUM"),AB58,-1))</f>
        <v/>
      </c>
      <c r="AM58">
        <f>IF('Field Teams'!$I$59="Inactive","",IF(IFERROR(LOOKUP(2,1/('Historical Scores'!C59:N59&lt;&gt;""),'Historical Scores'!C59:N59),"")="","New",IF(T58=""," ",IF(T58&gt;IFERROR(LOOKUP(2,1/('Historical Scores'!C59:N59&lt;&gt;""),'Historical Scores'!C59:N59),""),"▲ Worsening",IF(T58&lt;IFERROR(LOOKUP(2,1/('Historical Scores'!C59:N59&lt;&gt;""),'Historical Scores'!C59:N59),""),"▼ Improving","► Stable")))))</f>
        <v/>
      </c>
      <c r="AN58">
        <f>IFERROR(SUMPRODUCT((ISNUMBER(SEARCH(B58,'Data - SSV'!AE$6:AE$3000)))*('Data - SSV'!AF$6:AF$3000&gt;=(AJ$3-90))*('Data - SSV'!AF$6:AF$3000&lt;=AJ$3)*('Data - SSV'!AH$6:AH$3000&lt;&gt;"")),0)</f>
        <v/>
      </c>
      <c r="AO58">
        <f>IF('Field Teams'!$I$59="Inactive","",IF(AN58=0,3,IF(AN58=1,IF(IFERROR(SUMPRODUCT((ISNUMBER(SEARCH(B58,'Data - SSV'!AE$6:AE$3000)))*('Data - SSV'!AF$6:AF$3000&gt;=(AJ$3-90))*('Data - SSV'!AF$6:AF$3000&lt;=AJ$3)*('Data - SSV'!AH$6:AH$3000&lt;&gt;"")*IF('Data - SSV'!AH$6:AH$3000="",0,'Data - SSV'!AH$6:AH$3000))/AN58,3)=4,4,IF(IFERROR(SUMPRODUCT((ISNUMBER(SEARCH(B58,'Data - SSV'!AE$6:AE$3000)))*('Data - SSV'!AF$6:AF$3000&gt;=(AJ$3-90))*('Data - SSV'!AF$6:AF$3000&lt;=AJ$3)*('Data - SSV'!AH$6:AH$3000&lt;&gt;"")*IF('Data - SSV'!AH$6:AH$3000="",0,'Data - SSV'!AH$6:AH$3000))/AN58,3)&gt;=3,3,IF(IFERROR(SUMPRODUCT((ISNUMBER(SEARCH(B58,'Data - SSV'!AE$6:AE$3000)))*('Data - SSV'!AF$6:AF$3000&gt;=(AJ$3-90))*('Data - SSV'!AF$6:AF$3000&lt;=AJ$3)*('Data - SSV'!AH$6:AH$3000&lt;&gt;"")*IF('Data - SSV'!AH$6:AH$3000="",0,'Data - SSV'!AH$6:AH$3000))/AN58,3)&gt;=2,2,1))),IF(IFERROR(SUMPRODUCT((ISNUMBER(SEARCH(B58,'Data - SSV'!AE$6:AE$3000)))*('Data - SSV'!AF$6:AF$3000&gt;=(AJ$3-90))*('Data - SSV'!AF$6:AF$3000&lt;=AJ$3)*('Data - SSV'!AH$6:AH$3000&lt;&gt;"")*IF('Data - SSV'!AH$6:AH$3000="",0,'Data - SSV'!AH$6:AH$3000))/AN58,3)=4,5,IF(IFERROR(SUMPRODUCT((ISNUMBER(SEARCH(B58,'Data - SSV'!AE$6:AE$3000)))*('Data - SSV'!AF$6:AF$3000&gt;=(AJ$3-90))*('Data - SSV'!AF$6:AF$3000&lt;=AJ$3)*('Data - SSV'!AH$6:AH$3000&lt;&gt;"")*IF('Data - SSV'!AH$6:AH$3000="",0,'Data - SSV'!AH$6:AH$3000))/AN58,3)&gt;=3.5,4,IF(IFERROR(SUMPRODUCT((ISNUMBER(SEARCH(B58,'Data - SSV'!AE$6:AE$3000)))*('Data - SSV'!AF$6:AF$3000&gt;=(AJ$3-90))*('Data - SSV'!AF$6:AF$3000&lt;=AJ$3)*('Data - SSV'!AH$6:AH$3000&lt;&gt;"")*IF('Data - SSV'!AH$6:AH$3000="",0,'Data - SSV'!AH$6:AH$3000))/AN58,3)&gt;=3,3,IF(IFERROR(SUMPRODUCT((ISNUMBER(SEARCH(B58,'Data - SSV'!AE$6:AE$3000)))*('Data - SSV'!AF$6:AF$3000&gt;=(AJ$3-90))*('Data - SSV'!AF$6:AF$3000&lt;=AJ$3)*('Data - SSV'!AH$6:AH$3000&lt;&gt;"")*IF('Data - SSV'!AH$6:AH$3000="",0,'Data - SSV'!AH$6:AH$3000))/AN58,3)&gt;=2,2,1)))))))</f>
        <v/>
      </c>
    </row>
    <row r="59" ht="19.5" customHeight="1" s="146">
      <c r="A59" s="6">
        <f>'Field Teams'!A60</f>
        <v/>
      </c>
      <c r="B59" s="28">
        <f>'Field Teams'!B60</f>
        <v/>
      </c>
      <c r="C59" s="28">
        <f>'Field Teams'!C60</f>
        <v/>
      </c>
      <c r="D59" s="6">
        <f>'Field Teams'!D60</f>
        <v/>
      </c>
      <c r="E59" s="6">
        <f>'Field Teams'!E60</f>
        <v/>
      </c>
      <c r="F59" s="6">
        <f>'Field Teams'!F60</f>
        <v/>
      </c>
      <c r="G59" s="6">
        <f>'Field Teams'!G60</f>
        <v/>
      </c>
      <c r="H59" s="31">
        <f>'Field Teams'!H60</f>
        <v/>
      </c>
      <c r="I59" s="31">
        <f>H59*2</f>
        <v/>
      </c>
      <c r="J59" s="31">
        <f>IFERROR(SUMPRODUCT((((ISNUMBER(SEARCH(B59,'Data - HSQE Events'!V$6:V$3000))+ISNUMBER(SEARCH(B59,'Data - HSQE Events'!H$6:H$3000)))&gt;0))*('Data - HSQE Events'!F$6:F$3000&gt;=$AG$3)*('Data - HSQE Events'!F$6:F$3000&lt;=$AJ$3)*('Data - HSQE Events'!R$6:R$3000="Opportunity")),0)</f>
        <v/>
      </c>
      <c r="K59" s="31">
        <f>IFERROR(SUMPRODUCT((((ISNUMBER(SEARCH(B59,'Data - HSQE Events'!V$6:V$3000))+ISNUMBER(SEARCH(B59,'Data - HSQE Events'!H$6:H$3000)))&gt;0))*('Data - HSQE Events'!F$6:F$3000&gt;=$AG$3)*('Data - HSQE Events'!F$6:F$3000&lt;=$AJ$3)*('Data - HSQE Events'!R$6:R$3000="Minor")),0)</f>
        <v/>
      </c>
      <c r="L59" s="31">
        <f>IFERROR(SUMPRODUCT((((ISNUMBER(SEARCH(B59,'Data - HSQE Events'!V$6:V$3000))+ISNUMBER(SEARCH(B59,'Data - HSQE Events'!H$6:H$3000)))&gt;0))*('Data - HSQE Events'!F$6:F$3000&gt;=$AG$3)*('Data - HSQE Events'!F$6:F$3000&lt;=$AJ$3)*(('Data - HSQE Events'!R$6:R$3000="Moderate")+('Data - HSQE Events'!R$6:R$3000="Major"))),0)</f>
        <v/>
      </c>
      <c r="M59" s="31">
        <f>IF(IFERROR(SUMPRODUCT((((ISNUMBER(SEARCH(B59,'Data - HSQE Events'!V$6:V$3000))+ISNUMBER(SEARCH(B59,'Data - HSQE Events'!H$6:H$3000)))&gt;0))*('Data - HSQE Events'!F$6:F$3000&gt;=$AG$3)*('Data - HSQE Events'!F$6:F$3000&lt;=$AJ$3)*('Data - HSQE Events'!R$6:R$3000="Major")),0)&gt;0,"YES","NO")</f>
        <v/>
      </c>
      <c r="N59" s="31">
        <f>IFERROR(SUMPRODUCT(('Data - Skillko'!B$6:B$3000=B59)*('Data - Skillko'!C$6:C$3000="Total")*('Data - Skillko'!E$6:E$3000))*100,0)</f>
        <v/>
      </c>
      <c r="O59" s="31">
        <f>ROUND(MAX(1,MIN(5,1+N59/100*4)),1)</f>
        <v/>
      </c>
      <c r="P59" s="31">
        <f>IFERROR(SUMPRODUCT(ISNUMBER(SEARCH(B59,'Pole Results'!$A$13:$A$2000))*('Pole Results'!$B$13:$B$2000&gt;=$AG$3)*('Pole Results'!$B$13:$B$2000&lt;=$AE$3)*('Pole Results'!$E$13:$E$2000="Non-Compliant")),0)</f>
        <v/>
      </c>
      <c r="Q59" s="31">
        <f>IF(I59=0,1,IFERROR(ROUND(MAX(1,MIN(5,1+J59/I59*4)),1),3))</f>
        <v/>
      </c>
      <c r="R59" s="31">
        <f>ROUND(6-MAX(MIN(5,K59*0.8+1),MIN(5,L59*2+1)),1)</f>
        <v/>
      </c>
      <c r="S59" s="49">
        <f>IFERROR(ROUND(MAX(1,MIN(5,5-(P59/MAX(1,AI59))*4)),1),5)</f>
        <v/>
      </c>
      <c r="T59" s="31">
        <f>IF('Field Teams'!$I$60="Inactive","",ROUND((Q59*Settings!$D$6+R59*Settings!$D$7+O59*Settings!$D$10+S59*Settings!$D$12+AO59*Settings!$D$13)/Settings!$D$14,1))</f>
        <v/>
      </c>
      <c r="U59" s="115">
        <f>IF('Field Teams'!$I$60="Inactive","",IF(Q59="","",IF(Q59&gt;=4.5,"★★★★★",IF(Q59&gt;=3.5,"★★★★☆",IF(Q59&gt;=2.5,"★★★☆☆",IF(Q59&gt;=1.5,"★★☆☆☆","★☆☆☆☆"))))))</f>
        <v/>
      </c>
      <c r="V59" s="115">
        <f>IF('Field Teams'!$I$60="Inactive","",IF(R59="","",IF(R59&gt;=4.5,"★★★★★",IF(R59&gt;=3.5,"★★★★☆",IF(R59&gt;=2.5,"★★★☆☆",IF(R59&gt;=1.5,"★★☆☆☆","★☆☆☆☆"))))))</f>
        <v/>
      </c>
      <c r="W59" s="115">
        <f>IF('Field Teams'!$I$60="Inactive","",IF(O59="","",IF(O59&gt;=4.5,"★★★★★",IF(O59&gt;=3.5,"★★★★☆",IF(O59&gt;=2.5,"★★★☆☆",IF(O59&gt;=1.5,"★★☆☆☆","★☆☆☆☆"))))))</f>
        <v/>
      </c>
      <c r="X59" s="115">
        <f>IF('Field Teams'!$I$60="Inactive","",IF(S59="","",IF(S59&gt;=4.5,"★★★★★",IF(S59&gt;=3.5,"★★★★☆",IF(S59&gt;=2.5,"★★★☆☆",IF(S59&gt;=1.5,"★★☆☆☆","★☆☆☆☆"))))))</f>
        <v/>
      </c>
      <c r="Y59" s="115">
        <f>IF('Field Teams'!$I$60="Inactive","",IF(AO59="","",IF(AO59&gt;=4.5,"★★★★★",IF(AO59&gt;=3.5,"★★★★☆",IF(AO59&gt;=2.5,"★★★☆☆",IF(AO59&gt;=1.5,"★★☆☆☆","★☆☆☆☆"))))))</f>
        <v/>
      </c>
      <c r="Z59" s="115">
        <f>IF('Field Teams'!$I$5="Inactive","",IF(T59="","",IF(T59&gt;=4.5,"★★★★★",IF(T59&gt;=3.5,"★★★★☆",IF(T59&gt;=2.5,"★★★☆☆",IF(T59&gt;=1.5,"★★☆☆☆","★☆☆☆☆"))))))</f>
        <v/>
      </c>
      <c r="AA59" s="31">
        <f>IF('Field Teams'!$I$60="Inactive","",IF(M59="YES","HIGH",IF(Q59&lt;=Settings!$D$26,"HIGH",IF(T59&lt;=Settings!$D$23,"HIGH",IF(T59&lt;=Settings!$D$24,"MEDIUM","LOW")))))</f>
        <v/>
      </c>
      <c r="AB59" s="31">
        <f>IF('Field Teams'!$I$5="Inactive",-1,IFERROR((6-T59)+(77-ROW())*0.0001,0))</f>
        <v/>
      </c>
      <c r="AC59" s="35">
        <f>IF('Field Teams'!$I$5="Inactive",999,IFERROR((6-T59)+(ROW()-3)*0.0001,99))</f>
        <v/>
      </c>
      <c r="AD59" s="31">
        <f>IF('Field Teams'!$I$60="Inactive",999,IFERROR(AB59+(ROW()-3)*0.0001,99))</f>
        <v/>
      </c>
      <c r="AE59" s="29" t="n">
        <v>0</v>
      </c>
      <c r="AF59" s="31">
        <f>IF('Field Teams'!$I$60="Inactive","",IF(AA59="HIGH","YES - within 5 working days",""))</f>
        <v/>
      </c>
      <c r="AG59" s="105" t="n"/>
      <c r="AH59" s="49">
        <f>IFERROR(SUMPRODUCT(ISNUMBER(SEARCH(B59,'Pole Results'!$A$13:$A$2000))*('Pole Results'!$B$13:$B$2000&gt;=$AG$3)*('Pole Results'!$B$13:$B$2000&lt;=$AE$3)),0)</f>
        <v/>
      </c>
      <c r="AI59" s="49">
        <f>IFERROR(SUMPRODUCT(ISNUMBER(SEARCH(B59,'Pole Results'!$A$13:$A$2000))*('Pole Results'!$B$13:$B$2000&gt;=$AG$3)*('Pole Results'!$B$13:$B$2000&lt;=$AE$3)*('Pole Results'!$E$13:$E$2000="Compliant")),0)</f>
        <v/>
      </c>
      <c r="AJ59" s="105" t="n"/>
      <c r="AK59" s="106">
        <f>IF('Field Teams'!$I$60="Inactive",-1,IF(AA59="HIGH",AB59,-1))</f>
        <v/>
      </c>
      <c r="AL59" s="106">
        <f>IF('Field Teams'!$I$60="Inactive",-1,IF(OR(AA59="HIGH",AA59="MEDIUM"),AB59,-1))</f>
        <v/>
      </c>
      <c r="AM59">
        <f>IF('Field Teams'!$I$60="Inactive","",IF(IFERROR(LOOKUP(2,1/('Historical Scores'!C60:N60&lt;&gt;""),'Historical Scores'!C60:N60),"")="","New",IF(T59=""," ",IF(T59&gt;IFERROR(LOOKUP(2,1/('Historical Scores'!C60:N60&lt;&gt;""),'Historical Scores'!C60:N60),""),"▲ Worsening",IF(T59&lt;IFERROR(LOOKUP(2,1/('Historical Scores'!C60:N60&lt;&gt;""),'Historical Scores'!C60:N60),""),"▼ Improving","► Stable")))))</f>
        <v/>
      </c>
      <c r="AN59">
        <f>IFERROR(SUMPRODUCT((ISNUMBER(SEARCH(B59,'Data - SSV'!AE$6:AE$3000)))*('Data - SSV'!AF$6:AF$3000&gt;=(AJ$3-90))*('Data - SSV'!AF$6:AF$3000&lt;=AJ$3)*('Data - SSV'!AH$6:AH$3000&lt;&gt;"")),0)</f>
        <v/>
      </c>
      <c r="AO59">
        <f>IF('Field Teams'!$I$60="Inactive","",IF(AN59=0,3,IF(AN59=1,IF(IFERROR(SUMPRODUCT((ISNUMBER(SEARCH(B59,'Data - SSV'!AE$6:AE$3000)))*('Data - SSV'!AF$6:AF$3000&gt;=(AJ$3-90))*('Data - SSV'!AF$6:AF$3000&lt;=AJ$3)*('Data - SSV'!AH$6:AH$3000&lt;&gt;"")*IF('Data - SSV'!AH$6:AH$3000="",0,'Data - SSV'!AH$6:AH$3000))/AN59,3)=4,4,IF(IFERROR(SUMPRODUCT((ISNUMBER(SEARCH(B59,'Data - SSV'!AE$6:AE$3000)))*('Data - SSV'!AF$6:AF$3000&gt;=(AJ$3-90))*('Data - SSV'!AF$6:AF$3000&lt;=AJ$3)*('Data - SSV'!AH$6:AH$3000&lt;&gt;"")*IF('Data - SSV'!AH$6:AH$3000="",0,'Data - SSV'!AH$6:AH$3000))/AN59,3)&gt;=3,3,IF(IFERROR(SUMPRODUCT((ISNUMBER(SEARCH(B59,'Data - SSV'!AE$6:AE$3000)))*('Data - SSV'!AF$6:AF$3000&gt;=(AJ$3-90))*('Data - SSV'!AF$6:AF$3000&lt;=AJ$3)*('Data - SSV'!AH$6:AH$3000&lt;&gt;"")*IF('Data - SSV'!AH$6:AH$3000="",0,'Data - SSV'!AH$6:AH$3000))/AN59,3)&gt;=2,2,1))),IF(IFERROR(SUMPRODUCT((ISNUMBER(SEARCH(B59,'Data - SSV'!AE$6:AE$3000)))*('Data - SSV'!AF$6:AF$3000&gt;=(AJ$3-90))*('Data - SSV'!AF$6:AF$3000&lt;=AJ$3)*('Data - SSV'!AH$6:AH$3000&lt;&gt;"")*IF('Data - SSV'!AH$6:AH$3000="",0,'Data - SSV'!AH$6:AH$3000))/AN59,3)=4,5,IF(IFERROR(SUMPRODUCT((ISNUMBER(SEARCH(B59,'Data - SSV'!AE$6:AE$3000)))*('Data - SSV'!AF$6:AF$3000&gt;=(AJ$3-90))*('Data - SSV'!AF$6:AF$3000&lt;=AJ$3)*('Data - SSV'!AH$6:AH$3000&lt;&gt;"")*IF('Data - SSV'!AH$6:AH$3000="",0,'Data - SSV'!AH$6:AH$3000))/AN59,3)&gt;=3.5,4,IF(IFERROR(SUMPRODUCT((ISNUMBER(SEARCH(B59,'Data - SSV'!AE$6:AE$3000)))*('Data - SSV'!AF$6:AF$3000&gt;=(AJ$3-90))*('Data - SSV'!AF$6:AF$3000&lt;=AJ$3)*('Data - SSV'!AH$6:AH$3000&lt;&gt;"")*IF('Data - SSV'!AH$6:AH$3000="",0,'Data - SSV'!AH$6:AH$3000))/AN59,3)&gt;=3,3,IF(IFERROR(SUMPRODUCT((ISNUMBER(SEARCH(B59,'Data - SSV'!AE$6:AE$3000)))*('Data - SSV'!AF$6:AF$3000&gt;=(AJ$3-90))*('Data - SSV'!AF$6:AF$3000&lt;=AJ$3)*('Data - SSV'!AH$6:AH$3000&lt;&gt;"")*IF('Data - SSV'!AH$6:AH$3000="",0,'Data - SSV'!AH$6:AH$3000))/AN59,3)&gt;=2,2,1)))))))</f>
        <v/>
      </c>
    </row>
    <row r="60" ht="19.5" customHeight="1" s="146">
      <c r="A60" s="10">
        <f>'Field Teams'!A61</f>
        <v/>
      </c>
      <c r="B60" s="30">
        <f>'Field Teams'!B61</f>
        <v/>
      </c>
      <c r="C60" s="30">
        <f>'Field Teams'!C61</f>
        <v/>
      </c>
      <c r="D60" s="10">
        <f>'Field Teams'!D61</f>
        <v/>
      </c>
      <c r="E60" s="10">
        <f>'Field Teams'!E61</f>
        <v/>
      </c>
      <c r="F60" s="10">
        <f>'Field Teams'!F61</f>
        <v/>
      </c>
      <c r="G60" s="10">
        <f>'Field Teams'!G61</f>
        <v/>
      </c>
      <c r="H60" s="31">
        <f>'Field Teams'!H61</f>
        <v/>
      </c>
      <c r="I60" s="31">
        <f>H60*2</f>
        <v/>
      </c>
      <c r="J60" s="31">
        <f>IFERROR(SUMPRODUCT((((ISNUMBER(SEARCH(B60,'Data - HSQE Events'!V$6:V$3000))+ISNUMBER(SEARCH(B60,'Data - HSQE Events'!H$6:H$3000)))&gt;0))*('Data - HSQE Events'!F$6:F$3000&gt;=$AG$3)*('Data - HSQE Events'!F$6:F$3000&lt;=$AJ$3)*('Data - HSQE Events'!R$6:R$3000="Opportunity")),0)</f>
        <v/>
      </c>
      <c r="K60" s="31">
        <f>IFERROR(SUMPRODUCT((((ISNUMBER(SEARCH(B60,'Data - HSQE Events'!V$6:V$3000))+ISNUMBER(SEARCH(B60,'Data - HSQE Events'!H$6:H$3000)))&gt;0))*('Data - HSQE Events'!F$6:F$3000&gt;=$AG$3)*('Data - HSQE Events'!F$6:F$3000&lt;=$AJ$3)*('Data - HSQE Events'!R$6:R$3000="Minor")),0)</f>
        <v/>
      </c>
      <c r="L60" s="31">
        <f>IFERROR(SUMPRODUCT((((ISNUMBER(SEARCH(B60,'Data - HSQE Events'!V$6:V$3000))+ISNUMBER(SEARCH(B60,'Data - HSQE Events'!H$6:H$3000)))&gt;0))*('Data - HSQE Events'!F$6:F$3000&gt;=$AG$3)*('Data - HSQE Events'!F$6:F$3000&lt;=$AJ$3)*(('Data - HSQE Events'!R$6:R$3000="Moderate")+('Data - HSQE Events'!R$6:R$3000="Major"))),0)</f>
        <v/>
      </c>
      <c r="M60" s="31">
        <f>IF(IFERROR(SUMPRODUCT((((ISNUMBER(SEARCH(B60,'Data - HSQE Events'!V$6:V$3000))+ISNUMBER(SEARCH(B60,'Data - HSQE Events'!H$6:H$3000)))&gt;0))*('Data - HSQE Events'!F$6:F$3000&gt;=$AG$3)*('Data - HSQE Events'!F$6:F$3000&lt;=$AJ$3)*('Data - HSQE Events'!R$6:R$3000="Major")),0)&gt;0,"YES","NO")</f>
        <v/>
      </c>
      <c r="N60" s="31">
        <f>IFERROR(SUMPRODUCT(('Data - Skillko'!B$6:B$3000=B60)*('Data - Skillko'!C$6:C$3000="Total")*('Data - Skillko'!E$6:E$3000))*100,0)</f>
        <v/>
      </c>
      <c r="O60" s="31">
        <f>ROUND(MAX(1,MIN(5,1+N60/100*4)),1)</f>
        <v/>
      </c>
      <c r="P60" s="31">
        <f>IFERROR(SUMPRODUCT(ISNUMBER(SEARCH(B60,'Pole Results'!$A$13:$A$2000))*('Pole Results'!$B$13:$B$2000&gt;=$AG$3)*('Pole Results'!$B$13:$B$2000&lt;=$AE$3)*('Pole Results'!$E$13:$E$2000="Non-Compliant")),0)</f>
        <v/>
      </c>
      <c r="Q60" s="31">
        <f>IF(I60=0,1,IFERROR(ROUND(MAX(1,MIN(5,1+J60/I60*4)),1),3))</f>
        <v/>
      </c>
      <c r="R60" s="31">
        <f>ROUND(6-MAX(MIN(5,K60*0.8+1),MIN(5,L60*2+1)),1)</f>
        <v/>
      </c>
      <c r="S60" s="49">
        <f>IFERROR(ROUND(MAX(1,MIN(5,5-(P60/MAX(1,AI60))*4)),1),5)</f>
        <v/>
      </c>
      <c r="T60" s="31">
        <f>IF('Field Teams'!$I$61="Inactive","",ROUND((Q60*Settings!$D$6+R60*Settings!$D$7+O60*Settings!$D$10+S60*Settings!$D$12+AO60*Settings!$D$13)/Settings!$D$14,1))</f>
        <v/>
      </c>
      <c r="U60" s="115">
        <f>IF('Field Teams'!$I$61="Inactive","",IF(Q60="","",IF(Q60&gt;=4.5,"★★★★★",IF(Q60&gt;=3.5,"★★★★☆",IF(Q60&gt;=2.5,"★★★☆☆",IF(Q60&gt;=1.5,"★★☆☆☆","★☆☆☆☆"))))))</f>
        <v/>
      </c>
      <c r="V60" s="115">
        <f>IF('Field Teams'!$I$61="Inactive","",IF(R60="","",IF(R60&gt;=4.5,"★★★★★",IF(R60&gt;=3.5,"★★★★☆",IF(R60&gt;=2.5,"★★★☆☆",IF(R60&gt;=1.5,"★★☆☆☆","★☆☆☆☆"))))))</f>
        <v/>
      </c>
      <c r="W60" s="115">
        <f>IF('Field Teams'!$I$61="Inactive","",IF(O60="","",IF(O60&gt;=4.5,"★★★★★",IF(O60&gt;=3.5,"★★★★☆",IF(O60&gt;=2.5,"★★★☆☆",IF(O60&gt;=1.5,"★★☆☆☆","★☆☆☆☆"))))))</f>
        <v/>
      </c>
      <c r="X60" s="115">
        <f>IF('Field Teams'!$I$61="Inactive","",IF(S60="","",IF(S60&gt;=4.5,"★★★★★",IF(S60&gt;=3.5,"★★★★☆",IF(S60&gt;=2.5,"★★★☆☆",IF(S60&gt;=1.5,"★★☆☆☆","★☆☆☆☆"))))))</f>
        <v/>
      </c>
      <c r="Y60" s="115">
        <f>IF('Field Teams'!$I$61="Inactive","",IF(AO60="","",IF(AO60&gt;=4.5,"★★★★★",IF(AO60&gt;=3.5,"★★★★☆",IF(AO60&gt;=2.5,"★★★☆☆",IF(AO60&gt;=1.5,"★★☆☆☆","★☆☆☆☆"))))))</f>
        <v/>
      </c>
      <c r="Z60" s="115">
        <f>IF('Field Teams'!$I$5="Inactive","",IF(T60="","",IF(T60&gt;=4.5,"★★★★★",IF(T60&gt;=3.5,"★★★★☆",IF(T60&gt;=2.5,"★★★☆☆",IF(T60&gt;=1.5,"★★☆☆☆","★☆☆☆☆"))))))</f>
        <v/>
      </c>
      <c r="AA60" s="31">
        <f>IF('Field Teams'!$I$61="Inactive","",IF(M60="YES","HIGH",IF(Q60&lt;=Settings!$D$26,"HIGH",IF(T60&lt;=Settings!$D$23,"HIGH",IF(T60&lt;=Settings!$D$24,"MEDIUM","LOW")))))</f>
        <v/>
      </c>
      <c r="AB60" s="31">
        <f>IF('Field Teams'!$I$5="Inactive",-1,IFERROR((6-T60)+(77-ROW())*0.0001,0))</f>
        <v/>
      </c>
      <c r="AC60" s="35">
        <f>IF('Field Teams'!$I$5="Inactive",999,IFERROR((6-T60)+(ROW()-3)*0.0001,99))</f>
        <v/>
      </c>
      <c r="AD60" s="31">
        <f>IF('Field Teams'!$I$61="Inactive",999,IFERROR(AB60+(ROW()-3)*0.0001,99))</f>
        <v/>
      </c>
      <c r="AE60" s="29" t="n">
        <v>0</v>
      </c>
      <c r="AF60" s="31">
        <f>IF('Field Teams'!$I$61="Inactive","",IF(AA60="HIGH","YES - within 5 working days",""))</f>
        <v/>
      </c>
      <c r="AG60" s="105" t="n"/>
      <c r="AH60" s="49">
        <f>IFERROR(SUMPRODUCT(ISNUMBER(SEARCH(B60,'Pole Results'!$A$13:$A$2000))*('Pole Results'!$B$13:$B$2000&gt;=$AG$3)*('Pole Results'!$B$13:$B$2000&lt;=$AE$3)),0)</f>
        <v/>
      </c>
      <c r="AI60" s="49">
        <f>IFERROR(SUMPRODUCT(ISNUMBER(SEARCH(B60,'Pole Results'!$A$13:$A$2000))*('Pole Results'!$B$13:$B$2000&gt;=$AG$3)*('Pole Results'!$B$13:$B$2000&lt;=$AE$3)*('Pole Results'!$E$13:$E$2000="Compliant")),0)</f>
        <v/>
      </c>
      <c r="AJ60" s="105" t="n"/>
      <c r="AK60" s="106">
        <f>IF('Field Teams'!$I$61="Inactive",-1,IF(AA60="HIGH",AB60,-1))</f>
        <v/>
      </c>
      <c r="AL60" s="106">
        <f>IF('Field Teams'!$I$61="Inactive",-1,IF(OR(AA60="HIGH",AA60="MEDIUM"),AB60,-1))</f>
        <v/>
      </c>
      <c r="AM60">
        <f>IF('Field Teams'!$I$61="Inactive","",IF(IFERROR(LOOKUP(2,1/('Historical Scores'!C61:N61&lt;&gt;""),'Historical Scores'!C61:N61),"")="","New",IF(T60=""," ",IF(T60&gt;IFERROR(LOOKUP(2,1/('Historical Scores'!C61:N61&lt;&gt;""),'Historical Scores'!C61:N61),""),"▲ Worsening",IF(T60&lt;IFERROR(LOOKUP(2,1/('Historical Scores'!C61:N61&lt;&gt;""),'Historical Scores'!C61:N61),""),"▼ Improving","► Stable")))))</f>
        <v/>
      </c>
      <c r="AN60">
        <f>IFERROR(SUMPRODUCT((ISNUMBER(SEARCH(B60,'Data - SSV'!AE$6:AE$3000)))*('Data - SSV'!AF$6:AF$3000&gt;=(AJ$3-90))*('Data - SSV'!AF$6:AF$3000&lt;=AJ$3)*('Data - SSV'!AH$6:AH$3000&lt;&gt;"")),0)</f>
        <v/>
      </c>
      <c r="AO60">
        <f>IF('Field Teams'!$I$61="Inactive","",IF(AN60=0,3,IF(AN60=1,IF(IFERROR(SUMPRODUCT((ISNUMBER(SEARCH(B60,'Data - SSV'!AE$6:AE$3000)))*('Data - SSV'!AF$6:AF$3000&gt;=(AJ$3-90))*('Data - SSV'!AF$6:AF$3000&lt;=AJ$3)*('Data - SSV'!AH$6:AH$3000&lt;&gt;"")*IF('Data - SSV'!AH$6:AH$3000="",0,'Data - SSV'!AH$6:AH$3000))/AN60,3)=4,4,IF(IFERROR(SUMPRODUCT((ISNUMBER(SEARCH(B60,'Data - SSV'!AE$6:AE$3000)))*('Data - SSV'!AF$6:AF$3000&gt;=(AJ$3-90))*('Data - SSV'!AF$6:AF$3000&lt;=AJ$3)*('Data - SSV'!AH$6:AH$3000&lt;&gt;"")*IF('Data - SSV'!AH$6:AH$3000="",0,'Data - SSV'!AH$6:AH$3000))/AN60,3)&gt;=3,3,IF(IFERROR(SUMPRODUCT((ISNUMBER(SEARCH(B60,'Data - SSV'!AE$6:AE$3000)))*('Data - SSV'!AF$6:AF$3000&gt;=(AJ$3-90))*('Data - SSV'!AF$6:AF$3000&lt;=AJ$3)*('Data - SSV'!AH$6:AH$3000&lt;&gt;"")*IF('Data - SSV'!AH$6:AH$3000="",0,'Data - SSV'!AH$6:AH$3000))/AN60,3)&gt;=2,2,1))),IF(IFERROR(SUMPRODUCT((ISNUMBER(SEARCH(B60,'Data - SSV'!AE$6:AE$3000)))*('Data - SSV'!AF$6:AF$3000&gt;=(AJ$3-90))*('Data - SSV'!AF$6:AF$3000&lt;=AJ$3)*('Data - SSV'!AH$6:AH$3000&lt;&gt;"")*IF('Data - SSV'!AH$6:AH$3000="",0,'Data - SSV'!AH$6:AH$3000))/AN60,3)=4,5,IF(IFERROR(SUMPRODUCT((ISNUMBER(SEARCH(B60,'Data - SSV'!AE$6:AE$3000)))*('Data - SSV'!AF$6:AF$3000&gt;=(AJ$3-90))*('Data - SSV'!AF$6:AF$3000&lt;=AJ$3)*('Data - SSV'!AH$6:AH$3000&lt;&gt;"")*IF('Data - SSV'!AH$6:AH$3000="",0,'Data - SSV'!AH$6:AH$3000))/AN60,3)&gt;=3.5,4,IF(IFERROR(SUMPRODUCT((ISNUMBER(SEARCH(B60,'Data - SSV'!AE$6:AE$3000)))*('Data - SSV'!AF$6:AF$3000&gt;=(AJ$3-90))*('Data - SSV'!AF$6:AF$3000&lt;=AJ$3)*('Data - SSV'!AH$6:AH$3000&lt;&gt;"")*IF('Data - SSV'!AH$6:AH$3000="",0,'Data - SSV'!AH$6:AH$3000))/AN60,3)&gt;=3,3,IF(IFERROR(SUMPRODUCT((ISNUMBER(SEARCH(B60,'Data - SSV'!AE$6:AE$3000)))*('Data - SSV'!AF$6:AF$3000&gt;=(AJ$3-90))*('Data - SSV'!AF$6:AF$3000&lt;=AJ$3)*('Data - SSV'!AH$6:AH$3000&lt;&gt;"")*IF('Data - SSV'!AH$6:AH$3000="",0,'Data - SSV'!AH$6:AH$3000))/AN60,3)&gt;=2,2,1)))))))</f>
        <v/>
      </c>
    </row>
    <row r="61" ht="19.5" customHeight="1" s="146">
      <c r="A61" s="6">
        <f>'Field Teams'!A62</f>
        <v/>
      </c>
      <c r="B61" s="28">
        <f>'Field Teams'!B62</f>
        <v/>
      </c>
      <c r="C61" s="28">
        <f>'Field Teams'!C62</f>
        <v/>
      </c>
      <c r="D61" s="6">
        <f>'Field Teams'!D62</f>
        <v/>
      </c>
      <c r="E61" s="6">
        <f>'Field Teams'!E62</f>
        <v/>
      </c>
      <c r="F61" s="6">
        <f>'Field Teams'!F62</f>
        <v/>
      </c>
      <c r="G61" s="6">
        <f>'Field Teams'!G62</f>
        <v/>
      </c>
      <c r="H61" s="31">
        <f>'Field Teams'!H62</f>
        <v/>
      </c>
      <c r="I61" s="31">
        <f>H61*2</f>
        <v/>
      </c>
      <c r="J61" s="31">
        <f>IFERROR(SUMPRODUCT((((ISNUMBER(SEARCH(B61,'Data - HSQE Events'!V$6:V$3000))+ISNUMBER(SEARCH(B61,'Data - HSQE Events'!H$6:H$3000)))&gt;0))*('Data - HSQE Events'!F$6:F$3000&gt;=$AG$3)*('Data - HSQE Events'!F$6:F$3000&lt;=$AJ$3)*('Data - HSQE Events'!R$6:R$3000="Opportunity")),0)</f>
        <v/>
      </c>
      <c r="K61" s="31">
        <f>IFERROR(SUMPRODUCT((((ISNUMBER(SEARCH(B61,'Data - HSQE Events'!V$6:V$3000))+ISNUMBER(SEARCH(B61,'Data - HSQE Events'!H$6:H$3000)))&gt;0))*('Data - HSQE Events'!F$6:F$3000&gt;=$AG$3)*('Data - HSQE Events'!F$6:F$3000&lt;=$AJ$3)*('Data - HSQE Events'!R$6:R$3000="Minor")),0)</f>
        <v/>
      </c>
      <c r="L61" s="31">
        <f>IFERROR(SUMPRODUCT((((ISNUMBER(SEARCH(B61,'Data - HSQE Events'!V$6:V$3000))+ISNUMBER(SEARCH(B61,'Data - HSQE Events'!H$6:H$3000)))&gt;0))*('Data - HSQE Events'!F$6:F$3000&gt;=$AG$3)*('Data - HSQE Events'!F$6:F$3000&lt;=$AJ$3)*(('Data - HSQE Events'!R$6:R$3000="Moderate")+('Data - HSQE Events'!R$6:R$3000="Major"))),0)</f>
        <v/>
      </c>
      <c r="M61" s="31">
        <f>IF(IFERROR(SUMPRODUCT((((ISNUMBER(SEARCH(B61,'Data - HSQE Events'!V$6:V$3000))+ISNUMBER(SEARCH(B61,'Data - HSQE Events'!H$6:H$3000)))&gt;0))*('Data - HSQE Events'!F$6:F$3000&gt;=$AG$3)*('Data - HSQE Events'!F$6:F$3000&lt;=$AJ$3)*('Data - HSQE Events'!R$6:R$3000="Major")),0)&gt;0,"YES","NO")</f>
        <v/>
      </c>
      <c r="N61" s="31">
        <f>IFERROR(SUMPRODUCT(('Data - Skillko'!B$6:B$3000=B61)*('Data - Skillko'!C$6:C$3000="Total")*('Data - Skillko'!E$6:E$3000))*100,0)</f>
        <v/>
      </c>
      <c r="O61" s="31">
        <f>ROUND(MAX(1,MIN(5,1+N61/100*4)),1)</f>
        <v/>
      </c>
      <c r="P61" s="31">
        <f>IFERROR(SUMPRODUCT(ISNUMBER(SEARCH(B61,'Pole Results'!$A$13:$A$2000))*('Pole Results'!$B$13:$B$2000&gt;=$AG$3)*('Pole Results'!$B$13:$B$2000&lt;=$AE$3)*('Pole Results'!$E$13:$E$2000="Non-Compliant")),0)</f>
        <v/>
      </c>
      <c r="Q61" s="31">
        <f>IF(I61=0,1,IFERROR(ROUND(MAX(1,MIN(5,1+J61/I61*4)),1),3))</f>
        <v/>
      </c>
      <c r="R61" s="31">
        <f>ROUND(6-MAX(MIN(5,K61*0.8+1),MIN(5,L61*2+1)),1)</f>
        <v/>
      </c>
      <c r="S61" s="49">
        <f>IFERROR(ROUND(MAX(1,MIN(5,5-(P61/MAX(1,AI61))*4)),1),5)</f>
        <v/>
      </c>
      <c r="T61" s="31">
        <f>IF('Field Teams'!$I$62="Inactive","",ROUND((Q61*Settings!$D$6+R61*Settings!$D$7+O61*Settings!$D$10+S61*Settings!$D$12+AO61*Settings!$D$13)/Settings!$D$14,1))</f>
        <v/>
      </c>
      <c r="U61" s="115">
        <f>IF('Field Teams'!$I$62="Inactive","",IF(Q61="","",IF(Q61&gt;=4.5,"★★★★★",IF(Q61&gt;=3.5,"★★★★☆",IF(Q61&gt;=2.5,"★★★☆☆",IF(Q61&gt;=1.5,"★★☆☆☆","★☆☆☆☆"))))))</f>
        <v/>
      </c>
      <c r="V61" s="115">
        <f>IF('Field Teams'!$I$62="Inactive","",IF(R61="","",IF(R61&gt;=4.5,"★★★★★",IF(R61&gt;=3.5,"★★★★☆",IF(R61&gt;=2.5,"★★★☆☆",IF(R61&gt;=1.5,"★★☆☆☆","★☆☆☆☆"))))))</f>
        <v/>
      </c>
      <c r="W61" s="115">
        <f>IF('Field Teams'!$I$62="Inactive","",IF(O61="","",IF(O61&gt;=4.5,"★★★★★",IF(O61&gt;=3.5,"★★★★☆",IF(O61&gt;=2.5,"★★★☆☆",IF(O61&gt;=1.5,"★★☆☆☆","★☆☆☆☆"))))))</f>
        <v/>
      </c>
      <c r="X61" s="115">
        <f>IF('Field Teams'!$I$62="Inactive","",IF(S61="","",IF(S61&gt;=4.5,"★★★★★",IF(S61&gt;=3.5,"★★★★☆",IF(S61&gt;=2.5,"★★★☆☆",IF(S61&gt;=1.5,"★★☆☆☆","★☆☆☆☆"))))))</f>
        <v/>
      </c>
      <c r="Y61" s="115">
        <f>IF('Field Teams'!$I$62="Inactive","",IF(AO61="","",IF(AO61&gt;=4.5,"★★★★★",IF(AO61&gt;=3.5,"★★★★☆",IF(AO61&gt;=2.5,"★★★☆☆",IF(AO61&gt;=1.5,"★★☆☆☆","★☆☆☆☆"))))))</f>
        <v/>
      </c>
      <c r="Z61" s="115">
        <f>IF('Field Teams'!$I$5="Inactive","",IF(T61="","",IF(T61&gt;=4.5,"★★★★★",IF(T61&gt;=3.5,"★★★★☆",IF(T61&gt;=2.5,"★★★☆☆",IF(T61&gt;=1.5,"★★☆☆☆","★☆☆☆☆"))))))</f>
        <v/>
      </c>
      <c r="AA61" s="31">
        <f>IF('Field Teams'!$I$62="Inactive","",IF(M61="YES","HIGH",IF(Q61&lt;=Settings!$D$26,"HIGH",IF(T61&lt;=Settings!$D$23,"HIGH",IF(T61&lt;=Settings!$D$24,"MEDIUM","LOW")))))</f>
        <v/>
      </c>
      <c r="AB61" s="31">
        <f>IF('Field Teams'!$I$5="Inactive",-1,IFERROR((6-T61)+(77-ROW())*0.0001,0))</f>
        <v/>
      </c>
      <c r="AC61" s="35">
        <f>IF('Field Teams'!$I$5="Inactive",999,IFERROR((6-T61)+(ROW()-3)*0.0001,99))</f>
        <v/>
      </c>
      <c r="AD61" s="31">
        <f>IF('Field Teams'!$I$62="Inactive",999,IFERROR(AB61+(ROW()-3)*0.0001,99))</f>
        <v/>
      </c>
      <c r="AE61" s="29" t="n">
        <v>0</v>
      </c>
      <c r="AF61" s="31">
        <f>IF('Field Teams'!$I$62="Inactive","",IF(AA61="HIGH","YES - within 5 working days",""))</f>
        <v/>
      </c>
      <c r="AG61" s="105" t="n"/>
      <c r="AH61" s="49">
        <f>IFERROR(SUMPRODUCT(ISNUMBER(SEARCH(B61,'Pole Results'!$A$13:$A$2000))*('Pole Results'!$B$13:$B$2000&gt;=$AG$3)*('Pole Results'!$B$13:$B$2000&lt;=$AE$3)),0)</f>
        <v/>
      </c>
      <c r="AI61" s="49">
        <f>IFERROR(SUMPRODUCT(ISNUMBER(SEARCH(B61,'Pole Results'!$A$13:$A$2000))*('Pole Results'!$B$13:$B$2000&gt;=$AG$3)*('Pole Results'!$B$13:$B$2000&lt;=$AE$3)*('Pole Results'!$E$13:$E$2000="Compliant")),0)</f>
        <v/>
      </c>
      <c r="AJ61" s="105" t="n"/>
      <c r="AK61" s="106">
        <f>IF('Field Teams'!$I$62="Inactive",-1,IF(AA61="HIGH",AB61,-1))</f>
        <v/>
      </c>
      <c r="AL61" s="106">
        <f>IF('Field Teams'!$I$62="Inactive",-1,IF(OR(AA61="HIGH",AA61="MEDIUM"),AB61,-1))</f>
        <v/>
      </c>
      <c r="AM61">
        <f>IF('Field Teams'!$I$62="Inactive","",IF(IFERROR(LOOKUP(2,1/('Historical Scores'!C62:N62&lt;&gt;""),'Historical Scores'!C62:N62),"")="","New",IF(T61=""," ",IF(T61&gt;IFERROR(LOOKUP(2,1/('Historical Scores'!C62:N62&lt;&gt;""),'Historical Scores'!C62:N62),""),"▲ Worsening",IF(T61&lt;IFERROR(LOOKUP(2,1/('Historical Scores'!C62:N62&lt;&gt;""),'Historical Scores'!C62:N62),""),"▼ Improving","► Stable")))))</f>
        <v/>
      </c>
      <c r="AN61">
        <f>IFERROR(SUMPRODUCT((ISNUMBER(SEARCH(B61,'Data - SSV'!AE$6:AE$3000)))*('Data - SSV'!AF$6:AF$3000&gt;=(AJ$3-90))*('Data - SSV'!AF$6:AF$3000&lt;=AJ$3)*('Data - SSV'!AH$6:AH$3000&lt;&gt;"")),0)</f>
        <v/>
      </c>
      <c r="AO61">
        <f>IF('Field Teams'!$I$62="Inactive","",IF(AN61=0,3,IF(AN61=1,IF(IFERROR(SUMPRODUCT((ISNUMBER(SEARCH(B61,'Data - SSV'!AE$6:AE$3000)))*('Data - SSV'!AF$6:AF$3000&gt;=(AJ$3-90))*('Data - SSV'!AF$6:AF$3000&lt;=AJ$3)*('Data - SSV'!AH$6:AH$3000&lt;&gt;"")*IF('Data - SSV'!AH$6:AH$3000="",0,'Data - SSV'!AH$6:AH$3000))/AN61,3)=4,4,IF(IFERROR(SUMPRODUCT((ISNUMBER(SEARCH(B61,'Data - SSV'!AE$6:AE$3000)))*('Data - SSV'!AF$6:AF$3000&gt;=(AJ$3-90))*('Data - SSV'!AF$6:AF$3000&lt;=AJ$3)*('Data - SSV'!AH$6:AH$3000&lt;&gt;"")*IF('Data - SSV'!AH$6:AH$3000="",0,'Data - SSV'!AH$6:AH$3000))/AN61,3)&gt;=3,3,IF(IFERROR(SUMPRODUCT((ISNUMBER(SEARCH(B61,'Data - SSV'!AE$6:AE$3000)))*('Data - SSV'!AF$6:AF$3000&gt;=(AJ$3-90))*('Data - SSV'!AF$6:AF$3000&lt;=AJ$3)*('Data - SSV'!AH$6:AH$3000&lt;&gt;"")*IF('Data - SSV'!AH$6:AH$3000="",0,'Data - SSV'!AH$6:AH$3000))/AN61,3)&gt;=2,2,1))),IF(IFERROR(SUMPRODUCT((ISNUMBER(SEARCH(B61,'Data - SSV'!AE$6:AE$3000)))*('Data - SSV'!AF$6:AF$3000&gt;=(AJ$3-90))*('Data - SSV'!AF$6:AF$3000&lt;=AJ$3)*('Data - SSV'!AH$6:AH$3000&lt;&gt;"")*IF('Data - SSV'!AH$6:AH$3000="",0,'Data - SSV'!AH$6:AH$3000))/AN61,3)=4,5,IF(IFERROR(SUMPRODUCT((ISNUMBER(SEARCH(B61,'Data - SSV'!AE$6:AE$3000)))*('Data - SSV'!AF$6:AF$3000&gt;=(AJ$3-90))*('Data - SSV'!AF$6:AF$3000&lt;=AJ$3)*('Data - SSV'!AH$6:AH$3000&lt;&gt;"")*IF('Data - SSV'!AH$6:AH$3000="",0,'Data - SSV'!AH$6:AH$3000))/AN61,3)&gt;=3.5,4,IF(IFERROR(SUMPRODUCT((ISNUMBER(SEARCH(B61,'Data - SSV'!AE$6:AE$3000)))*('Data - SSV'!AF$6:AF$3000&gt;=(AJ$3-90))*('Data - SSV'!AF$6:AF$3000&lt;=AJ$3)*('Data - SSV'!AH$6:AH$3000&lt;&gt;"")*IF('Data - SSV'!AH$6:AH$3000="",0,'Data - SSV'!AH$6:AH$3000))/AN61,3)&gt;=3,3,IF(IFERROR(SUMPRODUCT((ISNUMBER(SEARCH(B61,'Data - SSV'!AE$6:AE$3000)))*('Data - SSV'!AF$6:AF$3000&gt;=(AJ$3-90))*('Data - SSV'!AF$6:AF$3000&lt;=AJ$3)*('Data - SSV'!AH$6:AH$3000&lt;&gt;"")*IF('Data - SSV'!AH$6:AH$3000="",0,'Data - SSV'!AH$6:AH$3000))/AN61,3)&gt;=2,2,1)))))))</f>
        <v/>
      </c>
    </row>
    <row r="62" ht="19.5" customHeight="1" s="146">
      <c r="A62" s="10">
        <f>'Field Teams'!A63</f>
        <v/>
      </c>
      <c r="B62" s="30">
        <f>'Field Teams'!B63</f>
        <v/>
      </c>
      <c r="C62" s="30">
        <f>'Field Teams'!C63</f>
        <v/>
      </c>
      <c r="D62" s="10">
        <f>'Field Teams'!D63</f>
        <v/>
      </c>
      <c r="E62" s="10">
        <f>'Field Teams'!E63</f>
        <v/>
      </c>
      <c r="F62" s="10">
        <f>'Field Teams'!F63</f>
        <v/>
      </c>
      <c r="G62" s="10">
        <f>'Field Teams'!G63</f>
        <v/>
      </c>
      <c r="H62" s="31">
        <f>'Field Teams'!H63</f>
        <v/>
      </c>
      <c r="I62" s="31">
        <f>H62*2</f>
        <v/>
      </c>
      <c r="J62" s="31">
        <f>IFERROR(SUMPRODUCT((((ISNUMBER(SEARCH(B62,'Data - HSQE Events'!V$6:V$3000))+ISNUMBER(SEARCH(B62,'Data - HSQE Events'!H$6:H$3000)))&gt;0))*('Data - HSQE Events'!F$6:F$3000&gt;=$AG$3)*('Data - HSQE Events'!F$6:F$3000&lt;=$AJ$3)*('Data - HSQE Events'!R$6:R$3000="Opportunity")),0)</f>
        <v/>
      </c>
      <c r="K62" s="31">
        <f>IFERROR(SUMPRODUCT((((ISNUMBER(SEARCH(B62,'Data - HSQE Events'!V$6:V$3000))+ISNUMBER(SEARCH(B62,'Data - HSQE Events'!H$6:H$3000)))&gt;0))*('Data - HSQE Events'!F$6:F$3000&gt;=$AG$3)*('Data - HSQE Events'!F$6:F$3000&lt;=$AJ$3)*('Data - HSQE Events'!R$6:R$3000="Minor")),0)</f>
        <v/>
      </c>
      <c r="L62" s="31">
        <f>IFERROR(SUMPRODUCT((((ISNUMBER(SEARCH(B62,'Data - HSQE Events'!V$6:V$3000))+ISNUMBER(SEARCH(B62,'Data - HSQE Events'!H$6:H$3000)))&gt;0))*('Data - HSQE Events'!F$6:F$3000&gt;=$AG$3)*('Data - HSQE Events'!F$6:F$3000&lt;=$AJ$3)*(('Data - HSQE Events'!R$6:R$3000="Moderate")+('Data - HSQE Events'!R$6:R$3000="Major"))),0)</f>
        <v/>
      </c>
      <c r="M62" s="31">
        <f>IF(IFERROR(SUMPRODUCT((((ISNUMBER(SEARCH(B62,'Data - HSQE Events'!V$6:V$3000))+ISNUMBER(SEARCH(B62,'Data - HSQE Events'!H$6:H$3000)))&gt;0))*('Data - HSQE Events'!F$6:F$3000&gt;=$AG$3)*('Data - HSQE Events'!F$6:F$3000&lt;=$AJ$3)*('Data - HSQE Events'!R$6:R$3000="Major")),0)&gt;0,"YES","NO")</f>
        <v/>
      </c>
      <c r="N62" s="31">
        <f>IFERROR(SUMPRODUCT(('Data - Skillko'!B$6:B$3000=B62)*('Data - Skillko'!C$6:C$3000="Total")*('Data - Skillko'!E$6:E$3000))*100,0)</f>
        <v/>
      </c>
      <c r="O62" s="31">
        <f>ROUND(MAX(1,MIN(5,1+N62/100*4)),1)</f>
        <v/>
      </c>
      <c r="P62" s="31">
        <f>IFERROR(SUMPRODUCT(ISNUMBER(SEARCH(B62,'Pole Results'!$A$13:$A$2000))*('Pole Results'!$B$13:$B$2000&gt;=$AG$3)*('Pole Results'!$B$13:$B$2000&lt;=$AE$3)*('Pole Results'!$E$13:$E$2000="Non-Compliant")),0)</f>
        <v/>
      </c>
      <c r="Q62" s="31">
        <f>IF(I62=0,1,IFERROR(ROUND(MAX(1,MIN(5,1+J62/I62*4)),1),3))</f>
        <v/>
      </c>
      <c r="R62" s="31">
        <f>ROUND(6-MAX(MIN(5,K62*0.8+1),MIN(5,L62*2+1)),1)</f>
        <v/>
      </c>
      <c r="S62" s="49">
        <f>IFERROR(ROUND(MAX(1,MIN(5,5-(P62/MAX(1,AI62))*4)),1),5)</f>
        <v/>
      </c>
      <c r="T62" s="31">
        <f>IF('Field Teams'!$I$63="Inactive","",ROUND((Q62*Settings!$D$6+R62*Settings!$D$7+O62*Settings!$D$10+S62*Settings!$D$12+AO62*Settings!$D$13)/Settings!$D$14,1))</f>
        <v/>
      </c>
      <c r="U62" s="115">
        <f>IF('Field Teams'!$I$63="Inactive","",IF(Q62="","",IF(Q62&gt;=4.5,"★★★★★",IF(Q62&gt;=3.5,"★★★★☆",IF(Q62&gt;=2.5,"★★★☆☆",IF(Q62&gt;=1.5,"★★☆☆☆","★☆☆☆☆"))))))</f>
        <v/>
      </c>
      <c r="V62" s="115">
        <f>IF('Field Teams'!$I$63="Inactive","",IF(R62="","",IF(R62&gt;=4.5,"★★★★★",IF(R62&gt;=3.5,"★★★★☆",IF(R62&gt;=2.5,"★★★☆☆",IF(R62&gt;=1.5,"★★☆☆☆","★☆☆☆☆"))))))</f>
        <v/>
      </c>
      <c r="W62" s="115">
        <f>IF('Field Teams'!$I$63="Inactive","",IF(O62="","",IF(O62&gt;=4.5,"★★★★★",IF(O62&gt;=3.5,"★★★★☆",IF(O62&gt;=2.5,"★★★☆☆",IF(O62&gt;=1.5,"★★☆☆☆","★☆☆☆☆"))))))</f>
        <v/>
      </c>
      <c r="X62" s="115">
        <f>IF('Field Teams'!$I$63="Inactive","",IF(S62="","",IF(S62&gt;=4.5,"★★★★★",IF(S62&gt;=3.5,"★★★★☆",IF(S62&gt;=2.5,"★★★☆☆",IF(S62&gt;=1.5,"★★☆☆☆","★☆☆☆☆"))))))</f>
        <v/>
      </c>
      <c r="Y62" s="115">
        <f>IF('Field Teams'!$I$63="Inactive","",IF(AO62="","",IF(AO62&gt;=4.5,"★★★★★",IF(AO62&gt;=3.5,"★★★★☆",IF(AO62&gt;=2.5,"★★★☆☆",IF(AO62&gt;=1.5,"★★☆☆☆","★☆☆☆☆"))))))</f>
        <v/>
      </c>
      <c r="Z62" s="115">
        <f>IF('Field Teams'!$I$5="Inactive","",IF(T62="","",IF(T62&gt;=4.5,"★★★★★",IF(T62&gt;=3.5,"★★★★☆",IF(T62&gt;=2.5,"★★★☆☆",IF(T62&gt;=1.5,"★★☆☆☆","★☆☆☆☆"))))))</f>
        <v/>
      </c>
      <c r="AA62" s="31">
        <f>IF('Field Teams'!$I$63="Inactive","",IF(M62="YES","HIGH",IF(Q62&lt;=Settings!$D$26,"HIGH",IF(T62&lt;=Settings!$D$23,"HIGH",IF(T62&lt;=Settings!$D$24,"MEDIUM","LOW")))))</f>
        <v/>
      </c>
      <c r="AB62" s="31">
        <f>IF('Field Teams'!$I$5="Inactive",-1,IFERROR((6-T62)+(77-ROW())*0.0001,0))</f>
        <v/>
      </c>
      <c r="AC62" s="35">
        <f>IF('Field Teams'!$I$5="Inactive",999,IFERROR((6-T62)+(ROW()-3)*0.0001,99))</f>
        <v/>
      </c>
      <c r="AD62" s="31">
        <f>IF('Field Teams'!$I$63="Inactive",999,IFERROR(AB62+(ROW()-3)*0.0001,99))</f>
        <v/>
      </c>
      <c r="AE62" s="29" t="n">
        <v>0</v>
      </c>
      <c r="AF62" s="31">
        <f>IF('Field Teams'!$I$63="Inactive","",IF(AA62="HIGH","YES - within 5 working days",""))</f>
        <v/>
      </c>
      <c r="AG62" s="105" t="n"/>
      <c r="AH62" s="49">
        <f>IFERROR(SUMPRODUCT(ISNUMBER(SEARCH(B62,'Pole Results'!$A$13:$A$2000))*('Pole Results'!$B$13:$B$2000&gt;=$AG$3)*('Pole Results'!$B$13:$B$2000&lt;=$AE$3)),0)</f>
        <v/>
      </c>
      <c r="AI62" s="49">
        <f>IFERROR(SUMPRODUCT(ISNUMBER(SEARCH(B62,'Pole Results'!$A$13:$A$2000))*('Pole Results'!$B$13:$B$2000&gt;=$AG$3)*('Pole Results'!$B$13:$B$2000&lt;=$AE$3)*('Pole Results'!$E$13:$E$2000="Compliant")),0)</f>
        <v/>
      </c>
      <c r="AJ62" s="105" t="n"/>
      <c r="AK62" s="106">
        <f>IF('Field Teams'!$I$63="Inactive",-1,IF(AA62="HIGH",AB62,-1))</f>
        <v/>
      </c>
      <c r="AL62" s="106">
        <f>IF('Field Teams'!$I$63="Inactive",-1,IF(OR(AA62="HIGH",AA62="MEDIUM"),AB62,-1))</f>
        <v/>
      </c>
      <c r="AM62">
        <f>IF('Field Teams'!$I$63="Inactive","",IF(IFERROR(LOOKUP(2,1/('Historical Scores'!C63:N63&lt;&gt;""),'Historical Scores'!C63:N63),"")="","New",IF(T62=""," ",IF(T62&gt;IFERROR(LOOKUP(2,1/('Historical Scores'!C63:N63&lt;&gt;""),'Historical Scores'!C63:N63),""),"▲ Worsening",IF(T62&lt;IFERROR(LOOKUP(2,1/('Historical Scores'!C63:N63&lt;&gt;""),'Historical Scores'!C63:N63),""),"▼ Improving","► Stable")))))</f>
        <v/>
      </c>
      <c r="AN62">
        <f>IFERROR(SUMPRODUCT((ISNUMBER(SEARCH(B62,'Data - SSV'!AE$6:AE$3000)))*('Data - SSV'!AF$6:AF$3000&gt;=(AJ$3-90))*('Data - SSV'!AF$6:AF$3000&lt;=AJ$3)*('Data - SSV'!AH$6:AH$3000&lt;&gt;"")),0)</f>
        <v/>
      </c>
      <c r="AO62">
        <f>IF('Field Teams'!$I$63="Inactive","",IF(AN62=0,3,IF(AN62=1,IF(IFERROR(SUMPRODUCT((ISNUMBER(SEARCH(B62,'Data - SSV'!AE$6:AE$3000)))*('Data - SSV'!AF$6:AF$3000&gt;=(AJ$3-90))*('Data - SSV'!AF$6:AF$3000&lt;=AJ$3)*('Data - SSV'!AH$6:AH$3000&lt;&gt;"")*IF('Data - SSV'!AH$6:AH$3000="",0,'Data - SSV'!AH$6:AH$3000))/AN62,3)=4,4,IF(IFERROR(SUMPRODUCT((ISNUMBER(SEARCH(B62,'Data - SSV'!AE$6:AE$3000)))*('Data - SSV'!AF$6:AF$3000&gt;=(AJ$3-90))*('Data - SSV'!AF$6:AF$3000&lt;=AJ$3)*('Data - SSV'!AH$6:AH$3000&lt;&gt;"")*IF('Data - SSV'!AH$6:AH$3000="",0,'Data - SSV'!AH$6:AH$3000))/AN62,3)&gt;=3,3,IF(IFERROR(SUMPRODUCT((ISNUMBER(SEARCH(B62,'Data - SSV'!AE$6:AE$3000)))*('Data - SSV'!AF$6:AF$3000&gt;=(AJ$3-90))*('Data - SSV'!AF$6:AF$3000&lt;=AJ$3)*('Data - SSV'!AH$6:AH$3000&lt;&gt;"")*IF('Data - SSV'!AH$6:AH$3000="",0,'Data - SSV'!AH$6:AH$3000))/AN62,3)&gt;=2,2,1))),IF(IFERROR(SUMPRODUCT((ISNUMBER(SEARCH(B62,'Data - SSV'!AE$6:AE$3000)))*('Data - SSV'!AF$6:AF$3000&gt;=(AJ$3-90))*('Data - SSV'!AF$6:AF$3000&lt;=AJ$3)*('Data - SSV'!AH$6:AH$3000&lt;&gt;"")*IF('Data - SSV'!AH$6:AH$3000="",0,'Data - SSV'!AH$6:AH$3000))/AN62,3)=4,5,IF(IFERROR(SUMPRODUCT((ISNUMBER(SEARCH(B62,'Data - SSV'!AE$6:AE$3000)))*('Data - SSV'!AF$6:AF$3000&gt;=(AJ$3-90))*('Data - SSV'!AF$6:AF$3000&lt;=AJ$3)*('Data - SSV'!AH$6:AH$3000&lt;&gt;"")*IF('Data - SSV'!AH$6:AH$3000="",0,'Data - SSV'!AH$6:AH$3000))/AN62,3)&gt;=3.5,4,IF(IFERROR(SUMPRODUCT((ISNUMBER(SEARCH(B62,'Data - SSV'!AE$6:AE$3000)))*('Data - SSV'!AF$6:AF$3000&gt;=(AJ$3-90))*('Data - SSV'!AF$6:AF$3000&lt;=AJ$3)*('Data - SSV'!AH$6:AH$3000&lt;&gt;"")*IF('Data - SSV'!AH$6:AH$3000="",0,'Data - SSV'!AH$6:AH$3000))/AN62,3)&gt;=3,3,IF(IFERROR(SUMPRODUCT((ISNUMBER(SEARCH(B62,'Data - SSV'!AE$6:AE$3000)))*('Data - SSV'!AF$6:AF$3000&gt;=(AJ$3-90))*('Data - SSV'!AF$6:AF$3000&lt;=AJ$3)*('Data - SSV'!AH$6:AH$3000&lt;&gt;"")*IF('Data - SSV'!AH$6:AH$3000="",0,'Data - SSV'!AH$6:AH$3000))/AN62,3)&gt;=2,2,1)))))))</f>
        <v/>
      </c>
    </row>
    <row r="63" ht="19.5" customHeight="1" s="146">
      <c r="A63" s="6">
        <f>'Field Teams'!A64</f>
        <v/>
      </c>
      <c r="B63" s="28">
        <f>'Field Teams'!B64</f>
        <v/>
      </c>
      <c r="C63" s="28">
        <f>'Field Teams'!C64</f>
        <v/>
      </c>
      <c r="D63" s="6">
        <f>'Field Teams'!D64</f>
        <v/>
      </c>
      <c r="E63" s="6">
        <f>'Field Teams'!E64</f>
        <v/>
      </c>
      <c r="F63" s="6">
        <f>'Field Teams'!F64</f>
        <v/>
      </c>
      <c r="G63" s="6">
        <f>'Field Teams'!G64</f>
        <v/>
      </c>
      <c r="H63" s="31">
        <f>'Field Teams'!H64</f>
        <v/>
      </c>
      <c r="I63" s="31">
        <f>H63*2</f>
        <v/>
      </c>
      <c r="J63" s="31">
        <f>IFERROR(SUMPRODUCT((((ISNUMBER(SEARCH(B63,'Data - HSQE Events'!V$6:V$3000))+ISNUMBER(SEARCH(B63,'Data - HSQE Events'!H$6:H$3000)))&gt;0))*('Data - HSQE Events'!F$6:F$3000&gt;=$AG$3)*('Data - HSQE Events'!F$6:F$3000&lt;=$AJ$3)*('Data - HSQE Events'!R$6:R$3000="Opportunity")),0)</f>
        <v/>
      </c>
      <c r="K63" s="31">
        <f>IFERROR(SUMPRODUCT((((ISNUMBER(SEARCH(B63,'Data - HSQE Events'!V$6:V$3000))+ISNUMBER(SEARCH(B63,'Data - HSQE Events'!H$6:H$3000)))&gt;0))*('Data - HSQE Events'!F$6:F$3000&gt;=$AG$3)*('Data - HSQE Events'!F$6:F$3000&lt;=$AJ$3)*('Data - HSQE Events'!R$6:R$3000="Minor")),0)</f>
        <v/>
      </c>
      <c r="L63" s="31">
        <f>IFERROR(SUMPRODUCT((((ISNUMBER(SEARCH(B63,'Data - HSQE Events'!V$6:V$3000))+ISNUMBER(SEARCH(B63,'Data - HSQE Events'!H$6:H$3000)))&gt;0))*('Data - HSQE Events'!F$6:F$3000&gt;=$AG$3)*('Data - HSQE Events'!F$6:F$3000&lt;=$AJ$3)*(('Data - HSQE Events'!R$6:R$3000="Moderate")+('Data - HSQE Events'!R$6:R$3000="Major"))),0)</f>
        <v/>
      </c>
      <c r="M63" s="31">
        <f>IF(IFERROR(SUMPRODUCT((((ISNUMBER(SEARCH(B63,'Data - HSQE Events'!V$6:V$3000))+ISNUMBER(SEARCH(B63,'Data - HSQE Events'!H$6:H$3000)))&gt;0))*('Data - HSQE Events'!F$6:F$3000&gt;=$AG$3)*('Data - HSQE Events'!F$6:F$3000&lt;=$AJ$3)*('Data - HSQE Events'!R$6:R$3000="Major")),0)&gt;0,"YES","NO")</f>
        <v/>
      </c>
      <c r="N63" s="31">
        <f>IFERROR(SUMPRODUCT(('Data - Skillko'!B$6:B$3000=B63)*('Data - Skillko'!C$6:C$3000="Total")*('Data - Skillko'!E$6:E$3000))*100,0)</f>
        <v/>
      </c>
      <c r="O63" s="31">
        <f>ROUND(MAX(1,MIN(5,1+N63/100*4)),1)</f>
        <v/>
      </c>
      <c r="P63" s="31">
        <f>IFERROR(SUMPRODUCT(ISNUMBER(SEARCH(B63,'Pole Results'!$A$13:$A$2000))*('Pole Results'!$B$13:$B$2000&gt;=$AG$3)*('Pole Results'!$B$13:$B$2000&lt;=$AE$3)*('Pole Results'!$E$13:$E$2000="Non-Compliant")),0)</f>
        <v/>
      </c>
      <c r="Q63" s="31">
        <f>IF(I63=0,1,IFERROR(ROUND(MAX(1,MIN(5,1+J63/I63*4)),1),3))</f>
        <v/>
      </c>
      <c r="R63" s="31">
        <f>ROUND(6-MAX(MIN(5,K63*0.8+1),MIN(5,L63*2+1)),1)</f>
        <v/>
      </c>
      <c r="S63" s="49">
        <f>IFERROR(ROUND(MAX(1,MIN(5,5-(P63/MAX(1,AI63))*4)),1),5)</f>
        <v/>
      </c>
      <c r="T63" s="31">
        <f>IF('Field Teams'!$I$64="Inactive","",ROUND((Q63*Settings!$D$6+R63*Settings!$D$7+O63*Settings!$D$10+S63*Settings!$D$12+AO63*Settings!$D$13)/Settings!$D$14,1))</f>
        <v/>
      </c>
      <c r="U63" s="115">
        <f>IF('Field Teams'!$I$64="Inactive","",IF(Q63="","",IF(Q63&gt;=4.5,"★★★★★",IF(Q63&gt;=3.5,"★★★★☆",IF(Q63&gt;=2.5,"★★★☆☆",IF(Q63&gt;=1.5,"★★☆☆☆","★☆☆☆☆"))))))</f>
        <v/>
      </c>
      <c r="V63" s="115">
        <f>IF('Field Teams'!$I$64="Inactive","",IF(R63="","",IF(R63&gt;=4.5,"★★★★★",IF(R63&gt;=3.5,"★★★★☆",IF(R63&gt;=2.5,"★★★☆☆",IF(R63&gt;=1.5,"★★☆☆☆","★☆☆☆☆"))))))</f>
        <v/>
      </c>
      <c r="W63" s="115">
        <f>IF('Field Teams'!$I$64="Inactive","",IF(O63="","",IF(O63&gt;=4.5,"★★★★★",IF(O63&gt;=3.5,"★★★★☆",IF(O63&gt;=2.5,"★★★☆☆",IF(O63&gt;=1.5,"★★☆☆☆","★☆☆☆☆"))))))</f>
        <v/>
      </c>
      <c r="X63" s="115">
        <f>IF('Field Teams'!$I$64="Inactive","",IF(S63="","",IF(S63&gt;=4.5,"★★★★★",IF(S63&gt;=3.5,"★★★★☆",IF(S63&gt;=2.5,"★★★☆☆",IF(S63&gt;=1.5,"★★☆☆☆","★☆☆☆☆"))))))</f>
        <v/>
      </c>
      <c r="Y63" s="115">
        <f>IF('Field Teams'!$I$64="Inactive","",IF(AO63="","",IF(AO63&gt;=4.5,"★★★★★",IF(AO63&gt;=3.5,"★★★★☆",IF(AO63&gt;=2.5,"★★★☆☆",IF(AO63&gt;=1.5,"★★☆☆☆","★☆☆☆☆"))))))</f>
        <v/>
      </c>
      <c r="Z63" s="115">
        <f>IF('Field Teams'!$I$5="Inactive","",IF(T63="","",IF(T63&gt;=4.5,"★★★★★",IF(T63&gt;=3.5,"★★★★☆",IF(T63&gt;=2.5,"★★★☆☆",IF(T63&gt;=1.5,"★★☆☆☆","★☆☆☆☆"))))))</f>
        <v/>
      </c>
      <c r="AA63" s="31">
        <f>IF('Field Teams'!$I$64="Inactive","",IF(M63="YES","HIGH",IF(Q63&lt;=Settings!$D$26,"HIGH",IF(T63&lt;=Settings!$D$23,"HIGH",IF(T63&lt;=Settings!$D$24,"MEDIUM","LOW")))))</f>
        <v/>
      </c>
      <c r="AB63" s="31">
        <f>IF('Field Teams'!$I$5="Inactive",-1,IFERROR((6-T63)+(77-ROW())*0.0001,0))</f>
        <v/>
      </c>
      <c r="AC63" s="35">
        <f>IF('Field Teams'!$I$5="Inactive",999,IFERROR((6-T63)+(ROW()-3)*0.0001,99))</f>
        <v/>
      </c>
      <c r="AD63" s="31">
        <f>IF('Field Teams'!$I$64="Inactive",999,IFERROR(AB63+(ROW()-3)*0.0001,99))</f>
        <v/>
      </c>
      <c r="AE63" s="29" t="n">
        <v>0</v>
      </c>
      <c r="AF63" s="31">
        <f>IF('Field Teams'!$I$64="Inactive","",IF(AA63="HIGH","YES - within 5 working days",""))</f>
        <v/>
      </c>
      <c r="AG63" s="105" t="n"/>
      <c r="AH63" s="49">
        <f>IFERROR(SUMPRODUCT(ISNUMBER(SEARCH(B63,'Pole Results'!$A$13:$A$2000))*('Pole Results'!$B$13:$B$2000&gt;=$AG$3)*('Pole Results'!$B$13:$B$2000&lt;=$AE$3)),0)</f>
        <v/>
      </c>
      <c r="AI63" s="49">
        <f>IFERROR(SUMPRODUCT(ISNUMBER(SEARCH(B63,'Pole Results'!$A$13:$A$2000))*('Pole Results'!$B$13:$B$2000&gt;=$AG$3)*('Pole Results'!$B$13:$B$2000&lt;=$AE$3)*('Pole Results'!$E$13:$E$2000="Compliant")),0)</f>
        <v/>
      </c>
      <c r="AJ63" s="105" t="n"/>
      <c r="AK63" s="106">
        <f>IF('Field Teams'!$I$64="Inactive",-1,IF(AA63="HIGH",AB63,-1))</f>
        <v/>
      </c>
      <c r="AL63" s="106">
        <f>IF('Field Teams'!$I$64="Inactive",-1,IF(OR(AA63="HIGH",AA63="MEDIUM"),AB63,-1))</f>
        <v/>
      </c>
      <c r="AM63">
        <f>IF('Field Teams'!$I$64="Inactive","",IF(IFERROR(LOOKUP(2,1/('Historical Scores'!C64:N64&lt;&gt;""),'Historical Scores'!C64:N64),"")="","New",IF(T63=""," ",IF(T63&gt;IFERROR(LOOKUP(2,1/('Historical Scores'!C64:N64&lt;&gt;""),'Historical Scores'!C64:N64),""),"▲ Worsening",IF(T63&lt;IFERROR(LOOKUP(2,1/('Historical Scores'!C64:N64&lt;&gt;""),'Historical Scores'!C64:N64),""),"▼ Improving","► Stable")))))</f>
        <v/>
      </c>
      <c r="AN63">
        <f>IFERROR(SUMPRODUCT((ISNUMBER(SEARCH(B63,'Data - SSV'!AE$6:AE$3000)))*('Data - SSV'!AF$6:AF$3000&gt;=(AJ$3-90))*('Data - SSV'!AF$6:AF$3000&lt;=AJ$3)*('Data - SSV'!AH$6:AH$3000&lt;&gt;"")),0)</f>
        <v/>
      </c>
      <c r="AO63">
        <f>IF('Field Teams'!$I$64="Inactive","",IF(AN63=0,3,IF(AN63=1,IF(IFERROR(SUMPRODUCT((ISNUMBER(SEARCH(B63,'Data - SSV'!AE$6:AE$3000)))*('Data - SSV'!AF$6:AF$3000&gt;=(AJ$3-90))*('Data - SSV'!AF$6:AF$3000&lt;=AJ$3)*('Data - SSV'!AH$6:AH$3000&lt;&gt;"")*IF('Data - SSV'!AH$6:AH$3000="",0,'Data - SSV'!AH$6:AH$3000))/AN63,3)=4,4,IF(IFERROR(SUMPRODUCT((ISNUMBER(SEARCH(B63,'Data - SSV'!AE$6:AE$3000)))*('Data - SSV'!AF$6:AF$3000&gt;=(AJ$3-90))*('Data - SSV'!AF$6:AF$3000&lt;=AJ$3)*('Data - SSV'!AH$6:AH$3000&lt;&gt;"")*IF('Data - SSV'!AH$6:AH$3000="",0,'Data - SSV'!AH$6:AH$3000))/AN63,3)&gt;=3,3,IF(IFERROR(SUMPRODUCT((ISNUMBER(SEARCH(B63,'Data - SSV'!AE$6:AE$3000)))*('Data - SSV'!AF$6:AF$3000&gt;=(AJ$3-90))*('Data - SSV'!AF$6:AF$3000&lt;=AJ$3)*('Data - SSV'!AH$6:AH$3000&lt;&gt;"")*IF('Data - SSV'!AH$6:AH$3000="",0,'Data - SSV'!AH$6:AH$3000))/AN63,3)&gt;=2,2,1))),IF(IFERROR(SUMPRODUCT((ISNUMBER(SEARCH(B63,'Data - SSV'!AE$6:AE$3000)))*('Data - SSV'!AF$6:AF$3000&gt;=(AJ$3-90))*('Data - SSV'!AF$6:AF$3000&lt;=AJ$3)*('Data - SSV'!AH$6:AH$3000&lt;&gt;"")*IF('Data - SSV'!AH$6:AH$3000="",0,'Data - SSV'!AH$6:AH$3000))/AN63,3)=4,5,IF(IFERROR(SUMPRODUCT((ISNUMBER(SEARCH(B63,'Data - SSV'!AE$6:AE$3000)))*('Data - SSV'!AF$6:AF$3000&gt;=(AJ$3-90))*('Data - SSV'!AF$6:AF$3000&lt;=AJ$3)*('Data - SSV'!AH$6:AH$3000&lt;&gt;"")*IF('Data - SSV'!AH$6:AH$3000="",0,'Data - SSV'!AH$6:AH$3000))/AN63,3)&gt;=3.5,4,IF(IFERROR(SUMPRODUCT((ISNUMBER(SEARCH(B63,'Data - SSV'!AE$6:AE$3000)))*('Data - SSV'!AF$6:AF$3000&gt;=(AJ$3-90))*('Data - SSV'!AF$6:AF$3000&lt;=AJ$3)*('Data - SSV'!AH$6:AH$3000&lt;&gt;"")*IF('Data - SSV'!AH$6:AH$3000="",0,'Data - SSV'!AH$6:AH$3000))/AN63,3)&gt;=3,3,IF(IFERROR(SUMPRODUCT((ISNUMBER(SEARCH(B63,'Data - SSV'!AE$6:AE$3000)))*('Data - SSV'!AF$6:AF$3000&gt;=(AJ$3-90))*('Data - SSV'!AF$6:AF$3000&lt;=AJ$3)*('Data - SSV'!AH$6:AH$3000&lt;&gt;"")*IF('Data - SSV'!AH$6:AH$3000="",0,'Data - SSV'!AH$6:AH$3000))/AN63,3)&gt;=2,2,1)))))))</f>
        <v/>
      </c>
    </row>
    <row r="64" ht="19.5" customHeight="1" s="146">
      <c r="A64" s="10">
        <f>'Field Teams'!A65</f>
        <v/>
      </c>
      <c r="B64" s="30">
        <f>'Field Teams'!B65</f>
        <v/>
      </c>
      <c r="C64" s="30">
        <f>'Field Teams'!C65</f>
        <v/>
      </c>
      <c r="D64" s="10">
        <f>'Field Teams'!D65</f>
        <v/>
      </c>
      <c r="E64" s="10">
        <f>'Field Teams'!E65</f>
        <v/>
      </c>
      <c r="F64" s="10">
        <f>'Field Teams'!F65</f>
        <v/>
      </c>
      <c r="G64" s="10">
        <f>'Field Teams'!G65</f>
        <v/>
      </c>
      <c r="H64" s="31">
        <f>'Field Teams'!H65</f>
        <v/>
      </c>
      <c r="I64" s="31">
        <f>H64*2</f>
        <v/>
      </c>
      <c r="J64" s="31">
        <f>IFERROR(SUMPRODUCT((((ISNUMBER(SEARCH(B64,'Data - HSQE Events'!V$6:V$3000))+ISNUMBER(SEARCH(B64,'Data - HSQE Events'!H$6:H$3000)))&gt;0))*('Data - HSQE Events'!F$6:F$3000&gt;=$AG$3)*('Data - HSQE Events'!F$6:F$3000&lt;=$AJ$3)*('Data - HSQE Events'!R$6:R$3000="Opportunity")),0)</f>
        <v/>
      </c>
      <c r="K64" s="31">
        <f>IFERROR(SUMPRODUCT((((ISNUMBER(SEARCH(B64,'Data - HSQE Events'!V$6:V$3000))+ISNUMBER(SEARCH(B64,'Data - HSQE Events'!H$6:H$3000)))&gt;0))*('Data - HSQE Events'!F$6:F$3000&gt;=$AG$3)*('Data - HSQE Events'!F$6:F$3000&lt;=$AJ$3)*('Data - HSQE Events'!R$6:R$3000="Minor")),0)</f>
        <v/>
      </c>
      <c r="L64" s="31">
        <f>IFERROR(SUMPRODUCT((((ISNUMBER(SEARCH(B64,'Data - HSQE Events'!V$6:V$3000))+ISNUMBER(SEARCH(B64,'Data - HSQE Events'!H$6:H$3000)))&gt;0))*('Data - HSQE Events'!F$6:F$3000&gt;=$AG$3)*('Data - HSQE Events'!F$6:F$3000&lt;=$AJ$3)*(('Data - HSQE Events'!R$6:R$3000="Moderate")+('Data - HSQE Events'!R$6:R$3000="Major"))),0)</f>
        <v/>
      </c>
      <c r="M64" s="31">
        <f>IF(IFERROR(SUMPRODUCT((((ISNUMBER(SEARCH(B64,'Data - HSQE Events'!V$6:V$3000))+ISNUMBER(SEARCH(B64,'Data - HSQE Events'!H$6:H$3000)))&gt;0))*('Data - HSQE Events'!F$6:F$3000&gt;=$AG$3)*('Data - HSQE Events'!F$6:F$3000&lt;=$AJ$3)*('Data - HSQE Events'!R$6:R$3000="Major")),0)&gt;0,"YES","NO")</f>
        <v/>
      </c>
      <c r="N64" s="31">
        <f>IFERROR(SUMPRODUCT(('Data - Skillko'!B$6:B$3000=B64)*('Data - Skillko'!C$6:C$3000="Total")*('Data - Skillko'!E$6:E$3000))*100,0)</f>
        <v/>
      </c>
      <c r="O64" s="31">
        <f>ROUND(MAX(1,MIN(5,1+N64/100*4)),1)</f>
        <v/>
      </c>
      <c r="P64" s="31">
        <f>IFERROR(SUMPRODUCT(ISNUMBER(SEARCH(B64,'Pole Results'!$A$13:$A$2000))*('Pole Results'!$B$13:$B$2000&gt;=$AG$3)*('Pole Results'!$B$13:$B$2000&lt;=$AE$3)*('Pole Results'!$E$13:$E$2000="Non-Compliant")),0)</f>
        <v/>
      </c>
      <c r="Q64" s="31">
        <f>IF(I64=0,1,IFERROR(ROUND(MAX(1,MIN(5,1+J64/I64*4)),1),3))</f>
        <v/>
      </c>
      <c r="R64" s="31">
        <f>ROUND(6-MAX(MIN(5,K64*0.8+1),MIN(5,L64*2+1)),1)</f>
        <v/>
      </c>
      <c r="S64" s="49">
        <f>IFERROR(ROUND(MAX(1,MIN(5,5-(P64/MAX(1,AI64))*4)),1),5)</f>
        <v/>
      </c>
      <c r="T64" s="31">
        <f>IF('Field Teams'!$I$65="Inactive","",ROUND((Q64*Settings!$D$6+R64*Settings!$D$7+O64*Settings!$D$10+S64*Settings!$D$12+AO64*Settings!$D$13)/Settings!$D$14,1))</f>
        <v/>
      </c>
      <c r="U64" s="115">
        <f>IF('Field Teams'!$I$65="Inactive","",IF(Q64="","",IF(Q64&gt;=4.5,"★★★★★",IF(Q64&gt;=3.5,"★★★★☆",IF(Q64&gt;=2.5,"★★★☆☆",IF(Q64&gt;=1.5,"★★☆☆☆","★☆☆☆☆"))))))</f>
        <v/>
      </c>
      <c r="V64" s="115">
        <f>IF('Field Teams'!$I$65="Inactive","",IF(R64="","",IF(R64&gt;=4.5,"★★★★★",IF(R64&gt;=3.5,"★★★★☆",IF(R64&gt;=2.5,"★★★☆☆",IF(R64&gt;=1.5,"★★☆☆☆","★☆☆☆☆"))))))</f>
        <v/>
      </c>
      <c r="W64" s="115">
        <f>IF('Field Teams'!$I$65="Inactive","",IF(O64="","",IF(O64&gt;=4.5,"★★★★★",IF(O64&gt;=3.5,"★★★★☆",IF(O64&gt;=2.5,"★★★☆☆",IF(O64&gt;=1.5,"★★☆☆☆","★☆☆☆☆"))))))</f>
        <v/>
      </c>
      <c r="X64" s="115">
        <f>IF('Field Teams'!$I$65="Inactive","",IF(S64="","",IF(S64&gt;=4.5,"★★★★★",IF(S64&gt;=3.5,"★★★★☆",IF(S64&gt;=2.5,"★★★☆☆",IF(S64&gt;=1.5,"★★☆☆☆","★☆☆☆☆"))))))</f>
        <v/>
      </c>
      <c r="Y64" s="115">
        <f>IF('Field Teams'!$I$65="Inactive","",IF(AO64="","",IF(AO64&gt;=4.5,"★★★★★",IF(AO64&gt;=3.5,"★★★★☆",IF(AO64&gt;=2.5,"★★★☆☆",IF(AO64&gt;=1.5,"★★☆☆☆","★☆☆☆☆"))))))</f>
        <v/>
      </c>
      <c r="Z64" s="115">
        <f>IF('Field Teams'!$I$5="Inactive","",IF(T64="","",IF(T64&gt;=4.5,"★★★★★",IF(T64&gt;=3.5,"★★★★☆",IF(T64&gt;=2.5,"★★★☆☆",IF(T64&gt;=1.5,"★★☆☆☆","★☆☆☆☆"))))))</f>
        <v/>
      </c>
      <c r="AA64" s="31">
        <f>IF('Field Teams'!$I$65="Inactive","",IF(M64="YES","HIGH",IF(Q64&lt;=Settings!$D$26,"HIGH",IF(T64&lt;=Settings!$D$23,"HIGH",IF(T64&lt;=Settings!$D$24,"MEDIUM","LOW")))))</f>
        <v/>
      </c>
      <c r="AB64" s="31">
        <f>IF('Field Teams'!$I$5="Inactive",-1,IFERROR((6-T64)+(77-ROW())*0.0001,0))</f>
        <v/>
      </c>
      <c r="AC64" s="35">
        <f>IF('Field Teams'!$I$5="Inactive",999,IFERROR((6-T64)+(ROW()-3)*0.0001,99))</f>
        <v/>
      </c>
      <c r="AD64" s="31">
        <f>IF('Field Teams'!$I$65="Inactive",999,IFERROR(AB64+(ROW()-3)*0.0001,99))</f>
        <v/>
      </c>
      <c r="AE64" s="29" t="n">
        <v>0</v>
      </c>
      <c r="AF64" s="31">
        <f>IF('Field Teams'!$I$65="Inactive","",IF(AA64="HIGH","YES - within 5 working days",""))</f>
        <v/>
      </c>
      <c r="AG64" s="105" t="n"/>
      <c r="AH64" s="49">
        <f>IFERROR(SUMPRODUCT(ISNUMBER(SEARCH(B64,'Pole Results'!$A$13:$A$2000))*('Pole Results'!$B$13:$B$2000&gt;=$AG$3)*('Pole Results'!$B$13:$B$2000&lt;=$AE$3)),0)</f>
        <v/>
      </c>
      <c r="AI64" s="49">
        <f>IFERROR(SUMPRODUCT(ISNUMBER(SEARCH(B64,'Pole Results'!$A$13:$A$2000))*('Pole Results'!$B$13:$B$2000&gt;=$AG$3)*('Pole Results'!$B$13:$B$2000&lt;=$AE$3)*('Pole Results'!$E$13:$E$2000="Compliant")),0)</f>
        <v/>
      </c>
      <c r="AJ64" s="105" t="n"/>
      <c r="AK64" s="106">
        <f>IF('Field Teams'!$I$65="Inactive",-1,IF(AA64="HIGH",AB64,-1))</f>
        <v/>
      </c>
      <c r="AL64" s="106">
        <f>IF('Field Teams'!$I$65="Inactive",-1,IF(OR(AA64="HIGH",AA64="MEDIUM"),AB64,-1))</f>
        <v/>
      </c>
      <c r="AM64">
        <f>IF('Field Teams'!$I$65="Inactive","",IF(IFERROR(LOOKUP(2,1/('Historical Scores'!C65:N65&lt;&gt;""),'Historical Scores'!C65:N65),"")="","New",IF(T64=""," ",IF(T64&gt;IFERROR(LOOKUP(2,1/('Historical Scores'!C65:N65&lt;&gt;""),'Historical Scores'!C65:N65),""),"▲ Worsening",IF(T64&lt;IFERROR(LOOKUP(2,1/('Historical Scores'!C65:N65&lt;&gt;""),'Historical Scores'!C65:N65),""),"▼ Improving","► Stable")))))</f>
        <v/>
      </c>
      <c r="AN64">
        <f>IFERROR(SUMPRODUCT((ISNUMBER(SEARCH(B64,'Data - SSV'!AE$6:AE$3000)))*('Data - SSV'!AF$6:AF$3000&gt;=(AJ$3-90))*('Data - SSV'!AF$6:AF$3000&lt;=AJ$3)*('Data - SSV'!AH$6:AH$3000&lt;&gt;"")),0)</f>
        <v/>
      </c>
      <c r="AO64">
        <f>IF('Field Teams'!$I$65="Inactive","",IF(AN64=0,3,IF(AN64=1,IF(IFERROR(SUMPRODUCT((ISNUMBER(SEARCH(B64,'Data - SSV'!AE$6:AE$3000)))*('Data - SSV'!AF$6:AF$3000&gt;=(AJ$3-90))*('Data - SSV'!AF$6:AF$3000&lt;=AJ$3)*('Data - SSV'!AH$6:AH$3000&lt;&gt;"")*IF('Data - SSV'!AH$6:AH$3000="",0,'Data - SSV'!AH$6:AH$3000))/AN64,3)=4,4,IF(IFERROR(SUMPRODUCT((ISNUMBER(SEARCH(B64,'Data - SSV'!AE$6:AE$3000)))*('Data - SSV'!AF$6:AF$3000&gt;=(AJ$3-90))*('Data - SSV'!AF$6:AF$3000&lt;=AJ$3)*('Data - SSV'!AH$6:AH$3000&lt;&gt;"")*IF('Data - SSV'!AH$6:AH$3000="",0,'Data - SSV'!AH$6:AH$3000))/AN64,3)&gt;=3,3,IF(IFERROR(SUMPRODUCT((ISNUMBER(SEARCH(B64,'Data - SSV'!AE$6:AE$3000)))*('Data - SSV'!AF$6:AF$3000&gt;=(AJ$3-90))*('Data - SSV'!AF$6:AF$3000&lt;=AJ$3)*('Data - SSV'!AH$6:AH$3000&lt;&gt;"")*IF('Data - SSV'!AH$6:AH$3000="",0,'Data - SSV'!AH$6:AH$3000))/AN64,3)&gt;=2,2,1))),IF(IFERROR(SUMPRODUCT((ISNUMBER(SEARCH(B64,'Data - SSV'!AE$6:AE$3000)))*('Data - SSV'!AF$6:AF$3000&gt;=(AJ$3-90))*('Data - SSV'!AF$6:AF$3000&lt;=AJ$3)*('Data - SSV'!AH$6:AH$3000&lt;&gt;"")*IF('Data - SSV'!AH$6:AH$3000="",0,'Data - SSV'!AH$6:AH$3000))/AN64,3)=4,5,IF(IFERROR(SUMPRODUCT((ISNUMBER(SEARCH(B64,'Data - SSV'!AE$6:AE$3000)))*('Data - SSV'!AF$6:AF$3000&gt;=(AJ$3-90))*('Data - SSV'!AF$6:AF$3000&lt;=AJ$3)*('Data - SSV'!AH$6:AH$3000&lt;&gt;"")*IF('Data - SSV'!AH$6:AH$3000="",0,'Data - SSV'!AH$6:AH$3000))/AN64,3)&gt;=3.5,4,IF(IFERROR(SUMPRODUCT((ISNUMBER(SEARCH(B64,'Data - SSV'!AE$6:AE$3000)))*('Data - SSV'!AF$6:AF$3000&gt;=(AJ$3-90))*('Data - SSV'!AF$6:AF$3000&lt;=AJ$3)*('Data - SSV'!AH$6:AH$3000&lt;&gt;"")*IF('Data - SSV'!AH$6:AH$3000="",0,'Data - SSV'!AH$6:AH$3000))/AN64,3)&gt;=3,3,IF(IFERROR(SUMPRODUCT((ISNUMBER(SEARCH(B64,'Data - SSV'!AE$6:AE$3000)))*('Data - SSV'!AF$6:AF$3000&gt;=(AJ$3-90))*('Data - SSV'!AF$6:AF$3000&lt;=AJ$3)*('Data - SSV'!AH$6:AH$3000&lt;&gt;"")*IF('Data - SSV'!AH$6:AH$3000="",0,'Data - SSV'!AH$6:AH$3000))/AN64,3)&gt;=2,2,1)))))))</f>
        <v/>
      </c>
    </row>
    <row r="65" ht="19.5" customHeight="1" s="146">
      <c r="A65" s="6">
        <f>'Field Teams'!A66</f>
        <v/>
      </c>
      <c r="B65" s="28">
        <f>'Field Teams'!B66</f>
        <v/>
      </c>
      <c r="C65" s="28">
        <f>'Field Teams'!C66</f>
        <v/>
      </c>
      <c r="D65" s="6">
        <f>'Field Teams'!D66</f>
        <v/>
      </c>
      <c r="E65" s="6">
        <f>'Field Teams'!E66</f>
        <v/>
      </c>
      <c r="F65" s="6">
        <f>'Field Teams'!F66</f>
        <v/>
      </c>
      <c r="G65" s="6">
        <f>'Field Teams'!G66</f>
        <v/>
      </c>
      <c r="H65" s="31">
        <f>'Field Teams'!H66</f>
        <v/>
      </c>
      <c r="I65" s="31">
        <f>H65*2</f>
        <v/>
      </c>
      <c r="J65" s="31">
        <f>IFERROR(SUMPRODUCT((((ISNUMBER(SEARCH(B65,'Data - HSQE Events'!V$6:V$3000))+ISNUMBER(SEARCH(B65,'Data - HSQE Events'!H$6:H$3000)))&gt;0))*('Data - HSQE Events'!F$6:F$3000&gt;=$AG$3)*('Data - HSQE Events'!F$6:F$3000&lt;=$AJ$3)*('Data - HSQE Events'!R$6:R$3000="Opportunity")),0)</f>
        <v/>
      </c>
      <c r="K65" s="31">
        <f>IFERROR(SUMPRODUCT((((ISNUMBER(SEARCH(B65,'Data - HSQE Events'!V$6:V$3000))+ISNUMBER(SEARCH(B65,'Data - HSQE Events'!H$6:H$3000)))&gt;0))*('Data - HSQE Events'!F$6:F$3000&gt;=$AG$3)*('Data - HSQE Events'!F$6:F$3000&lt;=$AJ$3)*('Data - HSQE Events'!R$6:R$3000="Minor")),0)</f>
        <v/>
      </c>
      <c r="L65" s="31">
        <f>IFERROR(SUMPRODUCT((((ISNUMBER(SEARCH(B65,'Data - HSQE Events'!V$6:V$3000))+ISNUMBER(SEARCH(B65,'Data - HSQE Events'!H$6:H$3000)))&gt;0))*('Data - HSQE Events'!F$6:F$3000&gt;=$AG$3)*('Data - HSQE Events'!F$6:F$3000&lt;=$AJ$3)*(('Data - HSQE Events'!R$6:R$3000="Moderate")+('Data - HSQE Events'!R$6:R$3000="Major"))),0)</f>
        <v/>
      </c>
      <c r="M65" s="31">
        <f>IF(IFERROR(SUMPRODUCT((((ISNUMBER(SEARCH(B65,'Data - HSQE Events'!V$6:V$3000))+ISNUMBER(SEARCH(B65,'Data - HSQE Events'!H$6:H$3000)))&gt;0))*('Data - HSQE Events'!F$6:F$3000&gt;=$AG$3)*('Data - HSQE Events'!F$6:F$3000&lt;=$AJ$3)*('Data - HSQE Events'!R$6:R$3000="Major")),0)&gt;0,"YES","NO")</f>
        <v/>
      </c>
      <c r="N65" s="31">
        <f>IFERROR(SUMPRODUCT(('Data - Skillko'!B$6:B$3000=B65)*('Data - Skillko'!C$6:C$3000="Total")*('Data - Skillko'!E$6:E$3000))*100,0)</f>
        <v/>
      </c>
      <c r="O65" s="31">
        <f>ROUND(MAX(1,MIN(5,1+N65/100*4)),1)</f>
        <v/>
      </c>
      <c r="P65" s="31">
        <f>IFERROR(SUMPRODUCT(ISNUMBER(SEARCH(B65,'Pole Results'!$A$13:$A$2000))*('Pole Results'!$B$13:$B$2000&gt;=$AG$3)*('Pole Results'!$B$13:$B$2000&lt;=$AE$3)*('Pole Results'!$E$13:$E$2000="Non-Compliant")),0)</f>
        <v/>
      </c>
      <c r="Q65" s="31">
        <f>IF(I65=0,1,IFERROR(ROUND(MAX(1,MIN(5,1+J65/I65*4)),1),3))</f>
        <v/>
      </c>
      <c r="R65" s="31">
        <f>ROUND(6-MAX(MIN(5,K65*0.8+1),MIN(5,L65*2+1)),1)</f>
        <v/>
      </c>
      <c r="S65" s="49">
        <f>IFERROR(ROUND(MAX(1,MIN(5,5-(P65/MAX(1,AI65))*4)),1),5)</f>
        <v/>
      </c>
      <c r="T65" s="31">
        <f>IF('Field Teams'!$I$66="Inactive","",ROUND((Q65*Settings!$D$6+R65*Settings!$D$7+O65*Settings!$D$10+S65*Settings!$D$12+AO65*Settings!$D$13)/Settings!$D$14,1))</f>
        <v/>
      </c>
      <c r="U65" s="115">
        <f>IF('Field Teams'!$I$66="Inactive","",IF(Q65="","",IF(Q65&gt;=4.5,"★★★★★",IF(Q65&gt;=3.5,"★★★★☆",IF(Q65&gt;=2.5,"★★★☆☆",IF(Q65&gt;=1.5,"★★☆☆☆","★☆☆☆☆"))))))</f>
        <v/>
      </c>
      <c r="V65" s="115">
        <f>IF('Field Teams'!$I$66="Inactive","",IF(R65="","",IF(R65&gt;=4.5,"★★★★★",IF(R65&gt;=3.5,"★★★★☆",IF(R65&gt;=2.5,"★★★☆☆",IF(R65&gt;=1.5,"★★☆☆☆","★☆☆☆☆"))))))</f>
        <v/>
      </c>
      <c r="W65" s="115">
        <f>IF('Field Teams'!$I$66="Inactive","",IF(O65="","",IF(O65&gt;=4.5,"★★★★★",IF(O65&gt;=3.5,"★★★★☆",IF(O65&gt;=2.5,"★★★☆☆",IF(O65&gt;=1.5,"★★☆☆☆","★☆☆☆☆"))))))</f>
        <v/>
      </c>
      <c r="X65" s="115">
        <f>IF('Field Teams'!$I$66="Inactive","",IF(S65="","",IF(S65&gt;=4.5,"★★★★★",IF(S65&gt;=3.5,"★★★★☆",IF(S65&gt;=2.5,"★★★☆☆",IF(S65&gt;=1.5,"★★☆☆☆","★☆☆☆☆"))))))</f>
        <v/>
      </c>
      <c r="Y65" s="115">
        <f>IF('Field Teams'!$I$66="Inactive","",IF(AO65="","",IF(AO65&gt;=4.5,"★★★★★",IF(AO65&gt;=3.5,"★★★★☆",IF(AO65&gt;=2.5,"★★★☆☆",IF(AO65&gt;=1.5,"★★☆☆☆","★☆☆☆☆"))))))</f>
        <v/>
      </c>
      <c r="Z65" s="115">
        <f>IF('Field Teams'!$I$5="Inactive","",IF(T65="","",IF(T65&gt;=4.5,"★★★★★",IF(T65&gt;=3.5,"★★★★☆",IF(T65&gt;=2.5,"★★★☆☆",IF(T65&gt;=1.5,"★★☆☆☆","★☆☆☆☆"))))))</f>
        <v/>
      </c>
      <c r="AA65" s="31">
        <f>IF('Field Teams'!$I$66="Inactive","",IF(M65="YES","HIGH",IF(Q65&lt;=Settings!$D$26,"HIGH",IF(T65&lt;=Settings!$D$23,"HIGH",IF(T65&lt;=Settings!$D$24,"MEDIUM","LOW")))))</f>
        <v/>
      </c>
      <c r="AB65" s="31">
        <f>IF('Field Teams'!$I$5="Inactive",-1,IFERROR((6-T65)+(77-ROW())*0.0001,0))</f>
        <v/>
      </c>
      <c r="AC65" s="35">
        <f>IF('Field Teams'!$I$5="Inactive",999,IFERROR((6-T65)+(ROW()-3)*0.0001,99))</f>
        <v/>
      </c>
      <c r="AD65" s="31">
        <f>IF('Field Teams'!$I$66="Inactive",999,IFERROR(AB65+(ROW()-3)*0.0001,99))</f>
        <v/>
      </c>
      <c r="AE65" s="29" t="n">
        <v>0</v>
      </c>
      <c r="AF65" s="31">
        <f>IF('Field Teams'!$I$66="Inactive","",IF(AA65="HIGH","YES - within 5 working days",""))</f>
        <v/>
      </c>
      <c r="AG65" s="105" t="n"/>
      <c r="AH65" s="49">
        <f>IFERROR(SUMPRODUCT(ISNUMBER(SEARCH(B65,'Pole Results'!$A$13:$A$2000))*('Pole Results'!$B$13:$B$2000&gt;=$AG$3)*('Pole Results'!$B$13:$B$2000&lt;=$AE$3)),0)</f>
        <v/>
      </c>
      <c r="AI65" s="49">
        <f>IFERROR(SUMPRODUCT(ISNUMBER(SEARCH(B65,'Pole Results'!$A$13:$A$2000))*('Pole Results'!$B$13:$B$2000&gt;=$AG$3)*('Pole Results'!$B$13:$B$2000&lt;=$AE$3)*('Pole Results'!$E$13:$E$2000="Compliant")),0)</f>
        <v/>
      </c>
      <c r="AJ65" s="105" t="n"/>
      <c r="AK65" s="106">
        <f>IF('Field Teams'!$I$66="Inactive",-1,IF(AA65="HIGH",AB65,-1))</f>
        <v/>
      </c>
      <c r="AL65" s="106">
        <f>IF('Field Teams'!$I$66="Inactive",-1,IF(OR(AA65="HIGH",AA65="MEDIUM"),AB65,-1))</f>
        <v/>
      </c>
      <c r="AM65">
        <f>IF('Field Teams'!$I$66="Inactive","",IF(IFERROR(LOOKUP(2,1/('Historical Scores'!C66:N66&lt;&gt;""),'Historical Scores'!C66:N66),"")="","New",IF(T65=""," ",IF(T65&gt;IFERROR(LOOKUP(2,1/('Historical Scores'!C66:N66&lt;&gt;""),'Historical Scores'!C66:N66),""),"▲ Worsening",IF(T65&lt;IFERROR(LOOKUP(2,1/('Historical Scores'!C66:N66&lt;&gt;""),'Historical Scores'!C66:N66),""),"▼ Improving","► Stable")))))</f>
        <v/>
      </c>
      <c r="AN65">
        <f>IFERROR(SUMPRODUCT((ISNUMBER(SEARCH(B65,'Data - SSV'!AE$6:AE$3000)))*('Data - SSV'!AF$6:AF$3000&gt;=(AJ$3-90))*('Data - SSV'!AF$6:AF$3000&lt;=AJ$3)*('Data - SSV'!AH$6:AH$3000&lt;&gt;"")),0)</f>
        <v/>
      </c>
      <c r="AO65">
        <f>IF('Field Teams'!$I$66="Inactive","",IF(AN65=0,3,IF(AN65=1,IF(IFERROR(SUMPRODUCT((ISNUMBER(SEARCH(B65,'Data - SSV'!AE$6:AE$3000)))*('Data - SSV'!AF$6:AF$3000&gt;=(AJ$3-90))*('Data - SSV'!AF$6:AF$3000&lt;=AJ$3)*('Data - SSV'!AH$6:AH$3000&lt;&gt;"")*IF('Data - SSV'!AH$6:AH$3000="",0,'Data - SSV'!AH$6:AH$3000))/AN65,3)=4,4,IF(IFERROR(SUMPRODUCT((ISNUMBER(SEARCH(B65,'Data - SSV'!AE$6:AE$3000)))*('Data - SSV'!AF$6:AF$3000&gt;=(AJ$3-90))*('Data - SSV'!AF$6:AF$3000&lt;=AJ$3)*('Data - SSV'!AH$6:AH$3000&lt;&gt;"")*IF('Data - SSV'!AH$6:AH$3000="",0,'Data - SSV'!AH$6:AH$3000))/AN65,3)&gt;=3,3,IF(IFERROR(SUMPRODUCT((ISNUMBER(SEARCH(B65,'Data - SSV'!AE$6:AE$3000)))*('Data - SSV'!AF$6:AF$3000&gt;=(AJ$3-90))*('Data - SSV'!AF$6:AF$3000&lt;=AJ$3)*('Data - SSV'!AH$6:AH$3000&lt;&gt;"")*IF('Data - SSV'!AH$6:AH$3000="",0,'Data - SSV'!AH$6:AH$3000))/AN65,3)&gt;=2,2,1))),IF(IFERROR(SUMPRODUCT((ISNUMBER(SEARCH(B65,'Data - SSV'!AE$6:AE$3000)))*('Data - SSV'!AF$6:AF$3000&gt;=(AJ$3-90))*('Data - SSV'!AF$6:AF$3000&lt;=AJ$3)*('Data - SSV'!AH$6:AH$3000&lt;&gt;"")*IF('Data - SSV'!AH$6:AH$3000="",0,'Data - SSV'!AH$6:AH$3000))/AN65,3)=4,5,IF(IFERROR(SUMPRODUCT((ISNUMBER(SEARCH(B65,'Data - SSV'!AE$6:AE$3000)))*('Data - SSV'!AF$6:AF$3000&gt;=(AJ$3-90))*('Data - SSV'!AF$6:AF$3000&lt;=AJ$3)*('Data - SSV'!AH$6:AH$3000&lt;&gt;"")*IF('Data - SSV'!AH$6:AH$3000="",0,'Data - SSV'!AH$6:AH$3000))/AN65,3)&gt;=3.5,4,IF(IFERROR(SUMPRODUCT((ISNUMBER(SEARCH(B65,'Data - SSV'!AE$6:AE$3000)))*('Data - SSV'!AF$6:AF$3000&gt;=(AJ$3-90))*('Data - SSV'!AF$6:AF$3000&lt;=AJ$3)*('Data - SSV'!AH$6:AH$3000&lt;&gt;"")*IF('Data - SSV'!AH$6:AH$3000="",0,'Data - SSV'!AH$6:AH$3000))/AN65,3)&gt;=3,3,IF(IFERROR(SUMPRODUCT((ISNUMBER(SEARCH(B65,'Data - SSV'!AE$6:AE$3000)))*('Data - SSV'!AF$6:AF$3000&gt;=(AJ$3-90))*('Data - SSV'!AF$6:AF$3000&lt;=AJ$3)*('Data - SSV'!AH$6:AH$3000&lt;&gt;"")*IF('Data - SSV'!AH$6:AH$3000="",0,'Data - SSV'!AH$6:AH$3000))/AN65,3)&gt;=2,2,1)))))))</f>
        <v/>
      </c>
    </row>
    <row r="66" ht="19.5" customHeight="1" s="146">
      <c r="A66" s="10">
        <f>'Field Teams'!A67</f>
        <v/>
      </c>
      <c r="B66" s="30">
        <f>'Field Teams'!B67</f>
        <v/>
      </c>
      <c r="C66" s="30">
        <f>'Field Teams'!C67</f>
        <v/>
      </c>
      <c r="D66" s="10">
        <f>'Field Teams'!D67</f>
        <v/>
      </c>
      <c r="E66" s="10">
        <f>'Field Teams'!E67</f>
        <v/>
      </c>
      <c r="F66" s="10">
        <f>'Field Teams'!F67</f>
        <v/>
      </c>
      <c r="G66" s="10">
        <f>'Field Teams'!G67</f>
        <v/>
      </c>
      <c r="H66" s="31">
        <f>'Field Teams'!H67</f>
        <v/>
      </c>
      <c r="I66" s="31">
        <f>H66*2</f>
        <v/>
      </c>
      <c r="J66" s="31">
        <f>IFERROR(SUMPRODUCT((((ISNUMBER(SEARCH(B66,'Data - HSQE Events'!V$6:V$3000))+ISNUMBER(SEARCH(B66,'Data - HSQE Events'!H$6:H$3000)))&gt;0))*('Data - HSQE Events'!F$6:F$3000&gt;=$AG$3)*('Data - HSQE Events'!F$6:F$3000&lt;=$AJ$3)*('Data - HSQE Events'!R$6:R$3000="Opportunity")),0)</f>
        <v/>
      </c>
      <c r="K66" s="31">
        <f>IFERROR(SUMPRODUCT((((ISNUMBER(SEARCH(B66,'Data - HSQE Events'!V$6:V$3000))+ISNUMBER(SEARCH(B66,'Data - HSQE Events'!H$6:H$3000)))&gt;0))*('Data - HSQE Events'!F$6:F$3000&gt;=$AG$3)*('Data - HSQE Events'!F$6:F$3000&lt;=$AJ$3)*('Data - HSQE Events'!R$6:R$3000="Minor")),0)</f>
        <v/>
      </c>
      <c r="L66" s="31">
        <f>IFERROR(SUMPRODUCT((((ISNUMBER(SEARCH(B66,'Data - HSQE Events'!V$6:V$3000))+ISNUMBER(SEARCH(B66,'Data - HSQE Events'!H$6:H$3000)))&gt;0))*('Data - HSQE Events'!F$6:F$3000&gt;=$AG$3)*('Data - HSQE Events'!F$6:F$3000&lt;=$AJ$3)*(('Data - HSQE Events'!R$6:R$3000="Moderate")+('Data - HSQE Events'!R$6:R$3000="Major"))),0)</f>
        <v/>
      </c>
      <c r="M66" s="31">
        <f>IF(IFERROR(SUMPRODUCT((((ISNUMBER(SEARCH(B66,'Data - HSQE Events'!V$6:V$3000))+ISNUMBER(SEARCH(B66,'Data - HSQE Events'!H$6:H$3000)))&gt;0))*('Data - HSQE Events'!F$6:F$3000&gt;=$AG$3)*('Data - HSQE Events'!F$6:F$3000&lt;=$AJ$3)*('Data - HSQE Events'!R$6:R$3000="Major")),0)&gt;0,"YES","NO")</f>
        <v/>
      </c>
      <c r="N66" s="31">
        <f>IFERROR(SUMPRODUCT(('Data - Skillko'!B$6:B$3000=B66)*('Data - Skillko'!C$6:C$3000="Total")*('Data - Skillko'!E$6:E$3000))*100,0)</f>
        <v/>
      </c>
      <c r="O66" s="31">
        <f>ROUND(MAX(1,MIN(5,1+N66/100*4)),1)</f>
        <v/>
      </c>
      <c r="P66" s="31">
        <f>IFERROR(SUMPRODUCT(ISNUMBER(SEARCH(B66,'Pole Results'!$A$13:$A$2000))*('Pole Results'!$B$13:$B$2000&gt;=$AG$3)*('Pole Results'!$B$13:$B$2000&lt;=$AE$3)*('Pole Results'!$E$13:$E$2000="Non-Compliant")),0)</f>
        <v/>
      </c>
      <c r="Q66" s="31">
        <f>IF(I66=0,1,IFERROR(ROUND(MAX(1,MIN(5,1+J66/I66*4)),1),3))</f>
        <v/>
      </c>
      <c r="R66" s="31">
        <f>ROUND(6-MAX(MIN(5,K66*0.8+1),MIN(5,L66*2+1)),1)</f>
        <v/>
      </c>
      <c r="S66" s="49">
        <f>IFERROR(ROUND(MAX(1,MIN(5,5-(P66/MAX(1,AI66))*4)),1),5)</f>
        <v/>
      </c>
      <c r="T66" s="31">
        <f>IF('Field Teams'!$I$67="Inactive","",ROUND((Q66*Settings!$D$6+R66*Settings!$D$7+O66*Settings!$D$10+S66*Settings!$D$12+AO66*Settings!$D$13)/Settings!$D$14,1))</f>
        <v/>
      </c>
      <c r="U66" s="115">
        <f>IF('Field Teams'!$I$67="Inactive","",IF(Q66="","",IF(Q66&gt;=4.5,"★★★★★",IF(Q66&gt;=3.5,"★★★★☆",IF(Q66&gt;=2.5,"★★★☆☆",IF(Q66&gt;=1.5,"★★☆☆☆","★☆☆☆☆"))))))</f>
        <v/>
      </c>
      <c r="V66" s="115">
        <f>IF('Field Teams'!$I$67="Inactive","",IF(R66="","",IF(R66&gt;=4.5,"★★★★★",IF(R66&gt;=3.5,"★★★★☆",IF(R66&gt;=2.5,"★★★☆☆",IF(R66&gt;=1.5,"★★☆☆☆","★☆☆☆☆"))))))</f>
        <v/>
      </c>
      <c r="W66" s="115">
        <f>IF('Field Teams'!$I$67="Inactive","",IF(O66="","",IF(O66&gt;=4.5,"★★★★★",IF(O66&gt;=3.5,"★★★★☆",IF(O66&gt;=2.5,"★★★☆☆",IF(O66&gt;=1.5,"★★☆☆☆","★☆☆☆☆"))))))</f>
        <v/>
      </c>
      <c r="X66" s="115">
        <f>IF('Field Teams'!$I$67="Inactive","",IF(S66="","",IF(S66&gt;=4.5,"★★★★★",IF(S66&gt;=3.5,"★★★★☆",IF(S66&gt;=2.5,"★★★☆☆",IF(S66&gt;=1.5,"★★☆☆☆","★☆☆☆☆"))))))</f>
        <v/>
      </c>
      <c r="Y66" s="115">
        <f>IF('Field Teams'!$I$67="Inactive","",IF(AO66="","",IF(AO66&gt;=4.5,"★★★★★",IF(AO66&gt;=3.5,"★★★★☆",IF(AO66&gt;=2.5,"★★★☆☆",IF(AO66&gt;=1.5,"★★☆☆☆","★☆☆☆☆"))))))</f>
        <v/>
      </c>
      <c r="Z66" s="115">
        <f>IF('Field Teams'!$I$5="Inactive","",IF(T66="","",IF(T66&gt;=4.5,"★★★★★",IF(T66&gt;=3.5,"★★★★☆",IF(T66&gt;=2.5,"★★★☆☆",IF(T66&gt;=1.5,"★★☆☆☆","★☆☆☆☆"))))))</f>
        <v/>
      </c>
      <c r="AA66" s="31">
        <f>IF('Field Teams'!$I$67="Inactive","",IF(M66="YES","HIGH",IF(Q66&lt;=Settings!$D$26,"HIGH",IF(T66&lt;=Settings!$D$23,"HIGH",IF(T66&lt;=Settings!$D$24,"MEDIUM","LOW")))))</f>
        <v/>
      </c>
      <c r="AB66" s="31">
        <f>IF('Field Teams'!$I$5="Inactive",-1,IFERROR((6-T66)+(77-ROW())*0.0001,0))</f>
        <v/>
      </c>
      <c r="AC66" s="35">
        <f>IF('Field Teams'!$I$5="Inactive",999,IFERROR((6-T66)+(ROW()-3)*0.0001,99))</f>
        <v/>
      </c>
      <c r="AD66" s="31">
        <f>IF('Field Teams'!$I$67="Inactive",999,IFERROR(AB66+(ROW()-3)*0.0001,99))</f>
        <v/>
      </c>
      <c r="AE66" s="29" t="n">
        <v>0</v>
      </c>
      <c r="AF66" s="31">
        <f>IF('Field Teams'!$I$67="Inactive","",IF(AA66="HIGH","YES - within 5 working days",""))</f>
        <v/>
      </c>
      <c r="AG66" s="105" t="n"/>
      <c r="AH66" s="49">
        <f>IFERROR(SUMPRODUCT(ISNUMBER(SEARCH(B66,'Pole Results'!$A$13:$A$2000))*('Pole Results'!$B$13:$B$2000&gt;=$AG$3)*('Pole Results'!$B$13:$B$2000&lt;=$AE$3)),0)</f>
        <v/>
      </c>
      <c r="AI66" s="49">
        <f>IFERROR(SUMPRODUCT(ISNUMBER(SEARCH(B66,'Pole Results'!$A$13:$A$2000))*('Pole Results'!$B$13:$B$2000&gt;=$AG$3)*('Pole Results'!$B$13:$B$2000&lt;=$AE$3)*('Pole Results'!$E$13:$E$2000="Compliant")),0)</f>
        <v/>
      </c>
      <c r="AJ66" s="105" t="n"/>
      <c r="AK66" s="106">
        <f>IF('Field Teams'!$I$67="Inactive",-1,IF(AA66="HIGH",AB66,-1))</f>
        <v/>
      </c>
      <c r="AL66" s="106">
        <f>IF('Field Teams'!$I$67="Inactive",-1,IF(OR(AA66="HIGH",AA66="MEDIUM"),AB66,-1))</f>
        <v/>
      </c>
      <c r="AM66">
        <f>IF('Field Teams'!$I$67="Inactive","",IF(IFERROR(LOOKUP(2,1/('Historical Scores'!C67:N67&lt;&gt;""),'Historical Scores'!C67:N67),"")="","New",IF(T66=""," ",IF(T66&gt;IFERROR(LOOKUP(2,1/('Historical Scores'!C67:N67&lt;&gt;""),'Historical Scores'!C67:N67),""),"▲ Worsening",IF(T66&lt;IFERROR(LOOKUP(2,1/('Historical Scores'!C67:N67&lt;&gt;""),'Historical Scores'!C67:N67),""),"▼ Improving","► Stable")))))</f>
        <v/>
      </c>
      <c r="AN66">
        <f>IFERROR(SUMPRODUCT((ISNUMBER(SEARCH(B66,'Data - SSV'!AE$6:AE$3000)))*('Data - SSV'!AF$6:AF$3000&gt;=(AJ$3-90))*('Data - SSV'!AF$6:AF$3000&lt;=AJ$3)*('Data - SSV'!AH$6:AH$3000&lt;&gt;"")),0)</f>
        <v/>
      </c>
      <c r="AO66">
        <f>IF('Field Teams'!$I$67="Inactive","",IF(AN66=0,3,IF(AN66=1,IF(IFERROR(SUMPRODUCT((ISNUMBER(SEARCH(B66,'Data - SSV'!AE$6:AE$3000)))*('Data - SSV'!AF$6:AF$3000&gt;=(AJ$3-90))*('Data - SSV'!AF$6:AF$3000&lt;=AJ$3)*('Data - SSV'!AH$6:AH$3000&lt;&gt;"")*IF('Data - SSV'!AH$6:AH$3000="",0,'Data - SSV'!AH$6:AH$3000))/AN66,3)=4,4,IF(IFERROR(SUMPRODUCT((ISNUMBER(SEARCH(B66,'Data - SSV'!AE$6:AE$3000)))*('Data - SSV'!AF$6:AF$3000&gt;=(AJ$3-90))*('Data - SSV'!AF$6:AF$3000&lt;=AJ$3)*('Data - SSV'!AH$6:AH$3000&lt;&gt;"")*IF('Data - SSV'!AH$6:AH$3000="",0,'Data - SSV'!AH$6:AH$3000))/AN66,3)&gt;=3,3,IF(IFERROR(SUMPRODUCT((ISNUMBER(SEARCH(B66,'Data - SSV'!AE$6:AE$3000)))*('Data - SSV'!AF$6:AF$3000&gt;=(AJ$3-90))*('Data - SSV'!AF$6:AF$3000&lt;=AJ$3)*('Data - SSV'!AH$6:AH$3000&lt;&gt;"")*IF('Data - SSV'!AH$6:AH$3000="",0,'Data - SSV'!AH$6:AH$3000))/AN66,3)&gt;=2,2,1))),IF(IFERROR(SUMPRODUCT((ISNUMBER(SEARCH(B66,'Data - SSV'!AE$6:AE$3000)))*('Data - SSV'!AF$6:AF$3000&gt;=(AJ$3-90))*('Data - SSV'!AF$6:AF$3000&lt;=AJ$3)*('Data - SSV'!AH$6:AH$3000&lt;&gt;"")*IF('Data - SSV'!AH$6:AH$3000="",0,'Data - SSV'!AH$6:AH$3000))/AN66,3)=4,5,IF(IFERROR(SUMPRODUCT((ISNUMBER(SEARCH(B66,'Data - SSV'!AE$6:AE$3000)))*('Data - SSV'!AF$6:AF$3000&gt;=(AJ$3-90))*('Data - SSV'!AF$6:AF$3000&lt;=AJ$3)*('Data - SSV'!AH$6:AH$3000&lt;&gt;"")*IF('Data - SSV'!AH$6:AH$3000="",0,'Data - SSV'!AH$6:AH$3000))/AN66,3)&gt;=3.5,4,IF(IFERROR(SUMPRODUCT((ISNUMBER(SEARCH(B66,'Data - SSV'!AE$6:AE$3000)))*('Data - SSV'!AF$6:AF$3000&gt;=(AJ$3-90))*('Data - SSV'!AF$6:AF$3000&lt;=AJ$3)*('Data - SSV'!AH$6:AH$3000&lt;&gt;"")*IF('Data - SSV'!AH$6:AH$3000="",0,'Data - SSV'!AH$6:AH$3000))/AN66,3)&gt;=3,3,IF(IFERROR(SUMPRODUCT((ISNUMBER(SEARCH(B66,'Data - SSV'!AE$6:AE$3000)))*('Data - SSV'!AF$6:AF$3000&gt;=(AJ$3-90))*('Data - SSV'!AF$6:AF$3000&lt;=AJ$3)*('Data - SSV'!AH$6:AH$3000&lt;&gt;"")*IF('Data - SSV'!AH$6:AH$3000="",0,'Data - SSV'!AH$6:AH$3000))/AN66,3)&gt;=2,2,1)))))))</f>
        <v/>
      </c>
    </row>
    <row r="67" ht="19.5" customHeight="1" s="146">
      <c r="A67" s="6">
        <f>'Field Teams'!A68</f>
        <v/>
      </c>
      <c r="B67" s="28">
        <f>'Field Teams'!B68</f>
        <v/>
      </c>
      <c r="C67" s="28">
        <f>'Field Teams'!C68</f>
        <v/>
      </c>
      <c r="D67" s="6">
        <f>'Field Teams'!D68</f>
        <v/>
      </c>
      <c r="E67" s="6">
        <f>'Field Teams'!E68</f>
        <v/>
      </c>
      <c r="F67" s="6">
        <f>'Field Teams'!F68</f>
        <v/>
      </c>
      <c r="G67" s="6">
        <f>'Field Teams'!G68</f>
        <v/>
      </c>
      <c r="H67" s="31">
        <f>'Field Teams'!H68</f>
        <v/>
      </c>
      <c r="I67" s="31">
        <f>H67*2</f>
        <v/>
      </c>
      <c r="J67" s="31">
        <f>IFERROR(SUMPRODUCT((((ISNUMBER(SEARCH(B67,'Data - HSQE Events'!V$6:V$3000))+ISNUMBER(SEARCH(B67,'Data - HSQE Events'!H$6:H$3000)))&gt;0))*('Data - HSQE Events'!F$6:F$3000&gt;=$AG$3)*('Data - HSQE Events'!F$6:F$3000&lt;=$AJ$3)*('Data - HSQE Events'!R$6:R$3000="Opportunity")),0)</f>
        <v/>
      </c>
      <c r="K67" s="31">
        <f>IFERROR(SUMPRODUCT((((ISNUMBER(SEARCH(B67,'Data - HSQE Events'!V$6:V$3000))+ISNUMBER(SEARCH(B67,'Data - HSQE Events'!H$6:H$3000)))&gt;0))*('Data - HSQE Events'!F$6:F$3000&gt;=$AG$3)*('Data - HSQE Events'!F$6:F$3000&lt;=$AJ$3)*('Data - HSQE Events'!R$6:R$3000="Minor")),0)</f>
        <v/>
      </c>
      <c r="L67" s="31">
        <f>IFERROR(SUMPRODUCT((((ISNUMBER(SEARCH(B67,'Data - HSQE Events'!V$6:V$3000))+ISNUMBER(SEARCH(B67,'Data - HSQE Events'!H$6:H$3000)))&gt;0))*('Data - HSQE Events'!F$6:F$3000&gt;=$AG$3)*('Data - HSQE Events'!F$6:F$3000&lt;=$AJ$3)*(('Data - HSQE Events'!R$6:R$3000="Moderate")+('Data - HSQE Events'!R$6:R$3000="Major"))),0)</f>
        <v/>
      </c>
      <c r="M67" s="31">
        <f>IF(IFERROR(SUMPRODUCT((((ISNUMBER(SEARCH(B67,'Data - HSQE Events'!V$6:V$3000))+ISNUMBER(SEARCH(B67,'Data - HSQE Events'!H$6:H$3000)))&gt;0))*('Data - HSQE Events'!F$6:F$3000&gt;=$AG$3)*('Data - HSQE Events'!F$6:F$3000&lt;=$AJ$3)*('Data - HSQE Events'!R$6:R$3000="Major")),0)&gt;0,"YES","NO")</f>
        <v/>
      </c>
      <c r="N67" s="31">
        <f>IFERROR(SUMPRODUCT(('Data - Skillko'!B$6:B$3000=B67)*('Data - Skillko'!C$6:C$3000="Total")*('Data - Skillko'!E$6:E$3000))*100,0)</f>
        <v/>
      </c>
      <c r="O67" s="31">
        <f>ROUND(MAX(1,MIN(5,1+N67/100*4)),1)</f>
        <v/>
      </c>
      <c r="P67" s="31">
        <f>IFERROR(SUMPRODUCT(ISNUMBER(SEARCH(B67,'Pole Results'!$A$13:$A$2000))*('Pole Results'!$B$13:$B$2000&gt;=$AG$3)*('Pole Results'!$B$13:$B$2000&lt;=$AE$3)*('Pole Results'!$E$13:$E$2000="Non-Compliant")),0)</f>
        <v/>
      </c>
      <c r="Q67" s="31">
        <f>IF(I67=0,1,IFERROR(ROUND(MAX(1,MIN(5,1+J67/I67*4)),1),3))</f>
        <v/>
      </c>
      <c r="R67" s="31">
        <f>ROUND(6-MAX(MIN(5,K67*0.8+1),MIN(5,L67*2+1)),1)</f>
        <v/>
      </c>
      <c r="S67" s="49">
        <f>IFERROR(ROUND(MAX(1,MIN(5,5-(P67/MAX(1,AI67))*4)),1),5)</f>
        <v/>
      </c>
      <c r="T67" s="31">
        <f>IF('Field Teams'!$I$68="Inactive","",ROUND((Q67*Settings!$D$6+R67*Settings!$D$7+O67*Settings!$D$10+S67*Settings!$D$12+AO67*Settings!$D$13)/Settings!$D$14,1))</f>
        <v/>
      </c>
      <c r="U67" s="115">
        <f>IF('Field Teams'!$I$68="Inactive","",IF(Q67="","",IF(Q67&gt;=4.5,"★★★★★",IF(Q67&gt;=3.5,"★★★★☆",IF(Q67&gt;=2.5,"★★★☆☆",IF(Q67&gt;=1.5,"★★☆☆☆","★☆☆☆☆"))))))</f>
        <v/>
      </c>
      <c r="V67" s="115">
        <f>IF('Field Teams'!$I$68="Inactive","",IF(R67="","",IF(R67&gt;=4.5,"★★★★★",IF(R67&gt;=3.5,"★★★★☆",IF(R67&gt;=2.5,"★★★☆☆",IF(R67&gt;=1.5,"★★☆☆☆","★☆☆☆☆"))))))</f>
        <v/>
      </c>
      <c r="W67" s="115">
        <f>IF('Field Teams'!$I$68="Inactive","",IF(O67="","",IF(O67&gt;=4.5,"★★★★★",IF(O67&gt;=3.5,"★★★★☆",IF(O67&gt;=2.5,"★★★☆☆",IF(O67&gt;=1.5,"★★☆☆☆","★☆☆☆☆"))))))</f>
        <v/>
      </c>
      <c r="X67" s="115">
        <f>IF('Field Teams'!$I$68="Inactive","",IF(S67="","",IF(S67&gt;=4.5,"★★★★★",IF(S67&gt;=3.5,"★★★★☆",IF(S67&gt;=2.5,"★★★☆☆",IF(S67&gt;=1.5,"★★☆☆☆","★☆☆☆☆"))))))</f>
        <v/>
      </c>
      <c r="Y67" s="115">
        <f>IF('Field Teams'!$I$68="Inactive","",IF(AO67="","",IF(AO67&gt;=4.5,"★★★★★",IF(AO67&gt;=3.5,"★★★★☆",IF(AO67&gt;=2.5,"★★★☆☆",IF(AO67&gt;=1.5,"★★☆☆☆","★☆☆☆☆"))))))</f>
        <v/>
      </c>
      <c r="Z67" s="115">
        <f>IF('Field Teams'!$I$5="Inactive","",IF(T67="","",IF(T67&gt;=4.5,"★★★★★",IF(T67&gt;=3.5,"★★★★☆",IF(T67&gt;=2.5,"★★★☆☆",IF(T67&gt;=1.5,"★★☆☆☆","★☆☆☆☆"))))))</f>
        <v/>
      </c>
      <c r="AA67" s="31">
        <f>IF('Field Teams'!$I$68="Inactive","",IF(M67="YES","HIGH",IF(Q67&lt;=Settings!$D$26,"HIGH",IF(T67&lt;=Settings!$D$23,"HIGH",IF(T67&lt;=Settings!$D$24,"MEDIUM","LOW")))))</f>
        <v/>
      </c>
      <c r="AB67" s="31">
        <f>IF('Field Teams'!$I$5="Inactive",-1,IFERROR((6-T67)+(77-ROW())*0.0001,0))</f>
        <v/>
      </c>
      <c r="AC67" s="35">
        <f>IF('Field Teams'!$I$5="Inactive",999,IFERROR((6-T67)+(ROW()-3)*0.0001,99))</f>
        <v/>
      </c>
      <c r="AD67" s="31">
        <f>IF('Field Teams'!$I$68="Inactive",999,IFERROR(AB67+(ROW()-3)*0.0001,99))</f>
        <v/>
      </c>
      <c r="AE67" s="29" t="n">
        <v>0</v>
      </c>
      <c r="AF67" s="31">
        <f>IF('Field Teams'!$I$68="Inactive","",IF(AA67="HIGH","YES - within 5 working days",""))</f>
        <v/>
      </c>
      <c r="AG67" s="105" t="n"/>
      <c r="AH67" s="49">
        <f>IFERROR(SUMPRODUCT(ISNUMBER(SEARCH(B67,'Pole Results'!$A$13:$A$2000))*('Pole Results'!$B$13:$B$2000&gt;=$AG$3)*('Pole Results'!$B$13:$B$2000&lt;=$AE$3)),0)</f>
        <v/>
      </c>
      <c r="AI67" s="49">
        <f>IFERROR(SUMPRODUCT(ISNUMBER(SEARCH(B67,'Pole Results'!$A$13:$A$2000))*('Pole Results'!$B$13:$B$2000&gt;=$AG$3)*('Pole Results'!$B$13:$B$2000&lt;=$AE$3)*('Pole Results'!$E$13:$E$2000="Compliant")),0)</f>
        <v/>
      </c>
      <c r="AJ67" s="105" t="n"/>
      <c r="AK67" s="106">
        <f>IF('Field Teams'!$I$68="Inactive",-1,IF(AA67="HIGH",AB67,-1))</f>
        <v/>
      </c>
      <c r="AL67" s="106">
        <f>IF('Field Teams'!$I$68="Inactive",-1,IF(OR(AA67="HIGH",AA67="MEDIUM"),AB67,-1))</f>
        <v/>
      </c>
      <c r="AM67">
        <f>IF('Field Teams'!$I$68="Inactive","",IF(IFERROR(LOOKUP(2,1/('Historical Scores'!C68:N68&lt;&gt;""),'Historical Scores'!C68:N68),"")="","New",IF(T67=""," ",IF(T67&gt;IFERROR(LOOKUP(2,1/('Historical Scores'!C68:N68&lt;&gt;""),'Historical Scores'!C68:N68),""),"▲ Worsening",IF(T67&lt;IFERROR(LOOKUP(2,1/('Historical Scores'!C68:N68&lt;&gt;""),'Historical Scores'!C68:N68),""),"▼ Improving","► Stable")))))</f>
        <v/>
      </c>
      <c r="AN67">
        <f>IFERROR(SUMPRODUCT((ISNUMBER(SEARCH(B67,'Data - SSV'!AE$6:AE$3000)))*('Data - SSV'!AF$6:AF$3000&gt;=(AJ$3-90))*('Data - SSV'!AF$6:AF$3000&lt;=AJ$3)*('Data - SSV'!AH$6:AH$3000&lt;&gt;"")),0)</f>
        <v/>
      </c>
      <c r="AO67">
        <f>IF('Field Teams'!$I$68="Inactive","",IF(AN67=0,3,IF(AN67=1,IF(IFERROR(SUMPRODUCT((ISNUMBER(SEARCH(B67,'Data - SSV'!AE$6:AE$3000)))*('Data - SSV'!AF$6:AF$3000&gt;=(AJ$3-90))*('Data - SSV'!AF$6:AF$3000&lt;=AJ$3)*('Data - SSV'!AH$6:AH$3000&lt;&gt;"")*IF('Data - SSV'!AH$6:AH$3000="",0,'Data - SSV'!AH$6:AH$3000))/AN67,3)=4,4,IF(IFERROR(SUMPRODUCT((ISNUMBER(SEARCH(B67,'Data - SSV'!AE$6:AE$3000)))*('Data - SSV'!AF$6:AF$3000&gt;=(AJ$3-90))*('Data - SSV'!AF$6:AF$3000&lt;=AJ$3)*('Data - SSV'!AH$6:AH$3000&lt;&gt;"")*IF('Data - SSV'!AH$6:AH$3000="",0,'Data - SSV'!AH$6:AH$3000))/AN67,3)&gt;=3,3,IF(IFERROR(SUMPRODUCT((ISNUMBER(SEARCH(B67,'Data - SSV'!AE$6:AE$3000)))*('Data - SSV'!AF$6:AF$3000&gt;=(AJ$3-90))*('Data - SSV'!AF$6:AF$3000&lt;=AJ$3)*('Data - SSV'!AH$6:AH$3000&lt;&gt;"")*IF('Data - SSV'!AH$6:AH$3000="",0,'Data - SSV'!AH$6:AH$3000))/AN67,3)&gt;=2,2,1))),IF(IFERROR(SUMPRODUCT((ISNUMBER(SEARCH(B67,'Data - SSV'!AE$6:AE$3000)))*('Data - SSV'!AF$6:AF$3000&gt;=(AJ$3-90))*('Data - SSV'!AF$6:AF$3000&lt;=AJ$3)*('Data - SSV'!AH$6:AH$3000&lt;&gt;"")*IF('Data - SSV'!AH$6:AH$3000="",0,'Data - SSV'!AH$6:AH$3000))/AN67,3)=4,5,IF(IFERROR(SUMPRODUCT((ISNUMBER(SEARCH(B67,'Data - SSV'!AE$6:AE$3000)))*('Data - SSV'!AF$6:AF$3000&gt;=(AJ$3-90))*('Data - SSV'!AF$6:AF$3000&lt;=AJ$3)*('Data - SSV'!AH$6:AH$3000&lt;&gt;"")*IF('Data - SSV'!AH$6:AH$3000="",0,'Data - SSV'!AH$6:AH$3000))/AN67,3)&gt;=3.5,4,IF(IFERROR(SUMPRODUCT((ISNUMBER(SEARCH(B67,'Data - SSV'!AE$6:AE$3000)))*('Data - SSV'!AF$6:AF$3000&gt;=(AJ$3-90))*('Data - SSV'!AF$6:AF$3000&lt;=AJ$3)*('Data - SSV'!AH$6:AH$3000&lt;&gt;"")*IF('Data - SSV'!AH$6:AH$3000="",0,'Data - SSV'!AH$6:AH$3000))/AN67,3)&gt;=3,3,IF(IFERROR(SUMPRODUCT((ISNUMBER(SEARCH(B67,'Data - SSV'!AE$6:AE$3000)))*('Data - SSV'!AF$6:AF$3000&gt;=(AJ$3-90))*('Data - SSV'!AF$6:AF$3000&lt;=AJ$3)*('Data - SSV'!AH$6:AH$3000&lt;&gt;"")*IF('Data - SSV'!AH$6:AH$3000="",0,'Data - SSV'!AH$6:AH$3000))/AN67,3)&gt;=2,2,1)))))))</f>
        <v/>
      </c>
    </row>
    <row r="68" ht="19.5" customHeight="1" s="146">
      <c r="A68" s="10">
        <f>'Field Teams'!A69</f>
        <v/>
      </c>
      <c r="B68" s="30">
        <f>'Field Teams'!B69</f>
        <v/>
      </c>
      <c r="C68" s="30">
        <f>'Field Teams'!C69</f>
        <v/>
      </c>
      <c r="D68" s="10">
        <f>'Field Teams'!D69</f>
        <v/>
      </c>
      <c r="E68" s="10">
        <f>'Field Teams'!E69</f>
        <v/>
      </c>
      <c r="F68" s="10">
        <f>'Field Teams'!F69</f>
        <v/>
      </c>
      <c r="G68" s="10">
        <f>'Field Teams'!G69</f>
        <v/>
      </c>
      <c r="H68" s="31">
        <f>'Field Teams'!H69</f>
        <v/>
      </c>
      <c r="I68" s="31">
        <f>H68*2</f>
        <v/>
      </c>
      <c r="J68" s="31">
        <f>IFERROR(SUMPRODUCT((((ISNUMBER(SEARCH(B68,'Data - HSQE Events'!V$6:V$3000))+ISNUMBER(SEARCH(B68,'Data - HSQE Events'!H$6:H$3000)))&gt;0))*('Data - HSQE Events'!F$6:F$3000&gt;=$AG$3)*('Data - HSQE Events'!F$6:F$3000&lt;=$AJ$3)*('Data - HSQE Events'!R$6:R$3000="Opportunity")),0)</f>
        <v/>
      </c>
      <c r="K68" s="31">
        <f>IFERROR(SUMPRODUCT((((ISNUMBER(SEARCH(B68,'Data - HSQE Events'!V$6:V$3000))+ISNUMBER(SEARCH(B68,'Data - HSQE Events'!H$6:H$3000)))&gt;0))*('Data - HSQE Events'!F$6:F$3000&gt;=$AG$3)*('Data - HSQE Events'!F$6:F$3000&lt;=$AJ$3)*('Data - HSQE Events'!R$6:R$3000="Minor")),0)</f>
        <v/>
      </c>
      <c r="L68" s="31">
        <f>IFERROR(SUMPRODUCT((((ISNUMBER(SEARCH(B68,'Data - HSQE Events'!V$6:V$3000))+ISNUMBER(SEARCH(B68,'Data - HSQE Events'!H$6:H$3000)))&gt;0))*('Data - HSQE Events'!F$6:F$3000&gt;=$AG$3)*('Data - HSQE Events'!F$6:F$3000&lt;=$AJ$3)*(('Data - HSQE Events'!R$6:R$3000="Moderate")+('Data - HSQE Events'!R$6:R$3000="Major"))),0)</f>
        <v/>
      </c>
      <c r="M68" s="31">
        <f>IF(IFERROR(SUMPRODUCT((((ISNUMBER(SEARCH(B68,'Data - HSQE Events'!V$6:V$3000))+ISNUMBER(SEARCH(B68,'Data - HSQE Events'!H$6:H$3000)))&gt;0))*('Data - HSQE Events'!F$6:F$3000&gt;=$AG$3)*('Data - HSQE Events'!F$6:F$3000&lt;=$AJ$3)*('Data - HSQE Events'!R$6:R$3000="Major")),0)&gt;0,"YES","NO")</f>
        <v/>
      </c>
      <c r="N68" s="31">
        <f>IFERROR(SUMPRODUCT(('Data - Skillko'!B$6:B$3000=B68)*('Data - Skillko'!C$6:C$3000="Total")*('Data - Skillko'!E$6:E$3000))*100,0)</f>
        <v/>
      </c>
      <c r="O68" s="31">
        <f>ROUND(MAX(1,MIN(5,1+N68/100*4)),1)</f>
        <v/>
      </c>
      <c r="P68" s="31">
        <f>IFERROR(SUMPRODUCT(ISNUMBER(SEARCH(B68,'Pole Results'!$A$13:$A$2000))*('Pole Results'!$B$13:$B$2000&gt;=$AG$3)*('Pole Results'!$B$13:$B$2000&lt;=$AE$3)*('Pole Results'!$E$13:$E$2000="Non-Compliant")),0)</f>
        <v/>
      </c>
      <c r="Q68" s="31">
        <f>IF(I68=0,1,IFERROR(ROUND(MAX(1,MIN(5,1+J68/I68*4)),1),3))</f>
        <v/>
      </c>
      <c r="R68" s="31">
        <f>ROUND(6-MAX(MIN(5,K68*0.8+1),MIN(5,L68*2+1)),1)</f>
        <v/>
      </c>
      <c r="S68" s="49">
        <f>IFERROR(ROUND(MAX(1,MIN(5,5-(P68/MAX(1,AI68))*4)),1),5)</f>
        <v/>
      </c>
      <c r="T68" s="31">
        <f>IF('Field Teams'!$I$69="Inactive","",ROUND((Q68*Settings!$D$6+R68*Settings!$D$7+O68*Settings!$D$10+S68*Settings!$D$12+AO68*Settings!$D$13)/Settings!$D$14,1))</f>
        <v/>
      </c>
      <c r="U68" s="115">
        <f>IF('Field Teams'!$I$69="Inactive","",IF(Q68="","",IF(Q68&gt;=4.5,"★★★★★",IF(Q68&gt;=3.5,"★★★★☆",IF(Q68&gt;=2.5,"★★★☆☆",IF(Q68&gt;=1.5,"★★☆☆☆","★☆☆☆☆"))))))</f>
        <v/>
      </c>
      <c r="V68" s="115">
        <f>IF('Field Teams'!$I$69="Inactive","",IF(R68="","",IF(R68&gt;=4.5,"★★★★★",IF(R68&gt;=3.5,"★★★★☆",IF(R68&gt;=2.5,"★★★☆☆",IF(R68&gt;=1.5,"★★☆☆☆","★☆☆☆☆"))))))</f>
        <v/>
      </c>
      <c r="W68" s="115">
        <f>IF('Field Teams'!$I$69="Inactive","",IF(O68="","",IF(O68&gt;=4.5,"★★★★★",IF(O68&gt;=3.5,"★★★★☆",IF(O68&gt;=2.5,"★★★☆☆",IF(O68&gt;=1.5,"★★☆☆☆","★☆☆☆☆"))))))</f>
        <v/>
      </c>
      <c r="X68" s="115">
        <f>IF('Field Teams'!$I$69="Inactive","",IF(S68="","",IF(S68&gt;=4.5,"★★★★★",IF(S68&gt;=3.5,"★★★★☆",IF(S68&gt;=2.5,"★★★☆☆",IF(S68&gt;=1.5,"★★☆☆☆","★☆☆☆☆"))))))</f>
        <v/>
      </c>
      <c r="Y68" s="115">
        <f>IF('Field Teams'!$I$69="Inactive","",IF(AO68="","",IF(AO68&gt;=4.5,"★★★★★",IF(AO68&gt;=3.5,"★★★★☆",IF(AO68&gt;=2.5,"★★★☆☆",IF(AO68&gt;=1.5,"★★☆☆☆","★☆☆☆☆"))))))</f>
        <v/>
      </c>
      <c r="Z68" s="115">
        <f>IF('Field Teams'!$I$5="Inactive","",IF(T68="","",IF(T68&gt;=4.5,"★★★★★",IF(T68&gt;=3.5,"★★★★☆",IF(T68&gt;=2.5,"★★★☆☆",IF(T68&gt;=1.5,"★★☆☆☆","★☆☆☆☆"))))))</f>
        <v/>
      </c>
      <c r="AA68" s="31">
        <f>IF('Field Teams'!$I$69="Inactive","",IF(M68="YES","HIGH",IF(Q68&lt;=Settings!$D$26,"HIGH",IF(T68&lt;=Settings!$D$23,"HIGH",IF(T68&lt;=Settings!$D$24,"MEDIUM","LOW")))))</f>
        <v/>
      </c>
      <c r="AB68" s="31">
        <f>IF('Field Teams'!$I$5="Inactive",-1,IFERROR((6-T68)+(77-ROW())*0.0001,0))</f>
        <v/>
      </c>
      <c r="AC68" s="35">
        <f>IF('Field Teams'!$I$5="Inactive",999,IFERROR((6-T68)+(ROW()-3)*0.0001,99))</f>
        <v/>
      </c>
      <c r="AD68" s="31">
        <f>IF('Field Teams'!$I$69="Inactive",999,IFERROR(AB68+(ROW()-3)*0.0001,99))</f>
        <v/>
      </c>
      <c r="AE68" s="29" t="n">
        <v>0</v>
      </c>
      <c r="AF68" s="31">
        <f>IF('Field Teams'!$I$69="Inactive","",IF(AA68="HIGH","YES - within 5 working days",""))</f>
        <v/>
      </c>
      <c r="AG68" s="105" t="n"/>
      <c r="AH68" s="49">
        <f>IFERROR(SUMPRODUCT(ISNUMBER(SEARCH(B68,'Pole Results'!$A$13:$A$2000))*('Pole Results'!$B$13:$B$2000&gt;=$AG$3)*('Pole Results'!$B$13:$B$2000&lt;=$AE$3)),0)</f>
        <v/>
      </c>
      <c r="AI68" s="49">
        <f>IFERROR(SUMPRODUCT(ISNUMBER(SEARCH(B68,'Pole Results'!$A$13:$A$2000))*('Pole Results'!$B$13:$B$2000&gt;=$AG$3)*('Pole Results'!$B$13:$B$2000&lt;=$AE$3)*('Pole Results'!$E$13:$E$2000="Compliant")),0)</f>
        <v/>
      </c>
      <c r="AJ68" s="105" t="n"/>
      <c r="AK68" s="106">
        <f>IF('Field Teams'!$I$69="Inactive",-1,IF(AA68="HIGH",AB68,-1))</f>
        <v/>
      </c>
      <c r="AL68" s="106">
        <f>IF('Field Teams'!$I$69="Inactive",-1,IF(OR(AA68="HIGH",AA68="MEDIUM"),AB68,-1))</f>
        <v/>
      </c>
      <c r="AM68">
        <f>IF('Field Teams'!$I$69="Inactive","",IF(IFERROR(LOOKUP(2,1/('Historical Scores'!C69:N69&lt;&gt;""),'Historical Scores'!C69:N69),"")="","New",IF(T68=""," ",IF(T68&gt;IFERROR(LOOKUP(2,1/('Historical Scores'!C69:N69&lt;&gt;""),'Historical Scores'!C69:N69),""),"▲ Worsening",IF(T68&lt;IFERROR(LOOKUP(2,1/('Historical Scores'!C69:N69&lt;&gt;""),'Historical Scores'!C69:N69),""),"▼ Improving","► Stable")))))</f>
        <v/>
      </c>
      <c r="AN68">
        <f>IFERROR(SUMPRODUCT((ISNUMBER(SEARCH(B68,'Data - SSV'!AE$6:AE$3000)))*('Data - SSV'!AF$6:AF$3000&gt;=(AJ$3-90))*('Data - SSV'!AF$6:AF$3000&lt;=AJ$3)*('Data - SSV'!AH$6:AH$3000&lt;&gt;"")),0)</f>
        <v/>
      </c>
      <c r="AO68">
        <f>IF('Field Teams'!$I$69="Inactive","",IF(AN68=0,3,IF(AN68=1,IF(IFERROR(SUMPRODUCT((ISNUMBER(SEARCH(B68,'Data - SSV'!AE$6:AE$3000)))*('Data - SSV'!AF$6:AF$3000&gt;=(AJ$3-90))*('Data - SSV'!AF$6:AF$3000&lt;=AJ$3)*('Data - SSV'!AH$6:AH$3000&lt;&gt;"")*IF('Data - SSV'!AH$6:AH$3000="",0,'Data - SSV'!AH$6:AH$3000))/AN68,3)=4,4,IF(IFERROR(SUMPRODUCT((ISNUMBER(SEARCH(B68,'Data - SSV'!AE$6:AE$3000)))*('Data - SSV'!AF$6:AF$3000&gt;=(AJ$3-90))*('Data - SSV'!AF$6:AF$3000&lt;=AJ$3)*('Data - SSV'!AH$6:AH$3000&lt;&gt;"")*IF('Data - SSV'!AH$6:AH$3000="",0,'Data - SSV'!AH$6:AH$3000))/AN68,3)&gt;=3,3,IF(IFERROR(SUMPRODUCT((ISNUMBER(SEARCH(B68,'Data - SSV'!AE$6:AE$3000)))*('Data - SSV'!AF$6:AF$3000&gt;=(AJ$3-90))*('Data - SSV'!AF$6:AF$3000&lt;=AJ$3)*('Data - SSV'!AH$6:AH$3000&lt;&gt;"")*IF('Data - SSV'!AH$6:AH$3000="",0,'Data - SSV'!AH$6:AH$3000))/AN68,3)&gt;=2,2,1))),IF(IFERROR(SUMPRODUCT((ISNUMBER(SEARCH(B68,'Data - SSV'!AE$6:AE$3000)))*('Data - SSV'!AF$6:AF$3000&gt;=(AJ$3-90))*('Data - SSV'!AF$6:AF$3000&lt;=AJ$3)*('Data - SSV'!AH$6:AH$3000&lt;&gt;"")*IF('Data - SSV'!AH$6:AH$3000="",0,'Data - SSV'!AH$6:AH$3000))/AN68,3)=4,5,IF(IFERROR(SUMPRODUCT((ISNUMBER(SEARCH(B68,'Data - SSV'!AE$6:AE$3000)))*('Data - SSV'!AF$6:AF$3000&gt;=(AJ$3-90))*('Data - SSV'!AF$6:AF$3000&lt;=AJ$3)*('Data - SSV'!AH$6:AH$3000&lt;&gt;"")*IF('Data - SSV'!AH$6:AH$3000="",0,'Data - SSV'!AH$6:AH$3000))/AN68,3)&gt;=3.5,4,IF(IFERROR(SUMPRODUCT((ISNUMBER(SEARCH(B68,'Data - SSV'!AE$6:AE$3000)))*('Data - SSV'!AF$6:AF$3000&gt;=(AJ$3-90))*('Data - SSV'!AF$6:AF$3000&lt;=AJ$3)*('Data - SSV'!AH$6:AH$3000&lt;&gt;"")*IF('Data - SSV'!AH$6:AH$3000="",0,'Data - SSV'!AH$6:AH$3000))/AN68,3)&gt;=3,3,IF(IFERROR(SUMPRODUCT((ISNUMBER(SEARCH(B68,'Data - SSV'!AE$6:AE$3000)))*('Data - SSV'!AF$6:AF$3000&gt;=(AJ$3-90))*('Data - SSV'!AF$6:AF$3000&lt;=AJ$3)*('Data - SSV'!AH$6:AH$3000&lt;&gt;"")*IF('Data - SSV'!AH$6:AH$3000="",0,'Data - SSV'!AH$6:AH$3000))/AN68,3)&gt;=2,2,1)))))))</f>
        <v/>
      </c>
    </row>
    <row r="69" ht="19.5" customHeight="1" s="146">
      <c r="A69" s="6">
        <f>'Field Teams'!A70</f>
        <v/>
      </c>
      <c r="B69" s="28">
        <f>'Field Teams'!B70</f>
        <v/>
      </c>
      <c r="C69" s="28">
        <f>'Field Teams'!C70</f>
        <v/>
      </c>
      <c r="D69" s="6">
        <f>'Field Teams'!D70</f>
        <v/>
      </c>
      <c r="E69" s="6">
        <f>'Field Teams'!E70</f>
        <v/>
      </c>
      <c r="F69" s="6">
        <f>'Field Teams'!F70</f>
        <v/>
      </c>
      <c r="G69" s="6">
        <f>'Field Teams'!G70</f>
        <v/>
      </c>
      <c r="H69" s="31">
        <f>'Field Teams'!H70</f>
        <v/>
      </c>
      <c r="I69" s="31">
        <f>H69*2</f>
        <v/>
      </c>
      <c r="J69" s="31">
        <f>IFERROR(SUMPRODUCT((((ISNUMBER(SEARCH(B69,'Data - HSQE Events'!V$6:V$3000))+ISNUMBER(SEARCH(B69,'Data - HSQE Events'!H$6:H$3000)))&gt;0))*('Data - HSQE Events'!F$6:F$3000&gt;=$AG$3)*('Data - HSQE Events'!F$6:F$3000&lt;=$AJ$3)*('Data - HSQE Events'!R$6:R$3000="Opportunity")),0)</f>
        <v/>
      </c>
      <c r="K69" s="31">
        <f>IFERROR(SUMPRODUCT((((ISNUMBER(SEARCH(B69,'Data - HSQE Events'!V$6:V$3000))+ISNUMBER(SEARCH(B69,'Data - HSQE Events'!H$6:H$3000)))&gt;0))*('Data - HSQE Events'!F$6:F$3000&gt;=$AG$3)*('Data - HSQE Events'!F$6:F$3000&lt;=$AJ$3)*('Data - HSQE Events'!R$6:R$3000="Minor")),0)</f>
        <v/>
      </c>
      <c r="L69" s="31">
        <f>IFERROR(SUMPRODUCT((((ISNUMBER(SEARCH(B69,'Data - HSQE Events'!V$6:V$3000))+ISNUMBER(SEARCH(B69,'Data - HSQE Events'!H$6:H$3000)))&gt;0))*('Data - HSQE Events'!F$6:F$3000&gt;=$AG$3)*('Data - HSQE Events'!F$6:F$3000&lt;=$AJ$3)*(('Data - HSQE Events'!R$6:R$3000="Moderate")+('Data - HSQE Events'!R$6:R$3000="Major"))),0)</f>
        <v/>
      </c>
      <c r="M69" s="31">
        <f>IF(IFERROR(SUMPRODUCT((((ISNUMBER(SEARCH(B69,'Data - HSQE Events'!V$6:V$3000))+ISNUMBER(SEARCH(B69,'Data - HSQE Events'!H$6:H$3000)))&gt;0))*('Data - HSQE Events'!F$6:F$3000&gt;=$AG$3)*('Data - HSQE Events'!F$6:F$3000&lt;=$AJ$3)*('Data - HSQE Events'!R$6:R$3000="Major")),0)&gt;0,"YES","NO")</f>
        <v/>
      </c>
      <c r="N69" s="31">
        <f>IFERROR(SUMPRODUCT(('Data - Skillko'!B$6:B$3000=B69)*('Data - Skillko'!C$6:C$3000="Total")*('Data - Skillko'!E$6:E$3000))*100,0)</f>
        <v/>
      </c>
      <c r="O69" s="31">
        <f>ROUND(MAX(1,MIN(5,1+N69/100*4)),1)</f>
        <v/>
      </c>
      <c r="P69" s="31">
        <f>IFERROR(SUMPRODUCT(ISNUMBER(SEARCH(B69,'Pole Results'!$A$13:$A$2000))*('Pole Results'!$B$13:$B$2000&gt;=$AG$3)*('Pole Results'!$B$13:$B$2000&lt;=$AE$3)*('Pole Results'!$E$13:$E$2000="Non-Compliant")),0)</f>
        <v/>
      </c>
      <c r="Q69" s="31">
        <f>IF(I69=0,1,IFERROR(ROUND(MAX(1,MIN(5,1+J69/I69*4)),1),3))</f>
        <v/>
      </c>
      <c r="R69" s="31">
        <f>ROUND(6-MAX(MIN(5,K69*0.8+1),MIN(5,L69*2+1)),1)</f>
        <v/>
      </c>
      <c r="S69" s="49">
        <f>IFERROR(ROUND(MAX(1,MIN(5,5-(P69/MAX(1,AI69))*4)),1),5)</f>
        <v/>
      </c>
      <c r="T69" s="31">
        <f>IF('Field Teams'!$I$70="Inactive","",ROUND((Q69*Settings!$D$6+R69*Settings!$D$7+O69*Settings!$D$10+S69*Settings!$D$12+AO69*Settings!$D$13)/Settings!$D$14,1))</f>
        <v/>
      </c>
      <c r="U69" s="115">
        <f>IF('Field Teams'!$I$70="Inactive","",IF(Q69="","",IF(Q69&gt;=4.5,"★★★★★",IF(Q69&gt;=3.5,"★★★★☆",IF(Q69&gt;=2.5,"★★★☆☆",IF(Q69&gt;=1.5,"★★☆☆☆","★☆☆☆☆"))))))</f>
        <v/>
      </c>
      <c r="V69" s="115">
        <f>IF('Field Teams'!$I$70="Inactive","",IF(R69="","",IF(R69&gt;=4.5,"★★★★★",IF(R69&gt;=3.5,"★★★★☆",IF(R69&gt;=2.5,"★★★☆☆",IF(R69&gt;=1.5,"★★☆☆☆","★☆☆☆☆"))))))</f>
        <v/>
      </c>
      <c r="W69" s="115">
        <f>IF('Field Teams'!$I$70="Inactive","",IF(O69="","",IF(O69&gt;=4.5,"★★★★★",IF(O69&gt;=3.5,"★★★★☆",IF(O69&gt;=2.5,"★★★☆☆",IF(O69&gt;=1.5,"★★☆☆☆","★☆☆☆☆"))))))</f>
        <v/>
      </c>
      <c r="X69" s="115">
        <f>IF('Field Teams'!$I$70="Inactive","",IF(S69="","",IF(S69&gt;=4.5,"★★★★★",IF(S69&gt;=3.5,"★★★★☆",IF(S69&gt;=2.5,"★★★☆☆",IF(S69&gt;=1.5,"★★☆☆☆","★☆☆☆☆"))))))</f>
        <v/>
      </c>
      <c r="Y69" s="115">
        <f>IF('Field Teams'!$I$70="Inactive","",IF(AO69="","",IF(AO69&gt;=4.5,"★★★★★",IF(AO69&gt;=3.5,"★★★★☆",IF(AO69&gt;=2.5,"★★★☆☆",IF(AO69&gt;=1.5,"★★☆☆☆","★☆☆☆☆"))))))</f>
        <v/>
      </c>
      <c r="Z69" s="115">
        <f>IF('Field Teams'!$I$5="Inactive","",IF(T69="","",IF(T69&gt;=4.5,"★★★★★",IF(T69&gt;=3.5,"★★★★☆",IF(T69&gt;=2.5,"★★★☆☆",IF(T69&gt;=1.5,"★★☆☆☆","★☆☆☆☆"))))))</f>
        <v/>
      </c>
      <c r="AA69" s="31">
        <f>IF('Field Teams'!$I$70="Inactive","",IF(M69="YES","HIGH",IF(Q69&lt;=Settings!$D$26,"HIGH",IF(T69&lt;=Settings!$D$23,"HIGH",IF(T69&lt;=Settings!$D$24,"MEDIUM","LOW")))))</f>
        <v/>
      </c>
      <c r="AB69" s="31">
        <f>IF('Field Teams'!$I$5="Inactive",-1,IFERROR((6-T69)+(77-ROW())*0.0001,0))</f>
        <v/>
      </c>
      <c r="AC69" s="35">
        <f>IF('Field Teams'!$I$5="Inactive",999,IFERROR((6-T69)+(ROW()-3)*0.0001,99))</f>
        <v/>
      </c>
      <c r="AD69" s="31">
        <f>IF('Field Teams'!$I$70="Inactive",999,IFERROR(AB69+(ROW()-3)*0.0001,99))</f>
        <v/>
      </c>
      <c r="AE69" s="29" t="n">
        <v>0</v>
      </c>
      <c r="AF69" s="31">
        <f>IF('Field Teams'!$I$70="Inactive","",IF(AA69="HIGH","YES - within 5 working days",""))</f>
        <v/>
      </c>
      <c r="AG69" s="105" t="n"/>
      <c r="AH69" s="49">
        <f>IFERROR(SUMPRODUCT(ISNUMBER(SEARCH(B69,'Pole Results'!$A$13:$A$2000))*('Pole Results'!$B$13:$B$2000&gt;=$AG$3)*('Pole Results'!$B$13:$B$2000&lt;=$AE$3)),0)</f>
        <v/>
      </c>
      <c r="AI69" s="49">
        <f>IFERROR(SUMPRODUCT(ISNUMBER(SEARCH(B69,'Pole Results'!$A$13:$A$2000))*('Pole Results'!$B$13:$B$2000&gt;=$AG$3)*('Pole Results'!$B$13:$B$2000&lt;=$AE$3)*('Pole Results'!$E$13:$E$2000="Compliant")),0)</f>
        <v/>
      </c>
      <c r="AJ69" s="105" t="n"/>
      <c r="AK69" s="106">
        <f>IF('Field Teams'!$I$70="Inactive",-1,IF(AA69="HIGH",AB69,-1))</f>
        <v/>
      </c>
      <c r="AL69" s="106">
        <f>IF('Field Teams'!$I$70="Inactive",-1,IF(OR(AA69="HIGH",AA69="MEDIUM"),AB69,-1))</f>
        <v/>
      </c>
      <c r="AM69">
        <f>IF('Field Teams'!$I$70="Inactive","",IF(IFERROR(LOOKUP(2,1/('Historical Scores'!C70:N70&lt;&gt;""),'Historical Scores'!C70:N70),"")="","New",IF(T69=""," ",IF(T69&gt;IFERROR(LOOKUP(2,1/('Historical Scores'!C70:N70&lt;&gt;""),'Historical Scores'!C70:N70),""),"▲ Worsening",IF(T69&lt;IFERROR(LOOKUP(2,1/('Historical Scores'!C70:N70&lt;&gt;""),'Historical Scores'!C70:N70),""),"▼ Improving","► Stable")))))</f>
        <v/>
      </c>
      <c r="AN69">
        <f>IFERROR(SUMPRODUCT((ISNUMBER(SEARCH(B69,'Data - SSV'!AE$6:AE$3000)))*('Data - SSV'!AF$6:AF$3000&gt;=(AJ$3-90))*('Data - SSV'!AF$6:AF$3000&lt;=AJ$3)*('Data - SSV'!AH$6:AH$3000&lt;&gt;"")),0)</f>
        <v/>
      </c>
      <c r="AO69">
        <f>IF('Field Teams'!$I$70="Inactive","",IF(AN69=0,3,IF(AN69=1,IF(IFERROR(SUMPRODUCT((ISNUMBER(SEARCH(B69,'Data - SSV'!AE$6:AE$3000)))*('Data - SSV'!AF$6:AF$3000&gt;=(AJ$3-90))*('Data - SSV'!AF$6:AF$3000&lt;=AJ$3)*('Data - SSV'!AH$6:AH$3000&lt;&gt;"")*IF('Data - SSV'!AH$6:AH$3000="",0,'Data - SSV'!AH$6:AH$3000))/AN69,3)=4,4,IF(IFERROR(SUMPRODUCT((ISNUMBER(SEARCH(B69,'Data - SSV'!AE$6:AE$3000)))*('Data - SSV'!AF$6:AF$3000&gt;=(AJ$3-90))*('Data - SSV'!AF$6:AF$3000&lt;=AJ$3)*('Data - SSV'!AH$6:AH$3000&lt;&gt;"")*IF('Data - SSV'!AH$6:AH$3000="",0,'Data - SSV'!AH$6:AH$3000))/AN69,3)&gt;=3,3,IF(IFERROR(SUMPRODUCT((ISNUMBER(SEARCH(B69,'Data - SSV'!AE$6:AE$3000)))*('Data - SSV'!AF$6:AF$3000&gt;=(AJ$3-90))*('Data - SSV'!AF$6:AF$3000&lt;=AJ$3)*('Data - SSV'!AH$6:AH$3000&lt;&gt;"")*IF('Data - SSV'!AH$6:AH$3000="",0,'Data - SSV'!AH$6:AH$3000))/AN69,3)&gt;=2,2,1))),IF(IFERROR(SUMPRODUCT((ISNUMBER(SEARCH(B69,'Data - SSV'!AE$6:AE$3000)))*('Data - SSV'!AF$6:AF$3000&gt;=(AJ$3-90))*('Data - SSV'!AF$6:AF$3000&lt;=AJ$3)*('Data - SSV'!AH$6:AH$3000&lt;&gt;"")*IF('Data - SSV'!AH$6:AH$3000="",0,'Data - SSV'!AH$6:AH$3000))/AN69,3)=4,5,IF(IFERROR(SUMPRODUCT((ISNUMBER(SEARCH(B69,'Data - SSV'!AE$6:AE$3000)))*('Data - SSV'!AF$6:AF$3000&gt;=(AJ$3-90))*('Data - SSV'!AF$6:AF$3000&lt;=AJ$3)*('Data - SSV'!AH$6:AH$3000&lt;&gt;"")*IF('Data - SSV'!AH$6:AH$3000="",0,'Data - SSV'!AH$6:AH$3000))/AN69,3)&gt;=3.5,4,IF(IFERROR(SUMPRODUCT((ISNUMBER(SEARCH(B69,'Data - SSV'!AE$6:AE$3000)))*('Data - SSV'!AF$6:AF$3000&gt;=(AJ$3-90))*('Data - SSV'!AF$6:AF$3000&lt;=AJ$3)*('Data - SSV'!AH$6:AH$3000&lt;&gt;"")*IF('Data - SSV'!AH$6:AH$3000="",0,'Data - SSV'!AH$6:AH$3000))/AN69,3)&gt;=3,3,IF(IFERROR(SUMPRODUCT((ISNUMBER(SEARCH(B69,'Data - SSV'!AE$6:AE$3000)))*('Data - SSV'!AF$6:AF$3000&gt;=(AJ$3-90))*('Data - SSV'!AF$6:AF$3000&lt;=AJ$3)*('Data - SSV'!AH$6:AH$3000&lt;&gt;"")*IF('Data - SSV'!AH$6:AH$3000="",0,'Data - SSV'!AH$6:AH$3000))/AN69,3)&gt;=2,2,1)))))))</f>
        <v/>
      </c>
    </row>
    <row r="70" ht="19.5" customHeight="1" s="146">
      <c r="A70" s="10">
        <f>'Field Teams'!A71</f>
        <v/>
      </c>
      <c r="B70" s="30">
        <f>'Field Teams'!B71</f>
        <v/>
      </c>
      <c r="C70" s="30">
        <f>'Field Teams'!C71</f>
        <v/>
      </c>
      <c r="D70" s="10">
        <f>'Field Teams'!D71</f>
        <v/>
      </c>
      <c r="E70" s="10">
        <f>'Field Teams'!E71</f>
        <v/>
      </c>
      <c r="F70" s="10">
        <f>'Field Teams'!F71</f>
        <v/>
      </c>
      <c r="G70" s="10">
        <f>'Field Teams'!G71</f>
        <v/>
      </c>
      <c r="H70" s="31">
        <f>'Field Teams'!H71</f>
        <v/>
      </c>
      <c r="I70" s="31">
        <f>H70*2</f>
        <v/>
      </c>
      <c r="J70" s="31">
        <f>IFERROR(SUMPRODUCT((((ISNUMBER(SEARCH(B70,'Data - HSQE Events'!V$6:V$3000))+ISNUMBER(SEARCH(B70,'Data - HSQE Events'!H$6:H$3000)))&gt;0))*('Data - HSQE Events'!F$6:F$3000&gt;=$AG$3)*('Data - HSQE Events'!F$6:F$3000&lt;=$AJ$3)*('Data - HSQE Events'!R$6:R$3000="Opportunity")),0)</f>
        <v/>
      </c>
      <c r="K70" s="31">
        <f>IFERROR(SUMPRODUCT((((ISNUMBER(SEARCH(B70,'Data - HSQE Events'!V$6:V$3000))+ISNUMBER(SEARCH(B70,'Data - HSQE Events'!H$6:H$3000)))&gt;0))*('Data - HSQE Events'!F$6:F$3000&gt;=$AG$3)*('Data - HSQE Events'!F$6:F$3000&lt;=$AJ$3)*('Data - HSQE Events'!R$6:R$3000="Minor")),0)</f>
        <v/>
      </c>
      <c r="L70" s="31">
        <f>IFERROR(SUMPRODUCT((((ISNUMBER(SEARCH(B70,'Data - HSQE Events'!V$6:V$3000))+ISNUMBER(SEARCH(B70,'Data - HSQE Events'!H$6:H$3000)))&gt;0))*('Data - HSQE Events'!F$6:F$3000&gt;=$AG$3)*('Data - HSQE Events'!F$6:F$3000&lt;=$AJ$3)*(('Data - HSQE Events'!R$6:R$3000="Moderate")+('Data - HSQE Events'!R$6:R$3000="Major"))),0)</f>
        <v/>
      </c>
      <c r="M70" s="31">
        <f>IF(IFERROR(SUMPRODUCT((((ISNUMBER(SEARCH(B70,'Data - HSQE Events'!V$6:V$3000))+ISNUMBER(SEARCH(B70,'Data - HSQE Events'!H$6:H$3000)))&gt;0))*('Data - HSQE Events'!F$6:F$3000&gt;=$AG$3)*('Data - HSQE Events'!F$6:F$3000&lt;=$AJ$3)*('Data - HSQE Events'!R$6:R$3000="Major")),0)&gt;0,"YES","NO")</f>
        <v/>
      </c>
      <c r="N70" s="31">
        <f>IFERROR(SUMPRODUCT(('Data - Skillko'!B$6:B$3000=B70)*('Data - Skillko'!C$6:C$3000="Total")*('Data - Skillko'!E$6:E$3000))*100,0)</f>
        <v/>
      </c>
      <c r="O70" s="31">
        <f>ROUND(MAX(1,MIN(5,1+N70/100*4)),1)</f>
        <v/>
      </c>
      <c r="P70" s="31">
        <f>IFERROR(SUMPRODUCT(ISNUMBER(SEARCH(B70,'Pole Results'!$A$13:$A$2000))*('Pole Results'!$B$13:$B$2000&gt;=$AG$3)*('Pole Results'!$B$13:$B$2000&lt;=$AE$3)*('Pole Results'!$E$13:$E$2000="Non-Compliant")),0)</f>
        <v/>
      </c>
      <c r="Q70" s="31">
        <f>IF(I70=0,1,IFERROR(ROUND(MAX(1,MIN(5,1+J70/I70*4)),1),3))</f>
        <v/>
      </c>
      <c r="R70" s="31">
        <f>ROUND(6-MAX(MIN(5,K70*0.8+1),MIN(5,L70*2+1)),1)</f>
        <v/>
      </c>
      <c r="S70" s="49">
        <f>IFERROR(ROUND(MAX(1,MIN(5,5-(P70/MAX(1,AI70))*4)),1),5)</f>
        <v/>
      </c>
      <c r="T70" s="31">
        <f>IF('Field Teams'!$I$71="Inactive","",ROUND((Q70*Settings!$D$6+R70*Settings!$D$7+O70*Settings!$D$10+S70*Settings!$D$12+AO70*Settings!$D$13)/Settings!$D$14,1))</f>
        <v/>
      </c>
      <c r="U70" s="115">
        <f>IF('Field Teams'!$I$71="Inactive","",IF(Q70="","",IF(Q70&gt;=4.5,"★★★★★",IF(Q70&gt;=3.5,"★★★★☆",IF(Q70&gt;=2.5,"★★★☆☆",IF(Q70&gt;=1.5,"★★☆☆☆","★☆☆☆☆"))))))</f>
        <v/>
      </c>
      <c r="V70" s="115">
        <f>IF('Field Teams'!$I$71="Inactive","",IF(R70="","",IF(R70&gt;=4.5,"★★★★★",IF(R70&gt;=3.5,"★★★★☆",IF(R70&gt;=2.5,"★★★☆☆",IF(R70&gt;=1.5,"★★☆☆☆","★☆☆☆☆"))))))</f>
        <v/>
      </c>
      <c r="W70" s="115">
        <f>IF('Field Teams'!$I$71="Inactive","",IF(O70="","",IF(O70&gt;=4.5,"★★★★★",IF(O70&gt;=3.5,"★★★★☆",IF(O70&gt;=2.5,"★★★☆☆",IF(O70&gt;=1.5,"★★☆☆☆","★☆☆☆☆"))))))</f>
        <v/>
      </c>
      <c r="X70" s="115">
        <f>IF('Field Teams'!$I$71="Inactive","",IF(S70="","",IF(S70&gt;=4.5,"★★★★★",IF(S70&gt;=3.5,"★★★★☆",IF(S70&gt;=2.5,"★★★☆☆",IF(S70&gt;=1.5,"★★☆☆☆","★☆☆☆☆"))))))</f>
        <v/>
      </c>
      <c r="Y70" s="115">
        <f>IF('Field Teams'!$I$71="Inactive","",IF(AO70="","",IF(AO70&gt;=4.5,"★★★★★",IF(AO70&gt;=3.5,"★★★★☆",IF(AO70&gt;=2.5,"★★★☆☆",IF(AO70&gt;=1.5,"★★☆☆☆","★☆☆☆☆"))))))</f>
        <v/>
      </c>
      <c r="Z70" s="115">
        <f>IF('Field Teams'!$I$5="Inactive","",IF(T70="","",IF(T70&gt;=4.5,"★★★★★",IF(T70&gt;=3.5,"★★★★☆",IF(T70&gt;=2.5,"★★★☆☆",IF(T70&gt;=1.5,"★★☆☆☆","★☆☆☆☆"))))))</f>
        <v/>
      </c>
      <c r="AA70" s="31">
        <f>IF('Field Teams'!$I$71="Inactive","",IF(M70="YES","HIGH",IF(Q70&lt;=Settings!$D$26,"HIGH",IF(T70&lt;=Settings!$D$23,"HIGH",IF(T70&lt;=Settings!$D$24,"MEDIUM","LOW")))))</f>
        <v/>
      </c>
      <c r="AB70" s="31">
        <f>IF('Field Teams'!$I$5="Inactive",-1,IFERROR((6-T70)+(77-ROW())*0.0001,0))</f>
        <v/>
      </c>
      <c r="AC70" s="35">
        <f>IF('Field Teams'!$I$5="Inactive",999,IFERROR((6-T70)+(ROW()-3)*0.0001,99))</f>
        <v/>
      </c>
      <c r="AD70" s="31">
        <f>IF('Field Teams'!$I$71="Inactive",999,IFERROR(AB70+(ROW()-3)*0.0001,99))</f>
        <v/>
      </c>
      <c r="AE70" s="29" t="n">
        <v>0</v>
      </c>
      <c r="AF70" s="31">
        <f>IF('Field Teams'!$I$71="Inactive","",IF(AA70="HIGH","YES - within 5 working days",""))</f>
        <v/>
      </c>
      <c r="AG70" s="105" t="n"/>
      <c r="AH70" s="49">
        <f>IFERROR(SUMPRODUCT(ISNUMBER(SEARCH(B70,'Pole Results'!$A$13:$A$2000))*('Pole Results'!$B$13:$B$2000&gt;=$AG$3)*('Pole Results'!$B$13:$B$2000&lt;=$AE$3)),0)</f>
        <v/>
      </c>
      <c r="AI70" s="49">
        <f>IFERROR(SUMPRODUCT(ISNUMBER(SEARCH(B70,'Pole Results'!$A$13:$A$2000))*('Pole Results'!$B$13:$B$2000&gt;=$AG$3)*('Pole Results'!$B$13:$B$2000&lt;=$AE$3)*('Pole Results'!$E$13:$E$2000="Compliant")),0)</f>
        <v/>
      </c>
      <c r="AJ70" s="105" t="n"/>
      <c r="AK70" s="106">
        <f>IF('Field Teams'!$I$71="Inactive",-1,IF(AA70="HIGH",AB70,-1))</f>
        <v/>
      </c>
      <c r="AL70" s="106">
        <f>IF('Field Teams'!$I$71="Inactive",-1,IF(OR(AA70="HIGH",AA70="MEDIUM"),AB70,-1))</f>
        <v/>
      </c>
      <c r="AM70">
        <f>IF('Field Teams'!$I$71="Inactive","",IF(IFERROR(LOOKUP(2,1/('Historical Scores'!C71:N71&lt;&gt;""),'Historical Scores'!C71:N71),"")="","New",IF(T70=""," ",IF(T70&gt;IFERROR(LOOKUP(2,1/('Historical Scores'!C71:N71&lt;&gt;""),'Historical Scores'!C71:N71),""),"▲ Worsening",IF(T70&lt;IFERROR(LOOKUP(2,1/('Historical Scores'!C71:N71&lt;&gt;""),'Historical Scores'!C71:N71),""),"▼ Improving","► Stable")))))</f>
        <v/>
      </c>
      <c r="AN70">
        <f>IFERROR(SUMPRODUCT((ISNUMBER(SEARCH(B70,'Data - SSV'!AE$6:AE$3000)))*('Data - SSV'!AF$6:AF$3000&gt;=(AJ$3-90))*('Data - SSV'!AF$6:AF$3000&lt;=AJ$3)*('Data - SSV'!AH$6:AH$3000&lt;&gt;"")),0)</f>
        <v/>
      </c>
      <c r="AO70">
        <f>IF('Field Teams'!$I$71="Inactive","",IF(AN70=0,3,IF(AN70=1,IF(IFERROR(SUMPRODUCT((ISNUMBER(SEARCH(B70,'Data - SSV'!AE$6:AE$3000)))*('Data - SSV'!AF$6:AF$3000&gt;=(AJ$3-90))*('Data - SSV'!AF$6:AF$3000&lt;=AJ$3)*('Data - SSV'!AH$6:AH$3000&lt;&gt;"")*IF('Data - SSV'!AH$6:AH$3000="",0,'Data - SSV'!AH$6:AH$3000))/AN70,3)=4,4,IF(IFERROR(SUMPRODUCT((ISNUMBER(SEARCH(B70,'Data - SSV'!AE$6:AE$3000)))*('Data - SSV'!AF$6:AF$3000&gt;=(AJ$3-90))*('Data - SSV'!AF$6:AF$3000&lt;=AJ$3)*('Data - SSV'!AH$6:AH$3000&lt;&gt;"")*IF('Data - SSV'!AH$6:AH$3000="",0,'Data - SSV'!AH$6:AH$3000))/AN70,3)&gt;=3,3,IF(IFERROR(SUMPRODUCT((ISNUMBER(SEARCH(B70,'Data - SSV'!AE$6:AE$3000)))*('Data - SSV'!AF$6:AF$3000&gt;=(AJ$3-90))*('Data - SSV'!AF$6:AF$3000&lt;=AJ$3)*('Data - SSV'!AH$6:AH$3000&lt;&gt;"")*IF('Data - SSV'!AH$6:AH$3000="",0,'Data - SSV'!AH$6:AH$3000))/AN70,3)&gt;=2,2,1))),IF(IFERROR(SUMPRODUCT((ISNUMBER(SEARCH(B70,'Data - SSV'!AE$6:AE$3000)))*('Data - SSV'!AF$6:AF$3000&gt;=(AJ$3-90))*('Data - SSV'!AF$6:AF$3000&lt;=AJ$3)*('Data - SSV'!AH$6:AH$3000&lt;&gt;"")*IF('Data - SSV'!AH$6:AH$3000="",0,'Data - SSV'!AH$6:AH$3000))/AN70,3)=4,5,IF(IFERROR(SUMPRODUCT((ISNUMBER(SEARCH(B70,'Data - SSV'!AE$6:AE$3000)))*('Data - SSV'!AF$6:AF$3000&gt;=(AJ$3-90))*('Data - SSV'!AF$6:AF$3000&lt;=AJ$3)*('Data - SSV'!AH$6:AH$3000&lt;&gt;"")*IF('Data - SSV'!AH$6:AH$3000="",0,'Data - SSV'!AH$6:AH$3000))/AN70,3)&gt;=3.5,4,IF(IFERROR(SUMPRODUCT((ISNUMBER(SEARCH(B70,'Data - SSV'!AE$6:AE$3000)))*('Data - SSV'!AF$6:AF$3000&gt;=(AJ$3-90))*('Data - SSV'!AF$6:AF$3000&lt;=AJ$3)*('Data - SSV'!AH$6:AH$3000&lt;&gt;"")*IF('Data - SSV'!AH$6:AH$3000="",0,'Data - SSV'!AH$6:AH$3000))/AN70,3)&gt;=3,3,IF(IFERROR(SUMPRODUCT((ISNUMBER(SEARCH(B70,'Data - SSV'!AE$6:AE$3000)))*('Data - SSV'!AF$6:AF$3000&gt;=(AJ$3-90))*('Data - SSV'!AF$6:AF$3000&lt;=AJ$3)*('Data - SSV'!AH$6:AH$3000&lt;&gt;"")*IF('Data - SSV'!AH$6:AH$3000="",0,'Data - SSV'!AH$6:AH$3000))/AN70,3)&gt;=2,2,1)))))))</f>
        <v/>
      </c>
    </row>
    <row r="71" ht="19.5" customHeight="1" s="146">
      <c r="A71" s="6">
        <f>'Field Teams'!A72</f>
        <v/>
      </c>
      <c r="B71" s="28">
        <f>'Field Teams'!B72</f>
        <v/>
      </c>
      <c r="C71" s="28">
        <f>'Field Teams'!C72</f>
        <v/>
      </c>
      <c r="D71" s="6">
        <f>'Field Teams'!D72</f>
        <v/>
      </c>
      <c r="E71" s="6">
        <f>'Field Teams'!E72</f>
        <v/>
      </c>
      <c r="F71" s="6">
        <f>'Field Teams'!F72</f>
        <v/>
      </c>
      <c r="G71" s="6">
        <f>'Field Teams'!G72</f>
        <v/>
      </c>
      <c r="H71" s="31">
        <f>'Field Teams'!H72</f>
        <v/>
      </c>
      <c r="I71" s="31">
        <f>H71*2</f>
        <v/>
      </c>
      <c r="J71" s="31">
        <f>IFERROR(SUMPRODUCT((((ISNUMBER(SEARCH(B71,'Data - HSQE Events'!V$6:V$3000))+ISNUMBER(SEARCH(B71,'Data - HSQE Events'!H$6:H$3000)))&gt;0))*('Data - HSQE Events'!F$6:F$3000&gt;=$AG$3)*('Data - HSQE Events'!F$6:F$3000&lt;=$AJ$3)*('Data - HSQE Events'!R$6:R$3000="Opportunity")),0)</f>
        <v/>
      </c>
      <c r="K71" s="31">
        <f>IFERROR(SUMPRODUCT((((ISNUMBER(SEARCH(B71,'Data - HSQE Events'!V$6:V$3000))+ISNUMBER(SEARCH(B71,'Data - HSQE Events'!H$6:H$3000)))&gt;0))*('Data - HSQE Events'!F$6:F$3000&gt;=$AG$3)*('Data - HSQE Events'!F$6:F$3000&lt;=$AJ$3)*('Data - HSQE Events'!R$6:R$3000="Minor")),0)</f>
        <v/>
      </c>
      <c r="L71" s="31">
        <f>IFERROR(SUMPRODUCT((((ISNUMBER(SEARCH(B71,'Data - HSQE Events'!V$6:V$3000))+ISNUMBER(SEARCH(B71,'Data - HSQE Events'!H$6:H$3000)))&gt;0))*('Data - HSQE Events'!F$6:F$3000&gt;=$AG$3)*('Data - HSQE Events'!F$6:F$3000&lt;=$AJ$3)*(('Data - HSQE Events'!R$6:R$3000="Moderate")+('Data - HSQE Events'!R$6:R$3000="Major"))),0)</f>
        <v/>
      </c>
      <c r="M71" s="31">
        <f>IF(IFERROR(SUMPRODUCT((((ISNUMBER(SEARCH(B71,'Data - HSQE Events'!V$6:V$3000))+ISNUMBER(SEARCH(B71,'Data - HSQE Events'!H$6:H$3000)))&gt;0))*('Data - HSQE Events'!F$6:F$3000&gt;=$AG$3)*('Data - HSQE Events'!F$6:F$3000&lt;=$AJ$3)*('Data - HSQE Events'!R$6:R$3000="Major")),0)&gt;0,"YES","NO")</f>
        <v/>
      </c>
      <c r="N71" s="31">
        <f>IFERROR(SUMPRODUCT(('Data - Skillko'!B$6:B$3000=B71)*('Data - Skillko'!C$6:C$3000="Total")*('Data - Skillko'!E$6:E$3000))*100,0)</f>
        <v/>
      </c>
      <c r="O71" s="31">
        <f>ROUND(MAX(1,MIN(5,1+N71/100*4)),1)</f>
        <v/>
      </c>
      <c r="P71" s="31">
        <f>IFERROR(SUMPRODUCT(ISNUMBER(SEARCH(B71,'Pole Results'!$A$13:$A$2000))*('Pole Results'!$B$13:$B$2000&gt;=$AG$3)*('Pole Results'!$B$13:$B$2000&lt;=$AE$3)*('Pole Results'!$E$13:$E$2000="Non-Compliant")),0)</f>
        <v/>
      </c>
      <c r="Q71" s="31">
        <f>IF(I71=0,1,IFERROR(ROUND(MAX(1,MIN(5,1+J71/I71*4)),1),3))</f>
        <v/>
      </c>
      <c r="R71" s="31">
        <f>ROUND(6-MAX(MIN(5,K71*0.8+1),MIN(5,L71*2+1)),1)</f>
        <v/>
      </c>
      <c r="S71" s="49">
        <f>IFERROR(ROUND(MAX(1,MIN(5,5-(P71/MAX(1,AI71))*4)),1),5)</f>
        <v/>
      </c>
      <c r="T71" s="31">
        <f>IF('Field Teams'!$I$72="Inactive","",ROUND((Q71*Settings!$D$6+R71*Settings!$D$7+O71*Settings!$D$10+S71*Settings!$D$12+AO71*Settings!$D$13)/Settings!$D$14,1))</f>
        <v/>
      </c>
      <c r="U71" s="115">
        <f>IF('Field Teams'!$I$72="Inactive","",IF(Q71="","",IF(Q71&gt;=4.5,"★★★★★",IF(Q71&gt;=3.5,"★★★★☆",IF(Q71&gt;=2.5,"★★★☆☆",IF(Q71&gt;=1.5,"★★☆☆☆","★☆☆☆☆"))))))</f>
        <v/>
      </c>
      <c r="V71" s="115">
        <f>IF('Field Teams'!$I$72="Inactive","",IF(R71="","",IF(R71&gt;=4.5,"★★★★★",IF(R71&gt;=3.5,"★★★★☆",IF(R71&gt;=2.5,"★★★☆☆",IF(R71&gt;=1.5,"★★☆☆☆","★☆☆☆☆"))))))</f>
        <v/>
      </c>
      <c r="W71" s="115">
        <f>IF('Field Teams'!$I$72="Inactive","",IF(O71="","",IF(O71&gt;=4.5,"★★★★★",IF(O71&gt;=3.5,"★★★★☆",IF(O71&gt;=2.5,"★★★☆☆",IF(O71&gt;=1.5,"★★☆☆☆","★☆☆☆☆"))))))</f>
        <v/>
      </c>
      <c r="X71" s="115">
        <f>IF('Field Teams'!$I$72="Inactive","",IF(S71="","",IF(S71&gt;=4.5,"★★★★★",IF(S71&gt;=3.5,"★★★★☆",IF(S71&gt;=2.5,"★★★☆☆",IF(S71&gt;=1.5,"★★☆☆☆","★☆☆☆☆"))))))</f>
        <v/>
      </c>
      <c r="Y71" s="115">
        <f>IF('Field Teams'!$I$72="Inactive","",IF(AO71="","",IF(AO71&gt;=4.5,"★★★★★",IF(AO71&gt;=3.5,"★★★★☆",IF(AO71&gt;=2.5,"★★★☆☆",IF(AO71&gt;=1.5,"★★☆☆☆","★☆☆☆☆"))))))</f>
        <v/>
      </c>
      <c r="Z71" s="115">
        <f>IF('Field Teams'!$I$5="Inactive","",IF(T71="","",IF(T71&gt;=4.5,"★★★★★",IF(T71&gt;=3.5,"★★★★☆",IF(T71&gt;=2.5,"★★★☆☆",IF(T71&gt;=1.5,"★★☆☆☆","★☆☆☆☆"))))))</f>
        <v/>
      </c>
      <c r="AA71" s="31">
        <f>IF('Field Teams'!$I$72="Inactive","",IF(M71="YES","HIGH",IF(Q71&lt;=Settings!$D$26,"HIGH",IF(T71&lt;=Settings!$D$23,"HIGH",IF(T71&lt;=Settings!$D$24,"MEDIUM","LOW")))))</f>
        <v/>
      </c>
      <c r="AB71" s="31">
        <f>IF('Field Teams'!$I$5="Inactive",-1,IFERROR((6-T71)+(77-ROW())*0.0001,0))</f>
        <v/>
      </c>
      <c r="AC71" s="35">
        <f>IF('Field Teams'!$I$5="Inactive",999,IFERROR((6-T71)+(ROW()-3)*0.0001,99))</f>
        <v/>
      </c>
      <c r="AD71" s="31">
        <f>IF('Field Teams'!$I$72="Inactive",999,IFERROR(AB71+(ROW()-3)*0.0001,99))</f>
        <v/>
      </c>
      <c r="AE71" s="29" t="n">
        <v>0</v>
      </c>
      <c r="AF71" s="31">
        <f>IF('Field Teams'!$I$72="Inactive","",IF(AA71="HIGH","YES - within 5 working days",""))</f>
        <v/>
      </c>
      <c r="AG71" s="105" t="n"/>
      <c r="AH71" s="49">
        <f>IFERROR(SUMPRODUCT(ISNUMBER(SEARCH(B71,'Pole Results'!$A$13:$A$2000))*('Pole Results'!$B$13:$B$2000&gt;=$AG$3)*('Pole Results'!$B$13:$B$2000&lt;=$AE$3)),0)</f>
        <v/>
      </c>
      <c r="AI71" s="49">
        <f>IFERROR(SUMPRODUCT(ISNUMBER(SEARCH(B71,'Pole Results'!$A$13:$A$2000))*('Pole Results'!$B$13:$B$2000&gt;=$AG$3)*('Pole Results'!$B$13:$B$2000&lt;=$AE$3)*('Pole Results'!$E$13:$E$2000="Compliant")),0)</f>
        <v/>
      </c>
      <c r="AJ71" s="105" t="n"/>
      <c r="AK71" s="106">
        <f>IF('Field Teams'!$I$72="Inactive",-1,IF(AA71="HIGH",AB71,-1))</f>
        <v/>
      </c>
      <c r="AL71" s="106">
        <f>IF('Field Teams'!$I$72="Inactive",-1,IF(OR(AA71="HIGH",AA71="MEDIUM"),AB71,-1))</f>
        <v/>
      </c>
      <c r="AM71">
        <f>IF('Field Teams'!$I$72="Inactive","",IF(IFERROR(LOOKUP(2,1/('Historical Scores'!C72:N72&lt;&gt;""),'Historical Scores'!C72:N72),"")="","New",IF(T71=""," ",IF(T71&gt;IFERROR(LOOKUP(2,1/('Historical Scores'!C72:N72&lt;&gt;""),'Historical Scores'!C72:N72),""),"▲ Worsening",IF(T71&lt;IFERROR(LOOKUP(2,1/('Historical Scores'!C72:N72&lt;&gt;""),'Historical Scores'!C72:N72),""),"▼ Improving","► Stable")))))</f>
        <v/>
      </c>
      <c r="AN71">
        <f>IFERROR(SUMPRODUCT((ISNUMBER(SEARCH(B71,'Data - SSV'!AE$6:AE$3000)))*('Data - SSV'!AF$6:AF$3000&gt;=(AJ$3-90))*('Data - SSV'!AF$6:AF$3000&lt;=AJ$3)*('Data - SSV'!AH$6:AH$3000&lt;&gt;"")),0)</f>
        <v/>
      </c>
      <c r="AO71">
        <f>IF('Field Teams'!$I$72="Inactive","",IF(AN71=0,3,IF(AN71=1,IF(IFERROR(SUMPRODUCT((ISNUMBER(SEARCH(B71,'Data - SSV'!AE$6:AE$3000)))*('Data - SSV'!AF$6:AF$3000&gt;=(AJ$3-90))*('Data - SSV'!AF$6:AF$3000&lt;=AJ$3)*('Data - SSV'!AH$6:AH$3000&lt;&gt;"")*IF('Data - SSV'!AH$6:AH$3000="",0,'Data - SSV'!AH$6:AH$3000))/AN71,3)=4,4,IF(IFERROR(SUMPRODUCT((ISNUMBER(SEARCH(B71,'Data - SSV'!AE$6:AE$3000)))*('Data - SSV'!AF$6:AF$3000&gt;=(AJ$3-90))*('Data - SSV'!AF$6:AF$3000&lt;=AJ$3)*('Data - SSV'!AH$6:AH$3000&lt;&gt;"")*IF('Data - SSV'!AH$6:AH$3000="",0,'Data - SSV'!AH$6:AH$3000))/AN71,3)&gt;=3,3,IF(IFERROR(SUMPRODUCT((ISNUMBER(SEARCH(B71,'Data - SSV'!AE$6:AE$3000)))*('Data - SSV'!AF$6:AF$3000&gt;=(AJ$3-90))*('Data - SSV'!AF$6:AF$3000&lt;=AJ$3)*('Data - SSV'!AH$6:AH$3000&lt;&gt;"")*IF('Data - SSV'!AH$6:AH$3000="",0,'Data - SSV'!AH$6:AH$3000))/AN71,3)&gt;=2,2,1))),IF(IFERROR(SUMPRODUCT((ISNUMBER(SEARCH(B71,'Data - SSV'!AE$6:AE$3000)))*('Data - SSV'!AF$6:AF$3000&gt;=(AJ$3-90))*('Data - SSV'!AF$6:AF$3000&lt;=AJ$3)*('Data - SSV'!AH$6:AH$3000&lt;&gt;"")*IF('Data - SSV'!AH$6:AH$3000="",0,'Data - SSV'!AH$6:AH$3000))/AN71,3)=4,5,IF(IFERROR(SUMPRODUCT((ISNUMBER(SEARCH(B71,'Data - SSV'!AE$6:AE$3000)))*('Data - SSV'!AF$6:AF$3000&gt;=(AJ$3-90))*('Data - SSV'!AF$6:AF$3000&lt;=AJ$3)*('Data - SSV'!AH$6:AH$3000&lt;&gt;"")*IF('Data - SSV'!AH$6:AH$3000="",0,'Data - SSV'!AH$6:AH$3000))/AN71,3)&gt;=3.5,4,IF(IFERROR(SUMPRODUCT((ISNUMBER(SEARCH(B71,'Data - SSV'!AE$6:AE$3000)))*('Data - SSV'!AF$6:AF$3000&gt;=(AJ$3-90))*('Data - SSV'!AF$6:AF$3000&lt;=AJ$3)*('Data - SSV'!AH$6:AH$3000&lt;&gt;"")*IF('Data - SSV'!AH$6:AH$3000="",0,'Data - SSV'!AH$6:AH$3000))/AN71,3)&gt;=3,3,IF(IFERROR(SUMPRODUCT((ISNUMBER(SEARCH(B71,'Data - SSV'!AE$6:AE$3000)))*('Data - SSV'!AF$6:AF$3000&gt;=(AJ$3-90))*('Data - SSV'!AF$6:AF$3000&lt;=AJ$3)*('Data - SSV'!AH$6:AH$3000&lt;&gt;"")*IF('Data - SSV'!AH$6:AH$3000="",0,'Data - SSV'!AH$6:AH$3000))/AN71,3)&gt;=2,2,1)))))))</f>
        <v/>
      </c>
    </row>
    <row r="72" ht="19.5" customHeight="1" s="146">
      <c r="A72" s="10">
        <f>'Field Teams'!A73</f>
        <v/>
      </c>
      <c r="B72" s="30">
        <f>'Field Teams'!B73</f>
        <v/>
      </c>
      <c r="C72" s="30">
        <f>'Field Teams'!C73</f>
        <v/>
      </c>
      <c r="D72" s="10">
        <f>'Field Teams'!D73</f>
        <v/>
      </c>
      <c r="E72" s="10">
        <f>'Field Teams'!E73</f>
        <v/>
      </c>
      <c r="F72" s="10">
        <f>'Field Teams'!F73</f>
        <v/>
      </c>
      <c r="G72" s="10">
        <f>'Field Teams'!G73</f>
        <v/>
      </c>
      <c r="H72" s="31">
        <f>'Field Teams'!H73</f>
        <v/>
      </c>
      <c r="I72" s="31">
        <f>H72*2</f>
        <v/>
      </c>
      <c r="J72" s="31">
        <f>IFERROR(SUMPRODUCT((((ISNUMBER(SEARCH(B72,'Data - HSQE Events'!V$6:V$3000))+ISNUMBER(SEARCH(B72,'Data - HSQE Events'!H$6:H$3000)))&gt;0))*('Data - HSQE Events'!F$6:F$3000&gt;=$AG$3)*('Data - HSQE Events'!F$6:F$3000&lt;=$AJ$3)*('Data - HSQE Events'!R$6:R$3000="Opportunity")),0)</f>
        <v/>
      </c>
      <c r="K72" s="31">
        <f>IFERROR(SUMPRODUCT((((ISNUMBER(SEARCH(B72,'Data - HSQE Events'!V$6:V$3000))+ISNUMBER(SEARCH(B72,'Data - HSQE Events'!H$6:H$3000)))&gt;0))*('Data - HSQE Events'!F$6:F$3000&gt;=$AG$3)*('Data - HSQE Events'!F$6:F$3000&lt;=$AJ$3)*('Data - HSQE Events'!R$6:R$3000="Minor")),0)</f>
        <v/>
      </c>
      <c r="L72" s="31">
        <f>IFERROR(SUMPRODUCT((((ISNUMBER(SEARCH(B72,'Data - HSQE Events'!V$6:V$3000))+ISNUMBER(SEARCH(B72,'Data - HSQE Events'!H$6:H$3000)))&gt;0))*('Data - HSQE Events'!F$6:F$3000&gt;=$AG$3)*('Data - HSQE Events'!F$6:F$3000&lt;=$AJ$3)*(('Data - HSQE Events'!R$6:R$3000="Moderate")+('Data - HSQE Events'!R$6:R$3000="Major"))),0)</f>
        <v/>
      </c>
      <c r="M72" s="31">
        <f>IF(IFERROR(SUMPRODUCT((((ISNUMBER(SEARCH(B72,'Data - HSQE Events'!V$6:V$3000))+ISNUMBER(SEARCH(B72,'Data - HSQE Events'!H$6:H$3000)))&gt;0))*('Data - HSQE Events'!F$6:F$3000&gt;=$AG$3)*('Data - HSQE Events'!F$6:F$3000&lt;=$AJ$3)*('Data - HSQE Events'!R$6:R$3000="Major")),0)&gt;0,"YES","NO")</f>
        <v/>
      </c>
      <c r="N72" s="31">
        <f>IFERROR(SUMPRODUCT(('Data - Skillko'!B$6:B$3000=B72)*('Data - Skillko'!C$6:C$3000="Total")*('Data - Skillko'!E$6:E$3000))*100,0)</f>
        <v/>
      </c>
      <c r="O72" s="31">
        <f>ROUND(MAX(1,MIN(5,1+N72/100*4)),1)</f>
        <v/>
      </c>
      <c r="P72" s="31">
        <f>IFERROR(SUMPRODUCT(ISNUMBER(SEARCH(B72,'Pole Results'!$A$13:$A$2000))*('Pole Results'!$B$13:$B$2000&gt;=$AG$3)*('Pole Results'!$B$13:$B$2000&lt;=$AE$3)*('Pole Results'!$E$13:$E$2000="Non-Compliant")),0)</f>
        <v/>
      </c>
      <c r="Q72" s="31">
        <f>IF(I72=0,1,IFERROR(ROUND(MAX(1,MIN(5,1+J72/I72*4)),1),3))</f>
        <v/>
      </c>
      <c r="R72" s="31">
        <f>ROUND(6-MAX(MIN(5,K72*0.8+1),MIN(5,L72*2+1)),1)</f>
        <v/>
      </c>
      <c r="S72" s="49">
        <f>IFERROR(ROUND(MAX(1,MIN(5,5-(P72/MAX(1,AI72))*4)),1),5)</f>
        <v/>
      </c>
      <c r="T72" s="31">
        <f>IF('Field Teams'!$I$73="Inactive","",ROUND((Q72*Settings!$D$6+R72*Settings!$D$7+O72*Settings!$D$10+S72*Settings!$D$12+AO72*Settings!$D$13)/Settings!$D$14,1))</f>
        <v/>
      </c>
      <c r="U72" s="115">
        <f>IF('Field Teams'!$I$73="Inactive","",IF(Q72="","",IF(Q72&gt;=4.5,"★★★★★",IF(Q72&gt;=3.5,"★★★★☆",IF(Q72&gt;=2.5,"★★★☆☆",IF(Q72&gt;=1.5,"★★☆☆☆","★☆☆☆☆"))))))</f>
        <v/>
      </c>
      <c r="V72" s="115">
        <f>IF('Field Teams'!$I$73="Inactive","",IF(R72="","",IF(R72&gt;=4.5,"★★★★★",IF(R72&gt;=3.5,"★★★★☆",IF(R72&gt;=2.5,"★★★☆☆",IF(R72&gt;=1.5,"★★☆☆☆","★☆☆☆☆"))))))</f>
        <v/>
      </c>
      <c r="W72" s="115">
        <f>IF('Field Teams'!$I$73="Inactive","",IF(O72="","",IF(O72&gt;=4.5,"★★★★★",IF(O72&gt;=3.5,"★★★★☆",IF(O72&gt;=2.5,"★★★☆☆",IF(O72&gt;=1.5,"★★☆☆☆","★☆☆☆☆"))))))</f>
        <v/>
      </c>
      <c r="X72" s="115">
        <f>IF('Field Teams'!$I$73="Inactive","",IF(S72="","",IF(S72&gt;=4.5,"★★★★★",IF(S72&gt;=3.5,"★★★★☆",IF(S72&gt;=2.5,"★★★☆☆",IF(S72&gt;=1.5,"★★☆☆☆","★☆☆☆☆"))))))</f>
        <v/>
      </c>
      <c r="Y72" s="115">
        <f>IF('Field Teams'!$I$73="Inactive","",IF(AO72="","",IF(AO72&gt;=4.5,"★★★★★",IF(AO72&gt;=3.5,"★★★★☆",IF(AO72&gt;=2.5,"★★★☆☆",IF(AO72&gt;=1.5,"★★☆☆☆","★☆☆☆☆"))))))</f>
        <v/>
      </c>
      <c r="Z72" s="115">
        <f>IF('Field Teams'!$I$5="Inactive","",IF(T72="","",IF(T72&gt;=4.5,"★★★★★",IF(T72&gt;=3.5,"★★★★☆",IF(T72&gt;=2.5,"★★★☆☆",IF(T72&gt;=1.5,"★★☆☆☆","★☆☆☆☆"))))))</f>
        <v/>
      </c>
      <c r="AA72" s="31">
        <f>IF('Field Teams'!$I$73="Inactive","",IF(M72="YES","HIGH",IF(Q72&lt;=Settings!$D$26,"HIGH",IF(T72&lt;=Settings!$D$23,"HIGH",IF(T72&lt;=Settings!$D$24,"MEDIUM","LOW")))))</f>
        <v/>
      </c>
      <c r="AB72" s="31">
        <f>IF('Field Teams'!$I$5="Inactive",-1,IFERROR((6-T72)+(77-ROW())*0.0001,0))</f>
        <v/>
      </c>
      <c r="AC72" s="35">
        <f>IF('Field Teams'!$I$5="Inactive",999,IFERROR((6-T72)+(ROW()-3)*0.0001,99))</f>
        <v/>
      </c>
      <c r="AD72" s="31">
        <f>IF('Field Teams'!$I$73="Inactive",999,IFERROR(AB72+(ROW()-3)*0.0001,99))</f>
        <v/>
      </c>
      <c r="AE72" s="29" t="n">
        <v>0</v>
      </c>
      <c r="AF72" s="31">
        <f>IF('Field Teams'!$I$73="Inactive","",IF(AA72="HIGH","YES - within 5 working days",""))</f>
        <v/>
      </c>
      <c r="AG72" s="105" t="n"/>
      <c r="AH72" s="49">
        <f>IFERROR(SUMPRODUCT(ISNUMBER(SEARCH(B72,'Pole Results'!$A$13:$A$2000))*('Pole Results'!$B$13:$B$2000&gt;=$AG$3)*('Pole Results'!$B$13:$B$2000&lt;=$AE$3)),0)</f>
        <v/>
      </c>
      <c r="AI72" s="49">
        <f>IFERROR(SUMPRODUCT(ISNUMBER(SEARCH(B72,'Pole Results'!$A$13:$A$2000))*('Pole Results'!$B$13:$B$2000&gt;=$AG$3)*('Pole Results'!$B$13:$B$2000&lt;=$AE$3)*('Pole Results'!$E$13:$E$2000="Compliant")),0)</f>
        <v/>
      </c>
      <c r="AJ72" s="105" t="n"/>
      <c r="AK72" s="106">
        <f>IF('Field Teams'!$I$73="Inactive",-1,IF(AA72="HIGH",AB72,-1))</f>
        <v/>
      </c>
      <c r="AL72" s="106">
        <f>IF('Field Teams'!$I$73="Inactive",-1,IF(OR(AA72="HIGH",AA72="MEDIUM"),AB72,-1))</f>
        <v/>
      </c>
      <c r="AM72">
        <f>IF('Field Teams'!$I$73="Inactive","",IF(IFERROR(LOOKUP(2,1/('Historical Scores'!C73:N73&lt;&gt;""),'Historical Scores'!C73:N73),"")="","New",IF(T72=""," ",IF(T72&gt;IFERROR(LOOKUP(2,1/('Historical Scores'!C73:N73&lt;&gt;""),'Historical Scores'!C73:N73),""),"▲ Worsening",IF(T72&lt;IFERROR(LOOKUP(2,1/('Historical Scores'!C73:N73&lt;&gt;""),'Historical Scores'!C73:N73),""),"▼ Improving","► Stable")))))</f>
        <v/>
      </c>
      <c r="AN72">
        <f>IFERROR(SUMPRODUCT((ISNUMBER(SEARCH(B72,'Data - SSV'!AE$6:AE$3000)))*('Data - SSV'!AF$6:AF$3000&gt;=(AJ$3-90))*('Data - SSV'!AF$6:AF$3000&lt;=AJ$3)*('Data - SSV'!AH$6:AH$3000&lt;&gt;"")),0)</f>
        <v/>
      </c>
      <c r="AO72">
        <f>IF('Field Teams'!$I$73="Inactive","",IF(AN72=0,3,IF(AN72=1,IF(IFERROR(SUMPRODUCT((ISNUMBER(SEARCH(B72,'Data - SSV'!AE$6:AE$3000)))*('Data - SSV'!AF$6:AF$3000&gt;=(AJ$3-90))*('Data - SSV'!AF$6:AF$3000&lt;=AJ$3)*('Data - SSV'!AH$6:AH$3000&lt;&gt;"")*IF('Data - SSV'!AH$6:AH$3000="",0,'Data - SSV'!AH$6:AH$3000))/AN72,3)=4,4,IF(IFERROR(SUMPRODUCT((ISNUMBER(SEARCH(B72,'Data - SSV'!AE$6:AE$3000)))*('Data - SSV'!AF$6:AF$3000&gt;=(AJ$3-90))*('Data - SSV'!AF$6:AF$3000&lt;=AJ$3)*('Data - SSV'!AH$6:AH$3000&lt;&gt;"")*IF('Data - SSV'!AH$6:AH$3000="",0,'Data - SSV'!AH$6:AH$3000))/AN72,3)&gt;=3,3,IF(IFERROR(SUMPRODUCT((ISNUMBER(SEARCH(B72,'Data - SSV'!AE$6:AE$3000)))*('Data - SSV'!AF$6:AF$3000&gt;=(AJ$3-90))*('Data - SSV'!AF$6:AF$3000&lt;=AJ$3)*('Data - SSV'!AH$6:AH$3000&lt;&gt;"")*IF('Data - SSV'!AH$6:AH$3000="",0,'Data - SSV'!AH$6:AH$3000))/AN72,3)&gt;=2,2,1))),IF(IFERROR(SUMPRODUCT((ISNUMBER(SEARCH(B72,'Data - SSV'!AE$6:AE$3000)))*('Data - SSV'!AF$6:AF$3000&gt;=(AJ$3-90))*('Data - SSV'!AF$6:AF$3000&lt;=AJ$3)*('Data - SSV'!AH$6:AH$3000&lt;&gt;"")*IF('Data - SSV'!AH$6:AH$3000="",0,'Data - SSV'!AH$6:AH$3000))/AN72,3)=4,5,IF(IFERROR(SUMPRODUCT((ISNUMBER(SEARCH(B72,'Data - SSV'!AE$6:AE$3000)))*('Data - SSV'!AF$6:AF$3000&gt;=(AJ$3-90))*('Data - SSV'!AF$6:AF$3000&lt;=AJ$3)*('Data - SSV'!AH$6:AH$3000&lt;&gt;"")*IF('Data - SSV'!AH$6:AH$3000="",0,'Data - SSV'!AH$6:AH$3000))/AN72,3)&gt;=3.5,4,IF(IFERROR(SUMPRODUCT((ISNUMBER(SEARCH(B72,'Data - SSV'!AE$6:AE$3000)))*('Data - SSV'!AF$6:AF$3000&gt;=(AJ$3-90))*('Data - SSV'!AF$6:AF$3000&lt;=AJ$3)*('Data - SSV'!AH$6:AH$3000&lt;&gt;"")*IF('Data - SSV'!AH$6:AH$3000="",0,'Data - SSV'!AH$6:AH$3000))/AN72,3)&gt;=3,3,IF(IFERROR(SUMPRODUCT((ISNUMBER(SEARCH(B72,'Data - SSV'!AE$6:AE$3000)))*('Data - SSV'!AF$6:AF$3000&gt;=(AJ$3-90))*('Data - SSV'!AF$6:AF$3000&lt;=AJ$3)*('Data - SSV'!AH$6:AH$3000&lt;&gt;"")*IF('Data - SSV'!AH$6:AH$3000="",0,'Data - SSV'!AH$6:AH$3000))/AN72,3)&gt;=2,2,1)))))))</f>
        <v/>
      </c>
    </row>
    <row r="73" ht="19.5" customHeight="1" s="146">
      <c r="A73" s="6">
        <f>'Field Teams'!A74</f>
        <v/>
      </c>
      <c r="B73" s="28">
        <f>'Field Teams'!B74</f>
        <v/>
      </c>
      <c r="C73" s="28">
        <f>'Field Teams'!C74</f>
        <v/>
      </c>
      <c r="D73" s="6">
        <f>'Field Teams'!D74</f>
        <v/>
      </c>
      <c r="E73" s="6">
        <f>'Field Teams'!E74</f>
        <v/>
      </c>
      <c r="F73" s="6">
        <f>'Field Teams'!F74</f>
        <v/>
      </c>
      <c r="G73" s="6">
        <f>'Field Teams'!G74</f>
        <v/>
      </c>
      <c r="H73" s="31">
        <f>'Field Teams'!H74</f>
        <v/>
      </c>
      <c r="I73" s="31">
        <f>H73*2</f>
        <v/>
      </c>
      <c r="J73" s="31">
        <f>IFERROR(SUMPRODUCT((((ISNUMBER(SEARCH(B73,'Data - HSQE Events'!V$6:V$3000))+ISNUMBER(SEARCH(B73,'Data - HSQE Events'!H$6:H$3000)))&gt;0))*('Data - HSQE Events'!F$6:F$3000&gt;=$AG$3)*('Data - HSQE Events'!F$6:F$3000&lt;=$AJ$3)*('Data - HSQE Events'!R$6:R$3000="Opportunity")),0)</f>
        <v/>
      </c>
      <c r="K73" s="31">
        <f>IFERROR(SUMPRODUCT((((ISNUMBER(SEARCH(B73,'Data - HSQE Events'!V$6:V$3000))+ISNUMBER(SEARCH(B73,'Data - HSQE Events'!H$6:H$3000)))&gt;0))*('Data - HSQE Events'!F$6:F$3000&gt;=$AG$3)*('Data - HSQE Events'!F$6:F$3000&lt;=$AJ$3)*('Data - HSQE Events'!R$6:R$3000="Minor")),0)</f>
        <v/>
      </c>
      <c r="L73" s="31">
        <f>IFERROR(SUMPRODUCT((((ISNUMBER(SEARCH(B73,'Data - HSQE Events'!V$6:V$3000))+ISNUMBER(SEARCH(B73,'Data - HSQE Events'!H$6:H$3000)))&gt;0))*('Data - HSQE Events'!F$6:F$3000&gt;=$AG$3)*('Data - HSQE Events'!F$6:F$3000&lt;=$AJ$3)*(('Data - HSQE Events'!R$6:R$3000="Moderate")+('Data - HSQE Events'!R$6:R$3000="Major"))),0)</f>
        <v/>
      </c>
      <c r="M73" s="31">
        <f>IF(IFERROR(SUMPRODUCT((((ISNUMBER(SEARCH(B73,'Data - HSQE Events'!V$6:V$3000))+ISNUMBER(SEARCH(B73,'Data - HSQE Events'!H$6:H$3000)))&gt;0))*('Data - HSQE Events'!F$6:F$3000&gt;=$AG$3)*('Data - HSQE Events'!F$6:F$3000&lt;=$AJ$3)*('Data - HSQE Events'!R$6:R$3000="Major")),0)&gt;0,"YES","NO")</f>
        <v/>
      </c>
      <c r="N73" s="31">
        <f>IFERROR(SUMPRODUCT(('Data - Skillko'!B$6:B$3000=B73)*('Data - Skillko'!C$6:C$3000="Total")*('Data - Skillko'!E$6:E$3000))*100,0)</f>
        <v/>
      </c>
      <c r="O73" s="31">
        <f>ROUND(MAX(1,MIN(5,1+N73/100*4)),1)</f>
        <v/>
      </c>
      <c r="P73" s="31">
        <f>IFERROR(SUMPRODUCT(ISNUMBER(SEARCH(B73,'Pole Results'!$A$13:$A$2000))*('Pole Results'!$B$13:$B$2000&gt;=$AG$3)*('Pole Results'!$B$13:$B$2000&lt;=$AE$3)*('Pole Results'!$E$13:$E$2000="Non-Compliant")),0)</f>
        <v/>
      </c>
      <c r="Q73" s="31">
        <f>IF(I73=0,1,IFERROR(ROUND(MAX(1,MIN(5,1+J73/I73*4)),1),3))</f>
        <v/>
      </c>
      <c r="R73" s="31">
        <f>ROUND(6-MAX(MIN(5,K73*0.8+1),MIN(5,L73*2+1)),1)</f>
        <v/>
      </c>
      <c r="S73" s="49">
        <f>IFERROR(ROUND(MAX(1,MIN(5,5-(P73/MAX(1,AI73))*4)),1),5)</f>
        <v/>
      </c>
      <c r="T73" s="31">
        <f>IF('Field Teams'!$I$74="Inactive","",ROUND((Q73*Settings!$D$6+R73*Settings!$D$7+O73*Settings!$D$10+S73*Settings!$D$12+AO73*Settings!$D$13)/Settings!$D$14,1))</f>
        <v/>
      </c>
      <c r="U73" s="115">
        <f>IF('Field Teams'!$I$74="Inactive","",IF(Q73="","",IF(Q73&gt;=4.5,"★★★★★",IF(Q73&gt;=3.5,"★★★★☆",IF(Q73&gt;=2.5,"★★★☆☆",IF(Q73&gt;=1.5,"★★☆☆☆","★☆☆☆☆"))))))</f>
        <v/>
      </c>
      <c r="V73" s="115">
        <f>IF('Field Teams'!$I$74="Inactive","",IF(R73="","",IF(R73&gt;=4.5,"★★★★★",IF(R73&gt;=3.5,"★★★★☆",IF(R73&gt;=2.5,"★★★☆☆",IF(R73&gt;=1.5,"★★☆☆☆","★☆☆☆☆"))))))</f>
        <v/>
      </c>
      <c r="W73" s="115">
        <f>IF('Field Teams'!$I$74="Inactive","",IF(O73="","",IF(O73&gt;=4.5,"★★★★★",IF(O73&gt;=3.5,"★★★★☆",IF(O73&gt;=2.5,"★★★☆☆",IF(O73&gt;=1.5,"★★☆☆☆","★☆☆☆☆"))))))</f>
        <v/>
      </c>
      <c r="X73" s="115">
        <f>IF('Field Teams'!$I$74="Inactive","",IF(S73="","",IF(S73&gt;=4.5,"★★★★★",IF(S73&gt;=3.5,"★★★★☆",IF(S73&gt;=2.5,"★★★☆☆",IF(S73&gt;=1.5,"★★☆☆☆","★☆☆☆☆"))))))</f>
        <v/>
      </c>
      <c r="Y73" s="115">
        <f>IF('Field Teams'!$I$74="Inactive","",IF(AO73="","",IF(AO73&gt;=4.5,"★★★★★",IF(AO73&gt;=3.5,"★★★★☆",IF(AO73&gt;=2.5,"★★★☆☆",IF(AO73&gt;=1.5,"★★☆☆☆","★☆☆☆☆"))))))</f>
        <v/>
      </c>
      <c r="Z73" s="115">
        <f>IF('Field Teams'!$I$5="Inactive","",IF(T73="","",IF(T73&gt;=4.5,"★★★★★",IF(T73&gt;=3.5,"★★★★☆",IF(T73&gt;=2.5,"★★★☆☆",IF(T73&gt;=1.5,"★★☆☆☆","★☆☆☆☆"))))))</f>
        <v/>
      </c>
      <c r="AA73" s="31">
        <f>IF('Field Teams'!$I$74="Inactive","",IF(M73="YES","HIGH",IF(Q73&lt;=Settings!$D$26,"HIGH",IF(T73&lt;=Settings!$D$23,"HIGH",IF(T73&lt;=Settings!$D$24,"MEDIUM","LOW")))))</f>
        <v/>
      </c>
      <c r="AB73" s="31">
        <f>IF('Field Teams'!$I$5="Inactive",-1,IFERROR((6-T73)+(77-ROW())*0.0001,0))</f>
        <v/>
      </c>
      <c r="AC73" s="35">
        <f>IF('Field Teams'!$I$5="Inactive",999,IFERROR((6-T73)+(ROW()-3)*0.0001,99))</f>
        <v/>
      </c>
      <c r="AD73" s="31">
        <f>IF('Field Teams'!$I$74="Inactive",999,IFERROR(AB73+(ROW()-3)*0.0001,99))</f>
        <v/>
      </c>
      <c r="AE73" s="29" t="n">
        <v>0</v>
      </c>
      <c r="AF73" s="31">
        <f>IF('Field Teams'!$I$74="Inactive","",IF(AA73="HIGH","YES - within 5 working days",""))</f>
        <v/>
      </c>
      <c r="AG73" s="105" t="n"/>
      <c r="AH73" s="49">
        <f>IFERROR(SUMPRODUCT(ISNUMBER(SEARCH(B73,'Pole Results'!$A$13:$A$2000))*('Pole Results'!$B$13:$B$2000&gt;=$AG$3)*('Pole Results'!$B$13:$B$2000&lt;=$AE$3)),0)</f>
        <v/>
      </c>
      <c r="AI73" s="49">
        <f>IFERROR(SUMPRODUCT(ISNUMBER(SEARCH(B73,'Pole Results'!$A$13:$A$2000))*('Pole Results'!$B$13:$B$2000&gt;=$AG$3)*('Pole Results'!$B$13:$B$2000&lt;=$AE$3)*('Pole Results'!$E$13:$E$2000="Compliant")),0)</f>
        <v/>
      </c>
      <c r="AJ73" s="105" t="n"/>
      <c r="AK73" s="106">
        <f>IF('Field Teams'!$I$74="Inactive",-1,IF(AA73="HIGH",AB73,-1))</f>
        <v/>
      </c>
      <c r="AL73" s="106">
        <f>IF('Field Teams'!$I$74="Inactive",-1,IF(OR(AA73="HIGH",AA73="MEDIUM"),AB73,-1))</f>
        <v/>
      </c>
      <c r="AM73">
        <f>IF('Field Teams'!$I$74="Inactive","",IF(IFERROR(LOOKUP(2,1/('Historical Scores'!C74:N74&lt;&gt;""),'Historical Scores'!C74:N74),"")="","New",IF(T73=""," ",IF(T73&gt;IFERROR(LOOKUP(2,1/('Historical Scores'!C74:N74&lt;&gt;""),'Historical Scores'!C74:N74),""),"▲ Worsening",IF(T73&lt;IFERROR(LOOKUP(2,1/('Historical Scores'!C74:N74&lt;&gt;""),'Historical Scores'!C74:N74),""),"▼ Improving","► Stable")))))</f>
        <v/>
      </c>
      <c r="AN73">
        <f>IFERROR(SUMPRODUCT((ISNUMBER(SEARCH(B73,'Data - SSV'!AE$6:AE$3000)))*('Data - SSV'!AF$6:AF$3000&gt;=(AJ$3-90))*('Data - SSV'!AF$6:AF$3000&lt;=AJ$3)*('Data - SSV'!AH$6:AH$3000&lt;&gt;"")),0)</f>
        <v/>
      </c>
      <c r="AO73">
        <f>IF('Field Teams'!$I$74="Inactive","",IF(AN73=0,3,IF(AN73=1,IF(IFERROR(SUMPRODUCT((ISNUMBER(SEARCH(B73,'Data - SSV'!AE$6:AE$3000)))*('Data - SSV'!AF$6:AF$3000&gt;=(AJ$3-90))*('Data - SSV'!AF$6:AF$3000&lt;=AJ$3)*('Data - SSV'!AH$6:AH$3000&lt;&gt;"")*IF('Data - SSV'!AH$6:AH$3000="",0,'Data - SSV'!AH$6:AH$3000))/AN73,3)=4,4,IF(IFERROR(SUMPRODUCT((ISNUMBER(SEARCH(B73,'Data - SSV'!AE$6:AE$3000)))*('Data - SSV'!AF$6:AF$3000&gt;=(AJ$3-90))*('Data - SSV'!AF$6:AF$3000&lt;=AJ$3)*('Data - SSV'!AH$6:AH$3000&lt;&gt;"")*IF('Data - SSV'!AH$6:AH$3000="",0,'Data - SSV'!AH$6:AH$3000))/AN73,3)&gt;=3,3,IF(IFERROR(SUMPRODUCT((ISNUMBER(SEARCH(B73,'Data - SSV'!AE$6:AE$3000)))*('Data - SSV'!AF$6:AF$3000&gt;=(AJ$3-90))*('Data - SSV'!AF$6:AF$3000&lt;=AJ$3)*('Data - SSV'!AH$6:AH$3000&lt;&gt;"")*IF('Data - SSV'!AH$6:AH$3000="",0,'Data - SSV'!AH$6:AH$3000))/AN73,3)&gt;=2,2,1))),IF(IFERROR(SUMPRODUCT((ISNUMBER(SEARCH(B73,'Data - SSV'!AE$6:AE$3000)))*('Data - SSV'!AF$6:AF$3000&gt;=(AJ$3-90))*('Data - SSV'!AF$6:AF$3000&lt;=AJ$3)*('Data - SSV'!AH$6:AH$3000&lt;&gt;"")*IF('Data - SSV'!AH$6:AH$3000="",0,'Data - SSV'!AH$6:AH$3000))/AN73,3)=4,5,IF(IFERROR(SUMPRODUCT((ISNUMBER(SEARCH(B73,'Data - SSV'!AE$6:AE$3000)))*('Data - SSV'!AF$6:AF$3000&gt;=(AJ$3-90))*('Data - SSV'!AF$6:AF$3000&lt;=AJ$3)*('Data - SSV'!AH$6:AH$3000&lt;&gt;"")*IF('Data - SSV'!AH$6:AH$3000="",0,'Data - SSV'!AH$6:AH$3000))/AN73,3)&gt;=3.5,4,IF(IFERROR(SUMPRODUCT((ISNUMBER(SEARCH(B73,'Data - SSV'!AE$6:AE$3000)))*('Data - SSV'!AF$6:AF$3000&gt;=(AJ$3-90))*('Data - SSV'!AF$6:AF$3000&lt;=AJ$3)*('Data - SSV'!AH$6:AH$3000&lt;&gt;"")*IF('Data - SSV'!AH$6:AH$3000="",0,'Data - SSV'!AH$6:AH$3000))/AN73,3)&gt;=3,3,IF(IFERROR(SUMPRODUCT((ISNUMBER(SEARCH(B73,'Data - SSV'!AE$6:AE$3000)))*('Data - SSV'!AF$6:AF$3000&gt;=(AJ$3-90))*('Data - SSV'!AF$6:AF$3000&lt;=AJ$3)*('Data - SSV'!AH$6:AH$3000&lt;&gt;"")*IF('Data - SSV'!AH$6:AH$3000="",0,'Data - SSV'!AH$6:AH$3000))/AN73,3)&gt;=2,2,1)))))))</f>
        <v/>
      </c>
    </row>
    <row r="74" ht="19.5" customHeight="1" s="146">
      <c r="A74" s="10">
        <f>'Field Teams'!A75</f>
        <v/>
      </c>
      <c r="B74" s="30">
        <f>'Field Teams'!B75</f>
        <v/>
      </c>
      <c r="C74" s="30">
        <f>'Field Teams'!C75</f>
        <v/>
      </c>
      <c r="D74" s="10">
        <f>'Field Teams'!D75</f>
        <v/>
      </c>
      <c r="E74" s="10">
        <f>'Field Teams'!E75</f>
        <v/>
      </c>
      <c r="F74" s="10">
        <f>'Field Teams'!F75</f>
        <v/>
      </c>
      <c r="G74" s="10">
        <f>'Field Teams'!G75</f>
        <v/>
      </c>
      <c r="H74" s="31">
        <f>'Field Teams'!H75</f>
        <v/>
      </c>
      <c r="I74" s="31">
        <f>H74*2</f>
        <v/>
      </c>
      <c r="J74" s="31">
        <f>IFERROR(SUMPRODUCT((((ISNUMBER(SEARCH(B74,'Data - HSQE Events'!V$6:V$3000))+ISNUMBER(SEARCH(B74,'Data - HSQE Events'!H$6:H$3000)))&gt;0))*('Data - HSQE Events'!F$6:F$3000&gt;=$AG$3)*('Data - HSQE Events'!F$6:F$3000&lt;=$AJ$3)*('Data - HSQE Events'!R$6:R$3000="Opportunity")),0)</f>
        <v/>
      </c>
      <c r="K74" s="31">
        <f>IFERROR(SUMPRODUCT((((ISNUMBER(SEARCH(B74,'Data - HSQE Events'!V$6:V$3000))+ISNUMBER(SEARCH(B74,'Data - HSQE Events'!H$6:H$3000)))&gt;0))*('Data - HSQE Events'!F$6:F$3000&gt;=$AG$3)*('Data - HSQE Events'!F$6:F$3000&lt;=$AJ$3)*('Data - HSQE Events'!R$6:R$3000="Minor")),0)</f>
        <v/>
      </c>
      <c r="L74" s="31">
        <f>IFERROR(SUMPRODUCT((((ISNUMBER(SEARCH(B74,'Data - HSQE Events'!V$6:V$3000))+ISNUMBER(SEARCH(B74,'Data - HSQE Events'!H$6:H$3000)))&gt;0))*('Data - HSQE Events'!F$6:F$3000&gt;=$AG$3)*('Data - HSQE Events'!F$6:F$3000&lt;=$AJ$3)*(('Data - HSQE Events'!R$6:R$3000="Moderate")+('Data - HSQE Events'!R$6:R$3000="Major"))),0)</f>
        <v/>
      </c>
      <c r="M74" s="31">
        <f>IF(IFERROR(SUMPRODUCT((((ISNUMBER(SEARCH(B74,'Data - HSQE Events'!V$6:V$3000))+ISNUMBER(SEARCH(B74,'Data - HSQE Events'!H$6:H$3000)))&gt;0))*('Data - HSQE Events'!F$6:F$3000&gt;=$AG$3)*('Data - HSQE Events'!F$6:F$3000&lt;=$AJ$3)*('Data - HSQE Events'!R$6:R$3000="Major")),0)&gt;0,"YES","NO")</f>
        <v/>
      </c>
      <c r="N74" s="31">
        <f>IFERROR(SUMPRODUCT(('Data - Skillko'!B$6:B$3000=B74)*('Data - Skillko'!C$6:C$3000="Total")*('Data - Skillko'!E$6:E$3000))*100,0)</f>
        <v/>
      </c>
      <c r="O74" s="31">
        <f>ROUND(MAX(1,MIN(5,1+N74/100*4)),1)</f>
        <v/>
      </c>
      <c r="P74" s="31">
        <f>IFERROR(SUMPRODUCT(ISNUMBER(SEARCH(B74,'Pole Results'!$A$13:$A$2000))*('Pole Results'!$B$13:$B$2000&gt;=$AG$3)*('Pole Results'!$B$13:$B$2000&lt;=$AE$3)*('Pole Results'!$E$13:$E$2000="Non-Compliant")),0)</f>
        <v/>
      </c>
      <c r="Q74" s="31">
        <f>IF(I74=0,1,IFERROR(ROUND(MAX(1,MIN(5,1+J74/I74*4)),1),3))</f>
        <v/>
      </c>
      <c r="R74" s="31">
        <f>ROUND(6-MAX(MIN(5,K74*0.8+1),MIN(5,L74*2+1)),1)</f>
        <v/>
      </c>
      <c r="S74" s="49">
        <f>IFERROR(ROUND(MAX(1,MIN(5,5-(P74/MAX(1,AI74))*4)),1),5)</f>
        <v/>
      </c>
      <c r="T74" s="31">
        <f>IF('Field Teams'!$I$75="Inactive","",ROUND((Q74*Settings!$D$6+R74*Settings!$D$7+O74*Settings!$D$10+S74*Settings!$D$12+AO74*Settings!$D$13)/Settings!$D$14,1))</f>
        <v/>
      </c>
      <c r="U74" s="115">
        <f>IF('Field Teams'!$I$75="Inactive","",IF(Q74="","",IF(Q74&gt;=4.5,"★★★★★",IF(Q74&gt;=3.5,"★★★★☆",IF(Q74&gt;=2.5,"★★★☆☆",IF(Q74&gt;=1.5,"★★☆☆☆","★☆☆☆☆"))))))</f>
        <v/>
      </c>
      <c r="V74" s="115">
        <f>IF('Field Teams'!$I$75="Inactive","",IF(R74="","",IF(R74&gt;=4.5,"★★★★★",IF(R74&gt;=3.5,"★★★★☆",IF(R74&gt;=2.5,"★★★☆☆",IF(R74&gt;=1.5,"★★☆☆☆","★☆☆☆☆"))))))</f>
        <v/>
      </c>
      <c r="W74" s="115">
        <f>IF('Field Teams'!$I$75="Inactive","",IF(O74="","",IF(O74&gt;=4.5,"★★★★★",IF(O74&gt;=3.5,"★★★★☆",IF(O74&gt;=2.5,"★★★☆☆",IF(O74&gt;=1.5,"★★☆☆☆","★☆☆☆☆"))))))</f>
        <v/>
      </c>
      <c r="X74" s="115">
        <f>IF('Field Teams'!$I$75="Inactive","",IF(S74="","",IF(S74&gt;=4.5,"★★★★★",IF(S74&gt;=3.5,"★★★★☆",IF(S74&gt;=2.5,"★★★☆☆",IF(S74&gt;=1.5,"★★☆☆☆","★☆☆☆☆"))))))</f>
        <v/>
      </c>
      <c r="Y74" s="115">
        <f>IF('Field Teams'!$I$75="Inactive","",IF(AO74="","",IF(AO74&gt;=4.5,"★★★★★",IF(AO74&gt;=3.5,"★★★★☆",IF(AO74&gt;=2.5,"★★★☆☆",IF(AO74&gt;=1.5,"★★☆☆☆","★☆☆☆☆"))))))</f>
        <v/>
      </c>
      <c r="Z74" s="115">
        <f>IF('Field Teams'!$I$5="Inactive","",IF(T74="","",IF(T74&gt;=4.5,"★★★★★",IF(T74&gt;=3.5,"★★★★☆",IF(T74&gt;=2.5,"★★★☆☆",IF(T74&gt;=1.5,"★★☆☆☆","★☆☆☆☆"))))))</f>
        <v/>
      </c>
      <c r="AA74" s="31">
        <f>IF('Field Teams'!$I$75="Inactive","",IF(M74="YES","HIGH",IF(Q74&lt;=Settings!$D$26,"HIGH",IF(T74&lt;=Settings!$D$23,"HIGH",IF(T74&lt;=Settings!$D$24,"MEDIUM","LOW")))))</f>
        <v/>
      </c>
      <c r="AB74" s="31">
        <f>IF('Field Teams'!$I$5="Inactive",-1,IFERROR((6-T74)+(77-ROW())*0.0001,0))</f>
        <v/>
      </c>
      <c r="AC74" s="35">
        <f>IF('Field Teams'!$I$5="Inactive",999,IFERROR((6-T74)+(ROW()-3)*0.0001,99))</f>
        <v/>
      </c>
      <c r="AD74" s="31">
        <f>IF('Field Teams'!$I$75="Inactive",999,IFERROR(AB74+(ROW()-3)*0.0001,99))</f>
        <v/>
      </c>
      <c r="AE74" s="29" t="n">
        <v>0</v>
      </c>
      <c r="AF74" s="31">
        <f>IF('Field Teams'!$I$75="Inactive","",IF(AA74="HIGH","YES - within 5 working days",""))</f>
        <v/>
      </c>
      <c r="AG74" s="105" t="n"/>
      <c r="AH74" s="49">
        <f>IFERROR(SUMPRODUCT(ISNUMBER(SEARCH(B74,'Pole Results'!$A$13:$A$2000))*('Pole Results'!$B$13:$B$2000&gt;=$AG$3)*('Pole Results'!$B$13:$B$2000&lt;=$AE$3)),0)</f>
        <v/>
      </c>
      <c r="AI74" s="49">
        <f>IFERROR(SUMPRODUCT(ISNUMBER(SEARCH(B74,'Pole Results'!$A$13:$A$2000))*('Pole Results'!$B$13:$B$2000&gt;=$AG$3)*('Pole Results'!$B$13:$B$2000&lt;=$AE$3)*('Pole Results'!$E$13:$E$2000="Compliant")),0)</f>
        <v/>
      </c>
      <c r="AJ74" s="105" t="n"/>
      <c r="AK74" s="106">
        <f>IF('Field Teams'!$I$75="Inactive",-1,IF(AA74="HIGH",AB74,-1))</f>
        <v/>
      </c>
      <c r="AL74" s="106">
        <f>IF('Field Teams'!$I$75="Inactive",-1,IF(OR(AA74="HIGH",AA74="MEDIUM"),AB74,-1))</f>
        <v/>
      </c>
      <c r="AM74">
        <f>IF('Field Teams'!$I$75="Inactive","",IF(IFERROR(LOOKUP(2,1/('Historical Scores'!C75:N75&lt;&gt;""),'Historical Scores'!C75:N75),"")="","New",IF(T74=""," ",IF(T74&gt;IFERROR(LOOKUP(2,1/('Historical Scores'!C75:N75&lt;&gt;""),'Historical Scores'!C75:N75),""),"▲ Worsening",IF(T74&lt;IFERROR(LOOKUP(2,1/('Historical Scores'!C75:N75&lt;&gt;""),'Historical Scores'!C75:N75),""),"▼ Improving","► Stable")))))</f>
        <v/>
      </c>
      <c r="AN74">
        <f>IFERROR(SUMPRODUCT((ISNUMBER(SEARCH(B74,'Data - SSV'!AE$6:AE$3000)))*('Data - SSV'!AF$6:AF$3000&gt;=(AJ$3-90))*('Data - SSV'!AF$6:AF$3000&lt;=AJ$3)*('Data - SSV'!AH$6:AH$3000&lt;&gt;"")),0)</f>
        <v/>
      </c>
      <c r="AO74">
        <f>IF('Field Teams'!$I$75="Inactive","",IF(AN74=0,3,IF(AN74=1,IF(IFERROR(SUMPRODUCT((ISNUMBER(SEARCH(B74,'Data - SSV'!AE$6:AE$3000)))*('Data - SSV'!AF$6:AF$3000&gt;=(AJ$3-90))*('Data - SSV'!AF$6:AF$3000&lt;=AJ$3)*('Data - SSV'!AH$6:AH$3000&lt;&gt;"")*IF('Data - SSV'!AH$6:AH$3000="",0,'Data - SSV'!AH$6:AH$3000))/AN74,3)=4,4,IF(IFERROR(SUMPRODUCT((ISNUMBER(SEARCH(B74,'Data - SSV'!AE$6:AE$3000)))*('Data - SSV'!AF$6:AF$3000&gt;=(AJ$3-90))*('Data - SSV'!AF$6:AF$3000&lt;=AJ$3)*('Data - SSV'!AH$6:AH$3000&lt;&gt;"")*IF('Data - SSV'!AH$6:AH$3000="",0,'Data - SSV'!AH$6:AH$3000))/AN74,3)&gt;=3,3,IF(IFERROR(SUMPRODUCT((ISNUMBER(SEARCH(B74,'Data - SSV'!AE$6:AE$3000)))*('Data - SSV'!AF$6:AF$3000&gt;=(AJ$3-90))*('Data - SSV'!AF$6:AF$3000&lt;=AJ$3)*('Data - SSV'!AH$6:AH$3000&lt;&gt;"")*IF('Data - SSV'!AH$6:AH$3000="",0,'Data - SSV'!AH$6:AH$3000))/AN74,3)&gt;=2,2,1))),IF(IFERROR(SUMPRODUCT((ISNUMBER(SEARCH(B74,'Data - SSV'!AE$6:AE$3000)))*('Data - SSV'!AF$6:AF$3000&gt;=(AJ$3-90))*('Data - SSV'!AF$6:AF$3000&lt;=AJ$3)*('Data - SSV'!AH$6:AH$3000&lt;&gt;"")*IF('Data - SSV'!AH$6:AH$3000="",0,'Data - SSV'!AH$6:AH$3000))/AN74,3)=4,5,IF(IFERROR(SUMPRODUCT((ISNUMBER(SEARCH(B74,'Data - SSV'!AE$6:AE$3000)))*('Data - SSV'!AF$6:AF$3000&gt;=(AJ$3-90))*('Data - SSV'!AF$6:AF$3000&lt;=AJ$3)*('Data - SSV'!AH$6:AH$3000&lt;&gt;"")*IF('Data - SSV'!AH$6:AH$3000="",0,'Data - SSV'!AH$6:AH$3000))/AN74,3)&gt;=3.5,4,IF(IFERROR(SUMPRODUCT((ISNUMBER(SEARCH(B74,'Data - SSV'!AE$6:AE$3000)))*('Data - SSV'!AF$6:AF$3000&gt;=(AJ$3-90))*('Data - SSV'!AF$6:AF$3000&lt;=AJ$3)*('Data - SSV'!AH$6:AH$3000&lt;&gt;"")*IF('Data - SSV'!AH$6:AH$3000="",0,'Data - SSV'!AH$6:AH$3000))/AN74,3)&gt;=3,3,IF(IFERROR(SUMPRODUCT((ISNUMBER(SEARCH(B74,'Data - SSV'!AE$6:AE$3000)))*('Data - SSV'!AF$6:AF$3000&gt;=(AJ$3-90))*('Data - SSV'!AF$6:AF$3000&lt;=AJ$3)*('Data - SSV'!AH$6:AH$3000&lt;&gt;"")*IF('Data - SSV'!AH$6:AH$3000="",0,'Data - SSV'!AH$6:AH$3000))/AN74,3)&gt;=2,2,1)))))))</f>
        <v/>
      </c>
    </row>
    <row r="75" ht="19.5" customHeight="1" s="146">
      <c r="A75" s="6">
        <f>'Field Teams'!A76</f>
        <v/>
      </c>
      <c r="B75" s="28">
        <f>'Field Teams'!B76</f>
        <v/>
      </c>
      <c r="C75" s="28">
        <f>'Field Teams'!C76</f>
        <v/>
      </c>
      <c r="D75" s="6">
        <f>'Field Teams'!D76</f>
        <v/>
      </c>
      <c r="E75" s="6">
        <f>'Field Teams'!E76</f>
        <v/>
      </c>
      <c r="F75" s="6">
        <f>'Field Teams'!F76</f>
        <v/>
      </c>
      <c r="G75" s="6">
        <f>'Field Teams'!G76</f>
        <v/>
      </c>
      <c r="H75" s="31">
        <f>'Field Teams'!H76</f>
        <v/>
      </c>
      <c r="I75" s="31">
        <f>H75*2</f>
        <v/>
      </c>
      <c r="J75" s="31">
        <f>IFERROR(SUMPRODUCT((((ISNUMBER(SEARCH(B75,'Data - HSQE Events'!V$6:V$3000))+ISNUMBER(SEARCH(B75,'Data - HSQE Events'!H$6:H$3000)))&gt;0))*('Data - HSQE Events'!F$6:F$3000&gt;=$AG$3)*('Data - HSQE Events'!F$6:F$3000&lt;=$AJ$3)*('Data - HSQE Events'!R$6:R$3000="Opportunity")),0)</f>
        <v/>
      </c>
      <c r="K75" s="31">
        <f>IFERROR(SUMPRODUCT((((ISNUMBER(SEARCH(B75,'Data - HSQE Events'!V$6:V$3000))+ISNUMBER(SEARCH(B75,'Data - HSQE Events'!H$6:H$3000)))&gt;0))*('Data - HSQE Events'!F$6:F$3000&gt;=$AG$3)*('Data - HSQE Events'!F$6:F$3000&lt;=$AJ$3)*('Data - HSQE Events'!R$6:R$3000="Minor")),0)</f>
        <v/>
      </c>
      <c r="L75" s="31">
        <f>IFERROR(SUMPRODUCT((((ISNUMBER(SEARCH(B75,'Data - HSQE Events'!V$6:V$3000))+ISNUMBER(SEARCH(B75,'Data - HSQE Events'!H$6:H$3000)))&gt;0))*('Data - HSQE Events'!F$6:F$3000&gt;=$AG$3)*('Data - HSQE Events'!F$6:F$3000&lt;=$AJ$3)*(('Data - HSQE Events'!R$6:R$3000="Moderate")+('Data - HSQE Events'!R$6:R$3000="Major"))),0)</f>
        <v/>
      </c>
      <c r="M75" s="31">
        <f>IF(IFERROR(SUMPRODUCT((((ISNUMBER(SEARCH(B75,'Data - HSQE Events'!V$6:V$3000))+ISNUMBER(SEARCH(B75,'Data - HSQE Events'!H$6:H$3000)))&gt;0))*('Data - HSQE Events'!F$6:F$3000&gt;=$AG$3)*('Data - HSQE Events'!F$6:F$3000&lt;=$AJ$3)*('Data - HSQE Events'!R$6:R$3000="Major")),0)&gt;0,"YES","NO")</f>
        <v/>
      </c>
      <c r="N75" s="31">
        <f>IFERROR(SUMPRODUCT(('Data - Skillko'!B$6:B$3000=B75)*('Data - Skillko'!C$6:C$3000="Total")*('Data - Skillko'!E$6:E$3000))*100,0)</f>
        <v/>
      </c>
      <c r="O75" s="31">
        <f>ROUND(MAX(1,MIN(5,1+N75/100*4)),1)</f>
        <v/>
      </c>
      <c r="P75" s="31">
        <f>IFERROR(SUMPRODUCT(ISNUMBER(SEARCH(B75,'Pole Results'!$A$13:$A$2000))*('Pole Results'!$B$13:$B$2000&gt;=$AG$3)*('Pole Results'!$B$13:$B$2000&lt;=$AE$3)*('Pole Results'!$E$13:$E$2000="Non-Compliant")),0)</f>
        <v/>
      </c>
      <c r="Q75" s="31">
        <f>IF(I75=0,1,IFERROR(ROUND(MAX(1,MIN(5,1+J75/I75*4)),1),3))</f>
        <v/>
      </c>
      <c r="R75" s="31">
        <f>ROUND(6-MAX(MIN(5,K75*0.8+1),MIN(5,L75*2+1)),1)</f>
        <v/>
      </c>
      <c r="S75" s="49">
        <f>IFERROR(ROUND(MAX(1,MIN(5,5-(P75/MAX(1,AI75))*4)),1),5)</f>
        <v/>
      </c>
      <c r="T75" s="31">
        <f>IF('Field Teams'!$I$76="Inactive","",ROUND((Q75*Settings!$D$6+R75*Settings!$D$7+O75*Settings!$D$10+S75*Settings!$D$12+AO75*Settings!$D$13)/Settings!$D$14,1))</f>
        <v/>
      </c>
      <c r="U75" s="115">
        <f>IF('Field Teams'!$I$76="Inactive","",IF(Q75="","",IF(Q75&gt;=4.5,"★★★★★",IF(Q75&gt;=3.5,"★★★★☆",IF(Q75&gt;=2.5,"★★★☆☆",IF(Q75&gt;=1.5,"★★☆☆☆","★☆☆☆☆"))))))</f>
        <v/>
      </c>
      <c r="V75" s="115">
        <f>IF('Field Teams'!$I$76="Inactive","",IF(R75="","",IF(R75&gt;=4.5,"★★★★★",IF(R75&gt;=3.5,"★★★★☆",IF(R75&gt;=2.5,"★★★☆☆",IF(R75&gt;=1.5,"★★☆☆☆","★☆☆☆☆"))))))</f>
        <v/>
      </c>
      <c r="W75" s="115">
        <f>IF('Field Teams'!$I$76="Inactive","",IF(O75="","",IF(O75&gt;=4.5,"★★★★★",IF(O75&gt;=3.5,"★★★★☆",IF(O75&gt;=2.5,"★★★☆☆",IF(O75&gt;=1.5,"★★☆☆☆","★☆☆☆☆"))))))</f>
        <v/>
      </c>
      <c r="X75" s="115">
        <f>IF('Field Teams'!$I$76="Inactive","",IF(S75="","",IF(S75&gt;=4.5,"★★★★★",IF(S75&gt;=3.5,"★★★★☆",IF(S75&gt;=2.5,"★★★☆☆",IF(S75&gt;=1.5,"★★☆☆☆","★☆☆☆☆"))))))</f>
        <v/>
      </c>
      <c r="Y75" s="115">
        <f>IF('Field Teams'!$I$76="Inactive","",IF(AO75="","",IF(AO75&gt;=4.5,"★★★★★",IF(AO75&gt;=3.5,"★★★★☆",IF(AO75&gt;=2.5,"★★★☆☆",IF(AO75&gt;=1.5,"★★☆☆☆","★☆☆☆☆"))))))</f>
        <v/>
      </c>
      <c r="Z75" s="115">
        <f>IF('Field Teams'!$I$5="Inactive","",IF(T75="","",IF(T75&gt;=4.5,"★★★★★",IF(T75&gt;=3.5,"★★★★☆",IF(T75&gt;=2.5,"★★★☆☆",IF(T75&gt;=1.5,"★★☆☆☆","★☆☆☆☆"))))))</f>
        <v/>
      </c>
      <c r="AA75" s="31">
        <f>IF('Field Teams'!$I$76="Inactive","",IF(M75="YES","HIGH",IF(Q75&lt;=Settings!$D$26,"HIGH",IF(T75&lt;=Settings!$D$23,"HIGH",IF(T75&lt;=Settings!$D$24,"MEDIUM","LOW")))))</f>
        <v/>
      </c>
      <c r="AB75" s="31">
        <f>IF('Field Teams'!$I$5="Inactive",-1,IFERROR((6-T75)+(77-ROW())*0.0001,0))</f>
        <v/>
      </c>
      <c r="AC75" s="35">
        <f>IF('Field Teams'!$I$5="Inactive",999,IFERROR((6-T75)+(ROW()-3)*0.0001,99))</f>
        <v/>
      </c>
      <c r="AD75" s="31">
        <f>IF('Field Teams'!$I$76="Inactive",999,IFERROR(AB75+(ROW()-3)*0.0001,99))</f>
        <v/>
      </c>
      <c r="AE75" s="29" t="n">
        <v>0</v>
      </c>
      <c r="AF75" s="31">
        <f>IF('Field Teams'!$I$76="Inactive","",IF(AA75="HIGH","YES - within 5 working days",""))</f>
        <v/>
      </c>
      <c r="AG75" s="105" t="n"/>
      <c r="AH75" s="49">
        <f>IFERROR(SUMPRODUCT(ISNUMBER(SEARCH(B75,'Pole Results'!$A$13:$A$2000))*('Pole Results'!$B$13:$B$2000&gt;=$AG$3)*('Pole Results'!$B$13:$B$2000&lt;=$AE$3)),0)</f>
        <v/>
      </c>
      <c r="AI75" s="49">
        <f>IFERROR(SUMPRODUCT(ISNUMBER(SEARCH(B75,'Pole Results'!$A$13:$A$2000))*('Pole Results'!$B$13:$B$2000&gt;=$AG$3)*('Pole Results'!$B$13:$B$2000&lt;=$AE$3)*('Pole Results'!$E$13:$E$2000="Compliant")),0)</f>
        <v/>
      </c>
      <c r="AJ75" s="105" t="n"/>
      <c r="AK75" s="106">
        <f>IF('Field Teams'!$I$76="Inactive",-1,IF(AA75="HIGH",AB75,-1))</f>
        <v/>
      </c>
      <c r="AL75" s="106">
        <f>IF('Field Teams'!$I$76="Inactive",-1,IF(OR(AA75="HIGH",AA75="MEDIUM"),AB75,-1))</f>
        <v/>
      </c>
      <c r="AM75">
        <f>IF('Field Teams'!$I$76="Inactive","",IF(IFERROR(LOOKUP(2,1/('Historical Scores'!C76:N76&lt;&gt;""),'Historical Scores'!C76:N76),"")="","New",IF(T75=""," ",IF(T75&gt;IFERROR(LOOKUP(2,1/('Historical Scores'!C76:N76&lt;&gt;""),'Historical Scores'!C76:N76),""),"▲ Worsening",IF(T75&lt;IFERROR(LOOKUP(2,1/('Historical Scores'!C76:N76&lt;&gt;""),'Historical Scores'!C76:N76),""),"▼ Improving","► Stable")))))</f>
        <v/>
      </c>
      <c r="AN75">
        <f>IFERROR(SUMPRODUCT((ISNUMBER(SEARCH(B75,'Data - SSV'!AE$6:AE$3000)))*('Data - SSV'!AF$6:AF$3000&gt;=(AJ$3-90))*('Data - SSV'!AF$6:AF$3000&lt;=AJ$3)*('Data - SSV'!AH$6:AH$3000&lt;&gt;"")),0)</f>
        <v/>
      </c>
      <c r="AO75">
        <f>IF('Field Teams'!$I$76="Inactive","",IF(AN75=0,3,IF(AN75=1,IF(IFERROR(SUMPRODUCT((ISNUMBER(SEARCH(B75,'Data - SSV'!AE$6:AE$3000)))*('Data - SSV'!AF$6:AF$3000&gt;=(AJ$3-90))*('Data - SSV'!AF$6:AF$3000&lt;=AJ$3)*('Data - SSV'!AH$6:AH$3000&lt;&gt;"")*IF('Data - SSV'!AH$6:AH$3000="",0,'Data - SSV'!AH$6:AH$3000))/AN75,3)=4,4,IF(IFERROR(SUMPRODUCT((ISNUMBER(SEARCH(B75,'Data - SSV'!AE$6:AE$3000)))*('Data - SSV'!AF$6:AF$3000&gt;=(AJ$3-90))*('Data - SSV'!AF$6:AF$3000&lt;=AJ$3)*('Data - SSV'!AH$6:AH$3000&lt;&gt;"")*IF('Data - SSV'!AH$6:AH$3000="",0,'Data - SSV'!AH$6:AH$3000))/AN75,3)&gt;=3,3,IF(IFERROR(SUMPRODUCT((ISNUMBER(SEARCH(B75,'Data - SSV'!AE$6:AE$3000)))*('Data - SSV'!AF$6:AF$3000&gt;=(AJ$3-90))*('Data - SSV'!AF$6:AF$3000&lt;=AJ$3)*('Data - SSV'!AH$6:AH$3000&lt;&gt;"")*IF('Data - SSV'!AH$6:AH$3000="",0,'Data - SSV'!AH$6:AH$3000))/AN75,3)&gt;=2,2,1))),IF(IFERROR(SUMPRODUCT((ISNUMBER(SEARCH(B75,'Data - SSV'!AE$6:AE$3000)))*('Data - SSV'!AF$6:AF$3000&gt;=(AJ$3-90))*('Data - SSV'!AF$6:AF$3000&lt;=AJ$3)*('Data - SSV'!AH$6:AH$3000&lt;&gt;"")*IF('Data - SSV'!AH$6:AH$3000="",0,'Data - SSV'!AH$6:AH$3000))/AN75,3)=4,5,IF(IFERROR(SUMPRODUCT((ISNUMBER(SEARCH(B75,'Data - SSV'!AE$6:AE$3000)))*('Data - SSV'!AF$6:AF$3000&gt;=(AJ$3-90))*('Data - SSV'!AF$6:AF$3000&lt;=AJ$3)*('Data - SSV'!AH$6:AH$3000&lt;&gt;"")*IF('Data - SSV'!AH$6:AH$3000="",0,'Data - SSV'!AH$6:AH$3000))/AN75,3)&gt;=3.5,4,IF(IFERROR(SUMPRODUCT((ISNUMBER(SEARCH(B75,'Data - SSV'!AE$6:AE$3000)))*('Data - SSV'!AF$6:AF$3000&gt;=(AJ$3-90))*('Data - SSV'!AF$6:AF$3000&lt;=AJ$3)*('Data - SSV'!AH$6:AH$3000&lt;&gt;"")*IF('Data - SSV'!AH$6:AH$3000="",0,'Data - SSV'!AH$6:AH$3000))/AN75,3)&gt;=3,3,IF(IFERROR(SUMPRODUCT((ISNUMBER(SEARCH(B75,'Data - SSV'!AE$6:AE$3000)))*('Data - SSV'!AF$6:AF$3000&gt;=(AJ$3-90))*('Data - SSV'!AF$6:AF$3000&lt;=AJ$3)*('Data - SSV'!AH$6:AH$3000&lt;&gt;"")*IF('Data - SSV'!AH$6:AH$3000="",0,'Data - SSV'!AH$6:AH$3000))/AN75,3)&gt;=2,2,1)))))))</f>
        <v/>
      </c>
    </row>
    <row r="76" ht="19.5" customHeight="1" s="146">
      <c r="A76" s="10">
        <f>'Field Teams'!A77</f>
        <v/>
      </c>
      <c r="B76" s="30">
        <f>'Field Teams'!B77</f>
        <v/>
      </c>
      <c r="C76" s="30">
        <f>'Field Teams'!C77</f>
        <v/>
      </c>
      <c r="D76" s="10">
        <f>'Field Teams'!D77</f>
        <v/>
      </c>
      <c r="E76" s="10">
        <f>'Field Teams'!E77</f>
        <v/>
      </c>
      <c r="F76" s="10">
        <f>'Field Teams'!F77</f>
        <v/>
      </c>
      <c r="G76" s="10">
        <f>'Field Teams'!G77</f>
        <v/>
      </c>
      <c r="H76" s="31">
        <f>'Field Teams'!H77</f>
        <v/>
      </c>
      <c r="I76" s="31">
        <f>H76*2</f>
        <v/>
      </c>
      <c r="J76" s="31">
        <f>IFERROR(SUMPRODUCT((((ISNUMBER(SEARCH(B76,'Data - HSQE Events'!V$6:V$3000))+ISNUMBER(SEARCH(B76,'Data - HSQE Events'!H$6:H$3000)))&gt;0))*('Data - HSQE Events'!F$6:F$3000&gt;=$AG$3)*('Data - HSQE Events'!F$6:F$3000&lt;=$AJ$3)*('Data - HSQE Events'!R$6:R$3000="Opportunity")),0)</f>
        <v/>
      </c>
      <c r="K76" s="31">
        <f>IFERROR(SUMPRODUCT((((ISNUMBER(SEARCH(B76,'Data - HSQE Events'!V$6:V$3000))+ISNUMBER(SEARCH(B76,'Data - HSQE Events'!H$6:H$3000)))&gt;0))*('Data - HSQE Events'!F$6:F$3000&gt;=$AG$3)*('Data - HSQE Events'!F$6:F$3000&lt;=$AJ$3)*('Data - HSQE Events'!R$6:R$3000="Minor")),0)</f>
        <v/>
      </c>
      <c r="L76" s="31">
        <f>IFERROR(SUMPRODUCT((((ISNUMBER(SEARCH(B76,'Data - HSQE Events'!V$6:V$3000))+ISNUMBER(SEARCH(B76,'Data - HSQE Events'!H$6:H$3000)))&gt;0))*('Data - HSQE Events'!F$6:F$3000&gt;=$AG$3)*('Data - HSQE Events'!F$6:F$3000&lt;=$AJ$3)*(('Data - HSQE Events'!R$6:R$3000="Moderate")+('Data - HSQE Events'!R$6:R$3000="Major"))),0)</f>
        <v/>
      </c>
      <c r="M76" s="31">
        <f>IF(IFERROR(SUMPRODUCT((((ISNUMBER(SEARCH(B76,'Data - HSQE Events'!V$6:V$3000))+ISNUMBER(SEARCH(B76,'Data - HSQE Events'!H$6:H$3000)))&gt;0))*('Data - HSQE Events'!F$6:F$3000&gt;=$AG$3)*('Data - HSQE Events'!F$6:F$3000&lt;=$AJ$3)*('Data - HSQE Events'!R$6:R$3000="Major")),0)&gt;0,"YES","NO")</f>
        <v/>
      </c>
      <c r="N76" s="31">
        <f>IFERROR(SUMPRODUCT(('Data - Skillko'!B$6:B$3000=B76)*('Data - Skillko'!C$6:C$3000="Total")*('Data - Skillko'!E$6:E$3000))*100,0)</f>
        <v/>
      </c>
      <c r="O76" s="31">
        <f>ROUND(MAX(1,MIN(5,1+N76/100*4)),1)</f>
        <v/>
      </c>
      <c r="P76" s="31">
        <f>IFERROR(SUMPRODUCT(ISNUMBER(SEARCH(B76,'Pole Results'!$A$13:$A$2000))*('Pole Results'!$B$13:$B$2000&gt;=$AG$3)*('Pole Results'!$B$13:$B$2000&lt;=$AE$3)*('Pole Results'!$E$13:$E$2000="Non-Compliant")),0)</f>
        <v/>
      </c>
      <c r="Q76" s="31">
        <f>IF(I76=0,1,IFERROR(ROUND(MAX(1,MIN(5,1+J76/I76*4)),1),3))</f>
        <v/>
      </c>
      <c r="R76" s="31">
        <f>ROUND(6-MAX(MIN(5,K76*0.8+1),MIN(5,L76*2+1)),1)</f>
        <v/>
      </c>
      <c r="S76" s="49">
        <f>IFERROR(ROUND(MAX(1,MIN(5,5-(P76/MAX(1,AI76))*4)),1),5)</f>
        <v/>
      </c>
      <c r="T76" s="31">
        <f>IF('Field Teams'!$I$77="Inactive","",ROUND((Q76*Settings!$D$6+R76*Settings!$D$7+O76*Settings!$D$10+S76*Settings!$D$12+AO76*Settings!$D$13)/Settings!$D$14,1))</f>
        <v/>
      </c>
      <c r="U76" s="115">
        <f>IF('Field Teams'!$I$77="Inactive","",IF(Q76="","",IF(Q76&gt;=4.5,"★★★★★",IF(Q76&gt;=3.5,"★★★★☆",IF(Q76&gt;=2.5,"★★★☆☆",IF(Q76&gt;=1.5,"★★☆☆☆","★☆☆☆☆"))))))</f>
        <v/>
      </c>
      <c r="V76" s="115">
        <f>IF('Field Teams'!$I$77="Inactive","",IF(R76="","",IF(R76&gt;=4.5,"★★★★★",IF(R76&gt;=3.5,"★★★★☆",IF(R76&gt;=2.5,"★★★☆☆",IF(R76&gt;=1.5,"★★☆☆☆","★☆☆☆☆"))))))</f>
        <v/>
      </c>
      <c r="W76" s="115">
        <f>IF('Field Teams'!$I$77="Inactive","",IF(O76="","",IF(O76&gt;=4.5,"★★★★★",IF(O76&gt;=3.5,"★★★★☆",IF(O76&gt;=2.5,"★★★☆☆",IF(O76&gt;=1.5,"★★☆☆☆","★☆☆☆☆"))))))</f>
        <v/>
      </c>
      <c r="X76" s="115">
        <f>IF('Field Teams'!$I$77="Inactive","",IF(S76="","",IF(S76&gt;=4.5,"★★★★★",IF(S76&gt;=3.5,"★★★★☆",IF(S76&gt;=2.5,"★★★☆☆",IF(S76&gt;=1.5,"★★☆☆☆","★☆☆☆☆"))))))</f>
        <v/>
      </c>
      <c r="Y76" s="115">
        <f>IF('Field Teams'!$I$77="Inactive","",IF(AO76="","",IF(AO76&gt;=4.5,"★★★★★",IF(AO76&gt;=3.5,"★★★★☆",IF(AO76&gt;=2.5,"★★★☆☆",IF(AO76&gt;=1.5,"★★☆☆☆","★☆☆☆☆"))))))</f>
        <v/>
      </c>
      <c r="Z76" s="115">
        <f>IF('Field Teams'!$I$5="Inactive","",IF(T76="","",IF(T76&gt;=4.5,"★★★★★",IF(T76&gt;=3.5,"★★★★☆",IF(T76&gt;=2.5,"★★★☆☆",IF(T76&gt;=1.5,"★★☆☆☆","★☆☆☆☆"))))))</f>
        <v/>
      </c>
      <c r="AA76" s="31">
        <f>IF('Field Teams'!$I$77="Inactive","",IF(M76="YES","HIGH",IF(Q76&lt;=Settings!$D$26,"HIGH",IF(T76&lt;=Settings!$D$23,"HIGH",IF(T76&lt;=Settings!$D$24,"MEDIUM","LOW")))))</f>
        <v/>
      </c>
      <c r="AB76" s="31">
        <f>IF('Field Teams'!$I$5="Inactive",-1,IFERROR((6-T76)+(77-ROW())*0.0001,0))</f>
        <v/>
      </c>
      <c r="AC76" s="35">
        <f>IF('Field Teams'!$I$5="Inactive",999,IFERROR((6-T76)+(ROW()-3)*0.0001,99))</f>
        <v/>
      </c>
      <c r="AD76" s="31">
        <f>IF('Field Teams'!$I$77="Inactive",999,IFERROR(AB76+(ROW()-3)*0.0001,99))</f>
        <v/>
      </c>
      <c r="AE76" s="29" t="n">
        <v>0</v>
      </c>
      <c r="AF76" s="31">
        <f>IF('Field Teams'!$I$77="Inactive","",IF(AA76="HIGH","YES - within 5 working days",""))</f>
        <v/>
      </c>
      <c r="AG76" s="105" t="n"/>
      <c r="AH76" s="49">
        <f>IFERROR(SUMPRODUCT(ISNUMBER(SEARCH(B76,'Pole Results'!$A$13:$A$2000))*('Pole Results'!$B$13:$B$2000&gt;=$AG$3)*('Pole Results'!$B$13:$B$2000&lt;=$AE$3)),0)</f>
        <v/>
      </c>
      <c r="AI76" s="49">
        <f>IFERROR(SUMPRODUCT(ISNUMBER(SEARCH(B76,'Pole Results'!$A$13:$A$2000))*('Pole Results'!$B$13:$B$2000&gt;=$AG$3)*('Pole Results'!$B$13:$B$2000&lt;=$AE$3)*('Pole Results'!$E$13:$E$2000="Compliant")),0)</f>
        <v/>
      </c>
      <c r="AJ76" s="105" t="n"/>
      <c r="AK76" s="106">
        <f>IF('Field Teams'!$I$77="Inactive",-1,IF(AA76="HIGH",AB76,-1))</f>
        <v/>
      </c>
      <c r="AL76" s="106">
        <f>IF('Field Teams'!$I$77="Inactive",-1,IF(OR(AA76="HIGH",AA76="MEDIUM"),AB76,-1))</f>
        <v/>
      </c>
      <c r="AM76">
        <f>IF('Field Teams'!$I$77="Inactive","",IF(IFERROR(LOOKUP(2,1/('Historical Scores'!C77:N77&lt;&gt;""),'Historical Scores'!C77:N77),"")="","New",IF(T76=""," ",IF(T76&gt;IFERROR(LOOKUP(2,1/('Historical Scores'!C77:N77&lt;&gt;""),'Historical Scores'!C77:N77),""),"▲ Worsening",IF(T76&lt;IFERROR(LOOKUP(2,1/('Historical Scores'!C77:N77&lt;&gt;""),'Historical Scores'!C77:N77),""),"▼ Improving","► Stable")))))</f>
        <v/>
      </c>
      <c r="AN76">
        <f>IFERROR(SUMPRODUCT((ISNUMBER(SEARCH(B76,'Data - SSV'!AE$6:AE$3000)))*('Data - SSV'!AF$6:AF$3000&gt;=(AJ$3-90))*('Data - SSV'!AF$6:AF$3000&lt;=AJ$3)*('Data - SSV'!AH$6:AH$3000&lt;&gt;"")),0)</f>
        <v/>
      </c>
      <c r="AO76">
        <f>IF('Field Teams'!$I$77="Inactive","",IF(AN76=0,3,IF(AN76=1,IF(IFERROR(SUMPRODUCT((ISNUMBER(SEARCH(B76,'Data - SSV'!AE$6:AE$3000)))*('Data - SSV'!AF$6:AF$3000&gt;=(AJ$3-90))*('Data - SSV'!AF$6:AF$3000&lt;=AJ$3)*('Data - SSV'!AH$6:AH$3000&lt;&gt;"")*IF('Data - SSV'!AH$6:AH$3000="",0,'Data - SSV'!AH$6:AH$3000))/AN76,3)=4,4,IF(IFERROR(SUMPRODUCT((ISNUMBER(SEARCH(B76,'Data - SSV'!AE$6:AE$3000)))*('Data - SSV'!AF$6:AF$3000&gt;=(AJ$3-90))*('Data - SSV'!AF$6:AF$3000&lt;=AJ$3)*('Data - SSV'!AH$6:AH$3000&lt;&gt;"")*IF('Data - SSV'!AH$6:AH$3000="",0,'Data - SSV'!AH$6:AH$3000))/AN76,3)&gt;=3,3,IF(IFERROR(SUMPRODUCT((ISNUMBER(SEARCH(B76,'Data - SSV'!AE$6:AE$3000)))*('Data - SSV'!AF$6:AF$3000&gt;=(AJ$3-90))*('Data - SSV'!AF$6:AF$3000&lt;=AJ$3)*('Data - SSV'!AH$6:AH$3000&lt;&gt;"")*IF('Data - SSV'!AH$6:AH$3000="",0,'Data - SSV'!AH$6:AH$3000))/AN76,3)&gt;=2,2,1))),IF(IFERROR(SUMPRODUCT((ISNUMBER(SEARCH(B76,'Data - SSV'!AE$6:AE$3000)))*('Data - SSV'!AF$6:AF$3000&gt;=(AJ$3-90))*('Data - SSV'!AF$6:AF$3000&lt;=AJ$3)*('Data - SSV'!AH$6:AH$3000&lt;&gt;"")*IF('Data - SSV'!AH$6:AH$3000="",0,'Data - SSV'!AH$6:AH$3000))/AN76,3)=4,5,IF(IFERROR(SUMPRODUCT((ISNUMBER(SEARCH(B76,'Data - SSV'!AE$6:AE$3000)))*('Data - SSV'!AF$6:AF$3000&gt;=(AJ$3-90))*('Data - SSV'!AF$6:AF$3000&lt;=AJ$3)*('Data - SSV'!AH$6:AH$3000&lt;&gt;"")*IF('Data - SSV'!AH$6:AH$3000="",0,'Data - SSV'!AH$6:AH$3000))/AN76,3)&gt;=3.5,4,IF(IFERROR(SUMPRODUCT((ISNUMBER(SEARCH(B76,'Data - SSV'!AE$6:AE$3000)))*('Data - SSV'!AF$6:AF$3000&gt;=(AJ$3-90))*('Data - SSV'!AF$6:AF$3000&lt;=AJ$3)*('Data - SSV'!AH$6:AH$3000&lt;&gt;"")*IF('Data - SSV'!AH$6:AH$3000="",0,'Data - SSV'!AH$6:AH$3000))/AN76,3)&gt;=3,3,IF(IFERROR(SUMPRODUCT((ISNUMBER(SEARCH(B76,'Data - SSV'!AE$6:AE$3000)))*('Data - SSV'!AF$6:AF$3000&gt;=(AJ$3-90))*('Data - SSV'!AF$6:AF$3000&lt;=AJ$3)*('Data - SSV'!AH$6:AH$3000&lt;&gt;"")*IF('Data - SSV'!AH$6:AH$3000="",0,'Data - SSV'!AH$6:AH$3000))/AN76,3)&gt;=2,2,1)))))))</f>
        <v/>
      </c>
    </row>
    <row r="77" ht="15" customHeight="1" s="146">
      <c r="A77" s="124">
        <f>COUNTA('Field Teams'!B5:B204)-COUNTIF('Field Teams'!I5:I204,"Inactive")&amp;" active teams  |  "&amp;SUM('Field Teams'!H5:H77)&amp;" operatives in scope"</f>
        <v/>
      </c>
      <c r="O77">
        <f>ROUND(MAX(1,MIN(5,1+N77/100*4)),1)</f>
        <v/>
      </c>
      <c r="Q77">
        <f>IF(I77=0,1,IFERROR(ROUND(MAX(1,MIN(5,1+J77/I77*4)),1),3))</f>
        <v/>
      </c>
      <c r="R77">
        <f>ROUND(6-MAX(MIN(5,K77*0.8+1),MIN(5,L77*2+1)),1)</f>
        <v/>
      </c>
      <c r="S77">
        <f>IFERROR(ROUND(MAX(1,MIN(5,5-(P77/MAX(1,AI77))*4)),1),5)</f>
        <v/>
      </c>
      <c r="T77">
        <f>IF('Field Teams'!$I$78="Inactive","",ROUND((Q77*Settings!$D$6+R77*Settings!$D$7+O77*Settings!$D$10+S77*Settings!$D$12+AO77*Settings!$D$13)/Settings!$D$14,1))</f>
        <v/>
      </c>
      <c r="U77" s="115">
        <f>IF('Field Teams'!$I$78="Inactive","",IF(Q77="","",IF(Q77&gt;=4.5,"★★★★★",IF(Q77&gt;=3.5,"★★★★☆",IF(Q77&gt;=2.5,"★★★☆☆",IF(Q77&gt;=1.5,"★★☆☆☆","★☆☆☆☆"))))))</f>
        <v/>
      </c>
      <c r="V77" s="115">
        <f>IF('Field Teams'!$I$78="Inactive","",IF(R77="","",IF(R77&gt;=4.5,"★★★★★",IF(R77&gt;=3.5,"★★★★☆",IF(R77&gt;=2.5,"★★★☆☆",IF(R77&gt;=1.5,"★★☆☆☆","★☆☆☆☆"))))))</f>
        <v/>
      </c>
      <c r="W77" s="115">
        <f>IF('Field Teams'!$I$78="Inactive","",IF(O77="","",IF(O77&gt;=4.5,"★★★★★",IF(O77&gt;=3.5,"★★★★☆",IF(O77&gt;=2.5,"★★★☆☆",IF(O77&gt;=1.5,"★★☆☆☆","★☆☆☆☆"))))))</f>
        <v/>
      </c>
      <c r="X77" s="115">
        <f>IF('Field Teams'!$I$78="Inactive","",IF(S77="","",IF(S77&gt;=4.5,"★★★★★",IF(S77&gt;=3.5,"★★★★☆",IF(S77&gt;=2.5,"★★★☆☆",IF(S77&gt;=1.5,"★★☆☆☆","★☆☆☆☆"))))))</f>
        <v/>
      </c>
      <c r="Y77" s="115">
        <f>IF('Field Teams'!$I$78="Inactive","",IF(AO77="","",IF(AO77&gt;=4.5,"★★★★★",IF(AO77&gt;=3.5,"★★★★☆",IF(AO77&gt;=2.5,"★★★☆☆",IF(AO77&gt;=1.5,"★★☆☆☆","★☆☆☆☆"))))))</f>
        <v/>
      </c>
      <c r="Z77" s="115">
        <f>IF('Field Teams'!$I$5="Inactive","",IF(T77="","",IF(T77&gt;=4.5,"★★★★★",IF(T77&gt;=3.5,"★★★★☆",IF(T77&gt;=2.5,"★★★☆☆",IF(T77&gt;=1.5,"★★☆☆☆","★☆☆☆☆"))))))</f>
        <v/>
      </c>
      <c r="AA77" s="116">
        <f>IF('Field Teams'!$I$78="Inactive","",IF(M77="YES","HIGH",IF(Q77&lt;=Settings!$D$26,"HIGH",IF(T77&lt;=Settings!$D$23,"HIGH",IF(T77&lt;=Settings!$D$24,"MEDIUM","LOW")))))</f>
        <v/>
      </c>
      <c r="AB77">
        <f>IF('Field Teams'!$I$5="Inactive",-1,IFERROR((6-T77)+(77-ROW())*0.0001,0))</f>
        <v/>
      </c>
      <c r="AC77" s="50">
        <f>IF('Field Teams'!$I$5="Inactive",999,IFERROR((6-T77)+(ROW()-3)*0.0001,99))</f>
        <v/>
      </c>
      <c r="AD77" s="51">
        <f>COUNTIF(X4:X76,"LOW")</f>
        <v/>
      </c>
      <c r="AG77" s="105" t="n"/>
      <c r="AJ77" s="105" t="n"/>
      <c r="AK77" s="105" t="n"/>
      <c r="AL77" s="105" t="n"/>
      <c r="AN77">
        <f>IFERROR(SUMPRODUCT((ISNUMBER(SEARCH(B77,'Data - SSV'!AE$6:AE$3000)))*('Data - SSV'!AF$6:AF$3000&gt;=(AJ$3-90))*('Data - SSV'!AF$6:AF$3000&lt;=AJ$3)*('Data - SSV'!AH$6:AH$3000&lt;&gt;"")),0)</f>
        <v/>
      </c>
      <c r="AO77">
        <f>IF('Field Teams'!$I$78="Inactive","",IF(AN77=0,3,IF(AN77=1,IF(IFERROR(SUMPRODUCT((ISNUMBER(SEARCH(B77,'Data - SSV'!AE$6:AE$3000)))*('Data - SSV'!AF$6:AF$3000&gt;=(AJ$3-90))*('Data - SSV'!AF$6:AF$3000&lt;=AJ$3)*('Data - SSV'!AH$6:AH$3000&lt;&gt;"")*IF('Data - SSV'!AH$6:AH$3000="",0,'Data - SSV'!AH$6:AH$3000))/AN77,3)=4,4,IF(IFERROR(SUMPRODUCT((ISNUMBER(SEARCH(B77,'Data - SSV'!AE$6:AE$3000)))*('Data - SSV'!AF$6:AF$3000&gt;=(AJ$3-90))*('Data - SSV'!AF$6:AF$3000&lt;=AJ$3)*('Data - SSV'!AH$6:AH$3000&lt;&gt;"")*IF('Data - SSV'!AH$6:AH$3000="",0,'Data - SSV'!AH$6:AH$3000))/AN77,3)&gt;=3,3,IF(IFERROR(SUMPRODUCT((ISNUMBER(SEARCH(B77,'Data - SSV'!AE$6:AE$3000)))*('Data - SSV'!AF$6:AF$3000&gt;=(AJ$3-90))*('Data - SSV'!AF$6:AF$3000&lt;=AJ$3)*('Data - SSV'!AH$6:AH$3000&lt;&gt;"")*IF('Data - SSV'!AH$6:AH$3000="",0,'Data - SSV'!AH$6:AH$3000))/AN77,3)&gt;=2,2,1))),IF(IFERROR(SUMPRODUCT((ISNUMBER(SEARCH(B77,'Data - SSV'!AE$6:AE$3000)))*('Data - SSV'!AF$6:AF$3000&gt;=(AJ$3-90))*('Data - SSV'!AF$6:AF$3000&lt;=AJ$3)*('Data - SSV'!AH$6:AH$3000&lt;&gt;"")*IF('Data - SSV'!AH$6:AH$3000="",0,'Data - SSV'!AH$6:AH$3000))/AN77,3)=4,5,IF(IFERROR(SUMPRODUCT((ISNUMBER(SEARCH(B77,'Data - SSV'!AE$6:AE$3000)))*('Data - SSV'!AF$6:AF$3000&gt;=(AJ$3-90))*('Data - SSV'!AF$6:AF$3000&lt;=AJ$3)*('Data - SSV'!AH$6:AH$3000&lt;&gt;"")*IF('Data - SSV'!AH$6:AH$3000="",0,'Data - SSV'!AH$6:AH$3000))/AN77,3)&gt;=3.5,4,IF(IFERROR(SUMPRODUCT((ISNUMBER(SEARCH(B77,'Data - SSV'!AE$6:AE$3000)))*('Data - SSV'!AF$6:AF$3000&gt;=(AJ$3-90))*('Data - SSV'!AF$6:AF$3000&lt;=AJ$3)*('Data - SSV'!AH$6:AH$3000&lt;&gt;"")*IF('Data - SSV'!AH$6:AH$3000="",0,'Data - SSV'!AH$6:AH$3000))/AN77,3)&gt;=3,3,IF(IFERROR(SUMPRODUCT((ISNUMBER(SEARCH(B77,'Data - SSV'!AE$6:AE$3000)))*('Data - SSV'!AF$6:AF$3000&gt;=(AJ$3-90))*('Data - SSV'!AF$6:AF$3000&lt;=AJ$3)*('Data - SSV'!AH$6:AH$3000&lt;&gt;"")*IF('Data - SSV'!AH$6:AH$3000="",0,'Data - SSV'!AH$6:AH$3000))/AN77,3)&gt;=2,2,1)))))))</f>
        <v/>
      </c>
    </row>
  </sheetData>
  <mergeCells count="3">
    <mergeCell ref="A2:AD2"/>
    <mergeCell ref="A77:G77"/>
    <mergeCell ref="A1:AD1"/>
  </mergeCells>
  <conditionalFormatting sqref="M4:M76">
    <cfRule type="containsText" priority="6" operator="containsText" dxfId="1" text="YES">
      <formula>NOT(ISERROR(SEARCH("YES",M4)))</formula>
    </cfRule>
  </conditionalFormatting>
  <conditionalFormatting sqref="W4:W76">
    <cfRule type="colorScale" priority="5">
      <colorScale>
        <cfvo type="num" val="0"/>
        <cfvo type="num" val="5"/>
        <cfvo type="num" val="10"/>
        <color rgb="FF00B050"/>
        <color rgb="FFFFC000"/>
        <color rgb="FFFF0000"/>
      </colorScale>
    </cfRule>
  </conditionalFormatting>
  <conditionalFormatting sqref="X4:X76">
    <cfRule type="containsText" priority="2" operator="containsText" dxfId="1" text="HIGH">
      <formula>NOT(ISERROR(SEARCH("HIGH",X4)))</formula>
    </cfRule>
    <cfRule type="containsText" priority="3" operator="containsText" dxfId="2" text="MEDIUM">
      <formula>NOT(ISERROR(SEARCH("MEDIUM",X4)))</formula>
    </cfRule>
    <cfRule type="containsText" priority="4" operator="containsText" dxfId="0" text="LOW">
      <formula>NOT(ISERROR(SEARCH("LOW",X4)))</formula>
    </cfRule>
  </conditionalFormatting>
  <conditionalFormatting sqref="AB4:AB76">
    <cfRule type="containsText" priority="7" operator="containsText" dxfId="1" text="YES">
      <formula>NOT(ISERROR(SEARCH("YES",AB4)))</formula>
    </cfRule>
  </conditionalFormatting>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5.xml><?xml version="1.0" encoding="utf-8"?>
<worksheet xmlns="http://schemas.openxmlformats.org/spreadsheetml/2006/main">
  <sheetPr>
    <tabColor rgb="FF2D6A4F"/>
    <outlinePr summaryBelow="1" summaryRight="1"/>
    <pageSetUpPr/>
  </sheetPr>
  <dimension ref="A1:I1547"/>
  <sheetViews>
    <sheetView showGridLines="0" zoomScaleNormal="100" workbookViewId="0">
      <selection activeCell="A1" sqref="A1"/>
    </sheetView>
  </sheetViews>
  <sheetFormatPr baseColWidth="10" defaultColWidth="8.6640625" defaultRowHeight="15" customHeight="1"/>
  <cols>
    <col width="22" customWidth="1" style="122" min="1" max="1"/>
    <col width="36" customWidth="1" style="122" min="2" max="2"/>
    <col width="32" customWidth="1" style="122" min="3" max="3"/>
    <col width="20" customWidth="1" style="122" min="4" max="4"/>
    <col width="12" customWidth="1" style="122" min="5" max="5"/>
    <col width="10" customWidth="1" style="122" min="6" max="7"/>
    <col width="14" customWidth="1" style="122" min="8" max="8"/>
    <col width="30" customWidth="1" style="122" min="9" max="9"/>
  </cols>
  <sheetData>
    <row r="1" ht="36" customHeight="1" s="146">
      <c r="A1" s="147" t="inlineStr">
        <is>
          <t>DATA - SKILLKO (OPERATIVE ROSTER &amp; COMPLIANCE)</t>
        </is>
      </c>
    </row>
    <row r="2" ht="30" customHeight="1" s="146">
      <c r="A2" s="140" t="inlineStr">
        <is>
          <t>DELETE all existing data from row 5 downwards before pasting each month. Paste current month Skillko export from row 5. Do NOT include the header row from the Skillko export. Do NOT include the Applied Filters or Total summary rows at the bottom.</t>
        </is>
      </c>
    </row>
    <row r="3" ht="30" customHeight="1" s="146">
      <c r="A3" s="142" t="inlineStr">
        <is>
          <t>HOW TO PASTE: (1) In Skillko, export the Utilities operative roster. (2) Open in Excel. Select data rows only — exclude header row, Total row, and Applied Filters block. (3) Copy. (4) Click cell A5 in this sheet. (5) Paste. Required columns in order: Operating Unit Name | Field Team Name | Full Name | Job Role | Compliance % | Required | Achieved | Joined. Operative count and Skillko compliance in Monthly Matrix update automatically.</t>
        </is>
      </c>
    </row>
    <row r="4" ht="30" customHeight="1" s="146">
      <c r="A4" s="5" t="inlineStr">
        <is>
          <t>Operating Unit Name</t>
        </is>
      </c>
      <c r="B4" s="5" t="inlineStr">
        <is>
          <t>Field Team Name</t>
        </is>
      </c>
      <c r="C4" s="5" t="inlineStr">
        <is>
          <t>Full Name</t>
        </is>
      </c>
      <c r="D4" s="5" t="inlineStr">
        <is>
          <t>Job Role</t>
        </is>
      </c>
      <c r="E4" s="5" t="inlineStr">
        <is>
          <t>Compliance</t>
        </is>
      </c>
      <c r="F4" s="5" t="inlineStr">
        <is>
          <t>Required</t>
        </is>
      </c>
      <c r="G4" s="5" t="inlineStr">
        <is>
          <t>Achieved</t>
        </is>
      </c>
      <c r="H4" s="5" t="inlineStr">
        <is>
          <t>Joined</t>
        </is>
      </c>
      <c r="I4" s="52" t="inlineStr">
        <is>
          <t>Team (auto)</t>
        </is>
      </c>
    </row>
    <row r="5" ht="21.75" customHeight="1" s="146">
      <c r="A5" s="53" t="inlineStr">
        <is>
          <t>Utility Arboriculture</t>
        </is>
      </c>
      <c r="B5" s="53" t="inlineStr">
        <is>
          <t>Total</t>
        </is>
      </c>
      <c r="C5" s="53" t="n"/>
      <c r="D5" s="53" t="n"/>
      <c r="E5" s="54" t="n">
        <v>0.74</v>
      </c>
      <c r="F5" s="55" t="n">
        <v>5039</v>
      </c>
      <c r="G5" s="55" t="n">
        <v>3707</v>
      </c>
      <c r="H5" s="56" t="n"/>
      <c r="I5" s="122">
        <f>IF(B5&lt;&gt;"",B5,"")</f>
        <v/>
      </c>
    </row>
    <row r="6" ht="15.75" customHeight="1" s="146">
      <c r="B6" s="122" t="inlineStr">
        <is>
          <t>Austin Tree Care LTD</t>
        </is>
      </c>
      <c r="C6" s="122" t="inlineStr">
        <is>
          <t>Total</t>
        </is>
      </c>
      <c r="E6" s="122" t="n">
        <v>1</v>
      </c>
      <c r="F6" s="122" t="n">
        <v>36</v>
      </c>
      <c r="G6" s="122" t="n">
        <v>36</v>
      </c>
      <c r="H6" s="57" t="n">
        <v>45546</v>
      </c>
      <c r="I6" s="58">
        <f>IF(B6&lt;&gt;"",B6,"")</f>
        <v/>
      </c>
    </row>
    <row r="7" ht="15.75" customHeight="1" s="146">
      <c r="C7" s="122" t="inlineStr">
        <is>
          <t>Austin Tree Care LTD .</t>
        </is>
      </c>
      <c r="D7" s="122" t="inlineStr">
        <is>
          <t>Total</t>
        </is>
      </c>
      <c r="E7" s="122" t="n">
        <v>1</v>
      </c>
      <c r="F7" s="122" t="n">
        <v>4</v>
      </c>
      <c r="G7" s="122" t="n">
        <v>4</v>
      </c>
      <c r="I7" s="58">
        <f>IF(B7&lt;&gt;"",B7,"")</f>
        <v/>
      </c>
    </row>
    <row r="8" ht="15.75" customHeight="1" s="146">
      <c r="D8" s="122" t="inlineStr">
        <is>
          <t>Team Matrix</t>
        </is>
      </c>
      <c r="E8" s="122" t="n">
        <v>1</v>
      </c>
      <c r="F8" s="122" t="n">
        <v>4</v>
      </c>
      <c r="G8" s="122" t="n">
        <v>4</v>
      </c>
      <c r="I8" s="58">
        <f>IF(B8&lt;&gt;"",B8,"")</f>
        <v/>
      </c>
    </row>
    <row r="9" ht="15.75" customHeight="1" s="146">
      <c r="C9" t="inlineStr">
        <is>
          <t>Jack Austin</t>
        </is>
      </c>
      <c r="D9" s="122" t="inlineStr">
        <is>
          <t>Total</t>
        </is>
      </c>
      <c r="E9" s="122" t="n">
        <v>1</v>
      </c>
      <c r="F9" s="122" t="n">
        <v>17</v>
      </c>
      <c r="G9" s="122" t="n">
        <v>17</v>
      </c>
      <c r="I9" s="58">
        <f>IF(B9&lt;&gt;"",B9,"")</f>
        <v/>
      </c>
    </row>
    <row r="10" ht="15.75" customHeight="1" s="146">
      <c r="D10" s="122" t="inlineStr">
        <is>
          <t>Arborist</t>
        </is>
      </c>
      <c r="E10" s="122" t="n">
        <v>1</v>
      </c>
      <c r="F10" s="122" t="n">
        <v>7</v>
      </c>
      <c r="G10" s="122" t="n">
        <v>7</v>
      </c>
      <c r="I10" s="58">
        <f>IF(B10&lt;&gt;"",B10,"")</f>
        <v/>
      </c>
    </row>
    <row r="11" ht="15.75" customHeight="1" s="146">
      <c r="C11" s="122" t="n"/>
      <c r="D11" s="122" t="inlineStr">
        <is>
          <t>Business Matrix</t>
        </is>
      </c>
      <c r="E11" s="122" t="n">
        <v>1</v>
      </c>
      <c r="F11" s="122" t="n">
        <v>6</v>
      </c>
      <c r="G11" s="122" t="n">
        <v>6</v>
      </c>
      <c r="I11" s="58">
        <f>IF(B11&lt;&gt;"",B11,"")</f>
        <v/>
      </c>
    </row>
    <row r="12" ht="15.75" customHeight="1" s="146">
      <c r="D12" s="122" t="inlineStr">
        <is>
          <t>Customer - Utility Arboriculture</t>
        </is>
      </c>
      <c r="E12" s="122" t="n">
        <v>1</v>
      </c>
      <c r="F12" s="122" t="n">
        <v>4</v>
      </c>
      <c r="G12" s="122" t="n">
        <v>4</v>
      </c>
      <c r="I12" s="58">
        <f>IF(B12&lt;&gt;"",B12,"")</f>
        <v/>
      </c>
    </row>
    <row r="13" ht="15.75" customHeight="1" s="146">
      <c r="C13" t="inlineStr">
        <is>
          <t>James Tasker</t>
        </is>
      </c>
      <c r="D13" s="122" t="inlineStr">
        <is>
          <t>Total</t>
        </is>
      </c>
      <c r="E13" s="122" t="n">
        <v>1</v>
      </c>
      <c r="F13" s="122" t="n">
        <v>15</v>
      </c>
      <c r="G13" s="122" t="n">
        <v>15</v>
      </c>
      <c r="I13" s="58">
        <f>IF(B13&lt;&gt;"",B13,"")</f>
        <v/>
      </c>
    </row>
    <row r="14" ht="15.75" customHeight="1" s="146">
      <c r="D14" s="122" t="inlineStr">
        <is>
          <t>Business Matrix</t>
        </is>
      </c>
      <c r="E14" s="122" t="n">
        <v>1</v>
      </c>
      <c r="F14" s="122" t="n">
        <v>6</v>
      </c>
      <c r="G14" s="122" t="n">
        <v>6</v>
      </c>
      <c r="I14" s="58">
        <f>IF(B14&lt;&gt;"",B14,"")</f>
        <v/>
      </c>
    </row>
    <row r="15" ht="15.75" customHeight="1" s="146">
      <c r="C15" s="122" t="n"/>
      <c r="D15" s="122" t="inlineStr">
        <is>
          <t>Customer - Utility Arboriculture</t>
        </is>
      </c>
      <c r="E15" s="122" t="n">
        <v>1</v>
      </c>
      <c r="F15" s="122" t="n">
        <v>4</v>
      </c>
      <c r="G15" s="122" t="n">
        <v>4</v>
      </c>
      <c r="I15" s="58">
        <f>IF(B15&lt;&gt;"",B15,"")</f>
        <v/>
      </c>
    </row>
    <row r="16" ht="15.75" customHeight="1" s="146">
      <c r="D16" s="122" t="inlineStr">
        <is>
          <t>Grounds Person</t>
        </is>
      </c>
      <c r="E16" s="122" t="n">
        <v>1</v>
      </c>
      <c r="F16" s="122" t="n">
        <v>5</v>
      </c>
      <c r="G16" s="122" t="n">
        <v>5</v>
      </c>
      <c r="I16" s="58">
        <f>IF(B16&lt;&gt;"",B16,"")</f>
        <v/>
      </c>
    </row>
    <row r="17" ht="15.75" customHeight="1" s="146">
      <c r="B17" t="inlineStr">
        <is>
          <t>Electrification Construction Services Ltd</t>
        </is>
      </c>
      <c r="C17" t="inlineStr">
        <is>
          <t>Total</t>
        </is>
      </c>
      <c r="D17" s="122" t="n"/>
      <c r="E17" s="122" t="n">
        <v>1</v>
      </c>
      <c r="F17" s="122" t="n">
        <v>36</v>
      </c>
      <c r="G17" s="122" t="n">
        <v>36</v>
      </c>
      <c r="H17" s="189" t="n">
        <v>46097</v>
      </c>
      <c r="I17" s="58">
        <f>IF(B17&lt;&gt;"",B17,"")</f>
        <v/>
      </c>
    </row>
    <row r="18" ht="15.75" customHeight="1" s="146">
      <c r="C18" t="inlineStr">
        <is>
          <t>Electrification Construction Services Ltd .</t>
        </is>
      </c>
      <c r="D18" s="122" t="inlineStr">
        <is>
          <t>Total</t>
        </is>
      </c>
      <c r="E18" s="122" t="n">
        <v>1</v>
      </c>
      <c r="F18" s="122" t="n">
        <v>4</v>
      </c>
      <c r="G18" s="122" t="n">
        <v>4</v>
      </c>
      <c r="I18" s="58">
        <f>IF(B18&lt;&gt;"",B18,"")</f>
        <v/>
      </c>
    </row>
    <row r="19" ht="15.75" customHeight="1" s="146">
      <c r="C19" s="122" t="n"/>
      <c r="D19" s="122" t="inlineStr">
        <is>
          <t>Team Matrix</t>
        </is>
      </c>
      <c r="E19" s="122" t="n">
        <v>1</v>
      </c>
      <c r="F19" s="122" t="n">
        <v>4</v>
      </c>
      <c r="G19" s="122" t="n">
        <v>4</v>
      </c>
      <c r="I19" s="58">
        <f>IF(B19&lt;&gt;"",B19,"")</f>
        <v/>
      </c>
    </row>
    <row r="20" ht="15.75" customHeight="1" s="146">
      <c r="C20" t="inlineStr">
        <is>
          <t>Phil Pilmer</t>
        </is>
      </c>
      <c r="D20" s="122" t="inlineStr">
        <is>
          <t>Total</t>
        </is>
      </c>
      <c r="E20" s="122" t="n">
        <v>1</v>
      </c>
      <c r="F20" s="122" t="n">
        <v>17</v>
      </c>
      <c r="G20" s="122" t="n">
        <v>17</v>
      </c>
      <c r="I20" s="58">
        <f>IF(B20&lt;&gt;"",B20,"")</f>
        <v/>
      </c>
    </row>
    <row r="21" ht="15.75" customHeight="1" s="146">
      <c r="B21" s="122" t="n"/>
      <c r="C21" s="122" t="n"/>
      <c r="D21" t="inlineStr">
        <is>
          <t>Arborist</t>
        </is>
      </c>
      <c r="E21" s="122" t="n">
        <v>1</v>
      </c>
      <c r="F21" s="122" t="n">
        <v>7</v>
      </c>
      <c r="G21" s="122" t="n">
        <v>7</v>
      </c>
      <c r="H21" s="57" t="n"/>
      <c r="I21" s="58">
        <f>IF(B21&lt;&gt;"",B21,"")</f>
        <v/>
      </c>
    </row>
    <row r="22" ht="15.75" customHeight="1" s="146">
      <c r="C22" s="122" t="n"/>
      <c r="D22" s="122" t="inlineStr">
        <is>
          <t>Business Matrix</t>
        </is>
      </c>
      <c r="E22" s="122" t="n">
        <v>1</v>
      </c>
      <c r="F22" s="122" t="n">
        <v>6</v>
      </c>
      <c r="G22" s="122" t="n">
        <v>6</v>
      </c>
      <c r="I22" s="58">
        <f>IF(B22&lt;&gt;"",B22,"")</f>
        <v/>
      </c>
    </row>
    <row r="23" ht="15.75" customHeight="1" s="146">
      <c r="D23" s="122" t="inlineStr">
        <is>
          <t>Customer - Utility Arboriculture</t>
        </is>
      </c>
      <c r="E23" s="122" t="n">
        <v>1</v>
      </c>
      <c r="F23" s="122" t="n">
        <v>4</v>
      </c>
      <c r="G23" s="122" t="n">
        <v>4</v>
      </c>
      <c r="I23" s="58">
        <f>IF(B23&lt;&gt;"",B23,"")</f>
        <v/>
      </c>
    </row>
    <row r="24" ht="15.75" customHeight="1" s="146">
      <c r="C24" t="inlineStr">
        <is>
          <t>Steven Garratley</t>
        </is>
      </c>
      <c r="D24" s="122" t="inlineStr">
        <is>
          <t>Total</t>
        </is>
      </c>
      <c r="E24" s="122" t="n">
        <v>1</v>
      </c>
      <c r="F24" s="122" t="n">
        <v>15</v>
      </c>
      <c r="G24" s="122" t="n">
        <v>15</v>
      </c>
      <c r="I24" s="58">
        <f>IF(B24&lt;&gt;"",B24,"")</f>
        <v/>
      </c>
    </row>
    <row r="25" ht="15.75" customHeight="1" s="146">
      <c r="D25" s="122" t="inlineStr">
        <is>
          <t>Business Matrix</t>
        </is>
      </c>
      <c r="E25" s="122" t="n">
        <v>1</v>
      </c>
      <c r="F25" s="122" t="n">
        <v>6</v>
      </c>
      <c r="G25" s="122" t="n">
        <v>6</v>
      </c>
      <c r="I25" s="58">
        <f>IF(B25&lt;&gt;"",B25,"")</f>
        <v/>
      </c>
    </row>
    <row r="26" ht="15.75" customHeight="1" s="146">
      <c r="C26" s="122" t="n"/>
      <c r="D26" s="122" t="inlineStr">
        <is>
          <t>Customer - Utility Arboriculture</t>
        </is>
      </c>
      <c r="E26" s="122" t="n">
        <v>1</v>
      </c>
      <c r="F26" s="122" t="n">
        <v>4</v>
      </c>
      <c r="G26" s="122" t="n">
        <v>4</v>
      </c>
      <c r="I26" s="58">
        <f>IF(B26&lt;&gt;"",B26,"")</f>
        <v/>
      </c>
    </row>
    <row r="27" ht="15.75" customHeight="1" s="146">
      <c r="D27" s="122" t="inlineStr">
        <is>
          <t>Grounds Person</t>
        </is>
      </c>
      <c r="E27" s="122" t="n">
        <v>1</v>
      </c>
      <c r="F27" s="122" t="n">
        <v>5</v>
      </c>
      <c r="G27" s="122" t="n">
        <v>5</v>
      </c>
      <c r="I27" s="58">
        <f>IF(B27&lt;&gt;"",B27,"")</f>
        <v/>
      </c>
    </row>
    <row r="28" ht="15.75" customHeight="1" s="146">
      <c r="B28" t="inlineStr">
        <is>
          <t>Greenland Services Ltd</t>
        </is>
      </c>
      <c r="C28" t="inlineStr">
        <is>
          <t>Total</t>
        </is>
      </c>
      <c r="D28" s="122" t="n"/>
      <c r="E28" s="122" t="n">
        <v>1</v>
      </c>
      <c r="F28" s="122" t="n">
        <v>53</v>
      </c>
      <c r="G28" s="122" t="n">
        <v>53</v>
      </c>
      <c r="H28" s="189" t="n">
        <v>45890</v>
      </c>
      <c r="I28" s="58">
        <f>IF(B28&lt;&gt;"",B28,"")</f>
        <v/>
      </c>
    </row>
    <row r="29" ht="15.75" customHeight="1" s="146">
      <c r="C29" t="inlineStr">
        <is>
          <t>Bradley York</t>
        </is>
      </c>
      <c r="D29" s="122" t="inlineStr">
        <is>
          <t>Total</t>
        </is>
      </c>
      <c r="E29" s="122" t="n">
        <v>1</v>
      </c>
      <c r="F29" s="122" t="n">
        <v>17</v>
      </c>
      <c r="G29" s="122" t="n">
        <v>17</v>
      </c>
      <c r="I29" s="58">
        <f>IF(B29&lt;&gt;"",B29,"")</f>
        <v/>
      </c>
    </row>
    <row r="30" ht="15.75" customHeight="1" s="146">
      <c r="C30" s="122" t="n"/>
      <c r="D30" s="122" t="inlineStr">
        <is>
          <t>Arborist</t>
        </is>
      </c>
      <c r="E30" s="122" t="n">
        <v>1</v>
      </c>
      <c r="F30" s="122" t="n">
        <v>7</v>
      </c>
      <c r="G30" s="122" t="n">
        <v>7</v>
      </c>
      <c r="I30" s="58">
        <f>IF(B30&lt;&gt;"",B30,"")</f>
        <v/>
      </c>
    </row>
    <row r="31" ht="15.75" customHeight="1" s="146">
      <c r="D31" s="122" t="inlineStr">
        <is>
          <t>Business Matrix</t>
        </is>
      </c>
      <c r="E31" s="122" t="n">
        <v>1</v>
      </c>
      <c r="F31" s="122" t="n">
        <v>6</v>
      </c>
      <c r="G31" s="122" t="n">
        <v>6</v>
      </c>
      <c r="I31" s="58">
        <f>IF(B31&lt;&gt;"",B31,"")</f>
        <v/>
      </c>
    </row>
    <row r="32" ht="15.75" customHeight="1" s="146">
      <c r="D32" s="122" t="inlineStr">
        <is>
          <t>Customer - Utility Arboriculture</t>
        </is>
      </c>
      <c r="E32" s="122" t="n">
        <v>1</v>
      </c>
      <c r="F32" s="122" t="n">
        <v>4</v>
      </c>
      <c r="G32" s="122" t="n">
        <v>4</v>
      </c>
      <c r="I32" s="58">
        <f>IF(B32&lt;&gt;"",B32,"")</f>
        <v/>
      </c>
    </row>
    <row r="33" ht="15.75" customHeight="1" s="146">
      <c r="C33" s="122" t="inlineStr">
        <is>
          <t>Cameron York</t>
        </is>
      </c>
      <c r="D33" s="122" t="inlineStr">
        <is>
          <t>Total</t>
        </is>
      </c>
      <c r="E33" s="122" t="n">
        <v>1</v>
      </c>
      <c r="F33" s="122" t="n">
        <v>15</v>
      </c>
      <c r="G33" s="122" t="n">
        <v>15</v>
      </c>
      <c r="I33" s="58">
        <f>IF(B33&lt;&gt;"",B33,"")</f>
        <v/>
      </c>
    </row>
    <row r="34" ht="15.75" customHeight="1" s="146">
      <c r="D34" s="122" t="inlineStr">
        <is>
          <t>Business Matrix</t>
        </is>
      </c>
      <c r="E34" s="122" t="n">
        <v>1</v>
      </c>
      <c r="F34" s="122" t="n">
        <v>6</v>
      </c>
      <c r="G34" s="122" t="n">
        <v>6</v>
      </c>
      <c r="I34" s="58">
        <f>IF(B34&lt;&gt;"",B34,"")</f>
        <v/>
      </c>
    </row>
    <row r="35" ht="15.75" customHeight="1" s="146">
      <c r="D35" s="122" t="inlineStr">
        <is>
          <t>Customer - Utility Arboriculture</t>
        </is>
      </c>
      <c r="E35" s="122" t="n">
        <v>1</v>
      </c>
      <c r="F35" s="122" t="n">
        <v>4</v>
      </c>
      <c r="G35" s="122" t="n">
        <v>4</v>
      </c>
      <c r="I35" s="58">
        <f>IF(B35&lt;&gt;"",B35,"")</f>
        <v/>
      </c>
    </row>
    <row r="36" ht="15.75" customHeight="1" s="146">
      <c r="D36" s="122" t="inlineStr">
        <is>
          <t>Grounds Person</t>
        </is>
      </c>
      <c r="E36" s="122" t="n">
        <v>1</v>
      </c>
      <c r="F36" s="122" t="n">
        <v>5</v>
      </c>
      <c r="G36" s="122" t="n">
        <v>5</v>
      </c>
      <c r="I36" s="58">
        <f>IF(B36&lt;&gt;"",B36,"")</f>
        <v/>
      </c>
    </row>
    <row r="37" ht="15.75" customHeight="1" s="146">
      <c r="C37" s="122" t="inlineStr">
        <is>
          <t>Greenland Services Ltd .</t>
        </is>
      </c>
      <c r="D37" s="122" t="inlineStr">
        <is>
          <t>Total</t>
        </is>
      </c>
      <c r="E37" s="122" t="n">
        <v>1</v>
      </c>
      <c r="F37" s="122" t="n">
        <v>4</v>
      </c>
      <c r="G37" s="122" t="n">
        <v>4</v>
      </c>
      <c r="I37" s="58">
        <f>IF(B37&lt;&gt;"",B37,"")</f>
        <v/>
      </c>
    </row>
    <row r="38" ht="15.75" customHeight="1" s="146">
      <c r="D38" s="122" t="inlineStr">
        <is>
          <t>Team Matrix</t>
        </is>
      </c>
      <c r="E38" s="122" t="n">
        <v>1</v>
      </c>
      <c r="F38" s="122" t="n">
        <v>4</v>
      </c>
      <c r="G38" s="122" t="n">
        <v>4</v>
      </c>
      <c r="I38" s="58">
        <f>IF(B38&lt;&gt;"",B38,"")</f>
        <v/>
      </c>
    </row>
    <row r="39" ht="15.75" customHeight="1" s="146">
      <c r="B39" s="122" t="n"/>
      <c r="C39" s="122" t="inlineStr">
        <is>
          <t>seamus mulhall</t>
        </is>
      </c>
      <c r="D39" t="inlineStr">
        <is>
          <t>Total</t>
        </is>
      </c>
      <c r="E39" s="122" t="n">
        <v>1</v>
      </c>
      <c r="F39" s="122" t="n">
        <v>17</v>
      </c>
      <c r="G39" s="122" t="n">
        <v>17</v>
      </c>
      <c r="H39" s="57" t="n"/>
      <c r="I39" s="58">
        <f>IF(B39&lt;&gt;"",B39,"")</f>
        <v/>
      </c>
    </row>
    <row r="40" ht="15.75" customHeight="1" s="146">
      <c r="C40" s="122" t="n"/>
      <c r="D40" s="122" t="inlineStr">
        <is>
          <t>Arborist</t>
        </is>
      </c>
      <c r="E40" s="122" t="n">
        <v>1</v>
      </c>
      <c r="F40" s="122" t="n">
        <v>7</v>
      </c>
      <c r="G40" s="122" t="n">
        <v>7</v>
      </c>
      <c r="I40" s="58">
        <f>IF(B40&lt;&gt;"",B40,"")</f>
        <v/>
      </c>
    </row>
    <row r="41" ht="15.75" customHeight="1" s="146">
      <c r="D41" s="122" t="inlineStr">
        <is>
          <t>Business Matrix</t>
        </is>
      </c>
      <c r="E41" s="122" t="n">
        <v>1</v>
      </c>
      <c r="F41" s="122" t="n">
        <v>6</v>
      </c>
      <c r="G41" s="122" t="n">
        <v>6</v>
      </c>
      <c r="I41" s="58">
        <f>IF(B41&lt;&gt;"",B41,"")</f>
        <v/>
      </c>
    </row>
    <row r="42" ht="15.75" customHeight="1" s="146">
      <c r="D42" s="122" t="inlineStr">
        <is>
          <t>Customer - Utility Arboriculture</t>
        </is>
      </c>
      <c r="E42" s="122" t="n">
        <v>1</v>
      </c>
      <c r="F42" s="122" t="n">
        <v>4</v>
      </c>
      <c r="G42" s="122" t="n">
        <v>4</v>
      </c>
      <c r="I42" s="58">
        <f>IF(B42&lt;&gt;"",B42,"")</f>
        <v/>
      </c>
    </row>
    <row r="43" ht="15.75" customHeight="1" s="146">
      <c r="B43" t="inlineStr">
        <is>
          <t>High Branch</t>
        </is>
      </c>
      <c r="C43" t="inlineStr">
        <is>
          <t>Total</t>
        </is>
      </c>
      <c r="D43" s="122" t="n"/>
      <c r="E43" s="122" t="n">
        <v>1</v>
      </c>
      <c r="F43" s="122" t="n">
        <v>55</v>
      </c>
      <c r="G43" s="122" t="n">
        <v>55</v>
      </c>
      <c r="H43" s="189" t="n">
        <v>45510</v>
      </c>
      <c r="I43" s="58">
        <f>IF(B43&lt;&gt;"",B43,"")</f>
        <v/>
      </c>
    </row>
    <row r="44" ht="15.75" customHeight="1" s="146">
      <c r="C44" s="122" t="inlineStr">
        <is>
          <t>Harvey Belcher</t>
        </is>
      </c>
      <c r="D44" s="122" t="inlineStr">
        <is>
          <t>Total</t>
        </is>
      </c>
      <c r="E44" s="122" t="n">
        <v>1</v>
      </c>
      <c r="F44" s="122" t="n">
        <v>17</v>
      </c>
      <c r="G44" s="122" t="n">
        <v>17</v>
      </c>
      <c r="I44" s="58">
        <f>IF(B44&lt;&gt;"",B44,"")</f>
        <v/>
      </c>
    </row>
    <row r="45" ht="15.75" customHeight="1" s="146">
      <c r="D45" s="122" t="inlineStr">
        <is>
          <t>Arborist</t>
        </is>
      </c>
      <c r="E45" s="122" t="n">
        <v>1</v>
      </c>
      <c r="F45" s="122" t="n">
        <v>7</v>
      </c>
      <c r="G45" s="122" t="n">
        <v>7</v>
      </c>
      <c r="I45" s="58">
        <f>IF(B45&lt;&gt;"",B45,"")</f>
        <v/>
      </c>
    </row>
    <row r="46" ht="15.75" customHeight="1" s="146">
      <c r="D46" s="122" t="inlineStr">
        <is>
          <t>Business Matrix</t>
        </is>
      </c>
      <c r="E46" s="122" t="n">
        <v>1</v>
      </c>
      <c r="F46" s="122" t="n">
        <v>6</v>
      </c>
      <c r="G46" s="122" t="n">
        <v>6</v>
      </c>
      <c r="I46" s="58">
        <f>IF(B46&lt;&gt;"",B46,"")</f>
        <v/>
      </c>
    </row>
    <row r="47" ht="15.75" customHeight="1" s="146">
      <c r="D47" s="122" t="inlineStr">
        <is>
          <t>Customer - Utility Arboriculture</t>
        </is>
      </c>
      <c r="E47" s="122" t="n">
        <v>1</v>
      </c>
      <c r="F47" s="122" t="n">
        <v>4</v>
      </c>
      <c r="G47" s="122" t="n">
        <v>4</v>
      </c>
      <c r="I47" s="58">
        <f>IF(B47&lt;&gt;"",B47,"")</f>
        <v/>
      </c>
    </row>
    <row r="48" ht="15.75" customHeight="1" s="146">
      <c r="C48" s="122" t="inlineStr">
        <is>
          <t>High Branch .</t>
        </is>
      </c>
      <c r="D48" s="122" t="inlineStr">
        <is>
          <t>Total</t>
        </is>
      </c>
      <c r="E48" s="122" t="n">
        <v>1</v>
      </c>
      <c r="F48" s="122" t="n">
        <v>4</v>
      </c>
      <c r="G48" s="122" t="n">
        <v>4</v>
      </c>
      <c r="I48" s="58">
        <f>IF(B48&lt;&gt;"",B48,"")</f>
        <v/>
      </c>
    </row>
    <row r="49" ht="15.75" customHeight="1" s="146">
      <c r="D49" s="122" t="inlineStr">
        <is>
          <t>Team Matrix</t>
        </is>
      </c>
      <c r="E49" s="122" t="n">
        <v>1</v>
      </c>
      <c r="F49" s="122" t="n">
        <v>4</v>
      </c>
      <c r="G49" s="122" t="n">
        <v>4</v>
      </c>
      <c r="I49" s="58">
        <f>IF(B49&lt;&gt;"",B49,"")</f>
        <v/>
      </c>
    </row>
    <row r="50" ht="15.75" customHeight="1" s="146">
      <c r="C50" t="inlineStr">
        <is>
          <t>Joshua Boughen-Pearson</t>
        </is>
      </c>
      <c r="D50" s="122" t="inlineStr">
        <is>
          <t>Total</t>
        </is>
      </c>
      <c r="E50" s="122" t="n">
        <v>1</v>
      </c>
      <c r="F50" s="122" t="n">
        <v>17</v>
      </c>
      <c r="G50" s="122" t="n">
        <v>17</v>
      </c>
      <c r="I50" s="58">
        <f>IF(B50&lt;&gt;"",B50,"")</f>
        <v/>
      </c>
    </row>
    <row r="51" ht="15.75" customHeight="1" s="146">
      <c r="D51" s="122" t="inlineStr">
        <is>
          <t>Arborist</t>
        </is>
      </c>
      <c r="E51" s="122" t="n">
        <v>1</v>
      </c>
      <c r="F51" s="122" t="n">
        <v>7</v>
      </c>
      <c r="G51" s="122" t="n">
        <v>7</v>
      </c>
      <c r="I51" s="58">
        <f>IF(B51&lt;&gt;"",B51,"")</f>
        <v/>
      </c>
    </row>
    <row r="52" ht="15.75" customHeight="1" s="146">
      <c r="C52" s="122" t="n"/>
      <c r="D52" s="122" t="inlineStr">
        <is>
          <t>Business Matrix</t>
        </is>
      </c>
      <c r="E52" s="122" t="n">
        <v>1</v>
      </c>
      <c r="F52" s="122" t="n">
        <v>6</v>
      </c>
      <c r="G52" s="122" t="n">
        <v>6</v>
      </c>
      <c r="I52" s="58">
        <f>IF(B52&lt;&gt;"",B52,"")</f>
        <v/>
      </c>
    </row>
    <row r="53" ht="15.75" customHeight="1" s="146">
      <c r="D53" s="122" t="inlineStr">
        <is>
          <t>Customer - Utility Arboriculture</t>
        </is>
      </c>
      <c r="E53" s="122" t="n">
        <v>1</v>
      </c>
      <c r="F53" s="122" t="n">
        <v>4</v>
      </c>
      <c r="G53" s="122" t="n">
        <v>4</v>
      </c>
      <c r="I53" s="58">
        <f>IF(B53&lt;&gt;"",B53,"")</f>
        <v/>
      </c>
    </row>
    <row r="54" ht="15.75" customHeight="1" s="146">
      <c r="C54" t="inlineStr">
        <is>
          <t>Sam Belcher</t>
        </is>
      </c>
      <c r="D54" s="122" t="inlineStr">
        <is>
          <t>Total</t>
        </is>
      </c>
      <c r="E54" s="122" t="n">
        <v>1</v>
      </c>
      <c r="F54" s="122" t="n">
        <v>17</v>
      </c>
      <c r="G54" s="122" t="n">
        <v>17</v>
      </c>
      <c r="I54" s="58">
        <f>IF(B54&lt;&gt;"",B54,"")</f>
        <v/>
      </c>
    </row>
    <row r="55" ht="15.75" customHeight="1" s="146">
      <c r="D55" s="122" t="inlineStr">
        <is>
          <t>Arborist</t>
        </is>
      </c>
      <c r="E55" s="122" t="n">
        <v>1</v>
      </c>
      <c r="F55" s="122" t="n">
        <v>7</v>
      </c>
      <c r="G55" s="122" t="n">
        <v>7</v>
      </c>
      <c r="I55" s="58">
        <f>IF(B55&lt;&gt;"",B55,"")</f>
        <v/>
      </c>
    </row>
    <row r="56" ht="15.75" customHeight="1" s="146">
      <c r="C56" s="122" t="n"/>
      <c r="D56" s="122" t="inlineStr">
        <is>
          <t>Business Matrix</t>
        </is>
      </c>
      <c r="E56" s="122" t="n">
        <v>1</v>
      </c>
      <c r="F56" s="122" t="n">
        <v>6</v>
      </c>
      <c r="G56" s="122" t="n">
        <v>6</v>
      </c>
      <c r="I56" s="58">
        <f>IF(B56&lt;&gt;"",B56,"")</f>
        <v/>
      </c>
    </row>
    <row r="57" ht="15.75" customHeight="1" s="146">
      <c r="D57" s="122" t="inlineStr">
        <is>
          <t>Customer - Utility Arboriculture</t>
        </is>
      </c>
      <c r="E57" s="122" t="n">
        <v>1</v>
      </c>
      <c r="F57" s="122" t="n">
        <v>4</v>
      </c>
      <c r="G57" s="122" t="n">
        <v>4</v>
      </c>
      <c r="I57" s="58">
        <f>IF(B57&lt;&gt;"",B57,"")</f>
        <v/>
      </c>
    </row>
    <row r="58" ht="15.75" customHeight="1" s="146">
      <c r="B58" s="122" t="inlineStr">
        <is>
          <t>J&amp;G Tree Contractors Ltd</t>
        </is>
      </c>
      <c r="C58" s="122" t="inlineStr">
        <is>
          <t>Total</t>
        </is>
      </c>
      <c r="E58" s="122" t="n">
        <v>1</v>
      </c>
      <c r="F58" s="122" t="n">
        <v>38</v>
      </c>
      <c r="G58" s="122" t="n">
        <v>38</v>
      </c>
      <c r="H58" s="57" t="n">
        <v>46100</v>
      </c>
      <c r="I58" s="58">
        <f>IF(B58&lt;&gt;"",B58,"")</f>
        <v/>
      </c>
    </row>
    <row r="59" ht="15.75" customHeight="1" s="146">
      <c r="C59" s="122" t="inlineStr">
        <is>
          <t>George Tomlinson</t>
        </is>
      </c>
      <c r="D59" s="122" t="inlineStr">
        <is>
          <t>Total</t>
        </is>
      </c>
      <c r="E59" s="122" t="n">
        <v>1</v>
      </c>
      <c r="F59" s="122" t="n">
        <v>17</v>
      </c>
      <c r="G59" s="122" t="n">
        <v>17</v>
      </c>
      <c r="I59" s="58">
        <f>IF(B59&lt;&gt;"",B59,"")</f>
        <v/>
      </c>
    </row>
    <row r="60" ht="15.75" customHeight="1" s="146">
      <c r="D60" s="122" t="inlineStr">
        <is>
          <t>Arborist</t>
        </is>
      </c>
      <c r="E60" s="122" t="n">
        <v>1</v>
      </c>
      <c r="F60" s="122" t="n">
        <v>7</v>
      </c>
      <c r="G60" s="122" t="n">
        <v>7</v>
      </c>
      <c r="I60" s="58">
        <f>IF(B60&lt;&gt;"",B60,"")</f>
        <v/>
      </c>
    </row>
    <row r="61" ht="15.75" customHeight="1" s="146">
      <c r="D61" s="122" t="inlineStr">
        <is>
          <t>Business Matrix</t>
        </is>
      </c>
      <c r="E61" s="122" t="n">
        <v>1</v>
      </c>
      <c r="F61" s="122" t="n">
        <v>6</v>
      </c>
      <c r="G61" s="122" t="n">
        <v>6</v>
      </c>
      <c r="I61" s="58">
        <f>IF(B61&lt;&gt;"",B61,"")</f>
        <v/>
      </c>
    </row>
    <row r="62" ht="15.75" customHeight="1" s="146">
      <c r="D62" s="122" t="inlineStr">
        <is>
          <t>Customer - Utility Arboriculture</t>
        </is>
      </c>
      <c r="E62" s="122" t="n">
        <v>1</v>
      </c>
      <c r="F62" s="122" t="n">
        <v>4</v>
      </c>
      <c r="G62" s="122" t="n">
        <v>4</v>
      </c>
      <c r="I62" s="58">
        <f>IF(B62&lt;&gt;"",B62,"")</f>
        <v/>
      </c>
    </row>
    <row r="63" ht="15.75" customHeight="1" s="146">
      <c r="C63" s="122" t="inlineStr">
        <is>
          <t>J&amp;G Tree Contractors Ltd .</t>
        </is>
      </c>
      <c r="D63" s="122" t="inlineStr">
        <is>
          <t>Total</t>
        </is>
      </c>
      <c r="E63" s="122" t="n">
        <v>1</v>
      </c>
      <c r="F63" s="122" t="n">
        <v>4</v>
      </c>
      <c r="G63" s="122" t="n">
        <v>4</v>
      </c>
      <c r="I63" s="58">
        <f>IF(B63&lt;&gt;"",B63,"")</f>
        <v/>
      </c>
    </row>
    <row r="64" ht="15.75" customHeight="1" s="146">
      <c r="D64" s="122" t="inlineStr">
        <is>
          <t>Team Matrix</t>
        </is>
      </c>
      <c r="E64" s="122" t="n">
        <v>1</v>
      </c>
      <c r="F64" s="122" t="n">
        <v>4</v>
      </c>
      <c r="G64" s="122" t="n">
        <v>4</v>
      </c>
      <c r="I64" s="58">
        <f>IF(B64&lt;&gt;"",B64,"")</f>
        <v/>
      </c>
    </row>
    <row r="65" ht="15.75" customHeight="1" s="146">
      <c r="C65" t="inlineStr">
        <is>
          <t>James Collingwood</t>
        </is>
      </c>
      <c r="D65" s="122" t="inlineStr">
        <is>
          <t>Total</t>
        </is>
      </c>
      <c r="E65" s="122" t="n">
        <v>1</v>
      </c>
      <c r="F65" s="122" t="n">
        <v>17</v>
      </c>
      <c r="G65" s="122" t="n">
        <v>17</v>
      </c>
      <c r="I65" s="58">
        <f>IF(B65&lt;&gt;"",B65,"")</f>
        <v/>
      </c>
    </row>
    <row r="66" ht="15.75" customHeight="1" s="146">
      <c r="D66" s="122" t="inlineStr">
        <is>
          <t>Arborist</t>
        </is>
      </c>
      <c r="E66" s="122" t="n">
        <v>1</v>
      </c>
      <c r="F66" s="122" t="n">
        <v>7</v>
      </c>
      <c r="G66" s="122" t="n">
        <v>7</v>
      </c>
      <c r="I66" s="58">
        <f>IF(B66&lt;&gt;"",B66,"")</f>
        <v/>
      </c>
    </row>
    <row r="67" ht="15.75" customHeight="1" s="146">
      <c r="C67" s="122" t="n"/>
      <c r="D67" s="122" t="inlineStr">
        <is>
          <t>Business Matrix</t>
        </is>
      </c>
      <c r="E67" s="122" t="n">
        <v>1</v>
      </c>
      <c r="F67" s="122" t="n">
        <v>6</v>
      </c>
      <c r="G67" s="122" t="n">
        <v>6</v>
      </c>
      <c r="I67" s="58">
        <f>IF(B67&lt;&gt;"",B67,"")</f>
        <v/>
      </c>
    </row>
    <row r="68" ht="15.75" customHeight="1" s="146">
      <c r="D68" s="122" t="inlineStr">
        <is>
          <t>Customer - Utility Arboriculture</t>
        </is>
      </c>
      <c r="E68" s="122" t="n">
        <v>1</v>
      </c>
      <c r="F68" s="122" t="n">
        <v>4</v>
      </c>
      <c r="G68" s="122" t="n">
        <v>4</v>
      </c>
      <c r="I68" s="58">
        <f>IF(B68&lt;&gt;"",B68,"")</f>
        <v/>
      </c>
    </row>
    <row r="69" ht="15.75" customHeight="1" s="146">
      <c r="B69" t="inlineStr">
        <is>
          <t>JPAS Contracting Ltd</t>
        </is>
      </c>
      <c r="C69" t="inlineStr">
        <is>
          <t>Total</t>
        </is>
      </c>
      <c r="D69" s="122" t="n"/>
      <c r="E69" s="122" t="n">
        <v>1</v>
      </c>
      <c r="F69" s="122" t="n">
        <v>55</v>
      </c>
      <c r="G69" s="122" t="n">
        <v>55</v>
      </c>
      <c r="H69" s="189" t="n">
        <v>45366</v>
      </c>
      <c r="I69" s="58">
        <f>IF(B69&lt;&gt;"",B69,"")</f>
        <v/>
      </c>
    </row>
    <row r="70" ht="15.75" customHeight="1" s="146">
      <c r="C70" t="inlineStr">
        <is>
          <t>Jack Askham</t>
        </is>
      </c>
      <c r="D70" s="122" t="inlineStr">
        <is>
          <t>Total</t>
        </is>
      </c>
      <c r="E70" s="122" t="n">
        <v>1</v>
      </c>
      <c r="F70" s="122" t="n">
        <v>17</v>
      </c>
      <c r="G70" s="122" t="n">
        <v>17</v>
      </c>
      <c r="I70" s="58">
        <f>IF(B70&lt;&gt;"",B70,"")</f>
        <v/>
      </c>
    </row>
    <row r="71" ht="15.75" customHeight="1" s="146">
      <c r="C71" s="122" t="n"/>
      <c r="D71" s="122" t="inlineStr">
        <is>
          <t>Arborist</t>
        </is>
      </c>
      <c r="E71" s="122" t="n">
        <v>1</v>
      </c>
      <c r="F71" s="122" t="n">
        <v>7</v>
      </c>
      <c r="G71" s="122" t="n">
        <v>7</v>
      </c>
      <c r="I71" s="58">
        <f>IF(B71&lt;&gt;"",B71,"")</f>
        <v/>
      </c>
    </row>
    <row r="72" ht="15.75" customHeight="1" s="146">
      <c r="D72" s="122" t="inlineStr">
        <is>
          <t>Business Matrix</t>
        </is>
      </c>
      <c r="E72" s="122" t="n">
        <v>1</v>
      </c>
      <c r="F72" s="122" t="n">
        <v>6</v>
      </c>
      <c r="G72" s="122" t="n">
        <v>6</v>
      </c>
      <c r="I72" s="58">
        <f>IF(B72&lt;&gt;"",B72,"")</f>
        <v/>
      </c>
    </row>
    <row r="73" ht="15.75" customHeight="1" s="146">
      <c r="D73" s="122" t="inlineStr">
        <is>
          <t>Customer - Utility Arboriculture</t>
        </is>
      </c>
      <c r="E73" s="122" t="n">
        <v>1</v>
      </c>
      <c r="F73" s="122" t="n">
        <v>4</v>
      </c>
      <c r="G73" s="122" t="n">
        <v>4</v>
      </c>
      <c r="I73" s="58">
        <f>IF(B73&lt;&gt;"",B73,"")</f>
        <v/>
      </c>
    </row>
    <row r="74" ht="15.75" customHeight="1" s="146">
      <c r="C74" t="inlineStr">
        <is>
          <t>Jack Parker</t>
        </is>
      </c>
      <c r="D74" s="122" t="inlineStr">
        <is>
          <t>Total</t>
        </is>
      </c>
      <c r="E74" s="122" t="n">
        <v>1</v>
      </c>
      <c r="F74" s="122" t="n">
        <v>17</v>
      </c>
      <c r="G74" s="122" t="n">
        <v>17</v>
      </c>
      <c r="I74" s="58">
        <f>IF(B74&lt;&gt;"",B74,"")</f>
        <v/>
      </c>
    </row>
    <row r="75" ht="15.75" customHeight="1" s="146">
      <c r="C75" s="122" t="n"/>
      <c r="D75" s="122" t="inlineStr">
        <is>
          <t>Arborist</t>
        </is>
      </c>
      <c r="E75" s="122" t="n">
        <v>1</v>
      </c>
      <c r="F75" s="122" t="n">
        <v>7</v>
      </c>
      <c r="G75" s="122" t="n">
        <v>7</v>
      </c>
      <c r="I75" s="58">
        <f>IF(B75&lt;&gt;"",B75,"")</f>
        <v/>
      </c>
    </row>
    <row r="76" ht="15.75" customHeight="1" s="146">
      <c r="D76" s="122" t="inlineStr">
        <is>
          <t>Business Matrix</t>
        </is>
      </c>
      <c r="E76" s="122" t="n">
        <v>1</v>
      </c>
      <c r="F76" s="122" t="n">
        <v>6</v>
      </c>
      <c r="G76" s="122" t="n">
        <v>6</v>
      </c>
      <c r="I76" s="58">
        <f>IF(B76&lt;&gt;"",B76,"")</f>
        <v/>
      </c>
    </row>
    <row r="77" ht="15.75" customHeight="1" s="146">
      <c r="D77" s="122" t="inlineStr">
        <is>
          <t>Customer - Utility Arboriculture</t>
        </is>
      </c>
      <c r="E77" s="122" t="n">
        <v>1</v>
      </c>
      <c r="F77" s="122" t="n">
        <v>4</v>
      </c>
      <c r="G77" s="122" t="n">
        <v>4</v>
      </c>
      <c r="I77" s="58">
        <f>IF(B77&lt;&gt;"",B77,"")</f>
        <v/>
      </c>
    </row>
    <row r="78" ht="15.75" customHeight="1" s="146">
      <c r="C78" t="inlineStr">
        <is>
          <t>James Vining</t>
        </is>
      </c>
      <c r="D78" s="122" t="inlineStr">
        <is>
          <t>Total</t>
        </is>
      </c>
      <c r="E78" s="122" t="n">
        <v>1</v>
      </c>
      <c r="F78" s="122" t="n">
        <v>17</v>
      </c>
      <c r="G78" s="122" t="n">
        <v>17</v>
      </c>
      <c r="I78" s="58">
        <f>IF(B78&lt;&gt;"",B78,"")</f>
        <v/>
      </c>
    </row>
    <row r="79" ht="15.75" customHeight="1" s="146">
      <c r="C79" s="122" t="n"/>
      <c r="D79" s="122" t="inlineStr">
        <is>
          <t>Arborist</t>
        </is>
      </c>
      <c r="E79" s="122" t="n">
        <v>1</v>
      </c>
      <c r="F79" s="122" t="n">
        <v>7</v>
      </c>
      <c r="G79" s="122" t="n">
        <v>7</v>
      </c>
      <c r="I79" s="58">
        <f>IF(B79&lt;&gt;"",B79,"")</f>
        <v/>
      </c>
    </row>
    <row r="80" ht="15.75" customHeight="1" s="146">
      <c r="D80" s="122" t="inlineStr">
        <is>
          <t>Business Matrix</t>
        </is>
      </c>
      <c r="E80" s="122" t="n">
        <v>1</v>
      </c>
      <c r="F80" s="122" t="n">
        <v>6</v>
      </c>
      <c r="G80" s="122" t="n">
        <v>6</v>
      </c>
      <c r="I80" s="58">
        <f>IF(B80&lt;&gt;"",B80,"")</f>
        <v/>
      </c>
    </row>
    <row r="81" ht="15.75" customHeight="1" s="146">
      <c r="D81" s="122" t="inlineStr">
        <is>
          <t>Customer - Utility Arboriculture</t>
        </is>
      </c>
      <c r="E81" s="122" t="n">
        <v>1</v>
      </c>
      <c r="F81" s="122" t="n">
        <v>4</v>
      </c>
      <c r="G81" s="122" t="n">
        <v>4</v>
      </c>
      <c r="I81" s="58">
        <f>IF(B81&lt;&gt;"",B81,"")</f>
        <v/>
      </c>
    </row>
    <row r="82" ht="15.75" customHeight="1" s="146">
      <c r="C82" t="inlineStr">
        <is>
          <t>JPAS Contracting Ltd .</t>
        </is>
      </c>
      <c r="D82" s="122" t="inlineStr">
        <is>
          <t>Total</t>
        </is>
      </c>
      <c r="E82" s="122" t="n">
        <v>1</v>
      </c>
      <c r="F82" s="122" t="n">
        <v>4</v>
      </c>
      <c r="G82" s="122" t="n">
        <v>4</v>
      </c>
      <c r="I82" s="58">
        <f>IF(B82&lt;&gt;"",B82,"")</f>
        <v/>
      </c>
    </row>
    <row r="83" ht="15.75" customHeight="1" s="146">
      <c r="C83" s="122" t="n"/>
      <c r="D83" s="122" t="inlineStr">
        <is>
          <t>Team Matrix</t>
        </is>
      </c>
      <c r="E83" s="122" t="n">
        <v>1</v>
      </c>
      <c r="F83" s="122" t="n">
        <v>4</v>
      </c>
      <c r="G83" s="122" t="n">
        <v>4</v>
      </c>
      <c r="I83" s="58">
        <f>IF(B83&lt;&gt;"",B83,"")</f>
        <v/>
      </c>
    </row>
    <row r="84" ht="15.75" customHeight="1" s="146">
      <c r="B84" t="inlineStr">
        <is>
          <t>Ropes and Slopes Limited</t>
        </is>
      </c>
      <c r="C84" t="inlineStr">
        <is>
          <t>Total</t>
        </is>
      </c>
      <c r="D84" s="122" t="n"/>
      <c r="E84" s="122" t="n">
        <v>1</v>
      </c>
      <c r="F84" s="122" t="n">
        <v>38</v>
      </c>
      <c r="G84" s="122" t="n">
        <v>38</v>
      </c>
      <c r="H84" s="189" t="n">
        <v>46064</v>
      </c>
      <c r="I84" s="58">
        <f>IF(B84&lt;&gt;"",B84,"")</f>
        <v/>
      </c>
    </row>
    <row r="85" ht="15.75" customHeight="1" s="146">
      <c r="B85" s="122" t="n"/>
      <c r="C85" s="122" t="inlineStr">
        <is>
          <t>James Donnellan</t>
        </is>
      </c>
      <c r="D85" t="inlineStr">
        <is>
          <t>Total</t>
        </is>
      </c>
      <c r="E85" s="122" t="n">
        <v>1</v>
      </c>
      <c r="F85" s="122" t="n">
        <v>17</v>
      </c>
      <c r="G85" s="122" t="n">
        <v>17</v>
      </c>
      <c r="H85" s="57" t="n"/>
      <c r="I85" s="58">
        <f>IF(B85&lt;&gt;"",B85,"")</f>
        <v/>
      </c>
    </row>
    <row r="86" ht="15.75" customHeight="1" s="146">
      <c r="C86" s="122" t="n"/>
      <c r="D86" s="122" t="inlineStr">
        <is>
          <t>Arborist</t>
        </is>
      </c>
      <c r="E86" s="122" t="n">
        <v>1</v>
      </c>
      <c r="F86" s="122" t="n">
        <v>7</v>
      </c>
      <c r="G86" s="122" t="n">
        <v>7</v>
      </c>
      <c r="I86" s="58">
        <f>IF(B86&lt;&gt;"",B86,"")</f>
        <v/>
      </c>
    </row>
    <row r="87" ht="15.75" customHeight="1" s="146">
      <c r="D87" s="122" t="inlineStr">
        <is>
          <t>Business Matrix</t>
        </is>
      </c>
      <c r="E87" s="122" t="n">
        <v>1</v>
      </c>
      <c r="F87" s="122" t="n">
        <v>6</v>
      </c>
      <c r="G87" s="122" t="n">
        <v>6</v>
      </c>
      <c r="I87" s="58">
        <f>IF(B87&lt;&gt;"",B87,"")</f>
        <v/>
      </c>
    </row>
    <row r="88" ht="15.75" customHeight="1" s="146">
      <c r="D88" s="122" t="inlineStr">
        <is>
          <t>Customer - Utility Arboriculture</t>
        </is>
      </c>
      <c r="E88" s="122" t="n">
        <v>1</v>
      </c>
      <c r="F88" s="122" t="n">
        <v>4</v>
      </c>
      <c r="G88" s="122" t="n">
        <v>4</v>
      </c>
      <c r="I88" s="58">
        <f>IF(B88&lt;&gt;"",B88,"")</f>
        <v/>
      </c>
    </row>
    <row r="89" ht="15.75" customHeight="1" s="146">
      <c r="C89" t="inlineStr">
        <is>
          <t>Mike Lewis</t>
        </is>
      </c>
      <c r="D89" s="122" t="inlineStr">
        <is>
          <t>Total</t>
        </is>
      </c>
      <c r="E89" s="122" t="n">
        <v>1</v>
      </c>
      <c r="F89" s="122" t="n">
        <v>17</v>
      </c>
      <c r="G89" s="122" t="n">
        <v>17</v>
      </c>
      <c r="I89" s="58">
        <f>IF(B89&lt;&gt;"",B89,"")</f>
        <v/>
      </c>
    </row>
    <row r="90" ht="15.75" customHeight="1" s="146">
      <c r="C90" s="122" t="n"/>
      <c r="D90" s="122" t="inlineStr">
        <is>
          <t>Arborist</t>
        </is>
      </c>
      <c r="E90" s="122" t="n">
        <v>1</v>
      </c>
      <c r="F90" s="122" t="n">
        <v>7</v>
      </c>
      <c r="G90" s="122" t="n">
        <v>7</v>
      </c>
      <c r="I90" s="58">
        <f>IF(B90&lt;&gt;"",B90,"")</f>
        <v/>
      </c>
    </row>
    <row r="91" ht="15.75" customHeight="1" s="146">
      <c r="D91" s="122" t="inlineStr">
        <is>
          <t>Business Matrix</t>
        </is>
      </c>
      <c r="E91" s="122" t="n">
        <v>1</v>
      </c>
      <c r="F91" s="122" t="n">
        <v>6</v>
      </c>
      <c r="G91" s="122" t="n">
        <v>6</v>
      </c>
      <c r="I91" s="58">
        <f>IF(B91&lt;&gt;"",B91,"")</f>
        <v/>
      </c>
    </row>
    <row r="92" ht="15.75" customHeight="1" s="146">
      <c r="D92" s="122" t="inlineStr">
        <is>
          <t>Customer - Utility Arboriculture</t>
        </is>
      </c>
      <c r="E92" s="122" t="n">
        <v>1</v>
      </c>
      <c r="F92" s="122" t="n">
        <v>4</v>
      </c>
      <c r="G92" s="122" t="n">
        <v>4</v>
      </c>
      <c r="I92" s="58">
        <f>IF(B92&lt;&gt;"",B92,"")</f>
        <v/>
      </c>
    </row>
    <row r="93" ht="15.75" customHeight="1" s="146">
      <c r="C93" t="inlineStr">
        <is>
          <t>Ropes and Slopes Limited .</t>
        </is>
      </c>
      <c r="D93" s="122" t="inlineStr">
        <is>
          <t>Total</t>
        </is>
      </c>
      <c r="E93" s="122" t="n">
        <v>1</v>
      </c>
      <c r="F93" s="122" t="n">
        <v>4</v>
      </c>
      <c r="G93" s="122" t="n">
        <v>4</v>
      </c>
      <c r="I93" s="58">
        <f>IF(B93&lt;&gt;"",B93,"")</f>
        <v/>
      </c>
    </row>
    <row r="94" ht="15.75" customHeight="1" s="146">
      <c r="C94" s="122" t="n"/>
      <c r="D94" s="122" t="inlineStr">
        <is>
          <t>Team Matrix</t>
        </is>
      </c>
      <c r="E94" s="122" t="n">
        <v>1</v>
      </c>
      <c r="F94" s="122" t="n">
        <v>4</v>
      </c>
      <c r="G94" s="122" t="n">
        <v>4</v>
      </c>
      <c r="I94" s="58">
        <f>IF(B94&lt;&gt;"",B94,"")</f>
        <v/>
      </c>
    </row>
    <row r="95" ht="15.75" customHeight="1" s="146">
      <c r="B95" t="inlineStr">
        <is>
          <t>Tree Flex Ltd</t>
        </is>
      </c>
      <c r="C95" t="inlineStr">
        <is>
          <t>Total</t>
        </is>
      </c>
      <c r="D95" s="122" t="n"/>
      <c r="E95" s="122" t="n">
        <v>1</v>
      </c>
      <c r="F95" s="122" t="n">
        <v>38</v>
      </c>
      <c r="G95" s="122" t="n">
        <v>38</v>
      </c>
      <c r="H95" s="189" t="n">
        <v>46094</v>
      </c>
      <c r="I95" s="58">
        <f>IF(B95&lt;&gt;"",B95,"")</f>
        <v/>
      </c>
    </row>
    <row r="96" ht="15.75" customHeight="1" s="146">
      <c r="C96" t="inlineStr">
        <is>
          <t>Robert Dickens</t>
        </is>
      </c>
      <c r="D96" s="122" t="inlineStr">
        <is>
          <t>Total</t>
        </is>
      </c>
      <c r="E96" s="122" t="n">
        <v>1</v>
      </c>
      <c r="F96" s="122" t="n">
        <v>17</v>
      </c>
      <c r="G96" s="122" t="n">
        <v>17</v>
      </c>
      <c r="I96" s="58">
        <f>IF(B96&lt;&gt;"",B96,"")</f>
        <v/>
      </c>
    </row>
    <row r="97" ht="15.75" customHeight="1" s="146">
      <c r="D97" s="122" t="inlineStr">
        <is>
          <t>Arborist</t>
        </is>
      </c>
      <c r="E97" s="122" t="n">
        <v>1</v>
      </c>
      <c r="F97" s="122" t="n">
        <v>7</v>
      </c>
      <c r="G97" s="122" t="n">
        <v>7</v>
      </c>
      <c r="I97" s="58">
        <f>IF(B97&lt;&gt;"",B97,"")</f>
        <v/>
      </c>
    </row>
    <row r="98" ht="15.75" customHeight="1" s="146">
      <c r="C98" s="122" t="n"/>
      <c r="D98" s="122" t="inlineStr">
        <is>
          <t>Business Matrix</t>
        </is>
      </c>
      <c r="E98" s="122" t="n">
        <v>1</v>
      </c>
      <c r="F98" s="122" t="n">
        <v>6</v>
      </c>
      <c r="G98" s="122" t="n">
        <v>6</v>
      </c>
      <c r="I98" s="58">
        <f>IF(B98&lt;&gt;"",B98,"")</f>
        <v/>
      </c>
    </row>
    <row r="99" ht="15.75" customHeight="1" s="146">
      <c r="D99" s="122" t="inlineStr">
        <is>
          <t>Customer - Utility Arboriculture</t>
        </is>
      </c>
      <c r="E99" s="122" t="n">
        <v>1</v>
      </c>
      <c r="F99" s="122" t="n">
        <v>4</v>
      </c>
      <c r="G99" s="122" t="n">
        <v>4</v>
      </c>
      <c r="I99" s="58">
        <f>IF(B99&lt;&gt;"",B99,"")</f>
        <v/>
      </c>
    </row>
    <row r="100" ht="15.75" customHeight="1" s="146">
      <c r="C100" t="inlineStr">
        <is>
          <t>Steven Astbury</t>
        </is>
      </c>
      <c r="D100" s="122" t="inlineStr">
        <is>
          <t>Total</t>
        </is>
      </c>
      <c r="E100" s="122" t="n">
        <v>1</v>
      </c>
      <c r="F100" s="122" t="n">
        <v>17</v>
      </c>
      <c r="G100" s="122" t="n">
        <v>17</v>
      </c>
      <c r="I100" s="58">
        <f>IF(B100&lt;&gt;"",B100,"")</f>
        <v/>
      </c>
    </row>
    <row r="101" ht="15.75" customHeight="1" s="146">
      <c r="D101" s="122" t="inlineStr">
        <is>
          <t>Arborist</t>
        </is>
      </c>
      <c r="E101" s="122" t="n">
        <v>1</v>
      </c>
      <c r="F101" s="122" t="n">
        <v>7</v>
      </c>
      <c r="G101" s="122" t="n">
        <v>7</v>
      </c>
      <c r="I101" s="58">
        <f>IF(B101&lt;&gt;"",B101,"")</f>
        <v/>
      </c>
    </row>
    <row r="102" ht="15.75" customHeight="1" s="146">
      <c r="C102" s="122" t="n"/>
      <c r="D102" s="122" t="inlineStr">
        <is>
          <t>Business Matrix</t>
        </is>
      </c>
      <c r="E102" s="122" t="n">
        <v>1</v>
      </c>
      <c r="F102" s="122" t="n">
        <v>6</v>
      </c>
      <c r="G102" s="122" t="n">
        <v>6</v>
      </c>
      <c r="I102" s="58">
        <f>IF(B102&lt;&gt;"",B102,"")</f>
        <v/>
      </c>
    </row>
    <row r="103" ht="15.75" customHeight="1" s="146">
      <c r="D103" s="122" t="inlineStr">
        <is>
          <t>Customer - Utility Arboriculture</t>
        </is>
      </c>
      <c r="E103" s="122" t="n">
        <v>1</v>
      </c>
      <c r="F103" s="122" t="n">
        <v>4</v>
      </c>
      <c r="G103" s="122" t="n">
        <v>4</v>
      </c>
      <c r="I103" s="58">
        <f>IF(B103&lt;&gt;"",B103,"")</f>
        <v/>
      </c>
    </row>
    <row r="104" ht="15.75" customHeight="1" s="146">
      <c r="C104" s="122" t="inlineStr">
        <is>
          <t>Tree Flex Ltd .</t>
        </is>
      </c>
      <c r="D104" s="122" t="inlineStr">
        <is>
          <t>Total</t>
        </is>
      </c>
      <c r="E104" s="122" t="n">
        <v>1</v>
      </c>
      <c r="F104" s="122" t="n">
        <v>4</v>
      </c>
      <c r="G104" s="122" t="n">
        <v>4</v>
      </c>
      <c r="I104" s="58">
        <f>IF(B104&lt;&gt;"",B104,"")</f>
        <v/>
      </c>
    </row>
    <row r="105" ht="15.75" customHeight="1" s="146">
      <c r="D105" s="122" t="inlineStr">
        <is>
          <t>Team Matrix</t>
        </is>
      </c>
      <c r="E105" s="122" t="n">
        <v>1</v>
      </c>
      <c r="F105" s="122" t="n">
        <v>4</v>
      </c>
      <c r="G105" s="122" t="n">
        <v>4</v>
      </c>
      <c r="I105" s="58">
        <f>IF(B105&lt;&gt;"",B105,"")</f>
        <v/>
      </c>
    </row>
    <row r="106" ht="15.75" customHeight="1" s="146">
      <c r="B106" t="inlineStr">
        <is>
          <t>Tree Tops Arborist</t>
        </is>
      </c>
      <c r="C106" t="inlineStr">
        <is>
          <t>Total</t>
        </is>
      </c>
      <c r="D106" s="122" t="n"/>
      <c r="E106" s="122" t="n">
        <v>1</v>
      </c>
      <c r="F106" s="122" t="n">
        <v>38</v>
      </c>
      <c r="G106" s="122" t="n">
        <v>38</v>
      </c>
      <c r="H106" s="189" t="n">
        <v>45973</v>
      </c>
      <c r="I106" s="58">
        <f>IF(B106&lt;&gt;"",B106,"")</f>
        <v/>
      </c>
    </row>
    <row r="107" ht="15.75" customHeight="1" s="146">
      <c r="C107" t="inlineStr">
        <is>
          <t>Bailey Mihill</t>
        </is>
      </c>
      <c r="D107" s="122" t="inlineStr">
        <is>
          <t>Total</t>
        </is>
      </c>
      <c r="E107" s="122" t="n">
        <v>1</v>
      </c>
      <c r="F107" s="122" t="n">
        <v>17</v>
      </c>
      <c r="G107" s="122" t="n">
        <v>17</v>
      </c>
      <c r="I107" s="58">
        <f>IF(B107&lt;&gt;"",B107,"")</f>
        <v/>
      </c>
    </row>
    <row r="108" ht="15.75" customHeight="1" s="146">
      <c r="B108" s="122" t="n"/>
      <c r="C108" s="122" t="n"/>
      <c r="D108" t="inlineStr">
        <is>
          <t>Arborist</t>
        </is>
      </c>
      <c r="E108" s="122" t="n">
        <v>1</v>
      </c>
      <c r="F108" s="122" t="n">
        <v>7</v>
      </c>
      <c r="G108" s="122" t="n">
        <v>7</v>
      </c>
      <c r="H108" s="57" t="n"/>
      <c r="I108" s="58">
        <f>IF(B108&lt;&gt;"",B108,"")</f>
        <v/>
      </c>
    </row>
    <row r="109" ht="15.75" customHeight="1" s="146">
      <c r="C109" s="122" t="n"/>
      <c r="D109" s="122" t="inlineStr">
        <is>
          <t>Business Matrix</t>
        </is>
      </c>
      <c r="E109" s="122" t="n">
        <v>1</v>
      </c>
      <c r="F109" s="122" t="n">
        <v>6</v>
      </c>
      <c r="G109" s="122" t="n">
        <v>6</v>
      </c>
      <c r="I109" s="58">
        <f>IF(B109&lt;&gt;"",B109,"")</f>
        <v/>
      </c>
    </row>
    <row r="110" ht="15.75" customHeight="1" s="146">
      <c r="D110" s="122" t="inlineStr">
        <is>
          <t>Customer - Utility Arboriculture</t>
        </is>
      </c>
      <c r="E110" s="122" t="n">
        <v>1</v>
      </c>
      <c r="F110" s="122" t="n">
        <v>4</v>
      </c>
      <c r="G110" s="122" t="n">
        <v>4</v>
      </c>
      <c r="I110" s="58">
        <f>IF(B110&lt;&gt;"",B110,"")</f>
        <v/>
      </c>
    </row>
    <row r="111" ht="15.75" customHeight="1" s="146">
      <c r="C111" t="inlineStr">
        <is>
          <t>Kyrie Zacharia</t>
        </is>
      </c>
      <c r="D111" s="122" t="inlineStr">
        <is>
          <t>Total</t>
        </is>
      </c>
      <c r="E111" s="122" t="n">
        <v>1</v>
      </c>
      <c r="F111" s="122" t="n">
        <v>17</v>
      </c>
      <c r="G111" s="122" t="n">
        <v>17</v>
      </c>
      <c r="I111" s="58">
        <f>IF(B111&lt;&gt;"",B111,"")</f>
        <v/>
      </c>
    </row>
    <row r="112" ht="15.75" customHeight="1" s="146">
      <c r="D112" s="122" t="inlineStr">
        <is>
          <t>Arborist</t>
        </is>
      </c>
      <c r="E112" s="122" t="n">
        <v>1</v>
      </c>
      <c r="F112" s="122" t="n">
        <v>7</v>
      </c>
      <c r="G112" s="122" t="n">
        <v>7</v>
      </c>
      <c r="I112" s="58">
        <f>IF(B112&lt;&gt;"",B112,"")</f>
        <v/>
      </c>
    </row>
    <row r="113" ht="15.75" customHeight="1" s="146">
      <c r="C113" s="122" t="n"/>
      <c r="D113" s="122" t="inlineStr">
        <is>
          <t>Business Matrix</t>
        </is>
      </c>
      <c r="E113" s="122" t="n">
        <v>1</v>
      </c>
      <c r="F113" s="122" t="n">
        <v>6</v>
      </c>
      <c r="G113" s="122" t="n">
        <v>6</v>
      </c>
      <c r="I113" s="58">
        <f>IF(B113&lt;&gt;"",B113,"")</f>
        <v/>
      </c>
    </row>
    <row r="114" ht="15.75" customHeight="1" s="146">
      <c r="D114" s="122" t="inlineStr">
        <is>
          <t>Customer - Utility Arboriculture</t>
        </is>
      </c>
      <c r="E114" s="122" t="n">
        <v>1</v>
      </c>
      <c r="F114" s="122" t="n">
        <v>4</v>
      </c>
      <c r="G114" s="122" t="n">
        <v>4</v>
      </c>
      <c r="I114" s="58">
        <f>IF(B114&lt;&gt;"",B114,"")</f>
        <v/>
      </c>
    </row>
    <row r="115" ht="15.75" customHeight="1" s="146">
      <c r="C115" t="inlineStr">
        <is>
          <t>Tree Tops Arborist .</t>
        </is>
      </c>
      <c r="D115" s="122" t="inlineStr">
        <is>
          <t>Total</t>
        </is>
      </c>
      <c r="E115" s="122" t="n">
        <v>1</v>
      </c>
      <c r="F115" s="122" t="n">
        <v>4</v>
      </c>
      <c r="G115" s="122" t="n">
        <v>4</v>
      </c>
      <c r="I115" s="58">
        <f>IF(B115&lt;&gt;"",B115,"")</f>
        <v/>
      </c>
    </row>
    <row r="116" ht="15.75" customHeight="1" s="146">
      <c r="D116" s="122" t="inlineStr">
        <is>
          <t>Team Matrix</t>
        </is>
      </c>
      <c r="E116" s="122" t="n">
        <v>1</v>
      </c>
      <c r="F116" s="122" t="n">
        <v>4</v>
      </c>
      <c r="G116" s="122" t="n">
        <v>4</v>
      </c>
      <c r="I116" s="58">
        <f>IF(B116&lt;&gt;"",B116,"")</f>
        <v/>
      </c>
    </row>
    <row r="117" ht="15.75" customHeight="1" s="146">
      <c r="B117" t="inlineStr">
        <is>
          <t>AAT Tree Services</t>
        </is>
      </c>
      <c r="C117" s="122" t="inlineStr">
        <is>
          <t>Total</t>
        </is>
      </c>
      <c r="D117" s="122" t="n"/>
      <c r="E117" s="122" t="n">
        <v>0.99</v>
      </c>
      <c r="F117" s="122" t="n">
        <v>87</v>
      </c>
      <c r="G117" s="122" t="n">
        <v>86</v>
      </c>
      <c r="H117" s="189" t="n">
        <v>46099</v>
      </c>
      <c r="I117" s="58">
        <f>IF(B117&lt;&gt;"",B117,"")</f>
        <v/>
      </c>
    </row>
    <row r="118" ht="15.75" customHeight="1" s="146">
      <c r="C118" t="inlineStr">
        <is>
          <t>AAT Tree Services .</t>
        </is>
      </c>
      <c r="D118" s="122" t="inlineStr">
        <is>
          <t>Total</t>
        </is>
      </c>
      <c r="E118" s="122" t="n">
        <v>1</v>
      </c>
      <c r="F118" s="122" t="n">
        <v>4</v>
      </c>
      <c r="G118" s="122" t="n">
        <v>4</v>
      </c>
      <c r="I118" s="58">
        <f>IF(B118&lt;&gt;"",B118,"")</f>
        <v/>
      </c>
    </row>
    <row r="119" ht="15.75" customHeight="1" s="146">
      <c r="D119" s="122" t="inlineStr">
        <is>
          <t>Team Matrix</t>
        </is>
      </c>
      <c r="E119" s="122" t="n">
        <v>1</v>
      </c>
      <c r="F119" s="122" t="n">
        <v>4</v>
      </c>
      <c r="G119" s="122" t="n">
        <v>4</v>
      </c>
      <c r="I119" s="58">
        <f>IF(B119&lt;&gt;"",B119,"")</f>
        <v/>
      </c>
    </row>
    <row r="120" ht="15.75" customHeight="1" s="146">
      <c r="C120" t="inlineStr">
        <is>
          <t>Daisy Hughes-Gardiner</t>
        </is>
      </c>
      <c r="D120" s="122" t="inlineStr">
        <is>
          <t>Total</t>
        </is>
      </c>
      <c r="E120" s="122" t="n">
        <v>1</v>
      </c>
      <c r="F120" s="122" t="n">
        <v>17</v>
      </c>
      <c r="G120" s="122" t="n">
        <v>17</v>
      </c>
      <c r="I120" s="58">
        <f>IF(B120&lt;&gt;"",B120,"")</f>
        <v/>
      </c>
    </row>
    <row r="121" ht="15.75" customHeight="1" s="146">
      <c r="C121" s="122" t="n"/>
      <c r="D121" s="122" t="inlineStr">
        <is>
          <t>Arborist</t>
        </is>
      </c>
      <c r="E121" s="122" t="n">
        <v>1</v>
      </c>
      <c r="F121" s="122" t="n">
        <v>7</v>
      </c>
      <c r="G121" s="122" t="n">
        <v>7</v>
      </c>
      <c r="I121" s="58">
        <f>IF(B121&lt;&gt;"",B121,"")</f>
        <v/>
      </c>
    </row>
    <row r="122" ht="15.75" customHeight="1" s="146">
      <c r="D122" s="122" t="inlineStr">
        <is>
          <t>Business Matrix</t>
        </is>
      </c>
      <c r="E122" s="122" t="n">
        <v>1</v>
      </c>
      <c r="F122" s="122" t="n">
        <v>6</v>
      </c>
      <c r="G122" s="122" t="n">
        <v>6</v>
      </c>
      <c r="I122" s="58">
        <f>IF(B122&lt;&gt;"",B122,"")</f>
        <v/>
      </c>
    </row>
    <row r="123" ht="15.75" customHeight="1" s="146">
      <c r="D123" s="122" t="inlineStr">
        <is>
          <t>Customer - Utility Arboriculture</t>
        </is>
      </c>
      <c r="E123" s="122" t="n">
        <v>1</v>
      </c>
      <c r="F123" s="122" t="n">
        <v>4</v>
      </c>
      <c r="G123" s="122" t="n">
        <v>4</v>
      </c>
      <c r="I123" s="58">
        <f>IF(B123&lt;&gt;"",B123,"")</f>
        <v/>
      </c>
    </row>
    <row r="124" ht="15.75" customHeight="1" s="146">
      <c r="C124" t="inlineStr">
        <is>
          <t>Daniel Lewis</t>
        </is>
      </c>
      <c r="D124" s="122" t="inlineStr">
        <is>
          <t>Total</t>
        </is>
      </c>
      <c r="E124" s="122" t="n">
        <v>1</v>
      </c>
      <c r="F124" s="122" t="n">
        <v>15</v>
      </c>
      <c r="G124" s="122" t="n">
        <v>15</v>
      </c>
      <c r="I124" s="58">
        <f>IF(B124&lt;&gt;"",B124,"")</f>
        <v/>
      </c>
    </row>
    <row r="125" ht="15.75" customHeight="1" s="146">
      <c r="C125" s="122" t="n"/>
      <c r="D125" s="122" t="inlineStr">
        <is>
          <t>Business Matrix</t>
        </is>
      </c>
      <c r="E125" s="122" t="n">
        <v>1</v>
      </c>
      <c r="F125" s="122" t="n">
        <v>6</v>
      </c>
      <c r="G125" s="122" t="n">
        <v>6</v>
      </c>
      <c r="I125" s="58">
        <f>IF(B125&lt;&gt;"",B125,"")</f>
        <v/>
      </c>
    </row>
    <row r="126" ht="15.75" customHeight="1" s="146">
      <c r="D126" s="122" t="inlineStr">
        <is>
          <t>Customer - Utility Arboriculture</t>
        </is>
      </c>
      <c r="E126" s="122" t="n">
        <v>1</v>
      </c>
      <c r="F126" s="122" t="n">
        <v>4</v>
      </c>
      <c r="G126" s="122" t="n">
        <v>4</v>
      </c>
      <c r="I126" s="58">
        <f>IF(B126&lt;&gt;"",B126,"")</f>
        <v/>
      </c>
    </row>
    <row r="127" ht="15.75" customHeight="1" s="146">
      <c r="D127" s="122" t="inlineStr">
        <is>
          <t>Grounds Person</t>
        </is>
      </c>
      <c r="E127" s="122" t="n">
        <v>1</v>
      </c>
      <c r="F127" s="122" t="n">
        <v>5</v>
      </c>
      <c r="G127" s="122" t="n">
        <v>5</v>
      </c>
      <c r="I127" s="58">
        <f>IF(B127&lt;&gt;"",B127,"")</f>
        <v/>
      </c>
    </row>
    <row r="128" ht="15.75" customHeight="1" s="146">
      <c r="C128" t="inlineStr">
        <is>
          <t>Kevin Bell</t>
        </is>
      </c>
      <c r="D128" s="122" t="inlineStr">
        <is>
          <t>Total</t>
        </is>
      </c>
      <c r="E128" s="122" t="n">
        <v>1</v>
      </c>
      <c r="F128" s="122" t="n">
        <v>17</v>
      </c>
      <c r="G128" s="122" t="n">
        <v>17</v>
      </c>
      <c r="I128" s="58">
        <f>IF(B128&lt;&gt;"",B128,"")</f>
        <v/>
      </c>
    </row>
    <row r="129" ht="15.75" customHeight="1" s="146">
      <c r="C129" s="122" t="n"/>
      <c r="D129" s="122" t="inlineStr">
        <is>
          <t>Arborist</t>
        </is>
      </c>
      <c r="E129" s="122" t="n">
        <v>1</v>
      </c>
      <c r="F129" s="122" t="n">
        <v>7</v>
      </c>
      <c r="G129" s="122" t="n">
        <v>7</v>
      </c>
      <c r="I129" s="58">
        <f>IF(B129&lt;&gt;"",B129,"")</f>
        <v/>
      </c>
    </row>
    <row r="130" ht="15.75" customHeight="1" s="146">
      <c r="D130" s="122" t="inlineStr">
        <is>
          <t>Business Matrix</t>
        </is>
      </c>
      <c r="E130" s="122" t="n">
        <v>1</v>
      </c>
      <c r="F130" s="122" t="n">
        <v>6</v>
      </c>
      <c r="G130" s="122" t="n">
        <v>6</v>
      </c>
      <c r="I130" s="58">
        <f>IF(B130&lt;&gt;"",B130,"")</f>
        <v/>
      </c>
    </row>
    <row r="131" ht="15.75" customHeight="1" s="146">
      <c r="D131" s="122" t="inlineStr">
        <is>
          <t>Customer - Utility Arboriculture</t>
        </is>
      </c>
      <c r="E131" s="122" t="n">
        <v>1</v>
      </c>
      <c r="F131" s="122" t="n">
        <v>4</v>
      </c>
      <c r="G131" s="122" t="n">
        <v>4</v>
      </c>
      <c r="I131" s="58">
        <f>IF(B131&lt;&gt;"",B131,"")</f>
        <v/>
      </c>
    </row>
    <row r="132" ht="15.75" customHeight="1" s="146">
      <c r="C132" t="inlineStr">
        <is>
          <t>Simon Williams</t>
        </is>
      </c>
      <c r="D132" s="122" t="inlineStr">
        <is>
          <t>Total</t>
        </is>
      </c>
      <c r="E132" s="122" t="n">
        <v>1</v>
      </c>
      <c r="F132" s="122" t="n">
        <v>17</v>
      </c>
      <c r="G132" s="122" t="n">
        <v>17</v>
      </c>
      <c r="I132" s="58">
        <f>IF(B132&lt;&gt;"",B132,"")</f>
        <v/>
      </c>
    </row>
    <row r="133" ht="15.75" customHeight="1" s="146">
      <c r="C133" s="122" t="n"/>
      <c r="D133" s="122" t="inlineStr">
        <is>
          <t>Arborist</t>
        </is>
      </c>
      <c r="E133" s="122" t="n">
        <v>1</v>
      </c>
      <c r="F133" s="122" t="n">
        <v>7</v>
      </c>
      <c r="G133" s="122" t="n">
        <v>7</v>
      </c>
      <c r="I133" s="58">
        <f>IF(B133&lt;&gt;"",B133,"")</f>
        <v/>
      </c>
    </row>
    <row r="134" ht="15.75" customHeight="1" s="146">
      <c r="D134" s="122" t="inlineStr">
        <is>
          <t>Business Matrix</t>
        </is>
      </c>
      <c r="E134" s="122" t="n">
        <v>1</v>
      </c>
      <c r="F134" s="122" t="n">
        <v>6</v>
      </c>
      <c r="G134" s="122" t="n">
        <v>6</v>
      </c>
      <c r="I134" s="58">
        <f>IF(B134&lt;&gt;"",B134,"")</f>
        <v/>
      </c>
    </row>
    <row r="135" ht="15.75" customHeight="1" s="146">
      <c r="D135" s="122" t="inlineStr">
        <is>
          <t>Customer - Utility Arboriculture</t>
        </is>
      </c>
      <c r="E135" s="122" t="n">
        <v>1</v>
      </c>
      <c r="F135" s="122" t="n">
        <v>4</v>
      </c>
      <c r="G135" s="122" t="n">
        <v>4</v>
      </c>
      <c r="I135" s="58">
        <f>IF(B135&lt;&gt;"",B135,"")</f>
        <v/>
      </c>
    </row>
    <row r="136" ht="15.75" customHeight="1" s="146">
      <c r="C136" t="inlineStr">
        <is>
          <t>Iorwerth Archer</t>
        </is>
      </c>
      <c r="D136" s="122" t="inlineStr">
        <is>
          <t>Total</t>
        </is>
      </c>
      <c r="E136" s="122" t="n">
        <v>0.95</v>
      </c>
      <c r="F136" s="122" t="n">
        <v>17</v>
      </c>
      <c r="G136" s="122" t="n">
        <v>16</v>
      </c>
      <c r="I136" s="58">
        <f>IF(B136&lt;&gt;"",B136,"")</f>
        <v/>
      </c>
    </row>
    <row r="137" ht="15.75" customHeight="1" s="146">
      <c r="C137" s="122" t="n"/>
      <c r="D137" s="122" t="inlineStr">
        <is>
          <t>Arborist</t>
        </is>
      </c>
      <c r="E137" s="122" t="n">
        <v>1</v>
      </c>
      <c r="F137" s="122" t="n">
        <v>7</v>
      </c>
      <c r="G137" s="122" t="n">
        <v>7</v>
      </c>
      <c r="I137" s="58">
        <f>IF(B137&lt;&gt;"",B137,"")</f>
        <v/>
      </c>
    </row>
    <row r="138" ht="15.75" customHeight="1" s="146">
      <c r="D138" s="122" t="inlineStr">
        <is>
          <t>Business Matrix</t>
        </is>
      </c>
      <c r="E138" s="122" t="n">
        <v>1</v>
      </c>
      <c r="F138" s="122" t="n">
        <v>6</v>
      </c>
      <c r="G138" s="122" t="n">
        <v>6</v>
      </c>
      <c r="I138" s="58">
        <f>IF(B138&lt;&gt;"",B138,"")</f>
        <v/>
      </c>
    </row>
    <row r="139" ht="15.75" customHeight="1" s="146">
      <c r="D139" s="122" t="inlineStr">
        <is>
          <t>Customer - Utility Arboriculture</t>
        </is>
      </c>
      <c r="E139" s="122" t="n">
        <v>0.75</v>
      </c>
      <c r="F139" s="122" t="n">
        <v>4</v>
      </c>
      <c r="G139" s="122" t="n">
        <v>3</v>
      </c>
      <c r="I139" s="58">
        <f>IF(B139&lt;&gt;"",B139,"")</f>
        <v/>
      </c>
    </row>
    <row r="140" ht="15.75" customHeight="1" s="146">
      <c r="B140" t="inlineStr">
        <is>
          <t>Wootton Forestry &amp; Powerline Services Ltd</t>
        </is>
      </c>
      <c r="C140" t="inlineStr">
        <is>
          <t>Total</t>
        </is>
      </c>
      <c r="D140" s="122" t="n"/>
      <c r="E140" s="122" t="n">
        <v>0.99</v>
      </c>
      <c r="F140" s="122" t="n">
        <v>87</v>
      </c>
      <c r="G140" s="122" t="n">
        <v>86</v>
      </c>
      <c r="H140" s="189" t="n">
        <v>46051</v>
      </c>
      <c r="I140" s="58">
        <f>IF(B140&lt;&gt;"",B140,"")</f>
        <v/>
      </c>
    </row>
    <row r="141" ht="15.75" customHeight="1" s="146">
      <c r="C141" s="122" t="inlineStr">
        <is>
          <t>Curtis Smith</t>
        </is>
      </c>
      <c r="D141" s="122" t="inlineStr">
        <is>
          <t>Total</t>
        </is>
      </c>
      <c r="E141" s="122" t="n">
        <v>1</v>
      </c>
      <c r="F141" s="122" t="n">
        <v>17</v>
      </c>
      <c r="G141" s="122" t="n">
        <v>17</v>
      </c>
      <c r="I141" s="58">
        <f>IF(B141&lt;&gt;"",B141,"")</f>
        <v/>
      </c>
    </row>
    <row r="142" ht="15.75" customHeight="1" s="146">
      <c r="D142" s="122" t="inlineStr">
        <is>
          <t>Arborist</t>
        </is>
      </c>
      <c r="E142" s="122" t="n">
        <v>1</v>
      </c>
      <c r="F142" s="122" t="n">
        <v>7</v>
      </c>
      <c r="G142" s="122" t="n">
        <v>7</v>
      </c>
      <c r="I142" s="58">
        <f>IF(B142&lt;&gt;"",B142,"")</f>
        <v/>
      </c>
    </row>
    <row r="143" ht="15.75" customHeight="1" s="146">
      <c r="D143" s="122" t="inlineStr">
        <is>
          <t>Business Matrix</t>
        </is>
      </c>
      <c r="E143" s="122" t="n">
        <v>1</v>
      </c>
      <c r="F143" s="122" t="n">
        <v>6</v>
      </c>
      <c r="G143" s="122" t="n">
        <v>6</v>
      </c>
      <c r="I143" s="58">
        <f>IF(B143&lt;&gt;"",B143,"")</f>
        <v/>
      </c>
    </row>
    <row r="144" ht="15.75" customHeight="1" s="146">
      <c r="D144" s="122" t="inlineStr">
        <is>
          <t>Customer - Utility Arboriculture</t>
        </is>
      </c>
      <c r="E144" s="122" t="n">
        <v>1</v>
      </c>
      <c r="F144" s="122" t="n">
        <v>4</v>
      </c>
      <c r="G144" s="122" t="n">
        <v>4</v>
      </c>
      <c r="I144" s="58">
        <f>IF(B144&lt;&gt;"",B144,"")</f>
        <v/>
      </c>
    </row>
    <row r="145" ht="15.75" customHeight="1" s="146">
      <c r="C145" s="122" t="inlineStr">
        <is>
          <t>George A Wootton</t>
        </is>
      </c>
      <c r="D145" s="122" t="inlineStr">
        <is>
          <t>Total</t>
        </is>
      </c>
      <c r="E145" s="122" t="n">
        <v>1</v>
      </c>
      <c r="F145" s="122" t="n">
        <v>15</v>
      </c>
      <c r="G145" s="122" t="n">
        <v>15</v>
      </c>
      <c r="I145" s="58">
        <f>IF(B145&lt;&gt;"",B145,"")</f>
        <v/>
      </c>
    </row>
    <row r="146" ht="15.75" customHeight="1" s="146">
      <c r="D146" s="122" t="inlineStr">
        <is>
          <t>Business Matrix</t>
        </is>
      </c>
      <c r="E146" s="122" t="n">
        <v>1</v>
      </c>
      <c r="F146" s="122" t="n">
        <v>6</v>
      </c>
      <c r="G146" s="122" t="n">
        <v>6</v>
      </c>
      <c r="I146" s="58">
        <f>IF(B146&lt;&gt;"",B146,"")</f>
        <v/>
      </c>
    </row>
    <row r="147" ht="15.75" customHeight="1" s="146">
      <c r="D147" s="122" t="inlineStr">
        <is>
          <t>Customer - Utility Arboriculture</t>
        </is>
      </c>
      <c r="E147" s="122" t="n">
        <v>1</v>
      </c>
      <c r="F147" s="122" t="n">
        <v>4</v>
      </c>
      <c r="G147" s="122" t="n">
        <v>4</v>
      </c>
      <c r="I147" s="58">
        <f>IF(B147&lt;&gt;"",B147,"")</f>
        <v/>
      </c>
    </row>
    <row r="148" ht="15.75" customHeight="1" s="146">
      <c r="C148" s="122" t="n"/>
      <c r="D148" s="122" t="inlineStr">
        <is>
          <t>Grounds Person</t>
        </is>
      </c>
      <c r="E148" s="122" t="n">
        <v>1</v>
      </c>
      <c r="F148" s="122" t="n">
        <v>5</v>
      </c>
      <c r="G148" s="122" t="n">
        <v>5</v>
      </c>
      <c r="I148" s="58">
        <f>IF(B148&lt;&gt;"",B148,"")</f>
        <v/>
      </c>
    </row>
    <row r="149" ht="15.75" customHeight="1" s="146">
      <c r="C149" t="inlineStr">
        <is>
          <t>George S Wootton</t>
        </is>
      </c>
      <c r="D149" s="122" t="inlineStr">
        <is>
          <t>Total</t>
        </is>
      </c>
      <c r="E149" s="122" t="n">
        <v>1</v>
      </c>
      <c r="F149" s="122" t="n">
        <v>17</v>
      </c>
      <c r="G149" s="122" t="n">
        <v>17</v>
      </c>
      <c r="I149" s="58">
        <f>IF(B149&lt;&gt;"",B149,"")</f>
        <v/>
      </c>
    </row>
    <row r="150" ht="15.75" customHeight="1" s="146">
      <c r="D150" s="122" t="inlineStr">
        <is>
          <t>Arborist</t>
        </is>
      </c>
      <c r="E150" s="122" t="n">
        <v>1</v>
      </c>
      <c r="F150" s="122" t="n">
        <v>7</v>
      </c>
      <c r="G150" s="122" t="n">
        <v>7</v>
      </c>
      <c r="I150" s="58">
        <f>IF(B150&lt;&gt;"",B150,"")</f>
        <v/>
      </c>
    </row>
    <row r="151" ht="15.75" customHeight="1" s="146">
      <c r="D151" s="122" t="inlineStr">
        <is>
          <t>Business Matrix</t>
        </is>
      </c>
      <c r="E151" s="122" t="n">
        <v>1</v>
      </c>
      <c r="F151" s="122" t="n">
        <v>6</v>
      </c>
      <c r="G151" s="122" t="n">
        <v>6</v>
      </c>
      <c r="I151" s="58">
        <f>IF(B151&lt;&gt;"",B151,"")</f>
        <v/>
      </c>
    </row>
    <row r="152" ht="15.75" customHeight="1" s="146">
      <c r="C152" s="122" t="n"/>
      <c r="D152" s="122" t="inlineStr">
        <is>
          <t>Customer - Utility Arboriculture</t>
        </is>
      </c>
      <c r="E152" s="122" t="n">
        <v>1</v>
      </c>
      <c r="F152" s="122" t="n">
        <v>4</v>
      </c>
      <c r="G152" s="122" t="n">
        <v>4</v>
      </c>
      <c r="I152" s="58">
        <f>IF(B152&lt;&gt;"",B152,"")</f>
        <v/>
      </c>
    </row>
    <row r="153" ht="15.75" customHeight="1" s="146">
      <c r="C153" t="inlineStr">
        <is>
          <t>Joshua A Wootton</t>
        </is>
      </c>
      <c r="D153" s="122" t="inlineStr">
        <is>
          <t>Total</t>
        </is>
      </c>
      <c r="E153" s="122" t="n">
        <v>1</v>
      </c>
      <c r="F153" s="122" t="n">
        <v>17</v>
      </c>
      <c r="G153" s="122" t="n">
        <v>17</v>
      </c>
      <c r="I153" s="58">
        <f>IF(B153&lt;&gt;"",B153,"")</f>
        <v/>
      </c>
    </row>
    <row r="154" ht="15.75" customHeight="1" s="146">
      <c r="D154" s="122" t="inlineStr">
        <is>
          <t>Arborist</t>
        </is>
      </c>
      <c r="E154" s="122" t="n">
        <v>1</v>
      </c>
      <c r="F154" s="122" t="n">
        <v>7</v>
      </c>
      <c r="G154" s="122" t="n">
        <v>7</v>
      </c>
      <c r="I154" s="58">
        <f>IF(B154&lt;&gt;"",B154,"")</f>
        <v/>
      </c>
    </row>
    <row r="155" ht="15.75" customHeight="1" s="146">
      <c r="D155" s="122" t="inlineStr">
        <is>
          <t>Business Matrix</t>
        </is>
      </c>
      <c r="E155" s="122" t="n">
        <v>1</v>
      </c>
      <c r="F155" s="122" t="n">
        <v>6</v>
      </c>
      <c r="G155" s="122" t="n">
        <v>6</v>
      </c>
      <c r="I155" s="58">
        <f>IF(B155&lt;&gt;"",B155,"")</f>
        <v/>
      </c>
    </row>
    <row r="156" ht="15.75" customHeight="1" s="146">
      <c r="C156" s="122" t="n"/>
      <c r="D156" s="122" t="inlineStr">
        <is>
          <t>Customer - Utility Arboriculture</t>
        </is>
      </c>
      <c r="E156" s="122" t="n">
        <v>1</v>
      </c>
      <c r="F156" s="122" t="n">
        <v>4</v>
      </c>
      <c r="G156" s="122" t="n">
        <v>4</v>
      </c>
      <c r="I156" s="58">
        <f>IF(B156&lt;&gt;"",B156,"")</f>
        <v/>
      </c>
    </row>
    <row r="157" ht="15.75" customHeight="1" s="146">
      <c r="C157" t="inlineStr">
        <is>
          <t>Wootton Forestry &amp; Powerline Services Ltd .</t>
        </is>
      </c>
      <c r="D157" s="122" t="inlineStr">
        <is>
          <t>Total</t>
        </is>
      </c>
      <c r="E157" s="122" t="n">
        <v>1</v>
      </c>
      <c r="F157" s="122" t="n">
        <v>4</v>
      </c>
      <c r="G157" s="122" t="n">
        <v>4</v>
      </c>
      <c r="I157" s="58">
        <f>IF(B157&lt;&gt;"",B157,"")</f>
        <v/>
      </c>
    </row>
    <row r="158" ht="15.75" customHeight="1" s="146">
      <c r="D158" s="122" t="inlineStr">
        <is>
          <t>Team Matrix</t>
        </is>
      </c>
      <c r="E158" s="122" t="n">
        <v>1</v>
      </c>
      <c r="F158" s="122" t="n">
        <v>4</v>
      </c>
      <c r="G158" s="122" t="n">
        <v>4</v>
      </c>
      <c r="I158" s="58">
        <f>IF(B158&lt;&gt;"",B158,"")</f>
        <v/>
      </c>
    </row>
    <row r="159" ht="15.75" customHeight="1" s="146">
      <c r="C159" t="inlineStr">
        <is>
          <t>Luke G Wootton</t>
        </is>
      </c>
      <c r="D159" s="122" t="inlineStr">
        <is>
          <t>Total</t>
        </is>
      </c>
      <c r="E159" s="122" t="n">
        <v>0.95</v>
      </c>
      <c r="F159" s="122" t="n">
        <v>17</v>
      </c>
      <c r="G159" s="122" t="n">
        <v>16</v>
      </c>
      <c r="I159" s="58">
        <f>IF(B159&lt;&gt;"",B159,"")</f>
        <v/>
      </c>
    </row>
    <row r="160" ht="15.75" customHeight="1" s="146">
      <c r="C160" s="122" t="n"/>
      <c r="D160" s="122" t="inlineStr">
        <is>
          <t>Arborist</t>
        </is>
      </c>
      <c r="E160" s="122" t="n">
        <v>1</v>
      </c>
      <c r="F160" s="122" t="n">
        <v>7</v>
      </c>
      <c r="G160" s="122" t="n">
        <v>7</v>
      </c>
      <c r="I160" s="58">
        <f>IF(B160&lt;&gt;"",B160,"")</f>
        <v/>
      </c>
    </row>
    <row r="161" ht="15.75" customHeight="1" s="146">
      <c r="D161" s="122" t="inlineStr">
        <is>
          <t>Customer - Utility Arboriculture</t>
        </is>
      </c>
      <c r="E161" s="122" t="n">
        <v>1</v>
      </c>
      <c r="F161" s="122" t="n">
        <v>4</v>
      </c>
      <c r="G161" s="122" t="n">
        <v>4</v>
      </c>
      <c r="I161" s="58">
        <f>IF(B161&lt;&gt;"",B161,"")</f>
        <v/>
      </c>
    </row>
    <row r="162" ht="15.75" customHeight="1" s="146">
      <c r="D162" s="122" t="inlineStr">
        <is>
          <t>Business Matrix</t>
        </is>
      </c>
      <c r="E162" s="122" t="n">
        <v>0.84</v>
      </c>
      <c r="F162" s="122" t="n">
        <v>6</v>
      </c>
      <c r="G162" s="122" t="n">
        <v>5</v>
      </c>
      <c r="I162" s="58">
        <f>IF(B162&lt;&gt;"",B162,"")</f>
        <v/>
      </c>
    </row>
    <row r="163" ht="15.75" customHeight="1" s="146">
      <c r="B163" t="inlineStr">
        <is>
          <t>Green Net Eco Ltd</t>
        </is>
      </c>
      <c r="C163" t="inlineStr">
        <is>
          <t>Total</t>
        </is>
      </c>
      <c r="D163" s="122" t="n"/>
      <c r="E163" s="122" t="n">
        <v>0.98</v>
      </c>
      <c r="F163" s="122" t="n">
        <v>38</v>
      </c>
      <c r="G163" s="122" t="n">
        <v>37</v>
      </c>
      <c r="H163" s="189" t="n">
        <v>45616</v>
      </c>
      <c r="I163" s="58">
        <f>IF(B163&lt;&gt;"",B163,"")</f>
        <v/>
      </c>
    </row>
    <row r="164" ht="15.75" customHeight="1" s="146">
      <c r="C164" t="inlineStr">
        <is>
          <t>Green Net Eco Limited .</t>
        </is>
      </c>
      <c r="D164" s="122" t="inlineStr">
        <is>
          <t>Total</t>
        </is>
      </c>
      <c r="E164" s="122" t="n">
        <v>1</v>
      </c>
      <c r="F164" s="122" t="n">
        <v>4</v>
      </c>
      <c r="G164" s="122" t="n">
        <v>4</v>
      </c>
      <c r="I164" s="58">
        <f>IF(B164&lt;&gt;"",B164,"")</f>
        <v/>
      </c>
    </row>
    <row r="165" ht="15.75" customHeight="1" s="146">
      <c r="C165" s="122" t="n"/>
      <c r="D165" s="122" t="inlineStr">
        <is>
          <t>Team Matrix</t>
        </is>
      </c>
      <c r="E165" s="122" t="n">
        <v>1</v>
      </c>
      <c r="F165" s="122" t="n">
        <v>4</v>
      </c>
      <c r="G165" s="122" t="n">
        <v>4</v>
      </c>
      <c r="I165" s="58">
        <f>IF(B165&lt;&gt;"",B165,"")</f>
        <v/>
      </c>
    </row>
    <row r="166" ht="15.75" customHeight="1" s="146">
      <c r="C166" t="inlineStr">
        <is>
          <t>Jacob Oram</t>
        </is>
      </c>
      <c r="D166" s="122" t="inlineStr">
        <is>
          <t>Total</t>
        </is>
      </c>
      <c r="E166" s="122" t="n">
        <v>1</v>
      </c>
      <c r="F166" s="122" t="n">
        <v>17</v>
      </c>
      <c r="G166" s="122" t="n">
        <v>17</v>
      </c>
      <c r="I166" s="58">
        <f>IF(B166&lt;&gt;"",B166,"")</f>
        <v/>
      </c>
    </row>
    <row r="167" ht="15.75" customHeight="1" s="146">
      <c r="D167" s="122" t="inlineStr">
        <is>
          <t>Arborist</t>
        </is>
      </c>
      <c r="E167" s="122" t="n">
        <v>1</v>
      </c>
      <c r="F167" s="122" t="n">
        <v>7</v>
      </c>
      <c r="G167" s="122" t="n">
        <v>7</v>
      </c>
      <c r="I167" s="58">
        <f>IF(B167&lt;&gt;"",B167,"")</f>
        <v/>
      </c>
    </row>
    <row r="168" ht="15.75" customHeight="1" s="146">
      <c r="D168" s="122" t="inlineStr">
        <is>
          <t>Business Matrix</t>
        </is>
      </c>
      <c r="E168" s="122" t="n">
        <v>1</v>
      </c>
      <c r="F168" s="122" t="n">
        <v>6</v>
      </c>
      <c r="G168" s="122" t="n">
        <v>6</v>
      </c>
      <c r="I168" s="58">
        <f>IF(B168&lt;&gt;"",B168,"")</f>
        <v/>
      </c>
    </row>
    <row r="169" ht="15.75" customHeight="1" s="146">
      <c r="C169" s="122" t="n"/>
      <c r="D169" s="122" t="inlineStr">
        <is>
          <t>Customer - Utility Arboriculture</t>
        </is>
      </c>
      <c r="E169" s="122" t="n">
        <v>1</v>
      </c>
      <c r="F169" s="122" t="n">
        <v>4</v>
      </c>
      <c r="G169" s="122" t="n">
        <v>4</v>
      </c>
      <c r="I169" s="58">
        <f>IF(B169&lt;&gt;"",B169,"")</f>
        <v/>
      </c>
    </row>
    <row r="170" ht="15.75" customHeight="1" s="146">
      <c r="C170" t="inlineStr">
        <is>
          <t>Tom Playford</t>
        </is>
      </c>
      <c r="D170" s="122" t="inlineStr">
        <is>
          <t>Total</t>
        </is>
      </c>
      <c r="E170" s="122" t="n">
        <v>0.95</v>
      </c>
      <c r="F170" s="122" t="n">
        <v>17</v>
      </c>
      <c r="G170" s="122" t="n">
        <v>16</v>
      </c>
      <c r="I170" s="58">
        <f>IF(B170&lt;&gt;"",B170,"")</f>
        <v/>
      </c>
    </row>
    <row r="171" ht="15.75" customHeight="1" s="146">
      <c r="D171" s="122" t="inlineStr">
        <is>
          <t>Business Matrix</t>
        </is>
      </c>
      <c r="E171" s="122" t="n">
        <v>1</v>
      </c>
      <c r="F171" s="122" t="n">
        <v>6</v>
      </c>
      <c r="G171" s="122" t="n">
        <v>6</v>
      </c>
      <c r="I171" s="58">
        <f>IF(B171&lt;&gt;"",B171,"")</f>
        <v/>
      </c>
    </row>
    <row r="172" ht="15.75" customHeight="1" s="146">
      <c r="D172" s="122" t="inlineStr">
        <is>
          <t>Customer - Utility Arboriculture</t>
        </is>
      </c>
      <c r="E172" s="122" t="n">
        <v>1</v>
      </c>
      <c r="F172" s="122" t="n">
        <v>4</v>
      </c>
      <c r="G172" s="122" t="n">
        <v>4</v>
      </c>
      <c r="I172" s="58">
        <f>IF(B172&lt;&gt;"",B172,"")</f>
        <v/>
      </c>
    </row>
    <row r="173" ht="15.75" customHeight="1" s="146">
      <c r="C173" s="122" t="n"/>
      <c r="D173" s="122" t="inlineStr">
        <is>
          <t>Arborist</t>
        </is>
      </c>
      <c r="E173" s="122" t="n">
        <v>0.86</v>
      </c>
      <c r="F173" s="122" t="n">
        <v>7</v>
      </c>
      <c r="G173" s="122" t="n">
        <v>6</v>
      </c>
      <c r="I173" s="58">
        <f>IF(B173&lt;&gt;"",B173,"")</f>
        <v/>
      </c>
    </row>
    <row r="174" ht="15.75" customHeight="1" s="146">
      <c r="B174" t="inlineStr">
        <is>
          <t>HJ Tree Services</t>
        </is>
      </c>
      <c r="C174" t="inlineStr">
        <is>
          <t>Total</t>
        </is>
      </c>
      <c r="D174" s="122" t="n"/>
      <c r="E174" s="122" t="n">
        <v>0.98</v>
      </c>
      <c r="F174" s="122" t="n">
        <v>42</v>
      </c>
      <c r="G174" s="122" t="n">
        <v>41</v>
      </c>
      <c r="H174" s="189" t="n">
        <v>44879</v>
      </c>
      <c r="I174" s="58">
        <f>IF(B174&lt;&gt;"",B174,"")</f>
        <v/>
      </c>
    </row>
    <row r="175" ht="15.75" customHeight="1" s="146">
      <c r="C175" t="inlineStr">
        <is>
          <t>Harvey Joy</t>
        </is>
      </c>
      <c r="D175" s="122" t="inlineStr">
        <is>
          <t>Total</t>
        </is>
      </c>
      <c r="E175" s="122" t="n">
        <v>1</v>
      </c>
      <c r="F175" s="122" t="n">
        <v>17</v>
      </c>
      <c r="G175" s="122" t="n">
        <v>17</v>
      </c>
      <c r="I175" s="58">
        <f>IF(B175&lt;&gt;"",B175,"")</f>
        <v/>
      </c>
    </row>
    <row r="176" ht="15.75" customHeight="1" s="146">
      <c r="C176" s="122" t="n"/>
      <c r="D176" s="122" t="inlineStr">
        <is>
          <t>Arborist</t>
        </is>
      </c>
      <c r="E176" s="122" t="n">
        <v>1</v>
      </c>
      <c r="F176" s="122" t="n">
        <v>7</v>
      </c>
      <c r="G176" s="122" t="n">
        <v>7</v>
      </c>
      <c r="I176" s="58">
        <f>IF(B176&lt;&gt;"",B176,"")</f>
        <v/>
      </c>
    </row>
    <row r="177" ht="15.75" customHeight="1" s="146">
      <c r="D177" s="122" t="inlineStr">
        <is>
          <t>Business Matrix</t>
        </is>
      </c>
      <c r="E177" s="122" t="n">
        <v>1</v>
      </c>
      <c r="F177" s="122" t="n">
        <v>6</v>
      </c>
      <c r="G177" s="122" t="n">
        <v>6</v>
      </c>
      <c r="I177" s="58">
        <f>IF(B177&lt;&gt;"",B177,"")</f>
        <v/>
      </c>
    </row>
    <row r="178" ht="15.75" customHeight="1" s="146">
      <c r="D178" s="122" t="inlineStr">
        <is>
          <t>Customer - Utility Arboriculture</t>
        </is>
      </c>
      <c r="E178" s="122" t="n">
        <v>1</v>
      </c>
      <c r="F178" s="122" t="n">
        <v>4</v>
      </c>
      <c r="G178" s="122" t="n">
        <v>4</v>
      </c>
      <c r="I178" s="58">
        <f>IF(B178&lt;&gt;"",B178,"")</f>
        <v/>
      </c>
    </row>
    <row r="179" ht="15.75" customHeight="1" s="146">
      <c r="C179" s="122" t="inlineStr">
        <is>
          <t>HJ Tree Services</t>
        </is>
      </c>
      <c r="D179" s="122" t="inlineStr">
        <is>
          <t>Total</t>
        </is>
      </c>
      <c r="E179" s="122" t="n">
        <v>1</v>
      </c>
      <c r="F179" s="122" t="n">
        <v>4</v>
      </c>
      <c r="G179" s="122" t="n">
        <v>4</v>
      </c>
      <c r="I179" s="58">
        <f>IF(B179&lt;&gt;"",B179,"")</f>
        <v/>
      </c>
    </row>
    <row r="180" ht="15.75" customHeight="1" s="146">
      <c r="D180" s="122" t="inlineStr">
        <is>
          <t>Team Matrix</t>
        </is>
      </c>
      <c r="E180" s="122" t="n">
        <v>1</v>
      </c>
      <c r="F180" s="122" t="n">
        <v>4</v>
      </c>
      <c r="G180" s="122" t="n">
        <v>4</v>
      </c>
      <c r="I180" s="58">
        <f>IF(B180&lt;&gt;"",B180,"")</f>
        <v/>
      </c>
    </row>
    <row r="181" ht="15.75" customHeight="1" s="146">
      <c r="C181" t="inlineStr">
        <is>
          <t>Hywel Jones Tree Services .</t>
        </is>
      </c>
      <c r="D181" s="122" t="inlineStr">
        <is>
          <t>Total</t>
        </is>
      </c>
      <c r="E181" s="122" t="n">
        <v>1</v>
      </c>
      <c r="F181" s="122" t="n">
        <v>4</v>
      </c>
      <c r="G181" s="122" t="n">
        <v>4</v>
      </c>
      <c r="I181" s="58">
        <f>IF(B181&lt;&gt;"",B181,"")</f>
        <v/>
      </c>
    </row>
    <row r="182" ht="15.75" customHeight="1" s="146">
      <c r="D182" s="122" t="inlineStr">
        <is>
          <t>Team Matrix</t>
        </is>
      </c>
      <c r="E182" s="122" t="n">
        <v>1</v>
      </c>
      <c r="F182" s="122" t="n">
        <v>4</v>
      </c>
      <c r="G182" s="122" t="n">
        <v>4</v>
      </c>
      <c r="I182" s="58">
        <f>IF(B182&lt;&gt;"",B182,"")</f>
        <v/>
      </c>
    </row>
    <row r="183" ht="15.75" customHeight="1" s="146">
      <c r="C183" s="122" t="inlineStr">
        <is>
          <t>Cory Joy</t>
        </is>
      </c>
      <c r="D183" s="122" t="inlineStr">
        <is>
          <t>Total</t>
        </is>
      </c>
      <c r="E183" s="122" t="n">
        <v>0.95</v>
      </c>
      <c r="F183" s="122" t="n">
        <v>17</v>
      </c>
      <c r="G183" s="122" t="n">
        <v>16</v>
      </c>
      <c r="I183" s="58">
        <f>IF(B183&lt;&gt;"",B183,"")</f>
        <v/>
      </c>
    </row>
    <row r="184" ht="15.75" customHeight="1" s="146">
      <c r="D184" s="122" t="inlineStr">
        <is>
          <t>Business Matrix</t>
        </is>
      </c>
      <c r="E184" s="122" t="n">
        <v>1</v>
      </c>
      <c r="F184" s="122" t="n">
        <v>6</v>
      </c>
      <c r="G184" s="122" t="n">
        <v>6</v>
      </c>
      <c r="I184" s="58">
        <f>IF(B184&lt;&gt;"",B184,"")</f>
        <v/>
      </c>
    </row>
    <row r="185" ht="15.75" customHeight="1" s="146">
      <c r="B185" s="122" t="n"/>
      <c r="C185" s="122" t="n"/>
      <c r="D185" t="inlineStr">
        <is>
          <t>Customer - Utility Arboriculture</t>
        </is>
      </c>
      <c r="E185" s="122" t="n">
        <v>1</v>
      </c>
      <c r="F185" s="122" t="n">
        <v>4</v>
      </c>
      <c r="G185" s="122" t="n">
        <v>4</v>
      </c>
      <c r="H185" s="57" t="n"/>
      <c r="I185" s="58">
        <f>IF(B185&lt;&gt;"",B185,"")</f>
        <v/>
      </c>
    </row>
    <row r="186" ht="15.75" customHeight="1" s="146">
      <c r="C186" s="122" t="n"/>
      <c r="D186" s="122" t="inlineStr">
        <is>
          <t>Arborist</t>
        </is>
      </c>
      <c r="E186" s="122" t="n">
        <v>0.86</v>
      </c>
      <c r="F186" s="122" t="n">
        <v>7</v>
      </c>
      <c r="G186" s="122" t="n">
        <v>6</v>
      </c>
      <c r="I186" s="58">
        <f>IF(B186&lt;&gt;"",B186,"")</f>
        <v/>
      </c>
    </row>
    <row r="187" ht="15.75" customHeight="1" s="146">
      <c r="B187" t="inlineStr">
        <is>
          <t>MAC Tree Surgery and Fencing Ltd</t>
        </is>
      </c>
      <c r="C187" t="inlineStr">
        <is>
          <t>Total</t>
        </is>
      </c>
      <c r="D187" s="122" t="n"/>
      <c r="E187" s="122" t="n">
        <v>0.98</v>
      </c>
      <c r="F187" s="122" t="n">
        <v>36</v>
      </c>
      <c r="G187" s="122" t="n">
        <v>35</v>
      </c>
      <c r="H187" s="189" t="n">
        <v>45260</v>
      </c>
      <c r="I187" s="58">
        <f>IF(B187&lt;&gt;"",B187,"")</f>
        <v/>
      </c>
    </row>
    <row r="188" ht="15.75" customHeight="1" s="146">
      <c r="C188" t="inlineStr">
        <is>
          <t>Lewis Macnicol</t>
        </is>
      </c>
      <c r="D188" s="122" t="inlineStr">
        <is>
          <t>Total</t>
        </is>
      </c>
      <c r="E188" s="122" t="n">
        <v>1</v>
      </c>
      <c r="F188" s="122" t="n">
        <v>17</v>
      </c>
      <c r="G188" s="122" t="n">
        <v>17</v>
      </c>
      <c r="I188" s="58">
        <f>IF(B188&lt;&gt;"",B188,"")</f>
        <v/>
      </c>
    </row>
    <row r="189" ht="15.75" customHeight="1" s="146">
      <c r="D189" s="122" t="inlineStr">
        <is>
          <t>Arborist</t>
        </is>
      </c>
      <c r="E189" s="122" t="n">
        <v>1</v>
      </c>
      <c r="F189" s="122" t="n">
        <v>7</v>
      </c>
      <c r="G189" s="122" t="n">
        <v>7</v>
      </c>
      <c r="I189" s="58">
        <f>IF(B189&lt;&gt;"",B189,"")</f>
        <v/>
      </c>
    </row>
    <row r="190" ht="15.75" customHeight="1" s="146">
      <c r="C190" s="122" t="n"/>
      <c r="D190" s="122" t="inlineStr">
        <is>
          <t>Business Matrix</t>
        </is>
      </c>
      <c r="E190" s="122" t="n">
        <v>1</v>
      </c>
      <c r="F190" s="122" t="n">
        <v>6</v>
      </c>
      <c r="G190" s="122" t="n">
        <v>6</v>
      </c>
      <c r="I190" s="58">
        <f>IF(B190&lt;&gt;"",B190,"")</f>
        <v/>
      </c>
    </row>
    <row r="191" ht="15.75" customHeight="1" s="146">
      <c r="D191" s="122" t="inlineStr">
        <is>
          <t>Customer - Utility Arboriculture</t>
        </is>
      </c>
      <c r="E191" s="122" t="n">
        <v>1</v>
      </c>
      <c r="F191" s="122" t="n">
        <v>4</v>
      </c>
      <c r="G191" s="122" t="n">
        <v>4</v>
      </c>
      <c r="I191" s="58">
        <f>IF(B191&lt;&gt;"",B191,"")</f>
        <v/>
      </c>
    </row>
    <row r="192" ht="15.75" customHeight="1" s="146">
      <c r="C192" t="inlineStr">
        <is>
          <t>MAC Trees and Fencing .</t>
        </is>
      </c>
      <c r="D192" s="122" t="inlineStr">
        <is>
          <t>Total</t>
        </is>
      </c>
      <c r="E192" s="122" t="n">
        <v>1</v>
      </c>
      <c r="F192" s="122" t="n">
        <v>4</v>
      </c>
      <c r="G192" s="122" t="n">
        <v>4</v>
      </c>
      <c r="I192" s="58">
        <f>IF(B192&lt;&gt;"",B192,"")</f>
        <v/>
      </c>
    </row>
    <row r="193" ht="15.75" customHeight="1" s="146">
      <c r="D193" s="122" t="inlineStr">
        <is>
          <t>Team Matrix</t>
        </is>
      </c>
      <c r="E193" s="122" t="n">
        <v>1</v>
      </c>
      <c r="F193" s="122" t="n">
        <v>4</v>
      </c>
      <c r="G193" s="122" t="n">
        <v>4</v>
      </c>
      <c r="I193" s="58">
        <f>IF(B193&lt;&gt;"",B193,"")</f>
        <v/>
      </c>
    </row>
    <row r="194" ht="15.75" customHeight="1" s="146">
      <c r="C194" s="122" t="inlineStr">
        <is>
          <t>Patrick Oshea</t>
        </is>
      </c>
      <c r="D194" s="122" t="inlineStr">
        <is>
          <t>Total</t>
        </is>
      </c>
      <c r="E194" s="122" t="n">
        <v>0.9400000000000001</v>
      </c>
      <c r="F194" s="122" t="n">
        <v>15</v>
      </c>
      <c r="G194" s="122" t="n">
        <v>14</v>
      </c>
      <c r="I194" s="58">
        <f>IF(B194&lt;&gt;"",B194,"")</f>
        <v/>
      </c>
    </row>
    <row r="195" ht="15.75" customHeight="1" s="146">
      <c r="D195" s="122" t="inlineStr">
        <is>
          <t>Customer - Utility Arboriculture</t>
        </is>
      </c>
      <c r="E195" s="122" t="n">
        <v>1</v>
      </c>
      <c r="F195" s="122" t="n">
        <v>4</v>
      </c>
      <c r="G195" s="122" t="n">
        <v>4</v>
      </c>
      <c r="I195" s="58">
        <f>IF(B195&lt;&gt;"",B195,"")</f>
        <v/>
      </c>
    </row>
    <row r="196" ht="15.75" customHeight="1" s="146">
      <c r="D196" s="122" t="inlineStr">
        <is>
          <t>Grounds Person</t>
        </is>
      </c>
      <c r="E196" s="122" t="n">
        <v>1</v>
      </c>
      <c r="F196" s="122" t="n">
        <v>5</v>
      </c>
      <c r="G196" s="122" t="n">
        <v>5</v>
      </c>
      <c r="I196" s="58">
        <f>IF(B196&lt;&gt;"",B196,"")</f>
        <v/>
      </c>
    </row>
    <row r="197" ht="15.75" customHeight="1" s="146">
      <c r="D197" s="122" t="inlineStr">
        <is>
          <t>Business Matrix</t>
        </is>
      </c>
      <c r="E197" s="122" t="n">
        <v>0.84</v>
      </c>
      <c r="F197" s="122" t="n">
        <v>6</v>
      </c>
      <c r="G197" s="122" t="n">
        <v>5</v>
      </c>
      <c r="I197" s="58">
        <f>IF(B197&lt;&gt;"",B197,"")</f>
        <v/>
      </c>
    </row>
    <row r="198" ht="15.75" customHeight="1" s="146">
      <c r="B198" t="inlineStr">
        <is>
          <t>RFP Tree and Landscape Services Ltd</t>
        </is>
      </c>
      <c r="C198" s="122" t="inlineStr">
        <is>
          <t>Total</t>
        </is>
      </c>
      <c r="D198" s="122" t="n"/>
      <c r="E198" s="122" t="n">
        <v>0.98</v>
      </c>
      <c r="F198" s="122" t="n">
        <v>175</v>
      </c>
      <c r="G198" s="122" t="n">
        <v>171</v>
      </c>
      <c r="H198" s="189" t="n">
        <v>44601</v>
      </c>
      <c r="I198" s="58">
        <f>IF(B198&lt;&gt;"",B198,"")</f>
        <v/>
      </c>
    </row>
    <row r="199" ht="15.75" customHeight="1" s="146">
      <c r="C199" t="inlineStr">
        <is>
          <t>Brecon Lee</t>
        </is>
      </c>
      <c r="D199" s="122" t="inlineStr">
        <is>
          <t>Total</t>
        </is>
      </c>
      <c r="E199" s="122" t="n">
        <v>1</v>
      </c>
      <c r="F199" s="122" t="n">
        <v>17</v>
      </c>
      <c r="G199" s="122" t="n">
        <v>17</v>
      </c>
      <c r="I199" s="58">
        <f>IF(B199&lt;&gt;"",B199,"")</f>
        <v/>
      </c>
    </row>
    <row r="200" ht="15.75" customHeight="1" s="146">
      <c r="C200" s="122" t="n"/>
      <c r="D200" s="122" t="inlineStr">
        <is>
          <t>Arborist</t>
        </is>
      </c>
      <c r="E200" s="122" t="n">
        <v>1</v>
      </c>
      <c r="F200" s="122" t="n">
        <v>7</v>
      </c>
      <c r="G200" s="122" t="n">
        <v>7</v>
      </c>
      <c r="I200" s="58">
        <f>IF(B200&lt;&gt;"",B200,"")</f>
        <v/>
      </c>
    </row>
    <row r="201" ht="15.75" customHeight="1" s="146">
      <c r="D201" s="122" t="inlineStr">
        <is>
          <t>Business Matrix</t>
        </is>
      </c>
      <c r="E201" s="122" t="n">
        <v>1</v>
      </c>
      <c r="F201" s="122" t="n">
        <v>6</v>
      </c>
      <c r="G201" s="122" t="n">
        <v>6</v>
      </c>
      <c r="I201" s="58">
        <f>IF(B201&lt;&gt;"",B201,"")</f>
        <v/>
      </c>
    </row>
    <row r="202" ht="15.75" customHeight="1" s="146">
      <c r="D202" s="122" t="inlineStr">
        <is>
          <t>Customer - Utility Arboriculture</t>
        </is>
      </c>
      <c r="E202" s="122" t="n">
        <v>1</v>
      </c>
      <c r="F202" s="122" t="n">
        <v>4</v>
      </c>
      <c r="G202" s="122" t="n">
        <v>4</v>
      </c>
      <c r="I202" s="58">
        <f>IF(B202&lt;&gt;"",B202,"")</f>
        <v/>
      </c>
    </row>
    <row r="203" ht="15.75" customHeight="1" s="146">
      <c r="C203" t="inlineStr">
        <is>
          <t>Callum Gulliver</t>
        </is>
      </c>
      <c r="D203" s="122" t="inlineStr">
        <is>
          <t>Total</t>
        </is>
      </c>
      <c r="E203" s="122" t="n">
        <v>1</v>
      </c>
      <c r="F203" s="122" t="n">
        <v>17</v>
      </c>
      <c r="G203" s="122" t="n">
        <v>17</v>
      </c>
      <c r="I203" s="58">
        <f>IF(B203&lt;&gt;"",B203,"")</f>
        <v/>
      </c>
    </row>
    <row r="204" ht="15.75" customHeight="1" s="146">
      <c r="C204" s="122" t="n"/>
      <c r="D204" s="122" t="inlineStr">
        <is>
          <t>Arborist</t>
        </is>
      </c>
      <c r="E204" s="122" t="n">
        <v>1</v>
      </c>
      <c r="F204" s="122" t="n">
        <v>7</v>
      </c>
      <c r="G204" s="122" t="n">
        <v>7</v>
      </c>
      <c r="I204" s="58">
        <f>IF(B204&lt;&gt;"",B204,"")</f>
        <v/>
      </c>
    </row>
    <row r="205" ht="15.75" customHeight="1" s="146">
      <c r="D205" s="122" t="inlineStr">
        <is>
          <t>Business Matrix</t>
        </is>
      </c>
      <c r="E205" s="122" t="n">
        <v>1</v>
      </c>
      <c r="F205" s="122" t="n">
        <v>6</v>
      </c>
      <c r="G205" s="122" t="n">
        <v>6</v>
      </c>
      <c r="I205" s="58">
        <f>IF(B205&lt;&gt;"",B205,"")</f>
        <v/>
      </c>
    </row>
    <row r="206" ht="15.75" customHeight="1" s="146">
      <c r="D206" s="122" t="inlineStr">
        <is>
          <t>Customer - Utility Arboriculture</t>
        </is>
      </c>
      <c r="E206" s="122" t="n">
        <v>1</v>
      </c>
      <c r="F206" s="122" t="n">
        <v>4</v>
      </c>
      <c r="G206" s="122" t="n">
        <v>4</v>
      </c>
      <c r="I206" s="58">
        <f>IF(B206&lt;&gt;"",B206,"")</f>
        <v/>
      </c>
    </row>
    <row r="207" ht="15.75" customHeight="1" s="146">
      <c r="C207" t="inlineStr">
        <is>
          <t>Christopher 'Billy' Rhodes</t>
        </is>
      </c>
      <c r="D207" s="122" t="inlineStr">
        <is>
          <t>Total</t>
        </is>
      </c>
      <c r="E207" s="122" t="n">
        <v>1</v>
      </c>
      <c r="F207" s="122" t="n">
        <v>17</v>
      </c>
      <c r="G207" s="122" t="n">
        <v>17</v>
      </c>
      <c r="I207" s="58">
        <f>IF(B207&lt;&gt;"",B207,"")</f>
        <v/>
      </c>
    </row>
    <row r="208" ht="15.75" customHeight="1" s="146">
      <c r="B208" s="122" t="n"/>
      <c r="C208" s="122" t="n"/>
      <c r="D208" t="inlineStr">
        <is>
          <t>Arborist</t>
        </is>
      </c>
      <c r="E208" s="122" t="n">
        <v>1</v>
      </c>
      <c r="F208" s="122" t="n">
        <v>7</v>
      </c>
      <c r="G208" s="122" t="n">
        <v>7</v>
      </c>
      <c r="H208" s="57" t="n"/>
      <c r="I208" s="58">
        <f>IF(B208&lt;&gt;"",B208,"")</f>
        <v/>
      </c>
    </row>
    <row r="209" ht="15.75" customHeight="1" s="146">
      <c r="C209" s="122" t="n"/>
      <c r="D209" s="122" t="inlineStr">
        <is>
          <t>Business Matrix</t>
        </is>
      </c>
      <c r="E209" s="122" t="n">
        <v>1</v>
      </c>
      <c r="F209" s="122" t="n">
        <v>6</v>
      </c>
      <c r="G209" s="122" t="n">
        <v>6</v>
      </c>
      <c r="I209" s="58">
        <f>IF(B209&lt;&gt;"",B209,"")</f>
        <v/>
      </c>
    </row>
    <row r="210" ht="15.75" customHeight="1" s="146">
      <c r="D210" s="122" t="inlineStr">
        <is>
          <t>Customer - Utility Arboriculture</t>
        </is>
      </c>
      <c r="E210" s="122" t="n">
        <v>1</v>
      </c>
      <c r="F210" s="122" t="n">
        <v>4</v>
      </c>
      <c r="G210" s="122" t="n">
        <v>4</v>
      </c>
      <c r="I210" s="58">
        <f>IF(B210&lt;&gt;"",B210,"")</f>
        <v/>
      </c>
    </row>
    <row r="211" ht="15.75" customHeight="1" s="146">
      <c r="C211" t="inlineStr">
        <is>
          <t>Georgie Gough</t>
        </is>
      </c>
      <c r="D211" s="122" t="inlineStr">
        <is>
          <t>Total</t>
        </is>
      </c>
      <c r="E211" s="122" t="n">
        <v>1</v>
      </c>
      <c r="F211" s="122" t="n">
        <v>17</v>
      </c>
      <c r="G211" s="122" t="n">
        <v>17</v>
      </c>
      <c r="I211" s="58">
        <f>IF(B211&lt;&gt;"",B211,"")</f>
        <v/>
      </c>
    </row>
    <row r="212" ht="15.75" customHeight="1" s="146">
      <c r="D212" s="122" t="inlineStr">
        <is>
          <t>Arborist</t>
        </is>
      </c>
      <c r="E212" s="122" t="n">
        <v>1</v>
      </c>
      <c r="F212" s="122" t="n">
        <v>7</v>
      </c>
      <c r="G212" s="122" t="n">
        <v>7</v>
      </c>
      <c r="I212" s="58">
        <f>IF(B212&lt;&gt;"",B212,"")</f>
        <v/>
      </c>
    </row>
    <row r="213" ht="15.75" customHeight="1" s="146">
      <c r="C213" s="122" t="n"/>
      <c r="D213" s="122" t="inlineStr">
        <is>
          <t>Business Matrix</t>
        </is>
      </c>
      <c r="E213" s="122" t="n">
        <v>1</v>
      </c>
      <c r="F213" s="122" t="n">
        <v>6</v>
      </c>
      <c r="G213" s="122" t="n">
        <v>6</v>
      </c>
      <c r="I213" s="58">
        <f>IF(B213&lt;&gt;"",B213,"")</f>
        <v/>
      </c>
    </row>
    <row r="214" ht="15.75" customHeight="1" s="146">
      <c r="D214" s="122" t="inlineStr">
        <is>
          <t>Customer - Utility Arboriculture</t>
        </is>
      </c>
      <c r="E214" s="122" t="n">
        <v>1</v>
      </c>
      <c r="F214" s="122" t="n">
        <v>4</v>
      </c>
      <c r="G214" s="122" t="n">
        <v>4</v>
      </c>
      <c r="I214" s="58">
        <f>IF(B214&lt;&gt;"",B214,"")</f>
        <v/>
      </c>
    </row>
    <row r="215" ht="15.75" customHeight="1" s="146">
      <c r="C215" s="122" t="inlineStr">
        <is>
          <t>James Mitton</t>
        </is>
      </c>
      <c r="D215" s="122" t="inlineStr">
        <is>
          <t>Total</t>
        </is>
      </c>
      <c r="E215" s="122" t="n">
        <v>1</v>
      </c>
      <c r="F215" s="122" t="n">
        <v>6</v>
      </c>
      <c r="G215" s="122" t="n">
        <v>6</v>
      </c>
      <c r="I215" s="58">
        <f>IF(B215&lt;&gt;"",B215,"")</f>
        <v/>
      </c>
    </row>
    <row r="216" ht="15.75" customHeight="1" s="146">
      <c r="D216" s="122" t="inlineStr">
        <is>
          <t>Business Matrix</t>
        </is>
      </c>
      <c r="E216" s="122" t="n">
        <v>1</v>
      </c>
      <c r="F216" s="122" t="n">
        <v>6</v>
      </c>
      <c r="G216" s="122" t="n">
        <v>6</v>
      </c>
      <c r="I216" s="58">
        <f>IF(B216&lt;&gt;"",B216,"")</f>
        <v/>
      </c>
    </row>
    <row r="217" ht="15.75" customHeight="1" s="146">
      <c r="C217" t="inlineStr">
        <is>
          <t>Luke Trim</t>
        </is>
      </c>
      <c r="D217" s="122" t="inlineStr">
        <is>
          <t>Total</t>
        </is>
      </c>
      <c r="E217" s="122" t="n">
        <v>1</v>
      </c>
      <c r="F217" s="122" t="n">
        <v>6</v>
      </c>
      <c r="G217" s="122" t="n">
        <v>6</v>
      </c>
      <c r="I217" s="58">
        <f>IF(B217&lt;&gt;"",B217,"")</f>
        <v/>
      </c>
    </row>
    <row r="218" ht="15.75" customHeight="1" s="146">
      <c r="D218" s="122" t="inlineStr">
        <is>
          <t>Business Matrix</t>
        </is>
      </c>
      <c r="E218" s="122" t="n">
        <v>1</v>
      </c>
      <c r="F218" s="122" t="n">
        <v>6</v>
      </c>
      <c r="G218" s="122" t="n">
        <v>6</v>
      </c>
      <c r="I218" s="58">
        <f>IF(B218&lt;&gt;"",B218,"")</f>
        <v/>
      </c>
    </row>
    <row r="219" ht="15.75" customHeight="1" s="146">
      <c r="C219" s="122" t="inlineStr">
        <is>
          <t>Mark Gough</t>
        </is>
      </c>
      <c r="D219" s="122" t="inlineStr">
        <is>
          <t>Total</t>
        </is>
      </c>
      <c r="E219" s="122" t="n">
        <v>1</v>
      </c>
      <c r="F219" s="122" t="n">
        <v>17</v>
      </c>
      <c r="G219" s="122" t="n">
        <v>17</v>
      </c>
      <c r="I219" s="58">
        <f>IF(B219&lt;&gt;"",B219,"")</f>
        <v/>
      </c>
    </row>
    <row r="220" ht="15.75" customHeight="1" s="146">
      <c r="D220" s="122" t="inlineStr">
        <is>
          <t>Arborist</t>
        </is>
      </c>
      <c r="E220" s="122" t="n">
        <v>1</v>
      </c>
      <c r="F220" s="122" t="n">
        <v>7</v>
      </c>
      <c r="G220" s="122" t="n">
        <v>7</v>
      </c>
      <c r="I220" s="58">
        <f>IF(B220&lt;&gt;"",B220,"")</f>
        <v/>
      </c>
    </row>
    <row r="221" ht="15.75" customHeight="1" s="146">
      <c r="D221" s="122" t="inlineStr">
        <is>
          <t>Business Matrix</t>
        </is>
      </c>
      <c r="E221" s="122" t="n">
        <v>1</v>
      </c>
      <c r="F221" s="122" t="n">
        <v>6</v>
      </c>
      <c r="G221" s="122" t="n">
        <v>6</v>
      </c>
      <c r="I221" s="58">
        <f>IF(B221&lt;&gt;"",B221,"")</f>
        <v/>
      </c>
    </row>
    <row r="222" ht="15.75" customHeight="1" s="146">
      <c r="D222" s="122" t="inlineStr">
        <is>
          <t>Customer - Utility Arboriculture</t>
        </is>
      </c>
      <c r="E222" s="122" t="n">
        <v>1</v>
      </c>
      <c r="F222" s="122" t="n">
        <v>4</v>
      </c>
      <c r="G222" s="122" t="n">
        <v>4</v>
      </c>
      <c r="I222" s="58">
        <f>IF(B222&lt;&gt;"",B222,"")</f>
        <v/>
      </c>
    </row>
    <row r="223" ht="15.75" customHeight="1" s="146">
      <c r="C223" s="122" t="inlineStr">
        <is>
          <t>Ollie Edgar</t>
        </is>
      </c>
      <c r="D223" s="122" t="inlineStr">
        <is>
          <t>Total</t>
        </is>
      </c>
      <c r="E223" s="122" t="n">
        <v>1</v>
      </c>
      <c r="F223" s="122" t="n">
        <v>17</v>
      </c>
      <c r="G223" s="122" t="n">
        <v>17</v>
      </c>
      <c r="I223" s="58">
        <f>IF(B223&lt;&gt;"",B223,"")</f>
        <v/>
      </c>
    </row>
    <row r="224" ht="15.75" customHeight="1" s="146">
      <c r="D224" s="122" t="inlineStr">
        <is>
          <t>Arborist</t>
        </is>
      </c>
      <c r="E224" s="122" t="n">
        <v>1</v>
      </c>
      <c r="F224" s="122" t="n">
        <v>7</v>
      </c>
      <c r="G224" s="122" t="n">
        <v>7</v>
      </c>
      <c r="I224" s="58">
        <f>IF(B224&lt;&gt;"",B224,"")</f>
        <v/>
      </c>
    </row>
    <row r="225" ht="15.75" customHeight="1" s="146">
      <c r="D225" s="122" t="inlineStr">
        <is>
          <t>Business Matrix</t>
        </is>
      </c>
      <c r="E225" s="122" t="n">
        <v>1</v>
      </c>
      <c r="F225" s="122" t="n">
        <v>6</v>
      </c>
      <c r="G225" s="122" t="n">
        <v>6</v>
      </c>
      <c r="I225" s="58">
        <f>IF(B225&lt;&gt;"",B225,"")</f>
        <v/>
      </c>
    </row>
    <row r="226" ht="15.75" customHeight="1" s="146">
      <c r="D226" s="122" t="inlineStr">
        <is>
          <t>Customer - Utility Arboriculture</t>
        </is>
      </c>
      <c r="E226" s="122" t="n">
        <v>1</v>
      </c>
      <c r="F226" s="122" t="n">
        <v>4</v>
      </c>
      <c r="G226" s="122" t="n">
        <v>4</v>
      </c>
      <c r="I226" s="58">
        <f>IF(B226&lt;&gt;"",B226,"")</f>
        <v/>
      </c>
    </row>
    <row r="227" ht="15.75" customHeight="1" s="146">
      <c r="B227" s="122" t="n"/>
      <c r="C227" s="122" t="inlineStr">
        <is>
          <t>RFP Tree and Landscape Services Ltd .</t>
        </is>
      </c>
      <c r="D227" t="inlineStr">
        <is>
          <t>Total</t>
        </is>
      </c>
      <c r="E227" s="122" t="n">
        <v>1</v>
      </c>
      <c r="F227" s="122" t="n">
        <v>4</v>
      </c>
      <c r="G227" s="122" t="n">
        <v>4</v>
      </c>
      <c r="H227" s="57" t="n"/>
      <c r="I227" s="58">
        <f>IF(B227&lt;&gt;"",B227,"")</f>
        <v/>
      </c>
    </row>
    <row r="228" ht="15.75" customHeight="1" s="146">
      <c r="C228" s="122" t="n"/>
      <c r="D228" s="122" t="inlineStr">
        <is>
          <t>Team Matrix</t>
        </is>
      </c>
      <c r="E228" s="122" t="n">
        <v>1</v>
      </c>
      <c r="F228" s="122" t="n">
        <v>4</v>
      </c>
      <c r="G228" s="122" t="n">
        <v>4</v>
      </c>
      <c r="I228" s="58">
        <f>IF(B228&lt;&gt;"",B228,"")</f>
        <v/>
      </c>
    </row>
    <row r="229" ht="15.75" customHeight="1" s="146">
      <c r="C229" t="inlineStr">
        <is>
          <t>Samuel Badger</t>
        </is>
      </c>
      <c r="D229" s="122" t="inlineStr">
        <is>
          <t>Total</t>
        </is>
      </c>
      <c r="E229" s="122" t="n">
        <v>1</v>
      </c>
      <c r="F229" s="122" t="n">
        <v>17</v>
      </c>
      <c r="G229" s="122" t="n">
        <v>17</v>
      </c>
      <c r="I229" s="58">
        <f>IF(B229&lt;&gt;"",B229,"")</f>
        <v/>
      </c>
    </row>
    <row r="230" ht="15.75" customHeight="1" s="146">
      <c r="D230" s="122" t="inlineStr">
        <is>
          <t>Arborist</t>
        </is>
      </c>
      <c r="E230" s="122" t="n">
        <v>1</v>
      </c>
      <c r="F230" s="122" t="n">
        <v>7</v>
      </c>
      <c r="G230" s="122" t="n">
        <v>7</v>
      </c>
      <c r="I230" s="58">
        <f>IF(B230&lt;&gt;"",B230,"")</f>
        <v/>
      </c>
    </row>
    <row r="231" ht="15.75" customHeight="1" s="146">
      <c r="D231" s="122" t="inlineStr">
        <is>
          <t>Business Matrix</t>
        </is>
      </c>
      <c r="E231" s="122" t="n">
        <v>1</v>
      </c>
      <c r="F231" s="122" t="n">
        <v>6</v>
      </c>
      <c r="G231" s="122" t="n">
        <v>6</v>
      </c>
      <c r="I231" s="58">
        <f>IF(B231&lt;&gt;"",B231,"")</f>
        <v/>
      </c>
    </row>
    <row r="232" ht="15.75" customHeight="1" s="146">
      <c r="C232" s="122" t="n"/>
      <c r="D232" s="122" t="inlineStr">
        <is>
          <t>Customer - Utility Arboriculture</t>
        </is>
      </c>
      <c r="E232" s="122" t="n">
        <v>1</v>
      </c>
      <c r="F232" s="122" t="n">
        <v>4</v>
      </c>
      <c r="G232" s="122" t="n">
        <v>4</v>
      </c>
      <c r="I232" s="58">
        <f>IF(B232&lt;&gt;"",B232,"")</f>
        <v/>
      </c>
    </row>
    <row r="233" ht="15.75" customHeight="1" s="146">
      <c r="C233" t="inlineStr">
        <is>
          <t>Wayne Russ</t>
        </is>
      </c>
      <c r="D233" s="122" t="inlineStr">
        <is>
          <t>Total</t>
        </is>
      </c>
      <c r="E233" s="122" t="n">
        <v>1</v>
      </c>
      <c r="F233" s="122" t="n">
        <v>17</v>
      </c>
      <c r="G233" s="122" t="n">
        <v>17</v>
      </c>
      <c r="I233" s="58">
        <f>IF(B233&lt;&gt;"",B233,"")</f>
        <v/>
      </c>
    </row>
    <row r="234" ht="15.75" customHeight="1" s="146">
      <c r="D234" s="122" t="inlineStr">
        <is>
          <t>Arborist</t>
        </is>
      </c>
      <c r="E234" s="122" t="n">
        <v>1</v>
      </c>
      <c r="F234" s="122" t="n">
        <v>7</v>
      </c>
      <c r="G234" s="122" t="n">
        <v>7</v>
      </c>
      <c r="I234" s="58">
        <f>IF(B234&lt;&gt;"",B234,"")</f>
        <v/>
      </c>
    </row>
    <row r="235" ht="15.75" customHeight="1" s="146">
      <c r="D235" s="122" t="inlineStr">
        <is>
          <t>Business Matrix</t>
        </is>
      </c>
      <c r="E235" s="122" t="n">
        <v>1</v>
      </c>
      <c r="F235" s="122" t="n">
        <v>6</v>
      </c>
      <c r="G235" s="122" t="n">
        <v>6</v>
      </c>
      <c r="I235" s="58">
        <f>IF(B235&lt;&gt;"",B235,"")</f>
        <v/>
      </c>
    </row>
    <row r="236" ht="15.75" customHeight="1" s="146">
      <c r="C236" s="122" t="n"/>
      <c r="D236" s="122" t="inlineStr">
        <is>
          <t>Customer - Utility Arboriculture</t>
        </is>
      </c>
      <c r="E236" s="122" t="n">
        <v>1</v>
      </c>
      <c r="F236" s="122" t="n">
        <v>4</v>
      </c>
      <c r="G236" s="122" t="n">
        <v>4</v>
      </c>
      <c r="I236" s="58">
        <f>IF(B236&lt;&gt;"",B236,"")</f>
        <v/>
      </c>
    </row>
    <row r="237" ht="15.75" customHeight="1" s="146">
      <c r="C237" t="inlineStr">
        <is>
          <t>William Keel</t>
        </is>
      </c>
      <c r="D237" s="122" t="inlineStr">
        <is>
          <t>Total</t>
        </is>
      </c>
      <c r="E237" s="122" t="n">
        <v>1</v>
      </c>
      <c r="F237" s="122" t="n">
        <v>6</v>
      </c>
      <c r="G237" s="122" t="n">
        <v>6</v>
      </c>
      <c r="I237" s="58">
        <f>IF(B237&lt;&gt;"",B237,"")</f>
        <v/>
      </c>
    </row>
    <row r="238" ht="15.75" customHeight="1" s="146">
      <c r="B238" s="122" t="n"/>
      <c r="C238" s="122" t="n"/>
      <c r="D238" t="inlineStr">
        <is>
          <t>Business Matrix</t>
        </is>
      </c>
      <c r="E238" s="122" t="n">
        <v>1</v>
      </c>
      <c r="F238" s="122" t="n">
        <v>6</v>
      </c>
      <c r="G238" s="122" t="n">
        <v>6</v>
      </c>
      <c r="H238" s="57" t="n"/>
      <c r="I238" s="58">
        <f>IF(B238&lt;&gt;"",B238,"")</f>
        <v/>
      </c>
    </row>
    <row r="239" ht="15.75" customHeight="1" s="146">
      <c r="C239" s="122" t="inlineStr">
        <is>
          <t>Jantzen Bird</t>
        </is>
      </c>
      <c r="D239" s="122" t="inlineStr">
        <is>
          <t>Total</t>
        </is>
      </c>
      <c r="E239" s="122" t="n">
        <v>0.77</v>
      </c>
      <c r="F239" s="122" t="n">
        <v>17</v>
      </c>
      <c r="G239" s="122" t="n">
        <v>13</v>
      </c>
      <c r="I239" s="58">
        <f>IF(B239&lt;&gt;"",B239,"")</f>
        <v/>
      </c>
    </row>
    <row r="240" ht="15.75" customHeight="1" s="146">
      <c r="D240" s="122" t="inlineStr">
        <is>
          <t>Business Matrix</t>
        </is>
      </c>
      <c r="E240" s="122" t="n">
        <v>1</v>
      </c>
      <c r="F240" s="122" t="n">
        <v>6</v>
      </c>
      <c r="G240" s="122" t="n">
        <v>6</v>
      </c>
      <c r="I240" s="58">
        <f>IF(B240&lt;&gt;"",B240,"")</f>
        <v/>
      </c>
    </row>
    <row r="241" ht="15.75" customHeight="1" s="146">
      <c r="D241" s="122" t="inlineStr">
        <is>
          <t>Arborist</t>
        </is>
      </c>
      <c r="E241" s="122" t="n">
        <v>0.86</v>
      </c>
      <c r="F241" s="122" t="n">
        <v>7</v>
      </c>
      <c r="G241" s="122" t="n">
        <v>6</v>
      </c>
      <c r="I241" s="58">
        <f>IF(B241&lt;&gt;"",B241,"")</f>
        <v/>
      </c>
    </row>
    <row r="242" ht="15.75" customHeight="1" s="146">
      <c r="D242" s="122" t="inlineStr">
        <is>
          <t>Customer - Utility Arboriculture</t>
        </is>
      </c>
      <c r="E242" s="122" t="n">
        <v>0.25</v>
      </c>
      <c r="F242" s="122" t="n">
        <v>4</v>
      </c>
      <c r="G242" s="122" t="n">
        <v>1</v>
      </c>
      <c r="I242" s="58">
        <f>IF(B242&lt;&gt;"",B242,"")</f>
        <v/>
      </c>
    </row>
    <row r="243" ht="15.75" customHeight="1" s="146">
      <c r="B243" t="inlineStr">
        <is>
          <t>Two Counties Tree Care Ltd</t>
        </is>
      </c>
      <c r="C243" s="122" t="inlineStr">
        <is>
          <t>Total</t>
        </is>
      </c>
      <c r="D243" s="122" t="n"/>
      <c r="E243" s="122" t="n">
        <v>0.98</v>
      </c>
      <c r="F243" s="122" t="n">
        <v>38</v>
      </c>
      <c r="G243" s="122" t="n">
        <v>37</v>
      </c>
      <c r="H243" s="189" t="n">
        <v>46002</v>
      </c>
      <c r="I243" s="58">
        <f>IF(B243&lt;&gt;"",B243,"")</f>
        <v/>
      </c>
    </row>
    <row r="244" ht="15.75" customHeight="1" s="146">
      <c r="C244" t="inlineStr">
        <is>
          <t>Matthew Thomas</t>
        </is>
      </c>
      <c r="D244" s="122" t="inlineStr">
        <is>
          <t>Total</t>
        </is>
      </c>
      <c r="E244" s="122" t="n">
        <v>1</v>
      </c>
      <c r="F244" s="122" t="n">
        <v>17</v>
      </c>
      <c r="G244" s="122" t="n">
        <v>17</v>
      </c>
      <c r="I244" s="58">
        <f>IF(B244&lt;&gt;"",B244,"")</f>
        <v/>
      </c>
    </row>
    <row r="245" ht="15.75" customHeight="1" s="146">
      <c r="D245" s="122" t="inlineStr">
        <is>
          <t>Arborist</t>
        </is>
      </c>
      <c r="E245" s="122" t="n">
        <v>1</v>
      </c>
      <c r="F245" s="122" t="n">
        <v>7</v>
      </c>
      <c r="G245" s="122" t="n">
        <v>7</v>
      </c>
      <c r="I245" s="58">
        <f>IF(B245&lt;&gt;"",B245,"")</f>
        <v/>
      </c>
    </row>
    <row r="246" ht="15.75" customHeight="1" s="146">
      <c r="D246" s="122" t="inlineStr">
        <is>
          <t>Business Matrix</t>
        </is>
      </c>
      <c r="E246" s="122" t="n">
        <v>1</v>
      </c>
      <c r="F246" s="122" t="n">
        <v>6</v>
      </c>
      <c r="G246" s="122" t="n">
        <v>6</v>
      </c>
      <c r="I246" s="58">
        <f>IF(B246&lt;&gt;"",B246,"")</f>
        <v/>
      </c>
    </row>
    <row r="247" ht="15.75" customHeight="1" s="146">
      <c r="C247" s="122" t="n"/>
      <c r="D247" s="122" t="inlineStr">
        <is>
          <t>Customer - Utility Arboriculture</t>
        </is>
      </c>
      <c r="E247" s="122" t="n">
        <v>1</v>
      </c>
      <c r="F247" s="122" t="n">
        <v>4</v>
      </c>
      <c r="G247" s="122" t="n">
        <v>4</v>
      </c>
      <c r="I247" s="58">
        <f>IF(B247&lt;&gt;"",B247,"")</f>
        <v/>
      </c>
    </row>
    <row r="248" ht="15.75" customHeight="1" s="146">
      <c r="C248" t="inlineStr">
        <is>
          <t>Two Counties Tree Care Ltd .</t>
        </is>
      </c>
      <c r="D248" s="122" t="inlineStr">
        <is>
          <t>Total</t>
        </is>
      </c>
      <c r="E248" s="122" t="n">
        <v>1</v>
      </c>
      <c r="F248" s="122" t="n">
        <v>4</v>
      </c>
      <c r="G248" s="122" t="n">
        <v>4</v>
      </c>
      <c r="I248" s="58">
        <f>IF(B248&lt;&gt;"",B248,"")</f>
        <v/>
      </c>
    </row>
    <row r="249" ht="15.75" customHeight="1" s="146">
      <c r="D249" s="122" t="inlineStr">
        <is>
          <t>Team Matrix</t>
        </is>
      </c>
      <c r="E249" s="122" t="n">
        <v>1</v>
      </c>
      <c r="F249" s="122" t="n">
        <v>4</v>
      </c>
      <c r="G249" s="122" t="n">
        <v>4</v>
      </c>
      <c r="I249" s="58">
        <f>IF(B249&lt;&gt;"",B249,"")</f>
        <v/>
      </c>
    </row>
    <row r="250" ht="15.75" customHeight="1" s="146">
      <c r="C250" t="inlineStr">
        <is>
          <t>Elliot Ward</t>
        </is>
      </c>
      <c r="D250" s="122" t="inlineStr">
        <is>
          <t>Total</t>
        </is>
      </c>
      <c r="E250" s="122" t="n">
        <v>0.95</v>
      </c>
      <c r="F250" s="122" t="n">
        <v>17</v>
      </c>
      <c r="G250" s="122" t="n">
        <v>16</v>
      </c>
      <c r="I250" s="58">
        <f>IF(B250&lt;&gt;"",B250,"")</f>
        <v/>
      </c>
    </row>
    <row r="251" ht="15.75" customHeight="1" s="146">
      <c r="C251" s="122" t="n"/>
      <c r="D251" s="122" t="inlineStr">
        <is>
          <t>Business Matrix</t>
        </is>
      </c>
      <c r="E251" s="122" t="n">
        <v>1</v>
      </c>
      <c r="F251" s="122" t="n">
        <v>6</v>
      </c>
      <c r="G251" s="122" t="n">
        <v>6</v>
      </c>
      <c r="I251" s="58">
        <f>IF(B251&lt;&gt;"",B251,"")</f>
        <v/>
      </c>
    </row>
    <row r="252" ht="15.75" customHeight="1" s="146">
      <c r="D252" s="122" t="inlineStr">
        <is>
          <t>Customer - Utility Arboriculture</t>
        </is>
      </c>
      <c r="E252" s="122" t="n">
        <v>1</v>
      </c>
      <c r="F252" s="122" t="n">
        <v>4</v>
      </c>
      <c r="G252" s="122" t="n">
        <v>4</v>
      </c>
      <c r="I252" s="58">
        <f>IF(B252&lt;&gt;"",B252,"")</f>
        <v/>
      </c>
    </row>
    <row r="253" ht="15.75" customHeight="1" s="146">
      <c r="D253" s="122" t="inlineStr">
        <is>
          <t>Arborist</t>
        </is>
      </c>
      <c r="E253" s="122" t="n">
        <v>0.86</v>
      </c>
      <c r="F253" s="122" t="n">
        <v>7</v>
      </c>
      <c r="G253" s="122" t="n">
        <v>6</v>
      </c>
      <c r="I253" s="58">
        <f>IF(B253&lt;&gt;"",B253,"")</f>
        <v/>
      </c>
    </row>
    <row r="254" ht="15.75" customHeight="1" s="146">
      <c r="B254" t="inlineStr">
        <is>
          <t>M G Tree Surgery Ltd</t>
        </is>
      </c>
      <c r="C254" t="inlineStr">
        <is>
          <t>Total</t>
        </is>
      </c>
      <c r="D254" s="122" t="n"/>
      <c r="E254" s="122" t="n">
        <v>0.97</v>
      </c>
      <c r="F254" s="122" t="n">
        <v>55</v>
      </c>
      <c r="G254" s="122" t="n">
        <v>53</v>
      </c>
      <c r="H254" s="189" t="n">
        <v>45623</v>
      </c>
      <c r="I254" s="58">
        <f>IF(B254&lt;&gt;"",B254,"")</f>
        <v/>
      </c>
    </row>
    <row r="255" ht="15.75" customHeight="1" s="146">
      <c r="C255" s="122" t="inlineStr">
        <is>
          <t>M G Tree Surgery Ltd .</t>
        </is>
      </c>
      <c r="D255" s="122" t="inlineStr">
        <is>
          <t>Total</t>
        </is>
      </c>
      <c r="E255" s="122" t="n">
        <v>1</v>
      </c>
      <c r="F255" s="122" t="n">
        <v>4</v>
      </c>
      <c r="G255" s="122" t="n">
        <v>4</v>
      </c>
      <c r="I255" s="58">
        <f>IF(B255&lt;&gt;"",B255,"")</f>
        <v/>
      </c>
    </row>
    <row r="256" ht="15.75" customHeight="1" s="146">
      <c r="D256" s="122" t="inlineStr">
        <is>
          <t>Team Matrix</t>
        </is>
      </c>
      <c r="E256" s="122" t="n">
        <v>1</v>
      </c>
      <c r="F256" s="122" t="n">
        <v>4</v>
      </c>
      <c r="G256" s="122" t="n">
        <v>4</v>
      </c>
      <c r="I256" s="58">
        <f>IF(B256&lt;&gt;"",B256,"")</f>
        <v/>
      </c>
    </row>
    <row r="257" ht="15.75" customHeight="1" s="146">
      <c r="C257" t="inlineStr">
        <is>
          <t>Tim Franklin</t>
        </is>
      </c>
      <c r="D257" s="122" t="inlineStr">
        <is>
          <t>Total</t>
        </is>
      </c>
      <c r="E257" s="122" t="n">
        <v>1</v>
      </c>
      <c r="F257" s="122" t="n">
        <v>17</v>
      </c>
      <c r="G257" s="122" t="n">
        <v>17</v>
      </c>
      <c r="I257" s="58">
        <f>IF(B257&lt;&gt;"",B257,"")</f>
        <v/>
      </c>
    </row>
    <row r="258" ht="15.75" customHeight="1" s="146">
      <c r="D258" s="122" t="inlineStr">
        <is>
          <t>Arborist</t>
        </is>
      </c>
      <c r="E258" s="122" t="n">
        <v>1</v>
      </c>
      <c r="F258" s="122" t="n">
        <v>7</v>
      </c>
      <c r="G258" s="122" t="n">
        <v>7</v>
      </c>
      <c r="I258" s="58">
        <f>IF(B258&lt;&gt;"",B258,"")</f>
        <v/>
      </c>
    </row>
    <row r="259" ht="15.75" customHeight="1" s="146">
      <c r="C259" s="122" t="n"/>
      <c r="D259" s="122" t="inlineStr">
        <is>
          <t>Business Matrix</t>
        </is>
      </c>
      <c r="E259" s="122" t="n">
        <v>1</v>
      </c>
      <c r="F259" s="122" t="n">
        <v>6</v>
      </c>
      <c r="G259" s="122" t="n">
        <v>6</v>
      </c>
      <c r="I259" s="58">
        <f>IF(B259&lt;&gt;"",B259,"")</f>
        <v/>
      </c>
    </row>
    <row r="260" ht="15.75" customHeight="1" s="146">
      <c r="D260" s="122" t="inlineStr">
        <is>
          <t>Customer - Utility Arboriculture</t>
        </is>
      </c>
      <c r="E260" s="122" t="n">
        <v>1</v>
      </c>
      <c r="F260" s="122" t="n">
        <v>4</v>
      </c>
      <c r="G260" s="122" t="n">
        <v>4</v>
      </c>
      <c r="I260" s="58">
        <f>IF(B260&lt;&gt;"",B260,"")</f>
        <v/>
      </c>
    </row>
    <row r="261" ht="15.75" customHeight="1" s="146">
      <c r="C261" t="inlineStr">
        <is>
          <t>Anthony Gale</t>
        </is>
      </c>
      <c r="D261" s="122" t="inlineStr">
        <is>
          <t>Total</t>
        </is>
      </c>
      <c r="E261" s="122" t="n">
        <v>0.95</v>
      </c>
      <c r="F261" s="122" t="n">
        <v>17</v>
      </c>
      <c r="G261" s="122" t="n">
        <v>16</v>
      </c>
      <c r="I261" s="58">
        <f>IF(B261&lt;&gt;"",B261,"")</f>
        <v/>
      </c>
    </row>
    <row r="262" ht="15.75" customHeight="1" s="146">
      <c r="D262" s="122" t="inlineStr">
        <is>
          <t>Business Matrix</t>
        </is>
      </c>
      <c r="E262" s="122" t="n">
        <v>1</v>
      </c>
      <c r="F262" s="122" t="n">
        <v>6</v>
      </c>
      <c r="G262" s="122" t="n">
        <v>6</v>
      </c>
      <c r="I262" s="58">
        <f>IF(B262&lt;&gt;"",B262,"")</f>
        <v/>
      </c>
    </row>
    <row r="263" ht="15.75" customHeight="1" s="146">
      <c r="C263" s="122" t="n"/>
      <c r="D263" s="122" t="inlineStr">
        <is>
          <t>Customer - Utility Arboriculture</t>
        </is>
      </c>
      <c r="E263" s="122" t="n">
        <v>1</v>
      </c>
      <c r="F263" s="122" t="n">
        <v>4</v>
      </c>
      <c r="G263" s="122" t="n">
        <v>4</v>
      </c>
      <c r="I263" s="58">
        <f>IF(B263&lt;&gt;"",B263,"")</f>
        <v/>
      </c>
    </row>
    <row r="264" ht="15.75" customHeight="1" s="146">
      <c r="D264" s="122" t="inlineStr">
        <is>
          <t>Arborist</t>
        </is>
      </c>
      <c r="E264" s="122" t="n">
        <v>0.86</v>
      </c>
      <c r="F264" s="122" t="n">
        <v>7</v>
      </c>
      <c r="G264" s="122" t="n">
        <v>6</v>
      </c>
      <c r="I264" s="58">
        <f>IF(B264&lt;&gt;"",B264,"")</f>
        <v/>
      </c>
    </row>
    <row r="265" ht="15.75" customHeight="1" s="146">
      <c r="C265" t="inlineStr">
        <is>
          <t>Max Gaylor</t>
        </is>
      </c>
      <c r="D265" s="122" t="inlineStr">
        <is>
          <t>Total</t>
        </is>
      </c>
      <c r="E265" s="122" t="n">
        <v>0.95</v>
      </c>
      <c r="F265" s="122" t="n">
        <v>17</v>
      </c>
      <c r="G265" s="122" t="n">
        <v>16</v>
      </c>
      <c r="I265" s="58">
        <f>IF(B265&lt;&gt;"",B265,"")</f>
        <v/>
      </c>
    </row>
    <row r="266" ht="15.75" customHeight="1" s="146">
      <c r="D266" s="122" t="inlineStr">
        <is>
          <t>Business Matrix</t>
        </is>
      </c>
      <c r="E266" s="122" t="n">
        <v>1</v>
      </c>
      <c r="F266" s="122" t="n">
        <v>6</v>
      </c>
      <c r="G266" s="122" t="n">
        <v>6</v>
      </c>
      <c r="I266" s="58">
        <f>IF(B266&lt;&gt;"",B266,"")</f>
        <v/>
      </c>
    </row>
    <row r="267" ht="15.75" customHeight="1" s="146">
      <c r="C267" s="122" t="n"/>
      <c r="D267" s="122" t="inlineStr">
        <is>
          <t>Customer - Utility Arboriculture</t>
        </is>
      </c>
      <c r="E267" s="122" t="n">
        <v>1</v>
      </c>
      <c r="F267" s="122" t="n">
        <v>4</v>
      </c>
      <c r="G267" s="122" t="n">
        <v>4</v>
      </c>
      <c r="I267" s="58">
        <f>IF(B267&lt;&gt;"",B267,"")</f>
        <v/>
      </c>
    </row>
    <row r="268" ht="15.75" customHeight="1" s="146">
      <c r="D268" s="122" t="inlineStr">
        <is>
          <t>Arborist</t>
        </is>
      </c>
      <c r="E268" s="122" t="n">
        <v>0.86</v>
      </c>
      <c r="F268" s="122" t="n">
        <v>7</v>
      </c>
      <c r="G268" s="122" t="n">
        <v>6</v>
      </c>
      <c r="I268" s="58">
        <f>IF(B268&lt;&gt;"",B268,"")</f>
        <v/>
      </c>
    </row>
    <row r="269" ht="15.75" customHeight="1" s="146">
      <c r="B269" t="inlineStr">
        <is>
          <t>PB Tree Contractors</t>
        </is>
      </c>
      <c r="C269" t="inlineStr">
        <is>
          <t>Total</t>
        </is>
      </c>
      <c r="D269" s="122" t="n"/>
      <c r="E269" s="122" t="n">
        <v>0.95</v>
      </c>
      <c r="F269" s="122" t="n">
        <v>38</v>
      </c>
      <c r="G269" s="122" t="n">
        <v>36</v>
      </c>
      <c r="H269" s="189" t="n">
        <v>41836</v>
      </c>
      <c r="I269" s="58">
        <f>IF(B269&lt;&gt;"",B269,"")</f>
        <v/>
      </c>
    </row>
    <row r="270" ht="15.75" customHeight="1" s="146">
      <c r="C270" t="inlineStr">
        <is>
          <t>PB Tree Contractors</t>
        </is>
      </c>
      <c r="D270" s="122" t="inlineStr">
        <is>
          <t>Total</t>
        </is>
      </c>
      <c r="E270" s="122" t="n">
        <v>1</v>
      </c>
      <c r="F270" s="122" t="n">
        <v>4</v>
      </c>
      <c r="G270" s="122" t="n">
        <v>4</v>
      </c>
      <c r="I270" s="58">
        <f>IF(B270&lt;&gt;"",B270,"")</f>
        <v/>
      </c>
    </row>
    <row r="271" ht="15.75" customHeight="1" s="146">
      <c r="C271" s="122" t="n"/>
      <c r="D271" s="122" t="inlineStr">
        <is>
          <t>Team Matrix</t>
        </is>
      </c>
      <c r="E271" s="122" t="n">
        <v>1</v>
      </c>
      <c r="F271" s="122" t="n">
        <v>4</v>
      </c>
      <c r="G271" s="122" t="n">
        <v>4</v>
      </c>
      <c r="I271" s="58">
        <f>IF(B271&lt;&gt;"",B271,"")</f>
        <v/>
      </c>
    </row>
    <row r="272" ht="15.75" customHeight="1" s="146">
      <c r="C272" t="inlineStr">
        <is>
          <t>Andrew Palfreyman</t>
        </is>
      </c>
      <c r="D272" s="122" t="inlineStr">
        <is>
          <t>Total</t>
        </is>
      </c>
      <c r="E272" s="122" t="n">
        <v>0.95</v>
      </c>
      <c r="F272" s="122" t="n">
        <v>17</v>
      </c>
      <c r="G272" s="122" t="n">
        <v>16</v>
      </c>
      <c r="I272" s="58">
        <f>IF(B272&lt;&gt;"",B272,"")</f>
        <v/>
      </c>
    </row>
    <row r="273" ht="15.75" customHeight="1" s="146">
      <c r="B273" s="122" t="n"/>
      <c r="C273" s="122" t="n"/>
      <c r="D273" t="inlineStr">
        <is>
          <t>Business Matrix</t>
        </is>
      </c>
      <c r="E273" s="122" t="n">
        <v>1</v>
      </c>
      <c r="F273" s="122" t="n">
        <v>6</v>
      </c>
      <c r="G273" s="122" t="n">
        <v>6</v>
      </c>
      <c r="H273" s="57" t="n"/>
      <c r="I273" s="58">
        <f>IF(B273&lt;&gt;"",B273,"")</f>
        <v/>
      </c>
    </row>
    <row r="274" ht="15.75" customHeight="1" s="146">
      <c r="C274" s="122" t="n"/>
      <c r="D274" s="122" t="inlineStr">
        <is>
          <t>Customer - Utility Arboriculture</t>
        </is>
      </c>
      <c r="E274" s="122" t="n">
        <v>1</v>
      </c>
      <c r="F274" s="122" t="n">
        <v>4</v>
      </c>
      <c r="G274" s="122" t="n">
        <v>4</v>
      </c>
      <c r="I274" s="58">
        <f>IF(B274&lt;&gt;"",B274,"")</f>
        <v/>
      </c>
    </row>
    <row r="275" ht="15.75" customHeight="1" s="146">
      <c r="D275" s="122" t="inlineStr">
        <is>
          <t>Arborist</t>
        </is>
      </c>
      <c r="E275" s="122" t="n">
        <v>0.86</v>
      </c>
      <c r="F275" s="122" t="n">
        <v>7</v>
      </c>
      <c r="G275" s="122" t="n">
        <v>6</v>
      </c>
      <c r="I275" s="58">
        <f>IF(B275&lt;&gt;"",B275,"")</f>
        <v/>
      </c>
    </row>
    <row r="276" ht="15.75" customHeight="1" s="146">
      <c r="C276" t="inlineStr">
        <is>
          <t>Daniel Brown</t>
        </is>
      </c>
      <c r="D276" s="122" t="inlineStr">
        <is>
          <t>Total</t>
        </is>
      </c>
      <c r="E276" s="122" t="n">
        <v>0.95</v>
      </c>
      <c r="F276" s="122" t="n">
        <v>17</v>
      </c>
      <c r="G276" s="122" t="n">
        <v>16</v>
      </c>
      <c r="I276" s="58">
        <f>IF(B276&lt;&gt;"",B276,"")</f>
        <v/>
      </c>
    </row>
    <row r="277" ht="15.75" customHeight="1" s="146">
      <c r="D277" s="122" t="inlineStr">
        <is>
          <t>Business Matrix</t>
        </is>
      </c>
      <c r="E277" s="122" t="n">
        <v>1</v>
      </c>
      <c r="F277" s="122" t="n">
        <v>6</v>
      </c>
      <c r="G277" s="122" t="n">
        <v>6</v>
      </c>
      <c r="I277" s="58">
        <f>IF(B277&lt;&gt;"",B277,"")</f>
        <v/>
      </c>
    </row>
    <row r="278" ht="15.75" customHeight="1" s="146">
      <c r="C278" s="122" t="n"/>
      <c r="D278" s="122" t="inlineStr">
        <is>
          <t>Customer - Utility Arboriculture</t>
        </is>
      </c>
      <c r="E278" s="122" t="n">
        <v>1</v>
      </c>
      <c r="F278" s="122" t="n">
        <v>4</v>
      </c>
      <c r="G278" s="122" t="n">
        <v>4</v>
      </c>
      <c r="I278" s="58">
        <f>IF(B278&lt;&gt;"",B278,"")</f>
        <v/>
      </c>
    </row>
    <row r="279" ht="15.75" customHeight="1" s="146">
      <c r="D279" s="122" t="inlineStr">
        <is>
          <t>Arborist</t>
        </is>
      </c>
      <c r="E279" s="122" t="n">
        <v>0.86</v>
      </c>
      <c r="F279" s="122" t="n">
        <v>7</v>
      </c>
      <c r="G279" s="122" t="n">
        <v>6</v>
      </c>
      <c r="I279" s="58">
        <f>IF(B279&lt;&gt;"",B279,"")</f>
        <v/>
      </c>
    </row>
    <row r="280" ht="15.75" customHeight="1" s="146">
      <c r="B280" t="inlineStr">
        <is>
          <t>S6 Tree Specialists Ltd</t>
        </is>
      </c>
      <c r="C280" s="122" t="inlineStr">
        <is>
          <t>Total</t>
        </is>
      </c>
      <c r="D280" s="122" t="n"/>
      <c r="E280" s="122" t="n">
        <v>0.95</v>
      </c>
      <c r="F280" s="122" t="n">
        <v>36</v>
      </c>
      <c r="G280" s="122" t="n">
        <v>34</v>
      </c>
      <c r="H280" s="189" t="n">
        <v>45705</v>
      </c>
      <c r="I280" s="58">
        <f>IF(B280&lt;&gt;"",B280,"")</f>
        <v/>
      </c>
    </row>
    <row r="281" ht="15.75" customHeight="1" s="146">
      <c r="C281" t="inlineStr">
        <is>
          <t>harrison wood</t>
        </is>
      </c>
      <c r="D281" s="122" t="inlineStr">
        <is>
          <t>Total</t>
        </is>
      </c>
      <c r="E281" s="122" t="n">
        <v>1</v>
      </c>
      <c r="F281" s="122" t="n">
        <v>15</v>
      </c>
      <c r="G281" s="122" t="n">
        <v>15</v>
      </c>
      <c r="I281" s="58">
        <f>IF(B281&lt;&gt;"",B281,"")</f>
        <v/>
      </c>
    </row>
    <row r="282" ht="15.75" customHeight="1" s="146">
      <c r="D282" s="122" t="inlineStr">
        <is>
          <t>Business Matrix</t>
        </is>
      </c>
      <c r="E282" s="122" t="n">
        <v>1</v>
      </c>
      <c r="F282" s="122" t="n">
        <v>6</v>
      </c>
      <c r="G282" s="122" t="n">
        <v>6</v>
      </c>
      <c r="I282" s="58">
        <f>IF(B282&lt;&gt;"",B282,"")</f>
        <v/>
      </c>
    </row>
    <row r="283" ht="15.75" customHeight="1" s="146">
      <c r="D283" s="122" t="inlineStr">
        <is>
          <t>Customer - Utility Arboriculture</t>
        </is>
      </c>
      <c r="E283" s="122" t="n">
        <v>1</v>
      </c>
      <c r="F283" s="122" t="n">
        <v>4</v>
      </c>
      <c r="G283" s="122" t="n">
        <v>4</v>
      </c>
      <c r="I283" s="58">
        <f>IF(B283&lt;&gt;"",B283,"")</f>
        <v/>
      </c>
    </row>
    <row r="284" ht="15.75" customHeight="1" s="146">
      <c r="B284" s="122" t="n"/>
      <c r="C284" s="122" t="n"/>
      <c r="D284" t="inlineStr">
        <is>
          <t>Grounds Person</t>
        </is>
      </c>
      <c r="E284" s="122" t="n">
        <v>1</v>
      </c>
      <c r="F284" s="122" t="n">
        <v>5</v>
      </c>
      <c r="G284" s="122" t="n">
        <v>5</v>
      </c>
      <c r="H284" s="57" t="n"/>
      <c r="I284" s="58">
        <f>IF(B284&lt;&gt;"",B284,"")</f>
        <v/>
      </c>
    </row>
    <row r="285" ht="15.75" customHeight="1" s="146">
      <c r="C285" s="122" t="inlineStr">
        <is>
          <t>Luke Lane</t>
        </is>
      </c>
      <c r="D285" s="122" t="inlineStr">
        <is>
          <t>Total</t>
        </is>
      </c>
      <c r="E285" s="122" t="n">
        <v>1</v>
      </c>
      <c r="F285" s="122" t="n">
        <v>17</v>
      </c>
      <c r="G285" s="122" t="n">
        <v>17</v>
      </c>
      <c r="I285" s="58">
        <f>IF(B285&lt;&gt;"",B285,"")</f>
        <v/>
      </c>
    </row>
    <row r="286" ht="15.75" customHeight="1" s="146">
      <c r="D286" s="122" t="inlineStr">
        <is>
          <t>Arborist</t>
        </is>
      </c>
      <c r="E286" s="122" t="n">
        <v>1</v>
      </c>
      <c r="F286" s="122" t="n">
        <v>7</v>
      </c>
      <c r="G286" s="122" t="n">
        <v>7</v>
      </c>
      <c r="I286" s="58">
        <f>IF(B286&lt;&gt;"",B286,"")</f>
        <v/>
      </c>
    </row>
    <row r="287" ht="15.75" customHeight="1" s="146">
      <c r="D287" s="122" t="inlineStr">
        <is>
          <t>Business Matrix</t>
        </is>
      </c>
      <c r="E287" s="122" t="n">
        <v>1</v>
      </c>
      <c r="F287" s="122" t="n">
        <v>6</v>
      </c>
      <c r="G287" s="122" t="n">
        <v>6</v>
      </c>
      <c r="I287" s="58">
        <f>IF(B287&lt;&gt;"",B287,"")</f>
        <v/>
      </c>
    </row>
    <row r="288" ht="15.75" customHeight="1" s="146">
      <c r="C288" s="122" t="n"/>
      <c r="D288" s="122" t="inlineStr">
        <is>
          <t>Customer - Utility Arboriculture</t>
        </is>
      </c>
      <c r="E288" s="122" t="n">
        <v>1</v>
      </c>
      <c r="F288" s="122" t="n">
        <v>4</v>
      </c>
      <c r="G288" s="122" t="n">
        <v>4</v>
      </c>
      <c r="I288" s="58">
        <f>IF(B288&lt;&gt;"",B288,"")</f>
        <v/>
      </c>
    </row>
    <row r="289" ht="15.75" customHeight="1" s="146">
      <c r="C289" t="inlineStr">
        <is>
          <t>S6 Tree Specialists Ltd .</t>
        </is>
      </c>
      <c r="D289" s="122" t="inlineStr">
        <is>
          <t>Total</t>
        </is>
      </c>
      <c r="E289" s="122" t="n">
        <v>0.5</v>
      </c>
      <c r="F289" s="122" t="n">
        <v>4</v>
      </c>
      <c r="G289" s="122" t="n">
        <v>2</v>
      </c>
      <c r="I289" s="58">
        <f>IF(B289&lt;&gt;"",B289,"")</f>
        <v/>
      </c>
    </row>
    <row r="290" ht="15.75" customHeight="1" s="146">
      <c r="D290" s="122" t="inlineStr">
        <is>
          <t>Team Matrix</t>
        </is>
      </c>
      <c r="E290" s="122" t="n">
        <v>0.5</v>
      </c>
      <c r="F290" s="122" t="n">
        <v>4</v>
      </c>
      <c r="G290" s="122" t="n">
        <v>2</v>
      </c>
      <c r="I290" s="58">
        <f>IF(B290&lt;&gt;"",B290,"")</f>
        <v/>
      </c>
    </row>
    <row r="291" ht="15.75" customHeight="1" s="146">
      <c r="B291" t="inlineStr">
        <is>
          <t>WRS Tree Services Ltd</t>
        </is>
      </c>
      <c r="C291" s="122" t="inlineStr">
        <is>
          <t>Total</t>
        </is>
      </c>
      <c r="D291" s="122" t="n"/>
      <c r="E291" s="122" t="n">
        <v>0.95</v>
      </c>
      <c r="F291" s="122" t="n">
        <v>55</v>
      </c>
      <c r="G291" s="122" t="n">
        <v>52</v>
      </c>
      <c r="H291" s="189" t="n">
        <v>42475</v>
      </c>
      <c r="I291" s="58">
        <f>IF(B291&lt;&gt;"",B291,"")</f>
        <v/>
      </c>
    </row>
    <row r="292" ht="15.75" customHeight="1" s="146">
      <c r="C292" t="inlineStr">
        <is>
          <t>William Rawson</t>
        </is>
      </c>
      <c r="D292" s="122" t="inlineStr">
        <is>
          <t>Total</t>
        </is>
      </c>
      <c r="E292" s="122" t="n">
        <v>1</v>
      </c>
      <c r="F292" s="122" t="n">
        <v>17</v>
      </c>
      <c r="G292" s="122" t="n">
        <v>17</v>
      </c>
      <c r="I292" s="58">
        <f>IF(B292&lt;&gt;"",B292,"")</f>
        <v/>
      </c>
    </row>
    <row r="293" ht="15.75" customHeight="1" s="146">
      <c r="D293" s="122" t="inlineStr">
        <is>
          <t>Arborist</t>
        </is>
      </c>
      <c r="E293" s="122" t="n">
        <v>1</v>
      </c>
      <c r="F293" s="122" t="n">
        <v>7</v>
      </c>
      <c r="G293" s="122" t="n">
        <v>7</v>
      </c>
      <c r="I293" s="58">
        <f>IF(B293&lt;&gt;"",B293,"")</f>
        <v/>
      </c>
    </row>
    <row r="294" ht="15.75" customHeight="1" s="146">
      <c r="C294" s="122" t="n"/>
      <c r="D294" s="122" t="inlineStr">
        <is>
          <t>Business Matrix</t>
        </is>
      </c>
      <c r="E294" s="122" t="n">
        <v>1</v>
      </c>
      <c r="F294" s="122" t="n">
        <v>6</v>
      </c>
      <c r="G294" s="122" t="n">
        <v>6</v>
      </c>
      <c r="I294" s="58">
        <f>IF(B294&lt;&gt;"",B294,"")</f>
        <v/>
      </c>
    </row>
    <row r="295" ht="15.75" customHeight="1" s="146">
      <c r="D295" s="122" t="inlineStr">
        <is>
          <t>Customer - Utility Arboriculture</t>
        </is>
      </c>
      <c r="E295" s="122" t="n">
        <v>1</v>
      </c>
      <c r="F295" s="122" t="n">
        <v>4</v>
      </c>
      <c r="G295" s="122" t="n">
        <v>4</v>
      </c>
      <c r="I295" s="58">
        <f>IF(B295&lt;&gt;"",B295,"")</f>
        <v/>
      </c>
    </row>
    <row r="296" ht="15.75" customHeight="1" s="146">
      <c r="C296" t="inlineStr">
        <is>
          <t>WRS Tree Services Ltd</t>
        </is>
      </c>
      <c r="D296" s="122" t="inlineStr">
        <is>
          <t>Total</t>
        </is>
      </c>
      <c r="E296" s="122" t="n">
        <v>1</v>
      </c>
      <c r="F296" s="122" t="n">
        <v>4</v>
      </c>
      <c r="G296" s="122" t="n">
        <v>4</v>
      </c>
      <c r="I296" s="58">
        <f>IF(B296&lt;&gt;"",B296,"")</f>
        <v/>
      </c>
    </row>
    <row r="297" ht="15.75" customHeight="1" s="146">
      <c r="D297" s="122" t="inlineStr">
        <is>
          <t>Team Matrix</t>
        </is>
      </c>
      <c r="E297" s="122" t="n">
        <v>1</v>
      </c>
      <c r="F297" s="122" t="n">
        <v>4</v>
      </c>
      <c r="G297" s="122" t="n">
        <v>4</v>
      </c>
      <c r="I297" s="58">
        <f>IF(B297&lt;&gt;"",B297,"")</f>
        <v/>
      </c>
    </row>
    <row r="298" ht="15.75" customHeight="1" s="146">
      <c r="C298" s="122" t="inlineStr">
        <is>
          <t>Alexander Bawcutt</t>
        </is>
      </c>
      <c r="D298" s="122" t="inlineStr">
        <is>
          <t>Total</t>
        </is>
      </c>
      <c r="E298" s="122" t="n">
        <v>0.95</v>
      </c>
      <c r="F298" s="122" t="n">
        <v>17</v>
      </c>
      <c r="G298" s="122" t="n">
        <v>16</v>
      </c>
      <c r="I298" s="58">
        <f>IF(B298&lt;&gt;"",B298,"")</f>
        <v/>
      </c>
    </row>
    <row r="299" ht="15.75" customHeight="1" s="146">
      <c r="D299" s="122" t="inlineStr">
        <is>
          <t>Business Matrix</t>
        </is>
      </c>
      <c r="E299" s="122" t="n">
        <v>1</v>
      </c>
      <c r="F299" s="122" t="n">
        <v>6</v>
      </c>
      <c r="G299" s="122" t="n">
        <v>6</v>
      </c>
      <c r="I299" s="58">
        <f>IF(B299&lt;&gt;"",B299,"")</f>
        <v/>
      </c>
    </row>
    <row r="300" ht="15.75" customHeight="1" s="146">
      <c r="D300" s="122" t="inlineStr">
        <is>
          <t>Customer - Utility Arboriculture</t>
        </is>
      </c>
      <c r="E300" s="122" t="n">
        <v>1</v>
      </c>
      <c r="F300" s="122" t="n">
        <v>4</v>
      </c>
      <c r="G300" s="122" t="n">
        <v>4</v>
      </c>
      <c r="I300" s="58">
        <f>IF(B300&lt;&gt;"",B300,"")</f>
        <v/>
      </c>
    </row>
    <row r="301" ht="15.75" customHeight="1" s="146">
      <c r="D301" s="122" t="inlineStr">
        <is>
          <t>Arborist</t>
        </is>
      </c>
      <c r="E301" s="122" t="n">
        <v>0.86</v>
      </c>
      <c r="F301" s="122" t="n">
        <v>7</v>
      </c>
      <c r="G301" s="122" t="n">
        <v>6</v>
      </c>
      <c r="I301" s="58">
        <f>IF(B301&lt;&gt;"",B301,"")</f>
        <v/>
      </c>
    </row>
    <row r="302" ht="15.75" customHeight="1" s="146">
      <c r="C302" s="122" t="inlineStr">
        <is>
          <t>Nino Majewski</t>
        </is>
      </c>
      <c r="D302" s="122" t="inlineStr">
        <is>
          <t>Total</t>
        </is>
      </c>
      <c r="E302" s="122" t="n">
        <v>0.89</v>
      </c>
      <c r="F302" s="122" t="n">
        <v>17</v>
      </c>
      <c r="G302" s="122" t="n">
        <v>15</v>
      </c>
      <c r="I302" s="58">
        <f>IF(B302&lt;&gt;"",B302,"")</f>
        <v/>
      </c>
    </row>
    <row r="303" ht="15.75" customHeight="1" s="146">
      <c r="D303" s="122" t="inlineStr">
        <is>
          <t>Business Matrix</t>
        </is>
      </c>
      <c r="E303" s="122" t="n">
        <v>1</v>
      </c>
      <c r="F303" s="122" t="n">
        <v>6</v>
      </c>
      <c r="G303" s="122" t="n">
        <v>6</v>
      </c>
      <c r="I303" s="58">
        <f>IF(B303&lt;&gt;"",B303,"")</f>
        <v/>
      </c>
    </row>
    <row r="304" ht="15.75" customHeight="1" s="146">
      <c r="D304" s="122" t="inlineStr">
        <is>
          <t>Customer - Utility Arboriculture</t>
        </is>
      </c>
      <c r="E304" s="122" t="n">
        <v>1</v>
      </c>
      <c r="F304" s="122" t="n">
        <v>4</v>
      </c>
      <c r="G304" s="122" t="n">
        <v>4</v>
      </c>
      <c r="I304" s="58">
        <f>IF(B304&lt;&gt;"",B304,"")</f>
        <v/>
      </c>
    </row>
    <row r="305" ht="15.75" customHeight="1" s="146">
      <c r="D305" s="122" t="inlineStr">
        <is>
          <t>Arborist</t>
        </is>
      </c>
      <c r="E305" s="122" t="n">
        <v>0.72</v>
      </c>
      <c r="F305" s="122" t="n">
        <v>7</v>
      </c>
      <c r="G305" s="122" t="n">
        <v>5</v>
      </c>
      <c r="I305" s="58">
        <f>IF(B305&lt;&gt;"",B305,"")</f>
        <v/>
      </c>
    </row>
    <row r="306" ht="15.75" customHeight="1" s="146">
      <c r="B306" t="inlineStr">
        <is>
          <t>Hope Ground and Tree Care</t>
        </is>
      </c>
      <c r="C306" s="122" t="inlineStr">
        <is>
          <t>Total</t>
        </is>
      </c>
      <c r="D306" s="122" t="n"/>
      <c r="E306" s="122" t="n">
        <v>0.93</v>
      </c>
      <c r="F306" s="122" t="n">
        <v>38</v>
      </c>
      <c r="G306" s="122" t="n">
        <v>35</v>
      </c>
      <c r="H306" s="189" t="n">
        <v>45846</v>
      </c>
      <c r="I306" s="58">
        <f>IF(B306&lt;&gt;"",B306,"")</f>
        <v/>
      </c>
    </row>
    <row r="307" ht="15.75" customHeight="1" s="146">
      <c r="C307" t="inlineStr">
        <is>
          <t>Hope Ground and Tree Care .</t>
        </is>
      </c>
      <c r="D307" s="122" t="inlineStr">
        <is>
          <t>Total</t>
        </is>
      </c>
      <c r="E307" s="122" t="n">
        <v>1</v>
      </c>
      <c r="F307" s="122" t="n">
        <v>4</v>
      </c>
      <c r="G307" s="122" t="n">
        <v>4</v>
      </c>
      <c r="I307" s="58">
        <f>IF(B307&lt;&gt;"",B307,"")</f>
        <v/>
      </c>
    </row>
    <row r="308" ht="15.75" customHeight="1" s="146">
      <c r="B308" s="122" t="n"/>
      <c r="C308" s="122" t="n"/>
      <c r="D308" t="inlineStr">
        <is>
          <t>Team Matrix</t>
        </is>
      </c>
      <c r="E308" s="122" t="n">
        <v>1</v>
      </c>
      <c r="F308" s="122" t="n">
        <v>4</v>
      </c>
      <c r="G308" s="122" t="n">
        <v>4</v>
      </c>
      <c r="H308" s="57" t="n"/>
      <c r="I308" s="58">
        <f>IF(B308&lt;&gt;"",B308,"")</f>
        <v/>
      </c>
    </row>
    <row r="309" ht="15.75" customHeight="1" s="146">
      <c r="C309" s="122" t="inlineStr">
        <is>
          <t>Andrew Hope</t>
        </is>
      </c>
      <c r="D309" s="122" t="inlineStr">
        <is>
          <t>Total</t>
        </is>
      </c>
      <c r="E309" s="122" t="n">
        <v>0.95</v>
      </c>
      <c r="F309" s="122" t="n">
        <v>17</v>
      </c>
      <c r="G309" s="122" t="n">
        <v>16</v>
      </c>
      <c r="I309" s="58">
        <f>IF(B309&lt;&gt;"",B309,"")</f>
        <v/>
      </c>
    </row>
    <row r="310" ht="15.75" customHeight="1" s="146">
      <c r="D310" s="122" t="inlineStr">
        <is>
          <t>Business Matrix</t>
        </is>
      </c>
      <c r="E310" s="122" t="n">
        <v>1</v>
      </c>
      <c r="F310" s="122" t="n">
        <v>6</v>
      </c>
      <c r="G310" s="122" t="n">
        <v>6</v>
      </c>
      <c r="I310" s="58">
        <f>IF(B310&lt;&gt;"",B310,"")</f>
        <v/>
      </c>
    </row>
    <row r="311" ht="15.75" customHeight="1" s="146">
      <c r="D311" s="122" t="inlineStr">
        <is>
          <t>Customer - Utility Arboriculture</t>
        </is>
      </c>
      <c r="E311" s="122" t="n">
        <v>1</v>
      </c>
      <c r="F311" s="122" t="n">
        <v>4</v>
      </c>
      <c r="G311" s="122" t="n">
        <v>4</v>
      </c>
      <c r="I311" s="58">
        <f>IF(B311&lt;&gt;"",B311,"")</f>
        <v/>
      </c>
    </row>
    <row r="312" ht="15.75" customHeight="1" s="146">
      <c r="D312" s="122" t="inlineStr">
        <is>
          <t>Arborist</t>
        </is>
      </c>
      <c r="E312" s="122" t="n">
        <v>0.86</v>
      </c>
      <c r="F312" s="122" t="n">
        <v>7</v>
      </c>
      <c r="G312" s="122" t="n">
        <v>6</v>
      </c>
      <c r="I312" s="58">
        <f>IF(B312&lt;&gt;"",B312,"")</f>
        <v/>
      </c>
    </row>
    <row r="313" ht="15.75" customHeight="1" s="146">
      <c r="C313" s="122" t="inlineStr">
        <is>
          <t>Jesse Sturgeon</t>
        </is>
      </c>
      <c r="D313" s="122" t="inlineStr">
        <is>
          <t>Total</t>
        </is>
      </c>
      <c r="E313" s="122" t="n">
        <v>0.89</v>
      </c>
      <c r="F313" s="122" t="n">
        <v>17</v>
      </c>
      <c r="G313" s="122" t="n">
        <v>15</v>
      </c>
      <c r="I313" s="58">
        <f>IF(B313&lt;&gt;"",B313,"")</f>
        <v/>
      </c>
    </row>
    <row r="314" ht="15.75" customHeight="1" s="146">
      <c r="D314" s="122" t="inlineStr">
        <is>
          <t>Business Matrix</t>
        </is>
      </c>
      <c r="E314" s="122" t="n">
        <v>1</v>
      </c>
      <c r="F314" s="122" t="n">
        <v>6</v>
      </c>
      <c r="G314" s="122" t="n">
        <v>6</v>
      </c>
      <c r="I314" s="58">
        <f>IF(B314&lt;&gt;"",B314,"")</f>
        <v/>
      </c>
    </row>
    <row r="315" ht="15.75" customHeight="1" s="146">
      <c r="C315" s="122" t="n"/>
      <c r="D315" s="122" t="inlineStr">
        <is>
          <t>Customer - Utility Arboriculture</t>
        </is>
      </c>
      <c r="E315" s="122" t="n">
        <v>1</v>
      </c>
      <c r="F315" s="122" t="n">
        <v>4</v>
      </c>
      <c r="G315" s="122" t="n">
        <v>4</v>
      </c>
      <c r="I315" s="58">
        <f>IF(B315&lt;&gt;"",B315,"")</f>
        <v/>
      </c>
    </row>
    <row r="316" ht="15.75" customHeight="1" s="146">
      <c r="D316" s="122" t="inlineStr">
        <is>
          <t>Arborist</t>
        </is>
      </c>
      <c r="E316" s="122" t="n">
        <v>0.72</v>
      </c>
      <c r="F316" s="122" t="n">
        <v>7</v>
      </c>
      <c r="G316" s="122" t="n">
        <v>5</v>
      </c>
      <c r="I316" s="58">
        <f>IF(B316&lt;&gt;"",B316,"")</f>
        <v/>
      </c>
    </row>
    <row r="317" ht="15.75" customHeight="1" s="146">
      <c r="B317" t="inlineStr">
        <is>
          <t>Ashdown Tree Limited</t>
        </is>
      </c>
      <c r="C317" t="inlineStr">
        <is>
          <t>Total</t>
        </is>
      </c>
      <c r="D317" s="122" t="n"/>
      <c r="E317" s="122" t="n">
        <v>0.92</v>
      </c>
      <c r="F317" s="122" t="n">
        <v>83</v>
      </c>
      <c r="G317" s="122" t="n">
        <v>76</v>
      </c>
      <c r="H317" s="189" t="n">
        <v>44271</v>
      </c>
      <c r="I317" s="58">
        <f>IF(B317&lt;&gt;"",B317,"")</f>
        <v/>
      </c>
    </row>
    <row r="318" ht="15.75" customHeight="1" s="146">
      <c r="C318" t="inlineStr">
        <is>
          <t>Anthony Bassenger</t>
        </is>
      </c>
      <c r="D318" s="122" t="inlineStr">
        <is>
          <t>Total</t>
        </is>
      </c>
      <c r="E318" s="122" t="n">
        <v>1</v>
      </c>
      <c r="F318" s="122" t="n">
        <v>15</v>
      </c>
      <c r="G318" s="122" t="n">
        <v>15</v>
      </c>
      <c r="I318" s="58">
        <f>IF(B318&lt;&gt;"",B318,"")</f>
        <v/>
      </c>
    </row>
    <row r="319" ht="15.75" customHeight="1" s="146">
      <c r="C319" s="122" t="n"/>
      <c r="D319" s="122" t="inlineStr">
        <is>
          <t>Business Matrix</t>
        </is>
      </c>
      <c r="E319" s="122" t="n">
        <v>1</v>
      </c>
      <c r="F319" s="122" t="n">
        <v>6</v>
      </c>
      <c r="G319" s="122" t="n">
        <v>6</v>
      </c>
      <c r="I319" s="58">
        <f>IF(B319&lt;&gt;"",B319,"")</f>
        <v/>
      </c>
    </row>
    <row r="320" ht="15.75" customHeight="1" s="146">
      <c r="D320" s="122" t="inlineStr">
        <is>
          <t>Customer - Utility Arboriculture</t>
        </is>
      </c>
      <c r="E320" s="122" t="n">
        <v>1</v>
      </c>
      <c r="F320" s="122" t="n">
        <v>4</v>
      </c>
      <c r="G320" s="122" t="n">
        <v>4</v>
      </c>
      <c r="I320" s="58">
        <f>IF(B320&lt;&gt;"",B320,"")</f>
        <v/>
      </c>
    </row>
    <row r="321" ht="15.75" customHeight="1" s="146">
      <c r="D321" s="122" t="inlineStr">
        <is>
          <t>Grounds Person</t>
        </is>
      </c>
      <c r="E321" s="122" t="n">
        <v>1</v>
      </c>
      <c r="F321" s="122" t="n">
        <v>5</v>
      </c>
      <c r="G321" s="122" t="n">
        <v>5</v>
      </c>
      <c r="I321" s="58">
        <f>IF(B321&lt;&gt;"",B321,"")</f>
        <v/>
      </c>
    </row>
    <row r="322" ht="15.75" customHeight="1" s="146">
      <c r="C322" t="inlineStr">
        <is>
          <t>Ashdown Tree Limited</t>
        </is>
      </c>
      <c r="D322" s="122" t="inlineStr">
        <is>
          <t>Total</t>
        </is>
      </c>
      <c r="E322" s="122" t="n">
        <v>1</v>
      </c>
      <c r="F322" s="122" t="n">
        <v>4</v>
      </c>
      <c r="G322" s="122" t="n">
        <v>4</v>
      </c>
      <c r="I322" s="58">
        <f>IF(B322&lt;&gt;"",B322,"")</f>
        <v/>
      </c>
    </row>
    <row r="323" ht="15.75" customHeight="1" s="146">
      <c r="B323" s="122" t="n"/>
      <c r="C323" s="122" t="n"/>
      <c r="D323" t="inlineStr">
        <is>
          <t>Team Matrix</t>
        </is>
      </c>
      <c r="E323" s="122" t="n">
        <v>1</v>
      </c>
      <c r="F323" s="122" t="n">
        <v>4</v>
      </c>
      <c r="G323" s="122" t="n">
        <v>4</v>
      </c>
      <c r="H323" s="57" t="n"/>
      <c r="I323" s="58">
        <f>IF(B323&lt;&gt;"",B323,"")</f>
        <v/>
      </c>
    </row>
    <row r="324" ht="15.75" customHeight="1" s="146">
      <c r="C324" s="122" t="inlineStr">
        <is>
          <t>Dan Watkins</t>
        </is>
      </c>
      <c r="D324" s="122" t="inlineStr">
        <is>
          <t>Total</t>
        </is>
      </c>
      <c r="E324" s="122" t="n">
        <v>1</v>
      </c>
      <c r="F324" s="122" t="n">
        <v>17</v>
      </c>
      <c r="G324" s="122" t="n">
        <v>17</v>
      </c>
      <c r="I324" s="58">
        <f>IF(B324&lt;&gt;"",B324,"")</f>
        <v/>
      </c>
    </row>
    <row r="325" ht="15.75" customHeight="1" s="146">
      <c r="D325" s="122" t="inlineStr">
        <is>
          <t>Arborist</t>
        </is>
      </c>
      <c r="E325" s="122" t="n">
        <v>1</v>
      </c>
      <c r="F325" s="122" t="n">
        <v>7</v>
      </c>
      <c r="G325" s="122" t="n">
        <v>7</v>
      </c>
      <c r="I325" s="58">
        <f>IF(B325&lt;&gt;"",B325,"")</f>
        <v/>
      </c>
    </row>
    <row r="326" ht="15.75" customHeight="1" s="146">
      <c r="D326" s="122" t="inlineStr">
        <is>
          <t>Business Matrix</t>
        </is>
      </c>
      <c r="E326" s="122" t="n">
        <v>1</v>
      </c>
      <c r="F326" s="122" t="n">
        <v>6</v>
      </c>
      <c r="G326" s="122" t="n">
        <v>6</v>
      </c>
      <c r="I326" s="58">
        <f>IF(B326&lt;&gt;"",B326,"")</f>
        <v/>
      </c>
    </row>
    <row r="327" ht="15.75" customHeight="1" s="146">
      <c r="D327" s="122" t="inlineStr">
        <is>
          <t>Customer - Utility Arboriculture</t>
        </is>
      </c>
      <c r="E327" s="122" t="n">
        <v>1</v>
      </c>
      <c r="F327" s="122" t="n">
        <v>4</v>
      </c>
      <c r="G327" s="122" t="n">
        <v>4</v>
      </c>
      <c r="I327" s="58">
        <f>IF(B327&lt;&gt;"",B327,"")</f>
        <v/>
      </c>
    </row>
    <row r="328" ht="15.75" customHeight="1" s="146">
      <c r="C328" s="122" t="inlineStr">
        <is>
          <t>Connor Hendy</t>
        </is>
      </c>
      <c r="D328" s="122" t="inlineStr">
        <is>
          <t>Total</t>
        </is>
      </c>
      <c r="E328" s="122" t="n">
        <v>0.9400000000000001</v>
      </c>
      <c r="F328" s="122" t="n">
        <v>15</v>
      </c>
      <c r="G328" s="122" t="n">
        <v>14</v>
      </c>
      <c r="I328" s="58">
        <f>IF(B328&lt;&gt;"",B328,"")</f>
        <v/>
      </c>
    </row>
    <row r="329" ht="15.75" customHeight="1" s="146">
      <c r="D329" s="122" t="inlineStr">
        <is>
          <t>Business Matrix</t>
        </is>
      </c>
      <c r="E329" s="122" t="n">
        <v>1</v>
      </c>
      <c r="F329" s="122" t="n">
        <v>6</v>
      </c>
      <c r="G329" s="122" t="n">
        <v>6</v>
      </c>
      <c r="I329" s="58">
        <f>IF(B329&lt;&gt;"",B329,"")</f>
        <v/>
      </c>
    </row>
    <row r="330" ht="15.75" customHeight="1" s="146">
      <c r="D330" s="122" t="inlineStr">
        <is>
          <t>Customer - Utility Arboriculture</t>
        </is>
      </c>
      <c r="E330" s="122" t="n">
        <v>1</v>
      </c>
      <c r="F330" s="122" t="n">
        <v>4</v>
      </c>
      <c r="G330" s="122" t="n">
        <v>4</v>
      </c>
      <c r="I330" s="58">
        <f>IF(B330&lt;&gt;"",B330,"")</f>
        <v/>
      </c>
    </row>
    <row r="331" ht="15.75" customHeight="1" s="146">
      <c r="D331" s="122" t="inlineStr">
        <is>
          <t>Grounds Person</t>
        </is>
      </c>
      <c r="E331" s="122" t="n">
        <v>0.8</v>
      </c>
      <c r="F331" s="122" t="n">
        <v>5</v>
      </c>
      <c r="G331" s="122" t="n">
        <v>4</v>
      </c>
      <c r="I331" s="58">
        <f>IF(B331&lt;&gt;"",B331,"")</f>
        <v/>
      </c>
    </row>
    <row r="332" ht="15.75" customHeight="1" s="146">
      <c r="C332" s="122" t="inlineStr">
        <is>
          <t>Ashley Horwood</t>
        </is>
      </c>
      <c r="D332" s="122" t="inlineStr">
        <is>
          <t>Total</t>
        </is>
      </c>
      <c r="E332" s="122" t="n">
        <v>0.89</v>
      </c>
      <c r="F332" s="122" t="n">
        <v>17</v>
      </c>
      <c r="G332" s="122" t="n">
        <v>15</v>
      </c>
      <c r="I332" s="58">
        <f>IF(B332&lt;&gt;"",B332,"")</f>
        <v/>
      </c>
    </row>
    <row r="333" ht="15.75" customHeight="1" s="146">
      <c r="D333" s="122" t="inlineStr">
        <is>
          <t>Business Matrix</t>
        </is>
      </c>
      <c r="E333" s="122" t="n">
        <v>1</v>
      </c>
      <c r="F333" s="122" t="n">
        <v>6</v>
      </c>
      <c r="G333" s="122" t="n">
        <v>6</v>
      </c>
      <c r="I333" s="58">
        <f>IF(B333&lt;&gt;"",B333,"")</f>
        <v/>
      </c>
    </row>
    <row r="334" ht="15.75" customHeight="1" s="146">
      <c r="D334" s="122" t="inlineStr">
        <is>
          <t>Arborist</t>
        </is>
      </c>
      <c r="E334" s="122" t="n">
        <v>0.86</v>
      </c>
      <c r="F334" s="122" t="n">
        <v>7</v>
      </c>
      <c r="G334" s="122" t="n">
        <v>6</v>
      </c>
      <c r="I334" s="58">
        <f>IF(B334&lt;&gt;"",B334,"")</f>
        <v/>
      </c>
    </row>
    <row r="335" ht="15.75" customHeight="1" s="146">
      <c r="D335" s="122" t="inlineStr">
        <is>
          <t>Customer - Utility Arboriculture</t>
        </is>
      </c>
      <c r="E335" s="122" t="n">
        <v>0.75</v>
      </c>
      <c r="F335" s="122" t="n">
        <v>4</v>
      </c>
      <c r="G335" s="122" t="n">
        <v>3</v>
      </c>
      <c r="I335" s="58">
        <f>IF(B335&lt;&gt;"",B335,"")</f>
        <v/>
      </c>
    </row>
    <row r="336" ht="15.75" customHeight="1" s="146">
      <c r="C336" s="122" t="inlineStr">
        <is>
          <t>Jamie Cooper</t>
        </is>
      </c>
      <c r="D336" s="122" t="inlineStr">
        <is>
          <t>Total</t>
        </is>
      </c>
      <c r="E336" s="122" t="n">
        <v>0.74</v>
      </c>
      <c r="F336" s="122" t="n">
        <v>15</v>
      </c>
      <c r="G336" s="122" t="n">
        <v>11</v>
      </c>
      <c r="I336" s="58">
        <f>IF(B336&lt;&gt;"",B336,"")</f>
        <v/>
      </c>
    </row>
    <row r="337" ht="15.75" customHeight="1" s="146">
      <c r="D337" s="122" t="inlineStr">
        <is>
          <t>Business Matrix</t>
        </is>
      </c>
      <c r="E337" s="122" t="n">
        <v>1</v>
      </c>
      <c r="F337" s="122" t="n">
        <v>6</v>
      </c>
      <c r="G337" s="122" t="n">
        <v>6</v>
      </c>
      <c r="I337" s="58">
        <f>IF(B337&lt;&gt;"",B337,"")</f>
        <v/>
      </c>
    </row>
    <row r="338" ht="15.75" customHeight="1" s="146">
      <c r="C338" s="122" t="n"/>
      <c r="D338" s="122" t="inlineStr">
        <is>
          <t>Grounds Person</t>
        </is>
      </c>
      <c r="E338" s="122" t="n">
        <v>0.8</v>
      </c>
      <c r="F338" s="122" t="n">
        <v>5</v>
      </c>
      <c r="G338" s="122" t="n">
        <v>4</v>
      </c>
      <c r="I338" s="58">
        <f>IF(B338&lt;&gt;"",B338,"")</f>
        <v/>
      </c>
    </row>
    <row r="339" ht="15.75" customHeight="1" s="146">
      <c r="D339" s="122" t="inlineStr">
        <is>
          <t>Customer - Utility Arboriculture</t>
        </is>
      </c>
      <c r="E339" s="122" t="n">
        <v>0.25</v>
      </c>
      <c r="F339" s="122" t="n">
        <v>4</v>
      </c>
      <c r="G339" s="122" t="n">
        <v>1</v>
      </c>
      <c r="I339" s="58">
        <f>IF(B339&lt;&gt;"",B339,"")</f>
        <v/>
      </c>
    </row>
    <row r="340" ht="15.75" customHeight="1" s="146">
      <c r="B340" t="inlineStr">
        <is>
          <t>Andrew Munns Tree Surgery Ltd</t>
        </is>
      </c>
      <c r="C340" t="inlineStr">
        <is>
          <t>Total</t>
        </is>
      </c>
      <c r="D340" s="122" t="n"/>
      <c r="E340" s="122" t="n">
        <v>0.91</v>
      </c>
      <c r="F340" s="122" t="n">
        <v>121</v>
      </c>
      <c r="G340" s="122" t="n">
        <v>110</v>
      </c>
      <c r="H340" s="189" t="n">
        <v>45922</v>
      </c>
      <c r="I340" s="58">
        <f>IF(B340&lt;&gt;"",B340,"")</f>
        <v/>
      </c>
    </row>
    <row r="341" ht="15.75" customHeight="1" s="146">
      <c r="C341" t="inlineStr">
        <is>
          <t>Andrew Munns Tree Surgery Ltd .</t>
        </is>
      </c>
      <c r="D341" s="122" t="inlineStr">
        <is>
          <t>Total</t>
        </is>
      </c>
      <c r="E341" s="122" t="n">
        <v>1</v>
      </c>
      <c r="F341" s="122" t="n">
        <v>4</v>
      </c>
      <c r="G341" s="122" t="n">
        <v>4</v>
      </c>
      <c r="I341" s="58">
        <f>IF(B341&lt;&gt;"",B341,"")</f>
        <v/>
      </c>
    </row>
    <row r="342" ht="15.75" customHeight="1" s="146">
      <c r="C342" s="122" t="n"/>
      <c r="D342" s="122" t="inlineStr">
        <is>
          <t>Team Matrix</t>
        </is>
      </c>
      <c r="E342" s="122" t="n">
        <v>1</v>
      </c>
      <c r="F342" s="122" t="n">
        <v>4</v>
      </c>
      <c r="G342" s="122" t="n">
        <v>4</v>
      </c>
      <c r="I342" s="58">
        <f>IF(B342&lt;&gt;"",B342,"")</f>
        <v/>
      </c>
    </row>
    <row r="343" ht="15.75" customHeight="1" s="146">
      <c r="C343" t="inlineStr">
        <is>
          <t>Andrew Jarrett</t>
        </is>
      </c>
      <c r="D343" s="122" t="inlineStr">
        <is>
          <t>Total</t>
        </is>
      </c>
      <c r="E343" s="122" t="n">
        <v>0.95</v>
      </c>
      <c r="F343" s="122" t="n">
        <v>17</v>
      </c>
      <c r="G343" s="122" t="n">
        <v>16</v>
      </c>
      <c r="I343" s="58">
        <f>IF(B343&lt;&gt;"",B343,"")</f>
        <v/>
      </c>
    </row>
    <row r="344" ht="15.75" customHeight="1" s="146">
      <c r="D344" s="122" t="inlineStr">
        <is>
          <t>Business Matrix</t>
        </is>
      </c>
      <c r="E344" s="122" t="n">
        <v>1</v>
      </c>
      <c r="F344" s="122" t="n">
        <v>6</v>
      </c>
      <c r="G344" s="122" t="n">
        <v>6</v>
      </c>
      <c r="I344" s="58">
        <f>IF(B344&lt;&gt;"",B344,"")</f>
        <v/>
      </c>
    </row>
    <row r="345" ht="15.75" customHeight="1" s="146">
      <c r="D345" s="122" t="inlineStr">
        <is>
          <t>Customer - Utility Arboriculture</t>
        </is>
      </c>
      <c r="E345" s="122" t="n">
        <v>1</v>
      </c>
      <c r="F345" s="122" t="n">
        <v>4</v>
      </c>
      <c r="G345" s="122" t="n">
        <v>4</v>
      </c>
      <c r="I345" s="58">
        <f>IF(B345&lt;&gt;"",B345,"")</f>
        <v/>
      </c>
    </row>
    <row r="346" ht="15.75" customHeight="1" s="146">
      <c r="C346" s="122" t="n"/>
      <c r="D346" s="122" t="inlineStr">
        <is>
          <t>Arborist</t>
        </is>
      </c>
      <c r="E346" s="122" t="n">
        <v>0.86</v>
      </c>
      <c r="F346" s="122" t="n">
        <v>7</v>
      </c>
      <c r="G346" s="122" t="n">
        <v>6</v>
      </c>
      <c r="I346" s="58">
        <f>IF(B346&lt;&gt;"",B346,"")</f>
        <v/>
      </c>
    </row>
    <row r="347" ht="15.75" customHeight="1" s="146">
      <c r="C347" t="inlineStr">
        <is>
          <t>Andrew Munns</t>
        </is>
      </c>
      <c r="D347" s="122" t="inlineStr">
        <is>
          <t>Total</t>
        </is>
      </c>
      <c r="E347" s="122" t="n">
        <v>0.95</v>
      </c>
      <c r="F347" s="122" t="n">
        <v>17</v>
      </c>
      <c r="G347" s="122" t="n">
        <v>16</v>
      </c>
      <c r="I347" s="58">
        <f>IF(B347&lt;&gt;"",B347,"")</f>
        <v/>
      </c>
    </row>
    <row r="348" ht="15.75" customHeight="1" s="146">
      <c r="D348" s="122" t="inlineStr">
        <is>
          <t>Business Matrix</t>
        </is>
      </c>
      <c r="E348" s="122" t="n">
        <v>1</v>
      </c>
      <c r="F348" s="122" t="n">
        <v>6</v>
      </c>
      <c r="G348" s="122" t="n">
        <v>6</v>
      </c>
      <c r="I348" s="58">
        <f>IF(B348&lt;&gt;"",B348,"")</f>
        <v/>
      </c>
    </row>
    <row r="349" ht="15.75" customHeight="1" s="146">
      <c r="D349" s="122" t="inlineStr">
        <is>
          <t>Customer - Utility Arboriculture</t>
        </is>
      </c>
      <c r="E349" s="122" t="n">
        <v>1</v>
      </c>
      <c r="F349" s="122" t="n">
        <v>4</v>
      </c>
      <c r="G349" s="122" t="n">
        <v>4</v>
      </c>
      <c r="I349" s="58">
        <f>IF(B349&lt;&gt;"",B349,"")</f>
        <v/>
      </c>
    </row>
    <row r="350" ht="15.75" customHeight="1" s="146">
      <c r="B350" s="122" t="n"/>
      <c r="C350" s="122" t="n"/>
      <c r="D350" t="inlineStr">
        <is>
          <t>Arborist</t>
        </is>
      </c>
      <c r="E350" s="122" t="n">
        <v>0.86</v>
      </c>
      <c r="F350" s="122" t="n">
        <v>7</v>
      </c>
      <c r="G350" s="122" t="n">
        <v>6</v>
      </c>
      <c r="H350" s="57" t="n"/>
      <c r="I350" s="58">
        <f>IF(B350&lt;&gt;"",B350,"")</f>
        <v/>
      </c>
    </row>
    <row r="351" ht="15.75" customHeight="1" s="146">
      <c r="C351" s="122" t="inlineStr">
        <is>
          <t>Daniel Hatton</t>
        </is>
      </c>
      <c r="D351" s="122" t="inlineStr">
        <is>
          <t>Total</t>
        </is>
      </c>
      <c r="E351" s="122" t="n">
        <v>0.95</v>
      </c>
      <c r="F351" s="122" t="n">
        <v>17</v>
      </c>
      <c r="G351" s="122" t="n">
        <v>16</v>
      </c>
      <c r="I351" s="58">
        <f>IF(B351&lt;&gt;"",B351,"")</f>
        <v/>
      </c>
    </row>
    <row r="352" ht="15.75" customHeight="1" s="146">
      <c r="D352" s="122" t="inlineStr">
        <is>
          <t>Business Matrix</t>
        </is>
      </c>
      <c r="E352" s="122" t="n">
        <v>1</v>
      </c>
      <c r="F352" s="122" t="n">
        <v>6</v>
      </c>
      <c r="G352" s="122" t="n">
        <v>6</v>
      </c>
      <c r="I352" s="58">
        <f>IF(B352&lt;&gt;"",B352,"")</f>
        <v/>
      </c>
    </row>
    <row r="353" ht="15.75" customHeight="1" s="146">
      <c r="D353" s="122" t="inlineStr">
        <is>
          <t>Customer - Utility Arboriculture</t>
        </is>
      </c>
      <c r="E353" s="122" t="n">
        <v>1</v>
      </c>
      <c r="F353" s="122" t="n">
        <v>4</v>
      </c>
      <c r="G353" s="122" t="n">
        <v>4</v>
      </c>
      <c r="I353" s="58">
        <f>IF(B353&lt;&gt;"",B353,"")</f>
        <v/>
      </c>
    </row>
    <row r="354" ht="15.75" customHeight="1" s="146">
      <c r="D354" s="122" t="inlineStr">
        <is>
          <t>Arborist</t>
        </is>
      </c>
      <c r="E354" s="122" t="n">
        <v>0.86</v>
      </c>
      <c r="F354" s="122" t="n">
        <v>7</v>
      </c>
      <c r="G354" s="122" t="n">
        <v>6</v>
      </c>
      <c r="I354" s="58">
        <f>IF(B354&lt;&gt;"",B354,"")</f>
        <v/>
      </c>
    </row>
    <row r="355" ht="15.75" customHeight="1" s="146">
      <c r="C355" s="122" t="inlineStr">
        <is>
          <t>Matthew O'Donovan</t>
        </is>
      </c>
      <c r="D355" s="122" t="inlineStr">
        <is>
          <t>Total</t>
        </is>
      </c>
      <c r="E355" s="122" t="n">
        <v>0.95</v>
      </c>
      <c r="F355" s="122" t="n">
        <v>17</v>
      </c>
      <c r="G355" s="122" t="n">
        <v>16</v>
      </c>
      <c r="I355" s="58">
        <f>IF(B355&lt;&gt;"",B355,"")</f>
        <v/>
      </c>
    </row>
    <row r="356" ht="15.75" customHeight="1" s="146">
      <c r="D356" s="122" t="inlineStr">
        <is>
          <t>Business Matrix</t>
        </is>
      </c>
      <c r="E356" s="122" t="n">
        <v>1</v>
      </c>
      <c r="F356" s="122" t="n">
        <v>6</v>
      </c>
      <c r="G356" s="122" t="n">
        <v>6</v>
      </c>
      <c r="I356" s="58">
        <f>IF(B356&lt;&gt;"",B356,"")</f>
        <v/>
      </c>
    </row>
    <row r="357" ht="15.75" customHeight="1" s="146">
      <c r="C357" s="122" t="n"/>
      <c r="D357" s="122" t="inlineStr">
        <is>
          <t>Customer - Utility Arboriculture</t>
        </is>
      </c>
      <c r="E357" s="122" t="n">
        <v>1</v>
      </c>
      <c r="F357" s="122" t="n">
        <v>4</v>
      </c>
      <c r="G357" s="122" t="n">
        <v>4</v>
      </c>
      <c r="I357" s="58">
        <f>IF(B357&lt;&gt;"",B357,"")</f>
        <v/>
      </c>
    </row>
    <row r="358" ht="15.75" customHeight="1" s="146">
      <c r="D358" s="122" t="inlineStr">
        <is>
          <t>Arborist</t>
        </is>
      </c>
      <c r="E358" s="122" t="n">
        <v>0.86</v>
      </c>
      <c r="F358" s="122" t="n">
        <v>7</v>
      </c>
      <c r="G358" s="122" t="n">
        <v>6</v>
      </c>
      <c r="I358" s="58">
        <f>IF(B358&lt;&gt;"",B358,"")</f>
        <v/>
      </c>
    </row>
    <row r="359" ht="15.75" customHeight="1" s="146">
      <c r="C359" t="inlineStr">
        <is>
          <t>Lukas John</t>
        </is>
      </c>
      <c r="D359" s="122" t="inlineStr">
        <is>
          <t>Total</t>
        </is>
      </c>
      <c r="E359" s="122" t="n">
        <v>0.89</v>
      </c>
      <c r="F359" s="122" t="n">
        <v>17</v>
      </c>
      <c r="G359" s="122" t="n">
        <v>15</v>
      </c>
      <c r="I359" s="58">
        <f>IF(B359&lt;&gt;"",B359,"")</f>
        <v/>
      </c>
    </row>
    <row r="360" ht="15.75" customHeight="1" s="146">
      <c r="D360" s="122" t="inlineStr">
        <is>
          <t>Customer - Utility Arboriculture</t>
        </is>
      </c>
      <c r="E360" s="122" t="n">
        <v>1</v>
      </c>
      <c r="F360" s="122" t="n">
        <v>4</v>
      </c>
      <c r="G360" s="122" t="n">
        <v>4</v>
      </c>
      <c r="I360" s="58">
        <f>IF(B360&lt;&gt;"",B360,"")</f>
        <v/>
      </c>
    </row>
    <row r="361" ht="15.75" customHeight="1" s="146">
      <c r="C361" s="122" t="n"/>
      <c r="D361" s="122" t="inlineStr">
        <is>
          <t>Arborist</t>
        </is>
      </c>
      <c r="E361" s="122" t="n">
        <v>0.86</v>
      </c>
      <c r="F361" s="122" t="n">
        <v>7</v>
      </c>
      <c r="G361" s="122" t="n">
        <v>6</v>
      </c>
      <c r="I361" s="58">
        <f>IF(B361&lt;&gt;"",B361,"")</f>
        <v/>
      </c>
    </row>
    <row r="362" ht="15.75" customHeight="1" s="146">
      <c r="D362" s="122" t="inlineStr">
        <is>
          <t>Business Matrix</t>
        </is>
      </c>
      <c r="E362" s="122" t="n">
        <v>0.84</v>
      </c>
      <c r="F362" s="122" t="n">
        <v>6</v>
      </c>
      <c r="G362" s="122" t="n">
        <v>5</v>
      </c>
      <c r="I362" s="58">
        <f>IF(B362&lt;&gt;"",B362,"")</f>
        <v/>
      </c>
    </row>
    <row r="363" ht="15.75" customHeight="1" s="146">
      <c r="C363" t="inlineStr">
        <is>
          <t>Charlie Wilkins</t>
        </is>
      </c>
      <c r="D363" s="122" t="inlineStr">
        <is>
          <t>Total</t>
        </is>
      </c>
      <c r="E363" s="122" t="n">
        <v>0.87</v>
      </c>
      <c r="F363" s="122" t="n">
        <v>15</v>
      </c>
      <c r="G363" s="122" t="n">
        <v>13</v>
      </c>
      <c r="I363" s="58">
        <f>IF(B363&lt;&gt;"",B363,"")</f>
        <v/>
      </c>
    </row>
    <row r="364" ht="15.75" customHeight="1" s="146">
      <c r="D364" s="122" t="inlineStr">
        <is>
          <t>Business Matrix</t>
        </is>
      </c>
      <c r="E364" s="122" t="n">
        <v>1</v>
      </c>
      <c r="F364" s="122" t="n">
        <v>6</v>
      </c>
      <c r="G364" s="122" t="n">
        <v>6</v>
      </c>
      <c r="I364" s="58">
        <f>IF(B364&lt;&gt;"",B364,"")</f>
        <v/>
      </c>
    </row>
    <row r="365" ht="15.75" customHeight="1" s="146">
      <c r="B365" s="122" t="n"/>
      <c r="C365" s="122" t="n"/>
      <c r="D365" t="inlineStr">
        <is>
          <t>Grounds Person</t>
        </is>
      </c>
      <c r="E365" s="122" t="n">
        <v>1</v>
      </c>
      <c r="F365" s="122" t="n">
        <v>5</v>
      </c>
      <c r="G365" s="122" t="n">
        <v>5</v>
      </c>
      <c r="H365" s="57" t="n"/>
      <c r="I365" s="58">
        <f>IF(B365&lt;&gt;"",B365,"")</f>
        <v/>
      </c>
    </row>
    <row r="366" ht="15.75" customHeight="1" s="146">
      <c r="C366" s="122" t="n"/>
      <c r="D366" s="122" t="inlineStr">
        <is>
          <t>Customer - Utility Arboriculture</t>
        </is>
      </c>
      <c r="E366" s="122" t="n">
        <v>0.5</v>
      </c>
      <c r="F366" s="122" t="n">
        <v>4</v>
      </c>
      <c r="G366" s="122" t="n">
        <v>2</v>
      </c>
      <c r="I366" s="58">
        <f>IF(B366&lt;&gt;"",B366,"")</f>
        <v/>
      </c>
    </row>
    <row r="367" ht="15.75" customHeight="1" s="146">
      <c r="C367" t="inlineStr">
        <is>
          <t>Jacob Cummins</t>
        </is>
      </c>
      <c r="D367" s="122" t="inlineStr">
        <is>
          <t>Total</t>
        </is>
      </c>
      <c r="E367" s="122" t="n">
        <v>0.83</v>
      </c>
      <c r="F367" s="122" t="n">
        <v>17</v>
      </c>
      <c r="G367" s="122" t="n">
        <v>14</v>
      </c>
      <c r="I367" s="58">
        <f>IF(B367&lt;&gt;"",B367,"")</f>
        <v/>
      </c>
    </row>
    <row r="368" ht="15.75" customHeight="1" s="146">
      <c r="D368" s="122" t="inlineStr">
        <is>
          <t>Arborist</t>
        </is>
      </c>
      <c r="E368" s="122" t="n">
        <v>0.86</v>
      </c>
      <c r="F368" s="122" t="n">
        <v>7</v>
      </c>
      <c r="G368" s="122" t="n">
        <v>6</v>
      </c>
      <c r="I368" s="58">
        <f>IF(B368&lt;&gt;"",B368,"")</f>
        <v/>
      </c>
    </row>
    <row r="369" ht="15.75" customHeight="1" s="146">
      <c r="D369" s="122" t="inlineStr">
        <is>
          <t>Business Matrix</t>
        </is>
      </c>
      <c r="E369" s="122" t="n">
        <v>0.84</v>
      </c>
      <c r="F369" s="122" t="n">
        <v>6</v>
      </c>
      <c r="G369" s="122" t="n">
        <v>5</v>
      </c>
      <c r="I369" s="58">
        <f>IF(B369&lt;&gt;"",B369,"")</f>
        <v/>
      </c>
    </row>
    <row r="370" ht="15.75" customHeight="1" s="146">
      <c r="C370" s="122" t="n"/>
      <c r="D370" s="122" t="inlineStr">
        <is>
          <t>Customer - Utility Arboriculture</t>
        </is>
      </c>
      <c r="E370" s="122" t="n">
        <v>0.75</v>
      </c>
      <c r="F370" s="122" t="n">
        <v>4</v>
      </c>
      <c r="G370" s="122" t="n">
        <v>3</v>
      </c>
      <c r="I370" s="58">
        <f>IF(B370&lt;&gt;"",B370,"")</f>
        <v/>
      </c>
    </row>
    <row r="371" ht="15.75" customHeight="1" s="146">
      <c r="B371" t="inlineStr">
        <is>
          <t>Roots 2 Shoots Tree Care Ltd</t>
        </is>
      </c>
      <c r="C371" t="inlineStr">
        <is>
          <t>Total</t>
        </is>
      </c>
      <c r="D371" s="122" t="n"/>
      <c r="E371" s="122" t="n">
        <v>0.9</v>
      </c>
      <c r="F371" s="122" t="n">
        <v>70</v>
      </c>
      <c r="G371" s="122" t="n">
        <v>63</v>
      </c>
      <c r="H371" s="189" t="n">
        <v>45845</v>
      </c>
      <c r="I371" s="58">
        <f>IF(B371&lt;&gt;"",B371,"")</f>
        <v/>
      </c>
    </row>
    <row r="372" ht="15.75" customHeight="1" s="146">
      <c r="C372" t="inlineStr">
        <is>
          <t>Roots 2 Shoots Ltd -</t>
        </is>
      </c>
      <c r="D372" s="122" t="inlineStr">
        <is>
          <t>Total</t>
        </is>
      </c>
      <c r="E372" s="122" t="n">
        <v>1</v>
      </c>
      <c r="F372" s="122" t="n">
        <v>4</v>
      </c>
      <c r="G372" s="122" t="n">
        <v>4</v>
      </c>
      <c r="I372" s="58">
        <f>IF(B372&lt;&gt;"",B372,"")</f>
        <v/>
      </c>
    </row>
    <row r="373" ht="15.75" customHeight="1" s="146">
      <c r="D373" s="122" t="inlineStr">
        <is>
          <t>Team Matrix</t>
        </is>
      </c>
      <c r="E373" s="122" t="n">
        <v>1</v>
      </c>
      <c r="F373" s="122" t="n">
        <v>4</v>
      </c>
      <c r="G373" s="122" t="n">
        <v>4</v>
      </c>
      <c r="I373" s="58">
        <f>IF(B373&lt;&gt;"",B373,"")</f>
        <v/>
      </c>
    </row>
    <row r="374" ht="15.75" customHeight="1" s="146">
      <c r="C374" s="122" t="inlineStr">
        <is>
          <t>Harry Walker</t>
        </is>
      </c>
      <c r="D374" s="122" t="inlineStr">
        <is>
          <t>Total</t>
        </is>
      </c>
      <c r="E374" s="122" t="n">
        <v>0.95</v>
      </c>
      <c r="F374" s="122" t="n">
        <v>17</v>
      </c>
      <c r="G374" s="122" t="n">
        <v>16</v>
      </c>
      <c r="I374" s="58">
        <f>IF(B374&lt;&gt;"",B374,"")</f>
        <v/>
      </c>
    </row>
    <row r="375" ht="15.75" customHeight="1" s="146">
      <c r="D375" s="122" t="inlineStr">
        <is>
          <t>Business Matrix</t>
        </is>
      </c>
      <c r="E375" s="122" t="n">
        <v>1</v>
      </c>
      <c r="F375" s="122" t="n">
        <v>6</v>
      </c>
      <c r="G375" s="122" t="n">
        <v>6</v>
      </c>
      <c r="I375" s="58">
        <f>IF(B375&lt;&gt;"",B375,"")</f>
        <v/>
      </c>
    </row>
    <row r="376" ht="15.75" customHeight="1" s="146">
      <c r="D376" s="122" t="inlineStr">
        <is>
          <t>Customer - Utility Arboriculture</t>
        </is>
      </c>
      <c r="E376" s="122" t="n">
        <v>1</v>
      </c>
      <c r="F376" s="122" t="n">
        <v>4</v>
      </c>
      <c r="G376" s="122" t="n">
        <v>4</v>
      </c>
      <c r="I376" s="58">
        <f>IF(B376&lt;&gt;"",B376,"")</f>
        <v/>
      </c>
    </row>
    <row r="377" ht="15.75" customHeight="1" s="146">
      <c r="D377" s="122" t="inlineStr">
        <is>
          <t>Arborist</t>
        </is>
      </c>
      <c r="E377" s="122" t="n">
        <v>0.86</v>
      </c>
      <c r="F377" s="122" t="n">
        <v>7</v>
      </c>
      <c r="G377" s="122" t="n">
        <v>6</v>
      </c>
      <c r="I377" s="58">
        <f>IF(B377&lt;&gt;"",B377,"")</f>
        <v/>
      </c>
    </row>
    <row r="378" ht="15.75" customHeight="1" s="146">
      <c r="C378" s="122" t="inlineStr">
        <is>
          <t>Bradley Ackrell</t>
        </is>
      </c>
      <c r="D378" s="122" t="inlineStr">
        <is>
          <t>Total</t>
        </is>
      </c>
      <c r="E378" s="122" t="n">
        <v>0.9400000000000001</v>
      </c>
      <c r="F378" s="122" t="n">
        <v>15</v>
      </c>
      <c r="G378" s="122" t="n">
        <v>14</v>
      </c>
      <c r="I378" s="58">
        <f>IF(B378&lt;&gt;"",B378,"")</f>
        <v/>
      </c>
    </row>
    <row r="379" ht="15.75" customHeight="1" s="146">
      <c r="D379" s="122" t="inlineStr">
        <is>
          <t>Business Matrix</t>
        </is>
      </c>
      <c r="E379" s="122" t="n">
        <v>1</v>
      </c>
      <c r="F379" s="122" t="n">
        <v>6</v>
      </c>
      <c r="G379" s="122" t="n">
        <v>6</v>
      </c>
      <c r="I379" s="58">
        <f>IF(B379&lt;&gt;"",B379,"")</f>
        <v/>
      </c>
    </row>
    <row r="380" ht="15.75" customHeight="1" s="146">
      <c r="B380" s="122" t="n"/>
      <c r="C380" s="122" t="n"/>
      <c r="D380" t="inlineStr">
        <is>
          <t>Customer - Utility Arboriculture</t>
        </is>
      </c>
      <c r="E380" s="122" t="n">
        <v>1</v>
      </c>
      <c r="F380" s="122" t="n">
        <v>4</v>
      </c>
      <c r="G380" s="122" t="n">
        <v>4</v>
      </c>
      <c r="H380" s="57" t="n"/>
      <c r="I380" s="58">
        <f>IF(B380&lt;&gt;"",B380,"")</f>
        <v/>
      </c>
    </row>
    <row r="381" ht="15.75" customHeight="1" s="146">
      <c r="C381" s="122" t="n"/>
      <c r="D381" s="122" t="inlineStr">
        <is>
          <t>Grounds Person</t>
        </is>
      </c>
      <c r="E381" s="122" t="n">
        <v>0.8</v>
      </c>
      <c r="F381" s="122" t="n">
        <v>5</v>
      </c>
      <c r="G381" s="122" t="n">
        <v>4</v>
      </c>
      <c r="I381" s="58">
        <f>IF(B381&lt;&gt;"",B381,"")</f>
        <v/>
      </c>
    </row>
    <row r="382" ht="15.75" customHeight="1" s="146">
      <c r="C382" t="inlineStr">
        <is>
          <t>Aaron Fraser</t>
        </is>
      </c>
      <c r="D382" s="122" t="inlineStr">
        <is>
          <t>Total</t>
        </is>
      </c>
      <c r="E382" s="122" t="n">
        <v>0.89</v>
      </c>
      <c r="F382" s="122" t="n">
        <v>17</v>
      </c>
      <c r="G382" s="122" t="n">
        <v>15</v>
      </c>
      <c r="I382" s="58">
        <f>IF(B382&lt;&gt;"",B382,"")</f>
        <v/>
      </c>
    </row>
    <row r="383" ht="15.75" customHeight="1" s="146">
      <c r="D383" s="122" t="inlineStr">
        <is>
          <t>Business Matrix</t>
        </is>
      </c>
      <c r="E383" s="122" t="n">
        <v>1</v>
      </c>
      <c r="F383" s="122" t="n">
        <v>6</v>
      </c>
      <c r="G383" s="122" t="n">
        <v>6</v>
      </c>
      <c r="I383" s="58">
        <f>IF(B383&lt;&gt;"",B383,"")</f>
        <v/>
      </c>
    </row>
    <row r="384" ht="15.75" customHeight="1" s="146">
      <c r="D384" s="122" t="inlineStr">
        <is>
          <t>Customer - Utility Arboriculture</t>
        </is>
      </c>
      <c r="E384" s="122" t="n">
        <v>1</v>
      </c>
      <c r="F384" s="122" t="n">
        <v>4</v>
      </c>
      <c r="G384" s="122" t="n">
        <v>4</v>
      </c>
      <c r="I384" s="58">
        <f>IF(B384&lt;&gt;"",B384,"")</f>
        <v/>
      </c>
    </row>
    <row r="385" ht="15.75" customHeight="1" s="146">
      <c r="C385" s="122" t="n"/>
      <c r="D385" s="122" t="inlineStr">
        <is>
          <t>Arborist</t>
        </is>
      </c>
      <c r="E385" s="122" t="n">
        <v>0.72</v>
      </c>
      <c r="F385" s="122" t="n">
        <v>7</v>
      </c>
      <c r="G385" s="122" t="n">
        <v>5</v>
      </c>
      <c r="I385" s="58">
        <f>IF(B385&lt;&gt;"",B385,"")</f>
        <v/>
      </c>
    </row>
    <row r="386" ht="15.75" customHeight="1" s="146">
      <c r="C386" t="inlineStr">
        <is>
          <t>Shane Kenny</t>
        </is>
      </c>
      <c r="D386" s="122" t="inlineStr">
        <is>
          <t>Total</t>
        </is>
      </c>
      <c r="E386" s="122" t="n">
        <v>0.83</v>
      </c>
      <c r="F386" s="122" t="n">
        <v>17</v>
      </c>
      <c r="G386" s="122" t="n">
        <v>14</v>
      </c>
      <c r="I386" s="58">
        <f>IF(B386&lt;&gt;"",B386,"")</f>
        <v/>
      </c>
    </row>
    <row r="387" ht="15.75" customHeight="1" s="146">
      <c r="D387" s="122" t="inlineStr">
        <is>
          <t>Business Matrix</t>
        </is>
      </c>
      <c r="E387" s="122" t="n">
        <v>1</v>
      </c>
      <c r="F387" s="122" t="n">
        <v>6</v>
      </c>
      <c r="G387" s="122" t="n">
        <v>6</v>
      </c>
      <c r="I387" s="58">
        <f>IF(B387&lt;&gt;"",B387,"")</f>
        <v/>
      </c>
    </row>
    <row r="388" ht="15.75" customHeight="1" s="146">
      <c r="D388" s="122" t="inlineStr">
        <is>
          <t>Customer - Utility Arboriculture</t>
        </is>
      </c>
      <c r="E388" s="122" t="n">
        <v>1</v>
      </c>
      <c r="F388" s="122" t="n">
        <v>4</v>
      </c>
      <c r="G388" s="122" t="n">
        <v>4</v>
      </c>
      <c r="I388" s="58">
        <f>IF(B388&lt;&gt;"",B388,"")</f>
        <v/>
      </c>
    </row>
    <row r="389" ht="15.75" customHeight="1" s="146">
      <c r="C389" s="122" t="n"/>
      <c r="D389" s="122" t="inlineStr">
        <is>
          <t>Arborist</t>
        </is>
      </c>
      <c r="E389" s="122" t="n">
        <v>0.58</v>
      </c>
      <c r="F389" s="122" t="n">
        <v>7</v>
      </c>
      <c r="G389" s="122" t="n">
        <v>4</v>
      </c>
      <c r="I389" s="58">
        <f>IF(B389&lt;&gt;"",B389,"")</f>
        <v/>
      </c>
    </row>
    <row r="390" ht="15.75" customHeight="1" s="146">
      <c r="B390" t="inlineStr">
        <is>
          <t>Tree Tech Suffolk Ltd</t>
        </is>
      </c>
      <c r="C390" t="inlineStr">
        <is>
          <t>Total</t>
        </is>
      </c>
      <c r="D390" s="122" t="n"/>
      <c r="E390" s="122" t="n">
        <v>0.87</v>
      </c>
      <c r="F390" s="122" t="n">
        <v>53</v>
      </c>
      <c r="G390" s="122" t="n">
        <v>46</v>
      </c>
      <c r="H390" s="189" t="n">
        <v>45303</v>
      </c>
      <c r="I390" s="58">
        <f>IF(B390&lt;&gt;"",B390,"")</f>
        <v/>
      </c>
    </row>
    <row r="391" ht="15.75" customHeight="1" s="146">
      <c r="C391" t="inlineStr">
        <is>
          <t>Tree Tech Suffolk Ltd .</t>
        </is>
      </c>
      <c r="D391" s="122" t="inlineStr">
        <is>
          <t>Total</t>
        </is>
      </c>
      <c r="E391" s="122" t="n">
        <v>1</v>
      </c>
      <c r="F391" s="122" t="n">
        <v>4</v>
      </c>
      <c r="G391" s="122" t="n">
        <v>4</v>
      </c>
      <c r="I391" s="58">
        <f>IF(B391&lt;&gt;"",B391,"")</f>
        <v/>
      </c>
    </row>
    <row r="392" ht="15.75" customHeight="1" s="146">
      <c r="D392" s="122" t="inlineStr">
        <is>
          <t>Team Matrix</t>
        </is>
      </c>
      <c r="E392" s="122" t="n">
        <v>1</v>
      </c>
      <c r="F392" s="122" t="n">
        <v>4</v>
      </c>
      <c r="G392" s="122" t="n">
        <v>4</v>
      </c>
      <c r="I392" s="58">
        <f>IF(B392&lt;&gt;"",B392,"")</f>
        <v/>
      </c>
    </row>
    <row r="393" ht="15.75" customHeight="1" s="146">
      <c r="C393" s="122" t="inlineStr">
        <is>
          <t>Danny Appleby</t>
        </is>
      </c>
      <c r="D393" s="122" t="inlineStr">
        <is>
          <t>Total</t>
        </is>
      </c>
      <c r="E393" s="122" t="n">
        <v>0.95</v>
      </c>
      <c r="F393" s="122" t="n">
        <v>17</v>
      </c>
      <c r="G393" s="122" t="n">
        <v>16</v>
      </c>
      <c r="I393" s="58">
        <f>IF(B393&lt;&gt;"",B393,"")</f>
        <v/>
      </c>
    </row>
    <row r="394" ht="15.75" customHeight="1" s="146">
      <c r="D394" s="122" t="inlineStr">
        <is>
          <t>Business Matrix</t>
        </is>
      </c>
      <c r="E394" s="122" t="n">
        <v>1</v>
      </c>
      <c r="F394" s="122" t="n">
        <v>6</v>
      </c>
      <c r="G394" s="122" t="n">
        <v>6</v>
      </c>
      <c r="I394" s="58">
        <f>IF(B394&lt;&gt;"",B394,"")</f>
        <v/>
      </c>
    </row>
    <row r="395" ht="15.75" customHeight="1" s="146">
      <c r="D395" s="122" t="inlineStr">
        <is>
          <t>Customer - Utility Arboriculture</t>
        </is>
      </c>
      <c r="E395" s="122" t="n">
        <v>1</v>
      </c>
      <c r="F395" s="122" t="n">
        <v>4</v>
      </c>
      <c r="G395" s="122" t="n">
        <v>4</v>
      </c>
      <c r="I395" s="58">
        <f>IF(B395&lt;&gt;"",B395,"")</f>
        <v/>
      </c>
    </row>
    <row r="396" ht="15.75" customHeight="1" s="146">
      <c r="D396" s="122" t="inlineStr">
        <is>
          <t>Arborist</t>
        </is>
      </c>
      <c r="E396" s="122" t="n">
        <v>0.86</v>
      </c>
      <c r="F396" s="122" t="n">
        <v>7</v>
      </c>
      <c r="G396" s="122" t="n">
        <v>6</v>
      </c>
      <c r="I396" s="58">
        <f>IF(B396&lt;&gt;"",B396,"")</f>
        <v/>
      </c>
    </row>
    <row r="397" ht="15.75" customHeight="1" s="146">
      <c r="C397" s="122" t="inlineStr">
        <is>
          <t>Nikki Sparrow</t>
        </is>
      </c>
      <c r="D397" s="122" t="inlineStr">
        <is>
          <t>Total</t>
        </is>
      </c>
      <c r="E397" s="122" t="n">
        <v>0.89</v>
      </c>
      <c r="F397" s="122" t="n">
        <v>17</v>
      </c>
      <c r="G397" s="122" t="n">
        <v>15</v>
      </c>
      <c r="I397" s="58">
        <f>IF(B397&lt;&gt;"",B397,"")</f>
        <v/>
      </c>
    </row>
    <row r="398" ht="15.75" customHeight="1" s="146">
      <c r="D398" s="122" t="inlineStr">
        <is>
          <t>Business Matrix</t>
        </is>
      </c>
      <c r="E398" s="122" t="n">
        <v>1</v>
      </c>
      <c r="F398" s="122" t="n">
        <v>6</v>
      </c>
      <c r="G398" s="122" t="n">
        <v>6</v>
      </c>
      <c r="I398" s="58">
        <f>IF(B398&lt;&gt;"",B398,"")</f>
        <v/>
      </c>
    </row>
    <row r="399" ht="15.75" customHeight="1" s="146">
      <c r="D399" s="122" t="inlineStr">
        <is>
          <t>Customer - Utility Arboriculture</t>
        </is>
      </c>
      <c r="E399" s="122" t="n">
        <v>1</v>
      </c>
      <c r="F399" s="122" t="n">
        <v>4</v>
      </c>
      <c r="G399" s="122" t="n">
        <v>4</v>
      </c>
      <c r="I399" s="58">
        <f>IF(B399&lt;&gt;"",B399,"")</f>
        <v/>
      </c>
    </row>
    <row r="400" ht="15.75" customHeight="1" s="146">
      <c r="D400" s="122" t="inlineStr">
        <is>
          <t>Arborist</t>
        </is>
      </c>
      <c r="E400" s="122" t="n">
        <v>0.72</v>
      </c>
      <c r="F400" s="122" t="n">
        <v>7</v>
      </c>
      <c r="G400" s="122" t="n">
        <v>5</v>
      </c>
      <c r="I400" s="58">
        <f>IF(B400&lt;&gt;"",B400,"")</f>
        <v/>
      </c>
    </row>
    <row r="401" ht="15.75" customHeight="1" s="146">
      <c r="C401" s="122" t="inlineStr">
        <is>
          <t>Daniel Brown</t>
        </is>
      </c>
      <c r="D401" s="122" t="inlineStr">
        <is>
          <t>Total</t>
        </is>
      </c>
      <c r="E401" s="122" t="n">
        <v>0.74</v>
      </c>
      <c r="F401" s="122" t="n">
        <v>15</v>
      </c>
      <c r="G401" s="122" t="n">
        <v>11</v>
      </c>
      <c r="I401" s="58">
        <f>IF(B401&lt;&gt;"",B401,"")</f>
        <v/>
      </c>
    </row>
    <row r="402" ht="15.75" customHeight="1" s="146">
      <c r="D402" s="122" t="inlineStr">
        <is>
          <t>Business Matrix</t>
        </is>
      </c>
      <c r="E402" s="122" t="n">
        <v>1</v>
      </c>
      <c r="F402" s="122" t="n">
        <v>6</v>
      </c>
      <c r="G402" s="122" t="n">
        <v>6</v>
      </c>
      <c r="I402" s="58">
        <f>IF(B402&lt;&gt;"",B402,"")</f>
        <v/>
      </c>
    </row>
    <row r="403" ht="15.75" customHeight="1" s="146">
      <c r="B403" s="122" t="n"/>
      <c r="C403" s="122" t="n"/>
      <c r="D403" t="inlineStr">
        <is>
          <t>Customer - Utility Arboriculture</t>
        </is>
      </c>
      <c r="E403" s="122" t="n">
        <v>0.75</v>
      </c>
      <c r="F403" s="122" t="n">
        <v>4</v>
      </c>
      <c r="G403" s="122" t="n">
        <v>3</v>
      </c>
      <c r="H403" s="57" t="n"/>
      <c r="I403" s="58">
        <f>IF(B403&lt;&gt;"",B403,"")</f>
        <v/>
      </c>
    </row>
    <row r="404" ht="15.75" customHeight="1" s="146">
      <c r="C404" s="122" t="n"/>
      <c r="D404" s="122" t="inlineStr">
        <is>
          <t>Grounds Person</t>
        </is>
      </c>
      <c r="E404" s="122" t="n">
        <v>0.4</v>
      </c>
      <c r="F404" s="122" t="n">
        <v>5</v>
      </c>
      <c r="G404" s="122" t="n">
        <v>2</v>
      </c>
      <c r="I404" s="58">
        <f>IF(B404&lt;&gt;"",B404,"")</f>
        <v/>
      </c>
    </row>
    <row r="405" ht="15.75" customHeight="1" s="146">
      <c r="B405" t="inlineStr">
        <is>
          <t>Cedar Park Tree Care Ltd</t>
        </is>
      </c>
      <c r="C405" t="inlineStr">
        <is>
          <t>Total</t>
        </is>
      </c>
      <c r="D405" s="122" t="n"/>
      <c r="E405" s="122" t="n">
        <v>0.85</v>
      </c>
      <c r="F405" s="122" t="n">
        <v>32</v>
      </c>
      <c r="G405" s="122" t="n">
        <v>27</v>
      </c>
      <c r="H405" s="189" t="n">
        <v>45790</v>
      </c>
      <c r="I405" s="58">
        <f>IF(B405&lt;&gt;"",B405,"")</f>
        <v/>
      </c>
    </row>
    <row r="406" ht="15.75" customHeight="1" s="146">
      <c r="C406" t="inlineStr">
        <is>
          <t>Christopher Burnard</t>
        </is>
      </c>
      <c r="D406" s="122" t="inlineStr">
        <is>
          <t>Total</t>
        </is>
      </c>
      <c r="E406" s="122" t="n">
        <v>0.95</v>
      </c>
      <c r="F406" s="122" t="n">
        <v>17</v>
      </c>
      <c r="G406" s="122" t="n">
        <v>16</v>
      </c>
      <c r="I406" s="58">
        <f>IF(B406&lt;&gt;"",B406,"")</f>
        <v/>
      </c>
    </row>
    <row r="407" ht="15.75" customHeight="1" s="146">
      <c r="D407" s="122" t="inlineStr">
        <is>
          <t>Business Matrix</t>
        </is>
      </c>
      <c r="E407" s="122" t="n">
        <v>1</v>
      </c>
      <c r="F407" s="122" t="n">
        <v>6</v>
      </c>
      <c r="G407" s="122" t="n">
        <v>6</v>
      </c>
      <c r="I407" s="58">
        <f>IF(B407&lt;&gt;"",B407,"")</f>
        <v/>
      </c>
    </row>
    <row r="408" ht="15.75" customHeight="1" s="146">
      <c r="C408" s="122" t="n"/>
      <c r="D408" s="122" t="inlineStr">
        <is>
          <t>Customer - Utility Arboriculture</t>
        </is>
      </c>
      <c r="E408" s="122" t="n">
        <v>1</v>
      </c>
      <c r="F408" s="122" t="n">
        <v>4</v>
      </c>
      <c r="G408" s="122" t="n">
        <v>4</v>
      </c>
      <c r="I408" s="58">
        <f>IF(B408&lt;&gt;"",B408,"")</f>
        <v/>
      </c>
    </row>
    <row r="409" ht="15.75" customHeight="1" s="146">
      <c r="D409" s="122" t="inlineStr">
        <is>
          <t>Arborist</t>
        </is>
      </c>
      <c r="E409" s="122" t="n">
        <v>0.86</v>
      </c>
      <c r="F409" s="122" t="n">
        <v>7</v>
      </c>
      <c r="G409" s="122" t="n">
        <v>6</v>
      </c>
      <c r="I409" s="58">
        <f>IF(B409&lt;&gt;"",B409,"")</f>
        <v/>
      </c>
    </row>
    <row r="410" ht="15.75" customHeight="1" s="146">
      <c r="C410" t="inlineStr">
        <is>
          <t>Harley Townsend</t>
        </is>
      </c>
      <c r="D410" s="122" t="inlineStr">
        <is>
          <t>Total</t>
        </is>
      </c>
      <c r="E410" s="122" t="n">
        <v>0.74</v>
      </c>
      <c r="F410" s="122" t="n">
        <v>15</v>
      </c>
      <c r="G410" s="122" t="n">
        <v>11</v>
      </c>
      <c r="I410" s="58">
        <f>IF(B410&lt;&gt;"",B410,"")</f>
        <v/>
      </c>
    </row>
    <row r="411" ht="15.75" customHeight="1" s="146">
      <c r="D411" s="122" t="inlineStr">
        <is>
          <t>Business Matrix</t>
        </is>
      </c>
      <c r="E411" s="122" t="n">
        <v>1</v>
      </c>
      <c r="F411" s="122" t="n">
        <v>6</v>
      </c>
      <c r="G411" s="122" t="n">
        <v>6</v>
      </c>
      <c r="I411" s="58">
        <f>IF(B411&lt;&gt;"",B411,"")</f>
        <v/>
      </c>
    </row>
    <row r="412" ht="15.75" customHeight="1" s="146">
      <c r="C412" s="122" t="n"/>
      <c r="D412" s="122" t="inlineStr">
        <is>
          <t>Grounds Person</t>
        </is>
      </c>
      <c r="E412" s="122" t="n">
        <v>0.8</v>
      </c>
      <c r="F412" s="122" t="n">
        <v>5</v>
      </c>
      <c r="G412" s="122" t="n">
        <v>4</v>
      </c>
      <c r="I412" s="58">
        <f>IF(B412&lt;&gt;"",B412,"")</f>
        <v/>
      </c>
    </row>
    <row r="413" ht="15.75" customHeight="1" s="146">
      <c r="D413" s="122" t="inlineStr">
        <is>
          <t>Customer - Utility Arboriculture</t>
        </is>
      </c>
      <c r="E413" s="122" t="n">
        <v>0.25</v>
      </c>
      <c r="F413" s="122" t="n">
        <v>4</v>
      </c>
      <c r="G413" s="122" t="n">
        <v>1</v>
      </c>
      <c r="I413" s="58">
        <f>IF(B413&lt;&gt;"",B413,"")</f>
        <v/>
      </c>
    </row>
    <row r="414" ht="15.75" customHeight="1" s="146">
      <c r="B414" t="inlineStr">
        <is>
          <t>LT Countryside Services Ltd</t>
        </is>
      </c>
      <c r="C414" s="122" t="inlineStr">
        <is>
          <t>Total</t>
        </is>
      </c>
      <c r="D414" s="122" t="n"/>
      <c r="E414" s="122" t="n">
        <v>0.8200000000000001</v>
      </c>
      <c r="F414" s="122" t="n">
        <v>38</v>
      </c>
      <c r="G414" s="122" t="n">
        <v>31</v>
      </c>
      <c r="H414" s="189" t="n">
        <v>44901</v>
      </c>
      <c r="I414" s="58">
        <f>IF(B414&lt;&gt;"",B414,"")</f>
        <v/>
      </c>
    </row>
    <row r="415" ht="15.75" customHeight="1" s="146">
      <c r="C415" t="inlineStr">
        <is>
          <t>Declan O’Riordan</t>
        </is>
      </c>
      <c r="D415" s="122" t="inlineStr">
        <is>
          <t>Total</t>
        </is>
      </c>
      <c r="E415" s="122" t="n">
        <v>0.89</v>
      </c>
      <c r="F415" s="122" t="n">
        <v>17</v>
      </c>
      <c r="G415" s="122" t="n">
        <v>15</v>
      </c>
      <c r="I415" s="58">
        <f>IF(B415&lt;&gt;"",B415,"")</f>
        <v/>
      </c>
    </row>
    <row r="416" ht="15.75" customHeight="1" s="146">
      <c r="D416" s="122" t="inlineStr">
        <is>
          <t>Business Matrix</t>
        </is>
      </c>
      <c r="E416" s="122" t="n">
        <v>1</v>
      </c>
      <c r="F416" s="122" t="n">
        <v>6</v>
      </c>
      <c r="G416" s="122" t="n">
        <v>6</v>
      </c>
      <c r="I416" s="58">
        <f>IF(B416&lt;&gt;"",B416,"")</f>
        <v/>
      </c>
    </row>
    <row r="417" ht="15.75" customHeight="1" s="146">
      <c r="D417" s="122" t="inlineStr">
        <is>
          <t>Arborist</t>
        </is>
      </c>
      <c r="E417" s="122" t="n">
        <v>0.86</v>
      </c>
      <c r="F417" s="122" t="n">
        <v>7</v>
      </c>
      <c r="G417" s="122" t="n">
        <v>6</v>
      </c>
      <c r="I417" s="58">
        <f>IF(B417&lt;&gt;"",B417,"")</f>
        <v/>
      </c>
    </row>
    <row r="418" ht="15.75" customHeight="1" s="146">
      <c r="C418" s="122" t="n"/>
      <c r="D418" s="122" t="inlineStr">
        <is>
          <t>Customer - Utility Arboriculture</t>
        </is>
      </c>
      <c r="E418" s="122" t="n">
        <v>0.75</v>
      </c>
      <c r="F418" s="122" t="n">
        <v>4</v>
      </c>
      <c r="G418" s="122" t="n">
        <v>3</v>
      </c>
      <c r="I418" s="58">
        <f>IF(B418&lt;&gt;"",B418,"")</f>
        <v/>
      </c>
    </row>
    <row r="419" ht="15.75" customHeight="1" s="146">
      <c r="C419" t="inlineStr">
        <is>
          <t>LAWRENCE TRACEY</t>
        </is>
      </c>
      <c r="D419" s="122" t="inlineStr">
        <is>
          <t>Total</t>
        </is>
      </c>
      <c r="E419" s="122" t="n">
        <v>0.83</v>
      </c>
      <c r="F419" s="122" t="n">
        <v>17</v>
      </c>
      <c r="G419" s="122" t="n">
        <v>14</v>
      </c>
      <c r="I419" s="58">
        <f>IF(B419&lt;&gt;"",B419,"")</f>
        <v/>
      </c>
    </row>
    <row r="420" ht="15.75" customHeight="1" s="146">
      <c r="D420" s="122" t="inlineStr">
        <is>
          <t>Arborist</t>
        </is>
      </c>
      <c r="E420" s="122" t="n">
        <v>0.86</v>
      </c>
      <c r="F420" s="122" t="n">
        <v>7</v>
      </c>
      <c r="G420" s="122" t="n">
        <v>6</v>
      </c>
      <c r="I420" s="58">
        <f>IF(B420&lt;&gt;"",B420,"")</f>
        <v/>
      </c>
    </row>
    <row r="421" ht="15.75" customHeight="1" s="146">
      <c r="D421" s="122" t="inlineStr">
        <is>
          <t>Business Matrix</t>
        </is>
      </c>
      <c r="E421" s="122" t="n">
        <v>0.84</v>
      </c>
      <c r="F421" s="122" t="n">
        <v>6</v>
      </c>
      <c r="G421" s="122" t="n">
        <v>5</v>
      </c>
      <c r="I421" s="58">
        <f>IF(B421&lt;&gt;"",B421,"")</f>
        <v/>
      </c>
    </row>
    <row r="422" ht="15.75" customHeight="1" s="146">
      <c r="C422" s="122" t="n"/>
      <c r="D422" s="122" t="inlineStr">
        <is>
          <t>Customer - Utility Arboriculture</t>
        </is>
      </c>
      <c r="E422" s="122" t="n">
        <v>0.75</v>
      </c>
      <c r="F422" s="122" t="n">
        <v>4</v>
      </c>
      <c r="G422" s="122" t="n">
        <v>3</v>
      </c>
      <c r="I422" s="58">
        <f>IF(B422&lt;&gt;"",B422,"")</f>
        <v/>
      </c>
    </row>
    <row r="423" ht="15.75" customHeight="1" s="146">
      <c r="C423" t="inlineStr">
        <is>
          <t>LT COUNTRYSIDE SERVICES LTD (L&amp;A) .</t>
        </is>
      </c>
      <c r="D423" s="122" t="inlineStr">
        <is>
          <t>Total</t>
        </is>
      </c>
      <c r="E423" s="122" t="n">
        <v>0.5</v>
      </c>
      <c r="F423" s="122" t="n">
        <v>4</v>
      </c>
      <c r="G423" s="122" t="n">
        <v>2</v>
      </c>
      <c r="I423" s="58">
        <f>IF(B423&lt;&gt;"",B423,"")</f>
        <v/>
      </c>
    </row>
    <row r="424" ht="15.75" customHeight="1" s="146">
      <c r="D424" s="122" t="inlineStr">
        <is>
          <t>Team Matrix</t>
        </is>
      </c>
      <c r="E424" s="122" t="n">
        <v>0.5</v>
      </c>
      <c r="F424" s="122" t="n">
        <v>4</v>
      </c>
      <c r="G424" s="122" t="n">
        <v>2</v>
      </c>
      <c r="I424" s="58">
        <f>IF(B424&lt;&gt;"",B424,"")</f>
        <v/>
      </c>
    </row>
    <row r="425" ht="15.75" customHeight="1" s="146">
      <c r="B425" t="inlineStr">
        <is>
          <t>MX2 Trees Ltd</t>
        </is>
      </c>
      <c r="C425" t="inlineStr">
        <is>
          <t>Total</t>
        </is>
      </c>
      <c r="D425" s="122" t="n"/>
      <c r="E425" s="122" t="n">
        <v>0.8200000000000001</v>
      </c>
      <c r="F425" s="122" t="n">
        <v>38</v>
      </c>
      <c r="G425" s="122" t="n">
        <v>31</v>
      </c>
      <c r="H425" s="189" t="n">
        <v>46065</v>
      </c>
      <c r="I425" s="58">
        <f>IF(B425&lt;&gt;"",B425,"")</f>
        <v/>
      </c>
    </row>
    <row r="426" ht="15.75" customHeight="1" s="146">
      <c r="C426" s="122" t="inlineStr">
        <is>
          <t>Mason Rendell</t>
        </is>
      </c>
      <c r="D426" s="122" t="inlineStr">
        <is>
          <t>Total</t>
        </is>
      </c>
      <c r="E426" s="122" t="n">
        <v>1</v>
      </c>
      <c r="F426" s="122" t="n">
        <v>17</v>
      </c>
      <c r="G426" s="122" t="n">
        <v>17</v>
      </c>
      <c r="I426" s="58">
        <f>IF(B426&lt;&gt;"",B426,"")</f>
        <v/>
      </c>
    </row>
    <row r="427" ht="15.75" customHeight="1" s="146">
      <c r="D427" s="122" t="inlineStr">
        <is>
          <t>Arborist</t>
        </is>
      </c>
      <c r="E427" s="122" t="n">
        <v>1</v>
      </c>
      <c r="F427" s="122" t="n">
        <v>7</v>
      </c>
      <c r="G427" s="122" t="n">
        <v>7</v>
      </c>
      <c r="I427" s="58">
        <f>IF(B427&lt;&gt;"",B427,"")</f>
        <v/>
      </c>
    </row>
    <row r="428" ht="15.75" customHeight="1" s="146">
      <c r="D428" s="122" t="inlineStr">
        <is>
          <t>Business Matrix</t>
        </is>
      </c>
      <c r="E428" s="122" t="n">
        <v>1</v>
      </c>
      <c r="F428" s="122" t="n">
        <v>6</v>
      </c>
      <c r="G428" s="122" t="n">
        <v>6</v>
      </c>
      <c r="I428" s="58">
        <f>IF(B428&lt;&gt;"",B428,"")</f>
        <v/>
      </c>
    </row>
    <row r="429" ht="15.75" customHeight="1" s="146">
      <c r="D429" s="122" t="inlineStr">
        <is>
          <t>Customer - Utility Arboriculture</t>
        </is>
      </c>
      <c r="E429" s="122" t="n">
        <v>1</v>
      </c>
      <c r="F429" s="122" t="n">
        <v>4</v>
      </c>
      <c r="G429" s="122" t="n">
        <v>4</v>
      </c>
      <c r="I429" s="58">
        <f>IF(B429&lt;&gt;"",B429,"")</f>
        <v/>
      </c>
    </row>
    <row r="430" ht="15.75" customHeight="1" s="146">
      <c r="C430" s="122" t="inlineStr">
        <is>
          <t>MX2 Trees Ltd .</t>
        </is>
      </c>
      <c r="D430" s="122" t="inlineStr">
        <is>
          <t>Total</t>
        </is>
      </c>
      <c r="E430" s="122" t="n">
        <v>1</v>
      </c>
      <c r="F430" s="122" t="n">
        <v>4</v>
      </c>
      <c r="G430" s="122" t="n">
        <v>4</v>
      </c>
      <c r="I430" s="58">
        <f>IF(B430&lt;&gt;"",B430,"")</f>
        <v/>
      </c>
    </row>
    <row r="431" ht="15.75" customHeight="1" s="146">
      <c r="D431" s="122" t="inlineStr">
        <is>
          <t>Team Matrix</t>
        </is>
      </c>
      <c r="E431" s="122" t="n">
        <v>1</v>
      </c>
      <c r="F431" s="122" t="n">
        <v>4</v>
      </c>
      <c r="G431" s="122" t="n">
        <v>4</v>
      </c>
      <c r="I431" s="58">
        <f>IF(B431&lt;&gt;"",B431,"")</f>
        <v/>
      </c>
    </row>
    <row r="432" ht="15.75" customHeight="1" s="146">
      <c r="C432" t="inlineStr">
        <is>
          <t>Miles Rendell</t>
        </is>
      </c>
      <c r="D432" s="122" t="inlineStr">
        <is>
          <t>Total</t>
        </is>
      </c>
      <c r="E432" s="122" t="n">
        <v>0.59</v>
      </c>
      <c r="F432" s="122" t="n">
        <v>17</v>
      </c>
      <c r="G432" s="122" t="n">
        <v>10</v>
      </c>
      <c r="I432" s="58">
        <f>IF(B432&lt;&gt;"",B432,"")</f>
        <v/>
      </c>
    </row>
    <row r="433" ht="15.75" customHeight="1" s="146">
      <c r="D433" s="122" t="inlineStr">
        <is>
          <t>Business Matrix</t>
        </is>
      </c>
      <c r="E433" s="122" t="n">
        <v>1</v>
      </c>
      <c r="F433" s="122" t="n">
        <v>6</v>
      </c>
      <c r="G433" s="122" t="n">
        <v>6</v>
      </c>
      <c r="I433" s="58">
        <f>IF(B433&lt;&gt;"",B433,"")</f>
        <v/>
      </c>
    </row>
    <row r="434" ht="15.75" customHeight="1" s="146">
      <c r="C434" s="122" t="n"/>
      <c r="D434" s="122" t="inlineStr">
        <is>
          <t>Arborist</t>
        </is>
      </c>
      <c r="E434" s="122" t="n">
        <v>0.43</v>
      </c>
      <c r="F434" s="122" t="n">
        <v>7</v>
      </c>
      <c r="G434" s="122" t="n">
        <v>3</v>
      </c>
      <c r="I434" s="58">
        <f>IF(B434&lt;&gt;"",B434,"")</f>
        <v/>
      </c>
    </row>
    <row r="435" ht="15.75" customHeight="1" s="146">
      <c r="D435" s="122" t="inlineStr">
        <is>
          <t>Customer - Utility Arboriculture</t>
        </is>
      </c>
      <c r="E435" s="122" t="n">
        <v>0.25</v>
      </c>
      <c r="F435" s="122" t="n">
        <v>4</v>
      </c>
      <c r="G435" s="122" t="n">
        <v>1</v>
      </c>
      <c r="I435" s="58">
        <f>IF(B435&lt;&gt;"",B435,"")</f>
        <v/>
      </c>
    </row>
    <row r="436" ht="15.75" customHeight="1" s="146">
      <c r="B436" t="inlineStr">
        <is>
          <t>Astbury Tree Care</t>
        </is>
      </c>
      <c r="C436" t="inlineStr">
        <is>
          <t>Total</t>
        </is>
      </c>
      <c r="D436" s="122" t="n"/>
      <c r="E436" s="122" t="n">
        <v>0.8</v>
      </c>
      <c r="F436" s="122" t="n">
        <v>102</v>
      </c>
      <c r="G436" s="122" t="n">
        <v>81</v>
      </c>
      <c r="H436" s="189" t="n">
        <v>42930</v>
      </c>
      <c r="I436" s="58">
        <f>IF(B436&lt;&gt;"",B436,"")</f>
        <v/>
      </c>
    </row>
    <row r="437" ht="15.75" customHeight="1" s="146">
      <c r="C437" t="inlineStr">
        <is>
          <t>Astbury Tree Care</t>
        </is>
      </c>
      <c r="D437" s="122" t="inlineStr">
        <is>
          <t>Total</t>
        </is>
      </c>
      <c r="E437" s="122" t="n">
        <v>1</v>
      </c>
      <c r="F437" s="122" t="n">
        <v>4</v>
      </c>
      <c r="G437" s="122" t="n">
        <v>4</v>
      </c>
      <c r="I437" s="58">
        <f>IF(B437&lt;&gt;"",B437,"")</f>
        <v/>
      </c>
    </row>
    <row r="438" ht="15.75" customHeight="1" s="146">
      <c r="B438" s="122" t="n"/>
      <c r="C438" s="122" t="n"/>
      <c r="D438" t="inlineStr">
        <is>
          <t>Team Matrix</t>
        </is>
      </c>
      <c r="E438" s="122" t="n">
        <v>1</v>
      </c>
      <c r="F438" s="122" t="n">
        <v>4</v>
      </c>
      <c r="G438" s="122" t="n">
        <v>4</v>
      </c>
      <c r="H438" s="57" t="n"/>
      <c r="I438" s="58">
        <f>IF(B438&lt;&gt;"",B438,"")</f>
        <v/>
      </c>
    </row>
    <row r="439" ht="15.75" customHeight="1" s="146">
      <c r="C439" s="122" t="inlineStr">
        <is>
          <t>Alex Hayley</t>
        </is>
      </c>
      <c r="D439" s="122" t="inlineStr">
        <is>
          <t>Total</t>
        </is>
      </c>
      <c r="E439" s="122" t="n">
        <v>0.95</v>
      </c>
      <c r="F439" s="122" t="n">
        <v>17</v>
      </c>
      <c r="G439" s="122" t="n">
        <v>16</v>
      </c>
      <c r="I439" s="58">
        <f>IF(B439&lt;&gt;"",B439,"")</f>
        <v/>
      </c>
    </row>
    <row r="440" ht="15.75" customHeight="1" s="146">
      <c r="D440" s="122" t="inlineStr">
        <is>
          <t>Business Matrix</t>
        </is>
      </c>
      <c r="E440" s="122" t="n">
        <v>1</v>
      </c>
      <c r="F440" s="122" t="n">
        <v>6</v>
      </c>
      <c r="G440" s="122" t="n">
        <v>6</v>
      </c>
      <c r="I440" s="58">
        <f>IF(B440&lt;&gt;"",B440,"")</f>
        <v/>
      </c>
    </row>
    <row r="441" ht="15.75" customHeight="1" s="146">
      <c r="D441" s="122" t="inlineStr">
        <is>
          <t>Customer - Utility Arboriculture</t>
        </is>
      </c>
      <c r="E441" s="122" t="n">
        <v>1</v>
      </c>
      <c r="F441" s="122" t="n">
        <v>4</v>
      </c>
      <c r="G441" s="122" t="n">
        <v>4</v>
      </c>
      <c r="I441" s="58">
        <f>IF(B441&lt;&gt;"",B441,"")</f>
        <v/>
      </c>
    </row>
    <row r="442" ht="15.75" customHeight="1" s="146">
      <c r="D442" s="122" t="inlineStr">
        <is>
          <t>Arborist</t>
        </is>
      </c>
      <c r="E442" s="122" t="n">
        <v>0.86</v>
      </c>
      <c r="F442" s="122" t="n">
        <v>7</v>
      </c>
      <c r="G442" s="122" t="n">
        <v>6</v>
      </c>
      <c r="I442" s="58">
        <f>IF(B442&lt;&gt;"",B442,"")</f>
        <v/>
      </c>
    </row>
    <row r="443" ht="15.75" customHeight="1" s="146">
      <c r="C443" s="122" t="inlineStr">
        <is>
          <t>Max Baker</t>
        </is>
      </c>
      <c r="D443" s="122" t="inlineStr">
        <is>
          <t>Total</t>
        </is>
      </c>
      <c r="E443" s="122" t="n">
        <v>0.83</v>
      </c>
      <c r="F443" s="122" t="n">
        <v>17</v>
      </c>
      <c r="G443" s="122" t="n">
        <v>14</v>
      </c>
      <c r="I443" s="58">
        <f>IF(B443&lt;&gt;"",B443,"")</f>
        <v/>
      </c>
    </row>
    <row r="444" ht="15.75" customHeight="1" s="146">
      <c r="D444" s="122" t="inlineStr">
        <is>
          <t>Business Matrix</t>
        </is>
      </c>
      <c r="E444" s="122" t="n">
        <v>1</v>
      </c>
      <c r="F444" s="122" t="n">
        <v>6</v>
      </c>
      <c r="G444" s="122" t="n">
        <v>6</v>
      </c>
      <c r="I444" s="58">
        <f>IF(B444&lt;&gt;"",B444,"")</f>
        <v/>
      </c>
    </row>
    <row r="445" ht="15.75" customHeight="1" s="146">
      <c r="D445" s="122" t="inlineStr">
        <is>
          <t>Customer - Utility Arboriculture</t>
        </is>
      </c>
      <c r="E445" s="122" t="n">
        <v>1</v>
      </c>
      <c r="F445" s="122" t="n">
        <v>4</v>
      </c>
      <c r="G445" s="122" t="n">
        <v>4</v>
      </c>
      <c r="I445" s="58">
        <f>IF(B445&lt;&gt;"",B445,"")</f>
        <v/>
      </c>
    </row>
    <row r="446" ht="15.75" customHeight="1" s="146">
      <c r="C446" s="122" t="n"/>
      <c r="D446" s="122" t="inlineStr">
        <is>
          <t>Arborist</t>
        </is>
      </c>
      <c r="E446" s="122" t="n">
        <v>0.58</v>
      </c>
      <c r="F446" s="122" t="n">
        <v>7</v>
      </c>
      <c r="G446" s="122" t="n">
        <v>4</v>
      </c>
      <c r="I446" s="58">
        <f>IF(B446&lt;&gt;"",B446,"")</f>
        <v/>
      </c>
    </row>
    <row r="447" ht="15.75" customHeight="1" s="146">
      <c r="C447" t="inlineStr"/>
      <c r="D447" s="122" t="inlineStr">
        <is>
          <t>Total</t>
        </is>
      </c>
      <c r="E447" s="122" t="n">
        <v>0.75</v>
      </c>
      <c r="F447" s="122" t="n">
        <v>47</v>
      </c>
      <c r="G447" s="122" t="n">
        <v>35</v>
      </c>
      <c r="I447" s="58">
        <f>IF(B447&lt;&gt;"",B447,"")</f>
        <v/>
      </c>
    </row>
    <row r="448" ht="15.75" customHeight="1" s="146">
      <c r="C448" s="122" t="n"/>
      <c r="D448" s="122" t="inlineStr">
        <is>
          <t>Business Matrix</t>
        </is>
      </c>
      <c r="E448" s="122" t="n">
        <v>0.89</v>
      </c>
      <c r="F448" s="122" t="n">
        <v>18</v>
      </c>
      <c r="G448" s="122" t="n">
        <v>16</v>
      </c>
      <c r="I448" s="58">
        <f>IF(B448&lt;&gt;"",B448,"")</f>
        <v/>
      </c>
    </row>
    <row r="449" ht="15.75" customHeight="1" s="146">
      <c r="D449" s="122" t="inlineStr">
        <is>
          <t>Arborist</t>
        </is>
      </c>
      <c r="E449" s="122" t="n">
        <v>0.72</v>
      </c>
      <c r="F449" s="122" t="n">
        <v>7</v>
      </c>
      <c r="G449" s="122" t="n">
        <v>5</v>
      </c>
      <c r="I449" s="58">
        <f>IF(B449&lt;&gt;"",B449,"")</f>
        <v/>
      </c>
    </row>
    <row r="450" ht="15.75" customHeight="1" s="146">
      <c r="D450" s="122" t="inlineStr">
        <is>
          <t>Grounds Person</t>
        </is>
      </c>
      <c r="E450" s="122" t="n">
        <v>0.7</v>
      </c>
      <c r="F450" s="122" t="n">
        <v>10</v>
      </c>
      <c r="G450" s="122" t="n">
        <v>7</v>
      </c>
      <c r="I450" s="58">
        <f>IF(B450&lt;&gt;"",B450,"")</f>
        <v/>
      </c>
    </row>
    <row r="451" ht="15.75" customHeight="1" s="146">
      <c r="C451" s="122" t="n"/>
      <c r="D451" s="122" t="inlineStr">
        <is>
          <t>Customer - Utility Arboriculture</t>
        </is>
      </c>
      <c r="E451" s="122" t="n">
        <v>0.59</v>
      </c>
      <c r="F451" s="122" t="n">
        <v>12</v>
      </c>
      <c r="G451" s="122" t="n">
        <v>7</v>
      </c>
      <c r="I451" s="58">
        <f>IF(B451&lt;&gt;"",B451,"")</f>
        <v/>
      </c>
    </row>
    <row r="452" ht="15.75" customHeight="1" s="146">
      <c r="C452" t="inlineStr">
        <is>
          <t>George Astbury</t>
        </is>
      </c>
      <c r="D452" s="122" t="inlineStr">
        <is>
          <t>Total</t>
        </is>
      </c>
      <c r="E452" s="122" t="n">
        <v>0.71</v>
      </c>
      <c r="F452" s="122" t="n">
        <v>17</v>
      </c>
      <c r="G452" s="122" t="n">
        <v>12</v>
      </c>
      <c r="I452" s="58">
        <f>IF(B452&lt;&gt;"",B452,"")</f>
        <v/>
      </c>
    </row>
    <row r="453" ht="15.75" customHeight="1" s="146">
      <c r="D453" s="122" t="inlineStr">
        <is>
          <t>Business Matrix</t>
        </is>
      </c>
      <c r="E453" s="122" t="n">
        <v>1</v>
      </c>
      <c r="F453" s="122" t="n">
        <v>6</v>
      </c>
      <c r="G453" s="122" t="n">
        <v>6</v>
      </c>
      <c r="I453" s="58">
        <f>IF(B453&lt;&gt;"",B453,"")</f>
        <v/>
      </c>
    </row>
    <row r="454" ht="15.75" customHeight="1" s="146">
      <c r="D454" s="122" t="inlineStr">
        <is>
          <t>Arborist</t>
        </is>
      </c>
      <c r="E454" s="122" t="n">
        <v>0.72</v>
      </c>
      <c r="F454" s="122" t="n">
        <v>7</v>
      </c>
      <c r="G454" s="122" t="n">
        <v>5</v>
      </c>
      <c r="I454" s="58">
        <f>IF(B454&lt;&gt;"",B454,"")</f>
        <v/>
      </c>
    </row>
    <row r="455" ht="15.75" customHeight="1" s="146">
      <c r="C455" s="122" t="n"/>
      <c r="D455" s="122" t="inlineStr">
        <is>
          <t>Customer - Utility Arboriculture</t>
        </is>
      </c>
      <c r="E455" s="122" t="n">
        <v>0.25</v>
      </c>
      <c r="F455" s="122" t="n">
        <v>4</v>
      </c>
      <c r="G455" s="122" t="n">
        <v>1</v>
      </c>
      <c r="I455" s="58">
        <f>IF(B455&lt;&gt;"",B455,"")</f>
        <v/>
      </c>
    </row>
    <row r="456" ht="15.75" customHeight="1" s="146">
      <c r="B456" t="inlineStr">
        <is>
          <t>Brinksworth Tree Services Ltd</t>
        </is>
      </c>
      <c r="C456" t="inlineStr">
        <is>
          <t>Total</t>
        </is>
      </c>
      <c r="D456" s="122" t="n"/>
      <c r="E456" s="122" t="n">
        <v>0.8</v>
      </c>
      <c r="F456" s="122" t="n">
        <v>87</v>
      </c>
      <c r="G456" s="122" t="n">
        <v>69</v>
      </c>
      <c r="H456" s="189" t="n">
        <v>44740</v>
      </c>
      <c r="I456" s="58">
        <f>IF(B456&lt;&gt;"",B456,"")</f>
        <v/>
      </c>
    </row>
    <row r="457" ht="15.75" customHeight="1" s="146">
      <c r="C457" t="inlineStr">
        <is>
          <t>Brinksworth Tree Services Ltd</t>
        </is>
      </c>
      <c r="D457" s="122" t="inlineStr">
        <is>
          <t>Total</t>
        </is>
      </c>
      <c r="E457" s="122" t="n">
        <v>1</v>
      </c>
      <c r="F457" s="122" t="n">
        <v>4</v>
      </c>
      <c r="G457" s="122" t="n">
        <v>4</v>
      </c>
      <c r="I457" s="58">
        <f>IF(B457&lt;&gt;"",B457,"")</f>
        <v/>
      </c>
    </row>
    <row r="458" ht="15.75" customHeight="1" s="146">
      <c r="D458" s="122" t="inlineStr">
        <is>
          <t>Team Matrix</t>
        </is>
      </c>
      <c r="E458" s="122" t="n">
        <v>1</v>
      </c>
      <c r="F458" s="122" t="n">
        <v>4</v>
      </c>
      <c r="G458" s="122" t="n">
        <v>4</v>
      </c>
      <c r="I458" s="58">
        <f>IF(B458&lt;&gt;"",B458,"")</f>
        <v/>
      </c>
    </row>
    <row r="459" ht="15.75" customHeight="1" s="146">
      <c r="B459" s="122" t="n"/>
      <c r="C459" s="122" t="inlineStr">
        <is>
          <t>Richard Knott</t>
        </is>
      </c>
      <c r="D459" t="inlineStr">
        <is>
          <t>Total</t>
        </is>
      </c>
      <c r="E459" s="122" t="n">
        <v>0.89</v>
      </c>
      <c r="F459" s="122" t="n">
        <v>17</v>
      </c>
      <c r="G459" s="122" t="n">
        <v>15</v>
      </c>
      <c r="H459" s="57" t="n"/>
      <c r="I459" s="58">
        <f>IF(B459&lt;&gt;"",B459,"")</f>
        <v/>
      </c>
    </row>
    <row r="460" ht="15.75" customHeight="1" s="146">
      <c r="C460" s="122" t="n"/>
      <c r="D460" s="122" t="inlineStr">
        <is>
          <t>Customer - Utility Arboriculture</t>
        </is>
      </c>
      <c r="E460" s="122" t="n">
        <v>1</v>
      </c>
      <c r="F460" s="122" t="n">
        <v>4</v>
      </c>
      <c r="G460" s="122" t="n">
        <v>4</v>
      </c>
      <c r="I460" s="58">
        <f>IF(B460&lt;&gt;"",B460,"")</f>
        <v/>
      </c>
    </row>
    <row r="461" ht="15.75" customHeight="1" s="146">
      <c r="D461" s="122" t="inlineStr">
        <is>
          <t>Arborist</t>
        </is>
      </c>
      <c r="E461" s="122" t="n">
        <v>0.86</v>
      </c>
      <c r="F461" s="122" t="n">
        <v>7</v>
      </c>
      <c r="G461" s="122" t="n">
        <v>6</v>
      </c>
      <c r="I461" s="58">
        <f>IF(B461&lt;&gt;"",B461,"")</f>
        <v/>
      </c>
    </row>
    <row r="462" ht="15.75" customHeight="1" s="146">
      <c r="D462" s="122" t="inlineStr">
        <is>
          <t>Business Matrix</t>
        </is>
      </c>
      <c r="E462" s="122" t="n">
        <v>0.84</v>
      </c>
      <c r="F462" s="122" t="n">
        <v>6</v>
      </c>
      <c r="G462" s="122" t="n">
        <v>5</v>
      </c>
      <c r="I462" s="58">
        <f>IF(B462&lt;&gt;"",B462,"")</f>
        <v/>
      </c>
    </row>
    <row r="463" ht="15.75" customHeight="1" s="146">
      <c r="C463" t="inlineStr">
        <is>
          <t>Scott Carpenter</t>
        </is>
      </c>
      <c r="D463" s="122" t="inlineStr">
        <is>
          <t>Total</t>
        </is>
      </c>
      <c r="E463" s="122" t="n">
        <v>0.89</v>
      </c>
      <c r="F463" s="122" t="n">
        <v>17</v>
      </c>
      <c r="G463" s="122" t="n">
        <v>15</v>
      </c>
      <c r="I463" s="58">
        <f>IF(B463&lt;&gt;"",B463,"")</f>
        <v/>
      </c>
    </row>
    <row r="464" ht="15.75" customHeight="1" s="146">
      <c r="C464" s="122" t="n"/>
      <c r="D464" s="122" t="inlineStr">
        <is>
          <t>Customer - Utility Arboriculture</t>
        </is>
      </c>
      <c r="E464" s="122" t="n">
        <v>1</v>
      </c>
      <c r="F464" s="122" t="n">
        <v>4</v>
      </c>
      <c r="G464" s="122" t="n">
        <v>4</v>
      </c>
      <c r="I464" s="58">
        <f>IF(B464&lt;&gt;"",B464,"")</f>
        <v/>
      </c>
    </row>
    <row r="465" ht="15.75" customHeight="1" s="146">
      <c r="D465" s="122" t="inlineStr">
        <is>
          <t>Arborist</t>
        </is>
      </c>
      <c r="E465" s="122" t="n">
        <v>0.86</v>
      </c>
      <c r="F465" s="122" t="n">
        <v>7</v>
      </c>
      <c r="G465" s="122" t="n">
        <v>6</v>
      </c>
      <c r="I465" s="58">
        <f>IF(B465&lt;&gt;"",B465,"")</f>
        <v/>
      </c>
    </row>
    <row r="466" ht="15.75" customHeight="1" s="146">
      <c r="C466" s="122" t="n"/>
      <c r="D466" s="122" t="inlineStr">
        <is>
          <t>Business Matrix</t>
        </is>
      </c>
      <c r="E466" s="122" t="n">
        <v>0.84</v>
      </c>
      <c r="F466" s="122" t="n">
        <v>6</v>
      </c>
      <c r="G466" s="122" t="n">
        <v>5</v>
      </c>
      <c r="I466" s="58">
        <f>IF(B466&lt;&gt;"",B466,"")</f>
        <v/>
      </c>
    </row>
    <row r="467" ht="15.75" customHeight="1" s="146">
      <c r="C467" t="inlineStr">
        <is>
          <t>Sam Gilbert</t>
        </is>
      </c>
      <c r="D467" s="122" t="inlineStr">
        <is>
          <t>Total</t>
        </is>
      </c>
      <c r="E467" s="122" t="n">
        <v>0.8</v>
      </c>
      <c r="F467" s="122" t="n">
        <v>15</v>
      </c>
      <c r="G467" s="122" t="n">
        <v>12</v>
      </c>
      <c r="I467" s="58">
        <f>IF(B467&lt;&gt;"",B467,"")</f>
        <v/>
      </c>
    </row>
    <row r="468" ht="15.75" customHeight="1" s="146">
      <c r="D468" s="122" t="inlineStr">
        <is>
          <t>Business Matrix</t>
        </is>
      </c>
      <c r="E468" s="122" t="n">
        <v>1</v>
      </c>
      <c r="F468" s="122" t="n">
        <v>6</v>
      </c>
      <c r="G468" s="122" t="n">
        <v>6</v>
      </c>
      <c r="I468" s="58">
        <f>IF(B468&lt;&gt;"",B468,"")</f>
        <v/>
      </c>
    </row>
    <row r="469" ht="15.75" customHeight="1" s="146">
      <c r="D469" s="122" t="inlineStr">
        <is>
          <t>Customer - Utility Arboriculture</t>
        </is>
      </c>
      <c r="E469" s="122" t="n">
        <v>0.75</v>
      </c>
      <c r="F469" s="122" t="n">
        <v>4</v>
      </c>
      <c r="G469" s="122" t="n">
        <v>3</v>
      </c>
      <c r="I469" s="58">
        <f>IF(B469&lt;&gt;"",B469,"")</f>
        <v/>
      </c>
    </row>
    <row r="470" ht="15.75" customHeight="1" s="146">
      <c r="C470" s="122" t="n"/>
      <c r="D470" s="122" t="inlineStr">
        <is>
          <t>Grounds Person</t>
        </is>
      </c>
      <c r="E470" s="122" t="n">
        <v>0.6</v>
      </c>
      <c r="F470" s="122" t="n">
        <v>5</v>
      </c>
      <c r="G470" s="122" t="n">
        <v>3</v>
      </c>
      <c r="I470" s="58">
        <f>IF(B470&lt;&gt;"",B470,"")</f>
        <v/>
      </c>
    </row>
    <row r="471" ht="15.75" customHeight="1" s="146">
      <c r="C471" t="inlineStr">
        <is>
          <t>Matt Flood</t>
        </is>
      </c>
      <c r="D471" s="122" t="inlineStr">
        <is>
          <t>Total</t>
        </is>
      </c>
      <c r="E471" s="122" t="n">
        <v>0.77</v>
      </c>
      <c r="F471" s="122" t="n">
        <v>17</v>
      </c>
      <c r="G471" s="122" t="n">
        <v>13</v>
      </c>
      <c r="I471" s="58">
        <f>IF(B471&lt;&gt;"",B471,"")</f>
        <v/>
      </c>
    </row>
    <row r="472" ht="15.75" customHeight="1" s="146">
      <c r="D472" s="122" t="inlineStr">
        <is>
          <t>Business Matrix</t>
        </is>
      </c>
      <c r="E472" s="122" t="n">
        <v>1</v>
      </c>
      <c r="F472" s="122" t="n">
        <v>6</v>
      </c>
      <c r="G472" s="122" t="n">
        <v>6</v>
      </c>
      <c r="I472" s="58">
        <f>IF(B472&lt;&gt;"",B472,"")</f>
        <v/>
      </c>
    </row>
    <row r="473" ht="15.75" customHeight="1" s="146">
      <c r="D473" s="122" t="inlineStr">
        <is>
          <t>Customer - Utility Arboriculture</t>
        </is>
      </c>
      <c r="E473" s="122" t="n">
        <v>0.75</v>
      </c>
      <c r="F473" s="122" t="n">
        <v>4</v>
      </c>
      <c r="G473" s="122" t="n">
        <v>3</v>
      </c>
      <c r="I473" s="58">
        <f>IF(B473&lt;&gt;"",B473,"")</f>
        <v/>
      </c>
    </row>
    <row r="474" ht="15.75" customHeight="1" s="146">
      <c r="C474" s="122" t="n"/>
      <c r="D474" s="122" t="inlineStr">
        <is>
          <t>Arborist</t>
        </is>
      </c>
      <c r="E474" s="122" t="n">
        <v>0.58</v>
      </c>
      <c r="F474" s="122" t="n">
        <v>7</v>
      </c>
      <c r="G474" s="122" t="n">
        <v>4</v>
      </c>
      <c r="I474" s="58">
        <f>IF(B474&lt;&gt;"",B474,"")</f>
        <v/>
      </c>
    </row>
    <row r="475" ht="15.75" customHeight="1" s="146">
      <c r="C475" t="inlineStr">
        <is>
          <t>Marlee Butler</t>
        </is>
      </c>
      <c r="D475" s="122" t="inlineStr">
        <is>
          <t>Total</t>
        </is>
      </c>
      <c r="E475" s="122" t="n">
        <v>0.59</v>
      </c>
      <c r="F475" s="122" t="n">
        <v>17</v>
      </c>
      <c r="G475" s="122" t="n">
        <v>10</v>
      </c>
      <c r="I475" s="58">
        <f>IF(B475&lt;&gt;"",B475,"")</f>
        <v/>
      </c>
    </row>
    <row r="476" ht="15.75" customHeight="1" s="146">
      <c r="D476" s="122" t="inlineStr">
        <is>
          <t>Arborist</t>
        </is>
      </c>
      <c r="E476" s="122" t="n">
        <v>0.72</v>
      </c>
      <c r="F476" s="122" t="n">
        <v>7</v>
      </c>
      <c r="G476" s="122" t="n">
        <v>5</v>
      </c>
      <c r="I476" s="58">
        <f>IF(B476&lt;&gt;"",B476,"")</f>
        <v/>
      </c>
    </row>
    <row r="477" ht="15.75" customHeight="1" s="146">
      <c r="D477" s="122" t="inlineStr">
        <is>
          <t>Business Matrix</t>
        </is>
      </c>
      <c r="E477" s="122" t="n">
        <v>0.67</v>
      </c>
      <c r="F477" s="122" t="n">
        <v>6</v>
      </c>
      <c r="G477" s="122" t="n">
        <v>4</v>
      </c>
      <c r="I477" s="58">
        <f>IF(B477&lt;&gt;"",B477,"")</f>
        <v/>
      </c>
    </row>
    <row r="478" ht="15.75" customHeight="1" s="146">
      <c r="C478" s="122" t="n"/>
      <c r="D478" s="122" t="inlineStr">
        <is>
          <t>Customer - Utility Arboriculture</t>
        </is>
      </c>
      <c r="E478" s="122" t="n">
        <v>0.25</v>
      </c>
      <c r="F478" s="122" t="n">
        <v>4</v>
      </c>
      <c r="G478" s="122" t="n">
        <v>1</v>
      </c>
      <c r="I478" s="58">
        <f>IF(B478&lt;&gt;"",B478,"")</f>
        <v/>
      </c>
    </row>
    <row r="479" ht="15.75" customHeight="1" s="146">
      <c r="B479" t="inlineStr">
        <is>
          <t>Central Tree Maintenance</t>
        </is>
      </c>
      <c r="C479" t="inlineStr">
        <is>
          <t>Total</t>
        </is>
      </c>
      <c r="D479" s="122" t="n"/>
      <c r="E479" s="122" t="n">
        <v>0.8</v>
      </c>
      <c r="F479" s="122" t="n">
        <v>70</v>
      </c>
      <c r="G479" s="122" t="n">
        <v>56</v>
      </c>
      <c r="H479" s="189" t="n">
        <v>41995</v>
      </c>
      <c r="I479" s="58">
        <f>IF(B479&lt;&gt;"",B479,"")</f>
        <v/>
      </c>
    </row>
    <row r="480" ht="15.75" customHeight="1" s="146">
      <c r="C480" t="inlineStr">
        <is>
          <t>Central Tree Maintenance</t>
        </is>
      </c>
      <c r="D480" s="122" t="inlineStr">
        <is>
          <t>Total</t>
        </is>
      </c>
      <c r="E480" s="122" t="n">
        <v>1</v>
      </c>
      <c r="F480" s="122" t="n">
        <v>4</v>
      </c>
      <c r="G480" s="122" t="n">
        <v>4</v>
      </c>
      <c r="I480" s="58">
        <f>IF(B480&lt;&gt;"",B480,"")</f>
        <v/>
      </c>
    </row>
    <row r="481" ht="15.75" customHeight="1" s="146">
      <c r="D481" s="122" t="inlineStr">
        <is>
          <t>Team Matrix</t>
        </is>
      </c>
      <c r="E481" s="122" t="n">
        <v>1</v>
      </c>
      <c r="F481" s="122" t="n">
        <v>4</v>
      </c>
      <c r="G481" s="122" t="n">
        <v>4</v>
      </c>
      <c r="I481" s="58">
        <f>IF(B481&lt;&gt;"",B481,"")</f>
        <v/>
      </c>
    </row>
    <row r="482" ht="15.75" customHeight="1" s="146">
      <c r="B482" s="122" t="n"/>
      <c r="C482" s="122" t="inlineStr">
        <is>
          <t>Michael George</t>
        </is>
      </c>
      <c r="D482" t="inlineStr">
        <is>
          <t>Total</t>
        </is>
      </c>
      <c r="E482" s="122" t="n">
        <v>0.89</v>
      </c>
      <c r="F482" s="122" t="n">
        <v>17</v>
      </c>
      <c r="G482" s="122" t="n">
        <v>15</v>
      </c>
      <c r="H482" s="57" t="n"/>
      <c r="I482" s="58">
        <f>IF(B482&lt;&gt;"",B482,"")</f>
        <v/>
      </c>
    </row>
    <row r="483" ht="15.75" customHeight="1" s="146">
      <c r="C483" s="122" t="n"/>
      <c r="D483" s="122" t="inlineStr">
        <is>
          <t>Business Matrix</t>
        </is>
      </c>
      <c r="E483" s="122" t="n">
        <v>1</v>
      </c>
      <c r="F483" s="122" t="n">
        <v>6</v>
      </c>
      <c r="G483" s="122" t="n">
        <v>6</v>
      </c>
      <c r="I483" s="58">
        <f>IF(B483&lt;&gt;"",B483,"")</f>
        <v/>
      </c>
    </row>
    <row r="484" ht="15.75" customHeight="1" s="146">
      <c r="D484" s="122" t="inlineStr">
        <is>
          <t>Customer - Utility Arboriculture</t>
        </is>
      </c>
      <c r="E484" s="122" t="n">
        <v>1</v>
      </c>
      <c r="F484" s="122" t="n">
        <v>4</v>
      </c>
      <c r="G484" s="122" t="n">
        <v>4</v>
      </c>
      <c r="I484" s="58">
        <f>IF(B484&lt;&gt;"",B484,"")</f>
        <v/>
      </c>
    </row>
    <row r="485" ht="15.75" customHeight="1" s="146">
      <c r="D485" s="122" t="inlineStr">
        <is>
          <t>Arborist</t>
        </is>
      </c>
      <c r="E485" s="122" t="n">
        <v>0.72</v>
      </c>
      <c r="F485" s="122" t="n">
        <v>7</v>
      </c>
      <c r="G485" s="122" t="n">
        <v>5</v>
      </c>
      <c r="I485" s="58">
        <f>IF(B485&lt;&gt;"",B485,"")</f>
        <v/>
      </c>
    </row>
    <row r="486" ht="15.75" customHeight="1" s="146">
      <c r="C486" t="inlineStr">
        <is>
          <t>Elliot Ward</t>
        </is>
      </c>
      <c r="D486" s="122" t="inlineStr">
        <is>
          <t>Total</t>
        </is>
      </c>
      <c r="E486" s="122" t="n">
        <v>0.83</v>
      </c>
      <c r="F486" s="122" t="n">
        <v>17</v>
      </c>
      <c r="G486" s="122" t="n">
        <v>14</v>
      </c>
      <c r="I486" s="58">
        <f>IF(B486&lt;&gt;"",B486,"")</f>
        <v/>
      </c>
    </row>
    <row r="487" ht="15.75" customHeight="1" s="146">
      <c r="C487" s="122" t="n"/>
      <c r="D487" s="122" t="inlineStr">
        <is>
          <t>Business Matrix</t>
        </is>
      </c>
      <c r="E487" s="122" t="n">
        <v>1</v>
      </c>
      <c r="F487" s="122" t="n">
        <v>6</v>
      </c>
      <c r="G487" s="122" t="n">
        <v>6</v>
      </c>
      <c r="I487" s="58">
        <f>IF(B487&lt;&gt;"",B487,"")</f>
        <v/>
      </c>
    </row>
    <row r="488" ht="15.75" customHeight="1" s="146">
      <c r="D488" s="122" t="inlineStr">
        <is>
          <t>Customer - Utility Arboriculture</t>
        </is>
      </c>
      <c r="E488" s="122" t="n">
        <v>1</v>
      </c>
      <c r="F488" s="122" t="n">
        <v>4</v>
      </c>
      <c r="G488" s="122" t="n">
        <v>4</v>
      </c>
      <c r="I488" s="58">
        <f>IF(B488&lt;&gt;"",B488,"")</f>
        <v/>
      </c>
    </row>
    <row r="489" ht="15.75" customHeight="1" s="146">
      <c r="D489" s="122" t="inlineStr">
        <is>
          <t>Arborist</t>
        </is>
      </c>
      <c r="E489" s="122" t="n">
        <v>0.58</v>
      </c>
      <c r="F489" s="122" t="n">
        <v>7</v>
      </c>
      <c r="G489" s="122" t="n">
        <v>4</v>
      </c>
      <c r="I489" s="58">
        <f>IF(B489&lt;&gt;"",B489,"")</f>
        <v/>
      </c>
    </row>
    <row r="490" ht="15.75" customHeight="1" s="146">
      <c r="C490" t="inlineStr">
        <is>
          <t>Jac George</t>
        </is>
      </c>
      <c r="D490" s="122" t="inlineStr">
        <is>
          <t>Total</t>
        </is>
      </c>
      <c r="E490" s="122" t="n">
        <v>0.74</v>
      </c>
      <c r="F490" s="122" t="n">
        <v>15</v>
      </c>
      <c r="G490" s="122" t="n">
        <v>11</v>
      </c>
      <c r="I490" s="58">
        <f>IF(B490&lt;&gt;"",B490,"")</f>
        <v/>
      </c>
    </row>
    <row r="491" ht="15.75" customHeight="1" s="146">
      <c r="C491" s="122" t="n"/>
      <c r="D491" s="122" t="inlineStr">
        <is>
          <t>Grounds Person</t>
        </is>
      </c>
      <c r="E491" s="122" t="n">
        <v>1</v>
      </c>
      <c r="F491" s="122" t="n">
        <v>5</v>
      </c>
      <c r="G491" s="122" t="n">
        <v>5</v>
      </c>
      <c r="I491" s="58">
        <f>IF(B491&lt;&gt;"",B491,"")</f>
        <v/>
      </c>
    </row>
    <row r="492" ht="15.75" customHeight="1" s="146">
      <c r="D492" s="122" t="inlineStr">
        <is>
          <t>Business Matrix</t>
        </is>
      </c>
      <c r="E492" s="122" t="n">
        <v>0.67</v>
      </c>
      <c r="F492" s="122" t="n">
        <v>6</v>
      </c>
      <c r="G492" s="122" t="n">
        <v>4</v>
      </c>
      <c r="I492" s="58">
        <f>IF(B492&lt;&gt;"",B492,"")</f>
        <v/>
      </c>
    </row>
    <row r="493" ht="15.75" customHeight="1" s="146">
      <c r="D493" s="122" t="inlineStr">
        <is>
          <t>Customer - Utility Arboriculture</t>
        </is>
      </c>
      <c r="E493" s="122" t="n">
        <v>0.5</v>
      </c>
      <c r="F493" s="122" t="n">
        <v>4</v>
      </c>
      <c r="G493" s="122" t="n">
        <v>2</v>
      </c>
      <c r="I493" s="58">
        <f>IF(B493&lt;&gt;"",B493,"")</f>
        <v/>
      </c>
    </row>
    <row r="494" ht="15.75" customHeight="1" s="146">
      <c r="C494" t="inlineStr">
        <is>
          <t>David George</t>
        </is>
      </c>
      <c r="D494" s="122" t="inlineStr">
        <is>
          <t>Total</t>
        </is>
      </c>
      <c r="E494" s="122" t="n">
        <v>0.71</v>
      </c>
      <c r="F494" s="122" t="n">
        <v>17</v>
      </c>
      <c r="G494" s="122" t="n">
        <v>12</v>
      </c>
      <c r="I494" s="58">
        <f>IF(B494&lt;&gt;"",B494,"")</f>
        <v/>
      </c>
    </row>
    <row r="495" ht="15.75" customHeight="1" s="146">
      <c r="C495" s="122" t="n"/>
      <c r="D495" s="122" t="inlineStr">
        <is>
          <t>Business Matrix</t>
        </is>
      </c>
      <c r="E495" s="122" t="n">
        <v>1</v>
      </c>
      <c r="F495" s="122" t="n">
        <v>6</v>
      </c>
      <c r="G495" s="122" t="n">
        <v>6</v>
      </c>
      <c r="I495" s="58">
        <f>IF(B495&lt;&gt;"",B495,"")</f>
        <v/>
      </c>
    </row>
    <row r="496" ht="15.75" customHeight="1" s="146">
      <c r="D496" s="122" t="inlineStr">
        <is>
          <t>Arborist</t>
        </is>
      </c>
      <c r="E496" s="122" t="n">
        <v>0.86</v>
      </c>
      <c r="F496" s="122" t="n">
        <v>7</v>
      </c>
      <c r="G496" s="122" t="n">
        <v>6</v>
      </c>
      <c r="I496" s="58">
        <f>IF(B496&lt;&gt;"",B496,"")</f>
        <v/>
      </c>
    </row>
    <row r="497" ht="15.75" customHeight="1" s="146">
      <c r="B497" s="122" t="n"/>
      <c r="C497" s="122" t="n"/>
      <c r="D497" t="inlineStr">
        <is>
          <t>Customer - Utility Arboriculture</t>
        </is>
      </c>
      <c r="E497" s="122" t="n">
        <v>0</v>
      </c>
      <c r="F497" s="122" t="n">
        <v>4</v>
      </c>
      <c r="G497" s="122" t="n">
        <v>0</v>
      </c>
      <c r="H497" s="57" t="n"/>
      <c r="I497" s="58">
        <f>IF(B497&lt;&gt;"",B497,"")</f>
        <v/>
      </c>
    </row>
    <row r="498" ht="15.75" customHeight="1" s="146">
      <c r="B498" t="inlineStr">
        <is>
          <t>Kingfisher Tree Services Ltd</t>
        </is>
      </c>
      <c r="C498" s="122" t="inlineStr">
        <is>
          <t>Total</t>
        </is>
      </c>
      <c r="D498" s="122" t="n"/>
      <c r="E498" s="122" t="n">
        <v>0.8</v>
      </c>
      <c r="F498" s="122" t="n">
        <v>193</v>
      </c>
      <c r="G498" s="122" t="n">
        <v>153</v>
      </c>
      <c r="H498" s="189" t="n">
        <v>45586</v>
      </c>
      <c r="I498" s="58">
        <f>IF(B498&lt;&gt;"",B498,"")</f>
        <v/>
      </c>
    </row>
    <row r="499" ht="15.75" customHeight="1" s="146">
      <c r="C499" t="inlineStr">
        <is>
          <t>Kingfisher Tree Services Ltd .</t>
        </is>
      </c>
      <c r="D499" s="122" t="inlineStr">
        <is>
          <t>Total</t>
        </is>
      </c>
      <c r="E499" s="122" t="n">
        <v>1</v>
      </c>
      <c r="F499" s="122" t="n">
        <v>4</v>
      </c>
      <c r="G499" s="122" t="n">
        <v>4</v>
      </c>
      <c r="I499" s="58">
        <f>IF(B499&lt;&gt;"",B499,"")</f>
        <v/>
      </c>
    </row>
    <row r="500" ht="15.75" customHeight="1" s="146">
      <c r="D500" s="122" t="inlineStr">
        <is>
          <t>Team Matrix</t>
        </is>
      </c>
      <c r="E500" s="122" t="n">
        <v>1</v>
      </c>
      <c r="F500" s="122" t="n">
        <v>4</v>
      </c>
      <c r="G500" s="122" t="n">
        <v>4</v>
      </c>
      <c r="I500" s="58">
        <f>IF(B500&lt;&gt;"",B500,"")</f>
        <v/>
      </c>
    </row>
    <row r="501" ht="15.75" customHeight="1" s="146">
      <c r="C501" t="inlineStr">
        <is>
          <t>Luke Smith</t>
        </is>
      </c>
      <c r="D501" s="122" t="inlineStr">
        <is>
          <t>Total</t>
        </is>
      </c>
      <c r="E501" s="122" t="n">
        <v>1</v>
      </c>
      <c r="F501" s="122" t="n">
        <v>17</v>
      </c>
      <c r="G501" s="122" t="n">
        <v>17</v>
      </c>
      <c r="I501" s="58">
        <f>IF(B501&lt;&gt;"",B501,"")</f>
        <v/>
      </c>
    </row>
    <row r="502" ht="15.75" customHeight="1" s="146">
      <c r="C502" s="122" t="n"/>
      <c r="D502" s="122" t="inlineStr">
        <is>
          <t>Arborist</t>
        </is>
      </c>
      <c r="E502" s="122" t="n">
        <v>1</v>
      </c>
      <c r="F502" s="122" t="n">
        <v>7</v>
      </c>
      <c r="G502" s="122" t="n">
        <v>7</v>
      </c>
      <c r="I502" s="58">
        <f>IF(B502&lt;&gt;"",B502,"")</f>
        <v/>
      </c>
    </row>
    <row r="503" ht="15.75" customHeight="1" s="146">
      <c r="D503" s="122" t="inlineStr">
        <is>
          <t>Business Matrix</t>
        </is>
      </c>
      <c r="E503" s="122" t="n">
        <v>1</v>
      </c>
      <c r="F503" s="122" t="n">
        <v>6</v>
      </c>
      <c r="G503" s="122" t="n">
        <v>6</v>
      </c>
      <c r="I503" s="58">
        <f>IF(B503&lt;&gt;"",B503,"")</f>
        <v/>
      </c>
    </row>
    <row r="504" ht="15.75" customHeight="1" s="146">
      <c r="C504" s="122" t="n"/>
      <c r="D504" s="122" t="inlineStr">
        <is>
          <t>Customer - Utility Arboriculture</t>
        </is>
      </c>
      <c r="E504" s="122" t="n">
        <v>1</v>
      </c>
      <c r="F504" s="122" t="n">
        <v>4</v>
      </c>
      <c r="G504" s="122" t="n">
        <v>4</v>
      </c>
      <c r="I504" s="58">
        <f>IF(B504&lt;&gt;"",B504,"")</f>
        <v/>
      </c>
    </row>
    <row r="505" ht="15.75" customHeight="1" s="146">
      <c r="C505" t="inlineStr">
        <is>
          <t>Seth Mountstephens</t>
        </is>
      </c>
      <c r="D505" s="122" t="inlineStr">
        <is>
          <t>Total</t>
        </is>
      </c>
      <c r="E505" s="122" t="n">
        <v>0.95</v>
      </c>
      <c r="F505" s="122" t="n">
        <v>17</v>
      </c>
      <c r="G505" s="122" t="n">
        <v>16</v>
      </c>
      <c r="I505" s="58">
        <f>IF(B505&lt;&gt;"",B505,"")</f>
        <v/>
      </c>
    </row>
    <row r="506" ht="15.75" customHeight="1" s="146">
      <c r="D506" s="122" t="inlineStr">
        <is>
          <t>Arborist</t>
        </is>
      </c>
      <c r="E506" s="122" t="n">
        <v>1</v>
      </c>
      <c r="F506" s="122" t="n">
        <v>7</v>
      </c>
      <c r="G506" s="122" t="n">
        <v>7</v>
      </c>
      <c r="I506" s="58">
        <f>IF(B506&lt;&gt;"",B506,"")</f>
        <v/>
      </c>
    </row>
    <row r="507" ht="15.75" customHeight="1" s="146">
      <c r="D507" s="122" t="inlineStr">
        <is>
          <t>Customer - Utility Arboriculture</t>
        </is>
      </c>
      <c r="E507" s="122" t="n">
        <v>1</v>
      </c>
      <c r="F507" s="122" t="n">
        <v>4</v>
      </c>
      <c r="G507" s="122" t="n">
        <v>4</v>
      </c>
      <c r="I507" s="58">
        <f>IF(B507&lt;&gt;"",B507,"")</f>
        <v/>
      </c>
    </row>
    <row r="508" ht="15.75" customHeight="1" s="146">
      <c r="C508" s="122" t="n"/>
      <c r="D508" s="122" t="inlineStr">
        <is>
          <t>Business Matrix</t>
        </is>
      </c>
      <c r="E508" s="122" t="n">
        <v>0.84</v>
      </c>
      <c r="F508" s="122" t="n">
        <v>6</v>
      </c>
      <c r="G508" s="122" t="n">
        <v>5</v>
      </c>
      <c r="I508" s="58">
        <f>IF(B508&lt;&gt;"",B508,"")</f>
        <v/>
      </c>
    </row>
    <row r="509" ht="15.75" customHeight="1" s="146">
      <c r="C509" t="inlineStr">
        <is>
          <t>Rob Blair</t>
        </is>
      </c>
      <c r="D509" s="122" t="inlineStr">
        <is>
          <t>Total</t>
        </is>
      </c>
      <c r="E509" s="122" t="n">
        <v>0.92</v>
      </c>
      <c r="F509" s="122" t="n">
        <v>35</v>
      </c>
      <c r="G509" s="122" t="n">
        <v>32</v>
      </c>
      <c r="I509" s="58">
        <f>IF(B509&lt;&gt;"",B509,"")</f>
        <v/>
      </c>
    </row>
    <row r="510" ht="15.75" customHeight="1" s="146">
      <c r="D510" s="122" t="inlineStr">
        <is>
          <t>Arborist</t>
        </is>
      </c>
      <c r="E510" s="122" t="n">
        <v>1</v>
      </c>
      <c r="F510" s="122" t="n">
        <v>7</v>
      </c>
      <c r="G510" s="122" t="n">
        <v>7</v>
      </c>
      <c r="I510" s="58">
        <f>IF(B510&lt;&gt;"",B510,"")</f>
        <v/>
      </c>
    </row>
    <row r="511" ht="15.75" customHeight="1" s="146">
      <c r="D511" s="122" t="inlineStr">
        <is>
          <t>Arborist ROI</t>
        </is>
      </c>
      <c r="E511" s="122" t="n">
        <v>1</v>
      </c>
      <c r="F511" s="122" t="n">
        <v>7</v>
      </c>
      <c r="G511" s="122" t="n">
        <v>7</v>
      </c>
      <c r="I511" s="58">
        <f>IF(B511&lt;&gt;"",B511,"")</f>
        <v/>
      </c>
    </row>
    <row r="512" ht="15.75" customHeight="1" s="146">
      <c r="C512" s="122" t="n"/>
      <c r="D512" s="122" t="inlineStr">
        <is>
          <t>Business Matrix</t>
        </is>
      </c>
      <c r="E512" s="122" t="n">
        <v>1</v>
      </c>
      <c r="F512" s="122" t="n">
        <v>6</v>
      </c>
      <c r="G512" s="122" t="n">
        <v>6</v>
      </c>
      <c r="I512" s="58">
        <f>IF(B512&lt;&gt;"",B512,"")</f>
        <v/>
      </c>
    </row>
    <row r="513" ht="15.75" customHeight="1" s="146">
      <c r="D513" s="122" t="inlineStr">
        <is>
          <t>Business Matrix - ROI</t>
        </is>
      </c>
      <c r="E513" s="122" t="n">
        <v>1</v>
      </c>
      <c r="F513" s="122" t="n">
        <v>6</v>
      </c>
      <c r="G513" s="122" t="n">
        <v>6</v>
      </c>
      <c r="I513" s="58">
        <f>IF(B513&lt;&gt;"",B513,"")</f>
        <v/>
      </c>
    </row>
    <row r="514" ht="15.75" customHeight="1" s="146">
      <c r="D514" s="122" t="inlineStr">
        <is>
          <t>Customer - ESB - Utility Arb</t>
        </is>
      </c>
      <c r="E514" s="122" t="n">
        <v>0.8</v>
      </c>
      <c r="F514" s="122" t="n">
        <v>5</v>
      </c>
      <c r="G514" s="122" t="n">
        <v>4</v>
      </c>
      <c r="I514" s="58">
        <f>IF(B514&lt;&gt;"",B514,"")</f>
        <v/>
      </c>
    </row>
    <row r="515" ht="15.75" customHeight="1" s="146">
      <c r="D515" s="122" t="inlineStr">
        <is>
          <t>Customer - Utility Arboriculture</t>
        </is>
      </c>
      <c r="E515" s="122" t="n">
        <v>0.5</v>
      </c>
      <c r="F515" s="122" t="n">
        <v>4</v>
      </c>
      <c r="G515" s="122" t="n">
        <v>2</v>
      </c>
      <c r="I515" s="58">
        <f>IF(B515&lt;&gt;"",B515,"")</f>
        <v/>
      </c>
    </row>
    <row r="516" ht="15.75" customHeight="1" s="146">
      <c r="B516" s="122" t="n"/>
      <c r="C516" s="122" t="inlineStr">
        <is>
          <t>Nick Zimmer</t>
        </is>
      </c>
      <c r="D516" t="inlineStr">
        <is>
          <t>Total</t>
        </is>
      </c>
      <c r="E516" s="122" t="n">
        <v>0.87</v>
      </c>
      <c r="F516" s="122" t="n">
        <v>15</v>
      </c>
      <c r="G516" s="122" t="n">
        <v>13</v>
      </c>
      <c r="H516" s="57" t="n"/>
      <c r="I516" s="58">
        <f>IF(B516&lt;&gt;"",B516,"")</f>
        <v/>
      </c>
    </row>
    <row r="517" ht="15.75" customHeight="1" s="146">
      <c r="C517" s="122" t="n"/>
      <c r="D517" s="122" t="inlineStr">
        <is>
          <t>Grounds Person</t>
        </is>
      </c>
      <c r="E517" s="122" t="n">
        <v>1</v>
      </c>
      <c r="F517" s="122" t="n">
        <v>5</v>
      </c>
      <c r="G517" s="122" t="n">
        <v>5</v>
      </c>
      <c r="I517" s="58">
        <f>IF(B517&lt;&gt;"",B517,"")</f>
        <v/>
      </c>
    </row>
    <row r="518" ht="15.75" customHeight="1" s="146">
      <c r="D518" s="122" t="inlineStr">
        <is>
          <t>Business Matrix</t>
        </is>
      </c>
      <c r="E518" s="122" t="n">
        <v>0.84</v>
      </c>
      <c r="F518" s="122" t="n">
        <v>6</v>
      </c>
      <c r="G518" s="122" t="n">
        <v>5</v>
      </c>
      <c r="I518" s="58">
        <f>IF(B518&lt;&gt;"",B518,"")</f>
        <v/>
      </c>
    </row>
    <row r="519" ht="15.75" customHeight="1" s="146">
      <c r="D519" s="122" t="inlineStr">
        <is>
          <t>Customer - Utility Arboriculture</t>
        </is>
      </c>
      <c r="E519" s="122" t="n">
        <v>0.75</v>
      </c>
      <c r="F519" s="122" t="n">
        <v>4</v>
      </c>
      <c r="G519" s="122" t="n">
        <v>3</v>
      </c>
      <c r="I519" s="58">
        <f>IF(B519&lt;&gt;"",B519,"")</f>
        <v/>
      </c>
    </row>
    <row r="520" ht="15.75" customHeight="1" s="146">
      <c r="C520" t="inlineStr">
        <is>
          <t>Connor Templeman</t>
        </is>
      </c>
      <c r="D520" s="122" t="inlineStr">
        <is>
          <t>Total</t>
        </is>
      </c>
      <c r="E520" s="122" t="n">
        <v>0.86</v>
      </c>
      <c r="F520" s="122" t="n">
        <v>35</v>
      </c>
      <c r="G520" s="122" t="n">
        <v>30</v>
      </c>
      <c r="I520" s="58">
        <f>IF(B520&lt;&gt;"",B520,"")</f>
        <v/>
      </c>
    </row>
    <row r="521" ht="15.75" customHeight="1" s="146">
      <c r="C521" s="122" t="n"/>
      <c r="D521" s="122" t="inlineStr">
        <is>
          <t>Customer - ESB - Utility Arb</t>
        </is>
      </c>
      <c r="E521" s="122" t="n">
        <v>1</v>
      </c>
      <c r="F521" s="122" t="n">
        <v>5</v>
      </c>
      <c r="G521" s="122" t="n">
        <v>5</v>
      </c>
      <c r="I521" s="58">
        <f>IF(B521&lt;&gt;"",B521,"")</f>
        <v/>
      </c>
    </row>
    <row r="522" ht="15.75" customHeight="1" s="146">
      <c r="D522" s="122" t="inlineStr">
        <is>
          <t>Customer - Utility Arboriculture</t>
        </is>
      </c>
      <c r="E522" s="122" t="n">
        <v>1</v>
      </c>
      <c r="F522" s="122" t="n">
        <v>4</v>
      </c>
      <c r="G522" s="122" t="n">
        <v>4</v>
      </c>
      <c r="I522" s="58">
        <f>IF(B522&lt;&gt;"",B522,"")</f>
        <v/>
      </c>
    </row>
    <row r="523" ht="15.75" customHeight="1" s="146">
      <c r="D523" s="122" t="inlineStr">
        <is>
          <t>Arborist</t>
        </is>
      </c>
      <c r="E523" s="122" t="n">
        <v>0.86</v>
      </c>
      <c r="F523" s="122" t="n">
        <v>7</v>
      </c>
      <c r="G523" s="122" t="n">
        <v>6</v>
      </c>
      <c r="I523" s="58">
        <f>IF(B523&lt;&gt;"",B523,"")</f>
        <v/>
      </c>
    </row>
    <row r="524" ht="15.75" customHeight="1" s="146">
      <c r="D524" s="122" t="inlineStr">
        <is>
          <t>Arborist ROI</t>
        </is>
      </c>
      <c r="E524" s="122" t="n">
        <v>0.86</v>
      </c>
      <c r="F524" s="122" t="n">
        <v>7</v>
      </c>
      <c r="G524" s="122" t="n">
        <v>6</v>
      </c>
      <c r="I524" s="58">
        <f>IF(B524&lt;&gt;"",B524,"")</f>
        <v/>
      </c>
    </row>
    <row r="525" ht="15.75" customHeight="1" s="146">
      <c r="C525" s="122" t="n"/>
      <c r="D525" s="122" t="inlineStr">
        <is>
          <t>Business Matrix</t>
        </is>
      </c>
      <c r="E525" s="122" t="n">
        <v>0.84</v>
      </c>
      <c r="F525" s="122" t="n">
        <v>6</v>
      </c>
      <c r="G525" s="122" t="n">
        <v>5</v>
      </c>
      <c r="I525" s="58">
        <f>IF(B525&lt;&gt;"",B525,"")</f>
        <v/>
      </c>
    </row>
    <row r="526" ht="15.75" customHeight="1" s="146">
      <c r="D526" s="122" t="inlineStr">
        <is>
          <t>Business Matrix - ROI</t>
        </is>
      </c>
      <c r="E526" s="122" t="n">
        <v>0.67</v>
      </c>
      <c r="F526" s="122" t="n">
        <v>6</v>
      </c>
      <c r="G526" s="122" t="n">
        <v>4</v>
      </c>
      <c r="I526" s="58">
        <f>IF(B526&lt;&gt;"",B526,"")</f>
        <v/>
      </c>
    </row>
    <row r="527" ht="15.75" customHeight="1" s="146">
      <c r="C527" t="inlineStr">
        <is>
          <t>Adam Whitlam</t>
        </is>
      </c>
      <c r="D527" s="122" t="inlineStr">
        <is>
          <t>Total</t>
        </is>
      </c>
      <c r="E527" s="122" t="n">
        <v>0.72</v>
      </c>
      <c r="F527" s="122" t="n">
        <v>35</v>
      </c>
      <c r="G527" s="122" t="n">
        <v>25</v>
      </c>
      <c r="I527" s="58">
        <f>IF(B527&lt;&gt;"",B527,"")</f>
        <v/>
      </c>
    </row>
    <row r="528" ht="15.75" customHeight="1" s="146">
      <c r="C528" s="122" t="n"/>
      <c r="D528" s="122" t="inlineStr">
        <is>
          <t>Customer - Utility Arboriculture</t>
        </is>
      </c>
      <c r="E528" s="122" t="n">
        <v>1</v>
      </c>
      <c r="F528" s="122" t="n">
        <v>4</v>
      </c>
      <c r="G528" s="122" t="n">
        <v>4</v>
      </c>
      <c r="I528" s="58">
        <f>IF(B528&lt;&gt;"",B528,"")</f>
        <v/>
      </c>
    </row>
    <row r="529" ht="15.75" customHeight="1" s="146">
      <c r="D529" s="122" t="inlineStr">
        <is>
          <t>Business Matrix</t>
        </is>
      </c>
      <c r="E529" s="122" t="n">
        <v>0.84</v>
      </c>
      <c r="F529" s="122" t="n">
        <v>6</v>
      </c>
      <c r="G529" s="122" t="n">
        <v>5</v>
      </c>
      <c r="I529" s="58">
        <f>IF(B529&lt;&gt;"",B529,"")</f>
        <v/>
      </c>
    </row>
    <row r="530" ht="15.75" customHeight="1" s="146">
      <c r="D530" s="122" t="inlineStr">
        <is>
          <t>Customer - ESB - Utility Arb</t>
        </is>
      </c>
      <c r="E530" s="122" t="n">
        <v>0.8</v>
      </c>
      <c r="F530" s="122" t="n">
        <v>5</v>
      </c>
      <c r="G530" s="122" t="n">
        <v>4</v>
      </c>
      <c r="I530" s="58">
        <f>IF(B530&lt;&gt;"",B530,"")</f>
        <v/>
      </c>
    </row>
    <row r="531" ht="15.75" customHeight="1" s="146">
      <c r="D531" s="122" t="inlineStr">
        <is>
          <t>Arborist</t>
        </is>
      </c>
      <c r="E531" s="122" t="n">
        <v>0.72</v>
      </c>
      <c r="F531" s="122" t="n">
        <v>7</v>
      </c>
      <c r="G531" s="122" t="n">
        <v>5</v>
      </c>
      <c r="I531" s="58">
        <f>IF(B531&lt;&gt;"",B531,"")</f>
        <v/>
      </c>
    </row>
    <row r="532" ht="15.75" customHeight="1" s="146">
      <c r="C532" s="122" t="n"/>
      <c r="D532" s="122" t="inlineStr">
        <is>
          <t>Arborist ROI</t>
        </is>
      </c>
      <c r="E532" s="122" t="n">
        <v>0.58</v>
      </c>
      <c r="F532" s="122" t="n">
        <v>7</v>
      </c>
      <c r="G532" s="122" t="n">
        <v>4</v>
      </c>
      <c r="I532" s="58">
        <f>IF(B532&lt;&gt;"",B532,"")</f>
        <v/>
      </c>
    </row>
    <row r="533" ht="15.75" customHeight="1" s="146">
      <c r="D533" s="122" t="inlineStr">
        <is>
          <t>Business Matrix - ROI</t>
        </is>
      </c>
      <c r="E533" s="122" t="n">
        <v>0.5</v>
      </c>
      <c r="F533" s="122" t="n">
        <v>6</v>
      </c>
      <c r="G533" s="122" t="n">
        <v>3</v>
      </c>
      <c r="I533" s="58">
        <f>IF(B533&lt;&gt;"",B533,"")</f>
        <v/>
      </c>
    </row>
    <row r="534" ht="15.75" customHeight="1" s="146">
      <c r="C534" t="inlineStr">
        <is>
          <t>Thomas Dennehy</t>
        </is>
      </c>
      <c r="D534" s="122" t="inlineStr">
        <is>
          <t>Total</t>
        </is>
      </c>
      <c r="E534" s="122" t="n">
        <v>0.46</v>
      </c>
      <c r="F534" s="122" t="n">
        <v>35</v>
      </c>
      <c r="G534" s="122" t="n">
        <v>16</v>
      </c>
      <c r="I534" s="58">
        <f>IF(B534&lt;&gt;"",B534,"")</f>
        <v/>
      </c>
    </row>
    <row r="535" ht="15.75" customHeight="1" s="146">
      <c r="D535" s="122" t="inlineStr">
        <is>
          <t>Customer - Utility Arboriculture</t>
        </is>
      </c>
      <c r="E535" s="122" t="n">
        <v>1</v>
      </c>
      <c r="F535" s="122" t="n">
        <v>4</v>
      </c>
      <c r="G535" s="122" t="n">
        <v>4</v>
      </c>
      <c r="I535" s="58">
        <f>IF(B535&lt;&gt;"",B535,"")</f>
        <v/>
      </c>
    </row>
    <row r="536" ht="15.75" customHeight="1" s="146">
      <c r="C536" s="122" t="n"/>
      <c r="D536" s="122" t="inlineStr">
        <is>
          <t>Customer - ESB - Utility Arb</t>
        </is>
      </c>
      <c r="E536" s="122" t="n">
        <v>0.6</v>
      </c>
      <c r="F536" s="122" t="n">
        <v>5</v>
      </c>
      <c r="G536" s="122" t="n">
        <v>3</v>
      </c>
      <c r="I536" s="58">
        <f>IF(B536&lt;&gt;"",B536,"")</f>
        <v/>
      </c>
    </row>
    <row r="537" ht="15.75" customHeight="1" s="146">
      <c r="D537" s="122" t="inlineStr">
        <is>
          <t>Business Matrix</t>
        </is>
      </c>
      <c r="E537" s="122" t="n">
        <v>0.5</v>
      </c>
      <c r="F537" s="122" t="n">
        <v>6</v>
      </c>
      <c r="G537" s="122" t="n">
        <v>3</v>
      </c>
      <c r="I537" s="58">
        <f>IF(B537&lt;&gt;"",B537,"")</f>
        <v/>
      </c>
    </row>
    <row r="538" ht="15.75" customHeight="1" s="146">
      <c r="B538" s="122" t="n"/>
      <c r="C538" s="122" t="n"/>
      <c r="D538" t="inlineStr">
        <is>
          <t>Business Matrix - ROI</t>
        </is>
      </c>
      <c r="E538" s="122" t="n">
        <v>0.5</v>
      </c>
      <c r="F538" s="122" t="n">
        <v>6</v>
      </c>
      <c r="G538" s="122" t="n">
        <v>3</v>
      </c>
      <c r="H538" s="57" t="n"/>
      <c r="I538" s="58">
        <f>IF(B538&lt;&gt;"",B538,"")</f>
        <v/>
      </c>
    </row>
    <row r="539" ht="15.75" customHeight="1" s="146">
      <c r="C539" s="122" t="n"/>
      <c r="D539" s="122" t="inlineStr">
        <is>
          <t>Arborist</t>
        </is>
      </c>
      <c r="E539" s="122" t="n">
        <v>0.29</v>
      </c>
      <c r="F539" s="122" t="n">
        <v>7</v>
      </c>
      <c r="G539" s="122" t="n">
        <v>2</v>
      </c>
      <c r="I539" s="58">
        <f>IF(B539&lt;&gt;"",B539,"")</f>
        <v/>
      </c>
    </row>
    <row r="540" ht="15.75" customHeight="1" s="146">
      <c r="D540" s="122" t="inlineStr">
        <is>
          <t>Arborist ROI</t>
        </is>
      </c>
      <c r="E540" s="122" t="n">
        <v>0.15</v>
      </c>
      <c r="F540" s="122" t="n">
        <v>7</v>
      </c>
      <c r="G540" s="122" t="n">
        <v>1</v>
      </c>
      <c r="I540" s="58">
        <f>IF(B540&lt;&gt;"",B540,"")</f>
        <v/>
      </c>
    </row>
    <row r="541" ht="15.75" customHeight="1" s="146">
      <c r="B541" t="inlineStr">
        <is>
          <t>MJR Tree Works</t>
        </is>
      </c>
      <c r="C541" t="inlineStr">
        <is>
          <t>Total</t>
        </is>
      </c>
      <c r="D541" s="122" t="n"/>
      <c r="E541" s="122" t="n">
        <v>0.79</v>
      </c>
      <c r="F541" s="122" t="n">
        <v>51</v>
      </c>
      <c r="G541" s="122" t="n">
        <v>40</v>
      </c>
      <c r="H541" s="189" t="n">
        <v>44221</v>
      </c>
      <c r="I541" s="58">
        <f>IF(B541&lt;&gt;"",B541,"")</f>
        <v/>
      </c>
    </row>
    <row r="542" ht="15.75" customHeight="1" s="146">
      <c r="C542" t="inlineStr">
        <is>
          <t>Michael John Reeves</t>
        </is>
      </c>
      <c r="D542" s="122" t="inlineStr">
        <is>
          <t>Total</t>
        </is>
      </c>
      <c r="E542" s="122" t="n">
        <v>1</v>
      </c>
      <c r="F542" s="122" t="n">
        <v>17</v>
      </c>
      <c r="G542" s="122" t="n">
        <v>17</v>
      </c>
      <c r="I542" s="58">
        <f>IF(B542&lt;&gt;"",B542,"")</f>
        <v/>
      </c>
    </row>
    <row r="543" ht="15.75" customHeight="1" s="146">
      <c r="C543" s="122" t="n"/>
      <c r="D543" s="122" t="inlineStr">
        <is>
          <t>Arborist</t>
        </is>
      </c>
      <c r="E543" s="122" t="n">
        <v>1</v>
      </c>
      <c r="F543" s="122" t="n">
        <v>7</v>
      </c>
      <c r="G543" s="122" t="n">
        <v>7</v>
      </c>
      <c r="I543" s="58">
        <f>IF(B543&lt;&gt;"",B543,"")</f>
        <v/>
      </c>
    </row>
    <row r="544" ht="15.75" customHeight="1" s="146">
      <c r="D544" s="122" t="inlineStr">
        <is>
          <t>Business Matrix</t>
        </is>
      </c>
      <c r="E544" s="122" t="n">
        <v>1</v>
      </c>
      <c r="F544" s="122" t="n">
        <v>6</v>
      </c>
      <c r="G544" s="122" t="n">
        <v>6</v>
      </c>
      <c r="I544" s="58">
        <f>IF(B544&lt;&gt;"",B544,"")</f>
        <v/>
      </c>
    </row>
    <row r="545" ht="15.75" customHeight="1" s="146">
      <c r="D545" s="122" t="inlineStr">
        <is>
          <t>Customer - Utility Arboriculture</t>
        </is>
      </c>
      <c r="E545" s="122" t="n">
        <v>1</v>
      </c>
      <c r="F545" s="122" t="n">
        <v>4</v>
      </c>
      <c r="G545" s="122" t="n">
        <v>4</v>
      </c>
      <c r="I545" s="58">
        <f>IF(B545&lt;&gt;"",B545,"")</f>
        <v/>
      </c>
    </row>
    <row r="546" ht="15.75" customHeight="1" s="146">
      <c r="C546" t="inlineStr">
        <is>
          <t>Joe Waite</t>
        </is>
      </c>
      <c r="D546" s="122" t="inlineStr">
        <is>
          <t>Total</t>
        </is>
      </c>
      <c r="E546" s="122" t="n">
        <v>0.9400000000000001</v>
      </c>
      <c r="F546" s="122" t="n">
        <v>15</v>
      </c>
      <c r="G546" s="122" t="n">
        <v>14</v>
      </c>
      <c r="I546" s="58">
        <f>IF(B546&lt;&gt;"",B546,"")</f>
        <v/>
      </c>
    </row>
    <row r="547" ht="15.75" customHeight="1" s="146">
      <c r="C547" s="122" t="n"/>
      <c r="D547" s="122" t="inlineStr">
        <is>
          <t>Business Matrix</t>
        </is>
      </c>
      <c r="E547" s="122" t="n">
        <v>1</v>
      </c>
      <c r="F547" s="122" t="n">
        <v>6</v>
      </c>
      <c r="G547" s="122" t="n">
        <v>6</v>
      </c>
      <c r="I547" s="58">
        <f>IF(B547&lt;&gt;"",B547,"")</f>
        <v/>
      </c>
    </row>
    <row r="548" ht="15.75" customHeight="1" s="146">
      <c r="D548" s="122" t="inlineStr">
        <is>
          <t>Customer - Utility Arboriculture</t>
        </is>
      </c>
      <c r="E548" s="122" t="n">
        <v>1</v>
      </c>
      <c r="F548" s="122" t="n">
        <v>4</v>
      </c>
      <c r="G548" s="122" t="n">
        <v>4</v>
      </c>
      <c r="I548" s="58">
        <f>IF(B548&lt;&gt;"",B548,"")</f>
        <v/>
      </c>
    </row>
    <row r="549" ht="15.75" customHeight="1" s="146">
      <c r="D549" s="122" t="inlineStr">
        <is>
          <t>Grounds Person</t>
        </is>
      </c>
      <c r="E549" s="122" t="n">
        <v>0.8</v>
      </c>
      <c r="F549" s="122" t="n">
        <v>5</v>
      </c>
      <c r="G549" s="122" t="n">
        <v>4</v>
      </c>
      <c r="I549" s="58">
        <f>IF(B549&lt;&gt;"",B549,"")</f>
        <v/>
      </c>
    </row>
    <row r="550" ht="15.75" customHeight="1" s="146">
      <c r="C550" s="122" t="inlineStr">
        <is>
          <t>MJR Tree Works</t>
        </is>
      </c>
      <c r="D550" s="122" t="inlineStr">
        <is>
          <t>Total</t>
        </is>
      </c>
      <c r="E550" s="122" t="n">
        <v>0.5</v>
      </c>
      <c r="F550" s="122" t="n">
        <v>4</v>
      </c>
      <c r="G550" s="122" t="n">
        <v>2</v>
      </c>
      <c r="I550" s="58">
        <f>IF(B550&lt;&gt;"",B550,"")</f>
        <v/>
      </c>
    </row>
    <row r="551" ht="15.75" customHeight="1" s="146">
      <c r="D551" s="122" t="inlineStr">
        <is>
          <t>Team Matrix</t>
        </is>
      </c>
      <c r="E551" s="122" t="n">
        <v>0.5</v>
      </c>
      <c r="F551" s="122" t="n">
        <v>4</v>
      </c>
      <c r="G551" s="122" t="n">
        <v>2</v>
      </c>
      <c r="I551" s="58">
        <f>IF(B551&lt;&gt;"",B551,"")</f>
        <v/>
      </c>
    </row>
    <row r="552" ht="15.75" customHeight="1" s="146">
      <c r="C552" t="inlineStr">
        <is>
          <t>Jack churchill</t>
        </is>
      </c>
      <c r="D552" s="122" t="inlineStr">
        <is>
          <t>Total</t>
        </is>
      </c>
      <c r="E552" s="122" t="n">
        <v>0.47</v>
      </c>
      <c r="F552" s="122" t="n">
        <v>15</v>
      </c>
      <c r="G552" s="122" t="n">
        <v>7</v>
      </c>
      <c r="I552" s="58">
        <f>IF(B552&lt;&gt;"",B552,"")</f>
        <v/>
      </c>
    </row>
    <row r="553" ht="15.75" customHeight="1" s="146">
      <c r="D553" s="122" t="inlineStr">
        <is>
          <t>Business Matrix</t>
        </is>
      </c>
      <c r="E553" s="122" t="n">
        <v>0.84</v>
      </c>
      <c r="F553" s="122" t="n">
        <v>6</v>
      </c>
      <c r="G553" s="122" t="n">
        <v>5</v>
      </c>
      <c r="I553" s="58">
        <f>IF(B553&lt;&gt;"",B553,"")</f>
        <v/>
      </c>
    </row>
    <row r="554" ht="15.75" customHeight="1" s="146">
      <c r="C554" s="122" t="n"/>
      <c r="D554" s="122" t="inlineStr">
        <is>
          <t>Customer - Utility Arboriculture</t>
        </is>
      </c>
      <c r="E554" s="122" t="n">
        <v>0.25</v>
      </c>
      <c r="F554" s="122" t="n">
        <v>4</v>
      </c>
      <c r="G554" s="122" t="n">
        <v>1</v>
      </c>
      <c r="I554" s="58">
        <f>IF(B554&lt;&gt;"",B554,"")</f>
        <v/>
      </c>
    </row>
    <row r="555" ht="15.75" customHeight="1" s="146">
      <c r="D555" s="122" t="inlineStr">
        <is>
          <t>Grounds Person</t>
        </is>
      </c>
      <c r="E555" s="122" t="n">
        <v>0.2</v>
      </c>
      <c r="F555" s="122" t="n">
        <v>5</v>
      </c>
      <c r="G555" s="122" t="n">
        <v>1</v>
      </c>
      <c r="I555" s="58">
        <f>IF(B555&lt;&gt;"",B555,"")</f>
        <v/>
      </c>
    </row>
    <row r="556" ht="15.75" customHeight="1" s="146">
      <c r="B556" s="122" t="inlineStr">
        <is>
          <t>Optimum Tree Services</t>
        </is>
      </c>
      <c r="C556" s="122" t="inlineStr">
        <is>
          <t>Total</t>
        </is>
      </c>
      <c r="E556" s="122" t="n">
        <v>0.79</v>
      </c>
      <c r="F556" s="122" t="n">
        <v>32</v>
      </c>
      <c r="G556" s="122" t="n">
        <v>25</v>
      </c>
      <c r="H556" s="57" t="n">
        <v>45279</v>
      </c>
      <c r="I556" s="58">
        <f>IF(B556&lt;&gt;"",B556,"")</f>
        <v/>
      </c>
    </row>
    <row r="557" ht="15.75" customHeight="1" s="146">
      <c r="C557" s="122" t="inlineStr">
        <is>
          <t>Joshua Davies</t>
        </is>
      </c>
      <c r="D557" s="122" t="inlineStr">
        <is>
          <t>Total</t>
        </is>
      </c>
      <c r="E557" s="122" t="n">
        <v>0.87</v>
      </c>
      <c r="F557" s="122" t="n">
        <v>15</v>
      </c>
      <c r="G557" s="122" t="n">
        <v>13</v>
      </c>
      <c r="I557" s="58">
        <f>IF(B557&lt;&gt;"",B557,"")</f>
        <v/>
      </c>
    </row>
    <row r="558" ht="15.75" customHeight="1" s="146">
      <c r="D558" s="122" t="inlineStr">
        <is>
          <t>Grounds Person</t>
        </is>
      </c>
      <c r="E558" s="122" t="n">
        <v>1</v>
      </c>
      <c r="F558" s="122" t="n">
        <v>5</v>
      </c>
      <c r="G558" s="122" t="n">
        <v>5</v>
      </c>
      <c r="I558" s="58">
        <f>IF(B558&lt;&gt;"",B558,"")</f>
        <v/>
      </c>
    </row>
    <row r="559" ht="15.75" customHeight="1" s="146">
      <c r="D559" s="122" t="inlineStr">
        <is>
          <t>Business Matrix</t>
        </is>
      </c>
      <c r="E559" s="122" t="n">
        <v>0.84</v>
      </c>
      <c r="F559" s="122" t="n">
        <v>6</v>
      </c>
      <c r="G559" s="122" t="n">
        <v>5</v>
      </c>
      <c r="I559" s="58">
        <f>IF(B559&lt;&gt;"",B559,"")</f>
        <v/>
      </c>
    </row>
    <row r="560" ht="15.75" customHeight="1" s="146">
      <c r="D560" s="122" t="inlineStr">
        <is>
          <t>Customer - Utility Arboriculture</t>
        </is>
      </c>
      <c r="E560" s="122" t="n">
        <v>0.75</v>
      </c>
      <c r="F560" s="122" t="n">
        <v>4</v>
      </c>
      <c r="G560" s="122" t="n">
        <v>3</v>
      </c>
      <c r="I560" s="58">
        <f>IF(B560&lt;&gt;"",B560,"")</f>
        <v/>
      </c>
    </row>
    <row r="561" ht="15.75" customHeight="1" s="146">
      <c r="C561" s="122" t="inlineStr">
        <is>
          <t>Kenney Aldred</t>
        </is>
      </c>
      <c r="D561" s="122" t="inlineStr">
        <is>
          <t>Total</t>
        </is>
      </c>
      <c r="E561" s="122" t="n">
        <v>0.71</v>
      </c>
      <c r="F561" s="122" t="n">
        <v>17</v>
      </c>
      <c r="G561" s="122" t="n">
        <v>12</v>
      </c>
      <c r="I561" s="58">
        <f>IF(B561&lt;&gt;"",B561,"")</f>
        <v/>
      </c>
    </row>
    <row r="562" ht="15.75" customHeight="1" s="146">
      <c r="D562" s="122" t="inlineStr">
        <is>
          <t>Customer - Utility Arboriculture</t>
        </is>
      </c>
      <c r="E562" s="122" t="n">
        <v>1</v>
      </c>
      <c r="F562" s="122" t="n">
        <v>4</v>
      </c>
      <c r="G562" s="122" t="n">
        <v>4</v>
      </c>
      <c r="I562" s="58">
        <f>IF(B562&lt;&gt;"",B562,"")</f>
        <v/>
      </c>
    </row>
    <row r="563" ht="15.75" customHeight="1" s="146">
      <c r="D563" s="122" t="inlineStr">
        <is>
          <t>Business Matrix</t>
        </is>
      </c>
      <c r="E563" s="122" t="n">
        <v>0.84</v>
      </c>
      <c r="F563" s="122" t="n">
        <v>6</v>
      </c>
      <c r="G563" s="122" t="n">
        <v>5</v>
      </c>
      <c r="I563" s="58">
        <f>IF(B563&lt;&gt;"",B563,"")</f>
        <v/>
      </c>
    </row>
    <row r="564" ht="15.75" customHeight="1" s="146">
      <c r="D564" s="122" t="inlineStr">
        <is>
          <t>Arborist</t>
        </is>
      </c>
      <c r="E564" s="122" t="n">
        <v>0.43</v>
      </c>
      <c r="F564" s="122" t="n">
        <v>7</v>
      </c>
      <c r="G564" s="122" t="n">
        <v>3</v>
      </c>
      <c r="I564" s="58">
        <f>IF(B564&lt;&gt;"",B564,"")</f>
        <v/>
      </c>
    </row>
    <row r="565" ht="15.75" customHeight="1" s="146">
      <c r="B565" t="inlineStr">
        <is>
          <t>Belvoir Tree Care</t>
        </is>
      </c>
      <c r="C565" s="122" t="inlineStr">
        <is>
          <t>Total</t>
        </is>
      </c>
      <c r="D565" s="122" t="n"/>
      <c r="E565" s="122" t="n">
        <v>0.77</v>
      </c>
      <c r="F565" s="122" t="n">
        <v>38</v>
      </c>
      <c r="G565" s="122" t="n">
        <v>29</v>
      </c>
      <c r="H565" s="189" t="n">
        <v>45628</v>
      </c>
      <c r="I565" s="58">
        <f>IF(B565&lt;&gt;"",B565,"")</f>
        <v/>
      </c>
    </row>
    <row r="566" ht="15.75" customHeight="1" s="146">
      <c r="C566" t="inlineStr">
        <is>
          <t>Greg McCullum</t>
        </is>
      </c>
      <c r="D566" s="122" t="inlineStr">
        <is>
          <t>Total</t>
        </is>
      </c>
      <c r="E566" s="122" t="n">
        <v>0.89</v>
      </c>
      <c r="F566" s="122" t="n">
        <v>17</v>
      </c>
      <c r="G566" s="122" t="n">
        <v>15</v>
      </c>
      <c r="I566" s="58">
        <f>IF(B566&lt;&gt;"",B566,"")</f>
        <v/>
      </c>
    </row>
    <row r="567" ht="15.75" customHeight="1" s="146">
      <c r="D567" s="122" t="inlineStr">
        <is>
          <t>Customer - Utility Arboriculture</t>
        </is>
      </c>
      <c r="E567" s="122" t="n">
        <v>1</v>
      </c>
      <c r="F567" s="122" t="n">
        <v>4</v>
      </c>
      <c r="G567" s="122" t="n">
        <v>4</v>
      </c>
      <c r="I567" s="58">
        <f>IF(B567&lt;&gt;"",B567,"")</f>
        <v/>
      </c>
    </row>
    <row r="568" ht="15.75" customHeight="1" s="146">
      <c r="D568" s="122" t="inlineStr">
        <is>
          <t>Arborist</t>
        </is>
      </c>
      <c r="E568" s="122" t="n">
        <v>0.86</v>
      </c>
      <c r="F568" s="122" t="n">
        <v>7</v>
      </c>
      <c r="G568" s="122" t="n">
        <v>6</v>
      </c>
      <c r="I568" s="58">
        <f>IF(B568&lt;&gt;"",B568,"")</f>
        <v/>
      </c>
    </row>
    <row r="569" ht="15.75" customHeight="1" s="146">
      <c r="C569" s="122" t="n"/>
      <c r="D569" s="122" t="inlineStr">
        <is>
          <t>Business Matrix</t>
        </is>
      </c>
      <c r="E569" s="122" t="n">
        <v>0.84</v>
      </c>
      <c r="F569" s="122" t="n">
        <v>6</v>
      </c>
      <c r="G569" s="122" t="n">
        <v>5</v>
      </c>
      <c r="I569" s="58">
        <f>IF(B569&lt;&gt;"",B569,"")</f>
        <v/>
      </c>
    </row>
    <row r="570" ht="15.75" customHeight="1" s="146">
      <c r="C570" t="inlineStr">
        <is>
          <t>Belvoir Tree Care .</t>
        </is>
      </c>
      <c r="D570" s="122" t="inlineStr">
        <is>
          <t>Total</t>
        </is>
      </c>
      <c r="E570" s="122" t="n">
        <v>0.75</v>
      </c>
      <c r="F570" s="122" t="n">
        <v>4</v>
      </c>
      <c r="G570" s="122" t="n">
        <v>3</v>
      </c>
      <c r="I570" s="58">
        <f>IF(B570&lt;&gt;"",B570,"")</f>
        <v/>
      </c>
    </row>
    <row r="571" ht="15.75" customHeight="1" s="146">
      <c r="D571" s="122" t="inlineStr">
        <is>
          <t>Team Matrix</t>
        </is>
      </c>
      <c r="E571" s="122" t="n">
        <v>0.75</v>
      </c>
      <c r="F571" s="122" t="n">
        <v>4</v>
      </c>
      <c r="G571" s="122" t="n">
        <v>3</v>
      </c>
      <c r="I571" s="58">
        <f>IF(B571&lt;&gt;"",B571,"")</f>
        <v/>
      </c>
    </row>
    <row r="572" ht="15.75" customHeight="1" s="146">
      <c r="C572" t="inlineStr">
        <is>
          <t>Pete Clayton</t>
        </is>
      </c>
      <c r="D572" s="122" t="inlineStr">
        <is>
          <t>Total</t>
        </is>
      </c>
      <c r="E572" s="122" t="n">
        <v>0.65</v>
      </c>
      <c r="F572" s="122" t="n">
        <v>17</v>
      </c>
      <c r="G572" s="122" t="n">
        <v>11</v>
      </c>
      <c r="I572" s="58">
        <f>IF(B572&lt;&gt;"",B572,"")</f>
        <v/>
      </c>
    </row>
    <row r="573" ht="15.75" customHeight="1" s="146">
      <c r="B573" s="122" t="n"/>
      <c r="C573" s="122" t="n"/>
      <c r="D573" t="inlineStr">
        <is>
          <t>Business Matrix</t>
        </is>
      </c>
      <c r="E573" s="122" t="n">
        <v>0.84</v>
      </c>
      <c r="F573" s="122" t="n">
        <v>6</v>
      </c>
      <c r="G573" s="122" t="n">
        <v>5</v>
      </c>
      <c r="H573" s="57" t="n"/>
      <c r="I573" s="58">
        <f>IF(B573&lt;&gt;"",B573,"")</f>
        <v/>
      </c>
    </row>
    <row r="574" ht="15.75" customHeight="1" s="146">
      <c r="C574" s="122" t="n"/>
      <c r="D574" s="122" t="inlineStr">
        <is>
          <t>Customer - Utility Arboriculture</t>
        </is>
      </c>
      <c r="E574" s="122" t="n">
        <v>0.75</v>
      </c>
      <c r="F574" s="122" t="n">
        <v>4</v>
      </c>
      <c r="G574" s="122" t="n">
        <v>3</v>
      </c>
      <c r="I574" s="58">
        <f>IF(B574&lt;&gt;"",B574,"")</f>
        <v/>
      </c>
    </row>
    <row r="575" ht="15.75" customHeight="1" s="146">
      <c r="D575" s="122" t="inlineStr">
        <is>
          <t>Arborist</t>
        </is>
      </c>
      <c r="E575" s="122" t="n">
        <v>0.43</v>
      </c>
      <c r="F575" s="122" t="n">
        <v>7</v>
      </c>
      <c r="G575" s="122" t="n">
        <v>3</v>
      </c>
      <c r="I575" s="58">
        <f>IF(B575&lt;&gt;"",B575,"")</f>
        <v/>
      </c>
    </row>
    <row r="576" ht="15.75" customHeight="1" s="146">
      <c r="B576" t="inlineStr">
        <is>
          <t>D &amp; R Landscapes</t>
        </is>
      </c>
      <c r="C576" t="inlineStr">
        <is>
          <t>Total</t>
        </is>
      </c>
      <c r="D576" s="122" t="n"/>
      <c r="E576" s="122" t="n">
        <v>0.76</v>
      </c>
      <c r="F576" s="122" t="n">
        <v>100</v>
      </c>
      <c r="G576" s="122" t="n">
        <v>76</v>
      </c>
      <c r="H576" s="189" t="n">
        <v>41662</v>
      </c>
      <c r="I576" s="58">
        <f>IF(B576&lt;&gt;"",B576,"")</f>
        <v/>
      </c>
    </row>
    <row r="577" ht="15.75" customHeight="1" s="146">
      <c r="C577" t="inlineStr">
        <is>
          <t>D &amp; R Landscapes</t>
        </is>
      </c>
      <c r="D577" s="122" t="inlineStr">
        <is>
          <t>Total</t>
        </is>
      </c>
      <c r="E577" s="122" t="n">
        <v>1</v>
      </c>
      <c r="F577" s="122" t="n">
        <v>4</v>
      </c>
      <c r="G577" s="122" t="n">
        <v>4</v>
      </c>
      <c r="I577" s="58">
        <f>IF(B577&lt;&gt;"",B577,"")</f>
        <v/>
      </c>
    </row>
    <row r="578" ht="15.75" customHeight="1" s="146">
      <c r="C578" s="122" t="n"/>
      <c r="D578" s="122" t="inlineStr">
        <is>
          <t>Team Matrix</t>
        </is>
      </c>
      <c r="E578" s="122" t="n">
        <v>1</v>
      </c>
      <c r="F578" s="122" t="n">
        <v>4</v>
      </c>
      <c r="G578" s="122" t="n">
        <v>4</v>
      </c>
      <c r="I578" s="58">
        <f>IF(B578&lt;&gt;"",B578,"")</f>
        <v/>
      </c>
    </row>
    <row r="579" ht="15.75" customHeight="1" s="146">
      <c r="C579" t="inlineStr">
        <is>
          <t>Jason Mccloy</t>
        </is>
      </c>
      <c r="D579" s="122" t="inlineStr">
        <is>
          <t>Total</t>
        </is>
      </c>
      <c r="E579" s="122" t="n">
        <v>1</v>
      </c>
      <c r="F579" s="122" t="n">
        <v>17</v>
      </c>
      <c r="G579" s="122" t="n">
        <v>17</v>
      </c>
      <c r="I579" s="58">
        <f>IF(B579&lt;&gt;"",B579,"")</f>
        <v/>
      </c>
    </row>
    <row r="580" ht="15.75" customHeight="1" s="146">
      <c r="D580" s="122" t="inlineStr">
        <is>
          <t>Arborist</t>
        </is>
      </c>
      <c r="E580" s="122" t="n">
        <v>1</v>
      </c>
      <c r="F580" s="122" t="n">
        <v>7</v>
      </c>
      <c r="G580" s="122" t="n">
        <v>7</v>
      </c>
      <c r="I580" s="58">
        <f>IF(B580&lt;&gt;"",B580,"")</f>
        <v/>
      </c>
    </row>
    <row r="581" ht="15.75" customHeight="1" s="146">
      <c r="D581" s="122" t="inlineStr">
        <is>
          <t>Business Matrix</t>
        </is>
      </c>
      <c r="E581" s="122" t="n">
        <v>1</v>
      </c>
      <c r="F581" s="122" t="n">
        <v>6</v>
      </c>
      <c r="G581" s="122" t="n">
        <v>6</v>
      </c>
      <c r="I581" s="58">
        <f>IF(B581&lt;&gt;"",B581,"")</f>
        <v/>
      </c>
    </row>
    <row r="582" ht="15.75" customHeight="1" s="146">
      <c r="C582" s="122" t="n"/>
      <c r="D582" s="122" t="inlineStr">
        <is>
          <t>Customer - Utility Arboriculture</t>
        </is>
      </c>
      <c r="E582" s="122" t="n">
        <v>1</v>
      </c>
      <c r="F582" s="122" t="n">
        <v>4</v>
      </c>
      <c r="G582" s="122" t="n">
        <v>4</v>
      </c>
      <c r="I582" s="58">
        <f>IF(B582&lt;&gt;"",B582,"")</f>
        <v/>
      </c>
    </row>
    <row r="583" ht="15.75" customHeight="1" s="146">
      <c r="C583" t="inlineStr">
        <is>
          <t>Sean Corcoran</t>
        </is>
      </c>
      <c r="D583" s="122" t="inlineStr">
        <is>
          <t>Total</t>
        </is>
      </c>
      <c r="E583" s="122" t="n">
        <v>0.95</v>
      </c>
      <c r="F583" s="122" t="n">
        <v>17</v>
      </c>
      <c r="G583" s="122" t="n">
        <v>16</v>
      </c>
      <c r="I583" s="58">
        <f>IF(B583&lt;&gt;"",B583,"")</f>
        <v/>
      </c>
    </row>
    <row r="584" ht="15.75" customHeight="1" s="146">
      <c r="C584" s="122" t="n"/>
      <c r="D584" s="122" t="inlineStr">
        <is>
          <t>Business Matrix</t>
        </is>
      </c>
      <c r="E584" s="122" t="n">
        <v>1</v>
      </c>
      <c r="F584" s="122" t="n">
        <v>6</v>
      </c>
      <c r="G584" s="122" t="n">
        <v>6</v>
      </c>
      <c r="I584" s="58">
        <f>IF(B584&lt;&gt;"",B584,"")</f>
        <v/>
      </c>
    </row>
    <row r="585" ht="15.75" customHeight="1" s="146">
      <c r="D585" s="122" t="inlineStr">
        <is>
          <t>Customer - Utility Arboriculture</t>
        </is>
      </c>
      <c r="E585" s="122" t="n">
        <v>1</v>
      </c>
      <c r="F585" s="122" t="n">
        <v>4</v>
      </c>
      <c r="G585" s="122" t="n">
        <v>4</v>
      </c>
      <c r="I585" s="58">
        <f>IF(B585&lt;&gt;"",B585,"")</f>
        <v/>
      </c>
    </row>
    <row r="586" ht="15.75" customHeight="1" s="146">
      <c r="D586" s="122" t="inlineStr">
        <is>
          <t>Arborist</t>
        </is>
      </c>
      <c r="E586" s="122" t="n">
        <v>0.86</v>
      </c>
      <c r="F586" s="122" t="n">
        <v>7</v>
      </c>
      <c r="G586" s="122" t="n">
        <v>6</v>
      </c>
      <c r="I586" s="58">
        <f>IF(B586&lt;&gt;"",B586,"")</f>
        <v/>
      </c>
    </row>
    <row r="587" ht="15.75" customHeight="1" s="146">
      <c r="C587" t="inlineStr">
        <is>
          <t>Josh Pegrum</t>
        </is>
      </c>
      <c r="D587" s="122" t="inlineStr">
        <is>
          <t>Total</t>
        </is>
      </c>
      <c r="E587" s="122" t="n">
        <v>0.8</v>
      </c>
      <c r="F587" s="122" t="n">
        <v>15</v>
      </c>
      <c r="G587" s="122" t="n">
        <v>12</v>
      </c>
      <c r="I587" s="58">
        <f>IF(B587&lt;&gt;"",B587,"")</f>
        <v/>
      </c>
    </row>
    <row r="588" ht="15.75" customHeight="1" s="146">
      <c r="C588" s="122" t="n"/>
      <c r="D588" s="122" t="inlineStr">
        <is>
          <t>Business Matrix</t>
        </is>
      </c>
      <c r="E588" s="122" t="n">
        <v>1</v>
      </c>
      <c r="F588" s="122" t="n">
        <v>6</v>
      </c>
      <c r="G588" s="122" t="n">
        <v>6</v>
      </c>
      <c r="I588" s="58">
        <f>IF(B588&lt;&gt;"",B588,"")</f>
        <v/>
      </c>
    </row>
    <row r="589" ht="15.75" customHeight="1" s="146">
      <c r="D589" s="122" t="inlineStr">
        <is>
          <t>Grounds Person</t>
        </is>
      </c>
      <c r="E589" s="122" t="n">
        <v>0.8</v>
      </c>
      <c r="F589" s="122" t="n">
        <v>5</v>
      </c>
      <c r="G589" s="122" t="n">
        <v>4</v>
      </c>
      <c r="I589" s="58">
        <f>IF(B589&lt;&gt;"",B589,"")</f>
        <v/>
      </c>
    </row>
    <row r="590" ht="15.75" customHeight="1" s="146">
      <c r="D590" s="122" t="inlineStr">
        <is>
          <t>Customer - Utility Arboriculture</t>
        </is>
      </c>
      <c r="E590" s="122" t="n">
        <v>0.5</v>
      </c>
      <c r="F590" s="122" t="n">
        <v>4</v>
      </c>
      <c r="G590" s="122" t="n">
        <v>2</v>
      </c>
      <c r="I590" s="58">
        <f>IF(B590&lt;&gt;"",B590,"")</f>
        <v/>
      </c>
    </row>
    <row r="591" ht="15.75" customHeight="1" s="146">
      <c r="C591" t="inlineStr">
        <is>
          <t>Richard Payne</t>
        </is>
      </c>
      <c r="D591" s="122" t="inlineStr">
        <is>
          <t>Total</t>
        </is>
      </c>
      <c r="E591" s="122" t="n">
        <v>0.77</v>
      </c>
      <c r="F591" s="122" t="n">
        <v>17</v>
      </c>
      <c r="G591" s="122" t="n">
        <v>13</v>
      </c>
      <c r="I591" s="58">
        <f>IF(B591&lt;&gt;"",B591,"")</f>
        <v/>
      </c>
    </row>
    <row r="592" ht="15.75" customHeight="1" s="146">
      <c r="C592" s="122" t="n"/>
      <c r="D592" s="122" t="inlineStr">
        <is>
          <t>Business Matrix</t>
        </is>
      </c>
      <c r="E592" s="122" t="n">
        <v>1</v>
      </c>
      <c r="F592" s="122" t="n">
        <v>6</v>
      </c>
      <c r="G592" s="122" t="n">
        <v>6</v>
      </c>
      <c r="I592" s="58">
        <f>IF(B592&lt;&gt;"",B592,"")</f>
        <v/>
      </c>
    </row>
    <row r="593" ht="15.75" customHeight="1" s="146">
      <c r="D593" s="122" t="inlineStr">
        <is>
          <t>Arborist</t>
        </is>
      </c>
      <c r="E593" s="122" t="n">
        <v>0.86</v>
      </c>
      <c r="F593" s="122" t="n">
        <v>7</v>
      </c>
      <c r="G593" s="122" t="n">
        <v>6</v>
      </c>
      <c r="I593" s="58">
        <f>IF(B593&lt;&gt;"",B593,"")</f>
        <v/>
      </c>
    </row>
    <row r="594" ht="15.75" customHeight="1" s="146">
      <c r="D594" s="122" t="inlineStr">
        <is>
          <t>Customer - Utility Arboriculture</t>
        </is>
      </c>
      <c r="E594" s="122" t="n">
        <v>0.25</v>
      </c>
      <c r="F594" s="122" t="n">
        <v>4</v>
      </c>
      <c r="G594" s="122" t="n">
        <v>1</v>
      </c>
      <c r="I594" s="58">
        <f>IF(B594&lt;&gt;"",B594,"")</f>
        <v/>
      </c>
    </row>
    <row r="595" ht="15.75" customHeight="1" s="146">
      <c r="C595" t="inlineStr">
        <is>
          <t>Chris Robinson</t>
        </is>
      </c>
      <c r="D595" s="122" t="inlineStr">
        <is>
          <t>Total</t>
        </is>
      </c>
      <c r="E595" s="122" t="n">
        <v>0.67</v>
      </c>
      <c r="F595" s="122" t="n">
        <v>15</v>
      </c>
      <c r="G595" s="122" t="n">
        <v>10</v>
      </c>
      <c r="I595" s="58">
        <f>IF(B595&lt;&gt;"",B595,"")</f>
        <v/>
      </c>
    </row>
    <row r="596" ht="15.75" customHeight="1" s="146">
      <c r="C596" s="122" t="n"/>
      <c r="D596" s="122" t="inlineStr">
        <is>
          <t>Business Matrix</t>
        </is>
      </c>
      <c r="E596" s="122" t="n">
        <v>1</v>
      </c>
      <c r="F596" s="122" t="n">
        <v>6</v>
      </c>
      <c r="G596" s="122" t="n">
        <v>6</v>
      </c>
      <c r="I596" s="58">
        <f>IF(B596&lt;&gt;"",B596,"")</f>
        <v/>
      </c>
    </row>
    <row r="597" ht="15.75" customHeight="1" s="146">
      <c r="D597" s="122" t="inlineStr">
        <is>
          <t>Customer - Utility Arboriculture</t>
        </is>
      </c>
      <c r="E597" s="122" t="n">
        <v>0.5</v>
      </c>
      <c r="F597" s="122" t="n">
        <v>4</v>
      </c>
      <c r="G597" s="122" t="n">
        <v>2</v>
      </c>
      <c r="I597" s="58">
        <f>IF(B597&lt;&gt;"",B597,"")</f>
        <v/>
      </c>
    </row>
    <row r="598" ht="15.75" customHeight="1" s="146">
      <c r="D598" s="122" t="inlineStr">
        <is>
          <t>Grounds Person</t>
        </is>
      </c>
      <c r="E598" s="122" t="n">
        <v>0.4</v>
      </c>
      <c r="F598" s="122" t="n">
        <v>5</v>
      </c>
      <c r="G598" s="122" t="n">
        <v>2</v>
      </c>
      <c r="I598" s="58">
        <f>IF(B598&lt;&gt;"",B598,"")</f>
        <v/>
      </c>
    </row>
    <row r="599" ht="15.75" customHeight="1" s="146">
      <c r="C599" t="inlineStr">
        <is>
          <t>Scott Andrews</t>
        </is>
      </c>
      <c r="D599" s="122" t="inlineStr">
        <is>
          <t>Total</t>
        </is>
      </c>
      <c r="E599" s="122" t="n">
        <v>0.27</v>
      </c>
      <c r="F599" s="122" t="n">
        <v>15</v>
      </c>
      <c r="G599" s="122" t="n">
        <v>4</v>
      </c>
      <c r="I599" s="58">
        <f>IF(B599&lt;&gt;"",B599,"")</f>
        <v/>
      </c>
    </row>
    <row r="600" ht="15.75" customHeight="1" s="146">
      <c r="C600" s="122" t="n"/>
      <c r="D600" s="122" t="inlineStr">
        <is>
          <t>Grounds Person</t>
        </is>
      </c>
      <c r="E600" s="122" t="n">
        <v>0.4</v>
      </c>
      <c r="F600" s="122" t="n">
        <v>5</v>
      </c>
      <c r="G600" s="122" t="n">
        <v>2</v>
      </c>
      <c r="I600" s="58">
        <f>IF(B600&lt;&gt;"",B600,"")</f>
        <v/>
      </c>
    </row>
    <row r="601" ht="15.75" customHeight="1" s="146">
      <c r="D601" s="122" t="inlineStr">
        <is>
          <t>Customer - Utility Arboriculture</t>
        </is>
      </c>
      <c r="E601" s="122" t="n">
        <v>0.25</v>
      </c>
      <c r="F601" s="122" t="n">
        <v>4</v>
      </c>
      <c r="G601" s="122" t="n">
        <v>1</v>
      </c>
      <c r="I601" s="58">
        <f>IF(B601&lt;&gt;"",B601,"")</f>
        <v/>
      </c>
    </row>
    <row r="602" ht="15.75" customHeight="1" s="146">
      <c r="D602" s="122" t="inlineStr">
        <is>
          <t>Business Matrix</t>
        </is>
      </c>
      <c r="E602" s="122" t="n">
        <v>0.17</v>
      </c>
      <c r="F602" s="122" t="n">
        <v>6</v>
      </c>
      <c r="G602" s="122" t="n">
        <v>1</v>
      </c>
      <c r="I602" s="58">
        <f>IF(B602&lt;&gt;"",B602,"")</f>
        <v/>
      </c>
    </row>
    <row r="603" ht="15.75" customHeight="1" s="146">
      <c r="B603" t="inlineStr">
        <is>
          <t>Eastwoodbury Tree Services Ltd</t>
        </is>
      </c>
      <c r="C603" t="inlineStr">
        <is>
          <t>Total</t>
        </is>
      </c>
      <c r="D603" s="122" t="n"/>
      <c r="E603" s="122" t="n">
        <v>0.76</v>
      </c>
      <c r="F603" s="122" t="n">
        <v>105</v>
      </c>
      <c r="G603" s="122" t="n">
        <v>79</v>
      </c>
      <c r="H603" s="189" t="n">
        <v>44621</v>
      </c>
      <c r="I603" s="58">
        <f>IF(B603&lt;&gt;"",B603,"")</f>
        <v/>
      </c>
    </row>
    <row r="604" ht="15.75" customHeight="1" s="146">
      <c r="C604" s="122" t="inlineStr">
        <is>
          <t>Eastwoodbury Tree Services Ltd</t>
        </is>
      </c>
      <c r="D604" s="122" t="inlineStr">
        <is>
          <t>Total</t>
        </is>
      </c>
      <c r="E604" s="122" t="n">
        <v>1</v>
      </c>
      <c r="F604" s="122" t="n">
        <v>4</v>
      </c>
      <c r="G604" s="122" t="n">
        <v>4</v>
      </c>
      <c r="I604" s="58">
        <f>IF(B604&lt;&gt;"",B604,"")</f>
        <v/>
      </c>
    </row>
    <row r="605" ht="15.75" customHeight="1" s="146">
      <c r="D605" s="122" t="inlineStr">
        <is>
          <t>Team Matrix</t>
        </is>
      </c>
      <c r="E605" s="122" t="n">
        <v>1</v>
      </c>
      <c r="F605" s="122" t="n">
        <v>4</v>
      </c>
      <c r="G605" s="122" t="n">
        <v>4</v>
      </c>
      <c r="I605" s="58">
        <f>IF(B605&lt;&gt;"",B605,"")</f>
        <v/>
      </c>
    </row>
    <row r="606" ht="15.75" customHeight="1" s="146">
      <c r="C606" t="inlineStr">
        <is>
          <t>Dan Gilbert</t>
        </is>
      </c>
      <c r="D606" s="122" t="inlineStr">
        <is>
          <t>Total</t>
        </is>
      </c>
      <c r="E606" s="122" t="n">
        <v>0.9400000000000001</v>
      </c>
      <c r="F606" s="122" t="n">
        <v>15</v>
      </c>
      <c r="G606" s="122" t="n">
        <v>14</v>
      </c>
      <c r="I606" s="58">
        <f>IF(B606&lt;&gt;"",B606,"")</f>
        <v/>
      </c>
    </row>
    <row r="607" ht="15.75" customHeight="1" s="146">
      <c r="D607" s="122" t="inlineStr">
        <is>
          <t>Customer - Utility Arboriculture</t>
        </is>
      </c>
      <c r="E607" s="122" t="n">
        <v>1</v>
      </c>
      <c r="F607" s="122" t="n">
        <v>4</v>
      </c>
      <c r="G607" s="122" t="n">
        <v>4</v>
      </c>
      <c r="I607" s="58">
        <f>IF(B607&lt;&gt;"",B607,"")</f>
        <v/>
      </c>
    </row>
    <row r="608" ht="15.75" customHeight="1" s="146">
      <c r="C608" s="122" t="n"/>
      <c r="D608" s="122" t="inlineStr">
        <is>
          <t>Grounds Person</t>
        </is>
      </c>
      <c r="E608" s="122" t="n">
        <v>1</v>
      </c>
      <c r="F608" s="122" t="n">
        <v>5</v>
      </c>
      <c r="G608" s="122" t="n">
        <v>5</v>
      </c>
      <c r="I608" s="58">
        <f>IF(B608&lt;&gt;"",B608,"")</f>
        <v/>
      </c>
    </row>
    <row r="609" ht="15.75" customHeight="1" s="146">
      <c r="D609" s="122" t="inlineStr">
        <is>
          <t>Business Matrix</t>
        </is>
      </c>
      <c r="E609" s="122" t="n">
        <v>0.84</v>
      </c>
      <c r="F609" s="122" t="n">
        <v>6</v>
      </c>
      <c r="G609" s="122" t="n">
        <v>5</v>
      </c>
      <c r="I609" s="58">
        <f>IF(B609&lt;&gt;"",B609,"")</f>
        <v/>
      </c>
    </row>
    <row r="610" ht="15.75" customHeight="1" s="146">
      <c r="C610" t="inlineStr">
        <is>
          <t>Jay Denkmayer</t>
        </is>
      </c>
      <c r="D610" s="122" t="inlineStr">
        <is>
          <t>Total</t>
        </is>
      </c>
      <c r="E610" s="122" t="n">
        <v>0.89</v>
      </c>
      <c r="F610" s="122" t="n">
        <v>17</v>
      </c>
      <c r="G610" s="122" t="n">
        <v>15</v>
      </c>
      <c r="I610" s="58">
        <f>IF(B610&lt;&gt;"",B610,"")</f>
        <v/>
      </c>
    </row>
    <row r="611" ht="15.75" customHeight="1" s="146">
      <c r="D611" s="122" t="inlineStr">
        <is>
          <t>Arborist</t>
        </is>
      </c>
      <c r="E611" s="122" t="n">
        <v>1</v>
      </c>
      <c r="F611" s="122" t="n">
        <v>7</v>
      </c>
      <c r="G611" s="122" t="n">
        <v>7</v>
      </c>
      <c r="I611" s="58">
        <f>IF(B611&lt;&gt;"",B611,"")</f>
        <v/>
      </c>
    </row>
    <row r="612" ht="15.75" customHeight="1" s="146">
      <c r="B612" s="122" t="n"/>
      <c r="C612" s="122" t="n"/>
      <c r="D612" t="inlineStr">
        <is>
          <t>Customer - Utility Arboriculture</t>
        </is>
      </c>
      <c r="E612" s="122" t="n">
        <v>1</v>
      </c>
      <c r="F612" s="122" t="n">
        <v>4</v>
      </c>
      <c r="G612" s="122" t="n">
        <v>4</v>
      </c>
      <c r="H612" s="57" t="n"/>
      <c r="I612" s="58">
        <f>IF(B612&lt;&gt;"",B612,"")</f>
        <v/>
      </c>
    </row>
    <row r="613" ht="15.75" customHeight="1" s="146">
      <c r="C613" s="122" t="n"/>
      <c r="D613" s="122" t="inlineStr">
        <is>
          <t>Business Matrix</t>
        </is>
      </c>
      <c r="E613" s="122" t="n">
        <v>0.67</v>
      </c>
      <c r="F613" s="122" t="n">
        <v>6</v>
      </c>
      <c r="G613" s="122" t="n">
        <v>4</v>
      </c>
      <c r="I613" s="58">
        <f>IF(B613&lt;&gt;"",B613,"")</f>
        <v/>
      </c>
    </row>
    <row r="614" ht="15.75" customHeight="1" s="146">
      <c r="C614" t="inlineStr">
        <is>
          <t>thomas price</t>
        </is>
      </c>
      <c r="D614" s="122" t="inlineStr">
        <is>
          <t>Total</t>
        </is>
      </c>
      <c r="E614" s="122" t="n">
        <v>0.87</v>
      </c>
      <c r="F614" s="122" t="n">
        <v>22</v>
      </c>
      <c r="G614" s="122" t="n">
        <v>19</v>
      </c>
      <c r="I614" s="58">
        <f>IF(B614&lt;&gt;"",B614,"")</f>
        <v/>
      </c>
    </row>
    <row r="615" ht="15.75" customHeight="1" s="146">
      <c r="D615" s="122" t="inlineStr">
        <is>
          <t>Customer - Utility Arboriculture</t>
        </is>
      </c>
      <c r="E615" s="122" t="n">
        <v>1</v>
      </c>
      <c r="F615" s="122" t="n">
        <v>4</v>
      </c>
      <c r="G615" s="122" t="n">
        <v>4</v>
      </c>
      <c r="I615" s="58">
        <f>IF(B615&lt;&gt;"",B615,"")</f>
        <v/>
      </c>
    </row>
    <row r="616" ht="15.75" customHeight="1" s="146">
      <c r="D616" s="122" t="inlineStr">
        <is>
          <t>Grounds Person</t>
        </is>
      </c>
      <c r="E616" s="122" t="n">
        <v>1</v>
      </c>
      <c r="F616" s="122" t="n">
        <v>5</v>
      </c>
      <c r="G616" s="122" t="n">
        <v>5</v>
      </c>
      <c r="I616" s="58">
        <f>IF(B616&lt;&gt;"",B616,"")</f>
        <v/>
      </c>
    </row>
    <row r="617" ht="15.75" customHeight="1" s="146">
      <c r="C617" s="122" t="n"/>
      <c r="D617" s="122" t="inlineStr">
        <is>
          <t>Arborist</t>
        </is>
      </c>
      <c r="E617" s="122" t="n">
        <v>0.86</v>
      </c>
      <c r="F617" s="122" t="n">
        <v>7</v>
      </c>
      <c r="G617" s="122" t="n">
        <v>6</v>
      </c>
      <c r="I617" s="58">
        <f>IF(B617&lt;&gt;"",B617,"")</f>
        <v/>
      </c>
    </row>
    <row r="618" ht="15.75" customHeight="1" s="146">
      <c r="D618" s="122" t="inlineStr">
        <is>
          <t>Business Matrix</t>
        </is>
      </c>
      <c r="E618" s="122" t="n">
        <v>0.67</v>
      </c>
      <c r="F618" s="122" t="n">
        <v>6</v>
      </c>
      <c r="G618" s="122" t="n">
        <v>4</v>
      </c>
      <c r="I618" s="58">
        <f>IF(B618&lt;&gt;"",B618,"")</f>
        <v/>
      </c>
    </row>
    <row r="619" ht="15.75" customHeight="1" s="146">
      <c r="C619" t="inlineStr">
        <is>
          <t>kian gilbert</t>
        </is>
      </c>
      <c r="D619" s="122" t="inlineStr">
        <is>
          <t>Total</t>
        </is>
      </c>
      <c r="E619" s="122" t="n">
        <v>0.67</v>
      </c>
      <c r="F619" s="122" t="n">
        <v>15</v>
      </c>
      <c r="G619" s="122" t="n">
        <v>10</v>
      </c>
      <c r="I619" s="58">
        <f>IF(B619&lt;&gt;"",B619,"")</f>
        <v/>
      </c>
    </row>
    <row r="620" ht="15.75" customHeight="1" s="146">
      <c r="D620" s="122" t="inlineStr">
        <is>
          <t>Customer - Utility Arboriculture</t>
        </is>
      </c>
      <c r="E620" s="122" t="n">
        <v>1</v>
      </c>
      <c r="F620" s="122" t="n">
        <v>4</v>
      </c>
      <c r="G620" s="122" t="n">
        <v>4</v>
      </c>
      <c r="I620" s="58">
        <f>IF(B620&lt;&gt;"",B620,"")</f>
        <v/>
      </c>
    </row>
    <row r="621" ht="15.75" customHeight="1" s="146">
      <c r="C621" s="122" t="n"/>
      <c r="D621" s="122" t="inlineStr">
        <is>
          <t>Business Matrix</t>
        </is>
      </c>
      <c r="E621" s="122" t="n">
        <v>0.67</v>
      </c>
      <c r="F621" s="122" t="n">
        <v>6</v>
      </c>
      <c r="G621" s="122" t="n">
        <v>4</v>
      </c>
      <c r="I621" s="58">
        <f>IF(B621&lt;&gt;"",B621,"")</f>
        <v/>
      </c>
    </row>
    <row r="622" ht="15.75" customHeight="1" s="146">
      <c r="D622" s="122" t="inlineStr">
        <is>
          <t>Grounds Person</t>
        </is>
      </c>
      <c r="E622" s="122" t="n">
        <v>0.4</v>
      </c>
      <c r="F622" s="122" t="n">
        <v>5</v>
      </c>
      <c r="G622" s="122" t="n">
        <v>2</v>
      </c>
      <c r="I622" s="58">
        <f>IF(B622&lt;&gt;"",B622,"")</f>
        <v/>
      </c>
    </row>
    <row r="623" ht="15.75" customHeight="1" s="146">
      <c r="C623" t="inlineStr">
        <is>
          <t>Luke Williams</t>
        </is>
      </c>
      <c r="D623" s="122" t="inlineStr">
        <is>
          <t>Total</t>
        </is>
      </c>
      <c r="E623" s="122" t="n">
        <v>0.65</v>
      </c>
      <c r="F623" s="122" t="n">
        <v>17</v>
      </c>
      <c r="G623" s="122" t="n">
        <v>11</v>
      </c>
      <c r="I623" s="58">
        <f>IF(B623&lt;&gt;"",B623,"")</f>
        <v/>
      </c>
    </row>
    <row r="624" ht="15.75" customHeight="1" s="146">
      <c r="D624" s="122" t="inlineStr">
        <is>
          <t>Customer - Utility Arboriculture</t>
        </is>
      </c>
      <c r="E624" s="122" t="n">
        <v>1</v>
      </c>
      <c r="F624" s="122" t="n">
        <v>4</v>
      </c>
      <c r="G624" s="122" t="n">
        <v>4</v>
      </c>
      <c r="I624" s="58">
        <f>IF(B624&lt;&gt;"",B624,"")</f>
        <v/>
      </c>
    </row>
    <row r="625" ht="15.75" customHeight="1" s="146">
      <c r="C625" s="122" t="n"/>
      <c r="D625" s="122" t="inlineStr">
        <is>
          <t>Arborist</t>
        </is>
      </c>
      <c r="E625" s="122" t="n">
        <v>0.72</v>
      </c>
      <c r="F625" s="122" t="n">
        <v>7</v>
      </c>
      <c r="G625" s="122" t="n">
        <v>5</v>
      </c>
      <c r="I625" s="58">
        <f>IF(B625&lt;&gt;"",B625,"")</f>
        <v/>
      </c>
    </row>
    <row r="626" ht="15.75" customHeight="1" s="146">
      <c r="D626" s="122" t="inlineStr">
        <is>
          <t>Business Matrix</t>
        </is>
      </c>
      <c r="E626" s="122" t="n">
        <v>0.34</v>
      </c>
      <c r="F626" s="122" t="n">
        <v>6</v>
      </c>
      <c r="G626" s="122" t="n">
        <v>2</v>
      </c>
      <c r="I626" s="58">
        <f>IF(B626&lt;&gt;"",B626,"")</f>
        <v/>
      </c>
    </row>
    <row r="627" ht="15.75" customHeight="1" s="146">
      <c r="C627" t="inlineStr">
        <is>
          <t>reece wilkinson</t>
        </is>
      </c>
      <c r="D627" s="122" t="inlineStr">
        <is>
          <t>Total</t>
        </is>
      </c>
      <c r="E627" s="122" t="n">
        <v>0.4</v>
      </c>
      <c r="F627" s="122" t="n">
        <v>15</v>
      </c>
      <c r="G627" s="122" t="n">
        <v>6</v>
      </c>
      <c r="I627" s="58">
        <f>IF(B627&lt;&gt;"",B627,"")</f>
        <v/>
      </c>
    </row>
    <row r="628" ht="15.75" customHeight="1" s="146">
      <c r="D628" s="122" t="inlineStr">
        <is>
          <t>Business Matrix</t>
        </is>
      </c>
      <c r="E628" s="122" t="n">
        <v>0.84</v>
      </c>
      <c r="F628" s="122" t="n">
        <v>6</v>
      </c>
      <c r="G628" s="122" t="n">
        <v>5</v>
      </c>
      <c r="I628" s="58">
        <f>IF(B628&lt;&gt;"",B628,"")</f>
        <v/>
      </c>
    </row>
    <row r="629" ht="15.75" customHeight="1" s="146">
      <c r="C629" s="122" t="n"/>
      <c r="D629" s="122" t="inlineStr">
        <is>
          <t>Grounds Person</t>
        </is>
      </c>
      <c r="E629" s="122" t="n">
        <v>0.2</v>
      </c>
      <c r="F629" s="122" t="n">
        <v>5</v>
      </c>
      <c r="G629" s="122" t="n">
        <v>1</v>
      </c>
      <c r="I629" s="58">
        <f>IF(B629&lt;&gt;"",B629,"")</f>
        <v/>
      </c>
    </row>
    <row r="630" ht="15.75" customHeight="1" s="146">
      <c r="D630" s="122" t="inlineStr">
        <is>
          <t>Customer - Utility Arboriculture</t>
        </is>
      </c>
      <c r="E630" s="122" t="n">
        <v>0</v>
      </c>
      <c r="F630" s="122" t="n">
        <v>4</v>
      </c>
      <c r="G630" s="122" t="n">
        <v>0</v>
      </c>
      <c r="I630" s="58">
        <f>IF(B630&lt;&gt;"",B630,"")</f>
        <v/>
      </c>
    </row>
    <row r="631" ht="15.75" customHeight="1" s="146">
      <c r="B631" t="inlineStr">
        <is>
          <t>Flint Tree Surgeons</t>
        </is>
      </c>
      <c r="C631" t="inlineStr">
        <is>
          <t>Total</t>
        </is>
      </c>
      <c r="D631" s="122" t="n"/>
      <c r="E631" s="122" t="n">
        <v>0.75</v>
      </c>
      <c r="F631" s="122" t="n">
        <v>51</v>
      </c>
      <c r="G631" s="122" t="n">
        <v>38</v>
      </c>
      <c r="H631" s="189" t="n">
        <v>42891</v>
      </c>
      <c r="I631" s="58">
        <f>IF(B631&lt;&gt;"",B631,"")</f>
        <v/>
      </c>
    </row>
    <row r="632" ht="15.75" customHeight="1" s="146">
      <c r="C632" t="inlineStr">
        <is>
          <t>Flint Tree Surgeons</t>
        </is>
      </c>
      <c r="D632" s="122" t="inlineStr">
        <is>
          <t>Total</t>
        </is>
      </c>
      <c r="E632" s="122" t="n">
        <v>1</v>
      </c>
      <c r="F632" s="122" t="n">
        <v>4</v>
      </c>
      <c r="G632" s="122" t="n">
        <v>4</v>
      </c>
      <c r="I632" s="58">
        <f>IF(B632&lt;&gt;"",B632,"")</f>
        <v/>
      </c>
    </row>
    <row r="633" ht="15.75" customHeight="1" s="146">
      <c r="C633" s="122" t="n"/>
      <c r="D633" s="122" t="inlineStr">
        <is>
          <t>Team Matrix</t>
        </is>
      </c>
      <c r="E633" s="122" t="n">
        <v>1</v>
      </c>
      <c r="F633" s="122" t="n">
        <v>4</v>
      </c>
      <c r="G633" s="122" t="n">
        <v>4</v>
      </c>
      <c r="I633" s="58">
        <f>IF(B633&lt;&gt;"",B633,"")</f>
        <v/>
      </c>
    </row>
    <row r="634" ht="15.75" customHeight="1" s="146">
      <c r="C634" t="inlineStr">
        <is>
          <t>Ed Flint</t>
        </is>
      </c>
      <c r="D634" s="122" t="inlineStr">
        <is>
          <t>Total</t>
        </is>
      </c>
      <c r="E634" s="122" t="n">
        <v>0.95</v>
      </c>
      <c r="F634" s="122" t="n">
        <v>17</v>
      </c>
      <c r="G634" s="122" t="n">
        <v>16</v>
      </c>
      <c r="I634" s="58">
        <f>IF(B634&lt;&gt;"",B634,"")</f>
        <v/>
      </c>
    </row>
    <row r="635" ht="15.75" customHeight="1" s="146">
      <c r="D635" s="122" t="inlineStr">
        <is>
          <t>Business Matrix</t>
        </is>
      </c>
      <c r="E635" s="122" t="n">
        <v>1</v>
      </c>
      <c r="F635" s="122" t="n">
        <v>6</v>
      </c>
      <c r="G635" s="122" t="n">
        <v>6</v>
      </c>
      <c r="I635" s="58">
        <f>IF(B635&lt;&gt;"",B635,"")</f>
        <v/>
      </c>
    </row>
    <row r="636" ht="15.75" customHeight="1" s="146">
      <c r="D636" s="122" t="inlineStr">
        <is>
          <t>Customer - Utility Arboriculture</t>
        </is>
      </c>
      <c r="E636" s="122" t="n">
        <v>1</v>
      </c>
      <c r="F636" s="122" t="n">
        <v>4</v>
      </c>
      <c r="G636" s="122" t="n">
        <v>4</v>
      </c>
      <c r="I636" s="58">
        <f>IF(B636&lt;&gt;"",B636,"")</f>
        <v/>
      </c>
    </row>
    <row r="637" ht="15.75" customHeight="1" s="146">
      <c r="C637" s="122" t="n"/>
      <c r="D637" s="122" t="inlineStr">
        <is>
          <t>Arborist</t>
        </is>
      </c>
      <c r="E637" s="122" t="n">
        <v>0.86</v>
      </c>
      <c r="F637" s="122" t="n">
        <v>7</v>
      </c>
      <c r="G637" s="122" t="n">
        <v>6</v>
      </c>
      <c r="I637" s="58">
        <f>IF(B637&lt;&gt;"",B637,"")</f>
        <v/>
      </c>
    </row>
    <row r="638" ht="15.75" customHeight="1" s="146">
      <c r="C638" t="inlineStr">
        <is>
          <t>Adam Andrews</t>
        </is>
      </c>
      <c r="D638" s="122" t="inlineStr">
        <is>
          <t>Total</t>
        </is>
      </c>
      <c r="E638" s="122" t="n">
        <v>0.74</v>
      </c>
      <c r="F638" s="122" t="n">
        <v>15</v>
      </c>
      <c r="G638" s="122" t="n">
        <v>11</v>
      </c>
      <c r="I638" s="58">
        <f>IF(B638&lt;&gt;"",B638,"")</f>
        <v/>
      </c>
    </row>
    <row r="639" ht="15.75" customHeight="1" s="146">
      <c r="D639" s="122" t="inlineStr">
        <is>
          <t>Grounds Person</t>
        </is>
      </c>
      <c r="E639" s="122" t="n">
        <v>0.8</v>
      </c>
      <c r="F639" s="122" t="n">
        <v>5</v>
      </c>
      <c r="G639" s="122" t="n">
        <v>4</v>
      </c>
      <c r="I639" s="58">
        <f>IF(B639&lt;&gt;"",B639,"")</f>
        <v/>
      </c>
    </row>
    <row r="640" ht="15.75" customHeight="1" s="146">
      <c r="D640" s="122" t="inlineStr">
        <is>
          <t>Customer - Utility Arboriculture</t>
        </is>
      </c>
      <c r="E640" s="122" t="n">
        <v>0.75</v>
      </c>
      <c r="F640" s="122" t="n">
        <v>4</v>
      </c>
      <c r="G640" s="122" t="n">
        <v>3</v>
      </c>
      <c r="I640" s="58">
        <f>IF(B640&lt;&gt;"",B640,"")</f>
        <v/>
      </c>
    </row>
    <row r="641" ht="15.75" customHeight="1" s="146">
      <c r="C641" s="122" t="n"/>
      <c r="D641" s="122" t="inlineStr">
        <is>
          <t>Business Matrix</t>
        </is>
      </c>
      <c r="E641" s="122" t="n">
        <v>0.67</v>
      </c>
      <c r="F641" s="122" t="n">
        <v>6</v>
      </c>
      <c r="G641" s="122" t="n">
        <v>4</v>
      </c>
      <c r="I641" s="58">
        <f>IF(B641&lt;&gt;"",B641,"")</f>
        <v/>
      </c>
    </row>
    <row r="642" ht="15.75" customHeight="1" s="146">
      <c r="C642" t="inlineStr">
        <is>
          <t>Lewis Stent</t>
        </is>
      </c>
      <c r="D642" s="122" t="inlineStr">
        <is>
          <t>Total</t>
        </is>
      </c>
      <c r="E642" s="122" t="n">
        <v>0.47</v>
      </c>
      <c r="F642" s="122" t="n">
        <v>15</v>
      </c>
      <c r="G642" s="122" t="n">
        <v>7</v>
      </c>
      <c r="I642" s="58">
        <f>IF(B642&lt;&gt;"",B642,"")</f>
        <v/>
      </c>
    </row>
    <row r="643" ht="15.75" customHeight="1" s="146">
      <c r="D643" s="122" t="inlineStr">
        <is>
          <t>Business Matrix</t>
        </is>
      </c>
      <c r="E643" s="122" t="n">
        <v>0.67</v>
      </c>
      <c r="F643" s="122" t="n">
        <v>6</v>
      </c>
      <c r="G643" s="122" t="n">
        <v>4</v>
      </c>
      <c r="I643" s="58">
        <f>IF(B643&lt;&gt;"",B643,"")</f>
        <v/>
      </c>
    </row>
    <row r="644" ht="15.75" customHeight="1" s="146">
      <c r="D644" s="122" t="inlineStr">
        <is>
          <t>Grounds Person</t>
        </is>
      </c>
      <c r="E644" s="122" t="n">
        <v>0.6</v>
      </c>
      <c r="F644" s="122" t="n">
        <v>5</v>
      </c>
      <c r="G644" s="122" t="n">
        <v>3</v>
      </c>
      <c r="I644" s="58">
        <f>IF(B644&lt;&gt;"",B644,"")</f>
        <v/>
      </c>
    </row>
    <row r="645" ht="15.75" customHeight="1" s="146">
      <c r="C645" s="122" t="n"/>
      <c r="D645" s="122" t="inlineStr">
        <is>
          <t>Customer - Utility Arboriculture</t>
        </is>
      </c>
      <c r="E645" s="122" t="n">
        <v>0</v>
      </c>
      <c r="F645" s="122" t="n">
        <v>4</v>
      </c>
      <c r="G645" s="122" t="n">
        <v>0</v>
      </c>
      <c r="I645" s="58">
        <f>IF(B645&lt;&gt;"",B645,"")</f>
        <v/>
      </c>
    </row>
    <row r="646" ht="15.75" customHeight="1" s="146">
      <c r="B646" t="inlineStr">
        <is>
          <t>Olney Landscapes</t>
        </is>
      </c>
      <c r="C646" t="inlineStr">
        <is>
          <t>Total</t>
        </is>
      </c>
      <c r="D646" s="122" t="n"/>
      <c r="E646" s="122" t="n">
        <v>0.75</v>
      </c>
      <c r="F646" s="122" t="n">
        <v>36</v>
      </c>
      <c r="G646" s="122" t="n">
        <v>27</v>
      </c>
      <c r="H646" s="189" t="n">
        <v>41464</v>
      </c>
      <c r="I646" s="58">
        <f>IF(B646&lt;&gt;"",B646,"")</f>
        <v/>
      </c>
    </row>
    <row r="647" ht="15.75" customHeight="1" s="146">
      <c r="C647" t="inlineStr">
        <is>
          <t>Olney Landscapes</t>
        </is>
      </c>
      <c r="D647" s="122" t="inlineStr">
        <is>
          <t>Total</t>
        </is>
      </c>
      <c r="E647" s="122" t="n">
        <v>1</v>
      </c>
      <c r="F647" s="122" t="n">
        <v>4</v>
      </c>
      <c r="G647" s="122" t="n">
        <v>4</v>
      </c>
      <c r="I647" s="58">
        <f>IF(B647&lt;&gt;"",B647,"")</f>
        <v/>
      </c>
    </row>
    <row r="648" ht="15.75" customHeight="1" s="146">
      <c r="D648" s="122" t="inlineStr">
        <is>
          <t>Team Matrix</t>
        </is>
      </c>
      <c r="E648" s="122" t="n">
        <v>1</v>
      </c>
      <c r="F648" s="122" t="n">
        <v>4</v>
      </c>
      <c r="G648" s="122" t="n">
        <v>4</v>
      </c>
      <c r="I648" s="58">
        <f>IF(B648&lt;&gt;"",B648,"")</f>
        <v/>
      </c>
    </row>
    <row r="649" ht="15.75" customHeight="1" s="146">
      <c r="C649" s="122" t="inlineStr">
        <is>
          <t>Joseph Astin</t>
        </is>
      </c>
      <c r="D649" s="122" t="inlineStr">
        <is>
          <t>Total</t>
        </is>
      </c>
      <c r="E649" s="122" t="n">
        <v>0.77</v>
      </c>
      <c r="F649" s="122" t="n">
        <v>17</v>
      </c>
      <c r="G649" s="122" t="n">
        <v>13</v>
      </c>
      <c r="I649" s="58">
        <f>IF(B649&lt;&gt;"",B649,"")</f>
        <v/>
      </c>
    </row>
    <row r="650" ht="15.75" customHeight="1" s="146">
      <c r="D650" s="122" t="inlineStr">
        <is>
          <t>Business Matrix</t>
        </is>
      </c>
      <c r="E650" s="122" t="n">
        <v>1</v>
      </c>
      <c r="F650" s="122" t="n">
        <v>6</v>
      </c>
      <c r="G650" s="122" t="n">
        <v>6</v>
      </c>
      <c r="I650" s="58">
        <f>IF(B650&lt;&gt;"",B650,"")</f>
        <v/>
      </c>
    </row>
    <row r="651" ht="15.75" customHeight="1" s="146">
      <c r="D651" s="122" t="inlineStr">
        <is>
          <t>Arborist</t>
        </is>
      </c>
      <c r="E651" s="122" t="n">
        <v>0.86</v>
      </c>
      <c r="F651" s="122" t="n">
        <v>7</v>
      </c>
      <c r="G651" s="122" t="n">
        <v>6</v>
      </c>
      <c r="I651" s="58">
        <f>IF(B651&lt;&gt;"",B651,"")</f>
        <v/>
      </c>
    </row>
    <row r="652" ht="15.75" customHeight="1" s="146">
      <c r="D652" s="122" t="inlineStr">
        <is>
          <t>Customer - Utility Arboriculture</t>
        </is>
      </c>
      <c r="E652" s="122" t="n">
        <v>0.25</v>
      </c>
      <c r="F652" s="122" t="n">
        <v>4</v>
      </c>
      <c r="G652" s="122" t="n">
        <v>1</v>
      </c>
      <c r="I652" s="58">
        <f>IF(B652&lt;&gt;"",B652,"")</f>
        <v/>
      </c>
    </row>
    <row r="653" ht="15.75" customHeight="1" s="146">
      <c r="C653" s="122" t="inlineStr">
        <is>
          <t>Richard Crouch</t>
        </is>
      </c>
      <c r="D653" s="122" t="inlineStr">
        <is>
          <t>Total</t>
        </is>
      </c>
      <c r="E653" s="122" t="n">
        <v>0.67</v>
      </c>
      <c r="F653" s="122" t="n">
        <v>15</v>
      </c>
      <c r="G653" s="122" t="n">
        <v>10</v>
      </c>
      <c r="I653" s="58">
        <f>IF(B653&lt;&gt;"",B653,"")</f>
        <v/>
      </c>
    </row>
    <row r="654" ht="15.75" customHeight="1" s="146">
      <c r="D654" s="122" t="inlineStr">
        <is>
          <t>Business Matrix</t>
        </is>
      </c>
      <c r="E654" s="122" t="n">
        <v>1</v>
      </c>
      <c r="F654" s="122" t="n">
        <v>6</v>
      </c>
      <c r="G654" s="122" t="n">
        <v>6</v>
      </c>
      <c r="I654" s="58">
        <f>IF(B654&lt;&gt;"",B654,"")</f>
        <v/>
      </c>
    </row>
    <row r="655" ht="15.75" customHeight="1" s="146">
      <c r="D655" s="122" t="inlineStr">
        <is>
          <t>Grounds Person</t>
        </is>
      </c>
      <c r="E655" s="122" t="n">
        <v>0.8</v>
      </c>
      <c r="F655" s="122" t="n">
        <v>5</v>
      </c>
      <c r="G655" s="122" t="n">
        <v>4</v>
      </c>
      <c r="I655" s="58">
        <f>IF(B655&lt;&gt;"",B655,"")</f>
        <v/>
      </c>
    </row>
    <row r="656" ht="15.75" customHeight="1" s="146">
      <c r="D656" s="122" t="inlineStr">
        <is>
          <t>Customer - Utility Arboriculture</t>
        </is>
      </c>
      <c r="E656" s="122" t="n">
        <v>0</v>
      </c>
      <c r="F656" s="122" t="n">
        <v>4</v>
      </c>
      <c r="G656" s="122" t="n">
        <v>0</v>
      </c>
      <c r="I656" s="58">
        <f>IF(B656&lt;&gt;"",B656,"")</f>
        <v/>
      </c>
    </row>
    <row r="657" ht="15.75" customHeight="1" s="146">
      <c r="B657" t="inlineStr">
        <is>
          <t>Bourne VP</t>
        </is>
      </c>
      <c r="C657" s="122" t="inlineStr">
        <is>
          <t>Total</t>
        </is>
      </c>
      <c r="D657" s="122" t="n"/>
      <c r="E657" s="122" t="n">
        <v>0.74</v>
      </c>
      <c r="F657" s="122" t="n">
        <v>274</v>
      </c>
      <c r="G657" s="122" t="n">
        <v>201</v>
      </c>
      <c r="H657" s="189" t="n">
        <v>41381</v>
      </c>
      <c r="I657" s="58">
        <f>IF(B657&lt;&gt;"",B657,"")</f>
        <v/>
      </c>
    </row>
    <row r="658" ht="15.75" customHeight="1" s="146">
      <c r="C658" t="inlineStr">
        <is>
          <t>Dagaen Wood</t>
        </is>
      </c>
      <c r="D658" s="122" t="inlineStr">
        <is>
          <t>Total</t>
        </is>
      </c>
      <c r="E658" s="122" t="n">
        <v>0.95</v>
      </c>
      <c r="F658" s="122" t="n">
        <v>17</v>
      </c>
      <c r="G658" s="122" t="n">
        <v>16</v>
      </c>
      <c r="I658" s="58">
        <f>IF(B658&lt;&gt;"",B658,"")</f>
        <v/>
      </c>
    </row>
    <row r="659" ht="15.75" customHeight="1" s="146">
      <c r="C659" s="122" t="n"/>
      <c r="D659" s="122" t="inlineStr">
        <is>
          <t>Arborist</t>
        </is>
      </c>
      <c r="E659" s="122" t="n">
        <v>1</v>
      </c>
      <c r="F659" s="122" t="n">
        <v>7</v>
      </c>
      <c r="G659" s="122" t="n">
        <v>7</v>
      </c>
      <c r="I659" s="58">
        <f>IF(B659&lt;&gt;"",B659,"")</f>
        <v/>
      </c>
    </row>
    <row r="660" ht="15.75" customHeight="1" s="146">
      <c r="D660" s="122" t="inlineStr">
        <is>
          <t>Business Matrix</t>
        </is>
      </c>
      <c r="E660" s="122" t="n">
        <v>1</v>
      </c>
      <c r="F660" s="122" t="n">
        <v>6</v>
      </c>
      <c r="G660" s="122" t="n">
        <v>6</v>
      </c>
      <c r="I660" s="58">
        <f>IF(B660&lt;&gt;"",B660,"")</f>
        <v/>
      </c>
    </row>
    <row r="661" ht="15.75" customHeight="1" s="146">
      <c r="D661" s="122" t="inlineStr">
        <is>
          <t>Customer - Utility Arboriculture</t>
        </is>
      </c>
      <c r="E661" s="122" t="n">
        <v>0.75</v>
      </c>
      <c r="F661" s="122" t="n">
        <v>4</v>
      </c>
      <c r="G661" s="122" t="n">
        <v>3</v>
      </c>
      <c r="I661" s="58">
        <f>IF(B661&lt;&gt;"",B661,"")</f>
        <v/>
      </c>
    </row>
    <row r="662" ht="15.75" customHeight="1" s="146">
      <c r="C662" t="inlineStr">
        <is>
          <t>Dominic Ridley</t>
        </is>
      </c>
      <c r="D662" s="122" t="inlineStr">
        <is>
          <t>Total</t>
        </is>
      </c>
      <c r="E662" s="122" t="n">
        <v>0.95</v>
      </c>
      <c r="F662" s="122" t="n">
        <v>17</v>
      </c>
      <c r="G662" s="122" t="n">
        <v>16</v>
      </c>
      <c r="I662" s="58">
        <f>IF(B662&lt;&gt;"",B662,"")</f>
        <v/>
      </c>
    </row>
    <row r="663" ht="15.75" customHeight="1" s="146">
      <c r="C663" s="122" t="n"/>
      <c r="D663" s="122" t="inlineStr">
        <is>
          <t>Business Matrix</t>
        </is>
      </c>
      <c r="E663" s="122" t="n">
        <v>1</v>
      </c>
      <c r="F663" s="122" t="n">
        <v>6</v>
      </c>
      <c r="G663" s="122" t="n">
        <v>6</v>
      </c>
      <c r="I663" s="58">
        <f>IF(B663&lt;&gt;"",B663,"")</f>
        <v/>
      </c>
    </row>
    <row r="664" ht="15.75" customHeight="1" s="146">
      <c r="D664" s="122" t="inlineStr">
        <is>
          <t>Customer - Utility Arboriculture</t>
        </is>
      </c>
      <c r="E664" s="122" t="n">
        <v>1</v>
      </c>
      <c r="F664" s="122" t="n">
        <v>4</v>
      </c>
      <c r="G664" s="122" t="n">
        <v>4</v>
      </c>
      <c r="I664" s="58">
        <f>IF(B664&lt;&gt;"",B664,"")</f>
        <v/>
      </c>
    </row>
    <row r="665" ht="15.75" customHeight="1" s="146">
      <c r="D665" s="122" t="inlineStr">
        <is>
          <t>Arborist</t>
        </is>
      </c>
      <c r="E665" s="122" t="n">
        <v>0.86</v>
      </c>
      <c r="F665" s="122" t="n">
        <v>7</v>
      </c>
      <c r="G665" s="122" t="n">
        <v>6</v>
      </c>
      <c r="I665" s="58">
        <f>IF(B665&lt;&gt;"",B665,"")</f>
        <v/>
      </c>
    </row>
    <row r="666" ht="15.75" customHeight="1" s="146">
      <c r="C666" t="inlineStr">
        <is>
          <t>Jamie Gimson</t>
        </is>
      </c>
      <c r="D666" s="122" t="inlineStr">
        <is>
          <t>Total</t>
        </is>
      </c>
      <c r="E666" s="122" t="n">
        <v>0.89</v>
      </c>
      <c r="F666" s="122" t="n">
        <v>17</v>
      </c>
      <c r="G666" s="122" t="n">
        <v>15</v>
      </c>
      <c r="I666" s="58">
        <f>IF(B666&lt;&gt;"",B666,"")</f>
        <v/>
      </c>
    </row>
    <row r="667" ht="15.75" customHeight="1" s="146">
      <c r="C667" s="122" t="n"/>
      <c r="D667" s="122" t="inlineStr">
        <is>
          <t>Customer - Utility Arboriculture</t>
        </is>
      </c>
      <c r="E667" s="122" t="n">
        <v>1</v>
      </c>
      <c r="F667" s="122" t="n">
        <v>4</v>
      </c>
      <c r="G667" s="122" t="n">
        <v>4</v>
      </c>
      <c r="I667" s="58">
        <f>IF(B667&lt;&gt;"",B667,"")</f>
        <v/>
      </c>
    </row>
    <row r="668" ht="15.75" customHeight="1" s="146">
      <c r="D668" s="122" t="inlineStr">
        <is>
          <t>Arborist</t>
        </is>
      </c>
      <c r="E668" s="122" t="n">
        <v>0.86</v>
      </c>
      <c r="F668" s="122" t="n">
        <v>7</v>
      </c>
      <c r="G668" s="122" t="n">
        <v>6</v>
      </c>
      <c r="I668" s="58">
        <f>IF(B668&lt;&gt;"",B668,"")</f>
        <v/>
      </c>
    </row>
    <row r="669" ht="15.75" customHeight="1" s="146">
      <c r="D669" s="122" t="inlineStr">
        <is>
          <t>Business Matrix</t>
        </is>
      </c>
      <c r="E669" s="122" t="n">
        <v>0.84</v>
      </c>
      <c r="F669" s="122" t="n">
        <v>6</v>
      </c>
      <c r="G669" s="122" t="n">
        <v>5</v>
      </c>
      <c r="I669" s="58">
        <f>IF(B669&lt;&gt;"",B669,"")</f>
        <v/>
      </c>
    </row>
    <row r="670" ht="15.75" customHeight="1" s="146">
      <c r="C670" t="inlineStr">
        <is>
          <t>Jamie Michael</t>
        </is>
      </c>
      <c r="D670" s="122" t="inlineStr">
        <is>
          <t>Total</t>
        </is>
      </c>
      <c r="E670" s="122" t="n">
        <v>0.89</v>
      </c>
      <c r="F670" s="122" t="n">
        <v>17</v>
      </c>
      <c r="G670" s="122" t="n">
        <v>15</v>
      </c>
      <c r="I670" s="58">
        <f>IF(B670&lt;&gt;"",B670,"")</f>
        <v/>
      </c>
    </row>
    <row r="671" ht="15.75" customHeight="1" s="146">
      <c r="C671" s="122" t="n"/>
      <c r="D671" s="122" t="inlineStr">
        <is>
          <t>Customer - Utility Arboriculture</t>
        </is>
      </c>
      <c r="E671" s="122" t="n">
        <v>1</v>
      </c>
      <c r="F671" s="122" t="n">
        <v>4</v>
      </c>
      <c r="G671" s="122" t="n">
        <v>4</v>
      </c>
      <c r="I671" s="58">
        <f>IF(B671&lt;&gt;"",B671,"")</f>
        <v/>
      </c>
    </row>
    <row r="672" ht="15.75" customHeight="1" s="146">
      <c r="D672" s="122" t="inlineStr">
        <is>
          <t>Arborist</t>
        </is>
      </c>
      <c r="E672" s="122" t="n">
        <v>0.86</v>
      </c>
      <c r="F672" s="122" t="n">
        <v>7</v>
      </c>
      <c r="G672" s="122" t="n">
        <v>6</v>
      </c>
      <c r="I672" s="58">
        <f>IF(B672&lt;&gt;"",B672,"")</f>
        <v/>
      </c>
    </row>
    <row r="673" ht="15.75" customHeight="1" s="146">
      <c r="D673" s="122" t="inlineStr">
        <is>
          <t>Business Matrix</t>
        </is>
      </c>
      <c r="E673" s="122" t="n">
        <v>0.84</v>
      </c>
      <c r="F673" s="122" t="n">
        <v>6</v>
      </c>
      <c r="G673" s="122" t="n">
        <v>5</v>
      </c>
      <c r="I673" s="58">
        <f>IF(B673&lt;&gt;"",B673,"")</f>
        <v/>
      </c>
    </row>
    <row r="674" ht="15.75" customHeight="1" s="146">
      <c r="C674" t="inlineStr">
        <is>
          <t>Tom Roberts</t>
        </is>
      </c>
      <c r="D674" s="122" t="inlineStr">
        <is>
          <t>Total</t>
        </is>
      </c>
      <c r="E674" s="122" t="n">
        <v>0.83</v>
      </c>
      <c r="F674" s="122" t="n">
        <v>17</v>
      </c>
      <c r="G674" s="122" t="n">
        <v>14</v>
      </c>
      <c r="I674" s="58">
        <f>IF(B674&lt;&gt;"",B674,"")</f>
        <v/>
      </c>
    </row>
    <row r="675" ht="15.75" customHeight="1" s="146">
      <c r="C675" s="122" t="n"/>
      <c r="D675" s="122" t="inlineStr">
        <is>
          <t>Arborist</t>
        </is>
      </c>
      <c r="E675" s="122" t="n">
        <v>1</v>
      </c>
      <c r="F675" s="122" t="n">
        <v>7</v>
      </c>
      <c r="G675" s="122" t="n">
        <v>7</v>
      </c>
      <c r="I675" s="58">
        <f>IF(B675&lt;&gt;"",B675,"")</f>
        <v/>
      </c>
    </row>
    <row r="676" ht="15.75" customHeight="1" s="146">
      <c r="D676" s="122" t="inlineStr">
        <is>
          <t>Business Matrix</t>
        </is>
      </c>
      <c r="E676" s="122" t="n">
        <v>1</v>
      </c>
      <c r="F676" s="122" t="n">
        <v>6</v>
      </c>
      <c r="G676" s="122" t="n">
        <v>6</v>
      </c>
      <c r="I676" s="58">
        <f>IF(B676&lt;&gt;"",B676,"")</f>
        <v/>
      </c>
    </row>
    <row r="677" ht="15.75" customHeight="1" s="146">
      <c r="D677" s="122" t="inlineStr">
        <is>
          <t>Customer - Utility Arboriculture</t>
        </is>
      </c>
      <c r="E677" s="122" t="n">
        <v>0.25</v>
      </c>
      <c r="F677" s="122" t="n">
        <v>4</v>
      </c>
      <c r="G677" s="122" t="n">
        <v>1</v>
      </c>
      <c r="I677" s="58">
        <f>IF(B677&lt;&gt;"",B677,"")</f>
        <v/>
      </c>
    </row>
    <row r="678" ht="15.75" customHeight="1" s="146">
      <c r="C678" t="inlineStr">
        <is>
          <t>Alexander Corcoran</t>
        </is>
      </c>
      <c r="D678" s="122" t="inlineStr">
        <is>
          <t>Total</t>
        </is>
      </c>
      <c r="E678" s="122" t="n">
        <v>0.77</v>
      </c>
      <c r="F678" s="122" t="n">
        <v>17</v>
      </c>
      <c r="G678" s="122" t="n">
        <v>13</v>
      </c>
      <c r="I678" s="58">
        <f>IF(B678&lt;&gt;"",B678,"")</f>
        <v/>
      </c>
    </row>
    <row r="679" ht="15.75" customHeight="1" s="146">
      <c r="B679" s="122" t="n"/>
      <c r="C679" s="122" t="n"/>
      <c r="D679" t="inlineStr">
        <is>
          <t>Business Matrix</t>
        </is>
      </c>
      <c r="E679" s="122" t="n">
        <v>1</v>
      </c>
      <c r="F679" s="122" t="n">
        <v>6</v>
      </c>
      <c r="G679" s="122" t="n">
        <v>6</v>
      </c>
      <c r="H679" s="57" t="n"/>
      <c r="I679" s="58">
        <f>IF(B679&lt;&gt;"",B679,"")</f>
        <v/>
      </c>
    </row>
    <row r="680" ht="15.75" customHeight="1" s="146">
      <c r="C680" s="122" t="n"/>
      <c r="D680" s="122" t="inlineStr">
        <is>
          <t>Arborist</t>
        </is>
      </c>
      <c r="E680" s="122" t="n">
        <v>0.86</v>
      </c>
      <c r="F680" s="122" t="n">
        <v>7</v>
      </c>
      <c r="G680" s="122" t="n">
        <v>6</v>
      </c>
      <c r="I680" s="58">
        <f>IF(B680&lt;&gt;"",B680,"")</f>
        <v/>
      </c>
    </row>
    <row r="681" ht="15.75" customHeight="1" s="146">
      <c r="D681" s="122" t="inlineStr">
        <is>
          <t>Customer - Utility Arboriculture</t>
        </is>
      </c>
      <c r="E681" s="122" t="n">
        <v>0.25</v>
      </c>
      <c r="F681" s="122" t="n">
        <v>4</v>
      </c>
      <c r="G681" s="122" t="n">
        <v>1</v>
      </c>
      <c r="I681" s="58">
        <f>IF(B681&lt;&gt;"",B681,"")</f>
        <v/>
      </c>
    </row>
    <row r="682" ht="15.75" customHeight="1" s="146">
      <c r="C682" t="inlineStr">
        <is>
          <t>Joe Treslove</t>
        </is>
      </c>
      <c r="D682" s="122" t="inlineStr">
        <is>
          <t>Total</t>
        </is>
      </c>
      <c r="E682" s="122" t="n">
        <v>0.77</v>
      </c>
      <c r="F682" s="122" t="n">
        <v>17</v>
      </c>
      <c r="G682" s="122" t="n">
        <v>13</v>
      </c>
      <c r="I682" s="58">
        <f>IF(B682&lt;&gt;"",B682,"")</f>
        <v/>
      </c>
    </row>
    <row r="683" ht="15.75" customHeight="1" s="146">
      <c r="D683" s="122" t="inlineStr">
        <is>
          <t>Arborist</t>
        </is>
      </c>
      <c r="E683" s="122" t="n">
        <v>1</v>
      </c>
      <c r="F683" s="122" t="n">
        <v>7</v>
      </c>
      <c r="G683" s="122" t="n">
        <v>7</v>
      </c>
      <c r="I683" s="58">
        <f>IF(B683&lt;&gt;"",B683,"")</f>
        <v/>
      </c>
    </row>
    <row r="684" ht="15.75" customHeight="1" s="146">
      <c r="C684" s="122" t="n"/>
      <c r="D684" s="122" t="inlineStr">
        <is>
          <t>Business Matrix</t>
        </is>
      </c>
      <c r="E684" s="122" t="n">
        <v>0.84</v>
      </c>
      <c r="F684" s="122" t="n">
        <v>6</v>
      </c>
      <c r="G684" s="122" t="n">
        <v>5</v>
      </c>
      <c r="I684" s="58">
        <f>IF(B684&lt;&gt;"",B684,"")</f>
        <v/>
      </c>
    </row>
    <row r="685" ht="15.75" customHeight="1" s="146">
      <c r="D685" s="122" t="inlineStr">
        <is>
          <t>Customer - Utility Arboriculture</t>
        </is>
      </c>
      <c r="E685" s="122" t="n">
        <v>0.25</v>
      </c>
      <c r="F685" s="122" t="n">
        <v>4</v>
      </c>
      <c r="G685" s="122" t="n">
        <v>1</v>
      </c>
      <c r="I685" s="58">
        <f>IF(B685&lt;&gt;"",B685,"")</f>
        <v/>
      </c>
    </row>
    <row r="686" ht="15.75" customHeight="1" s="146">
      <c r="C686" t="inlineStr">
        <is>
          <t>Bourne VP</t>
        </is>
      </c>
      <c r="D686" s="122" t="inlineStr">
        <is>
          <t>Total</t>
        </is>
      </c>
      <c r="E686" s="122" t="n">
        <v>0.75</v>
      </c>
      <c r="F686" s="122" t="n">
        <v>4</v>
      </c>
      <c r="G686" s="122" t="n">
        <v>3</v>
      </c>
      <c r="I686" s="58">
        <f>IF(B686&lt;&gt;"",B686,"")</f>
        <v/>
      </c>
    </row>
    <row r="687" ht="15.75" customHeight="1" s="146">
      <c r="D687" s="122" t="inlineStr">
        <is>
          <t>Team Matrix</t>
        </is>
      </c>
      <c r="E687" s="122" t="n">
        <v>0.75</v>
      </c>
      <c r="F687" s="122" t="n">
        <v>4</v>
      </c>
      <c r="G687" s="122" t="n">
        <v>3</v>
      </c>
      <c r="I687" s="58">
        <f>IF(B687&lt;&gt;"",B687,"")</f>
        <v/>
      </c>
    </row>
    <row r="688" ht="15.75" customHeight="1" s="146">
      <c r="C688" s="122" t="inlineStr">
        <is>
          <t>James Collins</t>
        </is>
      </c>
      <c r="D688" s="122" t="inlineStr">
        <is>
          <t>Total</t>
        </is>
      </c>
      <c r="E688" s="122" t="n">
        <v>0.71</v>
      </c>
      <c r="F688" s="122" t="n">
        <v>17</v>
      </c>
      <c r="G688" s="122" t="n">
        <v>12</v>
      </c>
      <c r="I688" s="58">
        <f>IF(B688&lt;&gt;"",B688,"")</f>
        <v/>
      </c>
    </row>
    <row r="689" ht="15.75" customHeight="1" s="146">
      <c r="D689" s="122" t="inlineStr">
        <is>
          <t>Arborist</t>
        </is>
      </c>
      <c r="E689" s="122" t="n">
        <v>0.86</v>
      </c>
      <c r="F689" s="122" t="n">
        <v>7</v>
      </c>
      <c r="G689" s="122" t="n">
        <v>6</v>
      </c>
      <c r="I689" s="58">
        <f>IF(B689&lt;&gt;"",B689,"")</f>
        <v/>
      </c>
    </row>
    <row r="690" ht="15.75" customHeight="1" s="146">
      <c r="D690" s="122" t="inlineStr">
        <is>
          <t>Business Matrix</t>
        </is>
      </c>
      <c r="E690" s="122" t="n">
        <v>0.84</v>
      </c>
      <c r="F690" s="122" t="n">
        <v>6</v>
      </c>
      <c r="G690" s="122" t="n">
        <v>5</v>
      </c>
      <c r="I690" s="58">
        <f>IF(B690&lt;&gt;"",B690,"")</f>
        <v/>
      </c>
    </row>
    <row r="691" ht="15.75" customHeight="1" s="146">
      <c r="D691" s="122" t="inlineStr">
        <is>
          <t>Customer - Utility Arboriculture</t>
        </is>
      </c>
      <c r="E691" s="122" t="n">
        <v>0.25</v>
      </c>
      <c r="F691" s="122" t="n">
        <v>4</v>
      </c>
      <c r="G691" s="122" t="n">
        <v>1</v>
      </c>
      <c r="I691" s="58">
        <f>IF(B691&lt;&gt;"",B691,"")</f>
        <v/>
      </c>
    </row>
    <row r="692" ht="15.75" customHeight="1" s="146">
      <c r="C692" s="122" t="inlineStr">
        <is>
          <t>Lawrence Henderson</t>
        </is>
      </c>
      <c r="D692" s="122" t="inlineStr">
        <is>
          <t>Total</t>
        </is>
      </c>
      <c r="E692" s="122" t="n">
        <v>0.71</v>
      </c>
      <c r="F692" s="122" t="n">
        <v>17</v>
      </c>
      <c r="G692" s="122" t="n">
        <v>12</v>
      </c>
      <c r="I692" s="58">
        <f>IF(B692&lt;&gt;"",B692,"")</f>
        <v/>
      </c>
    </row>
    <row r="693" ht="15.75" customHeight="1" s="146">
      <c r="D693" s="122" t="inlineStr">
        <is>
          <t>Arborist</t>
        </is>
      </c>
      <c r="E693" s="122" t="n">
        <v>0.86</v>
      </c>
      <c r="F693" s="122" t="n">
        <v>7</v>
      </c>
      <c r="G693" s="122" t="n">
        <v>6</v>
      </c>
      <c r="I693" s="58">
        <f>IF(B693&lt;&gt;"",B693,"")</f>
        <v/>
      </c>
    </row>
    <row r="694" ht="15.75" customHeight="1" s="146">
      <c r="D694" s="122" t="inlineStr">
        <is>
          <t>Business Matrix</t>
        </is>
      </c>
      <c r="E694" s="122" t="n">
        <v>0.84</v>
      </c>
      <c r="F694" s="122" t="n">
        <v>6</v>
      </c>
      <c r="G694" s="122" t="n">
        <v>5</v>
      </c>
      <c r="I694" s="58">
        <f>IF(B694&lt;&gt;"",B694,"")</f>
        <v/>
      </c>
    </row>
    <row r="695" ht="15.75" customHeight="1" s="146">
      <c r="D695" s="122" t="inlineStr">
        <is>
          <t>Customer - Utility Arboriculture</t>
        </is>
      </c>
      <c r="E695" s="122" t="n">
        <v>0.25</v>
      </c>
      <c r="F695" s="122" t="n">
        <v>4</v>
      </c>
      <c r="G695" s="122" t="n">
        <v>1</v>
      </c>
      <c r="I695" s="58">
        <f>IF(B695&lt;&gt;"",B695,"")</f>
        <v/>
      </c>
    </row>
    <row r="696" ht="15.75" customHeight="1" s="146">
      <c r="C696" s="122" t="inlineStr">
        <is>
          <t>Luke Ridley</t>
        </is>
      </c>
      <c r="D696" s="122" t="inlineStr">
        <is>
          <t>Total</t>
        </is>
      </c>
      <c r="E696" s="122" t="n">
        <v>0.71</v>
      </c>
      <c r="F696" s="122" t="n">
        <v>17</v>
      </c>
      <c r="G696" s="122" t="n">
        <v>12</v>
      </c>
      <c r="I696" s="58">
        <f>IF(B696&lt;&gt;"",B696,"")</f>
        <v/>
      </c>
    </row>
    <row r="697" ht="15.75" customHeight="1" s="146">
      <c r="D697" s="122" t="inlineStr">
        <is>
          <t>Business Matrix</t>
        </is>
      </c>
      <c r="E697" s="122" t="n">
        <v>1</v>
      </c>
      <c r="F697" s="122" t="n">
        <v>6</v>
      </c>
      <c r="G697" s="122" t="n">
        <v>6</v>
      </c>
      <c r="I697" s="58">
        <f>IF(B697&lt;&gt;"",B697,"")</f>
        <v/>
      </c>
    </row>
    <row r="698" ht="15.75" customHeight="1" s="146">
      <c r="D698" s="122" t="inlineStr">
        <is>
          <t>Arborist</t>
        </is>
      </c>
      <c r="E698" s="122" t="n">
        <v>0.72</v>
      </c>
      <c r="F698" s="122" t="n">
        <v>7</v>
      </c>
      <c r="G698" s="122" t="n">
        <v>5</v>
      </c>
      <c r="I698" s="58">
        <f>IF(B698&lt;&gt;"",B698,"")</f>
        <v/>
      </c>
    </row>
    <row r="699" ht="15.75" customHeight="1" s="146">
      <c r="D699" s="122" t="inlineStr">
        <is>
          <t>Customer - Utility Arboriculture</t>
        </is>
      </c>
      <c r="E699" s="122" t="n">
        <v>0.25</v>
      </c>
      <c r="F699" s="122" t="n">
        <v>4</v>
      </c>
      <c r="G699" s="122" t="n">
        <v>1</v>
      </c>
      <c r="I699" s="58">
        <f>IF(B699&lt;&gt;"",B699,"")</f>
        <v/>
      </c>
    </row>
    <row r="700" ht="15.75" customHeight="1" s="146">
      <c r="C700" s="122" t="inlineStr">
        <is>
          <t>Peter Ridley</t>
        </is>
      </c>
      <c r="D700" s="122" t="inlineStr">
        <is>
          <t>Total</t>
        </is>
      </c>
      <c r="E700" s="122" t="n">
        <v>0.67</v>
      </c>
      <c r="F700" s="122" t="n">
        <v>15</v>
      </c>
      <c r="G700" s="122" t="n">
        <v>10</v>
      </c>
      <c r="I700" s="58">
        <f>IF(B700&lt;&gt;"",B700,"")</f>
        <v/>
      </c>
    </row>
    <row r="701" ht="15.75" customHeight="1" s="146">
      <c r="D701" s="122" t="inlineStr">
        <is>
          <t>Business Matrix</t>
        </is>
      </c>
      <c r="E701" s="122" t="n">
        <v>1</v>
      </c>
      <c r="F701" s="122" t="n">
        <v>6</v>
      </c>
      <c r="G701" s="122" t="n">
        <v>6</v>
      </c>
      <c r="I701" s="58">
        <f>IF(B701&lt;&gt;"",B701,"")</f>
        <v/>
      </c>
    </row>
    <row r="702" ht="15.75" customHeight="1" s="146">
      <c r="D702" s="122" t="inlineStr">
        <is>
          <t>Grounds Person</t>
        </is>
      </c>
      <c r="E702" s="122" t="n">
        <v>0.8</v>
      </c>
      <c r="F702" s="122" t="n">
        <v>5</v>
      </c>
      <c r="G702" s="122" t="n">
        <v>4</v>
      </c>
      <c r="I702" s="58">
        <f>IF(B702&lt;&gt;"",B702,"")</f>
        <v/>
      </c>
    </row>
    <row r="703" ht="15.75" customHeight="1" s="146">
      <c r="D703" s="122" t="inlineStr">
        <is>
          <t>Customer - Utility Arboriculture</t>
        </is>
      </c>
      <c r="E703" s="122" t="n">
        <v>0</v>
      </c>
      <c r="F703" s="122" t="n">
        <v>4</v>
      </c>
      <c r="G703" s="122" t="n">
        <v>0</v>
      </c>
      <c r="I703" s="58">
        <f>IF(B703&lt;&gt;"",B703,"")</f>
        <v/>
      </c>
    </row>
    <row r="704" ht="15.75" customHeight="1" s="146">
      <c r="C704" s="122" t="inlineStr">
        <is>
          <t>Jack Bryant</t>
        </is>
      </c>
      <c r="D704" s="122" t="inlineStr">
        <is>
          <t>Total</t>
        </is>
      </c>
      <c r="E704" s="122" t="n">
        <v>0.65</v>
      </c>
      <c r="F704" s="122" t="n">
        <v>17</v>
      </c>
      <c r="G704" s="122" t="n">
        <v>11</v>
      </c>
      <c r="I704" s="58">
        <f>IF(B704&lt;&gt;"",B704,"")</f>
        <v/>
      </c>
    </row>
    <row r="705" ht="15.75" customHeight="1" s="146">
      <c r="D705" s="122" t="inlineStr">
        <is>
          <t>Business Matrix</t>
        </is>
      </c>
      <c r="E705" s="122" t="n">
        <v>0.84</v>
      </c>
      <c r="F705" s="122" t="n">
        <v>6</v>
      </c>
      <c r="G705" s="122" t="n">
        <v>5</v>
      </c>
      <c r="I705" s="58">
        <f>IF(B705&lt;&gt;"",B705,"")</f>
        <v/>
      </c>
    </row>
    <row r="706" ht="15.75" customHeight="1" s="146">
      <c r="D706" s="122" t="inlineStr">
        <is>
          <t>Arborist</t>
        </is>
      </c>
      <c r="E706" s="122" t="n">
        <v>0.72</v>
      </c>
      <c r="F706" s="122" t="n">
        <v>7</v>
      </c>
      <c r="G706" s="122" t="n">
        <v>5</v>
      </c>
      <c r="I706" s="58">
        <f>IF(B706&lt;&gt;"",B706,"")</f>
        <v/>
      </c>
    </row>
    <row r="707" ht="15.75" customHeight="1" s="146">
      <c r="D707" s="122" t="inlineStr">
        <is>
          <t>Customer - Utility Arboriculture</t>
        </is>
      </c>
      <c r="E707" s="122" t="n">
        <v>0.25</v>
      </c>
      <c r="F707" s="122" t="n">
        <v>4</v>
      </c>
      <c r="G707" s="122" t="n">
        <v>1</v>
      </c>
      <c r="I707" s="58">
        <f>IF(B707&lt;&gt;"",B707,"")</f>
        <v/>
      </c>
    </row>
    <row r="708" ht="15.75" customHeight="1" s="146">
      <c r="C708" s="122" t="inlineStr">
        <is>
          <t>Tim Cussen</t>
        </is>
      </c>
      <c r="D708" s="122" t="inlineStr">
        <is>
          <t>Total</t>
        </is>
      </c>
      <c r="E708" s="122" t="n">
        <v>0.65</v>
      </c>
      <c r="F708" s="122" t="n">
        <v>17</v>
      </c>
      <c r="G708" s="122" t="n">
        <v>11</v>
      </c>
      <c r="I708" s="58">
        <f>IF(B708&lt;&gt;"",B708,"")</f>
        <v/>
      </c>
    </row>
    <row r="709" ht="15.75" customHeight="1" s="146">
      <c r="D709" s="122" t="inlineStr">
        <is>
          <t>Business Matrix</t>
        </is>
      </c>
      <c r="E709" s="122" t="n">
        <v>1</v>
      </c>
      <c r="F709" s="122" t="n">
        <v>6</v>
      </c>
      <c r="G709" s="122" t="n">
        <v>6</v>
      </c>
      <c r="I709" s="58">
        <f>IF(B709&lt;&gt;"",B709,"")</f>
        <v/>
      </c>
    </row>
    <row r="710" ht="15.75" customHeight="1" s="146">
      <c r="D710" s="122" t="inlineStr">
        <is>
          <t>Arborist</t>
        </is>
      </c>
      <c r="E710" s="122" t="n">
        <v>0.72</v>
      </c>
      <c r="F710" s="122" t="n">
        <v>7</v>
      </c>
      <c r="G710" s="122" t="n">
        <v>5</v>
      </c>
      <c r="I710" s="58">
        <f>IF(B710&lt;&gt;"",B710,"")</f>
        <v/>
      </c>
    </row>
    <row r="711" ht="15.75" customHeight="1" s="146">
      <c r="D711" s="122" t="inlineStr">
        <is>
          <t>Customer - Utility Arboriculture</t>
        </is>
      </c>
      <c r="E711" s="122" t="n">
        <v>0</v>
      </c>
      <c r="F711" s="122" t="n">
        <v>4</v>
      </c>
      <c r="G711" s="122" t="n">
        <v>0</v>
      </c>
      <c r="I711" s="58">
        <f>IF(B711&lt;&gt;"",B711,"")</f>
        <v/>
      </c>
    </row>
    <row r="712" ht="15.75" customHeight="1" s="146">
      <c r="C712" s="122" t="inlineStr">
        <is>
          <t>Jack Beaumont</t>
        </is>
      </c>
      <c r="D712" s="122" t="inlineStr">
        <is>
          <t>Total</t>
        </is>
      </c>
      <c r="E712" s="122" t="n">
        <v>0.59</v>
      </c>
      <c r="F712" s="122" t="n">
        <v>17</v>
      </c>
      <c r="G712" s="122" t="n">
        <v>10</v>
      </c>
      <c r="I712" s="58">
        <f>IF(B712&lt;&gt;"",B712,"")</f>
        <v/>
      </c>
    </row>
    <row r="713" ht="15.75" customHeight="1" s="146">
      <c r="D713" s="122" t="inlineStr">
        <is>
          <t>Customer - Utility Arboriculture</t>
        </is>
      </c>
      <c r="E713" s="122" t="n">
        <v>1</v>
      </c>
      <c r="F713" s="122" t="n">
        <v>4</v>
      </c>
      <c r="G713" s="122" t="n">
        <v>4</v>
      </c>
      <c r="I713" s="58">
        <f>IF(B713&lt;&gt;"",B713,"")</f>
        <v/>
      </c>
    </row>
    <row r="714" ht="15.75" customHeight="1" s="146">
      <c r="D714" s="122" t="inlineStr">
        <is>
          <t>Arborist</t>
        </is>
      </c>
      <c r="E714" s="122" t="n">
        <v>0.72</v>
      </c>
      <c r="F714" s="122" t="n">
        <v>7</v>
      </c>
      <c r="G714" s="122" t="n">
        <v>5</v>
      </c>
      <c r="I714" s="58">
        <f>IF(B714&lt;&gt;"",B714,"")</f>
        <v/>
      </c>
    </row>
    <row r="715" ht="15.75" customHeight="1" s="146">
      <c r="D715" s="122" t="inlineStr">
        <is>
          <t>Business Matrix</t>
        </is>
      </c>
      <c r="E715" s="122" t="n">
        <v>0.17</v>
      </c>
      <c r="F715" s="122" t="n">
        <v>6</v>
      </c>
      <c r="G715" s="122" t="n">
        <v>1</v>
      </c>
      <c r="I715" s="58">
        <f>IF(B715&lt;&gt;"",B715,"")</f>
        <v/>
      </c>
    </row>
    <row r="716" ht="15.75" customHeight="1" s="146">
      <c r="C716" s="122" t="inlineStr">
        <is>
          <t>Mike Rasmussen</t>
        </is>
      </c>
      <c r="D716" s="122" t="inlineStr">
        <is>
          <t>Total</t>
        </is>
      </c>
      <c r="E716" s="122" t="n">
        <v>0.59</v>
      </c>
      <c r="F716" s="122" t="n">
        <v>17</v>
      </c>
      <c r="G716" s="122" t="n">
        <v>10</v>
      </c>
      <c r="I716" s="58">
        <f>IF(B716&lt;&gt;"",B716,"")</f>
        <v/>
      </c>
    </row>
    <row r="717" ht="15.75" customHeight="1" s="146">
      <c r="D717" s="122" t="inlineStr">
        <is>
          <t>Business Matrix</t>
        </is>
      </c>
      <c r="E717" s="122" t="n">
        <v>0.84</v>
      </c>
      <c r="F717" s="122" t="n">
        <v>6</v>
      </c>
      <c r="G717" s="122" t="n">
        <v>5</v>
      </c>
      <c r="I717" s="58">
        <f>IF(B717&lt;&gt;"",B717,"")</f>
        <v/>
      </c>
    </row>
    <row r="718" ht="15.75" customHeight="1" s="146">
      <c r="D718" s="122" t="inlineStr">
        <is>
          <t>Arborist</t>
        </is>
      </c>
      <c r="E718" s="122" t="n">
        <v>0.72</v>
      </c>
      <c r="F718" s="122" t="n">
        <v>7</v>
      </c>
      <c r="G718" s="122" t="n">
        <v>5</v>
      </c>
      <c r="I718" s="58">
        <f>IF(B718&lt;&gt;"",B718,"")</f>
        <v/>
      </c>
    </row>
    <row r="719" ht="15.75" customHeight="1" s="146">
      <c r="D719" s="122" t="inlineStr">
        <is>
          <t>Customer - Utility Arboriculture</t>
        </is>
      </c>
      <c r="E719" s="122" t="n">
        <v>0</v>
      </c>
      <c r="F719" s="122" t="n">
        <v>4</v>
      </c>
      <c r="G719" s="122" t="n">
        <v>0</v>
      </c>
      <c r="I719" s="58">
        <f>IF(B719&lt;&gt;"",B719,"")</f>
        <v/>
      </c>
    </row>
    <row r="720" ht="15.75" customHeight="1" s="146">
      <c r="C720" s="122" t="inlineStr">
        <is>
          <t>Kevin Malkin</t>
        </is>
      </c>
      <c r="D720" s="122" t="inlineStr">
        <is>
          <t>Total</t>
        </is>
      </c>
      <c r="E720" s="122" t="n">
        <v>0.48</v>
      </c>
      <c r="F720" s="122" t="n">
        <v>17</v>
      </c>
      <c r="G720" s="122" t="n">
        <v>8</v>
      </c>
      <c r="I720" s="58">
        <f>IF(B720&lt;&gt;"",B720,"")</f>
        <v/>
      </c>
    </row>
    <row r="721" ht="15.75" customHeight="1" s="146">
      <c r="D721" s="122" t="inlineStr">
        <is>
          <t>Business Matrix</t>
        </is>
      </c>
      <c r="E721" s="122" t="n">
        <v>0.84</v>
      </c>
      <c r="F721" s="122" t="n">
        <v>6</v>
      </c>
      <c r="G721" s="122" t="n">
        <v>5</v>
      </c>
      <c r="I721" s="58">
        <f>IF(B721&lt;&gt;"",B721,"")</f>
        <v/>
      </c>
    </row>
    <row r="722" ht="15.75" customHeight="1" s="146">
      <c r="D722" s="122" t="inlineStr">
        <is>
          <t>Arborist</t>
        </is>
      </c>
      <c r="E722" s="122" t="n">
        <v>0.29</v>
      </c>
      <c r="F722" s="122" t="n">
        <v>7</v>
      </c>
      <c r="G722" s="122" t="n">
        <v>2</v>
      </c>
      <c r="I722" s="58">
        <f>IF(B722&lt;&gt;"",B722,"")</f>
        <v/>
      </c>
    </row>
    <row r="723" ht="15.75" customHeight="1" s="146">
      <c r="D723" s="122" t="inlineStr">
        <is>
          <t>Customer - Utility Arboriculture</t>
        </is>
      </c>
      <c r="E723" s="122" t="n">
        <v>0.25</v>
      </c>
      <c r="F723" s="122" t="n">
        <v>4</v>
      </c>
      <c r="G723" s="122" t="n">
        <v>1</v>
      </c>
      <c r="I723" s="58">
        <f>IF(B723&lt;&gt;"",B723,"")</f>
        <v/>
      </c>
    </row>
    <row r="724" ht="15.75" customHeight="1" s="146">
      <c r="B724" t="inlineStr">
        <is>
          <t>EWS Tree Services Ltd</t>
        </is>
      </c>
      <c r="C724" s="122" t="inlineStr">
        <is>
          <t>Total</t>
        </is>
      </c>
      <c r="D724" s="122" t="n"/>
      <c r="E724" s="122" t="n">
        <v>0.73</v>
      </c>
      <c r="F724" s="122" t="n">
        <v>40</v>
      </c>
      <c r="G724" s="122" t="n">
        <v>29</v>
      </c>
      <c r="H724" s="189" t="n">
        <v>44210</v>
      </c>
      <c r="I724" s="58">
        <f>IF(B724&lt;&gt;"",B724,"")</f>
        <v/>
      </c>
    </row>
    <row r="725" ht="15.75" customHeight="1" s="146">
      <c r="C725" t="inlineStr">
        <is>
          <t>EWS Tree Services Ltd</t>
        </is>
      </c>
      <c r="D725" s="122" t="inlineStr">
        <is>
          <t>Total</t>
        </is>
      </c>
      <c r="E725" s="122" t="n">
        <v>1</v>
      </c>
      <c r="F725" s="122" t="n">
        <v>4</v>
      </c>
      <c r="G725" s="122" t="n">
        <v>4</v>
      </c>
      <c r="I725" s="58">
        <f>IF(B725&lt;&gt;"",B725,"")</f>
        <v/>
      </c>
    </row>
    <row r="726" ht="15.75" customHeight="1" s="146">
      <c r="C726" s="122" t="n"/>
      <c r="D726" s="122" t="inlineStr">
        <is>
          <t>Team Matrix</t>
        </is>
      </c>
      <c r="E726" s="122" t="n">
        <v>1</v>
      </c>
      <c r="F726" s="122" t="n">
        <v>4</v>
      </c>
      <c r="G726" s="122" t="n">
        <v>4</v>
      </c>
      <c r="I726" s="58">
        <f>IF(B726&lt;&gt;"",B726,"")</f>
        <v/>
      </c>
    </row>
    <row r="727" ht="15.75" customHeight="1" s="146">
      <c r="C727" t="inlineStr">
        <is>
          <t>Jacob Toon</t>
        </is>
      </c>
      <c r="D727" s="122" t="inlineStr">
        <is>
          <t>Total</t>
        </is>
      </c>
      <c r="E727" s="122" t="n">
        <v>0.84</v>
      </c>
      <c r="F727" s="122" t="n">
        <v>6</v>
      </c>
      <c r="G727" s="122" t="n">
        <v>5</v>
      </c>
      <c r="I727" s="58">
        <f>IF(B727&lt;&gt;"",B727,"")</f>
        <v/>
      </c>
    </row>
    <row r="728" ht="15.75" customHeight="1" s="146">
      <c r="D728" s="122" t="inlineStr">
        <is>
          <t>Business Matrix</t>
        </is>
      </c>
      <c r="E728" s="122" t="n">
        <v>0.84</v>
      </c>
      <c r="F728" s="122" t="n">
        <v>6</v>
      </c>
      <c r="G728" s="122" t="n">
        <v>5</v>
      </c>
      <c r="I728" s="58">
        <f>IF(B728&lt;&gt;"",B728,"")</f>
        <v/>
      </c>
    </row>
    <row r="729" ht="15.75" customHeight="1" s="146">
      <c r="C729" t="inlineStr">
        <is>
          <t>Aaron Stone</t>
        </is>
      </c>
      <c r="D729" s="122" t="inlineStr">
        <is>
          <t>Total</t>
        </is>
      </c>
      <c r="E729" s="122" t="n">
        <v>0.8</v>
      </c>
      <c r="F729" s="122" t="n">
        <v>15</v>
      </c>
      <c r="G729" s="122" t="n">
        <v>12</v>
      </c>
      <c r="I729" s="58">
        <f>IF(B729&lt;&gt;"",B729,"")</f>
        <v/>
      </c>
    </row>
    <row r="730" ht="15.75" customHeight="1" s="146">
      <c r="C730" s="122" t="n"/>
      <c r="D730" s="122" t="inlineStr">
        <is>
          <t>Business Matrix</t>
        </is>
      </c>
      <c r="E730" s="122" t="n">
        <v>0.84</v>
      </c>
      <c r="F730" s="122" t="n">
        <v>6</v>
      </c>
      <c r="G730" s="122" t="n">
        <v>5</v>
      </c>
      <c r="I730" s="58">
        <f>IF(B730&lt;&gt;"",B730,"")</f>
        <v/>
      </c>
    </row>
    <row r="731" ht="15.75" customHeight="1" s="146">
      <c r="D731" s="122" t="inlineStr">
        <is>
          <t>Grounds Person</t>
        </is>
      </c>
      <c r="E731" s="122" t="n">
        <v>0.8</v>
      </c>
      <c r="F731" s="122" t="n">
        <v>5</v>
      </c>
      <c r="G731" s="122" t="n">
        <v>4</v>
      </c>
      <c r="I731" s="58">
        <f>IF(B731&lt;&gt;"",B731,"")</f>
        <v/>
      </c>
    </row>
    <row r="732" ht="15.75" customHeight="1" s="146">
      <c r="D732" s="122" t="inlineStr">
        <is>
          <t>Customer - Utility Arboriculture</t>
        </is>
      </c>
      <c r="E732" s="122" t="n">
        <v>0.75</v>
      </c>
      <c r="F732" s="122" t="n">
        <v>4</v>
      </c>
      <c r="G732" s="122" t="n">
        <v>3</v>
      </c>
      <c r="I732" s="58">
        <f>IF(B732&lt;&gt;"",B732,"")</f>
        <v/>
      </c>
    </row>
    <row r="733" ht="15.75" customHeight="1" s="146">
      <c r="C733" t="inlineStr">
        <is>
          <t>John Watson</t>
        </is>
      </c>
      <c r="D733" s="122" t="inlineStr">
        <is>
          <t>Total</t>
        </is>
      </c>
      <c r="E733" s="122" t="n">
        <v>0.54</v>
      </c>
      <c r="F733" s="122" t="n">
        <v>15</v>
      </c>
      <c r="G733" s="122" t="n">
        <v>8</v>
      </c>
      <c r="I733" s="58">
        <f>IF(B733&lt;&gt;"",B733,"")</f>
        <v/>
      </c>
    </row>
    <row r="734" ht="15.75" customHeight="1" s="146">
      <c r="C734" s="122" t="n"/>
      <c r="D734" s="122" t="inlineStr">
        <is>
          <t>Business Matrix</t>
        </is>
      </c>
      <c r="E734" s="122" t="n">
        <v>0.84</v>
      </c>
      <c r="F734" s="122" t="n">
        <v>6</v>
      </c>
      <c r="G734" s="122" t="n">
        <v>5</v>
      </c>
      <c r="I734" s="58">
        <f>IF(B734&lt;&gt;"",B734,"")</f>
        <v/>
      </c>
    </row>
    <row r="735" ht="15.75" customHeight="1" s="146">
      <c r="D735" s="122" t="inlineStr">
        <is>
          <t>Grounds Person</t>
        </is>
      </c>
      <c r="E735" s="122" t="n">
        <v>0.6</v>
      </c>
      <c r="F735" s="122" t="n">
        <v>5</v>
      </c>
      <c r="G735" s="122" t="n">
        <v>3</v>
      </c>
      <c r="I735" s="58">
        <f>IF(B735&lt;&gt;"",B735,"")</f>
        <v/>
      </c>
    </row>
    <row r="736" ht="15.75" customHeight="1" s="146">
      <c r="D736" s="122" t="inlineStr">
        <is>
          <t>Customer - Utility Arboriculture</t>
        </is>
      </c>
      <c r="E736" s="122" t="n">
        <v>0</v>
      </c>
      <c r="F736" s="122" t="n">
        <v>4</v>
      </c>
      <c r="G736" s="122" t="n">
        <v>0</v>
      </c>
      <c r="I736" s="58">
        <f>IF(B736&lt;&gt;"",B736,"")</f>
        <v/>
      </c>
    </row>
    <row r="737" ht="15.75" customHeight="1" s="146">
      <c r="B737" t="inlineStr">
        <is>
          <t>A J Arborists Ltd</t>
        </is>
      </c>
      <c r="C737" t="inlineStr">
        <is>
          <t>Total</t>
        </is>
      </c>
      <c r="D737" s="122" t="n"/>
      <c r="E737" s="122" t="n">
        <v>0.72</v>
      </c>
      <c r="F737" s="122" t="n">
        <v>64</v>
      </c>
      <c r="G737" s="122" t="n">
        <v>46</v>
      </c>
      <c r="H737" s="189" t="n">
        <v>45870</v>
      </c>
      <c r="I737" s="58">
        <f>IF(B737&lt;&gt;"",B737,"")</f>
        <v/>
      </c>
    </row>
    <row r="738" ht="15.75" customHeight="1" s="146">
      <c r="C738" s="122" t="inlineStr">
        <is>
          <t>Robert Ward</t>
        </is>
      </c>
      <c r="D738" s="122" t="inlineStr">
        <is>
          <t>Total</t>
        </is>
      </c>
      <c r="E738" s="122" t="n">
        <v>1</v>
      </c>
      <c r="F738" s="122" t="n">
        <v>17</v>
      </c>
      <c r="G738" s="122" t="n">
        <v>17</v>
      </c>
      <c r="I738" s="58">
        <f>IF(B738&lt;&gt;"",B738,"")</f>
        <v/>
      </c>
    </row>
    <row r="739" ht="15.75" customHeight="1" s="146">
      <c r="D739" s="122" t="inlineStr">
        <is>
          <t>Arborist</t>
        </is>
      </c>
      <c r="E739" s="122" t="n">
        <v>1</v>
      </c>
      <c r="F739" s="122" t="n">
        <v>7</v>
      </c>
      <c r="G739" s="122" t="n">
        <v>7</v>
      </c>
      <c r="I739" s="58">
        <f>IF(B739&lt;&gt;"",B739,"")</f>
        <v/>
      </c>
    </row>
    <row r="740" ht="15.75" customHeight="1" s="146">
      <c r="D740" s="122" t="inlineStr">
        <is>
          <t>Business Matrix</t>
        </is>
      </c>
      <c r="E740" s="122" t="n">
        <v>1</v>
      </c>
      <c r="F740" s="122" t="n">
        <v>6</v>
      </c>
      <c r="G740" s="122" t="n">
        <v>6</v>
      </c>
      <c r="I740" s="58">
        <f>IF(B740&lt;&gt;"",B740,"")</f>
        <v/>
      </c>
    </row>
    <row r="741" ht="15.75" customHeight="1" s="146">
      <c r="D741" s="122" t="inlineStr">
        <is>
          <t>Customer - Utility Arboriculture</t>
        </is>
      </c>
      <c r="E741" s="122" t="n">
        <v>1</v>
      </c>
      <c r="F741" s="122" t="n">
        <v>4</v>
      </c>
      <c r="G741" s="122" t="n">
        <v>4</v>
      </c>
      <c r="I741" s="58">
        <f>IF(B741&lt;&gt;"",B741,"")</f>
        <v/>
      </c>
    </row>
    <row r="742" ht="15.75" customHeight="1" s="146">
      <c r="C742" s="122" t="inlineStr">
        <is>
          <t>Josh Clark</t>
        </is>
      </c>
      <c r="D742" s="122" t="inlineStr">
        <is>
          <t>Total</t>
        </is>
      </c>
      <c r="E742" s="122" t="n">
        <v>0.89</v>
      </c>
      <c r="F742" s="122" t="n">
        <v>17</v>
      </c>
      <c r="G742" s="122" t="n">
        <v>15</v>
      </c>
      <c r="I742" s="58">
        <f>IF(B742&lt;&gt;"",B742,"")</f>
        <v/>
      </c>
    </row>
    <row r="743" ht="15.75" customHeight="1" s="146">
      <c r="D743" s="122" t="inlineStr">
        <is>
          <t>Business Matrix</t>
        </is>
      </c>
      <c r="E743" s="122" t="n">
        <v>1</v>
      </c>
      <c r="F743" s="122" t="n">
        <v>6</v>
      </c>
      <c r="G743" s="122" t="n">
        <v>6</v>
      </c>
      <c r="I743" s="58">
        <f>IF(B743&lt;&gt;"",B743,"")</f>
        <v/>
      </c>
    </row>
    <row r="744" ht="15.75" customHeight="1" s="146">
      <c r="D744" s="122" t="inlineStr">
        <is>
          <t>Customer - Utility Arboriculture</t>
        </is>
      </c>
      <c r="E744" s="122" t="n">
        <v>1</v>
      </c>
      <c r="F744" s="122" t="n">
        <v>4</v>
      </c>
      <c r="G744" s="122" t="n">
        <v>4</v>
      </c>
      <c r="I744" s="58">
        <f>IF(B744&lt;&gt;"",B744,"")</f>
        <v/>
      </c>
    </row>
    <row r="745" ht="15.75" customHeight="1" s="146">
      <c r="D745" s="122" t="inlineStr">
        <is>
          <t>Arborist</t>
        </is>
      </c>
      <c r="E745" s="122" t="n">
        <v>0.72</v>
      </c>
      <c r="F745" s="122" t="n">
        <v>7</v>
      </c>
      <c r="G745" s="122" t="n">
        <v>5</v>
      </c>
      <c r="I745" s="58">
        <f>IF(B745&lt;&gt;"",B745,"")</f>
        <v/>
      </c>
    </row>
    <row r="746" ht="15.75" customHeight="1" s="146">
      <c r="B746" s="122" t="n"/>
      <c r="C746" s="122" t="inlineStr">
        <is>
          <t>Dylan Bonnar-Curtis</t>
        </is>
      </c>
      <c r="D746" t="inlineStr">
        <is>
          <t>Total</t>
        </is>
      </c>
      <c r="E746" s="122" t="n">
        <v>0.54</v>
      </c>
      <c r="F746" s="122" t="n">
        <v>15</v>
      </c>
      <c r="G746" s="122" t="n">
        <v>8</v>
      </c>
      <c r="H746" s="57" t="n"/>
      <c r="I746" s="58">
        <f>IF(B746&lt;&gt;"",B746,"")</f>
        <v/>
      </c>
    </row>
    <row r="747" ht="15.75" customHeight="1" s="146">
      <c r="C747" s="122" t="n"/>
      <c r="D747" s="122" t="inlineStr">
        <is>
          <t>Customer - Utility Arboriculture</t>
        </is>
      </c>
      <c r="E747" s="122" t="n">
        <v>1</v>
      </c>
      <c r="F747" s="122" t="n">
        <v>4</v>
      </c>
      <c r="G747" s="122" t="n">
        <v>4</v>
      </c>
      <c r="I747" s="58">
        <f>IF(B747&lt;&gt;"",B747,"")</f>
        <v/>
      </c>
    </row>
    <row r="748" ht="15.75" customHeight="1" s="146">
      <c r="D748" s="122" t="inlineStr">
        <is>
          <t>Grounds Person</t>
        </is>
      </c>
      <c r="E748" s="122" t="n">
        <v>0.6</v>
      </c>
      <c r="F748" s="122" t="n">
        <v>5</v>
      </c>
      <c r="G748" s="122" t="n">
        <v>3</v>
      </c>
      <c r="I748" s="58">
        <f>IF(B748&lt;&gt;"",B748,"")</f>
        <v/>
      </c>
    </row>
    <row r="749" ht="15.75" customHeight="1" s="146">
      <c r="D749" s="122" t="inlineStr">
        <is>
          <t>Business Matrix</t>
        </is>
      </c>
      <c r="E749" s="122" t="n">
        <v>0.17</v>
      </c>
      <c r="F749" s="122" t="n">
        <v>6</v>
      </c>
      <c r="G749" s="122" t="n">
        <v>1</v>
      </c>
      <c r="I749" s="58">
        <f>IF(B749&lt;&gt;"",B749,"")</f>
        <v/>
      </c>
    </row>
    <row r="750" ht="15.75" customHeight="1" s="146">
      <c r="C750" t="inlineStr">
        <is>
          <t>Zachary Zamiri</t>
        </is>
      </c>
      <c r="D750" s="122" t="inlineStr">
        <is>
          <t>Total</t>
        </is>
      </c>
      <c r="E750" s="122" t="n">
        <v>0.4</v>
      </c>
      <c r="F750" s="122" t="n">
        <v>15</v>
      </c>
      <c r="G750" s="122" t="n">
        <v>6</v>
      </c>
      <c r="I750" s="58">
        <f>IF(B750&lt;&gt;"",B750,"")</f>
        <v/>
      </c>
    </row>
    <row r="751" ht="15.75" customHeight="1" s="146">
      <c r="C751" s="122" t="n"/>
      <c r="D751" s="122" t="inlineStr">
        <is>
          <t>Customer - Utility Arboriculture</t>
        </is>
      </c>
      <c r="E751" s="122" t="n">
        <v>0.75</v>
      </c>
      <c r="F751" s="122" t="n">
        <v>4</v>
      </c>
      <c r="G751" s="122" t="n">
        <v>3</v>
      </c>
      <c r="I751" s="58">
        <f>IF(B751&lt;&gt;"",B751,"")</f>
        <v/>
      </c>
    </row>
    <row r="752" ht="15.75" customHeight="1" s="146">
      <c r="D752" s="122" t="inlineStr">
        <is>
          <t>Grounds Person</t>
        </is>
      </c>
      <c r="E752" s="122" t="n">
        <v>0.4</v>
      </c>
      <c r="F752" s="122" t="n">
        <v>5</v>
      </c>
      <c r="G752" s="122" t="n">
        <v>2</v>
      </c>
      <c r="I752" s="58">
        <f>IF(B752&lt;&gt;"",B752,"")</f>
        <v/>
      </c>
    </row>
    <row r="753" ht="15.75" customHeight="1" s="146">
      <c r="D753" s="122" t="inlineStr">
        <is>
          <t>Business Matrix</t>
        </is>
      </c>
      <c r="E753" s="122" t="n">
        <v>0.17</v>
      </c>
      <c r="F753" s="122" t="n">
        <v>6</v>
      </c>
      <c r="G753" s="122" t="n">
        <v>1</v>
      </c>
      <c r="I753" s="58">
        <f>IF(B753&lt;&gt;"",B753,"")</f>
        <v/>
      </c>
    </row>
    <row r="754" ht="15.75" customHeight="1" s="146">
      <c r="B754" t="inlineStr">
        <is>
          <t>Housman Tree Services Ltd</t>
        </is>
      </c>
      <c r="C754" t="inlineStr">
        <is>
          <t>Total</t>
        </is>
      </c>
      <c r="D754" s="122" t="n"/>
      <c r="E754" s="122" t="n">
        <v>0.72</v>
      </c>
      <c r="F754" s="122" t="n">
        <v>121</v>
      </c>
      <c r="G754" s="122" t="n">
        <v>86</v>
      </c>
      <c r="H754" s="189" t="n">
        <v>45281</v>
      </c>
      <c r="I754" s="58">
        <f>IF(B754&lt;&gt;"",B754,"")</f>
        <v/>
      </c>
    </row>
    <row r="755" ht="15.75" customHeight="1" s="146">
      <c r="C755" s="122" t="inlineStr">
        <is>
          <t>Housman Tree Services Ltd Housman</t>
        </is>
      </c>
      <c r="D755" s="122" t="inlineStr">
        <is>
          <t>Total</t>
        </is>
      </c>
      <c r="E755" s="122" t="n">
        <v>1</v>
      </c>
      <c r="F755" s="122" t="n">
        <v>4</v>
      </c>
      <c r="G755" s="122" t="n">
        <v>4</v>
      </c>
      <c r="I755" s="58">
        <f>IF(B755&lt;&gt;"",B755,"")</f>
        <v/>
      </c>
    </row>
    <row r="756" ht="15.75" customHeight="1" s="146">
      <c r="D756" s="122" t="inlineStr">
        <is>
          <t>Team Matrix</t>
        </is>
      </c>
      <c r="E756" s="122" t="n">
        <v>1</v>
      </c>
      <c r="F756" s="122" t="n">
        <v>4</v>
      </c>
      <c r="G756" s="122" t="n">
        <v>4</v>
      </c>
      <c r="I756" s="58">
        <f>IF(B756&lt;&gt;"",B756,"")</f>
        <v/>
      </c>
    </row>
    <row r="757" ht="15.75" customHeight="1" s="146">
      <c r="C757" t="inlineStr">
        <is>
          <t>Michael Andrew</t>
        </is>
      </c>
      <c r="D757" s="122" t="inlineStr">
        <is>
          <t>Total</t>
        </is>
      </c>
      <c r="E757" s="122" t="n">
        <v>1</v>
      </c>
      <c r="F757" s="122" t="n">
        <v>17</v>
      </c>
      <c r="G757" s="122" t="n">
        <v>17</v>
      </c>
      <c r="I757" s="58">
        <f>IF(B757&lt;&gt;"",B757,"")</f>
        <v/>
      </c>
    </row>
    <row r="758" ht="15.75" customHeight="1" s="146">
      <c r="D758" s="122" t="inlineStr">
        <is>
          <t>Arborist</t>
        </is>
      </c>
      <c r="E758" s="122" t="n">
        <v>1</v>
      </c>
      <c r="F758" s="122" t="n">
        <v>7</v>
      </c>
      <c r="G758" s="122" t="n">
        <v>7</v>
      </c>
      <c r="I758" s="58">
        <f>IF(B758&lt;&gt;"",B758,"")</f>
        <v/>
      </c>
    </row>
    <row r="759" ht="15.75" customHeight="1" s="146">
      <c r="C759" s="122" t="n"/>
      <c r="D759" s="122" t="inlineStr">
        <is>
          <t>Business Matrix</t>
        </is>
      </c>
      <c r="E759" s="122" t="n">
        <v>1</v>
      </c>
      <c r="F759" s="122" t="n">
        <v>6</v>
      </c>
      <c r="G759" s="122" t="n">
        <v>6</v>
      </c>
      <c r="I759" s="58">
        <f>IF(B759&lt;&gt;"",B759,"")</f>
        <v/>
      </c>
    </row>
    <row r="760" ht="15.75" customHeight="1" s="146">
      <c r="D760" s="122" t="inlineStr">
        <is>
          <t>Customer - Utility Arboriculture</t>
        </is>
      </c>
      <c r="E760" s="122" t="n">
        <v>1</v>
      </c>
      <c r="F760" s="122" t="n">
        <v>4</v>
      </c>
      <c r="G760" s="122" t="n">
        <v>4</v>
      </c>
      <c r="I760" s="58">
        <f>IF(B760&lt;&gt;"",B760,"")</f>
        <v/>
      </c>
    </row>
    <row r="761" ht="15.75" customHeight="1" s="146">
      <c r="C761" t="inlineStr">
        <is>
          <t>Thomas Housman</t>
        </is>
      </c>
      <c r="D761" s="122" t="inlineStr">
        <is>
          <t>Total</t>
        </is>
      </c>
      <c r="E761" s="122" t="n">
        <v>0.95</v>
      </c>
      <c r="F761" s="122" t="n">
        <v>17</v>
      </c>
      <c r="G761" s="122" t="n">
        <v>16</v>
      </c>
      <c r="I761" s="58">
        <f>IF(B761&lt;&gt;"",B761,"")</f>
        <v/>
      </c>
    </row>
    <row r="762" ht="15.75" customHeight="1" s="146">
      <c r="D762" s="122" t="inlineStr">
        <is>
          <t>Arborist</t>
        </is>
      </c>
      <c r="E762" s="122" t="n">
        <v>1</v>
      </c>
      <c r="F762" s="122" t="n">
        <v>7</v>
      </c>
      <c r="G762" s="122" t="n">
        <v>7</v>
      </c>
      <c r="I762" s="58">
        <f>IF(B762&lt;&gt;"",B762,"")</f>
        <v/>
      </c>
    </row>
    <row r="763" ht="15.75" customHeight="1" s="146">
      <c r="C763" s="122" t="n"/>
      <c r="D763" s="122" t="inlineStr">
        <is>
          <t>Customer - Utility Arboriculture</t>
        </is>
      </c>
      <c r="E763" s="122" t="n">
        <v>1</v>
      </c>
      <c r="F763" s="122" t="n">
        <v>4</v>
      </c>
      <c r="G763" s="122" t="n">
        <v>4</v>
      </c>
      <c r="I763" s="58">
        <f>IF(B763&lt;&gt;"",B763,"")</f>
        <v/>
      </c>
    </row>
    <row r="764" ht="15.75" customHeight="1" s="146">
      <c r="D764" s="122" t="inlineStr">
        <is>
          <t>Business Matrix</t>
        </is>
      </c>
      <c r="E764" s="122" t="n">
        <v>0.84</v>
      </c>
      <c r="F764" s="122" t="n">
        <v>6</v>
      </c>
      <c r="G764" s="122" t="n">
        <v>5</v>
      </c>
      <c r="I764" s="58">
        <f>IF(B764&lt;&gt;"",B764,"")</f>
        <v/>
      </c>
    </row>
    <row r="765" ht="15.75" customHeight="1" s="146">
      <c r="C765" t="inlineStr">
        <is>
          <t>Morgan Dicks</t>
        </is>
      </c>
      <c r="D765" s="122" t="inlineStr">
        <is>
          <t>Total</t>
        </is>
      </c>
      <c r="E765" s="122" t="n">
        <v>0.83</v>
      </c>
      <c r="F765" s="122" t="n">
        <v>17</v>
      </c>
      <c r="G765" s="122" t="n">
        <v>14</v>
      </c>
      <c r="I765" s="58">
        <f>IF(B765&lt;&gt;"",B765,"")</f>
        <v/>
      </c>
    </row>
    <row r="766" ht="15.75" customHeight="1" s="146">
      <c r="D766" s="122" t="inlineStr">
        <is>
          <t>Customer - Utility Arboriculture</t>
        </is>
      </c>
      <c r="E766" s="122" t="n">
        <v>1</v>
      </c>
      <c r="F766" s="122" t="n">
        <v>4</v>
      </c>
      <c r="G766" s="122" t="n">
        <v>4</v>
      </c>
      <c r="I766" s="58">
        <f>IF(B766&lt;&gt;"",B766,"")</f>
        <v/>
      </c>
    </row>
    <row r="767" ht="15.75" customHeight="1" s="146">
      <c r="C767" s="122" t="n"/>
      <c r="D767" s="122" t="inlineStr">
        <is>
          <t>Arborist</t>
        </is>
      </c>
      <c r="E767" s="122" t="n">
        <v>0.86</v>
      </c>
      <c r="F767" s="122" t="n">
        <v>7</v>
      </c>
      <c r="G767" s="122" t="n">
        <v>6</v>
      </c>
      <c r="I767" s="58">
        <f>IF(B767&lt;&gt;"",B767,"")</f>
        <v/>
      </c>
    </row>
    <row r="768" ht="15.75" customHeight="1" s="146">
      <c r="D768" s="122" t="inlineStr">
        <is>
          <t>Business Matrix</t>
        </is>
      </c>
      <c r="E768" s="122" t="n">
        <v>0.67</v>
      </c>
      <c r="F768" s="122" t="n">
        <v>6</v>
      </c>
      <c r="G768" s="122" t="n">
        <v>4</v>
      </c>
      <c r="I768" s="58">
        <f>IF(B768&lt;&gt;"",B768,"")</f>
        <v/>
      </c>
    </row>
    <row r="769" ht="15.75" customHeight="1" s="146">
      <c r="C769" t="inlineStr">
        <is>
          <t>Harvey Green</t>
        </is>
      </c>
      <c r="D769" s="122" t="inlineStr">
        <is>
          <t>Total</t>
        </is>
      </c>
      <c r="E769" s="122" t="n">
        <v>0.71</v>
      </c>
      <c r="F769" s="122" t="n">
        <v>17</v>
      </c>
      <c r="G769" s="122" t="n">
        <v>12</v>
      </c>
      <c r="I769" s="58">
        <f>IF(B769&lt;&gt;"",B769,"")</f>
        <v/>
      </c>
    </row>
    <row r="770" ht="15.75" customHeight="1" s="146">
      <c r="D770" s="122" t="inlineStr">
        <is>
          <t>Arborist</t>
        </is>
      </c>
      <c r="E770" s="122" t="n">
        <v>0.86</v>
      </c>
      <c r="F770" s="122" t="n">
        <v>7</v>
      </c>
      <c r="G770" s="122" t="n">
        <v>6</v>
      </c>
      <c r="I770" s="58">
        <f>IF(B770&lt;&gt;"",B770,"")</f>
        <v/>
      </c>
    </row>
    <row r="771" ht="15.75" customHeight="1" s="146">
      <c r="C771" s="122" t="n"/>
      <c r="D771" s="122" t="inlineStr">
        <is>
          <t>Business Matrix</t>
        </is>
      </c>
      <c r="E771" s="122" t="n">
        <v>0.67</v>
      </c>
      <c r="F771" s="122" t="n">
        <v>6</v>
      </c>
      <c r="G771" s="122" t="n">
        <v>4</v>
      </c>
      <c r="I771" s="58">
        <f>IF(B771&lt;&gt;"",B771,"")</f>
        <v/>
      </c>
    </row>
    <row r="772" ht="15.75" customHeight="1" s="146">
      <c r="D772" s="122" t="inlineStr">
        <is>
          <t>Customer - Utility Arboriculture</t>
        </is>
      </c>
      <c r="E772" s="122" t="n">
        <v>0.5</v>
      </c>
      <c r="F772" s="122" t="n">
        <v>4</v>
      </c>
      <c r="G772" s="122" t="n">
        <v>2</v>
      </c>
      <c r="I772" s="58">
        <f>IF(B772&lt;&gt;"",B772,"")</f>
        <v/>
      </c>
    </row>
    <row r="773" ht="15.75" customHeight="1" s="146">
      <c r="C773" t="inlineStr">
        <is>
          <t>Adam Wilkins</t>
        </is>
      </c>
      <c r="D773" s="122" t="inlineStr">
        <is>
          <t>Total</t>
        </is>
      </c>
      <c r="E773" s="122" t="n">
        <v>0.65</v>
      </c>
      <c r="F773" s="122" t="n">
        <v>17</v>
      </c>
      <c r="G773" s="122" t="n">
        <v>11</v>
      </c>
      <c r="I773" s="58">
        <f>IF(B773&lt;&gt;"",B773,"")</f>
        <v/>
      </c>
    </row>
    <row r="774" ht="15.75" customHeight="1" s="146">
      <c r="D774" s="122" t="inlineStr">
        <is>
          <t>Customer - Utility Arboriculture</t>
        </is>
      </c>
      <c r="E774" s="122" t="n">
        <v>0.75</v>
      </c>
      <c r="F774" s="122" t="n">
        <v>4</v>
      </c>
      <c r="G774" s="122" t="n">
        <v>3</v>
      </c>
      <c r="I774" s="58">
        <f>IF(B774&lt;&gt;"",B774,"")</f>
        <v/>
      </c>
    </row>
    <row r="775" ht="15.75" customHeight="1" s="146">
      <c r="C775" s="122" t="n"/>
      <c r="D775" s="122" t="inlineStr">
        <is>
          <t>Business Matrix</t>
        </is>
      </c>
      <c r="E775" s="122" t="n">
        <v>0.67</v>
      </c>
      <c r="F775" s="122" t="n">
        <v>6</v>
      </c>
      <c r="G775" s="122" t="n">
        <v>4</v>
      </c>
      <c r="I775" s="58">
        <f>IF(B775&lt;&gt;"",B775,"")</f>
        <v/>
      </c>
    </row>
    <row r="776" ht="15.75" customHeight="1" s="146">
      <c r="D776" s="122" t="inlineStr">
        <is>
          <t>Arborist</t>
        </is>
      </c>
      <c r="E776" s="122" t="n">
        <v>0.58</v>
      </c>
      <c r="F776" s="122" t="n">
        <v>7</v>
      </c>
      <c r="G776" s="122" t="n">
        <v>4</v>
      </c>
      <c r="I776" s="58">
        <f>IF(B776&lt;&gt;"",B776,"")</f>
        <v/>
      </c>
    </row>
    <row r="777" ht="15.75" customHeight="1" s="146">
      <c r="C777" t="inlineStr">
        <is>
          <t>Chris Price</t>
        </is>
      </c>
      <c r="D777" s="122" t="inlineStr">
        <is>
          <t>Total</t>
        </is>
      </c>
      <c r="E777" s="122" t="n">
        <v>0.47</v>
      </c>
      <c r="F777" s="122" t="n">
        <v>15</v>
      </c>
      <c r="G777" s="122" t="n">
        <v>7</v>
      </c>
      <c r="I777" s="58">
        <f>IF(B777&lt;&gt;"",B777,"")</f>
        <v/>
      </c>
    </row>
    <row r="778" ht="15.75" customHeight="1" s="146">
      <c r="D778" s="122" t="inlineStr">
        <is>
          <t>Grounds Person</t>
        </is>
      </c>
      <c r="E778" s="122" t="n">
        <v>0.8</v>
      </c>
      <c r="F778" s="122" t="n">
        <v>5</v>
      </c>
      <c r="G778" s="122" t="n">
        <v>4</v>
      </c>
      <c r="I778" s="58">
        <f>IF(B778&lt;&gt;"",B778,"")</f>
        <v/>
      </c>
    </row>
    <row r="779" ht="15.75" customHeight="1" s="146">
      <c r="C779" s="122" t="n"/>
      <c r="D779" s="122" t="inlineStr">
        <is>
          <t>Customer - Utility Arboriculture</t>
        </is>
      </c>
      <c r="E779" s="122" t="n">
        <v>0.75</v>
      </c>
      <c r="F779" s="122" t="n">
        <v>4</v>
      </c>
      <c r="G779" s="122" t="n">
        <v>3</v>
      </c>
      <c r="I779" s="58">
        <f>IF(B779&lt;&gt;"",B779,"")</f>
        <v/>
      </c>
    </row>
    <row r="780" ht="15.75" customHeight="1" s="146">
      <c r="D780" s="122" t="inlineStr">
        <is>
          <t>Business Matrix</t>
        </is>
      </c>
      <c r="E780" s="122" t="n">
        <v>0</v>
      </c>
      <c r="F780" s="122" t="n">
        <v>6</v>
      </c>
      <c r="G780" s="122" t="n">
        <v>0</v>
      </c>
      <c r="I780" s="58">
        <f>IF(B780&lt;&gt;"",B780,"")</f>
        <v/>
      </c>
    </row>
    <row r="781" ht="15.75" customHeight="1" s="146">
      <c r="B781" s="122" t="n"/>
      <c r="C781" s="122" t="inlineStr">
        <is>
          <t>Daniel Humphries</t>
        </is>
      </c>
      <c r="D781" t="inlineStr">
        <is>
          <t>Total</t>
        </is>
      </c>
      <c r="E781" s="122" t="n">
        <v>0.3</v>
      </c>
      <c r="F781" s="122" t="n">
        <v>17</v>
      </c>
      <c r="G781" s="122" t="n">
        <v>5</v>
      </c>
      <c r="H781" s="57" t="n"/>
      <c r="I781" s="58">
        <f>IF(B781&lt;&gt;"",B781,"")</f>
        <v/>
      </c>
    </row>
    <row r="782" ht="15.75" customHeight="1" s="146">
      <c r="C782" s="122" t="n"/>
      <c r="D782" s="122" t="inlineStr">
        <is>
          <t>Customer - Utility Arboriculture</t>
        </is>
      </c>
      <c r="E782" s="122" t="n">
        <v>0.5</v>
      </c>
      <c r="F782" s="122" t="n">
        <v>4</v>
      </c>
      <c r="G782" s="122" t="n">
        <v>2</v>
      </c>
      <c r="I782" s="58">
        <f>IF(B782&lt;&gt;"",B782,"")</f>
        <v/>
      </c>
    </row>
    <row r="783" ht="15.75" customHeight="1" s="146">
      <c r="D783" s="122" t="inlineStr">
        <is>
          <t>Arborist</t>
        </is>
      </c>
      <c r="E783" s="122" t="n">
        <v>0.43</v>
      </c>
      <c r="F783" s="122" t="n">
        <v>7</v>
      </c>
      <c r="G783" s="122" t="n">
        <v>3</v>
      </c>
      <c r="I783" s="58">
        <f>IF(B783&lt;&gt;"",B783,"")</f>
        <v/>
      </c>
    </row>
    <row r="784" ht="15.75" customHeight="1" s="146">
      <c r="C784" s="122" t="n"/>
      <c r="D784" s="122" t="inlineStr">
        <is>
          <t>Business Matrix</t>
        </is>
      </c>
      <c r="E784" s="122" t="n">
        <v>0</v>
      </c>
      <c r="F784" s="122" t="n">
        <v>6</v>
      </c>
      <c r="G784" s="122" t="n">
        <v>0</v>
      </c>
      <c r="I784" s="58">
        <f>IF(B784&lt;&gt;"",B784,"")</f>
        <v/>
      </c>
    </row>
    <row r="785" ht="15.75" customHeight="1" s="146">
      <c r="B785" t="inlineStr">
        <is>
          <t>J Ashby Tree Services</t>
        </is>
      </c>
      <c r="C785" t="inlineStr">
        <is>
          <t>Total</t>
        </is>
      </c>
      <c r="D785" s="122" t="n"/>
      <c r="E785" s="122" t="n">
        <v>0.72</v>
      </c>
      <c r="F785" s="122" t="n">
        <v>97</v>
      </c>
      <c r="G785" s="122" t="n">
        <v>69</v>
      </c>
      <c r="H785" s="189" t="n">
        <v>43396</v>
      </c>
      <c r="I785" s="58">
        <f>IF(B785&lt;&gt;"",B785,"")</f>
        <v/>
      </c>
    </row>
    <row r="786" ht="15.75" customHeight="1" s="146">
      <c r="C786" t="inlineStr">
        <is>
          <t>Reece Gilbert</t>
        </is>
      </c>
      <c r="D786" s="122" t="inlineStr">
        <is>
          <t>Total</t>
        </is>
      </c>
      <c r="E786" s="122" t="n">
        <v>0.89</v>
      </c>
      <c r="F786" s="122" t="n">
        <v>17</v>
      </c>
      <c r="G786" s="122" t="n">
        <v>15</v>
      </c>
      <c r="I786" s="58">
        <f>IF(B786&lt;&gt;"",B786,"")</f>
        <v/>
      </c>
    </row>
    <row r="787" ht="15.75" customHeight="1" s="146">
      <c r="D787" s="122" t="inlineStr">
        <is>
          <t>Arborist</t>
        </is>
      </c>
      <c r="E787" s="122" t="n">
        <v>1</v>
      </c>
      <c r="F787" s="122" t="n">
        <v>7</v>
      </c>
      <c r="G787" s="122" t="n">
        <v>7</v>
      </c>
      <c r="I787" s="58">
        <f>IF(B787&lt;&gt;"",B787,"")</f>
        <v/>
      </c>
    </row>
    <row r="788" ht="15.75" customHeight="1" s="146">
      <c r="C788" s="122" t="n"/>
      <c r="D788" s="122" t="inlineStr">
        <is>
          <t>Business Matrix</t>
        </is>
      </c>
      <c r="E788" s="122" t="n">
        <v>0.84</v>
      </c>
      <c r="F788" s="122" t="n">
        <v>6</v>
      </c>
      <c r="G788" s="122" t="n">
        <v>5</v>
      </c>
      <c r="I788" s="58">
        <f>IF(B788&lt;&gt;"",B788,"")</f>
        <v/>
      </c>
    </row>
    <row r="789" ht="15.75" customHeight="1" s="146">
      <c r="D789" s="122" t="inlineStr">
        <is>
          <t>Customer - Utility Arboriculture</t>
        </is>
      </c>
      <c r="E789" s="122" t="n">
        <v>0.75</v>
      </c>
      <c r="F789" s="122" t="n">
        <v>4</v>
      </c>
      <c r="G789" s="122" t="n">
        <v>3</v>
      </c>
      <c r="I789" s="58">
        <f>IF(B789&lt;&gt;"",B789,"")</f>
        <v/>
      </c>
    </row>
    <row r="790" ht="15.75" customHeight="1" s="146">
      <c r="C790" t="inlineStr">
        <is>
          <t>Cameron Perreau</t>
        </is>
      </c>
      <c r="D790" s="122" t="inlineStr">
        <is>
          <t>Total</t>
        </is>
      </c>
      <c r="E790" s="122" t="n">
        <v>0.77</v>
      </c>
      <c r="F790" s="122" t="n">
        <v>17</v>
      </c>
      <c r="G790" s="122" t="n">
        <v>13</v>
      </c>
      <c r="I790" s="58">
        <f>IF(B790&lt;&gt;"",B790,"")</f>
        <v/>
      </c>
    </row>
    <row r="791" ht="15.75" customHeight="1" s="146">
      <c r="D791" s="122" t="inlineStr">
        <is>
          <t>Customer - Utility Arboriculture</t>
        </is>
      </c>
      <c r="E791" s="122" t="n">
        <v>1</v>
      </c>
      <c r="F791" s="122" t="n">
        <v>4</v>
      </c>
      <c r="G791" s="122" t="n">
        <v>4</v>
      </c>
      <c r="I791" s="58">
        <f>IF(B791&lt;&gt;"",B791,"")</f>
        <v/>
      </c>
    </row>
    <row r="792" ht="15.75" customHeight="1" s="146">
      <c r="C792" s="122" t="n"/>
      <c r="D792" s="122" t="inlineStr">
        <is>
          <t>Arborist</t>
        </is>
      </c>
      <c r="E792" s="122" t="n">
        <v>0.72</v>
      </c>
      <c r="F792" s="122" t="n">
        <v>7</v>
      </c>
      <c r="G792" s="122" t="n">
        <v>5</v>
      </c>
      <c r="I792" s="58">
        <f>IF(B792&lt;&gt;"",B792,"")</f>
        <v/>
      </c>
    </row>
    <row r="793" ht="15.75" customHeight="1" s="146">
      <c r="D793" s="122" t="inlineStr">
        <is>
          <t>Business Matrix</t>
        </is>
      </c>
      <c r="E793" s="122" t="n">
        <v>0.67</v>
      </c>
      <c r="F793" s="122" t="n">
        <v>6</v>
      </c>
      <c r="G793" s="122" t="n">
        <v>4</v>
      </c>
      <c r="I793" s="58">
        <f>IF(B793&lt;&gt;"",B793,"")</f>
        <v/>
      </c>
    </row>
    <row r="794" ht="15.75" customHeight="1" s="146">
      <c r="C794" t="inlineStr">
        <is>
          <t>Jolyon Ashby</t>
        </is>
      </c>
      <c r="D794" s="122" t="inlineStr">
        <is>
          <t>Total</t>
        </is>
      </c>
      <c r="E794" s="122" t="n">
        <v>0.77</v>
      </c>
      <c r="F794" s="122" t="n">
        <v>17</v>
      </c>
      <c r="G794" s="122" t="n">
        <v>13</v>
      </c>
      <c r="I794" s="58">
        <f>IF(B794&lt;&gt;"",B794,"")</f>
        <v/>
      </c>
    </row>
    <row r="795" ht="15.75" customHeight="1" s="146">
      <c r="D795" s="122" t="inlineStr">
        <is>
          <t>Business Matrix</t>
        </is>
      </c>
      <c r="E795" s="122" t="n">
        <v>1</v>
      </c>
      <c r="F795" s="122" t="n">
        <v>6</v>
      </c>
      <c r="G795" s="122" t="n">
        <v>6</v>
      </c>
      <c r="I795" s="58">
        <f>IF(B795&lt;&gt;"",B795,"")</f>
        <v/>
      </c>
    </row>
    <row r="796" ht="15.75" customHeight="1" s="146">
      <c r="B796" s="122" t="n"/>
      <c r="C796" s="122" t="n"/>
      <c r="D796" t="inlineStr">
        <is>
          <t>Arborist</t>
        </is>
      </c>
      <c r="E796" s="122" t="n">
        <v>0.86</v>
      </c>
      <c r="F796" s="122" t="n">
        <v>7</v>
      </c>
      <c r="G796" s="122" t="n">
        <v>6</v>
      </c>
      <c r="H796" s="57" t="n"/>
      <c r="I796" s="58">
        <f>IF(B796&lt;&gt;"",B796,"")</f>
        <v/>
      </c>
    </row>
    <row r="797" ht="15.75" customHeight="1" s="146">
      <c r="C797" s="122" t="n"/>
      <c r="D797" s="122" t="inlineStr">
        <is>
          <t>Customer - Utility Arboriculture</t>
        </is>
      </c>
      <c r="E797" s="122" t="n">
        <v>0.25</v>
      </c>
      <c r="F797" s="122" t="n">
        <v>4</v>
      </c>
      <c r="G797" s="122" t="n">
        <v>1</v>
      </c>
      <c r="I797" s="58">
        <f>IF(B797&lt;&gt;"",B797,"")</f>
        <v/>
      </c>
    </row>
    <row r="798" ht="15.75" customHeight="1" s="146">
      <c r="C798" t="inlineStr">
        <is>
          <t>Josh Leiper</t>
        </is>
      </c>
      <c r="D798" s="122" t="inlineStr">
        <is>
          <t>Total</t>
        </is>
      </c>
      <c r="E798" s="122" t="n">
        <v>0.74</v>
      </c>
      <c r="F798" s="122" t="n">
        <v>15</v>
      </c>
      <c r="G798" s="122" t="n">
        <v>11</v>
      </c>
      <c r="I798" s="58">
        <f>IF(B798&lt;&gt;"",B798,"")</f>
        <v/>
      </c>
    </row>
    <row r="799" ht="15.75" customHeight="1" s="146">
      <c r="C799" s="122" t="n"/>
      <c r="D799" s="122" t="inlineStr">
        <is>
          <t>Business Matrix</t>
        </is>
      </c>
      <c r="E799" s="122" t="n">
        <v>1</v>
      </c>
      <c r="F799" s="122" t="n">
        <v>6</v>
      </c>
      <c r="G799" s="122" t="n">
        <v>6</v>
      </c>
      <c r="I799" s="58">
        <f>IF(B799&lt;&gt;"",B799,"")</f>
        <v/>
      </c>
    </row>
    <row r="800" ht="15.75" customHeight="1" s="146">
      <c r="D800" s="122" t="inlineStr">
        <is>
          <t>Grounds Person</t>
        </is>
      </c>
      <c r="E800" s="122" t="n">
        <v>0.8</v>
      </c>
      <c r="F800" s="122" t="n">
        <v>5</v>
      </c>
      <c r="G800" s="122" t="n">
        <v>4</v>
      </c>
      <c r="I800" s="58">
        <f>IF(B800&lt;&gt;"",B800,"")</f>
        <v/>
      </c>
    </row>
    <row r="801" ht="15.75" customHeight="1" s="146">
      <c r="D801" s="122" t="inlineStr">
        <is>
          <t>Customer - Utility Arboriculture</t>
        </is>
      </c>
      <c r="E801" s="122" t="n">
        <v>0.25</v>
      </c>
      <c r="F801" s="122" t="n">
        <v>4</v>
      </c>
      <c r="G801" s="122" t="n">
        <v>1</v>
      </c>
      <c r="I801" s="58">
        <f>IF(B801&lt;&gt;"",B801,"")</f>
        <v/>
      </c>
    </row>
    <row r="802" ht="15.75" customHeight="1" s="146">
      <c r="C802" s="122" t="inlineStr">
        <is>
          <t>Chris Burton</t>
        </is>
      </c>
      <c r="D802" s="122" t="inlineStr">
        <is>
          <t>Total</t>
        </is>
      </c>
      <c r="E802" s="122" t="n">
        <v>0.59</v>
      </c>
      <c r="F802" s="122" t="n">
        <v>17</v>
      </c>
      <c r="G802" s="122" t="n">
        <v>10</v>
      </c>
      <c r="I802" s="58">
        <f>IF(B802&lt;&gt;"",B802,"")</f>
        <v/>
      </c>
    </row>
    <row r="803" ht="15.75" customHeight="1" s="146">
      <c r="D803" s="122" t="inlineStr">
        <is>
          <t>Business Matrix</t>
        </is>
      </c>
      <c r="E803" s="122" t="n">
        <v>0.84</v>
      </c>
      <c r="F803" s="122" t="n">
        <v>6</v>
      </c>
      <c r="G803" s="122" t="n">
        <v>5</v>
      </c>
      <c r="I803" s="58">
        <f>IF(B803&lt;&gt;"",B803,"")</f>
        <v/>
      </c>
    </row>
    <row r="804" ht="15.75" customHeight="1" s="146">
      <c r="D804" s="122" t="inlineStr">
        <is>
          <t>Customer - Utility Arboriculture</t>
        </is>
      </c>
      <c r="E804" s="122" t="n">
        <v>0.5</v>
      </c>
      <c r="F804" s="122" t="n">
        <v>4</v>
      </c>
      <c r="G804" s="122" t="n">
        <v>2</v>
      </c>
      <c r="I804" s="58">
        <f>IF(B804&lt;&gt;"",B804,"")</f>
        <v/>
      </c>
    </row>
    <row r="805" ht="15.75" customHeight="1" s="146">
      <c r="D805" s="122" t="inlineStr">
        <is>
          <t>Arborist</t>
        </is>
      </c>
      <c r="E805" s="122" t="n">
        <v>0.43</v>
      </c>
      <c r="F805" s="122" t="n">
        <v>7</v>
      </c>
      <c r="G805" s="122" t="n">
        <v>3</v>
      </c>
      <c r="I805" s="58">
        <f>IF(B805&lt;&gt;"",B805,"")</f>
        <v/>
      </c>
    </row>
    <row r="806" ht="15.75" customHeight="1" s="146">
      <c r="C806" s="122" t="inlineStr">
        <is>
          <t>J Ashby Tree Services</t>
        </is>
      </c>
      <c r="D806" s="122" t="inlineStr">
        <is>
          <t>Total</t>
        </is>
      </c>
      <c r="E806" s="122" t="n">
        <v>0.5</v>
      </c>
      <c r="F806" s="122" t="n">
        <v>4</v>
      </c>
      <c r="G806" s="122" t="n">
        <v>2</v>
      </c>
      <c r="I806" s="58">
        <f>IF(B806&lt;&gt;"",B806,"")</f>
        <v/>
      </c>
    </row>
    <row r="807" ht="15.75" customHeight="1" s="146">
      <c r="D807" s="122" t="inlineStr">
        <is>
          <t>Team Matrix</t>
        </is>
      </c>
      <c r="E807" s="122" t="n">
        <v>0.5</v>
      </c>
      <c r="F807" s="122" t="n">
        <v>4</v>
      </c>
      <c r="G807" s="122" t="n">
        <v>2</v>
      </c>
      <c r="I807" s="58">
        <f>IF(B807&lt;&gt;"",B807,"")</f>
        <v/>
      </c>
    </row>
    <row r="808" ht="15.75" customHeight="1" s="146">
      <c r="C808" t="inlineStr">
        <is>
          <t>Oliver Brown</t>
        </is>
      </c>
      <c r="D808" s="122" t="inlineStr">
        <is>
          <t>Total</t>
        </is>
      </c>
      <c r="E808" s="122" t="n">
        <v>0.5</v>
      </c>
      <c r="F808" s="122" t="n">
        <v>10</v>
      </c>
      <c r="G808" s="122" t="n">
        <v>5</v>
      </c>
      <c r="I808" s="58">
        <f>IF(B808&lt;&gt;"",B808,"")</f>
        <v/>
      </c>
    </row>
    <row r="809" ht="15.75" customHeight="1" s="146">
      <c r="D809" s="122" t="inlineStr">
        <is>
          <t>Business Matrix</t>
        </is>
      </c>
      <c r="E809" s="122" t="n">
        <v>0.84</v>
      </c>
      <c r="F809" s="122" t="n">
        <v>6</v>
      </c>
      <c r="G809" s="122" t="n">
        <v>5</v>
      </c>
      <c r="I809" s="58">
        <f>IF(B809&lt;&gt;"",B809,"")</f>
        <v/>
      </c>
    </row>
    <row r="810" ht="15.75" customHeight="1" s="146">
      <c r="C810" s="122" t="n"/>
      <c r="D810" s="122" t="inlineStr">
        <is>
          <t>Customer - Utility Arboriculture</t>
        </is>
      </c>
      <c r="E810" s="122" t="n">
        <v>0</v>
      </c>
      <c r="F810" s="122" t="n">
        <v>4</v>
      </c>
      <c r="G810" s="122" t="n">
        <v>0</v>
      </c>
      <c r="I810" s="58">
        <f>IF(B810&lt;&gt;"",B810,"")</f>
        <v/>
      </c>
    </row>
    <row r="811" ht="15.75" customHeight="1" s="146">
      <c r="B811" t="inlineStr">
        <is>
          <t>Lincolnshire Hardwoods Jim</t>
        </is>
      </c>
      <c r="C811" t="inlineStr">
        <is>
          <t>Total</t>
        </is>
      </c>
      <c r="D811" s="122" t="n"/>
      <c r="E811" s="122" t="n">
        <v>0.71</v>
      </c>
      <c r="F811" s="122" t="n">
        <v>128</v>
      </c>
      <c r="G811" s="122" t="n">
        <v>90</v>
      </c>
      <c r="H811" s="189" t="n">
        <v>41701</v>
      </c>
      <c r="I811" s="58">
        <f>IF(B811&lt;&gt;"",B811,"")</f>
        <v/>
      </c>
    </row>
    <row r="812" ht="15.75" customHeight="1" s="146">
      <c r="C812" t="inlineStr">
        <is>
          <t>Lincolnshire Hardwoods Jim</t>
        </is>
      </c>
      <c r="D812" s="122" t="inlineStr">
        <is>
          <t>Total</t>
        </is>
      </c>
      <c r="E812" s="122" t="n">
        <v>1</v>
      </c>
      <c r="F812" s="122" t="n">
        <v>4</v>
      </c>
      <c r="G812" s="122" t="n">
        <v>4</v>
      </c>
      <c r="I812" s="58">
        <f>IF(B812&lt;&gt;"",B812,"")</f>
        <v/>
      </c>
    </row>
    <row r="813" ht="15.75" customHeight="1" s="146">
      <c r="D813" s="122" t="inlineStr">
        <is>
          <t>Team Matrix</t>
        </is>
      </c>
      <c r="E813" s="122" t="n">
        <v>1</v>
      </c>
      <c r="F813" s="122" t="n">
        <v>4</v>
      </c>
      <c r="G813" s="122" t="n">
        <v>4</v>
      </c>
      <c r="I813" s="58">
        <f>IF(B813&lt;&gt;"",B813,"")</f>
        <v/>
      </c>
    </row>
    <row r="814" ht="15.75" customHeight="1" s="146">
      <c r="C814" s="122" t="inlineStr">
        <is>
          <t>Daniel Wootton</t>
        </is>
      </c>
      <c r="D814" s="122" t="inlineStr">
        <is>
          <t>Total</t>
        </is>
      </c>
      <c r="E814" s="122" t="n">
        <v>0.83</v>
      </c>
      <c r="F814" s="122" t="n">
        <v>17</v>
      </c>
      <c r="G814" s="122" t="n">
        <v>14</v>
      </c>
      <c r="I814" s="58">
        <f>IF(B814&lt;&gt;"",B814,"")</f>
        <v/>
      </c>
    </row>
    <row r="815" ht="15.75" customHeight="1" s="146">
      <c r="D815" s="122" t="inlineStr">
        <is>
          <t>Customer - Utility Arboriculture</t>
        </is>
      </c>
      <c r="E815" s="122" t="n">
        <v>1</v>
      </c>
      <c r="F815" s="122" t="n">
        <v>4</v>
      </c>
      <c r="G815" s="122" t="n">
        <v>4</v>
      </c>
      <c r="I815" s="58">
        <f>IF(B815&lt;&gt;"",B815,"")</f>
        <v/>
      </c>
    </row>
    <row r="816" ht="15.75" customHeight="1" s="146">
      <c r="D816" s="122" t="inlineStr">
        <is>
          <t>Business Matrix</t>
        </is>
      </c>
      <c r="E816" s="122" t="n">
        <v>0.84</v>
      </c>
      <c r="F816" s="122" t="n">
        <v>6</v>
      </c>
      <c r="G816" s="122" t="n">
        <v>5</v>
      </c>
      <c r="I816" s="58">
        <f>IF(B816&lt;&gt;"",B816,"")</f>
        <v/>
      </c>
    </row>
    <row r="817" ht="15.75" customHeight="1" s="146">
      <c r="D817" s="122" t="inlineStr">
        <is>
          <t>Arborist</t>
        </is>
      </c>
      <c r="E817" s="122" t="n">
        <v>0.72</v>
      </c>
      <c r="F817" s="122" t="n">
        <v>7</v>
      </c>
      <c r="G817" s="122" t="n">
        <v>5</v>
      </c>
      <c r="I817" s="58">
        <f>IF(B817&lt;&gt;"",B817,"")</f>
        <v/>
      </c>
    </row>
    <row r="818" ht="15.75" customHeight="1" s="146">
      <c r="C818" s="122" t="inlineStr">
        <is>
          <t>James Wootton</t>
        </is>
      </c>
      <c r="D818" s="122" t="inlineStr">
        <is>
          <t>Total</t>
        </is>
      </c>
      <c r="E818" s="122" t="n">
        <v>0.83</v>
      </c>
      <c r="F818" s="122" t="n">
        <v>17</v>
      </c>
      <c r="G818" s="122" t="n">
        <v>14</v>
      </c>
      <c r="I818" s="58">
        <f>IF(B818&lt;&gt;"",B818,"")</f>
        <v/>
      </c>
    </row>
    <row r="819" ht="15.75" customHeight="1" s="146">
      <c r="D819" s="122" t="inlineStr">
        <is>
          <t>Customer - Utility Arboriculture</t>
        </is>
      </c>
      <c r="E819" s="122" t="n">
        <v>1</v>
      </c>
      <c r="F819" s="122" t="n">
        <v>4</v>
      </c>
      <c r="G819" s="122" t="n">
        <v>4</v>
      </c>
      <c r="I819" s="58">
        <f>IF(B819&lt;&gt;"",B819,"")</f>
        <v/>
      </c>
    </row>
    <row r="820" ht="15.75" customHeight="1" s="146">
      <c r="D820" s="122" t="inlineStr">
        <is>
          <t>Business Matrix</t>
        </is>
      </c>
      <c r="E820" s="122" t="n">
        <v>0.84</v>
      </c>
      <c r="F820" s="122" t="n">
        <v>6</v>
      </c>
      <c r="G820" s="122" t="n">
        <v>5</v>
      </c>
      <c r="I820" s="58">
        <f>IF(B820&lt;&gt;"",B820,"")</f>
        <v/>
      </c>
    </row>
    <row r="821" ht="15.75" customHeight="1" s="146">
      <c r="D821" s="122" t="inlineStr">
        <is>
          <t>Arborist</t>
        </is>
      </c>
      <c r="E821" s="122" t="n">
        <v>0.72</v>
      </c>
      <c r="F821" s="122" t="n">
        <v>7</v>
      </c>
      <c r="G821" s="122" t="n">
        <v>5</v>
      </c>
      <c r="I821" s="58">
        <f>IF(B821&lt;&gt;"",B821,"")</f>
        <v/>
      </c>
    </row>
    <row r="822" ht="15.75" customHeight="1" s="146">
      <c r="B822" s="122" t="n"/>
      <c r="C822" s="122" t="inlineStr">
        <is>
          <t>Ryan Wootton</t>
        </is>
      </c>
      <c r="D822" t="inlineStr">
        <is>
          <t>Total</t>
        </is>
      </c>
      <c r="E822" s="122" t="n">
        <v>0.8</v>
      </c>
      <c r="F822" s="122" t="n">
        <v>15</v>
      </c>
      <c r="G822" s="122" t="n">
        <v>12</v>
      </c>
      <c r="H822" s="57" t="n"/>
      <c r="I822" s="58">
        <f>IF(B822&lt;&gt;"",B822,"")</f>
        <v/>
      </c>
    </row>
    <row r="823" ht="15.75" customHeight="1" s="146">
      <c r="C823" s="122" t="n"/>
      <c r="D823" s="122" t="inlineStr">
        <is>
          <t>Customer - Utility Arboriculture</t>
        </is>
      </c>
      <c r="E823" s="122" t="n">
        <v>1</v>
      </c>
      <c r="F823" s="122" t="n">
        <v>4</v>
      </c>
      <c r="G823" s="122" t="n">
        <v>4</v>
      </c>
      <c r="I823" s="58">
        <f>IF(B823&lt;&gt;"",B823,"")</f>
        <v/>
      </c>
    </row>
    <row r="824" ht="15.75" customHeight="1" s="146">
      <c r="D824" s="122" t="inlineStr">
        <is>
          <t>Business Matrix</t>
        </is>
      </c>
      <c r="E824" s="122" t="n">
        <v>0.84</v>
      </c>
      <c r="F824" s="122" t="n">
        <v>6</v>
      </c>
      <c r="G824" s="122" t="n">
        <v>5</v>
      </c>
      <c r="I824" s="58">
        <f>IF(B824&lt;&gt;"",B824,"")</f>
        <v/>
      </c>
    </row>
    <row r="825" ht="15.75" customHeight="1" s="146">
      <c r="D825" s="122" t="inlineStr">
        <is>
          <t>Grounds Person</t>
        </is>
      </c>
      <c r="E825" s="122" t="n">
        <v>0.6</v>
      </c>
      <c r="F825" s="122" t="n">
        <v>5</v>
      </c>
      <c r="G825" s="122" t="n">
        <v>3</v>
      </c>
      <c r="I825" s="58">
        <f>IF(B825&lt;&gt;"",B825,"")</f>
        <v/>
      </c>
    </row>
    <row r="826" ht="15.75" customHeight="1" s="146">
      <c r="C826" t="inlineStr">
        <is>
          <t>Stewart Hobson</t>
        </is>
      </c>
      <c r="D826" s="122" t="inlineStr">
        <is>
          <t>Total</t>
        </is>
      </c>
      <c r="E826" s="122" t="n">
        <v>0.74</v>
      </c>
      <c r="F826" s="122" t="n">
        <v>15</v>
      </c>
      <c r="G826" s="122" t="n">
        <v>11</v>
      </c>
      <c r="I826" s="58">
        <f>IF(B826&lt;&gt;"",B826,"")</f>
        <v/>
      </c>
    </row>
    <row r="827" ht="15.75" customHeight="1" s="146">
      <c r="C827" s="122" t="n"/>
      <c r="D827" s="122" t="inlineStr">
        <is>
          <t>Business Matrix</t>
        </is>
      </c>
      <c r="E827" s="122" t="n">
        <v>1</v>
      </c>
      <c r="F827" s="122" t="n">
        <v>6</v>
      </c>
      <c r="G827" s="122" t="n">
        <v>6</v>
      </c>
      <c r="I827" s="58">
        <f>IF(B827&lt;&gt;"",B827,"")</f>
        <v/>
      </c>
    </row>
    <row r="828" ht="15.75" customHeight="1" s="146">
      <c r="D828" s="122" t="inlineStr">
        <is>
          <t>Grounds Person</t>
        </is>
      </c>
      <c r="E828" s="122" t="n">
        <v>0.8</v>
      </c>
      <c r="F828" s="122" t="n">
        <v>5</v>
      </c>
      <c r="G828" s="122" t="n">
        <v>4</v>
      </c>
      <c r="I828" s="58">
        <f>IF(B828&lt;&gt;"",B828,"")</f>
        <v/>
      </c>
    </row>
    <row r="829" ht="15.75" customHeight="1" s="146">
      <c r="C829" s="122" t="n"/>
      <c r="D829" s="122" t="inlineStr">
        <is>
          <t>Customer - Utility Arboriculture</t>
        </is>
      </c>
      <c r="E829" s="122" t="n">
        <v>0.25</v>
      </c>
      <c r="F829" s="122" t="n">
        <v>4</v>
      </c>
      <c r="G829" s="122" t="n">
        <v>1</v>
      </c>
      <c r="I829" s="58">
        <f>IF(B829&lt;&gt;"",B829,"")</f>
        <v/>
      </c>
    </row>
    <row r="830" ht="15.75" customHeight="1" s="146">
      <c r="C830" t="inlineStr">
        <is>
          <t>Colin Spindley</t>
        </is>
      </c>
      <c r="D830" s="122" t="inlineStr">
        <is>
          <t>Total</t>
        </is>
      </c>
      <c r="E830" s="122" t="n">
        <v>0.67</v>
      </c>
      <c r="F830" s="122" t="n">
        <v>15</v>
      </c>
      <c r="G830" s="122" t="n">
        <v>10</v>
      </c>
      <c r="I830" s="58">
        <f>IF(B830&lt;&gt;"",B830,"")</f>
        <v/>
      </c>
    </row>
    <row r="831" ht="15.75" customHeight="1" s="146">
      <c r="D831" s="122" t="inlineStr">
        <is>
          <t>Business Matrix</t>
        </is>
      </c>
      <c r="E831" s="122" t="n">
        <v>0.84</v>
      </c>
      <c r="F831" s="122" t="n">
        <v>6</v>
      </c>
      <c r="G831" s="122" t="n">
        <v>5</v>
      </c>
      <c r="I831" s="58">
        <f>IF(B831&lt;&gt;"",B831,"")</f>
        <v/>
      </c>
    </row>
    <row r="832" ht="15.75" customHeight="1" s="146">
      <c r="D832" s="122" t="inlineStr">
        <is>
          <t>Grounds Person</t>
        </is>
      </c>
      <c r="E832" s="122" t="n">
        <v>0.8</v>
      </c>
      <c r="F832" s="122" t="n">
        <v>5</v>
      </c>
      <c r="G832" s="122" t="n">
        <v>4</v>
      </c>
      <c r="I832" s="58">
        <f>IF(B832&lt;&gt;"",B832,"")</f>
        <v/>
      </c>
    </row>
    <row r="833" ht="15.75" customHeight="1" s="146">
      <c r="C833" s="122" t="n"/>
      <c r="D833" s="122" t="inlineStr">
        <is>
          <t>Customer - Utility Arboriculture</t>
        </is>
      </c>
      <c r="E833" s="122" t="n">
        <v>0.25</v>
      </c>
      <c r="F833" s="122" t="n">
        <v>4</v>
      </c>
      <c r="G833" s="122" t="n">
        <v>1</v>
      </c>
      <c r="I833" s="58">
        <f>IF(B833&lt;&gt;"",B833,"")</f>
        <v/>
      </c>
    </row>
    <row r="834" ht="15.75" customHeight="1" s="146">
      <c r="C834" t="inlineStr">
        <is>
          <t>Noel Beal</t>
        </is>
      </c>
      <c r="D834" s="122" t="inlineStr">
        <is>
          <t>Total</t>
        </is>
      </c>
      <c r="E834" s="122" t="n">
        <v>0.6</v>
      </c>
      <c r="F834" s="122" t="n">
        <v>15</v>
      </c>
      <c r="G834" s="122" t="n">
        <v>9</v>
      </c>
      <c r="I834" s="58">
        <f>IF(B834&lt;&gt;"",B834,"")</f>
        <v/>
      </c>
    </row>
    <row r="835" ht="15.75" customHeight="1" s="146">
      <c r="D835" s="122" t="inlineStr">
        <is>
          <t>Business Matrix</t>
        </is>
      </c>
      <c r="E835" s="122" t="n">
        <v>0.84</v>
      </c>
      <c r="F835" s="122" t="n">
        <v>6</v>
      </c>
      <c r="G835" s="122" t="n">
        <v>5</v>
      </c>
      <c r="I835" s="58">
        <f>IF(B835&lt;&gt;"",B835,"")</f>
        <v/>
      </c>
    </row>
    <row r="836" ht="15.75" customHeight="1" s="146">
      <c r="D836" s="122" t="inlineStr">
        <is>
          <t>Grounds Person</t>
        </is>
      </c>
      <c r="E836" s="122" t="n">
        <v>0.6</v>
      </c>
      <c r="F836" s="122" t="n">
        <v>5</v>
      </c>
      <c r="G836" s="122" t="n">
        <v>3</v>
      </c>
      <c r="I836" s="58">
        <f>IF(B836&lt;&gt;"",B836,"")</f>
        <v/>
      </c>
    </row>
    <row r="837" ht="15.75" customHeight="1" s="146">
      <c r="C837" s="122" t="n"/>
      <c r="D837" s="122" t="inlineStr">
        <is>
          <t>Customer - Utility Arboriculture</t>
        </is>
      </c>
      <c r="E837" s="122" t="n">
        <v>0.25</v>
      </c>
      <c r="F837" s="122" t="n">
        <v>4</v>
      </c>
      <c r="G837" s="122" t="n">
        <v>1</v>
      </c>
      <c r="I837" s="58">
        <f>IF(B837&lt;&gt;"",B837,"")</f>
        <v/>
      </c>
    </row>
    <row r="838" ht="15.75" customHeight="1" s="146">
      <c r="C838" t="inlineStr">
        <is>
          <t>Shaun Alan Harvey</t>
        </is>
      </c>
      <c r="D838" s="122" t="inlineStr">
        <is>
          <t>Total</t>
        </is>
      </c>
      <c r="E838" s="122" t="n">
        <v>0.6</v>
      </c>
      <c r="F838" s="122" t="n">
        <v>15</v>
      </c>
      <c r="G838" s="122" t="n">
        <v>9</v>
      </c>
      <c r="I838" s="58">
        <f>IF(B838&lt;&gt;"",B838,"")</f>
        <v/>
      </c>
    </row>
    <row r="839" ht="15.75" customHeight="1" s="146">
      <c r="D839" s="122" t="inlineStr">
        <is>
          <t>Business Matrix</t>
        </is>
      </c>
      <c r="E839" s="122" t="n">
        <v>1</v>
      </c>
      <c r="F839" s="122" t="n">
        <v>6</v>
      </c>
      <c r="G839" s="122" t="n">
        <v>6</v>
      </c>
      <c r="I839" s="58">
        <f>IF(B839&lt;&gt;"",B839,"")</f>
        <v/>
      </c>
    </row>
    <row r="840" ht="15.75" customHeight="1" s="146">
      <c r="D840" s="122" t="inlineStr">
        <is>
          <t>Grounds Person</t>
        </is>
      </c>
      <c r="E840" s="122" t="n">
        <v>0.4</v>
      </c>
      <c r="F840" s="122" t="n">
        <v>5</v>
      </c>
      <c r="G840" s="122" t="n">
        <v>2</v>
      </c>
      <c r="I840" s="58">
        <f>IF(B840&lt;&gt;"",B840,"")</f>
        <v/>
      </c>
    </row>
    <row r="841" ht="15.75" customHeight="1" s="146">
      <c r="C841" s="122" t="n"/>
      <c r="D841" s="122" t="inlineStr">
        <is>
          <t>Customer - Utility Arboriculture</t>
        </is>
      </c>
      <c r="E841" s="122" t="n">
        <v>0.25</v>
      </c>
      <c r="F841" s="122" t="n">
        <v>4</v>
      </c>
      <c r="G841" s="122" t="n">
        <v>1</v>
      </c>
      <c r="I841" s="58">
        <f>IF(B841&lt;&gt;"",B841,"")</f>
        <v/>
      </c>
    </row>
    <row r="842" ht="15.75" customHeight="1" s="146">
      <c r="C842" t="inlineStr">
        <is>
          <t>Max Pursey</t>
        </is>
      </c>
      <c r="D842" s="122" t="inlineStr">
        <is>
          <t>Total</t>
        </is>
      </c>
      <c r="E842" s="122" t="n">
        <v>0.47</v>
      </c>
      <c r="F842" s="122" t="n">
        <v>15</v>
      </c>
      <c r="G842" s="122" t="n">
        <v>7</v>
      </c>
      <c r="I842" s="58">
        <f>IF(B842&lt;&gt;"",B842,"")</f>
        <v/>
      </c>
    </row>
    <row r="843" ht="15.75" customHeight="1" s="146">
      <c r="D843" s="122" t="inlineStr">
        <is>
          <t>Business Matrix</t>
        </is>
      </c>
      <c r="E843" s="122" t="n">
        <v>1</v>
      </c>
      <c r="F843" s="122" t="n">
        <v>6</v>
      </c>
      <c r="G843" s="122" t="n">
        <v>6</v>
      </c>
      <c r="I843" s="58">
        <f>IF(B843&lt;&gt;"",B843,"")</f>
        <v/>
      </c>
    </row>
    <row r="844" ht="15.75" customHeight="1" s="146">
      <c r="D844" s="122" t="inlineStr">
        <is>
          <t>Grounds Person</t>
        </is>
      </c>
      <c r="E844" s="122" t="n">
        <v>0.2</v>
      </c>
      <c r="F844" s="122" t="n">
        <v>5</v>
      </c>
      <c r="G844" s="122" t="n">
        <v>1</v>
      </c>
      <c r="I844" s="58">
        <f>IF(B844&lt;&gt;"",B844,"")</f>
        <v/>
      </c>
    </row>
    <row r="845" ht="15.75" customHeight="1" s="146">
      <c r="C845" s="122" t="n"/>
      <c r="D845" s="122" t="inlineStr">
        <is>
          <t>Customer - Utility Arboriculture</t>
        </is>
      </c>
      <c r="E845" s="122" t="n">
        <v>0</v>
      </c>
      <c r="F845" s="122" t="n">
        <v>4</v>
      </c>
      <c r="G845" s="122" t="n">
        <v>0</v>
      </c>
      <c r="I845" s="58">
        <f>IF(B845&lt;&gt;"",B845,"")</f>
        <v/>
      </c>
    </row>
    <row r="846" ht="15.75" customHeight="1" s="146">
      <c r="B846" t="inlineStr">
        <is>
          <t>ACME Arb Ltd (Pend Arb Utility)</t>
        </is>
      </c>
      <c r="C846" t="inlineStr">
        <is>
          <t>Total</t>
        </is>
      </c>
      <c r="D846" s="122" t="n"/>
      <c r="E846" s="122" t="n">
        <v>0.7</v>
      </c>
      <c r="F846" s="122" t="n">
        <v>140</v>
      </c>
      <c r="G846" s="122" t="n">
        <v>97</v>
      </c>
      <c r="H846" s="189" t="n">
        <v>44202</v>
      </c>
      <c r="I846" s="58">
        <f>IF(B846&lt;&gt;"",B846,"")</f>
        <v/>
      </c>
    </row>
    <row r="847" ht="15.75" customHeight="1" s="146">
      <c r="C847" t="inlineStr">
        <is>
          <t>Duncan McGregor-Riley</t>
        </is>
      </c>
      <c r="D847" s="122" t="inlineStr">
        <is>
          <t>Total</t>
        </is>
      </c>
      <c r="E847" s="122" t="n">
        <v>0.89</v>
      </c>
      <c r="F847" s="122" t="n">
        <v>17</v>
      </c>
      <c r="G847" s="122" t="n">
        <v>15</v>
      </c>
      <c r="I847" s="58">
        <f>IF(B847&lt;&gt;"",B847,"")</f>
        <v/>
      </c>
    </row>
    <row r="848" ht="15.75" customHeight="1" s="146">
      <c r="D848" s="122" t="inlineStr">
        <is>
          <t>Arborist</t>
        </is>
      </c>
      <c r="E848" s="122" t="n">
        <v>1</v>
      </c>
      <c r="F848" s="122" t="n">
        <v>7</v>
      </c>
      <c r="G848" s="122" t="n">
        <v>7</v>
      </c>
      <c r="I848" s="58">
        <f>IF(B848&lt;&gt;"",B848,"")</f>
        <v/>
      </c>
    </row>
    <row r="849" ht="15.75" customHeight="1" s="146">
      <c r="B849" s="122" t="n"/>
      <c r="C849" s="122" t="n"/>
      <c r="D849" t="inlineStr">
        <is>
          <t>Business Matrix</t>
        </is>
      </c>
      <c r="E849" s="122" t="n">
        <v>1</v>
      </c>
      <c r="F849" s="122" t="n">
        <v>6</v>
      </c>
      <c r="G849" s="122" t="n">
        <v>6</v>
      </c>
      <c r="H849" s="57" t="n"/>
      <c r="I849" s="58">
        <f>IF(B849&lt;&gt;"",B849,"")</f>
        <v/>
      </c>
    </row>
    <row r="850" ht="15.75" customHeight="1" s="146">
      <c r="C850" s="122" t="n"/>
      <c r="D850" s="122" t="inlineStr">
        <is>
          <t>Customer - Utility Arboriculture</t>
        </is>
      </c>
      <c r="E850" s="122" t="n">
        <v>0.5</v>
      </c>
      <c r="F850" s="122" t="n">
        <v>4</v>
      </c>
      <c r="G850" s="122" t="n">
        <v>2</v>
      </c>
      <c r="I850" s="58">
        <f>IF(B850&lt;&gt;"",B850,"")</f>
        <v/>
      </c>
    </row>
    <row r="851" ht="15.75" customHeight="1" s="146">
      <c r="C851" t="inlineStr">
        <is>
          <t>Jamie O'Brien</t>
        </is>
      </c>
      <c r="D851" s="122" t="inlineStr">
        <is>
          <t>Total</t>
        </is>
      </c>
      <c r="E851" s="122" t="n">
        <v>0.83</v>
      </c>
      <c r="F851" s="122" t="n">
        <v>17</v>
      </c>
      <c r="G851" s="122" t="n">
        <v>14</v>
      </c>
      <c r="I851" s="58">
        <f>IF(B851&lt;&gt;"",B851,"")</f>
        <v/>
      </c>
    </row>
    <row r="852" ht="15.75" customHeight="1" s="146">
      <c r="D852" s="122" t="inlineStr">
        <is>
          <t>Business Matrix</t>
        </is>
      </c>
      <c r="E852" s="122" t="n">
        <v>1</v>
      </c>
      <c r="F852" s="122" t="n">
        <v>6</v>
      </c>
      <c r="G852" s="122" t="n">
        <v>6</v>
      </c>
      <c r="I852" s="58">
        <f>IF(B852&lt;&gt;"",B852,"")</f>
        <v/>
      </c>
    </row>
    <row r="853" ht="15.75" customHeight="1" s="146">
      <c r="D853" s="122" t="inlineStr">
        <is>
          <t>Arborist</t>
        </is>
      </c>
      <c r="E853" s="122" t="n">
        <v>0.86</v>
      </c>
      <c r="F853" s="122" t="n">
        <v>7</v>
      </c>
      <c r="G853" s="122" t="n">
        <v>6</v>
      </c>
      <c r="I853" s="58">
        <f>IF(B853&lt;&gt;"",B853,"")</f>
        <v/>
      </c>
    </row>
    <row r="854" ht="15.75" customHeight="1" s="146">
      <c r="C854" s="122" t="n"/>
      <c r="D854" s="122" t="inlineStr">
        <is>
          <t>Customer - Utility Arboriculture</t>
        </is>
      </c>
      <c r="E854" s="122" t="n">
        <v>0.5</v>
      </c>
      <c r="F854" s="122" t="n">
        <v>4</v>
      </c>
      <c r="G854" s="122" t="n">
        <v>2</v>
      </c>
      <c r="I854" s="58">
        <f>IF(B854&lt;&gt;"",B854,"")</f>
        <v/>
      </c>
    </row>
    <row r="855" ht="15.75" customHeight="1" s="146">
      <c r="C855" t="inlineStr">
        <is>
          <t>William Harling</t>
        </is>
      </c>
      <c r="D855" s="122" t="inlineStr">
        <is>
          <t>Total</t>
        </is>
      </c>
      <c r="E855" s="122" t="n">
        <v>0.83</v>
      </c>
      <c r="F855" s="122" t="n">
        <v>17</v>
      </c>
      <c r="G855" s="122" t="n">
        <v>14</v>
      </c>
      <c r="I855" s="58">
        <f>IF(B855&lt;&gt;"",B855,"")</f>
        <v/>
      </c>
    </row>
    <row r="856" ht="15.75" customHeight="1" s="146">
      <c r="D856" s="122" t="inlineStr">
        <is>
          <t>Business Matrix</t>
        </is>
      </c>
      <c r="E856" s="122" t="n">
        <v>1</v>
      </c>
      <c r="F856" s="122" t="n">
        <v>6</v>
      </c>
      <c r="G856" s="122" t="n">
        <v>6</v>
      </c>
      <c r="I856" s="58">
        <f>IF(B856&lt;&gt;"",B856,"")</f>
        <v/>
      </c>
    </row>
    <row r="857" ht="15.75" customHeight="1" s="146">
      <c r="D857" s="122" t="inlineStr">
        <is>
          <t>Arborist</t>
        </is>
      </c>
      <c r="E857" s="122" t="n">
        <v>0.86</v>
      </c>
      <c r="F857" s="122" t="n">
        <v>7</v>
      </c>
      <c r="G857" s="122" t="n">
        <v>6</v>
      </c>
      <c r="I857" s="58">
        <f>IF(B857&lt;&gt;"",B857,"")</f>
        <v/>
      </c>
    </row>
    <row r="858" ht="15.75" customHeight="1" s="146">
      <c r="C858" s="122" t="n"/>
      <c r="D858" s="122" t="inlineStr">
        <is>
          <t>Customer - Utility Arboriculture</t>
        </is>
      </c>
      <c r="E858" s="122" t="n">
        <v>0.5</v>
      </c>
      <c r="F858" s="122" t="n">
        <v>4</v>
      </c>
      <c r="G858" s="122" t="n">
        <v>2</v>
      </c>
      <c r="I858" s="58">
        <f>IF(B858&lt;&gt;"",B858,"")</f>
        <v/>
      </c>
    </row>
    <row r="859" ht="15.75" customHeight="1" s="146">
      <c r="C859" t="inlineStr">
        <is>
          <t>Arthur Doyle</t>
        </is>
      </c>
      <c r="D859" s="122" t="inlineStr">
        <is>
          <t>Total</t>
        </is>
      </c>
      <c r="E859" s="122" t="n">
        <v>0.71</v>
      </c>
      <c r="F859" s="122" t="n">
        <v>17</v>
      </c>
      <c r="G859" s="122" t="n">
        <v>12</v>
      </c>
      <c r="I859" s="58">
        <f>IF(B859&lt;&gt;"",B859,"")</f>
        <v/>
      </c>
    </row>
    <row r="860" ht="15.75" customHeight="1" s="146">
      <c r="D860" s="122" t="inlineStr">
        <is>
          <t>Arborist</t>
        </is>
      </c>
      <c r="E860" s="122" t="n">
        <v>0.86</v>
      </c>
      <c r="F860" s="122" t="n">
        <v>7</v>
      </c>
      <c r="G860" s="122" t="n">
        <v>6</v>
      </c>
      <c r="I860" s="58">
        <f>IF(B860&lt;&gt;"",B860,"")</f>
        <v/>
      </c>
    </row>
    <row r="861" ht="15.75" customHeight="1" s="146">
      <c r="D861" s="122" t="inlineStr">
        <is>
          <t>Business Matrix</t>
        </is>
      </c>
      <c r="E861" s="122" t="n">
        <v>0.84</v>
      </c>
      <c r="F861" s="122" t="n">
        <v>6</v>
      </c>
      <c r="G861" s="122" t="n">
        <v>5</v>
      </c>
      <c r="I861" s="58">
        <f>IF(B861&lt;&gt;"",B861,"")</f>
        <v/>
      </c>
    </row>
    <row r="862" ht="15.75" customHeight="1" s="146">
      <c r="C862" s="122" t="n"/>
      <c r="D862" s="122" t="inlineStr">
        <is>
          <t>Customer - Utility Arboriculture</t>
        </is>
      </c>
      <c r="E862" s="122" t="n">
        <v>0.25</v>
      </c>
      <c r="F862" s="122" t="n">
        <v>4</v>
      </c>
      <c r="G862" s="122" t="n">
        <v>1</v>
      </c>
      <c r="I862" s="58">
        <f>IF(B862&lt;&gt;"",B862,"")</f>
        <v/>
      </c>
    </row>
    <row r="863" ht="15.75" customHeight="1" s="146">
      <c r="C863" t="inlineStr">
        <is>
          <t>Glen Castledine</t>
        </is>
      </c>
      <c r="D863" s="122" t="inlineStr">
        <is>
          <t>Total</t>
        </is>
      </c>
      <c r="E863" s="122" t="n">
        <v>0.71</v>
      </c>
      <c r="F863" s="122" t="n">
        <v>17</v>
      </c>
      <c r="G863" s="122" t="n">
        <v>12</v>
      </c>
      <c r="I863" s="58">
        <f>IF(B863&lt;&gt;"",B863,"")</f>
        <v/>
      </c>
    </row>
    <row r="864" ht="15.75" customHeight="1" s="146">
      <c r="D864" s="122" t="inlineStr">
        <is>
          <t>Customer - Utility Arboriculture</t>
        </is>
      </c>
      <c r="E864" s="122" t="n">
        <v>1</v>
      </c>
      <c r="F864" s="122" t="n">
        <v>4</v>
      </c>
      <c r="G864" s="122" t="n">
        <v>4</v>
      </c>
      <c r="I864" s="58">
        <f>IF(B864&lt;&gt;"",B864,"")</f>
        <v/>
      </c>
    </row>
    <row r="865" ht="15.75" customHeight="1" s="146">
      <c r="D865" s="122" t="inlineStr">
        <is>
          <t>Business Matrix</t>
        </is>
      </c>
      <c r="E865" s="122" t="n">
        <v>0.67</v>
      </c>
      <c r="F865" s="122" t="n">
        <v>6</v>
      </c>
      <c r="G865" s="122" t="n">
        <v>4</v>
      </c>
      <c r="I865" s="58">
        <f>IF(B865&lt;&gt;"",B865,"")</f>
        <v/>
      </c>
    </row>
    <row r="866" ht="15.75" customHeight="1" s="146">
      <c r="C866" s="122" t="n"/>
      <c r="D866" s="122" t="inlineStr">
        <is>
          <t>Arborist</t>
        </is>
      </c>
      <c r="E866" s="122" t="n">
        <v>0.58</v>
      </c>
      <c r="F866" s="122" t="n">
        <v>7</v>
      </c>
      <c r="G866" s="122" t="n">
        <v>4</v>
      </c>
      <c r="I866" s="58">
        <f>IF(B866&lt;&gt;"",B866,"")</f>
        <v/>
      </c>
    </row>
    <row r="867" ht="15.75" customHeight="1" s="146">
      <c r="C867" t="inlineStr">
        <is>
          <t>Sam Hirschmann</t>
        </is>
      </c>
      <c r="D867" s="122" t="inlineStr">
        <is>
          <t>Total</t>
        </is>
      </c>
      <c r="E867" s="122" t="n">
        <v>0.65</v>
      </c>
      <c r="F867" s="122" t="n">
        <v>17</v>
      </c>
      <c r="G867" s="122" t="n">
        <v>11</v>
      </c>
      <c r="I867" s="58">
        <f>IF(B867&lt;&gt;"",B867,"")</f>
        <v/>
      </c>
    </row>
    <row r="868" ht="15.75" customHeight="1" s="146">
      <c r="D868" s="122" t="inlineStr">
        <is>
          <t>Arborist</t>
        </is>
      </c>
      <c r="E868" s="122" t="n">
        <v>0.72</v>
      </c>
      <c r="F868" s="122" t="n">
        <v>7</v>
      </c>
      <c r="G868" s="122" t="n">
        <v>5</v>
      </c>
      <c r="I868" s="58">
        <f>IF(B868&lt;&gt;"",B868,"")</f>
        <v/>
      </c>
    </row>
    <row r="869" ht="15.75" customHeight="1" s="146">
      <c r="D869" s="122" t="inlineStr">
        <is>
          <t>Business Matrix</t>
        </is>
      </c>
      <c r="E869" s="122" t="n">
        <v>0.67</v>
      </c>
      <c r="F869" s="122" t="n">
        <v>6</v>
      </c>
      <c r="G869" s="122" t="n">
        <v>4</v>
      </c>
      <c r="I869" s="58">
        <f>IF(B869&lt;&gt;"",B869,"")</f>
        <v/>
      </c>
    </row>
    <row r="870" ht="15.75" customHeight="1" s="146">
      <c r="C870" s="122" t="n"/>
      <c r="D870" s="122" t="inlineStr">
        <is>
          <t>Customer - Utility Arboriculture</t>
        </is>
      </c>
      <c r="E870" s="122" t="n">
        <v>0.5</v>
      </c>
      <c r="F870" s="122" t="n">
        <v>4</v>
      </c>
      <c r="G870" s="122" t="n">
        <v>2</v>
      </c>
      <c r="I870" s="58">
        <f>IF(B870&lt;&gt;"",B870,"")</f>
        <v/>
      </c>
    </row>
    <row r="871" ht="15.75" customHeight="1" s="146">
      <c r="C871" t="inlineStr">
        <is>
          <t>Chris Tingle</t>
        </is>
      </c>
      <c r="D871" s="122" t="inlineStr">
        <is>
          <t>Total</t>
        </is>
      </c>
      <c r="E871" s="122" t="n">
        <v>0.53</v>
      </c>
      <c r="F871" s="122" t="n">
        <v>17</v>
      </c>
      <c r="G871" s="122" t="n">
        <v>9</v>
      </c>
      <c r="I871" s="58">
        <f>IF(B871&lt;&gt;"",B871,"")</f>
        <v/>
      </c>
    </row>
    <row r="872" ht="15.75" customHeight="1" s="146">
      <c r="D872" s="122" t="inlineStr">
        <is>
          <t>Customer - Utility Arboriculture</t>
        </is>
      </c>
      <c r="E872" s="122" t="n">
        <v>1</v>
      </c>
      <c r="F872" s="122" t="n">
        <v>4</v>
      </c>
      <c r="G872" s="122" t="n">
        <v>4</v>
      </c>
      <c r="I872" s="58">
        <f>IF(B872&lt;&gt;"",B872,"")</f>
        <v/>
      </c>
    </row>
    <row r="873" ht="15.75" customHeight="1" s="146">
      <c r="D873" s="122" t="inlineStr">
        <is>
          <t>Arborist</t>
        </is>
      </c>
      <c r="E873" s="122" t="n">
        <v>0.58</v>
      </c>
      <c r="F873" s="122" t="n">
        <v>7</v>
      </c>
      <c r="G873" s="122" t="n">
        <v>4</v>
      </c>
      <c r="I873" s="58">
        <f>IF(B873&lt;&gt;"",B873,"")</f>
        <v/>
      </c>
    </row>
    <row r="874" ht="15.75" customHeight="1" s="146">
      <c r="C874" s="122" t="n"/>
      <c r="D874" s="122" t="inlineStr">
        <is>
          <t>Business Matrix</t>
        </is>
      </c>
      <c r="E874" s="122" t="n">
        <v>0.17</v>
      </c>
      <c r="F874" s="122" t="n">
        <v>6</v>
      </c>
      <c r="G874" s="122" t="n">
        <v>1</v>
      </c>
      <c r="I874" s="58">
        <f>IF(B874&lt;&gt;"",B874,"")</f>
        <v/>
      </c>
    </row>
    <row r="875" ht="15.75" customHeight="1" s="146">
      <c r="C875" t="inlineStr">
        <is>
          <t>ACME Arb Ltd (Pend Arb Utility)</t>
        </is>
      </c>
      <c r="D875" s="122" t="inlineStr">
        <is>
          <t>Total</t>
        </is>
      </c>
      <c r="E875" s="122" t="n">
        <v>0.5</v>
      </c>
      <c r="F875" s="122" t="n">
        <v>4</v>
      </c>
      <c r="G875" s="122" t="n">
        <v>2</v>
      </c>
      <c r="I875" s="58">
        <f>IF(B875&lt;&gt;"",B875,"")</f>
        <v/>
      </c>
    </row>
    <row r="876" ht="15.75" customHeight="1" s="146">
      <c r="B876" s="122" t="n"/>
      <c r="C876" s="122" t="n"/>
      <c r="D876" t="inlineStr">
        <is>
          <t>Team Matrix</t>
        </is>
      </c>
      <c r="E876" s="122" t="n">
        <v>0.5</v>
      </c>
      <c r="F876" s="122" t="n">
        <v>4</v>
      </c>
      <c r="G876" s="122" t="n">
        <v>2</v>
      </c>
      <c r="H876" s="57" t="n"/>
      <c r="I876" s="58">
        <f>IF(B876&lt;&gt;"",B876,"")</f>
        <v/>
      </c>
    </row>
    <row r="877" ht="15.75" customHeight="1" s="146">
      <c r="C877" s="122" t="inlineStr">
        <is>
          <t>Jon Payne</t>
        </is>
      </c>
      <c r="D877" s="122" t="inlineStr">
        <is>
          <t>Total</t>
        </is>
      </c>
      <c r="E877" s="122" t="n">
        <v>0.48</v>
      </c>
      <c r="F877" s="122" t="n">
        <v>17</v>
      </c>
      <c r="G877" s="122" t="n">
        <v>8</v>
      </c>
      <c r="I877" s="58">
        <f>IF(B877&lt;&gt;"",B877,"")</f>
        <v/>
      </c>
    </row>
    <row r="878" ht="15.75" customHeight="1" s="146">
      <c r="D878" s="122" t="inlineStr">
        <is>
          <t>Arborist</t>
        </is>
      </c>
      <c r="E878" s="122" t="n">
        <v>0.86</v>
      </c>
      <c r="F878" s="122" t="n">
        <v>7</v>
      </c>
      <c r="G878" s="122" t="n">
        <v>6</v>
      </c>
      <c r="I878" s="58">
        <f>IF(B878&lt;&gt;"",B878,"")</f>
        <v/>
      </c>
    </row>
    <row r="879" ht="15.75" customHeight="1" s="146">
      <c r="D879" s="122" t="inlineStr">
        <is>
          <t>Customer - Utility Arboriculture</t>
        </is>
      </c>
      <c r="E879" s="122" t="n">
        <v>0.25</v>
      </c>
      <c r="F879" s="122" t="n">
        <v>4</v>
      </c>
      <c r="G879" s="122" t="n">
        <v>1</v>
      </c>
      <c r="I879" s="58">
        <f>IF(B879&lt;&gt;"",B879,"")</f>
        <v/>
      </c>
    </row>
    <row r="880" ht="15.75" customHeight="1" s="146">
      <c r="D880" s="122" t="inlineStr">
        <is>
          <t>Business Matrix</t>
        </is>
      </c>
      <c r="E880" s="122" t="n">
        <v>0.17</v>
      </c>
      <c r="F880" s="122" t="n">
        <v>6</v>
      </c>
      <c r="G880" s="122" t="n">
        <v>1</v>
      </c>
      <c r="I880" s="58">
        <f>IF(B880&lt;&gt;"",B880,"")</f>
        <v/>
      </c>
    </row>
    <row r="881" ht="15.75" customHeight="1" s="146">
      <c r="B881" t="inlineStr">
        <is>
          <t>Mmtreescape Tree Services Ltd</t>
        </is>
      </c>
      <c r="C881" s="122" t="inlineStr">
        <is>
          <t>Total</t>
        </is>
      </c>
      <c r="D881" s="122" t="n"/>
      <c r="E881" s="122" t="n">
        <v>0.7</v>
      </c>
      <c r="F881" s="122" t="n">
        <v>98</v>
      </c>
      <c r="G881" s="122" t="n">
        <v>68</v>
      </c>
      <c r="H881" s="189" t="n">
        <v>44753</v>
      </c>
      <c r="I881" s="58">
        <f>IF(B881&lt;&gt;"",B881,"")</f>
        <v/>
      </c>
    </row>
    <row r="882" ht="15.75" customHeight="1" s="146">
      <c r="C882" t="inlineStr">
        <is>
          <t>Michael Stacey</t>
        </is>
      </c>
      <c r="D882" s="122" t="inlineStr">
        <is>
          <t>Total</t>
        </is>
      </c>
      <c r="E882" s="122" t="n">
        <v>1</v>
      </c>
      <c r="F882" s="122" t="n">
        <v>17</v>
      </c>
      <c r="G882" s="122" t="n">
        <v>17</v>
      </c>
      <c r="I882" s="58">
        <f>IF(B882&lt;&gt;"",B882,"")</f>
        <v/>
      </c>
    </row>
    <row r="883" ht="15.75" customHeight="1" s="146">
      <c r="D883" s="122" t="inlineStr">
        <is>
          <t>Arborist</t>
        </is>
      </c>
      <c r="E883" s="122" t="n">
        <v>1</v>
      </c>
      <c r="F883" s="122" t="n">
        <v>7</v>
      </c>
      <c r="G883" s="122" t="n">
        <v>7</v>
      </c>
      <c r="I883" s="58">
        <f>IF(B883&lt;&gt;"",B883,"")</f>
        <v/>
      </c>
    </row>
    <row r="884" ht="15.75" customHeight="1" s="146">
      <c r="D884" s="122" t="inlineStr">
        <is>
          <t>Business Matrix</t>
        </is>
      </c>
      <c r="E884" s="122" t="n">
        <v>1</v>
      </c>
      <c r="F884" s="122" t="n">
        <v>6</v>
      </c>
      <c r="G884" s="122" t="n">
        <v>6</v>
      </c>
      <c r="I884" s="58">
        <f>IF(B884&lt;&gt;"",B884,"")</f>
        <v/>
      </c>
    </row>
    <row r="885" ht="15.75" customHeight="1" s="146">
      <c r="C885" s="122" t="n"/>
      <c r="D885" s="122" t="inlineStr">
        <is>
          <t>Customer - Utility Arboriculture</t>
        </is>
      </c>
      <c r="E885" s="122" t="n">
        <v>1</v>
      </c>
      <c r="F885" s="122" t="n">
        <v>4</v>
      </c>
      <c r="G885" s="122" t="n">
        <v>4</v>
      </c>
      <c r="I885" s="58">
        <f>IF(B885&lt;&gt;"",B885,"")</f>
        <v/>
      </c>
    </row>
    <row r="886" ht="15.75" customHeight="1" s="146">
      <c r="C886" t="inlineStr">
        <is>
          <t>Mmtreescape Tree Services Ltd</t>
        </is>
      </c>
      <c r="D886" s="122" t="inlineStr">
        <is>
          <t>Total</t>
        </is>
      </c>
      <c r="E886" s="122" t="n">
        <v>1</v>
      </c>
      <c r="F886" s="122" t="n">
        <v>4</v>
      </c>
      <c r="G886" s="122" t="n">
        <v>4</v>
      </c>
      <c r="I886" s="58">
        <f>IF(B886&lt;&gt;"",B886,"")</f>
        <v/>
      </c>
    </row>
    <row r="887" ht="15.75" customHeight="1" s="146">
      <c r="B887" s="122" t="n"/>
      <c r="C887" s="122" t="n"/>
      <c r="D887" t="inlineStr">
        <is>
          <t>Team Matrix</t>
        </is>
      </c>
      <c r="E887" s="122" t="n">
        <v>1</v>
      </c>
      <c r="F887" s="122" t="n">
        <v>4</v>
      </c>
      <c r="G887" s="122" t="n">
        <v>4</v>
      </c>
      <c r="H887" s="57" t="n"/>
      <c r="I887" s="58">
        <f>IF(B887&lt;&gt;"",B887,"")</f>
        <v/>
      </c>
    </row>
    <row r="888" ht="15.75" customHeight="1" s="146">
      <c r="C888" s="122" t="inlineStr">
        <is>
          <t>Mark Morris</t>
        </is>
      </c>
      <c r="D888" s="122" t="inlineStr">
        <is>
          <t>Total</t>
        </is>
      </c>
      <c r="E888" s="122" t="n">
        <v>0.95</v>
      </c>
      <c r="F888" s="122" t="n">
        <v>17</v>
      </c>
      <c r="G888" s="122" t="n">
        <v>16</v>
      </c>
      <c r="I888" s="58">
        <f>IF(B888&lt;&gt;"",B888,"")</f>
        <v/>
      </c>
    </row>
    <row r="889" ht="15.75" customHeight="1" s="146">
      <c r="D889" s="122" t="inlineStr">
        <is>
          <t>Arborist</t>
        </is>
      </c>
      <c r="E889" s="122" t="n">
        <v>1</v>
      </c>
      <c r="F889" s="122" t="n">
        <v>7</v>
      </c>
      <c r="G889" s="122" t="n">
        <v>7</v>
      </c>
      <c r="I889" s="58">
        <f>IF(B889&lt;&gt;"",B889,"")</f>
        <v/>
      </c>
    </row>
    <row r="890" ht="15.75" customHeight="1" s="146">
      <c r="D890" s="122" t="inlineStr">
        <is>
          <t>Customer - Utility Arboriculture</t>
        </is>
      </c>
      <c r="E890" s="122" t="n">
        <v>1</v>
      </c>
      <c r="F890" s="122" t="n">
        <v>4</v>
      </c>
      <c r="G890" s="122" t="n">
        <v>4</v>
      </c>
      <c r="I890" s="58">
        <f>IF(B890&lt;&gt;"",B890,"")</f>
        <v/>
      </c>
    </row>
    <row r="891" ht="15.75" customHeight="1" s="146">
      <c r="D891" s="122" t="inlineStr">
        <is>
          <t>Business Matrix</t>
        </is>
      </c>
      <c r="E891" s="122" t="n">
        <v>0.84</v>
      </c>
      <c r="F891" s="122" t="n">
        <v>6</v>
      </c>
      <c r="G891" s="122" t="n">
        <v>5</v>
      </c>
      <c r="I891" s="58">
        <f>IF(B891&lt;&gt;"",B891,"")</f>
        <v/>
      </c>
    </row>
    <row r="892" ht="15.75" customHeight="1" s="146">
      <c r="C892" s="122" t="inlineStr">
        <is>
          <t>Matthew Clark</t>
        </is>
      </c>
      <c r="D892" s="122" t="inlineStr">
        <is>
          <t>Total</t>
        </is>
      </c>
      <c r="E892" s="122" t="n">
        <v>0.8</v>
      </c>
      <c r="F892" s="122" t="n">
        <v>15</v>
      </c>
      <c r="G892" s="122" t="n">
        <v>12</v>
      </c>
      <c r="I892" s="58">
        <f>IF(B892&lt;&gt;"",B892,"")</f>
        <v/>
      </c>
    </row>
    <row r="893" ht="15.75" customHeight="1" s="146">
      <c r="D893" s="122" t="inlineStr">
        <is>
          <t>Grounds Person</t>
        </is>
      </c>
      <c r="E893" s="122" t="n">
        <v>1</v>
      </c>
      <c r="F893" s="122" t="n">
        <v>5</v>
      </c>
      <c r="G893" s="122" t="n">
        <v>5</v>
      </c>
      <c r="I893" s="58">
        <f>IF(B893&lt;&gt;"",B893,"")</f>
        <v/>
      </c>
    </row>
    <row r="894" ht="15.75" customHeight="1" s="146">
      <c r="D894" s="122" t="inlineStr">
        <is>
          <t>Customer - Utility Arboriculture</t>
        </is>
      </c>
      <c r="E894" s="122" t="n">
        <v>0.75</v>
      </c>
      <c r="F894" s="122" t="n">
        <v>4</v>
      </c>
      <c r="G894" s="122" t="n">
        <v>3</v>
      </c>
      <c r="I894" s="58">
        <f>IF(B894&lt;&gt;"",B894,"")</f>
        <v/>
      </c>
    </row>
    <row r="895" ht="15.75" customHeight="1" s="146">
      <c r="D895" s="122" t="inlineStr">
        <is>
          <t>Business Matrix</t>
        </is>
      </c>
      <c r="E895" s="122" t="n">
        <v>0.67</v>
      </c>
      <c r="F895" s="122" t="n">
        <v>6</v>
      </c>
      <c r="G895" s="122" t="n">
        <v>4</v>
      </c>
      <c r="I895" s="58">
        <f>IF(B895&lt;&gt;"",B895,"")</f>
        <v/>
      </c>
    </row>
    <row r="896" ht="15.75" customHeight="1" s="146">
      <c r="C896" s="122" t="inlineStr">
        <is>
          <t>Joshua Morris</t>
        </is>
      </c>
      <c r="D896" s="122" t="inlineStr">
        <is>
          <t>Total</t>
        </is>
      </c>
      <c r="E896" s="122" t="n">
        <v>0.6</v>
      </c>
      <c r="F896" s="122" t="n">
        <v>15</v>
      </c>
      <c r="G896" s="122" t="n">
        <v>9</v>
      </c>
      <c r="I896" s="58">
        <f>IF(B896&lt;&gt;"",B896,"")</f>
        <v/>
      </c>
    </row>
    <row r="897" ht="15.75" customHeight="1" s="146">
      <c r="D897" s="122" t="inlineStr">
        <is>
          <t>Business Matrix</t>
        </is>
      </c>
      <c r="E897" s="122" t="n">
        <v>1</v>
      </c>
      <c r="F897" s="122" t="n">
        <v>6</v>
      </c>
      <c r="G897" s="122" t="n">
        <v>6</v>
      </c>
      <c r="I897" s="58">
        <f>IF(B897&lt;&gt;"",B897,"")</f>
        <v/>
      </c>
    </row>
    <row r="898" ht="15.75" customHeight="1" s="146">
      <c r="B898" s="122" t="n"/>
      <c r="C898" s="122" t="n"/>
      <c r="D898" t="inlineStr">
        <is>
          <t>Grounds Person</t>
        </is>
      </c>
      <c r="E898" s="122" t="n">
        <v>0.4</v>
      </c>
      <c r="F898" s="122" t="n">
        <v>5</v>
      </c>
      <c r="G898" s="122" t="n">
        <v>2</v>
      </c>
      <c r="H898" s="57" t="n"/>
      <c r="I898" s="58">
        <f>IF(B898&lt;&gt;"",B898,"")</f>
        <v/>
      </c>
    </row>
    <row r="899" ht="15.75" customHeight="1" s="146">
      <c r="C899" s="122" t="n"/>
      <c r="D899" s="122" t="inlineStr">
        <is>
          <t>Customer - Utility Arboriculture</t>
        </is>
      </c>
      <c r="E899" s="122" t="n">
        <v>0.25</v>
      </c>
      <c r="F899" s="122" t="n">
        <v>4</v>
      </c>
      <c r="G899" s="122" t="n">
        <v>1</v>
      </c>
      <c r="I899" s="58">
        <f>IF(B899&lt;&gt;"",B899,"")</f>
        <v/>
      </c>
    </row>
    <row r="900" ht="15.75" customHeight="1" s="146">
      <c r="C900" t="inlineStr">
        <is>
          <t>Jacob Morris</t>
        </is>
      </c>
      <c r="D900" s="122" t="inlineStr">
        <is>
          <t>Total</t>
        </is>
      </c>
      <c r="E900" s="122" t="n">
        <v>0.47</v>
      </c>
      <c r="F900" s="122" t="n">
        <v>15</v>
      </c>
      <c r="G900" s="122" t="n">
        <v>7</v>
      </c>
      <c r="I900" s="58">
        <f>IF(B900&lt;&gt;"",B900,"")</f>
        <v/>
      </c>
    </row>
    <row r="901" ht="15.75" customHeight="1" s="146">
      <c r="D901" s="122" t="inlineStr">
        <is>
          <t>Business Matrix</t>
        </is>
      </c>
      <c r="E901" s="122" t="n">
        <v>0.67</v>
      </c>
      <c r="F901" s="122" t="n">
        <v>6</v>
      </c>
      <c r="G901" s="122" t="n">
        <v>4</v>
      </c>
      <c r="I901" s="58">
        <f>IF(B901&lt;&gt;"",B901,"")</f>
        <v/>
      </c>
    </row>
    <row r="902" ht="15.75" customHeight="1" s="146">
      <c r="D902" s="122" t="inlineStr">
        <is>
          <t>Grounds Person</t>
        </is>
      </c>
      <c r="E902" s="122" t="n">
        <v>0.4</v>
      </c>
      <c r="F902" s="122" t="n">
        <v>5</v>
      </c>
      <c r="G902" s="122" t="n">
        <v>2</v>
      </c>
      <c r="I902" s="58">
        <f>IF(B902&lt;&gt;"",B902,"")</f>
        <v/>
      </c>
    </row>
    <row r="903" ht="15.75" customHeight="1" s="146">
      <c r="C903" s="122" t="n"/>
      <c r="D903" s="122" t="inlineStr">
        <is>
          <t>Customer - Utility Arboriculture</t>
        </is>
      </c>
      <c r="E903" s="122" t="n">
        <v>0.25</v>
      </c>
      <c r="F903" s="122" t="n">
        <v>4</v>
      </c>
      <c r="G903" s="122" t="n">
        <v>1</v>
      </c>
      <c r="I903" s="58">
        <f>IF(B903&lt;&gt;"",B903,"")</f>
        <v/>
      </c>
    </row>
    <row r="904" ht="15.75" customHeight="1" s="146">
      <c r="C904" t="inlineStr">
        <is>
          <t>Jinan Kalo</t>
        </is>
      </c>
      <c r="D904" s="122" t="inlineStr">
        <is>
          <t>Total</t>
        </is>
      </c>
      <c r="E904" s="122" t="n">
        <v>0.2</v>
      </c>
      <c r="F904" s="122" t="n">
        <v>15</v>
      </c>
      <c r="G904" s="122" t="n">
        <v>3</v>
      </c>
      <c r="I904" s="58">
        <f>IF(B904&lt;&gt;"",B904,"")</f>
        <v/>
      </c>
    </row>
    <row r="905" ht="15.75" customHeight="1" s="146">
      <c r="D905" s="122" t="inlineStr">
        <is>
          <t>Business Matrix</t>
        </is>
      </c>
      <c r="E905" s="122" t="n">
        <v>0.5</v>
      </c>
      <c r="F905" s="122" t="n">
        <v>6</v>
      </c>
      <c r="G905" s="122" t="n">
        <v>3</v>
      </c>
      <c r="I905" s="58">
        <f>IF(B905&lt;&gt;"",B905,"")</f>
        <v/>
      </c>
    </row>
    <row r="906" ht="15.75" customHeight="1" s="146">
      <c r="D906" s="122" t="inlineStr">
        <is>
          <t>Customer - Utility Arboriculture</t>
        </is>
      </c>
      <c r="E906" s="122" t="n">
        <v>0</v>
      </c>
      <c r="F906" s="122" t="n">
        <v>4</v>
      </c>
      <c r="G906" s="122" t="n">
        <v>0</v>
      </c>
      <c r="I906" s="58">
        <f>IF(B906&lt;&gt;"",B906,"")</f>
        <v/>
      </c>
    </row>
    <row r="907" ht="15.75" customHeight="1" s="146">
      <c r="C907" s="122" t="n"/>
      <c r="D907" s="122" t="inlineStr">
        <is>
          <t>Grounds Person</t>
        </is>
      </c>
      <c r="E907" s="122" t="n">
        <v>0</v>
      </c>
      <c r="F907" s="122" t="n">
        <v>5</v>
      </c>
      <c r="G907" s="122" t="n">
        <v>0</v>
      </c>
      <c r="I907" s="58">
        <f>IF(B907&lt;&gt;"",B907,"")</f>
        <v/>
      </c>
    </row>
    <row r="908" ht="15.75" customHeight="1" s="146">
      <c r="B908" t="inlineStr">
        <is>
          <t>SJ Tree &amp; Security Maintenance</t>
        </is>
      </c>
      <c r="C908" t="inlineStr">
        <is>
          <t>Total</t>
        </is>
      </c>
      <c r="D908" s="122" t="n"/>
      <c r="E908" s="122" t="n">
        <v>0.7</v>
      </c>
      <c r="F908" s="122" t="n">
        <v>36</v>
      </c>
      <c r="G908" s="122" t="n">
        <v>25</v>
      </c>
      <c r="H908" s="189" t="n">
        <v>46065</v>
      </c>
      <c r="I908" s="58">
        <f>IF(B908&lt;&gt;"",B908,"")</f>
        <v/>
      </c>
    </row>
    <row r="909" ht="15.75" customHeight="1" s="146">
      <c r="C909" t="inlineStr">
        <is>
          <t>SJ Tree &amp; Security Maintenance .</t>
        </is>
      </c>
      <c r="D909" s="122" t="inlineStr">
        <is>
          <t>Total</t>
        </is>
      </c>
      <c r="E909" s="122" t="n">
        <v>1</v>
      </c>
      <c r="F909" s="122" t="n">
        <v>4</v>
      </c>
      <c r="G909" s="122" t="n">
        <v>4</v>
      </c>
      <c r="I909" s="58">
        <f>IF(B909&lt;&gt;"",B909,"")</f>
        <v/>
      </c>
    </row>
    <row r="910" ht="15.75" customHeight="1" s="146">
      <c r="D910" s="122" t="inlineStr">
        <is>
          <t>Team Matrix</t>
        </is>
      </c>
      <c r="E910" s="122" t="n">
        <v>1</v>
      </c>
      <c r="F910" s="122" t="n">
        <v>4</v>
      </c>
      <c r="G910" s="122" t="n">
        <v>4</v>
      </c>
      <c r="I910" s="58">
        <f>IF(B910&lt;&gt;"",B910,"")</f>
        <v/>
      </c>
    </row>
    <row r="911" ht="15.75" customHeight="1" s="146">
      <c r="C911" s="122" t="inlineStr">
        <is>
          <t>Jacob Elliott</t>
        </is>
      </c>
      <c r="D911" s="122" t="inlineStr">
        <is>
          <t>Total</t>
        </is>
      </c>
      <c r="E911" s="122" t="n">
        <v>0.83</v>
      </c>
      <c r="F911" s="122" t="n">
        <v>17</v>
      </c>
      <c r="G911" s="122" t="n">
        <v>14</v>
      </c>
      <c r="I911" s="58">
        <f>IF(B911&lt;&gt;"",B911,"")</f>
        <v/>
      </c>
    </row>
    <row r="912" ht="15.75" customHeight="1" s="146">
      <c r="D912" s="122" t="inlineStr">
        <is>
          <t>Arborist</t>
        </is>
      </c>
      <c r="E912" s="122" t="n">
        <v>1</v>
      </c>
      <c r="F912" s="122" t="n">
        <v>7</v>
      </c>
      <c r="G912" s="122" t="n">
        <v>7</v>
      </c>
      <c r="I912" s="58">
        <f>IF(B912&lt;&gt;"",B912,"")</f>
        <v/>
      </c>
    </row>
    <row r="913" ht="15.75" customHeight="1" s="146">
      <c r="D913" s="122" t="inlineStr">
        <is>
          <t>Business Matrix</t>
        </is>
      </c>
      <c r="E913" s="122" t="n">
        <v>1</v>
      </c>
      <c r="F913" s="122" t="n">
        <v>6</v>
      </c>
      <c r="G913" s="122" t="n">
        <v>6</v>
      </c>
      <c r="I913" s="58">
        <f>IF(B913&lt;&gt;"",B913,"")</f>
        <v/>
      </c>
    </row>
    <row r="914" ht="15.75" customHeight="1" s="146">
      <c r="D914" s="122" t="inlineStr">
        <is>
          <t>Customer - Utility Arboriculture</t>
        </is>
      </c>
      <c r="E914" s="122" t="n">
        <v>0.25</v>
      </c>
      <c r="F914" s="122" t="n">
        <v>4</v>
      </c>
      <c r="G914" s="122" t="n">
        <v>1</v>
      </c>
      <c r="I914" s="58">
        <f>IF(B914&lt;&gt;"",B914,"")</f>
        <v/>
      </c>
    </row>
    <row r="915" ht="15.75" customHeight="1" s="146">
      <c r="C915" s="122" t="inlineStr">
        <is>
          <t>Samuel Miles</t>
        </is>
      </c>
      <c r="D915" s="122" t="inlineStr">
        <is>
          <t>Total</t>
        </is>
      </c>
      <c r="E915" s="122" t="n">
        <v>0.47</v>
      </c>
      <c r="F915" s="122" t="n">
        <v>15</v>
      </c>
      <c r="G915" s="122" t="n">
        <v>7</v>
      </c>
      <c r="I915" s="58">
        <f>IF(B915&lt;&gt;"",B915,"")</f>
        <v/>
      </c>
    </row>
    <row r="916" ht="15.75" customHeight="1" s="146">
      <c r="D916" s="122" t="inlineStr">
        <is>
          <t>Business Matrix</t>
        </is>
      </c>
      <c r="E916" s="122" t="n">
        <v>1</v>
      </c>
      <c r="F916" s="122" t="n">
        <v>6</v>
      </c>
      <c r="G916" s="122" t="n">
        <v>6</v>
      </c>
      <c r="I916" s="58">
        <f>IF(B916&lt;&gt;"",B916,"")</f>
        <v/>
      </c>
    </row>
    <row r="917" ht="15.75" customHeight="1" s="146">
      <c r="D917" s="122" t="inlineStr">
        <is>
          <t>Grounds Person</t>
        </is>
      </c>
      <c r="E917" s="122" t="n">
        <v>0.2</v>
      </c>
      <c r="F917" s="122" t="n">
        <v>5</v>
      </c>
      <c r="G917" s="122" t="n">
        <v>1</v>
      </c>
      <c r="I917" s="58">
        <f>IF(B917&lt;&gt;"",B917,"")</f>
        <v/>
      </c>
    </row>
    <row r="918" ht="15.75" customHeight="1" s="146">
      <c r="D918" s="122" t="inlineStr">
        <is>
          <t>Customer - Utility Arboriculture</t>
        </is>
      </c>
      <c r="E918" s="122" t="n">
        <v>0</v>
      </c>
      <c r="F918" s="122" t="n">
        <v>4</v>
      </c>
      <c r="G918" s="122" t="n">
        <v>0</v>
      </c>
      <c r="I918" s="58">
        <f>IF(B918&lt;&gt;"",B918,"")</f>
        <v/>
      </c>
    </row>
    <row r="919" ht="15.75" customHeight="1" s="146">
      <c r="B919" t="inlineStr">
        <is>
          <t>Treerebral Ltd</t>
        </is>
      </c>
      <c r="C919" s="122" t="inlineStr">
        <is>
          <t>Total</t>
        </is>
      </c>
      <c r="D919" s="122" t="n"/>
      <c r="E919" s="122" t="n">
        <v>0.6900000000000001</v>
      </c>
      <c r="F919" s="122" t="n">
        <v>70</v>
      </c>
      <c r="G919" s="122" t="n">
        <v>48</v>
      </c>
      <c r="H919" s="189" t="n">
        <v>45693</v>
      </c>
      <c r="I919" s="58">
        <f>IF(B919&lt;&gt;"",B919,"")</f>
        <v/>
      </c>
    </row>
    <row r="920" ht="15.75" customHeight="1" s="146">
      <c r="C920" t="inlineStr">
        <is>
          <t>Sam Sawkins</t>
        </is>
      </c>
      <c r="D920" s="122" t="inlineStr">
        <is>
          <t>Total</t>
        </is>
      </c>
      <c r="E920" s="122" t="n">
        <v>1</v>
      </c>
      <c r="F920" s="122" t="n">
        <v>17</v>
      </c>
      <c r="G920" s="122" t="n">
        <v>17</v>
      </c>
      <c r="I920" s="58">
        <f>IF(B920&lt;&gt;"",B920,"")</f>
        <v/>
      </c>
    </row>
    <row r="921" ht="15.75" customHeight="1" s="146">
      <c r="D921" s="122" t="inlineStr">
        <is>
          <t>Arborist</t>
        </is>
      </c>
      <c r="E921" s="122" t="n">
        <v>1</v>
      </c>
      <c r="F921" s="122" t="n">
        <v>7</v>
      </c>
      <c r="G921" s="122" t="n">
        <v>7</v>
      </c>
      <c r="I921" s="58">
        <f>IF(B921&lt;&gt;"",B921,"")</f>
        <v/>
      </c>
    </row>
    <row r="922" ht="15.75" customHeight="1" s="146">
      <c r="D922" s="122" t="inlineStr">
        <is>
          <t>Business Matrix</t>
        </is>
      </c>
      <c r="E922" s="122" t="n">
        <v>1</v>
      </c>
      <c r="F922" s="122" t="n">
        <v>6</v>
      </c>
      <c r="G922" s="122" t="n">
        <v>6</v>
      </c>
      <c r="I922" s="58">
        <f>IF(B922&lt;&gt;"",B922,"")</f>
        <v/>
      </c>
    </row>
    <row r="923" ht="15.75" customHeight="1" s="146">
      <c r="C923" s="122" t="n"/>
      <c r="D923" s="122" t="inlineStr">
        <is>
          <t>Customer - Utility Arboriculture</t>
        </is>
      </c>
      <c r="E923" s="122" t="n">
        <v>1</v>
      </c>
      <c r="F923" s="122" t="n">
        <v>4</v>
      </c>
      <c r="G923" s="122" t="n">
        <v>4</v>
      </c>
      <c r="I923" s="58">
        <f>IF(B923&lt;&gt;"",B923,"")</f>
        <v/>
      </c>
    </row>
    <row r="924" ht="15.75" customHeight="1" s="146">
      <c r="C924" t="inlineStr">
        <is>
          <t>Matthew Hughes</t>
        </is>
      </c>
      <c r="D924" s="122" t="inlineStr">
        <is>
          <t>Total</t>
        </is>
      </c>
      <c r="E924" s="122" t="n">
        <v>0.9400000000000001</v>
      </c>
      <c r="F924" s="122" t="n">
        <v>15</v>
      </c>
      <c r="G924" s="122" t="n">
        <v>14</v>
      </c>
      <c r="I924" s="58">
        <f>IF(B924&lt;&gt;"",B924,"")</f>
        <v/>
      </c>
    </row>
    <row r="925" ht="15.75" customHeight="1" s="146">
      <c r="C925" s="122" t="n"/>
      <c r="D925" s="122" t="inlineStr">
        <is>
          <t>Customer - Utility Arboriculture</t>
        </is>
      </c>
      <c r="E925" s="122" t="n">
        <v>1</v>
      </c>
      <c r="F925" s="122" t="n">
        <v>4</v>
      </c>
      <c r="G925" s="122" t="n">
        <v>4</v>
      </c>
      <c r="I925" s="58">
        <f>IF(B925&lt;&gt;"",B925,"")</f>
        <v/>
      </c>
    </row>
    <row r="926" ht="15.75" customHeight="1" s="146">
      <c r="D926" s="122" t="inlineStr">
        <is>
          <t>Grounds Person</t>
        </is>
      </c>
      <c r="E926" s="122" t="n">
        <v>1</v>
      </c>
      <c r="F926" s="122" t="n">
        <v>5</v>
      </c>
      <c r="G926" s="122" t="n">
        <v>5</v>
      </c>
      <c r="I926" s="58">
        <f>IF(B926&lt;&gt;"",B926,"")</f>
        <v/>
      </c>
    </row>
    <row r="927" ht="15.75" customHeight="1" s="146">
      <c r="D927" s="122" t="inlineStr">
        <is>
          <t>Business Matrix</t>
        </is>
      </c>
      <c r="E927" s="122" t="n">
        <v>0.84</v>
      </c>
      <c r="F927" s="122" t="n">
        <v>6</v>
      </c>
      <c r="G927" s="122" t="n">
        <v>5</v>
      </c>
      <c r="I927" s="58">
        <f>IF(B927&lt;&gt;"",B927,"")</f>
        <v/>
      </c>
    </row>
    <row r="928" ht="15.75" customHeight="1" s="146">
      <c r="C928" t="inlineStr">
        <is>
          <t>Martin Odonnell</t>
        </is>
      </c>
      <c r="D928" s="122" t="inlineStr">
        <is>
          <t>Total</t>
        </is>
      </c>
      <c r="E928" s="122" t="n">
        <v>0.59</v>
      </c>
      <c r="F928" s="122" t="n">
        <v>17</v>
      </c>
      <c r="G928" s="122" t="n">
        <v>10</v>
      </c>
      <c r="I928" s="58">
        <f>IF(B928&lt;&gt;"",B928,"")</f>
        <v/>
      </c>
    </row>
    <row r="929" ht="15.75" customHeight="1" s="146">
      <c r="B929" s="122" t="n"/>
      <c r="C929" s="122" t="n"/>
      <c r="D929" t="inlineStr">
        <is>
          <t>Business Matrix</t>
        </is>
      </c>
      <c r="E929" s="122" t="n">
        <v>1</v>
      </c>
      <c r="F929" s="122" t="n">
        <v>6</v>
      </c>
      <c r="G929" s="122" t="n">
        <v>6</v>
      </c>
      <c r="H929" s="57" t="n"/>
      <c r="I929" s="58">
        <f>IF(B929&lt;&gt;"",B929,"")</f>
        <v/>
      </c>
    </row>
    <row r="930" ht="15.75" customHeight="1" s="146">
      <c r="C930" s="122" t="n"/>
      <c r="D930" s="122" t="inlineStr">
        <is>
          <t>Arborist</t>
        </is>
      </c>
      <c r="E930" s="122" t="n">
        <v>0.43</v>
      </c>
      <c r="F930" s="122" t="n">
        <v>7</v>
      </c>
      <c r="G930" s="122" t="n">
        <v>3</v>
      </c>
      <c r="I930" s="58">
        <f>IF(B930&lt;&gt;"",B930,"")</f>
        <v/>
      </c>
    </row>
    <row r="931" ht="15.75" customHeight="1" s="146">
      <c r="D931" s="122" t="inlineStr">
        <is>
          <t>Customer - Utility Arboriculture</t>
        </is>
      </c>
      <c r="E931" s="122" t="n">
        <v>0.25</v>
      </c>
      <c r="F931" s="122" t="n">
        <v>4</v>
      </c>
      <c r="G931" s="122" t="n">
        <v>1</v>
      </c>
      <c r="I931" s="58">
        <f>IF(B931&lt;&gt;"",B931,"")</f>
        <v/>
      </c>
    </row>
    <row r="932" ht="15.75" customHeight="1" s="146">
      <c r="C932" t="inlineStr">
        <is>
          <t>Treerebral Ltd .</t>
        </is>
      </c>
      <c r="D932" s="122" t="inlineStr">
        <is>
          <t>Total</t>
        </is>
      </c>
      <c r="E932" s="122" t="n">
        <v>0.5</v>
      </c>
      <c r="F932" s="122" t="n">
        <v>4</v>
      </c>
      <c r="G932" s="122" t="n">
        <v>2</v>
      </c>
      <c r="I932" s="58">
        <f>IF(B932&lt;&gt;"",B932,"")</f>
        <v/>
      </c>
    </row>
    <row r="933" ht="15.75" customHeight="1" s="146">
      <c r="D933" s="122" t="inlineStr">
        <is>
          <t>Team Matrix</t>
        </is>
      </c>
      <c r="E933" s="122" t="n">
        <v>0.5</v>
      </c>
      <c r="F933" s="122" t="n">
        <v>4</v>
      </c>
      <c r="G933" s="122" t="n">
        <v>2</v>
      </c>
      <c r="I933" s="58">
        <f>IF(B933&lt;&gt;"",B933,"")</f>
        <v/>
      </c>
    </row>
    <row r="934" ht="15.75" customHeight="1" s="146">
      <c r="C934" s="122" t="inlineStr">
        <is>
          <t>Ryan Fletcher</t>
        </is>
      </c>
      <c r="D934" s="122" t="inlineStr">
        <is>
          <t>Total</t>
        </is>
      </c>
      <c r="E934" s="122" t="n">
        <v>0.3</v>
      </c>
      <c r="F934" s="122" t="n">
        <v>17</v>
      </c>
      <c r="G934" s="122" t="n">
        <v>5</v>
      </c>
      <c r="I934" s="58">
        <f>IF(B934&lt;&gt;"",B934,"")</f>
        <v/>
      </c>
    </row>
    <row r="935" ht="15.75" customHeight="1" s="146">
      <c r="D935" s="122" t="inlineStr">
        <is>
          <t>Customer - Utility Arboriculture</t>
        </is>
      </c>
      <c r="E935" s="122" t="n">
        <v>0.75</v>
      </c>
      <c r="F935" s="122" t="n">
        <v>4</v>
      </c>
      <c r="G935" s="122" t="n">
        <v>3</v>
      </c>
      <c r="I935" s="58">
        <f>IF(B935&lt;&gt;"",B935,"")</f>
        <v/>
      </c>
    </row>
    <row r="936" ht="15.75" customHeight="1" s="146">
      <c r="D936" s="122" t="inlineStr">
        <is>
          <t>Business Matrix</t>
        </is>
      </c>
      <c r="E936" s="122" t="n">
        <v>0.17</v>
      </c>
      <c r="F936" s="122" t="n">
        <v>6</v>
      </c>
      <c r="G936" s="122" t="n">
        <v>1</v>
      </c>
      <c r="I936" s="58">
        <f>IF(B936&lt;&gt;"",B936,"")</f>
        <v/>
      </c>
    </row>
    <row r="937" ht="15.75" customHeight="1" s="146">
      <c r="D937" s="122" t="inlineStr">
        <is>
          <t>Arborist</t>
        </is>
      </c>
      <c r="E937" s="122" t="n">
        <v>0.15</v>
      </c>
      <c r="F937" s="122" t="n">
        <v>7</v>
      </c>
      <c r="G937" s="122" t="n">
        <v>1</v>
      </c>
      <c r="I937" s="58">
        <f>IF(B937&lt;&gt;"",B937,"")</f>
        <v/>
      </c>
    </row>
    <row r="938" ht="15.75" customHeight="1" s="146">
      <c r="B938" t="inlineStr">
        <is>
          <t>East Midlands Arb Ltd</t>
        </is>
      </c>
      <c r="C938" s="122" t="inlineStr">
        <is>
          <t>Total</t>
        </is>
      </c>
      <c r="D938" s="122" t="n"/>
      <c r="E938" s="122" t="n">
        <v>0.67</v>
      </c>
      <c r="F938" s="122" t="n">
        <v>89</v>
      </c>
      <c r="G938" s="122" t="n">
        <v>59</v>
      </c>
      <c r="H938" s="189" t="n">
        <v>44964</v>
      </c>
      <c r="I938" s="58">
        <f>IF(B938&lt;&gt;"",B938,"")</f>
        <v/>
      </c>
    </row>
    <row r="939" ht="15.75" customHeight="1" s="146">
      <c r="C939" t="inlineStr">
        <is>
          <t>East Midlands Arb Ltd .</t>
        </is>
      </c>
      <c r="D939" s="122" t="inlineStr">
        <is>
          <t>Total</t>
        </is>
      </c>
      <c r="E939" s="122" t="n">
        <v>1</v>
      </c>
      <c r="F939" s="122" t="n">
        <v>4</v>
      </c>
      <c r="G939" s="122" t="n">
        <v>4</v>
      </c>
      <c r="I939" s="58">
        <f>IF(B939&lt;&gt;"",B939,"")</f>
        <v/>
      </c>
    </row>
    <row r="940" ht="15.75" customHeight="1" s="146">
      <c r="D940" s="122" t="inlineStr">
        <is>
          <t>Team Matrix</t>
        </is>
      </c>
      <c r="E940" s="122" t="n">
        <v>1</v>
      </c>
      <c r="F940" s="122" t="n">
        <v>4</v>
      </c>
      <c r="G940" s="122" t="n">
        <v>4</v>
      </c>
      <c r="I940" s="58">
        <f>IF(B940&lt;&gt;"",B940,"")</f>
        <v/>
      </c>
    </row>
    <row r="941" ht="15.75" customHeight="1" s="146">
      <c r="C941" t="inlineStr">
        <is>
          <t>James Summers</t>
        </is>
      </c>
      <c r="D941" s="122" t="inlineStr">
        <is>
          <t>Total</t>
        </is>
      </c>
      <c r="E941" s="122" t="n">
        <v>0.83</v>
      </c>
      <c r="F941" s="122" t="n">
        <v>17</v>
      </c>
      <c r="G941" s="122" t="n">
        <v>14</v>
      </c>
      <c r="I941" s="58">
        <f>IF(B941&lt;&gt;"",B941,"")</f>
        <v/>
      </c>
    </row>
    <row r="942" ht="15.75" customHeight="1" s="146">
      <c r="C942" s="122" t="n"/>
      <c r="D942" s="122" t="inlineStr">
        <is>
          <t>Customer - Utility Arboriculture</t>
        </is>
      </c>
      <c r="E942" s="122" t="n">
        <v>1</v>
      </c>
      <c r="F942" s="122" t="n">
        <v>4</v>
      </c>
      <c r="G942" s="122" t="n">
        <v>4</v>
      </c>
      <c r="I942" s="58">
        <f>IF(B942&lt;&gt;"",B942,"")</f>
        <v/>
      </c>
    </row>
    <row r="943" ht="15.75" customHeight="1" s="146">
      <c r="D943" s="122" t="inlineStr">
        <is>
          <t>Arborist</t>
        </is>
      </c>
      <c r="E943" s="122" t="n">
        <v>0.86</v>
      </c>
      <c r="F943" s="122" t="n">
        <v>7</v>
      </c>
      <c r="G943" s="122" t="n">
        <v>6</v>
      </c>
      <c r="I943" s="58">
        <f>IF(B943&lt;&gt;"",B943,"")</f>
        <v/>
      </c>
    </row>
    <row r="944" ht="15.75" customHeight="1" s="146">
      <c r="D944" s="122" t="inlineStr">
        <is>
          <t>Business Matrix</t>
        </is>
      </c>
      <c r="E944" s="122" t="n">
        <v>0.67</v>
      </c>
      <c r="F944" s="122" t="n">
        <v>6</v>
      </c>
      <c r="G944" s="122" t="n">
        <v>4</v>
      </c>
      <c r="I944" s="58">
        <f>IF(B944&lt;&gt;"",B944,"")</f>
        <v/>
      </c>
    </row>
    <row r="945" ht="15.75" customHeight="1" s="146">
      <c r="C945" t="inlineStr">
        <is>
          <t>Callis Allen</t>
        </is>
      </c>
      <c r="D945" s="122" t="inlineStr">
        <is>
          <t>Total</t>
        </is>
      </c>
      <c r="E945" s="122" t="n">
        <v>0.77</v>
      </c>
      <c r="F945" s="122" t="n">
        <v>17</v>
      </c>
      <c r="G945" s="122" t="n">
        <v>13</v>
      </c>
      <c r="I945" s="58">
        <f>IF(B945&lt;&gt;"",B945,"")</f>
        <v/>
      </c>
    </row>
    <row r="946" ht="15.75" customHeight="1" s="146">
      <c r="C946" s="122" t="n"/>
      <c r="D946" s="122" t="inlineStr">
        <is>
          <t>Customer - Utility Arboriculture</t>
        </is>
      </c>
      <c r="E946" s="122" t="n">
        <v>1</v>
      </c>
      <c r="F946" s="122" t="n">
        <v>4</v>
      </c>
      <c r="G946" s="122" t="n">
        <v>4</v>
      </c>
      <c r="I946" s="58">
        <f>IF(B946&lt;&gt;"",B946,"")</f>
        <v/>
      </c>
    </row>
    <row r="947" ht="15.75" customHeight="1" s="146">
      <c r="D947" s="122" t="inlineStr">
        <is>
          <t>Arborist</t>
        </is>
      </c>
      <c r="E947" s="122" t="n">
        <v>0.86</v>
      </c>
      <c r="F947" s="122" t="n">
        <v>7</v>
      </c>
      <c r="G947" s="122" t="n">
        <v>6</v>
      </c>
      <c r="I947" s="58">
        <f>IF(B947&lt;&gt;"",B947,"")</f>
        <v/>
      </c>
    </row>
    <row r="948" ht="15.75" customHeight="1" s="146">
      <c r="D948" s="122" t="inlineStr">
        <is>
          <t>Business Matrix</t>
        </is>
      </c>
      <c r="E948" s="122" t="n">
        <v>0.5</v>
      </c>
      <c r="F948" s="122" t="n">
        <v>6</v>
      </c>
      <c r="G948" s="122" t="n">
        <v>3</v>
      </c>
      <c r="I948" s="58">
        <f>IF(B948&lt;&gt;"",B948,"")</f>
        <v/>
      </c>
    </row>
    <row r="949" ht="15.75" customHeight="1" s="146">
      <c r="C949" t="inlineStr">
        <is>
          <t>Connor Mahoney</t>
        </is>
      </c>
      <c r="D949" s="122" t="inlineStr">
        <is>
          <t>Total</t>
        </is>
      </c>
      <c r="E949" s="122" t="n">
        <v>0.65</v>
      </c>
      <c r="F949" s="122" t="n">
        <v>17</v>
      </c>
      <c r="G949" s="122" t="n">
        <v>11</v>
      </c>
      <c r="I949" s="58">
        <f>IF(B949&lt;&gt;"",B949,"")</f>
        <v/>
      </c>
    </row>
    <row r="950" ht="15.75" customHeight="1" s="146">
      <c r="C950" s="122" t="n"/>
      <c r="D950" s="122" t="inlineStr">
        <is>
          <t>Customer - Utility Arboriculture</t>
        </is>
      </c>
      <c r="E950" s="122" t="n">
        <v>1</v>
      </c>
      <c r="F950" s="122" t="n">
        <v>4</v>
      </c>
      <c r="G950" s="122" t="n">
        <v>4</v>
      </c>
      <c r="I950" s="58">
        <f>IF(B950&lt;&gt;"",B950,"")</f>
        <v/>
      </c>
    </row>
    <row r="951" ht="15.75" customHeight="1" s="146">
      <c r="D951" s="122" t="inlineStr">
        <is>
          <t>Arborist</t>
        </is>
      </c>
      <c r="E951" s="122" t="n">
        <v>0.72</v>
      </c>
      <c r="F951" s="122" t="n">
        <v>7</v>
      </c>
      <c r="G951" s="122" t="n">
        <v>5</v>
      </c>
      <c r="I951" s="58">
        <f>IF(B951&lt;&gt;"",B951,"")</f>
        <v/>
      </c>
    </row>
    <row r="952" ht="15.75" customHeight="1" s="146">
      <c r="B952" s="122" t="n"/>
      <c r="C952" s="122" t="n"/>
      <c r="D952" t="inlineStr">
        <is>
          <t>Business Matrix</t>
        </is>
      </c>
      <c r="E952" s="122" t="n">
        <v>0.34</v>
      </c>
      <c r="F952" s="122" t="n">
        <v>6</v>
      </c>
      <c r="G952" s="122" t="n">
        <v>2</v>
      </c>
      <c r="H952" s="57" t="n"/>
      <c r="I952" s="58">
        <f>IF(B952&lt;&gt;"",B952,"")</f>
        <v/>
      </c>
    </row>
    <row r="953" ht="15.75" customHeight="1" s="146">
      <c r="C953" s="122" t="inlineStr">
        <is>
          <t>Matt Boffy</t>
        </is>
      </c>
      <c r="D953" s="122" t="inlineStr">
        <is>
          <t>Total</t>
        </is>
      </c>
      <c r="E953" s="122" t="n">
        <v>0.59</v>
      </c>
      <c r="F953" s="122" t="n">
        <v>17</v>
      </c>
      <c r="G953" s="122" t="n">
        <v>10</v>
      </c>
      <c r="I953" s="58">
        <f>IF(B953&lt;&gt;"",B953,"")</f>
        <v/>
      </c>
    </row>
    <row r="954" ht="15.75" customHeight="1" s="146">
      <c r="D954" s="122" t="inlineStr">
        <is>
          <t>Business Matrix</t>
        </is>
      </c>
      <c r="E954" s="122" t="n">
        <v>1</v>
      </c>
      <c r="F954" s="122" t="n">
        <v>6</v>
      </c>
      <c r="G954" s="122" t="n">
        <v>6</v>
      </c>
      <c r="I954" s="58">
        <f>IF(B954&lt;&gt;"",B954,"")</f>
        <v/>
      </c>
    </row>
    <row r="955" ht="15.75" customHeight="1" s="146">
      <c r="D955" s="122" t="inlineStr">
        <is>
          <t>Arborist</t>
        </is>
      </c>
      <c r="E955" s="122" t="n">
        <v>0.58</v>
      </c>
      <c r="F955" s="122" t="n">
        <v>7</v>
      </c>
      <c r="G955" s="122" t="n">
        <v>4</v>
      </c>
      <c r="I955" s="58">
        <f>IF(B955&lt;&gt;"",B955,"")</f>
        <v/>
      </c>
    </row>
    <row r="956" ht="15.75" customHeight="1" s="146">
      <c r="D956" s="122" t="inlineStr">
        <is>
          <t>Customer - Utility Arboriculture</t>
        </is>
      </c>
      <c r="E956" s="122" t="n">
        <v>0</v>
      </c>
      <c r="F956" s="122" t="n">
        <v>4</v>
      </c>
      <c r="G956" s="122" t="n">
        <v>0</v>
      </c>
      <c r="I956" s="58">
        <f>IF(B956&lt;&gt;"",B956,"")</f>
        <v/>
      </c>
    </row>
    <row r="957" ht="15.75" customHeight="1" s="146">
      <c r="C957" s="122" t="inlineStr">
        <is>
          <t>Alex Robinson</t>
        </is>
      </c>
      <c r="D957" s="122" t="inlineStr">
        <is>
          <t>Total</t>
        </is>
      </c>
      <c r="E957" s="122" t="n">
        <v>0.42</v>
      </c>
      <c r="F957" s="122" t="n">
        <v>17</v>
      </c>
      <c r="G957" s="122" t="n">
        <v>7</v>
      </c>
      <c r="I957" s="58">
        <f>IF(B957&lt;&gt;"",B957,"")</f>
        <v/>
      </c>
    </row>
    <row r="958" ht="15.75" customHeight="1" s="146">
      <c r="D958" s="122" t="inlineStr">
        <is>
          <t>Business Matrix</t>
        </is>
      </c>
      <c r="E958" s="122" t="n">
        <v>0.84</v>
      </c>
      <c r="F958" s="122" t="n">
        <v>6</v>
      </c>
      <c r="G958" s="122" t="n">
        <v>5</v>
      </c>
      <c r="I958" s="58">
        <f>IF(B958&lt;&gt;"",B958,"")</f>
        <v/>
      </c>
    </row>
    <row r="959" ht="15.75" customHeight="1" s="146">
      <c r="D959" s="122" t="inlineStr">
        <is>
          <t>Arborist</t>
        </is>
      </c>
      <c r="E959" s="122" t="n">
        <v>0.29</v>
      </c>
      <c r="F959" s="122" t="n">
        <v>7</v>
      </c>
      <c r="G959" s="122" t="n">
        <v>2</v>
      </c>
      <c r="I959" s="58">
        <f>IF(B959&lt;&gt;"",B959,"")</f>
        <v/>
      </c>
    </row>
    <row r="960" ht="15.75" customHeight="1" s="146">
      <c r="D960" s="122" t="inlineStr">
        <is>
          <t>Customer - Utility Arboriculture</t>
        </is>
      </c>
      <c r="E960" s="122" t="n">
        <v>0</v>
      </c>
      <c r="F960" s="122" t="n">
        <v>4</v>
      </c>
      <c r="G960" s="122" t="n">
        <v>0</v>
      </c>
      <c r="I960" s="58">
        <f>IF(B960&lt;&gt;"",B960,"")</f>
        <v/>
      </c>
    </row>
    <row r="961" ht="15.75" customHeight="1" s="146">
      <c r="B961" t="inlineStr">
        <is>
          <t>OJ Morgan Services Ltd</t>
        </is>
      </c>
      <c r="C961" s="122" t="inlineStr">
        <is>
          <t>Total</t>
        </is>
      </c>
      <c r="D961" s="122" t="n"/>
      <c r="E961" s="122" t="n">
        <v>0.67</v>
      </c>
      <c r="F961" s="122" t="n">
        <v>51</v>
      </c>
      <c r="G961" s="122" t="n">
        <v>34</v>
      </c>
      <c r="H961" s="189" t="n">
        <v>46030</v>
      </c>
      <c r="I961" s="58">
        <f>IF(B961&lt;&gt;"",B961,"")</f>
        <v/>
      </c>
    </row>
    <row r="962" ht="15.75" customHeight="1" s="146">
      <c r="C962" t="inlineStr">
        <is>
          <t>Owen Morgan</t>
        </is>
      </c>
      <c r="D962" s="122" t="inlineStr">
        <is>
          <t>Total</t>
        </is>
      </c>
      <c r="E962" s="122" t="n">
        <v>0.71</v>
      </c>
      <c r="F962" s="122" t="n">
        <v>17</v>
      </c>
      <c r="G962" s="122" t="n">
        <v>12</v>
      </c>
      <c r="I962" s="58">
        <f>IF(B962&lt;&gt;"",B962,"")</f>
        <v/>
      </c>
    </row>
    <row r="963" ht="15.75" customHeight="1" s="146">
      <c r="B963" s="122" t="n"/>
      <c r="C963" s="122" t="n"/>
      <c r="D963" t="inlineStr">
        <is>
          <t>Business Matrix</t>
        </is>
      </c>
      <c r="E963" s="122" t="n">
        <v>1</v>
      </c>
      <c r="F963" s="122" t="n">
        <v>6</v>
      </c>
      <c r="G963" s="122" t="n">
        <v>6</v>
      </c>
      <c r="H963" s="57" t="n"/>
      <c r="I963" s="58">
        <f>IF(B963&lt;&gt;"",B963,"")</f>
        <v/>
      </c>
    </row>
    <row r="964" ht="15.75" customHeight="1" s="146">
      <c r="C964" s="122" t="n"/>
      <c r="D964" s="122" t="inlineStr">
        <is>
          <t>Arborist</t>
        </is>
      </c>
      <c r="E964" s="122" t="n">
        <v>0.86</v>
      </c>
      <c r="F964" s="122" t="n">
        <v>7</v>
      </c>
      <c r="G964" s="122" t="n">
        <v>6</v>
      </c>
      <c r="I964" s="58">
        <f>IF(B964&lt;&gt;"",B964,"")</f>
        <v/>
      </c>
    </row>
    <row r="965" ht="15.75" customHeight="1" s="146">
      <c r="D965" s="122" t="inlineStr">
        <is>
          <t>Customer - Utility Arboriculture</t>
        </is>
      </c>
      <c r="E965" s="122" t="n">
        <v>0</v>
      </c>
      <c r="F965" s="122" t="n">
        <v>4</v>
      </c>
      <c r="G965" s="122" t="n">
        <v>0</v>
      </c>
      <c r="I965" s="58">
        <f>IF(B965&lt;&gt;"",B965,"")</f>
        <v/>
      </c>
    </row>
    <row r="966" ht="15.75" customHeight="1" s="146">
      <c r="C966" t="inlineStr">
        <is>
          <t>Douglas Edwards</t>
        </is>
      </c>
      <c r="D966" s="122" t="inlineStr">
        <is>
          <t>Total</t>
        </is>
      </c>
      <c r="E966" s="122" t="n">
        <v>0.67</v>
      </c>
      <c r="F966" s="122" t="n">
        <v>15</v>
      </c>
      <c r="G966" s="122" t="n">
        <v>10</v>
      </c>
      <c r="I966" s="58">
        <f>IF(B966&lt;&gt;"",B966,"")</f>
        <v/>
      </c>
    </row>
    <row r="967" ht="15.75" customHeight="1" s="146">
      <c r="D967" s="122" t="inlineStr">
        <is>
          <t>Business Matrix</t>
        </is>
      </c>
      <c r="E967" s="122" t="n">
        <v>1</v>
      </c>
      <c r="F967" s="122" t="n">
        <v>6</v>
      </c>
      <c r="G967" s="122" t="n">
        <v>6</v>
      </c>
      <c r="I967" s="58">
        <f>IF(B967&lt;&gt;"",B967,"")</f>
        <v/>
      </c>
    </row>
    <row r="968" ht="15.75" customHeight="1" s="146">
      <c r="C968" s="122" t="n"/>
      <c r="D968" s="122" t="inlineStr">
        <is>
          <t>Grounds Person</t>
        </is>
      </c>
      <c r="E968" s="122" t="n">
        <v>0.8</v>
      </c>
      <c r="F968" s="122" t="n">
        <v>5</v>
      </c>
      <c r="G968" s="122" t="n">
        <v>4</v>
      </c>
      <c r="I968" s="58">
        <f>IF(B968&lt;&gt;"",B968,"")</f>
        <v/>
      </c>
    </row>
    <row r="969" ht="15.75" customHeight="1" s="146">
      <c r="D969" s="122" t="inlineStr">
        <is>
          <t>Customer - Utility Arboriculture</t>
        </is>
      </c>
      <c r="E969" s="122" t="n">
        <v>0</v>
      </c>
      <c r="F969" s="122" t="n">
        <v>4</v>
      </c>
      <c r="G969" s="122" t="n">
        <v>0</v>
      </c>
      <c r="I969" s="58">
        <f>IF(B969&lt;&gt;"",B969,"")</f>
        <v/>
      </c>
    </row>
    <row r="970" ht="15.75" customHeight="1" s="146">
      <c r="C970" t="inlineStr">
        <is>
          <t>Eifion Pengelly</t>
        </is>
      </c>
      <c r="D970" s="122" t="inlineStr">
        <is>
          <t>Total</t>
        </is>
      </c>
      <c r="E970" s="122" t="n">
        <v>0.67</v>
      </c>
      <c r="F970" s="122" t="n">
        <v>15</v>
      </c>
      <c r="G970" s="122" t="n">
        <v>10</v>
      </c>
      <c r="I970" s="58">
        <f>IF(B970&lt;&gt;"",B970,"")</f>
        <v/>
      </c>
    </row>
    <row r="971" ht="15.75" customHeight="1" s="146">
      <c r="D971" s="122" t="inlineStr">
        <is>
          <t>Business Matrix</t>
        </is>
      </c>
      <c r="E971" s="122" t="n">
        <v>1</v>
      </c>
      <c r="F971" s="122" t="n">
        <v>6</v>
      </c>
      <c r="G971" s="122" t="n">
        <v>6</v>
      </c>
      <c r="I971" s="58">
        <f>IF(B971&lt;&gt;"",B971,"")</f>
        <v/>
      </c>
    </row>
    <row r="972" ht="15.75" customHeight="1" s="146">
      <c r="C972" s="122" t="n"/>
      <c r="D972" s="122" t="inlineStr">
        <is>
          <t>Grounds Person</t>
        </is>
      </c>
      <c r="E972" s="122" t="n">
        <v>0.8</v>
      </c>
      <c r="F972" s="122" t="n">
        <v>5</v>
      </c>
      <c r="G972" s="122" t="n">
        <v>4</v>
      </c>
      <c r="I972" s="58">
        <f>IF(B972&lt;&gt;"",B972,"")</f>
        <v/>
      </c>
    </row>
    <row r="973" ht="15.75" customHeight="1" s="146">
      <c r="D973" s="122" t="inlineStr">
        <is>
          <t>Customer - Utility Arboriculture</t>
        </is>
      </c>
      <c r="E973" s="122" t="n">
        <v>0</v>
      </c>
      <c r="F973" s="122" t="n">
        <v>4</v>
      </c>
      <c r="G973" s="122" t="n">
        <v>0</v>
      </c>
      <c r="I973" s="58">
        <f>IF(B973&lt;&gt;"",B973,"")</f>
        <v/>
      </c>
    </row>
    <row r="974" ht="15.75" customHeight="1" s="146">
      <c r="C974" t="inlineStr">
        <is>
          <t>OJ Morgan Services Ltd .</t>
        </is>
      </c>
      <c r="D974" s="122" t="inlineStr">
        <is>
          <t>Total</t>
        </is>
      </c>
      <c r="E974" s="122" t="n">
        <v>0.5</v>
      </c>
      <c r="F974" s="122" t="n">
        <v>4</v>
      </c>
      <c r="G974" s="122" t="n">
        <v>2</v>
      </c>
      <c r="I974" s="58">
        <f>IF(B974&lt;&gt;"",B974,"")</f>
        <v/>
      </c>
    </row>
    <row r="975" ht="15.75" customHeight="1" s="146">
      <c r="D975" s="122" t="inlineStr">
        <is>
          <t>Team Matrix</t>
        </is>
      </c>
      <c r="E975" s="122" t="n">
        <v>0.5</v>
      </c>
      <c r="F975" s="122" t="n">
        <v>4</v>
      </c>
      <c r="G975" s="122" t="n">
        <v>2</v>
      </c>
      <c r="I975" s="58">
        <f>IF(B975&lt;&gt;"",B975,"")</f>
        <v/>
      </c>
    </row>
    <row r="976" ht="15.75" customHeight="1" s="146">
      <c r="B976" t="inlineStr">
        <is>
          <t>Mon &amp; Brec Tree Services Ltd</t>
        </is>
      </c>
      <c r="C976" s="122" t="inlineStr">
        <is>
          <t>Total</t>
        </is>
      </c>
      <c r="D976" s="122" t="n"/>
      <c r="E976" s="122" t="n">
        <v>0.66</v>
      </c>
      <c r="F976" s="122" t="n">
        <v>83</v>
      </c>
      <c r="G976" s="122" t="n">
        <v>54</v>
      </c>
      <c r="H976" s="189" t="n">
        <v>44238</v>
      </c>
      <c r="I976" s="58">
        <f>IF(B976&lt;&gt;"",B976,"")</f>
        <v/>
      </c>
    </row>
    <row r="977" ht="15.75" customHeight="1" s="146">
      <c r="C977" t="inlineStr">
        <is>
          <t>Mon &amp; Brec Tree Services ltd. .</t>
        </is>
      </c>
      <c r="D977" s="122" t="inlineStr">
        <is>
          <t>Total</t>
        </is>
      </c>
      <c r="E977" s="122" t="n">
        <v>1</v>
      </c>
      <c r="F977" s="122" t="n">
        <v>4</v>
      </c>
      <c r="G977" s="122" t="n">
        <v>4</v>
      </c>
      <c r="I977" s="58">
        <f>IF(B977&lt;&gt;"",B977,"")</f>
        <v/>
      </c>
    </row>
    <row r="978" ht="15.75" customHeight="1" s="146">
      <c r="D978" s="122" t="inlineStr">
        <is>
          <t>Team Matrix</t>
        </is>
      </c>
      <c r="E978" s="122" t="n">
        <v>1</v>
      </c>
      <c r="F978" s="122" t="n">
        <v>4</v>
      </c>
      <c r="G978" s="122" t="n">
        <v>4</v>
      </c>
      <c r="I978" s="58">
        <f>IF(B978&lt;&gt;"",B978,"")</f>
        <v/>
      </c>
    </row>
    <row r="979" ht="15.75" customHeight="1" s="146">
      <c r="C979" t="inlineStr">
        <is>
          <t>Jared Rogers</t>
        </is>
      </c>
      <c r="D979" s="122" t="inlineStr">
        <is>
          <t>Total</t>
        </is>
      </c>
      <c r="E979" s="122" t="n">
        <v>0.8</v>
      </c>
      <c r="F979" s="122" t="n">
        <v>15</v>
      </c>
      <c r="G979" s="122" t="n">
        <v>12</v>
      </c>
      <c r="I979" s="58">
        <f>IF(B979&lt;&gt;"",B979,"")</f>
        <v/>
      </c>
    </row>
    <row r="980" ht="15.75" customHeight="1" s="146">
      <c r="D980" s="122" t="inlineStr">
        <is>
          <t>Business Matrix</t>
        </is>
      </c>
      <c r="E980" s="122" t="n">
        <v>1</v>
      </c>
      <c r="F980" s="122" t="n">
        <v>6</v>
      </c>
      <c r="G980" s="122" t="n">
        <v>6</v>
      </c>
      <c r="I980" s="58">
        <f>IF(B980&lt;&gt;"",B980,"")</f>
        <v/>
      </c>
    </row>
    <row r="981" ht="15.75" customHeight="1" s="146">
      <c r="C981" s="122" t="n"/>
      <c r="D981" s="122" t="inlineStr">
        <is>
          <t>Grounds Person</t>
        </is>
      </c>
      <c r="E981" s="122" t="n">
        <v>0.8</v>
      </c>
      <c r="F981" s="122" t="n">
        <v>5</v>
      </c>
      <c r="G981" s="122" t="n">
        <v>4</v>
      </c>
      <c r="I981" s="58">
        <f>IF(B981&lt;&gt;"",B981,"")</f>
        <v/>
      </c>
    </row>
    <row r="982" ht="15.75" customHeight="1" s="146">
      <c r="D982" s="122" t="inlineStr">
        <is>
          <t>Customer - Utility Arboriculture</t>
        </is>
      </c>
      <c r="E982" s="122" t="n">
        <v>0.5</v>
      </c>
      <c r="F982" s="122" t="n">
        <v>4</v>
      </c>
      <c r="G982" s="122" t="n">
        <v>2</v>
      </c>
      <c r="I982" s="58">
        <f>IF(B982&lt;&gt;"",B982,"")</f>
        <v/>
      </c>
    </row>
    <row r="983" ht="15.75" customHeight="1" s="146">
      <c r="C983" t="inlineStr">
        <is>
          <t>Will Heal</t>
        </is>
      </c>
      <c r="D983" s="122" t="inlineStr">
        <is>
          <t>Total</t>
        </is>
      </c>
      <c r="E983" s="122" t="n">
        <v>0.8</v>
      </c>
      <c r="F983" s="122" t="n">
        <v>15</v>
      </c>
      <c r="G983" s="122" t="n">
        <v>12</v>
      </c>
      <c r="I983" s="58">
        <f>IF(B983&lt;&gt;"",B983,"")</f>
        <v/>
      </c>
    </row>
    <row r="984" ht="15.75" customHeight="1" s="146">
      <c r="D984" s="122" t="inlineStr">
        <is>
          <t>Business Matrix</t>
        </is>
      </c>
      <c r="E984" s="122" t="n">
        <v>1</v>
      </c>
      <c r="F984" s="122" t="n">
        <v>6</v>
      </c>
      <c r="G984" s="122" t="n">
        <v>6</v>
      </c>
      <c r="I984" s="58">
        <f>IF(B984&lt;&gt;"",B984,"")</f>
        <v/>
      </c>
    </row>
    <row r="985" ht="15.75" customHeight="1" s="146">
      <c r="C985" s="122" t="n"/>
      <c r="D985" s="122" t="inlineStr">
        <is>
          <t>Grounds Person</t>
        </is>
      </c>
      <c r="E985" s="122" t="n">
        <v>0.8</v>
      </c>
      <c r="F985" s="122" t="n">
        <v>5</v>
      </c>
      <c r="G985" s="122" t="n">
        <v>4</v>
      </c>
      <c r="I985" s="58">
        <f>IF(B985&lt;&gt;"",B985,"")</f>
        <v/>
      </c>
    </row>
    <row r="986" ht="15.75" customHeight="1" s="146">
      <c r="D986" s="122" t="inlineStr">
        <is>
          <t>Customer - Utility Arboriculture</t>
        </is>
      </c>
      <c r="E986" s="122" t="n">
        <v>0.5</v>
      </c>
      <c r="F986" s="122" t="n">
        <v>4</v>
      </c>
      <c r="G986" s="122" t="n">
        <v>2</v>
      </c>
      <c r="I986" s="58">
        <f>IF(B986&lt;&gt;"",B986,"")</f>
        <v/>
      </c>
    </row>
    <row r="987" ht="15.75" customHeight="1" s="146">
      <c r="C987" t="inlineStr">
        <is>
          <t>Oliver Radford</t>
        </is>
      </c>
      <c r="D987" s="122" t="inlineStr">
        <is>
          <t>Total</t>
        </is>
      </c>
      <c r="E987" s="122" t="n">
        <v>0.77</v>
      </c>
      <c r="F987" s="122" t="n">
        <v>17</v>
      </c>
      <c r="G987" s="122" t="n">
        <v>13</v>
      </c>
      <c r="I987" s="58">
        <f>IF(B987&lt;&gt;"",B987,"")</f>
        <v/>
      </c>
    </row>
    <row r="988" ht="15.75" customHeight="1" s="146">
      <c r="D988" s="122" t="inlineStr">
        <is>
          <t>Business Matrix</t>
        </is>
      </c>
      <c r="E988" s="122" t="n">
        <v>1</v>
      </c>
      <c r="F988" s="122" t="n">
        <v>6</v>
      </c>
      <c r="G988" s="122" t="n">
        <v>6</v>
      </c>
      <c r="I988" s="58">
        <f>IF(B988&lt;&gt;"",B988,"")</f>
        <v/>
      </c>
    </row>
    <row r="989" ht="15.75" customHeight="1" s="146">
      <c r="C989" s="122" t="n"/>
      <c r="D989" s="122" t="inlineStr">
        <is>
          <t>Arborist</t>
        </is>
      </c>
      <c r="E989" s="122" t="n">
        <v>0.86</v>
      </c>
      <c r="F989" s="122" t="n">
        <v>7</v>
      </c>
      <c r="G989" s="122" t="n">
        <v>6</v>
      </c>
      <c r="I989" s="58">
        <f>IF(B989&lt;&gt;"",B989,"")</f>
        <v/>
      </c>
    </row>
    <row r="990" ht="15.75" customHeight="1" s="146">
      <c r="D990" s="122" t="inlineStr">
        <is>
          <t>Customer - Utility Arboriculture</t>
        </is>
      </c>
      <c r="E990" s="122" t="n">
        <v>0.25</v>
      </c>
      <c r="F990" s="122" t="n">
        <v>4</v>
      </c>
      <c r="G990" s="122" t="n">
        <v>1</v>
      </c>
      <c r="I990" s="58">
        <f>IF(B990&lt;&gt;"",B990,"")</f>
        <v/>
      </c>
    </row>
    <row r="991" ht="15.75" customHeight="1" s="146">
      <c r="B991" s="122" t="n"/>
      <c r="C991" s="122" t="inlineStr">
        <is>
          <t>evan goulding</t>
        </is>
      </c>
      <c r="D991" t="inlineStr">
        <is>
          <t>Total</t>
        </is>
      </c>
      <c r="E991" s="122" t="n">
        <v>0.6</v>
      </c>
      <c r="F991" s="122" t="n">
        <v>15</v>
      </c>
      <c r="G991" s="122" t="n">
        <v>9</v>
      </c>
      <c r="H991" s="57" t="n"/>
      <c r="I991" s="58">
        <f>IF(B991&lt;&gt;"",B991,"")</f>
        <v/>
      </c>
    </row>
    <row r="992" ht="15.75" customHeight="1" s="146">
      <c r="C992" s="122" t="n"/>
      <c r="D992" s="122" t="inlineStr">
        <is>
          <t>Business Matrix</t>
        </is>
      </c>
      <c r="E992" s="122" t="n">
        <v>1</v>
      </c>
      <c r="F992" s="122" t="n">
        <v>6</v>
      </c>
      <c r="G992" s="122" t="n">
        <v>6</v>
      </c>
      <c r="I992" s="58">
        <f>IF(B992&lt;&gt;"",B992,"")</f>
        <v/>
      </c>
    </row>
    <row r="993" ht="15.75" customHeight="1" s="146">
      <c r="D993" s="122" t="inlineStr">
        <is>
          <t>Grounds Person</t>
        </is>
      </c>
      <c r="E993" s="122" t="n">
        <v>0.4</v>
      </c>
      <c r="F993" s="122" t="n">
        <v>5</v>
      </c>
      <c r="G993" s="122" t="n">
        <v>2</v>
      </c>
      <c r="I993" s="58">
        <f>IF(B993&lt;&gt;"",B993,"")</f>
        <v/>
      </c>
    </row>
    <row r="994" ht="15.75" customHeight="1" s="146">
      <c r="D994" s="122" t="inlineStr">
        <is>
          <t>Customer - Utility Arboriculture</t>
        </is>
      </c>
      <c r="E994" s="122" t="n">
        <v>0.25</v>
      </c>
      <c r="F994" s="122" t="n">
        <v>4</v>
      </c>
      <c r="G994" s="122" t="n">
        <v>1</v>
      </c>
      <c r="I994" s="58">
        <f>IF(B994&lt;&gt;"",B994,"")</f>
        <v/>
      </c>
    </row>
    <row r="995" ht="15.75" customHeight="1" s="146">
      <c r="C995" t="inlineStr">
        <is>
          <t>sam gold</t>
        </is>
      </c>
      <c r="D995" s="122" t="inlineStr">
        <is>
          <t>Total</t>
        </is>
      </c>
      <c r="E995" s="122" t="n">
        <v>0.24</v>
      </c>
      <c r="F995" s="122" t="n">
        <v>17</v>
      </c>
      <c r="G995" s="122" t="n">
        <v>4</v>
      </c>
      <c r="I995" s="58">
        <f>IF(B995&lt;&gt;"",B995,"")</f>
        <v/>
      </c>
    </row>
    <row r="996" ht="15.75" customHeight="1" s="146">
      <c r="C996" s="122" t="n"/>
      <c r="D996" s="122" t="inlineStr">
        <is>
          <t>Arborist</t>
        </is>
      </c>
      <c r="E996" s="122" t="n">
        <v>0.58</v>
      </c>
      <c r="F996" s="122" t="n">
        <v>7</v>
      </c>
      <c r="G996" s="122" t="n">
        <v>4</v>
      </c>
      <c r="I996" s="58">
        <f>IF(B996&lt;&gt;"",B996,"")</f>
        <v/>
      </c>
    </row>
    <row r="997" ht="15.75" customHeight="1" s="146">
      <c r="D997" s="122" t="inlineStr">
        <is>
          <t>Business Matrix</t>
        </is>
      </c>
      <c r="E997" s="122" t="n">
        <v>0</v>
      </c>
      <c r="F997" s="122" t="n">
        <v>6</v>
      </c>
      <c r="G997" s="122" t="n">
        <v>0</v>
      </c>
      <c r="I997" s="58">
        <f>IF(B997&lt;&gt;"",B997,"")</f>
        <v/>
      </c>
    </row>
    <row r="998" ht="15.75" customHeight="1" s="146">
      <c r="D998" s="122" t="inlineStr">
        <is>
          <t>Customer - Utility Arboriculture</t>
        </is>
      </c>
      <c r="E998" s="122" t="n">
        <v>0</v>
      </c>
      <c r="F998" s="122" t="n">
        <v>4</v>
      </c>
      <c r="G998" s="122" t="n">
        <v>0</v>
      </c>
      <c r="I998" s="58">
        <f>IF(B998&lt;&gt;"",B998,"")</f>
        <v/>
      </c>
    </row>
    <row r="999" ht="15.75" customHeight="1" s="146">
      <c r="B999" t="inlineStr">
        <is>
          <t>Jack Cotterill Tree Services Ltd</t>
        </is>
      </c>
      <c r="C999" s="122" t="inlineStr">
        <is>
          <t>Total</t>
        </is>
      </c>
      <c r="D999" s="122" t="n"/>
      <c r="E999" s="122" t="n">
        <v>0.65</v>
      </c>
      <c r="F999" s="122" t="n">
        <v>260</v>
      </c>
      <c r="G999" s="122" t="n">
        <v>167</v>
      </c>
      <c r="H999" s="189" t="n">
        <v>45264</v>
      </c>
      <c r="I999" s="58">
        <f>IF(B999&lt;&gt;"",B999,"")</f>
        <v/>
      </c>
    </row>
    <row r="1000" ht="15.75" customHeight="1" s="146">
      <c r="C1000" t="inlineStr">
        <is>
          <t>Jack Cotterill</t>
        </is>
      </c>
      <c r="D1000" s="122" t="inlineStr">
        <is>
          <t>Total</t>
        </is>
      </c>
      <c r="E1000" s="122" t="n">
        <v>1</v>
      </c>
      <c r="F1000" s="122" t="n">
        <v>17</v>
      </c>
      <c r="G1000" s="122" t="n">
        <v>17</v>
      </c>
      <c r="I1000" s="58">
        <f>IF(B1000&lt;&gt;"",B1000,"")</f>
        <v/>
      </c>
    </row>
    <row r="1001" ht="15.75" customHeight="1" s="146">
      <c r="B1001" s="122" t="n"/>
      <c r="C1001" s="122" t="n"/>
      <c r="D1001" t="inlineStr">
        <is>
          <t>Arborist</t>
        </is>
      </c>
      <c r="E1001" s="122" t="n">
        <v>1</v>
      </c>
      <c r="F1001" s="122" t="n">
        <v>7</v>
      </c>
      <c r="G1001" s="122" t="n">
        <v>7</v>
      </c>
      <c r="H1001" s="57" t="n"/>
      <c r="I1001" s="58">
        <f>IF(B1001&lt;&gt;"",B1001,"")</f>
        <v/>
      </c>
    </row>
    <row r="1002" ht="15.75" customHeight="1" s="146">
      <c r="C1002" s="122" t="n"/>
      <c r="D1002" s="122" t="inlineStr">
        <is>
          <t>Business Matrix</t>
        </is>
      </c>
      <c r="E1002" s="122" t="n">
        <v>1</v>
      </c>
      <c r="F1002" s="122" t="n">
        <v>6</v>
      </c>
      <c r="G1002" s="122" t="n">
        <v>6</v>
      </c>
      <c r="I1002" s="58">
        <f>IF(B1002&lt;&gt;"",B1002,"")</f>
        <v/>
      </c>
    </row>
    <row r="1003" ht="15.75" customHeight="1" s="146">
      <c r="D1003" s="122" t="inlineStr">
        <is>
          <t>Customer - Utility Arboriculture</t>
        </is>
      </c>
      <c r="E1003" s="122" t="n">
        <v>1</v>
      </c>
      <c r="F1003" s="122" t="n">
        <v>4</v>
      </c>
      <c r="G1003" s="122" t="n">
        <v>4</v>
      </c>
      <c r="I1003" s="58">
        <f>IF(B1003&lt;&gt;"",B1003,"")</f>
        <v/>
      </c>
    </row>
    <row r="1004" ht="15.75" customHeight="1" s="146">
      <c r="C1004" s="122" t="inlineStr">
        <is>
          <t>Jack Cotterill Tree Services Ltd .</t>
        </is>
      </c>
      <c r="D1004" s="122" t="inlineStr">
        <is>
          <t>Total</t>
        </is>
      </c>
      <c r="E1004" s="122" t="n">
        <v>1</v>
      </c>
      <c r="F1004" s="122" t="n">
        <v>4</v>
      </c>
      <c r="G1004" s="122" t="n">
        <v>4</v>
      </c>
      <c r="I1004" s="58">
        <f>IF(B1004&lt;&gt;"",B1004,"")</f>
        <v/>
      </c>
    </row>
    <row r="1005" ht="15.75" customHeight="1" s="146">
      <c r="D1005" s="122" t="inlineStr">
        <is>
          <t>Team Matrix</t>
        </is>
      </c>
      <c r="E1005" s="122" t="n">
        <v>1</v>
      </c>
      <c r="F1005" s="122" t="n">
        <v>4</v>
      </c>
      <c r="G1005" s="122" t="n">
        <v>4</v>
      </c>
      <c r="I1005" s="58">
        <f>IF(B1005&lt;&gt;"",B1005,"")</f>
        <v/>
      </c>
    </row>
    <row r="1006" ht="15.75" customHeight="1" s="146">
      <c r="C1006" t="inlineStr">
        <is>
          <t>Liam Ansell</t>
        </is>
      </c>
      <c r="D1006" s="122" t="inlineStr">
        <is>
          <t>Total</t>
        </is>
      </c>
      <c r="E1006" s="122" t="n">
        <v>1</v>
      </c>
      <c r="F1006" s="122" t="n">
        <v>17</v>
      </c>
      <c r="G1006" s="122" t="n">
        <v>17</v>
      </c>
      <c r="I1006" s="58">
        <f>IF(B1006&lt;&gt;"",B1006,"")</f>
        <v/>
      </c>
    </row>
    <row r="1007" ht="15.75" customHeight="1" s="146">
      <c r="D1007" s="122" t="inlineStr">
        <is>
          <t>Arborist</t>
        </is>
      </c>
      <c r="E1007" s="122" t="n">
        <v>1</v>
      </c>
      <c r="F1007" s="122" t="n">
        <v>7</v>
      </c>
      <c r="G1007" s="122" t="n">
        <v>7</v>
      </c>
      <c r="I1007" s="58">
        <f>IF(B1007&lt;&gt;"",B1007,"")</f>
        <v/>
      </c>
    </row>
    <row r="1008" ht="15.75" customHeight="1" s="146">
      <c r="B1008" s="122" t="n"/>
      <c r="C1008" s="122" t="n"/>
      <c r="D1008" t="inlineStr">
        <is>
          <t>Business Matrix</t>
        </is>
      </c>
      <c r="E1008" s="122" t="n">
        <v>1</v>
      </c>
      <c r="F1008" s="122" t="n">
        <v>6</v>
      </c>
      <c r="G1008" s="122" t="n">
        <v>6</v>
      </c>
      <c r="H1008" s="57" t="n"/>
      <c r="I1008" s="58">
        <f>IF(B1008&lt;&gt;"",B1008,"")</f>
        <v/>
      </c>
    </row>
    <row r="1009" ht="15.75" customHeight="1" s="146">
      <c r="C1009" s="122" t="n"/>
      <c r="D1009" s="122" t="inlineStr">
        <is>
          <t>Customer - Utility Arboriculture</t>
        </is>
      </c>
      <c r="E1009" s="122" t="n">
        <v>1</v>
      </c>
      <c r="F1009" s="122" t="n">
        <v>4</v>
      </c>
      <c r="G1009" s="122" t="n">
        <v>4</v>
      </c>
      <c r="I1009" s="58">
        <f>IF(B1009&lt;&gt;"",B1009,"")</f>
        <v/>
      </c>
    </row>
    <row r="1010" ht="15.75" customHeight="1" s="146">
      <c r="C1010" t="inlineStr">
        <is>
          <t>Max Pugh</t>
        </is>
      </c>
      <c r="D1010" s="122" t="inlineStr">
        <is>
          <t>Total</t>
        </is>
      </c>
      <c r="E1010" s="122" t="n">
        <v>1</v>
      </c>
      <c r="F1010" s="122" t="n">
        <v>15</v>
      </c>
      <c r="G1010" s="122" t="n">
        <v>15</v>
      </c>
      <c r="I1010" s="58">
        <f>IF(B1010&lt;&gt;"",B1010,"")</f>
        <v/>
      </c>
    </row>
    <row r="1011" ht="15.75" customHeight="1" s="146">
      <c r="D1011" s="122" t="inlineStr">
        <is>
          <t>Business Matrix</t>
        </is>
      </c>
      <c r="E1011" s="122" t="n">
        <v>1</v>
      </c>
      <c r="F1011" s="122" t="n">
        <v>6</v>
      </c>
      <c r="G1011" s="122" t="n">
        <v>6</v>
      </c>
      <c r="I1011" s="58">
        <f>IF(B1011&lt;&gt;"",B1011,"")</f>
        <v/>
      </c>
    </row>
    <row r="1012" ht="15.75" customHeight="1" s="146">
      <c r="D1012" s="122" t="inlineStr">
        <is>
          <t>Customer - Utility Arboriculture</t>
        </is>
      </c>
      <c r="E1012" s="122" t="n">
        <v>1</v>
      </c>
      <c r="F1012" s="122" t="n">
        <v>4</v>
      </c>
      <c r="G1012" s="122" t="n">
        <v>4</v>
      </c>
      <c r="I1012" s="58">
        <f>IF(B1012&lt;&gt;"",B1012,"")</f>
        <v/>
      </c>
    </row>
    <row r="1013" ht="15.75" customHeight="1" s="146">
      <c r="C1013" s="122" t="n"/>
      <c r="D1013" s="122" t="inlineStr">
        <is>
          <t>Grounds Person</t>
        </is>
      </c>
      <c r="E1013" s="122" t="n">
        <v>1</v>
      </c>
      <c r="F1013" s="122" t="n">
        <v>5</v>
      </c>
      <c r="G1013" s="122" t="n">
        <v>5</v>
      </c>
      <c r="I1013" s="58">
        <f>IF(B1013&lt;&gt;"",B1013,"")</f>
        <v/>
      </c>
    </row>
    <row r="1014" ht="15.75" customHeight="1" s="146">
      <c r="C1014" t="inlineStr">
        <is>
          <t>Oliver Blocksidge</t>
        </is>
      </c>
      <c r="D1014" s="122" t="inlineStr">
        <is>
          <t>Total</t>
        </is>
      </c>
      <c r="E1014" s="122" t="n">
        <v>1</v>
      </c>
      <c r="F1014" s="122" t="n">
        <v>17</v>
      </c>
      <c r="G1014" s="122" t="n">
        <v>17</v>
      </c>
      <c r="I1014" s="58">
        <f>IF(B1014&lt;&gt;"",B1014,"")</f>
        <v/>
      </c>
    </row>
    <row r="1015" ht="15.75" customHeight="1" s="146">
      <c r="C1015" s="122" t="n"/>
      <c r="D1015" s="122" t="inlineStr">
        <is>
          <t>Arborist</t>
        </is>
      </c>
      <c r="E1015" s="122" t="n">
        <v>1</v>
      </c>
      <c r="F1015" s="122" t="n">
        <v>7</v>
      </c>
      <c r="G1015" s="122" t="n">
        <v>7</v>
      </c>
      <c r="I1015" s="58">
        <f>IF(B1015&lt;&gt;"",B1015,"")</f>
        <v/>
      </c>
    </row>
    <row r="1016" ht="15.75" customHeight="1" s="146">
      <c r="D1016" s="122" t="inlineStr">
        <is>
          <t>Business Matrix</t>
        </is>
      </c>
      <c r="E1016" s="122" t="n">
        <v>1</v>
      </c>
      <c r="F1016" s="122" t="n">
        <v>6</v>
      </c>
      <c r="G1016" s="122" t="n">
        <v>6</v>
      </c>
      <c r="I1016" s="58">
        <f>IF(B1016&lt;&gt;"",B1016,"")</f>
        <v/>
      </c>
    </row>
    <row r="1017" ht="15.75" customHeight="1" s="146">
      <c r="D1017" s="122" t="inlineStr">
        <is>
          <t>Customer - Utility Arboriculture</t>
        </is>
      </c>
      <c r="E1017" s="122" t="n">
        <v>1</v>
      </c>
      <c r="F1017" s="122" t="n">
        <v>4</v>
      </c>
      <c r="G1017" s="122" t="n">
        <v>4</v>
      </c>
      <c r="I1017" s="58">
        <f>IF(B1017&lt;&gt;"",B1017,"")</f>
        <v/>
      </c>
    </row>
    <row r="1018" ht="15.75" customHeight="1" s="146">
      <c r="C1018" t="inlineStr">
        <is>
          <t>Robert Ambrose</t>
        </is>
      </c>
      <c r="D1018" s="122" t="inlineStr">
        <is>
          <t>Total</t>
        </is>
      </c>
      <c r="E1018" s="122" t="n">
        <v>1</v>
      </c>
      <c r="F1018" s="122" t="n">
        <v>17</v>
      </c>
      <c r="G1018" s="122" t="n">
        <v>17</v>
      </c>
      <c r="I1018" s="58">
        <f>IF(B1018&lt;&gt;"",B1018,"")</f>
        <v/>
      </c>
    </row>
    <row r="1019" ht="15.75" customHeight="1" s="146">
      <c r="C1019" s="122" t="n"/>
      <c r="D1019" s="122" t="inlineStr">
        <is>
          <t>Arborist</t>
        </is>
      </c>
      <c r="E1019" s="122" t="n">
        <v>1</v>
      </c>
      <c r="F1019" s="122" t="n">
        <v>7</v>
      </c>
      <c r="G1019" s="122" t="n">
        <v>7</v>
      </c>
      <c r="I1019" s="58">
        <f>IF(B1019&lt;&gt;"",B1019,"")</f>
        <v/>
      </c>
    </row>
    <row r="1020" ht="15.75" customHeight="1" s="146">
      <c r="D1020" s="122" t="inlineStr">
        <is>
          <t>Business Matrix</t>
        </is>
      </c>
      <c r="E1020" s="122" t="n">
        <v>1</v>
      </c>
      <c r="F1020" s="122" t="n">
        <v>6</v>
      </c>
      <c r="G1020" s="122" t="n">
        <v>6</v>
      </c>
      <c r="I1020" s="58">
        <f>IF(B1020&lt;&gt;"",B1020,"")</f>
        <v/>
      </c>
    </row>
    <row r="1021" ht="15.75" customHeight="1" s="146">
      <c r="D1021" s="122" t="inlineStr">
        <is>
          <t>Customer - Utility Arboriculture</t>
        </is>
      </c>
      <c r="E1021" s="122" t="n">
        <v>1</v>
      </c>
      <c r="F1021" s="122" t="n">
        <v>4</v>
      </c>
      <c r="G1021" s="122" t="n">
        <v>4</v>
      </c>
      <c r="I1021" s="58">
        <f>IF(B1021&lt;&gt;"",B1021,"")</f>
        <v/>
      </c>
    </row>
    <row r="1022" ht="15.75" customHeight="1" s="146">
      <c r="C1022" t="inlineStr">
        <is>
          <t>Samuel Grove-Wallace</t>
        </is>
      </c>
      <c r="D1022" s="122" t="inlineStr">
        <is>
          <t>Total</t>
        </is>
      </c>
      <c r="E1022" s="122" t="n">
        <v>1</v>
      </c>
      <c r="F1022" s="122" t="n">
        <v>15</v>
      </c>
      <c r="G1022" s="122" t="n">
        <v>15</v>
      </c>
      <c r="I1022" s="58">
        <f>IF(B1022&lt;&gt;"",B1022,"")</f>
        <v/>
      </c>
    </row>
    <row r="1023" ht="15.75" customHeight="1" s="146">
      <c r="B1023" s="122" t="n"/>
      <c r="C1023" s="122" t="n"/>
      <c r="D1023" t="inlineStr">
        <is>
          <t>Business Matrix</t>
        </is>
      </c>
      <c r="E1023" s="122" t="n">
        <v>1</v>
      </c>
      <c r="F1023" s="122" t="n">
        <v>6</v>
      </c>
      <c r="G1023" s="122" t="n">
        <v>6</v>
      </c>
      <c r="H1023" s="57" t="n"/>
      <c r="I1023" s="58">
        <f>IF(B1023&lt;&gt;"",B1023,"")</f>
        <v/>
      </c>
    </row>
    <row r="1024" ht="15.75" customHeight="1" s="146">
      <c r="C1024" s="122" t="n"/>
      <c r="D1024" s="122" t="inlineStr">
        <is>
          <t>Customer - Utility Arboriculture</t>
        </is>
      </c>
      <c r="E1024" s="122" t="n">
        <v>1</v>
      </c>
      <c r="F1024" s="122" t="n">
        <v>4</v>
      </c>
      <c r="G1024" s="122" t="n">
        <v>4</v>
      </c>
      <c r="I1024" s="58">
        <f>IF(B1024&lt;&gt;"",B1024,"")</f>
        <v/>
      </c>
    </row>
    <row r="1025" ht="15.75" customHeight="1" s="146">
      <c r="D1025" s="122" t="inlineStr">
        <is>
          <t>Grounds Person</t>
        </is>
      </c>
      <c r="E1025" s="122" t="n">
        <v>1</v>
      </c>
      <c r="F1025" s="122" t="n">
        <v>5</v>
      </c>
      <c r="G1025" s="122" t="n">
        <v>5</v>
      </c>
      <c r="I1025" s="58">
        <f>IF(B1025&lt;&gt;"",B1025,"")</f>
        <v/>
      </c>
    </row>
    <row r="1026" ht="15.75" customHeight="1" s="146">
      <c r="C1026" t="inlineStr">
        <is>
          <t>Oliver Banfield</t>
        </is>
      </c>
      <c r="D1026" s="122" t="inlineStr">
        <is>
          <t>Total</t>
        </is>
      </c>
      <c r="E1026" s="122" t="n">
        <v>0.8</v>
      </c>
      <c r="F1026" s="122" t="n">
        <v>15</v>
      </c>
      <c r="G1026" s="122" t="n">
        <v>12</v>
      </c>
      <c r="I1026" s="58">
        <f>IF(B1026&lt;&gt;"",B1026,"")</f>
        <v/>
      </c>
    </row>
    <row r="1027" ht="15.75" customHeight="1" s="146">
      <c r="C1027" s="122" t="n"/>
      <c r="D1027" s="122" t="inlineStr">
        <is>
          <t>Business Matrix</t>
        </is>
      </c>
      <c r="E1027" s="122" t="n">
        <v>1</v>
      </c>
      <c r="F1027" s="122" t="n">
        <v>6</v>
      </c>
      <c r="G1027" s="122" t="n">
        <v>6</v>
      </c>
      <c r="I1027" s="58">
        <f>IF(B1027&lt;&gt;"",B1027,"")</f>
        <v/>
      </c>
    </row>
    <row r="1028" ht="15.75" customHeight="1" s="146">
      <c r="D1028" s="122" t="inlineStr">
        <is>
          <t>Grounds Person</t>
        </is>
      </c>
      <c r="E1028" s="122" t="n">
        <v>1</v>
      </c>
      <c r="F1028" s="122" t="n">
        <v>5</v>
      </c>
      <c r="G1028" s="122" t="n">
        <v>5</v>
      </c>
      <c r="I1028" s="58">
        <f>IF(B1028&lt;&gt;"",B1028,"")</f>
        <v/>
      </c>
    </row>
    <row r="1029" ht="15.75" customHeight="1" s="146">
      <c r="D1029" s="122" t="inlineStr">
        <is>
          <t>Customer - Utility Arboriculture</t>
        </is>
      </c>
      <c r="E1029" s="122" t="n">
        <v>0.25</v>
      </c>
      <c r="F1029" s="122" t="n">
        <v>4</v>
      </c>
      <c r="G1029" s="122" t="n">
        <v>1</v>
      </c>
      <c r="I1029" s="58">
        <f>IF(B1029&lt;&gt;"",B1029,"")</f>
        <v/>
      </c>
    </row>
    <row r="1030" ht="15.75" customHeight="1" s="146">
      <c r="C1030" t="inlineStr">
        <is>
          <t>Simon Crisp</t>
        </is>
      </c>
      <c r="D1030" s="122" t="inlineStr">
        <is>
          <t>Total</t>
        </is>
      </c>
      <c r="E1030" s="122" t="n">
        <v>0.77</v>
      </c>
      <c r="F1030" s="122" t="n">
        <v>17</v>
      </c>
      <c r="G1030" s="122" t="n">
        <v>13</v>
      </c>
      <c r="I1030" s="58">
        <f>IF(B1030&lt;&gt;"",B1030,"")</f>
        <v/>
      </c>
    </row>
    <row r="1031" ht="15.75" customHeight="1" s="146">
      <c r="C1031" s="122" t="n"/>
      <c r="D1031" s="122" t="inlineStr">
        <is>
          <t>Business Matrix</t>
        </is>
      </c>
      <c r="E1031" s="122" t="n">
        <v>1</v>
      </c>
      <c r="F1031" s="122" t="n">
        <v>6</v>
      </c>
      <c r="G1031" s="122" t="n">
        <v>6</v>
      </c>
      <c r="I1031" s="58">
        <f>IF(B1031&lt;&gt;"",B1031,"")</f>
        <v/>
      </c>
    </row>
    <row r="1032" ht="15.75" customHeight="1" s="146">
      <c r="D1032" s="122" t="inlineStr">
        <is>
          <t>Arborist</t>
        </is>
      </c>
      <c r="E1032" s="122" t="n">
        <v>0.86</v>
      </c>
      <c r="F1032" s="122" t="n">
        <v>7</v>
      </c>
      <c r="G1032" s="122" t="n">
        <v>6</v>
      </c>
      <c r="I1032" s="58">
        <f>IF(B1032&lt;&gt;"",B1032,"")</f>
        <v/>
      </c>
    </row>
    <row r="1033" ht="15.75" customHeight="1" s="146">
      <c r="D1033" s="122" t="inlineStr">
        <is>
          <t>Customer - Utility Arboriculture</t>
        </is>
      </c>
      <c r="E1033" s="122" t="n">
        <v>0.25</v>
      </c>
      <c r="F1033" s="122" t="n">
        <v>4</v>
      </c>
      <c r="G1033" s="122" t="n">
        <v>1</v>
      </c>
      <c r="I1033" s="58">
        <f>IF(B1033&lt;&gt;"",B1033,"")</f>
        <v/>
      </c>
    </row>
    <row r="1034" ht="15.75" customHeight="1" s="146">
      <c r="C1034" t="inlineStr">
        <is>
          <t>Bradley Bartlett</t>
        </is>
      </c>
      <c r="D1034" s="122" t="inlineStr">
        <is>
          <t>Total</t>
        </is>
      </c>
      <c r="E1034" s="122" t="n">
        <v>0.65</v>
      </c>
      <c r="F1034" s="122" t="n">
        <v>17</v>
      </c>
      <c r="G1034" s="122" t="n">
        <v>11</v>
      </c>
      <c r="I1034" s="58">
        <f>IF(B1034&lt;&gt;"",B1034,"")</f>
        <v/>
      </c>
    </row>
    <row r="1035" ht="15.75" customHeight="1" s="146">
      <c r="C1035" s="122" t="n"/>
      <c r="D1035" s="122" t="inlineStr">
        <is>
          <t>Arborist</t>
        </is>
      </c>
      <c r="E1035" s="122" t="n">
        <v>0.86</v>
      </c>
      <c r="F1035" s="122" t="n">
        <v>7</v>
      </c>
      <c r="G1035" s="122" t="n">
        <v>6</v>
      </c>
      <c r="I1035" s="58">
        <f>IF(B1035&lt;&gt;"",B1035,"")</f>
        <v/>
      </c>
    </row>
    <row r="1036" ht="15.75" customHeight="1" s="146">
      <c r="D1036" s="122" t="inlineStr">
        <is>
          <t>Business Matrix</t>
        </is>
      </c>
      <c r="E1036" s="122" t="n">
        <v>0.67</v>
      </c>
      <c r="F1036" s="122" t="n">
        <v>6</v>
      </c>
      <c r="G1036" s="122" t="n">
        <v>4</v>
      </c>
      <c r="I1036" s="58">
        <f>IF(B1036&lt;&gt;"",B1036,"")</f>
        <v/>
      </c>
    </row>
    <row r="1037" ht="15.75" customHeight="1" s="146">
      <c r="D1037" s="122" t="inlineStr">
        <is>
          <t>Customer - Utility Arboriculture</t>
        </is>
      </c>
      <c r="E1037" s="122" t="n">
        <v>0.25</v>
      </c>
      <c r="F1037" s="122" t="n">
        <v>4</v>
      </c>
      <c r="G1037" s="122" t="n">
        <v>1</v>
      </c>
      <c r="I1037" s="58">
        <f>IF(B1037&lt;&gt;"",B1037,"")</f>
        <v/>
      </c>
    </row>
    <row r="1038" ht="15.75" customHeight="1" s="146">
      <c r="C1038" t="inlineStr">
        <is>
          <t>Jay Broad</t>
        </is>
      </c>
      <c r="D1038" s="122" t="inlineStr">
        <is>
          <t>Total</t>
        </is>
      </c>
      <c r="E1038" s="122" t="n">
        <v>0.54</v>
      </c>
      <c r="F1038" s="122" t="n">
        <v>15</v>
      </c>
      <c r="G1038" s="122" t="n">
        <v>8</v>
      </c>
      <c r="I1038" s="58">
        <f>IF(B1038&lt;&gt;"",B1038,"")</f>
        <v/>
      </c>
    </row>
    <row r="1039" ht="15.75" customHeight="1" s="146">
      <c r="C1039" s="122" t="n"/>
      <c r="D1039" s="122" t="inlineStr">
        <is>
          <t>Business Matrix</t>
        </is>
      </c>
      <c r="E1039" s="122" t="n">
        <v>0.67</v>
      </c>
      <c r="F1039" s="122" t="n">
        <v>6</v>
      </c>
      <c r="G1039" s="122" t="n">
        <v>4</v>
      </c>
      <c r="I1039" s="58">
        <f>IF(B1039&lt;&gt;"",B1039,"")</f>
        <v/>
      </c>
    </row>
    <row r="1040" ht="15.75" customHeight="1" s="146">
      <c r="D1040" s="122" t="inlineStr">
        <is>
          <t>Grounds Person</t>
        </is>
      </c>
      <c r="E1040" s="122" t="n">
        <v>0.6</v>
      </c>
      <c r="F1040" s="122" t="n">
        <v>5</v>
      </c>
      <c r="G1040" s="122" t="n">
        <v>3</v>
      </c>
      <c r="I1040" s="58">
        <f>IF(B1040&lt;&gt;"",B1040,"")</f>
        <v/>
      </c>
    </row>
    <row r="1041" ht="15.75" customHeight="1" s="146">
      <c r="D1041" s="122" t="inlineStr">
        <is>
          <t>Customer - Utility Arboriculture</t>
        </is>
      </c>
      <c r="E1041" s="122" t="n">
        <v>0.25</v>
      </c>
      <c r="F1041" s="122" t="n">
        <v>4</v>
      </c>
      <c r="G1041" s="122" t="n">
        <v>1</v>
      </c>
      <c r="I1041" s="58">
        <f>IF(B1041&lt;&gt;"",B1041,"")</f>
        <v/>
      </c>
    </row>
    <row r="1042" ht="15.75" customHeight="1" s="146">
      <c r="C1042" t="inlineStr">
        <is>
          <t>Gregory Parsons</t>
        </is>
      </c>
      <c r="D1042" s="122" t="inlineStr">
        <is>
          <t>Total</t>
        </is>
      </c>
      <c r="E1042" s="122" t="n">
        <v>0.42</v>
      </c>
      <c r="F1042" s="122" t="n">
        <v>17</v>
      </c>
      <c r="G1042" s="122" t="n">
        <v>7</v>
      </c>
      <c r="I1042" s="58">
        <f>IF(B1042&lt;&gt;"",B1042,"")</f>
        <v/>
      </c>
    </row>
    <row r="1043" ht="15.75" customHeight="1" s="146">
      <c r="C1043" s="122" t="n"/>
      <c r="D1043" s="122" t="inlineStr">
        <is>
          <t>Arborist</t>
        </is>
      </c>
      <c r="E1043" s="122" t="n">
        <v>0.72</v>
      </c>
      <c r="F1043" s="122" t="n">
        <v>7</v>
      </c>
      <c r="G1043" s="122" t="n">
        <v>5</v>
      </c>
      <c r="I1043" s="58">
        <f>IF(B1043&lt;&gt;"",B1043,"")</f>
        <v/>
      </c>
    </row>
    <row r="1044" ht="15.75" customHeight="1" s="146">
      <c r="D1044" s="122" t="inlineStr">
        <is>
          <t>Customer - Utility Arboriculture</t>
        </is>
      </c>
      <c r="E1044" s="122" t="n">
        <v>0.25</v>
      </c>
      <c r="F1044" s="122" t="n">
        <v>4</v>
      </c>
      <c r="G1044" s="122" t="n">
        <v>1</v>
      </c>
      <c r="I1044" s="58">
        <f>IF(B1044&lt;&gt;"",B1044,"")</f>
        <v/>
      </c>
    </row>
    <row r="1045" ht="15.75" customHeight="1" s="146">
      <c r="C1045" s="122" t="n"/>
      <c r="D1045" s="122" t="inlineStr">
        <is>
          <t>Business Matrix</t>
        </is>
      </c>
      <c r="E1045" s="122" t="n">
        <v>0.17</v>
      </c>
      <c r="F1045" s="122" t="n">
        <v>6</v>
      </c>
      <c r="G1045" s="122" t="n">
        <v>1</v>
      </c>
      <c r="I1045" s="58">
        <f>IF(B1045&lt;&gt;"",B1045,"")</f>
        <v/>
      </c>
    </row>
    <row r="1046" ht="15.75" customHeight="1" s="146">
      <c r="C1046" t="inlineStr">
        <is>
          <t>Joe Taviner</t>
        </is>
      </c>
      <c r="D1046" s="122" t="inlineStr">
        <is>
          <t>Total</t>
        </is>
      </c>
      <c r="E1046" s="122" t="n">
        <v>0.34</v>
      </c>
      <c r="F1046" s="122" t="n">
        <v>15</v>
      </c>
      <c r="G1046" s="122" t="n">
        <v>5</v>
      </c>
      <c r="I1046" s="58">
        <f>IF(B1046&lt;&gt;"",B1046,"")</f>
        <v/>
      </c>
    </row>
    <row r="1047" ht="15.75" customHeight="1" s="146">
      <c r="D1047" s="122" t="inlineStr">
        <is>
          <t>Grounds Person</t>
        </is>
      </c>
      <c r="E1047" s="122" t="n">
        <v>0.6</v>
      </c>
      <c r="F1047" s="122" t="n">
        <v>5</v>
      </c>
      <c r="G1047" s="122" t="n">
        <v>3</v>
      </c>
      <c r="I1047" s="58">
        <f>IF(B1047&lt;&gt;"",B1047,"")</f>
        <v/>
      </c>
    </row>
    <row r="1048" ht="15.75" customHeight="1" s="146">
      <c r="D1048" s="122" t="inlineStr">
        <is>
          <t>Customer - Utility Arboriculture</t>
        </is>
      </c>
      <c r="E1048" s="122" t="n">
        <v>0.25</v>
      </c>
      <c r="F1048" s="122" t="n">
        <v>4</v>
      </c>
      <c r="G1048" s="122" t="n">
        <v>1</v>
      </c>
      <c r="I1048" s="58">
        <f>IF(B1048&lt;&gt;"",B1048,"")</f>
        <v/>
      </c>
    </row>
    <row r="1049" ht="15.75" customHeight="1" s="146">
      <c r="B1049" s="122" t="n"/>
      <c r="C1049" s="122" t="n"/>
      <c r="D1049" t="inlineStr">
        <is>
          <t>Business Matrix</t>
        </is>
      </c>
      <c r="E1049" s="122" t="n">
        <v>0.17</v>
      </c>
      <c r="F1049" s="122" t="n">
        <v>6</v>
      </c>
      <c r="G1049" s="122" t="n">
        <v>1</v>
      </c>
      <c r="H1049" s="57" t="n"/>
      <c r="I1049" s="58">
        <f>IF(B1049&lt;&gt;"",B1049,"")</f>
        <v/>
      </c>
    </row>
    <row r="1050" ht="15.75" customHeight="1" s="146">
      <c r="C1050" s="122" t="inlineStr">
        <is>
          <t>Ryan Varley</t>
        </is>
      </c>
      <c r="D1050" s="122" t="inlineStr">
        <is>
          <t>Total</t>
        </is>
      </c>
      <c r="E1050" s="122" t="n">
        <v>0.34</v>
      </c>
      <c r="F1050" s="122" t="n">
        <v>15</v>
      </c>
      <c r="G1050" s="122" t="n">
        <v>5</v>
      </c>
      <c r="I1050" s="58">
        <f>IF(B1050&lt;&gt;"",B1050,"")</f>
        <v/>
      </c>
    </row>
    <row r="1051" ht="15.75" customHeight="1" s="146">
      <c r="D1051" s="122" t="inlineStr">
        <is>
          <t>Grounds Person</t>
        </is>
      </c>
      <c r="E1051" s="122" t="n">
        <v>0.6</v>
      </c>
      <c r="F1051" s="122" t="n">
        <v>5</v>
      </c>
      <c r="G1051" s="122" t="n">
        <v>3</v>
      </c>
      <c r="I1051" s="58">
        <f>IF(B1051&lt;&gt;"",B1051,"")</f>
        <v/>
      </c>
    </row>
    <row r="1052" ht="15.75" customHeight="1" s="146">
      <c r="D1052" s="122" t="inlineStr">
        <is>
          <t>Customer - Utility Arboriculture</t>
        </is>
      </c>
      <c r="E1052" s="122" t="n">
        <v>0.25</v>
      </c>
      <c r="F1052" s="122" t="n">
        <v>4</v>
      </c>
      <c r="G1052" s="122" t="n">
        <v>1</v>
      </c>
      <c r="I1052" s="58">
        <f>IF(B1052&lt;&gt;"",B1052,"")</f>
        <v/>
      </c>
    </row>
    <row r="1053" ht="15.75" customHeight="1" s="146">
      <c r="D1053" s="122" t="inlineStr">
        <is>
          <t>Business Matrix</t>
        </is>
      </c>
      <c r="E1053" s="122" t="n">
        <v>0.17</v>
      </c>
      <c r="F1053" s="122" t="n">
        <v>6</v>
      </c>
      <c r="G1053" s="122" t="n">
        <v>1</v>
      </c>
      <c r="I1053" s="58">
        <f>IF(B1053&lt;&gt;"",B1053,"")</f>
        <v/>
      </c>
    </row>
    <row r="1054" ht="15.75" customHeight="1" s="146">
      <c r="C1054" t="inlineStr">
        <is>
          <t>Samuel Boughey</t>
        </is>
      </c>
      <c r="D1054" s="122" t="inlineStr">
        <is>
          <t>Total</t>
        </is>
      </c>
      <c r="E1054" s="122" t="n">
        <v>0.14</v>
      </c>
      <c r="F1054" s="122" t="n">
        <v>15</v>
      </c>
      <c r="G1054" s="122" t="n">
        <v>2</v>
      </c>
      <c r="I1054" s="58">
        <f>IF(B1054&lt;&gt;"",B1054,"")</f>
        <v/>
      </c>
    </row>
    <row r="1055" ht="15.75" customHeight="1" s="146">
      <c r="D1055" s="122" t="inlineStr">
        <is>
          <t>Grounds Person</t>
        </is>
      </c>
      <c r="E1055" s="122" t="n">
        <v>0.2</v>
      </c>
      <c r="F1055" s="122" t="n">
        <v>5</v>
      </c>
      <c r="G1055" s="122" t="n">
        <v>1</v>
      </c>
      <c r="I1055" s="58">
        <f>IF(B1055&lt;&gt;"",B1055,"")</f>
        <v/>
      </c>
    </row>
    <row r="1056" ht="15.75" customHeight="1" s="146">
      <c r="D1056" s="122" t="inlineStr">
        <is>
          <t>Business Matrix</t>
        </is>
      </c>
      <c r="E1056" s="122" t="n">
        <v>0.17</v>
      </c>
      <c r="F1056" s="122" t="n">
        <v>6</v>
      </c>
      <c r="G1056" s="122" t="n">
        <v>1</v>
      </c>
      <c r="I1056" s="58">
        <f>IF(B1056&lt;&gt;"",B1056,"")</f>
        <v/>
      </c>
    </row>
    <row r="1057" ht="15.75" customHeight="1" s="146">
      <c r="D1057" s="122" t="inlineStr">
        <is>
          <t>Customer - Utility Arboriculture</t>
        </is>
      </c>
      <c r="E1057" s="122" t="n">
        <v>0</v>
      </c>
      <c r="F1057" s="122" t="n">
        <v>4</v>
      </c>
      <c r="G1057" s="122" t="n">
        <v>0</v>
      </c>
      <c r="I1057" s="58">
        <f>IF(B1057&lt;&gt;"",B1057,"")</f>
        <v/>
      </c>
    </row>
    <row r="1058" ht="15.75" customHeight="1" s="146">
      <c r="C1058" t="inlineStr">
        <is>
          <t>Dominic Chauhan</t>
        </is>
      </c>
      <c r="D1058" s="122" t="inlineStr">
        <is>
          <t>Total</t>
        </is>
      </c>
      <c r="E1058" s="122" t="n">
        <v>0.06999999999999999</v>
      </c>
      <c r="F1058" s="122" t="n">
        <v>15</v>
      </c>
      <c r="G1058" s="122" t="n">
        <v>1</v>
      </c>
      <c r="I1058" s="58">
        <f>IF(B1058&lt;&gt;"",B1058,"")</f>
        <v/>
      </c>
    </row>
    <row r="1059" ht="15.75" customHeight="1" s="146">
      <c r="C1059" s="122" t="n"/>
      <c r="D1059" s="122" t="inlineStr">
        <is>
          <t>Business Matrix</t>
        </is>
      </c>
      <c r="E1059" s="122" t="n">
        <v>0.17</v>
      </c>
      <c r="F1059" s="122" t="n">
        <v>6</v>
      </c>
      <c r="G1059" s="122" t="n">
        <v>1</v>
      </c>
      <c r="I1059" s="58">
        <f>IF(B1059&lt;&gt;"",B1059,"")</f>
        <v/>
      </c>
    </row>
    <row r="1060" ht="15.75" customHeight="1" s="146">
      <c r="D1060" s="122" t="inlineStr">
        <is>
          <t>Customer - Utility Arboriculture</t>
        </is>
      </c>
      <c r="E1060" s="122" t="n">
        <v>0</v>
      </c>
      <c r="F1060" s="122" t="n">
        <v>4</v>
      </c>
      <c r="G1060" s="122" t="n">
        <v>0</v>
      </c>
      <c r="I1060" s="58">
        <f>IF(B1060&lt;&gt;"",B1060,"")</f>
        <v/>
      </c>
    </row>
    <row r="1061" ht="15.75" customHeight="1" s="146">
      <c r="D1061" s="122" t="inlineStr">
        <is>
          <t>Grounds Person</t>
        </is>
      </c>
      <c r="E1061" s="122" t="n">
        <v>0</v>
      </c>
      <c r="F1061" s="122" t="n">
        <v>5</v>
      </c>
      <c r="G1061" s="122" t="n">
        <v>0</v>
      </c>
      <c r="I1061" s="58">
        <f>IF(B1061&lt;&gt;"",B1061,"")</f>
        <v/>
      </c>
    </row>
    <row r="1062" ht="15.75" customHeight="1" s="146">
      <c r="C1062" t="inlineStr">
        <is>
          <t>Luke Tailby</t>
        </is>
      </c>
      <c r="D1062" s="122" t="inlineStr">
        <is>
          <t>Total</t>
        </is>
      </c>
      <c r="E1062" s="122" t="n">
        <v>0.06</v>
      </c>
      <c r="F1062" s="122" t="n">
        <v>17</v>
      </c>
      <c r="G1062" s="122" t="n">
        <v>1</v>
      </c>
      <c r="I1062" s="58">
        <f>IF(B1062&lt;&gt;"",B1062,"")</f>
        <v/>
      </c>
    </row>
    <row r="1063" ht="15.75" customHeight="1" s="146">
      <c r="C1063" s="122" t="n"/>
      <c r="D1063" s="122" t="inlineStr">
        <is>
          <t>Business Matrix</t>
        </is>
      </c>
      <c r="E1063" s="122" t="n">
        <v>0.17</v>
      </c>
      <c r="F1063" s="122" t="n">
        <v>6</v>
      </c>
      <c r="G1063" s="122" t="n">
        <v>1</v>
      </c>
      <c r="I1063" s="58">
        <f>IF(B1063&lt;&gt;"",B1063,"")</f>
        <v/>
      </c>
    </row>
    <row r="1064" ht="15.75" customHeight="1" s="146">
      <c r="D1064" s="122" t="inlineStr">
        <is>
          <t>Arborist</t>
        </is>
      </c>
      <c r="E1064" s="122" t="n">
        <v>0</v>
      </c>
      <c r="F1064" s="122" t="n">
        <v>7</v>
      </c>
      <c r="G1064" s="122" t="n">
        <v>0</v>
      </c>
      <c r="I1064" s="58">
        <f>IF(B1064&lt;&gt;"",B1064,"")</f>
        <v/>
      </c>
    </row>
    <row r="1065" ht="15.75" customHeight="1" s="146">
      <c r="D1065" s="122" t="inlineStr">
        <is>
          <t>Customer - Utility Arboriculture</t>
        </is>
      </c>
      <c r="E1065" s="122" t="n">
        <v>0</v>
      </c>
      <c r="F1065" s="122" t="n">
        <v>4</v>
      </c>
      <c r="G1065" s="122" t="n">
        <v>0</v>
      </c>
      <c r="I1065" s="58">
        <f>IF(B1065&lt;&gt;"",B1065,"")</f>
        <v/>
      </c>
    </row>
    <row r="1066" ht="15.75" customHeight="1" s="146">
      <c r="B1066" t="inlineStr">
        <is>
          <t>Down To Earth Tree Management</t>
        </is>
      </c>
      <c r="C1066" t="inlineStr">
        <is>
          <t>Total</t>
        </is>
      </c>
      <c r="D1066" s="122" t="n"/>
      <c r="E1066" s="122" t="n">
        <v>0.64</v>
      </c>
      <c r="F1066" s="122" t="n">
        <v>55</v>
      </c>
      <c r="G1066" s="122" t="n">
        <v>35</v>
      </c>
      <c r="H1066" s="189" t="n">
        <v>45040</v>
      </c>
      <c r="I1066" s="58">
        <f>IF(B1066&lt;&gt;"",B1066,"")</f>
        <v/>
      </c>
    </row>
    <row r="1067" ht="15.75" customHeight="1" s="146">
      <c r="C1067" s="122" t="inlineStr">
        <is>
          <t>Down To Earth Tree Management</t>
        </is>
      </c>
      <c r="D1067" s="122" t="inlineStr">
        <is>
          <t>Total</t>
        </is>
      </c>
      <c r="E1067" s="122" t="n">
        <v>1</v>
      </c>
      <c r="F1067" s="122" t="n">
        <v>4</v>
      </c>
      <c r="G1067" s="122" t="n">
        <v>4</v>
      </c>
      <c r="I1067" s="58">
        <f>IF(B1067&lt;&gt;"",B1067,"")</f>
        <v/>
      </c>
    </row>
    <row r="1068" ht="15.75" customHeight="1" s="146">
      <c r="D1068" s="122" t="inlineStr">
        <is>
          <t>Team Matrix</t>
        </is>
      </c>
      <c r="E1068" s="122" t="n">
        <v>1</v>
      </c>
      <c r="F1068" s="122" t="n">
        <v>4</v>
      </c>
      <c r="G1068" s="122" t="n">
        <v>4</v>
      </c>
      <c r="I1068" s="58">
        <f>IF(B1068&lt;&gt;"",B1068,"")</f>
        <v/>
      </c>
    </row>
    <row r="1069" ht="15.75" customHeight="1" s="146">
      <c r="B1069" s="122" t="n"/>
      <c r="C1069" s="122" t="inlineStr">
        <is>
          <t>Charlie Batten</t>
        </is>
      </c>
      <c r="D1069" t="inlineStr">
        <is>
          <t>Total</t>
        </is>
      </c>
      <c r="E1069" s="122" t="n">
        <v>0.71</v>
      </c>
      <c r="F1069" s="122" t="n">
        <v>17</v>
      </c>
      <c r="G1069" s="122" t="n">
        <v>12</v>
      </c>
      <c r="H1069" s="57" t="n"/>
      <c r="I1069" s="58">
        <f>IF(B1069&lt;&gt;"",B1069,"")</f>
        <v/>
      </c>
    </row>
    <row r="1070" ht="15.75" customHeight="1" s="146">
      <c r="C1070" s="122" t="n"/>
      <c r="D1070" s="122" t="inlineStr">
        <is>
          <t>Arborist</t>
        </is>
      </c>
      <c r="E1070" s="122" t="n">
        <v>0.86</v>
      </c>
      <c r="F1070" s="122" t="n">
        <v>7</v>
      </c>
      <c r="G1070" s="122" t="n">
        <v>6</v>
      </c>
      <c r="I1070" s="58">
        <f>IF(B1070&lt;&gt;"",B1070,"")</f>
        <v/>
      </c>
    </row>
    <row r="1071" ht="15.75" customHeight="1" s="146">
      <c r="D1071" s="122" t="inlineStr">
        <is>
          <t>Business Matrix</t>
        </is>
      </c>
      <c r="E1071" s="122" t="n">
        <v>0.84</v>
      </c>
      <c r="F1071" s="122" t="n">
        <v>6</v>
      </c>
      <c r="G1071" s="122" t="n">
        <v>5</v>
      </c>
      <c r="I1071" s="58">
        <f>IF(B1071&lt;&gt;"",B1071,"")</f>
        <v/>
      </c>
    </row>
    <row r="1072" ht="15.75" customHeight="1" s="146">
      <c r="D1072" s="122" t="inlineStr">
        <is>
          <t>Customer - Utility Arboriculture</t>
        </is>
      </c>
      <c r="E1072" s="122" t="n">
        <v>0.25</v>
      </c>
      <c r="F1072" s="122" t="n">
        <v>4</v>
      </c>
      <c r="G1072" s="122" t="n">
        <v>1</v>
      </c>
      <c r="I1072" s="58">
        <f>IF(B1072&lt;&gt;"",B1072,"")</f>
        <v/>
      </c>
    </row>
    <row r="1073" ht="15.75" customHeight="1" s="146">
      <c r="C1073" t="inlineStr">
        <is>
          <t>Myles Greenwood</t>
        </is>
      </c>
      <c r="D1073" s="122" t="inlineStr">
        <is>
          <t>Total</t>
        </is>
      </c>
      <c r="E1073" s="122" t="n">
        <v>0.59</v>
      </c>
      <c r="F1073" s="122" t="n">
        <v>17</v>
      </c>
      <c r="G1073" s="122" t="n">
        <v>10</v>
      </c>
      <c r="I1073" s="58">
        <f>IF(B1073&lt;&gt;"",B1073,"")</f>
        <v/>
      </c>
    </row>
    <row r="1074" ht="15.75" customHeight="1" s="146">
      <c r="C1074" s="122" t="n"/>
      <c r="D1074" s="122" t="inlineStr">
        <is>
          <t>Business Matrix</t>
        </is>
      </c>
      <c r="E1074" s="122" t="n">
        <v>0.84</v>
      </c>
      <c r="F1074" s="122" t="n">
        <v>6</v>
      </c>
      <c r="G1074" s="122" t="n">
        <v>5</v>
      </c>
      <c r="I1074" s="58">
        <f>IF(B1074&lt;&gt;"",B1074,"")</f>
        <v/>
      </c>
    </row>
    <row r="1075" ht="15.75" customHeight="1" s="146">
      <c r="D1075" s="122" t="inlineStr">
        <is>
          <t>Arborist</t>
        </is>
      </c>
      <c r="E1075" s="122" t="n">
        <v>0.72</v>
      </c>
      <c r="F1075" s="122" t="n">
        <v>7</v>
      </c>
      <c r="G1075" s="122" t="n">
        <v>5</v>
      </c>
      <c r="I1075" s="58">
        <f>IF(B1075&lt;&gt;"",B1075,"")</f>
        <v/>
      </c>
    </row>
    <row r="1076" ht="15.75" customHeight="1" s="146">
      <c r="D1076" s="122" t="inlineStr">
        <is>
          <t>Customer - Utility Arboriculture</t>
        </is>
      </c>
      <c r="E1076" s="122" t="n">
        <v>0</v>
      </c>
      <c r="F1076" s="122" t="n">
        <v>4</v>
      </c>
      <c r="G1076" s="122" t="n">
        <v>0</v>
      </c>
      <c r="I1076" s="58">
        <f>IF(B1076&lt;&gt;"",B1076,"")</f>
        <v/>
      </c>
    </row>
    <row r="1077" ht="15.75" customHeight="1" s="146">
      <c r="C1077" t="inlineStr">
        <is>
          <t>William Clark</t>
        </is>
      </c>
      <c r="D1077" s="122" t="inlineStr">
        <is>
          <t>Total</t>
        </is>
      </c>
      <c r="E1077" s="122" t="n">
        <v>0.53</v>
      </c>
      <c r="F1077" s="122" t="n">
        <v>17</v>
      </c>
      <c r="G1077" s="122" t="n">
        <v>9</v>
      </c>
      <c r="I1077" s="58">
        <f>IF(B1077&lt;&gt;"",B1077,"")</f>
        <v/>
      </c>
    </row>
    <row r="1078" ht="15.75" customHeight="1" s="146">
      <c r="C1078" s="122" t="n"/>
      <c r="D1078" s="122" t="inlineStr">
        <is>
          <t>Business Matrix</t>
        </is>
      </c>
      <c r="E1078" s="122" t="n">
        <v>0.67</v>
      </c>
      <c r="F1078" s="122" t="n">
        <v>6</v>
      </c>
      <c r="G1078" s="122" t="n">
        <v>4</v>
      </c>
      <c r="I1078" s="58">
        <f>IF(B1078&lt;&gt;"",B1078,"")</f>
        <v/>
      </c>
    </row>
    <row r="1079" ht="15.75" customHeight="1" s="146">
      <c r="D1079" s="122" t="inlineStr">
        <is>
          <t>Arborist</t>
        </is>
      </c>
      <c r="E1079" s="122" t="n">
        <v>0.58</v>
      </c>
      <c r="F1079" s="122" t="n">
        <v>7</v>
      </c>
      <c r="G1079" s="122" t="n">
        <v>4</v>
      </c>
      <c r="I1079" s="58">
        <f>IF(B1079&lt;&gt;"",B1079,"")</f>
        <v/>
      </c>
    </row>
    <row r="1080" ht="15.75" customHeight="1" s="146">
      <c r="D1080" s="122" t="inlineStr">
        <is>
          <t>Customer - Utility Arboriculture</t>
        </is>
      </c>
      <c r="E1080" s="122" t="n">
        <v>0.25</v>
      </c>
      <c r="F1080" s="122" t="n">
        <v>4</v>
      </c>
      <c r="G1080" s="122" t="n">
        <v>1</v>
      </c>
      <c r="I1080" s="58">
        <f>IF(B1080&lt;&gt;"",B1080,"")</f>
        <v/>
      </c>
    </row>
    <row r="1081" ht="15.75" customHeight="1" s="146">
      <c r="B1081" t="inlineStr">
        <is>
          <t>Bathams Tree Care Ltd</t>
        </is>
      </c>
      <c r="C1081" t="inlineStr">
        <is>
          <t>Total</t>
        </is>
      </c>
      <c r="D1081" s="122" t="n"/>
      <c r="E1081" s="122" t="n">
        <v>0.59</v>
      </c>
      <c r="F1081" s="122" t="n">
        <v>79</v>
      </c>
      <c r="G1081" s="122" t="n">
        <v>46</v>
      </c>
      <c r="H1081" s="189" t="n">
        <v>45330</v>
      </c>
      <c r="I1081" s="58">
        <f>IF(B1081&lt;&gt;"",B1081,"")</f>
        <v/>
      </c>
    </row>
    <row r="1082" ht="15.75" customHeight="1" s="146">
      <c r="C1082" s="122" t="inlineStr">
        <is>
          <t>mathew Harper</t>
        </is>
      </c>
      <c r="D1082" s="122" t="inlineStr">
        <is>
          <t>Total</t>
        </is>
      </c>
      <c r="E1082" s="122" t="n">
        <v>0.83</v>
      </c>
      <c r="F1082" s="122" t="n">
        <v>17</v>
      </c>
      <c r="G1082" s="122" t="n">
        <v>14</v>
      </c>
      <c r="I1082" s="58">
        <f>IF(B1082&lt;&gt;"",B1082,"")</f>
        <v/>
      </c>
    </row>
    <row r="1083" ht="15.75" customHeight="1" s="146">
      <c r="D1083" s="122" t="inlineStr">
        <is>
          <t>Customer - Utility Arboriculture</t>
        </is>
      </c>
      <c r="E1083" s="122" t="n">
        <v>1</v>
      </c>
      <c r="F1083" s="122" t="n">
        <v>4</v>
      </c>
      <c r="G1083" s="122" t="n">
        <v>4</v>
      </c>
      <c r="I1083" s="58">
        <f>IF(B1083&lt;&gt;"",B1083,"")</f>
        <v/>
      </c>
    </row>
    <row r="1084" ht="15.75" customHeight="1" s="146">
      <c r="D1084" s="122" t="inlineStr">
        <is>
          <t>Arborist</t>
        </is>
      </c>
      <c r="E1084" s="122" t="n">
        <v>0.86</v>
      </c>
      <c r="F1084" s="122" t="n">
        <v>7</v>
      </c>
      <c r="G1084" s="122" t="n">
        <v>6</v>
      </c>
      <c r="I1084" s="58">
        <f>IF(B1084&lt;&gt;"",B1084,"")</f>
        <v/>
      </c>
    </row>
    <row r="1085" ht="15.75" customHeight="1" s="146">
      <c r="D1085" s="122" t="inlineStr">
        <is>
          <t>Business Matrix</t>
        </is>
      </c>
      <c r="E1085" s="122" t="n">
        <v>0.67</v>
      </c>
      <c r="F1085" s="122" t="n">
        <v>6</v>
      </c>
      <c r="G1085" s="122" t="n">
        <v>4</v>
      </c>
      <c r="I1085" s="58">
        <f>IF(B1085&lt;&gt;"",B1085,"")</f>
        <v/>
      </c>
    </row>
    <row r="1086" ht="15.75" customHeight="1" s="146">
      <c r="C1086" s="122" t="inlineStr">
        <is>
          <t>James Batham</t>
        </is>
      </c>
      <c r="D1086" s="122" t="inlineStr">
        <is>
          <t>Total</t>
        </is>
      </c>
      <c r="E1086" s="122" t="n">
        <v>0.77</v>
      </c>
      <c r="F1086" s="122" t="n">
        <v>17</v>
      </c>
      <c r="G1086" s="122" t="n">
        <v>13</v>
      </c>
      <c r="I1086" s="58">
        <f>IF(B1086&lt;&gt;"",B1086,"")</f>
        <v/>
      </c>
    </row>
    <row r="1087" ht="15.75" customHeight="1" s="146">
      <c r="D1087" s="122" t="inlineStr">
        <is>
          <t>Arborist</t>
        </is>
      </c>
      <c r="E1087" s="122" t="n">
        <v>1</v>
      </c>
      <c r="F1087" s="122" t="n">
        <v>7</v>
      </c>
      <c r="G1087" s="122" t="n">
        <v>7</v>
      </c>
      <c r="I1087" s="58">
        <f>IF(B1087&lt;&gt;"",B1087,"")</f>
        <v/>
      </c>
    </row>
    <row r="1088" ht="15.75" customHeight="1" s="146">
      <c r="B1088" s="122" t="n"/>
      <c r="C1088" s="122" t="n"/>
      <c r="D1088" t="inlineStr">
        <is>
          <t>Business Matrix</t>
        </is>
      </c>
      <c r="E1088" s="122" t="n">
        <v>0.84</v>
      </c>
      <c r="F1088" s="122" t="n">
        <v>6</v>
      </c>
      <c r="G1088" s="122" t="n">
        <v>5</v>
      </c>
      <c r="H1088" s="57" t="n"/>
      <c r="I1088" s="58">
        <f>IF(B1088&lt;&gt;"",B1088,"")</f>
        <v/>
      </c>
    </row>
    <row r="1089" ht="15.75" customHeight="1" s="146">
      <c r="C1089" s="122" t="n"/>
      <c r="D1089" s="122" t="inlineStr">
        <is>
          <t>Customer - Utility Arboriculture</t>
        </is>
      </c>
      <c r="E1089" s="122" t="n">
        <v>0.25</v>
      </c>
      <c r="F1089" s="122" t="n">
        <v>4</v>
      </c>
      <c r="G1089" s="122" t="n">
        <v>1</v>
      </c>
      <c r="I1089" s="58">
        <f>IF(B1089&lt;&gt;"",B1089,"")</f>
        <v/>
      </c>
    </row>
    <row r="1090" ht="15.75" customHeight="1" s="146">
      <c r="C1090" t="inlineStr">
        <is>
          <t>Bathams Tree Care Ltd .</t>
        </is>
      </c>
      <c r="D1090" s="122" t="inlineStr">
        <is>
          <t>Total</t>
        </is>
      </c>
      <c r="E1090" s="122" t="n">
        <v>0.5</v>
      </c>
      <c r="F1090" s="122" t="n">
        <v>4</v>
      </c>
      <c r="G1090" s="122" t="n">
        <v>2</v>
      </c>
      <c r="I1090" s="58">
        <f>IF(B1090&lt;&gt;"",B1090,"")</f>
        <v/>
      </c>
    </row>
    <row r="1091" ht="15.75" customHeight="1" s="146">
      <c r="D1091" s="122" t="inlineStr">
        <is>
          <t>Team Matrix</t>
        </is>
      </c>
      <c r="E1091" s="122" t="n">
        <v>0.5</v>
      </c>
      <c r="F1091" s="122" t="n">
        <v>4</v>
      </c>
      <c r="G1091" s="122" t="n">
        <v>2</v>
      </c>
      <c r="I1091" s="58">
        <f>IF(B1091&lt;&gt;"",B1091,"")</f>
        <v/>
      </c>
    </row>
    <row r="1092" ht="15.75" customHeight="1" s="146">
      <c r="C1092" t="inlineStr">
        <is>
          <t>Tom Fraser</t>
        </is>
      </c>
      <c r="D1092" s="122" t="inlineStr">
        <is>
          <t>Total</t>
        </is>
      </c>
      <c r="E1092" s="122" t="n">
        <v>0.46</v>
      </c>
      <c r="F1092" s="122" t="n">
        <v>11</v>
      </c>
      <c r="G1092" s="122" t="n">
        <v>5</v>
      </c>
      <c r="I1092" s="58">
        <f>IF(B1092&lt;&gt;"",B1092,"")</f>
        <v/>
      </c>
    </row>
    <row r="1093" ht="15.75" customHeight="1" s="146">
      <c r="D1093" s="122" t="inlineStr">
        <is>
          <t>Business Matrix</t>
        </is>
      </c>
      <c r="E1093" s="122" t="n">
        <v>0.67</v>
      </c>
      <c r="F1093" s="122" t="n">
        <v>6</v>
      </c>
      <c r="G1093" s="122" t="n">
        <v>4</v>
      </c>
      <c r="I1093" s="58">
        <f>IF(B1093&lt;&gt;"",B1093,"")</f>
        <v/>
      </c>
    </row>
    <row r="1094" ht="15.75" customHeight="1" s="146">
      <c r="D1094" s="122" t="inlineStr">
        <is>
          <t>Grounds Person</t>
        </is>
      </c>
      <c r="E1094" s="122" t="n">
        <v>0.2</v>
      </c>
      <c r="F1094" s="122" t="n">
        <v>5</v>
      </c>
      <c r="G1094" s="122" t="n">
        <v>1</v>
      </c>
      <c r="I1094" s="58">
        <f>IF(B1094&lt;&gt;"",B1094,"")</f>
        <v/>
      </c>
    </row>
    <row r="1095" ht="15.75" customHeight="1" s="146">
      <c r="C1095" s="122" t="inlineStr">
        <is>
          <t>Connor - James Batham</t>
        </is>
      </c>
      <c r="D1095" s="122" t="inlineStr">
        <is>
          <t>Total</t>
        </is>
      </c>
      <c r="E1095" s="122" t="n">
        <v>0.4</v>
      </c>
      <c r="F1095" s="122" t="n">
        <v>15</v>
      </c>
      <c r="G1095" s="122" t="n">
        <v>6</v>
      </c>
      <c r="I1095" s="58">
        <f>IF(B1095&lt;&gt;"",B1095,"")</f>
        <v/>
      </c>
    </row>
    <row r="1096" ht="15.75" customHeight="1" s="146">
      <c r="D1096" s="122" t="inlineStr">
        <is>
          <t>Business Matrix</t>
        </is>
      </c>
      <c r="E1096" s="122" t="n">
        <v>0.84</v>
      </c>
      <c r="F1096" s="122" t="n">
        <v>6</v>
      </c>
      <c r="G1096" s="122" t="n">
        <v>5</v>
      </c>
      <c r="I1096" s="58">
        <f>IF(B1096&lt;&gt;"",B1096,"")</f>
        <v/>
      </c>
    </row>
    <row r="1097" ht="15.75" customHeight="1" s="146">
      <c r="D1097" s="122" t="inlineStr">
        <is>
          <t>Grounds Person</t>
        </is>
      </c>
      <c r="E1097" s="122" t="n">
        <v>0.2</v>
      </c>
      <c r="F1097" s="122" t="n">
        <v>5</v>
      </c>
      <c r="G1097" s="122" t="n">
        <v>1</v>
      </c>
      <c r="I1097" s="58">
        <f>IF(B1097&lt;&gt;"",B1097,"")</f>
        <v/>
      </c>
    </row>
    <row r="1098" ht="15.75" customHeight="1" s="146">
      <c r="D1098" s="122" t="inlineStr">
        <is>
          <t>Customer - Utility Arboriculture</t>
        </is>
      </c>
      <c r="E1098" s="122" t="n">
        <v>0</v>
      </c>
      <c r="F1098" s="122" t="n">
        <v>4</v>
      </c>
      <c r="G1098" s="122" t="n">
        <v>0</v>
      </c>
      <c r="I1098" s="58">
        <f>IF(B1098&lt;&gt;"",B1098,"")</f>
        <v/>
      </c>
    </row>
    <row r="1099" ht="15.75" customHeight="1" s="146">
      <c r="C1099" t="inlineStr">
        <is>
          <t>Keiran George</t>
        </is>
      </c>
      <c r="D1099" s="122" t="inlineStr">
        <is>
          <t>Total</t>
        </is>
      </c>
      <c r="E1099" s="122" t="n">
        <v>0.4</v>
      </c>
      <c r="F1099" s="122" t="n">
        <v>15</v>
      </c>
      <c r="G1099" s="122" t="n">
        <v>6</v>
      </c>
      <c r="I1099" s="58">
        <f>IF(B1099&lt;&gt;"",B1099,"")</f>
        <v/>
      </c>
    </row>
    <row r="1100" ht="15.75" customHeight="1" s="146">
      <c r="D1100" s="122" t="inlineStr">
        <is>
          <t>Business Matrix</t>
        </is>
      </c>
      <c r="E1100" s="122" t="n">
        <v>0.84</v>
      </c>
      <c r="F1100" s="122" t="n">
        <v>6</v>
      </c>
      <c r="G1100" s="122" t="n">
        <v>5</v>
      </c>
      <c r="I1100" s="58">
        <f>IF(B1100&lt;&gt;"",B1100,"")</f>
        <v/>
      </c>
    </row>
    <row r="1101" ht="15.75" customHeight="1" s="146">
      <c r="C1101" s="122" t="n"/>
      <c r="D1101" s="122" t="inlineStr">
        <is>
          <t>Grounds Person</t>
        </is>
      </c>
      <c r="E1101" s="122" t="n">
        <v>0.2</v>
      </c>
      <c r="F1101" s="122" t="n">
        <v>5</v>
      </c>
      <c r="G1101" s="122" t="n">
        <v>1</v>
      </c>
      <c r="I1101" s="58">
        <f>IF(B1101&lt;&gt;"",B1101,"")</f>
        <v/>
      </c>
    </row>
    <row r="1102" ht="15.75" customHeight="1" s="146">
      <c r="D1102" s="122" t="inlineStr">
        <is>
          <t>Customer - Utility Arboriculture</t>
        </is>
      </c>
      <c r="E1102" s="122" t="n">
        <v>0</v>
      </c>
      <c r="F1102" s="122" t="n">
        <v>4</v>
      </c>
      <c r="G1102" s="122" t="n">
        <v>0</v>
      </c>
      <c r="I1102" s="58">
        <f>IF(B1102&lt;&gt;"",B1102,"")</f>
        <v/>
      </c>
    </row>
    <row r="1103" ht="15.75" customHeight="1" s="146">
      <c r="B1103" t="inlineStr">
        <is>
          <t>New Leaf Arb Ltd</t>
        </is>
      </c>
      <c r="C1103" t="inlineStr">
        <is>
          <t>Total</t>
        </is>
      </c>
      <c r="D1103" s="122" t="n"/>
      <c r="E1103" s="122" t="n">
        <v>0.5700000000000001</v>
      </c>
      <c r="F1103" s="122" t="n">
        <v>53</v>
      </c>
      <c r="G1103" s="122" t="n">
        <v>30</v>
      </c>
      <c r="H1103" s="189" t="n">
        <v>41701</v>
      </c>
      <c r="I1103" s="58">
        <f>IF(B1103&lt;&gt;"",B1103,"")</f>
        <v/>
      </c>
    </row>
    <row r="1104" ht="15.75" customHeight="1" s="146">
      <c r="C1104" t="inlineStr">
        <is>
          <t>Will Rawlings</t>
        </is>
      </c>
      <c r="D1104" s="122" t="inlineStr">
        <is>
          <t>Total</t>
        </is>
      </c>
      <c r="E1104" s="122" t="n">
        <v>0.71</v>
      </c>
      <c r="F1104" s="122" t="n">
        <v>17</v>
      </c>
      <c r="G1104" s="122" t="n">
        <v>12</v>
      </c>
      <c r="I1104" s="58">
        <f>IF(B1104&lt;&gt;"",B1104,"")</f>
        <v/>
      </c>
    </row>
    <row r="1105" ht="15.75" customHeight="1" s="146">
      <c r="C1105" s="122" t="n"/>
      <c r="D1105" s="122" t="inlineStr">
        <is>
          <t>Business Matrix</t>
        </is>
      </c>
      <c r="E1105" s="122" t="n">
        <v>0.84</v>
      </c>
      <c r="F1105" s="122" t="n">
        <v>6</v>
      </c>
      <c r="G1105" s="122" t="n">
        <v>5</v>
      </c>
      <c r="I1105" s="58">
        <f>IF(B1105&lt;&gt;"",B1105,"")</f>
        <v/>
      </c>
    </row>
    <row r="1106" ht="15.75" customHeight="1" s="146">
      <c r="D1106" s="122" t="inlineStr">
        <is>
          <t>Customer - Utility Arboriculture</t>
        </is>
      </c>
      <c r="E1106" s="122" t="n">
        <v>0.75</v>
      </c>
      <c r="F1106" s="122" t="n">
        <v>4</v>
      </c>
      <c r="G1106" s="122" t="n">
        <v>3</v>
      </c>
      <c r="I1106" s="58">
        <f>IF(B1106&lt;&gt;"",B1106,"")</f>
        <v/>
      </c>
    </row>
    <row r="1107" ht="15.75" customHeight="1" s="146">
      <c r="D1107" s="122" t="inlineStr">
        <is>
          <t>Arborist</t>
        </is>
      </c>
      <c r="E1107" s="122" t="n">
        <v>0.58</v>
      </c>
      <c r="F1107" s="122" t="n">
        <v>7</v>
      </c>
      <c r="G1107" s="122" t="n">
        <v>4</v>
      </c>
      <c r="I1107" s="58">
        <f>IF(B1107&lt;&gt;"",B1107,"")</f>
        <v/>
      </c>
    </row>
    <row r="1108" ht="15.75" customHeight="1" s="146">
      <c r="C1108" t="inlineStr">
        <is>
          <t>John Lamond</t>
        </is>
      </c>
      <c r="D1108" s="122" t="inlineStr">
        <is>
          <t>Total</t>
        </is>
      </c>
      <c r="E1108" s="122" t="n">
        <v>0.54</v>
      </c>
      <c r="F1108" s="122" t="n">
        <v>15</v>
      </c>
      <c r="G1108" s="122" t="n">
        <v>8</v>
      </c>
      <c r="I1108" s="58">
        <f>IF(B1108&lt;&gt;"",B1108,"")</f>
        <v/>
      </c>
    </row>
    <row r="1109" ht="15.75" customHeight="1" s="146">
      <c r="D1109" s="122" t="inlineStr">
        <is>
          <t>Business Matrix</t>
        </is>
      </c>
      <c r="E1109" s="122" t="n">
        <v>0.84</v>
      </c>
      <c r="F1109" s="122" t="n">
        <v>6</v>
      </c>
      <c r="G1109" s="122" t="n">
        <v>5</v>
      </c>
      <c r="I1109" s="58">
        <f>IF(B1109&lt;&gt;"",B1109,"")</f>
        <v/>
      </c>
    </row>
    <row r="1110" ht="15.75" customHeight="1" s="146">
      <c r="D1110" s="122" t="inlineStr">
        <is>
          <t>Grounds Person</t>
        </is>
      </c>
      <c r="E1110" s="122" t="n">
        <v>0.6</v>
      </c>
      <c r="F1110" s="122" t="n">
        <v>5</v>
      </c>
      <c r="G1110" s="122" t="n">
        <v>3</v>
      </c>
      <c r="I1110" s="58">
        <f>IF(B1110&lt;&gt;"",B1110,"")</f>
        <v/>
      </c>
    </row>
    <row r="1111" ht="15.75" customHeight="1" s="146">
      <c r="C1111" s="122" t="n"/>
      <c r="D1111" s="122" t="inlineStr">
        <is>
          <t>Customer - Utility Arboriculture</t>
        </is>
      </c>
      <c r="E1111" s="122" t="n">
        <v>0</v>
      </c>
      <c r="F1111" s="122" t="n">
        <v>4</v>
      </c>
      <c r="G1111" s="122" t="n">
        <v>0</v>
      </c>
      <c r="I1111" s="58">
        <f>IF(B1111&lt;&gt;"",B1111,"")</f>
        <v/>
      </c>
    </row>
    <row r="1112" ht="15.75" customHeight="1" s="146">
      <c r="C1112" t="inlineStr">
        <is>
          <t>New Leaf Arb Ltd</t>
        </is>
      </c>
      <c r="D1112" s="122" t="inlineStr">
        <is>
          <t>Total</t>
        </is>
      </c>
      <c r="E1112" s="122" t="n">
        <v>0.5</v>
      </c>
      <c r="F1112" s="122" t="n">
        <v>4</v>
      </c>
      <c r="G1112" s="122" t="n">
        <v>2</v>
      </c>
      <c r="I1112" s="58">
        <f>IF(B1112&lt;&gt;"",B1112,"")</f>
        <v/>
      </c>
    </row>
    <row r="1113" ht="15.75" customHeight="1" s="146">
      <c r="D1113" s="122" t="inlineStr">
        <is>
          <t>Team Matrix</t>
        </is>
      </c>
      <c r="E1113" s="122" t="n">
        <v>0.5</v>
      </c>
      <c r="F1113" s="122" t="n">
        <v>4</v>
      </c>
      <c r="G1113" s="122" t="n">
        <v>2</v>
      </c>
      <c r="I1113" s="58">
        <f>IF(B1113&lt;&gt;"",B1113,"")</f>
        <v/>
      </c>
    </row>
    <row r="1114" ht="15.75" customHeight="1" s="146">
      <c r="C1114" t="inlineStr">
        <is>
          <t>Richard Ashford</t>
        </is>
      </c>
      <c r="D1114" s="122" t="inlineStr">
        <is>
          <t>Total</t>
        </is>
      </c>
      <c r="E1114" s="122" t="n">
        <v>0.48</v>
      </c>
      <c r="F1114" s="122" t="n">
        <v>17</v>
      </c>
      <c r="G1114" s="122" t="n">
        <v>8</v>
      </c>
      <c r="I1114" s="58">
        <f>IF(B1114&lt;&gt;"",B1114,"")</f>
        <v/>
      </c>
    </row>
    <row r="1115" ht="15.75" customHeight="1" s="146">
      <c r="D1115" s="122" t="inlineStr">
        <is>
          <t>Business Matrix</t>
        </is>
      </c>
      <c r="E1115" s="122" t="n">
        <v>0.84</v>
      </c>
      <c r="F1115" s="122" t="n">
        <v>6</v>
      </c>
      <c r="G1115" s="122" t="n">
        <v>5</v>
      </c>
      <c r="I1115" s="58">
        <f>IF(B1115&lt;&gt;"",B1115,"")</f>
        <v/>
      </c>
    </row>
    <row r="1116" ht="15.75" customHeight="1" s="146">
      <c r="D1116" s="122" t="inlineStr">
        <is>
          <t>Customer - Utility Arboriculture</t>
        </is>
      </c>
      <c r="E1116" s="122" t="n">
        <v>0.5</v>
      </c>
      <c r="F1116" s="122" t="n">
        <v>4</v>
      </c>
      <c r="G1116" s="122" t="n">
        <v>2</v>
      </c>
      <c r="I1116" s="58">
        <f>IF(B1116&lt;&gt;"",B1116,"")</f>
        <v/>
      </c>
    </row>
    <row r="1117" ht="15.75" customHeight="1" s="146">
      <c r="C1117" s="122" t="n"/>
      <c r="D1117" s="122" t="inlineStr">
        <is>
          <t>Arborist</t>
        </is>
      </c>
      <c r="E1117" s="122" t="n">
        <v>0.15</v>
      </c>
      <c r="F1117" s="122" t="n">
        <v>7</v>
      </c>
      <c r="G1117" s="122" t="n">
        <v>1</v>
      </c>
      <c r="I1117" s="58">
        <f>IF(B1117&lt;&gt;"",B1117,"")</f>
        <v/>
      </c>
    </row>
    <row r="1118" ht="15.75" customHeight="1" s="146">
      <c r="B1118" t="inlineStr">
        <is>
          <t>Cliff Tree Services Ian</t>
        </is>
      </c>
      <c r="C1118" t="inlineStr">
        <is>
          <t>Total</t>
        </is>
      </c>
      <c r="D1118" s="122" t="n"/>
      <c r="E1118" s="122" t="n">
        <v>0.5600000000000001</v>
      </c>
      <c r="F1118" s="122" t="n">
        <v>36</v>
      </c>
      <c r="G1118" s="122" t="n">
        <v>20</v>
      </c>
      <c r="H1118" s="189" t="n">
        <v>41464</v>
      </c>
      <c r="I1118" s="58">
        <f>IF(B1118&lt;&gt;"",B1118,"")</f>
        <v/>
      </c>
    </row>
    <row r="1119" ht="15.75" customHeight="1" s="146">
      <c r="C1119" t="inlineStr">
        <is>
          <t>Adam Harrowing</t>
        </is>
      </c>
      <c r="D1119" s="122" t="inlineStr">
        <is>
          <t>Total</t>
        </is>
      </c>
      <c r="E1119" s="122" t="n">
        <v>0.6</v>
      </c>
      <c r="F1119" s="122" t="n">
        <v>15</v>
      </c>
      <c r="G1119" s="122" t="n">
        <v>9</v>
      </c>
      <c r="I1119" s="58">
        <f>IF(B1119&lt;&gt;"",B1119,"")</f>
        <v/>
      </c>
    </row>
    <row r="1120" ht="15.75" customHeight="1" s="146">
      <c r="D1120" s="122" t="inlineStr">
        <is>
          <t>Grounds Person</t>
        </is>
      </c>
      <c r="E1120" s="122" t="n">
        <v>0.8</v>
      </c>
      <c r="F1120" s="122" t="n">
        <v>5</v>
      </c>
      <c r="G1120" s="122" t="n">
        <v>4</v>
      </c>
      <c r="I1120" s="58">
        <f>IF(B1120&lt;&gt;"",B1120,"")</f>
        <v/>
      </c>
    </row>
    <row r="1121" ht="15.75" customHeight="1" s="146">
      <c r="C1121" s="122" t="n"/>
      <c r="D1121" s="122" t="inlineStr">
        <is>
          <t>Business Matrix</t>
        </is>
      </c>
      <c r="E1121" s="122" t="n">
        <v>0.67</v>
      </c>
      <c r="F1121" s="122" t="n">
        <v>6</v>
      </c>
      <c r="G1121" s="122" t="n">
        <v>4</v>
      </c>
      <c r="I1121" s="58">
        <f>IF(B1121&lt;&gt;"",B1121,"")</f>
        <v/>
      </c>
    </row>
    <row r="1122" ht="15.75" customHeight="1" s="146">
      <c r="D1122" s="122" t="inlineStr">
        <is>
          <t>Customer - Utility Arboriculture</t>
        </is>
      </c>
      <c r="E1122" s="122" t="n">
        <v>0.25</v>
      </c>
      <c r="F1122" s="122" t="n">
        <v>4</v>
      </c>
      <c r="G1122" s="122" t="n">
        <v>1</v>
      </c>
      <c r="I1122" s="58">
        <f>IF(B1122&lt;&gt;"",B1122,"")</f>
        <v/>
      </c>
    </row>
    <row r="1123" ht="15.75" customHeight="1" s="146">
      <c r="C1123" s="122" t="inlineStr">
        <is>
          <t>Iain Edgar</t>
        </is>
      </c>
      <c r="D1123" s="122" t="inlineStr">
        <is>
          <t>Total</t>
        </is>
      </c>
      <c r="E1123" s="122" t="n">
        <v>0.53</v>
      </c>
      <c r="F1123" s="122" t="n">
        <v>17</v>
      </c>
      <c r="G1123" s="122" t="n">
        <v>9</v>
      </c>
      <c r="I1123" s="58">
        <f>IF(B1123&lt;&gt;"",B1123,"")</f>
        <v/>
      </c>
    </row>
    <row r="1124" ht="15.75" customHeight="1" s="146">
      <c r="D1124" s="122" t="inlineStr">
        <is>
          <t>Business Matrix</t>
        </is>
      </c>
      <c r="E1124" s="122" t="n">
        <v>0.84</v>
      </c>
      <c r="F1124" s="122" t="n">
        <v>6</v>
      </c>
      <c r="G1124" s="122" t="n">
        <v>5</v>
      </c>
      <c r="I1124" s="58">
        <f>IF(B1124&lt;&gt;"",B1124,"")</f>
        <v/>
      </c>
    </row>
    <row r="1125" ht="15.75" customHeight="1" s="146">
      <c r="D1125" s="122" t="inlineStr">
        <is>
          <t>Arborist</t>
        </is>
      </c>
      <c r="E1125" s="122" t="n">
        <v>0.58</v>
      </c>
      <c r="F1125" s="122" t="n">
        <v>7</v>
      </c>
      <c r="G1125" s="122" t="n">
        <v>4</v>
      </c>
      <c r="I1125" s="58">
        <f>IF(B1125&lt;&gt;"",B1125,"")</f>
        <v/>
      </c>
    </row>
    <row r="1126" ht="15.75" customHeight="1" s="146">
      <c r="D1126" s="122" t="inlineStr">
        <is>
          <t>Customer - Utility Arboriculture</t>
        </is>
      </c>
      <c r="E1126" s="122" t="n">
        <v>0</v>
      </c>
      <c r="F1126" s="122" t="n">
        <v>4</v>
      </c>
      <c r="G1126" s="122" t="n">
        <v>0</v>
      </c>
      <c r="I1126" s="58">
        <f>IF(B1126&lt;&gt;"",B1126,"")</f>
        <v/>
      </c>
    </row>
    <row r="1127" ht="15.75" customHeight="1" s="146">
      <c r="B1127" s="122" t="n"/>
      <c r="C1127" s="122" t="inlineStr">
        <is>
          <t>Cliff Tree Services Ian</t>
        </is>
      </c>
      <c r="D1127" t="inlineStr">
        <is>
          <t>Total</t>
        </is>
      </c>
      <c r="E1127" s="122" t="n">
        <v>0.5</v>
      </c>
      <c r="F1127" s="122" t="n">
        <v>4</v>
      </c>
      <c r="G1127" s="122" t="n">
        <v>2</v>
      </c>
      <c r="H1127" s="57" t="n"/>
      <c r="I1127" s="58">
        <f>IF(B1127&lt;&gt;"",B1127,"")</f>
        <v/>
      </c>
    </row>
    <row r="1128" ht="15.75" customHeight="1" s="146">
      <c r="C1128" s="122" t="n"/>
      <c r="D1128" s="122" t="inlineStr">
        <is>
          <t>Team Matrix</t>
        </is>
      </c>
      <c r="E1128" s="122" t="n">
        <v>0.5</v>
      </c>
      <c r="F1128" s="122" t="n">
        <v>4</v>
      </c>
      <c r="G1128" s="122" t="n">
        <v>2</v>
      </c>
      <c r="I1128" s="58">
        <f>IF(B1128&lt;&gt;"",B1128,"")</f>
        <v/>
      </c>
    </row>
    <row r="1129" ht="15.75" customHeight="1" s="146">
      <c r="B1129" t="inlineStr">
        <is>
          <t>Vale Tree Surgeons</t>
        </is>
      </c>
      <c r="C1129" t="inlineStr">
        <is>
          <t>Total</t>
        </is>
      </c>
      <c r="D1129" s="122" t="n"/>
      <c r="E1129" s="122" t="n">
        <v>0.5600000000000001</v>
      </c>
      <c r="F1129" s="122" t="n">
        <v>77</v>
      </c>
      <c r="G1129" s="122" t="n">
        <v>43</v>
      </c>
      <c r="H1129" s="189" t="n">
        <v>44375</v>
      </c>
      <c r="I1129" s="58">
        <f>IF(B1129&lt;&gt;"",B1129,"")</f>
        <v/>
      </c>
    </row>
    <row r="1130" ht="15.75" customHeight="1" s="146">
      <c r="C1130" t="inlineStr">
        <is>
          <t>Darren Witt</t>
        </is>
      </c>
      <c r="D1130" s="122" t="inlineStr">
        <is>
          <t>Total</t>
        </is>
      </c>
      <c r="E1130" s="122" t="n">
        <v>0.8</v>
      </c>
      <c r="F1130" s="122" t="n">
        <v>15</v>
      </c>
      <c r="G1130" s="122" t="n">
        <v>12</v>
      </c>
      <c r="I1130" s="58">
        <f>IF(B1130&lt;&gt;"",B1130,"")</f>
        <v/>
      </c>
    </row>
    <row r="1131" ht="15.75" customHeight="1" s="146">
      <c r="D1131" s="122" t="inlineStr">
        <is>
          <t>Customer - Utility Arboriculture</t>
        </is>
      </c>
      <c r="E1131" s="122" t="n">
        <v>1</v>
      </c>
      <c r="F1131" s="122" t="n">
        <v>4</v>
      </c>
      <c r="G1131" s="122" t="n">
        <v>4</v>
      </c>
      <c r="I1131" s="58">
        <f>IF(B1131&lt;&gt;"",B1131,"")</f>
        <v/>
      </c>
    </row>
    <row r="1132" ht="15.75" customHeight="1" s="146">
      <c r="C1132" s="122" t="n"/>
      <c r="D1132" s="122" t="inlineStr">
        <is>
          <t>Grounds Person</t>
        </is>
      </c>
      <c r="E1132" s="122" t="n">
        <v>0.8</v>
      </c>
      <c r="F1132" s="122" t="n">
        <v>5</v>
      </c>
      <c r="G1132" s="122" t="n">
        <v>4</v>
      </c>
      <c r="I1132" s="58">
        <f>IF(B1132&lt;&gt;"",B1132,"")</f>
        <v/>
      </c>
    </row>
    <row r="1133" ht="15.75" customHeight="1" s="146">
      <c r="D1133" s="122" t="inlineStr">
        <is>
          <t>Business Matrix</t>
        </is>
      </c>
      <c r="E1133" s="122" t="n">
        <v>0.67</v>
      </c>
      <c r="F1133" s="122" t="n">
        <v>6</v>
      </c>
      <c r="G1133" s="122" t="n">
        <v>4</v>
      </c>
      <c r="I1133" s="58">
        <f>IF(B1133&lt;&gt;"",B1133,"")</f>
        <v/>
      </c>
    </row>
    <row r="1134" ht="15.75" customHeight="1" s="146">
      <c r="C1134" s="122" t="inlineStr">
        <is>
          <t>Harry Woodcock</t>
        </is>
      </c>
      <c r="D1134" s="122" t="inlineStr">
        <is>
          <t>Total</t>
        </is>
      </c>
      <c r="E1134" s="122" t="n">
        <v>0.71</v>
      </c>
      <c r="F1134" s="122" t="n">
        <v>17</v>
      </c>
      <c r="G1134" s="122" t="n">
        <v>12</v>
      </c>
      <c r="I1134" s="58">
        <f>IF(B1134&lt;&gt;"",B1134,"")</f>
        <v/>
      </c>
    </row>
    <row r="1135" ht="15.75" customHeight="1" s="146">
      <c r="D1135" s="122" t="inlineStr">
        <is>
          <t>Customer - Utility Arboriculture</t>
        </is>
      </c>
      <c r="E1135" s="122" t="n">
        <v>0.75</v>
      </c>
      <c r="F1135" s="122" t="n">
        <v>4</v>
      </c>
      <c r="G1135" s="122" t="n">
        <v>3</v>
      </c>
      <c r="I1135" s="58">
        <f>IF(B1135&lt;&gt;"",B1135,"")</f>
        <v/>
      </c>
    </row>
    <row r="1136" ht="15.75" customHeight="1" s="146">
      <c r="D1136" s="122" t="inlineStr">
        <is>
          <t>Arborist</t>
        </is>
      </c>
      <c r="E1136" s="122" t="n">
        <v>0.72</v>
      </c>
      <c r="F1136" s="122" t="n">
        <v>7</v>
      </c>
      <c r="G1136" s="122" t="n">
        <v>5</v>
      </c>
      <c r="I1136" s="58">
        <f>IF(B1136&lt;&gt;"",B1136,"")</f>
        <v/>
      </c>
    </row>
    <row r="1137" ht="15.75" customHeight="1" s="146">
      <c r="D1137" s="122" t="inlineStr">
        <is>
          <t>Business Matrix</t>
        </is>
      </c>
      <c r="E1137" s="122" t="n">
        <v>0.67</v>
      </c>
      <c r="F1137" s="122" t="n">
        <v>6</v>
      </c>
      <c r="G1137" s="122" t="n">
        <v>4</v>
      </c>
      <c r="I1137" s="58">
        <f>IF(B1137&lt;&gt;"",B1137,"")</f>
        <v/>
      </c>
    </row>
    <row r="1138" ht="15.75" customHeight="1" s="146">
      <c r="B1138" s="122" t="n"/>
      <c r="C1138" s="122" t="inlineStr">
        <is>
          <t>Alexander Lush</t>
        </is>
      </c>
      <c r="D1138" t="inlineStr">
        <is>
          <t>Total</t>
        </is>
      </c>
      <c r="E1138" s="122" t="n">
        <v>0.64</v>
      </c>
      <c r="F1138" s="122" t="n">
        <v>11</v>
      </c>
      <c r="G1138" s="122" t="n">
        <v>7</v>
      </c>
      <c r="H1138" s="57" t="n"/>
      <c r="I1138" s="58">
        <f>IF(B1138&lt;&gt;"",B1138,"")</f>
        <v/>
      </c>
    </row>
    <row r="1139" ht="15.75" customHeight="1" s="146">
      <c r="C1139" s="122" t="n"/>
      <c r="D1139" s="122" t="inlineStr">
        <is>
          <t>Business Matrix</t>
        </is>
      </c>
      <c r="E1139" s="122" t="n">
        <v>0.67</v>
      </c>
      <c r="F1139" s="122" t="n">
        <v>6</v>
      </c>
      <c r="G1139" s="122" t="n">
        <v>4</v>
      </c>
      <c r="I1139" s="58">
        <f>IF(B1139&lt;&gt;"",B1139,"")</f>
        <v/>
      </c>
    </row>
    <row r="1140" ht="15.75" customHeight="1" s="146">
      <c r="D1140" s="122" t="inlineStr">
        <is>
          <t>Grounds Person</t>
        </is>
      </c>
      <c r="E1140" s="122" t="n">
        <v>0.6</v>
      </c>
      <c r="F1140" s="122" t="n">
        <v>5</v>
      </c>
      <c r="G1140" s="122" t="n">
        <v>3</v>
      </c>
      <c r="I1140" s="58">
        <f>IF(B1140&lt;&gt;"",B1140,"")</f>
        <v/>
      </c>
    </row>
    <row r="1141" ht="15.75" customHeight="1" s="146">
      <c r="C1141" s="122" t="inlineStr">
        <is>
          <t>Vale Tree Surgeons</t>
        </is>
      </c>
      <c r="D1141" s="122" t="inlineStr">
        <is>
          <t>Total</t>
        </is>
      </c>
      <c r="E1141" s="122" t="n">
        <v>0.5</v>
      </c>
      <c r="F1141" s="122" t="n">
        <v>4</v>
      </c>
      <c r="G1141" s="122" t="n">
        <v>2</v>
      </c>
      <c r="I1141" s="58">
        <f>IF(B1141&lt;&gt;"",B1141,"")</f>
        <v/>
      </c>
    </row>
    <row r="1142" ht="15.75" customHeight="1" s="146">
      <c r="D1142" s="122" t="inlineStr">
        <is>
          <t>Team Matrix</t>
        </is>
      </c>
      <c r="E1142" s="122" t="n">
        <v>0.5</v>
      </c>
      <c r="F1142" s="122" t="n">
        <v>4</v>
      </c>
      <c r="G1142" s="122" t="n">
        <v>2</v>
      </c>
      <c r="I1142" s="58">
        <f>IF(B1142&lt;&gt;"",B1142,"")</f>
        <v/>
      </c>
    </row>
    <row r="1143" ht="15.75" customHeight="1" s="146">
      <c r="C1143" t="inlineStr">
        <is>
          <t>Antony Cook</t>
        </is>
      </c>
      <c r="D1143" s="122" t="inlineStr">
        <is>
          <t>Total</t>
        </is>
      </c>
      <c r="E1143" s="122" t="n">
        <v>0.47</v>
      </c>
      <c r="F1143" s="122" t="n">
        <v>13</v>
      </c>
      <c r="G1143" s="122" t="n">
        <v>6</v>
      </c>
      <c r="I1143" s="58">
        <f>IF(B1143&lt;&gt;"",B1143,"")</f>
        <v/>
      </c>
    </row>
    <row r="1144" ht="15.75" customHeight="1" s="146">
      <c r="D1144" s="122" t="inlineStr">
        <is>
          <t>Arborist</t>
        </is>
      </c>
      <c r="E1144" s="122" t="n">
        <v>0.86</v>
      </c>
      <c r="F1144" s="122" t="n">
        <v>7</v>
      </c>
      <c r="G1144" s="122" t="n">
        <v>6</v>
      </c>
      <c r="I1144" s="58">
        <f>IF(B1144&lt;&gt;"",B1144,"")</f>
        <v/>
      </c>
    </row>
    <row r="1145" ht="15.75" customHeight="1" s="146">
      <c r="C1145" s="122" t="n"/>
      <c r="D1145" s="122" t="inlineStr">
        <is>
          <t>Business Matrix</t>
        </is>
      </c>
      <c r="E1145" s="122" t="n">
        <v>0</v>
      </c>
      <c r="F1145" s="122" t="n">
        <v>6</v>
      </c>
      <c r="G1145" s="122" t="n">
        <v>0</v>
      </c>
      <c r="I1145" s="58">
        <f>IF(B1145&lt;&gt;"",B1145,"")</f>
        <v/>
      </c>
    </row>
    <row r="1146" ht="15.75" customHeight="1" s="146">
      <c r="C1146" t="inlineStr">
        <is>
          <t>Toby Panton</t>
        </is>
      </c>
      <c r="D1146" s="122" t="inlineStr">
        <is>
          <t>Total</t>
        </is>
      </c>
      <c r="E1146" s="122" t="n">
        <v>0.24</v>
      </c>
      <c r="F1146" s="122" t="n">
        <v>17</v>
      </c>
      <c r="G1146" s="122" t="n">
        <v>4</v>
      </c>
      <c r="I1146" s="58">
        <f>IF(B1146&lt;&gt;"",B1146,"")</f>
        <v/>
      </c>
    </row>
    <row r="1147" ht="15.75" customHeight="1" s="146">
      <c r="D1147" s="122" t="inlineStr">
        <is>
          <t>Customer - Utility Arboriculture</t>
        </is>
      </c>
      <c r="E1147" s="122" t="n">
        <v>0.75</v>
      </c>
      <c r="F1147" s="122" t="n">
        <v>4</v>
      </c>
      <c r="G1147" s="122" t="n">
        <v>3</v>
      </c>
      <c r="I1147" s="58">
        <f>IF(B1147&lt;&gt;"",B1147,"")</f>
        <v/>
      </c>
    </row>
    <row r="1148" ht="15.75" customHeight="1" s="146">
      <c r="D1148" s="122" t="inlineStr">
        <is>
          <t>Arborist</t>
        </is>
      </c>
      <c r="E1148" s="122" t="n">
        <v>0.15</v>
      </c>
      <c r="F1148" s="122" t="n">
        <v>7</v>
      </c>
      <c r="G1148" s="122" t="n">
        <v>1</v>
      </c>
      <c r="I1148" s="58">
        <f>IF(B1148&lt;&gt;"",B1148,"")</f>
        <v/>
      </c>
    </row>
    <row r="1149" ht="15.75" customHeight="1" s="146">
      <c r="B1149" s="122" t="n"/>
      <c r="C1149" s="122" t="n"/>
      <c r="D1149" t="inlineStr">
        <is>
          <t>Business Matrix</t>
        </is>
      </c>
      <c r="E1149" s="122" t="n">
        <v>0</v>
      </c>
      <c r="F1149" s="122" t="n">
        <v>6</v>
      </c>
      <c r="G1149" s="122" t="n">
        <v>0</v>
      </c>
      <c r="H1149" s="57" t="n"/>
      <c r="I1149" s="58">
        <f>IF(B1149&lt;&gt;"",B1149,"")</f>
        <v/>
      </c>
    </row>
    <row r="1150" ht="15.75" customHeight="1" s="146">
      <c r="B1150" t="inlineStr">
        <is>
          <t>Heartwood Tree Surgeons Ltd</t>
        </is>
      </c>
      <c r="C1150" s="122" t="inlineStr">
        <is>
          <t>Total</t>
        </is>
      </c>
      <c r="D1150" s="122" t="n"/>
      <c r="E1150" s="122" t="n">
        <v>0.54</v>
      </c>
      <c r="F1150" s="122" t="n">
        <v>123</v>
      </c>
      <c r="G1150" s="122" t="n">
        <v>66</v>
      </c>
      <c r="H1150" s="189" t="n">
        <v>45896</v>
      </c>
      <c r="I1150" s="58">
        <f>IF(B1150&lt;&gt;"",B1150,"")</f>
        <v/>
      </c>
    </row>
    <row r="1151" ht="15.75" customHeight="1" s="146">
      <c r="C1151" t="inlineStr">
        <is>
          <t>Josh Brewer</t>
        </is>
      </c>
      <c r="D1151" s="122" t="inlineStr">
        <is>
          <t>Total</t>
        </is>
      </c>
      <c r="E1151" s="122" t="n">
        <v>1</v>
      </c>
      <c r="F1151" s="122" t="n">
        <v>17</v>
      </c>
      <c r="G1151" s="122" t="n">
        <v>17</v>
      </c>
      <c r="I1151" s="58">
        <f>IF(B1151&lt;&gt;"",B1151,"")</f>
        <v/>
      </c>
    </row>
    <row r="1152" ht="15.75" customHeight="1" s="146">
      <c r="D1152" s="122" t="inlineStr">
        <is>
          <t>Arborist</t>
        </is>
      </c>
      <c r="E1152" s="122" t="n">
        <v>1</v>
      </c>
      <c r="F1152" s="122" t="n">
        <v>7</v>
      </c>
      <c r="G1152" s="122" t="n">
        <v>7</v>
      </c>
      <c r="I1152" s="58">
        <f>IF(B1152&lt;&gt;"",B1152,"")</f>
        <v/>
      </c>
    </row>
    <row r="1153" ht="15.75" customHeight="1" s="146">
      <c r="D1153" s="122" t="inlineStr">
        <is>
          <t>Business Matrix</t>
        </is>
      </c>
      <c r="E1153" s="122" t="n">
        <v>1</v>
      </c>
      <c r="F1153" s="122" t="n">
        <v>6</v>
      </c>
      <c r="G1153" s="122" t="n">
        <v>6</v>
      </c>
      <c r="I1153" s="58">
        <f>IF(B1153&lt;&gt;"",B1153,"")</f>
        <v/>
      </c>
    </row>
    <row r="1154" ht="15.75" customHeight="1" s="146">
      <c r="C1154" s="122" t="n"/>
      <c r="D1154" s="122" t="inlineStr">
        <is>
          <t>Customer - Utility Arboriculture</t>
        </is>
      </c>
      <c r="E1154" s="122" t="n">
        <v>1</v>
      </c>
      <c r="F1154" s="122" t="n">
        <v>4</v>
      </c>
      <c r="G1154" s="122" t="n">
        <v>4</v>
      </c>
      <c r="I1154" s="58">
        <f>IF(B1154&lt;&gt;"",B1154,"")</f>
        <v/>
      </c>
    </row>
    <row r="1155" ht="15.75" customHeight="1" s="146">
      <c r="C1155" t="inlineStr">
        <is>
          <t>Oliver Campbell</t>
        </is>
      </c>
      <c r="D1155" s="122" t="inlineStr">
        <is>
          <t>Total</t>
        </is>
      </c>
      <c r="E1155" s="122" t="n">
        <v>1</v>
      </c>
      <c r="F1155" s="122" t="n">
        <v>17</v>
      </c>
      <c r="G1155" s="122" t="n">
        <v>17</v>
      </c>
      <c r="I1155" s="58">
        <f>IF(B1155&lt;&gt;"",B1155,"")</f>
        <v/>
      </c>
    </row>
    <row r="1156" ht="15.75" customHeight="1" s="146">
      <c r="D1156" s="122" t="inlineStr">
        <is>
          <t>Arborist</t>
        </is>
      </c>
      <c r="E1156" s="122" t="n">
        <v>1</v>
      </c>
      <c r="F1156" s="122" t="n">
        <v>7</v>
      </c>
      <c r="G1156" s="122" t="n">
        <v>7</v>
      </c>
      <c r="I1156" s="58">
        <f>IF(B1156&lt;&gt;"",B1156,"")</f>
        <v/>
      </c>
    </row>
    <row r="1157" ht="15.75" customHeight="1" s="146">
      <c r="D1157" s="122" t="inlineStr">
        <is>
          <t>Business Matrix</t>
        </is>
      </c>
      <c r="E1157" s="122" t="n">
        <v>1</v>
      </c>
      <c r="F1157" s="122" t="n">
        <v>6</v>
      </c>
      <c r="G1157" s="122" t="n">
        <v>6</v>
      </c>
      <c r="I1157" s="58">
        <f>IF(B1157&lt;&gt;"",B1157,"")</f>
        <v/>
      </c>
    </row>
    <row r="1158" ht="15.75" customHeight="1" s="146">
      <c r="C1158" s="122" t="n"/>
      <c r="D1158" s="122" t="inlineStr">
        <is>
          <t>Customer - Utility Arboriculture</t>
        </is>
      </c>
      <c r="E1158" s="122" t="n">
        <v>1</v>
      </c>
      <c r="F1158" s="122" t="n">
        <v>4</v>
      </c>
      <c r="G1158" s="122" t="n">
        <v>4</v>
      </c>
      <c r="I1158" s="58">
        <f>IF(B1158&lt;&gt;"",B1158,"")</f>
        <v/>
      </c>
    </row>
    <row r="1159" ht="15.75" customHeight="1" s="146">
      <c r="C1159" t="inlineStr">
        <is>
          <t>Will James</t>
        </is>
      </c>
      <c r="D1159" s="122" t="inlineStr">
        <is>
          <t>Total</t>
        </is>
      </c>
      <c r="E1159" s="122" t="n">
        <v>1</v>
      </c>
      <c r="F1159" s="122" t="n">
        <v>17</v>
      </c>
      <c r="G1159" s="122" t="n">
        <v>17</v>
      </c>
      <c r="I1159" s="58">
        <f>IF(B1159&lt;&gt;"",B1159,"")</f>
        <v/>
      </c>
    </row>
    <row r="1160" ht="15.75" customHeight="1" s="146">
      <c r="B1160" s="122" t="n"/>
      <c r="C1160" s="122" t="n"/>
      <c r="D1160" t="inlineStr">
        <is>
          <t>Arborist</t>
        </is>
      </c>
      <c r="E1160" s="122" t="n">
        <v>1</v>
      </c>
      <c r="F1160" s="122" t="n">
        <v>7</v>
      </c>
      <c r="G1160" s="122" t="n">
        <v>7</v>
      </c>
      <c r="H1160" s="57" t="n"/>
      <c r="I1160" s="58">
        <f>IF(B1160&lt;&gt;"",B1160,"")</f>
        <v/>
      </c>
    </row>
    <row r="1161" ht="15.75" customHeight="1" s="146">
      <c r="C1161" s="122" t="n"/>
      <c r="D1161" s="122" t="inlineStr">
        <is>
          <t>Business Matrix</t>
        </is>
      </c>
      <c r="E1161" s="122" t="n">
        <v>1</v>
      </c>
      <c r="F1161" s="122" t="n">
        <v>6</v>
      </c>
      <c r="G1161" s="122" t="n">
        <v>6</v>
      </c>
      <c r="I1161" s="58">
        <f>IF(B1161&lt;&gt;"",B1161,"")</f>
        <v/>
      </c>
    </row>
    <row r="1162" ht="15.75" customHeight="1" s="146">
      <c r="D1162" s="122" t="inlineStr">
        <is>
          <t>Customer - Utility Arboriculture</t>
        </is>
      </c>
      <c r="E1162" s="122" t="n">
        <v>1</v>
      </c>
      <c r="F1162" s="122" t="n">
        <v>4</v>
      </c>
      <c r="G1162" s="122" t="n">
        <v>4</v>
      </c>
      <c r="I1162" s="58">
        <f>IF(B1162&lt;&gt;"",B1162,"")</f>
        <v/>
      </c>
    </row>
    <row r="1163" ht="15.75" customHeight="1" s="146">
      <c r="C1163" t="inlineStr">
        <is>
          <t>Heartwood Tree Surgeons Ltd .</t>
        </is>
      </c>
      <c r="D1163" s="122" t="inlineStr">
        <is>
          <t>Total</t>
        </is>
      </c>
      <c r="E1163" s="122" t="n">
        <v>0.5</v>
      </c>
      <c r="F1163" s="122" t="n">
        <v>4</v>
      </c>
      <c r="G1163" s="122" t="n">
        <v>2</v>
      </c>
      <c r="I1163" s="58">
        <f>IF(B1163&lt;&gt;"",B1163,"")</f>
        <v/>
      </c>
    </row>
    <row r="1164" ht="15.75" customHeight="1" s="146">
      <c r="D1164" s="122" t="inlineStr">
        <is>
          <t>Team Matrix</t>
        </is>
      </c>
      <c r="E1164" s="122" t="n">
        <v>0.5</v>
      </c>
      <c r="F1164" s="122" t="n">
        <v>4</v>
      </c>
      <c r="G1164" s="122" t="n">
        <v>2</v>
      </c>
      <c r="I1164" s="58">
        <f>IF(B1164&lt;&gt;"",B1164,"")</f>
        <v/>
      </c>
    </row>
    <row r="1165" ht="15.75" customHeight="1" s="146">
      <c r="C1165" s="122" t="inlineStr">
        <is>
          <t>Tom Taplin</t>
        </is>
      </c>
      <c r="D1165" s="122" t="inlineStr">
        <is>
          <t>Total</t>
        </is>
      </c>
      <c r="E1165" s="122" t="n">
        <v>0.42</v>
      </c>
      <c r="F1165" s="122" t="n">
        <v>17</v>
      </c>
      <c r="G1165" s="122" t="n">
        <v>7</v>
      </c>
      <c r="I1165" s="58">
        <f>IF(B1165&lt;&gt;"",B1165,"")</f>
        <v/>
      </c>
    </row>
    <row r="1166" ht="15.75" customHeight="1" s="146">
      <c r="D1166" s="122" t="inlineStr">
        <is>
          <t>Customer - Utility Arboriculture</t>
        </is>
      </c>
      <c r="E1166" s="122" t="n">
        <v>0.75</v>
      </c>
      <c r="F1166" s="122" t="n">
        <v>4</v>
      </c>
      <c r="G1166" s="122" t="n">
        <v>3</v>
      </c>
      <c r="I1166" s="58">
        <f>IF(B1166&lt;&gt;"",B1166,"")</f>
        <v/>
      </c>
    </row>
    <row r="1167" ht="15.75" customHeight="1" s="146">
      <c r="D1167" s="122" t="inlineStr">
        <is>
          <t>Arborist</t>
        </is>
      </c>
      <c r="E1167" s="122" t="n">
        <v>0.58</v>
      </c>
      <c r="F1167" s="122" t="n">
        <v>7</v>
      </c>
      <c r="G1167" s="122" t="n">
        <v>4</v>
      </c>
      <c r="I1167" s="58">
        <f>IF(B1167&lt;&gt;"",B1167,"")</f>
        <v/>
      </c>
    </row>
    <row r="1168" ht="15.75" customHeight="1" s="146">
      <c r="D1168" s="122" t="inlineStr">
        <is>
          <t>Business Matrix</t>
        </is>
      </c>
      <c r="E1168" s="122" t="n">
        <v>0</v>
      </c>
      <c r="F1168" s="122" t="n">
        <v>6</v>
      </c>
      <c r="G1168" s="122" t="n">
        <v>0</v>
      </c>
      <c r="I1168" s="58">
        <f>IF(B1168&lt;&gt;"",B1168,"")</f>
        <v/>
      </c>
    </row>
    <row r="1169" ht="15.75" customHeight="1" s="146">
      <c r="B1169" s="122" t="n"/>
      <c r="C1169" s="122" t="inlineStr">
        <is>
          <t>Callum Bain</t>
        </is>
      </c>
      <c r="D1169" t="inlineStr">
        <is>
          <t>Total</t>
        </is>
      </c>
      <c r="E1169" s="122" t="n">
        <v>0.18</v>
      </c>
      <c r="F1169" s="122" t="n">
        <v>17</v>
      </c>
      <c r="G1169" s="122" t="n">
        <v>3</v>
      </c>
      <c r="H1169" s="57" t="n"/>
      <c r="I1169" s="58">
        <f>IF(B1169&lt;&gt;"",B1169,"")</f>
        <v/>
      </c>
    </row>
    <row r="1170" ht="15.75" customHeight="1" s="146">
      <c r="C1170" s="122" t="n"/>
      <c r="D1170" s="122" t="inlineStr">
        <is>
          <t>Arborist</t>
        </is>
      </c>
      <c r="E1170" s="122" t="n">
        <v>0.43</v>
      </c>
      <c r="F1170" s="122" t="n">
        <v>7</v>
      </c>
      <c r="G1170" s="122" t="n">
        <v>3</v>
      </c>
      <c r="I1170" s="58">
        <f>IF(B1170&lt;&gt;"",B1170,"")</f>
        <v/>
      </c>
    </row>
    <row r="1171" ht="15.75" customHeight="1" s="146">
      <c r="D1171" s="122" t="inlineStr">
        <is>
          <t>Business Matrix</t>
        </is>
      </c>
      <c r="E1171" s="122" t="n">
        <v>0</v>
      </c>
      <c r="F1171" s="122" t="n">
        <v>6</v>
      </c>
      <c r="G1171" s="122" t="n">
        <v>0</v>
      </c>
      <c r="I1171" s="58">
        <f>IF(B1171&lt;&gt;"",B1171,"")</f>
        <v/>
      </c>
    </row>
    <row r="1172" ht="15.75" customHeight="1" s="146">
      <c r="D1172" s="122" t="inlineStr">
        <is>
          <t>Customer - Utility Arboriculture</t>
        </is>
      </c>
      <c r="E1172" s="122" t="n">
        <v>0</v>
      </c>
      <c r="F1172" s="122" t="n">
        <v>4</v>
      </c>
      <c r="G1172" s="122" t="n">
        <v>0</v>
      </c>
      <c r="I1172" s="58">
        <f>IF(B1172&lt;&gt;"",B1172,"")</f>
        <v/>
      </c>
    </row>
    <row r="1173" ht="15.75" customHeight="1" s="146">
      <c r="C1173" t="inlineStr">
        <is>
          <t>Finlay Richards</t>
        </is>
      </c>
      <c r="D1173" s="122" t="inlineStr">
        <is>
          <t>Total</t>
        </is>
      </c>
      <c r="E1173" s="122" t="n">
        <v>0.18</v>
      </c>
      <c r="F1173" s="122" t="n">
        <v>17</v>
      </c>
      <c r="G1173" s="122" t="n">
        <v>3</v>
      </c>
      <c r="I1173" s="58">
        <f>IF(B1173&lt;&gt;"",B1173,"")</f>
        <v/>
      </c>
    </row>
    <row r="1174" ht="15.75" customHeight="1" s="146">
      <c r="C1174" s="122" t="n"/>
      <c r="D1174" s="122" t="inlineStr">
        <is>
          <t>Arborist</t>
        </is>
      </c>
      <c r="E1174" s="122" t="n">
        <v>0.29</v>
      </c>
      <c r="F1174" s="122" t="n">
        <v>7</v>
      </c>
      <c r="G1174" s="122" t="n">
        <v>2</v>
      </c>
      <c r="I1174" s="58">
        <f>IF(B1174&lt;&gt;"",B1174,"")</f>
        <v/>
      </c>
    </row>
    <row r="1175" ht="15.75" customHeight="1" s="146">
      <c r="D1175" s="122" t="inlineStr">
        <is>
          <t>Customer - Utility Arboriculture</t>
        </is>
      </c>
      <c r="E1175" s="122" t="n">
        <v>0.25</v>
      </c>
      <c r="F1175" s="122" t="n">
        <v>4</v>
      </c>
      <c r="G1175" s="122" t="n">
        <v>1</v>
      </c>
      <c r="I1175" s="58">
        <f>IF(B1175&lt;&gt;"",B1175,"")</f>
        <v/>
      </c>
    </row>
    <row r="1176" ht="15.75" customHeight="1" s="146">
      <c r="D1176" s="122" t="inlineStr">
        <is>
          <t>Business Matrix</t>
        </is>
      </c>
      <c r="E1176" s="122" t="n">
        <v>0</v>
      </c>
      <c r="F1176" s="122" t="n">
        <v>6</v>
      </c>
      <c r="G1176" s="122" t="n">
        <v>0</v>
      </c>
      <c r="I1176" s="58">
        <f>IF(B1176&lt;&gt;"",B1176,"")</f>
        <v/>
      </c>
    </row>
    <row r="1177" ht="15.75" customHeight="1" s="146">
      <c r="C1177" t="inlineStr">
        <is>
          <t>Mark Leighton</t>
        </is>
      </c>
      <c r="D1177" s="122" t="inlineStr">
        <is>
          <t>Total</t>
        </is>
      </c>
      <c r="E1177" s="122" t="n">
        <v>0</v>
      </c>
      <c r="F1177" s="122" t="n">
        <v>17</v>
      </c>
      <c r="G1177" s="122" t="n">
        <v>0</v>
      </c>
      <c r="I1177" s="58">
        <f>IF(B1177&lt;&gt;"",B1177,"")</f>
        <v/>
      </c>
    </row>
    <row r="1178" ht="15.75" customHeight="1" s="146">
      <c r="B1178" s="122" t="n"/>
      <c r="C1178" s="122" t="n"/>
      <c r="D1178" t="inlineStr">
        <is>
          <t>Arborist</t>
        </is>
      </c>
      <c r="E1178" s="122" t="n">
        <v>0</v>
      </c>
      <c r="F1178" s="122" t="n">
        <v>7</v>
      </c>
      <c r="G1178" s="122" t="n">
        <v>0</v>
      </c>
      <c r="H1178" s="57" t="n"/>
      <c r="I1178" s="58">
        <f>IF(B1178&lt;&gt;"",B1178,"")</f>
        <v/>
      </c>
    </row>
    <row r="1179" ht="15.75" customHeight="1" s="146">
      <c r="C1179" s="122" t="n"/>
      <c r="D1179" s="122" t="inlineStr">
        <is>
          <t>Business Matrix</t>
        </is>
      </c>
      <c r="E1179" s="122" t="n">
        <v>0</v>
      </c>
      <c r="F1179" s="122" t="n">
        <v>6</v>
      </c>
      <c r="G1179" s="122" t="n">
        <v>0</v>
      </c>
      <c r="I1179" s="58">
        <f>IF(B1179&lt;&gt;"",B1179,"")</f>
        <v/>
      </c>
    </row>
    <row r="1180" ht="15.75" customHeight="1" s="146">
      <c r="D1180" s="122" t="inlineStr">
        <is>
          <t>Customer - Utility Arboriculture</t>
        </is>
      </c>
      <c r="E1180" s="122" t="n">
        <v>0</v>
      </c>
      <c r="F1180" s="122" t="n">
        <v>4</v>
      </c>
      <c r="G1180" s="122" t="n">
        <v>0</v>
      </c>
      <c r="I1180" s="58">
        <f>IF(B1180&lt;&gt;"",B1180,"")</f>
        <v/>
      </c>
    </row>
    <row r="1181" ht="15.75" customHeight="1" s="146">
      <c r="B1181" t="inlineStr">
        <is>
          <t>Quill Hall Arboriculture Ltd</t>
        </is>
      </c>
      <c r="C1181" t="inlineStr">
        <is>
          <t>Total</t>
        </is>
      </c>
      <c r="D1181" s="122" t="n"/>
      <c r="E1181" s="122" t="n">
        <v>0.53</v>
      </c>
      <c r="F1181" s="122" t="n">
        <v>55</v>
      </c>
      <c r="G1181" s="122" t="n">
        <v>29</v>
      </c>
      <c r="H1181" s="189" t="n">
        <v>44930</v>
      </c>
      <c r="I1181" s="58">
        <f>IF(B1181&lt;&gt;"",B1181,"")</f>
        <v/>
      </c>
    </row>
    <row r="1182" ht="15.75" customHeight="1" s="146">
      <c r="C1182" t="inlineStr">
        <is>
          <t>Ben Sear</t>
        </is>
      </c>
      <c r="D1182" s="122" t="inlineStr">
        <is>
          <t>Total</t>
        </is>
      </c>
      <c r="E1182" s="122" t="n">
        <v>0.59</v>
      </c>
      <c r="F1182" s="122" t="n">
        <v>17</v>
      </c>
      <c r="G1182" s="122" t="n">
        <v>10</v>
      </c>
      <c r="I1182" s="58">
        <f>IF(B1182&lt;&gt;"",B1182,"")</f>
        <v/>
      </c>
    </row>
    <row r="1183" ht="15.75" customHeight="1" s="146">
      <c r="C1183" s="122" t="n"/>
      <c r="D1183" s="122" t="inlineStr">
        <is>
          <t>Customer - Utility Arboriculture</t>
        </is>
      </c>
      <c r="E1183" s="122" t="n">
        <v>0.75</v>
      </c>
      <c r="F1183" s="122" t="n">
        <v>4</v>
      </c>
      <c r="G1183" s="122" t="n">
        <v>3</v>
      </c>
      <c r="I1183" s="58">
        <f>IF(B1183&lt;&gt;"",B1183,"")</f>
        <v/>
      </c>
    </row>
    <row r="1184" ht="15.75" customHeight="1" s="146">
      <c r="D1184" s="122" t="inlineStr">
        <is>
          <t>Arborist</t>
        </is>
      </c>
      <c r="E1184" s="122" t="n">
        <v>0.58</v>
      </c>
      <c r="F1184" s="122" t="n">
        <v>7</v>
      </c>
      <c r="G1184" s="122" t="n">
        <v>4</v>
      </c>
      <c r="I1184" s="58">
        <f>IF(B1184&lt;&gt;"",B1184,"")</f>
        <v/>
      </c>
    </row>
    <row r="1185" ht="15.75" customHeight="1" s="146">
      <c r="D1185" s="122" t="inlineStr">
        <is>
          <t>Business Matrix</t>
        </is>
      </c>
      <c r="E1185" s="122" t="n">
        <v>0.5</v>
      </c>
      <c r="F1185" s="122" t="n">
        <v>6</v>
      </c>
      <c r="G1185" s="122" t="n">
        <v>3</v>
      </c>
      <c r="I1185" s="58">
        <f>IF(B1185&lt;&gt;"",B1185,"")</f>
        <v/>
      </c>
    </row>
    <row r="1186" ht="15.75" customHeight="1" s="146">
      <c r="C1186" t="inlineStr">
        <is>
          <t>Lewis Keep</t>
        </is>
      </c>
      <c r="D1186" s="122" t="inlineStr">
        <is>
          <t>Total</t>
        </is>
      </c>
      <c r="E1186" s="122" t="n">
        <v>0.53</v>
      </c>
      <c r="F1186" s="122" t="n">
        <v>17</v>
      </c>
      <c r="G1186" s="122" t="n">
        <v>9</v>
      </c>
      <c r="I1186" s="58">
        <f>IF(B1186&lt;&gt;"",B1186,"")</f>
        <v/>
      </c>
    </row>
    <row r="1187" ht="15.75" customHeight="1" s="146">
      <c r="C1187" s="122" t="n"/>
      <c r="D1187" s="122" t="inlineStr">
        <is>
          <t>Customer - Utility Arboriculture</t>
        </is>
      </c>
      <c r="E1187" s="122" t="n">
        <v>0.75</v>
      </c>
      <c r="F1187" s="122" t="n">
        <v>4</v>
      </c>
      <c r="G1187" s="122" t="n">
        <v>3</v>
      </c>
      <c r="I1187" s="58">
        <f>IF(B1187&lt;&gt;"",B1187,"")</f>
        <v/>
      </c>
    </row>
    <row r="1188" ht="15.75" customHeight="1" s="146">
      <c r="D1188" s="122" t="inlineStr">
        <is>
          <t>Arborist</t>
        </is>
      </c>
      <c r="E1188" s="122" t="n">
        <v>0.72</v>
      </c>
      <c r="F1188" s="122" t="n">
        <v>7</v>
      </c>
      <c r="G1188" s="122" t="n">
        <v>5</v>
      </c>
      <c r="I1188" s="58">
        <f>IF(B1188&lt;&gt;"",B1188,"")</f>
        <v/>
      </c>
    </row>
    <row r="1189" ht="15.75" customHeight="1" s="146">
      <c r="D1189" s="122" t="inlineStr">
        <is>
          <t>Business Matrix</t>
        </is>
      </c>
      <c r="E1189" s="122" t="n">
        <v>0.17</v>
      </c>
      <c r="F1189" s="122" t="n">
        <v>6</v>
      </c>
      <c r="G1189" s="122" t="n">
        <v>1</v>
      </c>
      <c r="I1189" s="58">
        <f>IF(B1189&lt;&gt;"",B1189,"")</f>
        <v/>
      </c>
    </row>
    <row r="1190" ht="15.75" customHeight="1" s="146">
      <c r="C1190" t="inlineStr">
        <is>
          <t>Quill Hall Arboriculture Ltd</t>
        </is>
      </c>
      <c r="D1190" s="122" t="inlineStr">
        <is>
          <t>Total</t>
        </is>
      </c>
      <c r="E1190" s="122" t="n">
        <v>0.5</v>
      </c>
      <c r="F1190" s="122" t="n">
        <v>4</v>
      </c>
      <c r="G1190" s="122" t="n">
        <v>2</v>
      </c>
      <c r="I1190" s="58">
        <f>IF(B1190&lt;&gt;"",B1190,"")</f>
        <v/>
      </c>
    </row>
    <row r="1191" ht="15.75" customHeight="1" s="146">
      <c r="C1191" s="122" t="n"/>
      <c r="D1191" s="122" t="inlineStr">
        <is>
          <t>Team Matrix</t>
        </is>
      </c>
      <c r="E1191" s="122" t="n">
        <v>0.5</v>
      </c>
      <c r="F1191" s="122" t="n">
        <v>4</v>
      </c>
      <c r="G1191" s="122" t="n">
        <v>2</v>
      </c>
      <c r="I1191" s="58">
        <f>IF(B1191&lt;&gt;"",B1191,"")</f>
        <v/>
      </c>
    </row>
    <row r="1192" ht="15.75" customHeight="1" s="146">
      <c r="C1192" t="inlineStr">
        <is>
          <t>Matthew Sear</t>
        </is>
      </c>
      <c r="D1192" s="122" t="inlineStr">
        <is>
          <t>Total</t>
        </is>
      </c>
      <c r="E1192" s="122" t="n">
        <v>0.48</v>
      </c>
      <c r="F1192" s="122" t="n">
        <v>17</v>
      </c>
      <c r="G1192" s="122" t="n">
        <v>8</v>
      </c>
      <c r="I1192" s="58">
        <f>IF(B1192&lt;&gt;"",B1192,"")</f>
        <v/>
      </c>
    </row>
    <row r="1193" ht="15.75" customHeight="1" s="146">
      <c r="B1193" s="122" t="n"/>
      <c r="C1193" s="122" t="n"/>
      <c r="D1193" t="inlineStr">
        <is>
          <t>Arborist</t>
        </is>
      </c>
      <c r="E1193" s="122" t="n">
        <v>0.58</v>
      </c>
      <c r="F1193" s="122" t="n">
        <v>7</v>
      </c>
      <c r="G1193" s="122" t="n">
        <v>4</v>
      </c>
      <c r="H1193" s="57" t="n"/>
      <c r="I1193" s="58">
        <f>IF(B1193&lt;&gt;"",B1193,"")</f>
        <v/>
      </c>
    </row>
    <row r="1194" ht="15.75" customHeight="1" s="146">
      <c r="C1194" s="122" t="n"/>
      <c r="D1194" s="122" t="inlineStr">
        <is>
          <t>Business Matrix</t>
        </is>
      </c>
      <c r="E1194" s="122" t="n">
        <v>0.5</v>
      </c>
      <c r="F1194" s="122" t="n">
        <v>6</v>
      </c>
      <c r="G1194" s="122" t="n">
        <v>3</v>
      </c>
      <c r="I1194" s="58">
        <f>IF(B1194&lt;&gt;"",B1194,"")</f>
        <v/>
      </c>
    </row>
    <row r="1195" ht="15.75" customHeight="1" s="146">
      <c r="D1195" s="122" t="inlineStr">
        <is>
          <t>Customer - Utility Arboriculture</t>
        </is>
      </c>
      <c r="E1195" s="122" t="n">
        <v>0.25</v>
      </c>
      <c r="F1195" s="122" t="n">
        <v>4</v>
      </c>
      <c r="G1195" s="122" t="n">
        <v>1</v>
      </c>
      <c r="I1195" s="58">
        <f>IF(B1195&lt;&gt;"",B1195,"")</f>
        <v/>
      </c>
    </row>
    <row r="1196" ht="15.75" customHeight="1" s="146">
      <c r="B1196" t="inlineStr">
        <is>
          <t>Coxley Tree Care Ltd</t>
        </is>
      </c>
      <c r="C1196" t="inlineStr">
        <is>
          <t>Total</t>
        </is>
      </c>
      <c r="D1196" s="122" t="n"/>
      <c r="E1196" s="122" t="n">
        <v>0.51</v>
      </c>
      <c r="F1196" s="122" t="n">
        <v>104</v>
      </c>
      <c r="G1196" s="122" t="n">
        <v>53</v>
      </c>
      <c r="H1196" s="189" t="n">
        <v>42559</v>
      </c>
      <c r="I1196" s="58">
        <f>IF(B1196&lt;&gt;"",B1196,"")</f>
        <v/>
      </c>
    </row>
    <row r="1197" ht="15.75" customHeight="1" s="146">
      <c r="C1197" t="inlineStr">
        <is>
          <t>Coxley Tree Care Ltd</t>
        </is>
      </c>
      <c r="D1197" s="122" t="inlineStr">
        <is>
          <t>Total</t>
        </is>
      </c>
      <c r="E1197" s="122" t="n">
        <v>1</v>
      </c>
      <c r="F1197" s="122" t="n">
        <v>4</v>
      </c>
      <c r="G1197" s="122" t="n">
        <v>4</v>
      </c>
      <c r="I1197" s="58">
        <f>IF(B1197&lt;&gt;"",B1197,"")</f>
        <v/>
      </c>
    </row>
    <row r="1198" ht="15.75" customHeight="1" s="146">
      <c r="C1198" s="122" t="n"/>
      <c r="D1198" s="122" t="inlineStr">
        <is>
          <t>Team Matrix</t>
        </is>
      </c>
      <c r="E1198" s="122" t="n">
        <v>1</v>
      </c>
      <c r="F1198" s="122" t="n">
        <v>4</v>
      </c>
      <c r="G1198" s="122" t="n">
        <v>4</v>
      </c>
      <c r="I1198" s="58">
        <f>IF(B1198&lt;&gt;"",B1198,"")</f>
        <v/>
      </c>
    </row>
    <row r="1199" ht="15.75" customHeight="1" s="146">
      <c r="C1199" t="inlineStr">
        <is>
          <t>Jonny Wilson</t>
        </is>
      </c>
      <c r="D1199" s="122" t="inlineStr">
        <is>
          <t>Total</t>
        </is>
      </c>
      <c r="E1199" s="122" t="n">
        <v>0.6</v>
      </c>
      <c r="F1199" s="122" t="n">
        <v>15</v>
      </c>
      <c r="G1199" s="122" t="n">
        <v>9</v>
      </c>
      <c r="I1199" s="58">
        <f>IF(B1199&lt;&gt;"",B1199,"")</f>
        <v/>
      </c>
    </row>
    <row r="1200" ht="15.75" customHeight="1" s="146">
      <c r="D1200" s="122" t="inlineStr">
        <is>
          <t>Grounds Person</t>
        </is>
      </c>
      <c r="E1200" s="122" t="n">
        <v>0.8</v>
      </c>
      <c r="F1200" s="122" t="n">
        <v>5</v>
      </c>
      <c r="G1200" s="122" t="n">
        <v>4</v>
      </c>
      <c r="I1200" s="58">
        <f>IF(B1200&lt;&gt;"",B1200,"")</f>
        <v/>
      </c>
    </row>
    <row r="1201" ht="15.75" customHeight="1" s="146">
      <c r="D1201" s="122" t="inlineStr">
        <is>
          <t>Business Matrix</t>
        </is>
      </c>
      <c r="E1201" s="122" t="n">
        <v>0.67</v>
      </c>
      <c r="F1201" s="122" t="n">
        <v>6</v>
      </c>
      <c r="G1201" s="122" t="n">
        <v>4</v>
      </c>
      <c r="I1201" s="58">
        <f>IF(B1201&lt;&gt;"",B1201,"")</f>
        <v/>
      </c>
    </row>
    <row r="1202" ht="15.75" customHeight="1" s="146">
      <c r="C1202" s="122" t="n"/>
      <c r="D1202" s="122" t="inlineStr">
        <is>
          <t>Customer - Utility Arboriculture</t>
        </is>
      </c>
      <c r="E1202" s="122" t="n">
        <v>0.25</v>
      </c>
      <c r="F1202" s="122" t="n">
        <v>4</v>
      </c>
      <c r="G1202" s="122" t="n">
        <v>1</v>
      </c>
      <c r="I1202" s="58">
        <f>IF(B1202&lt;&gt;"",B1202,"")</f>
        <v/>
      </c>
    </row>
    <row r="1203" ht="15.75" customHeight="1" s="146">
      <c r="C1203" t="inlineStr">
        <is>
          <t>Ross Beaumont</t>
        </is>
      </c>
      <c r="D1203" s="122" t="inlineStr">
        <is>
          <t>Total</t>
        </is>
      </c>
      <c r="E1203" s="122" t="n">
        <v>0.59</v>
      </c>
      <c r="F1203" s="122" t="n">
        <v>17</v>
      </c>
      <c r="G1203" s="122" t="n">
        <v>10</v>
      </c>
      <c r="I1203" s="58">
        <f>IF(B1203&lt;&gt;"",B1203,"")</f>
        <v/>
      </c>
    </row>
    <row r="1204" ht="15.75" customHeight="1" s="146">
      <c r="D1204" s="122" t="inlineStr">
        <is>
          <t>Customer - Utility Arboriculture</t>
        </is>
      </c>
      <c r="E1204" s="122" t="n">
        <v>0.75</v>
      </c>
      <c r="F1204" s="122" t="n">
        <v>4</v>
      </c>
      <c r="G1204" s="122" t="n">
        <v>3</v>
      </c>
      <c r="I1204" s="58">
        <f>IF(B1204&lt;&gt;"",B1204,"")</f>
        <v/>
      </c>
    </row>
    <row r="1205" ht="15.75" customHeight="1" s="146">
      <c r="D1205" s="122" t="inlineStr">
        <is>
          <t>Business Matrix</t>
        </is>
      </c>
      <c r="E1205" s="122" t="n">
        <v>0.67</v>
      </c>
      <c r="F1205" s="122" t="n">
        <v>6</v>
      </c>
      <c r="G1205" s="122" t="n">
        <v>4</v>
      </c>
      <c r="I1205" s="58">
        <f>IF(B1205&lt;&gt;"",B1205,"")</f>
        <v/>
      </c>
    </row>
    <row r="1206" ht="15.75" customHeight="1" s="146">
      <c r="C1206" s="122" t="n"/>
      <c r="D1206" s="122" t="inlineStr">
        <is>
          <t>Arborist</t>
        </is>
      </c>
      <c r="E1206" s="122" t="n">
        <v>0.43</v>
      </c>
      <c r="F1206" s="122" t="n">
        <v>7</v>
      </c>
      <c r="G1206" s="122" t="n">
        <v>3</v>
      </c>
      <c r="I1206" s="58">
        <f>IF(B1206&lt;&gt;"",B1206,"")</f>
        <v/>
      </c>
    </row>
    <row r="1207" ht="15.75" customHeight="1" s="146">
      <c r="C1207" t="inlineStr">
        <is>
          <t>Alexander Glover</t>
        </is>
      </c>
      <c r="D1207" s="122" t="inlineStr">
        <is>
          <t>Total</t>
        </is>
      </c>
      <c r="E1207" s="122" t="n">
        <v>0.53</v>
      </c>
      <c r="F1207" s="122" t="n">
        <v>17</v>
      </c>
      <c r="G1207" s="122" t="n">
        <v>9</v>
      </c>
      <c r="I1207" s="58">
        <f>IF(B1207&lt;&gt;"",B1207,"")</f>
        <v/>
      </c>
    </row>
    <row r="1208" ht="15.75" customHeight="1" s="146">
      <c r="D1208" s="122" t="inlineStr">
        <is>
          <t>Business Matrix</t>
        </is>
      </c>
      <c r="E1208" s="122" t="n">
        <v>0.67</v>
      </c>
      <c r="F1208" s="122" t="n">
        <v>6</v>
      </c>
      <c r="G1208" s="122" t="n">
        <v>4</v>
      </c>
      <c r="I1208" s="58">
        <f>IF(B1208&lt;&gt;"",B1208,"")</f>
        <v/>
      </c>
    </row>
    <row r="1209" ht="15.75" customHeight="1" s="146">
      <c r="D1209" s="122" t="inlineStr">
        <is>
          <t>Customer - Utility Arboriculture</t>
        </is>
      </c>
      <c r="E1209" s="122" t="n">
        <v>0.5</v>
      </c>
      <c r="F1209" s="122" t="n">
        <v>4</v>
      </c>
      <c r="G1209" s="122" t="n">
        <v>2</v>
      </c>
      <c r="I1209" s="58">
        <f>IF(B1209&lt;&gt;"",B1209,"")</f>
        <v/>
      </c>
    </row>
    <row r="1210" ht="15.75" customHeight="1" s="146">
      <c r="C1210" s="122" t="n"/>
      <c r="D1210" s="122" t="inlineStr">
        <is>
          <t>Arborist</t>
        </is>
      </c>
      <c r="E1210" s="122" t="n">
        <v>0.43</v>
      </c>
      <c r="F1210" s="122" t="n">
        <v>7</v>
      </c>
      <c r="G1210" s="122" t="n">
        <v>3</v>
      </c>
      <c r="I1210" s="58">
        <f>IF(B1210&lt;&gt;"",B1210,"")</f>
        <v/>
      </c>
    </row>
    <row r="1211" ht="15.75" customHeight="1" s="146">
      <c r="C1211" t="inlineStr">
        <is>
          <t>Luke Alexander</t>
        </is>
      </c>
      <c r="D1211" s="122" t="inlineStr">
        <is>
          <t>Total</t>
        </is>
      </c>
      <c r="E1211" s="122" t="n">
        <v>0.53</v>
      </c>
      <c r="F1211" s="122" t="n">
        <v>17</v>
      </c>
      <c r="G1211" s="122" t="n">
        <v>9</v>
      </c>
      <c r="I1211" s="58">
        <f>IF(B1211&lt;&gt;"",B1211,"")</f>
        <v/>
      </c>
    </row>
    <row r="1212" ht="15.75" customHeight="1" s="146">
      <c r="D1212" s="122" t="inlineStr">
        <is>
          <t>Business Matrix</t>
        </is>
      </c>
      <c r="E1212" s="122" t="n">
        <v>0.67</v>
      </c>
      <c r="F1212" s="122" t="n">
        <v>6</v>
      </c>
      <c r="G1212" s="122" t="n">
        <v>4</v>
      </c>
      <c r="I1212" s="58">
        <f>IF(B1212&lt;&gt;"",B1212,"")</f>
        <v/>
      </c>
    </row>
    <row r="1213" ht="15.75" customHeight="1" s="146">
      <c r="D1213" s="122" t="inlineStr">
        <is>
          <t>Arborist</t>
        </is>
      </c>
      <c r="E1213" s="122" t="n">
        <v>0.58</v>
      </c>
      <c r="F1213" s="122" t="n">
        <v>7</v>
      </c>
      <c r="G1213" s="122" t="n">
        <v>4</v>
      </c>
      <c r="I1213" s="58">
        <f>IF(B1213&lt;&gt;"",B1213,"")</f>
        <v/>
      </c>
    </row>
    <row r="1214" ht="15.75" customHeight="1" s="146">
      <c r="C1214" s="122" t="n"/>
      <c r="D1214" s="122" t="inlineStr">
        <is>
          <t>Customer - Utility Arboriculture</t>
        </is>
      </c>
      <c r="E1214" s="122" t="n">
        <v>0.25</v>
      </c>
      <c r="F1214" s="122" t="n">
        <v>4</v>
      </c>
      <c r="G1214" s="122" t="n">
        <v>1</v>
      </c>
      <c r="I1214" s="58">
        <f>IF(B1214&lt;&gt;"",B1214,"")</f>
        <v/>
      </c>
    </row>
    <row r="1215" ht="15.75" customHeight="1" s="146">
      <c r="C1215" t="inlineStr">
        <is>
          <t>Thomas Alexander</t>
        </is>
      </c>
      <c r="D1215" s="122" t="inlineStr">
        <is>
          <t>Total</t>
        </is>
      </c>
      <c r="E1215" s="122" t="n">
        <v>0.48</v>
      </c>
      <c r="F1215" s="122" t="n">
        <v>17</v>
      </c>
      <c r="G1215" s="122" t="n">
        <v>8</v>
      </c>
      <c r="I1215" s="58">
        <f>IF(B1215&lt;&gt;"",B1215,"")</f>
        <v/>
      </c>
    </row>
    <row r="1216" ht="15.75" customHeight="1" s="146">
      <c r="D1216" s="122" t="inlineStr">
        <is>
          <t>Business Matrix</t>
        </is>
      </c>
      <c r="E1216" s="122" t="n">
        <v>0.67</v>
      </c>
      <c r="F1216" s="122" t="n">
        <v>6</v>
      </c>
      <c r="G1216" s="122" t="n">
        <v>4</v>
      </c>
      <c r="I1216" s="58">
        <f>IF(B1216&lt;&gt;"",B1216,"")</f>
        <v/>
      </c>
    </row>
    <row r="1217" ht="15.75" customHeight="1" s="146">
      <c r="D1217" s="122" t="inlineStr">
        <is>
          <t>Customer - Utility Arboriculture</t>
        </is>
      </c>
      <c r="E1217" s="122" t="n">
        <v>0.5</v>
      </c>
      <c r="F1217" s="122" t="n">
        <v>4</v>
      </c>
      <c r="G1217" s="122" t="n">
        <v>2</v>
      </c>
      <c r="I1217" s="58">
        <f>IF(B1217&lt;&gt;"",B1217,"")</f>
        <v/>
      </c>
    </row>
    <row r="1218" ht="15.75" customHeight="1" s="146">
      <c r="C1218" s="122" t="n"/>
      <c r="D1218" s="122" t="inlineStr">
        <is>
          <t>Arborist</t>
        </is>
      </c>
      <c r="E1218" s="122" t="n">
        <v>0.29</v>
      </c>
      <c r="F1218" s="122" t="n">
        <v>7</v>
      </c>
      <c r="G1218" s="122" t="n">
        <v>2</v>
      </c>
      <c r="I1218" s="58">
        <f>IF(B1218&lt;&gt;"",B1218,"")</f>
        <v/>
      </c>
    </row>
    <row r="1219" ht="15.75" customHeight="1" s="146">
      <c r="C1219" t="inlineStr">
        <is>
          <t>Ben Wood</t>
        </is>
      </c>
      <c r="D1219" s="122" t="inlineStr">
        <is>
          <t>Total</t>
        </is>
      </c>
      <c r="E1219" s="122" t="n">
        <v>0.24</v>
      </c>
      <c r="F1219" s="122" t="n">
        <v>17</v>
      </c>
      <c r="G1219" s="122" t="n">
        <v>4</v>
      </c>
      <c r="I1219" s="58">
        <f>IF(B1219&lt;&gt;"",B1219,"")</f>
        <v/>
      </c>
    </row>
    <row r="1220" ht="15.75" customHeight="1" s="146">
      <c r="C1220" s="122" t="n"/>
      <c r="D1220" s="122" t="inlineStr">
        <is>
          <t>Arborist</t>
        </is>
      </c>
      <c r="E1220" s="122" t="n">
        <v>0.29</v>
      </c>
      <c r="F1220" s="122" t="n">
        <v>7</v>
      </c>
      <c r="G1220" s="122" t="n">
        <v>2</v>
      </c>
      <c r="I1220" s="58">
        <f>IF(B1220&lt;&gt;"",B1220,"")</f>
        <v/>
      </c>
    </row>
    <row r="1221" ht="15.75" customHeight="1" s="146">
      <c r="D1221" s="122" t="inlineStr">
        <is>
          <t>Customer - Utility Arboriculture</t>
        </is>
      </c>
      <c r="E1221" s="122" t="n">
        <v>0.25</v>
      </c>
      <c r="F1221" s="122" t="n">
        <v>4</v>
      </c>
      <c r="G1221" s="122" t="n">
        <v>1</v>
      </c>
      <c r="I1221" s="58">
        <f>IF(B1221&lt;&gt;"",B1221,"")</f>
        <v/>
      </c>
    </row>
    <row r="1222" ht="15.75" customHeight="1" s="146">
      <c r="D1222" s="122" t="inlineStr">
        <is>
          <t>Business Matrix</t>
        </is>
      </c>
      <c r="E1222" s="122" t="n">
        <v>0.17</v>
      </c>
      <c r="F1222" s="122" t="n">
        <v>6</v>
      </c>
      <c r="G1222" s="122" t="n">
        <v>1</v>
      </c>
      <c r="I1222" s="58">
        <f>IF(B1222&lt;&gt;"",B1222,"")</f>
        <v/>
      </c>
    </row>
    <row r="1223" ht="15.75" customHeight="1" s="146">
      <c r="B1223" t="inlineStr">
        <is>
          <t>TRACCS South West LTD</t>
        </is>
      </c>
      <c r="C1223" t="inlineStr">
        <is>
          <t>Total</t>
        </is>
      </c>
      <c r="D1223" s="122" t="n"/>
      <c r="E1223" s="122" t="n">
        <v>0.5</v>
      </c>
      <c r="F1223" s="122" t="n">
        <v>72</v>
      </c>
      <c r="G1223" s="122" t="n">
        <v>36</v>
      </c>
      <c r="H1223" s="189" t="n">
        <v>41767</v>
      </c>
      <c r="I1223" s="58">
        <f>IF(B1223&lt;&gt;"",B1223,"")</f>
        <v/>
      </c>
    </row>
    <row r="1224" ht="15.75" customHeight="1" s="146">
      <c r="B1224" s="122" t="n"/>
      <c r="C1224" s="122" t="inlineStr">
        <is>
          <t>TRACCS South West LTD</t>
        </is>
      </c>
      <c r="D1224" t="inlineStr">
        <is>
          <t>Total</t>
        </is>
      </c>
      <c r="E1224" s="122" t="n">
        <v>1</v>
      </c>
      <c r="F1224" s="122" t="n">
        <v>4</v>
      </c>
      <c r="G1224" s="122" t="n">
        <v>4</v>
      </c>
      <c r="H1224" s="57" t="n"/>
      <c r="I1224" s="58">
        <f>IF(B1224&lt;&gt;"",B1224,"")</f>
        <v/>
      </c>
    </row>
    <row r="1225" ht="15.75" customHeight="1" s="146">
      <c r="C1225" s="122" t="n"/>
      <c r="D1225" s="122" t="inlineStr">
        <is>
          <t>Team Matrix</t>
        </is>
      </c>
      <c r="E1225" s="122" t="n">
        <v>1</v>
      </c>
      <c r="F1225" s="122" t="n">
        <v>4</v>
      </c>
      <c r="G1225" s="122" t="n">
        <v>4</v>
      </c>
      <c r="I1225" s="58">
        <f>IF(B1225&lt;&gt;"",B1225,"")</f>
        <v/>
      </c>
    </row>
    <row r="1226" ht="15.75" customHeight="1" s="146">
      <c r="C1226" t="inlineStr">
        <is>
          <t>James Williams</t>
        </is>
      </c>
      <c r="D1226" s="122" t="inlineStr">
        <is>
          <t>Total</t>
        </is>
      </c>
      <c r="E1226" s="122" t="n">
        <v>0.59</v>
      </c>
      <c r="F1226" s="122" t="n">
        <v>17</v>
      </c>
      <c r="G1226" s="122" t="n">
        <v>10</v>
      </c>
      <c r="I1226" s="58">
        <f>IF(B1226&lt;&gt;"",B1226,"")</f>
        <v/>
      </c>
    </row>
    <row r="1227" ht="15.75" customHeight="1" s="146">
      <c r="C1227" s="122" t="n"/>
      <c r="D1227" s="122" t="inlineStr">
        <is>
          <t>Arborist</t>
        </is>
      </c>
      <c r="E1227" s="122" t="n">
        <v>0.72</v>
      </c>
      <c r="F1227" s="122" t="n">
        <v>7</v>
      </c>
      <c r="G1227" s="122" t="n">
        <v>5</v>
      </c>
      <c r="I1227" s="58">
        <f>IF(B1227&lt;&gt;"",B1227,"")</f>
        <v/>
      </c>
    </row>
    <row r="1228" ht="15.75" customHeight="1" s="146">
      <c r="D1228" s="122" t="inlineStr">
        <is>
          <t>Business Matrix</t>
        </is>
      </c>
      <c r="E1228" s="122" t="n">
        <v>0.5</v>
      </c>
      <c r="F1228" s="122" t="n">
        <v>6</v>
      </c>
      <c r="G1228" s="122" t="n">
        <v>3</v>
      </c>
      <c r="I1228" s="58">
        <f>IF(B1228&lt;&gt;"",B1228,"")</f>
        <v/>
      </c>
    </row>
    <row r="1229" ht="15.75" customHeight="1" s="146">
      <c r="D1229" s="122" t="inlineStr">
        <is>
          <t>Customer - Utility Arboriculture</t>
        </is>
      </c>
      <c r="E1229" s="122" t="n">
        <v>0.5</v>
      </c>
      <c r="F1229" s="122" t="n">
        <v>4</v>
      </c>
      <c r="G1229" s="122" t="n">
        <v>2</v>
      </c>
      <c r="I1229" s="58">
        <f>IF(B1229&lt;&gt;"",B1229,"")</f>
        <v/>
      </c>
    </row>
    <row r="1230" ht="15.75" customHeight="1" s="146">
      <c r="C1230" t="inlineStr">
        <is>
          <t>Will Dibble</t>
        </is>
      </c>
      <c r="D1230" s="122" t="inlineStr">
        <is>
          <t>Total</t>
        </is>
      </c>
      <c r="E1230" s="122" t="n">
        <v>0.53</v>
      </c>
      <c r="F1230" s="122" t="n">
        <v>17</v>
      </c>
      <c r="G1230" s="122" t="n">
        <v>9</v>
      </c>
      <c r="I1230" s="58">
        <f>IF(B1230&lt;&gt;"",B1230,"")</f>
        <v/>
      </c>
    </row>
    <row r="1231" ht="15.75" customHeight="1" s="146">
      <c r="C1231" s="122" t="n"/>
      <c r="D1231" s="122" t="inlineStr">
        <is>
          <t>Customer - Utility Arboriculture</t>
        </is>
      </c>
      <c r="E1231" s="122" t="n">
        <v>1</v>
      </c>
      <c r="F1231" s="122" t="n">
        <v>4</v>
      </c>
      <c r="G1231" s="122" t="n">
        <v>4</v>
      </c>
      <c r="I1231" s="58">
        <f>IF(B1231&lt;&gt;"",B1231,"")</f>
        <v/>
      </c>
    </row>
    <row r="1232" ht="15.75" customHeight="1" s="146">
      <c r="D1232" s="122" t="inlineStr">
        <is>
          <t>Arborist</t>
        </is>
      </c>
      <c r="E1232" s="122" t="n">
        <v>0.72</v>
      </c>
      <c r="F1232" s="122" t="n">
        <v>7</v>
      </c>
      <c r="G1232" s="122" t="n">
        <v>5</v>
      </c>
      <c r="I1232" s="58">
        <f>IF(B1232&lt;&gt;"",B1232,"")</f>
        <v/>
      </c>
    </row>
    <row r="1233" ht="15.75" customHeight="1" s="146">
      <c r="D1233" s="122" t="inlineStr">
        <is>
          <t>Business Matrix</t>
        </is>
      </c>
      <c r="E1233" s="122" t="n">
        <v>0</v>
      </c>
      <c r="F1233" s="122" t="n">
        <v>6</v>
      </c>
      <c r="G1233" s="122" t="n">
        <v>0</v>
      </c>
      <c r="I1233" s="58">
        <f>IF(B1233&lt;&gt;"",B1233,"")</f>
        <v/>
      </c>
    </row>
    <row r="1234" ht="15.75" customHeight="1" s="146">
      <c r="C1234" t="inlineStr">
        <is>
          <t>Freddie williams</t>
        </is>
      </c>
      <c r="D1234" s="122" t="inlineStr">
        <is>
          <t>Total</t>
        </is>
      </c>
      <c r="E1234" s="122" t="n">
        <v>0.48</v>
      </c>
      <c r="F1234" s="122" t="n">
        <v>17</v>
      </c>
      <c r="G1234" s="122" t="n">
        <v>8</v>
      </c>
      <c r="I1234" s="58">
        <f>IF(B1234&lt;&gt;"",B1234,"")</f>
        <v/>
      </c>
    </row>
    <row r="1235" ht="15.75" customHeight="1" s="146">
      <c r="B1235" s="122" t="n"/>
      <c r="C1235" s="122" t="n"/>
      <c r="D1235" t="inlineStr">
        <is>
          <t>Customer - Utility Arboriculture</t>
        </is>
      </c>
      <c r="E1235" s="122" t="n">
        <v>0.75</v>
      </c>
      <c r="F1235" s="122" t="n">
        <v>4</v>
      </c>
      <c r="G1235" s="122" t="n">
        <v>3</v>
      </c>
      <c r="H1235" s="57" t="n"/>
      <c r="I1235" s="58">
        <f>IF(B1235&lt;&gt;"",B1235,"")</f>
        <v/>
      </c>
    </row>
    <row r="1236" ht="15.75" customHeight="1" s="146">
      <c r="C1236" s="122" t="n"/>
      <c r="D1236" s="122" t="inlineStr">
        <is>
          <t>Arborist</t>
        </is>
      </c>
      <c r="E1236" s="122" t="n">
        <v>0.72</v>
      </c>
      <c r="F1236" s="122" t="n">
        <v>7</v>
      </c>
      <c r="G1236" s="122" t="n">
        <v>5</v>
      </c>
      <c r="I1236" s="58">
        <f>IF(B1236&lt;&gt;"",B1236,"")</f>
        <v/>
      </c>
    </row>
    <row r="1237" ht="15.75" customHeight="1" s="146">
      <c r="D1237" s="122" t="inlineStr">
        <is>
          <t>Business Matrix</t>
        </is>
      </c>
      <c r="E1237" s="122" t="n">
        <v>0</v>
      </c>
      <c r="F1237" s="122" t="n">
        <v>6</v>
      </c>
      <c r="G1237" s="122" t="n">
        <v>0</v>
      </c>
      <c r="I1237" s="58">
        <f>IF(B1237&lt;&gt;"",B1237,"")</f>
        <v/>
      </c>
    </row>
    <row r="1238" ht="15.75" customHeight="1" s="146">
      <c r="C1238" t="inlineStr">
        <is>
          <t>Brandon Oxford</t>
        </is>
      </c>
      <c r="D1238" s="122" t="inlineStr">
        <is>
          <t>Total</t>
        </is>
      </c>
      <c r="E1238" s="122" t="n">
        <v>0.3</v>
      </c>
      <c r="F1238" s="122" t="n">
        <v>17</v>
      </c>
      <c r="G1238" s="122" t="n">
        <v>5</v>
      </c>
      <c r="I1238" s="58">
        <f>IF(B1238&lt;&gt;"",B1238,"")</f>
        <v/>
      </c>
    </row>
    <row r="1239" ht="15.75" customHeight="1" s="146">
      <c r="D1239" s="122" t="inlineStr">
        <is>
          <t>Customer - Utility Arboriculture</t>
        </is>
      </c>
      <c r="E1239" s="122" t="n">
        <v>1</v>
      </c>
      <c r="F1239" s="122" t="n">
        <v>4</v>
      </c>
      <c r="G1239" s="122" t="n">
        <v>4</v>
      </c>
      <c r="I1239" s="58">
        <f>IF(B1239&lt;&gt;"",B1239,"")</f>
        <v/>
      </c>
    </row>
    <row r="1240" ht="15.75" customHeight="1" s="146">
      <c r="C1240" s="122" t="n"/>
      <c r="D1240" s="122" t="inlineStr">
        <is>
          <t>Arborist</t>
        </is>
      </c>
      <c r="E1240" s="122" t="n">
        <v>0.15</v>
      </c>
      <c r="F1240" s="122" t="n">
        <v>7</v>
      </c>
      <c r="G1240" s="122" t="n">
        <v>1</v>
      </c>
      <c r="I1240" s="58">
        <f>IF(B1240&lt;&gt;"",B1240,"")</f>
        <v/>
      </c>
    </row>
    <row r="1241" ht="15.75" customHeight="1" s="146">
      <c r="D1241" s="122" t="inlineStr">
        <is>
          <t>Business Matrix</t>
        </is>
      </c>
      <c r="E1241" s="122" t="n">
        <v>0</v>
      </c>
      <c r="F1241" s="122" t="n">
        <v>6</v>
      </c>
      <c r="G1241" s="122" t="n">
        <v>0</v>
      </c>
      <c r="I1241" s="58">
        <f>IF(B1241&lt;&gt;"",B1241,"")</f>
        <v/>
      </c>
    </row>
    <row r="1242" ht="15.75" customHeight="1" s="146">
      <c r="B1242" t="inlineStr">
        <is>
          <t>GB Construction (Herts) Ltd</t>
        </is>
      </c>
      <c r="C1242" t="inlineStr">
        <is>
          <t>Total</t>
        </is>
      </c>
      <c r="D1242" s="122" t="n"/>
      <c r="E1242" s="122" t="n">
        <v>0.42</v>
      </c>
      <c r="F1242" s="122" t="n">
        <v>70</v>
      </c>
      <c r="G1242" s="122" t="n">
        <v>29</v>
      </c>
      <c r="H1242" s="189" t="n">
        <v>43385</v>
      </c>
      <c r="I1242" s="58">
        <f>IF(B1242&lt;&gt;"",B1242,"")</f>
        <v/>
      </c>
    </row>
    <row r="1243" ht="15.75" customHeight="1" s="146">
      <c r="C1243" t="inlineStr">
        <is>
          <t>Glenn Babbage</t>
        </is>
      </c>
      <c r="D1243" s="122" t="inlineStr">
        <is>
          <t>Total</t>
        </is>
      </c>
      <c r="E1243" s="122" t="n">
        <v>0.65</v>
      </c>
      <c r="F1243" s="122" t="n">
        <v>17</v>
      </c>
      <c r="G1243" s="122" t="n">
        <v>11</v>
      </c>
      <c r="I1243" s="58">
        <f>IF(B1243&lt;&gt;"",B1243,"")</f>
        <v/>
      </c>
    </row>
    <row r="1244" ht="15.75" customHeight="1" s="146">
      <c r="C1244" s="122" t="n"/>
      <c r="D1244" s="122" t="inlineStr">
        <is>
          <t>Arborist</t>
        </is>
      </c>
      <c r="E1244" s="122" t="n">
        <v>0.72</v>
      </c>
      <c r="F1244" s="122" t="n">
        <v>7</v>
      </c>
      <c r="G1244" s="122" t="n">
        <v>5</v>
      </c>
      <c r="I1244" s="58">
        <f>IF(B1244&lt;&gt;"",B1244,"")</f>
        <v/>
      </c>
    </row>
    <row r="1245" ht="15.75" customHeight="1" s="146">
      <c r="D1245" s="122" t="inlineStr">
        <is>
          <t>Business Matrix</t>
        </is>
      </c>
      <c r="E1245" s="122" t="n">
        <v>0.67</v>
      </c>
      <c r="F1245" s="122" t="n">
        <v>6</v>
      </c>
      <c r="G1245" s="122" t="n">
        <v>4</v>
      </c>
      <c r="I1245" s="58">
        <f>IF(B1245&lt;&gt;"",B1245,"")</f>
        <v/>
      </c>
    </row>
    <row r="1246" ht="15.75" customHeight="1" s="146">
      <c r="D1246" s="122" t="inlineStr">
        <is>
          <t>Customer - Utility Arboriculture</t>
        </is>
      </c>
      <c r="E1246" s="122" t="n">
        <v>0.5</v>
      </c>
      <c r="F1246" s="122" t="n">
        <v>4</v>
      </c>
      <c r="G1246" s="122" t="n">
        <v>2</v>
      </c>
      <c r="I1246" s="58">
        <f>IF(B1246&lt;&gt;"",B1246,"")</f>
        <v/>
      </c>
    </row>
    <row r="1247" ht="15.75" customHeight="1" s="146">
      <c r="C1247" t="inlineStr">
        <is>
          <t>Ricky Gomez</t>
        </is>
      </c>
      <c r="D1247" s="122" t="inlineStr">
        <is>
          <t>Total</t>
        </is>
      </c>
      <c r="E1247" s="122" t="n">
        <v>0.54</v>
      </c>
      <c r="F1247" s="122" t="n">
        <v>15</v>
      </c>
      <c r="G1247" s="122" t="n">
        <v>8</v>
      </c>
      <c r="I1247" s="58">
        <f>IF(B1247&lt;&gt;"",B1247,"")</f>
        <v/>
      </c>
    </row>
    <row r="1248" ht="15.75" customHeight="1" s="146">
      <c r="C1248" s="122" t="n"/>
      <c r="D1248" s="122" t="inlineStr">
        <is>
          <t>Business Matrix</t>
        </is>
      </c>
      <c r="E1248" s="122" t="n">
        <v>0.67</v>
      </c>
      <c r="F1248" s="122" t="n">
        <v>6</v>
      </c>
      <c r="G1248" s="122" t="n">
        <v>4</v>
      </c>
      <c r="I1248" s="58">
        <f>IF(B1248&lt;&gt;"",B1248,"")</f>
        <v/>
      </c>
    </row>
    <row r="1249" ht="15.75" customHeight="1" s="146">
      <c r="D1249" s="122" t="inlineStr">
        <is>
          <t>Grounds Person</t>
        </is>
      </c>
      <c r="E1249" s="122" t="n">
        <v>0.6</v>
      </c>
      <c r="F1249" s="122" t="n">
        <v>5</v>
      </c>
      <c r="G1249" s="122" t="n">
        <v>3</v>
      </c>
      <c r="I1249" s="58">
        <f>IF(B1249&lt;&gt;"",B1249,"")</f>
        <v/>
      </c>
    </row>
    <row r="1250" ht="15.75" customHeight="1" s="146">
      <c r="D1250" s="122" t="inlineStr">
        <is>
          <t>Customer - Utility Arboriculture</t>
        </is>
      </c>
      <c r="E1250" s="122" t="n">
        <v>0.25</v>
      </c>
      <c r="F1250" s="122" t="n">
        <v>4</v>
      </c>
      <c r="G1250" s="122" t="n">
        <v>1</v>
      </c>
      <c r="I1250" s="58">
        <f>IF(B1250&lt;&gt;"",B1250,"")</f>
        <v/>
      </c>
    </row>
    <row r="1251" ht="15.75" customHeight="1" s="146">
      <c r="C1251" t="inlineStr">
        <is>
          <t>Tom Marsh</t>
        </is>
      </c>
      <c r="D1251" s="122" t="inlineStr">
        <is>
          <t>Total</t>
        </is>
      </c>
      <c r="E1251" s="122" t="n">
        <v>0.53</v>
      </c>
      <c r="F1251" s="122" t="n">
        <v>17</v>
      </c>
      <c r="G1251" s="122" t="n">
        <v>9</v>
      </c>
      <c r="I1251" s="58">
        <f>IF(B1251&lt;&gt;"",B1251,"")</f>
        <v/>
      </c>
    </row>
    <row r="1252" ht="15.75" customHeight="1" s="146">
      <c r="C1252" s="122" t="n"/>
      <c r="D1252" s="122" t="inlineStr">
        <is>
          <t>Arborist</t>
        </is>
      </c>
      <c r="E1252" s="122" t="n">
        <v>0.72</v>
      </c>
      <c r="F1252" s="122" t="n">
        <v>7</v>
      </c>
      <c r="G1252" s="122" t="n">
        <v>5</v>
      </c>
      <c r="I1252" s="58">
        <f>IF(B1252&lt;&gt;"",B1252,"")</f>
        <v/>
      </c>
    </row>
    <row r="1253" ht="15.75" customHeight="1" s="146">
      <c r="D1253" s="122" t="inlineStr">
        <is>
          <t>Business Matrix</t>
        </is>
      </c>
      <c r="E1253" s="122" t="n">
        <v>0.67</v>
      </c>
      <c r="F1253" s="122" t="n">
        <v>6</v>
      </c>
      <c r="G1253" s="122" t="n">
        <v>4</v>
      </c>
      <c r="I1253" s="58">
        <f>IF(B1253&lt;&gt;"",B1253,"")</f>
        <v/>
      </c>
    </row>
    <row r="1254" ht="15.75" customHeight="1" s="146">
      <c r="B1254" s="122" t="n"/>
      <c r="C1254" s="122" t="n"/>
      <c r="D1254" t="inlineStr">
        <is>
          <t>Customer - Utility Arboriculture</t>
        </is>
      </c>
      <c r="E1254" s="122" t="n">
        <v>0</v>
      </c>
      <c r="F1254" s="122" t="n">
        <v>4</v>
      </c>
      <c r="G1254" s="122" t="n">
        <v>0</v>
      </c>
      <c r="H1254" s="57" t="n"/>
      <c r="I1254" s="58">
        <f>IF(B1254&lt;&gt;"",B1254,"")</f>
        <v/>
      </c>
    </row>
    <row r="1255" ht="15.75" customHeight="1" s="146">
      <c r="C1255" s="122" t="inlineStr">
        <is>
          <t>GB Construction (Herts) Ltd</t>
        </is>
      </c>
      <c r="D1255" s="122" t="inlineStr">
        <is>
          <t>Total</t>
        </is>
      </c>
      <c r="E1255" s="122" t="n">
        <v>0.25</v>
      </c>
      <c r="F1255" s="122" t="n">
        <v>4</v>
      </c>
      <c r="G1255" s="122" t="n">
        <v>1</v>
      </c>
      <c r="I1255" s="58">
        <f>IF(B1255&lt;&gt;"",B1255,"")</f>
        <v/>
      </c>
    </row>
    <row r="1256" ht="15.75" customHeight="1" s="146">
      <c r="D1256" s="122" t="inlineStr">
        <is>
          <t>Team Matrix</t>
        </is>
      </c>
      <c r="E1256" s="122" t="n">
        <v>0.25</v>
      </c>
      <c r="F1256" s="122" t="n">
        <v>4</v>
      </c>
      <c r="G1256" s="122" t="n">
        <v>1</v>
      </c>
      <c r="I1256" s="58">
        <f>IF(B1256&lt;&gt;"",B1256,"")</f>
        <v/>
      </c>
    </row>
    <row r="1257" ht="15.75" customHeight="1" s="146">
      <c r="C1257" t="inlineStr">
        <is>
          <t>Jozef Porubsky</t>
        </is>
      </c>
      <c r="D1257" s="122" t="inlineStr">
        <is>
          <t>Total</t>
        </is>
      </c>
      <c r="E1257" s="122" t="n">
        <v>0</v>
      </c>
      <c r="F1257" s="122" t="n">
        <v>17</v>
      </c>
      <c r="G1257" s="122" t="n">
        <v>0</v>
      </c>
      <c r="I1257" s="58">
        <f>IF(B1257&lt;&gt;"",B1257,"")</f>
        <v/>
      </c>
    </row>
    <row r="1258" ht="15.75" customHeight="1" s="146">
      <c r="D1258" s="122" t="inlineStr">
        <is>
          <t>Arborist</t>
        </is>
      </c>
      <c r="E1258" s="122" t="n">
        <v>0</v>
      </c>
      <c r="F1258" s="122" t="n">
        <v>7</v>
      </c>
      <c r="G1258" s="122" t="n">
        <v>0</v>
      </c>
      <c r="I1258" s="58">
        <f>IF(B1258&lt;&gt;"",B1258,"")</f>
        <v/>
      </c>
    </row>
    <row r="1259" ht="15.75" customHeight="1" s="146">
      <c r="C1259" s="122" t="n"/>
      <c r="D1259" s="122" t="inlineStr">
        <is>
          <t>Business Matrix</t>
        </is>
      </c>
      <c r="E1259" s="122" t="n">
        <v>0</v>
      </c>
      <c r="F1259" s="122" t="n">
        <v>6</v>
      </c>
      <c r="G1259" s="122" t="n">
        <v>0</v>
      </c>
      <c r="I1259" s="58">
        <f>IF(B1259&lt;&gt;"",B1259,"")</f>
        <v/>
      </c>
    </row>
    <row r="1260" ht="15.75" customHeight="1" s="146">
      <c r="D1260" s="122" t="inlineStr">
        <is>
          <t>Customer - Utility Arboriculture</t>
        </is>
      </c>
      <c r="E1260" s="122" t="n">
        <v>0</v>
      </c>
      <c r="F1260" s="122" t="n">
        <v>4</v>
      </c>
      <c r="G1260" s="122" t="n">
        <v>0</v>
      </c>
      <c r="I1260" s="58">
        <f>IF(B1260&lt;&gt;"",B1260,"")</f>
        <v/>
      </c>
    </row>
    <row r="1261" ht="15.75" customHeight="1" s="146">
      <c r="B1261" t="inlineStr">
        <is>
          <t>Watmough's Forestry Adam</t>
        </is>
      </c>
      <c r="C1261" t="inlineStr">
        <is>
          <t>Total</t>
        </is>
      </c>
      <c r="D1261" s="122" t="n"/>
      <c r="E1261" s="122" t="n">
        <v>0.42</v>
      </c>
      <c r="F1261" s="122" t="n">
        <v>68</v>
      </c>
      <c r="G1261" s="122" t="n">
        <v>28</v>
      </c>
      <c r="H1261" s="189" t="n">
        <v>39562</v>
      </c>
      <c r="I1261" s="58">
        <f>IF(B1261&lt;&gt;"",B1261,"")</f>
        <v/>
      </c>
    </row>
    <row r="1262" ht="15.75" customHeight="1" s="146">
      <c r="C1262" t="inlineStr">
        <is>
          <t>James Thornley</t>
        </is>
      </c>
      <c r="D1262" s="122" t="inlineStr">
        <is>
          <t>Total</t>
        </is>
      </c>
      <c r="E1262" s="122" t="n">
        <v>0.59</v>
      </c>
      <c r="F1262" s="122" t="n">
        <v>17</v>
      </c>
      <c r="G1262" s="122" t="n">
        <v>10</v>
      </c>
      <c r="I1262" s="58">
        <f>IF(B1262&lt;&gt;"",B1262,"")</f>
        <v/>
      </c>
    </row>
    <row r="1263" ht="15.75" customHeight="1" s="146">
      <c r="C1263" s="122" t="n"/>
      <c r="D1263" s="122" t="inlineStr">
        <is>
          <t>Arborist</t>
        </is>
      </c>
      <c r="E1263" s="122" t="n">
        <v>0.72</v>
      </c>
      <c r="F1263" s="122" t="n">
        <v>7</v>
      </c>
      <c r="G1263" s="122" t="n">
        <v>5</v>
      </c>
      <c r="I1263" s="58">
        <f>IF(B1263&lt;&gt;"",B1263,"")</f>
        <v/>
      </c>
    </row>
    <row r="1264" ht="15.75" customHeight="1" s="146">
      <c r="D1264" s="122" t="inlineStr">
        <is>
          <t>Business Matrix</t>
        </is>
      </c>
      <c r="E1264" s="122" t="n">
        <v>0.5</v>
      </c>
      <c r="F1264" s="122" t="n">
        <v>6</v>
      </c>
      <c r="G1264" s="122" t="n">
        <v>3</v>
      </c>
      <c r="I1264" s="58">
        <f>IF(B1264&lt;&gt;"",B1264,"")</f>
        <v/>
      </c>
    </row>
    <row r="1265" ht="15.75" customHeight="1" s="146">
      <c r="D1265" s="122" t="inlineStr">
        <is>
          <t>Customer - Utility Arboriculture</t>
        </is>
      </c>
      <c r="E1265" s="122" t="n">
        <v>0.5</v>
      </c>
      <c r="F1265" s="122" t="n">
        <v>4</v>
      </c>
      <c r="G1265" s="122" t="n">
        <v>2</v>
      </c>
      <c r="I1265" s="58">
        <f>IF(B1265&lt;&gt;"",B1265,"")</f>
        <v/>
      </c>
    </row>
    <row r="1266" ht="15.75" customHeight="1" s="146">
      <c r="C1266" t="inlineStr">
        <is>
          <t>Harry Watmough</t>
        </is>
      </c>
      <c r="D1266" s="122" t="inlineStr">
        <is>
          <t>Total</t>
        </is>
      </c>
      <c r="E1266" s="122" t="n">
        <v>0.54</v>
      </c>
      <c r="F1266" s="122" t="n">
        <v>15</v>
      </c>
      <c r="G1266" s="122" t="n">
        <v>8</v>
      </c>
      <c r="I1266" s="58">
        <f>IF(B1266&lt;&gt;"",B1266,"")</f>
        <v/>
      </c>
    </row>
    <row r="1267" ht="15.75" customHeight="1" s="146">
      <c r="C1267" s="122" t="n"/>
      <c r="D1267" s="122" t="inlineStr">
        <is>
          <t>Grounds Person</t>
        </is>
      </c>
      <c r="E1267" s="122" t="n">
        <v>0.8</v>
      </c>
      <c r="F1267" s="122" t="n">
        <v>5</v>
      </c>
      <c r="G1267" s="122" t="n">
        <v>4</v>
      </c>
      <c r="I1267" s="58">
        <f>IF(B1267&lt;&gt;"",B1267,"")</f>
        <v/>
      </c>
    </row>
    <row r="1268" ht="15.75" customHeight="1" s="146">
      <c r="D1268" s="122" t="inlineStr">
        <is>
          <t>Business Matrix</t>
        </is>
      </c>
      <c r="E1268" s="122" t="n">
        <v>0.5</v>
      </c>
      <c r="F1268" s="122" t="n">
        <v>6</v>
      </c>
      <c r="G1268" s="122" t="n">
        <v>3</v>
      </c>
      <c r="I1268" s="58">
        <f>IF(B1268&lt;&gt;"",B1268,"")</f>
        <v/>
      </c>
    </row>
    <row r="1269" ht="15.75" customHeight="1" s="146">
      <c r="D1269" s="122" t="inlineStr">
        <is>
          <t>Customer - Utility Arboriculture</t>
        </is>
      </c>
      <c r="E1269" s="122" t="n">
        <v>0.25</v>
      </c>
      <c r="F1269" s="122" t="n">
        <v>4</v>
      </c>
      <c r="G1269" s="122" t="n">
        <v>1</v>
      </c>
      <c r="I1269" s="58">
        <f>IF(B1269&lt;&gt;"",B1269,"")</f>
        <v/>
      </c>
    </row>
    <row r="1270" ht="15.75" customHeight="1" s="146">
      <c r="C1270" t="inlineStr">
        <is>
          <t>Watmough's Forestry Adam</t>
        </is>
      </c>
      <c r="D1270" s="122" t="inlineStr">
        <is>
          <t>Total</t>
        </is>
      </c>
      <c r="E1270" s="122" t="n">
        <v>0.5</v>
      </c>
      <c r="F1270" s="122" t="n">
        <v>4</v>
      </c>
      <c r="G1270" s="122" t="n">
        <v>2</v>
      </c>
      <c r="I1270" s="58">
        <f>IF(B1270&lt;&gt;"",B1270,"")</f>
        <v/>
      </c>
    </row>
    <row r="1271" ht="15.75" customHeight="1" s="146">
      <c r="C1271" s="122" t="n"/>
      <c r="D1271" s="122" t="inlineStr">
        <is>
          <t>Team Matrix</t>
        </is>
      </c>
      <c r="E1271" s="122" t="n">
        <v>0.5</v>
      </c>
      <c r="F1271" s="122" t="n">
        <v>4</v>
      </c>
      <c r="G1271" s="122" t="n">
        <v>2</v>
      </c>
      <c r="I1271" s="58">
        <f>IF(B1271&lt;&gt;"",B1271,"")</f>
        <v/>
      </c>
    </row>
    <row r="1272" ht="15.75" customHeight="1" s="146">
      <c r="C1272" t="inlineStr">
        <is>
          <t>Adam Watmough</t>
        </is>
      </c>
      <c r="D1272" s="122" t="inlineStr">
        <is>
          <t>Total</t>
        </is>
      </c>
      <c r="E1272" s="122" t="n">
        <v>0.48</v>
      </c>
      <c r="F1272" s="122" t="n">
        <v>17</v>
      </c>
      <c r="G1272" s="122" t="n">
        <v>8</v>
      </c>
      <c r="I1272" s="58">
        <f>IF(B1272&lt;&gt;"",B1272,"")</f>
        <v/>
      </c>
    </row>
    <row r="1273" ht="15.75" customHeight="1" s="146">
      <c r="D1273" s="122" t="inlineStr">
        <is>
          <t>Business Matrix</t>
        </is>
      </c>
      <c r="E1273" s="122" t="n">
        <v>0.67</v>
      </c>
      <c r="F1273" s="122" t="n">
        <v>6</v>
      </c>
      <c r="G1273" s="122" t="n">
        <v>4</v>
      </c>
      <c r="I1273" s="58">
        <f>IF(B1273&lt;&gt;"",B1273,"")</f>
        <v/>
      </c>
    </row>
    <row r="1274" ht="15.75" customHeight="1" s="146">
      <c r="D1274" s="122" t="inlineStr">
        <is>
          <t>Arborist</t>
        </is>
      </c>
      <c r="E1274" s="122" t="n">
        <v>0.58</v>
      </c>
      <c r="F1274" s="122" t="n">
        <v>7</v>
      </c>
      <c r="G1274" s="122" t="n">
        <v>4</v>
      </c>
      <c r="I1274" s="58">
        <f>IF(B1274&lt;&gt;"",B1274,"")</f>
        <v/>
      </c>
    </row>
    <row r="1275" ht="15.75" customHeight="1" s="146">
      <c r="C1275" s="122" t="n"/>
      <c r="D1275" s="122" t="inlineStr">
        <is>
          <t>Customer - Utility Arboriculture</t>
        </is>
      </c>
      <c r="E1275" s="122" t="n">
        <v>0</v>
      </c>
      <c r="F1275" s="122" t="n">
        <v>4</v>
      </c>
      <c r="G1275" s="122" t="n">
        <v>0</v>
      </c>
      <c r="I1275" s="58">
        <f>IF(B1275&lt;&gt;"",B1275,"")</f>
        <v/>
      </c>
    </row>
    <row r="1276" ht="15.75" customHeight="1" s="146">
      <c r="C1276" t="inlineStr">
        <is>
          <t>Tyron Cotterill</t>
        </is>
      </c>
      <c r="D1276" s="122" t="inlineStr">
        <is>
          <t>Total</t>
        </is>
      </c>
      <c r="E1276" s="122" t="n">
        <v>0</v>
      </c>
      <c r="F1276" s="122" t="n">
        <v>15</v>
      </c>
      <c r="G1276" s="122" t="n">
        <v>0</v>
      </c>
      <c r="I1276" s="58">
        <f>IF(B1276&lt;&gt;"",B1276,"")</f>
        <v/>
      </c>
    </row>
    <row r="1277" ht="15.75" customHeight="1" s="146">
      <c r="D1277" s="122" t="inlineStr">
        <is>
          <t>Business Matrix</t>
        </is>
      </c>
      <c r="E1277" s="122" t="n">
        <v>0</v>
      </c>
      <c r="F1277" s="122" t="n">
        <v>6</v>
      </c>
      <c r="G1277" s="122" t="n">
        <v>0</v>
      </c>
      <c r="I1277" s="58">
        <f>IF(B1277&lt;&gt;"",B1277,"")</f>
        <v/>
      </c>
    </row>
    <row r="1278" ht="15.75" customHeight="1" s="146">
      <c r="D1278" s="122" t="inlineStr">
        <is>
          <t>Customer - Utility Arboriculture</t>
        </is>
      </c>
      <c r="E1278" s="122" t="n">
        <v>0</v>
      </c>
      <c r="F1278" s="122" t="n">
        <v>4</v>
      </c>
      <c r="G1278" s="122" t="n">
        <v>0</v>
      </c>
      <c r="I1278" s="58">
        <f>IF(B1278&lt;&gt;"",B1278,"")</f>
        <v/>
      </c>
    </row>
    <row r="1279" ht="15.75" customHeight="1" s="146">
      <c r="C1279" s="122" t="n"/>
      <c r="D1279" s="122" t="inlineStr">
        <is>
          <t>Grounds Person</t>
        </is>
      </c>
      <c r="E1279" s="122" t="n">
        <v>0</v>
      </c>
      <c r="F1279" s="122" t="n">
        <v>5</v>
      </c>
      <c r="G1279" s="122" t="n">
        <v>0</v>
      </c>
      <c r="I1279" s="58">
        <f>IF(B1279&lt;&gt;"",B1279,"")</f>
        <v/>
      </c>
    </row>
    <row r="1280" ht="15.75" customHeight="1" s="146">
      <c r="B1280" t="inlineStr">
        <is>
          <t>George Harris Tree Services</t>
        </is>
      </c>
      <c r="C1280" t="inlineStr">
        <is>
          <t>Total</t>
        </is>
      </c>
      <c r="D1280" s="122" t="n"/>
      <c r="E1280" s="122" t="n">
        <v>0.36</v>
      </c>
      <c r="F1280" s="122" t="n">
        <v>87</v>
      </c>
      <c r="G1280" s="122" t="n">
        <v>31</v>
      </c>
      <c r="H1280" s="189" t="n">
        <v>45664</v>
      </c>
      <c r="I1280" s="58">
        <f>IF(B1280&lt;&gt;"",B1280,"")</f>
        <v/>
      </c>
    </row>
    <row r="1281" ht="15.75" customHeight="1" s="146">
      <c r="C1281" t="inlineStr">
        <is>
          <t>George Harris</t>
        </is>
      </c>
      <c r="D1281" s="122" t="inlineStr">
        <is>
          <t>Total</t>
        </is>
      </c>
      <c r="E1281" s="122" t="n">
        <v>0.83</v>
      </c>
      <c r="F1281" s="122" t="n">
        <v>17</v>
      </c>
      <c r="G1281" s="122" t="n">
        <v>14</v>
      </c>
      <c r="I1281" s="58">
        <f>IF(B1281&lt;&gt;"",B1281,"")</f>
        <v/>
      </c>
    </row>
    <row r="1282" ht="15.75" customHeight="1" s="146">
      <c r="D1282" s="122" t="inlineStr">
        <is>
          <t>Customer - Utility Arboriculture</t>
        </is>
      </c>
      <c r="E1282" s="122" t="n">
        <v>1</v>
      </c>
      <c r="F1282" s="122" t="n">
        <v>4</v>
      </c>
      <c r="G1282" s="122" t="n">
        <v>4</v>
      </c>
      <c r="I1282" s="58">
        <f>IF(B1282&lt;&gt;"",B1282,"")</f>
        <v/>
      </c>
    </row>
    <row r="1283" ht="15.75" customHeight="1" s="146">
      <c r="C1283" s="122" t="n"/>
      <c r="D1283" s="122" t="inlineStr">
        <is>
          <t>Arborist</t>
        </is>
      </c>
      <c r="E1283" s="122" t="n">
        <v>0.86</v>
      </c>
      <c r="F1283" s="122" t="n">
        <v>7</v>
      </c>
      <c r="G1283" s="122" t="n">
        <v>6</v>
      </c>
      <c r="I1283" s="58">
        <f>IF(B1283&lt;&gt;"",B1283,"")</f>
        <v/>
      </c>
    </row>
    <row r="1284" ht="15.75" customHeight="1" s="146">
      <c r="D1284" s="122" t="inlineStr">
        <is>
          <t>Business Matrix</t>
        </is>
      </c>
      <c r="E1284" s="122" t="n">
        <v>0.67</v>
      </c>
      <c r="F1284" s="122" t="n">
        <v>6</v>
      </c>
      <c r="G1284" s="122" t="n">
        <v>4</v>
      </c>
      <c r="I1284" s="58">
        <f>IF(B1284&lt;&gt;"",B1284,"")</f>
        <v/>
      </c>
    </row>
    <row r="1285" ht="15.75" customHeight="1" s="146">
      <c r="B1285" s="122" t="n"/>
      <c r="C1285" s="122" t="inlineStr">
        <is>
          <t>George Harris Tree Services .</t>
        </is>
      </c>
      <c r="D1285" t="inlineStr">
        <is>
          <t>Total</t>
        </is>
      </c>
      <c r="E1285" s="122" t="n">
        <v>0.75</v>
      </c>
      <c r="F1285" s="122" t="n">
        <v>4</v>
      </c>
      <c r="G1285" s="122" t="n">
        <v>3</v>
      </c>
      <c r="H1285" s="57" t="n"/>
      <c r="I1285" s="58">
        <f>IF(B1285&lt;&gt;"",B1285,"")</f>
        <v/>
      </c>
    </row>
    <row r="1286" ht="15.75" customHeight="1" s="146">
      <c r="C1286" s="122" t="n"/>
      <c r="D1286" s="122" t="inlineStr">
        <is>
          <t>Team Matrix</t>
        </is>
      </c>
      <c r="E1286" s="122" t="n">
        <v>0.75</v>
      </c>
      <c r="F1286" s="122" t="n">
        <v>4</v>
      </c>
      <c r="G1286" s="122" t="n">
        <v>3</v>
      </c>
      <c r="I1286" s="58">
        <f>IF(B1286&lt;&gt;"",B1286,"")</f>
        <v/>
      </c>
    </row>
    <row r="1287" ht="15.75" customHeight="1" s="146">
      <c r="C1287" t="inlineStr">
        <is>
          <t>Gethyn Durham</t>
        </is>
      </c>
      <c r="D1287" s="122" t="inlineStr">
        <is>
          <t>Total</t>
        </is>
      </c>
      <c r="E1287" s="122" t="n">
        <v>0.54</v>
      </c>
      <c r="F1287" s="122" t="n">
        <v>15</v>
      </c>
      <c r="G1287" s="122" t="n">
        <v>8</v>
      </c>
      <c r="I1287" s="58">
        <f>IF(B1287&lt;&gt;"",B1287,"")</f>
        <v/>
      </c>
    </row>
    <row r="1288" ht="15.75" customHeight="1" s="146">
      <c r="D1288" s="122" t="inlineStr">
        <is>
          <t>Grounds Person</t>
        </is>
      </c>
      <c r="E1288" s="122" t="n">
        <v>0.8</v>
      </c>
      <c r="F1288" s="122" t="n">
        <v>5</v>
      </c>
      <c r="G1288" s="122" t="n">
        <v>4</v>
      </c>
      <c r="I1288" s="58">
        <f>IF(B1288&lt;&gt;"",B1288,"")</f>
        <v/>
      </c>
    </row>
    <row r="1289" ht="15.75" customHeight="1" s="146">
      <c r="D1289" s="122" t="inlineStr">
        <is>
          <t>Customer - Utility Arboriculture</t>
        </is>
      </c>
      <c r="E1289" s="122" t="n">
        <v>0.5</v>
      </c>
      <c r="F1289" s="122" t="n">
        <v>4</v>
      </c>
      <c r="G1289" s="122" t="n">
        <v>2</v>
      </c>
      <c r="I1289" s="58">
        <f>IF(B1289&lt;&gt;"",B1289,"")</f>
        <v/>
      </c>
    </row>
    <row r="1290" ht="15.75" customHeight="1" s="146">
      <c r="C1290" s="122" t="n"/>
      <c r="D1290" s="122" t="inlineStr">
        <is>
          <t>Business Matrix</t>
        </is>
      </c>
      <c r="E1290" s="122" t="n">
        <v>0.34</v>
      </c>
      <c r="F1290" s="122" t="n">
        <v>6</v>
      </c>
      <c r="G1290" s="122" t="n">
        <v>2</v>
      </c>
      <c r="I1290" s="58">
        <f>IF(B1290&lt;&gt;"",B1290,"")</f>
        <v/>
      </c>
    </row>
    <row r="1291" ht="15.75" customHeight="1" s="146">
      <c r="C1291" t="inlineStr">
        <is>
          <t>Luca Arata Nicholson</t>
        </is>
      </c>
      <c r="D1291" s="122" t="inlineStr">
        <is>
          <t>Total</t>
        </is>
      </c>
      <c r="E1291" s="122" t="n">
        <v>0.36</v>
      </c>
      <c r="F1291" s="122" t="n">
        <v>17</v>
      </c>
      <c r="G1291" s="122" t="n">
        <v>6</v>
      </c>
      <c r="I1291" s="58">
        <f>IF(B1291&lt;&gt;"",B1291,"")</f>
        <v/>
      </c>
    </row>
    <row r="1292" ht="15.75" customHeight="1" s="146">
      <c r="D1292" s="122" t="inlineStr">
        <is>
          <t>Customer - Utility Arboriculture</t>
        </is>
      </c>
      <c r="E1292" s="122" t="n">
        <v>0.75</v>
      </c>
      <c r="F1292" s="122" t="n">
        <v>4</v>
      </c>
      <c r="G1292" s="122" t="n">
        <v>3</v>
      </c>
      <c r="I1292" s="58">
        <f>IF(B1292&lt;&gt;"",B1292,"")</f>
        <v/>
      </c>
    </row>
    <row r="1293" ht="15.75" customHeight="1" s="146">
      <c r="D1293" s="122" t="inlineStr">
        <is>
          <t>Arborist</t>
        </is>
      </c>
      <c r="E1293" s="122" t="n">
        <v>0.43</v>
      </c>
      <c r="F1293" s="122" t="n">
        <v>7</v>
      </c>
      <c r="G1293" s="122" t="n">
        <v>3</v>
      </c>
      <c r="I1293" s="58">
        <f>IF(B1293&lt;&gt;"",B1293,"")</f>
        <v/>
      </c>
    </row>
    <row r="1294" ht="15.75" customHeight="1" s="146">
      <c r="C1294" s="122" t="n"/>
      <c r="D1294" s="122" t="inlineStr">
        <is>
          <t>Business Matrix</t>
        </is>
      </c>
      <c r="E1294" s="122" t="n">
        <v>0</v>
      </c>
      <c r="F1294" s="122" t="n">
        <v>6</v>
      </c>
      <c r="G1294" s="122" t="n">
        <v>0</v>
      </c>
      <c r="I1294" s="58">
        <f>IF(B1294&lt;&gt;"",B1294,"")</f>
        <v/>
      </c>
    </row>
    <row r="1295" ht="15.75" customHeight="1" s="146">
      <c r="C1295" t="inlineStr">
        <is>
          <t>Gethin Harris</t>
        </is>
      </c>
      <c r="D1295" s="122" t="inlineStr">
        <is>
          <t>Total</t>
        </is>
      </c>
      <c r="E1295" s="122" t="n">
        <v>0</v>
      </c>
      <c r="F1295" s="122" t="n">
        <v>17</v>
      </c>
      <c r="G1295" s="122" t="n">
        <v>0</v>
      </c>
      <c r="I1295" s="58">
        <f>IF(B1295&lt;&gt;"",B1295,"")</f>
        <v/>
      </c>
    </row>
    <row r="1296" ht="15.75" customHeight="1" s="146">
      <c r="B1296" s="122" t="n"/>
      <c r="C1296" s="122" t="n"/>
      <c r="D1296" t="inlineStr">
        <is>
          <t>Arborist</t>
        </is>
      </c>
      <c r="E1296" s="122" t="n">
        <v>0</v>
      </c>
      <c r="F1296" s="122" t="n">
        <v>7</v>
      </c>
      <c r="G1296" s="122" t="n">
        <v>0</v>
      </c>
      <c r="H1296" s="57" t="n"/>
      <c r="I1296" s="58">
        <f>IF(B1296&lt;&gt;"",B1296,"")</f>
        <v/>
      </c>
    </row>
    <row r="1297" ht="15.75" customHeight="1" s="146">
      <c r="C1297" s="122" t="n"/>
      <c r="D1297" s="122" t="inlineStr">
        <is>
          <t>Business Matrix</t>
        </is>
      </c>
      <c r="E1297" s="122" t="n">
        <v>0</v>
      </c>
      <c r="F1297" s="122" t="n">
        <v>6</v>
      </c>
      <c r="G1297" s="122" t="n">
        <v>0</v>
      </c>
      <c r="I1297" s="58">
        <f>IF(B1297&lt;&gt;"",B1297,"")</f>
        <v/>
      </c>
    </row>
    <row r="1298" ht="15.75" customHeight="1" s="146">
      <c r="D1298" s="122" t="inlineStr">
        <is>
          <t>Customer - Utility Arboriculture</t>
        </is>
      </c>
      <c r="E1298" s="122" t="n">
        <v>0</v>
      </c>
      <c r="F1298" s="122" t="n">
        <v>4</v>
      </c>
      <c r="G1298" s="122" t="n">
        <v>0</v>
      </c>
      <c r="I1298" s="58">
        <f>IF(B1298&lt;&gt;"",B1298,"")</f>
        <v/>
      </c>
    </row>
    <row r="1299" ht="15.75" customHeight="1" s="146">
      <c r="C1299" s="122" t="inlineStr">
        <is>
          <t>Spencer John</t>
        </is>
      </c>
      <c r="D1299" s="122" t="inlineStr">
        <is>
          <t>Total</t>
        </is>
      </c>
      <c r="E1299" s="122" t="n">
        <v>0</v>
      </c>
      <c r="F1299" s="122" t="n">
        <v>17</v>
      </c>
      <c r="G1299" s="122" t="n">
        <v>0</v>
      </c>
      <c r="I1299" s="58">
        <f>IF(B1299&lt;&gt;"",B1299,"")</f>
        <v/>
      </c>
    </row>
    <row r="1300" ht="15.75" customHeight="1" s="146">
      <c r="D1300" s="122" t="inlineStr">
        <is>
          <t>Arborist</t>
        </is>
      </c>
      <c r="E1300" s="122" t="n">
        <v>0</v>
      </c>
      <c r="F1300" s="122" t="n">
        <v>7</v>
      </c>
      <c r="G1300" s="122" t="n">
        <v>0</v>
      </c>
      <c r="I1300" s="58">
        <f>IF(B1300&lt;&gt;"",B1300,"")</f>
        <v/>
      </c>
    </row>
    <row r="1301" ht="15.75" customHeight="1" s="146">
      <c r="D1301" s="122" t="inlineStr">
        <is>
          <t>Business Matrix</t>
        </is>
      </c>
      <c r="E1301" s="122" t="n">
        <v>0</v>
      </c>
      <c r="F1301" s="122" t="n">
        <v>6</v>
      </c>
      <c r="G1301" s="122" t="n">
        <v>0</v>
      </c>
      <c r="I1301" s="58">
        <f>IF(B1301&lt;&gt;"",B1301,"")</f>
        <v/>
      </c>
    </row>
    <row r="1302" ht="15.75" customHeight="1" s="146">
      <c r="D1302" s="122" t="inlineStr">
        <is>
          <t>Customer - Utility Arboriculture</t>
        </is>
      </c>
      <c r="E1302" s="122" t="n">
        <v>0</v>
      </c>
      <c r="F1302" s="122" t="n">
        <v>4</v>
      </c>
      <c r="G1302" s="122" t="n">
        <v>0</v>
      </c>
      <c r="I1302" s="58">
        <f>IF(B1302&lt;&gt;"",B1302,"")</f>
        <v/>
      </c>
    </row>
    <row r="1303" ht="15.75" customHeight="1" s="146">
      <c r="B1303" t="inlineStr">
        <is>
          <t>Keighley Tree Services</t>
        </is>
      </c>
      <c r="C1303" s="122" t="inlineStr">
        <is>
          <t>Total</t>
        </is>
      </c>
      <c r="D1303" s="122" t="n"/>
      <c r="E1303" s="122" t="n">
        <v>0.32</v>
      </c>
      <c r="F1303" s="122" t="n">
        <v>72</v>
      </c>
      <c r="G1303" s="122" t="n">
        <v>23</v>
      </c>
      <c r="H1303" s="189" t="n">
        <v>46059</v>
      </c>
      <c r="I1303" s="58">
        <f>IF(B1303&lt;&gt;"",B1303,"")</f>
        <v/>
      </c>
    </row>
    <row r="1304" ht="15.75" customHeight="1" s="146">
      <c r="C1304" t="inlineStr">
        <is>
          <t>Keighley Tree Services .</t>
        </is>
      </c>
      <c r="D1304" s="122" t="inlineStr">
        <is>
          <t>Total</t>
        </is>
      </c>
      <c r="E1304" s="122" t="n">
        <v>1</v>
      </c>
      <c r="F1304" s="122" t="n">
        <v>4</v>
      </c>
      <c r="G1304" s="122" t="n">
        <v>4</v>
      </c>
      <c r="I1304" s="58">
        <f>IF(B1304&lt;&gt;"",B1304,"")</f>
        <v/>
      </c>
    </row>
    <row r="1305" ht="15.75" customHeight="1" s="146">
      <c r="D1305" s="122" t="inlineStr">
        <is>
          <t>Team Matrix</t>
        </is>
      </c>
      <c r="E1305" s="122" t="n">
        <v>1</v>
      </c>
      <c r="F1305" s="122" t="n">
        <v>4</v>
      </c>
      <c r="G1305" s="122" t="n">
        <v>4</v>
      </c>
      <c r="I1305" s="58">
        <f>IF(B1305&lt;&gt;"",B1305,"")</f>
        <v/>
      </c>
    </row>
    <row r="1306" ht="15.75" customHeight="1" s="146">
      <c r="C1306" t="inlineStr">
        <is>
          <t>Ellis Griffin</t>
        </is>
      </c>
      <c r="D1306" s="122" t="inlineStr">
        <is>
          <t>Total</t>
        </is>
      </c>
      <c r="E1306" s="122" t="n">
        <v>0.36</v>
      </c>
      <c r="F1306" s="122" t="n">
        <v>17</v>
      </c>
      <c r="G1306" s="122" t="n">
        <v>6</v>
      </c>
      <c r="I1306" s="58">
        <f>IF(B1306&lt;&gt;"",B1306,"")</f>
        <v/>
      </c>
    </row>
    <row r="1307" ht="15.75" customHeight="1" s="146">
      <c r="C1307" s="122" t="n"/>
      <c r="D1307" s="122" t="inlineStr">
        <is>
          <t>Arborist</t>
        </is>
      </c>
      <c r="E1307" s="122" t="n">
        <v>0.72</v>
      </c>
      <c r="F1307" s="122" t="n">
        <v>7</v>
      </c>
      <c r="G1307" s="122" t="n">
        <v>5</v>
      </c>
      <c r="I1307" s="58">
        <f>IF(B1307&lt;&gt;"",B1307,"")</f>
        <v/>
      </c>
    </row>
    <row r="1308" ht="15.75" customHeight="1" s="146">
      <c r="D1308" s="122" t="inlineStr">
        <is>
          <t>Customer - Utility Arboriculture</t>
        </is>
      </c>
      <c r="E1308" s="122" t="n">
        <v>0.25</v>
      </c>
      <c r="F1308" s="122" t="n">
        <v>4</v>
      </c>
      <c r="G1308" s="122" t="n">
        <v>1</v>
      </c>
      <c r="I1308" s="58">
        <f>IF(B1308&lt;&gt;"",B1308,"")</f>
        <v/>
      </c>
    </row>
    <row r="1309" ht="15.75" customHeight="1" s="146">
      <c r="D1309" s="122" t="inlineStr">
        <is>
          <t>Business Matrix</t>
        </is>
      </c>
      <c r="E1309" s="122" t="n">
        <v>0</v>
      </c>
      <c r="F1309" s="122" t="n">
        <v>6</v>
      </c>
      <c r="G1309" s="122" t="n">
        <v>0</v>
      </c>
      <c r="I1309" s="58">
        <f>IF(B1309&lt;&gt;"",B1309,"")</f>
        <v/>
      </c>
    </row>
    <row r="1310" ht="15.75" customHeight="1" s="146">
      <c r="C1310" t="inlineStr">
        <is>
          <t>Will Finn</t>
        </is>
      </c>
      <c r="D1310" s="122" t="inlineStr">
        <is>
          <t>Total</t>
        </is>
      </c>
      <c r="E1310" s="122" t="n">
        <v>0.36</v>
      </c>
      <c r="F1310" s="122" t="n">
        <v>17</v>
      </c>
      <c r="G1310" s="122" t="n">
        <v>6</v>
      </c>
      <c r="I1310" s="58">
        <f>IF(B1310&lt;&gt;"",B1310,"")</f>
        <v/>
      </c>
    </row>
    <row r="1311" ht="15.75" customHeight="1" s="146">
      <c r="B1311" s="122" t="n"/>
      <c r="C1311" s="122" t="n"/>
      <c r="D1311" t="inlineStr">
        <is>
          <t>Arborist</t>
        </is>
      </c>
      <c r="E1311" s="122" t="n">
        <v>0.72</v>
      </c>
      <c r="F1311" s="122" t="n">
        <v>7</v>
      </c>
      <c r="G1311" s="122" t="n">
        <v>5</v>
      </c>
      <c r="H1311" s="57" t="n"/>
      <c r="I1311" s="58">
        <f>IF(B1311&lt;&gt;"",B1311,"")</f>
        <v/>
      </c>
    </row>
    <row r="1312" ht="15.75" customHeight="1" s="146">
      <c r="C1312" s="122" t="n"/>
      <c r="D1312" s="122" t="inlineStr">
        <is>
          <t>Customer - Utility Arboriculture</t>
        </is>
      </c>
      <c r="E1312" s="122" t="n">
        <v>0.25</v>
      </c>
      <c r="F1312" s="122" t="n">
        <v>4</v>
      </c>
      <c r="G1312" s="122" t="n">
        <v>1</v>
      </c>
      <c r="I1312" s="58">
        <f>IF(B1312&lt;&gt;"",B1312,"")</f>
        <v/>
      </c>
    </row>
    <row r="1313" ht="15.75" customHeight="1" s="146">
      <c r="D1313" s="122" t="inlineStr">
        <is>
          <t>Business Matrix</t>
        </is>
      </c>
      <c r="E1313" s="122" t="n">
        <v>0</v>
      </c>
      <c r="F1313" s="122" t="n">
        <v>6</v>
      </c>
      <c r="G1313" s="122" t="n">
        <v>0</v>
      </c>
      <c r="I1313" s="58">
        <f>IF(B1313&lt;&gt;"",B1313,"")</f>
        <v/>
      </c>
    </row>
    <row r="1314" ht="15.75" customHeight="1" s="146">
      <c r="C1314" t="inlineStr">
        <is>
          <t>Rob Baker</t>
        </is>
      </c>
      <c r="D1314" s="122" t="inlineStr">
        <is>
          <t>Total</t>
        </is>
      </c>
      <c r="E1314" s="122" t="n">
        <v>0.24</v>
      </c>
      <c r="F1314" s="122" t="n">
        <v>17</v>
      </c>
      <c r="G1314" s="122" t="n">
        <v>4</v>
      </c>
      <c r="I1314" s="58">
        <f>IF(B1314&lt;&gt;"",B1314,"")</f>
        <v/>
      </c>
    </row>
    <row r="1315" ht="15.75" customHeight="1" s="146">
      <c r="D1315" s="122" t="inlineStr">
        <is>
          <t>Arborist</t>
        </is>
      </c>
      <c r="E1315" s="122" t="n">
        <v>0.58</v>
      </c>
      <c r="F1315" s="122" t="n">
        <v>7</v>
      </c>
      <c r="G1315" s="122" t="n">
        <v>4</v>
      </c>
      <c r="I1315" s="58">
        <f>IF(B1315&lt;&gt;"",B1315,"")</f>
        <v/>
      </c>
    </row>
    <row r="1316" ht="15.75" customHeight="1" s="146">
      <c r="C1316" s="122" t="n"/>
      <c r="D1316" s="122" t="inlineStr">
        <is>
          <t>Business Matrix</t>
        </is>
      </c>
      <c r="E1316" s="122" t="n">
        <v>0</v>
      </c>
      <c r="F1316" s="122" t="n">
        <v>6</v>
      </c>
      <c r="G1316" s="122" t="n">
        <v>0</v>
      </c>
      <c r="I1316" s="58">
        <f>IF(B1316&lt;&gt;"",B1316,"")</f>
        <v/>
      </c>
    </row>
    <row r="1317" ht="15.75" customHeight="1" s="146">
      <c r="D1317" s="122" t="inlineStr">
        <is>
          <t>Customer - Utility Arboriculture</t>
        </is>
      </c>
      <c r="E1317" s="122" t="n">
        <v>0</v>
      </c>
      <c r="F1317" s="122" t="n">
        <v>4</v>
      </c>
      <c r="G1317" s="122" t="n">
        <v>0</v>
      </c>
      <c r="I1317" s="58">
        <f>IF(B1317&lt;&gt;"",B1317,"")</f>
        <v/>
      </c>
    </row>
    <row r="1318" ht="15.75" customHeight="1" s="146">
      <c r="C1318" t="inlineStr">
        <is>
          <t>Glen Walbank</t>
        </is>
      </c>
      <c r="D1318" s="122" t="inlineStr">
        <is>
          <t>Total</t>
        </is>
      </c>
      <c r="E1318" s="122" t="n">
        <v>0.18</v>
      </c>
      <c r="F1318" s="122" t="n">
        <v>17</v>
      </c>
      <c r="G1318" s="122" t="n">
        <v>3</v>
      </c>
      <c r="I1318" s="58">
        <f>IF(B1318&lt;&gt;"",B1318,"")</f>
        <v/>
      </c>
    </row>
    <row r="1319" ht="15.75" customHeight="1" s="146">
      <c r="D1319" s="122" t="inlineStr">
        <is>
          <t>Arborist</t>
        </is>
      </c>
      <c r="E1319" s="122" t="n">
        <v>0.43</v>
      </c>
      <c r="F1319" s="122" t="n">
        <v>7</v>
      </c>
      <c r="G1319" s="122" t="n">
        <v>3</v>
      </c>
      <c r="I1319" s="58">
        <f>IF(B1319&lt;&gt;"",B1319,"")</f>
        <v/>
      </c>
    </row>
    <row r="1320" ht="15.75" customHeight="1" s="146">
      <c r="C1320" s="122" t="n"/>
      <c r="D1320" s="122" t="inlineStr">
        <is>
          <t>Business Matrix</t>
        </is>
      </c>
      <c r="E1320" s="122" t="n">
        <v>0</v>
      </c>
      <c r="F1320" s="122" t="n">
        <v>6</v>
      </c>
      <c r="G1320" s="122" t="n">
        <v>0</v>
      </c>
      <c r="I1320" s="58">
        <f>IF(B1320&lt;&gt;"",B1320,"")</f>
        <v/>
      </c>
    </row>
    <row r="1321" ht="15.75" customHeight="1" s="146">
      <c r="D1321" s="122" t="inlineStr">
        <is>
          <t>Customer - Utility Arboriculture</t>
        </is>
      </c>
      <c r="E1321" s="122" t="n">
        <v>0</v>
      </c>
      <c r="F1321" s="122" t="n">
        <v>4</v>
      </c>
      <c r="G1321" s="122" t="n">
        <v>0</v>
      </c>
      <c r="I1321" s="58">
        <f>IF(B1321&lt;&gt;"",B1321,"")</f>
        <v/>
      </c>
    </row>
    <row r="1322" ht="15.75" customHeight="1" s="146">
      <c r="B1322" s="122" t="inlineStr">
        <is>
          <t>Garden Village Development Supplies Ltd</t>
        </is>
      </c>
      <c r="C1322" s="122" t="inlineStr">
        <is>
          <t>Total</t>
        </is>
      </c>
      <c r="E1322" s="122" t="n">
        <v>0.23</v>
      </c>
      <c r="F1322" s="122" t="n">
        <v>72</v>
      </c>
      <c r="G1322" s="122" t="n">
        <v>16</v>
      </c>
      <c r="H1322" s="57" t="n">
        <v>46127</v>
      </c>
      <c r="I1322" s="58">
        <f>IF(B1322&lt;&gt;"",B1322,"")</f>
        <v/>
      </c>
    </row>
    <row r="1323" ht="15.75" customHeight="1" s="146">
      <c r="C1323" s="122" t="inlineStr">
        <is>
          <t>Garden Village Development Supplies Ltd .</t>
        </is>
      </c>
      <c r="D1323" s="122" t="inlineStr">
        <is>
          <t>Total</t>
        </is>
      </c>
      <c r="E1323" s="122" t="n">
        <v>1</v>
      </c>
      <c r="F1323" s="122" t="n">
        <v>4</v>
      </c>
      <c r="G1323" s="122" t="n">
        <v>4</v>
      </c>
      <c r="I1323" s="58">
        <f>IF(B1323&lt;&gt;"",B1323,"")</f>
        <v/>
      </c>
    </row>
    <row r="1324" ht="15.75" customHeight="1" s="146">
      <c r="D1324" s="122" t="inlineStr">
        <is>
          <t>Team Matrix</t>
        </is>
      </c>
      <c r="E1324" s="122" t="n">
        <v>1</v>
      </c>
      <c r="F1324" s="122" t="n">
        <v>4</v>
      </c>
      <c r="G1324" s="122" t="n">
        <v>4</v>
      </c>
      <c r="I1324" s="58">
        <f>IF(B1324&lt;&gt;"",B1324,"")</f>
        <v/>
      </c>
    </row>
    <row r="1325" ht="15.75" customHeight="1" s="146">
      <c r="C1325" s="122" t="inlineStr">
        <is>
          <t>Jack Howe</t>
        </is>
      </c>
      <c r="D1325" s="122" t="inlineStr">
        <is>
          <t>Total</t>
        </is>
      </c>
      <c r="E1325" s="122" t="n">
        <v>0.3</v>
      </c>
      <c r="F1325" s="122" t="n">
        <v>17</v>
      </c>
      <c r="G1325" s="122" t="n">
        <v>5</v>
      </c>
      <c r="I1325" s="58">
        <f>IF(B1325&lt;&gt;"",B1325,"")</f>
        <v/>
      </c>
    </row>
    <row r="1326" ht="15.75" customHeight="1" s="146">
      <c r="D1326" s="122" t="inlineStr">
        <is>
          <t>Customer - Utility Arboriculture</t>
        </is>
      </c>
      <c r="E1326" s="122" t="n">
        <v>0.5</v>
      </c>
      <c r="F1326" s="122" t="n">
        <v>4</v>
      </c>
      <c r="G1326" s="122" t="n">
        <v>2</v>
      </c>
      <c r="I1326" s="58">
        <f>IF(B1326&lt;&gt;"",B1326,"")</f>
        <v/>
      </c>
    </row>
    <row r="1327" ht="15.75" customHeight="1" s="146">
      <c r="D1327" s="122" t="inlineStr">
        <is>
          <t>Arborist</t>
        </is>
      </c>
      <c r="E1327" s="122" t="n">
        <v>0.43</v>
      </c>
      <c r="F1327" s="122" t="n">
        <v>7</v>
      </c>
      <c r="G1327" s="122" t="n">
        <v>3</v>
      </c>
      <c r="I1327" s="58">
        <f>IF(B1327&lt;&gt;"",B1327,"")</f>
        <v/>
      </c>
    </row>
    <row r="1328" ht="15.75" customHeight="1" s="146">
      <c r="D1328" s="122" t="inlineStr">
        <is>
          <t>Business Matrix</t>
        </is>
      </c>
      <c r="E1328" s="122" t="n">
        <v>0</v>
      </c>
      <c r="F1328" s="122" t="n">
        <v>6</v>
      </c>
      <c r="G1328" s="122" t="n">
        <v>0</v>
      </c>
      <c r="I1328" s="58">
        <f>IF(B1328&lt;&gt;"",B1328,"")</f>
        <v/>
      </c>
    </row>
    <row r="1329" ht="15.75" customHeight="1" s="146">
      <c r="C1329" s="122" t="inlineStr">
        <is>
          <t>Brett Cocking</t>
        </is>
      </c>
      <c r="D1329" s="122" t="inlineStr">
        <is>
          <t>Total</t>
        </is>
      </c>
      <c r="E1329" s="122" t="n">
        <v>0.24</v>
      </c>
      <c r="F1329" s="122" t="n">
        <v>17</v>
      </c>
      <c r="G1329" s="122" t="n">
        <v>4</v>
      </c>
      <c r="I1329" s="58">
        <f>IF(B1329&lt;&gt;"",B1329,"")</f>
        <v/>
      </c>
    </row>
    <row r="1330" ht="15.75" customHeight="1" s="146">
      <c r="D1330" s="122" t="inlineStr">
        <is>
          <t>Customer - Utility Arboriculture</t>
        </is>
      </c>
      <c r="E1330" s="122" t="n">
        <v>0.5</v>
      </c>
      <c r="F1330" s="122" t="n">
        <v>4</v>
      </c>
      <c r="G1330" s="122" t="n">
        <v>2</v>
      </c>
      <c r="I1330" s="58">
        <f>IF(B1330&lt;&gt;"",B1330,"")</f>
        <v/>
      </c>
    </row>
    <row r="1331" ht="15.75" customHeight="1" s="146">
      <c r="D1331" s="122" t="inlineStr">
        <is>
          <t>Arborist</t>
        </is>
      </c>
      <c r="E1331" s="122" t="n">
        <v>0.29</v>
      </c>
      <c r="F1331" s="122" t="n">
        <v>7</v>
      </c>
      <c r="G1331" s="122" t="n">
        <v>2</v>
      </c>
      <c r="I1331" s="58">
        <f>IF(B1331&lt;&gt;"",B1331,"")</f>
        <v/>
      </c>
    </row>
    <row r="1332" ht="15.75" customHeight="1" s="146">
      <c r="D1332" s="122" t="inlineStr">
        <is>
          <t>Business Matrix</t>
        </is>
      </c>
      <c r="E1332" s="122" t="n">
        <v>0</v>
      </c>
      <c r="F1332" s="122" t="n">
        <v>6</v>
      </c>
      <c r="G1332" s="122" t="n">
        <v>0</v>
      </c>
      <c r="I1332" s="58">
        <f>IF(B1332&lt;&gt;"",B1332,"")</f>
        <v/>
      </c>
    </row>
    <row r="1333" ht="15.75" customHeight="1" s="146">
      <c r="C1333" s="122" t="inlineStr">
        <is>
          <t>Josh Cocking</t>
        </is>
      </c>
      <c r="D1333" s="122" t="inlineStr">
        <is>
          <t>Total</t>
        </is>
      </c>
      <c r="E1333" s="122" t="n">
        <v>0.18</v>
      </c>
      <c r="F1333" s="122" t="n">
        <v>17</v>
      </c>
      <c r="G1333" s="122" t="n">
        <v>3</v>
      </c>
      <c r="I1333" s="58">
        <f>IF(B1333&lt;&gt;"",B1333,"")</f>
        <v/>
      </c>
    </row>
    <row r="1334" ht="15.75" customHeight="1" s="146">
      <c r="D1334" s="122" t="inlineStr">
        <is>
          <t>Arborist</t>
        </is>
      </c>
      <c r="E1334" s="122" t="n">
        <v>0.29</v>
      </c>
      <c r="F1334" s="122" t="n">
        <v>7</v>
      </c>
      <c r="G1334" s="122" t="n">
        <v>2</v>
      </c>
      <c r="I1334" s="58">
        <f>IF(B1334&lt;&gt;"",B1334,"")</f>
        <v/>
      </c>
    </row>
    <row r="1335" ht="15.75" customHeight="1" s="146">
      <c r="D1335" s="122" t="inlineStr">
        <is>
          <t>Customer - Utility Arboriculture</t>
        </is>
      </c>
      <c r="E1335" s="122" t="n">
        <v>0.25</v>
      </c>
      <c r="F1335" s="122" t="n">
        <v>4</v>
      </c>
      <c r="G1335" s="122" t="n">
        <v>1</v>
      </c>
      <c r="I1335" s="58">
        <f>IF(B1335&lt;&gt;"",B1335,"")</f>
        <v/>
      </c>
    </row>
    <row r="1336" ht="15.75" customHeight="1" s="146">
      <c r="D1336" s="122" t="inlineStr">
        <is>
          <t>Business Matrix</t>
        </is>
      </c>
      <c r="E1336" s="122" t="n">
        <v>0</v>
      </c>
      <c r="F1336" s="122" t="n">
        <v>6</v>
      </c>
      <c r="G1336" s="122" t="n">
        <v>0</v>
      </c>
      <c r="I1336" s="58">
        <f>IF(B1336&lt;&gt;"",B1336,"")</f>
        <v/>
      </c>
    </row>
    <row r="1337" ht="15.75" customHeight="1" s="146">
      <c r="B1337" s="122" t="n"/>
      <c r="C1337" s="122" t="inlineStr">
        <is>
          <t>Neil Harris</t>
        </is>
      </c>
      <c r="D1337" t="inlineStr">
        <is>
          <t>Total</t>
        </is>
      </c>
      <c r="E1337" s="122" t="n">
        <v>0</v>
      </c>
      <c r="F1337" s="122" t="n">
        <v>17</v>
      </c>
      <c r="G1337" s="122" t="n">
        <v>0</v>
      </c>
      <c r="H1337" s="57" t="n"/>
      <c r="I1337" s="58">
        <f>IF(B1337&lt;&gt;"",B1337,"")</f>
        <v/>
      </c>
    </row>
    <row r="1338" ht="15.75" customHeight="1" s="146">
      <c r="C1338" s="122" t="n"/>
      <c r="D1338" s="122" t="inlineStr">
        <is>
          <t>Arborist</t>
        </is>
      </c>
      <c r="E1338" s="122" t="n">
        <v>0</v>
      </c>
      <c r="F1338" s="122" t="n">
        <v>7</v>
      </c>
      <c r="G1338" s="122" t="n">
        <v>0</v>
      </c>
      <c r="I1338" s="58">
        <f>IF(B1338&lt;&gt;"",B1338,"")</f>
        <v/>
      </c>
    </row>
    <row r="1339" ht="15.75" customHeight="1" s="146">
      <c r="D1339" s="122" t="inlineStr">
        <is>
          <t>Business Matrix</t>
        </is>
      </c>
      <c r="E1339" s="122" t="n">
        <v>0</v>
      </c>
      <c r="F1339" s="122" t="n">
        <v>6</v>
      </c>
      <c r="G1339" s="122" t="n">
        <v>0</v>
      </c>
      <c r="I1339" s="58">
        <f>IF(B1339&lt;&gt;"",B1339,"")</f>
        <v/>
      </c>
    </row>
    <row r="1340" ht="15.75" customHeight="1" s="146">
      <c r="C1340" s="122" t="n"/>
      <c r="D1340" s="122" t="inlineStr">
        <is>
          <t>Customer - Utility Arboriculture</t>
        </is>
      </c>
      <c r="E1340" s="122" t="n">
        <v>0</v>
      </c>
      <c r="F1340" s="122" t="n">
        <v>4</v>
      </c>
      <c r="G1340" s="122" t="n">
        <v>0</v>
      </c>
      <c r="I1340" s="58">
        <f>IF(B1340&lt;&gt;"",B1340,"")</f>
        <v/>
      </c>
    </row>
    <row r="1341" ht="15.75" customHeight="1" s="146">
      <c r="B1341" t="inlineStr">
        <is>
          <t>MJP Tree Services Ltd</t>
        </is>
      </c>
      <c r="C1341" t="inlineStr">
        <is>
          <t>Total</t>
        </is>
      </c>
      <c r="D1341" s="122" t="n"/>
      <c r="E1341" s="122" t="n">
        <v>0.04</v>
      </c>
      <c r="F1341" s="122" t="n">
        <v>53</v>
      </c>
      <c r="G1341" s="122" t="n">
        <v>2</v>
      </c>
      <c r="H1341" s="189" t="n">
        <v>45902</v>
      </c>
      <c r="I1341" s="58">
        <f>IF(B1341&lt;&gt;"",B1341,"")</f>
        <v/>
      </c>
    </row>
    <row r="1342" ht="15.75" customHeight="1" s="146">
      <c r="C1342" t="inlineStr">
        <is>
          <t>MJP Tree Services Ltd .</t>
        </is>
      </c>
      <c r="D1342" s="122" t="inlineStr">
        <is>
          <t>Total</t>
        </is>
      </c>
      <c r="E1342" s="122" t="n">
        <v>0.25</v>
      </c>
      <c r="F1342" s="122" t="n">
        <v>4</v>
      </c>
      <c r="G1342" s="122" t="n">
        <v>1</v>
      </c>
      <c r="I1342" s="58">
        <f>IF(B1342&lt;&gt;"",B1342,"")</f>
        <v/>
      </c>
    </row>
    <row r="1343" ht="15.75" customHeight="1" s="146">
      <c r="D1343" s="122" t="inlineStr">
        <is>
          <t>Team Matrix</t>
        </is>
      </c>
      <c r="E1343" s="122" t="n">
        <v>0.25</v>
      </c>
      <c r="F1343" s="122" t="n">
        <v>4</v>
      </c>
      <c r="G1343" s="122" t="n">
        <v>1</v>
      </c>
      <c r="I1343" s="58">
        <f>IF(B1343&lt;&gt;"",B1343,"")</f>
        <v/>
      </c>
    </row>
    <row r="1344" ht="15.75" customHeight="1" s="146">
      <c r="C1344" s="122" t="inlineStr">
        <is>
          <t>Mitchell Shield</t>
        </is>
      </c>
      <c r="D1344" s="122" t="inlineStr">
        <is>
          <t>Total</t>
        </is>
      </c>
      <c r="E1344" s="122" t="n">
        <v>0.06</v>
      </c>
      <c r="F1344" s="122" t="n">
        <v>17</v>
      </c>
      <c r="G1344" s="122" t="n">
        <v>1</v>
      </c>
      <c r="I1344" s="58">
        <f>IF(B1344&lt;&gt;"",B1344,"")</f>
        <v/>
      </c>
    </row>
    <row r="1345" ht="15.75" customHeight="1" s="146">
      <c r="D1345" s="122" t="inlineStr">
        <is>
          <t>Arborist</t>
        </is>
      </c>
      <c r="E1345" s="122" t="n">
        <v>0.15</v>
      </c>
      <c r="F1345" s="122" t="n">
        <v>7</v>
      </c>
      <c r="G1345" s="122" t="n">
        <v>1</v>
      </c>
      <c r="I1345" s="58">
        <f>IF(B1345&lt;&gt;"",B1345,"")</f>
        <v/>
      </c>
    </row>
    <row r="1346" ht="15.75" customHeight="1" s="146">
      <c r="D1346" s="122" t="inlineStr">
        <is>
          <t>Business Matrix</t>
        </is>
      </c>
      <c r="E1346" s="122" t="n">
        <v>0</v>
      </c>
      <c r="F1346" s="122" t="n">
        <v>6</v>
      </c>
      <c r="G1346" s="122" t="n">
        <v>0</v>
      </c>
      <c r="I1346" s="58">
        <f>IF(B1346&lt;&gt;"",B1346,"")</f>
        <v/>
      </c>
    </row>
    <row r="1347" ht="15.75" customHeight="1" s="146">
      <c r="D1347" s="122" t="inlineStr">
        <is>
          <t>Customer - Utility Arboriculture</t>
        </is>
      </c>
      <c r="E1347" s="122" t="n">
        <v>0</v>
      </c>
      <c r="F1347" s="122" t="n">
        <v>4</v>
      </c>
      <c r="G1347" s="122" t="n">
        <v>0</v>
      </c>
      <c r="I1347" s="58">
        <f>IF(B1347&lt;&gt;"",B1347,"")</f>
        <v/>
      </c>
    </row>
    <row r="1348" ht="15.75" customHeight="1" s="146">
      <c r="C1348" s="122" t="inlineStr">
        <is>
          <t>Jack McCann</t>
        </is>
      </c>
      <c r="D1348" s="122" t="inlineStr">
        <is>
          <t>Total</t>
        </is>
      </c>
      <c r="E1348" s="122" t="n">
        <v>0</v>
      </c>
      <c r="F1348" s="122" t="n">
        <v>15</v>
      </c>
      <c r="G1348" s="122" t="n">
        <v>0</v>
      </c>
      <c r="I1348" s="58">
        <f>IF(B1348&lt;&gt;"",B1348,"")</f>
        <v/>
      </c>
    </row>
    <row r="1349" ht="15.75" customHeight="1" s="146">
      <c r="D1349" s="122" t="inlineStr">
        <is>
          <t>Business Matrix</t>
        </is>
      </c>
      <c r="E1349" s="122" t="n">
        <v>0</v>
      </c>
      <c r="F1349" s="122" t="n">
        <v>6</v>
      </c>
      <c r="G1349" s="122" t="n">
        <v>0</v>
      </c>
      <c r="I1349" s="58">
        <f>IF(B1349&lt;&gt;"",B1349,"")</f>
        <v/>
      </c>
    </row>
    <row r="1350" ht="15.75" customHeight="1" s="146">
      <c r="D1350" s="122" t="inlineStr">
        <is>
          <t>Customer - Utility Arboriculture</t>
        </is>
      </c>
      <c r="E1350" s="122" t="n">
        <v>0</v>
      </c>
      <c r="F1350" s="122" t="n">
        <v>4</v>
      </c>
      <c r="G1350" s="122" t="n">
        <v>0</v>
      </c>
      <c r="I1350" s="58">
        <f>IF(B1350&lt;&gt;"",B1350,"")</f>
        <v/>
      </c>
    </row>
    <row r="1351" ht="15.75" customHeight="1" s="146">
      <c r="D1351" s="122" t="inlineStr">
        <is>
          <t>Grounds Person</t>
        </is>
      </c>
      <c r="E1351" s="122" t="n">
        <v>0</v>
      </c>
      <c r="F1351" s="122" t="n">
        <v>5</v>
      </c>
      <c r="G1351" s="122" t="n">
        <v>0</v>
      </c>
      <c r="I1351" s="58">
        <f>IF(B1351&lt;&gt;"",B1351,"")</f>
        <v/>
      </c>
    </row>
    <row r="1352" ht="15.75" customHeight="1" s="146">
      <c r="B1352" s="122" t="n"/>
      <c r="C1352" s="122" t="inlineStr">
        <is>
          <t>James Parkin</t>
        </is>
      </c>
      <c r="D1352" t="inlineStr">
        <is>
          <t>Total</t>
        </is>
      </c>
      <c r="E1352" s="122" t="n">
        <v>0</v>
      </c>
      <c r="F1352" s="122" t="n">
        <v>17</v>
      </c>
      <c r="G1352" s="122" t="n">
        <v>0</v>
      </c>
      <c r="H1352" s="57" t="n"/>
      <c r="I1352" s="58">
        <f>IF(B1352&lt;&gt;"",B1352,"")</f>
        <v/>
      </c>
    </row>
    <row r="1353" ht="15.75" customHeight="1" s="146">
      <c r="C1353" s="122" t="n"/>
      <c r="D1353" s="122" t="inlineStr">
        <is>
          <t>Arborist</t>
        </is>
      </c>
      <c r="E1353" s="122" t="n">
        <v>0</v>
      </c>
      <c r="F1353" s="122" t="n">
        <v>7</v>
      </c>
      <c r="G1353" s="122" t="n">
        <v>0</v>
      </c>
      <c r="I1353" s="58">
        <f>IF(B1353&lt;&gt;"",B1353,"")</f>
        <v/>
      </c>
    </row>
    <row r="1354" ht="15.75" customHeight="1" s="146">
      <c r="D1354" s="122" t="inlineStr">
        <is>
          <t>Business Matrix</t>
        </is>
      </c>
      <c r="E1354" s="122" t="n">
        <v>0</v>
      </c>
      <c r="F1354" s="122" t="n">
        <v>6</v>
      </c>
      <c r="G1354" s="122" t="n">
        <v>0</v>
      </c>
      <c r="I1354" s="58">
        <f>IF(B1354&lt;&gt;"",B1354,"")</f>
        <v/>
      </c>
    </row>
    <row r="1355" ht="15.75" customHeight="1" s="146">
      <c r="D1355" s="122" t="inlineStr">
        <is>
          <t>Customer - Utility Arboriculture</t>
        </is>
      </c>
      <c r="E1355" s="122" t="n">
        <v>0</v>
      </c>
      <c r="F1355" s="122" t="n">
        <v>4</v>
      </c>
      <c r="G1355" s="122" t="n">
        <v>0</v>
      </c>
      <c r="I1355" s="58">
        <f>IF(B1355&lt;&gt;"",B1355,"")</f>
        <v/>
      </c>
    </row>
    <row r="1356" ht="15.75" customHeight="1" s="146">
      <c r="A1356" t="inlineStr">
        <is>
          <t>Total</t>
        </is>
      </c>
      <c r="D1356" s="122" t="n"/>
      <c r="E1356" s="122" t="n">
        <v>0.74</v>
      </c>
      <c r="F1356" s="122" t="n">
        <v>5039</v>
      </c>
      <c r="G1356" s="122" t="n">
        <v>3707</v>
      </c>
      <c r="I1356" s="58">
        <f>IF(B1356&lt;&gt;"",B1356,"")</f>
        <v/>
      </c>
    </row>
    <row r="1357" ht="15.75" customHeight="1" s="146">
      <c r="A1357" t="inlineStr">
        <is>
          <t>Applied filters:
Operating Unit Name is Utility Arboriculture
Included (1) Austin Brown (Second Level) + Donovan  Gosher (Third Level)
requirement is Mandatory or Recommended
Source is Skillko
Responsibility Type is Sponsor
Operating Unit Name Grouped is Utilities and Ireland
Contract Status is ACTIVE
Skills Matrix Name is NEW - Arborist, NEW - Grounds Person, CUSTOMER - Utility Arboriculture, NEW - Business Matrix, NEW - Team Matrix ROI, NEW - Business Matrix ROI, CUSTOMER - ESB - Utility Arboriculture, Arborist ROI, or NEW - Team Matrix</t>
        </is>
      </c>
      <c r="C1357" s="122" t="n"/>
      <c r="D1357" s="122" t="n"/>
      <c r="E1357" s="122" t="n"/>
      <c r="F1357" s="122" t="n"/>
      <c r="G1357" s="122" t="n"/>
      <c r="I1357" s="58">
        <f>IF(B1357&lt;&gt;"",B1357,"")</f>
        <v/>
      </c>
    </row>
    <row r="1358" ht="15.75" customHeight="1" s="146">
      <c r="D1358" s="122" t="n"/>
      <c r="E1358" s="122" t="n"/>
      <c r="F1358" s="122" t="n"/>
      <c r="G1358" s="122" t="n"/>
      <c r="I1358" s="58" t="n"/>
    </row>
    <row r="1359" ht="15.75" customHeight="1" s="146">
      <c r="D1359" s="122" t="n"/>
      <c r="E1359" s="122" t="n"/>
      <c r="F1359" s="122" t="n"/>
      <c r="G1359" s="122" t="n"/>
      <c r="I1359" s="58" t="n"/>
    </row>
    <row r="1360" ht="15.75" customHeight="1" s="146">
      <c r="D1360" s="122" t="n"/>
      <c r="E1360" s="122" t="n"/>
      <c r="F1360" s="122" t="n"/>
      <c r="G1360" s="122" t="n"/>
      <c r="I1360" s="58" t="n"/>
    </row>
    <row r="1361" ht="15.75" customHeight="1" s="146">
      <c r="C1361" s="122" t="n"/>
      <c r="D1361" s="122" t="n"/>
      <c r="E1361" s="122" t="n"/>
      <c r="F1361" s="122" t="n"/>
      <c r="G1361" s="122" t="n"/>
      <c r="I1361" s="58" t="n"/>
    </row>
    <row r="1362" ht="15.75" customHeight="1" s="146">
      <c r="D1362" s="122" t="n"/>
      <c r="E1362" s="122" t="n"/>
      <c r="F1362" s="122" t="n"/>
      <c r="G1362" s="122" t="n"/>
      <c r="I1362" s="58" t="n"/>
    </row>
    <row r="1363" ht="15.75" customHeight="1" s="146">
      <c r="B1363" s="122" t="n"/>
      <c r="C1363" s="122" t="n"/>
      <c r="E1363" s="122" t="n"/>
      <c r="F1363" s="122" t="n"/>
      <c r="G1363" s="122" t="n"/>
      <c r="H1363" s="57" t="n"/>
      <c r="I1363" s="58" t="n"/>
    </row>
    <row r="1364" ht="15.75" customHeight="1" s="146">
      <c r="C1364" s="122" t="n"/>
      <c r="D1364" s="122" t="n"/>
      <c r="E1364" s="122" t="n"/>
      <c r="F1364" s="122" t="n"/>
      <c r="G1364" s="122" t="n"/>
      <c r="I1364" s="58" t="n"/>
    </row>
    <row r="1365" ht="15.75" customHeight="1" s="146">
      <c r="D1365" s="122" t="n"/>
      <c r="E1365" s="122" t="n"/>
      <c r="F1365" s="122" t="n"/>
      <c r="G1365" s="122" t="n"/>
      <c r="I1365" s="58" t="n"/>
    </row>
    <row r="1366" ht="15.75" customHeight="1" s="146">
      <c r="C1366" s="122" t="n"/>
      <c r="D1366" s="122" t="n"/>
      <c r="E1366" s="122" t="n"/>
      <c r="F1366" s="122" t="n"/>
      <c r="G1366" s="122" t="n"/>
      <c r="I1366" s="58" t="n"/>
    </row>
    <row r="1367" ht="15.75" customHeight="1" s="146">
      <c r="D1367" s="122" t="n"/>
      <c r="E1367" s="122" t="n"/>
      <c r="F1367" s="122" t="n"/>
      <c r="G1367" s="122" t="n"/>
      <c r="I1367" s="58" t="n"/>
    </row>
    <row r="1368" ht="15.75" customHeight="1" s="146">
      <c r="D1368" s="122" t="n"/>
      <c r="E1368" s="122" t="n"/>
      <c r="F1368" s="122" t="n"/>
      <c r="G1368" s="122" t="n"/>
      <c r="I1368" s="58" t="n"/>
    </row>
    <row r="1369" ht="15.75" customHeight="1" s="146">
      <c r="D1369" s="122" t="n"/>
      <c r="E1369" s="122" t="n"/>
      <c r="F1369" s="122" t="n"/>
      <c r="G1369" s="122" t="n"/>
      <c r="I1369" s="58" t="n"/>
    </row>
    <row r="1370" ht="15.75" customHeight="1" s="146">
      <c r="C1370" s="122" t="n"/>
      <c r="D1370" s="122" t="n"/>
      <c r="E1370" s="122" t="n"/>
      <c r="F1370" s="122" t="n"/>
      <c r="G1370" s="122" t="n"/>
      <c r="I1370" s="58" t="n"/>
    </row>
    <row r="1371" ht="15.75" customHeight="1" s="146">
      <c r="D1371" s="122" t="n"/>
      <c r="E1371" s="122" t="n"/>
      <c r="F1371" s="122" t="n"/>
      <c r="G1371" s="122" t="n"/>
      <c r="I1371" s="58" t="n"/>
    </row>
    <row r="1372" ht="15.75" customHeight="1" s="146">
      <c r="D1372" s="122" t="n"/>
      <c r="E1372" s="122" t="n"/>
      <c r="F1372" s="122" t="n"/>
      <c r="G1372" s="122" t="n"/>
      <c r="I1372" s="58" t="n"/>
    </row>
    <row r="1373" ht="15.75" customHeight="1" s="146">
      <c r="D1373" s="122" t="n"/>
      <c r="E1373" s="122" t="n"/>
      <c r="F1373" s="122" t="n"/>
      <c r="G1373" s="122" t="n"/>
      <c r="I1373" s="58" t="n"/>
    </row>
    <row r="1374" ht="15.75" customHeight="1" s="146">
      <c r="B1374" s="122" t="n"/>
      <c r="C1374" s="122" t="n"/>
      <c r="E1374" s="122" t="n"/>
      <c r="F1374" s="122" t="n"/>
      <c r="G1374" s="122" t="n"/>
      <c r="H1374" s="57" t="n"/>
      <c r="I1374" s="58" t="n"/>
    </row>
    <row r="1375" ht="15.75" customHeight="1" s="146">
      <c r="C1375" s="122" t="n"/>
      <c r="D1375" s="122" t="n"/>
      <c r="E1375" s="122" t="n"/>
      <c r="F1375" s="122" t="n"/>
      <c r="G1375" s="122" t="n"/>
      <c r="I1375" s="58" t="n"/>
    </row>
    <row r="1376" ht="15.75" customHeight="1" s="146">
      <c r="D1376" s="122" t="n"/>
      <c r="E1376" s="122" t="n"/>
      <c r="F1376" s="122" t="n"/>
      <c r="G1376" s="122" t="n"/>
      <c r="I1376" s="58" t="n"/>
    </row>
    <row r="1377" ht="15.75" customHeight="1" s="146">
      <c r="D1377" s="122" t="n"/>
      <c r="E1377" s="122" t="n"/>
      <c r="F1377" s="122" t="n"/>
      <c r="G1377" s="122" t="n"/>
      <c r="I1377" s="58" t="n"/>
    </row>
    <row r="1378" ht="15.75" customHeight="1" s="146">
      <c r="D1378" s="122" t="n"/>
      <c r="E1378" s="122" t="n"/>
      <c r="F1378" s="122" t="n"/>
      <c r="G1378" s="122" t="n"/>
      <c r="I1378" s="58" t="n"/>
    </row>
    <row r="1379" ht="15.75" customHeight="1" s="146">
      <c r="C1379" s="122" t="n"/>
      <c r="D1379" s="122" t="n"/>
      <c r="E1379" s="122" t="n"/>
      <c r="F1379" s="122" t="n"/>
      <c r="G1379" s="122" t="n"/>
      <c r="I1379" s="58" t="n"/>
    </row>
    <row r="1380" ht="15.75" customHeight="1" s="146">
      <c r="D1380" s="122" t="n"/>
      <c r="E1380" s="122" t="n"/>
      <c r="F1380" s="122" t="n"/>
      <c r="G1380" s="122" t="n"/>
      <c r="I1380" s="58" t="n"/>
    </row>
    <row r="1381" ht="15.75" customHeight="1" s="146">
      <c r="D1381" s="122" t="n"/>
      <c r="E1381" s="122" t="n"/>
      <c r="F1381" s="122" t="n"/>
      <c r="G1381" s="122" t="n"/>
      <c r="I1381" s="58" t="n"/>
    </row>
    <row r="1382" ht="15.75" customHeight="1" s="146">
      <c r="D1382" s="122" t="n"/>
      <c r="E1382" s="122" t="n"/>
      <c r="F1382" s="122" t="n"/>
      <c r="G1382" s="122" t="n"/>
      <c r="I1382" s="58" t="n"/>
    </row>
    <row r="1383" ht="15.75" customHeight="1" s="146">
      <c r="C1383" s="122" t="n"/>
      <c r="D1383" s="122" t="n"/>
      <c r="E1383" s="122" t="n"/>
      <c r="F1383" s="122" t="n"/>
      <c r="G1383" s="122" t="n"/>
      <c r="I1383" s="58" t="n"/>
    </row>
    <row r="1384" ht="15.75" customHeight="1" s="146">
      <c r="D1384" s="122" t="n"/>
      <c r="E1384" s="122" t="n"/>
      <c r="F1384" s="122" t="n"/>
      <c r="G1384" s="122" t="n"/>
      <c r="I1384" s="58" t="n"/>
    </row>
    <row r="1385" ht="15.75" customHeight="1" s="146">
      <c r="D1385" s="122" t="n"/>
      <c r="E1385" s="122" t="n"/>
      <c r="F1385" s="122" t="n"/>
      <c r="G1385" s="122" t="n"/>
      <c r="I1385" s="58" t="n"/>
    </row>
    <row r="1386" ht="15.75" customHeight="1" s="146">
      <c r="D1386" s="122" t="n"/>
      <c r="E1386" s="122" t="n"/>
      <c r="F1386" s="122" t="n"/>
      <c r="G1386" s="122" t="n"/>
      <c r="I1386" s="58" t="n"/>
    </row>
    <row r="1387" ht="15.75" customHeight="1" s="146">
      <c r="C1387" s="122" t="n"/>
      <c r="D1387" s="122" t="n"/>
      <c r="E1387" s="122" t="n"/>
      <c r="F1387" s="122" t="n"/>
      <c r="G1387" s="122" t="n"/>
      <c r="I1387" s="58" t="n"/>
    </row>
    <row r="1388" ht="15.75" customHeight="1" s="146">
      <c r="D1388" s="122" t="n"/>
      <c r="E1388" s="122" t="n"/>
      <c r="F1388" s="122" t="n"/>
      <c r="G1388" s="122" t="n"/>
      <c r="I1388" s="58" t="n"/>
    </row>
    <row r="1389" ht="15.75" customHeight="1" s="146">
      <c r="D1389" s="122" t="n"/>
      <c r="E1389" s="122" t="n"/>
      <c r="F1389" s="122" t="n"/>
      <c r="G1389" s="122" t="n"/>
      <c r="I1389" s="58" t="n"/>
    </row>
    <row r="1390" ht="15.75" customHeight="1" s="146">
      <c r="D1390" s="122" t="n"/>
      <c r="E1390" s="122" t="n"/>
      <c r="F1390" s="122" t="n"/>
      <c r="G1390" s="122" t="n"/>
      <c r="I1390" s="58" t="n"/>
    </row>
    <row r="1391" ht="15.75" customHeight="1" s="146">
      <c r="C1391" s="122" t="n"/>
      <c r="D1391" s="122" t="n"/>
      <c r="E1391" s="122" t="n"/>
      <c r="F1391" s="122" t="n"/>
      <c r="G1391" s="122" t="n"/>
      <c r="I1391" s="58" t="n"/>
    </row>
    <row r="1392" ht="15.75" customHeight="1" s="146">
      <c r="D1392" s="122" t="n"/>
      <c r="E1392" s="122" t="n"/>
      <c r="F1392" s="122" t="n"/>
      <c r="G1392" s="122" t="n"/>
      <c r="I1392" s="58" t="n"/>
    </row>
    <row r="1393" ht="15.75" customHeight="1" s="146">
      <c r="D1393" s="122" t="n"/>
      <c r="E1393" s="122" t="n"/>
      <c r="F1393" s="122" t="n"/>
      <c r="G1393" s="122" t="n"/>
      <c r="I1393" s="58" t="n"/>
    </row>
    <row r="1394" ht="15.75" customHeight="1" s="146">
      <c r="D1394" s="122" t="n"/>
      <c r="E1394" s="122" t="n"/>
      <c r="F1394" s="122" t="n"/>
      <c r="G1394" s="122" t="n"/>
      <c r="I1394" s="58" t="n"/>
    </row>
    <row r="1395" ht="15.75" customHeight="1" s="146">
      <c r="C1395" s="122" t="n"/>
      <c r="D1395" s="122" t="n"/>
      <c r="E1395" s="122" t="n"/>
      <c r="F1395" s="122" t="n"/>
      <c r="G1395" s="122" t="n"/>
      <c r="I1395" s="58" t="n"/>
    </row>
    <row r="1396" ht="15.75" customHeight="1" s="146">
      <c r="D1396" s="122" t="n"/>
      <c r="E1396" s="122" t="n"/>
      <c r="F1396" s="122" t="n"/>
      <c r="G1396" s="122" t="n"/>
      <c r="I1396" s="58" t="n"/>
    </row>
    <row r="1397" ht="15.75" customHeight="1" s="146">
      <c r="D1397" s="122" t="n"/>
      <c r="E1397" s="122" t="n"/>
      <c r="F1397" s="122" t="n"/>
      <c r="G1397" s="122" t="n"/>
      <c r="I1397" s="58" t="n"/>
    </row>
    <row r="1398" ht="15.75" customHeight="1" s="146">
      <c r="D1398" s="122" t="n"/>
      <c r="E1398" s="122" t="n"/>
      <c r="F1398" s="122" t="n"/>
      <c r="G1398" s="122" t="n"/>
      <c r="I1398" s="58" t="n"/>
    </row>
    <row r="1399" ht="15.75" customHeight="1" s="146">
      <c r="C1399" s="122" t="n"/>
      <c r="D1399" s="122" t="n"/>
      <c r="E1399" s="122" t="n"/>
      <c r="F1399" s="122" t="n"/>
      <c r="G1399" s="122" t="n"/>
      <c r="I1399" s="58" t="n"/>
    </row>
    <row r="1400" ht="15.75" customHeight="1" s="146">
      <c r="D1400" s="122" t="n"/>
      <c r="E1400" s="122" t="n"/>
      <c r="F1400" s="122" t="n"/>
      <c r="G1400" s="122" t="n"/>
      <c r="I1400" s="58" t="n"/>
    </row>
    <row r="1401" ht="15.75" customHeight="1" s="146">
      <c r="D1401" s="122" t="n"/>
      <c r="E1401" s="122" t="n"/>
      <c r="F1401" s="122" t="n"/>
      <c r="G1401" s="122" t="n"/>
      <c r="I1401" s="58" t="n"/>
    </row>
    <row r="1402" ht="15.75" customHeight="1" s="146">
      <c r="D1402" s="122" t="n"/>
      <c r="E1402" s="122" t="n"/>
      <c r="F1402" s="122" t="n"/>
      <c r="G1402" s="122" t="n"/>
      <c r="I1402" s="58" t="n"/>
    </row>
    <row r="1403" ht="15.75" customHeight="1" s="146">
      <c r="C1403" s="122" t="n"/>
      <c r="D1403" s="122" t="n"/>
      <c r="E1403" s="122" t="n"/>
      <c r="F1403" s="122" t="n"/>
      <c r="G1403" s="122" t="n"/>
      <c r="I1403" s="58" t="n"/>
    </row>
    <row r="1404" ht="15.75" customHeight="1" s="146">
      <c r="D1404" s="122" t="n"/>
      <c r="E1404" s="122" t="n"/>
      <c r="F1404" s="122" t="n"/>
      <c r="G1404" s="122" t="n"/>
      <c r="I1404" s="58" t="n"/>
    </row>
    <row r="1405" ht="15.75" customHeight="1" s="146">
      <c r="C1405" s="122" t="n"/>
      <c r="D1405" s="122" t="n"/>
      <c r="E1405" s="122" t="n"/>
      <c r="F1405" s="122" t="n"/>
      <c r="G1405" s="122" t="n"/>
      <c r="I1405" s="58" t="n"/>
    </row>
    <row r="1406" ht="15.75" customHeight="1" s="146">
      <c r="D1406" s="122" t="n"/>
      <c r="E1406" s="122" t="n"/>
      <c r="F1406" s="122" t="n"/>
      <c r="G1406" s="122" t="n"/>
      <c r="I1406" s="58" t="n"/>
    </row>
    <row r="1407" ht="15.75" customHeight="1" s="146">
      <c r="C1407" s="122" t="n"/>
      <c r="D1407" s="122" t="n"/>
      <c r="E1407" s="122" t="n"/>
      <c r="F1407" s="122" t="n"/>
      <c r="G1407" s="122" t="n"/>
      <c r="I1407" s="58" t="n"/>
    </row>
    <row r="1408" ht="15.75" customHeight="1" s="146">
      <c r="D1408" s="122" t="n"/>
      <c r="E1408" s="122" t="n"/>
      <c r="F1408" s="122" t="n"/>
      <c r="G1408" s="122" t="n"/>
      <c r="I1408" s="58" t="n"/>
    </row>
    <row r="1409" ht="15.75" customHeight="1" s="146">
      <c r="D1409" s="122" t="n"/>
      <c r="E1409" s="122" t="n"/>
      <c r="F1409" s="122" t="n"/>
      <c r="G1409" s="122" t="n"/>
      <c r="I1409" s="58" t="n"/>
    </row>
    <row r="1410" ht="15.75" customHeight="1" s="146">
      <c r="D1410" s="122" t="n"/>
      <c r="E1410" s="122" t="n"/>
      <c r="F1410" s="122" t="n"/>
      <c r="G1410" s="122" t="n"/>
      <c r="I1410" s="58" t="n"/>
    </row>
    <row r="1411" ht="15.75" customHeight="1" s="146">
      <c r="C1411" s="122" t="n"/>
      <c r="D1411" s="122" t="n"/>
      <c r="E1411" s="122" t="n"/>
      <c r="F1411" s="122" t="n"/>
      <c r="G1411" s="122" t="n"/>
      <c r="I1411" s="58" t="n"/>
    </row>
    <row r="1412" ht="15.75" customHeight="1" s="146">
      <c r="D1412" s="122" t="n"/>
      <c r="E1412" s="122" t="n"/>
      <c r="F1412" s="122" t="n"/>
      <c r="G1412" s="122" t="n"/>
      <c r="I1412" s="58" t="n"/>
    </row>
    <row r="1413" ht="15.75" customHeight="1" s="146">
      <c r="C1413" s="122" t="n"/>
      <c r="D1413" s="122" t="n"/>
      <c r="E1413" s="122" t="n"/>
      <c r="F1413" s="122" t="n"/>
      <c r="G1413" s="122" t="n"/>
      <c r="I1413" s="58" t="n"/>
    </row>
    <row r="1414" ht="15.75" customHeight="1" s="146">
      <c r="D1414" s="122" t="n"/>
      <c r="E1414" s="122" t="n"/>
      <c r="F1414" s="122" t="n"/>
      <c r="G1414" s="122" t="n"/>
      <c r="I1414" s="58" t="n"/>
    </row>
    <row r="1415" ht="15.75" customHeight="1" s="146">
      <c r="D1415" s="122" t="n"/>
      <c r="E1415" s="122" t="n"/>
      <c r="F1415" s="122" t="n"/>
      <c r="G1415" s="122" t="n"/>
      <c r="I1415" s="58" t="n"/>
    </row>
    <row r="1416" ht="15.75" customHeight="1" s="146">
      <c r="D1416" s="122" t="n"/>
      <c r="E1416" s="122" t="n"/>
      <c r="F1416" s="122" t="n"/>
      <c r="G1416" s="122" t="n"/>
      <c r="I1416" s="58" t="n"/>
    </row>
    <row r="1417" ht="15.75" customHeight="1" s="146">
      <c r="C1417" s="122" t="n"/>
      <c r="D1417" s="122" t="n"/>
      <c r="E1417" s="122" t="n"/>
      <c r="F1417" s="122" t="n"/>
      <c r="G1417" s="122" t="n"/>
      <c r="I1417" s="58" t="n"/>
    </row>
    <row r="1418" ht="15.75" customHeight="1" s="146">
      <c r="D1418" s="122" t="n"/>
      <c r="E1418" s="122" t="n"/>
      <c r="F1418" s="122" t="n"/>
      <c r="G1418" s="122" t="n"/>
      <c r="I1418" s="58" t="n"/>
    </row>
    <row r="1419" ht="15.75" customHeight="1" s="146">
      <c r="B1419" s="122" t="n"/>
      <c r="C1419" s="122" t="n"/>
      <c r="E1419" s="122" t="n"/>
      <c r="F1419" s="122" t="n"/>
      <c r="G1419" s="122" t="n"/>
      <c r="H1419" s="57" t="n"/>
      <c r="I1419" s="58" t="n"/>
    </row>
    <row r="1420" ht="15.75" customHeight="1" s="146">
      <c r="C1420" s="122" t="n"/>
      <c r="D1420" s="122" t="n"/>
      <c r="E1420" s="122" t="n"/>
      <c r="F1420" s="122" t="n"/>
      <c r="G1420" s="122" t="n"/>
      <c r="I1420" s="58" t="n"/>
    </row>
    <row r="1421" ht="15.75" customHeight="1" s="146">
      <c r="D1421" s="122" t="n"/>
      <c r="E1421" s="122" t="n"/>
      <c r="F1421" s="122" t="n"/>
      <c r="G1421" s="122" t="n"/>
      <c r="I1421" s="58" t="n"/>
    </row>
    <row r="1422" ht="15.75" customHeight="1" s="146">
      <c r="D1422" s="122" t="n"/>
      <c r="E1422" s="122" t="n"/>
      <c r="F1422" s="122" t="n"/>
      <c r="G1422" s="122" t="n"/>
      <c r="I1422" s="58" t="n"/>
    </row>
    <row r="1423" ht="15.75" customHeight="1" s="146">
      <c r="D1423" s="122" t="n"/>
      <c r="E1423" s="122" t="n"/>
      <c r="F1423" s="122" t="n"/>
      <c r="G1423" s="122" t="n"/>
      <c r="I1423" s="58" t="n"/>
    </row>
    <row r="1424" ht="15.75" customHeight="1" s="146">
      <c r="C1424" s="122" t="n"/>
      <c r="D1424" s="122" t="n"/>
      <c r="E1424" s="122" t="n"/>
      <c r="F1424" s="122" t="n"/>
      <c r="G1424" s="122" t="n"/>
      <c r="I1424" s="58" t="n"/>
    </row>
    <row r="1425" ht="15.75" customHeight="1" s="146">
      <c r="D1425" s="122" t="n"/>
      <c r="E1425" s="122" t="n"/>
      <c r="F1425" s="122" t="n"/>
      <c r="G1425" s="122" t="n"/>
      <c r="I1425" s="58" t="n"/>
    </row>
    <row r="1426" ht="15.75" customHeight="1" s="146">
      <c r="C1426" s="122" t="n"/>
      <c r="D1426" s="122" t="n"/>
      <c r="E1426" s="122" t="n"/>
      <c r="F1426" s="122" t="n"/>
      <c r="G1426" s="122" t="n"/>
      <c r="I1426" s="58" t="n"/>
    </row>
    <row r="1427" ht="15.75" customHeight="1" s="146">
      <c r="D1427" s="122" t="n"/>
      <c r="E1427" s="122" t="n"/>
      <c r="F1427" s="122" t="n"/>
      <c r="G1427" s="122" t="n"/>
      <c r="I1427" s="58" t="n"/>
    </row>
    <row r="1428" ht="15.75" customHeight="1" s="146">
      <c r="D1428" s="122" t="n"/>
      <c r="E1428" s="122" t="n"/>
      <c r="F1428" s="122" t="n"/>
      <c r="G1428" s="122" t="n"/>
      <c r="I1428" s="58" t="n"/>
    </row>
    <row r="1429" ht="15.75" customHeight="1" s="146">
      <c r="D1429" s="122" t="n"/>
      <c r="E1429" s="122" t="n"/>
      <c r="F1429" s="122" t="n"/>
      <c r="G1429" s="122" t="n"/>
      <c r="I1429" s="58" t="n"/>
    </row>
    <row r="1430" ht="15.75" customHeight="1" s="146">
      <c r="B1430" s="122" t="n"/>
      <c r="C1430" s="122" t="n"/>
      <c r="E1430" s="122" t="n"/>
      <c r="F1430" s="122" t="n"/>
      <c r="G1430" s="122" t="n"/>
      <c r="I1430" s="58" t="n"/>
    </row>
    <row r="1431" ht="15.75" customHeight="1" s="146">
      <c r="C1431" s="122" t="n"/>
      <c r="D1431" s="122" t="n"/>
      <c r="E1431" s="122" t="n"/>
      <c r="F1431" s="122" t="n"/>
      <c r="G1431" s="122" t="n"/>
      <c r="I1431" s="58" t="n"/>
    </row>
    <row r="1432" ht="15.75" customHeight="1" s="146">
      <c r="D1432" s="122" t="n"/>
      <c r="E1432" s="122" t="n"/>
      <c r="F1432" s="122" t="n"/>
      <c r="G1432" s="122" t="n"/>
      <c r="I1432" s="58" t="n"/>
    </row>
    <row r="1433" ht="15.75" customHeight="1" s="146">
      <c r="D1433" s="122" t="n"/>
      <c r="E1433" s="122" t="n"/>
      <c r="F1433" s="122" t="n"/>
      <c r="G1433" s="122" t="n"/>
      <c r="I1433" s="58" t="n"/>
    </row>
    <row r="1434" ht="15.75" customHeight="1" s="146">
      <c r="D1434" s="122" t="n"/>
      <c r="E1434" s="122" t="n"/>
      <c r="F1434" s="122" t="n"/>
      <c r="G1434" s="122" t="n"/>
      <c r="I1434" s="58" t="n"/>
    </row>
    <row r="1435" ht="15.75" customHeight="1" s="146">
      <c r="C1435" s="122" t="n"/>
      <c r="D1435" s="122" t="n"/>
      <c r="E1435" s="122" t="n"/>
      <c r="F1435" s="122" t="n"/>
      <c r="G1435" s="122" t="n"/>
      <c r="I1435" s="58" t="n"/>
    </row>
    <row r="1436" ht="15.75" customHeight="1" s="146">
      <c r="D1436" s="122" t="n"/>
      <c r="E1436" s="122" t="n"/>
      <c r="F1436" s="122" t="n"/>
      <c r="G1436" s="122" t="n"/>
      <c r="I1436" s="58" t="n"/>
    </row>
    <row r="1437" ht="15.75" customHeight="1" s="146">
      <c r="D1437" s="122" t="n"/>
      <c r="E1437" s="122" t="n"/>
      <c r="F1437" s="122" t="n"/>
      <c r="G1437" s="122" t="n"/>
      <c r="I1437" s="58" t="n"/>
    </row>
    <row r="1438" ht="15.75" customHeight="1" s="146">
      <c r="D1438" s="122" t="n"/>
      <c r="E1438" s="122" t="n"/>
      <c r="F1438" s="122" t="n"/>
      <c r="G1438" s="122" t="n"/>
      <c r="I1438" s="58" t="n"/>
    </row>
    <row r="1439" ht="15.75" customHeight="1" s="146">
      <c r="C1439" s="122" t="n"/>
      <c r="D1439" s="122" t="n"/>
      <c r="E1439" s="122" t="n"/>
      <c r="F1439" s="122" t="n"/>
      <c r="G1439" s="122" t="n"/>
      <c r="I1439" s="58" t="n"/>
    </row>
    <row r="1440" ht="15.75" customHeight="1" s="146">
      <c r="D1440" s="122" t="n"/>
      <c r="E1440" s="122" t="n"/>
      <c r="F1440" s="122" t="n"/>
      <c r="G1440" s="122" t="n"/>
      <c r="I1440" s="58" t="n"/>
    </row>
    <row r="1441" ht="15.75" customHeight="1" s="146">
      <c r="C1441" s="122" t="n"/>
      <c r="D1441" s="122" t="n"/>
      <c r="E1441" s="122" t="n"/>
      <c r="F1441" s="122" t="n"/>
      <c r="G1441" s="122" t="n"/>
      <c r="I1441" s="58" t="n"/>
    </row>
    <row r="1442" ht="15.75" customHeight="1" s="146">
      <c r="D1442" s="122" t="n"/>
      <c r="E1442" s="122" t="n"/>
      <c r="F1442" s="122" t="n"/>
      <c r="G1442" s="122" t="n"/>
      <c r="I1442" s="58" t="n"/>
    </row>
    <row r="1443" ht="15.75" customHeight="1" s="146">
      <c r="B1443" s="122" t="n"/>
      <c r="C1443" s="122" t="n"/>
      <c r="E1443" s="122" t="n"/>
      <c r="F1443" s="122" t="n"/>
      <c r="G1443" s="122" t="n"/>
      <c r="H1443" s="57" t="n"/>
      <c r="I1443" s="58" t="n"/>
    </row>
    <row r="1444" ht="15.75" customHeight="1" s="146">
      <c r="C1444" s="122" t="n"/>
      <c r="D1444" s="122" t="n"/>
      <c r="E1444" s="122" t="n"/>
      <c r="F1444" s="122" t="n"/>
      <c r="G1444" s="122" t="n"/>
      <c r="I1444" s="58" t="n"/>
    </row>
    <row r="1445" ht="15.75" customHeight="1" s="146">
      <c r="D1445" s="122" t="n"/>
      <c r="E1445" s="122" t="n"/>
      <c r="F1445" s="122" t="n"/>
      <c r="G1445" s="122" t="n"/>
      <c r="I1445" s="58" t="n"/>
    </row>
    <row r="1446" ht="15.75" customHeight="1" s="146">
      <c r="D1446" s="122" t="n"/>
      <c r="E1446" s="122" t="n"/>
      <c r="F1446" s="122" t="n"/>
      <c r="G1446" s="122" t="n"/>
      <c r="I1446" s="58" t="n"/>
    </row>
    <row r="1447" ht="15.75" customHeight="1" s="146">
      <c r="D1447" s="122" t="n"/>
      <c r="E1447" s="122" t="n"/>
      <c r="F1447" s="122" t="n"/>
      <c r="G1447" s="122" t="n"/>
      <c r="I1447" s="58" t="n"/>
    </row>
    <row r="1448" ht="15.75" customHeight="1" s="146">
      <c r="C1448" s="122" t="n"/>
      <c r="D1448" s="122" t="n"/>
      <c r="E1448" s="122" t="n"/>
      <c r="F1448" s="122" t="n"/>
      <c r="G1448" s="122" t="n"/>
      <c r="I1448" s="58" t="n"/>
    </row>
    <row r="1449" ht="15.75" customHeight="1" s="146">
      <c r="D1449" s="122" t="n"/>
      <c r="E1449" s="122" t="n"/>
      <c r="F1449" s="122" t="n"/>
      <c r="G1449" s="122" t="n"/>
      <c r="I1449" s="58" t="n"/>
    </row>
    <row r="1450" ht="15.75" customHeight="1" s="146">
      <c r="D1450" s="122" t="n"/>
      <c r="E1450" s="122" t="n"/>
      <c r="F1450" s="122" t="n"/>
      <c r="G1450" s="122" t="n"/>
      <c r="I1450" s="58" t="n"/>
    </row>
    <row r="1451" ht="15.75" customHeight="1" s="146">
      <c r="D1451" s="122" t="n"/>
      <c r="E1451" s="122" t="n"/>
      <c r="F1451" s="122" t="n"/>
      <c r="G1451" s="122" t="n"/>
      <c r="I1451" s="58" t="n"/>
    </row>
    <row r="1452" ht="15.75" customHeight="1" s="146">
      <c r="C1452" s="122" t="n"/>
      <c r="D1452" s="122" t="n"/>
      <c r="E1452" s="122" t="n"/>
      <c r="F1452" s="122" t="n"/>
      <c r="G1452" s="122" t="n"/>
      <c r="I1452" s="58" t="n"/>
    </row>
    <row r="1453" ht="15.75" customHeight="1" s="146">
      <c r="D1453" s="122" t="n"/>
      <c r="E1453" s="122" t="n"/>
      <c r="F1453" s="122" t="n"/>
      <c r="G1453" s="122" t="n"/>
      <c r="I1453" s="58" t="n"/>
    </row>
    <row r="1454" ht="15.75" customHeight="1" s="146">
      <c r="B1454" s="122" t="n"/>
      <c r="C1454" s="122" t="n"/>
      <c r="E1454" s="122" t="n"/>
      <c r="F1454" s="122" t="n"/>
      <c r="G1454" s="122" t="n"/>
      <c r="H1454" s="57" t="n"/>
      <c r="I1454" s="58" t="n"/>
    </row>
    <row r="1455" ht="15.75" customHeight="1" s="146">
      <c r="C1455" s="122" t="n"/>
      <c r="D1455" s="122" t="n"/>
      <c r="E1455" s="122" t="n"/>
      <c r="F1455" s="122" t="n"/>
      <c r="G1455" s="122" t="n"/>
      <c r="I1455" s="58" t="n"/>
    </row>
    <row r="1456" ht="15.75" customHeight="1" s="146">
      <c r="D1456" s="122" t="n"/>
      <c r="E1456" s="122" t="n"/>
      <c r="F1456" s="122" t="n"/>
      <c r="G1456" s="122" t="n"/>
      <c r="I1456" s="58" t="n"/>
    </row>
    <row r="1457" ht="15.75" customHeight="1" s="146">
      <c r="D1457" s="122" t="n"/>
      <c r="E1457" s="122" t="n"/>
      <c r="F1457" s="122" t="n"/>
      <c r="G1457" s="122" t="n"/>
      <c r="I1457" s="58" t="n"/>
    </row>
    <row r="1458" ht="15.75" customHeight="1" s="146">
      <c r="D1458" s="122" t="n"/>
      <c r="E1458" s="122" t="n"/>
      <c r="F1458" s="122" t="n"/>
      <c r="G1458" s="122" t="n"/>
      <c r="I1458" s="58" t="n"/>
    </row>
    <row r="1459" ht="15.75" customHeight="1" s="146">
      <c r="C1459" s="122" t="n"/>
      <c r="D1459" s="122" t="n"/>
      <c r="E1459" s="122" t="n"/>
      <c r="F1459" s="122" t="n"/>
      <c r="G1459" s="122" t="n"/>
      <c r="I1459" s="58" t="n"/>
    </row>
    <row r="1460" ht="15.75" customHeight="1" s="146">
      <c r="D1460" s="122" t="n"/>
      <c r="E1460" s="122" t="n"/>
      <c r="F1460" s="122" t="n"/>
      <c r="G1460" s="122" t="n"/>
      <c r="I1460" s="58" t="n"/>
    </row>
    <row r="1461" ht="15.75" customHeight="1" s="146">
      <c r="D1461" s="122" t="n"/>
      <c r="E1461" s="122" t="n"/>
      <c r="F1461" s="122" t="n"/>
      <c r="G1461" s="122" t="n"/>
      <c r="I1461" s="58" t="n"/>
    </row>
    <row r="1462" ht="15.75" customHeight="1" s="146">
      <c r="D1462" s="122" t="n"/>
      <c r="E1462" s="122" t="n"/>
      <c r="F1462" s="122" t="n"/>
      <c r="G1462" s="122" t="n"/>
      <c r="I1462" s="58" t="n"/>
    </row>
    <row r="1463" ht="15.75" customHeight="1" s="146">
      <c r="C1463" s="122" t="n"/>
      <c r="D1463" s="122" t="n"/>
      <c r="E1463" s="122" t="n"/>
      <c r="F1463" s="122" t="n"/>
      <c r="G1463" s="122" t="n"/>
      <c r="I1463" s="58" t="n"/>
    </row>
    <row r="1464" ht="15.75" customHeight="1" s="146">
      <c r="D1464" s="122" t="n"/>
      <c r="E1464" s="122" t="n"/>
      <c r="F1464" s="122" t="n"/>
      <c r="G1464" s="122" t="n"/>
      <c r="I1464" s="58" t="n"/>
    </row>
    <row r="1465" ht="15.75" customHeight="1" s="146">
      <c r="D1465" s="122" t="n"/>
      <c r="E1465" s="122" t="n"/>
      <c r="F1465" s="122" t="n"/>
      <c r="G1465" s="122" t="n"/>
      <c r="I1465" s="58" t="n"/>
    </row>
    <row r="1466" ht="15.75" customHeight="1" s="146">
      <c r="D1466" s="122" t="n"/>
      <c r="E1466" s="122" t="n"/>
      <c r="F1466" s="122" t="n"/>
      <c r="G1466" s="122" t="n"/>
      <c r="I1466" s="58" t="n"/>
    </row>
    <row r="1467" ht="15.75" customHeight="1" s="146">
      <c r="C1467" s="122" t="n"/>
      <c r="D1467" s="122" t="n"/>
      <c r="E1467" s="122" t="n"/>
      <c r="F1467" s="122" t="n"/>
      <c r="G1467" s="122" t="n"/>
      <c r="I1467" s="58" t="n"/>
    </row>
    <row r="1468" ht="15.75" customHeight="1" s="146">
      <c r="D1468" s="122" t="n"/>
      <c r="E1468" s="122" t="n"/>
      <c r="F1468" s="122" t="n"/>
      <c r="G1468" s="122" t="n"/>
      <c r="I1468" s="58" t="n"/>
    </row>
    <row r="1469" ht="15.75" customHeight="1" s="146">
      <c r="D1469" s="122" t="n"/>
      <c r="E1469" s="122" t="n"/>
      <c r="F1469" s="122" t="n"/>
      <c r="G1469" s="122" t="n"/>
      <c r="I1469" s="58" t="n"/>
    </row>
    <row r="1470" ht="15.75" customHeight="1" s="146">
      <c r="D1470" s="122" t="n"/>
      <c r="E1470" s="122" t="n"/>
      <c r="F1470" s="122" t="n"/>
      <c r="G1470" s="122" t="n"/>
      <c r="I1470" s="58" t="n"/>
    </row>
    <row r="1471" ht="15.75" customHeight="1" s="146">
      <c r="C1471" s="122" t="n"/>
      <c r="D1471" s="122" t="n"/>
      <c r="E1471" s="122" t="n"/>
      <c r="F1471" s="122" t="n"/>
      <c r="G1471" s="122" t="n"/>
      <c r="I1471" s="58" t="n"/>
    </row>
    <row r="1472" ht="15.75" customHeight="1" s="146">
      <c r="D1472" s="122" t="n"/>
      <c r="E1472" s="122" t="n"/>
      <c r="F1472" s="122" t="n"/>
      <c r="G1472" s="122" t="n"/>
      <c r="I1472" s="58" t="n"/>
    </row>
    <row r="1473" ht="15.75" customHeight="1" s="146">
      <c r="D1473" s="122" t="n"/>
      <c r="E1473" s="122" t="n"/>
      <c r="F1473" s="122" t="n"/>
      <c r="G1473" s="122" t="n"/>
      <c r="I1473" s="58" t="n"/>
    </row>
    <row r="1474" ht="15.75" customHeight="1" s="146">
      <c r="D1474" s="122" t="n"/>
      <c r="E1474" s="122" t="n"/>
      <c r="F1474" s="122" t="n"/>
      <c r="G1474" s="122" t="n"/>
      <c r="I1474" s="58" t="n"/>
    </row>
    <row r="1475" ht="15.75" customHeight="1" s="146">
      <c r="C1475" s="122" t="n"/>
      <c r="D1475" s="122" t="n"/>
      <c r="E1475" s="122" t="n"/>
      <c r="F1475" s="122" t="n"/>
      <c r="G1475" s="122" t="n"/>
      <c r="I1475" s="58" t="n"/>
    </row>
    <row r="1476" ht="15.75" customHeight="1" s="146">
      <c r="D1476" s="122" t="n"/>
      <c r="E1476" s="122" t="n"/>
      <c r="F1476" s="122" t="n"/>
      <c r="G1476" s="122" t="n"/>
      <c r="I1476" s="58" t="n"/>
    </row>
    <row r="1477" ht="15.75" customHeight="1" s="146">
      <c r="B1477" s="122" t="n"/>
      <c r="C1477" s="122" t="n"/>
      <c r="E1477" s="122" t="n"/>
      <c r="F1477" s="122" t="n"/>
      <c r="G1477" s="122" t="n"/>
      <c r="H1477" s="57" t="n"/>
      <c r="I1477" s="58" t="n"/>
    </row>
    <row r="1478" ht="15.75" customHeight="1" s="146">
      <c r="C1478" s="122" t="n"/>
      <c r="D1478" s="122" t="n"/>
      <c r="E1478" s="122" t="n"/>
      <c r="F1478" s="122" t="n"/>
      <c r="G1478" s="122" t="n"/>
      <c r="I1478" s="58" t="n"/>
    </row>
    <row r="1479" ht="15.75" customHeight="1" s="146">
      <c r="D1479" s="122" t="n"/>
      <c r="E1479" s="122" t="n"/>
      <c r="F1479" s="122" t="n"/>
      <c r="G1479" s="122" t="n"/>
      <c r="I1479" s="58" t="n"/>
    </row>
    <row r="1480" ht="15.75" customHeight="1" s="146">
      <c r="C1480" s="122" t="n"/>
      <c r="D1480" s="122" t="n"/>
      <c r="E1480" s="122" t="n"/>
      <c r="F1480" s="122" t="n"/>
      <c r="G1480" s="122" t="n"/>
      <c r="I1480" s="58" t="n"/>
    </row>
    <row r="1481" ht="15.75" customHeight="1" s="146">
      <c r="D1481" s="122" t="n"/>
      <c r="E1481" s="122" t="n"/>
      <c r="F1481" s="122" t="n"/>
      <c r="G1481" s="122" t="n"/>
      <c r="I1481" s="58" t="n"/>
    </row>
    <row r="1482" ht="15.75" customHeight="1" s="146">
      <c r="D1482" s="122" t="n"/>
      <c r="E1482" s="122" t="n"/>
      <c r="F1482" s="122" t="n"/>
      <c r="G1482" s="122" t="n"/>
      <c r="I1482" s="58" t="n"/>
    </row>
    <row r="1483" ht="15.75" customHeight="1" s="146">
      <c r="D1483" s="122" t="n"/>
      <c r="E1483" s="122" t="n"/>
      <c r="F1483" s="122" t="n"/>
      <c r="G1483" s="122" t="n"/>
      <c r="I1483" s="58" t="n"/>
    </row>
    <row r="1484" ht="15.75" customHeight="1" s="146">
      <c r="C1484" s="122" t="n"/>
      <c r="D1484" s="122" t="n"/>
      <c r="E1484" s="122" t="n"/>
      <c r="F1484" s="122" t="n"/>
      <c r="G1484" s="122" t="n"/>
      <c r="I1484" s="58" t="n"/>
    </row>
    <row r="1485" ht="15.75" customHeight="1" s="146">
      <c r="D1485" s="122" t="n"/>
      <c r="E1485" s="122" t="n"/>
      <c r="F1485" s="122" t="n"/>
      <c r="G1485" s="122" t="n"/>
      <c r="I1485" s="58" t="n"/>
    </row>
    <row r="1486" ht="15.75" customHeight="1" s="146">
      <c r="D1486" s="122" t="n"/>
      <c r="E1486" s="122" t="n"/>
      <c r="F1486" s="122" t="n"/>
      <c r="G1486" s="122" t="n"/>
      <c r="I1486" s="58" t="n"/>
    </row>
    <row r="1487" ht="15.75" customHeight="1" s="146">
      <c r="D1487" s="122" t="n"/>
      <c r="E1487" s="122" t="n"/>
      <c r="F1487" s="122" t="n"/>
      <c r="G1487" s="122" t="n"/>
      <c r="I1487" s="58" t="n"/>
    </row>
    <row r="1488" ht="15.75" customHeight="1" s="146">
      <c r="C1488" s="122" t="n"/>
      <c r="D1488" s="122" t="n"/>
      <c r="E1488" s="122" t="n"/>
      <c r="F1488" s="122" t="n"/>
      <c r="G1488" s="122" t="n"/>
      <c r="I1488" s="58" t="n"/>
    </row>
    <row r="1489" ht="15.75" customHeight="1" s="146">
      <c r="D1489" s="122" t="n"/>
      <c r="E1489" s="122" t="n"/>
      <c r="F1489" s="122" t="n"/>
      <c r="G1489" s="122" t="n"/>
      <c r="I1489" s="58" t="n"/>
    </row>
    <row r="1490" ht="15.75" customHeight="1" s="146">
      <c r="D1490" s="122" t="n"/>
      <c r="E1490" s="122" t="n"/>
      <c r="F1490" s="122" t="n"/>
      <c r="G1490" s="122" t="n"/>
      <c r="I1490" s="58" t="n"/>
    </row>
    <row r="1491" ht="15.75" customHeight="1" s="146">
      <c r="D1491" s="122" t="n"/>
      <c r="E1491" s="122" t="n"/>
      <c r="F1491" s="122" t="n"/>
      <c r="G1491" s="122" t="n"/>
      <c r="I1491" s="58" t="n"/>
    </row>
    <row r="1492" ht="15.75" customHeight="1" s="146">
      <c r="C1492" s="122" t="n"/>
      <c r="D1492" s="122" t="n"/>
      <c r="E1492" s="122" t="n"/>
      <c r="F1492" s="122" t="n"/>
      <c r="G1492" s="122" t="n"/>
      <c r="I1492" s="58" t="n"/>
    </row>
    <row r="1493" ht="15.75" customHeight="1" s="146">
      <c r="D1493" s="122" t="n"/>
      <c r="E1493" s="122" t="n"/>
      <c r="F1493" s="122" t="n"/>
      <c r="G1493" s="122" t="n"/>
      <c r="I1493" s="58" t="n"/>
    </row>
    <row r="1494" ht="15.75" customHeight="1" s="146">
      <c r="D1494" s="122" t="n"/>
      <c r="E1494" s="122" t="n"/>
      <c r="F1494" s="122" t="n"/>
      <c r="G1494" s="122" t="n"/>
      <c r="I1494" s="58" t="n"/>
    </row>
    <row r="1495" ht="15.75" customHeight="1" s="146">
      <c r="D1495" s="122" t="n"/>
      <c r="E1495" s="122" t="n"/>
      <c r="F1495" s="122" t="n"/>
      <c r="G1495" s="122" t="n"/>
      <c r="I1495" s="58" t="n"/>
    </row>
    <row r="1496" ht="15.75" customHeight="1" s="146">
      <c r="C1496" s="122" t="n"/>
      <c r="D1496" s="122" t="n"/>
      <c r="E1496" s="122" t="n"/>
      <c r="F1496" s="122" t="n"/>
      <c r="G1496" s="122" t="n"/>
      <c r="I1496" s="58" t="n"/>
    </row>
    <row r="1497" ht="15.75" customHeight="1" s="146">
      <c r="D1497" s="122" t="n"/>
      <c r="E1497" s="122" t="n"/>
      <c r="F1497" s="122" t="n"/>
      <c r="G1497" s="122" t="n"/>
      <c r="I1497" s="58" t="n"/>
    </row>
    <row r="1498" ht="15.75" customHeight="1" s="146">
      <c r="D1498" s="122" t="n"/>
      <c r="E1498" s="122" t="n"/>
      <c r="F1498" s="122" t="n"/>
      <c r="G1498" s="122" t="n"/>
      <c r="I1498" s="58" t="n"/>
    </row>
    <row r="1499" ht="15.75" customHeight="1" s="146">
      <c r="D1499" s="122" t="n"/>
      <c r="E1499" s="122" t="n"/>
      <c r="F1499" s="122" t="n"/>
      <c r="G1499" s="122" t="n"/>
      <c r="I1499" s="58" t="n"/>
    </row>
    <row r="1500" ht="15.75" customHeight="1" s="146">
      <c r="B1500" s="122" t="n"/>
      <c r="C1500" s="122" t="n"/>
      <c r="E1500" s="122" t="n"/>
      <c r="F1500" s="122" t="n"/>
      <c r="G1500" s="122" t="n"/>
      <c r="H1500" s="57" t="n"/>
      <c r="I1500" s="58" t="n"/>
    </row>
    <row r="1501" ht="15.75" customHeight="1" s="146">
      <c r="C1501" s="122" t="n"/>
      <c r="D1501" s="122" t="n"/>
      <c r="E1501" s="122" t="n"/>
      <c r="F1501" s="122" t="n"/>
      <c r="G1501" s="122" t="n"/>
      <c r="I1501" s="58" t="n"/>
    </row>
    <row r="1502" ht="15.75" customHeight="1" s="146">
      <c r="D1502" s="122" t="n"/>
      <c r="E1502" s="122" t="n"/>
      <c r="F1502" s="122" t="n"/>
      <c r="G1502" s="122" t="n"/>
      <c r="I1502" s="58" t="n"/>
    </row>
    <row r="1503" ht="15.75" customHeight="1" s="146">
      <c r="C1503" s="122" t="n"/>
      <c r="D1503" s="122" t="n"/>
      <c r="E1503" s="122" t="n"/>
      <c r="F1503" s="122" t="n"/>
      <c r="G1503" s="122" t="n"/>
      <c r="I1503" s="58" t="n"/>
    </row>
    <row r="1504" ht="15.75" customHeight="1" s="146">
      <c r="D1504" s="122" t="n"/>
      <c r="E1504" s="122" t="n"/>
      <c r="F1504" s="122" t="n"/>
      <c r="G1504" s="122" t="n"/>
      <c r="I1504" s="58" t="n"/>
    </row>
    <row r="1505" ht="15.75" customHeight="1" s="146">
      <c r="D1505" s="122" t="n"/>
      <c r="E1505" s="122" t="n"/>
      <c r="F1505" s="122" t="n"/>
      <c r="G1505" s="122" t="n"/>
      <c r="I1505" s="58" t="n"/>
    </row>
    <row r="1506" ht="15.75" customHeight="1" s="146">
      <c r="D1506" s="122" t="n"/>
      <c r="E1506" s="122" t="n"/>
      <c r="F1506" s="122" t="n"/>
      <c r="G1506" s="122" t="n"/>
      <c r="I1506" s="58" t="n"/>
    </row>
    <row r="1507" ht="15.75" customHeight="1" s="146">
      <c r="C1507" s="122" t="n"/>
      <c r="D1507" s="122" t="n"/>
      <c r="E1507" s="122" t="n"/>
      <c r="F1507" s="122" t="n"/>
      <c r="G1507" s="122" t="n"/>
      <c r="I1507" s="58" t="n"/>
    </row>
    <row r="1508" ht="15.75" customHeight="1" s="146">
      <c r="D1508" s="122" t="n"/>
      <c r="E1508" s="122" t="n"/>
      <c r="F1508" s="122" t="n"/>
      <c r="G1508" s="122" t="n"/>
      <c r="I1508" s="58" t="n"/>
    </row>
    <row r="1509" ht="15.75" customHeight="1" s="146">
      <c r="D1509" s="122" t="n"/>
      <c r="E1509" s="122" t="n"/>
      <c r="F1509" s="122" t="n"/>
      <c r="G1509" s="122" t="n"/>
      <c r="I1509" s="58" t="n"/>
    </row>
    <row r="1510" ht="15.75" customHeight="1" s="146">
      <c r="D1510" s="122" t="n"/>
      <c r="E1510" s="122" t="n"/>
      <c r="F1510" s="122" t="n"/>
      <c r="G1510" s="122" t="n"/>
      <c r="I1510" s="58" t="n"/>
    </row>
    <row r="1511" ht="15.75" customHeight="1" s="146">
      <c r="B1511" s="122" t="n"/>
      <c r="C1511" s="122" t="n"/>
      <c r="E1511" s="122" t="n"/>
      <c r="F1511" s="122" t="n"/>
      <c r="G1511" s="122" t="n"/>
      <c r="H1511" s="57" t="n"/>
      <c r="I1511" s="58" t="n"/>
    </row>
    <row r="1512" ht="15.75" customHeight="1" s="146">
      <c r="C1512" s="122" t="n"/>
      <c r="D1512" s="122" t="n"/>
      <c r="E1512" s="122" t="n"/>
      <c r="F1512" s="122" t="n"/>
      <c r="G1512" s="122" t="n"/>
      <c r="I1512" s="58" t="n"/>
    </row>
    <row r="1513" ht="15.75" customHeight="1" s="146">
      <c r="D1513" s="122" t="n"/>
      <c r="E1513" s="122" t="n"/>
      <c r="F1513" s="122" t="n"/>
      <c r="G1513" s="122" t="n"/>
      <c r="I1513" s="58" t="n"/>
    </row>
    <row r="1514" ht="15.75" customHeight="1" s="146">
      <c r="D1514" s="122" t="n"/>
      <c r="E1514" s="122" t="n"/>
      <c r="F1514" s="122" t="n"/>
      <c r="G1514" s="122" t="n"/>
      <c r="I1514" s="58" t="n"/>
    </row>
    <row r="1515" ht="15.75" customHeight="1" s="146">
      <c r="D1515" s="122" t="n"/>
      <c r="E1515" s="122" t="n"/>
      <c r="F1515" s="122" t="n"/>
      <c r="G1515" s="122" t="n"/>
      <c r="I1515" s="58" t="n"/>
    </row>
    <row r="1516" ht="15.75" customHeight="1" s="146">
      <c r="C1516" s="122" t="n"/>
      <c r="D1516" s="122" t="n"/>
      <c r="E1516" s="122" t="n"/>
      <c r="F1516" s="122" t="n"/>
      <c r="G1516" s="122" t="n"/>
      <c r="I1516" s="58" t="n"/>
    </row>
    <row r="1517" ht="15.75" customHeight="1" s="146">
      <c r="D1517" s="122" t="n"/>
      <c r="E1517" s="122" t="n"/>
      <c r="F1517" s="122" t="n"/>
      <c r="G1517" s="122" t="n"/>
      <c r="I1517" s="58" t="n"/>
    </row>
    <row r="1518" ht="15.75" customHeight="1" s="146">
      <c r="C1518" s="122" t="n"/>
      <c r="D1518" s="122" t="n"/>
      <c r="E1518" s="122" t="n"/>
      <c r="F1518" s="122" t="n"/>
      <c r="G1518" s="122" t="n"/>
      <c r="I1518" s="58" t="n"/>
    </row>
    <row r="1519" ht="15.75" customHeight="1" s="146">
      <c r="D1519" s="122" t="n"/>
      <c r="E1519" s="122" t="n"/>
      <c r="F1519" s="122" t="n"/>
      <c r="G1519" s="122" t="n"/>
      <c r="I1519" s="58" t="n"/>
    </row>
    <row r="1520" ht="15.75" customHeight="1" s="146">
      <c r="D1520" s="122" t="n"/>
      <c r="E1520" s="122" t="n"/>
      <c r="F1520" s="122" t="n"/>
      <c r="G1520" s="122" t="n"/>
      <c r="I1520" s="58" t="n"/>
    </row>
    <row r="1521" ht="15.75" customHeight="1" s="146">
      <c r="D1521" s="122" t="n"/>
      <c r="E1521" s="122" t="n"/>
      <c r="F1521" s="122" t="n"/>
      <c r="G1521" s="122" t="n"/>
      <c r="I1521" s="58" t="n"/>
    </row>
    <row r="1522" ht="15.75" customHeight="1" s="146">
      <c r="C1522" s="122" t="n"/>
      <c r="D1522" s="122" t="n"/>
      <c r="E1522" s="122" t="n"/>
      <c r="F1522" s="122" t="n"/>
      <c r="G1522" s="122" t="n"/>
      <c r="I1522" s="58" t="n"/>
    </row>
    <row r="1523" ht="15.75" customHeight="1" s="146">
      <c r="D1523" s="122" t="n"/>
      <c r="E1523" s="122" t="n"/>
      <c r="F1523" s="122" t="n"/>
      <c r="G1523" s="122" t="n"/>
      <c r="I1523" s="58" t="n"/>
    </row>
    <row r="1524" ht="15.75" customHeight="1" s="146">
      <c r="D1524" s="122" t="n"/>
      <c r="E1524" s="122" t="n"/>
      <c r="F1524" s="122" t="n"/>
      <c r="G1524" s="122" t="n"/>
      <c r="I1524" s="58" t="n"/>
    </row>
    <row r="1525" ht="15.75" customHeight="1" s="146">
      <c r="D1525" s="122" t="n"/>
      <c r="E1525" s="122" t="n"/>
      <c r="F1525" s="122" t="n"/>
      <c r="G1525" s="122" t="n"/>
      <c r="I1525" s="58" t="n"/>
    </row>
    <row r="1526" ht="15.75" customHeight="1" s="146">
      <c r="B1526" s="122" t="n"/>
      <c r="C1526" s="122" t="n"/>
      <c r="E1526" s="122" t="n"/>
      <c r="F1526" s="122" t="n"/>
      <c r="G1526" s="122" t="n"/>
      <c r="H1526" s="57" t="n"/>
      <c r="I1526" s="58" t="n"/>
    </row>
    <row r="1527" ht="15.75" customHeight="1" s="146">
      <c r="C1527" s="122" t="n"/>
      <c r="D1527" s="122" t="n"/>
      <c r="E1527" s="122" t="n"/>
      <c r="F1527" s="122" t="n"/>
      <c r="G1527" s="122" t="n"/>
      <c r="I1527" s="58" t="n"/>
    </row>
    <row r="1528" ht="15.75" customHeight="1" s="146">
      <c r="D1528" s="122" t="n"/>
      <c r="E1528" s="122" t="n"/>
      <c r="F1528" s="122" t="n"/>
      <c r="G1528" s="122" t="n"/>
      <c r="I1528" s="58" t="n"/>
    </row>
    <row r="1529" ht="15.75" customHeight="1" s="146">
      <c r="D1529" s="122" t="n"/>
      <c r="E1529" s="122" t="n"/>
      <c r="F1529" s="122" t="n"/>
      <c r="G1529" s="122" t="n"/>
      <c r="I1529" s="58" t="n"/>
    </row>
    <row r="1530" ht="15.75" customHeight="1" s="146">
      <c r="D1530" s="122" t="n"/>
      <c r="E1530" s="122" t="n"/>
      <c r="F1530" s="122" t="n"/>
      <c r="G1530" s="122" t="n"/>
      <c r="I1530" s="58" t="n"/>
    </row>
    <row r="1531" ht="15.75" customHeight="1" s="146">
      <c r="C1531" s="122" t="n"/>
      <c r="D1531" s="122" t="n"/>
      <c r="E1531" s="122" t="n"/>
      <c r="F1531" s="122" t="n"/>
      <c r="G1531" s="122" t="n"/>
      <c r="I1531" s="58" t="n"/>
    </row>
    <row r="1532" ht="15.75" customHeight="1" s="146">
      <c r="D1532" s="122" t="n"/>
      <c r="E1532" s="122" t="n"/>
      <c r="F1532" s="122" t="n"/>
      <c r="G1532" s="122" t="n"/>
      <c r="I1532" s="58" t="n"/>
    </row>
    <row r="1533" ht="15.75" customHeight="1" s="146">
      <c r="D1533" s="122" t="n"/>
      <c r="E1533" s="122" t="n"/>
      <c r="F1533" s="122" t="n"/>
      <c r="G1533" s="122" t="n"/>
      <c r="I1533" s="58" t="n"/>
    </row>
    <row r="1534" ht="15.75" customHeight="1" s="146">
      <c r="D1534" s="122" t="n"/>
      <c r="E1534" s="122" t="n"/>
      <c r="F1534" s="122" t="n"/>
      <c r="G1534" s="122" t="n"/>
      <c r="I1534" s="58" t="n"/>
    </row>
    <row r="1535" ht="15.75" customHeight="1" s="146">
      <c r="C1535" s="122" t="n"/>
      <c r="D1535" s="122" t="n"/>
      <c r="E1535" s="122" t="n"/>
      <c r="F1535" s="122" t="n"/>
      <c r="G1535" s="122" t="n"/>
      <c r="I1535" s="58" t="n"/>
    </row>
    <row r="1536" ht="15.75" customHeight="1" s="146">
      <c r="D1536" s="122" t="n"/>
      <c r="E1536" s="122" t="n"/>
      <c r="F1536" s="122" t="n"/>
      <c r="G1536" s="122" t="n"/>
      <c r="I1536" s="58" t="n"/>
    </row>
    <row r="1537" ht="15.75" customHeight="1" s="146">
      <c r="B1537" s="122" t="n"/>
      <c r="C1537" s="122" t="n"/>
      <c r="E1537" s="122" t="n"/>
      <c r="F1537" s="122" t="n"/>
      <c r="G1537" s="122" t="n"/>
      <c r="H1537" s="57" t="n"/>
      <c r="I1537" s="58" t="n"/>
    </row>
    <row r="1538" ht="15.75" customHeight="1" s="146">
      <c r="C1538" s="122" t="n"/>
      <c r="D1538" s="122" t="n"/>
      <c r="E1538" s="122" t="n"/>
      <c r="F1538" s="122" t="n"/>
      <c r="G1538" s="122" t="n"/>
      <c r="I1538" s="58" t="n"/>
    </row>
    <row r="1539" ht="15.75" customHeight="1" s="146">
      <c r="D1539" s="122" t="n"/>
      <c r="E1539" s="122" t="n"/>
      <c r="F1539" s="122" t="n"/>
      <c r="G1539" s="122" t="n"/>
      <c r="I1539" s="58" t="n"/>
    </row>
    <row r="1540" ht="15.75" customHeight="1" s="146">
      <c r="D1540" s="122" t="n"/>
      <c r="E1540" s="122" t="n"/>
      <c r="F1540" s="122" t="n"/>
      <c r="G1540" s="122" t="n"/>
      <c r="I1540" s="58" t="n"/>
    </row>
    <row r="1541" ht="15.75" customHeight="1" s="146">
      <c r="D1541" s="122" t="n"/>
      <c r="E1541" s="122" t="n"/>
      <c r="F1541" s="122" t="n"/>
      <c r="G1541" s="122" t="n"/>
      <c r="I1541" s="58" t="n"/>
    </row>
    <row r="1542" ht="15.75" customHeight="1" s="146">
      <c r="C1542" s="122" t="n"/>
      <c r="D1542" s="122" t="n"/>
      <c r="E1542" s="122" t="n"/>
      <c r="F1542" s="122" t="n"/>
      <c r="G1542" s="122" t="n"/>
      <c r="I1542" s="58" t="n"/>
    </row>
    <row r="1543" ht="15.75" customHeight="1" s="146">
      <c r="D1543" s="122" t="n"/>
      <c r="E1543" s="122" t="n"/>
      <c r="F1543" s="122" t="n"/>
      <c r="G1543" s="122" t="n"/>
      <c r="I1543" s="58" t="n"/>
    </row>
    <row r="1544" ht="15.75" customHeight="1" s="146">
      <c r="D1544" s="122" t="n"/>
      <c r="E1544" s="122" t="n"/>
      <c r="F1544" s="122" t="n"/>
      <c r="G1544" s="122" t="n"/>
      <c r="I1544" s="58" t="n"/>
    </row>
    <row r="1545" ht="15.75" customHeight="1" s="146">
      <c r="D1545" s="122" t="n"/>
      <c r="E1545" s="122" t="n"/>
      <c r="F1545" s="122" t="n"/>
      <c r="G1545" s="122" t="n"/>
      <c r="I1545" s="58" t="n"/>
    </row>
    <row r="1546" ht="15.75" customHeight="1" s="146">
      <c r="C1546" s="122" t="n"/>
      <c r="D1546" s="122" t="n"/>
      <c r="E1546" s="122" t="n"/>
      <c r="F1546" s="122" t="n"/>
      <c r="G1546" s="122" t="n"/>
      <c r="I1546" s="58" t="n"/>
    </row>
    <row r="1547" ht="15.75" customHeight="1" s="146">
      <c r="D1547" s="122" t="n"/>
      <c r="E1547" s="122" t="n"/>
      <c r="F1547" s="122" t="n"/>
      <c r="G1547" s="122" t="n"/>
      <c r="I1547" s="58" t="n"/>
    </row>
    <row r="1548" ht="15.75" customHeight="1" s="146"/>
    <row r="1549" ht="15.75" customHeight="1" s="146"/>
    <row r="1550" ht="15.75" customHeight="1" s="146"/>
    <row r="1551" ht="15.75" customHeight="1" s="146"/>
    <row r="1552" ht="15.75" customHeight="1" s="146"/>
    <row r="1553" ht="15.75" customHeight="1" s="146"/>
    <row r="1554" ht="15.75" customHeight="1" s="146"/>
    <row r="1555" ht="15.75" customHeight="1" s="146"/>
    <row r="1556" ht="15.75" customHeight="1" s="146"/>
    <row r="1557" ht="15.75" customHeight="1" s="146"/>
    <row r="1558" ht="15.75" customHeight="1" s="146"/>
    <row r="1559" ht="15.75" customHeight="1" s="146"/>
    <row r="1560" ht="15.75" customHeight="1" s="146"/>
    <row r="1561" ht="15.75" customHeight="1" s="146"/>
    <row r="1562" ht="15.75" customHeight="1" s="146"/>
    <row r="1563" ht="15.75" customHeight="1" s="146"/>
    <row r="1564" ht="15.75" customHeight="1" s="146"/>
    <row r="1565" ht="15.75" customHeight="1" s="146"/>
    <row r="1566" ht="15.75" customHeight="1" s="146"/>
    <row r="1567" ht="15.75" customHeight="1" s="146"/>
    <row r="1568" ht="15.75" customHeight="1" s="146"/>
    <row r="1569" ht="15.75" customHeight="1" s="146"/>
    <row r="1570" ht="15.75" customHeight="1" s="146"/>
    <row r="1571" ht="15.75" customHeight="1" s="146"/>
    <row r="1572" ht="15.75" customHeight="1" s="146"/>
    <row r="1573" ht="15.75" customHeight="1" s="146"/>
    <row r="1574" ht="15.75" customHeight="1" s="146"/>
    <row r="1575" ht="15.75" customHeight="1" s="146"/>
    <row r="1576" ht="15.75" customHeight="1" s="146"/>
    <row r="1577" ht="15.75" customHeight="1" s="146"/>
    <row r="1578" ht="15.75" customHeight="1" s="146"/>
    <row r="1579" ht="15.75" customHeight="1" s="146"/>
    <row r="1580" ht="15.75" customHeight="1" s="146"/>
    <row r="1581" ht="15.75" customHeight="1" s="146"/>
    <row r="1582" ht="15.75" customHeight="1" s="146"/>
    <row r="1583" ht="15.75" customHeight="1" s="146"/>
    <row r="1584" ht="15.75" customHeight="1" s="146"/>
    <row r="1585" ht="15.75" customHeight="1" s="146"/>
    <row r="1586" ht="15.75" customHeight="1" s="146"/>
    <row r="1587" ht="15.75" customHeight="1" s="146"/>
    <row r="1588" ht="15.75" customHeight="1" s="146"/>
    <row r="1589" ht="15.75" customHeight="1" s="146"/>
    <row r="1590" ht="15.75" customHeight="1" s="146"/>
    <row r="1591" ht="15.75" customHeight="1" s="146"/>
    <row r="1592" ht="15.75" customHeight="1" s="146"/>
    <row r="1593" ht="15.75" customHeight="1" s="146"/>
    <row r="1594" ht="15.75" customHeight="1" s="146"/>
    <row r="1595" ht="15.75" customHeight="1" s="146"/>
    <row r="1596" ht="15.75" customHeight="1" s="146"/>
    <row r="1597" ht="15.75" customHeight="1" s="146"/>
    <row r="1598" ht="15.75" customHeight="1" s="146"/>
    <row r="1599" ht="15.75" customHeight="1" s="146"/>
    <row r="1600" ht="15.75" customHeight="1" s="146"/>
    <row r="1601" ht="15.75" customHeight="1" s="146"/>
    <row r="1602" ht="15.75" customHeight="1" s="146"/>
    <row r="1603" ht="15.75" customHeight="1" s="146"/>
    <row r="1604" ht="15.75" customHeight="1" s="146"/>
    <row r="1605" ht="15.75" customHeight="1" s="146"/>
    <row r="1606" ht="15.75" customHeight="1" s="146"/>
    <row r="1607" ht="15.75" customHeight="1" s="146"/>
    <row r="1608" ht="15.75" customHeight="1" s="146"/>
    <row r="1609" ht="15.75" customHeight="1" s="146"/>
    <row r="1610" ht="15.75" customHeight="1" s="146"/>
    <row r="1611" ht="15.75" customHeight="1" s="146"/>
    <row r="1612" ht="15.75" customHeight="1" s="146"/>
    <row r="1613" ht="15.75" customHeight="1" s="146"/>
    <row r="1614" ht="15.75" customHeight="1" s="146"/>
    <row r="1615" ht="15.75" customHeight="1" s="146"/>
    <row r="1616" ht="15.75" customHeight="1" s="146"/>
    <row r="1617" ht="15.75" customHeight="1" s="146"/>
    <row r="1618" ht="15.75" customHeight="1" s="146"/>
    <row r="1619" ht="15.75" customHeight="1" s="146"/>
    <row r="1620" ht="15.75" customHeight="1" s="146"/>
    <row r="1621" ht="15.75" customHeight="1" s="146"/>
    <row r="1622" ht="15.75" customHeight="1" s="146"/>
    <row r="1623" ht="15.75" customHeight="1" s="146"/>
    <row r="1624" ht="15.75" customHeight="1" s="146"/>
    <row r="1625" ht="15.75" customHeight="1" s="146"/>
    <row r="1626" ht="15.75" customHeight="1" s="146"/>
    <row r="1627" ht="15.75" customHeight="1" s="146"/>
    <row r="1628" ht="15.75" customHeight="1" s="146"/>
    <row r="1629" ht="15.75" customHeight="1" s="146"/>
    <row r="1630" ht="15.75" customHeight="1" s="146"/>
    <row r="1631" ht="15.75" customHeight="1" s="146"/>
    <row r="1632" ht="15.75" customHeight="1" s="146"/>
    <row r="1633" ht="15.75" customHeight="1" s="146"/>
    <row r="1634" ht="15.75" customHeight="1" s="146"/>
    <row r="1635" ht="15.75" customHeight="1" s="146"/>
    <row r="1636" ht="15.75" customHeight="1" s="146"/>
    <row r="1637" ht="15.75" customHeight="1" s="146"/>
    <row r="1638" ht="15.75" customHeight="1" s="146"/>
    <row r="1639" ht="15.75" customHeight="1" s="146"/>
    <row r="1640" ht="15.75" customHeight="1" s="146"/>
    <row r="1641" ht="15.75" customHeight="1" s="146"/>
    <row r="1642" ht="15.75" customHeight="1" s="146"/>
    <row r="1643" ht="15.75" customHeight="1" s="146"/>
    <row r="1644" ht="15.75" customHeight="1" s="146"/>
    <row r="1645" ht="15.75" customHeight="1" s="146"/>
    <row r="1646" ht="15.75" customHeight="1" s="146"/>
    <row r="1647" ht="15.75" customHeight="1" s="146"/>
    <row r="1648" ht="15.75" customHeight="1" s="146"/>
    <row r="1649" ht="15.75" customHeight="1" s="146"/>
    <row r="1650" ht="15.75" customHeight="1" s="146"/>
    <row r="1651" ht="15.75" customHeight="1" s="146"/>
    <row r="1652" ht="15.75" customHeight="1" s="146"/>
    <row r="1653" ht="15.75" customHeight="1" s="146"/>
    <row r="1654" ht="15.75" customHeight="1" s="146"/>
    <row r="1655" ht="15.75" customHeight="1" s="146"/>
    <row r="1656" ht="15.75" customHeight="1" s="146"/>
    <row r="1657" ht="15.75" customHeight="1" s="146"/>
    <row r="1658" ht="15.75" customHeight="1" s="146"/>
    <row r="1659" ht="15.75" customHeight="1" s="146"/>
    <row r="1660" ht="15.75" customHeight="1" s="146"/>
    <row r="1661" ht="15.75" customHeight="1" s="146"/>
    <row r="1662" ht="15.75" customHeight="1" s="146"/>
    <row r="1663" ht="15.75" customHeight="1" s="146"/>
    <row r="1664" ht="15.75" customHeight="1" s="146"/>
    <row r="1665" ht="15.75" customHeight="1" s="146"/>
    <row r="1666" ht="15.75" customHeight="1" s="146"/>
    <row r="1667" ht="15.75" customHeight="1" s="146"/>
    <row r="1668" ht="15.75" customHeight="1" s="146"/>
    <row r="1669" ht="15.75" customHeight="1" s="146"/>
    <row r="1670" ht="15.75" customHeight="1" s="146"/>
    <row r="1671" ht="15.75" customHeight="1" s="146"/>
    <row r="1672" ht="15.75" customHeight="1" s="146"/>
    <row r="1673" ht="15.75" customHeight="1" s="146"/>
    <row r="1674" ht="15.75" customHeight="1" s="146"/>
    <row r="1675" ht="15.75" customHeight="1" s="146"/>
    <row r="1676" ht="15.75" customHeight="1" s="146"/>
    <row r="1677" ht="15.75" customHeight="1" s="146"/>
    <row r="1678" ht="15.75" customHeight="1" s="146"/>
    <row r="1679" ht="15.75" customHeight="1" s="146"/>
    <row r="1680" ht="15.75" customHeight="1" s="146"/>
    <row r="1681" ht="15.75" customHeight="1" s="146"/>
    <row r="1682" ht="15.75" customHeight="1" s="146"/>
    <row r="1683" ht="15.75" customHeight="1" s="146"/>
    <row r="1684" ht="15.75" customHeight="1" s="146"/>
    <row r="1685" ht="15.75" customHeight="1" s="146"/>
    <row r="1686" ht="15.75" customHeight="1" s="146"/>
    <row r="1687" ht="15.75" customHeight="1" s="146"/>
    <row r="1688" ht="15.75" customHeight="1" s="146"/>
    <row r="1689" ht="15.75" customHeight="1" s="146"/>
    <row r="1690" ht="15.75" customHeight="1" s="146"/>
    <row r="1691" ht="15.75" customHeight="1" s="146"/>
    <row r="1692" ht="15.75" customHeight="1" s="146"/>
    <row r="1693" ht="15.75" customHeight="1" s="146"/>
    <row r="1694" ht="15.75" customHeight="1" s="146"/>
    <row r="1695" ht="15.75" customHeight="1" s="146"/>
    <row r="1696" ht="15.75" customHeight="1" s="146"/>
    <row r="1697" ht="15.75" customHeight="1" s="146"/>
    <row r="1698" ht="15.75" customHeight="1" s="146"/>
    <row r="1699" ht="15.75" customHeight="1" s="146"/>
    <row r="1700" ht="15.75" customHeight="1" s="146"/>
    <row r="1701" ht="15.75" customHeight="1" s="146"/>
    <row r="1702" ht="15.75" customHeight="1" s="146"/>
    <row r="1703" ht="15.75" customHeight="1" s="146"/>
    <row r="1704" ht="15.75" customHeight="1" s="146"/>
    <row r="1705" ht="15.75" customHeight="1" s="146"/>
    <row r="1706" ht="15.75" customHeight="1" s="146"/>
    <row r="1707" ht="15.75" customHeight="1" s="146"/>
    <row r="1708" ht="15.75" customHeight="1" s="146"/>
    <row r="1709" ht="15.75" customHeight="1" s="146"/>
    <row r="1710" ht="15.75" customHeight="1" s="146"/>
    <row r="1711" ht="15.75" customHeight="1" s="146"/>
    <row r="1712" ht="15.75" customHeight="1" s="146"/>
    <row r="1713" ht="15.75" customHeight="1" s="146"/>
    <row r="1714" ht="15.75" customHeight="1" s="146"/>
    <row r="1715" ht="15.75" customHeight="1" s="146"/>
    <row r="1716" ht="15.75" customHeight="1" s="146"/>
    <row r="1717" ht="15.75" customHeight="1" s="146"/>
    <row r="1718" ht="15.75" customHeight="1" s="146"/>
    <row r="1719" ht="15.75" customHeight="1" s="146"/>
    <row r="1720" ht="15.75" customHeight="1" s="146"/>
    <row r="1721" ht="15.75" customHeight="1" s="146"/>
    <row r="1722" ht="15.75" customHeight="1" s="146"/>
    <row r="1723" ht="15.75" customHeight="1" s="146"/>
    <row r="1724" ht="15.75" customHeight="1" s="146"/>
    <row r="1725" ht="15.75" customHeight="1" s="146"/>
    <row r="1726" ht="15.75" customHeight="1" s="146"/>
    <row r="1727" ht="15.75" customHeight="1" s="146"/>
    <row r="1728" ht="15.75" customHeight="1" s="146"/>
    <row r="1729" ht="15.75" customHeight="1" s="146"/>
    <row r="1730" ht="15.75" customHeight="1" s="146"/>
    <row r="1731" ht="15.75" customHeight="1" s="146"/>
    <row r="1732" ht="15.75" customHeight="1" s="146"/>
    <row r="1733" ht="15.75" customHeight="1" s="146"/>
    <row r="1734" ht="15.75" customHeight="1" s="146"/>
    <row r="1735" ht="15.75" customHeight="1" s="146"/>
    <row r="1736" ht="15.75" customHeight="1" s="146"/>
    <row r="1737" ht="15.75" customHeight="1" s="146"/>
    <row r="1738" ht="15.75" customHeight="1" s="146"/>
    <row r="1739" ht="15.75" customHeight="1" s="146"/>
    <row r="1740" ht="15.75" customHeight="1" s="146"/>
    <row r="1741" ht="15.75" customHeight="1" s="146"/>
    <row r="1742" ht="15.75" customHeight="1" s="146"/>
    <row r="1743" ht="15.75" customHeight="1" s="146"/>
    <row r="1744" ht="15.75" customHeight="1" s="146"/>
    <row r="1745" ht="15.75" customHeight="1" s="146"/>
    <row r="1746" ht="15.75" customHeight="1" s="146"/>
    <row r="1747" ht="15.75" customHeight="1" s="146"/>
    <row r="1748" ht="15.75" customHeight="1" s="146"/>
    <row r="1749" ht="15.75" customHeight="1" s="146"/>
    <row r="1750" ht="15.75" customHeight="1" s="146"/>
    <row r="1751" ht="15.75" customHeight="1" s="146"/>
    <row r="1752" ht="15.75" customHeight="1" s="146"/>
    <row r="1753" ht="15.75" customHeight="1" s="146"/>
    <row r="1754" ht="15.75" customHeight="1" s="146"/>
    <row r="1755" ht="15.75" customHeight="1" s="146"/>
    <row r="1756" ht="15.75" customHeight="1" s="146"/>
    <row r="1757" ht="15.75" customHeight="1" s="146"/>
    <row r="1758" ht="15.75" customHeight="1" s="146"/>
    <row r="1759" ht="15.75" customHeight="1" s="146"/>
    <row r="1760" ht="15.75" customHeight="1" s="146"/>
    <row r="1761" ht="15.75" customHeight="1" s="146"/>
    <row r="1762" ht="15.75" customHeight="1" s="146"/>
    <row r="1763" ht="15.75" customHeight="1" s="146"/>
    <row r="1764" ht="15.75" customHeight="1" s="146"/>
    <row r="1765" ht="15.75" customHeight="1" s="146"/>
    <row r="1766" ht="15.75" customHeight="1" s="146"/>
    <row r="1767" ht="15.75" customHeight="1" s="146"/>
    <row r="1768" ht="15.75" customHeight="1" s="146"/>
    <row r="1769" ht="15.75" customHeight="1" s="146"/>
    <row r="1770" ht="15.75" customHeight="1" s="146"/>
    <row r="1771" ht="15.75" customHeight="1" s="146"/>
    <row r="1772" ht="15.75" customHeight="1" s="146"/>
    <row r="1773" ht="15.75" customHeight="1" s="146"/>
    <row r="1774" ht="15.75" customHeight="1" s="146"/>
    <row r="1775" ht="15.75" customHeight="1" s="146"/>
    <row r="1776" ht="15.75" customHeight="1" s="146"/>
    <row r="1777" ht="15.75" customHeight="1" s="146"/>
    <row r="1778" ht="15.75" customHeight="1" s="146"/>
    <row r="1779" ht="15.75" customHeight="1" s="146"/>
    <row r="1780" ht="15.75" customHeight="1" s="146"/>
    <row r="1781" ht="15.75" customHeight="1" s="146"/>
    <row r="1782" ht="15.75" customHeight="1" s="146"/>
    <row r="1783" ht="15.75" customHeight="1" s="146"/>
    <row r="1784" ht="15.75" customHeight="1" s="146"/>
    <row r="1785" ht="15.75" customHeight="1" s="146"/>
    <row r="1786" ht="15.75" customHeight="1" s="146"/>
    <row r="1787" ht="15.75" customHeight="1" s="146"/>
    <row r="1788" ht="15.75" customHeight="1" s="146"/>
    <row r="1789" ht="15.75" customHeight="1" s="146"/>
    <row r="1790" ht="15.75" customHeight="1" s="146"/>
    <row r="1791" ht="15.75" customHeight="1" s="146"/>
    <row r="1792" ht="15.75" customHeight="1" s="146"/>
    <row r="1793" ht="15.75" customHeight="1" s="146"/>
    <row r="1794" ht="15.75" customHeight="1" s="146"/>
    <row r="1795" ht="15.75" customHeight="1" s="146"/>
    <row r="1796" ht="15.75" customHeight="1" s="146"/>
    <row r="1797" ht="15.75" customHeight="1" s="146"/>
    <row r="1798" ht="15.75" customHeight="1" s="146"/>
    <row r="1799" ht="15.75" customHeight="1" s="146"/>
    <row r="1800" ht="15.75" customHeight="1" s="146"/>
    <row r="1801" ht="15.75" customHeight="1" s="146"/>
    <row r="1802" ht="15.75" customHeight="1" s="146"/>
    <row r="1803" ht="15.75" customHeight="1" s="146"/>
    <row r="1804" ht="15.75" customHeight="1" s="146"/>
    <row r="1805" ht="15.75" customHeight="1" s="146"/>
    <row r="1806" ht="15.75" customHeight="1" s="146"/>
    <row r="1807" ht="15.75" customHeight="1" s="146"/>
    <row r="1808" ht="15.75" customHeight="1" s="146"/>
    <row r="1809" ht="15.75" customHeight="1" s="146"/>
    <row r="1810" ht="15.75" customHeight="1" s="146"/>
    <row r="1811" ht="15.75" customHeight="1" s="146"/>
    <row r="1812" ht="15.75" customHeight="1" s="146"/>
    <row r="1813" ht="15.75" customHeight="1" s="146"/>
    <row r="1814" ht="15.75" customHeight="1" s="146"/>
    <row r="1815" ht="15.75" customHeight="1" s="146"/>
    <row r="1816" ht="15.75" customHeight="1" s="146"/>
    <row r="1817" ht="15.75" customHeight="1" s="146"/>
    <row r="1818" ht="15.75" customHeight="1" s="146"/>
    <row r="1819" ht="15.75" customHeight="1" s="146"/>
    <row r="1820" ht="15.75" customHeight="1" s="146"/>
    <row r="1821" ht="15.75" customHeight="1" s="146"/>
    <row r="1822" ht="15.75" customHeight="1" s="146"/>
    <row r="1823" ht="15.75" customHeight="1" s="146"/>
    <row r="1824" ht="15.75" customHeight="1" s="146"/>
    <row r="1825" ht="15.75" customHeight="1" s="146"/>
    <row r="1826" ht="15.75" customHeight="1" s="146"/>
    <row r="1827" ht="15.75" customHeight="1" s="146"/>
    <row r="1828" ht="15.75" customHeight="1" s="146"/>
    <row r="1829" ht="15.75" customHeight="1" s="146"/>
    <row r="1830" ht="15.75" customHeight="1" s="146"/>
    <row r="1831" ht="15.75" customHeight="1" s="146"/>
    <row r="1832" ht="15.75" customHeight="1" s="146"/>
    <row r="1833" ht="15.75" customHeight="1" s="146"/>
    <row r="1834" ht="15.75" customHeight="1" s="146"/>
    <row r="1835" ht="15.75" customHeight="1" s="146"/>
    <row r="1836" ht="15.75" customHeight="1" s="146"/>
    <row r="1837" ht="15.75" customHeight="1" s="146"/>
    <row r="1838" ht="15.75" customHeight="1" s="146"/>
    <row r="1839" ht="15.75" customHeight="1" s="146"/>
    <row r="1840" ht="15.75" customHeight="1" s="146"/>
    <row r="1841" ht="15.75" customHeight="1" s="146"/>
    <row r="1842" ht="15.75" customHeight="1" s="146"/>
    <row r="1843" ht="15.75" customHeight="1" s="146"/>
    <row r="1844" ht="15.75" customHeight="1" s="146"/>
    <row r="1845" ht="15.75" customHeight="1" s="146"/>
    <row r="1846" ht="15.75" customHeight="1" s="146"/>
    <row r="1847" ht="15.75" customHeight="1" s="146"/>
    <row r="1848" ht="15.75" customHeight="1" s="146"/>
    <row r="1849" ht="15.75" customHeight="1" s="146"/>
    <row r="1850" ht="15.75" customHeight="1" s="146"/>
    <row r="1851" ht="15.75" customHeight="1" s="146"/>
    <row r="1852" ht="15.75" customHeight="1" s="146"/>
    <row r="1853" ht="15.75" customHeight="1" s="146"/>
    <row r="1854" ht="15.75" customHeight="1" s="146"/>
    <row r="1855" ht="15.75" customHeight="1" s="146"/>
    <row r="1856" ht="15.75" customHeight="1" s="146"/>
    <row r="1857" ht="15.75" customHeight="1" s="146"/>
    <row r="1858" ht="15.75" customHeight="1" s="146"/>
    <row r="1859" ht="15.75" customHeight="1" s="146"/>
    <row r="1860" ht="15.75" customHeight="1" s="146"/>
    <row r="1861" ht="15.75" customHeight="1" s="146"/>
    <row r="1862" ht="15.75" customHeight="1" s="146"/>
    <row r="1863" ht="15.75" customHeight="1" s="146"/>
    <row r="1864" ht="15.75" customHeight="1" s="146"/>
    <row r="1865" ht="15.75" customHeight="1" s="146"/>
    <row r="1866" ht="15.75" customHeight="1" s="146"/>
    <row r="1867" ht="15.75" customHeight="1" s="146"/>
    <row r="1868" ht="15.75" customHeight="1" s="146"/>
    <row r="1869" ht="15.75" customHeight="1" s="146"/>
    <row r="1870" ht="15.75" customHeight="1" s="146"/>
    <row r="1871" ht="15.75" customHeight="1" s="146"/>
    <row r="1872" ht="15.75" customHeight="1" s="146"/>
    <row r="1873" ht="15.75" customHeight="1" s="146"/>
    <row r="1874" ht="15.75" customHeight="1" s="146"/>
    <row r="1875" ht="15.75" customHeight="1" s="146"/>
    <row r="1876" ht="15.75" customHeight="1" s="146"/>
    <row r="1877" ht="15.75" customHeight="1" s="146"/>
    <row r="1878" ht="15.75" customHeight="1" s="146"/>
    <row r="1879" ht="15.75" customHeight="1" s="146"/>
    <row r="1880" ht="15.75" customHeight="1" s="146"/>
    <row r="1881" ht="15.75" customHeight="1" s="146"/>
    <row r="1882" ht="15.75" customHeight="1" s="146"/>
    <row r="1883" ht="15.75" customHeight="1" s="146"/>
    <row r="1884" ht="15.75" customHeight="1" s="146"/>
    <row r="1885" ht="15.75" customHeight="1" s="146"/>
    <row r="1886" ht="15.75" customHeight="1" s="146"/>
    <row r="1887" ht="15.75" customHeight="1" s="146"/>
    <row r="1888" ht="15.75" customHeight="1" s="146"/>
    <row r="1889" ht="15.75" customHeight="1" s="146"/>
    <row r="1890" ht="15.75" customHeight="1" s="146"/>
    <row r="1891" ht="15.75" customHeight="1" s="146"/>
    <row r="1892" ht="15.75" customHeight="1" s="146"/>
    <row r="1893" ht="15.75" customHeight="1" s="146"/>
    <row r="1894" ht="15.75" customHeight="1" s="146"/>
    <row r="1895" ht="15.75" customHeight="1" s="146"/>
    <row r="1896" ht="15.75" customHeight="1" s="146"/>
    <row r="1897" ht="15.75" customHeight="1" s="146"/>
    <row r="1898" ht="15.75" customHeight="1" s="146"/>
    <row r="1899" ht="15.75" customHeight="1" s="146"/>
    <row r="1900" ht="15.75" customHeight="1" s="146"/>
    <row r="1901" ht="15.75" customHeight="1" s="146"/>
    <row r="1902" ht="15.75" customHeight="1" s="146"/>
    <row r="1903" ht="15.75" customHeight="1" s="146"/>
    <row r="1904" ht="15.75" customHeight="1" s="146"/>
    <row r="1905" ht="15.75" customHeight="1" s="146"/>
    <row r="1906" ht="15.75" customHeight="1" s="146"/>
    <row r="1907" ht="15.75" customHeight="1" s="146"/>
    <row r="1908" ht="15.75" customHeight="1" s="146"/>
    <row r="1909" ht="15.75" customHeight="1" s="146"/>
    <row r="1910" ht="15.75" customHeight="1" s="146"/>
    <row r="1911" ht="15.75" customHeight="1" s="146"/>
    <row r="1912" ht="15.75" customHeight="1" s="146"/>
    <row r="1913" ht="15.75" customHeight="1" s="146"/>
    <row r="1914" ht="15.75" customHeight="1" s="146"/>
    <row r="1915" ht="15.75" customHeight="1" s="146"/>
    <row r="1916" ht="15.75" customHeight="1" s="146"/>
    <row r="1917" ht="15.75" customHeight="1" s="146"/>
    <row r="1918" ht="15.75" customHeight="1" s="146"/>
    <row r="1919" ht="15.75" customHeight="1" s="146"/>
    <row r="1920" ht="15.75" customHeight="1" s="146"/>
    <row r="1921" ht="15.75" customHeight="1" s="146"/>
    <row r="1922" ht="15.75" customHeight="1" s="146"/>
    <row r="1923" ht="15.75" customHeight="1" s="146"/>
    <row r="1924" ht="15.75" customHeight="1" s="146"/>
    <row r="1925" ht="15.75" customHeight="1" s="146"/>
    <row r="1926" ht="15.75" customHeight="1" s="146"/>
    <row r="1927" ht="15.75" customHeight="1" s="146"/>
    <row r="1928" ht="15.75" customHeight="1" s="146"/>
    <row r="1929" ht="15.75" customHeight="1" s="146"/>
    <row r="1930" ht="15.75" customHeight="1" s="146"/>
    <row r="1931" ht="15.75" customHeight="1" s="146"/>
    <row r="1932" ht="15.75" customHeight="1" s="146"/>
    <row r="1933" ht="15.75" customHeight="1" s="146"/>
    <row r="1934" ht="15.75" customHeight="1" s="146"/>
    <row r="1935" ht="15.75" customHeight="1" s="146"/>
    <row r="1936" ht="15.75" customHeight="1" s="146"/>
    <row r="1937" ht="15.75" customHeight="1" s="146"/>
    <row r="1938" ht="15.75" customHeight="1" s="146"/>
    <row r="1939" ht="15.75" customHeight="1" s="146"/>
    <row r="1940" ht="15.75" customHeight="1" s="146"/>
    <row r="1941" ht="15.75" customHeight="1" s="146"/>
    <row r="1942" ht="15.75" customHeight="1" s="146"/>
    <row r="1943" ht="15.75" customHeight="1" s="146"/>
    <row r="1944" ht="15.75" customHeight="1" s="146"/>
    <row r="1945" ht="15.75" customHeight="1" s="146"/>
    <row r="1946" ht="15.75" customHeight="1" s="146"/>
    <row r="1947" ht="15.75" customHeight="1" s="146"/>
    <row r="1948" ht="15.75" customHeight="1" s="146"/>
    <row r="1949" ht="15.75" customHeight="1" s="146"/>
    <row r="1950" ht="15.75" customHeight="1" s="146"/>
    <row r="1951" ht="15.75" customHeight="1" s="146"/>
    <row r="1952" ht="15.75" customHeight="1" s="146"/>
    <row r="1953" ht="15.75" customHeight="1" s="146"/>
    <row r="1954" ht="15.75" customHeight="1" s="146"/>
    <row r="1955" ht="15.75" customHeight="1" s="146"/>
    <row r="1956" ht="15.75" customHeight="1" s="146"/>
    <row r="1957" ht="15.75" customHeight="1" s="146"/>
    <row r="1958" ht="15.75" customHeight="1" s="146"/>
    <row r="1959" ht="15.75" customHeight="1" s="146"/>
    <row r="1960" ht="15.75" customHeight="1" s="146"/>
    <row r="1961" ht="15.75" customHeight="1" s="146"/>
    <row r="1962" ht="15.75" customHeight="1" s="146"/>
    <row r="1963" ht="15.75" customHeight="1" s="146"/>
    <row r="1964" ht="15.75" customHeight="1" s="146"/>
    <row r="1965" ht="15.75" customHeight="1" s="146"/>
    <row r="1966" ht="15.75" customHeight="1" s="146"/>
    <row r="1967" ht="15.75" customHeight="1" s="146"/>
    <row r="1968" ht="15.75" customHeight="1" s="146"/>
    <row r="1969" ht="15.75" customHeight="1" s="146"/>
    <row r="1970" ht="15.75" customHeight="1" s="146"/>
    <row r="1971" ht="15.75" customHeight="1" s="146"/>
    <row r="1972" ht="15.75" customHeight="1" s="146"/>
    <row r="1973" ht="15.75" customHeight="1" s="146"/>
    <row r="1974" ht="15.75" customHeight="1" s="146"/>
    <row r="1975" ht="15.75" customHeight="1" s="146"/>
    <row r="1976" ht="15.75" customHeight="1" s="146"/>
    <row r="1977" ht="15.75" customHeight="1" s="146"/>
    <row r="1978" ht="15.75" customHeight="1" s="146"/>
    <row r="1979" ht="15.75" customHeight="1" s="146"/>
    <row r="1980" ht="15.75" customHeight="1" s="146"/>
    <row r="1981" ht="15.75" customHeight="1" s="146"/>
    <row r="1982" ht="15.75" customHeight="1" s="146"/>
    <row r="1983" ht="15.75" customHeight="1" s="146"/>
    <row r="1984" ht="15.75" customHeight="1" s="146"/>
    <row r="1985" ht="15.75" customHeight="1" s="146"/>
    <row r="1986" ht="15.75" customHeight="1" s="146"/>
    <row r="1987" ht="15.75" customHeight="1" s="146"/>
    <row r="1988" ht="15.75" customHeight="1" s="146"/>
    <row r="1989" ht="15.75" customHeight="1" s="146"/>
    <row r="1990" ht="15.75" customHeight="1" s="146"/>
    <row r="1991" ht="15.75" customHeight="1" s="146"/>
    <row r="1992" ht="15.75" customHeight="1" s="146"/>
    <row r="1993" ht="15.75" customHeight="1" s="146"/>
    <row r="1994" ht="15.75" customHeight="1" s="146"/>
    <row r="1995" ht="15.75" customHeight="1" s="146"/>
    <row r="1996" ht="15.75" customHeight="1" s="146"/>
    <row r="1997" ht="15.75" customHeight="1" s="146"/>
    <row r="1998" ht="15.75" customHeight="1" s="146"/>
    <row r="1999" ht="15.75" customHeight="1" s="146"/>
    <row r="2000" ht="15.75" customHeight="1" s="146"/>
    <row r="2001" ht="15.75" customHeight="1" s="146"/>
    <row r="2002" ht="15.75" customHeight="1" s="146"/>
    <row r="2003" ht="15.75" customHeight="1" s="146"/>
    <row r="2004" ht="15.75" customHeight="1" s="146"/>
  </sheetData>
  <mergeCells count="3">
    <mergeCell ref="A3:H3"/>
    <mergeCell ref="A2:H2"/>
    <mergeCell ref="A1:H1"/>
  </mergeCells>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tabColor rgb="FFC0392B"/>
    <outlinePr summaryBelow="1" summaryRight="1"/>
    <pageSetUpPr/>
  </sheetPr>
  <dimension ref="A1:AU22"/>
  <sheetViews>
    <sheetView showGridLines="0" zoomScaleNormal="100" workbookViewId="0">
      <selection activeCell="A1" sqref="A1"/>
    </sheetView>
  </sheetViews>
  <sheetFormatPr baseColWidth="10" defaultColWidth="8.6640625" defaultRowHeight="15" customHeight="1"/>
  <cols>
    <col width="8" customWidth="1" style="122" min="1" max="3"/>
    <col hidden="1" width="3" customWidth="1" style="146" min="4" max="4"/>
    <col width="8" customWidth="1" style="122" min="5" max="5"/>
    <col width="13" customWidth="1" style="122" min="6" max="6"/>
    <col hidden="1" width="3" customWidth="1" style="122" min="7" max="8"/>
    <col hidden="1" width="3" customWidth="1" style="146" min="9" max="10"/>
    <col hidden="1" width="3" customWidth="1" style="122" min="11" max="12"/>
    <col hidden="1" width="3" customWidth="1" style="146" min="13" max="17"/>
    <col width="12" customWidth="1" style="122" min="18" max="18"/>
    <col hidden="1" width="3" customWidth="1" style="122" min="19" max="19"/>
    <col hidden="1" width="3" customWidth="1" style="146" min="20" max="20"/>
    <col hidden="1" width="3" customWidth="1" style="122" min="21" max="21"/>
    <col width="34" customWidth="1" style="122" min="22" max="22"/>
    <col width="8" customWidth="1" style="122" min="23" max="24"/>
    <col hidden="1" width="3" customWidth="1" style="146" min="25" max="28"/>
    <col width="8" customWidth="1" style="122" min="29" max="29"/>
    <col hidden="1" width="3" customWidth="1" style="146" min="30" max="32"/>
    <col width="8" customWidth="1" style="122" min="33" max="34"/>
    <col hidden="1" width="3" customWidth="1" style="146" min="35" max="40"/>
    <col width="8" customWidth="1" style="122" min="41" max="42"/>
    <col hidden="1" width="3" customWidth="1" style="146" min="43" max="44"/>
    <col hidden="1" width="3" customWidth="1" style="122" min="45" max="46"/>
    <col hidden="1" width="3" customWidth="1" style="146" min="47" max="47"/>
  </cols>
  <sheetData>
    <row r="1" ht="36" customHeight="1" s="146">
      <c r="A1" s="150" t="inlineStr">
        <is>
          <t>DATA - HSQE EVENTS  |  ROLLING ANNUAL LOG  |  Do not delete rows - append new months below</t>
        </is>
      </c>
    </row>
    <row r="2" ht="30" customHeight="1" s="146">
      <c r="A2" s="149" t="inlineStr">
        <is>
          <t>ROLLING LOG — append new monthly data below existing rows. Do NOT delete previous months. Do NOT re-paste the header row. Monthly Matrix filters by the date range set in Dashboard N1 (start) and O1 (end). Amber alerts = Impact: Opportunity. Red alerts = Impact: Minor, Moderate, or Major.</t>
        </is>
      </c>
    </row>
    <row r="3" ht="30" customHeight="1" s="146">
      <c r="A3" s="148" t="inlineStr">
        <is>
          <t>HOW TO ADD A NEW MONTH: (1) Export HSQE Tracker 2 filtered to the scoring period and Utilities division. (2) Open export in Excel. Select data rows only — no header row. Copy. (3) Click the first empty cell in col A below the last existing row. Paste. Key columns used by matrix: Date Started (F) | Reported By (H) | Impact (R) | DE/FT Name (V) | Resolved (AC).</t>
        </is>
      </c>
    </row>
    <row r="4" ht="30" customHeight="1" s="146">
      <c r="A4" s="107" t="inlineStr">
        <is>
          <t>ID</t>
        </is>
      </c>
      <c r="B4" s="107" t="inlineStr">
        <is>
          <t>Include in stats</t>
        </is>
      </c>
      <c r="C4" s="107" t="inlineStr">
        <is>
          <t>Inspection Title</t>
        </is>
      </c>
      <c r="D4" s="59" t="inlineStr">
        <is>
          <t>Template Name</t>
        </is>
      </c>
      <c r="E4" s="107" t="inlineStr">
        <is>
          <t>Incident Number</t>
        </is>
      </c>
      <c r="F4" s="107" t="inlineStr">
        <is>
          <t>Date Started</t>
        </is>
      </c>
      <c r="G4" s="59" t="inlineStr">
        <is>
          <t>Date Completed</t>
        </is>
      </c>
      <c r="H4" s="107" t="inlineStr">
        <is>
          <t>Reported By</t>
        </is>
      </c>
      <c r="I4" s="59" t="inlineStr">
        <is>
          <t>Division</t>
        </is>
      </c>
      <c r="J4" s="59" t="inlineStr">
        <is>
          <t>Subdivision</t>
        </is>
      </c>
      <c r="K4" s="107" t="inlineStr">
        <is>
          <t>Incident Type</t>
        </is>
      </c>
      <c r="L4" s="107" t="inlineStr">
        <is>
          <t>Incident Subtype</t>
        </is>
      </c>
      <c r="M4" s="59" t="inlineStr">
        <is>
          <t>HSQE Trend Types</t>
        </is>
      </c>
      <c r="N4" s="59" t="inlineStr">
        <is>
          <t>Category</t>
        </is>
      </c>
      <c r="O4" s="59" t="inlineStr">
        <is>
          <t>New Type</t>
        </is>
      </c>
      <c r="P4" s="59" t="inlineStr">
        <is>
          <t>New Subtype</t>
        </is>
      </c>
      <c r="Q4" s="59" t="inlineStr">
        <is>
          <t>New Trend Type</t>
        </is>
      </c>
      <c r="R4" s="107" t="inlineStr">
        <is>
          <t>Impact</t>
        </is>
      </c>
      <c r="S4" s="59" t="inlineStr">
        <is>
          <t>Potential Impact</t>
        </is>
      </c>
      <c r="T4" s="59" t="inlineStr">
        <is>
          <t>Report Detail</t>
        </is>
      </c>
      <c r="U4" s="107" t="inlineStr">
        <is>
          <t>FT Involved</t>
        </is>
      </c>
      <c r="V4" s="107" t="inlineStr">
        <is>
          <t>DE/FT Name</t>
        </is>
      </c>
      <c r="W4" s="107" t="inlineStr">
        <is>
          <t>Divisional Manager</t>
        </is>
      </c>
      <c r="X4" s="107" t="inlineStr">
        <is>
          <t>Client</t>
        </is>
      </c>
      <c r="Y4" s="59" t="inlineStr">
        <is>
          <t>Site / Location</t>
        </is>
      </c>
      <c r="Z4" s="59" t="inlineStr">
        <is>
          <t>Region</t>
        </is>
      </c>
      <c r="AA4" s="59" t="inlineStr">
        <is>
          <t>Route</t>
        </is>
      </c>
      <c r="AB4" s="59" t="inlineStr">
        <is>
          <t>GPS Location</t>
        </is>
      </c>
      <c r="AC4" s="107" t="inlineStr">
        <is>
          <t>Resolved</t>
        </is>
      </c>
      <c r="AD4" s="59" t="inlineStr">
        <is>
          <t>HSQE Representative/s</t>
        </is>
      </c>
      <c r="AE4" s="59" t="inlineStr">
        <is>
          <t>Investigation Owners</t>
        </is>
      </c>
      <c r="AF4" s="59" t="inlineStr">
        <is>
          <t>Reference Number</t>
        </is>
      </c>
      <c r="AG4" s="107" t="inlineStr">
        <is>
          <t>Lost Time</t>
        </is>
      </c>
      <c r="AH4" s="107" t="inlineStr">
        <is>
          <t>Investigation Completed</t>
        </is>
      </c>
      <c r="AI4" s="59" t="inlineStr">
        <is>
          <t>Email this incident to</t>
        </is>
      </c>
      <c r="AJ4" s="59" t="inlineStr">
        <is>
          <t>Communications Sent</t>
        </is>
      </c>
      <c r="AK4" s="59" t="inlineStr">
        <is>
          <t>Send Email</t>
        </is>
      </c>
      <c r="AL4" s="59" t="inlineStr">
        <is>
          <t>Notified Client</t>
        </is>
      </c>
      <c r="AM4" s="59" t="inlineStr">
        <is>
          <t>Extra Works</t>
        </is>
      </c>
      <c r="AN4" s="59" t="inlineStr">
        <is>
          <t>FIxed Price in £</t>
        </is>
      </c>
      <c r="AO4" s="107" t="inlineStr">
        <is>
          <t>Notes</t>
        </is>
      </c>
      <c r="AP4" s="107" t="inlineStr">
        <is>
          <t>Riddor Reference</t>
        </is>
      </c>
      <c r="AQ4" s="59" t="inlineStr">
        <is>
          <t>Created</t>
        </is>
      </c>
      <c r="AR4" s="59" t="inlineStr">
        <is>
          <t>Injury Information</t>
        </is>
      </c>
      <c r="AS4" s="60" t="inlineStr">
        <is>
          <t>GC Division</t>
        </is>
      </c>
      <c r="AT4" s="59" t="inlineStr">
        <is>
          <t>GC Division: Business Unit Group</t>
        </is>
      </c>
      <c r="AU4" s="59" t="inlineStr">
        <is>
          <t>Time Taken</t>
        </is>
      </c>
    </row>
    <row r="5" ht="18" customHeight="1" s="146">
      <c r="A5" s="151" t="inlineStr">
        <is>
          <t>FIRST PASTE: click A6.  SUBSEQUENT MONTHS: click first empty row in col A below last entry.</t>
        </is>
      </c>
      <c r="B5" s="119" t="n"/>
      <c r="C5" s="119" t="n"/>
      <c r="D5" s="119" t="n"/>
      <c r="E5" s="119" t="n"/>
      <c r="F5" s="119" t="n"/>
      <c r="G5" s="119" t="n"/>
      <c r="H5" s="119" t="n"/>
      <c r="I5" s="119" t="n"/>
      <c r="J5" s="119" t="n"/>
      <c r="K5" s="119" t="n"/>
      <c r="L5" s="119" t="n"/>
      <c r="M5" s="119" t="n"/>
      <c r="N5" s="119" t="n"/>
      <c r="O5" s="119" t="n"/>
      <c r="P5" s="119" t="n"/>
      <c r="Q5" s="119" t="n"/>
      <c r="R5" s="119" t="n"/>
      <c r="S5" s="119" t="n"/>
      <c r="T5" s="119" t="n"/>
      <c r="U5" s="119" t="n"/>
      <c r="V5" s="119" t="n"/>
      <c r="W5" s="119" t="n"/>
      <c r="X5" s="119" t="n"/>
      <c r="Y5" s="119" t="n"/>
      <c r="Z5" s="119" t="n"/>
      <c r="AA5" s="119" t="n"/>
      <c r="AB5" s="119" t="n"/>
      <c r="AC5" s="119" t="n"/>
      <c r="AD5" s="119" t="n"/>
      <c r="AE5" s="119" t="n"/>
      <c r="AF5" s="119" t="n"/>
      <c r="AG5" s="119" t="n"/>
      <c r="AH5" s="119" t="n"/>
      <c r="AI5" s="119" t="n"/>
      <c r="AJ5" s="119" t="n"/>
      <c r="AK5" s="119" t="n"/>
      <c r="AL5" s="119" t="n"/>
      <c r="AM5" s="119" t="n"/>
      <c r="AN5" s="119" t="n"/>
      <c r="AO5" s="119" t="n"/>
      <c r="AP5" s="119" t="n"/>
      <c r="AQ5" s="119" t="n"/>
      <c r="AR5" s="119" t="n"/>
      <c r="AS5" s="119" t="n"/>
      <c r="AT5" s="119" t="n"/>
      <c r="AU5" s="152" t="n"/>
    </row>
    <row r="6" ht="18" customHeight="1" s="146">
      <c r="A6" s="122" t="inlineStr">
        <is>
          <t>39830</t>
        </is>
      </c>
      <c r="B6" s="122" t="inlineStr">
        <is>
          <t>Yes</t>
        </is>
      </c>
      <c r="C6" s="122" t="inlineStr">
        <is>
          <t>5 May 2026 / Benet Jones</t>
        </is>
      </c>
      <c r="D6" s="122" t="inlineStr">
        <is>
          <t>AMBER ALERT - GC MANAGERS - RMS/044</t>
        </is>
      </c>
      <c r="E6" s="122" t="inlineStr">
        <is>
          <t>INC39830</t>
        </is>
      </c>
      <c r="F6" s="57" t="inlineStr">
        <is>
          <t>05/05/2026</t>
        </is>
      </c>
      <c r="G6" s="57" t="inlineStr">
        <is>
          <t>05/05/2026</t>
        </is>
      </c>
      <c r="H6" s="122" t="inlineStr">
        <is>
          <t>Benet Jones</t>
        </is>
      </c>
      <c r="I6" s="122" t="inlineStr">
        <is>
          <t>Infrastructure &amp; Utilities</t>
        </is>
      </c>
      <c r="J6" s="122" t="inlineStr">
        <is>
          <t>NGED</t>
        </is>
      </c>
      <c r="K6" s="122" t="inlineStr">
        <is>
          <t>Hazard</t>
        </is>
      </c>
      <c r="L6" s="122" t="inlineStr">
        <is>
          <t>Health &amp; Safety</t>
        </is>
      </c>
      <c r="M6" s="122" t="inlineStr">
        <is>
          <t>Electrical</t>
        </is>
      </c>
      <c r="N6" s="122" t="inlineStr">
        <is>
          <t>Hazard / Close Call</t>
        </is>
      </c>
      <c r="O6" s="122" t="inlineStr">
        <is>
          <t>Health &amp; Safety</t>
        </is>
      </c>
      <c r="P6" s="122" t="inlineStr">
        <is>
          <t>Injury</t>
        </is>
      </c>
      <c r="Q6" s="122" t="inlineStr">
        <is>
          <t>Electrocution</t>
        </is>
      </c>
      <c r="R6" s="122" t="inlineStr">
        <is>
          <t>Opportunity</t>
        </is>
      </c>
      <c r="S6" s="122" t="inlineStr">
        <is>
          <t>Minor</t>
        </is>
      </c>
      <c r="T6" s="122" t="inlineStr">
        <is>
          <t>Surveying and came across a pole with a small ladder against it and objects attached to it</t>
        </is>
      </c>
      <c r="U6" s="122" t="inlineStr">
        <is>
          <t>No</t>
        </is>
      </c>
      <c r="V6" s="122" t="inlineStr">
        <is>
          <t>N/A</t>
        </is>
      </c>
      <c r="W6" s="122" t="inlineStr">
        <is>
          <t>Benet jones</t>
        </is>
      </c>
      <c r="X6" t="inlineStr">
        <is>
          <t>3308 : National Grid Electricity Distribution plc</t>
        </is>
      </c>
      <c r="Y6" s="46" t="inlineStr">
        <is>
          <t>Site Name: 
Project Name: 
ELR:
W3W: ///damp.left.fats
Junction: 
RCC: 
Structure: 
Description:Small caravan living area</t>
        </is>
      </c>
      <c r="Z6" s="122" t="inlineStr">
        <is>
          <t>Coventry / Warwick</t>
        </is>
      </c>
      <c r="AA6" s="122" t="inlineStr">
        <is>
          <t>N/A</t>
        </is>
      </c>
      <c r="AB6" s="46" t="inlineStr">
        <is>
          <t>Sherbourne Residences Block, 3 Scarman Rd, Coventry CV4 7ES, UK</t>
        </is>
      </c>
      <c r="AC6" s="122" t="inlineStr">
        <is>
          <t>Yes</t>
        </is>
      </c>
      <c r="AD6" t="inlineStr"/>
      <c r="AE6" t="inlineStr"/>
      <c r="AF6" t="inlineStr"/>
      <c r="AG6" s="122" t="inlineStr">
        <is>
          <t>0</t>
        </is>
      </c>
      <c r="AH6" s="122" t="inlineStr">
        <is>
          <t>N/A</t>
        </is>
      </c>
      <c r="AI6" s="122" t="inlineStr">
        <is>
          <t>James Angus;Rory Chisholm;Richard Moses;Emily Eva</t>
        </is>
      </c>
      <c r="AJ6" s="122" t="inlineStr">
        <is>
          <t>Yes</t>
        </is>
      </c>
      <c r="AK6" t="inlineStr"/>
      <c r="AL6" s="122" t="inlineStr">
        <is>
          <t>N/A</t>
        </is>
      </c>
      <c r="AM6" s="122" t="inlineStr">
        <is>
          <t>No</t>
        </is>
      </c>
      <c r="AN6" s="122" t="inlineStr">
        <is>
          <t>£0.00</t>
        </is>
      </c>
      <c r="AO6" s="46" t="inlineStr">
        <is>
          <t>Actions Taken: Raising Amber alert to bring awareness 
Actions RaisedNone
SC Notes: None</t>
        </is>
      </c>
      <c r="AP6" s="122" t="inlineStr">
        <is>
          <t>N/A</t>
        </is>
      </c>
      <c r="AQ6" s="57" t="inlineStr">
        <is>
          <t>05/05/2026 08:14</t>
        </is>
      </c>
      <c r="AR6" t="inlineStr"/>
      <c r="AS6" s="122" t="inlineStr">
        <is>
          <t>NGED</t>
        </is>
      </c>
      <c r="AT6" s="122" t="inlineStr">
        <is>
          <t>Infrastructure &amp; Utilities</t>
        </is>
      </c>
      <c r="AU6" s="122" t="inlineStr">
        <is>
          <t>2</t>
        </is>
      </c>
    </row>
    <row r="7" ht="18" customHeight="1" s="146">
      <c r="A7" s="122" t="inlineStr">
        <is>
          <t>39832</t>
        </is>
      </c>
      <c r="B7" s="122" t="inlineStr">
        <is>
          <t>Yes</t>
        </is>
      </c>
      <c r="C7" s="122" t="inlineStr">
        <is>
          <t>5 May 2026 / Daniel Hackett</t>
        </is>
      </c>
      <c r="D7" s="122" t="inlineStr">
        <is>
          <t>AMBER ALERT - GC MANAGERS - RMS/044</t>
        </is>
      </c>
      <c r="E7" s="122" t="inlineStr">
        <is>
          <t>INC39832</t>
        </is>
      </c>
      <c r="F7" s="57" t="inlineStr">
        <is>
          <t>05/05/2026</t>
        </is>
      </c>
      <c r="G7" s="57" t="inlineStr">
        <is>
          <t>05/05/2026</t>
        </is>
      </c>
      <c r="H7" s="122" t="inlineStr">
        <is>
          <t>Daniel Hackett</t>
        </is>
      </c>
      <c r="I7" s="122" t="inlineStr">
        <is>
          <t>Infrastructure &amp; Utilities</t>
        </is>
      </c>
      <c r="J7" s="122" t="inlineStr">
        <is>
          <t>NGED</t>
        </is>
      </c>
      <c r="K7" s="122" t="inlineStr">
        <is>
          <t>Hazard</t>
        </is>
      </c>
      <c r="L7" s="122" t="inlineStr">
        <is>
          <t>Health &amp; Safety</t>
        </is>
      </c>
      <c r="M7" s="122" t="inlineStr">
        <is>
          <t>Damaged Asset</t>
        </is>
      </c>
      <c r="N7" s="122" t="inlineStr">
        <is>
          <t>Hazard / Close Call</t>
        </is>
      </c>
      <c r="O7" s="122" t="inlineStr">
        <is>
          <t>Property &amp; Infrastructure</t>
        </is>
      </c>
      <c r="P7" s="122" t="inlineStr">
        <is>
          <t>Asset / Tool Damage</t>
        </is>
      </c>
      <c r="Q7" s="122" t="inlineStr">
        <is>
          <t>Customer Asset Damage</t>
        </is>
      </c>
      <c r="R7" s="122" t="inlineStr">
        <is>
          <t>Opportunity</t>
        </is>
      </c>
      <c r="S7" s="122" t="inlineStr">
        <is>
          <t>Minor</t>
        </is>
      </c>
      <c r="T7" s="46" t="inlineStr">
        <is>
          <t xml:space="preserve">Surveying pole XFE50 on Southam 930060/0005 and reporting a heavy left lean on pole. </t>
        </is>
      </c>
      <c r="U7" t="inlineStr">
        <is>
          <t>No</t>
        </is>
      </c>
      <c r="V7" s="122" t="inlineStr">
        <is>
          <t>N/A</t>
        </is>
      </c>
      <c r="W7" t="inlineStr">
        <is>
          <t>NGED</t>
        </is>
      </c>
      <c r="X7" s="122" t="inlineStr">
        <is>
          <t>3308 : National Grid Electricity Distribution plc</t>
        </is>
      </c>
      <c r="Y7" s="46" t="inlineStr">
        <is>
          <t>Site Name: 
Project Name: 
ELR:
W3W: ///defrost.nuance.detergent
Junction: 
RCC: 
Structure: 
Description:As above. Pole XFE50, Southam 0005</t>
        </is>
      </c>
      <c r="Z7" s="122" t="inlineStr">
        <is>
          <t>Coventry / Warwick</t>
        </is>
      </c>
      <c r="AA7" s="122" t="inlineStr">
        <is>
          <t>N/A</t>
        </is>
      </c>
      <c r="AB7" t="inlineStr">
        <is>
          <t>Welsh Rd E, Southam CV47 1NB, UK</t>
        </is>
      </c>
      <c r="AC7" s="122" t="inlineStr">
        <is>
          <t>Yes</t>
        </is>
      </c>
      <c r="AD7" t="inlineStr"/>
      <c r="AE7" t="inlineStr"/>
      <c r="AF7" t="inlineStr"/>
      <c r="AG7" s="122" t="inlineStr">
        <is>
          <t>0</t>
        </is>
      </c>
      <c r="AH7" s="122" t="inlineStr">
        <is>
          <t>N/A</t>
        </is>
      </c>
      <c r="AI7" s="122" t="inlineStr">
        <is>
          <t>James Angus;Rory Chisholm;Richard Moses;Emily Eva</t>
        </is>
      </c>
      <c r="AJ7" s="122" t="inlineStr">
        <is>
          <t>Yes</t>
        </is>
      </c>
      <c r="AK7" t="inlineStr"/>
      <c r="AL7" s="122" t="inlineStr">
        <is>
          <t>N/A</t>
        </is>
      </c>
      <c r="AM7" s="122" t="inlineStr">
        <is>
          <t>No</t>
        </is>
      </c>
      <c r="AN7" s="122" t="inlineStr">
        <is>
          <t>£0.00</t>
        </is>
      </c>
      <c r="AO7" s="46" t="inlineStr">
        <is>
          <t>Actions Taken: Reported to CDM
Actions RaisedNone
SC Notes: None</t>
        </is>
      </c>
      <c r="AP7" s="122" t="inlineStr">
        <is>
          <t>N/A</t>
        </is>
      </c>
      <c r="AQ7" s="57" t="inlineStr">
        <is>
          <t>05/05/2026 09:58</t>
        </is>
      </c>
      <c r="AR7" t="inlineStr"/>
      <c r="AS7" s="122" t="inlineStr">
        <is>
          <t>NGED</t>
        </is>
      </c>
      <c r="AT7" s="122" t="inlineStr">
        <is>
          <t>Infrastructure &amp; Utilities</t>
        </is>
      </c>
      <c r="AU7" s="122" t="inlineStr">
        <is>
          <t>4</t>
        </is>
      </c>
    </row>
    <row r="8" ht="18" customHeight="1" s="146">
      <c r="A8" s="122" t="inlineStr">
        <is>
          <t>39840</t>
        </is>
      </c>
      <c r="B8" s="122" t="inlineStr">
        <is>
          <t>Yes</t>
        </is>
      </c>
      <c r="C8" s="122" t="inlineStr">
        <is>
          <t>30 Apr 2026 / William Heneage</t>
        </is>
      </c>
      <c r="D8" s="122" t="inlineStr">
        <is>
          <t>AMBER ALERT - GC MANAGERS - RMS/044</t>
        </is>
      </c>
      <c r="E8" s="122" t="inlineStr">
        <is>
          <t>INC39840</t>
        </is>
      </c>
      <c r="F8" s="57" t="inlineStr">
        <is>
          <t>05/05/2026</t>
        </is>
      </c>
      <c r="G8" s="57" t="inlineStr">
        <is>
          <t>05/05/2026</t>
        </is>
      </c>
      <c r="H8" s="122" t="inlineStr">
        <is>
          <t>William Heneage</t>
        </is>
      </c>
      <c r="I8" s="122" t="inlineStr">
        <is>
          <t>Infrastructure &amp; Utilities</t>
        </is>
      </c>
      <c r="J8" s="122" t="inlineStr">
        <is>
          <t>SSE</t>
        </is>
      </c>
      <c r="K8" s="122" t="inlineStr">
        <is>
          <t>Hazard</t>
        </is>
      </c>
      <c r="L8" s="122" t="inlineStr">
        <is>
          <t>Health &amp; Safety</t>
        </is>
      </c>
      <c r="M8" s="122" t="inlineStr">
        <is>
          <t>Vehicle</t>
        </is>
      </c>
      <c r="N8" s="122" t="inlineStr">
        <is>
          <t>Hazard / Close Call</t>
        </is>
      </c>
      <c r="O8" s="122" t="inlineStr">
        <is>
          <t>Fleet</t>
        </is>
      </c>
      <c r="P8" s="122" t="inlineStr">
        <is>
          <t>Road Traffic Incident - Non Motorway</t>
        </is>
      </c>
      <c r="Q8" s="122" t="inlineStr">
        <is>
          <t>Field Team Vehicle RTI</t>
        </is>
      </c>
      <c r="R8" s="122" t="inlineStr">
        <is>
          <t>Opportunity</t>
        </is>
      </c>
      <c r="S8" s="122" t="inlineStr">
        <is>
          <t>Minor</t>
        </is>
      </c>
      <c r="T8" s="122" t="inlineStr">
        <is>
          <t>Right side Tow behind Chipper indicator broken</t>
        </is>
      </c>
      <c r="U8" s="122" t="inlineStr">
        <is>
          <t>Yes</t>
        </is>
      </c>
      <c r="V8" s="122" t="inlineStr">
        <is>
          <t>7397 Brinksworth Tree Services Ltd</t>
        </is>
      </c>
      <c r="W8" s="122" t="inlineStr">
        <is>
          <t>Wil Heneage</t>
        </is>
      </c>
      <c r="X8" s="122" t="inlineStr">
        <is>
          <t>3086 : SSE CONTRACTING</t>
        </is>
      </c>
      <c r="Y8" s="46" t="inlineStr">
        <is>
          <t>Site Name: 
Project Name: 
ELR:
W3W: anyone.fiery.recently
Junction: 
RCC: 
Structure: 
Description:With in Lane closure on A303</t>
        </is>
      </c>
      <c r="Z8" s="122" t="inlineStr">
        <is>
          <t>Salisbury</t>
        </is>
      </c>
      <c r="AA8" s="122" t="inlineStr">
        <is>
          <t>N/A</t>
        </is>
      </c>
      <c r="AB8" s="46" t="inlineStr">
        <is>
          <t>A303, United Kingdom
(51.1940266, -1.6532123)</t>
        </is>
      </c>
      <c r="AC8" s="122" t="inlineStr">
        <is>
          <t>Yes</t>
        </is>
      </c>
      <c r="AD8" t="inlineStr"/>
      <c r="AE8" t="inlineStr"/>
      <c r="AF8" t="inlineStr"/>
      <c r="AG8" s="122" t="inlineStr">
        <is>
          <t>0</t>
        </is>
      </c>
      <c r="AH8" s="122" t="inlineStr">
        <is>
          <t>N/A</t>
        </is>
      </c>
      <c r="AI8" s="122" t="inlineStr">
        <is>
          <t>James Angus;Rory Chisholm;Richard Moses;Emily Eva</t>
        </is>
      </c>
      <c r="AJ8" s="122" t="inlineStr">
        <is>
          <t>Yes</t>
        </is>
      </c>
      <c r="AK8" t="inlineStr"/>
      <c r="AL8" s="122" t="inlineStr">
        <is>
          <t>N/A</t>
        </is>
      </c>
      <c r="AM8" s="122" t="inlineStr">
        <is>
          <t>No</t>
        </is>
      </c>
      <c r="AN8" s="122" t="inlineStr">
        <is>
          <t>£0.00</t>
        </is>
      </c>
      <c r="AO8" s="46" t="inlineStr">
        <is>
          <t>Actions Taken: Team to replace ASAP
Actions RaisedNone
SC Notes: None</t>
        </is>
      </c>
      <c r="AP8" s="122" t="inlineStr">
        <is>
          <t>N/A</t>
        </is>
      </c>
      <c r="AQ8" s="57" t="inlineStr">
        <is>
          <t>05/05/2026 10:43</t>
        </is>
      </c>
      <c r="AR8" t="inlineStr"/>
      <c r="AS8" s="122" t="inlineStr">
        <is>
          <t>SSE</t>
        </is>
      </c>
      <c r="AT8" s="122" t="inlineStr">
        <is>
          <t>Infrastructure &amp; Utilities</t>
        </is>
      </c>
      <c r="AU8" s="122" t="inlineStr">
        <is>
          <t>5</t>
        </is>
      </c>
    </row>
    <row r="9" ht="18" customHeight="1" s="146">
      <c r="A9" s="122" t="inlineStr">
        <is>
          <t>39841</t>
        </is>
      </c>
      <c r="B9" s="122" t="inlineStr">
        <is>
          <t>Yes</t>
        </is>
      </c>
      <c r="C9" s="122" t="inlineStr">
        <is>
          <t>5 May 2026 / Daniel Hackett</t>
        </is>
      </c>
      <c r="D9" s="122" t="inlineStr">
        <is>
          <t>AMBER ALERT - GC MANAGERS - RMS/044</t>
        </is>
      </c>
      <c r="E9" s="122" t="inlineStr">
        <is>
          <t>INC39841</t>
        </is>
      </c>
      <c r="F9" s="57" t="inlineStr">
        <is>
          <t>05/05/2026</t>
        </is>
      </c>
      <c r="G9" s="57" t="inlineStr">
        <is>
          <t>05/05/2026</t>
        </is>
      </c>
      <c r="H9" s="122" t="inlineStr">
        <is>
          <t>Daniel Hackett</t>
        </is>
      </c>
      <c r="I9" s="122" t="inlineStr">
        <is>
          <t>Infrastructure &amp; Utilities</t>
        </is>
      </c>
      <c r="J9" s="122" t="inlineStr">
        <is>
          <t>NGED</t>
        </is>
      </c>
      <c r="K9" s="122" t="inlineStr">
        <is>
          <t>Hazard</t>
        </is>
      </c>
      <c r="L9" s="122" t="inlineStr">
        <is>
          <t>Health &amp; Safety</t>
        </is>
      </c>
      <c r="M9" s="122" t="inlineStr">
        <is>
          <t>Damaged Asset</t>
        </is>
      </c>
      <c r="N9" s="122" t="inlineStr">
        <is>
          <t>Hazard / Close Call</t>
        </is>
      </c>
      <c r="O9" s="122" t="inlineStr">
        <is>
          <t>Property &amp; Infrastructure</t>
        </is>
      </c>
      <c r="P9" s="122" t="inlineStr">
        <is>
          <t>Asset / Tool Damage</t>
        </is>
      </c>
      <c r="Q9" s="122" t="inlineStr">
        <is>
          <t>Customer Asset Damage</t>
        </is>
      </c>
      <c r="R9" s="122" t="inlineStr">
        <is>
          <t>Opportunity</t>
        </is>
      </c>
      <c r="S9" s="122" t="inlineStr">
        <is>
          <t>Minor</t>
        </is>
      </c>
      <c r="T9" s="46" t="inlineStr">
        <is>
          <t xml:space="preserve">Surveying on Southam 930060/0005. Pole XFEH3 has heavy lean to left. </t>
        </is>
      </c>
      <c r="U9" t="inlineStr">
        <is>
          <t>No</t>
        </is>
      </c>
      <c r="V9" s="122" t="inlineStr">
        <is>
          <t>N/A</t>
        </is>
      </c>
      <c r="W9" t="inlineStr">
        <is>
          <t>NGED</t>
        </is>
      </c>
      <c r="X9" s="122" t="inlineStr">
        <is>
          <t>3308 : National Grid Electricity Distribution plc</t>
        </is>
      </c>
      <c r="Y9" s="46" t="inlineStr">
        <is>
          <t>Site Name: 
Project Name: 
ELR:
W3W: ///pavement.bonus.musically
Junction: 
RCC: 
Structure: 
Description:As per above info.
///pavement.bonus.musically
Pole XFEH3, Southam 0005</t>
        </is>
      </c>
      <c r="Z9" s="122" t="inlineStr">
        <is>
          <t>Coventry / Warwick</t>
        </is>
      </c>
      <c r="AA9" s="122" t="inlineStr">
        <is>
          <t>N/A</t>
        </is>
      </c>
      <c r="AB9" t="inlineStr">
        <is>
          <t>Napton Holt/Holt Rd, Southam CV47 1AJ, UK</t>
        </is>
      </c>
      <c r="AC9" s="122" t="inlineStr">
        <is>
          <t>No</t>
        </is>
      </c>
      <c r="AD9" t="inlineStr"/>
      <c r="AE9" t="inlineStr"/>
      <c r="AF9" t="inlineStr"/>
      <c r="AG9" s="122" t="inlineStr">
        <is>
          <t>0</t>
        </is>
      </c>
      <c r="AH9" s="122" t="inlineStr">
        <is>
          <t>Allocation</t>
        </is>
      </c>
      <c r="AI9" s="122" t="inlineStr">
        <is>
          <t>James Angus;Rory Chisholm;Richard Moses;Emily Eva</t>
        </is>
      </c>
      <c r="AJ9" s="122" t="inlineStr">
        <is>
          <t>Yes</t>
        </is>
      </c>
      <c r="AK9" t="inlineStr"/>
      <c r="AL9" s="122" t="inlineStr">
        <is>
          <t>N/A</t>
        </is>
      </c>
      <c r="AM9" s="122" t="inlineStr">
        <is>
          <t>No</t>
        </is>
      </c>
      <c r="AN9" s="122" t="inlineStr">
        <is>
          <t>£0.00</t>
        </is>
      </c>
      <c r="AO9" s="46" t="inlineStr">
        <is>
          <t>Actions Taken: Informed CDM
Actions RaisedNone
SC Notes: None</t>
        </is>
      </c>
      <c r="AP9" s="122" t="inlineStr">
        <is>
          <t>N/A</t>
        </is>
      </c>
      <c r="AQ9" s="57" t="inlineStr">
        <is>
          <t>05/05/2026 10:45</t>
        </is>
      </c>
      <c r="AR9" t="inlineStr"/>
      <c r="AS9" s="122" t="inlineStr">
        <is>
          <t>NGED</t>
        </is>
      </c>
      <c r="AT9" s="122" t="inlineStr">
        <is>
          <t>Infrastructure &amp; Utilities</t>
        </is>
      </c>
      <c r="AU9" s="122" t="inlineStr">
        <is>
          <t>2</t>
        </is>
      </c>
    </row>
    <row r="10" ht="18" customHeight="1" s="146">
      <c r="A10" s="122" t="inlineStr">
        <is>
          <t>39846</t>
        </is>
      </c>
      <c r="B10" s="122" t="inlineStr">
        <is>
          <t>Yes</t>
        </is>
      </c>
      <c r="C10" s="122" t="inlineStr">
        <is>
          <t>5 May 2026 / 3199 Lincolnshire Hardwoods Ltd</t>
        </is>
      </c>
      <c r="D10" s="122" t="inlineStr">
        <is>
          <t>AMBER ALERT - GC TEAMS - RMS/053</t>
        </is>
      </c>
      <c r="E10" s="122" t="inlineStr">
        <is>
          <t>INC39846</t>
        </is>
      </c>
      <c r="F10" s="57" t="inlineStr">
        <is>
          <t>05/05/2026</t>
        </is>
      </c>
      <c r="G10" s="57" t="inlineStr">
        <is>
          <t>05/05/2026</t>
        </is>
      </c>
      <c r="H10" s="122" t="inlineStr">
        <is>
          <t>3199 Lincolnshire Hardwoods Ltd</t>
        </is>
      </c>
      <c r="I10" s="122" t="inlineStr">
        <is>
          <t>Infrastructure &amp; Utilities</t>
        </is>
      </c>
      <c r="J10" s="122" t="inlineStr">
        <is>
          <t>NGED</t>
        </is>
      </c>
      <c r="K10" s="122" t="inlineStr">
        <is>
          <t>Hazard</t>
        </is>
      </c>
      <c r="L10" s="122" t="inlineStr">
        <is>
          <t>Health &amp; Safety</t>
        </is>
      </c>
      <c r="M10" s="122" t="inlineStr">
        <is>
          <t>Vegetation</t>
        </is>
      </c>
      <c r="N10" s="122" t="inlineStr">
        <is>
          <t>Hazard / Close Call</t>
        </is>
      </c>
      <c r="O10" s="122" t="inlineStr">
        <is>
          <t>Ecology &amp; Vegetation</t>
        </is>
      </c>
      <c r="P10" s="122" t="inlineStr">
        <is>
          <t>Flora</t>
        </is>
      </c>
      <c r="Q10" s="122" t="inlineStr">
        <is>
          <t>Vegetation</t>
        </is>
      </c>
      <c r="R10" s="122" t="inlineStr">
        <is>
          <t>Opportunity</t>
        </is>
      </c>
      <c r="S10" s="122" t="inlineStr">
        <is>
          <t>Minor</t>
        </is>
      </c>
      <c r="T10" s="122" t="inlineStr">
        <is>
          <t>Large amounts of thorn/bramble on site</t>
        </is>
      </c>
      <c r="U10" s="122" t="inlineStr">
        <is>
          <t>Yes</t>
        </is>
      </c>
      <c r="V10" s="122" t="inlineStr">
        <is>
          <t>3199 Lincolnshire Hardwoods Ltd</t>
        </is>
      </c>
      <c r="W10" s="122" t="inlineStr">
        <is>
          <t>V ivins</t>
        </is>
      </c>
      <c r="X10" s="122" t="inlineStr">
        <is>
          <t>3308 : National Grid Electricity Distribution plc</t>
        </is>
      </c>
      <c r="Y10" s="46" t="inlineStr">
        <is>
          <t>Site Name: Denton reactive
Project Name: 
ELR:
W3W: 
Junction: 
RCC: 
Structure: 
Description:Woodland</t>
        </is>
      </c>
      <c r="Z10" s="122" t="inlineStr">
        <is>
          <t>Lincs South</t>
        </is>
      </c>
      <c r="AA10" s="122" t="inlineStr">
        <is>
          <t>N/A</t>
        </is>
      </c>
      <c r="AB10" s="46" t="inlineStr">
        <is>
          <t>Nether Lane
Grantham England NG32
United Kingdom
(52.884814462849086, -0.7080914987255787)</t>
        </is>
      </c>
      <c r="AC10" s="122" t="inlineStr">
        <is>
          <t>Yes</t>
        </is>
      </c>
      <c r="AD10" t="inlineStr"/>
      <c r="AE10" t="inlineStr"/>
      <c r="AF10" t="inlineStr"/>
      <c r="AG10" s="122" t="inlineStr">
        <is>
          <t>0</t>
        </is>
      </c>
      <c r="AH10" s="122" t="inlineStr">
        <is>
          <t>N/A</t>
        </is>
      </c>
      <c r="AI10" t="inlineStr">
        <is>
          <t>James Angus;Rory Chisholm;Richard Moses;Emily Eva</t>
        </is>
      </c>
      <c r="AJ10" s="122" t="inlineStr">
        <is>
          <t>Yes</t>
        </is>
      </c>
      <c r="AK10" t="inlineStr"/>
      <c r="AL10" s="122" t="inlineStr">
        <is>
          <t>N/A</t>
        </is>
      </c>
      <c r="AM10" s="122" t="inlineStr">
        <is>
          <t>No</t>
        </is>
      </c>
      <c r="AN10" s="122" t="inlineStr">
        <is>
          <t>£0.00</t>
        </is>
      </c>
      <c r="AO10" s="46" t="inlineStr">
        <is>
          <t>Actions Taken: Mulcher on site, be aware
Actions RaisedNone
SC Notes: None</t>
        </is>
      </c>
      <c r="AP10" s="122" t="inlineStr">
        <is>
          <t>N/A</t>
        </is>
      </c>
      <c r="AQ10" s="57" t="inlineStr">
        <is>
          <t>05/05/2026 11:15</t>
        </is>
      </c>
      <c r="AR10" t="inlineStr"/>
      <c r="AS10" s="122" t="inlineStr">
        <is>
          <t>NGED</t>
        </is>
      </c>
      <c r="AT10" s="122" t="inlineStr">
        <is>
          <t>Infrastructure &amp; Utilities</t>
        </is>
      </c>
      <c r="AU10" s="122" t="inlineStr">
        <is>
          <t>6</t>
        </is>
      </c>
    </row>
    <row r="11" ht="18" customHeight="1" s="146">
      <c r="A11" s="122" t="inlineStr">
        <is>
          <t>39862</t>
        </is>
      </c>
      <c r="B11" s="122" t="inlineStr">
        <is>
          <t>Yes</t>
        </is>
      </c>
      <c r="C11" s="122" t="inlineStr">
        <is>
          <t>5 May 2026 / Joe Lemar</t>
        </is>
      </c>
      <c r="D11" s="122" t="inlineStr">
        <is>
          <t>AMBER ALERT - GC MANAGERS - RMS/044</t>
        </is>
      </c>
      <c r="E11" s="122" t="inlineStr">
        <is>
          <t>INC39862</t>
        </is>
      </c>
      <c r="F11" s="57" t="inlineStr">
        <is>
          <t>05/05/2026</t>
        </is>
      </c>
      <c r="G11" s="57" t="inlineStr">
        <is>
          <t>05/05/2026</t>
        </is>
      </c>
      <c r="H11" s="122" t="inlineStr">
        <is>
          <t>Joe Lemar</t>
        </is>
      </c>
      <c r="I11" s="122" t="inlineStr">
        <is>
          <t>Infrastructure &amp; Utilities</t>
        </is>
      </c>
      <c r="J11" s="122" t="inlineStr">
        <is>
          <t>SSE</t>
        </is>
      </c>
      <c r="K11" s="122" t="inlineStr">
        <is>
          <t>Hazard</t>
        </is>
      </c>
      <c r="L11" s="122" t="inlineStr">
        <is>
          <t>Health &amp; Safety</t>
        </is>
      </c>
      <c r="M11" s="122" t="inlineStr">
        <is>
          <t>Trip hazard</t>
        </is>
      </c>
      <c r="N11" s="122" t="inlineStr">
        <is>
          <t>Hazard / Close Call</t>
        </is>
      </c>
      <c r="O11" s="122" t="inlineStr">
        <is>
          <t>Health &amp; Safety</t>
        </is>
      </c>
      <c r="P11" s="122" t="inlineStr">
        <is>
          <t>Injury</t>
        </is>
      </c>
      <c r="Q11" s="122" t="inlineStr">
        <is>
          <t>Slips / Trips / Falls</t>
        </is>
      </c>
      <c r="R11" s="122" t="inlineStr">
        <is>
          <t>Opportunity</t>
        </is>
      </c>
      <c r="S11" s="122" t="inlineStr">
        <is>
          <t>Minor</t>
        </is>
      </c>
      <c r="T11" s="122" t="inlineStr">
        <is>
          <t xml:space="preserve">Whilst conducting 33kv survey, walking through long grass I stepped into a hidden hole in the ground. Hole was hidden by grass and other vegetation, no injury. </t>
        </is>
      </c>
      <c r="U11" s="122" t="inlineStr">
        <is>
          <t>No</t>
        </is>
      </c>
      <c r="V11" s="122" t="inlineStr">
        <is>
          <t>N/A</t>
        </is>
      </c>
      <c r="W11" s="122" t="inlineStr">
        <is>
          <t>Joe lemar</t>
        </is>
      </c>
      <c r="X11" s="122" t="inlineStr">
        <is>
          <t>N/A</t>
        </is>
      </c>
      <c r="Y11" s="46" t="inlineStr">
        <is>
          <t>Site Name: Kenn-osne yellow site 1
Project Name: 
ELR:
W3W: 
Junction: 
RCC: 
Structure: 
Description:///hints.coats.admire</t>
        </is>
      </c>
      <c r="Z11" s="122" t="inlineStr">
        <is>
          <t>Oxford</t>
        </is>
      </c>
      <c r="AA11" s="122" t="inlineStr">
        <is>
          <t>N/A</t>
        </is>
      </c>
      <c r="AB11" s="46" t="inlineStr">
        <is>
          <t>Holywell House, 64 Osney Mead, Oxford OX2 0ES, UK</t>
        </is>
      </c>
      <c r="AC11" s="122" t="inlineStr">
        <is>
          <t>Yes</t>
        </is>
      </c>
      <c r="AD11" t="inlineStr"/>
      <c r="AE11" t="inlineStr"/>
      <c r="AF11" t="inlineStr"/>
      <c r="AG11" s="122" t="inlineStr">
        <is>
          <t>0</t>
        </is>
      </c>
      <c r="AH11" s="122" t="inlineStr">
        <is>
          <t>N/A</t>
        </is>
      </c>
      <c r="AI11" t="inlineStr">
        <is>
          <t>James Angus;Rory Chisholm;Richard Moses;Emily Eva</t>
        </is>
      </c>
      <c r="AJ11" s="122" t="inlineStr">
        <is>
          <t>Yes</t>
        </is>
      </c>
      <c r="AK11" t="inlineStr"/>
      <c r="AL11" s="122" t="inlineStr">
        <is>
          <t>N/A</t>
        </is>
      </c>
      <c r="AM11" s="122" t="inlineStr">
        <is>
          <t>No</t>
        </is>
      </c>
      <c r="AN11" s="122" t="inlineStr">
        <is>
          <t>£0.00</t>
        </is>
      </c>
      <c r="AO11" s="46" t="inlineStr">
        <is>
          <t>Actions Taken: I have noted the location as this will be a work site for a field team. I have also picked up a stick to use as a probe whilst finishing the survey
Actions RaisedNone
SC Notes: None</t>
        </is>
      </c>
      <c r="AP11" s="122" t="inlineStr">
        <is>
          <t>N/A</t>
        </is>
      </c>
      <c r="AQ11" s="57" t="inlineStr">
        <is>
          <t>05/05/2026 12:15</t>
        </is>
      </c>
      <c r="AR11" t="inlineStr"/>
      <c r="AS11" s="122" t="inlineStr">
        <is>
          <t>SSE</t>
        </is>
      </c>
      <c r="AT11" s="122" t="inlineStr">
        <is>
          <t>Infrastructure &amp; Utilities</t>
        </is>
      </c>
      <c r="AU11" s="122" t="inlineStr">
        <is>
          <t>4</t>
        </is>
      </c>
    </row>
    <row r="12" ht="15.75" customHeight="1" s="146">
      <c r="A12" s="122" t="inlineStr">
        <is>
          <t>39865</t>
        </is>
      </c>
      <c r="B12" s="122" t="inlineStr">
        <is>
          <t>Yes</t>
        </is>
      </c>
      <c r="C12" s="122" t="inlineStr">
        <is>
          <t>5 May 2026 / Daniel Hackett</t>
        </is>
      </c>
      <c r="D12" s="122" t="inlineStr">
        <is>
          <t>AMBER ALERT - GC MANAGERS - RMS/044</t>
        </is>
      </c>
      <c r="E12" s="122" t="inlineStr">
        <is>
          <t>INC39865</t>
        </is>
      </c>
      <c r="F12" s="57" t="inlineStr">
        <is>
          <t>05/05/2026</t>
        </is>
      </c>
      <c r="G12" s="57" t="inlineStr">
        <is>
          <t>05/05/2026</t>
        </is>
      </c>
      <c r="H12" s="122" t="inlineStr">
        <is>
          <t>Daniel Hackett</t>
        </is>
      </c>
      <c r="I12" s="122" t="inlineStr">
        <is>
          <t>Infrastructure &amp; Utilities</t>
        </is>
      </c>
      <c r="J12" s="122" t="inlineStr">
        <is>
          <t>NGED</t>
        </is>
      </c>
      <c r="K12" t="inlineStr">
        <is>
          <t>Hazard</t>
        </is>
      </c>
      <c r="L12" t="inlineStr">
        <is>
          <t>Health &amp; Safety</t>
        </is>
      </c>
      <c r="M12" t="inlineStr">
        <is>
          <t>Damaged Asset</t>
        </is>
      </c>
      <c r="N12" s="122" t="inlineStr">
        <is>
          <t>Hazard / Close Call</t>
        </is>
      </c>
      <c r="O12" s="122" t="inlineStr">
        <is>
          <t>Property &amp; Infrastructure</t>
        </is>
      </c>
      <c r="P12" s="122" t="inlineStr">
        <is>
          <t>Asset / Tool Damage</t>
        </is>
      </c>
      <c r="Q12" s="122" t="inlineStr">
        <is>
          <t>Customer Asset Damage</t>
        </is>
      </c>
      <c r="R12" t="inlineStr">
        <is>
          <t>Opportunity</t>
        </is>
      </c>
      <c r="S12" t="inlineStr">
        <is>
          <t>Minor</t>
        </is>
      </c>
      <c r="T12" s="122" t="inlineStr">
        <is>
          <t>Surveying pole XFEJ5 on Southam 930060/0005. 
Heavy left lean on post. XFEJ6 also being pulled to left because of this</t>
        </is>
      </c>
      <c r="U12" s="122" t="inlineStr">
        <is>
          <t>No</t>
        </is>
      </c>
      <c r="V12" s="122" t="inlineStr"/>
      <c r="W12" s="122" t="inlineStr">
        <is>
          <t>NGED</t>
        </is>
      </c>
      <c r="X12" s="122" t="inlineStr">
        <is>
          <t>3308 : National Grid Electricity Distribution plc</t>
        </is>
      </c>
      <c r="Y12" s="46" t="inlineStr">
        <is>
          <t>Site Name: 
Project Name: 
ELR:
W3W: ///habits.lousy.unicorns
Junction: 
RCC: 
Structure: 
Description:As per above info, Southam 0005, pole XFEJ5 and XFEJ6</t>
        </is>
      </c>
      <c r="Z12" s="122" t="inlineStr">
        <is>
          <t>Coventry / Warwick</t>
        </is>
      </c>
      <c r="AA12" s="122" t="inlineStr">
        <is>
          <t>N/A</t>
        </is>
      </c>
      <c r="AB12" s="122" t="inlineStr">
        <is>
          <t>Welsh Rd, Southam CV47, UK</t>
        </is>
      </c>
      <c r="AC12" s="122" t="inlineStr">
        <is>
          <t>Yes</t>
        </is>
      </c>
      <c r="AD12" t="inlineStr"/>
      <c r="AE12" t="inlineStr"/>
      <c r="AF12" t="inlineStr"/>
      <c r="AG12" s="122" t="inlineStr">
        <is>
          <t>0</t>
        </is>
      </c>
      <c r="AH12" s="122" t="inlineStr">
        <is>
          <t>N/A</t>
        </is>
      </c>
      <c r="AI12" t="inlineStr">
        <is>
          <t>James Angus;Rory Chisholm;Richard Moses;Emily Eva</t>
        </is>
      </c>
      <c r="AJ12" s="122" t="inlineStr">
        <is>
          <t>Yes</t>
        </is>
      </c>
      <c r="AK12" t="inlineStr"/>
      <c r="AL12" s="122" t="inlineStr">
        <is>
          <t>N/A</t>
        </is>
      </c>
      <c r="AM12" s="122" t="inlineStr">
        <is>
          <t>No</t>
        </is>
      </c>
      <c r="AN12" s="122" t="inlineStr">
        <is>
          <t>£0.00</t>
        </is>
      </c>
      <c r="AO12" s="46" t="inlineStr">
        <is>
          <t>Actions Taken: CDM informed 
Actions RaisedNone
SC Notes: None</t>
        </is>
      </c>
      <c r="AP12" s="122" t="inlineStr">
        <is>
          <t>N/A</t>
        </is>
      </c>
      <c r="AQ12" s="57" t="inlineStr">
        <is>
          <t>05/05/2026 13:14</t>
        </is>
      </c>
      <c r="AR12" t="inlineStr">
        <is>
          <t>,,,,,,,,,,Injured Person 1,</t>
        </is>
      </c>
      <c r="AS12" s="122" t="inlineStr">
        <is>
          <t>NGED</t>
        </is>
      </c>
      <c r="AT12" s="122" t="inlineStr">
        <is>
          <t>Infrastructure &amp; Utilities</t>
        </is>
      </c>
      <c r="AU12" s="122" t="inlineStr">
        <is>
          <t>7</t>
        </is>
      </c>
    </row>
    <row r="13" ht="15.75" customHeight="1" s="146">
      <c r="A13" t="inlineStr">
        <is>
          <t>39875</t>
        </is>
      </c>
      <c r="B13" t="inlineStr">
        <is>
          <t>Yes</t>
        </is>
      </c>
      <c r="C13" t="inlineStr">
        <is>
          <t>5 May 2026 / Daniel Hackett</t>
        </is>
      </c>
      <c r="D13" t="inlineStr">
        <is>
          <t>AMBER ALERT - GC MANAGERS - RMS/044</t>
        </is>
      </c>
      <c r="E13" t="inlineStr">
        <is>
          <t>INC39875</t>
        </is>
      </c>
      <c r="F13" t="inlineStr">
        <is>
          <t>05/05/2026</t>
        </is>
      </c>
      <c r="G13" t="inlineStr">
        <is>
          <t>05/05/2026</t>
        </is>
      </c>
      <c r="H13" t="inlineStr">
        <is>
          <t>Daniel Hackett</t>
        </is>
      </c>
      <c r="I13" t="inlineStr">
        <is>
          <t>Infrastructure &amp; Utilities</t>
        </is>
      </c>
      <c r="J13" t="inlineStr">
        <is>
          <t>NGED</t>
        </is>
      </c>
      <c r="K13" t="inlineStr">
        <is>
          <t>Hazard</t>
        </is>
      </c>
      <c r="L13" t="inlineStr">
        <is>
          <t>Health &amp; Safety</t>
        </is>
      </c>
      <c r="M13" t="inlineStr">
        <is>
          <t>Damaged Asset</t>
        </is>
      </c>
      <c r="N13" t="inlineStr">
        <is>
          <t>Hazard / Close Call</t>
        </is>
      </c>
      <c r="O13" t="inlineStr">
        <is>
          <t>Property &amp; Infrastructure</t>
        </is>
      </c>
      <c r="P13" t="inlineStr">
        <is>
          <t>Asset / Tool Damage</t>
        </is>
      </c>
      <c r="Q13" t="inlineStr">
        <is>
          <t>Customer Asset Damage</t>
        </is>
      </c>
      <c r="R13" t="inlineStr">
        <is>
          <t>Opportunity</t>
        </is>
      </c>
      <c r="S13" t="inlineStr">
        <is>
          <t>Minor</t>
        </is>
      </c>
      <c r="T13" t="inlineStr">
        <is>
          <t>Surveying pole XFEJ12 on Southam 930060/0005 and heavy left lean on pole.</t>
        </is>
      </c>
      <c r="U13" t="inlineStr">
        <is>
          <t>No</t>
        </is>
      </c>
      <c r="V13" t="inlineStr">
        <is>
          <t>N/A</t>
        </is>
      </c>
      <c r="W13" t="inlineStr">
        <is>
          <t>NGED</t>
        </is>
      </c>
      <c r="X13" t="inlineStr">
        <is>
          <t>3308 : National Grid Electricity Distribution plc</t>
        </is>
      </c>
      <c r="Y13" t="inlineStr">
        <is>
          <t>Site Name: 
Project Name: 
ELR:
W3W: ///spectacle.mows.otherwise
Junction: 
RCC: 
Structure: 
Description:As above. Pole XFEJ12, Southam 0005</t>
        </is>
      </c>
      <c r="Z13" t="inlineStr">
        <is>
          <t>Coventry / Warwick</t>
        </is>
      </c>
      <c r="AA13" t="inlineStr">
        <is>
          <t>N/A</t>
        </is>
      </c>
      <c r="AB13" t="inlineStr">
        <is>
          <t>Welsh Rd, Southam CV47 1UZ, UK</t>
        </is>
      </c>
      <c r="AC13" t="inlineStr">
        <is>
          <t>Yes</t>
        </is>
      </c>
      <c r="AD13" t="inlineStr"/>
      <c r="AE13" t="inlineStr"/>
      <c r="AF13" t="inlineStr"/>
      <c r="AG13" t="inlineStr">
        <is>
          <t>0</t>
        </is>
      </c>
      <c r="AH13" t="inlineStr">
        <is>
          <t>N/A</t>
        </is>
      </c>
      <c r="AI13" t="inlineStr">
        <is>
          <t>James Angus;Rory Chisholm;Richard Moses;Emily Eva</t>
        </is>
      </c>
      <c r="AJ13" t="inlineStr">
        <is>
          <t>Yes</t>
        </is>
      </c>
      <c r="AK13" t="inlineStr"/>
      <c r="AL13" t="inlineStr">
        <is>
          <t>N/A</t>
        </is>
      </c>
      <c r="AM13" t="inlineStr">
        <is>
          <t>No</t>
        </is>
      </c>
      <c r="AN13" t="inlineStr">
        <is>
          <t>£0.00</t>
        </is>
      </c>
      <c r="AO13" t="inlineStr">
        <is>
          <t>Actions Taken: Reported to CDM
Actions RaisedNone
SC Notes: None</t>
        </is>
      </c>
      <c r="AP13" t="inlineStr">
        <is>
          <t>N/A</t>
        </is>
      </c>
      <c r="AQ13" t="inlineStr">
        <is>
          <t>05/05/2026 14:46</t>
        </is>
      </c>
      <c r="AR13" t="inlineStr"/>
      <c r="AS13" t="inlineStr">
        <is>
          <t>NGED</t>
        </is>
      </c>
      <c r="AT13" t="inlineStr">
        <is>
          <t>Infrastructure &amp; Utilities</t>
        </is>
      </c>
      <c r="AU13" t="inlineStr">
        <is>
          <t>4</t>
        </is>
      </c>
    </row>
    <row r="14" ht="15.75" customHeight="1" s="146">
      <c r="A14" t="inlineStr">
        <is>
          <t>39877</t>
        </is>
      </c>
      <c r="B14" t="inlineStr">
        <is>
          <t>Yes</t>
        </is>
      </c>
      <c r="C14" t="inlineStr">
        <is>
          <t>5 May 2026 / 7996 M G Tree Surgery Ltd 1</t>
        </is>
      </c>
      <c r="D14" t="inlineStr">
        <is>
          <t>AMBER ALERT - GC TEAMS - RMS/053</t>
        </is>
      </c>
      <c r="E14" t="inlineStr">
        <is>
          <t>INC39877</t>
        </is>
      </c>
      <c r="F14" t="inlineStr">
        <is>
          <t>05/05/2026</t>
        </is>
      </c>
      <c r="G14" t="inlineStr">
        <is>
          <t>05/05/2026</t>
        </is>
      </c>
      <c r="H14" t="inlineStr">
        <is>
          <t>7996 M G Tree Surgery Ltd 1</t>
        </is>
      </c>
      <c r="I14" t="inlineStr">
        <is>
          <t>Infrastructure &amp; Utilities</t>
        </is>
      </c>
      <c r="J14" t="inlineStr">
        <is>
          <t>UKPN</t>
        </is>
      </c>
      <c r="K14" t="inlineStr">
        <is>
          <t>Hazard</t>
        </is>
      </c>
      <c r="L14" t="inlineStr">
        <is>
          <t>Health &amp; Safety</t>
        </is>
      </c>
      <c r="M14" t="inlineStr">
        <is>
          <t>Damaged Asset</t>
        </is>
      </c>
      <c r="N14" t="inlineStr">
        <is>
          <t>Hazard / Close Call</t>
        </is>
      </c>
      <c r="O14" t="inlineStr">
        <is>
          <t>Property &amp; Infrastructure</t>
        </is>
      </c>
      <c r="P14" t="inlineStr">
        <is>
          <t>Asset / Tool Damage</t>
        </is>
      </c>
      <c r="Q14" t="inlineStr">
        <is>
          <t>Structural Safety</t>
        </is>
      </c>
      <c r="R14" t="inlineStr">
        <is>
          <t>Opportunity</t>
        </is>
      </c>
      <c r="S14" t="inlineStr">
        <is>
          <t>Minor</t>
        </is>
      </c>
      <c r="T14" t="inlineStr">
        <is>
          <t xml:space="preserve">Noticed a severed stay wire, it is also missing a stay wire insulator.
Location: track accessible from, 2 the granary buildings, Millow, Dunston, Biggleswade, SG18 8RH
Pole no: 417854
W3W: sparrows.Unstable.Design </t>
        </is>
      </c>
      <c r="U14" t="inlineStr"/>
      <c r="V14" t="inlineStr">
        <is>
          <t>N/A</t>
        </is>
      </c>
      <c r="W14" t="inlineStr"/>
      <c r="X14" t="inlineStr">
        <is>
          <t>3679 : UK Power Networks</t>
        </is>
      </c>
      <c r="Y14" t="inlineStr">
        <is>
          <t>Site Name: 
Project Name: 
ELR:
W3W: 
Junction: 
RCC: 
Structure: 
Description:</t>
        </is>
      </c>
      <c r="Z14" t="inlineStr">
        <is>
          <t>EPN North - Cambridge</t>
        </is>
      </c>
      <c r="AA14" t="inlineStr">
        <is>
          <t>N/A</t>
        </is>
      </c>
      <c r="AB14" t="inlineStr"/>
      <c r="AC14" t="inlineStr">
        <is>
          <t>Yes</t>
        </is>
      </c>
      <c r="AD14" t="inlineStr"/>
      <c r="AE14" t="inlineStr"/>
      <c r="AF14" t="inlineStr"/>
      <c r="AG14" t="inlineStr">
        <is>
          <t>0</t>
        </is>
      </c>
      <c r="AH14" t="inlineStr">
        <is>
          <t>N/A</t>
        </is>
      </c>
      <c r="AI14" t="inlineStr">
        <is>
          <t>James Angus;Rory Chisholm;Richard Moses;Emily Eva</t>
        </is>
      </c>
      <c r="AJ14" t="inlineStr">
        <is>
          <t>Yes</t>
        </is>
      </c>
      <c r="AK14" t="inlineStr"/>
      <c r="AL14" t="inlineStr">
        <is>
          <t>N/A</t>
        </is>
      </c>
      <c r="AM14" t="inlineStr">
        <is>
          <t>No</t>
        </is>
      </c>
      <c r="AN14" t="inlineStr">
        <is>
          <t>£0.00</t>
        </is>
      </c>
      <c r="AO14" t="inlineStr">
        <is>
          <t>Actions Taken: 
Actions RaisedNone
SC Notes: None</t>
        </is>
      </c>
      <c r="AP14" t="inlineStr">
        <is>
          <t>N/A</t>
        </is>
      </c>
      <c r="AQ14" t="inlineStr">
        <is>
          <t>05/05/2026 14:59</t>
        </is>
      </c>
      <c r="AR14" t="inlineStr"/>
      <c r="AS14" t="inlineStr">
        <is>
          <t>UKPN</t>
        </is>
      </c>
      <c r="AT14" t="inlineStr">
        <is>
          <t>Infrastructure &amp; Utilities</t>
        </is>
      </c>
      <c r="AU14" t="inlineStr">
        <is>
          <t>6</t>
        </is>
      </c>
    </row>
    <row r="15" ht="15.75" customHeight="1" s="146">
      <c r="A15" t="inlineStr">
        <is>
          <t>39944</t>
        </is>
      </c>
      <c r="B15" t="inlineStr">
        <is>
          <t>Yes</t>
        </is>
      </c>
      <c r="C15" t="inlineStr">
        <is>
          <t>5 May 2026 / 8319 Ropes and Slopes Limited</t>
        </is>
      </c>
      <c r="D15" t="inlineStr">
        <is>
          <t>AMBER ALERT - GC TEAMS - RMS/053</t>
        </is>
      </c>
      <c r="E15" t="inlineStr">
        <is>
          <t>INC39944</t>
        </is>
      </c>
      <c r="F15" t="inlineStr">
        <is>
          <t>05/05/2026</t>
        </is>
      </c>
      <c r="G15" t="inlineStr">
        <is>
          <t>06/05/2026</t>
        </is>
      </c>
      <c r="H15" t="inlineStr">
        <is>
          <t>8319 Ropes and Slopes Limited</t>
        </is>
      </c>
      <c r="I15" t="inlineStr">
        <is>
          <t>Infrastructure &amp; Utilities</t>
        </is>
      </c>
      <c r="J15" t="inlineStr">
        <is>
          <t>NGED</t>
        </is>
      </c>
      <c r="K15" t="inlineStr">
        <is>
          <t>Hazard</t>
        </is>
      </c>
      <c r="L15" t="inlineStr">
        <is>
          <t>Health &amp; Safety</t>
        </is>
      </c>
      <c r="M15" t="inlineStr">
        <is>
          <t>Cables &amp; Trough Route</t>
        </is>
      </c>
      <c r="N15" t="inlineStr">
        <is>
          <t>Hazard / Close Call</t>
        </is>
      </c>
      <c r="O15" t="inlineStr">
        <is>
          <t>Health &amp; Safety</t>
        </is>
      </c>
      <c r="P15" t="inlineStr">
        <is>
          <t>Injury</t>
        </is>
      </c>
      <c r="Q15" t="inlineStr">
        <is>
          <t>Entrapment</t>
        </is>
      </c>
      <c r="R15" t="inlineStr">
        <is>
          <t>Opportunity</t>
        </is>
      </c>
      <c r="S15" t="inlineStr">
        <is>
          <t>Minor</t>
        </is>
      </c>
      <c r="T15" t="inlineStr">
        <is>
          <t xml:space="preserve">Wire was entangled in the brambles while clearing around a pole </t>
        </is>
      </c>
      <c r="U15" t="inlineStr">
        <is>
          <t>Yes</t>
        </is>
      </c>
      <c r="V15" t="inlineStr">
        <is>
          <t>8319 Ropes and Slopes Limited</t>
        </is>
      </c>
      <c r="W15" t="inlineStr">
        <is>
          <t xml:space="preserve">James Donnellan </t>
        </is>
      </c>
      <c r="X15" t="inlineStr">
        <is>
          <t>3308 : National Grid Electricity Distribution plc</t>
        </is>
      </c>
      <c r="Y15" t="inlineStr">
        <is>
          <t xml:space="preserve">Site Name: Money Hill Farm 930102
Project Name: 
ELR:
W3W: Circus.cassettes.witty
Junction: 
RCC: 
Structure: 
Description:Back of farm building behind the cow sheds </t>
        </is>
      </c>
      <c r="Z15" t="inlineStr">
        <is>
          <t>Coventry / Warwick</t>
        </is>
      </c>
      <c r="AA15" t="inlineStr">
        <is>
          <t>N/A</t>
        </is>
      </c>
      <c r="AB15" t="inlineStr">
        <is>
          <t>De128ae</t>
        </is>
      </c>
      <c r="AC15" t="inlineStr">
        <is>
          <t>Yes</t>
        </is>
      </c>
      <c r="AD15" t="inlineStr"/>
      <c r="AE15" t="inlineStr"/>
      <c r="AF15" t="inlineStr"/>
      <c r="AG15" t="inlineStr">
        <is>
          <t>0</t>
        </is>
      </c>
      <c r="AH15" t="inlineStr">
        <is>
          <t>N/A</t>
        </is>
      </c>
      <c r="AI15" t="inlineStr"/>
      <c r="AJ15" t="inlineStr">
        <is>
          <t>No</t>
        </is>
      </c>
      <c r="AK15" t="inlineStr"/>
      <c r="AL15" t="inlineStr">
        <is>
          <t>N/A</t>
        </is>
      </c>
      <c r="AM15" t="inlineStr">
        <is>
          <t>No</t>
        </is>
      </c>
      <c r="AN15" t="inlineStr">
        <is>
          <t>£0.00</t>
        </is>
      </c>
      <c r="AO15" t="inlineStr">
        <is>
          <t>Actions Taken: Had a visual inspection before work was carried out
Actions RaisedNone
SC Notes: None</t>
        </is>
      </c>
      <c r="AP15" t="inlineStr">
        <is>
          <t>N/A</t>
        </is>
      </c>
      <c r="AQ15" t="inlineStr">
        <is>
          <t>06/05/2026 19:14</t>
        </is>
      </c>
      <c r="AR15" t="inlineStr"/>
      <c r="AS15" t="inlineStr">
        <is>
          <t>NGED</t>
        </is>
      </c>
      <c r="AT15" t="inlineStr">
        <is>
          <t>Infrastructure &amp; Utilities</t>
        </is>
      </c>
      <c r="AU15" t="inlineStr">
        <is>
          <t>10</t>
        </is>
      </c>
    </row>
    <row r="16" ht="15.75" customHeight="1" s="146">
      <c r="A16" t="inlineStr">
        <is>
          <t>40005</t>
        </is>
      </c>
      <c r="B16" t="inlineStr">
        <is>
          <t>Yes</t>
        </is>
      </c>
      <c r="C16" t="inlineStr">
        <is>
          <t>7 May 2026 / Joshua Stones</t>
        </is>
      </c>
      <c r="D16" t="inlineStr">
        <is>
          <t>AMBER ALERT - GC MANAGERS - RMS/044</t>
        </is>
      </c>
      <c r="E16" t="inlineStr">
        <is>
          <t>INC40005</t>
        </is>
      </c>
      <c r="F16" t="inlineStr">
        <is>
          <t>07/05/2026</t>
        </is>
      </c>
      <c r="G16" t="inlineStr">
        <is>
          <t>07/05/2026</t>
        </is>
      </c>
      <c r="H16" t="inlineStr">
        <is>
          <t>Joshua Stones</t>
        </is>
      </c>
      <c r="I16" t="inlineStr">
        <is>
          <t>Infrastructure &amp; Utilities</t>
        </is>
      </c>
      <c r="J16" t="inlineStr">
        <is>
          <t>SSE</t>
        </is>
      </c>
      <c r="K16" t="inlineStr">
        <is>
          <t>Hazard</t>
        </is>
      </c>
      <c r="L16" t="inlineStr">
        <is>
          <t>Health &amp; Safety</t>
        </is>
      </c>
      <c r="M16" t="inlineStr">
        <is>
          <t>Invasive &amp; Dangerous Insects</t>
        </is>
      </c>
      <c r="N16" t="inlineStr">
        <is>
          <t>Hazard / Close Call</t>
        </is>
      </c>
      <c r="O16" t="inlineStr">
        <is>
          <t>Ecology &amp; Vegetation</t>
        </is>
      </c>
      <c r="P16" t="inlineStr">
        <is>
          <t>Fauna</t>
        </is>
      </c>
      <c r="Q16" t="inlineStr">
        <is>
          <t>Insects</t>
        </is>
      </c>
      <c r="R16" t="inlineStr">
        <is>
          <t>Opportunity</t>
        </is>
      </c>
      <c r="S16" t="inlineStr">
        <is>
          <t>Minor</t>
        </is>
      </c>
      <c r="T16" t="inlineStr">
        <is>
          <t xml:space="preserve">Walking though tall grass and found a few ticks on my leg </t>
        </is>
      </c>
      <c r="U16" t="inlineStr">
        <is>
          <t>No</t>
        </is>
      </c>
      <c r="V16" t="inlineStr">
        <is>
          <t>N/A</t>
        </is>
      </c>
      <c r="W16" t="inlineStr">
        <is>
          <t>Joshua stones</t>
        </is>
      </c>
      <c r="X16" t="inlineStr">
        <is>
          <t>N/A</t>
        </is>
      </c>
      <c r="Y16" t="inlineStr">
        <is>
          <t>Site Name: 
Project Name: 
ELR:
W3W: File.kinds.breakfast
Junction: 
RCC: 
Structure: 
Description:In a field</t>
        </is>
      </c>
      <c r="Z16" t="inlineStr">
        <is>
          <t>Yeovil</t>
        </is>
      </c>
      <c r="AA16" t="inlineStr">
        <is>
          <t>N/A</t>
        </is>
      </c>
      <c r="AB16" t="inlineStr">
        <is>
          <t>The Old Mill, 2 Mill Cottages, Ludwell, Shaftesbury SP7 9NF, UK</t>
        </is>
      </c>
      <c r="AC16" t="inlineStr">
        <is>
          <t>Yes</t>
        </is>
      </c>
      <c r="AD16" t="inlineStr"/>
      <c r="AE16" t="inlineStr"/>
      <c r="AF16" t="inlineStr"/>
      <c r="AG16" t="inlineStr">
        <is>
          <t>0</t>
        </is>
      </c>
      <c r="AH16" t="inlineStr">
        <is>
          <t>N/A</t>
        </is>
      </c>
      <c r="AI16" t="inlineStr"/>
      <c r="AJ16" t="inlineStr">
        <is>
          <t>No</t>
        </is>
      </c>
      <c r="AK16" t="inlineStr"/>
      <c r="AL16" t="inlineStr">
        <is>
          <t>N/A</t>
        </is>
      </c>
      <c r="AM16" t="inlineStr">
        <is>
          <t>No</t>
        </is>
      </c>
      <c r="AN16" t="inlineStr">
        <is>
          <t>£0.00</t>
        </is>
      </c>
      <c r="AO16" t="inlineStr">
        <is>
          <t>Actions Taken: Take a few mintuies to check yourself after walking though tall grass or woodlands
Actions RaisedNone
SC Notes: None</t>
        </is>
      </c>
      <c r="AP16" t="inlineStr">
        <is>
          <t>N/A</t>
        </is>
      </c>
      <c r="AQ16" t="inlineStr">
        <is>
          <t>07/05/2026 15:01</t>
        </is>
      </c>
      <c r="AR16" t="inlineStr"/>
      <c r="AS16" t="inlineStr">
        <is>
          <t>SSE</t>
        </is>
      </c>
      <c r="AT16" t="inlineStr">
        <is>
          <t>Infrastructure &amp; Utilities</t>
        </is>
      </c>
      <c r="AU16" t="inlineStr">
        <is>
          <t>4</t>
        </is>
      </c>
    </row>
    <row r="17" ht="15.75" customHeight="1" s="146">
      <c r="A17" t="inlineStr">
        <is>
          <t>40009</t>
        </is>
      </c>
      <c r="B17" t="inlineStr">
        <is>
          <t>Yes</t>
        </is>
      </c>
      <c r="C17" t="inlineStr">
        <is>
          <t>7 May 2026 / Mark Davies</t>
        </is>
      </c>
      <c r="D17" t="inlineStr">
        <is>
          <t>AMBER ALERT - GC MANAGERS - RMS/044</t>
        </is>
      </c>
      <c r="E17" t="inlineStr">
        <is>
          <t>INC40009</t>
        </is>
      </c>
      <c r="F17" t="inlineStr">
        <is>
          <t>07/05/2026</t>
        </is>
      </c>
      <c r="G17" t="inlineStr">
        <is>
          <t>07/05/2026</t>
        </is>
      </c>
      <c r="H17" t="inlineStr">
        <is>
          <t>Mark Davies</t>
        </is>
      </c>
      <c r="I17" t="inlineStr">
        <is>
          <t>Infrastructure &amp; Utilities</t>
        </is>
      </c>
      <c r="J17" t="inlineStr">
        <is>
          <t>NGED</t>
        </is>
      </c>
      <c r="K17" t="inlineStr">
        <is>
          <t>Hazard</t>
        </is>
      </c>
      <c r="L17" t="inlineStr">
        <is>
          <t>Health &amp; Safety</t>
        </is>
      </c>
      <c r="M17" t="inlineStr">
        <is>
          <t>Damaged Asset</t>
        </is>
      </c>
      <c r="N17" t="inlineStr">
        <is>
          <t>Hazard / Close Call</t>
        </is>
      </c>
      <c r="O17" t="inlineStr">
        <is>
          <t>Property &amp; Infrastructure</t>
        </is>
      </c>
      <c r="P17" t="inlineStr">
        <is>
          <t>Asset / Tool Damage</t>
        </is>
      </c>
      <c r="Q17" t="inlineStr">
        <is>
          <t>Customer Asset Damage</t>
        </is>
      </c>
      <c r="R17" t="inlineStr">
        <is>
          <t>Opportunity</t>
        </is>
      </c>
      <c r="S17" t="inlineStr">
        <is>
          <t>Minor</t>
        </is>
      </c>
      <c r="T17" t="inlineStr">
        <is>
          <t>An LV pole which is not on my survey remit is heavily infested with Ivy</t>
        </is>
      </c>
      <c r="U17" t="inlineStr">
        <is>
          <t>No</t>
        </is>
      </c>
      <c r="V17" t="inlineStr">
        <is>
          <t>N/A</t>
        </is>
      </c>
      <c r="W17" t="inlineStr">
        <is>
          <t xml:space="preserve">Mark Davies </t>
        </is>
      </c>
      <c r="X17" t="inlineStr">
        <is>
          <t>3308 : National Grid Electricity Distribution plc</t>
        </is>
      </c>
      <c r="Y17" t="inlineStr">
        <is>
          <t>Site Name: 893042 Grays Lane Halam, LV 5111990010
Project Name: 
ELR:
W3W: 
Junction: 
RCC: 
Structure: 
Description:From LV pole 5111990010
///maps.shocked.tasteful</t>
        </is>
      </c>
      <c r="Z17" t="inlineStr">
        <is>
          <t>Chesterfield / Mansfield</t>
        </is>
      </c>
      <c r="AA17" t="inlineStr">
        <is>
          <t>N/A</t>
        </is>
      </c>
      <c r="AB17" t="inlineStr">
        <is>
          <t>(53.082669514645346, -0.9924556835371857)</t>
        </is>
      </c>
      <c r="AC17" t="inlineStr">
        <is>
          <t>No</t>
        </is>
      </c>
      <c r="AD17" t="inlineStr"/>
      <c r="AE17" t="inlineStr"/>
      <c r="AF17" t="inlineStr"/>
      <c r="AG17" t="inlineStr">
        <is>
          <t>0</t>
        </is>
      </c>
      <c r="AH17" t="inlineStr">
        <is>
          <t>Allocation</t>
        </is>
      </c>
      <c r="AI17" t="inlineStr"/>
      <c r="AJ17" t="inlineStr">
        <is>
          <t>No</t>
        </is>
      </c>
      <c r="AK17" t="inlineStr"/>
      <c r="AL17" t="inlineStr">
        <is>
          <t>N/A</t>
        </is>
      </c>
      <c r="AM17" t="inlineStr">
        <is>
          <t>No</t>
        </is>
      </c>
      <c r="AN17" t="inlineStr">
        <is>
          <t>£0.00</t>
        </is>
      </c>
      <c r="AO17" t="inlineStr">
        <is>
          <t>Actions Taken: Reported through our safety culture app for a report to be sent to the client 
Actions RaisedNone
SC Notes: None</t>
        </is>
      </c>
      <c r="AP17" t="inlineStr">
        <is>
          <t>N/A</t>
        </is>
      </c>
      <c r="AQ17" t="inlineStr">
        <is>
          <t>07/05/2026 17:45</t>
        </is>
      </c>
      <c r="AR17" t="inlineStr"/>
      <c r="AS17" t="inlineStr">
        <is>
          <t>NGED</t>
        </is>
      </c>
      <c r="AT17" t="inlineStr">
        <is>
          <t>Infrastructure &amp; Utilities</t>
        </is>
      </c>
      <c r="AU17" t="inlineStr">
        <is>
          <t>6</t>
        </is>
      </c>
    </row>
    <row r="18" ht="15.75" customHeight="1" s="146">
      <c r="A18" t="inlineStr">
        <is>
          <t>40018</t>
        </is>
      </c>
      <c r="B18" t="inlineStr">
        <is>
          <t>Yes</t>
        </is>
      </c>
      <c r="C18" t="inlineStr">
        <is>
          <t>8 May 2026 / Joshua Stones</t>
        </is>
      </c>
      <c r="D18" t="inlineStr">
        <is>
          <t>AMBER ALERT - GC MANAGERS - RMS/044</t>
        </is>
      </c>
      <c r="E18" t="inlineStr">
        <is>
          <t>INC40018</t>
        </is>
      </c>
      <c r="F18" t="inlineStr">
        <is>
          <t>08/05/2026</t>
        </is>
      </c>
      <c r="G18" t="inlineStr">
        <is>
          <t>08/05/2026</t>
        </is>
      </c>
      <c r="H18" t="inlineStr">
        <is>
          <t>Joshua Stones</t>
        </is>
      </c>
      <c r="I18" t="inlineStr">
        <is>
          <t>Infrastructure &amp; Utilities</t>
        </is>
      </c>
      <c r="J18" t="inlineStr">
        <is>
          <t>SSE</t>
        </is>
      </c>
      <c r="K18" t="inlineStr">
        <is>
          <t>Hazard</t>
        </is>
      </c>
      <c r="L18" t="inlineStr">
        <is>
          <t>Health &amp; Safety</t>
        </is>
      </c>
      <c r="M18" t="inlineStr">
        <is>
          <t>Weather</t>
        </is>
      </c>
      <c r="N18" t="inlineStr">
        <is>
          <t>Hazard / Close Call</t>
        </is>
      </c>
      <c r="O18" t="inlineStr">
        <is>
          <t>Environment</t>
        </is>
      </c>
      <c r="P18" t="inlineStr">
        <is>
          <t>Weather and Flooding</t>
        </is>
      </c>
      <c r="Q18" t="inlineStr">
        <is>
          <t>Extreme Heat</t>
        </is>
      </c>
      <c r="R18" t="inlineStr">
        <is>
          <t>Opportunity</t>
        </is>
      </c>
      <c r="S18" t="inlineStr">
        <is>
          <t>Minor</t>
        </is>
      </c>
      <c r="T18" t="inlineStr">
        <is>
          <t>Hot weather</t>
        </is>
      </c>
      <c r="U18" t="inlineStr"/>
      <c r="V18" t="inlineStr">
        <is>
          <t>N/A</t>
        </is>
      </c>
      <c r="W18" t="inlineStr"/>
      <c r="X18" t="inlineStr">
        <is>
          <t>N/A</t>
        </is>
      </c>
      <c r="Y18" t="inlineStr">
        <is>
          <t>Site Name: 
Project Name: 
ELR:
W3W: 
Junction: 
RCC: 
Structure: 
Description:</t>
        </is>
      </c>
      <c r="Z18" t="inlineStr">
        <is>
          <t>Yeovil</t>
        </is>
      </c>
      <c r="AA18" t="inlineStr">
        <is>
          <t>N/A</t>
        </is>
      </c>
      <c r="AB18" t="inlineStr"/>
      <c r="AC18" t="inlineStr">
        <is>
          <t>No</t>
        </is>
      </c>
      <c r="AD18" t="inlineStr"/>
      <c r="AE18" t="inlineStr"/>
      <c r="AF18" t="inlineStr"/>
      <c r="AG18" t="inlineStr">
        <is>
          <t>0</t>
        </is>
      </c>
      <c r="AH18" t="inlineStr">
        <is>
          <t>Pending</t>
        </is>
      </c>
      <c r="AI18" t="inlineStr"/>
      <c r="AJ18" t="inlineStr">
        <is>
          <t>No</t>
        </is>
      </c>
      <c r="AK18" t="inlineStr"/>
      <c r="AL18" t="inlineStr">
        <is>
          <t>N/A</t>
        </is>
      </c>
      <c r="AM18" t="inlineStr">
        <is>
          <t>No</t>
        </is>
      </c>
      <c r="AN18" t="inlineStr">
        <is>
          <t>£0.00</t>
        </is>
      </c>
      <c r="AO18" t="inlineStr">
        <is>
          <t>Actions Taken: 
Actions RaisedNone
SC Notes: None</t>
        </is>
      </c>
      <c r="AP18" t="inlineStr">
        <is>
          <t>N/A</t>
        </is>
      </c>
      <c r="AQ18" t="inlineStr">
        <is>
          <t>08/05/2026 09:30</t>
        </is>
      </c>
      <c r="AR18" t="inlineStr"/>
      <c r="AS18" t="inlineStr">
        <is>
          <t>SSE</t>
        </is>
      </c>
      <c r="AT18" t="inlineStr">
        <is>
          <t>Infrastructure &amp; Utilities</t>
        </is>
      </c>
      <c r="AU18" t="inlineStr">
        <is>
          <t>1</t>
        </is>
      </c>
    </row>
    <row r="19" ht="15.75" customHeight="1" s="146">
      <c r="A19" t="inlineStr">
        <is>
          <t>40031</t>
        </is>
      </c>
      <c r="B19" t="inlineStr">
        <is>
          <t>Yes</t>
        </is>
      </c>
      <c r="C19" t="inlineStr">
        <is>
          <t>8 May 2026 / Gerard Hendry</t>
        </is>
      </c>
      <c r="D19" t="inlineStr">
        <is>
          <t>AMBER ALERT - GC MANAGERS - RMS/044</t>
        </is>
      </c>
      <c r="E19" t="inlineStr">
        <is>
          <t>INC40031</t>
        </is>
      </c>
      <c r="F19" t="inlineStr">
        <is>
          <t>08/05/2026</t>
        </is>
      </c>
      <c r="G19" t="inlineStr">
        <is>
          <t>08/05/2026</t>
        </is>
      </c>
      <c r="H19" t="inlineStr">
        <is>
          <t>Gerard Hendry</t>
        </is>
      </c>
      <c r="I19" t="inlineStr">
        <is>
          <t>Infrastructure &amp; Utilities</t>
        </is>
      </c>
      <c r="J19" t="inlineStr">
        <is>
          <t>SSE</t>
        </is>
      </c>
      <c r="K19" t="inlineStr">
        <is>
          <t>Hazard</t>
        </is>
      </c>
      <c r="L19" t="inlineStr">
        <is>
          <t>Health &amp; Safety</t>
        </is>
      </c>
      <c r="M19" t="inlineStr">
        <is>
          <t>Damaged Asset</t>
        </is>
      </c>
      <c r="N19" t="inlineStr">
        <is>
          <t>Hazard / Close Call</t>
        </is>
      </c>
      <c r="O19" t="inlineStr">
        <is>
          <t>Property &amp; Infrastructure</t>
        </is>
      </c>
      <c r="P19" t="inlineStr">
        <is>
          <t>Building / Facilities Damage</t>
        </is>
      </c>
      <c r="Q19" t="inlineStr">
        <is>
          <t>Structural Safety</t>
        </is>
      </c>
      <c r="R19" t="inlineStr">
        <is>
          <t>Opportunity</t>
        </is>
      </c>
      <c r="S19" t="inlineStr">
        <is>
          <t>Minor</t>
        </is>
      </c>
      <c r="T19" t="inlineStr">
        <is>
          <t xml:space="preserve">Shaf E1 11kv pole 26 in-between sites 104 and 105. Loose stay wire has resulted in pole leaning. </t>
        </is>
      </c>
      <c r="U19" t="inlineStr">
        <is>
          <t>No</t>
        </is>
      </c>
      <c r="V19" t="inlineStr">
        <is>
          <t>N/A</t>
        </is>
      </c>
      <c r="W19" t="inlineStr">
        <is>
          <t xml:space="preserve">Lyndon Taylor </t>
        </is>
      </c>
      <c r="X19" t="inlineStr">
        <is>
          <t>3086 : SSE CONTRACTING</t>
        </is>
      </c>
      <c r="Y19" t="inlineStr">
        <is>
          <t>Site Name: Shaf E1 Between 104 and 105. Pole number 26 
Project Name: 
ELR:
W3W: ///anyone.helped.drew
Junction: 
RCC: 
Structure: 
Description:N/A</t>
        </is>
      </c>
      <c r="Z19" t="inlineStr">
        <is>
          <t>Yeovil</t>
        </is>
      </c>
      <c r="AA19" t="inlineStr">
        <is>
          <t>N/A</t>
        </is>
      </c>
      <c r="AB19" t="inlineStr">
        <is>
          <t>A30, Shaftesbury SP7, UK</t>
        </is>
      </c>
      <c r="AC19" t="inlineStr">
        <is>
          <t>No</t>
        </is>
      </c>
      <c r="AD19" t="inlineStr"/>
      <c r="AE19" t="inlineStr"/>
      <c r="AF19" t="inlineStr"/>
      <c r="AG19" t="inlineStr">
        <is>
          <t>0</t>
        </is>
      </c>
      <c r="AH19" t="inlineStr">
        <is>
          <t>Allocation</t>
        </is>
      </c>
      <c r="AI19" t="inlineStr"/>
      <c r="AJ19" t="inlineStr">
        <is>
          <t>No</t>
        </is>
      </c>
      <c r="AK19" t="inlineStr"/>
      <c r="AL19" t="inlineStr">
        <is>
          <t>N/A</t>
        </is>
      </c>
      <c r="AM19" t="inlineStr">
        <is>
          <t>No</t>
        </is>
      </c>
      <c r="AN19" t="inlineStr">
        <is>
          <t>£0.00</t>
        </is>
      </c>
      <c r="AO19" t="inlineStr">
        <is>
          <t>Actions Taken: QSI has been notified 
Actions RaisedNone
SC Notes: None</t>
        </is>
      </c>
      <c r="AP19" t="inlineStr">
        <is>
          <t>N/A</t>
        </is>
      </c>
      <c r="AQ19" t="inlineStr">
        <is>
          <t>08/05/2026 12:46</t>
        </is>
      </c>
      <c r="AR19" t="inlineStr"/>
      <c r="AS19" t="inlineStr">
        <is>
          <t>SSE</t>
        </is>
      </c>
      <c r="AT19" t="inlineStr">
        <is>
          <t>Infrastructure &amp; Utilities</t>
        </is>
      </c>
      <c r="AU19" t="inlineStr">
        <is>
          <t>10</t>
        </is>
      </c>
    </row>
    <row r="20" ht="15.75" customHeight="1" s="146">
      <c r="A20" t="inlineStr">
        <is>
          <t>40032</t>
        </is>
      </c>
      <c r="B20" t="inlineStr">
        <is>
          <t>Yes</t>
        </is>
      </c>
      <c r="C20" t="inlineStr">
        <is>
          <t>8 May 2026 / Joe Lemar</t>
        </is>
      </c>
      <c r="D20" t="inlineStr">
        <is>
          <t>AMBER ALERT - GC MANAGERS - RMS/044</t>
        </is>
      </c>
      <c r="E20" t="inlineStr">
        <is>
          <t>INC40032</t>
        </is>
      </c>
      <c r="F20" t="inlineStr">
        <is>
          <t>08/05/2026</t>
        </is>
      </c>
      <c r="G20" t="inlineStr">
        <is>
          <t>08/05/2026</t>
        </is>
      </c>
      <c r="H20" t="inlineStr">
        <is>
          <t>Joe Lemar</t>
        </is>
      </c>
      <c r="I20" t="inlineStr">
        <is>
          <t>Infrastructure &amp; Utilities</t>
        </is>
      </c>
      <c r="J20" t="inlineStr">
        <is>
          <t>SSE</t>
        </is>
      </c>
      <c r="K20" t="inlineStr">
        <is>
          <t>Hazard</t>
        </is>
      </c>
      <c r="L20" t="inlineStr">
        <is>
          <t>Health &amp; Safety</t>
        </is>
      </c>
      <c r="M20" t="inlineStr">
        <is>
          <t>Damaged Asset</t>
        </is>
      </c>
      <c r="N20" t="inlineStr">
        <is>
          <t>Hazard / Close Call</t>
        </is>
      </c>
      <c r="O20" t="inlineStr">
        <is>
          <t>Property &amp; Infrastructure</t>
        </is>
      </c>
      <c r="P20" t="inlineStr">
        <is>
          <t>Building / Facilities Damage</t>
        </is>
      </c>
      <c r="Q20" t="inlineStr">
        <is>
          <t>Customer Asset Damage</t>
        </is>
      </c>
      <c r="R20" t="inlineStr">
        <is>
          <t>Opportunity</t>
        </is>
      </c>
      <c r="S20" t="inlineStr">
        <is>
          <t>Minor</t>
        </is>
      </c>
      <c r="T20" t="inlineStr">
        <is>
          <t xml:space="preserve">During a 11kV PSI, whilst working in a tree to clear the HV overhead the climber noticed the underslung LV ABC had multiple rub throughs on all 3 phases and one phase had snapped. 
LV was confirmed dead for the outage so no electrical risk. 
Lv could not be fully seen prior to accessing the tree due to heavy vegetation. </t>
        </is>
      </c>
      <c r="U20" t="inlineStr">
        <is>
          <t>No</t>
        </is>
      </c>
      <c r="V20" t="inlineStr">
        <is>
          <t>N/A</t>
        </is>
      </c>
      <c r="W20" t="inlineStr">
        <is>
          <t>Joe lemar</t>
        </is>
      </c>
      <c r="X20" t="inlineStr">
        <is>
          <t>3086 : SSE CONTRACTING</t>
        </is>
      </c>
      <c r="Y20" t="inlineStr">
        <is>
          <t>Site Name: COLO e13 site 70
Project Name: 
ELR:
W3W: 
Junction: 
RCC: 
Structure: 
Description:Garden to the rear of Downs View Cottages</t>
        </is>
      </c>
      <c r="Z20" t="inlineStr">
        <is>
          <t>Oxford</t>
        </is>
      </c>
      <c r="AA20" t="inlineStr">
        <is>
          <t>N/A</t>
        </is>
      </c>
      <c r="AB20" t="inlineStr">
        <is>
          <t>Downs View Cottages, Wheatley Rd, Garsington, Oxford OX44 9DU, UK</t>
        </is>
      </c>
      <c r="AC20" t="inlineStr">
        <is>
          <t>No</t>
        </is>
      </c>
      <c r="AD20" t="inlineStr"/>
      <c r="AE20" t="inlineStr"/>
      <c r="AF20" t="inlineStr"/>
      <c r="AG20" t="inlineStr">
        <is>
          <t>0</t>
        </is>
      </c>
      <c r="AH20" t="inlineStr">
        <is>
          <t>Allocation</t>
        </is>
      </c>
      <c r="AI20" t="inlineStr"/>
      <c r="AJ20" t="inlineStr">
        <is>
          <t>No</t>
        </is>
      </c>
      <c r="AK20" t="inlineStr"/>
      <c r="AL20" t="inlineStr">
        <is>
          <t>N/A</t>
        </is>
      </c>
      <c r="AM20" t="inlineStr">
        <is>
          <t>No</t>
        </is>
      </c>
      <c r="AN20" t="inlineStr">
        <is>
          <t>£0.00</t>
        </is>
      </c>
      <c r="AO20" t="inlineStr">
        <is>
          <t>Actions Taken: SAP made immediately aware and raised to SSE as a fault. 
Exclusion around section of network to prevent further damage. 
Actions RaisedNone
SC Notes: None</t>
        </is>
      </c>
      <c r="AP20" t="inlineStr">
        <is>
          <t>N/A</t>
        </is>
      </c>
      <c r="AQ20" t="inlineStr">
        <is>
          <t>08/05/2026 13:16</t>
        </is>
      </c>
      <c r="AR20" t="inlineStr"/>
      <c r="AS20" t="inlineStr">
        <is>
          <t>SSE</t>
        </is>
      </c>
      <c r="AT20" t="inlineStr">
        <is>
          <t>Infrastructure &amp; Utilities</t>
        </is>
      </c>
      <c r="AU20" t="inlineStr">
        <is>
          <t>5</t>
        </is>
      </c>
    </row>
    <row r="21" ht="15.75" customHeight="1" s="146">
      <c r="A21" t="inlineStr">
        <is>
          <t>40036</t>
        </is>
      </c>
      <c r="B21" t="inlineStr">
        <is>
          <t>Yes</t>
        </is>
      </c>
      <c r="C21" t="inlineStr">
        <is>
          <t>8 May 2026 / 7996 M G Tree Surgery Ltd 1</t>
        </is>
      </c>
      <c r="D21" t="inlineStr">
        <is>
          <t>AMBER ALERT - GC TEAMS - RMS/053</t>
        </is>
      </c>
      <c r="E21" t="inlineStr">
        <is>
          <t>INC40036</t>
        </is>
      </c>
      <c r="F21" t="inlineStr">
        <is>
          <t>08/05/2026</t>
        </is>
      </c>
      <c r="G21" t="inlineStr">
        <is>
          <t>08/05/2026</t>
        </is>
      </c>
      <c r="H21" t="inlineStr">
        <is>
          <t>7996 M G Tree Surgery Ltd 1</t>
        </is>
      </c>
      <c r="I21" t="inlineStr">
        <is>
          <t>Infrastructure &amp; Utilities</t>
        </is>
      </c>
      <c r="J21" t="inlineStr">
        <is>
          <t>UKPN</t>
        </is>
      </c>
      <c r="K21" t="inlineStr">
        <is>
          <t>Hazard</t>
        </is>
      </c>
      <c r="L21" t="inlineStr">
        <is>
          <t>Health &amp; Safety</t>
        </is>
      </c>
      <c r="M21" t="inlineStr">
        <is>
          <t>DDD Trees</t>
        </is>
      </c>
      <c r="N21" t="inlineStr">
        <is>
          <t>Hazard / Close Call</t>
        </is>
      </c>
      <c r="O21" t="inlineStr">
        <is>
          <t>Ecology &amp; Vegetation</t>
        </is>
      </c>
      <c r="P21" t="inlineStr">
        <is>
          <t>Flora</t>
        </is>
      </c>
      <c r="Q21" t="inlineStr">
        <is>
          <t>DDD Trees</t>
        </is>
      </c>
      <c r="R21" t="inlineStr">
        <is>
          <t>Opportunity</t>
        </is>
      </c>
      <c r="S21" t="inlineStr">
        <is>
          <t>Minor</t>
        </is>
      </c>
      <c r="T21" t="inlineStr">
        <is>
          <t>Spotted a dodgy old Ash coppice, with large cavity and heavy lean towards the network.
E16B between poles 417695-4
W3W location of tree: install.appoints.slicing 
Access: field off Potton road, Guilden Morden, Sandy, SG19 3LJ</t>
        </is>
      </c>
      <c r="U21" t="inlineStr"/>
      <c r="V21" t="inlineStr">
        <is>
          <t>N/A</t>
        </is>
      </c>
      <c r="W21" t="inlineStr"/>
      <c r="X21" t="inlineStr">
        <is>
          <t>N/A</t>
        </is>
      </c>
      <c r="Y21" t="inlineStr">
        <is>
          <t>Site Name: 
Project Name: 
ELR:
W3W: 
Junction: 
RCC: 
Structure: 
Description:</t>
        </is>
      </c>
      <c r="Z21" t="inlineStr">
        <is>
          <t>EPN North - Cambridge</t>
        </is>
      </c>
      <c r="AA21" t="inlineStr">
        <is>
          <t>N/A</t>
        </is>
      </c>
      <c r="AB21" t="inlineStr"/>
      <c r="AC21" t="inlineStr">
        <is>
          <t>No</t>
        </is>
      </c>
      <c r="AD21" t="inlineStr"/>
      <c r="AE21" t="inlineStr"/>
      <c r="AF21" t="inlineStr"/>
      <c r="AG21" t="inlineStr">
        <is>
          <t>0</t>
        </is>
      </c>
      <c r="AH21" t="inlineStr">
        <is>
          <t>Allocation</t>
        </is>
      </c>
      <c r="AI21" t="inlineStr"/>
      <c r="AJ21" t="inlineStr">
        <is>
          <t>No</t>
        </is>
      </c>
      <c r="AK21" t="inlineStr"/>
      <c r="AL21" t="inlineStr">
        <is>
          <t>N/A</t>
        </is>
      </c>
      <c r="AM21" t="inlineStr">
        <is>
          <t>No</t>
        </is>
      </c>
      <c r="AN21" t="inlineStr">
        <is>
          <t>£0.00</t>
        </is>
      </c>
      <c r="AO21" t="inlineStr">
        <is>
          <t>Actions Taken: 
Actions RaisedNone
SC Notes: None</t>
        </is>
      </c>
      <c r="AP21" t="inlineStr">
        <is>
          <t>N/A</t>
        </is>
      </c>
      <c r="AQ21" t="inlineStr">
        <is>
          <t>08/05/2026 13:35</t>
        </is>
      </c>
      <c r="AR21" t="inlineStr"/>
      <c r="AS21" t="inlineStr">
        <is>
          <t>UKPN</t>
        </is>
      </c>
      <c r="AT21" t="inlineStr">
        <is>
          <t>Infrastructure &amp; Utilities</t>
        </is>
      </c>
      <c r="AU21" t="inlineStr">
        <is>
          <t>6</t>
        </is>
      </c>
    </row>
    <row r="22" ht="15.75" customHeight="1" s="146">
      <c r="A22" t="inlineStr">
        <is>
          <t>40041</t>
        </is>
      </c>
      <c r="B22" t="inlineStr">
        <is>
          <t>Yes</t>
        </is>
      </c>
      <c r="C22" t="inlineStr">
        <is>
          <t>8 May 2026 / Rodney Taylor</t>
        </is>
      </c>
      <c r="D22" t="inlineStr">
        <is>
          <t>AMBER ALERT - GC MANAGERS - RMS/044</t>
        </is>
      </c>
      <c r="E22" t="inlineStr">
        <is>
          <t>INC40041</t>
        </is>
      </c>
      <c r="F22" t="inlineStr">
        <is>
          <t>08/05/2026</t>
        </is>
      </c>
      <c r="G22" t="inlineStr">
        <is>
          <t>08/05/2026</t>
        </is>
      </c>
      <c r="H22" t="inlineStr">
        <is>
          <t>Rodney Taylor</t>
        </is>
      </c>
      <c r="I22" t="inlineStr">
        <is>
          <t>Infrastructure &amp; Utilities</t>
        </is>
      </c>
      <c r="J22" t="inlineStr">
        <is>
          <t>NGED</t>
        </is>
      </c>
      <c r="K22" t="inlineStr">
        <is>
          <t>Hazard</t>
        </is>
      </c>
      <c r="L22" t="inlineStr">
        <is>
          <t>Health &amp; Safety</t>
        </is>
      </c>
      <c r="M22" t="inlineStr">
        <is>
          <t>Animals</t>
        </is>
      </c>
      <c r="N22" t="inlineStr">
        <is>
          <t>Hazard / Close Call</t>
        </is>
      </c>
      <c r="O22" t="inlineStr">
        <is>
          <t>Ecology &amp; Vegetation</t>
        </is>
      </c>
      <c r="P22" t="inlineStr">
        <is>
          <t>Fauna</t>
        </is>
      </c>
      <c r="Q22" t="inlineStr">
        <is>
          <t>Animals</t>
        </is>
      </c>
      <c r="R22" t="inlineStr">
        <is>
          <t>Opportunity</t>
        </is>
      </c>
      <c r="S22" t="inlineStr">
        <is>
          <t>Minor</t>
        </is>
      </c>
      <c r="T22" t="inlineStr">
        <is>
          <t>Not able to access field as horse in paddock and electric fence on.</t>
        </is>
      </c>
      <c r="U22" t="inlineStr">
        <is>
          <t>No</t>
        </is>
      </c>
      <c r="V22" t="inlineStr">
        <is>
          <t>N/A</t>
        </is>
      </c>
      <c r="W22" t="inlineStr">
        <is>
          <t xml:space="preserve">Rod Taylor </t>
        </is>
      </c>
      <c r="X22" t="inlineStr">
        <is>
          <t>N/A</t>
        </is>
      </c>
      <c r="Y22" t="inlineStr">
        <is>
          <t>Site Name: 
Project Name: 910026/0006 pole HHFB24 
ELR:
W3W: 
Junction: 
RCC: 
Structure: 
Description:Farm paddock</t>
        </is>
      </c>
      <c r="Z22" t="inlineStr">
        <is>
          <t>Lincs South</t>
        </is>
      </c>
      <c r="AA22" t="inlineStr">
        <is>
          <t>N/A</t>
        </is>
      </c>
      <c r="AB22" t="inlineStr">
        <is>
          <t>Coneygarth House, Hurn Bank, Holbeach Hurn, Holbeach, Spalding PE12 8JL, UK
(52.8273035, 0.0414028)</t>
        </is>
      </c>
      <c r="AC22" t="inlineStr">
        <is>
          <t>No</t>
        </is>
      </c>
      <c r="AD22" t="inlineStr"/>
      <c r="AE22" t="inlineStr"/>
      <c r="AF22" t="inlineStr"/>
      <c r="AG22" t="inlineStr">
        <is>
          <t>0</t>
        </is>
      </c>
      <c r="AH22" t="inlineStr">
        <is>
          <t>Allocation</t>
        </is>
      </c>
      <c r="AI22" t="inlineStr"/>
      <c r="AJ22" t="inlineStr">
        <is>
          <t>No</t>
        </is>
      </c>
      <c r="AK22" t="inlineStr"/>
      <c r="AL22" t="inlineStr">
        <is>
          <t>N/A</t>
        </is>
      </c>
      <c r="AM22" t="inlineStr">
        <is>
          <t>No</t>
        </is>
      </c>
      <c r="AN22" t="inlineStr">
        <is>
          <t>£0.00</t>
        </is>
      </c>
      <c r="AO22" t="inlineStr">
        <is>
          <t>Actions Taken: Was able to taken picture of span from edge of field.
Actions RaisedNone
SC Notes: None</t>
        </is>
      </c>
      <c r="AP22" t="inlineStr">
        <is>
          <t>N/A</t>
        </is>
      </c>
      <c r="AQ22" t="inlineStr">
        <is>
          <t>08/05/2026 14:31</t>
        </is>
      </c>
      <c r="AR22" t="inlineStr"/>
      <c r="AS22" t="inlineStr">
        <is>
          <t>NGED</t>
        </is>
      </c>
      <c r="AT22" t="inlineStr">
        <is>
          <t>Infrastructure &amp; Utilities</t>
        </is>
      </c>
      <c r="AU22" t="inlineStr">
        <is>
          <t>3</t>
        </is>
      </c>
    </row>
    <row r="23" ht="15.75" customHeight="1" s="146"/>
    <row r="24" ht="15.75" customHeight="1" s="146"/>
    <row r="25" ht="15.75" customHeight="1" s="146"/>
    <row r="26" ht="15.75" customHeight="1" s="146"/>
    <row r="27" ht="15.75" customHeight="1" s="146"/>
    <row r="28" ht="15.75" customHeight="1" s="146"/>
    <row r="29" ht="15.75" customHeight="1" s="146"/>
    <row r="30" ht="15.75" customHeight="1" s="146"/>
    <row r="31" ht="15.75" customHeight="1" s="146"/>
    <row r="32" ht="15.75" customHeight="1" s="146"/>
    <row r="33" ht="15.75" customHeight="1" s="146"/>
    <row r="34" ht="15.75" customHeight="1" s="146"/>
    <row r="35" ht="15.75" customHeight="1" s="146"/>
    <row r="36" ht="15.75" customHeight="1" s="146"/>
    <row r="37" ht="15.75" customHeight="1" s="146"/>
    <row r="38" ht="15.75" customHeight="1" s="146"/>
    <row r="39" ht="15.75" customHeight="1" s="146"/>
    <row r="40" ht="15.75" customHeight="1" s="146"/>
    <row r="41" ht="15.75" customHeight="1" s="146"/>
    <row r="42" ht="15.75" customHeight="1" s="146"/>
    <row r="43" ht="15.75" customHeight="1" s="146"/>
    <row r="44" ht="15.75" customHeight="1" s="146"/>
    <row r="45" ht="15.75" customHeight="1" s="146"/>
    <row r="46" ht="15.75" customHeight="1" s="146"/>
    <row r="47" ht="15.75" customHeight="1" s="146"/>
    <row r="48" ht="15.75" customHeight="1" s="146"/>
    <row r="49" ht="15.75" customHeight="1" s="146"/>
    <row r="50" ht="15.75" customHeight="1" s="146"/>
    <row r="51" ht="15.75" customHeight="1" s="146"/>
    <row r="52" ht="15.75" customHeight="1" s="146"/>
    <row r="53" ht="15.75" customHeight="1" s="146"/>
    <row r="54" ht="15.75" customHeight="1" s="146"/>
    <row r="55" ht="15.75" customHeight="1" s="146"/>
    <row r="56" ht="15.75" customHeight="1" s="146"/>
    <row r="57" ht="15.75" customHeight="1" s="146"/>
    <row r="58" ht="15.75" customHeight="1" s="146"/>
    <row r="59" ht="15.75" customHeight="1" s="146"/>
    <row r="60" ht="15.75" customHeight="1" s="146"/>
    <row r="61" ht="15.75" customHeight="1" s="146"/>
    <row r="62" ht="15.75" customHeight="1" s="146"/>
    <row r="63" ht="15.75" customHeight="1" s="146"/>
    <row r="64" ht="15.75" customHeight="1" s="146"/>
    <row r="65" ht="15.75" customHeight="1" s="146"/>
    <row r="66" ht="15.75" customHeight="1" s="146"/>
    <row r="67" ht="15.75" customHeight="1" s="146"/>
    <row r="68" ht="15.75" customHeight="1" s="146"/>
    <row r="69" ht="15.75" customHeight="1" s="146"/>
    <row r="70" ht="15.75" customHeight="1" s="146"/>
    <row r="71" ht="15.75" customHeight="1" s="146"/>
    <row r="72" ht="15.75" customHeight="1" s="146"/>
    <row r="73" ht="15.75" customHeight="1" s="146"/>
    <row r="74" ht="15.75" customHeight="1" s="146"/>
    <row r="75" ht="15.75" customHeight="1" s="146"/>
    <row r="76" ht="15.75" customHeight="1" s="146"/>
    <row r="77" ht="15.75" customHeight="1" s="146"/>
    <row r="78" ht="15.75" customHeight="1" s="146"/>
    <row r="79" ht="15.75" customHeight="1" s="146"/>
    <row r="80" ht="15.75" customHeight="1" s="146"/>
    <row r="81" ht="15.75" customHeight="1" s="146"/>
    <row r="82" ht="15.75" customHeight="1" s="146"/>
    <row r="83" ht="15.75" customHeight="1" s="146"/>
    <row r="84" ht="15.75" customHeight="1" s="146"/>
    <row r="85" ht="15.75" customHeight="1" s="146"/>
    <row r="86" ht="15.75" customHeight="1" s="146"/>
    <row r="87" ht="15.75" customHeight="1" s="146"/>
    <row r="88" ht="15.75" customHeight="1" s="146"/>
    <row r="89" ht="15.75" customHeight="1" s="146"/>
    <row r="90" ht="15.75" customHeight="1" s="146"/>
    <row r="91" ht="15.75" customHeight="1" s="146"/>
    <row r="92" ht="15.75" customHeight="1" s="146"/>
    <row r="93" ht="15.75" customHeight="1" s="146"/>
    <row r="94" ht="15.75" customHeight="1" s="146"/>
    <row r="95" ht="15.75" customHeight="1" s="146"/>
    <row r="96" ht="15.75" customHeight="1" s="146"/>
    <row r="97" ht="15.75" customHeight="1" s="146"/>
    <row r="98" ht="15.75" customHeight="1" s="146"/>
    <row r="99" ht="15.75" customHeight="1" s="146"/>
    <row r="100" ht="15.75" customHeight="1" s="146"/>
    <row r="101" ht="15.75" customHeight="1" s="146"/>
    <row r="102" ht="15.75" customHeight="1" s="146"/>
    <row r="103" ht="15.75" customHeight="1" s="146"/>
    <row r="104" ht="15.75" customHeight="1" s="146"/>
    <row r="105" ht="15.75" customHeight="1" s="146"/>
    <row r="106" ht="15.75" customHeight="1" s="146"/>
    <row r="107" ht="15.75" customHeight="1" s="146"/>
    <row r="108" ht="15.75" customHeight="1" s="146"/>
    <row r="109" ht="15.75" customHeight="1" s="146"/>
    <row r="110" ht="15.75" customHeight="1" s="146"/>
    <row r="111" ht="15.75" customHeight="1" s="146"/>
    <row r="112" ht="15.75" customHeight="1" s="146"/>
    <row r="113" ht="15.75" customHeight="1" s="146"/>
    <row r="114" ht="15.75" customHeight="1" s="146"/>
    <row r="115" ht="15.75" customHeight="1" s="146"/>
    <row r="116" ht="15.75" customHeight="1" s="146"/>
    <row r="117" ht="15.75" customHeight="1" s="146"/>
    <row r="118" ht="15.75" customHeight="1" s="146"/>
    <row r="119" ht="15.75" customHeight="1" s="146"/>
    <row r="120" ht="15.75" customHeight="1" s="146"/>
    <row r="121" ht="15.75" customHeight="1" s="146"/>
    <row r="122" ht="15.75" customHeight="1" s="146"/>
    <row r="123" ht="15.75" customHeight="1" s="146"/>
    <row r="124" ht="15.75" customHeight="1" s="146"/>
    <row r="125" ht="15.75" customHeight="1" s="146"/>
    <row r="126" ht="15.75" customHeight="1" s="146"/>
    <row r="127" ht="15.75" customHeight="1" s="146"/>
    <row r="128" ht="15.75" customHeight="1" s="146"/>
    <row r="129" ht="15.75" customHeight="1" s="146"/>
    <row r="130" ht="15.75" customHeight="1" s="146"/>
    <row r="131" ht="15.75" customHeight="1" s="146"/>
    <row r="132" ht="15.75" customHeight="1" s="146"/>
    <row r="133" ht="15.75" customHeight="1" s="146"/>
    <row r="134" ht="15.75" customHeight="1" s="146"/>
    <row r="135" ht="15.75" customHeight="1" s="146"/>
    <row r="136" ht="15.75" customHeight="1" s="146"/>
    <row r="137" ht="15.75" customHeight="1" s="146"/>
    <row r="138" ht="15.75" customHeight="1" s="146"/>
    <row r="139" ht="15.75" customHeight="1" s="146"/>
    <row r="140" ht="15.75" customHeight="1" s="146"/>
    <row r="141" ht="15.75" customHeight="1" s="146"/>
    <row r="142" ht="15.75" customHeight="1" s="146"/>
    <row r="143" ht="15.75" customHeight="1" s="146"/>
    <row r="144" ht="15.75" customHeight="1" s="146"/>
    <row r="145" ht="15.75" customHeight="1" s="146"/>
    <row r="146" ht="15.75" customHeight="1" s="146"/>
    <row r="147" ht="15.75" customHeight="1" s="146"/>
    <row r="148" ht="15.75" customHeight="1" s="146"/>
    <row r="149" ht="15.75" customHeight="1" s="146"/>
    <row r="150" ht="15.75" customHeight="1" s="146"/>
    <row r="151" ht="15.75" customHeight="1" s="146"/>
    <row r="152" ht="15.75" customHeight="1" s="146"/>
    <row r="153" ht="15.75" customHeight="1" s="146"/>
    <row r="154" ht="15.75" customHeight="1" s="146"/>
    <row r="155" ht="15.75" customHeight="1" s="146"/>
    <row r="156" ht="15.75" customHeight="1" s="146"/>
    <row r="157" ht="15.75" customHeight="1" s="146"/>
    <row r="158" ht="15.75" customHeight="1" s="146"/>
    <row r="159" ht="15.75" customHeight="1" s="146"/>
    <row r="160" ht="15.75" customHeight="1" s="146"/>
    <row r="161" ht="15.75" customHeight="1" s="146"/>
    <row r="162" ht="15.75" customHeight="1" s="146"/>
    <row r="163" ht="15.75" customHeight="1" s="146"/>
    <row r="164" ht="15.75" customHeight="1" s="146"/>
    <row r="165" ht="15.75" customHeight="1" s="146"/>
    <row r="166" ht="15.75" customHeight="1" s="146"/>
    <row r="167" ht="15.75" customHeight="1" s="146"/>
    <row r="168" ht="15.75" customHeight="1" s="146"/>
    <row r="169" ht="15.75" customHeight="1" s="146"/>
    <row r="170" ht="15.75" customHeight="1" s="146"/>
    <row r="171" ht="15.75" customHeight="1" s="146"/>
    <row r="172" ht="15.75" customHeight="1" s="146"/>
    <row r="173" ht="15.75" customHeight="1" s="146"/>
    <row r="174" ht="15.75" customHeight="1" s="146"/>
    <row r="175" ht="15.75" customHeight="1" s="146"/>
    <row r="176" ht="15.75" customHeight="1" s="146"/>
    <row r="177" ht="15.75" customHeight="1" s="146"/>
    <row r="178" ht="15.75" customHeight="1" s="146"/>
    <row r="179" ht="15.75" customHeight="1" s="146"/>
    <row r="180" ht="15.75" customHeight="1" s="146"/>
    <row r="181" ht="15.75" customHeight="1" s="146"/>
    <row r="182" ht="15.75" customHeight="1" s="146"/>
    <row r="183" ht="15.75" customHeight="1" s="146"/>
    <row r="184" ht="15.75" customHeight="1" s="146"/>
    <row r="185" ht="15.75" customHeight="1" s="146"/>
    <row r="186" ht="15.75" customHeight="1" s="146"/>
    <row r="187" ht="15.75" customHeight="1" s="146"/>
    <row r="188" ht="15.75" customHeight="1" s="146"/>
    <row r="189" ht="15.75" customHeight="1" s="146"/>
    <row r="190" ht="15.75" customHeight="1" s="146"/>
    <row r="191" ht="15.75" customHeight="1" s="146"/>
    <row r="192" ht="15.75" customHeight="1" s="146"/>
    <row r="193" ht="15.75" customHeight="1" s="146"/>
    <row r="194" ht="15.75" customHeight="1" s="146"/>
    <row r="195" ht="15.75" customHeight="1" s="146"/>
    <row r="196" ht="15.75" customHeight="1" s="146"/>
    <row r="197" ht="15.75" customHeight="1" s="146"/>
    <row r="198" ht="15.75" customHeight="1" s="146"/>
    <row r="199" ht="15.75" customHeight="1" s="146"/>
    <row r="200" ht="15.75" customHeight="1" s="146"/>
    <row r="201" ht="15.75" customHeight="1" s="146"/>
    <row r="202" ht="15.75" customHeight="1" s="146"/>
    <row r="203" ht="15.75" customHeight="1" s="146"/>
    <row r="204" ht="15.75" customHeight="1" s="146"/>
    <row r="205" ht="15.75" customHeight="1" s="146"/>
    <row r="206" ht="15.75" customHeight="1" s="146"/>
    <row r="207" ht="15.75" customHeight="1" s="146"/>
    <row r="208" ht="15.75" customHeight="1" s="146"/>
    <row r="209" ht="15.75" customHeight="1" s="146"/>
    <row r="210" ht="15.75" customHeight="1" s="146"/>
    <row r="211" ht="15.75" customHeight="1" s="146"/>
    <row r="212" ht="15.75" customHeight="1" s="146"/>
    <row r="213" ht="15.75" customHeight="1" s="146"/>
    <row r="214" ht="15.75" customHeight="1" s="146"/>
    <row r="215" ht="15.75" customHeight="1" s="146"/>
    <row r="216" ht="15.75" customHeight="1" s="146"/>
    <row r="217" ht="15.75" customHeight="1" s="146"/>
    <row r="218" ht="15.75" customHeight="1" s="146"/>
    <row r="219" ht="15.75" customHeight="1" s="146"/>
    <row r="220" ht="15.75" customHeight="1" s="146"/>
    <row r="221" ht="15.75" customHeight="1" s="146"/>
    <row r="222" ht="15.75" customHeight="1" s="146"/>
    <row r="223" ht="15.75" customHeight="1" s="146"/>
    <row r="224" ht="15.75" customHeight="1" s="146"/>
    <row r="225" ht="15.75" customHeight="1" s="146"/>
    <row r="226" ht="15.75" customHeight="1" s="146"/>
    <row r="227" ht="15.75" customHeight="1" s="146"/>
    <row r="228" ht="15.75" customHeight="1" s="146"/>
    <row r="229" ht="15.75" customHeight="1" s="146"/>
    <row r="230" ht="15.75" customHeight="1" s="146"/>
    <row r="231" ht="15.75" customHeight="1" s="146"/>
    <row r="232" ht="15.75" customHeight="1" s="146"/>
    <row r="233" ht="15.75" customHeight="1" s="146"/>
    <row r="234" ht="15.75" customHeight="1" s="146"/>
    <row r="235" ht="15.75" customHeight="1" s="146"/>
    <row r="236" ht="15.75" customHeight="1" s="146"/>
    <row r="237" ht="15.75" customHeight="1" s="146"/>
    <row r="238" ht="15.75" customHeight="1" s="146"/>
    <row r="239" ht="15.75" customHeight="1" s="146"/>
    <row r="240" ht="15.75" customHeight="1" s="146"/>
    <row r="241" ht="15.75" customHeight="1" s="146"/>
    <row r="242" ht="15.75" customHeight="1" s="146"/>
    <row r="243" ht="15.75" customHeight="1" s="146"/>
    <row r="244" ht="15.75" customHeight="1" s="146"/>
    <row r="245" ht="15.75" customHeight="1" s="146"/>
    <row r="246" ht="15.75" customHeight="1" s="146"/>
    <row r="247" ht="15.75" customHeight="1" s="146"/>
    <row r="248" ht="15.75" customHeight="1" s="146"/>
    <row r="249" ht="15.75" customHeight="1" s="146"/>
    <row r="250" ht="15.75" customHeight="1" s="146"/>
    <row r="251" ht="15.75" customHeight="1" s="146"/>
    <row r="252" ht="15.75" customHeight="1" s="146"/>
    <row r="253" ht="15.75" customHeight="1" s="146"/>
    <row r="254" ht="15.75" customHeight="1" s="146"/>
    <row r="255" ht="15.75" customHeight="1" s="146"/>
    <row r="256" ht="15.75" customHeight="1" s="146"/>
    <row r="257" ht="15.75" customHeight="1" s="146"/>
    <row r="258" ht="15.75" customHeight="1" s="146"/>
    <row r="259" ht="15.75" customHeight="1" s="146"/>
    <row r="260" ht="15.75" customHeight="1" s="146"/>
    <row r="261" ht="15.75" customHeight="1" s="146"/>
    <row r="262" ht="15.75" customHeight="1" s="146"/>
    <row r="263" ht="15.75" customHeight="1" s="146"/>
    <row r="264" ht="15.75" customHeight="1" s="146"/>
    <row r="265" ht="15.75" customHeight="1" s="146"/>
    <row r="266" ht="15.75" customHeight="1" s="146"/>
    <row r="267" ht="15.75" customHeight="1" s="146"/>
    <row r="268" ht="15.75" customHeight="1" s="146"/>
    <row r="269" ht="15.75" customHeight="1" s="146"/>
    <row r="270" ht="15.75" customHeight="1" s="146"/>
    <row r="271" ht="15.75" customHeight="1" s="146"/>
    <row r="272" ht="15.75" customHeight="1" s="146"/>
    <row r="273" ht="15.75" customHeight="1" s="146"/>
    <row r="274" ht="15.75" customHeight="1" s="146"/>
    <row r="275" ht="15.75" customHeight="1" s="146"/>
    <row r="276" ht="15.75" customHeight="1" s="146"/>
    <row r="277" ht="15.75" customHeight="1" s="146"/>
    <row r="278" ht="15.75" customHeight="1" s="146"/>
    <row r="279" ht="15.75" customHeight="1" s="146"/>
    <row r="280" ht="15.75" customHeight="1" s="146"/>
    <row r="281" ht="15.75" customHeight="1" s="146"/>
    <row r="282" ht="15.75" customHeight="1" s="146"/>
    <row r="283" ht="15.75" customHeight="1" s="146"/>
    <row r="284" ht="15.75" customHeight="1" s="146"/>
    <row r="285" ht="15.75" customHeight="1" s="146"/>
    <row r="286" ht="15.75" customHeight="1" s="146"/>
    <row r="287" ht="15.75" customHeight="1" s="146"/>
    <row r="288" ht="15.75" customHeight="1" s="146"/>
    <row r="289" ht="15.75" customHeight="1" s="146"/>
    <row r="290" ht="15.75" customHeight="1" s="146"/>
    <row r="291" ht="15.75" customHeight="1" s="146"/>
    <row r="292" ht="15.75" customHeight="1" s="146"/>
    <row r="293" ht="15.75" customHeight="1" s="146"/>
    <row r="294" ht="15.75" customHeight="1" s="146"/>
    <row r="295" ht="15.75" customHeight="1" s="146"/>
    <row r="296" ht="15.75" customHeight="1" s="146"/>
    <row r="297" ht="15.75" customHeight="1" s="146"/>
    <row r="298" ht="15.75" customHeight="1" s="146"/>
    <row r="299" ht="15.75" customHeight="1" s="146"/>
    <row r="300" ht="15.75" customHeight="1" s="146"/>
    <row r="301" ht="15.75" customHeight="1" s="146"/>
    <row r="302" ht="15.75" customHeight="1" s="146"/>
    <row r="303" ht="15.75" customHeight="1" s="146"/>
    <row r="304" ht="15.75" customHeight="1" s="146"/>
    <row r="305" ht="15.75" customHeight="1" s="146"/>
    <row r="306" ht="15.75" customHeight="1" s="146"/>
    <row r="307" ht="15.75" customHeight="1" s="146"/>
    <row r="308" ht="15.75" customHeight="1" s="146"/>
    <row r="309" ht="15.75" customHeight="1" s="146"/>
    <row r="310" ht="15.75" customHeight="1" s="146"/>
    <row r="311" ht="15.75" customHeight="1" s="146"/>
    <row r="312" ht="15.75" customHeight="1" s="146"/>
    <row r="313" ht="15.75" customHeight="1" s="146"/>
    <row r="314" ht="15.75" customHeight="1" s="146"/>
    <row r="315" ht="15.75" customHeight="1" s="146"/>
    <row r="316" ht="15.75" customHeight="1" s="146"/>
    <row r="317" ht="15.75" customHeight="1" s="146"/>
    <row r="318" ht="15.75" customHeight="1" s="146"/>
    <row r="319" ht="15.75" customHeight="1" s="146"/>
    <row r="320" ht="15.75" customHeight="1" s="146"/>
    <row r="321" ht="15.75" customHeight="1" s="146"/>
    <row r="322" ht="15.75" customHeight="1" s="146"/>
    <row r="323" ht="15.75" customHeight="1" s="146"/>
    <row r="324" ht="15.75" customHeight="1" s="146"/>
    <row r="325" ht="15.75" customHeight="1" s="146"/>
    <row r="326" ht="15.75" customHeight="1" s="146"/>
    <row r="327" ht="15.75" customHeight="1" s="146"/>
    <row r="328" ht="15.75" customHeight="1" s="146"/>
    <row r="329" ht="15.75" customHeight="1" s="146"/>
    <row r="330" ht="15.75" customHeight="1" s="146"/>
    <row r="331" ht="15.75" customHeight="1" s="146"/>
    <row r="332" ht="15.75" customHeight="1" s="146"/>
    <row r="333" ht="15.75" customHeight="1" s="146"/>
    <row r="334" ht="15.75" customHeight="1" s="146"/>
    <row r="335" ht="15.75" customHeight="1" s="146"/>
    <row r="336" ht="15.75" customHeight="1" s="146"/>
    <row r="337" ht="15.75" customHeight="1" s="146"/>
    <row r="338" ht="15.75" customHeight="1" s="146"/>
    <row r="339" ht="15.75" customHeight="1" s="146"/>
    <row r="340" ht="15.75" customHeight="1" s="146"/>
    <row r="341" ht="15.75" customHeight="1" s="146"/>
    <row r="342" ht="15.75" customHeight="1" s="146"/>
    <row r="343" ht="15.75" customHeight="1" s="146"/>
    <row r="344" ht="15.75" customHeight="1" s="146"/>
    <row r="345" ht="15.75" customHeight="1" s="146"/>
    <row r="346" ht="15.75" customHeight="1" s="146"/>
    <row r="347" ht="15.75" customHeight="1" s="146"/>
    <row r="348" ht="15.75" customHeight="1" s="146"/>
    <row r="349" ht="15.75" customHeight="1" s="146"/>
    <row r="350" ht="15.75" customHeight="1" s="146"/>
    <row r="351" ht="15.75" customHeight="1" s="146"/>
    <row r="352" ht="15.75" customHeight="1" s="146"/>
    <row r="353" ht="15.75" customHeight="1" s="146"/>
    <row r="354" ht="15.75" customHeight="1" s="146"/>
    <row r="355" ht="15.75" customHeight="1" s="146"/>
    <row r="356" ht="15.75" customHeight="1" s="146"/>
    <row r="357" ht="15.75" customHeight="1" s="146"/>
    <row r="358" ht="15.75" customHeight="1" s="146"/>
    <row r="359" ht="15.75" customHeight="1" s="146"/>
    <row r="360" ht="15.75" customHeight="1" s="146"/>
    <row r="361" ht="15.75" customHeight="1" s="146"/>
    <row r="362" ht="15.75" customHeight="1" s="146"/>
    <row r="363" ht="15.75" customHeight="1" s="146"/>
    <row r="364" ht="15.75" customHeight="1" s="146"/>
    <row r="365" ht="15.75" customHeight="1" s="146"/>
    <row r="366" ht="15.75" customHeight="1" s="146"/>
    <row r="367" ht="15.75" customHeight="1" s="146"/>
    <row r="368" ht="15.75" customHeight="1" s="146"/>
    <row r="369" ht="15.75" customHeight="1" s="146"/>
    <row r="370" ht="15.75" customHeight="1" s="146"/>
    <row r="371" ht="15.75" customHeight="1" s="146"/>
    <row r="372" ht="15.75" customHeight="1" s="146"/>
    <row r="373" ht="15.75" customHeight="1" s="146"/>
    <row r="374" ht="15.75" customHeight="1" s="146"/>
    <row r="375" ht="15.75" customHeight="1" s="146"/>
    <row r="376" ht="15.75" customHeight="1" s="146"/>
    <row r="377" ht="15.75" customHeight="1" s="146"/>
    <row r="378" ht="15.75" customHeight="1" s="146"/>
    <row r="379" ht="15.75" customHeight="1" s="146"/>
    <row r="380" ht="15.75" customHeight="1" s="146"/>
    <row r="381" ht="15.75" customHeight="1" s="146"/>
    <row r="382" ht="15.75" customHeight="1" s="146"/>
    <row r="383" ht="15.75" customHeight="1" s="146"/>
    <row r="384" ht="15.75" customHeight="1" s="146"/>
    <row r="385" ht="15.75" customHeight="1" s="146"/>
    <row r="386" ht="15.75" customHeight="1" s="146"/>
    <row r="387" ht="15.75" customHeight="1" s="146"/>
    <row r="388" ht="15.75" customHeight="1" s="146"/>
    <row r="389" ht="15.75" customHeight="1" s="146"/>
    <row r="390" ht="15.75" customHeight="1" s="146"/>
    <row r="391" ht="15.75" customHeight="1" s="146"/>
    <row r="392" ht="15.75" customHeight="1" s="146"/>
    <row r="393" ht="15.75" customHeight="1" s="146"/>
    <row r="394" ht="15.75" customHeight="1" s="146"/>
    <row r="395" ht="15.75" customHeight="1" s="146"/>
    <row r="396" ht="15.75" customHeight="1" s="146"/>
    <row r="397" ht="15.75" customHeight="1" s="146"/>
    <row r="398" ht="15.75" customHeight="1" s="146"/>
    <row r="399" ht="15.75" customHeight="1" s="146"/>
    <row r="400" ht="15.75" customHeight="1" s="146"/>
    <row r="401" ht="15.75" customHeight="1" s="146"/>
    <row r="402" ht="15.75" customHeight="1" s="146"/>
    <row r="403" ht="15.75" customHeight="1" s="146"/>
    <row r="404" ht="15.75" customHeight="1" s="146"/>
    <row r="405" ht="15.75" customHeight="1" s="146"/>
    <row r="406" ht="15.75" customHeight="1" s="146"/>
    <row r="407" ht="15.75" customHeight="1" s="146"/>
    <row r="408" ht="15.75" customHeight="1" s="146"/>
    <row r="409" ht="15.75" customHeight="1" s="146"/>
    <row r="410" ht="15.75" customHeight="1" s="146"/>
    <row r="411" ht="15.75" customHeight="1" s="146"/>
    <row r="412" ht="15.75" customHeight="1" s="146"/>
    <row r="413" ht="15.75" customHeight="1" s="146"/>
    <row r="414" ht="15.75" customHeight="1" s="146"/>
    <row r="415" ht="15.75" customHeight="1" s="146"/>
    <row r="416" ht="15.75" customHeight="1" s="146"/>
    <row r="417" ht="15.75" customHeight="1" s="146"/>
    <row r="418" ht="15.75" customHeight="1" s="146"/>
    <row r="419" ht="15.75" customHeight="1" s="146"/>
    <row r="420" ht="15.75" customHeight="1" s="146"/>
    <row r="421" ht="15.75" customHeight="1" s="146"/>
    <row r="422" ht="15.75" customHeight="1" s="146"/>
    <row r="423" ht="15.75" customHeight="1" s="146"/>
    <row r="424" ht="15.75" customHeight="1" s="146"/>
    <row r="425" ht="15.75" customHeight="1" s="146"/>
    <row r="426" ht="15.75" customHeight="1" s="146"/>
    <row r="427" ht="15.75" customHeight="1" s="146"/>
    <row r="428" ht="15.75" customHeight="1" s="146"/>
    <row r="429" ht="15.75" customHeight="1" s="146"/>
    <row r="430" ht="15.75" customHeight="1" s="146"/>
    <row r="431" ht="15.75" customHeight="1" s="146"/>
    <row r="432" ht="15.75" customHeight="1" s="146"/>
    <row r="433" ht="15.75" customHeight="1" s="146"/>
    <row r="434" ht="15.75" customHeight="1" s="146"/>
    <row r="435" ht="15.75" customHeight="1" s="146"/>
    <row r="436" ht="15.75" customHeight="1" s="146"/>
    <row r="437" ht="15.75" customHeight="1" s="146"/>
    <row r="438" ht="15.75" customHeight="1" s="146"/>
    <row r="439" ht="15.75" customHeight="1" s="146"/>
    <row r="440" ht="15.75" customHeight="1" s="146"/>
    <row r="441" ht="15.75" customHeight="1" s="146"/>
    <row r="442" ht="15.75" customHeight="1" s="146"/>
    <row r="443" ht="15.75" customHeight="1" s="146"/>
    <row r="444" ht="15.75" customHeight="1" s="146"/>
    <row r="445" ht="15.75" customHeight="1" s="146"/>
    <row r="446" ht="15.75" customHeight="1" s="146"/>
    <row r="447" ht="15.75" customHeight="1" s="146"/>
    <row r="448" ht="15.75" customHeight="1" s="146"/>
    <row r="449" ht="15.75" customHeight="1" s="146"/>
    <row r="450" ht="15.75" customHeight="1" s="146"/>
    <row r="451" ht="15.75" customHeight="1" s="146"/>
    <row r="452" ht="15.75" customHeight="1" s="146"/>
    <row r="453" ht="15.75" customHeight="1" s="146"/>
    <row r="454" ht="15.75" customHeight="1" s="146"/>
    <row r="455" ht="15.75" customHeight="1" s="146"/>
    <row r="456" ht="15.75" customHeight="1" s="146"/>
    <row r="457" ht="15.75" customHeight="1" s="146"/>
    <row r="458" ht="15.75" customHeight="1" s="146"/>
    <row r="459" ht="15.75" customHeight="1" s="146"/>
    <row r="460" ht="15.75" customHeight="1" s="146"/>
    <row r="461" ht="15.75" customHeight="1" s="146"/>
    <row r="462" ht="15.75" customHeight="1" s="146"/>
    <row r="463" ht="15.75" customHeight="1" s="146"/>
    <row r="464" ht="15.75" customHeight="1" s="146"/>
    <row r="465" ht="15.75" customHeight="1" s="146"/>
    <row r="466" ht="15.75" customHeight="1" s="146"/>
    <row r="467" ht="15.75" customHeight="1" s="146"/>
    <row r="468" ht="15.75" customHeight="1" s="146"/>
    <row r="469" ht="15.75" customHeight="1" s="146"/>
    <row r="470" ht="15.75" customHeight="1" s="146"/>
    <row r="471" ht="15.75" customHeight="1" s="146"/>
    <row r="472" ht="15.75" customHeight="1" s="146"/>
    <row r="473" ht="15.75" customHeight="1" s="146"/>
    <row r="474" ht="15.75" customHeight="1" s="146"/>
    <row r="475" ht="15.75" customHeight="1" s="146"/>
    <row r="476" ht="15.75" customHeight="1" s="146"/>
    <row r="477" ht="15.75" customHeight="1" s="146"/>
    <row r="478" ht="15.75" customHeight="1" s="146"/>
    <row r="479" ht="15.75" customHeight="1" s="146"/>
    <row r="480" ht="15.75" customHeight="1" s="146"/>
    <row r="481" ht="15.75" customHeight="1" s="146"/>
    <row r="482" ht="15.75" customHeight="1" s="146"/>
    <row r="483" ht="15.75" customHeight="1" s="146"/>
    <row r="484" ht="15.75" customHeight="1" s="146"/>
    <row r="485" ht="15.75" customHeight="1" s="146"/>
    <row r="486" ht="15.75" customHeight="1" s="146"/>
    <row r="487" ht="15.75" customHeight="1" s="146"/>
    <row r="488" ht="15.75" customHeight="1" s="146"/>
    <row r="489" ht="15.75" customHeight="1" s="146"/>
    <row r="490" ht="15.75" customHeight="1" s="146"/>
    <row r="491" ht="15.75" customHeight="1" s="146"/>
    <row r="492" ht="15.75" customHeight="1" s="146"/>
    <row r="493" ht="15.75" customHeight="1" s="146"/>
    <row r="494" ht="15.75" customHeight="1" s="146"/>
    <row r="495" ht="15.75" customHeight="1" s="146"/>
    <row r="496" ht="15.75" customHeight="1" s="146"/>
    <row r="497" ht="15.75" customHeight="1" s="146"/>
    <row r="498" ht="15.75" customHeight="1" s="146"/>
    <row r="499" ht="15.75" customHeight="1" s="146"/>
    <row r="500" ht="15.75" customHeight="1" s="146"/>
    <row r="501" ht="15.75" customHeight="1" s="146"/>
    <row r="502" ht="15.75" customHeight="1" s="146"/>
    <row r="503" ht="15.75" customHeight="1" s="146"/>
    <row r="504" ht="15.75" customHeight="1" s="146"/>
    <row r="505" ht="15.75" customHeight="1" s="146"/>
    <row r="506" ht="15.75" customHeight="1" s="146"/>
    <row r="507" ht="15.75" customHeight="1" s="146"/>
    <row r="508" ht="15.75" customHeight="1" s="146"/>
    <row r="509" ht="15.75" customHeight="1" s="146"/>
    <row r="510" ht="15.75" customHeight="1" s="146"/>
    <row r="511" ht="15.75" customHeight="1" s="146"/>
    <row r="512" ht="15.75" customHeight="1" s="146"/>
    <row r="513" ht="15.75" customHeight="1" s="146"/>
    <row r="514" ht="15.75" customHeight="1" s="146"/>
    <row r="515" ht="15.75" customHeight="1" s="146"/>
    <row r="516" ht="15.75" customHeight="1" s="146"/>
    <row r="517" ht="15.75" customHeight="1" s="146"/>
    <row r="518" ht="15.75" customHeight="1" s="146"/>
    <row r="519" ht="15.75" customHeight="1" s="146"/>
    <row r="520" ht="15.75" customHeight="1" s="146"/>
    <row r="521" ht="15.75" customHeight="1" s="146"/>
    <row r="522" ht="15.75" customHeight="1" s="146"/>
    <row r="523" ht="15.75" customHeight="1" s="146"/>
    <row r="524" ht="15.75" customHeight="1" s="146"/>
    <row r="525" ht="15.75" customHeight="1" s="146"/>
    <row r="526" ht="15.75" customHeight="1" s="146"/>
    <row r="527" ht="15.75" customHeight="1" s="146"/>
    <row r="528" ht="15.75" customHeight="1" s="146"/>
    <row r="529" ht="15.75" customHeight="1" s="146"/>
    <row r="530" ht="15.75" customHeight="1" s="146"/>
    <row r="531" ht="15.75" customHeight="1" s="146"/>
    <row r="532" ht="15.75" customHeight="1" s="146"/>
    <row r="533" ht="15.75" customHeight="1" s="146"/>
    <row r="534" ht="15.75" customHeight="1" s="146"/>
    <row r="535" ht="15.75" customHeight="1" s="146"/>
    <row r="536" ht="15.75" customHeight="1" s="146"/>
    <row r="537" ht="15.75" customHeight="1" s="146"/>
    <row r="538" ht="15.75" customHeight="1" s="146"/>
    <row r="539" ht="15.75" customHeight="1" s="146"/>
    <row r="540" ht="15.75" customHeight="1" s="146"/>
    <row r="541" ht="15.75" customHeight="1" s="146"/>
    <row r="542" ht="15.75" customHeight="1" s="146"/>
    <row r="543" ht="15.75" customHeight="1" s="146"/>
    <row r="544" ht="15.75" customHeight="1" s="146"/>
    <row r="545" ht="15.75" customHeight="1" s="146"/>
    <row r="546" ht="15.75" customHeight="1" s="146"/>
    <row r="547" ht="15.75" customHeight="1" s="146"/>
    <row r="548" ht="15.75" customHeight="1" s="146"/>
    <row r="549" ht="15.75" customHeight="1" s="146"/>
    <row r="550" ht="15.75" customHeight="1" s="146"/>
    <row r="551" ht="15.75" customHeight="1" s="146"/>
    <row r="552" ht="15.75" customHeight="1" s="146"/>
    <row r="553" ht="15.75" customHeight="1" s="146"/>
    <row r="554" ht="15.75" customHeight="1" s="146"/>
    <row r="555" ht="15.75" customHeight="1" s="146"/>
    <row r="556" ht="15.75" customHeight="1" s="146"/>
    <row r="557" ht="15.75" customHeight="1" s="146"/>
    <row r="558" ht="15.75" customHeight="1" s="146"/>
    <row r="559" ht="15.75" customHeight="1" s="146"/>
    <row r="560" ht="15.75" customHeight="1" s="146"/>
    <row r="561" ht="15.75" customHeight="1" s="146"/>
    <row r="562" ht="15.75" customHeight="1" s="146"/>
    <row r="563" ht="15.75" customHeight="1" s="146"/>
    <row r="564" ht="15.75" customHeight="1" s="146"/>
    <row r="565" ht="15.75" customHeight="1" s="146"/>
    <row r="566" ht="15.75" customHeight="1" s="146"/>
    <row r="567" ht="15.75" customHeight="1" s="146"/>
    <row r="568" ht="15.75" customHeight="1" s="146"/>
    <row r="569" ht="15.75" customHeight="1" s="146"/>
    <row r="570" ht="15.75" customHeight="1" s="146"/>
    <row r="571" ht="15.75" customHeight="1" s="146"/>
    <row r="572" ht="15.75" customHeight="1" s="146"/>
    <row r="573" ht="15.75" customHeight="1" s="146"/>
    <row r="574" ht="15.75" customHeight="1" s="146"/>
    <row r="575" ht="15.75" customHeight="1" s="146"/>
    <row r="576" ht="15.75" customHeight="1" s="146"/>
    <row r="577" ht="15.75" customHeight="1" s="146"/>
    <row r="578" ht="15.75" customHeight="1" s="146"/>
    <row r="579" ht="15.75" customHeight="1" s="146"/>
    <row r="580" ht="15.75" customHeight="1" s="146"/>
    <row r="581" ht="15.75" customHeight="1" s="146"/>
    <row r="582" ht="15.75" customHeight="1" s="146"/>
    <row r="583" ht="15.75" customHeight="1" s="146"/>
    <row r="584" ht="15.75" customHeight="1" s="146"/>
    <row r="585" ht="15.75" customHeight="1" s="146"/>
    <row r="586" ht="15.75" customHeight="1" s="146"/>
    <row r="587" ht="15.75" customHeight="1" s="146"/>
    <row r="588" ht="15.75" customHeight="1" s="146"/>
    <row r="589" ht="15.75" customHeight="1" s="146"/>
    <row r="590" ht="15.75" customHeight="1" s="146"/>
    <row r="591" ht="15.75" customHeight="1" s="146"/>
    <row r="592" ht="15.75" customHeight="1" s="146"/>
    <row r="593" ht="15.75" customHeight="1" s="146"/>
    <row r="594" ht="15.75" customHeight="1" s="146"/>
    <row r="595" ht="15.75" customHeight="1" s="146"/>
    <row r="596" ht="15.75" customHeight="1" s="146"/>
    <row r="597" ht="15.75" customHeight="1" s="146"/>
    <row r="598" ht="15.75" customHeight="1" s="146"/>
    <row r="599" ht="15.75" customHeight="1" s="146"/>
    <row r="600" ht="15.75" customHeight="1" s="146"/>
    <row r="601" ht="15.75" customHeight="1" s="146"/>
    <row r="602" ht="15.75" customHeight="1" s="146"/>
    <row r="603" ht="15.75" customHeight="1" s="146"/>
    <row r="604" ht="15.75" customHeight="1" s="146"/>
    <row r="605" ht="15.75" customHeight="1" s="146"/>
    <row r="606" ht="15.75" customHeight="1" s="146"/>
    <row r="607" ht="15.75" customHeight="1" s="146"/>
    <row r="608" ht="15.75" customHeight="1" s="146"/>
    <row r="609" ht="15.75" customHeight="1" s="146"/>
    <row r="610" ht="15.75" customHeight="1" s="146"/>
    <row r="611" ht="15.75" customHeight="1" s="146"/>
    <row r="612" ht="15.75" customHeight="1" s="146"/>
    <row r="613" ht="15.75" customHeight="1" s="146"/>
    <row r="614" ht="15.75" customHeight="1" s="146"/>
    <row r="615" ht="15.75" customHeight="1" s="146"/>
    <row r="616" ht="15.75" customHeight="1" s="146"/>
    <row r="617" ht="15.75" customHeight="1" s="146"/>
    <row r="618" ht="15.75" customHeight="1" s="146"/>
    <row r="619" ht="15.75" customHeight="1" s="146"/>
    <row r="620" ht="15.75" customHeight="1" s="146"/>
    <row r="621" ht="15.75" customHeight="1" s="146"/>
    <row r="622" ht="15.75" customHeight="1" s="146"/>
    <row r="623" ht="15.75" customHeight="1" s="146"/>
    <row r="624" ht="15.75" customHeight="1" s="146"/>
    <row r="625" ht="15.75" customHeight="1" s="146"/>
    <row r="626" ht="15.75" customHeight="1" s="146"/>
    <row r="627" ht="15.75" customHeight="1" s="146"/>
    <row r="628" ht="15.75" customHeight="1" s="146"/>
    <row r="629" ht="15.75" customHeight="1" s="146"/>
    <row r="630" ht="15.75" customHeight="1" s="146"/>
    <row r="631" ht="15.75" customHeight="1" s="146"/>
    <row r="632" ht="15.75" customHeight="1" s="146"/>
    <row r="633" ht="15.75" customHeight="1" s="146"/>
    <row r="634" ht="15.75" customHeight="1" s="146"/>
    <row r="635" ht="15.75" customHeight="1" s="146"/>
    <row r="636" ht="15.75" customHeight="1" s="146"/>
    <row r="637" ht="15.75" customHeight="1" s="146"/>
    <row r="638" ht="15.75" customHeight="1" s="146"/>
    <row r="639" ht="15.75" customHeight="1" s="146"/>
    <row r="640" ht="15.75" customHeight="1" s="146"/>
    <row r="641" ht="15.75" customHeight="1" s="146"/>
    <row r="642" ht="15.75" customHeight="1" s="146"/>
    <row r="643" ht="15.75" customHeight="1" s="146"/>
    <row r="644" ht="15.75" customHeight="1" s="146"/>
    <row r="645" ht="15.75" customHeight="1" s="146"/>
    <row r="646" ht="15.75" customHeight="1" s="146"/>
    <row r="647" ht="15.75" customHeight="1" s="146"/>
    <row r="648" ht="15.75" customHeight="1" s="146"/>
    <row r="649" ht="15.75" customHeight="1" s="146"/>
    <row r="650" ht="15.75" customHeight="1" s="146"/>
    <row r="651" ht="15.75" customHeight="1" s="146"/>
    <row r="652" ht="15.75" customHeight="1" s="146"/>
    <row r="653" ht="15.75" customHeight="1" s="146"/>
    <row r="654" ht="15.75" customHeight="1" s="146"/>
    <row r="655" ht="15.75" customHeight="1" s="146"/>
    <row r="656" ht="15.75" customHeight="1" s="146"/>
    <row r="657" ht="15.75" customHeight="1" s="146"/>
    <row r="658" ht="15.75" customHeight="1" s="146"/>
    <row r="659" ht="15.75" customHeight="1" s="146"/>
    <row r="660" ht="15.75" customHeight="1" s="146"/>
    <row r="661" ht="15.75" customHeight="1" s="146"/>
    <row r="662" ht="15.75" customHeight="1" s="146"/>
    <row r="663" ht="15.75" customHeight="1" s="146"/>
    <row r="664" ht="15.75" customHeight="1" s="146"/>
    <row r="665" ht="15.75" customHeight="1" s="146"/>
    <row r="666" ht="15.75" customHeight="1" s="146"/>
    <row r="667" ht="15.75" customHeight="1" s="146"/>
    <row r="668" ht="15.75" customHeight="1" s="146"/>
    <row r="669" ht="15.75" customHeight="1" s="146"/>
    <row r="670" ht="15.75" customHeight="1" s="146"/>
    <row r="671" ht="15.75" customHeight="1" s="146"/>
    <row r="672" ht="15.75" customHeight="1" s="146"/>
    <row r="673" ht="15.75" customHeight="1" s="146"/>
    <row r="674" ht="15.75" customHeight="1" s="146"/>
    <row r="675" ht="15.75" customHeight="1" s="146"/>
    <row r="676" ht="15.75" customHeight="1" s="146"/>
    <row r="677" ht="15.75" customHeight="1" s="146"/>
    <row r="678" ht="15.75" customHeight="1" s="146"/>
    <row r="679" ht="15.75" customHeight="1" s="146"/>
    <row r="680" ht="15.75" customHeight="1" s="146"/>
    <row r="681" ht="15.75" customHeight="1" s="146"/>
    <row r="682" ht="15.75" customHeight="1" s="146"/>
    <row r="683" ht="15.75" customHeight="1" s="146"/>
    <row r="684" ht="15.75" customHeight="1" s="146"/>
    <row r="685" ht="15.75" customHeight="1" s="146"/>
    <row r="686" ht="15.75" customHeight="1" s="146"/>
    <row r="687" ht="15.75" customHeight="1" s="146"/>
    <row r="688" ht="15.75" customHeight="1" s="146"/>
    <row r="689" ht="15.75" customHeight="1" s="146"/>
    <row r="690" ht="15.75" customHeight="1" s="146"/>
    <row r="691" ht="15.75" customHeight="1" s="146"/>
    <row r="692" ht="15.75" customHeight="1" s="146"/>
    <row r="693" ht="15.75" customHeight="1" s="146"/>
    <row r="694" ht="15.75" customHeight="1" s="146"/>
    <row r="695" ht="15.75" customHeight="1" s="146"/>
    <row r="696" ht="15.75" customHeight="1" s="146"/>
    <row r="697" ht="15.75" customHeight="1" s="146"/>
    <row r="698" ht="15.75" customHeight="1" s="146"/>
    <row r="699" ht="15.75" customHeight="1" s="146"/>
    <row r="700" ht="15.75" customHeight="1" s="146"/>
    <row r="701" ht="15.75" customHeight="1" s="146"/>
    <row r="702" ht="15.75" customHeight="1" s="146"/>
    <row r="703" ht="15.75" customHeight="1" s="146"/>
    <row r="704" ht="15.75" customHeight="1" s="146"/>
    <row r="705" ht="15.75" customHeight="1" s="146"/>
    <row r="706" ht="15.75" customHeight="1" s="146"/>
    <row r="707" ht="15.75" customHeight="1" s="146"/>
    <row r="708" ht="15.75" customHeight="1" s="146"/>
    <row r="709" ht="15.75" customHeight="1" s="146"/>
    <row r="710" ht="15.75" customHeight="1" s="146"/>
    <row r="711" ht="15.75" customHeight="1" s="146"/>
    <row r="712" ht="15.75" customHeight="1" s="146"/>
    <row r="713" ht="15.75" customHeight="1" s="146"/>
    <row r="714" ht="15.75" customHeight="1" s="146"/>
    <row r="715" ht="15.75" customHeight="1" s="146"/>
    <row r="716" ht="15.75" customHeight="1" s="146"/>
    <row r="717" ht="15.75" customHeight="1" s="146"/>
    <row r="718" ht="15.75" customHeight="1" s="146"/>
    <row r="719" ht="15.75" customHeight="1" s="146"/>
    <row r="720" ht="15.75" customHeight="1" s="146"/>
    <row r="721" ht="15.75" customHeight="1" s="146"/>
    <row r="722" ht="15.75" customHeight="1" s="146"/>
    <row r="723" ht="15.75" customHeight="1" s="146"/>
    <row r="724" ht="15.75" customHeight="1" s="146"/>
    <row r="725" ht="15.75" customHeight="1" s="146"/>
    <row r="726" ht="15.75" customHeight="1" s="146"/>
    <row r="727" ht="15.75" customHeight="1" s="146"/>
    <row r="728" ht="15.75" customHeight="1" s="146"/>
    <row r="729" ht="15.75" customHeight="1" s="146"/>
    <row r="730" ht="15.75" customHeight="1" s="146"/>
    <row r="731" ht="15.75" customHeight="1" s="146"/>
    <row r="732" ht="15.75" customHeight="1" s="146"/>
    <row r="733" ht="15.75" customHeight="1" s="146"/>
    <row r="734" ht="15.75" customHeight="1" s="146"/>
    <row r="735" ht="15.75" customHeight="1" s="146"/>
    <row r="736" ht="15.75" customHeight="1" s="146"/>
    <row r="737" ht="15.75" customHeight="1" s="146"/>
    <row r="738" ht="15.75" customHeight="1" s="146"/>
    <row r="739" ht="15.75" customHeight="1" s="146"/>
    <row r="740" ht="15.75" customHeight="1" s="146"/>
    <row r="741" ht="15.75" customHeight="1" s="146"/>
    <row r="742" ht="15.75" customHeight="1" s="146"/>
    <row r="743" ht="15.75" customHeight="1" s="146"/>
    <row r="744" ht="15.75" customHeight="1" s="146"/>
    <row r="745" ht="15.75" customHeight="1" s="146"/>
    <row r="746" ht="15.75" customHeight="1" s="146"/>
    <row r="747" ht="15.75" customHeight="1" s="146"/>
    <row r="748" ht="15.75" customHeight="1" s="146"/>
    <row r="749" ht="15.75" customHeight="1" s="146"/>
    <row r="750" ht="15.75" customHeight="1" s="146"/>
    <row r="751" ht="15.75" customHeight="1" s="146"/>
    <row r="752" ht="15.75" customHeight="1" s="146"/>
    <row r="753" ht="15.75" customHeight="1" s="146"/>
    <row r="754" ht="15.75" customHeight="1" s="146"/>
    <row r="755" ht="15.75" customHeight="1" s="146"/>
    <row r="756" ht="15.75" customHeight="1" s="146"/>
    <row r="757" ht="15.75" customHeight="1" s="146"/>
    <row r="758" ht="15.75" customHeight="1" s="146"/>
    <row r="759" ht="15.75" customHeight="1" s="146"/>
    <row r="760" ht="15.75" customHeight="1" s="146"/>
    <row r="761" ht="15.75" customHeight="1" s="146"/>
    <row r="762" ht="15.75" customHeight="1" s="146"/>
    <row r="763" ht="15.75" customHeight="1" s="146"/>
    <row r="764" ht="15.75" customHeight="1" s="146"/>
    <row r="765" ht="15.75" customHeight="1" s="146"/>
    <row r="766" ht="15.75" customHeight="1" s="146"/>
    <row r="767" ht="15.75" customHeight="1" s="146"/>
    <row r="768" ht="15.75" customHeight="1" s="146"/>
    <row r="769" ht="15.75" customHeight="1" s="146"/>
    <row r="770" ht="15.75" customHeight="1" s="146"/>
    <row r="771" ht="15.75" customHeight="1" s="146"/>
    <row r="772" ht="15.75" customHeight="1" s="146"/>
    <row r="773" ht="15.75" customHeight="1" s="146"/>
    <row r="774" ht="15.75" customHeight="1" s="146"/>
    <row r="775" ht="15.75" customHeight="1" s="146"/>
    <row r="776" ht="15.75" customHeight="1" s="146"/>
    <row r="777" ht="15.75" customHeight="1" s="146"/>
    <row r="778" ht="15.75" customHeight="1" s="146"/>
    <row r="779" ht="15.75" customHeight="1" s="146"/>
    <row r="780" ht="15.75" customHeight="1" s="146"/>
    <row r="781" ht="15.75" customHeight="1" s="146"/>
    <row r="782" ht="15.75" customHeight="1" s="146"/>
    <row r="783" ht="15.75" customHeight="1" s="146"/>
    <row r="784" ht="15.75" customHeight="1" s="146"/>
    <row r="785" ht="15.75" customHeight="1" s="146"/>
    <row r="786" ht="15.75" customHeight="1" s="146"/>
    <row r="787" ht="15.75" customHeight="1" s="146"/>
    <row r="788" ht="15.75" customHeight="1" s="146"/>
    <row r="789" ht="15.75" customHeight="1" s="146"/>
    <row r="790" ht="15.75" customHeight="1" s="146"/>
    <row r="791" ht="15.75" customHeight="1" s="146"/>
    <row r="792" ht="15.75" customHeight="1" s="146"/>
    <row r="793" ht="15.75" customHeight="1" s="146"/>
    <row r="794" ht="15.75" customHeight="1" s="146"/>
    <row r="795" ht="15.75" customHeight="1" s="146"/>
    <row r="796" ht="15.75" customHeight="1" s="146"/>
    <row r="797" ht="15.75" customHeight="1" s="146"/>
    <row r="798" ht="15.75" customHeight="1" s="146"/>
    <row r="799" ht="15.75" customHeight="1" s="146"/>
    <row r="800" ht="15.75" customHeight="1" s="146"/>
    <row r="801" ht="15.75" customHeight="1" s="146"/>
    <row r="802" ht="15.75" customHeight="1" s="146"/>
    <row r="803" ht="15.75" customHeight="1" s="146"/>
    <row r="804" ht="15.75" customHeight="1" s="146"/>
    <row r="805" ht="15.75" customHeight="1" s="146"/>
    <row r="806" ht="15.75" customHeight="1" s="146"/>
    <row r="807" ht="15.75" customHeight="1" s="146"/>
    <row r="808" ht="15.75" customHeight="1" s="146"/>
    <row r="809" ht="15.75" customHeight="1" s="146"/>
    <row r="810" ht="15.75" customHeight="1" s="146"/>
    <row r="811" ht="15.75" customHeight="1" s="146"/>
    <row r="812" ht="15.75" customHeight="1" s="146"/>
    <row r="813" ht="15.75" customHeight="1" s="146"/>
    <row r="814" ht="15.75" customHeight="1" s="146"/>
    <row r="815" ht="15.75" customHeight="1" s="146"/>
    <row r="816" ht="15.75" customHeight="1" s="146"/>
    <row r="817" ht="15.75" customHeight="1" s="146"/>
    <row r="818" ht="15.75" customHeight="1" s="146"/>
    <row r="819" ht="15.75" customHeight="1" s="146"/>
    <row r="820" ht="15.75" customHeight="1" s="146"/>
    <row r="821" ht="15.75" customHeight="1" s="146"/>
    <row r="822" ht="15.75" customHeight="1" s="146"/>
    <row r="823" ht="15.75" customHeight="1" s="146"/>
    <row r="824" ht="15.75" customHeight="1" s="146"/>
    <row r="825" ht="15.75" customHeight="1" s="146"/>
    <row r="826" ht="15.75" customHeight="1" s="146"/>
    <row r="827" ht="15.75" customHeight="1" s="146"/>
    <row r="828" ht="15.75" customHeight="1" s="146"/>
    <row r="829" ht="15.75" customHeight="1" s="146"/>
    <row r="830" ht="15.75" customHeight="1" s="146"/>
    <row r="831" ht="15.75" customHeight="1" s="146"/>
    <row r="832" ht="15.75" customHeight="1" s="146"/>
    <row r="833" ht="15.75" customHeight="1" s="146"/>
    <row r="834" ht="15.75" customHeight="1" s="146"/>
    <row r="835" ht="15.75" customHeight="1" s="146"/>
    <row r="836" ht="15.75" customHeight="1" s="146"/>
    <row r="837" ht="15.75" customHeight="1" s="146"/>
    <row r="838" ht="15.75" customHeight="1" s="146"/>
    <row r="839" ht="15.75" customHeight="1" s="146"/>
    <row r="840" ht="15.75" customHeight="1" s="146"/>
    <row r="841" ht="15.75" customHeight="1" s="146"/>
    <row r="842" ht="15.75" customHeight="1" s="146"/>
    <row r="843" ht="15.75" customHeight="1" s="146"/>
    <row r="844" ht="15.75" customHeight="1" s="146"/>
    <row r="845" ht="15.75" customHeight="1" s="146"/>
    <row r="846" ht="15.75" customHeight="1" s="146"/>
    <row r="847" ht="15.75" customHeight="1" s="146"/>
    <row r="848" ht="15.75" customHeight="1" s="146"/>
    <row r="849" ht="15.75" customHeight="1" s="146"/>
    <row r="850" ht="15.75" customHeight="1" s="146"/>
    <row r="851" ht="15.75" customHeight="1" s="146"/>
    <row r="852" ht="15.75" customHeight="1" s="146"/>
    <row r="853" ht="15.75" customHeight="1" s="146"/>
    <row r="854" ht="15.75" customHeight="1" s="146"/>
    <row r="855" ht="15.75" customHeight="1" s="146"/>
    <row r="856" ht="15.75" customHeight="1" s="146"/>
    <row r="857" ht="15.75" customHeight="1" s="146"/>
    <row r="858" ht="15.75" customHeight="1" s="146"/>
    <row r="859" ht="15.75" customHeight="1" s="146"/>
    <row r="860" ht="15.75" customHeight="1" s="146"/>
    <row r="861" ht="15.75" customHeight="1" s="146"/>
    <row r="862" ht="15.75" customHeight="1" s="146"/>
    <row r="863" ht="15.75" customHeight="1" s="146"/>
    <row r="864" ht="15.75" customHeight="1" s="146"/>
    <row r="865" ht="15.75" customHeight="1" s="146"/>
    <row r="866" ht="15.75" customHeight="1" s="146"/>
    <row r="867" ht="15.75" customHeight="1" s="146"/>
    <row r="868" ht="15.75" customHeight="1" s="146"/>
    <row r="869" ht="15.75" customHeight="1" s="146"/>
    <row r="870" ht="15.75" customHeight="1" s="146"/>
    <row r="871" ht="15.75" customHeight="1" s="146"/>
    <row r="872" ht="15.75" customHeight="1" s="146"/>
    <row r="873" ht="15.75" customHeight="1" s="146"/>
    <row r="874" ht="15.75" customHeight="1" s="146"/>
    <row r="875" ht="15.75" customHeight="1" s="146"/>
    <row r="876" ht="15.75" customHeight="1" s="146"/>
    <row r="877" ht="15.75" customHeight="1" s="146"/>
    <row r="878" ht="15.75" customHeight="1" s="146"/>
    <row r="879" ht="15.75" customHeight="1" s="146"/>
    <row r="880" ht="15.75" customHeight="1" s="146"/>
    <row r="881" ht="15.75" customHeight="1" s="146"/>
    <row r="882" ht="15.75" customHeight="1" s="146"/>
    <row r="883" ht="15.75" customHeight="1" s="146"/>
    <row r="884" ht="15.75" customHeight="1" s="146"/>
    <row r="885" ht="15.75" customHeight="1" s="146"/>
    <row r="886" ht="15.75" customHeight="1" s="146"/>
    <row r="887" ht="15.75" customHeight="1" s="146"/>
    <row r="888" ht="15.75" customHeight="1" s="146"/>
    <row r="889" ht="15.75" customHeight="1" s="146"/>
    <row r="890" ht="15.75" customHeight="1" s="146"/>
    <row r="891" ht="15.75" customHeight="1" s="146"/>
    <row r="892" ht="15.75" customHeight="1" s="146"/>
    <row r="893" ht="15.75" customHeight="1" s="146"/>
    <row r="894" ht="15.75" customHeight="1" s="146"/>
    <row r="895" ht="15.75" customHeight="1" s="146"/>
    <row r="896" ht="15.75" customHeight="1" s="146"/>
    <row r="897" ht="15.75" customHeight="1" s="146"/>
    <row r="898" ht="15.75" customHeight="1" s="146"/>
    <row r="899" ht="15.75" customHeight="1" s="146"/>
    <row r="900" ht="15.75" customHeight="1" s="146"/>
    <row r="901" ht="15.75" customHeight="1" s="146"/>
    <row r="902" ht="15.75" customHeight="1" s="146"/>
    <row r="903" ht="15.75" customHeight="1" s="146"/>
    <row r="904" ht="15.75" customHeight="1" s="146"/>
    <row r="905" ht="15.75" customHeight="1" s="146"/>
    <row r="906" ht="15.75" customHeight="1" s="146"/>
    <row r="907" ht="15.75" customHeight="1" s="146"/>
    <row r="908" ht="15.75" customHeight="1" s="146"/>
    <row r="909" ht="15.75" customHeight="1" s="146"/>
    <row r="910" ht="15.75" customHeight="1" s="146"/>
    <row r="911" ht="15.75" customHeight="1" s="146"/>
    <row r="912" ht="15.75" customHeight="1" s="146"/>
    <row r="913" ht="15.75" customHeight="1" s="146"/>
    <row r="914" ht="15.75" customHeight="1" s="146"/>
    <row r="915" ht="15.75" customHeight="1" s="146"/>
    <row r="916" ht="15.75" customHeight="1" s="146"/>
    <row r="917" ht="15.75" customHeight="1" s="146"/>
    <row r="918" ht="15.75" customHeight="1" s="146"/>
    <row r="919" ht="15.75" customHeight="1" s="146"/>
    <row r="920" ht="15.75" customHeight="1" s="146"/>
    <row r="921" ht="15.75" customHeight="1" s="146"/>
    <row r="922" ht="15.75" customHeight="1" s="146"/>
    <row r="923" ht="15.75" customHeight="1" s="146"/>
    <row r="924" ht="15.75" customHeight="1" s="146"/>
    <row r="925" ht="15.75" customHeight="1" s="146"/>
    <row r="926" ht="15.75" customHeight="1" s="146"/>
    <row r="927" ht="15.75" customHeight="1" s="146"/>
    <row r="928" ht="15.75" customHeight="1" s="146"/>
    <row r="929" ht="15.75" customHeight="1" s="146"/>
    <row r="930" ht="15.75" customHeight="1" s="146"/>
    <row r="931" ht="15.75" customHeight="1" s="146"/>
    <row r="932" ht="15.75" customHeight="1" s="146"/>
    <row r="933" ht="15.75" customHeight="1" s="146"/>
    <row r="934" ht="15.75" customHeight="1" s="146"/>
    <row r="935" ht="15.75" customHeight="1" s="146"/>
    <row r="936" ht="15.75" customHeight="1" s="146"/>
    <row r="937" ht="15.75" customHeight="1" s="146"/>
    <row r="938" ht="15.75" customHeight="1" s="146"/>
    <row r="939" ht="15.75" customHeight="1" s="146"/>
    <row r="940" ht="15.75" customHeight="1" s="146"/>
    <row r="941" ht="15.75" customHeight="1" s="146"/>
    <row r="942" ht="15.75" customHeight="1" s="146"/>
    <row r="943" ht="15.75" customHeight="1" s="146"/>
    <row r="944" ht="15.75" customHeight="1" s="146"/>
    <row r="945" ht="15.75" customHeight="1" s="146"/>
    <row r="946" ht="15.75" customHeight="1" s="146"/>
    <row r="947" ht="15.75" customHeight="1" s="146"/>
    <row r="948" ht="15.75" customHeight="1" s="146"/>
    <row r="949" ht="15.75" customHeight="1" s="146"/>
    <row r="950" ht="15.75" customHeight="1" s="146"/>
    <row r="951" ht="15.75" customHeight="1" s="146"/>
    <row r="952" ht="15.75" customHeight="1" s="146"/>
    <row r="953" ht="15.75" customHeight="1" s="146"/>
    <row r="954" ht="15.75" customHeight="1" s="146"/>
    <row r="955" ht="15.75" customHeight="1" s="146"/>
    <row r="956" ht="15.75" customHeight="1" s="146"/>
    <row r="957" ht="15.75" customHeight="1" s="146"/>
    <row r="958" ht="15.75" customHeight="1" s="146"/>
    <row r="959" ht="15.75" customHeight="1" s="146"/>
    <row r="960" ht="15.75" customHeight="1" s="146"/>
    <row r="961" ht="15.75" customHeight="1" s="146"/>
    <row r="962" ht="15.75" customHeight="1" s="146"/>
    <row r="963" ht="15.75" customHeight="1" s="146"/>
    <row r="964" ht="15.75" customHeight="1" s="146"/>
    <row r="965" ht="15.75" customHeight="1" s="146"/>
    <row r="966" ht="15.75" customHeight="1" s="146"/>
    <row r="967" ht="15.75" customHeight="1" s="146"/>
    <row r="968" ht="15.75" customHeight="1" s="146"/>
    <row r="969" ht="15.75" customHeight="1" s="146"/>
    <row r="970" ht="15.75" customHeight="1" s="146"/>
    <row r="971" ht="15.75" customHeight="1" s="146"/>
    <row r="972" ht="15.75" customHeight="1" s="146"/>
    <row r="973" ht="15.75" customHeight="1" s="146"/>
    <row r="974" ht="15.75" customHeight="1" s="146"/>
    <row r="975" ht="15.75" customHeight="1" s="146"/>
    <row r="976" ht="15.75" customHeight="1" s="146"/>
    <row r="977" ht="15.75" customHeight="1" s="146"/>
    <row r="978" ht="15.75" customHeight="1" s="146"/>
    <row r="979" ht="15.75" customHeight="1" s="146"/>
    <row r="980" ht="15.75" customHeight="1" s="146"/>
    <row r="981" ht="15.75" customHeight="1" s="146"/>
    <row r="982" ht="15.75" customHeight="1" s="146"/>
    <row r="983" ht="15.75" customHeight="1" s="146"/>
    <row r="984" ht="15.75" customHeight="1" s="146"/>
    <row r="985" ht="15.75" customHeight="1" s="146"/>
    <row r="986" ht="15.75" customHeight="1" s="146"/>
    <row r="987" ht="15.75" customHeight="1" s="146"/>
    <row r="988" ht="15.75" customHeight="1" s="146"/>
    <row r="989" ht="15.75" customHeight="1" s="146"/>
    <row r="990" ht="15.75" customHeight="1" s="146"/>
    <row r="991" ht="15.75" customHeight="1" s="146"/>
    <row r="992" ht="15.75" customHeight="1" s="146"/>
    <row r="993" ht="15.75" customHeight="1" s="146"/>
    <row r="994" ht="15.75" customHeight="1" s="146"/>
    <row r="995" ht="15.75" customHeight="1" s="146"/>
    <row r="996" ht="15.75" customHeight="1" s="146"/>
    <row r="997" ht="15.75" customHeight="1" s="146"/>
    <row r="998" ht="15.75" customHeight="1" s="146"/>
    <row r="999" ht="15.75" customHeight="1" s="146"/>
    <row r="1000" ht="15.75" customHeight="1" s="146"/>
    <row r="1001" ht="15.75" customHeight="1" s="146"/>
    <row r="1002" ht="15.75" customHeight="1" s="146"/>
    <row r="1003" ht="15.75" customHeight="1" s="146"/>
    <row r="1004" ht="15.75" customHeight="1" s="146"/>
  </sheetData>
  <mergeCells count="4">
    <mergeCell ref="A3:AU3"/>
    <mergeCell ref="A2:AU2"/>
    <mergeCell ref="A1:AU1"/>
    <mergeCell ref="A5:AU5"/>
  </mergeCells>
  <conditionalFormatting sqref="G5:G1004">
    <cfRule type="containsText" priority="2" operator="containsText" dxfId="1" text="Major">
      <formula>NOT(ISERROR(SEARCH("Major",G5)))</formula>
    </cfRule>
    <cfRule type="containsText" priority="3" operator="containsText" dxfId="2" text="Moderate">
      <formula>NOT(ISERROR(SEARCH("Moderate",G5)))</formula>
    </cfRule>
    <cfRule type="containsText" priority="4" operator="containsText" dxfId="15" text="Minor">
      <formula>NOT(ISERROR(SEARCH("Minor",G5)))</formula>
    </cfRule>
    <cfRule type="containsText" priority="5" operator="containsText" dxfId="0" text="Opportunity">
      <formula>NOT(ISERROR(SEARCH("Opportunity",G5)))</formula>
    </cfRule>
  </conditionalFormatting>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tabColor rgb="FF6C3483"/>
    <outlinePr summaryBelow="1" summaryRight="1"/>
    <pageSetUpPr/>
  </sheetPr>
  <dimension ref="A1:AB1999"/>
  <sheetViews>
    <sheetView showGridLines="0" zoomScaleNormal="100" workbookViewId="0">
      <selection activeCell="H24" sqref="H24"/>
    </sheetView>
  </sheetViews>
  <sheetFormatPr baseColWidth="10" defaultColWidth="8.6640625" defaultRowHeight="15" customHeight="1"/>
  <cols>
    <col width="10" customWidth="1" style="122" min="1" max="8"/>
    <col width="40" customWidth="1" style="122" min="9" max="9"/>
    <col width="10" customWidth="1" style="122" min="10" max="11"/>
    <col width="18" customWidth="1" style="122" min="12" max="12"/>
    <col width="10" customWidth="1" style="122" min="13" max="13"/>
    <col width="8" customWidth="1" style="122" min="14" max="14"/>
    <col width="10" customWidth="1" style="122" min="15" max="15"/>
    <col width="40" customWidth="1" style="122" min="16" max="16"/>
    <col width="10" customWidth="1" style="122" min="17" max="24"/>
    <col width="14" customWidth="1" style="122" min="25" max="26"/>
    <col width="11" customWidth="1" style="122" min="27" max="28"/>
  </cols>
  <sheetData>
    <row r="1" ht="25.5" customHeight="1" s="146">
      <c r="A1" s="150" t="inlineStr">
        <is>
          <t>DATA - POST-CUT QUALITY  |  ROLLING ANNUAL LOG  |  Paste SafetyCulture export below row 5</t>
        </is>
      </c>
    </row>
    <row r="2" ht="27.75" customHeight="1" s="146">
      <c r="A2" s="149" t="inlineStr">
        <is>
          <t>ROLLING LOG — append new monthly data below existing rows. Do NOT delete previous months. Do NOT re-paste the header row. After pasting, re-run the Pole Results parse script to update the Pole Results sheet. Monthly Matrix quality scores draw from Pole Results, not directly from this tab.</t>
        </is>
      </c>
    </row>
    <row r="3" ht="27.75" customHeight="1" s="146">
      <c r="A3" s="153" t="inlineStr">
        <is>
          <t>HOW TO ADD A NEW MONTH: (1) Export SafetyCulture Post-Cut Quality inspections for the scoring period. (2) Open in Excel. Select data rows only — no header row. Copy. (3) Click the first empty cell in col A below the last existing row. Paste. (4) Re-run the Pole Results parse script (see Monthly Import Guide). Key columns: FT On Site (I) | Completed (L) | Summary of Works (T). One form per contractor per inspection — do not submit multi-team forms.</t>
        </is>
      </c>
    </row>
    <row r="4" ht="21.75" customHeight="1" s="146">
      <c r="A4" s="61" t="inlineStr">
        <is>
          <t>Report Type</t>
        </is>
      </c>
      <c r="B4" s="61" t="inlineStr">
        <is>
          <t>Completed By</t>
        </is>
      </c>
      <c r="C4" s="61" t="inlineStr">
        <is>
          <t>GC Division: Business Unit Group</t>
        </is>
      </c>
      <c r="D4" s="61" t="inlineStr">
        <is>
          <t>GC Division: Grouping Level</t>
        </is>
      </c>
      <c r="E4" s="61" t="inlineStr">
        <is>
          <t>GC Division</t>
        </is>
      </c>
      <c r="F4" s="61" t="inlineStr">
        <is>
          <t>Client</t>
        </is>
      </c>
      <c r="G4" s="61" t="inlineStr">
        <is>
          <t>Site</t>
        </is>
      </c>
      <c r="H4" s="61" t="inlineStr">
        <is>
          <t>Project</t>
        </is>
      </c>
      <c r="I4" s="62" t="inlineStr">
        <is>
          <t>FT On Site</t>
        </is>
      </c>
      <c r="J4" s="61" t="inlineStr">
        <is>
          <t>Operatives on site</t>
        </is>
      </c>
      <c r="K4" s="61" t="inlineStr">
        <is>
          <t>Started</t>
        </is>
      </c>
      <c r="L4" s="62" t="inlineStr">
        <is>
          <t>Completed</t>
        </is>
      </c>
      <c r="M4" s="61" t="inlineStr">
        <is>
          <t>Mins Taken</t>
        </is>
      </c>
      <c r="N4" s="62" t="inlineStr">
        <is>
          <t>Score</t>
        </is>
      </c>
      <c r="O4" s="61" t="inlineStr">
        <is>
          <t>Overall Result</t>
        </is>
      </c>
      <c r="P4" s="61" t="inlineStr">
        <is>
          <t>Failed Responses</t>
        </is>
      </c>
      <c r="Q4" s="61" t="inlineStr">
        <is>
          <t>Title</t>
        </is>
      </c>
      <c r="R4" s="61" t="inlineStr">
        <is>
          <t>Notes</t>
        </is>
      </c>
      <c r="S4" s="61" t="inlineStr">
        <is>
          <t>Location</t>
        </is>
      </c>
      <c r="T4" s="61" t="inlineStr">
        <is>
          <t>Summary of Works</t>
        </is>
      </c>
      <c r="U4" s="61" t="inlineStr">
        <is>
          <t>Permits</t>
        </is>
      </c>
      <c r="V4" s="61" t="inlineStr">
        <is>
          <t>Materials Used</t>
        </is>
      </c>
      <c r="W4" s="61" t="inlineStr">
        <is>
          <t>Created</t>
        </is>
      </c>
      <c r="X4" s="61" t="inlineStr">
        <is>
          <t>Actions</t>
        </is>
      </c>
      <c r="Y4" s="63" t="inlineStr">
        <is>
          <t>Raw Non-Compliant
Poles (LEGACY
- see Pole Results)</t>
        </is>
      </c>
      <c r="Z4" s="63" t="inlineStr">
        <is>
          <t>Adj. Non-Compliant
Poles (LEGACY
- see Pole Results)</t>
        </is>
      </c>
      <c r="AA4" s="47" t="inlineStr">
        <is>
          <t>Adj. Pole/Criteria
Checks (LEGACY
- see Pole Results)</t>
        </is>
      </c>
      <c r="AB4" s="48" t="inlineStr">
        <is>
          <t>Adj. Compliant
Checks (LEGACY
- see Pole Results)</t>
        </is>
      </c>
    </row>
    <row r="5" ht="15.75" customHeight="1" s="146">
      <c r="A5" s="154" t="inlineStr">
        <is>
          <t>FIRST PASTE: click A6.  SUBSEQUENT MONTHS: click first empty cell in col A below last row.  Dark green = columns used by Monthly Matrix.</t>
        </is>
      </c>
    </row>
    <row r="6" ht="18" customHeight="1" s="146">
      <c r="A6" t="inlineStr">
        <is>
          <t>Post Cut Quality Inspection</t>
        </is>
      </c>
      <c r="B6" t="inlineStr">
        <is>
          <t>Richard Moses</t>
        </is>
      </c>
      <c r="C6" t="inlineStr">
        <is>
          <t>Infrastructure &amp; Utilities</t>
        </is>
      </c>
      <c r="D6" t="inlineStr">
        <is>
          <t>Utilities</t>
        </is>
      </c>
      <c r="E6" t="inlineStr">
        <is>
          <t>NGED</t>
        </is>
      </c>
      <c r="F6" t="inlineStr">
        <is>
          <t>3308 : National Grid Electricity Distribution plc</t>
        </is>
      </c>
      <c r="G6" t="inlineStr">
        <is>
          <t>900012/0001 TRUSTHORPE 33 11kV S STN</t>
        </is>
      </c>
      <c r="H6" t="inlineStr">
        <is>
          <t>900012/0001 TRUSTHORPE 33 11kV S STN</t>
        </is>
      </c>
      <c r="I6" t="inlineStr">
        <is>
          <t>3199 Lincolnshire Hardwoods Ltd</t>
        </is>
      </c>
      <c r="J6" t="inlineStr">
        <is>
          <t>["3199 : 1745 James Wootton","3199 : 1747 Daniel Wootton","3199 : 1748 Ryan Wootton","3199 : 1753 Colin Spindley","3199 : 1754 Stewart Hobson","3199 : 53392 Shaun Alan Harvey","3199 : 53522 Max Pursey","3199 : 56841 Noel Beal",":3199 : 1745 James Wootton~3199 : 1747 Daniel Wootton~3199 : 1748 Ryan Wootton~3199 : 1753 Colin Spindley~3199 : 1754 Stewart Hobson~3199 : 53392 Shaun Alan Harvey~3199 : 53522 Max Pursey~3199 : 56841 Noel Beal~"]</t>
        </is>
      </c>
      <c r="K6" s="187" t="n">
        <v>46141.57013888889</v>
      </c>
      <c r="L6" s="187" t="n">
        <v>46141.60763888889</v>
      </c>
      <c r="M6" t="n">
        <v>18</v>
      </c>
      <c r="N6" t="n">
        <v>60</v>
      </c>
      <c r="Q6" t="inlineStr">
        <is>
          <t>29 Apr 2026 / Richard Moses / GCREP003961 / 3308 : National Grid Electricity Distribution plc / 900012/0001 TRUSTHORPE 33 11kV S STN / Post Cut Quality Inspection</t>
        </is>
      </c>
      <c r="S6" s="188" t="inlineStr">
        <is>
          <t>Turfside
Mablethorpe England LN12 2QE
United Kingdom3 Barnsdale Way, Leicester LE19 1SN, UK
(52.5967832, -1.192656)Lullingstone Castle Gatehouse, Dartford DA4 0JA, UK
(51.3578736, 0.194998)2G87+3J Robertsbridge, UK
(51.0151638, 0.5140888)Mucklow Hill, Halesowen B62 8EP, UK
(52.4560139, -2.0377087)3CP4+MM Tunbridge Wells, UK
(51.0867406, 0.4066809)Polka Rd, Wells-next-the-Sea NR23 1JG, UK
(52.9525569, 0.8566682)Stanton St Bernard, Marlborough SN8 4LT, UK
(51.3402368, -1.8758285)1 Sutton Road
Mablethorpe England LN12 2PT
United KingdomNewbury RG14 5HT, UK
(51.401293, -1.3281693)63 Main Street
Mablethorpe England LN12 2QE
United Kingdom</t>
        </is>
      </c>
      <c r="T6" t="inlineStr">
        <is>
          <t>Pole Number:TSC6#Quality of Works / Criteria of Failings:Compliant~#Pole Number:TSC4#Quality of Works / Criteria of Failings:Compliant~#Pole Number:TSC2#Quality of Works / Criteria of Failings:Compliant~#Pole Number:TSC12#Quality of Works / Criteria of Failings:Compliant~#</t>
        </is>
      </c>
      <c r="W6" s="187" t="n">
        <v>46141.73263888889</v>
      </c>
      <c r="X6" t="inlineStr">
        <is>
          <t>&lt;p&gt;&lt;/p&gt;</t>
        </is>
      </c>
      <c r="Y6" s="64">
        <f>MAX(0,IFERROR((LEN($T6)-LEN(SUBSTITUTE($T6,"Quality of Works / Criteria of Failings:","")))/LEN("Quality of Works / Criteria of Failings:"),0)-IFERROR((LEN($T6)-LEN(SUBSTITUTE($T6,"Quality of Works / Criteria of Failings:Compliant","")))/LEN("Quality of Works / Criteria of Failings:Compliant"),0))</f>
        <v/>
      </c>
      <c r="Z6" s="65">
        <f>IFERROR($Y6/MAX(1,(LEN($I6)-LEN(SUBSTITUTE($I6," Ltd","")))/LEN(" Ltd")),0)</f>
        <v/>
      </c>
      <c r="AA6" s="66">
        <f>IFERROR(IFERROR((LEN($T6)-LEN(SUBSTITUTE($T6,"Quality of Works / Criteria of Failings:","")))/LEN("Quality of Works / Criteria of Failings:"),0)/MAX(1,(LEN($I6)-LEN(SUBSTITUTE($I6," Ltd","")))/LEN(" Ltd")),0)</f>
        <v/>
      </c>
      <c r="AB6" s="66">
        <f>IFERROR(IFERROR((LEN($T6)-LEN(SUBSTITUTE($T6,"Quality of Works / Criteria of Failings:Compliant","")))/LEN("Quality of Works / Criteria of Failings:Compliant"),0)/MAX(1,(LEN($I6)-LEN(SUBSTITUTE($I6," Ltd","")))/LEN(" Ltd")),0)</f>
        <v/>
      </c>
    </row>
    <row r="7" ht="18" customHeight="1" s="146">
      <c r="A7" t="inlineStr">
        <is>
          <t>Post Cut Quality Inspection</t>
        </is>
      </c>
      <c r="B7" t="inlineStr">
        <is>
          <t>Richard Moses</t>
        </is>
      </c>
      <c r="C7" t="inlineStr">
        <is>
          <t>Infrastructure &amp; Utilities</t>
        </is>
      </c>
      <c r="D7" t="inlineStr">
        <is>
          <t>Utilities</t>
        </is>
      </c>
      <c r="E7" t="inlineStr">
        <is>
          <t>NGED</t>
        </is>
      </c>
      <c r="F7" t="inlineStr">
        <is>
          <t>3308 : National Grid Electricity Distribution plc</t>
        </is>
      </c>
      <c r="G7" t="inlineStr">
        <is>
          <t>900833 WHITE ROW LANE TRUSTHORPE (900012/0001 TRUSTHORPE 33 11kV S STN)</t>
        </is>
      </c>
      <c r="H7" t="inlineStr">
        <is>
          <t>NGED</t>
        </is>
      </c>
      <c r="I7" t="inlineStr">
        <is>
          <t>3199 Lincolnshire Hardwoods Ltd</t>
        </is>
      </c>
      <c r="J7" t="inlineStr">
        <is>
          <t>["3199 : 1745 James Wootton","3199 : 1747 Daniel Wootton","3199 : 1748 Ryan Wootton",":3199 : 1745 James Wootton~3199 : 1747 Daniel Wootton~3199 : 1748 Ryan Wootton~"]</t>
        </is>
      </c>
      <c r="K7" s="187" t="n">
        <v>46141.60763888889</v>
      </c>
      <c r="L7" s="187" t="n">
        <v>46141.61527777778</v>
      </c>
      <c r="M7" t="n">
        <v>5</v>
      </c>
      <c r="N7" t="n">
        <v>67</v>
      </c>
      <c r="Q7" t="inlineStr">
        <is>
          <t>29 Apr 2026 / Richard Moses / GCREP003965 / 3308 : National Grid Electricity Distribution plc / NGED / Post Cut Quality Inspection</t>
        </is>
      </c>
      <c r="S7" s="188" t="inlineStr">
        <is>
          <t>Turfside
Mablethorpe England LN12 2QE
United Kingdom3 Barnsdale Way, Leicester LE19 1SN, UK
(52.5967832, -1.192656)Lullingstone Castle Gatehouse, Dartford DA4 0JA, UK
(51.3578736, 0.194998)2G87+3J Robertsbridge, UK
(51.0151638, 0.5140888)Mucklow Hill, Halesowen B62 8EP, UK
(52.4560139, -2.0377087)3CP4+MM Tunbridge Wells, UK
(51.0867406, 0.4066809)Polka Rd, Wells-next-the-Sea NR23 1JG, UK
(52.9525569, 0.8566682)Stanton St Bernard, Marlborough SN8 4LT, UK
(51.3402368, -1.8758285)1 Sutton Road
Mablethorpe England LN12 2PT
United Kingdom</t>
        </is>
      </c>
      <c r="T7" t="inlineStr">
        <is>
          <t>Pole Number:2121100010#Quality of Works / Criteria of Failings:Compliant~#Pole Number:2121100030#Quality of Works / Criteria of Failings:Compliant~#</t>
        </is>
      </c>
      <c r="W7" s="187" t="n">
        <v>46141.72847222222</v>
      </c>
      <c r="X7" t="inlineStr">
        <is>
          <t>&lt;p&gt;&lt;/p&gt;</t>
        </is>
      </c>
      <c r="Y7" s="65">
        <f>MAX(0,IFERROR((LEN($T7)-LEN(SUBSTITUTE($T7,"Quality of Works / Criteria of Failings:","")))/LEN("Quality of Works / Criteria of Failings:"),0)-IFERROR((LEN($T7)-LEN(SUBSTITUTE($T7,"Quality of Works / Criteria of Failings:Compliant","")))/LEN("Quality of Works / Criteria of Failings:Compliant"),0))</f>
        <v/>
      </c>
      <c r="Z7" s="65">
        <f>IFERROR($Y7/MAX(1,(LEN($I7)-LEN(SUBSTITUTE($I7," Ltd","")))/LEN(" Ltd")),0)</f>
        <v/>
      </c>
      <c r="AA7" s="66">
        <f>IFERROR(IFERROR((LEN($T7)-LEN(SUBSTITUTE($T7,"Quality of Works / Criteria of Failings:","")))/LEN("Quality of Works / Criteria of Failings:"),0)/MAX(1,(LEN($I7)-LEN(SUBSTITUTE($I7," Ltd","")))/LEN(" Ltd")),0)</f>
        <v/>
      </c>
      <c r="AB7" s="66">
        <f>IFERROR(IFERROR((LEN($T7)-LEN(SUBSTITUTE($T7,"Quality of Works / Criteria of Failings:Compliant","")))/LEN("Quality of Works / Criteria of Failings:Compliant"),0)/MAX(1,(LEN($I7)-LEN(SUBSTITUTE($I7," Ltd","")))/LEN(" Ltd")),0)</f>
        <v/>
      </c>
    </row>
    <row r="8" ht="18" customHeight="1" s="146">
      <c r="A8" t="inlineStr">
        <is>
          <t>Post Cut Quality Inspection</t>
        </is>
      </c>
      <c r="B8" t="inlineStr">
        <is>
          <t>Richard Moses</t>
        </is>
      </c>
      <c r="C8" t="inlineStr">
        <is>
          <t>Infrastructure &amp; Utilities</t>
        </is>
      </c>
      <c r="D8" t="inlineStr">
        <is>
          <t>Utilities</t>
        </is>
      </c>
      <c r="E8" t="inlineStr">
        <is>
          <t>NGED</t>
        </is>
      </c>
      <c r="F8" t="inlineStr">
        <is>
          <t>3308 : National Grid Electricity Distribution plc</t>
        </is>
      </c>
      <c r="G8" t="inlineStr">
        <is>
          <t>900832 TRUSTHORPE VILLAGE (900012 Trusthorpe 0003)</t>
        </is>
      </c>
      <c r="H8" t="inlineStr">
        <is>
          <t>NGED</t>
        </is>
      </c>
      <c r="I8" t="inlineStr">
        <is>
          <t>3199 Lincolnshire Hardwoods Ltd</t>
        </is>
      </c>
      <c r="J8" t="inlineStr">
        <is>
          <t>["3199 : 1745 James Wootton","3199 : 1747 Daniel Wootton","3199 : 1748 Ryan Wootton",":3199 : 1745 James Wootton~3199 : 1747 Daniel Wootton~3199 : 1748 Ryan Wootton~"]</t>
        </is>
      </c>
      <c r="K8" s="187" t="n">
        <v>46141.65902777778</v>
      </c>
      <c r="L8" s="187" t="n">
        <v>46141.66458333333</v>
      </c>
      <c r="M8" t="n">
        <v>5</v>
      </c>
      <c r="N8" t="n">
        <v>100</v>
      </c>
      <c r="Q8" t="inlineStr">
        <is>
          <t>29 Apr 2026 / Richard Moses / GCREP003974 / 3308 : National Grid Electricity Distribution plc / NGED / Post Cut Quality Inspection</t>
        </is>
      </c>
      <c r="S8" s="188" t="inlineStr">
        <is>
          <t>Turfside
Mablethorpe England LN12 2QE
United Kingdom</t>
        </is>
      </c>
      <c r="T8" t="inlineStr">
        <is>
          <t>Pole Number:2121090110#Quality of Works / Criteria of Failings:Compliant~Special Conditions Identified~#</t>
        </is>
      </c>
      <c r="W8" s="187" t="n">
        <v>46141.71666666667</v>
      </c>
      <c r="X8" t="inlineStr">
        <is>
          <t>&lt;p&gt;&lt;/p&gt;</t>
        </is>
      </c>
      <c r="Y8" s="65">
        <f>MAX(0,IFERROR((LEN($T8)-LEN(SUBSTITUTE($T8,"Quality of Works / Criteria of Failings:","")))/LEN("Quality of Works / Criteria of Failings:"),0)-IFERROR((LEN($T8)-LEN(SUBSTITUTE($T8,"Quality of Works / Criteria of Failings:Compliant","")))/LEN("Quality of Works / Criteria of Failings:Compliant"),0))</f>
        <v/>
      </c>
      <c r="Z8" s="65">
        <f>IFERROR($Y8/MAX(1,(LEN($I8)-LEN(SUBSTITUTE($I8," Ltd","")))/LEN(" Ltd")),0)</f>
        <v/>
      </c>
      <c r="AA8" s="66">
        <f>IFERROR(IFERROR((LEN($T8)-LEN(SUBSTITUTE($T8,"Quality of Works / Criteria of Failings:","")))/LEN("Quality of Works / Criteria of Failings:"),0)/MAX(1,(LEN($I8)-LEN(SUBSTITUTE($I8," Ltd","")))/LEN(" Ltd")),0)</f>
        <v/>
      </c>
      <c r="AB8" s="66">
        <f>IFERROR(IFERROR((LEN($T8)-LEN(SUBSTITUTE($T8,"Quality of Works / Criteria of Failings:Compliant","")))/LEN("Quality of Works / Criteria of Failings:Compliant"),0)/MAX(1,(LEN($I8)-LEN(SUBSTITUTE($I8," Ltd","")))/LEN(" Ltd")),0)</f>
        <v/>
      </c>
    </row>
    <row r="9" ht="18" customHeight="1" s="146">
      <c r="A9" t="inlineStr">
        <is>
          <t>Post Cut Quality Inspection</t>
        </is>
      </c>
      <c r="B9" t="inlineStr">
        <is>
          <t>Richard Moses</t>
        </is>
      </c>
      <c r="C9" t="inlineStr">
        <is>
          <t>Infrastructure &amp; Utilities</t>
        </is>
      </c>
      <c r="D9" t="inlineStr">
        <is>
          <t>Utilities</t>
        </is>
      </c>
      <c r="E9" t="inlineStr">
        <is>
          <t>NGED</t>
        </is>
      </c>
      <c r="F9" t="inlineStr">
        <is>
          <t>3308 : National Grid Electricity Distribution plc</t>
        </is>
      </c>
      <c r="G9" t="inlineStr">
        <is>
          <t>880023/0006</t>
        </is>
      </c>
      <c r="H9" t="inlineStr">
        <is>
          <t>880023/0006</t>
        </is>
      </c>
      <c r="I9" t="inlineStr">
        <is>
          <t>7611 East Midlands Arb Ltd</t>
        </is>
      </c>
      <c r="J9" t="inlineStr">
        <is>
          <t>["7611 : 58503 Connor Mahoney","7611 : 57718 Callis Allen",":7611 : 58503 Connor Mahoney~7611 : 57718 Callis Allen~"]</t>
        </is>
      </c>
      <c r="K9" s="187" t="n">
        <v>46140.56736111111</v>
      </c>
      <c r="L9" s="187" t="n">
        <v>46140.64791666667</v>
      </c>
      <c r="M9" t="n">
        <v>116</v>
      </c>
      <c r="N9" t="n">
        <v>19</v>
      </c>
      <c r="P9" s="188" t="inlineStr">
        <is>
          <t xml:space="preserve">Quality of Works / Criteria of Failings: DOD Signs~Climbing Vegetation~
Quality of Works / Criteria of Failings: Climbing Vegetation~DOD Signs~
Quality of Works / Criteria of Failings: DOD Signs~Climbing Vegetation~
Quality of Works / Criteria of Failings: DOD Signs~
Quality of Works / Criteria of Failings: Non-Compliant Clearances~Poor Site Conditions~Cut Not Compliant with BS3998~
Quality of Works / Criteria of Failings: Not Cut to Consent~Non-Compliant Clearances~
</t>
        </is>
      </c>
      <c r="Q9" t="inlineStr">
        <is>
          <t>28 Apr 2026 / Richard Moses / GCREP003940 / 3308 : National Grid Electricity Distribution plc / 880023/0006 / Post Cut Quality Inspection</t>
        </is>
      </c>
      <c r="S9" s="188" t="inlineStr">
        <is>
          <t>Parkway Ave, Sheffield S9 4WD, UK
(53.384558, -1.432505)Queen St, Barnstaple EX32 8HG, UK
(51.079834, -4.0570479)Norham Road-Coast Road, North Shields NE29 7UJ, UKKeelings Rd, Southminster CM0, UKHumphrey P O, Moor Ln, Gotham, Nottingham NG11 0LH, UK</t>
        </is>
      </c>
      <c r="T9" s="188" t="inlineStr">
        <is>
          <t>Pole Number:EAFA4#Quality of Works / Criteria of Failings:DOD Signs~Climbing Vegetation~#Remark from failing(s):Remark from failing(s):
Ivy present on pole and staywires, DOD obscured
#Pole Number:EAFA3#Quality of Works / Criteria of Failings:Climbing Vegetation~DOD Signs~#Remark from failing(s):Remark from failing(s):
Ive no pole and DOD obscured
#Pole Number:EAFA2#Quality of Works / Criteria of Failings:Special Conditions Identified~#Remark from failing(s):Remark from failing(s):
EAFA2 would affect stockproofing of field
#Pole Number:EAFA1#Quality of Works / Criteria of Failings:DOD Signs~Climbing Vegetation~#Remark from failing(s):Remark from failing(s):
Ivy affecting pile and low level apparatus
#Pole Number:EAF14#Quality of Works / Criteria of Failings:DOD Signs~#Remark from failing(s):Remark from failing(s):
DoD slightly obscured, srf states to clear stay, which would lead to stock proofing issues
#Pole Number:EAF9#Quality of Works / Criteria of Failings:Non-Compliant Clearances~Poor Site Conditions~Cut Not Compliant with BS3998~#Remark from failing(s):Remark from failing(s):
4.0 not achieved
Poor pruning with rods
#Pole Number:EAF11#Quality of Works / Criteria of Failings:Not Cut to Consent~Non-Compliant Clearances~#Remark from failing(s):Remark from failing(s):
Not cut to annotation, stays still affected, a couple of small cuts applied
RP sheet stats full clearance and no deviation. 
#</t>
        </is>
      </c>
      <c r="W9" s="187" t="n">
        <v>46141.05902777778</v>
      </c>
      <c r="X9" t="inlineStr">
        <is>
          <t>&lt;p&gt;&lt;a href="https&amp;#58;//apps.powerapps.com/play/2d567dc9-5d50-4629-a077-f7ccbff3e239?tenantId=3ef9f654-aa07-41b8-88ad-a411c62bd12c&amp;amp;Action=Open&amp;amp;Actionno=8991"&gt;review and rectify&lt;/a&gt;&lt;br&gt;&lt;a href="https&amp;#58;//apps.powerapps.com/play/2d567dc9-5d50-4629-a077-f7ccbff3e239?tenantId=3ef9f654-aa07-41b8-88ad-a411c62bd12c&amp;amp;Action=Open&amp;amp;Actionno=8992"&gt;review and rectify&lt;/a&gt;&lt;br&gt;&lt;a href="https&amp;#58;//apps.powerapps.com/play/2d567dc9-5d50-4629-a077-f7ccbff3e239?tenantId=3ef9f654-aa07-41b8-88ad-a411c62bd12c&amp;amp;Action=Open&amp;amp;Actionno=8993"&gt;review and rectify&lt;/a&gt;&lt;br&gt;&lt;a href="https&amp;#58;//apps.powerapps.com/play/2d567dc9-5d50-4629-a077-f7ccbff3e239?tenantId=3ef9f654-aa07-41b8-88ad-a411c62bd12c&amp;amp;Action=Open&amp;amp;Actionno=8994"&gt;review and rectify&lt;/a&gt;&lt;br&gt;&lt;a href="https&amp;#58;//apps.powerapps.com/play/2d567dc9-5d50-4629-a077-f7ccbff3e239?tenantId=3ef9f654-aa07-41b8-88ad-a411c62bd12c&amp;amp;Action=Open&amp;amp;Actionno=8995"&gt;rvview and rectify&lt;/a&gt;&lt;br&gt;&lt;a href="https&amp;#58;//apps.powerapps.com/play/2d567dc9-5d50-4629-a077-f7ccbff3e239?tenantId=3ef9f654-aa07-41b8-88ad-a411c62bd12c&amp;amp;Action=Open&amp;amp;Actionno=8996"&gt;review and rectify&lt;/a&gt;&lt;br&gt;&lt;a href="https&amp;#58;//apps.powerapps.com/play/2d567dc9-5d50-4629-a077-f7ccbff3e239?tenantId=3ef9f654-aa07-41b8-88ad-a411c62bd12c&amp;amp;Action=Open&amp;amp;Actionno=8997"&gt;EAF11&lt;/a&gt;&lt;br&gt;&lt;a href="https&amp;#58;//apps.powerapps.com/play/2d567dc9-5d50-4629-a077-f7ccbff3e239?tenantId=3ef9f654-aa07-41b8-88ad-a411c62bd12c&amp;amp;Action=Open&amp;amp;Actionno=8998"&gt;EAF9&lt;/a&gt;&lt;br&gt;&lt;a href="https&amp;#58;//apps.powerapps.com/play/2d567dc9-5d50-4629-a077-f7ccbff3e239?tenantId=3ef9f654-aa07-41b8-88ad-a411c62bd12c&amp;amp;Action=Open&amp;amp;Actionno=8999"&gt;EAF14 DOD slightly obscured, if others wasnt as prominent jt would be unlikley be an issue. stay wife runs centre of hedge&lt;/a&gt;&lt;br&gt;&lt;a href="https&amp;#58;//apps.powerapps.com/play/2d567dc9-5d50-4629-a077-f7ccbff3e239?tenantId=3ef9f654-aa07-41b8-88ad-a411c62bd12c&amp;amp;Action=Open&amp;amp;Actionno=9000"&gt;eafa4 climbing vegetation&lt;/a&gt;&lt;br&gt;&lt;a href="https&amp;#58;//apps.powerapps.com/play/2d567dc9-5d50-4629-a077-f7ccbff3e239?tenantId=3ef9f654-aa07-41b8-88ad-a411c62bd12c&amp;amp;Action=Open&amp;amp;Actionno=9001"&gt;EAFA1&lt;/a&gt;&lt;br&gt;&lt;a href="https&amp;#58;//apps.powerapps.com/play/2d567dc9-5d50-4629-a077-f7ccbff3e239?tenantId=3ef9f654-aa07-41b8-88ad-a411c62bd12c&amp;amp;Action=Open&amp;amp;Actionno=9002"&gt;DOD obscured EAFA2&lt;/a&gt;&lt;br&gt;&lt;a href="https&amp;#58;//apps.powerapps.com/play/2d567dc9-5d50-4629-a077-f7ccbff3e239?tenantId=3ef9f654-aa07-41b8-88ad-a411c62bd12c&amp;amp;Action=Open&amp;amp;Actionno=9003"&gt;EAFA3&lt;/a&gt;&lt;br&gt;&lt;a href="https&amp;#58;//apps.powerapps.com/play/2d567dc9-5d50-4629-a077-f7ccbff3e239?tenantId=3ef9f654-aa07-41b8-88ad-a411c62bd12c&amp;amp;Action=Open&amp;amp;Actionno=9004"&gt;review and rectify&lt;/a&gt;&lt;br&gt;&lt;a href="https&amp;#58;//apps.powerapps.com/play/2d567dc9-5d50-4629-a077-f7ccbff3e239?tenantId=3ef9f654-aa07-41b8-88ad-a411c62bd12c&amp;amp;Action=Open&amp;amp;Actionno=9005"&gt;review and rectify&lt;/a&gt;&lt;br&gt;&lt;a href="https&amp;#58;//apps.powerapps.com/play/2d567dc9-5d50-4629-a077-f7ccbff3e239?tenantId=3ef9f654-aa07-41b8-88ad-a411c62bd12c&amp;amp;Action=Open&amp;amp;Actionno=9006"&gt;review and rectify&lt;/a&gt;&lt;br&gt;&lt;a href="https&amp;#58;//apps.powerapps.com/play/2d567dc9-5d50-4629-a077-f7ccbff3e239?tenantId=3ef9f654-aa07-41b8-88ad-a411c62bd12c&amp;amp;Action=Open&amp;amp;Actionno=9007"&gt;review and rectify&lt;/a&gt;&lt;br&gt;&lt;a href="https&amp;#58;//apps.powerapps.com/play/2d567dc9-5d50-4629-a077-f7ccbff3e239?tenantId=3ef9f654-aa07-41b8-88ad-a411c62bd12c&amp;amp;Action=Open&amp;amp;Actionno=9008"&gt;review and rectify&lt;/a&gt;&lt;br&gt;&lt;a href="https&amp;#58;//apps.powerapps.com/play/2d567dc9-5d50-4629-a077-f7ccbff3e239?tenantId=3ef9f654-aa07-41b8-88ad-a411c62bd12c&amp;amp;Action=Open&amp;amp;Actionno=9009"&gt;rvview and rectify&lt;/a&gt;&lt;br&gt;&lt;a href="https&amp;#58;//apps.powerapps.com/play/2d567dc9-5d50-4629-a077-f7ccbff3e239?tenantId=3ef9f654-aa07-41b8-88ad-a411c62bd12c&amp;amp;Action=Open&amp;amp;Actionno=9010"&gt;review and rectify&lt;/a&gt;&lt;br&gt;&lt;a href="https&amp;#58;//apps.powerapps.com/play/2d567dc9-5d50-4629-a077-f7ccbff3e239?tenantId=3ef9f654-aa07-41b8-88ad-a411c62bd12c&amp;amp;Action=Open&amp;amp;Actionno=9011"&gt;EAF11&lt;/a&gt;&lt;br&gt;&lt;a href="https&amp;#58;//apps.powerapps.com/play/2d567dc9-5d50-4629-a077-f7ccbff3e239?tenantId=3ef9f654-aa07-41b8-88ad-a411c62bd12c&amp;amp;Action=Open&amp;amp;Actionno=9012"&gt;EAF9&lt;/a&gt;&lt;br&gt;&lt;a href="https&amp;#58;//apps.powerapps.com/play/2d567dc9-5d50-4629-a077-f7ccbff3e239?tenantId=3ef9f654-aa07-41b8-88ad-a411c62bd12c&amp;amp;Action=Open&amp;amp;Actionno=9013"&gt;EAF14 DOD slightly obscured, if others wasnt as prominent jt would be unlikley be an issue. stay wife runs centre of hedge&lt;/a&gt;&lt;br&gt;&lt;a href="https&amp;#58;//apps.powerapps.com/play/2d567dc9-5d50-4629-a077-f7ccbff3e239?tenantId=3ef9f654-aa07-41b8-88ad-a411c62bd12c&amp;amp;Action=Open&amp;amp;Actionno=9014"&gt;eafa4 climbing vegetation&lt;/a&gt;&lt;br&gt;&lt;a href="https&amp;#58;//apps.powerapps.com/play/2d567dc9-5d50-4629-a077-f7ccbff3e239?tenantId=3ef9f654-aa07-41b8-88ad-a411c62bd12c&amp;amp;Action=Open&amp;amp;Actionno=9015"&gt;EAFA1&lt;/a&gt;&lt;br&gt;&lt;a href="https&amp;#58;//apps.powerapps.com/play/2d567dc9-5d50-4629-a077-f7ccbff3e239?tenantId=3ef9f654-aa07-41b8-88ad-a411c62bd12c&amp;amp;Action=Open&amp;amp;Actionno=9016"&gt;DOD obscured EAFA2&lt;/a&gt;&lt;br&gt;&lt;a href="https&amp;#58;//apps.powerapps.com/play/2d567dc9-5d50-4629-a077-f7ccbff3e239?tenantId=3ef9f654-aa07-41b8-88ad-a411c62bd12c&amp;amp;Action=Open&amp;amp;Actionno=9017"&gt;EAFA3&lt;/a&gt;&lt;br&gt;&lt;a href="https&amp;#58;//apps.powerapps.com/play/2d567dc9-5d50-4629-a077-f7ccbff3e239?tenantId=3ef9f654-aa07-41b8-88ad-a411c62bd12c&amp;amp;Action=Open&amp;amp;Actionno=9018"&gt;review and rectify&lt;/a&gt;&lt;br&gt;&lt;a href="https&amp;#58;//apps.powerapps.com/play/2d567dc9-5d50-4629-a077-f7ccbff3e239?tenantId=3ef9f654-aa07-41b8-88ad-a411c62bd12c&amp;amp;Action=Open&amp;amp;Actionno=9019"&gt;review and rectify&lt;/a&gt;&lt;br&gt;&lt;a href="https&amp;#58;//apps.powerapps.com/play/2d567dc9-5d50-4629-a077-f7ccbff3e239?tenantId=3ef9f654-aa07-41b8-88ad-a411c62bd12c&amp;amp;Action=Open&amp;amp;Actionno=9020"&gt;review and rectify&lt;/a&gt;&lt;br&gt;&lt;a href="https&amp;#58;//apps.powerapps.com/play/2d567dc9-5d50-4629-a077-f7ccbff3e239?tenantId=3ef9f654-aa07-41b8-88ad-a411c62bd12c&amp;amp;Action=Open&amp;amp;Actionno=9021"&gt;review and rectify&lt;/a&gt;&lt;br&gt;&lt;a href="https&amp;#58;//apps.powerapps.com/play/2d567dc9-5d50-4629-a077-f7ccbff3e239?tenantId=3ef9f654-aa07-41b8-88ad-a411c62bd12c&amp;amp;Action=Open&amp;amp;Actionno=9022"&gt;review and rectify&lt;/a&gt;&lt;br&gt;&lt;a href="https&amp;#58;//apps.powerapps.com/play/2d567dc9-5d50-4629-a077-f7ccbff3e239?tenantId=3ef9f654-aa07-41b8-88ad-a411c62bd12c&amp;amp;Action=Open&amp;amp;Actionno=9023"&gt;rvview and rectify&lt;/a&gt;&lt;br&gt;&lt;a href="https&amp;#58;//apps.powerapps.com/play/2d567dc9-5d50-4629-a077-f7ccbff3e239?tenantId=3ef9f654-aa07-41b8-88ad-a411c62bd12c&amp;amp;Action=Open&amp;amp;Actionno=9024"&gt;review and rectify&lt;/a&gt;&lt;br&gt;&lt;a href="https&amp;#58;//apps.powerapps.com/play/2d567dc9-5d50-4629-a077-f7ccbff3e239?tenantId=3ef9f654-aa07-41b8-88ad-a411c62bd12c&amp;amp;Action=Open&amp;amp;Actionno=9025"&gt;EAF11&lt;/a&gt;&lt;br&gt;&lt;a href="https&amp;#58;//apps.powerapps.com/play/2d567dc9-5d50-4629-a077-f7ccbff3e239?tenantId=3ef9f654-aa07-41b8-88ad-a411c62bd12c&amp;amp;Action=Open&amp;amp;Actionno=9026"&gt;EAF9&lt;/a&gt;&lt;br&gt;&lt;a href="https&amp;#58;//apps.powerapps.com/play/2d567dc9-5d50-4629-a077-f7ccbff3e239?tenantId=3ef9f654-aa07-41b8-88ad-a411c62bd12c&amp;amp;Action=Open&amp;amp;Actionno=9027"&gt;EAF14 DOD slightly obscured, if others wasnt as prominent jt would be unlikley be an issue. stay wife runs centre of hedge&lt;/a&gt;&lt;br&gt;&lt;a href="https&amp;#58;//apps.powerapps.com/play/2d567dc9-5d50-4629-a077-f7ccbff3e239?tenantId=3ef9f654-aa07-41b8-88ad-a411c62bd12c&amp;amp;Action=Open&amp;amp;Actionno=9028"&gt;eafa4 climbing vegetation&lt;/a&gt;&lt;br&gt;&lt;a href="https&amp;#58;//apps.powerapps.com/play/2d567dc9-5d50-4629-a077-f7ccbff3e239?tenantId=3ef9f654-aa07-41b8-88ad-a411c62bd12c&amp;amp;Action=Open&amp;amp;Actionno=9029"&gt;EAFA1&lt;/a&gt;&lt;br&gt;&lt;a href="https&amp;#58;//apps.powerapps.com/play/2d567dc9-5d50-4629-a077-f7ccbff3e239?tenantId=3ef9f654-aa07-41b8-88ad-a411c62bd12c&amp;amp;Action=Open&amp;amp;Actionno=9030"&gt;DOD obscured EAFA2&lt;/a&gt;&lt;br&gt;&lt;a href="https&amp;#58;//apps.powerapps.com/play/2d567dc9-5d50-4629-a077-f7ccbff3e239?tenantId=3ef9f654-aa07-41b8-88ad-a411c62bd12c&amp;amp;Action=Open&amp;amp;Actionno=9031"&gt;EAFA3&lt;/a&gt;&lt;br&gt;&lt;a href="https&amp;#58;//apps.powerapps.com/play/2d567dc9-5d50-4629-a077-f7ccbff3e239?tenantId=3ef9f654-aa07-41b8-88ad-a411c62bd12c&amp;amp;Action=Open&amp;amp;Actionno=9032"&gt;review and rectify&lt;/a&gt;&lt;br&gt;&lt;a href="https&amp;#58;//apps.powerapps.com/play/2d567dc9-5d50-4629-a077-f7ccbff3e239?tenantId=3ef9f654-aa07-41b8-88ad-a411c62bd12c&amp;amp;Action=Open&amp;amp;Actionno=9033"&gt;review and rectify&lt;/a&gt;&lt;br&gt;&lt;a href="https&amp;#58;//apps.powerapps.com/play/2d567dc9-5d50-4629-a077-f7ccbff3e239?tenantId=3ef9f654-aa07-41b8-88ad-a411c62bd12c&amp;amp;Action=Open&amp;amp;Actionno=9034"&gt;review and rectify&lt;/a&gt;&lt;br&gt;&lt;a href="https&amp;#58;//apps.powerapps.com/play/2d567dc9-5d50-4629-a077-f7ccbff3e239?tenantId=3ef9f654-aa07-41b8-88ad-a411c62bd12c&amp;amp;Action=Open&amp;amp;Actionno=9035"&gt;review and rectify&lt;/a&gt;&lt;br&gt;&lt;a href="https&amp;#58;//apps.powerapps.com/play/2d567dc9-5d50-4629-a077-f7ccbff3e239?tenantId=3ef9f654-aa07-41b8-88ad-a411c62bd12c&amp;amp;Action=Open&amp;amp;Actionno=9036"&gt;review and rectify&lt;/a&gt;&lt;br&gt;&lt;a href="https&amp;#58;//apps.powerapps.com/play/2d567dc9-5d50-4629-a077-f7ccbff3e239?tenantId=3ef9f654-aa07-41b8-88ad-a411c62bd12c&amp;amp;Action=Open&amp;amp;Actionno=9037"&gt;rvview and rectify&lt;/a&gt;&lt;br&gt;&lt;a href="https&amp;#58;//apps.powerapps.com/play/2d567dc9-5d50-4629-a077-f7ccbff3e239?tenantId=3ef9f654-aa07-41b8-88ad-a411c62bd12c&amp;amp;Action=Open&amp;amp;Actionno=9038"&gt;review and rectify&lt;/a&gt;&lt;br&gt;&lt;a href="https&amp;#58;//apps.powerapps.com/play/2d567dc9-5d50-4629-a077-f7ccbff3e239?tenantId=3ef9f654-aa07-41b8-88ad-a411c62bd12c&amp;amp;Action=Open&amp;amp;Actionno=9039"&gt;EAF11&lt;/a&gt;&lt;br&gt;&lt;a href="https&amp;#58;//apps.powerapps.com/play/2d567dc9-5d50-4629-a077-f7ccbff3e239?tenantId=3ef9f654-aa07-41b8-88ad-a411c62bd12c&amp;amp;Action=Open&amp;amp;Actionno=9040"&gt;EAF9&lt;/a&gt;&lt;br&gt;&lt;a href="https&amp;#58;//apps.powerapps.com/play/2d567dc9-5d50-4629-a077-f7ccbff3e239?tenantId=3ef9f654-aa07-41b8-88ad-a411c62bd12c&amp;amp;Action=Open&amp;amp;Actionno=9041"&gt;EAF14 DOD slightly obscured, if others wasnt as prominent jt would be unlikley be an issue. stay wife runs centre of hedge&lt;/a&gt;&lt;br&gt;&lt;a href="https&amp;#58;//apps.powerapps.com/play/2d567dc9-5d50-4629-a077-f7ccbff3e239?tenantId=3ef9f654-aa07-41b8-88ad-a411c62bd12c&amp;amp;Action=Open&amp;amp;Actionno=9042"&gt;eafa4 climbing vegetation&lt;/a&gt;&lt;br&gt;&lt;a href="https&amp;#58;//apps.powerapps.com/play/2d567dc9-5d50-4629-a077-f7ccbff3e239?tenantId=3ef9f654-aa07-41b8-88ad-a411c62bd12c&amp;amp;Action=Open&amp;amp;Actionno=9043"&gt;EAFA1&lt;/a&gt;&lt;br&gt;&lt;a href="https&amp;#58;//apps.powerapps.com/play/2d567dc9-5d50-4629-a077-f7ccbff3e239?tenantId=3ef9f654-aa07-41b8-88ad-a411c62bd12c&amp;amp;Action=Open&amp;amp;Actionno=9044"&gt;DOD obscured EAFA2&lt;/a&gt;&lt;br&gt;&lt;a href="https&amp;#58;//apps.powerapps.com/play/2d567dc9-5d50-4629-a077-f7ccbff3e239?tenantId=3ef9f654-aa07-41b8-88ad-a411c62bd12c&amp;amp;Action=Open&amp;amp;Actionno=9045"&gt;EAFA3&lt;/a&gt;&lt;br&gt;&lt;a href="https&amp;#58;//apps.powerapps.com/play/2d567dc9-5d50-4629-a077-f7ccbff3e239?tenantId=3ef9f654-aa07-41b8-88ad-a411c62bd12c&amp;amp;Action=Open&amp;amp;Actionno=9046"&gt;review and rectify&lt;/a&gt;&lt;br&gt;&lt;a href="https&amp;#58;//apps.powerapps.com/play/2d567dc9-5d50-4629-a077-f7ccbff3e239?tenantId=3ef9f654-aa07-41b8-88ad-a411c62bd12c&amp;amp;Action=Open&amp;amp;Actionno=9047"&gt;review and rectify&lt;/a&gt;&lt;br&gt;&lt;a href="https&amp;#58;//apps.powerapps.com/play/2d567dc9-5d50-4629-a077-f7ccbff3e239?tenantId=3ef9f654-aa07-41b8-88ad-a411c62bd12c&amp;amp;Action=Open&amp;amp;Actionno=9048"&gt;review and rectify&lt;/a&gt;&lt;br&gt;&lt;a href="https&amp;#58;//apps.powerapps.com/play/2d567dc9-5d50-4629-a077-f7ccbff3e239?tenantId=3ef9f654-aa07-41b8-88ad-a411c62bd12c&amp;amp;Action=Open&amp;amp;Actionno=9049"&gt;review and rectify&lt;/a&gt;&lt;br&gt;&lt;a href="https&amp;#58;//apps.powerapps.com/play/2d567dc9-5d50-4629-a077-f7ccbff3e239?tenantId=3ef9f654-aa07-41b8-88ad-a411c62bd12c&amp;amp;Action=Open&amp;amp;Actionno=9050"&gt;review and rectify&lt;/a&gt;&lt;br&gt;&lt;a href="https&amp;#58;//apps.powerapps.com/play/2d567dc9-5d50-4629-a077-f7ccbff3e239?tenantId=3ef9f654-aa07-41b8-88ad-a411c62bd12c&amp;amp;Action=Open&amp;amp;Actionno=9051"&gt;rvview and rectify&lt;/a&gt;&lt;br&gt;&lt;a href="https&amp;#58;//apps.powerapps.com/play/2d567dc9-5d50-4629-a077-f7ccbff3e239?tenantId=3ef9f654-aa07-41b8-88ad-a411c62bd12c&amp;amp;Action=Open&amp;amp;Actionno=9052"&gt;review and rectify&lt;/a&gt;&lt;br&gt;&lt;a href="https&amp;#58;//apps.powerapps.com/play/2d567dc9-5d50-4629-a077-f7ccbff3e239?tenantId=3ef9f654-aa07-41b8-88ad-a411c62bd12c&amp;amp;Action=Open&amp;amp;Actionno=9053"&gt;EAF11&lt;/a&gt;&lt;br&gt;&lt;a href="https&amp;#58;//apps.powerapps.com/play/2d567dc9-5d50-4629-a077-f7ccbff3e239?tenantId=3ef9f654-aa07-41b8-88ad-a411c62bd12c&amp;amp;Action=Open&amp;amp;Actionno=9054"&gt;EAF9&lt;/a&gt;&lt;br&gt;&lt;a href="https&amp;#58;//apps.powerapps.com/play/2d567dc9-5d50-4629-a077-f7ccbff3e239?tenantId=3ef9f654-aa07-41b8-88ad-a411c62bd12c&amp;amp;Action=Open&amp;amp;Actionno=9055"&gt;EAF14 DOD slightly obscured, if others wasnt as prominent jt would be unlikley be an issue. stay wife runs centre of hedge&lt;/a&gt;&lt;br&gt;&lt;a href="https&amp;#58;//apps.powerapps.com/play/2d567dc9-5d50-4629-a077-f7ccbff3e239?tenantId=3ef9f654-aa07-41b8-88ad-a411c62bd12c&amp;amp;Action=Open&amp;amp;Actionno=9056"&gt;eafa4 climbing vegetation&lt;/a&gt;&lt;br&gt;&lt;a href="https&amp;#58;//apps.powerapps.com/play/2d567dc9-5d50-4629-a077-f7ccbff3e239?tenantId=3ef9f654-aa07-41b8-88ad-a411c62bd12c&amp;amp;Action=Open&amp;amp;Actionno=9057"&gt;EAFA1&lt;/a&gt;&lt;br&gt;&lt;a href="https&amp;#58;//apps.powerapps.com/play/2d567dc9-5d50-4629-a077-f7ccbff3e239?tenantId=3ef9f654-aa07-41b8-88ad-a411c62bd12c&amp;amp;Action=Open&amp;amp;Actionno=9058"&gt;DOD obscured EAFA2&lt;/a&gt;&lt;br&gt;&lt;a href="https&amp;#58;//apps.powerapps.com/play/2d567dc9-5d50-4629-a077-f7ccbff3e239?tenantId=3ef9f654-aa07-41b8-88ad-a411c62bd12c&amp;amp;Action=Open&amp;amp;Actionno=9059"&gt;EAFA3&lt;/a&gt;&lt;br&gt;&lt;a href="https&amp;#58;//apps.powerapps.com/play/2d567dc9-5d50-4629-a077-f7ccbff3e239?tenantId=3ef9f654-aa07-41b8-88ad-a411c62bd12c&amp;amp;Action=Open&amp;amp;Actionno=9060"&gt;review and rectify&lt;/a&gt;&lt;br&gt;&lt;a href="https&amp;#58;//apps.powerapps.com/play/2d567dc9-5d50-4629-a077-f7ccbff3e239?tenantId=3ef9f654-aa07-41b8-88ad-a411c62bd12c&amp;amp;Action=Open&amp;amp;Actionno=9061"&gt;review and rectify&lt;/a&gt;&lt;br&gt;&lt;a href="https&amp;#58;//apps.powerapps.com/play/2d567dc9-5d50-4629-a077-f7ccbff3e239?tenantId=3ef9f654-aa07-41b8-88ad-a411c62bd12c&amp;amp;Action=Open&amp;amp;Actionno=9062"&gt;review and rectify&lt;/a&gt;&lt;br&gt;&lt;a href="https&amp;#58;//apps.powerapps.com/play/2d567dc9-5d50-4629-a077-f7ccbff3e239?tenantId=3ef9f654-aa07-41b8-88ad-a411c62bd12c&amp;amp;Action=Open&amp;amp;Actionno=9063"&gt;review and rectify&lt;/a&gt;&lt;br&gt;&lt;a href="https&amp;#58;//apps.powerapps.com/play/2d567dc9-5d50-4629-a077-f7ccbff3e239?tenantId=3ef9f654-aa07-41b8-88ad-a411c62bd12c&amp;amp;Action=Open&amp;amp;Actionno=9064"&gt;review and rectify&lt;/a&gt;&lt;br&gt;&lt;a href="https&amp;#58;//apps.powerapps.com/play/2d567dc9-5d50-4629-a077-f7ccbff3e239?tenantId=3ef9f654-aa07-41b8-88ad-a411c62bd12c&amp;amp;Action=Open&amp;amp;Actionno=9065"&gt;rvview and rectify&lt;/a&gt;&lt;br&gt;&lt;a href="https&amp;#58;//apps.powerapps.com/play/2d567dc9-5d50-4629-a077-f7ccbff3e239?tenantId=3ef9f654-aa07-41b8-88ad-a411c62bd12c&amp;amp;Action=Open&amp;amp;Actionno=9066"&gt;review and rectify&lt;/a&gt;&lt;br&gt;&lt;a href="https&amp;#58;//apps.powerapps.com/play/2d567dc9-5d50-4629-a077-f7ccbff3e239?tenantId=3ef9f654-aa07-41b8-88ad-a411c62bd12c&amp;amp;Action=Open&amp;amp;Actionno=9067"&gt;EAF11&lt;/a&gt;&lt;br&gt;&lt;a href="https&amp;#58;//apps.powerapps.com/play/2d567dc9-5d50-4629-a077-f7ccbff3e239?tenantId=3ef9f654-aa07-41b8-88ad-a411c62bd12c&amp;amp;Action=Open&amp;amp;Actionno=9068"&gt;EAF9&lt;/a&gt;&lt;br&gt;&lt;a href="https&amp;#58;//apps.powerapps.com/play/2d567dc9-5d50-4629-a077-f7ccbff3e239?tenantId=3ef9f654-aa07-41b8-88ad-a411c62bd12c&amp;amp;Action=Open&amp;amp;Actionno=9069"&gt;EAF14 DOD slightly obscured, if others wasnt as prominent jt would be unlikley be an issue. stay wife runs centre of hedge&lt;/a&gt;&lt;br&gt;&lt;a href="https&amp;#58;//apps.powerapps.com/play/2d567dc9-5d50-4629-a077-f7ccbff3e239?tenantId=3ef9f654-aa07-41b8-88ad-a411c62bd12c&amp;amp;Action=Open&amp;amp;Actionno=9070"&gt;eafa4 climbing vegetation&lt;/a&gt;&lt;br&gt;&lt;a href="https&amp;#58;//apps.powerapps.com/play/2d567dc9-5d50-4629-a077-f7ccbff3e239?tenantId=3ef9f654-aa07-41b8-88ad-a411c62bd12c&amp;amp;Action=Open&amp;amp;Actionno=9071"&gt;EAFA1&lt;/a&gt;&lt;br&gt;&lt;a href="https&amp;#58;//apps.powerapps.com/play/2d567dc9-5d50-4629-a077-f7ccbff3e239?tenantId=3ef9f654-aa07-41b8-88ad-a411c62bd12c&amp;amp;Action=Open&amp;amp;Actionno=9072"&gt;DOD obscured EAFA2&lt;/a&gt;&lt;br&gt;&lt;a href="https&amp;#58;//apps.powerapps.com/play/2d567dc9-5d50-4629-a077-f7ccbff3e239?tenantId=3ef9f654-aa07-41b8-88ad-a411c62bd12c&amp;amp;Action=Open&amp;amp;Actionno=9073"&gt;EAFA3&lt;/a&gt;&lt;br&gt;&lt;a href="https&amp;#58;//apps.powerapps.com/play/2d567dc9-5d50-4629-a077-f7ccbff3e239?tenantId=3ef9f654-aa07-41b8-88ad-a411c62bd12c&amp;amp;Action=Open&amp;amp;Actionno=9074"&gt;review and rectify&lt;/a&gt;&lt;br&gt;&lt;a href="https&amp;#58;//apps.powerapps.com/play/2d567dc9-5d50-4629-a077-f7ccbff3e239?tenantId=3ef9f654-aa07-41b8-88ad-a411c62bd12c&amp;amp;Action=Open&amp;amp;Actionno=9075"&gt;review and rectify&lt;/a&gt;&lt;br&gt;&lt;a href="https&amp;#58;//apps.powerapps.com/play/2d567dc9-5d50-4629-a077-f7ccbff3e239?tenantId=3ef9f654-aa07-41b8-88ad-a411c62bd12c&amp;amp;Action=Open&amp;amp;Actionno=9076"&gt;review and rectify&lt;/a&gt;&lt;br&gt;&lt;a href="https&amp;#58;//apps.powerapps.com/play/2d567dc9-5d50-4629-a077-f7ccbff3e239?tenantId=3ef9f654-aa07-41b8-88ad-a411c62bd12c&amp;amp;Action=Open&amp;amp;Actionno=9077"&gt;review and rectify&lt;/a&gt;&lt;br&gt;&lt;a href="https&amp;#58;//apps.powerapps.com/play/2d567dc9-5d50-4629-a077-f7ccbff3e239?tenantId=3ef9f654-aa07-41b8-88ad-a411c62bd12c&amp;amp;Action=Open&amp;amp;Actionno=9078"&gt;review and rectify&lt;/a&gt;&lt;br&gt;&lt;a href="https&amp;#58;//apps.powerapps.com/play/2d567dc9-5d50-4629-a077-f7ccbff3e239?tenantId=3ef9f654-aa07-41b8-88ad-a411c62bd12c&amp;amp;Action=Open&amp;amp;Actionno=9079"&gt;rvview and rectify&lt;/a&gt;&lt;br&gt;&lt;a href="https&amp;#58;//apps.powerapps.com/play/2d567dc9-5d50-4629-a077-f7ccbff3e239?tenantId=3ef9f654-aa07-41b8-88ad-a411c62bd12c&amp;amp;Action=Open&amp;amp;Actionno=9080"&gt;review and rectify&lt;/a&gt;&lt;br&gt;&lt;a href="https&amp;#58;//apps.powerapps.com/play/2d567dc9-5d50-4629-a077-f7ccbff3e239?tenantId=3ef9f654-aa07-41b8-88ad-a411c62bd12c&amp;amp;Action=Open&amp;amp;Actionno=9081"&gt;EAF11&lt;/a&gt;&lt;br&gt;&lt;a href="https&amp;#58;//apps.powerapps.com/play/2d567dc9-5d50-4629-a077-f7ccbff3e239?tenantId=3ef9f654-aa07-41b8-88ad-a411c62bd12c&amp;amp;Action=Open&amp;amp;Actionno=9082"&gt;EAF9&lt;/a&gt;&lt;br&gt;&lt;a href="https&amp;#58;//apps.powerapps.com/play/2d567dc9-5d50-4629-a077-f7ccbff3e239?tenantId=3ef9f654-aa07-41b8-88ad-a411c62bd12c&amp;amp;Action=Open&amp;amp;Actionno=9083"&gt;EAF14 DOD slightly obscured, if others wasnt as prominent jt would be unlikley be an issue. stay wife runs centre of hedge&lt;/a&gt;&lt;br&gt;&lt;a href="https&amp;#58;//apps.powerapps.com/play/2d567dc9-5d50-4629-a077-f7ccbff3e239?tenantId=3ef9f654-aa07-41b8-88ad-a411c62bd12c&amp;amp;Action=Open&amp;amp;Actionno=9084"&gt;eafa4 climbing vegetation&lt;/a&gt;&lt;br&gt;&lt;a href="https&amp;#58;//apps.powerapps.com/play/2d567dc9-5d50-4629-a077-f7ccbff3e239?tenantId=3ef9f654-aa07-41b8-88ad-a411c62bd12c&amp;amp;Action=Open&amp;amp;Actionno=9085"&gt;EAFA1&lt;/a&gt;&lt;br&gt;&lt;a href="https&amp;#58;//apps.powerapps.com/play/2d567dc9-5d50-4629-a077-f7ccbff3e239?tenantId=3ef9f654-aa07-41b8-88ad-a411c62bd12c&amp;amp;Action=Open&amp;amp;Actionno=9086"&gt;DOD obscured EAFA2&lt;/a&gt;&lt;br&gt;&lt;a href="https&amp;#58;//apps.powerapps.com/play/2d567dc9-5d50-4629-a077-f7ccbff3e239?tenantId=3ef9f654-aa07-41b8-88ad-a411c62bd12c&amp;amp;Action=Open&amp;amp;Actionno=9087"&gt;EAFA3&lt;/a&gt;&lt;br&gt;&lt;a href="https&amp;#58;//apps.powerapps.com/play/2d567dc9-5d50-4629-a077-f7ccbff3e239?tenantId=3ef9f654-aa07-41b8-88ad-a411c62bd12c&amp;amp;Action=Open&amp;amp;Actionno=9088"&gt;review and rectify&lt;/a&gt;&lt;br&gt;&lt;/p&gt;</t>
        </is>
      </c>
      <c r="Y9" s="65">
        <f>MAX(0,IFERROR((LEN($T9)-LEN(SUBSTITUTE($T9,"Quality of Works / Criteria of Failings:","")))/LEN("Quality of Works / Criteria of Failings:"),0)-IFERROR((LEN($T9)-LEN(SUBSTITUTE($T9,"Quality of Works / Criteria of Failings:Compliant","")))/LEN("Quality of Works / Criteria of Failings:Compliant"),0))</f>
        <v/>
      </c>
      <c r="Z9" s="65">
        <f>IFERROR($Y9/MAX(1,(LEN($I9)-LEN(SUBSTITUTE($I9," Ltd","")))/LEN(" Ltd")),0)</f>
        <v/>
      </c>
      <c r="AA9" s="66">
        <f>IFERROR(IFERROR((LEN($T9)-LEN(SUBSTITUTE($T9,"Quality of Works / Criteria of Failings:","")))/LEN("Quality of Works / Criteria of Failings:"),0)/MAX(1,(LEN($I9)-LEN(SUBSTITUTE($I9," Ltd","")))/LEN(" Ltd")),0)</f>
        <v/>
      </c>
      <c r="AB9" s="66">
        <f>IFERROR(IFERROR((LEN($T9)-LEN(SUBSTITUTE($T9,"Quality of Works / Criteria of Failings:Compliant","")))/LEN("Quality of Works / Criteria of Failings:Compliant"),0)/MAX(1,(LEN($I9)-LEN(SUBSTITUTE($I9," Ltd","")))/LEN(" Ltd")),0)</f>
        <v/>
      </c>
    </row>
    <row r="10" ht="18" customHeight="1" s="146">
      <c r="A10" t="inlineStr">
        <is>
          <t>Post Cut Quality Inspection</t>
        </is>
      </c>
      <c r="B10" t="inlineStr">
        <is>
          <t>Richard Moses</t>
        </is>
      </c>
      <c r="C10" t="inlineStr">
        <is>
          <t>Infrastructure &amp; Utilities</t>
        </is>
      </c>
      <c r="D10" t="inlineStr">
        <is>
          <t>Utilities</t>
        </is>
      </c>
      <c r="E10" t="inlineStr">
        <is>
          <t>NGED</t>
        </is>
      </c>
      <c r="F10" t="inlineStr">
        <is>
          <t>3308 : National Grid Electricity Distribution plc</t>
        </is>
      </c>
      <c r="G10" t="inlineStr">
        <is>
          <t>900015/0003</t>
        </is>
      </c>
      <c r="H10" t="inlineStr">
        <is>
          <t>Chapel st Leonards</t>
        </is>
      </c>
      <c r="I10" t="inlineStr">
        <is>
          <t>3201 New Leaf Arb Ltd</t>
        </is>
      </c>
      <c r="J10" t="inlineStr">
        <is>
          <t>["3201 : 1851 Will Rawlings","3201 : 1849 John Lamond","3201 : 4500 Richard Ashford",":3201 : 1851 Will Rawlings~3201 : 1849 John Lamond~3201 : 4500 Richard Ashford~"]</t>
        </is>
      </c>
      <c r="K10" s="187" t="n">
        <v>46139.61736111111</v>
      </c>
      <c r="L10" s="187" t="n">
        <v>46139.62777777778</v>
      </c>
      <c r="M10" t="n">
        <v>14</v>
      </c>
      <c r="N10" t="n">
        <v>20</v>
      </c>
      <c r="P10" s="188" t="inlineStr">
        <is>
          <t xml:space="preserve">Quality of Works / Criteria of Failings: Limited Cuts Recorded~
Quality of Works / Criteria of Failings: Limited Cuts Recorded~
Quality of Works / Criteria of Failings: Limited Cuts Recorded~
Quality of Works / Criteria of Failings: Limited Cuts Recorded~
</t>
        </is>
      </c>
      <c r="Q10" t="inlineStr">
        <is>
          <t>27 Apr 2026 / Richard Moses / GCREP003892 / 3308 : National Grid Electricity Distribution plc / Chapel st Leonards / Post Cut Quality Inspection</t>
        </is>
      </c>
      <c r="S10" s="188" t="inlineStr">
        <is>
          <t>Orby Rd, Skegness PE24 4TS, UK
(53.198675354426655, 0.30701606721575564)Bridgwater Community Hospital, Bridgwater TA6 4GU, UKUnnamed Road, Skegness PE24 5NS, UK
(53.212855660400926, 0.297381019840892)</t>
        </is>
      </c>
      <c r="T10" s="188" t="inlineStr">
        <is>
          <t>Pole Number:JDCE8#Quality of Works / Criteria of Failings:Limited Cuts Recorded~#Remark from failing(s):Remark from failing(s):
Survey and SRF only records Hawthorn for this length of vegetation, Broadleafs present but not recorded. RP sheet suggests that a restriction was given due to planning, also suggests farmer will flail hedge.
#Pole Number:JDCE6#Quality of Works / Criteria of Failings:Limited Cuts Recorded~#Remark from failing(s):Remark from failing(s):
Survey and SRF only records Hawthorn for this length of vegetation, Broadleafs present but not recorded. RP sheet suggests that a restriction was given due to planning, also suggests farmer will flail hedge.
#Pole Number:JDCE4#Quality of Works / Criteria of Failings:Limited Cuts Recorded~#Remark from failing(s):Remark from failing(s):
Survey and SRF only records Hawthorn for this length of vegetation, Broadleafs present but not recorded. RP sheet suggests that a restriction was given due to planning, also suggests farmer will flail hedge.
#Pole Number:JDCE3#Quality of Works / Criteria of Failings:Limited Cuts Recorded~#Remark from failing(s):Remark from failing(s):
Survey and SRF only records Hawthorn for this length of vegetation, Broadleafs present but not recorded. RP sheet suggests that a restriction was given due to planning, also suggests farmer will flail hedge.
#</t>
        </is>
      </c>
      <c r="W10" s="187" t="n">
        <v>46139.72222222222</v>
      </c>
      <c r="X10" t="inlineStr">
        <is>
          <t>&lt;p&gt;&lt;a href="https&amp;#58;//apps.powerapps.com/play/2d567dc9-5d50-4629-a077-f7ccbff3e239?tenantId=3ef9f654-aa07-41b8-88ad-a411c62bd12c&amp;amp;Action=Open&amp;amp;Actionno=8974"&gt;jDCE3 a to jdce8&lt;/a&gt;&lt;br&gt;&lt;a href="https&amp;#58;//apps.powerapps.com/play/2d567dc9-5d50-4629-a077-f7ccbff3e239?tenantId=3ef9f654-aa07-41b8-88ad-a411c62bd12c&amp;amp;Action=Open&amp;amp;Actionno=8975"&gt;jDCE3 a to jdce8&lt;/a&gt;&lt;br&gt;&lt;a href="https&amp;#58;//apps.powerapps.com/play/2d567dc9-5d50-4629-a077-f7ccbff3e239?tenantId=3ef9f654-aa07-41b8-88ad-a411c62bd12c&amp;amp;Action=Open&amp;amp;Actionno=8976"&gt;jDCE3 a to jdce8&lt;/a&gt;&lt;br&gt;&lt;a href="https&amp;#58;//apps.powerapps.com/play/2d567dc9-5d50-4629-a077-f7ccbff3e239?tenantId=3ef9f654-aa07-41b8-88ad-a411c62bd12c&amp;amp;Action=Open&amp;amp;Actionno=8977"&gt;Chapel&lt;/a&gt;&lt;br&gt;&lt;a href="https&amp;#58;//apps.powerapps.com/play/2d567dc9-5d50-4629-a077-f7ccbff3e239?tenantId=3ef9f654-aa07-41b8-88ad-a411c62bd12c&amp;amp;Action=Open&amp;amp;Actionno=8978"&gt;jDCE3 a to jdce8&lt;/a&gt;&lt;br&gt;&lt;a href="https&amp;#58;//apps.powerapps.com/play/2d567dc9-5d50-4629-a077-f7ccbff3e239?tenantId=3ef9f654-aa07-41b8-88ad-a411c62bd12c&amp;amp;Action=Open&amp;amp;Actionno=8979"&gt;jDCE3 a to jdce8&lt;/a&gt;&lt;br&gt;&lt;a href="https&amp;#58;//apps.powerapps.com/play/2d567dc9-5d50-4629-a077-f7ccbff3e239?tenantId=3ef9f654-aa07-41b8-88ad-a411c62bd12c&amp;amp;Action=Open&amp;amp;Actionno=8980"&gt;jDCE3 a to jdce8&lt;/a&gt;&lt;br&gt;&lt;a href="https&amp;#58;//apps.powerapps.com/play/2d567dc9-5d50-4629-a077-f7ccbff3e239?tenantId=3ef9f654-aa07-41b8-88ad-a411c62bd12c&amp;amp;Action=Open&amp;amp;Actionno=8981"&gt;Chapel&lt;/a&gt;&lt;br&gt;&lt;a href="https&amp;#58;//apps.powerapps.com/play/2d567dc9-5d50-4629-a077-f7ccbff3e239?tenantId=3ef9f654-aa07-41b8-88ad-a411c62bd12c&amp;amp;Action=Open&amp;amp;Actionno=8982"&gt;jDCE3 a to jdce8&lt;/a&gt;&lt;br&gt;&lt;a href="https&amp;#58;//apps.powerapps.com/play/2d567dc9-5d50-4629-a077-f7ccbff3e239?tenantId=3ef9f654-aa07-41b8-88ad-a411c62bd12c&amp;amp;Action=Open&amp;amp;Actionno=8983"&gt;jDCE3 a to jdce8&lt;/a&gt;&lt;br&gt;&lt;a href="https&amp;#58;//apps.powerapps.com/play/2d567dc9-5d50-4629-a077-f7ccbff3e239?tenantId=3ef9f654-aa07-41b8-88ad-a411c62bd12c&amp;amp;Action=Open&amp;amp;Actionno=8984"&gt;jDCE3 a to jdce8&lt;/a&gt;&lt;br&gt;&lt;a href="https&amp;#58;//apps.powerapps.com/play/2d567dc9-5d50-4629-a077-f7ccbff3e239?tenantId=3ef9f654-aa07-41b8-88ad-a411c62bd12c&amp;amp;Action=Open&amp;amp;Actionno=8985"&gt;Chapel&lt;/a&gt;&lt;br&gt;&lt;a href="https&amp;#58;//apps.powerapps.com/play/2d567dc9-5d50-4629-a077-f7ccbff3e239?tenantId=3ef9f654-aa07-41b8-88ad-a411c62bd12c&amp;amp;Action=Open&amp;amp;Actionno=8986"&gt;jDCE3 a to jdce8&lt;/a&gt;&lt;br&gt;&lt;a href="https&amp;#58;//apps.powerapps.com/play/2d567dc9-5d50-4629-a077-f7ccbff3e239?tenantId=3ef9f654-aa07-41b8-88ad-a411c62bd12c&amp;amp;Action=Open&amp;amp;Actionno=8987"&gt;jDCE3 a to jdce8&lt;/a&gt;&lt;br&gt;&lt;a href="https&amp;#58;//apps.powerapps.com/play/2d567dc9-5d50-4629-a077-f7ccbff3e239?tenantId=3ef9f654-aa07-41b8-88ad-a411c62bd12c&amp;amp;Action=Open&amp;amp;Actionno=8988"&gt;jDCE3 a to jdce8&lt;/a&gt;&lt;br&gt;&lt;a href="https&amp;#58;//apps.powerapps.com/play/2d567dc9-5d50-4629-a077-f7ccbff3e239?tenantId=3ef9f654-aa07-41b8-88ad-a411c62bd12c&amp;amp;Action=Open&amp;amp;Actionno=8989"&gt;Chapel&lt;/a&gt;&lt;br&gt;&lt;/p&gt;</t>
        </is>
      </c>
      <c r="Y10" s="65">
        <f>MAX(0,IFERROR((LEN($T10)-LEN(SUBSTITUTE($T10,"Quality of Works / Criteria of Failings:","")))/LEN("Quality of Works / Criteria of Failings:"),0)-IFERROR((LEN($T10)-LEN(SUBSTITUTE($T10,"Quality of Works / Criteria of Failings:Compliant","")))/LEN("Quality of Works / Criteria of Failings:Compliant"),0))</f>
        <v/>
      </c>
      <c r="Z10" s="64">
        <f>IFERROR($Y10/MAX(1,(LEN($I10)-LEN(SUBSTITUTE($I10," Ltd","")))/LEN(" Ltd")),0)</f>
        <v/>
      </c>
      <c r="AA10" s="66">
        <f>IFERROR(IFERROR((LEN($T10)-LEN(SUBSTITUTE($T10,"Quality of Works / Criteria of Failings:","")))/LEN("Quality of Works / Criteria of Failings:"),0)/MAX(1,(LEN($I10)-LEN(SUBSTITUTE($I10," Ltd","")))/LEN(" Ltd")),0)</f>
        <v/>
      </c>
      <c r="AB10" s="66">
        <f>IFERROR(IFERROR((LEN($T10)-LEN(SUBSTITUTE($T10,"Quality of Works / Criteria of Failings:Compliant","")))/LEN("Quality of Works / Criteria of Failings:Compliant"),0)/MAX(1,(LEN($I10)-LEN(SUBSTITUTE($I10," Ltd","")))/LEN(" Ltd")),0)</f>
        <v/>
      </c>
    </row>
    <row r="11" ht="18" customHeight="1" s="146">
      <c r="A11" t="inlineStr">
        <is>
          <t>Post Cut Quality Inspection</t>
        </is>
      </c>
      <c r="B11" t="inlineStr">
        <is>
          <t>Richard Moses</t>
        </is>
      </c>
      <c r="C11" t="inlineStr">
        <is>
          <t>Infrastructure &amp; Utilities</t>
        </is>
      </c>
      <c r="D11" t="inlineStr">
        <is>
          <t>Utilities</t>
        </is>
      </c>
      <c r="E11" t="inlineStr">
        <is>
          <t>NGED</t>
        </is>
      </c>
      <c r="F11" t="inlineStr">
        <is>
          <t>3308 : National Grid Electricity Distribution plc</t>
        </is>
      </c>
      <c r="G11" t="inlineStr">
        <is>
          <t>900015/0003</t>
        </is>
      </c>
      <c r="H11" t="inlineStr">
        <is>
          <t>900015/0003</t>
        </is>
      </c>
      <c r="I11" t="inlineStr">
        <is>
          <t>3201 New Leaf Arb Ltd</t>
        </is>
      </c>
      <c r="J11" t="inlineStr">
        <is>
          <t>["3201 : 1849 John Lamond","3201 : 1851 Will Rawlings","3201 : 4500 Richard Ashford",":3201 : 1849 John Lamond~3201 : 1851 Will Rawlings~3201 : 4500 Richard Ashford~"]</t>
        </is>
      </c>
      <c r="K11" s="187" t="n">
        <v>46139.64236111111</v>
      </c>
      <c r="L11" s="187" t="n">
        <v>46139.67083333333</v>
      </c>
      <c r="M11" t="n">
        <v>40</v>
      </c>
      <c r="N11" t="n">
        <v>60</v>
      </c>
      <c r="Q11" t="inlineStr">
        <is>
          <t>27 Apr 2026 / Richard Moses / GCREP003893 / 3308 : National Grid Electricity Distribution plc / 900015/0003 / Post Cut Quality Inspection</t>
        </is>
      </c>
      <c r="S11" s="188" t="inlineStr">
        <is>
          <t>Orby Rd, Skegness PE24 4TS, UK
(53.198675354426655, 0.30701606721575564)</t>
        </is>
      </c>
      <c r="T11" t="inlineStr">
        <is>
          <t>Pole Number:JDCF11#Quality of Works / Criteria of Failings:Compliant~#Pole Number:2127450030#Quality of Works / Criteria of Failings:Compliant~#Pole Number:2127450060#Quality of Works / Criteria of Failings:Compliant~#Pole Number:2127450070#Quality of Works / Criteria of Failings:Compliant~#</t>
        </is>
      </c>
      <c r="W11" s="187" t="n">
        <v>46139.71666666667</v>
      </c>
      <c r="X11" t="inlineStr">
        <is>
          <t>&lt;p&gt;&lt;a href="https&amp;#58;//apps.powerapps.com/play/2d567dc9-5d50-4629-a077-f7ccbff3e239?tenantId=3ef9f654-aa07-41b8-88ad-a411c62bd12c&amp;amp;Action=Open&amp;amp;Actionno=8970"&gt;please review srf, it may be my side as wont let me access but it appears detail missing&lt;/a&gt;&lt;br&gt;&lt;a href="https&amp;#58;//apps.powerapps.com/play/2d567dc9-5d50-4629-a077-f7ccbff3e239?tenantId=3ef9f654-aa07-41b8-88ad-a411c62bd12c&amp;amp;Action=Open&amp;amp;Actionno=8971"&gt;please review srf, it may be my side as wont let me access but it appears detail missing&lt;/a&gt;&lt;br&gt;&lt;a href="https&amp;#58;//apps.powerapps.com/play/2d567dc9-5d50-4629-a077-f7ccbff3e239?tenantId=3ef9f654-aa07-41b8-88ad-a411c62bd12c&amp;amp;Action=Open&amp;amp;Actionno=8972"&gt;please review srf, it may be my side as wont let me access but it appears detail missing&lt;/a&gt;&lt;br&gt;&lt;a href="https&amp;#58;//apps.powerapps.com/play/2d567dc9-5d50-4629-a077-f7ccbff3e239?tenantId=3ef9f654-aa07-41b8-88ad-a411c62bd12c&amp;amp;Action=Open&amp;amp;Actionno=8973"&gt;please review srf, it may be my side as wont let me access but it appears detail missing&lt;/a&gt;&lt;br&gt;&lt;/p&gt;</t>
        </is>
      </c>
      <c r="Y11" s="64">
        <f>MAX(0,IFERROR((LEN($T11)-LEN(SUBSTITUTE($T11,"Quality of Works / Criteria of Failings:","")))/LEN("Quality of Works / Criteria of Failings:"),0)-IFERROR((LEN($T11)-LEN(SUBSTITUTE($T11,"Quality of Works / Criteria of Failings:Compliant","")))/LEN("Quality of Works / Criteria of Failings:Compliant"),0))</f>
        <v/>
      </c>
      <c r="Z11" s="65">
        <f>IFERROR($Y11/MAX(1,(LEN($I11)-LEN(SUBSTITUTE($I11," Ltd","")))/LEN(" Ltd")),0)</f>
        <v/>
      </c>
      <c r="AA11" s="66">
        <f>IFERROR(IFERROR((LEN($T11)-LEN(SUBSTITUTE($T11,"Quality of Works / Criteria of Failings:","")))/LEN("Quality of Works / Criteria of Failings:"),0)/MAX(1,(LEN($I11)-LEN(SUBSTITUTE($I11," Ltd","")))/LEN(" Ltd")),0)</f>
        <v/>
      </c>
      <c r="AB11" s="66">
        <f>IFERROR(IFERROR((LEN($T11)-LEN(SUBSTITUTE($T11,"Quality of Works / Criteria of Failings:Compliant","")))/LEN("Quality of Works / Criteria of Failings:Compliant"),0)/MAX(1,(LEN($I11)-LEN(SUBSTITUTE($I11," Ltd","")))/LEN(" Ltd")),0)</f>
        <v/>
      </c>
    </row>
    <row r="12" ht="18" customHeight="1" s="146">
      <c r="A12" t="inlineStr">
        <is>
          <t>Post Cut Quality Inspection</t>
        </is>
      </c>
      <c r="B12" t="inlineStr">
        <is>
          <t>Ben Arnold</t>
        </is>
      </c>
      <c r="C12" t="inlineStr">
        <is>
          <t>Infrastructure &amp; Utilities</t>
        </is>
      </c>
      <c r="D12" t="inlineStr">
        <is>
          <t>Utilities</t>
        </is>
      </c>
      <c r="E12" t="inlineStr">
        <is>
          <t>UKPN</t>
        </is>
      </c>
      <c r="F12" t="inlineStr">
        <is>
          <t>3679 : UK Power Networks</t>
        </is>
      </c>
      <c r="G12" t="inlineStr">
        <is>
          <t>B66B SD16</t>
        </is>
      </c>
      <c r="H12" t="inlineStr">
        <is>
          <t>B66B SD16</t>
        </is>
      </c>
      <c r="I12" t="inlineStr">
        <is>
          <t>7996 M G Tree Surgery Ltd</t>
        </is>
      </c>
      <c r="J12" t="inlineStr">
        <is>
          <t>["7996 : 56965 Max Gaylor","7996 : 56937 Anthony Gale",":7996 : 56965 Max Gaylor~7996 : 56937 Anthony Gale~"]</t>
        </is>
      </c>
      <c r="K12" s="187" t="n">
        <v>46136.41319444445</v>
      </c>
      <c r="L12" s="187" t="n">
        <v>46136.41736111111</v>
      </c>
      <c r="M12" t="n">
        <v>3</v>
      </c>
      <c r="N12" t="n">
        <v>75</v>
      </c>
      <c r="Q12" t="inlineStr">
        <is>
          <t>24 Apr 2026 / Ben Arnold / GCREP003871 / 3679 : UK Power Networks / B66B SD16 / Post Cut Quality Inspection</t>
        </is>
      </c>
      <c r="S12" s="188" t="inlineStr">
        <is>
          <t>Spencers Ln, Horley RH6 0EB, UK
(51.1678238, -0.2128501)Spencers Ln, Horley RH6 0EB, UK
(51.167832, -0.2128569)8 Newyears Green Lane
Uxbridge England UB9 6LX
United Kingdom
(51.58032476998258, -0.46076473114059857)8 Newyears Green Lane
Uxbridge England UB9 6LX
United Kingdom
(51.58032564104036, -0.46075900283272103)Pill Road
Axbridge England BS26
United Kingdom
(51.25436330054319, -2.899512580643343)98 New Romney Cres, Leicester LE5 1NH, UK
(52.648595699999994, -1.0505469)Weston-super-Mare England BS24
United Kingdom
(51.35066372341007, -2.839853061648066)Haggetts Lane
Highbridge England TA9
United Kingdom
(51.19591499771593, -2.930760662922513)76PP+PV Cambridge, UK
(52.2868321, 0.2371465)2 Green Ln, Swineshead, Bedford MK44 2AF, UK
(52.28086580000001, -0.4552482)</t>
        </is>
      </c>
      <c r="T12" t="inlineStr">
        <is>
          <t>Pole Number:437805#Quality of Works / Criteria of Failings:Compliant~#</t>
        </is>
      </c>
      <c r="W12" s="187" t="n">
        <v>46137.06180555555</v>
      </c>
      <c r="X12" t="inlineStr">
        <is>
          <t>&lt;p&gt;&lt;/p&gt;</t>
        </is>
      </c>
      <c r="Y12" s="65">
        <f>MAX(0,IFERROR((LEN($T12)-LEN(SUBSTITUTE($T12,"Quality of Works / Criteria of Failings:","")))/LEN("Quality of Works / Criteria of Failings:"),0)-IFERROR((LEN($T12)-LEN(SUBSTITUTE($T12,"Quality of Works / Criteria of Failings:Compliant","")))/LEN("Quality of Works / Criteria of Failings:Compliant"),0))</f>
        <v/>
      </c>
      <c r="Z12" s="65">
        <f>IFERROR($Y12/MAX(1,(LEN($I12)-LEN(SUBSTITUTE($I12," Ltd","")))/LEN(" Ltd")),0)</f>
        <v/>
      </c>
      <c r="AA12" s="66">
        <f>IFERROR(IFERROR((LEN($T12)-LEN(SUBSTITUTE($T12,"Quality of Works / Criteria of Failings:","")))/LEN("Quality of Works / Criteria of Failings:"),0)/MAX(1,(LEN($I12)-LEN(SUBSTITUTE($I12," Ltd","")))/LEN(" Ltd")),0)</f>
        <v/>
      </c>
      <c r="AB12" s="66">
        <f>IFERROR(IFERROR((LEN($T12)-LEN(SUBSTITUTE($T12,"Quality of Works / Criteria of Failings:Compliant","")))/LEN("Quality of Works / Criteria of Failings:Compliant"),0)/MAX(1,(LEN($I12)-LEN(SUBSTITUTE($I12," Ltd","")))/LEN(" Ltd")),0)</f>
        <v/>
      </c>
    </row>
    <row r="13" ht="18" customHeight="1" s="146">
      <c r="A13" t="inlineStr">
        <is>
          <t>Post Cut Quality Inspection</t>
        </is>
      </c>
      <c r="B13" t="inlineStr">
        <is>
          <t>Ben Arnold</t>
        </is>
      </c>
      <c r="C13" t="inlineStr">
        <is>
          <t>Infrastructure &amp; Utilities</t>
        </is>
      </c>
      <c r="D13" t="inlineStr">
        <is>
          <t>Utilities</t>
        </is>
      </c>
      <c r="E13" t="inlineStr">
        <is>
          <t>UKPN</t>
        </is>
      </c>
      <c r="F13" t="inlineStr">
        <is>
          <t>3679 : UK Power Networks</t>
        </is>
      </c>
      <c r="G13" t="inlineStr">
        <is>
          <t>E08H</t>
        </is>
      </c>
      <c r="I13" t="inlineStr">
        <is>
          <t>7996 M G Tree Surgery Ltd</t>
        </is>
      </c>
      <c r="J13" t="inlineStr">
        <is>
          <t>["7996 : 56965 Max Gaylor","7996 : 56966 Tim Franklin","7996 : 56937 Anthony Gale",":7996 : 56965 Max Gaylor~7996 : 56966 Tim Franklin~7996 : 56937 Anthony Gale~"]</t>
        </is>
      </c>
      <c r="K13" s="187" t="n">
        <v>46136.41875</v>
      </c>
      <c r="L13" s="187" t="n">
        <v>46136.42152777778</v>
      </c>
      <c r="M13" t="n">
        <v>3</v>
      </c>
      <c r="N13" t="n">
        <v>75</v>
      </c>
      <c r="Q13" t="inlineStr">
        <is>
          <t>24 Apr 2026 / Ben Arnold / GCREP003872 / 3679 : UK Power Networks / Post Cut Quality Inspection</t>
        </is>
      </c>
      <c r="S13" s="188" t="inlineStr">
        <is>
          <t>Spencers Ln, Horley RH6 0EB, UK
(51.1678238, -0.2128501)Spencers Ln, Horley RH6 0EB, UK
(51.167832, -0.2128569)8 Newyears Green Lane
Uxbridge England UB9 6LX
United Kingdom
(51.58032476998258, -0.46076473114059857)8 Newyears Green Lane
Uxbridge England UB9 6LX
United Kingdom
(51.58032564104036, -0.46075900283272103)Pill Road
Axbridge England BS26
United Kingdom
(51.25436330054319, -2.899512580643343)98 New Romney Cres, Leicester LE5 1NH, UK
(52.648595699999994, -1.0505469)Weston-super-Mare England BS24
United Kingdom
(51.35066372341007, -2.839853061648066)Haggetts Lane
Highbridge England TA9
United Kingdom
(51.19591499771593, -2.930760662922513)76PP+PV Cambridge, UK
(52.2868321, 0.2371465)</t>
        </is>
      </c>
      <c r="T13" t="inlineStr">
        <is>
          <t>Pole Number:424378#Quality of Works / Criteria of Failings:Compliant~#</t>
        </is>
      </c>
      <c r="W13" s="187" t="n">
        <v>46137.06041666667</v>
      </c>
      <c r="X13" t="inlineStr">
        <is>
          <t>&lt;p&gt;&lt;/p&gt;</t>
        </is>
      </c>
      <c r="Y13" s="65">
        <f>MAX(0,IFERROR((LEN($T13)-LEN(SUBSTITUTE($T13,"Quality of Works / Criteria of Failings:","")))/LEN("Quality of Works / Criteria of Failings:"),0)-IFERROR((LEN($T13)-LEN(SUBSTITUTE($T13,"Quality of Works / Criteria of Failings:Compliant","")))/LEN("Quality of Works / Criteria of Failings:Compliant"),0))</f>
        <v/>
      </c>
      <c r="Z13" s="65">
        <f>IFERROR($Y13/MAX(1,(LEN($I13)-LEN(SUBSTITUTE($I13," Ltd","")))/LEN(" Ltd")),0)</f>
        <v/>
      </c>
      <c r="AA13" s="66">
        <f>IFERROR(IFERROR((LEN($T13)-LEN(SUBSTITUTE($T13,"Quality of Works / Criteria of Failings:","")))/LEN("Quality of Works / Criteria of Failings:"),0)/MAX(1,(LEN($I13)-LEN(SUBSTITUTE($I13," Ltd","")))/LEN(" Ltd")),0)</f>
        <v/>
      </c>
      <c r="AB13" s="66">
        <f>IFERROR(IFERROR((LEN($T13)-LEN(SUBSTITUTE($T13,"Quality of Works / Criteria of Failings:Compliant","")))/LEN("Quality of Works / Criteria of Failings:Compliant"),0)/MAX(1,(LEN($I13)-LEN(SUBSTITUTE($I13," Ltd","")))/LEN(" Ltd")),0)</f>
        <v/>
      </c>
    </row>
    <row r="14" ht="18" customHeight="1" s="146">
      <c r="A14" t="inlineStr">
        <is>
          <t>Post Cut Quality Inspection</t>
        </is>
      </c>
      <c r="B14" t="inlineStr">
        <is>
          <t>Richard Moses</t>
        </is>
      </c>
      <c r="C14" t="inlineStr">
        <is>
          <t>Infrastructure &amp; Utilities</t>
        </is>
      </c>
      <c r="D14" t="inlineStr">
        <is>
          <t>Utilities</t>
        </is>
      </c>
      <c r="E14" t="inlineStr">
        <is>
          <t>NGED</t>
        </is>
      </c>
      <c r="F14" t="inlineStr">
        <is>
          <t>3308 : National Grid Electricity Distribution plc</t>
        </is>
      </c>
      <c r="G14" t="inlineStr">
        <is>
          <t>900012/0007</t>
        </is>
      </c>
      <c r="I14" t="inlineStr">
        <is>
          <t>5112 DE UA Arb Neil Squires</t>
        </is>
      </c>
      <c r="J14" t="inlineStr">
        <is>
          <t>["5112 : 43795 Neil Squires",":5112 : 43795 Neil Squires~"]</t>
        </is>
      </c>
      <c r="K14" s="187" t="n">
        <v>46134.49444444444</v>
      </c>
      <c r="L14" s="187" t="n">
        <v>46134.49791666667</v>
      </c>
      <c r="M14" t="n">
        <v>5</v>
      </c>
      <c r="N14" t="n">
        <v>75</v>
      </c>
      <c r="Q14" t="inlineStr">
        <is>
          <t>22 Apr 2026 / Richard Moses / GCREP003824 / 3308 : National Grid Electricity Distribution plc / Post Cut Quality Inspection</t>
        </is>
      </c>
      <c r="S14" s="188" t="inlineStr">
        <is>
          <t>V697+CP Grantham, UK
(52.8685102, -0.7857065999999999)B4304, Llanelli SA14, UK
(51.66914953065472, -4.1187910288661955)Merry Ln, Highbridge TA9 3PS, UK
(51.202984, -2.9192453)Cote, East Huntspill, Highbridge TA9 3PD, UK
(51.1890446, -2.9508697)Park Rd, United Kingdom
(51.9081693, -2.3258964)Thrussington Mill House, Hoby Rd, Thrussington, Leicester LE7 4TJ, UK
(52.7353506, -1.0289991)74 Church Ln, Mablethorpe LN12 2NU, UK
(53.3336565, 0.24921459999999998)</t>
        </is>
      </c>
      <c r="T14" t="inlineStr">
        <is>
          <t>Pole Number:2121500060#Quality of Works / Criteria of Failings:Compliant~#</t>
        </is>
      </c>
      <c r="W14" s="187" t="n">
        <v>46135.06527777778</v>
      </c>
      <c r="X14" t="inlineStr">
        <is>
          <t>&lt;p&gt;&lt;a href="https&amp;#58;//apps.powerapps.com/play/2d567dc9-5d50-4629-a077-f7ccbff3e239?tenantId=3ef9f654-aa07-41b8-88ad-a411c62bd12c&amp;amp;Action=Open&amp;amp;Actionno=8895"&gt;70 Church Lane Mablethorpe&lt;/a&gt;&lt;br&gt;&lt;/p&gt;</t>
        </is>
      </c>
      <c r="Y14" s="65">
        <f>MAX(0,IFERROR((LEN($T15)-LEN(SUBSTITUTE($T15,"Quality of Works / Criteria of Failings:","")))/LEN("Quality of Works / Criteria of Failings:"),0)-IFERROR((LEN($T15)-LEN(SUBSTITUTE($T15,"Quality of Works / Criteria of Failings:Compliant","")))/LEN("Quality of Works / Criteria of Failings:Compliant"),0))</f>
        <v/>
      </c>
      <c r="Z14" s="64">
        <f>IFERROR($Y15/MAX(1,(LEN($I15)-LEN(SUBSTITUTE($I15," Ltd","")))/LEN(" Ltd")),0)</f>
        <v/>
      </c>
      <c r="AA14" s="66">
        <f>IFERROR(IFERROR((LEN($T15)-LEN(SUBSTITUTE($T15,"Quality of Works / Criteria of Failings:","")))/LEN("Quality of Works / Criteria of Failings:"),0)/MAX(1,(LEN($I15)-LEN(SUBSTITUTE($I15," Ltd","")))/LEN(" Ltd")),0)</f>
        <v/>
      </c>
      <c r="AB14" s="66">
        <f>IFERROR(IFERROR((LEN($T15)-LEN(SUBSTITUTE($T15,"Quality of Works / Criteria of Failings:Compliant","")))/LEN("Quality of Works / Criteria of Failings:Compliant"),0)/MAX(1,(LEN($I15)-LEN(SUBSTITUTE($I15," Ltd","")))/LEN(" Ltd")),0)</f>
        <v/>
      </c>
    </row>
    <row r="15" ht="18" customHeight="1" s="146">
      <c r="A15" t="inlineStr">
        <is>
          <t>Post Cut Quality Inspection</t>
        </is>
      </c>
      <c r="B15" t="inlineStr">
        <is>
          <t>Richard Moses</t>
        </is>
      </c>
      <c r="C15" t="inlineStr">
        <is>
          <t>Infrastructure &amp; Utilities</t>
        </is>
      </c>
      <c r="D15" t="inlineStr">
        <is>
          <t>Utilities</t>
        </is>
      </c>
      <c r="E15" t="inlineStr">
        <is>
          <t>NGED</t>
        </is>
      </c>
      <c r="F15" t="inlineStr">
        <is>
          <t>3308 : National Grid Electricity Distribution plc</t>
        </is>
      </c>
      <c r="G15" t="inlineStr">
        <is>
          <t>Chapel St  Leonards 900015/0003</t>
        </is>
      </c>
      <c r="H15" t="inlineStr">
        <is>
          <t>900015/0003</t>
        </is>
      </c>
      <c r="I15" t="inlineStr">
        <is>
          <t>3201 New Leaf Arb Ltd</t>
        </is>
      </c>
      <c r="J15" t="inlineStr">
        <is>
          <t>["3201 : 1849 John Lamond",":3201 : 1849 John Lamond~"]</t>
        </is>
      </c>
      <c r="K15" s="187" t="n">
        <v>46129.50763888889</v>
      </c>
      <c r="L15" s="187" t="n">
        <v>46133.9375</v>
      </c>
      <c r="M15" t="n">
        <v>109</v>
      </c>
      <c r="N15" t="n">
        <v>50</v>
      </c>
      <c r="P15" s="188" t="inlineStr">
        <is>
          <t xml:space="preserve">Quality of Works / Criteria of Failings: Cut Not Compliant with BS3998~
</t>
        </is>
      </c>
      <c r="Q15" t="inlineStr">
        <is>
          <t>17 Apr 2026 / Richard Moses / GCREP003744 / 3308 : National Grid Electricity Distribution plc / 900015/0003 / Post Cut Quality Inspection</t>
        </is>
      </c>
      <c r="R15" s="188" t="inlineStr">
        <is>
          <t xml:space="preserve">Quality of Works / Criteria of Failings:
Observation, cypress appears to be cut with rods, some poor cuts but clearence adhered to. I believe team has cut to prevent cleaning up the side of the tree. Good work on broadleaf.
</t>
        </is>
      </c>
      <c r="S15" s="188" t="inlineStr">
        <is>
          <t>National Cycle Rte 33, Highbridge TA9 3PF, UK
(51.1815133, -2.9070663)B3141, Highbridge, UK
(51.19031619974014, -2.9381531082768113)16 Mill Ln, Hogsthorpe, Skegness PE24 5NF, UK
(53.224041, 0.3015992)</t>
        </is>
      </c>
      <c r="T15" s="188" t="inlineStr">
        <is>
          <t>Pole Number:JDC12B#Quality of Works / Criteria of Failings:Cut Not Compliant with BS3998~#Remark from failing(s):Remark from failing(s):
Number of poor pruning cuts on willow
#Pole Number:JDC11#Quality of Works / Criteria of Failings:Compliant~#Pole Number:2119800175#Quality of Works / Criteria of Failings:Compliant~#Pole Number:JDCA4#Quality of Works / Criteria of Failings:Compliant~#Pole Number:JDCA5#Quality of Works / Criteria of Failings:Compliant~#Pole Number:2119830030#Quality of Works / Criteria of Failings:Compliant~#Pole Number:2119830170#Quality of Works / Criteria of Failings:Compliant~#Pole Number:21198330060#Quality of Works / Criteria of Failings:Compliant~#Pole Number:2119830090#Quality of Works / Criteria of Failings:Compliant~#</t>
        </is>
      </c>
      <c r="W15" s="187" t="n">
        <v>46134.3875</v>
      </c>
      <c r="X15" t="inlineStr">
        <is>
          <t>&lt;p&gt;&lt;a href="https&amp;#58;//apps.powerapps.com/play/2d567dc9-5d50-4629-a077-f7ccbff3e239?tenantId=3ef9f654-aa07-41b8-88ad-a411c62bd12c&amp;amp;Action=Open&amp;amp;Actionno=8876"&gt;Rectification, span cut to spec and well. Although with willow I advise a 3 year revisit&lt;/a&gt;&lt;br&gt;&lt;a href="https&amp;#58;//apps.powerapps.com/play/2d567dc9-5d50-4629-a077-f7ccbff3e239?tenantId=3ef9f654-aa07-41b8-88ad-a411c62bd12c&amp;amp;Action=Open&amp;amp;Actionno=8877"&gt;Pruning Cuts&lt;/a&gt;&lt;br&gt;&lt;a href="https&amp;#58;//apps.powerapps.com/play/2d567dc9-5d50-4629-a077-f7ccbff3e239?tenantId=3ef9f654-aa07-41b8-88ad-a411c62bd12c&amp;amp;Action=Open&amp;amp;Actionno=8878"&gt;Rectification, span cut to spec and well. Although with willow I advise a 3 year revisit&lt;/a&gt;&lt;br&gt;&lt;a href="https&amp;#58;//apps.powerapps.com/play/2d567dc9-5d50-4629-a077-f7ccbff3e239?tenantId=3ef9f654-aa07-41b8-88ad-a411c62bd12c&amp;amp;Action=Open&amp;amp;Actionno=8879"&gt;Rectification, span cut to spec and well. Although with willow I advise a 3 year revisit&lt;/a&gt;&lt;br&gt;&lt;a href="https&amp;#58;//apps.powerapps.com/play/2d567dc9-5d50-4629-a077-f7ccbff3e239?tenantId=3ef9f654-aa07-41b8-88ad-a411c62bd12c&amp;amp;Action=Open&amp;amp;Actionno=8880"&gt;Rectification, span cut to spec and well. Although with willow I advise a 3 year revisit&lt;/a&gt;&lt;br&gt;&lt;a href="https&amp;#58;//apps.powerapps.com/play/2d567dc9-5d50-4629-a077-f7ccbff3e239?tenantId=3ef9f654-aa07-41b8-88ad-a411c62bd12c&amp;amp;Action=Open&amp;amp;Actionno=8881"&gt;Rectification, span cut to spec and well. Although with willow I advise a 3 year revisit&lt;/a&gt;&lt;br&gt;&lt;a href="https&amp;#58;//apps.powerapps.com/play/2d567dc9-5d50-4629-a077-f7ccbff3e239?tenantId=3ef9f654-aa07-41b8-88ad-a411c62bd12c&amp;amp;Action=Open&amp;amp;Actionno=8882"&gt;Rectification, span cut to spec and well. Although with willow I advise a 3 year revisit&lt;/a&gt;&lt;br&gt;&lt;a href="https&amp;#58;//apps.powerapps.com/play/2d567dc9-5d50-4629-a077-f7ccbff3e239?tenantId=3ef9f654-aa07-41b8-88ad-a411c62bd12c&amp;amp;Action=Open&amp;amp;Actionno=8883"&gt;Rectification, span cut to spec and well. Although with willow I advise a 3 year revisit&lt;/a&gt;&lt;br&gt;&lt;a href="https&amp;#58;//apps.powerapps.com/play/2d567dc9-5d50-4629-a077-f7ccbff3e239?tenantId=3ef9f654-aa07-41b8-88ad-a411c62bd12c&amp;amp;Action=Open&amp;amp;Actionno=8884"&gt;Rectification, span cut to spec and well. Although with willow I advise a 3 year revisit&lt;/a&gt;&lt;br&gt;&lt;a href="https&amp;#58;//apps.powerapps.com/play/2d567dc9-5d50-4629-a077-f7ccbff3e239?tenantId=3ef9f654-aa07-41b8-88ad-a411c62bd12c&amp;amp;Action=Open&amp;amp;Actionno=8885"&gt;Rectification, span cut to spec and well. Although with willow I advise a 3 year revisit&lt;/a&gt;&lt;br&gt;&lt;/p&gt;</t>
        </is>
      </c>
      <c r="Y15" s="64">
        <f>MAX(0,IFERROR((LEN($T16)-LEN(SUBSTITUTE($T16,"Quality of Works / Criteria of Failings:","")))/LEN("Quality of Works / Criteria of Failings:"),0)-IFERROR((LEN($T16)-LEN(SUBSTITUTE($T16,"Quality of Works / Criteria of Failings:Compliant","")))/LEN("Quality of Works / Criteria of Failings:Compliant"),0))</f>
        <v/>
      </c>
      <c r="Z15" s="65">
        <f>IFERROR($Y16/MAX(1,(LEN($I16)-LEN(SUBSTITUTE($I16," Ltd","")))/LEN(" Ltd")),0)</f>
        <v/>
      </c>
      <c r="AA15" s="66">
        <f>IFERROR(IFERROR((LEN($T16)-LEN(SUBSTITUTE($T16,"Quality of Works / Criteria of Failings:","")))/LEN("Quality of Works / Criteria of Failings:"),0)/MAX(1,(LEN($I16)-LEN(SUBSTITUTE($I16," Ltd","")))/LEN(" Ltd")),0)</f>
        <v/>
      </c>
      <c r="AB15" s="66">
        <f>IFERROR(IFERROR((LEN($T16)-LEN(SUBSTITUTE($T16,"Quality of Works / Criteria of Failings:Compliant","")))/LEN("Quality of Works / Criteria of Failings:Compliant"),0)/MAX(1,(LEN($I16)-LEN(SUBSTITUTE($I16," Ltd","")))/LEN(" Ltd")),0)</f>
        <v/>
      </c>
    </row>
    <row r="16" ht="18" customHeight="1" s="146">
      <c r="A16" t="inlineStr">
        <is>
          <t>Post Cut Quality Inspection</t>
        </is>
      </c>
      <c r="B16" t="inlineStr">
        <is>
          <t>Kevin Miller</t>
        </is>
      </c>
      <c r="C16" t="inlineStr">
        <is>
          <t>Infrastructure &amp; Utilities</t>
        </is>
      </c>
      <c r="D16" t="inlineStr">
        <is>
          <t>Utilities</t>
        </is>
      </c>
      <c r="E16" t="inlineStr">
        <is>
          <t>UKPN</t>
        </is>
      </c>
      <c r="F16" t="inlineStr">
        <is>
          <t>3679 : UK Power Networks</t>
        </is>
      </c>
      <c r="G16" t="inlineStr">
        <is>
          <t>A59C 106z</t>
        </is>
      </c>
      <c r="H16" t="inlineStr">
        <is>
          <t>A59C</t>
        </is>
      </c>
      <c r="I16" t="inlineStr">
        <is>
          <t>7800 MAC Tree Surgery and Fencing Ltd8040 S6 Tree specialists Ltd</t>
        </is>
      </c>
      <c r="J16" t="inlineStr">
        <is>
          <t>[":~"]</t>
        </is>
      </c>
      <c r="K16" s="187" t="n">
        <v>46133.46875</v>
      </c>
      <c r="L16" s="187" t="n">
        <v>46133.47013888889</v>
      </c>
      <c r="M16" t="n">
        <v>2</v>
      </c>
      <c r="N16" t="n">
        <v>100</v>
      </c>
      <c r="Q16" t="inlineStr">
        <is>
          <t>21 Apr 2026 / Kevin Miller / GCREP003787 / 3679 : UK Power Networks / A59C / Post Cut Quality Inspection</t>
        </is>
      </c>
      <c r="S16" s="188" t="inlineStr">
        <is>
          <t>(53.2263909, -1.1860777)10 Abbey Ln, United Kingdom
(53.406227, -1.191854)16 Belvedere Cl, North Anston, Sheffield S25 4GU, UK
(53.3501456, -1.2094612)Hillside Farm, Woolavington Rd, Bridgwater TA7 8AA, UK
(51.1667188, -2.9517216)Berryhill Farm, Marshfield, Newport NP10 8UD, UK
(51.552527999999995, -3.057477)Orchard Farm
Clevedon England BS21 6TT
United Kingdom
(51.40759233215787, -2.84379098535496)Hillside Farm, Woolavington Rd, Bridgwater TA7 8AA, UK
(51.1667188, -2.9517216)Pumping Station House, Shirebrook, Mansfield NG20 8EJ, UK
(53.1967891, -1.243304)Units C5-C6, Sneyd Hill Industrial Estate, Burslem, Stoke On Trent, ST6 2EBPumping Station House, Shirebrook, Mansfield NG20 8EJ, UK
(53.1967891, -1.243304)Pumping Station House, Shirebrook, Mansfield NG20 8EJ, UK
(53.1967891, -1.243304)Copper Beech, Mansfield NG20 9JQ, UK
(53.2276854, -1.1856166)(53.2267626, -1.1861487)Mareham Ln, Sleaford NG34 7JP, UK
(52.9947947, -0.4072993)Craggs Cottage, Crags Rd, Creswell, Worksop S80 4AG, UK
(53.260984099999995, -1.2057331)Barncoose Industrial Estate, Wilson Way, Redruth TR15 3DW, UK
(50.2273867, -5.253342)Pit Ln &amp; Jamage Rd, Talke Pits, Stoke-on-Trent ST7 1UH, UK
(53.0679276, -2.260058)Millash Ln, Worksop S80, UK
(53.274983738416466, -1.194850607585874)Martlands Farm, Woolavington, Bridgwater TA7 8ED, UK
(51.169165799999995, -2.9439551)Millash Ln, Worksop S80, UK
(53.274983738416466, -1.194850607585874)Millash Ln, Worksop S80, UK
(53.274983738416466, -1.194850607585874)Millash Ln, Worksop S80, UK
(53.274983738416466, -1.194850607585874)Lea Rd, Gainsborough DN21 1AF, UK
(53.3877849, -0.7703995)17 Stoneland Ave, Biggleswade SG18 0EA, UK
(52.094516899999995, -0.2582857)</t>
        </is>
      </c>
      <c r="W16" s="187" t="n">
        <v>46133.76041666666</v>
      </c>
      <c r="X16" t="inlineStr">
        <is>
          <t>&lt;p&gt;&lt;/p&gt;</t>
        </is>
      </c>
      <c r="Y16" s="122">
        <f>MAX(0,IFERROR((LEN($T17)-LEN(SUBSTITUTE($T17,"Quality of Works / Criteria of Failings:","")))/LEN("Quality of Works / Criteria of Failings:"),0)-IFERROR((LEN($T17)-LEN(SUBSTITUTE($T17,"Quality of Works / Criteria of Failings:Compliant","")))/LEN("Quality of Works / Criteria of Failings:Compliant"),0))</f>
        <v/>
      </c>
      <c r="Z16" s="122">
        <f>IFERROR($Y17/MAX(1,(LEN($I17)-LEN(SUBSTITUTE($I17," Ltd","")))/LEN(" Ltd")),0)</f>
        <v/>
      </c>
      <c r="AA16" s="122">
        <f>IFERROR(IFERROR((LEN($T17)-LEN(SUBSTITUTE($T17,"Quality of Works / Criteria of Failings:","")))/LEN("Quality of Works / Criteria of Failings:"),0)/MAX(1,(LEN($I17)-LEN(SUBSTITUTE($I17," Ltd","")))/LEN(" Ltd")),0)</f>
        <v/>
      </c>
      <c r="AB16" s="122">
        <f>IFERROR(IFERROR((LEN($T17)-LEN(SUBSTITUTE($T17,"Quality of Works / Criteria of Failings:Compliant","")))/LEN("Quality of Works / Criteria of Failings:Compliant"),0)/MAX(1,(LEN($I17)-LEN(SUBSTITUTE($I17," Ltd","")))/LEN(" Ltd")),0)</f>
        <v/>
      </c>
    </row>
    <row r="17" ht="18" customHeight="1" s="146">
      <c r="A17" t="inlineStr">
        <is>
          <t>Post Cut Quality Inspection</t>
        </is>
      </c>
      <c r="B17" t="inlineStr">
        <is>
          <t>Joshua Atkins</t>
        </is>
      </c>
      <c r="C17" t="inlineStr">
        <is>
          <t>Infrastructure &amp; Utilities</t>
        </is>
      </c>
      <c r="D17" t="inlineStr">
        <is>
          <t>Utilities</t>
        </is>
      </c>
      <c r="E17" t="inlineStr">
        <is>
          <t>UKPN</t>
        </is>
      </c>
      <c r="F17" t="inlineStr">
        <is>
          <t>3679 : UK Power Networks</t>
        </is>
      </c>
      <c r="G17" t="inlineStr">
        <is>
          <t>A32D 116Z</t>
        </is>
      </c>
      <c r="H17" t="inlineStr">
        <is>
          <t>A32D 116z</t>
        </is>
      </c>
      <c r="I17" t="inlineStr">
        <is>
          <t>7995 Green Net Eco Ltd</t>
        </is>
      </c>
      <c r="J17" t="inlineStr">
        <is>
          <t>["7995 : 57310 Jacob Oram","7995 : 57388 Tom Playford",":7995 : 57310 Jacob Oram~7995 : 57388 Tom Playford~"]</t>
        </is>
      </c>
      <c r="K17" s="187" t="n">
        <v>46129.58472222222</v>
      </c>
      <c r="L17" s="187" t="n">
        <v>46129.58888888889</v>
      </c>
      <c r="M17" t="n">
        <v>5</v>
      </c>
      <c r="N17" t="n">
        <v>75</v>
      </c>
      <c r="Q17" t="inlineStr">
        <is>
          <t>17 Apr 2026 / Joshua Atkins / GCREP003746 / 3679 : UK Power Networks / A32D 116z / Post Cut Quality Inspection</t>
        </is>
      </c>
      <c r="S17" s="188" t="inlineStr">
        <is>
          <t>Parsonage Ln, Margaretting, Ingatestone CM4, UK
(51.686222908252915, 0.41780412614380086)</t>
        </is>
      </c>
      <c r="T17" t="inlineStr">
        <is>
          <t>Pole Number:311669#Quality of Works / Criteria of Failings:Compliant~#</t>
        </is>
      </c>
      <c r="W17" s="187" t="n">
        <v>46129.71666666667</v>
      </c>
      <c r="X17" t="inlineStr">
        <is>
          <t>&lt;p&gt;&lt;/p&gt;</t>
        </is>
      </c>
      <c r="Y17" s="122">
        <f>MAX(0,IFERROR((LEN($T18)-LEN(SUBSTITUTE($T18,"Quality of Works / Criteria of Failings:","")))/LEN("Quality of Works / Criteria of Failings:"),0)-IFERROR((LEN($T18)-LEN(SUBSTITUTE($T18,"Quality of Works / Criteria of Failings:Compliant","")))/LEN("Quality of Works / Criteria of Failings:Compliant"),0))</f>
        <v/>
      </c>
      <c r="Z17" s="122">
        <f>IFERROR($Y18/MAX(1,(LEN($I18)-LEN(SUBSTITUTE($I18," Ltd","")))/LEN(" Ltd")),0)</f>
        <v/>
      </c>
      <c r="AA17" s="122">
        <f>IFERROR(IFERROR((LEN($T18)-LEN(SUBSTITUTE($T18,"Quality of Works / Criteria of Failings:","")))/LEN("Quality of Works / Criteria of Failings:"),0)/MAX(1,(LEN($I18)-LEN(SUBSTITUTE($I18," Ltd","")))/LEN(" Ltd")),0)</f>
        <v/>
      </c>
      <c r="AB17" s="122">
        <f>IFERROR(IFERROR((LEN($T18)-LEN(SUBSTITUTE($T18,"Quality of Works / Criteria of Failings:Compliant","")))/LEN("Quality of Works / Criteria of Failings:Compliant"),0)/MAX(1,(LEN($I18)-LEN(SUBSTITUTE($I18," Ltd","")))/LEN(" Ltd")),0)</f>
        <v/>
      </c>
    </row>
    <row r="18" ht="18" customHeight="1" s="146">
      <c r="A18" t="inlineStr">
        <is>
          <t>Post Cut Quality Inspection</t>
        </is>
      </c>
      <c r="B18" t="inlineStr">
        <is>
          <t>Kevin Miller</t>
        </is>
      </c>
      <c r="C18" t="inlineStr">
        <is>
          <t>Infrastructure &amp; Utilities</t>
        </is>
      </c>
      <c r="D18" t="inlineStr">
        <is>
          <t>Utilities</t>
        </is>
      </c>
      <c r="E18" t="inlineStr">
        <is>
          <t>UKPN</t>
        </is>
      </c>
      <c r="F18" t="inlineStr">
        <is>
          <t>3679 : UK Power Networks</t>
        </is>
      </c>
      <c r="G18" t="inlineStr">
        <is>
          <t>A52H</t>
        </is>
      </c>
      <c r="H18" t="inlineStr">
        <is>
          <t>A52H</t>
        </is>
      </c>
      <c r="I18" t="inlineStr">
        <is>
          <t>6617 Ashdown Tree Limited7800 MAC Tree Surgery and Fencing Ltd</t>
        </is>
      </c>
      <c r="K18" s="187" t="n">
        <v>46121.39791666667</v>
      </c>
      <c r="L18" s="187" t="n">
        <v>46121.39930555555</v>
      </c>
      <c r="M18" t="n">
        <v>2</v>
      </c>
      <c r="N18" t="n">
        <v>100</v>
      </c>
      <c r="Q18" t="inlineStr">
        <is>
          <t>9 Apr 2026 / Kevin Miller / GCREP003661 / 3679 : UK Power Networks / A52H / Post Cut Quality Inspection</t>
        </is>
      </c>
      <c r="S18" s="188" t="inlineStr">
        <is>
          <t>216 Braunstone Ave, Leicester LE3 1EG, UK
(52.6214424, -1.1703553)Braunstone Park Pond, 191 Cort Cres, Leicester LE3 1QN, UK
(52.621678, -1.177998)20 Seagrave Rd., Thrussington, Leicester LE7 4UG, UK
(52.73768399999999, -1.0424804)5662+G8 Newark, UK
(53.161292, -0.7992045)X46P+XV Nottingham, UK
(52.9623988, -0.8628178999999999)Team Valley Retail Park Unit 6, Team Valley, Gateshead NE11 0BD, UK
(54.923753, -1.6208156999999999)Ashes Road Oldbury 17 Stoneland Ave, Biggleswade SG18 0EA, UK
(52.094516899999995, -0.2582857)</t>
        </is>
      </c>
      <c r="W18" s="187" t="n">
        <v>46121.72777777778</v>
      </c>
      <c r="X18" t="inlineStr">
        <is>
          <t>&lt;p&gt;&lt;/p&gt;</t>
        </is>
      </c>
      <c r="Y18" s="122">
        <f>MAX(0,IFERROR((LEN($T19)-LEN(SUBSTITUTE($T19,"Quality of Works / Criteria of Failings:","")))/LEN("Quality of Works / Criteria of Failings:"),0)-IFERROR((LEN($T19)-LEN(SUBSTITUTE($T19,"Quality of Works / Criteria of Failings:Compliant","")))/LEN("Quality of Works / Criteria of Failings:Compliant"),0))</f>
        <v/>
      </c>
      <c r="Z18" s="122">
        <f>IFERROR($Y19/MAX(1,(LEN($I19)-LEN(SUBSTITUTE($I19," Ltd","")))/LEN(" Ltd")),0)</f>
        <v/>
      </c>
      <c r="AA18" s="122">
        <f>IFERROR(IFERROR((LEN($T19)-LEN(SUBSTITUTE($T19,"Quality of Works / Criteria of Failings:","")))/LEN("Quality of Works / Criteria of Failings:"),0)/MAX(1,(LEN($I19)-LEN(SUBSTITUTE($I19," Ltd","")))/LEN(" Ltd")),0)</f>
        <v/>
      </c>
      <c r="AB18" s="122">
        <f>IFERROR(IFERROR((LEN($T19)-LEN(SUBSTITUTE($T19,"Quality of Works / Criteria of Failings:Compliant","")))/LEN("Quality of Works / Criteria of Failings:Compliant"),0)/MAX(1,(LEN($I19)-LEN(SUBSTITUTE($I19," Ltd","")))/LEN(" Ltd")),0)</f>
        <v/>
      </c>
    </row>
    <row r="19" ht="18" customHeight="1" s="146">
      <c r="A19" t="inlineStr">
        <is>
          <t>Post Cut Quality Inspection</t>
        </is>
      </c>
      <c r="B19" t="inlineStr">
        <is>
          <t>Kevin Miller</t>
        </is>
      </c>
      <c r="C19" t="inlineStr">
        <is>
          <t>Infrastructure &amp; Utilities</t>
        </is>
      </c>
      <c r="D19" t="inlineStr">
        <is>
          <t>Utilities</t>
        </is>
      </c>
      <c r="E19" t="inlineStr">
        <is>
          <t>UKPN</t>
        </is>
      </c>
      <c r="F19" t="inlineStr">
        <is>
          <t>3679 : UK Power Networks</t>
        </is>
      </c>
      <c r="G19" t="inlineStr">
        <is>
          <t>A32c</t>
        </is>
      </c>
      <c r="H19" t="inlineStr">
        <is>
          <t>A32c</t>
        </is>
      </c>
      <c r="I19" t="inlineStr">
        <is>
          <t>7800 MAC Tree Surgery and Fencing Ltd7186 Eastwoodbury Tree Services Ltd</t>
        </is>
      </c>
      <c r="J19" t="inlineStr">
        <is>
          <t>["7800 : 54288 Lewis Macnicol","7186 : 52901 Dan Gilbert",":7800 : 54288 Lewis Macnicol~7186 : 52901 Dan Gilbert~"]</t>
        </is>
      </c>
      <c r="K19" s="187" t="n">
        <v>46113.3</v>
      </c>
      <c r="L19" s="187" t="n">
        <v>46113.30277777778</v>
      </c>
      <c r="M19" t="n">
        <v>3</v>
      </c>
      <c r="N19" t="n">
        <v>75</v>
      </c>
      <c r="Q19" t="inlineStr">
        <is>
          <t>31 Mar 2026 / Kevin Miller / GCREP003623 / 3679 : UK Power Networks / A32c / Post Cut Quality Inspection</t>
        </is>
      </c>
      <c r="S19" s="188" t="inlineStr">
        <is>
          <t>Burghmuir Rd, Stirling FK7 7NZ, UK
(56.1144899, -3.9334827)School St, Willenhall WV13, UK
(52.5840683, -2.0658873)Sheltwood Ln, Bromsgrove B60, UK
(52.31316877790926, -2.0187679678201675)74 Ashmead Dr, Cofton Hackett, Birmingham B45 8AB, UK
(52.379604099999995, -1.9934422)Upper Bittell 103 Bittell Rd, Birmingham B48 7BN, UK
(52.36276628960084, -1.9730276254909405)16 Stoneland Ave, Biggleswade SG18 0EA, UK
(52.094489499999995, -0.25845029999999997)</t>
        </is>
      </c>
      <c r="T19" t="inlineStr">
        <is>
          <t>Pole Number:311399-311402-311403-311404-311405-311406#Quality of Works / Criteria of Failings:Compliant~#</t>
        </is>
      </c>
      <c r="W19" s="187" t="n">
        <v>46113.74583333333</v>
      </c>
      <c r="X19" t="inlineStr">
        <is>
          <t>&lt;p&gt;&lt;/p&gt;</t>
        </is>
      </c>
      <c r="Y19" s="122">
        <f>MAX(0,IFERROR((LEN($T20)-LEN(SUBSTITUTE($T20,"Quality of Works / Criteria of Failings:","")))/LEN("Quality of Works / Criteria of Failings:"),0)-IFERROR((LEN($T20)-LEN(SUBSTITUTE($T20,"Quality of Works / Criteria of Failings:Compliant","")))/LEN("Quality of Works / Criteria of Failings:Compliant"),0))</f>
        <v/>
      </c>
      <c r="Z19" s="122">
        <f>IFERROR($Y20/MAX(1,(LEN($I20)-LEN(SUBSTITUTE($I20," Ltd","")))/LEN(" Ltd")),0)</f>
        <v/>
      </c>
      <c r="AA19" s="122">
        <f>IFERROR(IFERROR((LEN($T20)-LEN(SUBSTITUTE($T20,"Quality of Works / Criteria of Failings:","")))/LEN("Quality of Works / Criteria of Failings:"),0)/MAX(1,(LEN($I20)-LEN(SUBSTITUTE($I20," Ltd","")))/LEN(" Ltd")),0)</f>
        <v/>
      </c>
      <c r="AB19" s="122">
        <f>IFERROR(IFERROR((LEN($T20)-LEN(SUBSTITUTE($T20,"Quality of Works / Criteria of Failings:Compliant","")))/LEN("Quality of Works / Criteria of Failings:Compliant"),0)/MAX(1,(LEN($I20)-LEN(SUBSTITUTE($I20," Ltd","")))/LEN(" Ltd")),0)</f>
        <v/>
      </c>
    </row>
    <row r="20" ht="18" customHeight="1" s="146">
      <c r="Y20" s="122">
        <f>MAX(0,IFERROR((LEN($T21)-LEN(SUBSTITUTE($T21,"Quality of Works / Criteria of Failings:","")))/LEN("Quality of Works / Criteria of Failings:"),0)-IFERROR((LEN($T21)-LEN(SUBSTITUTE($T21,"Quality of Works / Criteria of Failings:Compliant","")))/LEN("Quality of Works / Criteria of Failings:Compliant"),0))</f>
        <v/>
      </c>
      <c r="Z20" s="122">
        <f>IFERROR($Y21/MAX(1,(LEN($I21)-LEN(SUBSTITUTE($I21," Ltd","")))/LEN(" Ltd")),0)</f>
        <v/>
      </c>
      <c r="AA20" s="122">
        <f>IFERROR(IFERROR((LEN($T21)-LEN(SUBSTITUTE($T21,"Quality of Works / Criteria of Failings:","")))/LEN("Quality of Works / Criteria of Failings:"),0)/MAX(1,(LEN($I21)-LEN(SUBSTITUTE($I21," Ltd","")))/LEN(" Ltd")),0)</f>
        <v/>
      </c>
      <c r="AB20" s="122">
        <f>IFERROR(IFERROR((LEN($T21)-LEN(SUBSTITUTE($T21,"Quality of Works / Criteria of Failings:Compliant","")))/LEN("Quality of Works / Criteria of Failings:Compliant"),0)/MAX(1,(LEN($I21)-LEN(SUBSTITUTE($I21," Ltd","")))/LEN(" Ltd")),0)</f>
        <v/>
      </c>
    </row>
    <row r="21" ht="18" customHeight="1" s="146">
      <c r="Y21" s="122">
        <f>MAX(0,IFERROR((LEN($T22)-LEN(SUBSTITUTE($T22,"Quality of Works / Criteria of Failings:","")))/LEN("Quality of Works / Criteria of Failings:"),0)-IFERROR((LEN($T22)-LEN(SUBSTITUTE($T22,"Quality of Works / Criteria of Failings:Compliant","")))/LEN("Quality of Works / Criteria of Failings:Compliant"),0))</f>
        <v/>
      </c>
      <c r="Z21" s="122">
        <f>IFERROR($Y22/MAX(1,(LEN($I22)-LEN(SUBSTITUTE($I22," Ltd","")))/LEN(" Ltd")),0)</f>
        <v/>
      </c>
      <c r="AA21" s="122">
        <f>IFERROR(IFERROR((LEN($T22)-LEN(SUBSTITUTE($T22,"Quality of Works / Criteria of Failings:","")))/LEN("Quality of Works / Criteria of Failings:"),0)/MAX(1,(LEN($I22)-LEN(SUBSTITUTE($I22," Ltd","")))/LEN(" Ltd")),0)</f>
        <v/>
      </c>
      <c r="AB21" s="122">
        <f>IFERROR(IFERROR((LEN($T22)-LEN(SUBSTITUTE($T22,"Quality of Works / Criteria of Failings:Compliant","")))/LEN("Quality of Works / Criteria of Failings:Compliant"),0)/MAX(1,(LEN($I22)-LEN(SUBSTITUTE($I22," Ltd","")))/LEN(" Ltd")),0)</f>
        <v/>
      </c>
    </row>
    <row r="22" ht="18" customHeight="1" s="146">
      <c r="Y22" s="122">
        <f>MAX(0,IFERROR((LEN($T23)-LEN(SUBSTITUTE($T23,"Quality of Works / Criteria of Failings:","")))/LEN("Quality of Works / Criteria of Failings:"),0)-IFERROR((LEN($T23)-LEN(SUBSTITUTE($T23,"Quality of Works / Criteria of Failings:Compliant","")))/LEN("Quality of Works / Criteria of Failings:Compliant"),0))</f>
        <v/>
      </c>
      <c r="Z22" s="122">
        <f>IFERROR($Y23/MAX(1,(LEN($I23)-LEN(SUBSTITUTE($I23," Ltd","")))/LEN(" Ltd")),0)</f>
        <v/>
      </c>
      <c r="AA22" s="122">
        <f>IFERROR(IFERROR((LEN($T23)-LEN(SUBSTITUTE($T23,"Quality of Works / Criteria of Failings:","")))/LEN("Quality of Works / Criteria of Failings:"),0)/MAX(1,(LEN($I23)-LEN(SUBSTITUTE($I23," Ltd","")))/LEN(" Ltd")),0)</f>
        <v/>
      </c>
      <c r="AB22" s="122">
        <f>IFERROR(IFERROR((LEN($T23)-LEN(SUBSTITUTE($T23,"Quality of Works / Criteria of Failings:Compliant","")))/LEN("Quality of Works / Criteria of Failings:Compliant"),0)/MAX(1,(LEN($I23)-LEN(SUBSTITUTE($I23," Ltd","")))/LEN(" Ltd")),0)</f>
        <v/>
      </c>
    </row>
    <row r="23" ht="18" customHeight="1" s="146">
      <c r="Y23" s="122">
        <f>MAX(0,IFERROR((LEN($T24)-LEN(SUBSTITUTE($T24,"Quality of Works / Criteria of Failings:","")))/LEN("Quality of Works / Criteria of Failings:"),0)-IFERROR((LEN($T24)-LEN(SUBSTITUTE($T24,"Quality of Works / Criteria of Failings:Compliant","")))/LEN("Quality of Works / Criteria of Failings:Compliant"),0))</f>
        <v/>
      </c>
      <c r="Z23" s="122">
        <f>IFERROR($Y24/MAX(1,(LEN($I24)-LEN(SUBSTITUTE($I24," Ltd","")))/LEN(" Ltd")),0)</f>
        <v/>
      </c>
      <c r="AA23" s="122">
        <f>IFERROR(IFERROR((LEN($T24)-LEN(SUBSTITUTE($T24,"Quality of Works / Criteria of Failings:","")))/LEN("Quality of Works / Criteria of Failings:"),0)/MAX(1,(LEN($I24)-LEN(SUBSTITUTE($I24," Ltd","")))/LEN(" Ltd")),0)</f>
        <v/>
      </c>
      <c r="AB23" s="122">
        <f>IFERROR(IFERROR((LEN($T24)-LEN(SUBSTITUTE($T24,"Quality of Works / Criteria of Failings:Compliant","")))/LEN("Quality of Works / Criteria of Failings:Compliant"),0)/MAX(1,(LEN($I24)-LEN(SUBSTITUTE($I24," Ltd","")))/LEN(" Ltd")),0)</f>
        <v/>
      </c>
    </row>
    <row r="24" ht="18" customHeight="1" s="146">
      <c r="Y24" s="122">
        <f>MAX(0,IFERROR((LEN($T25)-LEN(SUBSTITUTE($T25,"Quality of Works / Criteria of Failings:","")))/LEN("Quality of Works / Criteria of Failings:"),0)-IFERROR((LEN($T25)-LEN(SUBSTITUTE($T25,"Quality of Works / Criteria of Failings:Compliant","")))/LEN("Quality of Works / Criteria of Failings:Compliant"),0))</f>
        <v/>
      </c>
      <c r="Z24" s="122">
        <f>IFERROR($Y25/MAX(1,(LEN($I25)-LEN(SUBSTITUTE($I25," Ltd","")))/LEN(" Ltd")),0)</f>
        <v/>
      </c>
      <c r="AA24" s="122">
        <f>IFERROR(IFERROR((LEN($T25)-LEN(SUBSTITUTE($T25,"Quality of Works / Criteria of Failings:","")))/LEN("Quality of Works / Criteria of Failings:"),0)/MAX(1,(LEN($I25)-LEN(SUBSTITUTE($I25," Ltd","")))/LEN(" Ltd")),0)</f>
        <v/>
      </c>
      <c r="AB24" s="122">
        <f>IFERROR(IFERROR((LEN($T25)-LEN(SUBSTITUTE($T25,"Quality of Works / Criteria of Failings:Compliant","")))/LEN("Quality of Works / Criteria of Failings:Compliant"),0)/MAX(1,(LEN($I25)-LEN(SUBSTITUTE($I25," Ltd","")))/LEN(" Ltd")),0)</f>
        <v/>
      </c>
    </row>
    <row r="25" ht="18" customHeight="1" s="146">
      <c r="Y25" s="122">
        <f>MAX(0,IFERROR((LEN($T26)-LEN(SUBSTITUTE($T26,"Quality of Works / Criteria of Failings:","")))/LEN("Quality of Works / Criteria of Failings:"),0)-IFERROR((LEN($T26)-LEN(SUBSTITUTE($T26,"Quality of Works / Criteria of Failings:Compliant","")))/LEN("Quality of Works / Criteria of Failings:Compliant"),0))</f>
        <v/>
      </c>
      <c r="Z25" s="122">
        <f>IFERROR($Y26/MAX(1,(LEN($I26)-LEN(SUBSTITUTE($I26," Ltd","")))/LEN(" Ltd")),0)</f>
        <v/>
      </c>
      <c r="AA25" s="122">
        <f>IFERROR(IFERROR((LEN($T26)-LEN(SUBSTITUTE($T26,"Quality of Works / Criteria of Failings:","")))/LEN("Quality of Works / Criteria of Failings:"),0)/MAX(1,(LEN($I26)-LEN(SUBSTITUTE($I26," Ltd","")))/LEN(" Ltd")),0)</f>
        <v/>
      </c>
      <c r="AB25" s="122">
        <f>IFERROR(IFERROR((LEN($T26)-LEN(SUBSTITUTE($T26,"Quality of Works / Criteria of Failings:Compliant","")))/LEN("Quality of Works / Criteria of Failings:Compliant"),0)/MAX(1,(LEN($I26)-LEN(SUBSTITUTE($I26," Ltd","")))/LEN(" Ltd")),0)</f>
        <v/>
      </c>
    </row>
    <row r="26" ht="18" customHeight="1" s="146">
      <c r="Y26" s="122">
        <f>MAX(0,IFERROR((LEN($T27)-LEN(SUBSTITUTE($T27,"Quality of Works / Criteria of Failings:","")))/LEN("Quality of Works / Criteria of Failings:"),0)-IFERROR((LEN($T27)-LEN(SUBSTITUTE($T27,"Quality of Works / Criteria of Failings:Compliant","")))/LEN("Quality of Works / Criteria of Failings:Compliant"),0))</f>
        <v/>
      </c>
      <c r="Z26" s="122">
        <f>IFERROR($Y27/MAX(1,(LEN($I27)-LEN(SUBSTITUTE($I27," Ltd","")))/LEN(" Ltd")),0)</f>
        <v/>
      </c>
      <c r="AA26" s="122">
        <f>IFERROR(IFERROR((LEN($T27)-LEN(SUBSTITUTE($T27,"Quality of Works / Criteria of Failings:","")))/LEN("Quality of Works / Criteria of Failings:"),0)/MAX(1,(LEN($I27)-LEN(SUBSTITUTE($I27," Ltd","")))/LEN(" Ltd")),0)</f>
        <v/>
      </c>
      <c r="AB26" s="122">
        <f>IFERROR(IFERROR((LEN($T27)-LEN(SUBSTITUTE($T27,"Quality of Works / Criteria of Failings:Compliant","")))/LEN("Quality of Works / Criteria of Failings:Compliant"),0)/MAX(1,(LEN($I27)-LEN(SUBSTITUTE($I27," Ltd","")))/LEN(" Ltd")),0)</f>
        <v/>
      </c>
    </row>
    <row r="27" ht="18" customHeight="1" s="146">
      <c r="Y27" s="122">
        <f>MAX(0,IFERROR((LEN($T28)-LEN(SUBSTITUTE($T28,"Quality of Works / Criteria of Failings:","")))/LEN("Quality of Works / Criteria of Failings:"),0)-IFERROR((LEN($T28)-LEN(SUBSTITUTE($T28,"Quality of Works / Criteria of Failings:Compliant","")))/LEN("Quality of Works / Criteria of Failings:Compliant"),0))</f>
        <v/>
      </c>
      <c r="Z27" s="122">
        <f>IFERROR($Y28/MAX(1,(LEN($I28)-LEN(SUBSTITUTE($I28," Ltd","")))/LEN(" Ltd")),0)</f>
        <v/>
      </c>
      <c r="AA27" s="122">
        <f>IFERROR(IFERROR((LEN($T28)-LEN(SUBSTITUTE($T28,"Quality of Works / Criteria of Failings:","")))/LEN("Quality of Works / Criteria of Failings:"),0)/MAX(1,(LEN($I28)-LEN(SUBSTITUTE($I28," Ltd","")))/LEN(" Ltd")),0)</f>
        <v/>
      </c>
      <c r="AB27" s="122">
        <f>IFERROR(IFERROR((LEN($T28)-LEN(SUBSTITUTE($T28,"Quality of Works / Criteria of Failings:Compliant","")))/LEN("Quality of Works / Criteria of Failings:Compliant"),0)/MAX(1,(LEN($I28)-LEN(SUBSTITUTE($I28," Ltd","")))/LEN(" Ltd")),0)</f>
        <v/>
      </c>
    </row>
    <row r="28" ht="18" customHeight="1" s="146">
      <c r="Y28" s="122">
        <f>MAX(0,IFERROR((LEN($T29)-LEN(SUBSTITUTE($T29,"Quality of Works / Criteria of Failings:","")))/LEN("Quality of Works / Criteria of Failings:"),0)-IFERROR((LEN($T29)-LEN(SUBSTITUTE($T29,"Quality of Works / Criteria of Failings:Compliant","")))/LEN("Quality of Works / Criteria of Failings:Compliant"),0))</f>
        <v/>
      </c>
      <c r="Z28" s="122">
        <f>IFERROR($Y29/MAX(1,(LEN($I29)-LEN(SUBSTITUTE($I29," Ltd","")))/LEN(" Ltd")),0)</f>
        <v/>
      </c>
      <c r="AA28" s="122">
        <f>IFERROR(IFERROR((LEN($T29)-LEN(SUBSTITUTE($T29,"Quality of Works / Criteria of Failings:","")))/LEN("Quality of Works / Criteria of Failings:"),0)/MAX(1,(LEN($I29)-LEN(SUBSTITUTE($I29," Ltd","")))/LEN(" Ltd")),0)</f>
        <v/>
      </c>
      <c r="AB28" s="122">
        <f>IFERROR(IFERROR((LEN($T29)-LEN(SUBSTITUTE($T29,"Quality of Works / Criteria of Failings:Compliant","")))/LEN("Quality of Works / Criteria of Failings:Compliant"),0)/MAX(1,(LEN($I29)-LEN(SUBSTITUTE($I29," Ltd","")))/LEN(" Ltd")),0)</f>
        <v/>
      </c>
    </row>
    <row r="29" ht="18" customHeight="1" s="146">
      <c r="Y29" s="122">
        <f>MAX(0,IFERROR((LEN($T30)-LEN(SUBSTITUTE($T30,"Quality of Works / Criteria of Failings:","")))/LEN("Quality of Works / Criteria of Failings:"),0)-IFERROR((LEN($T30)-LEN(SUBSTITUTE($T30,"Quality of Works / Criteria of Failings:Compliant","")))/LEN("Quality of Works / Criteria of Failings:Compliant"),0))</f>
        <v/>
      </c>
      <c r="Z29" s="122">
        <f>IFERROR($Y30/MAX(1,(LEN($I30)-LEN(SUBSTITUTE($I30," Ltd","")))/LEN(" Ltd")),0)</f>
        <v/>
      </c>
      <c r="AA29" s="122">
        <f>IFERROR(IFERROR((LEN($T30)-LEN(SUBSTITUTE($T30,"Quality of Works / Criteria of Failings:","")))/LEN("Quality of Works / Criteria of Failings:"),0)/MAX(1,(LEN($I30)-LEN(SUBSTITUTE($I30," Ltd","")))/LEN(" Ltd")),0)</f>
        <v/>
      </c>
      <c r="AB29" s="122">
        <f>IFERROR(IFERROR((LEN($T30)-LEN(SUBSTITUTE($T30,"Quality of Works / Criteria of Failings:Compliant","")))/LEN("Quality of Works / Criteria of Failings:Compliant"),0)/MAX(1,(LEN($I30)-LEN(SUBSTITUTE($I30," Ltd","")))/LEN(" Ltd")),0)</f>
        <v/>
      </c>
    </row>
    <row r="30" ht="18" customHeight="1" s="146">
      <c r="Y30" s="122">
        <f>MAX(0,IFERROR((LEN($T31)-LEN(SUBSTITUTE($T31,"Quality of Works / Criteria of Failings:","")))/LEN("Quality of Works / Criteria of Failings:"),0)-IFERROR((LEN($T31)-LEN(SUBSTITUTE($T31,"Quality of Works / Criteria of Failings:Compliant","")))/LEN("Quality of Works / Criteria of Failings:Compliant"),0))</f>
        <v/>
      </c>
      <c r="Z30" s="122">
        <f>IFERROR($Y31/MAX(1,(LEN($I31)-LEN(SUBSTITUTE($I31," Ltd","")))/LEN(" Ltd")),0)</f>
        <v/>
      </c>
      <c r="AA30" s="122">
        <f>IFERROR(IFERROR((LEN($T31)-LEN(SUBSTITUTE($T31,"Quality of Works / Criteria of Failings:","")))/LEN("Quality of Works / Criteria of Failings:"),0)/MAX(1,(LEN($I31)-LEN(SUBSTITUTE($I31," Ltd","")))/LEN(" Ltd")),0)</f>
        <v/>
      </c>
      <c r="AB30" s="122">
        <f>IFERROR(IFERROR((LEN($T31)-LEN(SUBSTITUTE($T31,"Quality of Works / Criteria of Failings:Compliant","")))/LEN("Quality of Works / Criteria of Failings:Compliant"),0)/MAX(1,(LEN($I31)-LEN(SUBSTITUTE($I31," Ltd","")))/LEN(" Ltd")),0)</f>
        <v/>
      </c>
    </row>
    <row r="31" ht="18" customHeight="1" s="146">
      <c r="Y31" s="122">
        <f>MAX(0,IFERROR((LEN($T32)-LEN(SUBSTITUTE($T32,"Quality of Works / Criteria of Failings:","")))/LEN("Quality of Works / Criteria of Failings:"),0)-IFERROR((LEN($T32)-LEN(SUBSTITUTE($T32,"Quality of Works / Criteria of Failings:Compliant","")))/LEN("Quality of Works / Criteria of Failings:Compliant"),0))</f>
        <v/>
      </c>
      <c r="Z31" s="122">
        <f>IFERROR($Y32/MAX(1,(LEN($I32)-LEN(SUBSTITUTE($I32," Ltd","")))/LEN(" Ltd")),0)</f>
        <v/>
      </c>
      <c r="AA31" s="122">
        <f>IFERROR(IFERROR((LEN($T32)-LEN(SUBSTITUTE($T32,"Quality of Works / Criteria of Failings:","")))/LEN("Quality of Works / Criteria of Failings:"),0)/MAX(1,(LEN($I32)-LEN(SUBSTITUTE($I32," Ltd","")))/LEN(" Ltd")),0)</f>
        <v/>
      </c>
      <c r="AB31" s="122">
        <f>IFERROR(IFERROR((LEN($T32)-LEN(SUBSTITUTE($T32,"Quality of Works / Criteria of Failings:Compliant","")))/LEN("Quality of Works / Criteria of Failings:Compliant"),0)/MAX(1,(LEN($I32)-LEN(SUBSTITUTE($I32," Ltd","")))/LEN(" Ltd")),0)</f>
        <v/>
      </c>
    </row>
    <row r="32" ht="18" customHeight="1" s="146">
      <c r="Y32" s="122">
        <f>MAX(0,IFERROR((LEN($T33)-LEN(SUBSTITUTE($T33,"Quality of Works / Criteria of Failings:","")))/LEN("Quality of Works / Criteria of Failings:"),0)-IFERROR((LEN($T33)-LEN(SUBSTITUTE($T33,"Quality of Works / Criteria of Failings:Compliant","")))/LEN("Quality of Works / Criteria of Failings:Compliant"),0))</f>
        <v/>
      </c>
      <c r="Z32" s="122">
        <f>IFERROR($Y33/MAX(1,(LEN($I33)-LEN(SUBSTITUTE($I33," Ltd","")))/LEN(" Ltd")),0)</f>
        <v/>
      </c>
      <c r="AA32" s="122">
        <f>IFERROR(IFERROR((LEN($T33)-LEN(SUBSTITUTE($T33,"Quality of Works / Criteria of Failings:","")))/LEN("Quality of Works / Criteria of Failings:"),0)/MAX(1,(LEN($I33)-LEN(SUBSTITUTE($I33," Ltd","")))/LEN(" Ltd")),0)</f>
        <v/>
      </c>
      <c r="AB32" s="122">
        <f>IFERROR(IFERROR((LEN($T33)-LEN(SUBSTITUTE($T33,"Quality of Works / Criteria of Failings:Compliant","")))/LEN("Quality of Works / Criteria of Failings:Compliant"),0)/MAX(1,(LEN($I33)-LEN(SUBSTITUTE($I33," Ltd","")))/LEN(" Ltd")),0)</f>
        <v/>
      </c>
    </row>
    <row r="33" ht="18" customHeight="1" s="146">
      <c r="Y33" s="122">
        <f>MAX(0,IFERROR((LEN($T34)-LEN(SUBSTITUTE($T34,"Quality of Works / Criteria of Failings:","")))/LEN("Quality of Works / Criteria of Failings:"),0)-IFERROR((LEN($T34)-LEN(SUBSTITUTE($T34,"Quality of Works / Criteria of Failings:Compliant","")))/LEN("Quality of Works / Criteria of Failings:Compliant"),0))</f>
        <v/>
      </c>
      <c r="Z33" s="122">
        <f>IFERROR($Y34/MAX(1,(LEN($I34)-LEN(SUBSTITUTE($I34," Ltd","")))/LEN(" Ltd")),0)</f>
        <v/>
      </c>
      <c r="AA33" s="122">
        <f>IFERROR(IFERROR((LEN($T34)-LEN(SUBSTITUTE($T34,"Quality of Works / Criteria of Failings:","")))/LEN("Quality of Works / Criteria of Failings:"),0)/MAX(1,(LEN($I34)-LEN(SUBSTITUTE($I34," Ltd","")))/LEN(" Ltd")),0)</f>
        <v/>
      </c>
      <c r="AB33" s="122">
        <f>IFERROR(IFERROR((LEN($T34)-LEN(SUBSTITUTE($T34,"Quality of Works / Criteria of Failings:Compliant","")))/LEN("Quality of Works / Criteria of Failings:Compliant"),0)/MAX(1,(LEN($I34)-LEN(SUBSTITUTE($I34," Ltd","")))/LEN(" Ltd")),0)</f>
        <v/>
      </c>
    </row>
    <row r="34" ht="18" customHeight="1" s="146">
      <c r="Y34" s="122">
        <f>MAX(0,IFERROR((LEN($T35)-LEN(SUBSTITUTE($T35,"Quality of Works / Criteria of Failings:","")))/LEN("Quality of Works / Criteria of Failings:"),0)-IFERROR((LEN($T35)-LEN(SUBSTITUTE($T35,"Quality of Works / Criteria of Failings:Compliant","")))/LEN("Quality of Works / Criteria of Failings:Compliant"),0))</f>
        <v/>
      </c>
      <c r="Z34" s="122">
        <f>IFERROR($Y35/MAX(1,(LEN($I35)-LEN(SUBSTITUTE($I35," Ltd","")))/LEN(" Ltd")),0)</f>
        <v/>
      </c>
      <c r="AA34" s="122">
        <f>IFERROR(IFERROR((LEN($T35)-LEN(SUBSTITUTE($T35,"Quality of Works / Criteria of Failings:","")))/LEN("Quality of Works / Criteria of Failings:"),0)/MAX(1,(LEN($I35)-LEN(SUBSTITUTE($I35," Ltd","")))/LEN(" Ltd")),0)</f>
        <v/>
      </c>
      <c r="AB34" s="122">
        <f>IFERROR(IFERROR((LEN($T35)-LEN(SUBSTITUTE($T35,"Quality of Works / Criteria of Failings:Compliant","")))/LEN("Quality of Works / Criteria of Failings:Compliant"),0)/MAX(1,(LEN($I35)-LEN(SUBSTITUTE($I35," Ltd","")))/LEN(" Ltd")),0)</f>
        <v/>
      </c>
    </row>
    <row r="35" ht="18" customHeight="1" s="146">
      <c r="Y35" s="122">
        <f>MAX(0,IFERROR((LEN($T36)-LEN(SUBSTITUTE($T36,"Quality of Works / Criteria of Failings:","")))/LEN("Quality of Works / Criteria of Failings:"),0)-IFERROR((LEN($T36)-LEN(SUBSTITUTE($T36,"Quality of Works / Criteria of Failings:Compliant","")))/LEN("Quality of Works / Criteria of Failings:Compliant"),0))</f>
        <v/>
      </c>
      <c r="Z35" s="122">
        <f>IFERROR($Y36/MAX(1,(LEN($I36)-LEN(SUBSTITUTE($I36," Ltd","")))/LEN(" Ltd")),0)</f>
        <v/>
      </c>
      <c r="AA35" s="122">
        <f>IFERROR(IFERROR((LEN($T36)-LEN(SUBSTITUTE($T36,"Quality of Works / Criteria of Failings:","")))/LEN("Quality of Works / Criteria of Failings:"),0)/MAX(1,(LEN($I36)-LEN(SUBSTITUTE($I36," Ltd","")))/LEN(" Ltd")),0)</f>
        <v/>
      </c>
      <c r="AB35" s="122">
        <f>IFERROR(IFERROR((LEN($T36)-LEN(SUBSTITUTE($T36,"Quality of Works / Criteria of Failings:Compliant","")))/LEN("Quality of Works / Criteria of Failings:Compliant"),0)/MAX(1,(LEN($I36)-LEN(SUBSTITUTE($I36," Ltd","")))/LEN(" Ltd")),0)</f>
        <v/>
      </c>
    </row>
    <row r="36" ht="18" customHeight="1" s="146">
      <c r="Y36" s="122">
        <f>MAX(0,IFERROR((LEN($T37)-LEN(SUBSTITUTE($T37,"Quality of Works / Criteria of Failings:","")))/LEN("Quality of Works / Criteria of Failings:"),0)-IFERROR((LEN($T37)-LEN(SUBSTITUTE($T37,"Quality of Works / Criteria of Failings:Compliant","")))/LEN("Quality of Works / Criteria of Failings:Compliant"),0))</f>
        <v/>
      </c>
      <c r="Z36" s="122">
        <f>IFERROR($Y37/MAX(1,(LEN($I37)-LEN(SUBSTITUTE($I37," Ltd","")))/LEN(" Ltd")),0)</f>
        <v/>
      </c>
      <c r="AA36" s="122">
        <f>IFERROR(IFERROR((LEN($T37)-LEN(SUBSTITUTE($T37,"Quality of Works / Criteria of Failings:","")))/LEN("Quality of Works / Criteria of Failings:"),0)/MAX(1,(LEN($I37)-LEN(SUBSTITUTE($I37," Ltd","")))/LEN(" Ltd")),0)</f>
        <v/>
      </c>
      <c r="AB36" s="122">
        <f>IFERROR(IFERROR((LEN($T37)-LEN(SUBSTITUTE($T37,"Quality of Works / Criteria of Failings:Compliant","")))/LEN("Quality of Works / Criteria of Failings:Compliant"),0)/MAX(1,(LEN($I37)-LEN(SUBSTITUTE($I37," Ltd","")))/LEN(" Ltd")),0)</f>
        <v/>
      </c>
    </row>
    <row r="37" ht="18" customHeight="1" s="146">
      <c r="Y37" s="122">
        <f>MAX(0,IFERROR((LEN($T38)-LEN(SUBSTITUTE($T38,"Quality of Works / Criteria of Failings:","")))/LEN("Quality of Works / Criteria of Failings:"),0)-IFERROR((LEN($T38)-LEN(SUBSTITUTE($T38,"Quality of Works / Criteria of Failings:Compliant","")))/LEN("Quality of Works / Criteria of Failings:Compliant"),0))</f>
        <v/>
      </c>
      <c r="Z37" s="122">
        <f>IFERROR($Y38/MAX(1,(LEN($I38)-LEN(SUBSTITUTE($I38," Ltd","")))/LEN(" Ltd")),0)</f>
        <v/>
      </c>
      <c r="AA37" s="122">
        <f>IFERROR(IFERROR((LEN($T38)-LEN(SUBSTITUTE($T38,"Quality of Works / Criteria of Failings:","")))/LEN("Quality of Works / Criteria of Failings:"),0)/MAX(1,(LEN($I38)-LEN(SUBSTITUTE($I38," Ltd","")))/LEN(" Ltd")),0)</f>
        <v/>
      </c>
      <c r="AB37" s="122">
        <f>IFERROR(IFERROR((LEN($T38)-LEN(SUBSTITUTE($T38,"Quality of Works / Criteria of Failings:Compliant","")))/LEN("Quality of Works / Criteria of Failings:Compliant"),0)/MAX(1,(LEN($I38)-LEN(SUBSTITUTE($I38," Ltd","")))/LEN(" Ltd")),0)</f>
        <v/>
      </c>
    </row>
    <row r="38" ht="18" customHeight="1" s="146">
      <c r="Y38" s="122">
        <f>MAX(0,IFERROR((LEN($T39)-LEN(SUBSTITUTE($T39,"Quality of Works / Criteria of Failings:","")))/LEN("Quality of Works / Criteria of Failings:"),0)-IFERROR((LEN($T39)-LEN(SUBSTITUTE($T39,"Quality of Works / Criteria of Failings:Compliant","")))/LEN("Quality of Works / Criteria of Failings:Compliant"),0))</f>
        <v/>
      </c>
      <c r="Z38" s="122">
        <f>IFERROR($Y39/MAX(1,(LEN($I39)-LEN(SUBSTITUTE($I39," Ltd","")))/LEN(" Ltd")),0)</f>
        <v/>
      </c>
      <c r="AA38" s="122">
        <f>IFERROR(IFERROR((LEN($T39)-LEN(SUBSTITUTE($T39,"Quality of Works / Criteria of Failings:","")))/LEN("Quality of Works / Criteria of Failings:"),0)/MAX(1,(LEN($I39)-LEN(SUBSTITUTE($I39," Ltd","")))/LEN(" Ltd")),0)</f>
        <v/>
      </c>
      <c r="AB38" s="122">
        <f>IFERROR(IFERROR((LEN($T39)-LEN(SUBSTITUTE($T39,"Quality of Works / Criteria of Failings:Compliant","")))/LEN("Quality of Works / Criteria of Failings:Compliant"),0)/MAX(1,(LEN($I39)-LEN(SUBSTITUTE($I39," Ltd","")))/LEN(" Ltd")),0)</f>
        <v/>
      </c>
    </row>
    <row r="39" ht="18" customHeight="1" s="146">
      <c r="Y39" s="122">
        <f>MAX(0,IFERROR((LEN($T40)-LEN(SUBSTITUTE($T40,"Quality of Works / Criteria of Failings:","")))/LEN("Quality of Works / Criteria of Failings:"),0)-IFERROR((LEN($T40)-LEN(SUBSTITUTE($T40,"Quality of Works / Criteria of Failings:Compliant","")))/LEN("Quality of Works / Criteria of Failings:Compliant"),0))</f>
        <v/>
      </c>
      <c r="Z39" s="122">
        <f>IFERROR($Y40/MAX(1,(LEN($I40)-LEN(SUBSTITUTE($I40," Ltd","")))/LEN(" Ltd")),0)</f>
        <v/>
      </c>
      <c r="AA39" s="122">
        <f>IFERROR(IFERROR((LEN($T40)-LEN(SUBSTITUTE($T40,"Quality of Works / Criteria of Failings:","")))/LEN("Quality of Works / Criteria of Failings:"),0)/MAX(1,(LEN($I40)-LEN(SUBSTITUTE($I40," Ltd","")))/LEN(" Ltd")),0)</f>
        <v/>
      </c>
      <c r="AB39" s="122">
        <f>IFERROR(IFERROR((LEN($T40)-LEN(SUBSTITUTE($T40,"Quality of Works / Criteria of Failings:Compliant","")))/LEN("Quality of Works / Criteria of Failings:Compliant"),0)/MAX(1,(LEN($I40)-LEN(SUBSTITUTE($I40," Ltd","")))/LEN(" Ltd")),0)</f>
        <v/>
      </c>
    </row>
    <row r="40" ht="18" customHeight="1" s="146">
      <c r="Y40" s="122">
        <f>MAX(0,IFERROR((LEN($T41)-LEN(SUBSTITUTE($T41,"Quality of Works / Criteria of Failings:","")))/LEN("Quality of Works / Criteria of Failings:"),0)-IFERROR((LEN($T41)-LEN(SUBSTITUTE($T41,"Quality of Works / Criteria of Failings:Compliant","")))/LEN("Quality of Works / Criteria of Failings:Compliant"),0))</f>
        <v/>
      </c>
      <c r="Z40" s="122">
        <f>IFERROR($Y41/MAX(1,(LEN($I41)-LEN(SUBSTITUTE($I41," Ltd","")))/LEN(" Ltd")),0)</f>
        <v/>
      </c>
      <c r="AA40" s="122">
        <f>IFERROR(IFERROR((LEN($T41)-LEN(SUBSTITUTE($T41,"Quality of Works / Criteria of Failings:","")))/LEN("Quality of Works / Criteria of Failings:"),0)/MAX(1,(LEN($I41)-LEN(SUBSTITUTE($I41," Ltd","")))/LEN(" Ltd")),0)</f>
        <v/>
      </c>
      <c r="AB40" s="122">
        <f>IFERROR(IFERROR((LEN($T41)-LEN(SUBSTITUTE($T41,"Quality of Works / Criteria of Failings:Compliant","")))/LEN("Quality of Works / Criteria of Failings:Compliant"),0)/MAX(1,(LEN($I41)-LEN(SUBSTITUTE($I41," Ltd","")))/LEN(" Ltd")),0)</f>
        <v/>
      </c>
    </row>
    <row r="41" ht="18" customHeight="1" s="146">
      <c r="Y41" s="122">
        <f>MAX(0,IFERROR((LEN($T42)-LEN(SUBSTITUTE($T42,"Quality of Works / Criteria of Failings:","")))/LEN("Quality of Works / Criteria of Failings:"),0)-IFERROR((LEN($T42)-LEN(SUBSTITUTE($T42,"Quality of Works / Criteria of Failings:Compliant","")))/LEN("Quality of Works / Criteria of Failings:Compliant"),0))</f>
        <v/>
      </c>
      <c r="Z41" s="122">
        <f>IFERROR($Y42/MAX(1,(LEN($I42)-LEN(SUBSTITUTE($I42," Ltd","")))/LEN(" Ltd")),0)</f>
        <v/>
      </c>
      <c r="AA41" s="122">
        <f>IFERROR(IFERROR((LEN($T42)-LEN(SUBSTITUTE($T42,"Quality of Works / Criteria of Failings:","")))/LEN("Quality of Works / Criteria of Failings:"),0)/MAX(1,(LEN($I42)-LEN(SUBSTITUTE($I42," Ltd","")))/LEN(" Ltd")),0)</f>
        <v/>
      </c>
      <c r="AB41" s="122">
        <f>IFERROR(IFERROR((LEN($T42)-LEN(SUBSTITUTE($T42,"Quality of Works / Criteria of Failings:Compliant","")))/LEN("Quality of Works / Criteria of Failings:Compliant"),0)/MAX(1,(LEN($I42)-LEN(SUBSTITUTE($I42," Ltd","")))/LEN(" Ltd")),0)</f>
        <v/>
      </c>
    </row>
    <row r="42" ht="18" customHeight="1" s="146">
      <c r="Y42" s="122">
        <f>MAX(0,IFERROR((LEN($T43)-LEN(SUBSTITUTE($T43,"Quality of Works / Criteria of Failings:","")))/LEN("Quality of Works / Criteria of Failings:"),0)-IFERROR((LEN($T43)-LEN(SUBSTITUTE($T43,"Quality of Works / Criteria of Failings:Compliant","")))/LEN("Quality of Works / Criteria of Failings:Compliant"),0))</f>
        <v/>
      </c>
      <c r="Z42" s="122">
        <f>IFERROR($Y43/MAX(1,(LEN($I43)-LEN(SUBSTITUTE($I43," Ltd","")))/LEN(" Ltd")),0)</f>
        <v/>
      </c>
      <c r="AA42" s="122">
        <f>IFERROR(IFERROR((LEN($T43)-LEN(SUBSTITUTE($T43,"Quality of Works / Criteria of Failings:","")))/LEN("Quality of Works / Criteria of Failings:"),0)/MAX(1,(LEN($I43)-LEN(SUBSTITUTE($I43," Ltd","")))/LEN(" Ltd")),0)</f>
        <v/>
      </c>
      <c r="AB42" s="122">
        <f>IFERROR(IFERROR((LEN($T43)-LEN(SUBSTITUTE($T43,"Quality of Works / Criteria of Failings:Compliant","")))/LEN("Quality of Works / Criteria of Failings:Compliant"),0)/MAX(1,(LEN($I43)-LEN(SUBSTITUTE($I43," Ltd","")))/LEN(" Ltd")),0)</f>
        <v/>
      </c>
    </row>
    <row r="43" ht="18" customHeight="1" s="146">
      <c r="Y43" s="122">
        <f>MAX(0,IFERROR((LEN($T44)-LEN(SUBSTITUTE($T44,"Quality of Works / Criteria of Failings:","")))/LEN("Quality of Works / Criteria of Failings:"),0)-IFERROR((LEN($T44)-LEN(SUBSTITUTE($T44,"Quality of Works / Criteria of Failings:Compliant","")))/LEN("Quality of Works / Criteria of Failings:Compliant"),0))</f>
        <v/>
      </c>
      <c r="Z43" s="122">
        <f>IFERROR($Y44/MAX(1,(LEN($I44)-LEN(SUBSTITUTE($I44," Ltd","")))/LEN(" Ltd")),0)</f>
        <v/>
      </c>
      <c r="AA43" s="122">
        <f>IFERROR(IFERROR((LEN($T44)-LEN(SUBSTITUTE($T44,"Quality of Works / Criteria of Failings:","")))/LEN("Quality of Works / Criteria of Failings:"),0)/MAX(1,(LEN($I44)-LEN(SUBSTITUTE($I44," Ltd","")))/LEN(" Ltd")),0)</f>
        <v/>
      </c>
      <c r="AB43" s="122">
        <f>IFERROR(IFERROR((LEN($T44)-LEN(SUBSTITUTE($T44,"Quality of Works / Criteria of Failings:Compliant","")))/LEN("Quality of Works / Criteria of Failings:Compliant"),0)/MAX(1,(LEN($I44)-LEN(SUBSTITUTE($I44," Ltd","")))/LEN(" Ltd")),0)</f>
        <v/>
      </c>
    </row>
    <row r="44" ht="18" customHeight="1" s="146">
      <c r="Y44" s="122">
        <f>MAX(0,IFERROR((LEN($T45)-LEN(SUBSTITUTE($T45,"Quality of Works / Criteria of Failings:","")))/LEN("Quality of Works / Criteria of Failings:"),0)-IFERROR((LEN($T45)-LEN(SUBSTITUTE($T45,"Quality of Works / Criteria of Failings:Compliant","")))/LEN("Quality of Works / Criteria of Failings:Compliant"),0))</f>
        <v/>
      </c>
      <c r="Z44" s="122">
        <f>IFERROR($Y45/MAX(1,(LEN($I45)-LEN(SUBSTITUTE($I45," Ltd","")))/LEN(" Ltd")),0)</f>
        <v/>
      </c>
      <c r="AA44" s="122">
        <f>IFERROR(IFERROR((LEN($T45)-LEN(SUBSTITUTE($T45,"Quality of Works / Criteria of Failings:","")))/LEN("Quality of Works / Criteria of Failings:"),0)/MAX(1,(LEN($I45)-LEN(SUBSTITUTE($I45," Ltd","")))/LEN(" Ltd")),0)</f>
        <v/>
      </c>
      <c r="AB44" s="122">
        <f>IFERROR(IFERROR((LEN($T45)-LEN(SUBSTITUTE($T45,"Quality of Works / Criteria of Failings:Compliant","")))/LEN("Quality of Works / Criteria of Failings:Compliant"),0)/MAX(1,(LEN($I45)-LEN(SUBSTITUTE($I45," Ltd","")))/LEN(" Ltd")),0)</f>
        <v/>
      </c>
    </row>
    <row r="45" ht="18" customHeight="1" s="146">
      <c r="Y45" s="122">
        <f>MAX(0,IFERROR((LEN($T46)-LEN(SUBSTITUTE($T46,"Quality of Works / Criteria of Failings:","")))/LEN("Quality of Works / Criteria of Failings:"),0)-IFERROR((LEN($T46)-LEN(SUBSTITUTE($T46,"Quality of Works / Criteria of Failings:Compliant","")))/LEN("Quality of Works / Criteria of Failings:Compliant"),0))</f>
        <v/>
      </c>
      <c r="Z45" s="122">
        <f>IFERROR($Y46/MAX(1,(LEN($I46)-LEN(SUBSTITUTE($I46," Ltd","")))/LEN(" Ltd")),0)</f>
        <v/>
      </c>
      <c r="AA45" s="122">
        <f>IFERROR(IFERROR((LEN($T46)-LEN(SUBSTITUTE($T46,"Quality of Works / Criteria of Failings:","")))/LEN("Quality of Works / Criteria of Failings:"),0)/MAX(1,(LEN($I46)-LEN(SUBSTITUTE($I46," Ltd","")))/LEN(" Ltd")),0)</f>
        <v/>
      </c>
      <c r="AB45" s="122">
        <f>IFERROR(IFERROR((LEN($T46)-LEN(SUBSTITUTE($T46,"Quality of Works / Criteria of Failings:Compliant","")))/LEN("Quality of Works / Criteria of Failings:Compliant"),0)/MAX(1,(LEN($I46)-LEN(SUBSTITUTE($I46," Ltd","")))/LEN(" Ltd")),0)</f>
        <v/>
      </c>
    </row>
    <row r="46" ht="18" customHeight="1" s="146">
      <c r="Y46" s="122">
        <f>MAX(0,IFERROR((LEN($T47)-LEN(SUBSTITUTE($T47,"Quality of Works / Criteria of Failings:","")))/LEN("Quality of Works / Criteria of Failings:"),0)-IFERROR((LEN($T47)-LEN(SUBSTITUTE($T47,"Quality of Works / Criteria of Failings:Compliant","")))/LEN("Quality of Works / Criteria of Failings:Compliant"),0))</f>
        <v/>
      </c>
      <c r="Z46" s="122">
        <f>IFERROR($Y47/MAX(1,(LEN($I47)-LEN(SUBSTITUTE($I47," Ltd","")))/LEN(" Ltd")),0)</f>
        <v/>
      </c>
      <c r="AA46" s="122">
        <f>IFERROR(IFERROR((LEN($T47)-LEN(SUBSTITUTE($T47,"Quality of Works / Criteria of Failings:","")))/LEN("Quality of Works / Criteria of Failings:"),0)/MAX(1,(LEN($I47)-LEN(SUBSTITUTE($I47," Ltd","")))/LEN(" Ltd")),0)</f>
        <v/>
      </c>
      <c r="AB46" s="122">
        <f>IFERROR(IFERROR((LEN($T47)-LEN(SUBSTITUTE($T47,"Quality of Works / Criteria of Failings:Compliant","")))/LEN("Quality of Works / Criteria of Failings:Compliant"),0)/MAX(1,(LEN($I47)-LEN(SUBSTITUTE($I47," Ltd","")))/LEN(" Ltd")),0)</f>
        <v/>
      </c>
    </row>
    <row r="47" ht="18" customHeight="1" s="146">
      <c r="Y47" s="122">
        <f>MAX(0,IFERROR((LEN($T48)-LEN(SUBSTITUTE($T48,"Quality of Works / Criteria of Failings:","")))/LEN("Quality of Works / Criteria of Failings:"),0)-IFERROR((LEN($T48)-LEN(SUBSTITUTE($T48,"Quality of Works / Criteria of Failings:Compliant","")))/LEN("Quality of Works / Criteria of Failings:Compliant"),0))</f>
        <v/>
      </c>
      <c r="Z47" s="122">
        <f>IFERROR($Y48/MAX(1,(LEN($I48)-LEN(SUBSTITUTE($I48," Ltd","")))/LEN(" Ltd")),0)</f>
        <v/>
      </c>
      <c r="AA47" s="122">
        <f>IFERROR(IFERROR((LEN($T48)-LEN(SUBSTITUTE($T48,"Quality of Works / Criteria of Failings:","")))/LEN("Quality of Works / Criteria of Failings:"),0)/MAX(1,(LEN($I48)-LEN(SUBSTITUTE($I48," Ltd","")))/LEN(" Ltd")),0)</f>
        <v/>
      </c>
      <c r="AB47" s="122">
        <f>IFERROR(IFERROR((LEN($T48)-LEN(SUBSTITUTE($T48,"Quality of Works / Criteria of Failings:Compliant","")))/LEN("Quality of Works / Criteria of Failings:Compliant"),0)/MAX(1,(LEN($I48)-LEN(SUBSTITUTE($I48," Ltd","")))/LEN(" Ltd")),0)</f>
        <v/>
      </c>
    </row>
    <row r="48" ht="18" customHeight="1" s="146">
      <c r="Y48" s="122">
        <f>MAX(0,IFERROR((LEN($T49)-LEN(SUBSTITUTE($T49,"Quality of Works / Criteria of Failings:","")))/LEN("Quality of Works / Criteria of Failings:"),0)-IFERROR((LEN($T49)-LEN(SUBSTITUTE($T49,"Quality of Works / Criteria of Failings:Compliant","")))/LEN("Quality of Works / Criteria of Failings:Compliant"),0))</f>
        <v/>
      </c>
      <c r="Z48" s="122">
        <f>IFERROR($Y49/MAX(1,(LEN($I49)-LEN(SUBSTITUTE($I49," Ltd","")))/LEN(" Ltd")),0)</f>
        <v/>
      </c>
      <c r="AA48" s="122">
        <f>IFERROR(IFERROR((LEN($T49)-LEN(SUBSTITUTE($T49,"Quality of Works / Criteria of Failings:","")))/LEN("Quality of Works / Criteria of Failings:"),0)/MAX(1,(LEN($I49)-LEN(SUBSTITUTE($I49," Ltd","")))/LEN(" Ltd")),0)</f>
        <v/>
      </c>
      <c r="AB48" s="122">
        <f>IFERROR(IFERROR((LEN($T49)-LEN(SUBSTITUTE($T49,"Quality of Works / Criteria of Failings:Compliant","")))/LEN("Quality of Works / Criteria of Failings:Compliant"),0)/MAX(1,(LEN($I49)-LEN(SUBSTITUTE($I49," Ltd","")))/LEN(" Ltd")),0)</f>
        <v/>
      </c>
    </row>
    <row r="49" ht="18" customHeight="1" s="146">
      <c r="Y49" s="122">
        <f>MAX(0,IFERROR((LEN($T50)-LEN(SUBSTITUTE($T50,"Quality of Works / Criteria of Failings:","")))/LEN("Quality of Works / Criteria of Failings:"),0)-IFERROR((LEN($T50)-LEN(SUBSTITUTE($T50,"Quality of Works / Criteria of Failings:Compliant","")))/LEN("Quality of Works / Criteria of Failings:Compliant"),0))</f>
        <v/>
      </c>
      <c r="Z49" s="122">
        <f>IFERROR($Y50/MAX(1,(LEN($I50)-LEN(SUBSTITUTE($I50," Ltd","")))/LEN(" Ltd")),0)</f>
        <v/>
      </c>
      <c r="AA49" s="122">
        <f>IFERROR(IFERROR((LEN($T50)-LEN(SUBSTITUTE($T50,"Quality of Works / Criteria of Failings:","")))/LEN("Quality of Works / Criteria of Failings:"),0)/MAX(1,(LEN($I50)-LEN(SUBSTITUTE($I50," Ltd","")))/LEN(" Ltd")),0)</f>
        <v/>
      </c>
      <c r="AB49" s="122">
        <f>IFERROR(IFERROR((LEN($T50)-LEN(SUBSTITUTE($T50,"Quality of Works / Criteria of Failings:Compliant","")))/LEN("Quality of Works / Criteria of Failings:Compliant"),0)/MAX(1,(LEN($I50)-LEN(SUBSTITUTE($I50," Ltd","")))/LEN(" Ltd")),0)</f>
        <v/>
      </c>
    </row>
    <row r="50" ht="18" customHeight="1" s="146">
      <c r="Y50" s="122">
        <f>MAX(0,IFERROR((LEN($T51)-LEN(SUBSTITUTE($T51,"Quality of Works / Criteria of Failings:","")))/LEN("Quality of Works / Criteria of Failings:"),0)-IFERROR((LEN($T51)-LEN(SUBSTITUTE($T51,"Quality of Works / Criteria of Failings:Compliant","")))/LEN("Quality of Works / Criteria of Failings:Compliant"),0))</f>
        <v/>
      </c>
      <c r="Z50" s="122">
        <f>IFERROR($Y51/MAX(1,(LEN($I51)-LEN(SUBSTITUTE($I51," Ltd","")))/LEN(" Ltd")),0)</f>
        <v/>
      </c>
      <c r="AA50" s="122">
        <f>IFERROR(IFERROR((LEN($T51)-LEN(SUBSTITUTE($T51,"Quality of Works / Criteria of Failings:","")))/LEN("Quality of Works / Criteria of Failings:"),0)/MAX(1,(LEN($I51)-LEN(SUBSTITUTE($I51," Ltd","")))/LEN(" Ltd")),0)</f>
        <v/>
      </c>
      <c r="AB50" s="122">
        <f>IFERROR(IFERROR((LEN($T51)-LEN(SUBSTITUTE($T51,"Quality of Works / Criteria of Failings:Compliant","")))/LEN("Quality of Works / Criteria of Failings:Compliant"),0)/MAX(1,(LEN($I51)-LEN(SUBSTITUTE($I51," Ltd","")))/LEN(" Ltd")),0)</f>
        <v/>
      </c>
    </row>
    <row r="51" ht="18" customHeight="1" s="146">
      <c r="Y51" s="122">
        <f>MAX(0,IFERROR((LEN($T52)-LEN(SUBSTITUTE($T52,"Quality of Works / Criteria of Failings:","")))/LEN("Quality of Works / Criteria of Failings:"),0)-IFERROR((LEN($T52)-LEN(SUBSTITUTE($T52,"Quality of Works / Criteria of Failings:Compliant","")))/LEN("Quality of Works / Criteria of Failings:Compliant"),0))</f>
        <v/>
      </c>
      <c r="Z51" s="122">
        <f>IFERROR($Y52/MAX(1,(LEN($I52)-LEN(SUBSTITUTE($I52," Ltd","")))/LEN(" Ltd")),0)</f>
        <v/>
      </c>
      <c r="AA51" s="122">
        <f>IFERROR(IFERROR((LEN($T52)-LEN(SUBSTITUTE($T52,"Quality of Works / Criteria of Failings:","")))/LEN("Quality of Works / Criteria of Failings:"),0)/MAX(1,(LEN($I52)-LEN(SUBSTITUTE($I52," Ltd","")))/LEN(" Ltd")),0)</f>
        <v/>
      </c>
      <c r="AB51" s="122">
        <f>IFERROR(IFERROR((LEN($T52)-LEN(SUBSTITUTE($T52,"Quality of Works / Criteria of Failings:Compliant","")))/LEN("Quality of Works / Criteria of Failings:Compliant"),0)/MAX(1,(LEN($I52)-LEN(SUBSTITUTE($I52," Ltd","")))/LEN(" Ltd")),0)</f>
        <v/>
      </c>
    </row>
    <row r="52" ht="18" customHeight="1" s="146">
      <c r="Y52" s="122">
        <f>MAX(0,IFERROR((LEN($T53)-LEN(SUBSTITUTE($T53,"Quality of Works / Criteria of Failings:","")))/LEN("Quality of Works / Criteria of Failings:"),0)-IFERROR((LEN($T53)-LEN(SUBSTITUTE($T53,"Quality of Works / Criteria of Failings:Compliant","")))/LEN("Quality of Works / Criteria of Failings:Compliant"),0))</f>
        <v/>
      </c>
      <c r="Z52" s="122">
        <f>IFERROR($Y53/MAX(1,(LEN($I53)-LEN(SUBSTITUTE($I53," Ltd","")))/LEN(" Ltd")),0)</f>
        <v/>
      </c>
      <c r="AA52" s="122">
        <f>IFERROR(IFERROR((LEN($T53)-LEN(SUBSTITUTE($T53,"Quality of Works / Criteria of Failings:","")))/LEN("Quality of Works / Criteria of Failings:"),0)/MAX(1,(LEN($I53)-LEN(SUBSTITUTE($I53," Ltd","")))/LEN(" Ltd")),0)</f>
        <v/>
      </c>
      <c r="AB52" s="122">
        <f>IFERROR(IFERROR((LEN($T53)-LEN(SUBSTITUTE($T53,"Quality of Works / Criteria of Failings:Compliant","")))/LEN("Quality of Works / Criteria of Failings:Compliant"),0)/MAX(1,(LEN($I53)-LEN(SUBSTITUTE($I53," Ltd","")))/LEN(" Ltd")),0)</f>
        <v/>
      </c>
    </row>
    <row r="53" ht="18" customHeight="1" s="146">
      <c r="Y53" s="122">
        <f>MAX(0,IFERROR((LEN($T54)-LEN(SUBSTITUTE($T54,"Quality of Works / Criteria of Failings:","")))/LEN("Quality of Works / Criteria of Failings:"),0)-IFERROR((LEN($T54)-LEN(SUBSTITUTE($T54,"Quality of Works / Criteria of Failings:Compliant","")))/LEN("Quality of Works / Criteria of Failings:Compliant"),0))</f>
        <v/>
      </c>
      <c r="Z53" s="122">
        <f>IFERROR($Y54/MAX(1,(LEN($I54)-LEN(SUBSTITUTE($I54," Ltd","")))/LEN(" Ltd")),0)</f>
        <v/>
      </c>
      <c r="AA53" s="122">
        <f>IFERROR(IFERROR((LEN($T54)-LEN(SUBSTITUTE($T54,"Quality of Works / Criteria of Failings:","")))/LEN("Quality of Works / Criteria of Failings:"),0)/MAX(1,(LEN($I54)-LEN(SUBSTITUTE($I54," Ltd","")))/LEN(" Ltd")),0)</f>
        <v/>
      </c>
      <c r="AB53" s="122">
        <f>IFERROR(IFERROR((LEN($T54)-LEN(SUBSTITUTE($T54,"Quality of Works / Criteria of Failings:Compliant","")))/LEN("Quality of Works / Criteria of Failings:Compliant"),0)/MAX(1,(LEN($I54)-LEN(SUBSTITUTE($I54," Ltd","")))/LEN(" Ltd")),0)</f>
        <v/>
      </c>
    </row>
    <row r="54" ht="18" customHeight="1" s="146">
      <c r="Y54" s="122">
        <f>MAX(0,IFERROR((LEN($T55)-LEN(SUBSTITUTE($T55,"Quality of Works / Criteria of Failings:","")))/LEN("Quality of Works / Criteria of Failings:"),0)-IFERROR((LEN($T55)-LEN(SUBSTITUTE($T55,"Quality of Works / Criteria of Failings:Compliant","")))/LEN("Quality of Works / Criteria of Failings:Compliant"),0))</f>
        <v/>
      </c>
      <c r="Z54" s="122">
        <f>IFERROR($Y55/MAX(1,(LEN($I55)-LEN(SUBSTITUTE($I55," Ltd","")))/LEN(" Ltd")),0)</f>
        <v/>
      </c>
      <c r="AA54" s="122">
        <f>IFERROR(IFERROR((LEN($T55)-LEN(SUBSTITUTE($T55,"Quality of Works / Criteria of Failings:","")))/LEN("Quality of Works / Criteria of Failings:"),0)/MAX(1,(LEN($I55)-LEN(SUBSTITUTE($I55," Ltd","")))/LEN(" Ltd")),0)</f>
        <v/>
      </c>
      <c r="AB54" s="122">
        <f>IFERROR(IFERROR((LEN($T55)-LEN(SUBSTITUTE($T55,"Quality of Works / Criteria of Failings:Compliant","")))/LEN("Quality of Works / Criteria of Failings:Compliant"),0)/MAX(1,(LEN($I55)-LEN(SUBSTITUTE($I55," Ltd","")))/LEN(" Ltd")),0)</f>
        <v/>
      </c>
    </row>
    <row r="55" ht="18" customHeight="1" s="146">
      <c r="Y55" s="122">
        <f>MAX(0,IFERROR((LEN($T56)-LEN(SUBSTITUTE($T56,"Quality of Works / Criteria of Failings:","")))/LEN("Quality of Works / Criteria of Failings:"),0)-IFERROR((LEN($T56)-LEN(SUBSTITUTE($T56,"Quality of Works / Criteria of Failings:Compliant","")))/LEN("Quality of Works / Criteria of Failings:Compliant"),0))</f>
        <v/>
      </c>
      <c r="Z55" s="122">
        <f>IFERROR($Y56/MAX(1,(LEN($I56)-LEN(SUBSTITUTE($I56," Ltd","")))/LEN(" Ltd")),0)</f>
        <v/>
      </c>
      <c r="AA55" s="122">
        <f>IFERROR(IFERROR((LEN($T56)-LEN(SUBSTITUTE($T56,"Quality of Works / Criteria of Failings:","")))/LEN("Quality of Works / Criteria of Failings:"),0)/MAX(1,(LEN($I56)-LEN(SUBSTITUTE($I56," Ltd","")))/LEN(" Ltd")),0)</f>
        <v/>
      </c>
      <c r="AB55" s="122">
        <f>IFERROR(IFERROR((LEN($T56)-LEN(SUBSTITUTE($T56,"Quality of Works / Criteria of Failings:Compliant","")))/LEN("Quality of Works / Criteria of Failings:Compliant"),0)/MAX(1,(LEN($I56)-LEN(SUBSTITUTE($I56," Ltd","")))/LEN(" Ltd")),0)</f>
        <v/>
      </c>
    </row>
    <row r="56" ht="18" customHeight="1" s="146">
      <c r="Y56" s="122">
        <f>MAX(0,IFERROR((LEN($T57)-LEN(SUBSTITUTE($T57,"Quality of Works / Criteria of Failings:","")))/LEN("Quality of Works / Criteria of Failings:"),0)-IFERROR((LEN($T57)-LEN(SUBSTITUTE($T57,"Quality of Works / Criteria of Failings:Compliant","")))/LEN("Quality of Works / Criteria of Failings:Compliant"),0))</f>
        <v/>
      </c>
      <c r="Z56" s="122">
        <f>IFERROR($Y57/MAX(1,(LEN($I57)-LEN(SUBSTITUTE($I57," Ltd","")))/LEN(" Ltd")),0)</f>
        <v/>
      </c>
      <c r="AA56" s="122">
        <f>IFERROR(IFERROR((LEN($T57)-LEN(SUBSTITUTE($T57,"Quality of Works / Criteria of Failings:","")))/LEN("Quality of Works / Criteria of Failings:"),0)/MAX(1,(LEN($I57)-LEN(SUBSTITUTE($I57," Ltd","")))/LEN(" Ltd")),0)</f>
        <v/>
      </c>
      <c r="AB56" s="122">
        <f>IFERROR(IFERROR((LEN($T57)-LEN(SUBSTITUTE($T57,"Quality of Works / Criteria of Failings:Compliant","")))/LEN("Quality of Works / Criteria of Failings:Compliant"),0)/MAX(1,(LEN($I57)-LEN(SUBSTITUTE($I57," Ltd","")))/LEN(" Ltd")),0)</f>
        <v/>
      </c>
    </row>
    <row r="57" ht="18" customHeight="1" s="146">
      <c r="Y57" s="122">
        <f>MAX(0,IFERROR((LEN($T58)-LEN(SUBSTITUTE($T58,"Quality of Works / Criteria of Failings:","")))/LEN("Quality of Works / Criteria of Failings:"),0)-IFERROR((LEN($T58)-LEN(SUBSTITUTE($T58,"Quality of Works / Criteria of Failings:Compliant","")))/LEN("Quality of Works / Criteria of Failings:Compliant"),0))</f>
        <v/>
      </c>
      <c r="Z57" s="122">
        <f>IFERROR($Y58/MAX(1,(LEN($I58)-LEN(SUBSTITUTE($I58," Ltd","")))/LEN(" Ltd")),0)</f>
        <v/>
      </c>
      <c r="AA57" s="122">
        <f>IFERROR(IFERROR((LEN($T58)-LEN(SUBSTITUTE($T58,"Quality of Works / Criteria of Failings:","")))/LEN("Quality of Works / Criteria of Failings:"),0)/MAX(1,(LEN($I58)-LEN(SUBSTITUTE($I58," Ltd","")))/LEN(" Ltd")),0)</f>
        <v/>
      </c>
      <c r="AB57" s="122">
        <f>IFERROR(IFERROR((LEN($T58)-LEN(SUBSTITUTE($T58,"Quality of Works / Criteria of Failings:Compliant","")))/LEN("Quality of Works / Criteria of Failings:Compliant"),0)/MAX(1,(LEN($I58)-LEN(SUBSTITUTE($I58," Ltd","")))/LEN(" Ltd")),0)</f>
        <v/>
      </c>
    </row>
    <row r="58" ht="18" customHeight="1" s="146">
      <c r="Y58" s="122">
        <f>MAX(0,IFERROR((LEN($T59)-LEN(SUBSTITUTE($T59,"Quality of Works / Criteria of Failings:","")))/LEN("Quality of Works / Criteria of Failings:"),0)-IFERROR((LEN($T59)-LEN(SUBSTITUTE($T59,"Quality of Works / Criteria of Failings:Compliant","")))/LEN("Quality of Works / Criteria of Failings:Compliant"),0))</f>
        <v/>
      </c>
      <c r="Z58" s="122">
        <f>IFERROR($Y59/MAX(1,(LEN($I59)-LEN(SUBSTITUTE($I59," Ltd","")))/LEN(" Ltd")),0)</f>
        <v/>
      </c>
      <c r="AA58" s="122">
        <f>IFERROR(IFERROR((LEN($T59)-LEN(SUBSTITUTE($T59,"Quality of Works / Criteria of Failings:","")))/LEN("Quality of Works / Criteria of Failings:"),0)/MAX(1,(LEN($I59)-LEN(SUBSTITUTE($I59," Ltd","")))/LEN(" Ltd")),0)</f>
        <v/>
      </c>
      <c r="AB58" s="122">
        <f>IFERROR(IFERROR((LEN($T59)-LEN(SUBSTITUTE($T59,"Quality of Works / Criteria of Failings:Compliant","")))/LEN("Quality of Works / Criteria of Failings:Compliant"),0)/MAX(1,(LEN($I59)-LEN(SUBSTITUTE($I59," Ltd","")))/LEN(" Ltd")),0)</f>
        <v/>
      </c>
    </row>
    <row r="59" ht="18" customHeight="1" s="146">
      <c r="Y59" s="122">
        <f>MAX(0,IFERROR((LEN($T60)-LEN(SUBSTITUTE($T60,"Quality of Works / Criteria of Failings:","")))/LEN("Quality of Works / Criteria of Failings:"),0)-IFERROR((LEN($T60)-LEN(SUBSTITUTE($T60,"Quality of Works / Criteria of Failings:Compliant","")))/LEN("Quality of Works / Criteria of Failings:Compliant"),0))</f>
        <v/>
      </c>
      <c r="Z59" s="122">
        <f>IFERROR($Y60/MAX(1,(LEN($I60)-LEN(SUBSTITUTE($I60," Ltd","")))/LEN(" Ltd")),0)</f>
        <v/>
      </c>
      <c r="AA59" s="122">
        <f>IFERROR(IFERROR((LEN($T60)-LEN(SUBSTITUTE($T60,"Quality of Works / Criteria of Failings:","")))/LEN("Quality of Works / Criteria of Failings:"),0)/MAX(1,(LEN($I60)-LEN(SUBSTITUTE($I60," Ltd","")))/LEN(" Ltd")),0)</f>
        <v/>
      </c>
      <c r="AB59" s="122">
        <f>IFERROR(IFERROR((LEN($T60)-LEN(SUBSTITUTE($T60,"Quality of Works / Criteria of Failings:Compliant","")))/LEN("Quality of Works / Criteria of Failings:Compliant"),0)/MAX(1,(LEN($I60)-LEN(SUBSTITUTE($I60," Ltd","")))/LEN(" Ltd")),0)</f>
        <v/>
      </c>
    </row>
    <row r="60" ht="18" customHeight="1" s="146">
      <c r="Y60" s="122">
        <f>MAX(0,IFERROR((LEN($T61)-LEN(SUBSTITUTE($T61,"Quality of Works / Criteria of Failings:","")))/LEN("Quality of Works / Criteria of Failings:"),0)-IFERROR((LEN($T61)-LEN(SUBSTITUTE($T61,"Quality of Works / Criteria of Failings:Compliant","")))/LEN("Quality of Works / Criteria of Failings:Compliant"),0))</f>
        <v/>
      </c>
      <c r="Z60" s="122">
        <f>IFERROR($Y61/MAX(1,(LEN($I61)-LEN(SUBSTITUTE($I61," Ltd","")))/LEN(" Ltd")),0)</f>
        <v/>
      </c>
      <c r="AA60" s="122">
        <f>IFERROR(IFERROR((LEN($T61)-LEN(SUBSTITUTE($T61,"Quality of Works / Criteria of Failings:","")))/LEN("Quality of Works / Criteria of Failings:"),0)/MAX(1,(LEN($I61)-LEN(SUBSTITUTE($I61," Ltd","")))/LEN(" Ltd")),0)</f>
        <v/>
      </c>
      <c r="AB60" s="122">
        <f>IFERROR(IFERROR((LEN($T61)-LEN(SUBSTITUTE($T61,"Quality of Works / Criteria of Failings:Compliant","")))/LEN("Quality of Works / Criteria of Failings:Compliant"),0)/MAX(1,(LEN($I61)-LEN(SUBSTITUTE($I61," Ltd","")))/LEN(" Ltd")),0)</f>
        <v/>
      </c>
    </row>
    <row r="61" ht="18" customHeight="1" s="146">
      <c r="Y61" s="122">
        <f>MAX(0,IFERROR((LEN($T62)-LEN(SUBSTITUTE($T62,"Quality of Works / Criteria of Failings:","")))/LEN("Quality of Works / Criteria of Failings:"),0)-IFERROR((LEN($T62)-LEN(SUBSTITUTE($T62,"Quality of Works / Criteria of Failings:Compliant","")))/LEN("Quality of Works / Criteria of Failings:Compliant"),0))</f>
        <v/>
      </c>
      <c r="Z61" s="122">
        <f>IFERROR($Y62/MAX(1,(LEN($I62)-LEN(SUBSTITUTE($I62," Ltd","")))/LEN(" Ltd")),0)</f>
        <v/>
      </c>
      <c r="AA61" s="122">
        <f>IFERROR(IFERROR((LEN($T62)-LEN(SUBSTITUTE($T62,"Quality of Works / Criteria of Failings:","")))/LEN("Quality of Works / Criteria of Failings:"),0)/MAX(1,(LEN($I62)-LEN(SUBSTITUTE($I62," Ltd","")))/LEN(" Ltd")),0)</f>
        <v/>
      </c>
      <c r="AB61" s="122">
        <f>IFERROR(IFERROR((LEN($T62)-LEN(SUBSTITUTE($T62,"Quality of Works / Criteria of Failings:Compliant","")))/LEN("Quality of Works / Criteria of Failings:Compliant"),0)/MAX(1,(LEN($I62)-LEN(SUBSTITUTE($I62," Ltd","")))/LEN(" Ltd")),0)</f>
        <v/>
      </c>
    </row>
    <row r="62" ht="18" customHeight="1" s="146">
      <c r="Y62" s="122">
        <f>MAX(0,IFERROR((LEN($T63)-LEN(SUBSTITUTE($T63,"Quality of Works / Criteria of Failings:","")))/LEN("Quality of Works / Criteria of Failings:"),0)-IFERROR((LEN($T63)-LEN(SUBSTITUTE($T63,"Quality of Works / Criteria of Failings:Compliant","")))/LEN("Quality of Works / Criteria of Failings:Compliant"),0))</f>
        <v/>
      </c>
      <c r="Z62" s="122">
        <f>IFERROR($Y63/MAX(1,(LEN($I63)-LEN(SUBSTITUTE($I63," Ltd","")))/LEN(" Ltd")),0)</f>
        <v/>
      </c>
      <c r="AA62" s="122">
        <f>IFERROR(IFERROR((LEN($T63)-LEN(SUBSTITUTE($T63,"Quality of Works / Criteria of Failings:","")))/LEN("Quality of Works / Criteria of Failings:"),0)/MAX(1,(LEN($I63)-LEN(SUBSTITUTE($I63," Ltd","")))/LEN(" Ltd")),0)</f>
        <v/>
      </c>
      <c r="AB62" s="122">
        <f>IFERROR(IFERROR((LEN($T63)-LEN(SUBSTITUTE($T63,"Quality of Works / Criteria of Failings:Compliant","")))/LEN("Quality of Works / Criteria of Failings:Compliant"),0)/MAX(1,(LEN($I63)-LEN(SUBSTITUTE($I63," Ltd","")))/LEN(" Ltd")),0)</f>
        <v/>
      </c>
    </row>
    <row r="63" ht="18" customHeight="1" s="146">
      <c r="Y63" s="122">
        <f>MAX(0,IFERROR((LEN($T64)-LEN(SUBSTITUTE($T64,"Quality of Works / Criteria of Failings:","")))/LEN("Quality of Works / Criteria of Failings:"),0)-IFERROR((LEN($T64)-LEN(SUBSTITUTE($T64,"Quality of Works / Criteria of Failings:Compliant","")))/LEN("Quality of Works / Criteria of Failings:Compliant"),0))</f>
        <v/>
      </c>
      <c r="Z63" s="122">
        <f>IFERROR($Y64/MAX(1,(LEN($I64)-LEN(SUBSTITUTE($I64," Ltd","")))/LEN(" Ltd")),0)</f>
        <v/>
      </c>
      <c r="AA63" s="122">
        <f>IFERROR(IFERROR((LEN($T64)-LEN(SUBSTITUTE($T64,"Quality of Works / Criteria of Failings:","")))/LEN("Quality of Works / Criteria of Failings:"),0)/MAX(1,(LEN($I64)-LEN(SUBSTITUTE($I64," Ltd","")))/LEN(" Ltd")),0)</f>
        <v/>
      </c>
      <c r="AB63" s="122">
        <f>IFERROR(IFERROR((LEN($T64)-LEN(SUBSTITUTE($T64,"Quality of Works / Criteria of Failings:Compliant","")))/LEN("Quality of Works / Criteria of Failings:Compliant"),0)/MAX(1,(LEN($I64)-LEN(SUBSTITUTE($I64," Ltd","")))/LEN(" Ltd")),0)</f>
        <v/>
      </c>
    </row>
    <row r="64" ht="18" customHeight="1" s="146">
      <c r="Y64" s="122">
        <f>MAX(0,IFERROR((LEN($T65)-LEN(SUBSTITUTE($T65,"Quality of Works / Criteria of Failings:","")))/LEN("Quality of Works / Criteria of Failings:"),0)-IFERROR((LEN($T65)-LEN(SUBSTITUTE($T65,"Quality of Works / Criteria of Failings:Compliant","")))/LEN("Quality of Works / Criteria of Failings:Compliant"),0))</f>
        <v/>
      </c>
      <c r="Z64" s="122">
        <f>IFERROR($Y65/MAX(1,(LEN($I65)-LEN(SUBSTITUTE($I65," Ltd","")))/LEN(" Ltd")),0)</f>
        <v/>
      </c>
      <c r="AA64" s="122">
        <f>IFERROR(IFERROR((LEN($T65)-LEN(SUBSTITUTE($T65,"Quality of Works / Criteria of Failings:","")))/LEN("Quality of Works / Criteria of Failings:"),0)/MAX(1,(LEN($I65)-LEN(SUBSTITUTE($I65," Ltd","")))/LEN(" Ltd")),0)</f>
        <v/>
      </c>
      <c r="AB64" s="122">
        <f>IFERROR(IFERROR((LEN($T65)-LEN(SUBSTITUTE($T65,"Quality of Works / Criteria of Failings:Compliant","")))/LEN("Quality of Works / Criteria of Failings:Compliant"),0)/MAX(1,(LEN($I65)-LEN(SUBSTITUTE($I65," Ltd","")))/LEN(" Ltd")),0)</f>
        <v/>
      </c>
    </row>
    <row r="65" ht="18" customHeight="1" s="146">
      <c r="Y65" s="122">
        <f>MAX(0,IFERROR((LEN($T66)-LEN(SUBSTITUTE($T66,"Quality of Works / Criteria of Failings:","")))/LEN("Quality of Works / Criteria of Failings:"),0)-IFERROR((LEN($T66)-LEN(SUBSTITUTE($T66,"Quality of Works / Criteria of Failings:Compliant","")))/LEN("Quality of Works / Criteria of Failings:Compliant"),0))</f>
        <v/>
      </c>
      <c r="Z65" s="122">
        <f>IFERROR($Y66/MAX(1,(LEN($I66)-LEN(SUBSTITUTE($I66," Ltd","")))/LEN(" Ltd")),0)</f>
        <v/>
      </c>
      <c r="AA65" s="122">
        <f>IFERROR(IFERROR((LEN($T66)-LEN(SUBSTITUTE($T66,"Quality of Works / Criteria of Failings:","")))/LEN("Quality of Works / Criteria of Failings:"),0)/MAX(1,(LEN($I66)-LEN(SUBSTITUTE($I66," Ltd","")))/LEN(" Ltd")),0)</f>
        <v/>
      </c>
      <c r="AB65" s="122">
        <f>IFERROR(IFERROR((LEN($T66)-LEN(SUBSTITUTE($T66,"Quality of Works / Criteria of Failings:Compliant","")))/LEN("Quality of Works / Criteria of Failings:Compliant"),0)/MAX(1,(LEN($I66)-LEN(SUBSTITUTE($I66," Ltd","")))/LEN(" Ltd")),0)</f>
        <v/>
      </c>
    </row>
    <row r="66" ht="18" customHeight="1" s="146">
      <c r="Y66" s="122">
        <f>MAX(0,IFERROR((LEN($T67)-LEN(SUBSTITUTE($T67,"Quality of Works / Criteria of Failings:","")))/LEN("Quality of Works / Criteria of Failings:"),0)-IFERROR((LEN($T67)-LEN(SUBSTITUTE($T67,"Quality of Works / Criteria of Failings:Compliant","")))/LEN("Quality of Works / Criteria of Failings:Compliant"),0))</f>
        <v/>
      </c>
      <c r="Z66" s="122">
        <f>IFERROR($Y67/MAX(1,(LEN($I67)-LEN(SUBSTITUTE($I67," Ltd","")))/LEN(" Ltd")),0)</f>
        <v/>
      </c>
      <c r="AA66" s="122">
        <f>IFERROR(IFERROR((LEN($T67)-LEN(SUBSTITUTE($T67,"Quality of Works / Criteria of Failings:","")))/LEN("Quality of Works / Criteria of Failings:"),0)/MAX(1,(LEN($I67)-LEN(SUBSTITUTE($I67," Ltd","")))/LEN(" Ltd")),0)</f>
        <v/>
      </c>
      <c r="AB66" s="122">
        <f>IFERROR(IFERROR((LEN($T67)-LEN(SUBSTITUTE($T67,"Quality of Works / Criteria of Failings:Compliant","")))/LEN("Quality of Works / Criteria of Failings:Compliant"),0)/MAX(1,(LEN($I67)-LEN(SUBSTITUTE($I67," Ltd","")))/LEN(" Ltd")),0)</f>
        <v/>
      </c>
    </row>
    <row r="67" ht="18" customHeight="1" s="146">
      <c r="Y67" s="122">
        <f>MAX(0,IFERROR((LEN($T68)-LEN(SUBSTITUTE($T68,"Quality of Works / Criteria of Failings:","")))/LEN("Quality of Works / Criteria of Failings:"),0)-IFERROR((LEN($T68)-LEN(SUBSTITUTE($T68,"Quality of Works / Criteria of Failings:Compliant","")))/LEN("Quality of Works / Criteria of Failings:Compliant"),0))</f>
        <v/>
      </c>
      <c r="Z67" s="122">
        <f>IFERROR($Y68/MAX(1,(LEN($I68)-LEN(SUBSTITUTE($I68," Ltd","")))/LEN(" Ltd")),0)</f>
        <v/>
      </c>
      <c r="AA67" s="122">
        <f>IFERROR(IFERROR((LEN($T68)-LEN(SUBSTITUTE($T68,"Quality of Works / Criteria of Failings:","")))/LEN("Quality of Works / Criteria of Failings:"),0)/MAX(1,(LEN($I68)-LEN(SUBSTITUTE($I68," Ltd","")))/LEN(" Ltd")),0)</f>
        <v/>
      </c>
      <c r="AB67" s="122">
        <f>IFERROR(IFERROR((LEN($T68)-LEN(SUBSTITUTE($T68,"Quality of Works / Criteria of Failings:Compliant","")))/LEN("Quality of Works / Criteria of Failings:Compliant"),0)/MAX(1,(LEN($I68)-LEN(SUBSTITUTE($I68," Ltd","")))/LEN(" Ltd")),0)</f>
        <v/>
      </c>
    </row>
    <row r="68" ht="18" customHeight="1" s="146">
      <c r="Y68" s="122">
        <f>MAX(0,IFERROR((LEN($T69)-LEN(SUBSTITUTE($T69,"Quality of Works / Criteria of Failings:","")))/LEN("Quality of Works / Criteria of Failings:"),0)-IFERROR((LEN($T69)-LEN(SUBSTITUTE($T69,"Quality of Works / Criteria of Failings:Compliant","")))/LEN("Quality of Works / Criteria of Failings:Compliant"),0))</f>
        <v/>
      </c>
      <c r="Z68" s="122">
        <f>IFERROR($Y69/MAX(1,(LEN($I69)-LEN(SUBSTITUTE($I69," Ltd","")))/LEN(" Ltd")),0)</f>
        <v/>
      </c>
      <c r="AA68" s="122">
        <f>IFERROR(IFERROR((LEN($T69)-LEN(SUBSTITUTE($T69,"Quality of Works / Criteria of Failings:","")))/LEN("Quality of Works / Criteria of Failings:"),0)/MAX(1,(LEN($I69)-LEN(SUBSTITUTE($I69," Ltd","")))/LEN(" Ltd")),0)</f>
        <v/>
      </c>
      <c r="AB68" s="122">
        <f>IFERROR(IFERROR((LEN($T69)-LEN(SUBSTITUTE($T69,"Quality of Works / Criteria of Failings:Compliant","")))/LEN("Quality of Works / Criteria of Failings:Compliant"),0)/MAX(1,(LEN($I69)-LEN(SUBSTITUTE($I69," Ltd","")))/LEN(" Ltd")),0)</f>
        <v/>
      </c>
    </row>
    <row r="69" ht="18" customHeight="1" s="146">
      <c r="Y69" s="122">
        <f>MAX(0,IFERROR((LEN($T70)-LEN(SUBSTITUTE($T70,"Quality of Works / Criteria of Failings:","")))/LEN("Quality of Works / Criteria of Failings:"),0)-IFERROR((LEN($T70)-LEN(SUBSTITUTE($T70,"Quality of Works / Criteria of Failings:Compliant","")))/LEN("Quality of Works / Criteria of Failings:Compliant"),0))</f>
        <v/>
      </c>
      <c r="Z69" s="122">
        <f>IFERROR($Y70/MAX(1,(LEN($I70)-LEN(SUBSTITUTE($I70," Ltd","")))/LEN(" Ltd")),0)</f>
        <v/>
      </c>
      <c r="AA69" s="122">
        <f>IFERROR(IFERROR((LEN($T70)-LEN(SUBSTITUTE($T70,"Quality of Works / Criteria of Failings:","")))/LEN("Quality of Works / Criteria of Failings:"),0)/MAX(1,(LEN($I70)-LEN(SUBSTITUTE($I70," Ltd","")))/LEN(" Ltd")),0)</f>
        <v/>
      </c>
      <c r="AB69" s="122">
        <f>IFERROR(IFERROR((LEN($T70)-LEN(SUBSTITUTE($T70,"Quality of Works / Criteria of Failings:Compliant","")))/LEN("Quality of Works / Criteria of Failings:Compliant"),0)/MAX(1,(LEN($I70)-LEN(SUBSTITUTE($I70," Ltd","")))/LEN(" Ltd")),0)</f>
        <v/>
      </c>
    </row>
    <row r="70" ht="18" customHeight="1" s="146">
      <c r="Y70" s="122">
        <f>MAX(0,IFERROR((LEN($T71)-LEN(SUBSTITUTE($T71,"Quality of Works / Criteria of Failings:","")))/LEN("Quality of Works / Criteria of Failings:"),0)-IFERROR((LEN($T71)-LEN(SUBSTITUTE($T71,"Quality of Works / Criteria of Failings:Compliant","")))/LEN("Quality of Works / Criteria of Failings:Compliant"),0))</f>
        <v/>
      </c>
      <c r="Z70" s="122">
        <f>IFERROR($Y71/MAX(1,(LEN($I71)-LEN(SUBSTITUTE($I71," Ltd","")))/LEN(" Ltd")),0)</f>
        <v/>
      </c>
      <c r="AA70" s="122">
        <f>IFERROR(IFERROR((LEN($T71)-LEN(SUBSTITUTE($T71,"Quality of Works / Criteria of Failings:","")))/LEN("Quality of Works / Criteria of Failings:"),0)/MAX(1,(LEN($I71)-LEN(SUBSTITUTE($I71," Ltd","")))/LEN(" Ltd")),0)</f>
        <v/>
      </c>
      <c r="AB70" s="122">
        <f>IFERROR(IFERROR((LEN($T71)-LEN(SUBSTITUTE($T71,"Quality of Works / Criteria of Failings:Compliant","")))/LEN("Quality of Works / Criteria of Failings:Compliant"),0)/MAX(1,(LEN($I71)-LEN(SUBSTITUTE($I71," Ltd","")))/LEN(" Ltd")),0)</f>
        <v/>
      </c>
    </row>
    <row r="71" ht="18" customHeight="1" s="146">
      <c r="Y71" s="122">
        <f>MAX(0,IFERROR((LEN($T72)-LEN(SUBSTITUTE($T72,"Quality of Works / Criteria of Failings:","")))/LEN("Quality of Works / Criteria of Failings:"),0)-IFERROR((LEN($T72)-LEN(SUBSTITUTE($T72,"Quality of Works / Criteria of Failings:Compliant","")))/LEN("Quality of Works / Criteria of Failings:Compliant"),0))</f>
        <v/>
      </c>
      <c r="Z71" s="122">
        <f>IFERROR($Y72/MAX(1,(LEN($I72)-LEN(SUBSTITUTE($I72," Ltd","")))/LEN(" Ltd")),0)</f>
        <v/>
      </c>
      <c r="AA71" s="122">
        <f>IFERROR(IFERROR((LEN($T72)-LEN(SUBSTITUTE($T72,"Quality of Works / Criteria of Failings:","")))/LEN("Quality of Works / Criteria of Failings:"),0)/MAX(1,(LEN($I72)-LEN(SUBSTITUTE($I72," Ltd","")))/LEN(" Ltd")),0)</f>
        <v/>
      </c>
      <c r="AB71" s="122">
        <f>IFERROR(IFERROR((LEN($T72)-LEN(SUBSTITUTE($T72,"Quality of Works / Criteria of Failings:Compliant","")))/LEN("Quality of Works / Criteria of Failings:Compliant"),0)/MAX(1,(LEN($I72)-LEN(SUBSTITUTE($I72," Ltd","")))/LEN(" Ltd")),0)</f>
        <v/>
      </c>
    </row>
    <row r="72" ht="18" customHeight="1" s="146">
      <c r="Y72" s="122">
        <f>MAX(0,IFERROR((LEN($T73)-LEN(SUBSTITUTE($T73,"Quality of Works / Criteria of Failings:","")))/LEN("Quality of Works / Criteria of Failings:"),0)-IFERROR((LEN($T73)-LEN(SUBSTITUTE($T73,"Quality of Works / Criteria of Failings:Compliant","")))/LEN("Quality of Works / Criteria of Failings:Compliant"),0))</f>
        <v/>
      </c>
      <c r="Z72" s="122">
        <f>IFERROR($Y73/MAX(1,(LEN($I73)-LEN(SUBSTITUTE($I73," Ltd","")))/LEN(" Ltd")),0)</f>
        <v/>
      </c>
      <c r="AA72" s="122">
        <f>IFERROR(IFERROR((LEN($T73)-LEN(SUBSTITUTE($T73,"Quality of Works / Criteria of Failings:","")))/LEN("Quality of Works / Criteria of Failings:"),0)/MAX(1,(LEN($I73)-LEN(SUBSTITUTE($I73," Ltd","")))/LEN(" Ltd")),0)</f>
        <v/>
      </c>
      <c r="AB72" s="122">
        <f>IFERROR(IFERROR((LEN($T73)-LEN(SUBSTITUTE($T73,"Quality of Works / Criteria of Failings:Compliant","")))/LEN("Quality of Works / Criteria of Failings:Compliant"),0)/MAX(1,(LEN($I73)-LEN(SUBSTITUTE($I73," Ltd","")))/LEN(" Ltd")),0)</f>
        <v/>
      </c>
    </row>
    <row r="73" ht="18" customHeight="1" s="146">
      <c r="Y73" s="122">
        <f>MAX(0,IFERROR((LEN($T74)-LEN(SUBSTITUTE($T74,"Quality of Works / Criteria of Failings:","")))/LEN("Quality of Works / Criteria of Failings:"),0)-IFERROR((LEN($T74)-LEN(SUBSTITUTE($T74,"Quality of Works / Criteria of Failings:Compliant","")))/LEN("Quality of Works / Criteria of Failings:Compliant"),0))</f>
        <v/>
      </c>
      <c r="Z73" s="122">
        <f>IFERROR($Y74/MAX(1,(LEN($I74)-LEN(SUBSTITUTE($I74," Ltd","")))/LEN(" Ltd")),0)</f>
        <v/>
      </c>
      <c r="AA73" s="122">
        <f>IFERROR(IFERROR((LEN($T74)-LEN(SUBSTITUTE($T74,"Quality of Works / Criteria of Failings:","")))/LEN("Quality of Works / Criteria of Failings:"),0)/MAX(1,(LEN($I74)-LEN(SUBSTITUTE($I74," Ltd","")))/LEN(" Ltd")),0)</f>
        <v/>
      </c>
      <c r="AB73" s="122">
        <f>IFERROR(IFERROR((LEN($T74)-LEN(SUBSTITUTE($T74,"Quality of Works / Criteria of Failings:Compliant","")))/LEN("Quality of Works / Criteria of Failings:Compliant"),0)/MAX(1,(LEN($I74)-LEN(SUBSTITUTE($I74," Ltd","")))/LEN(" Ltd")),0)</f>
        <v/>
      </c>
    </row>
    <row r="74" ht="18" customHeight="1" s="146">
      <c r="Y74" s="122">
        <f>MAX(0,IFERROR((LEN($T75)-LEN(SUBSTITUTE($T75,"Quality of Works / Criteria of Failings:","")))/LEN("Quality of Works / Criteria of Failings:"),0)-IFERROR((LEN($T75)-LEN(SUBSTITUTE($T75,"Quality of Works / Criteria of Failings:Compliant","")))/LEN("Quality of Works / Criteria of Failings:Compliant"),0))</f>
        <v/>
      </c>
      <c r="Z74" s="122">
        <f>IFERROR($Y75/MAX(1,(LEN($I75)-LEN(SUBSTITUTE($I75," Ltd","")))/LEN(" Ltd")),0)</f>
        <v/>
      </c>
      <c r="AA74" s="122">
        <f>IFERROR(IFERROR((LEN($T75)-LEN(SUBSTITUTE($T75,"Quality of Works / Criteria of Failings:","")))/LEN("Quality of Works / Criteria of Failings:"),0)/MAX(1,(LEN($I75)-LEN(SUBSTITUTE($I75," Ltd","")))/LEN(" Ltd")),0)</f>
        <v/>
      </c>
      <c r="AB74" s="122">
        <f>IFERROR(IFERROR((LEN($T75)-LEN(SUBSTITUTE($T75,"Quality of Works / Criteria of Failings:Compliant","")))/LEN("Quality of Works / Criteria of Failings:Compliant"),0)/MAX(1,(LEN($I75)-LEN(SUBSTITUTE($I75," Ltd","")))/LEN(" Ltd")),0)</f>
        <v/>
      </c>
    </row>
    <row r="75" ht="18" customHeight="1" s="146">
      <c r="Y75" s="122">
        <f>MAX(0,IFERROR((LEN($T76)-LEN(SUBSTITUTE($T76,"Quality of Works / Criteria of Failings:","")))/LEN("Quality of Works / Criteria of Failings:"),0)-IFERROR((LEN($T76)-LEN(SUBSTITUTE($T76,"Quality of Works / Criteria of Failings:Compliant","")))/LEN("Quality of Works / Criteria of Failings:Compliant"),0))</f>
        <v/>
      </c>
      <c r="Z75" s="122">
        <f>IFERROR($Y76/MAX(1,(LEN($I76)-LEN(SUBSTITUTE($I76," Ltd","")))/LEN(" Ltd")),0)</f>
        <v/>
      </c>
      <c r="AA75" s="122">
        <f>IFERROR(IFERROR((LEN($T76)-LEN(SUBSTITUTE($T76,"Quality of Works / Criteria of Failings:","")))/LEN("Quality of Works / Criteria of Failings:"),0)/MAX(1,(LEN($I76)-LEN(SUBSTITUTE($I76," Ltd","")))/LEN(" Ltd")),0)</f>
        <v/>
      </c>
      <c r="AB75" s="122">
        <f>IFERROR(IFERROR((LEN($T76)-LEN(SUBSTITUTE($T76,"Quality of Works / Criteria of Failings:Compliant","")))/LEN("Quality of Works / Criteria of Failings:Compliant"),0)/MAX(1,(LEN($I76)-LEN(SUBSTITUTE($I76," Ltd","")))/LEN(" Ltd")),0)</f>
        <v/>
      </c>
    </row>
    <row r="76" ht="18" customHeight="1" s="146">
      <c r="Y76" s="122">
        <f>MAX(0,IFERROR((LEN($T77)-LEN(SUBSTITUTE($T77,"Quality of Works / Criteria of Failings:","")))/LEN("Quality of Works / Criteria of Failings:"),0)-IFERROR((LEN($T77)-LEN(SUBSTITUTE($T77,"Quality of Works / Criteria of Failings:Compliant","")))/LEN("Quality of Works / Criteria of Failings:Compliant"),0))</f>
        <v/>
      </c>
      <c r="Z76" s="122">
        <f>IFERROR($Y77/MAX(1,(LEN($I77)-LEN(SUBSTITUTE($I77," Ltd","")))/LEN(" Ltd")),0)</f>
        <v/>
      </c>
      <c r="AA76" s="122">
        <f>IFERROR(IFERROR((LEN($T77)-LEN(SUBSTITUTE($T77,"Quality of Works / Criteria of Failings:","")))/LEN("Quality of Works / Criteria of Failings:"),0)/MAX(1,(LEN($I77)-LEN(SUBSTITUTE($I77," Ltd","")))/LEN(" Ltd")),0)</f>
        <v/>
      </c>
      <c r="AB76" s="122">
        <f>IFERROR(IFERROR((LEN($T77)-LEN(SUBSTITUTE($T77,"Quality of Works / Criteria of Failings:Compliant","")))/LEN("Quality of Works / Criteria of Failings:Compliant"),0)/MAX(1,(LEN($I77)-LEN(SUBSTITUTE($I77," Ltd","")))/LEN(" Ltd")),0)</f>
        <v/>
      </c>
    </row>
    <row r="77" ht="18" customHeight="1" s="146">
      <c r="Y77" s="122">
        <f>MAX(0,IFERROR((LEN($T78)-LEN(SUBSTITUTE($T78,"Quality of Works / Criteria of Failings:","")))/LEN("Quality of Works / Criteria of Failings:"),0)-IFERROR((LEN($T78)-LEN(SUBSTITUTE($T78,"Quality of Works / Criteria of Failings:Compliant","")))/LEN("Quality of Works / Criteria of Failings:Compliant"),0))</f>
        <v/>
      </c>
      <c r="Z77" s="122">
        <f>IFERROR($Y78/MAX(1,(LEN($I78)-LEN(SUBSTITUTE($I78," Ltd","")))/LEN(" Ltd")),0)</f>
        <v/>
      </c>
      <c r="AA77" s="122">
        <f>IFERROR(IFERROR((LEN($T78)-LEN(SUBSTITUTE($T78,"Quality of Works / Criteria of Failings:","")))/LEN("Quality of Works / Criteria of Failings:"),0)/MAX(1,(LEN($I78)-LEN(SUBSTITUTE($I78," Ltd","")))/LEN(" Ltd")),0)</f>
        <v/>
      </c>
      <c r="AB77" s="122">
        <f>IFERROR(IFERROR((LEN($T78)-LEN(SUBSTITUTE($T78,"Quality of Works / Criteria of Failings:Compliant","")))/LEN("Quality of Works / Criteria of Failings:Compliant"),0)/MAX(1,(LEN($I78)-LEN(SUBSTITUTE($I78," Ltd","")))/LEN(" Ltd")),0)</f>
        <v/>
      </c>
    </row>
    <row r="78" ht="18" customHeight="1" s="146">
      <c r="Y78" s="122">
        <f>MAX(0,IFERROR((LEN($T79)-LEN(SUBSTITUTE($T79,"Quality of Works / Criteria of Failings:","")))/LEN("Quality of Works / Criteria of Failings:"),0)-IFERROR((LEN($T79)-LEN(SUBSTITUTE($T79,"Quality of Works / Criteria of Failings:Compliant","")))/LEN("Quality of Works / Criteria of Failings:Compliant"),0))</f>
        <v/>
      </c>
      <c r="Z78" s="122">
        <f>IFERROR($Y79/MAX(1,(LEN($I79)-LEN(SUBSTITUTE($I79," Ltd","")))/LEN(" Ltd")),0)</f>
        <v/>
      </c>
      <c r="AA78" s="122">
        <f>IFERROR(IFERROR((LEN($T79)-LEN(SUBSTITUTE($T79,"Quality of Works / Criteria of Failings:","")))/LEN("Quality of Works / Criteria of Failings:"),0)/MAX(1,(LEN($I79)-LEN(SUBSTITUTE($I79," Ltd","")))/LEN(" Ltd")),0)</f>
        <v/>
      </c>
      <c r="AB78" s="122">
        <f>IFERROR(IFERROR((LEN($T79)-LEN(SUBSTITUTE($T79,"Quality of Works / Criteria of Failings:Compliant","")))/LEN("Quality of Works / Criteria of Failings:Compliant"),0)/MAX(1,(LEN($I79)-LEN(SUBSTITUTE($I79," Ltd","")))/LEN(" Ltd")),0)</f>
        <v/>
      </c>
    </row>
    <row r="79" ht="18" customHeight="1" s="146">
      <c r="Y79" s="122">
        <f>MAX(0,IFERROR((LEN($T80)-LEN(SUBSTITUTE($T80,"Quality of Works / Criteria of Failings:","")))/LEN("Quality of Works / Criteria of Failings:"),0)-IFERROR((LEN($T80)-LEN(SUBSTITUTE($T80,"Quality of Works / Criteria of Failings:Compliant","")))/LEN("Quality of Works / Criteria of Failings:Compliant"),0))</f>
        <v/>
      </c>
      <c r="Z79" s="122">
        <f>IFERROR($Y80/MAX(1,(LEN($I80)-LEN(SUBSTITUTE($I80," Ltd","")))/LEN(" Ltd")),0)</f>
        <v/>
      </c>
      <c r="AA79" s="122">
        <f>IFERROR(IFERROR((LEN($T80)-LEN(SUBSTITUTE($T80,"Quality of Works / Criteria of Failings:","")))/LEN("Quality of Works / Criteria of Failings:"),0)/MAX(1,(LEN($I80)-LEN(SUBSTITUTE($I80," Ltd","")))/LEN(" Ltd")),0)</f>
        <v/>
      </c>
      <c r="AB79" s="122">
        <f>IFERROR(IFERROR((LEN($T80)-LEN(SUBSTITUTE($T80,"Quality of Works / Criteria of Failings:Compliant","")))/LEN("Quality of Works / Criteria of Failings:Compliant"),0)/MAX(1,(LEN($I80)-LEN(SUBSTITUTE($I80," Ltd","")))/LEN(" Ltd")),0)</f>
        <v/>
      </c>
    </row>
    <row r="80" ht="18" customHeight="1" s="146">
      <c r="Y80" s="122">
        <f>MAX(0,IFERROR((LEN($T81)-LEN(SUBSTITUTE($T81,"Quality of Works / Criteria of Failings:","")))/LEN("Quality of Works / Criteria of Failings:"),0)-IFERROR((LEN($T81)-LEN(SUBSTITUTE($T81,"Quality of Works / Criteria of Failings:Compliant","")))/LEN("Quality of Works / Criteria of Failings:Compliant"),0))</f>
        <v/>
      </c>
      <c r="Z80" s="122">
        <f>IFERROR($Y81/MAX(1,(LEN($I81)-LEN(SUBSTITUTE($I81," Ltd","")))/LEN(" Ltd")),0)</f>
        <v/>
      </c>
      <c r="AA80" s="122">
        <f>IFERROR(IFERROR((LEN($T81)-LEN(SUBSTITUTE($T81,"Quality of Works / Criteria of Failings:","")))/LEN("Quality of Works / Criteria of Failings:"),0)/MAX(1,(LEN($I81)-LEN(SUBSTITUTE($I81," Ltd","")))/LEN(" Ltd")),0)</f>
        <v/>
      </c>
      <c r="AB80" s="122">
        <f>IFERROR(IFERROR((LEN($T81)-LEN(SUBSTITUTE($T81,"Quality of Works / Criteria of Failings:Compliant","")))/LEN("Quality of Works / Criteria of Failings:Compliant"),0)/MAX(1,(LEN($I81)-LEN(SUBSTITUTE($I81," Ltd","")))/LEN(" Ltd")),0)</f>
        <v/>
      </c>
    </row>
    <row r="81" ht="18" customHeight="1" s="146">
      <c r="Y81" s="122">
        <f>MAX(0,IFERROR((LEN($T82)-LEN(SUBSTITUTE($T82,"Quality of Works / Criteria of Failings:","")))/LEN("Quality of Works / Criteria of Failings:"),0)-IFERROR((LEN($T82)-LEN(SUBSTITUTE($T82,"Quality of Works / Criteria of Failings:Compliant","")))/LEN("Quality of Works / Criteria of Failings:Compliant"),0))</f>
        <v/>
      </c>
      <c r="Z81" s="122">
        <f>IFERROR($Y82/MAX(1,(LEN($I82)-LEN(SUBSTITUTE($I82," Ltd","")))/LEN(" Ltd")),0)</f>
        <v/>
      </c>
      <c r="AA81" s="122">
        <f>IFERROR(IFERROR((LEN($T82)-LEN(SUBSTITUTE($T82,"Quality of Works / Criteria of Failings:","")))/LEN("Quality of Works / Criteria of Failings:"),0)/MAX(1,(LEN($I82)-LEN(SUBSTITUTE($I82," Ltd","")))/LEN(" Ltd")),0)</f>
        <v/>
      </c>
      <c r="AB81" s="122">
        <f>IFERROR(IFERROR((LEN($T82)-LEN(SUBSTITUTE($T82,"Quality of Works / Criteria of Failings:Compliant","")))/LEN("Quality of Works / Criteria of Failings:Compliant"),0)/MAX(1,(LEN($I82)-LEN(SUBSTITUTE($I82," Ltd","")))/LEN(" Ltd")),0)</f>
        <v/>
      </c>
    </row>
    <row r="82" ht="18" customHeight="1" s="146">
      <c r="Y82" s="122">
        <f>MAX(0,IFERROR((LEN($T83)-LEN(SUBSTITUTE($T83,"Quality of Works / Criteria of Failings:","")))/LEN("Quality of Works / Criteria of Failings:"),0)-IFERROR((LEN($T83)-LEN(SUBSTITUTE($T83,"Quality of Works / Criteria of Failings:Compliant","")))/LEN("Quality of Works / Criteria of Failings:Compliant"),0))</f>
        <v/>
      </c>
      <c r="Z82" s="122">
        <f>IFERROR($Y83/MAX(1,(LEN($I83)-LEN(SUBSTITUTE($I83," Ltd","")))/LEN(" Ltd")),0)</f>
        <v/>
      </c>
      <c r="AA82" s="122">
        <f>IFERROR(IFERROR((LEN($T83)-LEN(SUBSTITUTE($T83,"Quality of Works / Criteria of Failings:","")))/LEN("Quality of Works / Criteria of Failings:"),0)/MAX(1,(LEN($I83)-LEN(SUBSTITUTE($I83," Ltd","")))/LEN(" Ltd")),0)</f>
        <v/>
      </c>
      <c r="AB82" s="122">
        <f>IFERROR(IFERROR((LEN($T83)-LEN(SUBSTITUTE($T83,"Quality of Works / Criteria of Failings:Compliant","")))/LEN("Quality of Works / Criteria of Failings:Compliant"),0)/MAX(1,(LEN($I83)-LEN(SUBSTITUTE($I83," Ltd","")))/LEN(" Ltd")),0)</f>
        <v/>
      </c>
    </row>
    <row r="83" ht="18" customHeight="1" s="146">
      <c r="Y83" s="122">
        <f>MAX(0,IFERROR((LEN($T84)-LEN(SUBSTITUTE($T84,"Quality of Works / Criteria of Failings:","")))/LEN("Quality of Works / Criteria of Failings:"),0)-IFERROR((LEN($T84)-LEN(SUBSTITUTE($T84,"Quality of Works / Criteria of Failings:Compliant","")))/LEN("Quality of Works / Criteria of Failings:Compliant"),0))</f>
        <v/>
      </c>
      <c r="Z83" s="122">
        <f>IFERROR($Y84/MAX(1,(LEN($I84)-LEN(SUBSTITUTE($I84," Ltd","")))/LEN(" Ltd")),0)</f>
        <v/>
      </c>
      <c r="AA83" s="122">
        <f>IFERROR(IFERROR((LEN($T84)-LEN(SUBSTITUTE($T84,"Quality of Works / Criteria of Failings:","")))/LEN("Quality of Works / Criteria of Failings:"),0)/MAX(1,(LEN($I84)-LEN(SUBSTITUTE($I84," Ltd","")))/LEN(" Ltd")),0)</f>
        <v/>
      </c>
      <c r="AB83" s="122">
        <f>IFERROR(IFERROR((LEN($T84)-LEN(SUBSTITUTE($T84,"Quality of Works / Criteria of Failings:Compliant","")))/LEN("Quality of Works / Criteria of Failings:Compliant"),0)/MAX(1,(LEN($I84)-LEN(SUBSTITUTE($I84," Ltd","")))/LEN(" Ltd")),0)</f>
        <v/>
      </c>
    </row>
    <row r="84" ht="18" customHeight="1" s="146">
      <c r="Y84" s="122">
        <f>MAX(0,IFERROR((LEN($T85)-LEN(SUBSTITUTE($T85,"Quality of Works / Criteria of Failings:","")))/LEN("Quality of Works / Criteria of Failings:"),0)-IFERROR((LEN($T85)-LEN(SUBSTITUTE($T85,"Quality of Works / Criteria of Failings:Compliant","")))/LEN("Quality of Works / Criteria of Failings:Compliant"),0))</f>
        <v/>
      </c>
      <c r="Z84" s="122">
        <f>IFERROR($Y85/MAX(1,(LEN($I85)-LEN(SUBSTITUTE($I85," Ltd","")))/LEN(" Ltd")),0)</f>
        <v/>
      </c>
      <c r="AA84" s="122">
        <f>IFERROR(IFERROR((LEN($T85)-LEN(SUBSTITUTE($T85,"Quality of Works / Criteria of Failings:","")))/LEN("Quality of Works / Criteria of Failings:"),0)/MAX(1,(LEN($I85)-LEN(SUBSTITUTE($I85," Ltd","")))/LEN(" Ltd")),0)</f>
        <v/>
      </c>
      <c r="AB84" s="122">
        <f>IFERROR(IFERROR((LEN($T85)-LEN(SUBSTITUTE($T85,"Quality of Works / Criteria of Failings:Compliant","")))/LEN("Quality of Works / Criteria of Failings:Compliant"),0)/MAX(1,(LEN($I85)-LEN(SUBSTITUTE($I85," Ltd","")))/LEN(" Ltd")),0)</f>
        <v/>
      </c>
    </row>
    <row r="85" ht="18" customHeight="1" s="146">
      <c r="Y85" s="122">
        <f>MAX(0,IFERROR((LEN($T86)-LEN(SUBSTITUTE($T86,"Quality of Works / Criteria of Failings:","")))/LEN("Quality of Works / Criteria of Failings:"),0)-IFERROR((LEN($T86)-LEN(SUBSTITUTE($T86,"Quality of Works / Criteria of Failings:Compliant","")))/LEN("Quality of Works / Criteria of Failings:Compliant"),0))</f>
        <v/>
      </c>
      <c r="Z85" s="122">
        <f>IFERROR($Y86/MAX(1,(LEN($I86)-LEN(SUBSTITUTE($I86," Ltd","")))/LEN(" Ltd")),0)</f>
        <v/>
      </c>
      <c r="AA85" s="122">
        <f>IFERROR(IFERROR((LEN($T86)-LEN(SUBSTITUTE($T86,"Quality of Works / Criteria of Failings:","")))/LEN("Quality of Works / Criteria of Failings:"),0)/MAX(1,(LEN($I86)-LEN(SUBSTITUTE($I86," Ltd","")))/LEN(" Ltd")),0)</f>
        <v/>
      </c>
      <c r="AB85" s="122">
        <f>IFERROR(IFERROR((LEN($T86)-LEN(SUBSTITUTE($T86,"Quality of Works / Criteria of Failings:Compliant","")))/LEN("Quality of Works / Criteria of Failings:Compliant"),0)/MAX(1,(LEN($I86)-LEN(SUBSTITUTE($I86," Ltd","")))/LEN(" Ltd")),0)</f>
        <v/>
      </c>
    </row>
    <row r="86" ht="18" customHeight="1" s="146">
      <c r="Y86" s="122">
        <f>MAX(0,IFERROR((LEN($T87)-LEN(SUBSTITUTE($T87,"Quality of Works / Criteria of Failings:","")))/LEN("Quality of Works / Criteria of Failings:"),0)-IFERROR((LEN($T87)-LEN(SUBSTITUTE($T87,"Quality of Works / Criteria of Failings:Compliant","")))/LEN("Quality of Works / Criteria of Failings:Compliant"),0))</f>
        <v/>
      </c>
      <c r="Z86" s="122">
        <f>IFERROR($Y87/MAX(1,(LEN($I87)-LEN(SUBSTITUTE($I87," Ltd","")))/LEN(" Ltd")),0)</f>
        <v/>
      </c>
      <c r="AA86" s="122">
        <f>IFERROR(IFERROR((LEN($T87)-LEN(SUBSTITUTE($T87,"Quality of Works / Criteria of Failings:","")))/LEN("Quality of Works / Criteria of Failings:"),0)/MAX(1,(LEN($I87)-LEN(SUBSTITUTE($I87," Ltd","")))/LEN(" Ltd")),0)</f>
        <v/>
      </c>
      <c r="AB86" s="122">
        <f>IFERROR(IFERROR((LEN($T87)-LEN(SUBSTITUTE($T87,"Quality of Works / Criteria of Failings:Compliant","")))/LEN("Quality of Works / Criteria of Failings:Compliant"),0)/MAX(1,(LEN($I87)-LEN(SUBSTITUTE($I87," Ltd","")))/LEN(" Ltd")),0)</f>
        <v/>
      </c>
    </row>
    <row r="87" ht="18" customHeight="1" s="146">
      <c r="Y87" s="122">
        <f>MAX(0,IFERROR((LEN($T88)-LEN(SUBSTITUTE($T88,"Quality of Works / Criteria of Failings:","")))/LEN("Quality of Works / Criteria of Failings:"),0)-IFERROR((LEN($T88)-LEN(SUBSTITUTE($T88,"Quality of Works / Criteria of Failings:Compliant","")))/LEN("Quality of Works / Criteria of Failings:Compliant"),0))</f>
        <v/>
      </c>
      <c r="Z87" s="122">
        <f>IFERROR($Y88/MAX(1,(LEN($I88)-LEN(SUBSTITUTE($I88," Ltd","")))/LEN(" Ltd")),0)</f>
        <v/>
      </c>
      <c r="AA87" s="122">
        <f>IFERROR(IFERROR((LEN($T88)-LEN(SUBSTITUTE($T88,"Quality of Works / Criteria of Failings:","")))/LEN("Quality of Works / Criteria of Failings:"),0)/MAX(1,(LEN($I88)-LEN(SUBSTITUTE($I88," Ltd","")))/LEN(" Ltd")),0)</f>
        <v/>
      </c>
      <c r="AB87" s="122">
        <f>IFERROR(IFERROR((LEN($T88)-LEN(SUBSTITUTE($T88,"Quality of Works / Criteria of Failings:Compliant","")))/LEN("Quality of Works / Criteria of Failings:Compliant"),0)/MAX(1,(LEN($I88)-LEN(SUBSTITUTE($I88," Ltd","")))/LEN(" Ltd")),0)</f>
        <v/>
      </c>
    </row>
    <row r="88" ht="18" customHeight="1" s="146">
      <c r="Y88" s="122">
        <f>MAX(0,IFERROR((LEN($T89)-LEN(SUBSTITUTE($T89,"Quality of Works / Criteria of Failings:","")))/LEN("Quality of Works / Criteria of Failings:"),0)-IFERROR((LEN($T89)-LEN(SUBSTITUTE($T89,"Quality of Works / Criteria of Failings:Compliant","")))/LEN("Quality of Works / Criteria of Failings:Compliant"),0))</f>
        <v/>
      </c>
      <c r="Z88" s="122">
        <f>IFERROR($Y89/MAX(1,(LEN($I89)-LEN(SUBSTITUTE($I89," Ltd","")))/LEN(" Ltd")),0)</f>
        <v/>
      </c>
      <c r="AA88" s="122">
        <f>IFERROR(IFERROR((LEN($T89)-LEN(SUBSTITUTE($T89,"Quality of Works / Criteria of Failings:","")))/LEN("Quality of Works / Criteria of Failings:"),0)/MAX(1,(LEN($I89)-LEN(SUBSTITUTE($I89," Ltd","")))/LEN(" Ltd")),0)</f>
        <v/>
      </c>
      <c r="AB88" s="122">
        <f>IFERROR(IFERROR((LEN($T89)-LEN(SUBSTITUTE($T89,"Quality of Works / Criteria of Failings:Compliant","")))/LEN("Quality of Works / Criteria of Failings:Compliant"),0)/MAX(1,(LEN($I89)-LEN(SUBSTITUTE($I89," Ltd","")))/LEN(" Ltd")),0)</f>
        <v/>
      </c>
    </row>
    <row r="89" ht="18" customHeight="1" s="146">
      <c r="Y89" s="122">
        <f>MAX(0,IFERROR((LEN($T90)-LEN(SUBSTITUTE($T90,"Quality of Works / Criteria of Failings:","")))/LEN("Quality of Works / Criteria of Failings:"),0)-IFERROR((LEN($T90)-LEN(SUBSTITUTE($T90,"Quality of Works / Criteria of Failings:Compliant","")))/LEN("Quality of Works / Criteria of Failings:Compliant"),0))</f>
        <v/>
      </c>
      <c r="Z89" s="122">
        <f>IFERROR($Y90/MAX(1,(LEN($I90)-LEN(SUBSTITUTE($I90," Ltd","")))/LEN(" Ltd")),0)</f>
        <v/>
      </c>
      <c r="AA89" s="122">
        <f>IFERROR(IFERROR((LEN($T90)-LEN(SUBSTITUTE($T90,"Quality of Works / Criteria of Failings:","")))/LEN("Quality of Works / Criteria of Failings:"),0)/MAX(1,(LEN($I90)-LEN(SUBSTITUTE($I90," Ltd","")))/LEN(" Ltd")),0)</f>
        <v/>
      </c>
      <c r="AB89" s="122">
        <f>IFERROR(IFERROR((LEN($T90)-LEN(SUBSTITUTE($T90,"Quality of Works / Criteria of Failings:Compliant","")))/LEN("Quality of Works / Criteria of Failings:Compliant"),0)/MAX(1,(LEN($I90)-LEN(SUBSTITUTE($I90," Ltd","")))/LEN(" Ltd")),0)</f>
        <v/>
      </c>
    </row>
    <row r="90" ht="18" customHeight="1" s="146">
      <c r="Y90" s="122">
        <f>MAX(0,IFERROR((LEN($T91)-LEN(SUBSTITUTE($T91,"Quality of Works / Criteria of Failings:","")))/LEN("Quality of Works / Criteria of Failings:"),0)-IFERROR((LEN($T91)-LEN(SUBSTITUTE($T91,"Quality of Works / Criteria of Failings:Compliant","")))/LEN("Quality of Works / Criteria of Failings:Compliant"),0))</f>
        <v/>
      </c>
      <c r="Z90" s="122">
        <f>IFERROR($Y91/MAX(1,(LEN($I91)-LEN(SUBSTITUTE($I91," Ltd","")))/LEN(" Ltd")),0)</f>
        <v/>
      </c>
      <c r="AA90" s="122">
        <f>IFERROR(IFERROR((LEN($T91)-LEN(SUBSTITUTE($T91,"Quality of Works / Criteria of Failings:","")))/LEN("Quality of Works / Criteria of Failings:"),0)/MAX(1,(LEN($I91)-LEN(SUBSTITUTE($I91," Ltd","")))/LEN(" Ltd")),0)</f>
        <v/>
      </c>
      <c r="AB90" s="122">
        <f>IFERROR(IFERROR((LEN($T91)-LEN(SUBSTITUTE($T91,"Quality of Works / Criteria of Failings:Compliant","")))/LEN("Quality of Works / Criteria of Failings:Compliant"),0)/MAX(1,(LEN($I91)-LEN(SUBSTITUTE($I91," Ltd","")))/LEN(" Ltd")),0)</f>
        <v/>
      </c>
    </row>
    <row r="91" ht="18" customHeight="1" s="146">
      <c r="Y91" s="122">
        <f>MAX(0,IFERROR((LEN($T92)-LEN(SUBSTITUTE($T92,"Quality of Works / Criteria of Failings:","")))/LEN("Quality of Works / Criteria of Failings:"),0)-IFERROR((LEN($T92)-LEN(SUBSTITUTE($T92,"Quality of Works / Criteria of Failings:Compliant","")))/LEN("Quality of Works / Criteria of Failings:Compliant"),0))</f>
        <v/>
      </c>
      <c r="Z91" s="122">
        <f>IFERROR($Y92/MAX(1,(LEN($I92)-LEN(SUBSTITUTE($I92," Ltd","")))/LEN(" Ltd")),0)</f>
        <v/>
      </c>
      <c r="AA91" s="122">
        <f>IFERROR(IFERROR((LEN($T92)-LEN(SUBSTITUTE($T92,"Quality of Works / Criteria of Failings:","")))/LEN("Quality of Works / Criteria of Failings:"),0)/MAX(1,(LEN($I92)-LEN(SUBSTITUTE($I92," Ltd","")))/LEN(" Ltd")),0)</f>
        <v/>
      </c>
      <c r="AB91" s="122">
        <f>IFERROR(IFERROR((LEN($T92)-LEN(SUBSTITUTE($T92,"Quality of Works / Criteria of Failings:Compliant","")))/LEN("Quality of Works / Criteria of Failings:Compliant"),0)/MAX(1,(LEN($I92)-LEN(SUBSTITUTE($I92," Ltd","")))/LEN(" Ltd")),0)</f>
        <v/>
      </c>
    </row>
    <row r="92" ht="18" customHeight="1" s="146">
      <c r="Y92" s="122">
        <f>MAX(0,IFERROR((LEN($T93)-LEN(SUBSTITUTE($T93,"Quality of Works / Criteria of Failings:","")))/LEN("Quality of Works / Criteria of Failings:"),0)-IFERROR((LEN($T93)-LEN(SUBSTITUTE($T93,"Quality of Works / Criteria of Failings:Compliant","")))/LEN("Quality of Works / Criteria of Failings:Compliant"),0))</f>
        <v/>
      </c>
      <c r="Z92" s="122">
        <f>IFERROR($Y93/MAX(1,(LEN($I93)-LEN(SUBSTITUTE($I93," Ltd","")))/LEN(" Ltd")),0)</f>
        <v/>
      </c>
      <c r="AA92" s="122">
        <f>IFERROR(IFERROR((LEN($T93)-LEN(SUBSTITUTE($T93,"Quality of Works / Criteria of Failings:","")))/LEN("Quality of Works / Criteria of Failings:"),0)/MAX(1,(LEN($I93)-LEN(SUBSTITUTE($I93," Ltd","")))/LEN(" Ltd")),0)</f>
        <v/>
      </c>
      <c r="AB92" s="122">
        <f>IFERROR(IFERROR((LEN($T93)-LEN(SUBSTITUTE($T93,"Quality of Works / Criteria of Failings:Compliant","")))/LEN("Quality of Works / Criteria of Failings:Compliant"),0)/MAX(1,(LEN($I93)-LEN(SUBSTITUTE($I93," Ltd","")))/LEN(" Ltd")),0)</f>
        <v/>
      </c>
    </row>
    <row r="93" ht="18" customHeight="1" s="146">
      <c r="Y93" s="122">
        <f>MAX(0,IFERROR((LEN($T94)-LEN(SUBSTITUTE($T94,"Quality of Works / Criteria of Failings:","")))/LEN("Quality of Works / Criteria of Failings:"),0)-IFERROR((LEN($T94)-LEN(SUBSTITUTE($T94,"Quality of Works / Criteria of Failings:Compliant","")))/LEN("Quality of Works / Criteria of Failings:Compliant"),0))</f>
        <v/>
      </c>
      <c r="Z93" s="122">
        <f>IFERROR($Y94/MAX(1,(LEN($I94)-LEN(SUBSTITUTE($I94," Ltd","")))/LEN(" Ltd")),0)</f>
        <v/>
      </c>
      <c r="AA93" s="122">
        <f>IFERROR(IFERROR((LEN($T94)-LEN(SUBSTITUTE($T94,"Quality of Works / Criteria of Failings:","")))/LEN("Quality of Works / Criteria of Failings:"),0)/MAX(1,(LEN($I94)-LEN(SUBSTITUTE($I94," Ltd","")))/LEN(" Ltd")),0)</f>
        <v/>
      </c>
      <c r="AB93" s="122">
        <f>IFERROR(IFERROR((LEN($T94)-LEN(SUBSTITUTE($T94,"Quality of Works / Criteria of Failings:Compliant","")))/LEN("Quality of Works / Criteria of Failings:Compliant"),0)/MAX(1,(LEN($I94)-LEN(SUBSTITUTE($I94," Ltd","")))/LEN(" Ltd")),0)</f>
        <v/>
      </c>
    </row>
    <row r="94" ht="18" customHeight="1" s="146">
      <c r="Y94" s="122">
        <f>MAX(0,IFERROR((LEN($T95)-LEN(SUBSTITUTE($T95,"Quality of Works / Criteria of Failings:","")))/LEN("Quality of Works / Criteria of Failings:"),0)-IFERROR((LEN($T95)-LEN(SUBSTITUTE($T95,"Quality of Works / Criteria of Failings:Compliant","")))/LEN("Quality of Works / Criteria of Failings:Compliant"),0))</f>
        <v/>
      </c>
      <c r="Z94" s="122">
        <f>IFERROR($Y95/MAX(1,(LEN($I95)-LEN(SUBSTITUTE($I95," Ltd","")))/LEN(" Ltd")),0)</f>
        <v/>
      </c>
      <c r="AA94" s="122">
        <f>IFERROR(IFERROR((LEN($T95)-LEN(SUBSTITUTE($T95,"Quality of Works / Criteria of Failings:","")))/LEN("Quality of Works / Criteria of Failings:"),0)/MAX(1,(LEN($I95)-LEN(SUBSTITUTE($I95," Ltd","")))/LEN(" Ltd")),0)</f>
        <v/>
      </c>
      <c r="AB94" s="122">
        <f>IFERROR(IFERROR((LEN($T95)-LEN(SUBSTITUTE($T95,"Quality of Works / Criteria of Failings:Compliant","")))/LEN("Quality of Works / Criteria of Failings:Compliant"),0)/MAX(1,(LEN($I95)-LEN(SUBSTITUTE($I95," Ltd","")))/LEN(" Ltd")),0)</f>
        <v/>
      </c>
    </row>
    <row r="95" ht="18" customHeight="1" s="146">
      <c r="Y95" s="122">
        <f>MAX(0,IFERROR((LEN($T96)-LEN(SUBSTITUTE($T96,"Quality of Works / Criteria of Failings:","")))/LEN("Quality of Works / Criteria of Failings:"),0)-IFERROR((LEN($T96)-LEN(SUBSTITUTE($T96,"Quality of Works / Criteria of Failings:Compliant","")))/LEN("Quality of Works / Criteria of Failings:Compliant"),0))</f>
        <v/>
      </c>
      <c r="Z95" s="122">
        <f>IFERROR($Y96/MAX(1,(LEN($I96)-LEN(SUBSTITUTE($I96," Ltd","")))/LEN(" Ltd")),0)</f>
        <v/>
      </c>
      <c r="AA95" s="122">
        <f>IFERROR(IFERROR((LEN($T96)-LEN(SUBSTITUTE($T96,"Quality of Works / Criteria of Failings:","")))/LEN("Quality of Works / Criteria of Failings:"),0)/MAX(1,(LEN($I96)-LEN(SUBSTITUTE($I96," Ltd","")))/LEN(" Ltd")),0)</f>
        <v/>
      </c>
      <c r="AB95" s="122">
        <f>IFERROR(IFERROR((LEN($T96)-LEN(SUBSTITUTE($T96,"Quality of Works / Criteria of Failings:Compliant","")))/LEN("Quality of Works / Criteria of Failings:Compliant"),0)/MAX(1,(LEN($I96)-LEN(SUBSTITUTE($I96," Ltd","")))/LEN(" Ltd")),0)</f>
        <v/>
      </c>
    </row>
    <row r="96" ht="18" customHeight="1" s="146">
      <c r="Y96" s="122">
        <f>MAX(0,IFERROR((LEN($T97)-LEN(SUBSTITUTE($T97,"Quality of Works / Criteria of Failings:","")))/LEN("Quality of Works / Criteria of Failings:"),0)-IFERROR((LEN($T97)-LEN(SUBSTITUTE($T97,"Quality of Works / Criteria of Failings:Compliant","")))/LEN("Quality of Works / Criteria of Failings:Compliant"),0))</f>
        <v/>
      </c>
      <c r="Z96" s="122">
        <f>IFERROR($Y97/MAX(1,(LEN($I97)-LEN(SUBSTITUTE($I97," Ltd","")))/LEN(" Ltd")),0)</f>
        <v/>
      </c>
      <c r="AA96" s="122">
        <f>IFERROR(IFERROR((LEN($T97)-LEN(SUBSTITUTE($T97,"Quality of Works / Criteria of Failings:","")))/LEN("Quality of Works / Criteria of Failings:"),0)/MAX(1,(LEN($I97)-LEN(SUBSTITUTE($I97," Ltd","")))/LEN(" Ltd")),0)</f>
        <v/>
      </c>
      <c r="AB96" s="122">
        <f>IFERROR(IFERROR((LEN($T97)-LEN(SUBSTITUTE($T97,"Quality of Works / Criteria of Failings:Compliant","")))/LEN("Quality of Works / Criteria of Failings:Compliant"),0)/MAX(1,(LEN($I97)-LEN(SUBSTITUTE($I97," Ltd","")))/LEN(" Ltd")),0)</f>
        <v/>
      </c>
    </row>
    <row r="97" ht="18" customHeight="1" s="146">
      <c r="Y97" s="122">
        <f>MAX(0,IFERROR((LEN($T98)-LEN(SUBSTITUTE($T98,"Quality of Works / Criteria of Failings:","")))/LEN("Quality of Works / Criteria of Failings:"),0)-IFERROR((LEN($T98)-LEN(SUBSTITUTE($T98,"Quality of Works / Criteria of Failings:Compliant","")))/LEN("Quality of Works / Criteria of Failings:Compliant"),0))</f>
        <v/>
      </c>
      <c r="Z97" s="122">
        <f>IFERROR($Y98/MAX(1,(LEN($I98)-LEN(SUBSTITUTE($I98," Ltd","")))/LEN(" Ltd")),0)</f>
        <v/>
      </c>
      <c r="AA97" s="122">
        <f>IFERROR(IFERROR((LEN($T98)-LEN(SUBSTITUTE($T98,"Quality of Works / Criteria of Failings:","")))/LEN("Quality of Works / Criteria of Failings:"),0)/MAX(1,(LEN($I98)-LEN(SUBSTITUTE($I98," Ltd","")))/LEN(" Ltd")),0)</f>
        <v/>
      </c>
      <c r="AB97" s="122">
        <f>IFERROR(IFERROR((LEN($T98)-LEN(SUBSTITUTE($T98,"Quality of Works / Criteria of Failings:Compliant","")))/LEN("Quality of Works / Criteria of Failings:Compliant"),0)/MAX(1,(LEN($I98)-LEN(SUBSTITUTE($I98," Ltd","")))/LEN(" Ltd")),0)</f>
        <v/>
      </c>
    </row>
    <row r="98" ht="18" customHeight="1" s="146">
      <c r="Y98" s="122">
        <f>MAX(0,IFERROR((LEN($T99)-LEN(SUBSTITUTE($T99,"Quality of Works / Criteria of Failings:","")))/LEN("Quality of Works / Criteria of Failings:"),0)-IFERROR((LEN($T99)-LEN(SUBSTITUTE($T99,"Quality of Works / Criteria of Failings:Compliant","")))/LEN("Quality of Works / Criteria of Failings:Compliant"),0))</f>
        <v/>
      </c>
      <c r="Z98" s="122">
        <f>IFERROR($Y99/MAX(1,(LEN($I99)-LEN(SUBSTITUTE($I99," Ltd","")))/LEN(" Ltd")),0)</f>
        <v/>
      </c>
      <c r="AA98" s="122">
        <f>IFERROR(IFERROR((LEN($T99)-LEN(SUBSTITUTE($T99,"Quality of Works / Criteria of Failings:","")))/LEN("Quality of Works / Criteria of Failings:"),0)/MAX(1,(LEN($I99)-LEN(SUBSTITUTE($I99," Ltd","")))/LEN(" Ltd")),0)</f>
        <v/>
      </c>
      <c r="AB98" s="122">
        <f>IFERROR(IFERROR((LEN($T99)-LEN(SUBSTITUTE($T99,"Quality of Works / Criteria of Failings:Compliant","")))/LEN("Quality of Works / Criteria of Failings:Compliant"),0)/MAX(1,(LEN($I99)-LEN(SUBSTITUTE($I99," Ltd","")))/LEN(" Ltd")),0)</f>
        <v/>
      </c>
    </row>
    <row r="99" ht="18" customHeight="1" s="146">
      <c r="Y99" s="122">
        <f>MAX(0,IFERROR((LEN($T100)-LEN(SUBSTITUTE($T100,"Quality of Works / Criteria of Failings:","")))/LEN("Quality of Works / Criteria of Failings:"),0)-IFERROR((LEN($T100)-LEN(SUBSTITUTE($T100,"Quality of Works / Criteria of Failings:Compliant","")))/LEN("Quality of Works / Criteria of Failings:Compliant"),0))</f>
        <v/>
      </c>
      <c r="Z99" s="122">
        <f>IFERROR($Y100/MAX(1,(LEN($I100)-LEN(SUBSTITUTE($I100," Ltd","")))/LEN(" Ltd")),0)</f>
        <v/>
      </c>
      <c r="AA99" s="122">
        <f>IFERROR(IFERROR((LEN($T100)-LEN(SUBSTITUTE($T100,"Quality of Works / Criteria of Failings:","")))/LEN("Quality of Works / Criteria of Failings:"),0)/MAX(1,(LEN($I100)-LEN(SUBSTITUTE($I100," Ltd","")))/LEN(" Ltd")),0)</f>
        <v/>
      </c>
      <c r="AB99" s="122">
        <f>IFERROR(IFERROR((LEN($T100)-LEN(SUBSTITUTE($T100,"Quality of Works / Criteria of Failings:Compliant","")))/LEN("Quality of Works / Criteria of Failings:Compliant"),0)/MAX(1,(LEN($I100)-LEN(SUBSTITUTE($I100," Ltd","")))/LEN(" Ltd")),0)</f>
        <v/>
      </c>
    </row>
    <row r="100" ht="18" customHeight="1" s="146">
      <c r="Y100" s="122">
        <f>MAX(0,IFERROR((LEN($T101)-LEN(SUBSTITUTE($T101,"Quality of Works / Criteria of Failings:","")))/LEN("Quality of Works / Criteria of Failings:"),0)-IFERROR((LEN($T101)-LEN(SUBSTITUTE($T101,"Quality of Works / Criteria of Failings:Compliant","")))/LEN("Quality of Works / Criteria of Failings:Compliant"),0))</f>
        <v/>
      </c>
      <c r="Z100" s="122">
        <f>IFERROR($Y101/MAX(1,(LEN($I101)-LEN(SUBSTITUTE($I101," Ltd","")))/LEN(" Ltd")),0)</f>
        <v/>
      </c>
      <c r="AA100" s="122">
        <f>IFERROR(IFERROR((LEN($T101)-LEN(SUBSTITUTE($T101,"Quality of Works / Criteria of Failings:","")))/LEN("Quality of Works / Criteria of Failings:"),0)/MAX(1,(LEN($I101)-LEN(SUBSTITUTE($I101," Ltd","")))/LEN(" Ltd")),0)</f>
        <v/>
      </c>
      <c r="AB100" s="122">
        <f>IFERROR(IFERROR((LEN($T101)-LEN(SUBSTITUTE($T101,"Quality of Works / Criteria of Failings:Compliant","")))/LEN("Quality of Works / Criteria of Failings:Compliant"),0)/MAX(1,(LEN($I101)-LEN(SUBSTITUTE($I101," Ltd","")))/LEN(" Ltd")),0)</f>
        <v/>
      </c>
    </row>
    <row r="101" ht="18" customHeight="1" s="146">
      <c r="Y101" s="122">
        <f>MAX(0,IFERROR((LEN($T102)-LEN(SUBSTITUTE($T102,"Quality of Works / Criteria of Failings:","")))/LEN("Quality of Works / Criteria of Failings:"),0)-IFERROR((LEN($T102)-LEN(SUBSTITUTE($T102,"Quality of Works / Criteria of Failings:Compliant","")))/LEN("Quality of Works / Criteria of Failings:Compliant"),0))</f>
        <v/>
      </c>
      <c r="Z101" s="122">
        <f>IFERROR($Y102/MAX(1,(LEN($I102)-LEN(SUBSTITUTE($I102," Ltd","")))/LEN(" Ltd")),0)</f>
        <v/>
      </c>
      <c r="AA101" s="122">
        <f>IFERROR(IFERROR((LEN($T102)-LEN(SUBSTITUTE($T102,"Quality of Works / Criteria of Failings:","")))/LEN("Quality of Works / Criteria of Failings:"),0)/MAX(1,(LEN($I102)-LEN(SUBSTITUTE($I102," Ltd","")))/LEN(" Ltd")),0)</f>
        <v/>
      </c>
      <c r="AB101" s="122">
        <f>IFERROR(IFERROR((LEN($T102)-LEN(SUBSTITUTE($T102,"Quality of Works / Criteria of Failings:Compliant","")))/LEN("Quality of Works / Criteria of Failings:Compliant"),0)/MAX(1,(LEN($I102)-LEN(SUBSTITUTE($I102," Ltd","")))/LEN(" Ltd")),0)</f>
        <v/>
      </c>
    </row>
    <row r="102" ht="18" customHeight="1" s="146">
      <c r="Y102" s="122">
        <f>MAX(0,IFERROR((LEN($T103)-LEN(SUBSTITUTE($T103,"Quality of Works / Criteria of Failings:","")))/LEN("Quality of Works / Criteria of Failings:"),0)-IFERROR((LEN($T103)-LEN(SUBSTITUTE($T103,"Quality of Works / Criteria of Failings:Compliant","")))/LEN("Quality of Works / Criteria of Failings:Compliant"),0))</f>
        <v/>
      </c>
      <c r="Z102" s="122">
        <f>IFERROR($Y103/MAX(1,(LEN($I103)-LEN(SUBSTITUTE($I103," Ltd","")))/LEN(" Ltd")),0)</f>
        <v/>
      </c>
      <c r="AA102" s="122">
        <f>IFERROR(IFERROR((LEN($T103)-LEN(SUBSTITUTE($T103,"Quality of Works / Criteria of Failings:","")))/LEN("Quality of Works / Criteria of Failings:"),0)/MAX(1,(LEN($I103)-LEN(SUBSTITUTE($I103," Ltd","")))/LEN(" Ltd")),0)</f>
        <v/>
      </c>
      <c r="AB102" s="122">
        <f>IFERROR(IFERROR((LEN($T103)-LEN(SUBSTITUTE($T103,"Quality of Works / Criteria of Failings:Compliant","")))/LEN("Quality of Works / Criteria of Failings:Compliant"),0)/MAX(1,(LEN($I103)-LEN(SUBSTITUTE($I103," Ltd","")))/LEN(" Ltd")),0)</f>
        <v/>
      </c>
    </row>
    <row r="103" ht="18" customHeight="1" s="146">
      <c r="Y103" s="122">
        <f>MAX(0,IFERROR((LEN($T104)-LEN(SUBSTITUTE($T104,"Quality of Works / Criteria of Failings:","")))/LEN("Quality of Works / Criteria of Failings:"),0)-IFERROR((LEN($T104)-LEN(SUBSTITUTE($T104,"Quality of Works / Criteria of Failings:Compliant","")))/LEN("Quality of Works / Criteria of Failings:Compliant"),0))</f>
        <v/>
      </c>
      <c r="Z103" s="122">
        <f>IFERROR($Y104/MAX(1,(LEN($I104)-LEN(SUBSTITUTE($I104," Ltd","")))/LEN(" Ltd")),0)</f>
        <v/>
      </c>
      <c r="AA103" s="122">
        <f>IFERROR(IFERROR((LEN($T104)-LEN(SUBSTITUTE($T104,"Quality of Works / Criteria of Failings:","")))/LEN("Quality of Works / Criteria of Failings:"),0)/MAX(1,(LEN($I104)-LEN(SUBSTITUTE($I104," Ltd","")))/LEN(" Ltd")),0)</f>
        <v/>
      </c>
      <c r="AB103" s="122">
        <f>IFERROR(IFERROR((LEN($T104)-LEN(SUBSTITUTE($T104,"Quality of Works / Criteria of Failings:Compliant","")))/LEN("Quality of Works / Criteria of Failings:Compliant"),0)/MAX(1,(LEN($I104)-LEN(SUBSTITUTE($I104," Ltd","")))/LEN(" Ltd")),0)</f>
        <v/>
      </c>
    </row>
    <row r="104" ht="18" customHeight="1" s="146">
      <c r="Y104" s="122">
        <f>MAX(0,IFERROR((LEN($T105)-LEN(SUBSTITUTE($T105,"Quality of Works / Criteria of Failings:","")))/LEN("Quality of Works / Criteria of Failings:"),0)-IFERROR((LEN($T105)-LEN(SUBSTITUTE($T105,"Quality of Works / Criteria of Failings:Compliant","")))/LEN("Quality of Works / Criteria of Failings:Compliant"),0))</f>
        <v/>
      </c>
      <c r="Z104" s="122">
        <f>IFERROR($Y105/MAX(1,(LEN($I105)-LEN(SUBSTITUTE($I105," Ltd","")))/LEN(" Ltd")),0)</f>
        <v/>
      </c>
      <c r="AA104" s="122">
        <f>IFERROR(IFERROR((LEN($T105)-LEN(SUBSTITUTE($T105,"Quality of Works / Criteria of Failings:","")))/LEN("Quality of Works / Criteria of Failings:"),0)/MAX(1,(LEN($I105)-LEN(SUBSTITUTE($I105," Ltd","")))/LEN(" Ltd")),0)</f>
        <v/>
      </c>
      <c r="AB104" s="122">
        <f>IFERROR(IFERROR((LEN($T105)-LEN(SUBSTITUTE($T105,"Quality of Works / Criteria of Failings:Compliant","")))/LEN("Quality of Works / Criteria of Failings:Compliant"),0)/MAX(1,(LEN($I105)-LEN(SUBSTITUTE($I105," Ltd","")))/LEN(" Ltd")),0)</f>
        <v/>
      </c>
    </row>
    <row r="105" ht="18" customHeight="1" s="146">
      <c r="Y105" s="122">
        <f>MAX(0,IFERROR((LEN($T106)-LEN(SUBSTITUTE($T106,"Quality of Works / Criteria of Failings:","")))/LEN("Quality of Works / Criteria of Failings:"),0)-IFERROR((LEN($T106)-LEN(SUBSTITUTE($T106,"Quality of Works / Criteria of Failings:Compliant","")))/LEN("Quality of Works / Criteria of Failings:Compliant"),0))</f>
        <v/>
      </c>
      <c r="Z105" s="122">
        <f>IFERROR($Y106/MAX(1,(LEN($I106)-LEN(SUBSTITUTE($I106," Ltd","")))/LEN(" Ltd")),0)</f>
        <v/>
      </c>
      <c r="AA105" s="122">
        <f>IFERROR(IFERROR((LEN($T106)-LEN(SUBSTITUTE($T106,"Quality of Works / Criteria of Failings:","")))/LEN("Quality of Works / Criteria of Failings:"),0)/MAX(1,(LEN($I106)-LEN(SUBSTITUTE($I106," Ltd","")))/LEN(" Ltd")),0)</f>
        <v/>
      </c>
      <c r="AB105" s="122">
        <f>IFERROR(IFERROR((LEN($T106)-LEN(SUBSTITUTE($T106,"Quality of Works / Criteria of Failings:Compliant","")))/LEN("Quality of Works / Criteria of Failings:Compliant"),0)/MAX(1,(LEN($I106)-LEN(SUBSTITUTE($I106," Ltd","")))/LEN(" Ltd")),0)</f>
        <v/>
      </c>
    </row>
    <row r="106" ht="18" customHeight="1" s="146">
      <c r="Y106" s="122">
        <f>MAX(0,IFERROR((LEN($T107)-LEN(SUBSTITUTE($T107,"Quality of Works / Criteria of Failings:","")))/LEN("Quality of Works / Criteria of Failings:"),0)-IFERROR((LEN($T107)-LEN(SUBSTITUTE($T107,"Quality of Works / Criteria of Failings:Compliant","")))/LEN("Quality of Works / Criteria of Failings:Compliant"),0))</f>
        <v/>
      </c>
      <c r="Z106" s="122">
        <f>IFERROR($Y107/MAX(1,(LEN($I107)-LEN(SUBSTITUTE($I107," Ltd","")))/LEN(" Ltd")),0)</f>
        <v/>
      </c>
      <c r="AA106" s="122">
        <f>IFERROR(IFERROR((LEN($T107)-LEN(SUBSTITUTE($T107,"Quality of Works / Criteria of Failings:","")))/LEN("Quality of Works / Criteria of Failings:"),0)/MAX(1,(LEN($I107)-LEN(SUBSTITUTE($I107," Ltd","")))/LEN(" Ltd")),0)</f>
        <v/>
      </c>
      <c r="AB106" s="122">
        <f>IFERROR(IFERROR((LEN($T107)-LEN(SUBSTITUTE($T107,"Quality of Works / Criteria of Failings:Compliant","")))/LEN("Quality of Works / Criteria of Failings:Compliant"),0)/MAX(1,(LEN($I107)-LEN(SUBSTITUTE($I107," Ltd","")))/LEN(" Ltd")),0)</f>
        <v/>
      </c>
    </row>
    <row r="107" ht="18" customHeight="1" s="146">
      <c r="Y107" s="122">
        <f>MAX(0,IFERROR((LEN($T108)-LEN(SUBSTITUTE($T108,"Quality of Works / Criteria of Failings:","")))/LEN("Quality of Works / Criteria of Failings:"),0)-IFERROR((LEN($T108)-LEN(SUBSTITUTE($T108,"Quality of Works / Criteria of Failings:Compliant","")))/LEN("Quality of Works / Criteria of Failings:Compliant"),0))</f>
        <v/>
      </c>
      <c r="Z107" s="122">
        <f>IFERROR($Y108/MAX(1,(LEN($I108)-LEN(SUBSTITUTE($I108," Ltd","")))/LEN(" Ltd")),0)</f>
        <v/>
      </c>
      <c r="AA107" s="122">
        <f>IFERROR(IFERROR((LEN($T108)-LEN(SUBSTITUTE($T108,"Quality of Works / Criteria of Failings:","")))/LEN("Quality of Works / Criteria of Failings:"),0)/MAX(1,(LEN($I108)-LEN(SUBSTITUTE($I108," Ltd","")))/LEN(" Ltd")),0)</f>
        <v/>
      </c>
      <c r="AB107" s="122">
        <f>IFERROR(IFERROR((LEN($T108)-LEN(SUBSTITUTE($T108,"Quality of Works / Criteria of Failings:Compliant","")))/LEN("Quality of Works / Criteria of Failings:Compliant"),0)/MAX(1,(LEN($I108)-LEN(SUBSTITUTE($I108," Ltd","")))/LEN(" Ltd")),0)</f>
        <v/>
      </c>
    </row>
    <row r="108" ht="18" customHeight="1" s="146">
      <c r="Y108" s="122">
        <f>MAX(0,IFERROR((LEN($T109)-LEN(SUBSTITUTE($T109,"Quality of Works / Criteria of Failings:","")))/LEN("Quality of Works / Criteria of Failings:"),0)-IFERROR((LEN($T109)-LEN(SUBSTITUTE($T109,"Quality of Works / Criteria of Failings:Compliant","")))/LEN("Quality of Works / Criteria of Failings:Compliant"),0))</f>
        <v/>
      </c>
      <c r="Z108" s="122">
        <f>IFERROR($Y109/MAX(1,(LEN($I109)-LEN(SUBSTITUTE($I109," Ltd","")))/LEN(" Ltd")),0)</f>
        <v/>
      </c>
      <c r="AA108" s="122">
        <f>IFERROR(IFERROR((LEN($T109)-LEN(SUBSTITUTE($T109,"Quality of Works / Criteria of Failings:","")))/LEN("Quality of Works / Criteria of Failings:"),0)/MAX(1,(LEN($I109)-LEN(SUBSTITUTE($I109," Ltd","")))/LEN(" Ltd")),0)</f>
        <v/>
      </c>
      <c r="AB108" s="122">
        <f>IFERROR(IFERROR((LEN($T109)-LEN(SUBSTITUTE($T109,"Quality of Works / Criteria of Failings:Compliant","")))/LEN("Quality of Works / Criteria of Failings:Compliant"),0)/MAX(1,(LEN($I109)-LEN(SUBSTITUTE($I109," Ltd","")))/LEN(" Ltd")),0)</f>
        <v/>
      </c>
    </row>
    <row r="109" ht="18" customHeight="1" s="146">
      <c r="Y109" s="122">
        <f>MAX(0,IFERROR((LEN($T110)-LEN(SUBSTITUTE($T110,"Quality of Works / Criteria of Failings:","")))/LEN("Quality of Works / Criteria of Failings:"),0)-IFERROR((LEN($T110)-LEN(SUBSTITUTE($T110,"Quality of Works / Criteria of Failings:Compliant","")))/LEN("Quality of Works / Criteria of Failings:Compliant"),0))</f>
        <v/>
      </c>
      <c r="Z109" s="122">
        <f>IFERROR($Y110/MAX(1,(LEN($I110)-LEN(SUBSTITUTE($I110," Ltd","")))/LEN(" Ltd")),0)</f>
        <v/>
      </c>
      <c r="AA109" s="122">
        <f>IFERROR(IFERROR((LEN($T110)-LEN(SUBSTITUTE($T110,"Quality of Works / Criteria of Failings:","")))/LEN("Quality of Works / Criteria of Failings:"),0)/MAX(1,(LEN($I110)-LEN(SUBSTITUTE($I110," Ltd","")))/LEN(" Ltd")),0)</f>
        <v/>
      </c>
      <c r="AB109" s="122">
        <f>IFERROR(IFERROR((LEN($T110)-LEN(SUBSTITUTE($T110,"Quality of Works / Criteria of Failings:Compliant","")))/LEN("Quality of Works / Criteria of Failings:Compliant"),0)/MAX(1,(LEN($I110)-LEN(SUBSTITUTE($I110," Ltd","")))/LEN(" Ltd")),0)</f>
        <v/>
      </c>
    </row>
    <row r="110" ht="18" customHeight="1" s="146">
      <c r="Y110" s="122">
        <f>MAX(0,IFERROR((LEN($T111)-LEN(SUBSTITUTE($T111,"Quality of Works / Criteria of Failings:","")))/LEN("Quality of Works / Criteria of Failings:"),0)-IFERROR((LEN($T111)-LEN(SUBSTITUTE($T111,"Quality of Works / Criteria of Failings:Compliant","")))/LEN("Quality of Works / Criteria of Failings:Compliant"),0))</f>
        <v/>
      </c>
      <c r="Z110" s="122">
        <f>IFERROR($Y111/MAX(1,(LEN($I111)-LEN(SUBSTITUTE($I111," Ltd","")))/LEN(" Ltd")),0)</f>
        <v/>
      </c>
      <c r="AA110" s="122">
        <f>IFERROR(IFERROR((LEN($T111)-LEN(SUBSTITUTE($T111,"Quality of Works / Criteria of Failings:","")))/LEN("Quality of Works / Criteria of Failings:"),0)/MAX(1,(LEN($I111)-LEN(SUBSTITUTE($I111," Ltd","")))/LEN(" Ltd")),0)</f>
        <v/>
      </c>
      <c r="AB110" s="122">
        <f>IFERROR(IFERROR((LEN($T111)-LEN(SUBSTITUTE($T111,"Quality of Works / Criteria of Failings:Compliant","")))/LEN("Quality of Works / Criteria of Failings:Compliant"),0)/MAX(1,(LEN($I111)-LEN(SUBSTITUTE($I111," Ltd","")))/LEN(" Ltd")),0)</f>
        <v/>
      </c>
    </row>
    <row r="111" ht="18" customHeight="1" s="146">
      <c r="Y111" s="122">
        <f>MAX(0,IFERROR((LEN($T112)-LEN(SUBSTITUTE($T112,"Quality of Works / Criteria of Failings:","")))/LEN("Quality of Works / Criteria of Failings:"),0)-IFERROR((LEN($T112)-LEN(SUBSTITUTE($T112,"Quality of Works / Criteria of Failings:Compliant","")))/LEN("Quality of Works / Criteria of Failings:Compliant"),0))</f>
        <v/>
      </c>
      <c r="Z111" s="122">
        <f>IFERROR($Y112/MAX(1,(LEN($I112)-LEN(SUBSTITUTE($I112," Ltd","")))/LEN(" Ltd")),0)</f>
        <v/>
      </c>
      <c r="AA111" s="122">
        <f>IFERROR(IFERROR((LEN($T112)-LEN(SUBSTITUTE($T112,"Quality of Works / Criteria of Failings:","")))/LEN("Quality of Works / Criteria of Failings:"),0)/MAX(1,(LEN($I112)-LEN(SUBSTITUTE($I112," Ltd","")))/LEN(" Ltd")),0)</f>
        <v/>
      </c>
      <c r="AB111" s="122">
        <f>IFERROR(IFERROR((LEN($T112)-LEN(SUBSTITUTE($T112,"Quality of Works / Criteria of Failings:Compliant","")))/LEN("Quality of Works / Criteria of Failings:Compliant"),0)/MAX(1,(LEN($I112)-LEN(SUBSTITUTE($I112," Ltd","")))/LEN(" Ltd")),0)</f>
        <v/>
      </c>
    </row>
    <row r="112" ht="18" customHeight="1" s="146">
      <c r="Y112" s="122">
        <f>MAX(0,IFERROR((LEN($T113)-LEN(SUBSTITUTE($T113,"Quality of Works / Criteria of Failings:","")))/LEN("Quality of Works / Criteria of Failings:"),0)-IFERROR((LEN($T113)-LEN(SUBSTITUTE($T113,"Quality of Works / Criteria of Failings:Compliant","")))/LEN("Quality of Works / Criteria of Failings:Compliant"),0))</f>
        <v/>
      </c>
      <c r="Z112" s="122">
        <f>IFERROR($Y113/MAX(1,(LEN($I113)-LEN(SUBSTITUTE($I113," Ltd","")))/LEN(" Ltd")),0)</f>
        <v/>
      </c>
      <c r="AA112" s="122">
        <f>IFERROR(IFERROR((LEN($T113)-LEN(SUBSTITUTE($T113,"Quality of Works / Criteria of Failings:","")))/LEN("Quality of Works / Criteria of Failings:"),0)/MAX(1,(LEN($I113)-LEN(SUBSTITUTE($I113," Ltd","")))/LEN(" Ltd")),0)</f>
        <v/>
      </c>
      <c r="AB112" s="122">
        <f>IFERROR(IFERROR((LEN($T113)-LEN(SUBSTITUTE($T113,"Quality of Works / Criteria of Failings:Compliant","")))/LEN("Quality of Works / Criteria of Failings:Compliant"),0)/MAX(1,(LEN($I113)-LEN(SUBSTITUTE($I113," Ltd","")))/LEN(" Ltd")),0)</f>
        <v/>
      </c>
    </row>
    <row r="113" ht="18" customHeight="1" s="146">
      <c r="Y113" s="122">
        <f>MAX(0,IFERROR((LEN($T114)-LEN(SUBSTITUTE($T114,"Quality of Works / Criteria of Failings:","")))/LEN("Quality of Works / Criteria of Failings:"),0)-IFERROR((LEN($T114)-LEN(SUBSTITUTE($T114,"Quality of Works / Criteria of Failings:Compliant","")))/LEN("Quality of Works / Criteria of Failings:Compliant"),0))</f>
        <v/>
      </c>
      <c r="Z113" s="122">
        <f>IFERROR($Y114/MAX(1,(LEN($I114)-LEN(SUBSTITUTE($I114," Ltd","")))/LEN(" Ltd")),0)</f>
        <v/>
      </c>
      <c r="AA113" s="122">
        <f>IFERROR(IFERROR((LEN($T114)-LEN(SUBSTITUTE($T114,"Quality of Works / Criteria of Failings:","")))/LEN("Quality of Works / Criteria of Failings:"),0)/MAX(1,(LEN($I114)-LEN(SUBSTITUTE($I114," Ltd","")))/LEN(" Ltd")),0)</f>
        <v/>
      </c>
      <c r="AB113" s="122">
        <f>IFERROR(IFERROR((LEN($T114)-LEN(SUBSTITUTE($T114,"Quality of Works / Criteria of Failings:Compliant","")))/LEN("Quality of Works / Criteria of Failings:Compliant"),0)/MAX(1,(LEN($I114)-LEN(SUBSTITUTE($I114," Ltd","")))/LEN(" Ltd")),0)</f>
        <v/>
      </c>
    </row>
    <row r="114" ht="18" customHeight="1" s="146">
      <c r="Y114" s="122">
        <f>MAX(0,IFERROR((LEN($T115)-LEN(SUBSTITUTE($T115,"Quality of Works / Criteria of Failings:","")))/LEN("Quality of Works / Criteria of Failings:"),0)-IFERROR((LEN($T115)-LEN(SUBSTITUTE($T115,"Quality of Works / Criteria of Failings:Compliant","")))/LEN("Quality of Works / Criteria of Failings:Compliant"),0))</f>
        <v/>
      </c>
      <c r="Z114" s="122">
        <f>IFERROR($Y115/MAX(1,(LEN($I115)-LEN(SUBSTITUTE($I115," Ltd","")))/LEN(" Ltd")),0)</f>
        <v/>
      </c>
      <c r="AA114" s="122">
        <f>IFERROR(IFERROR((LEN($T115)-LEN(SUBSTITUTE($T115,"Quality of Works / Criteria of Failings:","")))/LEN("Quality of Works / Criteria of Failings:"),0)/MAX(1,(LEN($I115)-LEN(SUBSTITUTE($I115," Ltd","")))/LEN(" Ltd")),0)</f>
        <v/>
      </c>
      <c r="AB114" s="122">
        <f>IFERROR(IFERROR((LEN($T115)-LEN(SUBSTITUTE($T115,"Quality of Works / Criteria of Failings:Compliant","")))/LEN("Quality of Works / Criteria of Failings:Compliant"),0)/MAX(1,(LEN($I115)-LEN(SUBSTITUTE($I115," Ltd","")))/LEN(" Ltd")),0)</f>
        <v/>
      </c>
    </row>
    <row r="115" ht="18" customHeight="1" s="146">
      <c r="Y115" s="122">
        <f>MAX(0,IFERROR((LEN($T116)-LEN(SUBSTITUTE($T116,"Quality of Works / Criteria of Failings:","")))/LEN("Quality of Works / Criteria of Failings:"),0)-IFERROR((LEN($T116)-LEN(SUBSTITUTE($T116,"Quality of Works / Criteria of Failings:Compliant","")))/LEN("Quality of Works / Criteria of Failings:Compliant"),0))</f>
        <v/>
      </c>
      <c r="Z115" s="122">
        <f>IFERROR($Y116/MAX(1,(LEN($I116)-LEN(SUBSTITUTE($I116," Ltd","")))/LEN(" Ltd")),0)</f>
        <v/>
      </c>
      <c r="AA115" s="122">
        <f>IFERROR(IFERROR((LEN($T116)-LEN(SUBSTITUTE($T116,"Quality of Works / Criteria of Failings:","")))/LEN("Quality of Works / Criteria of Failings:"),0)/MAX(1,(LEN($I116)-LEN(SUBSTITUTE($I116," Ltd","")))/LEN(" Ltd")),0)</f>
        <v/>
      </c>
      <c r="AB115" s="122">
        <f>IFERROR(IFERROR((LEN($T116)-LEN(SUBSTITUTE($T116,"Quality of Works / Criteria of Failings:Compliant","")))/LEN("Quality of Works / Criteria of Failings:Compliant"),0)/MAX(1,(LEN($I116)-LEN(SUBSTITUTE($I116," Ltd","")))/LEN(" Ltd")),0)</f>
        <v/>
      </c>
    </row>
    <row r="116" ht="18" customHeight="1" s="146">
      <c r="Y116" s="122">
        <f>MAX(0,IFERROR((LEN($T117)-LEN(SUBSTITUTE($T117,"Quality of Works / Criteria of Failings:","")))/LEN("Quality of Works / Criteria of Failings:"),0)-IFERROR((LEN($T117)-LEN(SUBSTITUTE($T117,"Quality of Works / Criteria of Failings:Compliant","")))/LEN("Quality of Works / Criteria of Failings:Compliant"),0))</f>
        <v/>
      </c>
      <c r="Z116" s="122">
        <f>IFERROR($Y117/MAX(1,(LEN($I117)-LEN(SUBSTITUTE($I117," Ltd","")))/LEN(" Ltd")),0)</f>
        <v/>
      </c>
      <c r="AA116" s="122">
        <f>IFERROR(IFERROR((LEN($T117)-LEN(SUBSTITUTE($T117,"Quality of Works / Criteria of Failings:","")))/LEN("Quality of Works / Criteria of Failings:"),0)/MAX(1,(LEN($I117)-LEN(SUBSTITUTE($I117," Ltd","")))/LEN(" Ltd")),0)</f>
        <v/>
      </c>
      <c r="AB116" s="122">
        <f>IFERROR(IFERROR((LEN($T117)-LEN(SUBSTITUTE($T117,"Quality of Works / Criteria of Failings:Compliant","")))/LEN("Quality of Works / Criteria of Failings:Compliant"),0)/MAX(1,(LEN($I117)-LEN(SUBSTITUTE($I117," Ltd","")))/LEN(" Ltd")),0)</f>
        <v/>
      </c>
    </row>
    <row r="117" ht="18" customHeight="1" s="146">
      <c r="Y117" s="122">
        <f>MAX(0,IFERROR((LEN($T118)-LEN(SUBSTITUTE($T118,"Quality of Works / Criteria of Failings:","")))/LEN("Quality of Works / Criteria of Failings:"),0)-IFERROR((LEN($T118)-LEN(SUBSTITUTE($T118,"Quality of Works / Criteria of Failings:Compliant","")))/LEN("Quality of Works / Criteria of Failings:Compliant"),0))</f>
        <v/>
      </c>
      <c r="Z117" s="122">
        <f>IFERROR($Y118/MAX(1,(LEN($I118)-LEN(SUBSTITUTE($I118," Ltd","")))/LEN(" Ltd")),0)</f>
        <v/>
      </c>
      <c r="AA117" s="122">
        <f>IFERROR(IFERROR((LEN($T118)-LEN(SUBSTITUTE($T118,"Quality of Works / Criteria of Failings:","")))/LEN("Quality of Works / Criteria of Failings:"),0)/MAX(1,(LEN($I118)-LEN(SUBSTITUTE($I118," Ltd","")))/LEN(" Ltd")),0)</f>
        <v/>
      </c>
      <c r="AB117" s="122">
        <f>IFERROR(IFERROR((LEN($T118)-LEN(SUBSTITUTE($T118,"Quality of Works / Criteria of Failings:Compliant","")))/LEN("Quality of Works / Criteria of Failings:Compliant"),0)/MAX(1,(LEN($I118)-LEN(SUBSTITUTE($I118," Ltd","")))/LEN(" Ltd")),0)</f>
        <v/>
      </c>
    </row>
    <row r="118" ht="18" customHeight="1" s="146">
      <c r="Y118" s="122">
        <f>MAX(0,IFERROR((LEN($T119)-LEN(SUBSTITUTE($T119,"Quality of Works / Criteria of Failings:","")))/LEN("Quality of Works / Criteria of Failings:"),0)-IFERROR((LEN($T119)-LEN(SUBSTITUTE($T119,"Quality of Works / Criteria of Failings:Compliant","")))/LEN("Quality of Works / Criteria of Failings:Compliant"),0))</f>
        <v/>
      </c>
      <c r="Z118" s="122">
        <f>IFERROR($Y119/MAX(1,(LEN($I119)-LEN(SUBSTITUTE($I119," Ltd","")))/LEN(" Ltd")),0)</f>
        <v/>
      </c>
      <c r="AA118" s="122">
        <f>IFERROR(IFERROR((LEN($T119)-LEN(SUBSTITUTE($T119,"Quality of Works / Criteria of Failings:","")))/LEN("Quality of Works / Criteria of Failings:"),0)/MAX(1,(LEN($I119)-LEN(SUBSTITUTE($I119," Ltd","")))/LEN(" Ltd")),0)</f>
        <v/>
      </c>
      <c r="AB118" s="122">
        <f>IFERROR(IFERROR((LEN($T119)-LEN(SUBSTITUTE($T119,"Quality of Works / Criteria of Failings:Compliant","")))/LEN("Quality of Works / Criteria of Failings:Compliant"),0)/MAX(1,(LEN($I119)-LEN(SUBSTITUTE($I119," Ltd","")))/LEN(" Ltd")),0)</f>
        <v/>
      </c>
    </row>
    <row r="119" ht="18" customHeight="1" s="146">
      <c r="Y119" s="122">
        <f>MAX(0,IFERROR((LEN($T120)-LEN(SUBSTITUTE($T120,"Quality of Works / Criteria of Failings:","")))/LEN("Quality of Works / Criteria of Failings:"),0)-IFERROR((LEN($T120)-LEN(SUBSTITUTE($T120,"Quality of Works / Criteria of Failings:Compliant","")))/LEN("Quality of Works / Criteria of Failings:Compliant"),0))</f>
        <v/>
      </c>
      <c r="Z119" s="122">
        <f>IFERROR($Y120/MAX(1,(LEN($I120)-LEN(SUBSTITUTE($I120," Ltd","")))/LEN(" Ltd")),0)</f>
        <v/>
      </c>
      <c r="AA119" s="122">
        <f>IFERROR(IFERROR((LEN($T120)-LEN(SUBSTITUTE($T120,"Quality of Works / Criteria of Failings:","")))/LEN("Quality of Works / Criteria of Failings:"),0)/MAX(1,(LEN($I120)-LEN(SUBSTITUTE($I120," Ltd","")))/LEN(" Ltd")),0)</f>
        <v/>
      </c>
      <c r="AB119" s="122">
        <f>IFERROR(IFERROR((LEN($T120)-LEN(SUBSTITUTE($T120,"Quality of Works / Criteria of Failings:Compliant","")))/LEN("Quality of Works / Criteria of Failings:Compliant"),0)/MAX(1,(LEN($I120)-LEN(SUBSTITUTE($I120," Ltd","")))/LEN(" Ltd")),0)</f>
        <v/>
      </c>
    </row>
    <row r="120" ht="18" customHeight="1" s="146">
      <c r="Y120" s="122">
        <f>MAX(0,IFERROR((LEN($T121)-LEN(SUBSTITUTE($T121,"Quality of Works / Criteria of Failings:","")))/LEN("Quality of Works / Criteria of Failings:"),0)-IFERROR((LEN($T121)-LEN(SUBSTITUTE($T121,"Quality of Works / Criteria of Failings:Compliant","")))/LEN("Quality of Works / Criteria of Failings:Compliant"),0))</f>
        <v/>
      </c>
      <c r="Z120" s="122">
        <f>IFERROR($Y121/MAX(1,(LEN($I121)-LEN(SUBSTITUTE($I121," Ltd","")))/LEN(" Ltd")),0)</f>
        <v/>
      </c>
      <c r="AA120" s="122">
        <f>IFERROR(IFERROR((LEN($T121)-LEN(SUBSTITUTE($T121,"Quality of Works / Criteria of Failings:","")))/LEN("Quality of Works / Criteria of Failings:"),0)/MAX(1,(LEN($I121)-LEN(SUBSTITUTE($I121," Ltd","")))/LEN(" Ltd")),0)</f>
        <v/>
      </c>
      <c r="AB120" s="122">
        <f>IFERROR(IFERROR((LEN($T121)-LEN(SUBSTITUTE($T121,"Quality of Works / Criteria of Failings:Compliant","")))/LEN("Quality of Works / Criteria of Failings:Compliant"),0)/MAX(1,(LEN($I121)-LEN(SUBSTITUTE($I121," Ltd","")))/LEN(" Ltd")),0)</f>
        <v/>
      </c>
    </row>
    <row r="121" ht="18" customHeight="1" s="146">
      <c r="Y121" s="122">
        <f>MAX(0,IFERROR((LEN($T122)-LEN(SUBSTITUTE($T122,"Quality of Works / Criteria of Failings:","")))/LEN("Quality of Works / Criteria of Failings:"),0)-IFERROR((LEN($T122)-LEN(SUBSTITUTE($T122,"Quality of Works / Criteria of Failings:Compliant","")))/LEN("Quality of Works / Criteria of Failings:Compliant"),0))</f>
        <v/>
      </c>
      <c r="Z121" s="122">
        <f>IFERROR($Y122/MAX(1,(LEN($I122)-LEN(SUBSTITUTE($I122," Ltd","")))/LEN(" Ltd")),0)</f>
        <v/>
      </c>
      <c r="AA121" s="122">
        <f>IFERROR(IFERROR((LEN($T122)-LEN(SUBSTITUTE($T122,"Quality of Works / Criteria of Failings:","")))/LEN("Quality of Works / Criteria of Failings:"),0)/MAX(1,(LEN($I122)-LEN(SUBSTITUTE($I122," Ltd","")))/LEN(" Ltd")),0)</f>
        <v/>
      </c>
      <c r="AB121" s="122">
        <f>IFERROR(IFERROR((LEN($T122)-LEN(SUBSTITUTE($T122,"Quality of Works / Criteria of Failings:Compliant","")))/LEN("Quality of Works / Criteria of Failings:Compliant"),0)/MAX(1,(LEN($I122)-LEN(SUBSTITUTE($I122," Ltd","")))/LEN(" Ltd")),0)</f>
        <v/>
      </c>
    </row>
    <row r="122" ht="18" customHeight="1" s="146">
      <c r="Y122" s="122">
        <f>MAX(0,IFERROR((LEN($T123)-LEN(SUBSTITUTE($T123,"Quality of Works / Criteria of Failings:","")))/LEN("Quality of Works / Criteria of Failings:"),0)-IFERROR((LEN($T123)-LEN(SUBSTITUTE($T123,"Quality of Works / Criteria of Failings:Compliant","")))/LEN("Quality of Works / Criteria of Failings:Compliant"),0))</f>
        <v/>
      </c>
      <c r="Z122" s="122">
        <f>IFERROR($Y123/MAX(1,(LEN($I123)-LEN(SUBSTITUTE($I123," Ltd","")))/LEN(" Ltd")),0)</f>
        <v/>
      </c>
      <c r="AA122" s="122">
        <f>IFERROR(IFERROR((LEN($T123)-LEN(SUBSTITUTE($T123,"Quality of Works / Criteria of Failings:","")))/LEN("Quality of Works / Criteria of Failings:"),0)/MAX(1,(LEN($I123)-LEN(SUBSTITUTE($I123," Ltd","")))/LEN(" Ltd")),0)</f>
        <v/>
      </c>
      <c r="AB122" s="122">
        <f>IFERROR(IFERROR((LEN($T123)-LEN(SUBSTITUTE($T123,"Quality of Works / Criteria of Failings:Compliant","")))/LEN("Quality of Works / Criteria of Failings:Compliant"),0)/MAX(1,(LEN($I123)-LEN(SUBSTITUTE($I123," Ltd","")))/LEN(" Ltd")),0)</f>
        <v/>
      </c>
    </row>
    <row r="123" ht="18" customHeight="1" s="146">
      <c r="Y123" s="122">
        <f>MAX(0,IFERROR((LEN($T124)-LEN(SUBSTITUTE($T124,"Quality of Works / Criteria of Failings:","")))/LEN("Quality of Works / Criteria of Failings:"),0)-IFERROR((LEN($T124)-LEN(SUBSTITUTE($T124,"Quality of Works / Criteria of Failings:Compliant","")))/LEN("Quality of Works / Criteria of Failings:Compliant"),0))</f>
        <v/>
      </c>
      <c r="Z123" s="122">
        <f>IFERROR($Y124/MAX(1,(LEN($I124)-LEN(SUBSTITUTE($I124," Ltd","")))/LEN(" Ltd")),0)</f>
        <v/>
      </c>
      <c r="AA123" s="122">
        <f>IFERROR(IFERROR((LEN($T124)-LEN(SUBSTITUTE($T124,"Quality of Works / Criteria of Failings:","")))/LEN("Quality of Works / Criteria of Failings:"),0)/MAX(1,(LEN($I124)-LEN(SUBSTITUTE($I124," Ltd","")))/LEN(" Ltd")),0)</f>
        <v/>
      </c>
      <c r="AB123" s="122">
        <f>IFERROR(IFERROR((LEN($T124)-LEN(SUBSTITUTE($T124,"Quality of Works / Criteria of Failings:Compliant","")))/LEN("Quality of Works / Criteria of Failings:Compliant"),0)/MAX(1,(LEN($I124)-LEN(SUBSTITUTE($I124," Ltd","")))/LEN(" Ltd")),0)</f>
        <v/>
      </c>
    </row>
    <row r="124" ht="18" customHeight="1" s="146">
      <c r="Y124" s="122">
        <f>MAX(0,IFERROR((LEN($T125)-LEN(SUBSTITUTE($T125,"Quality of Works / Criteria of Failings:","")))/LEN("Quality of Works / Criteria of Failings:"),0)-IFERROR((LEN($T125)-LEN(SUBSTITUTE($T125,"Quality of Works / Criteria of Failings:Compliant","")))/LEN("Quality of Works / Criteria of Failings:Compliant"),0))</f>
        <v/>
      </c>
      <c r="Z124" s="122">
        <f>IFERROR($Y125/MAX(1,(LEN($I125)-LEN(SUBSTITUTE($I125," Ltd","")))/LEN(" Ltd")),0)</f>
        <v/>
      </c>
      <c r="AA124" s="122">
        <f>IFERROR(IFERROR((LEN($T125)-LEN(SUBSTITUTE($T125,"Quality of Works / Criteria of Failings:","")))/LEN("Quality of Works / Criteria of Failings:"),0)/MAX(1,(LEN($I125)-LEN(SUBSTITUTE($I125," Ltd","")))/LEN(" Ltd")),0)</f>
        <v/>
      </c>
      <c r="AB124" s="122">
        <f>IFERROR(IFERROR((LEN($T125)-LEN(SUBSTITUTE($T125,"Quality of Works / Criteria of Failings:Compliant","")))/LEN("Quality of Works / Criteria of Failings:Compliant"),0)/MAX(1,(LEN($I125)-LEN(SUBSTITUTE($I125," Ltd","")))/LEN(" Ltd")),0)</f>
        <v/>
      </c>
    </row>
    <row r="125" ht="18" customHeight="1" s="146">
      <c r="Y125" s="122">
        <f>MAX(0,IFERROR((LEN($T126)-LEN(SUBSTITUTE($T126,"Quality of Works / Criteria of Failings:","")))/LEN("Quality of Works / Criteria of Failings:"),0)-IFERROR((LEN($T126)-LEN(SUBSTITUTE($T126,"Quality of Works / Criteria of Failings:Compliant","")))/LEN("Quality of Works / Criteria of Failings:Compliant"),0))</f>
        <v/>
      </c>
      <c r="Z125" s="122">
        <f>IFERROR($Y126/MAX(1,(LEN($I126)-LEN(SUBSTITUTE($I126," Ltd","")))/LEN(" Ltd")),0)</f>
        <v/>
      </c>
      <c r="AA125" s="122">
        <f>IFERROR(IFERROR((LEN($T126)-LEN(SUBSTITUTE($T126,"Quality of Works / Criteria of Failings:","")))/LEN("Quality of Works / Criteria of Failings:"),0)/MAX(1,(LEN($I126)-LEN(SUBSTITUTE($I126," Ltd","")))/LEN(" Ltd")),0)</f>
        <v/>
      </c>
      <c r="AB125" s="122">
        <f>IFERROR(IFERROR((LEN($T126)-LEN(SUBSTITUTE($T126,"Quality of Works / Criteria of Failings:Compliant","")))/LEN("Quality of Works / Criteria of Failings:Compliant"),0)/MAX(1,(LEN($I126)-LEN(SUBSTITUTE($I126," Ltd","")))/LEN(" Ltd")),0)</f>
        <v/>
      </c>
    </row>
    <row r="126" ht="18" customHeight="1" s="146">
      <c r="Y126" s="122">
        <f>MAX(0,IFERROR((LEN($T127)-LEN(SUBSTITUTE($T127,"Quality of Works / Criteria of Failings:","")))/LEN("Quality of Works / Criteria of Failings:"),0)-IFERROR((LEN($T127)-LEN(SUBSTITUTE($T127,"Quality of Works / Criteria of Failings:Compliant","")))/LEN("Quality of Works / Criteria of Failings:Compliant"),0))</f>
        <v/>
      </c>
      <c r="Z126" s="122">
        <f>IFERROR($Y127/MAX(1,(LEN($I127)-LEN(SUBSTITUTE($I127," Ltd","")))/LEN(" Ltd")),0)</f>
        <v/>
      </c>
      <c r="AA126" s="122">
        <f>IFERROR(IFERROR((LEN($T127)-LEN(SUBSTITUTE($T127,"Quality of Works / Criteria of Failings:","")))/LEN("Quality of Works / Criteria of Failings:"),0)/MAX(1,(LEN($I127)-LEN(SUBSTITUTE($I127," Ltd","")))/LEN(" Ltd")),0)</f>
        <v/>
      </c>
      <c r="AB126" s="122">
        <f>IFERROR(IFERROR((LEN($T127)-LEN(SUBSTITUTE($T127,"Quality of Works / Criteria of Failings:Compliant","")))/LEN("Quality of Works / Criteria of Failings:Compliant"),0)/MAX(1,(LEN($I127)-LEN(SUBSTITUTE($I127," Ltd","")))/LEN(" Ltd")),0)</f>
        <v/>
      </c>
    </row>
    <row r="127" ht="18" customHeight="1" s="146">
      <c r="Y127" s="122">
        <f>MAX(0,IFERROR((LEN($T128)-LEN(SUBSTITUTE($T128,"Quality of Works / Criteria of Failings:","")))/LEN("Quality of Works / Criteria of Failings:"),0)-IFERROR((LEN($T128)-LEN(SUBSTITUTE($T128,"Quality of Works / Criteria of Failings:Compliant","")))/LEN("Quality of Works / Criteria of Failings:Compliant"),0))</f>
        <v/>
      </c>
      <c r="Z127" s="122">
        <f>IFERROR($Y128/MAX(1,(LEN($I128)-LEN(SUBSTITUTE($I128," Ltd","")))/LEN(" Ltd")),0)</f>
        <v/>
      </c>
      <c r="AA127" s="122">
        <f>IFERROR(IFERROR((LEN($T128)-LEN(SUBSTITUTE($T128,"Quality of Works / Criteria of Failings:","")))/LEN("Quality of Works / Criteria of Failings:"),0)/MAX(1,(LEN($I128)-LEN(SUBSTITUTE($I128," Ltd","")))/LEN(" Ltd")),0)</f>
        <v/>
      </c>
      <c r="AB127" s="122">
        <f>IFERROR(IFERROR((LEN($T128)-LEN(SUBSTITUTE($T128,"Quality of Works / Criteria of Failings:Compliant","")))/LEN("Quality of Works / Criteria of Failings:Compliant"),0)/MAX(1,(LEN($I128)-LEN(SUBSTITUTE($I128," Ltd","")))/LEN(" Ltd")),0)</f>
        <v/>
      </c>
    </row>
    <row r="128" ht="18" customHeight="1" s="146">
      <c r="Y128" s="122">
        <f>MAX(0,IFERROR((LEN($T129)-LEN(SUBSTITUTE($T129,"Quality of Works / Criteria of Failings:","")))/LEN("Quality of Works / Criteria of Failings:"),0)-IFERROR((LEN($T129)-LEN(SUBSTITUTE($T129,"Quality of Works / Criteria of Failings:Compliant","")))/LEN("Quality of Works / Criteria of Failings:Compliant"),0))</f>
        <v/>
      </c>
      <c r="Z128" s="122">
        <f>IFERROR($Y129/MAX(1,(LEN($I129)-LEN(SUBSTITUTE($I129," Ltd","")))/LEN(" Ltd")),0)</f>
        <v/>
      </c>
      <c r="AA128" s="122">
        <f>IFERROR(IFERROR((LEN($T129)-LEN(SUBSTITUTE($T129,"Quality of Works / Criteria of Failings:","")))/LEN("Quality of Works / Criteria of Failings:"),0)/MAX(1,(LEN($I129)-LEN(SUBSTITUTE($I129," Ltd","")))/LEN(" Ltd")),0)</f>
        <v/>
      </c>
      <c r="AB128" s="122">
        <f>IFERROR(IFERROR((LEN($T129)-LEN(SUBSTITUTE($T129,"Quality of Works / Criteria of Failings:Compliant","")))/LEN("Quality of Works / Criteria of Failings:Compliant"),0)/MAX(1,(LEN($I129)-LEN(SUBSTITUTE($I129," Ltd","")))/LEN(" Ltd")),0)</f>
        <v/>
      </c>
    </row>
    <row r="129" ht="18" customHeight="1" s="146">
      <c r="Y129" s="122">
        <f>MAX(0,IFERROR((LEN($T130)-LEN(SUBSTITUTE($T130,"Quality of Works / Criteria of Failings:","")))/LEN("Quality of Works / Criteria of Failings:"),0)-IFERROR((LEN($T130)-LEN(SUBSTITUTE($T130,"Quality of Works / Criteria of Failings:Compliant","")))/LEN("Quality of Works / Criteria of Failings:Compliant"),0))</f>
        <v/>
      </c>
      <c r="Z129" s="122">
        <f>IFERROR($Y130/MAX(1,(LEN($I130)-LEN(SUBSTITUTE($I130," Ltd","")))/LEN(" Ltd")),0)</f>
        <v/>
      </c>
      <c r="AA129" s="122">
        <f>IFERROR(IFERROR((LEN($T130)-LEN(SUBSTITUTE($T130,"Quality of Works / Criteria of Failings:","")))/LEN("Quality of Works / Criteria of Failings:"),0)/MAX(1,(LEN($I130)-LEN(SUBSTITUTE($I130," Ltd","")))/LEN(" Ltd")),0)</f>
        <v/>
      </c>
      <c r="AB129" s="122">
        <f>IFERROR(IFERROR((LEN($T130)-LEN(SUBSTITUTE($T130,"Quality of Works / Criteria of Failings:Compliant","")))/LEN("Quality of Works / Criteria of Failings:Compliant"),0)/MAX(1,(LEN($I130)-LEN(SUBSTITUTE($I130," Ltd","")))/LEN(" Ltd")),0)</f>
        <v/>
      </c>
    </row>
    <row r="130" ht="18" customHeight="1" s="146">
      <c r="Y130" s="122">
        <f>MAX(0,IFERROR((LEN($T131)-LEN(SUBSTITUTE($T131,"Quality of Works / Criteria of Failings:","")))/LEN("Quality of Works / Criteria of Failings:"),0)-IFERROR((LEN($T131)-LEN(SUBSTITUTE($T131,"Quality of Works / Criteria of Failings:Compliant","")))/LEN("Quality of Works / Criteria of Failings:Compliant"),0))</f>
        <v/>
      </c>
      <c r="Z130" s="122">
        <f>IFERROR($Y131/MAX(1,(LEN($I131)-LEN(SUBSTITUTE($I131," Ltd","")))/LEN(" Ltd")),0)</f>
        <v/>
      </c>
      <c r="AA130" s="122">
        <f>IFERROR(IFERROR((LEN($T131)-LEN(SUBSTITUTE($T131,"Quality of Works / Criteria of Failings:","")))/LEN("Quality of Works / Criteria of Failings:"),0)/MAX(1,(LEN($I131)-LEN(SUBSTITUTE($I131," Ltd","")))/LEN(" Ltd")),0)</f>
        <v/>
      </c>
      <c r="AB130" s="122">
        <f>IFERROR(IFERROR((LEN($T131)-LEN(SUBSTITUTE($T131,"Quality of Works / Criteria of Failings:Compliant","")))/LEN("Quality of Works / Criteria of Failings:Compliant"),0)/MAX(1,(LEN($I131)-LEN(SUBSTITUTE($I131," Ltd","")))/LEN(" Ltd")),0)</f>
        <v/>
      </c>
    </row>
    <row r="131" ht="18" customHeight="1" s="146">
      <c r="Y131" s="122">
        <f>MAX(0,IFERROR((LEN($T132)-LEN(SUBSTITUTE($T132,"Quality of Works / Criteria of Failings:","")))/LEN("Quality of Works / Criteria of Failings:"),0)-IFERROR((LEN($T132)-LEN(SUBSTITUTE($T132,"Quality of Works / Criteria of Failings:Compliant","")))/LEN("Quality of Works / Criteria of Failings:Compliant"),0))</f>
        <v/>
      </c>
      <c r="Z131" s="122">
        <f>IFERROR($Y132/MAX(1,(LEN($I132)-LEN(SUBSTITUTE($I132," Ltd","")))/LEN(" Ltd")),0)</f>
        <v/>
      </c>
      <c r="AA131" s="122">
        <f>IFERROR(IFERROR((LEN($T132)-LEN(SUBSTITUTE($T132,"Quality of Works / Criteria of Failings:","")))/LEN("Quality of Works / Criteria of Failings:"),0)/MAX(1,(LEN($I132)-LEN(SUBSTITUTE($I132," Ltd","")))/LEN(" Ltd")),0)</f>
        <v/>
      </c>
      <c r="AB131" s="122">
        <f>IFERROR(IFERROR((LEN($T132)-LEN(SUBSTITUTE($T132,"Quality of Works / Criteria of Failings:Compliant","")))/LEN("Quality of Works / Criteria of Failings:Compliant"),0)/MAX(1,(LEN($I132)-LEN(SUBSTITUTE($I132," Ltd","")))/LEN(" Ltd")),0)</f>
        <v/>
      </c>
    </row>
    <row r="132" ht="18" customHeight="1" s="146">
      <c r="Y132" s="122">
        <f>MAX(0,IFERROR((LEN($T133)-LEN(SUBSTITUTE($T133,"Quality of Works / Criteria of Failings:","")))/LEN("Quality of Works / Criteria of Failings:"),0)-IFERROR((LEN($T133)-LEN(SUBSTITUTE($T133,"Quality of Works / Criteria of Failings:Compliant","")))/LEN("Quality of Works / Criteria of Failings:Compliant"),0))</f>
        <v/>
      </c>
      <c r="Z132" s="122">
        <f>IFERROR($Y133/MAX(1,(LEN($I133)-LEN(SUBSTITUTE($I133," Ltd","")))/LEN(" Ltd")),0)</f>
        <v/>
      </c>
      <c r="AA132" s="122">
        <f>IFERROR(IFERROR((LEN($T133)-LEN(SUBSTITUTE($T133,"Quality of Works / Criteria of Failings:","")))/LEN("Quality of Works / Criteria of Failings:"),0)/MAX(1,(LEN($I133)-LEN(SUBSTITUTE($I133," Ltd","")))/LEN(" Ltd")),0)</f>
        <v/>
      </c>
      <c r="AB132" s="122">
        <f>IFERROR(IFERROR((LEN($T133)-LEN(SUBSTITUTE($T133,"Quality of Works / Criteria of Failings:Compliant","")))/LEN("Quality of Works / Criteria of Failings:Compliant"),0)/MAX(1,(LEN($I133)-LEN(SUBSTITUTE($I133," Ltd","")))/LEN(" Ltd")),0)</f>
        <v/>
      </c>
    </row>
    <row r="133" ht="18" customHeight="1" s="146">
      <c r="Y133" s="122">
        <f>MAX(0,IFERROR((LEN($T134)-LEN(SUBSTITUTE($T134,"Quality of Works / Criteria of Failings:","")))/LEN("Quality of Works / Criteria of Failings:"),0)-IFERROR((LEN($T134)-LEN(SUBSTITUTE($T134,"Quality of Works / Criteria of Failings:Compliant","")))/LEN("Quality of Works / Criteria of Failings:Compliant"),0))</f>
        <v/>
      </c>
      <c r="Z133" s="122">
        <f>IFERROR($Y134/MAX(1,(LEN($I134)-LEN(SUBSTITUTE($I134," Ltd","")))/LEN(" Ltd")),0)</f>
        <v/>
      </c>
      <c r="AA133" s="122">
        <f>IFERROR(IFERROR((LEN($T134)-LEN(SUBSTITUTE($T134,"Quality of Works / Criteria of Failings:","")))/LEN("Quality of Works / Criteria of Failings:"),0)/MAX(1,(LEN($I134)-LEN(SUBSTITUTE($I134," Ltd","")))/LEN(" Ltd")),0)</f>
        <v/>
      </c>
      <c r="AB133" s="122">
        <f>IFERROR(IFERROR((LEN($T134)-LEN(SUBSTITUTE($T134,"Quality of Works / Criteria of Failings:Compliant","")))/LEN("Quality of Works / Criteria of Failings:Compliant"),0)/MAX(1,(LEN($I134)-LEN(SUBSTITUTE($I134," Ltd","")))/LEN(" Ltd")),0)</f>
        <v/>
      </c>
    </row>
    <row r="134" ht="18" customHeight="1" s="146">
      <c r="Y134" s="122">
        <f>MAX(0,IFERROR((LEN($T135)-LEN(SUBSTITUTE($T135,"Quality of Works / Criteria of Failings:","")))/LEN("Quality of Works / Criteria of Failings:"),0)-IFERROR((LEN($T135)-LEN(SUBSTITUTE($T135,"Quality of Works / Criteria of Failings:Compliant","")))/LEN("Quality of Works / Criteria of Failings:Compliant"),0))</f>
        <v/>
      </c>
      <c r="Z134" s="122">
        <f>IFERROR($Y135/MAX(1,(LEN($I135)-LEN(SUBSTITUTE($I135," Ltd","")))/LEN(" Ltd")),0)</f>
        <v/>
      </c>
      <c r="AA134" s="122">
        <f>IFERROR(IFERROR((LEN($T135)-LEN(SUBSTITUTE($T135,"Quality of Works / Criteria of Failings:","")))/LEN("Quality of Works / Criteria of Failings:"),0)/MAX(1,(LEN($I135)-LEN(SUBSTITUTE($I135," Ltd","")))/LEN(" Ltd")),0)</f>
        <v/>
      </c>
      <c r="AB134" s="122">
        <f>IFERROR(IFERROR((LEN($T135)-LEN(SUBSTITUTE($T135,"Quality of Works / Criteria of Failings:Compliant","")))/LEN("Quality of Works / Criteria of Failings:Compliant"),0)/MAX(1,(LEN($I135)-LEN(SUBSTITUTE($I135," Ltd","")))/LEN(" Ltd")),0)</f>
        <v/>
      </c>
    </row>
    <row r="135" ht="18" customHeight="1" s="146">
      <c r="Y135" s="122">
        <f>MAX(0,IFERROR((LEN($T136)-LEN(SUBSTITUTE($T136,"Quality of Works / Criteria of Failings:","")))/LEN("Quality of Works / Criteria of Failings:"),0)-IFERROR((LEN($T136)-LEN(SUBSTITUTE($T136,"Quality of Works / Criteria of Failings:Compliant","")))/LEN("Quality of Works / Criteria of Failings:Compliant"),0))</f>
        <v/>
      </c>
      <c r="Z135" s="122">
        <f>IFERROR($Y136/MAX(1,(LEN($I136)-LEN(SUBSTITUTE($I136," Ltd","")))/LEN(" Ltd")),0)</f>
        <v/>
      </c>
      <c r="AA135" s="122">
        <f>IFERROR(IFERROR((LEN($T136)-LEN(SUBSTITUTE($T136,"Quality of Works / Criteria of Failings:","")))/LEN("Quality of Works / Criteria of Failings:"),0)/MAX(1,(LEN($I136)-LEN(SUBSTITUTE($I136," Ltd","")))/LEN(" Ltd")),0)</f>
        <v/>
      </c>
      <c r="AB135" s="122">
        <f>IFERROR(IFERROR((LEN($T136)-LEN(SUBSTITUTE($T136,"Quality of Works / Criteria of Failings:Compliant","")))/LEN("Quality of Works / Criteria of Failings:Compliant"),0)/MAX(1,(LEN($I136)-LEN(SUBSTITUTE($I136," Ltd","")))/LEN(" Ltd")),0)</f>
        <v/>
      </c>
    </row>
    <row r="136" ht="18" customHeight="1" s="146">
      <c r="Y136" s="122">
        <f>MAX(0,IFERROR((LEN($T137)-LEN(SUBSTITUTE($T137,"Quality of Works / Criteria of Failings:","")))/LEN("Quality of Works / Criteria of Failings:"),0)-IFERROR((LEN($T137)-LEN(SUBSTITUTE($T137,"Quality of Works / Criteria of Failings:Compliant","")))/LEN("Quality of Works / Criteria of Failings:Compliant"),0))</f>
        <v/>
      </c>
      <c r="Z136" s="122">
        <f>IFERROR($Y137/MAX(1,(LEN($I137)-LEN(SUBSTITUTE($I137," Ltd","")))/LEN(" Ltd")),0)</f>
        <v/>
      </c>
      <c r="AA136" s="122">
        <f>IFERROR(IFERROR((LEN($T137)-LEN(SUBSTITUTE($T137,"Quality of Works / Criteria of Failings:","")))/LEN("Quality of Works / Criteria of Failings:"),0)/MAX(1,(LEN($I137)-LEN(SUBSTITUTE($I137," Ltd","")))/LEN(" Ltd")),0)</f>
        <v/>
      </c>
      <c r="AB136" s="122">
        <f>IFERROR(IFERROR((LEN($T137)-LEN(SUBSTITUTE($T137,"Quality of Works / Criteria of Failings:Compliant","")))/LEN("Quality of Works / Criteria of Failings:Compliant"),0)/MAX(1,(LEN($I137)-LEN(SUBSTITUTE($I137," Ltd","")))/LEN(" Ltd")),0)</f>
        <v/>
      </c>
    </row>
    <row r="137" ht="18" customHeight="1" s="146">
      <c r="Y137" s="122">
        <f>MAX(0,IFERROR((LEN($T138)-LEN(SUBSTITUTE($T138,"Quality of Works / Criteria of Failings:","")))/LEN("Quality of Works / Criteria of Failings:"),0)-IFERROR((LEN($T138)-LEN(SUBSTITUTE($T138,"Quality of Works / Criteria of Failings:Compliant","")))/LEN("Quality of Works / Criteria of Failings:Compliant"),0))</f>
        <v/>
      </c>
      <c r="Z137" s="122">
        <f>IFERROR($Y138/MAX(1,(LEN($I138)-LEN(SUBSTITUTE($I138," Ltd","")))/LEN(" Ltd")),0)</f>
        <v/>
      </c>
      <c r="AA137" s="122">
        <f>IFERROR(IFERROR((LEN($T138)-LEN(SUBSTITUTE($T138,"Quality of Works / Criteria of Failings:","")))/LEN("Quality of Works / Criteria of Failings:"),0)/MAX(1,(LEN($I138)-LEN(SUBSTITUTE($I138," Ltd","")))/LEN(" Ltd")),0)</f>
        <v/>
      </c>
      <c r="AB137" s="122">
        <f>IFERROR(IFERROR((LEN($T138)-LEN(SUBSTITUTE($T138,"Quality of Works / Criteria of Failings:Compliant","")))/LEN("Quality of Works / Criteria of Failings:Compliant"),0)/MAX(1,(LEN($I138)-LEN(SUBSTITUTE($I138," Ltd","")))/LEN(" Ltd")),0)</f>
        <v/>
      </c>
    </row>
    <row r="138" ht="18" customHeight="1" s="146">
      <c r="Y138" s="122">
        <f>MAX(0,IFERROR((LEN($T139)-LEN(SUBSTITUTE($T139,"Quality of Works / Criteria of Failings:","")))/LEN("Quality of Works / Criteria of Failings:"),0)-IFERROR((LEN($T139)-LEN(SUBSTITUTE($T139,"Quality of Works / Criteria of Failings:Compliant","")))/LEN("Quality of Works / Criteria of Failings:Compliant"),0))</f>
        <v/>
      </c>
      <c r="Z138" s="122">
        <f>IFERROR($Y139/MAX(1,(LEN($I139)-LEN(SUBSTITUTE($I139," Ltd","")))/LEN(" Ltd")),0)</f>
        <v/>
      </c>
      <c r="AA138" s="122">
        <f>IFERROR(IFERROR((LEN($T139)-LEN(SUBSTITUTE($T139,"Quality of Works / Criteria of Failings:","")))/LEN("Quality of Works / Criteria of Failings:"),0)/MAX(1,(LEN($I139)-LEN(SUBSTITUTE($I139," Ltd","")))/LEN(" Ltd")),0)</f>
        <v/>
      </c>
      <c r="AB138" s="122">
        <f>IFERROR(IFERROR((LEN($T139)-LEN(SUBSTITUTE($T139,"Quality of Works / Criteria of Failings:Compliant","")))/LEN("Quality of Works / Criteria of Failings:Compliant"),0)/MAX(1,(LEN($I139)-LEN(SUBSTITUTE($I139," Ltd","")))/LEN(" Ltd")),0)</f>
        <v/>
      </c>
    </row>
    <row r="139" ht="18" customHeight="1" s="146">
      <c r="Y139" s="122">
        <f>MAX(0,IFERROR((LEN($T140)-LEN(SUBSTITUTE($T140,"Quality of Works / Criteria of Failings:","")))/LEN("Quality of Works / Criteria of Failings:"),0)-IFERROR((LEN($T140)-LEN(SUBSTITUTE($T140,"Quality of Works / Criteria of Failings:Compliant","")))/LEN("Quality of Works / Criteria of Failings:Compliant"),0))</f>
        <v/>
      </c>
      <c r="Z139" s="122">
        <f>IFERROR($Y140/MAX(1,(LEN($I140)-LEN(SUBSTITUTE($I140," Ltd","")))/LEN(" Ltd")),0)</f>
        <v/>
      </c>
      <c r="AA139" s="122">
        <f>IFERROR(IFERROR((LEN($T140)-LEN(SUBSTITUTE($T140,"Quality of Works / Criteria of Failings:","")))/LEN("Quality of Works / Criteria of Failings:"),0)/MAX(1,(LEN($I140)-LEN(SUBSTITUTE($I140," Ltd","")))/LEN(" Ltd")),0)</f>
        <v/>
      </c>
      <c r="AB139" s="122">
        <f>IFERROR(IFERROR((LEN($T140)-LEN(SUBSTITUTE($T140,"Quality of Works / Criteria of Failings:Compliant","")))/LEN("Quality of Works / Criteria of Failings:Compliant"),0)/MAX(1,(LEN($I140)-LEN(SUBSTITUTE($I140," Ltd","")))/LEN(" Ltd")),0)</f>
        <v/>
      </c>
    </row>
    <row r="140" ht="15.75" customHeight="1" s="146">
      <c r="Y140" s="122">
        <f>MAX(0,IFERROR((LEN($T141)-LEN(SUBSTITUTE($T141,"Quality of Works / Criteria of Failings:","")))/LEN("Quality of Works / Criteria of Failings:"),0)-IFERROR((LEN($T141)-LEN(SUBSTITUTE($T141,"Quality of Works / Criteria of Failings:Compliant","")))/LEN("Quality of Works / Criteria of Failings:Compliant"),0))</f>
        <v/>
      </c>
      <c r="Z140" s="122">
        <f>IFERROR($Y141/MAX(1,(LEN($I141)-LEN(SUBSTITUTE($I141," Ltd","")))/LEN(" Ltd")),0)</f>
        <v/>
      </c>
      <c r="AA140" s="122">
        <f>IFERROR(IFERROR((LEN($T141)-LEN(SUBSTITUTE($T141,"Quality of Works / Criteria of Failings:","")))/LEN("Quality of Works / Criteria of Failings:"),0)/MAX(1,(LEN($I141)-LEN(SUBSTITUTE($I141," Ltd","")))/LEN(" Ltd")),0)</f>
        <v/>
      </c>
      <c r="AB140" s="122">
        <f>IFERROR(IFERROR((LEN($T141)-LEN(SUBSTITUTE($T141,"Quality of Works / Criteria of Failings:Compliant","")))/LEN("Quality of Works / Criteria of Failings:Compliant"),0)/MAX(1,(LEN($I141)-LEN(SUBSTITUTE($I141," Ltd","")))/LEN(" Ltd")),0)</f>
        <v/>
      </c>
    </row>
    <row r="141" ht="15.75" customHeight="1" s="146">
      <c r="Y141" s="122">
        <f>MAX(0,IFERROR((LEN($T142)-LEN(SUBSTITUTE($T142,"Quality of Works / Criteria of Failings:","")))/LEN("Quality of Works / Criteria of Failings:"),0)-IFERROR((LEN($T142)-LEN(SUBSTITUTE($T142,"Quality of Works / Criteria of Failings:Compliant","")))/LEN("Quality of Works / Criteria of Failings:Compliant"),0))</f>
        <v/>
      </c>
      <c r="Z141" s="122">
        <f>IFERROR($Y142/MAX(1,(LEN($I142)-LEN(SUBSTITUTE($I142," Ltd","")))/LEN(" Ltd")),0)</f>
        <v/>
      </c>
      <c r="AA141" s="122">
        <f>IFERROR(IFERROR((LEN($T142)-LEN(SUBSTITUTE($T142,"Quality of Works / Criteria of Failings:","")))/LEN("Quality of Works / Criteria of Failings:"),0)/MAX(1,(LEN($I142)-LEN(SUBSTITUTE($I142," Ltd","")))/LEN(" Ltd")),0)</f>
        <v/>
      </c>
      <c r="AB141" s="122">
        <f>IFERROR(IFERROR((LEN($T142)-LEN(SUBSTITUTE($T142,"Quality of Works / Criteria of Failings:Compliant","")))/LEN("Quality of Works / Criteria of Failings:Compliant"),0)/MAX(1,(LEN($I142)-LEN(SUBSTITUTE($I142," Ltd","")))/LEN(" Ltd")),0)</f>
        <v/>
      </c>
    </row>
    <row r="142" ht="15.75" customHeight="1" s="146">
      <c r="Y142" s="122">
        <f>MAX(0,IFERROR((LEN($T143)-LEN(SUBSTITUTE($T143,"Quality of Works / Criteria of Failings:","")))/LEN("Quality of Works / Criteria of Failings:"),0)-IFERROR((LEN($T143)-LEN(SUBSTITUTE($T143,"Quality of Works / Criteria of Failings:Compliant","")))/LEN("Quality of Works / Criteria of Failings:Compliant"),0))</f>
        <v/>
      </c>
      <c r="Z142" s="122">
        <f>IFERROR($Y143/MAX(1,(LEN($I143)-LEN(SUBSTITUTE($I143," Ltd","")))/LEN(" Ltd")),0)</f>
        <v/>
      </c>
      <c r="AA142" s="122">
        <f>IFERROR(IFERROR((LEN($T143)-LEN(SUBSTITUTE($T143,"Quality of Works / Criteria of Failings:","")))/LEN("Quality of Works / Criteria of Failings:"),0)/MAX(1,(LEN($I143)-LEN(SUBSTITUTE($I143," Ltd","")))/LEN(" Ltd")),0)</f>
        <v/>
      </c>
      <c r="AB142" s="122">
        <f>IFERROR(IFERROR((LEN($T143)-LEN(SUBSTITUTE($T143,"Quality of Works / Criteria of Failings:Compliant","")))/LEN("Quality of Works / Criteria of Failings:Compliant"),0)/MAX(1,(LEN($I143)-LEN(SUBSTITUTE($I143," Ltd","")))/LEN(" Ltd")),0)</f>
        <v/>
      </c>
    </row>
    <row r="143" ht="15.75" customHeight="1" s="146">
      <c r="Y143" s="122">
        <f>MAX(0,IFERROR((LEN($T144)-LEN(SUBSTITUTE($T144,"Quality of Works / Criteria of Failings:","")))/LEN("Quality of Works / Criteria of Failings:"),0)-IFERROR((LEN($T144)-LEN(SUBSTITUTE($T144,"Quality of Works / Criteria of Failings:Compliant","")))/LEN("Quality of Works / Criteria of Failings:Compliant"),0))</f>
        <v/>
      </c>
      <c r="Z143" s="122">
        <f>IFERROR($Y144/MAX(1,(LEN($I144)-LEN(SUBSTITUTE($I144," Ltd","")))/LEN(" Ltd")),0)</f>
        <v/>
      </c>
      <c r="AA143" s="122">
        <f>IFERROR(IFERROR((LEN($T144)-LEN(SUBSTITUTE($T144,"Quality of Works / Criteria of Failings:","")))/LEN("Quality of Works / Criteria of Failings:"),0)/MAX(1,(LEN($I144)-LEN(SUBSTITUTE($I144," Ltd","")))/LEN(" Ltd")),0)</f>
        <v/>
      </c>
      <c r="AB143" s="122">
        <f>IFERROR(IFERROR((LEN($T144)-LEN(SUBSTITUTE($T144,"Quality of Works / Criteria of Failings:Compliant","")))/LEN("Quality of Works / Criteria of Failings:Compliant"),0)/MAX(1,(LEN($I144)-LEN(SUBSTITUTE($I144," Ltd","")))/LEN(" Ltd")),0)</f>
        <v/>
      </c>
    </row>
    <row r="144" ht="15.75" customHeight="1" s="146">
      <c r="Y144" s="122">
        <f>MAX(0,IFERROR((LEN($T145)-LEN(SUBSTITUTE($T145,"Quality of Works / Criteria of Failings:","")))/LEN("Quality of Works / Criteria of Failings:"),0)-IFERROR((LEN($T145)-LEN(SUBSTITUTE($T145,"Quality of Works / Criteria of Failings:Compliant","")))/LEN("Quality of Works / Criteria of Failings:Compliant"),0))</f>
        <v/>
      </c>
      <c r="Z144" s="122">
        <f>IFERROR($Y145/MAX(1,(LEN($I145)-LEN(SUBSTITUTE($I145," Ltd","")))/LEN(" Ltd")),0)</f>
        <v/>
      </c>
      <c r="AA144" s="122">
        <f>IFERROR(IFERROR((LEN($T145)-LEN(SUBSTITUTE($T145,"Quality of Works / Criteria of Failings:","")))/LEN("Quality of Works / Criteria of Failings:"),0)/MAX(1,(LEN($I145)-LEN(SUBSTITUTE($I145," Ltd","")))/LEN(" Ltd")),0)</f>
        <v/>
      </c>
      <c r="AB144" s="122">
        <f>IFERROR(IFERROR((LEN($T145)-LEN(SUBSTITUTE($T145,"Quality of Works / Criteria of Failings:Compliant","")))/LEN("Quality of Works / Criteria of Failings:Compliant"),0)/MAX(1,(LEN($I145)-LEN(SUBSTITUTE($I145," Ltd","")))/LEN(" Ltd")),0)</f>
        <v/>
      </c>
    </row>
    <row r="145" ht="15.75" customHeight="1" s="146">
      <c r="Y145" s="122">
        <f>MAX(0,IFERROR((LEN($T146)-LEN(SUBSTITUTE($T146,"Quality of Works / Criteria of Failings:","")))/LEN("Quality of Works / Criteria of Failings:"),0)-IFERROR((LEN($T146)-LEN(SUBSTITUTE($T146,"Quality of Works / Criteria of Failings:Compliant","")))/LEN("Quality of Works / Criteria of Failings:Compliant"),0))</f>
        <v/>
      </c>
      <c r="Z145" s="122">
        <f>IFERROR($Y146/MAX(1,(LEN($I146)-LEN(SUBSTITUTE($I146," Ltd","")))/LEN(" Ltd")),0)</f>
        <v/>
      </c>
      <c r="AA145" s="122">
        <f>IFERROR(IFERROR((LEN($T146)-LEN(SUBSTITUTE($T146,"Quality of Works / Criteria of Failings:","")))/LEN("Quality of Works / Criteria of Failings:"),0)/MAX(1,(LEN($I146)-LEN(SUBSTITUTE($I146," Ltd","")))/LEN(" Ltd")),0)</f>
        <v/>
      </c>
      <c r="AB145" s="122">
        <f>IFERROR(IFERROR((LEN($T146)-LEN(SUBSTITUTE($T146,"Quality of Works / Criteria of Failings:Compliant","")))/LEN("Quality of Works / Criteria of Failings:Compliant"),0)/MAX(1,(LEN($I146)-LEN(SUBSTITUTE($I146," Ltd","")))/LEN(" Ltd")),0)</f>
        <v/>
      </c>
    </row>
    <row r="146" ht="15.75" customHeight="1" s="146">
      <c r="Y146" s="122">
        <f>MAX(0,IFERROR((LEN($T147)-LEN(SUBSTITUTE($T147,"Quality of Works / Criteria of Failings:","")))/LEN("Quality of Works / Criteria of Failings:"),0)-IFERROR((LEN($T147)-LEN(SUBSTITUTE($T147,"Quality of Works / Criteria of Failings:Compliant","")))/LEN("Quality of Works / Criteria of Failings:Compliant"),0))</f>
        <v/>
      </c>
      <c r="Z146" s="122">
        <f>IFERROR($Y147/MAX(1,(LEN($I147)-LEN(SUBSTITUTE($I147," Ltd","")))/LEN(" Ltd")),0)</f>
        <v/>
      </c>
      <c r="AA146" s="122">
        <f>IFERROR(IFERROR((LEN($T147)-LEN(SUBSTITUTE($T147,"Quality of Works / Criteria of Failings:","")))/LEN("Quality of Works / Criteria of Failings:"),0)/MAX(1,(LEN($I147)-LEN(SUBSTITUTE($I147," Ltd","")))/LEN(" Ltd")),0)</f>
        <v/>
      </c>
      <c r="AB146" s="122">
        <f>IFERROR(IFERROR((LEN($T147)-LEN(SUBSTITUTE($T147,"Quality of Works / Criteria of Failings:Compliant","")))/LEN("Quality of Works / Criteria of Failings:Compliant"),0)/MAX(1,(LEN($I147)-LEN(SUBSTITUTE($I147," Ltd","")))/LEN(" Ltd")),0)</f>
        <v/>
      </c>
    </row>
    <row r="147" ht="15.75" customHeight="1" s="146">
      <c r="Y147" s="122">
        <f>MAX(0,IFERROR((LEN($T148)-LEN(SUBSTITUTE($T148,"Quality of Works / Criteria of Failings:","")))/LEN("Quality of Works / Criteria of Failings:"),0)-IFERROR((LEN($T148)-LEN(SUBSTITUTE($T148,"Quality of Works / Criteria of Failings:Compliant","")))/LEN("Quality of Works / Criteria of Failings:Compliant"),0))</f>
        <v/>
      </c>
      <c r="Z147" s="122">
        <f>IFERROR($Y148/MAX(1,(LEN($I148)-LEN(SUBSTITUTE($I148," Ltd","")))/LEN(" Ltd")),0)</f>
        <v/>
      </c>
      <c r="AA147" s="122">
        <f>IFERROR(IFERROR((LEN($T148)-LEN(SUBSTITUTE($T148,"Quality of Works / Criteria of Failings:","")))/LEN("Quality of Works / Criteria of Failings:"),0)/MAX(1,(LEN($I148)-LEN(SUBSTITUTE($I148," Ltd","")))/LEN(" Ltd")),0)</f>
        <v/>
      </c>
      <c r="AB147" s="122">
        <f>IFERROR(IFERROR((LEN($T148)-LEN(SUBSTITUTE($T148,"Quality of Works / Criteria of Failings:Compliant","")))/LEN("Quality of Works / Criteria of Failings:Compliant"),0)/MAX(1,(LEN($I148)-LEN(SUBSTITUTE($I148," Ltd","")))/LEN(" Ltd")),0)</f>
        <v/>
      </c>
    </row>
    <row r="148" ht="15.75" customHeight="1" s="146">
      <c r="Y148" s="122">
        <f>MAX(0,IFERROR((LEN($T149)-LEN(SUBSTITUTE($T149,"Quality of Works / Criteria of Failings:","")))/LEN("Quality of Works / Criteria of Failings:"),0)-IFERROR((LEN($T149)-LEN(SUBSTITUTE($T149,"Quality of Works / Criteria of Failings:Compliant","")))/LEN("Quality of Works / Criteria of Failings:Compliant"),0))</f>
        <v/>
      </c>
      <c r="Z148" s="122">
        <f>IFERROR($Y149/MAX(1,(LEN($I149)-LEN(SUBSTITUTE($I149," Ltd","")))/LEN(" Ltd")),0)</f>
        <v/>
      </c>
      <c r="AA148" s="122">
        <f>IFERROR(IFERROR((LEN($T149)-LEN(SUBSTITUTE($T149,"Quality of Works / Criteria of Failings:","")))/LEN("Quality of Works / Criteria of Failings:"),0)/MAX(1,(LEN($I149)-LEN(SUBSTITUTE($I149," Ltd","")))/LEN(" Ltd")),0)</f>
        <v/>
      </c>
      <c r="AB148" s="122">
        <f>IFERROR(IFERROR((LEN($T149)-LEN(SUBSTITUTE($T149,"Quality of Works / Criteria of Failings:Compliant","")))/LEN("Quality of Works / Criteria of Failings:Compliant"),0)/MAX(1,(LEN($I149)-LEN(SUBSTITUTE($I149," Ltd","")))/LEN(" Ltd")),0)</f>
        <v/>
      </c>
    </row>
    <row r="149" ht="15.75" customHeight="1" s="146">
      <c r="Y149" s="122">
        <f>MAX(0,IFERROR((LEN($T150)-LEN(SUBSTITUTE($T150,"Quality of Works / Criteria of Failings:","")))/LEN("Quality of Works / Criteria of Failings:"),0)-IFERROR((LEN($T150)-LEN(SUBSTITUTE($T150,"Quality of Works / Criteria of Failings:Compliant","")))/LEN("Quality of Works / Criteria of Failings:Compliant"),0))</f>
        <v/>
      </c>
      <c r="Z149" s="122">
        <f>IFERROR($Y150/MAX(1,(LEN($I150)-LEN(SUBSTITUTE($I150," Ltd","")))/LEN(" Ltd")),0)</f>
        <v/>
      </c>
      <c r="AA149" s="122">
        <f>IFERROR(IFERROR((LEN($T150)-LEN(SUBSTITUTE($T150,"Quality of Works / Criteria of Failings:","")))/LEN("Quality of Works / Criteria of Failings:"),0)/MAX(1,(LEN($I150)-LEN(SUBSTITUTE($I150," Ltd","")))/LEN(" Ltd")),0)</f>
        <v/>
      </c>
      <c r="AB149" s="122">
        <f>IFERROR(IFERROR((LEN($T150)-LEN(SUBSTITUTE($T150,"Quality of Works / Criteria of Failings:Compliant","")))/LEN("Quality of Works / Criteria of Failings:Compliant"),0)/MAX(1,(LEN($I150)-LEN(SUBSTITUTE($I150," Ltd","")))/LEN(" Ltd")),0)</f>
        <v/>
      </c>
    </row>
    <row r="150" ht="15.75" customHeight="1" s="146">
      <c r="Y150" s="122">
        <f>MAX(0,IFERROR((LEN($T151)-LEN(SUBSTITUTE($T151,"Quality of Works / Criteria of Failings:","")))/LEN("Quality of Works / Criteria of Failings:"),0)-IFERROR((LEN($T151)-LEN(SUBSTITUTE($T151,"Quality of Works / Criteria of Failings:Compliant","")))/LEN("Quality of Works / Criteria of Failings:Compliant"),0))</f>
        <v/>
      </c>
      <c r="Z150" s="122">
        <f>IFERROR($Y151/MAX(1,(LEN($I151)-LEN(SUBSTITUTE($I151," Ltd","")))/LEN(" Ltd")),0)</f>
        <v/>
      </c>
      <c r="AA150" s="122">
        <f>IFERROR(IFERROR((LEN($T151)-LEN(SUBSTITUTE($T151,"Quality of Works / Criteria of Failings:","")))/LEN("Quality of Works / Criteria of Failings:"),0)/MAX(1,(LEN($I151)-LEN(SUBSTITUTE($I151," Ltd","")))/LEN(" Ltd")),0)</f>
        <v/>
      </c>
      <c r="AB150" s="122">
        <f>IFERROR(IFERROR((LEN($T151)-LEN(SUBSTITUTE($T151,"Quality of Works / Criteria of Failings:Compliant","")))/LEN("Quality of Works / Criteria of Failings:Compliant"),0)/MAX(1,(LEN($I151)-LEN(SUBSTITUTE($I151," Ltd","")))/LEN(" Ltd")),0)</f>
        <v/>
      </c>
    </row>
    <row r="151" ht="15.75" customHeight="1" s="146">
      <c r="Y151" s="122">
        <f>MAX(0,IFERROR((LEN($T152)-LEN(SUBSTITUTE($T152,"Quality of Works / Criteria of Failings:","")))/LEN("Quality of Works / Criteria of Failings:"),0)-IFERROR((LEN($T152)-LEN(SUBSTITUTE($T152,"Quality of Works / Criteria of Failings:Compliant","")))/LEN("Quality of Works / Criteria of Failings:Compliant"),0))</f>
        <v/>
      </c>
      <c r="Z151" s="122">
        <f>IFERROR($Y152/MAX(1,(LEN($I152)-LEN(SUBSTITUTE($I152," Ltd","")))/LEN(" Ltd")),0)</f>
        <v/>
      </c>
      <c r="AA151" s="122">
        <f>IFERROR(IFERROR((LEN($T152)-LEN(SUBSTITUTE($T152,"Quality of Works / Criteria of Failings:","")))/LEN("Quality of Works / Criteria of Failings:"),0)/MAX(1,(LEN($I152)-LEN(SUBSTITUTE($I152," Ltd","")))/LEN(" Ltd")),0)</f>
        <v/>
      </c>
      <c r="AB151" s="122">
        <f>IFERROR(IFERROR((LEN($T152)-LEN(SUBSTITUTE($T152,"Quality of Works / Criteria of Failings:Compliant","")))/LEN("Quality of Works / Criteria of Failings:Compliant"),0)/MAX(1,(LEN($I152)-LEN(SUBSTITUTE($I152," Ltd","")))/LEN(" Ltd")),0)</f>
        <v/>
      </c>
    </row>
    <row r="152" ht="15.75" customHeight="1" s="146">
      <c r="Y152" s="122">
        <f>MAX(0,IFERROR((LEN($T153)-LEN(SUBSTITUTE($T153,"Quality of Works / Criteria of Failings:","")))/LEN("Quality of Works / Criteria of Failings:"),0)-IFERROR((LEN($T153)-LEN(SUBSTITUTE($T153,"Quality of Works / Criteria of Failings:Compliant","")))/LEN("Quality of Works / Criteria of Failings:Compliant"),0))</f>
        <v/>
      </c>
      <c r="Z152" s="122">
        <f>IFERROR($Y153/MAX(1,(LEN($I153)-LEN(SUBSTITUTE($I153," Ltd","")))/LEN(" Ltd")),0)</f>
        <v/>
      </c>
      <c r="AA152" s="122">
        <f>IFERROR(IFERROR((LEN($T153)-LEN(SUBSTITUTE($T153,"Quality of Works / Criteria of Failings:","")))/LEN("Quality of Works / Criteria of Failings:"),0)/MAX(1,(LEN($I153)-LEN(SUBSTITUTE($I153," Ltd","")))/LEN(" Ltd")),0)</f>
        <v/>
      </c>
      <c r="AB152" s="122">
        <f>IFERROR(IFERROR((LEN($T153)-LEN(SUBSTITUTE($T153,"Quality of Works / Criteria of Failings:Compliant","")))/LEN("Quality of Works / Criteria of Failings:Compliant"),0)/MAX(1,(LEN($I153)-LEN(SUBSTITUTE($I153," Ltd","")))/LEN(" Ltd")),0)</f>
        <v/>
      </c>
    </row>
    <row r="153" ht="15.75" customHeight="1" s="146">
      <c r="Y153" s="122">
        <f>MAX(0,IFERROR((LEN($T154)-LEN(SUBSTITUTE($T154,"Quality of Works / Criteria of Failings:","")))/LEN("Quality of Works / Criteria of Failings:"),0)-IFERROR((LEN($T154)-LEN(SUBSTITUTE($T154,"Quality of Works / Criteria of Failings:Compliant","")))/LEN("Quality of Works / Criteria of Failings:Compliant"),0))</f>
        <v/>
      </c>
      <c r="Z153" s="122">
        <f>IFERROR($Y154/MAX(1,(LEN($I154)-LEN(SUBSTITUTE($I154," Ltd","")))/LEN(" Ltd")),0)</f>
        <v/>
      </c>
      <c r="AA153" s="122">
        <f>IFERROR(IFERROR((LEN($T154)-LEN(SUBSTITUTE($T154,"Quality of Works / Criteria of Failings:","")))/LEN("Quality of Works / Criteria of Failings:"),0)/MAX(1,(LEN($I154)-LEN(SUBSTITUTE($I154," Ltd","")))/LEN(" Ltd")),0)</f>
        <v/>
      </c>
      <c r="AB153" s="122">
        <f>IFERROR(IFERROR((LEN($T154)-LEN(SUBSTITUTE($T154,"Quality of Works / Criteria of Failings:Compliant","")))/LEN("Quality of Works / Criteria of Failings:Compliant"),0)/MAX(1,(LEN($I154)-LEN(SUBSTITUTE($I154," Ltd","")))/LEN(" Ltd")),0)</f>
        <v/>
      </c>
    </row>
    <row r="154" ht="15.75" customHeight="1" s="146">
      <c r="Y154" s="122">
        <f>MAX(0,IFERROR((LEN($T155)-LEN(SUBSTITUTE($T155,"Quality of Works / Criteria of Failings:","")))/LEN("Quality of Works / Criteria of Failings:"),0)-IFERROR((LEN($T155)-LEN(SUBSTITUTE($T155,"Quality of Works / Criteria of Failings:Compliant","")))/LEN("Quality of Works / Criteria of Failings:Compliant"),0))</f>
        <v/>
      </c>
      <c r="Z154" s="122">
        <f>IFERROR($Y155/MAX(1,(LEN($I155)-LEN(SUBSTITUTE($I155," Ltd","")))/LEN(" Ltd")),0)</f>
        <v/>
      </c>
      <c r="AA154" s="122">
        <f>IFERROR(IFERROR((LEN($T155)-LEN(SUBSTITUTE($T155,"Quality of Works / Criteria of Failings:","")))/LEN("Quality of Works / Criteria of Failings:"),0)/MAX(1,(LEN($I155)-LEN(SUBSTITUTE($I155," Ltd","")))/LEN(" Ltd")),0)</f>
        <v/>
      </c>
      <c r="AB154" s="122">
        <f>IFERROR(IFERROR((LEN($T155)-LEN(SUBSTITUTE($T155,"Quality of Works / Criteria of Failings:Compliant","")))/LEN("Quality of Works / Criteria of Failings:Compliant"),0)/MAX(1,(LEN($I155)-LEN(SUBSTITUTE($I155," Ltd","")))/LEN(" Ltd")),0)</f>
        <v/>
      </c>
    </row>
    <row r="155" ht="15.75" customHeight="1" s="146">
      <c r="Y155" s="122">
        <f>MAX(0,IFERROR((LEN($T156)-LEN(SUBSTITUTE($T156,"Quality of Works / Criteria of Failings:","")))/LEN("Quality of Works / Criteria of Failings:"),0)-IFERROR((LEN($T156)-LEN(SUBSTITUTE($T156,"Quality of Works / Criteria of Failings:Compliant","")))/LEN("Quality of Works / Criteria of Failings:Compliant"),0))</f>
        <v/>
      </c>
      <c r="Z155" s="122">
        <f>IFERROR($Y156/MAX(1,(LEN($I156)-LEN(SUBSTITUTE($I156," Ltd","")))/LEN(" Ltd")),0)</f>
        <v/>
      </c>
      <c r="AA155" s="122">
        <f>IFERROR(IFERROR((LEN($T156)-LEN(SUBSTITUTE($T156,"Quality of Works / Criteria of Failings:","")))/LEN("Quality of Works / Criteria of Failings:"),0)/MAX(1,(LEN($I156)-LEN(SUBSTITUTE($I156," Ltd","")))/LEN(" Ltd")),0)</f>
        <v/>
      </c>
      <c r="AB155" s="122">
        <f>IFERROR(IFERROR((LEN($T156)-LEN(SUBSTITUTE($T156,"Quality of Works / Criteria of Failings:Compliant","")))/LEN("Quality of Works / Criteria of Failings:Compliant"),0)/MAX(1,(LEN($I156)-LEN(SUBSTITUTE($I156," Ltd","")))/LEN(" Ltd")),0)</f>
        <v/>
      </c>
    </row>
    <row r="156" ht="15.75" customHeight="1" s="146">
      <c r="Y156" s="122">
        <f>MAX(0,IFERROR((LEN($T157)-LEN(SUBSTITUTE($T157,"Quality of Works / Criteria of Failings:","")))/LEN("Quality of Works / Criteria of Failings:"),0)-IFERROR((LEN($T157)-LEN(SUBSTITUTE($T157,"Quality of Works / Criteria of Failings:Compliant","")))/LEN("Quality of Works / Criteria of Failings:Compliant"),0))</f>
        <v/>
      </c>
      <c r="Z156" s="122">
        <f>IFERROR($Y157/MAX(1,(LEN($I157)-LEN(SUBSTITUTE($I157," Ltd","")))/LEN(" Ltd")),0)</f>
        <v/>
      </c>
      <c r="AA156" s="122">
        <f>IFERROR(IFERROR((LEN($T157)-LEN(SUBSTITUTE($T157,"Quality of Works / Criteria of Failings:","")))/LEN("Quality of Works / Criteria of Failings:"),0)/MAX(1,(LEN($I157)-LEN(SUBSTITUTE($I157," Ltd","")))/LEN(" Ltd")),0)</f>
        <v/>
      </c>
      <c r="AB156" s="122">
        <f>IFERROR(IFERROR((LEN($T157)-LEN(SUBSTITUTE($T157,"Quality of Works / Criteria of Failings:Compliant","")))/LEN("Quality of Works / Criteria of Failings:Compliant"),0)/MAX(1,(LEN($I157)-LEN(SUBSTITUTE($I157," Ltd","")))/LEN(" Ltd")),0)</f>
        <v/>
      </c>
    </row>
    <row r="157" ht="15.75" customHeight="1" s="146">
      <c r="Y157" s="122">
        <f>MAX(0,IFERROR((LEN($T158)-LEN(SUBSTITUTE($T158,"Quality of Works / Criteria of Failings:","")))/LEN("Quality of Works / Criteria of Failings:"),0)-IFERROR((LEN($T158)-LEN(SUBSTITUTE($T158,"Quality of Works / Criteria of Failings:Compliant","")))/LEN("Quality of Works / Criteria of Failings:Compliant"),0))</f>
        <v/>
      </c>
      <c r="Z157" s="122">
        <f>IFERROR($Y158/MAX(1,(LEN($I158)-LEN(SUBSTITUTE($I158," Ltd","")))/LEN(" Ltd")),0)</f>
        <v/>
      </c>
      <c r="AA157" s="122">
        <f>IFERROR(IFERROR((LEN($T158)-LEN(SUBSTITUTE($T158,"Quality of Works / Criteria of Failings:","")))/LEN("Quality of Works / Criteria of Failings:"),0)/MAX(1,(LEN($I158)-LEN(SUBSTITUTE($I158," Ltd","")))/LEN(" Ltd")),0)</f>
        <v/>
      </c>
      <c r="AB157" s="122">
        <f>IFERROR(IFERROR((LEN($T158)-LEN(SUBSTITUTE($T158,"Quality of Works / Criteria of Failings:Compliant","")))/LEN("Quality of Works / Criteria of Failings:Compliant"),0)/MAX(1,(LEN($I158)-LEN(SUBSTITUTE($I158," Ltd","")))/LEN(" Ltd")),0)</f>
        <v/>
      </c>
    </row>
    <row r="158" ht="15.75" customHeight="1" s="146">
      <c r="Y158" s="122">
        <f>MAX(0,IFERROR((LEN($T159)-LEN(SUBSTITUTE($T159,"Quality of Works / Criteria of Failings:","")))/LEN("Quality of Works / Criteria of Failings:"),0)-IFERROR((LEN($T159)-LEN(SUBSTITUTE($T159,"Quality of Works / Criteria of Failings:Compliant","")))/LEN("Quality of Works / Criteria of Failings:Compliant"),0))</f>
        <v/>
      </c>
      <c r="Z158" s="122">
        <f>IFERROR($Y159/MAX(1,(LEN($I159)-LEN(SUBSTITUTE($I159," Ltd","")))/LEN(" Ltd")),0)</f>
        <v/>
      </c>
      <c r="AA158" s="122">
        <f>IFERROR(IFERROR((LEN($T159)-LEN(SUBSTITUTE($T159,"Quality of Works / Criteria of Failings:","")))/LEN("Quality of Works / Criteria of Failings:"),0)/MAX(1,(LEN($I159)-LEN(SUBSTITUTE($I159," Ltd","")))/LEN(" Ltd")),0)</f>
        <v/>
      </c>
      <c r="AB158" s="122">
        <f>IFERROR(IFERROR((LEN($T159)-LEN(SUBSTITUTE($T159,"Quality of Works / Criteria of Failings:Compliant","")))/LEN("Quality of Works / Criteria of Failings:Compliant"),0)/MAX(1,(LEN($I159)-LEN(SUBSTITUTE($I159," Ltd","")))/LEN(" Ltd")),0)</f>
        <v/>
      </c>
    </row>
    <row r="159" ht="15.75" customHeight="1" s="146">
      <c r="Y159" s="122">
        <f>MAX(0,IFERROR((LEN($T160)-LEN(SUBSTITUTE($T160,"Quality of Works / Criteria of Failings:","")))/LEN("Quality of Works / Criteria of Failings:"),0)-IFERROR((LEN($T160)-LEN(SUBSTITUTE($T160,"Quality of Works / Criteria of Failings:Compliant","")))/LEN("Quality of Works / Criteria of Failings:Compliant"),0))</f>
        <v/>
      </c>
      <c r="Z159" s="122">
        <f>IFERROR($Y160/MAX(1,(LEN($I160)-LEN(SUBSTITUTE($I160," Ltd","")))/LEN(" Ltd")),0)</f>
        <v/>
      </c>
      <c r="AA159" s="122">
        <f>IFERROR(IFERROR((LEN($T160)-LEN(SUBSTITUTE($T160,"Quality of Works / Criteria of Failings:","")))/LEN("Quality of Works / Criteria of Failings:"),0)/MAX(1,(LEN($I160)-LEN(SUBSTITUTE($I160," Ltd","")))/LEN(" Ltd")),0)</f>
        <v/>
      </c>
      <c r="AB159" s="122">
        <f>IFERROR(IFERROR((LEN($T160)-LEN(SUBSTITUTE($T160,"Quality of Works / Criteria of Failings:Compliant","")))/LEN("Quality of Works / Criteria of Failings:Compliant"),0)/MAX(1,(LEN($I160)-LEN(SUBSTITUTE($I160," Ltd","")))/LEN(" Ltd")),0)</f>
        <v/>
      </c>
    </row>
    <row r="160" ht="15.75" customHeight="1" s="146">
      <c r="Y160" s="122">
        <f>MAX(0,IFERROR((LEN($T161)-LEN(SUBSTITUTE($T161,"Quality of Works / Criteria of Failings:","")))/LEN("Quality of Works / Criteria of Failings:"),0)-IFERROR((LEN($T161)-LEN(SUBSTITUTE($T161,"Quality of Works / Criteria of Failings:Compliant","")))/LEN("Quality of Works / Criteria of Failings:Compliant"),0))</f>
        <v/>
      </c>
      <c r="Z160" s="122">
        <f>IFERROR($Y161/MAX(1,(LEN($I161)-LEN(SUBSTITUTE($I161," Ltd","")))/LEN(" Ltd")),0)</f>
        <v/>
      </c>
      <c r="AA160" s="122">
        <f>IFERROR(IFERROR((LEN($T161)-LEN(SUBSTITUTE($T161,"Quality of Works / Criteria of Failings:","")))/LEN("Quality of Works / Criteria of Failings:"),0)/MAX(1,(LEN($I161)-LEN(SUBSTITUTE($I161," Ltd","")))/LEN(" Ltd")),0)</f>
        <v/>
      </c>
      <c r="AB160" s="122">
        <f>IFERROR(IFERROR((LEN($T161)-LEN(SUBSTITUTE($T161,"Quality of Works / Criteria of Failings:Compliant","")))/LEN("Quality of Works / Criteria of Failings:Compliant"),0)/MAX(1,(LEN($I161)-LEN(SUBSTITUTE($I161," Ltd","")))/LEN(" Ltd")),0)</f>
        <v/>
      </c>
    </row>
    <row r="161" ht="15.75" customHeight="1" s="146">
      <c r="Y161" s="122">
        <f>MAX(0,IFERROR((LEN($T162)-LEN(SUBSTITUTE($T162,"Quality of Works / Criteria of Failings:","")))/LEN("Quality of Works / Criteria of Failings:"),0)-IFERROR((LEN($T162)-LEN(SUBSTITUTE($T162,"Quality of Works / Criteria of Failings:Compliant","")))/LEN("Quality of Works / Criteria of Failings:Compliant"),0))</f>
        <v/>
      </c>
      <c r="Z161" s="122">
        <f>IFERROR($Y162/MAX(1,(LEN($I162)-LEN(SUBSTITUTE($I162," Ltd","")))/LEN(" Ltd")),0)</f>
        <v/>
      </c>
      <c r="AA161" s="122">
        <f>IFERROR(IFERROR((LEN($T162)-LEN(SUBSTITUTE($T162,"Quality of Works / Criteria of Failings:","")))/LEN("Quality of Works / Criteria of Failings:"),0)/MAX(1,(LEN($I162)-LEN(SUBSTITUTE($I162," Ltd","")))/LEN(" Ltd")),0)</f>
        <v/>
      </c>
      <c r="AB161" s="122">
        <f>IFERROR(IFERROR((LEN($T162)-LEN(SUBSTITUTE($T162,"Quality of Works / Criteria of Failings:Compliant","")))/LEN("Quality of Works / Criteria of Failings:Compliant"),0)/MAX(1,(LEN($I162)-LEN(SUBSTITUTE($I162," Ltd","")))/LEN(" Ltd")),0)</f>
        <v/>
      </c>
    </row>
    <row r="162" ht="15.75" customHeight="1" s="146">
      <c r="Y162" s="122">
        <f>MAX(0,IFERROR((LEN($T163)-LEN(SUBSTITUTE($T163,"Quality of Works / Criteria of Failings:","")))/LEN("Quality of Works / Criteria of Failings:"),0)-IFERROR((LEN($T163)-LEN(SUBSTITUTE($T163,"Quality of Works / Criteria of Failings:Compliant","")))/LEN("Quality of Works / Criteria of Failings:Compliant"),0))</f>
        <v/>
      </c>
      <c r="Z162" s="122">
        <f>IFERROR($Y163/MAX(1,(LEN($I163)-LEN(SUBSTITUTE($I163," Ltd","")))/LEN(" Ltd")),0)</f>
        <v/>
      </c>
      <c r="AA162" s="122">
        <f>IFERROR(IFERROR((LEN($T163)-LEN(SUBSTITUTE($T163,"Quality of Works / Criteria of Failings:","")))/LEN("Quality of Works / Criteria of Failings:"),0)/MAX(1,(LEN($I163)-LEN(SUBSTITUTE($I163," Ltd","")))/LEN(" Ltd")),0)</f>
        <v/>
      </c>
      <c r="AB162" s="122">
        <f>IFERROR(IFERROR((LEN($T163)-LEN(SUBSTITUTE($T163,"Quality of Works / Criteria of Failings:Compliant","")))/LEN("Quality of Works / Criteria of Failings:Compliant"),0)/MAX(1,(LEN($I163)-LEN(SUBSTITUTE($I163," Ltd","")))/LEN(" Ltd")),0)</f>
        <v/>
      </c>
    </row>
    <row r="163" ht="15.75" customHeight="1" s="146">
      <c r="Y163" s="122">
        <f>MAX(0,IFERROR((LEN($T164)-LEN(SUBSTITUTE($T164,"Quality of Works / Criteria of Failings:","")))/LEN("Quality of Works / Criteria of Failings:"),0)-IFERROR((LEN($T164)-LEN(SUBSTITUTE($T164,"Quality of Works / Criteria of Failings:Compliant","")))/LEN("Quality of Works / Criteria of Failings:Compliant"),0))</f>
        <v/>
      </c>
      <c r="Z163" s="122">
        <f>IFERROR($Y164/MAX(1,(LEN($I164)-LEN(SUBSTITUTE($I164," Ltd","")))/LEN(" Ltd")),0)</f>
        <v/>
      </c>
      <c r="AA163" s="122">
        <f>IFERROR(IFERROR((LEN($T164)-LEN(SUBSTITUTE($T164,"Quality of Works / Criteria of Failings:","")))/LEN("Quality of Works / Criteria of Failings:"),0)/MAX(1,(LEN($I164)-LEN(SUBSTITUTE($I164," Ltd","")))/LEN(" Ltd")),0)</f>
        <v/>
      </c>
      <c r="AB163" s="122">
        <f>IFERROR(IFERROR((LEN($T164)-LEN(SUBSTITUTE($T164,"Quality of Works / Criteria of Failings:Compliant","")))/LEN("Quality of Works / Criteria of Failings:Compliant"),0)/MAX(1,(LEN($I164)-LEN(SUBSTITUTE($I164," Ltd","")))/LEN(" Ltd")),0)</f>
        <v/>
      </c>
    </row>
    <row r="164" ht="15.75" customHeight="1" s="146">
      <c r="Y164" s="122">
        <f>MAX(0,IFERROR((LEN($T165)-LEN(SUBSTITUTE($T165,"Quality of Works / Criteria of Failings:","")))/LEN("Quality of Works / Criteria of Failings:"),0)-IFERROR((LEN($T165)-LEN(SUBSTITUTE($T165,"Quality of Works / Criteria of Failings:Compliant","")))/LEN("Quality of Works / Criteria of Failings:Compliant"),0))</f>
        <v/>
      </c>
      <c r="Z164" s="122">
        <f>IFERROR($Y165/MAX(1,(LEN($I165)-LEN(SUBSTITUTE($I165," Ltd","")))/LEN(" Ltd")),0)</f>
        <v/>
      </c>
      <c r="AA164" s="122">
        <f>IFERROR(IFERROR((LEN($T165)-LEN(SUBSTITUTE($T165,"Quality of Works / Criteria of Failings:","")))/LEN("Quality of Works / Criteria of Failings:"),0)/MAX(1,(LEN($I165)-LEN(SUBSTITUTE($I165," Ltd","")))/LEN(" Ltd")),0)</f>
        <v/>
      </c>
      <c r="AB164" s="122">
        <f>IFERROR(IFERROR((LEN($T165)-LEN(SUBSTITUTE($T165,"Quality of Works / Criteria of Failings:Compliant","")))/LEN("Quality of Works / Criteria of Failings:Compliant"),0)/MAX(1,(LEN($I165)-LEN(SUBSTITUTE($I165," Ltd","")))/LEN(" Ltd")),0)</f>
        <v/>
      </c>
    </row>
    <row r="165" ht="15.75" customHeight="1" s="146">
      <c r="Y165" s="122">
        <f>MAX(0,IFERROR((LEN($T166)-LEN(SUBSTITUTE($T166,"Quality of Works / Criteria of Failings:","")))/LEN("Quality of Works / Criteria of Failings:"),0)-IFERROR((LEN($T166)-LEN(SUBSTITUTE($T166,"Quality of Works / Criteria of Failings:Compliant","")))/LEN("Quality of Works / Criteria of Failings:Compliant"),0))</f>
        <v/>
      </c>
      <c r="Z165" s="122">
        <f>IFERROR($Y166/MAX(1,(LEN($I166)-LEN(SUBSTITUTE($I166," Ltd","")))/LEN(" Ltd")),0)</f>
        <v/>
      </c>
      <c r="AA165" s="122">
        <f>IFERROR(IFERROR((LEN($T166)-LEN(SUBSTITUTE($T166,"Quality of Works / Criteria of Failings:","")))/LEN("Quality of Works / Criteria of Failings:"),0)/MAX(1,(LEN($I166)-LEN(SUBSTITUTE($I166," Ltd","")))/LEN(" Ltd")),0)</f>
        <v/>
      </c>
      <c r="AB165" s="122">
        <f>IFERROR(IFERROR((LEN($T166)-LEN(SUBSTITUTE($T166,"Quality of Works / Criteria of Failings:Compliant","")))/LEN("Quality of Works / Criteria of Failings:Compliant"),0)/MAX(1,(LEN($I166)-LEN(SUBSTITUTE($I166," Ltd","")))/LEN(" Ltd")),0)</f>
        <v/>
      </c>
    </row>
    <row r="166" ht="15.75" customHeight="1" s="146">
      <c r="Y166" s="122">
        <f>MAX(0,IFERROR((LEN($T167)-LEN(SUBSTITUTE($T167,"Quality of Works / Criteria of Failings:","")))/LEN("Quality of Works / Criteria of Failings:"),0)-IFERROR((LEN($T167)-LEN(SUBSTITUTE($T167,"Quality of Works / Criteria of Failings:Compliant","")))/LEN("Quality of Works / Criteria of Failings:Compliant"),0))</f>
        <v/>
      </c>
      <c r="Z166" s="122">
        <f>IFERROR($Y167/MAX(1,(LEN($I167)-LEN(SUBSTITUTE($I167," Ltd","")))/LEN(" Ltd")),0)</f>
        <v/>
      </c>
      <c r="AA166" s="122">
        <f>IFERROR(IFERROR((LEN($T167)-LEN(SUBSTITUTE($T167,"Quality of Works / Criteria of Failings:","")))/LEN("Quality of Works / Criteria of Failings:"),0)/MAX(1,(LEN($I167)-LEN(SUBSTITUTE($I167," Ltd","")))/LEN(" Ltd")),0)</f>
        <v/>
      </c>
      <c r="AB166" s="122">
        <f>IFERROR(IFERROR((LEN($T167)-LEN(SUBSTITUTE($T167,"Quality of Works / Criteria of Failings:Compliant","")))/LEN("Quality of Works / Criteria of Failings:Compliant"),0)/MAX(1,(LEN($I167)-LEN(SUBSTITUTE($I167," Ltd","")))/LEN(" Ltd")),0)</f>
        <v/>
      </c>
    </row>
    <row r="167" ht="15.75" customHeight="1" s="146">
      <c r="Y167" s="122">
        <f>MAX(0,IFERROR((LEN($T168)-LEN(SUBSTITUTE($T168,"Quality of Works / Criteria of Failings:","")))/LEN("Quality of Works / Criteria of Failings:"),0)-IFERROR((LEN($T168)-LEN(SUBSTITUTE($T168,"Quality of Works / Criteria of Failings:Compliant","")))/LEN("Quality of Works / Criteria of Failings:Compliant"),0))</f>
        <v/>
      </c>
      <c r="Z167" s="122">
        <f>IFERROR($Y168/MAX(1,(LEN($I168)-LEN(SUBSTITUTE($I168," Ltd","")))/LEN(" Ltd")),0)</f>
        <v/>
      </c>
      <c r="AA167" s="122">
        <f>IFERROR(IFERROR((LEN($T168)-LEN(SUBSTITUTE($T168,"Quality of Works / Criteria of Failings:","")))/LEN("Quality of Works / Criteria of Failings:"),0)/MAX(1,(LEN($I168)-LEN(SUBSTITUTE($I168," Ltd","")))/LEN(" Ltd")),0)</f>
        <v/>
      </c>
      <c r="AB167" s="122">
        <f>IFERROR(IFERROR((LEN($T168)-LEN(SUBSTITUTE($T168,"Quality of Works / Criteria of Failings:Compliant","")))/LEN("Quality of Works / Criteria of Failings:Compliant"),0)/MAX(1,(LEN($I168)-LEN(SUBSTITUTE($I168," Ltd","")))/LEN(" Ltd")),0)</f>
        <v/>
      </c>
    </row>
    <row r="168" ht="15.75" customHeight="1" s="146">
      <c r="Y168" s="122">
        <f>MAX(0,IFERROR((LEN($T169)-LEN(SUBSTITUTE($T169,"Quality of Works / Criteria of Failings:","")))/LEN("Quality of Works / Criteria of Failings:"),0)-IFERROR((LEN($T169)-LEN(SUBSTITUTE($T169,"Quality of Works / Criteria of Failings:Compliant","")))/LEN("Quality of Works / Criteria of Failings:Compliant"),0))</f>
        <v/>
      </c>
      <c r="Z168" s="122">
        <f>IFERROR($Y169/MAX(1,(LEN($I169)-LEN(SUBSTITUTE($I169," Ltd","")))/LEN(" Ltd")),0)</f>
        <v/>
      </c>
      <c r="AA168" s="122">
        <f>IFERROR(IFERROR((LEN($T169)-LEN(SUBSTITUTE($T169,"Quality of Works / Criteria of Failings:","")))/LEN("Quality of Works / Criteria of Failings:"),0)/MAX(1,(LEN($I169)-LEN(SUBSTITUTE($I169," Ltd","")))/LEN(" Ltd")),0)</f>
        <v/>
      </c>
      <c r="AB168" s="122">
        <f>IFERROR(IFERROR((LEN($T169)-LEN(SUBSTITUTE($T169,"Quality of Works / Criteria of Failings:Compliant","")))/LEN("Quality of Works / Criteria of Failings:Compliant"),0)/MAX(1,(LEN($I169)-LEN(SUBSTITUTE($I169," Ltd","")))/LEN(" Ltd")),0)</f>
        <v/>
      </c>
    </row>
    <row r="169" ht="15.75" customHeight="1" s="146">
      <c r="Y169" s="122">
        <f>MAX(0,IFERROR((LEN($T170)-LEN(SUBSTITUTE($T170,"Quality of Works / Criteria of Failings:","")))/LEN("Quality of Works / Criteria of Failings:"),0)-IFERROR((LEN($T170)-LEN(SUBSTITUTE($T170,"Quality of Works / Criteria of Failings:Compliant","")))/LEN("Quality of Works / Criteria of Failings:Compliant"),0))</f>
        <v/>
      </c>
      <c r="Z169" s="122">
        <f>IFERROR($Y170/MAX(1,(LEN($I170)-LEN(SUBSTITUTE($I170," Ltd","")))/LEN(" Ltd")),0)</f>
        <v/>
      </c>
      <c r="AA169" s="122">
        <f>IFERROR(IFERROR((LEN($T170)-LEN(SUBSTITUTE($T170,"Quality of Works / Criteria of Failings:","")))/LEN("Quality of Works / Criteria of Failings:"),0)/MAX(1,(LEN($I170)-LEN(SUBSTITUTE($I170," Ltd","")))/LEN(" Ltd")),0)</f>
        <v/>
      </c>
      <c r="AB169" s="122">
        <f>IFERROR(IFERROR((LEN($T170)-LEN(SUBSTITUTE($T170,"Quality of Works / Criteria of Failings:Compliant","")))/LEN("Quality of Works / Criteria of Failings:Compliant"),0)/MAX(1,(LEN($I170)-LEN(SUBSTITUTE($I170," Ltd","")))/LEN(" Ltd")),0)</f>
        <v/>
      </c>
    </row>
    <row r="170" ht="15.75" customHeight="1" s="146">
      <c r="Y170" s="122">
        <f>MAX(0,IFERROR((LEN($T171)-LEN(SUBSTITUTE($T171,"Quality of Works / Criteria of Failings:","")))/LEN("Quality of Works / Criteria of Failings:"),0)-IFERROR((LEN($T171)-LEN(SUBSTITUTE($T171,"Quality of Works / Criteria of Failings:Compliant","")))/LEN("Quality of Works / Criteria of Failings:Compliant"),0))</f>
        <v/>
      </c>
      <c r="Z170" s="122">
        <f>IFERROR($Y171/MAX(1,(LEN($I171)-LEN(SUBSTITUTE($I171," Ltd","")))/LEN(" Ltd")),0)</f>
        <v/>
      </c>
      <c r="AA170" s="122">
        <f>IFERROR(IFERROR((LEN($T171)-LEN(SUBSTITUTE($T171,"Quality of Works / Criteria of Failings:","")))/LEN("Quality of Works / Criteria of Failings:"),0)/MAX(1,(LEN($I171)-LEN(SUBSTITUTE($I171," Ltd","")))/LEN(" Ltd")),0)</f>
        <v/>
      </c>
      <c r="AB170" s="122">
        <f>IFERROR(IFERROR((LEN($T171)-LEN(SUBSTITUTE($T171,"Quality of Works / Criteria of Failings:Compliant","")))/LEN("Quality of Works / Criteria of Failings:Compliant"),0)/MAX(1,(LEN($I171)-LEN(SUBSTITUTE($I171," Ltd","")))/LEN(" Ltd")),0)</f>
        <v/>
      </c>
    </row>
    <row r="171" ht="15.75" customHeight="1" s="146">
      <c r="Y171" s="122">
        <f>MAX(0,IFERROR((LEN($T172)-LEN(SUBSTITUTE($T172,"Quality of Works / Criteria of Failings:","")))/LEN("Quality of Works / Criteria of Failings:"),0)-IFERROR((LEN($T172)-LEN(SUBSTITUTE($T172,"Quality of Works / Criteria of Failings:Compliant","")))/LEN("Quality of Works / Criteria of Failings:Compliant"),0))</f>
        <v/>
      </c>
      <c r="Z171" s="122">
        <f>IFERROR($Y172/MAX(1,(LEN($I172)-LEN(SUBSTITUTE($I172," Ltd","")))/LEN(" Ltd")),0)</f>
        <v/>
      </c>
      <c r="AA171" s="122">
        <f>IFERROR(IFERROR((LEN($T172)-LEN(SUBSTITUTE($T172,"Quality of Works / Criteria of Failings:","")))/LEN("Quality of Works / Criteria of Failings:"),0)/MAX(1,(LEN($I172)-LEN(SUBSTITUTE($I172," Ltd","")))/LEN(" Ltd")),0)</f>
        <v/>
      </c>
      <c r="AB171" s="122">
        <f>IFERROR(IFERROR((LEN($T172)-LEN(SUBSTITUTE($T172,"Quality of Works / Criteria of Failings:Compliant","")))/LEN("Quality of Works / Criteria of Failings:Compliant"),0)/MAX(1,(LEN($I172)-LEN(SUBSTITUTE($I172," Ltd","")))/LEN(" Ltd")),0)</f>
        <v/>
      </c>
    </row>
    <row r="172" ht="15.75" customHeight="1" s="146">
      <c r="Y172" s="122">
        <f>MAX(0,IFERROR((LEN($T173)-LEN(SUBSTITUTE($T173,"Quality of Works / Criteria of Failings:","")))/LEN("Quality of Works / Criteria of Failings:"),0)-IFERROR((LEN($T173)-LEN(SUBSTITUTE($T173,"Quality of Works / Criteria of Failings:Compliant","")))/LEN("Quality of Works / Criteria of Failings:Compliant"),0))</f>
        <v/>
      </c>
      <c r="Z172" s="122">
        <f>IFERROR($Y173/MAX(1,(LEN($I173)-LEN(SUBSTITUTE($I173," Ltd","")))/LEN(" Ltd")),0)</f>
        <v/>
      </c>
      <c r="AA172" s="122">
        <f>IFERROR(IFERROR((LEN($T173)-LEN(SUBSTITUTE($T173,"Quality of Works / Criteria of Failings:","")))/LEN("Quality of Works / Criteria of Failings:"),0)/MAX(1,(LEN($I173)-LEN(SUBSTITUTE($I173," Ltd","")))/LEN(" Ltd")),0)</f>
        <v/>
      </c>
      <c r="AB172" s="122">
        <f>IFERROR(IFERROR((LEN($T173)-LEN(SUBSTITUTE($T173,"Quality of Works / Criteria of Failings:Compliant","")))/LEN("Quality of Works / Criteria of Failings:Compliant"),0)/MAX(1,(LEN($I173)-LEN(SUBSTITUTE($I173," Ltd","")))/LEN(" Ltd")),0)</f>
        <v/>
      </c>
    </row>
    <row r="173" ht="15.75" customHeight="1" s="146">
      <c r="Y173" s="122">
        <f>MAX(0,IFERROR((LEN($T174)-LEN(SUBSTITUTE($T174,"Quality of Works / Criteria of Failings:","")))/LEN("Quality of Works / Criteria of Failings:"),0)-IFERROR((LEN($T174)-LEN(SUBSTITUTE($T174,"Quality of Works / Criteria of Failings:Compliant","")))/LEN("Quality of Works / Criteria of Failings:Compliant"),0))</f>
        <v/>
      </c>
      <c r="Z173" s="122">
        <f>IFERROR($Y174/MAX(1,(LEN($I174)-LEN(SUBSTITUTE($I174," Ltd","")))/LEN(" Ltd")),0)</f>
        <v/>
      </c>
      <c r="AA173" s="122">
        <f>IFERROR(IFERROR((LEN($T174)-LEN(SUBSTITUTE($T174,"Quality of Works / Criteria of Failings:","")))/LEN("Quality of Works / Criteria of Failings:"),0)/MAX(1,(LEN($I174)-LEN(SUBSTITUTE($I174," Ltd","")))/LEN(" Ltd")),0)</f>
        <v/>
      </c>
      <c r="AB173" s="122">
        <f>IFERROR(IFERROR((LEN($T174)-LEN(SUBSTITUTE($T174,"Quality of Works / Criteria of Failings:Compliant","")))/LEN("Quality of Works / Criteria of Failings:Compliant"),0)/MAX(1,(LEN($I174)-LEN(SUBSTITUTE($I174," Ltd","")))/LEN(" Ltd")),0)</f>
        <v/>
      </c>
    </row>
    <row r="174" ht="15.75" customHeight="1" s="146">
      <c r="Y174" s="122">
        <f>MAX(0,IFERROR((LEN($T175)-LEN(SUBSTITUTE($T175,"Quality of Works / Criteria of Failings:","")))/LEN("Quality of Works / Criteria of Failings:"),0)-IFERROR((LEN($T175)-LEN(SUBSTITUTE($T175,"Quality of Works / Criteria of Failings:Compliant","")))/LEN("Quality of Works / Criteria of Failings:Compliant"),0))</f>
        <v/>
      </c>
      <c r="Z174" s="122">
        <f>IFERROR($Y175/MAX(1,(LEN($I175)-LEN(SUBSTITUTE($I175," Ltd","")))/LEN(" Ltd")),0)</f>
        <v/>
      </c>
      <c r="AA174" s="122">
        <f>IFERROR(IFERROR((LEN($T175)-LEN(SUBSTITUTE($T175,"Quality of Works / Criteria of Failings:","")))/LEN("Quality of Works / Criteria of Failings:"),0)/MAX(1,(LEN($I175)-LEN(SUBSTITUTE($I175," Ltd","")))/LEN(" Ltd")),0)</f>
        <v/>
      </c>
      <c r="AB174" s="122">
        <f>IFERROR(IFERROR((LEN($T175)-LEN(SUBSTITUTE($T175,"Quality of Works / Criteria of Failings:Compliant","")))/LEN("Quality of Works / Criteria of Failings:Compliant"),0)/MAX(1,(LEN($I175)-LEN(SUBSTITUTE($I175," Ltd","")))/LEN(" Ltd")),0)</f>
        <v/>
      </c>
    </row>
    <row r="175" ht="15.75" customHeight="1" s="146">
      <c r="Y175" s="122">
        <f>MAX(0,IFERROR((LEN($T176)-LEN(SUBSTITUTE($T176,"Quality of Works / Criteria of Failings:","")))/LEN("Quality of Works / Criteria of Failings:"),0)-IFERROR((LEN($T176)-LEN(SUBSTITUTE($T176,"Quality of Works / Criteria of Failings:Compliant","")))/LEN("Quality of Works / Criteria of Failings:Compliant"),0))</f>
        <v/>
      </c>
      <c r="Z175" s="122">
        <f>IFERROR($Y176/MAX(1,(LEN($I176)-LEN(SUBSTITUTE($I176," Ltd","")))/LEN(" Ltd")),0)</f>
        <v/>
      </c>
      <c r="AA175" s="122">
        <f>IFERROR(IFERROR((LEN($T176)-LEN(SUBSTITUTE($T176,"Quality of Works / Criteria of Failings:","")))/LEN("Quality of Works / Criteria of Failings:"),0)/MAX(1,(LEN($I176)-LEN(SUBSTITUTE($I176," Ltd","")))/LEN(" Ltd")),0)</f>
        <v/>
      </c>
      <c r="AB175" s="122">
        <f>IFERROR(IFERROR((LEN($T176)-LEN(SUBSTITUTE($T176,"Quality of Works / Criteria of Failings:Compliant","")))/LEN("Quality of Works / Criteria of Failings:Compliant"),0)/MAX(1,(LEN($I176)-LEN(SUBSTITUTE($I176," Ltd","")))/LEN(" Ltd")),0)</f>
        <v/>
      </c>
    </row>
    <row r="176" ht="15.75" customHeight="1" s="146">
      <c r="Y176" s="122">
        <f>MAX(0,IFERROR((LEN($T177)-LEN(SUBSTITUTE($T177,"Quality of Works / Criteria of Failings:","")))/LEN("Quality of Works / Criteria of Failings:"),0)-IFERROR((LEN($T177)-LEN(SUBSTITUTE($T177,"Quality of Works / Criteria of Failings:Compliant","")))/LEN("Quality of Works / Criteria of Failings:Compliant"),0))</f>
        <v/>
      </c>
      <c r="Z176" s="122">
        <f>IFERROR($Y177/MAX(1,(LEN($I177)-LEN(SUBSTITUTE($I177," Ltd","")))/LEN(" Ltd")),0)</f>
        <v/>
      </c>
      <c r="AA176" s="122">
        <f>IFERROR(IFERROR((LEN($T177)-LEN(SUBSTITUTE($T177,"Quality of Works / Criteria of Failings:","")))/LEN("Quality of Works / Criteria of Failings:"),0)/MAX(1,(LEN($I177)-LEN(SUBSTITUTE($I177," Ltd","")))/LEN(" Ltd")),0)</f>
        <v/>
      </c>
      <c r="AB176" s="122">
        <f>IFERROR(IFERROR((LEN($T177)-LEN(SUBSTITUTE($T177,"Quality of Works / Criteria of Failings:Compliant","")))/LEN("Quality of Works / Criteria of Failings:Compliant"),0)/MAX(1,(LEN($I177)-LEN(SUBSTITUTE($I177," Ltd","")))/LEN(" Ltd")),0)</f>
        <v/>
      </c>
    </row>
    <row r="177" ht="15.75" customHeight="1" s="146">
      <c r="Y177" s="122">
        <f>MAX(0,IFERROR((LEN($T178)-LEN(SUBSTITUTE($T178,"Quality of Works / Criteria of Failings:","")))/LEN("Quality of Works / Criteria of Failings:"),0)-IFERROR((LEN($T178)-LEN(SUBSTITUTE($T178,"Quality of Works / Criteria of Failings:Compliant","")))/LEN("Quality of Works / Criteria of Failings:Compliant"),0))</f>
        <v/>
      </c>
      <c r="Z177" s="122">
        <f>IFERROR($Y178/MAX(1,(LEN($I178)-LEN(SUBSTITUTE($I178," Ltd","")))/LEN(" Ltd")),0)</f>
        <v/>
      </c>
      <c r="AA177" s="122">
        <f>IFERROR(IFERROR((LEN($T178)-LEN(SUBSTITUTE($T178,"Quality of Works / Criteria of Failings:","")))/LEN("Quality of Works / Criteria of Failings:"),0)/MAX(1,(LEN($I178)-LEN(SUBSTITUTE($I178," Ltd","")))/LEN(" Ltd")),0)</f>
        <v/>
      </c>
      <c r="AB177" s="122">
        <f>IFERROR(IFERROR((LEN($T178)-LEN(SUBSTITUTE($T178,"Quality of Works / Criteria of Failings:Compliant","")))/LEN("Quality of Works / Criteria of Failings:Compliant"),0)/MAX(1,(LEN($I178)-LEN(SUBSTITUTE($I178," Ltd","")))/LEN(" Ltd")),0)</f>
        <v/>
      </c>
    </row>
    <row r="178" ht="15.75" customHeight="1" s="146">
      <c r="Y178" s="122">
        <f>MAX(0,IFERROR((LEN($T179)-LEN(SUBSTITUTE($T179,"Quality of Works / Criteria of Failings:","")))/LEN("Quality of Works / Criteria of Failings:"),0)-IFERROR((LEN($T179)-LEN(SUBSTITUTE($T179,"Quality of Works / Criteria of Failings:Compliant","")))/LEN("Quality of Works / Criteria of Failings:Compliant"),0))</f>
        <v/>
      </c>
      <c r="Z178" s="122">
        <f>IFERROR($Y179/MAX(1,(LEN($I179)-LEN(SUBSTITUTE($I179," Ltd","")))/LEN(" Ltd")),0)</f>
        <v/>
      </c>
      <c r="AA178" s="122">
        <f>IFERROR(IFERROR((LEN($T179)-LEN(SUBSTITUTE($T179,"Quality of Works / Criteria of Failings:","")))/LEN("Quality of Works / Criteria of Failings:"),0)/MAX(1,(LEN($I179)-LEN(SUBSTITUTE($I179," Ltd","")))/LEN(" Ltd")),0)</f>
        <v/>
      </c>
      <c r="AB178" s="122">
        <f>IFERROR(IFERROR((LEN($T179)-LEN(SUBSTITUTE($T179,"Quality of Works / Criteria of Failings:Compliant","")))/LEN("Quality of Works / Criteria of Failings:Compliant"),0)/MAX(1,(LEN($I179)-LEN(SUBSTITUTE($I179," Ltd","")))/LEN(" Ltd")),0)</f>
        <v/>
      </c>
    </row>
    <row r="179" ht="15.75" customHeight="1" s="146">
      <c r="Y179" s="122">
        <f>MAX(0,IFERROR((LEN($T180)-LEN(SUBSTITUTE($T180,"Quality of Works / Criteria of Failings:","")))/LEN("Quality of Works / Criteria of Failings:"),0)-IFERROR((LEN($T180)-LEN(SUBSTITUTE($T180,"Quality of Works / Criteria of Failings:Compliant","")))/LEN("Quality of Works / Criteria of Failings:Compliant"),0))</f>
        <v/>
      </c>
      <c r="Z179" s="122">
        <f>IFERROR($Y180/MAX(1,(LEN($I180)-LEN(SUBSTITUTE($I180," Ltd","")))/LEN(" Ltd")),0)</f>
        <v/>
      </c>
      <c r="AA179" s="122">
        <f>IFERROR(IFERROR((LEN($T180)-LEN(SUBSTITUTE($T180,"Quality of Works / Criteria of Failings:","")))/LEN("Quality of Works / Criteria of Failings:"),0)/MAX(1,(LEN($I180)-LEN(SUBSTITUTE($I180," Ltd","")))/LEN(" Ltd")),0)</f>
        <v/>
      </c>
      <c r="AB179" s="122">
        <f>IFERROR(IFERROR((LEN($T180)-LEN(SUBSTITUTE($T180,"Quality of Works / Criteria of Failings:Compliant","")))/LEN("Quality of Works / Criteria of Failings:Compliant"),0)/MAX(1,(LEN($I180)-LEN(SUBSTITUTE($I180," Ltd","")))/LEN(" Ltd")),0)</f>
        <v/>
      </c>
    </row>
    <row r="180" ht="15.75" customHeight="1" s="146">
      <c r="Y180" s="122">
        <f>MAX(0,IFERROR((LEN($T181)-LEN(SUBSTITUTE($T181,"Quality of Works / Criteria of Failings:","")))/LEN("Quality of Works / Criteria of Failings:"),0)-IFERROR((LEN($T181)-LEN(SUBSTITUTE($T181,"Quality of Works / Criteria of Failings:Compliant","")))/LEN("Quality of Works / Criteria of Failings:Compliant"),0))</f>
        <v/>
      </c>
      <c r="Z180" s="122">
        <f>IFERROR($Y181/MAX(1,(LEN($I181)-LEN(SUBSTITUTE($I181," Ltd","")))/LEN(" Ltd")),0)</f>
        <v/>
      </c>
      <c r="AA180" s="122">
        <f>IFERROR(IFERROR((LEN($T181)-LEN(SUBSTITUTE($T181,"Quality of Works / Criteria of Failings:","")))/LEN("Quality of Works / Criteria of Failings:"),0)/MAX(1,(LEN($I181)-LEN(SUBSTITUTE($I181," Ltd","")))/LEN(" Ltd")),0)</f>
        <v/>
      </c>
      <c r="AB180" s="122">
        <f>IFERROR(IFERROR((LEN($T181)-LEN(SUBSTITUTE($T181,"Quality of Works / Criteria of Failings:Compliant","")))/LEN("Quality of Works / Criteria of Failings:Compliant"),0)/MAX(1,(LEN($I181)-LEN(SUBSTITUTE($I181," Ltd","")))/LEN(" Ltd")),0)</f>
        <v/>
      </c>
    </row>
    <row r="181" ht="15.75" customHeight="1" s="146">
      <c r="Y181" s="122">
        <f>MAX(0,IFERROR((LEN($T182)-LEN(SUBSTITUTE($T182,"Quality of Works / Criteria of Failings:","")))/LEN("Quality of Works / Criteria of Failings:"),0)-IFERROR((LEN($T182)-LEN(SUBSTITUTE($T182,"Quality of Works / Criteria of Failings:Compliant","")))/LEN("Quality of Works / Criteria of Failings:Compliant"),0))</f>
        <v/>
      </c>
      <c r="Z181" s="122">
        <f>IFERROR($Y182/MAX(1,(LEN($I182)-LEN(SUBSTITUTE($I182," Ltd","")))/LEN(" Ltd")),0)</f>
        <v/>
      </c>
      <c r="AA181" s="122">
        <f>IFERROR(IFERROR((LEN($T182)-LEN(SUBSTITUTE($T182,"Quality of Works / Criteria of Failings:","")))/LEN("Quality of Works / Criteria of Failings:"),0)/MAX(1,(LEN($I182)-LEN(SUBSTITUTE($I182," Ltd","")))/LEN(" Ltd")),0)</f>
        <v/>
      </c>
      <c r="AB181" s="122">
        <f>IFERROR(IFERROR((LEN($T182)-LEN(SUBSTITUTE($T182,"Quality of Works / Criteria of Failings:Compliant","")))/LEN("Quality of Works / Criteria of Failings:Compliant"),0)/MAX(1,(LEN($I182)-LEN(SUBSTITUTE($I182," Ltd","")))/LEN(" Ltd")),0)</f>
        <v/>
      </c>
    </row>
    <row r="182" ht="15.75" customHeight="1" s="146">
      <c r="Y182" s="122">
        <f>MAX(0,IFERROR((LEN($T183)-LEN(SUBSTITUTE($T183,"Quality of Works / Criteria of Failings:","")))/LEN("Quality of Works / Criteria of Failings:"),0)-IFERROR((LEN($T183)-LEN(SUBSTITUTE($T183,"Quality of Works / Criteria of Failings:Compliant","")))/LEN("Quality of Works / Criteria of Failings:Compliant"),0))</f>
        <v/>
      </c>
      <c r="Z182" s="122">
        <f>IFERROR($Y183/MAX(1,(LEN($I183)-LEN(SUBSTITUTE($I183," Ltd","")))/LEN(" Ltd")),0)</f>
        <v/>
      </c>
      <c r="AA182" s="122">
        <f>IFERROR(IFERROR((LEN($T183)-LEN(SUBSTITUTE($T183,"Quality of Works / Criteria of Failings:","")))/LEN("Quality of Works / Criteria of Failings:"),0)/MAX(1,(LEN($I183)-LEN(SUBSTITUTE($I183," Ltd","")))/LEN(" Ltd")),0)</f>
        <v/>
      </c>
      <c r="AB182" s="122">
        <f>IFERROR(IFERROR((LEN($T183)-LEN(SUBSTITUTE($T183,"Quality of Works / Criteria of Failings:Compliant","")))/LEN("Quality of Works / Criteria of Failings:Compliant"),0)/MAX(1,(LEN($I183)-LEN(SUBSTITUTE($I183," Ltd","")))/LEN(" Ltd")),0)</f>
        <v/>
      </c>
    </row>
    <row r="183" ht="15.75" customHeight="1" s="146">
      <c r="Y183" s="122">
        <f>MAX(0,IFERROR((LEN($T184)-LEN(SUBSTITUTE($T184,"Quality of Works / Criteria of Failings:","")))/LEN("Quality of Works / Criteria of Failings:"),0)-IFERROR((LEN($T184)-LEN(SUBSTITUTE($T184,"Quality of Works / Criteria of Failings:Compliant","")))/LEN("Quality of Works / Criteria of Failings:Compliant"),0))</f>
        <v/>
      </c>
      <c r="Z183" s="122">
        <f>IFERROR($Y184/MAX(1,(LEN($I184)-LEN(SUBSTITUTE($I184," Ltd","")))/LEN(" Ltd")),0)</f>
        <v/>
      </c>
      <c r="AA183" s="122">
        <f>IFERROR(IFERROR((LEN($T184)-LEN(SUBSTITUTE($T184,"Quality of Works / Criteria of Failings:","")))/LEN("Quality of Works / Criteria of Failings:"),0)/MAX(1,(LEN($I184)-LEN(SUBSTITUTE($I184," Ltd","")))/LEN(" Ltd")),0)</f>
        <v/>
      </c>
      <c r="AB183" s="122">
        <f>IFERROR(IFERROR((LEN($T184)-LEN(SUBSTITUTE($T184,"Quality of Works / Criteria of Failings:Compliant","")))/LEN("Quality of Works / Criteria of Failings:Compliant"),0)/MAX(1,(LEN($I184)-LEN(SUBSTITUTE($I184," Ltd","")))/LEN(" Ltd")),0)</f>
        <v/>
      </c>
    </row>
    <row r="184" ht="15.75" customHeight="1" s="146">
      <c r="Y184" s="122">
        <f>MAX(0,IFERROR((LEN($T185)-LEN(SUBSTITUTE($T185,"Quality of Works / Criteria of Failings:","")))/LEN("Quality of Works / Criteria of Failings:"),0)-IFERROR((LEN($T185)-LEN(SUBSTITUTE($T185,"Quality of Works / Criteria of Failings:Compliant","")))/LEN("Quality of Works / Criteria of Failings:Compliant"),0))</f>
        <v/>
      </c>
      <c r="Z184" s="122">
        <f>IFERROR($Y185/MAX(1,(LEN($I185)-LEN(SUBSTITUTE($I185," Ltd","")))/LEN(" Ltd")),0)</f>
        <v/>
      </c>
      <c r="AA184" s="122">
        <f>IFERROR(IFERROR((LEN($T185)-LEN(SUBSTITUTE($T185,"Quality of Works / Criteria of Failings:","")))/LEN("Quality of Works / Criteria of Failings:"),0)/MAX(1,(LEN($I185)-LEN(SUBSTITUTE($I185," Ltd","")))/LEN(" Ltd")),0)</f>
        <v/>
      </c>
      <c r="AB184" s="122">
        <f>IFERROR(IFERROR((LEN($T185)-LEN(SUBSTITUTE($T185,"Quality of Works / Criteria of Failings:Compliant","")))/LEN("Quality of Works / Criteria of Failings:Compliant"),0)/MAX(1,(LEN($I185)-LEN(SUBSTITUTE($I185," Ltd","")))/LEN(" Ltd")),0)</f>
        <v/>
      </c>
    </row>
    <row r="185" ht="15.75" customHeight="1" s="146">
      <c r="Y185" s="122">
        <f>MAX(0,IFERROR((LEN($T186)-LEN(SUBSTITUTE($T186,"Quality of Works / Criteria of Failings:","")))/LEN("Quality of Works / Criteria of Failings:"),0)-IFERROR((LEN($T186)-LEN(SUBSTITUTE($T186,"Quality of Works / Criteria of Failings:Compliant","")))/LEN("Quality of Works / Criteria of Failings:Compliant"),0))</f>
        <v/>
      </c>
      <c r="Z185" s="122">
        <f>IFERROR($Y186/MAX(1,(LEN($I186)-LEN(SUBSTITUTE($I186," Ltd","")))/LEN(" Ltd")),0)</f>
        <v/>
      </c>
      <c r="AA185" s="122">
        <f>IFERROR(IFERROR((LEN($T186)-LEN(SUBSTITUTE($T186,"Quality of Works / Criteria of Failings:","")))/LEN("Quality of Works / Criteria of Failings:"),0)/MAX(1,(LEN($I186)-LEN(SUBSTITUTE($I186," Ltd","")))/LEN(" Ltd")),0)</f>
        <v/>
      </c>
      <c r="AB185" s="122">
        <f>IFERROR(IFERROR((LEN($T186)-LEN(SUBSTITUTE($T186,"Quality of Works / Criteria of Failings:Compliant","")))/LEN("Quality of Works / Criteria of Failings:Compliant"),0)/MAX(1,(LEN($I186)-LEN(SUBSTITUTE($I186," Ltd","")))/LEN(" Ltd")),0)</f>
        <v/>
      </c>
    </row>
    <row r="186" ht="15.75" customHeight="1" s="146">
      <c r="Y186" s="122">
        <f>MAX(0,IFERROR((LEN($T187)-LEN(SUBSTITUTE($T187,"Quality of Works / Criteria of Failings:","")))/LEN("Quality of Works / Criteria of Failings:"),0)-IFERROR((LEN($T187)-LEN(SUBSTITUTE($T187,"Quality of Works / Criteria of Failings:Compliant","")))/LEN("Quality of Works / Criteria of Failings:Compliant"),0))</f>
        <v/>
      </c>
      <c r="Z186" s="122">
        <f>IFERROR($Y187/MAX(1,(LEN($I187)-LEN(SUBSTITUTE($I187," Ltd","")))/LEN(" Ltd")),0)</f>
        <v/>
      </c>
      <c r="AA186" s="122">
        <f>IFERROR(IFERROR((LEN($T187)-LEN(SUBSTITUTE($T187,"Quality of Works / Criteria of Failings:","")))/LEN("Quality of Works / Criteria of Failings:"),0)/MAX(1,(LEN($I187)-LEN(SUBSTITUTE($I187," Ltd","")))/LEN(" Ltd")),0)</f>
        <v/>
      </c>
      <c r="AB186" s="122">
        <f>IFERROR(IFERROR((LEN($T187)-LEN(SUBSTITUTE($T187,"Quality of Works / Criteria of Failings:Compliant","")))/LEN("Quality of Works / Criteria of Failings:Compliant"),0)/MAX(1,(LEN($I187)-LEN(SUBSTITUTE($I187," Ltd","")))/LEN(" Ltd")),0)</f>
        <v/>
      </c>
    </row>
    <row r="187" ht="15.75" customHeight="1" s="146">
      <c r="Y187" s="122">
        <f>MAX(0,IFERROR((LEN($T188)-LEN(SUBSTITUTE($T188,"Quality of Works / Criteria of Failings:","")))/LEN("Quality of Works / Criteria of Failings:"),0)-IFERROR((LEN($T188)-LEN(SUBSTITUTE($T188,"Quality of Works / Criteria of Failings:Compliant","")))/LEN("Quality of Works / Criteria of Failings:Compliant"),0))</f>
        <v/>
      </c>
      <c r="Z187" s="122">
        <f>IFERROR($Y188/MAX(1,(LEN($I188)-LEN(SUBSTITUTE($I188," Ltd","")))/LEN(" Ltd")),0)</f>
        <v/>
      </c>
      <c r="AA187" s="122">
        <f>IFERROR(IFERROR((LEN($T188)-LEN(SUBSTITUTE($T188,"Quality of Works / Criteria of Failings:","")))/LEN("Quality of Works / Criteria of Failings:"),0)/MAX(1,(LEN($I188)-LEN(SUBSTITUTE($I188," Ltd","")))/LEN(" Ltd")),0)</f>
        <v/>
      </c>
      <c r="AB187" s="122">
        <f>IFERROR(IFERROR((LEN($T188)-LEN(SUBSTITUTE($T188,"Quality of Works / Criteria of Failings:Compliant","")))/LEN("Quality of Works / Criteria of Failings:Compliant"),0)/MAX(1,(LEN($I188)-LEN(SUBSTITUTE($I188," Ltd","")))/LEN(" Ltd")),0)</f>
        <v/>
      </c>
    </row>
    <row r="188" ht="15.75" customHeight="1" s="146">
      <c r="Y188" s="122">
        <f>MAX(0,IFERROR((LEN($T189)-LEN(SUBSTITUTE($T189,"Quality of Works / Criteria of Failings:","")))/LEN("Quality of Works / Criteria of Failings:"),0)-IFERROR((LEN($T189)-LEN(SUBSTITUTE($T189,"Quality of Works / Criteria of Failings:Compliant","")))/LEN("Quality of Works / Criteria of Failings:Compliant"),0))</f>
        <v/>
      </c>
      <c r="Z188" s="122">
        <f>IFERROR($Y189/MAX(1,(LEN($I189)-LEN(SUBSTITUTE($I189," Ltd","")))/LEN(" Ltd")),0)</f>
        <v/>
      </c>
      <c r="AA188" s="122">
        <f>IFERROR(IFERROR((LEN($T189)-LEN(SUBSTITUTE($T189,"Quality of Works / Criteria of Failings:","")))/LEN("Quality of Works / Criteria of Failings:"),0)/MAX(1,(LEN($I189)-LEN(SUBSTITUTE($I189," Ltd","")))/LEN(" Ltd")),0)</f>
        <v/>
      </c>
      <c r="AB188" s="122">
        <f>IFERROR(IFERROR((LEN($T189)-LEN(SUBSTITUTE($T189,"Quality of Works / Criteria of Failings:Compliant","")))/LEN("Quality of Works / Criteria of Failings:Compliant"),0)/MAX(1,(LEN($I189)-LEN(SUBSTITUTE($I189," Ltd","")))/LEN(" Ltd")),0)</f>
        <v/>
      </c>
    </row>
    <row r="189" ht="15.75" customHeight="1" s="146">
      <c r="Y189" s="122">
        <f>MAX(0,IFERROR((LEN($T190)-LEN(SUBSTITUTE($T190,"Quality of Works / Criteria of Failings:","")))/LEN("Quality of Works / Criteria of Failings:"),0)-IFERROR((LEN($T190)-LEN(SUBSTITUTE($T190,"Quality of Works / Criteria of Failings:Compliant","")))/LEN("Quality of Works / Criteria of Failings:Compliant"),0))</f>
        <v/>
      </c>
      <c r="Z189" s="122">
        <f>IFERROR($Y190/MAX(1,(LEN($I190)-LEN(SUBSTITUTE($I190," Ltd","")))/LEN(" Ltd")),0)</f>
        <v/>
      </c>
      <c r="AA189" s="122">
        <f>IFERROR(IFERROR((LEN($T190)-LEN(SUBSTITUTE($T190,"Quality of Works / Criteria of Failings:","")))/LEN("Quality of Works / Criteria of Failings:"),0)/MAX(1,(LEN($I190)-LEN(SUBSTITUTE($I190," Ltd","")))/LEN(" Ltd")),0)</f>
        <v/>
      </c>
      <c r="AB189" s="122">
        <f>IFERROR(IFERROR((LEN($T190)-LEN(SUBSTITUTE($T190,"Quality of Works / Criteria of Failings:Compliant","")))/LEN("Quality of Works / Criteria of Failings:Compliant"),0)/MAX(1,(LEN($I190)-LEN(SUBSTITUTE($I190," Ltd","")))/LEN(" Ltd")),0)</f>
        <v/>
      </c>
    </row>
    <row r="190" ht="15.75" customHeight="1" s="146">
      <c r="Y190" s="122">
        <f>MAX(0,IFERROR((LEN($T191)-LEN(SUBSTITUTE($T191,"Quality of Works / Criteria of Failings:","")))/LEN("Quality of Works / Criteria of Failings:"),0)-IFERROR((LEN($T191)-LEN(SUBSTITUTE($T191,"Quality of Works / Criteria of Failings:Compliant","")))/LEN("Quality of Works / Criteria of Failings:Compliant"),0))</f>
        <v/>
      </c>
      <c r="Z190" s="122">
        <f>IFERROR($Y191/MAX(1,(LEN($I191)-LEN(SUBSTITUTE($I191," Ltd","")))/LEN(" Ltd")),0)</f>
        <v/>
      </c>
      <c r="AA190" s="122">
        <f>IFERROR(IFERROR((LEN($T191)-LEN(SUBSTITUTE($T191,"Quality of Works / Criteria of Failings:","")))/LEN("Quality of Works / Criteria of Failings:"),0)/MAX(1,(LEN($I191)-LEN(SUBSTITUTE($I191," Ltd","")))/LEN(" Ltd")),0)</f>
        <v/>
      </c>
      <c r="AB190" s="122">
        <f>IFERROR(IFERROR((LEN($T191)-LEN(SUBSTITUTE($T191,"Quality of Works / Criteria of Failings:Compliant","")))/LEN("Quality of Works / Criteria of Failings:Compliant"),0)/MAX(1,(LEN($I191)-LEN(SUBSTITUTE($I191," Ltd","")))/LEN(" Ltd")),0)</f>
        <v/>
      </c>
    </row>
    <row r="191" ht="15.75" customHeight="1" s="146">
      <c r="Y191" s="122">
        <f>MAX(0,IFERROR((LEN($T192)-LEN(SUBSTITUTE($T192,"Quality of Works / Criteria of Failings:","")))/LEN("Quality of Works / Criteria of Failings:"),0)-IFERROR((LEN($T192)-LEN(SUBSTITUTE($T192,"Quality of Works / Criteria of Failings:Compliant","")))/LEN("Quality of Works / Criteria of Failings:Compliant"),0))</f>
        <v/>
      </c>
      <c r="Z191" s="122">
        <f>IFERROR($Y192/MAX(1,(LEN($I192)-LEN(SUBSTITUTE($I192," Ltd","")))/LEN(" Ltd")),0)</f>
        <v/>
      </c>
      <c r="AA191" s="122">
        <f>IFERROR(IFERROR((LEN($T192)-LEN(SUBSTITUTE($T192,"Quality of Works / Criteria of Failings:","")))/LEN("Quality of Works / Criteria of Failings:"),0)/MAX(1,(LEN($I192)-LEN(SUBSTITUTE($I192," Ltd","")))/LEN(" Ltd")),0)</f>
        <v/>
      </c>
      <c r="AB191" s="122">
        <f>IFERROR(IFERROR((LEN($T192)-LEN(SUBSTITUTE($T192,"Quality of Works / Criteria of Failings:Compliant","")))/LEN("Quality of Works / Criteria of Failings:Compliant"),0)/MAX(1,(LEN($I192)-LEN(SUBSTITUTE($I192," Ltd","")))/LEN(" Ltd")),0)</f>
        <v/>
      </c>
    </row>
    <row r="192" ht="15.75" customHeight="1" s="146">
      <c r="Y192" s="122">
        <f>MAX(0,IFERROR((LEN($T193)-LEN(SUBSTITUTE($T193,"Quality of Works / Criteria of Failings:","")))/LEN("Quality of Works / Criteria of Failings:"),0)-IFERROR((LEN($T193)-LEN(SUBSTITUTE($T193,"Quality of Works / Criteria of Failings:Compliant","")))/LEN("Quality of Works / Criteria of Failings:Compliant"),0))</f>
        <v/>
      </c>
      <c r="Z192" s="122">
        <f>IFERROR($Y193/MAX(1,(LEN($I193)-LEN(SUBSTITUTE($I193," Ltd","")))/LEN(" Ltd")),0)</f>
        <v/>
      </c>
      <c r="AA192" s="122">
        <f>IFERROR(IFERROR((LEN($T193)-LEN(SUBSTITUTE($T193,"Quality of Works / Criteria of Failings:","")))/LEN("Quality of Works / Criteria of Failings:"),0)/MAX(1,(LEN($I193)-LEN(SUBSTITUTE($I193," Ltd","")))/LEN(" Ltd")),0)</f>
        <v/>
      </c>
      <c r="AB192" s="122">
        <f>IFERROR(IFERROR((LEN($T193)-LEN(SUBSTITUTE($T193,"Quality of Works / Criteria of Failings:Compliant","")))/LEN("Quality of Works / Criteria of Failings:Compliant"),0)/MAX(1,(LEN($I193)-LEN(SUBSTITUTE($I193," Ltd","")))/LEN(" Ltd")),0)</f>
        <v/>
      </c>
    </row>
    <row r="193" ht="15.75" customHeight="1" s="146">
      <c r="Y193" s="122">
        <f>MAX(0,IFERROR((LEN($T194)-LEN(SUBSTITUTE($T194,"Quality of Works / Criteria of Failings:","")))/LEN("Quality of Works / Criteria of Failings:"),0)-IFERROR((LEN($T194)-LEN(SUBSTITUTE($T194,"Quality of Works / Criteria of Failings:Compliant","")))/LEN("Quality of Works / Criteria of Failings:Compliant"),0))</f>
        <v/>
      </c>
      <c r="Z193" s="122">
        <f>IFERROR($Y194/MAX(1,(LEN($I194)-LEN(SUBSTITUTE($I194," Ltd","")))/LEN(" Ltd")),0)</f>
        <v/>
      </c>
      <c r="AA193" s="122">
        <f>IFERROR(IFERROR((LEN($T194)-LEN(SUBSTITUTE($T194,"Quality of Works / Criteria of Failings:","")))/LEN("Quality of Works / Criteria of Failings:"),0)/MAX(1,(LEN($I194)-LEN(SUBSTITUTE($I194," Ltd","")))/LEN(" Ltd")),0)</f>
        <v/>
      </c>
      <c r="AB193" s="122">
        <f>IFERROR(IFERROR((LEN($T194)-LEN(SUBSTITUTE($T194,"Quality of Works / Criteria of Failings:Compliant","")))/LEN("Quality of Works / Criteria of Failings:Compliant"),0)/MAX(1,(LEN($I194)-LEN(SUBSTITUTE($I194," Ltd","")))/LEN(" Ltd")),0)</f>
        <v/>
      </c>
    </row>
    <row r="194" ht="15.75" customHeight="1" s="146">
      <c r="Y194" s="122">
        <f>MAX(0,IFERROR((LEN($T195)-LEN(SUBSTITUTE($T195,"Quality of Works / Criteria of Failings:","")))/LEN("Quality of Works / Criteria of Failings:"),0)-IFERROR((LEN($T195)-LEN(SUBSTITUTE($T195,"Quality of Works / Criteria of Failings:Compliant","")))/LEN("Quality of Works / Criteria of Failings:Compliant"),0))</f>
        <v/>
      </c>
      <c r="Z194" s="122">
        <f>IFERROR($Y195/MAX(1,(LEN($I195)-LEN(SUBSTITUTE($I195," Ltd","")))/LEN(" Ltd")),0)</f>
        <v/>
      </c>
      <c r="AA194" s="122">
        <f>IFERROR(IFERROR((LEN($T195)-LEN(SUBSTITUTE($T195,"Quality of Works / Criteria of Failings:","")))/LEN("Quality of Works / Criteria of Failings:"),0)/MAX(1,(LEN($I195)-LEN(SUBSTITUTE($I195," Ltd","")))/LEN(" Ltd")),0)</f>
        <v/>
      </c>
      <c r="AB194" s="122">
        <f>IFERROR(IFERROR((LEN($T195)-LEN(SUBSTITUTE($T195,"Quality of Works / Criteria of Failings:Compliant","")))/LEN("Quality of Works / Criteria of Failings:Compliant"),0)/MAX(1,(LEN($I195)-LEN(SUBSTITUTE($I195," Ltd","")))/LEN(" Ltd")),0)</f>
        <v/>
      </c>
    </row>
    <row r="195" ht="15.75" customHeight="1" s="146">
      <c r="Y195" s="122">
        <f>MAX(0,IFERROR((LEN($T196)-LEN(SUBSTITUTE($T196,"Quality of Works / Criteria of Failings:","")))/LEN("Quality of Works / Criteria of Failings:"),0)-IFERROR((LEN($T196)-LEN(SUBSTITUTE($T196,"Quality of Works / Criteria of Failings:Compliant","")))/LEN("Quality of Works / Criteria of Failings:Compliant"),0))</f>
        <v/>
      </c>
      <c r="Z195" s="122">
        <f>IFERROR($Y196/MAX(1,(LEN($I196)-LEN(SUBSTITUTE($I196," Ltd","")))/LEN(" Ltd")),0)</f>
        <v/>
      </c>
      <c r="AA195" s="122">
        <f>IFERROR(IFERROR((LEN($T196)-LEN(SUBSTITUTE($T196,"Quality of Works / Criteria of Failings:","")))/LEN("Quality of Works / Criteria of Failings:"),0)/MAX(1,(LEN($I196)-LEN(SUBSTITUTE($I196," Ltd","")))/LEN(" Ltd")),0)</f>
        <v/>
      </c>
      <c r="AB195" s="122">
        <f>IFERROR(IFERROR((LEN($T196)-LEN(SUBSTITUTE($T196,"Quality of Works / Criteria of Failings:Compliant","")))/LEN("Quality of Works / Criteria of Failings:Compliant"),0)/MAX(1,(LEN($I196)-LEN(SUBSTITUTE($I196," Ltd","")))/LEN(" Ltd")),0)</f>
        <v/>
      </c>
    </row>
    <row r="196" ht="15.75" customHeight="1" s="146">
      <c r="Y196" s="122">
        <f>MAX(0,IFERROR((LEN($T197)-LEN(SUBSTITUTE($T197,"Quality of Works / Criteria of Failings:","")))/LEN("Quality of Works / Criteria of Failings:"),0)-IFERROR((LEN($T197)-LEN(SUBSTITUTE($T197,"Quality of Works / Criteria of Failings:Compliant","")))/LEN("Quality of Works / Criteria of Failings:Compliant"),0))</f>
        <v/>
      </c>
      <c r="Z196" s="122">
        <f>IFERROR($Y197/MAX(1,(LEN($I197)-LEN(SUBSTITUTE($I197," Ltd","")))/LEN(" Ltd")),0)</f>
        <v/>
      </c>
      <c r="AA196" s="122">
        <f>IFERROR(IFERROR((LEN($T197)-LEN(SUBSTITUTE($T197,"Quality of Works / Criteria of Failings:","")))/LEN("Quality of Works / Criteria of Failings:"),0)/MAX(1,(LEN($I197)-LEN(SUBSTITUTE($I197," Ltd","")))/LEN(" Ltd")),0)</f>
        <v/>
      </c>
      <c r="AB196" s="122">
        <f>IFERROR(IFERROR((LEN($T197)-LEN(SUBSTITUTE($T197,"Quality of Works / Criteria of Failings:Compliant","")))/LEN("Quality of Works / Criteria of Failings:Compliant"),0)/MAX(1,(LEN($I197)-LEN(SUBSTITUTE($I197," Ltd","")))/LEN(" Ltd")),0)</f>
        <v/>
      </c>
    </row>
    <row r="197" ht="15.75" customHeight="1" s="146">
      <c r="Y197" s="122">
        <f>MAX(0,IFERROR((LEN($T198)-LEN(SUBSTITUTE($T198,"Quality of Works / Criteria of Failings:","")))/LEN("Quality of Works / Criteria of Failings:"),0)-IFERROR((LEN($T198)-LEN(SUBSTITUTE($T198,"Quality of Works / Criteria of Failings:Compliant","")))/LEN("Quality of Works / Criteria of Failings:Compliant"),0))</f>
        <v/>
      </c>
      <c r="Z197" s="122">
        <f>IFERROR($Y198/MAX(1,(LEN($I198)-LEN(SUBSTITUTE($I198," Ltd","")))/LEN(" Ltd")),0)</f>
        <v/>
      </c>
      <c r="AA197" s="122">
        <f>IFERROR(IFERROR((LEN($T198)-LEN(SUBSTITUTE($T198,"Quality of Works / Criteria of Failings:","")))/LEN("Quality of Works / Criteria of Failings:"),0)/MAX(1,(LEN($I198)-LEN(SUBSTITUTE($I198," Ltd","")))/LEN(" Ltd")),0)</f>
        <v/>
      </c>
      <c r="AB197" s="122">
        <f>IFERROR(IFERROR((LEN($T198)-LEN(SUBSTITUTE($T198,"Quality of Works / Criteria of Failings:Compliant","")))/LEN("Quality of Works / Criteria of Failings:Compliant"),0)/MAX(1,(LEN($I198)-LEN(SUBSTITUTE($I198," Ltd","")))/LEN(" Ltd")),0)</f>
        <v/>
      </c>
    </row>
    <row r="198" ht="15.75" customHeight="1" s="146">
      <c r="Y198" s="122">
        <f>MAX(0,IFERROR((LEN($T199)-LEN(SUBSTITUTE($T199,"Quality of Works / Criteria of Failings:","")))/LEN("Quality of Works / Criteria of Failings:"),0)-IFERROR((LEN($T199)-LEN(SUBSTITUTE($T199,"Quality of Works / Criteria of Failings:Compliant","")))/LEN("Quality of Works / Criteria of Failings:Compliant"),0))</f>
        <v/>
      </c>
      <c r="Z198" s="122">
        <f>IFERROR($Y199/MAX(1,(LEN($I199)-LEN(SUBSTITUTE($I199," Ltd","")))/LEN(" Ltd")),0)</f>
        <v/>
      </c>
      <c r="AA198" s="122">
        <f>IFERROR(IFERROR((LEN($T199)-LEN(SUBSTITUTE($T199,"Quality of Works / Criteria of Failings:","")))/LEN("Quality of Works / Criteria of Failings:"),0)/MAX(1,(LEN($I199)-LEN(SUBSTITUTE($I199," Ltd","")))/LEN(" Ltd")),0)</f>
        <v/>
      </c>
      <c r="AB198" s="122">
        <f>IFERROR(IFERROR((LEN($T199)-LEN(SUBSTITUTE($T199,"Quality of Works / Criteria of Failings:Compliant","")))/LEN("Quality of Works / Criteria of Failings:Compliant"),0)/MAX(1,(LEN($I199)-LEN(SUBSTITUTE($I199," Ltd","")))/LEN(" Ltd")),0)</f>
        <v/>
      </c>
    </row>
    <row r="199" ht="15.75" customHeight="1" s="146">
      <c r="Y199" s="122">
        <f>MAX(0,IFERROR((LEN($T200)-LEN(SUBSTITUTE($T200,"Quality of Works / Criteria of Failings:","")))/LEN("Quality of Works / Criteria of Failings:"),0)-IFERROR((LEN($T200)-LEN(SUBSTITUTE($T200,"Quality of Works / Criteria of Failings:Compliant","")))/LEN("Quality of Works / Criteria of Failings:Compliant"),0))</f>
        <v/>
      </c>
      <c r="Z199" s="122">
        <f>IFERROR($Y200/MAX(1,(LEN($I200)-LEN(SUBSTITUTE($I200," Ltd","")))/LEN(" Ltd")),0)</f>
        <v/>
      </c>
      <c r="AA199" s="122">
        <f>IFERROR(IFERROR((LEN($T200)-LEN(SUBSTITUTE($T200,"Quality of Works / Criteria of Failings:","")))/LEN("Quality of Works / Criteria of Failings:"),0)/MAX(1,(LEN($I200)-LEN(SUBSTITUTE($I200," Ltd","")))/LEN(" Ltd")),0)</f>
        <v/>
      </c>
      <c r="AB199" s="122">
        <f>IFERROR(IFERROR((LEN($T200)-LEN(SUBSTITUTE($T200,"Quality of Works / Criteria of Failings:Compliant","")))/LEN("Quality of Works / Criteria of Failings:Compliant"),0)/MAX(1,(LEN($I200)-LEN(SUBSTITUTE($I200," Ltd","")))/LEN(" Ltd")),0)</f>
        <v/>
      </c>
    </row>
    <row r="200" ht="15.75" customHeight="1" s="146">
      <c r="Y200" s="122">
        <f>MAX(0,IFERROR((LEN($T201)-LEN(SUBSTITUTE($T201,"Quality of Works / Criteria of Failings:","")))/LEN("Quality of Works / Criteria of Failings:"),0)-IFERROR((LEN($T201)-LEN(SUBSTITUTE($T201,"Quality of Works / Criteria of Failings:Compliant","")))/LEN("Quality of Works / Criteria of Failings:Compliant"),0))</f>
        <v/>
      </c>
      <c r="Z200" s="122">
        <f>IFERROR($Y201/MAX(1,(LEN($I201)-LEN(SUBSTITUTE($I201," Ltd","")))/LEN(" Ltd")),0)</f>
        <v/>
      </c>
      <c r="AA200" s="122">
        <f>IFERROR(IFERROR((LEN($T201)-LEN(SUBSTITUTE($T201,"Quality of Works / Criteria of Failings:","")))/LEN("Quality of Works / Criteria of Failings:"),0)/MAX(1,(LEN($I201)-LEN(SUBSTITUTE($I201," Ltd","")))/LEN(" Ltd")),0)</f>
        <v/>
      </c>
      <c r="AB200" s="122">
        <f>IFERROR(IFERROR((LEN($T201)-LEN(SUBSTITUTE($T201,"Quality of Works / Criteria of Failings:Compliant","")))/LEN("Quality of Works / Criteria of Failings:Compliant"),0)/MAX(1,(LEN($I201)-LEN(SUBSTITUTE($I201," Ltd","")))/LEN(" Ltd")),0)</f>
        <v/>
      </c>
    </row>
    <row r="201" ht="15.75" customHeight="1" s="146">
      <c r="Y201" s="122">
        <f>MAX(0,IFERROR((LEN($T202)-LEN(SUBSTITUTE($T202,"Quality of Works / Criteria of Failings:","")))/LEN("Quality of Works / Criteria of Failings:"),0)-IFERROR((LEN($T202)-LEN(SUBSTITUTE($T202,"Quality of Works / Criteria of Failings:Compliant","")))/LEN("Quality of Works / Criteria of Failings:Compliant"),0))</f>
        <v/>
      </c>
      <c r="Z201" s="122">
        <f>IFERROR($Y202/MAX(1,(LEN($I202)-LEN(SUBSTITUTE($I202," Ltd","")))/LEN(" Ltd")),0)</f>
        <v/>
      </c>
      <c r="AA201" s="122">
        <f>IFERROR(IFERROR((LEN($T202)-LEN(SUBSTITUTE($T202,"Quality of Works / Criteria of Failings:","")))/LEN("Quality of Works / Criteria of Failings:"),0)/MAX(1,(LEN($I202)-LEN(SUBSTITUTE($I202," Ltd","")))/LEN(" Ltd")),0)</f>
        <v/>
      </c>
      <c r="AB201" s="122">
        <f>IFERROR(IFERROR((LEN($T202)-LEN(SUBSTITUTE($T202,"Quality of Works / Criteria of Failings:Compliant","")))/LEN("Quality of Works / Criteria of Failings:Compliant"),0)/MAX(1,(LEN($I202)-LEN(SUBSTITUTE($I202," Ltd","")))/LEN(" Ltd")),0)</f>
        <v/>
      </c>
    </row>
    <row r="202" ht="15.75" customHeight="1" s="146">
      <c r="Y202" s="122">
        <f>MAX(0,IFERROR((LEN($T203)-LEN(SUBSTITUTE($T203,"Quality of Works / Criteria of Failings:","")))/LEN("Quality of Works / Criteria of Failings:"),0)-IFERROR((LEN($T203)-LEN(SUBSTITUTE($T203,"Quality of Works / Criteria of Failings:Compliant","")))/LEN("Quality of Works / Criteria of Failings:Compliant"),0))</f>
        <v/>
      </c>
      <c r="Z202" s="122">
        <f>IFERROR($Y203/MAX(1,(LEN($I203)-LEN(SUBSTITUTE($I203," Ltd","")))/LEN(" Ltd")),0)</f>
        <v/>
      </c>
      <c r="AA202" s="122">
        <f>IFERROR(IFERROR((LEN($T203)-LEN(SUBSTITUTE($T203,"Quality of Works / Criteria of Failings:","")))/LEN("Quality of Works / Criteria of Failings:"),0)/MAX(1,(LEN($I203)-LEN(SUBSTITUTE($I203," Ltd","")))/LEN(" Ltd")),0)</f>
        <v/>
      </c>
      <c r="AB202" s="122">
        <f>IFERROR(IFERROR((LEN($T203)-LEN(SUBSTITUTE($T203,"Quality of Works / Criteria of Failings:Compliant","")))/LEN("Quality of Works / Criteria of Failings:Compliant"),0)/MAX(1,(LEN($I203)-LEN(SUBSTITUTE($I203," Ltd","")))/LEN(" Ltd")),0)</f>
        <v/>
      </c>
    </row>
    <row r="203" ht="15.75" customHeight="1" s="146">
      <c r="Y203" s="122">
        <f>MAX(0,IFERROR((LEN($T204)-LEN(SUBSTITUTE($T204,"Quality of Works / Criteria of Failings:","")))/LEN("Quality of Works / Criteria of Failings:"),0)-IFERROR((LEN($T204)-LEN(SUBSTITUTE($T204,"Quality of Works / Criteria of Failings:Compliant","")))/LEN("Quality of Works / Criteria of Failings:Compliant"),0))</f>
        <v/>
      </c>
      <c r="Z203" s="122">
        <f>IFERROR($Y204/MAX(1,(LEN($I204)-LEN(SUBSTITUTE($I204," Ltd","")))/LEN(" Ltd")),0)</f>
        <v/>
      </c>
      <c r="AA203" s="122">
        <f>IFERROR(IFERROR((LEN($T204)-LEN(SUBSTITUTE($T204,"Quality of Works / Criteria of Failings:","")))/LEN("Quality of Works / Criteria of Failings:"),0)/MAX(1,(LEN($I204)-LEN(SUBSTITUTE($I204," Ltd","")))/LEN(" Ltd")),0)</f>
        <v/>
      </c>
      <c r="AB203" s="122">
        <f>IFERROR(IFERROR((LEN($T204)-LEN(SUBSTITUTE($T204,"Quality of Works / Criteria of Failings:Compliant","")))/LEN("Quality of Works / Criteria of Failings:Compliant"),0)/MAX(1,(LEN($I204)-LEN(SUBSTITUTE($I204," Ltd","")))/LEN(" Ltd")),0)</f>
        <v/>
      </c>
    </row>
    <row r="204" ht="15.75" customHeight="1" s="146">
      <c r="Y204" s="122">
        <f>MAX(0,IFERROR((LEN($T205)-LEN(SUBSTITUTE($T205,"Quality of Works / Criteria of Failings:","")))/LEN("Quality of Works / Criteria of Failings:"),0)-IFERROR((LEN($T205)-LEN(SUBSTITUTE($T205,"Quality of Works / Criteria of Failings:Compliant","")))/LEN("Quality of Works / Criteria of Failings:Compliant"),0))</f>
        <v/>
      </c>
      <c r="Z204" s="122">
        <f>IFERROR($Y205/MAX(1,(LEN($I205)-LEN(SUBSTITUTE($I205," Ltd","")))/LEN(" Ltd")),0)</f>
        <v/>
      </c>
      <c r="AA204" s="122">
        <f>IFERROR(IFERROR((LEN($T205)-LEN(SUBSTITUTE($T205,"Quality of Works / Criteria of Failings:","")))/LEN("Quality of Works / Criteria of Failings:"),0)/MAX(1,(LEN($I205)-LEN(SUBSTITUTE($I205," Ltd","")))/LEN(" Ltd")),0)</f>
        <v/>
      </c>
      <c r="AB204" s="122">
        <f>IFERROR(IFERROR((LEN($T205)-LEN(SUBSTITUTE($T205,"Quality of Works / Criteria of Failings:Compliant","")))/LEN("Quality of Works / Criteria of Failings:Compliant"),0)/MAX(1,(LEN($I205)-LEN(SUBSTITUTE($I205," Ltd","")))/LEN(" Ltd")),0)</f>
        <v/>
      </c>
    </row>
    <row r="205" ht="15.75" customHeight="1" s="146">
      <c r="Y205" s="122">
        <f>MAX(0,IFERROR((LEN($T206)-LEN(SUBSTITUTE($T206,"Quality of Works / Criteria of Failings:","")))/LEN("Quality of Works / Criteria of Failings:"),0)-IFERROR((LEN($T206)-LEN(SUBSTITUTE($T206,"Quality of Works / Criteria of Failings:Compliant","")))/LEN("Quality of Works / Criteria of Failings:Compliant"),0))</f>
        <v/>
      </c>
      <c r="Z205" s="122">
        <f>IFERROR($Y206/MAX(1,(LEN($I206)-LEN(SUBSTITUTE($I206," Ltd","")))/LEN(" Ltd")),0)</f>
        <v/>
      </c>
      <c r="AA205" s="122">
        <f>IFERROR(IFERROR((LEN($T206)-LEN(SUBSTITUTE($T206,"Quality of Works / Criteria of Failings:","")))/LEN("Quality of Works / Criteria of Failings:"),0)/MAX(1,(LEN($I206)-LEN(SUBSTITUTE($I206," Ltd","")))/LEN(" Ltd")),0)</f>
        <v/>
      </c>
      <c r="AB205" s="122">
        <f>IFERROR(IFERROR((LEN($T206)-LEN(SUBSTITUTE($T206,"Quality of Works / Criteria of Failings:Compliant","")))/LEN("Quality of Works / Criteria of Failings:Compliant"),0)/MAX(1,(LEN($I206)-LEN(SUBSTITUTE($I206," Ltd","")))/LEN(" Ltd")),0)</f>
        <v/>
      </c>
    </row>
    <row r="206" ht="15.75" customHeight="1" s="146">
      <c r="Y206" s="122">
        <f>MAX(0,IFERROR((LEN($T207)-LEN(SUBSTITUTE($T207,"Quality of Works / Criteria of Failings:","")))/LEN("Quality of Works / Criteria of Failings:"),0)-IFERROR((LEN($T207)-LEN(SUBSTITUTE($T207,"Quality of Works / Criteria of Failings:Compliant","")))/LEN("Quality of Works / Criteria of Failings:Compliant"),0))</f>
        <v/>
      </c>
      <c r="Z206" s="122">
        <f>IFERROR($Y207/MAX(1,(LEN($I207)-LEN(SUBSTITUTE($I207," Ltd","")))/LEN(" Ltd")),0)</f>
        <v/>
      </c>
      <c r="AA206" s="122">
        <f>IFERROR(IFERROR((LEN($T207)-LEN(SUBSTITUTE($T207,"Quality of Works / Criteria of Failings:","")))/LEN("Quality of Works / Criteria of Failings:"),0)/MAX(1,(LEN($I207)-LEN(SUBSTITUTE($I207," Ltd","")))/LEN(" Ltd")),0)</f>
        <v/>
      </c>
      <c r="AB206" s="122">
        <f>IFERROR(IFERROR((LEN($T207)-LEN(SUBSTITUTE($T207,"Quality of Works / Criteria of Failings:Compliant","")))/LEN("Quality of Works / Criteria of Failings:Compliant"),0)/MAX(1,(LEN($I207)-LEN(SUBSTITUTE($I207," Ltd","")))/LEN(" Ltd")),0)</f>
        <v/>
      </c>
    </row>
    <row r="207" ht="15.75" customHeight="1" s="146">
      <c r="Y207" s="122">
        <f>MAX(0,IFERROR((LEN($T208)-LEN(SUBSTITUTE($T208,"Quality of Works / Criteria of Failings:","")))/LEN("Quality of Works / Criteria of Failings:"),0)-IFERROR((LEN($T208)-LEN(SUBSTITUTE($T208,"Quality of Works / Criteria of Failings:Compliant","")))/LEN("Quality of Works / Criteria of Failings:Compliant"),0))</f>
        <v/>
      </c>
      <c r="Z207" s="122">
        <f>IFERROR($Y208/MAX(1,(LEN($I208)-LEN(SUBSTITUTE($I208," Ltd","")))/LEN(" Ltd")),0)</f>
        <v/>
      </c>
      <c r="AA207" s="122">
        <f>IFERROR(IFERROR((LEN($T208)-LEN(SUBSTITUTE($T208,"Quality of Works / Criteria of Failings:","")))/LEN("Quality of Works / Criteria of Failings:"),0)/MAX(1,(LEN($I208)-LEN(SUBSTITUTE($I208," Ltd","")))/LEN(" Ltd")),0)</f>
        <v/>
      </c>
      <c r="AB207" s="122">
        <f>IFERROR(IFERROR((LEN($T208)-LEN(SUBSTITUTE($T208,"Quality of Works / Criteria of Failings:Compliant","")))/LEN("Quality of Works / Criteria of Failings:Compliant"),0)/MAX(1,(LEN($I208)-LEN(SUBSTITUTE($I208," Ltd","")))/LEN(" Ltd")),0)</f>
        <v/>
      </c>
    </row>
    <row r="208" ht="15.75" customHeight="1" s="146">
      <c r="Y208" s="122">
        <f>MAX(0,IFERROR((LEN($T209)-LEN(SUBSTITUTE($T209,"Quality of Works / Criteria of Failings:","")))/LEN("Quality of Works / Criteria of Failings:"),0)-IFERROR((LEN($T209)-LEN(SUBSTITUTE($T209,"Quality of Works / Criteria of Failings:Compliant","")))/LEN("Quality of Works / Criteria of Failings:Compliant"),0))</f>
        <v/>
      </c>
      <c r="Z208" s="122">
        <f>IFERROR($Y209/MAX(1,(LEN($I209)-LEN(SUBSTITUTE($I209," Ltd","")))/LEN(" Ltd")),0)</f>
        <v/>
      </c>
      <c r="AA208" s="122">
        <f>IFERROR(IFERROR((LEN($T209)-LEN(SUBSTITUTE($T209,"Quality of Works / Criteria of Failings:","")))/LEN("Quality of Works / Criteria of Failings:"),0)/MAX(1,(LEN($I209)-LEN(SUBSTITUTE($I209," Ltd","")))/LEN(" Ltd")),0)</f>
        <v/>
      </c>
      <c r="AB208" s="122">
        <f>IFERROR(IFERROR((LEN($T209)-LEN(SUBSTITUTE($T209,"Quality of Works / Criteria of Failings:Compliant","")))/LEN("Quality of Works / Criteria of Failings:Compliant"),0)/MAX(1,(LEN($I209)-LEN(SUBSTITUTE($I209," Ltd","")))/LEN(" Ltd")),0)</f>
        <v/>
      </c>
    </row>
    <row r="209" ht="15.75" customHeight="1" s="146">
      <c r="Y209" s="122">
        <f>MAX(0,IFERROR((LEN($T210)-LEN(SUBSTITUTE($T210,"Quality of Works / Criteria of Failings:","")))/LEN("Quality of Works / Criteria of Failings:"),0)-IFERROR((LEN($T210)-LEN(SUBSTITUTE($T210,"Quality of Works / Criteria of Failings:Compliant","")))/LEN("Quality of Works / Criteria of Failings:Compliant"),0))</f>
        <v/>
      </c>
      <c r="Z209" s="122">
        <f>IFERROR($Y210/MAX(1,(LEN($I210)-LEN(SUBSTITUTE($I210," Ltd","")))/LEN(" Ltd")),0)</f>
        <v/>
      </c>
      <c r="AA209" s="122">
        <f>IFERROR(IFERROR((LEN($T210)-LEN(SUBSTITUTE($T210,"Quality of Works / Criteria of Failings:","")))/LEN("Quality of Works / Criteria of Failings:"),0)/MAX(1,(LEN($I210)-LEN(SUBSTITUTE($I210," Ltd","")))/LEN(" Ltd")),0)</f>
        <v/>
      </c>
      <c r="AB209" s="122">
        <f>IFERROR(IFERROR((LEN($T210)-LEN(SUBSTITUTE($T210,"Quality of Works / Criteria of Failings:Compliant","")))/LEN("Quality of Works / Criteria of Failings:Compliant"),0)/MAX(1,(LEN($I210)-LEN(SUBSTITUTE($I210," Ltd","")))/LEN(" Ltd")),0)</f>
        <v/>
      </c>
    </row>
    <row r="210" ht="15.75" customHeight="1" s="146">
      <c r="Y210" s="122">
        <f>MAX(0,IFERROR((LEN($T211)-LEN(SUBSTITUTE($T211,"Quality of Works / Criteria of Failings:","")))/LEN("Quality of Works / Criteria of Failings:"),0)-IFERROR((LEN($T211)-LEN(SUBSTITUTE($T211,"Quality of Works / Criteria of Failings:Compliant","")))/LEN("Quality of Works / Criteria of Failings:Compliant"),0))</f>
        <v/>
      </c>
      <c r="Z210" s="122">
        <f>IFERROR($Y211/MAX(1,(LEN($I211)-LEN(SUBSTITUTE($I211," Ltd","")))/LEN(" Ltd")),0)</f>
        <v/>
      </c>
      <c r="AA210" s="122">
        <f>IFERROR(IFERROR((LEN($T211)-LEN(SUBSTITUTE($T211,"Quality of Works / Criteria of Failings:","")))/LEN("Quality of Works / Criteria of Failings:"),0)/MAX(1,(LEN($I211)-LEN(SUBSTITUTE($I211," Ltd","")))/LEN(" Ltd")),0)</f>
        <v/>
      </c>
      <c r="AB210" s="122">
        <f>IFERROR(IFERROR((LEN($T211)-LEN(SUBSTITUTE($T211,"Quality of Works / Criteria of Failings:Compliant","")))/LEN("Quality of Works / Criteria of Failings:Compliant"),0)/MAX(1,(LEN($I211)-LEN(SUBSTITUTE($I211," Ltd","")))/LEN(" Ltd")),0)</f>
        <v/>
      </c>
    </row>
    <row r="211" ht="15.75" customHeight="1" s="146">
      <c r="Y211" s="122">
        <f>MAX(0,IFERROR((LEN($T212)-LEN(SUBSTITUTE($T212,"Quality of Works / Criteria of Failings:","")))/LEN("Quality of Works / Criteria of Failings:"),0)-IFERROR((LEN($T212)-LEN(SUBSTITUTE($T212,"Quality of Works / Criteria of Failings:Compliant","")))/LEN("Quality of Works / Criteria of Failings:Compliant"),0))</f>
        <v/>
      </c>
      <c r="Z211" s="122">
        <f>IFERROR($Y212/MAX(1,(LEN($I212)-LEN(SUBSTITUTE($I212," Ltd","")))/LEN(" Ltd")),0)</f>
        <v/>
      </c>
      <c r="AA211" s="122">
        <f>IFERROR(IFERROR((LEN($T212)-LEN(SUBSTITUTE($T212,"Quality of Works / Criteria of Failings:","")))/LEN("Quality of Works / Criteria of Failings:"),0)/MAX(1,(LEN($I212)-LEN(SUBSTITUTE($I212," Ltd","")))/LEN(" Ltd")),0)</f>
        <v/>
      </c>
      <c r="AB211" s="122">
        <f>IFERROR(IFERROR((LEN($T212)-LEN(SUBSTITUTE($T212,"Quality of Works / Criteria of Failings:Compliant","")))/LEN("Quality of Works / Criteria of Failings:Compliant"),0)/MAX(1,(LEN($I212)-LEN(SUBSTITUTE($I212," Ltd","")))/LEN(" Ltd")),0)</f>
        <v/>
      </c>
    </row>
    <row r="212" ht="15.75" customHeight="1" s="146">
      <c r="Y212" s="122">
        <f>MAX(0,IFERROR((LEN($T213)-LEN(SUBSTITUTE($T213,"Quality of Works / Criteria of Failings:","")))/LEN("Quality of Works / Criteria of Failings:"),0)-IFERROR((LEN($T213)-LEN(SUBSTITUTE($T213,"Quality of Works / Criteria of Failings:Compliant","")))/LEN("Quality of Works / Criteria of Failings:Compliant"),0))</f>
        <v/>
      </c>
      <c r="Z212" s="122">
        <f>IFERROR($Y213/MAX(1,(LEN($I213)-LEN(SUBSTITUTE($I213," Ltd","")))/LEN(" Ltd")),0)</f>
        <v/>
      </c>
      <c r="AA212" s="122">
        <f>IFERROR(IFERROR((LEN($T213)-LEN(SUBSTITUTE($T213,"Quality of Works / Criteria of Failings:","")))/LEN("Quality of Works / Criteria of Failings:"),0)/MAX(1,(LEN($I213)-LEN(SUBSTITUTE($I213," Ltd","")))/LEN(" Ltd")),0)</f>
        <v/>
      </c>
      <c r="AB212" s="122">
        <f>IFERROR(IFERROR((LEN($T213)-LEN(SUBSTITUTE($T213,"Quality of Works / Criteria of Failings:Compliant","")))/LEN("Quality of Works / Criteria of Failings:Compliant"),0)/MAX(1,(LEN($I213)-LEN(SUBSTITUTE($I213," Ltd","")))/LEN(" Ltd")),0)</f>
        <v/>
      </c>
    </row>
    <row r="213" ht="15.75" customHeight="1" s="146">
      <c r="Y213" s="122">
        <f>MAX(0,IFERROR((LEN($T214)-LEN(SUBSTITUTE($T214,"Quality of Works / Criteria of Failings:","")))/LEN("Quality of Works / Criteria of Failings:"),0)-IFERROR((LEN($T214)-LEN(SUBSTITUTE($T214,"Quality of Works / Criteria of Failings:Compliant","")))/LEN("Quality of Works / Criteria of Failings:Compliant"),0))</f>
        <v/>
      </c>
      <c r="Z213" s="122">
        <f>IFERROR($Y214/MAX(1,(LEN($I214)-LEN(SUBSTITUTE($I214," Ltd","")))/LEN(" Ltd")),0)</f>
        <v/>
      </c>
      <c r="AA213" s="122">
        <f>IFERROR(IFERROR((LEN($T214)-LEN(SUBSTITUTE($T214,"Quality of Works / Criteria of Failings:","")))/LEN("Quality of Works / Criteria of Failings:"),0)/MAX(1,(LEN($I214)-LEN(SUBSTITUTE($I214," Ltd","")))/LEN(" Ltd")),0)</f>
        <v/>
      </c>
      <c r="AB213" s="122">
        <f>IFERROR(IFERROR((LEN($T214)-LEN(SUBSTITUTE($T214,"Quality of Works / Criteria of Failings:Compliant","")))/LEN("Quality of Works / Criteria of Failings:Compliant"),0)/MAX(1,(LEN($I214)-LEN(SUBSTITUTE($I214," Ltd","")))/LEN(" Ltd")),0)</f>
        <v/>
      </c>
    </row>
    <row r="214" ht="15.75" customHeight="1" s="146">
      <c r="Y214" s="122">
        <f>MAX(0,IFERROR((LEN($T215)-LEN(SUBSTITUTE($T215,"Quality of Works / Criteria of Failings:","")))/LEN("Quality of Works / Criteria of Failings:"),0)-IFERROR((LEN($T215)-LEN(SUBSTITUTE($T215,"Quality of Works / Criteria of Failings:Compliant","")))/LEN("Quality of Works / Criteria of Failings:Compliant"),0))</f>
        <v/>
      </c>
      <c r="Z214" s="122">
        <f>IFERROR($Y215/MAX(1,(LEN($I215)-LEN(SUBSTITUTE($I215," Ltd","")))/LEN(" Ltd")),0)</f>
        <v/>
      </c>
      <c r="AA214" s="122">
        <f>IFERROR(IFERROR((LEN($T215)-LEN(SUBSTITUTE($T215,"Quality of Works / Criteria of Failings:","")))/LEN("Quality of Works / Criteria of Failings:"),0)/MAX(1,(LEN($I215)-LEN(SUBSTITUTE($I215," Ltd","")))/LEN(" Ltd")),0)</f>
        <v/>
      </c>
      <c r="AB214" s="122">
        <f>IFERROR(IFERROR((LEN($T215)-LEN(SUBSTITUTE($T215,"Quality of Works / Criteria of Failings:Compliant","")))/LEN("Quality of Works / Criteria of Failings:Compliant"),0)/MAX(1,(LEN($I215)-LEN(SUBSTITUTE($I215," Ltd","")))/LEN(" Ltd")),0)</f>
        <v/>
      </c>
    </row>
    <row r="215" ht="15.75" customHeight="1" s="146">
      <c r="Y215" s="122">
        <f>MAX(0,IFERROR((LEN($T216)-LEN(SUBSTITUTE($T216,"Quality of Works / Criteria of Failings:","")))/LEN("Quality of Works / Criteria of Failings:"),0)-IFERROR((LEN($T216)-LEN(SUBSTITUTE($T216,"Quality of Works / Criteria of Failings:Compliant","")))/LEN("Quality of Works / Criteria of Failings:Compliant"),0))</f>
        <v/>
      </c>
      <c r="Z215" s="122">
        <f>IFERROR($Y216/MAX(1,(LEN($I216)-LEN(SUBSTITUTE($I216," Ltd","")))/LEN(" Ltd")),0)</f>
        <v/>
      </c>
      <c r="AA215" s="122">
        <f>IFERROR(IFERROR((LEN($T216)-LEN(SUBSTITUTE($T216,"Quality of Works / Criteria of Failings:","")))/LEN("Quality of Works / Criteria of Failings:"),0)/MAX(1,(LEN($I216)-LEN(SUBSTITUTE($I216," Ltd","")))/LEN(" Ltd")),0)</f>
        <v/>
      </c>
      <c r="AB215" s="122">
        <f>IFERROR(IFERROR((LEN($T216)-LEN(SUBSTITUTE($T216,"Quality of Works / Criteria of Failings:Compliant","")))/LEN("Quality of Works / Criteria of Failings:Compliant"),0)/MAX(1,(LEN($I216)-LEN(SUBSTITUTE($I216," Ltd","")))/LEN(" Ltd")),0)</f>
        <v/>
      </c>
    </row>
    <row r="216" ht="15.75" customHeight="1" s="146">
      <c r="Y216" s="122">
        <f>MAX(0,IFERROR((LEN($T217)-LEN(SUBSTITUTE($T217,"Quality of Works / Criteria of Failings:","")))/LEN("Quality of Works / Criteria of Failings:"),0)-IFERROR((LEN($T217)-LEN(SUBSTITUTE($T217,"Quality of Works / Criteria of Failings:Compliant","")))/LEN("Quality of Works / Criteria of Failings:Compliant"),0))</f>
        <v/>
      </c>
      <c r="Z216" s="122">
        <f>IFERROR($Y217/MAX(1,(LEN($I217)-LEN(SUBSTITUTE($I217," Ltd","")))/LEN(" Ltd")),0)</f>
        <v/>
      </c>
      <c r="AA216" s="122">
        <f>IFERROR(IFERROR((LEN($T217)-LEN(SUBSTITUTE($T217,"Quality of Works / Criteria of Failings:","")))/LEN("Quality of Works / Criteria of Failings:"),0)/MAX(1,(LEN($I217)-LEN(SUBSTITUTE($I217," Ltd","")))/LEN(" Ltd")),0)</f>
        <v/>
      </c>
      <c r="AB216" s="122">
        <f>IFERROR(IFERROR((LEN($T217)-LEN(SUBSTITUTE($T217,"Quality of Works / Criteria of Failings:Compliant","")))/LEN("Quality of Works / Criteria of Failings:Compliant"),0)/MAX(1,(LEN($I217)-LEN(SUBSTITUTE($I217," Ltd","")))/LEN(" Ltd")),0)</f>
        <v/>
      </c>
    </row>
    <row r="217" ht="15.75" customHeight="1" s="146">
      <c r="Y217" s="122">
        <f>MAX(0,IFERROR((LEN($T218)-LEN(SUBSTITUTE($T218,"Quality of Works / Criteria of Failings:","")))/LEN("Quality of Works / Criteria of Failings:"),0)-IFERROR((LEN($T218)-LEN(SUBSTITUTE($T218,"Quality of Works / Criteria of Failings:Compliant","")))/LEN("Quality of Works / Criteria of Failings:Compliant"),0))</f>
        <v/>
      </c>
      <c r="Z217" s="122">
        <f>IFERROR($Y218/MAX(1,(LEN($I218)-LEN(SUBSTITUTE($I218," Ltd","")))/LEN(" Ltd")),0)</f>
        <v/>
      </c>
      <c r="AA217" s="122">
        <f>IFERROR(IFERROR((LEN($T218)-LEN(SUBSTITUTE($T218,"Quality of Works / Criteria of Failings:","")))/LEN("Quality of Works / Criteria of Failings:"),0)/MAX(1,(LEN($I218)-LEN(SUBSTITUTE($I218," Ltd","")))/LEN(" Ltd")),0)</f>
        <v/>
      </c>
      <c r="AB217" s="122">
        <f>IFERROR(IFERROR((LEN($T218)-LEN(SUBSTITUTE($T218,"Quality of Works / Criteria of Failings:Compliant","")))/LEN("Quality of Works / Criteria of Failings:Compliant"),0)/MAX(1,(LEN($I218)-LEN(SUBSTITUTE($I218," Ltd","")))/LEN(" Ltd")),0)</f>
        <v/>
      </c>
    </row>
    <row r="218" ht="15.75" customHeight="1" s="146">
      <c r="Y218" s="122">
        <f>MAX(0,IFERROR((LEN($T219)-LEN(SUBSTITUTE($T219,"Quality of Works / Criteria of Failings:","")))/LEN("Quality of Works / Criteria of Failings:"),0)-IFERROR((LEN($T219)-LEN(SUBSTITUTE($T219,"Quality of Works / Criteria of Failings:Compliant","")))/LEN("Quality of Works / Criteria of Failings:Compliant"),0))</f>
        <v/>
      </c>
      <c r="Z218" s="122">
        <f>IFERROR($Y219/MAX(1,(LEN($I219)-LEN(SUBSTITUTE($I219," Ltd","")))/LEN(" Ltd")),0)</f>
        <v/>
      </c>
      <c r="AA218" s="122">
        <f>IFERROR(IFERROR((LEN($T219)-LEN(SUBSTITUTE($T219,"Quality of Works / Criteria of Failings:","")))/LEN("Quality of Works / Criteria of Failings:"),0)/MAX(1,(LEN($I219)-LEN(SUBSTITUTE($I219," Ltd","")))/LEN(" Ltd")),0)</f>
        <v/>
      </c>
      <c r="AB218" s="122">
        <f>IFERROR(IFERROR((LEN($T219)-LEN(SUBSTITUTE($T219,"Quality of Works / Criteria of Failings:Compliant","")))/LEN("Quality of Works / Criteria of Failings:Compliant"),0)/MAX(1,(LEN($I219)-LEN(SUBSTITUTE($I219," Ltd","")))/LEN(" Ltd")),0)</f>
        <v/>
      </c>
    </row>
    <row r="219" ht="15.75" customHeight="1" s="146">
      <c r="Y219" s="122">
        <f>MAX(0,IFERROR((LEN($T220)-LEN(SUBSTITUTE($T220,"Quality of Works / Criteria of Failings:","")))/LEN("Quality of Works / Criteria of Failings:"),0)-IFERROR((LEN($T220)-LEN(SUBSTITUTE($T220,"Quality of Works / Criteria of Failings:Compliant","")))/LEN("Quality of Works / Criteria of Failings:Compliant"),0))</f>
        <v/>
      </c>
      <c r="Z219" s="122">
        <f>IFERROR($Y220/MAX(1,(LEN($I220)-LEN(SUBSTITUTE($I220," Ltd","")))/LEN(" Ltd")),0)</f>
        <v/>
      </c>
      <c r="AA219" s="122">
        <f>IFERROR(IFERROR((LEN($T220)-LEN(SUBSTITUTE($T220,"Quality of Works / Criteria of Failings:","")))/LEN("Quality of Works / Criteria of Failings:"),0)/MAX(1,(LEN($I220)-LEN(SUBSTITUTE($I220," Ltd","")))/LEN(" Ltd")),0)</f>
        <v/>
      </c>
      <c r="AB219" s="122">
        <f>IFERROR(IFERROR((LEN($T220)-LEN(SUBSTITUTE($T220,"Quality of Works / Criteria of Failings:Compliant","")))/LEN("Quality of Works / Criteria of Failings:Compliant"),0)/MAX(1,(LEN($I220)-LEN(SUBSTITUTE($I220," Ltd","")))/LEN(" Ltd")),0)</f>
        <v/>
      </c>
    </row>
    <row r="220" ht="15.75" customHeight="1" s="146">
      <c r="Y220" s="122">
        <f>MAX(0,IFERROR((LEN($T221)-LEN(SUBSTITUTE($T221,"Quality of Works / Criteria of Failings:","")))/LEN("Quality of Works / Criteria of Failings:"),0)-IFERROR((LEN($T221)-LEN(SUBSTITUTE($T221,"Quality of Works / Criteria of Failings:Compliant","")))/LEN("Quality of Works / Criteria of Failings:Compliant"),0))</f>
        <v/>
      </c>
      <c r="Z220" s="122">
        <f>IFERROR($Y221/MAX(1,(LEN($I221)-LEN(SUBSTITUTE($I221," Ltd","")))/LEN(" Ltd")),0)</f>
        <v/>
      </c>
      <c r="AA220" s="122">
        <f>IFERROR(IFERROR((LEN($T221)-LEN(SUBSTITUTE($T221,"Quality of Works / Criteria of Failings:","")))/LEN("Quality of Works / Criteria of Failings:"),0)/MAX(1,(LEN($I221)-LEN(SUBSTITUTE($I221," Ltd","")))/LEN(" Ltd")),0)</f>
        <v/>
      </c>
      <c r="AB220" s="122">
        <f>IFERROR(IFERROR((LEN($T221)-LEN(SUBSTITUTE($T221,"Quality of Works / Criteria of Failings:Compliant","")))/LEN("Quality of Works / Criteria of Failings:Compliant"),0)/MAX(1,(LEN($I221)-LEN(SUBSTITUTE($I221," Ltd","")))/LEN(" Ltd")),0)</f>
        <v/>
      </c>
    </row>
    <row r="221" ht="15.75" customHeight="1" s="146">
      <c r="Y221" s="122">
        <f>MAX(0,IFERROR((LEN($T222)-LEN(SUBSTITUTE($T222,"Quality of Works / Criteria of Failings:","")))/LEN("Quality of Works / Criteria of Failings:"),0)-IFERROR((LEN($T222)-LEN(SUBSTITUTE($T222,"Quality of Works / Criteria of Failings:Compliant","")))/LEN("Quality of Works / Criteria of Failings:Compliant"),0))</f>
        <v/>
      </c>
      <c r="Z221" s="122">
        <f>IFERROR($Y222/MAX(1,(LEN($I222)-LEN(SUBSTITUTE($I222," Ltd","")))/LEN(" Ltd")),0)</f>
        <v/>
      </c>
      <c r="AA221" s="122">
        <f>IFERROR(IFERROR((LEN($T222)-LEN(SUBSTITUTE($T222,"Quality of Works / Criteria of Failings:","")))/LEN("Quality of Works / Criteria of Failings:"),0)/MAX(1,(LEN($I222)-LEN(SUBSTITUTE($I222," Ltd","")))/LEN(" Ltd")),0)</f>
        <v/>
      </c>
      <c r="AB221" s="122">
        <f>IFERROR(IFERROR((LEN($T222)-LEN(SUBSTITUTE($T222,"Quality of Works / Criteria of Failings:Compliant","")))/LEN("Quality of Works / Criteria of Failings:Compliant"),0)/MAX(1,(LEN($I222)-LEN(SUBSTITUTE($I222," Ltd","")))/LEN(" Ltd")),0)</f>
        <v/>
      </c>
    </row>
    <row r="222" ht="15.75" customHeight="1" s="146">
      <c r="Y222" s="122">
        <f>MAX(0,IFERROR((LEN($T223)-LEN(SUBSTITUTE($T223,"Quality of Works / Criteria of Failings:","")))/LEN("Quality of Works / Criteria of Failings:"),0)-IFERROR((LEN($T223)-LEN(SUBSTITUTE($T223,"Quality of Works / Criteria of Failings:Compliant","")))/LEN("Quality of Works / Criteria of Failings:Compliant"),0))</f>
        <v/>
      </c>
      <c r="Z222" s="122">
        <f>IFERROR($Y223/MAX(1,(LEN($I223)-LEN(SUBSTITUTE($I223," Ltd","")))/LEN(" Ltd")),0)</f>
        <v/>
      </c>
      <c r="AA222" s="122">
        <f>IFERROR(IFERROR((LEN($T223)-LEN(SUBSTITUTE($T223,"Quality of Works / Criteria of Failings:","")))/LEN("Quality of Works / Criteria of Failings:"),0)/MAX(1,(LEN($I223)-LEN(SUBSTITUTE($I223," Ltd","")))/LEN(" Ltd")),0)</f>
        <v/>
      </c>
      <c r="AB222" s="122">
        <f>IFERROR(IFERROR((LEN($T223)-LEN(SUBSTITUTE($T223,"Quality of Works / Criteria of Failings:Compliant","")))/LEN("Quality of Works / Criteria of Failings:Compliant"),0)/MAX(1,(LEN($I223)-LEN(SUBSTITUTE($I223," Ltd","")))/LEN(" Ltd")),0)</f>
        <v/>
      </c>
    </row>
    <row r="223" ht="15.75" customHeight="1" s="146">
      <c r="Y223" s="122">
        <f>MAX(0,IFERROR((LEN($T224)-LEN(SUBSTITUTE($T224,"Quality of Works / Criteria of Failings:","")))/LEN("Quality of Works / Criteria of Failings:"),0)-IFERROR((LEN($T224)-LEN(SUBSTITUTE($T224,"Quality of Works / Criteria of Failings:Compliant","")))/LEN("Quality of Works / Criteria of Failings:Compliant"),0))</f>
        <v/>
      </c>
      <c r="Z223" s="122">
        <f>IFERROR($Y224/MAX(1,(LEN($I224)-LEN(SUBSTITUTE($I224," Ltd","")))/LEN(" Ltd")),0)</f>
        <v/>
      </c>
      <c r="AA223" s="122">
        <f>IFERROR(IFERROR((LEN($T224)-LEN(SUBSTITUTE($T224,"Quality of Works / Criteria of Failings:","")))/LEN("Quality of Works / Criteria of Failings:"),0)/MAX(1,(LEN($I224)-LEN(SUBSTITUTE($I224," Ltd","")))/LEN(" Ltd")),0)</f>
        <v/>
      </c>
      <c r="AB223" s="122">
        <f>IFERROR(IFERROR((LEN($T224)-LEN(SUBSTITUTE($T224,"Quality of Works / Criteria of Failings:Compliant","")))/LEN("Quality of Works / Criteria of Failings:Compliant"),0)/MAX(1,(LEN($I224)-LEN(SUBSTITUTE($I224," Ltd","")))/LEN(" Ltd")),0)</f>
        <v/>
      </c>
    </row>
    <row r="224" ht="15.75" customHeight="1" s="146">
      <c r="Y224" s="122">
        <f>MAX(0,IFERROR((LEN($T225)-LEN(SUBSTITUTE($T225,"Quality of Works / Criteria of Failings:","")))/LEN("Quality of Works / Criteria of Failings:"),0)-IFERROR((LEN($T225)-LEN(SUBSTITUTE($T225,"Quality of Works / Criteria of Failings:Compliant","")))/LEN("Quality of Works / Criteria of Failings:Compliant"),0))</f>
        <v/>
      </c>
      <c r="Z224" s="122">
        <f>IFERROR($Y225/MAX(1,(LEN($I225)-LEN(SUBSTITUTE($I225," Ltd","")))/LEN(" Ltd")),0)</f>
        <v/>
      </c>
      <c r="AA224" s="122">
        <f>IFERROR(IFERROR((LEN($T225)-LEN(SUBSTITUTE($T225,"Quality of Works / Criteria of Failings:","")))/LEN("Quality of Works / Criteria of Failings:"),0)/MAX(1,(LEN($I225)-LEN(SUBSTITUTE($I225," Ltd","")))/LEN(" Ltd")),0)</f>
        <v/>
      </c>
      <c r="AB224" s="122">
        <f>IFERROR(IFERROR((LEN($T225)-LEN(SUBSTITUTE($T225,"Quality of Works / Criteria of Failings:Compliant","")))/LEN("Quality of Works / Criteria of Failings:Compliant"),0)/MAX(1,(LEN($I225)-LEN(SUBSTITUTE($I225," Ltd","")))/LEN(" Ltd")),0)</f>
        <v/>
      </c>
    </row>
    <row r="225" ht="15.75" customHeight="1" s="146">
      <c r="Y225" s="122">
        <f>MAX(0,IFERROR((LEN($T226)-LEN(SUBSTITUTE($T226,"Quality of Works / Criteria of Failings:","")))/LEN("Quality of Works / Criteria of Failings:"),0)-IFERROR((LEN($T226)-LEN(SUBSTITUTE($T226,"Quality of Works / Criteria of Failings:Compliant","")))/LEN("Quality of Works / Criteria of Failings:Compliant"),0))</f>
        <v/>
      </c>
      <c r="Z225" s="122">
        <f>IFERROR($Y226/MAX(1,(LEN($I226)-LEN(SUBSTITUTE($I226," Ltd","")))/LEN(" Ltd")),0)</f>
        <v/>
      </c>
      <c r="AA225" s="122">
        <f>IFERROR(IFERROR((LEN($T226)-LEN(SUBSTITUTE($T226,"Quality of Works / Criteria of Failings:","")))/LEN("Quality of Works / Criteria of Failings:"),0)/MAX(1,(LEN($I226)-LEN(SUBSTITUTE($I226," Ltd","")))/LEN(" Ltd")),0)</f>
        <v/>
      </c>
      <c r="AB225" s="122">
        <f>IFERROR(IFERROR((LEN($T226)-LEN(SUBSTITUTE($T226,"Quality of Works / Criteria of Failings:Compliant","")))/LEN("Quality of Works / Criteria of Failings:Compliant"),0)/MAX(1,(LEN($I226)-LEN(SUBSTITUTE($I226," Ltd","")))/LEN(" Ltd")),0)</f>
        <v/>
      </c>
    </row>
    <row r="226" ht="15.75" customHeight="1" s="146">
      <c r="Y226" s="122">
        <f>MAX(0,IFERROR((LEN($T227)-LEN(SUBSTITUTE($T227,"Quality of Works / Criteria of Failings:","")))/LEN("Quality of Works / Criteria of Failings:"),0)-IFERROR((LEN($T227)-LEN(SUBSTITUTE($T227,"Quality of Works / Criteria of Failings:Compliant","")))/LEN("Quality of Works / Criteria of Failings:Compliant"),0))</f>
        <v/>
      </c>
      <c r="Z226" s="122">
        <f>IFERROR($Y227/MAX(1,(LEN($I227)-LEN(SUBSTITUTE($I227," Ltd","")))/LEN(" Ltd")),0)</f>
        <v/>
      </c>
      <c r="AA226" s="122">
        <f>IFERROR(IFERROR((LEN($T227)-LEN(SUBSTITUTE($T227,"Quality of Works / Criteria of Failings:","")))/LEN("Quality of Works / Criteria of Failings:"),0)/MAX(1,(LEN($I227)-LEN(SUBSTITUTE($I227," Ltd","")))/LEN(" Ltd")),0)</f>
        <v/>
      </c>
      <c r="AB226" s="122">
        <f>IFERROR(IFERROR((LEN($T227)-LEN(SUBSTITUTE($T227,"Quality of Works / Criteria of Failings:Compliant","")))/LEN("Quality of Works / Criteria of Failings:Compliant"),0)/MAX(1,(LEN($I227)-LEN(SUBSTITUTE($I227," Ltd","")))/LEN(" Ltd")),0)</f>
        <v/>
      </c>
    </row>
    <row r="227" ht="15.75" customHeight="1" s="146">
      <c r="Y227" s="122">
        <f>MAX(0,IFERROR((LEN($T228)-LEN(SUBSTITUTE($T228,"Quality of Works / Criteria of Failings:","")))/LEN("Quality of Works / Criteria of Failings:"),0)-IFERROR((LEN($T228)-LEN(SUBSTITUTE($T228,"Quality of Works / Criteria of Failings:Compliant","")))/LEN("Quality of Works / Criteria of Failings:Compliant"),0))</f>
        <v/>
      </c>
      <c r="Z227" s="122">
        <f>IFERROR($Y228/MAX(1,(LEN($I228)-LEN(SUBSTITUTE($I228," Ltd","")))/LEN(" Ltd")),0)</f>
        <v/>
      </c>
      <c r="AA227" s="122">
        <f>IFERROR(IFERROR((LEN($T228)-LEN(SUBSTITUTE($T228,"Quality of Works / Criteria of Failings:","")))/LEN("Quality of Works / Criteria of Failings:"),0)/MAX(1,(LEN($I228)-LEN(SUBSTITUTE($I228," Ltd","")))/LEN(" Ltd")),0)</f>
        <v/>
      </c>
      <c r="AB227" s="122">
        <f>IFERROR(IFERROR((LEN($T228)-LEN(SUBSTITUTE($T228,"Quality of Works / Criteria of Failings:Compliant","")))/LEN("Quality of Works / Criteria of Failings:Compliant"),0)/MAX(1,(LEN($I228)-LEN(SUBSTITUTE($I228," Ltd","")))/LEN(" Ltd")),0)</f>
        <v/>
      </c>
    </row>
    <row r="228" ht="15.75" customHeight="1" s="146">
      <c r="Y228" s="122">
        <f>MAX(0,IFERROR((LEN($T229)-LEN(SUBSTITUTE($T229,"Quality of Works / Criteria of Failings:","")))/LEN("Quality of Works / Criteria of Failings:"),0)-IFERROR((LEN($T229)-LEN(SUBSTITUTE($T229,"Quality of Works / Criteria of Failings:Compliant","")))/LEN("Quality of Works / Criteria of Failings:Compliant"),0))</f>
        <v/>
      </c>
      <c r="Z228" s="122">
        <f>IFERROR($Y229/MAX(1,(LEN($I229)-LEN(SUBSTITUTE($I229," Ltd","")))/LEN(" Ltd")),0)</f>
        <v/>
      </c>
      <c r="AA228" s="122">
        <f>IFERROR(IFERROR((LEN($T229)-LEN(SUBSTITUTE($T229,"Quality of Works / Criteria of Failings:","")))/LEN("Quality of Works / Criteria of Failings:"),0)/MAX(1,(LEN($I229)-LEN(SUBSTITUTE($I229," Ltd","")))/LEN(" Ltd")),0)</f>
        <v/>
      </c>
      <c r="AB228" s="122">
        <f>IFERROR(IFERROR((LEN($T229)-LEN(SUBSTITUTE($T229,"Quality of Works / Criteria of Failings:Compliant","")))/LEN("Quality of Works / Criteria of Failings:Compliant"),0)/MAX(1,(LEN($I229)-LEN(SUBSTITUTE($I229," Ltd","")))/LEN(" Ltd")),0)</f>
        <v/>
      </c>
    </row>
    <row r="229" ht="15.75" customHeight="1" s="146">
      <c r="Y229" s="122">
        <f>MAX(0,IFERROR((LEN($T230)-LEN(SUBSTITUTE($T230,"Quality of Works / Criteria of Failings:","")))/LEN("Quality of Works / Criteria of Failings:"),0)-IFERROR((LEN($T230)-LEN(SUBSTITUTE($T230,"Quality of Works / Criteria of Failings:Compliant","")))/LEN("Quality of Works / Criteria of Failings:Compliant"),0))</f>
        <v/>
      </c>
      <c r="Z229" s="122">
        <f>IFERROR($Y230/MAX(1,(LEN($I230)-LEN(SUBSTITUTE($I230," Ltd","")))/LEN(" Ltd")),0)</f>
        <v/>
      </c>
      <c r="AA229" s="122">
        <f>IFERROR(IFERROR((LEN($T230)-LEN(SUBSTITUTE($T230,"Quality of Works / Criteria of Failings:","")))/LEN("Quality of Works / Criteria of Failings:"),0)/MAX(1,(LEN($I230)-LEN(SUBSTITUTE($I230," Ltd","")))/LEN(" Ltd")),0)</f>
        <v/>
      </c>
      <c r="AB229" s="122">
        <f>IFERROR(IFERROR((LEN($T230)-LEN(SUBSTITUTE($T230,"Quality of Works / Criteria of Failings:Compliant","")))/LEN("Quality of Works / Criteria of Failings:Compliant"),0)/MAX(1,(LEN($I230)-LEN(SUBSTITUTE($I230," Ltd","")))/LEN(" Ltd")),0)</f>
        <v/>
      </c>
    </row>
    <row r="230" ht="15.75" customHeight="1" s="146">
      <c r="Y230" s="122">
        <f>MAX(0,IFERROR((LEN($T231)-LEN(SUBSTITUTE($T231,"Quality of Works / Criteria of Failings:","")))/LEN("Quality of Works / Criteria of Failings:"),0)-IFERROR((LEN($T231)-LEN(SUBSTITUTE($T231,"Quality of Works / Criteria of Failings:Compliant","")))/LEN("Quality of Works / Criteria of Failings:Compliant"),0))</f>
        <v/>
      </c>
      <c r="Z230" s="122">
        <f>IFERROR($Y231/MAX(1,(LEN($I231)-LEN(SUBSTITUTE($I231," Ltd","")))/LEN(" Ltd")),0)</f>
        <v/>
      </c>
      <c r="AA230" s="122">
        <f>IFERROR(IFERROR((LEN($T231)-LEN(SUBSTITUTE($T231,"Quality of Works / Criteria of Failings:","")))/LEN("Quality of Works / Criteria of Failings:"),0)/MAX(1,(LEN($I231)-LEN(SUBSTITUTE($I231," Ltd","")))/LEN(" Ltd")),0)</f>
        <v/>
      </c>
      <c r="AB230" s="122">
        <f>IFERROR(IFERROR((LEN($T231)-LEN(SUBSTITUTE($T231,"Quality of Works / Criteria of Failings:Compliant","")))/LEN("Quality of Works / Criteria of Failings:Compliant"),0)/MAX(1,(LEN($I231)-LEN(SUBSTITUTE($I231," Ltd","")))/LEN(" Ltd")),0)</f>
        <v/>
      </c>
    </row>
    <row r="231" ht="15.75" customHeight="1" s="146">
      <c r="Y231" s="122">
        <f>MAX(0,IFERROR((LEN($T232)-LEN(SUBSTITUTE($T232,"Quality of Works / Criteria of Failings:","")))/LEN("Quality of Works / Criteria of Failings:"),0)-IFERROR((LEN($T232)-LEN(SUBSTITUTE($T232,"Quality of Works / Criteria of Failings:Compliant","")))/LEN("Quality of Works / Criteria of Failings:Compliant"),0))</f>
        <v/>
      </c>
      <c r="Z231" s="122">
        <f>IFERROR($Y232/MAX(1,(LEN($I232)-LEN(SUBSTITUTE($I232," Ltd","")))/LEN(" Ltd")),0)</f>
        <v/>
      </c>
      <c r="AA231" s="122">
        <f>IFERROR(IFERROR((LEN($T232)-LEN(SUBSTITUTE($T232,"Quality of Works / Criteria of Failings:","")))/LEN("Quality of Works / Criteria of Failings:"),0)/MAX(1,(LEN($I232)-LEN(SUBSTITUTE($I232," Ltd","")))/LEN(" Ltd")),0)</f>
        <v/>
      </c>
      <c r="AB231" s="122">
        <f>IFERROR(IFERROR((LEN($T232)-LEN(SUBSTITUTE($T232,"Quality of Works / Criteria of Failings:Compliant","")))/LEN("Quality of Works / Criteria of Failings:Compliant"),0)/MAX(1,(LEN($I232)-LEN(SUBSTITUTE($I232," Ltd","")))/LEN(" Ltd")),0)</f>
        <v/>
      </c>
    </row>
    <row r="232" ht="15.75" customHeight="1" s="146">
      <c r="Y232" s="122">
        <f>MAX(0,IFERROR((LEN($T233)-LEN(SUBSTITUTE($T233,"Quality of Works / Criteria of Failings:","")))/LEN("Quality of Works / Criteria of Failings:"),0)-IFERROR((LEN($T233)-LEN(SUBSTITUTE($T233,"Quality of Works / Criteria of Failings:Compliant","")))/LEN("Quality of Works / Criteria of Failings:Compliant"),0))</f>
        <v/>
      </c>
      <c r="Z232" s="122">
        <f>IFERROR($Y233/MAX(1,(LEN($I233)-LEN(SUBSTITUTE($I233," Ltd","")))/LEN(" Ltd")),0)</f>
        <v/>
      </c>
      <c r="AA232" s="122">
        <f>IFERROR(IFERROR((LEN($T233)-LEN(SUBSTITUTE($T233,"Quality of Works / Criteria of Failings:","")))/LEN("Quality of Works / Criteria of Failings:"),0)/MAX(1,(LEN($I233)-LEN(SUBSTITUTE($I233," Ltd","")))/LEN(" Ltd")),0)</f>
        <v/>
      </c>
      <c r="AB232" s="122">
        <f>IFERROR(IFERROR((LEN($T233)-LEN(SUBSTITUTE($T233,"Quality of Works / Criteria of Failings:Compliant","")))/LEN("Quality of Works / Criteria of Failings:Compliant"),0)/MAX(1,(LEN($I233)-LEN(SUBSTITUTE($I233," Ltd","")))/LEN(" Ltd")),0)</f>
        <v/>
      </c>
    </row>
    <row r="233" ht="15.75" customHeight="1" s="146">
      <c r="Y233" s="122">
        <f>MAX(0,IFERROR((LEN($T234)-LEN(SUBSTITUTE($T234,"Quality of Works / Criteria of Failings:","")))/LEN("Quality of Works / Criteria of Failings:"),0)-IFERROR((LEN($T234)-LEN(SUBSTITUTE($T234,"Quality of Works / Criteria of Failings:Compliant","")))/LEN("Quality of Works / Criteria of Failings:Compliant"),0))</f>
        <v/>
      </c>
      <c r="Z233" s="122">
        <f>IFERROR($Y234/MAX(1,(LEN($I234)-LEN(SUBSTITUTE($I234," Ltd","")))/LEN(" Ltd")),0)</f>
        <v/>
      </c>
      <c r="AA233" s="122">
        <f>IFERROR(IFERROR((LEN($T234)-LEN(SUBSTITUTE($T234,"Quality of Works / Criteria of Failings:","")))/LEN("Quality of Works / Criteria of Failings:"),0)/MAX(1,(LEN($I234)-LEN(SUBSTITUTE($I234," Ltd","")))/LEN(" Ltd")),0)</f>
        <v/>
      </c>
      <c r="AB233" s="122">
        <f>IFERROR(IFERROR((LEN($T234)-LEN(SUBSTITUTE($T234,"Quality of Works / Criteria of Failings:Compliant","")))/LEN("Quality of Works / Criteria of Failings:Compliant"),0)/MAX(1,(LEN($I234)-LEN(SUBSTITUTE($I234," Ltd","")))/LEN(" Ltd")),0)</f>
        <v/>
      </c>
    </row>
    <row r="234" ht="15.75" customHeight="1" s="146">
      <c r="Y234" s="122">
        <f>MAX(0,IFERROR((LEN($T235)-LEN(SUBSTITUTE($T235,"Quality of Works / Criteria of Failings:","")))/LEN("Quality of Works / Criteria of Failings:"),0)-IFERROR((LEN($T235)-LEN(SUBSTITUTE($T235,"Quality of Works / Criteria of Failings:Compliant","")))/LEN("Quality of Works / Criteria of Failings:Compliant"),0))</f>
        <v/>
      </c>
      <c r="Z234" s="122">
        <f>IFERROR($Y235/MAX(1,(LEN($I235)-LEN(SUBSTITUTE($I235," Ltd","")))/LEN(" Ltd")),0)</f>
        <v/>
      </c>
      <c r="AA234" s="122">
        <f>IFERROR(IFERROR((LEN($T235)-LEN(SUBSTITUTE($T235,"Quality of Works / Criteria of Failings:","")))/LEN("Quality of Works / Criteria of Failings:"),0)/MAX(1,(LEN($I235)-LEN(SUBSTITUTE($I235," Ltd","")))/LEN(" Ltd")),0)</f>
        <v/>
      </c>
      <c r="AB234" s="122">
        <f>IFERROR(IFERROR((LEN($T235)-LEN(SUBSTITUTE($T235,"Quality of Works / Criteria of Failings:Compliant","")))/LEN("Quality of Works / Criteria of Failings:Compliant"),0)/MAX(1,(LEN($I235)-LEN(SUBSTITUTE($I235," Ltd","")))/LEN(" Ltd")),0)</f>
        <v/>
      </c>
    </row>
    <row r="235" ht="15.75" customHeight="1" s="146">
      <c r="Y235" s="122">
        <f>MAX(0,IFERROR((LEN($T236)-LEN(SUBSTITUTE($T236,"Quality of Works / Criteria of Failings:","")))/LEN("Quality of Works / Criteria of Failings:"),0)-IFERROR((LEN($T236)-LEN(SUBSTITUTE($T236,"Quality of Works / Criteria of Failings:Compliant","")))/LEN("Quality of Works / Criteria of Failings:Compliant"),0))</f>
        <v/>
      </c>
      <c r="Z235" s="122">
        <f>IFERROR($Y236/MAX(1,(LEN($I236)-LEN(SUBSTITUTE($I236," Ltd","")))/LEN(" Ltd")),0)</f>
        <v/>
      </c>
      <c r="AA235" s="122">
        <f>IFERROR(IFERROR((LEN($T236)-LEN(SUBSTITUTE($T236,"Quality of Works / Criteria of Failings:","")))/LEN("Quality of Works / Criteria of Failings:"),0)/MAX(1,(LEN($I236)-LEN(SUBSTITUTE($I236," Ltd","")))/LEN(" Ltd")),0)</f>
        <v/>
      </c>
      <c r="AB235" s="122">
        <f>IFERROR(IFERROR((LEN($T236)-LEN(SUBSTITUTE($T236,"Quality of Works / Criteria of Failings:Compliant","")))/LEN("Quality of Works / Criteria of Failings:Compliant"),0)/MAX(1,(LEN($I236)-LEN(SUBSTITUTE($I236," Ltd","")))/LEN(" Ltd")),0)</f>
        <v/>
      </c>
    </row>
    <row r="236" ht="15.75" customHeight="1" s="146">
      <c r="Y236" s="122">
        <f>MAX(0,IFERROR((LEN($T237)-LEN(SUBSTITUTE($T237,"Quality of Works / Criteria of Failings:","")))/LEN("Quality of Works / Criteria of Failings:"),0)-IFERROR((LEN($T237)-LEN(SUBSTITUTE($T237,"Quality of Works / Criteria of Failings:Compliant","")))/LEN("Quality of Works / Criteria of Failings:Compliant"),0))</f>
        <v/>
      </c>
      <c r="Z236" s="122">
        <f>IFERROR($Y237/MAX(1,(LEN($I237)-LEN(SUBSTITUTE($I237," Ltd","")))/LEN(" Ltd")),0)</f>
        <v/>
      </c>
      <c r="AA236" s="122">
        <f>IFERROR(IFERROR((LEN($T237)-LEN(SUBSTITUTE($T237,"Quality of Works / Criteria of Failings:","")))/LEN("Quality of Works / Criteria of Failings:"),0)/MAX(1,(LEN($I237)-LEN(SUBSTITUTE($I237," Ltd","")))/LEN(" Ltd")),0)</f>
        <v/>
      </c>
      <c r="AB236" s="122">
        <f>IFERROR(IFERROR((LEN($T237)-LEN(SUBSTITUTE($T237,"Quality of Works / Criteria of Failings:Compliant","")))/LEN("Quality of Works / Criteria of Failings:Compliant"),0)/MAX(1,(LEN($I237)-LEN(SUBSTITUTE($I237," Ltd","")))/LEN(" Ltd")),0)</f>
        <v/>
      </c>
    </row>
    <row r="237" ht="15.75" customHeight="1" s="146">
      <c r="Y237" s="122">
        <f>MAX(0,IFERROR((LEN($T238)-LEN(SUBSTITUTE($T238,"Quality of Works / Criteria of Failings:","")))/LEN("Quality of Works / Criteria of Failings:"),0)-IFERROR((LEN($T238)-LEN(SUBSTITUTE($T238,"Quality of Works / Criteria of Failings:Compliant","")))/LEN("Quality of Works / Criteria of Failings:Compliant"),0))</f>
        <v/>
      </c>
      <c r="Z237" s="122">
        <f>IFERROR($Y238/MAX(1,(LEN($I238)-LEN(SUBSTITUTE($I238," Ltd","")))/LEN(" Ltd")),0)</f>
        <v/>
      </c>
      <c r="AA237" s="122">
        <f>IFERROR(IFERROR((LEN($T238)-LEN(SUBSTITUTE($T238,"Quality of Works / Criteria of Failings:","")))/LEN("Quality of Works / Criteria of Failings:"),0)/MAX(1,(LEN($I238)-LEN(SUBSTITUTE($I238," Ltd","")))/LEN(" Ltd")),0)</f>
        <v/>
      </c>
      <c r="AB237" s="122">
        <f>IFERROR(IFERROR((LEN($T238)-LEN(SUBSTITUTE($T238,"Quality of Works / Criteria of Failings:Compliant","")))/LEN("Quality of Works / Criteria of Failings:Compliant"),0)/MAX(1,(LEN($I238)-LEN(SUBSTITUTE($I238," Ltd","")))/LEN(" Ltd")),0)</f>
        <v/>
      </c>
    </row>
    <row r="238" ht="15.75" customHeight="1" s="146">
      <c r="Y238" s="122">
        <f>MAX(0,IFERROR((LEN($T239)-LEN(SUBSTITUTE($T239,"Quality of Works / Criteria of Failings:","")))/LEN("Quality of Works / Criteria of Failings:"),0)-IFERROR((LEN($T239)-LEN(SUBSTITUTE($T239,"Quality of Works / Criteria of Failings:Compliant","")))/LEN("Quality of Works / Criteria of Failings:Compliant"),0))</f>
        <v/>
      </c>
      <c r="Z238" s="122">
        <f>IFERROR($Y239/MAX(1,(LEN($I239)-LEN(SUBSTITUTE($I239," Ltd","")))/LEN(" Ltd")),0)</f>
        <v/>
      </c>
      <c r="AA238" s="122">
        <f>IFERROR(IFERROR((LEN($T239)-LEN(SUBSTITUTE($T239,"Quality of Works / Criteria of Failings:","")))/LEN("Quality of Works / Criteria of Failings:"),0)/MAX(1,(LEN($I239)-LEN(SUBSTITUTE($I239," Ltd","")))/LEN(" Ltd")),0)</f>
        <v/>
      </c>
      <c r="AB238" s="122">
        <f>IFERROR(IFERROR((LEN($T239)-LEN(SUBSTITUTE($T239,"Quality of Works / Criteria of Failings:Compliant","")))/LEN("Quality of Works / Criteria of Failings:Compliant"),0)/MAX(1,(LEN($I239)-LEN(SUBSTITUTE($I239," Ltd","")))/LEN(" Ltd")),0)</f>
        <v/>
      </c>
    </row>
    <row r="239" ht="15.75" customHeight="1" s="146">
      <c r="Y239" s="122">
        <f>MAX(0,IFERROR((LEN($T240)-LEN(SUBSTITUTE($T240,"Quality of Works / Criteria of Failings:","")))/LEN("Quality of Works / Criteria of Failings:"),0)-IFERROR((LEN($T240)-LEN(SUBSTITUTE($T240,"Quality of Works / Criteria of Failings:Compliant","")))/LEN("Quality of Works / Criteria of Failings:Compliant"),0))</f>
        <v/>
      </c>
      <c r="Z239" s="122">
        <f>IFERROR($Y240/MAX(1,(LEN($I240)-LEN(SUBSTITUTE($I240," Ltd","")))/LEN(" Ltd")),0)</f>
        <v/>
      </c>
      <c r="AA239" s="122">
        <f>IFERROR(IFERROR((LEN($T240)-LEN(SUBSTITUTE($T240,"Quality of Works / Criteria of Failings:","")))/LEN("Quality of Works / Criteria of Failings:"),0)/MAX(1,(LEN($I240)-LEN(SUBSTITUTE($I240," Ltd","")))/LEN(" Ltd")),0)</f>
        <v/>
      </c>
      <c r="AB239" s="122">
        <f>IFERROR(IFERROR((LEN($T240)-LEN(SUBSTITUTE($T240,"Quality of Works / Criteria of Failings:Compliant","")))/LEN("Quality of Works / Criteria of Failings:Compliant"),0)/MAX(1,(LEN($I240)-LEN(SUBSTITUTE($I240," Ltd","")))/LEN(" Ltd")),0)</f>
        <v/>
      </c>
    </row>
    <row r="240" ht="15.75" customHeight="1" s="146">
      <c r="Y240" s="122">
        <f>MAX(0,IFERROR((LEN($T241)-LEN(SUBSTITUTE($T241,"Quality of Works / Criteria of Failings:","")))/LEN("Quality of Works / Criteria of Failings:"),0)-IFERROR((LEN($T241)-LEN(SUBSTITUTE($T241,"Quality of Works / Criteria of Failings:Compliant","")))/LEN("Quality of Works / Criteria of Failings:Compliant"),0))</f>
        <v/>
      </c>
      <c r="Z240" s="122">
        <f>IFERROR($Y241/MAX(1,(LEN($I241)-LEN(SUBSTITUTE($I241," Ltd","")))/LEN(" Ltd")),0)</f>
        <v/>
      </c>
      <c r="AA240" s="122">
        <f>IFERROR(IFERROR((LEN($T241)-LEN(SUBSTITUTE($T241,"Quality of Works / Criteria of Failings:","")))/LEN("Quality of Works / Criteria of Failings:"),0)/MAX(1,(LEN($I241)-LEN(SUBSTITUTE($I241," Ltd","")))/LEN(" Ltd")),0)</f>
        <v/>
      </c>
      <c r="AB240" s="122">
        <f>IFERROR(IFERROR((LEN($T241)-LEN(SUBSTITUTE($T241,"Quality of Works / Criteria of Failings:Compliant","")))/LEN("Quality of Works / Criteria of Failings:Compliant"),0)/MAX(1,(LEN($I241)-LEN(SUBSTITUTE($I241," Ltd","")))/LEN(" Ltd")),0)</f>
        <v/>
      </c>
    </row>
    <row r="241" ht="15.75" customHeight="1" s="146">
      <c r="Y241" s="122">
        <f>MAX(0,IFERROR((LEN($T242)-LEN(SUBSTITUTE($T242,"Quality of Works / Criteria of Failings:","")))/LEN("Quality of Works / Criteria of Failings:"),0)-IFERROR((LEN($T242)-LEN(SUBSTITUTE($T242,"Quality of Works / Criteria of Failings:Compliant","")))/LEN("Quality of Works / Criteria of Failings:Compliant"),0))</f>
        <v/>
      </c>
      <c r="Z241" s="122">
        <f>IFERROR($Y242/MAX(1,(LEN($I242)-LEN(SUBSTITUTE($I242," Ltd","")))/LEN(" Ltd")),0)</f>
        <v/>
      </c>
      <c r="AA241" s="122">
        <f>IFERROR(IFERROR((LEN($T242)-LEN(SUBSTITUTE($T242,"Quality of Works / Criteria of Failings:","")))/LEN("Quality of Works / Criteria of Failings:"),0)/MAX(1,(LEN($I242)-LEN(SUBSTITUTE($I242," Ltd","")))/LEN(" Ltd")),0)</f>
        <v/>
      </c>
      <c r="AB241" s="122">
        <f>IFERROR(IFERROR((LEN($T242)-LEN(SUBSTITUTE($T242,"Quality of Works / Criteria of Failings:Compliant","")))/LEN("Quality of Works / Criteria of Failings:Compliant"),0)/MAX(1,(LEN($I242)-LEN(SUBSTITUTE($I242," Ltd","")))/LEN(" Ltd")),0)</f>
        <v/>
      </c>
    </row>
    <row r="242" ht="15.75" customHeight="1" s="146">
      <c r="Y242" s="122">
        <f>MAX(0,IFERROR((LEN($T243)-LEN(SUBSTITUTE($T243,"Quality of Works / Criteria of Failings:","")))/LEN("Quality of Works / Criteria of Failings:"),0)-IFERROR((LEN($T243)-LEN(SUBSTITUTE($T243,"Quality of Works / Criteria of Failings:Compliant","")))/LEN("Quality of Works / Criteria of Failings:Compliant"),0))</f>
        <v/>
      </c>
      <c r="Z242" s="122">
        <f>IFERROR($Y243/MAX(1,(LEN($I243)-LEN(SUBSTITUTE($I243," Ltd","")))/LEN(" Ltd")),0)</f>
        <v/>
      </c>
      <c r="AA242" s="122">
        <f>IFERROR(IFERROR((LEN($T243)-LEN(SUBSTITUTE($T243,"Quality of Works / Criteria of Failings:","")))/LEN("Quality of Works / Criteria of Failings:"),0)/MAX(1,(LEN($I243)-LEN(SUBSTITUTE($I243," Ltd","")))/LEN(" Ltd")),0)</f>
        <v/>
      </c>
      <c r="AB242" s="122">
        <f>IFERROR(IFERROR((LEN($T243)-LEN(SUBSTITUTE($T243,"Quality of Works / Criteria of Failings:Compliant","")))/LEN("Quality of Works / Criteria of Failings:Compliant"),0)/MAX(1,(LEN($I243)-LEN(SUBSTITUTE($I243," Ltd","")))/LEN(" Ltd")),0)</f>
        <v/>
      </c>
    </row>
    <row r="243" ht="15.75" customHeight="1" s="146">
      <c r="Y243" s="122">
        <f>MAX(0,IFERROR((LEN($T244)-LEN(SUBSTITUTE($T244,"Quality of Works / Criteria of Failings:","")))/LEN("Quality of Works / Criteria of Failings:"),0)-IFERROR((LEN($T244)-LEN(SUBSTITUTE($T244,"Quality of Works / Criteria of Failings:Compliant","")))/LEN("Quality of Works / Criteria of Failings:Compliant"),0))</f>
        <v/>
      </c>
      <c r="Z243" s="122">
        <f>IFERROR($Y244/MAX(1,(LEN($I244)-LEN(SUBSTITUTE($I244," Ltd","")))/LEN(" Ltd")),0)</f>
        <v/>
      </c>
      <c r="AA243" s="122">
        <f>IFERROR(IFERROR((LEN($T244)-LEN(SUBSTITUTE($T244,"Quality of Works / Criteria of Failings:","")))/LEN("Quality of Works / Criteria of Failings:"),0)/MAX(1,(LEN($I244)-LEN(SUBSTITUTE($I244," Ltd","")))/LEN(" Ltd")),0)</f>
        <v/>
      </c>
      <c r="AB243" s="122">
        <f>IFERROR(IFERROR((LEN($T244)-LEN(SUBSTITUTE($T244,"Quality of Works / Criteria of Failings:Compliant","")))/LEN("Quality of Works / Criteria of Failings:Compliant"),0)/MAX(1,(LEN($I244)-LEN(SUBSTITUTE($I244," Ltd","")))/LEN(" Ltd")),0)</f>
        <v/>
      </c>
    </row>
    <row r="244" ht="15.75" customHeight="1" s="146">
      <c r="Y244" s="122">
        <f>MAX(0,IFERROR((LEN($T245)-LEN(SUBSTITUTE($T245,"Quality of Works / Criteria of Failings:","")))/LEN("Quality of Works / Criteria of Failings:"),0)-IFERROR((LEN($T245)-LEN(SUBSTITUTE($T245,"Quality of Works / Criteria of Failings:Compliant","")))/LEN("Quality of Works / Criteria of Failings:Compliant"),0))</f>
        <v/>
      </c>
      <c r="Z244" s="122">
        <f>IFERROR($Y245/MAX(1,(LEN($I245)-LEN(SUBSTITUTE($I245," Ltd","")))/LEN(" Ltd")),0)</f>
        <v/>
      </c>
      <c r="AA244" s="122">
        <f>IFERROR(IFERROR((LEN($T245)-LEN(SUBSTITUTE($T245,"Quality of Works / Criteria of Failings:","")))/LEN("Quality of Works / Criteria of Failings:"),0)/MAX(1,(LEN($I245)-LEN(SUBSTITUTE($I245," Ltd","")))/LEN(" Ltd")),0)</f>
        <v/>
      </c>
      <c r="AB244" s="122">
        <f>IFERROR(IFERROR((LEN($T245)-LEN(SUBSTITUTE($T245,"Quality of Works / Criteria of Failings:Compliant","")))/LEN("Quality of Works / Criteria of Failings:Compliant"),0)/MAX(1,(LEN($I245)-LEN(SUBSTITUTE($I245," Ltd","")))/LEN(" Ltd")),0)</f>
        <v/>
      </c>
    </row>
    <row r="245" ht="15.75" customHeight="1" s="146">
      <c r="Y245" s="122">
        <f>MAX(0,IFERROR((LEN($T246)-LEN(SUBSTITUTE($T246,"Quality of Works / Criteria of Failings:","")))/LEN("Quality of Works / Criteria of Failings:"),0)-IFERROR((LEN($T246)-LEN(SUBSTITUTE($T246,"Quality of Works / Criteria of Failings:Compliant","")))/LEN("Quality of Works / Criteria of Failings:Compliant"),0))</f>
        <v/>
      </c>
      <c r="Z245" s="122">
        <f>IFERROR($Y246/MAX(1,(LEN($I246)-LEN(SUBSTITUTE($I246," Ltd","")))/LEN(" Ltd")),0)</f>
        <v/>
      </c>
      <c r="AA245" s="122">
        <f>IFERROR(IFERROR((LEN($T246)-LEN(SUBSTITUTE($T246,"Quality of Works / Criteria of Failings:","")))/LEN("Quality of Works / Criteria of Failings:"),0)/MAX(1,(LEN($I246)-LEN(SUBSTITUTE($I246," Ltd","")))/LEN(" Ltd")),0)</f>
        <v/>
      </c>
      <c r="AB245" s="122">
        <f>IFERROR(IFERROR((LEN($T246)-LEN(SUBSTITUTE($T246,"Quality of Works / Criteria of Failings:Compliant","")))/LEN("Quality of Works / Criteria of Failings:Compliant"),0)/MAX(1,(LEN($I246)-LEN(SUBSTITUTE($I246," Ltd","")))/LEN(" Ltd")),0)</f>
        <v/>
      </c>
    </row>
    <row r="246" ht="15.75" customHeight="1" s="146">
      <c r="Y246" s="122">
        <f>MAX(0,IFERROR((LEN($T247)-LEN(SUBSTITUTE($T247,"Quality of Works / Criteria of Failings:","")))/LEN("Quality of Works / Criteria of Failings:"),0)-IFERROR((LEN($T247)-LEN(SUBSTITUTE($T247,"Quality of Works / Criteria of Failings:Compliant","")))/LEN("Quality of Works / Criteria of Failings:Compliant"),0))</f>
        <v/>
      </c>
      <c r="Z246" s="122">
        <f>IFERROR($Y247/MAX(1,(LEN($I247)-LEN(SUBSTITUTE($I247," Ltd","")))/LEN(" Ltd")),0)</f>
        <v/>
      </c>
      <c r="AA246" s="122">
        <f>IFERROR(IFERROR((LEN($T247)-LEN(SUBSTITUTE($T247,"Quality of Works / Criteria of Failings:","")))/LEN("Quality of Works / Criteria of Failings:"),0)/MAX(1,(LEN($I247)-LEN(SUBSTITUTE($I247," Ltd","")))/LEN(" Ltd")),0)</f>
        <v/>
      </c>
      <c r="AB246" s="122">
        <f>IFERROR(IFERROR((LEN($T247)-LEN(SUBSTITUTE($T247,"Quality of Works / Criteria of Failings:Compliant","")))/LEN("Quality of Works / Criteria of Failings:Compliant"),0)/MAX(1,(LEN($I247)-LEN(SUBSTITUTE($I247," Ltd","")))/LEN(" Ltd")),0)</f>
        <v/>
      </c>
    </row>
    <row r="247" ht="15.75" customHeight="1" s="146">
      <c r="Y247" s="122">
        <f>MAX(0,IFERROR((LEN($T248)-LEN(SUBSTITUTE($T248,"Quality of Works / Criteria of Failings:","")))/LEN("Quality of Works / Criteria of Failings:"),0)-IFERROR((LEN($T248)-LEN(SUBSTITUTE($T248,"Quality of Works / Criteria of Failings:Compliant","")))/LEN("Quality of Works / Criteria of Failings:Compliant"),0))</f>
        <v/>
      </c>
      <c r="Z247" s="122">
        <f>IFERROR($Y248/MAX(1,(LEN($I248)-LEN(SUBSTITUTE($I248," Ltd","")))/LEN(" Ltd")),0)</f>
        <v/>
      </c>
      <c r="AA247" s="122">
        <f>IFERROR(IFERROR((LEN($T248)-LEN(SUBSTITUTE($T248,"Quality of Works / Criteria of Failings:","")))/LEN("Quality of Works / Criteria of Failings:"),0)/MAX(1,(LEN($I248)-LEN(SUBSTITUTE($I248," Ltd","")))/LEN(" Ltd")),0)</f>
        <v/>
      </c>
      <c r="AB247" s="122">
        <f>IFERROR(IFERROR((LEN($T248)-LEN(SUBSTITUTE($T248,"Quality of Works / Criteria of Failings:Compliant","")))/LEN("Quality of Works / Criteria of Failings:Compliant"),0)/MAX(1,(LEN($I248)-LEN(SUBSTITUTE($I248," Ltd","")))/LEN(" Ltd")),0)</f>
        <v/>
      </c>
    </row>
    <row r="248" ht="15.75" customHeight="1" s="146">
      <c r="Y248" s="122">
        <f>MAX(0,IFERROR((LEN($T249)-LEN(SUBSTITUTE($T249,"Quality of Works / Criteria of Failings:","")))/LEN("Quality of Works / Criteria of Failings:"),0)-IFERROR((LEN($T249)-LEN(SUBSTITUTE($T249,"Quality of Works / Criteria of Failings:Compliant","")))/LEN("Quality of Works / Criteria of Failings:Compliant"),0))</f>
        <v/>
      </c>
      <c r="Z248" s="122">
        <f>IFERROR($Y249/MAX(1,(LEN($I249)-LEN(SUBSTITUTE($I249," Ltd","")))/LEN(" Ltd")),0)</f>
        <v/>
      </c>
      <c r="AA248" s="122">
        <f>IFERROR(IFERROR((LEN($T249)-LEN(SUBSTITUTE($T249,"Quality of Works / Criteria of Failings:","")))/LEN("Quality of Works / Criteria of Failings:"),0)/MAX(1,(LEN($I249)-LEN(SUBSTITUTE($I249," Ltd","")))/LEN(" Ltd")),0)</f>
        <v/>
      </c>
      <c r="AB248" s="122">
        <f>IFERROR(IFERROR((LEN($T249)-LEN(SUBSTITUTE($T249,"Quality of Works / Criteria of Failings:Compliant","")))/LEN("Quality of Works / Criteria of Failings:Compliant"),0)/MAX(1,(LEN($I249)-LEN(SUBSTITUTE($I249," Ltd","")))/LEN(" Ltd")),0)</f>
        <v/>
      </c>
    </row>
    <row r="249" ht="15.75" customHeight="1" s="146">
      <c r="Y249" s="122">
        <f>MAX(0,IFERROR((LEN($T250)-LEN(SUBSTITUTE($T250,"Quality of Works / Criteria of Failings:","")))/LEN("Quality of Works / Criteria of Failings:"),0)-IFERROR((LEN($T250)-LEN(SUBSTITUTE($T250,"Quality of Works / Criteria of Failings:Compliant","")))/LEN("Quality of Works / Criteria of Failings:Compliant"),0))</f>
        <v/>
      </c>
      <c r="Z249" s="122">
        <f>IFERROR($Y250/MAX(1,(LEN($I250)-LEN(SUBSTITUTE($I250," Ltd","")))/LEN(" Ltd")),0)</f>
        <v/>
      </c>
      <c r="AA249" s="122">
        <f>IFERROR(IFERROR((LEN($T250)-LEN(SUBSTITUTE($T250,"Quality of Works / Criteria of Failings:","")))/LEN("Quality of Works / Criteria of Failings:"),0)/MAX(1,(LEN($I250)-LEN(SUBSTITUTE($I250," Ltd","")))/LEN(" Ltd")),0)</f>
        <v/>
      </c>
      <c r="AB249" s="122">
        <f>IFERROR(IFERROR((LEN($T250)-LEN(SUBSTITUTE($T250,"Quality of Works / Criteria of Failings:Compliant","")))/LEN("Quality of Works / Criteria of Failings:Compliant"),0)/MAX(1,(LEN($I250)-LEN(SUBSTITUTE($I250," Ltd","")))/LEN(" Ltd")),0)</f>
        <v/>
      </c>
    </row>
    <row r="250" ht="15.75" customHeight="1" s="146">
      <c r="Y250" s="122">
        <f>MAX(0,IFERROR((LEN($T251)-LEN(SUBSTITUTE($T251,"Quality of Works / Criteria of Failings:","")))/LEN("Quality of Works / Criteria of Failings:"),0)-IFERROR((LEN($T251)-LEN(SUBSTITUTE($T251,"Quality of Works / Criteria of Failings:Compliant","")))/LEN("Quality of Works / Criteria of Failings:Compliant"),0))</f>
        <v/>
      </c>
      <c r="Z250" s="122">
        <f>IFERROR($Y251/MAX(1,(LEN($I251)-LEN(SUBSTITUTE($I251," Ltd","")))/LEN(" Ltd")),0)</f>
        <v/>
      </c>
      <c r="AA250" s="122">
        <f>IFERROR(IFERROR((LEN($T251)-LEN(SUBSTITUTE($T251,"Quality of Works / Criteria of Failings:","")))/LEN("Quality of Works / Criteria of Failings:"),0)/MAX(1,(LEN($I251)-LEN(SUBSTITUTE($I251," Ltd","")))/LEN(" Ltd")),0)</f>
        <v/>
      </c>
      <c r="AB250" s="122">
        <f>IFERROR(IFERROR((LEN($T251)-LEN(SUBSTITUTE($T251,"Quality of Works / Criteria of Failings:Compliant","")))/LEN("Quality of Works / Criteria of Failings:Compliant"),0)/MAX(1,(LEN($I251)-LEN(SUBSTITUTE($I251," Ltd","")))/LEN(" Ltd")),0)</f>
        <v/>
      </c>
    </row>
    <row r="251" ht="15.75" customHeight="1" s="146">
      <c r="Y251" s="122">
        <f>MAX(0,IFERROR((LEN($T252)-LEN(SUBSTITUTE($T252,"Quality of Works / Criteria of Failings:","")))/LEN("Quality of Works / Criteria of Failings:"),0)-IFERROR((LEN($T252)-LEN(SUBSTITUTE($T252,"Quality of Works / Criteria of Failings:Compliant","")))/LEN("Quality of Works / Criteria of Failings:Compliant"),0))</f>
        <v/>
      </c>
      <c r="Z251" s="122">
        <f>IFERROR($Y252/MAX(1,(LEN($I252)-LEN(SUBSTITUTE($I252," Ltd","")))/LEN(" Ltd")),0)</f>
        <v/>
      </c>
      <c r="AA251" s="122">
        <f>IFERROR(IFERROR((LEN($T252)-LEN(SUBSTITUTE($T252,"Quality of Works / Criteria of Failings:","")))/LEN("Quality of Works / Criteria of Failings:"),0)/MAX(1,(LEN($I252)-LEN(SUBSTITUTE($I252," Ltd","")))/LEN(" Ltd")),0)</f>
        <v/>
      </c>
      <c r="AB251" s="122">
        <f>IFERROR(IFERROR((LEN($T252)-LEN(SUBSTITUTE($T252,"Quality of Works / Criteria of Failings:Compliant","")))/LEN("Quality of Works / Criteria of Failings:Compliant"),0)/MAX(1,(LEN($I252)-LEN(SUBSTITUTE($I252," Ltd","")))/LEN(" Ltd")),0)</f>
        <v/>
      </c>
    </row>
    <row r="252" ht="15.75" customHeight="1" s="146">
      <c r="Y252" s="122">
        <f>MAX(0,IFERROR((LEN($T253)-LEN(SUBSTITUTE($T253,"Quality of Works / Criteria of Failings:","")))/LEN("Quality of Works / Criteria of Failings:"),0)-IFERROR((LEN($T253)-LEN(SUBSTITUTE($T253,"Quality of Works / Criteria of Failings:Compliant","")))/LEN("Quality of Works / Criteria of Failings:Compliant"),0))</f>
        <v/>
      </c>
      <c r="Z252" s="122">
        <f>IFERROR($Y253/MAX(1,(LEN($I253)-LEN(SUBSTITUTE($I253," Ltd","")))/LEN(" Ltd")),0)</f>
        <v/>
      </c>
      <c r="AA252" s="122">
        <f>IFERROR(IFERROR((LEN($T253)-LEN(SUBSTITUTE($T253,"Quality of Works / Criteria of Failings:","")))/LEN("Quality of Works / Criteria of Failings:"),0)/MAX(1,(LEN($I253)-LEN(SUBSTITUTE($I253," Ltd","")))/LEN(" Ltd")),0)</f>
        <v/>
      </c>
      <c r="AB252" s="122">
        <f>IFERROR(IFERROR((LEN($T253)-LEN(SUBSTITUTE($T253,"Quality of Works / Criteria of Failings:Compliant","")))/LEN("Quality of Works / Criteria of Failings:Compliant"),0)/MAX(1,(LEN($I253)-LEN(SUBSTITUTE($I253," Ltd","")))/LEN(" Ltd")),0)</f>
        <v/>
      </c>
    </row>
    <row r="253" ht="15.75" customHeight="1" s="146">
      <c r="Y253" s="122">
        <f>MAX(0,IFERROR((LEN($T254)-LEN(SUBSTITUTE($T254,"Quality of Works / Criteria of Failings:","")))/LEN("Quality of Works / Criteria of Failings:"),0)-IFERROR((LEN($T254)-LEN(SUBSTITUTE($T254,"Quality of Works / Criteria of Failings:Compliant","")))/LEN("Quality of Works / Criteria of Failings:Compliant"),0))</f>
        <v/>
      </c>
      <c r="Z253" s="122">
        <f>IFERROR($Y254/MAX(1,(LEN($I254)-LEN(SUBSTITUTE($I254," Ltd","")))/LEN(" Ltd")),0)</f>
        <v/>
      </c>
      <c r="AA253" s="122">
        <f>IFERROR(IFERROR((LEN($T254)-LEN(SUBSTITUTE($T254,"Quality of Works / Criteria of Failings:","")))/LEN("Quality of Works / Criteria of Failings:"),0)/MAX(1,(LEN($I254)-LEN(SUBSTITUTE($I254," Ltd","")))/LEN(" Ltd")),0)</f>
        <v/>
      </c>
      <c r="AB253" s="122">
        <f>IFERROR(IFERROR((LEN($T254)-LEN(SUBSTITUTE($T254,"Quality of Works / Criteria of Failings:Compliant","")))/LEN("Quality of Works / Criteria of Failings:Compliant"),0)/MAX(1,(LEN($I254)-LEN(SUBSTITUTE($I254," Ltd","")))/LEN(" Ltd")),0)</f>
        <v/>
      </c>
    </row>
    <row r="254" ht="15.75" customHeight="1" s="146">
      <c r="Y254" s="122">
        <f>MAX(0,IFERROR((LEN($T255)-LEN(SUBSTITUTE($T255,"Quality of Works / Criteria of Failings:","")))/LEN("Quality of Works / Criteria of Failings:"),0)-IFERROR((LEN($T255)-LEN(SUBSTITUTE($T255,"Quality of Works / Criteria of Failings:Compliant","")))/LEN("Quality of Works / Criteria of Failings:Compliant"),0))</f>
        <v/>
      </c>
      <c r="Z254" s="122">
        <f>IFERROR($Y255/MAX(1,(LEN($I255)-LEN(SUBSTITUTE($I255," Ltd","")))/LEN(" Ltd")),0)</f>
        <v/>
      </c>
      <c r="AA254" s="122">
        <f>IFERROR(IFERROR((LEN($T255)-LEN(SUBSTITUTE($T255,"Quality of Works / Criteria of Failings:","")))/LEN("Quality of Works / Criteria of Failings:"),0)/MAX(1,(LEN($I255)-LEN(SUBSTITUTE($I255," Ltd","")))/LEN(" Ltd")),0)</f>
        <v/>
      </c>
      <c r="AB254" s="122">
        <f>IFERROR(IFERROR((LEN($T255)-LEN(SUBSTITUTE($T255,"Quality of Works / Criteria of Failings:Compliant","")))/LEN("Quality of Works / Criteria of Failings:Compliant"),0)/MAX(1,(LEN($I255)-LEN(SUBSTITUTE($I255," Ltd","")))/LEN(" Ltd")),0)</f>
        <v/>
      </c>
    </row>
    <row r="255" ht="15.75" customHeight="1" s="146">
      <c r="Y255" s="122">
        <f>MAX(0,IFERROR((LEN($T256)-LEN(SUBSTITUTE($T256,"Quality of Works / Criteria of Failings:","")))/LEN("Quality of Works / Criteria of Failings:"),0)-IFERROR((LEN($T256)-LEN(SUBSTITUTE($T256,"Quality of Works / Criteria of Failings:Compliant","")))/LEN("Quality of Works / Criteria of Failings:Compliant"),0))</f>
        <v/>
      </c>
      <c r="Z255" s="122">
        <f>IFERROR($Y256/MAX(1,(LEN($I256)-LEN(SUBSTITUTE($I256," Ltd","")))/LEN(" Ltd")),0)</f>
        <v/>
      </c>
      <c r="AA255" s="122">
        <f>IFERROR(IFERROR((LEN($T256)-LEN(SUBSTITUTE($T256,"Quality of Works / Criteria of Failings:","")))/LEN("Quality of Works / Criteria of Failings:"),0)/MAX(1,(LEN($I256)-LEN(SUBSTITUTE($I256," Ltd","")))/LEN(" Ltd")),0)</f>
        <v/>
      </c>
      <c r="AB255" s="122">
        <f>IFERROR(IFERROR((LEN($T256)-LEN(SUBSTITUTE($T256,"Quality of Works / Criteria of Failings:Compliant","")))/LEN("Quality of Works / Criteria of Failings:Compliant"),0)/MAX(1,(LEN($I256)-LEN(SUBSTITUTE($I256," Ltd","")))/LEN(" Ltd")),0)</f>
        <v/>
      </c>
    </row>
    <row r="256" ht="15.75" customHeight="1" s="146">
      <c r="Y256" s="122">
        <f>MAX(0,IFERROR((LEN($T257)-LEN(SUBSTITUTE($T257,"Quality of Works / Criteria of Failings:","")))/LEN("Quality of Works / Criteria of Failings:"),0)-IFERROR((LEN($T257)-LEN(SUBSTITUTE($T257,"Quality of Works / Criteria of Failings:Compliant","")))/LEN("Quality of Works / Criteria of Failings:Compliant"),0))</f>
        <v/>
      </c>
      <c r="Z256" s="122">
        <f>IFERROR($Y257/MAX(1,(LEN($I257)-LEN(SUBSTITUTE($I257," Ltd","")))/LEN(" Ltd")),0)</f>
        <v/>
      </c>
      <c r="AA256" s="122">
        <f>IFERROR(IFERROR((LEN($T257)-LEN(SUBSTITUTE($T257,"Quality of Works / Criteria of Failings:","")))/LEN("Quality of Works / Criteria of Failings:"),0)/MAX(1,(LEN($I257)-LEN(SUBSTITUTE($I257," Ltd","")))/LEN(" Ltd")),0)</f>
        <v/>
      </c>
      <c r="AB256" s="122">
        <f>IFERROR(IFERROR((LEN($T257)-LEN(SUBSTITUTE($T257,"Quality of Works / Criteria of Failings:Compliant","")))/LEN("Quality of Works / Criteria of Failings:Compliant"),0)/MAX(1,(LEN($I257)-LEN(SUBSTITUTE($I257," Ltd","")))/LEN(" Ltd")),0)</f>
        <v/>
      </c>
    </row>
    <row r="257" ht="15.75" customHeight="1" s="146">
      <c r="Y257" s="122">
        <f>MAX(0,IFERROR((LEN($T258)-LEN(SUBSTITUTE($T258,"Quality of Works / Criteria of Failings:","")))/LEN("Quality of Works / Criteria of Failings:"),0)-IFERROR((LEN($T258)-LEN(SUBSTITUTE($T258,"Quality of Works / Criteria of Failings:Compliant","")))/LEN("Quality of Works / Criteria of Failings:Compliant"),0))</f>
        <v/>
      </c>
      <c r="Z257" s="122">
        <f>IFERROR($Y258/MAX(1,(LEN($I258)-LEN(SUBSTITUTE($I258," Ltd","")))/LEN(" Ltd")),0)</f>
        <v/>
      </c>
      <c r="AA257" s="122">
        <f>IFERROR(IFERROR((LEN($T258)-LEN(SUBSTITUTE($T258,"Quality of Works / Criteria of Failings:","")))/LEN("Quality of Works / Criteria of Failings:"),0)/MAX(1,(LEN($I258)-LEN(SUBSTITUTE($I258," Ltd","")))/LEN(" Ltd")),0)</f>
        <v/>
      </c>
      <c r="AB257" s="122">
        <f>IFERROR(IFERROR((LEN($T258)-LEN(SUBSTITUTE($T258,"Quality of Works / Criteria of Failings:Compliant","")))/LEN("Quality of Works / Criteria of Failings:Compliant"),0)/MAX(1,(LEN($I258)-LEN(SUBSTITUTE($I258," Ltd","")))/LEN(" Ltd")),0)</f>
        <v/>
      </c>
    </row>
    <row r="258" ht="15.75" customHeight="1" s="146">
      <c r="Y258" s="122">
        <f>MAX(0,IFERROR((LEN($T259)-LEN(SUBSTITUTE($T259,"Quality of Works / Criteria of Failings:","")))/LEN("Quality of Works / Criteria of Failings:"),0)-IFERROR((LEN($T259)-LEN(SUBSTITUTE($T259,"Quality of Works / Criteria of Failings:Compliant","")))/LEN("Quality of Works / Criteria of Failings:Compliant"),0))</f>
        <v/>
      </c>
      <c r="Z258" s="122">
        <f>IFERROR($Y259/MAX(1,(LEN($I259)-LEN(SUBSTITUTE($I259," Ltd","")))/LEN(" Ltd")),0)</f>
        <v/>
      </c>
      <c r="AA258" s="122">
        <f>IFERROR(IFERROR((LEN($T259)-LEN(SUBSTITUTE($T259,"Quality of Works / Criteria of Failings:","")))/LEN("Quality of Works / Criteria of Failings:"),0)/MAX(1,(LEN($I259)-LEN(SUBSTITUTE($I259," Ltd","")))/LEN(" Ltd")),0)</f>
        <v/>
      </c>
      <c r="AB258" s="122">
        <f>IFERROR(IFERROR((LEN($T259)-LEN(SUBSTITUTE($T259,"Quality of Works / Criteria of Failings:Compliant","")))/LEN("Quality of Works / Criteria of Failings:Compliant"),0)/MAX(1,(LEN($I259)-LEN(SUBSTITUTE($I259," Ltd","")))/LEN(" Ltd")),0)</f>
        <v/>
      </c>
    </row>
    <row r="259" ht="15.75" customHeight="1" s="146">
      <c r="Y259" s="122">
        <f>MAX(0,IFERROR((LEN($T260)-LEN(SUBSTITUTE($T260,"Quality of Works / Criteria of Failings:","")))/LEN("Quality of Works / Criteria of Failings:"),0)-IFERROR((LEN($T260)-LEN(SUBSTITUTE($T260,"Quality of Works / Criteria of Failings:Compliant","")))/LEN("Quality of Works / Criteria of Failings:Compliant"),0))</f>
        <v/>
      </c>
      <c r="Z259" s="122">
        <f>IFERROR($Y260/MAX(1,(LEN($I260)-LEN(SUBSTITUTE($I260," Ltd","")))/LEN(" Ltd")),0)</f>
        <v/>
      </c>
      <c r="AA259" s="122">
        <f>IFERROR(IFERROR((LEN($T260)-LEN(SUBSTITUTE($T260,"Quality of Works / Criteria of Failings:","")))/LEN("Quality of Works / Criteria of Failings:"),0)/MAX(1,(LEN($I260)-LEN(SUBSTITUTE($I260," Ltd","")))/LEN(" Ltd")),0)</f>
        <v/>
      </c>
      <c r="AB259" s="122">
        <f>IFERROR(IFERROR((LEN($T260)-LEN(SUBSTITUTE($T260,"Quality of Works / Criteria of Failings:Compliant","")))/LEN("Quality of Works / Criteria of Failings:Compliant"),0)/MAX(1,(LEN($I260)-LEN(SUBSTITUTE($I260," Ltd","")))/LEN(" Ltd")),0)</f>
        <v/>
      </c>
    </row>
    <row r="260" ht="15.75" customHeight="1" s="146">
      <c r="Y260" s="122">
        <f>MAX(0,IFERROR((LEN($T261)-LEN(SUBSTITUTE($T261,"Quality of Works / Criteria of Failings:","")))/LEN("Quality of Works / Criteria of Failings:"),0)-IFERROR((LEN($T261)-LEN(SUBSTITUTE($T261,"Quality of Works / Criteria of Failings:Compliant","")))/LEN("Quality of Works / Criteria of Failings:Compliant"),0))</f>
        <v/>
      </c>
      <c r="Z260" s="122">
        <f>IFERROR($Y261/MAX(1,(LEN($I261)-LEN(SUBSTITUTE($I261," Ltd","")))/LEN(" Ltd")),0)</f>
        <v/>
      </c>
      <c r="AA260" s="122">
        <f>IFERROR(IFERROR((LEN($T261)-LEN(SUBSTITUTE($T261,"Quality of Works / Criteria of Failings:","")))/LEN("Quality of Works / Criteria of Failings:"),0)/MAX(1,(LEN($I261)-LEN(SUBSTITUTE($I261," Ltd","")))/LEN(" Ltd")),0)</f>
        <v/>
      </c>
      <c r="AB260" s="122">
        <f>IFERROR(IFERROR((LEN($T261)-LEN(SUBSTITUTE($T261,"Quality of Works / Criteria of Failings:Compliant","")))/LEN("Quality of Works / Criteria of Failings:Compliant"),0)/MAX(1,(LEN($I261)-LEN(SUBSTITUTE($I261," Ltd","")))/LEN(" Ltd")),0)</f>
        <v/>
      </c>
    </row>
    <row r="261" ht="15.75" customHeight="1" s="146">
      <c r="Y261" s="122">
        <f>MAX(0,IFERROR((LEN($T262)-LEN(SUBSTITUTE($T262,"Quality of Works / Criteria of Failings:","")))/LEN("Quality of Works / Criteria of Failings:"),0)-IFERROR((LEN($T262)-LEN(SUBSTITUTE($T262,"Quality of Works / Criteria of Failings:Compliant","")))/LEN("Quality of Works / Criteria of Failings:Compliant"),0))</f>
        <v/>
      </c>
      <c r="Z261" s="122">
        <f>IFERROR($Y262/MAX(1,(LEN($I262)-LEN(SUBSTITUTE($I262," Ltd","")))/LEN(" Ltd")),0)</f>
        <v/>
      </c>
      <c r="AA261" s="122">
        <f>IFERROR(IFERROR((LEN($T262)-LEN(SUBSTITUTE($T262,"Quality of Works / Criteria of Failings:","")))/LEN("Quality of Works / Criteria of Failings:"),0)/MAX(1,(LEN($I262)-LEN(SUBSTITUTE($I262," Ltd","")))/LEN(" Ltd")),0)</f>
        <v/>
      </c>
      <c r="AB261" s="122">
        <f>IFERROR(IFERROR((LEN($T262)-LEN(SUBSTITUTE($T262,"Quality of Works / Criteria of Failings:Compliant","")))/LEN("Quality of Works / Criteria of Failings:Compliant"),0)/MAX(1,(LEN($I262)-LEN(SUBSTITUTE($I262," Ltd","")))/LEN(" Ltd")),0)</f>
        <v/>
      </c>
    </row>
    <row r="262" ht="15.75" customHeight="1" s="146">
      <c r="Y262" s="122">
        <f>MAX(0,IFERROR((LEN($T263)-LEN(SUBSTITUTE($T263,"Quality of Works / Criteria of Failings:","")))/LEN("Quality of Works / Criteria of Failings:"),0)-IFERROR((LEN($T263)-LEN(SUBSTITUTE($T263,"Quality of Works / Criteria of Failings:Compliant","")))/LEN("Quality of Works / Criteria of Failings:Compliant"),0))</f>
        <v/>
      </c>
      <c r="Z262" s="122">
        <f>IFERROR($Y263/MAX(1,(LEN($I263)-LEN(SUBSTITUTE($I263," Ltd","")))/LEN(" Ltd")),0)</f>
        <v/>
      </c>
      <c r="AA262" s="122">
        <f>IFERROR(IFERROR((LEN($T263)-LEN(SUBSTITUTE($T263,"Quality of Works / Criteria of Failings:","")))/LEN("Quality of Works / Criteria of Failings:"),0)/MAX(1,(LEN($I263)-LEN(SUBSTITUTE($I263," Ltd","")))/LEN(" Ltd")),0)</f>
        <v/>
      </c>
      <c r="AB262" s="122">
        <f>IFERROR(IFERROR((LEN($T263)-LEN(SUBSTITUTE($T263,"Quality of Works / Criteria of Failings:Compliant","")))/LEN("Quality of Works / Criteria of Failings:Compliant"),0)/MAX(1,(LEN($I263)-LEN(SUBSTITUTE($I263," Ltd","")))/LEN(" Ltd")),0)</f>
        <v/>
      </c>
    </row>
    <row r="263" ht="15.75" customHeight="1" s="146">
      <c r="Y263" s="122">
        <f>MAX(0,IFERROR((LEN($T264)-LEN(SUBSTITUTE($T264,"Quality of Works / Criteria of Failings:","")))/LEN("Quality of Works / Criteria of Failings:"),0)-IFERROR((LEN($T264)-LEN(SUBSTITUTE($T264,"Quality of Works / Criteria of Failings:Compliant","")))/LEN("Quality of Works / Criteria of Failings:Compliant"),0))</f>
        <v/>
      </c>
      <c r="Z263" s="122">
        <f>IFERROR($Y264/MAX(1,(LEN($I264)-LEN(SUBSTITUTE($I264," Ltd","")))/LEN(" Ltd")),0)</f>
        <v/>
      </c>
      <c r="AA263" s="122">
        <f>IFERROR(IFERROR((LEN($T264)-LEN(SUBSTITUTE($T264,"Quality of Works / Criteria of Failings:","")))/LEN("Quality of Works / Criteria of Failings:"),0)/MAX(1,(LEN($I264)-LEN(SUBSTITUTE($I264," Ltd","")))/LEN(" Ltd")),0)</f>
        <v/>
      </c>
      <c r="AB263" s="122">
        <f>IFERROR(IFERROR((LEN($T264)-LEN(SUBSTITUTE($T264,"Quality of Works / Criteria of Failings:Compliant","")))/LEN("Quality of Works / Criteria of Failings:Compliant"),0)/MAX(1,(LEN($I264)-LEN(SUBSTITUTE($I264," Ltd","")))/LEN(" Ltd")),0)</f>
        <v/>
      </c>
    </row>
    <row r="264" ht="15.75" customHeight="1" s="146">
      <c r="Y264" s="122">
        <f>MAX(0,IFERROR((LEN($T265)-LEN(SUBSTITUTE($T265,"Quality of Works / Criteria of Failings:","")))/LEN("Quality of Works / Criteria of Failings:"),0)-IFERROR((LEN($T265)-LEN(SUBSTITUTE($T265,"Quality of Works / Criteria of Failings:Compliant","")))/LEN("Quality of Works / Criteria of Failings:Compliant"),0))</f>
        <v/>
      </c>
      <c r="Z264" s="122">
        <f>IFERROR($Y265/MAX(1,(LEN($I265)-LEN(SUBSTITUTE($I265," Ltd","")))/LEN(" Ltd")),0)</f>
        <v/>
      </c>
      <c r="AA264" s="122">
        <f>IFERROR(IFERROR((LEN($T265)-LEN(SUBSTITUTE($T265,"Quality of Works / Criteria of Failings:","")))/LEN("Quality of Works / Criteria of Failings:"),0)/MAX(1,(LEN($I265)-LEN(SUBSTITUTE($I265," Ltd","")))/LEN(" Ltd")),0)</f>
        <v/>
      </c>
      <c r="AB264" s="122">
        <f>IFERROR(IFERROR((LEN($T265)-LEN(SUBSTITUTE($T265,"Quality of Works / Criteria of Failings:Compliant","")))/LEN("Quality of Works / Criteria of Failings:Compliant"),0)/MAX(1,(LEN($I265)-LEN(SUBSTITUTE($I265," Ltd","")))/LEN(" Ltd")),0)</f>
        <v/>
      </c>
    </row>
    <row r="265" ht="15.75" customHeight="1" s="146">
      <c r="Y265" s="122">
        <f>MAX(0,IFERROR((LEN($T266)-LEN(SUBSTITUTE($T266,"Quality of Works / Criteria of Failings:","")))/LEN("Quality of Works / Criteria of Failings:"),0)-IFERROR((LEN($T266)-LEN(SUBSTITUTE($T266,"Quality of Works / Criteria of Failings:Compliant","")))/LEN("Quality of Works / Criteria of Failings:Compliant"),0))</f>
        <v/>
      </c>
      <c r="Z265" s="122">
        <f>IFERROR($Y266/MAX(1,(LEN($I266)-LEN(SUBSTITUTE($I266," Ltd","")))/LEN(" Ltd")),0)</f>
        <v/>
      </c>
      <c r="AA265" s="122">
        <f>IFERROR(IFERROR((LEN($T266)-LEN(SUBSTITUTE($T266,"Quality of Works / Criteria of Failings:","")))/LEN("Quality of Works / Criteria of Failings:"),0)/MAX(1,(LEN($I266)-LEN(SUBSTITUTE($I266," Ltd","")))/LEN(" Ltd")),0)</f>
        <v/>
      </c>
      <c r="AB265" s="122">
        <f>IFERROR(IFERROR((LEN($T266)-LEN(SUBSTITUTE($T266,"Quality of Works / Criteria of Failings:Compliant","")))/LEN("Quality of Works / Criteria of Failings:Compliant"),0)/MAX(1,(LEN($I266)-LEN(SUBSTITUTE($I266," Ltd","")))/LEN(" Ltd")),0)</f>
        <v/>
      </c>
    </row>
    <row r="266" ht="15.75" customHeight="1" s="146">
      <c r="Y266" s="122">
        <f>MAX(0,IFERROR((LEN($T267)-LEN(SUBSTITUTE($T267,"Quality of Works / Criteria of Failings:","")))/LEN("Quality of Works / Criteria of Failings:"),0)-IFERROR((LEN($T267)-LEN(SUBSTITUTE($T267,"Quality of Works / Criteria of Failings:Compliant","")))/LEN("Quality of Works / Criteria of Failings:Compliant"),0))</f>
        <v/>
      </c>
      <c r="Z266" s="122">
        <f>IFERROR($Y267/MAX(1,(LEN($I267)-LEN(SUBSTITUTE($I267," Ltd","")))/LEN(" Ltd")),0)</f>
        <v/>
      </c>
      <c r="AA266" s="122">
        <f>IFERROR(IFERROR((LEN($T267)-LEN(SUBSTITUTE($T267,"Quality of Works / Criteria of Failings:","")))/LEN("Quality of Works / Criteria of Failings:"),0)/MAX(1,(LEN($I267)-LEN(SUBSTITUTE($I267," Ltd","")))/LEN(" Ltd")),0)</f>
        <v/>
      </c>
      <c r="AB266" s="122">
        <f>IFERROR(IFERROR((LEN($T267)-LEN(SUBSTITUTE($T267,"Quality of Works / Criteria of Failings:Compliant","")))/LEN("Quality of Works / Criteria of Failings:Compliant"),0)/MAX(1,(LEN($I267)-LEN(SUBSTITUTE($I267," Ltd","")))/LEN(" Ltd")),0)</f>
        <v/>
      </c>
    </row>
    <row r="267" ht="15.75" customHeight="1" s="146">
      <c r="Y267" s="122">
        <f>MAX(0,IFERROR((LEN($T268)-LEN(SUBSTITUTE($T268,"Quality of Works / Criteria of Failings:","")))/LEN("Quality of Works / Criteria of Failings:"),0)-IFERROR((LEN($T268)-LEN(SUBSTITUTE($T268,"Quality of Works / Criteria of Failings:Compliant","")))/LEN("Quality of Works / Criteria of Failings:Compliant"),0))</f>
        <v/>
      </c>
      <c r="Z267" s="122">
        <f>IFERROR($Y268/MAX(1,(LEN($I268)-LEN(SUBSTITUTE($I268," Ltd","")))/LEN(" Ltd")),0)</f>
        <v/>
      </c>
      <c r="AA267" s="122">
        <f>IFERROR(IFERROR((LEN($T268)-LEN(SUBSTITUTE($T268,"Quality of Works / Criteria of Failings:","")))/LEN("Quality of Works / Criteria of Failings:"),0)/MAX(1,(LEN($I268)-LEN(SUBSTITUTE($I268," Ltd","")))/LEN(" Ltd")),0)</f>
        <v/>
      </c>
      <c r="AB267" s="122">
        <f>IFERROR(IFERROR((LEN($T268)-LEN(SUBSTITUTE($T268,"Quality of Works / Criteria of Failings:Compliant","")))/LEN("Quality of Works / Criteria of Failings:Compliant"),0)/MAX(1,(LEN($I268)-LEN(SUBSTITUTE($I268," Ltd","")))/LEN(" Ltd")),0)</f>
        <v/>
      </c>
    </row>
    <row r="268" ht="15.75" customHeight="1" s="146">
      <c r="Y268" s="122">
        <f>MAX(0,IFERROR((LEN($T269)-LEN(SUBSTITUTE($T269,"Quality of Works / Criteria of Failings:","")))/LEN("Quality of Works / Criteria of Failings:"),0)-IFERROR((LEN($T269)-LEN(SUBSTITUTE($T269,"Quality of Works / Criteria of Failings:Compliant","")))/LEN("Quality of Works / Criteria of Failings:Compliant"),0))</f>
        <v/>
      </c>
      <c r="Z268" s="122">
        <f>IFERROR($Y269/MAX(1,(LEN($I269)-LEN(SUBSTITUTE($I269," Ltd","")))/LEN(" Ltd")),0)</f>
        <v/>
      </c>
      <c r="AA268" s="122">
        <f>IFERROR(IFERROR((LEN($T269)-LEN(SUBSTITUTE($T269,"Quality of Works / Criteria of Failings:","")))/LEN("Quality of Works / Criteria of Failings:"),0)/MAX(1,(LEN($I269)-LEN(SUBSTITUTE($I269," Ltd","")))/LEN(" Ltd")),0)</f>
        <v/>
      </c>
      <c r="AB268" s="122">
        <f>IFERROR(IFERROR((LEN($T269)-LEN(SUBSTITUTE($T269,"Quality of Works / Criteria of Failings:Compliant","")))/LEN("Quality of Works / Criteria of Failings:Compliant"),0)/MAX(1,(LEN($I269)-LEN(SUBSTITUTE($I269," Ltd","")))/LEN(" Ltd")),0)</f>
        <v/>
      </c>
    </row>
    <row r="269" ht="15.75" customHeight="1" s="146">
      <c r="Y269" s="122">
        <f>MAX(0,IFERROR((LEN($T270)-LEN(SUBSTITUTE($T270,"Quality of Works / Criteria of Failings:","")))/LEN("Quality of Works / Criteria of Failings:"),0)-IFERROR((LEN($T270)-LEN(SUBSTITUTE($T270,"Quality of Works / Criteria of Failings:Compliant","")))/LEN("Quality of Works / Criteria of Failings:Compliant"),0))</f>
        <v/>
      </c>
      <c r="Z269" s="122">
        <f>IFERROR($Y270/MAX(1,(LEN($I270)-LEN(SUBSTITUTE($I270," Ltd","")))/LEN(" Ltd")),0)</f>
        <v/>
      </c>
      <c r="AA269" s="122">
        <f>IFERROR(IFERROR((LEN($T270)-LEN(SUBSTITUTE($T270,"Quality of Works / Criteria of Failings:","")))/LEN("Quality of Works / Criteria of Failings:"),0)/MAX(1,(LEN($I270)-LEN(SUBSTITUTE($I270," Ltd","")))/LEN(" Ltd")),0)</f>
        <v/>
      </c>
      <c r="AB269" s="122">
        <f>IFERROR(IFERROR((LEN($T270)-LEN(SUBSTITUTE($T270,"Quality of Works / Criteria of Failings:Compliant","")))/LEN("Quality of Works / Criteria of Failings:Compliant"),0)/MAX(1,(LEN($I270)-LEN(SUBSTITUTE($I270," Ltd","")))/LEN(" Ltd")),0)</f>
        <v/>
      </c>
    </row>
    <row r="270" ht="15.75" customHeight="1" s="146">
      <c r="Y270" s="122">
        <f>MAX(0,IFERROR((LEN($T271)-LEN(SUBSTITUTE($T271,"Quality of Works / Criteria of Failings:","")))/LEN("Quality of Works / Criteria of Failings:"),0)-IFERROR((LEN($T271)-LEN(SUBSTITUTE($T271,"Quality of Works / Criteria of Failings:Compliant","")))/LEN("Quality of Works / Criteria of Failings:Compliant"),0))</f>
        <v/>
      </c>
      <c r="Z270" s="122">
        <f>IFERROR($Y271/MAX(1,(LEN($I271)-LEN(SUBSTITUTE($I271," Ltd","")))/LEN(" Ltd")),0)</f>
        <v/>
      </c>
      <c r="AA270" s="122">
        <f>IFERROR(IFERROR((LEN($T271)-LEN(SUBSTITUTE($T271,"Quality of Works / Criteria of Failings:","")))/LEN("Quality of Works / Criteria of Failings:"),0)/MAX(1,(LEN($I271)-LEN(SUBSTITUTE($I271," Ltd","")))/LEN(" Ltd")),0)</f>
        <v/>
      </c>
      <c r="AB270" s="122">
        <f>IFERROR(IFERROR((LEN($T271)-LEN(SUBSTITUTE($T271,"Quality of Works / Criteria of Failings:Compliant","")))/LEN("Quality of Works / Criteria of Failings:Compliant"),0)/MAX(1,(LEN($I271)-LEN(SUBSTITUTE($I271," Ltd","")))/LEN(" Ltd")),0)</f>
        <v/>
      </c>
    </row>
    <row r="271" ht="15.75" customHeight="1" s="146">
      <c r="Y271" s="122">
        <f>MAX(0,IFERROR((LEN($T272)-LEN(SUBSTITUTE($T272,"Quality of Works / Criteria of Failings:","")))/LEN("Quality of Works / Criteria of Failings:"),0)-IFERROR((LEN($T272)-LEN(SUBSTITUTE($T272,"Quality of Works / Criteria of Failings:Compliant","")))/LEN("Quality of Works / Criteria of Failings:Compliant"),0))</f>
        <v/>
      </c>
      <c r="Z271" s="122">
        <f>IFERROR($Y272/MAX(1,(LEN($I272)-LEN(SUBSTITUTE($I272," Ltd","")))/LEN(" Ltd")),0)</f>
        <v/>
      </c>
      <c r="AA271" s="122">
        <f>IFERROR(IFERROR((LEN($T272)-LEN(SUBSTITUTE($T272,"Quality of Works / Criteria of Failings:","")))/LEN("Quality of Works / Criteria of Failings:"),0)/MAX(1,(LEN($I272)-LEN(SUBSTITUTE($I272," Ltd","")))/LEN(" Ltd")),0)</f>
        <v/>
      </c>
      <c r="AB271" s="122">
        <f>IFERROR(IFERROR((LEN($T272)-LEN(SUBSTITUTE($T272,"Quality of Works / Criteria of Failings:Compliant","")))/LEN("Quality of Works / Criteria of Failings:Compliant"),0)/MAX(1,(LEN($I272)-LEN(SUBSTITUTE($I272," Ltd","")))/LEN(" Ltd")),0)</f>
        <v/>
      </c>
    </row>
    <row r="272" ht="15.75" customHeight="1" s="146">
      <c r="Y272" s="122">
        <f>MAX(0,IFERROR((LEN($T273)-LEN(SUBSTITUTE($T273,"Quality of Works / Criteria of Failings:","")))/LEN("Quality of Works / Criteria of Failings:"),0)-IFERROR((LEN($T273)-LEN(SUBSTITUTE($T273,"Quality of Works / Criteria of Failings:Compliant","")))/LEN("Quality of Works / Criteria of Failings:Compliant"),0))</f>
        <v/>
      </c>
      <c r="Z272" s="122">
        <f>IFERROR($Y273/MAX(1,(LEN($I273)-LEN(SUBSTITUTE($I273," Ltd","")))/LEN(" Ltd")),0)</f>
        <v/>
      </c>
      <c r="AA272" s="122">
        <f>IFERROR(IFERROR((LEN($T273)-LEN(SUBSTITUTE($T273,"Quality of Works / Criteria of Failings:","")))/LEN("Quality of Works / Criteria of Failings:"),0)/MAX(1,(LEN($I273)-LEN(SUBSTITUTE($I273," Ltd","")))/LEN(" Ltd")),0)</f>
        <v/>
      </c>
      <c r="AB272" s="122">
        <f>IFERROR(IFERROR((LEN($T273)-LEN(SUBSTITUTE($T273,"Quality of Works / Criteria of Failings:Compliant","")))/LEN("Quality of Works / Criteria of Failings:Compliant"),0)/MAX(1,(LEN($I273)-LEN(SUBSTITUTE($I273," Ltd","")))/LEN(" Ltd")),0)</f>
        <v/>
      </c>
    </row>
    <row r="273" ht="15.75" customHeight="1" s="146">
      <c r="Y273" s="122">
        <f>MAX(0,IFERROR((LEN($T274)-LEN(SUBSTITUTE($T274,"Quality of Works / Criteria of Failings:","")))/LEN("Quality of Works / Criteria of Failings:"),0)-IFERROR((LEN($T274)-LEN(SUBSTITUTE($T274,"Quality of Works / Criteria of Failings:Compliant","")))/LEN("Quality of Works / Criteria of Failings:Compliant"),0))</f>
        <v/>
      </c>
      <c r="Z273" s="122">
        <f>IFERROR($Y274/MAX(1,(LEN($I274)-LEN(SUBSTITUTE($I274," Ltd","")))/LEN(" Ltd")),0)</f>
        <v/>
      </c>
      <c r="AA273" s="122">
        <f>IFERROR(IFERROR((LEN($T274)-LEN(SUBSTITUTE($T274,"Quality of Works / Criteria of Failings:","")))/LEN("Quality of Works / Criteria of Failings:"),0)/MAX(1,(LEN($I274)-LEN(SUBSTITUTE($I274," Ltd","")))/LEN(" Ltd")),0)</f>
        <v/>
      </c>
      <c r="AB273" s="122">
        <f>IFERROR(IFERROR((LEN($T274)-LEN(SUBSTITUTE($T274,"Quality of Works / Criteria of Failings:Compliant","")))/LEN("Quality of Works / Criteria of Failings:Compliant"),0)/MAX(1,(LEN($I274)-LEN(SUBSTITUTE($I274," Ltd","")))/LEN(" Ltd")),0)</f>
        <v/>
      </c>
    </row>
    <row r="274" ht="15.75" customHeight="1" s="146">
      <c r="Y274" s="122">
        <f>MAX(0,IFERROR((LEN($T275)-LEN(SUBSTITUTE($T275,"Quality of Works / Criteria of Failings:","")))/LEN("Quality of Works / Criteria of Failings:"),0)-IFERROR((LEN($T275)-LEN(SUBSTITUTE($T275,"Quality of Works / Criteria of Failings:Compliant","")))/LEN("Quality of Works / Criteria of Failings:Compliant"),0))</f>
        <v/>
      </c>
      <c r="Z274" s="122">
        <f>IFERROR($Y275/MAX(1,(LEN($I275)-LEN(SUBSTITUTE($I275," Ltd","")))/LEN(" Ltd")),0)</f>
        <v/>
      </c>
      <c r="AA274" s="122">
        <f>IFERROR(IFERROR((LEN($T275)-LEN(SUBSTITUTE($T275,"Quality of Works / Criteria of Failings:","")))/LEN("Quality of Works / Criteria of Failings:"),0)/MAX(1,(LEN($I275)-LEN(SUBSTITUTE($I275," Ltd","")))/LEN(" Ltd")),0)</f>
        <v/>
      </c>
      <c r="AB274" s="122">
        <f>IFERROR(IFERROR((LEN($T275)-LEN(SUBSTITUTE($T275,"Quality of Works / Criteria of Failings:Compliant","")))/LEN("Quality of Works / Criteria of Failings:Compliant"),0)/MAX(1,(LEN($I275)-LEN(SUBSTITUTE($I275," Ltd","")))/LEN(" Ltd")),0)</f>
        <v/>
      </c>
    </row>
    <row r="275" ht="15.75" customHeight="1" s="146">
      <c r="Y275" s="122">
        <f>MAX(0,IFERROR((LEN($T276)-LEN(SUBSTITUTE($T276,"Quality of Works / Criteria of Failings:","")))/LEN("Quality of Works / Criteria of Failings:"),0)-IFERROR((LEN($T276)-LEN(SUBSTITUTE($T276,"Quality of Works / Criteria of Failings:Compliant","")))/LEN("Quality of Works / Criteria of Failings:Compliant"),0))</f>
        <v/>
      </c>
      <c r="Z275" s="122">
        <f>IFERROR($Y276/MAX(1,(LEN($I276)-LEN(SUBSTITUTE($I276," Ltd","")))/LEN(" Ltd")),0)</f>
        <v/>
      </c>
      <c r="AA275" s="122">
        <f>IFERROR(IFERROR((LEN($T276)-LEN(SUBSTITUTE($T276,"Quality of Works / Criteria of Failings:","")))/LEN("Quality of Works / Criteria of Failings:"),0)/MAX(1,(LEN($I276)-LEN(SUBSTITUTE($I276," Ltd","")))/LEN(" Ltd")),0)</f>
        <v/>
      </c>
      <c r="AB275" s="122">
        <f>IFERROR(IFERROR((LEN($T276)-LEN(SUBSTITUTE($T276,"Quality of Works / Criteria of Failings:Compliant","")))/LEN("Quality of Works / Criteria of Failings:Compliant"),0)/MAX(1,(LEN($I276)-LEN(SUBSTITUTE($I276," Ltd","")))/LEN(" Ltd")),0)</f>
        <v/>
      </c>
    </row>
    <row r="276" ht="15.75" customHeight="1" s="146">
      <c r="Y276" s="122">
        <f>MAX(0,IFERROR((LEN($T277)-LEN(SUBSTITUTE($T277,"Quality of Works / Criteria of Failings:","")))/LEN("Quality of Works / Criteria of Failings:"),0)-IFERROR((LEN($T277)-LEN(SUBSTITUTE($T277,"Quality of Works / Criteria of Failings:Compliant","")))/LEN("Quality of Works / Criteria of Failings:Compliant"),0))</f>
        <v/>
      </c>
      <c r="Z276" s="122">
        <f>IFERROR($Y277/MAX(1,(LEN($I277)-LEN(SUBSTITUTE($I277," Ltd","")))/LEN(" Ltd")),0)</f>
        <v/>
      </c>
      <c r="AA276" s="122">
        <f>IFERROR(IFERROR((LEN($T277)-LEN(SUBSTITUTE($T277,"Quality of Works / Criteria of Failings:","")))/LEN("Quality of Works / Criteria of Failings:"),0)/MAX(1,(LEN($I277)-LEN(SUBSTITUTE($I277," Ltd","")))/LEN(" Ltd")),0)</f>
        <v/>
      </c>
      <c r="AB276" s="122">
        <f>IFERROR(IFERROR((LEN($T277)-LEN(SUBSTITUTE($T277,"Quality of Works / Criteria of Failings:Compliant","")))/LEN("Quality of Works / Criteria of Failings:Compliant"),0)/MAX(1,(LEN($I277)-LEN(SUBSTITUTE($I277," Ltd","")))/LEN(" Ltd")),0)</f>
        <v/>
      </c>
    </row>
    <row r="277" ht="15.75" customHeight="1" s="146">
      <c r="Y277" s="122">
        <f>MAX(0,IFERROR((LEN($T278)-LEN(SUBSTITUTE($T278,"Quality of Works / Criteria of Failings:","")))/LEN("Quality of Works / Criteria of Failings:"),0)-IFERROR((LEN($T278)-LEN(SUBSTITUTE($T278,"Quality of Works / Criteria of Failings:Compliant","")))/LEN("Quality of Works / Criteria of Failings:Compliant"),0))</f>
        <v/>
      </c>
      <c r="Z277" s="122">
        <f>IFERROR($Y278/MAX(1,(LEN($I278)-LEN(SUBSTITUTE($I278," Ltd","")))/LEN(" Ltd")),0)</f>
        <v/>
      </c>
      <c r="AA277" s="122">
        <f>IFERROR(IFERROR((LEN($T278)-LEN(SUBSTITUTE($T278,"Quality of Works / Criteria of Failings:","")))/LEN("Quality of Works / Criteria of Failings:"),0)/MAX(1,(LEN($I278)-LEN(SUBSTITUTE($I278," Ltd","")))/LEN(" Ltd")),0)</f>
        <v/>
      </c>
      <c r="AB277" s="122">
        <f>IFERROR(IFERROR((LEN($T278)-LEN(SUBSTITUTE($T278,"Quality of Works / Criteria of Failings:Compliant","")))/LEN("Quality of Works / Criteria of Failings:Compliant"),0)/MAX(1,(LEN($I278)-LEN(SUBSTITUTE($I278," Ltd","")))/LEN(" Ltd")),0)</f>
        <v/>
      </c>
    </row>
    <row r="278" ht="15.75" customHeight="1" s="146">
      <c r="Y278" s="122">
        <f>MAX(0,IFERROR((LEN($T279)-LEN(SUBSTITUTE($T279,"Quality of Works / Criteria of Failings:","")))/LEN("Quality of Works / Criteria of Failings:"),0)-IFERROR((LEN($T279)-LEN(SUBSTITUTE($T279,"Quality of Works / Criteria of Failings:Compliant","")))/LEN("Quality of Works / Criteria of Failings:Compliant"),0))</f>
        <v/>
      </c>
      <c r="Z278" s="122">
        <f>IFERROR($Y279/MAX(1,(LEN($I279)-LEN(SUBSTITUTE($I279," Ltd","")))/LEN(" Ltd")),0)</f>
        <v/>
      </c>
      <c r="AA278" s="122">
        <f>IFERROR(IFERROR((LEN($T279)-LEN(SUBSTITUTE($T279,"Quality of Works / Criteria of Failings:","")))/LEN("Quality of Works / Criteria of Failings:"),0)/MAX(1,(LEN($I279)-LEN(SUBSTITUTE($I279," Ltd","")))/LEN(" Ltd")),0)</f>
        <v/>
      </c>
      <c r="AB278" s="122">
        <f>IFERROR(IFERROR((LEN($T279)-LEN(SUBSTITUTE($T279,"Quality of Works / Criteria of Failings:Compliant","")))/LEN("Quality of Works / Criteria of Failings:Compliant"),0)/MAX(1,(LEN($I279)-LEN(SUBSTITUTE($I279," Ltd","")))/LEN(" Ltd")),0)</f>
        <v/>
      </c>
    </row>
    <row r="279" ht="15.75" customHeight="1" s="146">
      <c r="Y279" s="122">
        <f>MAX(0,IFERROR((LEN($T280)-LEN(SUBSTITUTE($T280,"Quality of Works / Criteria of Failings:","")))/LEN("Quality of Works / Criteria of Failings:"),0)-IFERROR((LEN($T280)-LEN(SUBSTITUTE($T280,"Quality of Works / Criteria of Failings:Compliant","")))/LEN("Quality of Works / Criteria of Failings:Compliant"),0))</f>
        <v/>
      </c>
      <c r="Z279" s="122">
        <f>IFERROR($Y280/MAX(1,(LEN($I280)-LEN(SUBSTITUTE($I280," Ltd","")))/LEN(" Ltd")),0)</f>
        <v/>
      </c>
      <c r="AA279" s="122">
        <f>IFERROR(IFERROR((LEN($T280)-LEN(SUBSTITUTE($T280,"Quality of Works / Criteria of Failings:","")))/LEN("Quality of Works / Criteria of Failings:"),0)/MAX(1,(LEN($I280)-LEN(SUBSTITUTE($I280," Ltd","")))/LEN(" Ltd")),0)</f>
        <v/>
      </c>
      <c r="AB279" s="122">
        <f>IFERROR(IFERROR((LEN($T280)-LEN(SUBSTITUTE($T280,"Quality of Works / Criteria of Failings:Compliant","")))/LEN("Quality of Works / Criteria of Failings:Compliant"),0)/MAX(1,(LEN($I280)-LEN(SUBSTITUTE($I280," Ltd","")))/LEN(" Ltd")),0)</f>
        <v/>
      </c>
    </row>
    <row r="280" ht="15.75" customHeight="1" s="146">
      <c r="Y280" s="122">
        <f>MAX(0,IFERROR((LEN($T281)-LEN(SUBSTITUTE($T281,"Quality of Works / Criteria of Failings:","")))/LEN("Quality of Works / Criteria of Failings:"),0)-IFERROR((LEN($T281)-LEN(SUBSTITUTE($T281,"Quality of Works / Criteria of Failings:Compliant","")))/LEN("Quality of Works / Criteria of Failings:Compliant"),0))</f>
        <v/>
      </c>
      <c r="Z280" s="122">
        <f>IFERROR($Y281/MAX(1,(LEN($I281)-LEN(SUBSTITUTE($I281," Ltd","")))/LEN(" Ltd")),0)</f>
        <v/>
      </c>
      <c r="AA280" s="122">
        <f>IFERROR(IFERROR((LEN($T281)-LEN(SUBSTITUTE($T281,"Quality of Works / Criteria of Failings:","")))/LEN("Quality of Works / Criteria of Failings:"),0)/MAX(1,(LEN($I281)-LEN(SUBSTITUTE($I281," Ltd","")))/LEN(" Ltd")),0)</f>
        <v/>
      </c>
      <c r="AB280" s="122">
        <f>IFERROR(IFERROR((LEN($T281)-LEN(SUBSTITUTE($T281,"Quality of Works / Criteria of Failings:Compliant","")))/LEN("Quality of Works / Criteria of Failings:Compliant"),0)/MAX(1,(LEN($I281)-LEN(SUBSTITUTE($I281," Ltd","")))/LEN(" Ltd")),0)</f>
        <v/>
      </c>
    </row>
    <row r="281" ht="15.75" customHeight="1" s="146">
      <c r="Y281" s="122">
        <f>MAX(0,IFERROR((LEN($T282)-LEN(SUBSTITUTE($T282,"Quality of Works / Criteria of Failings:","")))/LEN("Quality of Works / Criteria of Failings:"),0)-IFERROR((LEN($T282)-LEN(SUBSTITUTE($T282,"Quality of Works / Criteria of Failings:Compliant","")))/LEN("Quality of Works / Criteria of Failings:Compliant"),0))</f>
        <v/>
      </c>
      <c r="Z281" s="122">
        <f>IFERROR($Y282/MAX(1,(LEN($I282)-LEN(SUBSTITUTE($I282," Ltd","")))/LEN(" Ltd")),0)</f>
        <v/>
      </c>
      <c r="AA281" s="122">
        <f>IFERROR(IFERROR((LEN($T282)-LEN(SUBSTITUTE($T282,"Quality of Works / Criteria of Failings:","")))/LEN("Quality of Works / Criteria of Failings:"),0)/MAX(1,(LEN($I282)-LEN(SUBSTITUTE($I282," Ltd","")))/LEN(" Ltd")),0)</f>
        <v/>
      </c>
      <c r="AB281" s="122">
        <f>IFERROR(IFERROR((LEN($T282)-LEN(SUBSTITUTE($T282,"Quality of Works / Criteria of Failings:Compliant","")))/LEN("Quality of Works / Criteria of Failings:Compliant"),0)/MAX(1,(LEN($I282)-LEN(SUBSTITUTE($I282," Ltd","")))/LEN(" Ltd")),0)</f>
        <v/>
      </c>
    </row>
    <row r="282" ht="15.75" customHeight="1" s="146">
      <c r="Y282" s="122">
        <f>MAX(0,IFERROR((LEN($T283)-LEN(SUBSTITUTE($T283,"Quality of Works / Criteria of Failings:","")))/LEN("Quality of Works / Criteria of Failings:"),0)-IFERROR((LEN($T283)-LEN(SUBSTITUTE($T283,"Quality of Works / Criteria of Failings:Compliant","")))/LEN("Quality of Works / Criteria of Failings:Compliant"),0))</f>
        <v/>
      </c>
      <c r="Z282" s="122">
        <f>IFERROR($Y283/MAX(1,(LEN($I283)-LEN(SUBSTITUTE($I283," Ltd","")))/LEN(" Ltd")),0)</f>
        <v/>
      </c>
      <c r="AA282" s="122">
        <f>IFERROR(IFERROR((LEN($T283)-LEN(SUBSTITUTE($T283,"Quality of Works / Criteria of Failings:","")))/LEN("Quality of Works / Criteria of Failings:"),0)/MAX(1,(LEN($I283)-LEN(SUBSTITUTE($I283," Ltd","")))/LEN(" Ltd")),0)</f>
        <v/>
      </c>
      <c r="AB282" s="122">
        <f>IFERROR(IFERROR((LEN($T283)-LEN(SUBSTITUTE($T283,"Quality of Works / Criteria of Failings:Compliant","")))/LEN("Quality of Works / Criteria of Failings:Compliant"),0)/MAX(1,(LEN($I283)-LEN(SUBSTITUTE($I283," Ltd","")))/LEN(" Ltd")),0)</f>
        <v/>
      </c>
    </row>
    <row r="283" ht="15.75" customHeight="1" s="146">
      <c r="Y283" s="122">
        <f>MAX(0,IFERROR((LEN($T284)-LEN(SUBSTITUTE($T284,"Quality of Works / Criteria of Failings:","")))/LEN("Quality of Works / Criteria of Failings:"),0)-IFERROR((LEN($T284)-LEN(SUBSTITUTE($T284,"Quality of Works / Criteria of Failings:Compliant","")))/LEN("Quality of Works / Criteria of Failings:Compliant"),0))</f>
        <v/>
      </c>
      <c r="Z283" s="122">
        <f>IFERROR($Y284/MAX(1,(LEN($I284)-LEN(SUBSTITUTE($I284," Ltd","")))/LEN(" Ltd")),0)</f>
        <v/>
      </c>
      <c r="AA283" s="122">
        <f>IFERROR(IFERROR((LEN($T284)-LEN(SUBSTITUTE($T284,"Quality of Works / Criteria of Failings:","")))/LEN("Quality of Works / Criteria of Failings:"),0)/MAX(1,(LEN($I284)-LEN(SUBSTITUTE($I284," Ltd","")))/LEN(" Ltd")),0)</f>
        <v/>
      </c>
      <c r="AB283" s="122">
        <f>IFERROR(IFERROR((LEN($T284)-LEN(SUBSTITUTE($T284,"Quality of Works / Criteria of Failings:Compliant","")))/LEN("Quality of Works / Criteria of Failings:Compliant"),0)/MAX(1,(LEN($I284)-LEN(SUBSTITUTE($I284," Ltd","")))/LEN(" Ltd")),0)</f>
        <v/>
      </c>
    </row>
    <row r="284" ht="15.75" customHeight="1" s="146">
      <c r="Y284" s="122">
        <f>MAX(0,IFERROR((LEN($T285)-LEN(SUBSTITUTE($T285,"Quality of Works / Criteria of Failings:","")))/LEN("Quality of Works / Criteria of Failings:"),0)-IFERROR((LEN($T285)-LEN(SUBSTITUTE($T285,"Quality of Works / Criteria of Failings:Compliant","")))/LEN("Quality of Works / Criteria of Failings:Compliant"),0))</f>
        <v/>
      </c>
      <c r="Z284" s="122">
        <f>IFERROR($Y285/MAX(1,(LEN($I285)-LEN(SUBSTITUTE($I285," Ltd","")))/LEN(" Ltd")),0)</f>
        <v/>
      </c>
      <c r="AA284" s="122">
        <f>IFERROR(IFERROR((LEN($T285)-LEN(SUBSTITUTE($T285,"Quality of Works / Criteria of Failings:","")))/LEN("Quality of Works / Criteria of Failings:"),0)/MAX(1,(LEN($I285)-LEN(SUBSTITUTE($I285," Ltd","")))/LEN(" Ltd")),0)</f>
        <v/>
      </c>
      <c r="AB284" s="122">
        <f>IFERROR(IFERROR((LEN($T285)-LEN(SUBSTITUTE($T285,"Quality of Works / Criteria of Failings:Compliant","")))/LEN("Quality of Works / Criteria of Failings:Compliant"),0)/MAX(1,(LEN($I285)-LEN(SUBSTITUTE($I285," Ltd","")))/LEN(" Ltd")),0)</f>
        <v/>
      </c>
    </row>
    <row r="285" ht="15.75" customHeight="1" s="146">
      <c r="Y285" s="122">
        <f>MAX(0,IFERROR((LEN($T286)-LEN(SUBSTITUTE($T286,"Quality of Works / Criteria of Failings:","")))/LEN("Quality of Works / Criteria of Failings:"),0)-IFERROR((LEN($T286)-LEN(SUBSTITUTE($T286,"Quality of Works / Criteria of Failings:Compliant","")))/LEN("Quality of Works / Criteria of Failings:Compliant"),0))</f>
        <v/>
      </c>
      <c r="Z285" s="122">
        <f>IFERROR($Y286/MAX(1,(LEN($I286)-LEN(SUBSTITUTE($I286," Ltd","")))/LEN(" Ltd")),0)</f>
        <v/>
      </c>
      <c r="AA285" s="122">
        <f>IFERROR(IFERROR((LEN($T286)-LEN(SUBSTITUTE($T286,"Quality of Works / Criteria of Failings:","")))/LEN("Quality of Works / Criteria of Failings:"),0)/MAX(1,(LEN($I286)-LEN(SUBSTITUTE($I286," Ltd","")))/LEN(" Ltd")),0)</f>
        <v/>
      </c>
      <c r="AB285" s="122">
        <f>IFERROR(IFERROR((LEN($T286)-LEN(SUBSTITUTE($T286,"Quality of Works / Criteria of Failings:Compliant","")))/LEN("Quality of Works / Criteria of Failings:Compliant"),0)/MAX(1,(LEN($I286)-LEN(SUBSTITUTE($I286," Ltd","")))/LEN(" Ltd")),0)</f>
        <v/>
      </c>
    </row>
    <row r="286" ht="15.75" customHeight="1" s="146">
      <c r="Y286" s="122">
        <f>MAX(0,IFERROR((LEN($T287)-LEN(SUBSTITUTE($T287,"Quality of Works / Criteria of Failings:","")))/LEN("Quality of Works / Criteria of Failings:"),0)-IFERROR((LEN($T287)-LEN(SUBSTITUTE($T287,"Quality of Works / Criteria of Failings:Compliant","")))/LEN("Quality of Works / Criteria of Failings:Compliant"),0))</f>
        <v/>
      </c>
      <c r="Z286" s="122">
        <f>IFERROR($Y287/MAX(1,(LEN($I287)-LEN(SUBSTITUTE($I287," Ltd","")))/LEN(" Ltd")),0)</f>
        <v/>
      </c>
      <c r="AA286" s="122">
        <f>IFERROR(IFERROR((LEN($T287)-LEN(SUBSTITUTE($T287,"Quality of Works / Criteria of Failings:","")))/LEN("Quality of Works / Criteria of Failings:"),0)/MAX(1,(LEN($I287)-LEN(SUBSTITUTE($I287," Ltd","")))/LEN(" Ltd")),0)</f>
        <v/>
      </c>
      <c r="AB286" s="122">
        <f>IFERROR(IFERROR((LEN($T287)-LEN(SUBSTITUTE($T287,"Quality of Works / Criteria of Failings:Compliant","")))/LEN("Quality of Works / Criteria of Failings:Compliant"),0)/MAX(1,(LEN($I287)-LEN(SUBSTITUTE($I287," Ltd","")))/LEN(" Ltd")),0)</f>
        <v/>
      </c>
    </row>
    <row r="287" ht="15.75" customHeight="1" s="146">
      <c r="Y287" s="122">
        <f>MAX(0,IFERROR((LEN($T288)-LEN(SUBSTITUTE($T288,"Quality of Works / Criteria of Failings:","")))/LEN("Quality of Works / Criteria of Failings:"),0)-IFERROR((LEN($T288)-LEN(SUBSTITUTE($T288,"Quality of Works / Criteria of Failings:Compliant","")))/LEN("Quality of Works / Criteria of Failings:Compliant"),0))</f>
        <v/>
      </c>
      <c r="Z287" s="122">
        <f>IFERROR($Y288/MAX(1,(LEN($I288)-LEN(SUBSTITUTE($I288," Ltd","")))/LEN(" Ltd")),0)</f>
        <v/>
      </c>
      <c r="AA287" s="122">
        <f>IFERROR(IFERROR((LEN($T288)-LEN(SUBSTITUTE($T288,"Quality of Works / Criteria of Failings:","")))/LEN("Quality of Works / Criteria of Failings:"),0)/MAX(1,(LEN($I288)-LEN(SUBSTITUTE($I288," Ltd","")))/LEN(" Ltd")),0)</f>
        <v/>
      </c>
      <c r="AB287" s="122">
        <f>IFERROR(IFERROR((LEN($T288)-LEN(SUBSTITUTE($T288,"Quality of Works / Criteria of Failings:Compliant","")))/LEN("Quality of Works / Criteria of Failings:Compliant"),0)/MAX(1,(LEN($I288)-LEN(SUBSTITUTE($I288," Ltd","")))/LEN(" Ltd")),0)</f>
        <v/>
      </c>
    </row>
    <row r="288" ht="15.75" customHeight="1" s="146">
      <c r="Y288" s="122">
        <f>MAX(0,IFERROR((LEN($T289)-LEN(SUBSTITUTE($T289,"Quality of Works / Criteria of Failings:","")))/LEN("Quality of Works / Criteria of Failings:"),0)-IFERROR((LEN($T289)-LEN(SUBSTITUTE($T289,"Quality of Works / Criteria of Failings:Compliant","")))/LEN("Quality of Works / Criteria of Failings:Compliant"),0))</f>
        <v/>
      </c>
      <c r="Z288" s="122">
        <f>IFERROR($Y289/MAX(1,(LEN($I289)-LEN(SUBSTITUTE($I289," Ltd","")))/LEN(" Ltd")),0)</f>
        <v/>
      </c>
      <c r="AA288" s="122">
        <f>IFERROR(IFERROR((LEN($T289)-LEN(SUBSTITUTE($T289,"Quality of Works / Criteria of Failings:","")))/LEN("Quality of Works / Criteria of Failings:"),0)/MAX(1,(LEN($I289)-LEN(SUBSTITUTE($I289," Ltd","")))/LEN(" Ltd")),0)</f>
        <v/>
      </c>
      <c r="AB288" s="122">
        <f>IFERROR(IFERROR((LEN($T289)-LEN(SUBSTITUTE($T289,"Quality of Works / Criteria of Failings:Compliant","")))/LEN("Quality of Works / Criteria of Failings:Compliant"),0)/MAX(1,(LEN($I289)-LEN(SUBSTITUTE($I289," Ltd","")))/LEN(" Ltd")),0)</f>
        <v/>
      </c>
    </row>
    <row r="289" ht="15.75" customHeight="1" s="146">
      <c r="Y289" s="122">
        <f>MAX(0,IFERROR((LEN($T290)-LEN(SUBSTITUTE($T290,"Quality of Works / Criteria of Failings:","")))/LEN("Quality of Works / Criteria of Failings:"),0)-IFERROR((LEN($T290)-LEN(SUBSTITUTE($T290,"Quality of Works / Criteria of Failings:Compliant","")))/LEN("Quality of Works / Criteria of Failings:Compliant"),0))</f>
        <v/>
      </c>
      <c r="Z289" s="122">
        <f>IFERROR($Y290/MAX(1,(LEN($I290)-LEN(SUBSTITUTE($I290," Ltd","")))/LEN(" Ltd")),0)</f>
        <v/>
      </c>
      <c r="AA289" s="122">
        <f>IFERROR(IFERROR((LEN($T290)-LEN(SUBSTITUTE($T290,"Quality of Works / Criteria of Failings:","")))/LEN("Quality of Works / Criteria of Failings:"),0)/MAX(1,(LEN($I290)-LEN(SUBSTITUTE($I290," Ltd","")))/LEN(" Ltd")),0)</f>
        <v/>
      </c>
      <c r="AB289" s="122">
        <f>IFERROR(IFERROR((LEN($T290)-LEN(SUBSTITUTE($T290,"Quality of Works / Criteria of Failings:Compliant","")))/LEN("Quality of Works / Criteria of Failings:Compliant"),0)/MAX(1,(LEN($I290)-LEN(SUBSTITUTE($I290," Ltd","")))/LEN(" Ltd")),0)</f>
        <v/>
      </c>
    </row>
    <row r="290" ht="15.75" customHeight="1" s="146">
      <c r="Y290" s="122">
        <f>MAX(0,IFERROR((LEN($T291)-LEN(SUBSTITUTE($T291,"Quality of Works / Criteria of Failings:","")))/LEN("Quality of Works / Criteria of Failings:"),0)-IFERROR((LEN($T291)-LEN(SUBSTITUTE($T291,"Quality of Works / Criteria of Failings:Compliant","")))/LEN("Quality of Works / Criteria of Failings:Compliant"),0))</f>
        <v/>
      </c>
      <c r="Z290" s="122">
        <f>IFERROR($Y291/MAX(1,(LEN($I291)-LEN(SUBSTITUTE($I291," Ltd","")))/LEN(" Ltd")),0)</f>
        <v/>
      </c>
      <c r="AA290" s="122">
        <f>IFERROR(IFERROR((LEN($T291)-LEN(SUBSTITUTE($T291,"Quality of Works / Criteria of Failings:","")))/LEN("Quality of Works / Criteria of Failings:"),0)/MAX(1,(LEN($I291)-LEN(SUBSTITUTE($I291," Ltd","")))/LEN(" Ltd")),0)</f>
        <v/>
      </c>
      <c r="AB290" s="122">
        <f>IFERROR(IFERROR((LEN($T291)-LEN(SUBSTITUTE($T291,"Quality of Works / Criteria of Failings:Compliant","")))/LEN("Quality of Works / Criteria of Failings:Compliant"),0)/MAX(1,(LEN($I291)-LEN(SUBSTITUTE($I291," Ltd","")))/LEN(" Ltd")),0)</f>
        <v/>
      </c>
    </row>
    <row r="291" ht="15.75" customHeight="1" s="146">
      <c r="Y291" s="122">
        <f>MAX(0,IFERROR((LEN($T292)-LEN(SUBSTITUTE($T292,"Quality of Works / Criteria of Failings:","")))/LEN("Quality of Works / Criteria of Failings:"),0)-IFERROR((LEN($T292)-LEN(SUBSTITUTE($T292,"Quality of Works / Criteria of Failings:Compliant","")))/LEN("Quality of Works / Criteria of Failings:Compliant"),0))</f>
        <v/>
      </c>
      <c r="Z291" s="122">
        <f>IFERROR($Y292/MAX(1,(LEN($I292)-LEN(SUBSTITUTE($I292," Ltd","")))/LEN(" Ltd")),0)</f>
        <v/>
      </c>
      <c r="AA291" s="122">
        <f>IFERROR(IFERROR((LEN($T292)-LEN(SUBSTITUTE($T292,"Quality of Works / Criteria of Failings:","")))/LEN("Quality of Works / Criteria of Failings:"),0)/MAX(1,(LEN($I292)-LEN(SUBSTITUTE($I292," Ltd","")))/LEN(" Ltd")),0)</f>
        <v/>
      </c>
      <c r="AB291" s="122">
        <f>IFERROR(IFERROR((LEN($T292)-LEN(SUBSTITUTE($T292,"Quality of Works / Criteria of Failings:Compliant","")))/LEN("Quality of Works / Criteria of Failings:Compliant"),0)/MAX(1,(LEN($I292)-LEN(SUBSTITUTE($I292," Ltd","")))/LEN(" Ltd")),0)</f>
        <v/>
      </c>
    </row>
    <row r="292" ht="15.75" customHeight="1" s="146">
      <c r="Y292" s="122">
        <f>MAX(0,IFERROR((LEN($T293)-LEN(SUBSTITUTE($T293,"Quality of Works / Criteria of Failings:","")))/LEN("Quality of Works / Criteria of Failings:"),0)-IFERROR((LEN($T293)-LEN(SUBSTITUTE($T293,"Quality of Works / Criteria of Failings:Compliant","")))/LEN("Quality of Works / Criteria of Failings:Compliant"),0))</f>
        <v/>
      </c>
      <c r="Z292" s="122">
        <f>IFERROR($Y293/MAX(1,(LEN($I293)-LEN(SUBSTITUTE($I293," Ltd","")))/LEN(" Ltd")),0)</f>
        <v/>
      </c>
      <c r="AA292" s="122">
        <f>IFERROR(IFERROR((LEN($T293)-LEN(SUBSTITUTE($T293,"Quality of Works / Criteria of Failings:","")))/LEN("Quality of Works / Criteria of Failings:"),0)/MAX(1,(LEN($I293)-LEN(SUBSTITUTE($I293," Ltd","")))/LEN(" Ltd")),0)</f>
        <v/>
      </c>
      <c r="AB292" s="122">
        <f>IFERROR(IFERROR((LEN($T293)-LEN(SUBSTITUTE($T293,"Quality of Works / Criteria of Failings:Compliant","")))/LEN("Quality of Works / Criteria of Failings:Compliant"),0)/MAX(1,(LEN($I293)-LEN(SUBSTITUTE($I293," Ltd","")))/LEN(" Ltd")),0)</f>
        <v/>
      </c>
    </row>
    <row r="293" ht="15.75" customHeight="1" s="146">
      <c r="Y293" s="122">
        <f>MAX(0,IFERROR((LEN($T294)-LEN(SUBSTITUTE($T294,"Quality of Works / Criteria of Failings:","")))/LEN("Quality of Works / Criteria of Failings:"),0)-IFERROR((LEN($T294)-LEN(SUBSTITUTE($T294,"Quality of Works / Criteria of Failings:Compliant","")))/LEN("Quality of Works / Criteria of Failings:Compliant"),0))</f>
        <v/>
      </c>
      <c r="Z293" s="122">
        <f>IFERROR($Y294/MAX(1,(LEN($I294)-LEN(SUBSTITUTE($I294," Ltd","")))/LEN(" Ltd")),0)</f>
        <v/>
      </c>
      <c r="AA293" s="122">
        <f>IFERROR(IFERROR((LEN($T294)-LEN(SUBSTITUTE($T294,"Quality of Works / Criteria of Failings:","")))/LEN("Quality of Works / Criteria of Failings:"),0)/MAX(1,(LEN($I294)-LEN(SUBSTITUTE($I294," Ltd","")))/LEN(" Ltd")),0)</f>
        <v/>
      </c>
      <c r="AB293" s="122">
        <f>IFERROR(IFERROR((LEN($T294)-LEN(SUBSTITUTE($T294,"Quality of Works / Criteria of Failings:Compliant","")))/LEN("Quality of Works / Criteria of Failings:Compliant"),0)/MAX(1,(LEN($I294)-LEN(SUBSTITUTE($I294," Ltd","")))/LEN(" Ltd")),0)</f>
        <v/>
      </c>
    </row>
    <row r="294" ht="15.75" customHeight="1" s="146">
      <c r="Y294" s="122">
        <f>MAX(0,IFERROR((LEN($T295)-LEN(SUBSTITUTE($T295,"Quality of Works / Criteria of Failings:","")))/LEN("Quality of Works / Criteria of Failings:"),0)-IFERROR((LEN($T295)-LEN(SUBSTITUTE($T295,"Quality of Works / Criteria of Failings:Compliant","")))/LEN("Quality of Works / Criteria of Failings:Compliant"),0))</f>
        <v/>
      </c>
      <c r="Z294" s="122">
        <f>IFERROR($Y295/MAX(1,(LEN($I295)-LEN(SUBSTITUTE($I295," Ltd","")))/LEN(" Ltd")),0)</f>
        <v/>
      </c>
      <c r="AA294" s="122">
        <f>IFERROR(IFERROR((LEN($T295)-LEN(SUBSTITUTE($T295,"Quality of Works / Criteria of Failings:","")))/LEN("Quality of Works / Criteria of Failings:"),0)/MAX(1,(LEN($I295)-LEN(SUBSTITUTE($I295," Ltd","")))/LEN(" Ltd")),0)</f>
        <v/>
      </c>
      <c r="AB294" s="122">
        <f>IFERROR(IFERROR((LEN($T295)-LEN(SUBSTITUTE($T295,"Quality of Works / Criteria of Failings:Compliant","")))/LEN("Quality of Works / Criteria of Failings:Compliant"),0)/MAX(1,(LEN($I295)-LEN(SUBSTITUTE($I295," Ltd","")))/LEN(" Ltd")),0)</f>
        <v/>
      </c>
    </row>
    <row r="295" ht="15.75" customHeight="1" s="146">
      <c r="Y295" s="122">
        <f>MAX(0,IFERROR((LEN($T296)-LEN(SUBSTITUTE($T296,"Quality of Works / Criteria of Failings:","")))/LEN("Quality of Works / Criteria of Failings:"),0)-IFERROR((LEN($T296)-LEN(SUBSTITUTE($T296,"Quality of Works / Criteria of Failings:Compliant","")))/LEN("Quality of Works / Criteria of Failings:Compliant"),0))</f>
        <v/>
      </c>
      <c r="Z295" s="122">
        <f>IFERROR($Y296/MAX(1,(LEN($I296)-LEN(SUBSTITUTE($I296," Ltd","")))/LEN(" Ltd")),0)</f>
        <v/>
      </c>
      <c r="AA295" s="122">
        <f>IFERROR(IFERROR((LEN($T296)-LEN(SUBSTITUTE($T296,"Quality of Works / Criteria of Failings:","")))/LEN("Quality of Works / Criteria of Failings:"),0)/MAX(1,(LEN($I296)-LEN(SUBSTITUTE($I296," Ltd","")))/LEN(" Ltd")),0)</f>
        <v/>
      </c>
      <c r="AB295" s="122">
        <f>IFERROR(IFERROR((LEN($T296)-LEN(SUBSTITUTE($T296,"Quality of Works / Criteria of Failings:Compliant","")))/LEN("Quality of Works / Criteria of Failings:Compliant"),0)/MAX(1,(LEN($I296)-LEN(SUBSTITUTE($I296," Ltd","")))/LEN(" Ltd")),0)</f>
        <v/>
      </c>
    </row>
    <row r="296" ht="15.75" customHeight="1" s="146">
      <c r="Y296" s="122">
        <f>MAX(0,IFERROR((LEN($T297)-LEN(SUBSTITUTE($T297,"Quality of Works / Criteria of Failings:","")))/LEN("Quality of Works / Criteria of Failings:"),0)-IFERROR((LEN($T297)-LEN(SUBSTITUTE($T297,"Quality of Works / Criteria of Failings:Compliant","")))/LEN("Quality of Works / Criteria of Failings:Compliant"),0))</f>
        <v/>
      </c>
      <c r="Z296" s="122">
        <f>IFERROR($Y297/MAX(1,(LEN($I297)-LEN(SUBSTITUTE($I297," Ltd","")))/LEN(" Ltd")),0)</f>
        <v/>
      </c>
      <c r="AA296" s="122">
        <f>IFERROR(IFERROR((LEN($T297)-LEN(SUBSTITUTE($T297,"Quality of Works / Criteria of Failings:","")))/LEN("Quality of Works / Criteria of Failings:"),0)/MAX(1,(LEN($I297)-LEN(SUBSTITUTE($I297," Ltd","")))/LEN(" Ltd")),0)</f>
        <v/>
      </c>
      <c r="AB296" s="122">
        <f>IFERROR(IFERROR((LEN($T297)-LEN(SUBSTITUTE($T297,"Quality of Works / Criteria of Failings:Compliant","")))/LEN("Quality of Works / Criteria of Failings:Compliant"),0)/MAX(1,(LEN($I297)-LEN(SUBSTITUTE($I297," Ltd","")))/LEN(" Ltd")),0)</f>
        <v/>
      </c>
    </row>
    <row r="297" ht="15.75" customHeight="1" s="146">
      <c r="Y297" s="122">
        <f>MAX(0,IFERROR((LEN($T298)-LEN(SUBSTITUTE($T298,"Quality of Works / Criteria of Failings:","")))/LEN("Quality of Works / Criteria of Failings:"),0)-IFERROR((LEN($T298)-LEN(SUBSTITUTE($T298,"Quality of Works / Criteria of Failings:Compliant","")))/LEN("Quality of Works / Criteria of Failings:Compliant"),0))</f>
        <v/>
      </c>
      <c r="Z297" s="122">
        <f>IFERROR($Y298/MAX(1,(LEN($I298)-LEN(SUBSTITUTE($I298," Ltd","")))/LEN(" Ltd")),0)</f>
        <v/>
      </c>
      <c r="AA297" s="122">
        <f>IFERROR(IFERROR((LEN($T298)-LEN(SUBSTITUTE($T298,"Quality of Works / Criteria of Failings:","")))/LEN("Quality of Works / Criteria of Failings:"),0)/MAX(1,(LEN($I298)-LEN(SUBSTITUTE($I298," Ltd","")))/LEN(" Ltd")),0)</f>
        <v/>
      </c>
      <c r="AB297" s="122">
        <f>IFERROR(IFERROR((LEN($T298)-LEN(SUBSTITUTE($T298,"Quality of Works / Criteria of Failings:Compliant","")))/LEN("Quality of Works / Criteria of Failings:Compliant"),0)/MAX(1,(LEN($I298)-LEN(SUBSTITUTE($I298," Ltd","")))/LEN(" Ltd")),0)</f>
        <v/>
      </c>
    </row>
    <row r="298" ht="15.75" customHeight="1" s="146">
      <c r="Y298" s="122">
        <f>MAX(0,IFERROR((LEN($T299)-LEN(SUBSTITUTE($T299,"Quality of Works / Criteria of Failings:","")))/LEN("Quality of Works / Criteria of Failings:"),0)-IFERROR((LEN($T299)-LEN(SUBSTITUTE($T299,"Quality of Works / Criteria of Failings:Compliant","")))/LEN("Quality of Works / Criteria of Failings:Compliant"),0))</f>
        <v/>
      </c>
      <c r="Z298" s="122">
        <f>IFERROR($Y299/MAX(1,(LEN($I299)-LEN(SUBSTITUTE($I299," Ltd","")))/LEN(" Ltd")),0)</f>
        <v/>
      </c>
      <c r="AA298" s="122">
        <f>IFERROR(IFERROR((LEN($T299)-LEN(SUBSTITUTE($T299,"Quality of Works / Criteria of Failings:","")))/LEN("Quality of Works / Criteria of Failings:"),0)/MAX(1,(LEN($I299)-LEN(SUBSTITUTE($I299," Ltd","")))/LEN(" Ltd")),0)</f>
        <v/>
      </c>
      <c r="AB298" s="122">
        <f>IFERROR(IFERROR((LEN($T299)-LEN(SUBSTITUTE($T299,"Quality of Works / Criteria of Failings:Compliant","")))/LEN("Quality of Works / Criteria of Failings:Compliant"),0)/MAX(1,(LEN($I299)-LEN(SUBSTITUTE($I299," Ltd","")))/LEN(" Ltd")),0)</f>
        <v/>
      </c>
    </row>
    <row r="299" ht="15.75" customHeight="1" s="146">
      <c r="Y299" s="122">
        <f>MAX(0,IFERROR((LEN($T300)-LEN(SUBSTITUTE($T300,"Quality of Works / Criteria of Failings:","")))/LEN("Quality of Works / Criteria of Failings:"),0)-IFERROR((LEN($T300)-LEN(SUBSTITUTE($T300,"Quality of Works / Criteria of Failings:Compliant","")))/LEN("Quality of Works / Criteria of Failings:Compliant"),0))</f>
        <v/>
      </c>
      <c r="Z299" s="122">
        <f>IFERROR($Y300/MAX(1,(LEN($I300)-LEN(SUBSTITUTE($I300," Ltd","")))/LEN(" Ltd")),0)</f>
        <v/>
      </c>
      <c r="AA299" s="122">
        <f>IFERROR(IFERROR((LEN($T300)-LEN(SUBSTITUTE($T300,"Quality of Works / Criteria of Failings:","")))/LEN("Quality of Works / Criteria of Failings:"),0)/MAX(1,(LEN($I300)-LEN(SUBSTITUTE($I300," Ltd","")))/LEN(" Ltd")),0)</f>
        <v/>
      </c>
      <c r="AB299" s="122">
        <f>IFERROR(IFERROR((LEN($T300)-LEN(SUBSTITUTE($T300,"Quality of Works / Criteria of Failings:Compliant","")))/LEN("Quality of Works / Criteria of Failings:Compliant"),0)/MAX(1,(LEN($I300)-LEN(SUBSTITUTE($I300," Ltd","")))/LEN(" Ltd")),0)</f>
        <v/>
      </c>
    </row>
    <row r="300" ht="15.75" customHeight="1" s="146">
      <c r="Y300" s="122">
        <f>MAX(0,IFERROR((LEN($T301)-LEN(SUBSTITUTE($T301,"Quality of Works / Criteria of Failings:","")))/LEN("Quality of Works / Criteria of Failings:"),0)-IFERROR((LEN($T301)-LEN(SUBSTITUTE($T301,"Quality of Works / Criteria of Failings:Compliant","")))/LEN("Quality of Works / Criteria of Failings:Compliant"),0))</f>
        <v/>
      </c>
      <c r="Z300" s="122">
        <f>IFERROR($Y301/MAX(1,(LEN($I301)-LEN(SUBSTITUTE($I301," Ltd","")))/LEN(" Ltd")),0)</f>
        <v/>
      </c>
      <c r="AA300" s="122">
        <f>IFERROR(IFERROR((LEN($T301)-LEN(SUBSTITUTE($T301,"Quality of Works / Criteria of Failings:","")))/LEN("Quality of Works / Criteria of Failings:"),0)/MAX(1,(LEN($I301)-LEN(SUBSTITUTE($I301," Ltd","")))/LEN(" Ltd")),0)</f>
        <v/>
      </c>
      <c r="AB300" s="122">
        <f>IFERROR(IFERROR((LEN($T301)-LEN(SUBSTITUTE($T301,"Quality of Works / Criteria of Failings:Compliant","")))/LEN("Quality of Works / Criteria of Failings:Compliant"),0)/MAX(1,(LEN($I301)-LEN(SUBSTITUTE($I301," Ltd","")))/LEN(" Ltd")),0)</f>
        <v/>
      </c>
    </row>
    <row r="301" ht="15.75" customHeight="1" s="146">
      <c r="Y301" s="122">
        <f>MAX(0,IFERROR((LEN($T302)-LEN(SUBSTITUTE($T302,"Quality of Works / Criteria of Failings:","")))/LEN("Quality of Works / Criteria of Failings:"),0)-IFERROR((LEN($T302)-LEN(SUBSTITUTE($T302,"Quality of Works / Criteria of Failings:Compliant","")))/LEN("Quality of Works / Criteria of Failings:Compliant"),0))</f>
        <v/>
      </c>
      <c r="Z301" s="122">
        <f>IFERROR($Y302/MAX(1,(LEN($I302)-LEN(SUBSTITUTE($I302," Ltd","")))/LEN(" Ltd")),0)</f>
        <v/>
      </c>
      <c r="AA301" s="122">
        <f>IFERROR(IFERROR((LEN($T302)-LEN(SUBSTITUTE($T302,"Quality of Works / Criteria of Failings:","")))/LEN("Quality of Works / Criteria of Failings:"),0)/MAX(1,(LEN($I302)-LEN(SUBSTITUTE($I302," Ltd","")))/LEN(" Ltd")),0)</f>
        <v/>
      </c>
      <c r="AB301" s="122">
        <f>IFERROR(IFERROR((LEN($T302)-LEN(SUBSTITUTE($T302,"Quality of Works / Criteria of Failings:Compliant","")))/LEN("Quality of Works / Criteria of Failings:Compliant"),0)/MAX(1,(LEN($I302)-LEN(SUBSTITUTE($I302," Ltd","")))/LEN(" Ltd")),0)</f>
        <v/>
      </c>
    </row>
    <row r="302" ht="15.75" customHeight="1" s="146">
      <c r="Y302" s="122">
        <f>MAX(0,IFERROR((LEN($T303)-LEN(SUBSTITUTE($T303,"Quality of Works / Criteria of Failings:","")))/LEN("Quality of Works / Criteria of Failings:"),0)-IFERROR((LEN($T303)-LEN(SUBSTITUTE($T303,"Quality of Works / Criteria of Failings:Compliant","")))/LEN("Quality of Works / Criteria of Failings:Compliant"),0))</f>
        <v/>
      </c>
      <c r="Z302" s="122">
        <f>IFERROR($Y303/MAX(1,(LEN($I303)-LEN(SUBSTITUTE($I303," Ltd","")))/LEN(" Ltd")),0)</f>
        <v/>
      </c>
      <c r="AA302" s="122">
        <f>IFERROR(IFERROR((LEN($T303)-LEN(SUBSTITUTE($T303,"Quality of Works / Criteria of Failings:","")))/LEN("Quality of Works / Criteria of Failings:"),0)/MAX(1,(LEN($I303)-LEN(SUBSTITUTE($I303," Ltd","")))/LEN(" Ltd")),0)</f>
        <v/>
      </c>
      <c r="AB302" s="122">
        <f>IFERROR(IFERROR((LEN($T303)-LEN(SUBSTITUTE($T303,"Quality of Works / Criteria of Failings:Compliant","")))/LEN("Quality of Works / Criteria of Failings:Compliant"),0)/MAX(1,(LEN($I303)-LEN(SUBSTITUTE($I303," Ltd","")))/LEN(" Ltd")),0)</f>
        <v/>
      </c>
    </row>
    <row r="303" ht="15.75" customHeight="1" s="146">
      <c r="Y303" s="122">
        <f>MAX(0,IFERROR((LEN($T304)-LEN(SUBSTITUTE($T304,"Quality of Works / Criteria of Failings:","")))/LEN("Quality of Works / Criteria of Failings:"),0)-IFERROR((LEN($T304)-LEN(SUBSTITUTE($T304,"Quality of Works / Criteria of Failings:Compliant","")))/LEN("Quality of Works / Criteria of Failings:Compliant"),0))</f>
        <v/>
      </c>
      <c r="Z303" s="122">
        <f>IFERROR($Y304/MAX(1,(LEN($I304)-LEN(SUBSTITUTE($I304," Ltd","")))/LEN(" Ltd")),0)</f>
        <v/>
      </c>
      <c r="AA303" s="122">
        <f>IFERROR(IFERROR((LEN($T304)-LEN(SUBSTITUTE($T304,"Quality of Works / Criteria of Failings:","")))/LEN("Quality of Works / Criteria of Failings:"),0)/MAX(1,(LEN($I304)-LEN(SUBSTITUTE($I304," Ltd","")))/LEN(" Ltd")),0)</f>
        <v/>
      </c>
      <c r="AB303" s="122">
        <f>IFERROR(IFERROR((LEN($T304)-LEN(SUBSTITUTE($T304,"Quality of Works / Criteria of Failings:Compliant","")))/LEN("Quality of Works / Criteria of Failings:Compliant"),0)/MAX(1,(LEN($I304)-LEN(SUBSTITUTE($I304," Ltd","")))/LEN(" Ltd")),0)</f>
        <v/>
      </c>
    </row>
    <row r="304" ht="15.75" customHeight="1" s="146">
      <c r="Y304" s="122">
        <f>MAX(0,IFERROR((LEN($T305)-LEN(SUBSTITUTE($T305,"Quality of Works / Criteria of Failings:","")))/LEN("Quality of Works / Criteria of Failings:"),0)-IFERROR((LEN($T305)-LEN(SUBSTITUTE($T305,"Quality of Works / Criteria of Failings:Compliant","")))/LEN("Quality of Works / Criteria of Failings:Compliant"),0))</f>
        <v/>
      </c>
      <c r="Z304" s="122">
        <f>IFERROR($Y305/MAX(1,(LEN($I305)-LEN(SUBSTITUTE($I305," Ltd","")))/LEN(" Ltd")),0)</f>
        <v/>
      </c>
      <c r="AA304" s="122">
        <f>IFERROR(IFERROR((LEN($T305)-LEN(SUBSTITUTE($T305,"Quality of Works / Criteria of Failings:","")))/LEN("Quality of Works / Criteria of Failings:"),0)/MAX(1,(LEN($I305)-LEN(SUBSTITUTE($I305," Ltd","")))/LEN(" Ltd")),0)</f>
        <v/>
      </c>
      <c r="AB304" s="122">
        <f>IFERROR(IFERROR((LEN($T305)-LEN(SUBSTITUTE($T305,"Quality of Works / Criteria of Failings:Compliant","")))/LEN("Quality of Works / Criteria of Failings:Compliant"),0)/MAX(1,(LEN($I305)-LEN(SUBSTITUTE($I305," Ltd","")))/LEN(" Ltd")),0)</f>
        <v/>
      </c>
    </row>
    <row r="305" ht="15.75" customHeight="1" s="146">
      <c r="Y305" s="122">
        <f>MAX(0,IFERROR((LEN($T306)-LEN(SUBSTITUTE($T306,"Quality of Works / Criteria of Failings:","")))/LEN("Quality of Works / Criteria of Failings:"),0)-IFERROR((LEN($T306)-LEN(SUBSTITUTE($T306,"Quality of Works / Criteria of Failings:Compliant","")))/LEN("Quality of Works / Criteria of Failings:Compliant"),0))</f>
        <v/>
      </c>
      <c r="Z305" s="122">
        <f>IFERROR($Y306/MAX(1,(LEN($I306)-LEN(SUBSTITUTE($I306," Ltd","")))/LEN(" Ltd")),0)</f>
        <v/>
      </c>
      <c r="AA305" s="122">
        <f>IFERROR(IFERROR((LEN($T306)-LEN(SUBSTITUTE($T306,"Quality of Works / Criteria of Failings:","")))/LEN("Quality of Works / Criteria of Failings:"),0)/MAX(1,(LEN($I306)-LEN(SUBSTITUTE($I306," Ltd","")))/LEN(" Ltd")),0)</f>
        <v/>
      </c>
      <c r="AB305" s="122">
        <f>IFERROR(IFERROR((LEN($T306)-LEN(SUBSTITUTE($T306,"Quality of Works / Criteria of Failings:Compliant","")))/LEN("Quality of Works / Criteria of Failings:Compliant"),0)/MAX(1,(LEN($I306)-LEN(SUBSTITUTE($I306," Ltd","")))/LEN(" Ltd")),0)</f>
        <v/>
      </c>
    </row>
    <row r="306" ht="15.75" customHeight="1" s="146">
      <c r="Y306" s="122">
        <f>MAX(0,IFERROR((LEN($T307)-LEN(SUBSTITUTE($T307,"Quality of Works / Criteria of Failings:","")))/LEN("Quality of Works / Criteria of Failings:"),0)-IFERROR((LEN($T307)-LEN(SUBSTITUTE($T307,"Quality of Works / Criteria of Failings:Compliant","")))/LEN("Quality of Works / Criteria of Failings:Compliant"),0))</f>
        <v/>
      </c>
      <c r="Z306" s="122">
        <f>IFERROR($Y307/MAX(1,(LEN($I307)-LEN(SUBSTITUTE($I307," Ltd","")))/LEN(" Ltd")),0)</f>
        <v/>
      </c>
      <c r="AA306" s="122">
        <f>IFERROR(IFERROR((LEN($T307)-LEN(SUBSTITUTE($T307,"Quality of Works / Criteria of Failings:","")))/LEN("Quality of Works / Criteria of Failings:"),0)/MAX(1,(LEN($I307)-LEN(SUBSTITUTE($I307," Ltd","")))/LEN(" Ltd")),0)</f>
        <v/>
      </c>
      <c r="AB306" s="122">
        <f>IFERROR(IFERROR((LEN($T307)-LEN(SUBSTITUTE($T307,"Quality of Works / Criteria of Failings:Compliant","")))/LEN("Quality of Works / Criteria of Failings:Compliant"),0)/MAX(1,(LEN($I307)-LEN(SUBSTITUTE($I307," Ltd","")))/LEN(" Ltd")),0)</f>
        <v/>
      </c>
    </row>
    <row r="307" ht="15.75" customHeight="1" s="146">
      <c r="Y307" s="122">
        <f>MAX(0,IFERROR((LEN($T308)-LEN(SUBSTITUTE($T308,"Quality of Works / Criteria of Failings:","")))/LEN("Quality of Works / Criteria of Failings:"),0)-IFERROR((LEN($T308)-LEN(SUBSTITUTE($T308,"Quality of Works / Criteria of Failings:Compliant","")))/LEN("Quality of Works / Criteria of Failings:Compliant"),0))</f>
        <v/>
      </c>
      <c r="Z307" s="122">
        <f>IFERROR($Y308/MAX(1,(LEN($I308)-LEN(SUBSTITUTE($I308," Ltd","")))/LEN(" Ltd")),0)</f>
        <v/>
      </c>
      <c r="AA307" s="122">
        <f>IFERROR(IFERROR((LEN($T308)-LEN(SUBSTITUTE($T308,"Quality of Works / Criteria of Failings:","")))/LEN("Quality of Works / Criteria of Failings:"),0)/MAX(1,(LEN($I308)-LEN(SUBSTITUTE($I308," Ltd","")))/LEN(" Ltd")),0)</f>
        <v/>
      </c>
      <c r="AB307" s="122">
        <f>IFERROR(IFERROR((LEN($T308)-LEN(SUBSTITUTE($T308,"Quality of Works / Criteria of Failings:Compliant","")))/LEN("Quality of Works / Criteria of Failings:Compliant"),0)/MAX(1,(LEN($I308)-LEN(SUBSTITUTE($I308," Ltd","")))/LEN(" Ltd")),0)</f>
        <v/>
      </c>
    </row>
    <row r="308" ht="15.75" customHeight="1" s="146">
      <c r="Y308" s="122">
        <f>MAX(0,IFERROR((LEN($T309)-LEN(SUBSTITUTE($T309,"Quality of Works / Criteria of Failings:","")))/LEN("Quality of Works / Criteria of Failings:"),0)-IFERROR((LEN($T309)-LEN(SUBSTITUTE($T309,"Quality of Works / Criteria of Failings:Compliant","")))/LEN("Quality of Works / Criteria of Failings:Compliant"),0))</f>
        <v/>
      </c>
      <c r="Z308" s="122">
        <f>IFERROR($Y309/MAX(1,(LEN($I309)-LEN(SUBSTITUTE($I309," Ltd","")))/LEN(" Ltd")),0)</f>
        <v/>
      </c>
      <c r="AA308" s="122">
        <f>IFERROR(IFERROR((LEN($T309)-LEN(SUBSTITUTE($T309,"Quality of Works / Criteria of Failings:","")))/LEN("Quality of Works / Criteria of Failings:"),0)/MAX(1,(LEN($I309)-LEN(SUBSTITUTE($I309," Ltd","")))/LEN(" Ltd")),0)</f>
        <v/>
      </c>
      <c r="AB308" s="122">
        <f>IFERROR(IFERROR((LEN($T309)-LEN(SUBSTITUTE($T309,"Quality of Works / Criteria of Failings:Compliant","")))/LEN("Quality of Works / Criteria of Failings:Compliant"),0)/MAX(1,(LEN($I309)-LEN(SUBSTITUTE($I309," Ltd","")))/LEN(" Ltd")),0)</f>
        <v/>
      </c>
    </row>
    <row r="309" ht="15.75" customHeight="1" s="146">
      <c r="Y309" s="122">
        <f>MAX(0,IFERROR((LEN($T310)-LEN(SUBSTITUTE($T310,"Quality of Works / Criteria of Failings:","")))/LEN("Quality of Works / Criteria of Failings:"),0)-IFERROR((LEN($T310)-LEN(SUBSTITUTE($T310,"Quality of Works / Criteria of Failings:Compliant","")))/LEN("Quality of Works / Criteria of Failings:Compliant"),0))</f>
        <v/>
      </c>
      <c r="Z309" s="122">
        <f>IFERROR($Y310/MAX(1,(LEN($I310)-LEN(SUBSTITUTE($I310," Ltd","")))/LEN(" Ltd")),0)</f>
        <v/>
      </c>
      <c r="AA309" s="122">
        <f>IFERROR(IFERROR((LEN($T310)-LEN(SUBSTITUTE($T310,"Quality of Works / Criteria of Failings:","")))/LEN("Quality of Works / Criteria of Failings:"),0)/MAX(1,(LEN($I310)-LEN(SUBSTITUTE($I310," Ltd","")))/LEN(" Ltd")),0)</f>
        <v/>
      </c>
      <c r="AB309" s="122">
        <f>IFERROR(IFERROR((LEN($T310)-LEN(SUBSTITUTE($T310,"Quality of Works / Criteria of Failings:Compliant","")))/LEN("Quality of Works / Criteria of Failings:Compliant"),0)/MAX(1,(LEN($I310)-LEN(SUBSTITUTE($I310," Ltd","")))/LEN(" Ltd")),0)</f>
        <v/>
      </c>
    </row>
    <row r="310" ht="15.75" customHeight="1" s="146">
      <c r="Y310" s="122">
        <f>MAX(0,IFERROR((LEN($T311)-LEN(SUBSTITUTE($T311,"Quality of Works / Criteria of Failings:","")))/LEN("Quality of Works / Criteria of Failings:"),0)-IFERROR((LEN($T311)-LEN(SUBSTITUTE($T311,"Quality of Works / Criteria of Failings:Compliant","")))/LEN("Quality of Works / Criteria of Failings:Compliant"),0))</f>
        <v/>
      </c>
      <c r="Z310" s="122">
        <f>IFERROR($Y311/MAX(1,(LEN($I311)-LEN(SUBSTITUTE($I311," Ltd","")))/LEN(" Ltd")),0)</f>
        <v/>
      </c>
      <c r="AA310" s="122">
        <f>IFERROR(IFERROR((LEN($T311)-LEN(SUBSTITUTE($T311,"Quality of Works / Criteria of Failings:","")))/LEN("Quality of Works / Criteria of Failings:"),0)/MAX(1,(LEN($I311)-LEN(SUBSTITUTE($I311," Ltd","")))/LEN(" Ltd")),0)</f>
        <v/>
      </c>
      <c r="AB310" s="122">
        <f>IFERROR(IFERROR((LEN($T311)-LEN(SUBSTITUTE($T311,"Quality of Works / Criteria of Failings:Compliant","")))/LEN("Quality of Works / Criteria of Failings:Compliant"),0)/MAX(1,(LEN($I311)-LEN(SUBSTITUTE($I311," Ltd","")))/LEN(" Ltd")),0)</f>
        <v/>
      </c>
    </row>
    <row r="311" ht="15.75" customHeight="1" s="146">
      <c r="Y311" s="122">
        <f>MAX(0,IFERROR((LEN($T312)-LEN(SUBSTITUTE($T312,"Quality of Works / Criteria of Failings:","")))/LEN("Quality of Works / Criteria of Failings:"),0)-IFERROR((LEN($T312)-LEN(SUBSTITUTE($T312,"Quality of Works / Criteria of Failings:Compliant","")))/LEN("Quality of Works / Criteria of Failings:Compliant"),0))</f>
        <v/>
      </c>
      <c r="Z311" s="122">
        <f>IFERROR($Y312/MAX(1,(LEN($I312)-LEN(SUBSTITUTE($I312," Ltd","")))/LEN(" Ltd")),0)</f>
        <v/>
      </c>
      <c r="AA311" s="122">
        <f>IFERROR(IFERROR((LEN($T312)-LEN(SUBSTITUTE($T312,"Quality of Works / Criteria of Failings:","")))/LEN("Quality of Works / Criteria of Failings:"),0)/MAX(1,(LEN($I312)-LEN(SUBSTITUTE($I312," Ltd","")))/LEN(" Ltd")),0)</f>
        <v/>
      </c>
      <c r="AB311" s="122">
        <f>IFERROR(IFERROR((LEN($T312)-LEN(SUBSTITUTE($T312,"Quality of Works / Criteria of Failings:Compliant","")))/LEN("Quality of Works / Criteria of Failings:Compliant"),0)/MAX(1,(LEN($I312)-LEN(SUBSTITUTE($I312," Ltd","")))/LEN(" Ltd")),0)</f>
        <v/>
      </c>
    </row>
    <row r="312" ht="15.75" customHeight="1" s="146">
      <c r="Y312" s="122">
        <f>MAX(0,IFERROR((LEN($T313)-LEN(SUBSTITUTE($T313,"Quality of Works / Criteria of Failings:","")))/LEN("Quality of Works / Criteria of Failings:"),0)-IFERROR((LEN($T313)-LEN(SUBSTITUTE($T313,"Quality of Works / Criteria of Failings:Compliant","")))/LEN("Quality of Works / Criteria of Failings:Compliant"),0))</f>
        <v/>
      </c>
      <c r="Z312" s="122">
        <f>IFERROR($Y313/MAX(1,(LEN($I313)-LEN(SUBSTITUTE($I313," Ltd","")))/LEN(" Ltd")),0)</f>
        <v/>
      </c>
      <c r="AA312" s="122">
        <f>IFERROR(IFERROR((LEN($T313)-LEN(SUBSTITUTE($T313,"Quality of Works / Criteria of Failings:","")))/LEN("Quality of Works / Criteria of Failings:"),0)/MAX(1,(LEN($I313)-LEN(SUBSTITUTE($I313," Ltd","")))/LEN(" Ltd")),0)</f>
        <v/>
      </c>
      <c r="AB312" s="122">
        <f>IFERROR(IFERROR((LEN($T313)-LEN(SUBSTITUTE($T313,"Quality of Works / Criteria of Failings:Compliant","")))/LEN("Quality of Works / Criteria of Failings:Compliant"),0)/MAX(1,(LEN($I313)-LEN(SUBSTITUTE($I313," Ltd","")))/LEN(" Ltd")),0)</f>
        <v/>
      </c>
    </row>
    <row r="313" ht="15.75" customHeight="1" s="146">
      <c r="Y313" s="122">
        <f>MAX(0,IFERROR((LEN($T314)-LEN(SUBSTITUTE($T314,"Quality of Works / Criteria of Failings:","")))/LEN("Quality of Works / Criteria of Failings:"),0)-IFERROR((LEN($T314)-LEN(SUBSTITUTE($T314,"Quality of Works / Criteria of Failings:Compliant","")))/LEN("Quality of Works / Criteria of Failings:Compliant"),0))</f>
        <v/>
      </c>
      <c r="Z313" s="122">
        <f>IFERROR($Y314/MAX(1,(LEN($I314)-LEN(SUBSTITUTE($I314," Ltd","")))/LEN(" Ltd")),0)</f>
        <v/>
      </c>
      <c r="AA313" s="122">
        <f>IFERROR(IFERROR((LEN($T314)-LEN(SUBSTITUTE($T314,"Quality of Works / Criteria of Failings:","")))/LEN("Quality of Works / Criteria of Failings:"),0)/MAX(1,(LEN($I314)-LEN(SUBSTITUTE($I314," Ltd","")))/LEN(" Ltd")),0)</f>
        <v/>
      </c>
      <c r="AB313" s="122">
        <f>IFERROR(IFERROR((LEN($T314)-LEN(SUBSTITUTE($T314,"Quality of Works / Criteria of Failings:Compliant","")))/LEN("Quality of Works / Criteria of Failings:Compliant"),0)/MAX(1,(LEN($I314)-LEN(SUBSTITUTE($I314," Ltd","")))/LEN(" Ltd")),0)</f>
        <v/>
      </c>
    </row>
    <row r="314" ht="15.75" customHeight="1" s="146">
      <c r="Y314" s="122">
        <f>MAX(0,IFERROR((LEN($T315)-LEN(SUBSTITUTE($T315,"Quality of Works / Criteria of Failings:","")))/LEN("Quality of Works / Criteria of Failings:"),0)-IFERROR((LEN($T315)-LEN(SUBSTITUTE($T315,"Quality of Works / Criteria of Failings:Compliant","")))/LEN("Quality of Works / Criteria of Failings:Compliant"),0))</f>
        <v/>
      </c>
      <c r="Z314" s="122">
        <f>IFERROR($Y315/MAX(1,(LEN($I315)-LEN(SUBSTITUTE($I315," Ltd","")))/LEN(" Ltd")),0)</f>
        <v/>
      </c>
      <c r="AA314" s="122">
        <f>IFERROR(IFERROR((LEN($T315)-LEN(SUBSTITUTE($T315,"Quality of Works / Criteria of Failings:","")))/LEN("Quality of Works / Criteria of Failings:"),0)/MAX(1,(LEN($I315)-LEN(SUBSTITUTE($I315," Ltd","")))/LEN(" Ltd")),0)</f>
        <v/>
      </c>
      <c r="AB314" s="122">
        <f>IFERROR(IFERROR((LEN($T315)-LEN(SUBSTITUTE($T315,"Quality of Works / Criteria of Failings:Compliant","")))/LEN("Quality of Works / Criteria of Failings:Compliant"),0)/MAX(1,(LEN($I315)-LEN(SUBSTITUTE($I315," Ltd","")))/LEN(" Ltd")),0)</f>
        <v/>
      </c>
    </row>
    <row r="315" ht="15.75" customHeight="1" s="146">
      <c r="Y315" s="122">
        <f>MAX(0,IFERROR((LEN($T316)-LEN(SUBSTITUTE($T316,"Quality of Works / Criteria of Failings:","")))/LEN("Quality of Works / Criteria of Failings:"),0)-IFERROR((LEN($T316)-LEN(SUBSTITUTE($T316,"Quality of Works / Criteria of Failings:Compliant","")))/LEN("Quality of Works / Criteria of Failings:Compliant"),0))</f>
        <v/>
      </c>
      <c r="Z315" s="122">
        <f>IFERROR($Y316/MAX(1,(LEN($I316)-LEN(SUBSTITUTE($I316," Ltd","")))/LEN(" Ltd")),0)</f>
        <v/>
      </c>
      <c r="AA315" s="122">
        <f>IFERROR(IFERROR((LEN($T316)-LEN(SUBSTITUTE($T316,"Quality of Works / Criteria of Failings:","")))/LEN("Quality of Works / Criteria of Failings:"),0)/MAX(1,(LEN($I316)-LEN(SUBSTITUTE($I316," Ltd","")))/LEN(" Ltd")),0)</f>
        <v/>
      </c>
      <c r="AB315" s="122">
        <f>IFERROR(IFERROR((LEN($T316)-LEN(SUBSTITUTE($T316,"Quality of Works / Criteria of Failings:Compliant","")))/LEN("Quality of Works / Criteria of Failings:Compliant"),0)/MAX(1,(LEN($I316)-LEN(SUBSTITUTE($I316," Ltd","")))/LEN(" Ltd")),0)</f>
        <v/>
      </c>
    </row>
    <row r="316" ht="15.75" customHeight="1" s="146">
      <c r="Y316" s="122">
        <f>MAX(0,IFERROR((LEN($T317)-LEN(SUBSTITUTE($T317,"Quality of Works / Criteria of Failings:","")))/LEN("Quality of Works / Criteria of Failings:"),0)-IFERROR((LEN($T317)-LEN(SUBSTITUTE($T317,"Quality of Works / Criteria of Failings:Compliant","")))/LEN("Quality of Works / Criteria of Failings:Compliant"),0))</f>
        <v/>
      </c>
      <c r="Z316" s="122">
        <f>IFERROR($Y317/MAX(1,(LEN($I317)-LEN(SUBSTITUTE($I317," Ltd","")))/LEN(" Ltd")),0)</f>
        <v/>
      </c>
      <c r="AA316" s="122">
        <f>IFERROR(IFERROR((LEN($T317)-LEN(SUBSTITUTE($T317,"Quality of Works / Criteria of Failings:","")))/LEN("Quality of Works / Criteria of Failings:"),0)/MAX(1,(LEN($I317)-LEN(SUBSTITUTE($I317," Ltd","")))/LEN(" Ltd")),0)</f>
        <v/>
      </c>
      <c r="AB316" s="122">
        <f>IFERROR(IFERROR((LEN($T317)-LEN(SUBSTITUTE($T317,"Quality of Works / Criteria of Failings:Compliant","")))/LEN("Quality of Works / Criteria of Failings:Compliant"),0)/MAX(1,(LEN($I317)-LEN(SUBSTITUTE($I317," Ltd","")))/LEN(" Ltd")),0)</f>
        <v/>
      </c>
    </row>
    <row r="317" ht="15.75" customHeight="1" s="146">
      <c r="Y317" s="122">
        <f>MAX(0,IFERROR((LEN($T318)-LEN(SUBSTITUTE($T318,"Quality of Works / Criteria of Failings:","")))/LEN("Quality of Works / Criteria of Failings:"),0)-IFERROR((LEN($T318)-LEN(SUBSTITUTE($T318,"Quality of Works / Criteria of Failings:Compliant","")))/LEN("Quality of Works / Criteria of Failings:Compliant"),0))</f>
        <v/>
      </c>
      <c r="Z317" s="122">
        <f>IFERROR($Y318/MAX(1,(LEN($I318)-LEN(SUBSTITUTE($I318," Ltd","")))/LEN(" Ltd")),0)</f>
        <v/>
      </c>
      <c r="AA317" s="122">
        <f>IFERROR(IFERROR((LEN($T318)-LEN(SUBSTITUTE($T318,"Quality of Works / Criteria of Failings:","")))/LEN("Quality of Works / Criteria of Failings:"),0)/MAX(1,(LEN($I318)-LEN(SUBSTITUTE($I318," Ltd","")))/LEN(" Ltd")),0)</f>
        <v/>
      </c>
      <c r="AB317" s="122">
        <f>IFERROR(IFERROR((LEN($T318)-LEN(SUBSTITUTE($T318,"Quality of Works / Criteria of Failings:Compliant","")))/LEN("Quality of Works / Criteria of Failings:Compliant"),0)/MAX(1,(LEN($I318)-LEN(SUBSTITUTE($I318," Ltd","")))/LEN(" Ltd")),0)</f>
        <v/>
      </c>
    </row>
    <row r="318" ht="15.75" customHeight="1" s="146">
      <c r="Y318" s="122">
        <f>MAX(0,IFERROR((LEN($T319)-LEN(SUBSTITUTE($T319,"Quality of Works / Criteria of Failings:","")))/LEN("Quality of Works / Criteria of Failings:"),0)-IFERROR((LEN($T319)-LEN(SUBSTITUTE($T319,"Quality of Works / Criteria of Failings:Compliant","")))/LEN("Quality of Works / Criteria of Failings:Compliant"),0))</f>
        <v/>
      </c>
      <c r="Z318" s="122">
        <f>IFERROR($Y319/MAX(1,(LEN($I319)-LEN(SUBSTITUTE($I319," Ltd","")))/LEN(" Ltd")),0)</f>
        <v/>
      </c>
      <c r="AA318" s="122">
        <f>IFERROR(IFERROR((LEN($T319)-LEN(SUBSTITUTE($T319,"Quality of Works / Criteria of Failings:","")))/LEN("Quality of Works / Criteria of Failings:"),0)/MAX(1,(LEN($I319)-LEN(SUBSTITUTE($I319," Ltd","")))/LEN(" Ltd")),0)</f>
        <v/>
      </c>
      <c r="AB318" s="122">
        <f>IFERROR(IFERROR((LEN($T319)-LEN(SUBSTITUTE($T319,"Quality of Works / Criteria of Failings:Compliant","")))/LEN("Quality of Works / Criteria of Failings:Compliant"),0)/MAX(1,(LEN($I319)-LEN(SUBSTITUTE($I319," Ltd","")))/LEN(" Ltd")),0)</f>
        <v/>
      </c>
    </row>
    <row r="319" ht="15.75" customHeight="1" s="146">
      <c r="Y319" s="122">
        <f>MAX(0,IFERROR((LEN($T320)-LEN(SUBSTITUTE($T320,"Quality of Works / Criteria of Failings:","")))/LEN("Quality of Works / Criteria of Failings:"),0)-IFERROR((LEN($T320)-LEN(SUBSTITUTE($T320,"Quality of Works / Criteria of Failings:Compliant","")))/LEN("Quality of Works / Criteria of Failings:Compliant"),0))</f>
        <v/>
      </c>
      <c r="Z319" s="122">
        <f>IFERROR($Y320/MAX(1,(LEN($I320)-LEN(SUBSTITUTE($I320," Ltd","")))/LEN(" Ltd")),0)</f>
        <v/>
      </c>
      <c r="AA319" s="122">
        <f>IFERROR(IFERROR((LEN($T320)-LEN(SUBSTITUTE($T320,"Quality of Works / Criteria of Failings:","")))/LEN("Quality of Works / Criteria of Failings:"),0)/MAX(1,(LEN($I320)-LEN(SUBSTITUTE($I320," Ltd","")))/LEN(" Ltd")),0)</f>
        <v/>
      </c>
      <c r="AB319" s="122">
        <f>IFERROR(IFERROR((LEN($T320)-LEN(SUBSTITUTE($T320,"Quality of Works / Criteria of Failings:Compliant","")))/LEN("Quality of Works / Criteria of Failings:Compliant"),0)/MAX(1,(LEN($I320)-LEN(SUBSTITUTE($I320," Ltd","")))/LEN(" Ltd")),0)</f>
        <v/>
      </c>
    </row>
    <row r="320" ht="15.75" customHeight="1" s="146">
      <c r="Y320" s="122">
        <f>MAX(0,IFERROR((LEN($T321)-LEN(SUBSTITUTE($T321,"Quality of Works / Criteria of Failings:","")))/LEN("Quality of Works / Criteria of Failings:"),0)-IFERROR((LEN($T321)-LEN(SUBSTITUTE($T321,"Quality of Works / Criteria of Failings:Compliant","")))/LEN("Quality of Works / Criteria of Failings:Compliant"),0))</f>
        <v/>
      </c>
      <c r="Z320" s="122">
        <f>IFERROR($Y321/MAX(1,(LEN($I321)-LEN(SUBSTITUTE($I321," Ltd","")))/LEN(" Ltd")),0)</f>
        <v/>
      </c>
      <c r="AA320" s="122">
        <f>IFERROR(IFERROR((LEN($T321)-LEN(SUBSTITUTE($T321,"Quality of Works / Criteria of Failings:","")))/LEN("Quality of Works / Criteria of Failings:"),0)/MAX(1,(LEN($I321)-LEN(SUBSTITUTE($I321," Ltd","")))/LEN(" Ltd")),0)</f>
        <v/>
      </c>
      <c r="AB320" s="122">
        <f>IFERROR(IFERROR((LEN($T321)-LEN(SUBSTITUTE($T321,"Quality of Works / Criteria of Failings:Compliant","")))/LEN("Quality of Works / Criteria of Failings:Compliant"),0)/MAX(1,(LEN($I321)-LEN(SUBSTITUTE($I321," Ltd","")))/LEN(" Ltd")),0)</f>
        <v/>
      </c>
    </row>
    <row r="321" ht="15.75" customHeight="1" s="146">
      <c r="Y321" s="122">
        <f>MAX(0,IFERROR((LEN($T322)-LEN(SUBSTITUTE($T322,"Quality of Works / Criteria of Failings:","")))/LEN("Quality of Works / Criteria of Failings:"),0)-IFERROR((LEN($T322)-LEN(SUBSTITUTE($T322,"Quality of Works / Criteria of Failings:Compliant","")))/LEN("Quality of Works / Criteria of Failings:Compliant"),0))</f>
        <v/>
      </c>
      <c r="Z321" s="122">
        <f>IFERROR($Y322/MAX(1,(LEN($I322)-LEN(SUBSTITUTE($I322," Ltd","")))/LEN(" Ltd")),0)</f>
        <v/>
      </c>
      <c r="AA321" s="122">
        <f>IFERROR(IFERROR((LEN($T322)-LEN(SUBSTITUTE($T322,"Quality of Works / Criteria of Failings:","")))/LEN("Quality of Works / Criteria of Failings:"),0)/MAX(1,(LEN($I322)-LEN(SUBSTITUTE($I322," Ltd","")))/LEN(" Ltd")),0)</f>
        <v/>
      </c>
      <c r="AB321" s="122">
        <f>IFERROR(IFERROR((LEN($T322)-LEN(SUBSTITUTE($T322,"Quality of Works / Criteria of Failings:Compliant","")))/LEN("Quality of Works / Criteria of Failings:Compliant"),0)/MAX(1,(LEN($I322)-LEN(SUBSTITUTE($I322," Ltd","")))/LEN(" Ltd")),0)</f>
        <v/>
      </c>
    </row>
    <row r="322" ht="15.75" customHeight="1" s="146">
      <c r="Y322" s="122">
        <f>MAX(0,IFERROR((LEN($T323)-LEN(SUBSTITUTE($T323,"Quality of Works / Criteria of Failings:","")))/LEN("Quality of Works / Criteria of Failings:"),0)-IFERROR((LEN($T323)-LEN(SUBSTITUTE($T323,"Quality of Works / Criteria of Failings:Compliant","")))/LEN("Quality of Works / Criteria of Failings:Compliant"),0))</f>
        <v/>
      </c>
      <c r="Z322" s="122">
        <f>IFERROR($Y323/MAX(1,(LEN($I323)-LEN(SUBSTITUTE($I323," Ltd","")))/LEN(" Ltd")),0)</f>
        <v/>
      </c>
      <c r="AA322" s="122">
        <f>IFERROR(IFERROR((LEN($T323)-LEN(SUBSTITUTE($T323,"Quality of Works / Criteria of Failings:","")))/LEN("Quality of Works / Criteria of Failings:"),0)/MAX(1,(LEN($I323)-LEN(SUBSTITUTE($I323," Ltd","")))/LEN(" Ltd")),0)</f>
        <v/>
      </c>
      <c r="AB322" s="122">
        <f>IFERROR(IFERROR((LEN($T323)-LEN(SUBSTITUTE($T323,"Quality of Works / Criteria of Failings:Compliant","")))/LEN("Quality of Works / Criteria of Failings:Compliant"),0)/MAX(1,(LEN($I323)-LEN(SUBSTITUTE($I323," Ltd","")))/LEN(" Ltd")),0)</f>
        <v/>
      </c>
    </row>
    <row r="323" ht="15.75" customHeight="1" s="146">
      <c r="Y323" s="122">
        <f>MAX(0,IFERROR((LEN($T324)-LEN(SUBSTITUTE($T324,"Quality of Works / Criteria of Failings:","")))/LEN("Quality of Works / Criteria of Failings:"),0)-IFERROR((LEN($T324)-LEN(SUBSTITUTE($T324,"Quality of Works / Criteria of Failings:Compliant","")))/LEN("Quality of Works / Criteria of Failings:Compliant"),0))</f>
        <v/>
      </c>
      <c r="Z323" s="122">
        <f>IFERROR($Y324/MAX(1,(LEN($I324)-LEN(SUBSTITUTE($I324," Ltd","")))/LEN(" Ltd")),0)</f>
        <v/>
      </c>
      <c r="AA323" s="122">
        <f>IFERROR(IFERROR((LEN($T324)-LEN(SUBSTITUTE($T324,"Quality of Works / Criteria of Failings:","")))/LEN("Quality of Works / Criteria of Failings:"),0)/MAX(1,(LEN($I324)-LEN(SUBSTITUTE($I324," Ltd","")))/LEN(" Ltd")),0)</f>
        <v/>
      </c>
      <c r="AB323" s="122">
        <f>IFERROR(IFERROR((LEN($T324)-LEN(SUBSTITUTE($T324,"Quality of Works / Criteria of Failings:Compliant","")))/LEN("Quality of Works / Criteria of Failings:Compliant"),0)/MAX(1,(LEN($I324)-LEN(SUBSTITUTE($I324," Ltd","")))/LEN(" Ltd")),0)</f>
        <v/>
      </c>
    </row>
    <row r="324" ht="15.75" customHeight="1" s="146">
      <c r="Y324" s="122">
        <f>MAX(0,IFERROR((LEN($T325)-LEN(SUBSTITUTE($T325,"Quality of Works / Criteria of Failings:","")))/LEN("Quality of Works / Criteria of Failings:"),0)-IFERROR((LEN($T325)-LEN(SUBSTITUTE($T325,"Quality of Works / Criteria of Failings:Compliant","")))/LEN("Quality of Works / Criteria of Failings:Compliant"),0))</f>
        <v/>
      </c>
      <c r="Z324" s="122">
        <f>IFERROR($Y325/MAX(1,(LEN($I325)-LEN(SUBSTITUTE($I325," Ltd","")))/LEN(" Ltd")),0)</f>
        <v/>
      </c>
      <c r="AA324" s="122">
        <f>IFERROR(IFERROR((LEN($T325)-LEN(SUBSTITUTE($T325,"Quality of Works / Criteria of Failings:","")))/LEN("Quality of Works / Criteria of Failings:"),0)/MAX(1,(LEN($I325)-LEN(SUBSTITUTE($I325," Ltd","")))/LEN(" Ltd")),0)</f>
        <v/>
      </c>
      <c r="AB324" s="122">
        <f>IFERROR(IFERROR((LEN($T325)-LEN(SUBSTITUTE($T325,"Quality of Works / Criteria of Failings:Compliant","")))/LEN("Quality of Works / Criteria of Failings:Compliant"),0)/MAX(1,(LEN($I325)-LEN(SUBSTITUTE($I325," Ltd","")))/LEN(" Ltd")),0)</f>
        <v/>
      </c>
    </row>
    <row r="325" ht="15.75" customHeight="1" s="146">
      <c r="Y325" s="122">
        <f>MAX(0,IFERROR((LEN($T326)-LEN(SUBSTITUTE($T326,"Quality of Works / Criteria of Failings:","")))/LEN("Quality of Works / Criteria of Failings:"),0)-IFERROR((LEN($T326)-LEN(SUBSTITUTE($T326,"Quality of Works / Criteria of Failings:Compliant","")))/LEN("Quality of Works / Criteria of Failings:Compliant"),0))</f>
        <v/>
      </c>
      <c r="Z325" s="122">
        <f>IFERROR($Y326/MAX(1,(LEN($I326)-LEN(SUBSTITUTE($I326," Ltd","")))/LEN(" Ltd")),0)</f>
        <v/>
      </c>
      <c r="AA325" s="122">
        <f>IFERROR(IFERROR((LEN($T326)-LEN(SUBSTITUTE($T326,"Quality of Works / Criteria of Failings:","")))/LEN("Quality of Works / Criteria of Failings:"),0)/MAX(1,(LEN($I326)-LEN(SUBSTITUTE($I326," Ltd","")))/LEN(" Ltd")),0)</f>
        <v/>
      </c>
      <c r="AB325" s="122">
        <f>IFERROR(IFERROR((LEN($T326)-LEN(SUBSTITUTE($T326,"Quality of Works / Criteria of Failings:Compliant","")))/LEN("Quality of Works / Criteria of Failings:Compliant"),0)/MAX(1,(LEN($I326)-LEN(SUBSTITUTE($I326," Ltd","")))/LEN(" Ltd")),0)</f>
        <v/>
      </c>
    </row>
    <row r="326" ht="15.75" customHeight="1" s="146">
      <c r="Y326" s="122">
        <f>MAX(0,IFERROR((LEN($T327)-LEN(SUBSTITUTE($T327,"Quality of Works / Criteria of Failings:","")))/LEN("Quality of Works / Criteria of Failings:"),0)-IFERROR((LEN($T327)-LEN(SUBSTITUTE($T327,"Quality of Works / Criteria of Failings:Compliant","")))/LEN("Quality of Works / Criteria of Failings:Compliant"),0))</f>
        <v/>
      </c>
      <c r="Z326" s="122">
        <f>IFERROR($Y327/MAX(1,(LEN($I327)-LEN(SUBSTITUTE($I327," Ltd","")))/LEN(" Ltd")),0)</f>
        <v/>
      </c>
      <c r="AA326" s="122">
        <f>IFERROR(IFERROR((LEN($T327)-LEN(SUBSTITUTE($T327,"Quality of Works / Criteria of Failings:","")))/LEN("Quality of Works / Criteria of Failings:"),0)/MAX(1,(LEN($I327)-LEN(SUBSTITUTE($I327," Ltd","")))/LEN(" Ltd")),0)</f>
        <v/>
      </c>
      <c r="AB326" s="122">
        <f>IFERROR(IFERROR((LEN($T327)-LEN(SUBSTITUTE($T327,"Quality of Works / Criteria of Failings:Compliant","")))/LEN("Quality of Works / Criteria of Failings:Compliant"),0)/MAX(1,(LEN($I327)-LEN(SUBSTITUTE($I327," Ltd","")))/LEN(" Ltd")),0)</f>
        <v/>
      </c>
    </row>
    <row r="327" ht="15.75" customHeight="1" s="146">
      <c r="Y327" s="122">
        <f>MAX(0,IFERROR((LEN($T328)-LEN(SUBSTITUTE($T328,"Quality of Works / Criteria of Failings:","")))/LEN("Quality of Works / Criteria of Failings:"),0)-IFERROR((LEN($T328)-LEN(SUBSTITUTE($T328,"Quality of Works / Criteria of Failings:Compliant","")))/LEN("Quality of Works / Criteria of Failings:Compliant"),0))</f>
        <v/>
      </c>
      <c r="Z327" s="122">
        <f>IFERROR($Y328/MAX(1,(LEN($I328)-LEN(SUBSTITUTE($I328," Ltd","")))/LEN(" Ltd")),0)</f>
        <v/>
      </c>
      <c r="AA327" s="122">
        <f>IFERROR(IFERROR((LEN($T328)-LEN(SUBSTITUTE($T328,"Quality of Works / Criteria of Failings:","")))/LEN("Quality of Works / Criteria of Failings:"),0)/MAX(1,(LEN($I328)-LEN(SUBSTITUTE($I328," Ltd","")))/LEN(" Ltd")),0)</f>
        <v/>
      </c>
      <c r="AB327" s="122">
        <f>IFERROR(IFERROR((LEN($T328)-LEN(SUBSTITUTE($T328,"Quality of Works / Criteria of Failings:Compliant","")))/LEN("Quality of Works / Criteria of Failings:Compliant"),0)/MAX(1,(LEN($I328)-LEN(SUBSTITUTE($I328," Ltd","")))/LEN(" Ltd")),0)</f>
        <v/>
      </c>
    </row>
    <row r="328" ht="15.75" customHeight="1" s="146">
      <c r="Y328" s="122">
        <f>MAX(0,IFERROR((LEN($T329)-LEN(SUBSTITUTE($T329,"Quality of Works / Criteria of Failings:","")))/LEN("Quality of Works / Criteria of Failings:"),0)-IFERROR((LEN($T329)-LEN(SUBSTITUTE($T329,"Quality of Works / Criteria of Failings:Compliant","")))/LEN("Quality of Works / Criteria of Failings:Compliant"),0))</f>
        <v/>
      </c>
      <c r="Z328" s="122">
        <f>IFERROR($Y329/MAX(1,(LEN($I329)-LEN(SUBSTITUTE($I329," Ltd","")))/LEN(" Ltd")),0)</f>
        <v/>
      </c>
      <c r="AA328" s="122">
        <f>IFERROR(IFERROR((LEN($T329)-LEN(SUBSTITUTE($T329,"Quality of Works / Criteria of Failings:","")))/LEN("Quality of Works / Criteria of Failings:"),0)/MAX(1,(LEN($I329)-LEN(SUBSTITUTE($I329," Ltd","")))/LEN(" Ltd")),0)</f>
        <v/>
      </c>
      <c r="AB328" s="122">
        <f>IFERROR(IFERROR((LEN($T329)-LEN(SUBSTITUTE($T329,"Quality of Works / Criteria of Failings:Compliant","")))/LEN("Quality of Works / Criteria of Failings:Compliant"),0)/MAX(1,(LEN($I329)-LEN(SUBSTITUTE($I329," Ltd","")))/LEN(" Ltd")),0)</f>
        <v/>
      </c>
    </row>
    <row r="329" ht="15.75" customHeight="1" s="146">
      <c r="Y329" s="122">
        <f>MAX(0,IFERROR((LEN($T330)-LEN(SUBSTITUTE($T330,"Quality of Works / Criteria of Failings:","")))/LEN("Quality of Works / Criteria of Failings:"),0)-IFERROR((LEN($T330)-LEN(SUBSTITUTE($T330,"Quality of Works / Criteria of Failings:Compliant","")))/LEN("Quality of Works / Criteria of Failings:Compliant"),0))</f>
        <v/>
      </c>
      <c r="Z329" s="122">
        <f>IFERROR($Y330/MAX(1,(LEN($I330)-LEN(SUBSTITUTE($I330," Ltd","")))/LEN(" Ltd")),0)</f>
        <v/>
      </c>
      <c r="AA329" s="122">
        <f>IFERROR(IFERROR((LEN($T330)-LEN(SUBSTITUTE($T330,"Quality of Works / Criteria of Failings:","")))/LEN("Quality of Works / Criteria of Failings:"),0)/MAX(1,(LEN($I330)-LEN(SUBSTITUTE($I330," Ltd","")))/LEN(" Ltd")),0)</f>
        <v/>
      </c>
      <c r="AB329" s="122">
        <f>IFERROR(IFERROR((LEN($T330)-LEN(SUBSTITUTE($T330,"Quality of Works / Criteria of Failings:Compliant","")))/LEN("Quality of Works / Criteria of Failings:Compliant"),0)/MAX(1,(LEN($I330)-LEN(SUBSTITUTE($I330," Ltd","")))/LEN(" Ltd")),0)</f>
        <v/>
      </c>
    </row>
    <row r="330" ht="15.75" customHeight="1" s="146">
      <c r="Y330" s="122">
        <f>MAX(0,IFERROR((LEN($T331)-LEN(SUBSTITUTE($T331,"Quality of Works / Criteria of Failings:","")))/LEN("Quality of Works / Criteria of Failings:"),0)-IFERROR((LEN($T331)-LEN(SUBSTITUTE($T331,"Quality of Works / Criteria of Failings:Compliant","")))/LEN("Quality of Works / Criteria of Failings:Compliant"),0))</f>
        <v/>
      </c>
      <c r="Z330" s="122">
        <f>IFERROR($Y331/MAX(1,(LEN($I331)-LEN(SUBSTITUTE($I331," Ltd","")))/LEN(" Ltd")),0)</f>
        <v/>
      </c>
      <c r="AA330" s="122">
        <f>IFERROR(IFERROR((LEN($T331)-LEN(SUBSTITUTE($T331,"Quality of Works / Criteria of Failings:","")))/LEN("Quality of Works / Criteria of Failings:"),0)/MAX(1,(LEN($I331)-LEN(SUBSTITUTE($I331," Ltd","")))/LEN(" Ltd")),0)</f>
        <v/>
      </c>
      <c r="AB330" s="122">
        <f>IFERROR(IFERROR((LEN($T331)-LEN(SUBSTITUTE($T331,"Quality of Works / Criteria of Failings:Compliant","")))/LEN("Quality of Works / Criteria of Failings:Compliant"),0)/MAX(1,(LEN($I331)-LEN(SUBSTITUTE($I331," Ltd","")))/LEN(" Ltd")),0)</f>
        <v/>
      </c>
    </row>
    <row r="331" ht="15.75" customHeight="1" s="146">
      <c r="Y331" s="122">
        <f>MAX(0,IFERROR((LEN($T332)-LEN(SUBSTITUTE($T332,"Quality of Works / Criteria of Failings:","")))/LEN("Quality of Works / Criteria of Failings:"),0)-IFERROR((LEN($T332)-LEN(SUBSTITUTE($T332,"Quality of Works / Criteria of Failings:Compliant","")))/LEN("Quality of Works / Criteria of Failings:Compliant"),0))</f>
        <v/>
      </c>
      <c r="Z331" s="122">
        <f>IFERROR($Y332/MAX(1,(LEN($I332)-LEN(SUBSTITUTE($I332," Ltd","")))/LEN(" Ltd")),0)</f>
        <v/>
      </c>
      <c r="AA331" s="122">
        <f>IFERROR(IFERROR((LEN($T332)-LEN(SUBSTITUTE($T332,"Quality of Works / Criteria of Failings:","")))/LEN("Quality of Works / Criteria of Failings:"),0)/MAX(1,(LEN($I332)-LEN(SUBSTITUTE($I332," Ltd","")))/LEN(" Ltd")),0)</f>
        <v/>
      </c>
      <c r="AB331" s="122">
        <f>IFERROR(IFERROR((LEN($T332)-LEN(SUBSTITUTE($T332,"Quality of Works / Criteria of Failings:Compliant","")))/LEN("Quality of Works / Criteria of Failings:Compliant"),0)/MAX(1,(LEN($I332)-LEN(SUBSTITUTE($I332," Ltd","")))/LEN(" Ltd")),0)</f>
        <v/>
      </c>
    </row>
    <row r="332" ht="15.75" customHeight="1" s="146">
      <c r="Y332" s="122">
        <f>MAX(0,IFERROR((LEN($T333)-LEN(SUBSTITUTE($T333,"Quality of Works / Criteria of Failings:","")))/LEN("Quality of Works / Criteria of Failings:"),0)-IFERROR((LEN($T333)-LEN(SUBSTITUTE($T333,"Quality of Works / Criteria of Failings:Compliant","")))/LEN("Quality of Works / Criteria of Failings:Compliant"),0))</f>
        <v/>
      </c>
      <c r="Z332" s="122">
        <f>IFERROR($Y333/MAX(1,(LEN($I333)-LEN(SUBSTITUTE($I333," Ltd","")))/LEN(" Ltd")),0)</f>
        <v/>
      </c>
      <c r="AA332" s="122">
        <f>IFERROR(IFERROR((LEN($T333)-LEN(SUBSTITUTE($T333,"Quality of Works / Criteria of Failings:","")))/LEN("Quality of Works / Criteria of Failings:"),0)/MAX(1,(LEN($I333)-LEN(SUBSTITUTE($I333," Ltd","")))/LEN(" Ltd")),0)</f>
        <v/>
      </c>
      <c r="AB332" s="122">
        <f>IFERROR(IFERROR((LEN($T333)-LEN(SUBSTITUTE($T333,"Quality of Works / Criteria of Failings:Compliant","")))/LEN("Quality of Works / Criteria of Failings:Compliant"),0)/MAX(1,(LEN($I333)-LEN(SUBSTITUTE($I333," Ltd","")))/LEN(" Ltd")),0)</f>
        <v/>
      </c>
    </row>
    <row r="333" ht="15.75" customHeight="1" s="146">
      <c r="Y333" s="122">
        <f>MAX(0,IFERROR((LEN($T334)-LEN(SUBSTITUTE($T334,"Quality of Works / Criteria of Failings:","")))/LEN("Quality of Works / Criteria of Failings:"),0)-IFERROR((LEN($T334)-LEN(SUBSTITUTE($T334,"Quality of Works / Criteria of Failings:Compliant","")))/LEN("Quality of Works / Criteria of Failings:Compliant"),0))</f>
        <v/>
      </c>
      <c r="Z333" s="122">
        <f>IFERROR($Y334/MAX(1,(LEN($I334)-LEN(SUBSTITUTE($I334," Ltd","")))/LEN(" Ltd")),0)</f>
        <v/>
      </c>
      <c r="AA333" s="122">
        <f>IFERROR(IFERROR((LEN($T334)-LEN(SUBSTITUTE($T334,"Quality of Works / Criteria of Failings:","")))/LEN("Quality of Works / Criteria of Failings:"),0)/MAX(1,(LEN($I334)-LEN(SUBSTITUTE($I334," Ltd","")))/LEN(" Ltd")),0)</f>
        <v/>
      </c>
      <c r="AB333" s="122">
        <f>IFERROR(IFERROR((LEN($T334)-LEN(SUBSTITUTE($T334,"Quality of Works / Criteria of Failings:Compliant","")))/LEN("Quality of Works / Criteria of Failings:Compliant"),0)/MAX(1,(LEN($I334)-LEN(SUBSTITUTE($I334," Ltd","")))/LEN(" Ltd")),0)</f>
        <v/>
      </c>
    </row>
    <row r="334" ht="15.75" customHeight="1" s="146">
      <c r="Y334" s="122">
        <f>MAX(0,IFERROR((LEN($T335)-LEN(SUBSTITUTE($T335,"Quality of Works / Criteria of Failings:","")))/LEN("Quality of Works / Criteria of Failings:"),0)-IFERROR((LEN($T335)-LEN(SUBSTITUTE($T335,"Quality of Works / Criteria of Failings:Compliant","")))/LEN("Quality of Works / Criteria of Failings:Compliant"),0))</f>
        <v/>
      </c>
      <c r="Z334" s="122">
        <f>IFERROR($Y335/MAX(1,(LEN($I335)-LEN(SUBSTITUTE($I335," Ltd","")))/LEN(" Ltd")),0)</f>
        <v/>
      </c>
      <c r="AA334" s="122">
        <f>IFERROR(IFERROR((LEN($T335)-LEN(SUBSTITUTE($T335,"Quality of Works / Criteria of Failings:","")))/LEN("Quality of Works / Criteria of Failings:"),0)/MAX(1,(LEN($I335)-LEN(SUBSTITUTE($I335," Ltd","")))/LEN(" Ltd")),0)</f>
        <v/>
      </c>
      <c r="AB334" s="122">
        <f>IFERROR(IFERROR((LEN($T335)-LEN(SUBSTITUTE($T335,"Quality of Works / Criteria of Failings:Compliant","")))/LEN("Quality of Works / Criteria of Failings:Compliant"),0)/MAX(1,(LEN($I335)-LEN(SUBSTITUTE($I335," Ltd","")))/LEN(" Ltd")),0)</f>
        <v/>
      </c>
    </row>
    <row r="335" ht="15.75" customHeight="1" s="146">
      <c r="Y335" s="122">
        <f>MAX(0,IFERROR((LEN($T336)-LEN(SUBSTITUTE($T336,"Quality of Works / Criteria of Failings:","")))/LEN("Quality of Works / Criteria of Failings:"),0)-IFERROR((LEN($T336)-LEN(SUBSTITUTE($T336,"Quality of Works / Criteria of Failings:Compliant","")))/LEN("Quality of Works / Criteria of Failings:Compliant"),0))</f>
        <v/>
      </c>
      <c r="Z335" s="122">
        <f>IFERROR($Y336/MAX(1,(LEN($I336)-LEN(SUBSTITUTE($I336," Ltd","")))/LEN(" Ltd")),0)</f>
        <v/>
      </c>
      <c r="AA335" s="122">
        <f>IFERROR(IFERROR((LEN($T336)-LEN(SUBSTITUTE($T336,"Quality of Works / Criteria of Failings:","")))/LEN("Quality of Works / Criteria of Failings:"),0)/MAX(1,(LEN($I336)-LEN(SUBSTITUTE($I336," Ltd","")))/LEN(" Ltd")),0)</f>
        <v/>
      </c>
      <c r="AB335" s="122">
        <f>IFERROR(IFERROR((LEN($T336)-LEN(SUBSTITUTE($T336,"Quality of Works / Criteria of Failings:Compliant","")))/LEN("Quality of Works / Criteria of Failings:Compliant"),0)/MAX(1,(LEN($I336)-LEN(SUBSTITUTE($I336," Ltd","")))/LEN(" Ltd")),0)</f>
        <v/>
      </c>
    </row>
    <row r="336" ht="15.75" customHeight="1" s="146">
      <c r="Y336" s="122">
        <f>MAX(0,IFERROR((LEN($T337)-LEN(SUBSTITUTE($T337,"Quality of Works / Criteria of Failings:","")))/LEN("Quality of Works / Criteria of Failings:"),0)-IFERROR((LEN($T337)-LEN(SUBSTITUTE($T337,"Quality of Works / Criteria of Failings:Compliant","")))/LEN("Quality of Works / Criteria of Failings:Compliant"),0))</f>
        <v/>
      </c>
      <c r="Z336" s="122">
        <f>IFERROR($Y337/MAX(1,(LEN($I337)-LEN(SUBSTITUTE($I337," Ltd","")))/LEN(" Ltd")),0)</f>
        <v/>
      </c>
      <c r="AA336" s="122">
        <f>IFERROR(IFERROR((LEN($T337)-LEN(SUBSTITUTE($T337,"Quality of Works / Criteria of Failings:","")))/LEN("Quality of Works / Criteria of Failings:"),0)/MAX(1,(LEN($I337)-LEN(SUBSTITUTE($I337," Ltd","")))/LEN(" Ltd")),0)</f>
        <v/>
      </c>
      <c r="AB336" s="122">
        <f>IFERROR(IFERROR((LEN($T337)-LEN(SUBSTITUTE($T337,"Quality of Works / Criteria of Failings:Compliant","")))/LEN("Quality of Works / Criteria of Failings:Compliant"),0)/MAX(1,(LEN($I337)-LEN(SUBSTITUTE($I337," Ltd","")))/LEN(" Ltd")),0)</f>
        <v/>
      </c>
    </row>
    <row r="337" ht="15.75" customHeight="1" s="146">
      <c r="Y337" s="122">
        <f>MAX(0,IFERROR((LEN($T338)-LEN(SUBSTITUTE($T338,"Quality of Works / Criteria of Failings:","")))/LEN("Quality of Works / Criteria of Failings:"),0)-IFERROR((LEN($T338)-LEN(SUBSTITUTE($T338,"Quality of Works / Criteria of Failings:Compliant","")))/LEN("Quality of Works / Criteria of Failings:Compliant"),0))</f>
        <v/>
      </c>
      <c r="Z337" s="122">
        <f>IFERROR($Y338/MAX(1,(LEN($I338)-LEN(SUBSTITUTE($I338," Ltd","")))/LEN(" Ltd")),0)</f>
        <v/>
      </c>
      <c r="AA337" s="122">
        <f>IFERROR(IFERROR((LEN($T338)-LEN(SUBSTITUTE($T338,"Quality of Works / Criteria of Failings:","")))/LEN("Quality of Works / Criteria of Failings:"),0)/MAX(1,(LEN($I338)-LEN(SUBSTITUTE($I338," Ltd","")))/LEN(" Ltd")),0)</f>
        <v/>
      </c>
      <c r="AB337" s="122">
        <f>IFERROR(IFERROR((LEN($T338)-LEN(SUBSTITUTE($T338,"Quality of Works / Criteria of Failings:Compliant","")))/LEN("Quality of Works / Criteria of Failings:Compliant"),0)/MAX(1,(LEN($I338)-LEN(SUBSTITUTE($I338," Ltd","")))/LEN(" Ltd")),0)</f>
        <v/>
      </c>
    </row>
    <row r="338" ht="15.75" customHeight="1" s="146">
      <c r="Y338" s="122">
        <f>MAX(0,IFERROR((LEN($T339)-LEN(SUBSTITUTE($T339,"Quality of Works / Criteria of Failings:","")))/LEN("Quality of Works / Criteria of Failings:"),0)-IFERROR((LEN($T339)-LEN(SUBSTITUTE($T339,"Quality of Works / Criteria of Failings:Compliant","")))/LEN("Quality of Works / Criteria of Failings:Compliant"),0))</f>
        <v/>
      </c>
      <c r="Z338" s="122">
        <f>IFERROR($Y339/MAX(1,(LEN($I339)-LEN(SUBSTITUTE($I339," Ltd","")))/LEN(" Ltd")),0)</f>
        <v/>
      </c>
      <c r="AA338" s="122">
        <f>IFERROR(IFERROR((LEN($T339)-LEN(SUBSTITUTE($T339,"Quality of Works / Criteria of Failings:","")))/LEN("Quality of Works / Criteria of Failings:"),0)/MAX(1,(LEN($I339)-LEN(SUBSTITUTE($I339," Ltd","")))/LEN(" Ltd")),0)</f>
        <v/>
      </c>
      <c r="AB338" s="122">
        <f>IFERROR(IFERROR((LEN($T339)-LEN(SUBSTITUTE($T339,"Quality of Works / Criteria of Failings:Compliant","")))/LEN("Quality of Works / Criteria of Failings:Compliant"),0)/MAX(1,(LEN($I339)-LEN(SUBSTITUTE($I339," Ltd","")))/LEN(" Ltd")),0)</f>
        <v/>
      </c>
    </row>
    <row r="339" ht="15.75" customHeight="1" s="146">
      <c r="Y339" s="122">
        <f>MAX(0,IFERROR((LEN($T340)-LEN(SUBSTITUTE($T340,"Quality of Works / Criteria of Failings:","")))/LEN("Quality of Works / Criteria of Failings:"),0)-IFERROR((LEN($T340)-LEN(SUBSTITUTE($T340,"Quality of Works / Criteria of Failings:Compliant","")))/LEN("Quality of Works / Criteria of Failings:Compliant"),0))</f>
        <v/>
      </c>
      <c r="Z339" s="122">
        <f>IFERROR($Y340/MAX(1,(LEN($I340)-LEN(SUBSTITUTE($I340," Ltd","")))/LEN(" Ltd")),0)</f>
        <v/>
      </c>
      <c r="AA339" s="122">
        <f>IFERROR(IFERROR((LEN($T340)-LEN(SUBSTITUTE($T340,"Quality of Works / Criteria of Failings:","")))/LEN("Quality of Works / Criteria of Failings:"),0)/MAX(1,(LEN($I340)-LEN(SUBSTITUTE($I340," Ltd","")))/LEN(" Ltd")),0)</f>
        <v/>
      </c>
      <c r="AB339" s="122">
        <f>IFERROR(IFERROR((LEN($T340)-LEN(SUBSTITUTE($T340,"Quality of Works / Criteria of Failings:Compliant","")))/LEN("Quality of Works / Criteria of Failings:Compliant"),0)/MAX(1,(LEN($I340)-LEN(SUBSTITUTE($I340," Ltd","")))/LEN(" Ltd")),0)</f>
        <v/>
      </c>
    </row>
    <row r="340" ht="15.75" customHeight="1" s="146">
      <c r="Y340" s="122">
        <f>MAX(0,IFERROR((LEN($T341)-LEN(SUBSTITUTE($T341,"Quality of Works / Criteria of Failings:","")))/LEN("Quality of Works / Criteria of Failings:"),0)-IFERROR((LEN($T341)-LEN(SUBSTITUTE($T341,"Quality of Works / Criteria of Failings:Compliant","")))/LEN("Quality of Works / Criteria of Failings:Compliant"),0))</f>
        <v/>
      </c>
      <c r="Z340" s="122">
        <f>IFERROR($Y341/MAX(1,(LEN($I341)-LEN(SUBSTITUTE($I341," Ltd","")))/LEN(" Ltd")),0)</f>
        <v/>
      </c>
      <c r="AA340" s="122">
        <f>IFERROR(IFERROR((LEN($T341)-LEN(SUBSTITUTE($T341,"Quality of Works / Criteria of Failings:","")))/LEN("Quality of Works / Criteria of Failings:"),0)/MAX(1,(LEN($I341)-LEN(SUBSTITUTE($I341," Ltd","")))/LEN(" Ltd")),0)</f>
        <v/>
      </c>
      <c r="AB340" s="122">
        <f>IFERROR(IFERROR((LEN($T341)-LEN(SUBSTITUTE($T341,"Quality of Works / Criteria of Failings:Compliant","")))/LEN("Quality of Works / Criteria of Failings:Compliant"),0)/MAX(1,(LEN($I341)-LEN(SUBSTITUTE($I341," Ltd","")))/LEN(" Ltd")),0)</f>
        <v/>
      </c>
    </row>
    <row r="341" ht="15.75" customHeight="1" s="146">
      <c r="Y341" s="122">
        <f>MAX(0,IFERROR((LEN($T342)-LEN(SUBSTITUTE($T342,"Quality of Works / Criteria of Failings:","")))/LEN("Quality of Works / Criteria of Failings:"),0)-IFERROR((LEN($T342)-LEN(SUBSTITUTE($T342,"Quality of Works / Criteria of Failings:Compliant","")))/LEN("Quality of Works / Criteria of Failings:Compliant"),0))</f>
        <v/>
      </c>
      <c r="Z341" s="122">
        <f>IFERROR($Y342/MAX(1,(LEN($I342)-LEN(SUBSTITUTE($I342," Ltd","")))/LEN(" Ltd")),0)</f>
        <v/>
      </c>
      <c r="AA341" s="122">
        <f>IFERROR(IFERROR((LEN($T342)-LEN(SUBSTITUTE($T342,"Quality of Works / Criteria of Failings:","")))/LEN("Quality of Works / Criteria of Failings:"),0)/MAX(1,(LEN($I342)-LEN(SUBSTITUTE($I342," Ltd","")))/LEN(" Ltd")),0)</f>
        <v/>
      </c>
      <c r="AB341" s="122">
        <f>IFERROR(IFERROR((LEN($T342)-LEN(SUBSTITUTE($T342,"Quality of Works / Criteria of Failings:Compliant","")))/LEN("Quality of Works / Criteria of Failings:Compliant"),0)/MAX(1,(LEN($I342)-LEN(SUBSTITUTE($I342," Ltd","")))/LEN(" Ltd")),0)</f>
        <v/>
      </c>
    </row>
    <row r="342" ht="15.75" customHeight="1" s="146">
      <c r="Y342" s="122">
        <f>MAX(0,IFERROR((LEN($T343)-LEN(SUBSTITUTE($T343,"Quality of Works / Criteria of Failings:","")))/LEN("Quality of Works / Criteria of Failings:"),0)-IFERROR((LEN($T343)-LEN(SUBSTITUTE($T343,"Quality of Works / Criteria of Failings:Compliant","")))/LEN("Quality of Works / Criteria of Failings:Compliant"),0))</f>
        <v/>
      </c>
      <c r="Z342" s="122">
        <f>IFERROR($Y343/MAX(1,(LEN($I343)-LEN(SUBSTITUTE($I343," Ltd","")))/LEN(" Ltd")),0)</f>
        <v/>
      </c>
      <c r="AA342" s="122">
        <f>IFERROR(IFERROR((LEN($T343)-LEN(SUBSTITUTE($T343,"Quality of Works / Criteria of Failings:","")))/LEN("Quality of Works / Criteria of Failings:"),0)/MAX(1,(LEN($I343)-LEN(SUBSTITUTE($I343," Ltd","")))/LEN(" Ltd")),0)</f>
        <v/>
      </c>
      <c r="AB342" s="122">
        <f>IFERROR(IFERROR((LEN($T343)-LEN(SUBSTITUTE($T343,"Quality of Works / Criteria of Failings:Compliant","")))/LEN("Quality of Works / Criteria of Failings:Compliant"),0)/MAX(1,(LEN($I343)-LEN(SUBSTITUTE($I343," Ltd","")))/LEN(" Ltd")),0)</f>
        <v/>
      </c>
    </row>
    <row r="343" ht="15.75" customHeight="1" s="146">
      <c r="Y343" s="122">
        <f>MAX(0,IFERROR((LEN($T344)-LEN(SUBSTITUTE($T344,"Quality of Works / Criteria of Failings:","")))/LEN("Quality of Works / Criteria of Failings:"),0)-IFERROR((LEN($T344)-LEN(SUBSTITUTE($T344,"Quality of Works / Criteria of Failings:Compliant","")))/LEN("Quality of Works / Criteria of Failings:Compliant"),0))</f>
        <v/>
      </c>
      <c r="Z343" s="122">
        <f>IFERROR($Y344/MAX(1,(LEN($I344)-LEN(SUBSTITUTE($I344," Ltd","")))/LEN(" Ltd")),0)</f>
        <v/>
      </c>
      <c r="AA343" s="122">
        <f>IFERROR(IFERROR((LEN($T344)-LEN(SUBSTITUTE($T344,"Quality of Works / Criteria of Failings:","")))/LEN("Quality of Works / Criteria of Failings:"),0)/MAX(1,(LEN($I344)-LEN(SUBSTITUTE($I344," Ltd","")))/LEN(" Ltd")),0)</f>
        <v/>
      </c>
      <c r="AB343" s="122">
        <f>IFERROR(IFERROR((LEN($T344)-LEN(SUBSTITUTE($T344,"Quality of Works / Criteria of Failings:Compliant","")))/LEN("Quality of Works / Criteria of Failings:Compliant"),0)/MAX(1,(LEN($I344)-LEN(SUBSTITUTE($I344," Ltd","")))/LEN(" Ltd")),0)</f>
        <v/>
      </c>
    </row>
    <row r="344" ht="15.75" customHeight="1" s="146">
      <c r="Y344" s="122">
        <f>MAX(0,IFERROR((LEN($T345)-LEN(SUBSTITUTE($T345,"Quality of Works / Criteria of Failings:","")))/LEN("Quality of Works / Criteria of Failings:"),0)-IFERROR((LEN($T345)-LEN(SUBSTITUTE($T345,"Quality of Works / Criteria of Failings:Compliant","")))/LEN("Quality of Works / Criteria of Failings:Compliant"),0))</f>
        <v/>
      </c>
      <c r="Z344" s="122">
        <f>IFERROR($Y345/MAX(1,(LEN($I345)-LEN(SUBSTITUTE($I345," Ltd","")))/LEN(" Ltd")),0)</f>
        <v/>
      </c>
      <c r="AA344" s="122">
        <f>IFERROR(IFERROR((LEN($T345)-LEN(SUBSTITUTE($T345,"Quality of Works / Criteria of Failings:","")))/LEN("Quality of Works / Criteria of Failings:"),0)/MAX(1,(LEN($I345)-LEN(SUBSTITUTE($I345," Ltd","")))/LEN(" Ltd")),0)</f>
        <v/>
      </c>
      <c r="AB344" s="122">
        <f>IFERROR(IFERROR((LEN($T345)-LEN(SUBSTITUTE($T345,"Quality of Works / Criteria of Failings:Compliant","")))/LEN("Quality of Works / Criteria of Failings:Compliant"),0)/MAX(1,(LEN($I345)-LEN(SUBSTITUTE($I345," Ltd","")))/LEN(" Ltd")),0)</f>
        <v/>
      </c>
    </row>
    <row r="345" ht="15.75" customHeight="1" s="146">
      <c r="Y345" s="122">
        <f>MAX(0,IFERROR((LEN($T346)-LEN(SUBSTITUTE($T346,"Quality of Works / Criteria of Failings:","")))/LEN("Quality of Works / Criteria of Failings:"),0)-IFERROR((LEN($T346)-LEN(SUBSTITUTE($T346,"Quality of Works / Criteria of Failings:Compliant","")))/LEN("Quality of Works / Criteria of Failings:Compliant"),0))</f>
        <v/>
      </c>
      <c r="Z345" s="122">
        <f>IFERROR($Y346/MAX(1,(LEN($I346)-LEN(SUBSTITUTE($I346," Ltd","")))/LEN(" Ltd")),0)</f>
        <v/>
      </c>
      <c r="AA345" s="122">
        <f>IFERROR(IFERROR((LEN($T346)-LEN(SUBSTITUTE($T346,"Quality of Works / Criteria of Failings:","")))/LEN("Quality of Works / Criteria of Failings:"),0)/MAX(1,(LEN($I346)-LEN(SUBSTITUTE($I346," Ltd","")))/LEN(" Ltd")),0)</f>
        <v/>
      </c>
      <c r="AB345" s="122">
        <f>IFERROR(IFERROR((LEN($T346)-LEN(SUBSTITUTE($T346,"Quality of Works / Criteria of Failings:Compliant","")))/LEN("Quality of Works / Criteria of Failings:Compliant"),0)/MAX(1,(LEN($I346)-LEN(SUBSTITUTE($I346," Ltd","")))/LEN(" Ltd")),0)</f>
        <v/>
      </c>
    </row>
    <row r="346" ht="15.75" customHeight="1" s="146">
      <c r="Y346" s="122">
        <f>MAX(0,IFERROR((LEN($T347)-LEN(SUBSTITUTE($T347,"Quality of Works / Criteria of Failings:","")))/LEN("Quality of Works / Criteria of Failings:"),0)-IFERROR((LEN($T347)-LEN(SUBSTITUTE($T347,"Quality of Works / Criteria of Failings:Compliant","")))/LEN("Quality of Works / Criteria of Failings:Compliant"),0))</f>
        <v/>
      </c>
      <c r="Z346" s="122">
        <f>IFERROR($Y347/MAX(1,(LEN($I347)-LEN(SUBSTITUTE($I347," Ltd","")))/LEN(" Ltd")),0)</f>
        <v/>
      </c>
      <c r="AA346" s="122">
        <f>IFERROR(IFERROR((LEN($T347)-LEN(SUBSTITUTE($T347,"Quality of Works / Criteria of Failings:","")))/LEN("Quality of Works / Criteria of Failings:"),0)/MAX(1,(LEN($I347)-LEN(SUBSTITUTE($I347," Ltd","")))/LEN(" Ltd")),0)</f>
        <v/>
      </c>
      <c r="AB346" s="122">
        <f>IFERROR(IFERROR((LEN($T347)-LEN(SUBSTITUTE($T347,"Quality of Works / Criteria of Failings:Compliant","")))/LEN("Quality of Works / Criteria of Failings:Compliant"),0)/MAX(1,(LEN($I347)-LEN(SUBSTITUTE($I347," Ltd","")))/LEN(" Ltd")),0)</f>
        <v/>
      </c>
    </row>
    <row r="347" ht="15.75" customHeight="1" s="146">
      <c r="Y347" s="122">
        <f>MAX(0,IFERROR((LEN($T348)-LEN(SUBSTITUTE($T348,"Quality of Works / Criteria of Failings:","")))/LEN("Quality of Works / Criteria of Failings:"),0)-IFERROR((LEN($T348)-LEN(SUBSTITUTE($T348,"Quality of Works / Criteria of Failings:Compliant","")))/LEN("Quality of Works / Criteria of Failings:Compliant"),0))</f>
        <v/>
      </c>
      <c r="Z347" s="122">
        <f>IFERROR($Y348/MAX(1,(LEN($I348)-LEN(SUBSTITUTE($I348," Ltd","")))/LEN(" Ltd")),0)</f>
        <v/>
      </c>
      <c r="AA347" s="122">
        <f>IFERROR(IFERROR((LEN($T348)-LEN(SUBSTITUTE($T348,"Quality of Works / Criteria of Failings:","")))/LEN("Quality of Works / Criteria of Failings:"),0)/MAX(1,(LEN($I348)-LEN(SUBSTITUTE($I348," Ltd","")))/LEN(" Ltd")),0)</f>
        <v/>
      </c>
      <c r="AB347" s="122">
        <f>IFERROR(IFERROR((LEN($T348)-LEN(SUBSTITUTE($T348,"Quality of Works / Criteria of Failings:Compliant","")))/LEN("Quality of Works / Criteria of Failings:Compliant"),0)/MAX(1,(LEN($I348)-LEN(SUBSTITUTE($I348," Ltd","")))/LEN(" Ltd")),0)</f>
        <v/>
      </c>
    </row>
    <row r="348" ht="15.75" customHeight="1" s="146">
      <c r="Y348" s="122">
        <f>MAX(0,IFERROR((LEN($T349)-LEN(SUBSTITUTE($T349,"Quality of Works / Criteria of Failings:","")))/LEN("Quality of Works / Criteria of Failings:"),0)-IFERROR((LEN($T349)-LEN(SUBSTITUTE($T349,"Quality of Works / Criteria of Failings:Compliant","")))/LEN("Quality of Works / Criteria of Failings:Compliant"),0))</f>
        <v/>
      </c>
      <c r="Z348" s="122">
        <f>IFERROR($Y349/MAX(1,(LEN($I349)-LEN(SUBSTITUTE($I349," Ltd","")))/LEN(" Ltd")),0)</f>
        <v/>
      </c>
      <c r="AA348" s="122">
        <f>IFERROR(IFERROR((LEN($T349)-LEN(SUBSTITUTE($T349,"Quality of Works / Criteria of Failings:","")))/LEN("Quality of Works / Criteria of Failings:"),0)/MAX(1,(LEN($I349)-LEN(SUBSTITUTE($I349," Ltd","")))/LEN(" Ltd")),0)</f>
        <v/>
      </c>
      <c r="AB348" s="122">
        <f>IFERROR(IFERROR((LEN($T349)-LEN(SUBSTITUTE($T349,"Quality of Works / Criteria of Failings:Compliant","")))/LEN("Quality of Works / Criteria of Failings:Compliant"),0)/MAX(1,(LEN($I349)-LEN(SUBSTITUTE($I349," Ltd","")))/LEN(" Ltd")),0)</f>
        <v/>
      </c>
    </row>
    <row r="349" ht="15.75" customHeight="1" s="146">
      <c r="Y349" s="122">
        <f>MAX(0,IFERROR((LEN($T350)-LEN(SUBSTITUTE($T350,"Quality of Works / Criteria of Failings:","")))/LEN("Quality of Works / Criteria of Failings:"),0)-IFERROR((LEN($T350)-LEN(SUBSTITUTE($T350,"Quality of Works / Criteria of Failings:Compliant","")))/LEN("Quality of Works / Criteria of Failings:Compliant"),0))</f>
        <v/>
      </c>
      <c r="Z349" s="122">
        <f>IFERROR($Y350/MAX(1,(LEN($I350)-LEN(SUBSTITUTE($I350," Ltd","")))/LEN(" Ltd")),0)</f>
        <v/>
      </c>
      <c r="AA349" s="122">
        <f>IFERROR(IFERROR((LEN($T350)-LEN(SUBSTITUTE($T350,"Quality of Works / Criteria of Failings:","")))/LEN("Quality of Works / Criteria of Failings:"),0)/MAX(1,(LEN($I350)-LEN(SUBSTITUTE($I350," Ltd","")))/LEN(" Ltd")),0)</f>
        <v/>
      </c>
      <c r="AB349" s="122">
        <f>IFERROR(IFERROR((LEN($T350)-LEN(SUBSTITUTE($T350,"Quality of Works / Criteria of Failings:Compliant","")))/LEN("Quality of Works / Criteria of Failings:Compliant"),0)/MAX(1,(LEN($I350)-LEN(SUBSTITUTE($I350," Ltd","")))/LEN(" Ltd")),0)</f>
        <v/>
      </c>
    </row>
    <row r="350" ht="15.75" customHeight="1" s="146">
      <c r="Y350" s="122">
        <f>MAX(0,IFERROR((LEN($T351)-LEN(SUBSTITUTE($T351,"Quality of Works / Criteria of Failings:","")))/LEN("Quality of Works / Criteria of Failings:"),0)-IFERROR((LEN($T351)-LEN(SUBSTITUTE($T351,"Quality of Works / Criteria of Failings:Compliant","")))/LEN("Quality of Works / Criteria of Failings:Compliant"),0))</f>
        <v/>
      </c>
      <c r="Z350" s="122">
        <f>IFERROR($Y351/MAX(1,(LEN($I351)-LEN(SUBSTITUTE($I351," Ltd","")))/LEN(" Ltd")),0)</f>
        <v/>
      </c>
      <c r="AA350" s="122">
        <f>IFERROR(IFERROR((LEN($T351)-LEN(SUBSTITUTE($T351,"Quality of Works / Criteria of Failings:","")))/LEN("Quality of Works / Criteria of Failings:"),0)/MAX(1,(LEN($I351)-LEN(SUBSTITUTE($I351," Ltd","")))/LEN(" Ltd")),0)</f>
        <v/>
      </c>
      <c r="AB350" s="122">
        <f>IFERROR(IFERROR((LEN($T351)-LEN(SUBSTITUTE($T351,"Quality of Works / Criteria of Failings:Compliant","")))/LEN("Quality of Works / Criteria of Failings:Compliant"),0)/MAX(1,(LEN($I351)-LEN(SUBSTITUTE($I351," Ltd","")))/LEN(" Ltd")),0)</f>
        <v/>
      </c>
    </row>
    <row r="351" ht="15.75" customHeight="1" s="146">
      <c r="Y351" s="122">
        <f>MAX(0,IFERROR((LEN($T352)-LEN(SUBSTITUTE($T352,"Quality of Works / Criteria of Failings:","")))/LEN("Quality of Works / Criteria of Failings:"),0)-IFERROR((LEN($T352)-LEN(SUBSTITUTE($T352,"Quality of Works / Criteria of Failings:Compliant","")))/LEN("Quality of Works / Criteria of Failings:Compliant"),0))</f>
        <v/>
      </c>
      <c r="Z351" s="122">
        <f>IFERROR($Y352/MAX(1,(LEN($I352)-LEN(SUBSTITUTE($I352," Ltd","")))/LEN(" Ltd")),0)</f>
        <v/>
      </c>
      <c r="AA351" s="122">
        <f>IFERROR(IFERROR((LEN($T352)-LEN(SUBSTITUTE($T352,"Quality of Works / Criteria of Failings:","")))/LEN("Quality of Works / Criteria of Failings:"),0)/MAX(1,(LEN($I352)-LEN(SUBSTITUTE($I352," Ltd","")))/LEN(" Ltd")),0)</f>
        <v/>
      </c>
      <c r="AB351" s="122">
        <f>IFERROR(IFERROR((LEN($T352)-LEN(SUBSTITUTE($T352,"Quality of Works / Criteria of Failings:Compliant","")))/LEN("Quality of Works / Criteria of Failings:Compliant"),0)/MAX(1,(LEN($I352)-LEN(SUBSTITUTE($I352," Ltd","")))/LEN(" Ltd")),0)</f>
        <v/>
      </c>
    </row>
    <row r="352" ht="15.75" customHeight="1" s="146">
      <c r="Y352" s="122">
        <f>MAX(0,IFERROR((LEN($T353)-LEN(SUBSTITUTE($T353,"Quality of Works / Criteria of Failings:","")))/LEN("Quality of Works / Criteria of Failings:"),0)-IFERROR((LEN($T353)-LEN(SUBSTITUTE($T353,"Quality of Works / Criteria of Failings:Compliant","")))/LEN("Quality of Works / Criteria of Failings:Compliant"),0))</f>
        <v/>
      </c>
      <c r="Z352" s="122">
        <f>IFERROR($Y353/MAX(1,(LEN($I353)-LEN(SUBSTITUTE($I353," Ltd","")))/LEN(" Ltd")),0)</f>
        <v/>
      </c>
      <c r="AA352" s="122">
        <f>IFERROR(IFERROR((LEN($T353)-LEN(SUBSTITUTE($T353,"Quality of Works / Criteria of Failings:","")))/LEN("Quality of Works / Criteria of Failings:"),0)/MAX(1,(LEN($I353)-LEN(SUBSTITUTE($I353," Ltd","")))/LEN(" Ltd")),0)</f>
        <v/>
      </c>
      <c r="AB352" s="122">
        <f>IFERROR(IFERROR((LEN($T353)-LEN(SUBSTITUTE($T353,"Quality of Works / Criteria of Failings:Compliant","")))/LEN("Quality of Works / Criteria of Failings:Compliant"),0)/MAX(1,(LEN($I353)-LEN(SUBSTITUTE($I353," Ltd","")))/LEN(" Ltd")),0)</f>
        <v/>
      </c>
    </row>
    <row r="353" ht="15.75" customHeight="1" s="146">
      <c r="Y353" s="122">
        <f>MAX(0,IFERROR((LEN($T354)-LEN(SUBSTITUTE($T354,"Quality of Works / Criteria of Failings:","")))/LEN("Quality of Works / Criteria of Failings:"),0)-IFERROR((LEN($T354)-LEN(SUBSTITUTE($T354,"Quality of Works / Criteria of Failings:Compliant","")))/LEN("Quality of Works / Criteria of Failings:Compliant"),0))</f>
        <v/>
      </c>
      <c r="Z353" s="122">
        <f>IFERROR($Y354/MAX(1,(LEN($I354)-LEN(SUBSTITUTE($I354," Ltd","")))/LEN(" Ltd")),0)</f>
        <v/>
      </c>
      <c r="AA353" s="122">
        <f>IFERROR(IFERROR((LEN($T354)-LEN(SUBSTITUTE($T354,"Quality of Works / Criteria of Failings:","")))/LEN("Quality of Works / Criteria of Failings:"),0)/MAX(1,(LEN($I354)-LEN(SUBSTITUTE($I354," Ltd","")))/LEN(" Ltd")),0)</f>
        <v/>
      </c>
      <c r="AB353" s="122">
        <f>IFERROR(IFERROR((LEN($T354)-LEN(SUBSTITUTE($T354,"Quality of Works / Criteria of Failings:Compliant","")))/LEN("Quality of Works / Criteria of Failings:Compliant"),0)/MAX(1,(LEN($I354)-LEN(SUBSTITUTE($I354," Ltd","")))/LEN(" Ltd")),0)</f>
        <v/>
      </c>
    </row>
    <row r="354" ht="15.75" customHeight="1" s="146">
      <c r="Y354" s="122">
        <f>MAX(0,IFERROR((LEN($T355)-LEN(SUBSTITUTE($T355,"Quality of Works / Criteria of Failings:","")))/LEN("Quality of Works / Criteria of Failings:"),0)-IFERROR((LEN($T355)-LEN(SUBSTITUTE($T355,"Quality of Works / Criteria of Failings:Compliant","")))/LEN("Quality of Works / Criteria of Failings:Compliant"),0))</f>
        <v/>
      </c>
      <c r="Z354" s="122">
        <f>IFERROR($Y355/MAX(1,(LEN($I355)-LEN(SUBSTITUTE($I355," Ltd","")))/LEN(" Ltd")),0)</f>
        <v/>
      </c>
      <c r="AA354" s="122">
        <f>IFERROR(IFERROR((LEN($T355)-LEN(SUBSTITUTE($T355,"Quality of Works / Criteria of Failings:","")))/LEN("Quality of Works / Criteria of Failings:"),0)/MAX(1,(LEN($I355)-LEN(SUBSTITUTE($I355," Ltd","")))/LEN(" Ltd")),0)</f>
        <v/>
      </c>
      <c r="AB354" s="122">
        <f>IFERROR(IFERROR((LEN($T355)-LEN(SUBSTITUTE($T355,"Quality of Works / Criteria of Failings:Compliant","")))/LEN("Quality of Works / Criteria of Failings:Compliant"),0)/MAX(1,(LEN($I355)-LEN(SUBSTITUTE($I355," Ltd","")))/LEN(" Ltd")),0)</f>
        <v/>
      </c>
    </row>
    <row r="355" ht="15.75" customHeight="1" s="146">
      <c r="Y355" s="122">
        <f>MAX(0,IFERROR((LEN($T356)-LEN(SUBSTITUTE($T356,"Quality of Works / Criteria of Failings:","")))/LEN("Quality of Works / Criteria of Failings:"),0)-IFERROR((LEN($T356)-LEN(SUBSTITUTE($T356,"Quality of Works / Criteria of Failings:Compliant","")))/LEN("Quality of Works / Criteria of Failings:Compliant"),0))</f>
        <v/>
      </c>
      <c r="Z355" s="122">
        <f>IFERROR($Y356/MAX(1,(LEN($I356)-LEN(SUBSTITUTE($I356," Ltd","")))/LEN(" Ltd")),0)</f>
        <v/>
      </c>
      <c r="AA355" s="122">
        <f>IFERROR(IFERROR((LEN($T356)-LEN(SUBSTITUTE($T356,"Quality of Works / Criteria of Failings:","")))/LEN("Quality of Works / Criteria of Failings:"),0)/MAX(1,(LEN($I356)-LEN(SUBSTITUTE($I356," Ltd","")))/LEN(" Ltd")),0)</f>
        <v/>
      </c>
      <c r="AB355" s="122">
        <f>IFERROR(IFERROR((LEN($T356)-LEN(SUBSTITUTE($T356,"Quality of Works / Criteria of Failings:Compliant","")))/LEN("Quality of Works / Criteria of Failings:Compliant"),0)/MAX(1,(LEN($I356)-LEN(SUBSTITUTE($I356," Ltd","")))/LEN(" Ltd")),0)</f>
        <v/>
      </c>
    </row>
    <row r="356" ht="15.75" customHeight="1" s="146">
      <c r="Y356" s="122">
        <f>MAX(0,IFERROR((LEN($T357)-LEN(SUBSTITUTE($T357,"Quality of Works / Criteria of Failings:","")))/LEN("Quality of Works / Criteria of Failings:"),0)-IFERROR((LEN($T357)-LEN(SUBSTITUTE($T357,"Quality of Works / Criteria of Failings:Compliant","")))/LEN("Quality of Works / Criteria of Failings:Compliant"),0))</f>
        <v/>
      </c>
      <c r="Z356" s="122">
        <f>IFERROR($Y357/MAX(1,(LEN($I357)-LEN(SUBSTITUTE($I357," Ltd","")))/LEN(" Ltd")),0)</f>
        <v/>
      </c>
      <c r="AA356" s="122">
        <f>IFERROR(IFERROR((LEN($T357)-LEN(SUBSTITUTE($T357,"Quality of Works / Criteria of Failings:","")))/LEN("Quality of Works / Criteria of Failings:"),0)/MAX(1,(LEN($I357)-LEN(SUBSTITUTE($I357," Ltd","")))/LEN(" Ltd")),0)</f>
        <v/>
      </c>
      <c r="AB356" s="122">
        <f>IFERROR(IFERROR((LEN($T357)-LEN(SUBSTITUTE($T357,"Quality of Works / Criteria of Failings:Compliant","")))/LEN("Quality of Works / Criteria of Failings:Compliant"),0)/MAX(1,(LEN($I357)-LEN(SUBSTITUTE($I357," Ltd","")))/LEN(" Ltd")),0)</f>
        <v/>
      </c>
    </row>
    <row r="357" ht="15.75" customHeight="1" s="146">
      <c r="Y357" s="122">
        <f>MAX(0,IFERROR((LEN($T358)-LEN(SUBSTITUTE($T358,"Quality of Works / Criteria of Failings:","")))/LEN("Quality of Works / Criteria of Failings:"),0)-IFERROR((LEN($T358)-LEN(SUBSTITUTE($T358,"Quality of Works / Criteria of Failings:Compliant","")))/LEN("Quality of Works / Criteria of Failings:Compliant"),0))</f>
        <v/>
      </c>
      <c r="Z357" s="122">
        <f>IFERROR($Y358/MAX(1,(LEN($I358)-LEN(SUBSTITUTE($I358," Ltd","")))/LEN(" Ltd")),0)</f>
        <v/>
      </c>
      <c r="AA357" s="122">
        <f>IFERROR(IFERROR((LEN($T358)-LEN(SUBSTITUTE($T358,"Quality of Works / Criteria of Failings:","")))/LEN("Quality of Works / Criteria of Failings:"),0)/MAX(1,(LEN($I358)-LEN(SUBSTITUTE($I358," Ltd","")))/LEN(" Ltd")),0)</f>
        <v/>
      </c>
      <c r="AB357" s="122">
        <f>IFERROR(IFERROR((LEN($T358)-LEN(SUBSTITUTE($T358,"Quality of Works / Criteria of Failings:Compliant","")))/LEN("Quality of Works / Criteria of Failings:Compliant"),0)/MAX(1,(LEN($I358)-LEN(SUBSTITUTE($I358," Ltd","")))/LEN(" Ltd")),0)</f>
        <v/>
      </c>
    </row>
    <row r="358" ht="15.75" customHeight="1" s="146">
      <c r="Y358" s="122">
        <f>MAX(0,IFERROR((LEN($T359)-LEN(SUBSTITUTE($T359,"Quality of Works / Criteria of Failings:","")))/LEN("Quality of Works / Criteria of Failings:"),0)-IFERROR((LEN($T359)-LEN(SUBSTITUTE($T359,"Quality of Works / Criteria of Failings:Compliant","")))/LEN("Quality of Works / Criteria of Failings:Compliant"),0))</f>
        <v/>
      </c>
      <c r="Z358" s="122">
        <f>IFERROR($Y359/MAX(1,(LEN($I359)-LEN(SUBSTITUTE($I359," Ltd","")))/LEN(" Ltd")),0)</f>
        <v/>
      </c>
      <c r="AA358" s="122">
        <f>IFERROR(IFERROR((LEN($T359)-LEN(SUBSTITUTE($T359,"Quality of Works / Criteria of Failings:","")))/LEN("Quality of Works / Criteria of Failings:"),0)/MAX(1,(LEN($I359)-LEN(SUBSTITUTE($I359," Ltd","")))/LEN(" Ltd")),0)</f>
        <v/>
      </c>
      <c r="AB358" s="122">
        <f>IFERROR(IFERROR((LEN($T359)-LEN(SUBSTITUTE($T359,"Quality of Works / Criteria of Failings:Compliant","")))/LEN("Quality of Works / Criteria of Failings:Compliant"),0)/MAX(1,(LEN($I359)-LEN(SUBSTITUTE($I359," Ltd","")))/LEN(" Ltd")),0)</f>
        <v/>
      </c>
    </row>
    <row r="359" ht="15.75" customHeight="1" s="146">
      <c r="Y359" s="122">
        <f>MAX(0,IFERROR((LEN($T360)-LEN(SUBSTITUTE($T360,"Quality of Works / Criteria of Failings:","")))/LEN("Quality of Works / Criteria of Failings:"),0)-IFERROR((LEN($T360)-LEN(SUBSTITUTE($T360,"Quality of Works / Criteria of Failings:Compliant","")))/LEN("Quality of Works / Criteria of Failings:Compliant"),0))</f>
        <v/>
      </c>
      <c r="Z359" s="122">
        <f>IFERROR($Y360/MAX(1,(LEN($I360)-LEN(SUBSTITUTE($I360," Ltd","")))/LEN(" Ltd")),0)</f>
        <v/>
      </c>
      <c r="AA359" s="122">
        <f>IFERROR(IFERROR((LEN($T360)-LEN(SUBSTITUTE($T360,"Quality of Works / Criteria of Failings:","")))/LEN("Quality of Works / Criteria of Failings:"),0)/MAX(1,(LEN($I360)-LEN(SUBSTITUTE($I360," Ltd","")))/LEN(" Ltd")),0)</f>
        <v/>
      </c>
      <c r="AB359" s="122">
        <f>IFERROR(IFERROR((LEN($T360)-LEN(SUBSTITUTE($T360,"Quality of Works / Criteria of Failings:Compliant","")))/LEN("Quality of Works / Criteria of Failings:Compliant"),0)/MAX(1,(LEN($I360)-LEN(SUBSTITUTE($I360," Ltd","")))/LEN(" Ltd")),0)</f>
        <v/>
      </c>
    </row>
    <row r="360" ht="15.75" customHeight="1" s="146">
      <c r="Y360" s="122">
        <f>MAX(0,IFERROR((LEN($T361)-LEN(SUBSTITUTE($T361,"Quality of Works / Criteria of Failings:","")))/LEN("Quality of Works / Criteria of Failings:"),0)-IFERROR((LEN($T361)-LEN(SUBSTITUTE($T361,"Quality of Works / Criteria of Failings:Compliant","")))/LEN("Quality of Works / Criteria of Failings:Compliant"),0))</f>
        <v/>
      </c>
      <c r="Z360" s="122">
        <f>IFERROR($Y361/MAX(1,(LEN($I361)-LEN(SUBSTITUTE($I361," Ltd","")))/LEN(" Ltd")),0)</f>
        <v/>
      </c>
      <c r="AA360" s="122">
        <f>IFERROR(IFERROR((LEN($T361)-LEN(SUBSTITUTE($T361,"Quality of Works / Criteria of Failings:","")))/LEN("Quality of Works / Criteria of Failings:"),0)/MAX(1,(LEN($I361)-LEN(SUBSTITUTE($I361," Ltd","")))/LEN(" Ltd")),0)</f>
        <v/>
      </c>
      <c r="AB360" s="122">
        <f>IFERROR(IFERROR((LEN($T361)-LEN(SUBSTITUTE($T361,"Quality of Works / Criteria of Failings:Compliant","")))/LEN("Quality of Works / Criteria of Failings:Compliant"),0)/MAX(1,(LEN($I361)-LEN(SUBSTITUTE($I361," Ltd","")))/LEN(" Ltd")),0)</f>
        <v/>
      </c>
    </row>
    <row r="361" ht="15.75" customHeight="1" s="146">
      <c r="Y361" s="122">
        <f>MAX(0,IFERROR((LEN($T362)-LEN(SUBSTITUTE($T362,"Quality of Works / Criteria of Failings:","")))/LEN("Quality of Works / Criteria of Failings:"),0)-IFERROR((LEN($T362)-LEN(SUBSTITUTE($T362,"Quality of Works / Criteria of Failings:Compliant","")))/LEN("Quality of Works / Criteria of Failings:Compliant"),0))</f>
        <v/>
      </c>
      <c r="Z361" s="122">
        <f>IFERROR($Y362/MAX(1,(LEN($I362)-LEN(SUBSTITUTE($I362," Ltd","")))/LEN(" Ltd")),0)</f>
        <v/>
      </c>
      <c r="AA361" s="122">
        <f>IFERROR(IFERROR((LEN($T362)-LEN(SUBSTITUTE($T362,"Quality of Works / Criteria of Failings:","")))/LEN("Quality of Works / Criteria of Failings:"),0)/MAX(1,(LEN($I362)-LEN(SUBSTITUTE($I362," Ltd","")))/LEN(" Ltd")),0)</f>
        <v/>
      </c>
      <c r="AB361" s="122">
        <f>IFERROR(IFERROR((LEN($T362)-LEN(SUBSTITUTE($T362,"Quality of Works / Criteria of Failings:Compliant","")))/LEN("Quality of Works / Criteria of Failings:Compliant"),0)/MAX(1,(LEN($I362)-LEN(SUBSTITUTE($I362," Ltd","")))/LEN(" Ltd")),0)</f>
        <v/>
      </c>
    </row>
    <row r="362" ht="15.75" customHeight="1" s="146">
      <c r="Y362" s="122">
        <f>MAX(0,IFERROR((LEN($T363)-LEN(SUBSTITUTE($T363,"Quality of Works / Criteria of Failings:","")))/LEN("Quality of Works / Criteria of Failings:"),0)-IFERROR((LEN($T363)-LEN(SUBSTITUTE($T363,"Quality of Works / Criteria of Failings:Compliant","")))/LEN("Quality of Works / Criteria of Failings:Compliant"),0))</f>
        <v/>
      </c>
      <c r="Z362" s="122">
        <f>IFERROR($Y363/MAX(1,(LEN($I363)-LEN(SUBSTITUTE($I363," Ltd","")))/LEN(" Ltd")),0)</f>
        <v/>
      </c>
      <c r="AA362" s="122">
        <f>IFERROR(IFERROR((LEN($T363)-LEN(SUBSTITUTE($T363,"Quality of Works / Criteria of Failings:","")))/LEN("Quality of Works / Criteria of Failings:"),0)/MAX(1,(LEN($I363)-LEN(SUBSTITUTE($I363," Ltd","")))/LEN(" Ltd")),0)</f>
        <v/>
      </c>
      <c r="AB362" s="122">
        <f>IFERROR(IFERROR((LEN($T363)-LEN(SUBSTITUTE($T363,"Quality of Works / Criteria of Failings:Compliant","")))/LEN("Quality of Works / Criteria of Failings:Compliant"),0)/MAX(1,(LEN($I363)-LEN(SUBSTITUTE($I363," Ltd","")))/LEN(" Ltd")),0)</f>
        <v/>
      </c>
    </row>
    <row r="363" ht="15.75" customHeight="1" s="146">
      <c r="Y363" s="122">
        <f>MAX(0,IFERROR((LEN($T364)-LEN(SUBSTITUTE($T364,"Quality of Works / Criteria of Failings:","")))/LEN("Quality of Works / Criteria of Failings:"),0)-IFERROR((LEN($T364)-LEN(SUBSTITUTE($T364,"Quality of Works / Criteria of Failings:Compliant","")))/LEN("Quality of Works / Criteria of Failings:Compliant"),0))</f>
        <v/>
      </c>
      <c r="Z363" s="122">
        <f>IFERROR($Y364/MAX(1,(LEN($I364)-LEN(SUBSTITUTE($I364," Ltd","")))/LEN(" Ltd")),0)</f>
        <v/>
      </c>
      <c r="AA363" s="122">
        <f>IFERROR(IFERROR((LEN($T364)-LEN(SUBSTITUTE($T364,"Quality of Works / Criteria of Failings:","")))/LEN("Quality of Works / Criteria of Failings:"),0)/MAX(1,(LEN($I364)-LEN(SUBSTITUTE($I364," Ltd","")))/LEN(" Ltd")),0)</f>
        <v/>
      </c>
      <c r="AB363" s="122">
        <f>IFERROR(IFERROR((LEN($T364)-LEN(SUBSTITUTE($T364,"Quality of Works / Criteria of Failings:Compliant","")))/LEN("Quality of Works / Criteria of Failings:Compliant"),0)/MAX(1,(LEN($I364)-LEN(SUBSTITUTE($I364," Ltd","")))/LEN(" Ltd")),0)</f>
        <v/>
      </c>
    </row>
    <row r="364" ht="15.75" customHeight="1" s="146">
      <c r="Y364" s="122">
        <f>MAX(0,IFERROR((LEN($T365)-LEN(SUBSTITUTE($T365,"Quality of Works / Criteria of Failings:","")))/LEN("Quality of Works / Criteria of Failings:"),0)-IFERROR((LEN($T365)-LEN(SUBSTITUTE($T365,"Quality of Works / Criteria of Failings:Compliant","")))/LEN("Quality of Works / Criteria of Failings:Compliant"),0))</f>
        <v/>
      </c>
      <c r="Z364" s="122">
        <f>IFERROR($Y365/MAX(1,(LEN($I365)-LEN(SUBSTITUTE($I365," Ltd","")))/LEN(" Ltd")),0)</f>
        <v/>
      </c>
      <c r="AA364" s="122">
        <f>IFERROR(IFERROR((LEN($T365)-LEN(SUBSTITUTE($T365,"Quality of Works / Criteria of Failings:","")))/LEN("Quality of Works / Criteria of Failings:"),0)/MAX(1,(LEN($I365)-LEN(SUBSTITUTE($I365," Ltd","")))/LEN(" Ltd")),0)</f>
        <v/>
      </c>
      <c r="AB364" s="122">
        <f>IFERROR(IFERROR((LEN($T365)-LEN(SUBSTITUTE($T365,"Quality of Works / Criteria of Failings:Compliant","")))/LEN("Quality of Works / Criteria of Failings:Compliant"),0)/MAX(1,(LEN($I365)-LEN(SUBSTITUTE($I365," Ltd","")))/LEN(" Ltd")),0)</f>
        <v/>
      </c>
    </row>
    <row r="365" ht="15.75" customHeight="1" s="146">
      <c r="Y365" s="122">
        <f>MAX(0,IFERROR((LEN($T366)-LEN(SUBSTITUTE($T366,"Quality of Works / Criteria of Failings:","")))/LEN("Quality of Works / Criteria of Failings:"),0)-IFERROR((LEN($T366)-LEN(SUBSTITUTE($T366,"Quality of Works / Criteria of Failings:Compliant","")))/LEN("Quality of Works / Criteria of Failings:Compliant"),0))</f>
        <v/>
      </c>
      <c r="Z365" s="122">
        <f>IFERROR($Y366/MAX(1,(LEN($I366)-LEN(SUBSTITUTE($I366," Ltd","")))/LEN(" Ltd")),0)</f>
        <v/>
      </c>
      <c r="AA365" s="122">
        <f>IFERROR(IFERROR((LEN($T366)-LEN(SUBSTITUTE($T366,"Quality of Works / Criteria of Failings:","")))/LEN("Quality of Works / Criteria of Failings:"),0)/MAX(1,(LEN($I366)-LEN(SUBSTITUTE($I366," Ltd","")))/LEN(" Ltd")),0)</f>
        <v/>
      </c>
      <c r="AB365" s="122">
        <f>IFERROR(IFERROR((LEN($T366)-LEN(SUBSTITUTE($T366,"Quality of Works / Criteria of Failings:Compliant","")))/LEN("Quality of Works / Criteria of Failings:Compliant"),0)/MAX(1,(LEN($I366)-LEN(SUBSTITUTE($I366," Ltd","")))/LEN(" Ltd")),0)</f>
        <v/>
      </c>
    </row>
    <row r="366" ht="15.75" customHeight="1" s="146">
      <c r="Y366" s="122">
        <f>MAX(0,IFERROR((LEN($T367)-LEN(SUBSTITUTE($T367,"Quality of Works / Criteria of Failings:","")))/LEN("Quality of Works / Criteria of Failings:"),0)-IFERROR((LEN($T367)-LEN(SUBSTITUTE($T367,"Quality of Works / Criteria of Failings:Compliant","")))/LEN("Quality of Works / Criteria of Failings:Compliant"),0))</f>
        <v/>
      </c>
      <c r="Z366" s="122">
        <f>IFERROR($Y367/MAX(1,(LEN($I367)-LEN(SUBSTITUTE($I367," Ltd","")))/LEN(" Ltd")),0)</f>
        <v/>
      </c>
      <c r="AA366" s="122">
        <f>IFERROR(IFERROR((LEN($T367)-LEN(SUBSTITUTE($T367,"Quality of Works / Criteria of Failings:","")))/LEN("Quality of Works / Criteria of Failings:"),0)/MAX(1,(LEN($I367)-LEN(SUBSTITUTE($I367," Ltd","")))/LEN(" Ltd")),0)</f>
        <v/>
      </c>
      <c r="AB366" s="122">
        <f>IFERROR(IFERROR((LEN($T367)-LEN(SUBSTITUTE($T367,"Quality of Works / Criteria of Failings:Compliant","")))/LEN("Quality of Works / Criteria of Failings:Compliant"),0)/MAX(1,(LEN($I367)-LEN(SUBSTITUTE($I367," Ltd","")))/LEN(" Ltd")),0)</f>
        <v/>
      </c>
    </row>
    <row r="367" ht="15.75" customHeight="1" s="146">
      <c r="Y367" s="122">
        <f>MAX(0,IFERROR((LEN($T368)-LEN(SUBSTITUTE($T368,"Quality of Works / Criteria of Failings:","")))/LEN("Quality of Works / Criteria of Failings:"),0)-IFERROR((LEN($T368)-LEN(SUBSTITUTE($T368,"Quality of Works / Criteria of Failings:Compliant","")))/LEN("Quality of Works / Criteria of Failings:Compliant"),0))</f>
        <v/>
      </c>
      <c r="Z367" s="122">
        <f>IFERROR($Y368/MAX(1,(LEN($I368)-LEN(SUBSTITUTE($I368," Ltd","")))/LEN(" Ltd")),0)</f>
        <v/>
      </c>
      <c r="AA367" s="122">
        <f>IFERROR(IFERROR((LEN($T368)-LEN(SUBSTITUTE($T368,"Quality of Works / Criteria of Failings:","")))/LEN("Quality of Works / Criteria of Failings:"),0)/MAX(1,(LEN($I368)-LEN(SUBSTITUTE($I368," Ltd","")))/LEN(" Ltd")),0)</f>
        <v/>
      </c>
      <c r="AB367" s="122">
        <f>IFERROR(IFERROR((LEN($T368)-LEN(SUBSTITUTE($T368,"Quality of Works / Criteria of Failings:Compliant","")))/LEN("Quality of Works / Criteria of Failings:Compliant"),0)/MAX(1,(LEN($I368)-LEN(SUBSTITUTE($I368," Ltd","")))/LEN(" Ltd")),0)</f>
        <v/>
      </c>
    </row>
    <row r="368" ht="15.75" customHeight="1" s="146">
      <c r="Y368" s="122">
        <f>MAX(0,IFERROR((LEN($T369)-LEN(SUBSTITUTE($T369,"Quality of Works / Criteria of Failings:","")))/LEN("Quality of Works / Criteria of Failings:"),0)-IFERROR((LEN($T369)-LEN(SUBSTITUTE($T369,"Quality of Works / Criteria of Failings:Compliant","")))/LEN("Quality of Works / Criteria of Failings:Compliant"),0))</f>
        <v/>
      </c>
      <c r="Z368" s="122">
        <f>IFERROR($Y369/MAX(1,(LEN($I369)-LEN(SUBSTITUTE($I369," Ltd","")))/LEN(" Ltd")),0)</f>
        <v/>
      </c>
      <c r="AA368" s="122">
        <f>IFERROR(IFERROR((LEN($T369)-LEN(SUBSTITUTE($T369,"Quality of Works / Criteria of Failings:","")))/LEN("Quality of Works / Criteria of Failings:"),0)/MAX(1,(LEN($I369)-LEN(SUBSTITUTE($I369," Ltd","")))/LEN(" Ltd")),0)</f>
        <v/>
      </c>
      <c r="AB368" s="122">
        <f>IFERROR(IFERROR((LEN($T369)-LEN(SUBSTITUTE($T369,"Quality of Works / Criteria of Failings:Compliant","")))/LEN("Quality of Works / Criteria of Failings:Compliant"),0)/MAX(1,(LEN($I369)-LEN(SUBSTITUTE($I369," Ltd","")))/LEN(" Ltd")),0)</f>
        <v/>
      </c>
    </row>
    <row r="369" ht="15.75" customHeight="1" s="146">
      <c r="Y369" s="122">
        <f>MAX(0,IFERROR((LEN($T370)-LEN(SUBSTITUTE($T370,"Quality of Works / Criteria of Failings:","")))/LEN("Quality of Works / Criteria of Failings:"),0)-IFERROR((LEN($T370)-LEN(SUBSTITUTE($T370,"Quality of Works / Criteria of Failings:Compliant","")))/LEN("Quality of Works / Criteria of Failings:Compliant"),0))</f>
        <v/>
      </c>
      <c r="Z369" s="122">
        <f>IFERROR($Y370/MAX(1,(LEN($I370)-LEN(SUBSTITUTE($I370," Ltd","")))/LEN(" Ltd")),0)</f>
        <v/>
      </c>
      <c r="AA369" s="122">
        <f>IFERROR(IFERROR((LEN($T370)-LEN(SUBSTITUTE($T370,"Quality of Works / Criteria of Failings:","")))/LEN("Quality of Works / Criteria of Failings:"),0)/MAX(1,(LEN($I370)-LEN(SUBSTITUTE($I370," Ltd","")))/LEN(" Ltd")),0)</f>
        <v/>
      </c>
      <c r="AB369" s="122">
        <f>IFERROR(IFERROR((LEN($T370)-LEN(SUBSTITUTE($T370,"Quality of Works / Criteria of Failings:Compliant","")))/LEN("Quality of Works / Criteria of Failings:Compliant"),0)/MAX(1,(LEN($I370)-LEN(SUBSTITUTE($I370," Ltd","")))/LEN(" Ltd")),0)</f>
        <v/>
      </c>
    </row>
    <row r="370" ht="15.75" customHeight="1" s="146">
      <c r="Y370" s="122">
        <f>MAX(0,IFERROR((LEN($T371)-LEN(SUBSTITUTE($T371,"Quality of Works / Criteria of Failings:","")))/LEN("Quality of Works / Criteria of Failings:"),0)-IFERROR((LEN($T371)-LEN(SUBSTITUTE($T371,"Quality of Works / Criteria of Failings:Compliant","")))/LEN("Quality of Works / Criteria of Failings:Compliant"),0))</f>
        <v/>
      </c>
      <c r="Z370" s="122">
        <f>IFERROR($Y371/MAX(1,(LEN($I371)-LEN(SUBSTITUTE($I371," Ltd","")))/LEN(" Ltd")),0)</f>
        <v/>
      </c>
      <c r="AA370" s="122">
        <f>IFERROR(IFERROR((LEN($T371)-LEN(SUBSTITUTE($T371,"Quality of Works / Criteria of Failings:","")))/LEN("Quality of Works / Criteria of Failings:"),0)/MAX(1,(LEN($I371)-LEN(SUBSTITUTE($I371," Ltd","")))/LEN(" Ltd")),0)</f>
        <v/>
      </c>
      <c r="AB370" s="122">
        <f>IFERROR(IFERROR((LEN($T371)-LEN(SUBSTITUTE($T371,"Quality of Works / Criteria of Failings:Compliant","")))/LEN("Quality of Works / Criteria of Failings:Compliant"),0)/MAX(1,(LEN($I371)-LEN(SUBSTITUTE($I371," Ltd","")))/LEN(" Ltd")),0)</f>
        <v/>
      </c>
    </row>
    <row r="371" ht="15.75" customHeight="1" s="146">
      <c r="Y371" s="122">
        <f>MAX(0,IFERROR((LEN($T372)-LEN(SUBSTITUTE($T372,"Quality of Works / Criteria of Failings:","")))/LEN("Quality of Works / Criteria of Failings:"),0)-IFERROR((LEN($T372)-LEN(SUBSTITUTE($T372,"Quality of Works / Criteria of Failings:Compliant","")))/LEN("Quality of Works / Criteria of Failings:Compliant"),0))</f>
        <v/>
      </c>
      <c r="Z371" s="122">
        <f>IFERROR($Y372/MAX(1,(LEN($I372)-LEN(SUBSTITUTE($I372," Ltd","")))/LEN(" Ltd")),0)</f>
        <v/>
      </c>
      <c r="AA371" s="122">
        <f>IFERROR(IFERROR((LEN($T372)-LEN(SUBSTITUTE($T372,"Quality of Works / Criteria of Failings:","")))/LEN("Quality of Works / Criteria of Failings:"),0)/MAX(1,(LEN($I372)-LEN(SUBSTITUTE($I372," Ltd","")))/LEN(" Ltd")),0)</f>
        <v/>
      </c>
      <c r="AB371" s="122">
        <f>IFERROR(IFERROR((LEN($T372)-LEN(SUBSTITUTE($T372,"Quality of Works / Criteria of Failings:Compliant","")))/LEN("Quality of Works / Criteria of Failings:Compliant"),0)/MAX(1,(LEN($I372)-LEN(SUBSTITUTE($I372," Ltd","")))/LEN(" Ltd")),0)</f>
        <v/>
      </c>
    </row>
    <row r="372" ht="15.75" customHeight="1" s="146">
      <c r="Y372" s="122">
        <f>MAX(0,IFERROR((LEN($T373)-LEN(SUBSTITUTE($T373,"Quality of Works / Criteria of Failings:","")))/LEN("Quality of Works / Criteria of Failings:"),0)-IFERROR((LEN($T373)-LEN(SUBSTITUTE($T373,"Quality of Works / Criteria of Failings:Compliant","")))/LEN("Quality of Works / Criteria of Failings:Compliant"),0))</f>
        <v/>
      </c>
      <c r="Z372" s="122">
        <f>IFERROR($Y373/MAX(1,(LEN($I373)-LEN(SUBSTITUTE($I373," Ltd","")))/LEN(" Ltd")),0)</f>
        <v/>
      </c>
      <c r="AA372" s="122">
        <f>IFERROR(IFERROR((LEN($T373)-LEN(SUBSTITUTE($T373,"Quality of Works / Criteria of Failings:","")))/LEN("Quality of Works / Criteria of Failings:"),0)/MAX(1,(LEN($I373)-LEN(SUBSTITUTE($I373," Ltd","")))/LEN(" Ltd")),0)</f>
        <v/>
      </c>
      <c r="AB372" s="122">
        <f>IFERROR(IFERROR((LEN($T373)-LEN(SUBSTITUTE($T373,"Quality of Works / Criteria of Failings:Compliant","")))/LEN("Quality of Works / Criteria of Failings:Compliant"),0)/MAX(1,(LEN($I373)-LEN(SUBSTITUTE($I373," Ltd","")))/LEN(" Ltd")),0)</f>
        <v/>
      </c>
    </row>
    <row r="373" ht="15.75" customHeight="1" s="146">
      <c r="Y373" s="122">
        <f>MAX(0,IFERROR((LEN($T374)-LEN(SUBSTITUTE($T374,"Quality of Works / Criteria of Failings:","")))/LEN("Quality of Works / Criteria of Failings:"),0)-IFERROR((LEN($T374)-LEN(SUBSTITUTE($T374,"Quality of Works / Criteria of Failings:Compliant","")))/LEN("Quality of Works / Criteria of Failings:Compliant"),0))</f>
        <v/>
      </c>
      <c r="Z373" s="122">
        <f>IFERROR($Y374/MAX(1,(LEN($I374)-LEN(SUBSTITUTE($I374," Ltd","")))/LEN(" Ltd")),0)</f>
        <v/>
      </c>
      <c r="AA373" s="122">
        <f>IFERROR(IFERROR((LEN($T374)-LEN(SUBSTITUTE($T374,"Quality of Works / Criteria of Failings:","")))/LEN("Quality of Works / Criteria of Failings:"),0)/MAX(1,(LEN($I374)-LEN(SUBSTITUTE($I374," Ltd","")))/LEN(" Ltd")),0)</f>
        <v/>
      </c>
      <c r="AB373" s="122">
        <f>IFERROR(IFERROR((LEN($T374)-LEN(SUBSTITUTE($T374,"Quality of Works / Criteria of Failings:Compliant","")))/LEN("Quality of Works / Criteria of Failings:Compliant"),0)/MAX(1,(LEN($I374)-LEN(SUBSTITUTE($I374," Ltd","")))/LEN(" Ltd")),0)</f>
        <v/>
      </c>
    </row>
    <row r="374" ht="15.75" customHeight="1" s="146">
      <c r="Y374" s="122">
        <f>MAX(0,IFERROR((LEN($T375)-LEN(SUBSTITUTE($T375,"Quality of Works / Criteria of Failings:","")))/LEN("Quality of Works / Criteria of Failings:"),0)-IFERROR((LEN($T375)-LEN(SUBSTITUTE($T375,"Quality of Works / Criteria of Failings:Compliant","")))/LEN("Quality of Works / Criteria of Failings:Compliant"),0))</f>
        <v/>
      </c>
      <c r="Z374" s="122">
        <f>IFERROR($Y375/MAX(1,(LEN($I375)-LEN(SUBSTITUTE($I375," Ltd","")))/LEN(" Ltd")),0)</f>
        <v/>
      </c>
      <c r="AA374" s="122">
        <f>IFERROR(IFERROR((LEN($T375)-LEN(SUBSTITUTE($T375,"Quality of Works / Criteria of Failings:","")))/LEN("Quality of Works / Criteria of Failings:"),0)/MAX(1,(LEN($I375)-LEN(SUBSTITUTE($I375," Ltd","")))/LEN(" Ltd")),0)</f>
        <v/>
      </c>
      <c r="AB374" s="122">
        <f>IFERROR(IFERROR((LEN($T375)-LEN(SUBSTITUTE($T375,"Quality of Works / Criteria of Failings:Compliant","")))/LEN("Quality of Works / Criteria of Failings:Compliant"),0)/MAX(1,(LEN($I375)-LEN(SUBSTITUTE($I375," Ltd","")))/LEN(" Ltd")),0)</f>
        <v/>
      </c>
    </row>
    <row r="375" ht="15.75" customHeight="1" s="146">
      <c r="Y375" s="122">
        <f>MAX(0,IFERROR((LEN($T376)-LEN(SUBSTITUTE($T376,"Quality of Works / Criteria of Failings:","")))/LEN("Quality of Works / Criteria of Failings:"),0)-IFERROR((LEN($T376)-LEN(SUBSTITUTE($T376,"Quality of Works / Criteria of Failings:Compliant","")))/LEN("Quality of Works / Criteria of Failings:Compliant"),0))</f>
        <v/>
      </c>
      <c r="Z375" s="122">
        <f>IFERROR($Y376/MAX(1,(LEN($I376)-LEN(SUBSTITUTE($I376," Ltd","")))/LEN(" Ltd")),0)</f>
        <v/>
      </c>
      <c r="AA375" s="122">
        <f>IFERROR(IFERROR((LEN($T376)-LEN(SUBSTITUTE($T376,"Quality of Works / Criteria of Failings:","")))/LEN("Quality of Works / Criteria of Failings:"),0)/MAX(1,(LEN($I376)-LEN(SUBSTITUTE($I376," Ltd","")))/LEN(" Ltd")),0)</f>
        <v/>
      </c>
      <c r="AB375" s="122">
        <f>IFERROR(IFERROR((LEN($T376)-LEN(SUBSTITUTE($T376,"Quality of Works / Criteria of Failings:Compliant","")))/LEN("Quality of Works / Criteria of Failings:Compliant"),0)/MAX(1,(LEN($I376)-LEN(SUBSTITUTE($I376," Ltd","")))/LEN(" Ltd")),0)</f>
        <v/>
      </c>
    </row>
    <row r="376" ht="15.75" customHeight="1" s="146">
      <c r="Y376" s="122">
        <f>MAX(0,IFERROR((LEN($T377)-LEN(SUBSTITUTE($T377,"Quality of Works / Criteria of Failings:","")))/LEN("Quality of Works / Criteria of Failings:"),0)-IFERROR((LEN($T377)-LEN(SUBSTITUTE($T377,"Quality of Works / Criteria of Failings:Compliant","")))/LEN("Quality of Works / Criteria of Failings:Compliant"),0))</f>
        <v/>
      </c>
      <c r="Z376" s="122">
        <f>IFERROR($Y377/MAX(1,(LEN($I377)-LEN(SUBSTITUTE($I377," Ltd","")))/LEN(" Ltd")),0)</f>
        <v/>
      </c>
      <c r="AA376" s="122">
        <f>IFERROR(IFERROR((LEN($T377)-LEN(SUBSTITUTE($T377,"Quality of Works / Criteria of Failings:","")))/LEN("Quality of Works / Criteria of Failings:"),0)/MAX(1,(LEN($I377)-LEN(SUBSTITUTE($I377," Ltd","")))/LEN(" Ltd")),0)</f>
        <v/>
      </c>
      <c r="AB376" s="122">
        <f>IFERROR(IFERROR((LEN($T377)-LEN(SUBSTITUTE($T377,"Quality of Works / Criteria of Failings:Compliant","")))/LEN("Quality of Works / Criteria of Failings:Compliant"),0)/MAX(1,(LEN($I377)-LEN(SUBSTITUTE($I377," Ltd","")))/LEN(" Ltd")),0)</f>
        <v/>
      </c>
    </row>
    <row r="377" ht="15.75" customHeight="1" s="146">
      <c r="Y377" s="122">
        <f>MAX(0,IFERROR((LEN($T378)-LEN(SUBSTITUTE($T378,"Quality of Works / Criteria of Failings:","")))/LEN("Quality of Works / Criteria of Failings:"),0)-IFERROR((LEN($T378)-LEN(SUBSTITUTE($T378,"Quality of Works / Criteria of Failings:Compliant","")))/LEN("Quality of Works / Criteria of Failings:Compliant"),0))</f>
        <v/>
      </c>
      <c r="Z377" s="122">
        <f>IFERROR($Y378/MAX(1,(LEN($I378)-LEN(SUBSTITUTE($I378," Ltd","")))/LEN(" Ltd")),0)</f>
        <v/>
      </c>
      <c r="AA377" s="122">
        <f>IFERROR(IFERROR((LEN($T378)-LEN(SUBSTITUTE($T378,"Quality of Works / Criteria of Failings:","")))/LEN("Quality of Works / Criteria of Failings:"),0)/MAX(1,(LEN($I378)-LEN(SUBSTITUTE($I378," Ltd","")))/LEN(" Ltd")),0)</f>
        <v/>
      </c>
      <c r="AB377" s="122">
        <f>IFERROR(IFERROR((LEN($T378)-LEN(SUBSTITUTE($T378,"Quality of Works / Criteria of Failings:Compliant","")))/LEN("Quality of Works / Criteria of Failings:Compliant"),0)/MAX(1,(LEN($I378)-LEN(SUBSTITUTE($I378," Ltd","")))/LEN(" Ltd")),0)</f>
        <v/>
      </c>
    </row>
    <row r="378" ht="15.75" customHeight="1" s="146">
      <c r="Y378" s="122">
        <f>MAX(0,IFERROR((LEN($T379)-LEN(SUBSTITUTE($T379,"Quality of Works / Criteria of Failings:","")))/LEN("Quality of Works / Criteria of Failings:"),0)-IFERROR((LEN($T379)-LEN(SUBSTITUTE($T379,"Quality of Works / Criteria of Failings:Compliant","")))/LEN("Quality of Works / Criteria of Failings:Compliant"),0))</f>
        <v/>
      </c>
      <c r="Z378" s="122">
        <f>IFERROR($Y379/MAX(1,(LEN($I379)-LEN(SUBSTITUTE($I379," Ltd","")))/LEN(" Ltd")),0)</f>
        <v/>
      </c>
      <c r="AA378" s="122">
        <f>IFERROR(IFERROR((LEN($T379)-LEN(SUBSTITUTE($T379,"Quality of Works / Criteria of Failings:","")))/LEN("Quality of Works / Criteria of Failings:"),0)/MAX(1,(LEN($I379)-LEN(SUBSTITUTE($I379," Ltd","")))/LEN(" Ltd")),0)</f>
        <v/>
      </c>
      <c r="AB378" s="122">
        <f>IFERROR(IFERROR((LEN($T379)-LEN(SUBSTITUTE($T379,"Quality of Works / Criteria of Failings:Compliant","")))/LEN("Quality of Works / Criteria of Failings:Compliant"),0)/MAX(1,(LEN($I379)-LEN(SUBSTITUTE($I379," Ltd","")))/LEN(" Ltd")),0)</f>
        <v/>
      </c>
    </row>
    <row r="379" ht="15.75" customHeight="1" s="146">
      <c r="Y379" s="122">
        <f>MAX(0,IFERROR((LEN($T380)-LEN(SUBSTITUTE($T380,"Quality of Works / Criteria of Failings:","")))/LEN("Quality of Works / Criteria of Failings:"),0)-IFERROR((LEN($T380)-LEN(SUBSTITUTE($T380,"Quality of Works / Criteria of Failings:Compliant","")))/LEN("Quality of Works / Criteria of Failings:Compliant"),0))</f>
        <v/>
      </c>
      <c r="Z379" s="122">
        <f>IFERROR($Y380/MAX(1,(LEN($I380)-LEN(SUBSTITUTE($I380," Ltd","")))/LEN(" Ltd")),0)</f>
        <v/>
      </c>
      <c r="AA379" s="122">
        <f>IFERROR(IFERROR((LEN($T380)-LEN(SUBSTITUTE($T380,"Quality of Works / Criteria of Failings:","")))/LEN("Quality of Works / Criteria of Failings:"),0)/MAX(1,(LEN($I380)-LEN(SUBSTITUTE($I380," Ltd","")))/LEN(" Ltd")),0)</f>
        <v/>
      </c>
      <c r="AB379" s="122">
        <f>IFERROR(IFERROR((LEN($T380)-LEN(SUBSTITUTE($T380,"Quality of Works / Criteria of Failings:Compliant","")))/LEN("Quality of Works / Criteria of Failings:Compliant"),0)/MAX(1,(LEN($I380)-LEN(SUBSTITUTE($I380," Ltd","")))/LEN(" Ltd")),0)</f>
        <v/>
      </c>
    </row>
    <row r="380" ht="15.75" customHeight="1" s="146">
      <c r="Y380" s="122">
        <f>MAX(0,IFERROR((LEN($T381)-LEN(SUBSTITUTE($T381,"Quality of Works / Criteria of Failings:","")))/LEN("Quality of Works / Criteria of Failings:"),0)-IFERROR((LEN($T381)-LEN(SUBSTITUTE($T381,"Quality of Works / Criteria of Failings:Compliant","")))/LEN("Quality of Works / Criteria of Failings:Compliant"),0))</f>
        <v/>
      </c>
      <c r="Z380" s="122">
        <f>IFERROR($Y381/MAX(1,(LEN($I381)-LEN(SUBSTITUTE($I381," Ltd","")))/LEN(" Ltd")),0)</f>
        <v/>
      </c>
      <c r="AA380" s="122">
        <f>IFERROR(IFERROR((LEN($T381)-LEN(SUBSTITUTE($T381,"Quality of Works / Criteria of Failings:","")))/LEN("Quality of Works / Criteria of Failings:"),0)/MAX(1,(LEN($I381)-LEN(SUBSTITUTE($I381," Ltd","")))/LEN(" Ltd")),0)</f>
        <v/>
      </c>
      <c r="AB380" s="122">
        <f>IFERROR(IFERROR((LEN($T381)-LEN(SUBSTITUTE($T381,"Quality of Works / Criteria of Failings:Compliant","")))/LEN("Quality of Works / Criteria of Failings:Compliant"),0)/MAX(1,(LEN($I381)-LEN(SUBSTITUTE($I381," Ltd","")))/LEN(" Ltd")),0)</f>
        <v/>
      </c>
    </row>
    <row r="381" ht="15.75" customHeight="1" s="146">
      <c r="Y381" s="122">
        <f>MAX(0,IFERROR((LEN($T382)-LEN(SUBSTITUTE($T382,"Quality of Works / Criteria of Failings:","")))/LEN("Quality of Works / Criteria of Failings:"),0)-IFERROR((LEN($T382)-LEN(SUBSTITUTE($T382,"Quality of Works / Criteria of Failings:Compliant","")))/LEN("Quality of Works / Criteria of Failings:Compliant"),0))</f>
        <v/>
      </c>
      <c r="Z381" s="122">
        <f>IFERROR($Y382/MAX(1,(LEN($I382)-LEN(SUBSTITUTE($I382," Ltd","")))/LEN(" Ltd")),0)</f>
        <v/>
      </c>
      <c r="AA381" s="122">
        <f>IFERROR(IFERROR((LEN($T382)-LEN(SUBSTITUTE($T382,"Quality of Works / Criteria of Failings:","")))/LEN("Quality of Works / Criteria of Failings:"),0)/MAX(1,(LEN($I382)-LEN(SUBSTITUTE($I382," Ltd","")))/LEN(" Ltd")),0)</f>
        <v/>
      </c>
      <c r="AB381" s="122">
        <f>IFERROR(IFERROR((LEN($T382)-LEN(SUBSTITUTE($T382,"Quality of Works / Criteria of Failings:Compliant","")))/LEN("Quality of Works / Criteria of Failings:Compliant"),0)/MAX(1,(LEN($I382)-LEN(SUBSTITUTE($I382," Ltd","")))/LEN(" Ltd")),0)</f>
        <v/>
      </c>
    </row>
    <row r="382" ht="15.75" customHeight="1" s="146">
      <c r="Y382" s="122">
        <f>MAX(0,IFERROR((LEN($T383)-LEN(SUBSTITUTE($T383,"Quality of Works / Criteria of Failings:","")))/LEN("Quality of Works / Criteria of Failings:"),0)-IFERROR((LEN($T383)-LEN(SUBSTITUTE($T383,"Quality of Works / Criteria of Failings:Compliant","")))/LEN("Quality of Works / Criteria of Failings:Compliant"),0))</f>
        <v/>
      </c>
      <c r="Z382" s="122">
        <f>IFERROR($Y383/MAX(1,(LEN($I383)-LEN(SUBSTITUTE($I383," Ltd","")))/LEN(" Ltd")),0)</f>
        <v/>
      </c>
      <c r="AA382" s="122">
        <f>IFERROR(IFERROR((LEN($T383)-LEN(SUBSTITUTE($T383,"Quality of Works / Criteria of Failings:","")))/LEN("Quality of Works / Criteria of Failings:"),0)/MAX(1,(LEN($I383)-LEN(SUBSTITUTE($I383," Ltd","")))/LEN(" Ltd")),0)</f>
        <v/>
      </c>
      <c r="AB382" s="122">
        <f>IFERROR(IFERROR((LEN($T383)-LEN(SUBSTITUTE($T383,"Quality of Works / Criteria of Failings:Compliant","")))/LEN("Quality of Works / Criteria of Failings:Compliant"),0)/MAX(1,(LEN($I383)-LEN(SUBSTITUTE($I383," Ltd","")))/LEN(" Ltd")),0)</f>
        <v/>
      </c>
    </row>
    <row r="383" ht="15.75" customHeight="1" s="146">
      <c r="Y383" s="122">
        <f>MAX(0,IFERROR((LEN($T384)-LEN(SUBSTITUTE($T384,"Quality of Works / Criteria of Failings:","")))/LEN("Quality of Works / Criteria of Failings:"),0)-IFERROR((LEN($T384)-LEN(SUBSTITUTE($T384,"Quality of Works / Criteria of Failings:Compliant","")))/LEN("Quality of Works / Criteria of Failings:Compliant"),0))</f>
        <v/>
      </c>
      <c r="Z383" s="122">
        <f>IFERROR($Y384/MAX(1,(LEN($I384)-LEN(SUBSTITUTE($I384," Ltd","")))/LEN(" Ltd")),0)</f>
        <v/>
      </c>
      <c r="AA383" s="122">
        <f>IFERROR(IFERROR((LEN($T384)-LEN(SUBSTITUTE($T384,"Quality of Works / Criteria of Failings:","")))/LEN("Quality of Works / Criteria of Failings:"),0)/MAX(1,(LEN($I384)-LEN(SUBSTITUTE($I384," Ltd","")))/LEN(" Ltd")),0)</f>
        <v/>
      </c>
      <c r="AB383" s="122">
        <f>IFERROR(IFERROR((LEN($T384)-LEN(SUBSTITUTE($T384,"Quality of Works / Criteria of Failings:Compliant","")))/LEN("Quality of Works / Criteria of Failings:Compliant"),0)/MAX(1,(LEN($I384)-LEN(SUBSTITUTE($I384," Ltd","")))/LEN(" Ltd")),0)</f>
        <v/>
      </c>
    </row>
    <row r="384" ht="15.75" customHeight="1" s="146">
      <c r="Y384" s="122">
        <f>MAX(0,IFERROR((LEN($T385)-LEN(SUBSTITUTE($T385,"Quality of Works / Criteria of Failings:","")))/LEN("Quality of Works / Criteria of Failings:"),0)-IFERROR((LEN($T385)-LEN(SUBSTITUTE($T385,"Quality of Works / Criteria of Failings:Compliant","")))/LEN("Quality of Works / Criteria of Failings:Compliant"),0))</f>
        <v/>
      </c>
      <c r="Z384" s="122">
        <f>IFERROR($Y385/MAX(1,(LEN($I385)-LEN(SUBSTITUTE($I385," Ltd","")))/LEN(" Ltd")),0)</f>
        <v/>
      </c>
      <c r="AA384" s="122">
        <f>IFERROR(IFERROR((LEN($T385)-LEN(SUBSTITUTE($T385,"Quality of Works / Criteria of Failings:","")))/LEN("Quality of Works / Criteria of Failings:"),0)/MAX(1,(LEN($I385)-LEN(SUBSTITUTE($I385," Ltd","")))/LEN(" Ltd")),0)</f>
        <v/>
      </c>
      <c r="AB384" s="122">
        <f>IFERROR(IFERROR((LEN($T385)-LEN(SUBSTITUTE($T385,"Quality of Works / Criteria of Failings:Compliant","")))/LEN("Quality of Works / Criteria of Failings:Compliant"),0)/MAX(1,(LEN($I385)-LEN(SUBSTITUTE($I385," Ltd","")))/LEN(" Ltd")),0)</f>
        <v/>
      </c>
    </row>
    <row r="385" ht="15.75" customHeight="1" s="146">
      <c r="Y385" s="122">
        <f>MAX(0,IFERROR((LEN($T386)-LEN(SUBSTITUTE($T386,"Quality of Works / Criteria of Failings:","")))/LEN("Quality of Works / Criteria of Failings:"),0)-IFERROR((LEN($T386)-LEN(SUBSTITUTE($T386,"Quality of Works / Criteria of Failings:Compliant","")))/LEN("Quality of Works / Criteria of Failings:Compliant"),0))</f>
        <v/>
      </c>
      <c r="Z385" s="122">
        <f>IFERROR($Y386/MAX(1,(LEN($I386)-LEN(SUBSTITUTE($I386," Ltd","")))/LEN(" Ltd")),0)</f>
        <v/>
      </c>
      <c r="AA385" s="122">
        <f>IFERROR(IFERROR((LEN($T386)-LEN(SUBSTITUTE($T386,"Quality of Works / Criteria of Failings:","")))/LEN("Quality of Works / Criteria of Failings:"),0)/MAX(1,(LEN($I386)-LEN(SUBSTITUTE($I386," Ltd","")))/LEN(" Ltd")),0)</f>
        <v/>
      </c>
      <c r="AB385" s="122">
        <f>IFERROR(IFERROR((LEN($T386)-LEN(SUBSTITUTE($T386,"Quality of Works / Criteria of Failings:Compliant","")))/LEN("Quality of Works / Criteria of Failings:Compliant"),0)/MAX(1,(LEN($I386)-LEN(SUBSTITUTE($I386," Ltd","")))/LEN(" Ltd")),0)</f>
        <v/>
      </c>
    </row>
    <row r="386" ht="15.75" customHeight="1" s="146">
      <c r="Y386" s="122">
        <f>MAX(0,IFERROR((LEN($T387)-LEN(SUBSTITUTE($T387,"Quality of Works / Criteria of Failings:","")))/LEN("Quality of Works / Criteria of Failings:"),0)-IFERROR((LEN($T387)-LEN(SUBSTITUTE($T387,"Quality of Works / Criteria of Failings:Compliant","")))/LEN("Quality of Works / Criteria of Failings:Compliant"),0))</f>
        <v/>
      </c>
      <c r="Z386" s="122">
        <f>IFERROR($Y387/MAX(1,(LEN($I387)-LEN(SUBSTITUTE($I387," Ltd","")))/LEN(" Ltd")),0)</f>
        <v/>
      </c>
      <c r="AA386" s="122">
        <f>IFERROR(IFERROR((LEN($T387)-LEN(SUBSTITUTE($T387,"Quality of Works / Criteria of Failings:","")))/LEN("Quality of Works / Criteria of Failings:"),0)/MAX(1,(LEN($I387)-LEN(SUBSTITUTE($I387," Ltd","")))/LEN(" Ltd")),0)</f>
        <v/>
      </c>
      <c r="AB386" s="122">
        <f>IFERROR(IFERROR((LEN($T387)-LEN(SUBSTITUTE($T387,"Quality of Works / Criteria of Failings:Compliant","")))/LEN("Quality of Works / Criteria of Failings:Compliant"),0)/MAX(1,(LEN($I387)-LEN(SUBSTITUTE($I387," Ltd","")))/LEN(" Ltd")),0)</f>
        <v/>
      </c>
    </row>
    <row r="387" ht="15.75" customHeight="1" s="146">
      <c r="Y387" s="122">
        <f>MAX(0,IFERROR((LEN($T388)-LEN(SUBSTITUTE($T388,"Quality of Works / Criteria of Failings:","")))/LEN("Quality of Works / Criteria of Failings:"),0)-IFERROR((LEN($T388)-LEN(SUBSTITUTE($T388,"Quality of Works / Criteria of Failings:Compliant","")))/LEN("Quality of Works / Criteria of Failings:Compliant"),0))</f>
        <v/>
      </c>
      <c r="Z387" s="122">
        <f>IFERROR($Y388/MAX(1,(LEN($I388)-LEN(SUBSTITUTE($I388," Ltd","")))/LEN(" Ltd")),0)</f>
        <v/>
      </c>
      <c r="AA387" s="122">
        <f>IFERROR(IFERROR((LEN($T388)-LEN(SUBSTITUTE($T388,"Quality of Works / Criteria of Failings:","")))/LEN("Quality of Works / Criteria of Failings:"),0)/MAX(1,(LEN($I388)-LEN(SUBSTITUTE($I388," Ltd","")))/LEN(" Ltd")),0)</f>
        <v/>
      </c>
      <c r="AB387" s="122">
        <f>IFERROR(IFERROR((LEN($T388)-LEN(SUBSTITUTE($T388,"Quality of Works / Criteria of Failings:Compliant","")))/LEN("Quality of Works / Criteria of Failings:Compliant"),0)/MAX(1,(LEN($I388)-LEN(SUBSTITUTE($I388," Ltd","")))/LEN(" Ltd")),0)</f>
        <v/>
      </c>
    </row>
    <row r="388" ht="15.75" customHeight="1" s="146">
      <c r="Y388" s="122">
        <f>MAX(0,IFERROR((LEN($T389)-LEN(SUBSTITUTE($T389,"Quality of Works / Criteria of Failings:","")))/LEN("Quality of Works / Criteria of Failings:"),0)-IFERROR((LEN($T389)-LEN(SUBSTITUTE($T389,"Quality of Works / Criteria of Failings:Compliant","")))/LEN("Quality of Works / Criteria of Failings:Compliant"),0))</f>
        <v/>
      </c>
      <c r="Z388" s="122">
        <f>IFERROR($Y389/MAX(1,(LEN($I389)-LEN(SUBSTITUTE($I389," Ltd","")))/LEN(" Ltd")),0)</f>
        <v/>
      </c>
      <c r="AA388" s="122">
        <f>IFERROR(IFERROR((LEN($T389)-LEN(SUBSTITUTE($T389,"Quality of Works / Criteria of Failings:","")))/LEN("Quality of Works / Criteria of Failings:"),0)/MAX(1,(LEN($I389)-LEN(SUBSTITUTE($I389," Ltd","")))/LEN(" Ltd")),0)</f>
        <v/>
      </c>
      <c r="AB388" s="122">
        <f>IFERROR(IFERROR((LEN($T389)-LEN(SUBSTITUTE($T389,"Quality of Works / Criteria of Failings:Compliant","")))/LEN("Quality of Works / Criteria of Failings:Compliant"),0)/MAX(1,(LEN($I389)-LEN(SUBSTITUTE($I389," Ltd","")))/LEN(" Ltd")),0)</f>
        <v/>
      </c>
    </row>
    <row r="389" ht="15.75" customHeight="1" s="146">
      <c r="Y389" s="122">
        <f>MAX(0,IFERROR((LEN($T390)-LEN(SUBSTITUTE($T390,"Quality of Works / Criteria of Failings:","")))/LEN("Quality of Works / Criteria of Failings:"),0)-IFERROR((LEN($T390)-LEN(SUBSTITUTE($T390,"Quality of Works / Criteria of Failings:Compliant","")))/LEN("Quality of Works / Criteria of Failings:Compliant"),0))</f>
        <v/>
      </c>
      <c r="Z389" s="122">
        <f>IFERROR($Y390/MAX(1,(LEN($I390)-LEN(SUBSTITUTE($I390," Ltd","")))/LEN(" Ltd")),0)</f>
        <v/>
      </c>
      <c r="AA389" s="122">
        <f>IFERROR(IFERROR((LEN($T390)-LEN(SUBSTITUTE($T390,"Quality of Works / Criteria of Failings:","")))/LEN("Quality of Works / Criteria of Failings:"),0)/MAX(1,(LEN($I390)-LEN(SUBSTITUTE($I390," Ltd","")))/LEN(" Ltd")),0)</f>
        <v/>
      </c>
      <c r="AB389" s="122">
        <f>IFERROR(IFERROR((LEN($T390)-LEN(SUBSTITUTE($T390,"Quality of Works / Criteria of Failings:Compliant","")))/LEN("Quality of Works / Criteria of Failings:Compliant"),0)/MAX(1,(LEN($I390)-LEN(SUBSTITUTE($I390," Ltd","")))/LEN(" Ltd")),0)</f>
        <v/>
      </c>
    </row>
    <row r="390" ht="15.75" customHeight="1" s="146">
      <c r="Y390" s="122">
        <f>MAX(0,IFERROR((LEN($T391)-LEN(SUBSTITUTE($T391,"Quality of Works / Criteria of Failings:","")))/LEN("Quality of Works / Criteria of Failings:"),0)-IFERROR((LEN($T391)-LEN(SUBSTITUTE($T391,"Quality of Works / Criteria of Failings:Compliant","")))/LEN("Quality of Works / Criteria of Failings:Compliant"),0))</f>
        <v/>
      </c>
      <c r="Z390" s="122">
        <f>IFERROR($Y391/MAX(1,(LEN($I391)-LEN(SUBSTITUTE($I391," Ltd","")))/LEN(" Ltd")),0)</f>
        <v/>
      </c>
      <c r="AA390" s="122">
        <f>IFERROR(IFERROR((LEN($T391)-LEN(SUBSTITUTE($T391,"Quality of Works / Criteria of Failings:","")))/LEN("Quality of Works / Criteria of Failings:"),0)/MAX(1,(LEN($I391)-LEN(SUBSTITUTE($I391," Ltd","")))/LEN(" Ltd")),0)</f>
        <v/>
      </c>
      <c r="AB390" s="122">
        <f>IFERROR(IFERROR((LEN($T391)-LEN(SUBSTITUTE($T391,"Quality of Works / Criteria of Failings:Compliant","")))/LEN("Quality of Works / Criteria of Failings:Compliant"),0)/MAX(1,(LEN($I391)-LEN(SUBSTITUTE($I391," Ltd","")))/LEN(" Ltd")),0)</f>
        <v/>
      </c>
    </row>
    <row r="391" ht="15.75" customHeight="1" s="146">
      <c r="Y391" s="122">
        <f>MAX(0,IFERROR((LEN($T392)-LEN(SUBSTITUTE($T392,"Quality of Works / Criteria of Failings:","")))/LEN("Quality of Works / Criteria of Failings:"),0)-IFERROR((LEN($T392)-LEN(SUBSTITUTE($T392,"Quality of Works / Criteria of Failings:Compliant","")))/LEN("Quality of Works / Criteria of Failings:Compliant"),0))</f>
        <v/>
      </c>
      <c r="Z391" s="122">
        <f>IFERROR($Y392/MAX(1,(LEN($I392)-LEN(SUBSTITUTE($I392," Ltd","")))/LEN(" Ltd")),0)</f>
        <v/>
      </c>
      <c r="AA391" s="122">
        <f>IFERROR(IFERROR((LEN($T392)-LEN(SUBSTITUTE($T392,"Quality of Works / Criteria of Failings:","")))/LEN("Quality of Works / Criteria of Failings:"),0)/MAX(1,(LEN($I392)-LEN(SUBSTITUTE($I392," Ltd","")))/LEN(" Ltd")),0)</f>
        <v/>
      </c>
      <c r="AB391" s="122">
        <f>IFERROR(IFERROR((LEN($T392)-LEN(SUBSTITUTE($T392,"Quality of Works / Criteria of Failings:Compliant","")))/LEN("Quality of Works / Criteria of Failings:Compliant"),0)/MAX(1,(LEN($I392)-LEN(SUBSTITUTE($I392," Ltd","")))/LEN(" Ltd")),0)</f>
        <v/>
      </c>
    </row>
    <row r="392" ht="15.75" customHeight="1" s="146">
      <c r="Y392" s="122">
        <f>MAX(0,IFERROR((LEN($T393)-LEN(SUBSTITUTE($T393,"Quality of Works / Criteria of Failings:","")))/LEN("Quality of Works / Criteria of Failings:"),0)-IFERROR((LEN($T393)-LEN(SUBSTITUTE($T393,"Quality of Works / Criteria of Failings:Compliant","")))/LEN("Quality of Works / Criteria of Failings:Compliant"),0))</f>
        <v/>
      </c>
      <c r="Z392" s="122">
        <f>IFERROR($Y393/MAX(1,(LEN($I393)-LEN(SUBSTITUTE($I393," Ltd","")))/LEN(" Ltd")),0)</f>
        <v/>
      </c>
      <c r="AA392" s="122">
        <f>IFERROR(IFERROR((LEN($T393)-LEN(SUBSTITUTE($T393,"Quality of Works / Criteria of Failings:","")))/LEN("Quality of Works / Criteria of Failings:"),0)/MAX(1,(LEN($I393)-LEN(SUBSTITUTE($I393," Ltd","")))/LEN(" Ltd")),0)</f>
        <v/>
      </c>
      <c r="AB392" s="122">
        <f>IFERROR(IFERROR((LEN($T393)-LEN(SUBSTITUTE($T393,"Quality of Works / Criteria of Failings:Compliant","")))/LEN("Quality of Works / Criteria of Failings:Compliant"),0)/MAX(1,(LEN($I393)-LEN(SUBSTITUTE($I393," Ltd","")))/LEN(" Ltd")),0)</f>
        <v/>
      </c>
    </row>
    <row r="393" ht="15.75" customHeight="1" s="146">
      <c r="Y393" s="122">
        <f>MAX(0,IFERROR((LEN($T394)-LEN(SUBSTITUTE($T394,"Quality of Works / Criteria of Failings:","")))/LEN("Quality of Works / Criteria of Failings:"),0)-IFERROR((LEN($T394)-LEN(SUBSTITUTE($T394,"Quality of Works / Criteria of Failings:Compliant","")))/LEN("Quality of Works / Criteria of Failings:Compliant"),0))</f>
        <v/>
      </c>
      <c r="Z393" s="122">
        <f>IFERROR($Y394/MAX(1,(LEN($I394)-LEN(SUBSTITUTE($I394," Ltd","")))/LEN(" Ltd")),0)</f>
        <v/>
      </c>
      <c r="AA393" s="122">
        <f>IFERROR(IFERROR((LEN($T394)-LEN(SUBSTITUTE($T394,"Quality of Works / Criteria of Failings:","")))/LEN("Quality of Works / Criteria of Failings:"),0)/MAX(1,(LEN($I394)-LEN(SUBSTITUTE($I394," Ltd","")))/LEN(" Ltd")),0)</f>
        <v/>
      </c>
      <c r="AB393" s="122">
        <f>IFERROR(IFERROR((LEN($T394)-LEN(SUBSTITUTE($T394,"Quality of Works / Criteria of Failings:Compliant","")))/LEN("Quality of Works / Criteria of Failings:Compliant"),0)/MAX(1,(LEN($I394)-LEN(SUBSTITUTE($I394," Ltd","")))/LEN(" Ltd")),0)</f>
        <v/>
      </c>
    </row>
    <row r="394" ht="15.75" customHeight="1" s="146">
      <c r="Y394" s="122">
        <f>MAX(0,IFERROR((LEN($T395)-LEN(SUBSTITUTE($T395,"Quality of Works / Criteria of Failings:","")))/LEN("Quality of Works / Criteria of Failings:"),0)-IFERROR((LEN($T395)-LEN(SUBSTITUTE($T395,"Quality of Works / Criteria of Failings:Compliant","")))/LEN("Quality of Works / Criteria of Failings:Compliant"),0))</f>
        <v/>
      </c>
      <c r="Z394" s="122">
        <f>IFERROR($Y395/MAX(1,(LEN($I395)-LEN(SUBSTITUTE($I395," Ltd","")))/LEN(" Ltd")),0)</f>
        <v/>
      </c>
      <c r="AA394" s="122">
        <f>IFERROR(IFERROR((LEN($T395)-LEN(SUBSTITUTE($T395,"Quality of Works / Criteria of Failings:","")))/LEN("Quality of Works / Criteria of Failings:"),0)/MAX(1,(LEN($I395)-LEN(SUBSTITUTE($I395," Ltd","")))/LEN(" Ltd")),0)</f>
        <v/>
      </c>
      <c r="AB394" s="122">
        <f>IFERROR(IFERROR((LEN($T395)-LEN(SUBSTITUTE($T395,"Quality of Works / Criteria of Failings:Compliant","")))/LEN("Quality of Works / Criteria of Failings:Compliant"),0)/MAX(1,(LEN($I395)-LEN(SUBSTITUTE($I395," Ltd","")))/LEN(" Ltd")),0)</f>
        <v/>
      </c>
    </row>
    <row r="395" ht="15.75" customHeight="1" s="146">
      <c r="Y395" s="122">
        <f>MAX(0,IFERROR((LEN($T396)-LEN(SUBSTITUTE($T396,"Quality of Works / Criteria of Failings:","")))/LEN("Quality of Works / Criteria of Failings:"),0)-IFERROR((LEN($T396)-LEN(SUBSTITUTE($T396,"Quality of Works / Criteria of Failings:Compliant","")))/LEN("Quality of Works / Criteria of Failings:Compliant"),0))</f>
        <v/>
      </c>
      <c r="Z395" s="122">
        <f>IFERROR($Y396/MAX(1,(LEN($I396)-LEN(SUBSTITUTE($I396," Ltd","")))/LEN(" Ltd")),0)</f>
        <v/>
      </c>
      <c r="AA395" s="122">
        <f>IFERROR(IFERROR((LEN($T396)-LEN(SUBSTITUTE($T396,"Quality of Works / Criteria of Failings:","")))/LEN("Quality of Works / Criteria of Failings:"),0)/MAX(1,(LEN($I396)-LEN(SUBSTITUTE($I396," Ltd","")))/LEN(" Ltd")),0)</f>
        <v/>
      </c>
      <c r="AB395" s="122">
        <f>IFERROR(IFERROR((LEN($T396)-LEN(SUBSTITUTE($T396,"Quality of Works / Criteria of Failings:Compliant","")))/LEN("Quality of Works / Criteria of Failings:Compliant"),0)/MAX(1,(LEN($I396)-LEN(SUBSTITUTE($I396," Ltd","")))/LEN(" Ltd")),0)</f>
        <v/>
      </c>
    </row>
    <row r="396" ht="15.75" customHeight="1" s="146">
      <c r="Y396" s="122">
        <f>MAX(0,IFERROR((LEN($T397)-LEN(SUBSTITUTE($T397,"Quality of Works / Criteria of Failings:","")))/LEN("Quality of Works / Criteria of Failings:"),0)-IFERROR((LEN($T397)-LEN(SUBSTITUTE($T397,"Quality of Works / Criteria of Failings:Compliant","")))/LEN("Quality of Works / Criteria of Failings:Compliant"),0))</f>
        <v/>
      </c>
      <c r="Z396" s="122">
        <f>IFERROR($Y397/MAX(1,(LEN($I397)-LEN(SUBSTITUTE($I397," Ltd","")))/LEN(" Ltd")),0)</f>
        <v/>
      </c>
      <c r="AA396" s="122">
        <f>IFERROR(IFERROR((LEN($T397)-LEN(SUBSTITUTE($T397,"Quality of Works / Criteria of Failings:","")))/LEN("Quality of Works / Criteria of Failings:"),0)/MAX(1,(LEN($I397)-LEN(SUBSTITUTE($I397," Ltd","")))/LEN(" Ltd")),0)</f>
        <v/>
      </c>
      <c r="AB396" s="122">
        <f>IFERROR(IFERROR((LEN($T397)-LEN(SUBSTITUTE($T397,"Quality of Works / Criteria of Failings:Compliant","")))/LEN("Quality of Works / Criteria of Failings:Compliant"),0)/MAX(1,(LEN($I397)-LEN(SUBSTITUTE($I397," Ltd","")))/LEN(" Ltd")),0)</f>
        <v/>
      </c>
    </row>
    <row r="397" ht="15.75" customHeight="1" s="146">
      <c r="Y397" s="122">
        <f>MAX(0,IFERROR((LEN($T398)-LEN(SUBSTITUTE($T398,"Quality of Works / Criteria of Failings:","")))/LEN("Quality of Works / Criteria of Failings:"),0)-IFERROR((LEN($T398)-LEN(SUBSTITUTE($T398,"Quality of Works / Criteria of Failings:Compliant","")))/LEN("Quality of Works / Criteria of Failings:Compliant"),0))</f>
        <v/>
      </c>
      <c r="Z397" s="122">
        <f>IFERROR($Y398/MAX(1,(LEN($I398)-LEN(SUBSTITUTE($I398," Ltd","")))/LEN(" Ltd")),0)</f>
        <v/>
      </c>
      <c r="AA397" s="122">
        <f>IFERROR(IFERROR((LEN($T398)-LEN(SUBSTITUTE($T398,"Quality of Works / Criteria of Failings:","")))/LEN("Quality of Works / Criteria of Failings:"),0)/MAX(1,(LEN($I398)-LEN(SUBSTITUTE($I398," Ltd","")))/LEN(" Ltd")),0)</f>
        <v/>
      </c>
      <c r="AB397" s="122">
        <f>IFERROR(IFERROR((LEN($T398)-LEN(SUBSTITUTE($T398,"Quality of Works / Criteria of Failings:Compliant","")))/LEN("Quality of Works / Criteria of Failings:Compliant"),0)/MAX(1,(LEN($I398)-LEN(SUBSTITUTE($I398," Ltd","")))/LEN(" Ltd")),0)</f>
        <v/>
      </c>
    </row>
    <row r="398" ht="15.75" customHeight="1" s="146">
      <c r="Y398" s="122">
        <f>MAX(0,IFERROR((LEN($T399)-LEN(SUBSTITUTE($T399,"Quality of Works / Criteria of Failings:","")))/LEN("Quality of Works / Criteria of Failings:"),0)-IFERROR((LEN($T399)-LEN(SUBSTITUTE($T399,"Quality of Works / Criteria of Failings:Compliant","")))/LEN("Quality of Works / Criteria of Failings:Compliant"),0))</f>
        <v/>
      </c>
      <c r="Z398" s="122">
        <f>IFERROR($Y399/MAX(1,(LEN($I399)-LEN(SUBSTITUTE($I399," Ltd","")))/LEN(" Ltd")),0)</f>
        <v/>
      </c>
      <c r="AA398" s="122">
        <f>IFERROR(IFERROR((LEN($T399)-LEN(SUBSTITUTE($T399,"Quality of Works / Criteria of Failings:","")))/LEN("Quality of Works / Criteria of Failings:"),0)/MAX(1,(LEN($I399)-LEN(SUBSTITUTE($I399," Ltd","")))/LEN(" Ltd")),0)</f>
        <v/>
      </c>
      <c r="AB398" s="122">
        <f>IFERROR(IFERROR((LEN($T399)-LEN(SUBSTITUTE($T399,"Quality of Works / Criteria of Failings:Compliant","")))/LEN("Quality of Works / Criteria of Failings:Compliant"),0)/MAX(1,(LEN($I399)-LEN(SUBSTITUTE($I399," Ltd","")))/LEN(" Ltd")),0)</f>
        <v/>
      </c>
    </row>
    <row r="399" ht="15.75" customHeight="1" s="146">
      <c r="Y399" s="122">
        <f>MAX(0,IFERROR((LEN($T400)-LEN(SUBSTITUTE($T400,"Quality of Works / Criteria of Failings:","")))/LEN("Quality of Works / Criteria of Failings:"),0)-IFERROR((LEN($T400)-LEN(SUBSTITUTE($T400,"Quality of Works / Criteria of Failings:Compliant","")))/LEN("Quality of Works / Criteria of Failings:Compliant"),0))</f>
        <v/>
      </c>
      <c r="Z399" s="122">
        <f>IFERROR($Y400/MAX(1,(LEN($I400)-LEN(SUBSTITUTE($I400," Ltd","")))/LEN(" Ltd")),0)</f>
        <v/>
      </c>
      <c r="AA399" s="122">
        <f>IFERROR(IFERROR((LEN($T400)-LEN(SUBSTITUTE($T400,"Quality of Works / Criteria of Failings:","")))/LEN("Quality of Works / Criteria of Failings:"),0)/MAX(1,(LEN($I400)-LEN(SUBSTITUTE($I400," Ltd","")))/LEN(" Ltd")),0)</f>
        <v/>
      </c>
      <c r="AB399" s="122">
        <f>IFERROR(IFERROR((LEN($T400)-LEN(SUBSTITUTE($T400,"Quality of Works / Criteria of Failings:Compliant","")))/LEN("Quality of Works / Criteria of Failings:Compliant"),0)/MAX(1,(LEN($I400)-LEN(SUBSTITUTE($I400," Ltd","")))/LEN(" Ltd")),0)</f>
        <v/>
      </c>
    </row>
    <row r="400" ht="15.75" customHeight="1" s="146">
      <c r="Y400" s="122">
        <f>MAX(0,IFERROR((LEN($T401)-LEN(SUBSTITUTE($T401,"Quality of Works / Criteria of Failings:","")))/LEN("Quality of Works / Criteria of Failings:"),0)-IFERROR((LEN($T401)-LEN(SUBSTITUTE($T401,"Quality of Works / Criteria of Failings:Compliant","")))/LEN("Quality of Works / Criteria of Failings:Compliant"),0))</f>
        <v/>
      </c>
      <c r="Z400" s="122">
        <f>IFERROR($Y401/MAX(1,(LEN($I401)-LEN(SUBSTITUTE($I401," Ltd","")))/LEN(" Ltd")),0)</f>
        <v/>
      </c>
      <c r="AA400" s="122">
        <f>IFERROR(IFERROR((LEN($T401)-LEN(SUBSTITUTE($T401,"Quality of Works / Criteria of Failings:","")))/LEN("Quality of Works / Criteria of Failings:"),0)/MAX(1,(LEN($I401)-LEN(SUBSTITUTE($I401," Ltd","")))/LEN(" Ltd")),0)</f>
        <v/>
      </c>
      <c r="AB400" s="122">
        <f>IFERROR(IFERROR((LEN($T401)-LEN(SUBSTITUTE($T401,"Quality of Works / Criteria of Failings:Compliant","")))/LEN("Quality of Works / Criteria of Failings:Compliant"),0)/MAX(1,(LEN($I401)-LEN(SUBSTITUTE($I401," Ltd","")))/LEN(" Ltd")),0)</f>
        <v/>
      </c>
    </row>
    <row r="401" ht="15.75" customHeight="1" s="146">
      <c r="Y401" s="122">
        <f>MAX(0,IFERROR((LEN($T402)-LEN(SUBSTITUTE($T402,"Quality of Works / Criteria of Failings:","")))/LEN("Quality of Works / Criteria of Failings:"),0)-IFERROR((LEN($T402)-LEN(SUBSTITUTE($T402,"Quality of Works / Criteria of Failings:Compliant","")))/LEN("Quality of Works / Criteria of Failings:Compliant"),0))</f>
        <v/>
      </c>
      <c r="Z401" s="122">
        <f>IFERROR($Y402/MAX(1,(LEN($I402)-LEN(SUBSTITUTE($I402," Ltd","")))/LEN(" Ltd")),0)</f>
        <v/>
      </c>
      <c r="AA401" s="122">
        <f>IFERROR(IFERROR((LEN($T402)-LEN(SUBSTITUTE($T402,"Quality of Works / Criteria of Failings:","")))/LEN("Quality of Works / Criteria of Failings:"),0)/MAX(1,(LEN($I402)-LEN(SUBSTITUTE($I402," Ltd","")))/LEN(" Ltd")),0)</f>
        <v/>
      </c>
      <c r="AB401" s="122">
        <f>IFERROR(IFERROR((LEN($T402)-LEN(SUBSTITUTE($T402,"Quality of Works / Criteria of Failings:Compliant","")))/LEN("Quality of Works / Criteria of Failings:Compliant"),0)/MAX(1,(LEN($I402)-LEN(SUBSTITUTE($I402," Ltd","")))/LEN(" Ltd")),0)</f>
        <v/>
      </c>
    </row>
    <row r="402" ht="15.75" customHeight="1" s="146">
      <c r="Y402" s="122">
        <f>MAX(0,IFERROR((LEN($T403)-LEN(SUBSTITUTE($T403,"Quality of Works / Criteria of Failings:","")))/LEN("Quality of Works / Criteria of Failings:"),0)-IFERROR((LEN($T403)-LEN(SUBSTITUTE($T403,"Quality of Works / Criteria of Failings:Compliant","")))/LEN("Quality of Works / Criteria of Failings:Compliant"),0))</f>
        <v/>
      </c>
      <c r="Z402" s="122">
        <f>IFERROR($Y403/MAX(1,(LEN($I403)-LEN(SUBSTITUTE($I403," Ltd","")))/LEN(" Ltd")),0)</f>
        <v/>
      </c>
      <c r="AA402" s="122">
        <f>IFERROR(IFERROR((LEN($T403)-LEN(SUBSTITUTE($T403,"Quality of Works / Criteria of Failings:","")))/LEN("Quality of Works / Criteria of Failings:"),0)/MAX(1,(LEN($I403)-LEN(SUBSTITUTE($I403," Ltd","")))/LEN(" Ltd")),0)</f>
        <v/>
      </c>
      <c r="AB402" s="122">
        <f>IFERROR(IFERROR((LEN($T403)-LEN(SUBSTITUTE($T403,"Quality of Works / Criteria of Failings:Compliant","")))/LEN("Quality of Works / Criteria of Failings:Compliant"),0)/MAX(1,(LEN($I403)-LEN(SUBSTITUTE($I403," Ltd","")))/LEN(" Ltd")),0)</f>
        <v/>
      </c>
    </row>
    <row r="403" ht="15.75" customHeight="1" s="146">
      <c r="Y403" s="122">
        <f>MAX(0,IFERROR((LEN($T404)-LEN(SUBSTITUTE($T404,"Quality of Works / Criteria of Failings:","")))/LEN("Quality of Works / Criteria of Failings:"),0)-IFERROR((LEN($T404)-LEN(SUBSTITUTE($T404,"Quality of Works / Criteria of Failings:Compliant","")))/LEN("Quality of Works / Criteria of Failings:Compliant"),0))</f>
        <v/>
      </c>
      <c r="Z403" s="122">
        <f>IFERROR($Y404/MAX(1,(LEN($I404)-LEN(SUBSTITUTE($I404," Ltd","")))/LEN(" Ltd")),0)</f>
        <v/>
      </c>
      <c r="AA403" s="122">
        <f>IFERROR(IFERROR((LEN($T404)-LEN(SUBSTITUTE($T404,"Quality of Works / Criteria of Failings:","")))/LEN("Quality of Works / Criteria of Failings:"),0)/MAX(1,(LEN($I404)-LEN(SUBSTITUTE($I404," Ltd","")))/LEN(" Ltd")),0)</f>
        <v/>
      </c>
      <c r="AB403" s="122">
        <f>IFERROR(IFERROR((LEN($T404)-LEN(SUBSTITUTE($T404,"Quality of Works / Criteria of Failings:Compliant","")))/LEN("Quality of Works / Criteria of Failings:Compliant"),0)/MAX(1,(LEN($I404)-LEN(SUBSTITUTE($I404," Ltd","")))/LEN(" Ltd")),0)</f>
        <v/>
      </c>
    </row>
    <row r="404" ht="15.75" customHeight="1" s="146">
      <c r="Y404" s="122">
        <f>MAX(0,IFERROR((LEN($T405)-LEN(SUBSTITUTE($T405,"Quality of Works / Criteria of Failings:","")))/LEN("Quality of Works / Criteria of Failings:"),0)-IFERROR((LEN($T405)-LEN(SUBSTITUTE($T405,"Quality of Works / Criteria of Failings:Compliant","")))/LEN("Quality of Works / Criteria of Failings:Compliant"),0))</f>
        <v/>
      </c>
      <c r="Z404" s="122">
        <f>IFERROR($Y405/MAX(1,(LEN($I405)-LEN(SUBSTITUTE($I405," Ltd","")))/LEN(" Ltd")),0)</f>
        <v/>
      </c>
      <c r="AA404" s="122">
        <f>IFERROR(IFERROR((LEN($T405)-LEN(SUBSTITUTE($T405,"Quality of Works / Criteria of Failings:","")))/LEN("Quality of Works / Criteria of Failings:"),0)/MAX(1,(LEN($I405)-LEN(SUBSTITUTE($I405," Ltd","")))/LEN(" Ltd")),0)</f>
        <v/>
      </c>
      <c r="AB404" s="122">
        <f>IFERROR(IFERROR((LEN($T405)-LEN(SUBSTITUTE($T405,"Quality of Works / Criteria of Failings:Compliant","")))/LEN("Quality of Works / Criteria of Failings:Compliant"),0)/MAX(1,(LEN($I405)-LEN(SUBSTITUTE($I405," Ltd","")))/LEN(" Ltd")),0)</f>
        <v/>
      </c>
    </row>
    <row r="405" ht="15.75" customHeight="1" s="146">
      <c r="Y405" s="122">
        <f>MAX(0,IFERROR((LEN($T406)-LEN(SUBSTITUTE($T406,"Quality of Works / Criteria of Failings:","")))/LEN("Quality of Works / Criteria of Failings:"),0)-IFERROR((LEN($T406)-LEN(SUBSTITUTE($T406,"Quality of Works / Criteria of Failings:Compliant","")))/LEN("Quality of Works / Criteria of Failings:Compliant"),0))</f>
        <v/>
      </c>
      <c r="Z405" s="122">
        <f>IFERROR($Y406/MAX(1,(LEN($I406)-LEN(SUBSTITUTE($I406," Ltd","")))/LEN(" Ltd")),0)</f>
        <v/>
      </c>
      <c r="AA405" s="122">
        <f>IFERROR(IFERROR((LEN($T406)-LEN(SUBSTITUTE($T406,"Quality of Works / Criteria of Failings:","")))/LEN("Quality of Works / Criteria of Failings:"),0)/MAX(1,(LEN($I406)-LEN(SUBSTITUTE($I406," Ltd","")))/LEN(" Ltd")),0)</f>
        <v/>
      </c>
      <c r="AB405" s="122">
        <f>IFERROR(IFERROR((LEN($T406)-LEN(SUBSTITUTE($T406,"Quality of Works / Criteria of Failings:Compliant","")))/LEN("Quality of Works / Criteria of Failings:Compliant"),0)/MAX(1,(LEN($I406)-LEN(SUBSTITUTE($I406," Ltd","")))/LEN(" Ltd")),0)</f>
        <v/>
      </c>
    </row>
    <row r="406" ht="15.75" customHeight="1" s="146">
      <c r="Y406" s="122">
        <f>MAX(0,IFERROR((LEN($T407)-LEN(SUBSTITUTE($T407,"Quality of Works / Criteria of Failings:","")))/LEN("Quality of Works / Criteria of Failings:"),0)-IFERROR((LEN($T407)-LEN(SUBSTITUTE($T407,"Quality of Works / Criteria of Failings:Compliant","")))/LEN("Quality of Works / Criteria of Failings:Compliant"),0))</f>
        <v/>
      </c>
      <c r="Z406" s="122">
        <f>IFERROR($Y407/MAX(1,(LEN($I407)-LEN(SUBSTITUTE($I407," Ltd","")))/LEN(" Ltd")),0)</f>
        <v/>
      </c>
      <c r="AA406" s="122">
        <f>IFERROR(IFERROR((LEN($T407)-LEN(SUBSTITUTE($T407,"Quality of Works / Criteria of Failings:","")))/LEN("Quality of Works / Criteria of Failings:"),0)/MAX(1,(LEN($I407)-LEN(SUBSTITUTE($I407," Ltd","")))/LEN(" Ltd")),0)</f>
        <v/>
      </c>
      <c r="AB406" s="122">
        <f>IFERROR(IFERROR((LEN($T407)-LEN(SUBSTITUTE($T407,"Quality of Works / Criteria of Failings:Compliant","")))/LEN("Quality of Works / Criteria of Failings:Compliant"),0)/MAX(1,(LEN($I407)-LEN(SUBSTITUTE($I407," Ltd","")))/LEN(" Ltd")),0)</f>
        <v/>
      </c>
    </row>
    <row r="407" ht="15.75" customHeight="1" s="146">
      <c r="Y407" s="122">
        <f>MAX(0,IFERROR((LEN($T408)-LEN(SUBSTITUTE($T408,"Quality of Works / Criteria of Failings:","")))/LEN("Quality of Works / Criteria of Failings:"),0)-IFERROR((LEN($T408)-LEN(SUBSTITUTE($T408,"Quality of Works / Criteria of Failings:Compliant","")))/LEN("Quality of Works / Criteria of Failings:Compliant"),0))</f>
        <v/>
      </c>
      <c r="Z407" s="122">
        <f>IFERROR($Y408/MAX(1,(LEN($I408)-LEN(SUBSTITUTE($I408," Ltd","")))/LEN(" Ltd")),0)</f>
        <v/>
      </c>
      <c r="AA407" s="122">
        <f>IFERROR(IFERROR((LEN($T408)-LEN(SUBSTITUTE($T408,"Quality of Works / Criteria of Failings:","")))/LEN("Quality of Works / Criteria of Failings:"),0)/MAX(1,(LEN($I408)-LEN(SUBSTITUTE($I408," Ltd","")))/LEN(" Ltd")),0)</f>
        <v/>
      </c>
      <c r="AB407" s="122">
        <f>IFERROR(IFERROR((LEN($T408)-LEN(SUBSTITUTE($T408,"Quality of Works / Criteria of Failings:Compliant","")))/LEN("Quality of Works / Criteria of Failings:Compliant"),0)/MAX(1,(LEN($I408)-LEN(SUBSTITUTE($I408," Ltd","")))/LEN(" Ltd")),0)</f>
        <v/>
      </c>
    </row>
    <row r="408" ht="15.75" customHeight="1" s="146">
      <c r="Y408" s="122">
        <f>MAX(0,IFERROR((LEN($T409)-LEN(SUBSTITUTE($T409,"Quality of Works / Criteria of Failings:","")))/LEN("Quality of Works / Criteria of Failings:"),0)-IFERROR((LEN($T409)-LEN(SUBSTITUTE($T409,"Quality of Works / Criteria of Failings:Compliant","")))/LEN("Quality of Works / Criteria of Failings:Compliant"),0))</f>
        <v/>
      </c>
      <c r="Z408" s="122">
        <f>IFERROR($Y409/MAX(1,(LEN($I409)-LEN(SUBSTITUTE($I409," Ltd","")))/LEN(" Ltd")),0)</f>
        <v/>
      </c>
      <c r="AA408" s="122">
        <f>IFERROR(IFERROR((LEN($T409)-LEN(SUBSTITUTE($T409,"Quality of Works / Criteria of Failings:","")))/LEN("Quality of Works / Criteria of Failings:"),0)/MAX(1,(LEN($I409)-LEN(SUBSTITUTE($I409," Ltd","")))/LEN(" Ltd")),0)</f>
        <v/>
      </c>
      <c r="AB408" s="122">
        <f>IFERROR(IFERROR((LEN($T409)-LEN(SUBSTITUTE($T409,"Quality of Works / Criteria of Failings:Compliant","")))/LEN("Quality of Works / Criteria of Failings:Compliant"),0)/MAX(1,(LEN($I409)-LEN(SUBSTITUTE($I409," Ltd","")))/LEN(" Ltd")),0)</f>
        <v/>
      </c>
    </row>
    <row r="409" ht="15.75" customHeight="1" s="146">
      <c r="Y409" s="122">
        <f>MAX(0,IFERROR((LEN($T410)-LEN(SUBSTITUTE($T410,"Quality of Works / Criteria of Failings:","")))/LEN("Quality of Works / Criteria of Failings:"),0)-IFERROR((LEN($T410)-LEN(SUBSTITUTE($T410,"Quality of Works / Criteria of Failings:Compliant","")))/LEN("Quality of Works / Criteria of Failings:Compliant"),0))</f>
        <v/>
      </c>
      <c r="Z409" s="122">
        <f>IFERROR($Y410/MAX(1,(LEN($I410)-LEN(SUBSTITUTE($I410," Ltd","")))/LEN(" Ltd")),0)</f>
        <v/>
      </c>
      <c r="AA409" s="122">
        <f>IFERROR(IFERROR((LEN($T410)-LEN(SUBSTITUTE($T410,"Quality of Works / Criteria of Failings:","")))/LEN("Quality of Works / Criteria of Failings:"),0)/MAX(1,(LEN($I410)-LEN(SUBSTITUTE($I410," Ltd","")))/LEN(" Ltd")),0)</f>
        <v/>
      </c>
      <c r="AB409" s="122">
        <f>IFERROR(IFERROR((LEN($T410)-LEN(SUBSTITUTE($T410,"Quality of Works / Criteria of Failings:Compliant","")))/LEN("Quality of Works / Criteria of Failings:Compliant"),0)/MAX(1,(LEN($I410)-LEN(SUBSTITUTE($I410," Ltd","")))/LEN(" Ltd")),0)</f>
        <v/>
      </c>
    </row>
    <row r="410" ht="15.75" customHeight="1" s="146">
      <c r="Y410" s="122">
        <f>MAX(0,IFERROR((LEN($T411)-LEN(SUBSTITUTE($T411,"Quality of Works / Criteria of Failings:","")))/LEN("Quality of Works / Criteria of Failings:"),0)-IFERROR((LEN($T411)-LEN(SUBSTITUTE($T411,"Quality of Works / Criteria of Failings:Compliant","")))/LEN("Quality of Works / Criteria of Failings:Compliant"),0))</f>
        <v/>
      </c>
      <c r="Z410" s="122">
        <f>IFERROR($Y411/MAX(1,(LEN($I411)-LEN(SUBSTITUTE($I411," Ltd","")))/LEN(" Ltd")),0)</f>
        <v/>
      </c>
      <c r="AA410" s="122">
        <f>IFERROR(IFERROR((LEN($T411)-LEN(SUBSTITUTE($T411,"Quality of Works / Criteria of Failings:","")))/LEN("Quality of Works / Criteria of Failings:"),0)/MAX(1,(LEN($I411)-LEN(SUBSTITUTE($I411," Ltd","")))/LEN(" Ltd")),0)</f>
        <v/>
      </c>
      <c r="AB410" s="122">
        <f>IFERROR(IFERROR((LEN($T411)-LEN(SUBSTITUTE($T411,"Quality of Works / Criteria of Failings:Compliant","")))/LEN("Quality of Works / Criteria of Failings:Compliant"),0)/MAX(1,(LEN($I411)-LEN(SUBSTITUTE($I411," Ltd","")))/LEN(" Ltd")),0)</f>
        <v/>
      </c>
    </row>
    <row r="411" ht="15.75" customHeight="1" s="146">
      <c r="Y411" s="122">
        <f>MAX(0,IFERROR((LEN($T412)-LEN(SUBSTITUTE($T412,"Quality of Works / Criteria of Failings:","")))/LEN("Quality of Works / Criteria of Failings:"),0)-IFERROR((LEN($T412)-LEN(SUBSTITUTE($T412,"Quality of Works / Criteria of Failings:Compliant","")))/LEN("Quality of Works / Criteria of Failings:Compliant"),0))</f>
        <v/>
      </c>
      <c r="Z411" s="122">
        <f>IFERROR($Y412/MAX(1,(LEN($I412)-LEN(SUBSTITUTE($I412," Ltd","")))/LEN(" Ltd")),0)</f>
        <v/>
      </c>
      <c r="AA411" s="122">
        <f>IFERROR(IFERROR((LEN($T412)-LEN(SUBSTITUTE($T412,"Quality of Works / Criteria of Failings:","")))/LEN("Quality of Works / Criteria of Failings:"),0)/MAX(1,(LEN($I412)-LEN(SUBSTITUTE($I412," Ltd","")))/LEN(" Ltd")),0)</f>
        <v/>
      </c>
      <c r="AB411" s="122">
        <f>IFERROR(IFERROR((LEN($T412)-LEN(SUBSTITUTE($T412,"Quality of Works / Criteria of Failings:Compliant","")))/LEN("Quality of Works / Criteria of Failings:Compliant"),0)/MAX(1,(LEN($I412)-LEN(SUBSTITUTE($I412," Ltd","")))/LEN(" Ltd")),0)</f>
        <v/>
      </c>
    </row>
    <row r="412" ht="15.75" customHeight="1" s="146">
      <c r="Y412" s="122">
        <f>MAX(0,IFERROR((LEN($T413)-LEN(SUBSTITUTE($T413,"Quality of Works / Criteria of Failings:","")))/LEN("Quality of Works / Criteria of Failings:"),0)-IFERROR((LEN($T413)-LEN(SUBSTITUTE($T413,"Quality of Works / Criteria of Failings:Compliant","")))/LEN("Quality of Works / Criteria of Failings:Compliant"),0))</f>
        <v/>
      </c>
      <c r="Z412" s="122">
        <f>IFERROR($Y413/MAX(1,(LEN($I413)-LEN(SUBSTITUTE($I413," Ltd","")))/LEN(" Ltd")),0)</f>
        <v/>
      </c>
      <c r="AA412" s="122">
        <f>IFERROR(IFERROR((LEN($T413)-LEN(SUBSTITUTE($T413,"Quality of Works / Criteria of Failings:","")))/LEN("Quality of Works / Criteria of Failings:"),0)/MAX(1,(LEN($I413)-LEN(SUBSTITUTE($I413," Ltd","")))/LEN(" Ltd")),0)</f>
        <v/>
      </c>
      <c r="AB412" s="122">
        <f>IFERROR(IFERROR((LEN($T413)-LEN(SUBSTITUTE($T413,"Quality of Works / Criteria of Failings:Compliant","")))/LEN("Quality of Works / Criteria of Failings:Compliant"),0)/MAX(1,(LEN($I413)-LEN(SUBSTITUTE($I413," Ltd","")))/LEN(" Ltd")),0)</f>
        <v/>
      </c>
    </row>
    <row r="413" ht="15.75" customHeight="1" s="146">
      <c r="Y413" s="122">
        <f>MAX(0,IFERROR((LEN($T414)-LEN(SUBSTITUTE($T414,"Quality of Works / Criteria of Failings:","")))/LEN("Quality of Works / Criteria of Failings:"),0)-IFERROR((LEN($T414)-LEN(SUBSTITUTE($T414,"Quality of Works / Criteria of Failings:Compliant","")))/LEN("Quality of Works / Criteria of Failings:Compliant"),0))</f>
        <v/>
      </c>
      <c r="Z413" s="122">
        <f>IFERROR($Y414/MAX(1,(LEN($I414)-LEN(SUBSTITUTE($I414," Ltd","")))/LEN(" Ltd")),0)</f>
        <v/>
      </c>
      <c r="AA413" s="122">
        <f>IFERROR(IFERROR((LEN($T414)-LEN(SUBSTITUTE($T414,"Quality of Works / Criteria of Failings:","")))/LEN("Quality of Works / Criteria of Failings:"),0)/MAX(1,(LEN($I414)-LEN(SUBSTITUTE($I414," Ltd","")))/LEN(" Ltd")),0)</f>
        <v/>
      </c>
      <c r="AB413" s="122">
        <f>IFERROR(IFERROR((LEN($T414)-LEN(SUBSTITUTE($T414,"Quality of Works / Criteria of Failings:Compliant","")))/LEN("Quality of Works / Criteria of Failings:Compliant"),0)/MAX(1,(LEN($I414)-LEN(SUBSTITUTE($I414," Ltd","")))/LEN(" Ltd")),0)</f>
        <v/>
      </c>
    </row>
    <row r="414" ht="15.75" customHeight="1" s="146">
      <c r="Y414" s="122">
        <f>MAX(0,IFERROR((LEN($T415)-LEN(SUBSTITUTE($T415,"Quality of Works / Criteria of Failings:","")))/LEN("Quality of Works / Criteria of Failings:"),0)-IFERROR((LEN($T415)-LEN(SUBSTITUTE($T415,"Quality of Works / Criteria of Failings:Compliant","")))/LEN("Quality of Works / Criteria of Failings:Compliant"),0))</f>
        <v/>
      </c>
      <c r="Z414" s="122">
        <f>IFERROR($Y415/MAX(1,(LEN($I415)-LEN(SUBSTITUTE($I415," Ltd","")))/LEN(" Ltd")),0)</f>
        <v/>
      </c>
      <c r="AA414" s="122">
        <f>IFERROR(IFERROR((LEN($T415)-LEN(SUBSTITUTE($T415,"Quality of Works / Criteria of Failings:","")))/LEN("Quality of Works / Criteria of Failings:"),0)/MAX(1,(LEN($I415)-LEN(SUBSTITUTE($I415," Ltd","")))/LEN(" Ltd")),0)</f>
        <v/>
      </c>
      <c r="AB414" s="122">
        <f>IFERROR(IFERROR((LEN($T415)-LEN(SUBSTITUTE($T415,"Quality of Works / Criteria of Failings:Compliant","")))/LEN("Quality of Works / Criteria of Failings:Compliant"),0)/MAX(1,(LEN($I415)-LEN(SUBSTITUTE($I415," Ltd","")))/LEN(" Ltd")),0)</f>
        <v/>
      </c>
    </row>
    <row r="415" ht="15.75" customHeight="1" s="146">
      <c r="Y415" s="122">
        <f>MAX(0,IFERROR((LEN($T416)-LEN(SUBSTITUTE($T416,"Quality of Works / Criteria of Failings:","")))/LEN("Quality of Works / Criteria of Failings:"),0)-IFERROR((LEN($T416)-LEN(SUBSTITUTE($T416,"Quality of Works / Criteria of Failings:Compliant","")))/LEN("Quality of Works / Criteria of Failings:Compliant"),0))</f>
        <v/>
      </c>
      <c r="Z415" s="122">
        <f>IFERROR($Y416/MAX(1,(LEN($I416)-LEN(SUBSTITUTE($I416," Ltd","")))/LEN(" Ltd")),0)</f>
        <v/>
      </c>
      <c r="AA415" s="122">
        <f>IFERROR(IFERROR((LEN($T416)-LEN(SUBSTITUTE($T416,"Quality of Works / Criteria of Failings:","")))/LEN("Quality of Works / Criteria of Failings:"),0)/MAX(1,(LEN($I416)-LEN(SUBSTITUTE($I416," Ltd","")))/LEN(" Ltd")),0)</f>
        <v/>
      </c>
      <c r="AB415" s="122">
        <f>IFERROR(IFERROR((LEN($T416)-LEN(SUBSTITUTE($T416,"Quality of Works / Criteria of Failings:Compliant","")))/LEN("Quality of Works / Criteria of Failings:Compliant"),0)/MAX(1,(LEN($I416)-LEN(SUBSTITUTE($I416," Ltd","")))/LEN(" Ltd")),0)</f>
        <v/>
      </c>
    </row>
    <row r="416" ht="15.75" customHeight="1" s="146">
      <c r="Y416" s="122">
        <f>MAX(0,IFERROR((LEN($T417)-LEN(SUBSTITUTE($T417,"Quality of Works / Criteria of Failings:","")))/LEN("Quality of Works / Criteria of Failings:"),0)-IFERROR((LEN($T417)-LEN(SUBSTITUTE($T417,"Quality of Works / Criteria of Failings:Compliant","")))/LEN("Quality of Works / Criteria of Failings:Compliant"),0))</f>
        <v/>
      </c>
      <c r="Z416" s="122">
        <f>IFERROR($Y417/MAX(1,(LEN($I417)-LEN(SUBSTITUTE($I417," Ltd","")))/LEN(" Ltd")),0)</f>
        <v/>
      </c>
      <c r="AA416" s="122">
        <f>IFERROR(IFERROR((LEN($T417)-LEN(SUBSTITUTE($T417,"Quality of Works / Criteria of Failings:","")))/LEN("Quality of Works / Criteria of Failings:"),0)/MAX(1,(LEN($I417)-LEN(SUBSTITUTE($I417," Ltd","")))/LEN(" Ltd")),0)</f>
        <v/>
      </c>
      <c r="AB416" s="122">
        <f>IFERROR(IFERROR((LEN($T417)-LEN(SUBSTITUTE($T417,"Quality of Works / Criteria of Failings:Compliant","")))/LEN("Quality of Works / Criteria of Failings:Compliant"),0)/MAX(1,(LEN($I417)-LEN(SUBSTITUTE($I417," Ltd","")))/LEN(" Ltd")),0)</f>
        <v/>
      </c>
    </row>
    <row r="417" ht="15.75" customHeight="1" s="146">
      <c r="Y417" s="122">
        <f>MAX(0,IFERROR((LEN($T418)-LEN(SUBSTITUTE($T418,"Quality of Works / Criteria of Failings:","")))/LEN("Quality of Works / Criteria of Failings:"),0)-IFERROR((LEN($T418)-LEN(SUBSTITUTE($T418,"Quality of Works / Criteria of Failings:Compliant","")))/LEN("Quality of Works / Criteria of Failings:Compliant"),0))</f>
        <v/>
      </c>
      <c r="Z417" s="122">
        <f>IFERROR($Y418/MAX(1,(LEN($I418)-LEN(SUBSTITUTE($I418," Ltd","")))/LEN(" Ltd")),0)</f>
        <v/>
      </c>
      <c r="AA417" s="122">
        <f>IFERROR(IFERROR((LEN($T418)-LEN(SUBSTITUTE($T418,"Quality of Works / Criteria of Failings:","")))/LEN("Quality of Works / Criteria of Failings:"),0)/MAX(1,(LEN($I418)-LEN(SUBSTITUTE($I418," Ltd","")))/LEN(" Ltd")),0)</f>
        <v/>
      </c>
      <c r="AB417" s="122">
        <f>IFERROR(IFERROR((LEN($T418)-LEN(SUBSTITUTE($T418,"Quality of Works / Criteria of Failings:Compliant","")))/LEN("Quality of Works / Criteria of Failings:Compliant"),0)/MAX(1,(LEN($I418)-LEN(SUBSTITUTE($I418," Ltd","")))/LEN(" Ltd")),0)</f>
        <v/>
      </c>
    </row>
    <row r="418" ht="15.75" customHeight="1" s="146">
      <c r="Y418" s="122">
        <f>MAX(0,IFERROR((LEN($T419)-LEN(SUBSTITUTE($T419,"Quality of Works / Criteria of Failings:","")))/LEN("Quality of Works / Criteria of Failings:"),0)-IFERROR((LEN($T419)-LEN(SUBSTITUTE($T419,"Quality of Works / Criteria of Failings:Compliant","")))/LEN("Quality of Works / Criteria of Failings:Compliant"),0))</f>
        <v/>
      </c>
      <c r="Z418" s="122">
        <f>IFERROR($Y419/MAX(1,(LEN($I419)-LEN(SUBSTITUTE($I419," Ltd","")))/LEN(" Ltd")),0)</f>
        <v/>
      </c>
      <c r="AA418" s="122">
        <f>IFERROR(IFERROR((LEN($T419)-LEN(SUBSTITUTE($T419,"Quality of Works / Criteria of Failings:","")))/LEN("Quality of Works / Criteria of Failings:"),0)/MAX(1,(LEN($I419)-LEN(SUBSTITUTE($I419," Ltd","")))/LEN(" Ltd")),0)</f>
        <v/>
      </c>
      <c r="AB418" s="122">
        <f>IFERROR(IFERROR((LEN($T419)-LEN(SUBSTITUTE($T419,"Quality of Works / Criteria of Failings:Compliant","")))/LEN("Quality of Works / Criteria of Failings:Compliant"),0)/MAX(1,(LEN($I419)-LEN(SUBSTITUTE($I419," Ltd","")))/LEN(" Ltd")),0)</f>
        <v/>
      </c>
    </row>
    <row r="419" ht="15.75" customHeight="1" s="146">
      <c r="Y419" s="122">
        <f>MAX(0,IFERROR((LEN($T420)-LEN(SUBSTITUTE($T420,"Quality of Works / Criteria of Failings:","")))/LEN("Quality of Works / Criteria of Failings:"),0)-IFERROR((LEN($T420)-LEN(SUBSTITUTE($T420,"Quality of Works / Criteria of Failings:Compliant","")))/LEN("Quality of Works / Criteria of Failings:Compliant"),0))</f>
        <v/>
      </c>
      <c r="Z419" s="122">
        <f>IFERROR($Y420/MAX(1,(LEN($I420)-LEN(SUBSTITUTE($I420," Ltd","")))/LEN(" Ltd")),0)</f>
        <v/>
      </c>
      <c r="AA419" s="122">
        <f>IFERROR(IFERROR((LEN($T420)-LEN(SUBSTITUTE($T420,"Quality of Works / Criteria of Failings:","")))/LEN("Quality of Works / Criteria of Failings:"),0)/MAX(1,(LEN($I420)-LEN(SUBSTITUTE($I420," Ltd","")))/LEN(" Ltd")),0)</f>
        <v/>
      </c>
      <c r="AB419" s="122">
        <f>IFERROR(IFERROR((LEN($T420)-LEN(SUBSTITUTE($T420,"Quality of Works / Criteria of Failings:Compliant","")))/LEN("Quality of Works / Criteria of Failings:Compliant"),0)/MAX(1,(LEN($I420)-LEN(SUBSTITUTE($I420," Ltd","")))/LEN(" Ltd")),0)</f>
        <v/>
      </c>
    </row>
    <row r="420" ht="15.75" customHeight="1" s="146">
      <c r="Y420" s="122">
        <f>MAX(0,IFERROR((LEN($T421)-LEN(SUBSTITUTE($T421,"Quality of Works / Criteria of Failings:","")))/LEN("Quality of Works / Criteria of Failings:"),0)-IFERROR((LEN($T421)-LEN(SUBSTITUTE($T421,"Quality of Works / Criteria of Failings:Compliant","")))/LEN("Quality of Works / Criteria of Failings:Compliant"),0))</f>
        <v/>
      </c>
      <c r="Z420" s="122">
        <f>IFERROR($Y421/MAX(1,(LEN($I421)-LEN(SUBSTITUTE($I421," Ltd","")))/LEN(" Ltd")),0)</f>
        <v/>
      </c>
      <c r="AA420" s="122">
        <f>IFERROR(IFERROR((LEN($T421)-LEN(SUBSTITUTE($T421,"Quality of Works / Criteria of Failings:","")))/LEN("Quality of Works / Criteria of Failings:"),0)/MAX(1,(LEN($I421)-LEN(SUBSTITUTE($I421," Ltd","")))/LEN(" Ltd")),0)</f>
        <v/>
      </c>
      <c r="AB420" s="122">
        <f>IFERROR(IFERROR((LEN($T421)-LEN(SUBSTITUTE($T421,"Quality of Works / Criteria of Failings:Compliant","")))/LEN("Quality of Works / Criteria of Failings:Compliant"),0)/MAX(1,(LEN($I421)-LEN(SUBSTITUTE($I421," Ltd","")))/LEN(" Ltd")),0)</f>
        <v/>
      </c>
    </row>
    <row r="421" ht="15.75" customHeight="1" s="146">
      <c r="Y421" s="122">
        <f>MAX(0,IFERROR((LEN($T422)-LEN(SUBSTITUTE($T422,"Quality of Works / Criteria of Failings:","")))/LEN("Quality of Works / Criteria of Failings:"),0)-IFERROR((LEN($T422)-LEN(SUBSTITUTE($T422,"Quality of Works / Criteria of Failings:Compliant","")))/LEN("Quality of Works / Criteria of Failings:Compliant"),0))</f>
        <v/>
      </c>
      <c r="Z421" s="122">
        <f>IFERROR($Y422/MAX(1,(LEN($I422)-LEN(SUBSTITUTE($I422," Ltd","")))/LEN(" Ltd")),0)</f>
        <v/>
      </c>
      <c r="AA421" s="122">
        <f>IFERROR(IFERROR((LEN($T422)-LEN(SUBSTITUTE($T422,"Quality of Works / Criteria of Failings:","")))/LEN("Quality of Works / Criteria of Failings:"),0)/MAX(1,(LEN($I422)-LEN(SUBSTITUTE($I422," Ltd","")))/LEN(" Ltd")),0)</f>
        <v/>
      </c>
      <c r="AB421" s="122">
        <f>IFERROR(IFERROR((LEN($T422)-LEN(SUBSTITUTE($T422,"Quality of Works / Criteria of Failings:Compliant","")))/LEN("Quality of Works / Criteria of Failings:Compliant"),0)/MAX(1,(LEN($I422)-LEN(SUBSTITUTE($I422," Ltd","")))/LEN(" Ltd")),0)</f>
        <v/>
      </c>
    </row>
    <row r="422" ht="15.75" customHeight="1" s="146">
      <c r="Y422" s="122">
        <f>MAX(0,IFERROR((LEN($T423)-LEN(SUBSTITUTE($T423,"Quality of Works / Criteria of Failings:","")))/LEN("Quality of Works / Criteria of Failings:"),0)-IFERROR((LEN($T423)-LEN(SUBSTITUTE($T423,"Quality of Works / Criteria of Failings:Compliant","")))/LEN("Quality of Works / Criteria of Failings:Compliant"),0))</f>
        <v/>
      </c>
      <c r="Z422" s="122">
        <f>IFERROR($Y423/MAX(1,(LEN($I423)-LEN(SUBSTITUTE($I423," Ltd","")))/LEN(" Ltd")),0)</f>
        <v/>
      </c>
      <c r="AA422" s="122">
        <f>IFERROR(IFERROR((LEN($T423)-LEN(SUBSTITUTE($T423,"Quality of Works / Criteria of Failings:","")))/LEN("Quality of Works / Criteria of Failings:"),0)/MAX(1,(LEN($I423)-LEN(SUBSTITUTE($I423," Ltd","")))/LEN(" Ltd")),0)</f>
        <v/>
      </c>
      <c r="AB422" s="122">
        <f>IFERROR(IFERROR((LEN($T423)-LEN(SUBSTITUTE($T423,"Quality of Works / Criteria of Failings:Compliant","")))/LEN("Quality of Works / Criteria of Failings:Compliant"),0)/MAX(1,(LEN($I423)-LEN(SUBSTITUTE($I423," Ltd","")))/LEN(" Ltd")),0)</f>
        <v/>
      </c>
    </row>
    <row r="423" ht="15.75" customHeight="1" s="146">
      <c r="Y423" s="122">
        <f>MAX(0,IFERROR((LEN($T424)-LEN(SUBSTITUTE($T424,"Quality of Works / Criteria of Failings:","")))/LEN("Quality of Works / Criteria of Failings:"),0)-IFERROR((LEN($T424)-LEN(SUBSTITUTE($T424,"Quality of Works / Criteria of Failings:Compliant","")))/LEN("Quality of Works / Criteria of Failings:Compliant"),0))</f>
        <v/>
      </c>
      <c r="Z423" s="122">
        <f>IFERROR($Y424/MAX(1,(LEN($I424)-LEN(SUBSTITUTE($I424," Ltd","")))/LEN(" Ltd")),0)</f>
        <v/>
      </c>
      <c r="AA423" s="122">
        <f>IFERROR(IFERROR((LEN($T424)-LEN(SUBSTITUTE($T424,"Quality of Works / Criteria of Failings:","")))/LEN("Quality of Works / Criteria of Failings:"),0)/MAX(1,(LEN($I424)-LEN(SUBSTITUTE($I424," Ltd","")))/LEN(" Ltd")),0)</f>
        <v/>
      </c>
      <c r="AB423" s="122">
        <f>IFERROR(IFERROR((LEN($T424)-LEN(SUBSTITUTE($T424,"Quality of Works / Criteria of Failings:Compliant","")))/LEN("Quality of Works / Criteria of Failings:Compliant"),0)/MAX(1,(LEN($I424)-LEN(SUBSTITUTE($I424," Ltd","")))/LEN(" Ltd")),0)</f>
        <v/>
      </c>
    </row>
    <row r="424" ht="15.75" customHeight="1" s="146">
      <c r="Y424" s="122">
        <f>MAX(0,IFERROR((LEN($T425)-LEN(SUBSTITUTE($T425,"Quality of Works / Criteria of Failings:","")))/LEN("Quality of Works / Criteria of Failings:"),0)-IFERROR((LEN($T425)-LEN(SUBSTITUTE($T425,"Quality of Works / Criteria of Failings:Compliant","")))/LEN("Quality of Works / Criteria of Failings:Compliant"),0))</f>
        <v/>
      </c>
      <c r="Z424" s="122">
        <f>IFERROR($Y425/MAX(1,(LEN($I425)-LEN(SUBSTITUTE($I425," Ltd","")))/LEN(" Ltd")),0)</f>
        <v/>
      </c>
      <c r="AA424" s="122">
        <f>IFERROR(IFERROR((LEN($T425)-LEN(SUBSTITUTE($T425,"Quality of Works / Criteria of Failings:","")))/LEN("Quality of Works / Criteria of Failings:"),0)/MAX(1,(LEN($I425)-LEN(SUBSTITUTE($I425," Ltd","")))/LEN(" Ltd")),0)</f>
        <v/>
      </c>
      <c r="AB424" s="122">
        <f>IFERROR(IFERROR((LEN($T425)-LEN(SUBSTITUTE($T425,"Quality of Works / Criteria of Failings:Compliant","")))/LEN("Quality of Works / Criteria of Failings:Compliant"),0)/MAX(1,(LEN($I425)-LEN(SUBSTITUTE($I425," Ltd","")))/LEN(" Ltd")),0)</f>
        <v/>
      </c>
    </row>
    <row r="425" ht="15.75" customHeight="1" s="146">
      <c r="Y425" s="122">
        <f>MAX(0,IFERROR((LEN($T426)-LEN(SUBSTITUTE($T426,"Quality of Works / Criteria of Failings:","")))/LEN("Quality of Works / Criteria of Failings:"),0)-IFERROR((LEN($T426)-LEN(SUBSTITUTE($T426,"Quality of Works / Criteria of Failings:Compliant","")))/LEN("Quality of Works / Criteria of Failings:Compliant"),0))</f>
        <v/>
      </c>
      <c r="Z425" s="122">
        <f>IFERROR($Y426/MAX(1,(LEN($I426)-LEN(SUBSTITUTE($I426," Ltd","")))/LEN(" Ltd")),0)</f>
        <v/>
      </c>
      <c r="AA425" s="122">
        <f>IFERROR(IFERROR((LEN($T426)-LEN(SUBSTITUTE($T426,"Quality of Works / Criteria of Failings:","")))/LEN("Quality of Works / Criteria of Failings:"),0)/MAX(1,(LEN($I426)-LEN(SUBSTITUTE($I426," Ltd","")))/LEN(" Ltd")),0)</f>
        <v/>
      </c>
      <c r="AB425" s="122">
        <f>IFERROR(IFERROR((LEN($T426)-LEN(SUBSTITUTE($T426,"Quality of Works / Criteria of Failings:Compliant","")))/LEN("Quality of Works / Criteria of Failings:Compliant"),0)/MAX(1,(LEN($I426)-LEN(SUBSTITUTE($I426," Ltd","")))/LEN(" Ltd")),0)</f>
        <v/>
      </c>
    </row>
    <row r="426" ht="15.75" customHeight="1" s="146">
      <c r="Y426" s="122">
        <f>MAX(0,IFERROR((LEN($T427)-LEN(SUBSTITUTE($T427,"Quality of Works / Criteria of Failings:","")))/LEN("Quality of Works / Criteria of Failings:"),0)-IFERROR((LEN($T427)-LEN(SUBSTITUTE($T427,"Quality of Works / Criteria of Failings:Compliant","")))/LEN("Quality of Works / Criteria of Failings:Compliant"),0))</f>
        <v/>
      </c>
      <c r="Z426" s="122">
        <f>IFERROR($Y427/MAX(1,(LEN($I427)-LEN(SUBSTITUTE($I427," Ltd","")))/LEN(" Ltd")),0)</f>
        <v/>
      </c>
      <c r="AA426" s="122">
        <f>IFERROR(IFERROR((LEN($T427)-LEN(SUBSTITUTE($T427,"Quality of Works / Criteria of Failings:","")))/LEN("Quality of Works / Criteria of Failings:"),0)/MAX(1,(LEN($I427)-LEN(SUBSTITUTE($I427," Ltd","")))/LEN(" Ltd")),0)</f>
        <v/>
      </c>
      <c r="AB426" s="122">
        <f>IFERROR(IFERROR((LEN($T427)-LEN(SUBSTITUTE($T427,"Quality of Works / Criteria of Failings:Compliant","")))/LEN("Quality of Works / Criteria of Failings:Compliant"),0)/MAX(1,(LEN($I427)-LEN(SUBSTITUTE($I427," Ltd","")))/LEN(" Ltd")),0)</f>
        <v/>
      </c>
    </row>
    <row r="427" ht="15.75" customHeight="1" s="146">
      <c r="Y427" s="122">
        <f>MAX(0,IFERROR((LEN($T428)-LEN(SUBSTITUTE($T428,"Quality of Works / Criteria of Failings:","")))/LEN("Quality of Works / Criteria of Failings:"),0)-IFERROR((LEN($T428)-LEN(SUBSTITUTE($T428,"Quality of Works / Criteria of Failings:Compliant","")))/LEN("Quality of Works / Criteria of Failings:Compliant"),0))</f>
        <v/>
      </c>
      <c r="Z427" s="122">
        <f>IFERROR($Y428/MAX(1,(LEN($I428)-LEN(SUBSTITUTE($I428," Ltd","")))/LEN(" Ltd")),0)</f>
        <v/>
      </c>
      <c r="AA427" s="122">
        <f>IFERROR(IFERROR((LEN($T428)-LEN(SUBSTITUTE($T428,"Quality of Works / Criteria of Failings:","")))/LEN("Quality of Works / Criteria of Failings:"),0)/MAX(1,(LEN($I428)-LEN(SUBSTITUTE($I428," Ltd","")))/LEN(" Ltd")),0)</f>
        <v/>
      </c>
      <c r="AB427" s="122">
        <f>IFERROR(IFERROR((LEN($T428)-LEN(SUBSTITUTE($T428,"Quality of Works / Criteria of Failings:Compliant","")))/LEN("Quality of Works / Criteria of Failings:Compliant"),0)/MAX(1,(LEN($I428)-LEN(SUBSTITUTE($I428," Ltd","")))/LEN(" Ltd")),0)</f>
        <v/>
      </c>
    </row>
    <row r="428" ht="15.75" customHeight="1" s="146">
      <c r="Y428" s="122">
        <f>MAX(0,IFERROR((LEN($T429)-LEN(SUBSTITUTE($T429,"Quality of Works / Criteria of Failings:","")))/LEN("Quality of Works / Criteria of Failings:"),0)-IFERROR((LEN($T429)-LEN(SUBSTITUTE($T429,"Quality of Works / Criteria of Failings:Compliant","")))/LEN("Quality of Works / Criteria of Failings:Compliant"),0))</f>
        <v/>
      </c>
      <c r="Z428" s="122">
        <f>IFERROR($Y429/MAX(1,(LEN($I429)-LEN(SUBSTITUTE($I429," Ltd","")))/LEN(" Ltd")),0)</f>
        <v/>
      </c>
      <c r="AA428" s="122">
        <f>IFERROR(IFERROR((LEN($T429)-LEN(SUBSTITUTE($T429,"Quality of Works / Criteria of Failings:","")))/LEN("Quality of Works / Criteria of Failings:"),0)/MAX(1,(LEN($I429)-LEN(SUBSTITUTE($I429," Ltd","")))/LEN(" Ltd")),0)</f>
        <v/>
      </c>
      <c r="AB428" s="122">
        <f>IFERROR(IFERROR((LEN($T429)-LEN(SUBSTITUTE($T429,"Quality of Works / Criteria of Failings:Compliant","")))/LEN("Quality of Works / Criteria of Failings:Compliant"),0)/MAX(1,(LEN($I429)-LEN(SUBSTITUTE($I429," Ltd","")))/LEN(" Ltd")),0)</f>
        <v/>
      </c>
    </row>
    <row r="429" ht="15.75" customHeight="1" s="146">
      <c r="Y429" s="122">
        <f>MAX(0,IFERROR((LEN($T430)-LEN(SUBSTITUTE($T430,"Quality of Works / Criteria of Failings:","")))/LEN("Quality of Works / Criteria of Failings:"),0)-IFERROR((LEN($T430)-LEN(SUBSTITUTE($T430,"Quality of Works / Criteria of Failings:Compliant","")))/LEN("Quality of Works / Criteria of Failings:Compliant"),0))</f>
        <v/>
      </c>
      <c r="Z429" s="122">
        <f>IFERROR($Y430/MAX(1,(LEN($I430)-LEN(SUBSTITUTE($I430," Ltd","")))/LEN(" Ltd")),0)</f>
        <v/>
      </c>
      <c r="AA429" s="122">
        <f>IFERROR(IFERROR((LEN($T430)-LEN(SUBSTITUTE($T430,"Quality of Works / Criteria of Failings:","")))/LEN("Quality of Works / Criteria of Failings:"),0)/MAX(1,(LEN($I430)-LEN(SUBSTITUTE($I430," Ltd","")))/LEN(" Ltd")),0)</f>
        <v/>
      </c>
      <c r="AB429" s="122">
        <f>IFERROR(IFERROR((LEN($T430)-LEN(SUBSTITUTE($T430,"Quality of Works / Criteria of Failings:Compliant","")))/LEN("Quality of Works / Criteria of Failings:Compliant"),0)/MAX(1,(LEN($I430)-LEN(SUBSTITUTE($I430," Ltd","")))/LEN(" Ltd")),0)</f>
        <v/>
      </c>
    </row>
    <row r="430" ht="15.75" customHeight="1" s="146">
      <c r="Y430" s="122">
        <f>MAX(0,IFERROR((LEN($T431)-LEN(SUBSTITUTE($T431,"Quality of Works / Criteria of Failings:","")))/LEN("Quality of Works / Criteria of Failings:"),0)-IFERROR((LEN($T431)-LEN(SUBSTITUTE($T431,"Quality of Works / Criteria of Failings:Compliant","")))/LEN("Quality of Works / Criteria of Failings:Compliant"),0))</f>
        <v/>
      </c>
      <c r="Z430" s="122">
        <f>IFERROR($Y431/MAX(1,(LEN($I431)-LEN(SUBSTITUTE($I431," Ltd","")))/LEN(" Ltd")),0)</f>
        <v/>
      </c>
      <c r="AA430" s="122">
        <f>IFERROR(IFERROR((LEN($T431)-LEN(SUBSTITUTE($T431,"Quality of Works / Criteria of Failings:","")))/LEN("Quality of Works / Criteria of Failings:"),0)/MAX(1,(LEN($I431)-LEN(SUBSTITUTE($I431," Ltd","")))/LEN(" Ltd")),0)</f>
        <v/>
      </c>
      <c r="AB430" s="122">
        <f>IFERROR(IFERROR((LEN($T431)-LEN(SUBSTITUTE($T431,"Quality of Works / Criteria of Failings:Compliant","")))/LEN("Quality of Works / Criteria of Failings:Compliant"),0)/MAX(1,(LEN($I431)-LEN(SUBSTITUTE($I431," Ltd","")))/LEN(" Ltd")),0)</f>
        <v/>
      </c>
    </row>
    <row r="431" ht="15.75" customHeight="1" s="146">
      <c r="Y431" s="122">
        <f>MAX(0,IFERROR((LEN($T432)-LEN(SUBSTITUTE($T432,"Quality of Works / Criteria of Failings:","")))/LEN("Quality of Works / Criteria of Failings:"),0)-IFERROR((LEN($T432)-LEN(SUBSTITUTE($T432,"Quality of Works / Criteria of Failings:Compliant","")))/LEN("Quality of Works / Criteria of Failings:Compliant"),0))</f>
        <v/>
      </c>
      <c r="Z431" s="122">
        <f>IFERROR($Y432/MAX(1,(LEN($I432)-LEN(SUBSTITUTE($I432," Ltd","")))/LEN(" Ltd")),0)</f>
        <v/>
      </c>
      <c r="AA431" s="122">
        <f>IFERROR(IFERROR((LEN($T432)-LEN(SUBSTITUTE($T432,"Quality of Works / Criteria of Failings:","")))/LEN("Quality of Works / Criteria of Failings:"),0)/MAX(1,(LEN($I432)-LEN(SUBSTITUTE($I432," Ltd","")))/LEN(" Ltd")),0)</f>
        <v/>
      </c>
      <c r="AB431" s="122">
        <f>IFERROR(IFERROR((LEN($T432)-LEN(SUBSTITUTE($T432,"Quality of Works / Criteria of Failings:Compliant","")))/LEN("Quality of Works / Criteria of Failings:Compliant"),0)/MAX(1,(LEN($I432)-LEN(SUBSTITUTE($I432," Ltd","")))/LEN(" Ltd")),0)</f>
        <v/>
      </c>
    </row>
    <row r="432" ht="15.75" customHeight="1" s="146">
      <c r="Y432" s="122">
        <f>MAX(0,IFERROR((LEN($T433)-LEN(SUBSTITUTE($T433,"Quality of Works / Criteria of Failings:","")))/LEN("Quality of Works / Criteria of Failings:"),0)-IFERROR((LEN($T433)-LEN(SUBSTITUTE($T433,"Quality of Works / Criteria of Failings:Compliant","")))/LEN("Quality of Works / Criteria of Failings:Compliant"),0))</f>
        <v/>
      </c>
      <c r="Z432" s="122">
        <f>IFERROR($Y433/MAX(1,(LEN($I433)-LEN(SUBSTITUTE($I433," Ltd","")))/LEN(" Ltd")),0)</f>
        <v/>
      </c>
      <c r="AA432" s="122">
        <f>IFERROR(IFERROR((LEN($T433)-LEN(SUBSTITUTE($T433,"Quality of Works / Criteria of Failings:","")))/LEN("Quality of Works / Criteria of Failings:"),0)/MAX(1,(LEN($I433)-LEN(SUBSTITUTE($I433," Ltd","")))/LEN(" Ltd")),0)</f>
        <v/>
      </c>
      <c r="AB432" s="122">
        <f>IFERROR(IFERROR((LEN($T433)-LEN(SUBSTITUTE($T433,"Quality of Works / Criteria of Failings:Compliant","")))/LEN("Quality of Works / Criteria of Failings:Compliant"),0)/MAX(1,(LEN($I433)-LEN(SUBSTITUTE($I433," Ltd","")))/LEN(" Ltd")),0)</f>
        <v/>
      </c>
    </row>
    <row r="433" ht="15.75" customHeight="1" s="146">
      <c r="Y433" s="122">
        <f>MAX(0,IFERROR((LEN($T434)-LEN(SUBSTITUTE($T434,"Quality of Works / Criteria of Failings:","")))/LEN("Quality of Works / Criteria of Failings:"),0)-IFERROR((LEN($T434)-LEN(SUBSTITUTE($T434,"Quality of Works / Criteria of Failings:Compliant","")))/LEN("Quality of Works / Criteria of Failings:Compliant"),0))</f>
        <v/>
      </c>
      <c r="Z433" s="122">
        <f>IFERROR($Y434/MAX(1,(LEN($I434)-LEN(SUBSTITUTE($I434," Ltd","")))/LEN(" Ltd")),0)</f>
        <v/>
      </c>
      <c r="AA433" s="122">
        <f>IFERROR(IFERROR((LEN($T434)-LEN(SUBSTITUTE($T434,"Quality of Works / Criteria of Failings:","")))/LEN("Quality of Works / Criteria of Failings:"),0)/MAX(1,(LEN($I434)-LEN(SUBSTITUTE($I434," Ltd","")))/LEN(" Ltd")),0)</f>
        <v/>
      </c>
      <c r="AB433" s="122">
        <f>IFERROR(IFERROR((LEN($T434)-LEN(SUBSTITUTE($T434,"Quality of Works / Criteria of Failings:Compliant","")))/LEN("Quality of Works / Criteria of Failings:Compliant"),0)/MAX(1,(LEN($I434)-LEN(SUBSTITUTE($I434," Ltd","")))/LEN(" Ltd")),0)</f>
        <v/>
      </c>
    </row>
    <row r="434" ht="15.75" customHeight="1" s="146">
      <c r="Y434" s="122">
        <f>MAX(0,IFERROR((LEN($T435)-LEN(SUBSTITUTE($T435,"Quality of Works / Criteria of Failings:","")))/LEN("Quality of Works / Criteria of Failings:"),0)-IFERROR((LEN($T435)-LEN(SUBSTITUTE($T435,"Quality of Works / Criteria of Failings:Compliant","")))/LEN("Quality of Works / Criteria of Failings:Compliant"),0))</f>
        <v/>
      </c>
      <c r="Z434" s="122">
        <f>IFERROR($Y435/MAX(1,(LEN($I435)-LEN(SUBSTITUTE($I435," Ltd","")))/LEN(" Ltd")),0)</f>
        <v/>
      </c>
      <c r="AA434" s="122">
        <f>IFERROR(IFERROR((LEN($T435)-LEN(SUBSTITUTE($T435,"Quality of Works / Criteria of Failings:","")))/LEN("Quality of Works / Criteria of Failings:"),0)/MAX(1,(LEN($I435)-LEN(SUBSTITUTE($I435," Ltd","")))/LEN(" Ltd")),0)</f>
        <v/>
      </c>
      <c r="AB434" s="122">
        <f>IFERROR(IFERROR((LEN($T435)-LEN(SUBSTITUTE($T435,"Quality of Works / Criteria of Failings:Compliant","")))/LEN("Quality of Works / Criteria of Failings:Compliant"),0)/MAX(1,(LEN($I435)-LEN(SUBSTITUTE($I435," Ltd","")))/LEN(" Ltd")),0)</f>
        <v/>
      </c>
    </row>
    <row r="435" ht="15.75" customHeight="1" s="146">
      <c r="Y435" s="122">
        <f>MAX(0,IFERROR((LEN($T436)-LEN(SUBSTITUTE($T436,"Quality of Works / Criteria of Failings:","")))/LEN("Quality of Works / Criteria of Failings:"),0)-IFERROR((LEN($T436)-LEN(SUBSTITUTE($T436,"Quality of Works / Criteria of Failings:Compliant","")))/LEN("Quality of Works / Criteria of Failings:Compliant"),0))</f>
        <v/>
      </c>
      <c r="Z435" s="122">
        <f>IFERROR($Y436/MAX(1,(LEN($I436)-LEN(SUBSTITUTE($I436," Ltd","")))/LEN(" Ltd")),0)</f>
        <v/>
      </c>
      <c r="AA435" s="122">
        <f>IFERROR(IFERROR((LEN($T436)-LEN(SUBSTITUTE($T436,"Quality of Works / Criteria of Failings:","")))/LEN("Quality of Works / Criteria of Failings:"),0)/MAX(1,(LEN($I436)-LEN(SUBSTITUTE($I436," Ltd","")))/LEN(" Ltd")),0)</f>
        <v/>
      </c>
      <c r="AB435" s="122">
        <f>IFERROR(IFERROR((LEN($T436)-LEN(SUBSTITUTE($T436,"Quality of Works / Criteria of Failings:Compliant","")))/LEN("Quality of Works / Criteria of Failings:Compliant"),0)/MAX(1,(LEN($I436)-LEN(SUBSTITUTE($I436," Ltd","")))/LEN(" Ltd")),0)</f>
        <v/>
      </c>
    </row>
    <row r="436" ht="15.75" customHeight="1" s="146">
      <c r="Y436" s="122">
        <f>MAX(0,IFERROR((LEN($T437)-LEN(SUBSTITUTE($T437,"Quality of Works / Criteria of Failings:","")))/LEN("Quality of Works / Criteria of Failings:"),0)-IFERROR((LEN($T437)-LEN(SUBSTITUTE($T437,"Quality of Works / Criteria of Failings:Compliant","")))/LEN("Quality of Works / Criteria of Failings:Compliant"),0))</f>
        <v/>
      </c>
      <c r="Z436" s="122">
        <f>IFERROR($Y437/MAX(1,(LEN($I437)-LEN(SUBSTITUTE($I437," Ltd","")))/LEN(" Ltd")),0)</f>
        <v/>
      </c>
      <c r="AA436" s="122">
        <f>IFERROR(IFERROR((LEN($T437)-LEN(SUBSTITUTE($T437,"Quality of Works / Criteria of Failings:","")))/LEN("Quality of Works / Criteria of Failings:"),0)/MAX(1,(LEN($I437)-LEN(SUBSTITUTE($I437," Ltd","")))/LEN(" Ltd")),0)</f>
        <v/>
      </c>
      <c r="AB436" s="122">
        <f>IFERROR(IFERROR((LEN($T437)-LEN(SUBSTITUTE($T437,"Quality of Works / Criteria of Failings:Compliant","")))/LEN("Quality of Works / Criteria of Failings:Compliant"),0)/MAX(1,(LEN($I437)-LEN(SUBSTITUTE($I437," Ltd","")))/LEN(" Ltd")),0)</f>
        <v/>
      </c>
    </row>
    <row r="437" ht="15.75" customHeight="1" s="146">
      <c r="Y437" s="122">
        <f>MAX(0,IFERROR((LEN($T438)-LEN(SUBSTITUTE($T438,"Quality of Works / Criteria of Failings:","")))/LEN("Quality of Works / Criteria of Failings:"),0)-IFERROR((LEN($T438)-LEN(SUBSTITUTE($T438,"Quality of Works / Criteria of Failings:Compliant","")))/LEN("Quality of Works / Criteria of Failings:Compliant"),0))</f>
        <v/>
      </c>
      <c r="Z437" s="122">
        <f>IFERROR($Y438/MAX(1,(LEN($I438)-LEN(SUBSTITUTE($I438," Ltd","")))/LEN(" Ltd")),0)</f>
        <v/>
      </c>
      <c r="AA437" s="122">
        <f>IFERROR(IFERROR((LEN($T438)-LEN(SUBSTITUTE($T438,"Quality of Works / Criteria of Failings:","")))/LEN("Quality of Works / Criteria of Failings:"),0)/MAX(1,(LEN($I438)-LEN(SUBSTITUTE($I438," Ltd","")))/LEN(" Ltd")),0)</f>
        <v/>
      </c>
      <c r="AB437" s="122">
        <f>IFERROR(IFERROR((LEN($T438)-LEN(SUBSTITUTE($T438,"Quality of Works / Criteria of Failings:Compliant","")))/LEN("Quality of Works / Criteria of Failings:Compliant"),0)/MAX(1,(LEN($I438)-LEN(SUBSTITUTE($I438," Ltd","")))/LEN(" Ltd")),0)</f>
        <v/>
      </c>
    </row>
    <row r="438" ht="15.75" customHeight="1" s="146">
      <c r="Y438" s="122">
        <f>MAX(0,IFERROR((LEN($T439)-LEN(SUBSTITUTE($T439,"Quality of Works / Criteria of Failings:","")))/LEN("Quality of Works / Criteria of Failings:"),0)-IFERROR((LEN($T439)-LEN(SUBSTITUTE($T439,"Quality of Works / Criteria of Failings:Compliant","")))/LEN("Quality of Works / Criteria of Failings:Compliant"),0))</f>
        <v/>
      </c>
      <c r="Z438" s="122">
        <f>IFERROR($Y439/MAX(1,(LEN($I439)-LEN(SUBSTITUTE($I439," Ltd","")))/LEN(" Ltd")),0)</f>
        <v/>
      </c>
      <c r="AA438" s="122">
        <f>IFERROR(IFERROR((LEN($T439)-LEN(SUBSTITUTE($T439,"Quality of Works / Criteria of Failings:","")))/LEN("Quality of Works / Criteria of Failings:"),0)/MAX(1,(LEN($I439)-LEN(SUBSTITUTE($I439," Ltd","")))/LEN(" Ltd")),0)</f>
        <v/>
      </c>
      <c r="AB438" s="122">
        <f>IFERROR(IFERROR((LEN($T439)-LEN(SUBSTITUTE($T439,"Quality of Works / Criteria of Failings:Compliant","")))/LEN("Quality of Works / Criteria of Failings:Compliant"),0)/MAX(1,(LEN($I439)-LEN(SUBSTITUTE($I439," Ltd","")))/LEN(" Ltd")),0)</f>
        <v/>
      </c>
    </row>
    <row r="439" ht="15.75" customHeight="1" s="146">
      <c r="Y439" s="122">
        <f>MAX(0,IFERROR((LEN($T440)-LEN(SUBSTITUTE($T440,"Quality of Works / Criteria of Failings:","")))/LEN("Quality of Works / Criteria of Failings:"),0)-IFERROR((LEN($T440)-LEN(SUBSTITUTE($T440,"Quality of Works / Criteria of Failings:Compliant","")))/LEN("Quality of Works / Criteria of Failings:Compliant"),0))</f>
        <v/>
      </c>
      <c r="Z439" s="122">
        <f>IFERROR($Y440/MAX(1,(LEN($I440)-LEN(SUBSTITUTE($I440," Ltd","")))/LEN(" Ltd")),0)</f>
        <v/>
      </c>
      <c r="AA439" s="122">
        <f>IFERROR(IFERROR((LEN($T440)-LEN(SUBSTITUTE($T440,"Quality of Works / Criteria of Failings:","")))/LEN("Quality of Works / Criteria of Failings:"),0)/MAX(1,(LEN($I440)-LEN(SUBSTITUTE($I440," Ltd","")))/LEN(" Ltd")),0)</f>
        <v/>
      </c>
      <c r="AB439" s="122">
        <f>IFERROR(IFERROR((LEN($T440)-LEN(SUBSTITUTE($T440,"Quality of Works / Criteria of Failings:Compliant","")))/LEN("Quality of Works / Criteria of Failings:Compliant"),0)/MAX(1,(LEN($I440)-LEN(SUBSTITUTE($I440," Ltd","")))/LEN(" Ltd")),0)</f>
        <v/>
      </c>
    </row>
    <row r="440" ht="15.75" customHeight="1" s="146">
      <c r="Y440" s="122">
        <f>MAX(0,IFERROR((LEN($T441)-LEN(SUBSTITUTE($T441,"Quality of Works / Criteria of Failings:","")))/LEN("Quality of Works / Criteria of Failings:"),0)-IFERROR((LEN($T441)-LEN(SUBSTITUTE($T441,"Quality of Works / Criteria of Failings:Compliant","")))/LEN("Quality of Works / Criteria of Failings:Compliant"),0))</f>
        <v/>
      </c>
      <c r="Z440" s="122">
        <f>IFERROR($Y441/MAX(1,(LEN($I441)-LEN(SUBSTITUTE($I441," Ltd","")))/LEN(" Ltd")),0)</f>
        <v/>
      </c>
      <c r="AA440" s="122">
        <f>IFERROR(IFERROR((LEN($T441)-LEN(SUBSTITUTE($T441,"Quality of Works / Criteria of Failings:","")))/LEN("Quality of Works / Criteria of Failings:"),0)/MAX(1,(LEN($I441)-LEN(SUBSTITUTE($I441," Ltd","")))/LEN(" Ltd")),0)</f>
        <v/>
      </c>
      <c r="AB440" s="122">
        <f>IFERROR(IFERROR((LEN($T441)-LEN(SUBSTITUTE($T441,"Quality of Works / Criteria of Failings:Compliant","")))/LEN("Quality of Works / Criteria of Failings:Compliant"),0)/MAX(1,(LEN($I441)-LEN(SUBSTITUTE($I441," Ltd","")))/LEN(" Ltd")),0)</f>
        <v/>
      </c>
    </row>
    <row r="441" ht="15.75" customHeight="1" s="146">
      <c r="Y441" s="122">
        <f>MAX(0,IFERROR((LEN($T442)-LEN(SUBSTITUTE($T442,"Quality of Works / Criteria of Failings:","")))/LEN("Quality of Works / Criteria of Failings:"),0)-IFERROR((LEN($T442)-LEN(SUBSTITUTE($T442,"Quality of Works / Criteria of Failings:Compliant","")))/LEN("Quality of Works / Criteria of Failings:Compliant"),0))</f>
        <v/>
      </c>
      <c r="Z441" s="122">
        <f>IFERROR($Y442/MAX(1,(LEN($I442)-LEN(SUBSTITUTE($I442," Ltd","")))/LEN(" Ltd")),0)</f>
        <v/>
      </c>
      <c r="AA441" s="122">
        <f>IFERROR(IFERROR((LEN($T442)-LEN(SUBSTITUTE($T442,"Quality of Works / Criteria of Failings:","")))/LEN("Quality of Works / Criteria of Failings:"),0)/MAX(1,(LEN($I442)-LEN(SUBSTITUTE($I442," Ltd","")))/LEN(" Ltd")),0)</f>
        <v/>
      </c>
      <c r="AB441" s="122">
        <f>IFERROR(IFERROR((LEN($T442)-LEN(SUBSTITUTE($T442,"Quality of Works / Criteria of Failings:Compliant","")))/LEN("Quality of Works / Criteria of Failings:Compliant"),0)/MAX(1,(LEN($I442)-LEN(SUBSTITUTE($I442," Ltd","")))/LEN(" Ltd")),0)</f>
        <v/>
      </c>
    </row>
    <row r="442" ht="15.75" customHeight="1" s="146">
      <c r="Y442" s="122">
        <f>MAX(0,IFERROR((LEN($T443)-LEN(SUBSTITUTE($T443,"Quality of Works / Criteria of Failings:","")))/LEN("Quality of Works / Criteria of Failings:"),0)-IFERROR((LEN($T443)-LEN(SUBSTITUTE($T443,"Quality of Works / Criteria of Failings:Compliant","")))/LEN("Quality of Works / Criteria of Failings:Compliant"),0))</f>
        <v/>
      </c>
      <c r="Z442" s="122">
        <f>IFERROR($Y443/MAX(1,(LEN($I443)-LEN(SUBSTITUTE($I443," Ltd","")))/LEN(" Ltd")),0)</f>
        <v/>
      </c>
      <c r="AA442" s="122">
        <f>IFERROR(IFERROR((LEN($T443)-LEN(SUBSTITUTE($T443,"Quality of Works / Criteria of Failings:","")))/LEN("Quality of Works / Criteria of Failings:"),0)/MAX(1,(LEN($I443)-LEN(SUBSTITUTE($I443," Ltd","")))/LEN(" Ltd")),0)</f>
        <v/>
      </c>
      <c r="AB442" s="122">
        <f>IFERROR(IFERROR((LEN($T443)-LEN(SUBSTITUTE($T443,"Quality of Works / Criteria of Failings:Compliant","")))/LEN("Quality of Works / Criteria of Failings:Compliant"),0)/MAX(1,(LEN($I443)-LEN(SUBSTITUTE($I443," Ltd","")))/LEN(" Ltd")),0)</f>
        <v/>
      </c>
    </row>
    <row r="443" ht="15.75" customHeight="1" s="146">
      <c r="Y443" s="122">
        <f>MAX(0,IFERROR((LEN($T444)-LEN(SUBSTITUTE($T444,"Quality of Works / Criteria of Failings:","")))/LEN("Quality of Works / Criteria of Failings:"),0)-IFERROR((LEN($T444)-LEN(SUBSTITUTE($T444,"Quality of Works / Criteria of Failings:Compliant","")))/LEN("Quality of Works / Criteria of Failings:Compliant"),0))</f>
        <v/>
      </c>
      <c r="Z443" s="122">
        <f>IFERROR($Y444/MAX(1,(LEN($I444)-LEN(SUBSTITUTE($I444," Ltd","")))/LEN(" Ltd")),0)</f>
        <v/>
      </c>
      <c r="AA443" s="122">
        <f>IFERROR(IFERROR((LEN($T444)-LEN(SUBSTITUTE($T444,"Quality of Works / Criteria of Failings:","")))/LEN("Quality of Works / Criteria of Failings:"),0)/MAX(1,(LEN($I444)-LEN(SUBSTITUTE($I444," Ltd","")))/LEN(" Ltd")),0)</f>
        <v/>
      </c>
      <c r="AB443" s="122">
        <f>IFERROR(IFERROR((LEN($T444)-LEN(SUBSTITUTE($T444,"Quality of Works / Criteria of Failings:Compliant","")))/LEN("Quality of Works / Criteria of Failings:Compliant"),0)/MAX(1,(LEN($I444)-LEN(SUBSTITUTE($I444," Ltd","")))/LEN(" Ltd")),0)</f>
        <v/>
      </c>
    </row>
    <row r="444" ht="15.75" customHeight="1" s="146">
      <c r="Y444" s="122">
        <f>MAX(0,IFERROR((LEN($T445)-LEN(SUBSTITUTE($T445,"Quality of Works / Criteria of Failings:","")))/LEN("Quality of Works / Criteria of Failings:"),0)-IFERROR((LEN($T445)-LEN(SUBSTITUTE($T445,"Quality of Works / Criteria of Failings:Compliant","")))/LEN("Quality of Works / Criteria of Failings:Compliant"),0))</f>
        <v/>
      </c>
      <c r="Z444" s="122">
        <f>IFERROR($Y445/MAX(1,(LEN($I445)-LEN(SUBSTITUTE($I445," Ltd","")))/LEN(" Ltd")),0)</f>
        <v/>
      </c>
      <c r="AA444" s="122">
        <f>IFERROR(IFERROR((LEN($T445)-LEN(SUBSTITUTE($T445,"Quality of Works / Criteria of Failings:","")))/LEN("Quality of Works / Criteria of Failings:"),0)/MAX(1,(LEN($I445)-LEN(SUBSTITUTE($I445," Ltd","")))/LEN(" Ltd")),0)</f>
        <v/>
      </c>
      <c r="AB444" s="122">
        <f>IFERROR(IFERROR((LEN($T445)-LEN(SUBSTITUTE($T445,"Quality of Works / Criteria of Failings:Compliant","")))/LEN("Quality of Works / Criteria of Failings:Compliant"),0)/MAX(1,(LEN($I445)-LEN(SUBSTITUTE($I445," Ltd","")))/LEN(" Ltd")),0)</f>
        <v/>
      </c>
    </row>
    <row r="445" ht="15.75" customHeight="1" s="146">
      <c r="Y445" s="122">
        <f>MAX(0,IFERROR((LEN($T446)-LEN(SUBSTITUTE($T446,"Quality of Works / Criteria of Failings:","")))/LEN("Quality of Works / Criteria of Failings:"),0)-IFERROR((LEN($T446)-LEN(SUBSTITUTE($T446,"Quality of Works / Criteria of Failings:Compliant","")))/LEN("Quality of Works / Criteria of Failings:Compliant"),0))</f>
        <v/>
      </c>
      <c r="Z445" s="122">
        <f>IFERROR($Y446/MAX(1,(LEN($I446)-LEN(SUBSTITUTE($I446," Ltd","")))/LEN(" Ltd")),0)</f>
        <v/>
      </c>
      <c r="AA445" s="122">
        <f>IFERROR(IFERROR((LEN($T446)-LEN(SUBSTITUTE($T446,"Quality of Works / Criteria of Failings:","")))/LEN("Quality of Works / Criteria of Failings:"),0)/MAX(1,(LEN($I446)-LEN(SUBSTITUTE($I446," Ltd","")))/LEN(" Ltd")),0)</f>
        <v/>
      </c>
      <c r="AB445" s="122">
        <f>IFERROR(IFERROR((LEN($T446)-LEN(SUBSTITUTE($T446,"Quality of Works / Criteria of Failings:Compliant","")))/LEN("Quality of Works / Criteria of Failings:Compliant"),0)/MAX(1,(LEN($I446)-LEN(SUBSTITUTE($I446," Ltd","")))/LEN(" Ltd")),0)</f>
        <v/>
      </c>
    </row>
    <row r="446" ht="15.75" customHeight="1" s="146">
      <c r="Y446" s="122">
        <f>MAX(0,IFERROR((LEN($T447)-LEN(SUBSTITUTE($T447,"Quality of Works / Criteria of Failings:","")))/LEN("Quality of Works / Criteria of Failings:"),0)-IFERROR((LEN($T447)-LEN(SUBSTITUTE($T447,"Quality of Works / Criteria of Failings:Compliant","")))/LEN("Quality of Works / Criteria of Failings:Compliant"),0))</f>
        <v/>
      </c>
      <c r="Z446" s="122">
        <f>IFERROR($Y447/MAX(1,(LEN($I447)-LEN(SUBSTITUTE($I447," Ltd","")))/LEN(" Ltd")),0)</f>
        <v/>
      </c>
      <c r="AA446" s="122">
        <f>IFERROR(IFERROR((LEN($T447)-LEN(SUBSTITUTE($T447,"Quality of Works / Criteria of Failings:","")))/LEN("Quality of Works / Criteria of Failings:"),0)/MAX(1,(LEN($I447)-LEN(SUBSTITUTE($I447," Ltd","")))/LEN(" Ltd")),0)</f>
        <v/>
      </c>
      <c r="AB446" s="122">
        <f>IFERROR(IFERROR((LEN($T447)-LEN(SUBSTITUTE($T447,"Quality of Works / Criteria of Failings:Compliant","")))/LEN("Quality of Works / Criteria of Failings:Compliant"),0)/MAX(1,(LEN($I447)-LEN(SUBSTITUTE($I447," Ltd","")))/LEN(" Ltd")),0)</f>
        <v/>
      </c>
    </row>
    <row r="447" ht="15.75" customHeight="1" s="146">
      <c r="Y447" s="122">
        <f>MAX(0,IFERROR((LEN($T448)-LEN(SUBSTITUTE($T448,"Quality of Works / Criteria of Failings:","")))/LEN("Quality of Works / Criteria of Failings:"),0)-IFERROR((LEN($T448)-LEN(SUBSTITUTE($T448,"Quality of Works / Criteria of Failings:Compliant","")))/LEN("Quality of Works / Criteria of Failings:Compliant"),0))</f>
        <v/>
      </c>
      <c r="Z447" s="122">
        <f>IFERROR($Y448/MAX(1,(LEN($I448)-LEN(SUBSTITUTE($I448," Ltd","")))/LEN(" Ltd")),0)</f>
        <v/>
      </c>
      <c r="AA447" s="122">
        <f>IFERROR(IFERROR((LEN($T448)-LEN(SUBSTITUTE($T448,"Quality of Works / Criteria of Failings:","")))/LEN("Quality of Works / Criteria of Failings:"),0)/MAX(1,(LEN($I448)-LEN(SUBSTITUTE($I448," Ltd","")))/LEN(" Ltd")),0)</f>
        <v/>
      </c>
      <c r="AB447" s="122">
        <f>IFERROR(IFERROR((LEN($T448)-LEN(SUBSTITUTE($T448,"Quality of Works / Criteria of Failings:Compliant","")))/LEN("Quality of Works / Criteria of Failings:Compliant"),0)/MAX(1,(LEN($I448)-LEN(SUBSTITUTE($I448," Ltd","")))/LEN(" Ltd")),0)</f>
        <v/>
      </c>
    </row>
    <row r="448" ht="15.75" customHeight="1" s="146">
      <c r="Y448" s="122">
        <f>MAX(0,IFERROR((LEN($T449)-LEN(SUBSTITUTE($T449,"Quality of Works / Criteria of Failings:","")))/LEN("Quality of Works / Criteria of Failings:"),0)-IFERROR((LEN($T449)-LEN(SUBSTITUTE($T449,"Quality of Works / Criteria of Failings:Compliant","")))/LEN("Quality of Works / Criteria of Failings:Compliant"),0))</f>
        <v/>
      </c>
      <c r="Z448" s="122">
        <f>IFERROR($Y449/MAX(1,(LEN($I449)-LEN(SUBSTITUTE($I449," Ltd","")))/LEN(" Ltd")),0)</f>
        <v/>
      </c>
      <c r="AA448" s="122">
        <f>IFERROR(IFERROR((LEN($T449)-LEN(SUBSTITUTE($T449,"Quality of Works / Criteria of Failings:","")))/LEN("Quality of Works / Criteria of Failings:"),0)/MAX(1,(LEN($I449)-LEN(SUBSTITUTE($I449," Ltd","")))/LEN(" Ltd")),0)</f>
        <v/>
      </c>
      <c r="AB448" s="122">
        <f>IFERROR(IFERROR((LEN($T449)-LEN(SUBSTITUTE($T449,"Quality of Works / Criteria of Failings:Compliant","")))/LEN("Quality of Works / Criteria of Failings:Compliant"),0)/MAX(1,(LEN($I449)-LEN(SUBSTITUTE($I449," Ltd","")))/LEN(" Ltd")),0)</f>
        <v/>
      </c>
    </row>
    <row r="449" ht="15.75" customHeight="1" s="146">
      <c r="Y449" s="122">
        <f>MAX(0,IFERROR((LEN($T450)-LEN(SUBSTITUTE($T450,"Quality of Works / Criteria of Failings:","")))/LEN("Quality of Works / Criteria of Failings:"),0)-IFERROR((LEN($T450)-LEN(SUBSTITUTE($T450,"Quality of Works / Criteria of Failings:Compliant","")))/LEN("Quality of Works / Criteria of Failings:Compliant"),0))</f>
        <v/>
      </c>
      <c r="Z449" s="122">
        <f>IFERROR($Y450/MAX(1,(LEN($I450)-LEN(SUBSTITUTE($I450," Ltd","")))/LEN(" Ltd")),0)</f>
        <v/>
      </c>
      <c r="AA449" s="122">
        <f>IFERROR(IFERROR((LEN($T450)-LEN(SUBSTITUTE($T450,"Quality of Works / Criteria of Failings:","")))/LEN("Quality of Works / Criteria of Failings:"),0)/MAX(1,(LEN($I450)-LEN(SUBSTITUTE($I450," Ltd","")))/LEN(" Ltd")),0)</f>
        <v/>
      </c>
      <c r="AB449" s="122">
        <f>IFERROR(IFERROR((LEN($T450)-LEN(SUBSTITUTE($T450,"Quality of Works / Criteria of Failings:Compliant","")))/LEN("Quality of Works / Criteria of Failings:Compliant"),0)/MAX(1,(LEN($I450)-LEN(SUBSTITUTE($I450," Ltd","")))/LEN(" Ltd")),0)</f>
        <v/>
      </c>
    </row>
    <row r="450" ht="15.75" customHeight="1" s="146">
      <c r="Y450" s="122">
        <f>MAX(0,IFERROR((LEN($T451)-LEN(SUBSTITUTE($T451,"Quality of Works / Criteria of Failings:","")))/LEN("Quality of Works / Criteria of Failings:"),0)-IFERROR((LEN($T451)-LEN(SUBSTITUTE($T451,"Quality of Works / Criteria of Failings:Compliant","")))/LEN("Quality of Works / Criteria of Failings:Compliant"),0))</f>
        <v/>
      </c>
      <c r="Z450" s="122">
        <f>IFERROR($Y451/MAX(1,(LEN($I451)-LEN(SUBSTITUTE($I451," Ltd","")))/LEN(" Ltd")),0)</f>
        <v/>
      </c>
      <c r="AA450" s="122">
        <f>IFERROR(IFERROR((LEN($T451)-LEN(SUBSTITUTE($T451,"Quality of Works / Criteria of Failings:","")))/LEN("Quality of Works / Criteria of Failings:"),0)/MAX(1,(LEN($I451)-LEN(SUBSTITUTE($I451," Ltd","")))/LEN(" Ltd")),0)</f>
        <v/>
      </c>
      <c r="AB450" s="122">
        <f>IFERROR(IFERROR((LEN($T451)-LEN(SUBSTITUTE($T451,"Quality of Works / Criteria of Failings:Compliant","")))/LEN("Quality of Works / Criteria of Failings:Compliant"),0)/MAX(1,(LEN($I451)-LEN(SUBSTITUTE($I451," Ltd","")))/LEN(" Ltd")),0)</f>
        <v/>
      </c>
    </row>
    <row r="451" ht="15.75" customHeight="1" s="146">
      <c r="Y451" s="122">
        <f>MAX(0,IFERROR((LEN($T452)-LEN(SUBSTITUTE($T452,"Quality of Works / Criteria of Failings:","")))/LEN("Quality of Works / Criteria of Failings:"),0)-IFERROR((LEN($T452)-LEN(SUBSTITUTE($T452,"Quality of Works / Criteria of Failings:Compliant","")))/LEN("Quality of Works / Criteria of Failings:Compliant"),0))</f>
        <v/>
      </c>
      <c r="Z451" s="122">
        <f>IFERROR($Y452/MAX(1,(LEN($I452)-LEN(SUBSTITUTE($I452," Ltd","")))/LEN(" Ltd")),0)</f>
        <v/>
      </c>
      <c r="AA451" s="122">
        <f>IFERROR(IFERROR((LEN($T452)-LEN(SUBSTITUTE($T452,"Quality of Works / Criteria of Failings:","")))/LEN("Quality of Works / Criteria of Failings:"),0)/MAX(1,(LEN($I452)-LEN(SUBSTITUTE($I452," Ltd","")))/LEN(" Ltd")),0)</f>
        <v/>
      </c>
      <c r="AB451" s="122">
        <f>IFERROR(IFERROR((LEN($T452)-LEN(SUBSTITUTE($T452,"Quality of Works / Criteria of Failings:Compliant","")))/LEN("Quality of Works / Criteria of Failings:Compliant"),0)/MAX(1,(LEN($I452)-LEN(SUBSTITUTE($I452," Ltd","")))/LEN(" Ltd")),0)</f>
        <v/>
      </c>
    </row>
    <row r="452" ht="15.75" customHeight="1" s="146">
      <c r="Y452" s="122">
        <f>MAX(0,IFERROR((LEN($T453)-LEN(SUBSTITUTE($T453,"Quality of Works / Criteria of Failings:","")))/LEN("Quality of Works / Criteria of Failings:"),0)-IFERROR((LEN($T453)-LEN(SUBSTITUTE($T453,"Quality of Works / Criteria of Failings:Compliant","")))/LEN("Quality of Works / Criteria of Failings:Compliant"),0))</f>
        <v/>
      </c>
      <c r="Z452" s="122">
        <f>IFERROR($Y453/MAX(1,(LEN($I453)-LEN(SUBSTITUTE($I453," Ltd","")))/LEN(" Ltd")),0)</f>
        <v/>
      </c>
      <c r="AA452" s="122">
        <f>IFERROR(IFERROR((LEN($T453)-LEN(SUBSTITUTE($T453,"Quality of Works / Criteria of Failings:","")))/LEN("Quality of Works / Criteria of Failings:"),0)/MAX(1,(LEN($I453)-LEN(SUBSTITUTE($I453," Ltd","")))/LEN(" Ltd")),0)</f>
        <v/>
      </c>
      <c r="AB452" s="122">
        <f>IFERROR(IFERROR((LEN($T453)-LEN(SUBSTITUTE($T453,"Quality of Works / Criteria of Failings:Compliant","")))/LEN("Quality of Works / Criteria of Failings:Compliant"),0)/MAX(1,(LEN($I453)-LEN(SUBSTITUTE($I453," Ltd","")))/LEN(" Ltd")),0)</f>
        <v/>
      </c>
    </row>
    <row r="453" ht="15.75" customHeight="1" s="146">
      <c r="Y453" s="122">
        <f>MAX(0,IFERROR((LEN($T454)-LEN(SUBSTITUTE($T454,"Quality of Works / Criteria of Failings:","")))/LEN("Quality of Works / Criteria of Failings:"),0)-IFERROR((LEN($T454)-LEN(SUBSTITUTE($T454,"Quality of Works / Criteria of Failings:Compliant","")))/LEN("Quality of Works / Criteria of Failings:Compliant"),0))</f>
        <v/>
      </c>
      <c r="Z453" s="122">
        <f>IFERROR($Y454/MAX(1,(LEN($I454)-LEN(SUBSTITUTE($I454," Ltd","")))/LEN(" Ltd")),0)</f>
        <v/>
      </c>
      <c r="AA453" s="122">
        <f>IFERROR(IFERROR((LEN($T454)-LEN(SUBSTITUTE($T454,"Quality of Works / Criteria of Failings:","")))/LEN("Quality of Works / Criteria of Failings:"),0)/MAX(1,(LEN($I454)-LEN(SUBSTITUTE($I454," Ltd","")))/LEN(" Ltd")),0)</f>
        <v/>
      </c>
      <c r="AB453" s="122">
        <f>IFERROR(IFERROR((LEN($T454)-LEN(SUBSTITUTE($T454,"Quality of Works / Criteria of Failings:Compliant","")))/LEN("Quality of Works / Criteria of Failings:Compliant"),0)/MAX(1,(LEN($I454)-LEN(SUBSTITUTE($I454," Ltd","")))/LEN(" Ltd")),0)</f>
        <v/>
      </c>
    </row>
    <row r="454" ht="15.75" customHeight="1" s="146">
      <c r="Y454" s="122">
        <f>MAX(0,IFERROR((LEN($T455)-LEN(SUBSTITUTE($T455,"Quality of Works / Criteria of Failings:","")))/LEN("Quality of Works / Criteria of Failings:"),0)-IFERROR((LEN($T455)-LEN(SUBSTITUTE($T455,"Quality of Works / Criteria of Failings:Compliant","")))/LEN("Quality of Works / Criteria of Failings:Compliant"),0))</f>
        <v/>
      </c>
      <c r="Z454" s="122">
        <f>IFERROR($Y455/MAX(1,(LEN($I455)-LEN(SUBSTITUTE($I455," Ltd","")))/LEN(" Ltd")),0)</f>
        <v/>
      </c>
      <c r="AA454" s="122">
        <f>IFERROR(IFERROR((LEN($T455)-LEN(SUBSTITUTE($T455,"Quality of Works / Criteria of Failings:","")))/LEN("Quality of Works / Criteria of Failings:"),0)/MAX(1,(LEN($I455)-LEN(SUBSTITUTE($I455," Ltd","")))/LEN(" Ltd")),0)</f>
        <v/>
      </c>
      <c r="AB454" s="122">
        <f>IFERROR(IFERROR((LEN($T455)-LEN(SUBSTITUTE($T455,"Quality of Works / Criteria of Failings:Compliant","")))/LEN("Quality of Works / Criteria of Failings:Compliant"),0)/MAX(1,(LEN($I455)-LEN(SUBSTITUTE($I455," Ltd","")))/LEN(" Ltd")),0)</f>
        <v/>
      </c>
    </row>
    <row r="455" ht="15.75" customHeight="1" s="146">
      <c r="Y455" s="122">
        <f>MAX(0,IFERROR((LEN($T456)-LEN(SUBSTITUTE($T456,"Quality of Works / Criteria of Failings:","")))/LEN("Quality of Works / Criteria of Failings:"),0)-IFERROR((LEN($T456)-LEN(SUBSTITUTE($T456,"Quality of Works / Criteria of Failings:Compliant","")))/LEN("Quality of Works / Criteria of Failings:Compliant"),0))</f>
        <v/>
      </c>
      <c r="Z455" s="122">
        <f>IFERROR($Y456/MAX(1,(LEN($I456)-LEN(SUBSTITUTE($I456," Ltd","")))/LEN(" Ltd")),0)</f>
        <v/>
      </c>
      <c r="AA455" s="122">
        <f>IFERROR(IFERROR((LEN($T456)-LEN(SUBSTITUTE($T456,"Quality of Works / Criteria of Failings:","")))/LEN("Quality of Works / Criteria of Failings:"),0)/MAX(1,(LEN($I456)-LEN(SUBSTITUTE($I456," Ltd","")))/LEN(" Ltd")),0)</f>
        <v/>
      </c>
      <c r="AB455" s="122">
        <f>IFERROR(IFERROR((LEN($T456)-LEN(SUBSTITUTE($T456,"Quality of Works / Criteria of Failings:Compliant","")))/LEN("Quality of Works / Criteria of Failings:Compliant"),0)/MAX(1,(LEN($I456)-LEN(SUBSTITUTE($I456," Ltd","")))/LEN(" Ltd")),0)</f>
        <v/>
      </c>
    </row>
    <row r="456" ht="15.75" customHeight="1" s="146">
      <c r="Y456" s="122">
        <f>MAX(0,IFERROR((LEN($T457)-LEN(SUBSTITUTE($T457,"Quality of Works / Criteria of Failings:","")))/LEN("Quality of Works / Criteria of Failings:"),0)-IFERROR((LEN($T457)-LEN(SUBSTITUTE($T457,"Quality of Works / Criteria of Failings:Compliant","")))/LEN("Quality of Works / Criteria of Failings:Compliant"),0))</f>
        <v/>
      </c>
      <c r="Z456" s="122">
        <f>IFERROR($Y457/MAX(1,(LEN($I457)-LEN(SUBSTITUTE($I457," Ltd","")))/LEN(" Ltd")),0)</f>
        <v/>
      </c>
      <c r="AA456" s="122">
        <f>IFERROR(IFERROR((LEN($T457)-LEN(SUBSTITUTE($T457,"Quality of Works / Criteria of Failings:","")))/LEN("Quality of Works / Criteria of Failings:"),0)/MAX(1,(LEN($I457)-LEN(SUBSTITUTE($I457," Ltd","")))/LEN(" Ltd")),0)</f>
        <v/>
      </c>
      <c r="AB456" s="122">
        <f>IFERROR(IFERROR((LEN($T457)-LEN(SUBSTITUTE($T457,"Quality of Works / Criteria of Failings:Compliant","")))/LEN("Quality of Works / Criteria of Failings:Compliant"),0)/MAX(1,(LEN($I457)-LEN(SUBSTITUTE($I457," Ltd","")))/LEN(" Ltd")),0)</f>
        <v/>
      </c>
    </row>
    <row r="457" ht="15.75" customHeight="1" s="146">
      <c r="Y457" s="122">
        <f>MAX(0,IFERROR((LEN($T458)-LEN(SUBSTITUTE($T458,"Quality of Works / Criteria of Failings:","")))/LEN("Quality of Works / Criteria of Failings:"),0)-IFERROR((LEN($T458)-LEN(SUBSTITUTE($T458,"Quality of Works / Criteria of Failings:Compliant","")))/LEN("Quality of Works / Criteria of Failings:Compliant"),0))</f>
        <v/>
      </c>
      <c r="Z457" s="122">
        <f>IFERROR($Y458/MAX(1,(LEN($I458)-LEN(SUBSTITUTE($I458," Ltd","")))/LEN(" Ltd")),0)</f>
        <v/>
      </c>
      <c r="AA457" s="122">
        <f>IFERROR(IFERROR((LEN($T458)-LEN(SUBSTITUTE($T458,"Quality of Works / Criteria of Failings:","")))/LEN("Quality of Works / Criteria of Failings:"),0)/MAX(1,(LEN($I458)-LEN(SUBSTITUTE($I458," Ltd","")))/LEN(" Ltd")),0)</f>
        <v/>
      </c>
      <c r="AB457" s="122">
        <f>IFERROR(IFERROR((LEN($T458)-LEN(SUBSTITUTE($T458,"Quality of Works / Criteria of Failings:Compliant","")))/LEN("Quality of Works / Criteria of Failings:Compliant"),0)/MAX(1,(LEN($I458)-LEN(SUBSTITUTE($I458," Ltd","")))/LEN(" Ltd")),0)</f>
        <v/>
      </c>
    </row>
    <row r="458" ht="15.75" customHeight="1" s="146">
      <c r="Y458" s="122">
        <f>MAX(0,IFERROR((LEN($T459)-LEN(SUBSTITUTE($T459,"Quality of Works / Criteria of Failings:","")))/LEN("Quality of Works / Criteria of Failings:"),0)-IFERROR((LEN($T459)-LEN(SUBSTITUTE($T459,"Quality of Works / Criteria of Failings:Compliant","")))/LEN("Quality of Works / Criteria of Failings:Compliant"),0))</f>
        <v/>
      </c>
      <c r="Z458" s="122">
        <f>IFERROR($Y459/MAX(1,(LEN($I459)-LEN(SUBSTITUTE($I459," Ltd","")))/LEN(" Ltd")),0)</f>
        <v/>
      </c>
      <c r="AA458" s="122">
        <f>IFERROR(IFERROR((LEN($T459)-LEN(SUBSTITUTE($T459,"Quality of Works / Criteria of Failings:","")))/LEN("Quality of Works / Criteria of Failings:"),0)/MAX(1,(LEN($I459)-LEN(SUBSTITUTE($I459," Ltd","")))/LEN(" Ltd")),0)</f>
        <v/>
      </c>
      <c r="AB458" s="122">
        <f>IFERROR(IFERROR((LEN($T459)-LEN(SUBSTITUTE($T459,"Quality of Works / Criteria of Failings:Compliant","")))/LEN("Quality of Works / Criteria of Failings:Compliant"),0)/MAX(1,(LEN($I459)-LEN(SUBSTITUTE($I459," Ltd","")))/LEN(" Ltd")),0)</f>
        <v/>
      </c>
    </row>
    <row r="459" ht="15.75" customHeight="1" s="146">
      <c r="Y459" s="122">
        <f>MAX(0,IFERROR((LEN($T460)-LEN(SUBSTITUTE($T460,"Quality of Works / Criteria of Failings:","")))/LEN("Quality of Works / Criteria of Failings:"),0)-IFERROR((LEN($T460)-LEN(SUBSTITUTE($T460,"Quality of Works / Criteria of Failings:Compliant","")))/LEN("Quality of Works / Criteria of Failings:Compliant"),0))</f>
        <v/>
      </c>
      <c r="Z459" s="122">
        <f>IFERROR($Y460/MAX(1,(LEN($I460)-LEN(SUBSTITUTE($I460," Ltd","")))/LEN(" Ltd")),0)</f>
        <v/>
      </c>
      <c r="AA459" s="122">
        <f>IFERROR(IFERROR((LEN($T460)-LEN(SUBSTITUTE($T460,"Quality of Works / Criteria of Failings:","")))/LEN("Quality of Works / Criteria of Failings:"),0)/MAX(1,(LEN($I460)-LEN(SUBSTITUTE($I460," Ltd","")))/LEN(" Ltd")),0)</f>
        <v/>
      </c>
      <c r="AB459" s="122">
        <f>IFERROR(IFERROR((LEN($T460)-LEN(SUBSTITUTE($T460,"Quality of Works / Criteria of Failings:Compliant","")))/LEN("Quality of Works / Criteria of Failings:Compliant"),0)/MAX(1,(LEN($I460)-LEN(SUBSTITUTE($I460," Ltd","")))/LEN(" Ltd")),0)</f>
        <v/>
      </c>
    </row>
    <row r="460" ht="15.75" customHeight="1" s="146">
      <c r="Y460" s="122">
        <f>MAX(0,IFERROR((LEN($T461)-LEN(SUBSTITUTE($T461,"Quality of Works / Criteria of Failings:","")))/LEN("Quality of Works / Criteria of Failings:"),0)-IFERROR((LEN($T461)-LEN(SUBSTITUTE($T461,"Quality of Works / Criteria of Failings:Compliant","")))/LEN("Quality of Works / Criteria of Failings:Compliant"),0))</f>
        <v/>
      </c>
      <c r="Z460" s="122">
        <f>IFERROR($Y461/MAX(1,(LEN($I461)-LEN(SUBSTITUTE($I461," Ltd","")))/LEN(" Ltd")),0)</f>
        <v/>
      </c>
      <c r="AA460" s="122">
        <f>IFERROR(IFERROR((LEN($T461)-LEN(SUBSTITUTE($T461,"Quality of Works / Criteria of Failings:","")))/LEN("Quality of Works / Criteria of Failings:"),0)/MAX(1,(LEN($I461)-LEN(SUBSTITUTE($I461," Ltd","")))/LEN(" Ltd")),0)</f>
        <v/>
      </c>
      <c r="AB460" s="122">
        <f>IFERROR(IFERROR((LEN($T461)-LEN(SUBSTITUTE($T461,"Quality of Works / Criteria of Failings:Compliant","")))/LEN("Quality of Works / Criteria of Failings:Compliant"),0)/MAX(1,(LEN($I461)-LEN(SUBSTITUTE($I461," Ltd","")))/LEN(" Ltd")),0)</f>
        <v/>
      </c>
    </row>
    <row r="461" ht="15.75" customHeight="1" s="146">
      <c r="Y461" s="122">
        <f>MAX(0,IFERROR((LEN($T462)-LEN(SUBSTITUTE($T462,"Quality of Works / Criteria of Failings:","")))/LEN("Quality of Works / Criteria of Failings:"),0)-IFERROR((LEN($T462)-LEN(SUBSTITUTE($T462,"Quality of Works / Criteria of Failings:Compliant","")))/LEN("Quality of Works / Criteria of Failings:Compliant"),0))</f>
        <v/>
      </c>
      <c r="Z461" s="122">
        <f>IFERROR($Y462/MAX(1,(LEN($I462)-LEN(SUBSTITUTE($I462," Ltd","")))/LEN(" Ltd")),0)</f>
        <v/>
      </c>
      <c r="AA461" s="122">
        <f>IFERROR(IFERROR((LEN($T462)-LEN(SUBSTITUTE($T462,"Quality of Works / Criteria of Failings:","")))/LEN("Quality of Works / Criteria of Failings:"),0)/MAX(1,(LEN($I462)-LEN(SUBSTITUTE($I462," Ltd","")))/LEN(" Ltd")),0)</f>
        <v/>
      </c>
      <c r="AB461" s="122">
        <f>IFERROR(IFERROR((LEN($T462)-LEN(SUBSTITUTE($T462,"Quality of Works / Criteria of Failings:Compliant","")))/LEN("Quality of Works / Criteria of Failings:Compliant"),0)/MAX(1,(LEN($I462)-LEN(SUBSTITUTE($I462," Ltd","")))/LEN(" Ltd")),0)</f>
        <v/>
      </c>
    </row>
    <row r="462" ht="15.75" customHeight="1" s="146">
      <c r="Y462" s="122">
        <f>MAX(0,IFERROR((LEN($T463)-LEN(SUBSTITUTE($T463,"Quality of Works / Criteria of Failings:","")))/LEN("Quality of Works / Criteria of Failings:"),0)-IFERROR((LEN($T463)-LEN(SUBSTITUTE($T463,"Quality of Works / Criteria of Failings:Compliant","")))/LEN("Quality of Works / Criteria of Failings:Compliant"),0))</f>
        <v/>
      </c>
      <c r="Z462" s="122">
        <f>IFERROR($Y463/MAX(1,(LEN($I463)-LEN(SUBSTITUTE($I463," Ltd","")))/LEN(" Ltd")),0)</f>
        <v/>
      </c>
      <c r="AA462" s="122">
        <f>IFERROR(IFERROR((LEN($T463)-LEN(SUBSTITUTE($T463,"Quality of Works / Criteria of Failings:","")))/LEN("Quality of Works / Criteria of Failings:"),0)/MAX(1,(LEN($I463)-LEN(SUBSTITUTE($I463," Ltd","")))/LEN(" Ltd")),0)</f>
        <v/>
      </c>
      <c r="AB462" s="122">
        <f>IFERROR(IFERROR((LEN($T463)-LEN(SUBSTITUTE($T463,"Quality of Works / Criteria of Failings:Compliant","")))/LEN("Quality of Works / Criteria of Failings:Compliant"),0)/MAX(1,(LEN($I463)-LEN(SUBSTITUTE($I463," Ltd","")))/LEN(" Ltd")),0)</f>
        <v/>
      </c>
    </row>
    <row r="463" ht="15.75" customHeight="1" s="146">
      <c r="Y463" s="122">
        <f>MAX(0,IFERROR((LEN($T464)-LEN(SUBSTITUTE($T464,"Quality of Works / Criteria of Failings:","")))/LEN("Quality of Works / Criteria of Failings:"),0)-IFERROR((LEN($T464)-LEN(SUBSTITUTE($T464,"Quality of Works / Criteria of Failings:Compliant","")))/LEN("Quality of Works / Criteria of Failings:Compliant"),0))</f>
        <v/>
      </c>
      <c r="Z463" s="122">
        <f>IFERROR($Y464/MAX(1,(LEN($I464)-LEN(SUBSTITUTE($I464," Ltd","")))/LEN(" Ltd")),0)</f>
        <v/>
      </c>
      <c r="AA463" s="122">
        <f>IFERROR(IFERROR((LEN($T464)-LEN(SUBSTITUTE($T464,"Quality of Works / Criteria of Failings:","")))/LEN("Quality of Works / Criteria of Failings:"),0)/MAX(1,(LEN($I464)-LEN(SUBSTITUTE($I464," Ltd","")))/LEN(" Ltd")),0)</f>
        <v/>
      </c>
      <c r="AB463" s="122">
        <f>IFERROR(IFERROR((LEN($T464)-LEN(SUBSTITUTE($T464,"Quality of Works / Criteria of Failings:Compliant","")))/LEN("Quality of Works / Criteria of Failings:Compliant"),0)/MAX(1,(LEN($I464)-LEN(SUBSTITUTE($I464," Ltd","")))/LEN(" Ltd")),0)</f>
        <v/>
      </c>
    </row>
    <row r="464" ht="15.75" customHeight="1" s="146">
      <c r="Y464" s="122">
        <f>MAX(0,IFERROR((LEN($T465)-LEN(SUBSTITUTE($T465,"Quality of Works / Criteria of Failings:","")))/LEN("Quality of Works / Criteria of Failings:"),0)-IFERROR((LEN($T465)-LEN(SUBSTITUTE($T465,"Quality of Works / Criteria of Failings:Compliant","")))/LEN("Quality of Works / Criteria of Failings:Compliant"),0))</f>
        <v/>
      </c>
      <c r="Z464" s="122">
        <f>IFERROR($Y465/MAX(1,(LEN($I465)-LEN(SUBSTITUTE($I465," Ltd","")))/LEN(" Ltd")),0)</f>
        <v/>
      </c>
      <c r="AA464" s="122">
        <f>IFERROR(IFERROR((LEN($T465)-LEN(SUBSTITUTE($T465,"Quality of Works / Criteria of Failings:","")))/LEN("Quality of Works / Criteria of Failings:"),0)/MAX(1,(LEN($I465)-LEN(SUBSTITUTE($I465," Ltd","")))/LEN(" Ltd")),0)</f>
        <v/>
      </c>
      <c r="AB464" s="122">
        <f>IFERROR(IFERROR((LEN($T465)-LEN(SUBSTITUTE($T465,"Quality of Works / Criteria of Failings:Compliant","")))/LEN("Quality of Works / Criteria of Failings:Compliant"),0)/MAX(1,(LEN($I465)-LEN(SUBSTITUTE($I465," Ltd","")))/LEN(" Ltd")),0)</f>
        <v/>
      </c>
    </row>
    <row r="465" ht="15.75" customHeight="1" s="146">
      <c r="Y465" s="122">
        <f>MAX(0,IFERROR((LEN($T466)-LEN(SUBSTITUTE($T466,"Quality of Works / Criteria of Failings:","")))/LEN("Quality of Works / Criteria of Failings:"),0)-IFERROR((LEN($T466)-LEN(SUBSTITUTE($T466,"Quality of Works / Criteria of Failings:Compliant","")))/LEN("Quality of Works / Criteria of Failings:Compliant"),0))</f>
        <v/>
      </c>
      <c r="Z465" s="122">
        <f>IFERROR($Y466/MAX(1,(LEN($I466)-LEN(SUBSTITUTE($I466," Ltd","")))/LEN(" Ltd")),0)</f>
        <v/>
      </c>
      <c r="AA465" s="122">
        <f>IFERROR(IFERROR((LEN($T466)-LEN(SUBSTITUTE($T466,"Quality of Works / Criteria of Failings:","")))/LEN("Quality of Works / Criteria of Failings:"),0)/MAX(1,(LEN($I466)-LEN(SUBSTITUTE($I466," Ltd","")))/LEN(" Ltd")),0)</f>
        <v/>
      </c>
      <c r="AB465" s="122">
        <f>IFERROR(IFERROR((LEN($T466)-LEN(SUBSTITUTE($T466,"Quality of Works / Criteria of Failings:Compliant","")))/LEN("Quality of Works / Criteria of Failings:Compliant"),0)/MAX(1,(LEN($I466)-LEN(SUBSTITUTE($I466," Ltd","")))/LEN(" Ltd")),0)</f>
        <v/>
      </c>
    </row>
    <row r="466" ht="15.75" customHeight="1" s="146">
      <c r="Y466" s="122">
        <f>MAX(0,IFERROR((LEN($T467)-LEN(SUBSTITUTE($T467,"Quality of Works / Criteria of Failings:","")))/LEN("Quality of Works / Criteria of Failings:"),0)-IFERROR((LEN($T467)-LEN(SUBSTITUTE($T467,"Quality of Works / Criteria of Failings:Compliant","")))/LEN("Quality of Works / Criteria of Failings:Compliant"),0))</f>
        <v/>
      </c>
      <c r="Z466" s="122">
        <f>IFERROR($Y467/MAX(1,(LEN($I467)-LEN(SUBSTITUTE($I467," Ltd","")))/LEN(" Ltd")),0)</f>
        <v/>
      </c>
      <c r="AA466" s="122">
        <f>IFERROR(IFERROR((LEN($T467)-LEN(SUBSTITUTE($T467,"Quality of Works / Criteria of Failings:","")))/LEN("Quality of Works / Criteria of Failings:"),0)/MAX(1,(LEN($I467)-LEN(SUBSTITUTE($I467," Ltd","")))/LEN(" Ltd")),0)</f>
        <v/>
      </c>
      <c r="AB466" s="122">
        <f>IFERROR(IFERROR((LEN($T467)-LEN(SUBSTITUTE($T467,"Quality of Works / Criteria of Failings:Compliant","")))/LEN("Quality of Works / Criteria of Failings:Compliant"),0)/MAX(1,(LEN($I467)-LEN(SUBSTITUTE($I467," Ltd","")))/LEN(" Ltd")),0)</f>
        <v/>
      </c>
    </row>
    <row r="467" ht="15.75" customHeight="1" s="146">
      <c r="Y467" s="122">
        <f>MAX(0,IFERROR((LEN($T468)-LEN(SUBSTITUTE($T468,"Quality of Works / Criteria of Failings:","")))/LEN("Quality of Works / Criteria of Failings:"),0)-IFERROR((LEN($T468)-LEN(SUBSTITUTE($T468,"Quality of Works / Criteria of Failings:Compliant","")))/LEN("Quality of Works / Criteria of Failings:Compliant"),0))</f>
        <v/>
      </c>
      <c r="Z467" s="122">
        <f>IFERROR($Y468/MAX(1,(LEN($I468)-LEN(SUBSTITUTE($I468," Ltd","")))/LEN(" Ltd")),0)</f>
        <v/>
      </c>
      <c r="AA467" s="122">
        <f>IFERROR(IFERROR((LEN($T468)-LEN(SUBSTITUTE($T468,"Quality of Works / Criteria of Failings:","")))/LEN("Quality of Works / Criteria of Failings:"),0)/MAX(1,(LEN($I468)-LEN(SUBSTITUTE($I468," Ltd","")))/LEN(" Ltd")),0)</f>
        <v/>
      </c>
      <c r="AB467" s="122">
        <f>IFERROR(IFERROR((LEN($T468)-LEN(SUBSTITUTE($T468,"Quality of Works / Criteria of Failings:Compliant","")))/LEN("Quality of Works / Criteria of Failings:Compliant"),0)/MAX(1,(LEN($I468)-LEN(SUBSTITUTE($I468," Ltd","")))/LEN(" Ltd")),0)</f>
        <v/>
      </c>
    </row>
    <row r="468" ht="15.75" customHeight="1" s="146">
      <c r="Y468" s="122">
        <f>MAX(0,IFERROR((LEN($T469)-LEN(SUBSTITUTE($T469,"Quality of Works / Criteria of Failings:","")))/LEN("Quality of Works / Criteria of Failings:"),0)-IFERROR((LEN($T469)-LEN(SUBSTITUTE($T469,"Quality of Works / Criteria of Failings:Compliant","")))/LEN("Quality of Works / Criteria of Failings:Compliant"),0))</f>
        <v/>
      </c>
      <c r="Z468" s="122">
        <f>IFERROR($Y469/MAX(1,(LEN($I469)-LEN(SUBSTITUTE($I469," Ltd","")))/LEN(" Ltd")),0)</f>
        <v/>
      </c>
      <c r="AA468" s="122">
        <f>IFERROR(IFERROR((LEN($T469)-LEN(SUBSTITUTE($T469,"Quality of Works / Criteria of Failings:","")))/LEN("Quality of Works / Criteria of Failings:"),0)/MAX(1,(LEN($I469)-LEN(SUBSTITUTE($I469," Ltd","")))/LEN(" Ltd")),0)</f>
        <v/>
      </c>
      <c r="AB468" s="122">
        <f>IFERROR(IFERROR((LEN($T469)-LEN(SUBSTITUTE($T469,"Quality of Works / Criteria of Failings:Compliant","")))/LEN("Quality of Works / Criteria of Failings:Compliant"),0)/MAX(1,(LEN($I469)-LEN(SUBSTITUTE($I469," Ltd","")))/LEN(" Ltd")),0)</f>
        <v/>
      </c>
    </row>
    <row r="469" ht="15.75" customHeight="1" s="146">
      <c r="Y469" s="122">
        <f>MAX(0,IFERROR((LEN($T470)-LEN(SUBSTITUTE($T470,"Quality of Works / Criteria of Failings:","")))/LEN("Quality of Works / Criteria of Failings:"),0)-IFERROR((LEN($T470)-LEN(SUBSTITUTE($T470,"Quality of Works / Criteria of Failings:Compliant","")))/LEN("Quality of Works / Criteria of Failings:Compliant"),0))</f>
        <v/>
      </c>
      <c r="Z469" s="122">
        <f>IFERROR($Y470/MAX(1,(LEN($I470)-LEN(SUBSTITUTE($I470," Ltd","")))/LEN(" Ltd")),0)</f>
        <v/>
      </c>
      <c r="AA469" s="122">
        <f>IFERROR(IFERROR((LEN($T470)-LEN(SUBSTITUTE($T470,"Quality of Works / Criteria of Failings:","")))/LEN("Quality of Works / Criteria of Failings:"),0)/MAX(1,(LEN($I470)-LEN(SUBSTITUTE($I470," Ltd","")))/LEN(" Ltd")),0)</f>
        <v/>
      </c>
      <c r="AB469" s="122">
        <f>IFERROR(IFERROR((LEN($T470)-LEN(SUBSTITUTE($T470,"Quality of Works / Criteria of Failings:Compliant","")))/LEN("Quality of Works / Criteria of Failings:Compliant"),0)/MAX(1,(LEN($I470)-LEN(SUBSTITUTE($I470," Ltd","")))/LEN(" Ltd")),0)</f>
        <v/>
      </c>
    </row>
    <row r="470" ht="15.75" customHeight="1" s="146">
      <c r="Y470" s="122">
        <f>MAX(0,IFERROR((LEN($T471)-LEN(SUBSTITUTE($T471,"Quality of Works / Criteria of Failings:","")))/LEN("Quality of Works / Criteria of Failings:"),0)-IFERROR((LEN($T471)-LEN(SUBSTITUTE($T471,"Quality of Works / Criteria of Failings:Compliant","")))/LEN("Quality of Works / Criteria of Failings:Compliant"),0))</f>
        <v/>
      </c>
      <c r="Z470" s="122">
        <f>IFERROR($Y471/MAX(1,(LEN($I471)-LEN(SUBSTITUTE($I471," Ltd","")))/LEN(" Ltd")),0)</f>
        <v/>
      </c>
      <c r="AA470" s="122">
        <f>IFERROR(IFERROR((LEN($T471)-LEN(SUBSTITUTE($T471,"Quality of Works / Criteria of Failings:","")))/LEN("Quality of Works / Criteria of Failings:"),0)/MAX(1,(LEN($I471)-LEN(SUBSTITUTE($I471," Ltd","")))/LEN(" Ltd")),0)</f>
        <v/>
      </c>
      <c r="AB470" s="122">
        <f>IFERROR(IFERROR((LEN($T471)-LEN(SUBSTITUTE($T471,"Quality of Works / Criteria of Failings:Compliant","")))/LEN("Quality of Works / Criteria of Failings:Compliant"),0)/MAX(1,(LEN($I471)-LEN(SUBSTITUTE($I471," Ltd","")))/LEN(" Ltd")),0)</f>
        <v/>
      </c>
    </row>
    <row r="471" ht="15.75" customHeight="1" s="146">
      <c r="Y471" s="122">
        <f>MAX(0,IFERROR((LEN($T472)-LEN(SUBSTITUTE($T472,"Quality of Works / Criteria of Failings:","")))/LEN("Quality of Works / Criteria of Failings:"),0)-IFERROR((LEN($T472)-LEN(SUBSTITUTE($T472,"Quality of Works / Criteria of Failings:Compliant","")))/LEN("Quality of Works / Criteria of Failings:Compliant"),0))</f>
        <v/>
      </c>
      <c r="Z471" s="122">
        <f>IFERROR($Y472/MAX(1,(LEN($I472)-LEN(SUBSTITUTE($I472," Ltd","")))/LEN(" Ltd")),0)</f>
        <v/>
      </c>
      <c r="AA471" s="122">
        <f>IFERROR(IFERROR((LEN($T472)-LEN(SUBSTITUTE($T472,"Quality of Works / Criteria of Failings:","")))/LEN("Quality of Works / Criteria of Failings:"),0)/MAX(1,(LEN($I472)-LEN(SUBSTITUTE($I472," Ltd","")))/LEN(" Ltd")),0)</f>
        <v/>
      </c>
      <c r="AB471" s="122">
        <f>IFERROR(IFERROR((LEN($T472)-LEN(SUBSTITUTE($T472,"Quality of Works / Criteria of Failings:Compliant","")))/LEN("Quality of Works / Criteria of Failings:Compliant"),0)/MAX(1,(LEN($I472)-LEN(SUBSTITUTE($I472," Ltd","")))/LEN(" Ltd")),0)</f>
        <v/>
      </c>
    </row>
    <row r="472" ht="15.75" customHeight="1" s="146">
      <c r="Y472" s="122">
        <f>MAX(0,IFERROR((LEN($T473)-LEN(SUBSTITUTE($T473,"Quality of Works / Criteria of Failings:","")))/LEN("Quality of Works / Criteria of Failings:"),0)-IFERROR((LEN($T473)-LEN(SUBSTITUTE($T473,"Quality of Works / Criteria of Failings:Compliant","")))/LEN("Quality of Works / Criteria of Failings:Compliant"),0))</f>
        <v/>
      </c>
      <c r="Z472" s="122">
        <f>IFERROR($Y473/MAX(1,(LEN($I473)-LEN(SUBSTITUTE($I473," Ltd","")))/LEN(" Ltd")),0)</f>
        <v/>
      </c>
      <c r="AA472" s="122">
        <f>IFERROR(IFERROR((LEN($T473)-LEN(SUBSTITUTE($T473,"Quality of Works / Criteria of Failings:","")))/LEN("Quality of Works / Criteria of Failings:"),0)/MAX(1,(LEN($I473)-LEN(SUBSTITUTE($I473," Ltd","")))/LEN(" Ltd")),0)</f>
        <v/>
      </c>
      <c r="AB472" s="122">
        <f>IFERROR(IFERROR((LEN($T473)-LEN(SUBSTITUTE($T473,"Quality of Works / Criteria of Failings:Compliant","")))/LEN("Quality of Works / Criteria of Failings:Compliant"),0)/MAX(1,(LEN($I473)-LEN(SUBSTITUTE($I473," Ltd","")))/LEN(" Ltd")),0)</f>
        <v/>
      </c>
    </row>
    <row r="473" ht="15.75" customHeight="1" s="146">
      <c r="Y473" s="122">
        <f>MAX(0,IFERROR((LEN($T474)-LEN(SUBSTITUTE($T474,"Quality of Works / Criteria of Failings:","")))/LEN("Quality of Works / Criteria of Failings:"),0)-IFERROR((LEN($T474)-LEN(SUBSTITUTE($T474,"Quality of Works / Criteria of Failings:Compliant","")))/LEN("Quality of Works / Criteria of Failings:Compliant"),0))</f>
        <v/>
      </c>
      <c r="Z473" s="122">
        <f>IFERROR($Y474/MAX(1,(LEN($I474)-LEN(SUBSTITUTE($I474," Ltd","")))/LEN(" Ltd")),0)</f>
        <v/>
      </c>
      <c r="AA473" s="122">
        <f>IFERROR(IFERROR((LEN($T474)-LEN(SUBSTITUTE($T474,"Quality of Works / Criteria of Failings:","")))/LEN("Quality of Works / Criteria of Failings:"),0)/MAX(1,(LEN($I474)-LEN(SUBSTITUTE($I474," Ltd","")))/LEN(" Ltd")),0)</f>
        <v/>
      </c>
      <c r="AB473" s="122">
        <f>IFERROR(IFERROR((LEN($T474)-LEN(SUBSTITUTE($T474,"Quality of Works / Criteria of Failings:Compliant","")))/LEN("Quality of Works / Criteria of Failings:Compliant"),0)/MAX(1,(LEN($I474)-LEN(SUBSTITUTE($I474," Ltd","")))/LEN(" Ltd")),0)</f>
        <v/>
      </c>
    </row>
    <row r="474" ht="15.75" customHeight="1" s="146">
      <c r="Y474" s="122">
        <f>MAX(0,IFERROR((LEN($T475)-LEN(SUBSTITUTE($T475,"Quality of Works / Criteria of Failings:","")))/LEN("Quality of Works / Criteria of Failings:"),0)-IFERROR((LEN($T475)-LEN(SUBSTITUTE($T475,"Quality of Works / Criteria of Failings:Compliant","")))/LEN("Quality of Works / Criteria of Failings:Compliant"),0))</f>
        <v/>
      </c>
      <c r="Z474" s="122">
        <f>IFERROR($Y475/MAX(1,(LEN($I475)-LEN(SUBSTITUTE($I475," Ltd","")))/LEN(" Ltd")),0)</f>
        <v/>
      </c>
      <c r="AA474" s="122">
        <f>IFERROR(IFERROR((LEN($T475)-LEN(SUBSTITUTE($T475,"Quality of Works / Criteria of Failings:","")))/LEN("Quality of Works / Criteria of Failings:"),0)/MAX(1,(LEN($I475)-LEN(SUBSTITUTE($I475," Ltd","")))/LEN(" Ltd")),0)</f>
        <v/>
      </c>
      <c r="AB474" s="122">
        <f>IFERROR(IFERROR((LEN($T475)-LEN(SUBSTITUTE($T475,"Quality of Works / Criteria of Failings:Compliant","")))/LEN("Quality of Works / Criteria of Failings:Compliant"),0)/MAX(1,(LEN($I475)-LEN(SUBSTITUTE($I475," Ltd","")))/LEN(" Ltd")),0)</f>
        <v/>
      </c>
    </row>
    <row r="475" ht="15.75" customHeight="1" s="146">
      <c r="Y475" s="122">
        <f>MAX(0,IFERROR((LEN($T476)-LEN(SUBSTITUTE($T476,"Quality of Works / Criteria of Failings:","")))/LEN("Quality of Works / Criteria of Failings:"),0)-IFERROR((LEN($T476)-LEN(SUBSTITUTE($T476,"Quality of Works / Criteria of Failings:Compliant","")))/LEN("Quality of Works / Criteria of Failings:Compliant"),0))</f>
        <v/>
      </c>
      <c r="Z475" s="122">
        <f>IFERROR($Y476/MAX(1,(LEN($I476)-LEN(SUBSTITUTE($I476," Ltd","")))/LEN(" Ltd")),0)</f>
        <v/>
      </c>
      <c r="AA475" s="122">
        <f>IFERROR(IFERROR((LEN($T476)-LEN(SUBSTITUTE($T476,"Quality of Works / Criteria of Failings:","")))/LEN("Quality of Works / Criteria of Failings:"),0)/MAX(1,(LEN($I476)-LEN(SUBSTITUTE($I476," Ltd","")))/LEN(" Ltd")),0)</f>
        <v/>
      </c>
      <c r="AB475" s="122">
        <f>IFERROR(IFERROR((LEN($T476)-LEN(SUBSTITUTE($T476,"Quality of Works / Criteria of Failings:Compliant","")))/LEN("Quality of Works / Criteria of Failings:Compliant"),0)/MAX(1,(LEN($I476)-LEN(SUBSTITUTE($I476," Ltd","")))/LEN(" Ltd")),0)</f>
        <v/>
      </c>
    </row>
    <row r="476" ht="15.75" customHeight="1" s="146">
      <c r="Y476" s="122">
        <f>MAX(0,IFERROR((LEN($T477)-LEN(SUBSTITUTE($T477,"Quality of Works / Criteria of Failings:","")))/LEN("Quality of Works / Criteria of Failings:"),0)-IFERROR((LEN($T477)-LEN(SUBSTITUTE($T477,"Quality of Works / Criteria of Failings:Compliant","")))/LEN("Quality of Works / Criteria of Failings:Compliant"),0))</f>
        <v/>
      </c>
      <c r="Z476" s="122">
        <f>IFERROR($Y477/MAX(1,(LEN($I477)-LEN(SUBSTITUTE($I477," Ltd","")))/LEN(" Ltd")),0)</f>
        <v/>
      </c>
      <c r="AA476" s="122">
        <f>IFERROR(IFERROR((LEN($T477)-LEN(SUBSTITUTE($T477,"Quality of Works / Criteria of Failings:","")))/LEN("Quality of Works / Criteria of Failings:"),0)/MAX(1,(LEN($I477)-LEN(SUBSTITUTE($I477," Ltd","")))/LEN(" Ltd")),0)</f>
        <v/>
      </c>
      <c r="AB476" s="122">
        <f>IFERROR(IFERROR((LEN($T477)-LEN(SUBSTITUTE($T477,"Quality of Works / Criteria of Failings:Compliant","")))/LEN("Quality of Works / Criteria of Failings:Compliant"),0)/MAX(1,(LEN($I477)-LEN(SUBSTITUTE($I477," Ltd","")))/LEN(" Ltd")),0)</f>
        <v/>
      </c>
    </row>
    <row r="477" ht="15.75" customHeight="1" s="146">
      <c r="Y477" s="122">
        <f>MAX(0,IFERROR((LEN($T478)-LEN(SUBSTITUTE($T478,"Quality of Works / Criteria of Failings:","")))/LEN("Quality of Works / Criteria of Failings:"),0)-IFERROR((LEN($T478)-LEN(SUBSTITUTE($T478,"Quality of Works / Criteria of Failings:Compliant","")))/LEN("Quality of Works / Criteria of Failings:Compliant"),0))</f>
        <v/>
      </c>
      <c r="Z477" s="122">
        <f>IFERROR($Y478/MAX(1,(LEN($I478)-LEN(SUBSTITUTE($I478," Ltd","")))/LEN(" Ltd")),0)</f>
        <v/>
      </c>
      <c r="AA477" s="122">
        <f>IFERROR(IFERROR((LEN($T478)-LEN(SUBSTITUTE($T478,"Quality of Works / Criteria of Failings:","")))/LEN("Quality of Works / Criteria of Failings:"),0)/MAX(1,(LEN($I478)-LEN(SUBSTITUTE($I478," Ltd","")))/LEN(" Ltd")),0)</f>
        <v/>
      </c>
      <c r="AB477" s="122">
        <f>IFERROR(IFERROR((LEN($T478)-LEN(SUBSTITUTE($T478,"Quality of Works / Criteria of Failings:Compliant","")))/LEN("Quality of Works / Criteria of Failings:Compliant"),0)/MAX(1,(LEN($I478)-LEN(SUBSTITUTE($I478," Ltd","")))/LEN(" Ltd")),0)</f>
        <v/>
      </c>
    </row>
    <row r="478" ht="15.75" customHeight="1" s="146">
      <c r="Y478" s="122">
        <f>MAX(0,IFERROR((LEN($T479)-LEN(SUBSTITUTE($T479,"Quality of Works / Criteria of Failings:","")))/LEN("Quality of Works / Criteria of Failings:"),0)-IFERROR((LEN($T479)-LEN(SUBSTITUTE($T479,"Quality of Works / Criteria of Failings:Compliant","")))/LEN("Quality of Works / Criteria of Failings:Compliant"),0))</f>
        <v/>
      </c>
      <c r="Z478" s="122">
        <f>IFERROR($Y479/MAX(1,(LEN($I479)-LEN(SUBSTITUTE($I479," Ltd","")))/LEN(" Ltd")),0)</f>
        <v/>
      </c>
      <c r="AA478" s="122">
        <f>IFERROR(IFERROR((LEN($T479)-LEN(SUBSTITUTE($T479,"Quality of Works / Criteria of Failings:","")))/LEN("Quality of Works / Criteria of Failings:"),0)/MAX(1,(LEN($I479)-LEN(SUBSTITUTE($I479," Ltd","")))/LEN(" Ltd")),0)</f>
        <v/>
      </c>
      <c r="AB478" s="122">
        <f>IFERROR(IFERROR((LEN($T479)-LEN(SUBSTITUTE($T479,"Quality of Works / Criteria of Failings:Compliant","")))/LEN("Quality of Works / Criteria of Failings:Compliant"),0)/MAX(1,(LEN($I479)-LEN(SUBSTITUTE($I479," Ltd","")))/LEN(" Ltd")),0)</f>
        <v/>
      </c>
    </row>
    <row r="479" ht="15.75" customHeight="1" s="146">
      <c r="Y479" s="122">
        <f>MAX(0,IFERROR((LEN($T480)-LEN(SUBSTITUTE($T480,"Quality of Works / Criteria of Failings:","")))/LEN("Quality of Works / Criteria of Failings:"),0)-IFERROR((LEN($T480)-LEN(SUBSTITUTE($T480,"Quality of Works / Criteria of Failings:Compliant","")))/LEN("Quality of Works / Criteria of Failings:Compliant"),0))</f>
        <v/>
      </c>
      <c r="Z479" s="122">
        <f>IFERROR($Y480/MAX(1,(LEN($I480)-LEN(SUBSTITUTE($I480," Ltd","")))/LEN(" Ltd")),0)</f>
        <v/>
      </c>
      <c r="AA479" s="122">
        <f>IFERROR(IFERROR((LEN($T480)-LEN(SUBSTITUTE($T480,"Quality of Works / Criteria of Failings:","")))/LEN("Quality of Works / Criteria of Failings:"),0)/MAX(1,(LEN($I480)-LEN(SUBSTITUTE($I480," Ltd","")))/LEN(" Ltd")),0)</f>
        <v/>
      </c>
      <c r="AB479" s="122">
        <f>IFERROR(IFERROR((LEN($T480)-LEN(SUBSTITUTE($T480,"Quality of Works / Criteria of Failings:Compliant","")))/LEN("Quality of Works / Criteria of Failings:Compliant"),0)/MAX(1,(LEN($I480)-LEN(SUBSTITUTE($I480," Ltd","")))/LEN(" Ltd")),0)</f>
        <v/>
      </c>
    </row>
    <row r="480" ht="15.75" customHeight="1" s="146">
      <c r="Y480" s="122">
        <f>MAX(0,IFERROR((LEN($T481)-LEN(SUBSTITUTE($T481,"Quality of Works / Criteria of Failings:","")))/LEN("Quality of Works / Criteria of Failings:"),0)-IFERROR((LEN($T481)-LEN(SUBSTITUTE($T481,"Quality of Works / Criteria of Failings:Compliant","")))/LEN("Quality of Works / Criteria of Failings:Compliant"),0))</f>
        <v/>
      </c>
      <c r="Z480" s="122">
        <f>IFERROR($Y481/MAX(1,(LEN($I481)-LEN(SUBSTITUTE($I481," Ltd","")))/LEN(" Ltd")),0)</f>
        <v/>
      </c>
      <c r="AA480" s="122">
        <f>IFERROR(IFERROR((LEN($T481)-LEN(SUBSTITUTE($T481,"Quality of Works / Criteria of Failings:","")))/LEN("Quality of Works / Criteria of Failings:"),0)/MAX(1,(LEN($I481)-LEN(SUBSTITUTE($I481," Ltd","")))/LEN(" Ltd")),0)</f>
        <v/>
      </c>
      <c r="AB480" s="122">
        <f>IFERROR(IFERROR((LEN($T481)-LEN(SUBSTITUTE($T481,"Quality of Works / Criteria of Failings:Compliant","")))/LEN("Quality of Works / Criteria of Failings:Compliant"),0)/MAX(1,(LEN($I481)-LEN(SUBSTITUTE($I481," Ltd","")))/LEN(" Ltd")),0)</f>
        <v/>
      </c>
    </row>
    <row r="481" ht="15.75" customHeight="1" s="146">
      <c r="Y481" s="122">
        <f>MAX(0,IFERROR((LEN($T482)-LEN(SUBSTITUTE($T482,"Quality of Works / Criteria of Failings:","")))/LEN("Quality of Works / Criteria of Failings:"),0)-IFERROR((LEN($T482)-LEN(SUBSTITUTE($T482,"Quality of Works / Criteria of Failings:Compliant","")))/LEN("Quality of Works / Criteria of Failings:Compliant"),0))</f>
        <v/>
      </c>
      <c r="Z481" s="122">
        <f>IFERROR($Y482/MAX(1,(LEN($I482)-LEN(SUBSTITUTE($I482," Ltd","")))/LEN(" Ltd")),0)</f>
        <v/>
      </c>
      <c r="AA481" s="122">
        <f>IFERROR(IFERROR((LEN($T482)-LEN(SUBSTITUTE($T482,"Quality of Works / Criteria of Failings:","")))/LEN("Quality of Works / Criteria of Failings:"),0)/MAX(1,(LEN($I482)-LEN(SUBSTITUTE($I482," Ltd","")))/LEN(" Ltd")),0)</f>
        <v/>
      </c>
      <c r="AB481" s="122">
        <f>IFERROR(IFERROR((LEN($T482)-LEN(SUBSTITUTE($T482,"Quality of Works / Criteria of Failings:Compliant","")))/LEN("Quality of Works / Criteria of Failings:Compliant"),0)/MAX(1,(LEN($I482)-LEN(SUBSTITUTE($I482," Ltd","")))/LEN(" Ltd")),0)</f>
        <v/>
      </c>
    </row>
    <row r="482" ht="15.75" customHeight="1" s="146">
      <c r="Y482" s="122">
        <f>MAX(0,IFERROR((LEN($T483)-LEN(SUBSTITUTE($T483,"Quality of Works / Criteria of Failings:","")))/LEN("Quality of Works / Criteria of Failings:"),0)-IFERROR((LEN($T483)-LEN(SUBSTITUTE($T483,"Quality of Works / Criteria of Failings:Compliant","")))/LEN("Quality of Works / Criteria of Failings:Compliant"),0))</f>
        <v/>
      </c>
      <c r="Z482" s="122">
        <f>IFERROR($Y483/MAX(1,(LEN($I483)-LEN(SUBSTITUTE($I483," Ltd","")))/LEN(" Ltd")),0)</f>
        <v/>
      </c>
      <c r="AA482" s="122">
        <f>IFERROR(IFERROR((LEN($T483)-LEN(SUBSTITUTE($T483,"Quality of Works / Criteria of Failings:","")))/LEN("Quality of Works / Criteria of Failings:"),0)/MAX(1,(LEN($I483)-LEN(SUBSTITUTE($I483," Ltd","")))/LEN(" Ltd")),0)</f>
        <v/>
      </c>
      <c r="AB482" s="122">
        <f>IFERROR(IFERROR((LEN($T483)-LEN(SUBSTITUTE($T483,"Quality of Works / Criteria of Failings:Compliant","")))/LEN("Quality of Works / Criteria of Failings:Compliant"),0)/MAX(1,(LEN($I483)-LEN(SUBSTITUTE($I483," Ltd","")))/LEN(" Ltd")),0)</f>
        <v/>
      </c>
    </row>
    <row r="483" ht="15.75" customHeight="1" s="146">
      <c r="Y483" s="122">
        <f>MAX(0,IFERROR((LEN($T484)-LEN(SUBSTITUTE($T484,"Quality of Works / Criteria of Failings:","")))/LEN("Quality of Works / Criteria of Failings:"),0)-IFERROR((LEN($T484)-LEN(SUBSTITUTE($T484,"Quality of Works / Criteria of Failings:Compliant","")))/LEN("Quality of Works / Criteria of Failings:Compliant"),0))</f>
        <v/>
      </c>
      <c r="Z483" s="122">
        <f>IFERROR($Y484/MAX(1,(LEN($I484)-LEN(SUBSTITUTE($I484," Ltd","")))/LEN(" Ltd")),0)</f>
        <v/>
      </c>
      <c r="AA483" s="122">
        <f>IFERROR(IFERROR((LEN($T484)-LEN(SUBSTITUTE($T484,"Quality of Works / Criteria of Failings:","")))/LEN("Quality of Works / Criteria of Failings:"),0)/MAX(1,(LEN($I484)-LEN(SUBSTITUTE($I484," Ltd","")))/LEN(" Ltd")),0)</f>
        <v/>
      </c>
      <c r="AB483" s="122">
        <f>IFERROR(IFERROR((LEN($T484)-LEN(SUBSTITUTE($T484,"Quality of Works / Criteria of Failings:Compliant","")))/LEN("Quality of Works / Criteria of Failings:Compliant"),0)/MAX(1,(LEN($I484)-LEN(SUBSTITUTE($I484," Ltd","")))/LEN(" Ltd")),0)</f>
        <v/>
      </c>
    </row>
    <row r="484" ht="15.75" customHeight="1" s="146">
      <c r="Y484" s="122">
        <f>MAX(0,IFERROR((LEN($T485)-LEN(SUBSTITUTE($T485,"Quality of Works / Criteria of Failings:","")))/LEN("Quality of Works / Criteria of Failings:"),0)-IFERROR((LEN($T485)-LEN(SUBSTITUTE($T485,"Quality of Works / Criteria of Failings:Compliant","")))/LEN("Quality of Works / Criteria of Failings:Compliant"),0))</f>
        <v/>
      </c>
      <c r="Z484" s="122">
        <f>IFERROR($Y485/MAX(1,(LEN($I485)-LEN(SUBSTITUTE($I485," Ltd","")))/LEN(" Ltd")),0)</f>
        <v/>
      </c>
      <c r="AA484" s="122">
        <f>IFERROR(IFERROR((LEN($T485)-LEN(SUBSTITUTE($T485,"Quality of Works / Criteria of Failings:","")))/LEN("Quality of Works / Criteria of Failings:"),0)/MAX(1,(LEN($I485)-LEN(SUBSTITUTE($I485," Ltd","")))/LEN(" Ltd")),0)</f>
        <v/>
      </c>
      <c r="AB484" s="122">
        <f>IFERROR(IFERROR((LEN($T485)-LEN(SUBSTITUTE($T485,"Quality of Works / Criteria of Failings:Compliant","")))/LEN("Quality of Works / Criteria of Failings:Compliant"),0)/MAX(1,(LEN($I485)-LEN(SUBSTITUTE($I485," Ltd","")))/LEN(" Ltd")),0)</f>
        <v/>
      </c>
    </row>
    <row r="485" ht="15.75" customHeight="1" s="146">
      <c r="Y485" s="122">
        <f>MAX(0,IFERROR((LEN($T486)-LEN(SUBSTITUTE($T486,"Quality of Works / Criteria of Failings:","")))/LEN("Quality of Works / Criteria of Failings:"),0)-IFERROR((LEN($T486)-LEN(SUBSTITUTE($T486,"Quality of Works / Criteria of Failings:Compliant","")))/LEN("Quality of Works / Criteria of Failings:Compliant"),0))</f>
        <v/>
      </c>
      <c r="Z485" s="122">
        <f>IFERROR($Y486/MAX(1,(LEN($I486)-LEN(SUBSTITUTE($I486," Ltd","")))/LEN(" Ltd")),0)</f>
        <v/>
      </c>
      <c r="AA485" s="122">
        <f>IFERROR(IFERROR((LEN($T486)-LEN(SUBSTITUTE($T486,"Quality of Works / Criteria of Failings:","")))/LEN("Quality of Works / Criteria of Failings:"),0)/MAX(1,(LEN($I486)-LEN(SUBSTITUTE($I486," Ltd","")))/LEN(" Ltd")),0)</f>
        <v/>
      </c>
      <c r="AB485" s="122">
        <f>IFERROR(IFERROR((LEN($T486)-LEN(SUBSTITUTE($T486,"Quality of Works / Criteria of Failings:Compliant","")))/LEN("Quality of Works / Criteria of Failings:Compliant"),0)/MAX(1,(LEN($I486)-LEN(SUBSTITUTE($I486," Ltd","")))/LEN(" Ltd")),0)</f>
        <v/>
      </c>
    </row>
    <row r="486" ht="15.75" customHeight="1" s="146">
      <c r="Y486" s="122">
        <f>MAX(0,IFERROR((LEN($T487)-LEN(SUBSTITUTE($T487,"Quality of Works / Criteria of Failings:","")))/LEN("Quality of Works / Criteria of Failings:"),0)-IFERROR((LEN($T487)-LEN(SUBSTITUTE($T487,"Quality of Works / Criteria of Failings:Compliant","")))/LEN("Quality of Works / Criteria of Failings:Compliant"),0))</f>
        <v/>
      </c>
      <c r="Z486" s="122">
        <f>IFERROR($Y487/MAX(1,(LEN($I487)-LEN(SUBSTITUTE($I487," Ltd","")))/LEN(" Ltd")),0)</f>
        <v/>
      </c>
      <c r="AA486" s="122">
        <f>IFERROR(IFERROR((LEN($T487)-LEN(SUBSTITUTE($T487,"Quality of Works / Criteria of Failings:","")))/LEN("Quality of Works / Criteria of Failings:"),0)/MAX(1,(LEN($I487)-LEN(SUBSTITUTE($I487," Ltd","")))/LEN(" Ltd")),0)</f>
        <v/>
      </c>
      <c r="AB486" s="122">
        <f>IFERROR(IFERROR((LEN($T487)-LEN(SUBSTITUTE($T487,"Quality of Works / Criteria of Failings:Compliant","")))/LEN("Quality of Works / Criteria of Failings:Compliant"),0)/MAX(1,(LEN($I487)-LEN(SUBSTITUTE($I487," Ltd","")))/LEN(" Ltd")),0)</f>
        <v/>
      </c>
    </row>
    <row r="487" ht="15.75" customHeight="1" s="146">
      <c r="Y487" s="122">
        <f>MAX(0,IFERROR((LEN($T488)-LEN(SUBSTITUTE($T488,"Quality of Works / Criteria of Failings:","")))/LEN("Quality of Works / Criteria of Failings:"),0)-IFERROR((LEN($T488)-LEN(SUBSTITUTE($T488,"Quality of Works / Criteria of Failings:Compliant","")))/LEN("Quality of Works / Criteria of Failings:Compliant"),0))</f>
        <v/>
      </c>
      <c r="Z487" s="122">
        <f>IFERROR($Y488/MAX(1,(LEN($I488)-LEN(SUBSTITUTE($I488," Ltd","")))/LEN(" Ltd")),0)</f>
        <v/>
      </c>
      <c r="AA487" s="122">
        <f>IFERROR(IFERROR((LEN($T488)-LEN(SUBSTITUTE($T488,"Quality of Works / Criteria of Failings:","")))/LEN("Quality of Works / Criteria of Failings:"),0)/MAX(1,(LEN($I488)-LEN(SUBSTITUTE($I488," Ltd","")))/LEN(" Ltd")),0)</f>
        <v/>
      </c>
      <c r="AB487" s="122">
        <f>IFERROR(IFERROR((LEN($T488)-LEN(SUBSTITUTE($T488,"Quality of Works / Criteria of Failings:Compliant","")))/LEN("Quality of Works / Criteria of Failings:Compliant"),0)/MAX(1,(LEN($I488)-LEN(SUBSTITUTE($I488," Ltd","")))/LEN(" Ltd")),0)</f>
        <v/>
      </c>
    </row>
    <row r="488" ht="15.75" customHeight="1" s="146">
      <c r="Y488" s="122">
        <f>MAX(0,IFERROR((LEN($T489)-LEN(SUBSTITUTE($T489,"Quality of Works / Criteria of Failings:","")))/LEN("Quality of Works / Criteria of Failings:"),0)-IFERROR((LEN($T489)-LEN(SUBSTITUTE($T489,"Quality of Works / Criteria of Failings:Compliant","")))/LEN("Quality of Works / Criteria of Failings:Compliant"),0))</f>
        <v/>
      </c>
      <c r="Z488" s="122">
        <f>IFERROR($Y489/MAX(1,(LEN($I489)-LEN(SUBSTITUTE($I489," Ltd","")))/LEN(" Ltd")),0)</f>
        <v/>
      </c>
      <c r="AA488" s="122">
        <f>IFERROR(IFERROR((LEN($T489)-LEN(SUBSTITUTE($T489,"Quality of Works / Criteria of Failings:","")))/LEN("Quality of Works / Criteria of Failings:"),0)/MAX(1,(LEN($I489)-LEN(SUBSTITUTE($I489," Ltd","")))/LEN(" Ltd")),0)</f>
        <v/>
      </c>
      <c r="AB488" s="122">
        <f>IFERROR(IFERROR((LEN($T489)-LEN(SUBSTITUTE($T489,"Quality of Works / Criteria of Failings:Compliant","")))/LEN("Quality of Works / Criteria of Failings:Compliant"),0)/MAX(1,(LEN($I489)-LEN(SUBSTITUTE($I489," Ltd","")))/LEN(" Ltd")),0)</f>
        <v/>
      </c>
    </row>
    <row r="489" ht="15.75" customHeight="1" s="146">
      <c r="Y489" s="122">
        <f>MAX(0,IFERROR((LEN($T490)-LEN(SUBSTITUTE($T490,"Quality of Works / Criteria of Failings:","")))/LEN("Quality of Works / Criteria of Failings:"),0)-IFERROR((LEN($T490)-LEN(SUBSTITUTE($T490,"Quality of Works / Criteria of Failings:Compliant","")))/LEN("Quality of Works / Criteria of Failings:Compliant"),0))</f>
        <v/>
      </c>
      <c r="Z489" s="122">
        <f>IFERROR($Y490/MAX(1,(LEN($I490)-LEN(SUBSTITUTE($I490," Ltd","")))/LEN(" Ltd")),0)</f>
        <v/>
      </c>
      <c r="AA489" s="122">
        <f>IFERROR(IFERROR((LEN($T490)-LEN(SUBSTITUTE($T490,"Quality of Works / Criteria of Failings:","")))/LEN("Quality of Works / Criteria of Failings:"),0)/MAX(1,(LEN($I490)-LEN(SUBSTITUTE($I490," Ltd","")))/LEN(" Ltd")),0)</f>
        <v/>
      </c>
      <c r="AB489" s="122">
        <f>IFERROR(IFERROR((LEN($T490)-LEN(SUBSTITUTE($T490,"Quality of Works / Criteria of Failings:Compliant","")))/LEN("Quality of Works / Criteria of Failings:Compliant"),0)/MAX(1,(LEN($I490)-LEN(SUBSTITUTE($I490," Ltd","")))/LEN(" Ltd")),0)</f>
        <v/>
      </c>
    </row>
    <row r="490" ht="15.75" customHeight="1" s="146">
      <c r="Y490" s="122">
        <f>MAX(0,IFERROR((LEN($T491)-LEN(SUBSTITUTE($T491,"Quality of Works / Criteria of Failings:","")))/LEN("Quality of Works / Criteria of Failings:"),0)-IFERROR((LEN($T491)-LEN(SUBSTITUTE($T491,"Quality of Works / Criteria of Failings:Compliant","")))/LEN("Quality of Works / Criteria of Failings:Compliant"),0))</f>
        <v/>
      </c>
      <c r="Z490" s="122">
        <f>IFERROR($Y491/MAX(1,(LEN($I491)-LEN(SUBSTITUTE($I491," Ltd","")))/LEN(" Ltd")),0)</f>
        <v/>
      </c>
      <c r="AA490" s="122">
        <f>IFERROR(IFERROR((LEN($T491)-LEN(SUBSTITUTE($T491,"Quality of Works / Criteria of Failings:","")))/LEN("Quality of Works / Criteria of Failings:"),0)/MAX(1,(LEN($I491)-LEN(SUBSTITUTE($I491," Ltd","")))/LEN(" Ltd")),0)</f>
        <v/>
      </c>
      <c r="AB490" s="122">
        <f>IFERROR(IFERROR((LEN($T491)-LEN(SUBSTITUTE($T491,"Quality of Works / Criteria of Failings:Compliant","")))/LEN("Quality of Works / Criteria of Failings:Compliant"),0)/MAX(1,(LEN($I491)-LEN(SUBSTITUTE($I491," Ltd","")))/LEN(" Ltd")),0)</f>
        <v/>
      </c>
    </row>
    <row r="491" ht="15.75" customHeight="1" s="146">
      <c r="Y491" s="122">
        <f>MAX(0,IFERROR((LEN($T492)-LEN(SUBSTITUTE($T492,"Quality of Works / Criteria of Failings:","")))/LEN("Quality of Works / Criteria of Failings:"),0)-IFERROR((LEN($T492)-LEN(SUBSTITUTE($T492,"Quality of Works / Criteria of Failings:Compliant","")))/LEN("Quality of Works / Criteria of Failings:Compliant"),0))</f>
        <v/>
      </c>
      <c r="Z491" s="122">
        <f>IFERROR($Y492/MAX(1,(LEN($I492)-LEN(SUBSTITUTE($I492," Ltd","")))/LEN(" Ltd")),0)</f>
        <v/>
      </c>
      <c r="AA491" s="122">
        <f>IFERROR(IFERROR((LEN($T492)-LEN(SUBSTITUTE($T492,"Quality of Works / Criteria of Failings:","")))/LEN("Quality of Works / Criteria of Failings:"),0)/MAX(1,(LEN($I492)-LEN(SUBSTITUTE($I492," Ltd","")))/LEN(" Ltd")),0)</f>
        <v/>
      </c>
      <c r="AB491" s="122">
        <f>IFERROR(IFERROR((LEN($T492)-LEN(SUBSTITUTE($T492,"Quality of Works / Criteria of Failings:Compliant","")))/LEN("Quality of Works / Criteria of Failings:Compliant"),0)/MAX(1,(LEN($I492)-LEN(SUBSTITUTE($I492," Ltd","")))/LEN(" Ltd")),0)</f>
        <v/>
      </c>
    </row>
    <row r="492" ht="15.75" customHeight="1" s="146">
      <c r="Y492" s="122">
        <f>MAX(0,IFERROR((LEN($T493)-LEN(SUBSTITUTE($T493,"Quality of Works / Criteria of Failings:","")))/LEN("Quality of Works / Criteria of Failings:"),0)-IFERROR((LEN($T493)-LEN(SUBSTITUTE($T493,"Quality of Works / Criteria of Failings:Compliant","")))/LEN("Quality of Works / Criteria of Failings:Compliant"),0))</f>
        <v/>
      </c>
      <c r="Z492" s="122">
        <f>IFERROR($Y493/MAX(1,(LEN($I493)-LEN(SUBSTITUTE($I493," Ltd","")))/LEN(" Ltd")),0)</f>
        <v/>
      </c>
      <c r="AA492" s="122">
        <f>IFERROR(IFERROR((LEN($T493)-LEN(SUBSTITUTE($T493,"Quality of Works / Criteria of Failings:","")))/LEN("Quality of Works / Criteria of Failings:"),0)/MAX(1,(LEN($I493)-LEN(SUBSTITUTE($I493," Ltd","")))/LEN(" Ltd")),0)</f>
        <v/>
      </c>
      <c r="AB492" s="122">
        <f>IFERROR(IFERROR((LEN($T493)-LEN(SUBSTITUTE($T493,"Quality of Works / Criteria of Failings:Compliant","")))/LEN("Quality of Works / Criteria of Failings:Compliant"),0)/MAX(1,(LEN($I493)-LEN(SUBSTITUTE($I493," Ltd","")))/LEN(" Ltd")),0)</f>
        <v/>
      </c>
    </row>
    <row r="493" ht="15.75" customHeight="1" s="146">
      <c r="Y493" s="122">
        <f>MAX(0,IFERROR((LEN($T494)-LEN(SUBSTITUTE($T494,"Quality of Works / Criteria of Failings:","")))/LEN("Quality of Works / Criteria of Failings:"),0)-IFERROR((LEN($T494)-LEN(SUBSTITUTE($T494,"Quality of Works / Criteria of Failings:Compliant","")))/LEN("Quality of Works / Criteria of Failings:Compliant"),0))</f>
        <v/>
      </c>
      <c r="Z493" s="122">
        <f>IFERROR($Y494/MAX(1,(LEN($I494)-LEN(SUBSTITUTE($I494," Ltd","")))/LEN(" Ltd")),0)</f>
        <v/>
      </c>
      <c r="AA493" s="122">
        <f>IFERROR(IFERROR((LEN($T494)-LEN(SUBSTITUTE($T494,"Quality of Works / Criteria of Failings:","")))/LEN("Quality of Works / Criteria of Failings:"),0)/MAX(1,(LEN($I494)-LEN(SUBSTITUTE($I494," Ltd","")))/LEN(" Ltd")),0)</f>
        <v/>
      </c>
      <c r="AB493" s="122">
        <f>IFERROR(IFERROR((LEN($T494)-LEN(SUBSTITUTE($T494,"Quality of Works / Criteria of Failings:Compliant","")))/LEN("Quality of Works / Criteria of Failings:Compliant"),0)/MAX(1,(LEN($I494)-LEN(SUBSTITUTE($I494," Ltd","")))/LEN(" Ltd")),0)</f>
        <v/>
      </c>
    </row>
    <row r="494" ht="15.75" customHeight="1" s="146">
      <c r="Y494" s="122">
        <f>MAX(0,IFERROR((LEN($T495)-LEN(SUBSTITUTE($T495,"Quality of Works / Criteria of Failings:","")))/LEN("Quality of Works / Criteria of Failings:"),0)-IFERROR((LEN($T495)-LEN(SUBSTITUTE($T495,"Quality of Works / Criteria of Failings:Compliant","")))/LEN("Quality of Works / Criteria of Failings:Compliant"),0))</f>
        <v/>
      </c>
      <c r="Z494" s="122">
        <f>IFERROR($Y495/MAX(1,(LEN($I495)-LEN(SUBSTITUTE($I495," Ltd","")))/LEN(" Ltd")),0)</f>
        <v/>
      </c>
      <c r="AA494" s="122">
        <f>IFERROR(IFERROR((LEN($T495)-LEN(SUBSTITUTE($T495,"Quality of Works / Criteria of Failings:","")))/LEN("Quality of Works / Criteria of Failings:"),0)/MAX(1,(LEN($I495)-LEN(SUBSTITUTE($I495," Ltd","")))/LEN(" Ltd")),0)</f>
        <v/>
      </c>
      <c r="AB494" s="122">
        <f>IFERROR(IFERROR((LEN($T495)-LEN(SUBSTITUTE($T495,"Quality of Works / Criteria of Failings:Compliant","")))/LEN("Quality of Works / Criteria of Failings:Compliant"),0)/MAX(1,(LEN($I495)-LEN(SUBSTITUTE($I495," Ltd","")))/LEN(" Ltd")),0)</f>
        <v/>
      </c>
    </row>
    <row r="495" ht="15.75" customHeight="1" s="146">
      <c r="Y495" s="122">
        <f>MAX(0,IFERROR((LEN($T496)-LEN(SUBSTITUTE($T496,"Quality of Works / Criteria of Failings:","")))/LEN("Quality of Works / Criteria of Failings:"),0)-IFERROR((LEN($T496)-LEN(SUBSTITUTE($T496,"Quality of Works / Criteria of Failings:Compliant","")))/LEN("Quality of Works / Criteria of Failings:Compliant"),0))</f>
        <v/>
      </c>
      <c r="Z495" s="122">
        <f>IFERROR($Y496/MAX(1,(LEN($I496)-LEN(SUBSTITUTE($I496," Ltd","")))/LEN(" Ltd")),0)</f>
        <v/>
      </c>
      <c r="AA495" s="122">
        <f>IFERROR(IFERROR((LEN($T496)-LEN(SUBSTITUTE($T496,"Quality of Works / Criteria of Failings:","")))/LEN("Quality of Works / Criteria of Failings:"),0)/MAX(1,(LEN($I496)-LEN(SUBSTITUTE($I496," Ltd","")))/LEN(" Ltd")),0)</f>
        <v/>
      </c>
      <c r="AB495" s="122">
        <f>IFERROR(IFERROR((LEN($T496)-LEN(SUBSTITUTE($T496,"Quality of Works / Criteria of Failings:Compliant","")))/LEN("Quality of Works / Criteria of Failings:Compliant"),0)/MAX(1,(LEN($I496)-LEN(SUBSTITUTE($I496," Ltd","")))/LEN(" Ltd")),0)</f>
        <v/>
      </c>
    </row>
    <row r="496" ht="15.75" customHeight="1" s="146">
      <c r="Y496" s="122">
        <f>MAX(0,IFERROR((LEN($T497)-LEN(SUBSTITUTE($T497,"Quality of Works / Criteria of Failings:","")))/LEN("Quality of Works / Criteria of Failings:"),0)-IFERROR((LEN($T497)-LEN(SUBSTITUTE($T497,"Quality of Works / Criteria of Failings:Compliant","")))/LEN("Quality of Works / Criteria of Failings:Compliant"),0))</f>
        <v/>
      </c>
      <c r="Z496" s="122">
        <f>IFERROR($Y497/MAX(1,(LEN($I497)-LEN(SUBSTITUTE($I497," Ltd","")))/LEN(" Ltd")),0)</f>
        <v/>
      </c>
      <c r="AA496" s="122">
        <f>IFERROR(IFERROR((LEN($T497)-LEN(SUBSTITUTE($T497,"Quality of Works / Criteria of Failings:","")))/LEN("Quality of Works / Criteria of Failings:"),0)/MAX(1,(LEN($I497)-LEN(SUBSTITUTE($I497," Ltd","")))/LEN(" Ltd")),0)</f>
        <v/>
      </c>
      <c r="AB496" s="122">
        <f>IFERROR(IFERROR((LEN($T497)-LEN(SUBSTITUTE($T497,"Quality of Works / Criteria of Failings:Compliant","")))/LEN("Quality of Works / Criteria of Failings:Compliant"),0)/MAX(1,(LEN($I497)-LEN(SUBSTITUTE($I497," Ltd","")))/LEN(" Ltd")),0)</f>
        <v/>
      </c>
    </row>
    <row r="497" ht="15.75" customHeight="1" s="146">
      <c r="Y497" s="122">
        <f>MAX(0,IFERROR((LEN($T498)-LEN(SUBSTITUTE($T498,"Quality of Works / Criteria of Failings:","")))/LEN("Quality of Works / Criteria of Failings:"),0)-IFERROR((LEN($T498)-LEN(SUBSTITUTE($T498,"Quality of Works / Criteria of Failings:Compliant","")))/LEN("Quality of Works / Criteria of Failings:Compliant"),0))</f>
        <v/>
      </c>
      <c r="Z497" s="122">
        <f>IFERROR($Y498/MAX(1,(LEN($I498)-LEN(SUBSTITUTE($I498," Ltd","")))/LEN(" Ltd")),0)</f>
        <v/>
      </c>
      <c r="AA497" s="122">
        <f>IFERROR(IFERROR((LEN($T498)-LEN(SUBSTITUTE($T498,"Quality of Works / Criteria of Failings:","")))/LEN("Quality of Works / Criteria of Failings:"),0)/MAX(1,(LEN($I498)-LEN(SUBSTITUTE($I498," Ltd","")))/LEN(" Ltd")),0)</f>
        <v/>
      </c>
      <c r="AB497" s="122">
        <f>IFERROR(IFERROR((LEN($T498)-LEN(SUBSTITUTE($T498,"Quality of Works / Criteria of Failings:Compliant","")))/LEN("Quality of Works / Criteria of Failings:Compliant"),0)/MAX(1,(LEN($I498)-LEN(SUBSTITUTE($I498," Ltd","")))/LEN(" Ltd")),0)</f>
        <v/>
      </c>
    </row>
    <row r="498" ht="15.75" customHeight="1" s="146">
      <c r="Y498" s="122">
        <f>MAX(0,IFERROR((LEN($T499)-LEN(SUBSTITUTE($T499,"Quality of Works / Criteria of Failings:","")))/LEN("Quality of Works / Criteria of Failings:"),0)-IFERROR((LEN($T499)-LEN(SUBSTITUTE($T499,"Quality of Works / Criteria of Failings:Compliant","")))/LEN("Quality of Works / Criteria of Failings:Compliant"),0))</f>
        <v/>
      </c>
      <c r="Z498" s="122">
        <f>IFERROR($Y499/MAX(1,(LEN($I499)-LEN(SUBSTITUTE($I499," Ltd","")))/LEN(" Ltd")),0)</f>
        <v/>
      </c>
      <c r="AA498" s="122">
        <f>IFERROR(IFERROR((LEN($T499)-LEN(SUBSTITUTE($T499,"Quality of Works / Criteria of Failings:","")))/LEN("Quality of Works / Criteria of Failings:"),0)/MAX(1,(LEN($I499)-LEN(SUBSTITUTE($I499," Ltd","")))/LEN(" Ltd")),0)</f>
        <v/>
      </c>
      <c r="AB498" s="122">
        <f>IFERROR(IFERROR((LEN($T499)-LEN(SUBSTITUTE($T499,"Quality of Works / Criteria of Failings:Compliant","")))/LEN("Quality of Works / Criteria of Failings:Compliant"),0)/MAX(1,(LEN($I499)-LEN(SUBSTITUTE($I499," Ltd","")))/LEN(" Ltd")),0)</f>
        <v/>
      </c>
    </row>
    <row r="499" ht="15.75" customHeight="1" s="146">
      <c r="Y499" s="122">
        <f>MAX(0,IFERROR((LEN($T500)-LEN(SUBSTITUTE($T500,"Quality of Works / Criteria of Failings:","")))/LEN("Quality of Works / Criteria of Failings:"),0)-IFERROR((LEN($T500)-LEN(SUBSTITUTE($T500,"Quality of Works / Criteria of Failings:Compliant","")))/LEN("Quality of Works / Criteria of Failings:Compliant"),0))</f>
        <v/>
      </c>
      <c r="Z499" s="122">
        <f>IFERROR($Y500/MAX(1,(LEN($I500)-LEN(SUBSTITUTE($I500," Ltd","")))/LEN(" Ltd")),0)</f>
        <v/>
      </c>
      <c r="AA499" s="122">
        <f>IFERROR(IFERROR((LEN($T500)-LEN(SUBSTITUTE($T500,"Quality of Works / Criteria of Failings:","")))/LEN("Quality of Works / Criteria of Failings:"),0)/MAX(1,(LEN($I500)-LEN(SUBSTITUTE($I500," Ltd","")))/LEN(" Ltd")),0)</f>
        <v/>
      </c>
      <c r="AB499" s="122">
        <f>IFERROR(IFERROR((LEN($T500)-LEN(SUBSTITUTE($T500,"Quality of Works / Criteria of Failings:Compliant","")))/LEN("Quality of Works / Criteria of Failings:Compliant"),0)/MAX(1,(LEN($I500)-LEN(SUBSTITUTE($I500," Ltd","")))/LEN(" Ltd")),0)</f>
        <v/>
      </c>
    </row>
    <row r="500" ht="15.75" customHeight="1" s="146">
      <c r="Y500" s="122">
        <f>MAX(0,IFERROR((LEN($T501)-LEN(SUBSTITUTE($T501,"Quality of Works / Criteria of Failings:","")))/LEN("Quality of Works / Criteria of Failings:"),0)-IFERROR((LEN($T501)-LEN(SUBSTITUTE($T501,"Quality of Works / Criteria of Failings:Compliant","")))/LEN("Quality of Works / Criteria of Failings:Compliant"),0))</f>
        <v/>
      </c>
      <c r="Z500" s="122">
        <f>IFERROR($Y501/MAX(1,(LEN($I501)-LEN(SUBSTITUTE($I501," Ltd","")))/LEN(" Ltd")),0)</f>
        <v/>
      </c>
      <c r="AA500" s="122">
        <f>IFERROR(IFERROR((LEN($T501)-LEN(SUBSTITUTE($T501,"Quality of Works / Criteria of Failings:","")))/LEN("Quality of Works / Criteria of Failings:"),0)/MAX(1,(LEN($I501)-LEN(SUBSTITUTE($I501," Ltd","")))/LEN(" Ltd")),0)</f>
        <v/>
      </c>
      <c r="AB500" s="122">
        <f>IFERROR(IFERROR((LEN($T501)-LEN(SUBSTITUTE($T501,"Quality of Works / Criteria of Failings:Compliant","")))/LEN("Quality of Works / Criteria of Failings:Compliant"),0)/MAX(1,(LEN($I501)-LEN(SUBSTITUTE($I501," Ltd","")))/LEN(" Ltd")),0)</f>
        <v/>
      </c>
    </row>
    <row r="501" ht="15.75" customHeight="1" s="146">
      <c r="Y501" s="122">
        <f>MAX(0,IFERROR((LEN($T502)-LEN(SUBSTITUTE($T502,"Quality of Works / Criteria of Failings:","")))/LEN("Quality of Works / Criteria of Failings:"),0)-IFERROR((LEN($T502)-LEN(SUBSTITUTE($T502,"Quality of Works / Criteria of Failings:Compliant","")))/LEN("Quality of Works / Criteria of Failings:Compliant"),0))</f>
        <v/>
      </c>
      <c r="Z501" s="122">
        <f>IFERROR($Y502/MAX(1,(LEN($I502)-LEN(SUBSTITUTE($I502," Ltd","")))/LEN(" Ltd")),0)</f>
        <v/>
      </c>
      <c r="AA501" s="122">
        <f>IFERROR(IFERROR((LEN($T502)-LEN(SUBSTITUTE($T502,"Quality of Works / Criteria of Failings:","")))/LEN("Quality of Works / Criteria of Failings:"),0)/MAX(1,(LEN($I502)-LEN(SUBSTITUTE($I502," Ltd","")))/LEN(" Ltd")),0)</f>
        <v/>
      </c>
      <c r="AB501" s="122">
        <f>IFERROR(IFERROR((LEN($T502)-LEN(SUBSTITUTE($T502,"Quality of Works / Criteria of Failings:Compliant","")))/LEN("Quality of Works / Criteria of Failings:Compliant"),0)/MAX(1,(LEN($I502)-LEN(SUBSTITUTE($I502," Ltd","")))/LEN(" Ltd")),0)</f>
        <v/>
      </c>
    </row>
    <row r="502" ht="15.75" customHeight="1" s="146">
      <c r="Y502" s="122">
        <f>MAX(0,IFERROR((LEN($T503)-LEN(SUBSTITUTE($T503,"Quality of Works / Criteria of Failings:","")))/LEN("Quality of Works / Criteria of Failings:"),0)-IFERROR((LEN($T503)-LEN(SUBSTITUTE($T503,"Quality of Works / Criteria of Failings:Compliant","")))/LEN("Quality of Works / Criteria of Failings:Compliant"),0))</f>
        <v/>
      </c>
      <c r="Z502" s="122">
        <f>IFERROR($Y503/MAX(1,(LEN($I503)-LEN(SUBSTITUTE($I503," Ltd","")))/LEN(" Ltd")),0)</f>
        <v/>
      </c>
      <c r="AA502" s="122">
        <f>IFERROR(IFERROR((LEN($T503)-LEN(SUBSTITUTE($T503,"Quality of Works / Criteria of Failings:","")))/LEN("Quality of Works / Criteria of Failings:"),0)/MAX(1,(LEN($I503)-LEN(SUBSTITUTE($I503," Ltd","")))/LEN(" Ltd")),0)</f>
        <v/>
      </c>
      <c r="AB502" s="122">
        <f>IFERROR(IFERROR((LEN($T503)-LEN(SUBSTITUTE($T503,"Quality of Works / Criteria of Failings:Compliant","")))/LEN("Quality of Works / Criteria of Failings:Compliant"),0)/MAX(1,(LEN($I503)-LEN(SUBSTITUTE($I503," Ltd","")))/LEN(" Ltd")),0)</f>
        <v/>
      </c>
    </row>
    <row r="503" ht="15.75" customHeight="1" s="146">
      <c r="Y503" s="122">
        <f>MAX(0,IFERROR((LEN($T504)-LEN(SUBSTITUTE($T504,"Quality of Works / Criteria of Failings:","")))/LEN("Quality of Works / Criteria of Failings:"),0)-IFERROR((LEN($T504)-LEN(SUBSTITUTE($T504,"Quality of Works / Criteria of Failings:Compliant","")))/LEN("Quality of Works / Criteria of Failings:Compliant"),0))</f>
        <v/>
      </c>
      <c r="Z503" s="122">
        <f>IFERROR($Y504/MAX(1,(LEN($I504)-LEN(SUBSTITUTE($I504," Ltd","")))/LEN(" Ltd")),0)</f>
        <v/>
      </c>
      <c r="AA503" s="122">
        <f>IFERROR(IFERROR((LEN($T504)-LEN(SUBSTITUTE($T504,"Quality of Works / Criteria of Failings:","")))/LEN("Quality of Works / Criteria of Failings:"),0)/MAX(1,(LEN($I504)-LEN(SUBSTITUTE($I504," Ltd","")))/LEN(" Ltd")),0)</f>
        <v/>
      </c>
      <c r="AB503" s="122">
        <f>IFERROR(IFERROR((LEN($T504)-LEN(SUBSTITUTE($T504,"Quality of Works / Criteria of Failings:Compliant","")))/LEN("Quality of Works / Criteria of Failings:Compliant"),0)/MAX(1,(LEN($I504)-LEN(SUBSTITUTE($I504," Ltd","")))/LEN(" Ltd")),0)</f>
        <v/>
      </c>
    </row>
    <row r="504" ht="15.75" customHeight="1" s="146">
      <c r="Y504" s="122">
        <f>MAX(0,IFERROR((LEN($T505)-LEN(SUBSTITUTE($T505,"Quality of Works / Criteria of Failings:","")))/LEN("Quality of Works / Criteria of Failings:"),0)-IFERROR((LEN($T505)-LEN(SUBSTITUTE($T505,"Quality of Works / Criteria of Failings:Compliant","")))/LEN("Quality of Works / Criteria of Failings:Compliant"),0))</f>
        <v/>
      </c>
      <c r="Z504" s="122">
        <f>IFERROR($Y505/MAX(1,(LEN($I505)-LEN(SUBSTITUTE($I505," Ltd","")))/LEN(" Ltd")),0)</f>
        <v/>
      </c>
      <c r="AA504" s="122">
        <f>IFERROR(IFERROR((LEN($T505)-LEN(SUBSTITUTE($T505,"Quality of Works / Criteria of Failings:","")))/LEN("Quality of Works / Criteria of Failings:"),0)/MAX(1,(LEN($I505)-LEN(SUBSTITUTE($I505," Ltd","")))/LEN(" Ltd")),0)</f>
        <v/>
      </c>
      <c r="AB504" s="122">
        <f>IFERROR(IFERROR((LEN($T505)-LEN(SUBSTITUTE($T505,"Quality of Works / Criteria of Failings:Compliant","")))/LEN("Quality of Works / Criteria of Failings:Compliant"),0)/MAX(1,(LEN($I505)-LEN(SUBSTITUTE($I505," Ltd","")))/LEN(" Ltd")),0)</f>
        <v/>
      </c>
    </row>
    <row r="505" ht="15.75" customHeight="1" s="146">
      <c r="Y505" s="122">
        <f>MAX(0,IFERROR((LEN($T506)-LEN(SUBSTITUTE($T506,"Quality of Works / Criteria of Failings:","")))/LEN("Quality of Works / Criteria of Failings:"),0)-IFERROR((LEN($T506)-LEN(SUBSTITUTE($T506,"Quality of Works / Criteria of Failings:Compliant","")))/LEN("Quality of Works / Criteria of Failings:Compliant"),0))</f>
        <v/>
      </c>
      <c r="Z505" s="122">
        <f>IFERROR($Y506/MAX(1,(LEN($I506)-LEN(SUBSTITUTE($I506," Ltd","")))/LEN(" Ltd")),0)</f>
        <v/>
      </c>
      <c r="AA505" s="122">
        <f>IFERROR(IFERROR((LEN($T506)-LEN(SUBSTITUTE($T506,"Quality of Works / Criteria of Failings:","")))/LEN("Quality of Works / Criteria of Failings:"),0)/MAX(1,(LEN($I506)-LEN(SUBSTITUTE($I506," Ltd","")))/LEN(" Ltd")),0)</f>
        <v/>
      </c>
      <c r="AB505" s="122">
        <f>IFERROR(IFERROR((LEN($T506)-LEN(SUBSTITUTE($T506,"Quality of Works / Criteria of Failings:Compliant","")))/LEN("Quality of Works / Criteria of Failings:Compliant"),0)/MAX(1,(LEN($I506)-LEN(SUBSTITUTE($I506," Ltd","")))/LEN(" Ltd")),0)</f>
        <v/>
      </c>
    </row>
    <row r="506" ht="15.75" customHeight="1" s="146">
      <c r="Y506" s="122">
        <f>MAX(0,IFERROR((LEN($T507)-LEN(SUBSTITUTE($T507,"Quality of Works / Criteria of Failings:","")))/LEN("Quality of Works / Criteria of Failings:"),0)-IFERROR((LEN($T507)-LEN(SUBSTITUTE($T507,"Quality of Works / Criteria of Failings:Compliant","")))/LEN("Quality of Works / Criteria of Failings:Compliant"),0))</f>
        <v/>
      </c>
      <c r="Z506" s="122">
        <f>IFERROR($Y507/MAX(1,(LEN($I507)-LEN(SUBSTITUTE($I507," Ltd","")))/LEN(" Ltd")),0)</f>
        <v/>
      </c>
      <c r="AA506" s="122">
        <f>IFERROR(IFERROR((LEN($T507)-LEN(SUBSTITUTE($T507,"Quality of Works / Criteria of Failings:","")))/LEN("Quality of Works / Criteria of Failings:"),0)/MAX(1,(LEN($I507)-LEN(SUBSTITUTE($I507," Ltd","")))/LEN(" Ltd")),0)</f>
        <v/>
      </c>
      <c r="AB506" s="122">
        <f>IFERROR(IFERROR((LEN($T507)-LEN(SUBSTITUTE($T507,"Quality of Works / Criteria of Failings:Compliant","")))/LEN("Quality of Works / Criteria of Failings:Compliant"),0)/MAX(1,(LEN($I507)-LEN(SUBSTITUTE($I507," Ltd","")))/LEN(" Ltd")),0)</f>
        <v/>
      </c>
    </row>
    <row r="507" ht="15.75" customHeight="1" s="146">
      <c r="Y507" s="122">
        <f>MAX(0,IFERROR((LEN($T508)-LEN(SUBSTITUTE($T508,"Quality of Works / Criteria of Failings:","")))/LEN("Quality of Works / Criteria of Failings:"),0)-IFERROR((LEN($T508)-LEN(SUBSTITUTE($T508,"Quality of Works / Criteria of Failings:Compliant","")))/LEN("Quality of Works / Criteria of Failings:Compliant"),0))</f>
        <v/>
      </c>
      <c r="Z507" s="122">
        <f>IFERROR($Y508/MAX(1,(LEN($I508)-LEN(SUBSTITUTE($I508," Ltd","")))/LEN(" Ltd")),0)</f>
        <v/>
      </c>
      <c r="AA507" s="122">
        <f>IFERROR(IFERROR((LEN($T508)-LEN(SUBSTITUTE($T508,"Quality of Works / Criteria of Failings:","")))/LEN("Quality of Works / Criteria of Failings:"),0)/MAX(1,(LEN($I508)-LEN(SUBSTITUTE($I508," Ltd","")))/LEN(" Ltd")),0)</f>
        <v/>
      </c>
      <c r="AB507" s="122">
        <f>IFERROR(IFERROR((LEN($T508)-LEN(SUBSTITUTE($T508,"Quality of Works / Criteria of Failings:Compliant","")))/LEN("Quality of Works / Criteria of Failings:Compliant"),0)/MAX(1,(LEN($I508)-LEN(SUBSTITUTE($I508," Ltd","")))/LEN(" Ltd")),0)</f>
        <v/>
      </c>
    </row>
    <row r="508" ht="15.75" customHeight="1" s="146">
      <c r="Y508" s="122">
        <f>MAX(0,IFERROR((LEN($T509)-LEN(SUBSTITUTE($T509,"Quality of Works / Criteria of Failings:","")))/LEN("Quality of Works / Criteria of Failings:"),0)-IFERROR((LEN($T509)-LEN(SUBSTITUTE($T509,"Quality of Works / Criteria of Failings:Compliant","")))/LEN("Quality of Works / Criteria of Failings:Compliant"),0))</f>
        <v/>
      </c>
      <c r="Z508" s="122">
        <f>IFERROR($Y509/MAX(1,(LEN($I509)-LEN(SUBSTITUTE($I509," Ltd","")))/LEN(" Ltd")),0)</f>
        <v/>
      </c>
      <c r="AA508" s="122">
        <f>IFERROR(IFERROR((LEN($T509)-LEN(SUBSTITUTE($T509,"Quality of Works / Criteria of Failings:","")))/LEN("Quality of Works / Criteria of Failings:"),0)/MAX(1,(LEN($I509)-LEN(SUBSTITUTE($I509," Ltd","")))/LEN(" Ltd")),0)</f>
        <v/>
      </c>
      <c r="AB508" s="122">
        <f>IFERROR(IFERROR((LEN($T509)-LEN(SUBSTITUTE($T509,"Quality of Works / Criteria of Failings:Compliant","")))/LEN("Quality of Works / Criteria of Failings:Compliant"),0)/MAX(1,(LEN($I509)-LEN(SUBSTITUTE($I509," Ltd","")))/LEN(" Ltd")),0)</f>
        <v/>
      </c>
    </row>
    <row r="509" ht="15.75" customHeight="1" s="146">
      <c r="Y509" s="122">
        <f>MAX(0,IFERROR((LEN($T510)-LEN(SUBSTITUTE($T510,"Quality of Works / Criteria of Failings:","")))/LEN("Quality of Works / Criteria of Failings:"),0)-IFERROR((LEN($T510)-LEN(SUBSTITUTE($T510,"Quality of Works / Criteria of Failings:Compliant","")))/LEN("Quality of Works / Criteria of Failings:Compliant"),0))</f>
        <v/>
      </c>
      <c r="Z509" s="122">
        <f>IFERROR($Y510/MAX(1,(LEN($I510)-LEN(SUBSTITUTE($I510," Ltd","")))/LEN(" Ltd")),0)</f>
        <v/>
      </c>
      <c r="AA509" s="122">
        <f>IFERROR(IFERROR((LEN($T510)-LEN(SUBSTITUTE($T510,"Quality of Works / Criteria of Failings:","")))/LEN("Quality of Works / Criteria of Failings:"),0)/MAX(1,(LEN($I510)-LEN(SUBSTITUTE($I510," Ltd","")))/LEN(" Ltd")),0)</f>
        <v/>
      </c>
      <c r="AB509" s="122">
        <f>IFERROR(IFERROR((LEN($T510)-LEN(SUBSTITUTE($T510,"Quality of Works / Criteria of Failings:Compliant","")))/LEN("Quality of Works / Criteria of Failings:Compliant"),0)/MAX(1,(LEN($I510)-LEN(SUBSTITUTE($I510," Ltd","")))/LEN(" Ltd")),0)</f>
        <v/>
      </c>
    </row>
    <row r="510" ht="15.75" customHeight="1" s="146">
      <c r="Y510" s="122">
        <f>MAX(0,IFERROR((LEN($T511)-LEN(SUBSTITUTE($T511,"Quality of Works / Criteria of Failings:","")))/LEN("Quality of Works / Criteria of Failings:"),0)-IFERROR((LEN($T511)-LEN(SUBSTITUTE($T511,"Quality of Works / Criteria of Failings:Compliant","")))/LEN("Quality of Works / Criteria of Failings:Compliant"),0))</f>
        <v/>
      </c>
      <c r="Z510" s="122">
        <f>IFERROR($Y511/MAX(1,(LEN($I511)-LEN(SUBSTITUTE($I511," Ltd","")))/LEN(" Ltd")),0)</f>
        <v/>
      </c>
      <c r="AA510" s="122">
        <f>IFERROR(IFERROR((LEN($T511)-LEN(SUBSTITUTE($T511,"Quality of Works / Criteria of Failings:","")))/LEN("Quality of Works / Criteria of Failings:"),0)/MAX(1,(LEN($I511)-LEN(SUBSTITUTE($I511," Ltd","")))/LEN(" Ltd")),0)</f>
        <v/>
      </c>
      <c r="AB510" s="122">
        <f>IFERROR(IFERROR((LEN($T511)-LEN(SUBSTITUTE($T511,"Quality of Works / Criteria of Failings:Compliant","")))/LEN("Quality of Works / Criteria of Failings:Compliant"),0)/MAX(1,(LEN($I511)-LEN(SUBSTITUTE($I511," Ltd","")))/LEN(" Ltd")),0)</f>
        <v/>
      </c>
    </row>
    <row r="511" ht="15.75" customHeight="1" s="146">
      <c r="Y511" s="122">
        <f>MAX(0,IFERROR((LEN($T512)-LEN(SUBSTITUTE($T512,"Quality of Works / Criteria of Failings:","")))/LEN("Quality of Works / Criteria of Failings:"),0)-IFERROR((LEN($T512)-LEN(SUBSTITUTE($T512,"Quality of Works / Criteria of Failings:Compliant","")))/LEN("Quality of Works / Criteria of Failings:Compliant"),0))</f>
        <v/>
      </c>
      <c r="Z511" s="122">
        <f>IFERROR($Y512/MAX(1,(LEN($I512)-LEN(SUBSTITUTE($I512," Ltd","")))/LEN(" Ltd")),0)</f>
        <v/>
      </c>
      <c r="AA511" s="122">
        <f>IFERROR(IFERROR((LEN($T512)-LEN(SUBSTITUTE($T512,"Quality of Works / Criteria of Failings:","")))/LEN("Quality of Works / Criteria of Failings:"),0)/MAX(1,(LEN($I512)-LEN(SUBSTITUTE($I512," Ltd","")))/LEN(" Ltd")),0)</f>
        <v/>
      </c>
      <c r="AB511" s="122">
        <f>IFERROR(IFERROR((LEN($T512)-LEN(SUBSTITUTE($T512,"Quality of Works / Criteria of Failings:Compliant","")))/LEN("Quality of Works / Criteria of Failings:Compliant"),0)/MAX(1,(LEN($I512)-LEN(SUBSTITUTE($I512," Ltd","")))/LEN(" Ltd")),0)</f>
        <v/>
      </c>
    </row>
    <row r="512" ht="15.75" customHeight="1" s="146">
      <c r="Y512" s="122">
        <f>MAX(0,IFERROR((LEN($T513)-LEN(SUBSTITUTE($T513,"Quality of Works / Criteria of Failings:","")))/LEN("Quality of Works / Criteria of Failings:"),0)-IFERROR((LEN($T513)-LEN(SUBSTITUTE($T513,"Quality of Works / Criteria of Failings:Compliant","")))/LEN("Quality of Works / Criteria of Failings:Compliant"),0))</f>
        <v/>
      </c>
      <c r="Z512" s="122">
        <f>IFERROR($Y513/MAX(1,(LEN($I513)-LEN(SUBSTITUTE($I513," Ltd","")))/LEN(" Ltd")),0)</f>
        <v/>
      </c>
      <c r="AA512" s="122">
        <f>IFERROR(IFERROR((LEN($T513)-LEN(SUBSTITUTE($T513,"Quality of Works / Criteria of Failings:","")))/LEN("Quality of Works / Criteria of Failings:"),0)/MAX(1,(LEN($I513)-LEN(SUBSTITUTE($I513," Ltd","")))/LEN(" Ltd")),0)</f>
        <v/>
      </c>
      <c r="AB512" s="122">
        <f>IFERROR(IFERROR((LEN($T513)-LEN(SUBSTITUTE($T513,"Quality of Works / Criteria of Failings:Compliant","")))/LEN("Quality of Works / Criteria of Failings:Compliant"),0)/MAX(1,(LEN($I513)-LEN(SUBSTITUTE($I513," Ltd","")))/LEN(" Ltd")),0)</f>
        <v/>
      </c>
    </row>
    <row r="513" ht="15.75" customHeight="1" s="146">
      <c r="Y513" s="122">
        <f>MAX(0,IFERROR((LEN($T514)-LEN(SUBSTITUTE($T514,"Quality of Works / Criteria of Failings:","")))/LEN("Quality of Works / Criteria of Failings:"),0)-IFERROR((LEN($T514)-LEN(SUBSTITUTE($T514,"Quality of Works / Criteria of Failings:Compliant","")))/LEN("Quality of Works / Criteria of Failings:Compliant"),0))</f>
        <v/>
      </c>
      <c r="Z513" s="122">
        <f>IFERROR($Y514/MAX(1,(LEN($I514)-LEN(SUBSTITUTE($I514," Ltd","")))/LEN(" Ltd")),0)</f>
        <v/>
      </c>
      <c r="AA513" s="122">
        <f>IFERROR(IFERROR((LEN($T514)-LEN(SUBSTITUTE($T514,"Quality of Works / Criteria of Failings:","")))/LEN("Quality of Works / Criteria of Failings:"),0)/MAX(1,(LEN($I514)-LEN(SUBSTITUTE($I514," Ltd","")))/LEN(" Ltd")),0)</f>
        <v/>
      </c>
      <c r="AB513" s="122">
        <f>IFERROR(IFERROR((LEN($T514)-LEN(SUBSTITUTE($T514,"Quality of Works / Criteria of Failings:Compliant","")))/LEN("Quality of Works / Criteria of Failings:Compliant"),0)/MAX(1,(LEN($I514)-LEN(SUBSTITUTE($I514," Ltd","")))/LEN(" Ltd")),0)</f>
        <v/>
      </c>
    </row>
    <row r="514" ht="15.75" customHeight="1" s="146">
      <c r="Y514" s="122">
        <f>MAX(0,IFERROR((LEN($T515)-LEN(SUBSTITUTE($T515,"Quality of Works / Criteria of Failings:","")))/LEN("Quality of Works / Criteria of Failings:"),0)-IFERROR((LEN($T515)-LEN(SUBSTITUTE($T515,"Quality of Works / Criteria of Failings:Compliant","")))/LEN("Quality of Works / Criteria of Failings:Compliant"),0))</f>
        <v/>
      </c>
      <c r="Z514" s="122">
        <f>IFERROR($Y515/MAX(1,(LEN($I515)-LEN(SUBSTITUTE($I515," Ltd","")))/LEN(" Ltd")),0)</f>
        <v/>
      </c>
      <c r="AA514" s="122">
        <f>IFERROR(IFERROR((LEN($T515)-LEN(SUBSTITUTE($T515,"Quality of Works / Criteria of Failings:","")))/LEN("Quality of Works / Criteria of Failings:"),0)/MAX(1,(LEN($I515)-LEN(SUBSTITUTE($I515," Ltd","")))/LEN(" Ltd")),0)</f>
        <v/>
      </c>
      <c r="AB514" s="122">
        <f>IFERROR(IFERROR((LEN($T515)-LEN(SUBSTITUTE($T515,"Quality of Works / Criteria of Failings:Compliant","")))/LEN("Quality of Works / Criteria of Failings:Compliant"),0)/MAX(1,(LEN($I515)-LEN(SUBSTITUTE($I515," Ltd","")))/LEN(" Ltd")),0)</f>
        <v/>
      </c>
    </row>
    <row r="515" ht="15.75" customHeight="1" s="146">
      <c r="Y515" s="122">
        <f>MAX(0,IFERROR((LEN($T516)-LEN(SUBSTITUTE($T516,"Quality of Works / Criteria of Failings:","")))/LEN("Quality of Works / Criteria of Failings:"),0)-IFERROR((LEN($T516)-LEN(SUBSTITUTE($T516,"Quality of Works / Criteria of Failings:Compliant","")))/LEN("Quality of Works / Criteria of Failings:Compliant"),0))</f>
        <v/>
      </c>
      <c r="Z515" s="122">
        <f>IFERROR($Y516/MAX(1,(LEN($I516)-LEN(SUBSTITUTE($I516," Ltd","")))/LEN(" Ltd")),0)</f>
        <v/>
      </c>
      <c r="AA515" s="122">
        <f>IFERROR(IFERROR((LEN($T516)-LEN(SUBSTITUTE($T516,"Quality of Works / Criteria of Failings:","")))/LEN("Quality of Works / Criteria of Failings:"),0)/MAX(1,(LEN($I516)-LEN(SUBSTITUTE($I516," Ltd","")))/LEN(" Ltd")),0)</f>
        <v/>
      </c>
      <c r="AB515" s="122">
        <f>IFERROR(IFERROR((LEN($T516)-LEN(SUBSTITUTE($T516,"Quality of Works / Criteria of Failings:Compliant","")))/LEN("Quality of Works / Criteria of Failings:Compliant"),0)/MAX(1,(LEN($I516)-LEN(SUBSTITUTE($I516," Ltd","")))/LEN(" Ltd")),0)</f>
        <v/>
      </c>
    </row>
    <row r="516" ht="15.75" customHeight="1" s="146">
      <c r="Y516" s="122">
        <f>MAX(0,IFERROR((LEN($T517)-LEN(SUBSTITUTE($T517,"Quality of Works / Criteria of Failings:","")))/LEN("Quality of Works / Criteria of Failings:"),0)-IFERROR((LEN($T517)-LEN(SUBSTITUTE($T517,"Quality of Works / Criteria of Failings:Compliant","")))/LEN("Quality of Works / Criteria of Failings:Compliant"),0))</f>
        <v/>
      </c>
      <c r="Z516" s="122">
        <f>IFERROR($Y517/MAX(1,(LEN($I517)-LEN(SUBSTITUTE($I517," Ltd","")))/LEN(" Ltd")),0)</f>
        <v/>
      </c>
      <c r="AA516" s="122">
        <f>IFERROR(IFERROR((LEN($T517)-LEN(SUBSTITUTE($T517,"Quality of Works / Criteria of Failings:","")))/LEN("Quality of Works / Criteria of Failings:"),0)/MAX(1,(LEN($I517)-LEN(SUBSTITUTE($I517," Ltd","")))/LEN(" Ltd")),0)</f>
        <v/>
      </c>
      <c r="AB516" s="122">
        <f>IFERROR(IFERROR((LEN($T517)-LEN(SUBSTITUTE($T517,"Quality of Works / Criteria of Failings:Compliant","")))/LEN("Quality of Works / Criteria of Failings:Compliant"),0)/MAX(1,(LEN($I517)-LEN(SUBSTITUTE($I517," Ltd","")))/LEN(" Ltd")),0)</f>
        <v/>
      </c>
    </row>
    <row r="517" ht="15.75" customHeight="1" s="146">
      <c r="Y517" s="122">
        <f>MAX(0,IFERROR((LEN($T518)-LEN(SUBSTITUTE($T518,"Quality of Works / Criteria of Failings:","")))/LEN("Quality of Works / Criteria of Failings:"),0)-IFERROR((LEN($T518)-LEN(SUBSTITUTE($T518,"Quality of Works / Criteria of Failings:Compliant","")))/LEN("Quality of Works / Criteria of Failings:Compliant"),0))</f>
        <v/>
      </c>
      <c r="Z517" s="122">
        <f>IFERROR($Y518/MAX(1,(LEN($I518)-LEN(SUBSTITUTE($I518," Ltd","")))/LEN(" Ltd")),0)</f>
        <v/>
      </c>
      <c r="AA517" s="122">
        <f>IFERROR(IFERROR((LEN($T518)-LEN(SUBSTITUTE($T518,"Quality of Works / Criteria of Failings:","")))/LEN("Quality of Works / Criteria of Failings:"),0)/MAX(1,(LEN($I518)-LEN(SUBSTITUTE($I518," Ltd","")))/LEN(" Ltd")),0)</f>
        <v/>
      </c>
      <c r="AB517" s="122">
        <f>IFERROR(IFERROR((LEN($T518)-LEN(SUBSTITUTE($T518,"Quality of Works / Criteria of Failings:Compliant","")))/LEN("Quality of Works / Criteria of Failings:Compliant"),0)/MAX(1,(LEN($I518)-LEN(SUBSTITUTE($I518," Ltd","")))/LEN(" Ltd")),0)</f>
        <v/>
      </c>
    </row>
    <row r="518" ht="15.75" customHeight="1" s="146">
      <c r="Y518" s="122">
        <f>MAX(0,IFERROR((LEN($T519)-LEN(SUBSTITUTE($T519,"Quality of Works / Criteria of Failings:","")))/LEN("Quality of Works / Criteria of Failings:"),0)-IFERROR((LEN($T519)-LEN(SUBSTITUTE($T519,"Quality of Works / Criteria of Failings:Compliant","")))/LEN("Quality of Works / Criteria of Failings:Compliant"),0))</f>
        <v/>
      </c>
      <c r="Z518" s="122">
        <f>IFERROR($Y519/MAX(1,(LEN($I519)-LEN(SUBSTITUTE($I519," Ltd","")))/LEN(" Ltd")),0)</f>
        <v/>
      </c>
      <c r="AA518" s="122">
        <f>IFERROR(IFERROR((LEN($T519)-LEN(SUBSTITUTE($T519,"Quality of Works / Criteria of Failings:","")))/LEN("Quality of Works / Criteria of Failings:"),0)/MAX(1,(LEN($I519)-LEN(SUBSTITUTE($I519," Ltd","")))/LEN(" Ltd")),0)</f>
        <v/>
      </c>
      <c r="AB518" s="122">
        <f>IFERROR(IFERROR((LEN($T519)-LEN(SUBSTITUTE($T519,"Quality of Works / Criteria of Failings:Compliant","")))/LEN("Quality of Works / Criteria of Failings:Compliant"),0)/MAX(1,(LEN($I519)-LEN(SUBSTITUTE($I519," Ltd","")))/LEN(" Ltd")),0)</f>
        <v/>
      </c>
    </row>
    <row r="519" ht="15.75" customHeight="1" s="146">
      <c r="Y519" s="122">
        <f>MAX(0,IFERROR((LEN($T520)-LEN(SUBSTITUTE($T520,"Quality of Works / Criteria of Failings:","")))/LEN("Quality of Works / Criteria of Failings:"),0)-IFERROR((LEN($T520)-LEN(SUBSTITUTE($T520,"Quality of Works / Criteria of Failings:Compliant","")))/LEN("Quality of Works / Criteria of Failings:Compliant"),0))</f>
        <v/>
      </c>
      <c r="Z519" s="122">
        <f>IFERROR($Y520/MAX(1,(LEN($I520)-LEN(SUBSTITUTE($I520," Ltd","")))/LEN(" Ltd")),0)</f>
        <v/>
      </c>
      <c r="AA519" s="122">
        <f>IFERROR(IFERROR((LEN($T520)-LEN(SUBSTITUTE($T520,"Quality of Works / Criteria of Failings:","")))/LEN("Quality of Works / Criteria of Failings:"),0)/MAX(1,(LEN($I520)-LEN(SUBSTITUTE($I520," Ltd","")))/LEN(" Ltd")),0)</f>
        <v/>
      </c>
      <c r="AB519" s="122">
        <f>IFERROR(IFERROR((LEN($T520)-LEN(SUBSTITUTE($T520,"Quality of Works / Criteria of Failings:Compliant","")))/LEN("Quality of Works / Criteria of Failings:Compliant"),0)/MAX(1,(LEN($I520)-LEN(SUBSTITUTE($I520," Ltd","")))/LEN(" Ltd")),0)</f>
        <v/>
      </c>
    </row>
    <row r="520" ht="15.75" customHeight="1" s="146">
      <c r="Y520" s="122">
        <f>MAX(0,IFERROR((LEN($T521)-LEN(SUBSTITUTE($T521,"Quality of Works / Criteria of Failings:","")))/LEN("Quality of Works / Criteria of Failings:"),0)-IFERROR((LEN($T521)-LEN(SUBSTITUTE($T521,"Quality of Works / Criteria of Failings:Compliant","")))/LEN("Quality of Works / Criteria of Failings:Compliant"),0))</f>
        <v/>
      </c>
      <c r="Z520" s="122">
        <f>IFERROR($Y521/MAX(1,(LEN($I521)-LEN(SUBSTITUTE($I521," Ltd","")))/LEN(" Ltd")),0)</f>
        <v/>
      </c>
      <c r="AA520" s="122">
        <f>IFERROR(IFERROR((LEN($T521)-LEN(SUBSTITUTE($T521,"Quality of Works / Criteria of Failings:","")))/LEN("Quality of Works / Criteria of Failings:"),0)/MAX(1,(LEN($I521)-LEN(SUBSTITUTE($I521," Ltd","")))/LEN(" Ltd")),0)</f>
        <v/>
      </c>
      <c r="AB520" s="122">
        <f>IFERROR(IFERROR((LEN($T521)-LEN(SUBSTITUTE($T521,"Quality of Works / Criteria of Failings:Compliant","")))/LEN("Quality of Works / Criteria of Failings:Compliant"),0)/MAX(1,(LEN($I521)-LEN(SUBSTITUTE($I521," Ltd","")))/LEN(" Ltd")),0)</f>
        <v/>
      </c>
    </row>
    <row r="521" ht="15.75" customHeight="1" s="146">
      <c r="Y521" s="122">
        <f>MAX(0,IFERROR((LEN($T522)-LEN(SUBSTITUTE($T522,"Quality of Works / Criteria of Failings:","")))/LEN("Quality of Works / Criteria of Failings:"),0)-IFERROR((LEN($T522)-LEN(SUBSTITUTE($T522,"Quality of Works / Criteria of Failings:Compliant","")))/LEN("Quality of Works / Criteria of Failings:Compliant"),0))</f>
        <v/>
      </c>
      <c r="Z521" s="122">
        <f>IFERROR($Y522/MAX(1,(LEN($I522)-LEN(SUBSTITUTE($I522," Ltd","")))/LEN(" Ltd")),0)</f>
        <v/>
      </c>
      <c r="AA521" s="122">
        <f>IFERROR(IFERROR((LEN($T522)-LEN(SUBSTITUTE($T522,"Quality of Works / Criteria of Failings:","")))/LEN("Quality of Works / Criteria of Failings:"),0)/MAX(1,(LEN($I522)-LEN(SUBSTITUTE($I522," Ltd","")))/LEN(" Ltd")),0)</f>
        <v/>
      </c>
      <c r="AB521" s="122">
        <f>IFERROR(IFERROR((LEN($T522)-LEN(SUBSTITUTE($T522,"Quality of Works / Criteria of Failings:Compliant","")))/LEN("Quality of Works / Criteria of Failings:Compliant"),0)/MAX(1,(LEN($I522)-LEN(SUBSTITUTE($I522," Ltd","")))/LEN(" Ltd")),0)</f>
        <v/>
      </c>
    </row>
    <row r="522" ht="15.75" customHeight="1" s="146">
      <c r="Y522" s="122">
        <f>MAX(0,IFERROR((LEN($T523)-LEN(SUBSTITUTE($T523,"Quality of Works / Criteria of Failings:","")))/LEN("Quality of Works / Criteria of Failings:"),0)-IFERROR((LEN($T523)-LEN(SUBSTITUTE($T523,"Quality of Works / Criteria of Failings:Compliant","")))/LEN("Quality of Works / Criteria of Failings:Compliant"),0))</f>
        <v/>
      </c>
      <c r="Z522" s="122">
        <f>IFERROR($Y523/MAX(1,(LEN($I523)-LEN(SUBSTITUTE($I523," Ltd","")))/LEN(" Ltd")),0)</f>
        <v/>
      </c>
      <c r="AA522" s="122">
        <f>IFERROR(IFERROR((LEN($T523)-LEN(SUBSTITUTE($T523,"Quality of Works / Criteria of Failings:","")))/LEN("Quality of Works / Criteria of Failings:"),0)/MAX(1,(LEN($I523)-LEN(SUBSTITUTE($I523," Ltd","")))/LEN(" Ltd")),0)</f>
        <v/>
      </c>
      <c r="AB522" s="122">
        <f>IFERROR(IFERROR((LEN($T523)-LEN(SUBSTITUTE($T523,"Quality of Works / Criteria of Failings:Compliant","")))/LEN("Quality of Works / Criteria of Failings:Compliant"),0)/MAX(1,(LEN($I523)-LEN(SUBSTITUTE($I523," Ltd","")))/LEN(" Ltd")),0)</f>
        <v/>
      </c>
    </row>
    <row r="523" ht="15.75" customHeight="1" s="146">
      <c r="Y523" s="122">
        <f>MAX(0,IFERROR((LEN($T524)-LEN(SUBSTITUTE($T524,"Quality of Works / Criteria of Failings:","")))/LEN("Quality of Works / Criteria of Failings:"),0)-IFERROR((LEN($T524)-LEN(SUBSTITUTE($T524,"Quality of Works / Criteria of Failings:Compliant","")))/LEN("Quality of Works / Criteria of Failings:Compliant"),0))</f>
        <v/>
      </c>
      <c r="Z523" s="122">
        <f>IFERROR($Y524/MAX(1,(LEN($I524)-LEN(SUBSTITUTE($I524," Ltd","")))/LEN(" Ltd")),0)</f>
        <v/>
      </c>
      <c r="AA523" s="122">
        <f>IFERROR(IFERROR((LEN($T524)-LEN(SUBSTITUTE($T524,"Quality of Works / Criteria of Failings:","")))/LEN("Quality of Works / Criteria of Failings:"),0)/MAX(1,(LEN($I524)-LEN(SUBSTITUTE($I524," Ltd","")))/LEN(" Ltd")),0)</f>
        <v/>
      </c>
      <c r="AB523" s="122">
        <f>IFERROR(IFERROR((LEN($T524)-LEN(SUBSTITUTE($T524,"Quality of Works / Criteria of Failings:Compliant","")))/LEN("Quality of Works / Criteria of Failings:Compliant"),0)/MAX(1,(LEN($I524)-LEN(SUBSTITUTE($I524," Ltd","")))/LEN(" Ltd")),0)</f>
        <v/>
      </c>
    </row>
    <row r="524" ht="15.75" customHeight="1" s="146">
      <c r="Y524" s="122">
        <f>MAX(0,IFERROR((LEN($T525)-LEN(SUBSTITUTE($T525,"Quality of Works / Criteria of Failings:","")))/LEN("Quality of Works / Criteria of Failings:"),0)-IFERROR((LEN($T525)-LEN(SUBSTITUTE($T525,"Quality of Works / Criteria of Failings:Compliant","")))/LEN("Quality of Works / Criteria of Failings:Compliant"),0))</f>
        <v/>
      </c>
      <c r="Z524" s="122">
        <f>IFERROR($Y525/MAX(1,(LEN($I525)-LEN(SUBSTITUTE($I525," Ltd","")))/LEN(" Ltd")),0)</f>
        <v/>
      </c>
      <c r="AA524" s="122">
        <f>IFERROR(IFERROR((LEN($T525)-LEN(SUBSTITUTE($T525,"Quality of Works / Criteria of Failings:","")))/LEN("Quality of Works / Criteria of Failings:"),0)/MAX(1,(LEN($I525)-LEN(SUBSTITUTE($I525," Ltd","")))/LEN(" Ltd")),0)</f>
        <v/>
      </c>
      <c r="AB524" s="122">
        <f>IFERROR(IFERROR((LEN($T525)-LEN(SUBSTITUTE($T525,"Quality of Works / Criteria of Failings:Compliant","")))/LEN("Quality of Works / Criteria of Failings:Compliant"),0)/MAX(1,(LEN($I525)-LEN(SUBSTITUTE($I525," Ltd","")))/LEN(" Ltd")),0)</f>
        <v/>
      </c>
    </row>
    <row r="525" ht="15.75" customHeight="1" s="146">
      <c r="Y525" s="122">
        <f>MAX(0,IFERROR((LEN($T526)-LEN(SUBSTITUTE($T526,"Quality of Works / Criteria of Failings:","")))/LEN("Quality of Works / Criteria of Failings:"),0)-IFERROR((LEN($T526)-LEN(SUBSTITUTE($T526,"Quality of Works / Criteria of Failings:Compliant","")))/LEN("Quality of Works / Criteria of Failings:Compliant"),0))</f>
        <v/>
      </c>
      <c r="Z525" s="122">
        <f>IFERROR($Y526/MAX(1,(LEN($I526)-LEN(SUBSTITUTE($I526," Ltd","")))/LEN(" Ltd")),0)</f>
        <v/>
      </c>
      <c r="AA525" s="122">
        <f>IFERROR(IFERROR((LEN($T526)-LEN(SUBSTITUTE($T526,"Quality of Works / Criteria of Failings:","")))/LEN("Quality of Works / Criteria of Failings:"),0)/MAX(1,(LEN($I526)-LEN(SUBSTITUTE($I526," Ltd","")))/LEN(" Ltd")),0)</f>
        <v/>
      </c>
      <c r="AB525" s="122">
        <f>IFERROR(IFERROR((LEN($T526)-LEN(SUBSTITUTE($T526,"Quality of Works / Criteria of Failings:Compliant","")))/LEN("Quality of Works / Criteria of Failings:Compliant"),0)/MAX(1,(LEN($I526)-LEN(SUBSTITUTE($I526," Ltd","")))/LEN(" Ltd")),0)</f>
        <v/>
      </c>
    </row>
    <row r="526" ht="15.75" customHeight="1" s="146">
      <c r="Y526" s="122">
        <f>MAX(0,IFERROR((LEN($T527)-LEN(SUBSTITUTE($T527,"Quality of Works / Criteria of Failings:","")))/LEN("Quality of Works / Criteria of Failings:"),0)-IFERROR((LEN($T527)-LEN(SUBSTITUTE($T527,"Quality of Works / Criteria of Failings:Compliant","")))/LEN("Quality of Works / Criteria of Failings:Compliant"),0))</f>
        <v/>
      </c>
      <c r="Z526" s="122">
        <f>IFERROR($Y527/MAX(1,(LEN($I527)-LEN(SUBSTITUTE($I527," Ltd","")))/LEN(" Ltd")),0)</f>
        <v/>
      </c>
      <c r="AA526" s="122">
        <f>IFERROR(IFERROR((LEN($T527)-LEN(SUBSTITUTE($T527,"Quality of Works / Criteria of Failings:","")))/LEN("Quality of Works / Criteria of Failings:"),0)/MAX(1,(LEN($I527)-LEN(SUBSTITUTE($I527," Ltd","")))/LEN(" Ltd")),0)</f>
        <v/>
      </c>
      <c r="AB526" s="122">
        <f>IFERROR(IFERROR((LEN($T527)-LEN(SUBSTITUTE($T527,"Quality of Works / Criteria of Failings:Compliant","")))/LEN("Quality of Works / Criteria of Failings:Compliant"),0)/MAX(1,(LEN($I527)-LEN(SUBSTITUTE($I527," Ltd","")))/LEN(" Ltd")),0)</f>
        <v/>
      </c>
    </row>
    <row r="527" ht="15.75" customHeight="1" s="146">
      <c r="Y527" s="122">
        <f>MAX(0,IFERROR((LEN($T528)-LEN(SUBSTITUTE($T528,"Quality of Works / Criteria of Failings:","")))/LEN("Quality of Works / Criteria of Failings:"),0)-IFERROR((LEN($T528)-LEN(SUBSTITUTE($T528,"Quality of Works / Criteria of Failings:Compliant","")))/LEN("Quality of Works / Criteria of Failings:Compliant"),0))</f>
        <v/>
      </c>
      <c r="Z527" s="122">
        <f>IFERROR($Y528/MAX(1,(LEN($I528)-LEN(SUBSTITUTE($I528," Ltd","")))/LEN(" Ltd")),0)</f>
        <v/>
      </c>
      <c r="AA527" s="122">
        <f>IFERROR(IFERROR((LEN($T528)-LEN(SUBSTITUTE($T528,"Quality of Works / Criteria of Failings:","")))/LEN("Quality of Works / Criteria of Failings:"),0)/MAX(1,(LEN($I528)-LEN(SUBSTITUTE($I528," Ltd","")))/LEN(" Ltd")),0)</f>
        <v/>
      </c>
      <c r="AB527" s="122">
        <f>IFERROR(IFERROR((LEN($T528)-LEN(SUBSTITUTE($T528,"Quality of Works / Criteria of Failings:Compliant","")))/LEN("Quality of Works / Criteria of Failings:Compliant"),0)/MAX(1,(LEN($I528)-LEN(SUBSTITUTE($I528," Ltd","")))/LEN(" Ltd")),0)</f>
        <v/>
      </c>
    </row>
    <row r="528" ht="15.75" customHeight="1" s="146">
      <c r="Y528" s="122">
        <f>MAX(0,IFERROR((LEN($T529)-LEN(SUBSTITUTE($T529,"Quality of Works / Criteria of Failings:","")))/LEN("Quality of Works / Criteria of Failings:"),0)-IFERROR((LEN($T529)-LEN(SUBSTITUTE($T529,"Quality of Works / Criteria of Failings:Compliant","")))/LEN("Quality of Works / Criteria of Failings:Compliant"),0))</f>
        <v/>
      </c>
      <c r="Z528" s="122">
        <f>IFERROR($Y529/MAX(1,(LEN($I529)-LEN(SUBSTITUTE($I529," Ltd","")))/LEN(" Ltd")),0)</f>
        <v/>
      </c>
      <c r="AA528" s="122">
        <f>IFERROR(IFERROR((LEN($T529)-LEN(SUBSTITUTE($T529,"Quality of Works / Criteria of Failings:","")))/LEN("Quality of Works / Criteria of Failings:"),0)/MAX(1,(LEN($I529)-LEN(SUBSTITUTE($I529," Ltd","")))/LEN(" Ltd")),0)</f>
        <v/>
      </c>
      <c r="AB528" s="122">
        <f>IFERROR(IFERROR((LEN($T529)-LEN(SUBSTITUTE($T529,"Quality of Works / Criteria of Failings:Compliant","")))/LEN("Quality of Works / Criteria of Failings:Compliant"),0)/MAX(1,(LEN($I529)-LEN(SUBSTITUTE($I529," Ltd","")))/LEN(" Ltd")),0)</f>
        <v/>
      </c>
    </row>
    <row r="529" ht="15.75" customHeight="1" s="146">
      <c r="Y529" s="122">
        <f>MAX(0,IFERROR((LEN($T530)-LEN(SUBSTITUTE($T530,"Quality of Works / Criteria of Failings:","")))/LEN("Quality of Works / Criteria of Failings:"),0)-IFERROR((LEN($T530)-LEN(SUBSTITUTE($T530,"Quality of Works / Criteria of Failings:Compliant","")))/LEN("Quality of Works / Criteria of Failings:Compliant"),0))</f>
        <v/>
      </c>
      <c r="Z529" s="122">
        <f>IFERROR($Y530/MAX(1,(LEN($I530)-LEN(SUBSTITUTE($I530," Ltd","")))/LEN(" Ltd")),0)</f>
        <v/>
      </c>
      <c r="AA529" s="122">
        <f>IFERROR(IFERROR((LEN($T530)-LEN(SUBSTITUTE($T530,"Quality of Works / Criteria of Failings:","")))/LEN("Quality of Works / Criteria of Failings:"),0)/MAX(1,(LEN($I530)-LEN(SUBSTITUTE($I530," Ltd","")))/LEN(" Ltd")),0)</f>
        <v/>
      </c>
      <c r="AB529" s="122">
        <f>IFERROR(IFERROR((LEN($T530)-LEN(SUBSTITUTE($T530,"Quality of Works / Criteria of Failings:Compliant","")))/LEN("Quality of Works / Criteria of Failings:Compliant"),0)/MAX(1,(LEN($I530)-LEN(SUBSTITUTE($I530," Ltd","")))/LEN(" Ltd")),0)</f>
        <v/>
      </c>
    </row>
    <row r="530" ht="15.75" customHeight="1" s="146">
      <c r="Y530" s="122">
        <f>MAX(0,IFERROR((LEN($T531)-LEN(SUBSTITUTE($T531,"Quality of Works / Criteria of Failings:","")))/LEN("Quality of Works / Criteria of Failings:"),0)-IFERROR((LEN($T531)-LEN(SUBSTITUTE($T531,"Quality of Works / Criteria of Failings:Compliant","")))/LEN("Quality of Works / Criteria of Failings:Compliant"),0))</f>
        <v/>
      </c>
      <c r="Z530" s="122">
        <f>IFERROR($Y531/MAX(1,(LEN($I531)-LEN(SUBSTITUTE($I531," Ltd","")))/LEN(" Ltd")),0)</f>
        <v/>
      </c>
      <c r="AA530" s="122">
        <f>IFERROR(IFERROR((LEN($T531)-LEN(SUBSTITUTE($T531,"Quality of Works / Criteria of Failings:","")))/LEN("Quality of Works / Criteria of Failings:"),0)/MAX(1,(LEN($I531)-LEN(SUBSTITUTE($I531," Ltd","")))/LEN(" Ltd")),0)</f>
        <v/>
      </c>
      <c r="AB530" s="122">
        <f>IFERROR(IFERROR((LEN($T531)-LEN(SUBSTITUTE($T531,"Quality of Works / Criteria of Failings:Compliant","")))/LEN("Quality of Works / Criteria of Failings:Compliant"),0)/MAX(1,(LEN($I531)-LEN(SUBSTITUTE($I531," Ltd","")))/LEN(" Ltd")),0)</f>
        <v/>
      </c>
    </row>
    <row r="531" ht="15.75" customHeight="1" s="146">
      <c r="Y531" s="122">
        <f>MAX(0,IFERROR((LEN($T532)-LEN(SUBSTITUTE($T532,"Quality of Works / Criteria of Failings:","")))/LEN("Quality of Works / Criteria of Failings:"),0)-IFERROR((LEN($T532)-LEN(SUBSTITUTE($T532,"Quality of Works / Criteria of Failings:Compliant","")))/LEN("Quality of Works / Criteria of Failings:Compliant"),0))</f>
        <v/>
      </c>
      <c r="Z531" s="122">
        <f>IFERROR($Y532/MAX(1,(LEN($I532)-LEN(SUBSTITUTE($I532," Ltd","")))/LEN(" Ltd")),0)</f>
        <v/>
      </c>
      <c r="AA531" s="122">
        <f>IFERROR(IFERROR((LEN($T532)-LEN(SUBSTITUTE($T532,"Quality of Works / Criteria of Failings:","")))/LEN("Quality of Works / Criteria of Failings:"),0)/MAX(1,(LEN($I532)-LEN(SUBSTITUTE($I532," Ltd","")))/LEN(" Ltd")),0)</f>
        <v/>
      </c>
      <c r="AB531" s="122">
        <f>IFERROR(IFERROR((LEN($T532)-LEN(SUBSTITUTE($T532,"Quality of Works / Criteria of Failings:Compliant","")))/LEN("Quality of Works / Criteria of Failings:Compliant"),0)/MAX(1,(LEN($I532)-LEN(SUBSTITUTE($I532," Ltd","")))/LEN(" Ltd")),0)</f>
        <v/>
      </c>
    </row>
    <row r="532" ht="15.75" customHeight="1" s="146">
      <c r="Y532" s="122">
        <f>MAX(0,IFERROR((LEN($T533)-LEN(SUBSTITUTE($T533,"Quality of Works / Criteria of Failings:","")))/LEN("Quality of Works / Criteria of Failings:"),0)-IFERROR((LEN($T533)-LEN(SUBSTITUTE($T533,"Quality of Works / Criteria of Failings:Compliant","")))/LEN("Quality of Works / Criteria of Failings:Compliant"),0))</f>
        <v/>
      </c>
      <c r="Z532" s="122">
        <f>IFERROR($Y533/MAX(1,(LEN($I533)-LEN(SUBSTITUTE($I533," Ltd","")))/LEN(" Ltd")),0)</f>
        <v/>
      </c>
      <c r="AA532" s="122">
        <f>IFERROR(IFERROR((LEN($T533)-LEN(SUBSTITUTE($T533,"Quality of Works / Criteria of Failings:","")))/LEN("Quality of Works / Criteria of Failings:"),0)/MAX(1,(LEN($I533)-LEN(SUBSTITUTE($I533," Ltd","")))/LEN(" Ltd")),0)</f>
        <v/>
      </c>
      <c r="AB532" s="122">
        <f>IFERROR(IFERROR((LEN($T533)-LEN(SUBSTITUTE($T533,"Quality of Works / Criteria of Failings:Compliant","")))/LEN("Quality of Works / Criteria of Failings:Compliant"),0)/MAX(1,(LEN($I533)-LEN(SUBSTITUTE($I533," Ltd","")))/LEN(" Ltd")),0)</f>
        <v/>
      </c>
    </row>
    <row r="533" ht="15.75" customHeight="1" s="146">
      <c r="Y533" s="122">
        <f>MAX(0,IFERROR((LEN($T534)-LEN(SUBSTITUTE($T534,"Quality of Works / Criteria of Failings:","")))/LEN("Quality of Works / Criteria of Failings:"),0)-IFERROR((LEN($T534)-LEN(SUBSTITUTE($T534,"Quality of Works / Criteria of Failings:Compliant","")))/LEN("Quality of Works / Criteria of Failings:Compliant"),0))</f>
        <v/>
      </c>
      <c r="Z533" s="122">
        <f>IFERROR($Y534/MAX(1,(LEN($I534)-LEN(SUBSTITUTE($I534," Ltd","")))/LEN(" Ltd")),0)</f>
        <v/>
      </c>
      <c r="AA533" s="122">
        <f>IFERROR(IFERROR((LEN($T534)-LEN(SUBSTITUTE($T534,"Quality of Works / Criteria of Failings:","")))/LEN("Quality of Works / Criteria of Failings:"),0)/MAX(1,(LEN($I534)-LEN(SUBSTITUTE($I534," Ltd","")))/LEN(" Ltd")),0)</f>
        <v/>
      </c>
      <c r="AB533" s="122">
        <f>IFERROR(IFERROR((LEN($T534)-LEN(SUBSTITUTE($T534,"Quality of Works / Criteria of Failings:Compliant","")))/LEN("Quality of Works / Criteria of Failings:Compliant"),0)/MAX(1,(LEN($I534)-LEN(SUBSTITUTE($I534," Ltd","")))/LEN(" Ltd")),0)</f>
        <v/>
      </c>
    </row>
    <row r="534" ht="15.75" customHeight="1" s="146">
      <c r="Y534" s="122">
        <f>MAX(0,IFERROR((LEN($T535)-LEN(SUBSTITUTE($T535,"Quality of Works / Criteria of Failings:","")))/LEN("Quality of Works / Criteria of Failings:"),0)-IFERROR((LEN($T535)-LEN(SUBSTITUTE($T535,"Quality of Works / Criteria of Failings:Compliant","")))/LEN("Quality of Works / Criteria of Failings:Compliant"),0))</f>
        <v/>
      </c>
      <c r="Z534" s="122">
        <f>IFERROR($Y535/MAX(1,(LEN($I535)-LEN(SUBSTITUTE($I535," Ltd","")))/LEN(" Ltd")),0)</f>
        <v/>
      </c>
      <c r="AA534" s="122">
        <f>IFERROR(IFERROR((LEN($T535)-LEN(SUBSTITUTE($T535,"Quality of Works / Criteria of Failings:","")))/LEN("Quality of Works / Criteria of Failings:"),0)/MAX(1,(LEN($I535)-LEN(SUBSTITUTE($I535," Ltd","")))/LEN(" Ltd")),0)</f>
        <v/>
      </c>
      <c r="AB534" s="122">
        <f>IFERROR(IFERROR((LEN($T535)-LEN(SUBSTITUTE($T535,"Quality of Works / Criteria of Failings:Compliant","")))/LEN("Quality of Works / Criteria of Failings:Compliant"),0)/MAX(1,(LEN($I535)-LEN(SUBSTITUTE($I535," Ltd","")))/LEN(" Ltd")),0)</f>
        <v/>
      </c>
    </row>
    <row r="535" ht="15.75" customHeight="1" s="146">
      <c r="Y535" s="122">
        <f>MAX(0,IFERROR((LEN($T536)-LEN(SUBSTITUTE($T536,"Quality of Works / Criteria of Failings:","")))/LEN("Quality of Works / Criteria of Failings:"),0)-IFERROR((LEN($T536)-LEN(SUBSTITUTE($T536,"Quality of Works / Criteria of Failings:Compliant","")))/LEN("Quality of Works / Criteria of Failings:Compliant"),0))</f>
        <v/>
      </c>
      <c r="Z535" s="122">
        <f>IFERROR($Y536/MAX(1,(LEN($I536)-LEN(SUBSTITUTE($I536," Ltd","")))/LEN(" Ltd")),0)</f>
        <v/>
      </c>
      <c r="AA535" s="122">
        <f>IFERROR(IFERROR((LEN($T536)-LEN(SUBSTITUTE($T536,"Quality of Works / Criteria of Failings:","")))/LEN("Quality of Works / Criteria of Failings:"),0)/MAX(1,(LEN($I536)-LEN(SUBSTITUTE($I536," Ltd","")))/LEN(" Ltd")),0)</f>
        <v/>
      </c>
      <c r="AB535" s="122">
        <f>IFERROR(IFERROR((LEN($T536)-LEN(SUBSTITUTE($T536,"Quality of Works / Criteria of Failings:Compliant","")))/LEN("Quality of Works / Criteria of Failings:Compliant"),0)/MAX(1,(LEN($I536)-LEN(SUBSTITUTE($I536," Ltd","")))/LEN(" Ltd")),0)</f>
        <v/>
      </c>
    </row>
    <row r="536" ht="15.75" customHeight="1" s="146">
      <c r="Y536" s="122">
        <f>MAX(0,IFERROR((LEN($T537)-LEN(SUBSTITUTE($T537,"Quality of Works / Criteria of Failings:","")))/LEN("Quality of Works / Criteria of Failings:"),0)-IFERROR((LEN($T537)-LEN(SUBSTITUTE($T537,"Quality of Works / Criteria of Failings:Compliant","")))/LEN("Quality of Works / Criteria of Failings:Compliant"),0))</f>
        <v/>
      </c>
      <c r="Z536" s="122">
        <f>IFERROR($Y537/MAX(1,(LEN($I537)-LEN(SUBSTITUTE($I537," Ltd","")))/LEN(" Ltd")),0)</f>
        <v/>
      </c>
      <c r="AA536" s="122">
        <f>IFERROR(IFERROR((LEN($T537)-LEN(SUBSTITUTE($T537,"Quality of Works / Criteria of Failings:","")))/LEN("Quality of Works / Criteria of Failings:"),0)/MAX(1,(LEN($I537)-LEN(SUBSTITUTE($I537," Ltd","")))/LEN(" Ltd")),0)</f>
        <v/>
      </c>
      <c r="AB536" s="122">
        <f>IFERROR(IFERROR((LEN($T537)-LEN(SUBSTITUTE($T537,"Quality of Works / Criteria of Failings:Compliant","")))/LEN("Quality of Works / Criteria of Failings:Compliant"),0)/MAX(1,(LEN($I537)-LEN(SUBSTITUTE($I537," Ltd","")))/LEN(" Ltd")),0)</f>
        <v/>
      </c>
    </row>
    <row r="537" ht="15.75" customHeight="1" s="146">
      <c r="Y537" s="122">
        <f>MAX(0,IFERROR((LEN($T538)-LEN(SUBSTITUTE($T538,"Quality of Works / Criteria of Failings:","")))/LEN("Quality of Works / Criteria of Failings:"),0)-IFERROR((LEN($T538)-LEN(SUBSTITUTE($T538,"Quality of Works / Criteria of Failings:Compliant","")))/LEN("Quality of Works / Criteria of Failings:Compliant"),0))</f>
        <v/>
      </c>
      <c r="Z537" s="122">
        <f>IFERROR($Y538/MAX(1,(LEN($I538)-LEN(SUBSTITUTE($I538," Ltd","")))/LEN(" Ltd")),0)</f>
        <v/>
      </c>
      <c r="AA537" s="122">
        <f>IFERROR(IFERROR((LEN($T538)-LEN(SUBSTITUTE($T538,"Quality of Works / Criteria of Failings:","")))/LEN("Quality of Works / Criteria of Failings:"),0)/MAX(1,(LEN($I538)-LEN(SUBSTITUTE($I538," Ltd","")))/LEN(" Ltd")),0)</f>
        <v/>
      </c>
      <c r="AB537" s="122">
        <f>IFERROR(IFERROR((LEN($T538)-LEN(SUBSTITUTE($T538,"Quality of Works / Criteria of Failings:Compliant","")))/LEN("Quality of Works / Criteria of Failings:Compliant"),0)/MAX(1,(LEN($I538)-LEN(SUBSTITUTE($I538," Ltd","")))/LEN(" Ltd")),0)</f>
        <v/>
      </c>
    </row>
    <row r="538" ht="15.75" customHeight="1" s="146">
      <c r="Y538" s="122">
        <f>MAX(0,IFERROR((LEN($T539)-LEN(SUBSTITUTE($T539,"Quality of Works / Criteria of Failings:","")))/LEN("Quality of Works / Criteria of Failings:"),0)-IFERROR((LEN($T539)-LEN(SUBSTITUTE($T539,"Quality of Works / Criteria of Failings:Compliant","")))/LEN("Quality of Works / Criteria of Failings:Compliant"),0))</f>
        <v/>
      </c>
      <c r="Z538" s="122">
        <f>IFERROR($Y539/MAX(1,(LEN($I539)-LEN(SUBSTITUTE($I539," Ltd","")))/LEN(" Ltd")),0)</f>
        <v/>
      </c>
      <c r="AA538" s="122">
        <f>IFERROR(IFERROR((LEN($T539)-LEN(SUBSTITUTE($T539,"Quality of Works / Criteria of Failings:","")))/LEN("Quality of Works / Criteria of Failings:"),0)/MAX(1,(LEN($I539)-LEN(SUBSTITUTE($I539," Ltd","")))/LEN(" Ltd")),0)</f>
        <v/>
      </c>
      <c r="AB538" s="122">
        <f>IFERROR(IFERROR((LEN($T539)-LEN(SUBSTITUTE($T539,"Quality of Works / Criteria of Failings:Compliant","")))/LEN("Quality of Works / Criteria of Failings:Compliant"),0)/MAX(1,(LEN($I539)-LEN(SUBSTITUTE($I539," Ltd","")))/LEN(" Ltd")),0)</f>
        <v/>
      </c>
    </row>
    <row r="539" ht="15.75" customHeight="1" s="146">
      <c r="Y539" s="122">
        <f>MAX(0,IFERROR((LEN($T540)-LEN(SUBSTITUTE($T540,"Quality of Works / Criteria of Failings:","")))/LEN("Quality of Works / Criteria of Failings:"),0)-IFERROR((LEN($T540)-LEN(SUBSTITUTE($T540,"Quality of Works / Criteria of Failings:Compliant","")))/LEN("Quality of Works / Criteria of Failings:Compliant"),0))</f>
        <v/>
      </c>
      <c r="Z539" s="122">
        <f>IFERROR($Y540/MAX(1,(LEN($I540)-LEN(SUBSTITUTE($I540," Ltd","")))/LEN(" Ltd")),0)</f>
        <v/>
      </c>
      <c r="AA539" s="122">
        <f>IFERROR(IFERROR((LEN($T540)-LEN(SUBSTITUTE($T540,"Quality of Works / Criteria of Failings:","")))/LEN("Quality of Works / Criteria of Failings:"),0)/MAX(1,(LEN($I540)-LEN(SUBSTITUTE($I540," Ltd","")))/LEN(" Ltd")),0)</f>
        <v/>
      </c>
      <c r="AB539" s="122">
        <f>IFERROR(IFERROR((LEN($T540)-LEN(SUBSTITUTE($T540,"Quality of Works / Criteria of Failings:Compliant","")))/LEN("Quality of Works / Criteria of Failings:Compliant"),0)/MAX(1,(LEN($I540)-LEN(SUBSTITUTE($I540," Ltd","")))/LEN(" Ltd")),0)</f>
        <v/>
      </c>
    </row>
    <row r="540" ht="15.75" customHeight="1" s="146">
      <c r="Y540" s="122">
        <f>MAX(0,IFERROR((LEN($T541)-LEN(SUBSTITUTE($T541,"Quality of Works / Criteria of Failings:","")))/LEN("Quality of Works / Criteria of Failings:"),0)-IFERROR((LEN($T541)-LEN(SUBSTITUTE($T541,"Quality of Works / Criteria of Failings:Compliant","")))/LEN("Quality of Works / Criteria of Failings:Compliant"),0))</f>
        <v/>
      </c>
      <c r="Z540" s="122">
        <f>IFERROR($Y541/MAX(1,(LEN($I541)-LEN(SUBSTITUTE($I541," Ltd","")))/LEN(" Ltd")),0)</f>
        <v/>
      </c>
      <c r="AA540" s="122">
        <f>IFERROR(IFERROR((LEN($T541)-LEN(SUBSTITUTE($T541,"Quality of Works / Criteria of Failings:","")))/LEN("Quality of Works / Criteria of Failings:"),0)/MAX(1,(LEN($I541)-LEN(SUBSTITUTE($I541," Ltd","")))/LEN(" Ltd")),0)</f>
        <v/>
      </c>
      <c r="AB540" s="122">
        <f>IFERROR(IFERROR((LEN($T541)-LEN(SUBSTITUTE($T541,"Quality of Works / Criteria of Failings:Compliant","")))/LEN("Quality of Works / Criteria of Failings:Compliant"),0)/MAX(1,(LEN($I541)-LEN(SUBSTITUTE($I541," Ltd","")))/LEN(" Ltd")),0)</f>
        <v/>
      </c>
    </row>
    <row r="541" ht="15.75" customHeight="1" s="146">
      <c r="Y541" s="122">
        <f>MAX(0,IFERROR((LEN($T542)-LEN(SUBSTITUTE($T542,"Quality of Works / Criteria of Failings:","")))/LEN("Quality of Works / Criteria of Failings:"),0)-IFERROR((LEN($T542)-LEN(SUBSTITUTE($T542,"Quality of Works / Criteria of Failings:Compliant","")))/LEN("Quality of Works / Criteria of Failings:Compliant"),0))</f>
        <v/>
      </c>
      <c r="Z541" s="122">
        <f>IFERROR($Y542/MAX(1,(LEN($I542)-LEN(SUBSTITUTE($I542," Ltd","")))/LEN(" Ltd")),0)</f>
        <v/>
      </c>
      <c r="AA541" s="122">
        <f>IFERROR(IFERROR((LEN($T542)-LEN(SUBSTITUTE($T542,"Quality of Works / Criteria of Failings:","")))/LEN("Quality of Works / Criteria of Failings:"),0)/MAX(1,(LEN($I542)-LEN(SUBSTITUTE($I542," Ltd","")))/LEN(" Ltd")),0)</f>
        <v/>
      </c>
      <c r="AB541" s="122">
        <f>IFERROR(IFERROR((LEN($T542)-LEN(SUBSTITUTE($T542,"Quality of Works / Criteria of Failings:Compliant","")))/LEN("Quality of Works / Criteria of Failings:Compliant"),0)/MAX(1,(LEN($I542)-LEN(SUBSTITUTE($I542," Ltd","")))/LEN(" Ltd")),0)</f>
        <v/>
      </c>
    </row>
    <row r="542" ht="15.75" customHeight="1" s="146">
      <c r="Y542" s="122">
        <f>MAX(0,IFERROR((LEN($T543)-LEN(SUBSTITUTE($T543,"Quality of Works / Criteria of Failings:","")))/LEN("Quality of Works / Criteria of Failings:"),0)-IFERROR((LEN($T543)-LEN(SUBSTITUTE($T543,"Quality of Works / Criteria of Failings:Compliant","")))/LEN("Quality of Works / Criteria of Failings:Compliant"),0))</f>
        <v/>
      </c>
      <c r="Z542" s="122">
        <f>IFERROR($Y543/MAX(1,(LEN($I543)-LEN(SUBSTITUTE($I543," Ltd","")))/LEN(" Ltd")),0)</f>
        <v/>
      </c>
      <c r="AA542" s="122">
        <f>IFERROR(IFERROR((LEN($T543)-LEN(SUBSTITUTE($T543,"Quality of Works / Criteria of Failings:","")))/LEN("Quality of Works / Criteria of Failings:"),0)/MAX(1,(LEN($I543)-LEN(SUBSTITUTE($I543," Ltd","")))/LEN(" Ltd")),0)</f>
        <v/>
      </c>
      <c r="AB542" s="122">
        <f>IFERROR(IFERROR((LEN($T543)-LEN(SUBSTITUTE($T543,"Quality of Works / Criteria of Failings:Compliant","")))/LEN("Quality of Works / Criteria of Failings:Compliant"),0)/MAX(1,(LEN($I543)-LEN(SUBSTITUTE($I543," Ltd","")))/LEN(" Ltd")),0)</f>
        <v/>
      </c>
    </row>
    <row r="543" ht="15.75" customHeight="1" s="146">
      <c r="Y543" s="122">
        <f>MAX(0,IFERROR((LEN($T544)-LEN(SUBSTITUTE($T544,"Quality of Works / Criteria of Failings:","")))/LEN("Quality of Works / Criteria of Failings:"),0)-IFERROR((LEN($T544)-LEN(SUBSTITUTE($T544,"Quality of Works / Criteria of Failings:Compliant","")))/LEN("Quality of Works / Criteria of Failings:Compliant"),0))</f>
        <v/>
      </c>
      <c r="Z543" s="122">
        <f>IFERROR($Y544/MAX(1,(LEN($I544)-LEN(SUBSTITUTE($I544," Ltd","")))/LEN(" Ltd")),0)</f>
        <v/>
      </c>
      <c r="AA543" s="122">
        <f>IFERROR(IFERROR((LEN($T544)-LEN(SUBSTITUTE($T544,"Quality of Works / Criteria of Failings:","")))/LEN("Quality of Works / Criteria of Failings:"),0)/MAX(1,(LEN($I544)-LEN(SUBSTITUTE($I544," Ltd","")))/LEN(" Ltd")),0)</f>
        <v/>
      </c>
      <c r="AB543" s="122">
        <f>IFERROR(IFERROR((LEN($T544)-LEN(SUBSTITUTE($T544,"Quality of Works / Criteria of Failings:Compliant","")))/LEN("Quality of Works / Criteria of Failings:Compliant"),0)/MAX(1,(LEN($I544)-LEN(SUBSTITUTE($I544," Ltd","")))/LEN(" Ltd")),0)</f>
        <v/>
      </c>
    </row>
    <row r="544" ht="15.75" customHeight="1" s="146">
      <c r="Y544" s="122">
        <f>MAX(0,IFERROR((LEN($T545)-LEN(SUBSTITUTE($T545,"Quality of Works / Criteria of Failings:","")))/LEN("Quality of Works / Criteria of Failings:"),0)-IFERROR((LEN($T545)-LEN(SUBSTITUTE($T545,"Quality of Works / Criteria of Failings:Compliant","")))/LEN("Quality of Works / Criteria of Failings:Compliant"),0))</f>
        <v/>
      </c>
      <c r="Z544" s="122">
        <f>IFERROR($Y545/MAX(1,(LEN($I545)-LEN(SUBSTITUTE($I545," Ltd","")))/LEN(" Ltd")),0)</f>
        <v/>
      </c>
      <c r="AA544" s="122">
        <f>IFERROR(IFERROR((LEN($T545)-LEN(SUBSTITUTE($T545,"Quality of Works / Criteria of Failings:","")))/LEN("Quality of Works / Criteria of Failings:"),0)/MAX(1,(LEN($I545)-LEN(SUBSTITUTE($I545," Ltd","")))/LEN(" Ltd")),0)</f>
        <v/>
      </c>
      <c r="AB544" s="122">
        <f>IFERROR(IFERROR((LEN($T545)-LEN(SUBSTITUTE($T545,"Quality of Works / Criteria of Failings:Compliant","")))/LEN("Quality of Works / Criteria of Failings:Compliant"),0)/MAX(1,(LEN($I545)-LEN(SUBSTITUTE($I545," Ltd","")))/LEN(" Ltd")),0)</f>
        <v/>
      </c>
    </row>
    <row r="545" ht="15.75" customHeight="1" s="146">
      <c r="Y545" s="122">
        <f>MAX(0,IFERROR((LEN($T546)-LEN(SUBSTITUTE($T546,"Quality of Works / Criteria of Failings:","")))/LEN("Quality of Works / Criteria of Failings:"),0)-IFERROR((LEN($T546)-LEN(SUBSTITUTE($T546,"Quality of Works / Criteria of Failings:Compliant","")))/LEN("Quality of Works / Criteria of Failings:Compliant"),0))</f>
        <v/>
      </c>
      <c r="Z545" s="122">
        <f>IFERROR($Y546/MAX(1,(LEN($I546)-LEN(SUBSTITUTE($I546," Ltd","")))/LEN(" Ltd")),0)</f>
        <v/>
      </c>
      <c r="AA545" s="122">
        <f>IFERROR(IFERROR((LEN($T546)-LEN(SUBSTITUTE($T546,"Quality of Works / Criteria of Failings:","")))/LEN("Quality of Works / Criteria of Failings:"),0)/MAX(1,(LEN($I546)-LEN(SUBSTITUTE($I546," Ltd","")))/LEN(" Ltd")),0)</f>
        <v/>
      </c>
      <c r="AB545" s="122">
        <f>IFERROR(IFERROR((LEN($T546)-LEN(SUBSTITUTE($T546,"Quality of Works / Criteria of Failings:Compliant","")))/LEN("Quality of Works / Criteria of Failings:Compliant"),0)/MAX(1,(LEN($I546)-LEN(SUBSTITUTE($I546," Ltd","")))/LEN(" Ltd")),0)</f>
        <v/>
      </c>
    </row>
    <row r="546" ht="15.75" customHeight="1" s="146">
      <c r="Y546" s="122">
        <f>MAX(0,IFERROR((LEN($T547)-LEN(SUBSTITUTE($T547,"Quality of Works / Criteria of Failings:","")))/LEN("Quality of Works / Criteria of Failings:"),0)-IFERROR((LEN($T547)-LEN(SUBSTITUTE($T547,"Quality of Works / Criteria of Failings:Compliant","")))/LEN("Quality of Works / Criteria of Failings:Compliant"),0))</f>
        <v/>
      </c>
      <c r="Z546" s="122">
        <f>IFERROR($Y547/MAX(1,(LEN($I547)-LEN(SUBSTITUTE($I547," Ltd","")))/LEN(" Ltd")),0)</f>
        <v/>
      </c>
      <c r="AA546" s="122">
        <f>IFERROR(IFERROR((LEN($T547)-LEN(SUBSTITUTE($T547,"Quality of Works / Criteria of Failings:","")))/LEN("Quality of Works / Criteria of Failings:"),0)/MAX(1,(LEN($I547)-LEN(SUBSTITUTE($I547," Ltd","")))/LEN(" Ltd")),0)</f>
        <v/>
      </c>
      <c r="AB546" s="122">
        <f>IFERROR(IFERROR((LEN($T547)-LEN(SUBSTITUTE($T547,"Quality of Works / Criteria of Failings:Compliant","")))/LEN("Quality of Works / Criteria of Failings:Compliant"),0)/MAX(1,(LEN($I547)-LEN(SUBSTITUTE($I547," Ltd","")))/LEN(" Ltd")),0)</f>
        <v/>
      </c>
    </row>
    <row r="547" ht="15.75" customHeight="1" s="146">
      <c r="Y547" s="122">
        <f>MAX(0,IFERROR((LEN($T548)-LEN(SUBSTITUTE($T548,"Quality of Works / Criteria of Failings:","")))/LEN("Quality of Works / Criteria of Failings:"),0)-IFERROR((LEN($T548)-LEN(SUBSTITUTE($T548,"Quality of Works / Criteria of Failings:Compliant","")))/LEN("Quality of Works / Criteria of Failings:Compliant"),0))</f>
        <v/>
      </c>
      <c r="Z547" s="122">
        <f>IFERROR($Y548/MAX(1,(LEN($I548)-LEN(SUBSTITUTE($I548," Ltd","")))/LEN(" Ltd")),0)</f>
        <v/>
      </c>
      <c r="AA547" s="122">
        <f>IFERROR(IFERROR((LEN($T548)-LEN(SUBSTITUTE($T548,"Quality of Works / Criteria of Failings:","")))/LEN("Quality of Works / Criteria of Failings:"),0)/MAX(1,(LEN($I548)-LEN(SUBSTITUTE($I548," Ltd","")))/LEN(" Ltd")),0)</f>
        <v/>
      </c>
      <c r="AB547" s="122">
        <f>IFERROR(IFERROR((LEN($T548)-LEN(SUBSTITUTE($T548,"Quality of Works / Criteria of Failings:Compliant","")))/LEN("Quality of Works / Criteria of Failings:Compliant"),0)/MAX(1,(LEN($I548)-LEN(SUBSTITUTE($I548," Ltd","")))/LEN(" Ltd")),0)</f>
        <v/>
      </c>
    </row>
    <row r="548" ht="15.75" customHeight="1" s="146">
      <c r="Y548" s="122">
        <f>MAX(0,IFERROR((LEN($T549)-LEN(SUBSTITUTE($T549,"Quality of Works / Criteria of Failings:","")))/LEN("Quality of Works / Criteria of Failings:"),0)-IFERROR((LEN($T549)-LEN(SUBSTITUTE($T549,"Quality of Works / Criteria of Failings:Compliant","")))/LEN("Quality of Works / Criteria of Failings:Compliant"),0))</f>
        <v/>
      </c>
      <c r="Z548" s="122">
        <f>IFERROR($Y549/MAX(1,(LEN($I549)-LEN(SUBSTITUTE($I549," Ltd","")))/LEN(" Ltd")),0)</f>
        <v/>
      </c>
      <c r="AA548" s="122">
        <f>IFERROR(IFERROR((LEN($T549)-LEN(SUBSTITUTE($T549,"Quality of Works / Criteria of Failings:","")))/LEN("Quality of Works / Criteria of Failings:"),0)/MAX(1,(LEN($I549)-LEN(SUBSTITUTE($I549," Ltd","")))/LEN(" Ltd")),0)</f>
        <v/>
      </c>
      <c r="AB548" s="122">
        <f>IFERROR(IFERROR((LEN($T549)-LEN(SUBSTITUTE($T549,"Quality of Works / Criteria of Failings:Compliant","")))/LEN("Quality of Works / Criteria of Failings:Compliant"),0)/MAX(1,(LEN($I549)-LEN(SUBSTITUTE($I549," Ltd","")))/LEN(" Ltd")),0)</f>
        <v/>
      </c>
    </row>
    <row r="549" ht="15.75" customHeight="1" s="146">
      <c r="Y549" s="122">
        <f>MAX(0,IFERROR((LEN($T550)-LEN(SUBSTITUTE($T550,"Quality of Works / Criteria of Failings:","")))/LEN("Quality of Works / Criteria of Failings:"),0)-IFERROR((LEN($T550)-LEN(SUBSTITUTE($T550,"Quality of Works / Criteria of Failings:Compliant","")))/LEN("Quality of Works / Criteria of Failings:Compliant"),0))</f>
        <v/>
      </c>
      <c r="Z549" s="122">
        <f>IFERROR($Y550/MAX(1,(LEN($I550)-LEN(SUBSTITUTE($I550," Ltd","")))/LEN(" Ltd")),0)</f>
        <v/>
      </c>
      <c r="AA549" s="122">
        <f>IFERROR(IFERROR((LEN($T550)-LEN(SUBSTITUTE($T550,"Quality of Works / Criteria of Failings:","")))/LEN("Quality of Works / Criteria of Failings:"),0)/MAX(1,(LEN($I550)-LEN(SUBSTITUTE($I550," Ltd","")))/LEN(" Ltd")),0)</f>
        <v/>
      </c>
      <c r="AB549" s="122">
        <f>IFERROR(IFERROR((LEN($T550)-LEN(SUBSTITUTE($T550,"Quality of Works / Criteria of Failings:Compliant","")))/LEN("Quality of Works / Criteria of Failings:Compliant"),0)/MAX(1,(LEN($I550)-LEN(SUBSTITUTE($I550," Ltd","")))/LEN(" Ltd")),0)</f>
        <v/>
      </c>
    </row>
    <row r="550" ht="15.75" customHeight="1" s="146">
      <c r="Y550" s="122">
        <f>MAX(0,IFERROR((LEN($T551)-LEN(SUBSTITUTE($T551,"Quality of Works / Criteria of Failings:","")))/LEN("Quality of Works / Criteria of Failings:"),0)-IFERROR((LEN($T551)-LEN(SUBSTITUTE($T551,"Quality of Works / Criteria of Failings:Compliant","")))/LEN("Quality of Works / Criteria of Failings:Compliant"),0))</f>
        <v/>
      </c>
      <c r="Z550" s="122">
        <f>IFERROR($Y551/MAX(1,(LEN($I551)-LEN(SUBSTITUTE($I551," Ltd","")))/LEN(" Ltd")),0)</f>
        <v/>
      </c>
      <c r="AA550" s="122">
        <f>IFERROR(IFERROR((LEN($T551)-LEN(SUBSTITUTE($T551,"Quality of Works / Criteria of Failings:","")))/LEN("Quality of Works / Criteria of Failings:"),0)/MAX(1,(LEN($I551)-LEN(SUBSTITUTE($I551," Ltd","")))/LEN(" Ltd")),0)</f>
        <v/>
      </c>
      <c r="AB550" s="122">
        <f>IFERROR(IFERROR((LEN($T551)-LEN(SUBSTITUTE($T551,"Quality of Works / Criteria of Failings:Compliant","")))/LEN("Quality of Works / Criteria of Failings:Compliant"),0)/MAX(1,(LEN($I551)-LEN(SUBSTITUTE($I551," Ltd","")))/LEN(" Ltd")),0)</f>
        <v/>
      </c>
    </row>
    <row r="551" ht="15.75" customHeight="1" s="146">
      <c r="Y551" s="122">
        <f>MAX(0,IFERROR((LEN($T552)-LEN(SUBSTITUTE($T552,"Quality of Works / Criteria of Failings:","")))/LEN("Quality of Works / Criteria of Failings:"),0)-IFERROR((LEN($T552)-LEN(SUBSTITUTE($T552,"Quality of Works / Criteria of Failings:Compliant","")))/LEN("Quality of Works / Criteria of Failings:Compliant"),0))</f>
        <v/>
      </c>
      <c r="Z551" s="122">
        <f>IFERROR($Y552/MAX(1,(LEN($I552)-LEN(SUBSTITUTE($I552," Ltd","")))/LEN(" Ltd")),0)</f>
        <v/>
      </c>
      <c r="AA551" s="122">
        <f>IFERROR(IFERROR((LEN($T552)-LEN(SUBSTITUTE($T552,"Quality of Works / Criteria of Failings:","")))/LEN("Quality of Works / Criteria of Failings:"),0)/MAX(1,(LEN($I552)-LEN(SUBSTITUTE($I552," Ltd","")))/LEN(" Ltd")),0)</f>
        <v/>
      </c>
      <c r="AB551" s="122">
        <f>IFERROR(IFERROR((LEN($T552)-LEN(SUBSTITUTE($T552,"Quality of Works / Criteria of Failings:Compliant","")))/LEN("Quality of Works / Criteria of Failings:Compliant"),0)/MAX(1,(LEN($I552)-LEN(SUBSTITUTE($I552," Ltd","")))/LEN(" Ltd")),0)</f>
        <v/>
      </c>
    </row>
    <row r="552" ht="15.75" customHeight="1" s="146">
      <c r="Y552" s="122">
        <f>MAX(0,IFERROR((LEN($T553)-LEN(SUBSTITUTE($T553,"Quality of Works / Criteria of Failings:","")))/LEN("Quality of Works / Criteria of Failings:"),0)-IFERROR((LEN($T553)-LEN(SUBSTITUTE($T553,"Quality of Works / Criteria of Failings:Compliant","")))/LEN("Quality of Works / Criteria of Failings:Compliant"),0))</f>
        <v/>
      </c>
      <c r="Z552" s="122">
        <f>IFERROR($Y553/MAX(1,(LEN($I553)-LEN(SUBSTITUTE($I553," Ltd","")))/LEN(" Ltd")),0)</f>
        <v/>
      </c>
      <c r="AA552" s="122">
        <f>IFERROR(IFERROR((LEN($T553)-LEN(SUBSTITUTE($T553,"Quality of Works / Criteria of Failings:","")))/LEN("Quality of Works / Criteria of Failings:"),0)/MAX(1,(LEN($I553)-LEN(SUBSTITUTE($I553," Ltd","")))/LEN(" Ltd")),0)</f>
        <v/>
      </c>
      <c r="AB552" s="122">
        <f>IFERROR(IFERROR((LEN($T553)-LEN(SUBSTITUTE($T553,"Quality of Works / Criteria of Failings:Compliant","")))/LEN("Quality of Works / Criteria of Failings:Compliant"),0)/MAX(1,(LEN($I553)-LEN(SUBSTITUTE($I553," Ltd","")))/LEN(" Ltd")),0)</f>
        <v/>
      </c>
    </row>
    <row r="553" ht="15.75" customHeight="1" s="146">
      <c r="Y553" s="122">
        <f>MAX(0,IFERROR((LEN($T554)-LEN(SUBSTITUTE($T554,"Quality of Works / Criteria of Failings:","")))/LEN("Quality of Works / Criteria of Failings:"),0)-IFERROR((LEN($T554)-LEN(SUBSTITUTE($T554,"Quality of Works / Criteria of Failings:Compliant","")))/LEN("Quality of Works / Criteria of Failings:Compliant"),0))</f>
        <v/>
      </c>
      <c r="Z553" s="122">
        <f>IFERROR($Y554/MAX(1,(LEN($I554)-LEN(SUBSTITUTE($I554," Ltd","")))/LEN(" Ltd")),0)</f>
        <v/>
      </c>
      <c r="AA553" s="122">
        <f>IFERROR(IFERROR((LEN($T554)-LEN(SUBSTITUTE($T554,"Quality of Works / Criteria of Failings:","")))/LEN("Quality of Works / Criteria of Failings:"),0)/MAX(1,(LEN($I554)-LEN(SUBSTITUTE($I554," Ltd","")))/LEN(" Ltd")),0)</f>
        <v/>
      </c>
      <c r="AB553" s="122">
        <f>IFERROR(IFERROR((LEN($T554)-LEN(SUBSTITUTE($T554,"Quality of Works / Criteria of Failings:Compliant","")))/LEN("Quality of Works / Criteria of Failings:Compliant"),0)/MAX(1,(LEN($I554)-LEN(SUBSTITUTE($I554," Ltd","")))/LEN(" Ltd")),0)</f>
        <v/>
      </c>
    </row>
    <row r="554" ht="15.75" customHeight="1" s="146">
      <c r="Y554" s="122">
        <f>MAX(0,IFERROR((LEN($T555)-LEN(SUBSTITUTE($T555,"Quality of Works / Criteria of Failings:","")))/LEN("Quality of Works / Criteria of Failings:"),0)-IFERROR((LEN($T555)-LEN(SUBSTITUTE($T555,"Quality of Works / Criteria of Failings:Compliant","")))/LEN("Quality of Works / Criteria of Failings:Compliant"),0))</f>
        <v/>
      </c>
      <c r="Z554" s="122">
        <f>IFERROR($Y555/MAX(1,(LEN($I555)-LEN(SUBSTITUTE($I555," Ltd","")))/LEN(" Ltd")),0)</f>
        <v/>
      </c>
      <c r="AA554" s="122">
        <f>IFERROR(IFERROR((LEN($T555)-LEN(SUBSTITUTE($T555,"Quality of Works / Criteria of Failings:","")))/LEN("Quality of Works / Criteria of Failings:"),0)/MAX(1,(LEN($I555)-LEN(SUBSTITUTE($I555," Ltd","")))/LEN(" Ltd")),0)</f>
        <v/>
      </c>
      <c r="AB554" s="122">
        <f>IFERROR(IFERROR((LEN($T555)-LEN(SUBSTITUTE($T555,"Quality of Works / Criteria of Failings:Compliant","")))/LEN("Quality of Works / Criteria of Failings:Compliant"),0)/MAX(1,(LEN($I555)-LEN(SUBSTITUTE($I555," Ltd","")))/LEN(" Ltd")),0)</f>
        <v/>
      </c>
    </row>
    <row r="555" ht="15.75" customHeight="1" s="146">
      <c r="Y555" s="122">
        <f>MAX(0,IFERROR((LEN($T556)-LEN(SUBSTITUTE($T556,"Quality of Works / Criteria of Failings:","")))/LEN("Quality of Works / Criteria of Failings:"),0)-IFERROR((LEN($T556)-LEN(SUBSTITUTE($T556,"Quality of Works / Criteria of Failings:Compliant","")))/LEN("Quality of Works / Criteria of Failings:Compliant"),0))</f>
        <v/>
      </c>
      <c r="Z555" s="122">
        <f>IFERROR($Y556/MAX(1,(LEN($I556)-LEN(SUBSTITUTE($I556," Ltd","")))/LEN(" Ltd")),0)</f>
        <v/>
      </c>
      <c r="AA555" s="122">
        <f>IFERROR(IFERROR((LEN($T556)-LEN(SUBSTITUTE($T556,"Quality of Works / Criteria of Failings:","")))/LEN("Quality of Works / Criteria of Failings:"),0)/MAX(1,(LEN($I556)-LEN(SUBSTITUTE($I556," Ltd","")))/LEN(" Ltd")),0)</f>
        <v/>
      </c>
      <c r="AB555" s="122">
        <f>IFERROR(IFERROR((LEN($T556)-LEN(SUBSTITUTE($T556,"Quality of Works / Criteria of Failings:Compliant","")))/LEN("Quality of Works / Criteria of Failings:Compliant"),0)/MAX(1,(LEN($I556)-LEN(SUBSTITUTE($I556," Ltd","")))/LEN(" Ltd")),0)</f>
        <v/>
      </c>
    </row>
    <row r="556" ht="15.75" customHeight="1" s="146">
      <c r="Y556" s="122">
        <f>MAX(0,IFERROR((LEN($T557)-LEN(SUBSTITUTE($T557,"Quality of Works / Criteria of Failings:","")))/LEN("Quality of Works / Criteria of Failings:"),0)-IFERROR((LEN($T557)-LEN(SUBSTITUTE($T557,"Quality of Works / Criteria of Failings:Compliant","")))/LEN("Quality of Works / Criteria of Failings:Compliant"),0))</f>
        <v/>
      </c>
      <c r="Z556" s="122">
        <f>IFERROR($Y557/MAX(1,(LEN($I557)-LEN(SUBSTITUTE($I557," Ltd","")))/LEN(" Ltd")),0)</f>
        <v/>
      </c>
      <c r="AA556" s="122">
        <f>IFERROR(IFERROR((LEN($T557)-LEN(SUBSTITUTE($T557,"Quality of Works / Criteria of Failings:","")))/LEN("Quality of Works / Criteria of Failings:"),0)/MAX(1,(LEN($I557)-LEN(SUBSTITUTE($I557," Ltd","")))/LEN(" Ltd")),0)</f>
        <v/>
      </c>
      <c r="AB556" s="122">
        <f>IFERROR(IFERROR((LEN($T557)-LEN(SUBSTITUTE($T557,"Quality of Works / Criteria of Failings:Compliant","")))/LEN("Quality of Works / Criteria of Failings:Compliant"),0)/MAX(1,(LEN($I557)-LEN(SUBSTITUTE($I557," Ltd","")))/LEN(" Ltd")),0)</f>
        <v/>
      </c>
    </row>
    <row r="557" ht="15.75" customHeight="1" s="146">
      <c r="Y557" s="122">
        <f>MAX(0,IFERROR((LEN($T558)-LEN(SUBSTITUTE($T558,"Quality of Works / Criteria of Failings:","")))/LEN("Quality of Works / Criteria of Failings:"),0)-IFERROR((LEN($T558)-LEN(SUBSTITUTE($T558,"Quality of Works / Criteria of Failings:Compliant","")))/LEN("Quality of Works / Criteria of Failings:Compliant"),0))</f>
        <v/>
      </c>
      <c r="Z557" s="122">
        <f>IFERROR($Y558/MAX(1,(LEN($I558)-LEN(SUBSTITUTE($I558," Ltd","")))/LEN(" Ltd")),0)</f>
        <v/>
      </c>
      <c r="AA557" s="122">
        <f>IFERROR(IFERROR((LEN($T558)-LEN(SUBSTITUTE($T558,"Quality of Works / Criteria of Failings:","")))/LEN("Quality of Works / Criteria of Failings:"),0)/MAX(1,(LEN($I558)-LEN(SUBSTITUTE($I558," Ltd","")))/LEN(" Ltd")),0)</f>
        <v/>
      </c>
      <c r="AB557" s="122">
        <f>IFERROR(IFERROR((LEN($T558)-LEN(SUBSTITUTE($T558,"Quality of Works / Criteria of Failings:Compliant","")))/LEN("Quality of Works / Criteria of Failings:Compliant"),0)/MAX(1,(LEN($I558)-LEN(SUBSTITUTE($I558," Ltd","")))/LEN(" Ltd")),0)</f>
        <v/>
      </c>
    </row>
    <row r="558" ht="15.75" customHeight="1" s="146">
      <c r="Y558" s="122">
        <f>MAX(0,IFERROR((LEN($T559)-LEN(SUBSTITUTE($T559,"Quality of Works / Criteria of Failings:","")))/LEN("Quality of Works / Criteria of Failings:"),0)-IFERROR((LEN($T559)-LEN(SUBSTITUTE($T559,"Quality of Works / Criteria of Failings:Compliant","")))/LEN("Quality of Works / Criteria of Failings:Compliant"),0))</f>
        <v/>
      </c>
      <c r="Z558" s="122">
        <f>IFERROR($Y559/MAX(1,(LEN($I559)-LEN(SUBSTITUTE($I559," Ltd","")))/LEN(" Ltd")),0)</f>
        <v/>
      </c>
      <c r="AA558" s="122">
        <f>IFERROR(IFERROR((LEN($T559)-LEN(SUBSTITUTE($T559,"Quality of Works / Criteria of Failings:","")))/LEN("Quality of Works / Criteria of Failings:"),0)/MAX(1,(LEN($I559)-LEN(SUBSTITUTE($I559," Ltd","")))/LEN(" Ltd")),0)</f>
        <v/>
      </c>
      <c r="AB558" s="122">
        <f>IFERROR(IFERROR((LEN($T559)-LEN(SUBSTITUTE($T559,"Quality of Works / Criteria of Failings:Compliant","")))/LEN("Quality of Works / Criteria of Failings:Compliant"),0)/MAX(1,(LEN($I559)-LEN(SUBSTITUTE($I559," Ltd","")))/LEN(" Ltd")),0)</f>
        <v/>
      </c>
    </row>
    <row r="559" ht="15.75" customHeight="1" s="146">
      <c r="Y559" s="122">
        <f>MAX(0,IFERROR((LEN($T560)-LEN(SUBSTITUTE($T560,"Quality of Works / Criteria of Failings:","")))/LEN("Quality of Works / Criteria of Failings:"),0)-IFERROR((LEN($T560)-LEN(SUBSTITUTE($T560,"Quality of Works / Criteria of Failings:Compliant","")))/LEN("Quality of Works / Criteria of Failings:Compliant"),0))</f>
        <v/>
      </c>
      <c r="Z559" s="122">
        <f>IFERROR($Y560/MAX(1,(LEN($I560)-LEN(SUBSTITUTE($I560," Ltd","")))/LEN(" Ltd")),0)</f>
        <v/>
      </c>
      <c r="AA559" s="122">
        <f>IFERROR(IFERROR((LEN($T560)-LEN(SUBSTITUTE($T560,"Quality of Works / Criteria of Failings:","")))/LEN("Quality of Works / Criteria of Failings:"),0)/MAX(1,(LEN($I560)-LEN(SUBSTITUTE($I560," Ltd","")))/LEN(" Ltd")),0)</f>
        <v/>
      </c>
      <c r="AB559" s="122">
        <f>IFERROR(IFERROR((LEN($T560)-LEN(SUBSTITUTE($T560,"Quality of Works / Criteria of Failings:Compliant","")))/LEN("Quality of Works / Criteria of Failings:Compliant"),0)/MAX(1,(LEN($I560)-LEN(SUBSTITUTE($I560," Ltd","")))/LEN(" Ltd")),0)</f>
        <v/>
      </c>
    </row>
    <row r="560" ht="15.75" customHeight="1" s="146">
      <c r="Y560" s="122">
        <f>MAX(0,IFERROR((LEN($T561)-LEN(SUBSTITUTE($T561,"Quality of Works / Criteria of Failings:","")))/LEN("Quality of Works / Criteria of Failings:"),0)-IFERROR((LEN($T561)-LEN(SUBSTITUTE($T561,"Quality of Works / Criteria of Failings:Compliant","")))/LEN("Quality of Works / Criteria of Failings:Compliant"),0))</f>
        <v/>
      </c>
      <c r="Z560" s="122">
        <f>IFERROR($Y561/MAX(1,(LEN($I561)-LEN(SUBSTITUTE($I561," Ltd","")))/LEN(" Ltd")),0)</f>
        <v/>
      </c>
      <c r="AA560" s="122">
        <f>IFERROR(IFERROR((LEN($T561)-LEN(SUBSTITUTE($T561,"Quality of Works / Criteria of Failings:","")))/LEN("Quality of Works / Criteria of Failings:"),0)/MAX(1,(LEN($I561)-LEN(SUBSTITUTE($I561," Ltd","")))/LEN(" Ltd")),0)</f>
        <v/>
      </c>
      <c r="AB560" s="122">
        <f>IFERROR(IFERROR((LEN($T561)-LEN(SUBSTITUTE($T561,"Quality of Works / Criteria of Failings:Compliant","")))/LEN("Quality of Works / Criteria of Failings:Compliant"),0)/MAX(1,(LEN($I561)-LEN(SUBSTITUTE($I561," Ltd","")))/LEN(" Ltd")),0)</f>
        <v/>
      </c>
    </row>
    <row r="561" ht="15.75" customHeight="1" s="146">
      <c r="Y561" s="122">
        <f>MAX(0,IFERROR((LEN($T562)-LEN(SUBSTITUTE($T562,"Quality of Works / Criteria of Failings:","")))/LEN("Quality of Works / Criteria of Failings:"),0)-IFERROR((LEN($T562)-LEN(SUBSTITUTE($T562,"Quality of Works / Criteria of Failings:Compliant","")))/LEN("Quality of Works / Criteria of Failings:Compliant"),0))</f>
        <v/>
      </c>
      <c r="Z561" s="122">
        <f>IFERROR($Y562/MAX(1,(LEN($I562)-LEN(SUBSTITUTE($I562," Ltd","")))/LEN(" Ltd")),0)</f>
        <v/>
      </c>
      <c r="AA561" s="122">
        <f>IFERROR(IFERROR((LEN($T562)-LEN(SUBSTITUTE($T562,"Quality of Works / Criteria of Failings:","")))/LEN("Quality of Works / Criteria of Failings:"),0)/MAX(1,(LEN($I562)-LEN(SUBSTITUTE($I562," Ltd","")))/LEN(" Ltd")),0)</f>
        <v/>
      </c>
      <c r="AB561" s="122">
        <f>IFERROR(IFERROR((LEN($T562)-LEN(SUBSTITUTE($T562,"Quality of Works / Criteria of Failings:Compliant","")))/LEN("Quality of Works / Criteria of Failings:Compliant"),0)/MAX(1,(LEN($I562)-LEN(SUBSTITUTE($I562," Ltd","")))/LEN(" Ltd")),0)</f>
        <v/>
      </c>
    </row>
    <row r="562" ht="15.75" customHeight="1" s="146">
      <c r="Y562" s="122">
        <f>MAX(0,IFERROR((LEN($T563)-LEN(SUBSTITUTE($T563,"Quality of Works / Criteria of Failings:","")))/LEN("Quality of Works / Criteria of Failings:"),0)-IFERROR((LEN($T563)-LEN(SUBSTITUTE($T563,"Quality of Works / Criteria of Failings:Compliant","")))/LEN("Quality of Works / Criteria of Failings:Compliant"),0))</f>
        <v/>
      </c>
      <c r="Z562" s="122">
        <f>IFERROR($Y563/MAX(1,(LEN($I563)-LEN(SUBSTITUTE($I563," Ltd","")))/LEN(" Ltd")),0)</f>
        <v/>
      </c>
      <c r="AA562" s="122">
        <f>IFERROR(IFERROR((LEN($T563)-LEN(SUBSTITUTE($T563,"Quality of Works / Criteria of Failings:","")))/LEN("Quality of Works / Criteria of Failings:"),0)/MAX(1,(LEN($I563)-LEN(SUBSTITUTE($I563," Ltd","")))/LEN(" Ltd")),0)</f>
        <v/>
      </c>
      <c r="AB562" s="122">
        <f>IFERROR(IFERROR((LEN($T563)-LEN(SUBSTITUTE($T563,"Quality of Works / Criteria of Failings:Compliant","")))/LEN("Quality of Works / Criteria of Failings:Compliant"),0)/MAX(1,(LEN($I563)-LEN(SUBSTITUTE($I563," Ltd","")))/LEN(" Ltd")),0)</f>
        <v/>
      </c>
    </row>
    <row r="563" ht="15.75" customHeight="1" s="146">
      <c r="Y563" s="122">
        <f>MAX(0,IFERROR((LEN($T564)-LEN(SUBSTITUTE($T564,"Quality of Works / Criteria of Failings:","")))/LEN("Quality of Works / Criteria of Failings:"),0)-IFERROR((LEN($T564)-LEN(SUBSTITUTE($T564,"Quality of Works / Criteria of Failings:Compliant","")))/LEN("Quality of Works / Criteria of Failings:Compliant"),0))</f>
        <v/>
      </c>
      <c r="Z563" s="122">
        <f>IFERROR($Y564/MAX(1,(LEN($I564)-LEN(SUBSTITUTE($I564," Ltd","")))/LEN(" Ltd")),0)</f>
        <v/>
      </c>
      <c r="AA563" s="122">
        <f>IFERROR(IFERROR((LEN($T564)-LEN(SUBSTITUTE($T564,"Quality of Works / Criteria of Failings:","")))/LEN("Quality of Works / Criteria of Failings:"),0)/MAX(1,(LEN($I564)-LEN(SUBSTITUTE($I564," Ltd","")))/LEN(" Ltd")),0)</f>
        <v/>
      </c>
      <c r="AB563" s="122">
        <f>IFERROR(IFERROR((LEN($T564)-LEN(SUBSTITUTE($T564,"Quality of Works / Criteria of Failings:Compliant","")))/LEN("Quality of Works / Criteria of Failings:Compliant"),0)/MAX(1,(LEN($I564)-LEN(SUBSTITUTE($I564," Ltd","")))/LEN(" Ltd")),0)</f>
        <v/>
      </c>
    </row>
    <row r="564" ht="15.75" customHeight="1" s="146">
      <c r="Y564" s="122">
        <f>MAX(0,IFERROR((LEN($T565)-LEN(SUBSTITUTE($T565,"Quality of Works / Criteria of Failings:","")))/LEN("Quality of Works / Criteria of Failings:"),0)-IFERROR((LEN($T565)-LEN(SUBSTITUTE($T565,"Quality of Works / Criteria of Failings:Compliant","")))/LEN("Quality of Works / Criteria of Failings:Compliant"),0))</f>
        <v/>
      </c>
      <c r="Z564" s="122">
        <f>IFERROR($Y565/MAX(1,(LEN($I565)-LEN(SUBSTITUTE($I565," Ltd","")))/LEN(" Ltd")),0)</f>
        <v/>
      </c>
      <c r="AA564" s="122">
        <f>IFERROR(IFERROR((LEN($T565)-LEN(SUBSTITUTE($T565,"Quality of Works / Criteria of Failings:","")))/LEN("Quality of Works / Criteria of Failings:"),0)/MAX(1,(LEN($I565)-LEN(SUBSTITUTE($I565," Ltd","")))/LEN(" Ltd")),0)</f>
        <v/>
      </c>
      <c r="AB564" s="122">
        <f>IFERROR(IFERROR((LEN($T565)-LEN(SUBSTITUTE($T565,"Quality of Works / Criteria of Failings:Compliant","")))/LEN("Quality of Works / Criteria of Failings:Compliant"),0)/MAX(1,(LEN($I565)-LEN(SUBSTITUTE($I565," Ltd","")))/LEN(" Ltd")),0)</f>
        <v/>
      </c>
    </row>
    <row r="565" ht="15.75" customHeight="1" s="146">
      <c r="Y565" s="122">
        <f>MAX(0,IFERROR((LEN($T566)-LEN(SUBSTITUTE($T566,"Quality of Works / Criteria of Failings:","")))/LEN("Quality of Works / Criteria of Failings:"),0)-IFERROR((LEN($T566)-LEN(SUBSTITUTE($T566,"Quality of Works / Criteria of Failings:Compliant","")))/LEN("Quality of Works / Criteria of Failings:Compliant"),0))</f>
        <v/>
      </c>
      <c r="Z565" s="122">
        <f>IFERROR($Y566/MAX(1,(LEN($I566)-LEN(SUBSTITUTE($I566," Ltd","")))/LEN(" Ltd")),0)</f>
        <v/>
      </c>
      <c r="AA565" s="122">
        <f>IFERROR(IFERROR((LEN($T566)-LEN(SUBSTITUTE($T566,"Quality of Works / Criteria of Failings:","")))/LEN("Quality of Works / Criteria of Failings:"),0)/MAX(1,(LEN($I566)-LEN(SUBSTITUTE($I566," Ltd","")))/LEN(" Ltd")),0)</f>
        <v/>
      </c>
      <c r="AB565" s="122">
        <f>IFERROR(IFERROR((LEN($T566)-LEN(SUBSTITUTE($T566,"Quality of Works / Criteria of Failings:Compliant","")))/LEN("Quality of Works / Criteria of Failings:Compliant"),0)/MAX(1,(LEN($I566)-LEN(SUBSTITUTE($I566," Ltd","")))/LEN(" Ltd")),0)</f>
        <v/>
      </c>
    </row>
    <row r="566" ht="15.75" customHeight="1" s="146">
      <c r="Y566" s="122">
        <f>MAX(0,IFERROR((LEN($T567)-LEN(SUBSTITUTE($T567,"Quality of Works / Criteria of Failings:","")))/LEN("Quality of Works / Criteria of Failings:"),0)-IFERROR((LEN($T567)-LEN(SUBSTITUTE($T567,"Quality of Works / Criteria of Failings:Compliant","")))/LEN("Quality of Works / Criteria of Failings:Compliant"),0))</f>
        <v/>
      </c>
      <c r="Z566" s="122">
        <f>IFERROR($Y567/MAX(1,(LEN($I567)-LEN(SUBSTITUTE($I567," Ltd","")))/LEN(" Ltd")),0)</f>
        <v/>
      </c>
      <c r="AA566" s="122">
        <f>IFERROR(IFERROR((LEN($T567)-LEN(SUBSTITUTE($T567,"Quality of Works / Criteria of Failings:","")))/LEN("Quality of Works / Criteria of Failings:"),0)/MAX(1,(LEN($I567)-LEN(SUBSTITUTE($I567," Ltd","")))/LEN(" Ltd")),0)</f>
        <v/>
      </c>
      <c r="AB566" s="122">
        <f>IFERROR(IFERROR((LEN($T567)-LEN(SUBSTITUTE($T567,"Quality of Works / Criteria of Failings:Compliant","")))/LEN("Quality of Works / Criteria of Failings:Compliant"),0)/MAX(1,(LEN($I567)-LEN(SUBSTITUTE($I567," Ltd","")))/LEN(" Ltd")),0)</f>
        <v/>
      </c>
    </row>
    <row r="567" ht="15.75" customHeight="1" s="146">
      <c r="Y567" s="122">
        <f>MAX(0,IFERROR((LEN($T568)-LEN(SUBSTITUTE($T568,"Quality of Works / Criteria of Failings:","")))/LEN("Quality of Works / Criteria of Failings:"),0)-IFERROR((LEN($T568)-LEN(SUBSTITUTE($T568,"Quality of Works / Criteria of Failings:Compliant","")))/LEN("Quality of Works / Criteria of Failings:Compliant"),0))</f>
        <v/>
      </c>
      <c r="Z567" s="122">
        <f>IFERROR($Y568/MAX(1,(LEN($I568)-LEN(SUBSTITUTE($I568," Ltd","")))/LEN(" Ltd")),0)</f>
        <v/>
      </c>
      <c r="AA567" s="122">
        <f>IFERROR(IFERROR((LEN($T568)-LEN(SUBSTITUTE($T568,"Quality of Works / Criteria of Failings:","")))/LEN("Quality of Works / Criteria of Failings:"),0)/MAX(1,(LEN($I568)-LEN(SUBSTITUTE($I568," Ltd","")))/LEN(" Ltd")),0)</f>
        <v/>
      </c>
      <c r="AB567" s="122">
        <f>IFERROR(IFERROR((LEN($T568)-LEN(SUBSTITUTE($T568,"Quality of Works / Criteria of Failings:Compliant","")))/LEN("Quality of Works / Criteria of Failings:Compliant"),0)/MAX(1,(LEN($I568)-LEN(SUBSTITUTE($I568," Ltd","")))/LEN(" Ltd")),0)</f>
        <v/>
      </c>
    </row>
    <row r="568" ht="15.75" customHeight="1" s="146">
      <c r="Y568" s="122">
        <f>MAX(0,IFERROR((LEN($T569)-LEN(SUBSTITUTE($T569,"Quality of Works / Criteria of Failings:","")))/LEN("Quality of Works / Criteria of Failings:"),0)-IFERROR((LEN($T569)-LEN(SUBSTITUTE($T569,"Quality of Works / Criteria of Failings:Compliant","")))/LEN("Quality of Works / Criteria of Failings:Compliant"),0))</f>
        <v/>
      </c>
      <c r="Z568" s="122">
        <f>IFERROR($Y569/MAX(1,(LEN($I569)-LEN(SUBSTITUTE($I569," Ltd","")))/LEN(" Ltd")),0)</f>
        <v/>
      </c>
      <c r="AA568" s="122">
        <f>IFERROR(IFERROR((LEN($T569)-LEN(SUBSTITUTE($T569,"Quality of Works / Criteria of Failings:","")))/LEN("Quality of Works / Criteria of Failings:"),0)/MAX(1,(LEN($I569)-LEN(SUBSTITUTE($I569," Ltd","")))/LEN(" Ltd")),0)</f>
        <v/>
      </c>
      <c r="AB568" s="122">
        <f>IFERROR(IFERROR((LEN($T569)-LEN(SUBSTITUTE($T569,"Quality of Works / Criteria of Failings:Compliant","")))/LEN("Quality of Works / Criteria of Failings:Compliant"),0)/MAX(1,(LEN($I569)-LEN(SUBSTITUTE($I569," Ltd","")))/LEN(" Ltd")),0)</f>
        <v/>
      </c>
    </row>
    <row r="569" ht="15.75" customHeight="1" s="146">
      <c r="Y569" s="122">
        <f>MAX(0,IFERROR((LEN($T570)-LEN(SUBSTITUTE($T570,"Quality of Works / Criteria of Failings:","")))/LEN("Quality of Works / Criteria of Failings:"),0)-IFERROR((LEN($T570)-LEN(SUBSTITUTE($T570,"Quality of Works / Criteria of Failings:Compliant","")))/LEN("Quality of Works / Criteria of Failings:Compliant"),0))</f>
        <v/>
      </c>
      <c r="Z569" s="122">
        <f>IFERROR($Y570/MAX(1,(LEN($I570)-LEN(SUBSTITUTE($I570," Ltd","")))/LEN(" Ltd")),0)</f>
        <v/>
      </c>
      <c r="AA569" s="122">
        <f>IFERROR(IFERROR((LEN($T570)-LEN(SUBSTITUTE($T570,"Quality of Works / Criteria of Failings:","")))/LEN("Quality of Works / Criteria of Failings:"),0)/MAX(1,(LEN($I570)-LEN(SUBSTITUTE($I570," Ltd","")))/LEN(" Ltd")),0)</f>
        <v/>
      </c>
      <c r="AB569" s="122">
        <f>IFERROR(IFERROR((LEN($T570)-LEN(SUBSTITUTE($T570,"Quality of Works / Criteria of Failings:Compliant","")))/LEN("Quality of Works / Criteria of Failings:Compliant"),0)/MAX(1,(LEN($I570)-LEN(SUBSTITUTE($I570," Ltd","")))/LEN(" Ltd")),0)</f>
        <v/>
      </c>
    </row>
    <row r="570" ht="15.75" customHeight="1" s="146">
      <c r="Y570" s="122">
        <f>MAX(0,IFERROR((LEN($T571)-LEN(SUBSTITUTE($T571,"Quality of Works / Criteria of Failings:","")))/LEN("Quality of Works / Criteria of Failings:"),0)-IFERROR((LEN($T571)-LEN(SUBSTITUTE($T571,"Quality of Works / Criteria of Failings:Compliant","")))/LEN("Quality of Works / Criteria of Failings:Compliant"),0))</f>
        <v/>
      </c>
      <c r="Z570" s="122">
        <f>IFERROR($Y571/MAX(1,(LEN($I571)-LEN(SUBSTITUTE($I571," Ltd","")))/LEN(" Ltd")),0)</f>
        <v/>
      </c>
      <c r="AA570" s="122">
        <f>IFERROR(IFERROR((LEN($T571)-LEN(SUBSTITUTE($T571,"Quality of Works / Criteria of Failings:","")))/LEN("Quality of Works / Criteria of Failings:"),0)/MAX(1,(LEN($I571)-LEN(SUBSTITUTE($I571," Ltd","")))/LEN(" Ltd")),0)</f>
        <v/>
      </c>
      <c r="AB570" s="122">
        <f>IFERROR(IFERROR((LEN($T571)-LEN(SUBSTITUTE($T571,"Quality of Works / Criteria of Failings:Compliant","")))/LEN("Quality of Works / Criteria of Failings:Compliant"),0)/MAX(1,(LEN($I571)-LEN(SUBSTITUTE($I571," Ltd","")))/LEN(" Ltd")),0)</f>
        <v/>
      </c>
    </row>
    <row r="571" ht="15.75" customHeight="1" s="146">
      <c r="Y571" s="122">
        <f>MAX(0,IFERROR((LEN($T572)-LEN(SUBSTITUTE($T572,"Quality of Works / Criteria of Failings:","")))/LEN("Quality of Works / Criteria of Failings:"),0)-IFERROR((LEN($T572)-LEN(SUBSTITUTE($T572,"Quality of Works / Criteria of Failings:Compliant","")))/LEN("Quality of Works / Criteria of Failings:Compliant"),0))</f>
        <v/>
      </c>
      <c r="Z571" s="122">
        <f>IFERROR($Y572/MAX(1,(LEN($I572)-LEN(SUBSTITUTE($I572," Ltd","")))/LEN(" Ltd")),0)</f>
        <v/>
      </c>
      <c r="AA571" s="122">
        <f>IFERROR(IFERROR((LEN($T572)-LEN(SUBSTITUTE($T572,"Quality of Works / Criteria of Failings:","")))/LEN("Quality of Works / Criteria of Failings:"),0)/MAX(1,(LEN($I572)-LEN(SUBSTITUTE($I572," Ltd","")))/LEN(" Ltd")),0)</f>
        <v/>
      </c>
      <c r="AB571" s="122">
        <f>IFERROR(IFERROR((LEN($T572)-LEN(SUBSTITUTE($T572,"Quality of Works / Criteria of Failings:Compliant","")))/LEN("Quality of Works / Criteria of Failings:Compliant"),0)/MAX(1,(LEN($I572)-LEN(SUBSTITUTE($I572," Ltd","")))/LEN(" Ltd")),0)</f>
        <v/>
      </c>
    </row>
    <row r="572" ht="15.75" customHeight="1" s="146">
      <c r="Y572" s="122">
        <f>MAX(0,IFERROR((LEN($T573)-LEN(SUBSTITUTE($T573,"Quality of Works / Criteria of Failings:","")))/LEN("Quality of Works / Criteria of Failings:"),0)-IFERROR((LEN($T573)-LEN(SUBSTITUTE($T573,"Quality of Works / Criteria of Failings:Compliant","")))/LEN("Quality of Works / Criteria of Failings:Compliant"),0))</f>
        <v/>
      </c>
      <c r="Z572" s="122">
        <f>IFERROR($Y573/MAX(1,(LEN($I573)-LEN(SUBSTITUTE($I573," Ltd","")))/LEN(" Ltd")),0)</f>
        <v/>
      </c>
      <c r="AA572" s="122">
        <f>IFERROR(IFERROR((LEN($T573)-LEN(SUBSTITUTE($T573,"Quality of Works / Criteria of Failings:","")))/LEN("Quality of Works / Criteria of Failings:"),0)/MAX(1,(LEN($I573)-LEN(SUBSTITUTE($I573," Ltd","")))/LEN(" Ltd")),0)</f>
        <v/>
      </c>
      <c r="AB572" s="122">
        <f>IFERROR(IFERROR((LEN($T573)-LEN(SUBSTITUTE($T573,"Quality of Works / Criteria of Failings:Compliant","")))/LEN("Quality of Works / Criteria of Failings:Compliant"),0)/MAX(1,(LEN($I573)-LEN(SUBSTITUTE($I573," Ltd","")))/LEN(" Ltd")),0)</f>
        <v/>
      </c>
    </row>
    <row r="573" ht="15.75" customHeight="1" s="146">
      <c r="Y573" s="122">
        <f>MAX(0,IFERROR((LEN($T574)-LEN(SUBSTITUTE($T574,"Quality of Works / Criteria of Failings:","")))/LEN("Quality of Works / Criteria of Failings:"),0)-IFERROR((LEN($T574)-LEN(SUBSTITUTE($T574,"Quality of Works / Criteria of Failings:Compliant","")))/LEN("Quality of Works / Criteria of Failings:Compliant"),0))</f>
        <v/>
      </c>
      <c r="Z573" s="122">
        <f>IFERROR($Y574/MAX(1,(LEN($I574)-LEN(SUBSTITUTE($I574," Ltd","")))/LEN(" Ltd")),0)</f>
        <v/>
      </c>
      <c r="AA573" s="122">
        <f>IFERROR(IFERROR((LEN($T574)-LEN(SUBSTITUTE($T574,"Quality of Works / Criteria of Failings:","")))/LEN("Quality of Works / Criteria of Failings:"),0)/MAX(1,(LEN($I574)-LEN(SUBSTITUTE($I574," Ltd","")))/LEN(" Ltd")),0)</f>
        <v/>
      </c>
      <c r="AB573" s="122">
        <f>IFERROR(IFERROR((LEN($T574)-LEN(SUBSTITUTE($T574,"Quality of Works / Criteria of Failings:Compliant","")))/LEN("Quality of Works / Criteria of Failings:Compliant"),0)/MAX(1,(LEN($I574)-LEN(SUBSTITUTE($I574," Ltd","")))/LEN(" Ltd")),0)</f>
        <v/>
      </c>
    </row>
    <row r="574" ht="15.75" customHeight="1" s="146">
      <c r="Y574" s="122">
        <f>MAX(0,IFERROR((LEN($T575)-LEN(SUBSTITUTE($T575,"Quality of Works / Criteria of Failings:","")))/LEN("Quality of Works / Criteria of Failings:"),0)-IFERROR((LEN($T575)-LEN(SUBSTITUTE($T575,"Quality of Works / Criteria of Failings:Compliant","")))/LEN("Quality of Works / Criteria of Failings:Compliant"),0))</f>
        <v/>
      </c>
      <c r="Z574" s="122">
        <f>IFERROR($Y575/MAX(1,(LEN($I575)-LEN(SUBSTITUTE($I575," Ltd","")))/LEN(" Ltd")),0)</f>
        <v/>
      </c>
      <c r="AA574" s="122">
        <f>IFERROR(IFERROR((LEN($T575)-LEN(SUBSTITUTE($T575,"Quality of Works / Criteria of Failings:","")))/LEN("Quality of Works / Criteria of Failings:"),0)/MAX(1,(LEN($I575)-LEN(SUBSTITUTE($I575," Ltd","")))/LEN(" Ltd")),0)</f>
        <v/>
      </c>
      <c r="AB574" s="122">
        <f>IFERROR(IFERROR((LEN($T575)-LEN(SUBSTITUTE($T575,"Quality of Works / Criteria of Failings:Compliant","")))/LEN("Quality of Works / Criteria of Failings:Compliant"),0)/MAX(1,(LEN($I575)-LEN(SUBSTITUTE($I575," Ltd","")))/LEN(" Ltd")),0)</f>
        <v/>
      </c>
    </row>
    <row r="575" ht="15.75" customHeight="1" s="146">
      <c r="Y575" s="122">
        <f>MAX(0,IFERROR((LEN($T576)-LEN(SUBSTITUTE($T576,"Quality of Works / Criteria of Failings:","")))/LEN("Quality of Works / Criteria of Failings:"),0)-IFERROR((LEN($T576)-LEN(SUBSTITUTE($T576,"Quality of Works / Criteria of Failings:Compliant","")))/LEN("Quality of Works / Criteria of Failings:Compliant"),0))</f>
        <v/>
      </c>
      <c r="Z575" s="122">
        <f>IFERROR($Y576/MAX(1,(LEN($I576)-LEN(SUBSTITUTE($I576," Ltd","")))/LEN(" Ltd")),0)</f>
        <v/>
      </c>
      <c r="AA575" s="122">
        <f>IFERROR(IFERROR((LEN($T576)-LEN(SUBSTITUTE($T576,"Quality of Works / Criteria of Failings:","")))/LEN("Quality of Works / Criteria of Failings:"),0)/MAX(1,(LEN($I576)-LEN(SUBSTITUTE($I576," Ltd","")))/LEN(" Ltd")),0)</f>
        <v/>
      </c>
      <c r="AB575" s="122">
        <f>IFERROR(IFERROR((LEN($T576)-LEN(SUBSTITUTE($T576,"Quality of Works / Criteria of Failings:Compliant","")))/LEN("Quality of Works / Criteria of Failings:Compliant"),0)/MAX(1,(LEN($I576)-LEN(SUBSTITUTE($I576," Ltd","")))/LEN(" Ltd")),0)</f>
        <v/>
      </c>
    </row>
    <row r="576" ht="15.75" customHeight="1" s="146">
      <c r="Y576" s="122">
        <f>MAX(0,IFERROR((LEN($T577)-LEN(SUBSTITUTE($T577,"Quality of Works / Criteria of Failings:","")))/LEN("Quality of Works / Criteria of Failings:"),0)-IFERROR((LEN($T577)-LEN(SUBSTITUTE($T577,"Quality of Works / Criteria of Failings:Compliant","")))/LEN("Quality of Works / Criteria of Failings:Compliant"),0))</f>
        <v/>
      </c>
      <c r="Z576" s="122">
        <f>IFERROR($Y577/MAX(1,(LEN($I577)-LEN(SUBSTITUTE($I577," Ltd","")))/LEN(" Ltd")),0)</f>
        <v/>
      </c>
      <c r="AA576" s="122">
        <f>IFERROR(IFERROR((LEN($T577)-LEN(SUBSTITUTE($T577,"Quality of Works / Criteria of Failings:","")))/LEN("Quality of Works / Criteria of Failings:"),0)/MAX(1,(LEN($I577)-LEN(SUBSTITUTE($I577," Ltd","")))/LEN(" Ltd")),0)</f>
        <v/>
      </c>
      <c r="AB576" s="122">
        <f>IFERROR(IFERROR((LEN($T577)-LEN(SUBSTITUTE($T577,"Quality of Works / Criteria of Failings:Compliant","")))/LEN("Quality of Works / Criteria of Failings:Compliant"),0)/MAX(1,(LEN($I577)-LEN(SUBSTITUTE($I577," Ltd","")))/LEN(" Ltd")),0)</f>
        <v/>
      </c>
    </row>
    <row r="577" ht="15.75" customHeight="1" s="146">
      <c r="Y577" s="122">
        <f>MAX(0,IFERROR((LEN($T578)-LEN(SUBSTITUTE($T578,"Quality of Works / Criteria of Failings:","")))/LEN("Quality of Works / Criteria of Failings:"),0)-IFERROR((LEN($T578)-LEN(SUBSTITUTE($T578,"Quality of Works / Criteria of Failings:Compliant","")))/LEN("Quality of Works / Criteria of Failings:Compliant"),0))</f>
        <v/>
      </c>
      <c r="Z577" s="122">
        <f>IFERROR($Y578/MAX(1,(LEN($I578)-LEN(SUBSTITUTE($I578," Ltd","")))/LEN(" Ltd")),0)</f>
        <v/>
      </c>
      <c r="AA577" s="122">
        <f>IFERROR(IFERROR((LEN($T578)-LEN(SUBSTITUTE($T578,"Quality of Works / Criteria of Failings:","")))/LEN("Quality of Works / Criteria of Failings:"),0)/MAX(1,(LEN($I578)-LEN(SUBSTITUTE($I578," Ltd","")))/LEN(" Ltd")),0)</f>
        <v/>
      </c>
      <c r="AB577" s="122">
        <f>IFERROR(IFERROR((LEN($T578)-LEN(SUBSTITUTE($T578,"Quality of Works / Criteria of Failings:Compliant","")))/LEN("Quality of Works / Criteria of Failings:Compliant"),0)/MAX(1,(LEN($I578)-LEN(SUBSTITUTE($I578," Ltd","")))/LEN(" Ltd")),0)</f>
        <v/>
      </c>
    </row>
    <row r="578" ht="15.75" customHeight="1" s="146">
      <c r="Y578" s="122">
        <f>MAX(0,IFERROR((LEN($T579)-LEN(SUBSTITUTE($T579,"Quality of Works / Criteria of Failings:","")))/LEN("Quality of Works / Criteria of Failings:"),0)-IFERROR((LEN($T579)-LEN(SUBSTITUTE($T579,"Quality of Works / Criteria of Failings:Compliant","")))/LEN("Quality of Works / Criteria of Failings:Compliant"),0))</f>
        <v/>
      </c>
      <c r="Z578" s="122">
        <f>IFERROR($Y579/MAX(1,(LEN($I579)-LEN(SUBSTITUTE($I579," Ltd","")))/LEN(" Ltd")),0)</f>
        <v/>
      </c>
      <c r="AA578" s="122">
        <f>IFERROR(IFERROR((LEN($T579)-LEN(SUBSTITUTE($T579,"Quality of Works / Criteria of Failings:","")))/LEN("Quality of Works / Criteria of Failings:"),0)/MAX(1,(LEN($I579)-LEN(SUBSTITUTE($I579," Ltd","")))/LEN(" Ltd")),0)</f>
        <v/>
      </c>
      <c r="AB578" s="122">
        <f>IFERROR(IFERROR((LEN($T579)-LEN(SUBSTITUTE($T579,"Quality of Works / Criteria of Failings:Compliant","")))/LEN("Quality of Works / Criteria of Failings:Compliant"),0)/MAX(1,(LEN($I579)-LEN(SUBSTITUTE($I579," Ltd","")))/LEN(" Ltd")),0)</f>
        <v/>
      </c>
    </row>
    <row r="579" ht="15.75" customHeight="1" s="146">
      <c r="Y579" s="122">
        <f>MAX(0,IFERROR((LEN($T580)-LEN(SUBSTITUTE($T580,"Quality of Works / Criteria of Failings:","")))/LEN("Quality of Works / Criteria of Failings:"),0)-IFERROR((LEN($T580)-LEN(SUBSTITUTE($T580,"Quality of Works / Criteria of Failings:Compliant","")))/LEN("Quality of Works / Criteria of Failings:Compliant"),0))</f>
        <v/>
      </c>
      <c r="Z579" s="122">
        <f>IFERROR($Y580/MAX(1,(LEN($I580)-LEN(SUBSTITUTE($I580," Ltd","")))/LEN(" Ltd")),0)</f>
        <v/>
      </c>
      <c r="AA579" s="122">
        <f>IFERROR(IFERROR((LEN($T580)-LEN(SUBSTITUTE($T580,"Quality of Works / Criteria of Failings:","")))/LEN("Quality of Works / Criteria of Failings:"),0)/MAX(1,(LEN($I580)-LEN(SUBSTITUTE($I580," Ltd","")))/LEN(" Ltd")),0)</f>
        <v/>
      </c>
      <c r="AB579" s="122">
        <f>IFERROR(IFERROR((LEN($T580)-LEN(SUBSTITUTE($T580,"Quality of Works / Criteria of Failings:Compliant","")))/LEN("Quality of Works / Criteria of Failings:Compliant"),0)/MAX(1,(LEN($I580)-LEN(SUBSTITUTE($I580," Ltd","")))/LEN(" Ltd")),0)</f>
        <v/>
      </c>
    </row>
    <row r="580" ht="15.75" customHeight="1" s="146">
      <c r="Y580" s="122">
        <f>MAX(0,IFERROR((LEN($T581)-LEN(SUBSTITUTE($T581,"Quality of Works / Criteria of Failings:","")))/LEN("Quality of Works / Criteria of Failings:"),0)-IFERROR((LEN($T581)-LEN(SUBSTITUTE($T581,"Quality of Works / Criteria of Failings:Compliant","")))/LEN("Quality of Works / Criteria of Failings:Compliant"),0))</f>
        <v/>
      </c>
      <c r="Z580" s="122">
        <f>IFERROR($Y581/MAX(1,(LEN($I581)-LEN(SUBSTITUTE($I581," Ltd","")))/LEN(" Ltd")),0)</f>
        <v/>
      </c>
      <c r="AA580" s="122">
        <f>IFERROR(IFERROR((LEN($T581)-LEN(SUBSTITUTE($T581,"Quality of Works / Criteria of Failings:","")))/LEN("Quality of Works / Criteria of Failings:"),0)/MAX(1,(LEN($I581)-LEN(SUBSTITUTE($I581," Ltd","")))/LEN(" Ltd")),0)</f>
        <v/>
      </c>
      <c r="AB580" s="122">
        <f>IFERROR(IFERROR((LEN($T581)-LEN(SUBSTITUTE($T581,"Quality of Works / Criteria of Failings:Compliant","")))/LEN("Quality of Works / Criteria of Failings:Compliant"),0)/MAX(1,(LEN($I581)-LEN(SUBSTITUTE($I581," Ltd","")))/LEN(" Ltd")),0)</f>
        <v/>
      </c>
    </row>
    <row r="581" ht="15.75" customHeight="1" s="146">
      <c r="Y581" s="122">
        <f>MAX(0,IFERROR((LEN($T582)-LEN(SUBSTITUTE($T582,"Quality of Works / Criteria of Failings:","")))/LEN("Quality of Works / Criteria of Failings:"),0)-IFERROR((LEN($T582)-LEN(SUBSTITUTE($T582,"Quality of Works / Criteria of Failings:Compliant","")))/LEN("Quality of Works / Criteria of Failings:Compliant"),0))</f>
        <v/>
      </c>
      <c r="Z581" s="122">
        <f>IFERROR($Y582/MAX(1,(LEN($I582)-LEN(SUBSTITUTE($I582," Ltd","")))/LEN(" Ltd")),0)</f>
        <v/>
      </c>
      <c r="AA581" s="122">
        <f>IFERROR(IFERROR((LEN($T582)-LEN(SUBSTITUTE($T582,"Quality of Works / Criteria of Failings:","")))/LEN("Quality of Works / Criteria of Failings:"),0)/MAX(1,(LEN($I582)-LEN(SUBSTITUTE($I582," Ltd","")))/LEN(" Ltd")),0)</f>
        <v/>
      </c>
      <c r="AB581" s="122">
        <f>IFERROR(IFERROR((LEN($T582)-LEN(SUBSTITUTE($T582,"Quality of Works / Criteria of Failings:Compliant","")))/LEN("Quality of Works / Criteria of Failings:Compliant"),0)/MAX(1,(LEN($I582)-LEN(SUBSTITUTE($I582," Ltd","")))/LEN(" Ltd")),0)</f>
        <v/>
      </c>
    </row>
    <row r="582" ht="15.75" customHeight="1" s="146">
      <c r="Y582" s="122">
        <f>MAX(0,IFERROR((LEN($T583)-LEN(SUBSTITUTE($T583,"Quality of Works / Criteria of Failings:","")))/LEN("Quality of Works / Criteria of Failings:"),0)-IFERROR((LEN($T583)-LEN(SUBSTITUTE($T583,"Quality of Works / Criteria of Failings:Compliant","")))/LEN("Quality of Works / Criteria of Failings:Compliant"),0))</f>
        <v/>
      </c>
      <c r="Z582" s="122">
        <f>IFERROR($Y583/MAX(1,(LEN($I583)-LEN(SUBSTITUTE($I583," Ltd","")))/LEN(" Ltd")),0)</f>
        <v/>
      </c>
      <c r="AA582" s="122">
        <f>IFERROR(IFERROR((LEN($T583)-LEN(SUBSTITUTE($T583,"Quality of Works / Criteria of Failings:","")))/LEN("Quality of Works / Criteria of Failings:"),0)/MAX(1,(LEN($I583)-LEN(SUBSTITUTE($I583," Ltd","")))/LEN(" Ltd")),0)</f>
        <v/>
      </c>
      <c r="AB582" s="122">
        <f>IFERROR(IFERROR((LEN($T583)-LEN(SUBSTITUTE($T583,"Quality of Works / Criteria of Failings:Compliant","")))/LEN("Quality of Works / Criteria of Failings:Compliant"),0)/MAX(1,(LEN($I583)-LEN(SUBSTITUTE($I583," Ltd","")))/LEN(" Ltd")),0)</f>
        <v/>
      </c>
    </row>
    <row r="583" ht="15.75" customHeight="1" s="146">
      <c r="Y583" s="122">
        <f>MAX(0,IFERROR((LEN($T584)-LEN(SUBSTITUTE($T584,"Quality of Works / Criteria of Failings:","")))/LEN("Quality of Works / Criteria of Failings:"),0)-IFERROR((LEN($T584)-LEN(SUBSTITUTE($T584,"Quality of Works / Criteria of Failings:Compliant","")))/LEN("Quality of Works / Criteria of Failings:Compliant"),0))</f>
        <v/>
      </c>
      <c r="Z583" s="122">
        <f>IFERROR($Y584/MAX(1,(LEN($I584)-LEN(SUBSTITUTE($I584," Ltd","")))/LEN(" Ltd")),0)</f>
        <v/>
      </c>
      <c r="AA583" s="122">
        <f>IFERROR(IFERROR((LEN($T584)-LEN(SUBSTITUTE($T584,"Quality of Works / Criteria of Failings:","")))/LEN("Quality of Works / Criteria of Failings:"),0)/MAX(1,(LEN($I584)-LEN(SUBSTITUTE($I584," Ltd","")))/LEN(" Ltd")),0)</f>
        <v/>
      </c>
      <c r="AB583" s="122">
        <f>IFERROR(IFERROR((LEN($T584)-LEN(SUBSTITUTE($T584,"Quality of Works / Criteria of Failings:Compliant","")))/LEN("Quality of Works / Criteria of Failings:Compliant"),0)/MAX(1,(LEN($I584)-LEN(SUBSTITUTE($I584," Ltd","")))/LEN(" Ltd")),0)</f>
        <v/>
      </c>
    </row>
    <row r="584" ht="15.75" customHeight="1" s="146">
      <c r="Y584" s="122">
        <f>MAX(0,IFERROR((LEN($T585)-LEN(SUBSTITUTE($T585,"Quality of Works / Criteria of Failings:","")))/LEN("Quality of Works / Criteria of Failings:"),0)-IFERROR((LEN($T585)-LEN(SUBSTITUTE($T585,"Quality of Works / Criteria of Failings:Compliant","")))/LEN("Quality of Works / Criteria of Failings:Compliant"),0))</f>
        <v/>
      </c>
      <c r="Z584" s="122">
        <f>IFERROR($Y585/MAX(1,(LEN($I585)-LEN(SUBSTITUTE($I585," Ltd","")))/LEN(" Ltd")),0)</f>
        <v/>
      </c>
      <c r="AA584" s="122">
        <f>IFERROR(IFERROR((LEN($T585)-LEN(SUBSTITUTE($T585,"Quality of Works / Criteria of Failings:","")))/LEN("Quality of Works / Criteria of Failings:"),0)/MAX(1,(LEN($I585)-LEN(SUBSTITUTE($I585," Ltd","")))/LEN(" Ltd")),0)</f>
        <v/>
      </c>
      <c r="AB584" s="122">
        <f>IFERROR(IFERROR((LEN($T585)-LEN(SUBSTITUTE($T585,"Quality of Works / Criteria of Failings:Compliant","")))/LEN("Quality of Works / Criteria of Failings:Compliant"),0)/MAX(1,(LEN($I585)-LEN(SUBSTITUTE($I585," Ltd","")))/LEN(" Ltd")),0)</f>
        <v/>
      </c>
    </row>
    <row r="585" ht="15.75" customHeight="1" s="146">
      <c r="Y585" s="122">
        <f>MAX(0,IFERROR((LEN($T586)-LEN(SUBSTITUTE($T586,"Quality of Works / Criteria of Failings:","")))/LEN("Quality of Works / Criteria of Failings:"),0)-IFERROR((LEN($T586)-LEN(SUBSTITUTE($T586,"Quality of Works / Criteria of Failings:Compliant","")))/LEN("Quality of Works / Criteria of Failings:Compliant"),0))</f>
        <v/>
      </c>
      <c r="Z585" s="122">
        <f>IFERROR($Y586/MAX(1,(LEN($I586)-LEN(SUBSTITUTE($I586," Ltd","")))/LEN(" Ltd")),0)</f>
        <v/>
      </c>
      <c r="AA585" s="122">
        <f>IFERROR(IFERROR((LEN($T586)-LEN(SUBSTITUTE($T586,"Quality of Works / Criteria of Failings:","")))/LEN("Quality of Works / Criteria of Failings:"),0)/MAX(1,(LEN($I586)-LEN(SUBSTITUTE($I586," Ltd","")))/LEN(" Ltd")),0)</f>
        <v/>
      </c>
      <c r="AB585" s="122">
        <f>IFERROR(IFERROR((LEN($T586)-LEN(SUBSTITUTE($T586,"Quality of Works / Criteria of Failings:Compliant","")))/LEN("Quality of Works / Criteria of Failings:Compliant"),0)/MAX(1,(LEN($I586)-LEN(SUBSTITUTE($I586," Ltd","")))/LEN(" Ltd")),0)</f>
        <v/>
      </c>
    </row>
    <row r="586" ht="15.75" customHeight="1" s="146">
      <c r="Y586" s="122">
        <f>MAX(0,IFERROR((LEN($T587)-LEN(SUBSTITUTE($T587,"Quality of Works / Criteria of Failings:","")))/LEN("Quality of Works / Criteria of Failings:"),0)-IFERROR((LEN($T587)-LEN(SUBSTITUTE($T587,"Quality of Works / Criteria of Failings:Compliant","")))/LEN("Quality of Works / Criteria of Failings:Compliant"),0))</f>
        <v/>
      </c>
      <c r="Z586" s="122">
        <f>IFERROR($Y587/MAX(1,(LEN($I587)-LEN(SUBSTITUTE($I587," Ltd","")))/LEN(" Ltd")),0)</f>
        <v/>
      </c>
      <c r="AA586" s="122">
        <f>IFERROR(IFERROR((LEN($T587)-LEN(SUBSTITUTE($T587,"Quality of Works / Criteria of Failings:","")))/LEN("Quality of Works / Criteria of Failings:"),0)/MAX(1,(LEN($I587)-LEN(SUBSTITUTE($I587," Ltd","")))/LEN(" Ltd")),0)</f>
        <v/>
      </c>
      <c r="AB586" s="122">
        <f>IFERROR(IFERROR((LEN($T587)-LEN(SUBSTITUTE($T587,"Quality of Works / Criteria of Failings:Compliant","")))/LEN("Quality of Works / Criteria of Failings:Compliant"),0)/MAX(1,(LEN($I587)-LEN(SUBSTITUTE($I587," Ltd","")))/LEN(" Ltd")),0)</f>
        <v/>
      </c>
    </row>
    <row r="587" ht="15.75" customHeight="1" s="146">
      <c r="Y587" s="122">
        <f>MAX(0,IFERROR((LEN($T588)-LEN(SUBSTITUTE($T588,"Quality of Works / Criteria of Failings:","")))/LEN("Quality of Works / Criteria of Failings:"),0)-IFERROR((LEN($T588)-LEN(SUBSTITUTE($T588,"Quality of Works / Criteria of Failings:Compliant","")))/LEN("Quality of Works / Criteria of Failings:Compliant"),0))</f>
        <v/>
      </c>
      <c r="Z587" s="122">
        <f>IFERROR($Y588/MAX(1,(LEN($I588)-LEN(SUBSTITUTE($I588," Ltd","")))/LEN(" Ltd")),0)</f>
        <v/>
      </c>
      <c r="AA587" s="122">
        <f>IFERROR(IFERROR((LEN($T588)-LEN(SUBSTITUTE($T588,"Quality of Works / Criteria of Failings:","")))/LEN("Quality of Works / Criteria of Failings:"),0)/MAX(1,(LEN($I588)-LEN(SUBSTITUTE($I588," Ltd","")))/LEN(" Ltd")),0)</f>
        <v/>
      </c>
      <c r="AB587" s="122">
        <f>IFERROR(IFERROR((LEN($T588)-LEN(SUBSTITUTE($T588,"Quality of Works / Criteria of Failings:Compliant","")))/LEN("Quality of Works / Criteria of Failings:Compliant"),0)/MAX(1,(LEN($I588)-LEN(SUBSTITUTE($I588," Ltd","")))/LEN(" Ltd")),0)</f>
        <v/>
      </c>
    </row>
    <row r="588" ht="15.75" customHeight="1" s="146">
      <c r="Y588" s="122">
        <f>MAX(0,IFERROR((LEN($T589)-LEN(SUBSTITUTE($T589,"Quality of Works / Criteria of Failings:","")))/LEN("Quality of Works / Criteria of Failings:"),0)-IFERROR((LEN($T589)-LEN(SUBSTITUTE($T589,"Quality of Works / Criteria of Failings:Compliant","")))/LEN("Quality of Works / Criteria of Failings:Compliant"),0))</f>
        <v/>
      </c>
      <c r="Z588" s="122">
        <f>IFERROR($Y589/MAX(1,(LEN($I589)-LEN(SUBSTITUTE($I589," Ltd","")))/LEN(" Ltd")),0)</f>
        <v/>
      </c>
      <c r="AA588" s="122">
        <f>IFERROR(IFERROR((LEN($T589)-LEN(SUBSTITUTE($T589,"Quality of Works / Criteria of Failings:","")))/LEN("Quality of Works / Criteria of Failings:"),0)/MAX(1,(LEN($I589)-LEN(SUBSTITUTE($I589," Ltd","")))/LEN(" Ltd")),0)</f>
        <v/>
      </c>
      <c r="AB588" s="122">
        <f>IFERROR(IFERROR((LEN($T589)-LEN(SUBSTITUTE($T589,"Quality of Works / Criteria of Failings:Compliant","")))/LEN("Quality of Works / Criteria of Failings:Compliant"),0)/MAX(1,(LEN($I589)-LEN(SUBSTITUTE($I589," Ltd","")))/LEN(" Ltd")),0)</f>
        <v/>
      </c>
    </row>
    <row r="589" ht="15.75" customHeight="1" s="146">
      <c r="Y589" s="122">
        <f>MAX(0,IFERROR((LEN($T590)-LEN(SUBSTITUTE($T590,"Quality of Works / Criteria of Failings:","")))/LEN("Quality of Works / Criteria of Failings:"),0)-IFERROR((LEN($T590)-LEN(SUBSTITUTE($T590,"Quality of Works / Criteria of Failings:Compliant","")))/LEN("Quality of Works / Criteria of Failings:Compliant"),0))</f>
        <v/>
      </c>
      <c r="Z589" s="122">
        <f>IFERROR($Y590/MAX(1,(LEN($I590)-LEN(SUBSTITUTE($I590," Ltd","")))/LEN(" Ltd")),0)</f>
        <v/>
      </c>
      <c r="AA589" s="122">
        <f>IFERROR(IFERROR((LEN($T590)-LEN(SUBSTITUTE($T590,"Quality of Works / Criteria of Failings:","")))/LEN("Quality of Works / Criteria of Failings:"),0)/MAX(1,(LEN($I590)-LEN(SUBSTITUTE($I590," Ltd","")))/LEN(" Ltd")),0)</f>
        <v/>
      </c>
      <c r="AB589" s="122">
        <f>IFERROR(IFERROR((LEN($T590)-LEN(SUBSTITUTE($T590,"Quality of Works / Criteria of Failings:Compliant","")))/LEN("Quality of Works / Criteria of Failings:Compliant"),0)/MAX(1,(LEN($I590)-LEN(SUBSTITUTE($I590," Ltd","")))/LEN(" Ltd")),0)</f>
        <v/>
      </c>
    </row>
    <row r="590" ht="15.75" customHeight="1" s="146">
      <c r="Y590" s="122">
        <f>MAX(0,IFERROR((LEN($T591)-LEN(SUBSTITUTE($T591,"Quality of Works / Criteria of Failings:","")))/LEN("Quality of Works / Criteria of Failings:"),0)-IFERROR((LEN($T591)-LEN(SUBSTITUTE($T591,"Quality of Works / Criteria of Failings:Compliant","")))/LEN("Quality of Works / Criteria of Failings:Compliant"),0))</f>
        <v/>
      </c>
      <c r="Z590" s="122">
        <f>IFERROR($Y591/MAX(1,(LEN($I591)-LEN(SUBSTITUTE($I591," Ltd","")))/LEN(" Ltd")),0)</f>
        <v/>
      </c>
      <c r="AA590" s="122">
        <f>IFERROR(IFERROR((LEN($T591)-LEN(SUBSTITUTE($T591,"Quality of Works / Criteria of Failings:","")))/LEN("Quality of Works / Criteria of Failings:"),0)/MAX(1,(LEN($I591)-LEN(SUBSTITUTE($I591," Ltd","")))/LEN(" Ltd")),0)</f>
        <v/>
      </c>
      <c r="AB590" s="122">
        <f>IFERROR(IFERROR((LEN($T591)-LEN(SUBSTITUTE($T591,"Quality of Works / Criteria of Failings:Compliant","")))/LEN("Quality of Works / Criteria of Failings:Compliant"),0)/MAX(1,(LEN($I591)-LEN(SUBSTITUTE($I591," Ltd","")))/LEN(" Ltd")),0)</f>
        <v/>
      </c>
    </row>
    <row r="591" ht="15.75" customHeight="1" s="146">
      <c r="Y591" s="122">
        <f>MAX(0,IFERROR((LEN($T592)-LEN(SUBSTITUTE($T592,"Quality of Works / Criteria of Failings:","")))/LEN("Quality of Works / Criteria of Failings:"),0)-IFERROR((LEN($T592)-LEN(SUBSTITUTE($T592,"Quality of Works / Criteria of Failings:Compliant","")))/LEN("Quality of Works / Criteria of Failings:Compliant"),0))</f>
        <v/>
      </c>
      <c r="Z591" s="122">
        <f>IFERROR($Y592/MAX(1,(LEN($I592)-LEN(SUBSTITUTE($I592," Ltd","")))/LEN(" Ltd")),0)</f>
        <v/>
      </c>
      <c r="AA591" s="122">
        <f>IFERROR(IFERROR((LEN($T592)-LEN(SUBSTITUTE($T592,"Quality of Works / Criteria of Failings:","")))/LEN("Quality of Works / Criteria of Failings:"),0)/MAX(1,(LEN($I592)-LEN(SUBSTITUTE($I592," Ltd","")))/LEN(" Ltd")),0)</f>
        <v/>
      </c>
      <c r="AB591" s="122">
        <f>IFERROR(IFERROR((LEN($T592)-LEN(SUBSTITUTE($T592,"Quality of Works / Criteria of Failings:Compliant","")))/LEN("Quality of Works / Criteria of Failings:Compliant"),0)/MAX(1,(LEN($I592)-LEN(SUBSTITUTE($I592," Ltd","")))/LEN(" Ltd")),0)</f>
        <v/>
      </c>
    </row>
    <row r="592" ht="15.75" customHeight="1" s="146">
      <c r="Y592" s="122">
        <f>MAX(0,IFERROR((LEN($T593)-LEN(SUBSTITUTE($T593,"Quality of Works / Criteria of Failings:","")))/LEN("Quality of Works / Criteria of Failings:"),0)-IFERROR((LEN($T593)-LEN(SUBSTITUTE($T593,"Quality of Works / Criteria of Failings:Compliant","")))/LEN("Quality of Works / Criteria of Failings:Compliant"),0))</f>
        <v/>
      </c>
      <c r="Z592" s="122">
        <f>IFERROR($Y593/MAX(1,(LEN($I593)-LEN(SUBSTITUTE($I593," Ltd","")))/LEN(" Ltd")),0)</f>
        <v/>
      </c>
      <c r="AA592" s="122">
        <f>IFERROR(IFERROR((LEN($T593)-LEN(SUBSTITUTE($T593,"Quality of Works / Criteria of Failings:","")))/LEN("Quality of Works / Criteria of Failings:"),0)/MAX(1,(LEN($I593)-LEN(SUBSTITUTE($I593," Ltd","")))/LEN(" Ltd")),0)</f>
        <v/>
      </c>
      <c r="AB592" s="122">
        <f>IFERROR(IFERROR((LEN($T593)-LEN(SUBSTITUTE($T593,"Quality of Works / Criteria of Failings:Compliant","")))/LEN("Quality of Works / Criteria of Failings:Compliant"),0)/MAX(1,(LEN($I593)-LEN(SUBSTITUTE($I593," Ltd","")))/LEN(" Ltd")),0)</f>
        <v/>
      </c>
    </row>
    <row r="593" ht="15.75" customHeight="1" s="146">
      <c r="Y593" s="122">
        <f>MAX(0,IFERROR((LEN($T594)-LEN(SUBSTITUTE($T594,"Quality of Works / Criteria of Failings:","")))/LEN("Quality of Works / Criteria of Failings:"),0)-IFERROR((LEN($T594)-LEN(SUBSTITUTE($T594,"Quality of Works / Criteria of Failings:Compliant","")))/LEN("Quality of Works / Criteria of Failings:Compliant"),0))</f>
        <v/>
      </c>
      <c r="Z593" s="122">
        <f>IFERROR($Y594/MAX(1,(LEN($I594)-LEN(SUBSTITUTE($I594," Ltd","")))/LEN(" Ltd")),0)</f>
        <v/>
      </c>
      <c r="AA593" s="122">
        <f>IFERROR(IFERROR((LEN($T594)-LEN(SUBSTITUTE($T594,"Quality of Works / Criteria of Failings:","")))/LEN("Quality of Works / Criteria of Failings:"),0)/MAX(1,(LEN($I594)-LEN(SUBSTITUTE($I594," Ltd","")))/LEN(" Ltd")),0)</f>
        <v/>
      </c>
      <c r="AB593" s="122">
        <f>IFERROR(IFERROR((LEN($T594)-LEN(SUBSTITUTE($T594,"Quality of Works / Criteria of Failings:Compliant","")))/LEN("Quality of Works / Criteria of Failings:Compliant"),0)/MAX(1,(LEN($I594)-LEN(SUBSTITUTE($I594," Ltd","")))/LEN(" Ltd")),0)</f>
        <v/>
      </c>
    </row>
    <row r="594" ht="15.75" customHeight="1" s="146">
      <c r="Y594" s="122">
        <f>MAX(0,IFERROR((LEN($T595)-LEN(SUBSTITUTE($T595,"Quality of Works / Criteria of Failings:","")))/LEN("Quality of Works / Criteria of Failings:"),0)-IFERROR((LEN($T595)-LEN(SUBSTITUTE($T595,"Quality of Works / Criteria of Failings:Compliant","")))/LEN("Quality of Works / Criteria of Failings:Compliant"),0))</f>
        <v/>
      </c>
      <c r="Z594" s="122">
        <f>IFERROR($Y595/MAX(1,(LEN($I595)-LEN(SUBSTITUTE($I595," Ltd","")))/LEN(" Ltd")),0)</f>
        <v/>
      </c>
      <c r="AA594" s="122">
        <f>IFERROR(IFERROR((LEN($T595)-LEN(SUBSTITUTE($T595,"Quality of Works / Criteria of Failings:","")))/LEN("Quality of Works / Criteria of Failings:"),0)/MAX(1,(LEN($I595)-LEN(SUBSTITUTE($I595," Ltd","")))/LEN(" Ltd")),0)</f>
        <v/>
      </c>
      <c r="AB594" s="122">
        <f>IFERROR(IFERROR((LEN($T595)-LEN(SUBSTITUTE($T595,"Quality of Works / Criteria of Failings:Compliant","")))/LEN("Quality of Works / Criteria of Failings:Compliant"),0)/MAX(1,(LEN($I595)-LEN(SUBSTITUTE($I595," Ltd","")))/LEN(" Ltd")),0)</f>
        <v/>
      </c>
    </row>
    <row r="595" ht="15.75" customHeight="1" s="146">
      <c r="Y595" s="122">
        <f>MAX(0,IFERROR((LEN($T596)-LEN(SUBSTITUTE($T596,"Quality of Works / Criteria of Failings:","")))/LEN("Quality of Works / Criteria of Failings:"),0)-IFERROR((LEN($T596)-LEN(SUBSTITUTE($T596,"Quality of Works / Criteria of Failings:Compliant","")))/LEN("Quality of Works / Criteria of Failings:Compliant"),0))</f>
        <v/>
      </c>
      <c r="Z595" s="122">
        <f>IFERROR($Y596/MAX(1,(LEN($I596)-LEN(SUBSTITUTE($I596," Ltd","")))/LEN(" Ltd")),0)</f>
        <v/>
      </c>
      <c r="AA595" s="122">
        <f>IFERROR(IFERROR((LEN($T596)-LEN(SUBSTITUTE($T596,"Quality of Works / Criteria of Failings:","")))/LEN("Quality of Works / Criteria of Failings:"),0)/MAX(1,(LEN($I596)-LEN(SUBSTITUTE($I596," Ltd","")))/LEN(" Ltd")),0)</f>
        <v/>
      </c>
      <c r="AB595" s="122">
        <f>IFERROR(IFERROR((LEN($T596)-LEN(SUBSTITUTE($T596,"Quality of Works / Criteria of Failings:Compliant","")))/LEN("Quality of Works / Criteria of Failings:Compliant"),0)/MAX(1,(LEN($I596)-LEN(SUBSTITUTE($I596," Ltd","")))/LEN(" Ltd")),0)</f>
        <v/>
      </c>
    </row>
    <row r="596" ht="15.75" customHeight="1" s="146">
      <c r="Y596" s="122">
        <f>MAX(0,IFERROR((LEN($T597)-LEN(SUBSTITUTE($T597,"Quality of Works / Criteria of Failings:","")))/LEN("Quality of Works / Criteria of Failings:"),0)-IFERROR((LEN($T597)-LEN(SUBSTITUTE($T597,"Quality of Works / Criteria of Failings:Compliant","")))/LEN("Quality of Works / Criteria of Failings:Compliant"),0))</f>
        <v/>
      </c>
      <c r="Z596" s="122">
        <f>IFERROR($Y597/MAX(1,(LEN($I597)-LEN(SUBSTITUTE($I597," Ltd","")))/LEN(" Ltd")),0)</f>
        <v/>
      </c>
      <c r="AA596" s="122">
        <f>IFERROR(IFERROR((LEN($T597)-LEN(SUBSTITUTE($T597,"Quality of Works / Criteria of Failings:","")))/LEN("Quality of Works / Criteria of Failings:"),0)/MAX(1,(LEN($I597)-LEN(SUBSTITUTE($I597," Ltd","")))/LEN(" Ltd")),0)</f>
        <v/>
      </c>
      <c r="AB596" s="122">
        <f>IFERROR(IFERROR((LEN($T597)-LEN(SUBSTITUTE($T597,"Quality of Works / Criteria of Failings:Compliant","")))/LEN("Quality of Works / Criteria of Failings:Compliant"),0)/MAX(1,(LEN($I597)-LEN(SUBSTITUTE($I597," Ltd","")))/LEN(" Ltd")),0)</f>
        <v/>
      </c>
    </row>
    <row r="597" ht="15.75" customHeight="1" s="146">
      <c r="Y597" s="122">
        <f>MAX(0,IFERROR((LEN($T598)-LEN(SUBSTITUTE($T598,"Quality of Works / Criteria of Failings:","")))/LEN("Quality of Works / Criteria of Failings:"),0)-IFERROR((LEN($T598)-LEN(SUBSTITUTE($T598,"Quality of Works / Criteria of Failings:Compliant","")))/LEN("Quality of Works / Criteria of Failings:Compliant"),0))</f>
        <v/>
      </c>
      <c r="Z597" s="122">
        <f>IFERROR($Y598/MAX(1,(LEN($I598)-LEN(SUBSTITUTE($I598," Ltd","")))/LEN(" Ltd")),0)</f>
        <v/>
      </c>
      <c r="AA597" s="122">
        <f>IFERROR(IFERROR((LEN($T598)-LEN(SUBSTITUTE($T598,"Quality of Works / Criteria of Failings:","")))/LEN("Quality of Works / Criteria of Failings:"),0)/MAX(1,(LEN($I598)-LEN(SUBSTITUTE($I598," Ltd","")))/LEN(" Ltd")),0)</f>
        <v/>
      </c>
      <c r="AB597" s="122">
        <f>IFERROR(IFERROR((LEN($T598)-LEN(SUBSTITUTE($T598,"Quality of Works / Criteria of Failings:Compliant","")))/LEN("Quality of Works / Criteria of Failings:Compliant"),0)/MAX(1,(LEN($I598)-LEN(SUBSTITUTE($I598," Ltd","")))/LEN(" Ltd")),0)</f>
        <v/>
      </c>
    </row>
    <row r="598" ht="15.75" customHeight="1" s="146">
      <c r="Y598" s="122">
        <f>MAX(0,IFERROR((LEN($T599)-LEN(SUBSTITUTE($T599,"Quality of Works / Criteria of Failings:","")))/LEN("Quality of Works / Criteria of Failings:"),0)-IFERROR((LEN($T599)-LEN(SUBSTITUTE($T599,"Quality of Works / Criteria of Failings:Compliant","")))/LEN("Quality of Works / Criteria of Failings:Compliant"),0))</f>
        <v/>
      </c>
      <c r="Z598" s="122">
        <f>IFERROR($Y599/MAX(1,(LEN($I599)-LEN(SUBSTITUTE($I599," Ltd","")))/LEN(" Ltd")),0)</f>
        <v/>
      </c>
      <c r="AA598" s="122">
        <f>IFERROR(IFERROR((LEN($T599)-LEN(SUBSTITUTE($T599,"Quality of Works / Criteria of Failings:","")))/LEN("Quality of Works / Criteria of Failings:"),0)/MAX(1,(LEN($I599)-LEN(SUBSTITUTE($I599," Ltd","")))/LEN(" Ltd")),0)</f>
        <v/>
      </c>
      <c r="AB598" s="122">
        <f>IFERROR(IFERROR((LEN($T599)-LEN(SUBSTITUTE($T599,"Quality of Works / Criteria of Failings:Compliant","")))/LEN("Quality of Works / Criteria of Failings:Compliant"),0)/MAX(1,(LEN($I599)-LEN(SUBSTITUTE($I599," Ltd","")))/LEN(" Ltd")),0)</f>
        <v/>
      </c>
    </row>
    <row r="599" ht="15.75" customHeight="1" s="146">
      <c r="Y599" s="122">
        <f>MAX(0,IFERROR((LEN($T600)-LEN(SUBSTITUTE($T600,"Quality of Works / Criteria of Failings:","")))/LEN("Quality of Works / Criteria of Failings:"),0)-IFERROR((LEN($T600)-LEN(SUBSTITUTE($T600,"Quality of Works / Criteria of Failings:Compliant","")))/LEN("Quality of Works / Criteria of Failings:Compliant"),0))</f>
        <v/>
      </c>
      <c r="Z599" s="122">
        <f>IFERROR($Y600/MAX(1,(LEN($I600)-LEN(SUBSTITUTE($I600," Ltd","")))/LEN(" Ltd")),0)</f>
        <v/>
      </c>
      <c r="AA599" s="122">
        <f>IFERROR(IFERROR((LEN($T600)-LEN(SUBSTITUTE($T600,"Quality of Works / Criteria of Failings:","")))/LEN("Quality of Works / Criteria of Failings:"),0)/MAX(1,(LEN($I600)-LEN(SUBSTITUTE($I600," Ltd","")))/LEN(" Ltd")),0)</f>
        <v/>
      </c>
      <c r="AB599" s="122">
        <f>IFERROR(IFERROR((LEN($T600)-LEN(SUBSTITUTE($T600,"Quality of Works / Criteria of Failings:Compliant","")))/LEN("Quality of Works / Criteria of Failings:Compliant"),0)/MAX(1,(LEN($I600)-LEN(SUBSTITUTE($I600," Ltd","")))/LEN(" Ltd")),0)</f>
        <v/>
      </c>
    </row>
    <row r="600" ht="15.75" customHeight="1" s="146">
      <c r="Y600" s="122">
        <f>MAX(0,IFERROR((LEN($T601)-LEN(SUBSTITUTE($T601,"Quality of Works / Criteria of Failings:","")))/LEN("Quality of Works / Criteria of Failings:"),0)-IFERROR((LEN($T601)-LEN(SUBSTITUTE($T601,"Quality of Works / Criteria of Failings:Compliant","")))/LEN("Quality of Works / Criteria of Failings:Compliant"),0))</f>
        <v/>
      </c>
      <c r="Z600" s="122">
        <f>IFERROR($Y601/MAX(1,(LEN($I601)-LEN(SUBSTITUTE($I601," Ltd","")))/LEN(" Ltd")),0)</f>
        <v/>
      </c>
      <c r="AA600" s="122">
        <f>IFERROR(IFERROR((LEN($T601)-LEN(SUBSTITUTE($T601,"Quality of Works / Criteria of Failings:","")))/LEN("Quality of Works / Criteria of Failings:"),0)/MAX(1,(LEN($I601)-LEN(SUBSTITUTE($I601," Ltd","")))/LEN(" Ltd")),0)</f>
        <v/>
      </c>
      <c r="AB600" s="122">
        <f>IFERROR(IFERROR((LEN($T601)-LEN(SUBSTITUTE($T601,"Quality of Works / Criteria of Failings:Compliant","")))/LEN("Quality of Works / Criteria of Failings:Compliant"),0)/MAX(1,(LEN($I601)-LEN(SUBSTITUTE($I601," Ltd","")))/LEN(" Ltd")),0)</f>
        <v/>
      </c>
    </row>
    <row r="601" ht="15.75" customHeight="1" s="146">
      <c r="Y601" s="122">
        <f>MAX(0,IFERROR((LEN($T602)-LEN(SUBSTITUTE($T602,"Quality of Works / Criteria of Failings:","")))/LEN("Quality of Works / Criteria of Failings:"),0)-IFERROR((LEN($T602)-LEN(SUBSTITUTE($T602,"Quality of Works / Criteria of Failings:Compliant","")))/LEN("Quality of Works / Criteria of Failings:Compliant"),0))</f>
        <v/>
      </c>
      <c r="Z601" s="122">
        <f>IFERROR($Y602/MAX(1,(LEN($I602)-LEN(SUBSTITUTE($I602," Ltd","")))/LEN(" Ltd")),0)</f>
        <v/>
      </c>
      <c r="AA601" s="122">
        <f>IFERROR(IFERROR((LEN($T602)-LEN(SUBSTITUTE($T602,"Quality of Works / Criteria of Failings:","")))/LEN("Quality of Works / Criteria of Failings:"),0)/MAX(1,(LEN($I602)-LEN(SUBSTITUTE($I602," Ltd","")))/LEN(" Ltd")),0)</f>
        <v/>
      </c>
      <c r="AB601" s="122">
        <f>IFERROR(IFERROR((LEN($T602)-LEN(SUBSTITUTE($T602,"Quality of Works / Criteria of Failings:Compliant","")))/LEN("Quality of Works / Criteria of Failings:Compliant"),0)/MAX(1,(LEN($I602)-LEN(SUBSTITUTE($I602," Ltd","")))/LEN(" Ltd")),0)</f>
        <v/>
      </c>
    </row>
    <row r="602" ht="15.75" customHeight="1" s="146">
      <c r="Y602" s="122">
        <f>MAX(0,IFERROR((LEN($T603)-LEN(SUBSTITUTE($T603,"Quality of Works / Criteria of Failings:","")))/LEN("Quality of Works / Criteria of Failings:"),0)-IFERROR((LEN($T603)-LEN(SUBSTITUTE($T603,"Quality of Works / Criteria of Failings:Compliant","")))/LEN("Quality of Works / Criteria of Failings:Compliant"),0))</f>
        <v/>
      </c>
      <c r="Z602" s="122">
        <f>IFERROR($Y603/MAX(1,(LEN($I603)-LEN(SUBSTITUTE($I603," Ltd","")))/LEN(" Ltd")),0)</f>
        <v/>
      </c>
      <c r="AA602" s="122">
        <f>IFERROR(IFERROR((LEN($T603)-LEN(SUBSTITUTE($T603,"Quality of Works / Criteria of Failings:","")))/LEN("Quality of Works / Criteria of Failings:"),0)/MAX(1,(LEN($I603)-LEN(SUBSTITUTE($I603," Ltd","")))/LEN(" Ltd")),0)</f>
        <v/>
      </c>
      <c r="AB602" s="122">
        <f>IFERROR(IFERROR((LEN($T603)-LEN(SUBSTITUTE($T603,"Quality of Works / Criteria of Failings:Compliant","")))/LEN("Quality of Works / Criteria of Failings:Compliant"),0)/MAX(1,(LEN($I603)-LEN(SUBSTITUTE($I603," Ltd","")))/LEN(" Ltd")),0)</f>
        <v/>
      </c>
    </row>
    <row r="603" ht="15.75" customHeight="1" s="146">
      <c r="Y603" s="122">
        <f>MAX(0,IFERROR((LEN($T604)-LEN(SUBSTITUTE($T604,"Quality of Works / Criteria of Failings:","")))/LEN("Quality of Works / Criteria of Failings:"),0)-IFERROR((LEN($T604)-LEN(SUBSTITUTE($T604,"Quality of Works / Criteria of Failings:Compliant","")))/LEN("Quality of Works / Criteria of Failings:Compliant"),0))</f>
        <v/>
      </c>
      <c r="Z603" s="122">
        <f>IFERROR($Y604/MAX(1,(LEN($I604)-LEN(SUBSTITUTE($I604," Ltd","")))/LEN(" Ltd")),0)</f>
        <v/>
      </c>
      <c r="AA603" s="122">
        <f>IFERROR(IFERROR((LEN($T604)-LEN(SUBSTITUTE($T604,"Quality of Works / Criteria of Failings:","")))/LEN("Quality of Works / Criteria of Failings:"),0)/MAX(1,(LEN($I604)-LEN(SUBSTITUTE($I604," Ltd","")))/LEN(" Ltd")),0)</f>
        <v/>
      </c>
      <c r="AB603" s="122">
        <f>IFERROR(IFERROR((LEN($T604)-LEN(SUBSTITUTE($T604,"Quality of Works / Criteria of Failings:Compliant","")))/LEN("Quality of Works / Criteria of Failings:Compliant"),0)/MAX(1,(LEN($I604)-LEN(SUBSTITUTE($I604," Ltd","")))/LEN(" Ltd")),0)</f>
        <v/>
      </c>
    </row>
    <row r="604" ht="15.75" customHeight="1" s="146">
      <c r="Y604" s="122">
        <f>MAX(0,IFERROR((LEN($T605)-LEN(SUBSTITUTE($T605,"Quality of Works / Criteria of Failings:","")))/LEN("Quality of Works / Criteria of Failings:"),0)-IFERROR((LEN($T605)-LEN(SUBSTITUTE($T605,"Quality of Works / Criteria of Failings:Compliant","")))/LEN("Quality of Works / Criteria of Failings:Compliant"),0))</f>
        <v/>
      </c>
      <c r="Z604" s="122">
        <f>IFERROR($Y605/MAX(1,(LEN($I605)-LEN(SUBSTITUTE($I605," Ltd","")))/LEN(" Ltd")),0)</f>
        <v/>
      </c>
      <c r="AA604" s="122">
        <f>IFERROR(IFERROR((LEN($T605)-LEN(SUBSTITUTE($T605,"Quality of Works / Criteria of Failings:","")))/LEN("Quality of Works / Criteria of Failings:"),0)/MAX(1,(LEN($I605)-LEN(SUBSTITUTE($I605," Ltd","")))/LEN(" Ltd")),0)</f>
        <v/>
      </c>
      <c r="AB604" s="122">
        <f>IFERROR(IFERROR((LEN($T605)-LEN(SUBSTITUTE($T605,"Quality of Works / Criteria of Failings:Compliant","")))/LEN("Quality of Works / Criteria of Failings:Compliant"),0)/MAX(1,(LEN($I605)-LEN(SUBSTITUTE($I605," Ltd","")))/LEN(" Ltd")),0)</f>
        <v/>
      </c>
    </row>
    <row r="605" ht="15.75" customHeight="1" s="146">
      <c r="Y605" s="122">
        <f>MAX(0,IFERROR((LEN($T606)-LEN(SUBSTITUTE($T606,"Quality of Works / Criteria of Failings:","")))/LEN("Quality of Works / Criteria of Failings:"),0)-IFERROR((LEN($T606)-LEN(SUBSTITUTE($T606,"Quality of Works / Criteria of Failings:Compliant","")))/LEN("Quality of Works / Criteria of Failings:Compliant"),0))</f>
        <v/>
      </c>
      <c r="Z605" s="122">
        <f>IFERROR($Y606/MAX(1,(LEN($I606)-LEN(SUBSTITUTE($I606," Ltd","")))/LEN(" Ltd")),0)</f>
        <v/>
      </c>
      <c r="AA605" s="122">
        <f>IFERROR(IFERROR((LEN($T606)-LEN(SUBSTITUTE($T606,"Quality of Works / Criteria of Failings:","")))/LEN("Quality of Works / Criteria of Failings:"),0)/MAX(1,(LEN($I606)-LEN(SUBSTITUTE($I606," Ltd","")))/LEN(" Ltd")),0)</f>
        <v/>
      </c>
      <c r="AB605" s="122">
        <f>IFERROR(IFERROR((LEN($T606)-LEN(SUBSTITUTE($T606,"Quality of Works / Criteria of Failings:Compliant","")))/LEN("Quality of Works / Criteria of Failings:Compliant"),0)/MAX(1,(LEN($I606)-LEN(SUBSTITUTE($I606," Ltd","")))/LEN(" Ltd")),0)</f>
        <v/>
      </c>
    </row>
    <row r="606" ht="15.75" customHeight="1" s="146">
      <c r="Y606" s="122">
        <f>MAX(0,IFERROR((LEN($T607)-LEN(SUBSTITUTE($T607,"Quality of Works / Criteria of Failings:","")))/LEN("Quality of Works / Criteria of Failings:"),0)-IFERROR((LEN($T607)-LEN(SUBSTITUTE($T607,"Quality of Works / Criteria of Failings:Compliant","")))/LEN("Quality of Works / Criteria of Failings:Compliant"),0))</f>
        <v/>
      </c>
      <c r="Z606" s="122">
        <f>IFERROR($Y607/MAX(1,(LEN($I607)-LEN(SUBSTITUTE($I607," Ltd","")))/LEN(" Ltd")),0)</f>
        <v/>
      </c>
      <c r="AA606" s="122">
        <f>IFERROR(IFERROR((LEN($T607)-LEN(SUBSTITUTE($T607,"Quality of Works / Criteria of Failings:","")))/LEN("Quality of Works / Criteria of Failings:"),0)/MAX(1,(LEN($I607)-LEN(SUBSTITUTE($I607," Ltd","")))/LEN(" Ltd")),0)</f>
        <v/>
      </c>
      <c r="AB606" s="122">
        <f>IFERROR(IFERROR((LEN($T607)-LEN(SUBSTITUTE($T607,"Quality of Works / Criteria of Failings:Compliant","")))/LEN("Quality of Works / Criteria of Failings:Compliant"),0)/MAX(1,(LEN($I607)-LEN(SUBSTITUTE($I607," Ltd","")))/LEN(" Ltd")),0)</f>
        <v/>
      </c>
    </row>
    <row r="607" ht="15.75" customHeight="1" s="146">
      <c r="Y607" s="122">
        <f>MAX(0,IFERROR((LEN($T608)-LEN(SUBSTITUTE($T608,"Quality of Works / Criteria of Failings:","")))/LEN("Quality of Works / Criteria of Failings:"),0)-IFERROR((LEN($T608)-LEN(SUBSTITUTE($T608,"Quality of Works / Criteria of Failings:Compliant","")))/LEN("Quality of Works / Criteria of Failings:Compliant"),0))</f>
        <v/>
      </c>
      <c r="Z607" s="122">
        <f>IFERROR($Y608/MAX(1,(LEN($I608)-LEN(SUBSTITUTE($I608," Ltd","")))/LEN(" Ltd")),0)</f>
        <v/>
      </c>
      <c r="AA607" s="122">
        <f>IFERROR(IFERROR((LEN($T608)-LEN(SUBSTITUTE($T608,"Quality of Works / Criteria of Failings:","")))/LEN("Quality of Works / Criteria of Failings:"),0)/MAX(1,(LEN($I608)-LEN(SUBSTITUTE($I608," Ltd","")))/LEN(" Ltd")),0)</f>
        <v/>
      </c>
      <c r="AB607" s="122">
        <f>IFERROR(IFERROR((LEN($T608)-LEN(SUBSTITUTE($T608,"Quality of Works / Criteria of Failings:Compliant","")))/LEN("Quality of Works / Criteria of Failings:Compliant"),0)/MAX(1,(LEN($I608)-LEN(SUBSTITUTE($I608," Ltd","")))/LEN(" Ltd")),0)</f>
        <v/>
      </c>
    </row>
    <row r="608" ht="15.75" customHeight="1" s="146">
      <c r="Y608" s="122">
        <f>MAX(0,IFERROR((LEN($T609)-LEN(SUBSTITUTE($T609,"Quality of Works / Criteria of Failings:","")))/LEN("Quality of Works / Criteria of Failings:"),0)-IFERROR((LEN($T609)-LEN(SUBSTITUTE($T609,"Quality of Works / Criteria of Failings:Compliant","")))/LEN("Quality of Works / Criteria of Failings:Compliant"),0))</f>
        <v/>
      </c>
      <c r="Z608" s="122">
        <f>IFERROR($Y609/MAX(1,(LEN($I609)-LEN(SUBSTITUTE($I609," Ltd","")))/LEN(" Ltd")),0)</f>
        <v/>
      </c>
      <c r="AA608" s="122">
        <f>IFERROR(IFERROR((LEN($T609)-LEN(SUBSTITUTE($T609,"Quality of Works / Criteria of Failings:","")))/LEN("Quality of Works / Criteria of Failings:"),0)/MAX(1,(LEN($I609)-LEN(SUBSTITUTE($I609," Ltd","")))/LEN(" Ltd")),0)</f>
        <v/>
      </c>
      <c r="AB608" s="122">
        <f>IFERROR(IFERROR((LEN($T609)-LEN(SUBSTITUTE($T609,"Quality of Works / Criteria of Failings:Compliant","")))/LEN("Quality of Works / Criteria of Failings:Compliant"),0)/MAX(1,(LEN($I609)-LEN(SUBSTITUTE($I609," Ltd","")))/LEN(" Ltd")),0)</f>
        <v/>
      </c>
    </row>
    <row r="609" ht="15.75" customHeight="1" s="146">
      <c r="Y609" s="122">
        <f>MAX(0,IFERROR((LEN($T610)-LEN(SUBSTITUTE($T610,"Quality of Works / Criteria of Failings:","")))/LEN("Quality of Works / Criteria of Failings:"),0)-IFERROR((LEN($T610)-LEN(SUBSTITUTE($T610,"Quality of Works / Criteria of Failings:Compliant","")))/LEN("Quality of Works / Criteria of Failings:Compliant"),0))</f>
        <v/>
      </c>
      <c r="Z609" s="122">
        <f>IFERROR($Y610/MAX(1,(LEN($I610)-LEN(SUBSTITUTE($I610," Ltd","")))/LEN(" Ltd")),0)</f>
        <v/>
      </c>
      <c r="AA609" s="122">
        <f>IFERROR(IFERROR((LEN($T610)-LEN(SUBSTITUTE($T610,"Quality of Works / Criteria of Failings:","")))/LEN("Quality of Works / Criteria of Failings:"),0)/MAX(1,(LEN($I610)-LEN(SUBSTITUTE($I610," Ltd","")))/LEN(" Ltd")),0)</f>
        <v/>
      </c>
      <c r="AB609" s="122">
        <f>IFERROR(IFERROR((LEN($T610)-LEN(SUBSTITUTE($T610,"Quality of Works / Criteria of Failings:Compliant","")))/LEN("Quality of Works / Criteria of Failings:Compliant"),0)/MAX(1,(LEN($I610)-LEN(SUBSTITUTE($I610," Ltd","")))/LEN(" Ltd")),0)</f>
        <v/>
      </c>
    </row>
    <row r="610" ht="15.75" customHeight="1" s="146">
      <c r="Y610" s="122">
        <f>MAX(0,IFERROR((LEN($T611)-LEN(SUBSTITUTE($T611,"Quality of Works / Criteria of Failings:","")))/LEN("Quality of Works / Criteria of Failings:"),0)-IFERROR((LEN($T611)-LEN(SUBSTITUTE($T611,"Quality of Works / Criteria of Failings:Compliant","")))/LEN("Quality of Works / Criteria of Failings:Compliant"),0))</f>
        <v/>
      </c>
      <c r="Z610" s="122">
        <f>IFERROR($Y611/MAX(1,(LEN($I611)-LEN(SUBSTITUTE($I611," Ltd","")))/LEN(" Ltd")),0)</f>
        <v/>
      </c>
      <c r="AA610" s="122">
        <f>IFERROR(IFERROR((LEN($T611)-LEN(SUBSTITUTE($T611,"Quality of Works / Criteria of Failings:","")))/LEN("Quality of Works / Criteria of Failings:"),0)/MAX(1,(LEN($I611)-LEN(SUBSTITUTE($I611," Ltd","")))/LEN(" Ltd")),0)</f>
        <v/>
      </c>
      <c r="AB610" s="122">
        <f>IFERROR(IFERROR((LEN($T611)-LEN(SUBSTITUTE($T611,"Quality of Works / Criteria of Failings:Compliant","")))/LEN("Quality of Works / Criteria of Failings:Compliant"),0)/MAX(1,(LEN($I611)-LEN(SUBSTITUTE($I611," Ltd","")))/LEN(" Ltd")),0)</f>
        <v/>
      </c>
    </row>
    <row r="611" ht="15.75" customHeight="1" s="146">
      <c r="Y611" s="122">
        <f>MAX(0,IFERROR((LEN($T612)-LEN(SUBSTITUTE($T612,"Quality of Works / Criteria of Failings:","")))/LEN("Quality of Works / Criteria of Failings:"),0)-IFERROR((LEN($T612)-LEN(SUBSTITUTE($T612,"Quality of Works / Criteria of Failings:Compliant","")))/LEN("Quality of Works / Criteria of Failings:Compliant"),0))</f>
        <v/>
      </c>
      <c r="Z611" s="122">
        <f>IFERROR($Y612/MAX(1,(LEN($I612)-LEN(SUBSTITUTE($I612," Ltd","")))/LEN(" Ltd")),0)</f>
        <v/>
      </c>
      <c r="AA611" s="122">
        <f>IFERROR(IFERROR((LEN($T612)-LEN(SUBSTITUTE($T612,"Quality of Works / Criteria of Failings:","")))/LEN("Quality of Works / Criteria of Failings:"),0)/MAX(1,(LEN($I612)-LEN(SUBSTITUTE($I612," Ltd","")))/LEN(" Ltd")),0)</f>
        <v/>
      </c>
      <c r="AB611" s="122">
        <f>IFERROR(IFERROR((LEN($T612)-LEN(SUBSTITUTE($T612,"Quality of Works / Criteria of Failings:Compliant","")))/LEN("Quality of Works / Criteria of Failings:Compliant"),0)/MAX(1,(LEN($I612)-LEN(SUBSTITUTE($I612," Ltd","")))/LEN(" Ltd")),0)</f>
        <v/>
      </c>
    </row>
    <row r="612" ht="15.75" customHeight="1" s="146">
      <c r="Y612" s="122">
        <f>MAX(0,IFERROR((LEN($T613)-LEN(SUBSTITUTE($T613,"Quality of Works / Criteria of Failings:","")))/LEN("Quality of Works / Criteria of Failings:"),0)-IFERROR((LEN($T613)-LEN(SUBSTITUTE($T613,"Quality of Works / Criteria of Failings:Compliant","")))/LEN("Quality of Works / Criteria of Failings:Compliant"),0))</f>
        <v/>
      </c>
      <c r="Z612" s="122">
        <f>IFERROR($Y613/MAX(1,(LEN($I613)-LEN(SUBSTITUTE($I613," Ltd","")))/LEN(" Ltd")),0)</f>
        <v/>
      </c>
      <c r="AA612" s="122">
        <f>IFERROR(IFERROR((LEN($T613)-LEN(SUBSTITUTE($T613,"Quality of Works / Criteria of Failings:","")))/LEN("Quality of Works / Criteria of Failings:"),0)/MAX(1,(LEN($I613)-LEN(SUBSTITUTE($I613," Ltd","")))/LEN(" Ltd")),0)</f>
        <v/>
      </c>
      <c r="AB612" s="122">
        <f>IFERROR(IFERROR((LEN($T613)-LEN(SUBSTITUTE($T613,"Quality of Works / Criteria of Failings:Compliant","")))/LEN("Quality of Works / Criteria of Failings:Compliant"),0)/MAX(1,(LEN($I613)-LEN(SUBSTITUTE($I613," Ltd","")))/LEN(" Ltd")),0)</f>
        <v/>
      </c>
    </row>
    <row r="613" ht="15.75" customHeight="1" s="146">
      <c r="Y613" s="122">
        <f>MAX(0,IFERROR((LEN($T614)-LEN(SUBSTITUTE($T614,"Quality of Works / Criteria of Failings:","")))/LEN("Quality of Works / Criteria of Failings:"),0)-IFERROR((LEN($T614)-LEN(SUBSTITUTE($T614,"Quality of Works / Criteria of Failings:Compliant","")))/LEN("Quality of Works / Criteria of Failings:Compliant"),0))</f>
        <v/>
      </c>
      <c r="Z613" s="122">
        <f>IFERROR($Y614/MAX(1,(LEN($I614)-LEN(SUBSTITUTE($I614," Ltd","")))/LEN(" Ltd")),0)</f>
        <v/>
      </c>
      <c r="AA613" s="122">
        <f>IFERROR(IFERROR((LEN($T614)-LEN(SUBSTITUTE($T614,"Quality of Works / Criteria of Failings:","")))/LEN("Quality of Works / Criteria of Failings:"),0)/MAX(1,(LEN($I614)-LEN(SUBSTITUTE($I614," Ltd","")))/LEN(" Ltd")),0)</f>
        <v/>
      </c>
      <c r="AB613" s="122">
        <f>IFERROR(IFERROR((LEN($T614)-LEN(SUBSTITUTE($T614,"Quality of Works / Criteria of Failings:Compliant","")))/LEN("Quality of Works / Criteria of Failings:Compliant"),0)/MAX(1,(LEN($I614)-LEN(SUBSTITUTE($I614," Ltd","")))/LEN(" Ltd")),0)</f>
        <v/>
      </c>
    </row>
    <row r="614" ht="15.75" customHeight="1" s="146">
      <c r="Y614" s="122">
        <f>MAX(0,IFERROR((LEN($T615)-LEN(SUBSTITUTE($T615,"Quality of Works / Criteria of Failings:","")))/LEN("Quality of Works / Criteria of Failings:"),0)-IFERROR((LEN($T615)-LEN(SUBSTITUTE($T615,"Quality of Works / Criteria of Failings:Compliant","")))/LEN("Quality of Works / Criteria of Failings:Compliant"),0))</f>
        <v/>
      </c>
      <c r="Z614" s="122">
        <f>IFERROR($Y615/MAX(1,(LEN($I615)-LEN(SUBSTITUTE($I615," Ltd","")))/LEN(" Ltd")),0)</f>
        <v/>
      </c>
      <c r="AA614" s="122">
        <f>IFERROR(IFERROR((LEN($T615)-LEN(SUBSTITUTE($T615,"Quality of Works / Criteria of Failings:","")))/LEN("Quality of Works / Criteria of Failings:"),0)/MAX(1,(LEN($I615)-LEN(SUBSTITUTE($I615," Ltd","")))/LEN(" Ltd")),0)</f>
        <v/>
      </c>
      <c r="AB614" s="122">
        <f>IFERROR(IFERROR((LEN($T615)-LEN(SUBSTITUTE($T615,"Quality of Works / Criteria of Failings:Compliant","")))/LEN("Quality of Works / Criteria of Failings:Compliant"),0)/MAX(1,(LEN($I615)-LEN(SUBSTITUTE($I615," Ltd","")))/LEN(" Ltd")),0)</f>
        <v/>
      </c>
    </row>
    <row r="615" ht="15.75" customHeight="1" s="146">
      <c r="Y615" s="122">
        <f>MAX(0,IFERROR((LEN($T616)-LEN(SUBSTITUTE($T616,"Quality of Works / Criteria of Failings:","")))/LEN("Quality of Works / Criteria of Failings:"),0)-IFERROR((LEN($T616)-LEN(SUBSTITUTE($T616,"Quality of Works / Criteria of Failings:Compliant","")))/LEN("Quality of Works / Criteria of Failings:Compliant"),0))</f>
        <v/>
      </c>
      <c r="Z615" s="122">
        <f>IFERROR($Y616/MAX(1,(LEN($I616)-LEN(SUBSTITUTE($I616," Ltd","")))/LEN(" Ltd")),0)</f>
        <v/>
      </c>
      <c r="AA615" s="122">
        <f>IFERROR(IFERROR((LEN($T616)-LEN(SUBSTITUTE($T616,"Quality of Works / Criteria of Failings:","")))/LEN("Quality of Works / Criteria of Failings:"),0)/MAX(1,(LEN($I616)-LEN(SUBSTITUTE($I616," Ltd","")))/LEN(" Ltd")),0)</f>
        <v/>
      </c>
      <c r="AB615" s="122">
        <f>IFERROR(IFERROR((LEN($T616)-LEN(SUBSTITUTE($T616,"Quality of Works / Criteria of Failings:Compliant","")))/LEN("Quality of Works / Criteria of Failings:Compliant"),0)/MAX(1,(LEN($I616)-LEN(SUBSTITUTE($I616," Ltd","")))/LEN(" Ltd")),0)</f>
        <v/>
      </c>
    </row>
    <row r="616" ht="15.75" customHeight="1" s="146">
      <c r="Y616" s="122">
        <f>MAX(0,IFERROR((LEN($T617)-LEN(SUBSTITUTE($T617,"Quality of Works / Criteria of Failings:","")))/LEN("Quality of Works / Criteria of Failings:"),0)-IFERROR((LEN($T617)-LEN(SUBSTITUTE($T617,"Quality of Works / Criteria of Failings:Compliant","")))/LEN("Quality of Works / Criteria of Failings:Compliant"),0))</f>
        <v/>
      </c>
      <c r="Z616" s="122">
        <f>IFERROR($Y617/MAX(1,(LEN($I617)-LEN(SUBSTITUTE($I617," Ltd","")))/LEN(" Ltd")),0)</f>
        <v/>
      </c>
      <c r="AA616" s="122">
        <f>IFERROR(IFERROR((LEN($T617)-LEN(SUBSTITUTE($T617,"Quality of Works / Criteria of Failings:","")))/LEN("Quality of Works / Criteria of Failings:"),0)/MAX(1,(LEN($I617)-LEN(SUBSTITUTE($I617," Ltd","")))/LEN(" Ltd")),0)</f>
        <v/>
      </c>
      <c r="AB616" s="122">
        <f>IFERROR(IFERROR((LEN($T617)-LEN(SUBSTITUTE($T617,"Quality of Works / Criteria of Failings:Compliant","")))/LEN("Quality of Works / Criteria of Failings:Compliant"),0)/MAX(1,(LEN($I617)-LEN(SUBSTITUTE($I617," Ltd","")))/LEN(" Ltd")),0)</f>
        <v/>
      </c>
    </row>
    <row r="617" ht="15.75" customHeight="1" s="146">
      <c r="Y617" s="122">
        <f>MAX(0,IFERROR((LEN($T618)-LEN(SUBSTITUTE($T618,"Quality of Works / Criteria of Failings:","")))/LEN("Quality of Works / Criteria of Failings:"),0)-IFERROR((LEN($T618)-LEN(SUBSTITUTE($T618,"Quality of Works / Criteria of Failings:Compliant","")))/LEN("Quality of Works / Criteria of Failings:Compliant"),0))</f>
        <v/>
      </c>
      <c r="Z617" s="122">
        <f>IFERROR($Y618/MAX(1,(LEN($I618)-LEN(SUBSTITUTE($I618," Ltd","")))/LEN(" Ltd")),0)</f>
        <v/>
      </c>
      <c r="AA617" s="122">
        <f>IFERROR(IFERROR((LEN($T618)-LEN(SUBSTITUTE($T618,"Quality of Works / Criteria of Failings:","")))/LEN("Quality of Works / Criteria of Failings:"),0)/MAX(1,(LEN($I618)-LEN(SUBSTITUTE($I618," Ltd","")))/LEN(" Ltd")),0)</f>
        <v/>
      </c>
      <c r="AB617" s="122">
        <f>IFERROR(IFERROR((LEN($T618)-LEN(SUBSTITUTE($T618,"Quality of Works / Criteria of Failings:Compliant","")))/LEN("Quality of Works / Criteria of Failings:Compliant"),0)/MAX(1,(LEN($I618)-LEN(SUBSTITUTE($I618," Ltd","")))/LEN(" Ltd")),0)</f>
        <v/>
      </c>
    </row>
    <row r="618" ht="15.75" customHeight="1" s="146">
      <c r="Y618" s="122">
        <f>MAX(0,IFERROR((LEN($T619)-LEN(SUBSTITUTE($T619,"Quality of Works / Criteria of Failings:","")))/LEN("Quality of Works / Criteria of Failings:"),0)-IFERROR((LEN($T619)-LEN(SUBSTITUTE($T619,"Quality of Works / Criteria of Failings:Compliant","")))/LEN("Quality of Works / Criteria of Failings:Compliant"),0))</f>
        <v/>
      </c>
      <c r="Z618" s="122">
        <f>IFERROR($Y619/MAX(1,(LEN($I619)-LEN(SUBSTITUTE($I619," Ltd","")))/LEN(" Ltd")),0)</f>
        <v/>
      </c>
      <c r="AA618" s="122">
        <f>IFERROR(IFERROR((LEN($T619)-LEN(SUBSTITUTE($T619,"Quality of Works / Criteria of Failings:","")))/LEN("Quality of Works / Criteria of Failings:"),0)/MAX(1,(LEN($I619)-LEN(SUBSTITUTE($I619," Ltd","")))/LEN(" Ltd")),0)</f>
        <v/>
      </c>
      <c r="AB618" s="122">
        <f>IFERROR(IFERROR((LEN($T619)-LEN(SUBSTITUTE($T619,"Quality of Works / Criteria of Failings:Compliant","")))/LEN("Quality of Works / Criteria of Failings:Compliant"),0)/MAX(1,(LEN($I619)-LEN(SUBSTITUTE($I619," Ltd","")))/LEN(" Ltd")),0)</f>
        <v/>
      </c>
    </row>
    <row r="619" ht="15.75" customHeight="1" s="146">
      <c r="Y619" s="122">
        <f>MAX(0,IFERROR((LEN($T620)-LEN(SUBSTITUTE($T620,"Quality of Works / Criteria of Failings:","")))/LEN("Quality of Works / Criteria of Failings:"),0)-IFERROR((LEN($T620)-LEN(SUBSTITUTE($T620,"Quality of Works / Criteria of Failings:Compliant","")))/LEN("Quality of Works / Criteria of Failings:Compliant"),0))</f>
        <v/>
      </c>
      <c r="Z619" s="122">
        <f>IFERROR($Y620/MAX(1,(LEN($I620)-LEN(SUBSTITUTE($I620," Ltd","")))/LEN(" Ltd")),0)</f>
        <v/>
      </c>
      <c r="AA619" s="122">
        <f>IFERROR(IFERROR((LEN($T620)-LEN(SUBSTITUTE($T620,"Quality of Works / Criteria of Failings:","")))/LEN("Quality of Works / Criteria of Failings:"),0)/MAX(1,(LEN($I620)-LEN(SUBSTITUTE($I620," Ltd","")))/LEN(" Ltd")),0)</f>
        <v/>
      </c>
      <c r="AB619" s="122">
        <f>IFERROR(IFERROR((LEN($T620)-LEN(SUBSTITUTE($T620,"Quality of Works / Criteria of Failings:Compliant","")))/LEN("Quality of Works / Criteria of Failings:Compliant"),0)/MAX(1,(LEN($I620)-LEN(SUBSTITUTE($I620," Ltd","")))/LEN(" Ltd")),0)</f>
        <v/>
      </c>
    </row>
    <row r="620" ht="15.75" customHeight="1" s="146">
      <c r="Y620" s="122">
        <f>MAX(0,IFERROR((LEN($T621)-LEN(SUBSTITUTE($T621,"Quality of Works / Criteria of Failings:","")))/LEN("Quality of Works / Criteria of Failings:"),0)-IFERROR((LEN($T621)-LEN(SUBSTITUTE($T621,"Quality of Works / Criteria of Failings:Compliant","")))/LEN("Quality of Works / Criteria of Failings:Compliant"),0))</f>
        <v/>
      </c>
      <c r="Z620" s="122">
        <f>IFERROR($Y621/MAX(1,(LEN($I621)-LEN(SUBSTITUTE($I621," Ltd","")))/LEN(" Ltd")),0)</f>
        <v/>
      </c>
      <c r="AA620" s="122">
        <f>IFERROR(IFERROR((LEN($T621)-LEN(SUBSTITUTE($T621,"Quality of Works / Criteria of Failings:","")))/LEN("Quality of Works / Criteria of Failings:"),0)/MAX(1,(LEN($I621)-LEN(SUBSTITUTE($I621," Ltd","")))/LEN(" Ltd")),0)</f>
        <v/>
      </c>
      <c r="AB620" s="122">
        <f>IFERROR(IFERROR((LEN($T621)-LEN(SUBSTITUTE($T621,"Quality of Works / Criteria of Failings:Compliant","")))/LEN("Quality of Works / Criteria of Failings:Compliant"),0)/MAX(1,(LEN($I621)-LEN(SUBSTITUTE($I621," Ltd","")))/LEN(" Ltd")),0)</f>
        <v/>
      </c>
    </row>
    <row r="621" ht="15.75" customHeight="1" s="146">
      <c r="Y621" s="122">
        <f>MAX(0,IFERROR((LEN($T622)-LEN(SUBSTITUTE($T622,"Quality of Works / Criteria of Failings:","")))/LEN("Quality of Works / Criteria of Failings:"),0)-IFERROR((LEN($T622)-LEN(SUBSTITUTE($T622,"Quality of Works / Criteria of Failings:Compliant","")))/LEN("Quality of Works / Criteria of Failings:Compliant"),0))</f>
        <v/>
      </c>
      <c r="Z621" s="122">
        <f>IFERROR($Y622/MAX(1,(LEN($I622)-LEN(SUBSTITUTE($I622," Ltd","")))/LEN(" Ltd")),0)</f>
        <v/>
      </c>
      <c r="AA621" s="122">
        <f>IFERROR(IFERROR((LEN($T622)-LEN(SUBSTITUTE($T622,"Quality of Works / Criteria of Failings:","")))/LEN("Quality of Works / Criteria of Failings:"),0)/MAX(1,(LEN($I622)-LEN(SUBSTITUTE($I622," Ltd","")))/LEN(" Ltd")),0)</f>
        <v/>
      </c>
      <c r="AB621" s="122">
        <f>IFERROR(IFERROR((LEN($T622)-LEN(SUBSTITUTE($T622,"Quality of Works / Criteria of Failings:Compliant","")))/LEN("Quality of Works / Criteria of Failings:Compliant"),0)/MAX(1,(LEN($I622)-LEN(SUBSTITUTE($I622," Ltd","")))/LEN(" Ltd")),0)</f>
        <v/>
      </c>
    </row>
    <row r="622" ht="15.75" customHeight="1" s="146">
      <c r="Y622" s="122">
        <f>MAX(0,IFERROR((LEN($T623)-LEN(SUBSTITUTE($T623,"Quality of Works / Criteria of Failings:","")))/LEN("Quality of Works / Criteria of Failings:"),0)-IFERROR((LEN($T623)-LEN(SUBSTITUTE($T623,"Quality of Works / Criteria of Failings:Compliant","")))/LEN("Quality of Works / Criteria of Failings:Compliant"),0))</f>
        <v/>
      </c>
      <c r="Z622" s="122">
        <f>IFERROR($Y623/MAX(1,(LEN($I623)-LEN(SUBSTITUTE($I623," Ltd","")))/LEN(" Ltd")),0)</f>
        <v/>
      </c>
      <c r="AA622" s="122">
        <f>IFERROR(IFERROR((LEN($T623)-LEN(SUBSTITUTE($T623,"Quality of Works / Criteria of Failings:","")))/LEN("Quality of Works / Criteria of Failings:"),0)/MAX(1,(LEN($I623)-LEN(SUBSTITUTE($I623," Ltd","")))/LEN(" Ltd")),0)</f>
        <v/>
      </c>
      <c r="AB622" s="122">
        <f>IFERROR(IFERROR((LEN($T623)-LEN(SUBSTITUTE($T623,"Quality of Works / Criteria of Failings:Compliant","")))/LEN("Quality of Works / Criteria of Failings:Compliant"),0)/MAX(1,(LEN($I623)-LEN(SUBSTITUTE($I623," Ltd","")))/LEN(" Ltd")),0)</f>
        <v/>
      </c>
    </row>
    <row r="623" ht="15.75" customHeight="1" s="146">
      <c r="Y623" s="122">
        <f>MAX(0,IFERROR((LEN($T624)-LEN(SUBSTITUTE($T624,"Quality of Works / Criteria of Failings:","")))/LEN("Quality of Works / Criteria of Failings:"),0)-IFERROR((LEN($T624)-LEN(SUBSTITUTE($T624,"Quality of Works / Criteria of Failings:Compliant","")))/LEN("Quality of Works / Criteria of Failings:Compliant"),0))</f>
        <v/>
      </c>
      <c r="Z623" s="122">
        <f>IFERROR($Y624/MAX(1,(LEN($I624)-LEN(SUBSTITUTE($I624," Ltd","")))/LEN(" Ltd")),0)</f>
        <v/>
      </c>
      <c r="AA623" s="122">
        <f>IFERROR(IFERROR((LEN($T624)-LEN(SUBSTITUTE($T624,"Quality of Works / Criteria of Failings:","")))/LEN("Quality of Works / Criteria of Failings:"),0)/MAX(1,(LEN($I624)-LEN(SUBSTITUTE($I624," Ltd","")))/LEN(" Ltd")),0)</f>
        <v/>
      </c>
      <c r="AB623" s="122">
        <f>IFERROR(IFERROR((LEN($T624)-LEN(SUBSTITUTE($T624,"Quality of Works / Criteria of Failings:Compliant","")))/LEN("Quality of Works / Criteria of Failings:Compliant"),0)/MAX(1,(LEN($I624)-LEN(SUBSTITUTE($I624," Ltd","")))/LEN(" Ltd")),0)</f>
        <v/>
      </c>
    </row>
    <row r="624" ht="15.75" customHeight="1" s="146">
      <c r="Y624" s="122">
        <f>MAX(0,IFERROR((LEN($T625)-LEN(SUBSTITUTE($T625,"Quality of Works / Criteria of Failings:","")))/LEN("Quality of Works / Criteria of Failings:"),0)-IFERROR((LEN($T625)-LEN(SUBSTITUTE($T625,"Quality of Works / Criteria of Failings:Compliant","")))/LEN("Quality of Works / Criteria of Failings:Compliant"),0))</f>
        <v/>
      </c>
      <c r="Z624" s="122">
        <f>IFERROR($Y625/MAX(1,(LEN($I625)-LEN(SUBSTITUTE($I625," Ltd","")))/LEN(" Ltd")),0)</f>
        <v/>
      </c>
      <c r="AA624" s="122">
        <f>IFERROR(IFERROR((LEN($T625)-LEN(SUBSTITUTE($T625,"Quality of Works / Criteria of Failings:","")))/LEN("Quality of Works / Criteria of Failings:"),0)/MAX(1,(LEN($I625)-LEN(SUBSTITUTE($I625," Ltd","")))/LEN(" Ltd")),0)</f>
        <v/>
      </c>
      <c r="AB624" s="122">
        <f>IFERROR(IFERROR((LEN($T625)-LEN(SUBSTITUTE($T625,"Quality of Works / Criteria of Failings:Compliant","")))/LEN("Quality of Works / Criteria of Failings:Compliant"),0)/MAX(1,(LEN($I625)-LEN(SUBSTITUTE($I625," Ltd","")))/LEN(" Ltd")),0)</f>
        <v/>
      </c>
    </row>
    <row r="625" ht="15.75" customHeight="1" s="146">
      <c r="Y625" s="122">
        <f>MAX(0,IFERROR((LEN($T626)-LEN(SUBSTITUTE($T626,"Quality of Works / Criteria of Failings:","")))/LEN("Quality of Works / Criteria of Failings:"),0)-IFERROR((LEN($T626)-LEN(SUBSTITUTE($T626,"Quality of Works / Criteria of Failings:Compliant","")))/LEN("Quality of Works / Criteria of Failings:Compliant"),0))</f>
        <v/>
      </c>
      <c r="Z625" s="122">
        <f>IFERROR($Y626/MAX(1,(LEN($I626)-LEN(SUBSTITUTE($I626," Ltd","")))/LEN(" Ltd")),0)</f>
        <v/>
      </c>
      <c r="AA625" s="122">
        <f>IFERROR(IFERROR((LEN($T626)-LEN(SUBSTITUTE($T626,"Quality of Works / Criteria of Failings:","")))/LEN("Quality of Works / Criteria of Failings:"),0)/MAX(1,(LEN($I626)-LEN(SUBSTITUTE($I626," Ltd","")))/LEN(" Ltd")),0)</f>
        <v/>
      </c>
      <c r="AB625" s="122">
        <f>IFERROR(IFERROR((LEN($T626)-LEN(SUBSTITUTE($T626,"Quality of Works / Criteria of Failings:Compliant","")))/LEN("Quality of Works / Criteria of Failings:Compliant"),0)/MAX(1,(LEN($I626)-LEN(SUBSTITUTE($I626," Ltd","")))/LEN(" Ltd")),0)</f>
        <v/>
      </c>
    </row>
    <row r="626" ht="15.75" customHeight="1" s="146">
      <c r="Y626" s="122">
        <f>MAX(0,IFERROR((LEN($T627)-LEN(SUBSTITUTE($T627,"Quality of Works / Criteria of Failings:","")))/LEN("Quality of Works / Criteria of Failings:"),0)-IFERROR((LEN($T627)-LEN(SUBSTITUTE($T627,"Quality of Works / Criteria of Failings:Compliant","")))/LEN("Quality of Works / Criteria of Failings:Compliant"),0))</f>
        <v/>
      </c>
      <c r="Z626" s="122">
        <f>IFERROR($Y627/MAX(1,(LEN($I627)-LEN(SUBSTITUTE($I627," Ltd","")))/LEN(" Ltd")),0)</f>
        <v/>
      </c>
      <c r="AA626" s="122">
        <f>IFERROR(IFERROR((LEN($T627)-LEN(SUBSTITUTE($T627,"Quality of Works / Criteria of Failings:","")))/LEN("Quality of Works / Criteria of Failings:"),0)/MAX(1,(LEN($I627)-LEN(SUBSTITUTE($I627," Ltd","")))/LEN(" Ltd")),0)</f>
        <v/>
      </c>
      <c r="AB626" s="122">
        <f>IFERROR(IFERROR((LEN($T627)-LEN(SUBSTITUTE($T627,"Quality of Works / Criteria of Failings:Compliant","")))/LEN("Quality of Works / Criteria of Failings:Compliant"),0)/MAX(1,(LEN($I627)-LEN(SUBSTITUTE($I627," Ltd","")))/LEN(" Ltd")),0)</f>
        <v/>
      </c>
    </row>
    <row r="627" ht="15.75" customHeight="1" s="146">
      <c r="Y627" s="122">
        <f>MAX(0,IFERROR((LEN($T628)-LEN(SUBSTITUTE($T628,"Quality of Works / Criteria of Failings:","")))/LEN("Quality of Works / Criteria of Failings:"),0)-IFERROR((LEN($T628)-LEN(SUBSTITUTE($T628,"Quality of Works / Criteria of Failings:Compliant","")))/LEN("Quality of Works / Criteria of Failings:Compliant"),0))</f>
        <v/>
      </c>
      <c r="Z627" s="122">
        <f>IFERROR($Y628/MAX(1,(LEN($I628)-LEN(SUBSTITUTE($I628," Ltd","")))/LEN(" Ltd")),0)</f>
        <v/>
      </c>
      <c r="AA627" s="122">
        <f>IFERROR(IFERROR((LEN($T628)-LEN(SUBSTITUTE($T628,"Quality of Works / Criteria of Failings:","")))/LEN("Quality of Works / Criteria of Failings:"),0)/MAX(1,(LEN($I628)-LEN(SUBSTITUTE($I628," Ltd","")))/LEN(" Ltd")),0)</f>
        <v/>
      </c>
      <c r="AB627" s="122">
        <f>IFERROR(IFERROR((LEN($T628)-LEN(SUBSTITUTE($T628,"Quality of Works / Criteria of Failings:Compliant","")))/LEN("Quality of Works / Criteria of Failings:Compliant"),0)/MAX(1,(LEN($I628)-LEN(SUBSTITUTE($I628," Ltd","")))/LEN(" Ltd")),0)</f>
        <v/>
      </c>
    </row>
    <row r="628" ht="15.75" customHeight="1" s="146">
      <c r="Y628" s="122">
        <f>MAX(0,IFERROR((LEN($T629)-LEN(SUBSTITUTE($T629,"Quality of Works / Criteria of Failings:","")))/LEN("Quality of Works / Criteria of Failings:"),0)-IFERROR((LEN($T629)-LEN(SUBSTITUTE($T629,"Quality of Works / Criteria of Failings:Compliant","")))/LEN("Quality of Works / Criteria of Failings:Compliant"),0))</f>
        <v/>
      </c>
      <c r="Z628" s="122">
        <f>IFERROR($Y629/MAX(1,(LEN($I629)-LEN(SUBSTITUTE($I629," Ltd","")))/LEN(" Ltd")),0)</f>
        <v/>
      </c>
      <c r="AA628" s="122">
        <f>IFERROR(IFERROR((LEN($T629)-LEN(SUBSTITUTE($T629,"Quality of Works / Criteria of Failings:","")))/LEN("Quality of Works / Criteria of Failings:"),0)/MAX(1,(LEN($I629)-LEN(SUBSTITUTE($I629," Ltd","")))/LEN(" Ltd")),0)</f>
        <v/>
      </c>
      <c r="AB628" s="122">
        <f>IFERROR(IFERROR((LEN($T629)-LEN(SUBSTITUTE($T629,"Quality of Works / Criteria of Failings:Compliant","")))/LEN("Quality of Works / Criteria of Failings:Compliant"),0)/MAX(1,(LEN($I629)-LEN(SUBSTITUTE($I629," Ltd","")))/LEN(" Ltd")),0)</f>
        <v/>
      </c>
    </row>
    <row r="629" ht="15.75" customHeight="1" s="146">
      <c r="Y629" s="122">
        <f>MAX(0,IFERROR((LEN($T630)-LEN(SUBSTITUTE($T630,"Quality of Works / Criteria of Failings:","")))/LEN("Quality of Works / Criteria of Failings:"),0)-IFERROR((LEN($T630)-LEN(SUBSTITUTE($T630,"Quality of Works / Criteria of Failings:Compliant","")))/LEN("Quality of Works / Criteria of Failings:Compliant"),0))</f>
        <v/>
      </c>
      <c r="Z629" s="122">
        <f>IFERROR($Y630/MAX(1,(LEN($I630)-LEN(SUBSTITUTE($I630," Ltd","")))/LEN(" Ltd")),0)</f>
        <v/>
      </c>
      <c r="AA629" s="122">
        <f>IFERROR(IFERROR((LEN($T630)-LEN(SUBSTITUTE($T630,"Quality of Works / Criteria of Failings:","")))/LEN("Quality of Works / Criteria of Failings:"),0)/MAX(1,(LEN($I630)-LEN(SUBSTITUTE($I630," Ltd","")))/LEN(" Ltd")),0)</f>
        <v/>
      </c>
      <c r="AB629" s="122">
        <f>IFERROR(IFERROR((LEN($T630)-LEN(SUBSTITUTE($T630,"Quality of Works / Criteria of Failings:Compliant","")))/LEN("Quality of Works / Criteria of Failings:Compliant"),0)/MAX(1,(LEN($I630)-LEN(SUBSTITUTE($I630," Ltd","")))/LEN(" Ltd")),0)</f>
        <v/>
      </c>
    </row>
    <row r="630" ht="15.75" customHeight="1" s="146">
      <c r="Y630" s="122">
        <f>MAX(0,IFERROR((LEN($T631)-LEN(SUBSTITUTE($T631,"Quality of Works / Criteria of Failings:","")))/LEN("Quality of Works / Criteria of Failings:"),0)-IFERROR((LEN($T631)-LEN(SUBSTITUTE($T631,"Quality of Works / Criteria of Failings:Compliant","")))/LEN("Quality of Works / Criteria of Failings:Compliant"),0))</f>
        <v/>
      </c>
      <c r="Z630" s="122">
        <f>IFERROR($Y631/MAX(1,(LEN($I631)-LEN(SUBSTITUTE($I631," Ltd","")))/LEN(" Ltd")),0)</f>
        <v/>
      </c>
      <c r="AA630" s="122">
        <f>IFERROR(IFERROR((LEN($T631)-LEN(SUBSTITUTE($T631,"Quality of Works / Criteria of Failings:","")))/LEN("Quality of Works / Criteria of Failings:"),0)/MAX(1,(LEN($I631)-LEN(SUBSTITUTE($I631," Ltd","")))/LEN(" Ltd")),0)</f>
        <v/>
      </c>
      <c r="AB630" s="122">
        <f>IFERROR(IFERROR((LEN($T631)-LEN(SUBSTITUTE($T631,"Quality of Works / Criteria of Failings:Compliant","")))/LEN("Quality of Works / Criteria of Failings:Compliant"),0)/MAX(1,(LEN($I631)-LEN(SUBSTITUTE($I631," Ltd","")))/LEN(" Ltd")),0)</f>
        <v/>
      </c>
    </row>
    <row r="631" ht="15.75" customHeight="1" s="146">
      <c r="Y631" s="122">
        <f>MAX(0,IFERROR((LEN($T632)-LEN(SUBSTITUTE($T632,"Quality of Works / Criteria of Failings:","")))/LEN("Quality of Works / Criteria of Failings:"),0)-IFERROR((LEN($T632)-LEN(SUBSTITUTE($T632,"Quality of Works / Criteria of Failings:Compliant","")))/LEN("Quality of Works / Criteria of Failings:Compliant"),0))</f>
        <v/>
      </c>
      <c r="Z631" s="122">
        <f>IFERROR($Y632/MAX(1,(LEN($I632)-LEN(SUBSTITUTE($I632," Ltd","")))/LEN(" Ltd")),0)</f>
        <v/>
      </c>
      <c r="AA631" s="122">
        <f>IFERROR(IFERROR((LEN($T632)-LEN(SUBSTITUTE($T632,"Quality of Works / Criteria of Failings:","")))/LEN("Quality of Works / Criteria of Failings:"),0)/MAX(1,(LEN($I632)-LEN(SUBSTITUTE($I632," Ltd","")))/LEN(" Ltd")),0)</f>
        <v/>
      </c>
      <c r="AB631" s="122">
        <f>IFERROR(IFERROR((LEN($T632)-LEN(SUBSTITUTE($T632,"Quality of Works / Criteria of Failings:Compliant","")))/LEN("Quality of Works / Criteria of Failings:Compliant"),0)/MAX(1,(LEN($I632)-LEN(SUBSTITUTE($I632," Ltd","")))/LEN(" Ltd")),0)</f>
        <v/>
      </c>
    </row>
    <row r="632" ht="15.75" customHeight="1" s="146">
      <c r="Y632" s="122">
        <f>MAX(0,IFERROR((LEN($T633)-LEN(SUBSTITUTE($T633,"Quality of Works / Criteria of Failings:","")))/LEN("Quality of Works / Criteria of Failings:"),0)-IFERROR((LEN($T633)-LEN(SUBSTITUTE($T633,"Quality of Works / Criteria of Failings:Compliant","")))/LEN("Quality of Works / Criteria of Failings:Compliant"),0))</f>
        <v/>
      </c>
      <c r="Z632" s="122">
        <f>IFERROR($Y633/MAX(1,(LEN($I633)-LEN(SUBSTITUTE($I633," Ltd","")))/LEN(" Ltd")),0)</f>
        <v/>
      </c>
      <c r="AA632" s="122">
        <f>IFERROR(IFERROR((LEN($T633)-LEN(SUBSTITUTE($T633,"Quality of Works / Criteria of Failings:","")))/LEN("Quality of Works / Criteria of Failings:"),0)/MAX(1,(LEN($I633)-LEN(SUBSTITUTE($I633," Ltd","")))/LEN(" Ltd")),0)</f>
        <v/>
      </c>
      <c r="AB632" s="122">
        <f>IFERROR(IFERROR((LEN($T633)-LEN(SUBSTITUTE($T633,"Quality of Works / Criteria of Failings:Compliant","")))/LEN("Quality of Works / Criteria of Failings:Compliant"),0)/MAX(1,(LEN($I633)-LEN(SUBSTITUTE($I633," Ltd","")))/LEN(" Ltd")),0)</f>
        <v/>
      </c>
    </row>
    <row r="633" ht="15.75" customHeight="1" s="146">
      <c r="Y633" s="122">
        <f>MAX(0,IFERROR((LEN($T634)-LEN(SUBSTITUTE($T634,"Quality of Works / Criteria of Failings:","")))/LEN("Quality of Works / Criteria of Failings:"),0)-IFERROR((LEN($T634)-LEN(SUBSTITUTE($T634,"Quality of Works / Criteria of Failings:Compliant","")))/LEN("Quality of Works / Criteria of Failings:Compliant"),0))</f>
        <v/>
      </c>
      <c r="Z633" s="122">
        <f>IFERROR($Y634/MAX(1,(LEN($I634)-LEN(SUBSTITUTE($I634," Ltd","")))/LEN(" Ltd")),0)</f>
        <v/>
      </c>
      <c r="AA633" s="122">
        <f>IFERROR(IFERROR((LEN($T634)-LEN(SUBSTITUTE($T634,"Quality of Works / Criteria of Failings:","")))/LEN("Quality of Works / Criteria of Failings:"),0)/MAX(1,(LEN($I634)-LEN(SUBSTITUTE($I634," Ltd","")))/LEN(" Ltd")),0)</f>
        <v/>
      </c>
      <c r="AB633" s="122">
        <f>IFERROR(IFERROR((LEN($T634)-LEN(SUBSTITUTE($T634,"Quality of Works / Criteria of Failings:Compliant","")))/LEN("Quality of Works / Criteria of Failings:Compliant"),0)/MAX(1,(LEN($I634)-LEN(SUBSTITUTE($I634," Ltd","")))/LEN(" Ltd")),0)</f>
        <v/>
      </c>
    </row>
    <row r="634" ht="15.75" customHeight="1" s="146">
      <c r="Y634" s="122">
        <f>MAX(0,IFERROR((LEN($T635)-LEN(SUBSTITUTE($T635,"Quality of Works / Criteria of Failings:","")))/LEN("Quality of Works / Criteria of Failings:"),0)-IFERROR((LEN($T635)-LEN(SUBSTITUTE($T635,"Quality of Works / Criteria of Failings:Compliant","")))/LEN("Quality of Works / Criteria of Failings:Compliant"),0))</f>
        <v/>
      </c>
      <c r="Z634" s="122">
        <f>IFERROR($Y635/MAX(1,(LEN($I635)-LEN(SUBSTITUTE($I635," Ltd","")))/LEN(" Ltd")),0)</f>
        <v/>
      </c>
      <c r="AA634" s="122">
        <f>IFERROR(IFERROR((LEN($T635)-LEN(SUBSTITUTE($T635,"Quality of Works / Criteria of Failings:","")))/LEN("Quality of Works / Criteria of Failings:"),0)/MAX(1,(LEN($I635)-LEN(SUBSTITUTE($I635," Ltd","")))/LEN(" Ltd")),0)</f>
        <v/>
      </c>
      <c r="AB634" s="122">
        <f>IFERROR(IFERROR((LEN($T635)-LEN(SUBSTITUTE($T635,"Quality of Works / Criteria of Failings:Compliant","")))/LEN("Quality of Works / Criteria of Failings:Compliant"),0)/MAX(1,(LEN($I635)-LEN(SUBSTITUTE($I635," Ltd","")))/LEN(" Ltd")),0)</f>
        <v/>
      </c>
    </row>
    <row r="635" ht="15.75" customHeight="1" s="146">
      <c r="Y635" s="122">
        <f>MAX(0,IFERROR((LEN($T636)-LEN(SUBSTITUTE($T636,"Quality of Works / Criteria of Failings:","")))/LEN("Quality of Works / Criteria of Failings:"),0)-IFERROR((LEN($T636)-LEN(SUBSTITUTE($T636,"Quality of Works / Criteria of Failings:Compliant","")))/LEN("Quality of Works / Criteria of Failings:Compliant"),0))</f>
        <v/>
      </c>
      <c r="Z635" s="122">
        <f>IFERROR($Y636/MAX(1,(LEN($I636)-LEN(SUBSTITUTE($I636," Ltd","")))/LEN(" Ltd")),0)</f>
        <v/>
      </c>
      <c r="AA635" s="122">
        <f>IFERROR(IFERROR((LEN($T636)-LEN(SUBSTITUTE($T636,"Quality of Works / Criteria of Failings:","")))/LEN("Quality of Works / Criteria of Failings:"),0)/MAX(1,(LEN($I636)-LEN(SUBSTITUTE($I636," Ltd","")))/LEN(" Ltd")),0)</f>
        <v/>
      </c>
      <c r="AB635" s="122">
        <f>IFERROR(IFERROR((LEN($T636)-LEN(SUBSTITUTE($T636,"Quality of Works / Criteria of Failings:Compliant","")))/LEN("Quality of Works / Criteria of Failings:Compliant"),0)/MAX(1,(LEN($I636)-LEN(SUBSTITUTE($I636," Ltd","")))/LEN(" Ltd")),0)</f>
        <v/>
      </c>
    </row>
    <row r="636" ht="15.75" customHeight="1" s="146">
      <c r="Y636" s="122">
        <f>MAX(0,IFERROR((LEN($T637)-LEN(SUBSTITUTE($T637,"Quality of Works / Criteria of Failings:","")))/LEN("Quality of Works / Criteria of Failings:"),0)-IFERROR((LEN($T637)-LEN(SUBSTITUTE($T637,"Quality of Works / Criteria of Failings:Compliant","")))/LEN("Quality of Works / Criteria of Failings:Compliant"),0))</f>
        <v/>
      </c>
      <c r="Z636" s="122">
        <f>IFERROR($Y637/MAX(1,(LEN($I637)-LEN(SUBSTITUTE($I637," Ltd","")))/LEN(" Ltd")),0)</f>
        <v/>
      </c>
      <c r="AA636" s="122">
        <f>IFERROR(IFERROR((LEN($T637)-LEN(SUBSTITUTE($T637,"Quality of Works / Criteria of Failings:","")))/LEN("Quality of Works / Criteria of Failings:"),0)/MAX(1,(LEN($I637)-LEN(SUBSTITUTE($I637," Ltd","")))/LEN(" Ltd")),0)</f>
        <v/>
      </c>
      <c r="AB636" s="122">
        <f>IFERROR(IFERROR((LEN($T637)-LEN(SUBSTITUTE($T637,"Quality of Works / Criteria of Failings:Compliant","")))/LEN("Quality of Works / Criteria of Failings:Compliant"),0)/MAX(1,(LEN($I637)-LEN(SUBSTITUTE($I637," Ltd","")))/LEN(" Ltd")),0)</f>
        <v/>
      </c>
    </row>
    <row r="637" ht="15.75" customHeight="1" s="146">
      <c r="Y637" s="122">
        <f>MAX(0,IFERROR((LEN($T638)-LEN(SUBSTITUTE($T638,"Quality of Works / Criteria of Failings:","")))/LEN("Quality of Works / Criteria of Failings:"),0)-IFERROR((LEN($T638)-LEN(SUBSTITUTE($T638,"Quality of Works / Criteria of Failings:Compliant","")))/LEN("Quality of Works / Criteria of Failings:Compliant"),0))</f>
        <v/>
      </c>
      <c r="Z637" s="122">
        <f>IFERROR($Y638/MAX(1,(LEN($I638)-LEN(SUBSTITUTE($I638," Ltd","")))/LEN(" Ltd")),0)</f>
        <v/>
      </c>
      <c r="AA637" s="122">
        <f>IFERROR(IFERROR((LEN($T638)-LEN(SUBSTITUTE($T638,"Quality of Works / Criteria of Failings:","")))/LEN("Quality of Works / Criteria of Failings:"),0)/MAX(1,(LEN($I638)-LEN(SUBSTITUTE($I638," Ltd","")))/LEN(" Ltd")),0)</f>
        <v/>
      </c>
      <c r="AB637" s="122">
        <f>IFERROR(IFERROR((LEN($T638)-LEN(SUBSTITUTE($T638,"Quality of Works / Criteria of Failings:Compliant","")))/LEN("Quality of Works / Criteria of Failings:Compliant"),0)/MAX(1,(LEN($I638)-LEN(SUBSTITUTE($I638," Ltd","")))/LEN(" Ltd")),0)</f>
        <v/>
      </c>
    </row>
    <row r="638" ht="15.75" customHeight="1" s="146">
      <c r="Y638" s="122">
        <f>MAX(0,IFERROR((LEN($T639)-LEN(SUBSTITUTE($T639,"Quality of Works / Criteria of Failings:","")))/LEN("Quality of Works / Criteria of Failings:"),0)-IFERROR((LEN($T639)-LEN(SUBSTITUTE($T639,"Quality of Works / Criteria of Failings:Compliant","")))/LEN("Quality of Works / Criteria of Failings:Compliant"),0))</f>
        <v/>
      </c>
      <c r="Z638" s="122">
        <f>IFERROR($Y639/MAX(1,(LEN($I639)-LEN(SUBSTITUTE($I639," Ltd","")))/LEN(" Ltd")),0)</f>
        <v/>
      </c>
      <c r="AA638" s="122">
        <f>IFERROR(IFERROR((LEN($T639)-LEN(SUBSTITUTE($T639,"Quality of Works / Criteria of Failings:","")))/LEN("Quality of Works / Criteria of Failings:"),0)/MAX(1,(LEN($I639)-LEN(SUBSTITUTE($I639," Ltd","")))/LEN(" Ltd")),0)</f>
        <v/>
      </c>
      <c r="AB638" s="122">
        <f>IFERROR(IFERROR((LEN($T639)-LEN(SUBSTITUTE($T639,"Quality of Works / Criteria of Failings:Compliant","")))/LEN("Quality of Works / Criteria of Failings:Compliant"),0)/MAX(1,(LEN($I639)-LEN(SUBSTITUTE($I639," Ltd","")))/LEN(" Ltd")),0)</f>
        <v/>
      </c>
    </row>
    <row r="639" ht="15.75" customHeight="1" s="146">
      <c r="Y639" s="122">
        <f>MAX(0,IFERROR((LEN($T640)-LEN(SUBSTITUTE($T640,"Quality of Works / Criteria of Failings:","")))/LEN("Quality of Works / Criteria of Failings:"),0)-IFERROR((LEN($T640)-LEN(SUBSTITUTE($T640,"Quality of Works / Criteria of Failings:Compliant","")))/LEN("Quality of Works / Criteria of Failings:Compliant"),0))</f>
        <v/>
      </c>
      <c r="Z639" s="122">
        <f>IFERROR($Y640/MAX(1,(LEN($I640)-LEN(SUBSTITUTE($I640," Ltd","")))/LEN(" Ltd")),0)</f>
        <v/>
      </c>
      <c r="AA639" s="122">
        <f>IFERROR(IFERROR((LEN($T640)-LEN(SUBSTITUTE($T640,"Quality of Works / Criteria of Failings:","")))/LEN("Quality of Works / Criteria of Failings:"),0)/MAX(1,(LEN($I640)-LEN(SUBSTITUTE($I640," Ltd","")))/LEN(" Ltd")),0)</f>
        <v/>
      </c>
      <c r="AB639" s="122">
        <f>IFERROR(IFERROR((LEN($T640)-LEN(SUBSTITUTE($T640,"Quality of Works / Criteria of Failings:Compliant","")))/LEN("Quality of Works / Criteria of Failings:Compliant"),0)/MAX(1,(LEN($I640)-LEN(SUBSTITUTE($I640," Ltd","")))/LEN(" Ltd")),0)</f>
        <v/>
      </c>
    </row>
    <row r="640" ht="15.75" customHeight="1" s="146">
      <c r="Y640" s="122">
        <f>MAX(0,IFERROR((LEN($T641)-LEN(SUBSTITUTE($T641,"Quality of Works / Criteria of Failings:","")))/LEN("Quality of Works / Criteria of Failings:"),0)-IFERROR((LEN($T641)-LEN(SUBSTITUTE($T641,"Quality of Works / Criteria of Failings:Compliant","")))/LEN("Quality of Works / Criteria of Failings:Compliant"),0))</f>
        <v/>
      </c>
      <c r="Z640" s="122">
        <f>IFERROR($Y641/MAX(1,(LEN($I641)-LEN(SUBSTITUTE($I641," Ltd","")))/LEN(" Ltd")),0)</f>
        <v/>
      </c>
      <c r="AA640" s="122">
        <f>IFERROR(IFERROR((LEN($T641)-LEN(SUBSTITUTE($T641,"Quality of Works / Criteria of Failings:","")))/LEN("Quality of Works / Criteria of Failings:"),0)/MAX(1,(LEN($I641)-LEN(SUBSTITUTE($I641," Ltd","")))/LEN(" Ltd")),0)</f>
        <v/>
      </c>
      <c r="AB640" s="122">
        <f>IFERROR(IFERROR((LEN($T641)-LEN(SUBSTITUTE($T641,"Quality of Works / Criteria of Failings:Compliant","")))/LEN("Quality of Works / Criteria of Failings:Compliant"),0)/MAX(1,(LEN($I641)-LEN(SUBSTITUTE($I641," Ltd","")))/LEN(" Ltd")),0)</f>
        <v/>
      </c>
    </row>
    <row r="641" ht="15.75" customHeight="1" s="146">
      <c r="Y641" s="122">
        <f>MAX(0,IFERROR((LEN($T642)-LEN(SUBSTITUTE($T642,"Quality of Works / Criteria of Failings:","")))/LEN("Quality of Works / Criteria of Failings:"),0)-IFERROR((LEN($T642)-LEN(SUBSTITUTE($T642,"Quality of Works / Criteria of Failings:Compliant","")))/LEN("Quality of Works / Criteria of Failings:Compliant"),0))</f>
        <v/>
      </c>
      <c r="Z641" s="122">
        <f>IFERROR($Y642/MAX(1,(LEN($I642)-LEN(SUBSTITUTE($I642," Ltd","")))/LEN(" Ltd")),0)</f>
        <v/>
      </c>
      <c r="AA641" s="122">
        <f>IFERROR(IFERROR((LEN($T642)-LEN(SUBSTITUTE($T642,"Quality of Works / Criteria of Failings:","")))/LEN("Quality of Works / Criteria of Failings:"),0)/MAX(1,(LEN($I642)-LEN(SUBSTITUTE($I642," Ltd","")))/LEN(" Ltd")),0)</f>
        <v/>
      </c>
      <c r="AB641" s="122">
        <f>IFERROR(IFERROR((LEN($T642)-LEN(SUBSTITUTE($T642,"Quality of Works / Criteria of Failings:Compliant","")))/LEN("Quality of Works / Criteria of Failings:Compliant"),0)/MAX(1,(LEN($I642)-LEN(SUBSTITUTE($I642," Ltd","")))/LEN(" Ltd")),0)</f>
        <v/>
      </c>
    </row>
    <row r="642" ht="15.75" customHeight="1" s="146">
      <c r="Y642" s="122">
        <f>MAX(0,IFERROR((LEN($T643)-LEN(SUBSTITUTE($T643,"Quality of Works / Criteria of Failings:","")))/LEN("Quality of Works / Criteria of Failings:"),0)-IFERROR((LEN($T643)-LEN(SUBSTITUTE($T643,"Quality of Works / Criteria of Failings:Compliant","")))/LEN("Quality of Works / Criteria of Failings:Compliant"),0))</f>
        <v/>
      </c>
      <c r="Z642" s="122">
        <f>IFERROR($Y643/MAX(1,(LEN($I643)-LEN(SUBSTITUTE($I643," Ltd","")))/LEN(" Ltd")),0)</f>
        <v/>
      </c>
      <c r="AA642" s="122">
        <f>IFERROR(IFERROR((LEN($T643)-LEN(SUBSTITUTE($T643,"Quality of Works / Criteria of Failings:","")))/LEN("Quality of Works / Criteria of Failings:"),0)/MAX(1,(LEN($I643)-LEN(SUBSTITUTE($I643," Ltd","")))/LEN(" Ltd")),0)</f>
        <v/>
      </c>
      <c r="AB642" s="122">
        <f>IFERROR(IFERROR((LEN($T643)-LEN(SUBSTITUTE($T643,"Quality of Works / Criteria of Failings:Compliant","")))/LEN("Quality of Works / Criteria of Failings:Compliant"),0)/MAX(1,(LEN($I643)-LEN(SUBSTITUTE($I643," Ltd","")))/LEN(" Ltd")),0)</f>
        <v/>
      </c>
    </row>
    <row r="643" ht="15.75" customHeight="1" s="146">
      <c r="Y643" s="122">
        <f>MAX(0,IFERROR((LEN($T644)-LEN(SUBSTITUTE($T644,"Quality of Works / Criteria of Failings:","")))/LEN("Quality of Works / Criteria of Failings:"),0)-IFERROR((LEN($T644)-LEN(SUBSTITUTE($T644,"Quality of Works / Criteria of Failings:Compliant","")))/LEN("Quality of Works / Criteria of Failings:Compliant"),0))</f>
        <v/>
      </c>
      <c r="Z643" s="122">
        <f>IFERROR($Y644/MAX(1,(LEN($I644)-LEN(SUBSTITUTE($I644," Ltd","")))/LEN(" Ltd")),0)</f>
        <v/>
      </c>
      <c r="AA643" s="122">
        <f>IFERROR(IFERROR((LEN($T644)-LEN(SUBSTITUTE($T644,"Quality of Works / Criteria of Failings:","")))/LEN("Quality of Works / Criteria of Failings:"),0)/MAX(1,(LEN($I644)-LEN(SUBSTITUTE($I644," Ltd","")))/LEN(" Ltd")),0)</f>
        <v/>
      </c>
      <c r="AB643" s="122">
        <f>IFERROR(IFERROR((LEN($T644)-LEN(SUBSTITUTE($T644,"Quality of Works / Criteria of Failings:Compliant","")))/LEN("Quality of Works / Criteria of Failings:Compliant"),0)/MAX(1,(LEN($I644)-LEN(SUBSTITUTE($I644," Ltd","")))/LEN(" Ltd")),0)</f>
        <v/>
      </c>
    </row>
    <row r="644" ht="15.75" customHeight="1" s="146">
      <c r="Y644" s="122">
        <f>MAX(0,IFERROR((LEN($T645)-LEN(SUBSTITUTE($T645,"Quality of Works / Criteria of Failings:","")))/LEN("Quality of Works / Criteria of Failings:"),0)-IFERROR((LEN($T645)-LEN(SUBSTITUTE($T645,"Quality of Works / Criteria of Failings:Compliant","")))/LEN("Quality of Works / Criteria of Failings:Compliant"),0))</f>
        <v/>
      </c>
      <c r="Z644" s="122">
        <f>IFERROR($Y645/MAX(1,(LEN($I645)-LEN(SUBSTITUTE($I645," Ltd","")))/LEN(" Ltd")),0)</f>
        <v/>
      </c>
      <c r="AA644" s="122">
        <f>IFERROR(IFERROR((LEN($T645)-LEN(SUBSTITUTE($T645,"Quality of Works / Criteria of Failings:","")))/LEN("Quality of Works / Criteria of Failings:"),0)/MAX(1,(LEN($I645)-LEN(SUBSTITUTE($I645," Ltd","")))/LEN(" Ltd")),0)</f>
        <v/>
      </c>
      <c r="AB644" s="122">
        <f>IFERROR(IFERROR((LEN($T645)-LEN(SUBSTITUTE($T645,"Quality of Works / Criteria of Failings:Compliant","")))/LEN("Quality of Works / Criteria of Failings:Compliant"),0)/MAX(1,(LEN($I645)-LEN(SUBSTITUTE($I645," Ltd","")))/LEN(" Ltd")),0)</f>
        <v/>
      </c>
    </row>
    <row r="645" ht="15.75" customHeight="1" s="146">
      <c r="Y645" s="122">
        <f>MAX(0,IFERROR((LEN($T646)-LEN(SUBSTITUTE($T646,"Quality of Works / Criteria of Failings:","")))/LEN("Quality of Works / Criteria of Failings:"),0)-IFERROR((LEN($T646)-LEN(SUBSTITUTE($T646,"Quality of Works / Criteria of Failings:Compliant","")))/LEN("Quality of Works / Criteria of Failings:Compliant"),0))</f>
        <v/>
      </c>
      <c r="Z645" s="122">
        <f>IFERROR($Y646/MAX(1,(LEN($I646)-LEN(SUBSTITUTE($I646," Ltd","")))/LEN(" Ltd")),0)</f>
        <v/>
      </c>
      <c r="AA645" s="122">
        <f>IFERROR(IFERROR((LEN($T646)-LEN(SUBSTITUTE($T646,"Quality of Works / Criteria of Failings:","")))/LEN("Quality of Works / Criteria of Failings:"),0)/MAX(1,(LEN($I646)-LEN(SUBSTITUTE($I646," Ltd","")))/LEN(" Ltd")),0)</f>
        <v/>
      </c>
      <c r="AB645" s="122">
        <f>IFERROR(IFERROR((LEN($T646)-LEN(SUBSTITUTE($T646,"Quality of Works / Criteria of Failings:Compliant","")))/LEN("Quality of Works / Criteria of Failings:Compliant"),0)/MAX(1,(LEN($I646)-LEN(SUBSTITUTE($I646," Ltd","")))/LEN(" Ltd")),0)</f>
        <v/>
      </c>
    </row>
    <row r="646" ht="15.75" customHeight="1" s="146">
      <c r="Y646" s="122">
        <f>MAX(0,IFERROR((LEN($T647)-LEN(SUBSTITUTE($T647,"Quality of Works / Criteria of Failings:","")))/LEN("Quality of Works / Criteria of Failings:"),0)-IFERROR((LEN($T647)-LEN(SUBSTITUTE($T647,"Quality of Works / Criteria of Failings:Compliant","")))/LEN("Quality of Works / Criteria of Failings:Compliant"),0))</f>
        <v/>
      </c>
      <c r="Z646" s="122">
        <f>IFERROR($Y647/MAX(1,(LEN($I647)-LEN(SUBSTITUTE($I647," Ltd","")))/LEN(" Ltd")),0)</f>
        <v/>
      </c>
      <c r="AA646" s="122">
        <f>IFERROR(IFERROR((LEN($T647)-LEN(SUBSTITUTE($T647,"Quality of Works / Criteria of Failings:","")))/LEN("Quality of Works / Criteria of Failings:"),0)/MAX(1,(LEN($I647)-LEN(SUBSTITUTE($I647," Ltd","")))/LEN(" Ltd")),0)</f>
        <v/>
      </c>
      <c r="AB646" s="122">
        <f>IFERROR(IFERROR((LEN($T647)-LEN(SUBSTITUTE($T647,"Quality of Works / Criteria of Failings:Compliant","")))/LEN("Quality of Works / Criteria of Failings:Compliant"),0)/MAX(1,(LEN($I647)-LEN(SUBSTITUTE($I647," Ltd","")))/LEN(" Ltd")),0)</f>
        <v/>
      </c>
    </row>
    <row r="647" ht="15.75" customHeight="1" s="146">
      <c r="Y647" s="122">
        <f>MAX(0,IFERROR((LEN($T648)-LEN(SUBSTITUTE($T648,"Quality of Works / Criteria of Failings:","")))/LEN("Quality of Works / Criteria of Failings:"),0)-IFERROR((LEN($T648)-LEN(SUBSTITUTE($T648,"Quality of Works / Criteria of Failings:Compliant","")))/LEN("Quality of Works / Criteria of Failings:Compliant"),0))</f>
        <v/>
      </c>
      <c r="Z647" s="122">
        <f>IFERROR($Y648/MAX(1,(LEN($I648)-LEN(SUBSTITUTE($I648," Ltd","")))/LEN(" Ltd")),0)</f>
        <v/>
      </c>
      <c r="AA647" s="122">
        <f>IFERROR(IFERROR((LEN($T648)-LEN(SUBSTITUTE($T648,"Quality of Works / Criteria of Failings:","")))/LEN("Quality of Works / Criteria of Failings:"),0)/MAX(1,(LEN($I648)-LEN(SUBSTITUTE($I648," Ltd","")))/LEN(" Ltd")),0)</f>
        <v/>
      </c>
      <c r="AB647" s="122">
        <f>IFERROR(IFERROR((LEN($T648)-LEN(SUBSTITUTE($T648,"Quality of Works / Criteria of Failings:Compliant","")))/LEN("Quality of Works / Criteria of Failings:Compliant"),0)/MAX(1,(LEN($I648)-LEN(SUBSTITUTE($I648," Ltd","")))/LEN(" Ltd")),0)</f>
        <v/>
      </c>
    </row>
    <row r="648" ht="15.75" customHeight="1" s="146">
      <c r="Y648" s="122">
        <f>MAX(0,IFERROR((LEN($T649)-LEN(SUBSTITUTE($T649,"Quality of Works / Criteria of Failings:","")))/LEN("Quality of Works / Criteria of Failings:"),0)-IFERROR((LEN($T649)-LEN(SUBSTITUTE($T649,"Quality of Works / Criteria of Failings:Compliant","")))/LEN("Quality of Works / Criteria of Failings:Compliant"),0))</f>
        <v/>
      </c>
      <c r="Z648" s="122">
        <f>IFERROR($Y649/MAX(1,(LEN($I649)-LEN(SUBSTITUTE($I649," Ltd","")))/LEN(" Ltd")),0)</f>
        <v/>
      </c>
      <c r="AA648" s="122">
        <f>IFERROR(IFERROR((LEN($T649)-LEN(SUBSTITUTE($T649,"Quality of Works / Criteria of Failings:","")))/LEN("Quality of Works / Criteria of Failings:"),0)/MAX(1,(LEN($I649)-LEN(SUBSTITUTE($I649," Ltd","")))/LEN(" Ltd")),0)</f>
        <v/>
      </c>
      <c r="AB648" s="122">
        <f>IFERROR(IFERROR((LEN($T649)-LEN(SUBSTITUTE($T649,"Quality of Works / Criteria of Failings:Compliant","")))/LEN("Quality of Works / Criteria of Failings:Compliant"),0)/MAX(1,(LEN($I649)-LEN(SUBSTITUTE($I649," Ltd","")))/LEN(" Ltd")),0)</f>
        <v/>
      </c>
    </row>
    <row r="649" ht="15.75" customHeight="1" s="146">
      <c r="Y649" s="122">
        <f>MAX(0,IFERROR((LEN($T650)-LEN(SUBSTITUTE($T650,"Quality of Works / Criteria of Failings:","")))/LEN("Quality of Works / Criteria of Failings:"),0)-IFERROR((LEN($T650)-LEN(SUBSTITUTE($T650,"Quality of Works / Criteria of Failings:Compliant","")))/LEN("Quality of Works / Criteria of Failings:Compliant"),0))</f>
        <v/>
      </c>
      <c r="Z649" s="122">
        <f>IFERROR($Y650/MAX(1,(LEN($I650)-LEN(SUBSTITUTE($I650," Ltd","")))/LEN(" Ltd")),0)</f>
        <v/>
      </c>
      <c r="AA649" s="122">
        <f>IFERROR(IFERROR((LEN($T650)-LEN(SUBSTITUTE($T650,"Quality of Works / Criteria of Failings:","")))/LEN("Quality of Works / Criteria of Failings:"),0)/MAX(1,(LEN($I650)-LEN(SUBSTITUTE($I650," Ltd","")))/LEN(" Ltd")),0)</f>
        <v/>
      </c>
      <c r="AB649" s="122">
        <f>IFERROR(IFERROR((LEN($T650)-LEN(SUBSTITUTE($T650,"Quality of Works / Criteria of Failings:Compliant","")))/LEN("Quality of Works / Criteria of Failings:Compliant"),0)/MAX(1,(LEN($I650)-LEN(SUBSTITUTE($I650," Ltd","")))/LEN(" Ltd")),0)</f>
        <v/>
      </c>
    </row>
    <row r="650" ht="15.75" customHeight="1" s="146">
      <c r="Y650" s="122">
        <f>MAX(0,IFERROR((LEN($T651)-LEN(SUBSTITUTE($T651,"Quality of Works / Criteria of Failings:","")))/LEN("Quality of Works / Criteria of Failings:"),0)-IFERROR((LEN($T651)-LEN(SUBSTITUTE($T651,"Quality of Works / Criteria of Failings:Compliant","")))/LEN("Quality of Works / Criteria of Failings:Compliant"),0))</f>
        <v/>
      </c>
      <c r="Z650" s="122">
        <f>IFERROR($Y651/MAX(1,(LEN($I651)-LEN(SUBSTITUTE($I651," Ltd","")))/LEN(" Ltd")),0)</f>
        <v/>
      </c>
      <c r="AA650" s="122">
        <f>IFERROR(IFERROR((LEN($T651)-LEN(SUBSTITUTE($T651,"Quality of Works / Criteria of Failings:","")))/LEN("Quality of Works / Criteria of Failings:"),0)/MAX(1,(LEN($I651)-LEN(SUBSTITUTE($I651," Ltd","")))/LEN(" Ltd")),0)</f>
        <v/>
      </c>
      <c r="AB650" s="122">
        <f>IFERROR(IFERROR((LEN($T651)-LEN(SUBSTITUTE($T651,"Quality of Works / Criteria of Failings:Compliant","")))/LEN("Quality of Works / Criteria of Failings:Compliant"),0)/MAX(1,(LEN($I651)-LEN(SUBSTITUTE($I651," Ltd","")))/LEN(" Ltd")),0)</f>
        <v/>
      </c>
    </row>
    <row r="651" ht="15.75" customHeight="1" s="146">
      <c r="Y651" s="122">
        <f>MAX(0,IFERROR((LEN($T652)-LEN(SUBSTITUTE($T652,"Quality of Works / Criteria of Failings:","")))/LEN("Quality of Works / Criteria of Failings:"),0)-IFERROR((LEN($T652)-LEN(SUBSTITUTE($T652,"Quality of Works / Criteria of Failings:Compliant","")))/LEN("Quality of Works / Criteria of Failings:Compliant"),0))</f>
        <v/>
      </c>
      <c r="Z651" s="122">
        <f>IFERROR($Y652/MAX(1,(LEN($I652)-LEN(SUBSTITUTE($I652," Ltd","")))/LEN(" Ltd")),0)</f>
        <v/>
      </c>
      <c r="AA651" s="122">
        <f>IFERROR(IFERROR((LEN($T652)-LEN(SUBSTITUTE($T652,"Quality of Works / Criteria of Failings:","")))/LEN("Quality of Works / Criteria of Failings:"),0)/MAX(1,(LEN($I652)-LEN(SUBSTITUTE($I652," Ltd","")))/LEN(" Ltd")),0)</f>
        <v/>
      </c>
      <c r="AB651" s="122">
        <f>IFERROR(IFERROR((LEN($T652)-LEN(SUBSTITUTE($T652,"Quality of Works / Criteria of Failings:Compliant","")))/LEN("Quality of Works / Criteria of Failings:Compliant"),0)/MAX(1,(LEN($I652)-LEN(SUBSTITUTE($I652," Ltd","")))/LEN(" Ltd")),0)</f>
        <v/>
      </c>
    </row>
    <row r="652" ht="15.75" customHeight="1" s="146">
      <c r="Y652" s="122">
        <f>MAX(0,IFERROR((LEN($T653)-LEN(SUBSTITUTE($T653,"Quality of Works / Criteria of Failings:","")))/LEN("Quality of Works / Criteria of Failings:"),0)-IFERROR((LEN($T653)-LEN(SUBSTITUTE($T653,"Quality of Works / Criteria of Failings:Compliant","")))/LEN("Quality of Works / Criteria of Failings:Compliant"),0))</f>
        <v/>
      </c>
      <c r="Z652" s="122">
        <f>IFERROR($Y653/MAX(1,(LEN($I653)-LEN(SUBSTITUTE($I653," Ltd","")))/LEN(" Ltd")),0)</f>
        <v/>
      </c>
      <c r="AA652" s="122">
        <f>IFERROR(IFERROR((LEN($T653)-LEN(SUBSTITUTE($T653,"Quality of Works / Criteria of Failings:","")))/LEN("Quality of Works / Criteria of Failings:"),0)/MAX(1,(LEN($I653)-LEN(SUBSTITUTE($I653," Ltd","")))/LEN(" Ltd")),0)</f>
        <v/>
      </c>
      <c r="AB652" s="122">
        <f>IFERROR(IFERROR((LEN($T653)-LEN(SUBSTITUTE($T653,"Quality of Works / Criteria of Failings:Compliant","")))/LEN("Quality of Works / Criteria of Failings:Compliant"),0)/MAX(1,(LEN($I653)-LEN(SUBSTITUTE($I653," Ltd","")))/LEN(" Ltd")),0)</f>
        <v/>
      </c>
    </row>
    <row r="653" ht="15.75" customHeight="1" s="146">
      <c r="Y653" s="122">
        <f>MAX(0,IFERROR((LEN($T654)-LEN(SUBSTITUTE($T654,"Quality of Works / Criteria of Failings:","")))/LEN("Quality of Works / Criteria of Failings:"),0)-IFERROR((LEN($T654)-LEN(SUBSTITUTE($T654,"Quality of Works / Criteria of Failings:Compliant","")))/LEN("Quality of Works / Criteria of Failings:Compliant"),0))</f>
        <v/>
      </c>
      <c r="Z653" s="122">
        <f>IFERROR($Y654/MAX(1,(LEN($I654)-LEN(SUBSTITUTE($I654," Ltd","")))/LEN(" Ltd")),0)</f>
        <v/>
      </c>
      <c r="AA653" s="122">
        <f>IFERROR(IFERROR((LEN($T654)-LEN(SUBSTITUTE($T654,"Quality of Works / Criteria of Failings:","")))/LEN("Quality of Works / Criteria of Failings:"),0)/MAX(1,(LEN($I654)-LEN(SUBSTITUTE($I654," Ltd","")))/LEN(" Ltd")),0)</f>
        <v/>
      </c>
      <c r="AB653" s="122">
        <f>IFERROR(IFERROR((LEN($T654)-LEN(SUBSTITUTE($T654,"Quality of Works / Criteria of Failings:Compliant","")))/LEN("Quality of Works / Criteria of Failings:Compliant"),0)/MAX(1,(LEN($I654)-LEN(SUBSTITUTE($I654," Ltd","")))/LEN(" Ltd")),0)</f>
        <v/>
      </c>
    </row>
    <row r="654" ht="15.75" customHeight="1" s="146">
      <c r="Y654" s="122">
        <f>MAX(0,IFERROR((LEN($T655)-LEN(SUBSTITUTE($T655,"Quality of Works / Criteria of Failings:","")))/LEN("Quality of Works / Criteria of Failings:"),0)-IFERROR((LEN($T655)-LEN(SUBSTITUTE($T655,"Quality of Works / Criteria of Failings:Compliant","")))/LEN("Quality of Works / Criteria of Failings:Compliant"),0))</f>
        <v/>
      </c>
      <c r="Z654" s="122">
        <f>IFERROR($Y655/MAX(1,(LEN($I655)-LEN(SUBSTITUTE($I655," Ltd","")))/LEN(" Ltd")),0)</f>
        <v/>
      </c>
      <c r="AA654" s="122">
        <f>IFERROR(IFERROR((LEN($T655)-LEN(SUBSTITUTE($T655,"Quality of Works / Criteria of Failings:","")))/LEN("Quality of Works / Criteria of Failings:"),0)/MAX(1,(LEN($I655)-LEN(SUBSTITUTE($I655," Ltd","")))/LEN(" Ltd")),0)</f>
        <v/>
      </c>
      <c r="AB654" s="122">
        <f>IFERROR(IFERROR((LEN($T655)-LEN(SUBSTITUTE($T655,"Quality of Works / Criteria of Failings:Compliant","")))/LEN("Quality of Works / Criteria of Failings:Compliant"),0)/MAX(1,(LEN($I655)-LEN(SUBSTITUTE($I655," Ltd","")))/LEN(" Ltd")),0)</f>
        <v/>
      </c>
    </row>
    <row r="655" ht="15.75" customHeight="1" s="146">
      <c r="Y655" s="122">
        <f>MAX(0,IFERROR((LEN($T656)-LEN(SUBSTITUTE($T656,"Quality of Works / Criteria of Failings:","")))/LEN("Quality of Works / Criteria of Failings:"),0)-IFERROR((LEN($T656)-LEN(SUBSTITUTE($T656,"Quality of Works / Criteria of Failings:Compliant","")))/LEN("Quality of Works / Criteria of Failings:Compliant"),0))</f>
        <v/>
      </c>
      <c r="Z655" s="122">
        <f>IFERROR($Y656/MAX(1,(LEN($I656)-LEN(SUBSTITUTE($I656," Ltd","")))/LEN(" Ltd")),0)</f>
        <v/>
      </c>
      <c r="AA655" s="122">
        <f>IFERROR(IFERROR((LEN($T656)-LEN(SUBSTITUTE($T656,"Quality of Works / Criteria of Failings:","")))/LEN("Quality of Works / Criteria of Failings:"),0)/MAX(1,(LEN($I656)-LEN(SUBSTITUTE($I656," Ltd","")))/LEN(" Ltd")),0)</f>
        <v/>
      </c>
      <c r="AB655" s="122">
        <f>IFERROR(IFERROR((LEN($T656)-LEN(SUBSTITUTE($T656,"Quality of Works / Criteria of Failings:Compliant","")))/LEN("Quality of Works / Criteria of Failings:Compliant"),0)/MAX(1,(LEN($I656)-LEN(SUBSTITUTE($I656," Ltd","")))/LEN(" Ltd")),0)</f>
        <v/>
      </c>
    </row>
    <row r="656" ht="15.75" customHeight="1" s="146">
      <c r="Y656" s="122">
        <f>MAX(0,IFERROR((LEN($T657)-LEN(SUBSTITUTE($T657,"Quality of Works / Criteria of Failings:","")))/LEN("Quality of Works / Criteria of Failings:"),0)-IFERROR((LEN($T657)-LEN(SUBSTITUTE($T657,"Quality of Works / Criteria of Failings:Compliant","")))/LEN("Quality of Works / Criteria of Failings:Compliant"),0))</f>
        <v/>
      </c>
      <c r="Z656" s="122">
        <f>IFERROR($Y657/MAX(1,(LEN($I657)-LEN(SUBSTITUTE($I657," Ltd","")))/LEN(" Ltd")),0)</f>
        <v/>
      </c>
      <c r="AA656" s="122">
        <f>IFERROR(IFERROR((LEN($T657)-LEN(SUBSTITUTE($T657,"Quality of Works / Criteria of Failings:","")))/LEN("Quality of Works / Criteria of Failings:"),0)/MAX(1,(LEN($I657)-LEN(SUBSTITUTE($I657," Ltd","")))/LEN(" Ltd")),0)</f>
        <v/>
      </c>
      <c r="AB656" s="122">
        <f>IFERROR(IFERROR((LEN($T657)-LEN(SUBSTITUTE($T657,"Quality of Works / Criteria of Failings:Compliant","")))/LEN("Quality of Works / Criteria of Failings:Compliant"),0)/MAX(1,(LEN($I657)-LEN(SUBSTITUTE($I657," Ltd","")))/LEN(" Ltd")),0)</f>
        <v/>
      </c>
    </row>
    <row r="657" ht="15.75" customHeight="1" s="146">
      <c r="Y657" s="122">
        <f>MAX(0,IFERROR((LEN($T658)-LEN(SUBSTITUTE($T658,"Quality of Works / Criteria of Failings:","")))/LEN("Quality of Works / Criteria of Failings:"),0)-IFERROR((LEN($T658)-LEN(SUBSTITUTE($T658,"Quality of Works / Criteria of Failings:Compliant","")))/LEN("Quality of Works / Criteria of Failings:Compliant"),0))</f>
        <v/>
      </c>
      <c r="Z657" s="122">
        <f>IFERROR($Y658/MAX(1,(LEN($I658)-LEN(SUBSTITUTE($I658," Ltd","")))/LEN(" Ltd")),0)</f>
        <v/>
      </c>
      <c r="AA657" s="122">
        <f>IFERROR(IFERROR((LEN($T658)-LEN(SUBSTITUTE($T658,"Quality of Works / Criteria of Failings:","")))/LEN("Quality of Works / Criteria of Failings:"),0)/MAX(1,(LEN($I658)-LEN(SUBSTITUTE($I658," Ltd","")))/LEN(" Ltd")),0)</f>
        <v/>
      </c>
      <c r="AB657" s="122">
        <f>IFERROR(IFERROR((LEN($T658)-LEN(SUBSTITUTE($T658,"Quality of Works / Criteria of Failings:Compliant","")))/LEN("Quality of Works / Criteria of Failings:Compliant"),0)/MAX(1,(LEN($I658)-LEN(SUBSTITUTE($I658," Ltd","")))/LEN(" Ltd")),0)</f>
        <v/>
      </c>
    </row>
    <row r="658" ht="15.75" customHeight="1" s="146">
      <c r="Y658" s="122">
        <f>MAX(0,IFERROR((LEN($T659)-LEN(SUBSTITUTE($T659,"Quality of Works / Criteria of Failings:","")))/LEN("Quality of Works / Criteria of Failings:"),0)-IFERROR((LEN($T659)-LEN(SUBSTITUTE($T659,"Quality of Works / Criteria of Failings:Compliant","")))/LEN("Quality of Works / Criteria of Failings:Compliant"),0))</f>
        <v/>
      </c>
      <c r="Z658" s="122">
        <f>IFERROR($Y659/MAX(1,(LEN($I659)-LEN(SUBSTITUTE($I659," Ltd","")))/LEN(" Ltd")),0)</f>
        <v/>
      </c>
      <c r="AA658" s="122">
        <f>IFERROR(IFERROR((LEN($T659)-LEN(SUBSTITUTE($T659,"Quality of Works / Criteria of Failings:","")))/LEN("Quality of Works / Criteria of Failings:"),0)/MAX(1,(LEN($I659)-LEN(SUBSTITUTE($I659," Ltd","")))/LEN(" Ltd")),0)</f>
        <v/>
      </c>
      <c r="AB658" s="122">
        <f>IFERROR(IFERROR((LEN($T659)-LEN(SUBSTITUTE($T659,"Quality of Works / Criteria of Failings:Compliant","")))/LEN("Quality of Works / Criteria of Failings:Compliant"),0)/MAX(1,(LEN($I659)-LEN(SUBSTITUTE($I659," Ltd","")))/LEN(" Ltd")),0)</f>
        <v/>
      </c>
    </row>
    <row r="659" ht="15.75" customHeight="1" s="146">
      <c r="Y659" s="122">
        <f>MAX(0,IFERROR((LEN($T660)-LEN(SUBSTITUTE($T660,"Quality of Works / Criteria of Failings:","")))/LEN("Quality of Works / Criteria of Failings:"),0)-IFERROR((LEN($T660)-LEN(SUBSTITUTE($T660,"Quality of Works / Criteria of Failings:Compliant","")))/LEN("Quality of Works / Criteria of Failings:Compliant"),0))</f>
        <v/>
      </c>
      <c r="Z659" s="122">
        <f>IFERROR($Y660/MAX(1,(LEN($I660)-LEN(SUBSTITUTE($I660," Ltd","")))/LEN(" Ltd")),0)</f>
        <v/>
      </c>
      <c r="AA659" s="122">
        <f>IFERROR(IFERROR((LEN($T660)-LEN(SUBSTITUTE($T660,"Quality of Works / Criteria of Failings:","")))/LEN("Quality of Works / Criteria of Failings:"),0)/MAX(1,(LEN($I660)-LEN(SUBSTITUTE($I660," Ltd","")))/LEN(" Ltd")),0)</f>
        <v/>
      </c>
      <c r="AB659" s="122">
        <f>IFERROR(IFERROR((LEN($T660)-LEN(SUBSTITUTE($T660,"Quality of Works / Criteria of Failings:Compliant","")))/LEN("Quality of Works / Criteria of Failings:Compliant"),0)/MAX(1,(LEN($I660)-LEN(SUBSTITUTE($I660," Ltd","")))/LEN(" Ltd")),0)</f>
        <v/>
      </c>
    </row>
    <row r="660" ht="15.75" customHeight="1" s="146">
      <c r="Y660" s="122">
        <f>MAX(0,IFERROR((LEN($T661)-LEN(SUBSTITUTE($T661,"Quality of Works / Criteria of Failings:","")))/LEN("Quality of Works / Criteria of Failings:"),0)-IFERROR((LEN($T661)-LEN(SUBSTITUTE($T661,"Quality of Works / Criteria of Failings:Compliant","")))/LEN("Quality of Works / Criteria of Failings:Compliant"),0))</f>
        <v/>
      </c>
      <c r="Z660" s="122">
        <f>IFERROR($Y661/MAX(1,(LEN($I661)-LEN(SUBSTITUTE($I661," Ltd","")))/LEN(" Ltd")),0)</f>
        <v/>
      </c>
      <c r="AA660" s="122">
        <f>IFERROR(IFERROR((LEN($T661)-LEN(SUBSTITUTE($T661,"Quality of Works / Criteria of Failings:","")))/LEN("Quality of Works / Criteria of Failings:"),0)/MAX(1,(LEN($I661)-LEN(SUBSTITUTE($I661," Ltd","")))/LEN(" Ltd")),0)</f>
        <v/>
      </c>
      <c r="AB660" s="122">
        <f>IFERROR(IFERROR((LEN($T661)-LEN(SUBSTITUTE($T661,"Quality of Works / Criteria of Failings:Compliant","")))/LEN("Quality of Works / Criteria of Failings:Compliant"),0)/MAX(1,(LEN($I661)-LEN(SUBSTITUTE($I661," Ltd","")))/LEN(" Ltd")),0)</f>
        <v/>
      </c>
    </row>
    <row r="661" ht="15.75" customHeight="1" s="146">
      <c r="Y661" s="122">
        <f>MAX(0,IFERROR((LEN($T662)-LEN(SUBSTITUTE($T662,"Quality of Works / Criteria of Failings:","")))/LEN("Quality of Works / Criteria of Failings:"),0)-IFERROR((LEN($T662)-LEN(SUBSTITUTE($T662,"Quality of Works / Criteria of Failings:Compliant","")))/LEN("Quality of Works / Criteria of Failings:Compliant"),0))</f>
        <v/>
      </c>
      <c r="Z661" s="122">
        <f>IFERROR($Y662/MAX(1,(LEN($I662)-LEN(SUBSTITUTE($I662," Ltd","")))/LEN(" Ltd")),0)</f>
        <v/>
      </c>
      <c r="AA661" s="122">
        <f>IFERROR(IFERROR((LEN($T662)-LEN(SUBSTITUTE($T662,"Quality of Works / Criteria of Failings:","")))/LEN("Quality of Works / Criteria of Failings:"),0)/MAX(1,(LEN($I662)-LEN(SUBSTITUTE($I662," Ltd","")))/LEN(" Ltd")),0)</f>
        <v/>
      </c>
      <c r="AB661" s="122">
        <f>IFERROR(IFERROR((LEN($T662)-LEN(SUBSTITUTE($T662,"Quality of Works / Criteria of Failings:Compliant","")))/LEN("Quality of Works / Criteria of Failings:Compliant"),0)/MAX(1,(LEN($I662)-LEN(SUBSTITUTE($I662," Ltd","")))/LEN(" Ltd")),0)</f>
        <v/>
      </c>
    </row>
    <row r="662" ht="15.75" customHeight="1" s="146">
      <c r="Y662" s="122">
        <f>MAX(0,IFERROR((LEN($T663)-LEN(SUBSTITUTE($T663,"Quality of Works / Criteria of Failings:","")))/LEN("Quality of Works / Criteria of Failings:"),0)-IFERROR((LEN($T663)-LEN(SUBSTITUTE($T663,"Quality of Works / Criteria of Failings:Compliant","")))/LEN("Quality of Works / Criteria of Failings:Compliant"),0))</f>
        <v/>
      </c>
      <c r="Z662" s="122">
        <f>IFERROR($Y663/MAX(1,(LEN($I663)-LEN(SUBSTITUTE($I663," Ltd","")))/LEN(" Ltd")),0)</f>
        <v/>
      </c>
      <c r="AA662" s="122">
        <f>IFERROR(IFERROR((LEN($T663)-LEN(SUBSTITUTE($T663,"Quality of Works / Criteria of Failings:","")))/LEN("Quality of Works / Criteria of Failings:"),0)/MAX(1,(LEN($I663)-LEN(SUBSTITUTE($I663," Ltd","")))/LEN(" Ltd")),0)</f>
        <v/>
      </c>
      <c r="AB662" s="122">
        <f>IFERROR(IFERROR((LEN($T663)-LEN(SUBSTITUTE($T663,"Quality of Works / Criteria of Failings:Compliant","")))/LEN("Quality of Works / Criteria of Failings:Compliant"),0)/MAX(1,(LEN($I663)-LEN(SUBSTITUTE($I663," Ltd","")))/LEN(" Ltd")),0)</f>
        <v/>
      </c>
    </row>
    <row r="663" ht="15.75" customHeight="1" s="146">
      <c r="Y663" s="122">
        <f>MAX(0,IFERROR((LEN($T664)-LEN(SUBSTITUTE($T664,"Quality of Works / Criteria of Failings:","")))/LEN("Quality of Works / Criteria of Failings:"),0)-IFERROR((LEN($T664)-LEN(SUBSTITUTE($T664,"Quality of Works / Criteria of Failings:Compliant","")))/LEN("Quality of Works / Criteria of Failings:Compliant"),0))</f>
        <v/>
      </c>
      <c r="Z663" s="122">
        <f>IFERROR($Y664/MAX(1,(LEN($I664)-LEN(SUBSTITUTE($I664," Ltd","")))/LEN(" Ltd")),0)</f>
        <v/>
      </c>
      <c r="AA663" s="122">
        <f>IFERROR(IFERROR((LEN($T664)-LEN(SUBSTITUTE($T664,"Quality of Works / Criteria of Failings:","")))/LEN("Quality of Works / Criteria of Failings:"),0)/MAX(1,(LEN($I664)-LEN(SUBSTITUTE($I664," Ltd","")))/LEN(" Ltd")),0)</f>
        <v/>
      </c>
      <c r="AB663" s="122">
        <f>IFERROR(IFERROR((LEN($T664)-LEN(SUBSTITUTE($T664,"Quality of Works / Criteria of Failings:Compliant","")))/LEN("Quality of Works / Criteria of Failings:Compliant"),0)/MAX(1,(LEN($I664)-LEN(SUBSTITUTE($I664," Ltd","")))/LEN(" Ltd")),0)</f>
        <v/>
      </c>
    </row>
    <row r="664" ht="15.75" customHeight="1" s="146">
      <c r="Y664" s="122">
        <f>MAX(0,IFERROR((LEN($T665)-LEN(SUBSTITUTE($T665,"Quality of Works / Criteria of Failings:","")))/LEN("Quality of Works / Criteria of Failings:"),0)-IFERROR((LEN($T665)-LEN(SUBSTITUTE($T665,"Quality of Works / Criteria of Failings:Compliant","")))/LEN("Quality of Works / Criteria of Failings:Compliant"),0))</f>
        <v/>
      </c>
      <c r="Z664" s="122">
        <f>IFERROR($Y665/MAX(1,(LEN($I665)-LEN(SUBSTITUTE($I665," Ltd","")))/LEN(" Ltd")),0)</f>
        <v/>
      </c>
      <c r="AA664" s="122">
        <f>IFERROR(IFERROR((LEN($T665)-LEN(SUBSTITUTE($T665,"Quality of Works / Criteria of Failings:","")))/LEN("Quality of Works / Criteria of Failings:"),0)/MAX(1,(LEN($I665)-LEN(SUBSTITUTE($I665," Ltd","")))/LEN(" Ltd")),0)</f>
        <v/>
      </c>
      <c r="AB664" s="122">
        <f>IFERROR(IFERROR((LEN($T665)-LEN(SUBSTITUTE($T665,"Quality of Works / Criteria of Failings:Compliant","")))/LEN("Quality of Works / Criteria of Failings:Compliant"),0)/MAX(1,(LEN($I665)-LEN(SUBSTITUTE($I665," Ltd","")))/LEN(" Ltd")),0)</f>
        <v/>
      </c>
    </row>
    <row r="665" ht="15.75" customHeight="1" s="146">
      <c r="Y665" s="122">
        <f>MAX(0,IFERROR((LEN($T666)-LEN(SUBSTITUTE($T666,"Quality of Works / Criteria of Failings:","")))/LEN("Quality of Works / Criteria of Failings:"),0)-IFERROR((LEN($T666)-LEN(SUBSTITUTE($T666,"Quality of Works / Criteria of Failings:Compliant","")))/LEN("Quality of Works / Criteria of Failings:Compliant"),0))</f>
        <v/>
      </c>
      <c r="Z665" s="122">
        <f>IFERROR($Y666/MAX(1,(LEN($I666)-LEN(SUBSTITUTE($I666," Ltd","")))/LEN(" Ltd")),0)</f>
        <v/>
      </c>
      <c r="AA665" s="122">
        <f>IFERROR(IFERROR((LEN($T666)-LEN(SUBSTITUTE($T666,"Quality of Works / Criteria of Failings:","")))/LEN("Quality of Works / Criteria of Failings:"),0)/MAX(1,(LEN($I666)-LEN(SUBSTITUTE($I666," Ltd","")))/LEN(" Ltd")),0)</f>
        <v/>
      </c>
      <c r="AB665" s="122">
        <f>IFERROR(IFERROR((LEN($T666)-LEN(SUBSTITUTE($T666,"Quality of Works / Criteria of Failings:Compliant","")))/LEN("Quality of Works / Criteria of Failings:Compliant"),0)/MAX(1,(LEN($I666)-LEN(SUBSTITUTE($I666," Ltd","")))/LEN(" Ltd")),0)</f>
        <v/>
      </c>
    </row>
    <row r="666" ht="15.75" customHeight="1" s="146">
      <c r="Y666" s="122">
        <f>MAX(0,IFERROR((LEN($T667)-LEN(SUBSTITUTE($T667,"Quality of Works / Criteria of Failings:","")))/LEN("Quality of Works / Criteria of Failings:"),0)-IFERROR((LEN($T667)-LEN(SUBSTITUTE($T667,"Quality of Works / Criteria of Failings:Compliant","")))/LEN("Quality of Works / Criteria of Failings:Compliant"),0))</f>
        <v/>
      </c>
      <c r="Z666" s="122">
        <f>IFERROR($Y667/MAX(1,(LEN($I667)-LEN(SUBSTITUTE($I667," Ltd","")))/LEN(" Ltd")),0)</f>
        <v/>
      </c>
      <c r="AA666" s="122">
        <f>IFERROR(IFERROR((LEN($T667)-LEN(SUBSTITUTE($T667,"Quality of Works / Criteria of Failings:","")))/LEN("Quality of Works / Criteria of Failings:"),0)/MAX(1,(LEN($I667)-LEN(SUBSTITUTE($I667," Ltd","")))/LEN(" Ltd")),0)</f>
        <v/>
      </c>
      <c r="AB666" s="122">
        <f>IFERROR(IFERROR((LEN($T667)-LEN(SUBSTITUTE($T667,"Quality of Works / Criteria of Failings:Compliant","")))/LEN("Quality of Works / Criteria of Failings:Compliant"),0)/MAX(1,(LEN($I667)-LEN(SUBSTITUTE($I667," Ltd","")))/LEN(" Ltd")),0)</f>
        <v/>
      </c>
    </row>
    <row r="667" ht="15.75" customHeight="1" s="146">
      <c r="Y667" s="122">
        <f>MAX(0,IFERROR((LEN($T668)-LEN(SUBSTITUTE($T668,"Quality of Works / Criteria of Failings:","")))/LEN("Quality of Works / Criteria of Failings:"),0)-IFERROR((LEN($T668)-LEN(SUBSTITUTE($T668,"Quality of Works / Criteria of Failings:Compliant","")))/LEN("Quality of Works / Criteria of Failings:Compliant"),0))</f>
        <v/>
      </c>
      <c r="Z667" s="122">
        <f>IFERROR($Y668/MAX(1,(LEN($I668)-LEN(SUBSTITUTE($I668," Ltd","")))/LEN(" Ltd")),0)</f>
        <v/>
      </c>
      <c r="AA667" s="122">
        <f>IFERROR(IFERROR((LEN($T668)-LEN(SUBSTITUTE($T668,"Quality of Works / Criteria of Failings:","")))/LEN("Quality of Works / Criteria of Failings:"),0)/MAX(1,(LEN($I668)-LEN(SUBSTITUTE($I668," Ltd","")))/LEN(" Ltd")),0)</f>
        <v/>
      </c>
      <c r="AB667" s="122">
        <f>IFERROR(IFERROR((LEN($T668)-LEN(SUBSTITUTE($T668,"Quality of Works / Criteria of Failings:Compliant","")))/LEN("Quality of Works / Criteria of Failings:Compliant"),0)/MAX(1,(LEN($I668)-LEN(SUBSTITUTE($I668," Ltd","")))/LEN(" Ltd")),0)</f>
        <v/>
      </c>
    </row>
    <row r="668" ht="15.75" customHeight="1" s="146">
      <c r="Y668" s="122">
        <f>MAX(0,IFERROR((LEN($T669)-LEN(SUBSTITUTE($T669,"Quality of Works / Criteria of Failings:","")))/LEN("Quality of Works / Criteria of Failings:"),0)-IFERROR((LEN($T669)-LEN(SUBSTITUTE($T669,"Quality of Works / Criteria of Failings:Compliant","")))/LEN("Quality of Works / Criteria of Failings:Compliant"),0))</f>
        <v/>
      </c>
      <c r="Z668" s="122">
        <f>IFERROR($Y669/MAX(1,(LEN($I669)-LEN(SUBSTITUTE($I669," Ltd","")))/LEN(" Ltd")),0)</f>
        <v/>
      </c>
      <c r="AA668" s="122">
        <f>IFERROR(IFERROR((LEN($T669)-LEN(SUBSTITUTE($T669,"Quality of Works / Criteria of Failings:","")))/LEN("Quality of Works / Criteria of Failings:"),0)/MAX(1,(LEN($I669)-LEN(SUBSTITUTE($I669," Ltd","")))/LEN(" Ltd")),0)</f>
        <v/>
      </c>
      <c r="AB668" s="122">
        <f>IFERROR(IFERROR((LEN($T669)-LEN(SUBSTITUTE($T669,"Quality of Works / Criteria of Failings:Compliant","")))/LEN("Quality of Works / Criteria of Failings:Compliant"),0)/MAX(1,(LEN($I669)-LEN(SUBSTITUTE($I669," Ltd","")))/LEN(" Ltd")),0)</f>
        <v/>
      </c>
    </row>
    <row r="669" ht="15.75" customHeight="1" s="146">
      <c r="Y669" s="122">
        <f>MAX(0,IFERROR((LEN($T670)-LEN(SUBSTITUTE($T670,"Quality of Works / Criteria of Failings:","")))/LEN("Quality of Works / Criteria of Failings:"),0)-IFERROR((LEN($T670)-LEN(SUBSTITUTE($T670,"Quality of Works / Criteria of Failings:Compliant","")))/LEN("Quality of Works / Criteria of Failings:Compliant"),0))</f>
        <v/>
      </c>
      <c r="Z669" s="122">
        <f>IFERROR($Y670/MAX(1,(LEN($I670)-LEN(SUBSTITUTE($I670," Ltd","")))/LEN(" Ltd")),0)</f>
        <v/>
      </c>
      <c r="AA669" s="122">
        <f>IFERROR(IFERROR((LEN($T670)-LEN(SUBSTITUTE($T670,"Quality of Works / Criteria of Failings:","")))/LEN("Quality of Works / Criteria of Failings:"),0)/MAX(1,(LEN($I670)-LEN(SUBSTITUTE($I670," Ltd","")))/LEN(" Ltd")),0)</f>
        <v/>
      </c>
      <c r="AB669" s="122">
        <f>IFERROR(IFERROR((LEN($T670)-LEN(SUBSTITUTE($T670,"Quality of Works / Criteria of Failings:Compliant","")))/LEN("Quality of Works / Criteria of Failings:Compliant"),0)/MAX(1,(LEN($I670)-LEN(SUBSTITUTE($I670," Ltd","")))/LEN(" Ltd")),0)</f>
        <v/>
      </c>
    </row>
    <row r="670" ht="15.75" customHeight="1" s="146">
      <c r="Y670" s="122">
        <f>MAX(0,IFERROR((LEN($T671)-LEN(SUBSTITUTE($T671,"Quality of Works / Criteria of Failings:","")))/LEN("Quality of Works / Criteria of Failings:"),0)-IFERROR((LEN($T671)-LEN(SUBSTITUTE($T671,"Quality of Works / Criteria of Failings:Compliant","")))/LEN("Quality of Works / Criteria of Failings:Compliant"),0))</f>
        <v/>
      </c>
      <c r="Z670" s="122">
        <f>IFERROR($Y671/MAX(1,(LEN($I671)-LEN(SUBSTITUTE($I671," Ltd","")))/LEN(" Ltd")),0)</f>
        <v/>
      </c>
      <c r="AA670" s="122">
        <f>IFERROR(IFERROR((LEN($T671)-LEN(SUBSTITUTE($T671,"Quality of Works / Criteria of Failings:","")))/LEN("Quality of Works / Criteria of Failings:"),0)/MAX(1,(LEN($I671)-LEN(SUBSTITUTE($I671," Ltd","")))/LEN(" Ltd")),0)</f>
        <v/>
      </c>
      <c r="AB670" s="122">
        <f>IFERROR(IFERROR((LEN($T671)-LEN(SUBSTITUTE($T671,"Quality of Works / Criteria of Failings:Compliant","")))/LEN("Quality of Works / Criteria of Failings:Compliant"),0)/MAX(1,(LEN($I671)-LEN(SUBSTITUTE($I671," Ltd","")))/LEN(" Ltd")),0)</f>
        <v/>
      </c>
    </row>
    <row r="671" ht="15.75" customHeight="1" s="146">
      <c r="Y671" s="122">
        <f>MAX(0,IFERROR((LEN($T672)-LEN(SUBSTITUTE($T672,"Quality of Works / Criteria of Failings:","")))/LEN("Quality of Works / Criteria of Failings:"),0)-IFERROR((LEN($T672)-LEN(SUBSTITUTE($T672,"Quality of Works / Criteria of Failings:Compliant","")))/LEN("Quality of Works / Criteria of Failings:Compliant"),0))</f>
        <v/>
      </c>
      <c r="Z671" s="122">
        <f>IFERROR($Y672/MAX(1,(LEN($I672)-LEN(SUBSTITUTE($I672," Ltd","")))/LEN(" Ltd")),0)</f>
        <v/>
      </c>
      <c r="AA671" s="122">
        <f>IFERROR(IFERROR((LEN($T672)-LEN(SUBSTITUTE($T672,"Quality of Works / Criteria of Failings:","")))/LEN("Quality of Works / Criteria of Failings:"),0)/MAX(1,(LEN($I672)-LEN(SUBSTITUTE($I672," Ltd","")))/LEN(" Ltd")),0)</f>
        <v/>
      </c>
      <c r="AB671" s="122">
        <f>IFERROR(IFERROR((LEN($T672)-LEN(SUBSTITUTE($T672,"Quality of Works / Criteria of Failings:Compliant","")))/LEN("Quality of Works / Criteria of Failings:Compliant"),0)/MAX(1,(LEN($I672)-LEN(SUBSTITUTE($I672," Ltd","")))/LEN(" Ltd")),0)</f>
        <v/>
      </c>
    </row>
    <row r="672" ht="15.75" customHeight="1" s="146">
      <c r="Y672" s="122">
        <f>MAX(0,IFERROR((LEN($T673)-LEN(SUBSTITUTE($T673,"Quality of Works / Criteria of Failings:","")))/LEN("Quality of Works / Criteria of Failings:"),0)-IFERROR((LEN($T673)-LEN(SUBSTITUTE($T673,"Quality of Works / Criteria of Failings:Compliant","")))/LEN("Quality of Works / Criteria of Failings:Compliant"),0))</f>
        <v/>
      </c>
      <c r="Z672" s="122">
        <f>IFERROR($Y673/MAX(1,(LEN($I673)-LEN(SUBSTITUTE($I673," Ltd","")))/LEN(" Ltd")),0)</f>
        <v/>
      </c>
      <c r="AA672" s="122">
        <f>IFERROR(IFERROR((LEN($T673)-LEN(SUBSTITUTE($T673,"Quality of Works / Criteria of Failings:","")))/LEN("Quality of Works / Criteria of Failings:"),0)/MAX(1,(LEN($I673)-LEN(SUBSTITUTE($I673," Ltd","")))/LEN(" Ltd")),0)</f>
        <v/>
      </c>
      <c r="AB672" s="122">
        <f>IFERROR(IFERROR((LEN($T673)-LEN(SUBSTITUTE($T673,"Quality of Works / Criteria of Failings:Compliant","")))/LEN("Quality of Works / Criteria of Failings:Compliant"),0)/MAX(1,(LEN($I673)-LEN(SUBSTITUTE($I673," Ltd","")))/LEN(" Ltd")),0)</f>
        <v/>
      </c>
    </row>
    <row r="673" ht="15.75" customHeight="1" s="146">
      <c r="Y673" s="122">
        <f>MAX(0,IFERROR((LEN($T674)-LEN(SUBSTITUTE($T674,"Quality of Works / Criteria of Failings:","")))/LEN("Quality of Works / Criteria of Failings:"),0)-IFERROR((LEN($T674)-LEN(SUBSTITUTE($T674,"Quality of Works / Criteria of Failings:Compliant","")))/LEN("Quality of Works / Criteria of Failings:Compliant"),0))</f>
        <v/>
      </c>
      <c r="Z673" s="122">
        <f>IFERROR($Y674/MAX(1,(LEN($I674)-LEN(SUBSTITUTE($I674," Ltd","")))/LEN(" Ltd")),0)</f>
        <v/>
      </c>
      <c r="AA673" s="122">
        <f>IFERROR(IFERROR((LEN($T674)-LEN(SUBSTITUTE($T674,"Quality of Works / Criteria of Failings:","")))/LEN("Quality of Works / Criteria of Failings:"),0)/MAX(1,(LEN($I674)-LEN(SUBSTITUTE($I674," Ltd","")))/LEN(" Ltd")),0)</f>
        <v/>
      </c>
      <c r="AB673" s="122">
        <f>IFERROR(IFERROR((LEN($T674)-LEN(SUBSTITUTE($T674,"Quality of Works / Criteria of Failings:Compliant","")))/LEN("Quality of Works / Criteria of Failings:Compliant"),0)/MAX(1,(LEN($I674)-LEN(SUBSTITUTE($I674," Ltd","")))/LEN(" Ltd")),0)</f>
        <v/>
      </c>
    </row>
    <row r="674" ht="15.75" customHeight="1" s="146">
      <c r="Y674" s="122">
        <f>MAX(0,IFERROR((LEN($T675)-LEN(SUBSTITUTE($T675,"Quality of Works / Criteria of Failings:","")))/LEN("Quality of Works / Criteria of Failings:"),0)-IFERROR((LEN($T675)-LEN(SUBSTITUTE($T675,"Quality of Works / Criteria of Failings:Compliant","")))/LEN("Quality of Works / Criteria of Failings:Compliant"),0))</f>
        <v/>
      </c>
      <c r="Z674" s="122">
        <f>IFERROR($Y675/MAX(1,(LEN($I675)-LEN(SUBSTITUTE($I675," Ltd","")))/LEN(" Ltd")),0)</f>
        <v/>
      </c>
      <c r="AA674" s="122">
        <f>IFERROR(IFERROR((LEN($T675)-LEN(SUBSTITUTE($T675,"Quality of Works / Criteria of Failings:","")))/LEN("Quality of Works / Criteria of Failings:"),0)/MAX(1,(LEN($I675)-LEN(SUBSTITUTE($I675," Ltd","")))/LEN(" Ltd")),0)</f>
        <v/>
      </c>
      <c r="AB674" s="122">
        <f>IFERROR(IFERROR((LEN($T675)-LEN(SUBSTITUTE($T675,"Quality of Works / Criteria of Failings:Compliant","")))/LEN("Quality of Works / Criteria of Failings:Compliant"),0)/MAX(1,(LEN($I675)-LEN(SUBSTITUTE($I675," Ltd","")))/LEN(" Ltd")),0)</f>
        <v/>
      </c>
    </row>
    <row r="675" ht="15.75" customHeight="1" s="146">
      <c r="Y675" s="122">
        <f>MAX(0,IFERROR((LEN($T676)-LEN(SUBSTITUTE($T676,"Quality of Works / Criteria of Failings:","")))/LEN("Quality of Works / Criteria of Failings:"),0)-IFERROR((LEN($T676)-LEN(SUBSTITUTE($T676,"Quality of Works / Criteria of Failings:Compliant","")))/LEN("Quality of Works / Criteria of Failings:Compliant"),0))</f>
        <v/>
      </c>
      <c r="Z675" s="122">
        <f>IFERROR($Y676/MAX(1,(LEN($I676)-LEN(SUBSTITUTE($I676," Ltd","")))/LEN(" Ltd")),0)</f>
        <v/>
      </c>
      <c r="AA675" s="122">
        <f>IFERROR(IFERROR((LEN($T676)-LEN(SUBSTITUTE($T676,"Quality of Works / Criteria of Failings:","")))/LEN("Quality of Works / Criteria of Failings:"),0)/MAX(1,(LEN($I676)-LEN(SUBSTITUTE($I676," Ltd","")))/LEN(" Ltd")),0)</f>
        <v/>
      </c>
      <c r="AB675" s="122">
        <f>IFERROR(IFERROR((LEN($T676)-LEN(SUBSTITUTE($T676,"Quality of Works / Criteria of Failings:Compliant","")))/LEN("Quality of Works / Criteria of Failings:Compliant"),0)/MAX(1,(LEN($I676)-LEN(SUBSTITUTE($I676," Ltd","")))/LEN(" Ltd")),0)</f>
        <v/>
      </c>
    </row>
    <row r="676" ht="15.75" customHeight="1" s="146">
      <c r="Y676" s="122">
        <f>MAX(0,IFERROR((LEN($T677)-LEN(SUBSTITUTE($T677,"Quality of Works / Criteria of Failings:","")))/LEN("Quality of Works / Criteria of Failings:"),0)-IFERROR((LEN($T677)-LEN(SUBSTITUTE($T677,"Quality of Works / Criteria of Failings:Compliant","")))/LEN("Quality of Works / Criteria of Failings:Compliant"),0))</f>
        <v/>
      </c>
      <c r="Z676" s="122">
        <f>IFERROR($Y677/MAX(1,(LEN($I677)-LEN(SUBSTITUTE($I677," Ltd","")))/LEN(" Ltd")),0)</f>
        <v/>
      </c>
      <c r="AA676" s="122">
        <f>IFERROR(IFERROR((LEN($T677)-LEN(SUBSTITUTE($T677,"Quality of Works / Criteria of Failings:","")))/LEN("Quality of Works / Criteria of Failings:"),0)/MAX(1,(LEN($I677)-LEN(SUBSTITUTE($I677," Ltd","")))/LEN(" Ltd")),0)</f>
        <v/>
      </c>
      <c r="AB676" s="122">
        <f>IFERROR(IFERROR((LEN($T677)-LEN(SUBSTITUTE($T677,"Quality of Works / Criteria of Failings:Compliant","")))/LEN("Quality of Works / Criteria of Failings:Compliant"),0)/MAX(1,(LEN($I677)-LEN(SUBSTITUTE($I677," Ltd","")))/LEN(" Ltd")),0)</f>
        <v/>
      </c>
    </row>
    <row r="677" ht="15.75" customHeight="1" s="146">
      <c r="Y677" s="122">
        <f>MAX(0,IFERROR((LEN($T678)-LEN(SUBSTITUTE($T678,"Quality of Works / Criteria of Failings:","")))/LEN("Quality of Works / Criteria of Failings:"),0)-IFERROR((LEN($T678)-LEN(SUBSTITUTE($T678,"Quality of Works / Criteria of Failings:Compliant","")))/LEN("Quality of Works / Criteria of Failings:Compliant"),0))</f>
        <v/>
      </c>
      <c r="Z677" s="122">
        <f>IFERROR($Y678/MAX(1,(LEN($I678)-LEN(SUBSTITUTE($I678," Ltd","")))/LEN(" Ltd")),0)</f>
        <v/>
      </c>
      <c r="AA677" s="122">
        <f>IFERROR(IFERROR((LEN($T678)-LEN(SUBSTITUTE($T678,"Quality of Works / Criteria of Failings:","")))/LEN("Quality of Works / Criteria of Failings:"),0)/MAX(1,(LEN($I678)-LEN(SUBSTITUTE($I678," Ltd","")))/LEN(" Ltd")),0)</f>
        <v/>
      </c>
      <c r="AB677" s="122">
        <f>IFERROR(IFERROR((LEN($T678)-LEN(SUBSTITUTE($T678,"Quality of Works / Criteria of Failings:Compliant","")))/LEN("Quality of Works / Criteria of Failings:Compliant"),0)/MAX(1,(LEN($I678)-LEN(SUBSTITUTE($I678," Ltd","")))/LEN(" Ltd")),0)</f>
        <v/>
      </c>
    </row>
    <row r="678" ht="15.75" customHeight="1" s="146">
      <c r="Y678" s="122">
        <f>MAX(0,IFERROR((LEN($T679)-LEN(SUBSTITUTE($T679,"Quality of Works / Criteria of Failings:","")))/LEN("Quality of Works / Criteria of Failings:"),0)-IFERROR((LEN($T679)-LEN(SUBSTITUTE($T679,"Quality of Works / Criteria of Failings:Compliant","")))/LEN("Quality of Works / Criteria of Failings:Compliant"),0))</f>
        <v/>
      </c>
      <c r="Z678" s="122">
        <f>IFERROR($Y679/MAX(1,(LEN($I679)-LEN(SUBSTITUTE($I679," Ltd","")))/LEN(" Ltd")),0)</f>
        <v/>
      </c>
      <c r="AA678" s="122">
        <f>IFERROR(IFERROR((LEN($T679)-LEN(SUBSTITUTE($T679,"Quality of Works / Criteria of Failings:","")))/LEN("Quality of Works / Criteria of Failings:"),0)/MAX(1,(LEN($I679)-LEN(SUBSTITUTE($I679," Ltd","")))/LEN(" Ltd")),0)</f>
        <v/>
      </c>
      <c r="AB678" s="122">
        <f>IFERROR(IFERROR((LEN($T679)-LEN(SUBSTITUTE($T679,"Quality of Works / Criteria of Failings:Compliant","")))/LEN("Quality of Works / Criteria of Failings:Compliant"),0)/MAX(1,(LEN($I679)-LEN(SUBSTITUTE($I679," Ltd","")))/LEN(" Ltd")),0)</f>
        <v/>
      </c>
    </row>
    <row r="679" ht="15.75" customHeight="1" s="146">
      <c r="Y679" s="122">
        <f>MAX(0,IFERROR((LEN($T680)-LEN(SUBSTITUTE($T680,"Quality of Works / Criteria of Failings:","")))/LEN("Quality of Works / Criteria of Failings:"),0)-IFERROR((LEN($T680)-LEN(SUBSTITUTE($T680,"Quality of Works / Criteria of Failings:Compliant","")))/LEN("Quality of Works / Criteria of Failings:Compliant"),0))</f>
        <v/>
      </c>
      <c r="Z679" s="122">
        <f>IFERROR($Y680/MAX(1,(LEN($I680)-LEN(SUBSTITUTE($I680," Ltd","")))/LEN(" Ltd")),0)</f>
        <v/>
      </c>
      <c r="AA679" s="122">
        <f>IFERROR(IFERROR((LEN($T680)-LEN(SUBSTITUTE($T680,"Quality of Works / Criteria of Failings:","")))/LEN("Quality of Works / Criteria of Failings:"),0)/MAX(1,(LEN($I680)-LEN(SUBSTITUTE($I680," Ltd","")))/LEN(" Ltd")),0)</f>
        <v/>
      </c>
      <c r="AB679" s="122">
        <f>IFERROR(IFERROR((LEN($T680)-LEN(SUBSTITUTE($T680,"Quality of Works / Criteria of Failings:Compliant","")))/LEN("Quality of Works / Criteria of Failings:Compliant"),0)/MAX(1,(LEN($I680)-LEN(SUBSTITUTE($I680," Ltd","")))/LEN(" Ltd")),0)</f>
        <v/>
      </c>
    </row>
    <row r="680" ht="15.75" customHeight="1" s="146">
      <c r="Y680" s="122">
        <f>MAX(0,IFERROR((LEN($T681)-LEN(SUBSTITUTE($T681,"Quality of Works / Criteria of Failings:","")))/LEN("Quality of Works / Criteria of Failings:"),0)-IFERROR((LEN($T681)-LEN(SUBSTITUTE($T681,"Quality of Works / Criteria of Failings:Compliant","")))/LEN("Quality of Works / Criteria of Failings:Compliant"),0))</f>
        <v/>
      </c>
      <c r="Z680" s="122">
        <f>IFERROR($Y681/MAX(1,(LEN($I681)-LEN(SUBSTITUTE($I681," Ltd","")))/LEN(" Ltd")),0)</f>
        <v/>
      </c>
      <c r="AA680" s="122">
        <f>IFERROR(IFERROR((LEN($T681)-LEN(SUBSTITUTE($T681,"Quality of Works / Criteria of Failings:","")))/LEN("Quality of Works / Criteria of Failings:"),0)/MAX(1,(LEN($I681)-LEN(SUBSTITUTE($I681," Ltd","")))/LEN(" Ltd")),0)</f>
        <v/>
      </c>
      <c r="AB680" s="122">
        <f>IFERROR(IFERROR((LEN($T681)-LEN(SUBSTITUTE($T681,"Quality of Works / Criteria of Failings:Compliant","")))/LEN("Quality of Works / Criteria of Failings:Compliant"),0)/MAX(1,(LEN($I681)-LEN(SUBSTITUTE($I681," Ltd","")))/LEN(" Ltd")),0)</f>
        <v/>
      </c>
    </row>
    <row r="681" ht="15.75" customHeight="1" s="146">
      <c r="Y681" s="122">
        <f>MAX(0,IFERROR((LEN($T682)-LEN(SUBSTITUTE($T682,"Quality of Works / Criteria of Failings:","")))/LEN("Quality of Works / Criteria of Failings:"),0)-IFERROR((LEN($T682)-LEN(SUBSTITUTE($T682,"Quality of Works / Criteria of Failings:Compliant","")))/LEN("Quality of Works / Criteria of Failings:Compliant"),0))</f>
        <v/>
      </c>
      <c r="Z681" s="122">
        <f>IFERROR($Y682/MAX(1,(LEN($I682)-LEN(SUBSTITUTE($I682," Ltd","")))/LEN(" Ltd")),0)</f>
        <v/>
      </c>
      <c r="AA681" s="122">
        <f>IFERROR(IFERROR((LEN($T682)-LEN(SUBSTITUTE($T682,"Quality of Works / Criteria of Failings:","")))/LEN("Quality of Works / Criteria of Failings:"),0)/MAX(1,(LEN($I682)-LEN(SUBSTITUTE($I682," Ltd","")))/LEN(" Ltd")),0)</f>
        <v/>
      </c>
      <c r="AB681" s="122">
        <f>IFERROR(IFERROR((LEN($T682)-LEN(SUBSTITUTE($T682,"Quality of Works / Criteria of Failings:Compliant","")))/LEN("Quality of Works / Criteria of Failings:Compliant"),0)/MAX(1,(LEN($I682)-LEN(SUBSTITUTE($I682," Ltd","")))/LEN(" Ltd")),0)</f>
        <v/>
      </c>
    </row>
    <row r="682" ht="15.75" customHeight="1" s="146">
      <c r="Y682" s="122">
        <f>MAX(0,IFERROR((LEN($T683)-LEN(SUBSTITUTE($T683,"Quality of Works / Criteria of Failings:","")))/LEN("Quality of Works / Criteria of Failings:"),0)-IFERROR((LEN($T683)-LEN(SUBSTITUTE($T683,"Quality of Works / Criteria of Failings:Compliant","")))/LEN("Quality of Works / Criteria of Failings:Compliant"),0))</f>
        <v/>
      </c>
      <c r="Z682" s="122">
        <f>IFERROR($Y683/MAX(1,(LEN($I683)-LEN(SUBSTITUTE($I683," Ltd","")))/LEN(" Ltd")),0)</f>
        <v/>
      </c>
      <c r="AA682" s="122">
        <f>IFERROR(IFERROR((LEN($T683)-LEN(SUBSTITUTE($T683,"Quality of Works / Criteria of Failings:","")))/LEN("Quality of Works / Criteria of Failings:"),0)/MAX(1,(LEN($I683)-LEN(SUBSTITUTE($I683," Ltd","")))/LEN(" Ltd")),0)</f>
        <v/>
      </c>
      <c r="AB682" s="122">
        <f>IFERROR(IFERROR((LEN($T683)-LEN(SUBSTITUTE($T683,"Quality of Works / Criteria of Failings:Compliant","")))/LEN("Quality of Works / Criteria of Failings:Compliant"),0)/MAX(1,(LEN($I683)-LEN(SUBSTITUTE($I683," Ltd","")))/LEN(" Ltd")),0)</f>
        <v/>
      </c>
    </row>
    <row r="683" ht="15.75" customHeight="1" s="146">
      <c r="Y683" s="122">
        <f>MAX(0,IFERROR((LEN($T684)-LEN(SUBSTITUTE($T684,"Quality of Works / Criteria of Failings:","")))/LEN("Quality of Works / Criteria of Failings:"),0)-IFERROR((LEN($T684)-LEN(SUBSTITUTE($T684,"Quality of Works / Criteria of Failings:Compliant","")))/LEN("Quality of Works / Criteria of Failings:Compliant"),0))</f>
        <v/>
      </c>
      <c r="Z683" s="122">
        <f>IFERROR($Y684/MAX(1,(LEN($I684)-LEN(SUBSTITUTE($I684," Ltd","")))/LEN(" Ltd")),0)</f>
        <v/>
      </c>
      <c r="AA683" s="122">
        <f>IFERROR(IFERROR((LEN($T684)-LEN(SUBSTITUTE($T684,"Quality of Works / Criteria of Failings:","")))/LEN("Quality of Works / Criteria of Failings:"),0)/MAX(1,(LEN($I684)-LEN(SUBSTITUTE($I684," Ltd","")))/LEN(" Ltd")),0)</f>
        <v/>
      </c>
      <c r="AB683" s="122">
        <f>IFERROR(IFERROR((LEN($T684)-LEN(SUBSTITUTE($T684,"Quality of Works / Criteria of Failings:Compliant","")))/LEN("Quality of Works / Criteria of Failings:Compliant"),0)/MAX(1,(LEN($I684)-LEN(SUBSTITUTE($I684," Ltd","")))/LEN(" Ltd")),0)</f>
        <v/>
      </c>
    </row>
    <row r="684" ht="15.75" customHeight="1" s="146">
      <c r="Y684" s="122">
        <f>MAX(0,IFERROR((LEN($T685)-LEN(SUBSTITUTE($T685,"Quality of Works / Criteria of Failings:","")))/LEN("Quality of Works / Criteria of Failings:"),0)-IFERROR((LEN($T685)-LEN(SUBSTITUTE($T685,"Quality of Works / Criteria of Failings:Compliant","")))/LEN("Quality of Works / Criteria of Failings:Compliant"),0))</f>
        <v/>
      </c>
      <c r="Z684" s="122">
        <f>IFERROR($Y685/MAX(1,(LEN($I685)-LEN(SUBSTITUTE($I685," Ltd","")))/LEN(" Ltd")),0)</f>
        <v/>
      </c>
      <c r="AA684" s="122">
        <f>IFERROR(IFERROR((LEN($T685)-LEN(SUBSTITUTE($T685,"Quality of Works / Criteria of Failings:","")))/LEN("Quality of Works / Criteria of Failings:"),0)/MAX(1,(LEN($I685)-LEN(SUBSTITUTE($I685," Ltd","")))/LEN(" Ltd")),0)</f>
        <v/>
      </c>
      <c r="AB684" s="122">
        <f>IFERROR(IFERROR((LEN($T685)-LEN(SUBSTITUTE($T685,"Quality of Works / Criteria of Failings:Compliant","")))/LEN("Quality of Works / Criteria of Failings:Compliant"),0)/MAX(1,(LEN($I685)-LEN(SUBSTITUTE($I685," Ltd","")))/LEN(" Ltd")),0)</f>
        <v/>
      </c>
    </row>
    <row r="685" ht="15.75" customHeight="1" s="146">
      <c r="Y685" s="122">
        <f>MAX(0,IFERROR((LEN($T686)-LEN(SUBSTITUTE($T686,"Quality of Works / Criteria of Failings:","")))/LEN("Quality of Works / Criteria of Failings:"),0)-IFERROR((LEN($T686)-LEN(SUBSTITUTE($T686,"Quality of Works / Criteria of Failings:Compliant","")))/LEN("Quality of Works / Criteria of Failings:Compliant"),0))</f>
        <v/>
      </c>
      <c r="Z685" s="122">
        <f>IFERROR($Y686/MAX(1,(LEN($I686)-LEN(SUBSTITUTE($I686," Ltd","")))/LEN(" Ltd")),0)</f>
        <v/>
      </c>
      <c r="AA685" s="122">
        <f>IFERROR(IFERROR((LEN($T686)-LEN(SUBSTITUTE($T686,"Quality of Works / Criteria of Failings:","")))/LEN("Quality of Works / Criteria of Failings:"),0)/MAX(1,(LEN($I686)-LEN(SUBSTITUTE($I686," Ltd","")))/LEN(" Ltd")),0)</f>
        <v/>
      </c>
      <c r="AB685" s="122">
        <f>IFERROR(IFERROR((LEN($T686)-LEN(SUBSTITUTE($T686,"Quality of Works / Criteria of Failings:Compliant","")))/LEN("Quality of Works / Criteria of Failings:Compliant"),0)/MAX(1,(LEN($I686)-LEN(SUBSTITUTE($I686," Ltd","")))/LEN(" Ltd")),0)</f>
        <v/>
      </c>
    </row>
    <row r="686" ht="15.75" customHeight="1" s="146">
      <c r="Y686" s="122">
        <f>MAX(0,IFERROR((LEN($T687)-LEN(SUBSTITUTE($T687,"Quality of Works / Criteria of Failings:","")))/LEN("Quality of Works / Criteria of Failings:"),0)-IFERROR((LEN($T687)-LEN(SUBSTITUTE($T687,"Quality of Works / Criteria of Failings:Compliant","")))/LEN("Quality of Works / Criteria of Failings:Compliant"),0))</f>
        <v/>
      </c>
      <c r="Z686" s="122">
        <f>IFERROR($Y687/MAX(1,(LEN($I687)-LEN(SUBSTITUTE($I687," Ltd","")))/LEN(" Ltd")),0)</f>
        <v/>
      </c>
      <c r="AA686" s="122">
        <f>IFERROR(IFERROR((LEN($T687)-LEN(SUBSTITUTE($T687,"Quality of Works / Criteria of Failings:","")))/LEN("Quality of Works / Criteria of Failings:"),0)/MAX(1,(LEN($I687)-LEN(SUBSTITUTE($I687," Ltd","")))/LEN(" Ltd")),0)</f>
        <v/>
      </c>
      <c r="AB686" s="122">
        <f>IFERROR(IFERROR((LEN($T687)-LEN(SUBSTITUTE($T687,"Quality of Works / Criteria of Failings:Compliant","")))/LEN("Quality of Works / Criteria of Failings:Compliant"),0)/MAX(1,(LEN($I687)-LEN(SUBSTITUTE($I687," Ltd","")))/LEN(" Ltd")),0)</f>
        <v/>
      </c>
    </row>
    <row r="687" ht="15.75" customHeight="1" s="146">
      <c r="Y687" s="122">
        <f>MAX(0,IFERROR((LEN($T688)-LEN(SUBSTITUTE($T688,"Quality of Works / Criteria of Failings:","")))/LEN("Quality of Works / Criteria of Failings:"),0)-IFERROR((LEN($T688)-LEN(SUBSTITUTE($T688,"Quality of Works / Criteria of Failings:Compliant","")))/LEN("Quality of Works / Criteria of Failings:Compliant"),0))</f>
        <v/>
      </c>
      <c r="Z687" s="122">
        <f>IFERROR($Y688/MAX(1,(LEN($I688)-LEN(SUBSTITUTE($I688," Ltd","")))/LEN(" Ltd")),0)</f>
        <v/>
      </c>
      <c r="AA687" s="122">
        <f>IFERROR(IFERROR((LEN($T688)-LEN(SUBSTITUTE($T688,"Quality of Works / Criteria of Failings:","")))/LEN("Quality of Works / Criteria of Failings:"),0)/MAX(1,(LEN($I688)-LEN(SUBSTITUTE($I688," Ltd","")))/LEN(" Ltd")),0)</f>
        <v/>
      </c>
      <c r="AB687" s="122">
        <f>IFERROR(IFERROR((LEN($T688)-LEN(SUBSTITUTE($T688,"Quality of Works / Criteria of Failings:Compliant","")))/LEN("Quality of Works / Criteria of Failings:Compliant"),0)/MAX(1,(LEN($I688)-LEN(SUBSTITUTE($I688," Ltd","")))/LEN(" Ltd")),0)</f>
        <v/>
      </c>
    </row>
    <row r="688" ht="15.75" customHeight="1" s="146">
      <c r="Y688" s="122">
        <f>MAX(0,IFERROR((LEN($T689)-LEN(SUBSTITUTE($T689,"Quality of Works / Criteria of Failings:","")))/LEN("Quality of Works / Criteria of Failings:"),0)-IFERROR((LEN($T689)-LEN(SUBSTITUTE($T689,"Quality of Works / Criteria of Failings:Compliant","")))/LEN("Quality of Works / Criteria of Failings:Compliant"),0))</f>
        <v/>
      </c>
      <c r="Z688" s="122">
        <f>IFERROR($Y689/MAX(1,(LEN($I689)-LEN(SUBSTITUTE($I689," Ltd","")))/LEN(" Ltd")),0)</f>
        <v/>
      </c>
      <c r="AA688" s="122">
        <f>IFERROR(IFERROR((LEN($T689)-LEN(SUBSTITUTE($T689,"Quality of Works / Criteria of Failings:","")))/LEN("Quality of Works / Criteria of Failings:"),0)/MAX(1,(LEN($I689)-LEN(SUBSTITUTE($I689," Ltd","")))/LEN(" Ltd")),0)</f>
        <v/>
      </c>
      <c r="AB688" s="122">
        <f>IFERROR(IFERROR((LEN($T689)-LEN(SUBSTITUTE($T689,"Quality of Works / Criteria of Failings:Compliant","")))/LEN("Quality of Works / Criteria of Failings:Compliant"),0)/MAX(1,(LEN($I689)-LEN(SUBSTITUTE($I689," Ltd","")))/LEN(" Ltd")),0)</f>
        <v/>
      </c>
    </row>
    <row r="689" ht="15.75" customHeight="1" s="146">
      <c r="Y689" s="122">
        <f>MAX(0,IFERROR((LEN($T690)-LEN(SUBSTITUTE($T690,"Quality of Works / Criteria of Failings:","")))/LEN("Quality of Works / Criteria of Failings:"),0)-IFERROR((LEN($T690)-LEN(SUBSTITUTE($T690,"Quality of Works / Criteria of Failings:Compliant","")))/LEN("Quality of Works / Criteria of Failings:Compliant"),0))</f>
        <v/>
      </c>
      <c r="Z689" s="122">
        <f>IFERROR($Y690/MAX(1,(LEN($I690)-LEN(SUBSTITUTE($I690," Ltd","")))/LEN(" Ltd")),0)</f>
        <v/>
      </c>
      <c r="AA689" s="122">
        <f>IFERROR(IFERROR((LEN($T690)-LEN(SUBSTITUTE($T690,"Quality of Works / Criteria of Failings:","")))/LEN("Quality of Works / Criteria of Failings:"),0)/MAX(1,(LEN($I690)-LEN(SUBSTITUTE($I690," Ltd","")))/LEN(" Ltd")),0)</f>
        <v/>
      </c>
      <c r="AB689" s="122">
        <f>IFERROR(IFERROR((LEN($T690)-LEN(SUBSTITUTE($T690,"Quality of Works / Criteria of Failings:Compliant","")))/LEN("Quality of Works / Criteria of Failings:Compliant"),0)/MAX(1,(LEN($I690)-LEN(SUBSTITUTE($I690," Ltd","")))/LEN(" Ltd")),0)</f>
        <v/>
      </c>
    </row>
    <row r="690" ht="15.75" customHeight="1" s="146">
      <c r="Y690" s="122">
        <f>MAX(0,IFERROR((LEN($T691)-LEN(SUBSTITUTE($T691,"Quality of Works / Criteria of Failings:","")))/LEN("Quality of Works / Criteria of Failings:"),0)-IFERROR((LEN($T691)-LEN(SUBSTITUTE($T691,"Quality of Works / Criteria of Failings:Compliant","")))/LEN("Quality of Works / Criteria of Failings:Compliant"),0))</f>
        <v/>
      </c>
      <c r="Z690" s="122">
        <f>IFERROR($Y691/MAX(1,(LEN($I691)-LEN(SUBSTITUTE($I691," Ltd","")))/LEN(" Ltd")),0)</f>
        <v/>
      </c>
      <c r="AA690" s="122">
        <f>IFERROR(IFERROR((LEN($T691)-LEN(SUBSTITUTE($T691,"Quality of Works / Criteria of Failings:","")))/LEN("Quality of Works / Criteria of Failings:"),0)/MAX(1,(LEN($I691)-LEN(SUBSTITUTE($I691," Ltd","")))/LEN(" Ltd")),0)</f>
        <v/>
      </c>
      <c r="AB690" s="122">
        <f>IFERROR(IFERROR((LEN($T691)-LEN(SUBSTITUTE($T691,"Quality of Works / Criteria of Failings:Compliant","")))/LEN("Quality of Works / Criteria of Failings:Compliant"),0)/MAX(1,(LEN($I691)-LEN(SUBSTITUTE($I691," Ltd","")))/LEN(" Ltd")),0)</f>
        <v/>
      </c>
    </row>
    <row r="691" ht="15.75" customHeight="1" s="146">
      <c r="Y691" s="122">
        <f>MAX(0,IFERROR((LEN($T692)-LEN(SUBSTITUTE($T692,"Quality of Works / Criteria of Failings:","")))/LEN("Quality of Works / Criteria of Failings:"),0)-IFERROR((LEN($T692)-LEN(SUBSTITUTE($T692,"Quality of Works / Criteria of Failings:Compliant","")))/LEN("Quality of Works / Criteria of Failings:Compliant"),0))</f>
        <v/>
      </c>
      <c r="Z691" s="122">
        <f>IFERROR($Y692/MAX(1,(LEN($I692)-LEN(SUBSTITUTE($I692," Ltd","")))/LEN(" Ltd")),0)</f>
        <v/>
      </c>
      <c r="AA691" s="122">
        <f>IFERROR(IFERROR((LEN($T692)-LEN(SUBSTITUTE($T692,"Quality of Works / Criteria of Failings:","")))/LEN("Quality of Works / Criteria of Failings:"),0)/MAX(1,(LEN($I692)-LEN(SUBSTITUTE($I692," Ltd","")))/LEN(" Ltd")),0)</f>
        <v/>
      </c>
      <c r="AB691" s="122">
        <f>IFERROR(IFERROR((LEN($T692)-LEN(SUBSTITUTE($T692,"Quality of Works / Criteria of Failings:Compliant","")))/LEN("Quality of Works / Criteria of Failings:Compliant"),0)/MAX(1,(LEN($I692)-LEN(SUBSTITUTE($I692," Ltd","")))/LEN(" Ltd")),0)</f>
        <v/>
      </c>
    </row>
    <row r="692" ht="15.75" customHeight="1" s="146">
      <c r="Y692" s="122">
        <f>MAX(0,IFERROR((LEN($T693)-LEN(SUBSTITUTE($T693,"Quality of Works / Criteria of Failings:","")))/LEN("Quality of Works / Criteria of Failings:"),0)-IFERROR((LEN($T693)-LEN(SUBSTITUTE($T693,"Quality of Works / Criteria of Failings:Compliant","")))/LEN("Quality of Works / Criteria of Failings:Compliant"),0))</f>
        <v/>
      </c>
      <c r="Z692" s="122">
        <f>IFERROR($Y693/MAX(1,(LEN($I693)-LEN(SUBSTITUTE($I693," Ltd","")))/LEN(" Ltd")),0)</f>
        <v/>
      </c>
      <c r="AA692" s="122">
        <f>IFERROR(IFERROR((LEN($T693)-LEN(SUBSTITUTE($T693,"Quality of Works / Criteria of Failings:","")))/LEN("Quality of Works / Criteria of Failings:"),0)/MAX(1,(LEN($I693)-LEN(SUBSTITUTE($I693," Ltd","")))/LEN(" Ltd")),0)</f>
        <v/>
      </c>
      <c r="AB692" s="122">
        <f>IFERROR(IFERROR((LEN($T693)-LEN(SUBSTITUTE($T693,"Quality of Works / Criteria of Failings:Compliant","")))/LEN("Quality of Works / Criteria of Failings:Compliant"),0)/MAX(1,(LEN($I693)-LEN(SUBSTITUTE($I693," Ltd","")))/LEN(" Ltd")),0)</f>
        <v/>
      </c>
    </row>
    <row r="693" ht="15.75" customHeight="1" s="146">
      <c r="Y693" s="122">
        <f>MAX(0,IFERROR((LEN($T694)-LEN(SUBSTITUTE($T694,"Quality of Works / Criteria of Failings:","")))/LEN("Quality of Works / Criteria of Failings:"),0)-IFERROR((LEN($T694)-LEN(SUBSTITUTE($T694,"Quality of Works / Criteria of Failings:Compliant","")))/LEN("Quality of Works / Criteria of Failings:Compliant"),0))</f>
        <v/>
      </c>
      <c r="Z693" s="122">
        <f>IFERROR($Y694/MAX(1,(LEN($I694)-LEN(SUBSTITUTE($I694," Ltd","")))/LEN(" Ltd")),0)</f>
        <v/>
      </c>
      <c r="AA693" s="122">
        <f>IFERROR(IFERROR((LEN($T694)-LEN(SUBSTITUTE($T694,"Quality of Works / Criteria of Failings:","")))/LEN("Quality of Works / Criteria of Failings:"),0)/MAX(1,(LEN($I694)-LEN(SUBSTITUTE($I694," Ltd","")))/LEN(" Ltd")),0)</f>
        <v/>
      </c>
      <c r="AB693" s="122">
        <f>IFERROR(IFERROR((LEN($T694)-LEN(SUBSTITUTE($T694,"Quality of Works / Criteria of Failings:Compliant","")))/LEN("Quality of Works / Criteria of Failings:Compliant"),0)/MAX(1,(LEN($I694)-LEN(SUBSTITUTE($I694," Ltd","")))/LEN(" Ltd")),0)</f>
        <v/>
      </c>
    </row>
    <row r="694" ht="15.75" customHeight="1" s="146">
      <c r="Y694" s="122">
        <f>MAX(0,IFERROR((LEN($T695)-LEN(SUBSTITUTE($T695,"Quality of Works / Criteria of Failings:","")))/LEN("Quality of Works / Criteria of Failings:"),0)-IFERROR((LEN($T695)-LEN(SUBSTITUTE($T695,"Quality of Works / Criteria of Failings:Compliant","")))/LEN("Quality of Works / Criteria of Failings:Compliant"),0))</f>
        <v/>
      </c>
      <c r="Z694" s="122">
        <f>IFERROR($Y695/MAX(1,(LEN($I695)-LEN(SUBSTITUTE($I695," Ltd","")))/LEN(" Ltd")),0)</f>
        <v/>
      </c>
      <c r="AA694" s="122">
        <f>IFERROR(IFERROR((LEN($T695)-LEN(SUBSTITUTE($T695,"Quality of Works / Criteria of Failings:","")))/LEN("Quality of Works / Criteria of Failings:"),0)/MAX(1,(LEN($I695)-LEN(SUBSTITUTE($I695," Ltd","")))/LEN(" Ltd")),0)</f>
        <v/>
      </c>
      <c r="AB694" s="122">
        <f>IFERROR(IFERROR((LEN($T695)-LEN(SUBSTITUTE($T695,"Quality of Works / Criteria of Failings:Compliant","")))/LEN("Quality of Works / Criteria of Failings:Compliant"),0)/MAX(1,(LEN($I695)-LEN(SUBSTITUTE($I695," Ltd","")))/LEN(" Ltd")),0)</f>
        <v/>
      </c>
    </row>
    <row r="695" ht="15.75" customHeight="1" s="146">
      <c r="Y695" s="122">
        <f>MAX(0,IFERROR((LEN($T696)-LEN(SUBSTITUTE($T696,"Quality of Works / Criteria of Failings:","")))/LEN("Quality of Works / Criteria of Failings:"),0)-IFERROR((LEN($T696)-LEN(SUBSTITUTE($T696,"Quality of Works / Criteria of Failings:Compliant","")))/LEN("Quality of Works / Criteria of Failings:Compliant"),0))</f>
        <v/>
      </c>
      <c r="Z695" s="122">
        <f>IFERROR($Y696/MAX(1,(LEN($I696)-LEN(SUBSTITUTE($I696," Ltd","")))/LEN(" Ltd")),0)</f>
        <v/>
      </c>
      <c r="AA695" s="122">
        <f>IFERROR(IFERROR((LEN($T696)-LEN(SUBSTITUTE($T696,"Quality of Works / Criteria of Failings:","")))/LEN("Quality of Works / Criteria of Failings:"),0)/MAX(1,(LEN($I696)-LEN(SUBSTITUTE($I696," Ltd","")))/LEN(" Ltd")),0)</f>
        <v/>
      </c>
      <c r="AB695" s="122">
        <f>IFERROR(IFERROR((LEN($T696)-LEN(SUBSTITUTE($T696,"Quality of Works / Criteria of Failings:Compliant","")))/LEN("Quality of Works / Criteria of Failings:Compliant"),0)/MAX(1,(LEN($I696)-LEN(SUBSTITUTE($I696," Ltd","")))/LEN(" Ltd")),0)</f>
        <v/>
      </c>
    </row>
    <row r="696" ht="15.75" customHeight="1" s="146">
      <c r="Y696" s="122">
        <f>MAX(0,IFERROR((LEN($T697)-LEN(SUBSTITUTE($T697,"Quality of Works / Criteria of Failings:","")))/LEN("Quality of Works / Criteria of Failings:"),0)-IFERROR((LEN($T697)-LEN(SUBSTITUTE($T697,"Quality of Works / Criteria of Failings:Compliant","")))/LEN("Quality of Works / Criteria of Failings:Compliant"),0))</f>
        <v/>
      </c>
      <c r="Z696" s="122">
        <f>IFERROR($Y697/MAX(1,(LEN($I697)-LEN(SUBSTITUTE($I697," Ltd","")))/LEN(" Ltd")),0)</f>
        <v/>
      </c>
      <c r="AA696" s="122">
        <f>IFERROR(IFERROR((LEN($T697)-LEN(SUBSTITUTE($T697,"Quality of Works / Criteria of Failings:","")))/LEN("Quality of Works / Criteria of Failings:"),0)/MAX(1,(LEN($I697)-LEN(SUBSTITUTE($I697," Ltd","")))/LEN(" Ltd")),0)</f>
        <v/>
      </c>
      <c r="AB696" s="122">
        <f>IFERROR(IFERROR((LEN($T697)-LEN(SUBSTITUTE($T697,"Quality of Works / Criteria of Failings:Compliant","")))/LEN("Quality of Works / Criteria of Failings:Compliant"),0)/MAX(1,(LEN($I697)-LEN(SUBSTITUTE($I697," Ltd","")))/LEN(" Ltd")),0)</f>
        <v/>
      </c>
    </row>
    <row r="697" ht="15.75" customHeight="1" s="146">
      <c r="Y697" s="122">
        <f>MAX(0,IFERROR((LEN($T698)-LEN(SUBSTITUTE($T698,"Quality of Works / Criteria of Failings:","")))/LEN("Quality of Works / Criteria of Failings:"),0)-IFERROR((LEN($T698)-LEN(SUBSTITUTE($T698,"Quality of Works / Criteria of Failings:Compliant","")))/LEN("Quality of Works / Criteria of Failings:Compliant"),0))</f>
        <v/>
      </c>
      <c r="Z697" s="122">
        <f>IFERROR($Y698/MAX(1,(LEN($I698)-LEN(SUBSTITUTE($I698," Ltd","")))/LEN(" Ltd")),0)</f>
        <v/>
      </c>
      <c r="AA697" s="122">
        <f>IFERROR(IFERROR((LEN($T698)-LEN(SUBSTITUTE($T698,"Quality of Works / Criteria of Failings:","")))/LEN("Quality of Works / Criteria of Failings:"),0)/MAX(1,(LEN($I698)-LEN(SUBSTITUTE($I698," Ltd","")))/LEN(" Ltd")),0)</f>
        <v/>
      </c>
      <c r="AB697" s="122">
        <f>IFERROR(IFERROR((LEN($T698)-LEN(SUBSTITUTE($T698,"Quality of Works / Criteria of Failings:Compliant","")))/LEN("Quality of Works / Criteria of Failings:Compliant"),0)/MAX(1,(LEN($I698)-LEN(SUBSTITUTE($I698," Ltd","")))/LEN(" Ltd")),0)</f>
        <v/>
      </c>
    </row>
    <row r="698" ht="15.75" customHeight="1" s="146">
      <c r="Y698" s="122">
        <f>MAX(0,IFERROR((LEN($T699)-LEN(SUBSTITUTE($T699,"Quality of Works / Criteria of Failings:","")))/LEN("Quality of Works / Criteria of Failings:"),0)-IFERROR((LEN($T699)-LEN(SUBSTITUTE($T699,"Quality of Works / Criteria of Failings:Compliant","")))/LEN("Quality of Works / Criteria of Failings:Compliant"),0))</f>
        <v/>
      </c>
      <c r="Z698" s="122">
        <f>IFERROR($Y699/MAX(1,(LEN($I699)-LEN(SUBSTITUTE($I699," Ltd","")))/LEN(" Ltd")),0)</f>
        <v/>
      </c>
      <c r="AA698" s="122">
        <f>IFERROR(IFERROR((LEN($T699)-LEN(SUBSTITUTE($T699,"Quality of Works / Criteria of Failings:","")))/LEN("Quality of Works / Criteria of Failings:"),0)/MAX(1,(LEN($I699)-LEN(SUBSTITUTE($I699," Ltd","")))/LEN(" Ltd")),0)</f>
        <v/>
      </c>
      <c r="AB698" s="122">
        <f>IFERROR(IFERROR((LEN($T699)-LEN(SUBSTITUTE($T699,"Quality of Works / Criteria of Failings:Compliant","")))/LEN("Quality of Works / Criteria of Failings:Compliant"),0)/MAX(1,(LEN($I699)-LEN(SUBSTITUTE($I699," Ltd","")))/LEN(" Ltd")),0)</f>
        <v/>
      </c>
    </row>
    <row r="699" ht="15.75" customHeight="1" s="146">
      <c r="Y699" s="122">
        <f>MAX(0,IFERROR((LEN($T700)-LEN(SUBSTITUTE($T700,"Quality of Works / Criteria of Failings:","")))/LEN("Quality of Works / Criteria of Failings:"),0)-IFERROR((LEN($T700)-LEN(SUBSTITUTE($T700,"Quality of Works / Criteria of Failings:Compliant","")))/LEN("Quality of Works / Criteria of Failings:Compliant"),0))</f>
        <v/>
      </c>
      <c r="Z699" s="122">
        <f>IFERROR($Y700/MAX(1,(LEN($I700)-LEN(SUBSTITUTE($I700," Ltd","")))/LEN(" Ltd")),0)</f>
        <v/>
      </c>
      <c r="AA699" s="122">
        <f>IFERROR(IFERROR((LEN($T700)-LEN(SUBSTITUTE($T700,"Quality of Works / Criteria of Failings:","")))/LEN("Quality of Works / Criteria of Failings:"),0)/MAX(1,(LEN($I700)-LEN(SUBSTITUTE($I700," Ltd","")))/LEN(" Ltd")),0)</f>
        <v/>
      </c>
      <c r="AB699" s="122">
        <f>IFERROR(IFERROR((LEN($T700)-LEN(SUBSTITUTE($T700,"Quality of Works / Criteria of Failings:Compliant","")))/LEN("Quality of Works / Criteria of Failings:Compliant"),0)/MAX(1,(LEN($I700)-LEN(SUBSTITUTE($I700," Ltd","")))/LEN(" Ltd")),0)</f>
        <v/>
      </c>
    </row>
    <row r="700" ht="15.75" customHeight="1" s="146">
      <c r="Y700" s="122">
        <f>MAX(0,IFERROR((LEN($T701)-LEN(SUBSTITUTE($T701,"Quality of Works / Criteria of Failings:","")))/LEN("Quality of Works / Criteria of Failings:"),0)-IFERROR((LEN($T701)-LEN(SUBSTITUTE($T701,"Quality of Works / Criteria of Failings:Compliant","")))/LEN("Quality of Works / Criteria of Failings:Compliant"),0))</f>
        <v/>
      </c>
      <c r="Z700" s="122">
        <f>IFERROR($Y701/MAX(1,(LEN($I701)-LEN(SUBSTITUTE($I701," Ltd","")))/LEN(" Ltd")),0)</f>
        <v/>
      </c>
      <c r="AA700" s="122">
        <f>IFERROR(IFERROR((LEN($T701)-LEN(SUBSTITUTE($T701,"Quality of Works / Criteria of Failings:","")))/LEN("Quality of Works / Criteria of Failings:"),0)/MAX(1,(LEN($I701)-LEN(SUBSTITUTE($I701," Ltd","")))/LEN(" Ltd")),0)</f>
        <v/>
      </c>
      <c r="AB700" s="122">
        <f>IFERROR(IFERROR((LEN($T701)-LEN(SUBSTITUTE($T701,"Quality of Works / Criteria of Failings:Compliant","")))/LEN("Quality of Works / Criteria of Failings:Compliant"),0)/MAX(1,(LEN($I701)-LEN(SUBSTITUTE($I701," Ltd","")))/LEN(" Ltd")),0)</f>
        <v/>
      </c>
    </row>
    <row r="701" ht="15.75" customHeight="1" s="146">
      <c r="Y701" s="122">
        <f>MAX(0,IFERROR((LEN($T702)-LEN(SUBSTITUTE($T702,"Quality of Works / Criteria of Failings:","")))/LEN("Quality of Works / Criteria of Failings:"),0)-IFERROR((LEN($T702)-LEN(SUBSTITUTE($T702,"Quality of Works / Criteria of Failings:Compliant","")))/LEN("Quality of Works / Criteria of Failings:Compliant"),0))</f>
        <v/>
      </c>
      <c r="Z701" s="122">
        <f>IFERROR($Y702/MAX(1,(LEN($I702)-LEN(SUBSTITUTE($I702," Ltd","")))/LEN(" Ltd")),0)</f>
        <v/>
      </c>
      <c r="AA701" s="122">
        <f>IFERROR(IFERROR((LEN($T702)-LEN(SUBSTITUTE($T702,"Quality of Works / Criteria of Failings:","")))/LEN("Quality of Works / Criteria of Failings:"),0)/MAX(1,(LEN($I702)-LEN(SUBSTITUTE($I702," Ltd","")))/LEN(" Ltd")),0)</f>
        <v/>
      </c>
      <c r="AB701" s="122">
        <f>IFERROR(IFERROR((LEN($T702)-LEN(SUBSTITUTE($T702,"Quality of Works / Criteria of Failings:Compliant","")))/LEN("Quality of Works / Criteria of Failings:Compliant"),0)/MAX(1,(LEN($I702)-LEN(SUBSTITUTE($I702," Ltd","")))/LEN(" Ltd")),0)</f>
        <v/>
      </c>
    </row>
    <row r="702" ht="15.75" customHeight="1" s="146">
      <c r="Y702" s="122">
        <f>MAX(0,IFERROR((LEN($T703)-LEN(SUBSTITUTE($T703,"Quality of Works / Criteria of Failings:","")))/LEN("Quality of Works / Criteria of Failings:"),0)-IFERROR((LEN($T703)-LEN(SUBSTITUTE($T703,"Quality of Works / Criteria of Failings:Compliant","")))/LEN("Quality of Works / Criteria of Failings:Compliant"),0))</f>
        <v/>
      </c>
      <c r="Z702" s="122">
        <f>IFERROR($Y703/MAX(1,(LEN($I703)-LEN(SUBSTITUTE($I703," Ltd","")))/LEN(" Ltd")),0)</f>
        <v/>
      </c>
      <c r="AA702" s="122">
        <f>IFERROR(IFERROR((LEN($T703)-LEN(SUBSTITUTE($T703,"Quality of Works / Criteria of Failings:","")))/LEN("Quality of Works / Criteria of Failings:"),0)/MAX(1,(LEN($I703)-LEN(SUBSTITUTE($I703," Ltd","")))/LEN(" Ltd")),0)</f>
        <v/>
      </c>
      <c r="AB702" s="122">
        <f>IFERROR(IFERROR((LEN($T703)-LEN(SUBSTITUTE($T703,"Quality of Works / Criteria of Failings:Compliant","")))/LEN("Quality of Works / Criteria of Failings:Compliant"),0)/MAX(1,(LEN($I703)-LEN(SUBSTITUTE($I703," Ltd","")))/LEN(" Ltd")),0)</f>
        <v/>
      </c>
    </row>
    <row r="703" ht="15.75" customHeight="1" s="146">
      <c r="Y703" s="122">
        <f>MAX(0,IFERROR((LEN($T704)-LEN(SUBSTITUTE($T704,"Quality of Works / Criteria of Failings:","")))/LEN("Quality of Works / Criteria of Failings:"),0)-IFERROR((LEN($T704)-LEN(SUBSTITUTE($T704,"Quality of Works / Criteria of Failings:Compliant","")))/LEN("Quality of Works / Criteria of Failings:Compliant"),0))</f>
        <v/>
      </c>
      <c r="Z703" s="122">
        <f>IFERROR($Y704/MAX(1,(LEN($I704)-LEN(SUBSTITUTE($I704," Ltd","")))/LEN(" Ltd")),0)</f>
        <v/>
      </c>
      <c r="AA703" s="122">
        <f>IFERROR(IFERROR((LEN($T704)-LEN(SUBSTITUTE($T704,"Quality of Works / Criteria of Failings:","")))/LEN("Quality of Works / Criteria of Failings:"),0)/MAX(1,(LEN($I704)-LEN(SUBSTITUTE($I704," Ltd","")))/LEN(" Ltd")),0)</f>
        <v/>
      </c>
      <c r="AB703" s="122">
        <f>IFERROR(IFERROR((LEN($T704)-LEN(SUBSTITUTE($T704,"Quality of Works / Criteria of Failings:Compliant","")))/LEN("Quality of Works / Criteria of Failings:Compliant"),0)/MAX(1,(LEN($I704)-LEN(SUBSTITUTE($I704," Ltd","")))/LEN(" Ltd")),0)</f>
        <v/>
      </c>
    </row>
    <row r="704" ht="15.75" customHeight="1" s="146">
      <c r="Y704" s="122">
        <f>MAX(0,IFERROR((LEN($T705)-LEN(SUBSTITUTE($T705,"Quality of Works / Criteria of Failings:","")))/LEN("Quality of Works / Criteria of Failings:"),0)-IFERROR((LEN($T705)-LEN(SUBSTITUTE($T705,"Quality of Works / Criteria of Failings:Compliant","")))/LEN("Quality of Works / Criteria of Failings:Compliant"),0))</f>
        <v/>
      </c>
      <c r="Z704" s="122">
        <f>IFERROR($Y705/MAX(1,(LEN($I705)-LEN(SUBSTITUTE($I705," Ltd","")))/LEN(" Ltd")),0)</f>
        <v/>
      </c>
      <c r="AA704" s="122">
        <f>IFERROR(IFERROR((LEN($T705)-LEN(SUBSTITUTE($T705,"Quality of Works / Criteria of Failings:","")))/LEN("Quality of Works / Criteria of Failings:"),0)/MAX(1,(LEN($I705)-LEN(SUBSTITUTE($I705," Ltd","")))/LEN(" Ltd")),0)</f>
        <v/>
      </c>
      <c r="AB704" s="122">
        <f>IFERROR(IFERROR((LEN($T705)-LEN(SUBSTITUTE($T705,"Quality of Works / Criteria of Failings:Compliant","")))/LEN("Quality of Works / Criteria of Failings:Compliant"),0)/MAX(1,(LEN($I705)-LEN(SUBSTITUTE($I705," Ltd","")))/LEN(" Ltd")),0)</f>
        <v/>
      </c>
    </row>
    <row r="705" ht="15.75" customHeight="1" s="146">
      <c r="Y705" s="122">
        <f>MAX(0,IFERROR((LEN($T706)-LEN(SUBSTITUTE($T706,"Quality of Works / Criteria of Failings:","")))/LEN("Quality of Works / Criteria of Failings:"),0)-IFERROR((LEN($T706)-LEN(SUBSTITUTE($T706,"Quality of Works / Criteria of Failings:Compliant","")))/LEN("Quality of Works / Criteria of Failings:Compliant"),0))</f>
        <v/>
      </c>
      <c r="Z705" s="122">
        <f>IFERROR($Y706/MAX(1,(LEN($I706)-LEN(SUBSTITUTE($I706," Ltd","")))/LEN(" Ltd")),0)</f>
        <v/>
      </c>
      <c r="AA705" s="122">
        <f>IFERROR(IFERROR((LEN($T706)-LEN(SUBSTITUTE($T706,"Quality of Works / Criteria of Failings:","")))/LEN("Quality of Works / Criteria of Failings:"),0)/MAX(1,(LEN($I706)-LEN(SUBSTITUTE($I706," Ltd","")))/LEN(" Ltd")),0)</f>
        <v/>
      </c>
      <c r="AB705" s="122">
        <f>IFERROR(IFERROR((LEN($T706)-LEN(SUBSTITUTE($T706,"Quality of Works / Criteria of Failings:Compliant","")))/LEN("Quality of Works / Criteria of Failings:Compliant"),0)/MAX(1,(LEN($I706)-LEN(SUBSTITUTE($I706," Ltd","")))/LEN(" Ltd")),0)</f>
        <v/>
      </c>
    </row>
    <row r="706" ht="15.75" customHeight="1" s="146">
      <c r="Y706" s="122">
        <f>MAX(0,IFERROR((LEN($T707)-LEN(SUBSTITUTE($T707,"Quality of Works / Criteria of Failings:","")))/LEN("Quality of Works / Criteria of Failings:"),0)-IFERROR((LEN($T707)-LEN(SUBSTITUTE($T707,"Quality of Works / Criteria of Failings:Compliant","")))/LEN("Quality of Works / Criteria of Failings:Compliant"),0))</f>
        <v/>
      </c>
      <c r="Z706" s="122">
        <f>IFERROR($Y707/MAX(1,(LEN($I707)-LEN(SUBSTITUTE($I707," Ltd","")))/LEN(" Ltd")),0)</f>
        <v/>
      </c>
      <c r="AA706" s="122">
        <f>IFERROR(IFERROR((LEN($T707)-LEN(SUBSTITUTE($T707,"Quality of Works / Criteria of Failings:","")))/LEN("Quality of Works / Criteria of Failings:"),0)/MAX(1,(LEN($I707)-LEN(SUBSTITUTE($I707," Ltd","")))/LEN(" Ltd")),0)</f>
        <v/>
      </c>
      <c r="AB706" s="122">
        <f>IFERROR(IFERROR((LEN($T707)-LEN(SUBSTITUTE($T707,"Quality of Works / Criteria of Failings:Compliant","")))/LEN("Quality of Works / Criteria of Failings:Compliant"),0)/MAX(1,(LEN($I707)-LEN(SUBSTITUTE($I707," Ltd","")))/LEN(" Ltd")),0)</f>
        <v/>
      </c>
    </row>
    <row r="707" ht="15.75" customHeight="1" s="146">
      <c r="Y707" s="122">
        <f>MAX(0,IFERROR((LEN($T708)-LEN(SUBSTITUTE($T708,"Quality of Works / Criteria of Failings:","")))/LEN("Quality of Works / Criteria of Failings:"),0)-IFERROR((LEN($T708)-LEN(SUBSTITUTE($T708,"Quality of Works / Criteria of Failings:Compliant","")))/LEN("Quality of Works / Criteria of Failings:Compliant"),0))</f>
        <v/>
      </c>
      <c r="Z707" s="122">
        <f>IFERROR($Y708/MAX(1,(LEN($I708)-LEN(SUBSTITUTE($I708," Ltd","")))/LEN(" Ltd")),0)</f>
        <v/>
      </c>
      <c r="AA707" s="122">
        <f>IFERROR(IFERROR((LEN($T708)-LEN(SUBSTITUTE($T708,"Quality of Works / Criteria of Failings:","")))/LEN("Quality of Works / Criteria of Failings:"),0)/MAX(1,(LEN($I708)-LEN(SUBSTITUTE($I708," Ltd","")))/LEN(" Ltd")),0)</f>
        <v/>
      </c>
      <c r="AB707" s="122">
        <f>IFERROR(IFERROR((LEN($T708)-LEN(SUBSTITUTE($T708,"Quality of Works / Criteria of Failings:Compliant","")))/LEN("Quality of Works / Criteria of Failings:Compliant"),0)/MAX(1,(LEN($I708)-LEN(SUBSTITUTE($I708," Ltd","")))/LEN(" Ltd")),0)</f>
        <v/>
      </c>
    </row>
    <row r="708" ht="15.75" customHeight="1" s="146">
      <c r="Y708" s="122">
        <f>MAX(0,IFERROR((LEN($T709)-LEN(SUBSTITUTE($T709,"Quality of Works / Criteria of Failings:","")))/LEN("Quality of Works / Criteria of Failings:"),0)-IFERROR((LEN($T709)-LEN(SUBSTITUTE($T709,"Quality of Works / Criteria of Failings:Compliant","")))/LEN("Quality of Works / Criteria of Failings:Compliant"),0))</f>
        <v/>
      </c>
      <c r="Z708" s="122">
        <f>IFERROR($Y709/MAX(1,(LEN($I709)-LEN(SUBSTITUTE($I709," Ltd","")))/LEN(" Ltd")),0)</f>
        <v/>
      </c>
      <c r="AA708" s="122">
        <f>IFERROR(IFERROR((LEN($T709)-LEN(SUBSTITUTE($T709,"Quality of Works / Criteria of Failings:","")))/LEN("Quality of Works / Criteria of Failings:"),0)/MAX(1,(LEN($I709)-LEN(SUBSTITUTE($I709," Ltd","")))/LEN(" Ltd")),0)</f>
        <v/>
      </c>
      <c r="AB708" s="122">
        <f>IFERROR(IFERROR((LEN($T709)-LEN(SUBSTITUTE($T709,"Quality of Works / Criteria of Failings:Compliant","")))/LEN("Quality of Works / Criteria of Failings:Compliant"),0)/MAX(1,(LEN($I709)-LEN(SUBSTITUTE($I709," Ltd","")))/LEN(" Ltd")),0)</f>
        <v/>
      </c>
    </row>
    <row r="709" ht="15.75" customHeight="1" s="146">
      <c r="Y709" s="122">
        <f>MAX(0,IFERROR((LEN($T710)-LEN(SUBSTITUTE($T710,"Quality of Works / Criteria of Failings:","")))/LEN("Quality of Works / Criteria of Failings:"),0)-IFERROR((LEN($T710)-LEN(SUBSTITUTE($T710,"Quality of Works / Criteria of Failings:Compliant","")))/LEN("Quality of Works / Criteria of Failings:Compliant"),0))</f>
        <v/>
      </c>
      <c r="Z709" s="122">
        <f>IFERROR($Y710/MAX(1,(LEN($I710)-LEN(SUBSTITUTE($I710," Ltd","")))/LEN(" Ltd")),0)</f>
        <v/>
      </c>
      <c r="AA709" s="122">
        <f>IFERROR(IFERROR((LEN($T710)-LEN(SUBSTITUTE($T710,"Quality of Works / Criteria of Failings:","")))/LEN("Quality of Works / Criteria of Failings:"),0)/MAX(1,(LEN($I710)-LEN(SUBSTITUTE($I710," Ltd","")))/LEN(" Ltd")),0)</f>
        <v/>
      </c>
      <c r="AB709" s="122">
        <f>IFERROR(IFERROR((LEN($T710)-LEN(SUBSTITUTE($T710,"Quality of Works / Criteria of Failings:Compliant","")))/LEN("Quality of Works / Criteria of Failings:Compliant"),0)/MAX(1,(LEN($I710)-LEN(SUBSTITUTE($I710," Ltd","")))/LEN(" Ltd")),0)</f>
        <v/>
      </c>
    </row>
    <row r="710" ht="15.75" customHeight="1" s="146">
      <c r="Y710" s="122">
        <f>MAX(0,IFERROR((LEN($T711)-LEN(SUBSTITUTE($T711,"Quality of Works / Criteria of Failings:","")))/LEN("Quality of Works / Criteria of Failings:"),0)-IFERROR((LEN($T711)-LEN(SUBSTITUTE($T711,"Quality of Works / Criteria of Failings:Compliant","")))/LEN("Quality of Works / Criteria of Failings:Compliant"),0))</f>
        <v/>
      </c>
      <c r="Z710" s="122">
        <f>IFERROR($Y711/MAX(1,(LEN($I711)-LEN(SUBSTITUTE($I711," Ltd","")))/LEN(" Ltd")),0)</f>
        <v/>
      </c>
      <c r="AA710" s="122">
        <f>IFERROR(IFERROR((LEN($T711)-LEN(SUBSTITUTE($T711,"Quality of Works / Criteria of Failings:","")))/LEN("Quality of Works / Criteria of Failings:"),0)/MAX(1,(LEN($I711)-LEN(SUBSTITUTE($I711," Ltd","")))/LEN(" Ltd")),0)</f>
        <v/>
      </c>
      <c r="AB710" s="122">
        <f>IFERROR(IFERROR((LEN($T711)-LEN(SUBSTITUTE($T711,"Quality of Works / Criteria of Failings:Compliant","")))/LEN("Quality of Works / Criteria of Failings:Compliant"),0)/MAX(1,(LEN($I711)-LEN(SUBSTITUTE($I711," Ltd","")))/LEN(" Ltd")),0)</f>
        <v/>
      </c>
    </row>
    <row r="711" ht="15.75" customHeight="1" s="146">
      <c r="Y711" s="122">
        <f>MAX(0,IFERROR((LEN($T712)-LEN(SUBSTITUTE($T712,"Quality of Works / Criteria of Failings:","")))/LEN("Quality of Works / Criteria of Failings:"),0)-IFERROR((LEN($T712)-LEN(SUBSTITUTE($T712,"Quality of Works / Criteria of Failings:Compliant","")))/LEN("Quality of Works / Criteria of Failings:Compliant"),0))</f>
        <v/>
      </c>
      <c r="Z711" s="122">
        <f>IFERROR($Y712/MAX(1,(LEN($I712)-LEN(SUBSTITUTE($I712," Ltd","")))/LEN(" Ltd")),0)</f>
        <v/>
      </c>
      <c r="AA711" s="122">
        <f>IFERROR(IFERROR((LEN($T712)-LEN(SUBSTITUTE($T712,"Quality of Works / Criteria of Failings:","")))/LEN("Quality of Works / Criteria of Failings:"),0)/MAX(1,(LEN($I712)-LEN(SUBSTITUTE($I712," Ltd","")))/LEN(" Ltd")),0)</f>
        <v/>
      </c>
      <c r="AB711" s="122">
        <f>IFERROR(IFERROR((LEN($T712)-LEN(SUBSTITUTE($T712,"Quality of Works / Criteria of Failings:Compliant","")))/LEN("Quality of Works / Criteria of Failings:Compliant"),0)/MAX(1,(LEN($I712)-LEN(SUBSTITUTE($I712," Ltd","")))/LEN(" Ltd")),0)</f>
        <v/>
      </c>
    </row>
    <row r="712" ht="15.75" customHeight="1" s="146">
      <c r="Y712" s="122">
        <f>MAX(0,IFERROR((LEN($T713)-LEN(SUBSTITUTE($T713,"Quality of Works / Criteria of Failings:","")))/LEN("Quality of Works / Criteria of Failings:"),0)-IFERROR((LEN($T713)-LEN(SUBSTITUTE($T713,"Quality of Works / Criteria of Failings:Compliant","")))/LEN("Quality of Works / Criteria of Failings:Compliant"),0))</f>
        <v/>
      </c>
      <c r="Z712" s="122">
        <f>IFERROR($Y713/MAX(1,(LEN($I713)-LEN(SUBSTITUTE($I713," Ltd","")))/LEN(" Ltd")),0)</f>
        <v/>
      </c>
      <c r="AA712" s="122">
        <f>IFERROR(IFERROR((LEN($T713)-LEN(SUBSTITUTE($T713,"Quality of Works / Criteria of Failings:","")))/LEN("Quality of Works / Criteria of Failings:"),0)/MAX(1,(LEN($I713)-LEN(SUBSTITUTE($I713," Ltd","")))/LEN(" Ltd")),0)</f>
        <v/>
      </c>
      <c r="AB712" s="122">
        <f>IFERROR(IFERROR((LEN($T713)-LEN(SUBSTITUTE($T713,"Quality of Works / Criteria of Failings:Compliant","")))/LEN("Quality of Works / Criteria of Failings:Compliant"),0)/MAX(1,(LEN($I713)-LEN(SUBSTITUTE($I713," Ltd","")))/LEN(" Ltd")),0)</f>
        <v/>
      </c>
    </row>
    <row r="713" ht="15.75" customHeight="1" s="146">
      <c r="Y713" s="122">
        <f>MAX(0,IFERROR((LEN($T714)-LEN(SUBSTITUTE($T714,"Quality of Works / Criteria of Failings:","")))/LEN("Quality of Works / Criteria of Failings:"),0)-IFERROR((LEN($T714)-LEN(SUBSTITUTE($T714,"Quality of Works / Criteria of Failings:Compliant","")))/LEN("Quality of Works / Criteria of Failings:Compliant"),0))</f>
        <v/>
      </c>
      <c r="Z713" s="122">
        <f>IFERROR($Y714/MAX(1,(LEN($I714)-LEN(SUBSTITUTE($I714," Ltd","")))/LEN(" Ltd")),0)</f>
        <v/>
      </c>
      <c r="AA713" s="122">
        <f>IFERROR(IFERROR((LEN($T714)-LEN(SUBSTITUTE($T714,"Quality of Works / Criteria of Failings:","")))/LEN("Quality of Works / Criteria of Failings:"),0)/MAX(1,(LEN($I714)-LEN(SUBSTITUTE($I714," Ltd","")))/LEN(" Ltd")),0)</f>
        <v/>
      </c>
      <c r="AB713" s="122">
        <f>IFERROR(IFERROR((LEN($T714)-LEN(SUBSTITUTE($T714,"Quality of Works / Criteria of Failings:Compliant","")))/LEN("Quality of Works / Criteria of Failings:Compliant"),0)/MAX(1,(LEN($I714)-LEN(SUBSTITUTE($I714," Ltd","")))/LEN(" Ltd")),0)</f>
        <v/>
      </c>
    </row>
    <row r="714" ht="15.75" customHeight="1" s="146">
      <c r="Y714" s="122">
        <f>MAX(0,IFERROR((LEN($T715)-LEN(SUBSTITUTE($T715,"Quality of Works / Criteria of Failings:","")))/LEN("Quality of Works / Criteria of Failings:"),0)-IFERROR((LEN($T715)-LEN(SUBSTITUTE($T715,"Quality of Works / Criteria of Failings:Compliant","")))/LEN("Quality of Works / Criteria of Failings:Compliant"),0))</f>
        <v/>
      </c>
      <c r="Z714" s="122">
        <f>IFERROR($Y715/MAX(1,(LEN($I715)-LEN(SUBSTITUTE($I715," Ltd","")))/LEN(" Ltd")),0)</f>
        <v/>
      </c>
      <c r="AA714" s="122">
        <f>IFERROR(IFERROR((LEN($T715)-LEN(SUBSTITUTE($T715,"Quality of Works / Criteria of Failings:","")))/LEN("Quality of Works / Criteria of Failings:"),0)/MAX(1,(LEN($I715)-LEN(SUBSTITUTE($I715," Ltd","")))/LEN(" Ltd")),0)</f>
        <v/>
      </c>
      <c r="AB714" s="122">
        <f>IFERROR(IFERROR((LEN($T715)-LEN(SUBSTITUTE($T715,"Quality of Works / Criteria of Failings:Compliant","")))/LEN("Quality of Works / Criteria of Failings:Compliant"),0)/MAX(1,(LEN($I715)-LEN(SUBSTITUTE($I715," Ltd","")))/LEN(" Ltd")),0)</f>
        <v/>
      </c>
    </row>
    <row r="715" ht="15.75" customHeight="1" s="146">
      <c r="Y715" s="122">
        <f>MAX(0,IFERROR((LEN($T716)-LEN(SUBSTITUTE($T716,"Quality of Works / Criteria of Failings:","")))/LEN("Quality of Works / Criteria of Failings:"),0)-IFERROR((LEN($T716)-LEN(SUBSTITUTE($T716,"Quality of Works / Criteria of Failings:Compliant","")))/LEN("Quality of Works / Criteria of Failings:Compliant"),0))</f>
        <v/>
      </c>
      <c r="Z715" s="122">
        <f>IFERROR($Y716/MAX(1,(LEN($I716)-LEN(SUBSTITUTE($I716," Ltd","")))/LEN(" Ltd")),0)</f>
        <v/>
      </c>
      <c r="AA715" s="122">
        <f>IFERROR(IFERROR((LEN($T716)-LEN(SUBSTITUTE($T716,"Quality of Works / Criteria of Failings:","")))/LEN("Quality of Works / Criteria of Failings:"),0)/MAX(1,(LEN($I716)-LEN(SUBSTITUTE($I716," Ltd","")))/LEN(" Ltd")),0)</f>
        <v/>
      </c>
      <c r="AB715" s="122">
        <f>IFERROR(IFERROR((LEN($T716)-LEN(SUBSTITUTE($T716,"Quality of Works / Criteria of Failings:Compliant","")))/LEN("Quality of Works / Criteria of Failings:Compliant"),0)/MAX(1,(LEN($I716)-LEN(SUBSTITUTE($I716," Ltd","")))/LEN(" Ltd")),0)</f>
        <v/>
      </c>
    </row>
    <row r="716" ht="15.75" customHeight="1" s="146">
      <c r="Y716" s="122">
        <f>MAX(0,IFERROR((LEN($T717)-LEN(SUBSTITUTE($T717,"Quality of Works / Criteria of Failings:","")))/LEN("Quality of Works / Criteria of Failings:"),0)-IFERROR((LEN($T717)-LEN(SUBSTITUTE($T717,"Quality of Works / Criteria of Failings:Compliant","")))/LEN("Quality of Works / Criteria of Failings:Compliant"),0))</f>
        <v/>
      </c>
      <c r="Z716" s="122">
        <f>IFERROR($Y717/MAX(1,(LEN($I717)-LEN(SUBSTITUTE($I717," Ltd","")))/LEN(" Ltd")),0)</f>
        <v/>
      </c>
      <c r="AA716" s="122">
        <f>IFERROR(IFERROR((LEN($T717)-LEN(SUBSTITUTE($T717,"Quality of Works / Criteria of Failings:","")))/LEN("Quality of Works / Criteria of Failings:"),0)/MAX(1,(LEN($I717)-LEN(SUBSTITUTE($I717," Ltd","")))/LEN(" Ltd")),0)</f>
        <v/>
      </c>
      <c r="AB716" s="122">
        <f>IFERROR(IFERROR((LEN($T717)-LEN(SUBSTITUTE($T717,"Quality of Works / Criteria of Failings:Compliant","")))/LEN("Quality of Works / Criteria of Failings:Compliant"),0)/MAX(1,(LEN($I717)-LEN(SUBSTITUTE($I717," Ltd","")))/LEN(" Ltd")),0)</f>
        <v/>
      </c>
    </row>
    <row r="717" ht="15.75" customHeight="1" s="146">
      <c r="Y717" s="122">
        <f>MAX(0,IFERROR((LEN($T718)-LEN(SUBSTITUTE($T718,"Quality of Works / Criteria of Failings:","")))/LEN("Quality of Works / Criteria of Failings:"),0)-IFERROR((LEN($T718)-LEN(SUBSTITUTE($T718,"Quality of Works / Criteria of Failings:Compliant","")))/LEN("Quality of Works / Criteria of Failings:Compliant"),0))</f>
        <v/>
      </c>
      <c r="Z717" s="122">
        <f>IFERROR($Y718/MAX(1,(LEN($I718)-LEN(SUBSTITUTE($I718," Ltd","")))/LEN(" Ltd")),0)</f>
        <v/>
      </c>
      <c r="AA717" s="122">
        <f>IFERROR(IFERROR((LEN($T718)-LEN(SUBSTITUTE($T718,"Quality of Works / Criteria of Failings:","")))/LEN("Quality of Works / Criteria of Failings:"),0)/MAX(1,(LEN($I718)-LEN(SUBSTITUTE($I718," Ltd","")))/LEN(" Ltd")),0)</f>
        <v/>
      </c>
      <c r="AB717" s="122">
        <f>IFERROR(IFERROR((LEN($T718)-LEN(SUBSTITUTE($T718,"Quality of Works / Criteria of Failings:Compliant","")))/LEN("Quality of Works / Criteria of Failings:Compliant"),0)/MAX(1,(LEN($I718)-LEN(SUBSTITUTE($I718," Ltd","")))/LEN(" Ltd")),0)</f>
        <v/>
      </c>
    </row>
    <row r="718" ht="15.75" customHeight="1" s="146">
      <c r="Y718" s="122">
        <f>MAX(0,IFERROR((LEN($T719)-LEN(SUBSTITUTE($T719,"Quality of Works / Criteria of Failings:","")))/LEN("Quality of Works / Criteria of Failings:"),0)-IFERROR((LEN($T719)-LEN(SUBSTITUTE($T719,"Quality of Works / Criteria of Failings:Compliant","")))/LEN("Quality of Works / Criteria of Failings:Compliant"),0))</f>
        <v/>
      </c>
      <c r="Z718" s="122">
        <f>IFERROR($Y719/MAX(1,(LEN($I719)-LEN(SUBSTITUTE($I719," Ltd","")))/LEN(" Ltd")),0)</f>
        <v/>
      </c>
      <c r="AA718" s="122">
        <f>IFERROR(IFERROR((LEN($T719)-LEN(SUBSTITUTE($T719,"Quality of Works / Criteria of Failings:","")))/LEN("Quality of Works / Criteria of Failings:"),0)/MAX(1,(LEN($I719)-LEN(SUBSTITUTE($I719," Ltd","")))/LEN(" Ltd")),0)</f>
        <v/>
      </c>
      <c r="AB718" s="122">
        <f>IFERROR(IFERROR((LEN($T719)-LEN(SUBSTITUTE($T719,"Quality of Works / Criteria of Failings:Compliant","")))/LEN("Quality of Works / Criteria of Failings:Compliant"),0)/MAX(1,(LEN($I719)-LEN(SUBSTITUTE($I719," Ltd","")))/LEN(" Ltd")),0)</f>
        <v/>
      </c>
    </row>
    <row r="719" ht="15.75" customHeight="1" s="146">
      <c r="Y719" s="122">
        <f>MAX(0,IFERROR((LEN($T720)-LEN(SUBSTITUTE($T720,"Quality of Works / Criteria of Failings:","")))/LEN("Quality of Works / Criteria of Failings:"),0)-IFERROR((LEN($T720)-LEN(SUBSTITUTE($T720,"Quality of Works / Criteria of Failings:Compliant","")))/LEN("Quality of Works / Criteria of Failings:Compliant"),0))</f>
        <v/>
      </c>
      <c r="Z719" s="122">
        <f>IFERROR($Y720/MAX(1,(LEN($I720)-LEN(SUBSTITUTE($I720," Ltd","")))/LEN(" Ltd")),0)</f>
        <v/>
      </c>
      <c r="AA719" s="122">
        <f>IFERROR(IFERROR((LEN($T720)-LEN(SUBSTITUTE($T720,"Quality of Works / Criteria of Failings:","")))/LEN("Quality of Works / Criteria of Failings:"),0)/MAX(1,(LEN($I720)-LEN(SUBSTITUTE($I720," Ltd","")))/LEN(" Ltd")),0)</f>
        <v/>
      </c>
      <c r="AB719" s="122">
        <f>IFERROR(IFERROR((LEN($T720)-LEN(SUBSTITUTE($T720,"Quality of Works / Criteria of Failings:Compliant","")))/LEN("Quality of Works / Criteria of Failings:Compliant"),0)/MAX(1,(LEN($I720)-LEN(SUBSTITUTE($I720," Ltd","")))/LEN(" Ltd")),0)</f>
        <v/>
      </c>
    </row>
    <row r="720" ht="15.75" customHeight="1" s="146">
      <c r="Y720" s="122">
        <f>MAX(0,IFERROR((LEN($T721)-LEN(SUBSTITUTE($T721,"Quality of Works / Criteria of Failings:","")))/LEN("Quality of Works / Criteria of Failings:"),0)-IFERROR((LEN($T721)-LEN(SUBSTITUTE($T721,"Quality of Works / Criteria of Failings:Compliant","")))/LEN("Quality of Works / Criteria of Failings:Compliant"),0))</f>
        <v/>
      </c>
      <c r="Z720" s="122">
        <f>IFERROR($Y721/MAX(1,(LEN($I721)-LEN(SUBSTITUTE($I721," Ltd","")))/LEN(" Ltd")),0)</f>
        <v/>
      </c>
      <c r="AA720" s="122">
        <f>IFERROR(IFERROR((LEN($T721)-LEN(SUBSTITUTE($T721,"Quality of Works / Criteria of Failings:","")))/LEN("Quality of Works / Criteria of Failings:"),0)/MAX(1,(LEN($I721)-LEN(SUBSTITUTE($I721," Ltd","")))/LEN(" Ltd")),0)</f>
        <v/>
      </c>
      <c r="AB720" s="122">
        <f>IFERROR(IFERROR((LEN($T721)-LEN(SUBSTITUTE($T721,"Quality of Works / Criteria of Failings:Compliant","")))/LEN("Quality of Works / Criteria of Failings:Compliant"),0)/MAX(1,(LEN($I721)-LEN(SUBSTITUTE($I721," Ltd","")))/LEN(" Ltd")),0)</f>
        <v/>
      </c>
    </row>
    <row r="721" ht="15.75" customHeight="1" s="146">
      <c r="Y721" s="122">
        <f>MAX(0,IFERROR((LEN($T722)-LEN(SUBSTITUTE($T722,"Quality of Works / Criteria of Failings:","")))/LEN("Quality of Works / Criteria of Failings:"),0)-IFERROR((LEN($T722)-LEN(SUBSTITUTE($T722,"Quality of Works / Criteria of Failings:Compliant","")))/LEN("Quality of Works / Criteria of Failings:Compliant"),0))</f>
        <v/>
      </c>
      <c r="Z721" s="122">
        <f>IFERROR($Y722/MAX(1,(LEN($I722)-LEN(SUBSTITUTE($I722," Ltd","")))/LEN(" Ltd")),0)</f>
        <v/>
      </c>
      <c r="AA721" s="122">
        <f>IFERROR(IFERROR((LEN($T722)-LEN(SUBSTITUTE($T722,"Quality of Works / Criteria of Failings:","")))/LEN("Quality of Works / Criteria of Failings:"),0)/MAX(1,(LEN($I722)-LEN(SUBSTITUTE($I722," Ltd","")))/LEN(" Ltd")),0)</f>
        <v/>
      </c>
      <c r="AB721" s="122">
        <f>IFERROR(IFERROR((LEN($T722)-LEN(SUBSTITUTE($T722,"Quality of Works / Criteria of Failings:Compliant","")))/LEN("Quality of Works / Criteria of Failings:Compliant"),0)/MAX(1,(LEN($I722)-LEN(SUBSTITUTE($I722," Ltd","")))/LEN(" Ltd")),0)</f>
        <v/>
      </c>
    </row>
    <row r="722" ht="15.75" customHeight="1" s="146">
      <c r="Y722" s="122">
        <f>MAX(0,IFERROR((LEN($T723)-LEN(SUBSTITUTE($T723,"Quality of Works / Criteria of Failings:","")))/LEN("Quality of Works / Criteria of Failings:"),0)-IFERROR((LEN($T723)-LEN(SUBSTITUTE($T723,"Quality of Works / Criteria of Failings:Compliant","")))/LEN("Quality of Works / Criteria of Failings:Compliant"),0))</f>
        <v/>
      </c>
      <c r="Z722" s="122">
        <f>IFERROR($Y723/MAX(1,(LEN($I723)-LEN(SUBSTITUTE($I723," Ltd","")))/LEN(" Ltd")),0)</f>
        <v/>
      </c>
      <c r="AA722" s="122">
        <f>IFERROR(IFERROR((LEN($T723)-LEN(SUBSTITUTE($T723,"Quality of Works / Criteria of Failings:","")))/LEN("Quality of Works / Criteria of Failings:"),0)/MAX(1,(LEN($I723)-LEN(SUBSTITUTE($I723," Ltd","")))/LEN(" Ltd")),0)</f>
        <v/>
      </c>
      <c r="AB722" s="122">
        <f>IFERROR(IFERROR((LEN($T723)-LEN(SUBSTITUTE($T723,"Quality of Works / Criteria of Failings:Compliant","")))/LEN("Quality of Works / Criteria of Failings:Compliant"),0)/MAX(1,(LEN($I723)-LEN(SUBSTITUTE($I723," Ltd","")))/LEN(" Ltd")),0)</f>
        <v/>
      </c>
    </row>
    <row r="723" ht="15.75" customHeight="1" s="146">
      <c r="Y723" s="122">
        <f>MAX(0,IFERROR((LEN($T724)-LEN(SUBSTITUTE($T724,"Quality of Works / Criteria of Failings:","")))/LEN("Quality of Works / Criteria of Failings:"),0)-IFERROR((LEN($T724)-LEN(SUBSTITUTE($T724,"Quality of Works / Criteria of Failings:Compliant","")))/LEN("Quality of Works / Criteria of Failings:Compliant"),0))</f>
        <v/>
      </c>
      <c r="Z723" s="122">
        <f>IFERROR($Y724/MAX(1,(LEN($I724)-LEN(SUBSTITUTE($I724," Ltd","")))/LEN(" Ltd")),0)</f>
        <v/>
      </c>
      <c r="AA723" s="122">
        <f>IFERROR(IFERROR((LEN($T724)-LEN(SUBSTITUTE($T724,"Quality of Works / Criteria of Failings:","")))/LEN("Quality of Works / Criteria of Failings:"),0)/MAX(1,(LEN($I724)-LEN(SUBSTITUTE($I724," Ltd","")))/LEN(" Ltd")),0)</f>
        <v/>
      </c>
      <c r="AB723" s="122">
        <f>IFERROR(IFERROR((LEN($T724)-LEN(SUBSTITUTE($T724,"Quality of Works / Criteria of Failings:Compliant","")))/LEN("Quality of Works / Criteria of Failings:Compliant"),0)/MAX(1,(LEN($I724)-LEN(SUBSTITUTE($I724," Ltd","")))/LEN(" Ltd")),0)</f>
        <v/>
      </c>
    </row>
    <row r="724" ht="15.75" customHeight="1" s="146">
      <c r="Y724" s="122">
        <f>MAX(0,IFERROR((LEN($T725)-LEN(SUBSTITUTE($T725,"Quality of Works / Criteria of Failings:","")))/LEN("Quality of Works / Criteria of Failings:"),0)-IFERROR((LEN($T725)-LEN(SUBSTITUTE($T725,"Quality of Works / Criteria of Failings:Compliant","")))/LEN("Quality of Works / Criteria of Failings:Compliant"),0))</f>
        <v/>
      </c>
      <c r="Z724" s="122">
        <f>IFERROR($Y725/MAX(1,(LEN($I725)-LEN(SUBSTITUTE($I725," Ltd","")))/LEN(" Ltd")),0)</f>
        <v/>
      </c>
      <c r="AA724" s="122">
        <f>IFERROR(IFERROR((LEN($T725)-LEN(SUBSTITUTE($T725,"Quality of Works / Criteria of Failings:","")))/LEN("Quality of Works / Criteria of Failings:"),0)/MAX(1,(LEN($I725)-LEN(SUBSTITUTE($I725," Ltd","")))/LEN(" Ltd")),0)</f>
        <v/>
      </c>
      <c r="AB724" s="122">
        <f>IFERROR(IFERROR((LEN($T725)-LEN(SUBSTITUTE($T725,"Quality of Works / Criteria of Failings:Compliant","")))/LEN("Quality of Works / Criteria of Failings:Compliant"),0)/MAX(1,(LEN($I725)-LEN(SUBSTITUTE($I725," Ltd","")))/LEN(" Ltd")),0)</f>
        <v/>
      </c>
    </row>
    <row r="725" ht="15.75" customHeight="1" s="146">
      <c r="Y725" s="122">
        <f>MAX(0,IFERROR((LEN($T726)-LEN(SUBSTITUTE($T726,"Quality of Works / Criteria of Failings:","")))/LEN("Quality of Works / Criteria of Failings:"),0)-IFERROR((LEN($T726)-LEN(SUBSTITUTE($T726,"Quality of Works / Criteria of Failings:Compliant","")))/LEN("Quality of Works / Criteria of Failings:Compliant"),0))</f>
        <v/>
      </c>
      <c r="Z725" s="122">
        <f>IFERROR($Y726/MAX(1,(LEN($I726)-LEN(SUBSTITUTE($I726," Ltd","")))/LEN(" Ltd")),0)</f>
        <v/>
      </c>
      <c r="AA725" s="122">
        <f>IFERROR(IFERROR((LEN($T726)-LEN(SUBSTITUTE($T726,"Quality of Works / Criteria of Failings:","")))/LEN("Quality of Works / Criteria of Failings:"),0)/MAX(1,(LEN($I726)-LEN(SUBSTITUTE($I726," Ltd","")))/LEN(" Ltd")),0)</f>
        <v/>
      </c>
      <c r="AB725" s="122">
        <f>IFERROR(IFERROR((LEN($T726)-LEN(SUBSTITUTE($T726,"Quality of Works / Criteria of Failings:Compliant","")))/LEN("Quality of Works / Criteria of Failings:Compliant"),0)/MAX(1,(LEN($I726)-LEN(SUBSTITUTE($I726," Ltd","")))/LEN(" Ltd")),0)</f>
        <v/>
      </c>
    </row>
    <row r="726" ht="15.75" customHeight="1" s="146">
      <c r="Y726" s="122">
        <f>MAX(0,IFERROR((LEN($T727)-LEN(SUBSTITUTE($T727,"Quality of Works / Criteria of Failings:","")))/LEN("Quality of Works / Criteria of Failings:"),0)-IFERROR((LEN($T727)-LEN(SUBSTITUTE($T727,"Quality of Works / Criteria of Failings:Compliant","")))/LEN("Quality of Works / Criteria of Failings:Compliant"),0))</f>
        <v/>
      </c>
      <c r="Z726" s="122">
        <f>IFERROR($Y727/MAX(1,(LEN($I727)-LEN(SUBSTITUTE($I727," Ltd","")))/LEN(" Ltd")),0)</f>
        <v/>
      </c>
      <c r="AA726" s="122">
        <f>IFERROR(IFERROR((LEN($T727)-LEN(SUBSTITUTE($T727,"Quality of Works / Criteria of Failings:","")))/LEN("Quality of Works / Criteria of Failings:"),0)/MAX(1,(LEN($I727)-LEN(SUBSTITUTE($I727," Ltd","")))/LEN(" Ltd")),0)</f>
        <v/>
      </c>
      <c r="AB726" s="122">
        <f>IFERROR(IFERROR((LEN($T727)-LEN(SUBSTITUTE($T727,"Quality of Works / Criteria of Failings:Compliant","")))/LEN("Quality of Works / Criteria of Failings:Compliant"),0)/MAX(1,(LEN($I727)-LEN(SUBSTITUTE($I727," Ltd","")))/LEN(" Ltd")),0)</f>
        <v/>
      </c>
    </row>
    <row r="727" ht="15.75" customHeight="1" s="146">
      <c r="Y727" s="122">
        <f>MAX(0,IFERROR((LEN($T728)-LEN(SUBSTITUTE($T728,"Quality of Works / Criteria of Failings:","")))/LEN("Quality of Works / Criteria of Failings:"),0)-IFERROR((LEN($T728)-LEN(SUBSTITUTE($T728,"Quality of Works / Criteria of Failings:Compliant","")))/LEN("Quality of Works / Criteria of Failings:Compliant"),0))</f>
        <v/>
      </c>
      <c r="Z727" s="122">
        <f>IFERROR($Y728/MAX(1,(LEN($I728)-LEN(SUBSTITUTE($I728," Ltd","")))/LEN(" Ltd")),0)</f>
        <v/>
      </c>
      <c r="AA727" s="122">
        <f>IFERROR(IFERROR((LEN($T728)-LEN(SUBSTITUTE($T728,"Quality of Works / Criteria of Failings:","")))/LEN("Quality of Works / Criteria of Failings:"),0)/MAX(1,(LEN($I728)-LEN(SUBSTITUTE($I728," Ltd","")))/LEN(" Ltd")),0)</f>
        <v/>
      </c>
      <c r="AB727" s="122">
        <f>IFERROR(IFERROR((LEN($T728)-LEN(SUBSTITUTE($T728,"Quality of Works / Criteria of Failings:Compliant","")))/LEN("Quality of Works / Criteria of Failings:Compliant"),0)/MAX(1,(LEN($I728)-LEN(SUBSTITUTE($I728," Ltd","")))/LEN(" Ltd")),0)</f>
        <v/>
      </c>
    </row>
    <row r="728" ht="15.75" customHeight="1" s="146">
      <c r="Y728" s="122">
        <f>MAX(0,IFERROR((LEN($T729)-LEN(SUBSTITUTE($T729,"Quality of Works / Criteria of Failings:","")))/LEN("Quality of Works / Criteria of Failings:"),0)-IFERROR((LEN($T729)-LEN(SUBSTITUTE($T729,"Quality of Works / Criteria of Failings:Compliant","")))/LEN("Quality of Works / Criteria of Failings:Compliant"),0))</f>
        <v/>
      </c>
      <c r="Z728" s="122">
        <f>IFERROR($Y729/MAX(1,(LEN($I729)-LEN(SUBSTITUTE($I729," Ltd","")))/LEN(" Ltd")),0)</f>
        <v/>
      </c>
      <c r="AA728" s="122">
        <f>IFERROR(IFERROR((LEN($T729)-LEN(SUBSTITUTE($T729,"Quality of Works / Criteria of Failings:","")))/LEN("Quality of Works / Criteria of Failings:"),0)/MAX(1,(LEN($I729)-LEN(SUBSTITUTE($I729," Ltd","")))/LEN(" Ltd")),0)</f>
        <v/>
      </c>
      <c r="AB728" s="122">
        <f>IFERROR(IFERROR((LEN($T729)-LEN(SUBSTITUTE($T729,"Quality of Works / Criteria of Failings:Compliant","")))/LEN("Quality of Works / Criteria of Failings:Compliant"),0)/MAX(1,(LEN($I729)-LEN(SUBSTITUTE($I729," Ltd","")))/LEN(" Ltd")),0)</f>
        <v/>
      </c>
    </row>
    <row r="729" ht="15.75" customHeight="1" s="146">
      <c r="Y729" s="122">
        <f>MAX(0,IFERROR((LEN($T730)-LEN(SUBSTITUTE($T730,"Quality of Works / Criteria of Failings:","")))/LEN("Quality of Works / Criteria of Failings:"),0)-IFERROR((LEN($T730)-LEN(SUBSTITUTE($T730,"Quality of Works / Criteria of Failings:Compliant","")))/LEN("Quality of Works / Criteria of Failings:Compliant"),0))</f>
        <v/>
      </c>
      <c r="Z729" s="122">
        <f>IFERROR($Y730/MAX(1,(LEN($I730)-LEN(SUBSTITUTE($I730," Ltd","")))/LEN(" Ltd")),0)</f>
        <v/>
      </c>
      <c r="AA729" s="122">
        <f>IFERROR(IFERROR((LEN($T730)-LEN(SUBSTITUTE($T730,"Quality of Works / Criteria of Failings:","")))/LEN("Quality of Works / Criteria of Failings:"),0)/MAX(1,(LEN($I730)-LEN(SUBSTITUTE($I730," Ltd","")))/LEN(" Ltd")),0)</f>
        <v/>
      </c>
      <c r="AB729" s="122">
        <f>IFERROR(IFERROR((LEN($T730)-LEN(SUBSTITUTE($T730,"Quality of Works / Criteria of Failings:Compliant","")))/LEN("Quality of Works / Criteria of Failings:Compliant"),0)/MAX(1,(LEN($I730)-LEN(SUBSTITUTE($I730," Ltd","")))/LEN(" Ltd")),0)</f>
        <v/>
      </c>
    </row>
    <row r="730" ht="15.75" customHeight="1" s="146">
      <c r="Y730" s="122">
        <f>MAX(0,IFERROR((LEN($T731)-LEN(SUBSTITUTE($T731,"Quality of Works / Criteria of Failings:","")))/LEN("Quality of Works / Criteria of Failings:"),0)-IFERROR((LEN($T731)-LEN(SUBSTITUTE($T731,"Quality of Works / Criteria of Failings:Compliant","")))/LEN("Quality of Works / Criteria of Failings:Compliant"),0))</f>
        <v/>
      </c>
      <c r="Z730" s="122">
        <f>IFERROR($Y731/MAX(1,(LEN($I731)-LEN(SUBSTITUTE($I731," Ltd","")))/LEN(" Ltd")),0)</f>
        <v/>
      </c>
      <c r="AA730" s="122">
        <f>IFERROR(IFERROR((LEN($T731)-LEN(SUBSTITUTE($T731,"Quality of Works / Criteria of Failings:","")))/LEN("Quality of Works / Criteria of Failings:"),0)/MAX(1,(LEN($I731)-LEN(SUBSTITUTE($I731," Ltd","")))/LEN(" Ltd")),0)</f>
        <v/>
      </c>
      <c r="AB730" s="122">
        <f>IFERROR(IFERROR((LEN($T731)-LEN(SUBSTITUTE($T731,"Quality of Works / Criteria of Failings:Compliant","")))/LEN("Quality of Works / Criteria of Failings:Compliant"),0)/MAX(1,(LEN($I731)-LEN(SUBSTITUTE($I731," Ltd","")))/LEN(" Ltd")),0)</f>
        <v/>
      </c>
    </row>
    <row r="731" ht="15.75" customHeight="1" s="146">
      <c r="Y731" s="122">
        <f>MAX(0,IFERROR((LEN($T732)-LEN(SUBSTITUTE($T732,"Quality of Works / Criteria of Failings:","")))/LEN("Quality of Works / Criteria of Failings:"),0)-IFERROR((LEN($T732)-LEN(SUBSTITUTE($T732,"Quality of Works / Criteria of Failings:Compliant","")))/LEN("Quality of Works / Criteria of Failings:Compliant"),0))</f>
        <v/>
      </c>
      <c r="Z731" s="122">
        <f>IFERROR($Y732/MAX(1,(LEN($I732)-LEN(SUBSTITUTE($I732," Ltd","")))/LEN(" Ltd")),0)</f>
        <v/>
      </c>
      <c r="AA731" s="122">
        <f>IFERROR(IFERROR((LEN($T732)-LEN(SUBSTITUTE($T732,"Quality of Works / Criteria of Failings:","")))/LEN("Quality of Works / Criteria of Failings:"),0)/MAX(1,(LEN($I732)-LEN(SUBSTITUTE($I732," Ltd","")))/LEN(" Ltd")),0)</f>
        <v/>
      </c>
      <c r="AB731" s="122">
        <f>IFERROR(IFERROR((LEN($T732)-LEN(SUBSTITUTE($T732,"Quality of Works / Criteria of Failings:Compliant","")))/LEN("Quality of Works / Criteria of Failings:Compliant"),0)/MAX(1,(LEN($I732)-LEN(SUBSTITUTE($I732," Ltd","")))/LEN(" Ltd")),0)</f>
        <v/>
      </c>
    </row>
    <row r="732" ht="15.75" customHeight="1" s="146">
      <c r="Y732" s="122">
        <f>MAX(0,IFERROR((LEN($T733)-LEN(SUBSTITUTE($T733,"Quality of Works / Criteria of Failings:","")))/LEN("Quality of Works / Criteria of Failings:"),0)-IFERROR((LEN($T733)-LEN(SUBSTITUTE($T733,"Quality of Works / Criteria of Failings:Compliant","")))/LEN("Quality of Works / Criteria of Failings:Compliant"),0))</f>
        <v/>
      </c>
      <c r="Z732" s="122">
        <f>IFERROR($Y733/MAX(1,(LEN($I733)-LEN(SUBSTITUTE($I733," Ltd","")))/LEN(" Ltd")),0)</f>
        <v/>
      </c>
      <c r="AA732" s="122">
        <f>IFERROR(IFERROR((LEN($T733)-LEN(SUBSTITUTE($T733,"Quality of Works / Criteria of Failings:","")))/LEN("Quality of Works / Criteria of Failings:"),0)/MAX(1,(LEN($I733)-LEN(SUBSTITUTE($I733," Ltd","")))/LEN(" Ltd")),0)</f>
        <v/>
      </c>
      <c r="AB732" s="122">
        <f>IFERROR(IFERROR((LEN($T733)-LEN(SUBSTITUTE($T733,"Quality of Works / Criteria of Failings:Compliant","")))/LEN("Quality of Works / Criteria of Failings:Compliant"),0)/MAX(1,(LEN($I733)-LEN(SUBSTITUTE($I733," Ltd","")))/LEN(" Ltd")),0)</f>
        <v/>
      </c>
    </row>
    <row r="733" ht="15.75" customHeight="1" s="146">
      <c r="Y733" s="122">
        <f>MAX(0,IFERROR((LEN($T734)-LEN(SUBSTITUTE($T734,"Quality of Works / Criteria of Failings:","")))/LEN("Quality of Works / Criteria of Failings:"),0)-IFERROR((LEN($T734)-LEN(SUBSTITUTE($T734,"Quality of Works / Criteria of Failings:Compliant","")))/LEN("Quality of Works / Criteria of Failings:Compliant"),0))</f>
        <v/>
      </c>
      <c r="Z733" s="122">
        <f>IFERROR($Y734/MAX(1,(LEN($I734)-LEN(SUBSTITUTE($I734," Ltd","")))/LEN(" Ltd")),0)</f>
        <v/>
      </c>
      <c r="AA733" s="122">
        <f>IFERROR(IFERROR((LEN($T734)-LEN(SUBSTITUTE($T734,"Quality of Works / Criteria of Failings:","")))/LEN("Quality of Works / Criteria of Failings:"),0)/MAX(1,(LEN($I734)-LEN(SUBSTITUTE($I734," Ltd","")))/LEN(" Ltd")),0)</f>
        <v/>
      </c>
      <c r="AB733" s="122">
        <f>IFERROR(IFERROR((LEN($T734)-LEN(SUBSTITUTE($T734,"Quality of Works / Criteria of Failings:Compliant","")))/LEN("Quality of Works / Criteria of Failings:Compliant"),0)/MAX(1,(LEN($I734)-LEN(SUBSTITUTE($I734," Ltd","")))/LEN(" Ltd")),0)</f>
        <v/>
      </c>
    </row>
    <row r="734" ht="15.75" customHeight="1" s="146">
      <c r="Y734" s="122">
        <f>MAX(0,IFERROR((LEN($T735)-LEN(SUBSTITUTE($T735,"Quality of Works / Criteria of Failings:","")))/LEN("Quality of Works / Criteria of Failings:"),0)-IFERROR((LEN($T735)-LEN(SUBSTITUTE($T735,"Quality of Works / Criteria of Failings:Compliant","")))/LEN("Quality of Works / Criteria of Failings:Compliant"),0))</f>
        <v/>
      </c>
      <c r="Z734" s="122">
        <f>IFERROR($Y735/MAX(1,(LEN($I735)-LEN(SUBSTITUTE($I735," Ltd","")))/LEN(" Ltd")),0)</f>
        <v/>
      </c>
      <c r="AA734" s="122">
        <f>IFERROR(IFERROR((LEN($T735)-LEN(SUBSTITUTE($T735,"Quality of Works / Criteria of Failings:","")))/LEN("Quality of Works / Criteria of Failings:"),0)/MAX(1,(LEN($I735)-LEN(SUBSTITUTE($I735," Ltd","")))/LEN(" Ltd")),0)</f>
        <v/>
      </c>
      <c r="AB734" s="122">
        <f>IFERROR(IFERROR((LEN($T735)-LEN(SUBSTITUTE($T735,"Quality of Works / Criteria of Failings:Compliant","")))/LEN("Quality of Works / Criteria of Failings:Compliant"),0)/MAX(1,(LEN($I735)-LEN(SUBSTITUTE($I735," Ltd","")))/LEN(" Ltd")),0)</f>
        <v/>
      </c>
    </row>
    <row r="735" ht="15.75" customHeight="1" s="146">
      <c r="Y735" s="122">
        <f>MAX(0,IFERROR((LEN($T736)-LEN(SUBSTITUTE($T736,"Quality of Works / Criteria of Failings:","")))/LEN("Quality of Works / Criteria of Failings:"),0)-IFERROR((LEN($T736)-LEN(SUBSTITUTE($T736,"Quality of Works / Criteria of Failings:Compliant","")))/LEN("Quality of Works / Criteria of Failings:Compliant"),0))</f>
        <v/>
      </c>
      <c r="Z735" s="122">
        <f>IFERROR($Y736/MAX(1,(LEN($I736)-LEN(SUBSTITUTE($I736," Ltd","")))/LEN(" Ltd")),0)</f>
        <v/>
      </c>
      <c r="AA735" s="122">
        <f>IFERROR(IFERROR((LEN($T736)-LEN(SUBSTITUTE($T736,"Quality of Works / Criteria of Failings:","")))/LEN("Quality of Works / Criteria of Failings:"),0)/MAX(1,(LEN($I736)-LEN(SUBSTITUTE($I736," Ltd","")))/LEN(" Ltd")),0)</f>
        <v/>
      </c>
      <c r="AB735" s="122">
        <f>IFERROR(IFERROR((LEN($T736)-LEN(SUBSTITUTE($T736,"Quality of Works / Criteria of Failings:Compliant","")))/LEN("Quality of Works / Criteria of Failings:Compliant"),0)/MAX(1,(LEN($I736)-LEN(SUBSTITUTE($I736," Ltd","")))/LEN(" Ltd")),0)</f>
        <v/>
      </c>
    </row>
    <row r="736" ht="15.75" customHeight="1" s="146">
      <c r="Y736" s="122">
        <f>MAX(0,IFERROR((LEN($T737)-LEN(SUBSTITUTE($T737,"Quality of Works / Criteria of Failings:","")))/LEN("Quality of Works / Criteria of Failings:"),0)-IFERROR((LEN($T737)-LEN(SUBSTITUTE($T737,"Quality of Works / Criteria of Failings:Compliant","")))/LEN("Quality of Works / Criteria of Failings:Compliant"),0))</f>
        <v/>
      </c>
      <c r="Z736" s="122">
        <f>IFERROR($Y737/MAX(1,(LEN($I737)-LEN(SUBSTITUTE($I737," Ltd","")))/LEN(" Ltd")),0)</f>
        <v/>
      </c>
      <c r="AA736" s="122">
        <f>IFERROR(IFERROR((LEN($T737)-LEN(SUBSTITUTE($T737,"Quality of Works / Criteria of Failings:","")))/LEN("Quality of Works / Criteria of Failings:"),0)/MAX(1,(LEN($I737)-LEN(SUBSTITUTE($I737," Ltd","")))/LEN(" Ltd")),0)</f>
        <v/>
      </c>
      <c r="AB736" s="122">
        <f>IFERROR(IFERROR((LEN($T737)-LEN(SUBSTITUTE($T737,"Quality of Works / Criteria of Failings:Compliant","")))/LEN("Quality of Works / Criteria of Failings:Compliant"),0)/MAX(1,(LEN($I737)-LEN(SUBSTITUTE($I737," Ltd","")))/LEN(" Ltd")),0)</f>
        <v/>
      </c>
    </row>
    <row r="737" ht="15.75" customHeight="1" s="146">
      <c r="Y737" s="122">
        <f>MAX(0,IFERROR((LEN($T738)-LEN(SUBSTITUTE($T738,"Quality of Works / Criteria of Failings:","")))/LEN("Quality of Works / Criteria of Failings:"),0)-IFERROR((LEN($T738)-LEN(SUBSTITUTE($T738,"Quality of Works / Criteria of Failings:Compliant","")))/LEN("Quality of Works / Criteria of Failings:Compliant"),0))</f>
        <v/>
      </c>
      <c r="Z737" s="122">
        <f>IFERROR($Y738/MAX(1,(LEN($I738)-LEN(SUBSTITUTE($I738," Ltd","")))/LEN(" Ltd")),0)</f>
        <v/>
      </c>
      <c r="AA737" s="122">
        <f>IFERROR(IFERROR((LEN($T738)-LEN(SUBSTITUTE($T738,"Quality of Works / Criteria of Failings:","")))/LEN("Quality of Works / Criteria of Failings:"),0)/MAX(1,(LEN($I738)-LEN(SUBSTITUTE($I738," Ltd","")))/LEN(" Ltd")),0)</f>
        <v/>
      </c>
      <c r="AB737" s="122">
        <f>IFERROR(IFERROR((LEN($T738)-LEN(SUBSTITUTE($T738,"Quality of Works / Criteria of Failings:Compliant","")))/LEN("Quality of Works / Criteria of Failings:Compliant"),0)/MAX(1,(LEN($I738)-LEN(SUBSTITUTE($I738," Ltd","")))/LEN(" Ltd")),0)</f>
        <v/>
      </c>
    </row>
    <row r="738" ht="15.75" customHeight="1" s="146">
      <c r="Y738" s="122">
        <f>MAX(0,IFERROR((LEN($T739)-LEN(SUBSTITUTE($T739,"Quality of Works / Criteria of Failings:","")))/LEN("Quality of Works / Criteria of Failings:"),0)-IFERROR((LEN($T739)-LEN(SUBSTITUTE($T739,"Quality of Works / Criteria of Failings:Compliant","")))/LEN("Quality of Works / Criteria of Failings:Compliant"),0))</f>
        <v/>
      </c>
      <c r="Z738" s="122">
        <f>IFERROR($Y739/MAX(1,(LEN($I739)-LEN(SUBSTITUTE($I739," Ltd","")))/LEN(" Ltd")),0)</f>
        <v/>
      </c>
      <c r="AA738" s="122">
        <f>IFERROR(IFERROR((LEN($T739)-LEN(SUBSTITUTE($T739,"Quality of Works / Criteria of Failings:","")))/LEN("Quality of Works / Criteria of Failings:"),0)/MAX(1,(LEN($I739)-LEN(SUBSTITUTE($I739," Ltd","")))/LEN(" Ltd")),0)</f>
        <v/>
      </c>
      <c r="AB738" s="122">
        <f>IFERROR(IFERROR((LEN($T739)-LEN(SUBSTITUTE($T739,"Quality of Works / Criteria of Failings:Compliant","")))/LEN("Quality of Works / Criteria of Failings:Compliant"),0)/MAX(1,(LEN($I739)-LEN(SUBSTITUTE($I739," Ltd","")))/LEN(" Ltd")),0)</f>
        <v/>
      </c>
    </row>
    <row r="739" ht="15.75" customHeight="1" s="146">
      <c r="Y739" s="122">
        <f>MAX(0,IFERROR((LEN($T740)-LEN(SUBSTITUTE($T740,"Quality of Works / Criteria of Failings:","")))/LEN("Quality of Works / Criteria of Failings:"),0)-IFERROR((LEN($T740)-LEN(SUBSTITUTE($T740,"Quality of Works / Criteria of Failings:Compliant","")))/LEN("Quality of Works / Criteria of Failings:Compliant"),0))</f>
        <v/>
      </c>
      <c r="Z739" s="122">
        <f>IFERROR($Y740/MAX(1,(LEN($I740)-LEN(SUBSTITUTE($I740," Ltd","")))/LEN(" Ltd")),0)</f>
        <v/>
      </c>
      <c r="AA739" s="122">
        <f>IFERROR(IFERROR((LEN($T740)-LEN(SUBSTITUTE($T740,"Quality of Works / Criteria of Failings:","")))/LEN("Quality of Works / Criteria of Failings:"),0)/MAX(1,(LEN($I740)-LEN(SUBSTITUTE($I740," Ltd","")))/LEN(" Ltd")),0)</f>
        <v/>
      </c>
      <c r="AB739" s="122">
        <f>IFERROR(IFERROR((LEN($T740)-LEN(SUBSTITUTE($T740,"Quality of Works / Criteria of Failings:Compliant","")))/LEN("Quality of Works / Criteria of Failings:Compliant"),0)/MAX(1,(LEN($I740)-LEN(SUBSTITUTE($I740," Ltd","")))/LEN(" Ltd")),0)</f>
        <v/>
      </c>
    </row>
    <row r="740" ht="15.75" customHeight="1" s="146">
      <c r="Y740" s="122">
        <f>MAX(0,IFERROR((LEN($T741)-LEN(SUBSTITUTE($T741,"Quality of Works / Criteria of Failings:","")))/LEN("Quality of Works / Criteria of Failings:"),0)-IFERROR((LEN($T741)-LEN(SUBSTITUTE($T741,"Quality of Works / Criteria of Failings:Compliant","")))/LEN("Quality of Works / Criteria of Failings:Compliant"),0))</f>
        <v/>
      </c>
      <c r="Z740" s="122">
        <f>IFERROR($Y741/MAX(1,(LEN($I741)-LEN(SUBSTITUTE($I741," Ltd","")))/LEN(" Ltd")),0)</f>
        <v/>
      </c>
      <c r="AA740" s="122">
        <f>IFERROR(IFERROR((LEN($T741)-LEN(SUBSTITUTE($T741,"Quality of Works / Criteria of Failings:","")))/LEN("Quality of Works / Criteria of Failings:"),0)/MAX(1,(LEN($I741)-LEN(SUBSTITUTE($I741," Ltd","")))/LEN(" Ltd")),0)</f>
        <v/>
      </c>
      <c r="AB740" s="122">
        <f>IFERROR(IFERROR((LEN($T741)-LEN(SUBSTITUTE($T741,"Quality of Works / Criteria of Failings:Compliant","")))/LEN("Quality of Works / Criteria of Failings:Compliant"),0)/MAX(1,(LEN($I741)-LEN(SUBSTITUTE($I741," Ltd","")))/LEN(" Ltd")),0)</f>
        <v/>
      </c>
    </row>
    <row r="741" ht="15.75" customHeight="1" s="146">
      <c r="Y741" s="122">
        <f>MAX(0,IFERROR((LEN($T742)-LEN(SUBSTITUTE($T742,"Quality of Works / Criteria of Failings:","")))/LEN("Quality of Works / Criteria of Failings:"),0)-IFERROR((LEN($T742)-LEN(SUBSTITUTE($T742,"Quality of Works / Criteria of Failings:Compliant","")))/LEN("Quality of Works / Criteria of Failings:Compliant"),0))</f>
        <v/>
      </c>
      <c r="Z741" s="122">
        <f>IFERROR($Y742/MAX(1,(LEN($I742)-LEN(SUBSTITUTE($I742," Ltd","")))/LEN(" Ltd")),0)</f>
        <v/>
      </c>
      <c r="AA741" s="122">
        <f>IFERROR(IFERROR((LEN($T742)-LEN(SUBSTITUTE($T742,"Quality of Works / Criteria of Failings:","")))/LEN("Quality of Works / Criteria of Failings:"),0)/MAX(1,(LEN($I742)-LEN(SUBSTITUTE($I742," Ltd","")))/LEN(" Ltd")),0)</f>
        <v/>
      </c>
      <c r="AB741" s="122">
        <f>IFERROR(IFERROR((LEN($T742)-LEN(SUBSTITUTE($T742,"Quality of Works / Criteria of Failings:Compliant","")))/LEN("Quality of Works / Criteria of Failings:Compliant"),0)/MAX(1,(LEN($I742)-LEN(SUBSTITUTE($I742," Ltd","")))/LEN(" Ltd")),0)</f>
        <v/>
      </c>
    </row>
    <row r="742" ht="15.75" customHeight="1" s="146">
      <c r="Y742" s="122">
        <f>MAX(0,IFERROR((LEN($T743)-LEN(SUBSTITUTE($T743,"Quality of Works / Criteria of Failings:","")))/LEN("Quality of Works / Criteria of Failings:"),0)-IFERROR((LEN($T743)-LEN(SUBSTITUTE($T743,"Quality of Works / Criteria of Failings:Compliant","")))/LEN("Quality of Works / Criteria of Failings:Compliant"),0))</f>
        <v/>
      </c>
      <c r="Z742" s="122">
        <f>IFERROR($Y743/MAX(1,(LEN($I743)-LEN(SUBSTITUTE($I743," Ltd","")))/LEN(" Ltd")),0)</f>
        <v/>
      </c>
      <c r="AA742" s="122">
        <f>IFERROR(IFERROR((LEN($T743)-LEN(SUBSTITUTE($T743,"Quality of Works / Criteria of Failings:","")))/LEN("Quality of Works / Criteria of Failings:"),0)/MAX(1,(LEN($I743)-LEN(SUBSTITUTE($I743," Ltd","")))/LEN(" Ltd")),0)</f>
        <v/>
      </c>
      <c r="AB742" s="122">
        <f>IFERROR(IFERROR((LEN($T743)-LEN(SUBSTITUTE($T743,"Quality of Works / Criteria of Failings:Compliant","")))/LEN("Quality of Works / Criteria of Failings:Compliant"),0)/MAX(1,(LEN($I743)-LEN(SUBSTITUTE($I743," Ltd","")))/LEN(" Ltd")),0)</f>
        <v/>
      </c>
    </row>
    <row r="743" ht="15.75" customHeight="1" s="146">
      <c r="Y743" s="122">
        <f>MAX(0,IFERROR((LEN($T744)-LEN(SUBSTITUTE($T744,"Quality of Works / Criteria of Failings:","")))/LEN("Quality of Works / Criteria of Failings:"),0)-IFERROR((LEN($T744)-LEN(SUBSTITUTE($T744,"Quality of Works / Criteria of Failings:Compliant","")))/LEN("Quality of Works / Criteria of Failings:Compliant"),0))</f>
        <v/>
      </c>
      <c r="Z743" s="122">
        <f>IFERROR($Y744/MAX(1,(LEN($I744)-LEN(SUBSTITUTE($I744," Ltd","")))/LEN(" Ltd")),0)</f>
        <v/>
      </c>
      <c r="AA743" s="122">
        <f>IFERROR(IFERROR((LEN($T744)-LEN(SUBSTITUTE($T744,"Quality of Works / Criteria of Failings:","")))/LEN("Quality of Works / Criteria of Failings:"),0)/MAX(1,(LEN($I744)-LEN(SUBSTITUTE($I744," Ltd","")))/LEN(" Ltd")),0)</f>
        <v/>
      </c>
      <c r="AB743" s="122">
        <f>IFERROR(IFERROR((LEN($T744)-LEN(SUBSTITUTE($T744,"Quality of Works / Criteria of Failings:Compliant","")))/LEN("Quality of Works / Criteria of Failings:Compliant"),0)/MAX(1,(LEN($I744)-LEN(SUBSTITUTE($I744," Ltd","")))/LEN(" Ltd")),0)</f>
        <v/>
      </c>
    </row>
    <row r="744" ht="15.75" customHeight="1" s="146">
      <c r="Y744" s="122">
        <f>MAX(0,IFERROR((LEN($T745)-LEN(SUBSTITUTE($T745,"Quality of Works / Criteria of Failings:","")))/LEN("Quality of Works / Criteria of Failings:"),0)-IFERROR((LEN($T745)-LEN(SUBSTITUTE($T745,"Quality of Works / Criteria of Failings:Compliant","")))/LEN("Quality of Works / Criteria of Failings:Compliant"),0))</f>
        <v/>
      </c>
      <c r="Z744" s="122">
        <f>IFERROR($Y745/MAX(1,(LEN($I745)-LEN(SUBSTITUTE($I745," Ltd","")))/LEN(" Ltd")),0)</f>
        <v/>
      </c>
      <c r="AA744" s="122">
        <f>IFERROR(IFERROR((LEN($T745)-LEN(SUBSTITUTE($T745,"Quality of Works / Criteria of Failings:","")))/LEN("Quality of Works / Criteria of Failings:"),0)/MAX(1,(LEN($I745)-LEN(SUBSTITUTE($I745," Ltd","")))/LEN(" Ltd")),0)</f>
        <v/>
      </c>
      <c r="AB744" s="122">
        <f>IFERROR(IFERROR((LEN($T745)-LEN(SUBSTITUTE($T745,"Quality of Works / Criteria of Failings:Compliant","")))/LEN("Quality of Works / Criteria of Failings:Compliant"),0)/MAX(1,(LEN($I745)-LEN(SUBSTITUTE($I745," Ltd","")))/LEN(" Ltd")),0)</f>
        <v/>
      </c>
    </row>
    <row r="745" ht="15.75" customHeight="1" s="146">
      <c r="Y745" s="122">
        <f>MAX(0,IFERROR((LEN($T746)-LEN(SUBSTITUTE($T746,"Quality of Works / Criteria of Failings:","")))/LEN("Quality of Works / Criteria of Failings:"),0)-IFERROR((LEN($T746)-LEN(SUBSTITUTE($T746,"Quality of Works / Criteria of Failings:Compliant","")))/LEN("Quality of Works / Criteria of Failings:Compliant"),0))</f>
        <v/>
      </c>
      <c r="Z745" s="122">
        <f>IFERROR($Y746/MAX(1,(LEN($I746)-LEN(SUBSTITUTE($I746," Ltd","")))/LEN(" Ltd")),0)</f>
        <v/>
      </c>
      <c r="AA745" s="122">
        <f>IFERROR(IFERROR((LEN($T746)-LEN(SUBSTITUTE($T746,"Quality of Works / Criteria of Failings:","")))/LEN("Quality of Works / Criteria of Failings:"),0)/MAX(1,(LEN($I746)-LEN(SUBSTITUTE($I746," Ltd","")))/LEN(" Ltd")),0)</f>
        <v/>
      </c>
      <c r="AB745" s="122">
        <f>IFERROR(IFERROR((LEN($T746)-LEN(SUBSTITUTE($T746,"Quality of Works / Criteria of Failings:Compliant","")))/LEN("Quality of Works / Criteria of Failings:Compliant"),0)/MAX(1,(LEN($I746)-LEN(SUBSTITUTE($I746," Ltd","")))/LEN(" Ltd")),0)</f>
        <v/>
      </c>
    </row>
    <row r="746" ht="15.75" customHeight="1" s="146">
      <c r="Y746" s="122">
        <f>MAX(0,IFERROR((LEN($T747)-LEN(SUBSTITUTE($T747,"Quality of Works / Criteria of Failings:","")))/LEN("Quality of Works / Criteria of Failings:"),0)-IFERROR((LEN($T747)-LEN(SUBSTITUTE($T747,"Quality of Works / Criteria of Failings:Compliant","")))/LEN("Quality of Works / Criteria of Failings:Compliant"),0))</f>
        <v/>
      </c>
      <c r="Z746" s="122">
        <f>IFERROR($Y747/MAX(1,(LEN($I747)-LEN(SUBSTITUTE($I747," Ltd","")))/LEN(" Ltd")),0)</f>
        <v/>
      </c>
      <c r="AA746" s="122">
        <f>IFERROR(IFERROR((LEN($T747)-LEN(SUBSTITUTE($T747,"Quality of Works / Criteria of Failings:","")))/LEN("Quality of Works / Criteria of Failings:"),0)/MAX(1,(LEN($I747)-LEN(SUBSTITUTE($I747," Ltd","")))/LEN(" Ltd")),0)</f>
        <v/>
      </c>
      <c r="AB746" s="122">
        <f>IFERROR(IFERROR((LEN($T747)-LEN(SUBSTITUTE($T747,"Quality of Works / Criteria of Failings:Compliant","")))/LEN("Quality of Works / Criteria of Failings:Compliant"),0)/MAX(1,(LEN($I747)-LEN(SUBSTITUTE($I747," Ltd","")))/LEN(" Ltd")),0)</f>
        <v/>
      </c>
    </row>
    <row r="747" ht="15.75" customHeight="1" s="146">
      <c r="Y747" s="122">
        <f>MAX(0,IFERROR((LEN($T748)-LEN(SUBSTITUTE($T748,"Quality of Works / Criteria of Failings:","")))/LEN("Quality of Works / Criteria of Failings:"),0)-IFERROR((LEN($T748)-LEN(SUBSTITUTE($T748,"Quality of Works / Criteria of Failings:Compliant","")))/LEN("Quality of Works / Criteria of Failings:Compliant"),0))</f>
        <v/>
      </c>
      <c r="Z747" s="122">
        <f>IFERROR($Y748/MAX(1,(LEN($I748)-LEN(SUBSTITUTE($I748," Ltd","")))/LEN(" Ltd")),0)</f>
        <v/>
      </c>
      <c r="AA747" s="122">
        <f>IFERROR(IFERROR((LEN($T748)-LEN(SUBSTITUTE($T748,"Quality of Works / Criteria of Failings:","")))/LEN("Quality of Works / Criteria of Failings:"),0)/MAX(1,(LEN($I748)-LEN(SUBSTITUTE($I748," Ltd","")))/LEN(" Ltd")),0)</f>
        <v/>
      </c>
      <c r="AB747" s="122">
        <f>IFERROR(IFERROR((LEN($T748)-LEN(SUBSTITUTE($T748,"Quality of Works / Criteria of Failings:Compliant","")))/LEN("Quality of Works / Criteria of Failings:Compliant"),0)/MAX(1,(LEN($I748)-LEN(SUBSTITUTE($I748," Ltd","")))/LEN(" Ltd")),0)</f>
        <v/>
      </c>
    </row>
    <row r="748" ht="15.75" customHeight="1" s="146">
      <c r="Y748" s="122">
        <f>MAX(0,IFERROR((LEN($T749)-LEN(SUBSTITUTE($T749,"Quality of Works / Criteria of Failings:","")))/LEN("Quality of Works / Criteria of Failings:"),0)-IFERROR((LEN($T749)-LEN(SUBSTITUTE($T749,"Quality of Works / Criteria of Failings:Compliant","")))/LEN("Quality of Works / Criteria of Failings:Compliant"),0))</f>
        <v/>
      </c>
      <c r="Z748" s="122">
        <f>IFERROR($Y749/MAX(1,(LEN($I749)-LEN(SUBSTITUTE($I749," Ltd","")))/LEN(" Ltd")),0)</f>
        <v/>
      </c>
      <c r="AA748" s="122">
        <f>IFERROR(IFERROR((LEN($T749)-LEN(SUBSTITUTE($T749,"Quality of Works / Criteria of Failings:","")))/LEN("Quality of Works / Criteria of Failings:"),0)/MAX(1,(LEN($I749)-LEN(SUBSTITUTE($I749," Ltd","")))/LEN(" Ltd")),0)</f>
        <v/>
      </c>
      <c r="AB748" s="122">
        <f>IFERROR(IFERROR((LEN($T749)-LEN(SUBSTITUTE($T749,"Quality of Works / Criteria of Failings:Compliant","")))/LEN("Quality of Works / Criteria of Failings:Compliant"),0)/MAX(1,(LEN($I749)-LEN(SUBSTITUTE($I749," Ltd","")))/LEN(" Ltd")),0)</f>
        <v/>
      </c>
    </row>
    <row r="749" ht="15.75" customHeight="1" s="146">
      <c r="Y749" s="122">
        <f>MAX(0,IFERROR((LEN($T750)-LEN(SUBSTITUTE($T750,"Quality of Works / Criteria of Failings:","")))/LEN("Quality of Works / Criteria of Failings:"),0)-IFERROR((LEN($T750)-LEN(SUBSTITUTE($T750,"Quality of Works / Criteria of Failings:Compliant","")))/LEN("Quality of Works / Criteria of Failings:Compliant"),0))</f>
        <v/>
      </c>
      <c r="Z749" s="122">
        <f>IFERROR($Y750/MAX(1,(LEN($I750)-LEN(SUBSTITUTE($I750," Ltd","")))/LEN(" Ltd")),0)</f>
        <v/>
      </c>
      <c r="AA749" s="122">
        <f>IFERROR(IFERROR((LEN($T750)-LEN(SUBSTITUTE($T750,"Quality of Works / Criteria of Failings:","")))/LEN("Quality of Works / Criteria of Failings:"),0)/MAX(1,(LEN($I750)-LEN(SUBSTITUTE($I750," Ltd","")))/LEN(" Ltd")),0)</f>
        <v/>
      </c>
      <c r="AB749" s="122">
        <f>IFERROR(IFERROR((LEN($T750)-LEN(SUBSTITUTE($T750,"Quality of Works / Criteria of Failings:Compliant","")))/LEN("Quality of Works / Criteria of Failings:Compliant"),0)/MAX(1,(LEN($I750)-LEN(SUBSTITUTE($I750," Ltd","")))/LEN(" Ltd")),0)</f>
        <v/>
      </c>
    </row>
    <row r="750" ht="15.75" customHeight="1" s="146">
      <c r="Y750" s="122">
        <f>MAX(0,IFERROR((LEN($T751)-LEN(SUBSTITUTE($T751,"Quality of Works / Criteria of Failings:","")))/LEN("Quality of Works / Criteria of Failings:"),0)-IFERROR((LEN($T751)-LEN(SUBSTITUTE($T751,"Quality of Works / Criteria of Failings:Compliant","")))/LEN("Quality of Works / Criteria of Failings:Compliant"),0))</f>
        <v/>
      </c>
      <c r="Z750" s="122">
        <f>IFERROR($Y751/MAX(1,(LEN($I751)-LEN(SUBSTITUTE($I751," Ltd","")))/LEN(" Ltd")),0)</f>
        <v/>
      </c>
      <c r="AA750" s="122">
        <f>IFERROR(IFERROR((LEN($T751)-LEN(SUBSTITUTE($T751,"Quality of Works / Criteria of Failings:","")))/LEN("Quality of Works / Criteria of Failings:"),0)/MAX(1,(LEN($I751)-LEN(SUBSTITUTE($I751," Ltd","")))/LEN(" Ltd")),0)</f>
        <v/>
      </c>
      <c r="AB750" s="122">
        <f>IFERROR(IFERROR((LEN($T751)-LEN(SUBSTITUTE($T751,"Quality of Works / Criteria of Failings:Compliant","")))/LEN("Quality of Works / Criteria of Failings:Compliant"),0)/MAX(1,(LEN($I751)-LEN(SUBSTITUTE($I751," Ltd","")))/LEN(" Ltd")),0)</f>
        <v/>
      </c>
    </row>
    <row r="751" ht="15.75" customHeight="1" s="146">
      <c r="Y751" s="122">
        <f>MAX(0,IFERROR((LEN($T752)-LEN(SUBSTITUTE($T752,"Quality of Works / Criteria of Failings:","")))/LEN("Quality of Works / Criteria of Failings:"),0)-IFERROR((LEN($T752)-LEN(SUBSTITUTE($T752,"Quality of Works / Criteria of Failings:Compliant","")))/LEN("Quality of Works / Criteria of Failings:Compliant"),0))</f>
        <v/>
      </c>
      <c r="Z751" s="122">
        <f>IFERROR($Y752/MAX(1,(LEN($I752)-LEN(SUBSTITUTE($I752," Ltd","")))/LEN(" Ltd")),0)</f>
        <v/>
      </c>
      <c r="AA751" s="122">
        <f>IFERROR(IFERROR((LEN($T752)-LEN(SUBSTITUTE($T752,"Quality of Works / Criteria of Failings:","")))/LEN("Quality of Works / Criteria of Failings:"),0)/MAX(1,(LEN($I752)-LEN(SUBSTITUTE($I752," Ltd","")))/LEN(" Ltd")),0)</f>
        <v/>
      </c>
      <c r="AB751" s="122">
        <f>IFERROR(IFERROR((LEN($T752)-LEN(SUBSTITUTE($T752,"Quality of Works / Criteria of Failings:Compliant","")))/LEN("Quality of Works / Criteria of Failings:Compliant"),0)/MAX(1,(LEN($I752)-LEN(SUBSTITUTE($I752," Ltd","")))/LEN(" Ltd")),0)</f>
        <v/>
      </c>
    </row>
    <row r="752" ht="15.75" customHeight="1" s="146">
      <c r="Y752" s="122">
        <f>MAX(0,IFERROR((LEN($T753)-LEN(SUBSTITUTE($T753,"Quality of Works / Criteria of Failings:","")))/LEN("Quality of Works / Criteria of Failings:"),0)-IFERROR((LEN($T753)-LEN(SUBSTITUTE($T753,"Quality of Works / Criteria of Failings:Compliant","")))/LEN("Quality of Works / Criteria of Failings:Compliant"),0))</f>
        <v/>
      </c>
      <c r="Z752" s="122">
        <f>IFERROR($Y753/MAX(1,(LEN($I753)-LEN(SUBSTITUTE($I753," Ltd","")))/LEN(" Ltd")),0)</f>
        <v/>
      </c>
      <c r="AA752" s="122">
        <f>IFERROR(IFERROR((LEN($T753)-LEN(SUBSTITUTE($T753,"Quality of Works / Criteria of Failings:","")))/LEN("Quality of Works / Criteria of Failings:"),0)/MAX(1,(LEN($I753)-LEN(SUBSTITUTE($I753," Ltd","")))/LEN(" Ltd")),0)</f>
        <v/>
      </c>
      <c r="AB752" s="122">
        <f>IFERROR(IFERROR((LEN($T753)-LEN(SUBSTITUTE($T753,"Quality of Works / Criteria of Failings:Compliant","")))/LEN("Quality of Works / Criteria of Failings:Compliant"),0)/MAX(1,(LEN($I753)-LEN(SUBSTITUTE($I753," Ltd","")))/LEN(" Ltd")),0)</f>
        <v/>
      </c>
    </row>
    <row r="753" ht="15.75" customHeight="1" s="146">
      <c r="Y753" s="122">
        <f>MAX(0,IFERROR((LEN($T754)-LEN(SUBSTITUTE($T754,"Quality of Works / Criteria of Failings:","")))/LEN("Quality of Works / Criteria of Failings:"),0)-IFERROR((LEN($T754)-LEN(SUBSTITUTE($T754,"Quality of Works / Criteria of Failings:Compliant","")))/LEN("Quality of Works / Criteria of Failings:Compliant"),0))</f>
        <v/>
      </c>
      <c r="Z753" s="122">
        <f>IFERROR($Y754/MAX(1,(LEN($I754)-LEN(SUBSTITUTE($I754," Ltd","")))/LEN(" Ltd")),0)</f>
        <v/>
      </c>
      <c r="AA753" s="122">
        <f>IFERROR(IFERROR((LEN($T754)-LEN(SUBSTITUTE($T754,"Quality of Works / Criteria of Failings:","")))/LEN("Quality of Works / Criteria of Failings:"),0)/MAX(1,(LEN($I754)-LEN(SUBSTITUTE($I754," Ltd","")))/LEN(" Ltd")),0)</f>
        <v/>
      </c>
      <c r="AB753" s="122">
        <f>IFERROR(IFERROR((LEN($T754)-LEN(SUBSTITUTE($T754,"Quality of Works / Criteria of Failings:Compliant","")))/LEN("Quality of Works / Criteria of Failings:Compliant"),0)/MAX(1,(LEN($I754)-LEN(SUBSTITUTE($I754," Ltd","")))/LEN(" Ltd")),0)</f>
        <v/>
      </c>
    </row>
    <row r="754" ht="15.75" customHeight="1" s="146">
      <c r="Y754" s="122">
        <f>MAX(0,IFERROR((LEN($T755)-LEN(SUBSTITUTE($T755,"Quality of Works / Criteria of Failings:","")))/LEN("Quality of Works / Criteria of Failings:"),0)-IFERROR((LEN($T755)-LEN(SUBSTITUTE($T755,"Quality of Works / Criteria of Failings:Compliant","")))/LEN("Quality of Works / Criteria of Failings:Compliant"),0))</f>
        <v/>
      </c>
      <c r="Z754" s="122">
        <f>IFERROR($Y755/MAX(1,(LEN($I755)-LEN(SUBSTITUTE($I755," Ltd","")))/LEN(" Ltd")),0)</f>
        <v/>
      </c>
      <c r="AA754" s="122">
        <f>IFERROR(IFERROR((LEN($T755)-LEN(SUBSTITUTE($T755,"Quality of Works / Criteria of Failings:","")))/LEN("Quality of Works / Criteria of Failings:"),0)/MAX(1,(LEN($I755)-LEN(SUBSTITUTE($I755," Ltd","")))/LEN(" Ltd")),0)</f>
        <v/>
      </c>
      <c r="AB754" s="122">
        <f>IFERROR(IFERROR((LEN($T755)-LEN(SUBSTITUTE($T755,"Quality of Works / Criteria of Failings:Compliant","")))/LEN("Quality of Works / Criteria of Failings:Compliant"),0)/MAX(1,(LEN($I755)-LEN(SUBSTITUTE($I755," Ltd","")))/LEN(" Ltd")),0)</f>
        <v/>
      </c>
    </row>
    <row r="755" ht="15.75" customHeight="1" s="146">
      <c r="Y755" s="122">
        <f>MAX(0,IFERROR((LEN($T756)-LEN(SUBSTITUTE($T756,"Quality of Works / Criteria of Failings:","")))/LEN("Quality of Works / Criteria of Failings:"),0)-IFERROR((LEN($T756)-LEN(SUBSTITUTE($T756,"Quality of Works / Criteria of Failings:Compliant","")))/LEN("Quality of Works / Criteria of Failings:Compliant"),0))</f>
        <v/>
      </c>
      <c r="Z755" s="122">
        <f>IFERROR($Y756/MAX(1,(LEN($I756)-LEN(SUBSTITUTE($I756," Ltd","")))/LEN(" Ltd")),0)</f>
        <v/>
      </c>
      <c r="AA755" s="122">
        <f>IFERROR(IFERROR((LEN($T756)-LEN(SUBSTITUTE($T756,"Quality of Works / Criteria of Failings:","")))/LEN("Quality of Works / Criteria of Failings:"),0)/MAX(1,(LEN($I756)-LEN(SUBSTITUTE($I756," Ltd","")))/LEN(" Ltd")),0)</f>
        <v/>
      </c>
      <c r="AB755" s="122">
        <f>IFERROR(IFERROR((LEN($T756)-LEN(SUBSTITUTE($T756,"Quality of Works / Criteria of Failings:Compliant","")))/LEN("Quality of Works / Criteria of Failings:Compliant"),0)/MAX(1,(LEN($I756)-LEN(SUBSTITUTE($I756," Ltd","")))/LEN(" Ltd")),0)</f>
        <v/>
      </c>
    </row>
    <row r="756" ht="15.75" customHeight="1" s="146">
      <c r="Y756" s="122">
        <f>MAX(0,IFERROR((LEN($T757)-LEN(SUBSTITUTE($T757,"Quality of Works / Criteria of Failings:","")))/LEN("Quality of Works / Criteria of Failings:"),0)-IFERROR((LEN($T757)-LEN(SUBSTITUTE($T757,"Quality of Works / Criteria of Failings:Compliant","")))/LEN("Quality of Works / Criteria of Failings:Compliant"),0))</f>
        <v/>
      </c>
      <c r="Z756" s="122">
        <f>IFERROR($Y757/MAX(1,(LEN($I757)-LEN(SUBSTITUTE($I757," Ltd","")))/LEN(" Ltd")),0)</f>
        <v/>
      </c>
      <c r="AA756" s="122">
        <f>IFERROR(IFERROR((LEN($T757)-LEN(SUBSTITUTE($T757,"Quality of Works / Criteria of Failings:","")))/LEN("Quality of Works / Criteria of Failings:"),0)/MAX(1,(LEN($I757)-LEN(SUBSTITUTE($I757," Ltd","")))/LEN(" Ltd")),0)</f>
        <v/>
      </c>
      <c r="AB756" s="122">
        <f>IFERROR(IFERROR((LEN($T757)-LEN(SUBSTITUTE($T757,"Quality of Works / Criteria of Failings:Compliant","")))/LEN("Quality of Works / Criteria of Failings:Compliant"),0)/MAX(1,(LEN($I757)-LEN(SUBSTITUTE($I757," Ltd","")))/LEN(" Ltd")),0)</f>
        <v/>
      </c>
    </row>
    <row r="757" ht="15.75" customHeight="1" s="146">
      <c r="Y757" s="122">
        <f>MAX(0,IFERROR((LEN($T758)-LEN(SUBSTITUTE($T758,"Quality of Works / Criteria of Failings:","")))/LEN("Quality of Works / Criteria of Failings:"),0)-IFERROR((LEN($T758)-LEN(SUBSTITUTE($T758,"Quality of Works / Criteria of Failings:Compliant","")))/LEN("Quality of Works / Criteria of Failings:Compliant"),0))</f>
        <v/>
      </c>
      <c r="Z757" s="122">
        <f>IFERROR($Y758/MAX(1,(LEN($I758)-LEN(SUBSTITUTE($I758," Ltd","")))/LEN(" Ltd")),0)</f>
        <v/>
      </c>
      <c r="AA757" s="122">
        <f>IFERROR(IFERROR((LEN($T758)-LEN(SUBSTITUTE($T758,"Quality of Works / Criteria of Failings:","")))/LEN("Quality of Works / Criteria of Failings:"),0)/MAX(1,(LEN($I758)-LEN(SUBSTITUTE($I758," Ltd","")))/LEN(" Ltd")),0)</f>
        <v/>
      </c>
      <c r="AB757" s="122">
        <f>IFERROR(IFERROR((LEN($T758)-LEN(SUBSTITUTE($T758,"Quality of Works / Criteria of Failings:Compliant","")))/LEN("Quality of Works / Criteria of Failings:Compliant"),0)/MAX(1,(LEN($I758)-LEN(SUBSTITUTE($I758," Ltd","")))/LEN(" Ltd")),0)</f>
        <v/>
      </c>
    </row>
    <row r="758" ht="15.75" customHeight="1" s="146">
      <c r="Y758" s="122">
        <f>MAX(0,IFERROR((LEN($T759)-LEN(SUBSTITUTE($T759,"Quality of Works / Criteria of Failings:","")))/LEN("Quality of Works / Criteria of Failings:"),0)-IFERROR((LEN($T759)-LEN(SUBSTITUTE($T759,"Quality of Works / Criteria of Failings:Compliant","")))/LEN("Quality of Works / Criteria of Failings:Compliant"),0))</f>
        <v/>
      </c>
      <c r="Z758" s="122">
        <f>IFERROR($Y759/MAX(1,(LEN($I759)-LEN(SUBSTITUTE($I759," Ltd","")))/LEN(" Ltd")),0)</f>
        <v/>
      </c>
      <c r="AA758" s="122">
        <f>IFERROR(IFERROR((LEN($T759)-LEN(SUBSTITUTE($T759,"Quality of Works / Criteria of Failings:","")))/LEN("Quality of Works / Criteria of Failings:"),0)/MAX(1,(LEN($I759)-LEN(SUBSTITUTE($I759," Ltd","")))/LEN(" Ltd")),0)</f>
        <v/>
      </c>
      <c r="AB758" s="122">
        <f>IFERROR(IFERROR((LEN($T759)-LEN(SUBSTITUTE($T759,"Quality of Works / Criteria of Failings:Compliant","")))/LEN("Quality of Works / Criteria of Failings:Compliant"),0)/MAX(1,(LEN($I759)-LEN(SUBSTITUTE($I759," Ltd","")))/LEN(" Ltd")),0)</f>
        <v/>
      </c>
    </row>
    <row r="759" ht="15.75" customHeight="1" s="146">
      <c r="Y759" s="122">
        <f>MAX(0,IFERROR((LEN($T760)-LEN(SUBSTITUTE($T760,"Quality of Works / Criteria of Failings:","")))/LEN("Quality of Works / Criteria of Failings:"),0)-IFERROR((LEN($T760)-LEN(SUBSTITUTE($T760,"Quality of Works / Criteria of Failings:Compliant","")))/LEN("Quality of Works / Criteria of Failings:Compliant"),0))</f>
        <v/>
      </c>
      <c r="Z759" s="122">
        <f>IFERROR($Y760/MAX(1,(LEN($I760)-LEN(SUBSTITUTE($I760," Ltd","")))/LEN(" Ltd")),0)</f>
        <v/>
      </c>
      <c r="AA759" s="122">
        <f>IFERROR(IFERROR((LEN($T760)-LEN(SUBSTITUTE($T760,"Quality of Works / Criteria of Failings:","")))/LEN("Quality of Works / Criteria of Failings:"),0)/MAX(1,(LEN($I760)-LEN(SUBSTITUTE($I760," Ltd","")))/LEN(" Ltd")),0)</f>
        <v/>
      </c>
      <c r="AB759" s="122">
        <f>IFERROR(IFERROR((LEN($T760)-LEN(SUBSTITUTE($T760,"Quality of Works / Criteria of Failings:Compliant","")))/LEN("Quality of Works / Criteria of Failings:Compliant"),0)/MAX(1,(LEN($I760)-LEN(SUBSTITUTE($I760," Ltd","")))/LEN(" Ltd")),0)</f>
        <v/>
      </c>
    </row>
    <row r="760" ht="15.75" customHeight="1" s="146">
      <c r="Y760" s="122">
        <f>MAX(0,IFERROR((LEN($T761)-LEN(SUBSTITUTE($T761,"Quality of Works / Criteria of Failings:","")))/LEN("Quality of Works / Criteria of Failings:"),0)-IFERROR((LEN($T761)-LEN(SUBSTITUTE($T761,"Quality of Works / Criteria of Failings:Compliant","")))/LEN("Quality of Works / Criteria of Failings:Compliant"),0))</f>
        <v/>
      </c>
      <c r="Z760" s="122">
        <f>IFERROR($Y761/MAX(1,(LEN($I761)-LEN(SUBSTITUTE($I761," Ltd","")))/LEN(" Ltd")),0)</f>
        <v/>
      </c>
      <c r="AA760" s="122">
        <f>IFERROR(IFERROR((LEN($T761)-LEN(SUBSTITUTE($T761,"Quality of Works / Criteria of Failings:","")))/LEN("Quality of Works / Criteria of Failings:"),0)/MAX(1,(LEN($I761)-LEN(SUBSTITUTE($I761," Ltd","")))/LEN(" Ltd")),0)</f>
        <v/>
      </c>
      <c r="AB760" s="122">
        <f>IFERROR(IFERROR((LEN($T761)-LEN(SUBSTITUTE($T761,"Quality of Works / Criteria of Failings:Compliant","")))/LEN("Quality of Works / Criteria of Failings:Compliant"),0)/MAX(1,(LEN($I761)-LEN(SUBSTITUTE($I761," Ltd","")))/LEN(" Ltd")),0)</f>
        <v/>
      </c>
    </row>
    <row r="761" ht="15.75" customHeight="1" s="146">
      <c r="Y761" s="122">
        <f>MAX(0,IFERROR((LEN($T762)-LEN(SUBSTITUTE($T762,"Quality of Works / Criteria of Failings:","")))/LEN("Quality of Works / Criteria of Failings:"),0)-IFERROR((LEN($T762)-LEN(SUBSTITUTE($T762,"Quality of Works / Criteria of Failings:Compliant","")))/LEN("Quality of Works / Criteria of Failings:Compliant"),0))</f>
        <v/>
      </c>
      <c r="Z761" s="122">
        <f>IFERROR($Y762/MAX(1,(LEN($I762)-LEN(SUBSTITUTE($I762," Ltd","")))/LEN(" Ltd")),0)</f>
        <v/>
      </c>
      <c r="AA761" s="122">
        <f>IFERROR(IFERROR((LEN($T762)-LEN(SUBSTITUTE($T762,"Quality of Works / Criteria of Failings:","")))/LEN("Quality of Works / Criteria of Failings:"),0)/MAX(1,(LEN($I762)-LEN(SUBSTITUTE($I762," Ltd","")))/LEN(" Ltd")),0)</f>
        <v/>
      </c>
      <c r="AB761" s="122">
        <f>IFERROR(IFERROR((LEN($T762)-LEN(SUBSTITUTE($T762,"Quality of Works / Criteria of Failings:Compliant","")))/LEN("Quality of Works / Criteria of Failings:Compliant"),0)/MAX(1,(LEN($I762)-LEN(SUBSTITUTE($I762," Ltd","")))/LEN(" Ltd")),0)</f>
        <v/>
      </c>
    </row>
    <row r="762" ht="15.75" customHeight="1" s="146">
      <c r="Y762" s="122">
        <f>MAX(0,IFERROR((LEN($T763)-LEN(SUBSTITUTE($T763,"Quality of Works / Criteria of Failings:","")))/LEN("Quality of Works / Criteria of Failings:"),0)-IFERROR((LEN($T763)-LEN(SUBSTITUTE($T763,"Quality of Works / Criteria of Failings:Compliant","")))/LEN("Quality of Works / Criteria of Failings:Compliant"),0))</f>
        <v/>
      </c>
      <c r="Z762" s="122">
        <f>IFERROR($Y763/MAX(1,(LEN($I763)-LEN(SUBSTITUTE($I763," Ltd","")))/LEN(" Ltd")),0)</f>
        <v/>
      </c>
      <c r="AA762" s="122">
        <f>IFERROR(IFERROR((LEN($T763)-LEN(SUBSTITUTE($T763,"Quality of Works / Criteria of Failings:","")))/LEN("Quality of Works / Criteria of Failings:"),0)/MAX(1,(LEN($I763)-LEN(SUBSTITUTE($I763," Ltd","")))/LEN(" Ltd")),0)</f>
        <v/>
      </c>
      <c r="AB762" s="122">
        <f>IFERROR(IFERROR((LEN($T763)-LEN(SUBSTITUTE($T763,"Quality of Works / Criteria of Failings:Compliant","")))/LEN("Quality of Works / Criteria of Failings:Compliant"),0)/MAX(1,(LEN($I763)-LEN(SUBSTITUTE($I763," Ltd","")))/LEN(" Ltd")),0)</f>
        <v/>
      </c>
    </row>
    <row r="763" ht="15.75" customHeight="1" s="146">
      <c r="Y763" s="122">
        <f>MAX(0,IFERROR((LEN($T764)-LEN(SUBSTITUTE($T764,"Quality of Works / Criteria of Failings:","")))/LEN("Quality of Works / Criteria of Failings:"),0)-IFERROR((LEN($T764)-LEN(SUBSTITUTE($T764,"Quality of Works / Criteria of Failings:Compliant","")))/LEN("Quality of Works / Criteria of Failings:Compliant"),0))</f>
        <v/>
      </c>
      <c r="Z763" s="122">
        <f>IFERROR($Y764/MAX(1,(LEN($I764)-LEN(SUBSTITUTE($I764," Ltd","")))/LEN(" Ltd")),0)</f>
        <v/>
      </c>
      <c r="AA763" s="122">
        <f>IFERROR(IFERROR((LEN($T764)-LEN(SUBSTITUTE($T764,"Quality of Works / Criteria of Failings:","")))/LEN("Quality of Works / Criteria of Failings:"),0)/MAX(1,(LEN($I764)-LEN(SUBSTITUTE($I764," Ltd","")))/LEN(" Ltd")),0)</f>
        <v/>
      </c>
      <c r="AB763" s="122">
        <f>IFERROR(IFERROR((LEN($T764)-LEN(SUBSTITUTE($T764,"Quality of Works / Criteria of Failings:Compliant","")))/LEN("Quality of Works / Criteria of Failings:Compliant"),0)/MAX(1,(LEN($I764)-LEN(SUBSTITUTE($I764," Ltd","")))/LEN(" Ltd")),0)</f>
        <v/>
      </c>
    </row>
    <row r="764" ht="15.75" customHeight="1" s="146">
      <c r="Y764" s="122">
        <f>MAX(0,IFERROR((LEN($T765)-LEN(SUBSTITUTE($T765,"Quality of Works / Criteria of Failings:","")))/LEN("Quality of Works / Criteria of Failings:"),0)-IFERROR((LEN($T765)-LEN(SUBSTITUTE($T765,"Quality of Works / Criteria of Failings:Compliant","")))/LEN("Quality of Works / Criteria of Failings:Compliant"),0))</f>
        <v/>
      </c>
      <c r="Z764" s="122">
        <f>IFERROR($Y765/MAX(1,(LEN($I765)-LEN(SUBSTITUTE($I765," Ltd","")))/LEN(" Ltd")),0)</f>
        <v/>
      </c>
      <c r="AA764" s="122">
        <f>IFERROR(IFERROR((LEN($T765)-LEN(SUBSTITUTE($T765,"Quality of Works / Criteria of Failings:","")))/LEN("Quality of Works / Criteria of Failings:"),0)/MAX(1,(LEN($I765)-LEN(SUBSTITUTE($I765," Ltd","")))/LEN(" Ltd")),0)</f>
        <v/>
      </c>
      <c r="AB764" s="122">
        <f>IFERROR(IFERROR((LEN($T765)-LEN(SUBSTITUTE($T765,"Quality of Works / Criteria of Failings:Compliant","")))/LEN("Quality of Works / Criteria of Failings:Compliant"),0)/MAX(1,(LEN($I765)-LEN(SUBSTITUTE($I765," Ltd","")))/LEN(" Ltd")),0)</f>
        <v/>
      </c>
    </row>
    <row r="765" ht="15.75" customHeight="1" s="146">
      <c r="Y765" s="122">
        <f>MAX(0,IFERROR((LEN($T766)-LEN(SUBSTITUTE($T766,"Quality of Works / Criteria of Failings:","")))/LEN("Quality of Works / Criteria of Failings:"),0)-IFERROR((LEN($T766)-LEN(SUBSTITUTE($T766,"Quality of Works / Criteria of Failings:Compliant","")))/LEN("Quality of Works / Criteria of Failings:Compliant"),0))</f>
        <v/>
      </c>
      <c r="Z765" s="122">
        <f>IFERROR($Y766/MAX(1,(LEN($I766)-LEN(SUBSTITUTE($I766," Ltd","")))/LEN(" Ltd")),0)</f>
        <v/>
      </c>
      <c r="AA765" s="122">
        <f>IFERROR(IFERROR((LEN($T766)-LEN(SUBSTITUTE($T766,"Quality of Works / Criteria of Failings:","")))/LEN("Quality of Works / Criteria of Failings:"),0)/MAX(1,(LEN($I766)-LEN(SUBSTITUTE($I766," Ltd","")))/LEN(" Ltd")),0)</f>
        <v/>
      </c>
      <c r="AB765" s="122">
        <f>IFERROR(IFERROR((LEN($T766)-LEN(SUBSTITUTE($T766,"Quality of Works / Criteria of Failings:Compliant","")))/LEN("Quality of Works / Criteria of Failings:Compliant"),0)/MAX(1,(LEN($I766)-LEN(SUBSTITUTE($I766," Ltd","")))/LEN(" Ltd")),0)</f>
        <v/>
      </c>
    </row>
    <row r="766" ht="15.75" customHeight="1" s="146">
      <c r="Y766" s="122">
        <f>MAX(0,IFERROR((LEN($T767)-LEN(SUBSTITUTE($T767,"Quality of Works / Criteria of Failings:","")))/LEN("Quality of Works / Criteria of Failings:"),0)-IFERROR((LEN($T767)-LEN(SUBSTITUTE($T767,"Quality of Works / Criteria of Failings:Compliant","")))/LEN("Quality of Works / Criteria of Failings:Compliant"),0))</f>
        <v/>
      </c>
      <c r="Z766" s="122">
        <f>IFERROR($Y767/MAX(1,(LEN($I767)-LEN(SUBSTITUTE($I767," Ltd","")))/LEN(" Ltd")),0)</f>
        <v/>
      </c>
      <c r="AA766" s="122">
        <f>IFERROR(IFERROR((LEN($T767)-LEN(SUBSTITUTE($T767,"Quality of Works / Criteria of Failings:","")))/LEN("Quality of Works / Criteria of Failings:"),0)/MAX(1,(LEN($I767)-LEN(SUBSTITUTE($I767," Ltd","")))/LEN(" Ltd")),0)</f>
        <v/>
      </c>
      <c r="AB766" s="122">
        <f>IFERROR(IFERROR((LEN($T767)-LEN(SUBSTITUTE($T767,"Quality of Works / Criteria of Failings:Compliant","")))/LEN("Quality of Works / Criteria of Failings:Compliant"),0)/MAX(1,(LEN($I767)-LEN(SUBSTITUTE($I767," Ltd","")))/LEN(" Ltd")),0)</f>
        <v/>
      </c>
    </row>
    <row r="767" ht="15.75" customHeight="1" s="146">
      <c r="Y767" s="122">
        <f>MAX(0,IFERROR((LEN($T768)-LEN(SUBSTITUTE($T768,"Quality of Works / Criteria of Failings:","")))/LEN("Quality of Works / Criteria of Failings:"),0)-IFERROR((LEN($T768)-LEN(SUBSTITUTE($T768,"Quality of Works / Criteria of Failings:Compliant","")))/LEN("Quality of Works / Criteria of Failings:Compliant"),0))</f>
        <v/>
      </c>
      <c r="Z767" s="122">
        <f>IFERROR($Y768/MAX(1,(LEN($I768)-LEN(SUBSTITUTE($I768," Ltd","")))/LEN(" Ltd")),0)</f>
        <v/>
      </c>
      <c r="AA767" s="122">
        <f>IFERROR(IFERROR((LEN($T768)-LEN(SUBSTITUTE($T768,"Quality of Works / Criteria of Failings:","")))/LEN("Quality of Works / Criteria of Failings:"),0)/MAX(1,(LEN($I768)-LEN(SUBSTITUTE($I768," Ltd","")))/LEN(" Ltd")),0)</f>
        <v/>
      </c>
      <c r="AB767" s="122">
        <f>IFERROR(IFERROR((LEN($T768)-LEN(SUBSTITUTE($T768,"Quality of Works / Criteria of Failings:Compliant","")))/LEN("Quality of Works / Criteria of Failings:Compliant"),0)/MAX(1,(LEN($I768)-LEN(SUBSTITUTE($I768," Ltd","")))/LEN(" Ltd")),0)</f>
        <v/>
      </c>
    </row>
    <row r="768" ht="15.75" customHeight="1" s="146">
      <c r="Y768" s="122">
        <f>MAX(0,IFERROR((LEN($T769)-LEN(SUBSTITUTE($T769,"Quality of Works / Criteria of Failings:","")))/LEN("Quality of Works / Criteria of Failings:"),0)-IFERROR((LEN($T769)-LEN(SUBSTITUTE($T769,"Quality of Works / Criteria of Failings:Compliant","")))/LEN("Quality of Works / Criteria of Failings:Compliant"),0))</f>
        <v/>
      </c>
      <c r="Z768" s="122">
        <f>IFERROR($Y769/MAX(1,(LEN($I769)-LEN(SUBSTITUTE($I769," Ltd","")))/LEN(" Ltd")),0)</f>
        <v/>
      </c>
      <c r="AA768" s="122">
        <f>IFERROR(IFERROR((LEN($T769)-LEN(SUBSTITUTE($T769,"Quality of Works / Criteria of Failings:","")))/LEN("Quality of Works / Criteria of Failings:"),0)/MAX(1,(LEN($I769)-LEN(SUBSTITUTE($I769," Ltd","")))/LEN(" Ltd")),0)</f>
        <v/>
      </c>
      <c r="AB768" s="122">
        <f>IFERROR(IFERROR((LEN($T769)-LEN(SUBSTITUTE($T769,"Quality of Works / Criteria of Failings:Compliant","")))/LEN("Quality of Works / Criteria of Failings:Compliant"),0)/MAX(1,(LEN($I769)-LEN(SUBSTITUTE($I769," Ltd","")))/LEN(" Ltd")),0)</f>
        <v/>
      </c>
    </row>
    <row r="769" ht="15.75" customHeight="1" s="146">
      <c r="Y769" s="122">
        <f>MAX(0,IFERROR((LEN($T770)-LEN(SUBSTITUTE($T770,"Quality of Works / Criteria of Failings:","")))/LEN("Quality of Works / Criteria of Failings:"),0)-IFERROR((LEN($T770)-LEN(SUBSTITUTE($T770,"Quality of Works / Criteria of Failings:Compliant","")))/LEN("Quality of Works / Criteria of Failings:Compliant"),0))</f>
        <v/>
      </c>
      <c r="Z769" s="122">
        <f>IFERROR($Y770/MAX(1,(LEN($I770)-LEN(SUBSTITUTE($I770," Ltd","")))/LEN(" Ltd")),0)</f>
        <v/>
      </c>
      <c r="AA769" s="122">
        <f>IFERROR(IFERROR((LEN($T770)-LEN(SUBSTITUTE($T770,"Quality of Works / Criteria of Failings:","")))/LEN("Quality of Works / Criteria of Failings:"),0)/MAX(1,(LEN($I770)-LEN(SUBSTITUTE($I770," Ltd","")))/LEN(" Ltd")),0)</f>
        <v/>
      </c>
      <c r="AB769" s="122">
        <f>IFERROR(IFERROR((LEN($T770)-LEN(SUBSTITUTE($T770,"Quality of Works / Criteria of Failings:Compliant","")))/LEN("Quality of Works / Criteria of Failings:Compliant"),0)/MAX(1,(LEN($I770)-LEN(SUBSTITUTE($I770," Ltd","")))/LEN(" Ltd")),0)</f>
        <v/>
      </c>
    </row>
    <row r="770" ht="15.75" customHeight="1" s="146">
      <c r="Y770" s="122">
        <f>MAX(0,IFERROR((LEN($T771)-LEN(SUBSTITUTE($T771,"Quality of Works / Criteria of Failings:","")))/LEN("Quality of Works / Criteria of Failings:"),0)-IFERROR((LEN($T771)-LEN(SUBSTITUTE($T771,"Quality of Works / Criteria of Failings:Compliant","")))/LEN("Quality of Works / Criteria of Failings:Compliant"),0))</f>
        <v/>
      </c>
      <c r="Z770" s="122">
        <f>IFERROR($Y771/MAX(1,(LEN($I771)-LEN(SUBSTITUTE($I771," Ltd","")))/LEN(" Ltd")),0)</f>
        <v/>
      </c>
      <c r="AA770" s="122">
        <f>IFERROR(IFERROR((LEN($T771)-LEN(SUBSTITUTE($T771,"Quality of Works / Criteria of Failings:","")))/LEN("Quality of Works / Criteria of Failings:"),0)/MAX(1,(LEN($I771)-LEN(SUBSTITUTE($I771," Ltd","")))/LEN(" Ltd")),0)</f>
        <v/>
      </c>
      <c r="AB770" s="122">
        <f>IFERROR(IFERROR((LEN($T771)-LEN(SUBSTITUTE($T771,"Quality of Works / Criteria of Failings:Compliant","")))/LEN("Quality of Works / Criteria of Failings:Compliant"),0)/MAX(1,(LEN($I771)-LEN(SUBSTITUTE($I771," Ltd","")))/LEN(" Ltd")),0)</f>
        <v/>
      </c>
    </row>
    <row r="771" ht="15.75" customHeight="1" s="146">
      <c r="Y771" s="122">
        <f>MAX(0,IFERROR((LEN($T772)-LEN(SUBSTITUTE($T772,"Quality of Works / Criteria of Failings:","")))/LEN("Quality of Works / Criteria of Failings:"),0)-IFERROR((LEN($T772)-LEN(SUBSTITUTE($T772,"Quality of Works / Criteria of Failings:Compliant","")))/LEN("Quality of Works / Criteria of Failings:Compliant"),0))</f>
        <v/>
      </c>
      <c r="Z771" s="122">
        <f>IFERROR($Y772/MAX(1,(LEN($I772)-LEN(SUBSTITUTE($I772," Ltd","")))/LEN(" Ltd")),0)</f>
        <v/>
      </c>
      <c r="AA771" s="122">
        <f>IFERROR(IFERROR((LEN($T772)-LEN(SUBSTITUTE($T772,"Quality of Works / Criteria of Failings:","")))/LEN("Quality of Works / Criteria of Failings:"),0)/MAX(1,(LEN($I772)-LEN(SUBSTITUTE($I772," Ltd","")))/LEN(" Ltd")),0)</f>
        <v/>
      </c>
      <c r="AB771" s="122">
        <f>IFERROR(IFERROR((LEN($T772)-LEN(SUBSTITUTE($T772,"Quality of Works / Criteria of Failings:Compliant","")))/LEN("Quality of Works / Criteria of Failings:Compliant"),0)/MAX(1,(LEN($I772)-LEN(SUBSTITUTE($I772," Ltd","")))/LEN(" Ltd")),0)</f>
        <v/>
      </c>
    </row>
    <row r="772" ht="15.75" customHeight="1" s="146">
      <c r="Y772" s="122">
        <f>MAX(0,IFERROR((LEN($T773)-LEN(SUBSTITUTE($T773,"Quality of Works / Criteria of Failings:","")))/LEN("Quality of Works / Criteria of Failings:"),0)-IFERROR((LEN($T773)-LEN(SUBSTITUTE($T773,"Quality of Works / Criteria of Failings:Compliant","")))/LEN("Quality of Works / Criteria of Failings:Compliant"),0))</f>
        <v/>
      </c>
      <c r="Z772" s="122">
        <f>IFERROR($Y773/MAX(1,(LEN($I773)-LEN(SUBSTITUTE($I773," Ltd","")))/LEN(" Ltd")),0)</f>
        <v/>
      </c>
      <c r="AA772" s="122">
        <f>IFERROR(IFERROR((LEN($T773)-LEN(SUBSTITUTE($T773,"Quality of Works / Criteria of Failings:","")))/LEN("Quality of Works / Criteria of Failings:"),0)/MAX(1,(LEN($I773)-LEN(SUBSTITUTE($I773," Ltd","")))/LEN(" Ltd")),0)</f>
        <v/>
      </c>
      <c r="AB772" s="122">
        <f>IFERROR(IFERROR((LEN($T773)-LEN(SUBSTITUTE($T773,"Quality of Works / Criteria of Failings:Compliant","")))/LEN("Quality of Works / Criteria of Failings:Compliant"),0)/MAX(1,(LEN($I773)-LEN(SUBSTITUTE($I773," Ltd","")))/LEN(" Ltd")),0)</f>
        <v/>
      </c>
    </row>
    <row r="773" ht="15.75" customHeight="1" s="146">
      <c r="Y773" s="122">
        <f>MAX(0,IFERROR((LEN($T774)-LEN(SUBSTITUTE($T774,"Quality of Works / Criteria of Failings:","")))/LEN("Quality of Works / Criteria of Failings:"),0)-IFERROR((LEN($T774)-LEN(SUBSTITUTE($T774,"Quality of Works / Criteria of Failings:Compliant","")))/LEN("Quality of Works / Criteria of Failings:Compliant"),0))</f>
        <v/>
      </c>
      <c r="Z773" s="122">
        <f>IFERROR($Y774/MAX(1,(LEN($I774)-LEN(SUBSTITUTE($I774," Ltd","")))/LEN(" Ltd")),0)</f>
        <v/>
      </c>
      <c r="AA773" s="122">
        <f>IFERROR(IFERROR((LEN($T774)-LEN(SUBSTITUTE($T774,"Quality of Works / Criteria of Failings:","")))/LEN("Quality of Works / Criteria of Failings:"),0)/MAX(1,(LEN($I774)-LEN(SUBSTITUTE($I774," Ltd","")))/LEN(" Ltd")),0)</f>
        <v/>
      </c>
      <c r="AB773" s="122">
        <f>IFERROR(IFERROR((LEN($T774)-LEN(SUBSTITUTE($T774,"Quality of Works / Criteria of Failings:Compliant","")))/LEN("Quality of Works / Criteria of Failings:Compliant"),0)/MAX(1,(LEN($I774)-LEN(SUBSTITUTE($I774," Ltd","")))/LEN(" Ltd")),0)</f>
        <v/>
      </c>
    </row>
    <row r="774" ht="15.75" customHeight="1" s="146">
      <c r="Y774" s="122">
        <f>MAX(0,IFERROR((LEN($T775)-LEN(SUBSTITUTE($T775,"Quality of Works / Criteria of Failings:","")))/LEN("Quality of Works / Criteria of Failings:"),0)-IFERROR((LEN($T775)-LEN(SUBSTITUTE($T775,"Quality of Works / Criteria of Failings:Compliant","")))/LEN("Quality of Works / Criteria of Failings:Compliant"),0))</f>
        <v/>
      </c>
      <c r="Z774" s="122">
        <f>IFERROR($Y775/MAX(1,(LEN($I775)-LEN(SUBSTITUTE($I775," Ltd","")))/LEN(" Ltd")),0)</f>
        <v/>
      </c>
      <c r="AA774" s="122">
        <f>IFERROR(IFERROR((LEN($T775)-LEN(SUBSTITUTE($T775,"Quality of Works / Criteria of Failings:","")))/LEN("Quality of Works / Criteria of Failings:"),0)/MAX(1,(LEN($I775)-LEN(SUBSTITUTE($I775," Ltd","")))/LEN(" Ltd")),0)</f>
        <v/>
      </c>
      <c r="AB774" s="122">
        <f>IFERROR(IFERROR((LEN($T775)-LEN(SUBSTITUTE($T775,"Quality of Works / Criteria of Failings:Compliant","")))/LEN("Quality of Works / Criteria of Failings:Compliant"),0)/MAX(1,(LEN($I775)-LEN(SUBSTITUTE($I775," Ltd","")))/LEN(" Ltd")),0)</f>
        <v/>
      </c>
    </row>
    <row r="775" ht="15.75" customHeight="1" s="146">
      <c r="Y775" s="122">
        <f>MAX(0,IFERROR((LEN($T776)-LEN(SUBSTITUTE($T776,"Quality of Works / Criteria of Failings:","")))/LEN("Quality of Works / Criteria of Failings:"),0)-IFERROR((LEN($T776)-LEN(SUBSTITUTE($T776,"Quality of Works / Criteria of Failings:Compliant","")))/LEN("Quality of Works / Criteria of Failings:Compliant"),0))</f>
        <v/>
      </c>
      <c r="Z775" s="122">
        <f>IFERROR($Y776/MAX(1,(LEN($I776)-LEN(SUBSTITUTE($I776," Ltd","")))/LEN(" Ltd")),0)</f>
        <v/>
      </c>
      <c r="AA775" s="122">
        <f>IFERROR(IFERROR((LEN($T776)-LEN(SUBSTITUTE($T776,"Quality of Works / Criteria of Failings:","")))/LEN("Quality of Works / Criteria of Failings:"),0)/MAX(1,(LEN($I776)-LEN(SUBSTITUTE($I776," Ltd","")))/LEN(" Ltd")),0)</f>
        <v/>
      </c>
      <c r="AB775" s="122">
        <f>IFERROR(IFERROR((LEN($T776)-LEN(SUBSTITUTE($T776,"Quality of Works / Criteria of Failings:Compliant","")))/LEN("Quality of Works / Criteria of Failings:Compliant"),0)/MAX(1,(LEN($I776)-LEN(SUBSTITUTE($I776," Ltd","")))/LEN(" Ltd")),0)</f>
        <v/>
      </c>
    </row>
    <row r="776" ht="15.75" customHeight="1" s="146">
      <c r="Y776" s="122">
        <f>MAX(0,IFERROR((LEN($T777)-LEN(SUBSTITUTE($T777,"Quality of Works / Criteria of Failings:","")))/LEN("Quality of Works / Criteria of Failings:"),0)-IFERROR((LEN($T777)-LEN(SUBSTITUTE($T777,"Quality of Works / Criteria of Failings:Compliant","")))/LEN("Quality of Works / Criteria of Failings:Compliant"),0))</f>
        <v/>
      </c>
      <c r="Z776" s="122">
        <f>IFERROR($Y777/MAX(1,(LEN($I777)-LEN(SUBSTITUTE($I777," Ltd","")))/LEN(" Ltd")),0)</f>
        <v/>
      </c>
      <c r="AA776" s="122">
        <f>IFERROR(IFERROR((LEN($T777)-LEN(SUBSTITUTE($T777,"Quality of Works / Criteria of Failings:","")))/LEN("Quality of Works / Criteria of Failings:"),0)/MAX(1,(LEN($I777)-LEN(SUBSTITUTE($I777," Ltd","")))/LEN(" Ltd")),0)</f>
        <v/>
      </c>
      <c r="AB776" s="122">
        <f>IFERROR(IFERROR((LEN($T777)-LEN(SUBSTITUTE($T777,"Quality of Works / Criteria of Failings:Compliant","")))/LEN("Quality of Works / Criteria of Failings:Compliant"),0)/MAX(1,(LEN($I777)-LEN(SUBSTITUTE($I777," Ltd","")))/LEN(" Ltd")),0)</f>
        <v/>
      </c>
    </row>
    <row r="777" ht="15.75" customHeight="1" s="146">
      <c r="Y777" s="122">
        <f>MAX(0,IFERROR((LEN($T778)-LEN(SUBSTITUTE($T778,"Quality of Works / Criteria of Failings:","")))/LEN("Quality of Works / Criteria of Failings:"),0)-IFERROR((LEN($T778)-LEN(SUBSTITUTE($T778,"Quality of Works / Criteria of Failings:Compliant","")))/LEN("Quality of Works / Criteria of Failings:Compliant"),0))</f>
        <v/>
      </c>
      <c r="Z777" s="122">
        <f>IFERROR($Y778/MAX(1,(LEN($I778)-LEN(SUBSTITUTE($I778," Ltd","")))/LEN(" Ltd")),0)</f>
        <v/>
      </c>
      <c r="AA777" s="122">
        <f>IFERROR(IFERROR((LEN($T778)-LEN(SUBSTITUTE($T778,"Quality of Works / Criteria of Failings:","")))/LEN("Quality of Works / Criteria of Failings:"),0)/MAX(1,(LEN($I778)-LEN(SUBSTITUTE($I778," Ltd","")))/LEN(" Ltd")),0)</f>
        <v/>
      </c>
      <c r="AB777" s="122">
        <f>IFERROR(IFERROR((LEN($T778)-LEN(SUBSTITUTE($T778,"Quality of Works / Criteria of Failings:Compliant","")))/LEN("Quality of Works / Criteria of Failings:Compliant"),0)/MAX(1,(LEN($I778)-LEN(SUBSTITUTE($I778," Ltd","")))/LEN(" Ltd")),0)</f>
        <v/>
      </c>
    </row>
    <row r="778" ht="15.75" customHeight="1" s="146">
      <c r="Y778" s="122">
        <f>MAX(0,IFERROR((LEN($T779)-LEN(SUBSTITUTE($T779,"Quality of Works / Criteria of Failings:","")))/LEN("Quality of Works / Criteria of Failings:"),0)-IFERROR((LEN($T779)-LEN(SUBSTITUTE($T779,"Quality of Works / Criteria of Failings:Compliant","")))/LEN("Quality of Works / Criteria of Failings:Compliant"),0))</f>
        <v/>
      </c>
      <c r="Z778" s="122">
        <f>IFERROR($Y779/MAX(1,(LEN($I779)-LEN(SUBSTITUTE($I779," Ltd","")))/LEN(" Ltd")),0)</f>
        <v/>
      </c>
      <c r="AA778" s="122">
        <f>IFERROR(IFERROR((LEN($T779)-LEN(SUBSTITUTE($T779,"Quality of Works / Criteria of Failings:","")))/LEN("Quality of Works / Criteria of Failings:"),0)/MAX(1,(LEN($I779)-LEN(SUBSTITUTE($I779," Ltd","")))/LEN(" Ltd")),0)</f>
        <v/>
      </c>
      <c r="AB778" s="122">
        <f>IFERROR(IFERROR((LEN($T779)-LEN(SUBSTITUTE($T779,"Quality of Works / Criteria of Failings:Compliant","")))/LEN("Quality of Works / Criteria of Failings:Compliant"),0)/MAX(1,(LEN($I779)-LEN(SUBSTITUTE($I779," Ltd","")))/LEN(" Ltd")),0)</f>
        <v/>
      </c>
    </row>
    <row r="779" ht="15.75" customHeight="1" s="146">
      <c r="Y779" s="122">
        <f>MAX(0,IFERROR((LEN($T780)-LEN(SUBSTITUTE($T780,"Quality of Works / Criteria of Failings:","")))/LEN("Quality of Works / Criteria of Failings:"),0)-IFERROR((LEN($T780)-LEN(SUBSTITUTE($T780,"Quality of Works / Criteria of Failings:Compliant","")))/LEN("Quality of Works / Criteria of Failings:Compliant"),0))</f>
        <v/>
      </c>
      <c r="Z779" s="122">
        <f>IFERROR($Y780/MAX(1,(LEN($I780)-LEN(SUBSTITUTE($I780," Ltd","")))/LEN(" Ltd")),0)</f>
        <v/>
      </c>
      <c r="AA779" s="122">
        <f>IFERROR(IFERROR((LEN($T780)-LEN(SUBSTITUTE($T780,"Quality of Works / Criteria of Failings:","")))/LEN("Quality of Works / Criteria of Failings:"),0)/MAX(1,(LEN($I780)-LEN(SUBSTITUTE($I780," Ltd","")))/LEN(" Ltd")),0)</f>
        <v/>
      </c>
      <c r="AB779" s="122">
        <f>IFERROR(IFERROR((LEN($T780)-LEN(SUBSTITUTE($T780,"Quality of Works / Criteria of Failings:Compliant","")))/LEN("Quality of Works / Criteria of Failings:Compliant"),0)/MAX(1,(LEN($I780)-LEN(SUBSTITUTE($I780," Ltd","")))/LEN(" Ltd")),0)</f>
        <v/>
      </c>
    </row>
    <row r="780" ht="15.75" customHeight="1" s="146">
      <c r="Y780" s="122">
        <f>MAX(0,IFERROR((LEN($T781)-LEN(SUBSTITUTE($T781,"Quality of Works / Criteria of Failings:","")))/LEN("Quality of Works / Criteria of Failings:"),0)-IFERROR((LEN($T781)-LEN(SUBSTITUTE($T781,"Quality of Works / Criteria of Failings:Compliant","")))/LEN("Quality of Works / Criteria of Failings:Compliant"),0))</f>
        <v/>
      </c>
      <c r="Z780" s="122">
        <f>IFERROR($Y781/MAX(1,(LEN($I781)-LEN(SUBSTITUTE($I781," Ltd","")))/LEN(" Ltd")),0)</f>
        <v/>
      </c>
      <c r="AA780" s="122">
        <f>IFERROR(IFERROR((LEN($T781)-LEN(SUBSTITUTE($T781,"Quality of Works / Criteria of Failings:","")))/LEN("Quality of Works / Criteria of Failings:"),0)/MAX(1,(LEN($I781)-LEN(SUBSTITUTE($I781," Ltd","")))/LEN(" Ltd")),0)</f>
        <v/>
      </c>
      <c r="AB780" s="122">
        <f>IFERROR(IFERROR((LEN($T781)-LEN(SUBSTITUTE($T781,"Quality of Works / Criteria of Failings:Compliant","")))/LEN("Quality of Works / Criteria of Failings:Compliant"),0)/MAX(1,(LEN($I781)-LEN(SUBSTITUTE($I781," Ltd","")))/LEN(" Ltd")),0)</f>
        <v/>
      </c>
    </row>
    <row r="781" ht="15.75" customHeight="1" s="146">
      <c r="Y781" s="122">
        <f>MAX(0,IFERROR((LEN($T782)-LEN(SUBSTITUTE($T782,"Quality of Works / Criteria of Failings:","")))/LEN("Quality of Works / Criteria of Failings:"),0)-IFERROR((LEN($T782)-LEN(SUBSTITUTE($T782,"Quality of Works / Criteria of Failings:Compliant","")))/LEN("Quality of Works / Criteria of Failings:Compliant"),0))</f>
        <v/>
      </c>
      <c r="Z781" s="122">
        <f>IFERROR($Y782/MAX(1,(LEN($I782)-LEN(SUBSTITUTE($I782," Ltd","")))/LEN(" Ltd")),0)</f>
        <v/>
      </c>
      <c r="AA781" s="122">
        <f>IFERROR(IFERROR((LEN($T782)-LEN(SUBSTITUTE($T782,"Quality of Works / Criteria of Failings:","")))/LEN("Quality of Works / Criteria of Failings:"),0)/MAX(1,(LEN($I782)-LEN(SUBSTITUTE($I782," Ltd","")))/LEN(" Ltd")),0)</f>
        <v/>
      </c>
      <c r="AB781" s="122">
        <f>IFERROR(IFERROR((LEN($T782)-LEN(SUBSTITUTE($T782,"Quality of Works / Criteria of Failings:Compliant","")))/LEN("Quality of Works / Criteria of Failings:Compliant"),0)/MAX(1,(LEN($I782)-LEN(SUBSTITUTE($I782," Ltd","")))/LEN(" Ltd")),0)</f>
        <v/>
      </c>
    </row>
    <row r="782" ht="15.75" customHeight="1" s="146">
      <c r="Y782" s="122">
        <f>MAX(0,IFERROR((LEN($T783)-LEN(SUBSTITUTE($T783,"Quality of Works / Criteria of Failings:","")))/LEN("Quality of Works / Criteria of Failings:"),0)-IFERROR((LEN($T783)-LEN(SUBSTITUTE($T783,"Quality of Works / Criteria of Failings:Compliant","")))/LEN("Quality of Works / Criteria of Failings:Compliant"),0))</f>
        <v/>
      </c>
      <c r="Z782" s="122">
        <f>IFERROR($Y783/MAX(1,(LEN($I783)-LEN(SUBSTITUTE($I783," Ltd","")))/LEN(" Ltd")),0)</f>
        <v/>
      </c>
      <c r="AA782" s="122">
        <f>IFERROR(IFERROR((LEN($T783)-LEN(SUBSTITUTE($T783,"Quality of Works / Criteria of Failings:","")))/LEN("Quality of Works / Criteria of Failings:"),0)/MAX(1,(LEN($I783)-LEN(SUBSTITUTE($I783," Ltd","")))/LEN(" Ltd")),0)</f>
        <v/>
      </c>
      <c r="AB782" s="122">
        <f>IFERROR(IFERROR((LEN($T783)-LEN(SUBSTITUTE($T783,"Quality of Works / Criteria of Failings:Compliant","")))/LEN("Quality of Works / Criteria of Failings:Compliant"),0)/MAX(1,(LEN($I783)-LEN(SUBSTITUTE($I783," Ltd","")))/LEN(" Ltd")),0)</f>
        <v/>
      </c>
    </row>
    <row r="783" ht="15.75" customHeight="1" s="146">
      <c r="Y783" s="122">
        <f>MAX(0,IFERROR((LEN($T784)-LEN(SUBSTITUTE($T784,"Quality of Works / Criteria of Failings:","")))/LEN("Quality of Works / Criteria of Failings:"),0)-IFERROR((LEN($T784)-LEN(SUBSTITUTE($T784,"Quality of Works / Criteria of Failings:Compliant","")))/LEN("Quality of Works / Criteria of Failings:Compliant"),0))</f>
        <v/>
      </c>
      <c r="Z783" s="122">
        <f>IFERROR($Y784/MAX(1,(LEN($I784)-LEN(SUBSTITUTE($I784," Ltd","")))/LEN(" Ltd")),0)</f>
        <v/>
      </c>
      <c r="AA783" s="122">
        <f>IFERROR(IFERROR((LEN($T784)-LEN(SUBSTITUTE($T784,"Quality of Works / Criteria of Failings:","")))/LEN("Quality of Works / Criteria of Failings:"),0)/MAX(1,(LEN($I784)-LEN(SUBSTITUTE($I784," Ltd","")))/LEN(" Ltd")),0)</f>
        <v/>
      </c>
      <c r="AB783" s="122">
        <f>IFERROR(IFERROR((LEN($T784)-LEN(SUBSTITUTE($T784,"Quality of Works / Criteria of Failings:Compliant","")))/LEN("Quality of Works / Criteria of Failings:Compliant"),0)/MAX(1,(LEN($I784)-LEN(SUBSTITUTE($I784," Ltd","")))/LEN(" Ltd")),0)</f>
        <v/>
      </c>
    </row>
    <row r="784" ht="15.75" customHeight="1" s="146">
      <c r="Y784" s="122">
        <f>MAX(0,IFERROR((LEN($T785)-LEN(SUBSTITUTE($T785,"Quality of Works / Criteria of Failings:","")))/LEN("Quality of Works / Criteria of Failings:"),0)-IFERROR((LEN($T785)-LEN(SUBSTITUTE($T785,"Quality of Works / Criteria of Failings:Compliant","")))/LEN("Quality of Works / Criteria of Failings:Compliant"),0))</f>
        <v/>
      </c>
      <c r="Z784" s="122">
        <f>IFERROR($Y785/MAX(1,(LEN($I785)-LEN(SUBSTITUTE($I785," Ltd","")))/LEN(" Ltd")),0)</f>
        <v/>
      </c>
      <c r="AA784" s="122">
        <f>IFERROR(IFERROR((LEN($T785)-LEN(SUBSTITUTE($T785,"Quality of Works / Criteria of Failings:","")))/LEN("Quality of Works / Criteria of Failings:"),0)/MAX(1,(LEN($I785)-LEN(SUBSTITUTE($I785," Ltd","")))/LEN(" Ltd")),0)</f>
        <v/>
      </c>
      <c r="AB784" s="122">
        <f>IFERROR(IFERROR((LEN($T785)-LEN(SUBSTITUTE($T785,"Quality of Works / Criteria of Failings:Compliant","")))/LEN("Quality of Works / Criteria of Failings:Compliant"),0)/MAX(1,(LEN($I785)-LEN(SUBSTITUTE($I785," Ltd","")))/LEN(" Ltd")),0)</f>
        <v/>
      </c>
    </row>
    <row r="785" ht="15.75" customHeight="1" s="146">
      <c r="Y785" s="122">
        <f>MAX(0,IFERROR((LEN($T786)-LEN(SUBSTITUTE($T786,"Quality of Works / Criteria of Failings:","")))/LEN("Quality of Works / Criteria of Failings:"),0)-IFERROR((LEN($T786)-LEN(SUBSTITUTE($T786,"Quality of Works / Criteria of Failings:Compliant","")))/LEN("Quality of Works / Criteria of Failings:Compliant"),0))</f>
        <v/>
      </c>
      <c r="Z785" s="122">
        <f>IFERROR($Y786/MAX(1,(LEN($I786)-LEN(SUBSTITUTE($I786," Ltd","")))/LEN(" Ltd")),0)</f>
        <v/>
      </c>
      <c r="AA785" s="122">
        <f>IFERROR(IFERROR((LEN($T786)-LEN(SUBSTITUTE($T786,"Quality of Works / Criteria of Failings:","")))/LEN("Quality of Works / Criteria of Failings:"),0)/MAX(1,(LEN($I786)-LEN(SUBSTITUTE($I786," Ltd","")))/LEN(" Ltd")),0)</f>
        <v/>
      </c>
      <c r="AB785" s="122">
        <f>IFERROR(IFERROR((LEN($T786)-LEN(SUBSTITUTE($T786,"Quality of Works / Criteria of Failings:Compliant","")))/LEN("Quality of Works / Criteria of Failings:Compliant"),0)/MAX(1,(LEN($I786)-LEN(SUBSTITUTE($I786," Ltd","")))/LEN(" Ltd")),0)</f>
        <v/>
      </c>
    </row>
    <row r="786" ht="15.75" customHeight="1" s="146">
      <c r="Y786" s="122">
        <f>MAX(0,IFERROR((LEN($T787)-LEN(SUBSTITUTE($T787,"Quality of Works / Criteria of Failings:","")))/LEN("Quality of Works / Criteria of Failings:"),0)-IFERROR((LEN($T787)-LEN(SUBSTITUTE($T787,"Quality of Works / Criteria of Failings:Compliant","")))/LEN("Quality of Works / Criteria of Failings:Compliant"),0))</f>
        <v/>
      </c>
      <c r="Z786" s="122">
        <f>IFERROR($Y787/MAX(1,(LEN($I787)-LEN(SUBSTITUTE($I787," Ltd","")))/LEN(" Ltd")),0)</f>
        <v/>
      </c>
      <c r="AA786" s="122">
        <f>IFERROR(IFERROR((LEN($T787)-LEN(SUBSTITUTE($T787,"Quality of Works / Criteria of Failings:","")))/LEN("Quality of Works / Criteria of Failings:"),0)/MAX(1,(LEN($I787)-LEN(SUBSTITUTE($I787," Ltd","")))/LEN(" Ltd")),0)</f>
        <v/>
      </c>
      <c r="AB786" s="122">
        <f>IFERROR(IFERROR((LEN($T787)-LEN(SUBSTITUTE($T787,"Quality of Works / Criteria of Failings:Compliant","")))/LEN("Quality of Works / Criteria of Failings:Compliant"),0)/MAX(1,(LEN($I787)-LEN(SUBSTITUTE($I787," Ltd","")))/LEN(" Ltd")),0)</f>
        <v/>
      </c>
    </row>
    <row r="787" ht="15.75" customHeight="1" s="146">
      <c r="Y787" s="122">
        <f>MAX(0,IFERROR((LEN($T788)-LEN(SUBSTITUTE($T788,"Quality of Works / Criteria of Failings:","")))/LEN("Quality of Works / Criteria of Failings:"),0)-IFERROR((LEN($T788)-LEN(SUBSTITUTE($T788,"Quality of Works / Criteria of Failings:Compliant","")))/LEN("Quality of Works / Criteria of Failings:Compliant"),0))</f>
        <v/>
      </c>
      <c r="Z787" s="122">
        <f>IFERROR($Y788/MAX(1,(LEN($I788)-LEN(SUBSTITUTE($I788," Ltd","")))/LEN(" Ltd")),0)</f>
        <v/>
      </c>
      <c r="AA787" s="122">
        <f>IFERROR(IFERROR((LEN($T788)-LEN(SUBSTITUTE($T788,"Quality of Works / Criteria of Failings:","")))/LEN("Quality of Works / Criteria of Failings:"),0)/MAX(1,(LEN($I788)-LEN(SUBSTITUTE($I788," Ltd","")))/LEN(" Ltd")),0)</f>
        <v/>
      </c>
      <c r="AB787" s="122">
        <f>IFERROR(IFERROR((LEN($T788)-LEN(SUBSTITUTE($T788,"Quality of Works / Criteria of Failings:Compliant","")))/LEN("Quality of Works / Criteria of Failings:Compliant"),0)/MAX(1,(LEN($I788)-LEN(SUBSTITUTE($I788," Ltd","")))/LEN(" Ltd")),0)</f>
        <v/>
      </c>
    </row>
    <row r="788" ht="15.75" customHeight="1" s="146">
      <c r="Y788" s="122">
        <f>MAX(0,IFERROR((LEN($T789)-LEN(SUBSTITUTE($T789,"Quality of Works / Criteria of Failings:","")))/LEN("Quality of Works / Criteria of Failings:"),0)-IFERROR((LEN($T789)-LEN(SUBSTITUTE($T789,"Quality of Works / Criteria of Failings:Compliant","")))/LEN("Quality of Works / Criteria of Failings:Compliant"),0))</f>
        <v/>
      </c>
      <c r="Z788" s="122">
        <f>IFERROR($Y789/MAX(1,(LEN($I789)-LEN(SUBSTITUTE($I789," Ltd","")))/LEN(" Ltd")),0)</f>
        <v/>
      </c>
      <c r="AA788" s="122">
        <f>IFERROR(IFERROR((LEN($T789)-LEN(SUBSTITUTE($T789,"Quality of Works / Criteria of Failings:","")))/LEN("Quality of Works / Criteria of Failings:"),0)/MAX(1,(LEN($I789)-LEN(SUBSTITUTE($I789," Ltd","")))/LEN(" Ltd")),0)</f>
        <v/>
      </c>
      <c r="AB788" s="122">
        <f>IFERROR(IFERROR((LEN($T789)-LEN(SUBSTITUTE($T789,"Quality of Works / Criteria of Failings:Compliant","")))/LEN("Quality of Works / Criteria of Failings:Compliant"),0)/MAX(1,(LEN($I789)-LEN(SUBSTITUTE($I789," Ltd","")))/LEN(" Ltd")),0)</f>
        <v/>
      </c>
    </row>
    <row r="789" ht="15.75" customHeight="1" s="146">
      <c r="Y789" s="122">
        <f>MAX(0,IFERROR((LEN($T790)-LEN(SUBSTITUTE($T790,"Quality of Works / Criteria of Failings:","")))/LEN("Quality of Works / Criteria of Failings:"),0)-IFERROR((LEN($T790)-LEN(SUBSTITUTE($T790,"Quality of Works / Criteria of Failings:Compliant","")))/LEN("Quality of Works / Criteria of Failings:Compliant"),0))</f>
        <v/>
      </c>
      <c r="Z789" s="122">
        <f>IFERROR($Y790/MAX(1,(LEN($I790)-LEN(SUBSTITUTE($I790," Ltd","")))/LEN(" Ltd")),0)</f>
        <v/>
      </c>
      <c r="AA789" s="122">
        <f>IFERROR(IFERROR((LEN($T790)-LEN(SUBSTITUTE($T790,"Quality of Works / Criteria of Failings:","")))/LEN("Quality of Works / Criteria of Failings:"),0)/MAX(1,(LEN($I790)-LEN(SUBSTITUTE($I790," Ltd","")))/LEN(" Ltd")),0)</f>
        <v/>
      </c>
      <c r="AB789" s="122">
        <f>IFERROR(IFERROR((LEN($T790)-LEN(SUBSTITUTE($T790,"Quality of Works / Criteria of Failings:Compliant","")))/LEN("Quality of Works / Criteria of Failings:Compliant"),0)/MAX(1,(LEN($I790)-LEN(SUBSTITUTE($I790," Ltd","")))/LEN(" Ltd")),0)</f>
        <v/>
      </c>
    </row>
    <row r="790" ht="15.75" customHeight="1" s="146">
      <c r="Y790" s="122">
        <f>MAX(0,IFERROR((LEN($T791)-LEN(SUBSTITUTE($T791,"Quality of Works / Criteria of Failings:","")))/LEN("Quality of Works / Criteria of Failings:"),0)-IFERROR((LEN($T791)-LEN(SUBSTITUTE($T791,"Quality of Works / Criteria of Failings:Compliant","")))/LEN("Quality of Works / Criteria of Failings:Compliant"),0))</f>
        <v/>
      </c>
      <c r="Z790" s="122">
        <f>IFERROR($Y791/MAX(1,(LEN($I791)-LEN(SUBSTITUTE($I791," Ltd","")))/LEN(" Ltd")),0)</f>
        <v/>
      </c>
      <c r="AA790" s="122">
        <f>IFERROR(IFERROR((LEN($T791)-LEN(SUBSTITUTE($T791,"Quality of Works / Criteria of Failings:","")))/LEN("Quality of Works / Criteria of Failings:"),0)/MAX(1,(LEN($I791)-LEN(SUBSTITUTE($I791," Ltd","")))/LEN(" Ltd")),0)</f>
        <v/>
      </c>
      <c r="AB790" s="122">
        <f>IFERROR(IFERROR((LEN($T791)-LEN(SUBSTITUTE($T791,"Quality of Works / Criteria of Failings:Compliant","")))/LEN("Quality of Works / Criteria of Failings:Compliant"),0)/MAX(1,(LEN($I791)-LEN(SUBSTITUTE($I791," Ltd","")))/LEN(" Ltd")),0)</f>
        <v/>
      </c>
    </row>
    <row r="791" ht="15.75" customHeight="1" s="146">
      <c r="Y791" s="122">
        <f>MAX(0,IFERROR((LEN($T792)-LEN(SUBSTITUTE($T792,"Quality of Works / Criteria of Failings:","")))/LEN("Quality of Works / Criteria of Failings:"),0)-IFERROR((LEN($T792)-LEN(SUBSTITUTE($T792,"Quality of Works / Criteria of Failings:Compliant","")))/LEN("Quality of Works / Criteria of Failings:Compliant"),0))</f>
        <v/>
      </c>
      <c r="Z791" s="122">
        <f>IFERROR($Y792/MAX(1,(LEN($I792)-LEN(SUBSTITUTE($I792," Ltd","")))/LEN(" Ltd")),0)</f>
        <v/>
      </c>
      <c r="AA791" s="122">
        <f>IFERROR(IFERROR((LEN($T792)-LEN(SUBSTITUTE($T792,"Quality of Works / Criteria of Failings:","")))/LEN("Quality of Works / Criteria of Failings:"),0)/MAX(1,(LEN($I792)-LEN(SUBSTITUTE($I792," Ltd","")))/LEN(" Ltd")),0)</f>
        <v/>
      </c>
      <c r="AB791" s="122">
        <f>IFERROR(IFERROR((LEN($T792)-LEN(SUBSTITUTE($T792,"Quality of Works / Criteria of Failings:Compliant","")))/LEN("Quality of Works / Criteria of Failings:Compliant"),0)/MAX(1,(LEN($I792)-LEN(SUBSTITUTE($I792," Ltd","")))/LEN(" Ltd")),0)</f>
        <v/>
      </c>
    </row>
    <row r="792" ht="15.75" customHeight="1" s="146">
      <c r="Y792" s="122">
        <f>MAX(0,IFERROR((LEN($T793)-LEN(SUBSTITUTE($T793,"Quality of Works / Criteria of Failings:","")))/LEN("Quality of Works / Criteria of Failings:"),0)-IFERROR((LEN($T793)-LEN(SUBSTITUTE($T793,"Quality of Works / Criteria of Failings:Compliant","")))/LEN("Quality of Works / Criteria of Failings:Compliant"),0))</f>
        <v/>
      </c>
      <c r="Z792" s="122">
        <f>IFERROR($Y793/MAX(1,(LEN($I793)-LEN(SUBSTITUTE($I793," Ltd","")))/LEN(" Ltd")),0)</f>
        <v/>
      </c>
      <c r="AA792" s="122">
        <f>IFERROR(IFERROR((LEN($T793)-LEN(SUBSTITUTE($T793,"Quality of Works / Criteria of Failings:","")))/LEN("Quality of Works / Criteria of Failings:"),0)/MAX(1,(LEN($I793)-LEN(SUBSTITUTE($I793," Ltd","")))/LEN(" Ltd")),0)</f>
        <v/>
      </c>
      <c r="AB792" s="122">
        <f>IFERROR(IFERROR((LEN($T793)-LEN(SUBSTITUTE($T793,"Quality of Works / Criteria of Failings:Compliant","")))/LEN("Quality of Works / Criteria of Failings:Compliant"),0)/MAX(1,(LEN($I793)-LEN(SUBSTITUTE($I793," Ltd","")))/LEN(" Ltd")),0)</f>
        <v/>
      </c>
    </row>
    <row r="793" ht="15.75" customHeight="1" s="146">
      <c r="Y793" s="122">
        <f>MAX(0,IFERROR((LEN($T794)-LEN(SUBSTITUTE($T794,"Quality of Works / Criteria of Failings:","")))/LEN("Quality of Works / Criteria of Failings:"),0)-IFERROR((LEN($T794)-LEN(SUBSTITUTE($T794,"Quality of Works / Criteria of Failings:Compliant","")))/LEN("Quality of Works / Criteria of Failings:Compliant"),0))</f>
        <v/>
      </c>
      <c r="Z793" s="122">
        <f>IFERROR($Y794/MAX(1,(LEN($I794)-LEN(SUBSTITUTE($I794," Ltd","")))/LEN(" Ltd")),0)</f>
        <v/>
      </c>
      <c r="AA793" s="122">
        <f>IFERROR(IFERROR((LEN($T794)-LEN(SUBSTITUTE($T794,"Quality of Works / Criteria of Failings:","")))/LEN("Quality of Works / Criteria of Failings:"),0)/MAX(1,(LEN($I794)-LEN(SUBSTITUTE($I794," Ltd","")))/LEN(" Ltd")),0)</f>
        <v/>
      </c>
      <c r="AB793" s="122">
        <f>IFERROR(IFERROR((LEN($T794)-LEN(SUBSTITUTE($T794,"Quality of Works / Criteria of Failings:Compliant","")))/LEN("Quality of Works / Criteria of Failings:Compliant"),0)/MAX(1,(LEN($I794)-LEN(SUBSTITUTE($I794," Ltd","")))/LEN(" Ltd")),0)</f>
        <v/>
      </c>
    </row>
    <row r="794" ht="15.75" customHeight="1" s="146">
      <c r="Y794" s="122">
        <f>MAX(0,IFERROR((LEN($T795)-LEN(SUBSTITUTE($T795,"Quality of Works / Criteria of Failings:","")))/LEN("Quality of Works / Criteria of Failings:"),0)-IFERROR((LEN($T795)-LEN(SUBSTITUTE($T795,"Quality of Works / Criteria of Failings:Compliant","")))/LEN("Quality of Works / Criteria of Failings:Compliant"),0))</f>
        <v/>
      </c>
      <c r="Z794" s="122">
        <f>IFERROR($Y795/MAX(1,(LEN($I795)-LEN(SUBSTITUTE($I795," Ltd","")))/LEN(" Ltd")),0)</f>
        <v/>
      </c>
      <c r="AA794" s="122">
        <f>IFERROR(IFERROR((LEN($T795)-LEN(SUBSTITUTE($T795,"Quality of Works / Criteria of Failings:","")))/LEN("Quality of Works / Criteria of Failings:"),0)/MAX(1,(LEN($I795)-LEN(SUBSTITUTE($I795," Ltd","")))/LEN(" Ltd")),0)</f>
        <v/>
      </c>
      <c r="AB794" s="122">
        <f>IFERROR(IFERROR((LEN($T795)-LEN(SUBSTITUTE($T795,"Quality of Works / Criteria of Failings:Compliant","")))/LEN("Quality of Works / Criteria of Failings:Compliant"),0)/MAX(1,(LEN($I795)-LEN(SUBSTITUTE($I795," Ltd","")))/LEN(" Ltd")),0)</f>
        <v/>
      </c>
    </row>
    <row r="795" ht="15.75" customHeight="1" s="146">
      <c r="Y795" s="122">
        <f>MAX(0,IFERROR((LEN($T796)-LEN(SUBSTITUTE($T796,"Quality of Works / Criteria of Failings:","")))/LEN("Quality of Works / Criteria of Failings:"),0)-IFERROR((LEN($T796)-LEN(SUBSTITUTE($T796,"Quality of Works / Criteria of Failings:Compliant","")))/LEN("Quality of Works / Criteria of Failings:Compliant"),0))</f>
        <v/>
      </c>
      <c r="Z795" s="122">
        <f>IFERROR($Y796/MAX(1,(LEN($I796)-LEN(SUBSTITUTE($I796," Ltd","")))/LEN(" Ltd")),0)</f>
        <v/>
      </c>
      <c r="AA795" s="122">
        <f>IFERROR(IFERROR((LEN($T796)-LEN(SUBSTITUTE($T796,"Quality of Works / Criteria of Failings:","")))/LEN("Quality of Works / Criteria of Failings:"),0)/MAX(1,(LEN($I796)-LEN(SUBSTITUTE($I796," Ltd","")))/LEN(" Ltd")),0)</f>
        <v/>
      </c>
      <c r="AB795" s="122">
        <f>IFERROR(IFERROR((LEN($T796)-LEN(SUBSTITUTE($T796,"Quality of Works / Criteria of Failings:Compliant","")))/LEN("Quality of Works / Criteria of Failings:Compliant"),0)/MAX(1,(LEN($I796)-LEN(SUBSTITUTE($I796," Ltd","")))/LEN(" Ltd")),0)</f>
        <v/>
      </c>
    </row>
    <row r="796" ht="15.75" customHeight="1" s="146">
      <c r="Y796" s="122">
        <f>MAX(0,IFERROR((LEN($T797)-LEN(SUBSTITUTE($T797,"Quality of Works / Criteria of Failings:","")))/LEN("Quality of Works / Criteria of Failings:"),0)-IFERROR((LEN($T797)-LEN(SUBSTITUTE($T797,"Quality of Works / Criteria of Failings:Compliant","")))/LEN("Quality of Works / Criteria of Failings:Compliant"),0))</f>
        <v/>
      </c>
      <c r="Z796" s="122">
        <f>IFERROR($Y797/MAX(1,(LEN($I797)-LEN(SUBSTITUTE($I797," Ltd","")))/LEN(" Ltd")),0)</f>
        <v/>
      </c>
      <c r="AA796" s="122">
        <f>IFERROR(IFERROR((LEN($T797)-LEN(SUBSTITUTE($T797,"Quality of Works / Criteria of Failings:","")))/LEN("Quality of Works / Criteria of Failings:"),0)/MAX(1,(LEN($I797)-LEN(SUBSTITUTE($I797," Ltd","")))/LEN(" Ltd")),0)</f>
        <v/>
      </c>
      <c r="AB796" s="122">
        <f>IFERROR(IFERROR((LEN($T797)-LEN(SUBSTITUTE($T797,"Quality of Works / Criteria of Failings:Compliant","")))/LEN("Quality of Works / Criteria of Failings:Compliant"),0)/MAX(1,(LEN($I797)-LEN(SUBSTITUTE($I797," Ltd","")))/LEN(" Ltd")),0)</f>
        <v/>
      </c>
    </row>
    <row r="797" ht="15.75" customHeight="1" s="146">
      <c r="Y797" s="122">
        <f>MAX(0,IFERROR((LEN($T798)-LEN(SUBSTITUTE($T798,"Quality of Works / Criteria of Failings:","")))/LEN("Quality of Works / Criteria of Failings:"),0)-IFERROR((LEN($T798)-LEN(SUBSTITUTE($T798,"Quality of Works / Criteria of Failings:Compliant","")))/LEN("Quality of Works / Criteria of Failings:Compliant"),0))</f>
        <v/>
      </c>
      <c r="Z797" s="122">
        <f>IFERROR($Y798/MAX(1,(LEN($I798)-LEN(SUBSTITUTE($I798," Ltd","")))/LEN(" Ltd")),0)</f>
        <v/>
      </c>
      <c r="AA797" s="122">
        <f>IFERROR(IFERROR((LEN($T798)-LEN(SUBSTITUTE($T798,"Quality of Works / Criteria of Failings:","")))/LEN("Quality of Works / Criteria of Failings:"),0)/MAX(1,(LEN($I798)-LEN(SUBSTITUTE($I798," Ltd","")))/LEN(" Ltd")),0)</f>
        <v/>
      </c>
      <c r="AB797" s="122">
        <f>IFERROR(IFERROR((LEN($T798)-LEN(SUBSTITUTE($T798,"Quality of Works / Criteria of Failings:Compliant","")))/LEN("Quality of Works / Criteria of Failings:Compliant"),0)/MAX(1,(LEN($I798)-LEN(SUBSTITUTE($I798," Ltd","")))/LEN(" Ltd")),0)</f>
        <v/>
      </c>
    </row>
    <row r="798" ht="15.75" customHeight="1" s="146">
      <c r="Y798" s="122">
        <f>MAX(0,IFERROR((LEN($T799)-LEN(SUBSTITUTE($T799,"Quality of Works / Criteria of Failings:","")))/LEN("Quality of Works / Criteria of Failings:"),0)-IFERROR((LEN($T799)-LEN(SUBSTITUTE($T799,"Quality of Works / Criteria of Failings:Compliant","")))/LEN("Quality of Works / Criteria of Failings:Compliant"),0))</f>
        <v/>
      </c>
      <c r="Z798" s="122">
        <f>IFERROR($Y799/MAX(1,(LEN($I799)-LEN(SUBSTITUTE($I799," Ltd","")))/LEN(" Ltd")),0)</f>
        <v/>
      </c>
      <c r="AA798" s="122">
        <f>IFERROR(IFERROR((LEN($T799)-LEN(SUBSTITUTE($T799,"Quality of Works / Criteria of Failings:","")))/LEN("Quality of Works / Criteria of Failings:"),0)/MAX(1,(LEN($I799)-LEN(SUBSTITUTE($I799," Ltd","")))/LEN(" Ltd")),0)</f>
        <v/>
      </c>
      <c r="AB798" s="122">
        <f>IFERROR(IFERROR((LEN($T799)-LEN(SUBSTITUTE($T799,"Quality of Works / Criteria of Failings:Compliant","")))/LEN("Quality of Works / Criteria of Failings:Compliant"),0)/MAX(1,(LEN($I799)-LEN(SUBSTITUTE($I799," Ltd","")))/LEN(" Ltd")),0)</f>
        <v/>
      </c>
    </row>
    <row r="799" ht="15.75" customHeight="1" s="146">
      <c r="Y799" s="122">
        <f>MAX(0,IFERROR((LEN($T800)-LEN(SUBSTITUTE($T800,"Quality of Works / Criteria of Failings:","")))/LEN("Quality of Works / Criteria of Failings:"),0)-IFERROR((LEN($T800)-LEN(SUBSTITUTE($T800,"Quality of Works / Criteria of Failings:Compliant","")))/LEN("Quality of Works / Criteria of Failings:Compliant"),0))</f>
        <v/>
      </c>
      <c r="Z799" s="122">
        <f>IFERROR($Y800/MAX(1,(LEN($I800)-LEN(SUBSTITUTE($I800," Ltd","")))/LEN(" Ltd")),0)</f>
        <v/>
      </c>
      <c r="AA799" s="122">
        <f>IFERROR(IFERROR((LEN($T800)-LEN(SUBSTITUTE($T800,"Quality of Works / Criteria of Failings:","")))/LEN("Quality of Works / Criteria of Failings:"),0)/MAX(1,(LEN($I800)-LEN(SUBSTITUTE($I800," Ltd","")))/LEN(" Ltd")),0)</f>
        <v/>
      </c>
      <c r="AB799" s="122">
        <f>IFERROR(IFERROR((LEN($T800)-LEN(SUBSTITUTE($T800,"Quality of Works / Criteria of Failings:Compliant","")))/LEN("Quality of Works / Criteria of Failings:Compliant"),0)/MAX(1,(LEN($I800)-LEN(SUBSTITUTE($I800," Ltd","")))/LEN(" Ltd")),0)</f>
        <v/>
      </c>
    </row>
    <row r="800" ht="15.75" customHeight="1" s="146">
      <c r="Y800" s="122">
        <f>MAX(0,IFERROR((LEN($T801)-LEN(SUBSTITUTE($T801,"Quality of Works / Criteria of Failings:","")))/LEN("Quality of Works / Criteria of Failings:"),0)-IFERROR((LEN($T801)-LEN(SUBSTITUTE($T801,"Quality of Works / Criteria of Failings:Compliant","")))/LEN("Quality of Works / Criteria of Failings:Compliant"),0))</f>
        <v/>
      </c>
      <c r="Z800" s="122">
        <f>IFERROR($Y801/MAX(1,(LEN($I801)-LEN(SUBSTITUTE($I801," Ltd","")))/LEN(" Ltd")),0)</f>
        <v/>
      </c>
      <c r="AA800" s="122">
        <f>IFERROR(IFERROR((LEN($T801)-LEN(SUBSTITUTE($T801,"Quality of Works / Criteria of Failings:","")))/LEN("Quality of Works / Criteria of Failings:"),0)/MAX(1,(LEN($I801)-LEN(SUBSTITUTE($I801," Ltd","")))/LEN(" Ltd")),0)</f>
        <v/>
      </c>
      <c r="AB800" s="122">
        <f>IFERROR(IFERROR((LEN($T801)-LEN(SUBSTITUTE($T801,"Quality of Works / Criteria of Failings:Compliant","")))/LEN("Quality of Works / Criteria of Failings:Compliant"),0)/MAX(1,(LEN($I801)-LEN(SUBSTITUTE($I801," Ltd","")))/LEN(" Ltd")),0)</f>
        <v/>
      </c>
    </row>
    <row r="801" ht="15.75" customHeight="1" s="146">
      <c r="Y801" s="122">
        <f>MAX(0,IFERROR((LEN($T802)-LEN(SUBSTITUTE($T802,"Quality of Works / Criteria of Failings:","")))/LEN("Quality of Works / Criteria of Failings:"),0)-IFERROR((LEN($T802)-LEN(SUBSTITUTE($T802,"Quality of Works / Criteria of Failings:Compliant","")))/LEN("Quality of Works / Criteria of Failings:Compliant"),0))</f>
        <v/>
      </c>
      <c r="Z801" s="122">
        <f>IFERROR($Y802/MAX(1,(LEN($I802)-LEN(SUBSTITUTE($I802," Ltd","")))/LEN(" Ltd")),0)</f>
        <v/>
      </c>
      <c r="AA801" s="122">
        <f>IFERROR(IFERROR((LEN($T802)-LEN(SUBSTITUTE($T802,"Quality of Works / Criteria of Failings:","")))/LEN("Quality of Works / Criteria of Failings:"),0)/MAX(1,(LEN($I802)-LEN(SUBSTITUTE($I802," Ltd","")))/LEN(" Ltd")),0)</f>
        <v/>
      </c>
      <c r="AB801" s="122">
        <f>IFERROR(IFERROR((LEN($T802)-LEN(SUBSTITUTE($T802,"Quality of Works / Criteria of Failings:Compliant","")))/LEN("Quality of Works / Criteria of Failings:Compliant"),0)/MAX(1,(LEN($I802)-LEN(SUBSTITUTE($I802," Ltd","")))/LEN(" Ltd")),0)</f>
        <v/>
      </c>
    </row>
    <row r="802" ht="15.75" customHeight="1" s="146">
      <c r="Y802" s="122">
        <f>MAX(0,IFERROR((LEN($T803)-LEN(SUBSTITUTE($T803,"Quality of Works / Criteria of Failings:","")))/LEN("Quality of Works / Criteria of Failings:"),0)-IFERROR((LEN($T803)-LEN(SUBSTITUTE($T803,"Quality of Works / Criteria of Failings:Compliant","")))/LEN("Quality of Works / Criteria of Failings:Compliant"),0))</f>
        <v/>
      </c>
      <c r="Z802" s="122">
        <f>IFERROR($Y803/MAX(1,(LEN($I803)-LEN(SUBSTITUTE($I803," Ltd","")))/LEN(" Ltd")),0)</f>
        <v/>
      </c>
      <c r="AA802" s="122">
        <f>IFERROR(IFERROR((LEN($T803)-LEN(SUBSTITUTE($T803,"Quality of Works / Criteria of Failings:","")))/LEN("Quality of Works / Criteria of Failings:"),0)/MAX(1,(LEN($I803)-LEN(SUBSTITUTE($I803," Ltd","")))/LEN(" Ltd")),0)</f>
        <v/>
      </c>
      <c r="AB802" s="122">
        <f>IFERROR(IFERROR((LEN($T803)-LEN(SUBSTITUTE($T803,"Quality of Works / Criteria of Failings:Compliant","")))/LEN("Quality of Works / Criteria of Failings:Compliant"),0)/MAX(1,(LEN($I803)-LEN(SUBSTITUTE($I803," Ltd","")))/LEN(" Ltd")),0)</f>
        <v/>
      </c>
    </row>
    <row r="803" ht="15.75" customHeight="1" s="146">
      <c r="Y803" s="122">
        <f>MAX(0,IFERROR((LEN($T804)-LEN(SUBSTITUTE($T804,"Quality of Works / Criteria of Failings:","")))/LEN("Quality of Works / Criteria of Failings:"),0)-IFERROR((LEN($T804)-LEN(SUBSTITUTE($T804,"Quality of Works / Criteria of Failings:Compliant","")))/LEN("Quality of Works / Criteria of Failings:Compliant"),0))</f>
        <v/>
      </c>
      <c r="Z803" s="122">
        <f>IFERROR($Y804/MAX(1,(LEN($I804)-LEN(SUBSTITUTE($I804," Ltd","")))/LEN(" Ltd")),0)</f>
        <v/>
      </c>
      <c r="AA803" s="122">
        <f>IFERROR(IFERROR((LEN($T804)-LEN(SUBSTITUTE($T804,"Quality of Works / Criteria of Failings:","")))/LEN("Quality of Works / Criteria of Failings:"),0)/MAX(1,(LEN($I804)-LEN(SUBSTITUTE($I804," Ltd","")))/LEN(" Ltd")),0)</f>
        <v/>
      </c>
      <c r="AB803" s="122">
        <f>IFERROR(IFERROR((LEN($T804)-LEN(SUBSTITUTE($T804,"Quality of Works / Criteria of Failings:Compliant","")))/LEN("Quality of Works / Criteria of Failings:Compliant"),0)/MAX(1,(LEN($I804)-LEN(SUBSTITUTE($I804," Ltd","")))/LEN(" Ltd")),0)</f>
        <v/>
      </c>
    </row>
    <row r="804" ht="15.75" customHeight="1" s="146">
      <c r="Y804" s="122">
        <f>MAX(0,IFERROR((LEN($T805)-LEN(SUBSTITUTE($T805,"Quality of Works / Criteria of Failings:","")))/LEN("Quality of Works / Criteria of Failings:"),0)-IFERROR((LEN($T805)-LEN(SUBSTITUTE($T805,"Quality of Works / Criteria of Failings:Compliant","")))/LEN("Quality of Works / Criteria of Failings:Compliant"),0))</f>
        <v/>
      </c>
      <c r="Z804" s="122">
        <f>IFERROR($Y805/MAX(1,(LEN($I805)-LEN(SUBSTITUTE($I805," Ltd","")))/LEN(" Ltd")),0)</f>
        <v/>
      </c>
      <c r="AA804" s="122">
        <f>IFERROR(IFERROR((LEN($T805)-LEN(SUBSTITUTE($T805,"Quality of Works / Criteria of Failings:","")))/LEN("Quality of Works / Criteria of Failings:"),0)/MAX(1,(LEN($I805)-LEN(SUBSTITUTE($I805," Ltd","")))/LEN(" Ltd")),0)</f>
        <v/>
      </c>
      <c r="AB804" s="122">
        <f>IFERROR(IFERROR((LEN($T805)-LEN(SUBSTITUTE($T805,"Quality of Works / Criteria of Failings:Compliant","")))/LEN("Quality of Works / Criteria of Failings:Compliant"),0)/MAX(1,(LEN($I805)-LEN(SUBSTITUTE($I805," Ltd","")))/LEN(" Ltd")),0)</f>
        <v/>
      </c>
    </row>
    <row r="805" ht="15.75" customHeight="1" s="146">
      <c r="Y805" s="122">
        <f>MAX(0,IFERROR((LEN($T806)-LEN(SUBSTITUTE($T806,"Quality of Works / Criteria of Failings:","")))/LEN("Quality of Works / Criteria of Failings:"),0)-IFERROR((LEN($T806)-LEN(SUBSTITUTE($T806,"Quality of Works / Criteria of Failings:Compliant","")))/LEN("Quality of Works / Criteria of Failings:Compliant"),0))</f>
        <v/>
      </c>
      <c r="Z805" s="122">
        <f>IFERROR($Y806/MAX(1,(LEN($I806)-LEN(SUBSTITUTE($I806," Ltd","")))/LEN(" Ltd")),0)</f>
        <v/>
      </c>
      <c r="AA805" s="122">
        <f>IFERROR(IFERROR((LEN($T806)-LEN(SUBSTITUTE($T806,"Quality of Works / Criteria of Failings:","")))/LEN("Quality of Works / Criteria of Failings:"),0)/MAX(1,(LEN($I806)-LEN(SUBSTITUTE($I806," Ltd","")))/LEN(" Ltd")),0)</f>
        <v/>
      </c>
      <c r="AB805" s="122">
        <f>IFERROR(IFERROR((LEN($T806)-LEN(SUBSTITUTE($T806,"Quality of Works / Criteria of Failings:Compliant","")))/LEN("Quality of Works / Criteria of Failings:Compliant"),0)/MAX(1,(LEN($I806)-LEN(SUBSTITUTE($I806," Ltd","")))/LEN(" Ltd")),0)</f>
        <v/>
      </c>
    </row>
    <row r="806" ht="15.75" customHeight="1" s="146">
      <c r="Y806" s="122">
        <f>MAX(0,IFERROR((LEN($T807)-LEN(SUBSTITUTE($T807,"Quality of Works / Criteria of Failings:","")))/LEN("Quality of Works / Criteria of Failings:"),0)-IFERROR((LEN($T807)-LEN(SUBSTITUTE($T807,"Quality of Works / Criteria of Failings:Compliant","")))/LEN("Quality of Works / Criteria of Failings:Compliant"),0))</f>
        <v/>
      </c>
      <c r="Z806" s="122">
        <f>IFERROR($Y807/MAX(1,(LEN($I807)-LEN(SUBSTITUTE($I807," Ltd","")))/LEN(" Ltd")),0)</f>
        <v/>
      </c>
      <c r="AA806" s="122">
        <f>IFERROR(IFERROR((LEN($T807)-LEN(SUBSTITUTE($T807,"Quality of Works / Criteria of Failings:","")))/LEN("Quality of Works / Criteria of Failings:"),0)/MAX(1,(LEN($I807)-LEN(SUBSTITUTE($I807," Ltd","")))/LEN(" Ltd")),0)</f>
        <v/>
      </c>
      <c r="AB806" s="122">
        <f>IFERROR(IFERROR((LEN($T807)-LEN(SUBSTITUTE($T807,"Quality of Works / Criteria of Failings:Compliant","")))/LEN("Quality of Works / Criteria of Failings:Compliant"),0)/MAX(1,(LEN($I807)-LEN(SUBSTITUTE($I807," Ltd","")))/LEN(" Ltd")),0)</f>
        <v/>
      </c>
    </row>
    <row r="807" ht="15.75" customHeight="1" s="146">
      <c r="Y807" s="122">
        <f>MAX(0,IFERROR((LEN($T808)-LEN(SUBSTITUTE($T808,"Quality of Works / Criteria of Failings:","")))/LEN("Quality of Works / Criteria of Failings:"),0)-IFERROR((LEN($T808)-LEN(SUBSTITUTE($T808,"Quality of Works / Criteria of Failings:Compliant","")))/LEN("Quality of Works / Criteria of Failings:Compliant"),0))</f>
        <v/>
      </c>
      <c r="Z807" s="122">
        <f>IFERROR($Y808/MAX(1,(LEN($I808)-LEN(SUBSTITUTE($I808," Ltd","")))/LEN(" Ltd")),0)</f>
        <v/>
      </c>
      <c r="AA807" s="122">
        <f>IFERROR(IFERROR((LEN($T808)-LEN(SUBSTITUTE($T808,"Quality of Works / Criteria of Failings:","")))/LEN("Quality of Works / Criteria of Failings:"),0)/MAX(1,(LEN($I808)-LEN(SUBSTITUTE($I808," Ltd","")))/LEN(" Ltd")),0)</f>
        <v/>
      </c>
      <c r="AB807" s="122">
        <f>IFERROR(IFERROR((LEN($T808)-LEN(SUBSTITUTE($T808,"Quality of Works / Criteria of Failings:Compliant","")))/LEN("Quality of Works / Criteria of Failings:Compliant"),0)/MAX(1,(LEN($I808)-LEN(SUBSTITUTE($I808," Ltd","")))/LEN(" Ltd")),0)</f>
        <v/>
      </c>
    </row>
    <row r="808" ht="15.75" customHeight="1" s="146">
      <c r="Y808" s="122">
        <f>MAX(0,IFERROR((LEN($T809)-LEN(SUBSTITUTE($T809,"Quality of Works / Criteria of Failings:","")))/LEN("Quality of Works / Criteria of Failings:"),0)-IFERROR((LEN($T809)-LEN(SUBSTITUTE($T809,"Quality of Works / Criteria of Failings:Compliant","")))/LEN("Quality of Works / Criteria of Failings:Compliant"),0))</f>
        <v/>
      </c>
      <c r="Z808" s="122">
        <f>IFERROR($Y809/MAX(1,(LEN($I809)-LEN(SUBSTITUTE($I809," Ltd","")))/LEN(" Ltd")),0)</f>
        <v/>
      </c>
      <c r="AA808" s="122">
        <f>IFERROR(IFERROR((LEN($T809)-LEN(SUBSTITUTE($T809,"Quality of Works / Criteria of Failings:","")))/LEN("Quality of Works / Criteria of Failings:"),0)/MAX(1,(LEN($I809)-LEN(SUBSTITUTE($I809," Ltd","")))/LEN(" Ltd")),0)</f>
        <v/>
      </c>
      <c r="AB808" s="122">
        <f>IFERROR(IFERROR((LEN($T809)-LEN(SUBSTITUTE($T809,"Quality of Works / Criteria of Failings:Compliant","")))/LEN("Quality of Works / Criteria of Failings:Compliant"),0)/MAX(1,(LEN($I809)-LEN(SUBSTITUTE($I809," Ltd","")))/LEN(" Ltd")),0)</f>
        <v/>
      </c>
    </row>
    <row r="809" ht="15.75" customHeight="1" s="146">
      <c r="Y809" s="122">
        <f>MAX(0,IFERROR((LEN($T810)-LEN(SUBSTITUTE($T810,"Quality of Works / Criteria of Failings:","")))/LEN("Quality of Works / Criteria of Failings:"),0)-IFERROR((LEN($T810)-LEN(SUBSTITUTE($T810,"Quality of Works / Criteria of Failings:Compliant","")))/LEN("Quality of Works / Criteria of Failings:Compliant"),0))</f>
        <v/>
      </c>
      <c r="Z809" s="122">
        <f>IFERROR($Y810/MAX(1,(LEN($I810)-LEN(SUBSTITUTE($I810," Ltd","")))/LEN(" Ltd")),0)</f>
        <v/>
      </c>
      <c r="AA809" s="122">
        <f>IFERROR(IFERROR((LEN($T810)-LEN(SUBSTITUTE($T810,"Quality of Works / Criteria of Failings:","")))/LEN("Quality of Works / Criteria of Failings:"),0)/MAX(1,(LEN($I810)-LEN(SUBSTITUTE($I810," Ltd","")))/LEN(" Ltd")),0)</f>
        <v/>
      </c>
      <c r="AB809" s="122">
        <f>IFERROR(IFERROR((LEN($T810)-LEN(SUBSTITUTE($T810,"Quality of Works / Criteria of Failings:Compliant","")))/LEN("Quality of Works / Criteria of Failings:Compliant"),0)/MAX(1,(LEN($I810)-LEN(SUBSTITUTE($I810," Ltd","")))/LEN(" Ltd")),0)</f>
        <v/>
      </c>
    </row>
    <row r="810" ht="15.75" customHeight="1" s="146">
      <c r="Y810" s="122">
        <f>MAX(0,IFERROR((LEN($T811)-LEN(SUBSTITUTE($T811,"Quality of Works / Criteria of Failings:","")))/LEN("Quality of Works / Criteria of Failings:"),0)-IFERROR((LEN($T811)-LEN(SUBSTITUTE($T811,"Quality of Works / Criteria of Failings:Compliant","")))/LEN("Quality of Works / Criteria of Failings:Compliant"),0))</f>
        <v/>
      </c>
      <c r="Z810" s="122">
        <f>IFERROR($Y811/MAX(1,(LEN($I811)-LEN(SUBSTITUTE($I811," Ltd","")))/LEN(" Ltd")),0)</f>
        <v/>
      </c>
      <c r="AA810" s="122">
        <f>IFERROR(IFERROR((LEN($T811)-LEN(SUBSTITUTE($T811,"Quality of Works / Criteria of Failings:","")))/LEN("Quality of Works / Criteria of Failings:"),0)/MAX(1,(LEN($I811)-LEN(SUBSTITUTE($I811," Ltd","")))/LEN(" Ltd")),0)</f>
        <v/>
      </c>
      <c r="AB810" s="122">
        <f>IFERROR(IFERROR((LEN($T811)-LEN(SUBSTITUTE($T811,"Quality of Works / Criteria of Failings:Compliant","")))/LEN("Quality of Works / Criteria of Failings:Compliant"),0)/MAX(1,(LEN($I811)-LEN(SUBSTITUTE($I811," Ltd","")))/LEN(" Ltd")),0)</f>
        <v/>
      </c>
    </row>
    <row r="811" ht="15.75" customHeight="1" s="146">
      <c r="Y811" s="122">
        <f>MAX(0,IFERROR((LEN($T812)-LEN(SUBSTITUTE($T812,"Quality of Works / Criteria of Failings:","")))/LEN("Quality of Works / Criteria of Failings:"),0)-IFERROR((LEN($T812)-LEN(SUBSTITUTE($T812,"Quality of Works / Criteria of Failings:Compliant","")))/LEN("Quality of Works / Criteria of Failings:Compliant"),0))</f>
        <v/>
      </c>
      <c r="Z811" s="122">
        <f>IFERROR($Y812/MAX(1,(LEN($I812)-LEN(SUBSTITUTE($I812," Ltd","")))/LEN(" Ltd")),0)</f>
        <v/>
      </c>
      <c r="AA811" s="122">
        <f>IFERROR(IFERROR((LEN($T812)-LEN(SUBSTITUTE($T812,"Quality of Works / Criteria of Failings:","")))/LEN("Quality of Works / Criteria of Failings:"),0)/MAX(1,(LEN($I812)-LEN(SUBSTITUTE($I812," Ltd","")))/LEN(" Ltd")),0)</f>
        <v/>
      </c>
      <c r="AB811" s="122">
        <f>IFERROR(IFERROR((LEN($T812)-LEN(SUBSTITUTE($T812,"Quality of Works / Criteria of Failings:Compliant","")))/LEN("Quality of Works / Criteria of Failings:Compliant"),0)/MAX(1,(LEN($I812)-LEN(SUBSTITUTE($I812," Ltd","")))/LEN(" Ltd")),0)</f>
        <v/>
      </c>
    </row>
    <row r="812" ht="15.75" customHeight="1" s="146">
      <c r="Y812" s="122">
        <f>MAX(0,IFERROR((LEN($T813)-LEN(SUBSTITUTE($T813,"Quality of Works / Criteria of Failings:","")))/LEN("Quality of Works / Criteria of Failings:"),0)-IFERROR((LEN($T813)-LEN(SUBSTITUTE($T813,"Quality of Works / Criteria of Failings:Compliant","")))/LEN("Quality of Works / Criteria of Failings:Compliant"),0))</f>
        <v/>
      </c>
      <c r="Z812" s="122">
        <f>IFERROR($Y813/MAX(1,(LEN($I813)-LEN(SUBSTITUTE($I813," Ltd","")))/LEN(" Ltd")),0)</f>
        <v/>
      </c>
      <c r="AA812" s="122">
        <f>IFERROR(IFERROR((LEN($T813)-LEN(SUBSTITUTE($T813,"Quality of Works / Criteria of Failings:","")))/LEN("Quality of Works / Criteria of Failings:"),0)/MAX(1,(LEN($I813)-LEN(SUBSTITUTE($I813," Ltd","")))/LEN(" Ltd")),0)</f>
        <v/>
      </c>
      <c r="AB812" s="122">
        <f>IFERROR(IFERROR((LEN($T813)-LEN(SUBSTITUTE($T813,"Quality of Works / Criteria of Failings:Compliant","")))/LEN("Quality of Works / Criteria of Failings:Compliant"),0)/MAX(1,(LEN($I813)-LEN(SUBSTITUTE($I813," Ltd","")))/LEN(" Ltd")),0)</f>
        <v/>
      </c>
    </row>
    <row r="813" ht="15.75" customHeight="1" s="146">
      <c r="Y813" s="122">
        <f>MAX(0,IFERROR((LEN($T814)-LEN(SUBSTITUTE($T814,"Quality of Works / Criteria of Failings:","")))/LEN("Quality of Works / Criteria of Failings:"),0)-IFERROR((LEN($T814)-LEN(SUBSTITUTE($T814,"Quality of Works / Criteria of Failings:Compliant","")))/LEN("Quality of Works / Criteria of Failings:Compliant"),0))</f>
        <v/>
      </c>
      <c r="Z813" s="122">
        <f>IFERROR($Y814/MAX(1,(LEN($I814)-LEN(SUBSTITUTE($I814," Ltd","")))/LEN(" Ltd")),0)</f>
        <v/>
      </c>
      <c r="AA813" s="122">
        <f>IFERROR(IFERROR((LEN($T814)-LEN(SUBSTITUTE($T814,"Quality of Works / Criteria of Failings:","")))/LEN("Quality of Works / Criteria of Failings:"),0)/MAX(1,(LEN($I814)-LEN(SUBSTITUTE($I814," Ltd","")))/LEN(" Ltd")),0)</f>
        <v/>
      </c>
      <c r="AB813" s="122">
        <f>IFERROR(IFERROR((LEN($T814)-LEN(SUBSTITUTE($T814,"Quality of Works / Criteria of Failings:Compliant","")))/LEN("Quality of Works / Criteria of Failings:Compliant"),0)/MAX(1,(LEN($I814)-LEN(SUBSTITUTE($I814," Ltd","")))/LEN(" Ltd")),0)</f>
        <v/>
      </c>
    </row>
    <row r="814" ht="15.75" customHeight="1" s="146">
      <c r="Y814" s="122">
        <f>MAX(0,IFERROR((LEN($T815)-LEN(SUBSTITUTE($T815,"Quality of Works / Criteria of Failings:","")))/LEN("Quality of Works / Criteria of Failings:"),0)-IFERROR((LEN($T815)-LEN(SUBSTITUTE($T815,"Quality of Works / Criteria of Failings:Compliant","")))/LEN("Quality of Works / Criteria of Failings:Compliant"),0))</f>
        <v/>
      </c>
      <c r="Z814" s="122">
        <f>IFERROR($Y815/MAX(1,(LEN($I815)-LEN(SUBSTITUTE($I815," Ltd","")))/LEN(" Ltd")),0)</f>
        <v/>
      </c>
      <c r="AA814" s="122">
        <f>IFERROR(IFERROR((LEN($T815)-LEN(SUBSTITUTE($T815,"Quality of Works / Criteria of Failings:","")))/LEN("Quality of Works / Criteria of Failings:"),0)/MAX(1,(LEN($I815)-LEN(SUBSTITUTE($I815," Ltd","")))/LEN(" Ltd")),0)</f>
        <v/>
      </c>
      <c r="AB814" s="122">
        <f>IFERROR(IFERROR((LEN($T815)-LEN(SUBSTITUTE($T815,"Quality of Works / Criteria of Failings:Compliant","")))/LEN("Quality of Works / Criteria of Failings:Compliant"),0)/MAX(1,(LEN($I815)-LEN(SUBSTITUTE($I815," Ltd","")))/LEN(" Ltd")),0)</f>
        <v/>
      </c>
    </row>
    <row r="815" ht="15.75" customHeight="1" s="146">
      <c r="Y815" s="122">
        <f>MAX(0,IFERROR((LEN($T816)-LEN(SUBSTITUTE($T816,"Quality of Works / Criteria of Failings:","")))/LEN("Quality of Works / Criteria of Failings:"),0)-IFERROR((LEN($T816)-LEN(SUBSTITUTE($T816,"Quality of Works / Criteria of Failings:Compliant","")))/LEN("Quality of Works / Criteria of Failings:Compliant"),0))</f>
        <v/>
      </c>
      <c r="Z815" s="122">
        <f>IFERROR($Y816/MAX(1,(LEN($I816)-LEN(SUBSTITUTE($I816," Ltd","")))/LEN(" Ltd")),0)</f>
        <v/>
      </c>
      <c r="AA815" s="122">
        <f>IFERROR(IFERROR((LEN($T816)-LEN(SUBSTITUTE($T816,"Quality of Works / Criteria of Failings:","")))/LEN("Quality of Works / Criteria of Failings:"),0)/MAX(1,(LEN($I816)-LEN(SUBSTITUTE($I816," Ltd","")))/LEN(" Ltd")),0)</f>
        <v/>
      </c>
      <c r="AB815" s="122">
        <f>IFERROR(IFERROR((LEN($T816)-LEN(SUBSTITUTE($T816,"Quality of Works / Criteria of Failings:Compliant","")))/LEN("Quality of Works / Criteria of Failings:Compliant"),0)/MAX(1,(LEN($I816)-LEN(SUBSTITUTE($I816," Ltd","")))/LEN(" Ltd")),0)</f>
        <v/>
      </c>
    </row>
    <row r="816" ht="15.75" customHeight="1" s="146">
      <c r="Y816" s="122">
        <f>MAX(0,IFERROR((LEN($T817)-LEN(SUBSTITUTE($T817,"Quality of Works / Criteria of Failings:","")))/LEN("Quality of Works / Criteria of Failings:"),0)-IFERROR((LEN($T817)-LEN(SUBSTITUTE($T817,"Quality of Works / Criteria of Failings:Compliant","")))/LEN("Quality of Works / Criteria of Failings:Compliant"),0))</f>
        <v/>
      </c>
      <c r="Z816" s="122">
        <f>IFERROR($Y817/MAX(1,(LEN($I817)-LEN(SUBSTITUTE($I817," Ltd","")))/LEN(" Ltd")),0)</f>
        <v/>
      </c>
      <c r="AA816" s="122">
        <f>IFERROR(IFERROR((LEN($T817)-LEN(SUBSTITUTE($T817,"Quality of Works / Criteria of Failings:","")))/LEN("Quality of Works / Criteria of Failings:"),0)/MAX(1,(LEN($I817)-LEN(SUBSTITUTE($I817," Ltd","")))/LEN(" Ltd")),0)</f>
        <v/>
      </c>
      <c r="AB816" s="122">
        <f>IFERROR(IFERROR((LEN($T817)-LEN(SUBSTITUTE($T817,"Quality of Works / Criteria of Failings:Compliant","")))/LEN("Quality of Works / Criteria of Failings:Compliant"),0)/MAX(1,(LEN($I817)-LEN(SUBSTITUTE($I817," Ltd","")))/LEN(" Ltd")),0)</f>
        <v/>
      </c>
    </row>
    <row r="817" ht="15.75" customHeight="1" s="146">
      <c r="Y817" s="122">
        <f>MAX(0,IFERROR((LEN($T818)-LEN(SUBSTITUTE($T818,"Quality of Works / Criteria of Failings:","")))/LEN("Quality of Works / Criteria of Failings:"),0)-IFERROR((LEN($T818)-LEN(SUBSTITUTE($T818,"Quality of Works / Criteria of Failings:Compliant","")))/LEN("Quality of Works / Criteria of Failings:Compliant"),0))</f>
        <v/>
      </c>
      <c r="Z817" s="122">
        <f>IFERROR($Y818/MAX(1,(LEN($I818)-LEN(SUBSTITUTE($I818," Ltd","")))/LEN(" Ltd")),0)</f>
        <v/>
      </c>
      <c r="AA817" s="122">
        <f>IFERROR(IFERROR((LEN($T818)-LEN(SUBSTITUTE($T818,"Quality of Works / Criteria of Failings:","")))/LEN("Quality of Works / Criteria of Failings:"),0)/MAX(1,(LEN($I818)-LEN(SUBSTITUTE($I818," Ltd","")))/LEN(" Ltd")),0)</f>
        <v/>
      </c>
      <c r="AB817" s="122">
        <f>IFERROR(IFERROR((LEN($T818)-LEN(SUBSTITUTE($T818,"Quality of Works / Criteria of Failings:Compliant","")))/LEN("Quality of Works / Criteria of Failings:Compliant"),0)/MAX(1,(LEN($I818)-LEN(SUBSTITUTE($I818," Ltd","")))/LEN(" Ltd")),0)</f>
        <v/>
      </c>
    </row>
    <row r="818" ht="15.75" customHeight="1" s="146">
      <c r="Y818" s="122">
        <f>MAX(0,IFERROR((LEN($T819)-LEN(SUBSTITUTE($T819,"Quality of Works / Criteria of Failings:","")))/LEN("Quality of Works / Criteria of Failings:"),0)-IFERROR((LEN($T819)-LEN(SUBSTITUTE($T819,"Quality of Works / Criteria of Failings:Compliant","")))/LEN("Quality of Works / Criteria of Failings:Compliant"),0))</f>
        <v/>
      </c>
      <c r="Z818" s="122">
        <f>IFERROR($Y819/MAX(1,(LEN($I819)-LEN(SUBSTITUTE($I819," Ltd","")))/LEN(" Ltd")),0)</f>
        <v/>
      </c>
      <c r="AA818" s="122">
        <f>IFERROR(IFERROR((LEN($T819)-LEN(SUBSTITUTE($T819,"Quality of Works / Criteria of Failings:","")))/LEN("Quality of Works / Criteria of Failings:"),0)/MAX(1,(LEN($I819)-LEN(SUBSTITUTE($I819," Ltd","")))/LEN(" Ltd")),0)</f>
        <v/>
      </c>
      <c r="AB818" s="122">
        <f>IFERROR(IFERROR((LEN($T819)-LEN(SUBSTITUTE($T819,"Quality of Works / Criteria of Failings:Compliant","")))/LEN("Quality of Works / Criteria of Failings:Compliant"),0)/MAX(1,(LEN($I819)-LEN(SUBSTITUTE($I819," Ltd","")))/LEN(" Ltd")),0)</f>
        <v/>
      </c>
    </row>
    <row r="819" ht="15.75" customHeight="1" s="146">
      <c r="Y819" s="122">
        <f>MAX(0,IFERROR((LEN($T820)-LEN(SUBSTITUTE($T820,"Quality of Works / Criteria of Failings:","")))/LEN("Quality of Works / Criteria of Failings:"),0)-IFERROR((LEN($T820)-LEN(SUBSTITUTE($T820,"Quality of Works / Criteria of Failings:Compliant","")))/LEN("Quality of Works / Criteria of Failings:Compliant"),0))</f>
        <v/>
      </c>
      <c r="Z819" s="122">
        <f>IFERROR($Y820/MAX(1,(LEN($I820)-LEN(SUBSTITUTE($I820," Ltd","")))/LEN(" Ltd")),0)</f>
        <v/>
      </c>
      <c r="AA819" s="122">
        <f>IFERROR(IFERROR((LEN($T820)-LEN(SUBSTITUTE($T820,"Quality of Works / Criteria of Failings:","")))/LEN("Quality of Works / Criteria of Failings:"),0)/MAX(1,(LEN($I820)-LEN(SUBSTITUTE($I820," Ltd","")))/LEN(" Ltd")),0)</f>
        <v/>
      </c>
      <c r="AB819" s="122">
        <f>IFERROR(IFERROR((LEN($T820)-LEN(SUBSTITUTE($T820,"Quality of Works / Criteria of Failings:Compliant","")))/LEN("Quality of Works / Criteria of Failings:Compliant"),0)/MAX(1,(LEN($I820)-LEN(SUBSTITUTE($I820," Ltd","")))/LEN(" Ltd")),0)</f>
        <v/>
      </c>
    </row>
    <row r="820" ht="15.75" customHeight="1" s="146">
      <c r="Y820" s="122">
        <f>MAX(0,IFERROR((LEN($T821)-LEN(SUBSTITUTE($T821,"Quality of Works / Criteria of Failings:","")))/LEN("Quality of Works / Criteria of Failings:"),0)-IFERROR((LEN($T821)-LEN(SUBSTITUTE($T821,"Quality of Works / Criteria of Failings:Compliant","")))/LEN("Quality of Works / Criteria of Failings:Compliant"),0))</f>
        <v/>
      </c>
      <c r="Z820" s="122">
        <f>IFERROR($Y821/MAX(1,(LEN($I821)-LEN(SUBSTITUTE($I821," Ltd","")))/LEN(" Ltd")),0)</f>
        <v/>
      </c>
      <c r="AA820" s="122">
        <f>IFERROR(IFERROR((LEN($T821)-LEN(SUBSTITUTE($T821,"Quality of Works / Criteria of Failings:","")))/LEN("Quality of Works / Criteria of Failings:"),0)/MAX(1,(LEN($I821)-LEN(SUBSTITUTE($I821," Ltd","")))/LEN(" Ltd")),0)</f>
        <v/>
      </c>
      <c r="AB820" s="122">
        <f>IFERROR(IFERROR((LEN($T821)-LEN(SUBSTITUTE($T821,"Quality of Works / Criteria of Failings:Compliant","")))/LEN("Quality of Works / Criteria of Failings:Compliant"),0)/MAX(1,(LEN($I821)-LEN(SUBSTITUTE($I821," Ltd","")))/LEN(" Ltd")),0)</f>
        <v/>
      </c>
    </row>
    <row r="821" ht="15.75" customHeight="1" s="146">
      <c r="Y821" s="122">
        <f>MAX(0,IFERROR((LEN($T822)-LEN(SUBSTITUTE($T822,"Quality of Works / Criteria of Failings:","")))/LEN("Quality of Works / Criteria of Failings:"),0)-IFERROR((LEN($T822)-LEN(SUBSTITUTE($T822,"Quality of Works / Criteria of Failings:Compliant","")))/LEN("Quality of Works / Criteria of Failings:Compliant"),0))</f>
        <v/>
      </c>
      <c r="Z821" s="122">
        <f>IFERROR($Y822/MAX(1,(LEN($I822)-LEN(SUBSTITUTE($I822," Ltd","")))/LEN(" Ltd")),0)</f>
        <v/>
      </c>
      <c r="AA821" s="122">
        <f>IFERROR(IFERROR((LEN($T822)-LEN(SUBSTITUTE($T822,"Quality of Works / Criteria of Failings:","")))/LEN("Quality of Works / Criteria of Failings:"),0)/MAX(1,(LEN($I822)-LEN(SUBSTITUTE($I822," Ltd","")))/LEN(" Ltd")),0)</f>
        <v/>
      </c>
      <c r="AB821" s="122">
        <f>IFERROR(IFERROR((LEN($T822)-LEN(SUBSTITUTE($T822,"Quality of Works / Criteria of Failings:Compliant","")))/LEN("Quality of Works / Criteria of Failings:Compliant"),0)/MAX(1,(LEN($I822)-LEN(SUBSTITUTE($I822," Ltd","")))/LEN(" Ltd")),0)</f>
        <v/>
      </c>
    </row>
    <row r="822" ht="15.75" customHeight="1" s="146">
      <c r="Y822" s="122">
        <f>MAX(0,IFERROR((LEN($T823)-LEN(SUBSTITUTE($T823,"Quality of Works / Criteria of Failings:","")))/LEN("Quality of Works / Criteria of Failings:"),0)-IFERROR((LEN($T823)-LEN(SUBSTITUTE($T823,"Quality of Works / Criteria of Failings:Compliant","")))/LEN("Quality of Works / Criteria of Failings:Compliant"),0))</f>
        <v/>
      </c>
      <c r="Z822" s="122">
        <f>IFERROR($Y823/MAX(1,(LEN($I823)-LEN(SUBSTITUTE($I823," Ltd","")))/LEN(" Ltd")),0)</f>
        <v/>
      </c>
      <c r="AA822" s="122">
        <f>IFERROR(IFERROR((LEN($T823)-LEN(SUBSTITUTE($T823,"Quality of Works / Criteria of Failings:","")))/LEN("Quality of Works / Criteria of Failings:"),0)/MAX(1,(LEN($I823)-LEN(SUBSTITUTE($I823," Ltd","")))/LEN(" Ltd")),0)</f>
        <v/>
      </c>
      <c r="AB822" s="122">
        <f>IFERROR(IFERROR((LEN($T823)-LEN(SUBSTITUTE($T823,"Quality of Works / Criteria of Failings:Compliant","")))/LEN("Quality of Works / Criteria of Failings:Compliant"),0)/MAX(1,(LEN($I823)-LEN(SUBSTITUTE($I823," Ltd","")))/LEN(" Ltd")),0)</f>
        <v/>
      </c>
    </row>
    <row r="823" ht="15.75" customHeight="1" s="146">
      <c r="Y823" s="122">
        <f>MAX(0,IFERROR((LEN($T824)-LEN(SUBSTITUTE($T824,"Quality of Works / Criteria of Failings:","")))/LEN("Quality of Works / Criteria of Failings:"),0)-IFERROR((LEN($T824)-LEN(SUBSTITUTE($T824,"Quality of Works / Criteria of Failings:Compliant","")))/LEN("Quality of Works / Criteria of Failings:Compliant"),0))</f>
        <v/>
      </c>
      <c r="Z823" s="122">
        <f>IFERROR($Y824/MAX(1,(LEN($I824)-LEN(SUBSTITUTE($I824," Ltd","")))/LEN(" Ltd")),0)</f>
        <v/>
      </c>
      <c r="AA823" s="122">
        <f>IFERROR(IFERROR((LEN($T824)-LEN(SUBSTITUTE($T824,"Quality of Works / Criteria of Failings:","")))/LEN("Quality of Works / Criteria of Failings:"),0)/MAX(1,(LEN($I824)-LEN(SUBSTITUTE($I824," Ltd","")))/LEN(" Ltd")),0)</f>
        <v/>
      </c>
      <c r="AB823" s="122">
        <f>IFERROR(IFERROR((LEN($T824)-LEN(SUBSTITUTE($T824,"Quality of Works / Criteria of Failings:Compliant","")))/LEN("Quality of Works / Criteria of Failings:Compliant"),0)/MAX(1,(LEN($I824)-LEN(SUBSTITUTE($I824," Ltd","")))/LEN(" Ltd")),0)</f>
        <v/>
      </c>
    </row>
    <row r="824" ht="15.75" customHeight="1" s="146">
      <c r="Y824" s="122">
        <f>MAX(0,IFERROR((LEN($T825)-LEN(SUBSTITUTE($T825,"Quality of Works / Criteria of Failings:","")))/LEN("Quality of Works / Criteria of Failings:"),0)-IFERROR((LEN($T825)-LEN(SUBSTITUTE($T825,"Quality of Works / Criteria of Failings:Compliant","")))/LEN("Quality of Works / Criteria of Failings:Compliant"),0))</f>
        <v/>
      </c>
      <c r="Z824" s="122">
        <f>IFERROR($Y825/MAX(1,(LEN($I825)-LEN(SUBSTITUTE($I825," Ltd","")))/LEN(" Ltd")),0)</f>
        <v/>
      </c>
      <c r="AA824" s="122">
        <f>IFERROR(IFERROR((LEN($T825)-LEN(SUBSTITUTE($T825,"Quality of Works / Criteria of Failings:","")))/LEN("Quality of Works / Criteria of Failings:"),0)/MAX(1,(LEN($I825)-LEN(SUBSTITUTE($I825," Ltd","")))/LEN(" Ltd")),0)</f>
        <v/>
      </c>
      <c r="AB824" s="122">
        <f>IFERROR(IFERROR((LEN($T825)-LEN(SUBSTITUTE($T825,"Quality of Works / Criteria of Failings:Compliant","")))/LEN("Quality of Works / Criteria of Failings:Compliant"),0)/MAX(1,(LEN($I825)-LEN(SUBSTITUTE($I825," Ltd","")))/LEN(" Ltd")),0)</f>
        <v/>
      </c>
    </row>
    <row r="825" ht="15.75" customHeight="1" s="146">
      <c r="Y825" s="122">
        <f>MAX(0,IFERROR((LEN($T826)-LEN(SUBSTITUTE($T826,"Quality of Works / Criteria of Failings:","")))/LEN("Quality of Works / Criteria of Failings:"),0)-IFERROR((LEN($T826)-LEN(SUBSTITUTE($T826,"Quality of Works / Criteria of Failings:Compliant","")))/LEN("Quality of Works / Criteria of Failings:Compliant"),0))</f>
        <v/>
      </c>
      <c r="Z825" s="122">
        <f>IFERROR($Y826/MAX(1,(LEN($I826)-LEN(SUBSTITUTE($I826," Ltd","")))/LEN(" Ltd")),0)</f>
        <v/>
      </c>
      <c r="AA825" s="122">
        <f>IFERROR(IFERROR((LEN($T826)-LEN(SUBSTITUTE($T826,"Quality of Works / Criteria of Failings:","")))/LEN("Quality of Works / Criteria of Failings:"),0)/MAX(1,(LEN($I826)-LEN(SUBSTITUTE($I826," Ltd","")))/LEN(" Ltd")),0)</f>
        <v/>
      </c>
      <c r="AB825" s="122">
        <f>IFERROR(IFERROR((LEN($T826)-LEN(SUBSTITUTE($T826,"Quality of Works / Criteria of Failings:Compliant","")))/LEN("Quality of Works / Criteria of Failings:Compliant"),0)/MAX(1,(LEN($I826)-LEN(SUBSTITUTE($I826," Ltd","")))/LEN(" Ltd")),0)</f>
        <v/>
      </c>
    </row>
    <row r="826" ht="15.75" customHeight="1" s="146">
      <c r="Y826" s="122">
        <f>MAX(0,IFERROR((LEN($T827)-LEN(SUBSTITUTE($T827,"Quality of Works / Criteria of Failings:","")))/LEN("Quality of Works / Criteria of Failings:"),0)-IFERROR((LEN($T827)-LEN(SUBSTITUTE($T827,"Quality of Works / Criteria of Failings:Compliant","")))/LEN("Quality of Works / Criteria of Failings:Compliant"),0))</f>
        <v/>
      </c>
      <c r="Z826" s="122">
        <f>IFERROR($Y827/MAX(1,(LEN($I827)-LEN(SUBSTITUTE($I827," Ltd","")))/LEN(" Ltd")),0)</f>
        <v/>
      </c>
      <c r="AA826" s="122">
        <f>IFERROR(IFERROR((LEN($T827)-LEN(SUBSTITUTE($T827,"Quality of Works / Criteria of Failings:","")))/LEN("Quality of Works / Criteria of Failings:"),0)/MAX(1,(LEN($I827)-LEN(SUBSTITUTE($I827," Ltd","")))/LEN(" Ltd")),0)</f>
        <v/>
      </c>
      <c r="AB826" s="122">
        <f>IFERROR(IFERROR((LEN($T827)-LEN(SUBSTITUTE($T827,"Quality of Works / Criteria of Failings:Compliant","")))/LEN("Quality of Works / Criteria of Failings:Compliant"),0)/MAX(1,(LEN($I827)-LEN(SUBSTITUTE($I827," Ltd","")))/LEN(" Ltd")),0)</f>
        <v/>
      </c>
    </row>
    <row r="827" ht="15.75" customHeight="1" s="146">
      <c r="Y827" s="122">
        <f>MAX(0,IFERROR((LEN($T828)-LEN(SUBSTITUTE($T828,"Quality of Works / Criteria of Failings:","")))/LEN("Quality of Works / Criteria of Failings:"),0)-IFERROR((LEN($T828)-LEN(SUBSTITUTE($T828,"Quality of Works / Criteria of Failings:Compliant","")))/LEN("Quality of Works / Criteria of Failings:Compliant"),0))</f>
        <v/>
      </c>
      <c r="Z827" s="122">
        <f>IFERROR($Y828/MAX(1,(LEN($I828)-LEN(SUBSTITUTE($I828," Ltd","")))/LEN(" Ltd")),0)</f>
        <v/>
      </c>
      <c r="AA827" s="122">
        <f>IFERROR(IFERROR((LEN($T828)-LEN(SUBSTITUTE($T828,"Quality of Works / Criteria of Failings:","")))/LEN("Quality of Works / Criteria of Failings:"),0)/MAX(1,(LEN($I828)-LEN(SUBSTITUTE($I828," Ltd","")))/LEN(" Ltd")),0)</f>
        <v/>
      </c>
      <c r="AB827" s="122">
        <f>IFERROR(IFERROR((LEN($T828)-LEN(SUBSTITUTE($T828,"Quality of Works / Criteria of Failings:Compliant","")))/LEN("Quality of Works / Criteria of Failings:Compliant"),0)/MAX(1,(LEN($I828)-LEN(SUBSTITUTE($I828," Ltd","")))/LEN(" Ltd")),0)</f>
        <v/>
      </c>
    </row>
    <row r="828" ht="15.75" customHeight="1" s="146">
      <c r="Y828" s="122">
        <f>MAX(0,IFERROR((LEN($T829)-LEN(SUBSTITUTE($T829,"Quality of Works / Criteria of Failings:","")))/LEN("Quality of Works / Criteria of Failings:"),0)-IFERROR((LEN($T829)-LEN(SUBSTITUTE($T829,"Quality of Works / Criteria of Failings:Compliant","")))/LEN("Quality of Works / Criteria of Failings:Compliant"),0))</f>
        <v/>
      </c>
      <c r="Z828" s="122">
        <f>IFERROR($Y829/MAX(1,(LEN($I829)-LEN(SUBSTITUTE($I829," Ltd","")))/LEN(" Ltd")),0)</f>
        <v/>
      </c>
      <c r="AA828" s="122">
        <f>IFERROR(IFERROR((LEN($T829)-LEN(SUBSTITUTE($T829,"Quality of Works / Criteria of Failings:","")))/LEN("Quality of Works / Criteria of Failings:"),0)/MAX(1,(LEN($I829)-LEN(SUBSTITUTE($I829," Ltd","")))/LEN(" Ltd")),0)</f>
        <v/>
      </c>
      <c r="AB828" s="122">
        <f>IFERROR(IFERROR((LEN($T829)-LEN(SUBSTITUTE($T829,"Quality of Works / Criteria of Failings:Compliant","")))/LEN("Quality of Works / Criteria of Failings:Compliant"),0)/MAX(1,(LEN($I829)-LEN(SUBSTITUTE($I829," Ltd","")))/LEN(" Ltd")),0)</f>
        <v/>
      </c>
    </row>
    <row r="829" ht="15.75" customHeight="1" s="146">
      <c r="Y829" s="122">
        <f>MAX(0,IFERROR((LEN($T830)-LEN(SUBSTITUTE($T830,"Quality of Works / Criteria of Failings:","")))/LEN("Quality of Works / Criteria of Failings:"),0)-IFERROR((LEN($T830)-LEN(SUBSTITUTE($T830,"Quality of Works / Criteria of Failings:Compliant","")))/LEN("Quality of Works / Criteria of Failings:Compliant"),0))</f>
        <v/>
      </c>
      <c r="Z829" s="122">
        <f>IFERROR($Y830/MAX(1,(LEN($I830)-LEN(SUBSTITUTE($I830," Ltd","")))/LEN(" Ltd")),0)</f>
        <v/>
      </c>
      <c r="AA829" s="122">
        <f>IFERROR(IFERROR((LEN($T830)-LEN(SUBSTITUTE($T830,"Quality of Works / Criteria of Failings:","")))/LEN("Quality of Works / Criteria of Failings:"),0)/MAX(1,(LEN($I830)-LEN(SUBSTITUTE($I830," Ltd","")))/LEN(" Ltd")),0)</f>
        <v/>
      </c>
      <c r="AB829" s="122">
        <f>IFERROR(IFERROR((LEN($T830)-LEN(SUBSTITUTE($T830,"Quality of Works / Criteria of Failings:Compliant","")))/LEN("Quality of Works / Criteria of Failings:Compliant"),0)/MAX(1,(LEN($I830)-LEN(SUBSTITUTE($I830," Ltd","")))/LEN(" Ltd")),0)</f>
        <v/>
      </c>
    </row>
    <row r="830" ht="15.75" customHeight="1" s="146">
      <c r="Y830" s="122">
        <f>MAX(0,IFERROR((LEN($T831)-LEN(SUBSTITUTE($T831,"Quality of Works / Criteria of Failings:","")))/LEN("Quality of Works / Criteria of Failings:"),0)-IFERROR((LEN($T831)-LEN(SUBSTITUTE($T831,"Quality of Works / Criteria of Failings:Compliant","")))/LEN("Quality of Works / Criteria of Failings:Compliant"),0))</f>
        <v/>
      </c>
      <c r="Z830" s="122">
        <f>IFERROR($Y831/MAX(1,(LEN($I831)-LEN(SUBSTITUTE($I831," Ltd","")))/LEN(" Ltd")),0)</f>
        <v/>
      </c>
      <c r="AA830" s="122">
        <f>IFERROR(IFERROR((LEN($T831)-LEN(SUBSTITUTE($T831,"Quality of Works / Criteria of Failings:","")))/LEN("Quality of Works / Criteria of Failings:"),0)/MAX(1,(LEN($I831)-LEN(SUBSTITUTE($I831," Ltd","")))/LEN(" Ltd")),0)</f>
        <v/>
      </c>
      <c r="AB830" s="122">
        <f>IFERROR(IFERROR((LEN($T831)-LEN(SUBSTITUTE($T831,"Quality of Works / Criteria of Failings:Compliant","")))/LEN("Quality of Works / Criteria of Failings:Compliant"),0)/MAX(1,(LEN($I831)-LEN(SUBSTITUTE($I831," Ltd","")))/LEN(" Ltd")),0)</f>
        <v/>
      </c>
    </row>
    <row r="831" ht="15.75" customHeight="1" s="146">
      <c r="Y831" s="122">
        <f>MAX(0,IFERROR((LEN($T832)-LEN(SUBSTITUTE($T832,"Quality of Works / Criteria of Failings:","")))/LEN("Quality of Works / Criteria of Failings:"),0)-IFERROR((LEN($T832)-LEN(SUBSTITUTE($T832,"Quality of Works / Criteria of Failings:Compliant","")))/LEN("Quality of Works / Criteria of Failings:Compliant"),0))</f>
        <v/>
      </c>
      <c r="Z831" s="122">
        <f>IFERROR($Y832/MAX(1,(LEN($I832)-LEN(SUBSTITUTE($I832," Ltd","")))/LEN(" Ltd")),0)</f>
        <v/>
      </c>
      <c r="AA831" s="122">
        <f>IFERROR(IFERROR((LEN($T832)-LEN(SUBSTITUTE($T832,"Quality of Works / Criteria of Failings:","")))/LEN("Quality of Works / Criteria of Failings:"),0)/MAX(1,(LEN($I832)-LEN(SUBSTITUTE($I832," Ltd","")))/LEN(" Ltd")),0)</f>
        <v/>
      </c>
      <c r="AB831" s="122">
        <f>IFERROR(IFERROR((LEN($T832)-LEN(SUBSTITUTE($T832,"Quality of Works / Criteria of Failings:Compliant","")))/LEN("Quality of Works / Criteria of Failings:Compliant"),0)/MAX(1,(LEN($I832)-LEN(SUBSTITUTE($I832," Ltd","")))/LEN(" Ltd")),0)</f>
        <v/>
      </c>
    </row>
    <row r="832" ht="15.75" customHeight="1" s="146">
      <c r="Y832" s="122">
        <f>MAX(0,IFERROR((LEN($T833)-LEN(SUBSTITUTE($T833,"Quality of Works / Criteria of Failings:","")))/LEN("Quality of Works / Criteria of Failings:"),0)-IFERROR((LEN($T833)-LEN(SUBSTITUTE($T833,"Quality of Works / Criteria of Failings:Compliant","")))/LEN("Quality of Works / Criteria of Failings:Compliant"),0))</f>
        <v/>
      </c>
      <c r="Z832" s="122">
        <f>IFERROR($Y833/MAX(1,(LEN($I833)-LEN(SUBSTITUTE($I833," Ltd","")))/LEN(" Ltd")),0)</f>
        <v/>
      </c>
      <c r="AA832" s="122">
        <f>IFERROR(IFERROR((LEN($T833)-LEN(SUBSTITUTE($T833,"Quality of Works / Criteria of Failings:","")))/LEN("Quality of Works / Criteria of Failings:"),0)/MAX(1,(LEN($I833)-LEN(SUBSTITUTE($I833," Ltd","")))/LEN(" Ltd")),0)</f>
        <v/>
      </c>
      <c r="AB832" s="122">
        <f>IFERROR(IFERROR((LEN($T833)-LEN(SUBSTITUTE($T833,"Quality of Works / Criteria of Failings:Compliant","")))/LEN("Quality of Works / Criteria of Failings:Compliant"),0)/MAX(1,(LEN($I833)-LEN(SUBSTITUTE($I833," Ltd","")))/LEN(" Ltd")),0)</f>
        <v/>
      </c>
    </row>
    <row r="833" ht="15.75" customHeight="1" s="146">
      <c r="Y833" s="122">
        <f>MAX(0,IFERROR((LEN($T834)-LEN(SUBSTITUTE($T834,"Quality of Works / Criteria of Failings:","")))/LEN("Quality of Works / Criteria of Failings:"),0)-IFERROR((LEN($T834)-LEN(SUBSTITUTE($T834,"Quality of Works / Criteria of Failings:Compliant","")))/LEN("Quality of Works / Criteria of Failings:Compliant"),0))</f>
        <v/>
      </c>
      <c r="Z833" s="122">
        <f>IFERROR($Y834/MAX(1,(LEN($I834)-LEN(SUBSTITUTE($I834," Ltd","")))/LEN(" Ltd")),0)</f>
        <v/>
      </c>
      <c r="AA833" s="122">
        <f>IFERROR(IFERROR((LEN($T834)-LEN(SUBSTITUTE($T834,"Quality of Works / Criteria of Failings:","")))/LEN("Quality of Works / Criteria of Failings:"),0)/MAX(1,(LEN($I834)-LEN(SUBSTITUTE($I834," Ltd","")))/LEN(" Ltd")),0)</f>
        <v/>
      </c>
      <c r="AB833" s="122">
        <f>IFERROR(IFERROR((LEN($T834)-LEN(SUBSTITUTE($T834,"Quality of Works / Criteria of Failings:Compliant","")))/LEN("Quality of Works / Criteria of Failings:Compliant"),0)/MAX(1,(LEN($I834)-LEN(SUBSTITUTE($I834," Ltd","")))/LEN(" Ltd")),0)</f>
        <v/>
      </c>
    </row>
    <row r="834" ht="15.75" customHeight="1" s="146">
      <c r="Y834" s="122">
        <f>MAX(0,IFERROR((LEN($T835)-LEN(SUBSTITUTE($T835,"Quality of Works / Criteria of Failings:","")))/LEN("Quality of Works / Criteria of Failings:"),0)-IFERROR((LEN($T835)-LEN(SUBSTITUTE($T835,"Quality of Works / Criteria of Failings:Compliant","")))/LEN("Quality of Works / Criteria of Failings:Compliant"),0))</f>
        <v/>
      </c>
      <c r="Z834" s="122">
        <f>IFERROR($Y835/MAX(1,(LEN($I835)-LEN(SUBSTITUTE($I835," Ltd","")))/LEN(" Ltd")),0)</f>
        <v/>
      </c>
      <c r="AA834" s="122">
        <f>IFERROR(IFERROR((LEN($T835)-LEN(SUBSTITUTE($T835,"Quality of Works / Criteria of Failings:","")))/LEN("Quality of Works / Criteria of Failings:"),0)/MAX(1,(LEN($I835)-LEN(SUBSTITUTE($I835," Ltd","")))/LEN(" Ltd")),0)</f>
        <v/>
      </c>
      <c r="AB834" s="122">
        <f>IFERROR(IFERROR((LEN($T835)-LEN(SUBSTITUTE($T835,"Quality of Works / Criteria of Failings:Compliant","")))/LEN("Quality of Works / Criteria of Failings:Compliant"),0)/MAX(1,(LEN($I835)-LEN(SUBSTITUTE($I835," Ltd","")))/LEN(" Ltd")),0)</f>
        <v/>
      </c>
    </row>
    <row r="835" ht="15.75" customHeight="1" s="146">
      <c r="Y835" s="122">
        <f>MAX(0,IFERROR((LEN($T836)-LEN(SUBSTITUTE($T836,"Quality of Works / Criteria of Failings:","")))/LEN("Quality of Works / Criteria of Failings:"),0)-IFERROR((LEN($T836)-LEN(SUBSTITUTE($T836,"Quality of Works / Criteria of Failings:Compliant","")))/LEN("Quality of Works / Criteria of Failings:Compliant"),0))</f>
        <v/>
      </c>
      <c r="Z835" s="122">
        <f>IFERROR($Y836/MAX(1,(LEN($I836)-LEN(SUBSTITUTE($I836," Ltd","")))/LEN(" Ltd")),0)</f>
        <v/>
      </c>
      <c r="AA835" s="122">
        <f>IFERROR(IFERROR((LEN($T836)-LEN(SUBSTITUTE($T836,"Quality of Works / Criteria of Failings:","")))/LEN("Quality of Works / Criteria of Failings:"),0)/MAX(1,(LEN($I836)-LEN(SUBSTITUTE($I836," Ltd","")))/LEN(" Ltd")),0)</f>
        <v/>
      </c>
      <c r="AB835" s="122">
        <f>IFERROR(IFERROR((LEN($T836)-LEN(SUBSTITUTE($T836,"Quality of Works / Criteria of Failings:Compliant","")))/LEN("Quality of Works / Criteria of Failings:Compliant"),0)/MAX(1,(LEN($I836)-LEN(SUBSTITUTE($I836," Ltd","")))/LEN(" Ltd")),0)</f>
        <v/>
      </c>
    </row>
    <row r="836" ht="15.75" customHeight="1" s="146">
      <c r="Y836" s="122">
        <f>MAX(0,IFERROR((LEN($T837)-LEN(SUBSTITUTE($T837,"Quality of Works / Criteria of Failings:","")))/LEN("Quality of Works / Criteria of Failings:"),0)-IFERROR((LEN($T837)-LEN(SUBSTITUTE($T837,"Quality of Works / Criteria of Failings:Compliant","")))/LEN("Quality of Works / Criteria of Failings:Compliant"),0))</f>
        <v/>
      </c>
      <c r="Z836" s="122">
        <f>IFERROR($Y837/MAX(1,(LEN($I837)-LEN(SUBSTITUTE($I837," Ltd","")))/LEN(" Ltd")),0)</f>
        <v/>
      </c>
      <c r="AA836" s="122">
        <f>IFERROR(IFERROR((LEN($T837)-LEN(SUBSTITUTE($T837,"Quality of Works / Criteria of Failings:","")))/LEN("Quality of Works / Criteria of Failings:"),0)/MAX(1,(LEN($I837)-LEN(SUBSTITUTE($I837," Ltd","")))/LEN(" Ltd")),0)</f>
        <v/>
      </c>
      <c r="AB836" s="122">
        <f>IFERROR(IFERROR((LEN($T837)-LEN(SUBSTITUTE($T837,"Quality of Works / Criteria of Failings:Compliant","")))/LEN("Quality of Works / Criteria of Failings:Compliant"),0)/MAX(1,(LEN($I837)-LEN(SUBSTITUTE($I837," Ltd","")))/LEN(" Ltd")),0)</f>
        <v/>
      </c>
    </row>
    <row r="837" ht="15.75" customHeight="1" s="146">
      <c r="Y837" s="122">
        <f>MAX(0,IFERROR((LEN($T838)-LEN(SUBSTITUTE($T838,"Quality of Works / Criteria of Failings:","")))/LEN("Quality of Works / Criteria of Failings:"),0)-IFERROR((LEN($T838)-LEN(SUBSTITUTE($T838,"Quality of Works / Criteria of Failings:Compliant","")))/LEN("Quality of Works / Criteria of Failings:Compliant"),0))</f>
        <v/>
      </c>
      <c r="Z837" s="122">
        <f>IFERROR($Y838/MAX(1,(LEN($I838)-LEN(SUBSTITUTE($I838," Ltd","")))/LEN(" Ltd")),0)</f>
        <v/>
      </c>
      <c r="AA837" s="122">
        <f>IFERROR(IFERROR((LEN($T838)-LEN(SUBSTITUTE($T838,"Quality of Works / Criteria of Failings:","")))/LEN("Quality of Works / Criteria of Failings:"),0)/MAX(1,(LEN($I838)-LEN(SUBSTITUTE($I838," Ltd","")))/LEN(" Ltd")),0)</f>
        <v/>
      </c>
      <c r="AB837" s="122">
        <f>IFERROR(IFERROR((LEN($T838)-LEN(SUBSTITUTE($T838,"Quality of Works / Criteria of Failings:Compliant","")))/LEN("Quality of Works / Criteria of Failings:Compliant"),0)/MAX(1,(LEN($I838)-LEN(SUBSTITUTE($I838," Ltd","")))/LEN(" Ltd")),0)</f>
        <v/>
      </c>
    </row>
    <row r="838" ht="15.75" customHeight="1" s="146">
      <c r="Y838" s="122">
        <f>MAX(0,IFERROR((LEN($T839)-LEN(SUBSTITUTE($T839,"Quality of Works / Criteria of Failings:","")))/LEN("Quality of Works / Criteria of Failings:"),0)-IFERROR((LEN($T839)-LEN(SUBSTITUTE($T839,"Quality of Works / Criteria of Failings:Compliant","")))/LEN("Quality of Works / Criteria of Failings:Compliant"),0))</f>
        <v/>
      </c>
      <c r="Z838" s="122">
        <f>IFERROR($Y839/MAX(1,(LEN($I839)-LEN(SUBSTITUTE($I839," Ltd","")))/LEN(" Ltd")),0)</f>
        <v/>
      </c>
      <c r="AA838" s="122">
        <f>IFERROR(IFERROR((LEN($T839)-LEN(SUBSTITUTE($T839,"Quality of Works / Criteria of Failings:","")))/LEN("Quality of Works / Criteria of Failings:"),0)/MAX(1,(LEN($I839)-LEN(SUBSTITUTE($I839," Ltd","")))/LEN(" Ltd")),0)</f>
        <v/>
      </c>
      <c r="AB838" s="122">
        <f>IFERROR(IFERROR((LEN($T839)-LEN(SUBSTITUTE($T839,"Quality of Works / Criteria of Failings:Compliant","")))/LEN("Quality of Works / Criteria of Failings:Compliant"),0)/MAX(1,(LEN($I839)-LEN(SUBSTITUTE($I839," Ltd","")))/LEN(" Ltd")),0)</f>
        <v/>
      </c>
    </row>
    <row r="839" ht="15.75" customHeight="1" s="146">
      <c r="Y839" s="122">
        <f>MAX(0,IFERROR((LEN($T840)-LEN(SUBSTITUTE($T840,"Quality of Works / Criteria of Failings:","")))/LEN("Quality of Works / Criteria of Failings:"),0)-IFERROR((LEN($T840)-LEN(SUBSTITUTE($T840,"Quality of Works / Criteria of Failings:Compliant","")))/LEN("Quality of Works / Criteria of Failings:Compliant"),0))</f>
        <v/>
      </c>
      <c r="Z839" s="122">
        <f>IFERROR($Y840/MAX(1,(LEN($I840)-LEN(SUBSTITUTE($I840," Ltd","")))/LEN(" Ltd")),0)</f>
        <v/>
      </c>
      <c r="AA839" s="122">
        <f>IFERROR(IFERROR((LEN($T840)-LEN(SUBSTITUTE($T840,"Quality of Works / Criteria of Failings:","")))/LEN("Quality of Works / Criteria of Failings:"),0)/MAX(1,(LEN($I840)-LEN(SUBSTITUTE($I840," Ltd","")))/LEN(" Ltd")),0)</f>
        <v/>
      </c>
      <c r="AB839" s="122">
        <f>IFERROR(IFERROR((LEN($T840)-LEN(SUBSTITUTE($T840,"Quality of Works / Criteria of Failings:Compliant","")))/LEN("Quality of Works / Criteria of Failings:Compliant"),0)/MAX(1,(LEN($I840)-LEN(SUBSTITUTE($I840," Ltd","")))/LEN(" Ltd")),0)</f>
        <v/>
      </c>
    </row>
    <row r="840" ht="15.75" customHeight="1" s="146">
      <c r="Y840" s="122">
        <f>MAX(0,IFERROR((LEN($T841)-LEN(SUBSTITUTE($T841,"Quality of Works / Criteria of Failings:","")))/LEN("Quality of Works / Criteria of Failings:"),0)-IFERROR((LEN($T841)-LEN(SUBSTITUTE($T841,"Quality of Works / Criteria of Failings:Compliant","")))/LEN("Quality of Works / Criteria of Failings:Compliant"),0))</f>
        <v/>
      </c>
      <c r="Z840" s="122">
        <f>IFERROR($Y841/MAX(1,(LEN($I841)-LEN(SUBSTITUTE($I841," Ltd","")))/LEN(" Ltd")),0)</f>
        <v/>
      </c>
      <c r="AA840" s="122">
        <f>IFERROR(IFERROR((LEN($T841)-LEN(SUBSTITUTE($T841,"Quality of Works / Criteria of Failings:","")))/LEN("Quality of Works / Criteria of Failings:"),0)/MAX(1,(LEN($I841)-LEN(SUBSTITUTE($I841," Ltd","")))/LEN(" Ltd")),0)</f>
        <v/>
      </c>
      <c r="AB840" s="122">
        <f>IFERROR(IFERROR((LEN($T841)-LEN(SUBSTITUTE($T841,"Quality of Works / Criteria of Failings:Compliant","")))/LEN("Quality of Works / Criteria of Failings:Compliant"),0)/MAX(1,(LEN($I841)-LEN(SUBSTITUTE($I841," Ltd","")))/LEN(" Ltd")),0)</f>
        <v/>
      </c>
    </row>
    <row r="841" ht="15.75" customHeight="1" s="146">
      <c r="Y841" s="122">
        <f>MAX(0,IFERROR((LEN($T842)-LEN(SUBSTITUTE($T842,"Quality of Works / Criteria of Failings:","")))/LEN("Quality of Works / Criteria of Failings:"),0)-IFERROR((LEN($T842)-LEN(SUBSTITUTE($T842,"Quality of Works / Criteria of Failings:Compliant","")))/LEN("Quality of Works / Criteria of Failings:Compliant"),0))</f>
        <v/>
      </c>
      <c r="Z841" s="122">
        <f>IFERROR($Y842/MAX(1,(LEN($I842)-LEN(SUBSTITUTE($I842," Ltd","")))/LEN(" Ltd")),0)</f>
        <v/>
      </c>
      <c r="AA841" s="122">
        <f>IFERROR(IFERROR((LEN($T842)-LEN(SUBSTITUTE($T842,"Quality of Works / Criteria of Failings:","")))/LEN("Quality of Works / Criteria of Failings:"),0)/MAX(1,(LEN($I842)-LEN(SUBSTITUTE($I842," Ltd","")))/LEN(" Ltd")),0)</f>
        <v/>
      </c>
      <c r="AB841" s="122">
        <f>IFERROR(IFERROR((LEN($T842)-LEN(SUBSTITUTE($T842,"Quality of Works / Criteria of Failings:Compliant","")))/LEN("Quality of Works / Criteria of Failings:Compliant"),0)/MAX(1,(LEN($I842)-LEN(SUBSTITUTE($I842," Ltd","")))/LEN(" Ltd")),0)</f>
        <v/>
      </c>
    </row>
    <row r="842" ht="15.75" customHeight="1" s="146">
      <c r="Y842" s="122">
        <f>MAX(0,IFERROR((LEN($T843)-LEN(SUBSTITUTE($T843,"Quality of Works / Criteria of Failings:","")))/LEN("Quality of Works / Criteria of Failings:"),0)-IFERROR((LEN($T843)-LEN(SUBSTITUTE($T843,"Quality of Works / Criteria of Failings:Compliant","")))/LEN("Quality of Works / Criteria of Failings:Compliant"),0))</f>
        <v/>
      </c>
      <c r="Z842" s="122">
        <f>IFERROR($Y843/MAX(1,(LEN($I843)-LEN(SUBSTITUTE($I843," Ltd","")))/LEN(" Ltd")),0)</f>
        <v/>
      </c>
      <c r="AA842" s="122">
        <f>IFERROR(IFERROR((LEN($T843)-LEN(SUBSTITUTE($T843,"Quality of Works / Criteria of Failings:","")))/LEN("Quality of Works / Criteria of Failings:"),0)/MAX(1,(LEN($I843)-LEN(SUBSTITUTE($I843," Ltd","")))/LEN(" Ltd")),0)</f>
        <v/>
      </c>
      <c r="AB842" s="122">
        <f>IFERROR(IFERROR((LEN($T843)-LEN(SUBSTITUTE($T843,"Quality of Works / Criteria of Failings:Compliant","")))/LEN("Quality of Works / Criteria of Failings:Compliant"),0)/MAX(1,(LEN($I843)-LEN(SUBSTITUTE($I843," Ltd","")))/LEN(" Ltd")),0)</f>
        <v/>
      </c>
    </row>
    <row r="843" ht="15.75" customHeight="1" s="146">
      <c r="Y843" s="122">
        <f>MAX(0,IFERROR((LEN($T844)-LEN(SUBSTITUTE($T844,"Quality of Works / Criteria of Failings:","")))/LEN("Quality of Works / Criteria of Failings:"),0)-IFERROR((LEN($T844)-LEN(SUBSTITUTE($T844,"Quality of Works / Criteria of Failings:Compliant","")))/LEN("Quality of Works / Criteria of Failings:Compliant"),0))</f>
        <v/>
      </c>
      <c r="Z843" s="122">
        <f>IFERROR($Y844/MAX(1,(LEN($I844)-LEN(SUBSTITUTE($I844," Ltd","")))/LEN(" Ltd")),0)</f>
        <v/>
      </c>
      <c r="AA843" s="122">
        <f>IFERROR(IFERROR((LEN($T844)-LEN(SUBSTITUTE($T844,"Quality of Works / Criteria of Failings:","")))/LEN("Quality of Works / Criteria of Failings:"),0)/MAX(1,(LEN($I844)-LEN(SUBSTITUTE($I844," Ltd","")))/LEN(" Ltd")),0)</f>
        <v/>
      </c>
      <c r="AB843" s="122">
        <f>IFERROR(IFERROR((LEN($T844)-LEN(SUBSTITUTE($T844,"Quality of Works / Criteria of Failings:Compliant","")))/LEN("Quality of Works / Criteria of Failings:Compliant"),0)/MAX(1,(LEN($I844)-LEN(SUBSTITUTE($I844," Ltd","")))/LEN(" Ltd")),0)</f>
        <v/>
      </c>
    </row>
    <row r="844" ht="15.75" customHeight="1" s="146">
      <c r="Y844" s="122">
        <f>MAX(0,IFERROR((LEN($T845)-LEN(SUBSTITUTE($T845,"Quality of Works / Criteria of Failings:","")))/LEN("Quality of Works / Criteria of Failings:"),0)-IFERROR((LEN($T845)-LEN(SUBSTITUTE($T845,"Quality of Works / Criteria of Failings:Compliant","")))/LEN("Quality of Works / Criteria of Failings:Compliant"),0))</f>
        <v/>
      </c>
      <c r="Z844" s="122">
        <f>IFERROR($Y845/MAX(1,(LEN($I845)-LEN(SUBSTITUTE($I845," Ltd","")))/LEN(" Ltd")),0)</f>
        <v/>
      </c>
      <c r="AA844" s="122">
        <f>IFERROR(IFERROR((LEN($T845)-LEN(SUBSTITUTE($T845,"Quality of Works / Criteria of Failings:","")))/LEN("Quality of Works / Criteria of Failings:"),0)/MAX(1,(LEN($I845)-LEN(SUBSTITUTE($I845," Ltd","")))/LEN(" Ltd")),0)</f>
        <v/>
      </c>
      <c r="AB844" s="122">
        <f>IFERROR(IFERROR((LEN($T845)-LEN(SUBSTITUTE($T845,"Quality of Works / Criteria of Failings:Compliant","")))/LEN("Quality of Works / Criteria of Failings:Compliant"),0)/MAX(1,(LEN($I845)-LEN(SUBSTITUTE($I845," Ltd","")))/LEN(" Ltd")),0)</f>
        <v/>
      </c>
    </row>
    <row r="845" ht="15.75" customHeight="1" s="146">
      <c r="Y845" s="122">
        <f>MAX(0,IFERROR((LEN($T846)-LEN(SUBSTITUTE($T846,"Quality of Works / Criteria of Failings:","")))/LEN("Quality of Works / Criteria of Failings:"),0)-IFERROR((LEN($T846)-LEN(SUBSTITUTE($T846,"Quality of Works / Criteria of Failings:Compliant","")))/LEN("Quality of Works / Criteria of Failings:Compliant"),0))</f>
        <v/>
      </c>
      <c r="Z845" s="122">
        <f>IFERROR($Y846/MAX(1,(LEN($I846)-LEN(SUBSTITUTE($I846," Ltd","")))/LEN(" Ltd")),0)</f>
        <v/>
      </c>
      <c r="AA845" s="122">
        <f>IFERROR(IFERROR((LEN($T846)-LEN(SUBSTITUTE($T846,"Quality of Works / Criteria of Failings:","")))/LEN("Quality of Works / Criteria of Failings:"),0)/MAX(1,(LEN($I846)-LEN(SUBSTITUTE($I846," Ltd","")))/LEN(" Ltd")),0)</f>
        <v/>
      </c>
      <c r="AB845" s="122">
        <f>IFERROR(IFERROR((LEN($T846)-LEN(SUBSTITUTE($T846,"Quality of Works / Criteria of Failings:Compliant","")))/LEN("Quality of Works / Criteria of Failings:Compliant"),0)/MAX(1,(LEN($I846)-LEN(SUBSTITUTE($I846," Ltd","")))/LEN(" Ltd")),0)</f>
        <v/>
      </c>
    </row>
    <row r="846" ht="15.75" customHeight="1" s="146">
      <c r="Y846" s="122">
        <f>MAX(0,IFERROR((LEN($T847)-LEN(SUBSTITUTE($T847,"Quality of Works / Criteria of Failings:","")))/LEN("Quality of Works / Criteria of Failings:"),0)-IFERROR((LEN($T847)-LEN(SUBSTITUTE($T847,"Quality of Works / Criteria of Failings:Compliant","")))/LEN("Quality of Works / Criteria of Failings:Compliant"),0))</f>
        <v/>
      </c>
      <c r="Z846" s="122">
        <f>IFERROR($Y847/MAX(1,(LEN($I847)-LEN(SUBSTITUTE($I847," Ltd","")))/LEN(" Ltd")),0)</f>
        <v/>
      </c>
      <c r="AA846" s="122">
        <f>IFERROR(IFERROR((LEN($T847)-LEN(SUBSTITUTE($T847,"Quality of Works / Criteria of Failings:","")))/LEN("Quality of Works / Criteria of Failings:"),0)/MAX(1,(LEN($I847)-LEN(SUBSTITUTE($I847," Ltd","")))/LEN(" Ltd")),0)</f>
        <v/>
      </c>
      <c r="AB846" s="122">
        <f>IFERROR(IFERROR((LEN($T847)-LEN(SUBSTITUTE($T847,"Quality of Works / Criteria of Failings:Compliant","")))/LEN("Quality of Works / Criteria of Failings:Compliant"),0)/MAX(1,(LEN($I847)-LEN(SUBSTITUTE($I847," Ltd","")))/LEN(" Ltd")),0)</f>
        <v/>
      </c>
    </row>
    <row r="847" ht="15.75" customHeight="1" s="146">
      <c r="Y847" s="122">
        <f>MAX(0,IFERROR((LEN($T848)-LEN(SUBSTITUTE($T848,"Quality of Works / Criteria of Failings:","")))/LEN("Quality of Works / Criteria of Failings:"),0)-IFERROR((LEN($T848)-LEN(SUBSTITUTE($T848,"Quality of Works / Criteria of Failings:Compliant","")))/LEN("Quality of Works / Criteria of Failings:Compliant"),0))</f>
        <v/>
      </c>
      <c r="Z847" s="122">
        <f>IFERROR($Y848/MAX(1,(LEN($I848)-LEN(SUBSTITUTE($I848," Ltd","")))/LEN(" Ltd")),0)</f>
        <v/>
      </c>
      <c r="AA847" s="122">
        <f>IFERROR(IFERROR((LEN($T848)-LEN(SUBSTITUTE($T848,"Quality of Works / Criteria of Failings:","")))/LEN("Quality of Works / Criteria of Failings:"),0)/MAX(1,(LEN($I848)-LEN(SUBSTITUTE($I848," Ltd","")))/LEN(" Ltd")),0)</f>
        <v/>
      </c>
      <c r="AB847" s="122">
        <f>IFERROR(IFERROR((LEN($T848)-LEN(SUBSTITUTE($T848,"Quality of Works / Criteria of Failings:Compliant","")))/LEN("Quality of Works / Criteria of Failings:Compliant"),0)/MAX(1,(LEN($I848)-LEN(SUBSTITUTE($I848," Ltd","")))/LEN(" Ltd")),0)</f>
        <v/>
      </c>
    </row>
    <row r="848" ht="15.75" customHeight="1" s="146">
      <c r="Y848" s="122">
        <f>MAX(0,IFERROR((LEN($T849)-LEN(SUBSTITUTE($T849,"Quality of Works / Criteria of Failings:","")))/LEN("Quality of Works / Criteria of Failings:"),0)-IFERROR((LEN($T849)-LEN(SUBSTITUTE($T849,"Quality of Works / Criteria of Failings:Compliant","")))/LEN("Quality of Works / Criteria of Failings:Compliant"),0))</f>
        <v/>
      </c>
      <c r="Z848" s="122">
        <f>IFERROR($Y849/MAX(1,(LEN($I849)-LEN(SUBSTITUTE($I849," Ltd","")))/LEN(" Ltd")),0)</f>
        <v/>
      </c>
      <c r="AA848" s="122">
        <f>IFERROR(IFERROR((LEN($T849)-LEN(SUBSTITUTE($T849,"Quality of Works / Criteria of Failings:","")))/LEN("Quality of Works / Criteria of Failings:"),0)/MAX(1,(LEN($I849)-LEN(SUBSTITUTE($I849," Ltd","")))/LEN(" Ltd")),0)</f>
        <v/>
      </c>
      <c r="AB848" s="122">
        <f>IFERROR(IFERROR((LEN($T849)-LEN(SUBSTITUTE($T849,"Quality of Works / Criteria of Failings:Compliant","")))/LEN("Quality of Works / Criteria of Failings:Compliant"),0)/MAX(1,(LEN($I849)-LEN(SUBSTITUTE($I849," Ltd","")))/LEN(" Ltd")),0)</f>
        <v/>
      </c>
    </row>
    <row r="849" ht="15.75" customHeight="1" s="146">
      <c r="Y849" s="122">
        <f>MAX(0,IFERROR((LEN($T850)-LEN(SUBSTITUTE($T850,"Quality of Works / Criteria of Failings:","")))/LEN("Quality of Works / Criteria of Failings:"),0)-IFERROR((LEN($T850)-LEN(SUBSTITUTE($T850,"Quality of Works / Criteria of Failings:Compliant","")))/LEN("Quality of Works / Criteria of Failings:Compliant"),0))</f>
        <v/>
      </c>
      <c r="Z849" s="122">
        <f>IFERROR($Y850/MAX(1,(LEN($I850)-LEN(SUBSTITUTE($I850," Ltd","")))/LEN(" Ltd")),0)</f>
        <v/>
      </c>
      <c r="AA849" s="122">
        <f>IFERROR(IFERROR((LEN($T850)-LEN(SUBSTITUTE($T850,"Quality of Works / Criteria of Failings:","")))/LEN("Quality of Works / Criteria of Failings:"),0)/MAX(1,(LEN($I850)-LEN(SUBSTITUTE($I850," Ltd","")))/LEN(" Ltd")),0)</f>
        <v/>
      </c>
      <c r="AB849" s="122">
        <f>IFERROR(IFERROR((LEN($T850)-LEN(SUBSTITUTE($T850,"Quality of Works / Criteria of Failings:Compliant","")))/LEN("Quality of Works / Criteria of Failings:Compliant"),0)/MAX(1,(LEN($I850)-LEN(SUBSTITUTE($I850," Ltd","")))/LEN(" Ltd")),0)</f>
        <v/>
      </c>
    </row>
    <row r="850" ht="15.75" customHeight="1" s="146">
      <c r="Y850" s="122">
        <f>MAX(0,IFERROR((LEN($T851)-LEN(SUBSTITUTE($T851,"Quality of Works / Criteria of Failings:","")))/LEN("Quality of Works / Criteria of Failings:"),0)-IFERROR((LEN($T851)-LEN(SUBSTITUTE($T851,"Quality of Works / Criteria of Failings:Compliant","")))/LEN("Quality of Works / Criteria of Failings:Compliant"),0))</f>
        <v/>
      </c>
      <c r="Z850" s="122">
        <f>IFERROR($Y851/MAX(1,(LEN($I851)-LEN(SUBSTITUTE($I851," Ltd","")))/LEN(" Ltd")),0)</f>
        <v/>
      </c>
      <c r="AA850" s="122">
        <f>IFERROR(IFERROR((LEN($T851)-LEN(SUBSTITUTE($T851,"Quality of Works / Criteria of Failings:","")))/LEN("Quality of Works / Criteria of Failings:"),0)/MAX(1,(LEN($I851)-LEN(SUBSTITUTE($I851," Ltd","")))/LEN(" Ltd")),0)</f>
        <v/>
      </c>
      <c r="AB850" s="122">
        <f>IFERROR(IFERROR((LEN($T851)-LEN(SUBSTITUTE($T851,"Quality of Works / Criteria of Failings:Compliant","")))/LEN("Quality of Works / Criteria of Failings:Compliant"),0)/MAX(1,(LEN($I851)-LEN(SUBSTITUTE($I851," Ltd","")))/LEN(" Ltd")),0)</f>
        <v/>
      </c>
    </row>
    <row r="851" ht="15.75" customHeight="1" s="146">
      <c r="Y851" s="122">
        <f>MAX(0,IFERROR((LEN($T852)-LEN(SUBSTITUTE($T852,"Quality of Works / Criteria of Failings:","")))/LEN("Quality of Works / Criteria of Failings:"),0)-IFERROR((LEN($T852)-LEN(SUBSTITUTE($T852,"Quality of Works / Criteria of Failings:Compliant","")))/LEN("Quality of Works / Criteria of Failings:Compliant"),0))</f>
        <v/>
      </c>
      <c r="Z851" s="122">
        <f>IFERROR($Y852/MAX(1,(LEN($I852)-LEN(SUBSTITUTE($I852," Ltd","")))/LEN(" Ltd")),0)</f>
        <v/>
      </c>
      <c r="AA851" s="122">
        <f>IFERROR(IFERROR((LEN($T852)-LEN(SUBSTITUTE($T852,"Quality of Works / Criteria of Failings:","")))/LEN("Quality of Works / Criteria of Failings:"),0)/MAX(1,(LEN($I852)-LEN(SUBSTITUTE($I852," Ltd","")))/LEN(" Ltd")),0)</f>
        <v/>
      </c>
      <c r="AB851" s="122">
        <f>IFERROR(IFERROR((LEN($T852)-LEN(SUBSTITUTE($T852,"Quality of Works / Criteria of Failings:Compliant","")))/LEN("Quality of Works / Criteria of Failings:Compliant"),0)/MAX(1,(LEN($I852)-LEN(SUBSTITUTE($I852," Ltd","")))/LEN(" Ltd")),0)</f>
        <v/>
      </c>
    </row>
    <row r="852" ht="15.75" customHeight="1" s="146">
      <c r="Y852" s="122">
        <f>MAX(0,IFERROR((LEN($T853)-LEN(SUBSTITUTE($T853,"Quality of Works / Criteria of Failings:","")))/LEN("Quality of Works / Criteria of Failings:"),0)-IFERROR((LEN($T853)-LEN(SUBSTITUTE($T853,"Quality of Works / Criteria of Failings:Compliant","")))/LEN("Quality of Works / Criteria of Failings:Compliant"),0))</f>
        <v/>
      </c>
      <c r="Z852" s="122">
        <f>IFERROR($Y853/MAX(1,(LEN($I853)-LEN(SUBSTITUTE($I853," Ltd","")))/LEN(" Ltd")),0)</f>
        <v/>
      </c>
      <c r="AA852" s="122">
        <f>IFERROR(IFERROR((LEN($T853)-LEN(SUBSTITUTE($T853,"Quality of Works / Criteria of Failings:","")))/LEN("Quality of Works / Criteria of Failings:"),0)/MAX(1,(LEN($I853)-LEN(SUBSTITUTE($I853," Ltd","")))/LEN(" Ltd")),0)</f>
        <v/>
      </c>
      <c r="AB852" s="122">
        <f>IFERROR(IFERROR((LEN($T853)-LEN(SUBSTITUTE($T853,"Quality of Works / Criteria of Failings:Compliant","")))/LEN("Quality of Works / Criteria of Failings:Compliant"),0)/MAX(1,(LEN($I853)-LEN(SUBSTITUTE($I853," Ltd","")))/LEN(" Ltd")),0)</f>
        <v/>
      </c>
    </row>
    <row r="853" ht="15.75" customHeight="1" s="146">
      <c r="Y853" s="122">
        <f>MAX(0,IFERROR((LEN($T854)-LEN(SUBSTITUTE($T854,"Quality of Works / Criteria of Failings:","")))/LEN("Quality of Works / Criteria of Failings:"),0)-IFERROR((LEN($T854)-LEN(SUBSTITUTE($T854,"Quality of Works / Criteria of Failings:Compliant","")))/LEN("Quality of Works / Criteria of Failings:Compliant"),0))</f>
        <v/>
      </c>
      <c r="Z853" s="122">
        <f>IFERROR($Y854/MAX(1,(LEN($I854)-LEN(SUBSTITUTE($I854," Ltd","")))/LEN(" Ltd")),0)</f>
        <v/>
      </c>
      <c r="AA853" s="122">
        <f>IFERROR(IFERROR((LEN($T854)-LEN(SUBSTITUTE($T854,"Quality of Works / Criteria of Failings:","")))/LEN("Quality of Works / Criteria of Failings:"),0)/MAX(1,(LEN($I854)-LEN(SUBSTITUTE($I854," Ltd","")))/LEN(" Ltd")),0)</f>
        <v/>
      </c>
      <c r="AB853" s="122">
        <f>IFERROR(IFERROR((LEN($T854)-LEN(SUBSTITUTE($T854,"Quality of Works / Criteria of Failings:Compliant","")))/LEN("Quality of Works / Criteria of Failings:Compliant"),0)/MAX(1,(LEN($I854)-LEN(SUBSTITUTE($I854," Ltd","")))/LEN(" Ltd")),0)</f>
        <v/>
      </c>
    </row>
    <row r="854" ht="15.75" customHeight="1" s="146">
      <c r="Y854" s="122">
        <f>MAX(0,IFERROR((LEN($T855)-LEN(SUBSTITUTE($T855,"Quality of Works / Criteria of Failings:","")))/LEN("Quality of Works / Criteria of Failings:"),0)-IFERROR((LEN($T855)-LEN(SUBSTITUTE($T855,"Quality of Works / Criteria of Failings:Compliant","")))/LEN("Quality of Works / Criteria of Failings:Compliant"),0))</f>
        <v/>
      </c>
      <c r="Z854" s="122">
        <f>IFERROR($Y855/MAX(1,(LEN($I855)-LEN(SUBSTITUTE($I855," Ltd","")))/LEN(" Ltd")),0)</f>
        <v/>
      </c>
      <c r="AA854" s="122">
        <f>IFERROR(IFERROR((LEN($T855)-LEN(SUBSTITUTE($T855,"Quality of Works / Criteria of Failings:","")))/LEN("Quality of Works / Criteria of Failings:"),0)/MAX(1,(LEN($I855)-LEN(SUBSTITUTE($I855," Ltd","")))/LEN(" Ltd")),0)</f>
        <v/>
      </c>
      <c r="AB854" s="122">
        <f>IFERROR(IFERROR((LEN($T855)-LEN(SUBSTITUTE($T855,"Quality of Works / Criteria of Failings:Compliant","")))/LEN("Quality of Works / Criteria of Failings:Compliant"),0)/MAX(1,(LEN($I855)-LEN(SUBSTITUTE($I855," Ltd","")))/LEN(" Ltd")),0)</f>
        <v/>
      </c>
    </row>
    <row r="855" ht="15.75" customHeight="1" s="146">
      <c r="Y855" s="122">
        <f>MAX(0,IFERROR((LEN($T856)-LEN(SUBSTITUTE($T856,"Quality of Works / Criteria of Failings:","")))/LEN("Quality of Works / Criteria of Failings:"),0)-IFERROR((LEN($T856)-LEN(SUBSTITUTE($T856,"Quality of Works / Criteria of Failings:Compliant","")))/LEN("Quality of Works / Criteria of Failings:Compliant"),0))</f>
        <v/>
      </c>
      <c r="Z855" s="122">
        <f>IFERROR($Y856/MAX(1,(LEN($I856)-LEN(SUBSTITUTE($I856," Ltd","")))/LEN(" Ltd")),0)</f>
        <v/>
      </c>
      <c r="AA855" s="122">
        <f>IFERROR(IFERROR((LEN($T856)-LEN(SUBSTITUTE($T856,"Quality of Works / Criteria of Failings:","")))/LEN("Quality of Works / Criteria of Failings:"),0)/MAX(1,(LEN($I856)-LEN(SUBSTITUTE($I856," Ltd","")))/LEN(" Ltd")),0)</f>
        <v/>
      </c>
      <c r="AB855" s="122">
        <f>IFERROR(IFERROR((LEN($T856)-LEN(SUBSTITUTE($T856,"Quality of Works / Criteria of Failings:Compliant","")))/LEN("Quality of Works / Criteria of Failings:Compliant"),0)/MAX(1,(LEN($I856)-LEN(SUBSTITUTE($I856," Ltd","")))/LEN(" Ltd")),0)</f>
        <v/>
      </c>
    </row>
    <row r="856" ht="15.75" customHeight="1" s="146">
      <c r="Y856" s="122">
        <f>MAX(0,IFERROR((LEN($T857)-LEN(SUBSTITUTE($T857,"Quality of Works / Criteria of Failings:","")))/LEN("Quality of Works / Criteria of Failings:"),0)-IFERROR((LEN($T857)-LEN(SUBSTITUTE($T857,"Quality of Works / Criteria of Failings:Compliant","")))/LEN("Quality of Works / Criteria of Failings:Compliant"),0))</f>
        <v/>
      </c>
      <c r="Z856" s="122">
        <f>IFERROR($Y857/MAX(1,(LEN($I857)-LEN(SUBSTITUTE($I857," Ltd","")))/LEN(" Ltd")),0)</f>
        <v/>
      </c>
      <c r="AA856" s="122">
        <f>IFERROR(IFERROR((LEN($T857)-LEN(SUBSTITUTE($T857,"Quality of Works / Criteria of Failings:","")))/LEN("Quality of Works / Criteria of Failings:"),0)/MAX(1,(LEN($I857)-LEN(SUBSTITUTE($I857," Ltd","")))/LEN(" Ltd")),0)</f>
        <v/>
      </c>
      <c r="AB856" s="122">
        <f>IFERROR(IFERROR((LEN($T857)-LEN(SUBSTITUTE($T857,"Quality of Works / Criteria of Failings:Compliant","")))/LEN("Quality of Works / Criteria of Failings:Compliant"),0)/MAX(1,(LEN($I857)-LEN(SUBSTITUTE($I857," Ltd","")))/LEN(" Ltd")),0)</f>
        <v/>
      </c>
    </row>
    <row r="857" ht="15.75" customHeight="1" s="146">
      <c r="Y857" s="122">
        <f>MAX(0,IFERROR((LEN($T858)-LEN(SUBSTITUTE($T858,"Quality of Works / Criteria of Failings:","")))/LEN("Quality of Works / Criteria of Failings:"),0)-IFERROR((LEN($T858)-LEN(SUBSTITUTE($T858,"Quality of Works / Criteria of Failings:Compliant","")))/LEN("Quality of Works / Criteria of Failings:Compliant"),0))</f>
        <v/>
      </c>
      <c r="Z857" s="122">
        <f>IFERROR($Y858/MAX(1,(LEN($I858)-LEN(SUBSTITUTE($I858," Ltd","")))/LEN(" Ltd")),0)</f>
        <v/>
      </c>
      <c r="AA857" s="122">
        <f>IFERROR(IFERROR((LEN($T858)-LEN(SUBSTITUTE($T858,"Quality of Works / Criteria of Failings:","")))/LEN("Quality of Works / Criteria of Failings:"),0)/MAX(1,(LEN($I858)-LEN(SUBSTITUTE($I858," Ltd","")))/LEN(" Ltd")),0)</f>
        <v/>
      </c>
      <c r="AB857" s="122">
        <f>IFERROR(IFERROR((LEN($T858)-LEN(SUBSTITUTE($T858,"Quality of Works / Criteria of Failings:Compliant","")))/LEN("Quality of Works / Criteria of Failings:Compliant"),0)/MAX(1,(LEN($I858)-LEN(SUBSTITUTE($I858," Ltd","")))/LEN(" Ltd")),0)</f>
        <v/>
      </c>
    </row>
    <row r="858" ht="15.75" customHeight="1" s="146">
      <c r="Y858" s="122">
        <f>MAX(0,IFERROR((LEN($T859)-LEN(SUBSTITUTE($T859,"Quality of Works / Criteria of Failings:","")))/LEN("Quality of Works / Criteria of Failings:"),0)-IFERROR((LEN($T859)-LEN(SUBSTITUTE($T859,"Quality of Works / Criteria of Failings:Compliant","")))/LEN("Quality of Works / Criteria of Failings:Compliant"),0))</f>
        <v/>
      </c>
      <c r="Z858" s="122">
        <f>IFERROR($Y859/MAX(1,(LEN($I859)-LEN(SUBSTITUTE($I859," Ltd","")))/LEN(" Ltd")),0)</f>
        <v/>
      </c>
      <c r="AA858" s="122">
        <f>IFERROR(IFERROR((LEN($T859)-LEN(SUBSTITUTE($T859,"Quality of Works / Criteria of Failings:","")))/LEN("Quality of Works / Criteria of Failings:"),0)/MAX(1,(LEN($I859)-LEN(SUBSTITUTE($I859," Ltd","")))/LEN(" Ltd")),0)</f>
        <v/>
      </c>
      <c r="AB858" s="122">
        <f>IFERROR(IFERROR((LEN($T859)-LEN(SUBSTITUTE($T859,"Quality of Works / Criteria of Failings:Compliant","")))/LEN("Quality of Works / Criteria of Failings:Compliant"),0)/MAX(1,(LEN($I859)-LEN(SUBSTITUTE($I859," Ltd","")))/LEN(" Ltd")),0)</f>
        <v/>
      </c>
    </row>
    <row r="859" ht="15.75" customHeight="1" s="146">
      <c r="Y859" s="122">
        <f>MAX(0,IFERROR((LEN($T860)-LEN(SUBSTITUTE($T860,"Quality of Works / Criteria of Failings:","")))/LEN("Quality of Works / Criteria of Failings:"),0)-IFERROR((LEN($T860)-LEN(SUBSTITUTE($T860,"Quality of Works / Criteria of Failings:Compliant","")))/LEN("Quality of Works / Criteria of Failings:Compliant"),0))</f>
        <v/>
      </c>
      <c r="Z859" s="122">
        <f>IFERROR($Y860/MAX(1,(LEN($I860)-LEN(SUBSTITUTE($I860," Ltd","")))/LEN(" Ltd")),0)</f>
        <v/>
      </c>
      <c r="AA859" s="122">
        <f>IFERROR(IFERROR((LEN($T860)-LEN(SUBSTITUTE($T860,"Quality of Works / Criteria of Failings:","")))/LEN("Quality of Works / Criteria of Failings:"),0)/MAX(1,(LEN($I860)-LEN(SUBSTITUTE($I860," Ltd","")))/LEN(" Ltd")),0)</f>
        <v/>
      </c>
      <c r="AB859" s="122">
        <f>IFERROR(IFERROR((LEN($T860)-LEN(SUBSTITUTE($T860,"Quality of Works / Criteria of Failings:Compliant","")))/LEN("Quality of Works / Criteria of Failings:Compliant"),0)/MAX(1,(LEN($I860)-LEN(SUBSTITUTE($I860," Ltd","")))/LEN(" Ltd")),0)</f>
        <v/>
      </c>
    </row>
    <row r="860" ht="15.75" customHeight="1" s="146">
      <c r="Y860" s="122">
        <f>MAX(0,IFERROR((LEN($T861)-LEN(SUBSTITUTE($T861,"Quality of Works / Criteria of Failings:","")))/LEN("Quality of Works / Criteria of Failings:"),0)-IFERROR((LEN($T861)-LEN(SUBSTITUTE($T861,"Quality of Works / Criteria of Failings:Compliant","")))/LEN("Quality of Works / Criteria of Failings:Compliant"),0))</f>
        <v/>
      </c>
      <c r="Z860" s="122">
        <f>IFERROR($Y861/MAX(1,(LEN($I861)-LEN(SUBSTITUTE($I861," Ltd","")))/LEN(" Ltd")),0)</f>
        <v/>
      </c>
      <c r="AA860" s="122">
        <f>IFERROR(IFERROR((LEN($T861)-LEN(SUBSTITUTE($T861,"Quality of Works / Criteria of Failings:","")))/LEN("Quality of Works / Criteria of Failings:"),0)/MAX(1,(LEN($I861)-LEN(SUBSTITUTE($I861," Ltd","")))/LEN(" Ltd")),0)</f>
        <v/>
      </c>
      <c r="AB860" s="122">
        <f>IFERROR(IFERROR((LEN($T861)-LEN(SUBSTITUTE($T861,"Quality of Works / Criteria of Failings:Compliant","")))/LEN("Quality of Works / Criteria of Failings:Compliant"),0)/MAX(1,(LEN($I861)-LEN(SUBSTITUTE($I861," Ltd","")))/LEN(" Ltd")),0)</f>
        <v/>
      </c>
    </row>
    <row r="861" ht="15.75" customHeight="1" s="146">
      <c r="Y861" s="122">
        <f>MAX(0,IFERROR((LEN($T862)-LEN(SUBSTITUTE($T862,"Quality of Works / Criteria of Failings:","")))/LEN("Quality of Works / Criteria of Failings:"),0)-IFERROR((LEN($T862)-LEN(SUBSTITUTE($T862,"Quality of Works / Criteria of Failings:Compliant","")))/LEN("Quality of Works / Criteria of Failings:Compliant"),0))</f>
        <v/>
      </c>
      <c r="Z861" s="122">
        <f>IFERROR($Y862/MAX(1,(LEN($I862)-LEN(SUBSTITUTE($I862," Ltd","")))/LEN(" Ltd")),0)</f>
        <v/>
      </c>
      <c r="AA861" s="122">
        <f>IFERROR(IFERROR((LEN($T862)-LEN(SUBSTITUTE($T862,"Quality of Works / Criteria of Failings:","")))/LEN("Quality of Works / Criteria of Failings:"),0)/MAX(1,(LEN($I862)-LEN(SUBSTITUTE($I862," Ltd","")))/LEN(" Ltd")),0)</f>
        <v/>
      </c>
      <c r="AB861" s="122">
        <f>IFERROR(IFERROR((LEN($T862)-LEN(SUBSTITUTE($T862,"Quality of Works / Criteria of Failings:Compliant","")))/LEN("Quality of Works / Criteria of Failings:Compliant"),0)/MAX(1,(LEN($I862)-LEN(SUBSTITUTE($I862," Ltd","")))/LEN(" Ltd")),0)</f>
        <v/>
      </c>
    </row>
    <row r="862" ht="15.75" customHeight="1" s="146">
      <c r="Y862" s="122">
        <f>MAX(0,IFERROR((LEN($T863)-LEN(SUBSTITUTE($T863,"Quality of Works / Criteria of Failings:","")))/LEN("Quality of Works / Criteria of Failings:"),0)-IFERROR((LEN($T863)-LEN(SUBSTITUTE($T863,"Quality of Works / Criteria of Failings:Compliant","")))/LEN("Quality of Works / Criteria of Failings:Compliant"),0))</f>
        <v/>
      </c>
      <c r="Z862" s="122">
        <f>IFERROR($Y863/MAX(1,(LEN($I863)-LEN(SUBSTITUTE($I863," Ltd","")))/LEN(" Ltd")),0)</f>
        <v/>
      </c>
      <c r="AA862" s="122">
        <f>IFERROR(IFERROR((LEN($T863)-LEN(SUBSTITUTE($T863,"Quality of Works / Criteria of Failings:","")))/LEN("Quality of Works / Criteria of Failings:"),0)/MAX(1,(LEN($I863)-LEN(SUBSTITUTE($I863," Ltd","")))/LEN(" Ltd")),0)</f>
        <v/>
      </c>
      <c r="AB862" s="122">
        <f>IFERROR(IFERROR((LEN($T863)-LEN(SUBSTITUTE($T863,"Quality of Works / Criteria of Failings:Compliant","")))/LEN("Quality of Works / Criteria of Failings:Compliant"),0)/MAX(1,(LEN($I863)-LEN(SUBSTITUTE($I863," Ltd","")))/LEN(" Ltd")),0)</f>
        <v/>
      </c>
    </row>
    <row r="863" ht="15.75" customHeight="1" s="146">
      <c r="Y863" s="122">
        <f>MAX(0,IFERROR((LEN($T864)-LEN(SUBSTITUTE($T864,"Quality of Works / Criteria of Failings:","")))/LEN("Quality of Works / Criteria of Failings:"),0)-IFERROR((LEN($T864)-LEN(SUBSTITUTE($T864,"Quality of Works / Criteria of Failings:Compliant","")))/LEN("Quality of Works / Criteria of Failings:Compliant"),0))</f>
        <v/>
      </c>
      <c r="Z863" s="122">
        <f>IFERROR($Y864/MAX(1,(LEN($I864)-LEN(SUBSTITUTE($I864," Ltd","")))/LEN(" Ltd")),0)</f>
        <v/>
      </c>
      <c r="AA863" s="122">
        <f>IFERROR(IFERROR((LEN($T864)-LEN(SUBSTITUTE($T864,"Quality of Works / Criteria of Failings:","")))/LEN("Quality of Works / Criteria of Failings:"),0)/MAX(1,(LEN($I864)-LEN(SUBSTITUTE($I864," Ltd","")))/LEN(" Ltd")),0)</f>
        <v/>
      </c>
      <c r="AB863" s="122">
        <f>IFERROR(IFERROR((LEN($T864)-LEN(SUBSTITUTE($T864,"Quality of Works / Criteria of Failings:Compliant","")))/LEN("Quality of Works / Criteria of Failings:Compliant"),0)/MAX(1,(LEN($I864)-LEN(SUBSTITUTE($I864," Ltd","")))/LEN(" Ltd")),0)</f>
        <v/>
      </c>
    </row>
    <row r="864" ht="15.75" customHeight="1" s="146">
      <c r="Y864" s="122">
        <f>MAX(0,IFERROR((LEN($T865)-LEN(SUBSTITUTE($T865,"Quality of Works / Criteria of Failings:","")))/LEN("Quality of Works / Criteria of Failings:"),0)-IFERROR((LEN($T865)-LEN(SUBSTITUTE($T865,"Quality of Works / Criteria of Failings:Compliant","")))/LEN("Quality of Works / Criteria of Failings:Compliant"),0))</f>
        <v/>
      </c>
      <c r="Z864" s="122">
        <f>IFERROR($Y865/MAX(1,(LEN($I865)-LEN(SUBSTITUTE($I865," Ltd","")))/LEN(" Ltd")),0)</f>
        <v/>
      </c>
      <c r="AA864" s="122">
        <f>IFERROR(IFERROR((LEN($T865)-LEN(SUBSTITUTE($T865,"Quality of Works / Criteria of Failings:","")))/LEN("Quality of Works / Criteria of Failings:"),0)/MAX(1,(LEN($I865)-LEN(SUBSTITUTE($I865," Ltd","")))/LEN(" Ltd")),0)</f>
        <v/>
      </c>
      <c r="AB864" s="122">
        <f>IFERROR(IFERROR((LEN($T865)-LEN(SUBSTITUTE($T865,"Quality of Works / Criteria of Failings:Compliant","")))/LEN("Quality of Works / Criteria of Failings:Compliant"),0)/MAX(1,(LEN($I865)-LEN(SUBSTITUTE($I865," Ltd","")))/LEN(" Ltd")),0)</f>
        <v/>
      </c>
    </row>
    <row r="865" ht="15.75" customHeight="1" s="146">
      <c r="Y865" s="122">
        <f>MAX(0,IFERROR((LEN($T866)-LEN(SUBSTITUTE($T866,"Quality of Works / Criteria of Failings:","")))/LEN("Quality of Works / Criteria of Failings:"),0)-IFERROR((LEN($T866)-LEN(SUBSTITUTE($T866,"Quality of Works / Criteria of Failings:Compliant","")))/LEN("Quality of Works / Criteria of Failings:Compliant"),0))</f>
        <v/>
      </c>
      <c r="Z865" s="122">
        <f>IFERROR($Y866/MAX(1,(LEN($I866)-LEN(SUBSTITUTE($I866," Ltd","")))/LEN(" Ltd")),0)</f>
        <v/>
      </c>
      <c r="AA865" s="122">
        <f>IFERROR(IFERROR((LEN($T866)-LEN(SUBSTITUTE($T866,"Quality of Works / Criteria of Failings:","")))/LEN("Quality of Works / Criteria of Failings:"),0)/MAX(1,(LEN($I866)-LEN(SUBSTITUTE($I866," Ltd","")))/LEN(" Ltd")),0)</f>
        <v/>
      </c>
      <c r="AB865" s="122">
        <f>IFERROR(IFERROR((LEN($T866)-LEN(SUBSTITUTE($T866,"Quality of Works / Criteria of Failings:Compliant","")))/LEN("Quality of Works / Criteria of Failings:Compliant"),0)/MAX(1,(LEN($I866)-LEN(SUBSTITUTE($I866," Ltd","")))/LEN(" Ltd")),0)</f>
        <v/>
      </c>
    </row>
    <row r="866" ht="15.75" customHeight="1" s="146">
      <c r="Y866" s="122">
        <f>MAX(0,IFERROR((LEN($T867)-LEN(SUBSTITUTE($T867,"Quality of Works / Criteria of Failings:","")))/LEN("Quality of Works / Criteria of Failings:"),0)-IFERROR((LEN($T867)-LEN(SUBSTITUTE($T867,"Quality of Works / Criteria of Failings:Compliant","")))/LEN("Quality of Works / Criteria of Failings:Compliant"),0))</f>
        <v/>
      </c>
      <c r="Z866" s="122">
        <f>IFERROR($Y867/MAX(1,(LEN($I867)-LEN(SUBSTITUTE($I867," Ltd","")))/LEN(" Ltd")),0)</f>
        <v/>
      </c>
      <c r="AA866" s="122">
        <f>IFERROR(IFERROR((LEN($T867)-LEN(SUBSTITUTE($T867,"Quality of Works / Criteria of Failings:","")))/LEN("Quality of Works / Criteria of Failings:"),0)/MAX(1,(LEN($I867)-LEN(SUBSTITUTE($I867," Ltd","")))/LEN(" Ltd")),0)</f>
        <v/>
      </c>
      <c r="AB866" s="122">
        <f>IFERROR(IFERROR((LEN($T867)-LEN(SUBSTITUTE($T867,"Quality of Works / Criteria of Failings:Compliant","")))/LEN("Quality of Works / Criteria of Failings:Compliant"),0)/MAX(1,(LEN($I867)-LEN(SUBSTITUTE($I867," Ltd","")))/LEN(" Ltd")),0)</f>
        <v/>
      </c>
    </row>
    <row r="867" ht="15.75" customHeight="1" s="146">
      <c r="Y867" s="122">
        <f>MAX(0,IFERROR((LEN($T868)-LEN(SUBSTITUTE($T868,"Quality of Works / Criteria of Failings:","")))/LEN("Quality of Works / Criteria of Failings:"),0)-IFERROR((LEN($T868)-LEN(SUBSTITUTE($T868,"Quality of Works / Criteria of Failings:Compliant","")))/LEN("Quality of Works / Criteria of Failings:Compliant"),0))</f>
        <v/>
      </c>
      <c r="Z867" s="122">
        <f>IFERROR($Y868/MAX(1,(LEN($I868)-LEN(SUBSTITUTE($I868," Ltd","")))/LEN(" Ltd")),0)</f>
        <v/>
      </c>
      <c r="AA867" s="122">
        <f>IFERROR(IFERROR((LEN($T868)-LEN(SUBSTITUTE($T868,"Quality of Works / Criteria of Failings:","")))/LEN("Quality of Works / Criteria of Failings:"),0)/MAX(1,(LEN($I868)-LEN(SUBSTITUTE($I868," Ltd","")))/LEN(" Ltd")),0)</f>
        <v/>
      </c>
      <c r="AB867" s="122">
        <f>IFERROR(IFERROR((LEN($T868)-LEN(SUBSTITUTE($T868,"Quality of Works / Criteria of Failings:Compliant","")))/LEN("Quality of Works / Criteria of Failings:Compliant"),0)/MAX(1,(LEN($I868)-LEN(SUBSTITUTE($I868," Ltd","")))/LEN(" Ltd")),0)</f>
        <v/>
      </c>
    </row>
    <row r="868" ht="15.75" customHeight="1" s="146">
      <c r="Y868" s="122">
        <f>MAX(0,IFERROR((LEN($T869)-LEN(SUBSTITUTE($T869,"Quality of Works / Criteria of Failings:","")))/LEN("Quality of Works / Criteria of Failings:"),0)-IFERROR((LEN($T869)-LEN(SUBSTITUTE($T869,"Quality of Works / Criteria of Failings:Compliant","")))/LEN("Quality of Works / Criteria of Failings:Compliant"),0))</f>
        <v/>
      </c>
      <c r="Z868" s="122">
        <f>IFERROR($Y869/MAX(1,(LEN($I869)-LEN(SUBSTITUTE($I869," Ltd","")))/LEN(" Ltd")),0)</f>
        <v/>
      </c>
      <c r="AA868" s="122">
        <f>IFERROR(IFERROR((LEN($T869)-LEN(SUBSTITUTE($T869,"Quality of Works / Criteria of Failings:","")))/LEN("Quality of Works / Criteria of Failings:"),0)/MAX(1,(LEN($I869)-LEN(SUBSTITUTE($I869," Ltd","")))/LEN(" Ltd")),0)</f>
        <v/>
      </c>
      <c r="AB868" s="122">
        <f>IFERROR(IFERROR((LEN($T869)-LEN(SUBSTITUTE($T869,"Quality of Works / Criteria of Failings:Compliant","")))/LEN("Quality of Works / Criteria of Failings:Compliant"),0)/MAX(1,(LEN($I869)-LEN(SUBSTITUTE($I869," Ltd","")))/LEN(" Ltd")),0)</f>
        <v/>
      </c>
    </row>
    <row r="869" ht="15.75" customHeight="1" s="146">
      <c r="Y869" s="122">
        <f>MAX(0,IFERROR((LEN($T870)-LEN(SUBSTITUTE($T870,"Quality of Works / Criteria of Failings:","")))/LEN("Quality of Works / Criteria of Failings:"),0)-IFERROR((LEN($T870)-LEN(SUBSTITUTE($T870,"Quality of Works / Criteria of Failings:Compliant","")))/LEN("Quality of Works / Criteria of Failings:Compliant"),0))</f>
        <v/>
      </c>
      <c r="Z869" s="122">
        <f>IFERROR($Y870/MAX(1,(LEN($I870)-LEN(SUBSTITUTE($I870," Ltd","")))/LEN(" Ltd")),0)</f>
        <v/>
      </c>
      <c r="AA869" s="122">
        <f>IFERROR(IFERROR((LEN($T870)-LEN(SUBSTITUTE($T870,"Quality of Works / Criteria of Failings:","")))/LEN("Quality of Works / Criteria of Failings:"),0)/MAX(1,(LEN($I870)-LEN(SUBSTITUTE($I870," Ltd","")))/LEN(" Ltd")),0)</f>
        <v/>
      </c>
      <c r="AB869" s="122">
        <f>IFERROR(IFERROR((LEN($T870)-LEN(SUBSTITUTE($T870,"Quality of Works / Criteria of Failings:Compliant","")))/LEN("Quality of Works / Criteria of Failings:Compliant"),0)/MAX(1,(LEN($I870)-LEN(SUBSTITUTE($I870," Ltd","")))/LEN(" Ltd")),0)</f>
        <v/>
      </c>
    </row>
    <row r="870" ht="15.75" customHeight="1" s="146">
      <c r="Y870" s="122">
        <f>MAX(0,IFERROR((LEN($T871)-LEN(SUBSTITUTE($T871,"Quality of Works / Criteria of Failings:","")))/LEN("Quality of Works / Criteria of Failings:"),0)-IFERROR((LEN($T871)-LEN(SUBSTITUTE($T871,"Quality of Works / Criteria of Failings:Compliant","")))/LEN("Quality of Works / Criteria of Failings:Compliant"),0))</f>
        <v/>
      </c>
      <c r="Z870" s="122">
        <f>IFERROR($Y871/MAX(1,(LEN($I871)-LEN(SUBSTITUTE($I871," Ltd","")))/LEN(" Ltd")),0)</f>
        <v/>
      </c>
      <c r="AA870" s="122">
        <f>IFERROR(IFERROR((LEN($T871)-LEN(SUBSTITUTE($T871,"Quality of Works / Criteria of Failings:","")))/LEN("Quality of Works / Criteria of Failings:"),0)/MAX(1,(LEN($I871)-LEN(SUBSTITUTE($I871," Ltd","")))/LEN(" Ltd")),0)</f>
        <v/>
      </c>
      <c r="AB870" s="122">
        <f>IFERROR(IFERROR((LEN($T871)-LEN(SUBSTITUTE($T871,"Quality of Works / Criteria of Failings:Compliant","")))/LEN("Quality of Works / Criteria of Failings:Compliant"),0)/MAX(1,(LEN($I871)-LEN(SUBSTITUTE($I871," Ltd","")))/LEN(" Ltd")),0)</f>
        <v/>
      </c>
    </row>
    <row r="871" ht="15.75" customHeight="1" s="146">
      <c r="Y871" s="122">
        <f>MAX(0,IFERROR((LEN($T872)-LEN(SUBSTITUTE($T872,"Quality of Works / Criteria of Failings:","")))/LEN("Quality of Works / Criteria of Failings:"),0)-IFERROR((LEN($T872)-LEN(SUBSTITUTE($T872,"Quality of Works / Criteria of Failings:Compliant","")))/LEN("Quality of Works / Criteria of Failings:Compliant"),0))</f>
        <v/>
      </c>
      <c r="Z871" s="122">
        <f>IFERROR($Y872/MAX(1,(LEN($I872)-LEN(SUBSTITUTE($I872," Ltd","")))/LEN(" Ltd")),0)</f>
        <v/>
      </c>
      <c r="AA871" s="122">
        <f>IFERROR(IFERROR((LEN($T872)-LEN(SUBSTITUTE($T872,"Quality of Works / Criteria of Failings:","")))/LEN("Quality of Works / Criteria of Failings:"),0)/MAX(1,(LEN($I872)-LEN(SUBSTITUTE($I872," Ltd","")))/LEN(" Ltd")),0)</f>
        <v/>
      </c>
      <c r="AB871" s="122">
        <f>IFERROR(IFERROR((LEN($T872)-LEN(SUBSTITUTE($T872,"Quality of Works / Criteria of Failings:Compliant","")))/LEN("Quality of Works / Criteria of Failings:Compliant"),0)/MAX(1,(LEN($I872)-LEN(SUBSTITUTE($I872," Ltd","")))/LEN(" Ltd")),0)</f>
        <v/>
      </c>
    </row>
    <row r="872" ht="15.75" customHeight="1" s="146">
      <c r="Y872" s="122">
        <f>MAX(0,IFERROR((LEN($T873)-LEN(SUBSTITUTE($T873,"Quality of Works / Criteria of Failings:","")))/LEN("Quality of Works / Criteria of Failings:"),0)-IFERROR((LEN($T873)-LEN(SUBSTITUTE($T873,"Quality of Works / Criteria of Failings:Compliant","")))/LEN("Quality of Works / Criteria of Failings:Compliant"),0))</f>
        <v/>
      </c>
      <c r="Z872" s="122">
        <f>IFERROR($Y873/MAX(1,(LEN($I873)-LEN(SUBSTITUTE($I873," Ltd","")))/LEN(" Ltd")),0)</f>
        <v/>
      </c>
      <c r="AA872" s="122">
        <f>IFERROR(IFERROR((LEN($T873)-LEN(SUBSTITUTE($T873,"Quality of Works / Criteria of Failings:","")))/LEN("Quality of Works / Criteria of Failings:"),0)/MAX(1,(LEN($I873)-LEN(SUBSTITUTE($I873," Ltd","")))/LEN(" Ltd")),0)</f>
        <v/>
      </c>
      <c r="AB872" s="122">
        <f>IFERROR(IFERROR((LEN($T873)-LEN(SUBSTITUTE($T873,"Quality of Works / Criteria of Failings:Compliant","")))/LEN("Quality of Works / Criteria of Failings:Compliant"),0)/MAX(1,(LEN($I873)-LEN(SUBSTITUTE($I873," Ltd","")))/LEN(" Ltd")),0)</f>
        <v/>
      </c>
    </row>
    <row r="873" ht="15.75" customHeight="1" s="146">
      <c r="Y873" s="122">
        <f>MAX(0,IFERROR((LEN($T874)-LEN(SUBSTITUTE($T874,"Quality of Works / Criteria of Failings:","")))/LEN("Quality of Works / Criteria of Failings:"),0)-IFERROR((LEN($T874)-LEN(SUBSTITUTE($T874,"Quality of Works / Criteria of Failings:Compliant","")))/LEN("Quality of Works / Criteria of Failings:Compliant"),0))</f>
        <v/>
      </c>
      <c r="Z873" s="122">
        <f>IFERROR($Y874/MAX(1,(LEN($I874)-LEN(SUBSTITUTE($I874," Ltd","")))/LEN(" Ltd")),0)</f>
        <v/>
      </c>
      <c r="AA873" s="122">
        <f>IFERROR(IFERROR((LEN($T874)-LEN(SUBSTITUTE($T874,"Quality of Works / Criteria of Failings:","")))/LEN("Quality of Works / Criteria of Failings:"),0)/MAX(1,(LEN($I874)-LEN(SUBSTITUTE($I874," Ltd","")))/LEN(" Ltd")),0)</f>
        <v/>
      </c>
      <c r="AB873" s="122">
        <f>IFERROR(IFERROR((LEN($T874)-LEN(SUBSTITUTE($T874,"Quality of Works / Criteria of Failings:Compliant","")))/LEN("Quality of Works / Criteria of Failings:Compliant"),0)/MAX(1,(LEN($I874)-LEN(SUBSTITUTE($I874," Ltd","")))/LEN(" Ltd")),0)</f>
        <v/>
      </c>
    </row>
    <row r="874" ht="15.75" customHeight="1" s="146">
      <c r="Y874" s="122">
        <f>MAX(0,IFERROR((LEN($T875)-LEN(SUBSTITUTE($T875,"Quality of Works / Criteria of Failings:","")))/LEN("Quality of Works / Criteria of Failings:"),0)-IFERROR((LEN($T875)-LEN(SUBSTITUTE($T875,"Quality of Works / Criteria of Failings:Compliant","")))/LEN("Quality of Works / Criteria of Failings:Compliant"),0))</f>
        <v/>
      </c>
      <c r="Z874" s="122">
        <f>IFERROR($Y875/MAX(1,(LEN($I875)-LEN(SUBSTITUTE($I875," Ltd","")))/LEN(" Ltd")),0)</f>
        <v/>
      </c>
      <c r="AA874" s="122">
        <f>IFERROR(IFERROR((LEN($T875)-LEN(SUBSTITUTE($T875,"Quality of Works / Criteria of Failings:","")))/LEN("Quality of Works / Criteria of Failings:"),0)/MAX(1,(LEN($I875)-LEN(SUBSTITUTE($I875," Ltd","")))/LEN(" Ltd")),0)</f>
        <v/>
      </c>
      <c r="AB874" s="122">
        <f>IFERROR(IFERROR((LEN($T875)-LEN(SUBSTITUTE($T875,"Quality of Works / Criteria of Failings:Compliant","")))/LEN("Quality of Works / Criteria of Failings:Compliant"),0)/MAX(1,(LEN($I875)-LEN(SUBSTITUTE($I875," Ltd","")))/LEN(" Ltd")),0)</f>
        <v/>
      </c>
    </row>
    <row r="875" ht="15.75" customHeight="1" s="146">
      <c r="Y875" s="122">
        <f>MAX(0,IFERROR((LEN($T876)-LEN(SUBSTITUTE($T876,"Quality of Works / Criteria of Failings:","")))/LEN("Quality of Works / Criteria of Failings:"),0)-IFERROR((LEN($T876)-LEN(SUBSTITUTE($T876,"Quality of Works / Criteria of Failings:Compliant","")))/LEN("Quality of Works / Criteria of Failings:Compliant"),0))</f>
        <v/>
      </c>
      <c r="Z875" s="122">
        <f>IFERROR($Y876/MAX(1,(LEN($I876)-LEN(SUBSTITUTE($I876," Ltd","")))/LEN(" Ltd")),0)</f>
        <v/>
      </c>
      <c r="AA875" s="122">
        <f>IFERROR(IFERROR((LEN($T876)-LEN(SUBSTITUTE($T876,"Quality of Works / Criteria of Failings:","")))/LEN("Quality of Works / Criteria of Failings:"),0)/MAX(1,(LEN($I876)-LEN(SUBSTITUTE($I876," Ltd","")))/LEN(" Ltd")),0)</f>
        <v/>
      </c>
      <c r="AB875" s="122">
        <f>IFERROR(IFERROR((LEN($T876)-LEN(SUBSTITUTE($T876,"Quality of Works / Criteria of Failings:Compliant","")))/LEN("Quality of Works / Criteria of Failings:Compliant"),0)/MAX(1,(LEN($I876)-LEN(SUBSTITUTE($I876," Ltd","")))/LEN(" Ltd")),0)</f>
        <v/>
      </c>
    </row>
    <row r="876" ht="15.75" customHeight="1" s="146">
      <c r="Y876" s="122">
        <f>MAX(0,IFERROR((LEN($T877)-LEN(SUBSTITUTE($T877,"Quality of Works / Criteria of Failings:","")))/LEN("Quality of Works / Criteria of Failings:"),0)-IFERROR((LEN($T877)-LEN(SUBSTITUTE($T877,"Quality of Works / Criteria of Failings:Compliant","")))/LEN("Quality of Works / Criteria of Failings:Compliant"),0))</f>
        <v/>
      </c>
      <c r="Z876" s="122">
        <f>IFERROR($Y877/MAX(1,(LEN($I877)-LEN(SUBSTITUTE($I877," Ltd","")))/LEN(" Ltd")),0)</f>
        <v/>
      </c>
      <c r="AA876" s="122">
        <f>IFERROR(IFERROR((LEN($T877)-LEN(SUBSTITUTE($T877,"Quality of Works / Criteria of Failings:","")))/LEN("Quality of Works / Criteria of Failings:"),0)/MAX(1,(LEN($I877)-LEN(SUBSTITUTE($I877," Ltd","")))/LEN(" Ltd")),0)</f>
        <v/>
      </c>
      <c r="AB876" s="122">
        <f>IFERROR(IFERROR((LEN($T877)-LEN(SUBSTITUTE($T877,"Quality of Works / Criteria of Failings:Compliant","")))/LEN("Quality of Works / Criteria of Failings:Compliant"),0)/MAX(1,(LEN($I877)-LEN(SUBSTITUTE($I877," Ltd","")))/LEN(" Ltd")),0)</f>
        <v/>
      </c>
    </row>
    <row r="877" ht="15.75" customHeight="1" s="146">
      <c r="Y877" s="122">
        <f>MAX(0,IFERROR((LEN($T878)-LEN(SUBSTITUTE($T878,"Quality of Works / Criteria of Failings:","")))/LEN("Quality of Works / Criteria of Failings:"),0)-IFERROR((LEN($T878)-LEN(SUBSTITUTE($T878,"Quality of Works / Criteria of Failings:Compliant","")))/LEN("Quality of Works / Criteria of Failings:Compliant"),0))</f>
        <v/>
      </c>
      <c r="Z877" s="122">
        <f>IFERROR($Y878/MAX(1,(LEN($I878)-LEN(SUBSTITUTE($I878," Ltd","")))/LEN(" Ltd")),0)</f>
        <v/>
      </c>
      <c r="AA877" s="122">
        <f>IFERROR(IFERROR((LEN($T878)-LEN(SUBSTITUTE($T878,"Quality of Works / Criteria of Failings:","")))/LEN("Quality of Works / Criteria of Failings:"),0)/MAX(1,(LEN($I878)-LEN(SUBSTITUTE($I878," Ltd","")))/LEN(" Ltd")),0)</f>
        <v/>
      </c>
      <c r="AB877" s="122">
        <f>IFERROR(IFERROR((LEN($T878)-LEN(SUBSTITUTE($T878,"Quality of Works / Criteria of Failings:Compliant","")))/LEN("Quality of Works / Criteria of Failings:Compliant"),0)/MAX(1,(LEN($I878)-LEN(SUBSTITUTE($I878," Ltd","")))/LEN(" Ltd")),0)</f>
        <v/>
      </c>
    </row>
    <row r="878" ht="15.75" customHeight="1" s="146">
      <c r="Y878" s="122">
        <f>MAX(0,IFERROR((LEN($T879)-LEN(SUBSTITUTE($T879,"Quality of Works / Criteria of Failings:","")))/LEN("Quality of Works / Criteria of Failings:"),0)-IFERROR((LEN($T879)-LEN(SUBSTITUTE($T879,"Quality of Works / Criteria of Failings:Compliant","")))/LEN("Quality of Works / Criteria of Failings:Compliant"),0))</f>
        <v/>
      </c>
      <c r="Z878" s="122">
        <f>IFERROR($Y879/MAX(1,(LEN($I879)-LEN(SUBSTITUTE($I879," Ltd","")))/LEN(" Ltd")),0)</f>
        <v/>
      </c>
      <c r="AA878" s="122">
        <f>IFERROR(IFERROR((LEN($T879)-LEN(SUBSTITUTE($T879,"Quality of Works / Criteria of Failings:","")))/LEN("Quality of Works / Criteria of Failings:"),0)/MAX(1,(LEN($I879)-LEN(SUBSTITUTE($I879," Ltd","")))/LEN(" Ltd")),0)</f>
        <v/>
      </c>
      <c r="AB878" s="122">
        <f>IFERROR(IFERROR((LEN($T879)-LEN(SUBSTITUTE($T879,"Quality of Works / Criteria of Failings:Compliant","")))/LEN("Quality of Works / Criteria of Failings:Compliant"),0)/MAX(1,(LEN($I879)-LEN(SUBSTITUTE($I879," Ltd","")))/LEN(" Ltd")),0)</f>
        <v/>
      </c>
    </row>
    <row r="879" ht="15.75" customHeight="1" s="146">
      <c r="Y879" s="122">
        <f>MAX(0,IFERROR((LEN($T880)-LEN(SUBSTITUTE($T880,"Quality of Works / Criteria of Failings:","")))/LEN("Quality of Works / Criteria of Failings:"),0)-IFERROR((LEN($T880)-LEN(SUBSTITUTE($T880,"Quality of Works / Criteria of Failings:Compliant","")))/LEN("Quality of Works / Criteria of Failings:Compliant"),0))</f>
        <v/>
      </c>
      <c r="Z879" s="122">
        <f>IFERROR($Y880/MAX(1,(LEN($I880)-LEN(SUBSTITUTE($I880," Ltd","")))/LEN(" Ltd")),0)</f>
        <v/>
      </c>
      <c r="AA879" s="122">
        <f>IFERROR(IFERROR((LEN($T880)-LEN(SUBSTITUTE($T880,"Quality of Works / Criteria of Failings:","")))/LEN("Quality of Works / Criteria of Failings:"),0)/MAX(1,(LEN($I880)-LEN(SUBSTITUTE($I880," Ltd","")))/LEN(" Ltd")),0)</f>
        <v/>
      </c>
      <c r="AB879" s="122">
        <f>IFERROR(IFERROR((LEN($T880)-LEN(SUBSTITUTE($T880,"Quality of Works / Criteria of Failings:Compliant","")))/LEN("Quality of Works / Criteria of Failings:Compliant"),0)/MAX(1,(LEN($I880)-LEN(SUBSTITUTE($I880," Ltd","")))/LEN(" Ltd")),0)</f>
        <v/>
      </c>
    </row>
    <row r="880" ht="15.75" customHeight="1" s="146">
      <c r="Y880" s="122">
        <f>MAX(0,IFERROR((LEN($T881)-LEN(SUBSTITUTE($T881,"Quality of Works / Criteria of Failings:","")))/LEN("Quality of Works / Criteria of Failings:"),0)-IFERROR((LEN($T881)-LEN(SUBSTITUTE($T881,"Quality of Works / Criteria of Failings:Compliant","")))/LEN("Quality of Works / Criteria of Failings:Compliant"),0))</f>
        <v/>
      </c>
      <c r="Z880" s="122">
        <f>IFERROR($Y881/MAX(1,(LEN($I881)-LEN(SUBSTITUTE($I881," Ltd","")))/LEN(" Ltd")),0)</f>
        <v/>
      </c>
      <c r="AA880" s="122">
        <f>IFERROR(IFERROR((LEN($T881)-LEN(SUBSTITUTE($T881,"Quality of Works / Criteria of Failings:","")))/LEN("Quality of Works / Criteria of Failings:"),0)/MAX(1,(LEN($I881)-LEN(SUBSTITUTE($I881," Ltd","")))/LEN(" Ltd")),0)</f>
        <v/>
      </c>
      <c r="AB880" s="122">
        <f>IFERROR(IFERROR((LEN($T881)-LEN(SUBSTITUTE($T881,"Quality of Works / Criteria of Failings:Compliant","")))/LEN("Quality of Works / Criteria of Failings:Compliant"),0)/MAX(1,(LEN($I881)-LEN(SUBSTITUTE($I881," Ltd","")))/LEN(" Ltd")),0)</f>
        <v/>
      </c>
    </row>
    <row r="881" ht="15.75" customHeight="1" s="146">
      <c r="Y881" s="122">
        <f>MAX(0,IFERROR((LEN($T882)-LEN(SUBSTITUTE($T882,"Quality of Works / Criteria of Failings:","")))/LEN("Quality of Works / Criteria of Failings:"),0)-IFERROR((LEN($T882)-LEN(SUBSTITUTE($T882,"Quality of Works / Criteria of Failings:Compliant","")))/LEN("Quality of Works / Criteria of Failings:Compliant"),0))</f>
        <v/>
      </c>
      <c r="Z881" s="122">
        <f>IFERROR($Y882/MAX(1,(LEN($I882)-LEN(SUBSTITUTE($I882," Ltd","")))/LEN(" Ltd")),0)</f>
        <v/>
      </c>
      <c r="AA881" s="122">
        <f>IFERROR(IFERROR((LEN($T882)-LEN(SUBSTITUTE($T882,"Quality of Works / Criteria of Failings:","")))/LEN("Quality of Works / Criteria of Failings:"),0)/MAX(1,(LEN($I882)-LEN(SUBSTITUTE($I882," Ltd","")))/LEN(" Ltd")),0)</f>
        <v/>
      </c>
      <c r="AB881" s="122">
        <f>IFERROR(IFERROR((LEN($T882)-LEN(SUBSTITUTE($T882,"Quality of Works / Criteria of Failings:Compliant","")))/LEN("Quality of Works / Criteria of Failings:Compliant"),0)/MAX(1,(LEN($I882)-LEN(SUBSTITUTE($I882," Ltd","")))/LEN(" Ltd")),0)</f>
        <v/>
      </c>
    </row>
    <row r="882" ht="15.75" customHeight="1" s="146">
      <c r="Y882" s="122">
        <f>MAX(0,IFERROR((LEN($T883)-LEN(SUBSTITUTE($T883,"Quality of Works / Criteria of Failings:","")))/LEN("Quality of Works / Criteria of Failings:"),0)-IFERROR((LEN($T883)-LEN(SUBSTITUTE($T883,"Quality of Works / Criteria of Failings:Compliant","")))/LEN("Quality of Works / Criteria of Failings:Compliant"),0))</f>
        <v/>
      </c>
      <c r="Z882" s="122">
        <f>IFERROR($Y883/MAX(1,(LEN($I883)-LEN(SUBSTITUTE($I883," Ltd","")))/LEN(" Ltd")),0)</f>
        <v/>
      </c>
      <c r="AA882" s="122">
        <f>IFERROR(IFERROR((LEN($T883)-LEN(SUBSTITUTE($T883,"Quality of Works / Criteria of Failings:","")))/LEN("Quality of Works / Criteria of Failings:"),0)/MAX(1,(LEN($I883)-LEN(SUBSTITUTE($I883," Ltd","")))/LEN(" Ltd")),0)</f>
        <v/>
      </c>
      <c r="AB882" s="122">
        <f>IFERROR(IFERROR((LEN($T883)-LEN(SUBSTITUTE($T883,"Quality of Works / Criteria of Failings:Compliant","")))/LEN("Quality of Works / Criteria of Failings:Compliant"),0)/MAX(1,(LEN($I883)-LEN(SUBSTITUTE($I883," Ltd","")))/LEN(" Ltd")),0)</f>
        <v/>
      </c>
    </row>
    <row r="883" ht="15.75" customHeight="1" s="146">
      <c r="Y883" s="122">
        <f>MAX(0,IFERROR((LEN($T884)-LEN(SUBSTITUTE($T884,"Quality of Works / Criteria of Failings:","")))/LEN("Quality of Works / Criteria of Failings:"),0)-IFERROR((LEN($T884)-LEN(SUBSTITUTE($T884,"Quality of Works / Criteria of Failings:Compliant","")))/LEN("Quality of Works / Criteria of Failings:Compliant"),0))</f>
        <v/>
      </c>
      <c r="Z883" s="122">
        <f>IFERROR($Y884/MAX(1,(LEN($I884)-LEN(SUBSTITUTE($I884," Ltd","")))/LEN(" Ltd")),0)</f>
        <v/>
      </c>
      <c r="AA883" s="122">
        <f>IFERROR(IFERROR((LEN($T884)-LEN(SUBSTITUTE($T884,"Quality of Works / Criteria of Failings:","")))/LEN("Quality of Works / Criteria of Failings:"),0)/MAX(1,(LEN($I884)-LEN(SUBSTITUTE($I884," Ltd","")))/LEN(" Ltd")),0)</f>
        <v/>
      </c>
      <c r="AB883" s="122">
        <f>IFERROR(IFERROR((LEN($T884)-LEN(SUBSTITUTE($T884,"Quality of Works / Criteria of Failings:Compliant","")))/LEN("Quality of Works / Criteria of Failings:Compliant"),0)/MAX(1,(LEN($I884)-LEN(SUBSTITUTE($I884," Ltd","")))/LEN(" Ltd")),0)</f>
        <v/>
      </c>
    </row>
    <row r="884" ht="15.75" customHeight="1" s="146">
      <c r="Y884" s="122">
        <f>MAX(0,IFERROR((LEN($T885)-LEN(SUBSTITUTE($T885,"Quality of Works / Criteria of Failings:","")))/LEN("Quality of Works / Criteria of Failings:"),0)-IFERROR((LEN($T885)-LEN(SUBSTITUTE($T885,"Quality of Works / Criteria of Failings:Compliant","")))/LEN("Quality of Works / Criteria of Failings:Compliant"),0))</f>
        <v/>
      </c>
      <c r="Z884" s="122">
        <f>IFERROR($Y885/MAX(1,(LEN($I885)-LEN(SUBSTITUTE($I885," Ltd","")))/LEN(" Ltd")),0)</f>
        <v/>
      </c>
      <c r="AA884" s="122">
        <f>IFERROR(IFERROR((LEN($T885)-LEN(SUBSTITUTE($T885,"Quality of Works / Criteria of Failings:","")))/LEN("Quality of Works / Criteria of Failings:"),0)/MAX(1,(LEN($I885)-LEN(SUBSTITUTE($I885," Ltd","")))/LEN(" Ltd")),0)</f>
        <v/>
      </c>
      <c r="AB884" s="122">
        <f>IFERROR(IFERROR((LEN($T885)-LEN(SUBSTITUTE($T885,"Quality of Works / Criteria of Failings:Compliant","")))/LEN("Quality of Works / Criteria of Failings:Compliant"),0)/MAX(1,(LEN($I885)-LEN(SUBSTITUTE($I885," Ltd","")))/LEN(" Ltd")),0)</f>
        <v/>
      </c>
    </row>
    <row r="885" ht="15.75" customHeight="1" s="146">
      <c r="Y885" s="122">
        <f>MAX(0,IFERROR((LEN($T886)-LEN(SUBSTITUTE($T886,"Quality of Works / Criteria of Failings:","")))/LEN("Quality of Works / Criteria of Failings:"),0)-IFERROR((LEN($T886)-LEN(SUBSTITUTE($T886,"Quality of Works / Criteria of Failings:Compliant","")))/LEN("Quality of Works / Criteria of Failings:Compliant"),0))</f>
        <v/>
      </c>
      <c r="Z885" s="122">
        <f>IFERROR($Y886/MAX(1,(LEN($I886)-LEN(SUBSTITUTE($I886," Ltd","")))/LEN(" Ltd")),0)</f>
        <v/>
      </c>
      <c r="AA885" s="122">
        <f>IFERROR(IFERROR((LEN($T886)-LEN(SUBSTITUTE($T886,"Quality of Works / Criteria of Failings:","")))/LEN("Quality of Works / Criteria of Failings:"),0)/MAX(1,(LEN($I886)-LEN(SUBSTITUTE($I886," Ltd","")))/LEN(" Ltd")),0)</f>
        <v/>
      </c>
      <c r="AB885" s="122">
        <f>IFERROR(IFERROR((LEN($T886)-LEN(SUBSTITUTE($T886,"Quality of Works / Criteria of Failings:Compliant","")))/LEN("Quality of Works / Criteria of Failings:Compliant"),0)/MAX(1,(LEN($I886)-LEN(SUBSTITUTE($I886," Ltd","")))/LEN(" Ltd")),0)</f>
        <v/>
      </c>
    </row>
    <row r="886" ht="15.75" customHeight="1" s="146">
      <c r="Y886" s="122">
        <f>MAX(0,IFERROR((LEN($T887)-LEN(SUBSTITUTE($T887,"Quality of Works / Criteria of Failings:","")))/LEN("Quality of Works / Criteria of Failings:"),0)-IFERROR((LEN($T887)-LEN(SUBSTITUTE($T887,"Quality of Works / Criteria of Failings:Compliant","")))/LEN("Quality of Works / Criteria of Failings:Compliant"),0))</f>
        <v/>
      </c>
      <c r="Z886" s="122">
        <f>IFERROR($Y887/MAX(1,(LEN($I887)-LEN(SUBSTITUTE($I887," Ltd","")))/LEN(" Ltd")),0)</f>
        <v/>
      </c>
      <c r="AA886" s="122">
        <f>IFERROR(IFERROR((LEN($T887)-LEN(SUBSTITUTE($T887,"Quality of Works / Criteria of Failings:","")))/LEN("Quality of Works / Criteria of Failings:"),0)/MAX(1,(LEN($I887)-LEN(SUBSTITUTE($I887," Ltd","")))/LEN(" Ltd")),0)</f>
        <v/>
      </c>
      <c r="AB886" s="122">
        <f>IFERROR(IFERROR((LEN($T887)-LEN(SUBSTITUTE($T887,"Quality of Works / Criteria of Failings:Compliant","")))/LEN("Quality of Works / Criteria of Failings:Compliant"),0)/MAX(1,(LEN($I887)-LEN(SUBSTITUTE($I887," Ltd","")))/LEN(" Ltd")),0)</f>
        <v/>
      </c>
    </row>
    <row r="887" ht="15.75" customHeight="1" s="146">
      <c r="Y887" s="122">
        <f>MAX(0,IFERROR((LEN($T888)-LEN(SUBSTITUTE($T888,"Quality of Works / Criteria of Failings:","")))/LEN("Quality of Works / Criteria of Failings:"),0)-IFERROR((LEN($T888)-LEN(SUBSTITUTE($T888,"Quality of Works / Criteria of Failings:Compliant","")))/LEN("Quality of Works / Criteria of Failings:Compliant"),0))</f>
        <v/>
      </c>
      <c r="Z887" s="122">
        <f>IFERROR($Y888/MAX(1,(LEN($I888)-LEN(SUBSTITUTE($I888," Ltd","")))/LEN(" Ltd")),0)</f>
        <v/>
      </c>
      <c r="AA887" s="122">
        <f>IFERROR(IFERROR((LEN($T888)-LEN(SUBSTITUTE($T888,"Quality of Works / Criteria of Failings:","")))/LEN("Quality of Works / Criteria of Failings:"),0)/MAX(1,(LEN($I888)-LEN(SUBSTITUTE($I888," Ltd","")))/LEN(" Ltd")),0)</f>
        <v/>
      </c>
      <c r="AB887" s="122">
        <f>IFERROR(IFERROR((LEN($T888)-LEN(SUBSTITUTE($T888,"Quality of Works / Criteria of Failings:Compliant","")))/LEN("Quality of Works / Criteria of Failings:Compliant"),0)/MAX(1,(LEN($I888)-LEN(SUBSTITUTE($I888," Ltd","")))/LEN(" Ltd")),0)</f>
        <v/>
      </c>
    </row>
    <row r="888" ht="15.75" customHeight="1" s="146">
      <c r="Y888" s="122">
        <f>MAX(0,IFERROR((LEN($T889)-LEN(SUBSTITUTE($T889,"Quality of Works / Criteria of Failings:","")))/LEN("Quality of Works / Criteria of Failings:"),0)-IFERROR((LEN($T889)-LEN(SUBSTITUTE($T889,"Quality of Works / Criteria of Failings:Compliant","")))/LEN("Quality of Works / Criteria of Failings:Compliant"),0))</f>
        <v/>
      </c>
      <c r="Z888" s="122">
        <f>IFERROR($Y889/MAX(1,(LEN($I889)-LEN(SUBSTITUTE($I889," Ltd","")))/LEN(" Ltd")),0)</f>
        <v/>
      </c>
      <c r="AA888" s="122">
        <f>IFERROR(IFERROR((LEN($T889)-LEN(SUBSTITUTE($T889,"Quality of Works / Criteria of Failings:","")))/LEN("Quality of Works / Criteria of Failings:"),0)/MAX(1,(LEN($I889)-LEN(SUBSTITUTE($I889," Ltd","")))/LEN(" Ltd")),0)</f>
        <v/>
      </c>
      <c r="AB888" s="122">
        <f>IFERROR(IFERROR((LEN($T889)-LEN(SUBSTITUTE($T889,"Quality of Works / Criteria of Failings:Compliant","")))/LEN("Quality of Works / Criteria of Failings:Compliant"),0)/MAX(1,(LEN($I889)-LEN(SUBSTITUTE($I889," Ltd","")))/LEN(" Ltd")),0)</f>
        <v/>
      </c>
    </row>
    <row r="889" ht="15.75" customHeight="1" s="146">
      <c r="Y889" s="122">
        <f>MAX(0,IFERROR((LEN($T890)-LEN(SUBSTITUTE($T890,"Quality of Works / Criteria of Failings:","")))/LEN("Quality of Works / Criteria of Failings:"),0)-IFERROR((LEN($T890)-LEN(SUBSTITUTE($T890,"Quality of Works / Criteria of Failings:Compliant","")))/LEN("Quality of Works / Criteria of Failings:Compliant"),0))</f>
        <v/>
      </c>
      <c r="Z889" s="122">
        <f>IFERROR($Y890/MAX(1,(LEN($I890)-LEN(SUBSTITUTE($I890," Ltd","")))/LEN(" Ltd")),0)</f>
        <v/>
      </c>
      <c r="AA889" s="122">
        <f>IFERROR(IFERROR((LEN($T890)-LEN(SUBSTITUTE($T890,"Quality of Works / Criteria of Failings:","")))/LEN("Quality of Works / Criteria of Failings:"),0)/MAX(1,(LEN($I890)-LEN(SUBSTITUTE($I890," Ltd","")))/LEN(" Ltd")),0)</f>
        <v/>
      </c>
      <c r="AB889" s="122">
        <f>IFERROR(IFERROR((LEN($T890)-LEN(SUBSTITUTE($T890,"Quality of Works / Criteria of Failings:Compliant","")))/LEN("Quality of Works / Criteria of Failings:Compliant"),0)/MAX(1,(LEN($I890)-LEN(SUBSTITUTE($I890," Ltd","")))/LEN(" Ltd")),0)</f>
        <v/>
      </c>
    </row>
    <row r="890" ht="15.75" customHeight="1" s="146">
      <c r="Y890" s="122">
        <f>MAX(0,IFERROR((LEN($T891)-LEN(SUBSTITUTE($T891,"Quality of Works / Criteria of Failings:","")))/LEN("Quality of Works / Criteria of Failings:"),0)-IFERROR((LEN($T891)-LEN(SUBSTITUTE($T891,"Quality of Works / Criteria of Failings:Compliant","")))/LEN("Quality of Works / Criteria of Failings:Compliant"),0))</f>
        <v/>
      </c>
      <c r="Z890" s="122">
        <f>IFERROR($Y891/MAX(1,(LEN($I891)-LEN(SUBSTITUTE($I891," Ltd","")))/LEN(" Ltd")),0)</f>
        <v/>
      </c>
      <c r="AA890" s="122">
        <f>IFERROR(IFERROR((LEN($T891)-LEN(SUBSTITUTE($T891,"Quality of Works / Criteria of Failings:","")))/LEN("Quality of Works / Criteria of Failings:"),0)/MAX(1,(LEN($I891)-LEN(SUBSTITUTE($I891," Ltd","")))/LEN(" Ltd")),0)</f>
        <v/>
      </c>
      <c r="AB890" s="122">
        <f>IFERROR(IFERROR((LEN($T891)-LEN(SUBSTITUTE($T891,"Quality of Works / Criteria of Failings:Compliant","")))/LEN("Quality of Works / Criteria of Failings:Compliant"),0)/MAX(1,(LEN($I891)-LEN(SUBSTITUTE($I891," Ltd","")))/LEN(" Ltd")),0)</f>
        <v/>
      </c>
    </row>
    <row r="891" ht="15.75" customHeight="1" s="146">
      <c r="Y891" s="122">
        <f>MAX(0,IFERROR((LEN($T892)-LEN(SUBSTITUTE($T892,"Quality of Works / Criteria of Failings:","")))/LEN("Quality of Works / Criteria of Failings:"),0)-IFERROR((LEN($T892)-LEN(SUBSTITUTE($T892,"Quality of Works / Criteria of Failings:Compliant","")))/LEN("Quality of Works / Criteria of Failings:Compliant"),0))</f>
        <v/>
      </c>
      <c r="Z891" s="122">
        <f>IFERROR($Y892/MAX(1,(LEN($I892)-LEN(SUBSTITUTE($I892," Ltd","")))/LEN(" Ltd")),0)</f>
        <v/>
      </c>
      <c r="AA891" s="122">
        <f>IFERROR(IFERROR((LEN($T892)-LEN(SUBSTITUTE($T892,"Quality of Works / Criteria of Failings:","")))/LEN("Quality of Works / Criteria of Failings:"),0)/MAX(1,(LEN($I892)-LEN(SUBSTITUTE($I892," Ltd","")))/LEN(" Ltd")),0)</f>
        <v/>
      </c>
      <c r="AB891" s="122">
        <f>IFERROR(IFERROR((LEN($T892)-LEN(SUBSTITUTE($T892,"Quality of Works / Criteria of Failings:Compliant","")))/LEN("Quality of Works / Criteria of Failings:Compliant"),0)/MAX(1,(LEN($I892)-LEN(SUBSTITUTE($I892," Ltd","")))/LEN(" Ltd")),0)</f>
        <v/>
      </c>
    </row>
    <row r="892" ht="15.75" customHeight="1" s="146">
      <c r="Y892" s="122">
        <f>MAX(0,IFERROR((LEN($T893)-LEN(SUBSTITUTE($T893,"Quality of Works / Criteria of Failings:","")))/LEN("Quality of Works / Criteria of Failings:"),0)-IFERROR((LEN($T893)-LEN(SUBSTITUTE($T893,"Quality of Works / Criteria of Failings:Compliant","")))/LEN("Quality of Works / Criteria of Failings:Compliant"),0))</f>
        <v/>
      </c>
      <c r="Z892" s="122">
        <f>IFERROR($Y893/MAX(1,(LEN($I893)-LEN(SUBSTITUTE($I893," Ltd","")))/LEN(" Ltd")),0)</f>
        <v/>
      </c>
      <c r="AA892" s="122">
        <f>IFERROR(IFERROR((LEN($T893)-LEN(SUBSTITUTE($T893,"Quality of Works / Criteria of Failings:","")))/LEN("Quality of Works / Criteria of Failings:"),0)/MAX(1,(LEN($I893)-LEN(SUBSTITUTE($I893," Ltd","")))/LEN(" Ltd")),0)</f>
        <v/>
      </c>
      <c r="AB892" s="122">
        <f>IFERROR(IFERROR((LEN($T893)-LEN(SUBSTITUTE($T893,"Quality of Works / Criteria of Failings:Compliant","")))/LEN("Quality of Works / Criteria of Failings:Compliant"),0)/MAX(1,(LEN($I893)-LEN(SUBSTITUTE($I893," Ltd","")))/LEN(" Ltd")),0)</f>
        <v/>
      </c>
    </row>
    <row r="893" ht="15.75" customHeight="1" s="146">
      <c r="Y893" s="122">
        <f>MAX(0,IFERROR((LEN($T894)-LEN(SUBSTITUTE($T894,"Quality of Works / Criteria of Failings:","")))/LEN("Quality of Works / Criteria of Failings:"),0)-IFERROR((LEN($T894)-LEN(SUBSTITUTE($T894,"Quality of Works / Criteria of Failings:Compliant","")))/LEN("Quality of Works / Criteria of Failings:Compliant"),0))</f>
        <v/>
      </c>
      <c r="Z893" s="122">
        <f>IFERROR($Y894/MAX(1,(LEN($I894)-LEN(SUBSTITUTE($I894," Ltd","")))/LEN(" Ltd")),0)</f>
        <v/>
      </c>
      <c r="AA893" s="122">
        <f>IFERROR(IFERROR((LEN($T894)-LEN(SUBSTITUTE($T894,"Quality of Works / Criteria of Failings:","")))/LEN("Quality of Works / Criteria of Failings:"),0)/MAX(1,(LEN($I894)-LEN(SUBSTITUTE($I894," Ltd","")))/LEN(" Ltd")),0)</f>
        <v/>
      </c>
      <c r="AB893" s="122">
        <f>IFERROR(IFERROR((LEN($T894)-LEN(SUBSTITUTE($T894,"Quality of Works / Criteria of Failings:Compliant","")))/LEN("Quality of Works / Criteria of Failings:Compliant"),0)/MAX(1,(LEN($I894)-LEN(SUBSTITUTE($I894," Ltd","")))/LEN(" Ltd")),0)</f>
        <v/>
      </c>
    </row>
    <row r="894" ht="15.75" customHeight="1" s="146">
      <c r="Y894" s="122">
        <f>MAX(0,IFERROR((LEN($T895)-LEN(SUBSTITUTE($T895,"Quality of Works / Criteria of Failings:","")))/LEN("Quality of Works / Criteria of Failings:"),0)-IFERROR((LEN($T895)-LEN(SUBSTITUTE($T895,"Quality of Works / Criteria of Failings:Compliant","")))/LEN("Quality of Works / Criteria of Failings:Compliant"),0))</f>
        <v/>
      </c>
      <c r="Z894" s="122">
        <f>IFERROR($Y895/MAX(1,(LEN($I895)-LEN(SUBSTITUTE($I895," Ltd","")))/LEN(" Ltd")),0)</f>
        <v/>
      </c>
      <c r="AA894" s="122">
        <f>IFERROR(IFERROR((LEN($T895)-LEN(SUBSTITUTE($T895,"Quality of Works / Criteria of Failings:","")))/LEN("Quality of Works / Criteria of Failings:"),0)/MAX(1,(LEN($I895)-LEN(SUBSTITUTE($I895," Ltd","")))/LEN(" Ltd")),0)</f>
        <v/>
      </c>
      <c r="AB894" s="122">
        <f>IFERROR(IFERROR((LEN($T895)-LEN(SUBSTITUTE($T895,"Quality of Works / Criteria of Failings:Compliant","")))/LEN("Quality of Works / Criteria of Failings:Compliant"),0)/MAX(1,(LEN($I895)-LEN(SUBSTITUTE($I895," Ltd","")))/LEN(" Ltd")),0)</f>
        <v/>
      </c>
    </row>
    <row r="895" ht="15.75" customHeight="1" s="146">
      <c r="Y895" s="122">
        <f>MAX(0,IFERROR((LEN($T896)-LEN(SUBSTITUTE($T896,"Quality of Works / Criteria of Failings:","")))/LEN("Quality of Works / Criteria of Failings:"),0)-IFERROR((LEN($T896)-LEN(SUBSTITUTE($T896,"Quality of Works / Criteria of Failings:Compliant","")))/LEN("Quality of Works / Criteria of Failings:Compliant"),0))</f>
        <v/>
      </c>
      <c r="Z895" s="122">
        <f>IFERROR($Y896/MAX(1,(LEN($I896)-LEN(SUBSTITUTE($I896," Ltd","")))/LEN(" Ltd")),0)</f>
        <v/>
      </c>
      <c r="AA895" s="122">
        <f>IFERROR(IFERROR((LEN($T896)-LEN(SUBSTITUTE($T896,"Quality of Works / Criteria of Failings:","")))/LEN("Quality of Works / Criteria of Failings:"),0)/MAX(1,(LEN($I896)-LEN(SUBSTITUTE($I896," Ltd","")))/LEN(" Ltd")),0)</f>
        <v/>
      </c>
      <c r="AB895" s="122">
        <f>IFERROR(IFERROR((LEN($T896)-LEN(SUBSTITUTE($T896,"Quality of Works / Criteria of Failings:Compliant","")))/LEN("Quality of Works / Criteria of Failings:Compliant"),0)/MAX(1,(LEN($I896)-LEN(SUBSTITUTE($I896," Ltd","")))/LEN(" Ltd")),0)</f>
        <v/>
      </c>
    </row>
    <row r="896" ht="15.75" customHeight="1" s="146">
      <c r="Y896" s="122">
        <f>MAX(0,IFERROR((LEN($T897)-LEN(SUBSTITUTE($T897,"Quality of Works / Criteria of Failings:","")))/LEN("Quality of Works / Criteria of Failings:"),0)-IFERROR((LEN($T897)-LEN(SUBSTITUTE($T897,"Quality of Works / Criteria of Failings:Compliant","")))/LEN("Quality of Works / Criteria of Failings:Compliant"),0))</f>
        <v/>
      </c>
      <c r="Z896" s="122">
        <f>IFERROR($Y897/MAX(1,(LEN($I897)-LEN(SUBSTITUTE($I897," Ltd","")))/LEN(" Ltd")),0)</f>
        <v/>
      </c>
      <c r="AA896" s="122">
        <f>IFERROR(IFERROR((LEN($T897)-LEN(SUBSTITUTE($T897,"Quality of Works / Criteria of Failings:","")))/LEN("Quality of Works / Criteria of Failings:"),0)/MAX(1,(LEN($I897)-LEN(SUBSTITUTE($I897," Ltd","")))/LEN(" Ltd")),0)</f>
        <v/>
      </c>
      <c r="AB896" s="122">
        <f>IFERROR(IFERROR((LEN($T897)-LEN(SUBSTITUTE($T897,"Quality of Works / Criteria of Failings:Compliant","")))/LEN("Quality of Works / Criteria of Failings:Compliant"),0)/MAX(1,(LEN($I897)-LEN(SUBSTITUTE($I897," Ltd","")))/LEN(" Ltd")),0)</f>
        <v/>
      </c>
    </row>
    <row r="897" ht="15.75" customHeight="1" s="146">
      <c r="Y897" s="122">
        <f>MAX(0,IFERROR((LEN($T898)-LEN(SUBSTITUTE($T898,"Quality of Works / Criteria of Failings:","")))/LEN("Quality of Works / Criteria of Failings:"),0)-IFERROR((LEN($T898)-LEN(SUBSTITUTE($T898,"Quality of Works / Criteria of Failings:Compliant","")))/LEN("Quality of Works / Criteria of Failings:Compliant"),0))</f>
        <v/>
      </c>
      <c r="Z897" s="122">
        <f>IFERROR($Y898/MAX(1,(LEN($I898)-LEN(SUBSTITUTE($I898," Ltd","")))/LEN(" Ltd")),0)</f>
        <v/>
      </c>
      <c r="AA897" s="122">
        <f>IFERROR(IFERROR((LEN($T898)-LEN(SUBSTITUTE($T898,"Quality of Works / Criteria of Failings:","")))/LEN("Quality of Works / Criteria of Failings:"),0)/MAX(1,(LEN($I898)-LEN(SUBSTITUTE($I898," Ltd","")))/LEN(" Ltd")),0)</f>
        <v/>
      </c>
      <c r="AB897" s="122">
        <f>IFERROR(IFERROR((LEN($T898)-LEN(SUBSTITUTE($T898,"Quality of Works / Criteria of Failings:Compliant","")))/LEN("Quality of Works / Criteria of Failings:Compliant"),0)/MAX(1,(LEN($I898)-LEN(SUBSTITUTE($I898," Ltd","")))/LEN(" Ltd")),0)</f>
        <v/>
      </c>
    </row>
    <row r="898" ht="15.75" customHeight="1" s="146">
      <c r="Y898" s="122">
        <f>MAX(0,IFERROR((LEN($T899)-LEN(SUBSTITUTE($T899,"Quality of Works / Criteria of Failings:","")))/LEN("Quality of Works / Criteria of Failings:"),0)-IFERROR((LEN($T899)-LEN(SUBSTITUTE($T899,"Quality of Works / Criteria of Failings:Compliant","")))/LEN("Quality of Works / Criteria of Failings:Compliant"),0))</f>
        <v/>
      </c>
      <c r="Z898" s="122">
        <f>IFERROR($Y899/MAX(1,(LEN($I899)-LEN(SUBSTITUTE($I899," Ltd","")))/LEN(" Ltd")),0)</f>
        <v/>
      </c>
      <c r="AA898" s="122">
        <f>IFERROR(IFERROR((LEN($T899)-LEN(SUBSTITUTE($T899,"Quality of Works / Criteria of Failings:","")))/LEN("Quality of Works / Criteria of Failings:"),0)/MAX(1,(LEN($I899)-LEN(SUBSTITUTE($I899," Ltd","")))/LEN(" Ltd")),0)</f>
        <v/>
      </c>
      <c r="AB898" s="122">
        <f>IFERROR(IFERROR((LEN($T899)-LEN(SUBSTITUTE($T899,"Quality of Works / Criteria of Failings:Compliant","")))/LEN("Quality of Works / Criteria of Failings:Compliant"),0)/MAX(1,(LEN($I899)-LEN(SUBSTITUTE($I899," Ltd","")))/LEN(" Ltd")),0)</f>
        <v/>
      </c>
    </row>
    <row r="899" ht="15.75" customHeight="1" s="146">
      <c r="Y899" s="122">
        <f>MAX(0,IFERROR((LEN($T900)-LEN(SUBSTITUTE($T900,"Quality of Works / Criteria of Failings:","")))/LEN("Quality of Works / Criteria of Failings:"),0)-IFERROR((LEN($T900)-LEN(SUBSTITUTE($T900,"Quality of Works / Criteria of Failings:Compliant","")))/LEN("Quality of Works / Criteria of Failings:Compliant"),0))</f>
        <v/>
      </c>
      <c r="Z899" s="122">
        <f>IFERROR($Y900/MAX(1,(LEN($I900)-LEN(SUBSTITUTE($I900," Ltd","")))/LEN(" Ltd")),0)</f>
        <v/>
      </c>
      <c r="AA899" s="122">
        <f>IFERROR(IFERROR((LEN($T900)-LEN(SUBSTITUTE($T900,"Quality of Works / Criteria of Failings:","")))/LEN("Quality of Works / Criteria of Failings:"),0)/MAX(1,(LEN($I900)-LEN(SUBSTITUTE($I900," Ltd","")))/LEN(" Ltd")),0)</f>
        <v/>
      </c>
      <c r="AB899" s="122">
        <f>IFERROR(IFERROR((LEN($T900)-LEN(SUBSTITUTE($T900,"Quality of Works / Criteria of Failings:Compliant","")))/LEN("Quality of Works / Criteria of Failings:Compliant"),0)/MAX(1,(LEN($I900)-LEN(SUBSTITUTE($I900," Ltd","")))/LEN(" Ltd")),0)</f>
        <v/>
      </c>
    </row>
    <row r="900" ht="15.75" customHeight="1" s="146">
      <c r="Y900" s="122">
        <f>MAX(0,IFERROR((LEN($T901)-LEN(SUBSTITUTE($T901,"Quality of Works / Criteria of Failings:","")))/LEN("Quality of Works / Criteria of Failings:"),0)-IFERROR((LEN($T901)-LEN(SUBSTITUTE($T901,"Quality of Works / Criteria of Failings:Compliant","")))/LEN("Quality of Works / Criteria of Failings:Compliant"),0))</f>
        <v/>
      </c>
      <c r="Z900" s="122">
        <f>IFERROR($Y901/MAX(1,(LEN($I901)-LEN(SUBSTITUTE($I901," Ltd","")))/LEN(" Ltd")),0)</f>
        <v/>
      </c>
      <c r="AA900" s="122">
        <f>IFERROR(IFERROR((LEN($T901)-LEN(SUBSTITUTE($T901,"Quality of Works / Criteria of Failings:","")))/LEN("Quality of Works / Criteria of Failings:"),0)/MAX(1,(LEN($I901)-LEN(SUBSTITUTE($I901," Ltd","")))/LEN(" Ltd")),0)</f>
        <v/>
      </c>
      <c r="AB900" s="122">
        <f>IFERROR(IFERROR((LEN($T901)-LEN(SUBSTITUTE($T901,"Quality of Works / Criteria of Failings:Compliant","")))/LEN("Quality of Works / Criteria of Failings:Compliant"),0)/MAX(1,(LEN($I901)-LEN(SUBSTITUTE($I901," Ltd","")))/LEN(" Ltd")),0)</f>
        <v/>
      </c>
    </row>
    <row r="901" ht="15.75" customHeight="1" s="146">
      <c r="Y901" s="122">
        <f>MAX(0,IFERROR((LEN($T902)-LEN(SUBSTITUTE($T902,"Quality of Works / Criteria of Failings:","")))/LEN("Quality of Works / Criteria of Failings:"),0)-IFERROR((LEN($T902)-LEN(SUBSTITUTE($T902,"Quality of Works / Criteria of Failings:Compliant","")))/LEN("Quality of Works / Criteria of Failings:Compliant"),0))</f>
        <v/>
      </c>
      <c r="Z901" s="122">
        <f>IFERROR($Y902/MAX(1,(LEN($I902)-LEN(SUBSTITUTE($I902," Ltd","")))/LEN(" Ltd")),0)</f>
        <v/>
      </c>
      <c r="AA901" s="122">
        <f>IFERROR(IFERROR((LEN($T902)-LEN(SUBSTITUTE($T902,"Quality of Works / Criteria of Failings:","")))/LEN("Quality of Works / Criteria of Failings:"),0)/MAX(1,(LEN($I902)-LEN(SUBSTITUTE($I902," Ltd","")))/LEN(" Ltd")),0)</f>
        <v/>
      </c>
      <c r="AB901" s="122">
        <f>IFERROR(IFERROR((LEN($T902)-LEN(SUBSTITUTE($T902,"Quality of Works / Criteria of Failings:Compliant","")))/LEN("Quality of Works / Criteria of Failings:Compliant"),0)/MAX(1,(LEN($I902)-LEN(SUBSTITUTE($I902," Ltd","")))/LEN(" Ltd")),0)</f>
        <v/>
      </c>
    </row>
    <row r="902" ht="15.75" customHeight="1" s="146">
      <c r="Y902" s="122">
        <f>MAX(0,IFERROR((LEN($T903)-LEN(SUBSTITUTE($T903,"Quality of Works / Criteria of Failings:","")))/LEN("Quality of Works / Criteria of Failings:"),0)-IFERROR((LEN($T903)-LEN(SUBSTITUTE($T903,"Quality of Works / Criteria of Failings:Compliant","")))/LEN("Quality of Works / Criteria of Failings:Compliant"),0))</f>
        <v/>
      </c>
      <c r="Z902" s="122">
        <f>IFERROR($Y903/MAX(1,(LEN($I903)-LEN(SUBSTITUTE($I903," Ltd","")))/LEN(" Ltd")),0)</f>
        <v/>
      </c>
      <c r="AA902" s="122">
        <f>IFERROR(IFERROR((LEN($T903)-LEN(SUBSTITUTE($T903,"Quality of Works / Criteria of Failings:","")))/LEN("Quality of Works / Criteria of Failings:"),0)/MAX(1,(LEN($I903)-LEN(SUBSTITUTE($I903," Ltd","")))/LEN(" Ltd")),0)</f>
        <v/>
      </c>
      <c r="AB902" s="122">
        <f>IFERROR(IFERROR((LEN($T903)-LEN(SUBSTITUTE($T903,"Quality of Works / Criteria of Failings:Compliant","")))/LEN("Quality of Works / Criteria of Failings:Compliant"),0)/MAX(1,(LEN($I903)-LEN(SUBSTITUTE($I903," Ltd","")))/LEN(" Ltd")),0)</f>
        <v/>
      </c>
    </row>
    <row r="903" ht="15.75" customHeight="1" s="146">
      <c r="Y903" s="122">
        <f>MAX(0,IFERROR((LEN($T904)-LEN(SUBSTITUTE($T904,"Quality of Works / Criteria of Failings:","")))/LEN("Quality of Works / Criteria of Failings:"),0)-IFERROR((LEN($T904)-LEN(SUBSTITUTE($T904,"Quality of Works / Criteria of Failings:Compliant","")))/LEN("Quality of Works / Criteria of Failings:Compliant"),0))</f>
        <v/>
      </c>
      <c r="Z903" s="122">
        <f>IFERROR($Y904/MAX(1,(LEN($I904)-LEN(SUBSTITUTE($I904," Ltd","")))/LEN(" Ltd")),0)</f>
        <v/>
      </c>
      <c r="AA903" s="122">
        <f>IFERROR(IFERROR((LEN($T904)-LEN(SUBSTITUTE($T904,"Quality of Works / Criteria of Failings:","")))/LEN("Quality of Works / Criteria of Failings:"),0)/MAX(1,(LEN($I904)-LEN(SUBSTITUTE($I904," Ltd","")))/LEN(" Ltd")),0)</f>
        <v/>
      </c>
      <c r="AB903" s="122">
        <f>IFERROR(IFERROR((LEN($T904)-LEN(SUBSTITUTE($T904,"Quality of Works / Criteria of Failings:Compliant","")))/LEN("Quality of Works / Criteria of Failings:Compliant"),0)/MAX(1,(LEN($I904)-LEN(SUBSTITUTE($I904," Ltd","")))/LEN(" Ltd")),0)</f>
        <v/>
      </c>
    </row>
    <row r="904" ht="15.75" customHeight="1" s="146">
      <c r="Y904" s="122">
        <f>MAX(0,IFERROR((LEN($T905)-LEN(SUBSTITUTE($T905,"Quality of Works / Criteria of Failings:","")))/LEN("Quality of Works / Criteria of Failings:"),0)-IFERROR((LEN($T905)-LEN(SUBSTITUTE($T905,"Quality of Works / Criteria of Failings:Compliant","")))/LEN("Quality of Works / Criteria of Failings:Compliant"),0))</f>
        <v/>
      </c>
      <c r="Z904" s="122">
        <f>IFERROR($Y905/MAX(1,(LEN($I905)-LEN(SUBSTITUTE($I905," Ltd","")))/LEN(" Ltd")),0)</f>
        <v/>
      </c>
      <c r="AA904" s="122">
        <f>IFERROR(IFERROR((LEN($T905)-LEN(SUBSTITUTE($T905,"Quality of Works / Criteria of Failings:","")))/LEN("Quality of Works / Criteria of Failings:"),0)/MAX(1,(LEN($I905)-LEN(SUBSTITUTE($I905," Ltd","")))/LEN(" Ltd")),0)</f>
        <v/>
      </c>
      <c r="AB904" s="122">
        <f>IFERROR(IFERROR((LEN($T905)-LEN(SUBSTITUTE($T905,"Quality of Works / Criteria of Failings:Compliant","")))/LEN("Quality of Works / Criteria of Failings:Compliant"),0)/MAX(1,(LEN($I905)-LEN(SUBSTITUTE($I905," Ltd","")))/LEN(" Ltd")),0)</f>
        <v/>
      </c>
    </row>
    <row r="905" ht="15.75" customHeight="1" s="146">
      <c r="Y905" s="122">
        <f>MAX(0,IFERROR((LEN($T906)-LEN(SUBSTITUTE($T906,"Quality of Works / Criteria of Failings:","")))/LEN("Quality of Works / Criteria of Failings:"),0)-IFERROR((LEN($T906)-LEN(SUBSTITUTE($T906,"Quality of Works / Criteria of Failings:Compliant","")))/LEN("Quality of Works / Criteria of Failings:Compliant"),0))</f>
        <v/>
      </c>
      <c r="Z905" s="122">
        <f>IFERROR($Y906/MAX(1,(LEN($I906)-LEN(SUBSTITUTE($I906," Ltd","")))/LEN(" Ltd")),0)</f>
        <v/>
      </c>
      <c r="AA905" s="122">
        <f>IFERROR(IFERROR((LEN($T906)-LEN(SUBSTITUTE($T906,"Quality of Works / Criteria of Failings:","")))/LEN("Quality of Works / Criteria of Failings:"),0)/MAX(1,(LEN($I906)-LEN(SUBSTITUTE($I906," Ltd","")))/LEN(" Ltd")),0)</f>
        <v/>
      </c>
      <c r="AB905" s="122">
        <f>IFERROR(IFERROR((LEN($T906)-LEN(SUBSTITUTE($T906,"Quality of Works / Criteria of Failings:Compliant","")))/LEN("Quality of Works / Criteria of Failings:Compliant"),0)/MAX(1,(LEN($I906)-LEN(SUBSTITUTE($I906," Ltd","")))/LEN(" Ltd")),0)</f>
        <v/>
      </c>
    </row>
    <row r="906" ht="15.75" customHeight="1" s="146">
      <c r="Y906" s="122">
        <f>MAX(0,IFERROR((LEN($T907)-LEN(SUBSTITUTE($T907,"Quality of Works / Criteria of Failings:","")))/LEN("Quality of Works / Criteria of Failings:"),0)-IFERROR((LEN($T907)-LEN(SUBSTITUTE($T907,"Quality of Works / Criteria of Failings:Compliant","")))/LEN("Quality of Works / Criteria of Failings:Compliant"),0))</f>
        <v/>
      </c>
      <c r="Z906" s="122">
        <f>IFERROR($Y907/MAX(1,(LEN($I907)-LEN(SUBSTITUTE($I907," Ltd","")))/LEN(" Ltd")),0)</f>
        <v/>
      </c>
      <c r="AA906" s="122">
        <f>IFERROR(IFERROR((LEN($T907)-LEN(SUBSTITUTE($T907,"Quality of Works / Criteria of Failings:","")))/LEN("Quality of Works / Criteria of Failings:"),0)/MAX(1,(LEN($I907)-LEN(SUBSTITUTE($I907," Ltd","")))/LEN(" Ltd")),0)</f>
        <v/>
      </c>
      <c r="AB906" s="122">
        <f>IFERROR(IFERROR((LEN($T907)-LEN(SUBSTITUTE($T907,"Quality of Works / Criteria of Failings:Compliant","")))/LEN("Quality of Works / Criteria of Failings:Compliant"),0)/MAX(1,(LEN($I907)-LEN(SUBSTITUTE($I907," Ltd","")))/LEN(" Ltd")),0)</f>
        <v/>
      </c>
    </row>
    <row r="907" ht="15.75" customHeight="1" s="146">
      <c r="Y907" s="122">
        <f>MAX(0,IFERROR((LEN($T908)-LEN(SUBSTITUTE($T908,"Quality of Works / Criteria of Failings:","")))/LEN("Quality of Works / Criteria of Failings:"),0)-IFERROR((LEN($T908)-LEN(SUBSTITUTE($T908,"Quality of Works / Criteria of Failings:Compliant","")))/LEN("Quality of Works / Criteria of Failings:Compliant"),0))</f>
        <v/>
      </c>
      <c r="Z907" s="122">
        <f>IFERROR($Y908/MAX(1,(LEN($I908)-LEN(SUBSTITUTE($I908," Ltd","")))/LEN(" Ltd")),0)</f>
        <v/>
      </c>
      <c r="AA907" s="122">
        <f>IFERROR(IFERROR((LEN($T908)-LEN(SUBSTITUTE($T908,"Quality of Works / Criteria of Failings:","")))/LEN("Quality of Works / Criteria of Failings:"),0)/MAX(1,(LEN($I908)-LEN(SUBSTITUTE($I908," Ltd","")))/LEN(" Ltd")),0)</f>
        <v/>
      </c>
      <c r="AB907" s="122">
        <f>IFERROR(IFERROR((LEN($T908)-LEN(SUBSTITUTE($T908,"Quality of Works / Criteria of Failings:Compliant","")))/LEN("Quality of Works / Criteria of Failings:Compliant"),0)/MAX(1,(LEN($I908)-LEN(SUBSTITUTE($I908," Ltd","")))/LEN(" Ltd")),0)</f>
        <v/>
      </c>
    </row>
    <row r="908" ht="15.75" customHeight="1" s="146">
      <c r="Y908" s="122">
        <f>MAX(0,IFERROR((LEN($T909)-LEN(SUBSTITUTE($T909,"Quality of Works / Criteria of Failings:","")))/LEN("Quality of Works / Criteria of Failings:"),0)-IFERROR((LEN($T909)-LEN(SUBSTITUTE($T909,"Quality of Works / Criteria of Failings:Compliant","")))/LEN("Quality of Works / Criteria of Failings:Compliant"),0))</f>
        <v/>
      </c>
      <c r="Z908" s="122">
        <f>IFERROR($Y909/MAX(1,(LEN($I909)-LEN(SUBSTITUTE($I909," Ltd","")))/LEN(" Ltd")),0)</f>
        <v/>
      </c>
      <c r="AA908" s="122">
        <f>IFERROR(IFERROR((LEN($T909)-LEN(SUBSTITUTE($T909,"Quality of Works / Criteria of Failings:","")))/LEN("Quality of Works / Criteria of Failings:"),0)/MAX(1,(LEN($I909)-LEN(SUBSTITUTE($I909," Ltd","")))/LEN(" Ltd")),0)</f>
        <v/>
      </c>
      <c r="AB908" s="122">
        <f>IFERROR(IFERROR((LEN($T909)-LEN(SUBSTITUTE($T909,"Quality of Works / Criteria of Failings:Compliant","")))/LEN("Quality of Works / Criteria of Failings:Compliant"),0)/MAX(1,(LEN($I909)-LEN(SUBSTITUTE($I909," Ltd","")))/LEN(" Ltd")),0)</f>
        <v/>
      </c>
    </row>
    <row r="909" ht="15.75" customHeight="1" s="146">
      <c r="Y909" s="122">
        <f>MAX(0,IFERROR((LEN($T910)-LEN(SUBSTITUTE($T910,"Quality of Works / Criteria of Failings:","")))/LEN("Quality of Works / Criteria of Failings:"),0)-IFERROR((LEN($T910)-LEN(SUBSTITUTE($T910,"Quality of Works / Criteria of Failings:Compliant","")))/LEN("Quality of Works / Criteria of Failings:Compliant"),0))</f>
        <v/>
      </c>
      <c r="Z909" s="122">
        <f>IFERROR($Y910/MAX(1,(LEN($I910)-LEN(SUBSTITUTE($I910," Ltd","")))/LEN(" Ltd")),0)</f>
        <v/>
      </c>
      <c r="AA909" s="122">
        <f>IFERROR(IFERROR((LEN($T910)-LEN(SUBSTITUTE($T910,"Quality of Works / Criteria of Failings:","")))/LEN("Quality of Works / Criteria of Failings:"),0)/MAX(1,(LEN($I910)-LEN(SUBSTITUTE($I910," Ltd","")))/LEN(" Ltd")),0)</f>
        <v/>
      </c>
      <c r="AB909" s="122">
        <f>IFERROR(IFERROR((LEN($T910)-LEN(SUBSTITUTE($T910,"Quality of Works / Criteria of Failings:Compliant","")))/LEN("Quality of Works / Criteria of Failings:Compliant"),0)/MAX(1,(LEN($I910)-LEN(SUBSTITUTE($I910," Ltd","")))/LEN(" Ltd")),0)</f>
        <v/>
      </c>
    </row>
    <row r="910" ht="15.75" customHeight="1" s="146">
      <c r="Y910" s="122">
        <f>MAX(0,IFERROR((LEN($T911)-LEN(SUBSTITUTE($T911,"Quality of Works / Criteria of Failings:","")))/LEN("Quality of Works / Criteria of Failings:"),0)-IFERROR((LEN($T911)-LEN(SUBSTITUTE($T911,"Quality of Works / Criteria of Failings:Compliant","")))/LEN("Quality of Works / Criteria of Failings:Compliant"),0))</f>
        <v/>
      </c>
      <c r="Z910" s="122">
        <f>IFERROR($Y911/MAX(1,(LEN($I911)-LEN(SUBSTITUTE($I911," Ltd","")))/LEN(" Ltd")),0)</f>
        <v/>
      </c>
      <c r="AA910" s="122">
        <f>IFERROR(IFERROR((LEN($T911)-LEN(SUBSTITUTE($T911,"Quality of Works / Criteria of Failings:","")))/LEN("Quality of Works / Criteria of Failings:"),0)/MAX(1,(LEN($I911)-LEN(SUBSTITUTE($I911," Ltd","")))/LEN(" Ltd")),0)</f>
        <v/>
      </c>
      <c r="AB910" s="122">
        <f>IFERROR(IFERROR((LEN($T911)-LEN(SUBSTITUTE($T911,"Quality of Works / Criteria of Failings:Compliant","")))/LEN("Quality of Works / Criteria of Failings:Compliant"),0)/MAX(1,(LEN($I911)-LEN(SUBSTITUTE($I911," Ltd","")))/LEN(" Ltd")),0)</f>
        <v/>
      </c>
    </row>
    <row r="911" ht="15.75" customHeight="1" s="146">
      <c r="Y911" s="122">
        <f>MAX(0,IFERROR((LEN($T912)-LEN(SUBSTITUTE($T912,"Quality of Works / Criteria of Failings:","")))/LEN("Quality of Works / Criteria of Failings:"),0)-IFERROR((LEN($T912)-LEN(SUBSTITUTE($T912,"Quality of Works / Criteria of Failings:Compliant","")))/LEN("Quality of Works / Criteria of Failings:Compliant"),0))</f>
        <v/>
      </c>
      <c r="Z911" s="122">
        <f>IFERROR($Y912/MAX(1,(LEN($I912)-LEN(SUBSTITUTE($I912," Ltd","")))/LEN(" Ltd")),0)</f>
        <v/>
      </c>
      <c r="AA911" s="122">
        <f>IFERROR(IFERROR((LEN($T912)-LEN(SUBSTITUTE($T912,"Quality of Works / Criteria of Failings:","")))/LEN("Quality of Works / Criteria of Failings:"),0)/MAX(1,(LEN($I912)-LEN(SUBSTITUTE($I912," Ltd","")))/LEN(" Ltd")),0)</f>
        <v/>
      </c>
      <c r="AB911" s="122">
        <f>IFERROR(IFERROR((LEN($T912)-LEN(SUBSTITUTE($T912,"Quality of Works / Criteria of Failings:Compliant","")))/LEN("Quality of Works / Criteria of Failings:Compliant"),0)/MAX(1,(LEN($I912)-LEN(SUBSTITUTE($I912," Ltd","")))/LEN(" Ltd")),0)</f>
        <v/>
      </c>
    </row>
    <row r="912" ht="15.75" customHeight="1" s="146">
      <c r="Y912" s="122">
        <f>MAX(0,IFERROR((LEN($T913)-LEN(SUBSTITUTE($T913,"Quality of Works / Criteria of Failings:","")))/LEN("Quality of Works / Criteria of Failings:"),0)-IFERROR((LEN($T913)-LEN(SUBSTITUTE($T913,"Quality of Works / Criteria of Failings:Compliant","")))/LEN("Quality of Works / Criteria of Failings:Compliant"),0))</f>
        <v/>
      </c>
      <c r="Z912" s="122">
        <f>IFERROR($Y913/MAX(1,(LEN($I913)-LEN(SUBSTITUTE($I913," Ltd","")))/LEN(" Ltd")),0)</f>
        <v/>
      </c>
      <c r="AA912" s="122">
        <f>IFERROR(IFERROR((LEN($T913)-LEN(SUBSTITUTE($T913,"Quality of Works / Criteria of Failings:","")))/LEN("Quality of Works / Criteria of Failings:"),0)/MAX(1,(LEN($I913)-LEN(SUBSTITUTE($I913," Ltd","")))/LEN(" Ltd")),0)</f>
        <v/>
      </c>
      <c r="AB912" s="122">
        <f>IFERROR(IFERROR((LEN($T913)-LEN(SUBSTITUTE($T913,"Quality of Works / Criteria of Failings:Compliant","")))/LEN("Quality of Works / Criteria of Failings:Compliant"),0)/MAX(1,(LEN($I913)-LEN(SUBSTITUTE($I913," Ltd","")))/LEN(" Ltd")),0)</f>
        <v/>
      </c>
    </row>
    <row r="913" ht="15.75" customHeight="1" s="146">
      <c r="Y913" s="122">
        <f>MAX(0,IFERROR((LEN($T914)-LEN(SUBSTITUTE($T914,"Quality of Works / Criteria of Failings:","")))/LEN("Quality of Works / Criteria of Failings:"),0)-IFERROR((LEN($T914)-LEN(SUBSTITUTE($T914,"Quality of Works / Criteria of Failings:Compliant","")))/LEN("Quality of Works / Criteria of Failings:Compliant"),0))</f>
        <v/>
      </c>
      <c r="Z913" s="122">
        <f>IFERROR($Y914/MAX(1,(LEN($I914)-LEN(SUBSTITUTE($I914," Ltd","")))/LEN(" Ltd")),0)</f>
        <v/>
      </c>
      <c r="AA913" s="122">
        <f>IFERROR(IFERROR((LEN($T914)-LEN(SUBSTITUTE($T914,"Quality of Works / Criteria of Failings:","")))/LEN("Quality of Works / Criteria of Failings:"),0)/MAX(1,(LEN($I914)-LEN(SUBSTITUTE($I914," Ltd","")))/LEN(" Ltd")),0)</f>
        <v/>
      </c>
      <c r="AB913" s="122">
        <f>IFERROR(IFERROR((LEN($T914)-LEN(SUBSTITUTE($T914,"Quality of Works / Criteria of Failings:Compliant","")))/LEN("Quality of Works / Criteria of Failings:Compliant"),0)/MAX(1,(LEN($I914)-LEN(SUBSTITUTE($I914," Ltd","")))/LEN(" Ltd")),0)</f>
        <v/>
      </c>
    </row>
    <row r="914" ht="15.75" customHeight="1" s="146">
      <c r="Y914" s="122">
        <f>MAX(0,IFERROR((LEN($T915)-LEN(SUBSTITUTE($T915,"Quality of Works / Criteria of Failings:","")))/LEN("Quality of Works / Criteria of Failings:"),0)-IFERROR((LEN($T915)-LEN(SUBSTITUTE($T915,"Quality of Works / Criteria of Failings:Compliant","")))/LEN("Quality of Works / Criteria of Failings:Compliant"),0))</f>
        <v/>
      </c>
      <c r="Z914" s="122">
        <f>IFERROR($Y915/MAX(1,(LEN($I915)-LEN(SUBSTITUTE($I915," Ltd","")))/LEN(" Ltd")),0)</f>
        <v/>
      </c>
      <c r="AA914" s="122">
        <f>IFERROR(IFERROR((LEN($T915)-LEN(SUBSTITUTE($T915,"Quality of Works / Criteria of Failings:","")))/LEN("Quality of Works / Criteria of Failings:"),0)/MAX(1,(LEN($I915)-LEN(SUBSTITUTE($I915," Ltd","")))/LEN(" Ltd")),0)</f>
        <v/>
      </c>
      <c r="AB914" s="122">
        <f>IFERROR(IFERROR((LEN($T915)-LEN(SUBSTITUTE($T915,"Quality of Works / Criteria of Failings:Compliant","")))/LEN("Quality of Works / Criteria of Failings:Compliant"),0)/MAX(1,(LEN($I915)-LEN(SUBSTITUTE($I915," Ltd","")))/LEN(" Ltd")),0)</f>
        <v/>
      </c>
    </row>
    <row r="915" ht="15.75" customHeight="1" s="146">
      <c r="Y915" s="122">
        <f>MAX(0,IFERROR((LEN($T916)-LEN(SUBSTITUTE($T916,"Quality of Works / Criteria of Failings:","")))/LEN("Quality of Works / Criteria of Failings:"),0)-IFERROR((LEN($T916)-LEN(SUBSTITUTE($T916,"Quality of Works / Criteria of Failings:Compliant","")))/LEN("Quality of Works / Criteria of Failings:Compliant"),0))</f>
        <v/>
      </c>
      <c r="Z915" s="122">
        <f>IFERROR($Y916/MAX(1,(LEN($I916)-LEN(SUBSTITUTE($I916," Ltd","")))/LEN(" Ltd")),0)</f>
        <v/>
      </c>
      <c r="AA915" s="122">
        <f>IFERROR(IFERROR((LEN($T916)-LEN(SUBSTITUTE($T916,"Quality of Works / Criteria of Failings:","")))/LEN("Quality of Works / Criteria of Failings:"),0)/MAX(1,(LEN($I916)-LEN(SUBSTITUTE($I916," Ltd","")))/LEN(" Ltd")),0)</f>
        <v/>
      </c>
      <c r="AB915" s="122">
        <f>IFERROR(IFERROR((LEN($T916)-LEN(SUBSTITUTE($T916,"Quality of Works / Criteria of Failings:Compliant","")))/LEN("Quality of Works / Criteria of Failings:Compliant"),0)/MAX(1,(LEN($I916)-LEN(SUBSTITUTE($I916," Ltd","")))/LEN(" Ltd")),0)</f>
        <v/>
      </c>
    </row>
    <row r="916" ht="15.75" customHeight="1" s="146">
      <c r="Y916" s="122">
        <f>MAX(0,IFERROR((LEN($T917)-LEN(SUBSTITUTE($T917,"Quality of Works / Criteria of Failings:","")))/LEN("Quality of Works / Criteria of Failings:"),0)-IFERROR((LEN($T917)-LEN(SUBSTITUTE($T917,"Quality of Works / Criteria of Failings:Compliant","")))/LEN("Quality of Works / Criteria of Failings:Compliant"),0))</f>
        <v/>
      </c>
      <c r="Z916" s="122">
        <f>IFERROR($Y917/MAX(1,(LEN($I917)-LEN(SUBSTITUTE($I917," Ltd","")))/LEN(" Ltd")),0)</f>
        <v/>
      </c>
      <c r="AA916" s="122">
        <f>IFERROR(IFERROR((LEN($T917)-LEN(SUBSTITUTE($T917,"Quality of Works / Criteria of Failings:","")))/LEN("Quality of Works / Criteria of Failings:"),0)/MAX(1,(LEN($I917)-LEN(SUBSTITUTE($I917," Ltd","")))/LEN(" Ltd")),0)</f>
        <v/>
      </c>
      <c r="AB916" s="122">
        <f>IFERROR(IFERROR((LEN($T917)-LEN(SUBSTITUTE($T917,"Quality of Works / Criteria of Failings:Compliant","")))/LEN("Quality of Works / Criteria of Failings:Compliant"),0)/MAX(1,(LEN($I917)-LEN(SUBSTITUTE($I917," Ltd","")))/LEN(" Ltd")),0)</f>
        <v/>
      </c>
    </row>
    <row r="917" ht="15.75" customHeight="1" s="146">
      <c r="Y917" s="122">
        <f>MAX(0,IFERROR((LEN($T918)-LEN(SUBSTITUTE($T918,"Quality of Works / Criteria of Failings:","")))/LEN("Quality of Works / Criteria of Failings:"),0)-IFERROR((LEN($T918)-LEN(SUBSTITUTE($T918,"Quality of Works / Criteria of Failings:Compliant","")))/LEN("Quality of Works / Criteria of Failings:Compliant"),0))</f>
        <v/>
      </c>
      <c r="Z917" s="122">
        <f>IFERROR($Y918/MAX(1,(LEN($I918)-LEN(SUBSTITUTE($I918," Ltd","")))/LEN(" Ltd")),0)</f>
        <v/>
      </c>
      <c r="AA917" s="122">
        <f>IFERROR(IFERROR((LEN($T918)-LEN(SUBSTITUTE($T918,"Quality of Works / Criteria of Failings:","")))/LEN("Quality of Works / Criteria of Failings:"),0)/MAX(1,(LEN($I918)-LEN(SUBSTITUTE($I918," Ltd","")))/LEN(" Ltd")),0)</f>
        <v/>
      </c>
      <c r="AB917" s="122">
        <f>IFERROR(IFERROR((LEN($T918)-LEN(SUBSTITUTE($T918,"Quality of Works / Criteria of Failings:Compliant","")))/LEN("Quality of Works / Criteria of Failings:Compliant"),0)/MAX(1,(LEN($I918)-LEN(SUBSTITUTE($I918," Ltd","")))/LEN(" Ltd")),0)</f>
        <v/>
      </c>
    </row>
    <row r="918" ht="15.75" customHeight="1" s="146">
      <c r="Y918" s="122">
        <f>MAX(0,IFERROR((LEN($T919)-LEN(SUBSTITUTE($T919,"Quality of Works / Criteria of Failings:","")))/LEN("Quality of Works / Criteria of Failings:"),0)-IFERROR((LEN($T919)-LEN(SUBSTITUTE($T919,"Quality of Works / Criteria of Failings:Compliant","")))/LEN("Quality of Works / Criteria of Failings:Compliant"),0))</f>
        <v/>
      </c>
      <c r="Z918" s="122">
        <f>IFERROR($Y919/MAX(1,(LEN($I919)-LEN(SUBSTITUTE($I919," Ltd","")))/LEN(" Ltd")),0)</f>
        <v/>
      </c>
      <c r="AA918" s="122">
        <f>IFERROR(IFERROR((LEN($T919)-LEN(SUBSTITUTE($T919,"Quality of Works / Criteria of Failings:","")))/LEN("Quality of Works / Criteria of Failings:"),0)/MAX(1,(LEN($I919)-LEN(SUBSTITUTE($I919," Ltd","")))/LEN(" Ltd")),0)</f>
        <v/>
      </c>
      <c r="AB918" s="122">
        <f>IFERROR(IFERROR((LEN($T919)-LEN(SUBSTITUTE($T919,"Quality of Works / Criteria of Failings:Compliant","")))/LEN("Quality of Works / Criteria of Failings:Compliant"),0)/MAX(1,(LEN($I919)-LEN(SUBSTITUTE($I919," Ltd","")))/LEN(" Ltd")),0)</f>
        <v/>
      </c>
    </row>
    <row r="919" ht="15.75" customHeight="1" s="146">
      <c r="Y919" s="122">
        <f>MAX(0,IFERROR((LEN($T920)-LEN(SUBSTITUTE($T920,"Quality of Works / Criteria of Failings:","")))/LEN("Quality of Works / Criteria of Failings:"),0)-IFERROR((LEN($T920)-LEN(SUBSTITUTE($T920,"Quality of Works / Criteria of Failings:Compliant","")))/LEN("Quality of Works / Criteria of Failings:Compliant"),0))</f>
        <v/>
      </c>
      <c r="Z919" s="122">
        <f>IFERROR($Y920/MAX(1,(LEN($I920)-LEN(SUBSTITUTE($I920," Ltd","")))/LEN(" Ltd")),0)</f>
        <v/>
      </c>
      <c r="AA919" s="122">
        <f>IFERROR(IFERROR((LEN($T920)-LEN(SUBSTITUTE($T920,"Quality of Works / Criteria of Failings:","")))/LEN("Quality of Works / Criteria of Failings:"),0)/MAX(1,(LEN($I920)-LEN(SUBSTITUTE($I920," Ltd","")))/LEN(" Ltd")),0)</f>
        <v/>
      </c>
      <c r="AB919" s="122">
        <f>IFERROR(IFERROR((LEN($T920)-LEN(SUBSTITUTE($T920,"Quality of Works / Criteria of Failings:Compliant","")))/LEN("Quality of Works / Criteria of Failings:Compliant"),0)/MAX(1,(LEN($I920)-LEN(SUBSTITUTE($I920," Ltd","")))/LEN(" Ltd")),0)</f>
        <v/>
      </c>
    </row>
    <row r="920" ht="15.75" customHeight="1" s="146">
      <c r="Y920" s="122">
        <f>MAX(0,IFERROR((LEN($T921)-LEN(SUBSTITUTE($T921,"Quality of Works / Criteria of Failings:","")))/LEN("Quality of Works / Criteria of Failings:"),0)-IFERROR((LEN($T921)-LEN(SUBSTITUTE($T921,"Quality of Works / Criteria of Failings:Compliant","")))/LEN("Quality of Works / Criteria of Failings:Compliant"),0))</f>
        <v/>
      </c>
      <c r="Z920" s="122">
        <f>IFERROR($Y921/MAX(1,(LEN($I921)-LEN(SUBSTITUTE($I921," Ltd","")))/LEN(" Ltd")),0)</f>
        <v/>
      </c>
      <c r="AA920" s="122">
        <f>IFERROR(IFERROR((LEN($T921)-LEN(SUBSTITUTE($T921,"Quality of Works / Criteria of Failings:","")))/LEN("Quality of Works / Criteria of Failings:"),0)/MAX(1,(LEN($I921)-LEN(SUBSTITUTE($I921," Ltd","")))/LEN(" Ltd")),0)</f>
        <v/>
      </c>
      <c r="AB920" s="122">
        <f>IFERROR(IFERROR((LEN($T921)-LEN(SUBSTITUTE($T921,"Quality of Works / Criteria of Failings:Compliant","")))/LEN("Quality of Works / Criteria of Failings:Compliant"),0)/MAX(1,(LEN($I921)-LEN(SUBSTITUTE($I921," Ltd","")))/LEN(" Ltd")),0)</f>
        <v/>
      </c>
    </row>
    <row r="921" ht="15.75" customHeight="1" s="146">
      <c r="Y921" s="122">
        <f>MAX(0,IFERROR((LEN($T922)-LEN(SUBSTITUTE($T922,"Quality of Works / Criteria of Failings:","")))/LEN("Quality of Works / Criteria of Failings:"),0)-IFERROR((LEN($T922)-LEN(SUBSTITUTE($T922,"Quality of Works / Criteria of Failings:Compliant","")))/LEN("Quality of Works / Criteria of Failings:Compliant"),0))</f>
        <v/>
      </c>
      <c r="Z921" s="122">
        <f>IFERROR($Y922/MAX(1,(LEN($I922)-LEN(SUBSTITUTE($I922," Ltd","")))/LEN(" Ltd")),0)</f>
        <v/>
      </c>
      <c r="AA921" s="122">
        <f>IFERROR(IFERROR((LEN($T922)-LEN(SUBSTITUTE($T922,"Quality of Works / Criteria of Failings:","")))/LEN("Quality of Works / Criteria of Failings:"),0)/MAX(1,(LEN($I922)-LEN(SUBSTITUTE($I922," Ltd","")))/LEN(" Ltd")),0)</f>
        <v/>
      </c>
      <c r="AB921" s="122">
        <f>IFERROR(IFERROR((LEN($T922)-LEN(SUBSTITUTE($T922,"Quality of Works / Criteria of Failings:Compliant","")))/LEN("Quality of Works / Criteria of Failings:Compliant"),0)/MAX(1,(LEN($I922)-LEN(SUBSTITUTE($I922," Ltd","")))/LEN(" Ltd")),0)</f>
        <v/>
      </c>
    </row>
    <row r="922" ht="15.75" customHeight="1" s="146">
      <c r="Y922" s="122">
        <f>MAX(0,IFERROR((LEN($T923)-LEN(SUBSTITUTE($T923,"Quality of Works / Criteria of Failings:","")))/LEN("Quality of Works / Criteria of Failings:"),0)-IFERROR((LEN($T923)-LEN(SUBSTITUTE($T923,"Quality of Works / Criteria of Failings:Compliant","")))/LEN("Quality of Works / Criteria of Failings:Compliant"),0))</f>
        <v/>
      </c>
      <c r="Z922" s="122">
        <f>IFERROR($Y923/MAX(1,(LEN($I923)-LEN(SUBSTITUTE($I923," Ltd","")))/LEN(" Ltd")),0)</f>
        <v/>
      </c>
      <c r="AA922" s="122">
        <f>IFERROR(IFERROR((LEN($T923)-LEN(SUBSTITUTE($T923,"Quality of Works / Criteria of Failings:","")))/LEN("Quality of Works / Criteria of Failings:"),0)/MAX(1,(LEN($I923)-LEN(SUBSTITUTE($I923," Ltd","")))/LEN(" Ltd")),0)</f>
        <v/>
      </c>
      <c r="AB922" s="122">
        <f>IFERROR(IFERROR((LEN($T923)-LEN(SUBSTITUTE($T923,"Quality of Works / Criteria of Failings:Compliant","")))/LEN("Quality of Works / Criteria of Failings:Compliant"),0)/MAX(1,(LEN($I923)-LEN(SUBSTITUTE($I923," Ltd","")))/LEN(" Ltd")),0)</f>
        <v/>
      </c>
    </row>
    <row r="923" ht="15.75" customHeight="1" s="146">
      <c r="Y923" s="122">
        <f>MAX(0,IFERROR((LEN($T924)-LEN(SUBSTITUTE($T924,"Quality of Works / Criteria of Failings:","")))/LEN("Quality of Works / Criteria of Failings:"),0)-IFERROR((LEN($T924)-LEN(SUBSTITUTE($T924,"Quality of Works / Criteria of Failings:Compliant","")))/LEN("Quality of Works / Criteria of Failings:Compliant"),0))</f>
        <v/>
      </c>
      <c r="Z923" s="122">
        <f>IFERROR($Y924/MAX(1,(LEN($I924)-LEN(SUBSTITUTE($I924," Ltd","")))/LEN(" Ltd")),0)</f>
        <v/>
      </c>
      <c r="AA923" s="122">
        <f>IFERROR(IFERROR((LEN($T924)-LEN(SUBSTITUTE($T924,"Quality of Works / Criteria of Failings:","")))/LEN("Quality of Works / Criteria of Failings:"),0)/MAX(1,(LEN($I924)-LEN(SUBSTITUTE($I924," Ltd","")))/LEN(" Ltd")),0)</f>
        <v/>
      </c>
      <c r="AB923" s="122">
        <f>IFERROR(IFERROR((LEN($T924)-LEN(SUBSTITUTE($T924,"Quality of Works / Criteria of Failings:Compliant","")))/LEN("Quality of Works / Criteria of Failings:Compliant"),0)/MAX(1,(LEN($I924)-LEN(SUBSTITUTE($I924," Ltd","")))/LEN(" Ltd")),0)</f>
        <v/>
      </c>
    </row>
    <row r="924" ht="15.75" customHeight="1" s="146">
      <c r="Y924" s="122">
        <f>MAX(0,IFERROR((LEN($T925)-LEN(SUBSTITUTE($T925,"Quality of Works / Criteria of Failings:","")))/LEN("Quality of Works / Criteria of Failings:"),0)-IFERROR((LEN($T925)-LEN(SUBSTITUTE($T925,"Quality of Works / Criteria of Failings:Compliant","")))/LEN("Quality of Works / Criteria of Failings:Compliant"),0))</f>
        <v/>
      </c>
      <c r="Z924" s="122">
        <f>IFERROR($Y925/MAX(1,(LEN($I925)-LEN(SUBSTITUTE($I925," Ltd","")))/LEN(" Ltd")),0)</f>
        <v/>
      </c>
      <c r="AA924" s="122">
        <f>IFERROR(IFERROR((LEN($T925)-LEN(SUBSTITUTE($T925,"Quality of Works / Criteria of Failings:","")))/LEN("Quality of Works / Criteria of Failings:"),0)/MAX(1,(LEN($I925)-LEN(SUBSTITUTE($I925," Ltd","")))/LEN(" Ltd")),0)</f>
        <v/>
      </c>
      <c r="AB924" s="122">
        <f>IFERROR(IFERROR((LEN($T925)-LEN(SUBSTITUTE($T925,"Quality of Works / Criteria of Failings:Compliant","")))/LEN("Quality of Works / Criteria of Failings:Compliant"),0)/MAX(1,(LEN($I925)-LEN(SUBSTITUTE($I925," Ltd","")))/LEN(" Ltd")),0)</f>
        <v/>
      </c>
    </row>
    <row r="925" ht="15.75" customHeight="1" s="146">
      <c r="Y925" s="122">
        <f>MAX(0,IFERROR((LEN($T926)-LEN(SUBSTITUTE($T926,"Quality of Works / Criteria of Failings:","")))/LEN("Quality of Works / Criteria of Failings:"),0)-IFERROR((LEN($T926)-LEN(SUBSTITUTE($T926,"Quality of Works / Criteria of Failings:Compliant","")))/LEN("Quality of Works / Criteria of Failings:Compliant"),0))</f>
        <v/>
      </c>
      <c r="Z925" s="122">
        <f>IFERROR($Y926/MAX(1,(LEN($I926)-LEN(SUBSTITUTE($I926," Ltd","")))/LEN(" Ltd")),0)</f>
        <v/>
      </c>
      <c r="AA925" s="122">
        <f>IFERROR(IFERROR((LEN($T926)-LEN(SUBSTITUTE($T926,"Quality of Works / Criteria of Failings:","")))/LEN("Quality of Works / Criteria of Failings:"),0)/MAX(1,(LEN($I926)-LEN(SUBSTITUTE($I926," Ltd","")))/LEN(" Ltd")),0)</f>
        <v/>
      </c>
      <c r="AB925" s="122">
        <f>IFERROR(IFERROR((LEN($T926)-LEN(SUBSTITUTE($T926,"Quality of Works / Criteria of Failings:Compliant","")))/LEN("Quality of Works / Criteria of Failings:Compliant"),0)/MAX(1,(LEN($I926)-LEN(SUBSTITUTE($I926," Ltd","")))/LEN(" Ltd")),0)</f>
        <v/>
      </c>
    </row>
    <row r="926" ht="15.75" customHeight="1" s="146">
      <c r="Y926" s="122">
        <f>MAX(0,IFERROR((LEN($T927)-LEN(SUBSTITUTE($T927,"Quality of Works / Criteria of Failings:","")))/LEN("Quality of Works / Criteria of Failings:"),0)-IFERROR((LEN($T927)-LEN(SUBSTITUTE($T927,"Quality of Works / Criteria of Failings:Compliant","")))/LEN("Quality of Works / Criteria of Failings:Compliant"),0))</f>
        <v/>
      </c>
      <c r="Z926" s="122">
        <f>IFERROR($Y927/MAX(1,(LEN($I927)-LEN(SUBSTITUTE($I927," Ltd","")))/LEN(" Ltd")),0)</f>
        <v/>
      </c>
      <c r="AA926" s="122">
        <f>IFERROR(IFERROR((LEN($T927)-LEN(SUBSTITUTE($T927,"Quality of Works / Criteria of Failings:","")))/LEN("Quality of Works / Criteria of Failings:"),0)/MAX(1,(LEN($I927)-LEN(SUBSTITUTE($I927," Ltd","")))/LEN(" Ltd")),0)</f>
        <v/>
      </c>
      <c r="AB926" s="122">
        <f>IFERROR(IFERROR((LEN($T927)-LEN(SUBSTITUTE($T927,"Quality of Works / Criteria of Failings:Compliant","")))/LEN("Quality of Works / Criteria of Failings:Compliant"),0)/MAX(1,(LEN($I927)-LEN(SUBSTITUTE($I927," Ltd","")))/LEN(" Ltd")),0)</f>
        <v/>
      </c>
    </row>
    <row r="927" ht="15.75" customHeight="1" s="146">
      <c r="Y927" s="122">
        <f>MAX(0,IFERROR((LEN($T928)-LEN(SUBSTITUTE($T928,"Quality of Works / Criteria of Failings:","")))/LEN("Quality of Works / Criteria of Failings:"),0)-IFERROR((LEN($T928)-LEN(SUBSTITUTE($T928,"Quality of Works / Criteria of Failings:Compliant","")))/LEN("Quality of Works / Criteria of Failings:Compliant"),0))</f>
        <v/>
      </c>
      <c r="Z927" s="122">
        <f>IFERROR($Y928/MAX(1,(LEN($I928)-LEN(SUBSTITUTE($I928," Ltd","")))/LEN(" Ltd")),0)</f>
        <v/>
      </c>
      <c r="AA927" s="122">
        <f>IFERROR(IFERROR((LEN($T928)-LEN(SUBSTITUTE($T928,"Quality of Works / Criteria of Failings:","")))/LEN("Quality of Works / Criteria of Failings:"),0)/MAX(1,(LEN($I928)-LEN(SUBSTITUTE($I928," Ltd","")))/LEN(" Ltd")),0)</f>
        <v/>
      </c>
      <c r="AB927" s="122">
        <f>IFERROR(IFERROR((LEN($T928)-LEN(SUBSTITUTE($T928,"Quality of Works / Criteria of Failings:Compliant","")))/LEN("Quality of Works / Criteria of Failings:Compliant"),0)/MAX(1,(LEN($I928)-LEN(SUBSTITUTE($I928," Ltd","")))/LEN(" Ltd")),0)</f>
        <v/>
      </c>
    </row>
    <row r="928" ht="15.75" customHeight="1" s="146">
      <c r="Y928" s="122">
        <f>MAX(0,IFERROR((LEN($T929)-LEN(SUBSTITUTE($T929,"Quality of Works / Criteria of Failings:","")))/LEN("Quality of Works / Criteria of Failings:"),0)-IFERROR((LEN($T929)-LEN(SUBSTITUTE($T929,"Quality of Works / Criteria of Failings:Compliant","")))/LEN("Quality of Works / Criteria of Failings:Compliant"),0))</f>
        <v/>
      </c>
      <c r="Z928" s="122">
        <f>IFERROR($Y929/MAX(1,(LEN($I929)-LEN(SUBSTITUTE($I929," Ltd","")))/LEN(" Ltd")),0)</f>
        <v/>
      </c>
      <c r="AA928" s="122">
        <f>IFERROR(IFERROR((LEN($T929)-LEN(SUBSTITUTE($T929,"Quality of Works / Criteria of Failings:","")))/LEN("Quality of Works / Criteria of Failings:"),0)/MAX(1,(LEN($I929)-LEN(SUBSTITUTE($I929," Ltd","")))/LEN(" Ltd")),0)</f>
        <v/>
      </c>
      <c r="AB928" s="122">
        <f>IFERROR(IFERROR((LEN($T929)-LEN(SUBSTITUTE($T929,"Quality of Works / Criteria of Failings:Compliant","")))/LEN("Quality of Works / Criteria of Failings:Compliant"),0)/MAX(1,(LEN($I929)-LEN(SUBSTITUTE($I929," Ltd","")))/LEN(" Ltd")),0)</f>
        <v/>
      </c>
    </row>
    <row r="929" ht="15.75" customHeight="1" s="146">
      <c r="Y929" s="122">
        <f>MAX(0,IFERROR((LEN($T930)-LEN(SUBSTITUTE($T930,"Quality of Works / Criteria of Failings:","")))/LEN("Quality of Works / Criteria of Failings:"),0)-IFERROR((LEN($T930)-LEN(SUBSTITUTE($T930,"Quality of Works / Criteria of Failings:Compliant","")))/LEN("Quality of Works / Criteria of Failings:Compliant"),0))</f>
        <v/>
      </c>
      <c r="Z929" s="122">
        <f>IFERROR($Y930/MAX(1,(LEN($I930)-LEN(SUBSTITUTE($I930," Ltd","")))/LEN(" Ltd")),0)</f>
        <v/>
      </c>
      <c r="AA929" s="122">
        <f>IFERROR(IFERROR((LEN($T930)-LEN(SUBSTITUTE($T930,"Quality of Works / Criteria of Failings:","")))/LEN("Quality of Works / Criteria of Failings:"),0)/MAX(1,(LEN($I930)-LEN(SUBSTITUTE($I930," Ltd","")))/LEN(" Ltd")),0)</f>
        <v/>
      </c>
      <c r="AB929" s="122">
        <f>IFERROR(IFERROR((LEN($T930)-LEN(SUBSTITUTE($T930,"Quality of Works / Criteria of Failings:Compliant","")))/LEN("Quality of Works / Criteria of Failings:Compliant"),0)/MAX(1,(LEN($I930)-LEN(SUBSTITUTE($I930," Ltd","")))/LEN(" Ltd")),0)</f>
        <v/>
      </c>
    </row>
    <row r="930" ht="15.75" customHeight="1" s="146">
      <c r="Y930" s="122">
        <f>MAX(0,IFERROR((LEN($T931)-LEN(SUBSTITUTE($T931,"Quality of Works / Criteria of Failings:","")))/LEN("Quality of Works / Criteria of Failings:"),0)-IFERROR((LEN($T931)-LEN(SUBSTITUTE($T931,"Quality of Works / Criteria of Failings:Compliant","")))/LEN("Quality of Works / Criteria of Failings:Compliant"),0))</f>
        <v/>
      </c>
      <c r="Z930" s="122">
        <f>IFERROR($Y931/MAX(1,(LEN($I931)-LEN(SUBSTITUTE($I931," Ltd","")))/LEN(" Ltd")),0)</f>
        <v/>
      </c>
      <c r="AA930" s="122">
        <f>IFERROR(IFERROR((LEN($T931)-LEN(SUBSTITUTE($T931,"Quality of Works / Criteria of Failings:","")))/LEN("Quality of Works / Criteria of Failings:"),0)/MAX(1,(LEN($I931)-LEN(SUBSTITUTE($I931," Ltd","")))/LEN(" Ltd")),0)</f>
        <v/>
      </c>
      <c r="AB930" s="122">
        <f>IFERROR(IFERROR((LEN($T931)-LEN(SUBSTITUTE($T931,"Quality of Works / Criteria of Failings:Compliant","")))/LEN("Quality of Works / Criteria of Failings:Compliant"),0)/MAX(1,(LEN($I931)-LEN(SUBSTITUTE($I931," Ltd","")))/LEN(" Ltd")),0)</f>
        <v/>
      </c>
    </row>
    <row r="931" ht="15.75" customHeight="1" s="146">
      <c r="Y931" s="122">
        <f>MAX(0,IFERROR((LEN($T932)-LEN(SUBSTITUTE($T932,"Quality of Works / Criteria of Failings:","")))/LEN("Quality of Works / Criteria of Failings:"),0)-IFERROR((LEN($T932)-LEN(SUBSTITUTE($T932,"Quality of Works / Criteria of Failings:Compliant","")))/LEN("Quality of Works / Criteria of Failings:Compliant"),0))</f>
        <v/>
      </c>
      <c r="Z931" s="122">
        <f>IFERROR($Y932/MAX(1,(LEN($I932)-LEN(SUBSTITUTE($I932," Ltd","")))/LEN(" Ltd")),0)</f>
        <v/>
      </c>
      <c r="AA931" s="122">
        <f>IFERROR(IFERROR((LEN($T932)-LEN(SUBSTITUTE($T932,"Quality of Works / Criteria of Failings:","")))/LEN("Quality of Works / Criteria of Failings:"),0)/MAX(1,(LEN($I932)-LEN(SUBSTITUTE($I932," Ltd","")))/LEN(" Ltd")),0)</f>
        <v/>
      </c>
      <c r="AB931" s="122">
        <f>IFERROR(IFERROR((LEN($T932)-LEN(SUBSTITUTE($T932,"Quality of Works / Criteria of Failings:Compliant","")))/LEN("Quality of Works / Criteria of Failings:Compliant"),0)/MAX(1,(LEN($I932)-LEN(SUBSTITUTE($I932," Ltd","")))/LEN(" Ltd")),0)</f>
        <v/>
      </c>
    </row>
    <row r="932" ht="15.75" customHeight="1" s="146">
      <c r="Y932" s="122">
        <f>MAX(0,IFERROR((LEN($T933)-LEN(SUBSTITUTE($T933,"Quality of Works / Criteria of Failings:","")))/LEN("Quality of Works / Criteria of Failings:"),0)-IFERROR((LEN($T933)-LEN(SUBSTITUTE($T933,"Quality of Works / Criteria of Failings:Compliant","")))/LEN("Quality of Works / Criteria of Failings:Compliant"),0))</f>
        <v/>
      </c>
      <c r="Z932" s="122">
        <f>IFERROR($Y933/MAX(1,(LEN($I933)-LEN(SUBSTITUTE($I933," Ltd","")))/LEN(" Ltd")),0)</f>
        <v/>
      </c>
      <c r="AA932" s="122">
        <f>IFERROR(IFERROR((LEN($T933)-LEN(SUBSTITUTE($T933,"Quality of Works / Criteria of Failings:","")))/LEN("Quality of Works / Criteria of Failings:"),0)/MAX(1,(LEN($I933)-LEN(SUBSTITUTE($I933," Ltd","")))/LEN(" Ltd")),0)</f>
        <v/>
      </c>
      <c r="AB932" s="122">
        <f>IFERROR(IFERROR((LEN($T933)-LEN(SUBSTITUTE($T933,"Quality of Works / Criteria of Failings:Compliant","")))/LEN("Quality of Works / Criteria of Failings:Compliant"),0)/MAX(1,(LEN($I933)-LEN(SUBSTITUTE($I933," Ltd","")))/LEN(" Ltd")),0)</f>
        <v/>
      </c>
    </row>
    <row r="933" ht="15.75" customHeight="1" s="146">
      <c r="Y933" s="122">
        <f>MAX(0,IFERROR((LEN($T934)-LEN(SUBSTITUTE($T934,"Quality of Works / Criteria of Failings:","")))/LEN("Quality of Works / Criteria of Failings:"),0)-IFERROR((LEN($T934)-LEN(SUBSTITUTE($T934,"Quality of Works / Criteria of Failings:Compliant","")))/LEN("Quality of Works / Criteria of Failings:Compliant"),0))</f>
        <v/>
      </c>
      <c r="Z933" s="122">
        <f>IFERROR($Y934/MAX(1,(LEN($I934)-LEN(SUBSTITUTE($I934," Ltd","")))/LEN(" Ltd")),0)</f>
        <v/>
      </c>
      <c r="AA933" s="122">
        <f>IFERROR(IFERROR((LEN($T934)-LEN(SUBSTITUTE($T934,"Quality of Works / Criteria of Failings:","")))/LEN("Quality of Works / Criteria of Failings:"),0)/MAX(1,(LEN($I934)-LEN(SUBSTITUTE($I934," Ltd","")))/LEN(" Ltd")),0)</f>
        <v/>
      </c>
      <c r="AB933" s="122">
        <f>IFERROR(IFERROR((LEN($T934)-LEN(SUBSTITUTE($T934,"Quality of Works / Criteria of Failings:Compliant","")))/LEN("Quality of Works / Criteria of Failings:Compliant"),0)/MAX(1,(LEN($I934)-LEN(SUBSTITUTE($I934," Ltd","")))/LEN(" Ltd")),0)</f>
        <v/>
      </c>
    </row>
    <row r="934" ht="15.75" customHeight="1" s="146">
      <c r="Y934" s="122">
        <f>MAX(0,IFERROR((LEN($T935)-LEN(SUBSTITUTE($T935,"Quality of Works / Criteria of Failings:","")))/LEN("Quality of Works / Criteria of Failings:"),0)-IFERROR((LEN($T935)-LEN(SUBSTITUTE($T935,"Quality of Works / Criteria of Failings:Compliant","")))/LEN("Quality of Works / Criteria of Failings:Compliant"),0))</f>
        <v/>
      </c>
      <c r="Z934" s="122">
        <f>IFERROR($Y935/MAX(1,(LEN($I935)-LEN(SUBSTITUTE($I935," Ltd","")))/LEN(" Ltd")),0)</f>
        <v/>
      </c>
      <c r="AA934" s="122">
        <f>IFERROR(IFERROR((LEN($T935)-LEN(SUBSTITUTE($T935,"Quality of Works / Criteria of Failings:","")))/LEN("Quality of Works / Criteria of Failings:"),0)/MAX(1,(LEN($I935)-LEN(SUBSTITUTE($I935," Ltd","")))/LEN(" Ltd")),0)</f>
        <v/>
      </c>
      <c r="AB934" s="122">
        <f>IFERROR(IFERROR((LEN($T935)-LEN(SUBSTITUTE($T935,"Quality of Works / Criteria of Failings:Compliant","")))/LEN("Quality of Works / Criteria of Failings:Compliant"),0)/MAX(1,(LEN($I935)-LEN(SUBSTITUTE($I935," Ltd","")))/LEN(" Ltd")),0)</f>
        <v/>
      </c>
    </row>
    <row r="935" ht="15.75" customHeight="1" s="146">
      <c r="Y935" s="122">
        <f>MAX(0,IFERROR((LEN($T936)-LEN(SUBSTITUTE($T936,"Quality of Works / Criteria of Failings:","")))/LEN("Quality of Works / Criteria of Failings:"),0)-IFERROR((LEN($T936)-LEN(SUBSTITUTE($T936,"Quality of Works / Criteria of Failings:Compliant","")))/LEN("Quality of Works / Criteria of Failings:Compliant"),0))</f>
        <v/>
      </c>
      <c r="Z935" s="122">
        <f>IFERROR($Y936/MAX(1,(LEN($I936)-LEN(SUBSTITUTE($I936," Ltd","")))/LEN(" Ltd")),0)</f>
        <v/>
      </c>
      <c r="AA935" s="122">
        <f>IFERROR(IFERROR((LEN($T936)-LEN(SUBSTITUTE($T936,"Quality of Works / Criteria of Failings:","")))/LEN("Quality of Works / Criteria of Failings:"),0)/MAX(1,(LEN($I936)-LEN(SUBSTITUTE($I936," Ltd","")))/LEN(" Ltd")),0)</f>
        <v/>
      </c>
      <c r="AB935" s="122">
        <f>IFERROR(IFERROR((LEN($T936)-LEN(SUBSTITUTE($T936,"Quality of Works / Criteria of Failings:Compliant","")))/LEN("Quality of Works / Criteria of Failings:Compliant"),0)/MAX(1,(LEN($I936)-LEN(SUBSTITUTE($I936," Ltd","")))/LEN(" Ltd")),0)</f>
        <v/>
      </c>
    </row>
    <row r="936" ht="15.75" customHeight="1" s="146">
      <c r="Y936" s="122">
        <f>MAX(0,IFERROR((LEN($T937)-LEN(SUBSTITUTE($T937,"Quality of Works / Criteria of Failings:","")))/LEN("Quality of Works / Criteria of Failings:"),0)-IFERROR((LEN($T937)-LEN(SUBSTITUTE($T937,"Quality of Works / Criteria of Failings:Compliant","")))/LEN("Quality of Works / Criteria of Failings:Compliant"),0))</f>
        <v/>
      </c>
      <c r="Z936" s="122">
        <f>IFERROR($Y937/MAX(1,(LEN($I937)-LEN(SUBSTITUTE($I937," Ltd","")))/LEN(" Ltd")),0)</f>
        <v/>
      </c>
      <c r="AA936" s="122">
        <f>IFERROR(IFERROR((LEN($T937)-LEN(SUBSTITUTE($T937,"Quality of Works / Criteria of Failings:","")))/LEN("Quality of Works / Criteria of Failings:"),0)/MAX(1,(LEN($I937)-LEN(SUBSTITUTE($I937," Ltd","")))/LEN(" Ltd")),0)</f>
        <v/>
      </c>
      <c r="AB936" s="122">
        <f>IFERROR(IFERROR((LEN($T937)-LEN(SUBSTITUTE($T937,"Quality of Works / Criteria of Failings:Compliant","")))/LEN("Quality of Works / Criteria of Failings:Compliant"),0)/MAX(1,(LEN($I937)-LEN(SUBSTITUTE($I937," Ltd","")))/LEN(" Ltd")),0)</f>
        <v/>
      </c>
    </row>
    <row r="937" ht="15.75" customHeight="1" s="146">
      <c r="Y937" s="122">
        <f>MAX(0,IFERROR((LEN($T938)-LEN(SUBSTITUTE($T938,"Quality of Works / Criteria of Failings:","")))/LEN("Quality of Works / Criteria of Failings:"),0)-IFERROR((LEN($T938)-LEN(SUBSTITUTE($T938,"Quality of Works / Criteria of Failings:Compliant","")))/LEN("Quality of Works / Criteria of Failings:Compliant"),0))</f>
        <v/>
      </c>
      <c r="Z937" s="122">
        <f>IFERROR($Y938/MAX(1,(LEN($I938)-LEN(SUBSTITUTE($I938," Ltd","")))/LEN(" Ltd")),0)</f>
        <v/>
      </c>
      <c r="AA937" s="122">
        <f>IFERROR(IFERROR((LEN($T938)-LEN(SUBSTITUTE($T938,"Quality of Works / Criteria of Failings:","")))/LEN("Quality of Works / Criteria of Failings:"),0)/MAX(1,(LEN($I938)-LEN(SUBSTITUTE($I938," Ltd","")))/LEN(" Ltd")),0)</f>
        <v/>
      </c>
      <c r="AB937" s="122">
        <f>IFERROR(IFERROR((LEN($T938)-LEN(SUBSTITUTE($T938,"Quality of Works / Criteria of Failings:Compliant","")))/LEN("Quality of Works / Criteria of Failings:Compliant"),0)/MAX(1,(LEN($I938)-LEN(SUBSTITUTE($I938," Ltd","")))/LEN(" Ltd")),0)</f>
        <v/>
      </c>
    </row>
    <row r="938" ht="15.75" customHeight="1" s="146">
      <c r="Y938" s="122">
        <f>MAX(0,IFERROR((LEN($T939)-LEN(SUBSTITUTE($T939,"Quality of Works / Criteria of Failings:","")))/LEN("Quality of Works / Criteria of Failings:"),0)-IFERROR((LEN($T939)-LEN(SUBSTITUTE($T939,"Quality of Works / Criteria of Failings:Compliant","")))/LEN("Quality of Works / Criteria of Failings:Compliant"),0))</f>
        <v/>
      </c>
      <c r="Z938" s="122">
        <f>IFERROR($Y939/MAX(1,(LEN($I939)-LEN(SUBSTITUTE($I939," Ltd","")))/LEN(" Ltd")),0)</f>
        <v/>
      </c>
      <c r="AA938" s="122">
        <f>IFERROR(IFERROR((LEN($T939)-LEN(SUBSTITUTE($T939,"Quality of Works / Criteria of Failings:","")))/LEN("Quality of Works / Criteria of Failings:"),0)/MAX(1,(LEN($I939)-LEN(SUBSTITUTE($I939," Ltd","")))/LEN(" Ltd")),0)</f>
        <v/>
      </c>
      <c r="AB938" s="122">
        <f>IFERROR(IFERROR((LEN($T939)-LEN(SUBSTITUTE($T939,"Quality of Works / Criteria of Failings:Compliant","")))/LEN("Quality of Works / Criteria of Failings:Compliant"),0)/MAX(1,(LEN($I939)-LEN(SUBSTITUTE($I939," Ltd","")))/LEN(" Ltd")),0)</f>
        <v/>
      </c>
    </row>
    <row r="939" ht="15.75" customHeight="1" s="146">
      <c r="Y939" s="122">
        <f>MAX(0,IFERROR((LEN($T940)-LEN(SUBSTITUTE($T940,"Quality of Works / Criteria of Failings:","")))/LEN("Quality of Works / Criteria of Failings:"),0)-IFERROR((LEN($T940)-LEN(SUBSTITUTE($T940,"Quality of Works / Criteria of Failings:Compliant","")))/LEN("Quality of Works / Criteria of Failings:Compliant"),0))</f>
        <v/>
      </c>
      <c r="Z939" s="122">
        <f>IFERROR($Y940/MAX(1,(LEN($I940)-LEN(SUBSTITUTE($I940," Ltd","")))/LEN(" Ltd")),0)</f>
        <v/>
      </c>
      <c r="AA939" s="122">
        <f>IFERROR(IFERROR((LEN($T940)-LEN(SUBSTITUTE($T940,"Quality of Works / Criteria of Failings:","")))/LEN("Quality of Works / Criteria of Failings:"),0)/MAX(1,(LEN($I940)-LEN(SUBSTITUTE($I940," Ltd","")))/LEN(" Ltd")),0)</f>
        <v/>
      </c>
      <c r="AB939" s="122">
        <f>IFERROR(IFERROR((LEN($T940)-LEN(SUBSTITUTE($T940,"Quality of Works / Criteria of Failings:Compliant","")))/LEN("Quality of Works / Criteria of Failings:Compliant"),0)/MAX(1,(LEN($I940)-LEN(SUBSTITUTE($I940," Ltd","")))/LEN(" Ltd")),0)</f>
        <v/>
      </c>
    </row>
    <row r="940" ht="15.75" customHeight="1" s="146">
      <c r="Y940" s="122">
        <f>MAX(0,IFERROR((LEN($T941)-LEN(SUBSTITUTE($T941,"Quality of Works / Criteria of Failings:","")))/LEN("Quality of Works / Criteria of Failings:"),0)-IFERROR((LEN($T941)-LEN(SUBSTITUTE($T941,"Quality of Works / Criteria of Failings:Compliant","")))/LEN("Quality of Works / Criteria of Failings:Compliant"),0))</f>
        <v/>
      </c>
      <c r="Z940" s="122">
        <f>IFERROR($Y941/MAX(1,(LEN($I941)-LEN(SUBSTITUTE($I941," Ltd","")))/LEN(" Ltd")),0)</f>
        <v/>
      </c>
      <c r="AA940" s="122">
        <f>IFERROR(IFERROR((LEN($T941)-LEN(SUBSTITUTE($T941,"Quality of Works / Criteria of Failings:","")))/LEN("Quality of Works / Criteria of Failings:"),0)/MAX(1,(LEN($I941)-LEN(SUBSTITUTE($I941," Ltd","")))/LEN(" Ltd")),0)</f>
        <v/>
      </c>
      <c r="AB940" s="122">
        <f>IFERROR(IFERROR((LEN($T941)-LEN(SUBSTITUTE($T941,"Quality of Works / Criteria of Failings:Compliant","")))/LEN("Quality of Works / Criteria of Failings:Compliant"),0)/MAX(1,(LEN($I941)-LEN(SUBSTITUTE($I941," Ltd","")))/LEN(" Ltd")),0)</f>
        <v/>
      </c>
    </row>
    <row r="941" ht="15.75" customHeight="1" s="146">
      <c r="Y941" s="122">
        <f>MAX(0,IFERROR((LEN($T942)-LEN(SUBSTITUTE($T942,"Quality of Works / Criteria of Failings:","")))/LEN("Quality of Works / Criteria of Failings:"),0)-IFERROR((LEN($T942)-LEN(SUBSTITUTE($T942,"Quality of Works / Criteria of Failings:Compliant","")))/LEN("Quality of Works / Criteria of Failings:Compliant"),0))</f>
        <v/>
      </c>
      <c r="Z941" s="122">
        <f>IFERROR($Y942/MAX(1,(LEN($I942)-LEN(SUBSTITUTE($I942," Ltd","")))/LEN(" Ltd")),0)</f>
        <v/>
      </c>
      <c r="AA941" s="122">
        <f>IFERROR(IFERROR((LEN($T942)-LEN(SUBSTITUTE($T942,"Quality of Works / Criteria of Failings:","")))/LEN("Quality of Works / Criteria of Failings:"),0)/MAX(1,(LEN($I942)-LEN(SUBSTITUTE($I942," Ltd","")))/LEN(" Ltd")),0)</f>
        <v/>
      </c>
      <c r="AB941" s="122">
        <f>IFERROR(IFERROR((LEN($T942)-LEN(SUBSTITUTE($T942,"Quality of Works / Criteria of Failings:Compliant","")))/LEN("Quality of Works / Criteria of Failings:Compliant"),0)/MAX(1,(LEN($I942)-LEN(SUBSTITUTE($I942," Ltd","")))/LEN(" Ltd")),0)</f>
        <v/>
      </c>
    </row>
    <row r="942" ht="15.75" customHeight="1" s="146">
      <c r="Y942" s="122">
        <f>MAX(0,IFERROR((LEN($T943)-LEN(SUBSTITUTE($T943,"Quality of Works / Criteria of Failings:","")))/LEN("Quality of Works / Criteria of Failings:"),0)-IFERROR((LEN($T943)-LEN(SUBSTITUTE($T943,"Quality of Works / Criteria of Failings:Compliant","")))/LEN("Quality of Works / Criteria of Failings:Compliant"),0))</f>
        <v/>
      </c>
      <c r="Z942" s="122">
        <f>IFERROR($Y943/MAX(1,(LEN($I943)-LEN(SUBSTITUTE($I943," Ltd","")))/LEN(" Ltd")),0)</f>
        <v/>
      </c>
      <c r="AA942" s="122">
        <f>IFERROR(IFERROR((LEN($T943)-LEN(SUBSTITUTE($T943,"Quality of Works / Criteria of Failings:","")))/LEN("Quality of Works / Criteria of Failings:"),0)/MAX(1,(LEN($I943)-LEN(SUBSTITUTE($I943," Ltd","")))/LEN(" Ltd")),0)</f>
        <v/>
      </c>
      <c r="AB942" s="122">
        <f>IFERROR(IFERROR((LEN($T943)-LEN(SUBSTITUTE($T943,"Quality of Works / Criteria of Failings:Compliant","")))/LEN("Quality of Works / Criteria of Failings:Compliant"),0)/MAX(1,(LEN($I943)-LEN(SUBSTITUTE($I943," Ltd","")))/LEN(" Ltd")),0)</f>
        <v/>
      </c>
    </row>
    <row r="943" ht="15.75" customHeight="1" s="146">
      <c r="Y943" s="122">
        <f>MAX(0,IFERROR((LEN($T944)-LEN(SUBSTITUTE($T944,"Quality of Works / Criteria of Failings:","")))/LEN("Quality of Works / Criteria of Failings:"),0)-IFERROR((LEN($T944)-LEN(SUBSTITUTE($T944,"Quality of Works / Criteria of Failings:Compliant","")))/LEN("Quality of Works / Criteria of Failings:Compliant"),0))</f>
        <v/>
      </c>
      <c r="Z943" s="122">
        <f>IFERROR($Y944/MAX(1,(LEN($I944)-LEN(SUBSTITUTE($I944," Ltd","")))/LEN(" Ltd")),0)</f>
        <v/>
      </c>
      <c r="AA943" s="122">
        <f>IFERROR(IFERROR((LEN($T944)-LEN(SUBSTITUTE($T944,"Quality of Works / Criteria of Failings:","")))/LEN("Quality of Works / Criteria of Failings:"),0)/MAX(1,(LEN($I944)-LEN(SUBSTITUTE($I944," Ltd","")))/LEN(" Ltd")),0)</f>
        <v/>
      </c>
      <c r="AB943" s="122">
        <f>IFERROR(IFERROR((LEN($T944)-LEN(SUBSTITUTE($T944,"Quality of Works / Criteria of Failings:Compliant","")))/LEN("Quality of Works / Criteria of Failings:Compliant"),0)/MAX(1,(LEN($I944)-LEN(SUBSTITUTE($I944," Ltd","")))/LEN(" Ltd")),0)</f>
        <v/>
      </c>
    </row>
    <row r="944" ht="15.75" customHeight="1" s="146">
      <c r="Y944" s="122">
        <f>MAX(0,IFERROR((LEN($T945)-LEN(SUBSTITUTE($T945,"Quality of Works / Criteria of Failings:","")))/LEN("Quality of Works / Criteria of Failings:"),0)-IFERROR((LEN($T945)-LEN(SUBSTITUTE($T945,"Quality of Works / Criteria of Failings:Compliant","")))/LEN("Quality of Works / Criteria of Failings:Compliant"),0))</f>
        <v/>
      </c>
      <c r="Z944" s="122">
        <f>IFERROR($Y945/MAX(1,(LEN($I945)-LEN(SUBSTITUTE($I945," Ltd","")))/LEN(" Ltd")),0)</f>
        <v/>
      </c>
      <c r="AA944" s="122">
        <f>IFERROR(IFERROR((LEN($T945)-LEN(SUBSTITUTE($T945,"Quality of Works / Criteria of Failings:","")))/LEN("Quality of Works / Criteria of Failings:"),0)/MAX(1,(LEN($I945)-LEN(SUBSTITUTE($I945," Ltd","")))/LEN(" Ltd")),0)</f>
        <v/>
      </c>
      <c r="AB944" s="122">
        <f>IFERROR(IFERROR((LEN($T945)-LEN(SUBSTITUTE($T945,"Quality of Works / Criteria of Failings:Compliant","")))/LEN("Quality of Works / Criteria of Failings:Compliant"),0)/MAX(1,(LEN($I945)-LEN(SUBSTITUTE($I945," Ltd","")))/LEN(" Ltd")),0)</f>
        <v/>
      </c>
    </row>
    <row r="945" ht="15.75" customHeight="1" s="146">
      <c r="Y945" s="122">
        <f>MAX(0,IFERROR((LEN($T946)-LEN(SUBSTITUTE($T946,"Quality of Works / Criteria of Failings:","")))/LEN("Quality of Works / Criteria of Failings:"),0)-IFERROR((LEN($T946)-LEN(SUBSTITUTE($T946,"Quality of Works / Criteria of Failings:Compliant","")))/LEN("Quality of Works / Criteria of Failings:Compliant"),0))</f>
        <v/>
      </c>
      <c r="Z945" s="122">
        <f>IFERROR($Y946/MAX(1,(LEN($I946)-LEN(SUBSTITUTE($I946," Ltd","")))/LEN(" Ltd")),0)</f>
        <v/>
      </c>
      <c r="AA945" s="122">
        <f>IFERROR(IFERROR((LEN($T946)-LEN(SUBSTITUTE($T946,"Quality of Works / Criteria of Failings:","")))/LEN("Quality of Works / Criteria of Failings:"),0)/MAX(1,(LEN($I946)-LEN(SUBSTITUTE($I946," Ltd","")))/LEN(" Ltd")),0)</f>
        <v/>
      </c>
      <c r="AB945" s="122">
        <f>IFERROR(IFERROR((LEN($T946)-LEN(SUBSTITUTE($T946,"Quality of Works / Criteria of Failings:Compliant","")))/LEN("Quality of Works / Criteria of Failings:Compliant"),0)/MAX(1,(LEN($I946)-LEN(SUBSTITUTE($I946," Ltd","")))/LEN(" Ltd")),0)</f>
        <v/>
      </c>
    </row>
    <row r="946" ht="15.75" customHeight="1" s="146">
      <c r="Y946" s="122">
        <f>MAX(0,IFERROR((LEN($T947)-LEN(SUBSTITUTE($T947,"Quality of Works / Criteria of Failings:","")))/LEN("Quality of Works / Criteria of Failings:"),0)-IFERROR((LEN($T947)-LEN(SUBSTITUTE($T947,"Quality of Works / Criteria of Failings:Compliant","")))/LEN("Quality of Works / Criteria of Failings:Compliant"),0))</f>
        <v/>
      </c>
      <c r="Z946" s="122">
        <f>IFERROR($Y947/MAX(1,(LEN($I947)-LEN(SUBSTITUTE($I947," Ltd","")))/LEN(" Ltd")),0)</f>
        <v/>
      </c>
      <c r="AA946" s="122">
        <f>IFERROR(IFERROR((LEN($T947)-LEN(SUBSTITUTE($T947,"Quality of Works / Criteria of Failings:","")))/LEN("Quality of Works / Criteria of Failings:"),0)/MAX(1,(LEN($I947)-LEN(SUBSTITUTE($I947," Ltd","")))/LEN(" Ltd")),0)</f>
        <v/>
      </c>
      <c r="AB946" s="122">
        <f>IFERROR(IFERROR((LEN($T947)-LEN(SUBSTITUTE($T947,"Quality of Works / Criteria of Failings:Compliant","")))/LEN("Quality of Works / Criteria of Failings:Compliant"),0)/MAX(1,(LEN($I947)-LEN(SUBSTITUTE($I947," Ltd","")))/LEN(" Ltd")),0)</f>
        <v/>
      </c>
    </row>
    <row r="947" ht="15.75" customHeight="1" s="146">
      <c r="Y947" s="122">
        <f>MAX(0,IFERROR((LEN($T948)-LEN(SUBSTITUTE($T948,"Quality of Works / Criteria of Failings:","")))/LEN("Quality of Works / Criteria of Failings:"),0)-IFERROR((LEN($T948)-LEN(SUBSTITUTE($T948,"Quality of Works / Criteria of Failings:Compliant","")))/LEN("Quality of Works / Criteria of Failings:Compliant"),0))</f>
        <v/>
      </c>
      <c r="Z947" s="122">
        <f>IFERROR($Y948/MAX(1,(LEN($I948)-LEN(SUBSTITUTE($I948," Ltd","")))/LEN(" Ltd")),0)</f>
        <v/>
      </c>
      <c r="AA947" s="122">
        <f>IFERROR(IFERROR((LEN($T948)-LEN(SUBSTITUTE($T948,"Quality of Works / Criteria of Failings:","")))/LEN("Quality of Works / Criteria of Failings:"),0)/MAX(1,(LEN($I948)-LEN(SUBSTITUTE($I948," Ltd","")))/LEN(" Ltd")),0)</f>
        <v/>
      </c>
      <c r="AB947" s="122">
        <f>IFERROR(IFERROR((LEN($T948)-LEN(SUBSTITUTE($T948,"Quality of Works / Criteria of Failings:Compliant","")))/LEN("Quality of Works / Criteria of Failings:Compliant"),0)/MAX(1,(LEN($I948)-LEN(SUBSTITUTE($I948," Ltd","")))/LEN(" Ltd")),0)</f>
        <v/>
      </c>
    </row>
    <row r="948" ht="15.75" customHeight="1" s="146">
      <c r="Y948" s="122">
        <f>MAX(0,IFERROR((LEN($T949)-LEN(SUBSTITUTE($T949,"Quality of Works / Criteria of Failings:","")))/LEN("Quality of Works / Criteria of Failings:"),0)-IFERROR((LEN($T949)-LEN(SUBSTITUTE($T949,"Quality of Works / Criteria of Failings:Compliant","")))/LEN("Quality of Works / Criteria of Failings:Compliant"),0))</f>
        <v/>
      </c>
      <c r="Z948" s="122">
        <f>IFERROR($Y949/MAX(1,(LEN($I949)-LEN(SUBSTITUTE($I949," Ltd","")))/LEN(" Ltd")),0)</f>
        <v/>
      </c>
      <c r="AA948" s="122">
        <f>IFERROR(IFERROR((LEN($T949)-LEN(SUBSTITUTE($T949,"Quality of Works / Criteria of Failings:","")))/LEN("Quality of Works / Criteria of Failings:"),0)/MAX(1,(LEN($I949)-LEN(SUBSTITUTE($I949," Ltd","")))/LEN(" Ltd")),0)</f>
        <v/>
      </c>
      <c r="AB948" s="122">
        <f>IFERROR(IFERROR((LEN($T949)-LEN(SUBSTITUTE($T949,"Quality of Works / Criteria of Failings:Compliant","")))/LEN("Quality of Works / Criteria of Failings:Compliant"),0)/MAX(1,(LEN($I949)-LEN(SUBSTITUTE($I949," Ltd","")))/LEN(" Ltd")),0)</f>
        <v/>
      </c>
    </row>
    <row r="949" ht="15.75" customHeight="1" s="146">
      <c r="Y949" s="122">
        <f>MAX(0,IFERROR((LEN($T950)-LEN(SUBSTITUTE($T950,"Quality of Works / Criteria of Failings:","")))/LEN("Quality of Works / Criteria of Failings:"),0)-IFERROR((LEN($T950)-LEN(SUBSTITUTE($T950,"Quality of Works / Criteria of Failings:Compliant","")))/LEN("Quality of Works / Criteria of Failings:Compliant"),0))</f>
        <v/>
      </c>
      <c r="Z949" s="122">
        <f>IFERROR($Y950/MAX(1,(LEN($I950)-LEN(SUBSTITUTE($I950," Ltd","")))/LEN(" Ltd")),0)</f>
        <v/>
      </c>
      <c r="AA949" s="122">
        <f>IFERROR(IFERROR((LEN($T950)-LEN(SUBSTITUTE($T950,"Quality of Works / Criteria of Failings:","")))/LEN("Quality of Works / Criteria of Failings:"),0)/MAX(1,(LEN($I950)-LEN(SUBSTITUTE($I950," Ltd","")))/LEN(" Ltd")),0)</f>
        <v/>
      </c>
      <c r="AB949" s="122">
        <f>IFERROR(IFERROR((LEN($T950)-LEN(SUBSTITUTE($T950,"Quality of Works / Criteria of Failings:Compliant","")))/LEN("Quality of Works / Criteria of Failings:Compliant"),0)/MAX(1,(LEN($I950)-LEN(SUBSTITUTE($I950," Ltd","")))/LEN(" Ltd")),0)</f>
        <v/>
      </c>
    </row>
    <row r="950" ht="15.75" customHeight="1" s="146">
      <c r="Y950" s="122">
        <f>MAX(0,IFERROR((LEN($T951)-LEN(SUBSTITUTE($T951,"Quality of Works / Criteria of Failings:","")))/LEN("Quality of Works / Criteria of Failings:"),0)-IFERROR((LEN($T951)-LEN(SUBSTITUTE($T951,"Quality of Works / Criteria of Failings:Compliant","")))/LEN("Quality of Works / Criteria of Failings:Compliant"),0))</f>
        <v/>
      </c>
      <c r="Z950" s="122">
        <f>IFERROR($Y951/MAX(1,(LEN($I951)-LEN(SUBSTITUTE($I951," Ltd","")))/LEN(" Ltd")),0)</f>
        <v/>
      </c>
      <c r="AA950" s="122">
        <f>IFERROR(IFERROR((LEN($T951)-LEN(SUBSTITUTE($T951,"Quality of Works / Criteria of Failings:","")))/LEN("Quality of Works / Criteria of Failings:"),0)/MAX(1,(LEN($I951)-LEN(SUBSTITUTE($I951," Ltd","")))/LEN(" Ltd")),0)</f>
        <v/>
      </c>
      <c r="AB950" s="122">
        <f>IFERROR(IFERROR((LEN($T951)-LEN(SUBSTITUTE($T951,"Quality of Works / Criteria of Failings:Compliant","")))/LEN("Quality of Works / Criteria of Failings:Compliant"),0)/MAX(1,(LEN($I951)-LEN(SUBSTITUTE($I951," Ltd","")))/LEN(" Ltd")),0)</f>
        <v/>
      </c>
    </row>
    <row r="951" ht="15.75" customHeight="1" s="146">
      <c r="Y951" s="122">
        <f>MAX(0,IFERROR((LEN($T952)-LEN(SUBSTITUTE($T952,"Quality of Works / Criteria of Failings:","")))/LEN("Quality of Works / Criteria of Failings:"),0)-IFERROR((LEN($T952)-LEN(SUBSTITUTE($T952,"Quality of Works / Criteria of Failings:Compliant","")))/LEN("Quality of Works / Criteria of Failings:Compliant"),0))</f>
        <v/>
      </c>
      <c r="Z951" s="122">
        <f>IFERROR($Y952/MAX(1,(LEN($I952)-LEN(SUBSTITUTE($I952," Ltd","")))/LEN(" Ltd")),0)</f>
        <v/>
      </c>
      <c r="AA951" s="122">
        <f>IFERROR(IFERROR((LEN($T952)-LEN(SUBSTITUTE($T952,"Quality of Works / Criteria of Failings:","")))/LEN("Quality of Works / Criteria of Failings:"),0)/MAX(1,(LEN($I952)-LEN(SUBSTITUTE($I952," Ltd","")))/LEN(" Ltd")),0)</f>
        <v/>
      </c>
      <c r="AB951" s="122">
        <f>IFERROR(IFERROR((LEN($T952)-LEN(SUBSTITUTE($T952,"Quality of Works / Criteria of Failings:Compliant","")))/LEN("Quality of Works / Criteria of Failings:Compliant"),0)/MAX(1,(LEN($I952)-LEN(SUBSTITUTE($I952," Ltd","")))/LEN(" Ltd")),0)</f>
        <v/>
      </c>
    </row>
    <row r="952" ht="15.75" customHeight="1" s="146">
      <c r="Y952" s="122">
        <f>MAX(0,IFERROR((LEN($T953)-LEN(SUBSTITUTE($T953,"Quality of Works / Criteria of Failings:","")))/LEN("Quality of Works / Criteria of Failings:"),0)-IFERROR((LEN($T953)-LEN(SUBSTITUTE($T953,"Quality of Works / Criteria of Failings:Compliant","")))/LEN("Quality of Works / Criteria of Failings:Compliant"),0))</f>
        <v/>
      </c>
      <c r="Z952" s="122">
        <f>IFERROR($Y953/MAX(1,(LEN($I953)-LEN(SUBSTITUTE($I953," Ltd","")))/LEN(" Ltd")),0)</f>
        <v/>
      </c>
      <c r="AA952" s="122">
        <f>IFERROR(IFERROR((LEN($T953)-LEN(SUBSTITUTE($T953,"Quality of Works / Criteria of Failings:","")))/LEN("Quality of Works / Criteria of Failings:"),0)/MAX(1,(LEN($I953)-LEN(SUBSTITUTE($I953," Ltd","")))/LEN(" Ltd")),0)</f>
        <v/>
      </c>
      <c r="AB952" s="122">
        <f>IFERROR(IFERROR((LEN($T953)-LEN(SUBSTITUTE($T953,"Quality of Works / Criteria of Failings:Compliant","")))/LEN("Quality of Works / Criteria of Failings:Compliant"),0)/MAX(1,(LEN($I953)-LEN(SUBSTITUTE($I953," Ltd","")))/LEN(" Ltd")),0)</f>
        <v/>
      </c>
    </row>
    <row r="953" ht="15.75" customHeight="1" s="146">
      <c r="Y953" s="122">
        <f>MAX(0,IFERROR((LEN($T954)-LEN(SUBSTITUTE($T954,"Quality of Works / Criteria of Failings:","")))/LEN("Quality of Works / Criteria of Failings:"),0)-IFERROR((LEN($T954)-LEN(SUBSTITUTE($T954,"Quality of Works / Criteria of Failings:Compliant","")))/LEN("Quality of Works / Criteria of Failings:Compliant"),0))</f>
        <v/>
      </c>
      <c r="Z953" s="122">
        <f>IFERROR($Y954/MAX(1,(LEN($I954)-LEN(SUBSTITUTE($I954," Ltd","")))/LEN(" Ltd")),0)</f>
        <v/>
      </c>
      <c r="AA953" s="122">
        <f>IFERROR(IFERROR((LEN($T954)-LEN(SUBSTITUTE($T954,"Quality of Works / Criteria of Failings:","")))/LEN("Quality of Works / Criteria of Failings:"),0)/MAX(1,(LEN($I954)-LEN(SUBSTITUTE($I954," Ltd","")))/LEN(" Ltd")),0)</f>
        <v/>
      </c>
      <c r="AB953" s="122">
        <f>IFERROR(IFERROR((LEN($T954)-LEN(SUBSTITUTE($T954,"Quality of Works / Criteria of Failings:Compliant","")))/LEN("Quality of Works / Criteria of Failings:Compliant"),0)/MAX(1,(LEN($I954)-LEN(SUBSTITUTE($I954," Ltd","")))/LEN(" Ltd")),0)</f>
        <v/>
      </c>
    </row>
    <row r="954" ht="15.75" customHeight="1" s="146">
      <c r="Y954" s="122">
        <f>MAX(0,IFERROR((LEN($T955)-LEN(SUBSTITUTE($T955,"Quality of Works / Criteria of Failings:","")))/LEN("Quality of Works / Criteria of Failings:"),0)-IFERROR((LEN($T955)-LEN(SUBSTITUTE($T955,"Quality of Works / Criteria of Failings:Compliant","")))/LEN("Quality of Works / Criteria of Failings:Compliant"),0))</f>
        <v/>
      </c>
      <c r="Z954" s="122">
        <f>IFERROR($Y955/MAX(1,(LEN($I955)-LEN(SUBSTITUTE($I955," Ltd","")))/LEN(" Ltd")),0)</f>
        <v/>
      </c>
      <c r="AA954" s="122">
        <f>IFERROR(IFERROR((LEN($T955)-LEN(SUBSTITUTE($T955,"Quality of Works / Criteria of Failings:","")))/LEN("Quality of Works / Criteria of Failings:"),0)/MAX(1,(LEN($I955)-LEN(SUBSTITUTE($I955," Ltd","")))/LEN(" Ltd")),0)</f>
        <v/>
      </c>
      <c r="AB954" s="122">
        <f>IFERROR(IFERROR((LEN($T955)-LEN(SUBSTITUTE($T955,"Quality of Works / Criteria of Failings:Compliant","")))/LEN("Quality of Works / Criteria of Failings:Compliant"),0)/MAX(1,(LEN($I955)-LEN(SUBSTITUTE($I955," Ltd","")))/LEN(" Ltd")),0)</f>
        <v/>
      </c>
    </row>
    <row r="955" ht="15.75" customHeight="1" s="146">
      <c r="Y955" s="122">
        <f>MAX(0,IFERROR((LEN($T956)-LEN(SUBSTITUTE($T956,"Quality of Works / Criteria of Failings:","")))/LEN("Quality of Works / Criteria of Failings:"),0)-IFERROR((LEN($T956)-LEN(SUBSTITUTE($T956,"Quality of Works / Criteria of Failings:Compliant","")))/LEN("Quality of Works / Criteria of Failings:Compliant"),0))</f>
        <v/>
      </c>
      <c r="Z955" s="122">
        <f>IFERROR($Y956/MAX(1,(LEN($I956)-LEN(SUBSTITUTE($I956," Ltd","")))/LEN(" Ltd")),0)</f>
        <v/>
      </c>
      <c r="AA955" s="122">
        <f>IFERROR(IFERROR((LEN($T956)-LEN(SUBSTITUTE($T956,"Quality of Works / Criteria of Failings:","")))/LEN("Quality of Works / Criteria of Failings:"),0)/MAX(1,(LEN($I956)-LEN(SUBSTITUTE($I956," Ltd","")))/LEN(" Ltd")),0)</f>
        <v/>
      </c>
      <c r="AB955" s="122">
        <f>IFERROR(IFERROR((LEN($T956)-LEN(SUBSTITUTE($T956,"Quality of Works / Criteria of Failings:Compliant","")))/LEN("Quality of Works / Criteria of Failings:Compliant"),0)/MAX(1,(LEN($I956)-LEN(SUBSTITUTE($I956," Ltd","")))/LEN(" Ltd")),0)</f>
        <v/>
      </c>
    </row>
    <row r="956" ht="15.75" customHeight="1" s="146">
      <c r="Y956" s="122">
        <f>MAX(0,IFERROR((LEN($T957)-LEN(SUBSTITUTE($T957,"Quality of Works / Criteria of Failings:","")))/LEN("Quality of Works / Criteria of Failings:"),0)-IFERROR((LEN($T957)-LEN(SUBSTITUTE($T957,"Quality of Works / Criteria of Failings:Compliant","")))/LEN("Quality of Works / Criteria of Failings:Compliant"),0))</f>
        <v/>
      </c>
      <c r="Z956" s="122">
        <f>IFERROR($Y957/MAX(1,(LEN($I957)-LEN(SUBSTITUTE($I957," Ltd","")))/LEN(" Ltd")),0)</f>
        <v/>
      </c>
      <c r="AA956" s="122">
        <f>IFERROR(IFERROR((LEN($T957)-LEN(SUBSTITUTE($T957,"Quality of Works / Criteria of Failings:","")))/LEN("Quality of Works / Criteria of Failings:"),0)/MAX(1,(LEN($I957)-LEN(SUBSTITUTE($I957," Ltd","")))/LEN(" Ltd")),0)</f>
        <v/>
      </c>
      <c r="AB956" s="122">
        <f>IFERROR(IFERROR((LEN($T957)-LEN(SUBSTITUTE($T957,"Quality of Works / Criteria of Failings:Compliant","")))/LEN("Quality of Works / Criteria of Failings:Compliant"),0)/MAX(1,(LEN($I957)-LEN(SUBSTITUTE($I957," Ltd","")))/LEN(" Ltd")),0)</f>
        <v/>
      </c>
    </row>
    <row r="957" ht="15.75" customHeight="1" s="146">
      <c r="Y957" s="122">
        <f>MAX(0,IFERROR((LEN($T958)-LEN(SUBSTITUTE($T958,"Quality of Works / Criteria of Failings:","")))/LEN("Quality of Works / Criteria of Failings:"),0)-IFERROR((LEN($T958)-LEN(SUBSTITUTE($T958,"Quality of Works / Criteria of Failings:Compliant","")))/LEN("Quality of Works / Criteria of Failings:Compliant"),0))</f>
        <v/>
      </c>
      <c r="Z957" s="122">
        <f>IFERROR($Y958/MAX(1,(LEN($I958)-LEN(SUBSTITUTE($I958," Ltd","")))/LEN(" Ltd")),0)</f>
        <v/>
      </c>
      <c r="AA957" s="122">
        <f>IFERROR(IFERROR((LEN($T958)-LEN(SUBSTITUTE($T958,"Quality of Works / Criteria of Failings:","")))/LEN("Quality of Works / Criteria of Failings:"),0)/MAX(1,(LEN($I958)-LEN(SUBSTITUTE($I958," Ltd","")))/LEN(" Ltd")),0)</f>
        <v/>
      </c>
      <c r="AB957" s="122">
        <f>IFERROR(IFERROR((LEN($T958)-LEN(SUBSTITUTE($T958,"Quality of Works / Criteria of Failings:Compliant","")))/LEN("Quality of Works / Criteria of Failings:Compliant"),0)/MAX(1,(LEN($I958)-LEN(SUBSTITUTE($I958," Ltd","")))/LEN(" Ltd")),0)</f>
        <v/>
      </c>
    </row>
    <row r="958" ht="15.75" customHeight="1" s="146">
      <c r="Y958" s="122">
        <f>MAX(0,IFERROR((LEN($T959)-LEN(SUBSTITUTE($T959,"Quality of Works / Criteria of Failings:","")))/LEN("Quality of Works / Criteria of Failings:"),0)-IFERROR((LEN($T959)-LEN(SUBSTITUTE($T959,"Quality of Works / Criteria of Failings:Compliant","")))/LEN("Quality of Works / Criteria of Failings:Compliant"),0))</f>
        <v/>
      </c>
      <c r="Z958" s="122">
        <f>IFERROR($Y959/MAX(1,(LEN($I959)-LEN(SUBSTITUTE($I959," Ltd","")))/LEN(" Ltd")),0)</f>
        <v/>
      </c>
      <c r="AA958" s="122">
        <f>IFERROR(IFERROR((LEN($T959)-LEN(SUBSTITUTE($T959,"Quality of Works / Criteria of Failings:","")))/LEN("Quality of Works / Criteria of Failings:"),0)/MAX(1,(LEN($I959)-LEN(SUBSTITUTE($I959," Ltd","")))/LEN(" Ltd")),0)</f>
        <v/>
      </c>
      <c r="AB958" s="122">
        <f>IFERROR(IFERROR((LEN($T959)-LEN(SUBSTITUTE($T959,"Quality of Works / Criteria of Failings:Compliant","")))/LEN("Quality of Works / Criteria of Failings:Compliant"),0)/MAX(1,(LEN($I959)-LEN(SUBSTITUTE($I959," Ltd","")))/LEN(" Ltd")),0)</f>
        <v/>
      </c>
    </row>
    <row r="959" ht="15.75" customHeight="1" s="146">
      <c r="Y959" s="122">
        <f>MAX(0,IFERROR((LEN($T960)-LEN(SUBSTITUTE($T960,"Quality of Works / Criteria of Failings:","")))/LEN("Quality of Works / Criteria of Failings:"),0)-IFERROR((LEN($T960)-LEN(SUBSTITUTE($T960,"Quality of Works / Criteria of Failings:Compliant","")))/LEN("Quality of Works / Criteria of Failings:Compliant"),0))</f>
        <v/>
      </c>
      <c r="Z959" s="122">
        <f>IFERROR($Y960/MAX(1,(LEN($I960)-LEN(SUBSTITUTE($I960," Ltd","")))/LEN(" Ltd")),0)</f>
        <v/>
      </c>
      <c r="AA959" s="122">
        <f>IFERROR(IFERROR((LEN($T960)-LEN(SUBSTITUTE($T960,"Quality of Works / Criteria of Failings:","")))/LEN("Quality of Works / Criteria of Failings:"),0)/MAX(1,(LEN($I960)-LEN(SUBSTITUTE($I960," Ltd","")))/LEN(" Ltd")),0)</f>
        <v/>
      </c>
      <c r="AB959" s="122">
        <f>IFERROR(IFERROR((LEN($T960)-LEN(SUBSTITUTE($T960,"Quality of Works / Criteria of Failings:Compliant","")))/LEN("Quality of Works / Criteria of Failings:Compliant"),0)/MAX(1,(LEN($I960)-LEN(SUBSTITUTE($I960," Ltd","")))/LEN(" Ltd")),0)</f>
        <v/>
      </c>
    </row>
    <row r="960" ht="15.75" customHeight="1" s="146">
      <c r="Y960" s="122">
        <f>MAX(0,IFERROR((LEN($T961)-LEN(SUBSTITUTE($T961,"Quality of Works / Criteria of Failings:","")))/LEN("Quality of Works / Criteria of Failings:"),0)-IFERROR((LEN($T961)-LEN(SUBSTITUTE($T961,"Quality of Works / Criteria of Failings:Compliant","")))/LEN("Quality of Works / Criteria of Failings:Compliant"),0))</f>
        <v/>
      </c>
      <c r="Z960" s="122">
        <f>IFERROR($Y961/MAX(1,(LEN($I961)-LEN(SUBSTITUTE($I961," Ltd","")))/LEN(" Ltd")),0)</f>
        <v/>
      </c>
      <c r="AA960" s="122">
        <f>IFERROR(IFERROR((LEN($T961)-LEN(SUBSTITUTE($T961,"Quality of Works / Criteria of Failings:","")))/LEN("Quality of Works / Criteria of Failings:"),0)/MAX(1,(LEN($I961)-LEN(SUBSTITUTE($I961," Ltd","")))/LEN(" Ltd")),0)</f>
        <v/>
      </c>
      <c r="AB960" s="122">
        <f>IFERROR(IFERROR((LEN($T961)-LEN(SUBSTITUTE($T961,"Quality of Works / Criteria of Failings:Compliant","")))/LEN("Quality of Works / Criteria of Failings:Compliant"),0)/MAX(1,(LEN($I961)-LEN(SUBSTITUTE($I961," Ltd","")))/LEN(" Ltd")),0)</f>
        <v/>
      </c>
    </row>
    <row r="961" ht="15.75" customHeight="1" s="146">
      <c r="Y961" s="122">
        <f>MAX(0,IFERROR((LEN($T962)-LEN(SUBSTITUTE($T962,"Quality of Works / Criteria of Failings:","")))/LEN("Quality of Works / Criteria of Failings:"),0)-IFERROR((LEN($T962)-LEN(SUBSTITUTE($T962,"Quality of Works / Criteria of Failings:Compliant","")))/LEN("Quality of Works / Criteria of Failings:Compliant"),0))</f>
        <v/>
      </c>
      <c r="Z961" s="122">
        <f>IFERROR($Y962/MAX(1,(LEN($I962)-LEN(SUBSTITUTE($I962," Ltd","")))/LEN(" Ltd")),0)</f>
        <v/>
      </c>
      <c r="AA961" s="122">
        <f>IFERROR(IFERROR((LEN($T962)-LEN(SUBSTITUTE($T962,"Quality of Works / Criteria of Failings:","")))/LEN("Quality of Works / Criteria of Failings:"),0)/MAX(1,(LEN($I962)-LEN(SUBSTITUTE($I962," Ltd","")))/LEN(" Ltd")),0)</f>
        <v/>
      </c>
      <c r="AB961" s="122">
        <f>IFERROR(IFERROR((LEN($T962)-LEN(SUBSTITUTE($T962,"Quality of Works / Criteria of Failings:Compliant","")))/LEN("Quality of Works / Criteria of Failings:Compliant"),0)/MAX(1,(LEN($I962)-LEN(SUBSTITUTE($I962," Ltd","")))/LEN(" Ltd")),0)</f>
        <v/>
      </c>
    </row>
    <row r="962" ht="15.75" customHeight="1" s="146">
      <c r="Y962" s="122">
        <f>MAX(0,IFERROR((LEN($T963)-LEN(SUBSTITUTE($T963,"Quality of Works / Criteria of Failings:","")))/LEN("Quality of Works / Criteria of Failings:"),0)-IFERROR((LEN($T963)-LEN(SUBSTITUTE($T963,"Quality of Works / Criteria of Failings:Compliant","")))/LEN("Quality of Works / Criteria of Failings:Compliant"),0))</f>
        <v/>
      </c>
      <c r="Z962" s="122">
        <f>IFERROR($Y963/MAX(1,(LEN($I963)-LEN(SUBSTITUTE($I963," Ltd","")))/LEN(" Ltd")),0)</f>
        <v/>
      </c>
      <c r="AA962" s="122">
        <f>IFERROR(IFERROR((LEN($T963)-LEN(SUBSTITUTE($T963,"Quality of Works / Criteria of Failings:","")))/LEN("Quality of Works / Criteria of Failings:"),0)/MAX(1,(LEN($I963)-LEN(SUBSTITUTE($I963," Ltd","")))/LEN(" Ltd")),0)</f>
        <v/>
      </c>
      <c r="AB962" s="122">
        <f>IFERROR(IFERROR((LEN($T963)-LEN(SUBSTITUTE($T963,"Quality of Works / Criteria of Failings:Compliant","")))/LEN("Quality of Works / Criteria of Failings:Compliant"),0)/MAX(1,(LEN($I963)-LEN(SUBSTITUTE($I963," Ltd","")))/LEN(" Ltd")),0)</f>
        <v/>
      </c>
    </row>
    <row r="963" ht="15.75" customHeight="1" s="146">
      <c r="Y963" s="122">
        <f>MAX(0,IFERROR((LEN($T964)-LEN(SUBSTITUTE($T964,"Quality of Works / Criteria of Failings:","")))/LEN("Quality of Works / Criteria of Failings:"),0)-IFERROR((LEN($T964)-LEN(SUBSTITUTE($T964,"Quality of Works / Criteria of Failings:Compliant","")))/LEN("Quality of Works / Criteria of Failings:Compliant"),0))</f>
        <v/>
      </c>
      <c r="Z963" s="122">
        <f>IFERROR($Y964/MAX(1,(LEN($I964)-LEN(SUBSTITUTE($I964," Ltd","")))/LEN(" Ltd")),0)</f>
        <v/>
      </c>
      <c r="AA963" s="122">
        <f>IFERROR(IFERROR((LEN($T964)-LEN(SUBSTITUTE($T964,"Quality of Works / Criteria of Failings:","")))/LEN("Quality of Works / Criteria of Failings:"),0)/MAX(1,(LEN($I964)-LEN(SUBSTITUTE($I964," Ltd","")))/LEN(" Ltd")),0)</f>
        <v/>
      </c>
      <c r="AB963" s="122">
        <f>IFERROR(IFERROR((LEN($T964)-LEN(SUBSTITUTE($T964,"Quality of Works / Criteria of Failings:Compliant","")))/LEN("Quality of Works / Criteria of Failings:Compliant"),0)/MAX(1,(LEN($I964)-LEN(SUBSTITUTE($I964," Ltd","")))/LEN(" Ltd")),0)</f>
        <v/>
      </c>
    </row>
    <row r="964" ht="15.75" customHeight="1" s="146">
      <c r="Y964" s="122">
        <f>MAX(0,IFERROR((LEN($T965)-LEN(SUBSTITUTE($T965,"Quality of Works / Criteria of Failings:","")))/LEN("Quality of Works / Criteria of Failings:"),0)-IFERROR((LEN($T965)-LEN(SUBSTITUTE($T965,"Quality of Works / Criteria of Failings:Compliant","")))/LEN("Quality of Works / Criteria of Failings:Compliant"),0))</f>
        <v/>
      </c>
      <c r="Z964" s="122">
        <f>IFERROR($Y965/MAX(1,(LEN($I965)-LEN(SUBSTITUTE($I965," Ltd","")))/LEN(" Ltd")),0)</f>
        <v/>
      </c>
      <c r="AA964" s="122">
        <f>IFERROR(IFERROR((LEN($T965)-LEN(SUBSTITUTE($T965,"Quality of Works / Criteria of Failings:","")))/LEN("Quality of Works / Criteria of Failings:"),0)/MAX(1,(LEN($I965)-LEN(SUBSTITUTE($I965," Ltd","")))/LEN(" Ltd")),0)</f>
        <v/>
      </c>
      <c r="AB964" s="122">
        <f>IFERROR(IFERROR((LEN($T965)-LEN(SUBSTITUTE($T965,"Quality of Works / Criteria of Failings:Compliant","")))/LEN("Quality of Works / Criteria of Failings:Compliant"),0)/MAX(1,(LEN($I965)-LEN(SUBSTITUTE($I965," Ltd","")))/LEN(" Ltd")),0)</f>
        <v/>
      </c>
    </row>
    <row r="965" ht="15.75" customHeight="1" s="146">
      <c r="Y965" s="122">
        <f>MAX(0,IFERROR((LEN($T966)-LEN(SUBSTITUTE($T966,"Quality of Works / Criteria of Failings:","")))/LEN("Quality of Works / Criteria of Failings:"),0)-IFERROR((LEN($T966)-LEN(SUBSTITUTE($T966,"Quality of Works / Criteria of Failings:Compliant","")))/LEN("Quality of Works / Criteria of Failings:Compliant"),0))</f>
        <v/>
      </c>
      <c r="Z965" s="122">
        <f>IFERROR($Y966/MAX(1,(LEN($I966)-LEN(SUBSTITUTE($I966," Ltd","")))/LEN(" Ltd")),0)</f>
        <v/>
      </c>
      <c r="AA965" s="122">
        <f>IFERROR(IFERROR((LEN($T966)-LEN(SUBSTITUTE($T966,"Quality of Works / Criteria of Failings:","")))/LEN("Quality of Works / Criteria of Failings:"),0)/MAX(1,(LEN($I966)-LEN(SUBSTITUTE($I966," Ltd","")))/LEN(" Ltd")),0)</f>
        <v/>
      </c>
      <c r="AB965" s="122">
        <f>IFERROR(IFERROR((LEN($T966)-LEN(SUBSTITUTE($T966,"Quality of Works / Criteria of Failings:Compliant","")))/LEN("Quality of Works / Criteria of Failings:Compliant"),0)/MAX(1,(LEN($I966)-LEN(SUBSTITUTE($I966," Ltd","")))/LEN(" Ltd")),0)</f>
        <v/>
      </c>
    </row>
    <row r="966" ht="15.75" customHeight="1" s="146">
      <c r="Y966" s="122">
        <f>MAX(0,IFERROR((LEN($T967)-LEN(SUBSTITUTE($T967,"Quality of Works / Criteria of Failings:","")))/LEN("Quality of Works / Criteria of Failings:"),0)-IFERROR((LEN($T967)-LEN(SUBSTITUTE($T967,"Quality of Works / Criteria of Failings:Compliant","")))/LEN("Quality of Works / Criteria of Failings:Compliant"),0))</f>
        <v/>
      </c>
      <c r="Z966" s="122">
        <f>IFERROR($Y967/MAX(1,(LEN($I967)-LEN(SUBSTITUTE($I967," Ltd","")))/LEN(" Ltd")),0)</f>
        <v/>
      </c>
      <c r="AA966" s="122">
        <f>IFERROR(IFERROR((LEN($T967)-LEN(SUBSTITUTE($T967,"Quality of Works / Criteria of Failings:","")))/LEN("Quality of Works / Criteria of Failings:"),0)/MAX(1,(LEN($I967)-LEN(SUBSTITUTE($I967," Ltd","")))/LEN(" Ltd")),0)</f>
        <v/>
      </c>
      <c r="AB966" s="122">
        <f>IFERROR(IFERROR((LEN($T967)-LEN(SUBSTITUTE($T967,"Quality of Works / Criteria of Failings:Compliant","")))/LEN("Quality of Works / Criteria of Failings:Compliant"),0)/MAX(1,(LEN($I967)-LEN(SUBSTITUTE($I967," Ltd","")))/LEN(" Ltd")),0)</f>
        <v/>
      </c>
    </row>
    <row r="967" ht="15.75" customHeight="1" s="146">
      <c r="Y967" s="122">
        <f>MAX(0,IFERROR((LEN($T968)-LEN(SUBSTITUTE($T968,"Quality of Works / Criteria of Failings:","")))/LEN("Quality of Works / Criteria of Failings:"),0)-IFERROR((LEN($T968)-LEN(SUBSTITUTE($T968,"Quality of Works / Criteria of Failings:Compliant","")))/LEN("Quality of Works / Criteria of Failings:Compliant"),0))</f>
        <v/>
      </c>
      <c r="Z967" s="122">
        <f>IFERROR($Y968/MAX(1,(LEN($I968)-LEN(SUBSTITUTE($I968," Ltd","")))/LEN(" Ltd")),0)</f>
        <v/>
      </c>
      <c r="AA967" s="122">
        <f>IFERROR(IFERROR((LEN($T968)-LEN(SUBSTITUTE($T968,"Quality of Works / Criteria of Failings:","")))/LEN("Quality of Works / Criteria of Failings:"),0)/MAX(1,(LEN($I968)-LEN(SUBSTITUTE($I968," Ltd","")))/LEN(" Ltd")),0)</f>
        <v/>
      </c>
      <c r="AB967" s="122">
        <f>IFERROR(IFERROR((LEN($T968)-LEN(SUBSTITUTE($T968,"Quality of Works / Criteria of Failings:Compliant","")))/LEN("Quality of Works / Criteria of Failings:Compliant"),0)/MAX(1,(LEN($I968)-LEN(SUBSTITUTE($I968," Ltd","")))/LEN(" Ltd")),0)</f>
        <v/>
      </c>
    </row>
    <row r="968" ht="15.75" customHeight="1" s="146">
      <c r="Y968" s="122">
        <f>MAX(0,IFERROR((LEN($T969)-LEN(SUBSTITUTE($T969,"Quality of Works / Criteria of Failings:","")))/LEN("Quality of Works / Criteria of Failings:"),0)-IFERROR((LEN($T969)-LEN(SUBSTITUTE($T969,"Quality of Works / Criteria of Failings:Compliant","")))/LEN("Quality of Works / Criteria of Failings:Compliant"),0))</f>
        <v/>
      </c>
      <c r="Z968" s="122">
        <f>IFERROR($Y969/MAX(1,(LEN($I969)-LEN(SUBSTITUTE($I969," Ltd","")))/LEN(" Ltd")),0)</f>
        <v/>
      </c>
      <c r="AA968" s="122">
        <f>IFERROR(IFERROR((LEN($T969)-LEN(SUBSTITUTE($T969,"Quality of Works / Criteria of Failings:","")))/LEN("Quality of Works / Criteria of Failings:"),0)/MAX(1,(LEN($I969)-LEN(SUBSTITUTE($I969," Ltd","")))/LEN(" Ltd")),0)</f>
        <v/>
      </c>
      <c r="AB968" s="122">
        <f>IFERROR(IFERROR((LEN($T969)-LEN(SUBSTITUTE($T969,"Quality of Works / Criteria of Failings:Compliant","")))/LEN("Quality of Works / Criteria of Failings:Compliant"),0)/MAX(1,(LEN($I969)-LEN(SUBSTITUTE($I969," Ltd","")))/LEN(" Ltd")),0)</f>
        <v/>
      </c>
    </row>
    <row r="969" ht="15.75" customHeight="1" s="146">
      <c r="Y969" s="122">
        <f>MAX(0,IFERROR((LEN($T970)-LEN(SUBSTITUTE($T970,"Quality of Works / Criteria of Failings:","")))/LEN("Quality of Works / Criteria of Failings:"),0)-IFERROR((LEN($T970)-LEN(SUBSTITUTE($T970,"Quality of Works / Criteria of Failings:Compliant","")))/LEN("Quality of Works / Criteria of Failings:Compliant"),0))</f>
        <v/>
      </c>
      <c r="Z969" s="122">
        <f>IFERROR($Y970/MAX(1,(LEN($I970)-LEN(SUBSTITUTE($I970," Ltd","")))/LEN(" Ltd")),0)</f>
        <v/>
      </c>
      <c r="AA969" s="122">
        <f>IFERROR(IFERROR((LEN($T970)-LEN(SUBSTITUTE($T970,"Quality of Works / Criteria of Failings:","")))/LEN("Quality of Works / Criteria of Failings:"),0)/MAX(1,(LEN($I970)-LEN(SUBSTITUTE($I970," Ltd","")))/LEN(" Ltd")),0)</f>
        <v/>
      </c>
      <c r="AB969" s="122">
        <f>IFERROR(IFERROR((LEN($T970)-LEN(SUBSTITUTE($T970,"Quality of Works / Criteria of Failings:Compliant","")))/LEN("Quality of Works / Criteria of Failings:Compliant"),0)/MAX(1,(LEN($I970)-LEN(SUBSTITUTE($I970," Ltd","")))/LEN(" Ltd")),0)</f>
        <v/>
      </c>
    </row>
    <row r="970" ht="15.75" customHeight="1" s="146">
      <c r="Y970" s="122">
        <f>MAX(0,IFERROR((LEN($T971)-LEN(SUBSTITUTE($T971,"Quality of Works / Criteria of Failings:","")))/LEN("Quality of Works / Criteria of Failings:"),0)-IFERROR((LEN($T971)-LEN(SUBSTITUTE($T971,"Quality of Works / Criteria of Failings:Compliant","")))/LEN("Quality of Works / Criteria of Failings:Compliant"),0))</f>
        <v/>
      </c>
      <c r="Z970" s="122">
        <f>IFERROR($Y971/MAX(1,(LEN($I971)-LEN(SUBSTITUTE($I971," Ltd","")))/LEN(" Ltd")),0)</f>
        <v/>
      </c>
      <c r="AA970" s="122">
        <f>IFERROR(IFERROR((LEN($T971)-LEN(SUBSTITUTE($T971,"Quality of Works / Criteria of Failings:","")))/LEN("Quality of Works / Criteria of Failings:"),0)/MAX(1,(LEN($I971)-LEN(SUBSTITUTE($I971," Ltd","")))/LEN(" Ltd")),0)</f>
        <v/>
      </c>
      <c r="AB970" s="122">
        <f>IFERROR(IFERROR((LEN($T971)-LEN(SUBSTITUTE($T971,"Quality of Works / Criteria of Failings:Compliant","")))/LEN("Quality of Works / Criteria of Failings:Compliant"),0)/MAX(1,(LEN($I971)-LEN(SUBSTITUTE($I971," Ltd","")))/LEN(" Ltd")),0)</f>
        <v/>
      </c>
    </row>
    <row r="971" ht="15.75" customHeight="1" s="146">
      <c r="Y971" s="122">
        <f>MAX(0,IFERROR((LEN($T972)-LEN(SUBSTITUTE($T972,"Quality of Works / Criteria of Failings:","")))/LEN("Quality of Works / Criteria of Failings:"),0)-IFERROR((LEN($T972)-LEN(SUBSTITUTE($T972,"Quality of Works / Criteria of Failings:Compliant","")))/LEN("Quality of Works / Criteria of Failings:Compliant"),0))</f>
        <v/>
      </c>
      <c r="Z971" s="122">
        <f>IFERROR($Y972/MAX(1,(LEN($I972)-LEN(SUBSTITUTE($I972," Ltd","")))/LEN(" Ltd")),0)</f>
        <v/>
      </c>
      <c r="AA971" s="122">
        <f>IFERROR(IFERROR((LEN($T972)-LEN(SUBSTITUTE($T972,"Quality of Works / Criteria of Failings:","")))/LEN("Quality of Works / Criteria of Failings:"),0)/MAX(1,(LEN($I972)-LEN(SUBSTITUTE($I972," Ltd","")))/LEN(" Ltd")),0)</f>
        <v/>
      </c>
      <c r="AB971" s="122">
        <f>IFERROR(IFERROR((LEN($T972)-LEN(SUBSTITUTE($T972,"Quality of Works / Criteria of Failings:Compliant","")))/LEN("Quality of Works / Criteria of Failings:Compliant"),0)/MAX(1,(LEN($I972)-LEN(SUBSTITUTE($I972," Ltd","")))/LEN(" Ltd")),0)</f>
        <v/>
      </c>
    </row>
    <row r="972" ht="15.75" customHeight="1" s="146">
      <c r="Y972" s="122">
        <f>MAX(0,IFERROR((LEN($T973)-LEN(SUBSTITUTE($T973,"Quality of Works / Criteria of Failings:","")))/LEN("Quality of Works / Criteria of Failings:"),0)-IFERROR((LEN($T973)-LEN(SUBSTITUTE($T973,"Quality of Works / Criteria of Failings:Compliant","")))/LEN("Quality of Works / Criteria of Failings:Compliant"),0))</f>
        <v/>
      </c>
      <c r="Z972" s="122">
        <f>IFERROR($Y973/MAX(1,(LEN($I973)-LEN(SUBSTITUTE($I973," Ltd","")))/LEN(" Ltd")),0)</f>
        <v/>
      </c>
      <c r="AA972" s="122">
        <f>IFERROR(IFERROR((LEN($T973)-LEN(SUBSTITUTE($T973,"Quality of Works / Criteria of Failings:","")))/LEN("Quality of Works / Criteria of Failings:"),0)/MAX(1,(LEN($I973)-LEN(SUBSTITUTE($I973," Ltd","")))/LEN(" Ltd")),0)</f>
        <v/>
      </c>
      <c r="AB972" s="122">
        <f>IFERROR(IFERROR((LEN($T973)-LEN(SUBSTITUTE($T973,"Quality of Works / Criteria of Failings:Compliant","")))/LEN("Quality of Works / Criteria of Failings:Compliant"),0)/MAX(1,(LEN($I973)-LEN(SUBSTITUTE($I973," Ltd","")))/LEN(" Ltd")),0)</f>
        <v/>
      </c>
    </row>
    <row r="973" ht="15.75" customHeight="1" s="146">
      <c r="Y973" s="122">
        <f>MAX(0,IFERROR((LEN($T974)-LEN(SUBSTITUTE($T974,"Quality of Works / Criteria of Failings:","")))/LEN("Quality of Works / Criteria of Failings:"),0)-IFERROR((LEN($T974)-LEN(SUBSTITUTE($T974,"Quality of Works / Criteria of Failings:Compliant","")))/LEN("Quality of Works / Criteria of Failings:Compliant"),0))</f>
        <v/>
      </c>
      <c r="Z973" s="122">
        <f>IFERROR($Y974/MAX(1,(LEN($I974)-LEN(SUBSTITUTE($I974," Ltd","")))/LEN(" Ltd")),0)</f>
        <v/>
      </c>
      <c r="AA973" s="122">
        <f>IFERROR(IFERROR((LEN($T974)-LEN(SUBSTITUTE($T974,"Quality of Works / Criteria of Failings:","")))/LEN("Quality of Works / Criteria of Failings:"),0)/MAX(1,(LEN($I974)-LEN(SUBSTITUTE($I974," Ltd","")))/LEN(" Ltd")),0)</f>
        <v/>
      </c>
      <c r="AB973" s="122">
        <f>IFERROR(IFERROR((LEN($T974)-LEN(SUBSTITUTE($T974,"Quality of Works / Criteria of Failings:Compliant","")))/LEN("Quality of Works / Criteria of Failings:Compliant"),0)/MAX(1,(LEN($I974)-LEN(SUBSTITUTE($I974," Ltd","")))/LEN(" Ltd")),0)</f>
        <v/>
      </c>
    </row>
    <row r="974" ht="15.75" customHeight="1" s="146">
      <c r="Y974" s="122">
        <f>MAX(0,IFERROR((LEN($T975)-LEN(SUBSTITUTE($T975,"Quality of Works / Criteria of Failings:","")))/LEN("Quality of Works / Criteria of Failings:"),0)-IFERROR((LEN($T975)-LEN(SUBSTITUTE($T975,"Quality of Works / Criteria of Failings:Compliant","")))/LEN("Quality of Works / Criteria of Failings:Compliant"),0))</f>
        <v/>
      </c>
      <c r="Z974" s="122">
        <f>IFERROR($Y975/MAX(1,(LEN($I975)-LEN(SUBSTITUTE($I975," Ltd","")))/LEN(" Ltd")),0)</f>
        <v/>
      </c>
      <c r="AA974" s="122">
        <f>IFERROR(IFERROR((LEN($T975)-LEN(SUBSTITUTE($T975,"Quality of Works / Criteria of Failings:","")))/LEN("Quality of Works / Criteria of Failings:"),0)/MAX(1,(LEN($I975)-LEN(SUBSTITUTE($I975," Ltd","")))/LEN(" Ltd")),0)</f>
        <v/>
      </c>
      <c r="AB974" s="122">
        <f>IFERROR(IFERROR((LEN($T975)-LEN(SUBSTITUTE($T975,"Quality of Works / Criteria of Failings:Compliant","")))/LEN("Quality of Works / Criteria of Failings:Compliant"),0)/MAX(1,(LEN($I975)-LEN(SUBSTITUTE($I975," Ltd","")))/LEN(" Ltd")),0)</f>
        <v/>
      </c>
    </row>
    <row r="975" ht="15.75" customHeight="1" s="146">
      <c r="Y975" s="122">
        <f>MAX(0,IFERROR((LEN($T976)-LEN(SUBSTITUTE($T976,"Quality of Works / Criteria of Failings:","")))/LEN("Quality of Works / Criteria of Failings:"),0)-IFERROR((LEN($T976)-LEN(SUBSTITUTE($T976,"Quality of Works / Criteria of Failings:Compliant","")))/LEN("Quality of Works / Criteria of Failings:Compliant"),0))</f>
        <v/>
      </c>
      <c r="Z975" s="122">
        <f>IFERROR($Y976/MAX(1,(LEN($I976)-LEN(SUBSTITUTE($I976," Ltd","")))/LEN(" Ltd")),0)</f>
        <v/>
      </c>
      <c r="AA975" s="122">
        <f>IFERROR(IFERROR((LEN($T976)-LEN(SUBSTITUTE($T976,"Quality of Works / Criteria of Failings:","")))/LEN("Quality of Works / Criteria of Failings:"),0)/MAX(1,(LEN($I976)-LEN(SUBSTITUTE($I976," Ltd","")))/LEN(" Ltd")),0)</f>
        <v/>
      </c>
      <c r="AB975" s="122">
        <f>IFERROR(IFERROR((LEN($T976)-LEN(SUBSTITUTE($T976,"Quality of Works / Criteria of Failings:Compliant","")))/LEN("Quality of Works / Criteria of Failings:Compliant"),0)/MAX(1,(LEN($I976)-LEN(SUBSTITUTE($I976," Ltd","")))/LEN(" Ltd")),0)</f>
        <v/>
      </c>
    </row>
    <row r="976" ht="15.75" customHeight="1" s="146">
      <c r="Y976" s="122">
        <f>MAX(0,IFERROR((LEN($T977)-LEN(SUBSTITUTE($T977,"Quality of Works / Criteria of Failings:","")))/LEN("Quality of Works / Criteria of Failings:"),0)-IFERROR((LEN($T977)-LEN(SUBSTITUTE($T977,"Quality of Works / Criteria of Failings:Compliant","")))/LEN("Quality of Works / Criteria of Failings:Compliant"),0))</f>
        <v/>
      </c>
      <c r="Z976" s="122">
        <f>IFERROR($Y977/MAX(1,(LEN($I977)-LEN(SUBSTITUTE($I977," Ltd","")))/LEN(" Ltd")),0)</f>
        <v/>
      </c>
      <c r="AA976" s="122">
        <f>IFERROR(IFERROR((LEN($T977)-LEN(SUBSTITUTE($T977,"Quality of Works / Criteria of Failings:","")))/LEN("Quality of Works / Criteria of Failings:"),0)/MAX(1,(LEN($I977)-LEN(SUBSTITUTE($I977," Ltd","")))/LEN(" Ltd")),0)</f>
        <v/>
      </c>
      <c r="AB976" s="122">
        <f>IFERROR(IFERROR((LEN($T977)-LEN(SUBSTITUTE($T977,"Quality of Works / Criteria of Failings:Compliant","")))/LEN("Quality of Works / Criteria of Failings:Compliant"),0)/MAX(1,(LEN($I977)-LEN(SUBSTITUTE($I977," Ltd","")))/LEN(" Ltd")),0)</f>
        <v/>
      </c>
    </row>
    <row r="977" ht="15.75" customHeight="1" s="146">
      <c r="Y977" s="122">
        <f>MAX(0,IFERROR((LEN($T978)-LEN(SUBSTITUTE($T978,"Quality of Works / Criteria of Failings:","")))/LEN("Quality of Works / Criteria of Failings:"),0)-IFERROR((LEN($T978)-LEN(SUBSTITUTE($T978,"Quality of Works / Criteria of Failings:Compliant","")))/LEN("Quality of Works / Criteria of Failings:Compliant"),0))</f>
        <v/>
      </c>
      <c r="Z977" s="122">
        <f>IFERROR($Y978/MAX(1,(LEN($I978)-LEN(SUBSTITUTE($I978," Ltd","")))/LEN(" Ltd")),0)</f>
        <v/>
      </c>
      <c r="AA977" s="122">
        <f>IFERROR(IFERROR((LEN($T978)-LEN(SUBSTITUTE($T978,"Quality of Works / Criteria of Failings:","")))/LEN("Quality of Works / Criteria of Failings:"),0)/MAX(1,(LEN($I978)-LEN(SUBSTITUTE($I978," Ltd","")))/LEN(" Ltd")),0)</f>
        <v/>
      </c>
      <c r="AB977" s="122">
        <f>IFERROR(IFERROR((LEN($T978)-LEN(SUBSTITUTE($T978,"Quality of Works / Criteria of Failings:Compliant","")))/LEN("Quality of Works / Criteria of Failings:Compliant"),0)/MAX(1,(LEN($I978)-LEN(SUBSTITUTE($I978," Ltd","")))/LEN(" Ltd")),0)</f>
        <v/>
      </c>
    </row>
    <row r="978" ht="15.75" customHeight="1" s="146">
      <c r="Y978" s="122">
        <f>MAX(0,IFERROR((LEN($T979)-LEN(SUBSTITUTE($T979,"Quality of Works / Criteria of Failings:","")))/LEN("Quality of Works / Criteria of Failings:"),0)-IFERROR((LEN($T979)-LEN(SUBSTITUTE($T979,"Quality of Works / Criteria of Failings:Compliant","")))/LEN("Quality of Works / Criteria of Failings:Compliant"),0))</f>
        <v/>
      </c>
      <c r="Z978" s="122">
        <f>IFERROR($Y979/MAX(1,(LEN($I979)-LEN(SUBSTITUTE($I979," Ltd","")))/LEN(" Ltd")),0)</f>
        <v/>
      </c>
      <c r="AA978" s="122">
        <f>IFERROR(IFERROR((LEN($T979)-LEN(SUBSTITUTE($T979,"Quality of Works / Criteria of Failings:","")))/LEN("Quality of Works / Criteria of Failings:"),0)/MAX(1,(LEN($I979)-LEN(SUBSTITUTE($I979," Ltd","")))/LEN(" Ltd")),0)</f>
        <v/>
      </c>
      <c r="AB978" s="122">
        <f>IFERROR(IFERROR((LEN($T979)-LEN(SUBSTITUTE($T979,"Quality of Works / Criteria of Failings:Compliant","")))/LEN("Quality of Works / Criteria of Failings:Compliant"),0)/MAX(1,(LEN($I979)-LEN(SUBSTITUTE($I979," Ltd","")))/LEN(" Ltd")),0)</f>
        <v/>
      </c>
    </row>
    <row r="979" ht="15.75" customHeight="1" s="146">
      <c r="Y979" s="122">
        <f>MAX(0,IFERROR((LEN($T980)-LEN(SUBSTITUTE($T980,"Quality of Works / Criteria of Failings:","")))/LEN("Quality of Works / Criteria of Failings:"),0)-IFERROR((LEN($T980)-LEN(SUBSTITUTE($T980,"Quality of Works / Criteria of Failings:Compliant","")))/LEN("Quality of Works / Criteria of Failings:Compliant"),0))</f>
        <v/>
      </c>
      <c r="Z979" s="122">
        <f>IFERROR($Y980/MAX(1,(LEN($I980)-LEN(SUBSTITUTE($I980," Ltd","")))/LEN(" Ltd")),0)</f>
        <v/>
      </c>
      <c r="AA979" s="122">
        <f>IFERROR(IFERROR((LEN($T980)-LEN(SUBSTITUTE($T980,"Quality of Works / Criteria of Failings:","")))/LEN("Quality of Works / Criteria of Failings:"),0)/MAX(1,(LEN($I980)-LEN(SUBSTITUTE($I980," Ltd","")))/LEN(" Ltd")),0)</f>
        <v/>
      </c>
      <c r="AB979" s="122">
        <f>IFERROR(IFERROR((LEN($T980)-LEN(SUBSTITUTE($T980,"Quality of Works / Criteria of Failings:Compliant","")))/LEN("Quality of Works / Criteria of Failings:Compliant"),0)/MAX(1,(LEN($I980)-LEN(SUBSTITUTE($I980," Ltd","")))/LEN(" Ltd")),0)</f>
        <v/>
      </c>
    </row>
    <row r="980" ht="15.75" customHeight="1" s="146">
      <c r="Y980" s="122">
        <f>MAX(0,IFERROR((LEN($T981)-LEN(SUBSTITUTE($T981,"Quality of Works / Criteria of Failings:","")))/LEN("Quality of Works / Criteria of Failings:"),0)-IFERROR((LEN($T981)-LEN(SUBSTITUTE($T981,"Quality of Works / Criteria of Failings:Compliant","")))/LEN("Quality of Works / Criteria of Failings:Compliant"),0))</f>
        <v/>
      </c>
      <c r="Z980" s="122">
        <f>IFERROR($Y981/MAX(1,(LEN($I981)-LEN(SUBSTITUTE($I981," Ltd","")))/LEN(" Ltd")),0)</f>
        <v/>
      </c>
      <c r="AA980" s="122">
        <f>IFERROR(IFERROR((LEN($T981)-LEN(SUBSTITUTE($T981,"Quality of Works / Criteria of Failings:","")))/LEN("Quality of Works / Criteria of Failings:"),0)/MAX(1,(LEN($I981)-LEN(SUBSTITUTE($I981," Ltd","")))/LEN(" Ltd")),0)</f>
        <v/>
      </c>
      <c r="AB980" s="122">
        <f>IFERROR(IFERROR((LEN($T981)-LEN(SUBSTITUTE($T981,"Quality of Works / Criteria of Failings:Compliant","")))/LEN("Quality of Works / Criteria of Failings:Compliant"),0)/MAX(1,(LEN($I981)-LEN(SUBSTITUTE($I981," Ltd","")))/LEN(" Ltd")),0)</f>
        <v/>
      </c>
    </row>
    <row r="981" ht="15.75" customHeight="1" s="146">
      <c r="Y981" s="122">
        <f>MAX(0,IFERROR((LEN($T982)-LEN(SUBSTITUTE($T982,"Quality of Works / Criteria of Failings:","")))/LEN("Quality of Works / Criteria of Failings:"),0)-IFERROR((LEN($T982)-LEN(SUBSTITUTE($T982,"Quality of Works / Criteria of Failings:Compliant","")))/LEN("Quality of Works / Criteria of Failings:Compliant"),0))</f>
        <v/>
      </c>
      <c r="Z981" s="122">
        <f>IFERROR($Y982/MAX(1,(LEN($I982)-LEN(SUBSTITUTE($I982," Ltd","")))/LEN(" Ltd")),0)</f>
        <v/>
      </c>
      <c r="AA981" s="122">
        <f>IFERROR(IFERROR((LEN($T982)-LEN(SUBSTITUTE($T982,"Quality of Works / Criteria of Failings:","")))/LEN("Quality of Works / Criteria of Failings:"),0)/MAX(1,(LEN($I982)-LEN(SUBSTITUTE($I982," Ltd","")))/LEN(" Ltd")),0)</f>
        <v/>
      </c>
      <c r="AB981" s="122">
        <f>IFERROR(IFERROR((LEN($T982)-LEN(SUBSTITUTE($T982,"Quality of Works / Criteria of Failings:Compliant","")))/LEN("Quality of Works / Criteria of Failings:Compliant"),0)/MAX(1,(LEN($I982)-LEN(SUBSTITUTE($I982," Ltd","")))/LEN(" Ltd")),0)</f>
        <v/>
      </c>
    </row>
    <row r="982" ht="15.75" customHeight="1" s="146">
      <c r="Y982" s="122">
        <f>MAX(0,IFERROR((LEN($T983)-LEN(SUBSTITUTE($T983,"Quality of Works / Criteria of Failings:","")))/LEN("Quality of Works / Criteria of Failings:"),0)-IFERROR((LEN($T983)-LEN(SUBSTITUTE($T983,"Quality of Works / Criteria of Failings:Compliant","")))/LEN("Quality of Works / Criteria of Failings:Compliant"),0))</f>
        <v/>
      </c>
      <c r="Z982" s="122">
        <f>IFERROR($Y983/MAX(1,(LEN($I983)-LEN(SUBSTITUTE($I983," Ltd","")))/LEN(" Ltd")),0)</f>
        <v/>
      </c>
      <c r="AA982" s="122">
        <f>IFERROR(IFERROR((LEN($T983)-LEN(SUBSTITUTE($T983,"Quality of Works / Criteria of Failings:","")))/LEN("Quality of Works / Criteria of Failings:"),0)/MAX(1,(LEN($I983)-LEN(SUBSTITUTE($I983," Ltd","")))/LEN(" Ltd")),0)</f>
        <v/>
      </c>
      <c r="AB982" s="122">
        <f>IFERROR(IFERROR((LEN($T983)-LEN(SUBSTITUTE($T983,"Quality of Works / Criteria of Failings:Compliant","")))/LEN("Quality of Works / Criteria of Failings:Compliant"),0)/MAX(1,(LEN($I983)-LEN(SUBSTITUTE($I983," Ltd","")))/LEN(" Ltd")),0)</f>
        <v/>
      </c>
    </row>
    <row r="983" ht="15.75" customHeight="1" s="146">
      <c r="Y983" s="122">
        <f>MAX(0,IFERROR((LEN($T984)-LEN(SUBSTITUTE($T984,"Quality of Works / Criteria of Failings:","")))/LEN("Quality of Works / Criteria of Failings:"),0)-IFERROR((LEN($T984)-LEN(SUBSTITUTE($T984,"Quality of Works / Criteria of Failings:Compliant","")))/LEN("Quality of Works / Criteria of Failings:Compliant"),0))</f>
        <v/>
      </c>
      <c r="Z983" s="122">
        <f>IFERROR($Y984/MAX(1,(LEN($I984)-LEN(SUBSTITUTE($I984," Ltd","")))/LEN(" Ltd")),0)</f>
        <v/>
      </c>
      <c r="AA983" s="122">
        <f>IFERROR(IFERROR((LEN($T984)-LEN(SUBSTITUTE($T984,"Quality of Works / Criteria of Failings:","")))/LEN("Quality of Works / Criteria of Failings:"),0)/MAX(1,(LEN($I984)-LEN(SUBSTITUTE($I984," Ltd","")))/LEN(" Ltd")),0)</f>
        <v/>
      </c>
      <c r="AB983" s="122">
        <f>IFERROR(IFERROR((LEN($T984)-LEN(SUBSTITUTE($T984,"Quality of Works / Criteria of Failings:Compliant","")))/LEN("Quality of Works / Criteria of Failings:Compliant"),0)/MAX(1,(LEN($I984)-LEN(SUBSTITUTE($I984," Ltd","")))/LEN(" Ltd")),0)</f>
        <v/>
      </c>
    </row>
    <row r="984" ht="15.75" customHeight="1" s="146">
      <c r="Y984" s="122">
        <f>MAX(0,IFERROR((LEN($T985)-LEN(SUBSTITUTE($T985,"Quality of Works / Criteria of Failings:","")))/LEN("Quality of Works / Criteria of Failings:"),0)-IFERROR((LEN($T985)-LEN(SUBSTITUTE($T985,"Quality of Works / Criteria of Failings:Compliant","")))/LEN("Quality of Works / Criteria of Failings:Compliant"),0))</f>
        <v/>
      </c>
      <c r="Z984" s="122">
        <f>IFERROR($Y985/MAX(1,(LEN($I985)-LEN(SUBSTITUTE($I985," Ltd","")))/LEN(" Ltd")),0)</f>
        <v/>
      </c>
      <c r="AA984" s="122">
        <f>IFERROR(IFERROR((LEN($T985)-LEN(SUBSTITUTE($T985,"Quality of Works / Criteria of Failings:","")))/LEN("Quality of Works / Criteria of Failings:"),0)/MAX(1,(LEN($I985)-LEN(SUBSTITUTE($I985," Ltd","")))/LEN(" Ltd")),0)</f>
        <v/>
      </c>
      <c r="AB984" s="122">
        <f>IFERROR(IFERROR((LEN($T985)-LEN(SUBSTITUTE($T985,"Quality of Works / Criteria of Failings:Compliant","")))/LEN("Quality of Works / Criteria of Failings:Compliant"),0)/MAX(1,(LEN($I985)-LEN(SUBSTITUTE($I985," Ltd","")))/LEN(" Ltd")),0)</f>
        <v/>
      </c>
    </row>
    <row r="985" ht="15.75" customHeight="1" s="146">
      <c r="Y985" s="122">
        <f>MAX(0,IFERROR((LEN($T986)-LEN(SUBSTITUTE($T986,"Quality of Works / Criteria of Failings:","")))/LEN("Quality of Works / Criteria of Failings:"),0)-IFERROR((LEN($T986)-LEN(SUBSTITUTE($T986,"Quality of Works / Criteria of Failings:Compliant","")))/LEN("Quality of Works / Criteria of Failings:Compliant"),0))</f>
        <v/>
      </c>
      <c r="Z985" s="122">
        <f>IFERROR($Y986/MAX(1,(LEN($I986)-LEN(SUBSTITUTE($I986," Ltd","")))/LEN(" Ltd")),0)</f>
        <v/>
      </c>
      <c r="AA985" s="122">
        <f>IFERROR(IFERROR((LEN($T986)-LEN(SUBSTITUTE($T986,"Quality of Works / Criteria of Failings:","")))/LEN("Quality of Works / Criteria of Failings:"),0)/MAX(1,(LEN($I986)-LEN(SUBSTITUTE($I986," Ltd","")))/LEN(" Ltd")),0)</f>
        <v/>
      </c>
      <c r="AB985" s="122">
        <f>IFERROR(IFERROR((LEN($T986)-LEN(SUBSTITUTE($T986,"Quality of Works / Criteria of Failings:Compliant","")))/LEN("Quality of Works / Criteria of Failings:Compliant"),0)/MAX(1,(LEN($I986)-LEN(SUBSTITUTE($I986," Ltd","")))/LEN(" Ltd")),0)</f>
        <v/>
      </c>
    </row>
    <row r="986" ht="15.75" customHeight="1" s="146">
      <c r="Y986" s="122">
        <f>MAX(0,IFERROR((LEN($T987)-LEN(SUBSTITUTE($T987,"Quality of Works / Criteria of Failings:","")))/LEN("Quality of Works / Criteria of Failings:"),0)-IFERROR((LEN($T987)-LEN(SUBSTITUTE($T987,"Quality of Works / Criteria of Failings:Compliant","")))/LEN("Quality of Works / Criteria of Failings:Compliant"),0))</f>
        <v/>
      </c>
      <c r="Z986" s="122">
        <f>IFERROR($Y987/MAX(1,(LEN($I987)-LEN(SUBSTITUTE($I987," Ltd","")))/LEN(" Ltd")),0)</f>
        <v/>
      </c>
      <c r="AA986" s="122">
        <f>IFERROR(IFERROR((LEN($T987)-LEN(SUBSTITUTE($T987,"Quality of Works / Criteria of Failings:","")))/LEN("Quality of Works / Criteria of Failings:"),0)/MAX(1,(LEN($I987)-LEN(SUBSTITUTE($I987," Ltd","")))/LEN(" Ltd")),0)</f>
        <v/>
      </c>
      <c r="AB986" s="122">
        <f>IFERROR(IFERROR((LEN($T987)-LEN(SUBSTITUTE($T987,"Quality of Works / Criteria of Failings:Compliant","")))/LEN("Quality of Works / Criteria of Failings:Compliant"),0)/MAX(1,(LEN($I987)-LEN(SUBSTITUTE($I987," Ltd","")))/LEN(" Ltd")),0)</f>
        <v/>
      </c>
    </row>
    <row r="987" ht="15.75" customHeight="1" s="146">
      <c r="Y987" s="122">
        <f>MAX(0,IFERROR((LEN($T988)-LEN(SUBSTITUTE($T988,"Quality of Works / Criteria of Failings:","")))/LEN("Quality of Works / Criteria of Failings:"),0)-IFERROR((LEN($T988)-LEN(SUBSTITUTE($T988,"Quality of Works / Criteria of Failings:Compliant","")))/LEN("Quality of Works / Criteria of Failings:Compliant"),0))</f>
        <v/>
      </c>
      <c r="Z987" s="122">
        <f>IFERROR($Y988/MAX(1,(LEN($I988)-LEN(SUBSTITUTE($I988," Ltd","")))/LEN(" Ltd")),0)</f>
        <v/>
      </c>
      <c r="AA987" s="122">
        <f>IFERROR(IFERROR((LEN($T988)-LEN(SUBSTITUTE($T988,"Quality of Works / Criteria of Failings:","")))/LEN("Quality of Works / Criteria of Failings:"),0)/MAX(1,(LEN($I988)-LEN(SUBSTITUTE($I988," Ltd","")))/LEN(" Ltd")),0)</f>
        <v/>
      </c>
      <c r="AB987" s="122">
        <f>IFERROR(IFERROR((LEN($T988)-LEN(SUBSTITUTE($T988,"Quality of Works / Criteria of Failings:Compliant","")))/LEN("Quality of Works / Criteria of Failings:Compliant"),0)/MAX(1,(LEN($I988)-LEN(SUBSTITUTE($I988," Ltd","")))/LEN(" Ltd")),0)</f>
        <v/>
      </c>
    </row>
    <row r="988" ht="15.75" customHeight="1" s="146">
      <c r="Y988" s="122">
        <f>MAX(0,IFERROR((LEN($T989)-LEN(SUBSTITUTE($T989,"Quality of Works / Criteria of Failings:","")))/LEN("Quality of Works / Criteria of Failings:"),0)-IFERROR((LEN($T989)-LEN(SUBSTITUTE($T989,"Quality of Works / Criteria of Failings:Compliant","")))/LEN("Quality of Works / Criteria of Failings:Compliant"),0))</f>
        <v/>
      </c>
      <c r="Z988" s="122">
        <f>IFERROR($Y989/MAX(1,(LEN($I989)-LEN(SUBSTITUTE($I989," Ltd","")))/LEN(" Ltd")),0)</f>
        <v/>
      </c>
      <c r="AA988" s="122">
        <f>IFERROR(IFERROR((LEN($T989)-LEN(SUBSTITUTE($T989,"Quality of Works / Criteria of Failings:","")))/LEN("Quality of Works / Criteria of Failings:"),0)/MAX(1,(LEN($I989)-LEN(SUBSTITUTE($I989," Ltd","")))/LEN(" Ltd")),0)</f>
        <v/>
      </c>
      <c r="AB988" s="122">
        <f>IFERROR(IFERROR((LEN($T989)-LEN(SUBSTITUTE($T989,"Quality of Works / Criteria of Failings:Compliant","")))/LEN("Quality of Works / Criteria of Failings:Compliant"),0)/MAX(1,(LEN($I989)-LEN(SUBSTITUTE($I989," Ltd","")))/LEN(" Ltd")),0)</f>
        <v/>
      </c>
    </row>
    <row r="989" ht="15.75" customHeight="1" s="146">
      <c r="Y989" s="122">
        <f>MAX(0,IFERROR((LEN($T990)-LEN(SUBSTITUTE($T990,"Quality of Works / Criteria of Failings:","")))/LEN("Quality of Works / Criteria of Failings:"),0)-IFERROR((LEN($T990)-LEN(SUBSTITUTE($T990,"Quality of Works / Criteria of Failings:Compliant","")))/LEN("Quality of Works / Criteria of Failings:Compliant"),0))</f>
        <v/>
      </c>
      <c r="Z989" s="122">
        <f>IFERROR($Y990/MAX(1,(LEN($I990)-LEN(SUBSTITUTE($I990," Ltd","")))/LEN(" Ltd")),0)</f>
        <v/>
      </c>
      <c r="AA989" s="122">
        <f>IFERROR(IFERROR((LEN($T990)-LEN(SUBSTITUTE($T990,"Quality of Works / Criteria of Failings:","")))/LEN("Quality of Works / Criteria of Failings:"),0)/MAX(1,(LEN($I990)-LEN(SUBSTITUTE($I990," Ltd","")))/LEN(" Ltd")),0)</f>
        <v/>
      </c>
      <c r="AB989" s="122">
        <f>IFERROR(IFERROR((LEN($T990)-LEN(SUBSTITUTE($T990,"Quality of Works / Criteria of Failings:Compliant","")))/LEN("Quality of Works / Criteria of Failings:Compliant"),0)/MAX(1,(LEN($I990)-LEN(SUBSTITUTE($I990," Ltd","")))/LEN(" Ltd")),0)</f>
        <v/>
      </c>
    </row>
    <row r="990" ht="15.75" customHeight="1" s="146">
      <c r="Y990" s="122">
        <f>MAX(0,IFERROR((LEN($T991)-LEN(SUBSTITUTE($T991,"Quality of Works / Criteria of Failings:","")))/LEN("Quality of Works / Criteria of Failings:"),0)-IFERROR((LEN($T991)-LEN(SUBSTITUTE($T991,"Quality of Works / Criteria of Failings:Compliant","")))/LEN("Quality of Works / Criteria of Failings:Compliant"),0))</f>
        <v/>
      </c>
      <c r="Z990" s="122">
        <f>IFERROR($Y991/MAX(1,(LEN($I991)-LEN(SUBSTITUTE($I991," Ltd","")))/LEN(" Ltd")),0)</f>
        <v/>
      </c>
      <c r="AA990" s="122">
        <f>IFERROR(IFERROR((LEN($T991)-LEN(SUBSTITUTE($T991,"Quality of Works / Criteria of Failings:","")))/LEN("Quality of Works / Criteria of Failings:"),0)/MAX(1,(LEN($I991)-LEN(SUBSTITUTE($I991," Ltd","")))/LEN(" Ltd")),0)</f>
        <v/>
      </c>
      <c r="AB990" s="122">
        <f>IFERROR(IFERROR((LEN($T991)-LEN(SUBSTITUTE($T991,"Quality of Works / Criteria of Failings:Compliant","")))/LEN("Quality of Works / Criteria of Failings:Compliant"),0)/MAX(1,(LEN($I991)-LEN(SUBSTITUTE($I991," Ltd","")))/LEN(" Ltd")),0)</f>
        <v/>
      </c>
    </row>
    <row r="991" ht="15.75" customHeight="1" s="146">
      <c r="Y991" s="122">
        <f>MAX(0,IFERROR((LEN($T992)-LEN(SUBSTITUTE($T992,"Quality of Works / Criteria of Failings:","")))/LEN("Quality of Works / Criteria of Failings:"),0)-IFERROR((LEN($T992)-LEN(SUBSTITUTE($T992,"Quality of Works / Criteria of Failings:Compliant","")))/LEN("Quality of Works / Criteria of Failings:Compliant"),0))</f>
        <v/>
      </c>
      <c r="Z991" s="122">
        <f>IFERROR($Y992/MAX(1,(LEN($I992)-LEN(SUBSTITUTE($I992," Ltd","")))/LEN(" Ltd")),0)</f>
        <v/>
      </c>
      <c r="AA991" s="122">
        <f>IFERROR(IFERROR((LEN($T992)-LEN(SUBSTITUTE($T992,"Quality of Works / Criteria of Failings:","")))/LEN("Quality of Works / Criteria of Failings:"),0)/MAX(1,(LEN($I992)-LEN(SUBSTITUTE($I992," Ltd","")))/LEN(" Ltd")),0)</f>
        <v/>
      </c>
      <c r="AB991" s="122">
        <f>IFERROR(IFERROR((LEN($T992)-LEN(SUBSTITUTE($T992,"Quality of Works / Criteria of Failings:Compliant","")))/LEN("Quality of Works / Criteria of Failings:Compliant"),0)/MAX(1,(LEN($I992)-LEN(SUBSTITUTE($I992," Ltd","")))/LEN(" Ltd")),0)</f>
        <v/>
      </c>
    </row>
    <row r="992" ht="15.75" customHeight="1" s="146">
      <c r="Y992" s="122">
        <f>MAX(0,IFERROR((LEN($T993)-LEN(SUBSTITUTE($T993,"Quality of Works / Criteria of Failings:","")))/LEN("Quality of Works / Criteria of Failings:"),0)-IFERROR((LEN($T993)-LEN(SUBSTITUTE($T993,"Quality of Works / Criteria of Failings:Compliant","")))/LEN("Quality of Works / Criteria of Failings:Compliant"),0))</f>
        <v/>
      </c>
      <c r="Z992" s="122">
        <f>IFERROR($Y993/MAX(1,(LEN($I993)-LEN(SUBSTITUTE($I993," Ltd","")))/LEN(" Ltd")),0)</f>
        <v/>
      </c>
      <c r="AA992" s="122">
        <f>IFERROR(IFERROR((LEN($T993)-LEN(SUBSTITUTE($T993,"Quality of Works / Criteria of Failings:","")))/LEN("Quality of Works / Criteria of Failings:"),0)/MAX(1,(LEN($I993)-LEN(SUBSTITUTE($I993," Ltd","")))/LEN(" Ltd")),0)</f>
        <v/>
      </c>
      <c r="AB992" s="122">
        <f>IFERROR(IFERROR((LEN($T993)-LEN(SUBSTITUTE($T993,"Quality of Works / Criteria of Failings:Compliant","")))/LEN("Quality of Works / Criteria of Failings:Compliant"),0)/MAX(1,(LEN($I993)-LEN(SUBSTITUTE($I993," Ltd","")))/LEN(" Ltd")),0)</f>
        <v/>
      </c>
    </row>
    <row r="993" ht="15.75" customHeight="1" s="146">
      <c r="Y993" s="122">
        <f>MAX(0,IFERROR((LEN($T994)-LEN(SUBSTITUTE($T994,"Quality of Works / Criteria of Failings:","")))/LEN("Quality of Works / Criteria of Failings:"),0)-IFERROR((LEN($T994)-LEN(SUBSTITUTE($T994,"Quality of Works / Criteria of Failings:Compliant","")))/LEN("Quality of Works / Criteria of Failings:Compliant"),0))</f>
        <v/>
      </c>
      <c r="Z993" s="122">
        <f>IFERROR($Y994/MAX(1,(LEN($I994)-LEN(SUBSTITUTE($I994," Ltd","")))/LEN(" Ltd")),0)</f>
        <v/>
      </c>
      <c r="AA993" s="122">
        <f>IFERROR(IFERROR((LEN($T994)-LEN(SUBSTITUTE($T994,"Quality of Works / Criteria of Failings:","")))/LEN("Quality of Works / Criteria of Failings:"),0)/MAX(1,(LEN($I994)-LEN(SUBSTITUTE($I994," Ltd","")))/LEN(" Ltd")),0)</f>
        <v/>
      </c>
      <c r="AB993" s="122">
        <f>IFERROR(IFERROR((LEN($T994)-LEN(SUBSTITUTE($T994,"Quality of Works / Criteria of Failings:Compliant","")))/LEN("Quality of Works / Criteria of Failings:Compliant"),0)/MAX(1,(LEN($I994)-LEN(SUBSTITUTE($I994," Ltd","")))/LEN(" Ltd")),0)</f>
        <v/>
      </c>
    </row>
    <row r="994" ht="15.75" customHeight="1" s="146">
      <c r="Y994" s="122">
        <f>MAX(0,IFERROR((LEN($T995)-LEN(SUBSTITUTE($T995,"Quality of Works / Criteria of Failings:","")))/LEN("Quality of Works / Criteria of Failings:"),0)-IFERROR((LEN($T995)-LEN(SUBSTITUTE($T995,"Quality of Works / Criteria of Failings:Compliant","")))/LEN("Quality of Works / Criteria of Failings:Compliant"),0))</f>
        <v/>
      </c>
      <c r="Z994" s="122">
        <f>IFERROR($Y995/MAX(1,(LEN($I995)-LEN(SUBSTITUTE($I995," Ltd","")))/LEN(" Ltd")),0)</f>
        <v/>
      </c>
      <c r="AA994" s="122">
        <f>IFERROR(IFERROR((LEN($T995)-LEN(SUBSTITUTE($T995,"Quality of Works / Criteria of Failings:","")))/LEN("Quality of Works / Criteria of Failings:"),0)/MAX(1,(LEN($I995)-LEN(SUBSTITUTE($I995," Ltd","")))/LEN(" Ltd")),0)</f>
        <v/>
      </c>
      <c r="AB994" s="122">
        <f>IFERROR(IFERROR((LEN($T995)-LEN(SUBSTITUTE($T995,"Quality of Works / Criteria of Failings:Compliant","")))/LEN("Quality of Works / Criteria of Failings:Compliant"),0)/MAX(1,(LEN($I995)-LEN(SUBSTITUTE($I995," Ltd","")))/LEN(" Ltd")),0)</f>
        <v/>
      </c>
    </row>
    <row r="995" ht="15.75" customHeight="1" s="146">
      <c r="Y995" s="122">
        <f>MAX(0,IFERROR((LEN($T996)-LEN(SUBSTITUTE($T996,"Quality of Works / Criteria of Failings:","")))/LEN("Quality of Works / Criteria of Failings:"),0)-IFERROR((LEN($T996)-LEN(SUBSTITUTE($T996,"Quality of Works / Criteria of Failings:Compliant","")))/LEN("Quality of Works / Criteria of Failings:Compliant"),0))</f>
        <v/>
      </c>
      <c r="Z995" s="122">
        <f>IFERROR($Y996/MAX(1,(LEN($I996)-LEN(SUBSTITUTE($I996," Ltd","")))/LEN(" Ltd")),0)</f>
        <v/>
      </c>
      <c r="AA995" s="122">
        <f>IFERROR(IFERROR((LEN($T996)-LEN(SUBSTITUTE($T996,"Quality of Works / Criteria of Failings:","")))/LEN("Quality of Works / Criteria of Failings:"),0)/MAX(1,(LEN($I996)-LEN(SUBSTITUTE($I996," Ltd","")))/LEN(" Ltd")),0)</f>
        <v/>
      </c>
      <c r="AB995" s="122">
        <f>IFERROR(IFERROR((LEN($T996)-LEN(SUBSTITUTE($T996,"Quality of Works / Criteria of Failings:Compliant","")))/LEN("Quality of Works / Criteria of Failings:Compliant"),0)/MAX(1,(LEN($I996)-LEN(SUBSTITUTE($I996," Ltd","")))/LEN(" Ltd")),0)</f>
        <v/>
      </c>
    </row>
    <row r="996" ht="15.75" customHeight="1" s="146">
      <c r="Y996" s="122">
        <f>MAX(0,IFERROR((LEN($T997)-LEN(SUBSTITUTE($T997,"Quality of Works / Criteria of Failings:","")))/LEN("Quality of Works / Criteria of Failings:"),0)-IFERROR((LEN($T997)-LEN(SUBSTITUTE($T997,"Quality of Works / Criteria of Failings:Compliant","")))/LEN("Quality of Works / Criteria of Failings:Compliant"),0))</f>
        <v/>
      </c>
      <c r="Z996" s="122">
        <f>IFERROR($Y997/MAX(1,(LEN($I997)-LEN(SUBSTITUTE($I997," Ltd","")))/LEN(" Ltd")),0)</f>
        <v/>
      </c>
      <c r="AA996" s="122">
        <f>IFERROR(IFERROR((LEN($T997)-LEN(SUBSTITUTE($T997,"Quality of Works / Criteria of Failings:","")))/LEN("Quality of Works / Criteria of Failings:"),0)/MAX(1,(LEN($I997)-LEN(SUBSTITUTE($I997," Ltd","")))/LEN(" Ltd")),0)</f>
        <v/>
      </c>
      <c r="AB996" s="122">
        <f>IFERROR(IFERROR((LEN($T997)-LEN(SUBSTITUTE($T997,"Quality of Works / Criteria of Failings:Compliant","")))/LEN("Quality of Works / Criteria of Failings:Compliant"),0)/MAX(1,(LEN($I997)-LEN(SUBSTITUTE($I997," Ltd","")))/LEN(" Ltd")),0)</f>
        <v/>
      </c>
    </row>
    <row r="997" ht="15.75" customHeight="1" s="146">
      <c r="Y997" s="122">
        <f>MAX(0,IFERROR((LEN($T998)-LEN(SUBSTITUTE($T998,"Quality of Works / Criteria of Failings:","")))/LEN("Quality of Works / Criteria of Failings:"),0)-IFERROR((LEN($T998)-LEN(SUBSTITUTE($T998,"Quality of Works / Criteria of Failings:Compliant","")))/LEN("Quality of Works / Criteria of Failings:Compliant"),0))</f>
        <v/>
      </c>
      <c r="Z997" s="122">
        <f>IFERROR($Y998/MAX(1,(LEN($I998)-LEN(SUBSTITUTE($I998," Ltd","")))/LEN(" Ltd")),0)</f>
        <v/>
      </c>
      <c r="AA997" s="122">
        <f>IFERROR(IFERROR((LEN($T998)-LEN(SUBSTITUTE($T998,"Quality of Works / Criteria of Failings:","")))/LEN("Quality of Works / Criteria of Failings:"),0)/MAX(1,(LEN($I998)-LEN(SUBSTITUTE($I998," Ltd","")))/LEN(" Ltd")),0)</f>
        <v/>
      </c>
      <c r="AB997" s="122">
        <f>IFERROR(IFERROR((LEN($T998)-LEN(SUBSTITUTE($T998,"Quality of Works / Criteria of Failings:Compliant","")))/LEN("Quality of Works / Criteria of Failings:Compliant"),0)/MAX(1,(LEN($I998)-LEN(SUBSTITUTE($I998," Ltd","")))/LEN(" Ltd")),0)</f>
        <v/>
      </c>
    </row>
    <row r="998" ht="15.75" customHeight="1" s="146">
      <c r="Y998" s="122">
        <f>MAX(0,IFERROR((LEN($T999)-LEN(SUBSTITUTE($T999,"Quality of Works / Criteria of Failings:","")))/LEN("Quality of Works / Criteria of Failings:"),0)-IFERROR((LEN($T999)-LEN(SUBSTITUTE($T999,"Quality of Works / Criteria of Failings:Compliant","")))/LEN("Quality of Works / Criteria of Failings:Compliant"),0))</f>
        <v/>
      </c>
      <c r="Z998" s="122">
        <f>IFERROR($Y999/MAX(1,(LEN($I999)-LEN(SUBSTITUTE($I999," Ltd","")))/LEN(" Ltd")),0)</f>
        <v/>
      </c>
      <c r="AA998" s="122">
        <f>IFERROR(IFERROR((LEN($T999)-LEN(SUBSTITUTE($T999,"Quality of Works / Criteria of Failings:","")))/LEN("Quality of Works / Criteria of Failings:"),0)/MAX(1,(LEN($I999)-LEN(SUBSTITUTE($I999," Ltd","")))/LEN(" Ltd")),0)</f>
        <v/>
      </c>
      <c r="AB998" s="122">
        <f>IFERROR(IFERROR((LEN($T999)-LEN(SUBSTITUTE($T999,"Quality of Works / Criteria of Failings:Compliant","")))/LEN("Quality of Works / Criteria of Failings:Compliant"),0)/MAX(1,(LEN($I999)-LEN(SUBSTITUTE($I999," Ltd","")))/LEN(" Ltd")),0)</f>
        <v/>
      </c>
    </row>
    <row r="999" ht="15.75" customHeight="1" s="146">
      <c r="Y999" s="122">
        <f>MAX(0,IFERROR((LEN($T1000)-LEN(SUBSTITUTE($T1000,"Quality of Works / Criteria of Failings:","")))/LEN("Quality of Works / Criteria of Failings:"),0)-IFERROR((LEN($T1000)-LEN(SUBSTITUTE($T1000,"Quality of Works / Criteria of Failings:Compliant","")))/LEN("Quality of Works / Criteria of Failings:Compliant"),0))</f>
        <v/>
      </c>
      <c r="Z999" s="122">
        <f>IFERROR($Y1000/MAX(1,(LEN($I1000)-LEN(SUBSTITUTE($I1000," Ltd","")))/LEN(" Ltd")),0)</f>
        <v/>
      </c>
      <c r="AA999" s="122">
        <f>IFERROR(IFERROR((LEN($T1000)-LEN(SUBSTITUTE($T1000,"Quality of Works / Criteria of Failings:","")))/LEN("Quality of Works / Criteria of Failings:"),0)/MAX(1,(LEN($I1000)-LEN(SUBSTITUTE($I1000," Ltd","")))/LEN(" Ltd")),0)</f>
        <v/>
      </c>
      <c r="AB999" s="122">
        <f>IFERROR(IFERROR((LEN($T1000)-LEN(SUBSTITUTE($T1000,"Quality of Works / Criteria of Failings:Compliant","")))/LEN("Quality of Works / Criteria of Failings:Compliant"),0)/MAX(1,(LEN($I1000)-LEN(SUBSTITUTE($I1000," Ltd","")))/LEN(" Ltd")),0)</f>
        <v/>
      </c>
    </row>
    <row r="1000" ht="15.75" customHeight="1" s="146">
      <c r="Y1000" s="122">
        <f>MAX(0,IFERROR((LEN($T1001)-LEN(SUBSTITUTE($T1001,"Quality of Works / Criteria of Failings:","")))/LEN("Quality of Works / Criteria of Failings:"),0)-IFERROR((LEN($T1001)-LEN(SUBSTITUTE($T1001,"Quality of Works / Criteria of Failings:Compliant","")))/LEN("Quality of Works / Criteria of Failings:Compliant"),0))</f>
        <v/>
      </c>
      <c r="Z1000" s="122">
        <f>IFERROR($Y1001/MAX(1,(LEN($I1001)-LEN(SUBSTITUTE($I1001," Ltd","")))/LEN(" Ltd")),0)</f>
        <v/>
      </c>
      <c r="AA1000" s="122">
        <f>IFERROR(IFERROR((LEN($T1001)-LEN(SUBSTITUTE($T1001,"Quality of Works / Criteria of Failings:","")))/LEN("Quality of Works / Criteria of Failings:"),0)/MAX(1,(LEN($I1001)-LEN(SUBSTITUTE($I1001," Ltd","")))/LEN(" Ltd")),0)</f>
        <v/>
      </c>
      <c r="AB1000" s="122">
        <f>IFERROR(IFERROR((LEN($T1001)-LEN(SUBSTITUTE($T1001,"Quality of Works / Criteria of Failings:Compliant","")))/LEN("Quality of Works / Criteria of Failings:Compliant"),0)/MAX(1,(LEN($I1001)-LEN(SUBSTITUTE($I1001," Ltd","")))/LEN(" Ltd")),0)</f>
        <v/>
      </c>
    </row>
    <row r="1001" ht="15.75" customHeight="1" s="146">
      <c r="Y1001" s="122">
        <f>MAX(0,IFERROR((LEN($T1002)-LEN(SUBSTITUTE($T1002,"Quality of Works / Criteria of Failings:","")))/LEN("Quality of Works / Criteria of Failings:"),0)-IFERROR((LEN($T1002)-LEN(SUBSTITUTE($T1002,"Quality of Works / Criteria of Failings:Compliant","")))/LEN("Quality of Works / Criteria of Failings:Compliant"),0))</f>
        <v/>
      </c>
      <c r="Z1001" s="122">
        <f>IFERROR($Y1002/MAX(1,(LEN($I1002)-LEN(SUBSTITUTE($I1002," Ltd","")))/LEN(" Ltd")),0)</f>
        <v/>
      </c>
      <c r="AA1001" s="122">
        <f>IFERROR(IFERROR((LEN($T1002)-LEN(SUBSTITUTE($T1002,"Quality of Works / Criteria of Failings:","")))/LEN("Quality of Works / Criteria of Failings:"),0)/MAX(1,(LEN($I1002)-LEN(SUBSTITUTE($I1002," Ltd","")))/LEN(" Ltd")),0)</f>
        <v/>
      </c>
      <c r="AB1001" s="122">
        <f>IFERROR(IFERROR((LEN($T1002)-LEN(SUBSTITUTE($T1002,"Quality of Works / Criteria of Failings:Compliant","")))/LEN("Quality of Works / Criteria of Failings:Compliant"),0)/MAX(1,(LEN($I1002)-LEN(SUBSTITUTE($I1002," Ltd","")))/LEN(" Ltd")),0)</f>
        <v/>
      </c>
    </row>
    <row r="1002" ht="15.75" customHeight="1" s="146">
      <c r="Y1002" s="122">
        <f>MAX(0,IFERROR((LEN($T1003)-LEN(SUBSTITUTE($T1003,"Quality of Works / Criteria of Failings:","")))/LEN("Quality of Works / Criteria of Failings:"),0)-IFERROR((LEN($T1003)-LEN(SUBSTITUTE($T1003,"Quality of Works / Criteria of Failings:Compliant","")))/LEN("Quality of Works / Criteria of Failings:Compliant"),0))</f>
        <v/>
      </c>
      <c r="Z1002" s="122">
        <f>IFERROR($Y1003/MAX(1,(LEN($I1003)-LEN(SUBSTITUTE($I1003," Ltd","")))/LEN(" Ltd")),0)</f>
        <v/>
      </c>
      <c r="AA1002" s="122">
        <f>IFERROR(IFERROR((LEN($T1003)-LEN(SUBSTITUTE($T1003,"Quality of Works / Criteria of Failings:","")))/LEN("Quality of Works / Criteria of Failings:"),0)/MAX(1,(LEN($I1003)-LEN(SUBSTITUTE($I1003," Ltd","")))/LEN(" Ltd")),0)</f>
        <v/>
      </c>
      <c r="AB1002" s="122">
        <f>IFERROR(IFERROR((LEN($T1003)-LEN(SUBSTITUTE($T1003,"Quality of Works / Criteria of Failings:Compliant","")))/LEN("Quality of Works / Criteria of Failings:Compliant"),0)/MAX(1,(LEN($I1003)-LEN(SUBSTITUTE($I1003," Ltd","")))/LEN(" Ltd")),0)</f>
        <v/>
      </c>
    </row>
    <row r="1003" ht="15.75" customHeight="1" s="146">
      <c r="Y1003" s="122">
        <f>MAX(0,IFERROR((LEN($T1004)-LEN(SUBSTITUTE($T1004,"Quality of Works / Criteria of Failings:","")))/LEN("Quality of Works / Criteria of Failings:"),0)-IFERROR((LEN($T1004)-LEN(SUBSTITUTE($T1004,"Quality of Works / Criteria of Failings:Compliant","")))/LEN("Quality of Works / Criteria of Failings:Compliant"),0))</f>
        <v/>
      </c>
      <c r="Z1003" s="122">
        <f>IFERROR($Y1004/MAX(1,(LEN($I1004)-LEN(SUBSTITUTE($I1004," Ltd","")))/LEN(" Ltd")),0)</f>
        <v/>
      </c>
      <c r="AA1003" s="122">
        <f>IFERROR(IFERROR((LEN($T1004)-LEN(SUBSTITUTE($T1004,"Quality of Works / Criteria of Failings:","")))/LEN("Quality of Works / Criteria of Failings:"),0)/MAX(1,(LEN($I1004)-LEN(SUBSTITUTE($I1004," Ltd","")))/LEN(" Ltd")),0)</f>
        <v/>
      </c>
      <c r="AB1003" s="122">
        <f>IFERROR(IFERROR((LEN($T1004)-LEN(SUBSTITUTE($T1004,"Quality of Works / Criteria of Failings:Compliant","")))/LEN("Quality of Works / Criteria of Failings:Compliant"),0)/MAX(1,(LEN($I1004)-LEN(SUBSTITUTE($I1004," Ltd","")))/LEN(" Ltd")),0)</f>
        <v/>
      </c>
    </row>
    <row r="1004" ht="15.75" customHeight="1" s="146">
      <c r="Y1004" s="122">
        <f>MAX(0,IFERROR((LEN($T1005)-LEN(SUBSTITUTE($T1005,"Quality of Works / Criteria of Failings:","")))/LEN("Quality of Works / Criteria of Failings:"),0)-IFERROR((LEN($T1005)-LEN(SUBSTITUTE($T1005,"Quality of Works / Criteria of Failings:Compliant","")))/LEN("Quality of Works / Criteria of Failings:Compliant"),0))</f>
        <v/>
      </c>
      <c r="Z1004" s="122">
        <f>IFERROR($Y1005/MAX(1,(LEN($I1005)-LEN(SUBSTITUTE($I1005," Ltd","")))/LEN(" Ltd")),0)</f>
        <v/>
      </c>
      <c r="AA1004" s="122">
        <f>IFERROR(IFERROR((LEN($T1005)-LEN(SUBSTITUTE($T1005,"Quality of Works / Criteria of Failings:","")))/LEN("Quality of Works / Criteria of Failings:"),0)/MAX(1,(LEN($I1005)-LEN(SUBSTITUTE($I1005," Ltd","")))/LEN(" Ltd")),0)</f>
        <v/>
      </c>
      <c r="AB1004" s="122">
        <f>IFERROR(IFERROR((LEN($T1005)-LEN(SUBSTITUTE($T1005,"Quality of Works / Criteria of Failings:Compliant","")))/LEN("Quality of Works / Criteria of Failings:Compliant"),0)/MAX(1,(LEN($I1005)-LEN(SUBSTITUTE($I1005," Ltd","")))/LEN(" Ltd")),0)</f>
        <v/>
      </c>
    </row>
    <row r="1005" ht="15" customHeight="1" s="146">
      <c r="Y1005" s="122">
        <f>MAX(0,IFERROR((LEN($T1006)-LEN(SUBSTITUTE($T1006,"Quality of Works / Criteria of Failings:","")))/LEN("Quality of Works / Criteria of Failings:"),0)-IFERROR((LEN($T1006)-LEN(SUBSTITUTE($T1006,"Quality of Works / Criteria of Failings:Compliant","")))/LEN("Quality of Works / Criteria of Failings:Compliant"),0))</f>
        <v/>
      </c>
      <c r="Z1005" s="122">
        <f>IFERROR($Y1006/MAX(1,(LEN($I1006)-LEN(SUBSTITUTE($I1006," Ltd","")))/LEN(" Ltd")),0)</f>
        <v/>
      </c>
      <c r="AA1005" s="122">
        <f>IFERROR(IFERROR((LEN($T1006)-LEN(SUBSTITUTE($T1006,"Quality of Works / Criteria of Failings:","")))/LEN("Quality of Works / Criteria of Failings:"),0)/MAX(1,(LEN($I1006)-LEN(SUBSTITUTE($I1006," Ltd","")))/LEN(" Ltd")),0)</f>
        <v/>
      </c>
      <c r="AB1005" s="122">
        <f>IFERROR(IFERROR((LEN($T1006)-LEN(SUBSTITUTE($T1006,"Quality of Works / Criteria of Failings:Compliant","")))/LEN("Quality of Works / Criteria of Failings:Compliant"),0)/MAX(1,(LEN($I1006)-LEN(SUBSTITUTE($I1006," Ltd","")))/LEN(" Ltd")),0)</f>
        <v/>
      </c>
    </row>
    <row r="1006" ht="15" customHeight="1" s="146">
      <c r="Y1006" s="122">
        <f>MAX(0,IFERROR((LEN($T1007)-LEN(SUBSTITUTE($T1007,"Quality of Works / Criteria of Failings:","")))/LEN("Quality of Works / Criteria of Failings:"),0)-IFERROR((LEN($T1007)-LEN(SUBSTITUTE($T1007,"Quality of Works / Criteria of Failings:Compliant","")))/LEN("Quality of Works / Criteria of Failings:Compliant"),0))</f>
        <v/>
      </c>
      <c r="Z1006" s="122">
        <f>IFERROR($Y1007/MAX(1,(LEN($I1007)-LEN(SUBSTITUTE($I1007," Ltd","")))/LEN(" Ltd")),0)</f>
        <v/>
      </c>
      <c r="AA1006" s="122">
        <f>IFERROR(IFERROR((LEN($T1007)-LEN(SUBSTITUTE($T1007,"Quality of Works / Criteria of Failings:","")))/LEN("Quality of Works / Criteria of Failings:"),0)/MAX(1,(LEN($I1007)-LEN(SUBSTITUTE($I1007," Ltd","")))/LEN(" Ltd")),0)</f>
        <v/>
      </c>
      <c r="AB1006" s="122">
        <f>IFERROR(IFERROR((LEN($T1007)-LEN(SUBSTITUTE($T1007,"Quality of Works / Criteria of Failings:Compliant","")))/LEN("Quality of Works / Criteria of Failings:Compliant"),0)/MAX(1,(LEN($I1007)-LEN(SUBSTITUTE($I1007," Ltd","")))/LEN(" Ltd")),0)</f>
        <v/>
      </c>
    </row>
    <row r="1007" ht="15" customHeight="1" s="146">
      <c r="Y1007" s="122">
        <f>MAX(0,IFERROR((LEN($T1008)-LEN(SUBSTITUTE($T1008,"Quality of Works / Criteria of Failings:","")))/LEN("Quality of Works / Criteria of Failings:"),0)-IFERROR((LEN($T1008)-LEN(SUBSTITUTE($T1008,"Quality of Works / Criteria of Failings:Compliant","")))/LEN("Quality of Works / Criteria of Failings:Compliant"),0))</f>
        <v/>
      </c>
      <c r="Z1007" s="122">
        <f>IFERROR($Y1008/MAX(1,(LEN($I1008)-LEN(SUBSTITUTE($I1008," Ltd","")))/LEN(" Ltd")),0)</f>
        <v/>
      </c>
      <c r="AA1007" s="122">
        <f>IFERROR(IFERROR((LEN($T1008)-LEN(SUBSTITUTE($T1008,"Quality of Works / Criteria of Failings:","")))/LEN("Quality of Works / Criteria of Failings:"),0)/MAX(1,(LEN($I1008)-LEN(SUBSTITUTE($I1008," Ltd","")))/LEN(" Ltd")),0)</f>
        <v/>
      </c>
      <c r="AB1007" s="122">
        <f>IFERROR(IFERROR((LEN($T1008)-LEN(SUBSTITUTE($T1008,"Quality of Works / Criteria of Failings:Compliant","")))/LEN("Quality of Works / Criteria of Failings:Compliant"),0)/MAX(1,(LEN($I1008)-LEN(SUBSTITUTE($I1008," Ltd","")))/LEN(" Ltd")),0)</f>
        <v/>
      </c>
    </row>
    <row r="1008" ht="15" customHeight="1" s="146">
      <c r="Y1008" s="122">
        <f>MAX(0,IFERROR((LEN($T1009)-LEN(SUBSTITUTE($T1009,"Quality of Works / Criteria of Failings:","")))/LEN("Quality of Works / Criteria of Failings:"),0)-IFERROR((LEN($T1009)-LEN(SUBSTITUTE($T1009,"Quality of Works / Criteria of Failings:Compliant","")))/LEN("Quality of Works / Criteria of Failings:Compliant"),0))</f>
        <v/>
      </c>
      <c r="Z1008" s="122">
        <f>IFERROR($Y1009/MAX(1,(LEN($I1009)-LEN(SUBSTITUTE($I1009," Ltd","")))/LEN(" Ltd")),0)</f>
        <v/>
      </c>
      <c r="AA1008" s="122">
        <f>IFERROR(IFERROR((LEN($T1009)-LEN(SUBSTITUTE($T1009,"Quality of Works / Criteria of Failings:","")))/LEN("Quality of Works / Criteria of Failings:"),0)/MAX(1,(LEN($I1009)-LEN(SUBSTITUTE($I1009," Ltd","")))/LEN(" Ltd")),0)</f>
        <v/>
      </c>
      <c r="AB1008" s="122">
        <f>IFERROR(IFERROR((LEN($T1009)-LEN(SUBSTITUTE($T1009,"Quality of Works / Criteria of Failings:Compliant","")))/LEN("Quality of Works / Criteria of Failings:Compliant"),0)/MAX(1,(LEN($I1009)-LEN(SUBSTITUTE($I1009," Ltd","")))/LEN(" Ltd")),0)</f>
        <v/>
      </c>
    </row>
    <row r="1009" ht="15" customHeight="1" s="146">
      <c r="Y1009" s="122">
        <f>MAX(0,IFERROR((LEN($T1010)-LEN(SUBSTITUTE($T1010,"Quality of Works / Criteria of Failings:","")))/LEN("Quality of Works / Criteria of Failings:"),0)-IFERROR((LEN($T1010)-LEN(SUBSTITUTE($T1010,"Quality of Works / Criteria of Failings:Compliant","")))/LEN("Quality of Works / Criteria of Failings:Compliant"),0))</f>
        <v/>
      </c>
      <c r="Z1009" s="122">
        <f>IFERROR($Y1010/MAX(1,(LEN($I1010)-LEN(SUBSTITUTE($I1010," Ltd","")))/LEN(" Ltd")),0)</f>
        <v/>
      </c>
      <c r="AA1009" s="122">
        <f>IFERROR(IFERROR((LEN($T1010)-LEN(SUBSTITUTE($T1010,"Quality of Works / Criteria of Failings:","")))/LEN("Quality of Works / Criteria of Failings:"),0)/MAX(1,(LEN($I1010)-LEN(SUBSTITUTE($I1010," Ltd","")))/LEN(" Ltd")),0)</f>
        <v/>
      </c>
      <c r="AB1009" s="122">
        <f>IFERROR(IFERROR((LEN($T1010)-LEN(SUBSTITUTE($T1010,"Quality of Works / Criteria of Failings:Compliant","")))/LEN("Quality of Works / Criteria of Failings:Compliant"),0)/MAX(1,(LEN($I1010)-LEN(SUBSTITUTE($I1010," Ltd","")))/LEN(" Ltd")),0)</f>
        <v/>
      </c>
    </row>
    <row r="1010" ht="15" customHeight="1" s="146">
      <c r="Y1010" s="122">
        <f>MAX(0,IFERROR((LEN($T1011)-LEN(SUBSTITUTE($T1011,"Quality of Works / Criteria of Failings:","")))/LEN("Quality of Works / Criteria of Failings:"),0)-IFERROR((LEN($T1011)-LEN(SUBSTITUTE($T1011,"Quality of Works / Criteria of Failings:Compliant","")))/LEN("Quality of Works / Criteria of Failings:Compliant"),0))</f>
        <v/>
      </c>
      <c r="Z1010" s="122">
        <f>IFERROR($Y1011/MAX(1,(LEN($I1011)-LEN(SUBSTITUTE($I1011," Ltd","")))/LEN(" Ltd")),0)</f>
        <v/>
      </c>
      <c r="AA1010" s="122">
        <f>IFERROR(IFERROR((LEN($T1011)-LEN(SUBSTITUTE($T1011,"Quality of Works / Criteria of Failings:","")))/LEN("Quality of Works / Criteria of Failings:"),0)/MAX(1,(LEN($I1011)-LEN(SUBSTITUTE($I1011," Ltd","")))/LEN(" Ltd")),0)</f>
        <v/>
      </c>
      <c r="AB1010" s="122">
        <f>IFERROR(IFERROR((LEN($T1011)-LEN(SUBSTITUTE($T1011,"Quality of Works / Criteria of Failings:Compliant","")))/LEN("Quality of Works / Criteria of Failings:Compliant"),0)/MAX(1,(LEN($I1011)-LEN(SUBSTITUTE($I1011," Ltd","")))/LEN(" Ltd")),0)</f>
        <v/>
      </c>
    </row>
    <row r="1011" ht="15" customHeight="1" s="146">
      <c r="Y1011" s="122">
        <f>MAX(0,IFERROR((LEN($T1012)-LEN(SUBSTITUTE($T1012,"Quality of Works / Criteria of Failings:","")))/LEN("Quality of Works / Criteria of Failings:"),0)-IFERROR((LEN($T1012)-LEN(SUBSTITUTE($T1012,"Quality of Works / Criteria of Failings:Compliant","")))/LEN("Quality of Works / Criteria of Failings:Compliant"),0))</f>
        <v/>
      </c>
      <c r="Z1011" s="122">
        <f>IFERROR($Y1012/MAX(1,(LEN($I1012)-LEN(SUBSTITUTE($I1012," Ltd","")))/LEN(" Ltd")),0)</f>
        <v/>
      </c>
      <c r="AA1011" s="122">
        <f>IFERROR(IFERROR((LEN($T1012)-LEN(SUBSTITUTE($T1012,"Quality of Works / Criteria of Failings:","")))/LEN("Quality of Works / Criteria of Failings:"),0)/MAX(1,(LEN($I1012)-LEN(SUBSTITUTE($I1012," Ltd","")))/LEN(" Ltd")),0)</f>
        <v/>
      </c>
      <c r="AB1011" s="122">
        <f>IFERROR(IFERROR((LEN($T1012)-LEN(SUBSTITUTE($T1012,"Quality of Works / Criteria of Failings:Compliant","")))/LEN("Quality of Works / Criteria of Failings:Compliant"),0)/MAX(1,(LEN($I1012)-LEN(SUBSTITUTE($I1012," Ltd","")))/LEN(" Ltd")),0)</f>
        <v/>
      </c>
    </row>
    <row r="1012" ht="15" customHeight="1" s="146">
      <c r="Y1012" s="122">
        <f>MAX(0,IFERROR((LEN($T1013)-LEN(SUBSTITUTE($T1013,"Quality of Works / Criteria of Failings:","")))/LEN("Quality of Works / Criteria of Failings:"),0)-IFERROR((LEN($T1013)-LEN(SUBSTITUTE($T1013,"Quality of Works / Criteria of Failings:Compliant","")))/LEN("Quality of Works / Criteria of Failings:Compliant"),0))</f>
        <v/>
      </c>
      <c r="Z1012" s="122">
        <f>IFERROR($Y1013/MAX(1,(LEN($I1013)-LEN(SUBSTITUTE($I1013," Ltd","")))/LEN(" Ltd")),0)</f>
        <v/>
      </c>
      <c r="AA1012" s="122">
        <f>IFERROR(IFERROR((LEN($T1013)-LEN(SUBSTITUTE($T1013,"Quality of Works / Criteria of Failings:","")))/LEN("Quality of Works / Criteria of Failings:"),0)/MAX(1,(LEN($I1013)-LEN(SUBSTITUTE($I1013," Ltd","")))/LEN(" Ltd")),0)</f>
        <v/>
      </c>
      <c r="AB1012" s="122">
        <f>IFERROR(IFERROR((LEN($T1013)-LEN(SUBSTITUTE($T1013,"Quality of Works / Criteria of Failings:Compliant","")))/LEN("Quality of Works / Criteria of Failings:Compliant"),0)/MAX(1,(LEN($I1013)-LEN(SUBSTITUTE($I1013," Ltd","")))/LEN(" Ltd")),0)</f>
        <v/>
      </c>
    </row>
    <row r="1013" ht="15" customHeight="1" s="146">
      <c r="Y1013" s="122">
        <f>MAX(0,IFERROR((LEN($T1014)-LEN(SUBSTITUTE($T1014,"Quality of Works / Criteria of Failings:","")))/LEN("Quality of Works / Criteria of Failings:"),0)-IFERROR((LEN($T1014)-LEN(SUBSTITUTE($T1014,"Quality of Works / Criteria of Failings:Compliant","")))/LEN("Quality of Works / Criteria of Failings:Compliant"),0))</f>
        <v/>
      </c>
      <c r="Z1013" s="122">
        <f>IFERROR($Y1014/MAX(1,(LEN($I1014)-LEN(SUBSTITUTE($I1014," Ltd","")))/LEN(" Ltd")),0)</f>
        <v/>
      </c>
      <c r="AA1013" s="122">
        <f>IFERROR(IFERROR((LEN($T1014)-LEN(SUBSTITUTE($T1014,"Quality of Works / Criteria of Failings:","")))/LEN("Quality of Works / Criteria of Failings:"),0)/MAX(1,(LEN($I1014)-LEN(SUBSTITUTE($I1014," Ltd","")))/LEN(" Ltd")),0)</f>
        <v/>
      </c>
      <c r="AB1013" s="122">
        <f>IFERROR(IFERROR((LEN($T1014)-LEN(SUBSTITUTE($T1014,"Quality of Works / Criteria of Failings:Compliant","")))/LEN("Quality of Works / Criteria of Failings:Compliant"),0)/MAX(1,(LEN($I1014)-LEN(SUBSTITUTE($I1014," Ltd","")))/LEN(" Ltd")),0)</f>
        <v/>
      </c>
    </row>
    <row r="1014" ht="15" customHeight="1" s="146">
      <c r="Y1014" s="122">
        <f>MAX(0,IFERROR((LEN($T1015)-LEN(SUBSTITUTE($T1015,"Quality of Works / Criteria of Failings:","")))/LEN("Quality of Works / Criteria of Failings:"),0)-IFERROR((LEN($T1015)-LEN(SUBSTITUTE($T1015,"Quality of Works / Criteria of Failings:Compliant","")))/LEN("Quality of Works / Criteria of Failings:Compliant"),0))</f>
        <v/>
      </c>
      <c r="Z1014" s="122">
        <f>IFERROR($Y1015/MAX(1,(LEN($I1015)-LEN(SUBSTITUTE($I1015," Ltd","")))/LEN(" Ltd")),0)</f>
        <v/>
      </c>
      <c r="AA1014" s="122">
        <f>IFERROR(IFERROR((LEN($T1015)-LEN(SUBSTITUTE($T1015,"Quality of Works / Criteria of Failings:","")))/LEN("Quality of Works / Criteria of Failings:"),0)/MAX(1,(LEN($I1015)-LEN(SUBSTITUTE($I1015," Ltd","")))/LEN(" Ltd")),0)</f>
        <v/>
      </c>
      <c r="AB1014" s="122">
        <f>IFERROR(IFERROR((LEN($T1015)-LEN(SUBSTITUTE($T1015,"Quality of Works / Criteria of Failings:Compliant","")))/LEN("Quality of Works / Criteria of Failings:Compliant"),0)/MAX(1,(LEN($I1015)-LEN(SUBSTITUTE($I1015," Ltd","")))/LEN(" Ltd")),0)</f>
        <v/>
      </c>
    </row>
    <row r="1015" ht="15" customHeight="1" s="146">
      <c r="Y1015" s="122">
        <f>MAX(0,IFERROR((LEN($T1016)-LEN(SUBSTITUTE($T1016,"Quality of Works / Criteria of Failings:","")))/LEN("Quality of Works / Criteria of Failings:"),0)-IFERROR((LEN($T1016)-LEN(SUBSTITUTE($T1016,"Quality of Works / Criteria of Failings:Compliant","")))/LEN("Quality of Works / Criteria of Failings:Compliant"),0))</f>
        <v/>
      </c>
      <c r="Z1015" s="122">
        <f>IFERROR($Y1016/MAX(1,(LEN($I1016)-LEN(SUBSTITUTE($I1016," Ltd","")))/LEN(" Ltd")),0)</f>
        <v/>
      </c>
      <c r="AA1015" s="122">
        <f>IFERROR(IFERROR((LEN($T1016)-LEN(SUBSTITUTE($T1016,"Quality of Works / Criteria of Failings:","")))/LEN("Quality of Works / Criteria of Failings:"),0)/MAX(1,(LEN($I1016)-LEN(SUBSTITUTE($I1016," Ltd","")))/LEN(" Ltd")),0)</f>
        <v/>
      </c>
      <c r="AB1015" s="122">
        <f>IFERROR(IFERROR((LEN($T1016)-LEN(SUBSTITUTE($T1016,"Quality of Works / Criteria of Failings:Compliant","")))/LEN("Quality of Works / Criteria of Failings:Compliant"),0)/MAX(1,(LEN($I1016)-LEN(SUBSTITUTE($I1016," Ltd","")))/LEN(" Ltd")),0)</f>
        <v/>
      </c>
    </row>
    <row r="1016" ht="15" customHeight="1" s="146">
      <c r="Y1016" s="122">
        <f>MAX(0,IFERROR((LEN($T1017)-LEN(SUBSTITUTE($T1017,"Quality of Works / Criteria of Failings:","")))/LEN("Quality of Works / Criteria of Failings:"),0)-IFERROR((LEN($T1017)-LEN(SUBSTITUTE($T1017,"Quality of Works / Criteria of Failings:Compliant","")))/LEN("Quality of Works / Criteria of Failings:Compliant"),0))</f>
        <v/>
      </c>
      <c r="Z1016" s="122">
        <f>IFERROR($Y1017/MAX(1,(LEN($I1017)-LEN(SUBSTITUTE($I1017," Ltd","")))/LEN(" Ltd")),0)</f>
        <v/>
      </c>
      <c r="AA1016" s="122">
        <f>IFERROR(IFERROR((LEN($T1017)-LEN(SUBSTITUTE($T1017,"Quality of Works / Criteria of Failings:","")))/LEN("Quality of Works / Criteria of Failings:"),0)/MAX(1,(LEN($I1017)-LEN(SUBSTITUTE($I1017," Ltd","")))/LEN(" Ltd")),0)</f>
        <v/>
      </c>
      <c r="AB1016" s="122">
        <f>IFERROR(IFERROR((LEN($T1017)-LEN(SUBSTITUTE($T1017,"Quality of Works / Criteria of Failings:Compliant","")))/LEN("Quality of Works / Criteria of Failings:Compliant"),0)/MAX(1,(LEN($I1017)-LEN(SUBSTITUTE($I1017," Ltd","")))/LEN(" Ltd")),0)</f>
        <v/>
      </c>
    </row>
    <row r="1017" ht="15" customHeight="1" s="146">
      <c r="Y1017" s="122">
        <f>MAX(0,IFERROR((LEN($T1018)-LEN(SUBSTITUTE($T1018,"Quality of Works / Criteria of Failings:","")))/LEN("Quality of Works / Criteria of Failings:"),0)-IFERROR((LEN($T1018)-LEN(SUBSTITUTE($T1018,"Quality of Works / Criteria of Failings:Compliant","")))/LEN("Quality of Works / Criteria of Failings:Compliant"),0))</f>
        <v/>
      </c>
      <c r="Z1017" s="122">
        <f>IFERROR($Y1018/MAX(1,(LEN($I1018)-LEN(SUBSTITUTE($I1018," Ltd","")))/LEN(" Ltd")),0)</f>
        <v/>
      </c>
      <c r="AA1017" s="122">
        <f>IFERROR(IFERROR((LEN($T1018)-LEN(SUBSTITUTE($T1018,"Quality of Works / Criteria of Failings:","")))/LEN("Quality of Works / Criteria of Failings:"),0)/MAX(1,(LEN($I1018)-LEN(SUBSTITUTE($I1018," Ltd","")))/LEN(" Ltd")),0)</f>
        <v/>
      </c>
      <c r="AB1017" s="122">
        <f>IFERROR(IFERROR((LEN($T1018)-LEN(SUBSTITUTE($T1018,"Quality of Works / Criteria of Failings:Compliant","")))/LEN("Quality of Works / Criteria of Failings:Compliant"),0)/MAX(1,(LEN($I1018)-LEN(SUBSTITUTE($I1018," Ltd","")))/LEN(" Ltd")),0)</f>
        <v/>
      </c>
    </row>
    <row r="1018" ht="15" customHeight="1" s="146">
      <c r="Y1018" s="122">
        <f>MAX(0,IFERROR((LEN($T1019)-LEN(SUBSTITUTE($T1019,"Quality of Works / Criteria of Failings:","")))/LEN("Quality of Works / Criteria of Failings:"),0)-IFERROR((LEN($T1019)-LEN(SUBSTITUTE($T1019,"Quality of Works / Criteria of Failings:Compliant","")))/LEN("Quality of Works / Criteria of Failings:Compliant"),0))</f>
        <v/>
      </c>
      <c r="Z1018" s="122">
        <f>IFERROR($Y1019/MAX(1,(LEN($I1019)-LEN(SUBSTITUTE($I1019," Ltd","")))/LEN(" Ltd")),0)</f>
        <v/>
      </c>
      <c r="AA1018" s="122">
        <f>IFERROR(IFERROR((LEN($T1019)-LEN(SUBSTITUTE($T1019,"Quality of Works / Criteria of Failings:","")))/LEN("Quality of Works / Criteria of Failings:"),0)/MAX(1,(LEN($I1019)-LEN(SUBSTITUTE($I1019," Ltd","")))/LEN(" Ltd")),0)</f>
        <v/>
      </c>
      <c r="AB1018" s="122">
        <f>IFERROR(IFERROR((LEN($T1019)-LEN(SUBSTITUTE($T1019,"Quality of Works / Criteria of Failings:Compliant","")))/LEN("Quality of Works / Criteria of Failings:Compliant"),0)/MAX(1,(LEN($I1019)-LEN(SUBSTITUTE($I1019," Ltd","")))/LEN(" Ltd")),0)</f>
        <v/>
      </c>
    </row>
    <row r="1019" ht="15" customHeight="1" s="146">
      <c r="Y1019" s="122">
        <f>MAX(0,IFERROR((LEN($T1020)-LEN(SUBSTITUTE($T1020,"Quality of Works / Criteria of Failings:","")))/LEN("Quality of Works / Criteria of Failings:"),0)-IFERROR((LEN($T1020)-LEN(SUBSTITUTE($T1020,"Quality of Works / Criteria of Failings:Compliant","")))/LEN("Quality of Works / Criteria of Failings:Compliant"),0))</f>
        <v/>
      </c>
      <c r="Z1019" s="122">
        <f>IFERROR($Y1020/MAX(1,(LEN($I1020)-LEN(SUBSTITUTE($I1020," Ltd","")))/LEN(" Ltd")),0)</f>
        <v/>
      </c>
      <c r="AA1019" s="122">
        <f>IFERROR(IFERROR((LEN($T1020)-LEN(SUBSTITUTE($T1020,"Quality of Works / Criteria of Failings:","")))/LEN("Quality of Works / Criteria of Failings:"),0)/MAX(1,(LEN($I1020)-LEN(SUBSTITUTE($I1020," Ltd","")))/LEN(" Ltd")),0)</f>
        <v/>
      </c>
      <c r="AB1019" s="122">
        <f>IFERROR(IFERROR((LEN($T1020)-LEN(SUBSTITUTE($T1020,"Quality of Works / Criteria of Failings:Compliant","")))/LEN("Quality of Works / Criteria of Failings:Compliant"),0)/MAX(1,(LEN($I1020)-LEN(SUBSTITUTE($I1020," Ltd","")))/LEN(" Ltd")),0)</f>
        <v/>
      </c>
    </row>
    <row r="1020" ht="15" customHeight="1" s="146">
      <c r="Y1020" s="122">
        <f>MAX(0,IFERROR((LEN($T1021)-LEN(SUBSTITUTE($T1021,"Quality of Works / Criteria of Failings:","")))/LEN("Quality of Works / Criteria of Failings:"),0)-IFERROR((LEN($T1021)-LEN(SUBSTITUTE($T1021,"Quality of Works / Criteria of Failings:Compliant","")))/LEN("Quality of Works / Criteria of Failings:Compliant"),0))</f>
        <v/>
      </c>
      <c r="Z1020" s="122">
        <f>IFERROR($Y1021/MAX(1,(LEN($I1021)-LEN(SUBSTITUTE($I1021," Ltd","")))/LEN(" Ltd")),0)</f>
        <v/>
      </c>
      <c r="AA1020" s="122">
        <f>IFERROR(IFERROR((LEN($T1021)-LEN(SUBSTITUTE($T1021,"Quality of Works / Criteria of Failings:","")))/LEN("Quality of Works / Criteria of Failings:"),0)/MAX(1,(LEN($I1021)-LEN(SUBSTITUTE($I1021," Ltd","")))/LEN(" Ltd")),0)</f>
        <v/>
      </c>
      <c r="AB1020" s="122">
        <f>IFERROR(IFERROR((LEN($T1021)-LEN(SUBSTITUTE($T1021,"Quality of Works / Criteria of Failings:Compliant","")))/LEN("Quality of Works / Criteria of Failings:Compliant"),0)/MAX(1,(LEN($I1021)-LEN(SUBSTITUTE($I1021," Ltd","")))/LEN(" Ltd")),0)</f>
        <v/>
      </c>
    </row>
    <row r="1021" ht="15" customHeight="1" s="146">
      <c r="Y1021" s="122">
        <f>MAX(0,IFERROR((LEN($T1022)-LEN(SUBSTITUTE($T1022,"Quality of Works / Criteria of Failings:","")))/LEN("Quality of Works / Criteria of Failings:"),0)-IFERROR((LEN($T1022)-LEN(SUBSTITUTE($T1022,"Quality of Works / Criteria of Failings:Compliant","")))/LEN("Quality of Works / Criteria of Failings:Compliant"),0))</f>
        <v/>
      </c>
      <c r="Z1021" s="122">
        <f>IFERROR($Y1022/MAX(1,(LEN($I1022)-LEN(SUBSTITUTE($I1022," Ltd","")))/LEN(" Ltd")),0)</f>
        <v/>
      </c>
      <c r="AA1021" s="122">
        <f>IFERROR(IFERROR((LEN($T1022)-LEN(SUBSTITUTE($T1022,"Quality of Works / Criteria of Failings:","")))/LEN("Quality of Works / Criteria of Failings:"),0)/MAX(1,(LEN($I1022)-LEN(SUBSTITUTE($I1022," Ltd","")))/LEN(" Ltd")),0)</f>
        <v/>
      </c>
      <c r="AB1021" s="122">
        <f>IFERROR(IFERROR((LEN($T1022)-LEN(SUBSTITUTE($T1022,"Quality of Works / Criteria of Failings:Compliant","")))/LEN("Quality of Works / Criteria of Failings:Compliant"),0)/MAX(1,(LEN($I1022)-LEN(SUBSTITUTE($I1022," Ltd","")))/LEN(" Ltd")),0)</f>
        <v/>
      </c>
    </row>
    <row r="1022" ht="15" customHeight="1" s="146">
      <c r="Y1022" s="122">
        <f>MAX(0,IFERROR((LEN($T1023)-LEN(SUBSTITUTE($T1023,"Quality of Works / Criteria of Failings:","")))/LEN("Quality of Works / Criteria of Failings:"),0)-IFERROR((LEN($T1023)-LEN(SUBSTITUTE($T1023,"Quality of Works / Criteria of Failings:Compliant","")))/LEN("Quality of Works / Criteria of Failings:Compliant"),0))</f>
        <v/>
      </c>
      <c r="Z1022" s="122">
        <f>IFERROR($Y1023/MAX(1,(LEN($I1023)-LEN(SUBSTITUTE($I1023," Ltd","")))/LEN(" Ltd")),0)</f>
        <v/>
      </c>
      <c r="AA1022" s="122">
        <f>IFERROR(IFERROR((LEN($T1023)-LEN(SUBSTITUTE($T1023,"Quality of Works / Criteria of Failings:","")))/LEN("Quality of Works / Criteria of Failings:"),0)/MAX(1,(LEN($I1023)-LEN(SUBSTITUTE($I1023," Ltd","")))/LEN(" Ltd")),0)</f>
        <v/>
      </c>
      <c r="AB1022" s="122">
        <f>IFERROR(IFERROR((LEN($T1023)-LEN(SUBSTITUTE($T1023,"Quality of Works / Criteria of Failings:Compliant","")))/LEN("Quality of Works / Criteria of Failings:Compliant"),0)/MAX(1,(LEN($I1023)-LEN(SUBSTITUTE($I1023," Ltd","")))/LEN(" Ltd")),0)</f>
        <v/>
      </c>
    </row>
    <row r="1023" ht="15" customHeight="1" s="146">
      <c r="Y1023" s="122">
        <f>MAX(0,IFERROR((LEN($T1024)-LEN(SUBSTITUTE($T1024,"Quality of Works / Criteria of Failings:","")))/LEN("Quality of Works / Criteria of Failings:"),0)-IFERROR((LEN($T1024)-LEN(SUBSTITUTE($T1024,"Quality of Works / Criteria of Failings:Compliant","")))/LEN("Quality of Works / Criteria of Failings:Compliant"),0))</f>
        <v/>
      </c>
      <c r="Z1023" s="122">
        <f>IFERROR($Y1024/MAX(1,(LEN($I1024)-LEN(SUBSTITUTE($I1024," Ltd","")))/LEN(" Ltd")),0)</f>
        <v/>
      </c>
      <c r="AA1023" s="122">
        <f>IFERROR(IFERROR((LEN($T1024)-LEN(SUBSTITUTE($T1024,"Quality of Works / Criteria of Failings:","")))/LEN("Quality of Works / Criteria of Failings:"),0)/MAX(1,(LEN($I1024)-LEN(SUBSTITUTE($I1024," Ltd","")))/LEN(" Ltd")),0)</f>
        <v/>
      </c>
      <c r="AB1023" s="122">
        <f>IFERROR(IFERROR((LEN($T1024)-LEN(SUBSTITUTE($T1024,"Quality of Works / Criteria of Failings:Compliant","")))/LEN("Quality of Works / Criteria of Failings:Compliant"),0)/MAX(1,(LEN($I1024)-LEN(SUBSTITUTE($I1024," Ltd","")))/LEN(" Ltd")),0)</f>
        <v/>
      </c>
    </row>
    <row r="1024" ht="15" customHeight="1" s="146">
      <c r="Y1024" s="122">
        <f>MAX(0,IFERROR((LEN($T1025)-LEN(SUBSTITUTE($T1025,"Quality of Works / Criteria of Failings:","")))/LEN("Quality of Works / Criteria of Failings:"),0)-IFERROR((LEN($T1025)-LEN(SUBSTITUTE($T1025,"Quality of Works / Criteria of Failings:Compliant","")))/LEN("Quality of Works / Criteria of Failings:Compliant"),0))</f>
        <v/>
      </c>
      <c r="Z1024" s="122">
        <f>IFERROR($Y1025/MAX(1,(LEN($I1025)-LEN(SUBSTITUTE($I1025," Ltd","")))/LEN(" Ltd")),0)</f>
        <v/>
      </c>
      <c r="AA1024" s="122">
        <f>IFERROR(IFERROR((LEN($T1025)-LEN(SUBSTITUTE($T1025,"Quality of Works / Criteria of Failings:","")))/LEN("Quality of Works / Criteria of Failings:"),0)/MAX(1,(LEN($I1025)-LEN(SUBSTITUTE($I1025," Ltd","")))/LEN(" Ltd")),0)</f>
        <v/>
      </c>
      <c r="AB1024" s="122">
        <f>IFERROR(IFERROR((LEN($T1025)-LEN(SUBSTITUTE($T1025,"Quality of Works / Criteria of Failings:Compliant","")))/LEN("Quality of Works / Criteria of Failings:Compliant"),0)/MAX(1,(LEN($I1025)-LEN(SUBSTITUTE($I1025," Ltd","")))/LEN(" Ltd")),0)</f>
        <v/>
      </c>
    </row>
    <row r="1025" ht="15" customHeight="1" s="146">
      <c r="Y1025" s="122">
        <f>MAX(0,IFERROR((LEN($T1026)-LEN(SUBSTITUTE($T1026,"Quality of Works / Criteria of Failings:","")))/LEN("Quality of Works / Criteria of Failings:"),0)-IFERROR((LEN($T1026)-LEN(SUBSTITUTE($T1026,"Quality of Works / Criteria of Failings:Compliant","")))/LEN("Quality of Works / Criteria of Failings:Compliant"),0))</f>
        <v/>
      </c>
      <c r="Z1025" s="122">
        <f>IFERROR($Y1026/MAX(1,(LEN($I1026)-LEN(SUBSTITUTE($I1026," Ltd","")))/LEN(" Ltd")),0)</f>
        <v/>
      </c>
      <c r="AA1025" s="122">
        <f>IFERROR(IFERROR((LEN($T1026)-LEN(SUBSTITUTE($T1026,"Quality of Works / Criteria of Failings:","")))/LEN("Quality of Works / Criteria of Failings:"),0)/MAX(1,(LEN($I1026)-LEN(SUBSTITUTE($I1026," Ltd","")))/LEN(" Ltd")),0)</f>
        <v/>
      </c>
      <c r="AB1025" s="122">
        <f>IFERROR(IFERROR((LEN($T1026)-LEN(SUBSTITUTE($T1026,"Quality of Works / Criteria of Failings:Compliant","")))/LEN("Quality of Works / Criteria of Failings:Compliant"),0)/MAX(1,(LEN($I1026)-LEN(SUBSTITUTE($I1026," Ltd","")))/LEN(" Ltd")),0)</f>
        <v/>
      </c>
    </row>
    <row r="1026" ht="15" customHeight="1" s="146">
      <c r="Y1026" s="122">
        <f>MAX(0,IFERROR((LEN($T1027)-LEN(SUBSTITUTE($T1027,"Quality of Works / Criteria of Failings:","")))/LEN("Quality of Works / Criteria of Failings:"),0)-IFERROR((LEN($T1027)-LEN(SUBSTITUTE($T1027,"Quality of Works / Criteria of Failings:Compliant","")))/LEN("Quality of Works / Criteria of Failings:Compliant"),0))</f>
        <v/>
      </c>
      <c r="Z1026" s="122">
        <f>IFERROR($Y1027/MAX(1,(LEN($I1027)-LEN(SUBSTITUTE($I1027," Ltd","")))/LEN(" Ltd")),0)</f>
        <v/>
      </c>
      <c r="AA1026" s="122">
        <f>IFERROR(IFERROR((LEN($T1027)-LEN(SUBSTITUTE($T1027,"Quality of Works / Criteria of Failings:","")))/LEN("Quality of Works / Criteria of Failings:"),0)/MAX(1,(LEN($I1027)-LEN(SUBSTITUTE($I1027," Ltd","")))/LEN(" Ltd")),0)</f>
        <v/>
      </c>
      <c r="AB1026" s="122">
        <f>IFERROR(IFERROR((LEN($T1027)-LEN(SUBSTITUTE($T1027,"Quality of Works / Criteria of Failings:Compliant","")))/LEN("Quality of Works / Criteria of Failings:Compliant"),0)/MAX(1,(LEN($I1027)-LEN(SUBSTITUTE($I1027," Ltd","")))/LEN(" Ltd")),0)</f>
        <v/>
      </c>
    </row>
    <row r="1027" ht="15" customHeight="1" s="146">
      <c r="Y1027" s="122">
        <f>MAX(0,IFERROR((LEN($T1028)-LEN(SUBSTITUTE($T1028,"Quality of Works / Criteria of Failings:","")))/LEN("Quality of Works / Criteria of Failings:"),0)-IFERROR((LEN($T1028)-LEN(SUBSTITUTE($T1028,"Quality of Works / Criteria of Failings:Compliant","")))/LEN("Quality of Works / Criteria of Failings:Compliant"),0))</f>
        <v/>
      </c>
      <c r="Z1027" s="122">
        <f>IFERROR($Y1028/MAX(1,(LEN($I1028)-LEN(SUBSTITUTE($I1028," Ltd","")))/LEN(" Ltd")),0)</f>
        <v/>
      </c>
      <c r="AA1027" s="122">
        <f>IFERROR(IFERROR((LEN($T1028)-LEN(SUBSTITUTE($T1028,"Quality of Works / Criteria of Failings:","")))/LEN("Quality of Works / Criteria of Failings:"),0)/MAX(1,(LEN($I1028)-LEN(SUBSTITUTE($I1028," Ltd","")))/LEN(" Ltd")),0)</f>
        <v/>
      </c>
      <c r="AB1027" s="122">
        <f>IFERROR(IFERROR((LEN($T1028)-LEN(SUBSTITUTE($T1028,"Quality of Works / Criteria of Failings:Compliant","")))/LEN("Quality of Works / Criteria of Failings:Compliant"),0)/MAX(1,(LEN($I1028)-LEN(SUBSTITUTE($I1028," Ltd","")))/LEN(" Ltd")),0)</f>
        <v/>
      </c>
    </row>
    <row r="1028" ht="15" customHeight="1" s="146">
      <c r="Y1028" s="122">
        <f>MAX(0,IFERROR((LEN($T1029)-LEN(SUBSTITUTE($T1029,"Quality of Works / Criteria of Failings:","")))/LEN("Quality of Works / Criteria of Failings:"),0)-IFERROR((LEN($T1029)-LEN(SUBSTITUTE($T1029,"Quality of Works / Criteria of Failings:Compliant","")))/LEN("Quality of Works / Criteria of Failings:Compliant"),0))</f>
        <v/>
      </c>
      <c r="Z1028" s="122">
        <f>IFERROR($Y1029/MAX(1,(LEN($I1029)-LEN(SUBSTITUTE($I1029," Ltd","")))/LEN(" Ltd")),0)</f>
        <v/>
      </c>
      <c r="AA1028" s="122">
        <f>IFERROR(IFERROR((LEN($T1029)-LEN(SUBSTITUTE($T1029,"Quality of Works / Criteria of Failings:","")))/LEN("Quality of Works / Criteria of Failings:"),0)/MAX(1,(LEN($I1029)-LEN(SUBSTITUTE($I1029," Ltd","")))/LEN(" Ltd")),0)</f>
        <v/>
      </c>
      <c r="AB1028" s="122">
        <f>IFERROR(IFERROR((LEN($T1029)-LEN(SUBSTITUTE($T1029,"Quality of Works / Criteria of Failings:Compliant","")))/LEN("Quality of Works / Criteria of Failings:Compliant"),0)/MAX(1,(LEN($I1029)-LEN(SUBSTITUTE($I1029," Ltd","")))/LEN(" Ltd")),0)</f>
        <v/>
      </c>
    </row>
    <row r="1029" ht="15" customHeight="1" s="146">
      <c r="Y1029" s="122">
        <f>MAX(0,IFERROR((LEN($T1030)-LEN(SUBSTITUTE($T1030,"Quality of Works / Criteria of Failings:","")))/LEN("Quality of Works / Criteria of Failings:"),0)-IFERROR((LEN($T1030)-LEN(SUBSTITUTE($T1030,"Quality of Works / Criteria of Failings:Compliant","")))/LEN("Quality of Works / Criteria of Failings:Compliant"),0))</f>
        <v/>
      </c>
      <c r="Z1029" s="122">
        <f>IFERROR($Y1030/MAX(1,(LEN($I1030)-LEN(SUBSTITUTE($I1030," Ltd","")))/LEN(" Ltd")),0)</f>
        <v/>
      </c>
      <c r="AA1029" s="122">
        <f>IFERROR(IFERROR((LEN($T1030)-LEN(SUBSTITUTE($T1030,"Quality of Works / Criteria of Failings:","")))/LEN("Quality of Works / Criteria of Failings:"),0)/MAX(1,(LEN($I1030)-LEN(SUBSTITUTE($I1030," Ltd","")))/LEN(" Ltd")),0)</f>
        <v/>
      </c>
      <c r="AB1029" s="122">
        <f>IFERROR(IFERROR((LEN($T1030)-LEN(SUBSTITUTE($T1030,"Quality of Works / Criteria of Failings:Compliant","")))/LEN("Quality of Works / Criteria of Failings:Compliant"),0)/MAX(1,(LEN($I1030)-LEN(SUBSTITUTE($I1030," Ltd","")))/LEN(" Ltd")),0)</f>
        <v/>
      </c>
    </row>
    <row r="1030" ht="15" customHeight="1" s="146">
      <c r="Y1030" s="122">
        <f>MAX(0,IFERROR((LEN($T1031)-LEN(SUBSTITUTE($T1031,"Quality of Works / Criteria of Failings:","")))/LEN("Quality of Works / Criteria of Failings:"),0)-IFERROR((LEN($T1031)-LEN(SUBSTITUTE($T1031,"Quality of Works / Criteria of Failings:Compliant","")))/LEN("Quality of Works / Criteria of Failings:Compliant"),0))</f>
        <v/>
      </c>
      <c r="Z1030" s="122">
        <f>IFERROR($Y1031/MAX(1,(LEN($I1031)-LEN(SUBSTITUTE($I1031," Ltd","")))/LEN(" Ltd")),0)</f>
        <v/>
      </c>
      <c r="AA1030" s="122">
        <f>IFERROR(IFERROR((LEN($T1031)-LEN(SUBSTITUTE($T1031,"Quality of Works / Criteria of Failings:","")))/LEN("Quality of Works / Criteria of Failings:"),0)/MAX(1,(LEN($I1031)-LEN(SUBSTITUTE($I1031," Ltd","")))/LEN(" Ltd")),0)</f>
        <v/>
      </c>
      <c r="AB1030" s="122">
        <f>IFERROR(IFERROR((LEN($T1031)-LEN(SUBSTITUTE($T1031,"Quality of Works / Criteria of Failings:Compliant","")))/LEN("Quality of Works / Criteria of Failings:Compliant"),0)/MAX(1,(LEN($I1031)-LEN(SUBSTITUTE($I1031," Ltd","")))/LEN(" Ltd")),0)</f>
        <v/>
      </c>
    </row>
    <row r="1031" ht="15" customHeight="1" s="146">
      <c r="Y1031" s="122">
        <f>MAX(0,IFERROR((LEN($T1032)-LEN(SUBSTITUTE($T1032,"Quality of Works / Criteria of Failings:","")))/LEN("Quality of Works / Criteria of Failings:"),0)-IFERROR((LEN($T1032)-LEN(SUBSTITUTE($T1032,"Quality of Works / Criteria of Failings:Compliant","")))/LEN("Quality of Works / Criteria of Failings:Compliant"),0))</f>
        <v/>
      </c>
      <c r="Z1031" s="122">
        <f>IFERROR($Y1032/MAX(1,(LEN($I1032)-LEN(SUBSTITUTE($I1032," Ltd","")))/LEN(" Ltd")),0)</f>
        <v/>
      </c>
      <c r="AA1031" s="122">
        <f>IFERROR(IFERROR((LEN($T1032)-LEN(SUBSTITUTE($T1032,"Quality of Works / Criteria of Failings:","")))/LEN("Quality of Works / Criteria of Failings:"),0)/MAX(1,(LEN($I1032)-LEN(SUBSTITUTE($I1032," Ltd","")))/LEN(" Ltd")),0)</f>
        <v/>
      </c>
      <c r="AB1031" s="122">
        <f>IFERROR(IFERROR((LEN($T1032)-LEN(SUBSTITUTE($T1032,"Quality of Works / Criteria of Failings:Compliant","")))/LEN("Quality of Works / Criteria of Failings:Compliant"),0)/MAX(1,(LEN($I1032)-LEN(SUBSTITUTE($I1032," Ltd","")))/LEN(" Ltd")),0)</f>
        <v/>
      </c>
    </row>
    <row r="1032" ht="15" customHeight="1" s="146">
      <c r="Y1032" s="122">
        <f>MAX(0,IFERROR((LEN($T1033)-LEN(SUBSTITUTE($T1033,"Quality of Works / Criteria of Failings:","")))/LEN("Quality of Works / Criteria of Failings:"),0)-IFERROR((LEN($T1033)-LEN(SUBSTITUTE($T1033,"Quality of Works / Criteria of Failings:Compliant","")))/LEN("Quality of Works / Criteria of Failings:Compliant"),0))</f>
        <v/>
      </c>
      <c r="Z1032" s="122">
        <f>IFERROR($Y1033/MAX(1,(LEN($I1033)-LEN(SUBSTITUTE($I1033," Ltd","")))/LEN(" Ltd")),0)</f>
        <v/>
      </c>
      <c r="AA1032" s="122">
        <f>IFERROR(IFERROR((LEN($T1033)-LEN(SUBSTITUTE($T1033,"Quality of Works / Criteria of Failings:","")))/LEN("Quality of Works / Criteria of Failings:"),0)/MAX(1,(LEN($I1033)-LEN(SUBSTITUTE($I1033," Ltd","")))/LEN(" Ltd")),0)</f>
        <v/>
      </c>
      <c r="AB1032" s="122">
        <f>IFERROR(IFERROR((LEN($T1033)-LEN(SUBSTITUTE($T1033,"Quality of Works / Criteria of Failings:Compliant","")))/LEN("Quality of Works / Criteria of Failings:Compliant"),0)/MAX(1,(LEN($I1033)-LEN(SUBSTITUTE($I1033," Ltd","")))/LEN(" Ltd")),0)</f>
        <v/>
      </c>
    </row>
    <row r="1033" ht="15" customHeight="1" s="146">
      <c r="Y1033" s="122">
        <f>MAX(0,IFERROR((LEN($T1034)-LEN(SUBSTITUTE($T1034,"Quality of Works / Criteria of Failings:","")))/LEN("Quality of Works / Criteria of Failings:"),0)-IFERROR((LEN($T1034)-LEN(SUBSTITUTE($T1034,"Quality of Works / Criteria of Failings:Compliant","")))/LEN("Quality of Works / Criteria of Failings:Compliant"),0))</f>
        <v/>
      </c>
      <c r="Z1033" s="122">
        <f>IFERROR($Y1034/MAX(1,(LEN($I1034)-LEN(SUBSTITUTE($I1034," Ltd","")))/LEN(" Ltd")),0)</f>
        <v/>
      </c>
      <c r="AA1033" s="122">
        <f>IFERROR(IFERROR((LEN($T1034)-LEN(SUBSTITUTE($T1034,"Quality of Works / Criteria of Failings:","")))/LEN("Quality of Works / Criteria of Failings:"),0)/MAX(1,(LEN($I1034)-LEN(SUBSTITUTE($I1034," Ltd","")))/LEN(" Ltd")),0)</f>
        <v/>
      </c>
      <c r="AB1033" s="122">
        <f>IFERROR(IFERROR((LEN($T1034)-LEN(SUBSTITUTE($T1034,"Quality of Works / Criteria of Failings:Compliant","")))/LEN("Quality of Works / Criteria of Failings:Compliant"),0)/MAX(1,(LEN($I1034)-LEN(SUBSTITUTE($I1034," Ltd","")))/LEN(" Ltd")),0)</f>
        <v/>
      </c>
    </row>
    <row r="1034" ht="15" customHeight="1" s="146">
      <c r="Y1034" s="122">
        <f>MAX(0,IFERROR((LEN($T1035)-LEN(SUBSTITUTE($T1035,"Quality of Works / Criteria of Failings:","")))/LEN("Quality of Works / Criteria of Failings:"),0)-IFERROR((LEN($T1035)-LEN(SUBSTITUTE($T1035,"Quality of Works / Criteria of Failings:Compliant","")))/LEN("Quality of Works / Criteria of Failings:Compliant"),0))</f>
        <v/>
      </c>
      <c r="Z1034" s="122">
        <f>IFERROR($Y1035/MAX(1,(LEN($I1035)-LEN(SUBSTITUTE($I1035," Ltd","")))/LEN(" Ltd")),0)</f>
        <v/>
      </c>
      <c r="AA1034" s="122">
        <f>IFERROR(IFERROR((LEN($T1035)-LEN(SUBSTITUTE($T1035,"Quality of Works / Criteria of Failings:","")))/LEN("Quality of Works / Criteria of Failings:"),0)/MAX(1,(LEN($I1035)-LEN(SUBSTITUTE($I1035," Ltd","")))/LEN(" Ltd")),0)</f>
        <v/>
      </c>
      <c r="AB1034" s="122">
        <f>IFERROR(IFERROR((LEN($T1035)-LEN(SUBSTITUTE($T1035,"Quality of Works / Criteria of Failings:Compliant","")))/LEN("Quality of Works / Criteria of Failings:Compliant"),0)/MAX(1,(LEN($I1035)-LEN(SUBSTITUTE($I1035," Ltd","")))/LEN(" Ltd")),0)</f>
        <v/>
      </c>
    </row>
    <row r="1035" ht="15" customHeight="1" s="146">
      <c r="Y1035" s="122">
        <f>MAX(0,IFERROR((LEN($T1036)-LEN(SUBSTITUTE($T1036,"Quality of Works / Criteria of Failings:","")))/LEN("Quality of Works / Criteria of Failings:"),0)-IFERROR((LEN($T1036)-LEN(SUBSTITUTE($T1036,"Quality of Works / Criteria of Failings:Compliant","")))/LEN("Quality of Works / Criteria of Failings:Compliant"),0))</f>
        <v/>
      </c>
      <c r="Z1035" s="122">
        <f>IFERROR($Y1036/MAX(1,(LEN($I1036)-LEN(SUBSTITUTE($I1036," Ltd","")))/LEN(" Ltd")),0)</f>
        <v/>
      </c>
      <c r="AA1035" s="122">
        <f>IFERROR(IFERROR((LEN($T1036)-LEN(SUBSTITUTE($T1036,"Quality of Works / Criteria of Failings:","")))/LEN("Quality of Works / Criteria of Failings:"),0)/MAX(1,(LEN($I1036)-LEN(SUBSTITUTE($I1036," Ltd","")))/LEN(" Ltd")),0)</f>
        <v/>
      </c>
      <c r="AB1035" s="122">
        <f>IFERROR(IFERROR((LEN($T1036)-LEN(SUBSTITUTE($T1036,"Quality of Works / Criteria of Failings:Compliant","")))/LEN("Quality of Works / Criteria of Failings:Compliant"),0)/MAX(1,(LEN($I1036)-LEN(SUBSTITUTE($I1036," Ltd","")))/LEN(" Ltd")),0)</f>
        <v/>
      </c>
    </row>
    <row r="1036" ht="15" customHeight="1" s="146">
      <c r="Y1036" s="122">
        <f>MAX(0,IFERROR((LEN($T1037)-LEN(SUBSTITUTE($T1037,"Quality of Works / Criteria of Failings:","")))/LEN("Quality of Works / Criteria of Failings:"),0)-IFERROR((LEN($T1037)-LEN(SUBSTITUTE($T1037,"Quality of Works / Criteria of Failings:Compliant","")))/LEN("Quality of Works / Criteria of Failings:Compliant"),0))</f>
        <v/>
      </c>
      <c r="Z1036" s="122">
        <f>IFERROR($Y1037/MAX(1,(LEN($I1037)-LEN(SUBSTITUTE($I1037," Ltd","")))/LEN(" Ltd")),0)</f>
        <v/>
      </c>
      <c r="AA1036" s="122">
        <f>IFERROR(IFERROR((LEN($T1037)-LEN(SUBSTITUTE($T1037,"Quality of Works / Criteria of Failings:","")))/LEN("Quality of Works / Criteria of Failings:"),0)/MAX(1,(LEN($I1037)-LEN(SUBSTITUTE($I1037," Ltd","")))/LEN(" Ltd")),0)</f>
        <v/>
      </c>
      <c r="AB1036" s="122">
        <f>IFERROR(IFERROR((LEN($T1037)-LEN(SUBSTITUTE($T1037,"Quality of Works / Criteria of Failings:Compliant","")))/LEN("Quality of Works / Criteria of Failings:Compliant"),0)/MAX(1,(LEN($I1037)-LEN(SUBSTITUTE($I1037," Ltd","")))/LEN(" Ltd")),0)</f>
        <v/>
      </c>
    </row>
    <row r="1037" ht="15" customHeight="1" s="146">
      <c r="Y1037" s="122">
        <f>MAX(0,IFERROR((LEN($T1038)-LEN(SUBSTITUTE($T1038,"Quality of Works / Criteria of Failings:","")))/LEN("Quality of Works / Criteria of Failings:"),0)-IFERROR((LEN($T1038)-LEN(SUBSTITUTE($T1038,"Quality of Works / Criteria of Failings:Compliant","")))/LEN("Quality of Works / Criteria of Failings:Compliant"),0))</f>
        <v/>
      </c>
      <c r="Z1037" s="122">
        <f>IFERROR($Y1038/MAX(1,(LEN($I1038)-LEN(SUBSTITUTE($I1038," Ltd","")))/LEN(" Ltd")),0)</f>
        <v/>
      </c>
      <c r="AA1037" s="122">
        <f>IFERROR(IFERROR((LEN($T1038)-LEN(SUBSTITUTE($T1038,"Quality of Works / Criteria of Failings:","")))/LEN("Quality of Works / Criteria of Failings:"),0)/MAX(1,(LEN($I1038)-LEN(SUBSTITUTE($I1038," Ltd","")))/LEN(" Ltd")),0)</f>
        <v/>
      </c>
      <c r="AB1037" s="122">
        <f>IFERROR(IFERROR((LEN($T1038)-LEN(SUBSTITUTE($T1038,"Quality of Works / Criteria of Failings:Compliant","")))/LEN("Quality of Works / Criteria of Failings:Compliant"),0)/MAX(1,(LEN($I1038)-LEN(SUBSTITUTE($I1038," Ltd","")))/LEN(" Ltd")),0)</f>
        <v/>
      </c>
    </row>
    <row r="1038" ht="15" customHeight="1" s="146">
      <c r="Y1038" s="122">
        <f>MAX(0,IFERROR((LEN($T1039)-LEN(SUBSTITUTE($T1039,"Quality of Works / Criteria of Failings:","")))/LEN("Quality of Works / Criteria of Failings:"),0)-IFERROR((LEN($T1039)-LEN(SUBSTITUTE($T1039,"Quality of Works / Criteria of Failings:Compliant","")))/LEN("Quality of Works / Criteria of Failings:Compliant"),0))</f>
        <v/>
      </c>
      <c r="Z1038" s="122">
        <f>IFERROR($Y1039/MAX(1,(LEN($I1039)-LEN(SUBSTITUTE($I1039," Ltd","")))/LEN(" Ltd")),0)</f>
        <v/>
      </c>
      <c r="AA1038" s="122">
        <f>IFERROR(IFERROR((LEN($T1039)-LEN(SUBSTITUTE($T1039,"Quality of Works / Criteria of Failings:","")))/LEN("Quality of Works / Criteria of Failings:"),0)/MAX(1,(LEN($I1039)-LEN(SUBSTITUTE($I1039," Ltd","")))/LEN(" Ltd")),0)</f>
        <v/>
      </c>
      <c r="AB1038" s="122">
        <f>IFERROR(IFERROR((LEN($T1039)-LEN(SUBSTITUTE($T1039,"Quality of Works / Criteria of Failings:Compliant","")))/LEN("Quality of Works / Criteria of Failings:Compliant"),0)/MAX(1,(LEN($I1039)-LEN(SUBSTITUTE($I1039," Ltd","")))/LEN(" Ltd")),0)</f>
        <v/>
      </c>
    </row>
    <row r="1039" ht="15" customHeight="1" s="146">
      <c r="Y1039" s="122">
        <f>MAX(0,IFERROR((LEN($T1040)-LEN(SUBSTITUTE($T1040,"Quality of Works / Criteria of Failings:","")))/LEN("Quality of Works / Criteria of Failings:"),0)-IFERROR((LEN($T1040)-LEN(SUBSTITUTE($T1040,"Quality of Works / Criteria of Failings:Compliant","")))/LEN("Quality of Works / Criteria of Failings:Compliant"),0))</f>
        <v/>
      </c>
      <c r="Z1039" s="122">
        <f>IFERROR($Y1040/MAX(1,(LEN($I1040)-LEN(SUBSTITUTE($I1040," Ltd","")))/LEN(" Ltd")),0)</f>
        <v/>
      </c>
      <c r="AA1039" s="122">
        <f>IFERROR(IFERROR((LEN($T1040)-LEN(SUBSTITUTE($T1040,"Quality of Works / Criteria of Failings:","")))/LEN("Quality of Works / Criteria of Failings:"),0)/MAX(1,(LEN($I1040)-LEN(SUBSTITUTE($I1040," Ltd","")))/LEN(" Ltd")),0)</f>
        <v/>
      </c>
      <c r="AB1039" s="122">
        <f>IFERROR(IFERROR((LEN($T1040)-LEN(SUBSTITUTE($T1040,"Quality of Works / Criteria of Failings:Compliant","")))/LEN("Quality of Works / Criteria of Failings:Compliant"),0)/MAX(1,(LEN($I1040)-LEN(SUBSTITUTE($I1040," Ltd","")))/LEN(" Ltd")),0)</f>
        <v/>
      </c>
    </row>
    <row r="1040" ht="15" customHeight="1" s="146">
      <c r="Y1040" s="122">
        <f>MAX(0,IFERROR((LEN($T1041)-LEN(SUBSTITUTE($T1041,"Quality of Works / Criteria of Failings:","")))/LEN("Quality of Works / Criteria of Failings:"),0)-IFERROR((LEN($T1041)-LEN(SUBSTITUTE($T1041,"Quality of Works / Criteria of Failings:Compliant","")))/LEN("Quality of Works / Criteria of Failings:Compliant"),0))</f>
        <v/>
      </c>
      <c r="Z1040" s="122">
        <f>IFERROR($Y1041/MAX(1,(LEN($I1041)-LEN(SUBSTITUTE($I1041," Ltd","")))/LEN(" Ltd")),0)</f>
        <v/>
      </c>
      <c r="AA1040" s="122">
        <f>IFERROR(IFERROR((LEN($T1041)-LEN(SUBSTITUTE($T1041,"Quality of Works / Criteria of Failings:","")))/LEN("Quality of Works / Criteria of Failings:"),0)/MAX(1,(LEN($I1041)-LEN(SUBSTITUTE($I1041," Ltd","")))/LEN(" Ltd")),0)</f>
        <v/>
      </c>
      <c r="AB1040" s="122">
        <f>IFERROR(IFERROR((LEN($T1041)-LEN(SUBSTITUTE($T1041,"Quality of Works / Criteria of Failings:Compliant","")))/LEN("Quality of Works / Criteria of Failings:Compliant"),0)/MAX(1,(LEN($I1041)-LEN(SUBSTITUTE($I1041," Ltd","")))/LEN(" Ltd")),0)</f>
        <v/>
      </c>
    </row>
    <row r="1041" ht="15" customHeight="1" s="146">
      <c r="Y1041" s="122">
        <f>MAX(0,IFERROR((LEN($T1042)-LEN(SUBSTITUTE($T1042,"Quality of Works / Criteria of Failings:","")))/LEN("Quality of Works / Criteria of Failings:"),0)-IFERROR((LEN($T1042)-LEN(SUBSTITUTE($T1042,"Quality of Works / Criteria of Failings:Compliant","")))/LEN("Quality of Works / Criteria of Failings:Compliant"),0))</f>
        <v/>
      </c>
      <c r="Z1041" s="122">
        <f>IFERROR($Y1042/MAX(1,(LEN($I1042)-LEN(SUBSTITUTE($I1042," Ltd","")))/LEN(" Ltd")),0)</f>
        <v/>
      </c>
      <c r="AA1041" s="122">
        <f>IFERROR(IFERROR((LEN($T1042)-LEN(SUBSTITUTE($T1042,"Quality of Works / Criteria of Failings:","")))/LEN("Quality of Works / Criteria of Failings:"),0)/MAX(1,(LEN($I1042)-LEN(SUBSTITUTE($I1042," Ltd","")))/LEN(" Ltd")),0)</f>
        <v/>
      </c>
      <c r="AB1041" s="122">
        <f>IFERROR(IFERROR((LEN($T1042)-LEN(SUBSTITUTE($T1042,"Quality of Works / Criteria of Failings:Compliant","")))/LEN("Quality of Works / Criteria of Failings:Compliant"),0)/MAX(1,(LEN($I1042)-LEN(SUBSTITUTE($I1042," Ltd","")))/LEN(" Ltd")),0)</f>
        <v/>
      </c>
    </row>
    <row r="1042" ht="15" customHeight="1" s="146">
      <c r="Y1042" s="122">
        <f>MAX(0,IFERROR((LEN($T1043)-LEN(SUBSTITUTE($T1043,"Quality of Works / Criteria of Failings:","")))/LEN("Quality of Works / Criteria of Failings:"),0)-IFERROR((LEN($T1043)-LEN(SUBSTITUTE($T1043,"Quality of Works / Criteria of Failings:Compliant","")))/LEN("Quality of Works / Criteria of Failings:Compliant"),0))</f>
        <v/>
      </c>
      <c r="Z1042" s="122">
        <f>IFERROR($Y1043/MAX(1,(LEN($I1043)-LEN(SUBSTITUTE($I1043," Ltd","")))/LEN(" Ltd")),0)</f>
        <v/>
      </c>
      <c r="AA1042" s="122">
        <f>IFERROR(IFERROR((LEN($T1043)-LEN(SUBSTITUTE($T1043,"Quality of Works / Criteria of Failings:","")))/LEN("Quality of Works / Criteria of Failings:"),0)/MAX(1,(LEN($I1043)-LEN(SUBSTITUTE($I1043," Ltd","")))/LEN(" Ltd")),0)</f>
        <v/>
      </c>
      <c r="AB1042" s="122">
        <f>IFERROR(IFERROR((LEN($T1043)-LEN(SUBSTITUTE($T1043,"Quality of Works / Criteria of Failings:Compliant","")))/LEN("Quality of Works / Criteria of Failings:Compliant"),0)/MAX(1,(LEN($I1043)-LEN(SUBSTITUTE($I1043," Ltd","")))/LEN(" Ltd")),0)</f>
        <v/>
      </c>
    </row>
    <row r="1043" ht="15" customHeight="1" s="146">
      <c r="Y1043" s="122">
        <f>MAX(0,IFERROR((LEN($T1044)-LEN(SUBSTITUTE($T1044,"Quality of Works / Criteria of Failings:","")))/LEN("Quality of Works / Criteria of Failings:"),0)-IFERROR((LEN($T1044)-LEN(SUBSTITUTE($T1044,"Quality of Works / Criteria of Failings:Compliant","")))/LEN("Quality of Works / Criteria of Failings:Compliant"),0))</f>
        <v/>
      </c>
      <c r="Z1043" s="122">
        <f>IFERROR($Y1044/MAX(1,(LEN($I1044)-LEN(SUBSTITUTE($I1044," Ltd","")))/LEN(" Ltd")),0)</f>
        <v/>
      </c>
      <c r="AA1043" s="122">
        <f>IFERROR(IFERROR((LEN($T1044)-LEN(SUBSTITUTE($T1044,"Quality of Works / Criteria of Failings:","")))/LEN("Quality of Works / Criteria of Failings:"),0)/MAX(1,(LEN($I1044)-LEN(SUBSTITUTE($I1044," Ltd","")))/LEN(" Ltd")),0)</f>
        <v/>
      </c>
      <c r="AB1043" s="122">
        <f>IFERROR(IFERROR((LEN($T1044)-LEN(SUBSTITUTE($T1044,"Quality of Works / Criteria of Failings:Compliant","")))/LEN("Quality of Works / Criteria of Failings:Compliant"),0)/MAX(1,(LEN($I1044)-LEN(SUBSTITUTE($I1044," Ltd","")))/LEN(" Ltd")),0)</f>
        <v/>
      </c>
    </row>
    <row r="1044" ht="15" customHeight="1" s="146">
      <c r="Y1044" s="122">
        <f>MAX(0,IFERROR((LEN($T1045)-LEN(SUBSTITUTE($T1045,"Quality of Works / Criteria of Failings:","")))/LEN("Quality of Works / Criteria of Failings:"),0)-IFERROR((LEN($T1045)-LEN(SUBSTITUTE($T1045,"Quality of Works / Criteria of Failings:Compliant","")))/LEN("Quality of Works / Criteria of Failings:Compliant"),0))</f>
        <v/>
      </c>
      <c r="Z1044" s="122">
        <f>IFERROR($Y1045/MAX(1,(LEN($I1045)-LEN(SUBSTITUTE($I1045," Ltd","")))/LEN(" Ltd")),0)</f>
        <v/>
      </c>
      <c r="AA1044" s="122">
        <f>IFERROR(IFERROR((LEN($T1045)-LEN(SUBSTITUTE($T1045,"Quality of Works / Criteria of Failings:","")))/LEN("Quality of Works / Criteria of Failings:"),0)/MAX(1,(LEN($I1045)-LEN(SUBSTITUTE($I1045," Ltd","")))/LEN(" Ltd")),0)</f>
        <v/>
      </c>
      <c r="AB1044" s="122">
        <f>IFERROR(IFERROR((LEN($T1045)-LEN(SUBSTITUTE($T1045,"Quality of Works / Criteria of Failings:Compliant","")))/LEN("Quality of Works / Criteria of Failings:Compliant"),0)/MAX(1,(LEN($I1045)-LEN(SUBSTITUTE($I1045," Ltd","")))/LEN(" Ltd")),0)</f>
        <v/>
      </c>
    </row>
    <row r="1045" ht="15" customHeight="1" s="146">
      <c r="Y1045" s="122">
        <f>MAX(0,IFERROR((LEN($T1046)-LEN(SUBSTITUTE($T1046,"Quality of Works / Criteria of Failings:","")))/LEN("Quality of Works / Criteria of Failings:"),0)-IFERROR((LEN($T1046)-LEN(SUBSTITUTE($T1046,"Quality of Works / Criteria of Failings:Compliant","")))/LEN("Quality of Works / Criteria of Failings:Compliant"),0))</f>
        <v/>
      </c>
      <c r="Z1045" s="122">
        <f>IFERROR($Y1046/MAX(1,(LEN($I1046)-LEN(SUBSTITUTE($I1046," Ltd","")))/LEN(" Ltd")),0)</f>
        <v/>
      </c>
      <c r="AA1045" s="122">
        <f>IFERROR(IFERROR((LEN($T1046)-LEN(SUBSTITUTE($T1046,"Quality of Works / Criteria of Failings:","")))/LEN("Quality of Works / Criteria of Failings:"),0)/MAX(1,(LEN($I1046)-LEN(SUBSTITUTE($I1046," Ltd","")))/LEN(" Ltd")),0)</f>
        <v/>
      </c>
      <c r="AB1045" s="122">
        <f>IFERROR(IFERROR((LEN($T1046)-LEN(SUBSTITUTE($T1046,"Quality of Works / Criteria of Failings:Compliant","")))/LEN("Quality of Works / Criteria of Failings:Compliant"),0)/MAX(1,(LEN($I1046)-LEN(SUBSTITUTE($I1046," Ltd","")))/LEN(" Ltd")),0)</f>
        <v/>
      </c>
    </row>
    <row r="1046" ht="15" customHeight="1" s="146">
      <c r="Y1046" s="122">
        <f>MAX(0,IFERROR((LEN($T1047)-LEN(SUBSTITUTE($T1047,"Quality of Works / Criteria of Failings:","")))/LEN("Quality of Works / Criteria of Failings:"),0)-IFERROR((LEN($T1047)-LEN(SUBSTITUTE($T1047,"Quality of Works / Criteria of Failings:Compliant","")))/LEN("Quality of Works / Criteria of Failings:Compliant"),0))</f>
        <v/>
      </c>
      <c r="Z1046" s="122">
        <f>IFERROR($Y1047/MAX(1,(LEN($I1047)-LEN(SUBSTITUTE($I1047," Ltd","")))/LEN(" Ltd")),0)</f>
        <v/>
      </c>
      <c r="AA1046" s="122">
        <f>IFERROR(IFERROR((LEN($T1047)-LEN(SUBSTITUTE($T1047,"Quality of Works / Criteria of Failings:","")))/LEN("Quality of Works / Criteria of Failings:"),0)/MAX(1,(LEN($I1047)-LEN(SUBSTITUTE($I1047," Ltd","")))/LEN(" Ltd")),0)</f>
        <v/>
      </c>
      <c r="AB1046" s="122">
        <f>IFERROR(IFERROR((LEN($T1047)-LEN(SUBSTITUTE($T1047,"Quality of Works / Criteria of Failings:Compliant","")))/LEN("Quality of Works / Criteria of Failings:Compliant"),0)/MAX(1,(LEN($I1047)-LEN(SUBSTITUTE($I1047," Ltd","")))/LEN(" Ltd")),0)</f>
        <v/>
      </c>
    </row>
    <row r="1047" ht="15" customHeight="1" s="146">
      <c r="Y1047" s="122">
        <f>MAX(0,IFERROR((LEN($T1048)-LEN(SUBSTITUTE($T1048,"Quality of Works / Criteria of Failings:","")))/LEN("Quality of Works / Criteria of Failings:"),0)-IFERROR((LEN($T1048)-LEN(SUBSTITUTE($T1048,"Quality of Works / Criteria of Failings:Compliant","")))/LEN("Quality of Works / Criteria of Failings:Compliant"),0))</f>
        <v/>
      </c>
      <c r="Z1047" s="122">
        <f>IFERROR($Y1048/MAX(1,(LEN($I1048)-LEN(SUBSTITUTE($I1048," Ltd","")))/LEN(" Ltd")),0)</f>
        <v/>
      </c>
      <c r="AA1047" s="122">
        <f>IFERROR(IFERROR((LEN($T1048)-LEN(SUBSTITUTE($T1048,"Quality of Works / Criteria of Failings:","")))/LEN("Quality of Works / Criteria of Failings:"),0)/MAX(1,(LEN($I1048)-LEN(SUBSTITUTE($I1048," Ltd","")))/LEN(" Ltd")),0)</f>
        <v/>
      </c>
      <c r="AB1047" s="122">
        <f>IFERROR(IFERROR((LEN($T1048)-LEN(SUBSTITUTE($T1048,"Quality of Works / Criteria of Failings:Compliant","")))/LEN("Quality of Works / Criteria of Failings:Compliant"),0)/MAX(1,(LEN($I1048)-LEN(SUBSTITUTE($I1048," Ltd","")))/LEN(" Ltd")),0)</f>
        <v/>
      </c>
    </row>
    <row r="1048" ht="15" customHeight="1" s="146">
      <c r="Y1048" s="122">
        <f>MAX(0,IFERROR((LEN($T1049)-LEN(SUBSTITUTE($T1049,"Quality of Works / Criteria of Failings:","")))/LEN("Quality of Works / Criteria of Failings:"),0)-IFERROR((LEN($T1049)-LEN(SUBSTITUTE($T1049,"Quality of Works / Criteria of Failings:Compliant","")))/LEN("Quality of Works / Criteria of Failings:Compliant"),0))</f>
        <v/>
      </c>
      <c r="Z1048" s="122">
        <f>IFERROR($Y1049/MAX(1,(LEN($I1049)-LEN(SUBSTITUTE($I1049," Ltd","")))/LEN(" Ltd")),0)</f>
        <v/>
      </c>
      <c r="AA1048" s="122">
        <f>IFERROR(IFERROR((LEN($T1049)-LEN(SUBSTITUTE($T1049,"Quality of Works / Criteria of Failings:","")))/LEN("Quality of Works / Criteria of Failings:"),0)/MAX(1,(LEN($I1049)-LEN(SUBSTITUTE($I1049," Ltd","")))/LEN(" Ltd")),0)</f>
        <v/>
      </c>
      <c r="AB1048" s="122">
        <f>IFERROR(IFERROR((LEN($T1049)-LEN(SUBSTITUTE($T1049,"Quality of Works / Criteria of Failings:Compliant","")))/LEN("Quality of Works / Criteria of Failings:Compliant"),0)/MAX(1,(LEN($I1049)-LEN(SUBSTITUTE($I1049," Ltd","")))/LEN(" Ltd")),0)</f>
        <v/>
      </c>
    </row>
    <row r="1049" ht="15" customHeight="1" s="146">
      <c r="Y1049" s="122">
        <f>MAX(0,IFERROR((LEN($T1050)-LEN(SUBSTITUTE($T1050,"Quality of Works / Criteria of Failings:","")))/LEN("Quality of Works / Criteria of Failings:"),0)-IFERROR((LEN($T1050)-LEN(SUBSTITUTE($T1050,"Quality of Works / Criteria of Failings:Compliant","")))/LEN("Quality of Works / Criteria of Failings:Compliant"),0))</f>
        <v/>
      </c>
      <c r="Z1049" s="122">
        <f>IFERROR($Y1050/MAX(1,(LEN($I1050)-LEN(SUBSTITUTE($I1050," Ltd","")))/LEN(" Ltd")),0)</f>
        <v/>
      </c>
      <c r="AA1049" s="122">
        <f>IFERROR(IFERROR((LEN($T1050)-LEN(SUBSTITUTE($T1050,"Quality of Works / Criteria of Failings:","")))/LEN("Quality of Works / Criteria of Failings:"),0)/MAX(1,(LEN($I1050)-LEN(SUBSTITUTE($I1050," Ltd","")))/LEN(" Ltd")),0)</f>
        <v/>
      </c>
      <c r="AB1049" s="122">
        <f>IFERROR(IFERROR((LEN($T1050)-LEN(SUBSTITUTE($T1050,"Quality of Works / Criteria of Failings:Compliant","")))/LEN("Quality of Works / Criteria of Failings:Compliant"),0)/MAX(1,(LEN($I1050)-LEN(SUBSTITUTE($I1050," Ltd","")))/LEN(" Ltd")),0)</f>
        <v/>
      </c>
    </row>
    <row r="1050" ht="15" customHeight="1" s="146">
      <c r="Y1050" s="122">
        <f>MAX(0,IFERROR((LEN($T1051)-LEN(SUBSTITUTE($T1051,"Quality of Works / Criteria of Failings:","")))/LEN("Quality of Works / Criteria of Failings:"),0)-IFERROR((LEN($T1051)-LEN(SUBSTITUTE($T1051,"Quality of Works / Criteria of Failings:Compliant","")))/LEN("Quality of Works / Criteria of Failings:Compliant"),0))</f>
        <v/>
      </c>
      <c r="Z1050" s="122">
        <f>IFERROR($Y1051/MAX(1,(LEN($I1051)-LEN(SUBSTITUTE($I1051," Ltd","")))/LEN(" Ltd")),0)</f>
        <v/>
      </c>
      <c r="AA1050" s="122">
        <f>IFERROR(IFERROR((LEN($T1051)-LEN(SUBSTITUTE($T1051,"Quality of Works / Criteria of Failings:","")))/LEN("Quality of Works / Criteria of Failings:"),0)/MAX(1,(LEN($I1051)-LEN(SUBSTITUTE($I1051," Ltd","")))/LEN(" Ltd")),0)</f>
        <v/>
      </c>
      <c r="AB1050" s="122">
        <f>IFERROR(IFERROR((LEN($T1051)-LEN(SUBSTITUTE($T1051,"Quality of Works / Criteria of Failings:Compliant","")))/LEN("Quality of Works / Criteria of Failings:Compliant"),0)/MAX(1,(LEN($I1051)-LEN(SUBSTITUTE($I1051," Ltd","")))/LEN(" Ltd")),0)</f>
        <v/>
      </c>
    </row>
    <row r="1051" ht="15" customHeight="1" s="146">
      <c r="Y1051" s="122">
        <f>MAX(0,IFERROR((LEN($T1052)-LEN(SUBSTITUTE($T1052,"Quality of Works / Criteria of Failings:","")))/LEN("Quality of Works / Criteria of Failings:"),0)-IFERROR((LEN($T1052)-LEN(SUBSTITUTE($T1052,"Quality of Works / Criteria of Failings:Compliant","")))/LEN("Quality of Works / Criteria of Failings:Compliant"),0))</f>
        <v/>
      </c>
      <c r="Z1051" s="122">
        <f>IFERROR($Y1052/MAX(1,(LEN($I1052)-LEN(SUBSTITUTE($I1052," Ltd","")))/LEN(" Ltd")),0)</f>
        <v/>
      </c>
      <c r="AA1051" s="122">
        <f>IFERROR(IFERROR((LEN($T1052)-LEN(SUBSTITUTE($T1052,"Quality of Works / Criteria of Failings:","")))/LEN("Quality of Works / Criteria of Failings:"),0)/MAX(1,(LEN($I1052)-LEN(SUBSTITUTE($I1052," Ltd","")))/LEN(" Ltd")),0)</f>
        <v/>
      </c>
      <c r="AB1051" s="122">
        <f>IFERROR(IFERROR((LEN($T1052)-LEN(SUBSTITUTE($T1052,"Quality of Works / Criteria of Failings:Compliant","")))/LEN("Quality of Works / Criteria of Failings:Compliant"),0)/MAX(1,(LEN($I1052)-LEN(SUBSTITUTE($I1052," Ltd","")))/LEN(" Ltd")),0)</f>
        <v/>
      </c>
    </row>
    <row r="1052" ht="15" customHeight="1" s="146">
      <c r="Y1052" s="122">
        <f>MAX(0,IFERROR((LEN($T1053)-LEN(SUBSTITUTE($T1053,"Quality of Works / Criteria of Failings:","")))/LEN("Quality of Works / Criteria of Failings:"),0)-IFERROR((LEN($T1053)-LEN(SUBSTITUTE($T1053,"Quality of Works / Criteria of Failings:Compliant","")))/LEN("Quality of Works / Criteria of Failings:Compliant"),0))</f>
        <v/>
      </c>
      <c r="Z1052" s="122">
        <f>IFERROR($Y1053/MAX(1,(LEN($I1053)-LEN(SUBSTITUTE($I1053," Ltd","")))/LEN(" Ltd")),0)</f>
        <v/>
      </c>
      <c r="AA1052" s="122">
        <f>IFERROR(IFERROR((LEN($T1053)-LEN(SUBSTITUTE($T1053,"Quality of Works / Criteria of Failings:","")))/LEN("Quality of Works / Criteria of Failings:"),0)/MAX(1,(LEN($I1053)-LEN(SUBSTITUTE($I1053," Ltd","")))/LEN(" Ltd")),0)</f>
        <v/>
      </c>
      <c r="AB1052" s="122">
        <f>IFERROR(IFERROR((LEN($T1053)-LEN(SUBSTITUTE($T1053,"Quality of Works / Criteria of Failings:Compliant","")))/LEN("Quality of Works / Criteria of Failings:Compliant"),0)/MAX(1,(LEN($I1053)-LEN(SUBSTITUTE($I1053," Ltd","")))/LEN(" Ltd")),0)</f>
        <v/>
      </c>
    </row>
    <row r="1053" ht="15" customHeight="1" s="146">
      <c r="Y1053" s="122">
        <f>MAX(0,IFERROR((LEN($T1054)-LEN(SUBSTITUTE($T1054,"Quality of Works / Criteria of Failings:","")))/LEN("Quality of Works / Criteria of Failings:"),0)-IFERROR((LEN($T1054)-LEN(SUBSTITUTE($T1054,"Quality of Works / Criteria of Failings:Compliant","")))/LEN("Quality of Works / Criteria of Failings:Compliant"),0))</f>
        <v/>
      </c>
      <c r="Z1053" s="122">
        <f>IFERROR($Y1054/MAX(1,(LEN($I1054)-LEN(SUBSTITUTE($I1054," Ltd","")))/LEN(" Ltd")),0)</f>
        <v/>
      </c>
      <c r="AA1053" s="122">
        <f>IFERROR(IFERROR((LEN($T1054)-LEN(SUBSTITUTE($T1054,"Quality of Works / Criteria of Failings:","")))/LEN("Quality of Works / Criteria of Failings:"),0)/MAX(1,(LEN($I1054)-LEN(SUBSTITUTE($I1054," Ltd","")))/LEN(" Ltd")),0)</f>
        <v/>
      </c>
      <c r="AB1053" s="122">
        <f>IFERROR(IFERROR((LEN($T1054)-LEN(SUBSTITUTE($T1054,"Quality of Works / Criteria of Failings:Compliant","")))/LEN("Quality of Works / Criteria of Failings:Compliant"),0)/MAX(1,(LEN($I1054)-LEN(SUBSTITUTE($I1054," Ltd","")))/LEN(" Ltd")),0)</f>
        <v/>
      </c>
    </row>
    <row r="1054" ht="15" customHeight="1" s="146">
      <c r="Y1054" s="122">
        <f>MAX(0,IFERROR((LEN($T1055)-LEN(SUBSTITUTE($T1055,"Quality of Works / Criteria of Failings:","")))/LEN("Quality of Works / Criteria of Failings:"),0)-IFERROR((LEN($T1055)-LEN(SUBSTITUTE($T1055,"Quality of Works / Criteria of Failings:Compliant","")))/LEN("Quality of Works / Criteria of Failings:Compliant"),0))</f>
        <v/>
      </c>
      <c r="Z1054" s="122">
        <f>IFERROR($Y1055/MAX(1,(LEN($I1055)-LEN(SUBSTITUTE($I1055," Ltd","")))/LEN(" Ltd")),0)</f>
        <v/>
      </c>
      <c r="AA1054" s="122">
        <f>IFERROR(IFERROR((LEN($T1055)-LEN(SUBSTITUTE($T1055,"Quality of Works / Criteria of Failings:","")))/LEN("Quality of Works / Criteria of Failings:"),0)/MAX(1,(LEN($I1055)-LEN(SUBSTITUTE($I1055," Ltd","")))/LEN(" Ltd")),0)</f>
        <v/>
      </c>
      <c r="AB1054" s="122">
        <f>IFERROR(IFERROR((LEN($T1055)-LEN(SUBSTITUTE($T1055,"Quality of Works / Criteria of Failings:Compliant","")))/LEN("Quality of Works / Criteria of Failings:Compliant"),0)/MAX(1,(LEN($I1055)-LEN(SUBSTITUTE($I1055," Ltd","")))/LEN(" Ltd")),0)</f>
        <v/>
      </c>
    </row>
    <row r="1055" ht="15" customHeight="1" s="146">
      <c r="Y1055" s="122">
        <f>MAX(0,IFERROR((LEN($T1056)-LEN(SUBSTITUTE($T1056,"Quality of Works / Criteria of Failings:","")))/LEN("Quality of Works / Criteria of Failings:"),0)-IFERROR((LEN($T1056)-LEN(SUBSTITUTE($T1056,"Quality of Works / Criteria of Failings:Compliant","")))/LEN("Quality of Works / Criteria of Failings:Compliant"),0))</f>
        <v/>
      </c>
      <c r="Z1055" s="122">
        <f>IFERROR($Y1056/MAX(1,(LEN($I1056)-LEN(SUBSTITUTE($I1056," Ltd","")))/LEN(" Ltd")),0)</f>
        <v/>
      </c>
      <c r="AA1055" s="122">
        <f>IFERROR(IFERROR((LEN($T1056)-LEN(SUBSTITUTE($T1056,"Quality of Works / Criteria of Failings:","")))/LEN("Quality of Works / Criteria of Failings:"),0)/MAX(1,(LEN($I1056)-LEN(SUBSTITUTE($I1056," Ltd","")))/LEN(" Ltd")),0)</f>
        <v/>
      </c>
      <c r="AB1055" s="122">
        <f>IFERROR(IFERROR((LEN($T1056)-LEN(SUBSTITUTE($T1056,"Quality of Works / Criteria of Failings:Compliant","")))/LEN("Quality of Works / Criteria of Failings:Compliant"),0)/MAX(1,(LEN($I1056)-LEN(SUBSTITUTE($I1056," Ltd","")))/LEN(" Ltd")),0)</f>
        <v/>
      </c>
    </row>
    <row r="1056" ht="15" customHeight="1" s="146">
      <c r="Y1056" s="122">
        <f>MAX(0,IFERROR((LEN($T1057)-LEN(SUBSTITUTE($T1057,"Quality of Works / Criteria of Failings:","")))/LEN("Quality of Works / Criteria of Failings:"),0)-IFERROR((LEN($T1057)-LEN(SUBSTITUTE($T1057,"Quality of Works / Criteria of Failings:Compliant","")))/LEN("Quality of Works / Criteria of Failings:Compliant"),0))</f>
        <v/>
      </c>
      <c r="Z1056" s="122">
        <f>IFERROR($Y1057/MAX(1,(LEN($I1057)-LEN(SUBSTITUTE($I1057," Ltd","")))/LEN(" Ltd")),0)</f>
        <v/>
      </c>
      <c r="AA1056" s="122">
        <f>IFERROR(IFERROR((LEN($T1057)-LEN(SUBSTITUTE($T1057,"Quality of Works / Criteria of Failings:","")))/LEN("Quality of Works / Criteria of Failings:"),0)/MAX(1,(LEN($I1057)-LEN(SUBSTITUTE($I1057," Ltd","")))/LEN(" Ltd")),0)</f>
        <v/>
      </c>
      <c r="AB1056" s="122">
        <f>IFERROR(IFERROR((LEN($T1057)-LEN(SUBSTITUTE($T1057,"Quality of Works / Criteria of Failings:Compliant","")))/LEN("Quality of Works / Criteria of Failings:Compliant"),0)/MAX(1,(LEN($I1057)-LEN(SUBSTITUTE($I1057," Ltd","")))/LEN(" Ltd")),0)</f>
        <v/>
      </c>
    </row>
    <row r="1057" ht="15" customHeight="1" s="146">
      <c r="Y1057" s="122">
        <f>MAX(0,IFERROR((LEN($T1058)-LEN(SUBSTITUTE($T1058,"Quality of Works / Criteria of Failings:","")))/LEN("Quality of Works / Criteria of Failings:"),0)-IFERROR((LEN($T1058)-LEN(SUBSTITUTE($T1058,"Quality of Works / Criteria of Failings:Compliant","")))/LEN("Quality of Works / Criteria of Failings:Compliant"),0))</f>
        <v/>
      </c>
      <c r="Z1057" s="122">
        <f>IFERROR($Y1058/MAX(1,(LEN($I1058)-LEN(SUBSTITUTE($I1058," Ltd","")))/LEN(" Ltd")),0)</f>
        <v/>
      </c>
      <c r="AA1057" s="122">
        <f>IFERROR(IFERROR((LEN($T1058)-LEN(SUBSTITUTE($T1058,"Quality of Works / Criteria of Failings:","")))/LEN("Quality of Works / Criteria of Failings:"),0)/MAX(1,(LEN($I1058)-LEN(SUBSTITUTE($I1058," Ltd","")))/LEN(" Ltd")),0)</f>
        <v/>
      </c>
      <c r="AB1057" s="122">
        <f>IFERROR(IFERROR((LEN($T1058)-LEN(SUBSTITUTE($T1058,"Quality of Works / Criteria of Failings:Compliant","")))/LEN("Quality of Works / Criteria of Failings:Compliant"),0)/MAX(1,(LEN($I1058)-LEN(SUBSTITUTE($I1058," Ltd","")))/LEN(" Ltd")),0)</f>
        <v/>
      </c>
    </row>
    <row r="1058" ht="15" customHeight="1" s="146">
      <c r="Y1058" s="122">
        <f>MAX(0,IFERROR((LEN($T1059)-LEN(SUBSTITUTE($T1059,"Quality of Works / Criteria of Failings:","")))/LEN("Quality of Works / Criteria of Failings:"),0)-IFERROR((LEN($T1059)-LEN(SUBSTITUTE($T1059,"Quality of Works / Criteria of Failings:Compliant","")))/LEN("Quality of Works / Criteria of Failings:Compliant"),0))</f>
        <v/>
      </c>
      <c r="Z1058" s="122">
        <f>IFERROR($Y1059/MAX(1,(LEN($I1059)-LEN(SUBSTITUTE($I1059," Ltd","")))/LEN(" Ltd")),0)</f>
        <v/>
      </c>
      <c r="AA1058" s="122">
        <f>IFERROR(IFERROR((LEN($T1059)-LEN(SUBSTITUTE($T1059,"Quality of Works / Criteria of Failings:","")))/LEN("Quality of Works / Criteria of Failings:"),0)/MAX(1,(LEN($I1059)-LEN(SUBSTITUTE($I1059," Ltd","")))/LEN(" Ltd")),0)</f>
        <v/>
      </c>
      <c r="AB1058" s="122">
        <f>IFERROR(IFERROR((LEN($T1059)-LEN(SUBSTITUTE($T1059,"Quality of Works / Criteria of Failings:Compliant","")))/LEN("Quality of Works / Criteria of Failings:Compliant"),0)/MAX(1,(LEN($I1059)-LEN(SUBSTITUTE($I1059," Ltd","")))/LEN(" Ltd")),0)</f>
        <v/>
      </c>
    </row>
    <row r="1059" ht="15" customHeight="1" s="146">
      <c r="Y1059" s="122">
        <f>MAX(0,IFERROR((LEN($T1060)-LEN(SUBSTITUTE($T1060,"Quality of Works / Criteria of Failings:","")))/LEN("Quality of Works / Criteria of Failings:"),0)-IFERROR((LEN($T1060)-LEN(SUBSTITUTE($T1060,"Quality of Works / Criteria of Failings:Compliant","")))/LEN("Quality of Works / Criteria of Failings:Compliant"),0))</f>
        <v/>
      </c>
      <c r="Z1059" s="122">
        <f>IFERROR($Y1060/MAX(1,(LEN($I1060)-LEN(SUBSTITUTE($I1060," Ltd","")))/LEN(" Ltd")),0)</f>
        <v/>
      </c>
      <c r="AA1059" s="122">
        <f>IFERROR(IFERROR((LEN($T1060)-LEN(SUBSTITUTE($T1060,"Quality of Works / Criteria of Failings:","")))/LEN("Quality of Works / Criteria of Failings:"),0)/MAX(1,(LEN($I1060)-LEN(SUBSTITUTE($I1060," Ltd","")))/LEN(" Ltd")),0)</f>
        <v/>
      </c>
      <c r="AB1059" s="122">
        <f>IFERROR(IFERROR((LEN($T1060)-LEN(SUBSTITUTE($T1060,"Quality of Works / Criteria of Failings:Compliant","")))/LEN("Quality of Works / Criteria of Failings:Compliant"),0)/MAX(1,(LEN($I1060)-LEN(SUBSTITUTE($I1060," Ltd","")))/LEN(" Ltd")),0)</f>
        <v/>
      </c>
    </row>
    <row r="1060" ht="15" customHeight="1" s="146">
      <c r="Y1060" s="122">
        <f>MAX(0,IFERROR((LEN($T1061)-LEN(SUBSTITUTE($T1061,"Quality of Works / Criteria of Failings:","")))/LEN("Quality of Works / Criteria of Failings:"),0)-IFERROR((LEN($T1061)-LEN(SUBSTITUTE($T1061,"Quality of Works / Criteria of Failings:Compliant","")))/LEN("Quality of Works / Criteria of Failings:Compliant"),0))</f>
        <v/>
      </c>
      <c r="Z1060" s="122">
        <f>IFERROR($Y1061/MAX(1,(LEN($I1061)-LEN(SUBSTITUTE($I1061," Ltd","")))/LEN(" Ltd")),0)</f>
        <v/>
      </c>
      <c r="AA1060" s="122">
        <f>IFERROR(IFERROR((LEN($T1061)-LEN(SUBSTITUTE($T1061,"Quality of Works / Criteria of Failings:","")))/LEN("Quality of Works / Criteria of Failings:"),0)/MAX(1,(LEN($I1061)-LEN(SUBSTITUTE($I1061," Ltd","")))/LEN(" Ltd")),0)</f>
        <v/>
      </c>
      <c r="AB1060" s="122">
        <f>IFERROR(IFERROR((LEN($T1061)-LEN(SUBSTITUTE($T1061,"Quality of Works / Criteria of Failings:Compliant","")))/LEN("Quality of Works / Criteria of Failings:Compliant"),0)/MAX(1,(LEN($I1061)-LEN(SUBSTITUTE($I1061," Ltd","")))/LEN(" Ltd")),0)</f>
        <v/>
      </c>
    </row>
    <row r="1061" ht="15" customHeight="1" s="146">
      <c r="Y1061" s="122">
        <f>MAX(0,IFERROR((LEN($T1062)-LEN(SUBSTITUTE($T1062,"Quality of Works / Criteria of Failings:","")))/LEN("Quality of Works / Criteria of Failings:"),0)-IFERROR((LEN($T1062)-LEN(SUBSTITUTE($T1062,"Quality of Works / Criteria of Failings:Compliant","")))/LEN("Quality of Works / Criteria of Failings:Compliant"),0))</f>
        <v/>
      </c>
      <c r="Z1061" s="122">
        <f>IFERROR($Y1062/MAX(1,(LEN($I1062)-LEN(SUBSTITUTE($I1062," Ltd","")))/LEN(" Ltd")),0)</f>
        <v/>
      </c>
      <c r="AA1061" s="122">
        <f>IFERROR(IFERROR((LEN($T1062)-LEN(SUBSTITUTE($T1062,"Quality of Works / Criteria of Failings:","")))/LEN("Quality of Works / Criteria of Failings:"),0)/MAX(1,(LEN($I1062)-LEN(SUBSTITUTE($I1062," Ltd","")))/LEN(" Ltd")),0)</f>
        <v/>
      </c>
      <c r="AB1061" s="122">
        <f>IFERROR(IFERROR((LEN($T1062)-LEN(SUBSTITUTE($T1062,"Quality of Works / Criteria of Failings:Compliant","")))/LEN("Quality of Works / Criteria of Failings:Compliant"),0)/MAX(1,(LEN($I1062)-LEN(SUBSTITUTE($I1062," Ltd","")))/LEN(" Ltd")),0)</f>
        <v/>
      </c>
    </row>
    <row r="1062" ht="15" customHeight="1" s="146">
      <c r="Y1062" s="122">
        <f>MAX(0,IFERROR((LEN($T1063)-LEN(SUBSTITUTE($T1063,"Quality of Works / Criteria of Failings:","")))/LEN("Quality of Works / Criteria of Failings:"),0)-IFERROR((LEN($T1063)-LEN(SUBSTITUTE($T1063,"Quality of Works / Criteria of Failings:Compliant","")))/LEN("Quality of Works / Criteria of Failings:Compliant"),0))</f>
        <v/>
      </c>
      <c r="Z1062" s="122">
        <f>IFERROR($Y1063/MAX(1,(LEN($I1063)-LEN(SUBSTITUTE($I1063," Ltd","")))/LEN(" Ltd")),0)</f>
        <v/>
      </c>
      <c r="AA1062" s="122">
        <f>IFERROR(IFERROR((LEN($T1063)-LEN(SUBSTITUTE($T1063,"Quality of Works / Criteria of Failings:","")))/LEN("Quality of Works / Criteria of Failings:"),0)/MAX(1,(LEN($I1063)-LEN(SUBSTITUTE($I1063," Ltd","")))/LEN(" Ltd")),0)</f>
        <v/>
      </c>
      <c r="AB1062" s="122">
        <f>IFERROR(IFERROR((LEN($T1063)-LEN(SUBSTITUTE($T1063,"Quality of Works / Criteria of Failings:Compliant","")))/LEN("Quality of Works / Criteria of Failings:Compliant"),0)/MAX(1,(LEN($I1063)-LEN(SUBSTITUTE($I1063," Ltd","")))/LEN(" Ltd")),0)</f>
        <v/>
      </c>
    </row>
    <row r="1063" ht="15" customHeight="1" s="146">
      <c r="Y1063" s="122">
        <f>MAX(0,IFERROR((LEN($T1064)-LEN(SUBSTITUTE($T1064,"Quality of Works / Criteria of Failings:","")))/LEN("Quality of Works / Criteria of Failings:"),0)-IFERROR((LEN($T1064)-LEN(SUBSTITUTE($T1064,"Quality of Works / Criteria of Failings:Compliant","")))/LEN("Quality of Works / Criteria of Failings:Compliant"),0))</f>
        <v/>
      </c>
      <c r="Z1063" s="122">
        <f>IFERROR($Y1064/MAX(1,(LEN($I1064)-LEN(SUBSTITUTE($I1064," Ltd","")))/LEN(" Ltd")),0)</f>
        <v/>
      </c>
      <c r="AA1063" s="122">
        <f>IFERROR(IFERROR((LEN($T1064)-LEN(SUBSTITUTE($T1064,"Quality of Works / Criteria of Failings:","")))/LEN("Quality of Works / Criteria of Failings:"),0)/MAX(1,(LEN($I1064)-LEN(SUBSTITUTE($I1064," Ltd","")))/LEN(" Ltd")),0)</f>
        <v/>
      </c>
      <c r="AB1063" s="122">
        <f>IFERROR(IFERROR((LEN($T1064)-LEN(SUBSTITUTE($T1064,"Quality of Works / Criteria of Failings:Compliant","")))/LEN("Quality of Works / Criteria of Failings:Compliant"),0)/MAX(1,(LEN($I1064)-LEN(SUBSTITUTE($I1064," Ltd","")))/LEN(" Ltd")),0)</f>
        <v/>
      </c>
    </row>
    <row r="1064" ht="15" customHeight="1" s="146">
      <c r="Y1064" s="122">
        <f>MAX(0,IFERROR((LEN($T1065)-LEN(SUBSTITUTE($T1065,"Quality of Works / Criteria of Failings:","")))/LEN("Quality of Works / Criteria of Failings:"),0)-IFERROR((LEN($T1065)-LEN(SUBSTITUTE($T1065,"Quality of Works / Criteria of Failings:Compliant","")))/LEN("Quality of Works / Criteria of Failings:Compliant"),0))</f>
        <v/>
      </c>
      <c r="Z1064" s="122">
        <f>IFERROR($Y1065/MAX(1,(LEN($I1065)-LEN(SUBSTITUTE($I1065," Ltd","")))/LEN(" Ltd")),0)</f>
        <v/>
      </c>
      <c r="AA1064" s="122">
        <f>IFERROR(IFERROR((LEN($T1065)-LEN(SUBSTITUTE($T1065,"Quality of Works / Criteria of Failings:","")))/LEN("Quality of Works / Criteria of Failings:"),0)/MAX(1,(LEN($I1065)-LEN(SUBSTITUTE($I1065," Ltd","")))/LEN(" Ltd")),0)</f>
        <v/>
      </c>
      <c r="AB1064" s="122">
        <f>IFERROR(IFERROR((LEN($T1065)-LEN(SUBSTITUTE($T1065,"Quality of Works / Criteria of Failings:Compliant","")))/LEN("Quality of Works / Criteria of Failings:Compliant"),0)/MAX(1,(LEN($I1065)-LEN(SUBSTITUTE($I1065," Ltd","")))/LEN(" Ltd")),0)</f>
        <v/>
      </c>
    </row>
    <row r="1065" ht="15" customHeight="1" s="146">
      <c r="Y1065" s="122">
        <f>MAX(0,IFERROR((LEN($T1066)-LEN(SUBSTITUTE($T1066,"Quality of Works / Criteria of Failings:","")))/LEN("Quality of Works / Criteria of Failings:"),0)-IFERROR((LEN($T1066)-LEN(SUBSTITUTE($T1066,"Quality of Works / Criteria of Failings:Compliant","")))/LEN("Quality of Works / Criteria of Failings:Compliant"),0))</f>
        <v/>
      </c>
      <c r="Z1065" s="122">
        <f>IFERROR($Y1066/MAX(1,(LEN($I1066)-LEN(SUBSTITUTE($I1066," Ltd","")))/LEN(" Ltd")),0)</f>
        <v/>
      </c>
      <c r="AA1065" s="122">
        <f>IFERROR(IFERROR((LEN($T1066)-LEN(SUBSTITUTE($T1066,"Quality of Works / Criteria of Failings:","")))/LEN("Quality of Works / Criteria of Failings:"),0)/MAX(1,(LEN($I1066)-LEN(SUBSTITUTE($I1066," Ltd","")))/LEN(" Ltd")),0)</f>
        <v/>
      </c>
      <c r="AB1065" s="122">
        <f>IFERROR(IFERROR((LEN($T1066)-LEN(SUBSTITUTE($T1066,"Quality of Works / Criteria of Failings:Compliant","")))/LEN("Quality of Works / Criteria of Failings:Compliant"),0)/MAX(1,(LEN($I1066)-LEN(SUBSTITUTE($I1066," Ltd","")))/LEN(" Ltd")),0)</f>
        <v/>
      </c>
    </row>
    <row r="1066" ht="15" customHeight="1" s="146">
      <c r="Y1066" s="122">
        <f>MAX(0,IFERROR((LEN($T1067)-LEN(SUBSTITUTE($T1067,"Quality of Works / Criteria of Failings:","")))/LEN("Quality of Works / Criteria of Failings:"),0)-IFERROR((LEN($T1067)-LEN(SUBSTITUTE($T1067,"Quality of Works / Criteria of Failings:Compliant","")))/LEN("Quality of Works / Criteria of Failings:Compliant"),0))</f>
        <v/>
      </c>
      <c r="Z1066" s="122">
        <f>IFERROR($Y1067/MAX(1,(LEN($I1067)-LEN(SUBSTITUTE($I1067," Ltd","")))/LEN(" Ltd")),0)</f>
        <v/>
      </c>
      <c r="AA1066" s="122">
        <f>IFERROR(IFERROR((LEN($T1067)-LEN(SUBSTITUTE($T1067,"Quality of Works / Criteria of Failings:","")))/LEN("Quality of Works / Criteria of Failings:"),0)/MAX(1,(LEN($I1067)-LEN(SUBSTITUTE($I1067," Ltd","")))/LEN(" Ltd")),0)</f>
        <v/>
      </c>
      <c r="AB1066" s="122">
        <f>IFERROR(IFERROR((LEN($T1067)-LEN(SUBSTITUTE($T1067,"Quality of Works / Criteria of Failings:Compliant","")))/LEN("Quality of Works / Criteria of Failings:Compliant"),0)/MAX(1,(LEN($I1067)-LEN(SUBSTITUTE($I1067," Ltd","")))/LEN(" Ltd")),0)</f>
        <v/>
      </c>
    </row>
    <row r="1067" ht="15" customHeight="1" s="146">
      <c r="Y1067" s="122">
        <f>MAX(0,IFERROR((LEN($T1068)-LEN(SUBSTITUTE($T1068,"Quality of Works / Criteria of Failings:","")))/LEN("Quality of Works / Criteria of Failings:"),0)-IFERROR((LEN($T1068)-LEN(SUBSTITUTE($T1068,"Quality of Works / Criteria of Failings:Compliant","")))/LEN("Quality of Works / Criteria of Failings:Compliant"),0))</f>
        <v/>
      </c>
      <c r="Z1067" s="122">
        <f>IFERROR($Y1068/MAX(1,(LEN($I1068)-LEN(SUBSTITUTE($I1068," Ltd","")))/LEN(" Ltd")),0)</f>
        <v/>
      </c>
      <c r="AA1067" s="122">
        <f>IFERROR(IFERROR((LEN($T1068)-LEN(SUBSTITUTE($T1068,"Quality of Works / Criteria of Failings:","")))/LEN("Quality of Works / Criteria of Failings:"),0)/MAX(1,(LEN($I1068)-LEN(SUBSTITUTE($I1068," Ltd","")))/LEN(" Ltd")),0)</f>
        <v/>
      </c>
      <c r="AB1067" s="122">
        <f>IFERROR(IFERROR((LEN($T1068)-LEN(SUBSTITUTE($T1068,"Quality of Works / Criteria of Failings:Compliant","")))/LEN("Quality of Works / Criteria of Failings:Compliant"),0)/MAX(1,(LEN($I1068)-LEN(SUBSTITUTE($I1068," Ltd","")))/LEN(" Ltd")),0)</f>
        <v/>
      </c>
    </row>
    <row r="1068" ht="15" customHeight="1" s="146">
      <c r="Y1068" s="122">
        <f>MAX(0,IFERROR((LEN($T1069)-LEN(SUBSTITUTE($T1069,"Quality of Works / Criteria of Failings:","")))/LEN("Quality of Works / Criteria of Failings:"),0)-IFERROR((LEN($T1069)-LEN(SUBSTITUTE($T1069,"Quality of Works / Criteria of Failings:Compliant","")))/LEN("Quality of Works / Criteria of Failings:Compliant"),0))</f>
        <v/>
      </c>
      <c r="Z1068" s="122">
        <f>IFERROR($Y1069/MAX(1,(LEN($I1069)-LEN(SUBSTITUTE($I1069," Ltd","")))/LEN(" Ltd")),0)</f>
        <v/>
      </c>
      <c r="AA1068" s="122">
        <f>IFERROR(IFERROR((LEN($T1069)-LEN(SUBSTITUTE($T1069,"Quality of Works / Criteria of Failings:","")))/LEN("Quality of Works / Criteria of Failings:"),0)/MAX(1,(LEN($I1069)-LEN(SUBSTITUTE($I1069," Ltd","")))/LEN(" Ltd")),0)</f>
        <v/>
      </c>
      <c r="AB1068" s="122">
        <f>IFERROR(IFERROR((LEN($T1069)-LEN(SUBSTITUTE($T1069,"Quality of Works / Criteria of Failings:Compliant","")))/LEN("Quality of Works / Criteria of Failings:Compliant"),0)/MAX(1,(LEN($I1069)-LEN(SUBSTITUTE($I1069," Ltd","")))/LEN(" Ltd")),0)</f>
        <v/>
      </c>
    </row>
    <row r="1069" ht="15" customHeight="1" s="146">
      <c r="Y1069" s="122">
        <f>MAX(0,IFERROR((LEN($T1070)-LEN(SUBSTITUTE($T1070,"Quality of Works / Criteria of Failings:","")))/LEN("Quality of Works / Criteria of Failings:"),0)-IFERROR((LEN($T1070)-LEN(SUBSTITUTE($T1070,"Quality of Works / Criteria of Failings:Compliant","")))/LEN("Quality of Works / Criteria of Failings:Compliant"),0))</f>
        <v/>
      </c>
      <c r="Z1069" s="122">
        <f>IFERROR($Y1070/MAX(1,(LEN($I1070)-LEN(SUBSTITUTE($I1070," Ltd","")))/LEN(" Ltd")),0)</f>
        <v/>
      </c>
      <c r="AA1069" s="122">
        <f>IFERROR(IFERROR((LEN($T1070)-LEN(SUBSTITUTE($T1070,"Quality of Works / Criteria of Failings:","")))/LEN("Quality of Works / Criteria of Failings:"),0)/MAX(1,(LEN($I1070)-LEN(SUBSTITUTE($I1070," Ltd","")))/LEN(" Ltd")),0)</f>
        <v/>
      </c>
      <c r="AB1069" s="122">
        <f>IFERROR(IFERROR((LEN($T1070)-LEN(SUBSTITUTE($T1070,"Quality of Works / Criteria of Failings:Compliant","")))/LEN("Quality of Works / Criteria of Failings:Compliant"),0)/MAX(1,(LEN($I1070)-LEN(SUBSTITUTE($I1070," Ltd","")))/LEN(" Ltd")),0)</f>
        <v/>
      </c>
    </row>
    <row r="1070" ht="15" customHeight="1" s="146">
      <c r="Y1070" s="122">
        <f>MAX(0,IFERROR((LEN($T1071)-LEN(SUBSTITUTE($T1071,"Quality of Works / Criteria of Failings:","")))/LEN("Quality of Works / Criteria of Failings:"),0)-IFERROR((LEN($T1071)-LEN(SUBSTITUTE($T1071,"Quality of Works / Criteria of Failings:Compliant","")))/LEN("Quality of Works / Criteria of Failings:Compliant"),0))</f>
        <v/>
      </c>
      <c r="Z1070" s="122">
        <f>IFERROR($Y1071/MAX(1,(LEN($I1071)-LEN(SUBSTITUTE($I1071," Ltd","")))/LEN(" Ltd")),0)</f>
        <v/>
      </c>
      <c r="AA1070" s="122">
        <f>IFERROR(IFERROR((LEN($T1071)-LEN(SUBSTITUTE($T1071,"Quality of Works / Criteria of Failings:","")))/LEN("Quality of Works / Criteria of Failings:"),0)/MAX(1,(LEN($I1071)-LEN(SUBSTITUTE($I1071," Ltd","")))/LEN(" Ltd")),0)</f>
        <v/>
      </c>
      <c r="AB1070" s="122">
        <f>IFERROR(IFERROR((LEN($T1071)-LEN(SUBSTITUTE($T1071,"Quality of Works / Criteria of Failings:Compliant","")))/LEN("Quality of Works / Criteria of Failings:Compliant"),0)/MAX(1,(LEN($I1071)-LEN(SUBSTITUTE($I1071," Ltd","")))/LEN(" Ltd")),0)</f>
        <v/>
      </c>
    </row>
    <row r="1071" ht="15" customHeight="1" s="146">
      <c r="Y1071" s="122">
        <f>MAX(0,IFERROR((LEN($T1072)-LEN(SUBSTITUTE($T1072,"Quality of Works / Criteria of Failings:","")))/LEN("Quality of Works / Criteria of Failings:"),0)-IFERROR((LEN($T1072)-LEN(SUBSTITUTE($T1072,"Quality of Works / Criteria of Failings:Compliant","")))/LEN("Quality of Works / Criteria of Failings:Compliant"),0))</f>
        <v/>
      </c>
      <c r="Z1071" s="122">
        <f>IFERROR($Y1072/MAX(1,(LEN($I1072)-LEN(SUBSTITUTE($I1072," Ltd","")))/LEN(" Ltd")),0)</f>
        <v/>
      </c>
      <c r="AA1071" s="122">
        <f>IFERROR(IFERROR((LEN($T1072)-LEN(SUBSTITUTE($T1072,"Quality of Works / Criteria of Failings:","")))/LEN("Quality of Works / Criteria of Failings:"),0)/MAX(1,(LEN($I1072)-LEN(SUBSTITUTE($I1072," Ltd","")))/LEN(" Ltd")),0)</f>
        <v/>
      </c>
      <c r="AB1071" s="122">
        <f>IFERROR(IFERROR((LEN($T1072)-LEN(SUBSTITUTE($T1072,"Quality of Works / Criteria of Failings:Compliant","")))/LEN("Quality of Works / Criteria of Failings:Compliant"),0)/MAX(1,(LEN($I1072)-LEN(SUBSTITUTE($I1072," Ltd","")))/LEN(" Ltd")),0)</f>
        <v/>
      </c>
    </row>
    <row r="1072" ht="15" customHeight="1" s="146">
      <c r="Y1072" s="122">
        <f>MAX(0,IFERROR((LEN($T1073)-LEN(SUBSTITUTE($T1073,"Quality of Works / Criteria of Failings:","")))/LEN("Quality of Works / Criteria of Failings:"),0)-IFERROR((LEN($T1073)-LEN(SUBSTITUTE($T1073,"Quality of Works / Criteria of Failings:Compliant","")))/LEN("Quality of Works / Criteria of Failings:Compliant"),0))</f>
        <v/>
      </c>
      <c r="Z1072" s="122">
        <f>IFERROR($Y1073/MAX(1,(LEN($I1073)-LEN(SUBSTITUTE($I1073," Ltd","")))/LEN(" Ltd")),0)</f>
        <v/>
      </c>
      <c r="AA1072" s="122">
        <f>IFERROR(IFERROR((LEN($T1073)-LEN(SUBSTITUTE($T1073,"Quality of Works / Criteria of Failings:","")))/LEN("Quality of Works / Criteria of Failings:"),0)/MAX(1,(LEN($I1073)-LEN(SUBSTITUTE($I1073," Ltd","")))/LEN(" Ltd")),0)</f>
        <v/>
      </c>
      <c r="AB1072" s="122">
        <f>IFERROR(IFERROR((LEN($T1073)-LEN(SUBSTITUTE($T1073,"Quality of Works / Criteria of Failings:Compliant","")))/LEN("Quality of Works / Criteria of Failings:Compliant"),0)/MAX(1,(LEN($I1073)-LEN(SUBSTITUTE($I1073," Ltd","")))/LEN(" Ltd")),0)</f>
        <v/>
      </c>
    </row>
    <row r="1073" ht="15" customHeight="1" s="146">
      <c r="Y1073" s="122">
        <f>MAX(0,IFERROR((LEN($T1074)-LEN(SUBSTITUTE($T1074,"Quality of Works / Criteria of Failings:","")))/LEN("Quality of Works / Criteria of Failings:"),0)-IFERROR((LEN($T1074)-LEN(SUBSTITUTE($T1074,"Quality of Works / Criteria of Failings:Compliant","")))/LEN("Quality of Works / Criteria of Failings:Compliant"),0))</f>
        <v/>
      </c>
      <c r="Z1073" s="122">
        <f>IFERROR($Y1074/MAX(1,(LEN($I1074)-LEN(SUBSTITUTE($I1074," Ltd","")))/LEN(" Ltd")),0)</f>
        <v/>
      </c>
      <c r="AA1073" s="122">
        <f>IFERROR(IFERROR((LEN($T1074)-LEN(SUBSTITUTE($T1074,"Quality of Works / Criteria of Failings:","")))/LEN("Quality of Works / Criteria of Failings:"),0)/MAX(1,(LEN($I1074)-LEN(SUBSTITUTE($I1074," Ltd","")))/LEN(" Ltd")),0)</f>
        <v/>
      </c>
      <c r="AB1073" s="122">
        <f>IFERROR(IFERROR((LEN($T1074)-LEN(SUBSTITUTE($T1074,"Quality of Works / Criteria of Failings:Compliant","")))/LEN("Quality of Works / Criteria of Failings:Compliant"),0)/MAX(1,(LEN($I1074)-LEN(SUBSTITUTE($I1074," Ltd","")))/LEN(" Ltd")),0)</f>
        <v/>
      </c>
    </row>
    <row r="1074" ht="15" customHeight="1" s="146">
      <c r="Y1074" s="122">
        <f>MAX(0,IFERROR((LEN($T1075)-LEN(SUBSTITUTE($T1075,"Quality of Works / Criteria of Failings:","")))/LEN("Quality of Works / Criteria of Failings:"),0)-IFERROR((LEN($T1075)-LEN(SUBSTITUTE($T1075,"Quality of Works / Criteria of Failings:Compliant","")))/LEN("Quality of Works / Criteria of Failings:Compliant"),0))</f>
        <v/>
      </c>
      <c r="Z1074" s="122">
        <f>IFERROR($Y1075/MAX(1,(LEN($I1075)-LEN(SUBSTITUTE($I1075," Ltd","")))/LEN(" Ltd")),0)</f>
        <v/>
      </c>
      <c r="AA1074" s="122">
        <f>IFERROR(IFERROR((LEN($T1075)-LEN(SUBSTITUTE($T1075,"Quality of Works / Criteria of Failings:","")))/LEN("Quality of Works / Criteria of Failings:"),0)/MAX(1,(LEN($I1075)-LEN(SUBSTITUTE($I1075," Ltd","")))/LEN(" Ltd")),0)</f>
        <v/>
      </c>
      <c r="AB1074" s="122">
        <f>IFERROR(IFERROR((LEN($T1075)-LEN(SUBSTITUTE($T1075,"Quality of Works / Criteria of Failings:Compliant","")))/LEN("Quality of Works / Criteria of Failings:Compliant"),0)/MAX(1,(LEN($I1075)-LEN(SUBSTITUTE($I1075," Ltd","")))/LEN(" Ltd")),0)</f>
        <v/>
      </c>
    </row>
    <row r="1075" ht="15" customHeight="1" s="146">
      <c r="Y1075" s="122">
        <f>MAX(0,IFERROR((LEN($T1076)-LEN(SUBSTITUTE($T1076,"Quality of Works / Criteria of Failings:","")))/LEN("Quality of Works / Criteria of Failings:"),0)-IFERROR((LEN($T1076)-LEN(SUBSTITUTE($T1076,"Quality of Works / Criteria of Failings:Compliant","")))/LEN("Quality of Works / Criteria of Failings:Compliant"),0))</f>
        <v/>
      </c>
      <c r="Z1075" s="122">
        <f>IFERROR($Y1076/MAX(1,(LEN($I1076)-LEN(SUBSTITUTE($I1076," Ltd","")))/LEN(" Ltd")),0)</f>
        <v/>
      </c>
      <c r="AA1075" s="122">
        <f>IFERROR(IFERROR((LEN($T1076)-LEN(SUBSTITUTE($T1076,"Quality of Works / Criteria of Failings:","")))/LEN("Quality of Works / Criteria of Failings:"),0)/MAX(1,(LEN($I1076)-LEN(SUBSTITUTE($I1076," Ltd","")))/LEN(" Ltd")),0)</f>
        <v/>
      </c>
      <c r="AB1075" s="122">
        <f>IFERROR(IFERROR((LEN($T1076)-LEN(SUBSTITUTE($T1076,"Quality of Works / Criteria of Failings:Compliant","")))/LEN("Quality of Works / Criteria of Failings:Compliant"),0)/MAX(1,(LEN($I1076)-LEN(SUBSTITUTE($I1076," Ltd","")))/LEN(" Ltd")),0)</f>
        <v/>
      </c>
    </row>
    <row r="1076" ht="15" customHeight="1" s="146">
      <c r="Y1076" s="122">
        <f>MAX(0,IFERROR((LEN($T1077)-LEN(SUBSTITUTE($T1077,"Quality of Works / Criteria of Failings:","")))/LEN("Quality of Works / Criteria of Failings:"),0)-IFERROR((LEN($T1077)-LEN(SUBSTITUTE($T1077,"Quality of Works / Criteria of Failings:Compliant","")))/LEN("Quality of Works / Criteria of Failings:Compliant"),0))</f>
        <v/>
      </c>
      <c r="Z1076" s="122">
        <f>IFERROR($Y1077/MAX(1,(LEN($I1077)-LEN(SUBSTITUTE($I1077," Ltd","")))/LEN(" Ltd")),0)</f>
        <v/>
      </c>
      <c r="AA1076" s="122">
        <f>IFERROR(IFERROR((LEN($T1077)-LEN(SUBSTITUTE($T1077,"Quality of Works / Criteria of Failings:","")))/LEN("Quality of Works / Criteria of Failings:"),0)/MAX(1,(LEN($I1077)-LEN(SUBSTITUTE($I1077," Ltd","")))/LEN(" Ltd")),0)</f>
        <v/>
      </c>
      <c r="AB1076" s="122">
        <f>IFERROR(IFERROR((LEN($T1077)-LEN(SUBSTITUTE($T1077,"Quality of Works / Criteria of Failings:Compliant","")))/LEN("Quality of Works / Criteria of Failings:Compliant"),0)/MAX(1,(LEN($I1077)-LEN(SUBSTITUTE($I1077," Ltd","")))/LEN(" Ltd")),0)</f>
        <v/>
      </c>
    </row>
    <row r="1077" ht="15" customHeight="1" s="146">
      <c r="Y1077" s="122">
        <f>MAX(0,IFERROR((LEN($T1078)-LEN(SUBSTITUTE($T1078,"Quality of Works / Criteria of Failings:","")))/LEN("Quality of Works / Criteria of Failings:"),0)-IFERROR((LEN($T1078)-LEN(SUBSTITUTE($T1078,"Quality of Works / Criteria of Failings:Compliant","")))/LEN("Quality of Works / Criteria of Failings:Compliant"),0))</f>
        <v/>
      </c>
      <c r="Z1077" s="122">
        <f>IFERROR($Y1078/MAX(1,(LEN($I1078)-LEN(SUBSTITUTE($I1078," Ltd","")))/LEN(" Ltd")),0)</f>
        <v/>
      </c>
      <c r="AA1077" s="122">
        <f>IFERROR(IFERROR((LEN($T1078)-LEN(SUBSTITUTE($T1078,"Quality of Works / Criteria of Failings:","")))/LEN("Quality of Works / Criteria of Failings:"),0)/MAX(1,(LEN($I1078)-LEN(SUBSTITUTE($I1078," Ltd","")))/LEN(" Ltd")),0)</f>
        <v/>
      </c>
      <c r="AB1077" s="122">
        <f>IFERROR(IFERROR((LEN($T1078)-LEN(SUBSTITUTE($T1078,"Quality of Works / Criteria of Failings:Compliant","")))/LEN("Quality of Works / Criteria of Failings:Compliant"),0)/MAX(1,(LEN($I1078)-LEN(SUBSTITUTE($I1078," Ltd","")))/LEN(" Ltd")),0)</f>
        <v/>
      </c>
    </row>
    <row r="1078" ht="15" customHeight="1" s="146">
      <c r="Y1078" s="122">
        <f>MAX(0,IFERROR((LEN($T1079)-LEN(SUBSTITUTE($T1079,"Quality of Works / Criteria of Failings:","")))/LEN("Quality of Works / Criteria of Failings:"),0)-IFERROR((LEN($T1079)-LEN(SUBSTITUTE($T1079,"Quality of Works / Criteria of Failings:Compliant","")))/LEN("Quality of Works / Criteria of Failings:Compliant"),0))</f>
        <v/>
      </c>
      <c r="Z1078" s="122">
        <f>IFERROR($Y1079/MAX(1,(LEN($I1079)-LEN(SUBSTITUTE($I1079," Ltd","")))/LEN(" Ltd")),0)</f>
        <v/>
      </c>
      <c r="AA1078" s="122">
        <f>IFERROR(IFERROR((LEN($T1079)-LEN(SUBSTITUTE($T1079,"Quality of Works / Criteria of Failings:","")))/LEN("Quality of Works / Criteria of Failings:"),0)/MAX(1,(LEN($I1079)-LEN(SUBSTITUTE($I1079," Ltd","")))/LEN(" Ltd")),0)</f>
        <v/>
      </c>
      <c r="AB1078" s="122">
        <f>IFERROR(IFERROR((LEN($T1079)-LEN(SUBSTITUTE($T1079,"Quality of Works / Criteria of Failings:Compliant","")))/LEN("Quality of Works / Criteria of Failings:Compliant"),0)/MAX(1,(LEN($I1079)-LEN(SUBSTITUTE($I1079," Ltd","")))/LEN(" Ltd")),0)</f>
        <v/>
      </c>
    </row>
    <row r="1079" ht="15" customHeight="1" s="146">
      <c r="Y1079" s="122">
        <f>MAX(0,IFERROR((LEN($T1080)-LEN(SUBSTITUTE($T1080,"Quality of Works / Criteria of Failings:","")))/LEN("Quality of Works / Criteria of Failings:"),0)-IFERROR((LEN($T1080)-LEN(SUBSTITUTE($T1080,"Quality of Works / Criteria of Failings:Compliant","")))/LEN("Quality of Works / Criteria of Failings:Compliant"),0))</f>
        <v/>
      </c>
      <c r="Z1079" s="122">
        <f>IFERROR($Y1080/MAX(1,(LEN($I1080)-LEN(SUBSTITUTE($I1080," Ltd","")))/LEN(" Ltd")),0)</f>
        <v/>
      </c>
      <c r="AA1079" s="122">
        <f>IFERROR(IFERROR((LEN($T1080)-LEN(SUBSTITUTE($T1080,"Quality of Works / Criteria of Failings:","")))/LEN("Quality of Works / Criteria of Failings:"),0)/MAX(1,(LEN($I1080)-LEN(SUBSTITUTE($I1080," Ltd","")))/LEN(" Ltd")),0)</f>
        <v/>
      </c>
      <c r="AB1079" s="122">
        <f>IFERROR(IFERROR((LEN($T1080)-LEN(SUBSTITUTE($T1080,"Quality of Works / Criteria of Failings:Compliant","")))/LEN("Quality of Works / Criteria of Failings:Compliant"),0)/MAX(1,(LEN($I1080)-LEN(SUBSTITUTE($I1080," Ltd","")))/LEN(" Ltd")),0)</f>
        <v/>
      </c>
    </row>
    <row r="1080" ht="15" customHeight="1" s="146">
      <c r="Y1080" s="122">
        <f>MAX(0,IFERROR((LEN($T1081)-LEN(SUBSTITUTE($T1081,"Quality of Works / Criteria of Failings:","")))/LEN("Quality of Works / Criteria of Failings:"),0)-IFERROR((LEN($T1081)-LEN(SUBSTITUTE($T1081,"Quality of Works / Criteria of Failings:Compliant","")))/LEN("Quality of Works / Criteria of Failings:Compliant"),0))</f>
        <v/>
      </c>
      <c r="Z1080" s="122">
        <f>IFERROR($Y1081/MAX(1,(LEN($I1081)-LEN(SUBSTITUTE($I1081," Ltd","")))/LEN(" Ltd")),0)</f>
        <v/>
      </c>
      <c r="AA1080" s="122">
        <f>IFERROR(IFERROR((LEN($T1081)-LEN(SUBSTITUTE($T1081,"Quality of Works / Criteria of Failings:","")))/LEN("Quality of Works / Criteria of Failings:"),0)/MAX(1,(LEN($I1081)-LEN(SUBSTITUTE($I1081," Ltd","")))/LEN(" Ltd")),0)</f>
        <v/>
      </c>
      <c r="AB1080" s="122">
        <f>IFERROR(IFERROR((LEN($T1081)-LEN(SUBSTITUTE($T1081,"Quality of Works / Criteria of Failings:Compliant","")))/LEN("Quality of Works / Criteria of Failings:Compliant"),0)/MAX(1,(LEN($I1081)-LEN(SUBSTITUTE($I1081," Ltd","")))/LEN(" Ltd")),0)</f>
        <v/>
      </c>
    </row>
    <row r="1081" ht="15" customHeight="1" s="146">
      <c r="Y1081" s="122">
        <f>MAX(0,IFERROR((LEN($T1082)-LEN(SUBSTITUTE($T1082,"Quality of Works / Criteria of Failings:","")))/LEN("Quality of Works / Criteria of Failings:"),0)-IFERROR((LEN($T1082)-LEN(SUBSTITUTE($T1082,"Quality of Works / Criteria of Failings:Compliant","")))/LEN("Quality of Works / Criteria of Failings:Compliant"),0))</f>
        <v/>
      </c>
      <c r="Z1081" s="122">
        <f>IFERROR($Y1082/MAX(1,(LEN($I1082)-LEN(SUBSTITUTE($I1082," Ltd","")))/LEN(" Ltd")),0)</f>
        <v/>
      </c>
      <c r="AA1081" s="122">
        <f>IFERROR(IFERROR((LEN($T1082)-LEN(SUBSTITUTE($T1082,"Quality of Works / Criteria of Failings:","")))/LEN("Quality of Works / Criteria of Failings:"),0)/MAX(1,(LEN($I1082)-LEN(SUBSTITUTE($I1082," Ltd","")))/LEN(" Ltd")),0)</f>
        <v/>
      </c>
      <c r="AB1081" s="122">
        <f>IFERROR(IFERROR((LEN($T1082)-LEN(SUBSTITUTE($T1082,"Quality of Works / Criteria of Failings:Compliant","")))/LEN("Quality of Works / Criteria of Failings:Compliant"),0)/MAX(1,(LEN($I1082)-LEN(SUBSTITUTE($I1082," Ltd","")))/LEN(" Ltd")),0)</f>
        <v/>
      </c>
    </row>
    <row r="1082" ht="15" customHeight="1" s="146">
      <c r="Y1082" s="122">
        <f>MAX(0,IFERROR((LEN($T1083)-LEN(SUBSTITUTE($T1083,"Quality of Works / Criteria of Failings:","")))/LEN("Quality of Works / Criteria of Failings:"),0)-IFERROR((LEN($T1083)-LEN(SUBSTITUTE($T1083,"Quality of Works / Criteria of Failings:Compliant","")))/LEN("Quality of Works / Criteria of Failings:Compliant"),0))</f>
        <v/>
      </c>
      <c r="Z1082" s="122">
        <f>IFERROR($Y1083/MAX(1,(LEN($I1083)-LEN(SUBSTITUTE($I1083," Ltd","")))/LEN(" Ltd")),0)</f>
        <v/>
      </c>
      <c r="AA1082" s="122">
        <f>IFERROR(IFERROR((LEN($T1083)-LEN(SUBSTITUTE($T1083,"Quality of Works / Criteria of Failings:","")))/LEN("Quality of Works / Criteria of Failings:"),0)/MAX(1,(LEN($I1083)-LEN(SUBSTITUTE($I1083," Ltd","")))/LEN(" Ltd")),0)</f>
        <v/>
      </c>
      <c r="AB1082" s="122">
        <f>IFERROR(IFERROR((LEN($T1083)-LEN(SUBSTITUTE($T1083,"Quality of Works / Criteria of Failings:Compliant","")))/LEN("Quality of Works / Criteria of Failings:Compliant"),0)/MAX(1,(LEN($I1083)-LEN(SUBSTITUTE($I1083," Ltd","")))/LEN(" Ltd")),0)</f>
        <v/>
      </c>
    </row>
    <row r="1083" ht="15" customHeight="1" s="146">
      <c r="Y1083" s="122">
        <f>MAX(0,IFERROR((LEN($T1084)-LEN(SUBSTITUTE($T1084,"Quality of Works / Criteria of Failings:","")))/LEN("Quality of Works / Criteria of Failings:"),0)-IFERROR((LEN($T1084)-LEN(SUBSTITUTE($T1084,"Quality of Works / Criteria of Failings:Compliant","")))/LEN("Quality of Works / Criteria of Failings:Compliant"),0))</f>
        <v/>
      </c>
      <c r="Z1083" s="122">
        <f>IFERROR($Y1084/MAX(1,(LEN($I1084)-LEN(SUBSTITUTE($I1084," Ltd","")))/LEN(" Ltd")),0)</f>
        <v/>
      </c>
      <c r="AA1083" s="122">
        <f>IFERROR(IFERROR((LEN($T1084)-LEN(SUBSTITUTE($T1084,"Quality of Works / Criteria of Failings:","")))/LEN("Quality of Works / Criteria of Failings:"),0)/MAX(1,(LEN($I1084)-LEN(SUBSTITUTE($I1084," Ltd","")))/LEN(" Ltd")),0)</f>
        <v/>
      </c>
      <c r="AB1083" s="122">
        <f>IFERROR(IFERROR((LEN($T1084)-LEN(SUBSTITUTE($T1084,"Quality of Works / Criteria of Failings:Compliant","")))/LEN("Quality of Works / Criteria of Failings:Compliant"),0)/MAX(1,(LEN($I1084)-LEN(SUBSTITUTE($I1084," Ltd","")))/LEN(" Ltd")),0)</f>
        <v/>
      </c>
    </row>
    <row r="1084" ht="15" customHeight="1" s="146">
      <c r="Y1084" s="122">
        <f>MAX(0,IFERROR((LEN($T1085)-LEN(SUBSTITUTE($T1085,"Quality of Works / Criteria of Failings:","")))/LEN("Quality of Works / Criteria of Failings:"),0)-IFERROR((LEN($T1085)-LEN(SUBSTITUTE($T1085,"Quality of Works / Criteria of Failings:Compliant","")))/LEN("Quality of Works / Criteria of Failings:Compliant"),0))</f>
        <v/>
      </c>
      <c r="Z1084" s="122">
        <f>IFERROR($Y1085/MAX(1,(LEN($I1085)-LEN(SUBSTITUTE($I1085," Ltd","")))/LEN(" Ltd")),0)</f>
        <v/>
      </c>
      <c r="AA1084" s="122">
        <f>IFERROR(IFERROR((LEN($T1085)-LEN(SUBSTITUTE($T1085,"Quality of Works / Criteria of Failings:","")))/LEN("Quality of Works / Criteria of Failings:"),0)/MAX(1,(LEN($I1085)-LEN(SUBSTITUTE($I1085," Ltd","")))/LEN(" Ltd")),0)</f>
        <v/>
      </c>
      <c r="AB1084" s="122">
        <f>IFERROR(IFERROR((LEN($T1085)-LEN(SUBSTITUTE($T1085,"Quality of Works / Criteria of Failings:Compliant","")))/LEN("Quality of Works / Criteria of Failings:Compliant"),0)/MAX(1,(LEN($I1085)-LEN(SUBSTITUTE($I1085," Ltd","")))/LEN(" Ltd")),0)</f>
        <v/>
      </c>
    </row>
    <row r="1085" ht="15" customHeight="1" s="146">
      <c r="Y1085" s="122">
        <f>MAX(0,IFERROR((LEN($T1086)-LEN(SUBSTITUTE($T1086,"Quality of Works / Criteria of Failings:","")))/LEN("Quality of Works / Criteria of Failings:"),0)-IFERROR((LEN($T1086)-LEN(SUBSTITUTE($T1086,"Quality of Works / Criteria of Failings:Compliant","")))/LEN("Quality of Works / Criteria of Failings:Compliant"),0))</f>
        <v/>
      </c>
      <c r="Z1085" s="122">
        <f>IFERROR($Y1086/MAX(1,(LEN($I1086)-LEN(SUBSTITUTE($I1086," Ltd","")))/LEN(" Ltd")),0)</f>
        <v/>
      </c>
      <c r="AA1085" s="122">
        <f>IFERROR(IFERROR((LEN($T1086)-LEN(SUBSTITUTE($T1086,"Quality of Works / Criteria of Failings:","")))/LEN("Quality of Works / Criteria of Failings:"),0)/MAX(1,(LEN($I1086)-LEN(SUBSTITUTE($I1086," Ltd","")))/LEN(" Ltd")),0)</f>
        <v/>
      </c>
      <c r="AB1085" s="122">
        <f>IFERROR(IFERROR((LEN($T1086)-LEN(SUBSTITUTE($T1086,"Quality of Works / Criteria of Failings:Compliant","")))/LEN("Quality of Works / Criteria of Failings:Compliant"),0)/MAX(1,(LEN($I1086)-LEN(SUBSTITUTE($I1086," Ltd","")))/LEN(" Ltd")),0)</f>
        <v/>
      </c>
    </row>
    <row r="1086" ht="15" customHeight="1" s="146">
      <c r="Y1086" s="122">
        <f>MAX(0,IFERROR((LEN($T1087)-LEN(SUBSTITUTE($T1087,"Quality of Works / Criteria of Failings:","")))/LEN("Quality of Works / Criteria of Failings:"),0)-IFERROR((LEN($T1087)-LEN(SUBSTITUTE($T1087,"Quality of Works / Criteria of Failings:Compliant","")))/LEN("Quality of Works / Criteria of Failings:Compliant"),0))</f>
        <v/>
      </c>
      <c r="Z1086" s="122">
        <f>IFERROR($Y1087/MAX(1,(LEN($I1087)-LEN(SUBSTITUTE($I1087," Ltd","")))/LEN(" Ltd")),0)</f>
        <v/>
      </c>
      <c r="AA1086" s="122">
        <f>IFERROR(IFERROR((LEN($T1087)-LEN(SUBSTITUTE($T1087,"Quality of Works / Criteria of Failings:","")))/LEN("Quality of Works / Criteria of Failings:"),0)/MAX(1,(LEN($I1087)-LEN(SUBSTITUTE($I1087," Ltd","")))/LEN(" Ltd")),0)</f>
        <v/>
      </c>
      <c r="AB1086" s="122">
        <f>IFERROR(IFERROR((LEN($T1087)-LEN(SUBSTITUTE($T1087,"Quality of Works / Criteria of Failings:Compliant","")))/LEN("Quality of Works / Criteria of Failings:Compliant"),0)/MAX(1,(LEN($I1087)-LEN(SUBSTITUTE($I1087," Ltd","")))/LEN(" Ltd")),0)</f>
        <v/>
      </c>
    </row>
    <row r="1087" ht="15" customHeight="1" s="146">
      <c r="Y1087" s="122">
        <f>MAX(0,IFERROR((LEN($T1088)-LEN(SUBSTITUTE($T1088,"Quality of Works / Criteria of Failings:","")))/LEN("Quality of Works / Criteria of Failings:"),0)-IFERROR((LEN($T1088)-LEN(SUBSTITUTE($T1088,"Quality of Works / Criteria of Failings:Compliant","")))/LEN("Quality of Works / Criteria of Failings:Compliant"),0))</f>
        <v/>
      </c>
      <c r="Z1087" s="122">
        <f>IFERROR($Y1088/MAX(1,(LEN($I1088)-LEN(SUBSTITUTE($I1088," Ltd","")))/LEN(" Ltd")),0)</f>
        <v/>
      </c>
      <c r="AA1087" s="122">
        <f>IFERROR(IFERROR((LEN($T1088)-LEN(SUBSTITUTE($T1088,"Quality of Works / Criteria of Failings:","")))/LEN("Quality of Works / Criteria of Failings:"),0)/MAX(1,(LEN($I1088)-LEN(SUBSTITUTE($I1088," Ltd","")))/LEN(" Ltd")),0)</f>
        <v/>
      </c>
      <c r="AB1087" s="122">
        <f>IFERROR(IFERROR((LEN($T1088)-LEN(SUBSTITUTE($T1088,"Quality of Works / Criteria of Failings:Compliant","")))/LEN("Quality of Works / Criteria of Failings:Compliant"),0)/MAX(1,(LEN($I1088)-LEN(SUBSTITUTE($I1088," Ltd","")))/LEN(" Ltd")),0)</f>
        <v/>
      </c>
    </row>
    <row r="1088" ht="15" customHeight="1" s="146">
      <c r="Y1088" s="122">
        <f>MAX(0,IFERROR((LEN($T1089)-LEN(SUBSTITUTE($T1089,"Quality of Works / Criteria of Failings:","")))/LEN("Quality of Works / Criteria of Failings:"),0)-IFERROR((LEN($T1089)-LEN(SUBSTITUTE($T1089,"Quality of Works / Criteria of Failings:Compliant","")))/LEN("Quality of Works / Criteria of Failings:Compliant"),0))</f>
        <v/>
      </c>
      <c r="Z1088" s="122">
        <f>IFERROR($Y1089/MAX(1,(LEN($I1089)-LEN(SUBSTITUTE($I1089," Ltd","")))/LEN(" Ltd")),0)</f>
        <v/>
      </c>
      <c r="AA1088" s="122">
        <f>IFERROR(IFERROR((LEN($T1089)-LEN(SUBSTITUTE($T1089,"Quality of Works / Criteria of Failings:","")))/LEN("Quality of Works / Criteria of Failings:"),0)/MAX(1,(LEN($I1089)-LEN(SUBSTITUTE($I1089," Ltd","")))/LEN(" Ltd")),0)</f>
        <v/>
      </c>
      <c r="AB1088" s="122">
        <f>IFERROR(IFERROR((LEN($T1089)-LEN(SUBSTITUTE($T1089,"Quality of Works / Criteria of Failings:Compliant","")))/LEN("Quality of Works / Criteria of Failings:Compliant"),0)/MAX(1,(LEN($I1089)-LEN(SUBSTITUTE($I1089," Ltd","")))/LEN(" Ltd")),0)</f>
        <v/>
      </c>
    </row>
    <row r="1089" ht="15" customHeight="1" s="146">
      <c r="Y1089" s="122">
        <f>MAX(0,IFERROR((LEN($T1090)-LEN(SUBSTITUTE($T1090,"Quality of Works / Criteria of Failings:","")))/LEN("Quality of Works / Criteria of Failings:"),0)-IFERROR((LEN($T1090)-LEN(SUBSTITUTE($T1090,"Quality of Works / Criteria of Failings:Compliant","")))/LEN("Quality of Works / Criteria of Failings:Compliant"),0))</f>
        <v/>
      </c>
      <c r="Z1089" s="122">
        <f>IFERROR($Y1090/MAX(1,(LEN($I1090)-LEN(SUBSTITUTE($I1090," Ltd","")))/LEN(" Ltd")),0)</f>
        <v/>
      </c>
      <c r="AA1089" s="122">
        <f>IFERROR(IFERROR((LEN($T1090)-LEN(SUBSTITUTE($T1090,"Quality of Works / Criteria of Failings:","")))/LEN("Quality of Works / Criteria of Failings:"),0)/MAX(1,(LEN($I1090)-LEN(SUBSTITUTE($I1090," Ltd","")))/LEN(" Ltd")),0)</f>
        <v/>
      </c>
      <c r="AB1089" s="122">
        <f>IFERROR(IFERROR((LEN($T1090)-LEN(SUBSTITUTE($T1090,"Quality of Works / Criteria of Failings:Compliant","")))/LEN("Quality of Works / Criteria of Failings:Compliant"),0)/MAX(1,(LEN($I1090)-LEN(SUBSTITUTE($I1090," Ltd","")))/LEN(" Ltd")),0)</f>
        <v/>
      </c>
    </row>
    <row r="1090" ht="15" customHeight="1" s="146">
      <c r="Y1090" s="122">
        <f>MAX(0,IFERROR((LEN($T1091)-LEN(SUBSTITUTE($T1091,"Quality of Works / Criteria of Failings:","")))/LEN("Quality of Works / Criteria of Failings:"),0)-IFERROR((LEN($T1091)-LEN(SUBSTITUTE($T1091,"Quality of Works / Criteria of Failings:Compliant","")))/LEN("Quality of Works / Criteria of Failings:Compliant"),0))</f>
        <v/>
      </c>
      <c r="Z1090" s="122">
        <f>IFERROR($Y1091/MAX(1,(LEN($I1091)-LEN(SUBSTITUTE($I1091," Ltd","")))/LEN(" Ltd")),0)</f>
        <v/>
      </c>
      <c r="AA1090" s="122">
        <f>IFERROR(IFERROR((LEN($T1091)-LEN(SUBSTITUTE($T1091,"Quality of Works / Criteria of Failings:","")))/LEN("Quality of Works / Criteria of Failings:"),0)/MAX(1,(LEN($I1091)-LEN(SUBSTITUTE($I1091," Ltd","")))/LEN(" Ltd")),0)</f>
        <v/>
      </c>
      <c r="AB1090" s="122">
        <f>IFERROR(IFERROR((LEN($T1091)-LEN(SUBSTITUTE($T1091,"Quality of Works / Criteria of Failings:Compliant","")))/LEN("Quality of Works / Criteria of Failings:Compliant"),0)/MAX(1,(LEN($I1091)-LEN(SUBSTITUTE($I1091," Ltd","")))/LEN(" Ltd")),0)</f>
        <v/>
      </c>
    </row>
    <row r="1091" ht="15" customHeight="1" s="146">
      <c r="Y1091" s="122">
        <f>MAX(0,IFERROR((LEN($T1092)-LEN(SUBSTITUTE($T1092,"Quality of Works / Criteria of Failings:","")))/LEN("Quality of Works / Criteria of Failings:"),0)-IFERROR((LEN($T1092)-LEN(SUBSTITUTE($T1092,"Quality of Works / Criteria of Failings:Compliant","")))/LEN("Quality of Works / Criteria of Failings:Compliant"),0))</f>
        <v/>
      </c>
      <c r="Z1091" s="122">
        <f>IFERROR($Y1092/MAX(1,(LEN($I1092)-LEN(SUBSTITUTE($I1092," Ltd","")))/LEN(" Ltd")),0)</f>
        <v/>
      </c>
      <c r="AA1091" s="122">
        <f>IFERROR(IFERROR((LEN($T1092)-LEN(SUBSTITUTE($T1092,"Quality of Works / Criteria of Failings:","")))/LEN("Quality of Works / Criteria of Failings:"),0)/MAX(1,(LEN($I1092)-LEN(SUBSTITUTE($I1092," Ltd","")))/LEN(" Ltd")),0)</f>
        <v/>
      </c>
      <c r="AB1091" s="122">
        <f>IFERROR(IFERROR((LEN($T1092)-LEN(SUBSTITUTE($T1092,"Quality of Works / Criteria of Failings:Compliant","")))/LEN("Quality of Works / Criteria of Failings:Compliant"),0)/MAX(1,(LEN($I1092)-LEN(SUBSTITUTE($I1092," Ltd","")))/LEN(" Ltd")),0)</f>
        <v/>
      </c>
    </row>
    <row r="1092" ht="15" customHeight="1" s="146">
      <c r="Y1092" s="122">
        <f>MAX(0,IFERROR((LEN($T1093)-LEN(SUBSTITUTE($T1093,"Quality of Works / Criteria of Failings:","")))/LEN("Quality of Works / Criteria of Failings:"),0)-IFERROR((LEN($T1093)-LEN(SUBSTITUTE($T1093,"Quality of Works / Criteria of Failings:Compliant","")))/LEN("Quality of Works / Criteria of Failings:Compliant"),0))</f>
        <v/>
      </c>
      <c r="Z1092" s="122">
        <f>IFERROR($Y1093/MAX(1,(LEN($I1093)-LEN(SUBSTITUTE($I1093," Ltd","")))/LEN(" Ltd")),0)</f>
        <v/>
      </c>
      <c r="AA1092" s="122">
        <f>IFERROR(IFERROR((LEN($T1093)-LEN(SUBSTITUTE($T1093,"Quality of Works / Criteria of Failings:","")))/LEN("Quality of Works / Criteria of Failings:"),0)/MAX(1,(LEN($I1093)-LEN(SUBSTITUTE($I1093," Ltd","")))/LEN(" Ltd")),0)</f>
        <v/>
      </c>
      <c r="AB1092" s="122">
        <f>IFERROR(IFERROR((LEN($T1093)-LEN(SUBSTITUTE($T1093,"Quality of Works / Criteria of Failings:Compliant","")))/LEN("Quality of Works / Criteria of Failings:Compliant"),0)/MAX(1,(LEN($I1093)-LEN(SUBSTITUTE($I1093," Ltd","")))/LEN(" Ltd")),0)</f>
        <v/>
      </c>
    </row>
    <row r="1093" ht="15" customHeight="1" s="146">
      <c r="Y1093" s="122">
        <f>MAX(0,IFERROR((LEN($T1094)-LEN(SUBSTITUTE($T1094,"Quality of Works / Criteria of Failings:","")))/LEN("Quality of Works / Criteria of Failings:"),0)-IFERROR((LEN($T1094)-LEN(SUBSTITUTE($T1094,"Quality of Works / Criteria of Failings:Compliant","")))/LEN("Quality of Works / Criteria of Failings:Compliant"),0))</f>
        <v/>
      </c>
      <c r="Z1093" s="122">
        <f>IFERROR($Y1094/MAX(1,(LEN($I1094)-LEN(SUBSTITUTE($I1094," Ltd","")))/LEN(" Ltd")),0)</f>
        <v/>
      </c>
      <c r="AA1093" s="122">
        <f>IFERROR(IFERROR((LEN($T1094)-LEN(SUBSTITUTE($T1094,"Quality of Works / Criteria of Failings:","")))/LEN("Quality of Works / Criteria of Failings:"),0)/MAX(1,(LEN($I1094)-LEN(SUBSTITUTE($I1094," Ltd","")))/LEN(" Ltd")),0)</f>
        <v/>
      </c>
      <c r="AB1093" s="122">
        <f>IFERROR(IFERROR((LEN($T1094)-LEN(SUBSTITUTE($T1094,"Quality of Works / Criteria of Failings:Compliant","")))/LEN("Quality of Works / Criteria of Failings:Compliant"),0)/MAX(1,(LEN($I1094)-LEN(SUBSTITUTE($I1094," Ltd","")))/LEN(" Ltd")),0)</f>
        <v/>
      </c>
    </row>
    <row r="1094" ht="15" customHeight="1" s="146">
      <c r="Y1094" s="122">
        <f>MAX(0,IFERROR((LEN($T1095)-LEN(SUBSTITUTE($T1095,"Quality of Works / Criteria of Failings:","")))/LEN("Quality of Works / Criteria of Failings:"),0)-IFERROR((LEN($T1095)-LEN(SUBSTITUTE($T1095,"Quality of Works / Criteria of Failings:Compliant","")))/LEN("Quality of Works / Criteria of Failings:Compliant"),0))</f>
        <v/>
      </c>
      <c r="Z1094" s="122">
        <f>IFERROR($Y1095/MAX(1,(LEN($I1095)-LEN(SUBSTITUTE($I1095," Ltd","")))/LEN(" Ltd")),0)</f>
        <v/>
      </c>
      <c r="AA1094" s="122">
        <f>IFERROR(IFERROR((LEN($T1095)-LEN(SUBSTITUTE($T1095,"Quality of Works / Criteria of Failings:","")))/LEN("Quality of Works / Criteria of Failings:"),0)/MAX(1,(LEN($I1095)-LEN(SUBSTITUTE($I1095," Ltd","")))/LEN(" Ltd")),0)</f>
        <v/>
      </c>
      <c r="AB1094" s="122">
        <f>IFERROR(IFERROR((LEN($T1095)-LEN(SUBSTITUTE($T1095,"Quality of Works / Criteria of Failings:Compliant","")))/LEN("Quality of Works / Criteria of Failings:Compliant"),0)/MAX(1,(LEN($I1095)-LEN(SUBSTITUTE($I1095," Ltd","")))/LEN(" Ltd")),0)</f>
        <v/>
      </c>
    </row>
    <row r="1095" ht="15" customHeight="1" s="146">
      <c r="Y1095" s="122">
        <f>MAX(0,IFERROR((LEN($T1096)-LEN(SUBSTITUTE($T1096,"Quality of Works / Criteria of Failings:","")))/LEN("Quality of Works / Criteria of Failings:"),0)-IFERROR((LEN($T1096)-LEN(SUBSTITUTE($T1096,"Quality of Works / Criteria of Failings:Compliant","")))/LEN("Quality of Works / Criteria of Failings:Compliant"),0))</f>
        <v/>
      </c>
      <c r="Z1095" s="122">
        <f>IFERROR($Y1096/MAX(1,(LEN($I1096)-LEN(SUBSTITUTE($I1096," Ltd","")))/LEN(" Ltd")),0)</f>
        <v/>
      </c>
      <c r="AA1095" s="122">
        <f>IFERROR(IFERROR((LEN($T1096)-LEN(SUBSTITUTE($T1096,"Quality of Works / Criteria of Failings:","")))/LEN("Quality of Works / Criteria of Failings:"),0)/MAX(1,(LEN($I1096)-LEN(SUBSTITUTE($I1096," Ltd","")))/LEN(" Ltd")),0)</f>
        <v/>
      </c>
      <c r="AB1095" s="122">
        <f>IFERROR(IFERROR((LEN($T1096)-LEN(SUBSTITUTE($T1096,"Quality of Works / Criteria of Failings:Compliant","")))/LEN("Quality of Works / Criteria of Failings:Compliant"),0)/MAX(1,(LEN($I1096)-LEN(SUBSTITUTE($I1096," Ltd","")))/LEN(" Ltd")),0)</f>
        <v/>
      </c>
    </row>
    <row r="1096" ht="15" customHeight="1" s="146">
      <c r="Y1096" s="122">
        <f>MAX(0,IFERROR((LEN($T1097)-LEN(SUBSTITUTE($T1097,"Quality of Works / Criteria of Failings:","")))/LEN("Quality of Works / Criteria of Failings:"),0)-IFERROR((LEN($T1097)-LEN(SUBSTITUTE($T1097,"Quality of Works / Criteria of Failings:Compliant","")))/LEN("Quality of Works / Criteria of Failings:Compliant"),0))</f>
        <v/>
      </c>
      <c r="Z1096" s="122">
        <f>IFERROR($Y1097/MAX(1,(LEN($I1097)-LEN(SUBSTITUTE($I1097," Ltd","")))/LEN(" Ltd")),0)</f>
        <v/>
      </c>
      <c r="AA1096" s="122">
        <f>IFERROR(IFERROR((LEN($T1097)-LEN(SUBSTITUTE($T1097,"Quality of Works / Criteria of Failings:","")))/LEN("Quality of Works / Criteria of Failings:"),0)/MAX(1,(LEN($I1097)-LEN(SUBSTITUTE($I1097," Ltd","")))/LEN(" Ltd")),0)</f>
        <v/>
      </c>
      <c r="AB1096" s="122">
        <f>IFERROR(IFERROR((LEN($T1097)-LEN(SUBSTITUTE($T1097,"Quality of Works / Criteria of Failings:Compliant","")))/LEN("Quality of Works / Criteria of Failings:Compliant"),0)/MAX(1,(LEN($I1097)-LEN(SUBSTITUTE($I1097," Ltd","")))/LEN(" Ltd")),0)</f>
        <v/>
      </c>
    </row>
    <row r="1097" ht="15" customHeight="1" s="146">
      <c r="Y1097" s="122">
        <f>MAX(0,IFERROR((LEN($T1098)-LEN(SUBSTITUTE($T1098,"Quality of Works / Criteria of Failings:","")))/LEN("Quality of Works / Criteria of Failings:"),0)-IFERROR((LEN($T1098)-LEN(SUBSTITUTE($T1098,"Quality of Works / Criteria of Failings:Compliant","")))/LEN("Quality of Works / Criteria of Failings:Compliant"),0))</f>
        <v/>
      </c>
      <c r="Z1097" s="122">
        <f>IFERROR($Y1098/MAX(1,(LEN($I1098)-LEN(SUBSTITUTE($I1098," Ltd","")))/LEN(" Ltd")),0)</f>
        <v/>
      </c>
      <c r="AA1097" s="122">
        <f>IFERROR(IFERROR((LEN($T1098)-LEN(SUBSTITUTE($T1098,"Quality of Works / Criteria of Failings:","")))/LEN("Quality of Works / Criteria of Failings:"),0)/MAX(1,(LEN($I1098)-LEN(SUBSTITUTE($I1098," Ltd","")))/LEN(" Ltd")),0)</f>
        <v/>
      </c>
      <c r="AB1097" s="122">
        <f>IFERROR(IFERROR((LEN($T1098)-LEN(SUBSTITUTE($T1098,"Quality of Works / Criteria of Failings:Compliant","")))/LEN("Quality of Works / Criteria of Failings:Compliant"),0)/MAX(1,(LEN($I1098)-LEN(SUBSTITUTE($I1098," Ltd","")))/LEN(" Ltd")),0)</f>
        <v/>
      </c>
    </row>
    <row r="1098" ht="15" customHeight="1" s="146">
      <c r="Y1098" s="122">
        <f>MAX(0,IFERROR((LEN($T1099)-LEN(SUBSTITUTE($T1099,"Quality of Works / Criteria of Failings:","")))/LEN("Quality of Works / Criteria of Failings:"),0)-IFERROR((LEN($T1099)-LEN(SUBSTITUTE($T1099,"Quality of Works / Criteria of Failings:Compliant","")))/LEN("Quality of Works / Criteria of Failings:Compliant"),0))</f>
        <v/>
      </c>
      <c r="Z1098" s="122">
        <f>IFERROR($Y1099/MAX(1,(LEN($I1099)-LEN(SUBSTITUTE($I1099," Ltd","")))/LEN(" Ltd")),0)</f>
        <v/>
      </c>
      <c r="AA1098" s="122">
        <f>IFERROR(IFERROR((LEN($T1099)-LEN(SUBSTITUTE($T1099,"Quality of Works / Criteria of Failings:","")))/LEN("Quality of Works / Criteria of Failings:"),0)/MAX(1,(LEN($I1099)-LEN(SUBSTITUTE($I1099," Ltd","")))/LEN(" Ltd")),0)</f>
        <v/>
      </c>
      <c r="AB1098" s="122">
        <f>IFERROR(IFERROR((LEN($T1099)-LEN(SUBSTITUTE($T1099,"Quality of Works / Criteria of Failings:Compliant","")))/LEN("Quality of Works / Criteria of Failings:Compliant"),0)/MAX(1,(LEN($I1099)-LEN(SUBSTITUTE($I1099," Ltd","")))/LEN(" Ltd")),0)</f>
        <v/>
      </c>
    </row>
    <row r="1099" ht="15" customHeight="1" s="146">
      <c r="Y1099" s="122">
        <f>MAX(0,IFERROR((LEN($T1100)-LEN(SUBSTITUTE($T1100,"Quality of Works / Criteria of Failings:","")))/LEN("Quality of Works / Criteria of Failings:"),0)-IFERROR((LEN($T1100)-LEN(SUBSTITUTE($T1100,"Quality of Works / Criteria of Failings:Compliant","")))/LEN("Quality of Works / Criteria of Failings:Compliant"),0))</f>
        <v/>
      </c>
      <c r="Z1099" s="122">
        <f>IFERROR($Y1100/MAX(1,(LEN($I1100)-LEN(SUBSTITUTE($I1100," Ltd","")))/LEN(" Ltd")),0)</f>
        <v/>
      </c>
      <c r="AA1099" s="122">
        <f>IFERROR(IFERROR((LEN($T1100)-LEN(SUBSTITUTE($T1100,"Quality of Works / Criteria of Failings:","")))/LEN("Quality of Works / Criteria of Failings:"),0)/MAX(1,(LEN($I1100)-LEN(SUBSTITUTE($I1100," Ltd","")))/LEN(" Ltd")),0)</f>
        <v/>
      </c>
      <c r="AB1099" s="122">
        <f>IFERROR(IFERROR((LEN($T1100)-LEN(SUBSTITUTE($T1100,"Quality of Works / Criteria of Failings:Compliant","")))/LEN("Quality of Works / Criteria of Failings:Compliant"),0)/MAX(1,(LEN($I1100)-LEN(SUBSTITUTE($I1100," Ltd","")))/LEN(" Ltd")),0)</f>
        <v/>
      </c>
    </row>
    <row r="1100" ht="15" customHeight="1" s="146">
      <c r="Y1100" s="122">
        <f>MAX(0,IFERROR((LEN($T1101)-LEN(SUBSTITUTE($T1101,"Quality of Works / Criteria of Failings:","")))/LEN("Quality of Works / Criteria of Failings:"),0)-IFERROR((LEN($T1101)-LEN(SUBSTITUTE($T1101,"Quality of Works / Criteria of Failings:Compliant","")))/LEN("Quality of Works / Criteria of Failings:Compliant"),0))</f>
        <v/>
      </c>
      <c r="Z1100" s="122">
        <f>IFERROR($Y1101/MAX(1,(LEN($I1101)-LEN(SUBSTITUTE($I1101," Ltd","")))/LEN(" Ltd")),0)</f>
        <v/>
      </c>
      <c r="AA1100" s="122">
        <f>IFERROR(IFERROR((LEN($T1101)-LEN(SUBSTITUTE($T1101,"Quality of Works / Criteria of Failings:","")))/LEN("Quality of Works / Criteria of Failings:"),0)/MAX(1,(LEN($I1101)-LEN(SUBSTITUTE($I1101," Ltd","")))/LEN(" Ltd")),0)</f>
        <v/>
      </c>
      <c r="AB1100" s="122">
        <f>IFERROR(IFERROR((LEN($T1101)-LEN(SUBSTITUTE($T1101,"Quality of Works / Criteria of Failings:Compliant","")))/LEN("Quality of Works / Criteria of Failings:Compliant"),0)/MAX(1,(LEN($I1101)-LEN(SUBSTITUTE($I1101," Ltd","")))/LEN(" Ltd")),0)</f>
        <v/>
      </c>
    </row>
    <row r="1101" ht="15" customHeight="1" s="146">
      <c r="Y1101" s="122">
        <f>MAX(0,IFERROR((LEN($T1102)-LEN(SUBSTITUTE($T1102,"Quality of Works / Criteria of Failings:","")))/LEN("Quality of Works / Criteria of Failings:"),0)-IFERROR((LEN($T1102)-LEN(SUBSTITUTE($T1102,"Quality of Works / Criteria of Failings:Compliant","")))/LEN("Quality of Works / Criteria of Failings:Compliant"),0))</f>
        <v/>
      </c>
      <c r="Z1101" s="122">
        <f>IFERROR($Y1102/MAX(1,(LEN($I1102)-LEN(SUBSTITUTE($I1102," Ltd","")))/LEN(" Ltd")),0)</f>
        <v/>
      </c>
      <c r="AA1101" s="122">
        <f>IFERROR(IFERROR((LEN($T1102)-LEN(SUBSTITUTE($T1102,"Quality of Works / Criteria of Failings:","")))/LEN("Quality of Works / Criteria of Failings:"),0)/MAX(1,(LEN($I1102)-LEN(SUBSTITUTE($I1102," Ltd","")))/LEN(" Ltd")),0)</f>
        <v/>
      </c>
      <c r="AB1101" s="122">
        <f>IFERROR(IFERROR((LEN($T1102)-LEN(SUBSTITUTE($T1102,"Quality of Works / Criteria of Failings:Compliant","")))/LEN("Quality of Works / Criteria of Failings:Compliant"),0)/MAX(1,(LEN($I1102)-LEN(SUBSTITUTE($I1102," Ltd","")))/LEN(" Ltd")),0)</f>
        <v/>
      </c>
    </row>
    <row r="1102" ht="15" customHeight="1" s="146">
      <c r="Y1102" s="122">
        <f>MAX(0,IFERROR((LEN($T1103)-LEN(SUBSTITUTE($T1103,"Quality of Works / Criteria of Failings:","")))/LEN("Quality of Works / Criteria of Failings:"),0)-IFERROR((LEN($T1103)-LEN(SUBSTITUTE($T1103,"Quality of Works / Criteria of Failings:Compliant","")))/LEN("Quality of Works / Criteria of Failings:Compliant"),0))</f>
        <v/>
      </c>
      <c r="Z1102" s="122">
        <f>IFERROR($Y1103/MAX(1,(LEN($I1103)-LEN(SUBSTITUTE($I1103," Ltd","")))/LEN(" Ltd")),0)</f>
        <v/>
      </c>
      <c r="AA1102" s="122">
        <f>IFERROR(IFERROR((LEN($T1103)-LEN(SUBSTITUTE($T1103,"Quality of Works / Criteria of Failings:","")))/LEN("Quality of Works / Criteria of Failings:"),0)/MAX(1,(LEN($I1103)-LEN(SUBSTITUTE($I1103," Ltd","")))/LEN(" Ltd")),0)</f>
        <v/>
      </c>
      <c r="AB1102" s="122">
        <f>IFERROR(IFERROR((LEN($T1103)-LEN(SUBSTITUTE($T1103,"Quality of Works / Criteria of Failings:Compliant","")))/LEN("Quality of Works / Criteria of Failings:Compliant"),0)/MAX(1,(LEN($I1103)-LEN(SUBSTITUTE($I1103," Ltd","")))/LEN(" Ltd")),0)</f>
        <v/>
      </c>
    </row>
    <row r="1103" ht="15" customHeight="1" s="146">
      <c r="Y1103" s="122">
        <f>MAX(0,IFERROR((LEN($T1104)-LEN(SUBSTITUTE($T1104,"Quality of Works / Criteria of Failings:","")))/LEN("Quality of Works / Criteria of Failings:"),0)-IFERROR((LEN($T1104)-LEN(SUBSTITUTE($T1104,"Quality of Works / Criteria of Failings:Compliant","")))/LEN("Quality of Works / Criteria of Failings:Compliant"),0))</f>
        <v/>
      </c>
      <c r="Z1103" s="122">
        <f>IFERROR($Y1104/MAX(1,(LEN($I1104)-LEN(SUBSTITUTE($I1104," Ltd","")))/LEN(" Ltd")),0)</f>
        <v/>
      </c>
      <c r="AA1103" s="122">
        <f>IFERROR(IFERROR((LEN($T1104)-LEN(SUBSTITUTE($T1104,"Quality of Works / Criteria of Failings:","")))/LEN("Quality of Works / Criteria of Failings:"),0)/MAX(1,(LEN($I1104)-LEN(SUBSTITUTE($I1104," Ltd","")))/LEN(" Ltd")),0)</f>
        <v/>
      </c>
      <c r="AB1103" s="122">
        <f>IFERROR(IFERROR((LEN($T1104)-LEN(SUBSTITUTE($T1104,"Quality of Works / Criteria of Failings:Compliant","")))/LEN("Quality of Works / Criteria of Failings:Compliant"),0)/MAX(1,(LEN($I1104)-LEN(SUBSTITUTE($I1104," Ltd","")))/LEN(" Ltd")),0)</f>
        <v/>
      </c>
    </row>
    <row r="1104" ht="15" customHeight="1" s="146">
      <c r="Y1104" s="122">
        <f>MAX(0,IFERROR((LEN($T1105)-LEN(SUBSTITUTE($T1105,"Quality of Works / Criteria of Failings:","")))/LEN("Quality of Works / Criteria of Failings:"),0)-IFERROR((LEN($T1105)-LEN(SUBSTITUTE($T1105,"Quality of Works / Criteria of Failings:Compliant","")))/LEN("Quality of Works / Criteria of Failings:Compliant"),0))</f>
        <v/>
      </c>
      <c r="Z1104" s="122">
        <f>IFERROR($Y1105/MAX(1,(LEN($I1105)-LEN(SUBSTITUTE($I1105," Ltd","")))/LEN(" Ltd")),0)</f>
        <v/>
      </c>
      <c r="AA1104" s="122">
        <f>IFERROR(IFERROR((LEN($T1105)-LEN(SUBSTITUTE($T1105,"Quality of Works / Criteria of Failings:","")))/LEN("Quality of Works / Criteria of Failings:"),0)/MAX(1,(LEN($I1105)-LEN(SUBSTITUTE($I1105," Ltd","")))/LEN(" Ltd")),0)</f>
        <v/>
      </c>
      <c r="AB1104" s="122">
        <f>IFERROR(IFERROR((LEN($T1105)-LEN(SUBSTITUTE($T1105,"Quality of Works / Criteria of Failings:Compliant","")))/LEN("Quality of Works / Criteria of Failings:Compliant"),0)/MAX(1,(LEN($I1105)-LEN(SUBSTITUTE($I1105," Ltd","")))/LEN(" Ltd")),0)</f>
        <v/>
      </c>
    </row>
    <row r="1105" ht="15" customHeight="1" s="146">
      <c r="Y1105" s="122">
        <f>MAX(0,IFERROR((LEN($T1106)-LEN(SUBSTITUTE($T1106,"Quality of Works / Criteria of Failings:","")))/LEN("Quality of Works / Criteria of Failings:"),0)-IFERROR((LEN($T1106)-LEN(SUBSTITUTE($T1106,"Quality of Works / Criteria of Failings:Compliant","")))/LEN("Quality of Works / Criteria of Failings:Compliant"),0))</f>
        <v/>
      </c>
      <c r="Z1105" s="122">
        <f>IFERROR($Y1106/MAX(1,(LEN($I1106)-LEN(SUBSTITUTE($I1106," Ltd","")))/LEN(" Ltd")),0)</f>
        <v/>
      </c>
      <c r="AA1105" s="122">
        <f>IFERROR(IFERROR((LEN($T1106)-LEN(SUBSTITUTE($T1106,"Quality of Works / Criteria of Failings:","")))/LEN("Quality of Works / Criteria of Failings:"),0)/MAX(1,(LEN($I1106)-LEN(SUBSTITUTE($I1106," Ltd","")))/LEN(" Ltd")),0)</f>
        <v/>
      </c>
      <c r="AB1105" s="122">
        <f>IFERROR(IFERROR((LEN($T1106)-LEN(SUBSTITUTE($T1106,"Quality of Works / Criteria of Failings:Compliant","")))/LEN("Quality of Works / Criteria of Failings:Compliant"),0)/MAX(1,(LEN($I1106)-LEN(SUBSTITUTE($I1106," Ltd","")))/LEN(" Ltd")),0)</f>
        <v/>
      </c>
    </row>
    <row r="1106" ht="15" customHeight="1" s="146">
      <c r="Y1106" s="122">
        <f>MAX(0,IFERROR((LEN($T1107)-LEN(SUBSTITUTE($T1107,"Quality of Works / Criteria of Failings:","")))/LEN("Quality of Works / Criteria of Failings:"),0)-IFERROR((LEN($T1107)-LEN(SUBSTITUTE($T1107,"Quality of Works / Criteria of Failings:Compliant","")))/LEN("Quality of Works / Criteria of Failings:Compliant"),0))</f>
        <v/>
      </c>
      <c r="Z1106" s="122">
        <f>IFERROR($Y1107/MAX(1,(LEN($I1107)-LEN(SUBSTITUTE($I1107," Ltd","")))/LEN(" Ltd")),0)</f>
        <v/>
      </c>
      <c r="AA1106" s="122">
        <f>IFERROR(IFERROR((LEN($T1107)-LEN(SUBSTITUTE($T1107,"Quality of Works / Criteria of Failings:","")))/LEN("Quality of Works / Criteria of Failings:"),0)/MAX(1,(LEN($I1107)-LEN(SUBSTITUTE($I1107," Ltd","")))/LEN(" Ltd")),0)</f>
        <v/>
      </c>
      <c r="AB1106" s="122">
        <f>IFERROR(IFERROR((LEN($T1107)-LEN(SUBSTITUTE($T1107,"Quality of Works / Criteria of Failings:Compliant","")))/LEN("Quality of Works / Criteria of Failings:Compliant"),0)/MAX(1,(LEN($I1107)-LEN(SUBSTITUTE($I1107," Ltd","")))/LEN(" Ltd")),0)</f>
        <v/>
      </c>
    </row>
    <row r="1107" ht="15" customHeight="1" s="146">
      <c r="Y1107" s="122">
        <f>MAX(0,IFERROR((LEN($T1108)-LEN(SUBSTITUTE($T1108,"Quality of Works / Criteria of Failings:","")))/LEN("Quality of Works / Criteria of Failings:"),0)-IFERROR((LEN($T1108)-LEN(SUBSTITUTE($T1108,"Quality of Works / Criteria of Failings:Compliant","")))/LEN("Quality of Works / Criteria of Failings:Compliant"),0))</f>
        <v/>
      </c>
      <c r="Z1107" s="122">
        <f>IFERROR($Y1108/MAX(1,(LEN($I1108)-LEN(SUBSTITUTE($I1108," Ltd","")))/LEN(" Ltd")),0)</f>
        <v/>
      </c>
      <c r="AA1107" s="122">
        <f>IFERROR(IFERROR((LEN($T1108)-LEN(SUBSTITUTE($T1108,"Quality of Works / Criteria of Failings:","")))/LEN("Quality of Works / Criteria of Failings:"),0)/MAX(1,(LEN($I1108)-LEN(SUBSTITUTE($I1108," Ltd","")))/LEN(" Ltd")),0)</f>
        <v/>
      </c>
      <c r="AB1107" s="122">
        <f>IFERROR(IFERROR((LEN($T1108)-LEN(SUBSTITUTE($T1108,"Quality of Works / Criteria of Failings:Compliant","")))/LEN("Quality of Works / Criteria of Failings:Compliant"),0)/MAX(1,(LEN($I1108)-LEN(SUBSTITUTE($I1108," Ltd","")))/LEN(" Ltd")),0)</f>
        <v/>
      </c>
    </row>
    <row r="1108" ht="15" customHeight="1" s="146">
      <c r="Y1108" s="122">
        <f>MAX(0,IFERROR((LEN($T1109)-LEN(SUBSTITUTE($T1109,"Quality of Works / Criteria of Failings:","")))/LEN("Quality of Works / Criteria of Failings:"),0)-IFERROR((LEN($T1109)-LEN(SUBSTITUTE($T1109,"Quality of Works / Criteria of Failings:Compliant","")))/LEN("Quality of Works / Criteria of Failings:Compliant"),0))</f>
        <v/>
      </c>
      <c r="Z1108" s="122">
        <f>IFERROR($Y1109/MAX(1,(LEN($I1109)-LEN(SUBSTITUTE($I1109," Ltd","")))/LEN(" Ltd")),0)</f>
        <v/>
      </c>
      <c r="AA1108" s="122">
        <f>IFERROR(IFERROR((LEN($T1109)-LEN(SUBSTITUTE($T1109,"Quality of Works / Criteria of Failings:","")))/LEN("Quality of Works / Criteria of Failings:"),0)/MAX(1,(LEN($I1109)-LEN(SUBSTITUTE($I1109," Ltd","")))/LEN(" Ltd")),0)</f>
        <v/>
      </c>
      <c r="AB1108" s="122">
        <f>IFERROR(IFERROR((LEN($T1109)-LEN(SUBSTITUTE($T1109,"Quality of Works / Criteria of Failings:Compliant","")))/LEN("Quality of Works / Criteria of Failings:Compliant"),0)/MAX(1,(LEN($I1109)-LEN(SUBSTITUTE($I1109," Ltd","")))/LEN(" Ltd")),0)</f>
        <v/>
      </c>
    </row>
    <row r="1109" ht="15" customHeight="1" s="146">
      <c r="Y1109" s="122">
        <f>MAX(0,IFERROR((LEN($T1110)-LEN(SUBSTITUTE($T1110,"Quality of Works / Criteria of Failings:","")))/LEN("Quality of Works / Criteria of Failings:"),0)-IFERROR((LEN($T1110)-LEN(SUBSTITUTE($T1110,"Quality of Works / Criteria of Failings:Compliant","")))/LEN("Quality of Works / Criteria of Failings:Compliant"),0))</f>
        <v/>
      </c>
      <c r="Z1109" s="122">
        <f>IFERROR($Y1110/MAX(1,(LEN($I1110)-LEN(SUBSTITUTE($I1110," Ltd","")))/LEN(" Ltd")),0)</f>
        <v/>
      </c>
      <c r="AA1109" s="122">
        <f>IFERROR(IFERROR((LEN($T1110)-LEN(SUBSTITUTE($T1110,"Quality of Works / Criteria of Failings:","")))/LEN("Quality of Works / Criteria of Failings:"),0)/MAX(1,(LEN($I1110)-LEN(SUBSTITUTE($I1110," Ltd","")))/LEN(" Ltd")),0)</f>
        <v/>
      </c>
      <c r="AB1109" s="122">
        <f>IFERROR(IFERROR((LEN($T1110)-LEN(SUBSTITUTE($T1110,"Quality of Works / Criteria of Failings:Compliant","")))/LEN("Quality of Works / Criteria of Failings:Compliant"),0)/MAX(1,(LEN($I1110)-LEN(SUBSTITUTE($I1110," Ltd","")))/LEN(" Ltd")),0)</f>
        <v/>
      </c>
    </row>
    <row r="1110" ht="15" customHeight="1" s="146">
      <c r="Y1110" s="122">
        <f>MAX(0,IFERROR((LEN($T1111)-LEN(SUBSTITUTE($T1111,"Quality of Works / Criteria of Failings:","")))/LEN("Quality of Works / Criteria of Failings:"),0)-IFERROR((LEN($T1111)-LEN(SUBSTITUTE($T1111,"Quality of Works / Criteria of Failings:Compliant","")))/LEN("Quality of Works / Criteria of Failings:Compliant"),0))</f>
        <v/>
      </c>
      <c r="Z1110" s="122">
        <f>IFERROR($Y1111/MAX(1,(LEN($I1111)-LEN(SUBSTITUTE($I1111," Ltd","")))/LEN(" Ltd")),0)</f>
        <v/>
      </c>
      <c r="AA1110" s="122">
        <f>IFERROR(IFERROR((LEN($T1111)-LEN(SUBSTITUTE($T1111,"Quality of Works / Criteria of Failings:","")))/LEN("Quality of Works / Criteria of Failings:"),0)/MAX(1,(LEN($I1111)-LEN(SUBSTITUTE($I1111," Ltd","")))/LEN(" Ltd")),0)</f>
        <v/>
      </c>
      <c r="AB1110" s="122">
        <f>IFERROR(IFERROR((LEN($T1111)-LEN(SUBSTITUTE($T1111,"Quality of Works / Criteria of Failings:Compliant","")))/LEN("Quality of Works / Criteria of Failings:Compliant"),0)/MAX(1,(LEN($I1111)-LEN(SUBSTITUTE($I1111," Ltd","")))/LEN(" Ltd")),0)</f>
        <v/>
      </c>
    </row>
    <row r="1111" ht="15" customHeight="1" s="146">
      <c r="Y1111" s="122">
        <f>MAX(0,IFERROR((LEN($T1112)-LEN(SUBSTITUTE($T1112,"Quality of Works / Criteria of Failings:","")))/LEN("Quality of Works / Criteria of Failings:"),0)-IFERROR((LEN($T1112)-LEN(SUBSTITUTE($T1112,"Quality of Works / Criteria of Failings:Compliant","")))/LEN("Quality of Works / Criteria of Failings:Compliant"),0))</f>
        <v/>
      </c>
      <c r="Z1111" s="122">
        <f>IFERROR($Y1112/MAX(1,(LEN($I1112)-LEN(SUBSTITUTE($I1112," Ltd","")))/LEN(" Ltd")),0)</f>
        <v/>
      </c>
      <c r="AA1111" s="122">
        <f>IFERROR(IFERROR((LEN($T1112)-LEN(SUBSTITUTE($T1112,"Quality of Works / Criteria of Failings:","")))/LEN("Quality of Works / Criteria of Failings:"),0)/MAX(1,(LEN($I1112)-LEN(SUBSTITUTE($I1112," Ltd","")))/LEN(" Ltd")),0)</f>
        <v/>
      </c>
      <c r="AB1111" s="122">
        <f>IFERROR(IFERROR((LEN($T1112)-LEN(SUBSTITUTE($T1112,"Quality of Works / Criteria of Failings:Compliant","")))/LEN("Quality of Works / Criteria of Failings:Compliant"),0)/MAX(1,(LEN($I1112)-LEN(SUBSTITUTE($I1112," Ltd","")))/LEN(" Ltd")),0)</f>
        <v/>
      </c>
    </row>
    <row r="1112" ht="15" customHeight="1" s="146">
      <c r="Y1112" s="122">
        <f>MAX(0,IFERROR((LEN($T1113)-LEN(SUBSTITUTE($T1113,"Quality of Works / Criteria of Failings:","")))/LEN("Quality of Works / Criteria of Failings:"),0)-IFERROR((LEN($T1113)-LEN(SUBSTITUTE($T1113,"Quality of Works / Criteria of Failings:Compliant","")))/LEN("Quality of Works / Criteria of Failings:Compliant"),0))</f>
        <v/>
      </c>
      <c r="Z1112" s="122">
        <f>IFERROR($Y1113/MAX(1,(LEN($I1113)-LEN(SUBSTITUTE($I1113," Ltd","")))/LEN(" Ltd")),0)</f>
        <v/>
      </c>
      <c r="AA1112" s="122">
        <f>IFERROR(IFERROR((LEN($T1113)-LEN(SUBSTITUTE($T1113,"Quality of Works / Criteria of Failings:","")))/LEN("Quality of Works / Criteria of Failings:"),0)/MAX(1,(LEN($I1113)-LEN(SUBSTITUTE($I1113," Ltd","")))/LEN(" Ltd")),0)</f>
        <v/>
      </c>
      <c r="AB1112" s="122">
        <f>IFERROR(IFERROR((LEN($T1113)-LEN(SUBSTITUTE($T1113,"Quality of Works / Criteria of Failings:Compliant","")))/LEN("Quality of Works / Criteria of Failings:Compliant"),0)/MAX(1,(LEN($I1113)-LEN(SUBSTITUTE($I1113," Ltd","")))/LEN(" Ltd")),0)</f>
        <v/>
      </c>
    </row>
    <row r="1113" ht="15" customHeight="1" s="146">
      <c r="Y1113" s="122">
        <f>MAX(0,IFERROR((LEN($T1114)-LEN(SUBSTITUTE($T1114,"Quality of Works / Criteria of Failings:","")))/LEN("Quality of Works / Criteria of Failings:"),0)-IFERROR((LEN($T1114)-LEN(SUBSTITUTE($T1114,"Quality of Works / Criteria of Failings:Compliant","")))/LEN("Quality of Works / Criteria of Failings:Compliant"),0))</f>
        <v/>
      </c>
      <c r="Z1113" s="122">
        <f>IFERROR($Y1114/MAX(1,(LEN($I1114)-LEN(SUBSTITUTE($I1114," Ltd","")))/LEN(" Ltd")),0)</f>
        <v/>
      </c>
      <c r="AA1113" s="122">
        <f>IFERROR(IFERROR((LEN($T1114)-LEN(SUBSTITUTE($T1114,"Quality of Works / Criteria of Failings:","")))/LEN("Quality of Works / Criteria of Failings:"),0)/MAX(1,(LEN($I1114)-LEN(SUBSTITUTE($I1114," Ltd","")))/LEN(" Ltd")),0)</f>
        <v/>
      </c>
      <c r="AB1113" s="122">
        <f>IFERROR(IFERROR((LEN($T1114)-LEN(SUBSTITUTE($T1114,"Quality of Works / Criteria of Failings:Compliant","")))/LEN("Quality of Works / Criteria of Failings:Compliant"),0)/MAX(1,(LEN($I1114)-LEN(SUBSTITUTE($I1114," Ltd","")))/LEN(" Ltd")),0)</f>
        <v/>
      </c>
    </row>
    <row r="1114" ht="15" customHeight="1" s="146">
      <c r="Y1114" s="122">
        <f>MAX(0,IFERROR((LEN($T1115)-LEN(SUBSTITUTE($T1115,"Quality of Works / Criteria of Failings:","")))/LEN("Quality of Works / Criteria of Failings:"),0)-IFERROR((LEN($T1115)-LEN(SUBSTITUTE($T1115,"Quality of Works / Criteria of Failings:Compliant","")))/LEN("Quality of Works / Criteria of Failings:Compliant"),0))</f>
        <v/>
      </c>
      <c r="Z1114" s="122">
        <f>IFERROR($Y1115/MAX(1,(LEN($I1115)-LEN(SUBSTITUTE($I1115," Ltd","")))/LEN(" Ltd")),0)</f>
        <v/>
      </c>
      <c r="AA1114" s="122">
        <f>IFERROR(IFERROR((LEN($T1115)-LEN(SUBSTITUTE($T1115,"Quality of Works / Criteria of Failings:","")))/LEN("Quality of Works / Criteria of Failings:"),0)/MAX(1,(LEN($I1115)-LEN(SUBSTITUTE($I1115," Ltd","")))/LEN(" Ltd")),0)</f>
        <v/>
      </c>
      <c r="AB1114" s="122">
        <f>IFERROR(IFERROR((LEN($T1115)-LEN(SUBSTITUTE($T1115,"Quality of Works / Criteria of Failings:Compliant","")))/LEN("Quality of Works / Criteria of Failings:Compliant"),0)/MAX(1,(LEN($I1115)-LEN(SUBSTITUTE($I1115," Ltd","")))/LEN(" Ltd")),0)</f>
        <v/>
      </c>
    </row>
    <row r="1115" ht="15" customHeight="1" s="146">
      <c r="Y1115" s="122">
        <f>MAX(0,IFERROR((LEN($T1116)-LEN(SUBSTITUTE($T1116,"Quality of Works / Criteria of Failings:","")))/LEN("Quality of Works / Criteria of Failings:"),0)-IFERROR((LEN($T1116)-LEN(SUBSTITUTE($T1116,"Quality of Works / Criteria of Failings:Compliant","")))/LEN("Quality of Works / Criteria of Failings:Compliant"),0))</f>
        <v/>
      </c>
      <c r="Z1115" s="122">
        <f>IFERROR($Y1116/MAX(1,(LEN($I1116)-LEN(SUBSTITUTE($I1116," Ltd","")))/LEN(" Ltd")),0)</f>
        <v/>
      </c>
      <c r="AA1115" s="122">
        <f>IFERROR(IFERROR((LEN($T1116)-LEN(SUBSTITUTE($T1116,"Quality of Works / Criteria of Failings:","")))/LEN("Quality of Works / Criteria of Failings:"),0)/MAX(1,(LEN($I1116)-LEN(SUBSTITUTE($I1116," Ltd","")))/LEN(" Ltd")),0)</f>
        <v/>
      </c>
      <c r="AB1115" s="122">
        <f>IFERROR(IFERROR((LEN($T1116)-LEN(SUBSTITUTE($T1116,"Quality of Works / Criteria of Failings:Compliant","")))/LEN("Quality of Works / Criteria of Failings:Compliant"),0)/MAX(1,(LEN($I1116)-LEN(SUBSTITUTE($I1116," Ltd","")))/LEN(" Ltd")),0)</f>
        <v/>
      </c>
    </row>
    <row r="1116" ht="15" customHeight="1" s="146">
      <c r="Y1116" s="122">
        <f>MAX(0,IFERROR((LEN($T1117)-LEN(SUBSTITUTE($T1117,"Quality of Works / Criteria of Failings:","")))/LEN("Quality of Works / Criteria of Failings:"),0)-IFERROR((LEN($T1117)-LEN(SUBSTITUTE($T1117,"Quality of Works / Criteria of Failings:Compliant","")))/LEN("Quality of Works / Criteria of Failings:Compliant"),0))</f>
        <v/>
      </c>
      <c r="Z1116" s="122">
        <f>IFERROR($Y1117/MAX(1,(LEN($I1117)-LEN(SUBSTITUTE($I1117," Ltd","")))/LEN(" Ltd")),0)</f>
        <v/>
      </c>
      <c r="AA1116" s="122">
        <f>IFERROR(IFERROR((LEN($T1117)-LEN(SUBSTITUTE($T1117,"Quality of Works / Criteria of Failings:","")))/LEN("Quality of Works / Criteria of Failings:"),0)/MAX(1,(LEN($I1117)-LEN(SUBSTITUTE($I1117," Ltd","")))/LEN(" Ltd")),0)</f>
        <v/>
      </c>
      <c r="AB1116" s="122">
        <f>IFERROR(IFERROR((LEN($T1117)-LEN(SUBSTITUTE($T1117,"Quality of Works / Criteria of Failings:Compliant","")))/LEN("Quality of Works / Criteria of Failings:Compliant"),0)/MAX(1,(LEN($I1117)-LEN(SUBSTITUTE($I1117," Ltd","")))/LEN(" Ltd")),0)</f>
        <v/>
      </c>
    </row>
    <row r="1117" ht="15" customHeight="1" s="146">
      <c r="Y1117" s="122">
        <f>MAX(0,IFERROR((LEN($T1118)-LEN(SUBSTITUTE($T1118,"Quality of Works / Criteria of Failings:","")))/LEN("Quality of Works / Criteria of Failings:"),0)-IFERROR((LEN($T1118)-LEN(SUBSTITUTE($T1118,"Quality of Works / Criteria of Failings:Compliant","")))/LEN("Quality of Works / Criteria of Failings:Compliant"),0))</f>
        <v/>
      </c>
      <c r="Z1117" s="122">
        <f>IFERROR($Y1118/MAX(1,(LEN($I1118)-LEN(SUBSTITUTE($I1118," Ltd","")))/LEN(" Ltd")),0)</f>
        <v/>
      </c>
      <c r="AA1117" s="122">
        <f>IFERROR(IFERROR((LEN($T1118)-LEN(SUBSTITUTE($T1118,"Quality of Works / Criteria of Failings:","")))/LEN("Quality of Works / Criteria of Failings:"),0)/MAX(1,(LEN($I1118)-LEN(SUBSTITUTE($I1118," Ltd","")))/LEN(" Ltd")),0)</f>
        <v/>
      </c>
      <c r="AB1117" s="122">
        <f>IFERROR(IFERROR((LEN($T1118)-LEN(SUBSTITUTE($T1118,"Quality of Works / Criteria of Failings:Compliant","")))/LEN("Quality of Works / Criteria of Failings:Compliant"),0)/MAX(1,(LEN($I1118)-LEN(SUBSTITUTE($I1118," Ltd","")))/LEN(" Ltd")),0)</f>
        <v/>
      </c>
    </row>
    <row r="1118" ht="15" customHeight="1" s="146">
      <c r="Y1118" s="122">
        <f>MAX(0,IFERROR((LEN($T1119)-LEN(SUBSTITUTE($T1119,"Quality of Works / Criteria of Failings:","")))/LEN("Quality of Works / Criteria of Failings:"),0)-IFERROR((LEN($T1119)-LEN(SUBSTITUTE($T1119,"Quality of Works / Criteria of Failings:Compliant","")))/LEN("Quality of Works / Criteria of Failings:Compliant"),0))</f>
        <v/>
      </c>
      <c r="Z1118" s="122">
        <f>IFERROR($Y1119/MAX(1,(LEN($I1119)-LEN(SUBSTITUTE($I1119," Ltd","")))/LEN(" Ltd")),0)</f>
        <v/>
      </c>
      <c r="AA1118" s="122">
        <f>IFERROR(IFERROR((LEN($T1119)-LEN(SUBSTITUTE($T1119,"Quality of Works / Criteria of Failings:","")))/LEN("Quality of Works / Criteria of Failings:"),0)/MAX(1,(LEN($I1119)-LEN(SUBSTITUTE($I1119," Ltd","")))/LEN(" Ltd")),0)</f>
        <v/>
      </c>
      <c r="AB1118" s="122">
        <f>IFERROR(IFERROR((LEN($T1119)-LEN(SUBSTITUTE($T1119,"Quality of Works / Criteria of Failings:Compliant","")))/LEN("Quality of Works / Criteria of Failings:Compliant"),0)/MAX(1,(LEN($I1119)-LEN(SUBSTITUTE($I1119," Ltd","")))/LEN(" Ltd")),0)</f>
        <v/>
      </c>
    </row>
    <row r="1119" ht="15" customHeight="1" s="146">
      <c r="Y1119" s="122">
        <f>MAX(0,IFERROR((LEN($T1120)-LEN(SUBSTITUTE($T1120,"Quality of Works / Criteria of Failings:","")))/LEN("Quality of Works / Criteria of Failings:"),0)-IFERROR((LEN($T1120)-LEN(SUBSTITUTE($T1120,"Quality of Works / Criteria of Failings:Compliant","")))/LEN("Quality of Works / Criteria of Failings:Compliant"),0))</f>
        <v/>
      </c>
      <c r="Z1119" s="122">
        <f>IFERROR($Y1120/MAX(1,(LEN($I1120)-LEN(SUBSTITUTE($I1120," Ltd","")))/LEN(" Ltd")),0)</f>
        <v/>
      </c>
      <c r="AA1119" s="122">
        <f>IFERROR(IFERROR((LEN($T1120)-LEN(SUBSTITUTE($T1120,"Quality of Works / Criteria of Failings:","")))/LEN("Quality of Works / Criteria of Failings:"),0)/MAX(1,(LEN($I1120)-LEN(SUBSTITUTE($I1120," Ltd","")))/LEN(" Ltd")),0)</f>
        <v/>
      </c>
      <c r="AB1119" s="122">
        <f>IFERROR(IFERROR((LEN($T1120)-LEN(SUBSTITUTE($T1120,"Quality of Works / Criteria of Failings:Compliant","")))/LEN("Quality of Works / Criteria of Failings:Compliant"),0)/MAX(1,(LEN($I1120)-LEN(SUBSTITUTE($I1120," Ltd","")))/LEN(" Ltd")),0)</f>
        <v/>
      </c>
    </row>
    <row r="1120" ht="15" customHeight="1" s="146">
      <c r="Y1120" s="122">
        <f>MAX(0,IFERROR((LEN($T1121)-LEN(SUBSTITUTE($T1121,"Quality of Works / Criteria of Failings:","")))/LEN("Quality of Works / Criteria of Failings:"),0)-IFERROR((LEN($T1121)-LEN(SUBSTITUTE($T1121,"Quality of Works / Criteria of Failings:Compliant","")))/LEN("Quality of Works / Criteria of Failings:Compliant"),0))</f>
        <v/>
      </c>
      <c r="Z1120" s="122">
        <f>IFERROR($Y1121/MAX(1,(LEN($I1121)-LEN(SUBSTITUTE($I1121," Ltd","")))/LEN(" Ltd")),0)</f>
        <v/>
      </c>
      <c r="AA1120" s="122">
        <f>IFERROR(IFERROR((LEN($T1121)-LEN(SUBSTITUTE($T1121,"Quality of Works / Criteria of Failings:","")))/LEN("Quality of Works / Criteria of Failings:"),0)/MAX(1,(LEN($I1121)-LEN(SUBSTITUTE($I1121," Ltd","")))/LEN(" Ltd")),0)</f>
        <v/>
      </c>
      <c r="AB1120" s="122">
        <f>IFERROR(IFERROR((LEN($T1121)-LEN(SUBSTITUTE($T1121,"Quality of Works / Criteria of Failings:Compliant","")))/LEN("Quality of Works / Criteria of Failings:Compliant"),0)/MAX(1,(LEN($I1121)-LEN(SUBSTITUTE($I1121," Ltd","")))/LEN(" Ltd")),0)</f>
        <v/>
      </c>
    </row>
    <row r="1121" ht="15" customHeight="1" s="146">
      <c r="Y1121" s="122">
        <f>MAX(0,IFERROR((LEN($T1122)-LEN(SUBSTITUTE($T1122,"Quality of Works / Criteria of Failings:","")))/LEN("Quality of Works / Criteria of Failings:"),0)-IFERROR((LEN($T1122)-LEN(SUBSTITUTE($T1122,"Quality of Works / Criteria of Failings:Compliant","")))/LEN("Quality of Works / Criteria of Failings:Compliant"),0))</f>
        <v/>
      </c>
      <c r="Z1121" s="122">
        <f>IFERROR($Y1122/MAX(1,(LEN($I1122)-LEN(SUBSTITUTE($I1122," Ltd","")))/LEN(" Ltd")),0)</f>
        <v/>
      </c>
      <c r="AA1121" s="122">
        <f>IFERROR(IFERROR((LEN($T1122)-LEN(SUBSTITUTE($T1122,"Quality of Works / Criteria of Failings:","")))/LEN("Quality of Works / Criteria of Failings:"),0)/MAX(1,(LEN($I1122)-LEN(SUBSTITUTE($I1122," Ltd","")))/LEN(" Ltd")),0)</f>
        <v/>
      </c>
      <c r="AB1121" s="122">
        <f>IFERROR(IFERROR((LEN($T1122)-LEN(SUBSTITUTE($T1122,"Quality of Works / Criteria of Failings:Compliant","")))/LEN("Quality of Works / Criteria of Failings:Compliant"),0)/MAX(1,(LEN($I1122)-LEN(SUBSTITUTE($I1122," Ltd","")))/LEN(" Ltd")),0)</f>
        <v/>
      </c>
    </row>
    <row r="1122" ht="15" customHeight="1" s="146">
      <c r="Y1122" s="122">
        <f>MAX(0,IFERROR((LEN($T1123)-LEN(SUBSTITUTE($T1123,"Quality of Works / Criteria of Failings:","")))/LEN("Quality of Works / Criteria of Failings:"),0)-IFERROR((LEN($T1123)-LEN(SUBSTITUTE($T1123,"Quality of Works / Criteria of Failings:Compliant","")))/LEN("Quality of Works / Criteria of Failings:Compliant"),0))</f>
        <v/>
      </c>
      <c r="Z1122" s="122">
        <f>IFERROR($Y1123/MAX(1,(LEN($I1123)-LEN(SUBSTITUTE($I1123," Ltd","")))/LEN(" Ltd")),0)</f>
        <v/>
      </c>
      <c r="AA1122" s="122">
        <f>IFERROR(IFERROR((LEN($T1123)-LEN(SUBSTITUTE($T1123,"Quality of Works / Criteria of Failings:","")))/LEN("Quality of Works / Criteria of Failings:"),0)/MAX(1,(LEN($I1123)-LEN(SUBSTITUTE($I1123," Ltd","")))/LEN(" Ltd")),0)</f>
        <v/>
      </c>
      <c r="AB1122" s="122">
        <f>IFERROR(IFERROR((LEN($T1123)-LEN(SUBSTITUTE($T1123,"Quality of Works / Criteria of Failings:Compliant","")))/LEN("Quality of Works / Criteria of Failings:Compliant"),0)/MAX(1,(LEN($I1123)-LEN(SUBSTITUTE($I1123," Ltd","")))/LEN(" Ltd")),0)</f>
        <v/>
      </c>
    </row>
    <row r="1123" ht="15" customHeight="1" s="146">
      <c r="Y1123" s="122">
        <f>MAX(0,IFERROR((LEN($T1124)-LEN(SUBSTITUTE($T1124,"Quality of Works / Criteria of Failings:","")))/LEN("Quality of Works / Criteria of Failings:"),0)-IFERROR((LEN($T1124)-LEN(SUBSTITUTE($T1124,"Quality of Works / Criteria of Failings:Compliant","")))/LEN("Quality of Works / Criteria of Failings:Compliant"),0))</f>
        <v/>
      </c>
      <c r="Z1123" s="122">
        <f>IFERROR($Y1124/MAX(1,(LEN($I1124)-LEN(SUBSTITUTE($I1124," Ltd","")))/LEN(" Ltd")),0)</f>
        <v/>
      </c>
      <c r="AA1123" s="122">
        <f>IFERROR(IFERROR((LEN($T1124)-LEN(SUBSTITUTE($T1124,"Quality of Works / Criteria of Failings:","")))/LEN("Quality of Works / Criteria of Failings:"),0)/MAX(1,(LEN($I1124)-LEN(SUBSTITUTE($I1124," Ltd","")))/LEN(" Ltd")),0)</f>
        <v/>
      </c>
      <c r="AB1123" s="122">
        <f>IFERROR(IFERROR((LEN($T1124)-LEN(SUBSTITUTE($T1124,"Quality of Works / Criteria of Failings:Compliant","")))/LEN("Quality of Works / Criteria of Failings:Compliant"),0)/MAX(1,(LEN($I1124)-LEN(SUBSTITUTE($I1124," Ltd","")))/LEN(" Ltd")),0)</f>
        <v/>
      </c>
    </row>
    <row r="1124" ht="15" customHeight="1" s="146">
      <c r="Y1124" s="122">
        <f>MAX(0,IFERROR((LEN($T1125)-LEN(SUBSTITUTE($T1125,"Quality of Works / Criteria of Failings:","")))/LEN("Quality of Works / Criteria of Failings:"),0)-IFERROR((LEN($T1125)-LEN(SUBSTITUTE($T1125,"Quality of Works / Criteria of Failings:Compliant","")))/LEN("Quality of Works / Criteria of Failings:Compliant"),0))</f>
        <v/>
      </c>
      <c r="Z1124" s="122">
        <f>IFERROR($Y1125/MAX(1,(LEN($I1125)-LEN(SUBSTITUTE($I1125," Ltd","")))/LEN(" Ltd")),0)</f>
        <v/>
      </c>
      <c r="AA1124" s="122">
        <f>IFERROR(IFERROR((LEN($T1125)-LEN(SUBSTITUTE($T1125,"Quality of Works / Criteria of Failings:","")))/LEN("Quality of Works / Criteria of Failings:"),0)/MAX(1,(LEN($I1125)-LEN(SUBSTITUTE($I1125," Ltd","")))/LEN(" Ltd")),0)</f>
        <v/>
      </c>
      <c r="AB1124" s="122">
        <f>IFERROR(IFERROR((LEN($T1125)-LEN(SUBSTITUTE($T1125,"Quality of Works / Criteria of Failings:Compliant","")))/LEN("Quality of Works / Criteria of Failings:Compliant"),0)/MAX(1,(LEN($I1125)-LEN(SUBSTITUTE($I1125," Ltd","")))/LEN(" Ltd")),0)</f>
        <v/>
      </c>
    </row>
    <row r="1125" ht="15" customHeight="1" s="146">
      <c r="Y1125" s="122">
        <f>MAX(0,IFERROR((LEN($T1126)-LEN(SUBSTITUTE($T1126,"Quality of Works / Criteria of Failings:","")))/LEN("Quality of Works / Criteria of Failings:"),0)-IFERROR((LEN($T1126)-LEN(SUBSTITUTE($T1126,"Quality of Works / Criteria of Failings:Compliant","")))/LEN("Quality of Works / Criteria of Failings:Compliant"),0))</f>
        <v/>
      </c>
      <c r="Z1125" s="122">
        <f>IFERROR($Y1126/MAX(1,(LEN($I1126)-LEN(SUBSTITUTE($I1126," Ltd","")))/LEN(" Ltd")),0)</f>
        <v/>
      </c>
      <c r="AA1125" s="122">
        <f>IFERROR(IFERROR((LEN($T1126)-LEN(SUBSTITUTE($T1126,"Quality of Works / Criteria of Failings:","")))/LEN("Quality of Works / Criteria of Failings:"),0)/MAX(1,(LEN($I1126)-LEN(SUBSTITUTE($I1126," Ltd","")))/LEN(" Ltd")),0)</f>
        <v/>
      </c>
      <c r="AB1125" s="122">
        <f>IFERROR(IFERROR((LEN($T1126)-LEN(SUBSTITUTE($T1126,"Quality of Works / Criteria of Failings:Compliant","")))/LEN("Quality of Works / Criteria of Failings:Compliant"),0)/MAX(1,(LEN($I1126)-LEN(SUBSTITUTE($I1126," Ltd","")))/LEN(" Ltd")),0)</f>
        <v/>
      </c>
    </row>
    <row r="1126" ht="15" customHeight="1" s="146">
      <c r="Y1126" s="122">
        <f>MAX(0,IFERROR((LEN($T1127)-LEN(SUBSTITUTE($T1127,"Quality of Works / Criteria of Failings:","")))/LEN("Quality of Works / Criteria of Failings:"),0)-IFERROR((LEN($T1127)-LEN(SUBSTITUTE($T1127,"Quality of Works / Criteria of Failings:Compliant","")))/LEN("Quality of Works / Criteria of Failings:Compliant"),0))</f>
        <v/>
      </c>
      <c r="Z1126" s="122">
        <f>IFERROR($Y1127/MAX(1,(LEN($I1127)-LEN(SUBSTITUTE($I1127," Ltd","")))/LEN(" Ltd")),0)</f>
        <v/>
      </c>
      <c r="AA1126" s="122">
        <f>IFERROR(IFERROR((LEN($T1127)-LEN(SUBSTITUTE($T1127,"Quality of Works / Criteria of Failings:","")))/LEN("Quality of Works / Criteria of Failings:"),0)/MAX(1,(LEN($I1127)-LEN(SUBSTITUTE($I1127," Ltd","")))/LEN(" Ltd")),0)</f>
        <v/>
      </c>
      <c r="AB1126" s="122">
        <f>IFERROR(IFERROR((LEN($T1127)-LEN(SUBSTITUTE($T1127,"Quality of Works / Criteria of Failings:Compliant","")))/LEN("Quality of Works / Criteria of Failings:Compliant"),0)/MAX(1,(LEN($I1127)-LEN(SUBSTITUTE($I1127," Ltd","")))/LEN(" Ltd")),0)</f>
        <v/>
      </c>
    </row>
    <row r="1127" ht="15" customHeight="1" s="146">
      <c r="Y1127" s="122">
        <f>MAX(0,IFERROR((LEN($T1128)-LEN(SUBSTITUTE($T1128,"Quality of Works / Criteria of Failings:","")))/LEN("Quality of Works / Criteria of Failings:"),0)-IFERROR((LEN($T1128)-LEN(SUBSTITUTE($T1128,"Quality of Works / Criteria of Failings:Compliant","")))/LEN("Quality of Works / Criteria of Failings:Compliant"),0))</f>
        <v/>
      </c>
      <c r="Z1127" s="122">
        <f>IFERROR($Y1128/MAX(1,(LEN($I1128)-LEN(SUBSTITUTE($I1128," Ltd","")))/LEN(" Ltd")),0)</f>
        <v/>
      </c>
      <c r="AA1127" s="122">
        <f>IFERROR(IFERROR((LEN($T1128)-LEN(SUBSTITUTE($T1128,"Quality of Works / Criteria of Failings:","")))/LEN("Quality of Works / Criteria of Failings:"),0)/MAX(1,(LEN($I1128)-LEN(SUBSTITUTE($I1128," Ltd","")))/LEN(" Ltd")),0)</f>
        <v/>
      </c>
      <c r="AB1127" s="122">
        <f>IFERROR(IFERROR((LEN($T1128)-LEN(SUBSTITUTE($T1128,"Quality of Works / Criteria of Failings:Compliant","")))/LEN("Quality of Works / Criteria of Failings:Compliant"),0)/MAX(1,(LEN($I1128)-LEN(SUBSTITUTE($I1128," Ltd","")))/LEN(" Ltd")),0)</f>
        <v/>
      </c>
    </row>
    <row r="1128" ht="15" customHeight="1" s="146">
      <c r="Y1128" s="122">
        <f>MAX(0,IFERROR((LEN($T1129)-LEN(SUBSTITUTE($T1129,"Quality of Works / Criteria of Failings:","")))/LEN("Quality of Works / Criteria of Failings:"),0)-IFERROR((LEN($T1129)-LEN(SUBSTITUTE($T1129,"Quality of Works / Criteria of Failings:Compliant","")))/LEN("Quality of Works / Criteria of Failings:Compliant"),0))</f>
        <v/>
      </c>
      <c r="Z1128" s="122">
        <f>IFERROR($Y1129/MAX(1,(LEN($I1129)-LEN(SUBSTITUTE($I1129," Ltd","")))/LEN(" Ltd")),0)</f>
        <v/>
      </c>
      <c r="AA1128" s="122">
        <f>IFERROR(IFERROR((LEN($T1129)-LEN(SUBSTITUTE($T1129,"Quality of Works / Criteria of Failings:","")))/LEN("Quality of Works / Criteria of Failings:"),0)/MAX(1,(LEN($I1129)-LEN(SUBSTITUTE($I1129," Ltd","")))/LEN(" Ltd")),0)</f>
        <v/>
      </c>
      <c r="AB1128" s="122">
        <f>IFERROR(IFERROR((LEN($T1129)-LEN(SUBSTITUTE($T1129,"Quality of Works / Criteria of Failings:Compliant","")))/LEN("Quality of Works / Criteria of Failings:Compliant"),0)/MAX(1,(LEN($I1129)-LEN(SUBSTITUTE($I1129," Ltd","")))/LEN(" Ltd")),0)</f>
        <v/>
      </c>
    </row>
    <row r="1129" ht="15" customHeight="1" s="146">
      <c r="Y1129" s="122">
        <f>MAX(0,IFERROR((LEN($T1130)-LEN(SUBSTITUTE($T1130,"Quality of Works / Criteria of Failings:","")))/LEN("Quality of Works / Criteria of Failings:"),0)-IFERROR((LEN($T1130)-LEN(SUBSTITUTE($T1130,"Quality of Works / Criteria of Failings:Compliant","")))/LEN("Quality of Works / Criteria of Failings:Compliant"),0))</f>
        <v/>
      </c>
      <c r="Z1129" s="122">
        <f>IFERROR($Y1130/MAX(1,(LEN($I1130)-LEN(SUBSTITUTE($I1130," Ltd","")))/LEN(" Ltd")),0)</f>
        <v/>
      </c>
      <c r="AA1129" s="122">
        <f>IFERROR(IFERROR((LEN($T1130)-LEN(SUBSTITUTE($T1130,"Quality of Works / Criteria of Failings:","")))/LEN("Quality of Works / Criteria of Failings:"),0)/MAX(1,(LEN($I1130)-LEN(SUBSTITUTE($I1130," Ltd","")))/LEN(" Ltd")),0)</f>
        <v/>
      </c>
      <c r="AB1129" s="122">
        <f>IFERROR(IFERROR((LEN($T1130)-LEN(SUBSTITUTE($T1130,"Quality of Works / Criteria of Failings:Compliant","")))/LEN("Quality of Works / Criteria of Failings:Compliant"),0)/MAX(1,(LEN($I1130)-LEN(SUBSTITUTE($I1130," Ltd","")))/LEN(" Ltd")),0)</f>
        <v/>
      </c>
    </row>
    <row r="1130" ht="15" customHeight="1" s="146">
      <c r="Y1130" s="122">
        <f>MAX(0,IFERROR((LEN($T1131)-LEN(SUBSTITUTE($T1131,"Quality of Works / Criteria of Failings:","")))/LEN("Quality of Works / Criteria of Failings:"),0)-IFERROR((LEN($T1131)-LEN(SUBSTITUTE($T1131,"Quality of Works / Criteria of Failings:Compliant","")))/LEN("Quality of Works / Criteria of Failings:Compliant"),0))</f>
        <v/>
      </c>
      <c r="Z1130" s="122">
        <f>IFERROR($Y1131/MAX(1,(LEN($I1131)-LEN(SUBSTITUTE($I1131," Ltd","")))/LEN(" Ltd")),0)</f>
        <v/>
      </c>
      <c r="AA1130" s="122">
        <f>IFERROR(IFERROR((LEN($T1131)-LEN(SUBSTITUTE($T1131,"Quality of Works / Criteria of Failings:","")))/LEN("Quality of Works / Criteria of Failings:"),0)/MAX(1,(LEN($I1131)-LEN(SUBSTITUTE($I1131," Ltd","")))/LEN(" Ltd")),0)</f>
        <v/>
      </c>
      <c r="AB1130" s="122">
        <f>IFERROR(IFERROR((LEN($T1131)-LEN(SUBSTITUTE($T1131,"Quality of Works / Criteria of Failings:Compliant","")))/LEN("Quality of Works / Criteria of Failings:Compliant"),0)/MAX(1,(LEN($I1131)-LEN(SUBSTITUTE($I1131," Ltd","")))/LEN(" Ltd")),0)</f>
        <v/>
      </c>
    </row>
    <row r="1131" ht="15" customHeight="1" s="146">
      <c r="Y1131" s="122">
        <f>MAX(0,IFERROR((LEN($T1132)-LEN(SUBSTITUTE($T1132,"Quality of Works / Criteria of Failings:","")))/LEN("Quality of Works / Criteria of Failings:"),0)-IFERROR((LEN($T1132)-LEN(SUBSTITUTE($T1132,"Quality of Works / Criteria of Failings:Compliant","")))/LEN("Quality of Works / Criteria of Failings:Compliant"),0))</f>
        <v/>
      </c>
      <c r="Z1131" s="122">
        <f>IFERROR($Y1132/MAX(1,(LEN($I1132)-LEN(SUBSTITUTE($I1132," Ltd","")))/LEN(" Ltd")),0)</f>
        <v/>
      </c>
      <c r="AA1131" s="122">
        <f>IFERROR(IFERROR((LEN($T1132)-LEN(SUBSTITUTE($T1132,"Quality of Works / Criteria of Failings:","")))/LEN("Quality of Works / Criteria of Failings:"),0)/MAX(1,(LEN($I1132)-LEN(SUBSTITUTE($I1132," Ltd","")))/LEN(" Ltd")),0)</f>
        <v/>
      </c>
      <c r="AB1131" s="122">
        <f>IFERROR(IFERROR((LEN($T1132)-LEN(SUBSTITUTE($T1132,"Quality of Works / Criteria of Failings:Compliant","")))/LEN("Quality of Works / Criteria of Failings:Compliant"),0)/MAX(1,(LEN($I1132)-LEN(SUBSTITUTE($I1132," Ltd","")))/LEN(" Ltd")),0)</f>
        <v/>
      </c>
    </row>
    <row r="1132" ht="15" customHeight="1" s="146">
      <c r="Y1132" s="122">
        <f>MAX(0,IFERROR((LEN($T1133)-LEN(SUBSTITUTE($T1133,"Quality of Works / Criteria of Failings:","")))/LEN("Quality of Works / Criteria of Failings:"),0)-IFERROR((LEN($T1133)-LEN(SUBSTITUTE($T1133,"Quality of Works / Criteria of Failings:Compliant","")))/LEN("Quality of Works / Criteria of Failings:Compliant"),0))</f>
        <v/>
      </c>
      <c r="Z1132" s="122">
        <f>IFERROR($Y1133/MAX(1,(LEN($I1133)-LEN(SUBSTITUTE($I1133," Ltd","")))/LEN(" Ltd")),0)</f>
        <v/>
      </c>
      <c r="AA1132" s="122">
        <f>IFERROR(IFERROR((LEN($T1133)-LEN(SUBSTITUTE($T1133,"Quality of Works / Criteria of Failings:","")))/LEN("Quality of Works / Criteria of Failings:"),0)/MAX(1,(LEN($I1133)-LEN(SUBSTITUTE($I1133," Ltd","")))/LEN(" Ltd")),0)</f>
        <v/>
      </c>
      <c r="AB1132" s="122">
        <f>IFERROR(IFERROR((LEN($T1133)-LEN(SUBSTITUTE($T1133,"Quality of Works / Criteria of Failings:Compliant","")))/LEN("Quality of Works / Criteria of Failings:Compliant"),0)/MAX(1,(LEN($I1133)-LEN(SUBSTITUTE($I1133," Ltd","")))/LEN(" Ltd")),0)</f>
        <v/>
      </c>
    </row>
    <row r="1133" ht="15" customHeight="1" s="146">
      <c r="Y1133" s="122">
        <f>MAX(0,IFERROR((LEN($T1134)-LEN(SUBSTITUTE($T1134,"Quality of Works / Criteria of Failings:","")))/LEN("Quality of Works / Criteria of Failings:"),0)-IFERROR((LEN($T1134)-LEN(SUBSTITUTE($T1134,"Quality of Works / Criteria of Failings:Compliant","")))/LEN("Quality of Works / Criteria of Failings:Compliant"),0))</f>
        <v/>
      </c>
      <c r="Z1133" s="122">
        <f>IFERROR($Y1134/MAX(1,(LEN($I1134)-LEN(SUBSTITUTE($I1134," Ltd","")))/LEN(" Ltd")),0)</f>
        <v/>
      </c>
      <c r="AA1133" s="122">
        <f>IFERROR(IFERROR((LEN($T1134)-LEN(SUBSTITUTE($T1134,"Quality of Works / Criteria of Failings:","")))/LEN("Quality of Works / Criteria of Failings:"),0)/MAX(1,(LEN($I1134)-LEN(SUBSTITUTE($I1134," Ltd","")))/LEN(" Ltd")),0)</f>
        <v/>
      </c>
      <c r="AB1133" s="122">
        <f>IFERROR(IFERROR((LEN($T1134)-LEN(SUBSTITUTE($T1134,"Quality of Works / Criteria of Failings:Compliant","")))/LEN("Quality of Works / Criteria of Failings:Compliant"),0)/MAX(1,(LEN($I1134)-LEN(SUBSTITUTE($I1134," Ltd","")))/LEN(" Ltd")),0)</f>
        <v/>
      </c>
    </row>
    <row r="1134" ht="15" customHeight="1" s="146">
      <c r="Y1134" s="122">
        <f>MAX(0,IFERROR((LEN($T1135)-LEN(SUBSTITUTE($T1135,"Quality of Works / Criteria of Failings:","")))/LEN("Quality of Works / Criteria of Failings:"),0)-IFERROR((LEN($T1135)-LEN(SUBSTITUTE($T1135,"Quality of Works / Criteria of Failings:Compliant","")))/LEN("Quality of Works / Criteria of Failings:Compliant"),0))</f>
        <v/>
      </c>
      <c r="Z1134" s="122">
        <f>IFERROR($Y1135/MAX(1,(LEN($I1135)-LEN(SUBSTITUTE($I1135," Ltd","")))/LEN(" Ltd")),0)</f>
        <v/>
      </c>
      <c r="AA1134" s="122">
        <f>IFERROR(IFERROR((LEN($T1135)-LEN(SUBSTITUTE($T1135,"Quality of Works / Criteria of Failings:","")))/LEN("Quality of Works / Criteria of Failings:"),0)/MAX(1,(LEN($I1135)-LEN(SUBSTITUTE($I1135," Ltd","")))/LEN(" Ltd")),0)</f>
        <v/>
      </c>
      <c r="AB1134" s="122">
        <f>IFERROR(IFERROR((LEN($T1135)-LEN(SUBSTITUTE($T1135,"Quality of Works / Criteria of Failings:Compliant","")))/LEN("Quality of Works / Criteria of Failings:Compliant"),0)/MAX(1,(LEN($I1135)-LEN(SUBSTITUTE($I1135," Ltd","")))/LEN(" Ltd")),0)</f>
        <v/>
      </c>
    </row>
    <row r="1135" ht="15" customHeight="1" s="146">
      <c r="Y1135" s="122">
        <f>MAX(0,IFERROR((LEN($T1136)-LEN(SUBSTITUTE($T1136,"Quality of Works / Criteria of Failings:","")))/LEN("Quality of Works / Criteria of Failings:"),0)-IFERROR((LEN($T1136)-LEN(SUBSTITUTE($T1136,"Quality of Works / Criteria of Failings:Compliant","")))/LEN("Quality of Works / Criteria of Failings:Compliant"),0))</f>
        <v/>
      </c>
      <c r="Z1135" s="122">
        <f>IFERROR($Y1136/MAX(1,(LEN($I1136)-LEN(SUBSTITUTE($I1136," Ltd","")))/LEN(" Ltd")),0)</f>
        <v/>
      </c>
      <c r="AA1135" s="122">
        <f>IFERROR(IFERROR((LEN($T1136)-LEN(SUBSTITUTE($T1136,"Quality of Works / Criteria of Failings:","")))/LEN("Quality of Works / Criteria of Failings:"),0)/MAX(1,(LEN($I1136)-LEN(SUBSTITUTE($I1136," Ltd","")))/LEN(" Ltd")),0)</f>
        <v/>
      </c>
      <c r="AB1135" s="122">
        <f>IFERROR(IFERROR((LEN($T1136)-LEN(SUBSTITUTE($T1136,"Quality of Works / Criteria of Failings:Compliant","")))/LEN("Quality of Works / Criteria of Failings:Compliant"),0)/MAX(1,(LEN($I1136)-LEN(SUBSTITUTE($I1136," Ltd","")))/LEN(" Ltd")),0)</f>
        <v/>
      </c>
    </row>
    <row r="1136" ht="15" customHeight="1" s="146">
      <c r="Y1136" s="122">
        <f>MAX(0,IFERROR((LEN($T1137)-LEN(SUBSTITUTE($T1137,"Quality of Works / Criteria of Failings:","")))/LEN("Quality of Works / Criteria of Failings:"),0)-IFERROR((LEN($T1137)-LEN(SUBSTITUTE($T1137,"Quality of Works / Criteria of Failings:Compliant","")))/LEN("Quality of Works / Criteria of Failings:Compliant"),0))</f>
        <v/>
      </c>
      <c r="Z1136" s="122">
        <f>IFERROR($Y1137/MAX(1,(LEN($I1137)-LEN(SUBSTITUTE($I1137," Ltd","")))/LEN(" Ltd")),0)</f>
        <v/>
      </c>
      <c r="AA1136" s="122">
        <f>IFERROR(IFERROR((LEN($T1137)-LEN(SUBSTITUTE($T1137,"Quality of Works / Criteria of Failings:","")))/LEN("Quality of Works / Criteria of Failings:"),0)/MAX(1,(LEN($I1137)-LEN(SUBSTITUTE($I1137," Ltd","")))/LEN(" Ltd")),0)</f>
        <v/>
      </c>
      <c r="AB1136" s="122">
        <f>IFERROR(IFERROR((LEN($T1137)-LEN(SUBSTITUTE($T1137,"Quality of Works / Criteria of Failings:Compliant","")))/LEN("Quality of Works / Criteria of Failings:Compliant"),0)/MAX(1,(LEN($I1137)-LEN(SUBSTITUTE($I1137," Ltd","")))/LEN(" Ltd")),0)</f>
        <v/>
      </c>
    </row>
    <row r="1137" ht="15" customHeight="1" s="146">
      <c r="Y1137" s="122">
        <f>MAX(0,IFERROR((LEN($T1138)-LEN(SUBSTITUTE($T1138,"Quality of Works / Criteria of Failings:","")))/LEN("Quality of Works / Criteria of Failings:"),0)-IFERROR((LEN($T1138)-LEN(SUBSTITUTE($T1138,"Quality of Works / Criteria of Failings:Compliant","")))/LEN("Quality of Works / Criteria of Failings:Compliant"),0))</f>
        <v/>
      </c>
      <c r="Z1137" s="122">
        <f>IFERROR($Y1138/MAX(1,(LEN($I1138)-LEN(SUBSTITUTE($I1138," Ltd","")))/LEN(" Ltd")),0)</f>
        <v/>
      </c>
      <c r="AA1137" s="122">
        <f>IFERROR(IFERROR((LEN($T1138)-LEN(SUBSTITUTE($T1138,"Quality of Works / Criteria of Failings:","")))/LEN("Quality of Works / Criteria of Failings:"),0)/MAX(1,(LEN($I1138)-LEN(SUBSTITUTE($I1138," Ltd","")))/LEN(" Ltd")),0)</f>
        <v/>
      </c>
      <c r="AB1137" s="122">
        <f>IFERROR(IFERROR((LEN($T1138)-LEN(SUBSTITUTE($T1138,"Quality of Works / Criteria of Failings:Compliant","")))/LEN("Quality of Works / Criteria of Failings:Compliant"),0)/MAX(1,(LEN($I1138)-LEN(SUBSTITUTE($I1138," Ltd","")))/LEN(" Ltd")),0)</f>
        <v/>
      </c>
    </row>
    <row r="1138" ht="15" customHeight="1" s="146">
      <c r="Y1138" s="122">
        <f>MAX(0,IFERROR((LEN($T1139)-LEN(SUBSTITUTE($T1139,"Quality of Works / Criteria of Failings:","")))/LEN("Quality of Works / Criteria of Failings:"),0)-IFERROR((LEN($T1139)-LEN(SUBSTITUTE($T1139,"Quality of Works / Criteria of Failings:Compliant","")))/LEN("Quality of Works / Criteria of Failings:Compliant"),0))</f>
        <v/>
      </c>
      <c r="Z1138" s="122">
        <f>IFERROR($Y1139/MAX(1,(LEN($I1139)-LEN(SUBSTITUTE($I1139," Ltd","")))/LEN(" Ltd")),0)</f>
        <v/>
      </c>
      <c r="AA1138" s="122">
        <f>IFERROR(IFERROR((LEN($T1139)-LEN(SUBSTITUTE($T1139,"Quality of Works / Criteria of Failings:","")))/LEN("Quality of Works / Criteria of Failings:"),0)/MAX(1,(LEN($I1139)-LEN(SUBSTITUTE($I1139," Ltd","")))/LEN(" Ltd")),0)</f>
        <v/>
      </c>
      <c r="AB1138" s="122">
        <f>IFERROR(IFERROR((LEN($T1139)-LEN(SUBSTITUTE($T1139,"Quality of Works / Criteria of Failings:Compliant","")))/LEN("Quality of Works / Criteria of Failings:Compliant"),0)/MAX(1,(LEN($I1139)-LEN(SUBSTITUTE($I1139," Ltd","")))/LEN(" Ltd")),0)</f>
        <v/>
      </c>
    </row>
    <row r="1139" ht="15" customHeight="1" s="146">
      <c r="Y1139" s="122">
        <f>MAX(0,IFERROR((LEN($T1140)-LEN(SUBSTITUTE($T1140,"Quality of Works / Criteria of Failings:","")))/LEN("Quality of Works / Criteria of Failings:"),0)-IFERROR((LEN($T1140)-LEN(SUBSTITUTE($T1140,"Quality of Works / Criteria of Failings:Compliant","")))/LEN("Quality of Works / Criteria of Failings:Compliant"),0))</f>
        <v/>
      </c>
      <c r="Z1139" s="122">
        <f>IFERROR($Y1140/MAX(1,(LEN($I1140)-LEN(SUBSTITUTE($I1140," Ltd","")))/LEN(" Ltd")),0)</f>
        <v/>
      </c>
      <c r="AA1139" s="122">
        <f>IFERROR(IFERROR((LEN($T1140)-LEN(SUBSTITUTE($T1140,"Quality of Works / Criteria of Failings:","")))/LEN("Quality of Works / Criteria of Failings:"),0)/MAX(1,(LEN($I1140)-LEN(SUBSTITUTE($I1140," Ltd","")))/LEN(" Ltd")),0)</f>
        <v/>
      </c>
      <c r="AB1139" s="122">
        <f>IFERROR(IFERROR((LEN($T1140)-LEN(SUBSTITUTE($T1140,"Quality of Works / Criteria of Failings:Compliant","")))/LEN("Quality of Works / Criteria of Failings:Compliant"),0)/MAX(1,(LEN($I1140)-LEN(SUBSTITUTE($I1140," Ltd","")))/LEN(" Ltd")),0)</f>
        <v/>
      </c>
    </row>
    <row r="1140" ht="15" customHeight="1" s="146">
      <c r="Y1140" s="122">
        <f>MAX(0,IFERROR((LEN($T1141)-LEN(SUBSTITUTE($T1141,"Quality of Works / Criteria of Failings:","")))/LEN("Quality of Works / Criteria of Failings:"),0)-IFERROR((LEN($T1141)-LEN(SUBSTITUTE($T1141,"Quality of Works / Criteria of Failings:Compliant","")))/LEN("Quality of Works / Criteria of Failings:Compliant"),0))</f>
        <v/>
      </c>
      <c r="Z1140" s="122">
        <f>IFERROR($Y1141/MAX(1,(LEN($I1141)-LEN(SUBSTITUTE($I1141," Ltd","")))/LEN(" Ltd")),0)</f>
        <v/>
      </c>
      <c r="AA1140" s="122">
        <f>IFERROR(IFERROR((LEN($T1141)-LEN(SUBSTITUTE($T1141,"Quality of Works / Criteria of Failings:","")))/LEN("Quality of Works / Criteria of Failings:"),0)/MAX(1,(LEN($I1141)-LEN(SUBSTITUTE($I1141," Ltd","")))/LEN(" Ltd")),0)</f>
        <v/>
      </c>
      <c r="AB1140" s="122">
        <f>IFERROR(IFERROR((LEN($T1141)-LEN(SUBSTITUTE($T1141,"Quality of Works / Criteria of Failings:Compliant","")))/LEN("Quality of Works / Criteria of Failings:Compliant"),0)/MAX(1,(LEN($I1141)-LEN(SUBSTITUTE($I1141," Ltd","")))/LEN(" Ltd")),0)</f>
        <v/>
      </c>
    </row>
    <row r="1141" ht="15" customHeight="1" s="146">
      <c r="Y1141" s="122">
        <f>MAX(0,IFERROR((LEN($T1142)-LEN(SUBSTITUTE($T1142,"Quality of Works / Criteria of Failings:","")))/LEN("Quality of Works / Criteria of Failings:"),0)-IFERROR((LEN($T1142)-LEN(SUBSTITUTE($T1142,"Quality of Works / Criteria of Failings:Compliant","")))/LEN("Quality of Works / Criteria of Failings:Compliant"),0))</f>
        <v/>
      </c>
      <c r="Z1141" s="122">
        <f>IFERROR($Y1142/MAX(1,(LEN($I1142)-LEN(SUBSTITUTE($I1142," Ltd","")))/LEN(" Ltd")),0)</f>
        <v/>
      </c>
      <c r="AA1141" s="122">
        <f>IFERROR(IFERROR((LEN($T1142)-LEN(SUBSTITUTE($T1142,"Quality of Works / Criteria of Failings:","")))/LEN("Quality of Works / Criteria of Failings:"),0)/MAX(1,(LEN($I1142)-LEN(SUBSTITUTE($I1142," Ltd","")))/LEN(" Ltd")),0)</f>
        <v/>
      </c>
      <c r="AB1141" s="122">
        <f>IFERROR(IFERROR((LEN($T1142)-LEN(SUBSTITUTE($T1142,"Quality of Works / Criteria of Failings:Compliant","")))/LEN("Quality of Works / Criteria of Failings:Compliant"),0)/MAX(1,(LEN($I1142)-LEN(SUBSTITUTE($I1142," Ltd","")))/LEN(" Ltd")),0)</f>
        <v/>
      </c>
    </row>
    <row r="1142" ht="15" customHeight="1" s="146">
      <c r="Y1142" s="122">
        <f>MAX(0,IFERROR((LEN($T1143)-LEN(SUBSTITUTE($T1143,"Quality of Works / Criteria of Failings:","")))/LEN("Quality of Works / Criteria of Failings:"),0)-IFERROR((LEN($T1143)-LEN(SUBSTITUTE($T1143,"Quality of Works / Criteria of Failings:Compliant","")))/LEN("Quality of Works / Criteria of Failings:Compliant"),0))</f>
        <v/>
      </c>
      <c r="Z1142" s="122">
        <f>IFERROR($Y1143/MAX(1,(LEN($I1143)-LEN(SUBSTITUTE($I1143," Ltd","")))/LEN(" Ltd")),0)</f>
        <v/>
      </c>
      <c r="AA1142" s="122">
        <f>IFERROR(IFERROR((LEN($T1143)-LEN(SUBSTITUTE($T1143,"Quality of Works / Criteria of Failings:","")))/LEN("Quality of Works / Criteria of Failings:"),0)/MAX(1,(LEN($I1143)-LEN(SUBSTITUTE($I1143," Ltd","")))/LEN(" Ltd")),0)</f>
        <v/>
      </c>
      <c r="AB1142" s="122">
        <f>IFERROR(IFERROR((LEN($T1143)-LEN(SUBSTITUTE($T1143,"Quality of Works / Criteria of Failings:Compliant","")))/LEN("Quality of Works / Criteria of Failings:Compliant"),0)/MAX(1,(LEN($I1143)-LEN(SUBSTITUTE($I1143," Ltd","")))/LEN(" Ltd")),0)</f>
        <v/>
      </c>
    </row>
    <row r="1143" ht="15" customHeight="1" s="146">
      <c r="Y1143" s="122">
        <f>MAX(0,IFERROR((LEN($T1144)-LEN(SUBSTITUTE($T1144,"Quality of Works / Criteria of Failings:","")))/LEN("Quality of Works / Criteria of Failings:"),0)-IFERROR((LEN($T1144)-LEN(SUBSTITUTE($T1144,"Quality of Works / Criteria of Failings:Compliant","")))/LEN("Quality of Works / Criteria of Failings:Compliant"),0))</f>
        <v/>
      </c>
      <c r="Z1143" s="122">
        <f>IFERROR($Y1144/MAX(1,(LEN($I1144)-LEN(SUBSTITUTE($I1144," Ltd","")))/LEN(" Ltd")),0)</f>
        <v/>
      </c>
      <c r="AA1143" s="122">
        <f>IFERROR(IFERROR((LEN($T1144)-LEN(SUBSTITUTE($T1144,"Quality of Works / Criteria of Failings:","")))/LEN("Quality of Works / Criteria of Failings:"),0)/MAX(1,(LEN($I1144)-LEN(SUBSTITUTE($I1144," Ltd","")))/LEN(" Ltd")),0)</f>
        <v/>
      </c>
      <c r="AB1143" s="122">
        <f>IFERROR(IFERROR((LEN($T1144)-LEN(SUBSTITUTE($T1144,"Quality of Works / Criteria of Failings:Compliant","")))/LEN("Quality of Works / Criteria of Failings:Compliant"),0)/MAX(1,(LEN($I1144)-LEN(SUBSTITUTE($I1144," Ltd","")))/LEN(" Ltd")),0)</f>
        <v/>
      </c>
    </row>
    <row r="1144" ht="15" customHeight="1" s="146">
      <c r="Y1144" s="122">
        <f>MAX(0,IFERROR((LEN($T1145)-LEN(SUBSTITUTE($T1145,"Quality of Works / Criteria of Failings:","")))/LEN("Quality of Works / Criteria of Failings:"),0)-IFERROR((LEN($T1145)-LEN(SUBSTITUTE($T1145,"Quality of Works / Criteria of Failings:Compliant","")))/LEN("Quality of Works / Criteria of Failings:Compliant"),0))</f>
        <v/>
      </c>
      <c r="Z1144" s="122">
        <f>IFERROR($Y1145/MAX(1,(LEN($I1145)-LEN(SUBSTITUTE($I1145," Ltd","")))/LEN(" Ltd")),0)</f>
        <v/>
      </c>
      <c r="AA1144" s="122">
        <f>IFERROR(IFERROR((LEN($T1145)-LEN(SUBSTITUTE($T1145,"Quality of Works / Criteria of Failings:","")))/LEN("Quality of Works / Criteria of Failings:"),0)/MAX(1,(LEN($I1145)-LEN(SUBSTITUTE($I1145," Ltd","")))/LEN(" Ltd")),0)</f>
        <v/>
      </c>
      <c r="AB1144" s="122">
        <f>IFERROR(IFERROR((LEN($T1145)-LEN(SUBSTITUTE($T1145,"Quality of Works / Criteria of Failings:Compliant","")))/LEN("Quality of Works / Criteria of Failings:Compliant"),0)/MAX(1,(LEN($I1145)-LEN(SUBSTITUTE($I1145," Ltd","")))/LEN(" Ltd")),0)</f>
        <v/>
      </c>
    </row>
    <row r="1145" ht="15" customHeight="1" s="146">
      <c r="Y1145" s="122">
        <f>MAX(0,IFERROR((LEN($T1146)-LEN(SUBSTITUTE($T1146,"Quality of Works / Criteria of Failings:","")))/LEN("Quality of Works / Criteria of Failings:"),0)-IFERROR((LEN($T1146)-LEN(SUBSTITUTE($T1146,"Quality of Works / Criteria of Failings:Compliant","")))/LEN("Quality of Works / Criteria of Failings:Compliant"),0))</f>
        <v/>
      </c>
      <c r="Z1145" s="122">
        <f>IFERROR($Y1146/MAX(1,(LEN($I1146)-LEN(SUBSTITUTE($I1146," Ltd","")))/LEN(" Ltd")),0)</f>
        <v/>
      </c>
      <c r="AA1145" s="122">
        <f>IFERROR(IFERROR((LEN($T1146)-LEN(SUBSTITUTE($T1146,"Quality of Works / Criteria of Failings:","")))/LEN("Quality of Works / Criteria of Failings:"),0)/MAX(1,(LEN($I1146)-LEN(SUBSTITUTE($I1146," Ltd","")))/LEN(" Ltd")),0)</f>
        <v/>
      </c>
      <c r="AB1145" s="122">
        <f>IFERROR(IFERROR((LEN($T1146)-LEN(SUBSTITUTE($T1146,"Quality of Works / Criteria of Failings:Compliant","")))/LEN("Quality of Works / Criteria of Failings:Compliant"),0)/MAX(1,(LEN($I1146)-LEN(SUBSTITUTE($I1146," Ltd","")))/LEN(" Ltd")),0)</f>
        <v/>
      </c>
    </row>
    <row r="1146" ht="15" customHeight="1" s="146">
      <c r="Y1146" s="122">
        <f>MAX(0,IFERROR((LEN($T1147)-LEN(SUBSTITUTE($T1147,"Quality of Works / Criteria of Failings:","")))/LEN("Quality of Works / Criteria of Failings:"),0)-IFERROR((LEN($T1147)-LEN(SUBSTITUTE($T1147,"Quality of Works / Criteria of Failings:Compliant","")))/LEN("Quality of Works / Criteria of Failings:Compliant"),0))</f>
        <v/>
      </c>
      <c r="Z1146" s="122">
        <f>IFERROR($Y1147/MAX(1,(LEN($I1147)-LEN(SUBSTITUTE($I1147," Ltd","")))/LEN(" Ltd")),0)</f>
        <v/>
      </c>
      <c r="AA1146" s="122">
        <f>IFERROR(IFERROR((LEN($T1147)-LEN(SUBSTITUTE($T1147,"Quality of Works / Criteria of Failings:","")))/LEN("Quality of Works / Criteria of Failings:"),0)/MAX(1,(LEN($I1147)-LEN(SUBSTITUTE($I1147," Ltd","")))/LEN(" Ltd")),0)</f>
        <v/>
      </c>
      <c r="AB1146" s="122">
        <f>IFERROR(IFERROR((LEN($T1147)-LEN(SUBSTITUTE($T1147,"Quality of Works / Criteria of Failings:Compliant","")))/LEN("Quality of Works / Criteria of Failings:Compliant"),0)/MAX(1,(LEN($I1147)-LEN(SUBSTITUTE($I1147," Ltd","")))/LEN(" Ltd")),0)</f>
        <v/>
      </c>
    </row>
    <row r="1147" ht="15" customHeight="1" s="146">
      <c r="Y1147" s="122">
        <f>MAX(0,IFERROR((LEN($T1148)-LEN(SUBSTITUTE($T1148,"Quality of Works / Criteria of Failings:","")))/LEN("Quality of Works / Criteria of Failings:"),0)-IFERROR((LEN($T1148)-LEN(SUBSTITUTE($T1148,"Quality of Works / Criteria of Failings:Compliant","")))/LEN("Quality of Works / Criteria of Failings:Compliant"),0))</f>
        <v/>
      </c>
      <c r="Z1147" s="122">
        <f>IFERROR($Y1148/MAX(1,(LEN($I1148)-LEN(SUBSTITUTE($I1148," Ltd","")))/LEN(" Ltd")),0)</f>
        <v/>
      </c>
      <c r="AA1147" s="122">
        <f>IFERROR(IFERROR((LEN($T1148)-LEN(SUBSTITUTE($T1148,"Quality of Works / Criteria of Failings:","")))/LEN("Quality of Works / Criteria of Failings:"),0)/MAX(1,(LEN($I1148)-LEN(SUBSTITUTE($I1148," Ltd","")))/LEN(" Ltd")),0)</f>
        <v/>
      </c>
      <c r="AB1147" s="122">
        <f>IFERROR(IFERROR((LEN($T1148)-LEN(SUBSTITUTE($T1148,"Quality of Works / Criteria of Failings:Compliant","")))/LEN("Quality of Works / Criteria of Failings:Compliant"),0)/MAX(1,(LEN($I1148)-LEN(SUBSTITUTE($I1148," Ltd","")))/LEN(" Ltd")),0)</f>
        <v/>
      </c>
    </row>
    <row r="1148" ht="15" customHeight="1" s="146">
      <c r="Y1148" s="122">
        <f>MAX(0,IFERROR((LEN($T1149)-LEN(SUBSTITUTE($T1149,"Quality of Works / Criteria of Failings:","")))/LEN("Quality of Works / Criteria of Failings:"),0)-IFERROR((LEN($T1149)-LEN(SUBSTITUTE($T1149,"Quality of Works / Criteria of Failings:Compliant","")))/LEN("Quality of Works / Criteria of Failings:Compliant"),0))</f>
        <v/>
      </c>
      <c r="Z1148" s="122">
        <f>IFERROR($Y1149/MAX(1,(LEN($I1149)-LEN(SUBSTITUTE($I1149," Ltd","")))/LEN(" Ltd")),0)</f>
        <v/>
      </c>
      <c r="AA1148" s="122">
        <f>IFERROR(IFERROR((LEN($T1149)-LEN(SUBSTITUTE($T1149,"Quality of Works / Criteria of Failings:","")))/LEN("Quality of Works / Criteria of Failings:"),0)/MAX(1,(LEN($I1149)-LEN(SUBSTITUTE($I1149," Ltd","")))/LEN(" Ltd")),0)</f>
        <v/>
      </c>
      <c r="AB1148" s="122">
        <f>IFERROR(IFERROR((LEN($T1149)-LEN(SUBSTITUTE($T1149,"Quality of Works / Criteria of Failings:Compliant","")))/LEN("Quality of Works / Criteria of Failings:Compliant"),0)/MAX(1,(LEN($I1149)-LEN(SUBSTITUTE($I1149," Ltd","")))/LEN(" Ltd")),0)</f>
        <v/>
      </c>
    </row>
    <row r="1149" ht="15" customHeight="1" s="146">
      <c r="Y1149" s="122">
        <f>MAX(0,IFERROR((LEN($T1150)-LEN(SUBSTITUTE($T1150,"Quality of Works / Criteria of Failings:","")))/LEN("Quality of Works / Criteria of Failings:"),0)-IFERROR((LEN($T1150)-LEN(SUBSTITUTE($T1150,"Quality of Works / Criteria of Failings:Compliant","")))/LEN("Quality of Works / Criteria of Failings:Compliant"),0))</f>
        <v/>
      </c>
      <c r="Z1149" s="122">
        <f>IFERROR($Y1150/MAX(1,(LEN($I1150)-LEN(SUBSTITUTE($I1150," Ltd","")))/LEN(" Ltd")),0)</f>
        <v/>
      </c>
      <c r="AA1149" s="122">
        <f>IFERROR(IFERROR((LEN($T1150)-LEN(SUBSTITUTE($T1150,"Quality of Works / Criteria of Failings:","")))/LEN("Quality of Works / Criteria of Failings:"),0)/MAX(1,(LEN($I1150)-LEN(SUBSTITUTE($I1150," Ltd","")))/LEN(" Ltd")),0)</f>
        <v/>
      </c>
      <c r="AB1149" s="122">
        <f>IFERROR(IFERROR((LEN($T1150)-LEN(SUBSTITUTE($T1150,"Quality of Works / Criteria of Failings:Compliant","")))/LEN("Quality of Works / Criteria of Failings:Compliant"),0)/MAX(1,(LEN($I1150)-LEN(SUBSTITUTE($I1150," Ltd","")))/LEN(" Ltd")),0)</f>
        <v/>
      </c>
    </row>
    <row r="1150" ht="15" customHeight="1" s="146">
      <c r="Y1150" s="122">
        <f>MAX(0,IFERROR((LEN($T1151)-LEN(SUBSTITUTE($T1151,"Quality of Works / Criteria of Failings:","")))/LEN("Quality of Works / Criteria of Failings:"),0)-IFERROR((LEN($T1151)-LEN(SUBSTITUTE($T1151,"Quality of Works / Criteria of Failings:Compliant","")))/LEN("Quality of Works / Criteria of Failings:Compliant"),0))</f>
        <v/>
      </c>
      <c r="Z1150" s="122">
        <f>IFERROR($Y1151/MAX(1,(LEN($I1151)-LEN(SUBSTITUTE($I1151," Ltd","")))/LEN(" Ltd")),0)</f>
        <v/>
      </c>
      <c r="AA1150" s="122">
        <f>IFERROR(IFERROR((LEN($T1151)-LEN(SUBSTITUTE($T1151,"Quality of Works / Criteria of Failings:","")))/LEN("Quality of Works / Criteria of Failings:"),0)/MAX(1,(LEN($I1151)-LEN(SUBSTITUTE($I1151," Ltd","")))/LEN(" Ltd")),0)</f>
        <v/>
      </c>
      <c r="AB1150" s="122">
        <f>IFERROR(IFERROR((LEN($T1151)-LEN(SUBSTITUTE($T1151,"Quality of Works / Criteria of Failings:Compliant","")))/LEN("Quality of Works / Criteria of Failings:Compliant"),0)/MAX(1,(LEN($I1151)-LEN(SUBSTITUTE($I1151," Ltd","")))/LEN(" Ltd")),0)</f>
        <v/>
      </c>
    </row>
    <row r="1151" ht="15" customHeight="1" s="146">
      <c r="Y1151" s="122">
        <f>MAX(0,IFERROR((LEN($T1152)-LEN(SUBSTITUTE($T1152,"Quality of Works / Criteria of Failings:","")))/LEN("Quality of Works / Criteria of Failings:"),0)-IFERROR((LEN($T1152)-LEN(SUBSTITUTE($T1152,"Quality of Works / Criteria of Failings:Compliant","")))/LEN("Quality of Works / Criteria of Failings:Compliant"),0))</f>
        <v/>
      </c>
      <c r="Z1151" s="122">
        <f>IFERROR($Y1152/MAX(1,(LEN($I1152)-LEN(SUBSTITUTE($I1152," Ltd","")))/LEN(" Ltd")),0)</f>
        <v/>
      </c>
      <c r="AA1151" s="122">
        <f>IFERROR(IFERROR((LEN($T1152)-LEN(SUBSTITUTE($T1152,"Quality of Works / Criteria of Failings:","")))/LEN("Quality of Works / Criteria of Failings:"),0)/MAX(1,(LEN($I1152)-LEN(SUBSTITUTE($I1152," Ltd","")))/LEN(" Ltd")),0)</f>
        <v/>
      </c>
      <c r="AB1151" s="122">
        <f>IFERROR(IFERROR((LEN($T1152)-LEN(SUBSTITUTE($T1152,"Quality of Works / Criteria of Failings:Compliant","")))/LEN("Quality of Works / Criteria of Failings:Compliant"),0)/MAX(1,(LEN($I1152)-LEN(SUBSTITUTE($I1152," Ltd","")))/LEN(" Ltd")),0)</f>
        <v/>
      </c>
    </row>
    <row r="1152" ht="15" customHeight="1" s="146">
      <c r="Y1152" s="122">
        <f>MAX(0,IFERROR((LEN($T1153)-LEN(SUBSTITUTE($T1153,"Quality of Works / Criteria of Failings:","")))/LEN("Quality of Works / Criteria of Failings:"),0)-IFERROR((LEN($T1153)-LEN(SUBSTITUTE($T1153,"Quality of Works / Criteria of Failings:Compliant","")))/LEN("Quality of Works / Criteria of Failings:Compliant"),0))</f>
        <v/>
      </c>
      <c r="Z1152" s="122">
        <f>IFERROR($Y1153/MAX(1,(LEN($I1153)-LEN(SUBSTITUTE($I1153," Ltd","")))/LEN(" Ltd")),0)</f>
        <v/>
      </c>
      <c r="AA1152" s="122">
        <f>IFERROR(IFERROR((LEN($T1153)-LEN(SUBSTITUTE($T1153,"Quality of Works / Criteria of Failings:","")))/LEN("Quality of Works / Criteria of Failings:"),0)/MAX(1,(LEN($I1153)-LEN(SUBSTITUTE($I1153," Ltd","")))/LEN(" Ltd")),0)</f>
        <v/>
      </c>
      <c r="AB1152" s="122">
        <f>IFERROR(IFERROR((LEN($T1153)-LEN(SUBSTITUTE($T1153,"Quality of Works / Criteria of Failings:Compliant","")))/LEN("Quality of Works / Criteria of Failings:Compliant"),0)/MAX(1,(LEN($I1153)-LEN(SUBSTITUTE($I1153," Ltd","")))/LEN(" Ltd")),0)</f>
        <v/>
      </c>
    </row>
    <row r="1153" ht="15" customHeight="1" s="146">
      <c r="Y1153" s="122">
        <f>MAX(0,IFERROR((LEN($T1154)-LEN(SUBSTITUTE($T1154,"Quality of Works / Criteria of Failings:","")))/LEN("Quality of Works / Criteria of Failings:"),0)-IFERROR((LEN($T1154)-LEN(SUBSTITUTE($T1154,"Quality of Works / Criteria of Failings:Compliant","")))/LEN("Quality of Works / Criteria of Failings:Compliant"),0))</f>
        <v/>
      </c>
      <c r="Z1153" s="122">
        <f>IFERROR($Y1154/MAX(1,(LEN($I1154)-LEN(SUBSTITUTE($I1154," Ltd","")))/LEN(" Ltd")),0)</f>
        <v/>
      </c>
      <c r="AA1153" s="122">
        <f>IFERROR(IFERROR((LEN($T1154)-LEN(SUBSTITUTE($T1154,"Quality of Works / Criteria of Failings:","")))/LEN("Quality of Works / Criteria of Failings:"),0)/MAX(1,(LEN($I1154)-LEN(SUBSTITUTE($I1154," Ltd","")))/LEN(" Ltd")),0)</f>
        <v/>
      </c>
      <c r="AB1153" s="122">
        <f>IFERROR(IFERROR((LEN($T1154)-LEN(SUBSTITUTE($T1154,"Quality of Works / Criteria of Failings:Compliant","")))/LEN("Quality of Works / Criteria of Failings:Compliant"),0)/MAX(1,(LEN($I1154)-LEN(SUBSTITUTE($I1154," Ltd","")))/LEN(" Ltd")),0)</f>
        <v/>
      </c>
    </row>
    <row r="1154" ht="15" customHeight="1" s="146">
      <c r="Y1154" s="122">
        <f>MAX(0,IFERROR((LEN($T1155)-LEN(SUBSTITUTE($T1155,"Quality of Works / Criteria of Failings:","")))/LEN("Quality of Works / Criteria of Failings:"),0)-IFERROR((LEN($T1155)-LEN(SUBSTITUTE($T1155,"Quality of Works / Criteria of Failings:Compliant","")))/LEN("Quality of Works / Criteria of Failings:Compliant"),0))</f>
        <v/>
      </c>
      <c r="Z1154" s="122">
        <f>IFERROR($Y1155/MAX(1,(LEN($I1155)-LEN(SUBSTITUTE($I1155," Ltd","")))/LEN(" Ltd")),0)</f>
        <v/>
      </c>
      <c r="AA1154" s="122">
        <f>IFERROR(IFERROR((LEN($T1155)-LEN(SUBSTITUTE($T1155,"Quality of Works / Criteria of Failings:","")))/LEN("Quality of Works / Criteria of Failings:"),0)/MAX(1,(LEN($I1155)-LEN(SUBSTITUTE($I1155," Ltd","")))/LEN(" Ltd")),0)</f>
        <v/>
      </c>
      <c r="AB1154" s="122">
        <f>IFERROR(IFERROR((LEN($T1155)-LEN(SUBSTITUTE($T1155,"Quality of Works / Criteria of Failings:Compliant","")))/LEN("Quality of Works / Criteria of Failings:Compliant"),0)/MAX(1,(LEN($I1155)-LEN(SUBSTITUTE($I1155," Ltd","")))/LEN(" Ltd")),0)</f>
        <v/>
      </c>
    </row>
    <row r="1155" ht="15" customHeight="1" s="146">
      <c r="Y1155" s="122">
        <f>MAX(0,IFERROR((LEN($T1156)-LEN(SUBSTITUTE($T1156,"Quality of Works / Criteria of Failings:","")))/LEN("Quality of Works / Criteria of Failings:"),0)-IFERROR((LEN($T1156)-LEN(SUBSTITUTE($T1156,"Quality of Works / Criteria of Failings:Compliant","")))/LEN("Quality of Works / Criteria of Failings:Compliant"),0))</f>
        <v/>
      </c>
      <c r="Z1155" s="122">
        <f>IFERROR($Y1156/MAX(1,(LEN($I1156)-LEN(SUBSTITUTE($I1156," Ltd","")))/LEN(" Ltd")),0)</f>
        <v/>
      </c>
      <c r="AA1155" s="122">
        <f>IFERROR(IFERROR((LEN($T1156)-LEN(SUBSTITUTE($T1156,"Quality of Works / Criteria of Failings:","")))/LEN("Quality of Works / Criteria of Failings:"),0)/MAX(1,(LEN($I1156)-LEN(SUBSTITUTE($I1156," Ltd","")))/LEN(" Ltd")),0)</f>
        <v/>
      </c>
      <c r="AB1155" s="122">
        <f>IFERROR(IFERROR((LEN($T1156)-LEN(SUBSTITUTE($T1156,"Quality of Works / Criteria of Failings:Compliant","")))/LEN("Quality of Works / Criteria of Failings:Compliant"),0)/MAX(1,(LEN($I1156)-LEN(SUBSTITUTE($I1156," Ltd","")))/LEN(" Ltd")),0)</f>
        <v/>
      </c>
    </row>
    <row r="1156" ht="15" customHeight="1" s="146">
      <c r="Y1156" s="122">
        <f>MAX(0,IFERROR((LEN($T1157)-LEN(SUBSTITUTE($T1157,"Quality of Works / Criteria of Failings:","")))/LEN("Quality of Works / Criteria of Failings:"),0)-IFERROR((LEN($T1157)-LEN(SUBSTITUTE($T1157,"Quality of Works / Criteria of Failings:Compliant","")))/LEN("Quality of Works / Criteria of Failings:Compliant"),0))</f>
        <v/>
      </c>
      <c r="Z1156" s="122">
        <f>IFERROR($Y1157/MAX(1,(LEN($I1157)-LEN(SUBSTITUTE($I1157," Ltd","")))/LEN(" Ltd")),0)</f>
        <v/>
      </c>
      <c r="AA1156" s="122">
        <f>IFERROR(IFERROR((LEN($T1157)-LEN(SUBSTITUTE($T1157,"Quality of Works / Criteria of Failings:","")))/LEN("Quality of Works / Criteria of Failings:"),0)/MAX(1,(LEN($I1157)-LEN(SUBSTITUTE($I1157," Ltd","")))/LEN(" Ltd")),0)</f>
        <v/>
      </c>
      <c r="AB1156" s="122">
        <f>IFERROR(IFERROR((LEN($T1157)-LEN(SUBSTITUTE($T1157,"Quality of Works / Criteria of Failings:Compliant","")))/LEN("Quality of Works / Criteria of Failings:Compliant"),0)/MAX(1,(LEN($I1157)-LEN(SUBSTITUTE($I1157," Ltd","")))/LEN(" Ltd")),0)</f>
        <v/>
      </c>
    </row>
    <row r="1157" ht="15" customHeight="1" s="146">
      <c r="Y1157" s="122">
        <f>MAX(0,IFERROR((LEN($T1158)-LEN(SUBSTITUTE($T1158,"Quality of Works / Criteria of Failings:","")))/LEN("Quality of Works / Criteria of Failings:"),0)-IFERROR((LEN($T1158)-LEN(SUBSTITUTE($T1158,"Quality of Works / Criteria of Failings:Compliant","")))/LEN("Quality of Works / Criteria of Failings:Compliant"),0))</f>
        <v/>
      </c>
      <c r="Z1157" s="122">
        <f>IFERROR($Y1158/MAX(1,(LEN($I1158)-LEN(SUBSTITUTE($I1158," Ltd","")))/LEN(" Ltd")),0)</f>
        <v/>
      </c>
      <c r="AA1157" s="122">
        <f>IFERROR(IFERROR((LEN($T1158)-LEN(SUBSTITUTE($T1158,"Quality of Works / Criteria of Failings:","")))/LEN("Quality of Works / Criteria of Failings:"),0)/MAX(1,(LEN($I1158)-LEN(SUBSTITUTE($I1158," Ltd","")))/LEN(" Ltd")),0)</f>
        <v/>
      </c>
      <c r="AB1157" s="122">
        <f>IFERROR(IFERROR((LEN($T1158)-LEN(SUBSTITUTE($T1158,"Quality of Works / Criteria of Failings:Compliant","")))/LEN("Quality of Works / Criteria of Failings:Compliant"),0)/MAX(1,(LEN($I1158)-LEN(SUBSTITUTE($I1158," Ltd","")))/LEN(" Ltd")),0)</f>
        <v/>
      </c>
    </row>
    <row r="1158" ht="15" customHeight="1" s="146">
      <c r="Y1158" s="122">
        <f>MAX(0,IFERROR((LEN($T1159)-LEN(SUBSTITUTE($T1159,"Quality of Works / Criteria of Failings:","")))/LEN("Quality of Works / Criteria of Failings:"),0)-IFERROR((LEN($T1159)-LEN(SUBSTITUTE($T1159,"Quality of Works / Criteria of Failings:Compliant","")))/LEN("Quality of Works / Criteria of Failings:Compliant"),0))</f>
        <v/>
      </c>
      <c r="Z1158" s="122">
        <f>IFERROR($Y1159/MAX(1,(LEN($I1159)-LEN(SUBSTITUTE($I1159," Ltd","")))/LEN(" Ltd")),0)</f>
        <v/>
      </c>
      <c r="AA1158" s="122">
        <f>IFERROR(IFERROR((LEN($T1159)-LEN(SUBSTITUTE($T1159,"Quality of Works / Criteria of Failings:","")))/LEN("Quality of Works / Criteria of Failings:"),0)/MAX(1,(LEN($I1159)-LEN(SUBSTITUTE($I1159," Ltd","")))/LEN(" Ltd")),0)</f>
        <v/>
      </c>
      <c r="AB1158" s="122">
        <f>IFERROR(IFERROR((LEN($T1159)-LEN(SUBSTITUTE($T1159,"Quality of Works / Criteria of Failings:Compliant","")))/LEN("Quality of Works / Criteria of Failings:Compliant"),0)/MAX(1,(LEN($I1159)-LEN(SUBSTITUTE($I1159," Ltd","")))/LEN(" Ltd")),0)</f>
        <v/>
      </c>
    </row>
    <row r="1159" ht="15" customHeight="1" s="146">
      <c r="Y1159" s="122">
        <f>MAX(0,IFERROR((LEN($T1160)-LEN(SUBSTITUTE($T1160,"Quality of Works / Criteria of Failings:","")))/LEN("Quality of Works / Criteria of Failings:"),0)-IFERROR((LEN($T1160)-LEN(SUBSTITUTE($T1160,"Quality of Works / Criteria of Failings:Compliant","")))/LEN("Quality of Works / Criteria of Failings:Compliant"),0))</f>
        <v/>
      </c>
      <c r="Z1159" s="122">
        <f>IFERROR($Y1160/MAX(1,(LEN($I1160)-LEN(SUBSTITUTE($I1160," Ltd","")))/LEN(" Ltd")),0)</f>
        <v/>
      </c>
      <c r="AA1159" s="122">
        <f>IFERROR(IFERROR((LEN($T1160)-LEN(SUBSTITUTE($T1160,"Quality of Works / Criteria of Failings:","")))/LEN("Quality of Works / Criteria of Failings:"),0)/MAX(1,(LEN($I1160)-LEN(SUBSTITUTE($I1160," Ltd","")))/LEN(" Ltd")),0)</f>
        <v/>
      </c>
      <c r="AB1159" s="122">
        <f>IFERROR(IFERROR((LEN($T1160)-LEN(SUBSTITUTE($T1160,"Quality of Works / Criteria of Failings:Compliant","")))/LEN("Quality of Works / Criteria of Failings:Compliant"),0)/MAX(1,(LEN($I1160)-LEN(SUBSTITUTE($I1160," Ltd","")))/LEN(" Ltd")),0)</f>
        <v/>
      </c>
    </row>
    <row r="1160" ht="15" customHeight="1" s="146">
      <c r="Y1160" s="122">
        <f>MAX(0,IFERROR((LEN($T1161)-LEN(SUBSTITUTE($T1161,"Quality of Works / Criteria of Failings:","")))/LEN("Quality of Works / Criteria of Failings:"),0)-IFERROR((LEN($T1161)-LEN(SUBSTITUTE($T1161,"Quality of Works / Criteria of Failings:Compliant","")))/LEN("Quality of Works / Criteria of Failings:Compliant"),0))</f>
        <v/>
      </c>
      <c r="Z1160" s="122">
        <f>IFERROR($Y1161/MAX(1,(LEN($I1161)-LEN(SUBSTITUTE($I1161," Ltd","")))/LEN(" Ltd")),0)</f>
        <v/>
      </c>
      <c r="AA1160" s="122">
        <f>IFERROR(IFERROR((LEN($T1161)-LEN(SUBSTITUTE($T1161,"Quality of Works / Criteria of Failings:","")))/LEN("Quality of Works / Criteria of Failings:"),0)/MAX(1,(LEN($I1161)-LEN(SUBSTITUTE($I1161," Ltd","")))/LEN(" Ltd")),0)</f>
        <v/>
      </c>
      <c r="AB1160" s="122">
        <f>IFERROR(IFERROR((LEN($T1161)-LEN(SUBSTITUTE($T1161,"Quality of Works / Criteria of Failings:Compliant","")))/LEN("Quality of Works / Criteria of Failings:Compliant"),0)/MAX(1,(LEN($I1161)-LEN(SUBSTITUTE($I1161," Ltd","")))/LEN(" Ltd")),0)</f>
        <v/>
      </c>
    </row>
    <row r="1161" ht="15" customHeight="1" s="146">
      <c r="Y1161" s="122">
        <f>MAX(0,IFERROR((LEN($T1162)-LEN(SUBSTITUTE($T1162,"Quality of Works / Criteria of Failings:","")))/LEN("Quality of Works / Criteria of Failings:"),0)-IFERROR((LEN($T1162)-LEN(SUBSTITUTE($T1162,"Quality of Works / Criteria of Failings:Compliant","")))/LEN("Quality of Works / Criteria of Failings:Compliant"),0))</f>
        <v/>
      </c>
      <c r="Z1161" s="122">
        <f>IFERROR($Y1162/MAX(1,(LEN($I1162)-LEN(SUBSTITUTE($I1162," Ltd","")))/LEN(" Ltd")),0)</f>
        <v/>
      </c>
      <c r="AA1161" s="122">
        <f>IFERROR(IFERROR((LEN($T1162)-LEN(SUBSTITUTE($T1162,"Quality of Works / Criteria of Failings:","")))/LEN("Quality of Works / Criteria of Failings:"),0)/MAX(1,(LEN($I1162)-LEN(SUBSTITUTE($I1162," Ltd","")))/LEN(" Ltd")),0)</f>
        <v/>
      </c>
      <c r="AB1161" s="122">
        <f>IFERROR(IFERROR((LEN($T1162)-LEN(SUBSTITUTE($T1162,"Quality of Works / Criteria of Failings:Compliant","")))/LEN("Quality of Works / Criteria of Failings:Compliant"),0)/MAX(1,(LEN($I1162)-LEN(SUBSTITUTE($I1162," Ltd","")))/LEN(" Ltd")),0)</f>
        <v/>
      </c>
    </row>
    <row r="1162" ht="15" customHeight="1" s="146">
      <c r="Y1162" s="122">
        <f>MAX(0,IFERROR((LEN($T1163)-LEN(SUBSTITUTE($T1163,"Quality of Works / Criteria of Failings:","")))/LEN("Quality of Works / Criteria of Failings:"),0)-IFERROR((LEN($T1163)-LEN(SUBSTITUTE($T1163,"Quality of Works / Criteria of Failings:Compliant","")))/LEN("Quality of Works / Criteria of Failings:Compliant"),0))</f>
        <v/>
      </c>
      <c r="Z1162" s="122">
        <f>IFERROR($Y1163/MAX(1,(LEN($I1163)-LEN(SUBSTITUTE($I1163," Ltd","")))/LEN(" Ltd")),0)</f>
        <v/>
      </c>
      <c r="AA1162" s="122">
        <f>IFERROR(IFERROR((LEN($T1163)-LEN(SUBSTITUTE($T1163,"Quality of Works / Criteria of Failings:","")))/LEN("Quality of Works / Criteria of Failings:"),0)/MAX(1,(LEN($I1163)-LEN(SUBSTITUTE($I1163," Ltd","")))/LEN(" Ltd")),0)</f>
        <v/>
      </c>
      <c r="AB1162" s="122">
        <f>IFERROR(IFERROR((LEN($T1163)-LEN(SUBSTITUTE($T1163,"Quality of Works / Criteria of Failings:Compliant","")))/LEN("Quality of Works / Criteria of Failings:Compliant"),0)/MAX(1,(LEN($I1163)-LEN(SUBSTITUTE($I1163," Ltd","")))/LEN(" Ltd")),0)</f>
        <v/>
      </c>
    </row>
    <row r="1163" ht="15" customHeight="1" s="146">
      <c r="Y1163" s="122">
        <f>MAX(0,IFERROR((LEN($T1164)-LEN(SUBSTITUTE($T1164,"Quality of Works / Criteria of Failings:","")))/LEN("Quality of Works / Criteria of Failings:"),0)-IFERROR((LEN($T1164)-LEN(SUBSTITUTE($T1164,"Quality of Works / Criteria of Failings:Compliant","")))/LEN("Quality of Works / Criteria of Failings:Compliant"),0))</f>
        <v/>
      </c>
      <c r="Z1163" s="122">
        <f>IFERROR($Y1164/MAX(1,(LEN($I1164)-LEN(SUBSTITUTE($I1164," Ltd","")))/LEN(" Ltd")),0)</f>
        <v/>
      </c>
      <c r="AA1163" s="122">
        <f>IFERROR(IFERROR((LEN($T1164)-LEN(SUBSTITUTE($T1164,"Quality of Works / Criteria of Failings:","")))/LEN("Quality of Works / Criteria of Failings:"),0)/MAX(1,(LEN($I1164)-LEN(SUBSTITUTE($I1164," Ltd","")))/LEN(" Ltd")),0)</f>
        <v/>
      </c>
      <c r="AB1163" s="122">
        <f>IFERROR(IFERROR((LEN($T1164)-LEN(SUBSTITUTE($T1164,"Quality of Works / Criteria of Failings:Compliant","")))/LEN("Quality of Works / Criteria of Failings:Compliant"),0)/MAX(1,(LEN($I1164)-LEN(SUBSTITUTE($I1164," Ltd","")))/LEN(" Ltd")),0)</f>
        <v/>
      </c>
    </row>
    <row r="1164" ht="15" customHeight="1" s="146">
      <c r="Y1164" s="122">
        <f>MAX(0,IFERROR((LEN($T1165)-LEN(SUBSTITUTE($T1165,"Quality of Works / Criteria of Failings:","")))/LEN("Quality of Works / Criteria of Failings:"),0)-IFERROR((LEN($T1165)-LEN(SUBSTITUTE($T1165,"Quality of Works / Criteria of Failings:Compliant","")))/LEN("Quality of Works / Criteria of Failings:Compliant"),0))</f>
        <v/>
      </c>
      <c r="Z1164" s="122">
        <f>IFERROR($Y1165/MAX(1,(LEN($I1165)-LEN(SUBSTITUTE($I1165," Ltd","")))/LEN(" Ltd")),0)</f>
        <v/>
      </c>
      <c r="AA1164" s="122">
        <f>IFERROR(IFERROR((LEN($T1165)-LEN(SUBSTITUTE($T1165,"Quality of Works / Criteria of Failings:","")))/LEN("Quality of Works / Criteria of Failings:"),0)/MAX(1,(LEN($I1165)-LEN(SUBSTITUTE($I1165," Ltd","")))/LEN(" Ltd")),0)</f>
        <v/>
      </c>
      <c r="AB1164" s="122">
        <f>IFERROR(IFERROR((LEN($T1165)-LEN(SUBSTITUTE($T1165,"Quality of Works / Criteria of Failings:Compliant","")))/LEN("Quality of Works / Criteria of Failings:Compliant"),0)/MAX(1,(LEN($I1165)-LEN(SUBSTITUTE($I1165," Ltd","")))/LEN(" Ltd")),0)</f>
        <v/>
      </c>
    </row>
    <row r="1165" ht="15" customHeight="1" s="146">
      <c r="Y1165" s="122">
        <f>MAX(0,IFERROR((LEN($T1166)-LEN(SUBSTITUTE($T1166,"Quality of Works / Criteria of Failings:","")))/LEN("Quality of Works / Criteria of Failings:"),0)-IFERROR((LEN($T1166)-LEN(SUBSTITUTE($T1166,"Quality of Works / Criteria of Failings:Compliant","")))/LEN("Quality of Works / Criteria of Failings:Compliant"),0))</f>
        <v/>
      </c>
      <c r="Z1165" s="122">
        <f>IFERROR($Y1166/MAX(1,(LEN($I1166)-LEN(SUBSTITUTE($I1166," Ltd","")))/LEN(" Ltd")),0)</f>
        <v/>
      </c>
      <c r="AA1165" s="122">
        <f>IFERROR(IFERROR((LEN($T1166)-LEN(SUBSTITUTE($T1166,"Quality of Works / Criteria of Failings:","")))/LEN("Quality of Works / Criteria of Failings:"),0)/MAX(1,(LEN($I1166)-LEN(SUBSTITUTE($I1166," Ltd","")))/LEN(" Ltd")),0)</f>
        <v/>
      </c>
      <c r="AB1165" s="122">
        <f>IFERROR(IFERROR((LEN($T1166)-LEN(SUBSTITUTE($T1166,"Quality of Works / Criteria of Failings:Compliant","")))/LEN("Quality of Works / Criteria of Failings:Compliant"),0)/MAX(1,(LEN($I1166)-LEN(SUBSTITUTE($I1166," Ltd","")))/LEN(" Ltd")),0)</f>
        <v/>
      </c>
    </row>
    <row r="1166" ht="15" customHeight="1" s="146">
      <c r="Y1166" s="122">
        <f>MAX(0,IFERROR((LEN($T1167)-LEN(SUBSTITUTE($T1167,"Quality of Works / Criteria of Failings:","")))/LEN("Quality of Works / Criteria of Failings:"),0)-IFERROR((LEN($T1167)-LEN(SUBSTITUTE($T1167,"Quality of Works / Criteria of Failings:Compliant","")))/LEN("Quality of Works / Criteria of Failings:Compliant"),0))</f>
        <v/>
      </c>
      <c r="Z1166" s="122">
        <f>IFERROR($Y1167/MAX(1,(LEN($I1167)-LEN(SUBSTITUTE($I1167," Ltd","")))/LEN(" Ltd")),0)</f>
        <v/>
      </c>
      <c r="AA1166" s="122">
        <f>IFERROR(IFERROR((LEN($T1167)-LEN(SUBSTITUTE($T1167,"Quality of Works / Criteria of Failings:","")))/LEN("Quality of Works / Criteria of Failings:"),0)/MAX(1,(LEN($I1167)-LEN(SUBSTITUTE($I1167," Ltd","")))/LEN(" Ltd")),0)</f>
        <v/>
      </c>
      <c r="AB1166" s="122">
        <f>IFERROR(IFERROR((LEN($T1167)-LEN(SUBSTITUTE($T1167,"Quality of Works / Criteria of Failings:Compliant","")))/LEN("Quality of Works / Criteria of Failings:Compliant"),0)/MAX(1,(LEN($I1167)-LEN(SUBSTITUTE($I1167," Ltd","")))/LEN(" Ltd")),0)</f>
        <v/>
      </c>
    </row>
    <row r="1167" ht="15" customHeight="1" s="146">
      <c r="Y1167" s="122">
        <f>MAX(0,IFERROR((LEN($T1168)-LEN(SUBSTITUTE($T1168,"Quality of Works / Criteria of Failings:","")))/LEN("Quality of Works / Criteria of Failings:"),0)-IFERROR((LEN($T1168)-LEN(SUBSTITUTE($T1168,"Quality of Works / Criteria of Failings:Compliant","")))/LEN("Quality of Works / Criteria of Failings:Compliant"),0))</f>
        <v/>
      </c>
      <c r="Z1167" s="122">
        <f>IFERROR($Y1168/MAX(1,(LEN($I1168)-LEN(SUBSTITUTE($I1168," Ltd","")))/LEN(" Ltd")),0)</f>
        <v/>
      </c>
      <c r="AA1167" s="122">
        <f>IFERROR(IFERROR((LEN($T1168)-LEN(SUBSTITUTE($T1168,"Quality of Works / Criteria of Failings:","")))/LEN("Quality of Works / Criteria of Failings:"),0)/MAX(1,(LEN($I1168)-LEN(SUBSTITUTE($I1168," Ltd","")))/LEN(" Ltd")),0)</f>
        <v/>
      </c>
      <c r="AB1167" s="122">
        <f>IFERROR(IFERROR((LEN($T1168)-LEN(SUBSTITUTE($T1168,"Quality of Works / Criteria of Failings:Compliant","")))/LEN("Quality of Works / Criteria of Failings:Compliant"),0)/MAX(1,(LEN($I1168)-LEN(SUBSTITUTE($I1168," Ltd","")))/LEN(" Ltd")),0)</f>
        <v/>
      </c>
    </row>
    <row r="1168" ht="15" customHeight="1" s="146">
      <c r="Y1168" s="122">
        <f>MAX(0,IFERROR((LEN($T1169)-LEN(SUBSTITUTE($T1169,"Quality of Works / Criteria of Failings:","")))/LEN("Quality of Works / Criteria of Failings:"),0)-IFERROR((LEN($T1169)-LEN(SUBSTITUTE($T1169,"Quality of Works / Criteria of Failings:Compliant","")))/LEN("Quality of Works / Criteria of Failings:Compliant"),0))</f>
        <v/>
      </c>
      <c r="Z1168" s="122">
        <f>IFERROR($Y1169/MAX(1,(LEN($I1169)-LEN(SUBSTITUTE($I1169," Ltd","")))/LEN(" Ltd")),0)</f>
        <v/>
      </c>
      <c r="AA1168" s="122">
        <f>IFERROR(IFERROR((LEN($T1169)-LEN(SUBSTITUTE($T1169,"Quality of Works / Criteria of Failings:","")))/LEN("Quality of Works / Criteria of Failings:"),0)/MAX(1,(LEN($I1169)-LEN(SUBSTITUTE($I1169," Ltd","")))/LEN(" Ltd")),0)</f>
        <v/>
      </c>
      <c r="AB1168" s="122">
        <f>IFERROR(IFERROR((LEN($T1169)-LEN(SUBSTITUTE($T1169,"Quality of Works / Criteria of Failings:Compliant","")))/LEN("Quality of Works / Criteria of Failings:Compliant"),0)/MAX(1,(LEN($I1169)-LEN(SUBSTITUTE($I1169," Ltd","")))/LEN(" Ltd")),0)</f>
        <v/>
      </c>
    </row>
    <row r="1169" ht="15" customHeight="1" s="146">
      <c r="Y1169" s="122">
        <f>MAX(0,IFERROR((LEN($T1170)-LEN(SUBSTITUTE($T1170,"Quality of Works / Criteria of Failings:","")))/LEN("Quality of Works / Criteria of Failings:"),0)-IFERROR((LEN($T1170)-LEN(SUBSTITUTE($T1170,"Quality of Works / Criteria of Failings:Compliant","")))/LEN("Quality of Works / Criteria of Failings:Compliant"),0))</f>
        <v/>
      </c>
      <c r="Z1169" s="122">
        <f>IFERROR($Y1170/MAX(1,(LEN($I1170)-LEN(SUBSTITUTE($I1170," Ltd","")))/LEN(" Ltd")),0)</f>
        <v/>
      </c>
      <c r="AA1169" s="122">
        <f>IFERROR(IFERROR((LEN($T1170)-LEN(SUBSTITUTE($T1170,"Quality of Works / Criteria of Failings:","")))/LEN("Quality of Works / Criteria of Failings:"),0)/MAX(1,(LEN($I1170)-LEN(SUBSTITUTE($I1170," Ltd","")))/LEN(" Ltd")),0)</f>
        <v/>
      </c>
      <c r="AB1169" s="122">
        <f>IFERROR(IFERROR((LEN($T1170)-LEN(SUBSTITUTE($T1170,"Quality of Works / Criteria of Failings:Compliant","")))/LEN("Quality of Works / Criteria of Failings:Compliant"),0)/MAX(1,(LEN($I1170)-LEN(SUBSTITUTE($I1170," Ltd","")))/LEN(" Ltd")),0)</f>
        <v/>
      </c>
    </row>
    <row r="1170" ht="15" customHeight="1" s="146">
      <c r="Y1170" s="122">
        <f>MAX(0,IFERROR((LEN($T1171)-LEN(SUBSTITUTE($T1171,"Quality of Works / Criteria of Failings:","")))/LEN("Quality of Works / Criteria of Failings:"),0)-IFERROR((LEN($T1171)-LEN(SUBSTITUTE($T1171,"Quality of Works / Criteria of Failings:Compliant","")))/LEN("Quality of Works / Criteria of Failings:Compliant"),0))</f>
        <v/>
      </c>
      <c r="Z1170" s="122">
        <f>IFERROR($Y1171/MAX(1,(LEN($I1171)-LEN(SUBSTITUTE($I1171," Ltd","")))/LEN(" Ltd")),0)</f>
        <v/>
      </c>
      <c r="AA1170" s="122">
        <f>IFERROR(IFERROR((LEN($T1171)-LEN(SUBSTITUTE($T1171,"Quality of Works / Criteria of Failings:","")))/LEN("Quality of Works / Criteria of Failings:"),0)/MAX(1,(LEN($I1171)-LEN(SUBSTITUTE($I1171," Ltd","")))/LEN(" Ltd")),0)</f>
        <v/>
      </c>
      <c r="AB1170" s="122">
        <f>IFERROR(IFERROR((LEN($T1171)-LEN(SUBSTITUTE($T1171,"Quality of Works / Criteria of Failings:Compliant","")))/LEN("Quality of Works / Criteria of Failings:Compliant"),0)/MAX(1,(LEN($I1171)-LEN(SUBSTITUTE($I1171," Ltd","")))/LEN(" Ltd")),0)</f>
        <v/>
      </c>
    </row>
    <row r="1171" ht="15" customHeight="1" s="146">
      <c r="Y1171" s="122">
        <f>MAX(0,IFERROR((LEN($T1172)-LEN(SUBSTITUTE($T1172,"Quality of Works / Criteria of Failings:","")))/LEN("Quality of Works / Criteria of Failings:"),0)-IFERROR((LEN($T1172)-LEN(SUBSTITUTE($T1172,"Quality of Works / Criteria of Failings:Compliant","")))/LEN("Quality of Works / Criteria of Failings:Compliant"),0))</f>
        <v/>
      </c>
      <c r="Z1171" s="122">
        <f>IFERROR($Y1172/MAX(1,(LEN($I1172)-LEN(SUBSTITUTE($I1172," Ltd","")))/LEN(" Ltd")),0)</f>
        <v/>
      </c>
      <c r="AA1171" s="122">
        <f>IFERROR(IFERROR((LEN($T1172)-LEN(SUBSTITUTE($T1172,"Quality of Works / Criteria of Failings:","")))/LEN("Quality of Works / Criteria of Failings:"),0)/MAX(1,(LEN($I1172)-LEN(SUBSTITUTE($I1172," Ltd","")))/LEN(" Ltd")),0)</f>
        <v/>
      </c>
      <c r="AB1171" s="122">
        <f>IFERROR(IFERROR((LEN($T1172)-LEN(SUBSTITUTE($T1172,"Quality of Works / Criteria of Failings:Compliant","")))/LEN("Quality of Works / Criteria of Failings:Compliant"),0)/MAX(1,(LEN($I1172)-LEN(SUBSTITUTE($I1172," Ltd","")))/LEN(" Ltd")),0)</f>
        <v/>
      </c>
    </row>
    <row r="1172" ht="15" customHeight="1" s="146">
      <c r="Y1172" s="122">
        <f>MAX(0,IFERROR((LEN($T1173)-LEN(SUBSTITUTE($T1173,"Quality of Works / Criteria of Failings:","")))/LEN("Quality of Works / Criteria of Failings:"),0)-IFERROR((LEN($T1173)-LEN(SUBSTITUTE($T1173,"Quality of Works / Criteria of Failings:Compliant","")))/LEN("Quality of Works / Criteria of Failings:Compliant"),0))</f>
        <v/>
      </c>
      <c r="Z1172" s="122">
        <f>IFERROR($Y1173/MAX(1,(LEN($I1173)-LEN(SUBSTITUTE($I1173," Ltd","")))/LEN(" Ltd")),0)</f>
        <v/>
      </c>
      <c r="AA1172" s="122">
        <f>IFERROR(IFERROR((LEN($T1173)-LEN(SUBSTITUTE($T1173,"Quality of Works / Criteria of Failings:","")))/LEN("Quality of Works / Criteria of Failings:"),0)/MAX(1,(LEN($I1173)-LEN(SUBSTITUTE($I1173," Ltd","")))/LEN(" Ltd")),0)</f>
        <v/>
      </c>
      <c r="AB1172" s="122">
        <f>IFERROR(IFERROR((LEN($T1173)-LEN(SUBSTITUTE($T1173,"Quality of Works / Criteria of Failings:Compliant","")))/LEN("Quality of Works / Criteria of Failings:Compliant"),0)/MAX(1,(LEN($I1173)-LEN(SUBSTITUTE($I1173," Ltd","")))/LEN(" Ltd")),0)</f>
        <v/>
      </c>
    </row>
    <row r="1173" ht="15" customHeight="1" s="146">
      <c r="Y1173" s="122">
        <f>MAX(0,IFERROR((LEN($T1174)-LEN(SUBSTITUTE($T1174,"Quality of Works / Criteria of Failings:","")))/LEN("Quality of Works / Criteria of Failings:"),0)-IFERROR((LEN($T1174)-LEN(SUBSTITUTE($T1174,"Quality of Works / Criteria of Failings:Compliant","")))/LEN("Quality of Works / Criteria of Failings:Compliant"),0))</f>
        <v/>
      </c>
      <c r="Z1173" s="122">
        <f>IFERROR($Y1174/MAX(1,(LEN($I1174)-LEN(SUBSTITUTE($I1174," Ltd","")))/LEN(" Ltd")),0)</f>
        <v/>
      </c>
      <c r="AA1173" s="122">
        <f>IFERROR(IFERROR((LEN($T1174)-LEN(SUBSTITUTE($T1174,"Quality of Works / Criteria of Failings:","")))/LEN("Quality of Works / Criteria of Failings:"),0)/MAX(1,(LEN($I1174)-LEN(SUBSTITUTE($I1174," Ltd","")))/LEN(" Ltd")),0)</f>
        <v/>
      </c>
      <c r="AB1173" s="122">
        <f>IFERROR(IFERROR((LEN($T1174)-LEN(SUBSTITUTE($T1174,"Quality of Works / Criteria of Failings:Compliant","")))/LEN("Quality of Works / Criteria of Failings:Compliant"),0)/MAX(1,(LEN($I1174)-LEN(SUBSTITUTE($I1174," Ltd","")))/LEN(" Ltd")),0)</f>
        <v/>
      </c>
    </row>
    <row r="1174" ht="15" customHeight="1" s="146">
      <c r="Y1174" s="122">
        <f>MAX(0,IFERROR((LEN($T1175)-LEN(SUBSTITUTE($T1175,"Quality of Works / Criteria of Failings:","")))/LEN("Quality of Works / Criteria of Failings:"),0)-IFERROR((LEN($T1175)-LEN(SUBSTITUTE($T1175,"Quality of Works / Criteria of Failings:Compliant","")))/LEN("Quality of Works / Criteria of Failings:Compliant"),0))</f>
        <v/>
      </c>
      <c r="Z1174" s="122">
        <f>IFERROR($Y1175/MAX(1,(LEN($I1175)-LEN(SUBSTITUTE($I1175," Ltd","")))/LEN(" Ltd")),0)</f>
        <v/>
      </c>
      <c r="AA1174" s="122">
        <f>IFERROR(IFERROR((LEN($T1175)-LEN(SUBSTITUTE($T1175,"Quality of Works / Criteria of Failings:","")))/LEN("Quality of Works / Criteria of Failings:"),0)/MAX(1,(LEN($I1175)-LEN(SUBSTITUTE($I1175," Ltd","")))/LEN(" Ltd")),0)</f>
        <v/>
      </c>
      <c r="AB1174" s="122">
        <f>IFERROR(IFERROR((LEN($T1175)-LEN(SUBSTITUTE($T1175,"Quality of Works / Criteria of Failings:Compliant","")))/LEN("Quality of Works / Criteria of Failings:Compliant"),0)/MAX(1,(LEN($I1175)-LEN(SUBSTITUTE($I1175," Ltd","")))/LEN(" Ltd")),0)</f>
        <v/>
      </c>
    </row>
    <row r="1175" ht="15" customHeight="1" s="146">
      <c r="Y1175" s="122">
        <f>MAX(0,IFERROR((LEN($T1176)-LEN(SUBSTITUTE($T1176,"Quality of Works / Criteria of Failings:","")))/LEN("Quality of Works / Criteria of Failings:"),0)-IFERROR((LEN($T1176)-LEN(SUBSTITUTE($T1176,"Quality of Works / Criteria of Failings:Compliant","")))/LEN("Quality of Works / Criteria of Failings:Compliant"),0))</f>
        <v/>
      </c>
      <c r="Z1175" s="122">
        <f>IFERROR($Y1176/MAX(1,(LEN($I1176)-LEN(SUBSTITUTE($I1176," Ltd","")))/LEN(" Ltd")),0)</f>
        <v/>
      </c>
      <c r="AA1175" s="122">
        <f>IFERROR(IFERROR((LEN($T1176)-LEN(SUBSTITUTE($T1176,"Quality of Works / Criteria of Failings:","")))/LEN("Quality of Works / Criteria of Failings:"),0)/MAX(1,(LEN($I1176)-LEN(SUBSTITUTE($I1176," Ltd","")))/LEN(" Ltd")),0)</f>
        <v/>
      </c>
      <c r="AB1175" s="122">
        <f>IFERROR(IFERROR((LEN($T1176)-LEN(SUBSTITUTE($T1176,"Quality of Works / Criteria of Failings:Compliant","")))/LEN("Quality of Works / Criteria of Failings:Compliant"),0)/MAX(1,(LEN($I1176)-LEN(SUBSTITUTE($I1176," Ltd","")))/LEN(" Ltd")),0)</f>
        <v/>
      </c>
    </row>
    <row r="1176" ht="15" customHeight="1" s="146">
      <c r="Y1176" s="122">
        <f>MAX(0,IFERROR((LEN($T1177)-LEN(SUBSTITUTE($T1177,"Quality of Works / Criteria of Failings:","")))/LEN("Quality of Works / Criteria of Failings:"),0)-IFERROR((LEN($T1177)-LEN(SUBSTITUTE($T1177,"Quality of Works / Criteria of Failings:Compliant","")))/LEN("Quality of Works / Criteria of Failings:Compliant"),0))</f>
        <v/>
      </c>
      <c r="Z1176" s="122">
        <f>IFERROR($Y1177/MAX(1,(LEN($I1177)-LEN(SUBSTITUTE($I1177," Ltd","")))/LEN(" Ltd")),0)</f>
        <v/>
      </c>
      <c r="AA1176" s="122">
        <f>IFERROR(IFERROR((LEN($T1177)-LEN(SUBSTITUTE($T1177,"Quality of Works / Criteria of Failings:","")))/LEN("Quality of Works / Criteria of Failings:"),0)/MAX(1,(LEN($I1177)-LEN(SUBSTITUTE($I1177," Ltd","")))/LEN(" Ltd")),0)</f>
        <v/>
      </c>
      <c r="AB1176" s="122">
        <f>IFERROR(IFERROR((LEN($T1177)-LEN(SUBSTITUTE($T1177,"Quality of Works / Criteria of Failings:Compliant","")))/LEN("Quality of Works / Criteria of Failings:Compliant"),0)/MAX(1,(LEN($I1177)-LEN(SUBSTITUTE($I1177," Ltd","")))/LEN(" Ltd")),0)</f>
        <v/>
      </c>
    </row>
    <row r="1177" ht="15" customHeight="1" s="146">
      <c r="Y1177" s="122">
        <f>MAX(0,IFERROR((LEN($T1178)-LEN(SUBSTITUTE($T1178,"Quality of Works / Criteria of Failings:","")))/LEN("Quality of Works / Criteria of Failings:"),0)-IFERROR((LEN($T1178)-LEN(SUBSTITUTE($T1178,"Quality of Works / Criteria of Failings:Compliant","")))/LEN("Quality of Works / Criteria of Failings:Compliant"),0))</f>
        <v/>
      </c>
      <c r="Z1177" s="122">
        <f>IFERROR($Y1178/MAX(1,(LEN($I1178)-LEN(SUBSTITUTE($I1178," Ltd","")))/LEN(" Ltd")),0)</f>
        <v/>
      </c>
      <c r="AA1177" s="122">
        <f>IFERROR(IFERROR((LEN($T1178)-LEN(SUBSTITUTE($T1178,"Quality of Works / Criteria of Failings:","")))/LEN("Quality of Works / Criteria of Failings:"),0)/MAX(1,(LEN($I1178)-LEN(SUBSTITUTE($I1178," Ltd","")))/LEN(" Ltd")),0)</f>
        <v/>
      </c>
      <c r="AB1177" s="122">
        <f>IFERROR(IFERROR((LEN($T1178)-LEN(SUBSTITUTE($T1178,"Quality of Works / Criteria of Failings:Compliant","")))/LEN("Quality of Works / Criteria of Failings:Compliant"),0)/MAX(1,(LEN($I1178)-LEN(SUBSTITUTE($I1178," Ltd","")))/LEN(" Ltd")),0)</f>
        <v/>
      </c>
    </row>
    <row r="1178" ht="15" customHeight="1" s="146">
      <c r="Y1178" s="122">
        <f>MAX(0,IFERROR((LEN($T1179)-LEN(SUBSTITUTE($T1179,"Quality of Works / Criteria of Failings:","")))/LEN("Quality of Works / Criteria of Failings:"),0)-IFERROR((LEN($T1179)-LEN(SUBSTITUTE($T1179,"Quality of Works / Criteria of Failings:Compliant","")))/LEN("Quality of Works / Criteria of Failings:Compliant"),0))</f>
        <v/>
      </c>
      <c r="Z1178" s="122">
        <f>IFERROR($Y1179/MAX(1,(LEN($I1179)-LEN(SUBSTITUTE($I1179," Ltd","")))/LEN(" Ltd")),0)</f>
        <v/>
      </c>
      <c r="AA1178" s="122">
        <f>IFERROR(IFERROR((LEN($T1179)-LEN(SUBSTITUTE($T1179,"Quality of Works / Criteria of Failings:","")))/LEN("Quality of Works / Criteria of Failings:"),0)/MAX(1,(LEN($I1179)-LEN(SUBSTITUTE($I1179," Ltd","")))/LEN(" Ltd")),0)</f>
        <v/>
      </c>
      <c r="AB1178" s="122">
        <f>IFERROR(IFERROR((LEN($T1179)-LEN(SUBSTITUTE($T1179,"Quality of Works / Criteria of Failings:Compliant","")))/LEN("Quality of Works / Criteria of Failings:Compliant"),0)/MAX(1,(LEN($I1179)-LEN(SUBSTITUTE($I1179," Ltd","")))/LEN(" Ltd")),0)</f>
        <v/>
      </c>
    </row>
    <row r="1179" ht="15" customHeight="1" s="146">
      <c r="Y1179" s="122">
        <f>MAX(0,IFERROR((LEN($T1180)-LEN(SUBSTITUTE($T1180,"Quality of Works / Criteria of Failings:","")))/LEN("Quality of Works / Criteria of Failings:"),0)-IFERROR((LEN($T1180)-LEN(SUBSTITUTE($T1180,"Quality of Works / Criteria of Failings:Compliant","")))/LEN("Quality of Works / Criteria of Failings:Compliant"),0))</f>
        <v/>
      </c>
      <c r="Z1179" s="122">
        <f>IFERROR($Y1180/MAX(1,(LEN($I1180)-LEN(SUBSTITUTE($I1180," Ltd","")))/LEN(" Ltd")),0)</f>
        <v/>
      </c>
      <c r="AA1179" s="122">
        <f>IFERROR(IFERROR((LEN($T1180)-LEN(SUBSTITUTE($T1180,"Quality of Works / Criteria of Failings:","")))/LEN("Quality of Works / Criteria of Failings:"),0)/MAX(1,(LEN($I1180)-LEN(SUBSTITUTE($I1180," Ltd","")))/LEN(" Ltd")),0)</f>
        <v/>
      </c>
      <c r="AB1179" s="122">
        <f>IFERROR(IFERROR((LEN($T1180)-LEN(SUBSTITUTE($T1180,"Quality of Works / Criteria of Failings:Compliant","")))/LEN("Quality of Works / Criteria of Failings:Compliant"),0)/MAX(1,(LEN($I1180)-LEN(SUBSTITUTE($I1180," Ltd","")))/LEN(" Ltd")),0)</f>
        <v/>
      </c>
    </row>
    <row r="1180" ht="15" customHeight="1" s="146">
      <c r="Y1180" s="122">
        <f>MAX(0,IFERROR((LEN($T1181)-LEN(SUBSTITUTE($T1181,"Quality of Works / Criteria of Failings:","")))/LEN("Quality of Works / Criteria of Failings:"),0)-IFERROR((LEN($T1181)-LEN(SUBSTITUTE($T1181,"Quality of Works / Criteria of Failings:Compliant","")))/LEN("Quality of Works / Criteria of Failings:Compliant"),0))</f>
        <v/>
      </c>
      <c r="Z1180" s="122">
        <f>IFERROR($Y1181/MAX(1,(LEN($I1181)-LEN(SUBSTITUTE($I1181," Ltd","")))/LEN(" Ltd")),0)</f>
        <v/>
      </c>
      <c r="AA1180" s="122">
        <f>IFERROR(IFERROR((LEN($T1181)-LEN(SUBSTITUTE($T1181,"Quality of Works / Criteria of Failings:","")))/LEN("Quality of Works / Criteria of Failings:"),0)/MAX(1,(LEN($I1181)-LEN(SUBSTITUTE($I1181," Ltd","")))/LEN(" Ltd")),0)</f>
        <v/>
      </c>
      <c r="AB1180" s="122">
        <f>IFERROR(IFERROR((LEN($T1181)-LEN(SUBSTITUTE($T1181,"Quality of Works / Criteria of Failings:Compliant","")))/LEN("Quality of Works / Criteria of Failings:Compliant"),0)/MAX(1,(LEN($I1181)-LEN(SUBSTITUTE($I1181," Ltd","")))/LEN(" Ltd")),0)</f>
        <v/>
      </c>
    </row>
    <row r="1181" ht="15" customHeight="1" s="146">
      <c r="Y1181" s="122">
        <f>MAX(0,IFERROR((LEN($T1182)-LEN(SUBSTITUTE($T1182,"Quality of Works / Criteria of Failings:","")))/LEN("Quality of Works / Criteria of Failings:"),0)-IFERROR((LEN($T1182)-LEN(SUBSTITUTE($T1182,"Quality of Works / Criteria of Failings:Compliant","")))/LEN("Quality of Works / Criteria of Failings:Compliant"),0))</f>
        <v/>
      </c>
      <c r="Z1181" s="122">
        <f>IFERROR($Y1182/MAX(1,(LEN($I1182)-LEN(SUBSTITUTE($I1182," Ltd","")))/LEN(" Ltd")),0)</f>
        <v/>
      </c>
      <c r="AA1181" s="122">
        <f>IFERROR(IFERROR((LEN($T1182)-LEN(SUBSTITUTE($T1182,"Quality of Works / Criteria of Failings:","")))/LEN("Quality of Works / Criteria of Failings:"),0)/MAX(1,(LEN($I1182)-LEN(SUBSTITUTE($I1182," Ltd","")))/LEN(" Ltd")),0)</f>
        <v/>
      </c>
      <c r="AB1181" s="122">
        <f>IFERROR(IFERROR((LEN($T1182)-LEN(SUBSTITUTE($T1182,"Quality of Works / Criteria of Failings:Compliant","")))/LEN("Quality of Works / Criteria of Failings:Compliant"),0)/MAX(1,(LEN($I1182)-LEN(SUBSTITUTE($I1182," Ltd","")))/LEN(" Ltd")),0)</f>
        <v/>
      </c>
    </row>
    <row r="1182" ht="15" customHeight="1" s="146">
      <c r="Y1182" s="122">
        <f>MAX(0,IFERROR((LEN($T1183)-LEN(SUBSTITUTE($T1183,"Quality of Works / Criteria of Failings:","")))/LEN("Quality of Works / Criteria of Failings:"),0)-IFERROR((LEN($T1183)-LEN(SUBSTITUTE($T1183,"Quality of Works / Criteria of Failings:Compliant","")))/LEN("Quality of Works / Criteria of Failings:Compliant"),0))</f>
        <v/>
      </c>
      <c r="Z1182" s="122">
        <f>IFERROR($Y1183/MAX(1,(LEN($I1183)-LEN(SUBSTITUTE($I1183," Ltd","")))/LEN(" Ltd")),0)</f>
        <v/>
      </c>
      <c r="AA1182" s="122">
        <f>IFERROR(IFERROR((LEN($T1183)-LEN(SUBSTITUTE($T1183,"Quality of Works / Criteria of Failings:","")))/LEN("Quality of Works / Criteria of Failings:"),0)/MAX(1,(LEN($I1183)-LEN(SUBSTITUTE($I1183," Ltd","")))/LEN(" Ltd")),0)</f>
        <v/>
      </c>
      <c r="AB1182" s="122">
        <f>IFERROR(IFERROR((LEN($T1183)-LEN(SUBSTITUTE($T1183,"Quality of Works / Criteria of Failings:Compliant","")))/LEN("Quality of Works / Criteria of Failings:Compliant"),0)/MAX(1,(LEN($I1183)-LEN(SUBSTITUTE($I1183," Ltd","")))/LEN(" Ltd")),0)</f>
        <v/>
      </c>
    </row>
    <row r="1183" ht="15" customHeight="1" s="146">
      <c r="Y1183" s="122">
        <f>MAX(0,IFERROR((LEN($T1184)-LEN(SUBSTITUTE($T1184,"Quality of Works / Criteria of Failings:","")))/LEN("Quality of Works / Criteria of Failings:"),0)-IFERROR((LEN($T1184)-LEN(SUBSTITUTE($T1184,"Quality of Works / Criteria of Failings:Compliant","")))/LEN("Quality of Works / Criteria of Failings:Compliant"),0))</f>
        <v/>
      </c>
      <c r="Z1183" s="122">
        <f>IFERROR($Y1184/MAX(1,(LEN($I1184)-LEN(SUBSTITUTE($I1184," Ltd","")))/LEN(" Ltd")),0)</f>
        <v/>
      </c>
      <c r="AA1183" s="122">
        <f>IFERROR(IFERROR((LEN($T1184)-LEN(SUBSTITUTE($T1184,"Quality of Works / Criteria of Failings:","")))/LEN("Quality of Works / Criteria of Failings:"),0)/MAX(1,(LEN($I1184)-LEN(SUBSTITUTE($I1184," Ltd","")))/LEN(" Ltd")),0)</f>
        <v/>
      </c>
      <c r="AB1183" s="122">
        <f>IFERROR(IFERROR((LEN($T1184)-LEN(SUBSTITUTE($T1184,"Quality of Works / Criteria of Failings:Compliant","")))/LEN("Quality of Works / Criteria of Failings:Compliant"),0)/MAX(1,(LEN($I1184)-LEN(SUBSTITUTE($I1184," Ltd","")))/LEN(" Ltd")),0)</f>
        <v/>
      </c>
    </row>
    <row r="1184" ht="15" customHeight="1" s="146">
      <c r="Y1184" s="122">
        <f>MAX(0,IFERROR((LEN($T1185)-LEN(SUBSTITUTE($T1185,"Quality of Works / Criteria of Failings:","")))/LEN("Quality of Works / Criteria of Failings:"),0)-IFERROR((LEN($T1185)-LEN(SUBSTITUTE($T1185,"Quality of Works / Criteria of Failings:Compliant","")))/LEN("Quality of Works / Criteria of Failings:Compliant"),0))</f>
        <v/>
      </c>
      <c r="Z1184" s="122">
        <f>IFERROR($Y1185/MAX(1,(LEN($I1185)-LEN(SUBSTITUTE($I1185," Ltd","")))/LEN(" Ltd")),0)</f>
        <v/>
      </c>
      <c r="AA1184" s="122">
        <f>IFERROR(IFERROR((LEN($T1185)-LEN(SUBSTITUTE($T1185,"Quality of Works / Criteria of Failings:","")))/LEN("Quality of Works / Criteria of Failings:"),0)/MAX(1,(LEN($I1185)-LEN(SUBSTITUTE($I1185," Ltd","")))/LEN(" Ltd")),0)</f>
        <v/>
      </c>
      <c r="AB1184" s="122">
        <f>IFERROR(IFERROR((LEN($T1185)-LEN(SUBSTITUTE($T1185,"Quality of Works / Criteria of Failings:Compliant","")))/LEN("Quality of Works / Criteria of Failings:Compliant"),0)/MAX(1,(LEN($I1185)-LEN(SUBSTITUTE($I1185," Ltd","")))/LEN(" Ltd")),0)</f>
        <v/>
      </c>
    </row>
    <row r="1185" ht="15" customHeight="1" s="146">
      <c r="Y1185" s="122">
        <f>MAX(0,IFERROR((LEN($T1186)-LEN(SUBSTITUTE($T1186,"Quality of Works / Criteria of Failings:","")))/LEN("Quality of Works / Criteria of Failings:"),0)-IFERROR((LEN($T1186)-LEN(SUBSTITUTE($T1186,"Quality of Works / Criteria of Failings:Compliant","")))/LEN("Quality of Works / Criteria of Failings:Compliant"),0))</f>
        <v/>
      </c>
      <c r="Z1185" s="122">
        <f>IFERROR($Y1186/MAX(1,(LEN($I1186)-LEN(SUBSTITUTE($I1186," Ltd","")))/LEN(" Ltd")),0)</f>
        <v/>
      </c>
      <c r="AA1185" s="122">
        <f>IFERROR(IFERROR((LEN($T1186)-LEN(SUBSTITUTE($T1186,"Quality of Works / Criteria of Failings:","")))/LEN("Quality of Works / Criteria of Failings:"),0)/MAX(1,(LEN($I1186)-LEN(SUBSTITUTE($I1186," Ltd","")))/LEN(" Ltd")),0)</f>
        <v/>
      </c>
      <c r="AB1185" s="122">
        <f>IFERROR(IFERROR((LEN($T1186)-LEN(SUBSTITUTE($T1186,"Quality of Works / Criteria of Failings:Compliant","")))/LEN("Quality of Works / Criteria of Failings:Compliant"),0)/MAX(1,(LEN($I1186)-LEN(SUBSTITUTE($I1186," Ltd","")))/LEN(" Ltd")),0)</f>
        <v/>
      </c>
    </row>
    <row r="1186" ht="15" customHeight="1" s="146">
      <c r="Y1186" s="122">
        <f>MAX(0,IFERROR((LEN($T1187)-LEN(SUBSTITUTE($T1187,"Quality of Works / Criteria of Failings:","")))/LEN("Quality of Works / Criteria of Failings:"),0)-IFERROR((LEN($T1187)-LEN(SUBSTITUTE($T1187,"Quality of Works / Criteria of Failings:Compliant","")))/LEN("Quality of Works / Criteria of Failings:Compliant"),0))</f>
        <v/>
      </c>
      <c r="Z1186" s="122">
        <f>IFERROR($Y1187/MAX(1,(LEN($I1187)-LEN(SUBSTITUTE($I1187," Ltd","")))/LEN(" Ltd")),0)</f>
        <v/>
      </c>
      <c r="AA1186" s="122">
        <f>IFERROR(IFERROR((LEN($T1187)-LEN(SUBSTITUTE($T1187,"Quality of Works / Criteria of Failings:","")))/LEN("Quality of Works / Criteria of Failings:"),0)/MAX(1,(LEN($I1187)-LEN(SUBSTITUTE($I1187," Ltd","")))/LEN(" Ltd")),0)</f>
        <v/>
      </c>
      <c r="AB1186" s="122">
        <f>IFERROR(IFERROR((LEN($T1187)-LEN(SUBSTITUTE($T1187,"Quality of Works / Criteria of Failings:Compliant","")))/LEN("Quality of Works / Criteria of Failings:Compliant"),0)/MAX(1,(LEN($I1187)-LEN(SUBSTITUTE($I1187," Ltd","")))/LEN(" Ltd")),0)</f>
        <v/>
      </c>
    </row>
    <row r="1187" ht="15" customHeight="1" s="146">
      <c r="Y1187" s="122">
        <f>MAX(0,IFERROR((LEN($T1188)-LEN(SUBSTITUTE($T1188,"Quality of Works / Criteria of Failings:","")))/LEN("Quality of Works / Criteria of Failings:"),0)-IFERROR((LEN($T1188)-LEN(SUBSTITUTE($T1188,"Quality of Works / Criteria of Failings:Compliant","")))/LEN("Quality of Works / Criteria of Failings:Compliant"),0))</f>
        <v/>
      </c>
      <c r="Z1187" s="122">
        <f>IFERROR($Y1188/MAX(1,(LEN($I1188)-LEN(SUBSTITUTE($I1188," Ltd","")))/LEN(" Ltd")),0)</f>
        <v/>
      </c>
      <c r="AA1187" s="122">
        <f>IFERROR(IFERROR((LEN($T1188)-LEN(SUBSTITUTE($T1188,"Quality of Works / Criteria of Failings:","")))/LEN("Quality of Works / Criteria of Failings:"),0)/MAX(1,(LEN($I1188)-LEN(SUBSTITUTE($I1188," Ltd","")))/LEN(" Ltd")),0)</f>
        <v/>
      </c>
      <c r="AB1187" s="122">
        <f>IFERROR(IFERROR((LEN($T1188)-LEN(SUBSTITUTE($T1188,"Quality of Works / Criteria of Failings:Compliant","")))/LEN("Quality of Works / Criteria of Failings:Compliant"),0)/MAX(1,(LEN($I1188)-LEN(SUBSTITUTE($I1188," Ltd","")))/LEN(" Ltd")),0)</f>
        <v/>
      </c>
    </row>
    <row r="1188" ht="15" customHeight="1" s="146">
      <c r="Y1188" s="122">
        <f>MAX(0,IFERROR((LEN($T1189)-LEN(SUBSTITUTE($T1189,"Quality of Works / Criteria of Failings:","")))/LEN("Quality of Works / Criteria of Failings:"),0)-IFERROR((LEN($T1189)-LEN(SUBSTITUTE($T1189,"Quality of Works / Criteria of Failings:Compliant","")))/LEN("Quality of Works / Criteria of Failings:Compliant"),0))</f>
        <v/>
      </c>
      <c r="Z1188" s="122">
        <f>IFERROR($Y1189/MAX(1,(LEN($I1189)-LEN(SUBSTITUTE($I1189," Ltd","")))/LEN(" Ltd")),0)</f>
        <v/>
      </c>
      <c r="AA1188" s="122">
        <f>IFERROR(IFERROR((LEN($T1189)-LEN(SUBSTITUTE($T1189,"Quality of Works / Criteria of Failings:","")))/LEN("Quality of Works / Criteria of Failings:"),0)/MAX(1,(LEN($I1189)-LEN(SUBSTITUTE($I1189," Ltd","")))/LEN(" Ltd")),0)</f>
        <v/>
      </c>
      <c r="AB1188" s="122">
        <f>IFERROR(IFERROR((LEN($T1189)-LEN(SUBSTITUTE($T1189,"Quality of Works / Criteria of Failings:Compliant","")))/LEN("Quality of Works / Criteria of Failings:Compliant"),0)/MAX(1,(LEN($I1189)-LEN(SUBSTITUTE($I1189," Ltd","")))/LEN(" Ltd")),0)</f>
        <v/>
      </c>
    </row>
    <row r="1189" ht="15" customHeight="1" s="146">
      <c r="Y1189" s="122">
        <f>MAX(0,IFERROR((LEN($T1190)-LEN(SUBSTITUTE($T1190,"Quality of Works / Criteria of Failings:","")))/LEN("Quality of Works / Criteria of Failings:"),0)-IFERROR((LEN($T1190)-LEN(SUBSTITUTE($T1190,"Quality of Works / Criteria of Failings:Compliant","")))/LEN("Quality of Works / Criteria of Failings:Compliant"),0))</f>
        <v/>
      </c>
      <c r="Z1189" s="122">
        <f>IFERROR($Y1190/MAX(1,(LEN($I1190)-LEN(SUBSTITUTE($I1190," Ltd","")))/LEN(" Ltd")),0)</f>
        <v/>
      </c>
      <c r="AA1189" s="122">
        <f>IFERROR(IFERROR((LEN($T1190)-LEN(SUBSTITUTE($T1190,"Quality of Works / Criteria of Failings:","")))/LEN("Quality of Works / Criteria of Failings:"),0)/MAX(1,(LEN($I1190)-LEN(SUBSTITUTE($I1190," Ltd","")))/LEN(" Ltd")),0)</f>
        <v/>
      </c>
      <c r="AB1189" s="122">
        <f>IFERROR(IFERROR((LEN($T1190)-LEN(SUBSTITUTE($T1190,"Quality of Works / Criteria of Failings:Compliant","")))/LEN("Quality of Works / Criteria of Failings:Compliant"),0)/MAX(1,(LEN($I1190)-LEN(SUBSTITUTE($I1190," Ltd","")))/LEN(" Ltd")),0)</f>
        <v/>
      </c>
    </row>
    <row r="1190" ht="15" customHeight="1" s="146">
      <c r="Y1190" s="122">
        <f>MAX(0,IFERROR((LEN($T1191)-LEN(SUBSTITUTE($T1191,"Quality of Works / Criteria of Failings:","")))/LEN("Quality of Works / Criteria of Failings:"),0)-IFERROR((LEN($T1191)-LEN(SUBSTITUTE($T1191,"Quality of Works / Criteria of Failings:Compliant","")))/LEN("Quality of Works / Criteria of Failings:Compliant"),0))</f>
        <v/>
      </c>
      <c r="Z1190" s="122">
        <f>IFERROR($Y1191/MAX(1,(LEN($I1191)-LEN(SUBSTITUTE($I1191," Ltd","")))/LEN(" Ltd")),0)</f>
        <v/>
      </c>
      <c r="AA1190" s="122">
        <f>IFERROR(IFERROR((LEN($T1191)-LEN(SUBSTITUTE($T1191,"Quality of Works / Criteria of Failings:","")))/LEN("Quality of Works / Criteria of Failings:"),0)/MAX(1,(LEN($I1191)-LEN(SUBSTITUTE($I1191," Ltd","")))/LEN(" Ltd")),0)</f>
        <v/>
      </c>
      <c r="AB1190" s="122">
        <f>IFERROR(IFERROR((LEN($T1191)-LEN(SUBSTITUTE($T1191,"Quality of Works / Criteria of Failings:Compliant","")))/LEN("Quality of Works / Criteria of Failings:Compliant"),0)/MAX(1,(LEN($I1191)-LEN(SUBSTITUTE($I1191," Ltd","")))/LEN(" Ltd")),0)</f>
        <v/>
      </c>
    </row>
    <row r="1191" ht="15" customHeight="1" s="146">
      <c r="Y1191" s="122">
        <f>MAX(0,IFERROR((LEN($T1192)-LEN(SUBSTITUTE($T1192,"Quality of Works / Criteria of Failings:","")))/LEN("Quality of Works / Criteria of Failings:"),0)-IFERROR((LEN($T1192)-LEN(SUBSTITUTE($T1192,"Quality of Works / Criteria of Failings:Compliant","")))/LEN("Quality of Works / Criteria of Failings:Compliant"),0))</f>
        <v/>
      </c>
      <c r="Z1191" s="122">
        <f>IFERROR($Y1192/MAX(1,(LEN($I1192)-LEN(SUBSTITUTE($I1192," Ltd","")))/LEN(" Ltd")),0)</f>
        <v/>
      </c>
      <c r="AA1191" s="122">
        <f>IFERROR(IFERROR((LEN($T1192)-LEN(SUBSTITUTE($T1192,"Quality of Works / Criteria of Failings:","")))/LEN("Quality of Works / Criteria of Failings:"),0)/MAX(1,(LEN($I1192)-LEN(SUBSTITUTE($I1192," Ltd","")))/LEN(" Ltd")),0)</f>
        <v/>
      </c>
      <c r="AB1191" s="122">
        <f>IFERROR(IFERROR((LEN($T1192)-LEN(SUBSTITUTE($T1192,"Quality of Works / Criteria of Failings:Compliant","")))/LEN("Quality of Works / Criteria of Failings:Compliant"),0)/MAX(1,(LEN($I1192)-LEN(SUBSTITUTE($I1192," Ltd","")))/LEN(" Ltd")),0)</f>
        <v/>
      </c>
    </row>
    <row r="1192" ht="15" customHeight="1" s="146">
      <c r="Y1192" s="122">
        <f>MAX(0,IFERROR((LEN($T1193)-LEN(SUBSTITUTE($T1193,"Quality of Works / Criteria of Failings:","")))/LEN("Quality of Works / Criteria of Failings:"),0)-IFERROR((LEN($T1193)-LEN(SUBSTITUTE($T1193,"Quality of Works / Criteria of Failings:Compliant","")))/LEN("Quality of Works / Criteria of Failings:Compliant"),0))</f>
        <v/>
      </c>
      <c r="Z1192" s="122">
        <f>IFERROR($Y1193/MAX(1,(LEN($I1193)-LEN(SUBSTITUTE($I1193," Ltd","")))/LEN(" Ltd")),0)</f>
        <v/>
      </c>
      <c r="AA1192" s="122">
        <f>IFERROR(IFERROR((LEN($T1193)-LEN(SUBSTITUTE($T1193,"Quality of Works / Criteria of Failings:","")))/LEN("Quality of Works / Criteria of Failings:"),0)/MAX(1,(LEN($I1193)-LEN(SUBSTITUTE($I1193," Ltd","")))/LEN(" Ltd")),0)</f>
        <v/>
      </c>
      <c r="AB1192" s="122">
        <f>IFERROR(IFERROR((LEN($T1193)-LEN(SUBSTITUTE($T1193,"Quality of Works / Criteria of Failings:Compliant","")))/LEN("Quality of Works / Criteria of Failings:Compliant"),0)/MAX(1,(LEN($I1193)-LEN(SUBSTITUTE($I1193," Ltd","")))/LEN(" Ltd")),0)</f>
        <v/>
      </c>
    </row>
    <row r="1193" ht="15" customHeight="1" s="146">
      <c r="Y1193" s="122">
        <f>MAX(0,IFERROR((LEN($T1194)-LEN(SUBSTITUTE($T1194,"Quality of Works / Criteria of Failings:","")))/LEN("Quality of Works / Criteria of Failings:"),0)-IFERROR((LEN($T1194)-LEN(SUBSTITUTE($T1194,"Quality of Works / Criteria of Failings:Compliant","")))/LEN("Quality of Works / Criteria of Failings:Compliant"),0))</f>
        <v/>
      </c>
      <c r="Z1193" s="122">
        <f>IFERROR($Y1194/MAX(1,(LEN($I1194)-LEN(SUBSTITUTE($I1194," Ltd","")))/LEN(" Ltd")),0)</f>
        <v/>
      </c>
      <c r="AA1193" s="122">
        <f>IFERROR(IFERROR((LEN($T1194)-LEN(SUBSTITUTE($T1194,"Quality of Works / Criteria of Failings:","")))/LEN("Quality of Works / Criteria of Failings:"),0)/MAX(1,(LEN($I1194)-LEN(SUBSTITUTE($I1194," Ltd","")))/LEN(" Ltd")),0)</f>
        <v/>
      </c>
      <c r="AB1193" s="122">
        <f>IFERROR(IFERROR((LEN($T1194)-LEN(SUBSTITUTE($T1194,"Quality of Works / Criteria of Failings:Compliant","")))/LEN("Quality of Works / Criteria of Failings:Compliant"),0)/MAX(1,(LEN($I1194)-LEN(SUBSTITUTE($I1194," Ltd","")))/LEN(" Ltd")),0)</f>
        <v/>
      </c>
    </row>
    <row r="1194" ht="15" customHeight="1" s="146">
      <c r="Y1194" s="122">
        <f>MAX(0,IFERROR((LEN($T1195)-LEN(SUBSTITUTE($T1195,"Quality of Works / Criteria of Failings:","")))/LEN("Quality of Works / Criteria of Failings:"),0)-IFERROR((LEN($T1195)-LEN(SUBSTITUTE($T1195,"Quality of Works / Criteria of Failings:Compliant","")))/LEN("Quality of Works / Criteria of Failings:Compliant"),0))</f>
        <v/>
      </c>
      <c r="Z1194" s="122">
        <f>IFERROR($Y1195/MAX(1,(LEN($I1195)-LEN(SUBSTITUTE($I1195," Ltd","")))/LEN(" Ltd")),0)</f>
        <v/>
      </c>
      <c r="AA1194" s="122">
        <f>IFERROR(IFERROR((LEN($T1195)-LEN(SUBSTITUTE($T1195,"Quality of Works / Criteria of Failings:","")))/LEN("Quality of Works / Criteria of Failings:"),0)/MAX(1,(LEN($I1195)-LEN(SUBSTITUTE($I1195," Ltd","")))/LEN(" Ltd")),0)</f>
        <v/>
      </c>
      <c r="AB1194" s="122">
        <f>IFERROR(IFERROR((LEN($T1195)-LEN(SUBSTITUTE($T1195,"Quality of Works / Criteria of Failings:Compliant","")))/LEN("Quality of Works / Criteria of Failings:Compliant"),0)/MAX(1,(LEN($I1195)-LEN(SUBSTITUTE($I1195," Ltd","")))/LEN(" Ltd")),0)</f>
        <v/>
      </c>
    </row>
    <row r="1195" ht="15" customHeight="1" s="146">
      <c r="Y1195" s="122">
        <f>MAX(0,IFERROR((LEN($T1196)-LEN(SUBSTITUTE($T1196,"Quality of Works / Criteria of Failings:","")))/LEN("Quality of Works / Criteria of Failings:"),0)-IFERROR((LEN($T1196)-LEN(SUBSTITUTE($T1196,"Quality of Works / Criteria of Failings:Compliant","")))/LEN("Quality of Works / Criteria of Failings:Compliant"),0))</f>
        <v/>
      </c>
      <c r="Z1195" s="122">
        <f>IFERROR($Y1196/MAX(1,(LEN($I1196)-LEN(SUBSTITUTE($I1196," Ltd","")))/LEN(" Ltd")),0)</f>
        <v/>
      </c>
      <c r="AA1195" s="122">
        <f>IFERROR(IFERROR((LEN($T1196)-LEN(SUBSTITUTE($T1196,"Quality of Works / Criteria of Failings:","")))/LEN("Quality of Works / Criteria of Failings:"),0)/MAX(1,(LEN($I1196)-LEN(SUBSTITUTE($I1196," Ltd","")))/LEN(" Ltd")),0)</f>
        <v/>
      </c>
      <c r="AB1195" s="122">
        <f>IFERROR(IFERROR((LEN($T1196)-LEN(SUBSTITUTE($T1196,"Quality of Works / Criteria of Failings:Compliant","")))/LEN("Quality of Works / Criteria of Failings:Compliant"),0)/MAX(1,(LEN($I1196)-LEN(SUBSTITUTE($I1196," Ltd","")))/LEN(" Ltd")),0)</f>
        <v/>
      </c>
    </row>
    <row r="1196" ht="15" customHeight="1" s="146">
      <c r="Y1196" s="122">
        <f>MAX(0,IFERROR((LEN($T1197)-LEN(SUBSTITUTE($T1197,"Quality of Works / Criteria of Failings:","")))/LEN("Quality of Works / Criteria of Failings:"),0)-IFERROR((LEN($T1197)-LEN(SUBSTITUTE($T1197,"Quality of Works / Criteria of Failings:Compliant","")))/LEN("Quality of Works / Criteria of Failings:Compliant"),0))</f>
        <v/>
      </c>
      <c r="Z1196" s="122">
        <f>IFERROR($Y1197/MAX(1,(LEN($I1197)-LEN(SUBSTITUTE($I1197," Ltd","")))/LEN(" Ltd")),0)</f>
        <v/>
      </c>
      <c r="AA1196" s="122">
        <f>IFERROR(IFERROR((LEN($T1197)-LEN(SUBSTITUTE($T1197,"Quality of Works / Criteria of Failings:","")))/LEN("Quality of Works / Criteria of Failings:"),0)/MAX(1,(LEN($I1197)-LEN(SUBSTITUTE($I1197," Ltd","")))/LEN(" Ltd")),0)</f>
        <v/>
      </c>
      <c r="AB1196" s="122">
        <f>IFERROR(IFERROR((LEN($T1197)-LEN(SUBSTITUTE($T1197,"Quality of Works / Criteria of Failings:Compliant","")))/LEN("Quality of Works / Criteria of Failings:Compliant"),0)/MAX(1,(LEN($I1197)-LEN(SUBSTITUTE($I1197," Ltd","")))/LEN(" Ltd")),0)</f>
        <v/>
      </c>
    </row>
    <row r="1197" ht="15" customHeight="1" s="146">
      <c r="Y1197" s="122">
        <f>MAX(0,IFERROR((LEN($T1198)-LEN(SUBSTITUTE($T1198,"Quality of Works / Criteria of Failings:","")))/LEN("Quality of Works / Criteria of Failings:"),0)-IFERROR((LEN($T1198)-LEN(SUBSTITUTE($T1198,"Quality of Works / Criteria of Failings:Compliant","")))/LEN("Quality of Works / Criteria of Failings:Compliant"),0))</f>
        <v/>
      </c>
      <c r="Z1197" s="122">
        <f>IFERROR($Y1198/MAX(1,(LEN($I1198)-LEN(SUBSTITUTE($I1198," Ltd","")))/LEN(" Ltd")),0)</f>
        <v/>
      </c>
      <c r="AA1197" s="122">
        <f>IFERROR(IFERROR((LEN($T1198)-LEN(SUBSTITUTE($T1198,"Quality of Works / Criteria of Failings:","")))/LEN("Quality of Works / Criteria of Failings:"),0)/MAX(1,(LEN($I1198)-LEN(SUBSTITUTE($I1198," Ltd","")))/LEN(" Ltd")),0)</f>
        <v/>
      </c>
      <c r="AB1197" s="122">
        <f>IFERROR(IFERROR((LEN($T1198)-LEN(SUBSTITUTE($T1198,"Quality of Works / Criteria of Failings:Compliant","")))/LEN("Quality of Works / Criteria of Failings:Compliant"),0)/MAX(1,(LEN($I1198)-LEN(SUBSTITUTE($I1198," Ltd","")))/LEN(" Ltd")),0)</f>
        <v/>
      </c>
    </row>
    <row r="1198" ht="15" customHeight="1" s="146">
      <c r="Y1198" s="122">
        <f>MAX(0,IFERROR((LEN($T1199)-LEN(SUBSTITUTE($T1199,"Quality of Works / Criteria of Failings:","")))/LEN("Quality of Works / Criteria of Failings:"),0)-IFERROR((LEN($T1199)-LEN(SUBSTITUTE($T1199,"Quality of Works / Criteria of Failings:Compliant","")))/LEN("Quality of Works / Criteria of Failings:Compliant"),0))</f>
        <v/>
      </c>
      <c r="Z1198" s="122">
        <f>IFERROR($Y1199/MAX(1,(LEN($I1199)-LEN(SUBSTITUTE($I1199," Ltd","")))/LEN(" Ltd")),0)</f>
        <v/>
      </c>
      <c r="AA1198" s="122">
        <f>IFERROR(IFERROR((LEN($T1199)-LEN(SUBSTITUTE($T1199,"Quality of Works / Criteria of Failings:","")))/LEN("Quality of Works / Criteria of Failings:"),0)/MAX(1,(LEN($I1199)-LEN(SUBSTITUTE($I1199," Ltd","")))/LEN(" Ltd")),0)</f>
        <v/>
      </c>
      <c r="AB1198" s="122">
        <f>IFERROR(IFERROR((LEN($T1199)-LEN(SUBSTITUTE($T1199,"Quality of Works / Criteria of Failings:Compliant","")))/LEN("Quality of Works / Criteria of Failings:Compliant"),0)/MAX(1,(LEN($I1199)-LEN(SUBSTITUTE($I1199," Ltd","")))/LEN(" Ltd")),0)</f>
        <v/>
      </c>
    </row>
    <row r="1199" ht="15" customHeight="1" s="146">
      <c r="Y1199" s="122">
        <f>MAX(0,IFERROR((LEN($T1200)-LEN(SUBSTITUTE($T1200,"Quality of Works / Criteria of Failings:","")))/LEN("Quality of Works / Criteria of Failings:"),0)-IFERROR((LEN($T1200)-LEN(SUBSTITUTE($T1200,"Quality of Works / Criteria of Failings:Compliant","")))/LEN("Quality of Works / Criteria of Failings:Compliant"),0))</f>
        <v/>
      </c>
      <c r="Z1199" s="122">
        <f>IFERROR($Y1200/MAX(1,(LEN($I1200)-LEN(SUBSTITUTE($I1200," Ltd","")))/LEN(" Ltd")),0)</f>
        <v/>
      </c>
      <c r="AA1199" s="122">
        <f>IFERROR(IFERROR((LEN($T1200)-LEN(SUBSTITUTE($T1200,"Quality of Works / Criteria of Failings:","")))/LEN("Quality of Works / Criteria of Failings:"),0)/MAX(1,(LEN($I1200)-LEN(SUBSTITUTE($I1200," Ltd","")))/LEN(" Ltd")),0)</f>
        <v/>
      </c>
      <c r="AB1199" s="122">
        <f>IFERROR(IFERROR((LEN($T1200)-LEN(SUBSTITUTE($T1200,"Quality of Works / Criteria of Failings:Compliant","")))/LEN("Quality of Works / Criteria of Failings:Compliant"),0)/MAX(1,(LEN($I1200)-LEN(SUBSTITUTE($I1200," Ltd","")))/LEN(" Ltd")),0)</f>
        <v/>
      </c>
    </row>
    <row r="1200" ht="15" customHeight="1" s="146">
      <c r="Y1200" s="122">
        <f>MAX(0,IFERROR((LEN($T1201)-LEN(SUBSTITUTE($T1201,"Quality of Works / Criteria of Failings:","")))/LEN("Quality of Works / Criteria of Failings:"),0)-IFERROR((LEN($T1201)-LEN(SUBSTITUTE($T1201,"Quality of Works / Criteria of Failings:Compliant","")))/LEN("Quality of Works / Criteria of Failings:Compliant"),0))</f>
        <v/>
      </c>
      <c r="Z1200" s="122">
        <f>IFERROR($Y1201/MAX(1,(LEN($I1201)-LEN(SUBSTITUTE($I1201," Ltd","")))/LEN(" Ltd")),0)</f>
        <v/>
      </c>
      <c r="AA1200" s="122">
        <f>IFERROR(IFERROR((LEN($T1201)-LEN(SUBSTITUTE($T1201,"Quality of Works / Criteria of Failings:","")))/LEN("Quality of Works / Criteria of Failings:"),0)/MAX(1,(LEN($I1201)-LEN(SUBSTITUTE($I1201," Ltd","")))/LEN(" Ltd")),0)</f>
        <v/>
      </c>
      <c r="AB1200" s="122">
        <f>IFERROR(IFERROR((LEN($T1201)-LEN(SUBSTITUTE($T1201,"Quality of Works / Criteria of Failings:Compliant","")))/LEN("Quality of Works / Criteria of Failings:Compliant"),0)/MAX(1,(LEN($I1201)-LEN(SUBSTITUTE($I1201," Ltd","")))/LEN(" Ltd")),0)</f>
        <v/>
      </c>
    </row>
    <row r="1201" ht="15" customHeight="1" s="146">
      <c r="Y1201" s="122">
        <f>MAX(0,IFERROR((LEN($T1202)-LEN(SUBSTITUTE($T1202,"Quality of Works / Criteria of Failings:","")))/LEN("Quality of Works / Criteria of Failings:"),0)-IFERROR((LEN($T1202)-LEN(SUBSTITUTE($T1202,"Quality of Works / Criteria of Failings:Compliant","")))/LEN("Quality of Works / Criteria of Failings:Compliant"),0))</f>
        <v/>
      </c>
      <c r="Z1201" s="122">
        <f>IFERROR($Y1202/MAX(1,(LEN($I1202)-LEN(SUBSTITUTE($I1202," Ltd","")))/LEN(" Ltd")),0)</f>
        <v/>
      </c>
      <c r="AA1201" s="122">
        <f>IFERROR(IFERROR((LEN($T1202)-LEN(SUBSTITUTE($T1202,"Quality of Works / Criteria of Failings:","")))/LEN("Quality of Works / Criteria of Failings:"),0)/MAX(1,(LEN($I1202)-LEN(SUBSTITUTE($I1202," Ltd","")))/LEN(" Ltd")),0)</f>
        <v/>
      </c>
      <c r="AB1201" s="122">
        <f>IFERROR(IFERROR((LEN($T1202)-LEN(SUBSTITUTE($T1202,"Quality of Works / Criteria of Failings:Compliant","")))/LEN("Quality of Works / Criteria of Failings:Compliant"),0)/MAX(1,(LEN($I1202)-LEN(SUBSTITUTE($I1202," Ltd","")))/LEN(" Ltd")),0)</f>
        <v/>
      </c>
    </row>
    <row r="1202" ht="15" customHeight="1" s="146">
      <c r="Y1202" s="122">
        <f>MAX(0,IFERROR((LEN($T1203)-LEN(SUBSTITUTE($T1203,"Quality of Works / Criteria of Failings:","")))/LEN("Quality of Works / Criteria of Failings:"),0)-IFERROR((LEN($T1203)-LEN(SUBSTITUTE($T1203,"Quality of Works / Criteria of Failings:Compliant","")))/LEN("Quality of Works / Criteria of Failings:Compliant"),0))</f>
        <v/>
      </c>
      <c r="Z1202" s="122">
        <f>IFERROR($Y1203/MAX(1,(LEN($I1203)-LEN(SUBSTITUTE($I1203," Ltd","")))/LEN(" Ltd")),0)</f>
        <v/>
      </c>
      <c r="AA1202" s="122">
        <f>IFERROR(IFERROR((LEN($T1203)-LEN(SUBSTITUTE($T1203,"Quality of Works / Criteria of Failings:","")))/LEN("Quality of Works / Criteria of Failings:"),0)/MAX(1,(LEN($I1203)-LEN(SUBSTITUTE($I1203," Ltd","")))/LEN(" Ltd")),0)</f>
        <v/>
      </c>
      <c r="AB1202" s="122">
        <f>IFERROR(IFERROR((LEN($T1203)-LEN(SUBSTITUTE($T1203,"Quality of Works / Criteria of Failings:Compliant","")))/LEN("Quality of Works / Criteria of Failings:Compliant"),0)/MAX(1,(LEN($I1203)-LEN(SUBSTITUTE($I1203," Ltd","")))/LEN(" Ltd")),0)</f>
        <v/>
      </c>
    </row>
    <row r="1203" ht="15" customHeight="1" s="146">
      <c r="Y1203" s="122">
        <f>MAX(0,IFERROR((LEN($T1204)-LEN(SUBSTITUTE($T1204,"Quality of Works / Criteria of Failings:","")))/LEN("Quality of Works / Criteria of Failings:"),0)-IFERROR((LEN($T1204)-LEN(SUBSTITUTE($T1204,"Quality of Works / Criteria of Failings:Compliant","")))/LEN("Quality of Works / Criteria of Failings:Compliant"),0))</f>
        <v/>
      </c>
      <c r="Z1203" s="122">
        <f>IFERROR($Y1204/MAX(1,(LEN($I1204)-LEN(SUBSTITUTE($I1204," Ltd","")))/LEN(" Ltd")),0)</f>
        <v/>
      </c>
      <c r="AA1203" s="122">
        <f>IFERROR(IFERROR((LEN($T1204)-LEN(SUBSTITUTE($T1204,"Quality of Works / Criteria of Failings:","")))/LEN("Quality of Works / Criteria of Failings:"),0)/MAX(1,(LEN($I1204)-LEN(SUBSTITUTE($I1204," Ltd","")))/LEN(" Ltd")),0)</f>
        <v/>
      </c>
      <c r="AB1203" s="122">
        <f>IFERROR(IFERROR((LEN($T1204)-LEN(SUBSTITUTE($T1204,"Quality of Works / Criteria of Failings:Compliant","")))/LEN("Quality of Works / Criteria of Failings:Compliant"),0)/MAX(1,(LEN($I1204)-LEN(SUBSTITUTE($I1204," Ltd","")))/LEN(" Ltd")),0)</f>
        <v/>
      </c>
    </row>
    <row r="1204" ht="15" customHeight="1" s="146">
      <c r="Y1204" s="122">
        <f>MAX(0,IFERROR((LEN($T1205)-LEN(SUBSTITUTE($T1205,"Quality of Works / Criteria of Failings:","")))/LEN("Quality of Works / Criteria of Failings:"),0)-IFERROR((LEN($T1205)-LEN(SUBSTITUTE($T1205,"Quality of Works / Criteria of Failings:Compliant","")))/LEN("Quality of Works / Criteria of Failings:Compliant"),0))</f>
        <v/>
      </c>
      <c r="Z1204" s="122">
        <f>IFERROR($Y1205/MAX(1,(LEN($I1205)-LEN(SUBSTITUTE($I1205," Ltd","")))/LEN(" Ltd")),0)</f>
        <v/>
      </c>
      <c r="AA1204" s="122">
        <f>IFERROR(IFERROR((LEN($T1205)-LEN(SUBSTITUTE($T1205,"Quality of Works / Criteria of Failings:","")))/LEN("Quality of Works / Criteria of Failings:"),0)/MAX(1,(LEN($I1205)-LEN(SUBSTITUTE($I1205," Ltd","")))/LEN(" Ltd")),0)</f>
        <v/>
      </c>
      <c r="AB1204" s="122">
        <f>IFERROR(IFERROR((LEN($T1205)-LEN(SUBSTITUTE($T1205,"Quality of Works / Criteria of Failings:Compliant","")))/LEN("Quality of Works / Criteria of Failings:Compliant"),0)/MAX(1,(LEN($I1205)-LEN(SUBSTITUTE($I1205," Ltd","")))/LEN(" Ltd")),0)</f>
        <v/>
      </c>
    </row>
    <row r="1205" ht="15" customHeight="1" s="146">
      <c r="Y1205" s="122">
        <f>MAX(0,IFERROR((LEN($T1206)-LEN(SUBSTITUTE($T1206,"Quality of Works / Criteria of Failings:","")))/LEN("Quality of Works / Criteria of Failings:"),0)-IFERROR((LEN($T1206)-LEN(SUBSTITUTE($T1206,"Quality of Works / Criteria of Failings:Compliant","")))/LEN("Quality of Works / Criteria of Failings:Compliant"),0))</f>
        <v/>
      </c>
      <c r="Z1205" s="122">
        <f>IFERROR($Y1206/MAX(1,(LEN($I1206)-LEN(SUBSTITUTE($I1206," Ltd","")))/LEN(" Ltd")),0)</f>
        <v/>
      </c>
      <c r="AA1205" s="122">
        <f>IFERROR(IFERROR((LEN($T1206)-LEN(SUBSTITUTE($T1206,"Quality of Works / Criteria of Failings:","")))/LEN("Quality of Works / Criteria of Failings:"),0)/MAX(1,(LEN($I1206)-LEN(SUBSTITUTE($I1206," Ltd","")))/LEN(" Ltd")),0)</f>
        <v/>
      </c>
      <c r="AB1205" s="122">
        <f>IFERROR(IFERROR((LEN($T1206)-LEN(SUBSTITUTE($T1206,"Quality of Works / Criteria of Failings:Compliant","")))/LEN("Quality of Works / Criteria of Failings:Compliant"),0)/MAX(1,(LEN($I1206)-LEN(SUBSTITUTE($I1206," Ltd","")))/LEN(" Ltd")),0)</f>
        <v/>
      </c>
    </row>
    <row r="1206" ht="15" customHeight="1" s="146">
      <c r="Y1206" s="122">
        <f>MAX(0,IFERROR((LEN($T1207)-LEN(SUBSTITUTE($T1207,"Quality of Works / Criteria of Failings:","")))/LEN("Quality of Works / Criteria of Failings:"),0)-IFERROR((LEN($T1207)-LEN(SUBSTITUTE($T1207,"Quality of Works / Criteria of Failings:Compliant","")))/LEN("Quality of Works / Criteria of Failings:Compliant"),0))</f>
        <v/>
      </c>
      <c r="Z1206" s="122">
        <f>IFERROR($Y1207/MAX(1,(LEN($I1207)-LEN(SUBSTITUTE($I1207," Ltd","")))/LEN(" Ltd")),0)</f>
        <v/>
      </c>
      <c r="AA1206" s="122">
        <f>IFERROR(IFERROR((LEN($T1207)-LEN(SUBSTITUTE($T1207,"Quality of Works / Criteria of Failings:","")))/LEN("Quality of Works / Criteria of Failings:"),0)/MAX(1,(LEN($I1207)-LEN(SUBSTITUTE($I1207," Ltd","")))/LEN(" Ltd")),0)</f>
        <v/>
      </c>
      <c r="AB1206" s="122">
        <f>IFERROR(IFERROR((LEN($T1207)-LEN(SUBSTITUTE($T1207,"Quality of Works / Criteria of Failings:Compliant","")))/LEN("Quality of Works / Criteria of Failings:Compliant"),0)/MAX(1,(LEN($I1207)-LEN(SUBSTITUTE($I1207," Ltd","")))/LEN(" Ltd")),0)</f>
        <v/>
      </c>
    </row>
    <row r="1207" ht="15" customHeight="1" s="146">
      <c r="Y1207" s="122">
        <f>MAX(0,IFERROR((LEN($T1208)-LEN(SUBSTITUTE($T1208,"Quality of Works / Criteria of Failings:","")))/LEN("Quality of Works / Criteria of Failings:"),0)-IFERROR((LEN($T1208)-LEN(SUBSTITUTE($T1208,"Quality of Works / Criteria of Failings:Compliant","")))/LEN("Quality of Works / Criteria of Failings:Compliant"),0))</f>
        <v/>
      </c>
      <c r="Z1207" s="122">
        <f>IFERROR($Y1208/MAX(1,(LEN($I1208)-LEN(SUBSTITUTE($I1208," Ltd","")))/LEN(" Ltd")),0)</f>
        <v/>
      </c>
      <c r="AA1207" s="122">
        <f>IFERROR(IFERROR((LEN($T1208)-LEN(SUBSTITUTE($T1208,"Quality of Works / Criteria of Failings:","")))/LEN("Quality of Works / Criteria of Failings:"),0)/MAX(1,(LEN($I1208)-LEN(SUBSTITUTE($I1208," Ltd","")))/LEN(" Ltd")),0)</f>
        <v/>
      </c>
      <c r="AB1207" s="122">
        <f>IFERROR(IFERROR((LEN($T1208)-LEN(SUBSTITUTE($T1208,"Quality of Works / Criteria of Failings:Compliant","")))/LEN("Quality of Works / Criteria of Failings:Compliant"),0)/MAX(1,(LEN($I1208)-LEN(SUBSTITUTE($I1208," Ltd","")))/LEN(" Ltd")),0)</f>
        <v/>
      </c>
    </row>
    <row r="1208" ht="15" customHeight="1" s="146">
      <c r="Y1208" s="122">
        <f>MAX(0,IFERROR((LEN($T1209)-LEN(SUBSTITUTE($T1209,"Quality of Works / Criteria of Failings:","")))/LEN("Quality of Works / Criteria of Failings:"),0)-IFERROR((LEN($T1209)-LEN(SUBSTITUTE($T1209,"Quality of Works / Criteria of Failings:Compliant","")))/LEN("Quality of Works / Criteria of Failings:Compliant"),0))</f>
        <v/>
      </c>
      <c r="Z1208" s="122">
        <f>IFERROR($Y1209/MAX(1,(LEN($I1209)-LEN(SUBSTITUTE($I1209," Ltd","")))/LEN(" Ltd")),0)</f>
        <v/>
      </c>
      <c r="AA1208" s="122">
        <f>IFERROR(IFERROR((LEN($T1209)-LEN(SUBSTITUTE($T1209,"Quality of Works / Criteria of Failings:","")))/LEN("Quality of Works / Criteria of Failings:"),0)/MAX(1,(LEN($I1209)-LEN(SUBSTITUTE($I1209," Ltd","")))/LEN(" Ltd")),0)</f>
        <v/>
      </c>
      <c r="AB1208" s="122">
        <f>IFERROR(IFERROR((LEN($T1209)-LEN(SUBSTITUTE($T1209,"Quality of Works / Criteria of Failings:Compliant","")))/LEN("Quality of Works / Criteria of Failings:Compliant"),0)/MAX(1,(LEN($I1209)-LEN(SUBSTITUTE($I1209," Ltd","")))/LEN(" Ltd")),0)</f>
        <v/>
      </c>
    </row>
    <row r="1209" ht="15" customHeight="1" s="146">
      <c r="Y1209" s="122">
        <f>MAX(0,IFERROR((LEN($T1210)-LEN(SUBSTITUTE($T1210,"Quality of Works / Criteria of Failings:","")))/LEN("Quality of Works / Criteria of Failings:"),0)-IFERROR((LEN($T1210)-LEN(SUBSTITUTE($T1210,"Quality of Works / Criteria of Failings:Compliant","")))/LEN("Quality of Works / Criteria of Failings:Compliant"),0))</f>
        <v/>
      </c>
      <c r="Z1209" s="122">
        <f>IFERROR($Y1210/MAX(1,(LEN($I1210)-LEN(SUBSTITUTE($I1210," Ltd","")))/LEN(" Ltd")),0)</f>
        <v/>
      </c>
      <c r="AA1209" s="122">
        <f>IFERROR(IFERROR((LEN($T1210)-LEN(SUBSTITUTE($T1210,"Quality of Works / Criteria of Failings:","")))/LEN("Quality of Works / Criteria of Failings:"),0)/MAX(1,(LEN($I1210)-LEN(SUBSTITUTE($I1210," Ltd","")))/LEN(" Ltd")),0)</f>
        <v/>
      </c>
      <c r="AB1209" s="122">
        <f>IFERROR(IFERROR((LEN($T1210)-LEN(SUBSTITUTE($T1210,"Quality of Works / Criteria of Failings:Compliant","")))/LEN("Quality of Works / Criteria of Failings:Compliant"),0)/MAX(1,(LEN($I1210)-LEN(SUBSTITUTE($I1210," Ltd","")))/LEN(" Ltd")),0)</f>
        <v/>
      </c>
    </row>
    <row r="1210" ht="15" customHeight="1" s="146">
      <c r="Y1210" s="122">
        <f>MAX(0,IFERROR((LEN($T1211)-LEN(SUBSTITUTE($T1211,"Quality of Works / Criteria of Failings:","")))/LEN("Quality of Works / Criteria of Failings:"),0)-IFERROR((LEN($T1211)-LEN(SUBSTITUTE($T1211,"Quality of Works / Criteria of Failings:Compliant","")))/LEN("Quality of Works / Criteria of Failings:Compliant"),0))</f>
        <v/>
      </c>
      <c r="Z1210" s="122">
        <f>IFERROR($Y1211/MAX(1,(LEN($I1211)-LEN(SUBSTITUTE($I1211," Ltd","")))/LEN(" Ltd")),0)</f>
        <v/>
      </c>
      <c r="AA1210" s="122">
        <f>IFERROR(IFERROR((LEN($T1211)-LEN(SUBSTITUTE($T1211,"Quality of Works / Criteria of Failings:","")))/LEN("Quality of Works / Criteria of Failings:"),0)/MAX(1,(LEN($I1211)-LEN(SUBSTITUTE($I1211," Ltd","")))/LEN(" Ltd")),0)</f>
        <v/>
      </c>
      <c r="AB1210" s="122">
        <f>IFERROR(IFERROR((LEN($T1211)-LEN(SUBSTITUTE($T1211,"Quality of Works / Criteria of Failings:Compliant","")))/LEN("Quality of Works / Criteria of Failings:Compliant"),0)/MAX(1,(LEN($I1211)-LEN(SUBSTITUTE($I1211," Ltd","")))/LEN(" Ltd")),0)</f>
        <v/>
      </c>
    </row>
    <row r="1211" ht="15" customHeight="1" s="146">
      <c r="Y1211" s="122">
        <f>MAX(0,IFERROR((LEN($T1212)-LEN(SUBSTITUTE($T1212,"Quality of Works / Criteria of Failings:","")))/LEN("Quality of Works / Criteria of Failings:"),0)-IFERROR((LEN($T1212)-LEN(SUBSTITUTE($T1212,"Quality of Works / Criteria of Failings:Compliant","")))/LEN("Quality of Works / Criteria of Failings:Compliant"),0))</f>
        <v/>
      </c>
      <c r="Z1211" s="122">
        <f>IFERROR($Y1212/MAX(1,(LEN($I1212)-LEN(SUBSTITUTE($I1212," Ltd","")))/LEN(" Ltd")),0)</f>
        <v/>
      </c>
      <c r="AA1211" s="122">
        <f>IFERROR(IFERROR((LEN($T1212)-LEN(SUBSTITUTE($T1212,"Quality of Works / Criteria of Failings:","")))/LEN("Quality of Works / Criteria of Failings:"),0)/MAX(1,(LEN($I1212)-LEN(SUBSTITUTE($I1212," Ltd","")))/LEN(" Ltd")),0)</f>
        <v/>
      </c>
      <c r="AB1211" s="122">
        <f>IFERROR(IFERROR((LEN($T1212)-LEN(SUBSTITUTE($T1212,"Quality of Works / Criteria of Failings:Compliant","")))/LEN("Quality of Works / Criteria of Failings:Compliant"),0)/MAX(1,(LEN($I1212)-LEN(SUBSTITUTE($I1212," Ltd","")))/LEN(" Ltd")),0)</f>
        <v/>
      </c>
    </row>
    <row r="1212" ht="15" customHeight="1" s="146">
      <c r="Y1212" s="122">
        <f>MAX(0,IFERROR((LEN($T1213)-LEN(SUBSTITUTE($T1213,"Quality of Works / Criteria of Failings:","")))/LEN("Quality of Works / Criteria of Failings:"),0)-IFERROR((LEN($T1213)-LEN(SUBSTITUTE($T1213,"Quality of Works / Criteria of Failings:Compliant","")))/LEN("Quality of Works / Criteria of Failings:Compliant"),0))</f>
        <v/>
      </c>
      <c r="Z1212" s="122">
        <f>IFERROR($Y1213/MAX(1,(LEN($I1213)-LEN(SUBSTITUTE($I1213," Ltd","")))/LEN(" Ltd")),0)</f>
        <v/>
      </c>
      <c r="AA1212" s="122">
        <f>IFERROR(IFERROR((LEN($T1213)-LEN(SUBSTITUTE($T1213,"Quality of Works / Criteria of Failings:","")))/LEN("Quality of Works / Criteria of Failings:"),0)/MAX(1,(LEN($I1213)-LEN(SUBSTITUTE($I1213," Ltd","")))/LEN(" Ltd")),0)</f>
        <v/>
      </c>
      <c r="AB1212" s="122">
        <f>IFERROR(IFERROR((LEN($T1213)-LEN(SUBSTITUTE($T1213,"Quality of Works / Criteria of Failings:Compliant","")))/LEN("Quality of Works / Criteria of Failings:Compliant"),0)/MAX(1,(LEN($I1213)-LEN(SUBSTITUTE($I1213," Ltd","")))/LEN(" Ltd")),0)</f>
        <v/>
      </c>
    </row>
    <row r="1213" ht="15" customHeight="1" s="146">
      <c r="Y1213" s="122">
        <f>MAX(0,IFERROR((LEN($T1214)-LEN(SUBSTITUTE($T1214,"Quality of Works / Criteria of Failings:","")))/LEN("Quality of Works / Criteria of Failings:"),0)-IFERROR((LEN($T1214)-LEN(SUBSTITUTE($T1214,"Quality of Works / Criteria of Failings:Compliant","")))/LEN("Quality of Works / Criteria of Failings:Compliant"),0))</f>
        <v/>
      </c>
      <c r="Z1213" s="122">
        <f>IFERROR($Y1214/MAX(1,(LEN($I1214)-LEN(SUBSTITUTE($I1214," Ltd","")))/LEN(" Ltd")),0)</f>
        <v/>
      </c>
      <c r="AA1213" s="122">
        <f>IFERROR(IFERROR((LEN($T1214)-LEN(SUBSTITUTE($T1214,"Quality of Works / Criteria of Failings:","")))/LEN("Quality of Works / Criteria of Failings:"),0)/MAX(1,(LEN($I1214)-LEN(SUBSTITUTE($I1214," Ltd","")))/LEN(" Ltd")),0)</f>
        <v/>
      </c>
      <c r="AB1213" s="122">
        <f>IFERROR(IFERROR((LEN($T1214)-LEN(SUBSTITUTE($T1214,"Quality of Works / Criteria of Failings:Compliant","")))/LEN("Quality of Works / Criteria of Failings:Compliant"),0)/MAX(1,(LEN($I1214)-LEN(SUBSTITUTE($I1214," Ltd","")))/LEN(" Ltd")),0)</f>
        <v/>
      </c>
    </row>
    <row r="1214" ht="15" customHeight="1" s="146">
      <c r="Y1214" s="122">
        <f>MAX(0,IFERROR((LEN($T1215)-LEN(SUBSTITUTE($T1215,"Quality of Works / Criteria of Failings:","")))/LEN("Quality of Works / Criteria of Failings:"),0)-IFERROR((LEN($T1215)-LEN(SUBSTITUTE($T1215,"Quality of Works / Criteria of Failings:Compliant","")))/LEN("Quality of Works / Criteria of Failings:Compliant"),0))</f>
        <v/>
      </c>
      <c r="Z1214" s="122">
        <f>IFERROR($Y1215/MAX(1,(LEN($I1215)-LEN(SUBSTITUTE($I1215," Ltd","")))/LEN(" Ltd")),0)</f>
        <v/>
      </c>
      <c r="AA1214" s="122">
        <f>IFERROR(IFERROR((LEN($T1215)-LEN(SUBSTITUTE($T1215,"Quality of Works / Criteria of Failings:","")))/LEN("Quality of Works / Criteria of Failings:"),0)/MAX(1,(LEN($I1215)-LEN(SUBSTITUTE($I1215," Ltd","")))/LEN(" Ltd")),0)</f>
        <v/>
      </c>
      <c r="AB1214" s="122">
        <f>IFERROR(IFERROR((LEN($T1215)-LEN(SUBSTITUTE($T1215,"Quality of Works / Criteria of Failings:Compliant","")))/LEN("Quality of Works / Criteria of Failings:Compliant"),0)/MAX(1,(LEN($I1215)-LEN(SUBSTITUTE($I1215," Ltd","")))/LEN(" Ltd")),0)</f>
        <v/>
      </c>
    </row>
    <row r="1215" ht="15" customHeight="1" s="146">
      <c r="Y1215" s="122">
        <f>MAX(0,IFERROR((LEN($T1216)-LEN(SUBSTITUTE($T1216,"Quality of Works / Criteria of Failings:","")))/LEN("Quality of Works / Criteria of Failings:"),0)-IFERROR((LEN($T1216)-LEN(SUBSTITUTE($T1216,"Quality of Works / Criteria of Failings:Compliant","")))/LEN("Quality of Works / Criteria of Failings:Compliant"),0))</f>
        <v/>
      </c>
      <c r="Z1215" s="122">
        <f>IFERROR($Y1216/MAX(1,(LEN($I1216)-LEN(SUBSTITUTE($I1216," Ltd","")))/LEN(" Ltd")),0)</f>
        <v/>
      </c>
      <c r="AA1215" s="122">
        <f>IFERROR(IFERROR((LEN($T1216)-LEN(SUBSTITUTE($T1216,"Quality of Works / Criteria of Failings:","")))/LEN("Quality of Works / Criteria of Failings:"),0)/MAX(1,(LEN($I1216)-LEN(SUBSTITUTE($I1216," Ltd","")))/LEN(" Ltd")),0)</f>
        <v/>
      </c>
      <c r="AB1215" s="122">
        <f>IFERROR(IFERROR((LEN($T1216)-LEN(SUBSTITUTE($T1216,"Quality of Works / Criteria of Failings:Compliant","")))/LEN("Quality of Works / Criteria of Failings:Compliant"),0)/MAX(1,(LEN($I1216)-LEN(SUBSTITUTE($I1216," Ltd","")))/LEN(" Ltd")),0)</f>
        <v/>
      </c>
    </row>
    <row r="1216" ht="15" customHeight="1" s="146">
      <c r="Y1216" s="122">
        <f>MAX(0,IFERROR((LEN($T1217)-LEN(SUBSTITUTE($T1217,"Quality of Works / Criteria of Failings:","")))/LEN("Quality of Works / Criteria of Failings:"),0)-IFERROR((LEN($T1217)-LEN(SUBSTITUTE($T1217,"Quality of Works / Criteria of Failings:Compliant","")))/LEN("Quality of Works / Criteria of Failings:Compliant"),0))</f>
        <v/>
      </c>
      <c r="Z1216" s="122">
        <f>IFERROR($Y1217/MAX(1,(LEN($I1217)-LEN(SUBSTITUTE($I1217," Ltd","")))/LEN(" Ltd")),0)</f>
        <v/>
      </c>
      <c r="AA1216" s="122">
        <f>IFERROR(IFERROR((LEN($T1217)-LEN(SUBSTITUTE($T1217,"Quality of Works / Criteria of Failings:","")))/LEN("Quality of Works / Criteria of Failings:"),0)/MAX(1,(LEN($I1217)-LEN(SUBSTITUTE($I1217," Ltd","")))/LEN(" Ltd")),0)</f>
        <v/>
      </c>
      <c r="AB1216" s="122">
        <f>IFERROR(IFERROR((LEN($T1217)-LEN(SUBSTITUTE($T1217,"Quality of Works / Criteria of Failings:Compliant","")))/LEN("Quality of Works / Criteria of Failings:Compliant"),0)/MAX(1,(LEN($I1217)-LEN(SUBSTITUTE($I1217," Ltd","")))/LEN(" Ltd")),0)</f>
        <v/>
      </c>
    </row>
    <row r="1217" ht="15" customHeight="1" s="146">
      <c r="Y1217" s="122">
        <f>MAX(0,IFERROR((LEN($T1218)-LEN(SUBSTITUTE($T1218,"Quality of Works / Criteria of Failings:","")))/LEN("Quality of Works / Criteria of Failings:"),0)-IFERROR((LEN($T1218)-LEN(SUBSTITUTE($T1218,"Quality of Works / Criteria of Failings:Compliant","")))/LEN("Quality of Works / Criteria of Failings:Compliant"),0))</f>
        <v/>
      </c>
      <c r="Z1217" s="122">
        <f>IFERROR($Y1218/MAX(1,(LEN($I1218)-LEN(SUBSTITUTE($I1218," Ltd","")))/LEN(" Ltd")),0)</f>
        <v/>
      </c>
      <c r="AA1217" s="122">
        <f>IFERROR(IFERROR((LEN($T1218)-LEN(SUBSTITUTE($T1218,"Quality of Works / Criteria of Failings:","")))/LEN("Quality of Works / Criteria of Failings:"),0)/MAX(1,(LEN($I1218)-LEN(SUBSTITUTE($I1218," Ltd","")))/LEN(" Ltd")),0)</f>
        <v/>
      </c>
      <c r="AB1217" s="122">
        <f>IFERROR(IFERROR((LEN($T1218)-LEN(SUBSTITUTE($T1218,"Quality of Works / Criteria of Failings:Compliant","")))/LEN("Quality of Works / Criteria of Failings:Compliant"),0)/MAX(1,(LEN($I1218)-LEN(SUBSTITUTE($I1218," Ltd","")))/LEN(" Ltd")),0)</f>
        <v/>
      </c>
    </row>
    <row r="1218" ht="15" customHeight="1" s="146">
      <c r="Y1218" s="122">
        <f>MAX(0,IFERROR((LEN($T1219)-LEN(SUBSTITUTE($T1219,"Quality of Works / Criteria of Failings:","")))/LEN("Quality of Works / Criteria of Failings:"),0)-IFERROR((LEN($T1219)-LEN(SUBSTITUTE($T1219,"Quality of Works / Criteria of Failings:Compliant","")))/LEN("Quality of Works / Criteria of Failings:Compliant"),0))</f>
        <v/>
      </c>
      <c r="Z1218" s="122">
        <f>IFERROR($Y1219/MAX(1,(LEN($I1219)-LEN(SUBSTITUTE($I1219," Ltd","")))/LEN(" Ltd")),0)</f>
        <v/>
      </c>
      <c r="AA1218" s="122">
        <f>IFERROR(IFERROR((LEN($T1219)-LEN(SUBSTITUTE($T1219,"Quality of Works / Criteria of Failings:","")))/LEN("Quality of Works / Criteria of Failings:"),0)/MAX(1,(LEN($I1219)-LEN(SUBSTITUTE($I1219," Ltd","")))/LEN(" Ltd")),0)</f>
        <v/>
      </c>
      <c r="AB1218" s="122">
        <f>IFERROR(IFERROR((LEN($T1219)-LEN(SUBSTITUTE($T1219,"Quality of Works / Criteria of Failings:Compliant","")))/LEN("Quality of Works / Criteria of Failings:Compliant"),0)/MAX(1,(LEN($I1219)-LEN(SUBSTITUTE($I1219," Ltd","")))/LEN(" Ltd")),0)</f>
        <v/>
      </c>
    </row>
    <row r="1219" ht="15" customHeight="1" s="146">
      <c r="Y1219" s="122">
        <f>MAX(0,IFERROR((LEN($T1220)-LEN(SUBSTITUTE($T1220,"Quality of Works / Criteria of Failings:","")))/LEN("Quality of Works / Criteria of Failings:"),0)-IFERROR((LEN($T1220)-LEN(SUBSTITUTE($T1220,"Quality of Works / Criteria of Failings:Compliant","")))/LEN("Quality of Works / Criteria of Failings:Compliant"),0))</f>
        <v/>
      </c>
      <c r="Z1219" s="122">
        <f>IFERROR($Y1220/MAX(1,(LEN($I1220)-LEN(SUBSTITUTE($I1220," Ltd","")))/LEN(" Ltd")),0)</f>
        <v/>
      </c>
      <c r="AA1219" s="122">
        <f>IFERROR(IFERROR((LEN($T1220)-LEN(SUBSTITUTE($T1220,"Quality of Works / Criteria of Failings:","")))/LEN("Quality of Works / Criteria of Failings:"),0)/MAX(1,(LEN($I1220)-LEN(SUBSTITUTE($I1220," Ltd","")))/LEN(" Ltd")),0)</f>
        <v/>
      </c>
      <c r="AB1219" s="122">
        <f>IFERROR(IFERROR((LEN($T1220)-LEN(SUBSTITUTE($T1220,"Quality of Works / Criteria of Failings:Compliant","")))/LEN("Quality of Works / Criteria of Failings:Compliant"),0)/MAX(1,(LEN($I1220)-LEN(SUBSTITUTE($I1220," Ltd","")))/LEN(" Ltd")),0)</f>
        <v/>
      </c>
    </row>
    <row r="1220" ht="15" customHeight="1" s="146">
      <c r="Y1220" s="122">
        <f>MAX(0,IFERROR((LEN($T1221)-LEN(SUBSTITUTE($T1221,"Quality of Works / Criteria of Failings:","")))/LEN("Quality of Works / Criteria of Failings:"),0)-IFERROR((LEN($T1221)-LEN(SUBSTITUTE($T1221,"Quality of Works / Criteria of Failings:Compliant","")))/LEN("Quality of Works / Criteria of Failings:Compliant"),0))</f>
        <v/>
      </c>
      <c r="Z1220" s="122">
        <f>IFERROR($Y1221/MAX(1,(LEN($I1221)-LEN(SUBSTITUTE($I1221," Ltd","")))/LEN(" Ltd")),0)</f>
        <v/>
      </c>
      <c r="AA1220" s="122">
        <f>IFERROR(IFERROR((LEN($T1221)-LEN(SUBSTITUTE($T1221,"Quality of Works / Criteria of Failings:","")))/LEN("Quality of Works / Criteria of Failings:"),0)/MAX(1,(LEN($I1221)-LEN(SUBSTITUTE($I1221," Ltd","")))/LEN(" Ltd")),0)</f>
        <v/>
      </c>
      <c r="AB1220" s="122">
        <f>IFERROR(IFERROR((LEN($T1221)-LEN(SUBSTITUTE($T1221,"Quality of Works / Criteria of Failings:Compliant","")))/LEN("Quality of Works / Criteria of Failings:Compliant"),0)/MAX(1,(LEN($I1221)-LEN(SUBSTITUTE($I1221," Ltd","")))/LEN(" Ltd")),0)</f>
        <v/>
      </c>
    </row>
    <row r="1221" ht="15" customHeight="1" s="146">
      <c r="Y1221" s="122">
        <f>MAX(0,IFERROR((LEN($T1222)-LEN(SUBSTITUTE($T1222,"Quality of Works / Criteria of Failings:","")))/LEN("Quality of Works / Criteria of Failings:"),0)-IFERROR((LEN($T1222)-LEN(SUBSTITUTE($T1222,"Quality of Works / Criteria of Failings:Compliant","")))/LEN("Quality of Works / Criteria of Failings:Compliant"),0))</f>
        <v/>
      </c>
      <c r="Z1221" s="122">
        <f>IFERROR($Y1222/MAX(1,(LEN($I1222)-LEN(SUBSTITUTE($I1222," Ltd","")))/LEN(" Ltd")),0)</f>
        <v/>
      </c>
      <c r="AA1221" s="122">
        <f>IFERROR(IFERROR((LEN($T1222)-LEN(SUBSTITUTE($T1222,"Quality of Works / Criteria of Failings:","")))/LEN("Quality of Works / Criteria of Failings:"),0)/MAX(1,(LEN($I1222)-LEN(SUBSTITUTE($I1222," Ltd","")))/LEN(" Ltd")),0)</f>
        <v/>
      </c>
      <c r="AB1221" s="122">
        <f>IFERROR(IFERROR((LEN($T1222)-LEN(SUBSTITUTE($T1222,"Quality of Works / Criteria of Failings:Compliant","")))/LEN("Quality of Works / Criteria of Failings:Compliant"),0)/MAX(1,(LEN($I1222)-LEN(SUBSTITUTE($I1222," Ltd","")))/LEN(" Ltd")),0)</f>
        <v/>
      </c>
    </row>
    <row r="1222" ht="15" customHeight="1" s="146">
      <c r="Y1222" s="122">
        <f>MAX(0,IFERROR((LEN($T1223)-LEN(SUBSTITUTE($T1223,"Quality of Works / Criteria of Failings:","")))/LEN("Quality of Works / Criteria of Failings:"),0)-IFERROR((LEN($T1223)-LEN(SUBSTITUTE($T1223,"Quality of Works / Criteria of Failings:Compliant","")))/LEN("Quality of Works / Criteria of Failings:Compliant"),0))</f>
        <v/>
      </c>
      <c r="Z1222" s="122">
        <f>IFERROR($Y1223/MAX(1,(LEN($I1223)-LEN(SUBSTITUTE($I1223," Ltd","")))/LEN(" Ltd")),0)</f>
        <v/>
      </c>
      <c r="AA1222" s="122">
        <f>IFERROR(IFERROR((LEN($T1223)-LEN(SUBSTITUTE($T1223,"Quality of Works / Criteria of Failings:","")))/LEN("Quality of Works / Criteria of Failings:"),0)/MAX(1,(LEN($I1223)-LEN(SUBSTITUTE($I1223," Ltd","")))/LEN(" Ltd")),0)</f>
        <v/>
      </c>
      <c r="AB1222" s="122">
        <f>IFERROR(IFERROR((LEN($T1223)-LEN(SUBSTITUTE($T1223,"Quality of Works / Criteria of Failings:Compliant","")))/LEN("Quality of Works / Criteria of Failings:Compliant"),0)/MAX(1,(LEN($I1223)-LEN(SUBSTITUTE($I1223," Ltd","")))/LEN(" Ltd")),0)</f>
        <v/>
      </c>
    </row>
    <row r="1223" ht="15" customHeight="1" s="146">
      <c r="Y1223" s="122">
        <f>MAX(0,IFERROR((LEN($T1224)-LEN(SUBSTITUTE($T1224,"Quality of Works / Criteria of Failings:","")))/LEN("Quality of Works / Criteria of Failings:"),0)-IFERROR((LEN($T1224)-LEN(SUBSTITUTE($T1224,"Quality of Works / Criteria of Failings:Compliant","")))/LEN("Quality of Works / Criteria of Failings:Compliant"),0))</f>
        <v/>
      </c>
      <c r="Z1223" s="122">
        <f>IFERROR($Y1224/MAX(1,(LEN($I1224)-LEN(SUBSTITUTE($I1224," Ltd","")))/LEN(" Ltd")),0)</f>
        <v/>
      </c>
      <c r="AA1223" s="122">
        <f>IFERROR(IFERROR((LEN($T1224)-LEN(SUBSTITUTE($T1224,"Quality of Works / Criteria of Failings:","")))/LEN("Quality of Works / Criteria of Failings:"),0)/MAX(1,(LEN($I1224)-LEN(SUBSTITUTE($I1224," Ltd","")))/LEN(" Ltd")),0)</f>
        <v/>
      </c>
      <c r="AB1223" s="122">
        <f>IFERROR(IFERROR((LEN($T1224)-LEN(SUBSTITUTE($T1224,"Quality of Works / Criteria of Failings:Compliant","")))/LEN("Quality of Works / Criteria of Failings:Compliant"),0)/MAX(1,(LEN($I1224)-LEN(SUBSTITUTE($I1224," Ltd","")))/LEN(" Ltd")),0)</f>
        <v/>
      </c>
    </row>
    <row r="1224" ht="15" customHeight="1" s="146">
      <c r="Y1224" s="122">
        <f>MAX(0,IFERROR((LEN($T1225)-LEN(SUBSTITUTE($T1225,"Quality of Works / Criteria of Failings:","")))/LEN("Quality of Works / Criteria of Failings:"),0)-IFERROR((LEN($T1225)-LEN(SUBSTITUTE($T1225,"Quality of Works / Criteria of Failings:Compliant","")))/LEN("Quality of Works / Criteria of Failings:Compliant"),0))</f>
        <v/>
      </c>
      <c r="Z1224" s="122">
        <f>IFERROR($Y1225/MAX(1,(LEN($I1225)-LEN(SUBSTITUTE($I1225," Ltd","")))/LEN(" Ltd")),0)</f>
        <v/>
      </c>
      <c r="AA1224" s="122">
        <f>IFERROR(IFERROR((LEN($T1225)-LEN(SUBSTITUTE($T1225,"Quality of Works / Criteria of Failings:","")))/LEN("Quality of Works / Criteria of Failings:"),0)/MAX(1,(LEN($I1225)-LEN(SUBSTITUTE($I1225," Ltd","")))/LEN(" Ltd")),0)</f>
        <v/>
      </c>
      <c r="AB1224" s="122">
        <f>IFERROR(IFERROR((LEN($T1225)-LEN(SUBSTITUTE($T1225,"Quality of Works / Criteria of Failings:Compliant","")))/LEN("Quality of Works / Criteria of Failings:Compliant"),0)/MAX(1,(LEN($I1225)-LEN(SUBSTITUTE($I1225," Ltd","")))/LEN(" Ltd")),0)</f>
        <v/>
      </c>
    </row>
    <row r="1225" ht="15" customHeight="1" s="146">
      <c r="Y1225" s="122">
        <f>MAX(0,IFERROR((LEN($T1226)-LEN(SUBSTITUTE($T1226,"Quality of Works / Criteria of Failings:","")))/LEN("Quality of Works / Criteria of Failings:"),0)-IFERROR((LEN($T1226)-LEN(SUBSTITUTE($T1226,"Quality of Works / Criteria of Failings:Compliant","")))/LEN("Quality of Works / Criteria of Failings:Compliant"),0))</f>
        <v/>
      </c>
      <c r="Z1225" s="122">
        <f>IFERROR($Y1226/MAX(1,(LEN($I1226)-LEN(SUBSTITUTE($I1226," Ltd","")))/LEN(" Ltd")),0)</f>
        <v/>
      </c>
      <c r="AA1225" s="122">
        <f>IFERROR(IFERROR((LEN($T1226)-LEN(SUBSTITUTE($T1226,"Quality of Works / Criteria of Failings:","")))/LEN("Quality of Works / Criteria of Failings:"),0)/MAX(1,(LEN($I1226)-LEN(SUBSTITUTE($I1226," Ltd","")))/LEN(" Ltd")),0)</f>
        <v/>
      </c>
      <c r="AB1225" s="122">
        <f>IFERROR(IFERROR((LEN($T1226)-LEN(SUBSTITUTE($T1226,"Quality of Works / Criteria of Failings:Compliant","")))/LEN("Quality of Works / Criteria of Failings:Compliant"),0)/MAX(1,(LEN($I1226)-LEN(SUBSTITUTE($I1226," Ltd","")))/LEN(" Ltd")),0)</f>
        <v/>
      </c>
    </row>
    <row r="1226" ht="15" customHeight="1" s="146">
      <c r="Y1226" s="122">
        <f>MAX(0,IFERROR((LEN($T1227)-LEN(SUBSTITUTE($T1227,"Quality of Works / Criteria of Failings:","")))/LEN("Quality of Works / Criteria of Failings:"),0)-IFERROR((LEN($T1227)-LEN(SUBSTITUTE($T1227,"Quality of Works / Criteria of Failings:Compliant","")))/LEN("Quality of Works / Criteria of Failings:Compliant"),0))</f>
        <v/>
      </c>
      <c r="Z1226" s="122">
        <f>IFERROR($Y1227/MAX(1,(LEN($I1227)-LEN(SUBSTITUTE($I1227," Ltd","")))/LEN(" Ltd")),0)</f>
        <v/>
      </c>
      <c r="AA1226" s="122">
        <f>IFERROR(IFERROR((LEN($T1227)-LEN(SUBSTITUTE($T1227,"Quality of Works / Criteria of Failings:","")))/LEN("Quality of Works / Criteria of Failings:"),0)/MAX(1,(LEN($I1227)-LEN(SUBSTITUTE($I1227," Ltd","")))/LEN(" Ltd")),0)</f>
        <v/>
      </c>
      <c r="AB1226" s="122">
        <f>IFERROR(IFERROR((LEN($T1227)-LEN(SUBSTITUTE($T1227,"Quality of Works / Criteria of Failings:Compliant","")))/LEN("Quality of Works / Criteria of Failings:Compliant"),0)/MAX(1,(LEN($I1227)-LEN(SUBSTITUTE($I1227," Ltd","")))/LEN(" Ltd")),0)</f>
        <v/>
      </c>
    </row>
    <row r="1227" ht="15" customHeight="1" s="146">
      <c r="Y1227" s="122">
        <f>MAX(0,IFERROR((LEN($T1228)-LEN(SUBSTITUTE($T1228,"Quality of Works / Criteria of Failings:","")))/LEN("Quality of Works / Criteria of Failings:"),0)-IFERROR((LEN($T1228)-LEN(SUBSTITUTE($T1228,"Quality of Works / Criteria of Failings:Compliant","")))/LEN("Quality of Works / Criteria of Failings:Compliant"),0))</f>
        <v/>
      </c>
      <c r="Z1227" s="122">
        <f>IFERROR($Y1228/MAX(1,(LEN($I1228)-LEN(SUBSTITUTE($I1228," Ltd","")))/LEN(" Ltd")),0)</f>
        <v/>
      </c>
      <c r="AA1227" s="122">
        <f>IFERROR(IFERROR((LEN($T1228)-LEN(SUBSTITUTE($T1228,"Quality of Works / Criteria of Failings:","")))/LEN("Quality of Works / Criteria of Failings:"),0)/MAX(1,(LEN($I1228)-LEN(SUBSTITUTE($I1228," Ltd","")))/LEN(" Ltd")),0)</f>
        <v/>
      </c>
      <c r="AB1227" s="122">
        <f>IFERROR(IFERROR((LEN($T1228)-LEN(SUBSTITUTE($T1228,"Quality of Works / Criteria of Failings:Compliant","")))/LEN("Quality of Works / Criteria of Failings:Compliant"),0)/MAX(1,(LEN($I1228)-LEN(SUBSTITUTE($I1228," Ltd","")))/LEN(" Ltd")),0)</f>
        <v/>
      </c>
    </row>
    <row r="1228" ht="15" customHeight="1" s="146">
      <c r="Y1228" s="122">
        <f>MAX(0,IFERROR((LEN($T1229)-LEN(SUBSTITUTE($T1229,"Quality of Works / Criteria of Failings:","")))/LEN("Quality of Works / Criteria of Failings:"),0)-IFERROR((LEN($T1229)-LEN(SUBSTITUTE($T1229,"Quality of Works / Criteria of Failings:Compliant","")))/LEN("Quality of Works / Criteria of Failings:Compliant"),0))</f>
        <v/>
      </c>
      <c r="Z1228" s="122">
        <f>IFERROR($Y1229/MAX(1,(LEN($I1229)-LEN(SUBSTITUTE($I1229," Ltd","")))/LEN(" Ltd")),0)</f>
        <v/>
      </c>
      <c r="AA1228" s="122">
        <f>IFERROR(IFERROR((LEN($T1229)-LEN(SUBSTITUTE($T1229,"Quality of Works / Criteria of Failings:","")))/LEN("Quality of Works / Criteria of Failings:"),0)/MAX(1,(LEN($I1229)-LEN(SUBSTITUTE($I1229," Ltd","")))/LEN(" Ltd")),0)</f>
        <v/>
      </c>
      <c r="AB1228" s="122">
        <f>IFERROR(IFERROR((LEN($T1229)-LEN(SUBSTITUTE($T1229,"Quality of Works / Criteria of Failings:Compliant","")))/LEN("Quality of Works / Criteria of Failings:Compliant"),0)/MAX(1,(LEN($I1229)-LEN(SUBSTITUTE($I1229," Ltd","")))/LEN(" Ltd")),0)</f>
        <v/>
      </c>
    </row>
    <row r="1229" ht="15" customHeight="1" s="146">
      <c r="Y1229" s="122">
        <f>MAX(0,IFERROR((LEN($T1230)-LEN(SUBSTITUTE($T1230,"Quality of Works / Criteria of Failings:","")))/LEN("Quality of Works / Criteria of Failings:"),0)-IFERROR((LEN($T1230)-LEN(SUBSTITUTE($T1230,"Quality of Works / Criteria of Failings:Compliant","")))/LEN("Quality of Works / Criteria of Failings:Compliant"),0))</f>
        <v/>
      </c>
      <c r="Z1229" s="122">
        <f>IFERROR($Y1230/MAX(1,(LEN($I1230)-LEN(SUBSTITUTE($I1230," Ltd","")))/LEN(" Ltd")),0)</f>
        <v/>
      </c>
      <c r="AA1229" s="122">
        <f>IFERROR(IFERROR((LEN($T1230)-LEN(SUBSTITUTE($T1230,"Quality of Works / Criteria of Failings:","")))/LEN("Quality of Works / Criteria of Failings:"),0)/MAX(1,(LEN($I1230)-LEN(SUBSTITUTE($I1230," Ltd","")))/LEN(" Ltd")),0)</f>
        <v/>
      </c>
      <c r="AB1229" s="122">
        <f>IFERROR(IFERROR((LEN($T1230)-LEN(SUBSTITUTE($T1230,"Quality of Works / Criteria of Failings:Compliant","")))/LEN("Quality of Works / Criteria of Failings:Compliant"),0)/MAX(1,(LEN($I1230)-LEN(SUBSTITUTE($I1230," Ltd","")))/LEN(" Ltd")),0)</f>
        <v/>
      </c>
    </row>
    <row r="1230" ht="15" customHeight="1" s="146">
      <c r="Y1230" s="122">
        <f>MAX(0,IFERROR((LEN($T1231)-LEN(SUBSTITUTE($T1231,"Quality of Works / Criteria of Failings:","")))/LEN("Quality of Works / Criteria of Failings:"),0)-IFERROR((LEN($T1231)-LEN(SUBSTITUTE($T1231,"Quality of Works / Criteria of Failings:Compliant","")))/LEN("Quality of Works / Criteria of Failings:Compliant"),0))</f>
        <v/>
      </c>
      <c r="Z1230" s="122">
        <f>IFERROR($Y1231/MAX(1,(LEN($I1231)-LEN(SUBSTITUTE($I1231," Ltd","")))/LEN(" Ltd")),0)</f>
        <v/>
      </c>
      <c r="AA1230" s="122">
        <f>IFERROR(IFERROR((LEN($T1231)-LEN(SUBSTITUTE($T1231,"Quality of Works / Criteria of Failings:","")))/LEN("Quality of Works / Criteria of Failings:"),0)/MAX(1,(LEN($I1231)-LEN(SUBSTITUTE($I1231," Ltd","")))/LEN(" Ltd")),0)</f>
        <v/>
      </c>
      <c r="AB1230" s="122">
        <f>IFERROR(IFERROR((LEN($T1231)-LEN(SUBSTITUTE($T1231,"Quality of Works / Criteria of Failings:Compliant","")))/LEN("Quality of Works / Criteria of Failings:Compliant"),0)/MAX(1,(LEN($I1231)-LEN(SUBSTITUTE($I1231," Ltd","")))/LEN(" Ltd")),0)</f>
        <v/>
      </c>
    </row>
    <row r="1231" ht="15" customHeight="1" s="146">
      <c r="Y1231" s="122">
        <f>MAX(0,IFERROR((LEN($T1232)-LEN(SUBSTITUTE($T1232,"Quality of Works / Criteria of Failings:","")))/LEN("Quality of Works / Criteria of Failings:"),0)-IFERROR((LEN($T1232)-LEN(SUBSTITUTE($T1232,"Quality of Works / Criteria of Failings:Compliant","")))/LEN("Quality of Works / Criteria of Failings:Compliant"),0))</f>
        <v/>
      </c>
      <c r="Z1231" s="122">
        <f>IFERROR($Y1232/MAX(1,(LEN($I1232)-LEN(SUBSTITUTE($I1232," Ltd","")))/LEN(" Ltd")),0)</f>
        <v/>
      </c>
      <c r="AA1231" s="122">
        <f>IFERROR(IFERROR((LEN($T1232)-LEN(SUBSTITUTE($T1232,"Quality of Works / Criteria of Failings:","")))/LEN("Quality of Works / Criteria of Failings:"),0)/MAX(1,(LEN($I1232)-LEN(SUBSTITUTE($I1232," Ltd","")))/LEN(" Ltd")),0)</f>
        <v/>
      </c>
      <c r="AB1231" s="122">
        <f>IFERROR(IFERROR((LEN($T1232)-LEN(SUBSTITUTE($T1232,"Quality of Works / Criteria of Failings:Compliant","")))/LEN("Quality of Works / Criteria of Failings:Compliant"),0)/MAX(1,(LEN($I1232)-LEN(SUBSTITUTE($I1232," Ltd","")))/LEN(" Ltd")),0)</f>
        <v/>
      </c>
    </row>
    <row r="1232" ht="15" customHeight="1" s="146">
      <c r="Y1232" s="122">
        <f>MAX(0,IFERROR((LEN($T1233)-LEN(SUBSTITUTE($T1233,"Quality of Works / Criteria of Failings:","")))/LEN("Quality of Works / Criteria of Failings:"),0)-IFERROR((LEN($T1233)-LEN(SUBSTITUTE($T1233,"Quality of Works / Criteria of Failings:Compliant","")))/LEN("Quality of Works / Criteria of Failings:Compliant"),0))</f>
        <v/>
      </c>
      <c r="Z1232" s="122">
        <f>IFERROR($Y1233/MAX(1,(LEN($I1233)-LEN(SUBSTITUTE($I1233," Ltd","")))/LEN(" Ltd")),0)</f>
        <v/>
      </c>
      <c r="AA1232" s="122">
        <f>IFERROR(IFERROR((LEN($T1233)-LEN(SUBSTITUTE($T1233,"Quality of Works / Criteria of Failings:","")))/LEN("Quality of Works / Criteria of Failings:"),0)/MAX(1,(LEN($I1233)-LEN(SUBSTITUTE($I1233," Ltd","")))/LEN(" Ltd")),0)</f>
        <v/>
      </c>
      <c r="AB1232" s="122">
        <f>IFERROR(IFERROR((LEN($T1233)-LEN(SUBSTITUTE($T1233,"Quality of Works / Criteria of Failings:Compliant","")))/LEN("Quality of Works / Criteria of Failings:Compliant"),0)/MAX(1,(LEN($I1233)-LEN(SUBSTITUTE($I1233," Ltd","")))/LEN(" Ltd")),0)</f>
        <v/>
      </c>
    </row>
    <row r="1233" ht="15" customHeight="1" s="146">
      <c r="Y1233" s="122">
        <f>MAX(0,IFERROR((LEN($T1234)-LEN(SUBSTITUTE($T1234,"Quality of Works / Criteria of Failings:","")))/LEN("Quality of Works / Criteria of Failings:"),0)-IFERROR((LEN($T1234)-LEN(SUBSTITUTE($T1234,"Quality of Works / Criteria of Failings:Compliant","")))/LEN("Quality of Works / Criteria of Failings:Compliant"),0))</f>
        <v/>
      </c>
      <c r="Z1233" s="122">
        <f>IFERROR($Y1234/MAX(1,(LEN($I1234)-LEN(SUBSTITUTE($I1234," Ltd","")))/LEN(" Ltd")),0)</f>
        <v/>
      </c>
      <c r="AA1233" s="122">
        <f>IFERROR(IFERROR((LEN($T1234)-LEN(SUBSTITUTE($T1234,"Quality of Works / Criteria of Failings:","")))/LEN("Quality of Works / Criteria of Failings:"),0)/MAX(1,(LEN($I1234)-LEN(SUBSTITUTE($I1234," Ltd","")))/LEN(" Ltd")),0)</f>
        <v/>
      </c>
      <c r="AB1233" s="122">
        <f>IFERROR(IFERROR((LEN($T1234)-LEN(SUBSTITUTE($T1234,"Quality of Works / Criteria of Failings:Compliant","")))/LEN("Quality of Works / Criteria of Failings:Compliant"),0)/MAX(1,(LEN($I1234)-LEN(SUBSTITUTE($I1234," Ltd","")))/LEN(" Ltd")),0)</f>
        <v/>
      </c>
    </row>
    <row r="1234" ht="15" customHeight="1" s="146">
      <c r="Y1234" s="122">
        <f>MAX(0,IFERROR((LEN($T1235)-LEN(SUBSTITUTE($T1235,"Quality of Works / Criteria of Failings:","")))/LEN("Quality of Works / Criteria of Failings:"),0)-IFERROR((LEN($T1235)-LEN(SUBSTITUTE($T1235,"Quality of Works / Criteria of Failings:Compliant","")))/LEN("Quality of Works / Criteria of Failings:Compliant"),0))</f>
        <v/>
      </c>
      <c r="Z1234" s="122">
        <f>IFERROR($Y1235/MAX(1,(LEN($I1235)-LEN(SUBSTITUTE($I1235," Ltd","")))/LEN(" Ltd")),0)</f>
        <v/>
      </c>
      <c r="AA1234" s="122">
        <f>IFERROR(IFERROR((LEN($T1235)-LEN(SUBSTITUTE($T1235,"Quality of Works / Criteria of Failings:","")))/LEN("Quality of Works / Criteria of Failings:"),0)/MAX(1,(LEN($I1235)-LEN(SUBSTITUTE($I1235," Ltd","")))/LEN(" Ltd")),0)</f>
        <v/>
      </c>
      <c r="AB1234" s="122">
        <f>IFERROR(IFERROR((LEN($T1235)-LEN(SUBSTITUTE($T1235,"Quality of Works / Criteria of Failings:Compliant","")))/LEN("Quality of Works / Criteria of Failings:Compliant"),0)/MAX(1,(LEN($I1235)-LEN(SUBSTITUTE($I1235," Ltd","")))/LEN(" Ltd")),0)</f>
        <v/>
      </c>
    </row>
    <row r="1235" ht="15" customHeight="1" s="146">
      <c r="Y1235" s="122">
        <f>MAX(0,IFERROR((LEN($T1236)-LEN(SUBSTITUTE($T1236,"Quality of Works / Criteria of Failings:","")))/LEN("Quality of Works / Criteria of Failings:"),0)-IFERROR((LEN($T1236)-LEN(SUBSTITUTE($T1236,"Quality of Works / Criteria of Failings:Compliant","")))/LEN("Quality of Works / Criteria of Failings:Compliant"),0))</f>
        <v/>
      </c>
      <c r="Z1235" s="122">
        <f>IFERROR($Y1236/MAX(1,(LEN($I1236)-LEN(SUBSTITUTE($I1236," Ltd","")))/LEN(" Ltd")),0)</f>
        <v/>
      </c>
      <c r="AA1235" s="122">
        <f>IFERROR(IFERROR((LEN($T1236)-LEN(SUBSTITUTE($T1236,"Quality of Works / Criteria of Failings:","")))/LEN("Quality of Works / Criteria of Failings:"),0)/MAX(1,(LEN($I1236)-LEN(SUBSTITUTE($I1236," Ltd","")))/LEN(" Ltd")),0)</f>
        <v/>
      </c>
      <c r="AB1235" s="122">
        <f>IFERROR(IFERROR((LEN($T1236)-LEN(SUBSTITUTE($T1236,"Quality of Works / Criteria of Failings:Compliant","")))/LEN("Quality of Works / Criteria of Failings:Compliant"),0)/MAX(1,(LEN($I1236)-LEN(SUBSTITUTE($I1236," Ltd","")))/LEN(" Ltd")),0)</f>
        <v/>
      </c>
    </row>
    <row r="1236" ht="15" customHeight="1" s="146">
      <c r="Y1236" s="122">
        <f>MAX(0,IFERROR((LEN($T1237)-LEN(SUBSTITUTE($T1237,"Quality of Works / Criteria of Failings:","")))/LEN("Quality of Works / Criteria of Failings:"),0)-IFERROR((LEN($T1237)-LEN(SUBSTITUTE($T1237,"Quality of Works / Criteria of Failings:Compliant","")))/LEN("Quality of Works / Criteria of Failings:Compliant"),0))</f>
        <v/>
      </c>
      <c r="Z1236" s="122">
        <f>IFERROR($Y1237/MAX(1,(LEN($I1237)-LEN(SUBSTITUTE($I1237," Ltd","")))/LEN(" Ltd")),0)</f>
        <v/>
      </c>
      <c r="AA1236" s="122">
        <f>IFERROR(IFERROR((LEN($T1237)-LEN(SUBSTITUTE($T1237,"Quality of Works / Criteria of Failings:","")))/LEN("Quality of Works / Criteria of Failings:"),0)/MAX(1,(LEN($I1237)-LEN(SUBSTITUTE($I1237," Ltd","")))/LEN(" Ltd")),0)</f>
        <v/>
      </c>
      <c r="AB1236" s="122">
        <f>IFERROR(IFERROR((LEN($T1237)-LEN(SUBSTITUTE($T1237,"Quality of Works / Criteria of Failings:Compliant","")))/LEN("Quality of Works / Criteria of Failings:Compliant"),0)/MAX(1,(LEN($I1237)-LEN(SUBSTITUTE($I1237," Ltd","")))/LEN(" Ltd")),0)</f>
        <v/>
      </c>
    </row>
    <row r="1237" ht="15" customHeight="1" s="146">
      <c r="Y1237" s="122">
        <f>MAX(0,IFERROR((LEN($T1238)-LEN(SUBSTITUTE($T1238,"Quality of Works / Criteria of Failings:","")))/LEN("Quality of Works / Criteria of Failings:"),0)-IFERROR((LEN($T1238)-LEN(SUBSTITUTE($T1238,"Quality of Works / Criteria of Failings:Compliant","")))/LEN("Quality of Works / Criteria of Failings:Compliant"),0))</f>
        <v/>
      </c>
      <c r="Z1237" s="122">
        <f>IFERROR($Y1238/MAX(1,(LEN($I1238)-LEN(SUBSTITUTE($I1238," Ltd","")))/LEN(" Ltd")),0)</f>
        <v/>
      </c>
      <c r="AA1237" s="122">
        <f>IFERROR(IFERROR((LEN($T1238)-LEN(SUBSTITUTE($T1238,"Quality of Works / Criteria of Failings:","")))/LEN("Quality of Works / Criteria of Failings:"),0)/MAX(1,(LEN($I1238)-LEN(SUBSTITUTE($I1238," Ltd","")))/LEN(" Ltd")),0)</f>
        <v/>
      </c>
      <c r="AB1237" s="122">
        <f>IFERROR(IFERROR((LEN($T1238)-LEN(SUBSTITUTE($T1238,"Quality of Works / Criteria of Failings:Compliant","")))/LEN("Quality of Works / Criteria of Failings:Compliant"),0)/MAX(1,(LEN($I1238)-LEN(SUBSTITUTE($I1238," Ltd","")))/LEN(" Ltd")),0)</f>
        <v/>
      </c>
    </row>
    <row r="1238" ht="15" customHeight="1" s="146">
      <c r="Y1238" s="122">
        <f>MAX(0,IFERROR((LEN($T1239)-LEN(SUBSTITUTE($T1239,"Quality of Works / Criteria of Failings:","")))/LEN("Quality of Works / Criteria of Failings:"),0)-IFERROR((LEN($T1239)-LEN(SUBSTITUTE($T1239,"Quality of Works / Criteria of Failings:Compliant","")))/LEN("Quality of Works / Criteria of Failings:Compliant"),0))</f>
        <v/>
      </c>
      <c r="Z1238" s="122">
        <f>IFERROR($Y1239/MAX(1,(LEN($I1239)-LEN(SUBSTITUTE($I1239," Ltd","")))/LEN(" Ltd")),0)</f>
        <v/>
      </c>
      <c r="AA1238" s="122">
        <f>IFERROR(IFERROR((LEN($T1239)-LEN(SUBSTITUTE($T1239,"Quality of Works / Criteria of Failings:","")))/LEN("Quality of Works / Criteria of Failings:"),0)/MAX(1,(LEN($I1239)-LEN(SUBSTITUTE($I1239," Ltd","")))/LEN(" Ltd")),0)</f>
        <v/>
      </c>
      <c r="AB1238" s="122">
        <f>IFERROR(IFERROR((LEN($T1239)-LEN(SUBSTITUTE($T1239,"Quality of Works / Criteria of Failings:Compliant","")))/LEN("Quality of Works / Criteria of Failings:Compliant"),0)/MAX(1,(LEN($I1239)-LEN(SUBSTITUTE($I1239," Ltd","")))/LEN(" Ltd")),0)</f>
        <v/>
      </c>
    </row>
    <row r="1239" ht="15" customHeight="1" s="146">
      <c r="Y1239" s="122">
        <f>MAX(0,IFERROR((LEN($T1240)-LEN(SUBSTITUTE($T1240,"Quality of Works / Criteria of Failings:","")))/LEN("Quality of Works / Criteria of Failings:"),0)-IFERROR((LEN($T1240)-LEN(SUBSTITUTE($T1240,"Quality of Works / Criteria of Failings:Compliant","")))/LEN("Quality of Works / Criteria of Failings:Compliant"),0))</f>
        <v/>
      </c>
      <c r="Z1239" s="122">
        <f>IFERROR($Y1240/MAX(1,(LEN($I1240)-LEN(SUBSTITUTE($I1240," Ltd","")))/LEN(" Ltd")),0)</f>
        <v/>
      </c>
      <c r="AA1239" s="122">
        <f>IFERROR(IFERROR((LEN($T1240)-LEN(SUBSTITUTE($T1240,"Quality of Works / Criteria of Failings:","")))/LEN("Quality of Works / Criteria of Failings:"),0)/MAX(1,(LEN($I1240)-LEN(SUBSTITUTE($I1240," Ltd","")))/LEN(" Ltd")),0)</f>
        <v/>
      </c>
      <c r="AB1239" s="122">
        <f>IFERROR(IFERROR((LEN($T1240)-LEN(SUBSTITUTE($T1240,"Quality of Works / Criteria of Failings:Compliant","")))/LEN("Quality of Works / Criteria of Failings:Compliant"),0)/MAX(1,(LEN($I1240)-LEN(SUBSTITUTE($I1240," Ltd","")))/LEN(" Ltd")),0)</f>
        <v/>
      </c>
    </row>
    <row r="1240" ht="15" customHeight="1" s="146">
      <c r="Y1240" s="122">
        <f>MAX(0,IFERROR((LEN($T1241)-LEN(SUBSTITUTE($T1241,"Quality of Works / Criteria of Failings:","")))/LEN("Quality of Works / Criteria of Failings:"),0)-IFERROR((LEN($T1241)-LEN(SUBSTITUTE($T1241,"Quality of Works / Criteria of Failings:Compliant","")))/LEN("Quality of Works / Criteria of Failings:Compliant"),0))</f>
        <v/>
      </c>
      <c r="Z1240" s="122">
        <f>IFERROR($Y1241/MAX(1,(LEN($I1241)-LEN(SUBSTITUTE($I1241," Ltd","")))/LEN(" Ltd")),0)</f>
        <v/>
      </c>
      <c r="AA1240" s="122">
        <f>IFERROR(IFERROR((LEN($T1241)-LEN(SUBSTITUTE($T1241,"Quality of Works / Criteria of Failings:","")))/LEN("Quality of Works / Criteria of Failings:"),0)/MAX(1,(LEN($I1241)-LEN(SUBSTITUTE($I1241," Ltd","")))/LEN(" Ltd")),0)</f>
        <v/>
      </c>
      <c r="AB1240" s="122">
        <f>IFERROR(IFERROR((LEN($T1241)-LEN(SUBSTITUTE($T1241,"Quality of Works / Criteria of Failings:Compliant","")))/LEN("Quality of Works / Criteria of Failings:Compliant"),0)/MAX(1,(LEN($I1241)-LEN(SUBSTITUTE($I1241," Ltd","")))/LEN(" Ltd")),0)</f>
        <v/>
      </c>
    </row>
    <row r="1241" ht="15" customHeight="1" s="146">
      <c r="Y1241" s="122">
        <f>MAX(0,IFERROR((LEN($T1242)-LEN(SUBSTITUTE($T1242,"Quality of Works / Criteria of Failings:","")))/LEN("Quality of Works / Criteria of Failings:"),0)-IFERROR((LEN($T1242)-LEN(SUBSTITUTE($T1242,"Quality of Works / Criteria of Failings:Compliant","")))/LEN("Quality of Works / Criteria of Failings:Compliant"),0))</f>
        <v/>
      </c>
      <c r="Z1241" s="122">
        <f>IFERROR($Y1242/MAX(1,(LEN($I1242)-LEN(SUBSTITUTE($I1242," Ltd","")))/LEN(" Ltd")),0)</f>
        <v/>
      </c>
      <c r="AA1241" s="122">
        <f>IFERROR(IFERROR((LEN($T1242)-LEN(SUBSTITUTE($T1242,"Quality of Works / Criteria of Failings:","")))/LEN("Quality of Works / Criteria of Failings:"),0)/MAX(1,(LEN($I1242)-LEN(SUBSTITUTE($I1242," Ltd","")))/LEN(" Ltd")),0)</f>
        <v/>
      </c>
      <c r="AB1241" s="122">
        <f>IFERROR(IFERROR((LEN($T1242)-LEN(SUBSTITUTE($T1242,"Quality of Works / Criteria of Failings:Compliant","")))/LEN("Quality of Works / Criteria of Failings:Compliant"),0)/MAX(1,(LEN($I1242)-LEN(SUBSTITUTE($I1242," Ltd","")))/LEN(" Ltd")),0)</f>
        <v/>
      </c>
    </row>
    <row r="1242" ht="15" customHeight="1" s="146">
      <c r="Y1242" s="122">
        <f>MAX(0,IFERROR((LEN($T1243)-LEN(SUBSTITUTE($T1243,"Quality of Works / Criteria of Failings:","")))/LEN("Quality of Works / Criteria of Failings:"),0)-IFERROR((LEN($T1243)-LEN(SUBSTITUTE($T1243,"Quality of Works / Criteria of Failings:Compliant","")))/LEN("Quality of Works / Criteria of Failings:Compliant"),0))</f>
        <v/>
      </c>
      <c r="Z1242" s="122">
        <f>IFERROR($Y1243/MAX(1,(LEN($I1243)-LEN(SUBSTITUTE($I1243," Ltd","")))/LEN(" Ltd")),0)</f>
        <v/>
      </c>
      <c r="AA1242" s="122">
        <f>IFERROR(IFERROR((LEN($T1243)-LEN(SUBSTITUTE($T1243,"Quality of Works / Criteria of Failings:","")))/LEN("Quality of Works / Criteria of Failings:"),0)/MAX(1,(LEN($I1243)-LEN(SUBSTITUTE($I1243," Ltd","")))/LEN(" Ltd")),0)</f>
        <v/>
      </c>
      <c r="AB1242" s="122">
        <f>IFERROR(IFERROR((LEN($T1243)-LEN(SUBSTITUTE($T1243,"Quality of Works / Criteria of Failings:Compliant","")))/LEN("Quality of Works / Criteria of Failings:Compliant"),0)/MAX(1,(LEN($I1243)-LEN(SUBSTITUTE($I1243," Ltd","")))/LEN(" Ltd")),0)</f>
        <v/>
      </c>
    </row>
    <row r="1243" ht="15" customHeight="1" s="146">
      <c r="Y1243" s="122">
        <f>MAX(0,IFERROR((LEN($T1244)-LEN(SUBSTITUTE($T1244,"Quality of Works / Criteria of Failings:","")))/LEN("Quality of Works / Criteria of Failings:"),0)-IFERROR((LEN($T1244)-LEN(SUBSTITUTE($T1244,"Quality of Works / Criteria of Failings:Compliant","")))/LEN("Quality of Works / Criteria of Failings:Compliant"),0))</f>
        <v/>
      </c>
      <c r="Z1243" s="122">
        <f>IFERROR($Y1244/MAX(1,(LEN($I1244)-LEN(SUBSTITUTE($I1244," Ltd","")))/LEN(" Ltd")),0)</f>
        <v/>
      </c>
      <c r="AA1243" s="122">
        <f>IFERROR(IFERROR((LEN($T1244)-LEN(SUBSTITUTE($T1244,"Quality of Works / Criteria of Failings:","")))/LEN("Quality of Works / Criteria of Failings:"),0)/MAX(1,(LEN($I1244)-LEN(SUBSTITUTE($I1244," Ltd","")))/LEN(" Ltd")),0)</f>
        <v/>
      </c>
      <c r="AB1243" s="122">
        <f>IFERROR(IFERROR((LEN($T1244)-LEN(SUBSTITUTE($T1244,"Quality of Works / Criteria of Failings:Compliant","")))/LEN("Quality of Works / Criteria of Failings:Compliant"),0)/MAX(1,(LEN($I1244)-LEN(SUBSTITUTE($I1244," Ltd","")))/LEN(" Ltd")),0)</f>
        <v/>
      </c>
    </row>
    <row r="1244" ht="15" customHeight="1" s="146">
      <c r="Y1244" s="122">
        <f>MAX(0,IFERROR((LEN($T1245)-LEN(SUBSTITUTE($T1245,"Quality of Works / Criteria of Failings:","")))/LEN("Quality of Works / Criteria of Failings:"),0)-IFERROR((LEN($T1245)-LEN(SUBSTITUTE($T1245,"Quality of Works / Criteria of Failings:Compliant","")))/LEN("Quality of Works / Criteria of Failings:Compliant"),0))</f>
        <v/>
      </c>
      <c r="Z1244" s="122">
        <f>IFERROR($Y1245/MAX(1,(LEN($I1245)-LEN(SUBSTITUTE($I1245," Ltd","")))/LEN(" Ltd")),0)</f>
        <v/>
      </c>
      <c r="AA1244" s="122">
        <f>IFERROR(IFERROR((LEN($T1245)-LEN(SUBSTITUTE($T1245,"Quality of Works / Criteria of Failings:","")))/LEN("Quality of Works / Criteria of Failings:"),0)/MAX(1,(LEN($I1245)-LEN(SUBSTITUTE($I1245," Ltd","")))/LEN(" Ltd")),0)</f>
        <v/>
      </c>
      <c r="AB1244" s="122">
        <f>IFERROR(IFERROR((LEN($T1245)-LEN(SUBSTITUTE($T1245,"Quality of Works / Criteria of Failings:Compliant","")))/LEN("Quality of Works / Criteria of Failings:Compliant"),0)/MAX(1,(LEN($I1245)-LEN(SUBSTITUTE($I1245," Ltd","")))/LEN(" Ltd")),0)</f>
        <v/>
      </c>
    </row>
    <row r="1245" ht="15" customHeight="1" s="146">
      <c r="Y1245" s="122">
        <f>MAX(0,IFERROR((LEN($T1246)-LEN(SUBSTITUTE($T1246,"Quality of Works / Criteria of Failings:","")))/LEN("Quality of Works / Criteria of Failings:"),0)-IFERROR((LEN($T1246)-LEN(SUBSTITUTE($T1246,"Quality of Works / Criteria of Failings:Compliant","")))/LEN("Quality of Works / Criteria of Failings:Compliant"),0))</f>
        <v/>
      </c>
      <c r="Z1245" s="122">
        <f>IFERROR($Y1246/MAX(1,(LEN($I1246)-LEN(SUBSTITUTE($I1246," Ltd","")))/LEN(" Ltd")),0)</f>
        <v/>
      </c>
      <c r="AA1245" s="122">
        <f>IFERROR(IFERROR((LEN($T1246)-LEN(SUBSTITUTE($T1246,"Quality of Works / Criteria of Failings:","")))/LEN("Quality of Works / Criteria of Failings:"),0)/MAX(1,(LEN($I1246)-LEN(SUBSTITUTE($I1246," Ltd","")))/LEN(" Ltd")),0)</f>
        <v/>
      </c>
      <c r="AB1245" s="122">
        <f>IFERROR(IFERROR((LEN($T1246)-LEN(SUBSTITUTE($T1246,"Quality of Works / Criteria of Failings:Compliant","")))/LEN("Quality of Works / Criteria of Failings:Compliant"),0)/MAX(1,(LEN($I1246)-LEN(SUBSTITUTE($I1246," Ltd","")))/LEN(" Ltd")),0)</f>
        <v/>
      </c>
    </row>
    <row r="1246" ht="15" customHeight="1" s="146">
      <c r="Y1246" s="122">
        <f>MAX(0,IFERROR((LEN($T1247)-LEN(SUBSTITUTE($T1247,"Quality of Works / Criteria of Failings:","")))/LEN("Quality of Works / Criteria of Failings:"),0)-IFERROR((LEN($T1247)-LEN(SUBSTITUTE($T1247,"Quality of Works / Criteria of Failings:Compliant","")))/LEN("Quality of Works / Criteria of Failings:Compliant"),0))</f>
        <v/>
      </c>
      <c r="Z1246" s="122">
        <f>IFERROR($Y1247/MAX(1,(LEN($I1247)-LEN(SUBSTITUTE($I1247," Ltd","")))/LEN(" Ltd")),0)</f>
        <v/>
      </c>
      <c r="AA1246" s="122">
        <f>IFERROR(IFERROR((LEN($T1247)-LEN(SUBSTITUTE($T1247,"Quality of Works / Criteria of Failings:","")))/LEN("Quality of Works / Criteria of Failings:"),0)/MAX(1,(LEN($I1247)-LEN(SUBSTITUTE($I1247," Ltd","")))/LEN(" Ltd")),0)</f>
        <v/>
      </c>
      <c r="AB1246" s="122">
        <f>IFERROR(IFERROR((LEN($T1247)-LEN(SUBSTITUTE($T1247,"Quality of Works / Criteria of Failings:Compliant","")))/LEN("Quality of Works / Criteria of Failings:Compliant"),0)/MAX(1,(LEN($I1247)-LEN(SUBSTITUTE($I1247," Ltd","")))/LEN(" Ltd")),0)</f>
        <v/>
      </c>
    </row>
    <row r="1247" ht="15" customHeight="1" s="146">
      <c r="Y1247" s="122">
        <f>MAX(0,IFERROR((LEN($T1248)-LEN(SUBSTITUTE($T1248,"Quality of Works / Criteria of Failings:","")))/LEN("Quality of Works / Criteria of Failings:"),0)-IFERROR((LEN($T1248)-LEN(SUBSTITUTE($T1248,"Quality of Works / Criteria of Failings:Compliant","")))/LEN("Quality of Works / Criteria of Failings:Compliant"),0))</f>
        <v/>
      </c>
      <c r="Z1247" s="122">
        <f>IFERROR($Y1248/MAX(1,(LEN($I1248)-LEN(SUBSTITUTE($I1248," Ltd","")))/LEN(" Ltd")),0)</f>
        <v/>
      </c>
      <c r="AA1247" s="122">
        <f>IFERROR(IFERROR((LEN($T1248)-LEN(SUBSTITUTE($T1248,"Quality of Works / Criteria of Failings:","")))/LEN("Quality of Works / Criteria of Failings:"),0)/MAX(1,(LEN($I1248)-LEN(SUBSTITUTE($I1248," Ltd","")))/LEN(" Ltd")),0)</f>
        <v/>
      </c>
      <c r="AB1247" s="122">
        <f>IFERROR(IFERROR((LEN($T1248)-LEN(SUBSTITUTE($T1248,"Quality of Works / Criteria of Failings:Compliant","")))/LEN("Quality of Works / Criteria of Failings:Compliant"),0)/MAX(1,(LEN($I1248)-LEN(SUBSTITUTE($I1248," Ltd","")))/LEN(" Ltd")),0)</f>
        <v/>
      </c>
    </row>
    <row r="1248" ht="15" customHeight="1" s="146">
      <c r="Y1248" s="122">
        <f>MAX(0,IFERROR((LEN($T1249)-LEN(SUBSTITUTE($T1249,"Quality of Works / Criteria of Failings:","")))/LEN("Quality of Works / Criteria of Failings:"),0)-IFERROR((LEN($T1249)-LEN(SUBSTITUTE($T1249,"Quality of Works / Criteria of Failings:Compliant","")))/LEN("Quality of Works / Criteria of Failings:Compliant"),0))</f>
        <v/>
      </c>
      <c r="Z1248" s="122">
        <f>IFERROR($Y1249/MAX(1,(LEN($I1249)-LEN(SUBSTITUTE($I1249," Ltd","")))/LEN(" Ltd")),0)</f>
        <v/>
      </c>
      <c r="AA1248" s="122">
        <f>IFERROR(IFERROR((LEN($T1249)-LEN(SUBSTITUTE($T1249,"Quality of Works / Criteria of Failings:","")))/LEN("Quality of Works / Criteria of Failings:"),0)/MAX(1,(LEN($I1249)-LEN(SUBSTITUTE($I1249," Ltd","")))/LEN(" Ltd")),0)</f>
        <v/>
      </c>
      <c r="AB1248" s="122">
        <f>IFERROR(IFERROR((LEN($T1249)-LEN(SUBSTITUTE($T1249,"Quality of Works / Criteria of Failings:Compliant","")))/LEN("Quality of Works / Criteria of Failings:Compliant"),0)/MAX(1,(LEN($I1249)-LEN(SUBSTITUTE($I1249," Ltd","")))/LEN(" Ltd")),0)</f>
        <v/>
      </c>
    </row>
    <row r="1249" ht="15" customHeight="1" s="146">
      <c r="Y1249" s="122">
        <f>MAX(0,IFERROR((LEN($T1250)-LEN(SUBSTITUTE($T1250,"Quality of Works / Criteria of Failings:","")))/LEN("Quality of Works / Criteria of Failings:"),0)-IFERROR((LEN($T1250)-LEN(SUBSTITUTE($T1250,"Quality of Works / Criteria of Failings:Compliant","")))/LEN("Quality of Works / Criteria of Failings:Compliant"),0))</f>
        <v/>
      </c>
      <c r="Z1249" s="122">
        <f>IFERROR($Y1250/MAX(1,(LEN($I1250)-LEN(SUBSTITUTE($I1250," Ltd","")))/LEN(" Ltd")),0)</f>
        <v/>
      </c>
      <c r="AA1249" s="122">
        <f>IFERROR(IFERROR((LEN($T1250)-LEN(SUBSTITUTE($T1250,"Quality of Works / Criteria of Failings:","")))/LEN("Quality of Works / Criteria of Failings:"),0)/MAX(1,(LEN($I1250)-LEN(SUBSTITUTE($I1250," Ltd","")))/LEN(" Ltd")),0)</f>
        <v/>
      </c>
      <c r="AB1249" s="122">
        <f>IFERROR(IFERROR((LEN($T1250)-LEN(SUBSTITUTE($T1250,"Quality of Works / Criteria of Failings:Compliant","")))/LEN("Quality of Works / Criteria of Failings:Compliant"),0)/MAX(1,(LEN($I1250)-LEN(SUBSTITUTE($I1250," Ltd","")))/LEN(" Ltd")),0)</f>
        <v/>
      </c>
    </row>
    <row r="1250" ht="15" customHeight="1" s="146">
      <c r="Y1250" s="122">
        <f>MAX(0,IFERROR((LEN($T1251)-LEN(SUBSTITUTE($T1251,"Quality of Works / Criteria of Failings:","")))/LEN("Quality of Works / Criteria of Failings:"),0)-IFERROR((LEN($T1251)-LEN(SUBSTITUTE($T1251,"Quality of Works / Criteria of Failings:Compliant","")))/LEN("Quality of Works / Criteria of Failings:Compliant"),0))</f>
        <v/>
      </c>
      <c r="Z1250" s="122">
        <f>IFERROR($Y1251/MAX(1,(LEN($I1251)-LEN(SUBSTITUTE($I1251," Ltd","")))/LEN(" Ltd")),0)</f>
        <v/>
      </c>
      <c r="AA1250" s="122">
        <f>IFERROR(IFERROR((LEN($T1251)-LEN(SUBSTITUTE($T1251,"Quality of Works / Criteria of Failings:","")))/LEN("Quality of Works / Criteria of Failings:"),0)/MAX(1,(LEN($I1251)-LEN(SUBSTITUTE($I1251," Ltd","")))/LEN(" Ltd")),0)</f>
        <v/>
      </c>
      <c r="AB1250" s="122">
        <f>IFERROR(IFERROR((LEN($T1251)-LEN(SUBSTITUTE($T1251,"Quality of Works / Criteria of Failings:Compliant","")))/LEN("Quality of Works / Criteria of Failings:Compliant"),0)/MAX(1,(LEN($I1251)-LEN(SUBSTITUTE($I1251," Ltd","")))/LEN(" Ltd")),0)</f>
        <v/>
      </c>
    </row>
    <row r="1251" ht="15" customHeight="1" s="146">
      <c r="Y1251" s="122">
        <f>MAX(0,IFERROR((LEN($T1252)-LEN(SUBSTITUTE($T1252,"Quality of Works / Criteria of Failings:","")))/LEN("Quality of Works / Criteria of Failings:"),0)-IFERROR((LEN($T1252)-LEN(SUBSTITUTE($T1252,"Quality of Works / Criteria of Failings:Compliant","")))/LEN("Quality of Works / Criteria of Failings:Compliant"),0))</f>
        <v/>
      </c>
      <c r="Z1251" s="122">
        <f>IFERROR($Y1252/MAX(1,(LEN($I1252)-LEN(SUBSTITUTE($I1252," Ltd","")))/LEN(" Ltd")),0)</f>
        <v/>
      </c>
      <c r="AA1251" s="122">
        <f>IFERROR(IFERROR((LEN($T1252)-LEN(SUBSTITUTE($T1252,"Quality of Works / Criteria of Failings:","")))/LEN("Quality of Works / Criteria of Failings:"),0)/MAX(1,(LEN($I1252)-LEN(SUBSTITUTE($I1252," Ltd","")))/LEN(" Ltd")),0)</f>
        <v/>
      </c>
      <c r="AB1251" s="122">
        <f>IFERROR(IFERROR((LEN($T1252)-LEN(SUBSTITUTE($T1252,"Quality of Works / Criteria of Failings:Compliant","")))/LEN("Quality of Works / Criteria of Failings:Compliant"),0)/MAX(1,(LEN($I1252)-LEN(SUBSTITUTE($I1252," Ltd","")))/LEN(" Ltd")),0)</f>
        <v/>
      </c>
    </row>
    <row r="1252" ht="15" customHeight="1" s="146">
      <c r="Y1252" s="122">
        <f>MAX(0,IFERROR((LEN($T1253)-LEN(SUBSTITUTE($T1253,"Quality of Works / Criteria of Failings:","")))/LEN("Quality of Works / Criteria of Failings:"),0)-IFERROR((LEN($T1253)-LEN(SUBSTITUTE($T1253,"Quality of Works / Criteria of Failings:Compliant","")))/LEN("Quality of Works / Criteria of Failings:Compliant"),0))</f>
        <v/>
      </c>
      <c r="Z1252" s="122">
        <f>IFERROR($Y1253/MAX(1,(LEN($I1253)-LEN(SUBSTITUTE($I1253," Ltd","")))/LEN(" Ltd")),0)</f>
        <v/>
      </c>
      <c r="AA1252" s="122">
        <f>IFERROR(IFERROR((LEN($T1253)-LEN(SUBSTITUTE($T1253,"Quality of Works / Criteria of Failings:","")))/LEN("Quality of Works / Criteria of Failings:"),0)/MAX(1,(LEN($I1253)-LEN(SUBSTITUTE($I1253," Ltd","")))/LEN(" Ltd")),0)</f>
        <v/>
      </c>
      <c r="AB1252" s="122">
        <f>IFERROR(IFERROR((LEN($T1253)-LEN(SUBSTITUTE($T1253,"Quality of Works / Criteria of Failings:Compliant","")))/LEN("Quality of Works / Criteria of Failings:Compliant"),0)/MAX(1,(LEN($I1253)-LEN(SUBSTITUTE($I1253," Ltd","")))/LEN(" Ltd")),0)</f>
        <v/>
      </c>
    </row>
    <row r="1253" ht="15" customHeight="1" s="146">
      <c r="Y1253" s="122">
        <f>MAX(0,IFERROR((LEN($T1254)-LEN(SUBSTITUTE($T1254,"Quality of Works / Criteria of Failings:","")))/LEN("Quality of Works / Criteria of Failings:"),0)-IFERROR((LEN($T1254)-LEN(SUBSTITUTE($T1254,"Quality of Works / Criteria of Failings:Compliant","")))/LEN("Quality of Works / Criteria of Failings:Compliant"),0))</f>
        <v/>
      </c>
      <c r="Z1253" s="122">
        <f>IFERROR($Y1254/MAX(1,(LEN($I1254)-LEN(SUBSTITUTE($I1254," Ltd","")))/LEN(" Ltd")),0)</f>
        <v/>
      </c>
      <c r="AA1253" s="122">
        <f>IFERROR(IFERROR((LEN($T1254)-LEN(SUBSTITUTE($T1254,"Quality of Works / Criteria of Failings:","")))/LEN("Quality of Works / Criteria of Failings:"),0)/MAX(1,(LEN($I1254)-LEN(SUBSTITUTE($I1254," Ltd","")))/LEN(" Ltd")),0)</f>
        <v/>
      </c>
      <c r="AB1253" s="122">
        <f>IFERROR(IFERROR((LEN($T1254)-LEN(SUBSTITUTE($T1254,"Quality of Works / Criteria of Failings:Compliant","")))/LEN("Quality of Works / Criteria of Failings:Compliant"),0)/MAX(1,(LEN($I1254)-LEN(SUBSTITUTE($I1254," Ltd","")))/LEN(" Ltd")),0)</f>
        <v/>
      </c>
    </row>
    <row r="1254" ht="15" customHeight="1" s="146">
      <c r="Y1254" s="122">
        <f>MAX(0,IFERROR((LEN($T1255)-LEN(SUBSTITUTE($T1255,"Quality of Works / Criteria of Failings:","")))/LEN("Quality of Works / Criteria of Failings:"),0)-IFERROR((LEN($T1255)-LEN(SUBSTITUTE($T1255,"Quality of Works / Criteria of Failings:Compliant","")))/LEN("Quality of Works / Criteria of Failings:Compliant"),0))</f>
        <v/>
      </c>
      <c r="Z1254" s="122">
        <f>IFERROR($Y1255/MAX(1,(LEN($I1255)-LEN(SUBSTITUTE($I1255," Ltd","")))/LEN(" Ltd")),0)</f>
        <v/>
      </c>
      <c r="AA1254" s="122">
        <f>IFERROR(IFERROR((LEN($T1255)-LEN(SUBSTITUTE($T1255,"Quality of Works / Criteria of Failings:","")))/LEN("Quality of Works / Criteria of Failings:"),0)/MAX(1,(LEN($I1255)-LEN(SUBSTITUTE($I1255," Ltd","")))/LEN(" Ltd")),0)</f>
        <v/>
      </c>
      <c r="AB1254" s="122">
        <f>IFERROR(IFERROR((LEN($T1255)-LEN(SUBSTITUTE($T1255,"Quality of Works / Criteria of Failings:Compliant","")))/LEN("Quality of Works / Criteria of Failings:Compliant"),0)/MAX(1,(LEN($I1255)-LEN(SUBSTITUTE($I1255," Ltd","")))/LEN(" Ltd")),0)</f>
        <v/>
      </c>
    </row>
    <row r="1255" ht="15" customHeight="1" s="146">
      <c r="Y1255" s="122">
        <f>MAX(0,IFERROR((LEN($T1256)-LEN(SUBSTITUTE($T1256,"Quality of Works / Criteria of Failings:","")))/LEN("Quality of Works / Criteria of Failings:"),0)-IFERROR((LEN($T1256)-LEN(SUBSTITUTE($T1256,"Quality of Works / Criteria of Failings:Compliant","")))/LEN("Quality of Works / Criteria of Failings:Compliant"),0))</f>
        <v/>
      </c>
      <c r="Z1255" s="122">
        <f>IFERROR($Y1256/MAX(1,(LEN($I1256)-LEN(SUBSTITUTE($I1256," Ltd","")))/LEN(" Ltd")),0)</f>
        <v/>
      </c>
      <c r="AA1255" s="122">
        <f>IFERROR(IFERROR((LEN($T1256)-LEN(SUBSTITUTE($T1256,"Quality of Works / Criteria of Failings:","")))/LEN("Quality of Works / Criteria of Failings:"),0)/MAX(1,(LEN($I1256)-LEN(SUBSTITUTE($I1256," Ltd","")))/LEN(" Ltd")),0)</f>
        <v/>
      </c>
      <c r="AB1255" s="122">
        <f>IFERROR(IFERROR((LEN($T1256)-LEN(SUBSTITUTE($T1256,"Quality of Works / Criteria of Failings:Compliant","")))/LEN("Quality of Works / Criteria of Failings:Compliant"),0)/MAX(1,(LEN($I1256)-LEN(SUBSTITUTE($I1256," Ltd","")))/LEN(" Ltd")),0)</f>
        <v/>
      </c>
    </row>
    <row r="1256" ht="15" customHeight="1" s="146">
      <c r="Y1256" s="122">
        <f>MAX(0,IFERROR((LEN($T1257)-LEN(SUBSTITUTE($T1257,"Quality of Works / Criteria of Failings:","")))/LEN("Quality of Works / Criteria of Failings:"),0)-IFERROR((LEN($T1257)-LEN(SUBSTITUTE($T1257,"Quality of Works / Criteria of Failings:Compliant","")))/LEN("Quality of Works / Criteria of Failings:Compliant"),0))</f>
        <v/>
      </c>
      <c r="Z1256" s="122">
        <f>IFERROR($Y1257/MAX(1,(LEN($I1257)-LEN(SUBSTITUTE($I1257," Ltd","")))/LEN(" Ltd")),0)</f>
        <v/>
      </c>
      <c r="AA1256" s="122">
        <f>IFERROR(IFERROR((LEN($T1257)-LEN(SUBSTITUTE($T1257,"Quality of Works / Criteria of Failings:","")))/LEN("Quality of Works / Criteria of Failings:"),0)/MAX(1,(LEN($I1257)-LEN(SUBSTITUTE($I1257," Ltd","")))/LEN(" Ltd")),0)</f>
        <v/>
      </c>
      <c r="AB1256" s="122">
        <f>IFERROR(IFERROR((LEN($T1257)-LEN(SUBSTITUTE($T1257,"Quality of Works / Criteria of Failings:Compliant","")))/LEN("Quality of Works / Criteria of Failings:Compliant"),0)/MAX(1,(LEN($I1257)-LEN(SUBSTITUTE($I1257," Ltd","")))/LEN(" Ltd")),0)</f>
        <v/>
      </c>
    </row>
    <row r="1257" ht="15" customHeight="1" s="146">
      <c r="Y1257" s="122">
        <f>MAX(0,IFERROR((LEN($T1258)-LEN(SUBSTITUTE($T1258,"Quality of Works / Criteria of Failings:","")))/LEN("Quality of Works / Criteria of Failings:"),0)-IFERROR((LEN($T1258)-LEN(SUBSTITUTE($T1258,"Quality of Works / Criteria of Failings:Compliant","")))/LEN("Quality of Works / Criteria of Failings:Compliant"),0))</f>
        <v/>
      </c>
      <c r="Z1257" s="122">
        <f>IFERROR($Y1258/MAX(1,(LEN($I1258)-LEN(SUBSTITUTE($I1258," Ltd","")))/LEN(" Ltd")),0)</f>
        <v/>
      </c>
      <c r="AA1257" s="122">
        <f>IFERROR(IFERROR((LEN($T1258)-LEN(SUBSTITUTE($T1258,"Quality of Works / Criteria of Failings:","")))/LEN("Quality of Works / Criteria of Failings:"),0)/MAX(1,(LEN($I1258)-LEN(SUBSTITUTE($I1258," Ltd","")))/LEN(" Ltd")),0)</f>
        <v/>
      </c>
      <c r="AB1257" s="122">
        <f>IFERROR(IFERROR((LEN($T1258)-LEN(SUBSTITUTE($T1258,"Quality of Works / Criteria of Failings:Compliant","")))/LEN("Quality of Works / Criteria of Failings:Compliant"),0)/MAX(1,(LEN($I1258)-LEN(SUBSTITUTE($I1258," Ltd","")))/LEN(" Ltd")),0)</f>
        <v/>
      </c>
    </row>
    <row r="1258" ht="15" customHeight="1" s="146">
      <c r="Y1258" s="122">
        <f>MAX(0,IFERROR((LEN($T1259)-LEN(SUBSTITUTE($T1259,"Quality of Works / Criteria of Failings:","")))/LEN("Quality of Works / Criteria of Failings:"),0)-IFERROR((LEN($T1259)-LEN(SUBSTITUTE($T1259,"Quality of Works / Criteria of Failings:Compliant","")))/LEN("Quality of Works / Criteria of Failings:Compliant"),0))</f>
        <v/>
      </c>
      <c r="Z1258" s="122">
        <f>IFERROR($Y1259/MAX(1,(LEN($I1259)-LEN(SUBSTITUTE($I1259," Ltd","")))/LEN(" Ltd")),0)</f>
        <v/>
      </c>
      <c r="AA1258" s="122">
        <f>IFERROR(IFERROR((LEN($T1259)-LEN(SUBSTITUTE($T1259,"Quality of Works / Criteria of Failings:","")))/LEN("Quality of Works / Criteria of Failings:"),0)/MAX(1,(LEN($I1259)-LEN(SUBSTITUTE($I1259," Ltd","")))/LEN(" Ltd")),0)</f>
        <v/>
      </c>
      <c r="AB1258" s="122">
        <f>IFERROR(IFERROR((LEN($T1259)-LEN(SUBSTITUTE($T1259,"Quality of Works / Criteria of Failings:Compliant","")))/LEN("Quality of Works / Criteria of Failings:Compliant"),0)/MAX(1,(LEN($I1259)-LEN(SUBSTITUTE($I1259," Ltd","")))/LEN(" Ltd")),0)</f>
        <v/>
      </c>
    </row>
    <row r="1259" ht="15" customHeight="1" s="146">
      <c r="Y1259" s="122">
        <f>MAX(0,IFERROR((LEN($T1260)-LEN(SUBSTITUTE($T1260,"Quality of Works / Criteria of Failings:","")))/LEN("Quality of Works / Criteria of Failings:"),0)-IFERROR((LEN($T1260)-LEN(SUBSTITUTE($T1260,"Quality of Works / Criteria of Failings:Compliant","")))/LEN("Quality of Works / Criteria of Failings:Compliant"),0))</f>
        <v/>
      </c>
      <c r="Z1259" s="122">
        <f>IFERROR($Y1260/MAX(1,(LEN($I1260)-LEN(SUBSTITUTE($I1260," Ltd","")))/LEN(" Ltd")),0)</f>
        <v/>
      </c>
      <c r="AA1259" s="122">
        <f>IFERROR(IFERROR((LEN($T1260)-LEN(SUBSTITUTE($T1260,"Quality of Works / Criteria of Failings:","")))/LEN("Quality of Works / Criteria of Failings:"),0)/MAX(1,(LEN($I1260)-LEN(SUBSTITUTE($I1260," Ltd","")))/LEN(" Ltd")),0)</f>
        <v/>
      </c>
      <c r="AB1259" s="122">
        <f>IFERROR(IFERROR((LEN($T1260)-LEN(SUBSTITUTE($T1260,"Quality of Works / Criteria of Failings:Compliant","")))/LEN("Quality of Works / Criteria of Failings:Compliant"),0)/MAX(1,(LEN($I1260)-LEN(SUBSTITUTE($I1260," Ltd","")))/LEN(" Ltd")),0)</f>
        <v/>
      </c>
    </row>
    <row r="1260" ht="15" customHeight="1" s="146">
      <c r="Y1260" s="122">
        <f>MAX(0,IFERROR((LEN($T1261)-LEN(SUBSTITUTE($T1261,"Quality of Works / Criteria of Failings:","")))/LEN("Quality of Works / Criteria of Failings:"),0)-IFERROR((LEN($T1261)-LEN(SUBSTITUTE($T1261,"Quality of Works / Criteria of Failings:Compliant","")))/LEN("Quality of Works / Criteria of Failings:Compliant"),0))</f>
        <v/>
      </c>
      <c r="Z1260" s="122">
        <f>IFERROR($Y1261/MAX(1,(LEN($I1261)-LEN(SUBSTITUTE($I1261," Ltd","")))/LEN(" Ltd")),0)</f>
        <v/>
      </c>
      <c r="AA1260" s="122">
        <f>IFERROR(IFERROR((LEN($T1261)-LEN(SUBSTITUTE($T1261,"Quality of Works / Criteria of Failings:","")))/LEN("Quality of Works / Criteria of Failings:"),0)/MAX(1,(LEN($I1261)-LEN(SUBSTITUTE($I1261," Ltd","")))/LEN(" Ltd")),0)</f>
        <v/>
      </c>
      <c r="AB1260" s="122">
        <f>IFERROR(IFERROR((LEN($T1261)-LEN(SUBSTITUTE($T1261,"Quality of Works / Criteria of Failings:Compliant","")))/LEN("Quality of Works / Criteria of Failings:Compliant"),0)/MAX(1,(LEN($I1261)-LEN(SUBSTITUTE($I1261," Ltd","")))/LEN(" Ltd")),0)</f>
        <v/>
      </c>
    </row>
    <row r="1261" ht="15" customHeight="1" s="146">
      <c r="Y1261" s="122">
        <f>MAX(0,IFERROR((LEN($T1262)-LEN(SUBSTITUTE($T1262,"Quality of Works / Criteria of Failings:","")))/LEN("Quality of Works / Criteria of Failings:"),0)-IFERROR((LEN($T1262)-LEN(SUBSTITUTE($T1262,"Quality of Works / Criteria of Failings:Compliant","")))/LEN("Quality of Works / Criteria of Failings:Compliant"),0))</f>
        <v/>
      </c>
      <c r="Z1261" s="122">
        <f>IFERROR($Y1262/MAX(1,(LEN($I1262)-LEN(SUBSTITUTE($I1262," Ltd","")))/LEN(" Ltd")),0)</f>
        <v/>
      </c>
      <c r="AA1261" s="122">
        <f>IFERROR(IFERROR((LEN($T1262)-LEN(SUBSTITUTE($T1262,"Quality of Works / Criteria of Failings:","")))/LEN("Quality of Works / Criteria of Failings:"),0)/MAX(1,(LEN($I1262)-LEN(SUBSTITUTE($I1262," Ltd","")))/LEN(" Ltd")),0)</f>
        <v/>
      </c>
      <c r="AB1261" s="122">
        <f>IFERROR(IFERROR((LEN($T1262)-LEN(SUBSTITUTE($T1262,"Quality of Works / Criteria of Failings:Compliant","")))/LEN("Quality of Works / Criteria of Failings:Compliant"),0)/MAX(1,(LEN($I1262)-LEN(SUBSTITUTE($I1262," Ltd","")))/LEN(" Ltd")),0)</f>
        <v/>
      </c>
    </row>
    <row r="1262" ht="15" customHeight="1" s="146">
      <c r="Y1262" s="122">
        <f>MAX(0,IFERROR((LEN($T1263)-LEN(SUBSTITUTE($T1263,"Quality of Works / Criteria of Failings:","")))/LEN("Quality of Works / Criteria of Failings:"),0)-IFERROR((LEN($T1263)-LEN(SUBSTITUTE($T1263,"Quality of Works / Criteria of Failings:Compliant","")))/LEN("Quality of Works / Criteria of Failings:Compliant"),0))</f>
        <v/>
      </c>
      <c r="Z1262" s="122">
        <f>IFERROR($Y1263/MAX(1,(LEN($I1263)-LEN(SUBSTITUTE($I1263," Ltd","")))/LEN(" Ltd")),0)</f>
        <v/>
      </c>
      <c r="AA1262" s="122">
        <f>IFERROR(IFERROR((LEN($T1263)-LEN(SUBSTITUTE($T1263,"Quality of Works / Criteria of Failings:","")))/LEN("Quality of Works / Criteria of Failings:"),0)/MAX(1,(LEN($I1263)-LEN(SUBSTITUTE($I1263," Ltd","")))/LEN(" Ltd")),0)</f>
        <v/>
      </c>
      <c r="AB1262" s="122">
        <f>IFERROR(IFERROR((LEN($T1263)-LEN(SUBSTITUTE($T1263,"Quality of Works / Criteria of Failings:Compliant","")))/LEN("Quality of Works / Criteria of Failings:Compliant"),0)/MAX(1,(LEN($I1263)-LEN(SUBSTITUTE($I1263," Ltd","")))/LEN(" Ltd")),0)</f>
        <v/>
      </c>
    </row>
    <row r="1263" ht="15" customHeight="1" s="146">
      <c r="Y1263" s="122">
        <f>MAX(0,IFERROR((LEN($T1264)-LEN(SUBSTITUTE($T1264,"Quality of Works / Criteria of Failings:","")))/LEN("Quality of Works / Criteria of Failings:"),0)-IFERROR((LEN($T1264)-LEN(SUBSTITUTE($T1264,"Quality of Works / Criteria of Failings:Compliant","")))/LEN("Quality of Works / Criteria of Failings:Compliant"),0))</f>
        <v/>
      </c>
      <c r="Z1263" s="122">
        <f>IFERROR($Y1264/MAX(1,(LEN($I1264)-LEN(SUBSTITUTE($I1264," Ltd","")))/LEN(" Ltd")),0)</f>
        <v/>
      </c>
      <c r="AA1263" s="122">
        <f>IFERROR(IFERROR((LEN($T1264)-LEN(SUBSTITUTE($T1264,"Quality of Works / Criteria of Failings:","")))/LEN("Quality of Works / Criteria of Failings:"),0)/MAX(1,(LEN($I1264)-LEN(SUBSTITUTE($I1264," Ltd","")))/LEN(" Ltd")),0)</f>
        <v/>
      </c>
      <c r="AB1263" s="122">
        <f>IFERROR(IFERROR((LEN($T1264)-LEN(SUBSTITUTE($T1264,"Quality of Works / Criteria of Failings:Compliant","")))/LEN("Quality of Works / Criteria of Failings:Compliant"),0)/MAX(1,(LEN($I1264)-LEN(SUBSTITUTE($I1264," Ltd","")))/LEN(" Ltd")),0)</f>
        <v/>
      </c>
    </row>
    <row r="1264" ht="15" customHeight="1" s="146">
      <c r="Y1264" s="122">
        <f>MAX(0,IFERROR((LEN($T1265)-LEN(SUBSTITUTE($T1265,"Quality of Works / Criteria of Failings:","")))/LEN("Quality of Works / Criteria of Failings:"),0)-IFERROR((LEN($T1265)-LEN(SUBSTITUTE($T1265,"Quality of Works / Criteria of Failings:Compliant","")))/LEN("Quality of Works / Criteria of Failings:Compliant"),0))</f>
        <v/>
      </c>
      <c r="Z1264" s="122">
        <f>IFERROR($Y1265/MAX(1,(LEN($I1265)-LEN(SUBSTITUTE($I1265," Ltd","")))/LEN(" Ltd")),0)</f>
        <v/>
      </c>
      <c r="AA1264" s="122">
        <f>IFERROR(IFERROR((LEN($T1265)-LEN(SUBSTITUTE($T1265,"Quality of Works / Criteria of Failings:","")))/LEN("Quality of Works / Criteria of Failings:"),0)/MAX(1,(LEN($I1265)-LEN(SUBSTITUTE($I1265," Ltd","")))/LEN(" Ltd")),0)</f>
        <v/>
      </c>
      <c r="AB1264" s="122">
        <f>IFERROR(IFERROR((LEN($T1265)-LEN(SUBSTITUTE($T1265,"Quality of Works / Criteria of Failings:Compliant","")))/LEN("Quality of Works / Criteria of Failings:Compliant"),0)/MAX(1,(LEN($I1265)-LEN(SUBSTITUTE($I1265," Ltd","")))/LEN(" Ltd")),0)</f>
        <v/>
      </c>
    </row>
    <row r="1265" ht="15" customHeight="1" s="146">
      <c r="Y1265" s="122">
        <f>MAX(0,IFERROR((LEN($T1266)-LEN(SUBSTITUTE($T1266,"Quality of Works / Criteria of Failings:","")))/LEN("Quality of Works / Criteria of Failings:"),0)-IFERROR((LEN($T1266)-LEN(SUBSTITUTE($T1266,"Quality of Works / Criteria of Failings:Compliant","")))/LEN("Quality of Works / Criteria of Failings:Compliant"),0))</f>
        <v/>
      </c>
      <c r="Z1265" s="122">
        <f>IFERROR($Y1266/MAX(1,(LEN($I1266)-LEN(SUBSTITUTE($I1266," Ltd","")))/LEN(" Ltd")),0)</f>
        <v/>
      </c>
      <c r="AA1265" s="122">
        <f>IFERROR(IFERROR((LEN($T1266)-LEN(SUBSTITUTE($T1266,"Quality of Works / Criteria of Failings:","")))/LEN("Quality of Works / Criteria of Failings:"),0)/MAX(1,(LEN($I1266)-LEN(SUBSTITUTE($I1266," Ltd","")))/LEN(" Ltd")),0)</f>
        <v/>
      </c>
      <c r="AB1265" s="122">
        <f>IFERROR(IFERROR((LEN($T1266)-LEN(SUBSTITUTE($T1266,"Quality of Works / Criteria of Failings:Compliant","")))/LEN("Quality of Works / Criteria of Failings:Compliant"),0)/MAX(1,(LEN($I1266)-LEN(SUBSTITUTE($I1266," Ltd","")))/LEN(" Ltd")),0)</f>
        <v/>
      </c>
    </row>
    <row r="1266" ht="15" customHeight="1" s="146">
      <c r="Y1266" s="122">
        <f>MAX(0,IFERROR((LEN($T1267)-LEN(SUBSTITUTE($T1267,"Quality of Works / Criteria of Failings:","")))/LEN("Quality of Works / Criteria of Failings:"),0)-IFERROR((LEN($T1267)-LEN(SUBSTITUTE($T1267,"Quality of Works / Criteria of Failings:Compliant","")))/LEN("Quality of Works / Criteria of Failings:Compliant"),0))</f>
        <v/>
      </c>
      <c r="Z1266" s="122">
        <f>IFERROR($Y1267/MAX(1,(LEN($I1267)-LEN(SUBSTITUTE($I1267," Ltd","")))/LEN(" Ltd")),0)</f>
        <v/>
      </c>
      <c r="AA1266" s="122">
        <f>IFERROR(IFERROR((LEN($T1267)-LEN(SUBSTITUTE($T1267,"Quality of Works / Criteria of Failings:","")))/LEN("Quality of Works / Criteria of Failings:"),0)/MAX(1,(LEN($I1267)-LEN(SUBSTITUTE($I1267," Ltd","")))/LEN(" Ltd")),0)</f>
        <v/>
      </c>
      <c r="AB1266" s="122">
        <f>IFERROR(IFERROR((LEN($T1267)-LEN(SUBSTITUTE($T1267,"Quality of Works / Criteria of Failings:Compliant","")))/LEN("Quality of Works / Criteria of Failings:Compliant"),0)/MAX(1,(LEN($I1267)-LEN(SUBSTITUTE($I1267," Ltd","")))/LEN(" Ltd")),0)</f>
        <v/>
      </c>
    </row>
    <row r="1267" ht="15" customHeight="1" s="146">
      <c r="Y1267" s="122">
        <f>MAX(0,IFERROR((LEN($T1268)-LEN(SUBSTITUTE($T1268,"Quality of Works / Criteria of Failings:","")))/LEN("Quality of Works / Criteria of Failings:"),0)-IFERROR((LEN($T1268)-LEN(SUBSTITUTE($T1268,"Quality of Works / Criteria of Failings:Compliant","")))/LEN("Quality of Works / Criteria of Failings:Compliant"),0))</f>
        <v/>
      </c>
      <c r="Z1267" s="122">
        <f>IFERROR($Y1268/MAX(1,(LEN($I1268)-LEN(SUBSTITUTE($I1268," Ltd","")))/LEN(" Ltd")),0)</f>
        <v/>
      </c>
      <c r="AA1267" s="122">
        <f>IFERROR(IFERROR((LEN($T1268)-LEN(SUBSTITUTE($T1268,"Quality of Works / Criteria of Failings:","")))/LEN("Quality of Works / Criteria of Failings:"),0)/MAX(1,(LEN($I1268)-LEN(SUBSTITUTE($I1268," Ltd","")))/LEN(" Ltd")),0)</f>
        <v/>
      </c>
      <c r="AB1267" s="122">
        <f>IFERROR(IFERROR((LEN($T1268)-LEN(SUBSTITUTE($T1268,"Quality of Works / Criteria of Failings:Compliant","")))/LEN("Quality of Works / Criteria of Failings:Compliant"),0)/MAX(1,(LEN($I1268)-LEN(SUBSTITUTE($I1268," Ltd","")))/LEN(" Ltd")),0)</f>
        <v/>
      </c>
    </row>
    <row r="1268" ht="15" customHeight="1" s="146">
      <c r="Y1268" s="122">
        <f>MAX(0,IFERROR((LEN($T1269)-LEN(SUBSTITUTE($T1269,"Quality of Works / Criteria of Failings:","")))/LEN("Quality of Works / Criteria of Failings:"),0)-IFERROR((LEN($T1269)-LEN(SUBSTITUTE($T1269,"Quality of Works / Criteria of Failings:Compliant","")))/LEN("Quality of Works / Criteria of Failings:Compliant"),0))</f>
        <v/>
      </c>
      <c r="Z1268" s="122">
        <f>IFERROR($Y1269/MAX(1,(LEN($I1269)-LEN(SUBSTITUTE($I1269," Ltd","")))/LEN(" Ltd")),0)</f>
        <v/>
      </c>
      <c r="AA1268" s="122">
        <f>IFERROR(IFERROR((LEN($T1269)-LEN(SUBSTITUTE($T1269,"Quality of Works / Criteria of Failings:","")))/LEN("Quality of Works / Criteria of Failings:"),0)/MAX(1,(LEN($I1269)-LEN(SUBSTITUTE($I1269," Ltd","")))/LEN(" Ltd")),0)</f>
        <v/>
      </c>
      <c r="AB1268" s="122">
        <f>IFERROR(IFERROR((LEN($T1269)-LEN(SUBSTITUTE($T1269,"Quality of Works / Criteria of Failings:Compliant","")))/LEN("Quality of Works / Criteria of Failings:Compliant"),0)/MAX(1,(LEN($I1269)-LEN(SUBSTITUTE($I1269," Ltd","")))/LEN(" Ltd")),0)</f>
        <v/>
      </c>
    </row>
    <row r="1269" ht="15" customHeight="1" s="146">
      <c r="Y1269" s="122">
        <f>MAX(0,IFERROR((LEN($T1270)-LEN(SUBSTITUTE($T1270,"Quality of Works / Criteria of Failings:","")))/LEN("Quality of Works / Criteria of Failings:"),0)-IFERROR((LEN($T1270)-LEN(SUBSTITUTE($T1270,"Quality of Works / Criteria of Failings:Compliant","")))/LEN("Quality of Works / Criteria of Failings:Compliant"),0))</f>
        <v/>
      </c>
      <c r="Z1269" s="122">
        <f>IFERROR($Y1270/MAX(1,(LEN($I1270)-LEN(SUBSTITUTE($I1270," Ltd","")))/LEN(" Ltd")),0)</f>
        <v/>
      </c>
      <c r="AA1269" s="122">
        <f>IFERROR(IFERROR((LEN($T1270)-LEN(SUBSTITUTE($T1270,"Quality of Works / Criteria of Failings:","")))/LEN("Quality of Works / Criteria of Failings:"),0)/MAX(1,(LEN($I1270)-LEN(SUBSTITUTE($I1270," Ltd","")))/LEN(" Ltd")),0)</f>
        <v/>
      </c>
      <c r="AB1269" s="122">
        <f>IFERROR(IFERROR((LEN($T1270)-LEN(SUBSTITUTE($T1270,"Quality of Works / Criteria of Failings:Compliant","")))/LEN("Quality of Works / Criteria of Failings:Compliant"),0)/MAX(1,(LEN($I1270)-LEN(SUBSTITUTE($I1270," Ltd","")))/LEN(" Ltd")),0)</f>
        <v/>
      </c>
    </row>
    <row r="1270" ht="15" customHeight="1" s="146">
      <c r="Y1270" s="122">
        <f>MAX(0,IFERROR((LEN($T1271)-LEN(SUBSTITUTE($T1271,"Quality of Works / Criteria of Failings:","")))/LEN("Quality of Works / Criteria of Failings:"),0)-IFERROR((LEN($T1271)-LEN(SUBSTITUTE($T1271,"Quality of Works / Criteria of Failings:Compliant","")))/LEN("Quality of Works / Criteria of Failings:Compliant"),0))</f>
        <v/>
      </c>
      <c r="Z1270" s="122">
        <f>IFERROR($Y1271/MAX(1,(LEN($I1271)-LEN(SUBSTITUTE($I1271," Ltd","")))/LEN(" Ltd")),0)</f>
        <v/>
      </c>
      <c r="AA1270" s="122">
        <f>IFERROR(IFERROR((LEN($T1271)-LEN(SUBSTITUTE($T1271,"Quality of Works / Criteria of Failings:","")))/LEN("Quality of Works / Criteria of Failings:"),0)/MAX(1,(LEN($I1271)-LEN(SUBSTITUTE($I1271," Ltd","")))/LEN(" Ltd")),0)</f>
        <v/>
      </c>
      <c r="AB1270" s="122">
        <f>IFERROR(IFERROR((LEN($T1271)-LEN(SUBSTITUTE($T1271,"Quality of Works / Criteria of Failings:Compliant","")))/LEN("Quality of Works / Criteria of Failings:Compliant"),0)/MAX(1,(LEN($I1271)-LEN(SUBSTITUTE($I1271," Ltd","")))/LEN(" Ltd")),0)</f>
        <v/>
      </c>
    </row>
    <row r="1271" ht="15" customHeight="1" s="146">
      <c r="Y1271" s="122">
        <f>MAX(0,IFERROR((LEN($T1272)-LEN(SUBSTITUTE($T1272,"Quality of Works / Criteria of Failings:","")))/LEN("Quality of Works / Criteria of Failings:"),0)-IFERROR((LEN($T1272)-LEN(SUBSTITUTE($T1272,"Quality of Works / Criteria of Failings:Compliant","")))/LEN("Quality of Works / Criteria of Failings:Compliant"),0))</f>
        <v/>
      </c>
      <c r="Z1271" s="122">
        <f>IFERROR($Y1272/MAX(1,(LEN($I1272)-LEN(SUBSTITUTE($I1272," Ltd","")))/LEN(" Ltd")),0)</f>
        <v/>
      </c>
      <c r="AA1271" s="122">
        <f>IFERROR(IFERROR((LEN($T1272)-LEN(SUBSTITUTE($T1272,"Quality of Works / Criteria of Failings:","")))/LEN("Quality of Works / Criteria of Failings:"),0)/MAX(1,(LEN($I1272)-LEN(SUBSTITUTE($I1272," Ltd","")))/LEN(" Ltd")),0)</f>
        <v/>
      </c>
      <c r="AB1271" s="122">
        <f>IFERROR(IFERROR((LEN($T1272)-LEN(SUBSTITUTE($T1272,"Quality of Works / Criteria of Failings:Compliant","")))/LEN("Quality of Works / Criteria of Failings:Compliant"),0)/MAX(1,(LEN($I1272)-LEN(SUBSTITUTE($I1272," Ltd","")))/LEN(" Ltd")),0)</f>
        <v/>
      </c>
    </row>
    <row r="1272" ht="15" customHeight="1" s="146">
      <c r="Y1272" s="122">
        <f>MAX(0,IFERROR((LEN($T1273)-LEN(SUBSTITUTE($T1273,"Quality of Works / Criteria of Failings:","")))/LEN("Quality of Works / Criteria of Failings:"),0)-IFERROR((LEN($T1273)-LEN(SUBSTITUTE($T1273,"Quality of Works / Criteria of Failings:Compliant","")))/LEN("Quality of Works / Criteria of Failings:Compliant"),0))</f>
        <v/>
      </c>
      <c r="Z1272" s="122">
        <f>IFERROR($Y1273/MAX(1,(LEN($I1273)-LEN(SUBSTITUTE($I1273," Ltd","")))/LEN(" Ltd")),0)</f>
        <v/>
      </c>
      <c r="AA1272" s="122">
        <f>IFERROR(IFERROR((LEN($T1273)-LEN(SUBSTITUTE($T1273,"Quality of Works / Criteria of Failings:","")))/LEN("Quality of Works / Criteria of Failings:"),0)/MAX(1,(LEN($I1273)-LEN(SUBSTITUTE($I1273," Ltd","")))/LEN(" Ltd")),0)</f>
        <v/>
      </c>
      <c r="AB1272" s="122">
        <f>IFERROR(IFERROR((LEN($T1273)-LEN(SUBSTITUTE($T1273,"Quality of Works / Criteria of Failings:Compliant","")))/LEN("Quality of Works / Criteria of Failings:Compliant"),0)/MAX(1,(LEN($I1273)-LEN(SUBSTITUTE($I1273," Ltd","")))/LEN(" Ltd")),0)</f>
        <v/>
      </c>
    </row>
    <row r="1273" ht="15" customHeight="1" s="146">
      <c r="Y1273" s="122">
        <f>MAX(0,IFERROR((LEN($T1274)-LEN(SUBSTITUTE($T1274,"Quality of Works / Criteria of Failings:","")))/LEN("Quality of Works / Criteria of Failings:"),0)-IFERROR((LEN($T1274)-LEN(SUBSTITUTE($T1274,"Quality of Works / Criteria of Failings:Compliant","")))/LEN("Quality of Works / Criteria of Failings:Compliant"),0))</f>
        <v/>
      </c>
      <c r="Z1273" s="122">
        <f>IFERROR($Y1274/MAX(1,(LEN($I1274)-LEN(SUBSTITUTE($I1274," Ltd","")))/LEN(" Ltd")),0)</f>
        <v/>
      </c>
      <c r="AA1273" s="122">
        <f>IFERROR(IFERROR((LEN($T1274)-LEN(SUBSTITUTE($T1274,"Quality of Works / Criteria of Failings:","")))/LEN("Quality of Works / Criteria of Failings:"),0)/MAX(1,(LEN($I1274)-LEN(SUBSTITUTE($I1274," Ltd","")))/LEN(" Ltd")),0)</f>
        <v/>
      </c>
      <c r="AB1273" s="122">
        <f>IFERROR(IFERROR((LEN($T1274)-LEN(SUBSTITUTE($T1274,"Quality of Works / Criteria of Failings:Compliant","")))/LEN("Quality of Works / Criteria of Failings:Compliant"),0)/MAX(1,(LEN($I1274)-LEN(SUBSTITUTE($I1274," Ltd","")))/LEN(" Ltd")),0)</f>
        <v/>
      </c>
    </row>
    <row r="1274" ht="15" customHeight="1" s="146">
      <c r="Y1274" s="122">
        <f>MAX(0,IFERROR((LEN($T1275)-LEN(SUBSTITUTE($T1275,"Quality of Works / Criteria of Failings:","")))/LEN("Quality of Works / Criteria of Failings:"),0)-IFERROR((LEN($T1275)-LEN(SUBSTITUTE($T1275,"Quality of Works / Criteria of Failings:Compliant","")))/LEN("Quality of Works / Criteria of Failings:Compliant"),0))</f>
        <v/>
      </c>
      <c r="Z1274" s="122">
        <f>IFERROR($Y1275/MAX(1,(LEN($I1275)-LEN(SUBSTITUTE($I1275," Ltd","")))/LEN(" Ltd")),0)</f>
        <v/>
      </c>
      <c r="AA1274" s="122">
        <f>IFERROR(IFERROR((LEN($T1275)-LEN(SUBSTITUTE($T1275,"Quality of Works / Criteria of Failings:","")))/LEN("Quality of Works / Criteria of Failings:"),0)/MAX(1,(LEN($I1275)-LEN(SUBSTITUTE($I1275," Ltd","")))/LEN(" Ltd")),0)</f>
        <v/>
      </c>
      <c r="AB1274" s="122">
        <f>IFERROR(IFERROR((LEN($T1275)-LEN(SUBSTITUTE($T1275,"Quality of Works / Criteria of Failings:Compliant","")))/LEN("Quality of Works / Criteria of Failings:Compliant"),0)/MAX(1,(LEN($I1275)-LEN(SUBSTITUTE($I1275," Ltd","")))/LEN(" Ltd")),0)</f>
        <v/>
      </c>
    </row>
    <row r="1275" ht="15" customHeight="1" s="146">
      <c r="Y1275" s="122">
        <f>MAX(0,IFERROR((LEN($T1276)-LEN(SUBSTITUTE($T1276,"Quality of Works / Criteria of Failings:","")))/LEN("Quality of Works / Criteria of Failings:"),0)-IFERROR((LEN($T1276)-LEN(SUBSTITUTE($T1276,"Quality of Works / Criteria of Failings:Compliant","")))/LEN("Quality of Works / Criteria of Failings:Compliant"),0))</f>
        <v/>
      </c>
      <c r="Z1275" s="122">
        <f>IFERROR($Y1276/MAX(1,(LEN($I1276)-LEN(SUBSTITUTE($I1276," Ltd","")))/LEN(" Ltd")),0)</f>
        <v/>
      </c>
      <c r="AA1275" s="122">
        <f>IFERROR(IFERROR((LEN($T1276)-LEN(SUBSTITUTE($T1276,"Quality of Works / Criteria of Failings:","")))/LEN("Quality of Works / Criteria of Failings:"),0)/MAX(1,(LEN($I1276)-LEN(SUBSTITUTE($I1276," Ltd","")))/LEN(" Ltd")),0)</f>
        <v/>
      </c>
      <c r="AB1275" s="122">
        <f>IFERROR(IFERROR((LEN($T1276)-LEN(SUBSTITUTE($T1276,"Quality of Works / Criteria of Failings:Compliant","")))/LEN("Quality of Works / Criteria of Failings:Compliant"),0)/MAX(1,(LEN($I1276)-LEN(SUBSTITUTE($I1276," Ltd","")))/LEN(" Ltd")),0)</f>
        <v/>
      </c>
    </row>
    <row r="1276" ht="15" customHeight="1" s="146">
      <c r="Y1276" s="122">
        <f>MAX(0,IFERROR((LEN($T1277)-LEN(SUBSTITUTE($T1277,"Quality of Works / Criteria of Failings:","")))/LEN("Quality of Works / Criteria of Failings:"),0)-IFERROR((LEN($T1277)-LEN(SUBSTITUTE($T1277,"Quality of Works / Criteria of Failings:Compliant","")))/LEN("Quality of Works / Criteria of Failings:Compliant"),0))</f>
        <v/>
      </c>
      <c r="Z1276" s="122">
        <f>IFERROR($Y1277/MAX(1,(LEN($I1277)-LEN(SUBSTITUTE($I1277," Ltd","")))/LEN(" Ltd")),0)</f>
        <v/>
      </c>
      <c r="AA1276" s="122">
        <f>IFERROR(IFERROR((LEN($T1277)-LEN(SUBSTITUTE($T1277,"Quality of Works / Criteria of Failings:","")))/LEN("Quality of Works / Criteria of Failings:"),0)/MAX(1,(LEN($I1277)-LEN(SUBSTITUTE($I1277," Ltd","")))/LEN(" Ltd")),0)</f>
        <v/>
      </c>
      <c r="AB1276" s="122">
        <f>IFERROR(IFERROR((LEN($T1277)-LEN(SUBSTITUTE($T1277,"Quality of Works / Criteria of Failings:Compliant","")))/LEN("Quality of Works / Criteria of Failings:Compliant"),0)/MAX(1,(LEN($I1277)-LEN(SUBSTITUTE($I1277," Ltd","")))/LEN(" Ltd")),0)</f>
        <v/>
      </c>
    </row>
    <row r="1277" ht="15" customHeight="1" s="146">
      <c r="Y1277" s="122">
        <f>MAX(0,IFERROR((LEN($T1278)-LEN(SUBSTITUTE($T1278,"Quality of Works / Criteria of Failings:","")))/LEN("Quality of Works / Criteria of Failings:"),0)-IFERROR((LEN($T1278)-LEN(SUBSTITUTE($T1278,"Quality of Works / Criteria of Failings:Compliant","")))/LEN("Quality of Works / Criteria of Failings:Compliant"),0))</f>
        <v/>
      </c>
      <c r="Z1277" s="122">
        <f>IFERROR($Y1278/MAX(1,(LEN($I1278)-LEN(SUBSTITUTE($I1278," Ltd","")))/LEN(" Ltd")),0)</f>
        <v/>
      </c>
      <c r="AA1277" s="122">
        <f>IFERROR(IFERROR((LEN($T1278)-LEN(SUBSTITUTE($T1278,"Quality of Works / Criteria of Failings:","")))/LEN("Quality of Works / Criteria of Failings:"),0)/MAX(1,(LEN($I1278)-LEN(SUBSTITUTE($I1278," Ltd","")))/LEN(" Ltd")),0)</f>
        <v/>
      </c>
      <c r="AB1277" s="122">
        <f>IFERROR(IFERROR((LEN($T1278)-LEN(SUBSTITUTE($T1278,"Quality of Works / Criteria of Failings:Compliant","")))/LEN("Quality of Works / Criteria of Failings:Compliant"),0)/MAX(1,(LEN($I1278)-LEN(SUBSTITUTE($I1278," Ltd","")))/LEN(" Ltd")),0)</f>
        <v/>
      </c>
    </row>
    <row r="1278" ht="15" customHeight="1" s="146">
      <c r="Y1278" s="122">
        <f>MAX(0,IFERROR((LEN($T1279)-LEN(SUBSTITUTE($T1279,"Quality of Works / Criteria of Failings:","")))/LEN("Quality of Works / Criteria of Failings:"),0)-IFERROR((LEN($T1279)-LEN(SUBSTITUTE($T1279,"Quality of Works / Criteria of Failings:Compliant","")))/LEN("Quality of Works / Criteria of Failings:Compliant"),0))</f>
        <v/>
      </c>
      <c r="Z1278" s="122">
        <f>IFERROR($Y1279/MAX(1,(LEN($I1279)-LEN(SUBSTITUTE($I1279," Ltd","")))/LEN(" Ltd")),0)</f>
        <v/>
      </c>
      <c r="AA1278" s="122">
        <f>IFERROR(IFERROR((LEN($T1279)-LEN(SUBSTITUTE($T1279,"Quality of Works / Criteria of Failings:","")))/LEN("Quality of Works / Criteria of Failings:"),0)/MAX(1,(LEN($I1279)-LEN(SUBSTITUTE($I1279," Ltd","")))/LEN(" Ltd")),0)</f>
        <v/>
      </c>
      <c r="AB1278" s="122">
        <f>IFERROR(IFERROR((LEN($T1279)-LEN(SUBSTITUTE($T1279,"Quality of Works / Criteria of Failings:Compliant","")))/LEN("Quality of Works / Criteria of Failings:Compliant"),0)/MAX(1,(LEN($I1279)-LEN(SUBSTITUTE($I1279," Ltd","")))/LEN(" Ltd")),0)</f>
        <v/>
      </c>
    </row>
    <row r="1279" ht="15" customHeight="1" s="146">
      <c r="Y1279" s="122">
        <f>MAX(0,IFERROR((LEN($T1280)-LEN(SUBSTITUTE($T1280,"Quality of Works / Criteria of Failings:","")))/LEN("Quality of Works / Criteria of Failings:"),0)-IFERROR((LEN($T1280)-LEN(SUBSTITUTE($T1280,"Quality of Works / Criteria of Failings:Compliant","")))/LEN("Quality of Works / Criteria of Failings:Compliant"),0))</f>
        <v/>
      </c>
      <c r="Z1279" s="122">
        <f>IFERROR($Y1280/MAX(1,(LEN($I1280)-LEN(SUBSTITUTE($I1280," Ltd","")))/LEN(" Ltd")),0)</f>
        <v/>
      </c>
      <c r="AA1279" s="122">
        <f>IFERROR(IFERROR((LEN($T1280)-LEN(SUBSTITUTE($T1280,"Quality of Works / Criteria of Failings:","")))/LEN("Quality of Works / Criteria of Failings:"),0)/MAX(1,(LEN($I1280)-LEN(SUBSTITUTE($I1280," Ltd","")))/LEN(" Ltd")),0)</f>
        <v/>
      </c>
      <c r="AB1279" s="122">
        <f>IFERROR(IFERROR((LEN($T1280)-LEN(SUBSTITUTE($T1280,"Quality of Works / Criteria of Failings:Compliant","")))/LEN("Quality of Works / Criteria of Failings:Compliant"),0)/MAX(1,(LEN($I1280)-LEN(SUBSTITUTE($I1280," Ltd","")))/LEN(" Ltd")),0)</f>
        <v/>
      </c>
    </row>
    <row r="1280" ht="15" customHeight="1" s="146">
      <c r="Y1280" s="122">
        <f>MAX(0,IFERROR((LEN($T1281)-LEN(SUBSTITUTE($T1281,"Quality of Works / Criteria of Failings:","")))/LEN("Quality of Works / Criteria of Failings:"),0)-IFERROR((LEN($T1281)-LEN(SUBSTITUTE($T1281,"Quality of Works / Criteria of Failings:Compliant","")))/LEN("Quality of Works / Criteria of Failings:Compliant"),0))</f>
        <v/>
      </c>
      <c r="Z1280" s="122">
        <f>IFERROR($Y1281/MAX(1,(LEN($I1281)-LEN(SUBSTITUTE($I1281," Ltd","")))/LEN(" Ltd")),0)</f>
        <v/>
      </c>
      <c r="AA1280" s="122">
        <f>IFERROR(IFERROR((LEN($T1281)-LEN(SUBSTITUTE($T1281,"Quality of Works / Criteria of Failings:","")))/LEN("Quality of Works / Criteria of Failings:"),0)/MAX(1,(LEN($I1281)-LEN(SUBSTITUTE($I1281," Ltd","")))/LEN(" Ltd")),0)</f>
        <v/>
      </c>
      <c r="AB1280" s="122">
        <f>IFERROR(IFERROR((LEN($T1281)-LEN(SUBSTITUTE($T1281,"Quality of Works / Criteria of Failings:Compliant","")))/LEN("Quality of Works / Criteria of Failings:Compliant"),0)/MAX(1,(LEN($I1281)-LEN(SUBSTITUTE($I1281," Ltd","")))/LEN(" Ltd")),0)</f>
        <v/>
      </c>
    </row>
    <row r="1281" ht="15" customHeight="1" s="146">
      <c r="Y1281" s="122">
        <f>MAX(0,IFERROR((LEN($T1282)-LEN(SUBSTITUTE($T1282,"Quality of Works / Criteria of Failings:","")))/LEN("Quality of Works / Criteria of Failings:"),0)-IFERROR((LEN($T1282)-LEN(SUBSTITUTE($T1282,"Quality of Works / Criteria of Failings:Compliant","")))/LEN("Quality of Works / Criteria of Failings:Compliant"),0))</f>
        <v/>
      </c>
      <c r="Z1281" s="122">
        <f>IFERROR($Y1282/MAX(1,(LEN($I1282)-LEN(SUBSTITUTE($I1282," Ltd","")))/LEN(" Ltd")),0)</f>
        <v/>
      </c>
      <c r="AA1281" s="122">
        <f>IFERROR(IFERROR((LEN($T1282)-LEN(SUBSTITUTE($T1282,"Quality of Works / Criteria of Failings:","")))/LEN("Quality of Works / Criteria of Failings:"),0)/MAX(1,(LEN($I1282)-LEN(SUBSTITUTE($I1282," Ltd","")))/LEN(" Ltd")),0)</f>
        <v/>
      </c>
      <c r="AB1281" s="122">
        <f>IFERROR(IFERROR((LEN($T1282)-LEN(SUBSTITUTE($T1282,"Quality of Works / Criteria of Failings:Compliant","")))/LEN("Quality of Works / Criteria of Failings:Compliant"),0)/MAX(1,(LEN($I1282)-LEN(SUBSTITUTE($I1282," Ltd","")))/LEN(" Ltd")),0)</f>
        <v/>
      </c>
    </row>
    <row r="1282" ht="15" customHeight="1" s="146">
      <c r="Y1282" s="122">
        <f>MAX(0,IFERROR((LEN($T1283)-LEN(SUBSTITUTE($T1283,"Quality of Works / Criteria of Failings:","")))/LEN("Quality of Works / Criteria of Failings:"),0)-IFERROR((LEN($T1283)-LEN(SUBSTITUTE($T1283,"Quality of Works / Criteria of Failings:Compliant","")))/LEN("Quality of Works / Criteria of Failings:Compliant"),0))</f>
        <v/>
      </c>
      <c r="Z1282" s="122">
        <f>IFERROR($Y1283/MAX(1,(LEN($I1283)-LEN(SUBSTITUTE($I1283," Ltd","")))/LEN(" Ltd")),0)</f>
        <v/>
      </c>
      <c r="AA1282" s="122">
        <f>IFERROR(IFERROR((LEN($T1283)-LEN(SUBSTITUTE($T1283,"Quality of Works / Criteria of Failings:","")))/LEN("Quality of Works / Criteria of Failings:"),0)/MAX(1,(LEN($I1283)-LEN(SUBSTITUTE($I1283," Ltd","")))/LEN(" Ltd")),0)</f>
        <v/>
      </c>
      <c r="AB1282" s="122">
        <f>IFERROR(IFERROR((LEN($T1283)-LEN(SUBSTITUTE($T1283,"Quality of Works / Criteria of Failings:Compliant","")))/LEN("Quality of Works / Criteria of Failings:Compliant"),0)/MAX(1,(LEN($I1283)-LEN(SUBSTITUTE($I1283," Ltd","")))/LEN(" Ltd")),0)</f>
        <v/>
      </c>
    </row>
    <row r="1283" ht="15" customHeight="1" s="146">
      <c r="Y1283" s="122">
        <f>MAX(0,IFERROR((LEN($T1284)-LEN(SUBSTITUTE($T1284,"Quality of Works / Criteria of Failings:","")))/LEN("Quality of Works / Criteria of Failings:"),0)-IFERROR((LEN($T1284)-LEN(SUBSTITUTE($T1284,"Quality of Works / Criteria of Failings:Compliant","")))/LEN("Quality of Works / Criteria of Failings:Compliant"),0))</f>
        <v/>
      </c>
      <c r="Z1283" s="122">
        <f>IFERROR($Y1284/MAX(1,(LEN($I1284)-LEN(SUBSTITUTE($I1284," Ltd","")))/LEN(" Ltd")),0)</f>
        <v/>
      </c>
      <c r="AA1283" s="122">
        <f>IFERROR(IFERROR((LEN($T1284)-LEN(SUBSTITUTE($T1284,"Quality of Works / Criteria of Failings:","")))/LEN("Quality of Works / Criteria of Failings:"),0)/MAX(1,(LEN($I1284)-LEN(SUBSTITUTE($I1284," Ltd","")))/LEN(" Ltd")),0)</f>
        <v/>
      </c>
      <c r="AB1283" s="122">
        <f>IFERROR(IFERROR((LEN($T1284)-LEN(SUBSTITUTE($T1284,"Quality of Works / Criteria of Failings:Compliant","")))/LEN("Quality of Works / Criteria of Failings:Compliant"),0)/MAX(1,(LEN($I1284)-LEN(SUBSTITUTE($I1284," Ltd","")))/LEN(" Ltd")),0)</f>
        <v/>
      </c>
    </row>
    <row r="1284" ht="15" customHeight="1" s="146">
      <c r="Y1284" s="122">
        <f>MAX(0,IFERROR((LEN($T1285)-LEN(SUBSTITUTE($T1285,"Quality of Works / Criteria of Failings:","")))/LEN("Quality of Works / Criteria of Failings:"),0)-IFERROR((LEN($T1285)-LEN(SUBSTITUTE($T1285,"Quality of Works / Criteria of Failings:Compliant","")))/LEN("Quality of Works / Criteria of Failings:Compliant"),0))</f>
        <v/>
      </c>
      <c r="Z1284" s="122">
        <f>IFERROR($Y1285/MAX(1,(LEN($I1285)-LEN(SUBSTITUTE($I1285," Ltd","")))/LEN(" Ltd")),0)</f>
        <v/>
      </c>
      <c r="AA1284" s="122">
        <f>IFERROR(IFERROR((LEN($T1285)-LEN(SUBSTITUTE($T1285,"Quality of Works / Criteria of Failings:","")))/LEN("Quality of Works / Criteria of Failings:"),0)/MAX(1,(LEN($I1285)-LEN(SUBSTITUTE($I1285," Ltd","")))/LEN(" Ltd")),0)</f>
        <v/>
      </c>
      <c r="AB1284" s="122">
        <f>IFERROR(IFERROR((LEN($T1285)-LEN(SUBSTITUTE($T1285,"Quality of Works / Criteria of Failings:Compliant","")))/LEN("Quality of Works / Criteria of Failings:Compliant"),0)/MAX(1,(LEN($I1285)-LEN(SUBSTITUTE($I1285," Ltd","")))/LEN(" Ltd")),0)</f>
        <v/>
      </c>
    </row>
    <row r="1285" ht="15" customHeight="1" s="146">
      <c r="Y1285" s="122">
        <f>MAX(0,IFERROR((LEN($T1286)-LEN(SUBSTITUTE($T1286,"Quality of Works / Criteria of Failings:","")))/LEN("Quality of Works / Criteria of Failings:"),0)-IFERROR((LEN($T1286)-LEN(SUBSTITUTE($T1286,"Quality of Works / Criteria of Failings:Compliant","")))/LEN("Quality of Works / Criteria of Failings:Compliant"),0))</f>
        <v/>
      </c>
      <c r="Z1285" s="122">
        <f>IFERROR($Y1286/MAX(1,(LEN($I1286)-LEN(SUBSTITUTE($I1286," Ltd","")))/LEN(" Ltd")),0)</f>
        <v/>
      </c>
      <c r="AA1285" s="122">
        <f>IFERROR(IFERROR((LEN($T1286)-LEN(SUBSTITUTE($T1286,"Quality of Works / Criteria of Failings:","")))/LEN("Quality of Works / Criteria of Failings:"),0)/MAX(1,(LEN($I1286)-LEN(SUBSTITUTE($I1286," Ltd","")))/LEN(" Ltd")),0)</f>
        <v/>
      </c>
      <c r="AB1285" s="122">
        <f>IFERROR(IFERROR((LEN($T1286)-LEN(SUBSTITUTE($T1286,"Quality of Works / Criteria of Failings:Compliant","")))/LEN("Quality of Works / Criteria of Failings:Compliant"),0)/MAX(1,(LEN($I1286)-LEN(SUBSTITUTE($I1286," Ltd","")))/LEN(" Ltd")),0)</f>
        <v/>
      </c>
    </row>
    <row r="1286" ht="15" customHeight="1" s="146">
      <c r="Y1286" s="122">
        <f>MAX(0,IFERROR((LEN($T1287)-LEN(SUBSTITUTE($T1287,"Quality of Works / Criteria of Failings:","")))/LEN("Quality of Works / Criteria of Failings:"),0)-IFERROR((LEN($T1287)-LEN(SUBSTITUTE($T1287,"Quality of Works / Criteria of Failings:Compliant","")))/LEN("Quality of Works / Criteria of Failings:Compliant"),0))</f>
        <v/>
      </c>
      <c r="Z1286" s="122">
        <f>IFERROR($Y1287/MAX(1,(LEN($I1287)-LEN(SUBSTITUTE($I1287," Ltd","")))/LEN(" Ltd")),0)</f>
        <v/>
      </c>
      <c r="AA1286" s="122">
        <f>IFERROR(IFERROR((LEN($T1287)-LEN(SUBSTITUTE($T1287,"Quality of Works / Criteria of Failings:","")))/LEN("Quality of Works / Criteria of Failings:"),0)/MAX(1,(LEN($I1287)-LEN(SUBSTITUTE($I1287," Ltd","")))/LEN(" Ltd")),0)</f>
        <v/>
      </c>
      <c r="AB1286" s="122">
        <f>IFERROR(IFERROR((LEN($T1287)-LEN(SUBSTITUTE($T1287,"Quality of Works / Criteria of Failings:Compliant","")))/LEN("Quality of Works / Criteria of Failings:Compliant"),0)/MAX(1,(LEN($I1287)-LEN(SUBSTITUTE($I1287," Ltd","")))/LEN(" Ltd")),0)</f>
        <v/>
      </c>
    </row>
    <row r="1287" ht="15" customHeight="1" s="146">
      <c r="Y1287" s="122">
        <f>MAX(0,IFERROR((LEN($T1288)-LEN(SUBSTITUTE($T1288,"Quality of Works / Criteria of Failings:","")))/LEN("Quality of Works / Criteria of Failings:"),0)-IFERROR((LEN($T1288)-LEN(SUBSTITUTE($T1288,"Quality of Works / Criteria of Failings:Compliant","")))/LEN("Quality of Works / Criteria of Failings:Compliant"),0))</f>
        <v/>
      </c>
      <c r="Z1287" s="122">
        <f>IFERROR($Y1288/MAX(1,(LEN($I1288)-LEN(SUBSTITUTE($I1288," Ltd","")))/LEN(" Ltd")),0)</f>
        <v/>
      </c>
      <c r="AA1287" s="122">
        <f>IFERROR(IFERROR((LEN($T1288)-LEN(SUBSTITUTE($T1288,"Quality of Works / Criteria of Failings:","")))/LEN("Quality of Works / Criteria of Failings:"),0)/MAX(1,(LEN($I1288)-LEN(SUBSTITUTE($I1288," Ltd","")))/LEN(" Ltd")),0)</f>
        <v/>
      </c>
      <c r="AB1287" s="122">
        <f>IFERROR(IFERROR((LEN($T1288)-LEN(SUBSTITUTE($T1288,"Quality of Works / Criteria of Failings:Compliant","")))/LEN("Quality of Works / Criteria of Failings:Compliant"),0)/MAX(1,(LEN($I1288)-LEN(SUBSTITUTE($I1288," Ltd","")))/LEN(" Ltd")),0)</f>
        <v/>
      </c>
    </row>
    <row r="1288" ht="15" customHeight="1" s="146">
      <c r="Y1288" s="122">
        <f>MAX(0,IFERROR((LEN($T1289)-LEN(SUBSTITUTE($T1289,"Quality of Works / Criteria of Failings:","")))/LEN("Quality of Works / Criteria of Failings:"),0)-IFERROR((LEN($T1289)-LEN(SUBSTITUTE($T1289,"Quality of Works / Criteria of Failings:Compliant","")))/LEN("Quality of Works / Criteria of Failings:Compliant"),0))</f>
        <v/>
      </c>
      <c r="Z1288" s="122">
        <f>IFERROR($Y1289/MAX(1,(LEN($I1289)-LEN(SUBSTITUTE($I1289," Ltd","")))/LEN(" Ltd")),0)</f>
        <v/>
      </c>
      <c r="AA1288" s="122">
        <f>IFERROR(IFERROR((LEN($T1289)-LEN(SUBSTITUTE($T1289,"Quality of Works / Criteria of Failings:","")))/LEN("Quality of Works / Criteria of Failings:"),0)/MAX(1,(LEN($I1289)-LEN(SUBSTITUTE($I1289," Ltd","")))/LEN(" Ltd")),0)</f>
        <v/>
      </c>
      <c r="AB1288" s="122">
        <f>IFERROR(IFERROR((LEN($T1289)-LEN(SUBSTITUTE($T1289,"Quality of Works / Criteria of Failings:Compliant","")))/LEN("Quality of Works / Criteria of Failings:Compliant"),0)/MAX(1,(LEN($I1289)-LEN(SUBSTITUTE($I1289," Ltd","")))/LEN(" Ltd")),0)</f>
        <v/>
      </c>
    </row>
    <row r="1289" ht="15" customHeight="1" s="146">
      <c r="Y1289" s="122">
        <f>MAX(0,IFERROR((LEN($T1290)-LEN(SUBSTITUTE($T1290,"Quality of Works / Criteria of Failings:","")))/LEN("Quality of Works / Criteria of Failings:"),0)-IFERROR((LEN($T1290)-LEN(SUBSTITUTE($T1290,"Quality of Works / Criteria of Failings:Compliant","")))/LEN("Quality of Works / Criteria of Failings:Compliant"),0))</f>
        <v/>
      </c>
      <c r="Z1289" s="122">
        <f>IFERROR($Y1290/MAX(1,(LEN($I1290)-LEN(SUBSTITUTE($I1290," Ltd","")))/LEN(" Ltd")),0)</f>
        <v/>
      </c>
      <c r="AA1289" s="122">
        <f>IFERROR(IFERROR((LEN($T1290)-LEN(SUBSTITUTE($T1290,"Quality of Works / Criteria of Failings:","")))/LEN("Quality of Works / Criteria of Failings:"),0)/MAX(1,(LEN($I1290)-LEN(SUBSTITUTE($I1290," Ltd","")))/LEN(" Ltd")),0)</f>
        <v/>
      </c>
      <c r="AB1289" s="122">
        <f>IFERROR(IFERROR((LEN($T1290)-LEN(SUBSTITUTE($T1290,"Quality of Works / Criteria of Failings:Compliant","")))/LEN("Quality of Works / Criteria of Failings:Compliant"),0)/MAX(1,(LEN($I1290)-LEN(SUBSTITUTE($I1290," Ltd","")))/LEN(" Ltd")),0)</f>
        <v/>
      </c>
    </row>
    <row r="1290" ht="15" customHeight="1" s="146">
      <c r="Y1290" s="122">
        <f>MAX(0,IFERROR((LEN($T1291)-LEN(SUBSTITUTE($T1291,"Quality of Works / Criteria of Failings:","")))/LEN("Quality of Works / Criteria of Failings:"),0)-IFERROR((LEN($T1291)-LEN(SUBSTITUTE($T1291,"Quality of Works / Criteria of Failings:Compliant","")))/LEN("Quality of Works / Criteria of Failings:Compliant"),0))</f>
        <v/>
      </c>
      <c r="Z1290" s="122">
        <f>IFERROR($Y1291/MAX(1,(LEN($I1291)-LEN(SUBSTITUTE($I1291," Ltd","")))/LEN(" Ltd")),0)</f>
        <v/>
      </c>
      <c r="AA1290" s="122">
        <f>IFERROR(IFERROR((LEN($T1291)-LEN(SUBSTITUTE($T1291,"Quality of Works / Criteria of Failings:","")))/LEN("Quality of Works / Criteria of Failings:"),0)/MAX(1,(LEN($I1291)-LEN(SUBSTITUTE($I1291," Ltd","")))/LEN(" Ltd")),0)</f>
        <v/>
      </c>
      <c r="AB1290" s="122">
        <f>IFERROR(IFERROR((LEN($T1291)-LEN(SUBSTITUTE($T1291,"Quality of Works / Criteria of Failings:Compliant","")))/LEN("Quality of Works / Criteria of Failings:Compliant"),0)/MAX(1,(LEN($I1291)-LEN(SUBSTITUTE($I1291," Ltd","")))/LEN(" Ltd")),0)</f>
        <v/>
      </c>
    </row>
    <row r="1291" ht="15" customHeight="1" s="146">
      <c r="Y1291" s="122">
        <f>MAX(0,IFERROR((LEN($T1292)-LEN(SUBSTITUTE($T1292,"Quality of Works / Criteria of Failings:","")))/LEN("Quality of Works / Criteria of Failings:"),0)-IFERROR((LEN($T1292)-LEN(SUBSTITUTE($T1292,"Quality of Works / Criteria of Failings:Compliant","")))/LEN("Quality of Works / Criteria of Failings:Compliant"),0))</f>
        <v/>
      </c>
      <c r="Z1291" s="122">
        <f>IFERROR($Y1292/MAX(1,(LEN($I1292)-LEN(SUBSTITUTE($I1292," Ltd","")))/LEN(" Ltd")),0)</f>
        <v/>
      </c>
      <c r="AA1291" s="122">
        <f>IFERROR(IFERROR((LEN($T1292)-LEN(SUBSTITUTE($T1292,"Quality of Works / Criteria of Failings:","")))/LEN("Quality of Works / Criteria of Failings:"),0)/MAX(1,(LEN($I1292)-LEN(SUBSTITUTE($I1292," Ltd","")))/LEN(" Ltd")),0)</f>
        <v/>
      </c>
      <c r="AB1291" s="122">
        <f>IFERROR(IFERROR((LEN($T1292)-LEN(SUBSTITUTE($T1292,"Quality of Works / Criteria of Failings:Compliant","")))/LEN("Quality of Works / Criteria of Failings:Compliant"),0)/MAX(1,(LEN($I1292)-LEN(SUBSTITUTE($I1292," Ltd","")))/LEN(" Ltd")),0)</f>
        <v/>
      </c>
    </row>
    <row r="1292" ht="15" customHeight="1" s="146">
      <c r="Y1292" s="122">
        <f>MAX(0,IFERROR((LEN($T1293)-LEN(SUBSTITUTE($T1293,"Quality of Works / Criteria of Failings:","")))/LEN("Quality of Works / Criteria of Failings:"),0)-IFERROR((LEN($T1293)-LEN(SUBSTITUTE($T1293,"Quality of Works / Criteria of Failings:Compliant","")))/LEN("Quality of Works / Criteria of Failings:Compliant"),0))</f>
        <v/>
      </c>
      <c r="Z1292" s="122">
        <f>IFERROR($Y1293/MAX(1,(LEN($I1293)-LEN(SUBSTITUTE($I1293," Ltd","")))/LEN(" Ltd")),0)</f>
        <v/>
      </c>
      <c r="AA1292" s="122">
        <f>IFERROR(IFERROR((LEN($T1293)-LEN(SUBSTITUTE($T1293,"Quality of Works / Criteria of Failings:","")))/LEN("Quality of Works / Criteria of Failings:"),0)/MAX(1,(LEN($I1293)-LEN(SUBSTITUTE($I1293," Ltd","")))/LEN(" Ltd")),0)</f>
        <v/>
      </c>
      <c r="AB1292" s="122">
        <f>IFERROR(IFERROR((LEN($T1293)-LEN(SUBSTITUTE($T1293,"Quality of Works / Criteria of Failings:Compliant","")))/LEN("Quality of Works / Criteria of Failings:Compliant"),0)/MAX(1,(LEN($I1293)-LEN(SUBSTITUTE($I1293," Ltd","")))/LEN(" Ltd")),0)</f>
        <v/>
      </c>
    </row>
    <row r="1293" ht="15" customHeight="1" s="146">
      <c r="Y1293" s="122">
        <f>MAX(0,IFERROR((LEN($T1294)-LEN(SUBSTITUTE($T1294,"Quality of Works / Criteria of Failings:","")))/LEN("Quality of Works / Criteria of Failings:"),0)-IFERROR((LEN($T1294)-LEN(SUBSTITUTE($T1294,"Quality of Works / Criteria of Failings:Compliant","")))/LEN("Quality of Works / Criteria of Failings:Compliant"),0))</f>
        <v/>
      </c>
      <c r="Z1293" s="122">
        <f>IFERROR($Y1294/MAX(1,(LEN($I1294)-LEN(SUBSTITUTE($I1294," Ltd","")))/LEN(" Ltd")),0)</f>
        <v/>
      </c>
      <c r="AA1293" s="122">
        <f>IFERROR(IFERROR((LEN($T1294)-LEN(SUBSTITUTE($T1294,"Quality of Works / Criteria of Failings:","")))/LEN("Quality of Works / Criteria of Failings:"),0)/MAX(1,(LEN($I1294)-LEN(SUBSTITUTE($I1294," Ltd","")))/LEN(" Ltd")),0)</f>
        <v/>
      </c>
      <c r="AB1293" s="122">
        <f>IFERROR(IFERROR((LEN($T1294)-LEN(SUBSTITUTE($T1294,"Quality of Works / Criteria of Failings:Compliant","")))/LEN("Quality of Works / Criteria of Failings:Compliant"),0)/MAX(1,(LEN($I1294)-LEN(SUBSTITUTE($I1294," Ltd","")))/LEN(" Ltd")),0)</f>
        <v/>
      </c>
    </row>
    <row r="1294" ht="15" customHeight="1" s="146">
      <c r="Y1294" s="122">
        <f>MAX(0,IFERROR((LEN($T1295)-LEN(SUBSTITUTE($T1295,"Quality of Works / Criteria of Failings:","")))/LEN("Quality of Works / Criteria of Failings:"),0)-IFERROR((LEN($T1295)-LEN(SUBSTITUTE($T1295,"Quality of Works / Criteria of Failings:Compliant","")))/LEN("Quality of Works / Criteria of Failings:Compliant"),0))</f>
        <v/>
      </c>
      <c r="Z1294" s="122">
        <f>IFERROR($Y1295/MAX(1,(LEN($I1295)-LEN(SUBSTITUTE($I1295," Ltd","")))/LEN(" Ltd")),0)</f>
        <v/>
      </c>
      <c r="AA1294" s="122">
        <f>IFERROR(IFERROR((LEN($T1295)-LEN(SUBSTITUTE($T1295,"Quality of Works / Criteria of Failings:","")))/LEN("Quality of Works / Criteria of Failings:"),0)/MAX(1,(LEN($I1295)-LEN(SUBSTITUTE($I1295," Ltd","")))/LEN(" Ltd")),0)</f>
        <v/>
      </c>
      <c r="AB1294" s="122">
        <f>IFERROR(IFERROR((LEN($T1295)-LEN(SUBSTITUTE($T1295,"Quality of Works / Criteria of Failings:Compliant","")))/LEN("Quality of Works / Criteria of Failings:Compliant"),0)/MAX(1,(LEN($I1295)-LEN(SUBSTITUTE($I1295," Ltd","")))/LEN(" Ltd")),0)</f>
        <v/>
      </c>
    </row>
    <row r="1295" ht="15" customHeight="1" s="146">
      <c r="Y1295" s="122">
        <f>MAX(0,IFERROR((LEN($T1296)-LEN(SUBSTITUTE($T1296,"Quality of Works / Criteria of Failings:","")))/LEN("Quality of Works / Criteria of Failings:"),0)-IFERROR((LEN($T1296)-LEN(SUBSTITUTE($T1296,"Quality of Works / Criteria of Failings:Compliant","")))/LEN("Quality of Works / Criteria of Failings:Compliant"),0))</f>
        <v/>
      </c>
      <c r="Z1295" s="122">
        <f>IFERROR($Y1296/MAX(1,(LEN($I1296)-LEN(SUBSTITUTE($I1296," Ltd","")))/LEN(" Ltd")),0)</f>
        <v/>
      </c>
      <c r="AA1295" s="122">
        <f>IFERROR(IFERROR((LEN($T1296)-LEN(SUBSTITUTE($T1296,"Quality of Works / Criteria of Failings:","")))/LEN("Quality of Works / Criteria of Failings:"),0)/MAX(1,(LEN($I1296)-LEN(SUBSTITUTE($I1296," Ltd","")))/LEN(" Ltd")),0)</f>
        <v/>
      </c>
      <c r="AB1295" s="122">
        <f>IFERROR(IFERROR((LEN($T1296)-LEN(SUBSTITUTE($T1296,"Quality of Works / Criteria of Failings:Compliant","")))/LEN("Quality of Works / Criteria of Failings:Compliant"),0)/MAX(1,(LEN($I1296)-LEN(SUBSTITUTE($I1296," Ltd","")))/LEN(" Ltd")),0)</f>
        <v/>
      </c>
    </row>
    <row r="1296" ht="15" customHeight="1" s="146">
      <c r="Y1296" s="122">
        <f>MAX(0,IFERROR((LEN($T1297)-LEN(SUBSTITUTE($T1297,"Quality of Works / Criteria of Failings:","")))/LEN("Quality of Works / Criteria of Failings:"),0)-IFERROR((LEN($T1297)-LEN(SUBSTITUTE($T1297,"Quality of Works / Criteria of Failings:Compliant","")))/LEN("Quality of Works / Criteria of Failings:Compliant"),0))</f>
        <v/>
      </c>
      <c r="Z1296" s="122">
        <f>IFERROR($Y1297/MAX(1,(LEN($I1297)-LEN(SUBSTITUTE($I1297," Ltd","")))/LEN(" Ltd")),0)</f>
        <v/>
      </c>
      <c r="AA1296" s="122">
        <f>IFERROR(IFERROR((LEN($T1297)-LEN(SUBSTITUTE($T1297,"Quality of Works / Criteria of Failings:","")))/LEN("Quality of Works / Criteria of Failings:"),0)/MAX(1,(LEN($I1297)-LEN(SUBSTITUTE($I1297," Ltd","")))/LEN(" Ltd")),0)</f>
        <v/>
      </c>
      <c r="AB1296" s="122">
        <f>IFERROR(IFERROR((LEN($T1297)-LEN(SUBSTITUTE($T1297,"Quality of Works / Criteria of Failings:Compliant","")))/LEN("Quality of Works / Criteria of Failings:Compliant"),0)/MAX(1,(LEN($I1297)-LEN(SUBSTITUTE($I1297," Ltd","")))/LEN(" Ltd")),0)</f>
        <v/>
      </c>
    </row>
    <row r="1297" ht="15" customHeight="1" s="146">
      <c r="Y1297" s="122">
        <f>MAX(0,IFERROR((LEN($T1298)-LEN(SUBSTITUTE($T1298,"Quality of Works / Criteria of Failings:","")))/LEN("Quality of Works / Criteria of Failings:"),0)-IFERROR((LEN($T1298)-LEN(SUBSTITUTE($T1298,"Quality of Works / Criteria of Failings:Compliant","")))/LEN("Quality of Works / Criteria of Failings:Compliant"),0))</f>
        <v/>
      </c>
      <c r="Z1297" s="122">
        <f>IFERROR($Y1298/MAX(1,(LEN($I1298)-LEN(SUBSTITUTE($I1298," Ltd","")))/LEN(" Ltd")),0)</f>
        <v/>
      </c>
      <c r="AA1297" s="122">
        <f>IFERROR(IFERROR((LEN($T1298)-LEN(SUBSTITUTE($T1298,"Quality of Works / Criteria of Failings:","")))/LEN("Quality of Works / Criteria of Failings:"),0)/MAX(1,(LEN($I1298)-LEN(SUBSTITUTE($I1298," Ltd","")))/LEN(" Ltd")),0)</f>
        <v/>
      </c>
      <c r="AB1297" s="122">
        <f>IFERROR(IFERROR((LEN($T1298)-LEN(SUBSTITUTE($T1298,"Quality of Works / Criteria of Failings:Compliant","")))/LEN("Quality of Works / Criteria of Failings:Compliant"),0)/MAX(1,(LEN($I1298)-LEN(SUBSTITUTE($I1298," Ltd","")))/LEN(" Ltd")),0)</f>
        <v/>
      </c>
    </row>
    <row r="1298" ht="15" customHeight="1" s="146">
      <c r="Y1298" s="122">
        <f>MAX(0,IFERROR((LEN($T1299)-LEN(SUBSTITUTE($T1299,"Quality of Works / Criteria of Failings:","")))/LEN("Quality of Works / Criteria of Failings:"),0)-IFERROR((LEN($T1299)-LEN(SUBSTITUTE($T1299,"Quality of Works / Criteria of Failings:Compliant","")))/LEN("Quality of Works / Criteria of Failings:Compliant"),0))</f>
        <v/>
      </c>
      <c r="Z1298" s="122">
        <f>IFERROR($Y1299/MAX(1,(LEN($I1299)-LEN(SUBSTITUTE($I1299," Ltd","")))/LEN(" Ltd")),0)</f>
        <v/>
      </c>
      <c r="AA1298" s="122">
        <f>IFERROR(IFERROR((LEN($T1299)-LEN(SUBSTITUTE($T1299,"Quality of Works / Criteria of Failings:","")))/LEN("Quality of Works / Criteria of Failings:"),0)/MAX(1,(LEN($I1299)-LEN(SUBSTITUTE($I1299," Ltd","")))/LEN(" Ltd")),0)</f>
        <v/>
      </c>
      <c r="AB1298" s="122">
        <f>IFERROR(IFERROR((LEN($T1299)-LEN(SUBSTITUTE($T1299,"Quality of Works / Criteria of Failings:Compliant","")))/LEN("Quality of Works / Criteria of Failings:Compliant"),0)/MAX(1,(LEN($I1299)-LEN(SUBSTITUTE($I1299," Ltd","")))/LEN(" Ltd")),0)</f>
        <v/>
      </c>
    </row>
    <row r="1299" ht="15" customHeight="1" s="146">
      <c r="Y1299" s="122">
        <f>MAX(0,IFERROR((LEN($T1300)-LEN(SUBSTITUTE($T1300,"Quality of Works / Criteria of Failings:","")))/LEN("Quality of Works / Criteria of Failings:"),0)-IFERROR((LEN($T1300)-LEN(SUBSTITUTE($T1300,"Quality of Works / Criteria of Failings:Compliant","")))/LEN("Quality of Works / Criteria of Failings:Compliant"),0))</f>
        <v/>
      </c>
      <c r="Z1299" s="122">
        <f>IFERROR($Y1300/MAX(1,(LEN($I1300)-LEN(SUBSTITUTE($I1300," Ltd","")))/LEN(" Ltd")),0)</f>
        <v/>
      </c>
      <c r="AA1299" s="122">
        <f>IFERROR(IFERROR((LEN($T1300)-LEN(SUBSTITUTE($T1300,"Quality of Works / Criteria of Failings:","")))/LEN("Quality of Works / Criteria of Failings:"),0)/MAX(1,(LEN($I1300)-LEN(SUBSTITUTE($I1300," Ltd","")))/LEN(" Ltd")),0)</f>
        <v/>
      </c>
      <c r="AB1299" s="122">
        <f>IFERROR(IFERROR((LEN($T1300)-LEN(SUBSTITUTE($T1300,"Quality of Works / Criteria of Failings:Compliant","")))/LEN("Quality of Works / Criteria of Failings:Compliant"),0)/MAX(1,(LEN($I1300)-LEN(SUBSTITUTE($I1300," Ltd","")))/LEN(" Ltd")),0)</f>
        <v/>
      </c>
    </row>
    <row r="1300" ht="15" customHeight="1" s="146">
      <c r="Y1300" s="122">
        <f>MAX(0,IFERROR((LEN($T1301)-LEN(SUBSTITUTE($T1301,"Quality of Works / Criteria of Failings:","")))/LEN("Quality of Works / Criteria of Failings:"),0)-IFERROR((LEN($T1301)-LEN(SUBSTITUTE($T1301,"Quality of Works / Criteria of Failings:Compliant","")))/LEN("Quality of Works / Criteria of Failings:Compliant"),0))</f>
        <v/>
      </c>
      <c r="Z1300" s="122">
        <f>IFERROR($Y1301/MAX(1,(LEN($I1301)-LEN(SUBSTITUTE($I1301," Ltd","")))/LEN(" Ltd")),0)</f>
        <v/>
      </c>
      <c r="AA1300" s="122">
        <f>IFERROR(IFERROR((LEN($T1301)-LEN(SUBSTITUTE($T1301,"Quality of Works / Criteria of Failings:","")))/LEN("Quality of Works / Criteria of Failings:"),0)/MAX(1,(LEN($I1301)-LEN(SUBSTITUTE($I1301," Ltd","")))/LEN(" Ltd")),0)</f>
        <v/>
      </c>
      <c r="AB1300" s="122">
        <f>IFERROR(IFERROR((LEN($T1301)-LEN(SUBSTITUTE($T1301,"Quality of Works / Criteria of Failings:Compliant","")))/LEN("Quality of Works / Criteria of Failings:Compliant"),0)/MAX(1,(LEN($I1301)-LEN(SUBSTITUTE($I1301," Ltd","")))/LEN(" Ltd")),0)</f>
        <v/>
      </c>
    </row>
    <row r="1301" ht="15" customHeight="1" s="146">
      <c r="Y1301" s="122">
        <f>MAX(0,IFERROR((LEN($T1302)-LEN(SUBSTITUTE($T1302,"Quality of Works / Criteria of Failings:","")))/LEN("Quality of Works / Criteria of Failings:"),0)-IFERROR((LEN($T1302)-LEN(SUBSTITUTE($T1302,"Quality of Works / Criteria of Failings:Compliant","")))/LEN("Quality of Works / Criteria of Failings:Compliant"),0))</f>
        <v/>
      </c>
      <c r="Z1301" s="122">
        <f>IFERROR($Y1302/MAX(1,(LEN($I1302)-LEN(SUBSTITUTE($I1302," Ltd","")))/LEN(" Ltd")),0)</f>
        <v/>
      </c>
      <c r="AA1301" s="122">
        <f>IFERROR(IFERROR((LEN($T1302)-LEN(SUBSTITUTE($T1302,"Quality of Works / Criteria of Failings:","")))/LEN("Quality of Works / Criteria of Failings:"),0)/MAX(1,(LEN($I1302)-LEN(SUBSTITUTE($I1302," Ltd","")))/LEN(" Ltd")),0)</f>
        <v/>
      </c>
      <c r="AB1301" s="122">
        <f>IFERROR(IFERROR((LEN($T1302)-LEN(SUBSTITUTE($T1302,"Quality of Works / Criteria of Failings:Compliant","")))/LEN("Quality of Works / Criteria of Failings:Compliant"),0)/MAX(1,(LEN($I1302)-LEN(SUBSTITUTE($I1302," Ltd","")))/LEN(" Ltd")),0)</f>
        <v/>
      </c>
    </row>
    <row r="1302" ht="15" customHeight="1" s="146">
      <c r="Y1302" s="122">
        <f>MAX(0,IFERROR((LEN($T1303)-LEN(SUBSTITUTE($T1303,"Quality of Works / Criteria of Failings:","")))/LEN("Quality of Works / Criteria of Failings:"),0)-IFERROR((LEN($T1303)-LEN(SUBSTITUTE($T1303,"Quality of Works / Criteria of Failings:Compliant","")))/LEN("Quality of Works / Criteria of Failings:Compliant"),0))</f>
        <v/>
      </c>
      <c r="Z1302" s="122">
        <f>IFERROR($Y1303/MAX(1,(LEN($I1303)-LEN(SUBSTITUTE($I1303," Ltd","")))/LEN(" Ltd")),0)</f>
        <v/>
      </c>
      <c r="AA1302" s="122">
        <f>IFERROR(IFERROR((LEN($T1303)-LEN(SUBSTITUTE($T1303,"Quality of Works / Criteria of Failings:","")))/LEN("Quality of Works / Criteria of Failings:"),0)/MAX(1,(LEN($I1303)-LEN(SUBSTITUTE($I1303," Ltd","")))/LEN(" Ltd")),0)</f>
        <v/>
      </c>
      <c r="AB1302" s="122">
        <f>IFERROR(IFERROR((LEN($T1303)-LEN(SUBSTITUTE($T1303,"Quality of Works / Criteria of Failings:Compliant","")))/LEN("Quality of Works / Criteria of Failings:Compliant"),0)/MAX(1,(LEN($I1303)-LEN(SUBSTITUTE($I1303," Ltd","")))/LEN(" Ltd")),0)</f>
        <v/>
      </c>
    </row>
    <row r="1303" ht="15" customHeight="1" s="146">
      <c r="Y1303" s="122">
        <f>MAX(0,IFERROR((LEN($T1304)-LEN(SUBSTITUTE($T1304,"Quality of Works / Criteria of Failings:","")))/LEN("Quality of Works / Criteria of Failings:"),0)-IFERROR((LEN($T1304)-LEN(SUBSTITUTE($T1304,"Quality of Works / Criteria of Failings:Compliant","")))/LEN("Quality of Works / Criteria of Failings:Compliant"),0))</f>
        <v/>
      </c>
      <c r="Z1303" s="122">
        <f>IFERROR($Y1304/MAX(1,(LEN($I1304)-LEN(SUBSTITUTE($I1304," Ltd","")))/LEN(" Ltd")),0)</f>
        <v/>
      </c>
      <c r="AA1303" s="122">
        <f>IFERROR(IFERROR((LEN($T1304)-LEN(SUBSTITUTE($T1304,"Quality of Works / Criteria of Failings:","")))/LEN("Quality of Works / Criteria of Failings:"),0)/MAX(1,(LEN($I1304)-LEN(SUBSTITUTE($I1304," Ltd","")))/LEN(" Ltd")),0)</f>
        <v/>
      </c>
      <c r="AB1303" s="122">
        <f>IFERROR(IFERROR((LEN($T1304)-LEN(SUBSTITUTE($T1304,"Quality of Works / Criteria of Failings:Compliant","")))/LEN("Quality of Works / Criteria of Failings:Compliant"),0)/MAX(1,(LEN($I1304)-LEN(SUBSTITUTE($I1304," Ltd","")))/LEN(" Ltd")),0)</f>
        <v/>
      </c>
    </row>
    <row r="1304" ht="15" customHeight="1" s="146">
      <c r="Y1304" s="122">
        <f>MAX(0,IFERROR((LEN($T1305)-LEN(SUBSTITUTE($T1305,"Quality of Works / Criteria of Failings:","")))/LEN("Quality of Works / Criteria of Failings:"),0)-IFERROR((LEN($T1305)-LEN(SUBSTITUTE($T1305,"Quality of Works / Criteria of Failings:Compliant","")))/LEN("Quality of Works / Criteria of Failings:Compliant"),0))</f>
        <v/>
      </c>
      <c r="Z1304" s="122">
        <f>IFERROR($Y1305/MAX(1,(LEN($I1305)-LEN(SUBSTITUTE($I1305," Ltd","")))/LEN(" Ltd")),0)</f>
        <v/>
      </c>
      <c r="AA1304" s="122">
        <f>IFERROR(IFERROR((LEN($T1305)-LEN(SUBSTITUTE($T1305,"Quality of Works / Criteria of Failings:","")))/LEN("Quality of Works / Criteria of Failings:"),0)/MAX(1,(LEN($I1305)-LEN(SUBSTITUTE($I1305," Ltd","")))/LEN(" Ltd")),0)</f>
        <v/>
      </c>
      <c r="AB1304" s="122">
        <f>IFERROR(IFERROR((LEN($T1305)-LEN(SUBSTITUTE($T1305,"Quality of Works / Criteria of Failings:Compliant","")))/LEN("Quality of Works / Criteria of Failings:Compliant"),0)/MAX(1,(LEN($I1305)-LEN(SUBSTITUTE($I1305," Ltd","")))/LEN(" Ltd")),0)</f>
        <v/>
      </c>
    </row>
    <row r="1305" ht="15" customHeight="1" s="146">
      <c r="Y1305" s="122">
        <f>MAX(0,IFERROR((LEN($T1306)-LEN(SUBSTITUTE($T1306,"Quality of Works / Criteria of Failings:","")))/LEN("Quality of Works / Criteria of Failings:"),0)-IFERROR((LEN($T1306)-LEN(SUBSTITUTE($T1306,"Quality of Works / Criteria of Failings:Compliant","")))/LEN("Quality of Works / Criteria of Failings:Compliant"),0))</f>
        <v/>
      </c>
      <c r="Z1305" s="122">
        <f>IFERROR($Y1306/MAX(1,(LEN($I1306)-LEN(SUBSTITUTE($I1306," Ltd","")))/LEN(" Ltd")),0)</f>
        <v/>
      </c>
      <c r="AA1305" s="122">
        <f>IFERROR(IFERROR((LEN($T1306)-LEN(SUBSTITUTE($T1306,"Quality of Works / Criteria of Failings:","")))/LEN("Quality of Works / Criteria of Failings:"),0)/MAX(1,(LEN($I1306)-LEN(SUBSTITUTE($I1306," Ltd","")))/LEN(" Ltd")),0)</f>
        <v/>
      </c>
      <c r="AB1305" s="122">
        <f>IFERROR(IFERROR((LEN($T1306)-LEN(SUBSTITUTE($T1306,"Quality of Works / Criteria of Failings:Compliant","")))/LEN("Quality of Works / Criteria of Failings:Compliant"),0)/MAX(1,(LEN($I1306)-LEN(SUBSTITUTE($I1306," Ltd","")))/LEN(" Ltd")),0)</f>
        <v/>
      </c>
    </row>
    <row r="1306" ht="15" customHeight="1" s="146">
      <c r="Y1306" s="122">
        <f>MAX(0,IFERROR((LEN($T1307)-LEN(SUBSTITUTE($T1307,"Quality of Works / Criteria of Failings:","")))/LEN("Quality of Works / Criteria of Failings:"),0)-IFERROR((LEN($T1307)-LEN(SUBSTITUTE($T1307,"Quality of Works / Criteria of Failings:Compliant","")))/LEN("Quality of Works / Criteria of Failings:Compliant"),0))</f>
        <v/>
      </c>
      <c r="Z1306" s="122">
        <f>IFERROR($Y1307/MAX(1,(LEN($I1307)-LEN(SUBSTITUTE($I1307," Ltd","")))/LEN(" Ltd")),0)</f>
        <v/>
      </c>
      <c r="AA1306" s="122">
        <f>IFERROR(IFERROR((LEN($T1307)-LEN(SUBSTITUTE($T1307,"Quality of Works / Criteria of Failings:","")))/LEN("Quality of Works / Criteria of Failings:"),0)/MAX(1,(LEN($I1307)-LEN(SUBSTITUTE($I1307," Ltd","")))/LEN(" Ltd")),0)</f>
        <v/>
      </c>
      <c r="AB1306" s="122">
        <f>IFERROR(IFERROR((LEN($T1307)-LEN(SUBSTITUTE($T1307,"Quality of Works / Criteria of Failings:Compliant","")))/LEN("Quality of Works / Criteria of Failings:Compliant"),0)/MAX(1,(LEN($I1307)-LEN(SUBSTITUTE($I1307," Ltd","")))/LEN(" Ltd")),0)</f>
        <v/>
      </c>
    </row>
    <row r="1307" ht="15" customHeight="1" s="146">
      <c r="Y1307" s="122">
        <f>MAX(0,IFERROR((LEN($T1308)-LEN(SUBSTITUTE($T1308,"Quality of Works / Criteria of Failings:","")))/LEN("Quality of Works / Criteria of Failings:"),0)-IFERROR((LEN($T1308)-LEN(SUBSTITUTE($T1308,"Quality of Works / Criteria of Failings:Compliant","")))/LEN("Quality of Works / Criteria of Failings:Compliant"),0))</f>
        <v/>
      </c>
      <c r="Z1307" s="122">
        <f>IFERROR($Y1308/MAX(1,(LEN($I1308)-LEN(SUBSTITUTE($I1308," Ltd","")))/LEN(" Ltd")),0)</f>
        <v/>
      </c>
      <c r="AA1307" s="122">
        <f>IFERROR(IFERROR((LEN($T1308)-LEN(SUBSTITUTE($T1308,"Quality of Works / Criteria of Failings:","")))/LEN("Quality of Works / Criteria of Failings:"),0)/MAX(1,(LEN($I1308)-LEN(SUBSTITUTE($I1308," Ltd","")))/LEN(" Ltd")),0)</f>
        <v/>
      </c>
      <c r="AB1307" s="122">
        <f>IFERROR(IFERROR((LEN($T1308)-LEN(SUBSTITUTE($T1308,"Quality of Works / Criteria of Failings:Compliant","")))/LEN("Quality of Works / Criteria of Failings:Compliant"),0)/MAX(1,(LEN($I1308)-LEN(SUBSTITUTE($I1308," Ltd","")))/LEN(" Ltd")),0)</f>
        <v/>
      </c>
    </row>
    <row r="1308" ht="15" customHeight="1" s="146">
      <c r="Y1308" s="122">
        <f>MAX(0,IFERROR((LEN($T1309)-LEN(SUBSTITUTE($T1309,"Quality of Works / Criteria of Failings:","")))/LEN("Quality of Works / Criteria of Failings:"),0)-IFERROR((LEN($T1309)-LEN(SUBSTITUTE($T1309,"Quality of Works / Criteria of Failings:Compliant","")))/LEN("Quality of Works / Criteria of Failings:Compliant"),0))</f>
        <v/>
      </c>
      <c r="Z1308" s="122">
        <f>IFERROR($Y1309/MAX(1,(LEN($I1309)-LEN(SUBSTITUTE($I1309," Ltd","")))/LEN(" Ltd")),0)</f>
        <v/>
      </c>
      <c r="AA1308" s="122">
        <f>IFERROR(IFERROR((LEN($T1309)-LEN(SUBSTITUTE($T1309,"Quality of Works / Criteria of Failings:","")))/LEN("Quality of Works / Criteria of Failings:"),0)/MAX(1,(LEN($I1309)-LEN(SUBSTITUTE($I1309," Ltd","")))/LEN(" Ltd")),0)</f>
        <v/>
      </c>
      <c r="AB1308" s="122">
        <f>IFERROR(IFERROR((LEN($T1309)-LEN(SUBSTITUTE($T1309,"Quality of Works / Criteria of Failings:Compliant","")))/LEN("Quality of Works / Criteria of Failings:Compliant"),0)/MAX(1,(LEN($I1309)-LEN(SUBSTITUTE($I1309," Ltd","")))/LEN(" Ltd")),0)</f>
        <v/>
      </c>
    </row>
    <row r="1309" ht="15" customHeight="1" s="146">
      <c r="Y1309" s="122">
        <f>MAX(0,IFERROR((LEN($T1310)-LEN(SUBSTITUTE($T1310,"Quality of Works / Criteria of Failings:","")))/LEN("Quality of Works / Criteria of Failings:"),0)-IFERROR((LEN($T1310)-LEN(SUBSTITUTE($T1310,"Quality of Works / Criteria of Failings:Compliant","")))/LEN("Quality of Works / Criteria of Failings:Compliant"),0))</f>
        <v/>
      </c>
      <c r="Z1309" s="122">
        <f>IFERROR($Y1310/MAX(1,(LEN($I1310)-LEN(SUBSTITUTE($I1310," Ltd","")))/LEN(" Ltd")),0)</f>
        <v/>
      </c>
      <c r="AA1309" s="122">
        <f>IFERROR(IFERROR((LEN($T1310)-LEN(SUBSTITUTE($T1310,"Quality of Works / Criteria of Failings:","")))/LEN("Quality of Works / Criteria of Failings:"),0)/MAX(1,(LEN($I1310)-LEN(SUBSTITUTE($I1310," Ltd","")))/LEN(" Ltd")),0)</f>
        <v/>
      </c>
      <c r="AB1309" s="122">
        <f>IFERROR(IFERROR((LEN($T1310)-LEN(SUBSTITUTE($T1310,"Quality of Works / Criteria of Failings:Compliant","")))/LEN("Quality of Works / Criteria of Failings:Compliant"),0)/MAX(1,(LEN($I1310)-LEN(SUBSTITUTE($I1310," Ltd","")))/LEN(" Ltd")),0)</f>
        <v/>
      </c>
    </row>
    <row r="1310" ht="15" customHeight="1" s="146">
      <c r="Y1310" s="122">
        <f>MAX(0,IFERROR((LEN($T1311)-LEN(SUBSTITUTE($T1311,"Quality of Works / Criteria of Failings:","")))/LEN("Quality of Works / Criteria of Failings:"),0)-IFERROR((LEN($T1311)-LEN(SUBSTITUTE($T1311,"Quality of Works / Criteria of Failings:Compliant","")))/LEN("Quality of Works / Criteria of Failings:Compliant"),0))</f>
        <v/>
      </c>
      <c r="Z1310" s="122">
        <f>IFERROR($Y1311/MAX(1,(LEN($I1311)-LEN(SUBSTITUTE($I1311," Ltd","")))/LEN(" Ltd")),0)</f>
        <v/>
      </c>
      <c r="AA1310" s="122">
        <f>IFERROR(IFERROR((LEN($T1311)-LEN(SUBSTITUTE($T1311,"Quality of Works / Criteria of Failings:","")))/LEN("Quality of Works / Criteria of Failings:"),0)/MAX(1,(LEN($I1311)-LEN(SUBSTITUTE($I1311," Ltd","")))/LEN(" Ltd")),0)</f>
        <v/>
      </c>
      <c r="AB1310" s="122">
        <f>IFERROR(IFERROR((LEN($T1311)-LEN(SUBSTITUTE($T1311,"Quality of Works / Criteria of Failings:Compliant","")))/LEN("Quality of Works / Criteria of Failings:Compliant"),0)/MAX(1,(LEN($I1311)-LEN(SUBSTITUTE($I1311," Ltd","")))/LEN(" Ltd")),0)</f>
        <v/>
      </c>
    </row>
    <row r="1311" ht="15" customHeight="1" s="146">
      <c r="Y1311" s="122">
        <f>MAX(0,IFERROR((LEN($T1312)-LEN(SUBSTITUTE($T1312,"Quality of Works / Criteria of Failings:","")))/LEN("Quality of Works / Criteria of Failings:"),0)-IFERROR((LEN($T1312)-LEN(SUBSTITUTE($T1312,"Quality of Works / Criteria of Failings:Compliant","")))/LEN("Quality of Works / Criteria of Failings:Compliant"),0))</f>
        <v/>
      </c>
      <c r="Z1311" s="122">
        <f>IFERROR($Y1312/MAX(1,(LEN($I1312)-LEN(SUBSTITUTE($I1312," Ltd","")))/LEN(" Ltd")),0)</f>
        <v/>
      </c>
      <c r="AA1311" s="122">
        <f>IFERROR(IFERROR((LEN($T1312)-LEN(SUBSTITUTE($T1312,"Quality of Works / Criteria of Failings:","")))/LEN("Quality of Works / Criteria of Failings:"),0)/MAX(1,(LEN($I1312)-LEN(SUBSTITUTE($I1312," Ltd","")))/LEN(" Ltd")),0)</f>
        <v/>
      </c>
      <c r="AB1311" s="122">
        <f>IFERROR(IFERROR((LEN($T1312)-LEN(SUBSTITUTE($T1312,"Quality of Works / Criteria of Failings:Compliant","")))/LEN("Quality of Works / Criteria of Failings:Compliant"),0)/MAX(1,(LEN($I1312)-LEN(SUBSTITUTE($I1312," Ltd","")))/LEN(" Ltd")),0)</f>
        <v/>
      </c>
    </row>
    <row r="1312" ht="15" customHeight="1" s="146">
      <c r="Y1312" s="122">
        <f>MAX(0,IFERROR((LEN($T1313)-LEN(SUBSTITUTE($T1313,"Quality of Works / Criteria of Failings:","")))/LEN("Quality of Works / Criteria of Failings:"),0)-IFERROR((LEN($T1313)-LEN(SUBSTITUTE($T1313,"Quality of Works / Criteria of Failings:Compliant","")))/LEN("Quality of Works / Criteria of Failings:Compliant"),0))</f>
        <v/>
      </c>
      <c r="Z1312" s="122">
        <f>IFERROR($Y1313/MAX(1,(LEN($I1313)-LEN(SUBSTITUTE($I1313," Ltd","")))/LEN(" Ltd")),0)</f>
        <v/>
      </c>
      <c r="AA1312" s="122">
        <f>IFERROR(IFERROR((LEN($T1313)-LEN(SUBSTITUTE($T1313,"Quality of Works / Criteria of Failings:","")))/LEN("Quality of Works / Criteria of Failings:"),0)/MAX(1,(LEN($I1313)-LEN(SUBSTITUTE($I1313," Ltd","")))/LEN(" Ltd")),0)</f>
        <v/>
      </c>
      <c r="AB1312" s="122">
        <f>IFERROR(IFERROR((LEN($T1313)-LEN(SUBSTITUTE($T1313,"Quality of Works / Criteria of Failings:Compliant","")))/LEN("Quality of Works / Criteria of Failings:Compliant"),0)/MAX(1,(LEN($I1313)-LEN(SUBSTITUTE($I1313," Ltd","")))/LEN(" Ltd")),0)</f>
        <v/>
      </c>
    </row>
    <row r="1313" ht="15" customHeight="1" s="146">
      <c r="Y1313" s="122">
        <f>MAX(0,IFERROR((LEN($T1314)-LEN(SUBSTITUTE($T1314,"Quality of Works / Criteria of Failings:","")))/LEN("Quality of Works / Criteria of Failings:"),0)-IFERROR((LEN($T1314)-LEN(SUBSTITUTE($T1314,"Quality of Works / Criteria of Failings:Compliant","")))/LEN("Quality of Works / Criteria of Failings:Compliant"),0))</f>
        <v/>
      </c>
      <c r="Z1313" s="122">
        <f>IFERROR($Y1314/MAX(1,(LEN($I1314)-LEN(SUBSTITUTE($I1314," Ltd","")))/LEN(" Ltd")),0)</f>
        <v/>
      </c>
      <c r="AA1313" s="122">
        <f>IFERROR(IFERROR((LEN($T1314)-LEN(SUBSTITUTE($T1314,"Quality of Works / Criteria of Failings:","")))/LEN("Quality of Works / Criteria of Failings:"),0)/MAX(1,(LEN($I1314)-LEN(SUBSTITUTE($I1314," Ltd","")))/LEN(" Ltd")),0)</f>
        <v/>
      </c>
      <c r="AB1313" s="122">
        <f>IFERROR(IFERROR((LEN($T1314)-LEN(SUBSTITUTE($T1314,"Quality of Works / Criteria of Failings:Compliant","")))/LEN("Quality of Works / Criteria of Failings:Compliant"),0)/MAX(1,(LEN($I1314)-LEN(SUBSTITUTE($I1314," Ltd","")))/LEN(" Ltd")),0)</f>
        <v/>
      </c>
    </row>
    <row r="1314" ht="15" customHeight="1" s="146">
      <c r="Y1314" s="122">
        <f>MAX(0,IFERROR((LEN($T1315)-LEN(SUBSTITUTE($T1315,"Quality of Works / Criteria of Failings:","")))/LEN("Quality of Works / Criteria of Failings:"),0)-IFERROR((LEN($T1315)-LEN(SUBSTITUTE($T1315,"Quality of Works / Criteria of Failings:Compliant","")))/LEN("Quality of Works / Criteria of Failings:Compliant"),0))</f>
        <v/>
      </c>
      <c r="Z1314" s="122">
        <f>IFERROR($Y1315/MAX(1,(LEN($I1315)-LEN(SUBSTITUTE($I1315," Ltd","")))/LEN(" Ltd")),0)</f>
        <v/>
      </c>
      <c r="AA1314" s="122">
        <f>IFERROR(IFERROR((LEN($T1315)-LEN(SUBSTITUTE($T1315,"Quality of Works / Criteria of Failings:","")))/LEN("Quality of Works / Criteria of Failings:"),0)/MAX(1,(LEN($I1315)-LEN(SUBSTITUTE($I1315," Ltd","")))/LEN(" Ltd")),0)</f>
        <v/>
      </c>
      <c r="AB1314" s="122">
        <f>IFERROR(IFERROR((LEN($T1315)-LEN(SUBSTITUTE($T1315,"Quality of Works / Criteria of Failings:Compliant","")))/LEN("Quality of Works / Criteria of Failings:Compliant"),0)/MAX(1,(LEN($I1315)-LEN(SUBSTITUTE($I1315," Ltd","")))/LEN(" Ltd")),0)</f>
        <v/>
      </c>
    </row>
    <row r="1315" ht="15" customHeight="1" s="146">
      <c r="Y1315" s="122">
        <f>MAX(0,IFERROR((LEN($T1316)-LEN(SUBSTITUTE($T1316,"Quality of Works / Criteria of Failings:","")))/LEN("Quality of Works / Criteria of Failings:"),0)-IFERROR((LEN($T1316)-LEN(SUBSTITUTE($T1316,"Quality of Works / Criteria of Failings:Compliant","")))/LEN("Quality of Works / Criteria of Failings:Compliant"),0))</f>
        <v/>
      </c>
      <c r="Z1315" s="122">
        <f>IFERROR($Y1316/MAX(1,(LEN($I1316)-LEN(SUBSTITUTE($I1316," Ltd","")))/LEN(" Ltd")),0)</f>
        <v/>
      </c>
      <c r="AA1315" s="122">
        <f>IFERROR(IFERROR((LEN($T1316)-LEN(SUBSTITUTE($T1316,"Quality of Works / Criteria of Failings:","")))/LEN("Quality of Works / Criteria of Failings:"),0)/MAX(1,(LEN($I1316)-LEN(SUBSTITUTE($I1316," Ltd","")))/LEN(" Ltd")),0)</f>
        <v/>
      </c>
      <c r="AB1315" s="122">
        <f>IFERROR(IFERROR((LEN($T1316)-LEN(SUBSTITUTE($T1316,"Quality of Works / Criteria of Failings:Compliant","")))/LEN("Quality of Works / Criteria of Failings:Compliant"),0)/MAX(1,(LEN($I1316)-LEN(SUBSTITUTE($I1316," Ltd","")))/LEN(" Ltd")),0)</f>
        <v/>
      </c>
    </row>
    <row r="1316" ht="15" customHeight="1" s="146">
      <c r="Y1316" s="122">
        <f>MAX(0,IFERROR((LEN($T1317)-LEN(SUBSTITUTE($T1317,"Quality of Works / Criteria of Failings:","")))/LEN("Quality of Works / Criteria of Failings:"),0)-IFERROR((LEN($T1317)-LEN(SUBSTITUTE($T1317,"Quality of Works / Criteria of Failings:Compliant","")))/LEN("Quality of Works / Criteria of Failings:Compliant"),0))</f>
        <v/>
      </c>
      <c r="Z1316" s="122">
        <f>IFERROR($Y1317/MAX(1,(LEN($I1317)-LEN(SUBSTITUTE($I1317," Ltd","")))/LEN(" Ltd")),0)</f>
        <v/>
      </c>
      <c r="AA1316" s="122">
        <f>IFERROR(IFERROR((LEN($T1317)-LEN(SUBSTITUTE($T1317,"Quality of Works / Criteria of Failings:","")))/LEN("Quality of Works / Criteria of Failings:"),0)/MAX(1,(LEN($I1317)-LEN(SUBSTITUTE($I1317," Ltd","")))/LEN(" Ltd")),0)</f>
        <v/>
      </c>
      <c r="AB1316" s="122">
        <f>IFERROR(IFERROR((LEN($T1317)-LEN(SUBSTITUTE($T1317,"Quality of Works / Criteria of Failings:Compliant","")))/LEN("Quality of Works / Criteria of Failings:Compliant"),0)/MAX(1,(LEN($I1317)-LEN(SUBSTITUTE($I1317," Ltd","")))/LEN(" Ltd")),0)</f>
        <v/>
      </c>
    </row>
    <row r="1317" ht="15" customHeight="1" s="146">
      <c r="Y1317" s="122">
        <f>MAX(0,IFERROR((LEN($T1318)-LEN(SUBSTITUTE($T1318,"Quality of Works / Criteria of Failings:","")))/LEN("Quality of Works / Criteria of Failings:"),0)-IFERROR((LEN($T1318)-LEN(SUBSTITUTE($T1318,"Quality of Works / Criteria of Failings:Compliant","")))/LEN("Quality of Works / Criteria of Failings:Compliant"),0))</f>
        <v/>
      </c>
      <c r="Z1317" s="122">
        <f>IFERROR($Y1318/MAX(1,(LEN($I1318)-LEN(SUBSTITUTE($I1318," Ltd","")))/LEN(" Ltd")),0)</f>
        <v/>
      </c>
      <c r="AA1317" s="122">
        <f>IFERROR(IFERROR((LEN($T1318)-LEN(SUBSTITUTE($T1318,"Quality of Works / Criteria of Failings:","")))/LEN("Quality of Works / Criteria of Failings:"),0)/MAX(1,(LEN($I1318)-LEN(SUBSTITUTE($I1318," Ltd","")))/LEN(" Ltd")),0)</f>
        <v/>
      </c>
      <c r="AB1317" s="122">
        <f>IFERROR(IFERROR((LEN($T1318)-LEN(SUBSTITUTE($T1318,"Quality of Works / Criteria of Failings:Compliant","")))/LEN("Quality of Works / Criteria of Failings:Compliant"),0)/MAX(1,(LEN($I1318)-LEN(SUBSTITUTE($I1318," Ltd","")))/LEN(" Ltd")),0)</f>
        <v/>
      </c>
    </row>
    <row r="1318" ht="15" customHeight="1" s="146">
      <c r="Y1318" s="122">
        <f>MAX(0,IFERROR((LEN($T1319)-LEN(SUBSTITUTE($T1319,"Quality of Works / Criteria of Failings:","")))/LEN("Quality of Works / Criteria of Failings:"),0)-IFERROR((LEN($T1319)-LEN(SUBSTITUTE($T1319,"Quality of Works / Criteria of Failings:Compliant","")))/LEN("Quality of Works / Criteria of Failings:Compliant"),0))</f>
        <v/>
      </c>
      <c r="Z1318" s="122">
        <f>IFERROR($Y1319/MAX(1,(LEN($I1319)-LEN(SUBSTITUTE($I1319," Ltd","")))/LEN(" Ltd")),0)</f>
        <v/>
      </c>
      <c r="AA1318" s="122">
        <f>IFERROR(IFERROR((LEN($T1319)-LEN(SUBSTITUTE($T1319,"Quality of Works / Criteria of Failings:","")))/LEN("Quality of Works / Criteria of Failings:"),0)/MAX(1,(LEN($I1319)-LEN(SUBSTITUTE($I1319," Ltd","")))/LEN(" Ltd")),0)</f>
        <v/>
      </c>
      <c r="AB1318" s="122">
        <f>IFERROR(IFERROR((LEN($T1319)-LEN(SUBSTITUTE($T1319,"Quality of Works / Criteria of Failings:Compliant","")))/LEN("Quality of Works / Criteria of Failings:Compliant"),0)/MAX(1,(LEN($I1319)-LEN(SUBSTITUTE($I1319," Ltd","")))/LEN(" Ltd")),0)</f>
        <v/>
      </c>
    </row>
    <row r="1319" ht="15" customHeight="1" s="146">
      <c r="Y1319" s="122">
        <f>MAX(0,IFERROR((LEN($T1320)-LEN(SUBSTITUTE($T1320,"Quality of Works / Criteria of Failings:","")))/LEN("Quality of Works / Criteria of Failings:"),0)-IFERROR((LEN($T1320)-LEN(SUBSTITUTE($T1320,"Quality of Works / Criteria of Failings:Compliant","")))/LEN("Quality of Works / Criteria of Failings:Compliant"),0))</f>
        <v/>
      </c>
      <c r="Z1319" s="122">
        <f>IFERROR($Y1320/MAX(1,(LEN($I1320)-LEN(SUBSTITUTE($I1320," Ltd","")))/LEN(" Ltd")),0)</f>
        <v/>
      </c>
      <c r="AA1319" s="122">
        <f>IFERROR(IFERROR((LEN($T1320)-LEN(SUBSTITUTE($T1320,"Quality of Works / Criteria of Failings:","")))/LEN("Quality of Works / Criteria of Failings:"),0)/MAX(1,(LEN($I1320)-LEN(SUBSTITUTE($I1320," Ltd","")))/LEN(" Ltd")),0)</f>
        <v/>
      </c>
      <c r="AB1319" s="122">
        <f>IFERROR(IFERROR((LEN($T1320)-LEN(SUBSTITUTE($T1320,"Quality of Works / Criteria of Failings:Compliant","")))/LEN("Quality of Works / Criteria of Failings:Compliant"),0)/MAX(1,(LEN($I1320)-LEN(SUBSTITUTE($I1320," Ltd","")))/LEN(" Ltd")),0)</f>
        <v/>
      </c>
    </row>
    <row r="1320" ht="15" customHeight="1" s="146">
      <c r="Y1320" s="122">
        <f>MAX(0,IFERROR((LEN($T1321)-LEN(SUBSTITUTE($T1321,"Quality of Works / Criteria of Failings:","")))/LEN("Quality of Works / Criteria of Failings:"),0)-IFERROR((LEN($T1321)-LEN(SUBSTITUTE($T1321,"Quality of Works / Criteria of Failings:Compliant","")))/LEN("Quality of Works / Criteria of Failings:Compliant"),0))</f>
        <v/>
      </c>
      <c r="Z1320" s="122">
        <f>IFERROR($Y1321/MAX(1,(LEN($I1321)-LEN(SUBSTITUTE($I1321," Ltd","")))/LEN(" Ltd")),0)</f>
        <v/>
      </c>
      <c r="AA1320" s="122">
        <f>IFERROR(IFERROR((LEN($T1321)-LEN(SUBSTITUTE($T1321,"Quality of Works / Criteria of Failings:","")))/LEN("Quality of Works / Criteria of Failings:"),0)/MAX(1,(LEN($I1321)-LEN(SUBSTITUTE($I1321," Ltd","")))/LEN(" Ltd")),0)</f>
        <v/>
      </c>
      <c r="AB1320" s="122">
        <f>IFERROR(IFERROR((LEN($T1321)-LEN(SUBSTITUTE($T1321,"Quality of Works / Criteria of Failings:Compliant","")))/LEN("Quality of Works / Criteria of Failings:Compliant"),0)/MAX(1,(LEN($I1321)-LEN(SUBSTITUTE($I1321," Ltd","")))/LEN(" Ltd")),0)</f>
        <v/>
      </c>
    </row>
    <row r="1321" ht="15" customHeight="1" s="146">
      <c r="Y1321" s="122">
        <f>MAX(0,IFERROR((LEN($T1322)-LEN(SUBSTITUTE($T1322,"Quality of Works / Criteria of Failings:","")))/LEN("Quality of Works / Criteria of Failings:"),0)-IFERROR((LEN($T1322)-LEN(SUBSTITUTE($T1322,"Quality of Works / Criteria of Failings:Compliant","")))/LEN("Quality of Works / Criteria of Failings:Compliant"),0))</f>
        <v/>
      </c>
      <c r="Z1321" s="122">
        <f>IFERROR($Y1322/MAX(1,(LEN($I1322)-LEN(SUBSTITUTE($I1322," Ltd","")))/LEN(" Ltd")),0)</f>
        <v/>
      </c>
      <c r="AA1321" s="122">
        <f>IFERROR(IFERROR((LEN($T1322)-LEN(SUBSTITUTE($T1322,"Quality of Works / Criteria of Failings:","")))/LEN("Quality of Works / Criteria of Failings:"),0)/MAX(1,(LEN($I1322)-LEN(SUBSTITUTE($I1322," Ltd","")))/LEN(" Ltd")),0)</f>
        <v/>
      </c>
      <c r="AB1321" s="122">
        <f>IFERROR(IFERROR((LEN($T1322)-LEN(SUBSTITUTE($T1322,"Quality of Works / Criteria of Failings:Compliant","")))/LEN("Quality of Works / Criteria of Failings:Compliant"),0)/MAX(1,(LEN($I1322)-LEN(SUBSTITUTE($I1322," Ltd","")))/LEN(" Ltd")),0)</f>
        <v/>
      </c>
    </row>
    <row r="1322" ht="15" customHeight="1" s="146">
      <c r="Y1322" s="122">
        <f>MAX(0,IFERROR((LEN($T1323)-LEN(SUBSTITUTE($T1323,"Quality of Works / Criteria of Failings:","")))/LEN("Quality of Works / Criteria of Failings:"),0)-IFERROR((LEN($T1323)-LEN(SUBSTITUTE($T1323,"Quality of Works / Criteria of Failings:Compliant","")))/LEN("Quality of Works / Criteria of Failings:Compliant"),0))</f>
        <v/>
      </c>
      <c r="Z1322" s="122">
        <f>IFERROR($Y1323/MAX(1,(LEN($I1323)-LEN(SUBSTITUTE($I1323," Ltd","")))/LEN(" Ltd")),0)</f>
        <v/>
      </c>
      <c r="AA1322" s="122">
        <f>IFERROR(IFERROR((LEN($T1323)-LEN(SUBSTITUTE($T1323,"Quality of Works / Criteria of Failings:","")))/LEN("Quality of Works / Criteria of Failings:"),0)/MAX(1,(LEN($I1323)-LEN(SUBSTITUTE($I1323," Ltd","")))/LEN(" Ltd")),0)</f>
        <v/>
      </c>
      <c r="AB1322" s="122">
        <f>IFERROR(IFERROR((LEN($T1323)-LEN(SUBSTITUTE($T1323,"Quality of Works / Criteria of Failings:Compliant","")))/LEN("Quality of Works / Criteria of Failings:Compliant"),0)/MAX(1,(LEN($I1323)-LEN(SUBSTITUTE($I1323," Ltd","")))/LEN(" Ltd")),0)</f>
        <v/>
      </c>
    </row>
    <row r="1323" ht="15" customHeight="1" s="146">
      <c r="Y1323" s="122">
        <f>MAX(0,IFERROR((LEN($T1324)-LEN(SUBSTITUTE($T1324,"Quality of Works / Criteria of Failings:","")))/LEN("Quality of Works / Criteria of Failings:"),0)-IFERROR((LEN($T1324)-LEN(SUBSTITUTE($T1324,"Quality of Works / Criteria of Failings:Compliant","")))/LEN("Quality of Works / Criteria of Failings:Compliant"),0))</f>
        <v/>
      </c>
      <c r="Z1323" s="122">
        <f>IFERROR($Y1324/MAX(1,(LEN($I1324)-LEN(SUBSTITUTE($I1324," Ltd","")))/LEN(" Ltd")),0)</f>
        <v/>
      </c>
      <c r="AA1323" s="122">
        <f>IFERROR(IFERROR((LEN($T1324)-LEN(SUBSTITUTE($T1324,"Quality of Works / Criteria of Failings:","")))/LEN("Quality of Works / Criteria of Failings:"),0)/MAX(1,(LEN($I1324)-LEN(SUBSTITUTE($I1324," Ltd","")))/LEN(" Ltd")),0)</f>
        <v/>
      </c>
      <c r="AB1323" s="122">
        <f>IFERROR(IFERROR((LEN($T1324)-LEN(SUBSTITUTE($T1324,"Quality of Works / Criteria of Failings:Compliant","")))/LEN("Quality of Works / Criteria of Failings:Compliant"),0)/MAX(1,(LEN($I1324)-LEN(SUBSTITUTE($I1324," Ltd","")))/LEN(" Ltd")),0)</f>
        <v/>
      </c>
    </row>
    <row r="1324" ht="15" customHeight="1" s="146">
      <c r="Y1324" s="122">
        <f>MAX(0,IFERROR((LEN($T1325)-LEN(SUBSTITUTE($T1325,"Quality of Works / Criteria of Failings:","")))/LEN("Quality of Works / Criteria of Failings:"),0)-IFERROR((LEN($T1325)-LEN(SUBSTITUTE($T1325,"Quality of Works / Criteria of Failings:Compliant","")))/LEN("Quality of Works / Criteria of Failings:Compliant"),0))</f>
        <v/>
      </c>
      <c r="Z1324" s="122">
        <f>IFERROR($Y1325/MAX(1,(LEN($I1325)-LEN(SUBSTITUTE($I1325," Ltd","")))/LEN(" Ltd")),0)</f>
        <v/>
      </c>
      <c r="AA1324" s="122">
        <f>IFERROR(IFERROR((LEN($T1325)-LEN(SUBSTITUTE($T1325,"Quality of Works / Criteria of Failings:","")))/LEN("Quality of Works / Criteria of Failings:"),0)/MAX(1,(LEN($I1325)-LEN(SUBSTITUTE($I1325," Ltd","")))/LEN(" Ltd")),0)</f>
        <v/>
      </c>
      <c r="AB1324" s="122">
        <f>IFERROR(IFERROR((LEN($T1325)-LEN(SUBSTITUTE($T1325,"Quality of Works / Criteria of Failings:Compliant","")))/LEN("Quality of Works / Criteria of Failings:Compliant"),0)/MAX(1,(LEN($I1325)-LEN(SUBSTITUTE($I1325," Ltd","")))/LEN(" Ltd")),0)</f>
        <v/>
      </c>
    </row>
    <row r="1325" ht="15" customHeight="1" s="146">
      <c r="Y1325" s="122">
        <f>MAX(0,IFERROR((LEN($T1326)-LEN(SUBSTITUTE($T1326,"Quality of Works / Criteria of Failings:","")))/LEN("Quality of Works / Criteria of Failings:"),0)-IFERROR((LEN($T1326)-LEN(SUBSTITUTE($T1326,"Quality of Works / Criteria of Failings:Compliant","")))/LEN("Quality of Works / Criteria of Failings:Compliant"),0))</f>
        <v/>
      </c>
      <c r="Z1325" s="122">
        <f>IFERROR($Y1326/MAX(1,(LEN($I1326)-LEN(SUBSTITUTE($I1326," Ltd","")))/LEN(" Ltd")),0)</f>
        <v/>
      </c>
      <c r="AA1325" s="122">
        <f>IFERROR(IFERROR((LEN($T1326)-LEN(SUBSTITUTE($T1326,"Quality of Works / Criteria of Failings:","")))/LEN("Quality of Works / Criteria of Failings:"),0)/MAX(1,(LEN($I1326)-LEN(SUBSTITUTE($I1326," Ltd","")))/LEN(" Ltd")),0)</f>
        <v/>
      </c>
      <c r="AB1325" s="122">
        <f>IFERROR(IFERROR((LEN($T1326)-LEN(SUBSTITUTE($T1326,"Quality of Works / Criteria of Failings:Compliant","")))/LEN("Quality of Works / Criteria of Failings:Compliant"),0)/MAX(1,(LEN($I1326)-LEN(SUBSTITUTE($I1326," Ltd","")))/LEN(" Ltd")),0)</f>
        <v/>
      </c>
    </row>
    <row r="1326" ht="15" customHeight="1" s="146">
      <c r="Y1326" s="122">
        <f>MAX(0,IFERROR((LEN($T1327)-LEN(SUBSTITUTE($T1327,"Quality of Works / Criteria of Failings:","")))/LEN("Quality of Works / Criteria of Failings:"),0)-IFERROR((LEN($T1327)-LEN(SUBSTITUTE($T1327,"Quality of Works / Criteria of Failings:Compliant","")))/LEN("Quality of Works / Criteria of Failings:Compliant"),0))</f>
        <v/>
      </c>
      <c r="Z1326" s="122">
        <f>IFERROR($Y1327/MAX(1,(LEN($I1327)-LEN(SUBSTITUTE($I1327," Ltd","")))/LEN(" Ltd")),0)</f>
        <v/>
      </c>
      <c r="AA1326" s="122">
        <f>IFERROR(IFERROR((LEN($T1327)-LEN(SUBSTITUTE($T1327,"Quality of Works / Criteria of Failings:","")))/LEN("Quality of Works / Criteria of Failings:"),0)/MAX(1,(LEN($I1327)-LEN(SUBSTITUTE($I1327," Ltd","")))/LEN(" Ltd")),0)</f>
        <v/>
      </c>
      <c r="AB1326" s="122">
        <f>IFERROR(IFERROR((LEN($T1327)-LEN(SUBSTITUTE($T1327,"Quality of Works / Criteria of Failings:Compliant","")))/LEN("Quality of Works / Criteria of Failings:Compliant"),0)/MAX(1,(LEN($I1327)-LEN(SUBSTITUTE($I1327," Ltd","")))/LEN(" Ltd")),0)</f>
        <v/>
      </c>
    </row>
    <row r="1327" ht="15" customHeight="1" s="146">
      <c r="Y1327" s="122">
        <f>MAX(0,IFERROR((LEN($T1328)-LEN(SUBSTITUTE($T1328,"Quality of Works / Criteria of Failings:","")))/LEN("Quality of Works / Criteria of Failings:"),0)-IFERROR((LEN($T1328)-LEN(SUBSTITUTE($T1328,"Quality of Works / Criteria of Failings:Compliant","")))/LEN("Quality of Works / Criteria of Failings:Compliant"),0))</f>
        <v/>
      </c>
      <c r="Z1327" s="122">
        <f>IFERROR($Y1328/MAX(1,(LEN($I1328)-LEN(SUBSTITUTE($I1328," Ltd","")))/LEN(" Ltd")),0)</f>
        <v/>
      </c>
      <c r="AA1327" s="122">
        <f>IFERROR(IFERROR((LEN($T1328)-LEN(SUBSTITUTE($T1328,"Quality of Works / Criteria of Failings:","")))/LEN("Quality of Works / Criteria of Failings:"),0)/MAX(1,(LEN($I1328)-LEN(SUBSTITUTE($I1328," Ltd","")))/LEN(" Ltd")),0)</f>
        <v/>
      </c>
      <c r="AB1327" s="122">
        <f>IFERROR(IFERROR((LEN($T1328)-LEN(SUBSTITUTE($T1328,"Quality of Works / Criteria of Failings:Compliant","")))/LEN("Quality of Works / Criteria of Failings:Compliant"),0)/MAX(1,(LEN($I1328)-LEN(SUBSTITUTE($I1328," Ltd","")))/LEN(" Ltd")),0)</f>
        <v/>
      </c>
    </row>
    <row r="1328" ht="15" customHeight="1" s="146">
      <c r="Y1328" s="122">
        <f>MAX(0,IFERROR((LEN($T1329)-LEN(SUBSTITUTE($T1329,"Quality of Works / Criteria of Failings:","")))/LEN("Quality of Works / Criteria of Failings:"),0)-IFERROR((LEN($T1329)-LEN(SUBSTITUTE($T1329,"Quality of Works / Criteria of Failings:Compliant","")))/LEN("Quality of Works / Criteria of Failings:Compliant"),0))</f>
        <v/>
      </c>
      <c r="Z1328" s="122">
        <f>IFERROR($Y1329/MAX(1,(LEN($I1329)-LEN(SUBSTITUTE($I1329," Ltd","")))/LEN(" Ltd")),0)</f>
        <v/>
      </c>
      <c r="AA1328" s="122">
        <f>IFERROR(IFERROR((LEN($T1329)-LEN(SUBSTITUTE($T1329,"Quality of Works / Criteria of Failings:","")))/LEN("Quality of Works / Criteria of Failings:"),0)/MAX(1,(LEN($I1329)-LEN(SUBSTITUTE($I1329," Ltd","")))/LEN(" Ltd")),0)</f>
        <v/>
      </c>
      <c r="AB1328" s="122">
        <f>IFERROR(IFERROR((LEN($T1329)-LEN(SUBSTITUTE($T1329,"Quality of Works / Criteria of Failings:Compliant","")))/LEN("Quality of Works / Criteria of Failings:Compliant"),0)/MAX(1,(LEN($I1329)-LEN(SUBSTITUTE($I1329," Ltd","")))/LEN(" Ltd")),0)</f>
        <v/>
      </c>
    </row>
    <row r="1329" ht="15" customHeight="1" s="146">
      <c r="Y1329" s="122">
        <f>MAX(0,IFERROR((LEN($T1330)-LEN(SUBSTITUTE($T1330,"Quality of Works / Criteria of Failings:","")))/LEN("Quality of Works / Criteria of Failings:"),0)-IFERROR((LEN($T1330)-LEN(SUBSTITUTE($T1330,"Quality of Works / Criteria of Failings:Compliant","")))/LEN("Quality of Works / Criteria of Failings:Compliant"),0))</f>
        <v/>
      </c>
      <c r="Z1329" s="122">
        <f>IFERROR($Y1330/MAX(1,(LEN($I1330)-LEN(SUBSTITUTE($I1330," Ltd","")))/LEN(" Ltd")),0)</f>
        <v/>
      </c>
      <c r="AA1329" s="122">
        <f>IFERROR(IFERROR((LEN($T1330)-LEN(SUBSTITUTE($T1330,"Quality of Works / Criteria of Failings:","")))/LEN("Quality of Works / Criteria of Failings:"),0)/MAX(1,(LEN($I1330)-LEN(SUBSTITUTE($I1330," Ltd","")))/LEN(" Ltd")),0)</f>
        <v/>
      </c>
      <c r="AB1329" s="122">
        <f>IFERROR(IFERROR((LEN($T1330)-LEN(SUBSTITUTE($T1330,"Quality of Works / Criteria of Failings:Compliant","")))/LEN("Quality of Works / Criteria of Failings:Compliant"),0)/MAX(1,(LEN($I1330)-LEN(SUBSTITUTE($I1330," Ltd","")))/LEN(" Ltd")),0)</f>
        <v/>
      </c>
    </row>
    <row r="1330" ht="15" customHeight="1" s="146">
      <c r="Y1330" s="122">
        <f>MAX(0,IFERROR((LEN($T1331)-LEN(SUBSTITUTE($T1331,"Quality of Works / Criteria of Failings:","")))/LEN("Quality of Works / Criteria of Failings:"),0)-IFERROR((LEN($T1331)-LEN(SUBSTITUTE($T1331,"Quality of Works / Criteria of Failings:Compliant","")))/LEN("Quality of Works / Criteria of Failings:Compliant"),0))</f>
        <v/>
      </c>
      <c r="Z1330" s="122">
        <f>IFERROR($Y1331/MAX(1,(LEN($I1331)-LEN(SUBSTITUTE($I1331," Ltd","")))/LEN(" Ltd")),0)</f>
        <v/>
      </c>
      <c r="AA1330" s="122">
        <f>IFERROR(IFERROR((LEN($T1331)-LEN(SUBSTITUTE($T1331,"Quality of Works / Criteria of Failings:","")))/LEN("Quality of Works / Criteria of Failings:"),0)/MAX(1,(LEN($I1331)-LEN(SUBSTITUTE($I1331," Ltd","")))/LEN(" Ltd")),0)</f>
        <v/>
      </c>
      <c r="AB1330" s="122">
        <f>IFERROR(IFERROR((LEN($T1331)-LEN(SUBSTITUTE($T1331,"Quality of Works / Criteria of Failings:Compliant","")))/LEN("Quality of Works / Criteria of Failings:Compliant"),0)/MAX(1,(LEN($I1331)-LEN(SUBSTITUTE($I1331," Ltd","")))/LEN(" Ltd")),0)</f>
        <v/>
      </c>
    </row>
    <row r="1331" ht="15" customHeight="1" s="146">
      <c r="Y1331" s="122">
        <f>MAX(0,IFERROR((LEN($T1332)-LEN(SUBSTITUTE($T1332,"Quality of Works / Criteria of Failings:","")))/LEN("Quality of Works / Criteria of Failings:"),0)-IFERROR((LEN($T1332)-LEN(SUBSTITUTE($T1332,"Quality of Works / Criteria of Failings:Compliant","")))/LEN("Quality of Works / Criteria of Failings:Compliant"),0))</f>
        <v/>
      </c>
      <c r="Z1331" s="122">
        <f>IFERROR($Y1332/MAX(1,(LEN($I1332)-LEN(SUBSTITUTE($I1332," Ltd","")))/LEN(" Ltd")),0)</f>
        <v/>
      </c>
      <c r="AA1331" s="122">
        <f>IFERROR(IFERROR((LEN($T1332)-LEN(SUBSTITUTE($T1332,"Quality of Works / Criteria of Failings:","")))/LEN("Quality of Works / Criteria of Failings:"),0)/MAX(1,(LEN($I1332)-LEN(SUBSTITUTE($I1332," Ltd","")))/LEN(" Ltd")),0)</f>
        <v/>
      </c>
      <c r="AB1331" s="122">
        <f>IFERROR(IFERROR((LEN($T1332)-LEN(SUBSTITUTE($T1332,"Quality of Works / Criteria of Failings:Compliant","")))/LEN("Quality of Works / Criteria of Failings:Compliant"),0)/MAX(1,(LEN($I1332)-LEN(SUBSTITUTE($I1332," Ltd","")))/LEN(" Ltd")),0)</f>
        <v/>
      </c>
    </row>
    <row r="1332" ht="15" customHeight="1" s="146">
      <c r="Y1332" s="122">
        <f>MAX(0,IFERROR((LEN($T1333)-LEN(SUBSTITUTE($T1333,"Quality of Works / Criteria of Failings:","")))/LEN("Quality of Works / Criteria of Failings:"),0)-IFERROR((LEN($T1333)-LEN(SUBSTITUTE($T1333,"Quality of Works / Criteria of Failings:Compliant","")))/LEN("Quality of Works / Criteria of Failings:Compliant"),0))</f>
        <v/>
      </c>
      <c r="Z1332" s="122">
        <f>IFERROR($Y1333/MAX(1,(LEN($I1333)-LEN(SUBSTITUTE($I1333," Ltd","")))/LEN(" Ltd")),0)</f>
        <v/>
      </c>
      <c r="AA1332" s="122">
        <f>IFERROR(IFERROR((LEN($T1333)-LEN(SUBSTITUTE($T1333,"Quality of Works / Criteria of Failings:","")))/LEN("Quality of Works / Criteria of Failings:"),0)/MAX(1,(LEN($I1333)-LEN(SUBSTITUTE($I1333," Ltd","")))/LEN(" Ltd")),0)</f>
        <v/>
      </c>
      <c r="AB1332" s="122">
        <f>IFERROR(IFERROR((LEN($T1333)-LEN(SUBSTITUTE($T1333,"Quality of Works / Criteria of Failings:Compliant","")))/LEN("Quality of Works / Criteria of Failings:Compliant"),0)/MAX(1,(LEN($I1333)-LEN(SUBSTITUTE($I1333," Ltd","")))/LEN(" Ltd")),0)</f>
        <v/>
      </c>
    </row>
    <row r="1333" ht="15" customHeight="1" s="146">
      <c r="Y1333" s="122">
        <f>MAX(0,IFERROR((LEN($T1334)-LEN(SUBSTITUTE($T1334,"Quality of Works / Criteria of Failings:","")))/LEN("Quality of Works / Criteria of Failings:"),0)-IFERROR((LEN($T1334)-LEN(SUBSTITUTE($T1334,"Quality of Works / Criteria of Failings:Compliant","")))/LEN("Quality of Works / Criteria of Failings:Compliant"),0))</f>
        <v/>
      </c>
      <c r="Z1333" s="122">
        <f>IFERROR($Y1334/MAX(1,(LEN($I1334)-LEN(SUBSTITUTE($I1334," Ltd","")))/LEN(" Ltd")),0)</f>
        <v/>
      </c>
      <c r="AA1333" s="122">
        <f>IFERROR(IFERROR((LEN($T1334)-LEN(SUBSTITUTE($T1334,"Quality of Works / Criteria of Failings:","")))/LEN("Quality of Works / Criteria of Failings:"),0)/MAX(1,(LEN($I1334)-LEN(SUBSTITUTE($I1334," Ltd","")))/LEN(" Ltd")),0)</f>
        <v/>
      </c>
      <c r="AB1333" s="122">
        <f>IFERROR(IFERROR((LEN($T1334)-LEN(SUBSTITUTE($T1334,"Quality of Works / Criteria of Failings:Compliant","")))/LEN("Quality of Works / Criteria of Failings:Compliant"),0)/MAX(1,(LEN($I1334)-LEN(SUBSTITUTE($I1334," Ltd","")))/LEN(" Ltd")),0)</f>
        <v/>
      </c>
    </row>
    <row r="1334" ht="15" customHeight="1" s="146">
      <c r="Y1334" s="122">
        <f>MAX(0,IFERROR((LEN($T1335)-LEN(SUBSTITUTE($T1335,"Quality of Works / Criteria of Failings:","")))/LEN("Quality of Works / Criteria of Failings:"),0)-IFERROR((LEN($T1335)-LEN(SUBSTITUTE($T1335,"Quality of Works / Criteria of Failings:Compliant","")))/LEN("Quality of Works / Criteria of Failings:Compliant"),0))</f>
        <v/>
      </c>
      <c r="Z1334" s="122">
        <f>IFERROR($Y1335/MAX(1,(LEN($I1335)-LEN(SUBSTITUTE($I1335," Ltd","")))/LEN(" Ltd")),0)</f>
        <v/>
      </c>
      <c r="AA1334" s="122">
        <f>IFERROR(IFERROR((LEN($T1335)-LEN(SUBSTITUTE($T1335,"Quality of Works / Criteria of Failings:","")))/LEN("Quality of Works / Criteria of Failings:"),0)/MAX(1,(LEN($I1335)-LEN(SUBSTITUTE($I1335," Ltd","")))/LEN(" Ltd")),0)</f>
        <v/>
      </c>
      <c r="AB1334" s="122">
        <f>IFERROR(IFERROR((LEN($T1335)-LEN(SUBSTITUTE($T1335,"Quality of Works / Criteria of Failings:Compliant","")))/LEN("Quality of Works / Criteria of Failings:Compliant"),0)/MAX(1,(LEN($I1335)-LEN(SUBSTITUTE($I1335," Ltd","")))/LEN(" Ltd")),0)</f>
        <v/>
      </c>
    </row>
    <row r="1335" ht="15" customHeight="1" s="146">
      <c r="Y1335" s="122">
        <f>MAX(0,IFERROR((LEN($T1336)-LEN(SUBSTITUTE($T1336,"Quality of Works / Criteria of Failings:","")))/LEN("Quality of Works / Criteria of Failings:"),0)-IFERROR((LEN($T1336)-LEN(SUBSTITUTE($T1336,"Quality of Works / Criteria of Failings:Compliant","")))/LEN("Quality of Works / Criteria of Failings:Compliant"),0))</f>
        <v/>
      </c>
      <c r="Z1335" s="122">
        <f>IFERROR($Y1336/MAX(1,(LEN($I1336)-LEN(SUBSTITUTE($I1336," Ltd","")))/LEN(" Ltd")),0)</f>
        <v/>
      </c>
      <c r="AA1335" s="122">
        <f>IFERROR(IFERROR((LEN($T1336)-LEN(SUBSTITUTE($T1336,"Quality of Works / Criteria of Failings:","")))/LEN("Quality of Works / Criteria of Failings:"),0)/MAX(1,(LEN($I1336)-LEN(SUBSTITUTE($I1336," Ltd","")))/LEN(" Ltd")),0)</f>
        <v/>
      </c>
      <c r="AB1335" s="122">
        <f>IFERROR(IFERROR((LEN($T1336)-LEN(SUBSTITUTE($T1336,"Quality of Works / Criteria of Failings:Compliant","")))/LEN("Quality of Works / Criteria of Failings:Compliant"),0)/MAX(1,(LEN($I1336)-LEN(SUBSTITUTE($I1336," Ltd","")))/LEN(" Ltd")),0)</f>
        <v/>
      </c>
    </row>
    <row r="1336" ht="15" customHeight="1" s="146">
      <c r="Y1336" s="122">
        <f>MAX(0,IFERROR((LEN($T1337)-LEN(SUBSTITUTE($T1337,"Quality of Works / Criteria of Failings:","")))/LEN("Quality of Works / Criteria of Failings:"),0)-IFERROR((LEN($T1337)-LEN(SUBSTITUTE($T1337,"Quality of Works / Criteria of Failings:Compliant","")))/LEN("Quality of Works / Criteria of Failings:Compliant"),0))</f>
        <v/>
      </c>
      <c r="Z1336" s="122">
        <f>IFERROR($Y1337/MAX(1,(LEN($I1337)-LEN(SUBSTITUTE($I1337," Ltd","")))/LEN(" Ltd")),0)</f>
        <v/>
      </c>
      <c r="AA1336" s="122">
        <f>IFERROR(IFERROR((LEN($T1337)-LEN(SUBSTITUTE($T1337,"Quality of Works / Criteria of Failings:","")))/LEN("Quality of Works / Criteria of Failings:"),0)/MAX(1,(LEN($I1337)-LEN(SUBSTITUTE($I1337," Ltd","")))/LEN(" Ltd")),0)</f>
        <v/>
      </c>
      <c r="AB1336" s="122">
        <f>IFERROR(IFERROR((LEN($T1337)-LEN(SUBSTITUTE($T1337,"Quality of Works / Criteria of Failings:Compliant","")))/LEN("Quality of Works / Criteria of Failings:Compliant"),0)/MAX(1,(LEN($I1337)-LEN(SUBSTITUTE($I1337," Ltd","")))/LEN(" Ltd")),0)</f>
        <v/>
      </c>
    </row>
    <row r="1337" ht="15" customHeight="1" s="146">
      <c r="Y1337" s="122">
        <f>MAX(0,IFERROR((LEN($T1338)-LEN(SUBSTITUTE($T1338,"Quality of Works / Criteria of Failings:","")))/LEN("Quality of Works / Criteria of Failings:"),0)-IFERROR((LEN($T1338)-LEN(SUBSTITUTE($T1338,"Quality of Works / Criteria of Failings:Compliant","")))/LEN("Quality of Works / Criteria of Failings:Compliant"),0))</f>
        <v/>
      </c>
      <c r="Z1337" s="122">
        <f>IFERROR($Y1338/MAX(1,(LEN($I1338)-LEN(SUBSTITUTE($I1338," Ltd","")))/LEN(" Ltd")),0)</f>
        <v/>
      </c>
      <c r="AA1337" s="122">
        <f>IFERROR(IFERROR((LEN($T1338)-LEN(SUBSTITUTE($T1338,"Quality of Works / Criteria of Failings:","")))/LEN("Quality of Works / Criteria of Failings:"),0)/MAX(1,(LEN($I1338)-LEN(SUBSTITUTE($I1338," Ltd","")))/LEN(" Ltd")),0)</f>
        <v/>
      </c>
      <c r="AB1337" s="122">
        <f>IFERROR(IFERROR((LEN($T1338)-LEN(SUBSTITUTE($T1338,"Quality of Works / Criteria of Failings:Compliant","")))/LEN("Quality of Works / Criteria of Failings:Compliant"),0)/MAX(1,(LEN($I1338)-LEN(SUBSTITUTE($I1338," Ltd","")))/LEN(" Ltd")),0)</f>
        <v/>
      </c>
    </row>
    <row r="1338" ht="15" customHeight="1" s="146">
      <c r="Y1338" s="122">
        <f>MAX(0,IFERROR((LEN($T1339)-LEN(SUBSTITUTE($T1339,"Quality of Works / Criteria of Failings:","")))/LEN("Quality of Works / Criteria of Failings:"),0)-IFERROR((LEN($T1339)-LEN(SUBSTITUTE($T1339,"Quality of Works / Criteria of Failings:Compliant","")))/LEN("Quality of Works / Criteria of Failings:Compliant"),0))</f>
        <v/>
      </c>
      <c r="Z1338" s="122">
        <f>IFERROR($Y1339/MAX(1,(LEN($I1339)-LEN(SUBSTITUTE($I1339," Ltd","")))/LEN(" Ltd")),0)</f>
        <v/>
      </c>
      <c r="AA1338" s="122">
        <f>IFERROR(IFERROR((LEN($T1339)-LEN(SUBSTITUTE($T1339,"Quality of Works / Criteria of Failings:","")))/LEN("Quality of Works / Criteria of Failings:"),0)/MAX(1,(LEN($I1339)-LEN(SUBSTITUTE($I1339," Ltd","")))/LEN(" Ltd")),0)</f>
        <v/>
      </c>
      <c r="AB1338" s="122">
        <f>IFERROR(IFERROR((LEN($T1339)-LEN(SUBSTITUTE($T1339,"Quality of Works / Criteria of Failings:Compliant","")))/LEN("Quality of Works / Criteria of Failings:Compliant"),0)/MAX(1,(LEN($I1339)-LEN(SUBSTITUTE($I1339," Ltd","")))/LEN(" Ltd")),0)</f>
        <v/>
      </c>
    </row>
    <row r="1339" ht="15" customHeight="1" s="146">
      <c r="Y1339" s="122">
        <f>MAX(0,IFERROR((LEN($T1340)-LEN(SUBSTITUTE($T1340,"Quality of Works / Criteria of Failings:","")))/LEN("Quality of Works / Criteria of Failings:"),0)-IFERROR((LEN($T1340)-LEN(SUBSTITUTE($T1340,"Quality of Works / Criteria of Failings:Compliant","")))/LEN("Quality of Works / Criteria of Failings:Compliant"),0))</f>
        <v/>
      </c>
      <c r="Z1339" s="122">
        <f>IFERROR($Y1340/MAX(1,(LEN($I1340)-LEN(SUBSTITUTE($I1340," Ltd","")))/LEN(" Ltd")),0)</f>
        <v/>
      </c>
      <c r="AA1339" s="122">
        <f>IFERROR(IFERROR((LEN($T1340)-LEN(SUBSTITUTE($T1340,"Quality of Works / Criteria of Failings:","")))/LEN("Quality of Works / Criteria of Failings:"),0)/MAX(1,(LEN($I1340)-LEN(SUBSTITUTE($I1340," Ltd","")))/LEN(" Ltd")),0)</f>
        <v/>
      </c>
      <c r="AB1339" s="122">
        <f>IFERROR(IFERROR((LEN($T1340)-LEN(SUBSTITUTE($T1340,"Quality of Works / Criteria of Failings:Compliant","")))/LEN("Quality of Works / Criteria of Failings:Compliant"),0)/MAX(1,(LEN($I1340)-LEN(SUBSTITUTE($I1340," Ltd","")))/LEN(" Ltd")),0)</f>
        <v/>
      </c>
    </row>
    <row r="1340" ht="15" customHeight="1" s="146">
      <c r="Y1340" s="122">
        <f>MAX(0,IFERROR((LEN($T1341)-LEN(SUBSTITUTE($T1341,"Quality of Works / Criteria of Failings:","")))/LEN("Quality of Works / Criteria of Failings:"),0)-IFERROR((LEN($T1341)-LEN(SUBSTITUTE($T1341,"Quality of Works / Criteria of Failings:Compliant","")))/LEN("Quality of Works / Criteria of Failings:Compliant"),0))</f>
        <v/>
      </c>
      <c r="Z1340" s="122">
        <f>IFERROR($Y1341/MAX(1,(LEN($I1341)-LEN(SUBSTITUTE($I1341," Ltd","")))/LEN(" Ltd")),0)</f>
        <v/>
      </c>
      <c r="AA1340" s="122">
        <f>IFERROR(IFERROR((LEN($T1341)-LEN(SUBSTITUTE($T1341,"Quality of Works / Criteria of Failings:","")))/LEN("Quality of Works / Criteria of Failings:"),0)/MAX(1,(LEN($I1341)-LEN(SUBSTITUTE($I1341," Ltd","")))/LEN(" Ltd")),0)</f>
        <v/>
      </c>
      <c r="AB1340" s="122">
        <f>IFERROR(IFERROR((LEN($T1341)-LEN(SUBSTITUTE($T1341,"Quality of Works / Criteria of Failings:Compliant","")))/LEN("Quality of Works / Criteria of Failings:Compliant"),0)/MAX(1,(LEN($I1341)-LEN(SUBSTITUTE($I1341," Ltd","")))/LEN(" Ltd")),0)</f>
        <v/>
      </c>
    </row>
    <row r="1341" ht="15" customHeight="1" s="146">
      <c r="Y1341" s="122">
        <f>MAX(0,IFERROR((LEN($T1342)-LEN(SUBSTITUTE($T1342,"Quality of Works / Criteria of Failings:","")))/LEN("Quality of Works / Criteria of Failings:"),0)-IFERROR((LEN($T1342)-LEN(SUBSTITUTE($T1342,"Quality of Works / Criteria of Failings:Compliant","")))/LEN("Quality of Works / Criteria of Failings:Compliant"),0))</f>
        <v/>
      </c>
      <c r="Z1341" s="122">
        <f>IFERROR($Y1342/MAX(1,(LEN($I1342)-LEN(SUBSTITUTE($I1342," Ltd","")))/LEN(" Ltd")),0)</f>
        <v/>
      </c>
      <c r="AA1341" s="122">
        <f>IFERROR(IFERROR((LEN($T1342)-LEN(SUBSTITUTE($T1342,"Quality of Works / Criteria of Failings:","")))/LEN("Quality of Works / Criteria of Failings:"),0)/MAX(1,(LEN($I1342)-LEN(SUBSTITUTE($I1342," Ltd","")))/LEN(" Ltd")),0)</f>
        <v/>
      </c>
      <c r="AB1341" s="122">
        <f>IFERROR(IFERROR((LEN($T1342)-LEN(SUBSTITUTE($T1342,"Quality of Works / Criteria of Failings:Compliant","")))/LEN("Quality of Works / Criteria of Failings:Compliant"),0)/MAX(1,(LEN($I1342)-LEN(SUBSTITUTE($I1342," Ltd","")))/LEN(" Ltd")),0)</f>
        <v/>
      </c>
    </row>
    <row r="1342" ht="15" customHeight="1" s="146">
      <c r="Y1342" s="122">
        <f>MAX(0,IFERROR((LEN($T1343)-LEN(SUBSTITUTE($T1343,"Quality of Works / Criteria of Failings:","")))/LEN("Quality of Works / Criteria of Failings:"),0)-IFERROR((LEN($T1343)-LEN(SUBSTITUTE($T1343,"Quality of Works / Criteria of Failings:Compliant","")))/LEN("Quality of Works / Criteria of Failings:Compliant"),0))</f>
        <v/>
      </c>
      <c r="Z1342" s="122">
        <f>IFERROR($Y1343/MAX(1,(LEN($I1343)-LEN(SUBSTITUTE($I1343," Ltd","")))/LEN(" Ltd")),0)</f>
        <v/>
      </c>
      <c r="AA1342" s="122">
        <f>IFERROR(IFERROR((LEN($T1343)-LEN(SUBSTITUTE($T1343,"Quality of Works / Criteria of Failings:","")))/LEN("Quality of Works / Criteria of Failings:"),0)/MAX(1,(LEN($I1343)-LEN(SUBSTITUTE($I1343," Ltd","")))/LEN(" Ltd")),0)</f>
        <v/>
      </c>
      <c r="AB1342" s="122">
        <f>IFERROR(IFERROR((LEN($T1343)-LEN(SUBSTITUTE($T1343,"Quality of Works / Criteria of Failings:Compliant","")))/LEN("Quality of Works / Criteria of Failings:Compliant"),0)/MAX(1,(LEN($I1343)-LEN(SUBSTITUTE($I1343," Ltd","")))/LEN(" Ltd")),0)</f>
        <v/>
      </c>
    </row>
    <row r="1343" ht="15" customHeight="1" s="146">
      <c r="Y1343" s="122">
        <f>MAX(0,IFERROR((LEN($T1344)-LEN(SUBSTITUTE($T1344,"Quality of Works / Criteria of Failings:","")))/LEN("Quality of Works / Criteria of Failings:"),0)-IFERROR((LEN($T1344)-LEN(SUBSTITUTE($T1344,"Quality of Works / Criteria of Failings:Compliant","")))/LEN("Quality of Works / Criteria of Failings:Compliant"),0))</f>
        <v/>
      </c>
      <c r="Z1343" s="122">
        <f>IFERROR($Y1344/MAX(1,(LEN($I1344)-LEN(SUBSTITUTE($I1344," Ltd","")))/LEN(" Ltd")),0)</f>
        <v/>
      </c>
      <c r="AA1343" s="122">
        <f>IFERROR(IFERROR((LEN($T1344)-LEN(SUBSTITUTE($T1344,"Quality of Works / Criteria of Failings:","")))/LEN("Quality of Works / Criteria of Failings:"),0)/MAX(1,(LEN($I1344)-LEN(SUBSTITUTE($I1344," Ltd","")))/LEN(" Ltd")),0)</f>
        <v/>
      </c>
      <c r="AB1343" s="122">
        <f>IFERROR(IFERROR((LEN($T1344)-LEN(SUBSTITUTE($T1344,"Quality of Works / Criteria of Failings:Compliant","")))/LEN("Quality of Works / Criteria of Failings:Compliant"),0)/MAX(1,(LEN($I1344)-LEN(SUBSTITUTE($I1344," Ltd","")))/LEN(" Ltd")),0)</f>
        <v/>
      </c>
    </row>
    <row r="1344" ht="15" customHeight="1" s="146">
      <c r="Y1344" s="122">
        <f>MAX(0,IFERROR((LEN($T1345)-LEN(SUBSTITUTE($T1345,"Quality of Works / Criteria of Failings:","")))/LEN("Quality of Works / Criteria of Failings:"),0)-IFERROR((LEN($T1345)-LEN(SUBSTITUTE($T1345,"Quality of Works / Criteria of Failings:Compliant","")))/LEN("Quality of Works / Criteria of Failings:Compliant"),0))</f>
        <v/>
      </c>
      <c r="Z1344" s="122">
        <f>IFERROR($Y1345/MAX(1,(LEN($I1345)-LEN(SUBSTITUTE($I1345," Ltd","")))/LEN(" Ltd")),0)</f>
        <v/>
      </c>
      <c r="AA1344" s="122">
        <f>IFERROR(IFERROR((LEN($T1345)-LEN(SUBSTITUTE($T1345,"Quality of Works / Criteria of Failings:","")))/LEN("Quality of Works / Criteria of Failings:"),0)/MAX(1,(LEN($I1345)-LEN(SUBSTITUTE($I1345," Ltd","")))/LEN(" Ltd")),0)</f>
        <v/>
      </c>
      <c r="AB1344" s="122">
        <f>IFERROR(IFERROR((LEN($T1345)-LEN(SUBSTITUTE($T1345,"Quality of Works / Criteria of Failings:Compliant","")))/LEN("Quality of Works / Criteria of Failings:Compliant"),0)/MAX(1,(LEN($I1345)-LEN(SUBSTITUTE($I1345," Ltd","")))/LEN(" Ltd")),0)</f>
        <v/>
      </c>
    </row>
    <row r="1345" ht="15" customHeight="1" s="146">
      <c r="Y1345" s="122">
        <f>MAX(0,IFERROR((LEN($T1346)-LEN(SUBSTITUTE($T1346,"Quality of Works / Criteria of Failings:","")))/LEN("Quality of Works / Criteria of Failings:"),0)-IFERROR((LEN($T1346)-LEN(SUBSTITUTE($T1346,"Quality of Works / Criteria of Failings:Compliant","")))/LEN("Quality of Works / Criteria of Failings:Compliant"),0))</f>
        <v/>
      </c>
      <c r="Z1345" s="122">
        <f>IFERROR($Y1346/MAX(1,(LEN($I1346)-LEN(SUBSTITUTE($I1346," Ltd","")))/LEN(" Ltd")),0)</f>
        <v/>
      </c>
      <c r="AA1345" s="122">
        <f>IFERROR(IFERROR((LEN($T1346)-LEN(SUBSTITUTE($T1346,"Quality of Works / Criteria of Failings:","")))/LEN("Quality of Works / Criteria of Failings:"),0)/MAX(1,(LEN($I1346)-LEN(SUBSTITUTE($I1346," Ltd","")))/LEN(" Ltd")),0)</f>
        <v/>
      </c>
      <c r="AB1345" s="122">
        <f>IFERROR(IFERROR((LEN($T1346)-LEN(SUBSTITUTE($T1346,"Quality of Works / Criteria of Failings:Compliant","")))/LEN("Quality of Works / Criteria of Failings:Compliant"),0)/MAX(1,(LEN($I1346)-LEN(SUBSTITUTE($I1346," Ltd","")))/LEN(" Ltd")),0)</f>
        <v/>
      </c>
    </row>
    <row r="1346" ht="15" customHeight="1" s="146">
      <c r="Y1346" s="122">
        <f>MAX(0,IFERROR((LEN($T1347)-LEN(SUBSTITUTE($T1347,"Quality of Works / Criteria of Failings:","")))/LEN("Quality of Works / Criteria of Failings:"),0)-IFERROR((LEN($T1347)-LEN(SUBSTITUTE($T1347,"Quality of Works / Criteria of Failings:Compliant","")))/LEN("Quality of Works / Criteria of Failings:Compliant"),0))</f>
        <v/>
      </c>
      <c r="Z1346" s="122">
        <f>IFERROR($Y1347/MAX(1,(LEN($I1347)-LEN(SUBSTITUTE($I1347," Ltd","")))/LEN(" Ltd")),0)</f>
        <v/>
      </c>
      <c r="AA1346" s="122">
        <f>IFERROR(IFERROR((LEN($T1347)-LEN(SUBSTITUTE($T1347,"Quality of Works / Criteria of Failings:","")))/LEN("Quality of Works / Criteria of Failings:"),0)/MAX(1,(LEN($I1347)-LEN(SUBSTITUTE($I1347," Ltd","")))/LEN(" Ltd")),0)</f>
        <v/>
      </c>
      <c r="AB1346" s="122">
        <f>IFERROR(IFERROR((LEN($T1347)-LEN(SUBSTITUTE($T1347,"Quality of Works / Criteria of Failings:Compliant","")))/LEN("Quality of Works / Criteria of Failings:Compliant"),0)/MAX(1,(LEN($I1347)-LEN(SUBSTITUTE($I1347," Ltd","")))/LEN(" Ltd")),0)</f>
        <v/>
      </c>
    </row>
    <row r="1347" ht="15" customHeight="1" s="146">
      <c r="Y1347" s="122">
        <f>MAX(0,IFERROR((LEN($T1348)-LEN(SUBSTITUTE($T1348,"Quality of Works / Criteria of Failings:","")))/LEN("Quality of Works / Criteria of Failings:"),0)-IFERROR((LEN($T1348)-LEN(SUBSTITUTE($T1348,"Quality of Works / Criteria of Failings:Compliant","")))/LEN("Quality of Works / Criteria of Failings:Compliant"),0))</f>
        <v/>
      </c>
      <c r="Z1347" s="122">
        <f>IFERROR($Y1348/MAX(1,(LEN($I1348)-LEN(SUBSTITUTE($I1348," Ltd","")))/LEN(" Ltd")),0)</f>
        <v/>
      </c>
      <c r="AA1347" s="122">
        <f>IFERROR(IFERROR((LEN($T1348)-LEN(SUBSTITUTE($T1348,"Quality of Works / Criteria of Failings:","")))/LEN("Quality of Works / Criteria of Failings:"),0)/MAX(1,(LEN($I1348)-LEN(SUBSTITUTE($I1348," Ltd","")))/LEN(" Ltd")),0)</f>
        <v/>
      </c>
      <c r="AB1347" s="122">
        <f>IFERROR(IFERROR((LEN($T1348)-LEN(SUBSTITUTE($T1348,"Quality of Works / Criteria of Failings:Compliant","")))/LEN("Quality of Works / Criteria of Failings:Compliant"),0)/MAX(1,(LEN($I1348)-LEN(SUBSTITUTE($I1348," Ltd","")))/LEN(" Ltd")),0)</f>
        <v/>
      </c>
    </row>
    <row r="1348" ht="15" customHeight="1" s="146">
      <c r="Y1348" s="122">
        <f>MAX(0,IFERROR((LEN($T1349)-LEN(SUBSTITUTE($T1349,"Quality of Works / Criteria of Failings:","")))/LEN("Quality of Works / Criteria of Failings:"),0)-IFERROR((LEN($T1349)-LEN(SUBSTITUTE($T1349,"Quality of Works / Criteria of Failings:Compliant","")))/LEN("Quality of Works / Criteria of Failings:Compliant"),0))</f>
        <v/>
      </c>
      <c r="Z1348" s="122">
        <f>IFERROR($Y1349/MAX(1,(LEN($I1349)-LEN(SUBSTITUTE($I1349," Ltd","")))/LEN(" Ltd")),0)</f>
        <v/>
      </c>
      <c r="AA1348" s="122">
        <f>IFERROR(IFERROR((LEN($T1349)-LEN(SUBSTITUTE($T1349,"Quality of Works / Criteria of Failings:","")))/LEN("Quality of Works / Criteria of Failings:"),0)/MAX(1,(LEN($I1349)-LEN(SUBSTITUTE($I1349," Ltd","")))/LEN(" Ltd")),0)</f>
        <v/>
      </c>
      <c r="AB1348" s="122">
        <f>IFERROR(IFERROR((LEN($T1349)-LEN(SUBSTITUTE($T1349,"Quality of Works / Criteria of Failings:Compliant","")))/LEN("Quality of Works / Criteria of Failings:Compliant"),0)/MAX(1,(LEN($I1349)-LEN(SUBSTITUTE($I1349," Ltd","")))/LEN(" Ltd")),0)</f>
        <v/>
      </c>
    </row>
    <row r="1349" ht="15" customHeight="1" s="146">
      <c r="Y1349" s="122">
        <f>MAX(0,IFERROR((LEN($T1350)-LEN(SUBSTITUTE($T1350,"Quality of Works / Criteria of Failings:","")))/LEN("Quality of Works / Criteria of Failings:"),0)-IFERROR((LEN($T1350)-LEN(SUBSTITUTE($T1350,"Quality of Works / Criteria of Failings:Compliant","")))/LEN("Quality of Works / Criteria of Failings:Compliant"),0))</f>
        <v/>
      </c>
      <c r="Z1349" s="122">
        <f>IFERROR($Y1350/MAX(1,(LEN($I1350)-LEN(SUBSTITUTE($I1350," Ltd","")))/LEN(" Ltd")),0)</f>
        <v/>
      </c>
      <c r="AA1349" s="122">
        <f>IFERROR(IFERROR((LEN($T1350)-LEN(SUBSTITUTE($T1350,"Quality of Works / Criteria of Failings:","")))/LEN("Quality of Works / Criteria of Failings:"),0)/MAX(1,(LEN($I1350)-LEN(SUBSTITUTE($I1350," Ltd","")))/LEN(" Ltd")),0)</f>
        <v/>
      </c>
      <c r="AB1349" s="122">
        <f>IFERROR(IFERROR((LEN($T1350)-LEN(SUBSTITUTE($T1350,"Quality of Works / Criteria of Failings:Compliant","")))/LEN("Quality of Works / Criteria of Failings:Compliant"),0)/MAX(1,(LEN($I1350)-LEN(SUBSTITUTE($I1350," Ltd","")))/LEN(" Ltd")),0)</f>
        <v/>
      </c>
    </row>
    <row r="1350" ht="15" customHeight="1" s="146">
      <c r="Y1350" s="122">
        <f>MAX(0,IFERROR((LEN($T1351)-LEN(SUBSTITUTE($T1351,"Quality of Works / Criteria of Failings:","")))/LEN("Quality of Works / Criteria of Failings:"),0)-IFERROR((LEN($T1351)-LEN(SUBSTITUTE($T1351,"Quality of Works / Criteria of Failings:Compliant","")))/LEN("Quality of Works / Criteria of Failings:Compliant"),0))</f>
        <v/>
      </c>
      <c r="Z1350" s="122">
        <f>IFERROR($Y1351/MAX(1,(LEN($I1351)-LEN(SUBSTITUTE($I1351," Ltd","")))/LEN(" Ltd")),0)</f>
        <v/>
      </c>
      <c r="AA1350" s="122">
        <f>IFERROR(IFERROR((LEN($T1351)-LEN(SUBSTITUTE($T1351,"Quality of Works / Criteria of Failings:","")))/LEN("Quality of Works / Criteria of Failings:"),0)/MAX(1,(LEN($I1351)-LEN(SUBSTITUTE($I1351," Ltd","")))/LEN(" Ltd")),0)</f>
        <v/>
      </c>
      <c r="AB1350" s="122">
        <f>IFERROR(IFERROR((LEN($T1351)-LEN(SUBSTITUTE($T1351,"Quality of Works / Criteria of Failings:Compliant","")))/LEN("Quality of Works / Criteria of Failings:Compliant"),0)/MAX(1,(LEN($I1351)-LEN(SUBSTITUTE($I1351," Ltd","")))/LEN(" Ltd")),0)</f>
        <v/>
      </c>
    </row>
    <row r="1351" ht="15" customHeight="1" s="146">
      <c r="Y1351" s="122">
        <f>MAX(0,IFERROR((LEN($T1352)-LEN(SUBSTITUTE($T1352,"Quality of Works / Criteria of Failings:","")))/LEN("Quality of Works / Criteria of Failings:"),0)-IFERROR((LEN($T1352)-LEN(SUBSTITUTE($T1352,"Quality of Works / Criteria of Failings:Compliant","")))/LEN("Quality of Works / Criteria of Failings:Compliant"),0))</f>
        <v/>
      </c>
      <c r="Z1351" s="122">
        <f>IFERROR($Y1352/MAX(1,(LEN($I1352)-LEN(SUBSTITUTE($I1352," Ltd","")))/LEN(" Ltd")),0)</f>
        <v/>
      </c>
      <c r="AA1351" s="122">
        <f>IFERROR(IFERROR((LEN($T1352)-LEN(SUBSTITUTE($T1352,"Quality of Works / Criteria of Failings:","")))/LEN("Quality of Works / Criteria of Failings:"),0)/MAX(1,(LEN($I1352)-LEN(SUBSTITUTE($I1352," Ltd","")))/LEN(" Ltd")),0)</f>
        <v/>
      </c>
      <c r="AB1351" s="122">
        <f>IFERROR(IFERROR((LEN($T1352)-LEN(SUBSTITUTE($T1352,"Quality of Works / Criteria of Failings:Compliant","")))/LEN("Quality of Works / Criteria of Failings:Compliant"),0)/MAX(1,(LEN($I1352)-LEN(SUBSTITUTE($I1352," Ltd","")))/LEN(" Ltd")),0)</f>
        <v/>
      </c>
    </row>
    <row r="1352" ht="15" customHeight="1" s="146">
      <c r="Y1352" s="122">
        <f>MAX(0,IFERROR((LEN($T1353)-LEN(SUBSTITUTE($T1353,"Quality of Works / Criteria of Failings:","")))/LEN("Quality of Works / Criteria of Failings:"),0)-IFERROR((LEN($T1353)-LEN(SUBSTITUTE($T1353,"Quality of Works / Criteria of Failings:Compliant","")))/LEN("Quality of Works / Criteria of Failings:Compliant"),0))</f>
        <v/>
      </c>
      <c r="Z1352" s="122">
        <f>IFERROR($Y1353/MAX(1,(LEN($I1353)-LEN(SUBSTITUTE($I1353," Ltd","")))/LEN(" Ltd")),0)</f>
        <v/>
      </c>
      <c r="AA1352" s="122">
        <f>IFERROR(IFERROR((LEN($T1353)-LEN(SUBSTITUTE($T1353,"Quality of Works / Criteria of Failings:","")))/LEN("Quality of Works / Criteria of Failings:"),0)/MAX(1,(LEN($I1353)-LEN(SUBSTITUTE($I1353," Ltd","")))/LEN(" Ltd")),0)</f>
        <v/>
      </c>
      <c r="AB1352" s="122">
        <f>IFERROR(IFERROR((LEN($T1353)-LEN(SUBSTITUTE($T1353,"Quality of Works / Criteria of Failings:Compliant","")))/LEN("Quality of Works / Criteria of Failings:Compliant"),0)/MAX(1,(LEN($I1353)-LEN(SUBSTITUTE($I1353," Ltd","")))/LEN(" Ltd")),0)</f>
        <v/>
      </c>
    </row>
    <row r="1353" ht="15" customHeight="1" s="146">
      <c r="Y1353" s="122">
        <f>MAX(0,IFERROR((LEN($T1354)-LEN(SUBSTITUTE($T1354,"Quality of Works / Criteria of Failings:","")))/LEN("Quality of Works / Criteria of Failings:"),0)-IFERROR((LEN($T1354)-LEN(SUBSTITUTE($T1354,"Quality of Works / Criteria of Failings:Compliant","")))/LEN("Quality of Works / Criteria of Failings:Compliant"),0))</f>
        <v/>
      </c>
      <c r="Z1353" s="122">
        <f>IFERROR($Y1354/MAX(1,(LEN($I1354)-LEN(SUBSTITUTE($I1354," Ltd","")))/LEN(" Ltd")),0)</f>
        <v/>
      </c>
      <c r="AA1353" s="122">
        <f>IFERROR(IFERROR((LEN($T1354)-LEN(SUBSTITUTE($T1354,"Quality of Works / Criteria of Failings:","")))/LEN("Quality of Works / Criteria of Failings:"),0)/MAX(1,(LEN($I1354)-LEN(SUBSTITUTE($I1354," Ltd","")))/LEN(" Ltd")),0)</f>
        <v/>
      </c>
      <c r="AB1353" s="122">
        <f>IFERROR(IFERROR((LEN($T1354)-LEN(SUBSTITUTE($T1354,"Quality of Works / Criteria of Failings:Compliant","")))/LEN("Quality of Works / Criteria of Failings:Compliant"),0)/MAX(1,(LEN($I1354)-LEN(SUBSTITUTE($I1354," Ltd","")))/LEN(" Ltd")),0)</f>
        <v/>
      </c>
    </row>
    <row r="1354" ht="15" customHeight="1" s="146">
      <c r="Y1354" s="122">
        <f>MAX(0,IFERROR((LEN($T1355)-LEN(SUBSTITUTE($T1355,"Quality of Works / Criteria of Failings:","")))/LEN("Quality of Works / Criteria of Failings:"),0)-IFERROR((LEN($T1355)-LEN(SUBSTITUTE($T1355,"Quality of Works / Criteria of Failings:Compliant","")))/LEN("Quality of Works / Criteria of Failings:Compliant"),0))</f>
        <v/>
      </c>
      <c r="Z1354" s="122">
        <f>IFERROR($Y1355/MAX(1,(LEN($I1355)-LEN(SUBSTITUTE($I1355," Ltd","")))/LEN(" Ltd")),0)</f>
        <v/>
      </c>
      <c r="AA1354" s="122">
        <f>IFERROR(IFERROR((LEN($T1355)-LEN(SUBSTITUTE($T1355,"Quality of Works / Criteria of Failings:","")))/LEN("Quality of Works / Criteria of Failings:"),0)/MAX(1,(LEN($I1355)-LEN(SUBSTITUTE($I1355," Ltd","")))/LEN(" Ltd")),0)</f>
        <v/>
      </c>
      <c r="AB1354" s="122">
        <f>IFERROR(IFERROR((LEN($T1355)-LEN(SUBSTITUTE($T1355,"Quality of Works / Criteria of Failings:Compliant","")))/LEN("Quality of Works / Criteria of Failings:Compliant"),0)/MAX(1,(LEN($I1355)-LEN(SUBSTITUTE($I1355," Ltd","")))/LEN(" Ltd")),0)</f>
        <v/>
      </c>
    </row>
    <row r="1355" ht="15" customHeight="1" s="146">
      <c r="Y1355" s="122">
        <f>MAX(0,IFERROR((LEN($T1356)-LEN(SUBSTITUTE($T1356,"Quality of Works / Criteria of Failings:","")))/LEN("Quality of Works / Criteria of Failings:"),0)-IFERROR((LEN($T1356)-LEN(SUBSTITUTE($T1356,"Quality of Works / Criteria of Failings:Compliant","")))/LEN("Quality of Works / Criteria of Failings:Compliant"),0))</f>
        <v/>
      </c>
      <c r="Z1355" s="122">
        <f>IFERROR($Y1356/MAX(1,(LEN($I1356)-LEN(SUBSTITUTE($I1356," Ltd","")))/LEN(" Ltd")),0)</f>
        <v/>
      </c>
      <c r="AA1355" s="122">
        <f>IFERROR(IFERROR((LEN($T1356)-LEN(SUBSTITUTE($T1356,"Quality of Works / Criteria of Failings:","")))/LEN("Quality of Works / Criteria of Failings:"),0)/MAX(1,(LEN($I1356)-LEN(SUBSTITUTE($I1356," Ltd","")))/LEN(" Ltd")),0)</f>
        <v/>
      </c>
      <c r="AB1355" s="122">
        <f>IFERROR(IFERROR((LEN($T1356)-LEN(SUBSTITUTE($T1356,"Quality of Works / Criteria of Failings:Compliant","")))/LEN("Quality of Works / Criteria of Failings:Compliant"),0)/MAX(1,(LEN($I1356)-LEN(SUBSTITUTE($I1356," Ltd","")))/LEN(" Ltd")),0)</f>
        <v/>
      </c>
    </row>
    <row r="1356" ht="15" customHeight="1" s="146">
      <c r="Y1356" s="122">
        <f>MAX(0,IFERROR((LEN($T1357)-LEN(SUBSTITUTE($T1357,"Quality of Works / Criteria of Failings:","")))/LEN("Quality of Works / Criteria of Failings:"),0)-IFERROR((LEN($T1357)-LEN(SUBSTITUTE($T1357,"Quality of Works / Criteria of Failings:Compliant","")))/LEN("Quality of Works / Criteria of Failings:Compliant"),0))</f>
        <v/>
      </c>
      <c r="Z1356" s="122">
        <f>IFERROR($Y1357/MAX(1,(LEN($I1357)-LEN(SUBSTITUTE($I1357," Ltd","")))/LEN(" Ltd")),0)</f>
        <v/>
      </c>
      <c r="AA1356" s="122">
        <f>IFERROR(IFERROR((LEN($T1357)-LEN(SUBSTITUTE($T1357,"Quality of Works / Criteria of Failings:","")))/LEN("Quality of Works / Criteria of Failings:"),0)/MAX(1,(LEN($I1357)-LEN(SUBSTITUTE($I1357," Ltd","")))/LEN(" Ltd")),0)</f>
        <v/>
      </c>
      <c r="AB1356" s="122">
        <f>IFERROR(IFERROR((LEN($T1357)-LEN(SUBSTITUTE($T1357,"Quality of Works / Criteria of Failings:Compliant","")))/LEN("Quality of Works / Criteria of Failings:Compliant"),0)/MAX(1,(LEN($I1357)-LEN(SUBSTITUTE($I1357," Ltd","")))/LEN(" Ltd")),0)</f>
        <v/>
      </c>
    </row>
    <row r="1357" ht="15" customHeight="1" s="146">
      <c r="Y1357" s="122">
        <f>MAX(0,IFERROR((LEN($T1358)-LEN(SUBSTITUTE($T1358,"Quality of Works / Criteria of Failings:","")))/LEN("Quality of Works / Criteria of Failings:"),0)-IFERROR((LEN($T1358)-LEN(SUBSTITUTE($T1358,"Quality of Works / Criteria of Failings:Compliant","")))/LEN("Quality of Works / Criteria of Failings:Compliant"),0))</f>
        <v/>
      </c>
      <c r="Z1357" s="122">
        <f>IFERROR($Y1358/MAX(1,(LEN($I1358)-LEN(SUBSTITUTE($I1358," Ltd","")))/LEN(" Ltd")),0)</f>
        <v/>
      </c>
      <c r="AA1357" s="122">
        <f>IFERROR(IFERROR((LEN($T1358)-LEN(SUBSTITUTE($T1358,"Quality of Works / Criteria of Failings:","")))/LEN("Quality of Works / Criteria of Failings:"),0)/MAX(1,(LEN($I1358)-LEN(SUBSTITUTE($I1358," Ltd","")))/LEN(" Ltd")),0)</f>
        <v/>
      </c>
      <c r="AB1357" s="122">
        <f>IFERROR(IFERROR((LEN($T1358)-LEN(SUBSTITUTE($T1358,"Quality of Works / Criteria of Failings:Compliant","")))/LEN("Quality of Works / Criteria of Failings:Compliant"),0)/MAX(1,(LEN($I1358)-LEN(SUBSTITUTE($I1358," Ltd","")))/LEN(" Ltd")),0)</f>
        <v/>
      </c>
    </row>
    <row r="1358" ht="15" customHeight="1" s="146">
      <c r="Y1358" s="122">
        <f>MAX(0,IFERROR((LEN($T1359)-LEN(SUBSTITUTE($T1359,"Quality of Works / Criteria of Failings:","")))/LEN("Quality of Works / Criteria of Failings:"),0)-IFERROR((LEN($T1359)-LEN(SUBSTITUTE($T1359,"Quality of Works / Criteria of Failings:Compliant","")))/LEN("Quality of Works / Criteria of Failings:Compliant"),0))</f>
        <v/>
      </c>
      <c r="Z1358" s="122">
        <f>IFERROR($Y1359/MAX(1,(LEN($I1359)-LEN(SUBSTITUTE($I1359," Ltd","")))/LEN(" Ltd")),0)</f>
        <v/>
      </c>
      <c r="AA1358" s="122">
        <f>IFERROR(IFERROR((LEN($T1359)-LEN(SUBSTITUTE($T1359,"Quality of Works / Criteria of Failings:","")))/LEN("Quality of Works / Criteria of Failings:"),0)/MAX(1,(LEN($I1359)-LEN(SUBSTITUTE($I1359," Ltd","")))/LEN(" Ltd")),0)</f>
        <v/>
      </c>
      <c r="AB1358" s="122">
        <f>IFERROR(IFERROR((LEN($T1359)-LEN(SUBSTITUTE($T1359,"Quality of Works / Criteria of Failings:Compliant","")))/LEN("Quality of Works / Criteria of Failings:Compliant"),0)/MAX(1,(LEN($I1359)-LEN(SUBSTITUTE($I1359," Ltd","")))/LEN(" Ltd")),0)</f>
        <v/>
      </c>
    </row>
    <row r="1359" ht="15" customHeight="1" s="146">
      <c r="Y1359" s="122">
        <f>MAX(0,IFERROR((LEN($T1360)-LEN(SUBSTITUTE($T1360,"Quality of Works / Criteria of Failings:","")))/LEN("Quality of Works / Criteria of Failings:"),0)-IFERROR((LEN($T1360)-LEN(SUBSTITUTE($T1360,"Quality of Works / Criteria of Failings:Compliant","")))/LEN("Quality of Works / Criteria of Failings:Compliant"),0))</f>
        <v/>
      </c>
      <c r="Z1359" s="122">
        <f>IFERROR($Y1360/MAX(1,(LEN($I1360)-LEN(SUBSTITUTE($I1360," Ltd","")))/LEN(" Ltd")),0)</f>
        <v/>
      </c>
      <c r="AA1359" s="122">
        <f>IFERROR(IFERROR((LEN($T1360)-LEN(SUBSTITUTE($T1360,"Quality of Works / Criteria of Failings:","")))/LEN("Quality of Works / Criteria of Failings:"),0)/MAX(1,(LEN($I1360)-LEN(SUBSTITUTE($I1360," Ltd","")))/LEN(" Ltd")),0)</f>
        <v/>
      </c>
      <c r="AB1359" s="122">
        <f>IFERROR(IFERROR((LEN($T1360)-LEN(SUBSTITUTE($T1360,"Quality of Works / Criteria of Failings:Compliant","")))/LEN("Quality of Works / Criteria of Failings:Compliant"),0)/MAX(1,(LEN($I1360)-LEN(SUBSTITUTE($I1360," Ltd","")))/LEN(" Ltd")),0)</f>
        <v/>
      </c>
    </row>
    <row r="1360" ht="15" customHeight="1" s="146">
      <c r="Y1360" s="122">
        <f>MAX(0,IFERROR((LEN($T1361)-LEN(SUBSTITUTE($T1361,"Quality of Works / Criteria of Failings:","")))/LEN("Quality of Works / Criteria of Failings:"),0)-IFERROR((LEN($T1361)-LEN(SUBSTITUTE($T1361,"Quality of Works / Criteria of Failings:Compliant","")))/LEN("Quality of Works / Criteria of Failings:Compliant"),0))</f>
        <v/>
      </c>
      <c r="Z1360" s="122">
        <f>IFERROR($Y1361/MAX(1,(LEN($I1361)-LEN(SUBSTITUTE($I1361," Ltd","")))/LEN(" Ltd")),0)</f>
        <v/>
      </c>
      <c r="AA1360" s="122">
        <f>IFERROR(IFERROR((LEN($T1361)-LEN(SUBSTITUTE($T1361,"Quality of Works / Criteria of Failings:","")))/LEN("Quality of Works / Criteria of Failings:"),0)/MAX(1,(LEN($I1361)-LEN(SUBSTITUTE($I1361," Ltd","")))/LEN(" Ltd")),0)</f>
        <v/>
      </c>
      <c r="AB1360" s="122">
        <f>IFERROR(IFERROR((LEN($T1361)-LEN(SUBSTITUTE($T1361,"Quality of Works / Criteria of Failings:Compliant","")))/LEN("Quality of Works / Criteria of Failings:Compliant"),0)/MAX(1,(LEN($I1361)-LEN(SUBSTITUTE($I1361," Ltd","")))/LEN(" Ltd")),0)</f>
        <v/>
      </c>
    </row>
    <row r="1361" ht="15" customHeight="1" s="146">
      <c r="Y1361" s="122">
        <f>MAX(0,IFERROR((LEN($T1362)-LEN(SUBSTITUTE($T1362,"Quality of Works / Criteria of Failings:","")))/LEN("Quality of Works / Criteria of Failings:"),0)-IFERROR((LEN($T1362)-LEN(SUBSTITUTE($T1362,"Quality of Works / Criteria of Failings:Compliant","")))/LEN("Quality of Works / Criteria of Failings:Compliant"),0))</f>
        <v/>
      </c>
      <c r="Z1361" s="122">
        <f>IFERROR($Y1362/MAX(1,(LEN($I1362)-LEN(SUBSTITUTE($I1362," Ltd","")))/LEN(" Ltd")),0)</f>
        <v/>
      </c>
      <c r="AA1361" s="122">
        <f>IFERROR(IFERROR((LEN($T1362)-LEN(SUBSTITUTE($T1362,"Quality of Works / Criteria of Failings:","")))/LEN("Quality of Works / Criteria of Failings:"),0)/MAX(1,(LEN($I1362)-LEN(SUBSTITUTE($I1362," Ltd","")))/LEN(" Ltd")),0)</f>
        <v/>
      </c>
      <c r="AB1361" s="122">
        <f>IFERROR(IFERROR((LEN($T1362)-LEN(SUBSTITUTE($T1362,"Quality of Works / Criteria of Failings:Compliant","")))/LEN("Quality of Works / Criteria of Failings:Compliant"),0)/MAX(1,(LEN($I1362)-LEN(SUBSTITUTE($I1362," Ltd","")))/LEN(" Ltd")),0)</f>
        <v/>
      </c>
    </row>
    <row r="1362" ht="15" customHeight="1" s="146">
      <c r="Y1362" s="122">
        <f>MAX(0,IFERROR((LEN($T1363)-LEN(SUBSTITUTE($T1363,"Quality of Works / Criteria of Failings:","")))/LEN("Quality of Works / Criteria of Failings:"),0)-IFERROR((LEN($T1363)-LEN(SUBSTITUTE($T1363,"Quality of Works / Criteria of Failings:Compliant","")))/LEN("Quality of Works / Criteria of Failings:Compliant"),0))</f>
        <v/>
      </c>
      <c r="Z1362" s="122">
        <f>IFERROR($Y1363/MAX(1,(LEN($I1363)-LEN(SUBSTITUTE($I1363," Ltd","")))/LEN(" Ltd")),0)</f>
        <v/>
      </c>
      <c r="AA1362" s="122">
        <f>IFERROR(IFERROR((LEN($T1363)-LEN(SUBSTITUTE($T1363,"Quality of Works / Criteria of Failings:","")))/LEN("Quality of Works / Criteria of Failings:"),0)/MAX(1,(LEN($I1363)-LEN(SUBSTITUTE($I1363," Ltd","")))/LEN(" Ltd")),0)</f>
        <v/>
      </c>
      <c r="AB1362" s="122">
        <f>IFERROR(IFERROR((LEN($T1363)-LEN(SUBSTITUTE($T1363,"Quality of Works / Criteria of Failings:Compliant","")))/LEN("Quality of Works / Criteria of Failings:Compliant"),0)/MAX(1,(LEN($I1363)-LEN(SUBSTITUTE($I1363," Ltd","")))/LEN(" Ltd")),0)</f>
        <v/>
      </c>
    </row>
    <row r="1363" ht="15" customHeight="1" s="146">
      <c r="Y1363" s="122">
        <f>MAX(0,IFERROR((LEN($T1364)-LEN(SUBSTITUTE($T1364,"Quality of Works / Criteria of Failings:","")))/LEN("Quality of Works / Criteria of Failings:"),0)-IFERROR((LEN($T1364)-LEN(SUBSTITUTE($T1364,"Quality of Works / Criteria of Failings:Compliant","")))/LEN("Quality of Works / Criteria of Failings:Compliant"),0))</f>
        <v/>
      </c>
      <c r="Z1363" s="122">
        <f>IFERROR($Y1364/MAX(1,(LEN($I1364)-LEN(SUBSTITUTE($I1364," Ltd","")))/LEN(" Ltd")),0)</f>
        <v/>
      </c>
      <c r="AA1363" s="122">
        <f>IFERROR(IFERROR((LEN($T1364)-LEN(SUBSTITUTE($T1364,"Quality of Works / Criteria of Failings:","")))/LEN("Quality of Works / Criteria of Failings:"),0)/MAX(1,(LEN($I1364)-LEN(SUBSTITUTE($I1364," Ltd","")))/LEN(" Ltd")),0)</f>
        <v/>
      </c>
      <c r="AB1363" s="122">
        <f>IFERROR(IFERROR((LEN($T1364)-LEN(SUBSTITUTE($T1364,"Quality of Works / Criteria of Failings:Compliant","")))/LEN("Quality of Works / Criteria of Failings:Compliant"),0)/MAX(1,(LEN($I1364)-LEN(SUBSTITUTE($I1364," Ltd","")))/LEN(" Ltd")),0)</f>
        <v/>
      </c>
    </row>
    <row r="1364" ht="15" customHeight="1" s="146">
      <c r="Y1364" s="122">
        <f>MAX(0,IFERROR((LEN($T1365)-LEN(SUBSTITUTE($T1365,"Quality of Works / Criteria of Failings:","")))/LEN("Quality of Works / Criteria of Failings:"),0)-IFERROR((LEN($T1365)-LEN(SUBSTITUTE($T1365,"Quality of Works / Criteria of Failings:Compliant","")))/LEN("Quality of Works / Criteria of Failings:Compliant"),0))</f>
        <v/>
      </c>
      <c r="Z1364" s="122">
        <f>IFERROR($Y1365/MAX(1,(LEN($I1365)-LEN(SUBSTITUTE($I1365," Ltd","")))/LEN(" Ltd")),0)</f>
        <v/>
      </c>
      <c r="AA1364" s="122">
        <f>IFERROR(IFERROR((LEN($T1365)-LEN(SUBSTITUTE($T1365,"Quality of Works / Criteria of Failings:","")))/LEN("Quality of Works / Criteria of Failings:"),0)/MAX(1,(LEN($I1365)-LEN(SUBSTITUTE($I1365," Ltd","")))/LEN(" Ltd")),0)</f>
        <v/>
      </c>
      <c r="AB1364" s="122">
        <f>IFERROR(IFERROR((LEN($T1365)-LEN(SUBSTITUTE($T1365,"Quality of Works / Criteria of Failings:Compliant","")))/LEN("Quality of Works / Criteria of Failings:Compliant"),0)/MAX(1,(LEN($I1365)-LEN(SUBSTITUTE($I1365," Ltd","")))/LEN(" Ltd")),0)</f>
        <v/>
      </c>
    </row>
    <row r="1365" ht="15" customHeight="1" s="146">
      <c r="Y1365" s="122">
        <f>MAX(0,IFERROR((LEN($T1366)-LEN(SUBSTITUTE($T1366,"Quality of Works / Criteria of Failings:","")))/LEN("Quality of Works / Criteria of Failings:"),0)-IFERROR((LEN($T1366)-LEN(SUBSTITUTE($T1366,"Quality of Works / Criteria of Failings:Compliant","")))/LEN("Quality of Works / Criteria of Failings:Compliant"),0))</f>
        <v/>
      </c>
      <c r="Z1365" s="122">
        <f>IFERROR($Y1366/MAX(1,(LEN($I1366)-LEN(SUBSTITUTE($I1366," Ltd","")))/LEN(" Ltd")),0)</f>
        <v/>
      </c>
      <c r="AA1365" s="122">
        <f>IFERROR(IFERROR((LEN($T1366)-LEN(SUBSTITUTE($T1366,"Quality of Works / Criteria of Failings:","")))/LEN("Quality of Works / Criteria of Failings:"),0)/MAX(1,(LEN($I1366)-LEN(SUBSTITUTE($I1366," Ltd","")))/LEN(" Ltd")),0)</f>
        <v/>
      </c>
      <c r="AB1365" s="122">
        <f>IFERROR(IFERROR((LEN($T1366)-LEN(SUBSTITUTE($T1366,"Quality of Works / Criteria of Failings:Compliant","")))/LEN("Quality of Works / Criteria of Failings:Compliant"),0)/MAX(1,(LEN($I1366)-LEN(SUBSTITUTE($I1366," Ltd","")))/LEN(" Ltd")),0)</f>
        <v/>
      </c>
    </row>
    <row r="1366" ht="15" customHeight="1" s="146">
      <c r="Y1366" s="122">
        <f>MAX(0,IFERROR((LEN($T1367)-LEN(SUBSTITUTE($T1367,"Quality of Works / Criteria of Failings:","")))/LEN("Quality of Works / Criteria of Failings:"),0)-IFERROR((LEN($T1367)-LEN(SUBSTITUTE($T1367,"Quality of Works / Criteria of Failings:Compliant","")))/LEN("Quality of Works / Criteria of Failings:Compliant"),0))</f>
        <v/>
      </c>
      <c r="Z1366" s="122">
        <f>IFERROR($Y1367/MAX(1,(LEN($I1367)-LEN(SUBSTITUTE($I1367," Ltd","")))/LEN(" Ltd")),0)</f>
        <v/>
      </c>
      <c r="AA1366" s="122">
        <f>IFERROR(IFERROR((LEN($T1367)-LEN(SUBSTITUTE($T1367,"Quality of Works / Criteria of Failings:","")))/LEN("Quality of Works / Criteria of Failings:"),0)/MAX(1,(LEN($I1367)-LEN(SUBSTITUTE($I1367," Ltd","")))/LEN(" Ltd")),0)</f>
        <v/>
      </c>
      <c r="AB1366" s="122">
        <f>IFERROR(IFERROR((LEN($T1367)-LEN(SUBSTITUTE($T1367,"Quality of Works / Criteria of Failings:Compliant","")))/LEN("Quality of Works / Criteria of Failings:Compliant"),0)/MAX(1,(LEN($I1367)-LEN(SUBSTITUTE($I1367," Ltd","")))/LEN(" Ltd")),0)</f>
        <v/>
      </c>
    </row>
    <row r="1367" ht="15" customHeight="1" s="146">
      <c r="Y1367" s="122">
        <f>MAX(0,IFERROR((LEN($T1368)-LEN(SUBSTITUTE($T1368,"Quality of Works / Criteria of Failings:","")))/LEN("Quality of Works / Criteria of Failings:"),0)-IFERROR((LEN($T1368)-LEN(SUBSTITUTE($T1368,"Quality of Works / Criteria of Failings:Compliant","")))/LEN("Quality of Works / Criteria of Failings:Compliant"),0))</f>
        <v/>
      </c>
      <c r="Z1367" s="122">
        <f>IFERROR($Y1368/MAX(1,(LEN($I1368)-LEN(SUBSTITUTE($I1368," Ltd","")))/LEN(" Ltd")),0)</f>
        <v/>
      </c>
      <c r="AA1367" s="122">
        <f>IFERROR(IFERROR((LEN($T1368)-LEN(SUBSTITUTE($T1368,"Quality of Works / Criteria of Failings:","")))/LEN("Quality of Works / Criteria of Failings:"),0)/MAX(1,(LEN($I1368)-LEN(SUBSTITUTE($I1368," Ltd","")))/LEN(" Ltd")),0)</f>
        <v/>
      </c>
      <c r="AB1367" s="122">
        <f>IFERROR(IFERROR((LEN($T1368)-LEN(SUBSTITUTE($T1368,"Quality of Works / Criteria of Failings:Compliant","")))/LEN("Quality of Works / Criteria of Failings:Compliant"),0)/MAX(1,(LEN($I1368)-LEN(SUBSTITUTE($I1368," Ltd","")))/LEN(" Ltd")),0)</f>
        <v/>
      </c>
    </row>
    <row r="1368" ht="15" customHeight="1" s="146">
      <c r="Y1368" s="122">
        <f>MAX(0,IFERROR((LEN($T1369)-LEN(SUBSTITUTE($T1369,"Quality of Works / Criteria of Failings:","")))/LEN("Quality of Works / Criteria of Failings:"),0)-IFERROR((LEN($T1369)-LEN(SUBSTITUTE($T1369,"Quality of Works / Criteria of Failings:Compliant","")))/LEN("Quality of Works / Criteria of Failings:Compliant"),0))</f>
        <v/>
      </c>
      <c r="Z1368" s="122">
        <f>IFERROR($Y1369/MAX(1,(LEN($I1369)-LEN(SUBSTITUTE($I1369," Ltd","")))/LEN(" Ltd")),0)</f>
        <v/>
      </c>
      <c r="AA1368" s="122">
        <f>IFERROR(IFERROR((LEN($T1369)-LEN(SUBSTITUTE($T1369,"Quality of Works / Criteria of Failings:","")))/LEN("Quality of Works / Criteria of Failings:"),0)/MAX(1,(LEN($I1369)-LEN(SUBSTITUTE($I1369," Ltd","")))/LEN(" Ltd")),0)</f>
        <v/>
      </c>
      <c r="AB1368" s="122">
        <f>IFERROR(IFERROR((LEN($T1369)-LEN(SUBSTITUTE($T1369,"Quality of Works / Criteria of Failings:Compliant","")))/LEN("Quality of Works / Criteria of Failings:Compliant"),0)/MAX(1,(LEN($I1369)-LEN(SUBSTITUTE($I1369," Ltd","")))/LEN(" Ltd")),0)</f>
        <v/>
      </c>
    </row>
    <row r="1369" ht="15" customHeight="1" s="146">
      <c r="Y1369" s="122">
        <f>MAX(0,IFERROR((LEN($T1370)-LEN(SUBSTITUTE($T1370,"Quality of Works / Criteria of Failings:","")))/LEN("Quality of Works / Criteria of Failings:"),0)-IFERROR((LEN($T1370)-LEN(SUBSTITUTE($T1370,"Quality of Works / Criteria of Failings:Compliant","")))/LEN("Quality of Works / Criteria of Failings:Compliant"),0))</f>
        <v/>
      </c>
      <c r="Z1369" s="122">
        <f>IFERROR($Y1370/MAX(1,(LEN($I1370)-LEN(SUBSTITUTE($I1370," Ltd","")))/LEN(" Ltd")),0)</f>
        <v/>
      </c>
      <c r="AA1369" s="122">
        <f>IFERROR(IFERROR((LEN($T1370)-LEN(SUBSTITUTE($T1370,"Quality of Works / Criteria of Failings:","")))/LEN("Quality of Works / Criteria of Failings:"),0)/MAX(1,(LEN($I1370)-LEN(SUBSTITUTE($I1370," Ltd","")))/LEN(" Ltd")),0)</f>
        <v/>
      </c>
      <c r="AB1369" s="122">
        <f>IFERROR(IFERROR((LEN($T1370)-LEN(SUBSTITUTE($T1370,"Quality of Works / Criteria of Failings:Compliant","")))/LEN("Quality of Works / Criteria of Failings:Compliant"),0)/MAX(1,(LEN($I1370)-LEN(SUBSTITUTE($I1370," Ltd","")))/LEN(" Ltd")),0)</f>
        <v/>
      </c>
    </row>
    <row r="1370" ht="15" customHeight="1" s="146">
      <c r="Y1370" s="122">
        <f>MAX(0,IFERROR((LEN($T1371)-LEN(SUBSTITUTE($T1371,"Quality of Works / Criteria of Failings:","")))/LEN("Quality of Works / Criteria of Failings:"),0)-IFERROR((LEN($T1371)-LEN(SUBSTITUTE($T1371,"Quality of Works / Criteria of Failings:Compliant","")))/LEN("Quality of Works / Criteria of Failings:Compliant"),0))</f>
        <v/>
      </c>
      <c r="Z1370" s="122">
        <f>IFERROR($Y1371/MAX(1,(LEN($I1371)-LEN(SUBSTITUTE($I1371," Ltd","")))/LEN(" Ltd")),0)</f>
        <v/>
      </c>
      <c r="AA1370" s="122">
        <f>IFERROR(IFERROR((LEN($T1371)-LEN(SUBSTITUTE($T1371,"Quality of Works / Criteria of Failings:","")))/LEN("Quality of Works / Criteria of Failings:"),0)/MAX(1,(LEN($I1371)-LEN(SUBSTITUTE($I1371," Ltd","")))/LEN(" Ltd")),0)</f>
        <v/>
      </c>
      <c r="AB1370" s="122">
        <f>IFERROR(IFERROR((LEN($T1371)-LEN(SUBSTITUTE($T1371,"Quality of Works / Criteria of Failings:Compliant","")))/LEN("Quality of Works / Criteria of Failings:Compliant"),0)/MAX(1,(LEN($I1371)-LEN(SUBSTITUTE($I1371," Ltd","")))/LEN(" Ltd")),0)</f>
        <v/>
      </c>
    </row>
    <row r="1371" ht="15" customHeight="1" s="146">
      <c r="Y1371" s="122">
        <f>MAX(0,IFERROR((LEN($T1372)-LEN(SUBSTITUTE($T1372,"Quality of Works / Criteria of Failings:","")))/LEN("Quality of Works / Criteria of Failings:"),0)-IFERROR((LEN($T1372)-LEN(SUBSTITUTE($T1372,"Quality of Works / Criteria of Failings:Compliant","")))/LEN("Quality of Works / Criteria of Failings:Compliant"),0))</f>
        <v/>
      </c>
      <c r="Z1371" s="122">
        <f>IFERROR($Y1372/MAX(1,(LEN($I1372)-LEN(SUBSTITUTE($I1372," Ltd","")))/LEN(" Ltd")),0)</f>
        <v/>
      </c>
      <c r="AA1371" s="122">
        <f>IFERROR(IFERROR((LEN($T1372)-LEN(SUBSTITUTE($T1372,"Quality of Works / Criteria of Failings:","")))/LEN("Quality of Works / Criteria of Failings:"),0)/MAX(1,(LEN($I1372)-LEN(SUBSTITUTE($I1372," Ltd","")))/LEN(" Ltd")),0)</f>
        <v/>
      </c>
      <c r="AB1371" s="122">
        <f>IFERROR(IFERROR((LEN($T1372)-LEN(SUBSTITUTE($T1372,"Quality of Works / Criteria of Failings:Compliant","")))/LEN("Quality of Works / Criteria of Failings:Compliant"),0)/MAX(1,(LEN($I1372)-LEN(SUBSTITUTE($I1372," Ltd","")))/LEN(" Ltd")),0)</f>
        <v/>
      </c>
    </row>
    <row r="1372" ht="15" customHeight="1" s="146">
      <c r="Y1372" s="122">
        <f>MAX(0,IFERROR((LEN($T1373)-LEN(SUBSTITUTE($T1373,"Quality of Works / Criteria of Failings:","")))/LEN("Quality of Works / Criteria of Failings:"),0)-IFERROR((LEN($T1373)-LEN(SUBSTITUTE($T1373,"Quality of Works / Criteria of Failings:Compliant","")))/LEN("Quality of Works / Criteria of Failings:Compliant"),0))</f>
        <v/>
      </c>
      <c r="Z1372" s="122">
        <f>IFERROR($Y1373/MAX(1,(LEN($I1373)-LEN(SUBSTITUTE($I1373," Ltd","")))/LEN(" Ltd")),0)</f>
        <v/>
      </c>
      <c r="AA1372" s="122">
        <f>IFERROR(IFERROR((LEN($T1373)-LEN(SUBSTITUTE($T1373,"Quality of Works / Criteria of Failings:","")))/LEN("Quality of Works / Criteria of Failings:"),0)/MAX(1,(LEN($I1373)-LEN(SUBSTITUTE($I1373," Ltd","")))/LEN(" Ltd")),0)</f>
        <v/>
      </c>
      <c r="AB1372" s="122">
        <f>IFERROR(IFERROR((LEN($T1373)-LEN(SUBSTITUTE($T1373,"Quality of Works / Criteria of Failings:Compliant","")))/LEN("Quality of Works / Criteria of Failings:Compliant"),0)/MAX(1,(LEN($I1373)-LEN(SUBSTITUTE($I1373," Ltd","")))/LEN(" Ltd")),0)</f>
        <v/>
      </c>
    </row>
    <row r="1373" ht="15" customHeight="1" s="146">
      <c r="Y1373" s="122">
        <f>MAX(0,IFERROR((LEN($T1374)-LEN(SUBSTITUTE($T1374,"Quality of Works / Criteria of Failings:","")))/LEN("Quality of Works / Criteria of Failings:"),0)-IFERROR((LEN($T1374)-LEN(SUBSTITUTE($T1374,"Quality of Works / Criteria of Failings:Compliant","")))/LEN("Quality of Works / Criteria of Failings:Compliant"),0))</f>
        <v/>
      </c>
      <c r="Z1373" s="122">
        <f>IFERROR($Y1374/MAX(1,(LEN($I1374)-LEN(SUBSTITUTE($I1374," Ltd","")))/LEN(" Ltd")),0)</f>
        <v/>
      </c>
      <c r="AA1373" s="122">
        <f>IFERROR(IFERROR((LEN($T1374)-LEN(SUBSTITUTE($T1374,"Quality of Works / Criteria of Failings:","")))/LEN("Quality of Works / Criteria of Failings:"),0)/MAX(1,(LEN($I1374)-LEN(SUBSTITUTE($I1374," Ltd","")))/LEN(" Ltd")),0)</f>
        <v/>
      </c>
      <c r="AB1373" s="122">
        <f>IFERROR(IFERROR((LEN($T1374)-LEN(SUBSTITUTE($T1374,"Quality of Works / Criteria of Failings:Compliant","")))/LEN("Quality of Works / Criteria of Failings:Compliant"),0)/MAX(1,(LEN($I1374)-LEN(SUBSTITUTE($I1374," Ltd","")))/LEN(" Ltd")),0)</f>
        <v/>
      </c>
    </row>
    <row r="1374" ht="15" customHeight="1" s="146">
      <c r="Y1374" s="122">
        <f>MAX(0,IFERROR((LEN($T1375)-LEN(SUBSTITUTE($T1375,"Quality of Works / Criteria of Failings:","")))/LEN("Quality of Works / Criteria of Failings:"),0)-IFERROR((LEN($T1375)-LEN(SUBSTITUTE($T1375,"Quality of Works / Criteria of Failings:Compliant","")))/LEN("Quality of Works / Criteria of Failings:Compliant"),0))</f>
        <v/>
      </c>
      <c r="Z1374" s="122">
        <f>IFERROR($Y1375/MAX(1,(LEN($I1375)-LEN(SUBSTITUTE($I1375," Ltd","")))/LEN(" Ltd")),0)</f>
        <v/>
      </c>
      <c r="AA1374" s="122">
        <f>IFERROR(IFERROR((LEN($T1375)-LEN(SUBSTITUTE($T1375,"Quality of Works / Criteria of Failings:","")))/LEN("Quality of Works / Criteria of Failings:"),0)/MAX(1,(LEN($I1375)-LEN(SUBSTITUTE($I1375," Ltd","")))/LEN(" Ltd")),0)</f>
        <v/>
      </c>
      <c r="AB1374" s="122">
        <f>IFERROR(IFERROR((LEN($T1375)-LEN(SUBSTITUTE($T1375,"Quality of Works / Criteria of Failings:Compliant","")))/LEN("Quality of Works / Criteria of Failings:Compliant"),0)/MAX(1,(LEN($I1375)-LEN(SUBSTITUTE($I1375," Ltd","")))/LEN(" Ltd")),0)</f>
        <v/>
      </c>
    </row>
    <row r="1375" ht="15" customHeight="1" s="146">
      <c r="Y1375" s="122">
        <f>MAX(0,IFERROR((LEN($T1376)-LEN(SUBSTITUTE($T1376,"Quality of Works / Criteria of Failings:","")))/LEN("Quality of Works / Criteria of Failings:"),0)-IFERROR((LEN($T1376)-LEN(SUBSTITUTE($T1376,"Quality of Works / Criteria of Failings:Compliant","")))/LEN("Quality of Works / Criteria of Failings:Compliant"),0))</f>
        <v/>
      </c>
      <c r="Z1375" s="122">
        <f>IFERROR($Y1376/MAX(1,(LEN($I1376)-LEN(SUBSTITUTE($I1376," Ltd","")))/LEN(" Ltd")),0)</f>
        <v/>
      </c>
      <c r="AA1375" s="122">
        <f>IFERROR(IFERROR((LEN($T1376)-LEN(SUBSTITUTE($T1376,"Quality of Works / Criteria of Failings:","")))/LEN("Quality of Works / Criteria of Failings:"),0)/MAX(1,(LEN($I1376)-LEN(SUBSTITUTE($I1376," Ltd","")))/LEN(" Ltd")),0)</f>
        <v/>
      </c>
      <c r="AB1375" s="122">
        <f>IFERROR(IFERROR((LEN($T1376)-LEN(SUBSTITUTE($T1376,"Quality of Works / Criteria of Failings:Compliant","")))/LEN("Quality of Works / Criteria of Failings:Compliant"),0)/MAX(1,(LEN($I1376)-LEN(SUBSTITUTE($I1376," Ltd","")))/LEN(" Ltd")),0)</f>
        <v/>
      </c>
    </row>
    <row r="1376" ht="15" customHeight="1" s="146">
      <c r="Y1376" s="122">
        <f>MAX(0,IFERROR((LEN($T1377)-LEN(SUBSTITUTE($T1377,"Quality of Works / Criteria of Failings:","")))/LEN("Quality of Works / Criteria of Failings:"),0)-IFERROR((LEN($T1377)-LEN(SUBSTITUTE($T1377,"Quality of Works / Criteria of Failings:Compliant","")))/LEN("Quality of Works / Criteria of Failings:Compliant"),0))</f>
        <v/>
      </c>
      <c r="Z1376" s="122">
        <f>IFERROR($Y1377/MAX(1,(LEN($I1377)-LEN(SUBSTITUTE($I1377," Ltd","")))/LEN(" Ltd")),0)</f>
        <v/>
      </c>
      <c r="AA1376" s="122">
        <f>IFERROR(IFERROR((LEN($T1377)-LEN(SUBSTITUTE($T1377,"Quality of Works / Criteria of Failings:","")))/LEN("Quality of Works / Criteria of Failings:"),0)/MAX(1,(LEN($I1377)-LEN(SUBSTITUTE($I1377," Ltd","")))/LEN(" Ltd")),0)</f>
        <v/>
      </c>
      <c r="AB1376" s="122">
        <f>IFERROR(IFERROR((LEN($T1377)-LEN(SUBSTITUTE($T1377,"Quality of Works / Criteria of Failings:Compliant","")))/LEN("Quality of Works / Criteria of Failings:Compliant"),0)/MAX(1,(LEN($I1377)-LEN(SUBSTITUTE($I1377," Ltd","")))/LEN(" Ltd")),0)</f>
        <v/>
      </c>
    </row>
    <row r="1377" ht="15" customHeight="1" s="146">
      <c r="Y1377" s="122">
        <f>MAX(0,IFERROR((LEN($T1378)-LEN(SUBSTITUTE($T1378,"Quality of Works / Criteria of Failings:","")))/LEN("Quality of Works / Criteria of Failings:"),0)-IFERROR((LEN($T1378)-LEN(SUBSTITUTE($T1378,"Quality of Works / Criteria of Failings:Compliant","")))/LEN("Quality of Works / Criteria of Failings:Compliant"),0))</f>
        <v/>
      </c>
      <c r="Z1377" s="122">
        <f>IFERROR($Y1378/MAX(1,(LEN($I1378)-LEN(SUBSTITUTE($I1378," Ltd","")))/LEN(" Ltd")),0)</f>
        <v/>
      </c>
      <c r="AA1377" s="122">
        <f>IFERROR(IFERROR((LEN($T1378)-LEN(SUBSTITUTE($T1378,"Quality of Works / Criteria of Failings:","")))/LEN("Quality of Works / Criteria of Failings:"),0)/MAX(1,(LEN($I1378)-LEN(SUBSTITUTE($I1378," Ltd","")))/LEN(" Ltd")),0)</f>
        <v/>
      </c>
      <c r="AB1377" s="122">
        <f>IFERROR(IFERROR((LEN($T1378)-LEN(SUBSTITUTE($T1378,"Quality of Works / Criteria of Failings:Compliant","")))/LEN("Quality of Works / Criteria of Failings:Compliant"),0)/MAX(1,(LEN($I1378)-LEN(SUBSTITUTE($I1378," Ltd","")))/LEN(" Ltd")),0)</f>
        <v/>
      </c>
    </row>
    <row r="1378" ht="15" customHeight="1" s="146">
      <c r="Y1378" s="122">
        <f>MAX(0,IFERROR((LEN($T1379)-LEN(SUBSTITUTE($T1379,"Quality of Works / Criteria of Failings:","")))/LEN("Quality of Works / Criteria of Failings:"),0)-IFERROR((LEN($T1379)-LEN(SUBSTITUTE($T1379,"Quality of Works / Criteria of Failings:Compliant","")))/LEN("Quality of Works / Criteria of Failings:Compliant"),0))</f>
        <v/>
      </c>
      <c r="Z1378" s="122">
        <f>IFERROR($Y1379/MAX(1,(LEN($I1379)-LEN(SUBSTITUTE($I1379," Ltd","")))/LEN(" Ltd")),0)</f>
        <v/>
      </c>
      <c r="AA1378" s="122">
        <f>IFERROR(IFERROR((LEN($T1379)-LEN(SUBSTITUTE($T1379,"Quality of Works / Criteria of Failings:","")))/LEN("Quality of Works / Criteria of Failings:"),0)/MAX(1,(LEN($I1379)-LEN(SUBSTITUTE($I1379," Ltd","")))/LEN(" Ltd")),0)</f>
        <v/>
      </c>
      <c r="AB1378" s="122">
        <f>IFERROR(IFERROR((LEN($T1379)-LEN(SUBSTITUTE($T1379,"Quality of Works / Criteria of Failings:Compliant","")))/LEN("Quality of Works / Criteria of Failings:Compliant"),0)/MAX(1,(LEN($I1379)-LEN(SUBSTITUTE($I1379," Ltd","")))/LEN(" Ltd")),0)</f>
        <v/>
      </c>
    </row>
    <row r="1379" ht="15" customHeight="1" s="146">
      <c r="Y1379" s="122">
        <f>MAX(0,IFERROR((LEN($T1380)-LEN(SUBSTITUTE($T1380,"Quality of Works / Criteria of Failings:","")))/LEN("Quality of Works / Criteria of Failings:"),0)-IFERROR((LEN($T1380)-LEN(SUBSTITUTE($T1380,"Quality of Works / Criteria of Failings:Compliant","")))/LEN("Quality of Works / Criteria of Failings:Compliant"),0))</f>
        <v/>
      </c>
      <c r="Z1379" s="122">
        <f>IFERROR($Y1380/MAX(1,(LEN($I1380)-LEN(SUBSTITUTE($I1380," Ltd","")))/LEN(" Ltd")),0)</f>
        <v/>
      </c>
      <c r="AA1379" s="122">
        <f>IFERROR(IFERROR((LEN($T1380)-LEN(SUBSTITUTE($T1380,"Quality of Works / Criteria of Failings:","")))/LEN("Quality of Works / Criteria of Failings:"),0)/MAX(1,(LEN($I1380)-LEN(SUBSTITUTE($I1380," Ltd","")))/LEN(" Ltd")),0)</f>
        <v/>
      </c>
      <c r="AB1379" s="122">
        <f>IFERROR(IFERROR((LEN($T1380)-LEN(SUBSTITUTE($T1380,"Quality of Works / Criteria of Failings:Compliant","")))/LEN("Quality of Works / Criteria of Failings:Compliant"),0)/MAX(1,(LEN($I1380)-LEN(SUBSTITUTE($I1380," Ltd","")))/LEN(" Ltd")),0)</f>
        <v/>
      </c>
    </row>
    <row r="1380" ht="15" customHeight="1" s="146">
      <c r="Y1380" s="122">
        <f>MAX(0,IFERROR((LEN($T1381)-LEN(SUBSTITUTE($T1381,"Quality of Works / Criteria of Failings:","")))/LEN("Quality of Works / Criteria of Failings:"),0)-IFERROR((LEN($T1381)-LEN(SUBSTITUTE($T1381,"Quality of Works / Criteria of Failings:Compliant","")))/LEN("Quality of Works / Criteria of Failings:Compliant"),0))</f>
        <v/>
      </c>
      <c r="Z1380" s="122">
        <f>IFERROR($Y1381/MAX(1,(LEN($I1381)-LEN(SUBSTITUTE($I1381," Ltd","")))/LEN(" Ltd")),0)</f>
        <v/>
      </c>
      <c r="AA1380" s="122">
        <f>IFERROR(IFERROR((LEN($T1381)-LEN(SUBSTITUTE($T1381,"Quality of Works / Criteria of Failings:","")))/LEN("Quality of Works / Criteria of Failings:"),0)/MAX(1,(LEN($I1381)-LEN(SUBSTITUTE($I1381," Ltd","")))/LEN(" Ltd")),0)</f>
        <v/>
      </c>
      <c r="AB1380" s="122">
        <f>IFERROR(IFERROR((LEN($T1381)-LEN(SUBSTITUTE($T1381,"Quality of Works / Criteria of Failings:Compliant","")))/LEN("Quality of Works / Criteria of Failings:Compliant"),0)/MAX(1,(LEN($I1381)-LEN(SUBSTITUTE($I1381," Ltd","")))/LEN(" Ltd")),0)</f>
        <v/>
      </c>
    </row>
    <row r="1381" ht="15" customHeight="1" s="146">
      <c r="Y1381" s="122">
        <f>MAX(0,IFERROR((LEN($T1382)-LEN(SUBSTITUTE($T1382,"Quality of Works / Criteria of Failings:","")))/LEN("Quality of Works / Criteria of Failings:"),0)-IFERROR((LEN($T1382)-LEN(SUBSTITUTE($T1382,"Quality of Works / Criteria of Failings:Compliant","")))/LEN("Quality of Works / Criteria of Failings:Compliant"),0))</f>
        <v/>
      </c>
      <c r="Z1381" s="122">
        <f>IFERROR($Y1382/MAX(1,(LEN($I1382)-LEN(SUBSTITUTE($I1382," Ltd","")))/LEN(" Ltd")),0)</f>
        <v/>
      </c>
      <c r="AA1381" s="122">
        <f>IFERROR(IFERROR((LEN($T1382)-LEN(SUBSTITUTE($T1382,"Quality of Works / Criteria of Failings:","")))/LEN("Quality of Works / Criteria of Failings:"),0)/MAX(1,(LEN($I1382)-LEN(SUBSTITUTE($I1382," Ltd","")))/LEN(" Ltd")),0)</f>
        <v/>
      </c>
      <c r="AB1381" s="122">
        <f>IFERROR(IFERROR((LEN($T1382)-LEN(SUBSTITUTE($T1382,"Quality of Works / Criteria of Failings:Compliant","")))/LEN("Quality of Works / Criteria of Failings:Compliant"),0)/MAX(1,(LEN($I1382)-LEN(SUBSTITUTE($I1382," Ltd","")))/LEN(" Ltd")),0)</f>
        <v/>
      </c>
    </row>
    <row r="1382" ht="15" customHeight="1" s="146">
      <c r="Y1382" s="122">
        <f>MAX(0,IFERROR((LEN($T1383)-LEN(SUBSTITUTE($T1383,"Quality of Works / Criteria of Failings:","")))/LEN("Quality of Works / Criteria of Failings:"),0)-IFERROR((LEN($T1383)-LEN(SUBSTITUTE($T1383,"Quality of Works / Criteria of Failings:Compliant","")))/LEN("Quality of Works / Criteria of Failings:Compliant"),0))</f>
        <v/>
      </c>
      <c r="Z1382" s="122">
        <f>IFERROR($Y1383/MAX(1,(LEN($I1383)-LEN(SUBSTITUTE($I1383," Ltd","")))/LEN(" Ltd")),0)</f>
        <v/>
      </c>
      <c r="AA1382" s="122">
        <f>IFERROR(IFERROR((LEN($T1383)-LEN(SUBSTITUTE($T1383,"Quality of Works / Criteria of Failings:","")))/LEN("Quality of Works / Criteria of Failings:"),0)/MAX(1,(LEN($I1383)-LEN(SUBSTITUTE($I1383," Ltd","")))/LEN(" Ltd")),0)</f>
        <v/>
      </c>
      <c r="AB1382" s="122">
        <f>IFERROR(IFERROR((LEN($T1383)-LEN(SUBSTITUTE($T1383,"Quality of Works / Criteria of Failings:Compliant","")))/LEN("Quality of Works / Criteria of Failings:Compliant"),0)/MAX(1,(LEN($I1383)-LEN(SUBSTITUTE($I1383," Ltd","")))/LEN(" Ltd")),0)</f>
        <v/>
      </c>
    </row>
    <row r="1383" ht="15" customHeight="1" s="146">
      <c r="Y1383" s="122">
        <f>MAX(0,IFERROR((LEN($T1384)-LEN(SUBSTITUTE($T1384,"Quality of Works / Criteria of Failings:","")))/LEN("Quality of Works / Criteria of Failings:"),0)-IFERROR((LEN($T1384)-LEN(SUBSTITUTE($T1384,"Quality of Works / Criteria of Failings:Compliant","")))/LEN("Quality of Works / Criteria of Failings:Compliant"),0))</f>
        <v/>
      </c>
      <c r="Z1383" s="122">
        <f>IFERROR($Y1384/MAX(1,(LEN($I1384)-LEN(SUBSTITUTE($I1384," Ltd","")))/LEN(" Ltd")),0)</f>
        <v/>
      </c>
      <c r="AA1383" s="122">
        <f>IFERROR(IFERROR((LEN($T1384)-LEN(SUBSTITUTE($T1384,"Quality of Works / Criteria of Failings:","")))/LEN("Quality of Works / Criteria of Failings:"),0)/MAX(1,(LEN($I1384)-LEN(SUBSTITUTE($I1384," Ltd","")))/LEN(" Ltd")),0)</f>
        <v/>
      </c>
      <c r="AB1383" s="122">
        <f>IFERROR(IFERROR((LEN($T1384)-LEN(SUBSTITUTE($T1384,"Quality of Works / Criteria of Failings:Compliant","")))/LEN("Quality of Works / Criteria of Failings:Compliant"),0)/MAX(1,(LEN($I1384)-LEN(SUBSTITUTE($I1384," Ltd","")))/LEN(" Ltd")),0)</f>
        <v/>
      </c>
    </row>
    <row r="1384" ht="15" customHeight="1" s="146">
      <c r="Y1384" s="122">
        <f>MAX(0,IFERROR((LEN($T1385)-LEN(SUBSTITUTE($T1385,"Quality of Works / Criteria of Failings:","")))/LEN("Quality of Works / Criteria of Failings:"),0)-IFERROR((LEN($T1385)-LEN(SUBSTITUTE($T1385,"Quality of Works / Criteria of Failings:Compliant","")))/LEN("Quality of Works / Criteria of Failings:Compliant"),0))</f>
        <v/>
      </c>
      <c r="Z1384" s="122">
        <f>IFERROR($Y1385/MAX(1,(LEN($I1385)-LEN(SUBSTITUTE($I1385," Ltd","")))/LEN(" Ltd")),0)</f>
        <v/>
      </c>
      <c r="AA1384" s="122">
        <f>IFERROR(IFERROR((LEN($T1385)-LEN(SUBSTITUTE($T1385,"Quality of Works / Criteria of Failings:","")))/LEN("Quality of Works / Criteria of Failings:"),0)/MAX(1,(LEN($I1385)-LEN(SUBSTITUTE($I1385," Ltd","")))/LEN(" Ltd")),0)</f>
        <v/>
      </c>
      <c r="AB1384" s="122">
        <f>IFERROR(IFERROR((LEN($T1385)-LEN(SUBSTITUTE($T1385,"Quality of Works / Criteria of Failings:Compliant","")))/LEN("Quality of Works / Criteria of Failings:Compliant"),0)/MAX(1,(LEN($I1385)-LEN(SUBSTITUTE($I1385," Ltd","")))/LEN(" Ltd")),0)</f>
        <v/>
      </c>
    </row>
    <row r="1385" ht="15" customHeight="1" s="146">
      <c r="Y1385" s="122">
        <f>MAX(0,IFERROR((LEN($T1386)-LEN(SUBSTITUTE($T1386,"Quality of Works / Criteria of Failings:","")))/LEN("Quality of Works / Criteria of Failings:"),0)-IFERROR((LEN($T1386)-LEN(SUBSTITUTE($T1386,"Quality of Works / Criteria of Failings:Compliant","")))/LEN("Quality of Works / Criteria of Failings:Compliant"),0))</f>
        <v/>
      </c>
      <c r="Z1385" s="122">
        <f>IFERROR($Y1386/MAX(1,(LEN($I1386)-LEN(SUBSTITUTE($I1386," Ltd","")))/LEN(" Ltd")),0)</f>
        <v/>
      </c>
      <c r="AA1385" s="122">
        <f>IFERROR(IFERROR((LEN($T1386)-LEN(SUBSTITUTE($T1386,"Quality of Works / Criteria of Failings:","")))/LEN("Quality of Works / Criteria of Failings:"),0)/MAX(1,(LEN($I1386)-LEN(SUBSTITUTE($I1386," Ltd","")))/LEN(" Ltd")),0)</f>
        <v/>
      </c>
      <c r="AB1385" s="122">
        <f>IFERROR(IFERROR((LEN($T1386)-LEN(SUBSTITUTE($T1386,"Quality of Works / Criteria of Failings:Compliant","")))/LEN("Quality of Works / Criteria of Failings:Compliant"),0)/MAX(1,(LEN($I1386)-LEN(SUBSTITUTE($I1386," Ltd","")))/LEN(" Ltd")),0)</f>
        <v/>
      </c>
    </row>
    <row r="1386" ht="15" customHeight="1" s="146">
      <c r="Y1386" s="122">
        <f>MAX(0,IFERROR((LEN($T1387)-LEN(SUBSTITUTE($T1387,"Quality of Works / Criteria of Failings:","")))/LEN("Quality of Works / Criteria of Failings:"),0)-IFERROR((LEN($T1387)-LEN(SUBSTITUTE($T1387,"Quality of Works / Criteria of Failings:Compliant","")))/LEN("Quality of Works / Criteria of Failings:Compliant"),0))</f>
        <v/>
      </c>
      <c r="Z1386" s="122">
        <f>IFERROR($Y1387/MAX(1,(LEN($I1387)-LEN(SUBSTITUTE($I1387," Ltd","")))/LEN(" Ltd")),0)</f>
        <v/>
      </c>
      <c r="AA1386" s="122">
        <f>IFERROR(IFERROR((LEN($T1387)-LEN(SUBSTITUTE($T1387,"Quality of Works / Criteria of Failings:","")))/LEN("Quality of Works / Criteria of Failings:"),0)/MAX(1,(LEN($I1387)-LEN(SUBSTITUTE($I1387," Ltd","")))/LEN(" Ltd")),0)</f>
        <v/>
      </c>
      <c r="AB1386" s="122">
        <f>IFERROR(IFERROR((LEN($T1387)-LEN(SUBSTITUTE($T1387,"Quality of Works / Criteria of Failings:Compliant","")))/LEN("Quality of Works / Criteria of Failings:Compliant"),0)/MAX(1,(LEN($I1387)-LEN(SUBSTITUTE($I1387," Ltd","")))/LEN(" Ltd")),0)</f>
        <v/>
      </c>
    </row>
    <row r="1387" ht="15" customHeight="1" s="146">
      <c r="Y1387" s="122">
        <f>MAX(0,IFERROR((LEN($T1388)-LEN(SUBSTITUTE($T1388,"Quality of Works / Criteria of Failings:","")))/LEN("Quality of Works / Criteria of Failings:"),0)-IFERROR((LEN($T1388)-LEN(SUBSTITUTE($T1388,"Quality of Works / Criteria of Failings:Compliant","")))/LEN("Quality of Works / Criteria of Failings:Compliant"),0))</f>
        <v/>
      </c>
      <c r="Z1387" s="122">
        <f>IFERROR($Y1388/MAX(1,(LEN($I1388)-LEN(SUBSTITUTE($I1388," Ltd","")))/LEN(" Ltd")),0)</f>
        <v/>
      </c>
      <c r="AA1387" s="122">
        <f>IFERROR(IFERROR((LEN($T1388)-LEN(SUBSTITUTE($T1388,"Quality of Works / Criteria of Failings:","")))/LEN("Quality of Works / Criteria of Failings:"),0)/MAX(1,(LEN($I1388)-LEN(SUBSTITUTE($I1388," Ltd","")))/LEN(" Ltd")),0)</f>
        <v/>
      </c>
      <c r="AB1387" s="122">
        <f>IFERROR(IFERROR((LEN($T1388)-LEN(SUBSTITUTE($T1388,"Quality of Works / Criteria of Failings:Compliant","")))/LEN("Quality of Works / Criteria of Failings:Compliant"),0)/MAX(1,(LEN($I1388)-LEN(SUBSTITUTE($I1388," Ltd","")))/LEN(" Ltd")),0)</f>
        <v/>
      </c>
    </row>
    <row r="1388" ht="15" customHeight="1" s="146">
      <c r="Y1388" s="122">
        <f>MAX(0,IFERROR((LEN($T1389)-LEN(SUBSTITUTE($T1389,"Quality of Works / Criteria of Failings:","")))/LEN("Quality of Works / Criteria of Failings:"),0)-IFERROR((LEN($T1389)-LEN(SUBSTITUTE($T1389,"Quality of Works / Criteria of Failings:Compliant","")))/LEN("Quality of Works / Criteria of Failings:Compliant"),0))</f>
        <v/>
      </c>
      <c r="Z1388" s="122">
        <f>IFERROR($Y1389/MAX(1,(LEN($I1389)-LEN(SUBSTITUTE($I1389," Ltd","")))/LEN(" Ltd")),0)</f>
        <v/>
      </c>
      <c r="AA1388" s="122">
        <f>IFERROR(IFERROR((LEN($T1389)-LEN(SUBSTITUTE($T1389,"Quality of Works / Criteria of Failings:","")))/LEN("Quality of Works / Criteria of Failings:"),0)/MAX(1,(LEN($I1389)-LEN(SUBSTITUTE($I1389," Ltd","")))/LEN(" Ltd")),0)</f>
        <v/>
      </c>
      <c r="AB1388" s="122">
        <f>IFERROR(IFERROR((LEN($T1389)-LEN(SUBSTITUTE($T1389,"Quality of Works / Criteria of Failings:Compliant","")))/LEN("Quality of Works / Criteria of Failings:Compliant"),0)/MAX(1,(LEN($I1389)-LEN(SUBSTITUTE($I1389," Ltd","")))/LEN(" Ltd")),0)</f>
        <v/>
      </c>
    </row>
    <row r="1389" ht="15" customHeight="1" s="146">
      <c r="Y1389" s="122">
        <f>MAX(0,IFERROR((LEN($T1390)-LEN(SUBSTITUTE($T1390,"Quality of Works / Criteria of Failings:","")))/LEN("Quality of Works / Criteria of Failings:"),0)-IFERROR((LEN($T1390)-LEN(SUBSTITUTE($T1390,"Quality of Works / Criteria of Failings:Compliant","")))/LEN("Quality of Works / Criteria of Failings:Compliant"),0))</f>
        <v/>
      </c>
      <c r="Z1389" s="122">
        <f>IFERROR($Y1390/MAX(1,(LEN($I1390)-LEN(SUBSTITUTE($I1390," Ltd","")))/LEN(" Ltd")),0)</f>
        <v/>
      </c>
      <c r="AA1389" s="122">
        <f>IFERROR(IFERROR((LEN($T1390)-LEN(SUBSTITUTE($T1390,"Quality of Works / Criteria of Failings:","")))/LEN("Quality of Works / Criteria of Failings:"),0)/MAX(1,(LEN($I1390)-LEN(SUBSTITUTE($I1390," Ltd","")))/LEN(" Ltd")),0)</f>
        <v/>
      </c>
      <c r="AB1389" s="122">
        <f>IFERROR(IFERROR((LEN($T1390)-LEN(SUBSTITUTE($T1390,"Quality of Works / Criteria of Failings:Compliant","")))/LEN("Quality of Works / Criteria of Failings:Compliant"),0)/MAX(1,(LEN($I1390)-LEN(SUBSTITUTE($I1390," Ltd","")))/LEN(" Ltd")),0)</f>
        <v/>
      </c>
    </row>
    <row r="1390" ht="15" customHeight="1" s="146">
      <c r="Y1390" s="122">
        <f>MAX(0,IFERROR((LEN($T1391)-LEN(SUBSTITUTE($T1391,"Quality of Works / Criteria of Failings:","")))/LEN("Quality of Works / Criteria of Failings:"),0)-IFERROR((LEN($T1391)-LEN(SUBSTITUTE($T1391,"Quality of Works / Criteria of Failings:Compliant","")))/LEN("Quality of Works / Criteria of Failings:Compliant"),0))</f>
        <v/>
      </c>
      <c r="Z1390" s="122">
        <f>IFERROR($Y1391/MAX(1,(LEN($I1391)-LEN(SUBSTITUTE($I1391," Ltd","")))/LEN(" Ltd")),0)</f>
        <v/>
      </c>
      <c r="AA1390" s="122">
        <f>IFERROR(IFERROR((LEN($T1391)-LEN(SUBSTITUTE($T1391,"Quality of Works / Criteria of Failings:","")))/LEN("Quality of Works / Criteria of Failings:"),0)/MAX(1,(LEN($I1391)-LEN(SUBSTITUTE($I1391," Ltd","")))/LEN(" Ltd")),0)</f>
        <v/>
      </c>
      <c r="AB1390" s="122">
        <f>IFERROR(IFERROR((LEN($T1391)-LEN(SUBSTITUTE($T1391,"Quality of Works / Criteria of Failings:Compliant","")))/LEN("Quality of Works / Criteria of Failings:Compliant"),0)/MAX(1,(LEN($I1391)-LEN(SUBSTITUTE($I1391," Ltd","")))/LEN(" Ltd")),0)</f>
        <v/>
      </c>
    </row>
    <row r="1391" ht="15" customHeight="1" s="146">
      <c r="Y1391" s="122">
        <f>MAX(0,IFERROR((LEN($T1392)-LEN(SUBSTITUTE($T1392,"Quality of Works / Criteria of Failings:","")))/LEN("Quality of Works / Criteria of Failings:"),0)-IFERROR((LEN($T1392)-LEN(SUBSTITUTE($T1392,"Quality of Works / Criteria of Failings:Compliant","")))/LEN("Quality of Works / Criteria of Failings:Compliant"),0))</f>
        <v/>
      </c>
      <c r="Z1391" s="122">
        <f>IFERROR($Y1392/MAX(1,(LEN($I1392)-LEN(SUBSTITUTE($I1392," Ltd","")))/LEN(" Ltd")),0)</f>
        <v/>
      </c>
      <c r="AA1391" s="122">
        <f>IFERROR(IFERROR((LEN($T1392)-LEN(SUBSTITUTE($T1392,"Quality of Works / Criteria of Failings:","")))/LEN("Quality of Works / Criteria of Failings:"),0)/MAX(1,(LEN($I1392)-LEN(SUBSTITUTE($I1392," Ltd","")))/LEN(" Ltd")),0)</f>
        <v/>
      </c>
      <c r="AB1391" s="122">
        <f>IFERROR(IFERROR((LEN($T1392)-LEN(SUBSTITUTE($T1392,"Quality of Works / Criteria of Failings:Compliant","")))/LEN("Quality of Works / Criteria of Failings:Compliant"),0)/MAX(1,(LEN($I1392)-LEN(SUBSTITUTE($I1392," Ltd","")))/LEN(" Ltd")),0)</f>
        <v/>
      </c>
    </row>
    <row r="1392" ht="15" customHeight="1" s="146">
      <c r="Y1392" s="122">
        <f>MAX(0,IFERROR((LEN($T1393)-LEN(SUBSTITUTE($T1393,"Quality of Works / Criteria of Failings:","")))/LEN("Quality of Works / Criteria of Failings:"),0)-IFERROR((LEN($T1393)-LEN(SUBSTITUTE($T1393,"Quality of Works / Criteria of Failings:Compliant","")))/LEN("Quality of Works / Criteria of Failings:Compliant"),0))</f>
        <v/>
      </c>
      <c r="Z1392" s="122">
        <f>IFERROR($Y1393/MAX(1,(LEN($I1393)-LEN(SUBSTITUTE($I1393," Ltd","")))/LEN(" Ltd")),0)</f>
        <v/>
      </c>
      <c r="AA1392" s="122">
        <f>IFERROR(IFERROR((LEN($T1393)-LEN(SUBSTITUTE($T1393,"Quality of Works / Criteria of Failings:","")))/LEN("Quality of Works / Criteria of Failings:"),0)/MAX(1,(LEN($I1393)-LEN(SUBSTITUTE($I1393," Ltd","")))/LEN(" Ltd")),0)</f>
        <v/>
      </c>
      <c r="AB1392" s="122">
        <f>IFERROR(IFERROR((LEN($T1393)-LEN(SUBSTITUTE($T1393,"Quality of Works / Criteria of Failings:Compliant","")))/LEN("Quality of Works / Criteria of Failings:Compliant"),0)/MAX(1,(LEN($I1393)-LEN(SUBSTITUTE($I1393," Ltd","")))/LEN(" Ltd")),0)</f>
        <v/>
      </c>
    </row>
    <row r="1393" ht="15" customHeight="1" s="146">
      <c r="Y1393" s="122">
        <f>MAX(0,IFERROR((LEN($T1394)-LEN(SUBSTITUTE($T1394,"Quality of Works / Criteria of Failings:","")))/LEN("Quality of Works / Criteria of Failings:"),0)-IFERROR((LEN($T1394)-LEN(SUBSTITUTE($T1394,"Quality of Works / Criteria of Failings:Compliant","")))/LEN("Quality of Works / Criteria of Failings:Compliant"),0))</f>
        <v/>
      </c>
      <c r="Z1393" s="122">
        <f>IFERROR($Y1394/MAX(1,(LEN($I1394)-LEN(SUBSTITUTE($I1394," Ltd","")))/LEN(" Ltd")),0)</f>
        <v/>
      </c>
      <c r="AA1393" s="122">
        <f>IFERROR(IFERROR((LEN($T1394)-LEN(SUBSTITUTE($T1394,"Quality of Works / Criteria of Failings:","")))/LEN("Quality of Works / Criteria of Failings:"),0)/MAX(1,(LEN($I1394)-LEN(SUBSTITUTE($I1394," Ltd","")))/LEN(" Ltd")),0)</f>
        <v/>
      </c>
      <c r="AB1393" s="122">
        <f>IFERROR(IFERROR((LEN($T1394)-LEN(SUBSTITUTE($T1394,"Quality of Works / Criteria of Failings:Compliant","")))/LEN("Quality of Works / Criteria of Failings:Compliant"),0)/MAX(1,(LEN($I1394)-LEN(SUBSTITUTE($I1394," Ltd","")))/LEN(" Ltd")),0)</f>
        <v/>
      </c>
    </row>
    <row r="1394" ht="15" customHeight="1" s="146">
      <c r="Y1394" s="122">
        <f>MAX(0,IFERROR((LEN($T1395)-LEN(SUBSTITUTE($T1395,"Quality of Works / Criteria of Failings:","")))/LEN("Quality of Works / Criteria of Failings:"),0)-IFERROR((LEN($T1395)-LEN(SUBSTITUTE($T1395,"Quality of Works / Criteria of Failings:Compliant","")))/LEN("Quality of Works / Criteria of Failings:Compliant"),0))</f>
        <v/>
      </c>
      <c r="Z1394" s="122">
        <f>IFERROR($Y1395/MAX(1,(LEN($I1395)-LEN(SUBSTITUTE($I1395," Ltd","")))/LEN(" Ltd")),0)</f>
        <v/>
      </c>
      <c r="AA1394" s="122">
        <f>IFERROR(IFERROR((LEN($T1395)-LEN(SUBSTITUTE($T1395,"Quality of Works / Criteria of Failings:","")))/LEN("Quality of Works / Criteria of Failings:"),0)/MAX(1,(LEN($I1395)-LEN(SUBSTITUTE($I1395," Ltd","")))/LEN(" Ltd")),0)</f>
        <v/>
      </c>
      <c r="AB1394" s="122">
        <f>IFERROR(IFERROR((LEN($T1395)-LEN(SUBSTITUTE($T1395,"Quality of Works / Criteria of Failings:Compliant","")))/LEN("Quality of Works / Criteria of Failings:Compliant"),0)/MAX(1,(LEN($I1395)-LEN(SUBSTITUTE($I1395," Ltd","")))/LEN(" Ltd")),0)</f>
        <v/>
      </c>
    </row>
    <row r="1395" ht="15" customHeight="1" s="146">
      <c r="Y1395" s="122">
        <f>MAX(0,IFERROR((LEN($T1396)-LEN(SUBSTITUTE($T1396,"Quality of Works / Criteria of Failings:","")))/LEN("Quality of Works / Criteria of Failings:"),0)-IFERROR((LEN($T1396)-LEN(SUBSTITUTE($T1396,"Quality of Works / Criteria of Failings:Compliant","")))/LEN("Quality of Works / Criteria of Failings:Compliant"),0))</f>
        <v/>
      </c>
      <c r="Z1395" s="122">
        <f>IFERROR($Y1396/MAX(1,(LEN($I1396)-LEN(SUBSTITUTE($I1396," Ltd","")))/LEN(" Ltd")),0)</f>
        <v/>
      </c>
      <c r="AA1395" s="122">
        <f>IFERROR(IFERROR((LEN($T1396)-LEN(SUBSTITUTE($T1396,"Quality of Works / Criteria of Failings:","")))/LEN("Quality of Works / Criteria of Failings:"),0)/MAX(1,(LEN($I1396)-LEN(SUBSTITUTE($I1396," Ltd","")))/LEN(" Ltd")),0)</f>
        <v/>
      </c>
      <c r="AB1395" s="122">
        <f>IFERROR(IFERROR((LEN($T1396)-LEN(SUBSTITUTE($T1396,"Quality of Works / Criteria of Failings:Compliant","")))/LEN("Quality of Works / Criteria of Failings:Compliant"),0)/MAX(1,(LEN($I1396)-LEN(SUBSTITUTE($I1396," Ltd","")))/LEN(" Ltd")),0)</f>
        <v/>
      </c>
    </row>
    <row r="1396" ht="15" customHeight="1" s="146">
      <c r="Y1396" s="122">
        <f>MAX(0,IFERROR((LEN($T1397)-LEN(SUBSTITUTE($T1397,"Quality of Works / Criteria of Failings:","")))/LEN("Quality of Works / Criteria of Failings:"),0)-IFERROR((LEN($T1397)-LEN(SUBSTITUTE($T1397,"Quality of Works / Criteria of Failings:Compliant","")))/LEN("Quality of Works / Criteria of Failings:Compliant"),0))</f>
        <v/>
      </c>
      <c r="Z1396" s="122">
        <f>IFERROR($Y1397/MAX(1,(LEN($I1397)-LEN(SUBSTITUTE($I1397," Ltd","")))/LEN(" Ltd")),0)</f>
        <v/>
      </c>
      <c r="AA1396" s="122">
        <f>IFERROR(IFERROR((LEN($T1397)-LEN(SUBSTITUTE($T1397,"Quality of Works / Criteria of Failings:","")))/LEN("Quality of Works / Criteria of Failings:"),0)/MAX(1,(LEN($I1397)-LEN(SUBSTITUTE($I1397," Ltd","")))/LEN(" Ltd")),0)</f>
        <v/>
      </c>
      <c r="AB1396" s="122">
        <f>IFERROR(IFERROR((LEN($T1397)-LEN(SUBSTITUTE($T1397,"Quality of Works / Criteria of Failings:Compliant","")))/LEN("Quality of Works / Criteria of Failings:Compliant"),0)/MAX(1,(LEN($I1397)-LEN(SUBSTITUTE($I1397," Ltd","")))/LEN(" Ltd")),0)</f>
        <v/>
      </c>
    </row>
    <row r="1397" ht="15" customHeight="1" s="146">
      <c r="Y1397" s="122">
        <f>MAX(0,IFERROR((LEN($T1398)-LEN(SUBSTITUTE($T1398,"Quality of Works / Criteria of Failings:","")))/LEN("Quality of Works / Criteria of Failings:"),0)-IFERROR((LEN($T1398)-LEN(SUBSTITUTE($T1398,"Quality of Works / Criteria of Failings:Compliant","")))/LEN("Quality of Works / Criteria of Failings:Compliant"),0))</f>
        <v/>
      </c>
      <c r="Z1397" s="122">
        <f>IFERROR($Y1398/MAX(1,(LEN($I1398)-LEN(SUBSTITUTE($I1398," Ltd","")))/LEN(" Ltd")),0)</f>
        <v/>
      </c>
      <c r="AA1397" s="122">
        <f>IFERROR(IFERROR((LEN($T1398)-LEN(SUBSTITUTE($T1398,"Quality of Works / Criteria of Failings:","")))/LEN("Quality of Works / Criteria of Failings:"),0)/MAX(1,(LEN($I1398)-LEN(SUBSTITUTE($I1398," Ltd","")))/LEN(" Ltd")),0)</f>
        <v/>
      </c>
      <c r="AB1397" s="122">
        <f>IFERROR(IFERROR((LEN($T1398)-LEN(SUBSTITUTE($T1398,"Quality of Works / Criteria of Failings:Compliant","")))/LEN("Quality of Works / Criteria of Failings:Compliant"),0)/MAX(1,(LEN($I1398)-LEN(SUBSTITUTE($I1398," Ltd","")))/LEN(" Ltd")),0)</f>
        <v/>
      </c>
    </row>
    <row r="1398" ht="15" customHeight="1" s="146">
      <c r="Y1398" s="122">
        <f>MAX(0,IFERROR((LEN($T1399)-LEN(SUBSTITUTE($T1399,"Quality of Works / Criteria of Failings:","")))/LEN("Quality of Works / Criteria of Failings:"),0)-IFERROR((LEN($T1399)-LEN(SUBSTITUTE($T1399,"Quality of Works / Criteria of Failings:Compliant","")))/LEN("Quality of Works / Criteria of Failings:Compliant"),0))</f>
        <v/>
      </c>
      <c r="Z1398" s="122">
        <f>IFERROR($Y1399/MAX(1,(LEN($I1399)-LEN(SUBSTITUTE($I1399," Ltd","")))/LEN(" Ltd")),0)</f>
        <v/>
      </c>
      <c r="AA1398" s="122">
        <f>IFERROR(IFERROR((LEN($T1399)-LEN(SUBSTITUTE($T1399,"Quality of Works / Criteria of Failings:","")))/LEN("Quality of Works / Criteria of Failings:"),0)/MAX(1,(LEN($I1399)-LEN(SUBSTITUTE($I1399," Ltd","")))/LEN(" Ltd")),0)</f>
        <v/>
      </c>
      <c r="AB1398" s="122">
        <f>IFERROR(IFERROR((LEN($T1399)-LEN(SUBSTITUTE($T1399,"Quality of Works / Criteria of Failings:Compliant","")))/LEN("Quality of Works / Criteria of Failings:Compliant"),0)/MAX(1,(LEN($I1399)-LEN(SUBSTITUTE($I1399," Ltd","")))/LEN(" Ltd")),0)</f>
        <v/>
      </c>
    </row>
    <row r="1399" ht="15" customHeight="1" s="146">
      <c r="Y1399" s="122">
        <f>MAX(0,IFERROR((LEN($T1400)-LEN(SUBSTITUTE($T1400,"Quality of Works / Criteria of Failings:","")))/LEN("Quality of Works / Criteria of Failings:"),0)-IFERROR((LEN($T1400)-LEN(SUBSTITUTE($T1400,"Quality of Works / Criteria of Failings:Compliant","")))/LEN("Quality of Works / Criteria of Failings:Compliant"),0))</f>
        <v/>
      </c>
      <c r="Z1399" s="122">
        <f>IFERROR($Y1400/MAX(1,(LEN($I1400)-LEN(SUBSTITUTE($I1400," Ltd","")))/LEN(" Ltd")),0)</f>
        <v/>
      </c>
      <c r="AA1399" s="122">
        <f>IFERROR(IFERROR((LEN($T1400)-LEN(SUBSTITUTE($T1400,"Quality of Works / Criteria of Failings:","")))/LEN("Quality of Works / Criteria of Failings:"),0)/MAX(1,(LEN($I1400)-LEN(SUBSTITUTE($I1400," Ltd","")))/LEN(" Ltd")),0)</f>
        <v/>
      </c>
      <c r="AB1399" s="122">
        <f>IFERROR(IFERROR((LEN($T1400)-LEN(SUBSTITUTE($T1400,"Quality of Works / Criteria of Failings:Compliant","")))/LEN("Quality of Works / Criteria of Failings:Compliant"),0)/MAX(1,(LEN($I1400)-LEN(SUBSTITUTE($I1400," Ltd","")))/LEN(" Ltd")),0)</f>
        <v/>
      </c>
    </row>
    <row r="1400" ht="15" customHeight="1" s="146">
      <c r="Y1400" s="122">
        <f>MAX(0,IFERROR((LEN($T1401)-LEN(SUBSTITUTE($T1401,"Quality of Works / Criteria of Failings:","")))/LEN("Quality of Works / Criteria of Failings:"),0)-IFERROR((LEN($T1401)-LEN(SUBSTITUTE($T1401,"Quality of Works / Criteria of Failings:Compliant","")))/LEN("Quality of Works / Criteria of Failings:Compliant"),0))</f>
        <v/>
      </c>
      <c r="Z1400" s="122">
        <f>IFERROR($Y1401/MAX(1,(LEN($I1401)-LEN(SUBSTITUTE($I1401," Ltd","")))/LEN(" Ltd")),0)</f>
        <v/>
      </c>
      <c r="AA1400" s="122">
        <f>IFERROR(IFERROR((LEN($T1401)-LEN(SUBSTITUTE($T1401,"Quality of Works / Criteria of Failings:","")))/LEN("Quality of Works / Criteria of Failings:"),0)/MAX(1,(LEN($I1401)-LEN(SUBSTITUTE($I1401," Ltd","")))/LEN(" Ltd")),0)</f>
        <v/>
      </c>
      <c r="AB1400" s="122">
        <f>IFERROR(IFERROR((LEN($T1401)-LEN(SUBSTITUTE($T1401,"Quality of Works / Criteria of Failings:Compliant","")))/LEN("Quality of Works / Criteria of Failings:Compliant"),0)/MAX(1,(LEN($I1401)-LEN(SUBSTITUTE($I1401," Ltd","")))/LEN(" Ltd")),0)</f>
        <v/>
      </c>
    </row>
    <row r="1401" ht="15" customHeight="1" s="146">
      <c r="Y1401" s="122">
        <f>MAX(0,IFERROR((LEN($T1402)-LEN(SUBSTITUTE($T1402,"Quality of Works / Criteria of Failings:","")))/LEN("Quality of Works / Criteria of Failings:"),0)-IFERROR((LEN($T1402)-LEN(SUBSTITUTE($T1402,"Quality of Works / Criteria of Failings:Compliant","")))/LEN("Quality of Works / Criteria of Failings:Compliant"),0))</f>
        <v/>
      </c>
      <c r="Z1401" s="122">
        <f>IFERROR($Y1402/MAX(1,(LEN($I1402)-LEN(SUBSTITUTE($I1402," Ltd","")))/LEN(" Ltd")),0)</f>
        <v/>
      </c>
      <c r="AA1401" s="122">
        <f>IFERROR(IFERROR((LEN($T1402)-LEN(SUBSTITUTE($T1402,"Quality of Works / Criteria of Failings:","")))/LEN("Quality of Works / Criteria of Failings:"),0)/MAX(1,(LEN($I1402)-LEN(SUBSTITUTE($I1402," Ltd","")))/LEN(" Ltd")),0)</f>
        <v/>
      </c>
      <c r="AB1401" s="122">
        <f>IFERROR(IFERROR((LEN($T1402)-LEN(SUBSTITUTE($T1402,"Quality of Works / Criteria of Failings:Compliant","")))/LEN("Quality of Works / Criteria of Failings:Compliant"),0)/MAX(1,(LEN($I1402)-LEN(SUBSTITUTE($I1402," Ltd","")))/LEN(" Ltd")),0)</f>
        <v/>
      </c>
    </row>
    <row r="1402" ht="15" customHeight="1" s="146">
      <c r="Y1402" s="122">
        <f>MAX(0,IFERROR((LEN($T1403)-LEN(SUBSTITUTE($T1403,"Quality of Works / Criteria of Failings:","")))/LEN("Quality of Works / Criteria of Failings:"),0)-IFERROR((LEN($T1403)-LEN(SUBSTITUTE($T1403,"Quality of Works / Criteria of Failings:Compliant","")))/LEN("Quality of Works / Criteria of Failings:Compliant"),0))</f>
        <v/>
      </c>
      <c r="Z1402" s="122">
        <f>IFERROR($Y1403/MAX(1,(LEN($I1403)-LEN(SUBSTITUTE($I1403," Ltd","")))/LEN(" Ltd")),0)</f>
        <v/>
      </c>
      <c r="AA1402" s="122">
        <f>IFERROR(IFERROR((LEN($T1403)-LEN(SUBSTITUTE($T1403,"Quality of Works / Criteria of Failings:","")))/LEN("Quality of Works / Criteria of Failings:"),0)/MAX(1,(LEN($I1403)-LEN(SUBSTITUTE($I1403," Ltd","")))/LEN(" Ltd")),0)</f>
        <v/>
      </c>
      <c r="AB1402" s="122">
        <f>IFERROR(IFERROR((LEN($T1403)-LEN(SUBSTITUTE($T1403,"Quality of Works / Criteria of Failings:Compliant","")))/LEN("Quality of Works / Criteria of Failings:Compliant"),0)/MAX(1,(LEN($I1403)-LEN(SUBSTITUTE($I1403," Ltd","")))/LEN(" Ltd")),0)</f>
        <v/>
      </c>
    </row>
    <row r="1403" ht="15" customHeight="1" s="146">
      <c r="Y1403" s="122">
        <f>MAX(0,IFERROR((LEN($T1404)-LEN(SUBSTITUTE($T1404,"Quality of Works / Criteria of Failings:","")))/LEN("Quality of Works / Criteria of Failings:"),0)-IFERROR((LEN($T1404)-LEN(SUBSTITUTE($T1404,"Quality of Works / Criteria of Failings:Compliant","")))/LEN("Quality of Works / Criteria of Failings:Compliant"),0))</f>
        <v/>
      </c>
      <c r="Z1403" s="122">
        <f>IFERROR($Y1404/MAX(1,(LEN($I1404)-LEN(SUBSTITUTE($I1404," Ltd","")))/LEN(" Ltd")),0)</f>
        <v/>
      </c>
      <c r="AA1403" s="122">
        <f>IFERROR(IFERROR((LEN($T1404)-LEN(SUBSTITUTE($T1404,"Quality of Works / Criteria of Failings:","")))/LEN("Quality of Works / Criteria of Failings:"),0)/MAX(1,(LEN($I1404)-LEN(SUBSTITUTE($I1404," Ltd","")))/LEN(" Ltd")),0)</f>
        <v/>
      </c>
      <c r="AB1403" s="122">
        <f>IFERROR(IFERROR((LEN($T1404)-LEN(SUBSTITUTE($T1404,"Quality of Works / Criteria of Failings:Compliant","")))/LEN("Quality of Works / Criteria of Failings:Compliant"),0)/MAX(1,(LEN($I1404)-LEN(SUBSTITUTE($I1404," Ltd","")))/LEN(" Ltd")),0)</f>
        <v/>
      </c>
    </row>
    <row r="1404" ht="15" customHeight="1" s="146">
      <c r="Y1404" s="122">
        <f>MAX(0,IFERROR((LEN($T1405)-LEN(SUBSTITUTE($T1405,"Quality of Works / Criteria of Failings:","")))/LEN("Quality of Works / Criteria of Failings:"),0)-IFERROR((LEN($T1405)-LEN(SUBSTITUTE($T1405,"Quality of Works / Criteria of Failings:Compliant","")))/LEN("Quality of Works / Criteria of Failings:Compliant"),0))</f>
        <v/>
      </c>
      <c r="Z1404" s="122">
        <f>IFERROR($Y1405/MAX(1,(LEN($I1405)-LEN(SUBSTITUTE($I1405," Ltd","")))/LEN(" Ltd")),0)</f>
        <v/>
      </c>
      <c r="AA1404" s="122">
        <f>IFERROR(IFERROR((LEN($T1405)-LEN(SUBSTITUTE($T1405,"Quality of Works / Criteria of Failings:","")))/LEN("Quality of Works / Criteria of Failings:"),0)/MAX(1,(LEN($I1405)-LEN(SUBSTITUTE($I1405," Ltd","")))/LEN(" Ltd")),0)</f>
        <v/>
      </c>
      <c r="AB1404" s="122">
        <f>IFERROR(IFERROR((LEN($T1405)-LEN(SUBSTITUTE($T1405,"Quality of Works / Criteria of Failings:Compliant","")))/LEN("Quality of Works / Criteria of Failings:Compliant"),0)/MAX(1,(LEN($I1405)-LEN(SUBSTITUTE($I1405," Ltd","")))/LEN(" Ltd")),0)</f>
        <v/>
      </c>
    </row>
    <row r="1405" ht="15" customHeight="1" s="146">
      <c r="Y1405" s="122">
        <f>MAX(0,IFERROR((LEN($T1406)-LEN(SUBSTITUTE($T1406,"Quality of Works / Criteria of Failings:","")))/LEN("Quality of Works / Criteria of Failings:"),0)-IFERROR((LEN($T1406)-LEN(SUBSTITUTE($T1406,"Quality of Works / Criteria of Failings:Compliant","")))/LEN("Quality of Works / Criteria of Failings:Compliant"),0))</f>
        <v/>
      </c>
      <c r="Z1405" s="122">
        <f>IFERROR($Y1406/MAX(1,(LEN($I1406)-LEN(SUBSTITUTE($I1406," Ltd","")))/LEN(" Ltd")),0)</f>
        <v/>
      </c>
      <c r="AA1405" s="122">
        <f>IFERROR(IFERROR((LEN($T1406)-LEN(SUBSTITUTE($T1406,"Quality of Works / Criteria of Failings:","")))/LEN("Quality of Works / Criteria of Failings:"),0)/MAX(1,(LEN($I1406)-LEN(SUBSTITUTE($I1406," Ltd","")))/LEN(" Ltd")),0)</f>
        <v/>
      </c>
      <c r="AB1405" s="122">
        <f>IFERROR(IFERROR((LEN($T1406)-LEN(SUBSTITUTE($T1406,"Quality of Works / Criteria of Failings:Compliant","")))/LEN("Quality of Works / Criteria of Failings:Compliant"),0)/MAX(1,(LEN($I1406)-LEN(SUBSTITUTE($I1406," Ltd","")))/LEN(" Ltd")),0)</f>
        <v/>
      </c>
    </row>
    <row r="1406" ht="15" customHeight="1" s="146">
      <c r="Y1406" s="122">
        <f>MAX(0,IFERROR((LEN($T1407)-LEN(SUBSTITUTE($T1407,"Quality of Works / Criteria of Failings:","")))/LEN("Quality of Works / Criteria of Failings:"),0)-IFERROR((LEN($T1407)-LEN(SUBSTITUTE($T1407,"Quality of Works / Criteria of Failings:Compliant","")))/LEN("Quality of Works / Criteria of Failings:Compliant"),0))</f>
        <v/>
      </c>
      <c r="Z1406" s="122">
        <f>IFERROR($Y1407/MAX(1,(LEN($I1407)-LEN(SUBSTITUTE($I1407," Ltd","")))/LEN(" Ltd")),0)</f>
        <v/>
      </c>
      <c r="AA1406" s="122">
        <f>IFERROR(IFERROR((LEN($T1407)-LEN(SUBSTITUTE($T1407,"Quality of Works / Criteria of Failings:","")))/LEN("Quality of Works / Criteria of Failings:"),0)/MAX(1,(LEN($I1407)-LEN(SUBSTITUTE($I1407," Ltd","")))/LEN(" Ltd")),0)</f>
        <v/>
      </c>
      <c r="AB1406" s="122">
        <f>IFERROR(IFERROR((LEN($T1407)-LEN(SUBSTITUTE($T1407,"Quality of Works / Criteria of Failings:Compliant","")))/LEN("Quality of Works / Criteria of Failings:Compliant"),0)/MAX(1,(LEN($I1407)-LEN(SUBSTITUTE($I1407," Ltd","")))/LEN(" Ltd")),0)</f>
        <v/>
      </c>
    </row>
    <row r="1407" ht="15" customHeight="1" s="146">
      <c r="Y1407" s="122">
        <f>MAX(0,IFERROR((LEN($T1408)-LEN(SUBSTITUTE($T1408,"Quality of Works / Criteria of Failings:","")))/LEN("Quality of Works / Criteria of Failings:"),0)-IFERROR((LEN($T1408)-LEN(SUBSTITUTE($T1408,"Quality of Works / Criteria of Failings:Compliant","")))/LEN("Quality of Works / Criteria of Failings:Compliant"),0))</f>
        <v/>
      </c>
      <c r="Z1407" s="122">
        <f>IFERROR($Y1408/MAX(1,(LEN($I1408)-LEN(SUBSTITUTE($I1408," Ltd","")))/LEN(" Ltd")),0)</f>
        <v/>
      </c>
      <c r="AA1407" s="122">
        <f>IFERROR(IFERROR((LEN($T1408)-LEN(SUBSTITUTE($T1408,"Quality of Works / Criteria of Failings:","")))/LEN("Quality of Works / Criteria of Failings:"),0)/MAX(1,(LEN($I1408)-LEN(SUBSTITUTE($I1408," Ltd","")))/LEN(" Ltd")),0)</f>
        <v/>
      </c>
      <c r="AB1407" s="122">
        <f>IFERROR(IFERROR((LEN($T1408)-LEN(SUBSTITUTE($T1408,"Quality of Works / Criteria of Failings:Compliant","")))/LEN("Quality of Works / Criteria of Failings:Compliant"),0)/MAX(1,(LEN($I1408)-LEN(SUBSTITUTE($I1408," Ltd","")))/LEN(" Ltd")),0)</f>
        <v/>
      </c>
    </row>
    <row r="1408" ht="15" customHeight="1" s="146">
      <c r="Y1408" s="122">
        <f>MAX(0,IFERROR((LEN($T1409)-LEN(SUBSTITUTE($T1409,"Quality of Works / Criteria of Failings:","")))/LEN("Quality of Works / Criteria of Failings:"),0)-IFERROR((LEN($T1409)-LEN(SUBSTITUTE($T1409,"Quality of Works / Criteria of Failings:Compliant","")))/LEN("Quality of Works / Criteria of Failings:Compliant"),0))</f>
        <v/>
      </c>
      <c r="Z1408" s="122">
        <f>IFERROR($Y1409/MAX(1,(LEN($I1409)-LEN(SUBSTITUTE($I1409," Ltd","")))/LEN(" Ltd")),0)</f>
        <v/>
      </c>
      <c r="AA1408" s="122">
        <f>IFERROR(IFERROR((LEN($T1409)-LEN(SUBSTITUTE($T1409,"Quality of Works / Criteria of Failings:","")))/LEN("Quality of Works / Criteria of Failings:"),0)/MAX(1,(LEN($I1409)-LEN(SUBSTITUTE($I1409," Ltd","")))/LEN(" Ltd")),0)</f>
        <v/>
      </c>
      <c r="AB1408" s="122">
        <f>IFERROR(IFERROR((LEN($T1409)-LEN(SUBSTITUTE($T1409,"Quality of Works / Criteria of Failings:Compliant","")))/LEN("Quality of Works / Criteria of Failings:Compliant"),0)/MAX(1,(LEN($I1409)-LEN(SUBSTITUTE($I1409," Ltd","")))/LEN(" Ltd")),0)</f>
        <v/>
      </c>
    </row>
    <row r="1409" ht="15" customHeight="1" s="146">
      <c r="Y1409" s="122">
        <f>MAX(0,IFERROR((LEN($T1410)-LEN(SUBSTITUTE($T1410,"Quality of Works / Criteria of Failings:","")))/LEN("Quality of Works / Criteria of Failings:"),0)-IFERROR((LEN($T1410)-LEN(SUBSTITUTE($T1410,"Quality of Works / Criteria of Failings:Compliant","")))/LEN("Quality of Works / Criteria of Failings:Compliant"),0))</f>
        <v/>
      </c>
      <c r="Z1409" s="122">
        <f>IFERROR($Y1410/MAX(1,(LEN($I1410)-LEN(SUBSTITUTE($I1410," Ltd","")))/LEN(" Ltd")),0)</f>
        <v/>
      </c>
      <c r="AA1409" s="122">
        <f>IFERROR(IFERROR((LEN($T1410)-LEN(SUBSTITUTE($T1410,"Quality of Works / Criteria of Failings:","")))/LEN("Quality of Works / Criteria of Failings:"),0)/MAX(1,(LEN($I1410)-LEN(SUBSTITUTE($I1410," Ltd","")))/LEN(" Ltd")),0)</f>
        <v/>
      </c>
      <c r="AB1409" s="122">
        <f>IFERROR(IFERROR((LEN($T1410)-LEN(SUBSTITUTE($T1410,"Quality of Works / Criteria of Failings:Compliant","")))/LEN("Quality of Works / Criteria of Failings:Compliant"),0)/MAX(1,(LEN($I1410)-LEN(SUBSTITUTE($I1410," Ltd","")))/LEN(" Ltd")),0)</f>
        <v/>
      </c>
    </row>
    <row r="1410" ht="15" customHeight="1" s="146">
      <c r="Y1410" s="122">
        <f>MAX(0,IFERROR((LEN($T1411)-LEN(SUBSTITUTE($T1411,"Quality of Works / Criteria of Failings:","")))/LEN("Quality of Works / Criteria of Failings:"),0)-IFERROR((LEN($T1411)-LEN(SUBSTITUTE($T1411,"Quality of Works / Criteria of Failings:Compliant","")))/LEN("Quality of Works / Criteria of Failings:Compliant"),0))</f>
        <v/>
      </c>
      <c r="Z1410" s="122">
        <f>IFERROR($Y1411/MAX(1,(LEN($I1411)-LEN(SUBSTITUTE($I1411," Ltd","")))/LEN(" Ltd")),0)</f>
        <v/>
      </c>
      <c r="AA1410" s="122">
        <f>IFERROR(IFERROR((LEN($T1411)-LEN(SUBSTITUTE($T1411,"Quality of Works / Criteria of Failings:","")))/LEN("Quality of Works / Criteria of Failings:"),0)/MAX(1,(LEN($I1411)-LEN(SUBSTITUTE($I1411," Ltd","")))/LEN(" Ltd")),0)</f>
        <v/>
      </c>
      <c r="AB1410" s="122">
        <f>IFERROR(IFERROR((LEN($T1411)-LEN(SUBSTITUTE($T1411,"Quality of Works / Criteria of Failings:Compliant","")))/LEN("Quality of Works / Criteria of Failings:Compliant"),0)/MAX(1,(LEN($I1411)-LEN(SUBSTITUTE($I1411," Ltd","")))/LEN(" Ltd")),0)</f>
        <v/>
      </c>
    </row>
    <row r="1411" ht="15" customHeight="1" s="146">
      <c r="Y1411" s="122">
        <f>MAX(0,IFERROR((LEN($T1412)-LEN(SUBSTITUTE($T1412,"Quality of Works / Criteria of Failings:","")))/LEN("Quality of Works / Criteria of Failings:"),0)-IFERROR((LEN($T1412)-LEN(SUBSTITUTE($T1412,"Quality of Works / Criteria of Failings:Compliant","")))/LEN("Quality of Works / Criteria of Failings:Compliant"),0))</f>
        <v/>
      </c>
      <c r="Z1411" s="122">
        <f>IFERROR($Y1412/MAX(1,(LEN($I1412)-LEN(SUBSTITUTE($I1412," Ltd","")))/LEN(" Ltd")),0)</f>
        <v/>
      </c>
      <c r="AA1411" s="122">
        <f>IFERROR(IFERROR((LEN($T1412)-LEN(SUBSTITUTE($T1412,"Quality of Works / Criteria of Failings:","")))/LEN("Quality of Works / Criteria of Failings:"),0)/MAX(1,(LEN($I1412)-LEN(SUBSTITUTE($I1412," Ltd","")))/LEN(" Ltd")),0)</f>
        <v/>
      </c>
      <c r="AB1411" s="122">
        <f>IFERROR(IFERROR((LEN($T1412)-LEN(SUBSTITUTE($T1412,"Quality of Works / Criteria of Failings:Compliant","")))/LEN("Quality of Works / Criteria of Failings:Compliant"),0)/MAX(1,(LEN($I1412)-LEN(SUBSTITUTE($I1412," Ltd","")))/LEN(" Ltd")),0)</f>
        <v/>
      </c>
    </row>
    <row r="1412" ht="15" customHeight="1" s="146">
      <c r="Y1412" s="122">
        <f>MAX(0,IFERROR((LEN($T1413)-LEN(SUBSTITUTE($T1413,"Quality of Works / Criteria of Failings:","")))/LEN("Quality of Works / Criteria of Failings:"),0)-IFERROR((LEN($T1413)-LEN(SUBSTITUTE($T1413,"Quality of Works / Criteria of Failings:Compliant","")))/LEN("Quality of Works / Criteria of Failings:Compliant"),0))</f>
        <v/>
      </c>
      <c r="Z1412" s="122">
        <f>IFERROR($Y1413/MAX(1,(LEN($I1413)-LEN(SUBSTITUTE($I1413," Ltd","")))/LEN(" Ltd")),0)</f>
        <v/>
      </c>
      <c r="AA1412" s="122">
        <f>IFERROR(IFERROR((LEN($T1413)-LEN(SUBSTITUTE($T1413,"Quality of Works / Criteria of Failings:","")))/LEN("Quality of Works / Criteria of Failings:"),0)/MAX(1,(LEN($I1413)-LEN(SUBSTITUTE($I1413," Ltd","")))/LEN(" Ltd")),0)</f>
        <v/>
      </c>
      <c r="AB1412" s="122">
        <f>IFERROR(IFERROR((LEN($T1413)-LEN(SUBSTITUTE($T1413,"Quality of Works / Criteria of Failings:Compliant","")))/LEN("Quality of Works / Criteria of Failings:Compliant"),0)/MAX(1,(LEN($I1413)-LEN(SUBSTITUTE($I1413," Ltd","")))/LEN(" Ltd")),0)</f>
        <v/>
      </c>
    </row>
    <row r="1413" ht="15" customHeight="1" s="146">
      <c r="Y1413" s="122">
        <f>MAX(0,IFERROR((LEN($T1414)-LEN(SUBSTITUTE($T1414,"Quality of Works / Criteria of Failings:","")))/LEN("Quality of Works / Criteria of Failings:"),0)-IFERROR((LEN($T1414)-LEN(SUBSTITUTE($T1414,"Quality of Works / Criteria of Failings:Compliant","")))/LEN("Quality of Works / Criteria of Failings:Compliant"),0))</f>
        <v/>
      </c>
      <c r="Z1413" s="122">
        <f>IFERROR($Y1414/MAX(1,(LEN($I1414)-LEN(SUBSTITUTE($I1414," Ltd","")))/LEN(" Ltd")),0)</f>
        <v/>
      </c>
      <c r="AA1413" s="122">
        <f>IFERROR(IFERROR((LEN($T1414)-LEN(SUBSTITUTE($T1414,"Quality of Works / Criteria of Failings:","")))/LEN("Quality of Works / Criteria of Failings:"),0)/MAX(1,(LEN($I1414)-LEN(SUBSTITUTE($I1414," Ltd","")))/LEN(" Ltd")),0)</f>
        <v/>
      </c>
      <c r="AB1413" s="122">
        <f>IFERROR(IFERROR((LEN($T1414)-LEN(SUBSTITUTE($T1414,"Quality of Works / Criteria of Failings:Compliant","")))/LEN("Quality of Works / Criteria of Failings:Compliant"),0)/MAX(1,(LEN($I1414)-LEN(SUBSTITUTE($I1414," Ltd","")))/LEN(" Ltd")),0)</f>
        <v/>
      </c>
    </row>
    <row r="1414" ht="15" customHeight="1" s="146">
      <c r="Y1414" s="122">
        <f>MAX(0,IFERROR((LEN($T1415)-LEN(SUBSTITUTE($T1415,"Quality of Works / Criteria of Failings:","")))/LEN("Quality of Works / Criteria of Failings:"),0)-IFERROR((LEN($T1415)-LEN(SUBSTITUTE($T1415,"Quality of Works / Criteria of Failings:Compliant","")))/LEN("Quality of Works / Criteria of Failings:Compliant"),0))</f>
        <v/>
      </c>
      <c r="Z1414" s="122">
        <f>IFERROR($Y1415/MAX(1,(LEN($I1415)-LEN(SUBSTITUTE($I1415," Ltd","")))/LEN(" Ltd")),0)</f>
        <v/>
      </c>
      <c r="AA1414" s="122">
        <f>IFERROR(IFERROR((LEN($T1415)-LEN(SUBSTITUTE($T1415,"Quality of Works / Criteria of Failings:","")))/LEN("Quality of Works / Criteria of Failings:"),0)/MAX(1,(LEN($I1415)-LEN(SUBSTITUTE($I1415," Ltd","")))/LEN(" Ltd")),0)</f>
        <v/>
      </c>
      <c r="AB1414" s="122">
        <f>IFERROR(IFERROR((LEN($T1415)-LEN(SUBSTITUTE($T1415,"Quality of Works / Criteria of Failings:Compliant","")))/LEN("Quality of Works / Criteria of Failings:Compliant"),0)/MAX(1,(LEN($I1415)-LEN(SUBSTITUTE($I1415," Ltd","")))/LEN(" Ltd")),0)</f>
        <v/>
      </c>
    </row>
    <row r="1415" ht="15" customHeight="1" s="146">
      <c r="Y1415" s="122">
        <f>MAX(0,IFERROR((LEN($T1416)-LEN(SUBSTITUTE($T1416,"Quality of Works / Criteria of Failings:","")))/LEN("Quality of Works / Criteria of Failings:"),0)-IFERROR((LEN($T1416)-LEN(SUBSTITUTE($T1416,"Quality of Works / Criteria of Failings:Compliant","")))/LEN("Quality of Works / Criteria of Failings:Compliant"),0))</f>
        <v/>
      </c>
      <c r="Z1415" s="122">
        <f>IFERROR($Y1416/MAX(1,(LEN($I1416)-LEN(SUBSTITUTE($I1416," Ltd","")))/LEN(" Ltd")),0)</f>
        <v/>
      </c>
      <c r="AA1415" s="122">
        <f>IFERROR(IFERROR((LEN($T1416)-LEN(SUBSTITUTE($T1416,"Quality of Works / Criteria of Failings:","")))/LEN("Quality of Works / Criteria of Failings:"),0)/MAX(1,(LEN($I1416)-LEN(SUBSTITUTE($I1416," Ltd","")))/LEN(" Ltd")),0)</f>
        <v/>
      </c>
      <c r="AB1415" s="122">
        <f>IFERROR(IFERROR((LEN($T1416)-LEN(SUBSTITUTE($T1416,"Quality of Works / Criteria of Failings:Compliant","")))/LEN("Quality of Works / Criteria of Failings:Compliant"),0)/MAX(1,(LEN($I1416)-LEN(SUBSTITUTE($I1416," Ltd","")))/LEN(" Ltd")),0)</f>
        <v/>
      </c>
    </row>
    <row r="1416" ht="15" customHeight="1" s="146">
      <c r="Y1416" s="122">
        <f>MAX(0,IFERROR((LEN($T1417)-LEN(SUBSTITUTE($T1417,"Quality of Works / Criteria of Failings:","")))/LEN("Quality of Works / Criteria of Failings:"),0)-IFERROR((LEN($T1417)-LEN(SUBSTITUTE($T1417,"Quality of Works / Criteria of Failings:Compliant","")))/LEN("Quality of Works / Criteria of Failings:Compliant"),0))</f>
        <v/>
      </c>
      <c r="Z1416" s="122">
        <f>IFERROR($Y1417/MAX(1,(LEN($I1417)-LEN(SUBSTITUTE($I1417," Ltd","")))/LEN(" Ltd")),0)</f>
        <v/>
      </c>
      <c r="AA1416" s="122">
        <f>IFERROR(IFERROR((LEN($T1417)-LEN(SUBSTITUTE($T1417,"Quality of Works / Criteria of Failings:","")))/LEN("Quality of Works / Criteria of Failings:"),0)/MAX(1,(LEN($I1417)-LEN(SUBSTITUTE($I1417," Ltd","")))/LEN(" Ltd")),0)</f>
        <v/>
      </c>
      <c r="AB1416" s="122">
        <f>IFERROR(IFERROR((LEN($T1417)-LEN(SUBSTITUTE($T1417,"Quality of Works / Criteria of Failings:Compliant","")))/LEN("Quality of Works / Criteria of Failings:Compliant"),0)/MAX(1,(LEN($I1417)-LEN(SUBSTITUTE($I1417," Ltd","")))/LEN(" Ltd")),0)</f>
        <v/>
      </c>
    </row>
    <row r="1417" ht="15" customHeight="1" s="146">
      <c r="Y1417" s="122">
        <f>MAX(0,IFERROR((LEN($T1418)-LEN(SUBSTITUTE($T1418,"Quality of Works / Criteria of Failings:","")))/LEN("Quality of Works / Criteria of Failings:"),0)-IFERROR((LEN($T1418)-LEN(SUBSTITUTE($T1418,"Quality of Works / Criteria of Failings:Compliant","")))/LEN("Quality of Works / Criteria of Failings:Compliant"),0))</f>
        <v/>
      </c>
      <c r="Z1417" s="122">
        <f>IFERROR($Y1418/MAX(1,(LEN($I1418)-LEN(SUBSTITUTE($I1418," Ltd","")))/LEN(" Ltd")),0)</f>
        <v/>
      </c>
      <c r="AA1417" s="122">
        <f>IFERROR(IFERROR((LEN($T1418)-LEN(SUBSTITUTE($T1418,"Quality of Works / Criteria of Failings:","")))/LEN("Quality of Works / Criteria of Failings:"),0)/MAX(1,(LEN($I1418)-LEN(SUBSTITUTE($I1418," Ltd","")))/LEN(" Ltd")),0)</f>
        <v/>
      </c>
      <c r="AB1417" s="122">
        <f>IFERROR(IFERROR((LEN($T1418)-LEN(SUBSTITUTE($T1418,"Quality of Works / Criteria of Failings:Compliant","")))/LEN("Quality of Works / Criteria of Failings:Compliant"),0)/MAX(1,(LEN($I1418)-LEN(SUBSTITUTE($I1418," Ltd","")))/LEN(" Ltd")),0)</f>
        <v/>
      </c>
    </row>
    <row r="1418" ht="15" customHeight="1" s="146">
      <c r="Y1418" s="122">
        <f>MAX(0,IFERROR((LEN($T1419)-LEN(SUBSTITUTE($T1419,"Quality of Works / Criteria of Failings:","")))/LEN("Quality of Works / Criteria of Failings:"),0)-IFERROR((LEN($T1419)-LEN(SUBSTITUTE($T1419,"Quality of Works / Criteria of Failings:Compliant","")))/LEN("Quality of Works / Criteria of Failings:Compliant"),0))</f>
        <v/>
      </c>
      <c r="Z1418" s="122">
        <f>IFERROR($Y1419/MAX(1,(LEN($I1419)-LEN(SUBSTITUTE($I1419," Ltd","")))/LEN(" Ltd")),0)</f>
        <v/>
      </c>
      <c r="AA1418" s="122">
        <f>IFERROR(IFERROR((LEN($T1419)-LEN(SUBSTITUTE($T1419,"Quality of Works / Criteria of Failings:","")))/LEN("Quality of Works / Criteria of Failings:"),0)/MAX(1,(LEN($I1419)-LEN(SUBSTITUTE($I1419," Ltd","")))/LEN(" Ltd")),0)</f>
        <v/>
      </c>
      <c r="AB1418" s="122">
        <f>IFERROR(IFERROR((LEN($T1419)-LEN(SUBSTITUTE($T1419,"Quality of Works / Criteria of Failings:Compliant","")))/LEN("Quality of Works / Criteria of Failings:Compliant"),0)/MAX(1,(LEN($I1419)-LEN(SUBSTITUTE($I1419," Ltd","")))/LEN(" Ltd")),0)</f>
        <v/>
      </c>
    </row>
    <row r="1419" ht="15" customHeight="1" s="146">
      <c r="Y1419" s="122">
        <f>MAX(0,IFERROR((LEN($T1420)-LEN(SUBSTITUTE($T1420,"Quality of Works / Criteria of Failings:","")))/LEN("Quality of Works / Criteria of Failings:"),0)-IFERROR((LEN($T1420)-LEN(SUBSTITUTE($T1420,"Quality of Works / Criteria of Failings:Compliant","")))/LEN("Quality of Works / Criteria of Failings:Compliant"),0))</f>
        <v/>
      </c>
      <c r="Z1419" s="122">
        <f>IFERROR($Y1420/MAX(1,(LEN($I1420)-LEN(SUBSTITUTE($I1420," Ltd","")))/LEN(" Ltd")),0)</f>
        <v/>
      </c>
      <c r="AA1419" s="122">
        <f>IFERROR(IFERROR((LEN($T1420)-LEN(SUBSTITUTE($T1420,"Quality of Works / Criteria of Failings:","")))/LEN("Quality of Works / Criteria of Failings:"),0)/MAX(1,(LEN($I1420)-LEN(SUBSTITUTE($I1420," Ltd","")))/LEN(" Ltd")),0)</f>
        <v/>
      </c>
      <c r="AB1419" s="122">
        <f>IFERROR(IFERROR((LEN($T1420)-LEN(SUBSTITUTE($T1420,"Quality of Works / Criteria of Failings:Compliant","")))/LEN("Quality of Works / Criteria of Failings:Compliant"),0)/MAX(1,(LEN($I1420)-LEN(SUBSTITUTE($I1420," Ltd","")))/LEN(" Ltd")),0)</f>
        <v/>
      </c>
    </row>
    <row r="1420" ht="15" customHeight="1" s="146">
      <c r="Y1420" s="122">
        <f>MAX(0,IFERROR((LEN($T1421)-LEN(SUBSTITUTE($T1421,"Quality of Works / Criteria of Failings:","")))/LEN("Quality of Works / Criteria of Failings:"),0)-IFERROR((LEN($T1421)-LEN(SUBSTITUTE($T1421,"Quality of Works / Criteria of Failings:Compliant","")))/LEN("Quality of Works / Criteria of Failings:Compliant"),0))</f>
        <v/>
      </c>
      <c r="Z1420" s="122">
        <f>IFERROR($Y1421/MAX(1,(LEN($I1421)-LEN(SUBSTITUTE($I1421," Ltd","")))/LEN(" Ltd")),0)</f>
        <v/>
      </c>
      <c r="AA1420" s="122">
        <f>IFERROR(IFERROR((LEN($T1421)-LEN(SUBSTITUTE($T1421,"Quality of Works / Criteria of Failings:","")))/LEN("Quality of Works / Criteria of Failings:"),0)/MAX(1,(LEN($I1421)-LEN(SUBSTITUTE($I1421," Ltd","")))/LEN(" Ltd")),0)</f>
        <v/>
      </c>
      <c r="AB1420" s="122">
        <f>IFERROR(IFERROR((LEN($T1421)-LEN(SUBSTITUTE($T1421,"Quality of Works / Criteria of Failings:Compliant","")))/LEN("Quality of Works / Criteria of Failings:Compliant"),0)/MAX(1,(LEN($I1421)-LEN(SUBSTITUTE($I1421," Ltd","")))/LEN(" Ltd")),0)</f>
        <v/>
      </c>
    </row>
    <row r="1421" ht="15" customHeight="1" s="146">
      <c r="Y1421" s="122">
        <f>MAX(0,IFERROR((LEN($T1422)-LEN(SUBSTITUTE($T1422,"Quality of Works / Criteria of Failings:","")))/LEN("Quality of Works / Criteria of Failings:"),0)-IFERROR((LEN($T1422)-LEN(SUBSTITUTE($T1422,"Quality of Works / Criteria of Failings:Compliant","")))/LEN("Quality of Works / Criteria of Failings:Compliant"),0))</f>
        <v/>
      </c>
      <c r="Z1421" s="122">
        <f>IFERROR($Y1422/MAX(1,(LEN($I1422)-LEN(SUBSTITUTE($I1422," Ltd","")))/LEN(" Ltd")),0)</f>
        <v/>
      </c>
      <c r="AA1421" s="122">
        <f>IFERROR(IFERROR((LEN($T1422)-LEN(SUBSTITUTE($T1422,"Quality of Works / Criteria of Failings:","")))/LEN("Quality of Works / Criteria of Failings:"),0)/MAX(1,(LEN($I1422)-LEN(SUBSTITUTE($I1422," Ltd","")))/LEN(" Ltd")),0)</f>
        <v/>
      </c>
      <c r="AB1421" s="122">
        <f>IFERROR(IFERROR((LEN($T1422)-LEN(SUBSTITUTE($T1422,"Quality of Works / Criteria of Failings:Compliant","")))/LEN("Quality of Works / Criteria of Failings:Compliant"),0)/MAX(1,(LEN($I1422)-LEN(SUBSTITUTE($I1422," Ltd","")))/LEN(" Ltd")),0)</f>
        <v/>
      </c>
    </row>
    <row r="1422" ht="15" customHeight="1" s="146">
      <c r="Y1422" s="122">
        <f>MAX(0,IFERROR((LEN($T1423)-LEN(SUBSTITUTE($T1423,"Quality of Works / Criteria of Failings:","")))/LEN("Quality of Works / Criteria of Failings:"),0)-IFERROR((LEN($T1423)-LEN(SUBSTITUTE($T1423,"Quality of Works / Criteria of Failings:Compliant","")))/LEN("Quality of Works / Criteria of Failings:Compliant"),0))</f>
        <v/>
      </c>
      <c r="Z1422" s="122">
        <f>IFERROR($Y1423/MAX(1,(LEN($I1423)-LEN(SUBSTITUTE($I1423," Ltd","")))/LEN(" Ltd")),0)</f>
        <v/>
      </c>
      <c r="AA1422" s="122">
        <f>IFERROR(IFERROR((LEN($T1423)-LEN(SUBSTITUTE($T1423,"Quality of Works / Criteria of Failings:","")))/LEN("Quality of Works / Criteria of Failings:"),0)/MAX(1,(LEN($I1423)-LEN(SUBSTITUTE($I1423," Ltd","")))/LEN(" Ltd")),0)</f>
        <v/>
      </c>
      <c r="AB1422" s="122">
        <f>IFERROR(IFERROR((LEN($T1423)-LEN(SUBSTITUTE($T1423,"Quality of Works / Criteria of Failings:Compliant","")))/LEN("Quality of Works / Criteria of Failings:Compliant"),0)/MAX(1,(LEN($I1423)-LEN(SUBSTITUTE($I1423," Ltd","")))/LEN(" Ltd")),0)</f>
        <v/>
      </c>
    </row>
    <row r="1423" ht="15" customHeight="1" s="146">
      <c r="Y1423" s="122">
        <f>MAX(0,IFERROR((LEN($T1424)-LEN(SUBSTITUTE($T1424,"Quality of Works / Criteria of Failings:","")))/LEN("Quality of Works / Criteria of Failings:"),0)-IFERROR((LEN($T1424)-LEN(SUBSTITUTE($T1424,"Quality of Works / Criteria of Failings:Compliant","")))/LEN("Quality of Works / Criteria of Failings:Compliant"),0))</f>
        <v/>
      </c>
      <c r="Z1423" s="122">
        <f>IFERROR($Y1424/MAX(1,(LEN($I1424)-LEN(SUBSTITUTE($I1424," Ltd","")))/LEN(" Ltd")),0)</f>
        <v/>
      </c>
      <c r="AA1423" s="122">
        <f>IFERROR(IFERROR((LEN($T1424)-LEN(SUBSTITUTE($T1424,"Quality of Works / Criteria of Failings:","")))/LEN("Quality of Works / Criteria of Failings:"),0)/MAX(1,(LEN($I1424)-LEN(SUBSTITUTE($I1424," Ltd","")))/LEN(" Ltd")),0)</f>
        <v/>
      </c>
      <c r="AB1423" s="122">
        <f>IFERROR(IFERROR((LEN($T1424)-LEN(SUBSTITUTE($T1424,"Quality of Works / Criteria of Failings:Compliant","")))/LEN("Quality of Works / Criteria of Failings:Compliant"),0)/MAX(1,(LEN($I1424)-LEN(SUBSTITUTE($I1424," Ltd","")))/LEN(" Ltd")),0)</f>
        <v/>
      </c>
    </row>
    <row r="1424" ht="15" customHeight="1" s="146">
      <c r="Y1424" s="122">
        <f>MAX(0,IFERROR((LEN($T1425)-LEN(SUBSTITUTE($T1425,"Quality of Works / Criteria of Failings:","")))/LEN("Quality of Works / Criteria of Failings:"),0)-IFERROR((LEN($T1425)-LEN(SUBSTITUTE($T1425,"Quality of Works / Criteria of Failings:Compliant","")))/LEN("Quality of Works / Criteria of Failings:Compliant"),0))</f>
        <v/>
      </c>
      <c r="Z1424" s="122">
        <f>IFERROR($Y1425/MAX(1,(LEN($I1425)-LEN(SUBSTITUTE($I1425," Ltd","")))/LEN(" Ltd")),0)</f>
        <v/>
      </c>
      <c r="AA1424" s="122">
        <f>IFERROR(IFERROR((LEN($T1425)-LEN(SUBSTITUTE($T1425,"Quality of Works / Criteria of Failings:","")))/LEN("Quality of Works / Criteria of Failings:"),0)/MAX(1,(LEN($I1425)-LEN(SUBSTITUTE($I1425," Ltd","")))/LEN(" Ltd")),0)</f>
        <v/>
      </c>
      <c r="AB1424" s="122">
        <f>IFERROR(IFERROR((LEN($T1425)-LEN(SUBSTITUTE($T1425,"Quality of Works / Criteria of Failings:Compliant","")))/LEN("Quality of Works / Criteria of Failings:Compliant"),0)/MAX(1,(LEN($I1425)-LEN(SUBSTITUTE($I1425," Ltd","")))/LEN(" Ltd")),0)</f>
        <v/>
      </c>
    </row>
    <row r="1425" ht="15" customHeight="1" s="146">
      <c r="Y1425" s="122">
        <f>MAX(0,IFERROR((LEN($T1426)-LEN(SUBSTITUTE($T1426,"Quality of Works / Criteria of Failings:","")))/LEN("Quality of Works / Criteria of Failings:"),0)-IFERROR((LEN($T1426)-LEN(SUBSTITUTE($T1426,"Quality of Works / Criteria of Failings:Compliant","")))/LEN("Quality of Works / Criteria of Failings:Compliant"),0))</f>
        <v/>
      </c>
      <c r="Z1425" s="122">
        <f>IFERROR($Y1426/MAX(1,(LEN($I1426)-LEN(SUBSTITUTE($I1426," Ltd","")))/LEN(" Ltd")),0)</f>
        <v/>
      </c>
      <c r="AA1425" s="122">
        <f>IFERROR(IFERROR((LEN($T1426)-LEN(SUBSTITUTE($T1426,"Quality of Works / Criteria of Failings:","")))/LEN("Quality of Works / Criteria of Failings:"),0)/MAX(1,(LEN($I1426)-LEN(SUBSTITUTE($I1426," Ltd","")))/LEN(" Ltd")),0)</f>
        <v/>
      </c>
      <c r="AB1425" s="122">
        <f>IFERROR(IFERROR((LEN($T1426)-LEN(SUBSTITUTE($T1426,"Quality of Works / Criteria of Failings:Compliant","")))/LEN("Quality of Works / Criteria of Failings:Compliant"),0)/MAX(1,(LEN($I1426)-LEN(SUBSTITUTE($I1426," Ltd","")))/LEN(" Ltd")),0)</f>
        <v/>
      </c>
    </row>
    <row r="1426" ht="15" customHeight="1" s="146">
      <c r="Y1426" s="122">
        <f>MAX(0,IFERROR((LEN($T1427)-LEN(SUBSTITUTE($T1427,"Quality of Works / Criteria of Failings:","")))/LEN("Quality of Works / Criteria of Failings:"),0)-IFERROR((LEN($T1427)-LEN(SUBSTITUTE($T1427,"Quality of Works / Criteria of Failings:Compliant","")))/LEN("Quality of Works / Criteria of Failings:Compliant"),0))</f>
        <v/>
      </c>
      <c r="Z1426" s="122">
        <f>IFERROR($Y1427/MAX(1,(LEN($I1427)-LEN(SUBSTITUTE($I1427," Ltd","")))/LEN(" Ltd")),0)</f>
        <v/>
      </c>
      <c r="AA1426" s="122">
        <f>IFERROR(IFERROR((LEN($T1427)-LEN(SUBSTITUTE($T1427,"Quality of Works / Criteria of Failings:","")))/LEN("Quality of Works / Criteria of Failings:"),0)/MAX(1,(LEN($I1427)-LEN(SUBSTITUTE($I1427," Ltd","")))/LEN(" Ltd")),0)</f>
        <v/>
      </c>
      <c r="AB1426" s="122">
        <f>IFERROR(IFERROR((LEN($T1427)-LEN(SUBSTITUTE($T1427,"Quality of Works / Criteria of Failings:Compliant","")))/LEN("Quality of Works / Criteria of Failings:Compliant"),0)/MAX(1,(LEN($I1427)-LEN(SUBSTITUTE($I1427," Ltd","")))/LEN(" Ltd")),0)</f>
        <v/>
      </c>
    </row>
    <row r="1427" ht="15" customHeight="1" s="146">
      <c r="Y1427" s="122">
        <f>MAX(0,IFERROR((LEN($T1428)-LEN(SUBSTITUTE($T1428,"Quality of Works / Criteria of Failings:","")))/LEN("Quality of Works / Criteria of Failings:"),0)-IFERROR((LEN($T1428)-LEN(SUBSTITUTE($T1428,"Quality of Works / Criteria of Failings:Compliant","")))/LEN("Quality of Works / Criteria of Failings:Compliant"),0))</f>
        <v/>
      </c>
      <c r="Z1427" s="122">
        <f>IFERROR($Y1428/MAX(1,(LEN($I1428)-LEN(SUBSTITUTE($I1428," Ltd","")))/LEN(" Ltd")),0)</f>
        <v/>
      </c>
      <c r="AA1427" s="122">
        <f>IFERROR(IFERROR((LEN($T1428)-LEN(SUBSTITUTE($T1428,"Quality of Works / Criteria of Failings:","")))/LEN("Quality of Works / Criteria of Failings:"),0)/MAX(1,(LEN($I1428)-LEN(SUBSTITUTE($I1428," Ltd","")))/LEN(" Ltd")),0)</f>
        <v/>
      </c>
      <c r="AB1427" s="122">
        <f>IFERROR(IFERROR((LEN($T1428)-LEN(SUBSTITUTE($T1428,"Quality of Works / Criteria of Failings:Compliant","")))/LEN("Quality of Works / Criteria of Failings:Compliant"),0)/MAX(1,(LEN($I1428)-LEN(SUBSTITUTE($I1428," Ltd","")))/LEN(" Ltd")),0)</f>
        <v/>
      </c>
    </row>
    <row r="1428" ht="15" customHeight="1" s="146">
      <c r="Y1428" s="122">
        <f>MAX(0,IFERROR((LEN($T1429)-LEN(SUBSTITUTE($T1429,"Quality of Works / Criteria of Failings:","")))/LEN("Quality of Works / Criteria of Failings:"),0)-IFERROR((LEN($T1429)-LEN(SUBSTITUTE($T1429,"Quality of Works / Criteria of Failings:Compliant","")))/LEN("Quality of Works / Criteria of Failings:Compliant"),0))</f>
        <v/>
      </c>
      <c r="Z1428" s="122">
        <f>IFERROR($Y1429/MAX(1,(LEN($I1429)-LEN(SUBSTITUTE($I1429," Ltd","")))/LEN(" Ltd")),0)</f>
        <v/>
      </c>
      <c r="AA1428" s="122">
        <f>IFERROR(IFERROR((LEN($T1429)-LEN(SUBSTITUTE($T1429,"Quality of Works / Criteria of Failings:","")))/LEN("Quality of Works / Criteria of Failings:"),0)/MAX(1,(LEN($I1429)-LEN(SUBSTITUTE($I1429," Ltd","")))/LEN(" Ltd")),0)</f>
        <v/>
      </c>
      <c r="AB1428" s="122">
        <f>IFERROR(IFERROR((LEN($T1429)-LEN(SUBSTITUTE($T1429,"Quality of Works / Criteria of Failings:Compliant","")))/LEN("Quality of Works / Criteria of Failings:Compliant"),0)/MAX(1,(LEN($I1429)-LEN(SUBSTITUTE($I1429," Ltd","")))/LEN(" Ltd")),0)</f>
        <v/>
      </c>
    </row>
    <row r="1429" ht="15" customHeight="1" s="146">
      <c r="Y1429" s="122">
        <f>MAX(0,IFERROR((LEN($T1430)-LEN(SUBSTITUTE($T1430,"Quality of Works / Criteria of Failings:","")))/LEN("Quality of Works / Criteria of Failings:"),0)-IFERROR((LEN($T1430)-LEN(SUBSTITUTE($T1430,"Quality of Works / Criteria of Failings:Compliant","")))/LEN("Quality of Works / Criteria of Failings:Compliant"),0))</f>
        <v/>
      </c>
      <c r="Z1429" s="122">
        <f>IFERROR($Y1430/MAX(1,(LEN($I1430)-LEN(SUBSTITUTE($I1430," Ltd","")))/LEN(" Ltd")),0)</f>
        <v/>
      </c>
      <c r="AA1429" s="122">
        <f>IFERROR(IFERROR((LEN($T1430)-LEN(SUBSTITUTE($T1430,"Quality of Works / Criteria of Failings:","")))/LEN("Quality of Works / Criteria of Failings:"),0)/MAX(1,(LEN($I1430)-LEN(SUBSTITUTE($I1430," Ltd","")))/LEN(" Ltd")),0)</f>
        <v/>
      </c>
      <c r="AB1429" s="122">
        <f>IFERROR(IFERROR((LEN($T1430)-LEN(SUBSTITUTE($T1430,"Quality of Works / Criteria of Failings:Compliant","")))/LEN("Quality of Works / Criteria of Failings:Compliant"),0)/MAX(1,(LEN($I1430)-LEN(SUBSTITUTE($I1430," Ltd","")))/LEN(" Ltd")),0)</f>
        <v/>
      </c>
    </row>
    <row r="1430" ht="15" customHeight="1" s="146">
      <c r="Y1430" s="122">
        <f>MAX(0,IFERROR((LEN($T1431)-LEN(SUBSTITUTE($T1431,"Quality of Works / Criteria of Failings:","")))/LEN("Quality of Works / Criteria of Failings:"),0)-IFERROR((LEN($T1431)-LEN(SUBSTITUTE($T1431,"Quality of Works / Criteria of Failings:Compliant","")))/LEN("Quality of Works / Criteria of Failings:Compliant"),0))</f>
        <v/>
      </c>
      <c r="Z1430" s="122">
        <f>IFERROR($Y1431/MAX(1,(LEN($I1431)-LEN(SUBSTITUTE($I1431," Ltd","")))/LEN(" Ltd")),0)</f>
        <v/>
      </c>
      <c r="AA1430" s="122">
        <f>IFERROR(IFERROR((LEN($T1431)-LEN(SUBSTITUTE($T1431,"Quality of Works / Criteria of Failings:","")))/LEN("Quality of Works / Criteria of Failings:"),0)/MAX(1,(LEN($I1431)-LEN(SUBSTITUTE($I1431," Ltd","")))/LEN(" Ltd")),0)</f>
        <v/>
      </c>
      <c r="AB1430" s="122">
        <f>IFERROR(IFERROR((LEN($T1431)-LEN(SUBSTITUTE($T1431,"Quality of Works / Criteria of Failings:Compliant","")))/LEN("Quality of Works / Criteria of Failings:Compliant"),0)/MAX(1,(LEN($I1431)-LEN(SUBSTITUTE($I1431," Ltd","")))/LEN(" Ltd")),0)</f>
        <v/>
      </c>
    </row>
    <row r="1431" ht="15" customHeight="1" s="146">
      <c r="Y1431" s="122">
        <f>MAX(0,IFERROR((LEN($T1432)-LEN(SUBSTITUTE($T1432,"Quality of Works / Criteria of Failings:","")))/LEN("Quality of Works / Criteria of Failings:"),0)-IFERROR((LEN($T1432)-LEN(SUBSTITUTE($T1432,"Quality of Works / Criteria of Failings:Compliant","")))/LEN("Quality of Works / Criteria of Failings:Compliant"),0))</f>
        <v/>
      </c>
      <c r="Z1431" s="122">
        <f>IFERROR($Y1432/MAX(1,(LEN($I1432)-LEN(SUBSTITUTE($I1432," Ltd","")))/LEN(" Ltd")),0)</f>
        <v/>
      </c>
      <c r="AA1431" s="122">
        <f>IFERROR(IFERROR((LEN($T1432)-LEN(SUBSTITUTE($T1432,"Quality of Works / Criteria of Failings:","")))/LEN("Quality of Works / Criteria of Failings:"),0)/MAX(1,(LEN($I1432)-LEN(SUBSTITUTE($I1432," Ltd","")))/LEN(" Ltd")),0)</f>
        <v/>
      </c>
      <c r="AB1431" s="122">
        <f>IFERROR(IFERROR((LEN($T1432)-LEN(SUBSTITUTE($T1432,"Quality of Works / Criteria of Failings:Compliant","")))/LEN("Quality of Works / Criteria of Failings:Compliant"),0)/MAX(1,(LEN($I1432)-LEN(SUBSTITUTE($I1432," Ltd","")))/LEN(" Ltd")),0)</f>
        <v/>
      </c>
    </row>
    <row r="1432" ht="15" customHeight="1" s="146">
      <c r="Y1432" s="122">
        <f>MAX(0,IFERROR((LEN($T1433)-LEN(SUBSTITUTE($T1433,"Quality of Works / Criteria of Failings:","")))/LEN("Quality of Works / Criteria of Failings:"),0)-IFERROR((LEN($T1433)-LEN(SUBSTITUTE($T1433,"Quality of Works / Criteria of Failings:Compliant","")))/LEN("Quality of Works / Criteria of Failings:Compliant"),0))</f>
        <v/>
      </c>
      <c r="Z1432" s="122">
        <f>IFERROR($Y1433/MAX(1,(LEN($I1433)-LEN(SUBSTITUTE($I1433," Ltd","")))/LEN(" Ltd")),0)</f>
        <v/>
      </c>
      <c r="AA1432" s="122">
        <f>IFERROR(IFERROR((LEN($T1433)-LEN(SUBSTITUTE($T1433,"Quality of Works / Criteria of Failings:","")))/LEN("Quality of Works / Criteria of Failings:"),0)/MAX(1,(LEN($I1433)-LEN(SUBSTITUTE($I1433," Ltd","")))/LEN(" Ltd")),0)</f>
        <v/>
      </c>
      <c r="AB1432" s="122">
        <f>IFERROR(IFERROR((LEN($T1433)-LEN(SUBSTITUTE($T1433,"Quality of Works / Criteria of Failings:Compliant","")))/LEN("Quality of Works / Criteria of Failings:Compliant"),0)/MAX(1,(LEN($I1433)-LEN(SUBSTITUTE($I1433," Ltd","")))/LEN(" Ltd")),0)</f>
        <v/>
      </c>
    </row>
    <row r="1433" ht="15" customHeight="1" s="146">
      <c r="Y1433" s="122">
        <f>MAX(0,IFERROR((LEN($T1434)-LEN(SUBSTITUTE($T1434,"Quality of Works / Criteria of Failings:","")))/LEN("Quality of Works / Criteria of Failings:"),0)-IFERROR((LEN($T1434)-LEN(SUBSTITUTE($T1434,"Quality of Works / Criteria of Failings:Compliant","")))/LEN("Quality of Works / Criteria of Failings:Compliant"),0))</f>
        <v/>
      </c>
      <c r="Z1433" s="122">
        <f>IFERROR($Y1434/MAX(1,(LEN($I1434)-LEN(SUBSTITUTE($I1434," Ltd","")))/LEN(" Ltd")),0)</f>
        <v/>
      </c>
      <c r="AA1433" s="122">
        <f>IFERROR(IFERROR((LEN($T1434)-LEN(SUBSTITUTE($T1434,"Quality of Works / Criteria of Failings:","")))/LEN("Quality of Works / Criteria of Failings:"),0)/MAX(1,(LEN($I1434)-LEN(SUBSTITUTE($I1434," Ltd","")))/LEN(" Ltd")),0)</f>
        <v/>
      </c>
      <c r="AB1433" s="122">
        <f>IFERROR(IFERROR((LEN($T1434)-LEN(SUBSTITUTE($T1434,"Quality of Works / Criteria of Failings:Compliant","")))/LEN("Quality of Works / Criteria of Failings:Compliant"),0)/MAX(1,(LEN($I1434)-LEN(SUBSTITUTE($I1434," Ltd","")))/LEN(" Ltd")),0)</f>
        <v/>
      </c>
    </row>
    <row r="1434" ht="15" customHeight="1" s="146">
      <c r="Y1434" s="122">
        <f>MAX(0,IFERROR((LEN($T1435)-LEN(SUBSTITUTE($T1435,"Quality of Works / Criteria of Failings:","")))/LEN("Quality of Works / Criteria of Failings:"),0)-IFERROR((LEN($T1435)-LEN(SUBSTITUTE($T1435,"Quality of Works / Criteria of Failings:Compliant","")))/LEN("Quality of Works / Criteria of Failings:Compliant"),0))</f>
        <v/>
      </c>
      <c r="Z1434" s="122">
        <f>IFERROR($Y1435/MAX(1,(LEN($I1435)-LEN(SUBSTITUTE($I1435," Ltd","")))/LEN(" Ltd")),0)</f>
        <v/>
      </c>
      <c r="AA1434" s="122">
        <f>IFERROR(IFERROR((LEN($T1435)-LEN(SUBSTITUTE($T1435,"Quality of Works / Criteria of Failings:","")))/LEN("Quality of Works / Criteria of Failings:"),0)/MAX(1,(LEN($I1435)-LEN(SUBSTITUTE($I1435," Ltd","")))/LEN(" Ltd")),0)</f>
        <v/>
      </c>
      <c r="AB1434" s="122">
        <f>IFERROR(IFERROR((LEN($T1435)-LEN(SUBSTITUTE($T1435,"Quality of Works / Criteria of Failings:Compliant","")))/LEN("Quality of Works / Criteria of Failings:Compliant"),0)/MAX(1,(LEN($I1435)-LEN(SUBSTITUTE($I1435," Ltd","")))/LEN(" Ltd")),0)</f>
        <v/>
      </c>
    </row>
    <row r="1435" ht="15" customHeight="1" s="146">
      <c r="Y1435" s="122">
        <f>MAX(0,IFERROR((LEN($T1436)-LEN(SUBSTITUTE($T1436,"Quality of Works / Criteria of Failings:","")))/LEN("Quality of Works / Criteria of Failings:"),0)-IFERROR((LEN($T1436)-LEN(SUBSTITUTE($T1436,"Quality of Works / Criteria of Failings:Compliant","")))/LEN("Quality of Works / Criteria of Failings:Compliant"),0))</f>
        <v/>
      </c>
      <c r="Z1435" s="122">
        <f>IFERROR($Y1436/MAX(1,(LEN($I1436)-LEN(SUBSTITUTE($I1436," Ltd","")))/LEN(" Ltd")),0)</f>
        <v/>
      </c>
      <c r="AA1435" s="122">
        <f>IFERROR(IFERROR((LEN($T1436)-LEN(SUBSTITUTE($T1436,"Quality of Works / Criteria of Failings:","")))/LEN("Quality of Works / Criteria of Failings:"),0)/MAX(1,(LEN($I1436)-LEN(SUBSTITUTE($I1436," Ltd","")))/LEN(" Ltd")),0)</f>
        <v/>
      </c>
      <c r="AB1435" s="122">
        <f>IFERROR(IFERROR((LEN($T1436)-LEN(SUBSTITUTE($T1436,"Quality of Works / Criteria of Failings:Compliant","")))/LEN("Quality of Works / Criteria of Failings:Compliant"),0)/MAX(1,(LEN($I1436)-LEN(SUBSTITUTE($I1436," Ltd","")))/LEN(" Ltd")),0)</f>
        <v/>
      </c>
    </row>
    <row r="1436" ht="15" customHeight="1" s="146">
      <c r="Y1436" s="122">
        <f>MAX(0,IFERROR((LEN($T1437)-LEN(SUBSTITUTE($T1437,"Quality of Works / Criteria of Failings:","")))/LEN("Quality of Works / Criteria of Failings:"),0)-IFERROR((LEN($T1437)-LEN(SUBSTITUTE($T1437,"Quality of Works / Criteria of Failings:Compliant","")))/LEN("Quality of Works / Criteria of Failings:Compliant"),0))</f>
        <v/>
      </c>
      <c r="Z1436" s="122">
        <f>IFERROR($Y1437/MAX(1,(LEN($I1437)-LEN(SUBSTITUTE($I1437," Ltd","")))/LEN(" Ltd")),0)</f>
        <v/>
      </c>
      <c r="AA1436" s="122">
        <f>IFERROR(IFERROR((LEN($T1437)-LEN(SUBSTITUTE($T1437,"Quality of Works / Criteria of Failings:","")))/LEN("Quality of Works / Criteria of Failings:"),0)/MAX(1,(LEN($I1437)-LEN(SUBSTITUTE($I1437," Ltd","")))/LEN(" Ltd")),0)</f>
        <v/>
      </c>
      <c r="AB1436" s="122">
        <f>IFERROR(IFERROR((LEN($T1437)-LEN(SUBSTITUTE($T1437,"Quality of Works / Criteria of Failings:Compliant","")))/LEN("Quality of Works / Criteria of Failings:Compliant"),0)/MAX(1,(LEN($I1437)-LEN(SUBSTITUTE($I1437," Ltd","")))/LEN(" Ltd")),0)</f>
        <v/>
      </c>
    </row>
    <row r="1437" ht="15" customHeight="1" s="146">
      <c r="Y1437" s="122">
        <f>MAX(0,IFERROR((LEN($T1438)-LEN(SUBSTITUTE($T1438,"Quality of Works / Criteria of Failings:","")))/LEN("Quality of Works / Criteria of Failings:"),0)-IFERROR((LEN($T1438)-LEN(SUBSTITUTE($T1438,"Quality of Works / Criteria of Failings:Compliant","")))/LEN("Quality of Works / Criteria of Failings:Compliant"),0))</f>
        <v/>
      </c>
      <c r="Z1437" s="122">
        <f>IFERROR($Y1438/MAX(1,(LEN($I1438)-LEN(SUBSTITUTE($I1438," Ltd","")))/LEN(" Ltd")),0)</f>
        <v/>
      </c>
      <c r="AA1437" s="122">
        <f>IFERROR(IFERROR((LEN($T1438)-LEN(SUBSTITUTE($T1438,"Quality of Works / Criteria of Failings:","")))/LEN("Quality of Works / Criteria of Failings:"),0)/MAX(1,(LEN($I1438)-LEN(SUBSTITUTE($I1438," Ltd","")))/LEN(" Ltd")),0)</f>
        <v/>
      </c>
      <c r="AB1437" s="122">
        <f>IFERROR(IFERROR((LEN($T1438)-LEN(SUBSTITUTE($T1438,"Quality of Works / Criteria of Failings:Compliant","")))/LEN("Quality of Works / Criteria of Failings:Compliant"),0)/MAX(1,(LEN($I1438)-LEN(SUBSTITUTE($I1438," Ltd","")))/LEN(" Ltd")),0)</f>
        <v/>
      </c>
    </row>
    <row r="1438" ht="15" customHeight="1" s="146">
      <c r="Y1438" s="122">
        <f>MAX(0,IFERROR((LEN($T1439)-LEN(SUBSTITUTE($T1439,"Quality of Works / Criteria of Failings:","")))/LEN("Quality of Works / Criteria of Failings:"),0)-IFERROR((LEN($T1439)-LEN(SUBSTITUTE($T1439,"Quality of Works / Criteria of Failings:Compliant","")))/LEN("Quality of Works / Criteria of Failings:Compliant"),0))</f>
        <v/>
      </c>
      <c r="Z1438" s="122">
        <f>IFERROR($Y1439/MAX(1,(LEN($I1439)-LEN(SUBSTITUTE($I1439," Ltd","")))/LEN(" Ltd")),0)</f>
        <v/>
      </c>
      <c r="AA1438" s="122">
        <f>IFERROR(IFERROR((LEN($T1439)-LEN(SUBSTITUTE($T1439,"Quality of Works / Criteria of Failings:","")))/LEN("Quality of Works / Criteria of Failings:"),0)/MAX(1,(LEN($I1439)-LEN(SUBSTITUTE($I1439," Ltd","")))/LEN(" Ltd")),0)</f>
        <v/>
      </c>
      <c r="AB1438" s="122">
        <f>IFERROR(IFERROR((LEN($T1439)-LEN(SUBSTITUTE($T1439,"Quality of Works / Criteria of Failings:Compliant","")))/LEN("Quality of Works / Criteria of Failings:Compliant"),0)/MAX(1,(LEN($I1439)-LEN(SUBSTITUTE($I1439," Ltd","")))/LEN(" Ltd")),0)</f>
        <v/>
      </c>
    </row>
    <row r="1439" ht="15" customHeight="1" s="146">
      <c r="Y1439" s="122">
        <f>MAX(0,IFERROR((LEN($T1440)-LEN(SUBSTITUTE($T1440,"Quality of Works / Criteria of Failings:","")))/LEN("Quality of Works / Criteria of Failings:"),0)-IFERROR((LEN($T1440)-LEN(SUBSTITUTE($T1440,"Quality of Works / Criteria of Failings:Compliant","")))/LEN("Quality of Works / Criteria of Failings:Compliant"),0))</f>
        <v/>
      </c>
      <c r="Z1439" s="122">
        <f>IFERROR($Y1440/MAX(1,(LEN($I1440)-LEN(SUBSTITUTE($I1440," Ltd","")))/LEN(" Ltd")),0)</f>
        <v/>
      </c>
      <c r="AA1439" s="122">
        <f>IFERROR(IFERROR((LEN($T1440)-LEN(SUBSTITUTE($T1440,"Quality of Works / Criteria of Failings:","")))/LEN("Quality of Works / Criteria of Failings:"),0)/MAX(1,(LEN($I1440)-LEN(SUBSTITUTE($I1440," Ltd","")))/LEN(" Ltd")),0)</f>
        <v/>
      </c>
      <c r="AB1439" s="122">
        <f>IFERROR(IFERROR((LEN($T1440)-LEN(SUBSTITUTE($T1440,"Quality of Works / Criteria of Failings:Compliant","")))/LEN("Quality of Works / Criteria of Failings:Compliant"),0)/MAX(1,(LEN($I1440)-LEN(SUBSTITUTE($I1440," Ltd","")))/LEN(" Ltd")),0)</f>
        <v/>
      </c>
    </row>
    <row r="1440" ht="15" customHeight="1" s="146">
      <c r="Y1440" s="122">
        <f>MAX(0,IFERROR((LEN($T1441)-LEN(SUBSTITUTE($T1441,"Quality of Works / Criteria of Failings:","")))/LEN("Quality of Works / Criteria of Failings:"),0)-IFERROR((LEN($T1441)-LEN(SUBSTITUTE($T1441,"Quality of Works / Criteria of Failings:Compliant","")))/LEN("Quality of Works / Criteria of Failings:Compliant"),0))</f>
        <v/>
      </c>
      <c r="Z1440" s="122">
        <f>IFERROR($Y1441/MAX(1,(LEN($I1441)-LEN(SUBSTITUTE($I1441," Ltd","")))/LEN(" Ltd")),0)</f>
        <v/>
      </c>
      <c r="AA1440" s="122">
        <f>IFERROR(IFERROR((LEN($T1441)-LEN(SUBSTITUTE($T1441,"Quality of Works / Criteria of Failings:","")))/LEN("Quality of Works / Criteria of Failings:"),0)/MAX(1,(LEN($I1441)-LEN(SUBSTITUTE($I1441," Ltd","")))/LEN(" Ltd")),0)</f>
        <v/>
      </c>
      <c r="AB1440" s="122">
        <f>IFERROR(IFERROR((LEN($T1441)-LEN(SUBSTITUTE($T1441,"Quality of Works / Criteria of Failings:Compliant","")))/LEN("Quality of Works / Criteria of Failings:Compliant"),0)/MAX(1,(LEN($I1441)-LEN(SUBSTITUTE($I1441," Ltd","")))/LEN(" Ltd")),0)</f>
        <v/>
      </c>
    </row>
    <row r="1441" ht="15" customHeight="1" s="146">
      <c r="Y1441" s="122">
        <f>MAX(0,IFERROR((LEN($T1442)-LEN(SUBSTITUTE($T1442,"Quality of Works / Criteria of Failings:","")))/LEN("Quality of Works / Criteria of Failings:"),0)-IFERROR((LEN($T1442)-LEN(SUBSTITUTE($T1442,"Quality of Works / Criteria of Failings:Compliant","")))/LEN("Quality of Works / Criteria of Failings:Compliant"),0))</f>
        <v/>
      </c>
      <c r="Z1441" s="122">
        <f>IFERROR($Y1442/MAX(1,(LEN($I1442)-LEN(SUBSTITUTE($I1442," Ltd","")))/LEN(" Ltd")),0)</f>
        <v/>
      </c>
      <c r="AA1441" s="122">
        <f>IFERROR(IFERROR((LEN($T1442)-LEN(SUBSTITUTE($T1442,"Quality of Works / Criteria of Failings:","")))/LEN("Quality of Works / Criteria of Failings:"),0)/MAX(1,(LEN($I1442)-LEN(SUBSTITUTE($I1442," Ltd","")))/LEN(" Ltd")),0)</f>
        <v/>
      </c>
      <c r="AB1441" s="122">
        <f>IFERROR(IFERROR((LEN($T1442)-LEN(SUBSTITUTE($T1442,"Quality of Works / Criteria of Failings:Compliant","")))/LEN("Quality of Works / Criteria of Failings:Compliant"),0)/MAX(1,(LEN($I1442)-LEN(SUBSTITUTE($I1442," Ltd","")))/LEN(" Ltd")),0)</f>
        <v/>
      </c>
    </row>
    <row r="1442" ht="15" customHeight="1" s="146">
      <c r="Y1442" s="122">
        <f>MAX(0,IFERROR((LEN($T1443)-LEN(SUBSTITUTE($T1443,"Quality of Works / Criteria of Failings:","")))/LEN("Quality of Works / Criteria of Failings:"),0)-IFERROR((LEN($T1443)-LEN(SUBSTITUTE($T1443,"Quality of Works / Criteria of Failings:Compliant","")))/LEN("Quality of Works / Criteria of Failings:Compliant"),0))</f>
        <v/>
      </c>
      <c r="Z1442" s="122">
        <f>IFERROR($Y1443/MAX(1,(LEN($I1443)-LEN(SUBSTITUTE($I1443," Ltd","")))/LEN(" Ltd")),0)</f>
        <v/>
      </c>
      <c r="AA1442" s="122">
        <f>IFERROR(IFERROR((LEN($T1443)-LEN(SUBSTITUTE($T1443,"Quality of Works / Criteria of Failings:","")))/LEN("Quality of Works / Criteria of Failings:"),0)/MAX(1,(LEN($I1443)-LEN(SUBSTITUTE($I1443," Ltd","")))/LEN(" Ltd")),0)</f>
        <v/>
      </c>
      <c r="AB1442" s="122">
        <f>IFERROR(IFERROR((LEN($T1443)-LEN(SUBSTITUTE($T1443,"Quality of Works / Criteria of Failings:Compliant","")))/LEN("Quality of Works / Criteria of Failings:Compliant"),0)/MAX(1,(LEN($I1443)-LEN(SUBSTITUTE($I1443," Ltd","")))/LEN(" Ltd")),0)</f>
        <v/>
      </c>
    </row>
    <row r="1443" ht="15" customHeight="1" s="146">
      <c r="Y1443" s="122">
        <f>MAX(0,IFERROR((LEN($T1444)-LEN(SUBSTITUTE($T1444,"Quality of Works / Criteria of Failings:","")))/LEN("Quality of Works / Criteria of Failings:"),0)-IFERROR((LEN($T1444)-LEN(SUBSTITUTE($T1444,"Quality of Works / Criteria of Failings:Compliant","")))/LEN("Quality of Works / Criteria of Failings:Compliant"),0))</f>
        <v/>
      </c>
      <c r="Z1443" s="122">
        <f>IFERROR($Y1444/MAX(1,(LEN($I1444)-LEN(SUBSTITUTE($I1444," Ltd","")))/LEN(" Ltd")),0)</f>
        <v/>
      </c>
      <c r="AA1443" s="122">
        <f>IFERROR(IFERROR((LEN($T1444)-LEN(SUBSTITUTE($T1444,"Quality of Works / Criteria of Failings:","")))/LEN("Quality of Works / Criteria of Failings:"),0)/MAX(1,(LEN($I1444)-LEN(SUBSTITUTE($I1444," Ltd","")))/LEN(" Ltd")),0)</f>
        <v/>
      </c>
      <c r="AB1443" s="122">
        <f>IFERROR(IFERROR((LEN($T1444)-LEN(SUBSTITUTE($T1444,"Quality of Works / Criteria of Failings:Compliant","")))/LEN("Quality of Works / Criteria of Failings:Compliant"),0)/MAX(1,(LEN($I1444)-LEN(SUBSTITUTE($I1444," Ltd","")))/LEN(" Ltd")),0)</f>
        <v/>
      </c>
    </row>
    <row r="1444" ht="15" customHeight="1" s="146">
      <c r="Y1444" s="122">
        <f>MAX(0,IFERROR((LEN($T1445)-LEN(SUBSTITUTE($T1445,"Quality of Works / Criteria of Failings:","")))/LEN("Quality of Works / Criteria of Failings:"),0)-IFERROR((LEN($T1445)-LEN(SUBSTITUTE($T1445,"Quality of Works / Criteria of Failings:Compliant","")))/LEN("Quality of Works / Criteria of Failings:Compliant"),0))</f>
        <v/>
      </c>
      <c r="Z1444" s="122">
        <f>IFERROR($Y1445/MAX(1,(LEN($I1445)-LEN(SUBSTITUTE($I1445," Ltd","")))/LEN(" Ltd")),0)</f>
        <v/>
      </c>
      <c r="AA1444" s="122">
        <f>IFERROR(IFERROR((LEN($T1445)-LEN(SUBSTITUTE($T1445,"Quality of Works / Criteria of Failings:","")))/LEN("Quality of Works / Criteria of Failings:"),0)/MAX(1,(LEN($I1445)-LEN(SUBSTITUTE($I1445," Ltd","")))/LEN(" Ltd")),0)</f>
        <v/>
      </c>
      <c r="AB1444" s="122">
        <f>IFERROR(IFERROR((LEN($T1445)-LEN(SUBSTITUTE($T1445,"Quality of Works / Criteria of Failings:Compliant","")))/LEN("Quality of Works / Criteria of Failings:Compliant"),0)/MAX(1,(LEN($I1445)-LEN(SUBSTITUTE($I1445," Ltd","")))/LEN(" Ltd")),0)</f>
        <v/>
      </c>
    </row>
    <row r="1445" ht="15" customHeight="1" s="146">
      <c r="Y1445" s="122">
        <f>MAX(0,IFERROR((LEN($T1446)-LEN(SUBSTITUTE($T1446,"Quality of Works / Criteria of Failings:","")))/LEN("Quality of Works / Criteria of Failings:"),0)-IFERROR((LEN($T1446)-LEN(SUBSTITUTE($T1446,"Quality of Works / Criteria of Failings:Compliant","")))/LEN("Quality of Works / Criteria of Failings:Compliant"),0))</f>
        <v/>
      </c>
      <c r="Z1445" s="122">
        <f>IFERROR($Y1446/MAX(1,(LEN($I1446)-LEN(SUBSTITUTE($I1446," Ltd","")))/LEN(" Ltd")),0)</f>
        <v/>
      </c>
      <c r="AA1445" s="122">
        <f>IFERROR(IFERROR((LEN($T1446)-LEN(SUBSTITUTE($T1446,"Quality of Works / Criteria of Failings:","")))/LEN("Quality of Works / Criteria of Failings:"),0)/MAX(1,(LEN($I1446)-LEN(SUBSTITUTE($I1446," Ltd","")))/LEN(" Ltd")),0)</f>
        <v/>
      </c>
      <c r="AB1445" s="122">
        <f>IFERROR(IFERROR((LEN($T1446)-LEN(SUBSTITUTE($T1446,"Quality of Works / Criteria of Failings:Compliant","")))/LEN("Quality of Works / Criteria of Failings:Compliant"),0)/MAX(1,(LEN($I1446)-LEN(SUBSTITUTE($I1446," Ltd","")))/LEN(" Ltd")),0)</f>
        <v/>
      </c>
    </row>
    <row r="1446" ht="15" customHeight="1" s="146">
      <c r="Y1446" s="122">
        <f>MAX(0,IFERROR((LEN($T1447)-LEN(SUBSTITUTE($T1447,"Quality of Works / Criteria of Failings:","")))/LEN("Quality of Works / Criteria of Failings:"),0)-IFERROR((LEN($T1447)-LEN(SUBSTITUTE($T1447,"Quality of Works / Criteria of Failings:Compliant","")))/LEN("Quality of Works / Criteria of Failings:Compliant"),0))</f>
        <v/>
      </c>
      <c r="Z1446" s="122">
        <f>IFERROR($Y1447/MAX(1,(LEN($I1447)-LEN(SUBSTITUTE($I1447," Ltd","")))/LEN(" Ltd")),0)</f>
        <v/>
      </c>
      <c r="AA1446" s="122">
        <f>IFERROR(IFERROR((LEN($T1447)-LEN(SUBSTITUTE($T1447,"Quality of Works / Criteria of Failings:","")))/LEN("Quality of Works / Criteria of Failings:"),0)/MAX(1,(LEN($I1447)-LEN(SUBSTITUTE($I1447," Ltd","")))/LEN(" Ltd")),0)</f>
        <v/>
      </c>
      <c r="AB1446" s="122">
        <f>IFERROR(IFERROR((LEN($T1447)-LEN(SUBSTITUTE($T1447,"Quality of Works / Criteria of Failings:Compliant","")))/LEN("Quality of Works / Criteria of Failings:Compliant"),0)/MAX(1,(LEN($I1447)-LEN(SUBSTITUTE($I1447," Ltd","")))/LEN(" Ltd")),0)</f>
        <v/>
      </c>
    </row>
    <row r="1447" ht="15" customHeight="1" s="146">
      <c r="Y1447" s="122">
        <f>MAX(0,IFERROR((LEN($T1448)-LEN(SUBSTITUTE($T1448,"Quality of Works / Criteria of Failings:","")))/LEN("Quality of Works / Criteria of Failings:"),0)-IFERROR((LEN($T1448)-LEN(SUBSTITUTE($T1448,"Quality of Works / Criteria of Failings:Compliant","")))/LEN("Quality of Works / Criteria of Failings:Compliant"),0))</f>
        <v/>
      </c>
      <c r="Z1447" s="122">
        <f>IFERROR($Y1448/MAX(1,(LEN($I1448)-LEN(SUBSTITUTE($I1448," Ltd","")))/LEN(" Ltd")),0)</f>
        <v/>
      </c>
      <c r="AA1447" s="122">
        <f>IFERROR(IFERROR((LEN($T1448)-LEN(SUBSTITUTE($T1448,"Quality of Works / Criteria of Failings:","")))/LEN("Quality of Works / Criteria of Failings:"),0)/MAX(1,(LEN($I1448)-LEN(SUBSTITUTE($I1448," Ltd","")))/LEN(" Ltd")),0)</f>
        <v/>
      </c>
      <c r="AB1447" s="122">
        <f>IFERROR(IFERROR((LEN($T1448)-LEN(SUBSTITUTE($T1448,"Quality of Works / Criteria of Failings:Compliant","")))/LEN("Quality of Works / Criteria of Failings:Compliant"),0)/MAX(1,(LEN($I1448)-LEN(SUBSTITUTE($I1448," Ltd","")))/LEN(" Ltd")),0)</f>
        <v/>
      </c>
    </row>
    <row r="1448" ht="15" customHeight="1" s="146">
      <c r="Y1448" s="122">
        <f>MAX(0,IFERROR((LEN($T1449)-LEN(SUBSTITUTE($T1449,"Quality of Works / Criteria of Failings:","")))/LEN("Quality of Works / Criteria of Failings:"),0)-IFERROR((LEN($T1449)-LEN(SUBSTITUTE($T1449,"Quality of Works / Criteria of Failings:Compliant","")))/LEN("Quality of Works / Criteria of Failings:Compliant"),0))</f>
        <v/>
      </c>
      <c r="Z1448" s="122">
        <f>IFERROR($Y1449/MAX(1,(LEN($I1449)-LEN(SUBSTITUTE($I1449," Ltd","")))/LEN(" Ltd")),0)</f>
        <v/>
      </c>
      <c r="AA1448" s="122">
        <f>IFERROR(IFERROR((LEN($T1449)-LEN(SUBSTITUTE($T1449,"Quality of Works / Criteria of Failings:","")))/LEN("Quality of Works / Criteria of Failings:"),0)/MAX(1,(LEN($I1449)-LEN(SUBSTITUTE($I1449," Ltd","")))/LEN(" Ltd")),0)</f>
        <v/>
      </c>
      <c r="AB1448" s="122">
        <f>IFERROR(IFERROR((LEN($T1449)-LEN(SUBSTITUTE($T1449,"Quality of Works / Criteria of Failings:Compliant","")))/LEN("Quality of Works / Criteria of Failings:Compliant"),0)/MAX(1,(LEN($I1449)-LEN(SUBSTITUTE($I1449," Ltd","")))/LEN(" Ltd")),0)</f>
        <v/>
      </c>
    </row>
    <row r="1449" ht="15" customHeight="1" s="146">
      <c r="Y1449" s="122">
        <f>MAX(0,IFERROR((LEN($T1450)-LEN(SUBSTITUTE($T1450,"Quality of Works / Criteria of Failings:","")))/LEN("Quality of Works / Criteria of Failings:"),0)-IFERROR((LEN($T1450)-LEN(SUBSTITUTE($T1450,"Quality of Works / Criteria of Failings:Compliant","")))/LEN("Quality of Works / Criteria of Failings:Compliant"),0))</f>
        <v/>
      </c>
      <c r="Z1449" s="122">
        <f>IFERROR($Y1450/MAX(1,(LEN($I1450)-LEN(SUBSTITUTE($I1450," Ltd","")))/LEN(" Ltd")),0)</f>
        <v/>
      </c>
      <c r="AA1449" s="122">
        <f>IFERROR(IFERROR((LEN($T1450)-LEN(SUBSTITUTE($T1450,"Quality of Works / Criteria of Failings:","")))/LEN("Quality of Works / Criteria of Failings:"),0)/MAX(1,(LEN($I1450)-LEN(SUBSTITUTE($I1450," Ltd","")))/LEN(" Ltd")),0)</f>
        <v/>
      </c>
      <c r="AB1449" s="122">
        <f>IFERROR(IFERROR((LEN($T1450)-LEN(SUBSTITUTE($T1450,"Quality of Works / Criteria of Failings:Compliant","")))/LEN("Quality of Works / Criteria of Failings:Compliant"),0)/MAX(1,(LEN($I1450)-LEN(SUBSTITUTE($I1450," Ltd","")))/LEN(" Ltd")),0)</f>
        <v/>
      </c>
    </row>
    <row r="1450" ht="15" customHeight="1" s="146">
      <c r="Y1450" s="122">
        <f>MAX(0,IFERROR((LEN($T1451)-LEN(SUBSTITUTE($T1451,"Quality of Works / Criteria of Failings:","")))/LEN("Quality of Works / Criteria of Failings:"),0)-IFERROR((LEN($T1451)-LEN(SUBSTITUTE($T1451,"Quality of Works / Criteria of Failings:Compliant","")))/LEN("Quality of Works / Criteria of Failings:Compliant"),0))</f>
        <v/>
      </c>
      <c r="Z1450" s="122">
        <f>IFERROR($Y1451/MAX(1,(LEN($I1451)-LEN(SUBSTITUTE($I1451," Ltd","")))/LEN(" Ltd")),0)</f>
        <v/>
      </c>
      <c r="AA1450" s="122">
        <f>IFERROR(IFERROR((LEN($T1451)-LEN(SUBSTITUTE($T1451,"Quality of Works / Criteria of Failings:","")))/LEN("Quality of Works / Criteria of Failings:"),0)/MAX(1,(LEN($I1451)-LEN(SUBSTITUTE($I1451," Ltd","")))/LEN(" Ltd")),0)</f>
        <v/>
      </c>
      <c r="AB1450" s="122">
        <f>IFERROR(IFERROR((LEN($T1451)-LEN(SUBSTITUTE($T1451,"Quality of Works / Criteria of Failings:Compliant","")))/LEN("Quality of Works / Criteria of Failings:Compliant"),0)/MAX(1,(LEN($I1451)-LEN(SUBSTITUTE($I1451," Ltd","")))/LEN(" Ltd")),0)</f>
        <v/>
      </c>
    </row>
    <row r="1451" ht="15" customHeight="1" s="146">
      <c r="Y1451" s="122">
        <f>MAX(0,IFERROR((LEN($T1452)-LEN(SUBSTITUTE($T1452,"Quality of Works / Criteria of Failings:","")))/LEN("Quality of Works / Criteria of Failings:"),0)-IFERROR((LEN($T1452)-LEN(SUBSTITUTE($T1452,"Quality of Works / Criteria of Failings:Compliant","")))/LEN("Quality of Works / Criteria of Failings:Compliant"),0))</f>
        <v/>
      </c>
      <c r="Z1451" s="122">
        <f>IFERROR($Y1452/MAX(1,(LEN($I1452)-LEN(SUBSTITUTE($I1452," Ltd","")))/LEN(" Ltd")),0)</f>
        <v/>
      </c>
      <c r="AA1451" s="122">
        <f>IFERROR(IFERROR((LEN($T1452)-LEN(SUBSTITUTE($T1452,"Quality of Works / Criteria of Failings:","")))/LEN("Quality of Works / Criteria of Failings:"),0)/MAX(1,(LEN($I1452)-LEN(SUBSTITUTE($I1452," Ltd","")))/LEN(" Ltd")),0)</f>
        <v/>
      </c>
      <c r="AB1451" s="122">
        <f>IFERROR(IFERROR((LEN($T1452)-LEN(SUBSTITUTE($T1452,"Quality of Works / Criteria of Failings:Compliant","")))/LEN("Quality of Works / Criteria of Failings:Compliant"),0)/MAX(1,(LEN($I1452)-LEN(SUBSTITUTE($I1452," Ltd","")))/LEN(" Ltd")),0)</f>
        <v/>
      </c>
    </row>
    <row r="1452" ht="15" customHeight="1" s="146">
      <c r="Y1452" s="122">
        <f>MAX(0,IFERROR((LEN($T1453)-LEN(SUBSTITUTE($T1453,"Quality of Works / Criteria of Failings:","")))/LEN("Quality of Works / Criteria of Failings:"),0)-IFERROR((LEN($T1453)-LEN(SUBSTITUTE($T1453,"Quality of Works / Criteria of Failings:Compliant","")))/LEN("Quality of Works / Criteria of Failings:Compliant"),0))</f>
        <v/>
      </c>
      <c r="Z1452" s="122">
        <f>IFERROR($Y1453/MAX(1,(LEN($I1453)-LEN(SUBSTITUTE($I1453," Ltd","")))/LEN(" Ltd")),0)</f>
        <v/>
      </c>
      <c r="AA1452" s="122">
        <f>IFERROR(IFERROR((LEN($T1453)-LEN(SUBSTITUTE($T1453,"Quality of Works / Criteria of Failings:","")))/LEN("Quality of Works / Criteria of Failings:"),0)/MAX(1,(LEN($I1453)-LEN(SUBSTITUTE($I1453," Ltd","")))/LEN(" Ltd")),0)</f>
        <v/>
      </c>
      <c r="AB1452" s="122">
        <f>IFERROR(IFERROR((LEN($T1453)-LEN(SUBSTITUTE($T1453,"Quality of Works / Criteria of Failings:Compliant","")))/LEN("Quality of Works / Criteria of Failings:Compliant"),0)/MAX(1,(LEN($I1453)-LEN(SUBSTITUTE($I1453," Ltd","")))/LEN(" Ltd")),0)</f>
        <v/>
      </c>
    </row>
    <row r="1453" ht="15" customHeight="1" s="146">
      <c r="Y1453" s="122">
        <f>MAX(0,IFERROR((LEN($T1454)-LEN(SUBSTITUTE($T1454,"Quality of Works / Criteria of Failings:","")))/LEN("Quality of Works / Criteria of Failings:"),0)-IFERROR((LEN($T1454)-LEN(SUBSTITUTE($T1454,"Quality of Works / Criteria of Failings:Compliant","")))/LEN("Quality of Works / Criteria of Failings:Compliant"),0))</f>
        <v/>
      </c>
      <c r="Z1453" s="122">
        <f>IFERROR($Y1454/MAX(1,(LEN($I1454)-LEN(SUBSTITUTE($I1454," Ltd","")))/LEN(" Ltd")),0)</f>
        <v/>
      </c>
      <c r="AA1453" s="122">
        <f>IFERROR(IFERROR((LEN($T1454)-LEN(SUBSTITUTE($T1454,"Quality of Works / Criteria of Failings:","")))/LEN("Quality of Works / Criteria of Failings:"),0)/MAX(1,(LEN($I1454)-LEN(SUBSTITUTE($I1454," Ltd","")))/LEN(" Ltd")),0)</f>
        <v/>
      </c>
      <c r="AB1453" s="122">
        <f>IFERROR(IFERROR((LEN($T1454)-LEN(SUBSTITUTE($T1454,"Quality of Works / Criteria of Failings:Compliant","")))/LEN("Quality of Works / Criteria of Failings:Compliant"),0)/MAX(1,(LEN($I1454)-LEN(SUBSTITUTE($I1454," Ltd","")))/LEN(" Ltd")),0)</f>
        <v/>
      </c>
    </row>
    <row r="1454" ht="15" customHeight="1" s="146">
      <c r="Y1454" s="122">
        <f>MAX(0,IFERROR((LEN($T1455)-LEN(SUBSTITUTE($T1455,"Quality of Works / Criteria of Failings:","")))/LEN("Quality of Works / Criteria of Failings:"),0)-IFERROR((LEN($T1455)-LEN(SUBSTITUTE($T1455,"Quality of Works / Criteria of Failings:Compliant","")))/LEN("Quality of Works / Criteria of Failings:Compliant"),0))</f>
        <v/>
      </c>
      <c r="Z1454" s="122">
        <f>IFERROR($Y1455/MAX(1,(LEN($I1455)-LEN(SUBSTITUTE($I1455," Ltd","")))/LEN(" Ltd")),0)</f>
        <v/>
      </c>
      <c r="AA1454" s="122">
        <f>IFERROR(IFERROR((LEN($T1455)-LEN(SUBSTITUTE($T1455,"Quality of Works / Criteria of Failings:","")))/LEN("Quality of Works / Criteria of Failings:"),0)/MAX(1,(LEN($I1455)-LEN(SUBSTITUTE($I1455," Ltd","")))/LEN(" Ltd")),0)</f>
        <v/>
      </c>
      <c r="AB1454" s="122">
        <f>IFERROR(IFERROR((LEN($T1455)-LEN(SUBSTITUTE($T1455,"Quality of Works / Criteria of Failings:Compliant","")))/LEN("Quality of Works / Criteria of Failings:Compliant"),0)/MAX(1,(LEN($I1455)-LEN(SUBSTITUTE($I1455," Ltd","")))/LEN(" Ltd")),0)</f>
        <v/>
      </c>
    </row>
    <row r="1455" ht="15" customHeight="1" s="146">
      <c r="Y1455" s="122">
        <f>MAX(0,IFERROR((LEN($T1456)-LEN(SUBSTITUTE($T1456,"Quality of Works / Criteria of Failings:","")))/LEN("Quality of Works / Criteria of Failings:"),0)-IFERROR((LEN($T1456)-LEN(SUBSTITUTE($T1456,"Quality of Works / Criteria of Failings:Compliant","")))/LEN("Quality of Works / Criteria of Failings:Compliant"),0))</f>
        <v/>
      </c>
      <c r="Z1455" s="122">
        <f>IFERROR($Y1456/MAX(1,(LEN($I1456)-LEN(SUBSTITUTE($I1456," Ltd","")))/LEN(" Ltd")),0)</f>
        <v/>
      </c>
      <c r="AA1455" s="122">
        <f>IFERROR(IFERROR((LEN($T1456)-LEN(SUBSTITUTE($T1456,"Quality of Works / Criteria of Failings:","")))/LEN("Quality of Works / Criteria of Failings:"),0)/MAX(1,(LEN($I1456)-LEN(SUBSTITUTE($I1456," Ltd","")))/LEN(" Ltd")),0)</f>
        <v/>
      </c>
      <c r="AB1455" s="122">
        <f>IFERROR(IFERROR((LEN($T1456)-LEN(SUBSTITUTE($T1456,"Quality of Works / Criteria of Failings:Compliant","")))/LEN("Quality of Works / Criteria of Failings:Compliant"),0)/MAX(1,(LEN($I1456)-LEN(SUBSTITUTE($I1456," Ltd","")))/LEN(" Ltd")),0)</f>
        <v/>
      </c>
    </row>
    <row r="1456" ht="15" customHeight="1" s="146">
      <c r="Y1456" s="122">
        <f>MAX(0,IFERROR((LEN($T1457)-LEN(SUBSTITUTE($T1457,"Quality of Works / Criteria of Failings:","")))/LEN("Quality of Works / Criteria of Failings:"),0)-IFERROR((LEN($T1457)-LEN(SUBSTITUTE($T1457,"Quality of Works / Criteria of Failings:Compliant","")))/LEN("Quality of Works / Criteria of Failings:Compliant"),0))</f>
        <v/>
      </c>
      <c r="Z1456" s="122">
        <f>IFERROR($Y1457/MAX(1,(LEN($I1457)-LEN(SUBSTITUTE($I1457," Ltd","")))/LEN(" Ltd")),0)</f>
        <v/>
      </c>
      <c r="AA1456" s="122">
        <f>IFERROR(IFERROR((LEN($T1457)-LEN(SUBSTITUTE($T1457,"Quality of Works / Criteria of Failings:","")))/LEN("Quality of Works / Criteria of Failings:"),0)/MAX(1,(LEN($I1457)-LEN(SUBSTITUTE($I1457," Ltd","")))/LEN(" Ltd")),0)</f>
        <v/>
      </c>
      <c r="AB1456" s="122">
        <f>IFERROR(IFERROR((LEN($T1457)-LEN(SUBSTITUTE($T1457,"Quality of Works / Criteria of Failings:Compliant","")))/LEN("Quality of Works / Criteria of Failings:Compliant"),0)/MAX(1,(LEN($I1457)-LEN(SUBSTITUTE($I1457," Ltd","")))/LEN(" Ltd")),0)</f>
        <v/>
      </c>
    </row>
    <row r="1457" ht="15" customHeight="1" s="146">
      <c r="Y1457" s="122">
        <f>MAX(0,IFERROR((LEN($T1458)-LEN(SUBSTITUTE($T1458,"Quality of Works / Criteria of Failings:","")))/LEN("Quality of Works / Criteria of Failings:"),0)-IFERROR((LEN($T1458)-LEN(SUBSTITUTE($T1458,"Quality of Works / Criteria of Failings:Compliant","")))/LEN("Quality of Works / Criteria of Failings:Compliant"),0))</f>
        <v/>
      </c>
      <c r="Z1457" s="122">
        <f>IFERROR($Y1458/MAX(1,(LEN($I1458)-LEN(SUBSTITUTE($I1458," Ltd","")))/LEN(" Ltd")),0)</f>
        <v/>
      </c>
      <c r="AA1457" s="122">
        <f>IFERROR(IFERROR((LEN($T1458)-LEN(SUBSTITUTE($T1458,"Quality of Works / Criteria of Failings:","")))/LEN("Quality of Works / Criteria of Failings:"),0)/MAX(1,(LEN($I1458)-LEN(SUBSTITUTE($I1458," Ltd","")))/LEN(" Ltd")),0)</f>
        <v/>
      </c>
      <c r="AB1457" s="122">
        <f>IFERROR(IFERROR((LEN($T1458)-LEN(SUBSTITUTE($T1458,"Quality of Works / Criteria of Failings:Compliant","")))/LEN("Quality of Works / Criteria of Failings:Compliant"),0)/MAX(1,(LEN($I1458)-LEN(SUBSTITUTE($I1458," Ltd","")))/LEN(" Ltd")),0)</f>
        <v/>
      </c>
    </row>
    <row r="1458" ht="15" customHeight="1" s="146">
      <c r="Y1458" s="122">
        <f>MAX(0,IFERROR((LEN($T1459)-LEN(SUBSTITUTE($T1459,"Quality of Works / Criteria of Failings:","")))/LEN("Quality of Works / Criteria of Failings:"),0)-IFERROR((LEN($T1459)-LEN(SUBSTITUTE($T1459,"Quality of Works / Criteria of Failings:Compliant","")))/LEN("Quality of Works / Criteria of Failings:Compliant"),0))</f>
        <v/>
      </c>
      <c r="Z1458" s="122">
        <f>IFERROR($Y1459/MAX(1,(LEN($I1459)-LEN(SUBSTITUTE($I1459," Ltd","")))/LEN(" Ltd")),0)</f>
        <v/>
      </c>
      <c r="AA1458" s="122">
        <f>IFERROR(IFERROR((LEN($T1459)-LEN(SUBSTITUTE($T1459,"Quality of Works / Criteria of Failings:","")))/LEN("Quality of Works / Criteria of Failings:"),0)/MAX(1,(LEN($I1459)-LEN(SUBSTITUTE($I1459," Ltd","")))/LEN(" Ltd")),0)</f>
        <v/>
      </c>
      <c r="AB1458" s="122">
        <f>IFERROR(IFERROR((LEN($T1459)-LEN(SUBSTITUTE($T1459,"Quality of Works / Criteria of Failings:Compliant","")))/LEN("Quality of Works / Criteria of Failings:Compliant"),0)/MAX(1,(LEN($I1459)-LEN(SUBSTITUTE($I1459," Ltd","")))/LEN(" Ltd")),0)</f>
        <v/>
      </c>
    </row>
    <row r="1459" ht="15" customHeight="1" s="146">
      <c r="Y1459" s="122">
        <f>MAX(0,IFERROR((LEN($T1460)-LEN(SUBSTITUTE($T1460,"Quality of Works / Criteria of Failings:","")))/LEN("Quality of Works / Criteria of Failings:"),0)-IFERROR((LEN($T1460)-LEN(SUBSTITUTE($T1460,"Quality of Works / Criteria of Failings:Compliant","")))/LEN("Quality of Works / Criteria of Failings:Compliant"),0))</f>
        <v/>
      </c>
      <c r="Z1459" s="122">
        <f>IFERROR($Y1460/MAX(1,(LEN($I1460)-LEN(SUBSTITUTE($I1460," Ltd","")))/LEN(" Ltd")),0)</f>
        <v/>
      </c>
      <c r="AA1459" s="122">
        <f>IFERROR(IFERROR((LEN($T1460)-LEN(SUBSTITUTE($T1460,"Quality of Works / Criteria of Failings:","")))/LEN("Quality of Works / Criteria of Failings:"),0)/MAX(1,(LEN($I1460)-LEN(SUBSTITUTE($I1460," Ltd","")))/LEN(" Ltd")),0)</f>
        <v/>
      </c>
      <c r="AB1459" s="122">
        <f>IFERROR(IFERROR((LEN($T1460)-LEN(SUBSTITUTE($T1460,"Quality of Works / Criteria of Failings:Compliant","")))/LEN("Quality of Works / Criteria of Failings:Compliant"),0)/MAX(1,(LEN($I1460)-LEN(SUBSTITUTE($I1460," Ltd","")))/LEN(" Ltd")),0)</f>
        <v/>
      </c>
    </row>
    <row r="1460" ht="15" customHeight="1" s="146">
      <c r="Y1460" s="122">
        <f>MAX(0,IFERROR((LEN($T1461)-LEN(SUBSTITUTE($T1461,"Quality of Works / Criteria of Failings:","")))/LEN("Quality of Works / Criteria of Failings:"),0)-IFERROR((LEN($T1461)-LEN(SUBSTITUTE($T1461,"Quality of Works / Criteria of Failings:Compliant","")))/LEN("Quality of Works / Criteria of Failings:Compliant"),0))</f>
        <v/>
      </c>
      <c r="Z1460" s="122">
        <f>IFERROR($Y1461/MAX(1,(LEN($I1461)-LEN(SUBSTITUTE($I1461," Ltd","")))/LEN(" Ltd")),0)</f>
        <v/>
      </c>
      <c r="AA1460" s="122">
        <f>IFERROR(IFERROR((LEN($T1461)-LEN(SUBSTITUTE($T1461,"Quality of Works / Criteria of Failings:","")))/LEN("Quality of Works / Criteria of Failings:"),0)/MAX(1,(LEN($I1461)-LEN(SUBSTITUTE($I1461," Ltd","")))/LEN(" Ltd")),0)</f>
        <v/>
      </c>
      <c r="AB1460" s="122">
        <f>IFERROR(IFERROR((LEN($T1461)-LEN(SUBSTITUTE($T1461,"Quality of Works / Criteria of Failings:Compliant","")))/LEN("Quality of Works / Criteria of Failings:Compliant"),0)/MAX(1,(LEN($I1461)-LEN(SUBSTITUTE($I1461," Ltd","")))/LEN(" Ltd")),0)</f>
        <v/>
      </c>
    </row>
    <row r="1461" ht="15" customHeight="1" s="146">
      <c r="Y1461" s="122">
        <f>MAX(0,IFERROR((LEN($T1462)-LEN(SUBSTITUTE($T1462,"Quality of Works / Criteria of Failings:","")))/LEN("Quality of Works / Criteria of Failings:"),0)-IFERROR((LEN($T1462)-LEN(SUBSTITUTE($T1462,"Quality of Works / Criteria of Failings:Compliant","")))/LEN("Quality of Works / Criteria of Failings:Compliant"),0))</f>
        <v/>
      </c>
      <c r="Z1461" s="122">
        <f>IFERROR($Y1462/MAX(1,(LEN($I1462)-LEN(SUBSTITUTE($I1462," Ltd","")))/LEN(" Ltd")),0)</f>
        <v/>
      </c>
      <c r="AA1461" s="122">
        <f>IFERROR(IFERROR((LEN($T1462)-LEN(SUBSTITUTE($T1462,"Quality of Works / Criteria of Failings:","")))/LEN("Quality of Works / Criteria of Failings:"),0)/MAX(1,(LEN($I1462)-LEN(SUBSTITUTE($I1462," Ltd","")))/LEN(" Ltd")),0)</f>
        <v/>
      </c>
      <c r="AB1461" s="122">
        <f>IFERROR(IFERROR((LEN($T1462)-LEN(SUBSTITUTE($T1462,"Quality of Works / Criteria of Failings:Compliant","")))/LEN("Quality of Works / Criteria of Failings:Compliant"),0)/MAX(1,(LEN($I1462)-LEN(SUBSTITUTE($I1462," Ltd","")))/LEN(" Ltd")),0)</f>
        <v/>
      </c>
    </row>
    <row r="1462" ht="15" customHeight="1" s="146">
      <c r="Y1462" s="122">
        <f>MAX(0,IFERROR((LEN($T1463)-LEN(SUBSTITUTE($T1463,"Quality of Works / Criteria of Failings:","")))/LEN("Quality of Works / Criteria of Failings:"),0)-IFERROR((LEN($T1463)-LEN(SUBSTITUTE($T1463,"Quality of Works / Criteria of Failings:Compliant","")))/LEN("Quality of Works / Criteria of Failings:Compliant"),0))</f>
        <v/>
      </c>
      <c r="Z1462" s="122">
        <f>IFERROR($Y1463/MAX(1,(LEN($I1463)-LEN(SUBSTITUTE($I1463," Ltd","")))/LEN(" Ltd")),0)</f>
        <v/>
      </c>
      <c r="AA1462" s="122">
        <f>IFERROR(IFERROR((LEN($T1463)-LEN(SUBSTITUTE($T1463,"Quality of Works / Criteria of Failings:","")))/LEN("Quality of Works / Criteria of Failings:"),0)/MAX(1,(LEN($I1463)-LEN(SUBSTITUTE($I1463," Ltd","")))/LEN(" Ltd")),0)</f>
        <v/>
      </c>
      <c r="AB1462" s="122">
        <f>IFERROR(IFERROR((LEN($T1463)-LEN(SUBSTITUTE($T1463,"Quality of Works / Criteria of Failings:Compliant","")))/LEN("Quality of Works / Criteria of Failings:Compliant"),0)/MAX(1,(LEN($I1463)-LEN(SUBSTITUTE($I1463," Ltd","")))/LEN(" Ltd")),0)</f>
        <v/>
      </c>
    </row>
    <row r="1463" ht="15" customHeight="1" s="146">
      <c r="Y1463" s="122">
        <f>MAX(0,IFERROR((LEN($T1464)-LEN(SUBSTITUTE($T1464,"Quality of Works / Criteria of Failings:","")))/LEN("Quality of Works / Criteria of Failings:"),0)-IFERROR((LEN($T1464)-LEN(SUBSTITUTE($T1464,"Quality of Works / Criteria of Failings:Compliant","")))/LEN("Quality of Works / Criteria of Failings:Compliant"),0))</f>
        <v/>
      </c>
      <c r="Z1463" s="122">
        <f>IFERROR($Y1464/MAX(1,(LEN($I1464)-LEN(SUBSTITUTE($I1464," Ltd","")))/LEN(" Ltd")),0)</f>
        <v/>
      </c>
      <c r="AA1463" s="122">
        <f>IFERROR(IFERROR((LEN($T1464)-LEN(SUBSTITUTE($T1464,"Quality of Works / Criteria of Failings:","")))/LEN("Quality of Works / Criteria of Failings:"),0)/MAX(1,(LEN($I1464)-LEN(SUBSTITUTE($I1464," Ltd","")))/LEN(" Ltd")),0)</f>
        <v/>
      </c>
      <c r="AB1463" s="122">
        <f>IFERROR(IFERROR((LEN($T1464)-LEN(SUBSTITUTE($T1464,"Quality of Works / Criteria of Failings:Compliant","")))/LEN("Quality of Works / Criteria of Failings:Compliant"),0)/MAX(1,(LEN($I1464)-LEN(SUBSTITUTE($I1464," Ltd","")))/LEN(" Ltd")),0)</f>
        <v/>
      </c>
    </row>
    <row r="1464" ht="15" customHeight="1" s="146">
      <c r="Y1464" s="122">
        <f>MAX(0,IFERROR((LEN($T1465)-LEN(SUBSTITUTE($T1465,"Quality of Works / Criteria of Failings:","")))/LEN("Quality of Works / Criteria of Failings:"),0)-IFERROR((LEN($T1465)-LEN(SUBSTITUTE($T1465,"Quality of Works / Criteria of Failings:Compliant","")))/LEN("Quality of Works / Criteria of Failings:Compliant"),0))</f>
        <v/>
      </c>
      <c r="Z1464" s="122">
        <f>IFERROR($Y1465/MAX(1,(LEN($I1465)-LEN(SUBSTITUTE($I1465," Ltd","")))/LEN(" Ltd")),0)</f>
        <v/>
      </c>
      <c r="AA1464" s="122">
        <f>IFERROR(IFERROR((LEN($T1465)-LEN(SUBSTITUTE($T1465,"Quality of Works / Criteria of Failings:","")))/LEN("Quality of Works / Criteria of Failings:"),0)/MAX(1,(LEN($I1465)-LEN(SUBSTITUTE($I1465," Ltd","")))/LEN(" Ltd")),0)</f>
        <v/>
      </c>
      <c r="AB1464" s="122">
        <f>IFERROR(IFERROR((LEN($T1465)-LEN(SUBSTITUTE($T1465,"Quality of Works / Criteria of Failings:Compliant","")))/LEN("Quality of Works / Criteria of Failings:Compliant"),0)/MAX(1,(LEN($I1465)-LEN(SUBSTITUTE($I1465," Ltd","")))/LEN(" Ltd")),0)</f>
        <v/>
      </c>
    </row>
    <row r="1465" ht="15" customHeight="1" s="146">
      <c r="Y1465" s="122">
        <f>MAX(0,IFERROR((LEN($T1466)-LEN(SUBSTITUTE($T1466,"Quality of Works / Criteria of Failings:","")))/LEN("Quality of Works / Criteria of Failings:"),0)-IFERROR((LEN($T1466)-LEN(SUBSTITUTE($T1466,"Quality of Works / Criteria of Failings:Compliant","")))/LEN("Quality of Works / Criteria of Failings:Compliant"),0))</f>
        <v/>
      </c>
      <c r="Z1465" s="122">
        <f>IFERROR($Y1466/MAX(1,(LEN($I1466)-LEN(SUBSTITUTE($I1466," Ltd","")))/LEN(" Ltd")),0)</f>
        <v/>
      </c>
      <c r="AA1465" s="122">
        <f>IFERROR(IFERROR((LEN($T1466)-LEN(SUBSTITUTE($T1466,"Quality of Works / Criteria of Failings:","")))/LEN("Quality of Works / Criteria of Failings:"),0)/MAX(1,(LEN($I1466)-LEN(SUBSTITUTE($I1466," Ltd","")))/LEN(" Ltd")),0)</f>
        <v/>
      </c>
      <c r="AB1465" s="122">
        <f>IFERROR(IFERROR((LEN($T1466)-LEN(SUBSTITUTE($T1466,"Quality of Works / Criteria of Failings:Compliant","")))/LEN("Quality of Works / Criteria of Failings:Compliant"),0)/MAX(1,(LEN($I1466)-LEN(SUBSTITUTE($I1466," Ltd","")))/LEN(" Ltd")),0)</f>
        <v/>
      </c>
    </row>
    <row r="1466" ht="15" customHeight="1" s="146">
      <c r="Y1466" s="122">
        <f>MAX(0,IFERROR((LEN($T1467)-LEN(SUBSTITUTE($T1467,"Quality of Works / Criteria of Failings:","")))/LEN("Quality of Works / Criteria of Failings:"),0)-IFERROR((LEN($T1467)-LEN(SUBSTITUTE($T1467,"Quality of Works / Criteria of Failings:Compliant","")))/LEN("Quality of Works / Criteria of Failings:Compliant"),0))</f>
        <v/>
      </c>
      <c r="Z1466" s="122">
        <f>IFERROR($Y1467/MAX(1,(LEN($I1467)-LEN(SUBSTITUTE($I1467," Ltd","")))/LEN(" Ltd")),0)</f>
        <v/>
      </c>
      <c r="AA1466" s="122">
        <f>IFERROR(IFERROR((LEN($T1467)-LEN(SUBSTITUTE($T1467,"Quality of Works / Criteria of Failings:","")))/LEN("Quality of Works / Criteria of Failings:"),0)/MAX(1,(LEN($I1467)-LEN(SUBSTITUTE($I1467," Ltd","")))/LEN(" Ltd")),0)</f>
        <v/>
      </c>
      <c r="AB1466" s="122">
        <f>IFERROR(IFERROR((LEN($T1467)-LEN(SUBSTITUTE($T1467,"Quality of Works / Criteria of Failings:Compliant","")))/LEN("Quality of Works / Criteria of Failings:Compliant"),0)/MAX(1,(LEN($I1467)-LEN(SUBSTITUTE($I1467," Ltd","")))/LEN(" Ltd")),0)</f>
        <v/>
      </c>
    </row>
    <row r="1467" ht="15" customHeight="1" s="146">
      <c r="Y1467" s="122">
        <f>MAX(0,IFERROR((LEN($T1468)-LEN(SUBSTITUTE($T1468,"Quality of Works / Criteria of Failings:","")))/LEN("Quality of Works / Criteria of Failings:"),0)-IFERROR((LEN($T1468)-LEN(SUBSTITUTE($T1468,"Quality of Works / Criteria of Failings:Compliant","")))/LEN("Quality of Works / Criteria of Failings:Compliant"),0))</f>
        <v/>
      </c>
      <c r="Z1467" s="122">
        <f>IFERROR($Y1468/MAX(1,(LEN($I1468)-LEN(SUBSTITUTE($I1468," Ltd","")))/LEN(" Ltd")),0)</f>
        <v/>
      </c>
      <c r="AA1467" s="122">
        <f>IFERROR(IFERROR((LEN($T1468)-LEN(SUBSTITUTE($T1468,"Quality of Works / Criteria of Failings:","")))/LEN("Quality of Works / Criteria of Failings:"),0)/MAX(1,(LEN($I1468)-LEN(SUBSTITUTE($I1468," Ltd","")))/LEN(" Ltd")),0)</f>
        <v/>
      </c>
      <c r="AB1467" s="122">
        <f>IFERROR(IFERROR((LEN($T1468)-LEN(SUBSTITUTE($T1468,"Quality of Works / Criteria of Failings:Compliant","")))/LEN("Quality of Works / Criteria of Failings:Compliant"),0)/MAX(1,(LEN($I1468)-LEN(SUBSTITUTE($I1468," Ltd","")))/LEN(" Ltd")),0)</f>
        <v/>
      </c>
    </row>
    <row r="1468" ht="15" customHeight="1" s="146">
      <c r="Y1468" s="122">
        <f>MAX(0,IFERROR((LEN($T1469)-LEN(SUBSTITUTE($T1469,"Quality of Works / Criteria of Failings:","")))/LEN("Quality of Works / Criteria of Failings:"),0)-IFERROR((LEN($T1469)-LEN(SUBSTITUTE($T1469,"Quality of Works / Criteria of Failings:Compliant","")))/LEN("Quality of Works / Criteria of Failings:Compliant"),0))</f>
        <v/>
      </c>
      <c r="Z1468" s="122">
        <f>IFERROR($Y1469/MAX(1,(LEN($I1469)-LEN(SUBSTITUTE($I1469," Ltd","")))/LEN(" Ltd")),0)</f>
        <v/>
      </c>
      <c r="AA1468" s="122">
        <f>IFERROR(IFERROR((LEN($T1469)-LEN(SUBSTITUTE($T1469,"Quality of Works / Criteria of Failings:","")))/LEN("Quality of Works / Criteria of Failings:"),0)/MAX(1,(LEN($I1469)-LEN(SUBSTITUTE($I1469," Ltd","")))/LEN(" Ltd")),0)</f>
        <v/>
      </c>
      <c r="AB1468" s="122">
        <f>IFERROR(IFERROR((LEN($T1469)-LEN(SUBSTITUTE($T1469,"Quality of Works / Criteria of Failings:Compliant","")))/LEN("Quality of Works / Criteria of Failings:Compliant"),0)/MAX(1,(LEN($I1469)-LEN(SUBSTITUTE($I1469," Ltd","")))/LEN(" Ltd")),0)</f>
        <v/>
      </c>
    </row>
    <row r="1469" ht="15" customHeight="1" s="146">
      <c r="Y1469" s="122">
        <f>MAX(0,IFERROR((LEN($T1470)-LEN(SUBSTITUTE($T1470,"Quality of Works / Criteria of Failings:","")))/LEN("Quality of Works / Criteria of Failings:"),0)-IFERROR((LEN($T1470)-LEN(SUBSTITUTE($T1470,"Quality of Works / Criteria of Failings:Compliant","")))/LEN("Quality of Works / Criteria of Failings:Compliant"),0))</f>
        <v/>
      </c>
      <c r="Z1469" s="122">
        <f>IFERROR($Y1470/MAX(1,(LEN($I1470)-LEN(SUBSTITUTE($I1470," Ltd","")))/LEN(" Ltd")),0)</f>
        <v/>
      </c>
      <c r="AA1469" s="122">
        <f>IFERROR(IFERROR((LEN($T1470)-LEN(SUBSTITUTE($T1470,"Quality of Works / Criteria of Failings:","")))/LEN("Quality of Works / Criteria of Failings:"),0)/MAX(1,(LEN($I1470)-LEN(SUBSTITUTE($I1470," Ltd","")))/LEN(" Ltd")),0)</f>
        <v/>
      </c>
      <c r="AB1469" s="122">
        <f>IFERROR(IFERROR((LEN($T1470)-LEN(SUBSTITUTE($T1470,"Quality of Works / Criteria of Failings:Compliant","")))/LEN("Quality of Works / Criteria of Failings:Compliant"),0)/MAX(1,(LEN($I1470)-LEN(SUBSTITUTE($I1470," Ltd","")))/LEN(" Ltd")),0)</f>
        <v/>
      </c>
    </row>
    <row r="1470" ht="15" customHeight="1" s="146">
      <c r="Y1470" s="122">
        <f>MAX(0,IFERROR((LEN($T1471)-LEN(SUBSTITUTE($T1471,"Quality of Works / Criteria of Failings:","")))/LEN("Quality of Works / Criteria of Failings:"),0)-IFERROR((LEN($T1471)-LEN(SUBSTITUTE($T1471,"Quality of Works / Criteria of Failings:Compliant","")))/LEN("Quality of Works / Criteria of Failings:Compliant"),0))</f>
        <v/>
      </c>
      <c r="Z1470" s="122">
        <f>IFERROR($Y1471/MAX(1,(LEN($I1471)-LEN(SUBSTITUTE($I1471," Ltd","")))/LEN(" Ltd")),0)</f>
        <v/>
      </c>
      <c r="AA1470" s="122">
        <f>IFERROR(IFERROR((LEN($T1471)-LEN(SUBSTITUTE($T1471,"Quality of Works / Criteria of Failings:","")))/LEN("Quality of Works / Criteria of Failings:"),0)/MAX(1,(LEN($I1471)-LEN(SUBSTITUTE($I1471," Ltd","")))/LEN(" Ltd")),0)</f>
        <v/>
      </c>
      <c r="AB1470" s="122">
        <f>IFERROR(IFERROR((LEN($T1471)-LEN(SUBSTITUTE($T1471,"Quality of Works / Criteria of Failings:Compliant","")))/LEN("Quality of Works / Criteria of Failings:Compliant"),0)/MAX(1,(LEN($I1471)-LEN(SUBSTITUTE($I1471," Ltd","")))/LEN(" Ltd")),0)</f>
        <v/>
      </c>
    </row>
    <row r="1471" ht="15" customHeight="1" s="146">
      <c r="Y1471" s="122">
        <f>MAX(0,IFERROR((LEN($T1472)-LEN(SUBSTITUTE($T1472,"Quality of Works / Criteria of Failings:","")))/LEN("Quality of Works / Criteria of Failings:"),0)-IFERROR((LEN($T1472)-LEN(SUBSTITUTE($T1472,"Quality of Works / Criteria of Failings:Compliant","")))/LEN("Quality of Works / Criteria of Failings:Compliant"),0))</f>
        <v/>
      </c>
      <c r="Z1471" s="122">
        <f>IFERROR($Y1472/MAX(1,(LEN($I1472)-LEN(SUBSTITUTE($I1472," Ltd","")))/LEN(" Ltd")),0)</f>
        <v/>
      </c>
      <c r="AA1471" s="122">
        <f>IFERROR(IFERROR((LEN($T1472)-LEN(SUBSTITUTE($T1472,"Quality of Works / Criteria of Failings:","")))/LEN("Quality of Works / Criteria of Failings:"),0)/MAX(1,(LEN($I1472)-LEN(SUBSTITUTE($I1472," Ltd","")))/LEN(" Ltd")),0)</f>
        <v/>
      </c>
      <c r="AB1471" s="122">
        <f>IFERROR(IFERROR((LEN($T1472)-LEN(SUBSTITUTE($T1472,"Quality of Works / Criteria of Failings:Compliant","")))/LEN("Quality of Works / Criteria of Failings:Compliant"),0)/MAX(1,(LEN($I1472)-LEN(SUBSTITUTE($I1472," Ltd","")))/LEN(" Ltd")),0)</f>
        <v/>
      </c>
    </row>
    <row r="1472" ht="15" customHeight="1" s="146">
      <c r="Y1472" s="122">
        <f>MAX(0,IFERROR((LEN($T1473)-LEN(SUBSTITUTE($T1473,"Quality of Works / Criteria of Failings:","")))/LEN("Quality of Works / Criteria of Failings:"),0)-IFERROR((LEN($T1473)-LEN(SUBSTITUTE($T1473,"Quality of Works / Criteria of Failings:Compliant","")))/LEN("Quality of Works / Criteria of Failings:Compliant"),0))</f>
        <v/>
      </c>
      <c r="Z1472" s="122">
        <f>IFERROR($Y1473/MAX(1,(LEN($I1473)-LEN(SUBSTITUTE($I1473," Ltd","")))/LEN(" Ltd")),0)</f>
        <v/>
      </c>
      <c r="AA1472" s="122">
        <f>IFERROR(IFERROR((LEN($T1473)-LEN(SUBSTITUTE($T1473,"Quality of Works / Criteria of Failings:","")))/LEN("Quality of Works / Criteria of Failings:"),0)/MAX(1,(LEN($I1473)-LEN(SUBSTITUTE($I1473," Ltd","")))/LEN(" Ltd")),0)</f>
        <v/>
      </c>
      <c r="AB1472" s="122">
        <f>IFERROR(IFERROR((LEN($T1473)-LEN(SUBSTITUTE($T1473,"Quality of Works / Criteria of Failings:Compliant","")))/LEN("Quality of Works / Criteria of Failings:Compliant"),0)/MAX(1,(LEN($I1473)-LEN(SUBSTITUTE($I1473," Ltd","")))/LEN(" Ltd")),0)</f>
        <v/>
      </c>
    </row>
    <row r="1473" ht="15" customHeight="1" s="146">
      <c r="Y1473" s="122">
        <f>MAX(0,IFERROR((LEN($T1474)-LEN(SUBSTITUTE($T1474,"Quality of Works / Criteria of Failings:","")))/LEN("Quality of Works / Criteria of Failings:"),0)-IFERROR((LEN($T1474)-LEN(SUBSTITUTE($T1474,"Quality of Works / Criteria of Failings:Compliant","")))/LEN("Quality of Works / Criteria of Failings:Compliant"),0))</f>
        <v/>
      </c>
      <c r="Z1473" s="122">
        <f>IFERROR($Y1474/MAX(1,(LEN($I1474)-LEN(SUBSTITUTE($I1474," Ltd","")))/LEN(" Ltd")),0)</f>
        <v/>
      </c>
      <c r="AA1473" s="122">
        <f>IFERROR(IFERROR((LEN($T1474)-LEN(SUBSTITUTE($T1474,"Quality of Works / Criteria of Failings:","")))/LEN("Quality of Works / Criteria of Failings:"),0)/MAX(1,(LEN($I1474)-LEN(SUBSTITUTE($I1474," Ltd","")))/LEN(" Ltd")),0)</f>
        <v/>
      </c>
      <c r="AB1473" s="122">
        <f>IFERROR(IFERROR((LEN($T1474)-LEN(SUBSTITUTE($T1474,"Quality of Works / Criteria of Failings:Compliant","")))/LEN("Quality of Works / Criteria of Failings:Compliant"),0)/MAX(1,(LEN($I1474)-LEN(SUBSTITUTE($I1474," Ltd","")))/LEN(" Ltd")),0)</f>
        <v/>
      </c>
    </row>
    <row r="1474" ht="15" customHeight="1" s="146">
      <c r="Y1474" s="122">
        <f>MAX(0,IFERROR((LEN($T1475)-LEN(SUBSTITUTE($T1475,"Quality of Works / Criteria of Failings:","")))/LEN("Quality of Works / Criteria of Failings:"),0)-IFERROR((LEN($T1475)-LEN(SUBSTITUTE($T1475,"Quality of Works / Criteria of Failings:Compliant","")))/LEN("Quality of Works / Criteria of Failings:Compliant"),0))</f>
        <v/>
      </c>
      <c r="Z1474" s="122">
        <f>IFERROR($Y1475/MAX(1,(LEN($I1475)-LEN(SUBSTITUTE($I1475," Ltd","")))/LEN(" Ltd")),0)</f>
        <v/>
      </c>
      <c r="AA1474" s="122">
        <f>IFERROR(IFERROR((LEN($T1475)-LEN(SUBSTITUTE($T1475,"Quality of Works / Criteria of Failings:","")))/LEN("Quality of Works / Criteria of Failings:"),0)/MAX(1,(LEN($I1475)-LEN(SUBSTITUTE($I1475," Ltd","")))/LEN(" Ltd")),0)</f>
        <v/>
      </c>
      <c r="AB1474" s="122">
        <f>IFERROR(IFERROR((LEN($T1475)-LEN(SUBSTITUTE($T1475,"Quality of Works / Criteria of Failings:Compliant","")))/LEN("Quality of Works / Criteria of Failings:Compliant"),0)/MAX(1,(LEN($I1475)-LEN(SUBSTITUTE($I1475," Ltd","")))/LEN(" Ltd")),0)</f>
        <v/>
      </c>
    </row>
    <row r="1475" ht="15" customHeight="1" s="146">
      <c r="Y1475" s="122">
        <f>MAX(0,IFERROR((LEN($T1476)-LEN(SUBSTITUTE($T1476,"Quality of Works / Criteria of Failings:","")))/LEN("Quality of Works / Criteria of Failings:"),0)-IFERROR((LEN($T1476)-LEN(SUBSTITUTE($T1476,"Quality of Works / Criteria of Failings:Compliant","")))/LEN("Quality of Works / Criteria of Failings:Compliant"),0))</f>
        <v/>
      </c>
      <c r="Z1475" s="122">
        <f>IFERROR($Y1476/MAX(1,(LEN($I1476)-LEN(SUBSTITUTE($I1476," Ltd","")))/LEN(" Ltd")),0)</f>
        <v/>
      </c>
      <c r="AA1475" s="122">
        <f>IFERROR(IFERROR((LEN($T1476)-LEN(SUBSTITUTE($T1476,"Quality of Works / Criteria of Failings:","")))/LEN("Quality of Works / Criteria of Failings:"),0)/MAX(1,(LEN($I1476)-LEN(SUBSTITUTE($I1476," Ltd","")))/LEN(" Ltd")),0)</f>
        <v/>
      </c>
      <c r="AB1475" s="122">
        <f>IFERROR(IFERROR((LEN($T1476)-LEN(SUBSTITUTE($T1476,"Quality of Works / Criteria of Failings:Compliant","")))/LEN("Quality of Works / Criteria of Failings:Compliant"),0)/MAX(1,(LEN($I1476)-LEN(SUBSTITUTE($I1476," Ltd","")))/LEN(" Ltd")),0)</f>
        <v/>
      </c>
    </row>
    <row r="1476" ht="15" customHeight="1" s="146">
      <c r="Y1476" s="122">
        <f>MAX(0,IFERROR((LEN($T1477)-LEN(SUBSTITUTE($T1477,"Quality of Works / Criteria of Failings:","")))/LEN("Quality of Works / Criteria of Failings:"),0)-IFERROR((LEN($T1477)-LEN(SUBSTITUTE($T1477,"Quality of Works / Criteria of Failings:Compliant","")))/LEN("Quality of Works / Criteria of Failings:Compliant"),0))</f>
        <v/>
      </c>
      <c r="Z1476" s="122">
        <f>IFERROR($Y1477/MAX(1,(LEN($I1477)-LEN(SUBSTITUTE($I1477," Ltd","")))/LEN(" Ltd")),0)</f>
        <v/>
      </c>
      <c r="AA1476" s="122">
        <f>IFERROR(IFERROR((LEN($T1477)-LEN(SUBSTITUTE($T1477,"Quality of Works / Criteria of Failings:","")))/LEN("Quality of Works / Criteria of Failings:"),0)/MAX(1,(LEN($I1477)-LEN(SUBSTITUTE($I1477," Ltd","")))/LEN(" Ltd")),0)</f>
        <v/>
      </c>
      <c r="AB1476" s="122">
        <f>IFERROR(IFERROR((LEN($T1477)-LEN(SUBSTITUTE($T1477,"Quality of Works / Criteria of Failings:Compliant","")))/LEN("Quality of Works / Criteria of Failings:Compliant"),0)/MAX(1,(LEN($I1477)-LEN(SUBSTITUTE($I1477," Ltd","")))/LEN(" Ltd")),0)</f>
        <v/>
      </c>
    </row>
    <row r="1477" ht="15" customHeight="1" s="146">
      <c r="Y1477" s="122">
        <f>MAX(0,IFERROR((LEN($T1478)-LEN(SUBSTITUTE($T1478,"Quality of Works / Criteria of Failings:","")))/LEN("Quality of Works / Criteria of Failings:"),0)-IFERROR((LEN($T1478)-LEN(SUBSTITUTE($T1478,"Quality of Works / Criteria of Failings:Compliant","")))/LEN("Quality of Works / Criteria of Failings:Compliant"),0))</f>
        <v/>
      </c>
      <c r="Z1477" s="122">
        <f>IFERROR($Y1478/MAX(1,(LEN($I1478)-LEN(SUBSTITUTE($I1478," Ltd","")))/LEN(" Ltd")),0)</f>
        <v/>
      </c>
      <c r="AA1477" s="122">
        <f>IFERROR(IFERROR((LEN($T1478)-LEN(SUBSTITUTE($T1478,"Quality of Works / Criteria of Failings:","")))/LEN("Quality of Works / Criteria of Failings:"),0)/MAX(1,(LEN($I1478)-LEN(SUBSTITUTE($I1478," Ltd","")))/LEN(" Ltd")),0)</f>
        <v/>
      </c>
      <c r="AB1477" s="122">
        <f>IFERROR(IFERROR((LEN($T1478)-LEN(SUBSTITUTE($T1478,"Quality of Works / Criteria of Failings:Compliant","")))/LEN("Quality of Works / Criteria of Failings:Compliant"),0)/MAX(1,(LEN($I1478)-LEN(SUBSTITUTE($I1478," Ltd","")))/LEN(" Ltd")),0)</f>
        <v/>
      </c>
    </row>
    <row r="1478" ht="15" customHeight="1" s="146">
      <c r="Y1478" s="122">
        <f>MAX(0,IFERROR((LEN($T1479)-LEN(SUBSTITUTE($T1479,"Quality of Works / Criteria of Failings:","")))/LEN("Quality of Works / Criteria of Failings:"),0)-IFERROR((LEN($T1479)-LEN(SUBSTITUTE($T1479,"Quality of Works / Criteria of Failings:Compliant","")))/LEN("Quality of Works / Criteria of Failings:Compliant"),0))</f>
        <v/>
      </c>
      <c r="Z1478" s="122">
        <f>IFERROR($Y1479/MAX(1,(LEN($I1479)-LEN(SUBSTITUTE($I1479," Ltd","")))/LEN(" Ltd")),0)</f>
        <v/>
      </c>
      <c r="AA1478" s="122">
        <f>IFERROR(IFERROR((LEN($T1479)-LEN(SUBSTITUTE($T1479,"Quality of Works / Criteria of Failings:","")))/LEN("Quality of Works / Criteria of Failings:"),0)/MAX(1,(LEN($I1479)-LEN(SUBSTITUTE($I1479," Ltd","")))/LEN(" Ltd")),0)</f>
        <v/>
      </c>
      <c r="AB1478" s="122">
        <f>IFERROR(IFERROR((LEN($T1479)-LEN(SUBSTITUTE($T1479,"Quality of Works / Criteria of Failings:Compliant","")))/LEN("Quality of Works / Criteria of Failings:Compliant"),0)/MAX(1,(LEN($I1479)-LEN(SUBSTITUTE($I1479," Ltd","")))/LEN(" Ltd")),0)</f>
        <v/>
      </c>
    </row>
    <row r="1479" ht="15" customHeight="1" s="146">
      <c r="Y1479" s="122">
        <f>MAX(0,IFERROR((LEN($T1480)-LEN(SUBSTITUTE($T1480,"Quality of Works / Criteria of Failings:","")))/LEN("Quality of Works / Criteria of Failings:"),0)-IFERROR((LEN($T1480)-LEN(SUBSTITUTE($T1480,"Quality of Works / Criteria of Failings:Compliant","")))/LEN("Quality of Works / Criteria of Failings:Compliant"),0))</f>
        <v/>
      </c>
      <c r="Z1479" s="122">
        <f>IFERROR($Y1480/MAX(1,(LEN($I1480)-LEN(SUBSTITUTE($I1480," Ltd","")))/LEN(" Ltd")),0)</f>
        <v/>
      </c>
      <c r="AA1479" s="122">
        <f>IFERROR(IFERROR((LEN($T1480)-LEN(SUBSTITUTE($T1480,"Quality of Works / Criteria of Failings:","")))/LEN("Quality of Works / Criteria of Failings:"),0)/MAX(1,(LEN($I1480)-LEN(SUBSTITUTE($I1480," Ltd","")))/LEN(" Ltd")),0)</f>
        <v/>
      </c>
      <c r="AB1479" s="122">
        <f>IFERROR(IFERROR((LEN($T1480)-LEN(SUBSTITUTE($T1480,"Quality of Works / Criteria of Failings:Compliant","")))/LEN("Quality of Works / Criteria of Failings:Compliant"),0)/MAX(1,(LEN($I1480)-LEN(SUBSTITUTE($I1480," Ltd","")))/LEN(" Ltd")),0)</f>
        <v/>
      </c>
    </row>
    <row r="1480" ht="15" customHeight="1" s="146">
      <c r="Y1480" s="122">
        <f>MAX(0,IFERROR((LEN($T1481)-LEN(SUBSTITUTE($T1481,"Quality of Works / Criteria of Failings:","")))/LEN("Quality of Works / Criteria of Failings:"),0)-IFERROR((LEN($T1481)-LEN(SUBSTITUTE($T1481,"Quality of Works / Criteria of Failings:Compliant","")))/LEN("Quality of Works / Criteria of Failings:Compliant"),0))</f>
        <v/>
      </c>
      <c r="Z1480" s="122">
        <f>IFERROR($Y1481/MAX(1,(LEN($I1481)-LEN(SUBSTITUTE($I1481," Ltd","")))/LEN(" Ltd")),0)</f>
        <v/>
      </c>
      <c r="AA1480" s="122">
        <f>IFERROR(IFERROR((LEN($T1481)-LEN(SUBSTITUTE($T1481,"Quality of Works / Criteria of Failings:","")))/LEN("Quality of Works / Criteria of Failings:"),0)/MAX(1,(LEN($I1481)-LEN(SUBSTITUTE($I1481," Ltd","")))/LEN(" Ltd")),0)</f>
        <v/>
      </c>
      <c r="AB1480" s="122">
        <f>IFERROR(IFERROR((LEN($T1481)-LEN(SUBSTITUTE($T1481,"Quality of Works / Criteria of Failings:Compliant","")))/LEN("Quality of Works / Criteria of Failings:Compliant"),0)/MAX(1,(LEN($I1481)-LEN(SUBSTITUTE($I1481," Ltd","")))/LEN(" Ltd")),0)</f>
        <v/>
      </c>
    </row>
    <row r="1481" ht="15" customHeight="1" s="146">
      <c r="Y1481" s="122">
        <f>MAX(0,IFERROR((LEN($T1482)-LEN(SUBSTITUTE($T1482,"Quality of Works / Criteria of Failings:","")))/LEN("Quality of Works / Criteria of Failings:"),0)-IFERROR((LEN($T1482)-LEN(SUBSTITUTE($T1482,"Quality of Works / Criteria of Failings:Compliant","")))/LEN("Quality of Works / Criteria of Failings:Compliant"),0))</f>
        <v/>
      </c>
      <c r="Z1481" s="122">
        <f>IFERROR($Y1482/MAX(1,(LEN($I1482)-LEN(SUBSTITUTE($I1482," Ltd","")))/LEN(" Ltd")),0)</f>
        <v/>
      </c>
      <c r="AA1481" s="122">
        <f>IFERROR(IFERROR((LEN($T1482)-LEN(SUBSTITUTE($T1482,"Quality of Works / Criteria of Failings:","")))/LEN("Quality of Works / Criteria of Failings:"),0)/MAX(1,(LEN($I1482)-LEN(SUBSTITUTE($I1482," Ltd","")))/LEN(" Ltd")),0)</f>
        <v/>
      </c>
      <c r="AB1481" s="122">
        <f>IFERROR(IFERROR((LEN($T1482)-LEN(SUBSTITUTE($T1482,"Quality of Works / Criteria of Failings:Compliant","")))/LEN("Quality of Works / Criteria of Failings:Compliant"),0)/MAX(1,(LEN($I1482)-LEN(SUBSTITUTE($I1482," Ltd","")))/LEN(" Ltd")),0)</f>
        <v/>
      </c>
    </row>
    <row r="1482" ht="15" customHeight="1" s="146">
      <c r="Y1482" s="122">
        <f>MAX(0,IFERROR((LEN($T1483)-LEN(SUBSTITUTE($T1483,"Quality of Works / Criteria of Failings:","")))/LEN("Quality of Works / Criteria of Failings:"),0)-IFERROR((LEN($T1483)-LEN(SUBSTITUTE($T1483,"Quality of Works / Criteria of Failings:Compliant","")))/LEN("Quality of Works / Criteria of Failings:Compliant"),0))</f>
        <v/>
      </c>
      <c r="Z1482" s="122">
        <f>IFERROR($Y1483/MAX(1,(LEN($I1483)-LEN(SUBSTITUTE($I1483," Ltd","")))/LEN(" Ltd")),0)</f>
        <v/>
      </c>
      <c r="AA1482" s="122">
        <f>IFERROR(IFERROR((LEN($T1483)-LEN(SUBSTITUTE($T1483,"Quality of Works / Criteria of Failings:","")))/LEN("Quality of Works / Criteria of Failings:"),0)/MAX(1,(LEN($I1483)-LEN(SUBSTITUTE($I1483," Ltd","")))/LEN(" Ltd")),0)</f>
        <v/>
      </c>
      <c r="AB1482" s="122">
        <f>IFERROR(IFERROR((LEN($T1483)-LEN(SUBSTITUTE($T1483,"Quality of Works / Criteria of Failings:Compliant","")))/LEN("Quality of Works / Criteria of Failings:Compliant"),0)/MAX(1,(LEN($I1483)-LEN(SUBSTITUTE($I1483," Ltd","")))/LEN(" Ltd")),0)</f>
        <v/>
      </c>
    </row>
    <row r="1483" ht="15" customHeight="1" s="146">
      <c r="Y1483" s="122">
        <f>MAX(0,IFERROR((LEN($T1484)-LEN(SUBSTITUTE($T1484,"Quality of Works / Criteria of Failings:","")))/LEN("Quality of Works / Criteria of Failings:"),0)-IFERROR((LEN($T1484)-LEN(SUBSTITUTE($T1484,"Quality of Works / Criteria of Failings:Compliant","")))/LEN("Quality of Works / Criteria of Failings:Compliant"),0))</f>
        <v/>
      </c>
      <c r="Z1483" s="122">
        <f>IFERROR($Y1484/MAX(1,(LEN($I1484)-LEN(SUBSTITUTE($I1484," Ltd","")))/LEN(" Ltd")),0)</f>
        <v/>
      </c>
      <c r="AA1483" s="122">
        <f>IFERROR(IFERROR((LEN($T1484)-LEN(SUBSTITUTE($T1484,"Quality of Works / Criteria of Failings:","")))/LEN("Quality of Works / Criteria of Failings:"),0)/MAX(1,(LEN($I1484)-LEN(SUBSTITUTE($I1484," Ltd","")))/LEN(" Ltd")),0)</f>
        <v/>
      </c>
      <c r="AB1483" s="122">
        <f>IFERROR(IFERROR((LEN($T1484)-LEN(SUBSTITUTE($T1484,"Quality of Works / Criteria of Failings:Compliant","")))/LEN("Quality of Works / Criteria of Failings:Compliant"),0)/MAX(1,(LEN($I1484)-LEN(SUBSTITUTE($I1484," Ltd","")))/LEN(" Ltd")),0)</f>
        <v/>
      </c>
    </row>
    <row r="1484" ht="15" customHeight="1" s="146">
      <c r="Y1484" s="122">
        <f>MAX(0,IFERROR((LEN($T1485)-LEN(SUBSTITUTE($T1485,"Quality of Works / Criteria of Failings:","")))/LEN("Quality of Works / Criteria of Failings:"),0)-IFERROR((LEN($T1485)-LEN(SUBSTITUTE($T1485,"Quality of Works / Criteria of Failings:Compliant","")))/LEN("Quality of Works / Criteria of Failings:Compliant"),0))</f>
        <v/>
      </c>
      <c r="Z1484" s="122">
        <f>IFERROR($Y1485/MAX(1,(LEN($I1485)-LEN(SUBSTITUTE($I1485," Ltd","")))/LEN(" Ltd")),0)</f>
        <v/>
      </c>
      <c r="AA1484" s="122">
        <f>IFERROR(IFERROR((LEN($T1485)-LEN(SUBSTITUTE($T1485,"Quality of Works / Criteria of Failings:","")))/LEN("Quality of Works / Criteria of Failings:"),0)/MAX(1,(LEN($I1485)-LEN(SUBSTITUTE($I1485," Ltd","")))/LEN(" Ltd")),0)</f>
        <v/>
      </c>
      <c r="AB1484" s="122">
        <f>IFERROR(IFERROR((LEN($T1485)-LEN(SUBSTITUTE($T1485,"Quality of Works / Criteria of Failings:Compliant","")))/LEN("Quality of Works / Criteria of Failings:Compliant"),0)/MAX(1,(LEN($I1485)-LEN(SUBSTITUTE($I1485," Ltd","")))/LEN(" Ltd")),0)</f>
        <v/>
      </c>
    </row>
    <row r="1485" ht="15" customHeight="1" s="146">
      <c r="Y1485" s="122">
        <f>MAX(0,IFERROR((LEN($T1486)-LEN(SUBSTITUTE($T1486,"Quality of Works / Criteria of Failings:","")))/LEN("Quality of Works / Criteria of Failings:"),0)-IFERROR((LEN($T1486)-LEN(SUBSTITUTE($T1486,"Quality of Works / Criteria of Failings:Compliant","")))/LEN("Quality of Works / Criteria of Failings:Compliant"),0))</f>
        <v/>
      </c>
      <c r="Z1485" s="122">
        <f>IFERROR($Y1486/MAX(1,(LEN($I1486)-LEN(SUBSTITUTE($I1486," Ltd","")))/LEN(" Ltd")),0)</f>
        <v/>
      </c>
      <c r="AA1485" s="122">
        <f>IFERROR(IFERROR((LEN($T1486)-LEN(SUBSTITUTE($T1486,"Quality of Works / Criteria of Failings:","")))/LEN("Quality of Works / Criteria of Failings:"),0)/MAX(1,(LEN($I1486)-LEN(SUBSTITUTE($I1486," Ltd","")))/LEN(" Ltd")),0)</f>
        <v/>
      </c>
      <c r="AB1485" s="122">
        <f>IFERROR(IFERROR((LEN($T1486)-LEN(SUBSTITUTE($T1486,"Quality of Works / Criteria of Failings:Compliant","")))/LEN("Quality of Works / Criteria of Failings:Compliant"),0)/MAX(1,(LEN($I1486)-LEN(SUBSTITUTE($I1486," Ltd","")))/LEN(" Ltd")),0)</f>
        <v/>
      </c>
    </row>
    <row r="1486" ht="15" customHeight="1" s="146">
      <c r="Y1486" s="122">
        <f>MAX(0,IFERROR((LEN($T1487)-LEN(SUBSTITUTE($T1487,"Quality of Works / Criteria of Failings:","")))/LEN("Quality of Works / Criteria of Failings:"),0)-IFERROR((LEN($T1487)-LEN(SUBSTITUTE($T1487,"Quality of Works / Criteria of Failings:Compliant","")))/LEN("Quality of Works / Criteria of Failings:Compliant"),0))</f>
        <v/>
      </c>
      <c r="Z1486" s="122">
        <f>IFERROR($Y1487/MAX(1,(LEN($I1487)-LEN(SUBSTITUTE($I1487," Ltd","")))/LEN(" Ltd")),0)</f>
        <v/>
      </c>
      <c r="AA1486" s="122">
        <f>IFERROR(IFERROR((LEN($T1487)-LEN(SUBSTITUTE($T1487,"Quality of Works / Criteria of Failings:","")))/LEN("Quality of Works / Criteria of Failings:"),0)/MAX(1,(LEN($I1487)-LEN(SUBSTITUTE($I1487," Ltd","")))/LEN(" Ltd")),0)</f>
        <v/>
      </c>
      <c r="AB1486" s="122">
        <f>IFERROR(IFERROR((LEN($T1487)-LEN(SUBSTITUTE($T1487,"Quality of Works / Criteria of Failings:Compliant","")))/LEN("Quality of Works / Criteria of Failings:Compliant"),0)/MAX(1,(LEN($I1487)-LEN(SUBSTITUTE($I1487," Ltd","")))/LEN(" Ltd")),0)</f>
        <v/>
      </c>
    </row>
    <row r="1487" ht="15" customHeight="1" s="146">
      <c r="Y1487" s="122">
        <f>MAX(0,IFERROR((LEN($T1488)-LEN(SUBSTITUTE($T1488,"Quality of Works / Criteria of Failings:","")))/LEN("Quality of Works / Criteria of Failings:"),0)-IFERROR((LEN($T1488)-LEN(SUBSTITUTE($T1488,"Quality of Works / Criteria of Failings:Compliant","")))/LEN("Quality of Works / Criteria of Failings:Compliant"),0))</f>
        <v/>
      </c>
      <c r="Z1487" s="122">
        <f>IFERROR($Y1488/MAX(1,(LEN($I1488)-LEN(SUBSTITUTE($I1488," Ltd","")))/LEN(" Ltd")),0)</f>
        <v/>
      </c>
      <c r="AA1487" s="122">
        <f>IFERROR(IFERROR((LEN($T1488)-LEN(SUBSTITUTE($T1488,"Quality of Works / Criteria of Failings:","")))/LEN("Quality of Works / Criteria of Failings:"),0)/MAX(1,(LEN($I1488)-LEN(SUBSTITUTE($I1488," Ltd","")))/LEN(" Ltd")),0)</f>
        <v/>
      </c>
      <c r="AB1487" s="122">
        <f>IFERROR(IFERROR((LEN($T1488)-LEN(SUBSTITUTE($T1488,"Quality of Works / Criteria of Failings:Compliant","")))/LEN("Quality of Works / Criteria of Failings:Compliant"),0)/MAX(1,(LEN($I1488)-LEN(SUBSTITUTE($I1488," Ltd","")))/LEN(" Ltd")),0)</f>
        <v/>
      </c>
    </row>
    <row r="1488" ht="15" customHeight="1" s="146">
      <c r="Y1488" s="122">
        <f>MAX(0,IFERROR((LEN($T1489)-LEN(SUBSTITUTE($T1489,"Quality of Works / Criteria of Failings:","")))/LEN("Quality of Works / Criteria of Failings:"),0)-IFERROR((LEN($T1489)-LEN(SUBSTITUTE($T1489,"Quality of Works / Criteria of Failings:Compliant","")))/LEN("Quality of Works / Criteria of Failings:Compliant"),0))</f>
        <v/>
      </c>
      <c r="Z1488" s="122">
        <f>IFERROR($Y1489/MAX(1,(LEN($I1489)-LEN(SUBSTITUTE($I1489," Ltd","")))/LEN(" Ltd")),0)</f>
        <v/>
      </c>
      <c r="AA1488" s="122">
        <f>IFERROR(IFERROR((LEN($T1489)-LEN(SUBSTITUTE($T1489,"Quality of Works / Criteria of Failings:","")))/LEN("Quality of Works / Criteria of Failings:"),0)/MAX(1,(LEN($I1489)-LEN(SUBSTITUTE($I1489," Ltd","")))/LEN(" Ltd")),0)</f>
        <v/>
      </c>
      <c r="AB1488" s="122">
        <f>IFERROR(IFERROR((LEN($T1489)-LEN(SUBSTITUTE($T1489,"Quality of Works / Criteria of Failings:Compliant","")))/LEN("Quality of Works / Criteria of Failings:Compliant"),0)/MAX(1,(LEN($I1489)-LEN(SUBSTITUTE($I1489," Ltd","")))/LEN(" Ltd")),0)</f>
        <v/>
      </c>
    </row>
    <row r="1489" ht="15" customHeight="1" s="146">
      <c r="Y1489" s="122">
        <f>MAX(0,IFERROR((LEN($T1490)-LEN(SUBSTITUTE($T1490,"Quality of Works / Criteria of Failings:","")))/LEN("Quality of Works / Criteria of Failings:"),0)-IFERROR((LEN($T1490)-LEN(SUBSTITUTE($T1490,"Quality of Works / Criteria of Failings:Compliant","")))/LEN("Quality of Works / Criteria of Failings:Compliant"),0))</f>
        <v/>
      </c>
      <c r="Z1489" s="122">
        <f>IFERROR($Y1490/MAX(1,(LEN($I1490)-LEN(SUBSTITUTE($I1490," Ltd","")))/LEN(" Ltd")),0)</f>
        <v/>
      </c>
      <c r="AA1489" s="122">
        <f>IFERROR(IFERROR((LEN($T1490)-LEN(SUBSTITUTE($T1490,"Quality of Works / Criteria of Failings:","")))/LEN("Quality of Works / Criteria of Failings:"),0)/MAX(1,(LEN($I1490)-LEN(SUBSTITUTE($I1490," Ltd","")))/LEN(" Ltd")),0)</f>
        <v/>
      </c>
      <c r="AB1489" s="122">
        <f>IFERROR(IFERROR((LEN($T1490)-LEN(SUBSTITUTE($T1490,"Quality of Works / Criteria of Failings:Compliant","")))/LEN("Quality of Works / Criteria of Failings:Compliant"),0)/MAX(1,(LEN($I1490)-LEN(SUBSTITUTE($I1490," Ltd","")))/LEN(" Ltd")),0)</f>
        <v/>
      </c>
    </row>
    <row r="1490" ht="15" customHeight="1" s="146">
      <c r="Y1490" s="122">
        <f>MAX(0,IFERROR((LEN($T1491)-LEN(SUBSTITUTE($T1491,"Quality of Works / Criteria of Failings:","")))/LEN("Quality of Works / Criteria of Failings:"),0)-IFERROR((LEN($T1491)-LEN(SUBSTITUTE($T1491,"Quality of Works / Criteria of Failings:Compliant","")))/LEN("Quality of Works / Criteria of Failings:Compliant"),0))</f>
        <v/>
      </c>
      <c r="Z1490" s="122">
        <f>IFERROR($Y1491/MAX(1,(LEN($I1491)-LEN(SUBSTITUTE($I1491," Ltd","")))/LEN(" Ltd")),0)</f>
        <v/>
      </c>
      <c r="AA1490" s="122">
        <f>IFERROR(IFERROR((LEN($T1491)-LEN(SUBSTITUTE($T1491,"Quality of Works / Criteria of Failings:","")))/LEN("Quality of Works / Criteria of Failings:"),0)/MAX(1,(LEN($I1491)-LEN(SUBSTITUTE($I1491," Ltd","")))/LEN(" Ltd")),0)</f>
        <v/>
      </c>
      <c r="AB1490" s="122">
        <f>IFERROR(IFERROR((LEN($T1491)-LEN(SUBSTITUTE($T1491,"Quality of Works / Criteria of Failings:Compliant","")))/LEN("Quality of Works / Criteria of Failings:Compliant"),0)/MAX(1,(LEN($I1491)-LEN(SUBSTITUTE($I1491," Ltd","")))/LEN(" Ltd")),0)</f>
        <v/>
      </c>
    </row>
    <row r="1491" ht="15" customHeight="1" s="146">
      <c r="Y1491" s="122">
        <f>MAX(0,IFERROR((LEN($T1492)-LEN(SUBSTITUTE($T1492,"Quality of Works / Criteria of Failings:","")))/LEN("Quality of Works / Criteria of Failings:"),0)-IFERROR((LEN($T1492)-LEN(SUBSTITUTE($T1492,"Quality of Works / Criteria of Failings:Compliant","")))/LEN("Quality of Works / Criteria of Failings:Compliant"),0))</f>
        <v/>
      </c>
      <c r="Z1491" s="122">
        <f>IFERROR($Y1492/MAX(1,(LEN($I1492)-LEN(SUBSTITUTE($I1492," Ltd","")))/LEN(" Ltd")),0)</f>
        <v/>
      </c>
      <c r="AA1491" s="122">
        <f>IFERROR(IFERROR((LEN($T1492)-LEN(SUBSTITUTE($T1492,"Quality of Works / Criteria of Failings:","")))/LEN("Quality of Works / Criteria of Failings:"),0)/MAX(1,(LEN($I1492)-LEN(SUBSTITUTE($I1492," Ltd","")))/LEN(" Ltd")),0)</f>
        <v/>
      </c>
      <c r="AB1491" s="122">
        <f>IFERROR(IFERROR((LEN($T1492)-LEN(SUBSTITUTE($T1492,"Quality of Works / Criteria of Failings:Compliant","")))/LEN("Quality of Works / Criteria of Failings:Compliant"),0)/MAX(1,(LEN($I1492)-LEN(SUBSTITUTE($I1492," Ltd","")))/LEN(" Ltd")),0)</f>
        <v/>
      </c>
    </row>
    <row r="1492" ht="15" customHeight="1" s="146">
      <c r="Y1492" s="122">
        <f>MAX(0,IFERROR((LEN($T1493)-LEN(SUBSTITUTE($T1493,"Quality of Works / Criteria of Failings:","")))/LEN("Quality of Works / Criteria of Failings:"),0)-IFERROR((LEN($T1493)-LEN(SUBSTITUTE($T1493,"Quality of Works / Criteria of Failings:Compliant","")))/LEN("Quality of Works / Criteria of Failings:Compliant"),0))</f>
        <v/>
      </c>
      <c r="Z1492" s="122">
        <f>IFERROR($Y1493/MAX(1,(LEN($I1493)-LEN(SUBSTITUTE($I1493," Ltd","")))/LEN(" Ltd")),0)</f>
        <v/>
      </c>
      <c r="AA1492" s="122">
        <f>IFERROR(IFERROR((LEN($T1493)-LEN(SUBSTITUTE($T1493,"Quality of Works / Criteria of Failings:","")))/LEN("Quality of Works / Criteria of Failings:"),0)/MAX(1,(LEN($I1493)-LEN(SUBSTITUTE($I1493," Ltd","")))/LEN(" Ltd")),0)</f>
        <v/>
      </c>
      <c r="AB1492" s="122">
        <f>IFERROR(IFERROR((LEN($T1493)-LEN(SUBSTITUTE($T1493,"Quality of Works / Criteria of Failings:Compliant","")))/LEN("Quality of Works / Criteria of Failings:Compliant"),0)/MAX(1,(LEN($I1493)-LEN(SUBSTITUTE($I1493," Ltd","")))/LEN(" Ltd")),0)</f>
        <v/>
      </c>
    </row>
    <row r="1493" ht="15" customHeight="1" s="146">
      <c r="Y1493" s="122">
        <f>MAX(0,IFERROR((LEN($T1494)-LEN(SUBSTITUTE($T1494,"Quality of Works / Criteria of Failings:","")))/LEN("Quality of Works / Criteria of Failings:"),0)-IFERROR((LEN($T1494)-LEN(SUBSTITUTE($T1494,"Quality of Works / Criteria of Failings:Compliant","")))/LEN("Quality of Works / Criteria of Failings:Compliant"),0))</f>
        <v/>
      </c>
      <c r="Z1493" s="122">
        <f>IFERROR($Y1494/MAX(1,(LEN($I1494)-LEN(SUBSTITUTE($I1494," Ltd","")))/LEN(" Ltd")),0)</f>
        <v/>
      </c>
      <c r="AA1493" s="122">
        <f>IFERROR(IFERROR((LEN($T1494)-LEN(SUBSTITUTE($T1494,"Quality of Works / Criteria of Failings:","")))/LEN("Quality of Works / Criteria of Failings:"),0)/MAX(1,(LEN($I1494)-LEN(SUBSTITUTE($I1494," Ltd","")))/LEN(" Ltd")),0)</f>
        <v/>
      </c>
      <c r="AB1493" s="122">
        <f>IFERROR(IFERROR((LEN($T1494)-LEN(SUBSTITUTE($T1494,"Quality of Works / Criteria of Failings:Compliant","")))/LEN("Quality of Works / Criteria of Failings:Compliant"),0)/MAX(1,(LEN($I1494)-LEN(SUBSTITUTE($I1494," Ltd","")))/LEN(" Ltd")),0)</f>
        <v/>
      </c>
    </row>
    <row r="1494" ht="15" customHeight="1" s="146">
      <c r="Y1494" s="122">
        <f>MAX(0,IFERROR((LEN($T1495)-LEN(SUBSTITUTE($T1495,"Quality of Works / Criteria of Failings:","")))/LEN("Quality of Works / Criteria of Failings:"),0)-IFERROR((LEN($T1495)-LEN(SUBSTITUTE($T1495,"Quality of Works / Criteria of Failings:Compliant","")))/LEN("Quality of Works / Criteria of Failings:Compliant"),0))</f>
        <v/>
      </c>
      <c r="Z1494" s="122">
        <f>IFERROR($Y1495/MAX(1,(LEN($I1495)-LEN(SUBSTITUTE($I1495," Ltd","")))/LEN(" Ltd")),0)</f>
        <v/>
      </c>
      <c r="AA1494" s="122">
        <f>IFERROR(IFERROR((LEN($T1495)-LEN(SUBSTITUTE($T1495,"Quality of Works / Criteria of Failings:","")))/LEN("Quality of Works / Criteria of Failings:"),0)/MAX(1,(LEN($I1495)-LEN(SUBSTITUTE($I1495," Ltd","")))/LEN(" Ltd")),0)</f>
        <v/>
      </c>
      <c r="AB1494" s="122">
        <f>IFERROR(IFERROR((LEN($T1495)-LEN(SUBSTITUTE($T1495,"Quality of Works / Criteria of Failings:Compliant","")))/LEN("Quality of Works / Criteria of Failings:Compliant"),0)/MAX(1,(LEN($I1495)-LEN(SUBSTITUTE($I1495," Ltd","")))/LEN(" Ltd")),0)</f>
        <v/>
      </c>
    </row>
    <row r="1495" ht="15" customHeight="1" s="146">
      <c r="Y1495" s="122">
        <f>MAX(0,IFERROR((LEN($T1496)-LEN(SUBSTITUTE($T1496,"Quality of Works / Criteria of Failings:","")))/LEN("Quality of Works / Criteria of Failings:"),0)-IFERROR((LEN($T1496)-LEN(SUBSTITUTE($T1496,"Quality of Works / Criteria of Failings:Compliant","")))/LEN("Quality of Works / Criteria of Failings:Compliant"),0))</f>
        <v/>
      </c>
      <c r="Z1495" s="122">
        <f>IFERROR($Y1496/MAX(1,(LEN($I1496)-LEN(SUBSTITUTE($I1496," Ltd","")))/LEN(" Ltd")),0)</f>
        <v/>
      </c>
      <c r="AA1495" s="122">
        <f>IFERROR(IFERROR((LEN($T1496)-LEN(SUBSTITUTE($T1496,"Quality of Works / Criteria of Failings:","")))/LEN("Quality of Works / Criteria of Failings:"),0)/MAX(1,(LEN($I1496)-LEN(SUBSTITUTE($I1496," Ltd","")))/LEN(" Ltd")),0)</f>
        <v/>
      </c>
      <c r="AB1495" s="122">
        <f>IFERROR(IFERROR((LEN($T1496)-LEN(SUBSTITUTE($T1496,"Quality of Works / Criteria of Failings:Compliant","")))/LEN("Quality of Works / Criteria of Failings:Compliant"),0)/MAX(1,(LEN($I1496)-LEN(SUBSTITUTE($I1496," Ltd","")))/LEN(" Ltd")),0)</f>
        <v/>
      </c>
    </row>
    <row r="1496" ht="15" customHeight="1" s="146">
      <c r="Y1496" s="122">
        <f>MAX(0,IFERROR((LEN($T1497)-LEN(SUBSTITUTE($T1497,"Quality of Works / Criteria of Failings:","")))/LEN("Quality of Works / Criteria of Failings:"),0)-IFERROR((LEN($T1497)-LEN(SUBSTITUTE($T1497,"Quality of Works / Criteria of Failings:Compliant","")))/LEN("Quality of Works / Criteria of Failings:Compliant"),0))</f>
        <v/>
      </c>
      <c r="Z1496" s="122">
        <f>IFERROR($Y1497/MAX(1,(LEN($I1497)-LEN(SUBSTITUTE($I1497," Ltd","")))/LEN(" Ltd")),0)</f>
        <v/>
      </c>
      <c r="AA1496" s="122">
        <f>IFERROR(IFERROR((LEN($T1497)-LEN(SUBSTITUTE($T1497,"Quality of Works / Criteria of Failings:","")))/LEN("Quality of Works / Criteria of Failings:"),0)/MAX(1,(LEN($I1497)-LEN(SUBSTITUTE($I1497," Ltd","")))/LEN(" Ltd")),0)</f>
        <v/>
      </c>
      <c r="AB1496" s="122">
        <f>IFERROR(IFERROR((LEN($T1497)-LEN(SUBSTITUTE($T1497,"Quality of Works / Criteria of Failings:Compliant","")))/LEN("Quality of Works / Criteria of Failings:Compliant"),0)/MAX(1,(LEN($I1497)-LEN(SUBSTITUTE($I1497," Ltd","")))/LEN(" Ltd")),0)</f>
        <v/>
      </c>
    </row>
    <row r="1497" ht="15" customHeight="1" s="146">
      <c r="Y1497" s="122">
        <f>MAX(0,IFERROR((LEN($T1498)-LEN(SUBSTITUTE($T1498,"Quality of Works / Criteria of Failings:","")))/LEN("Quality of Works / Criteria of Failings:"),0)-IFERROR((LEN($T1498)-LEN(SUBSTITUTE($T1498,"Quality of Works / Criteria of Failings:Compliant","")))/LEN("Quality of Works / Criteria of Failings:Compliant"),0))</f>
        <v/>
      </c>
      <c r="Z1497" s="122">
        <f>IFERROR($Y1498/MAX(1,(LEN($I1498)-LEN(SUBSTITUTE($I1498," Ltd","")))/LEN(" Ltd")),0)</f>
        <v/>
      </c>
      <c r="AA1497" s="122">
        <f>IFERROR(IFERROR((LEN($T1498)-LEN(SUBSTITUTE($T1498,"Quality of Works / Criteria of Failings:","")))/LEN("Quality of Works / Criteria of Failings:"),0)/MAX(1,(LEN($I1498)-LEN(SUBSTITUTE($I1498," Ltd","")))/LEN(" Ltd")),0)</f>
        <v/>
      </c>
      <c r="AB1497" s="122">
        <f>IFERROR(IFERROR((LEN($T1498)-LEN(SUBSTITUTE($T1498,"Quality of Works / Criteria of Failings:Compliant","")))/LEN("Quality of Works / Criteria of Failings:Compliant"),0)/MAX(1,(LEN($I1498)-LEN(SUBSTITUTE($I1498," Ltd","")))/LEN(" Ltd")),0)</f>
        <v/>
      </c>
    </row>
    <row r="1498" ht="15" customHeight="1" s="146">
      <c r="Y1498" s="122">
        <f>MAX(0,IFERROR((LEN($T1499)-LEN(SUBSTITUTE($T1499,"Quality of Works / Criteria of Failings:","")))/LEN("Quality of Works / Criteria of Failings:"),0)-IFERROR((LEN($T1499)-LEN(SUBSTITUTE($T1499,"Quality of Works / Criteria of Failings:Compliant","")))/LEN("Quality of Works / Criteria of Failings:Compliant"),0))</f>
        <v/>
      </c>
      <c r="Z1498" s="122">
        <f>IFERROR($Y1499/MAX(1,(LEN($I1499)-LEN(SUBSTITUTE($I1499," Ltd","")))/LEN(" Ltd")),0)</f>
        <v/>
      </c>
      <c r="AA1498" s="122">
        <f>IFERROR(IFERROR((LEN($T1499)-LEN(SUBSTITUTE($T1499,"Quality of Works / Criteria of Failings:","")))/LEN("Quality of Works / Criteria of Failings:"),0)/MAX(1,(LEN($I1499)-LEN(SUBSTITUTE($I1499," Ltd","")))/LEN(" Ltd")),0)</f>
        <v/>
      </c>
      <c r="AB1498" s="122">
        <f>IFERROR(IFERROR((LEN($T1499)-LEN(SUBSTITUTE($T1499,"Quality of Works / Criteria of Failings:Compliant","")))/LEN("Quality of Works / Criteria of Failings:Compliant"),0)/MAX(1,(LEN($I1499)-LEN(SUBSTITUTE($I1499," Ltd","")))/LEN(" Ltd")),0)</f>
        <v/>
      </c>
    </row>
    <row r="1499" ht="15" customHeight="1" s="146">
      <c r="Y1499" s="122">
        <f>MAX(0,IFERROR((LEN($T1500)-LEN(SUBSTITUTE($T1500,"Quality of Works / Criteria of Failings:","")))/LEN("Quality of Works / Criteria of Failings:"),0)-IFERROR((LEN($T1500)-LEN(SUBSTITUTE($T1500,"Quality of Works / Criteria of Failings:Compliant","")))/LEN("Quality of Works / Criteria of Failings:Compliant"),0))</f>
        <v/>
      </c>
      <c r="Z1499" s="122">
        <f>IFERROR($Y1500/MAX(1,(LEN($I1500)-LEN(SUBSTITUTE($I1500," Ltd","")))/LEN(" Ltd")),0)</f>
        <v/>
      </c>
      <c r="AA1499" s="122">
        <f>IFERROR(IFERROR((LEN($T1500)-LEN(SUBSTITUTE($T1500,"Quality of Works / Criteria of Failings:","")))/LEN("Quality of Works / Criteria of Failings:"),0)/MAX(1,(LEN($I1500)-LEN(SUBSTITUTE($I1500," Ltd","")))/LEN(" Ltd")),0)</f>
        <v/>
      </c>
      <c r="AB1499" s="122">
        <f>IFERROR(IFERROR((LEN($T1500)-LEN(SUBSTITUTE($T1500,"Quality of Works / Criteria of Failings:Compliant","")))/LEN("Quality of Works / Criteria of Failings:Compliant"),0)/MAX(1,(LEN($I1500)-LEN(SUBSTITUTE($I1500," Ltd","")))/LEN(" Ltd")),0)</f>
        <v/>
      </c>
    </row>
    <row r="1500" ht="15" customHeight="1" s="146">
      <c r="Y1500" s="122">
        <f>MAX(0,IFERROR((LEN($T1501)-LEN(SUBSTITUTE($T1501,"Quality of Works / Criteria of Failings:","")))/LEN("Quality of Works / Criteria of Failings:"),0)-IFERROR((LEN($T1501)-LEN(SUBSTITUTE($T1501,"Quality of Works / Criteria of Failings:Compliant","")))/LEN("Quality of Works / Criteria of Failings:Compliant"),0))</f>
        <v/>
      </c>
      <c r="Z1500" s="122">
        <f>IFERROR($Y1501/MAX(1,(LEN($I1501)-LEN(SUBSTITUTE($I1501," Ltd","")))/LEN(" Ltd")),0)</f>
        <v/>
      </c>
      <c r="AA1500" s="122">
        <f>IFERROR(IFERROR((LEN($T1501)-LEN(SUBSTITUTE($T1501,"Quality of Works / Criteria of Failings:","")))/LEN("Quality of Works / Criteria of Failings:"),0)/MAX(1,(LEN($I1501)-LEN(SUBSTITUTE($I1501," Ltd","")))/LEN(" Ltd")),0)</f>
        <v/>
      </c>
      <c r="AB1500" s="122">
        <f>IFERROR(IFERROR((LEN($T1501)-LEN(SUBSTITUTE($T1501,"Quality of Works / Criteria of Failings:Compliant","")))/LEN("Quality of Works / Criteria of Failings:Compliant"),0)/MAX(1,(LEN($I1501)-LEN(SUBSTITUTE($I1501," Ltd","")))/LEN(" Ltd")),0)</f>
        <v/>
      </c>
    </row>
    <row r="1501" ht="15" customHeight="1" s="146">
      <c r="Y1501" s="122">
        <f>MAX(0,IFERROR((LEN($T1502)-LEN(SUBSTITUTE($T1502,"Quality of Works / Criteria of Failings:","")))/LEN("Quality of Works / Criteria of Failings:"),0)-IFERROR((LEN($T1502)-LEN(SUBSTITUTE($T1502,"Quality of Works / Criteria of Failings:Compliant","")))/LEN("Quality of Works / Criteria of Failings:Compliant"),0))</f>
        <v/>
      </c>
      <c r="Z1501" s="122">
        <f>IFERROR($Y1502/MAX(1,(LEN($I1502)-LEN(SUBSTITUTE($I1502," Ltd","")))/LEN(" Ltd")),0)</f>
        <v/>
      </c>
      <c r="AA1501" s="122">
        <f>IFERROR(IFERROR((LEN($T1502)-LEN(SUBSTITUTE($T1502,"Quality of Works / Criteria of Failings:","")))/LEN("Quality of Works / Criteria of Failings:"),0)/MAX(1,(LEN($I1502)-LEN(SUBSTITUTE($I1502," Ltd","")))/LEN(" Ltd")),0)</f>
        <v/>
      </c>
      <c r="AB1501" s="122">
        <f>IFERROR(IFERROR((LEN($T1502)-LEN(SUBSTITUTE($T1502,"Quality of Works / Criteria of Failings:Compliant","")))/LEN("Quality of Works / Criteria of Failings:Compliant"),0)/MAX(1,(LEN($I1502)-LEN(SUBSTITUTE($I1502," Ltd","")))/LEN(" Ltd")),0)</f>
        <v/>
      </c>
    </row>
    <row r="1502" ht="15" customHeight="1" s="146">
      <c r="Y1502" s="122">
        <f>MAX(0,IFERROR((LEN($T1503)-LEN(SUBSTITUTE($T1503,"Quality of Works / Criteria of Failings:","")))/LEN("Quality of Works / Criteria of Failings:"),0)-IFERROR((LEN($T1503)-LEN(SUBSTITUTE($T1503,"Quality of Works / Criteria of Failings:Compliant","")))/LEN("Quality of Works / Criteria of Failings:Compliant"),0))</f>
        <v/>
      </c>
      <c r="Z1502" s="122">
        <f>IFERROR($Y1503/MAX(1,(LEN($I1503)-LEN(SUBSTITUTE($I1503," Ltd","")))/LEN(" Ltd")),0)</f>
        <v/>
      </c>
      <c r="AA1502" s="122">
        <f>IFERROR(IFERROR((LEN($T1503)-LEN(SUBSTITUTE($T1503,"Quality of Works / Criteria of Failings:","")))/LEN("Quality of Works / Criteria of Failings:"),0)/MAX(1,(LEN($I1503)-LEN(SUBSTITUTE($I1503," Ltd","")))/LEN(" Ltd")),0)</f>
        <v/>
      </c>
      <c r="AB1502" s="122">
        <f>IFERROR(IFERROR((LEN($T1503)-LEN(SUBSTITUTE($T1503,"Quality of Works / Criteria of Failings:Compliant","")))/LEN("Quality of Works / Criteria of Failings:Compliant"),0)/MAX(1,(LEN($I1503)-LEN(SUBSTITUTE($I1503," Ltd","")))/LEN(" Ltd")),0)</f>
        <v/>
      </c>
    </row>
    <row r="1503" ht="15" customHeight="1" s="146">
      <c r="Y1503" s="122">
        <f>MAX(0,IFERROR((LEN($T1504)-LEN(SUBSTITUTE($T1504,"Quality of Works / Criteria of Failings:","")))/LEN("Quality of Works / Criteria of Failings:"),0)-IFERROR((LEN($T1504)-LEN(SUBSTITUTE($T1504,"Quality of Works / Criteria of Failings:Compliant","")))/LEN("Quality of Works / Criteria of Failings:Compliant"),0))</f>
        <v/>
      </c>
      <c r="Z1503" s="122">
        <f>IFERROR($Y1504/MAX(1,(LEN($I1504)-LEN(SUBSTITUTE($I1504," Ltd","")))/LEN(" Ltd")),0)</f>
        <v/>
      </c>
      <c r="AA1503" s="122">
        <f>IFERROR(IFERROR((LEN($T1504)-LEN(SUBSTITUTE($T1504,"Quality of Works / Criteria of Failings:","")))/LEN("Quality of Works / Criteria of Failings:"),0)/MAX(1,(LEN($I1504)-LEN(SUBSTITUTE($I1504," Ltd","")))/LEN(" Ltd")),0)</f>
        <v/>
      </c>
      <c r="AB1503" s="122">
        <f>IFERROR(IFERROR((LEN($T1504)-LEN(SUBSTITUTE($T1504,"Quality of Works / Criteria of Failings:Compliant","")))/LEN("Quality of Works / Criteria of Failings:Compliant"),0)/MAX(1,(LEN($I1504)-LEN(SUBSTITUTE($I1504," Ltd","")))/LEN(" Ltd")),0)</f>
        <v/>
      </c>
    </row>
    <row r="1504" ht="15" customHeight="1" s="146">
      <c r="Y1504" s="122">
        <f>MAX(0,IFERROR((LEN($T1505)-LEN(SUBSTITUTE($T1505,"Quality of Works / Criteria of Failings:","")))/LEN("Quality of Works / Criteria of Failings:"),0)-IFERROR((LEN($T1505)-LEN(SUBSTITUTE($T1505,"Quality of Works / Criteria of Failings:Compliant","")))/LEN("Quality of Works / Criteria of Failings:Compliant"),0))</f>
        <v/>
      </c>
      <c r="Z1504" s="122">
        <f>IFERROR($Y1505/MAX(1,(LEN($I1505)-LEN(SUBSTITUTE($I1505," Ltd","")))/LEN(" Ltd")),0)</f>
        <v/>
      </c>
      <c r="AA1504" s="122">
        <f>IFERROR(IFERROR((LEN($T1505)-LEN(SUBSTITUTE($T1505,"Quality of Works / Criteria of Failings:","")))/LEN("Quality of Works / Criteria of Failings:"),0)/MAX(1,(LEN($I1505)-LEN(SUBSTITUTE($I1505," Ltd","")))/LEN(" Ltd")),0)</f>
        <v/>
      </c>
      <c r="AB1504" s="122">
        <f>IFERROR(IFERROR((LEN($T1505)-LEN(SUBSTITUTE($T1505,"Quality of Works / Criteria of Failings:Compliant","")))/LEN("Quality of Works / Criteria of Failings:Compliant"),0)/MAX(1,(LEN($I1505)-LEN(SUBSTITUTE($I1505," Ltd","")))/LEN(" Ltd")),0)</f>
        <v/>
      </c>
    </row>
    <row r="1505" ht="15" customHeight="1" s="146">
      <c r="Y1505" s="122">
        <f>MAX(0,IFERROR((LEN($T1506)-LEN(SUBSTITUTE($T1506,"Quality of Works / Criteria of Failings:","")))/LEN("Quality of Works / Criteria of Failings:"),0)-IFERROR((LEN($T1506)-LEN(SUBSTITUTE($T1506,"Quality of Works / Criteria of Failings:Compliant","")))/LEN("Quality of Works / Criteria of Failings:Compliant"),0))</f>
        <v/>
      </c>
      <c r="Z1505" s="122">
        <f>IFERROR($Y1506/MAX(1,(LEN($I1506)-LEN(SUBSTITUTE($I1506," Ltd","")))/LEN(" Ltd")),0)</f>
        <v/>
      </c>
      <c r="AA1505" s="122">
        <f>IFERROR(IFERROR((LEN($T1506)-LEN(SUBSTITUTE($T1506,"Quality of Works / Criteria of Failings:","")))/LEN("Quality of Works / Criteria of Failings:"),0)/MAX(1,(LEN($I1506)-LEN(SUBSTITUTE($I1506," Ltd","")))/LEN(" Ltd")),0)</f>
        <v/>
      </c>
      <c r="AB1505" s="122">
        <f>IFERROR(IFERROR((LEN($T1506)-LEN(SUBSTITUTE($T1506,"Quality of Works / Criteria of Failings:Compliant","")))/LEN("Quality of Works / Criteria of Failings:Compliant"),0)/MAX(1,(LEN($I1506)-LEN(SUBSTITUTE($I1506," Ltd","")))/LEN(" Ltd")),0)</f>
        <v/>
      </c>
    </row>
    <row r="1506" ht="15" customHeight="1" s="146">
      <c r="Y1506" s="122">
        <f>MAX(0,IFERROR((LEN($T1507)-LEN(SUBSTITUTE($T1507,"Quality of Works / Criteria of Failings:","")))/LEN("Quality of Works / Criteria of Failings:"),0)-IFERROR((LEN($T1507)-LEN(SUBSTITUTE($T1507,"Quality of Works / Criteria of Failings:Compliant","")))/LEN("Quality of Works / Criteria of Failings:Compliant"),0))</f>
        <v/>
      </c>
      <c r="Z1506" s="122">
        <f>IFERROR($Y1507/MAX(1,(LEN($I1507)-LEN(SUBSTITUTE($I1507," Ltd","")))/LEN(" Ltd")),0)</f>
        <v/>
      </c>
      <c r="AA1506" s="122">
        <f>IFERROR(IFERROR((LEN($T1507)-LEN(SUBSTITUTE($T1507,"Quality of Works / Criteria of Failings:","")))/LEN("Quality of Works / Criteria of Failings:"),0)/MAX(1,(LEN($I1507)-LEN(SUBSTITUTE($I1507," Ltd","")))/LEN(" Ltd")),0)</f>
        <v/>
      </c>
      <c r="AB1506" s="122">
        <f>IFERROR(IFERROR((LEN($T1507)-LEN(SUBSTITUTE($T1507,"Quality of Works / Criteria of Failings:Compliant","")))/LEN("Quality of Works / Criteria of Failings:Compliant"),0)/MAX(1,(LEN($I1507)-LEN(SUBSTITUTE($I1507," Ltd","")))/LEN(" Ltd")),0)</f>
        <v/>
      </c>
    </row>
    <row r="1507" ht="15" customHeight="1" s="146">
      <c r="Y1507" s="122">
        <f>MAX(0,IFERROR((LEN($T1508)-LEN(SUBSTITUTE($T1508,"Quality of Works / Criteria of Failings:","")))/LEN("Quality of Works / Criteria of Failings:"),0)-IFERROR((LEN($T1508)-LEN(SUBSTITUTE($T1508,"Quality of Works / Criteria of Failings:Compliant","")))/LEN("Quality of Works / Criteria of Failings:Compliant"),0))</f>
        <v/>
      </c>
      <c r="Z1507" s="122">
        <f>IFERROR($Y1508/MAX(1,(LEN($I1508)-LEN(SUBSTITUTE($I1508," Ltd","")))/LEN(" Ltd")),0)</f>
        <v/>
      </c>
      <c r="AA1507" s="122">
        <f>IFERROR(IFERROR((LEN($T1508)-LEN(SUBSTITUTE($T1508,"Quality of Works / Criteria of Failings:","")))/LEN("Quality of Works / Criteria of Failings:"),0)/MAX(1,(LEN($I1508)-LEN(SUBSTITUTE($I1508," Ltd","")))/LEN(" Ltd")),0)</f>
        <v/>
      </c>
      <c r="AB1507" s="122">
        <f>IFERROR(IFERROR((LEN($T1508)-LEN(SUBSTITUTE($T1508,"Quality of Works / Criteria of Failings:Compliant","")))/LEN("Quality of Works / Criteria of Failings:Compliant"),0)/MAX(1,(LEN($I1508)-LEN(SUBSTITUTE($I1508," Ltd","")))/LEN(" Ltd")),0)</f>
        <v/>
      </c>
    </row>
    <row r="1508" ht="15" customHeight="1" s="146">
      <c r="Y1508" s="122">
        <f>MAX(0,IFERROR((LEN($T1509)-LEN(SUBSTITUTE($T1509,"Quality of Works / Criteria of Failings:","")))/LEN("Quality of Works / Criteria of Failings:"),0)-IFERROR((LEN($T1509)-LEN(SUBSTITUTE($T1509,"Quality of Works / Criteria of Failings:Compliant","")))/LEN("Quality of Works / Criteria of Failings:Compliant"),0))</f>
        <v/>
      </c>
      <c r="Z1508" s="122">
        <f>IFERROR($Y1509/MAX(1,(LEN($I1509)-LEN(SUBSTITUTE($I1509," Ltd","")))/LEN(" Ltd")),0)</f>
        <v/>
      </c>
      <c r="AA1508" s="122">
        <f>IFERROR(IFERROR((LEN($T1509)-LEN(SUBSTITUTE($T1509,"Quality of Works / Criteria of Failings:","")))/LEN("Quality of Works / Criteria of Failings:"),0)/MAX(1,(LEN($I1509)-LEN(SUBSTITUTE($I1509," Ltd","")))/LEN(" Ltd")),0)</f>
        <v/>
      </c>
      <c r="AB1508" s="122">
        <f>IFERROR(IFERROR((LEN($T1509)-LEN(SUBSTITUTE($T1509,"Quality of Works / Criteria of Failings:Compliant","")))/LEN("Quality of Works / Criteria of Failings:Compliant"),0)/MAX(1,(LEN($I1509)-LEN(SUBSTITUTE($I1509," Ltd","")))/LEN(" Ltd")),0)</f>
        <v/>
      </c>
    </row>
    <row r="1509" ht="15" customHeight="1" s="146">
      <c r="Y1509" s="122">
        <f>MAX(0,IFERROR((LEN($T1510)-LEN(SUBSTITUTE($T1510,"Quality of Works / Criteria of Failings:","")))/LEN("Quality of Works / Criteria of Failings:"),0)-IFERROR((LEN($T1510)-LEN(SUBSTITUTE($T1510,"Quality of Works / Criteria of Failings:Compliant","")))/LEN("Quality of Works / Criteria of Failings:Compliant"),0))</f>
        <v/>
      </c>
      <c r="Z1509" s="122">
        <f>IFERROR($Y1510/MAX(1,(LEN($I1510)-LEN(SUBSTITUTE($I1510," Ltd","")))/LEN(" Ltd")),0)</f>
        <v/>
      </c>
      <c r="AA1509" s="122">
        <f>IFERROR(IFERROR((LEN($T1510)-LEN(SUBSTITUTE($T1510,"Quality of Works / Criteria of Failings:","")))/LEN("Quality of Works / Criteria of Failings:"),0)/MAX(1,(LEN($I1510)-LEN(SUBSTITUTE($I1510," Ltd","")))/LEN(" Ltd")),0)</f>
        <v/>
      </c>
      <c r="AB1509" s="122">
        <f>IFERROR(IFERROR((LEN($T1510)-LEN(SUBSTITUTE($T1510,"Quality of Works / Criteria of Failings:Compliant","")))/LEN("Quality of Works / Criteria of Failings:Compliant"),0)/MAX(1,(LEN($I1510)-LEN(SUBSTITUTE($I1510," Ltd","")))/LEN(" Ltd")),0)</f>
        <v/>
      </c>
    </row>
    <row r="1510" ht="15" customHeight="1" s="146">
      <c r="Y1510" s="122">
        <f>MAX(0,IFERROR((LEN($T1511)-LEN(SUBSTITUTE($T1511,"Quality of Works / Criteria of Failings:","")))/LEN("Quality of Works / Criteria of Failings:"),0)-IFERROR((LEN($T1511)-LEN(SUBSTITUTE($T1511,"Quality of Works / Criteria of Failings:Compliant","")))/LEN("Quality of Works / Criteria of Failings:Compliant"),0))</f>
        <v/>
      </c>
      <c r="Z1510" s="122">
        <f>IFERROR($Y1511/MAX(1,(LEN($I1511)-LEN(SUBSTITUTE($I1511," Ltd","")))/LEN(" Ltd")),0)</f>
        <v/>
      </c>
      <c r="AA1510" s="122">
        <f>IFERROR(IFERROR((LEN($T1511)-LEN(SUBSTITUTE($T1511,"Quality of Works / Criteria of Failings:","")))/LEN("Quality of Works / Criteria of Failings:"),0)/MAX(1,(LEN($I1511)-LEN(SUBSTITUTE($I1511," Ltd","")))/LEN(" Ltd")),0)</f>
        <v/>
      </c>
      <c r="AB1510" s="122">
        <f>IFERROR(IFERROR((LEN($T1511)-LEN(SUBSTITUTE($T1511,"Quality of Works / Criteria of Failings:Compliant","")))/LEN("Quality of Works / Criteria of Failings:Compliant"),0)/MAX(1,(LEN($I1511)-LEN(SUBSTITUTE($I1511," Ltd","")))/LEN(" Ltd")),0)</f>
        <v/>
      </c>
    </row>
    <row r="1511" ht="15" customHeight="1" s="146">
      <c r="Y1511" s="122">
        <f>MAX(0,IFERROR((LEN($T1512)-LEN(SUBSTITUTE($T1512,"Quality of Works / Criteria of Failings:","")))/LEN("Quality of Works / Criteria of Failings:"),0)-IFERROR((LEN($T1512)-LEN(SUBSTITUTE($T1512,"Quality of Works / Criteria of Failings:Compliant","")))/LEN("Quality of Works / Criteria of Failings:Compliant"),0))</f>
        <v/>
      </c>
      <c r="Z1511" s="122">
        <f>IFERROR($Y1512/MAX(1,(LEN($I1512)-LEN(SUBSTITUTE($I1512," Ltd","")))/LEN(" Ltd")),0)</f>
        <v/>
      </c>
      <c r="AA1511" s="122">
        <f>IFERROR(IFERROR((LEN($T1512)-LEN(SUBSTITUTE($T1512,"Quality of Works / Criteria of Failings:","")))/LEN("Quality of Works / Criteria of Failings:"),0)/MAX(1,(LEN($I1512)-LEN(SUBSTITUTE($I1512," Ltd","")))/LEN(" Ltd")),0)</f>
        <v/>
      </c>
      <c r="AB1511" s="122">
        <f>IFERROR(IFERROR((LEN($T1512)-LEN(SUBSTITUTE($T1512,"Quality of Works / Criteria of Failings:Compliant","")))/LEN("Quality of Works / Criteria of Failings:Compliant"),0)/MAX(1,(LEN($I1512)-LEN(SUBSTITUTE($I1512," Ltd","")))/LEN(" Ltd")),0)</f>
        <v/>
      </c>
    </row>
    <row r="1512" ht="15" customHeight="1" s="146">
      <c r="Y1512" s="122">
        <f>MAX(0,IFERROR((LEN($T1513)-LEN(SUBSTITUTE($T1513,"Quality of Works / Criteria of Failings:","")))/LEN("Quality of Works / Criteria of Failings:"),0)-IFERROR((LEN($T1513)-LEN(SUBSTITUTE($T1513,"Quality of Works / Criteria of Failings:Compliant","")))/LEN("Quality of Works / Criteria of Failings:Compliant"),0))</f>
        <v/>
      </c>
      <c r="Z1512" s="122">
        <f>IFERROR($Y1513/MAX(1,(LEN($I1513)-LEN(SUBSTITUTE($I1513," Ltd","")))/LEN(" Ltd")),0)</f>
        <v/>
      </c>
      <c r="AA1512" s="122">
        <f>IFERROR(IFERROR((LEN($T1513)-LEN(SUBSTITUTE($T1513,"Quality of Works / Criteria of Failings:","")))/LEN("Quality of Works / Criteria of Failings:"),0)/MAX(1,(LEN($I1513)-LEN(SUBSTITUTE($I1513," Ltd","")))/LEN(" Ltd")),0)</f>
        <v/>
      </c>
      <c r="AB1512" s="122">
        <f>IFERROR(IFERROR((LEN($T1513)-LEN(SUBSTITUTE($T1513,"Quality of Works / Criteria of Failings:Compliant","")))/LEN("Quality of Works / Criteria of Failings:Compliant"),0)/MAX(1,(LEN($I1513)-LEN(SUBSTITUTE($I1513," Ltd","")))/LEN(" Ltd")),0)</f>
        <v/>
      </c>
    </row>
    <row r="1513" ht="15" customHeight="1" s="146">
      <c r="Y1513" s="122">
        <f>MAX(0,IFERROR((LEN($T1514)-LEN(SUBSTITUTE($T1514,"Quality of Works / Criteria of Failings:","")))/LEN("Quality of Works / Criteria of Failings:"),0)-IFERROR((LEN($T1514)-LEN(SUBSTITUTE($T1514,"Quality of Works / Criteria of Failings:Compliant","")))/LEN("Quality of Works / Criteria of Failings:Compliant"),0))</f>
        <v/>
      </c>
      <c r="Z1513" s="122">
        <f>IFERROR($Y1514/MAX(1,(LEN($I1514)-LEN(SUBSTITUTE($I1514," Ltd","")))/LEN(" Ltd")),0)</f>
        <v/>
      </c>
      <c r="AA1513" s="122">
        <f>IFERROR(IFERROR((LEN($T1514)-LEN(SUBSTITUTE($T1514,"Quality of Works / Criteria of Failings:","")))/LEN("Quality of Works / Criteria of Failings:"),0)/MAX(1,(LEN($I1514)-LEN(SUBSTITUTE($I1514," Ltd","")))/LEN(" Ltd")),0)</f>
        <v/>
      </c>
      <c r="AB1513" s="122">
        <f>IFERROR(IFERROR((LEN($T1514)-LEN(SUBSTITUTE($T1514,"Quality of Works / Criteria of Failings:Compliant","")))/LEN("Quality of Works / Criteria of Failings:Compliant"),0)/MAX(1,(LEN($I1514)-LEN(SUBSTITUTE($I1514," Ltd","")))/LEN(" Ltd")),0)</f>
        <v/>
      </c>
    </row>
    <row r="1514" ht="15" customHeight="1" s="146">
      <c r="Y1514" s="122">
        <f>MAX(0,IFERROR((LEN($T1515)-LEN(SUBSTITUTE($T1515,"Quality of Works / Criteria of Failings:","")))/LEN("Quality of Works / Criteria of Failings:"),0)-IFERROR((LEN($T1515)-LEN(SUBSTITUTE($T1515,"Quality of Works / Criteria of Failings:Compliant","")))/LEN("Quality of Works / Criteria of Failings:Compliant"),0))</f>
        <v/>
      </c>
      <c r="Z1514" s="122">
        <f>IFERROR($Y1515/MAX(1,(LEN($I1515)-LEN(SUBSTITUTE($I1515," Ltd","")))/LEN(" Ltd")),0)</f>
        <v/>
      </c>
      <c r="AA1514" s="122">
        <f>IFERROR(IFERROR((LEN($T1515)-LEN(SUBSTITUTE($T1515,"Quality of Works / Criteria of Failings:","")))/LEN("Quality of Works / Criteria of Failings:"),0)/MAX(1,(LEN($I1515)-LEN(SUBSTITUTE($I1515," Ltd","")))/LEN(" Ltd")),0)</f>
        <v/>
      </c>
      <c r="AB1514" s="122">
        <f>IFERROR(IFERROR((LEN($T1515)-LEN(SUBSTITUTE($T1515,"Quality of Works / Criteria of Failings:Compliant","")))/LEN("Quality of Works / Criteria of Failings:Compliant"),0)/MAX(1,(LEN($I1515)-LEN(SUBSTITUTE($I1515," Ltd","")))/LEN(" Ltd")),0)</f>
        <v/>
      </c>
    </row>
    <row r="1515" ht="15" customHeight="1" s="146">
      <c r="Y1515" s="122">
        <f>MAX(0,IFERROR((LEN($T1516)-LEN(SUBSTITUTE($T1516,"Quality of Works / Criteria of Failings:","")))/LEN("Quality of Works / Criteria of Failings:"),0)-IFERROR((LEN($T1516)-LEN(SUBSTITUTE($T1516,"Quality of Works / Criteria of Failings:Compliant","")))/LEN("Quality of Works / Criteria of Failings:Compliant"),0))</f>
        <v/>
      </c>
      <c r="Z1515" s="122">
        <f>IFERROR($Y1516/MAX(1,(LEN($I1516)-LEN(SUBSTITUTE($I1516," Ltd","")))/LEN(" Ltd")),0)</f>
        <v/>
      </c>
      <c r="AA1515" s="122">
        <f>IFERROR(IFERROR((LEN($T1516)-LEN(SUBSTITUTE($T1516,"Quality of Works / Criteria of Failings:","")))/LEN("Quality of Works / Criteria of Failings:"),0)/MAX(1,(LEN($I1516)-LEN(SUBSTITUTE($I1516," Ltd","")))/LEN(" Ltd")),0)</f>
        <v/>
      </c>
      <c r="AB1515" s="122">
        <f>IFERROR(IFERROR((LEN($T1516)-LEN(SUBSTITUTE($T1516,"Quality of Works / Criteria of Failings:Compliant","")))/LEN("Quality of Works / Criteria of Failings:Compliant"),0)/MAX(1,(LEN($I1516)-LEN(SUBSTITUTE($I1516," Ltd","")))/LEN(" Ltd")),0)</f>
        <v/>
      </c>
    </row>
    <row r="1516" ht="15" customHeight="1" s="146">
      <c r="Y1516" s="122">
        <f>MAX(0,IFERROR((LEN($T1517)-LEN(SUBSTITUTE($T1517,"Quality of Works / Criteria of Failings:","")))/LEN("Quality of Works / Criteria of Failings:"),0)-IFERROR((LEN($T1517)-LEN(SUBSTITUTE($T1517,"Quality of Works / Criteria of Failings:Compliant","")))/LEN("Quality of Works / Criteria of Failings:Compliant"),0))</f>
        <v/>
      </c>
      <c r="Z1516" s="122">
        <f>IFERROR($Y1517/MAX(1,(LEN($I1517)-LEN(SUBSTITUTE($I1517," Ltd","")))/LEN(" Ltd")),0)</f>
        <v/>
      </c>
      <c r="AA1516" s="122">
        <f>IFERROR(IFERROR((LEN($T1517)-LEN(SUBSTITUTE($T1517,"Quality of Works / Criteria of Failings:","")))/LEN("Quality of Works / Criteria of Failings:"),0)/MAX(1,(LEN($I1517)-LEN(SUBSTITUTE($I1517," Ltd","")))/LEN(" Ltd")),0)</f>
        <v/>
      </c>
      <c r="AB1516" s="122">
        <f>IFERROR(IFERROR((LEN($T1517)-LEN(SUBSTITUTE($T1517,"Quality of Works / Criteria of Failings:Compliant","")))/LEN("Quality of Works / Criteria of Failings:Compliant"),0)/MAX(1,(LEN($I1517)-LEN(SUBSTITUTE($I1517," Ltd","")))/LEN(" Ltd")),0)</f>
        <v/>
      </c>
    </row>
    <row r="1517" ht="15" customHeight="1" s="146">
      <c r="Y1517" s="122">
        <f>MAX(0,IFERROR((LEN($T1518)-LEN(SUBSTITUTE($T1518,"Quality of Works / Criteria of Failings:","")))/LEN("Quality of Works / Criteria of Failings:"),0)-IFERROR((LEN($T1518)-LEN(SUBSTITUTE($T1518,"Quality of Works / Criteria of Failings:Compliant","")))/LEN("Quality of Works / Criteria of Failings:Compliant"),0))</f>
        <v/>
      </c>
      <c r="Z1517" s="122">
        <f>IFERROR($Y1518/MAX(1,(LEN($I1518)-LEN(SUBSTITUTE($I1518," Ltd","")))/LEN(" Ltd")),0)</f>
        <v/>
      </c>
      <c r="AA1517" s="122">
        <f>IFERROR(IFERROR((LEN($T1518)-LEN(SUBSTITUTE($T1518,"Quality of Works / Criteria of Failings:","")))/LEN("Quality of Works / Criteria of Failings:"),0)/MAX(1,(LEN($I1518)-LEN(SUBSTITUTE($I1518," Ltd","")))/LEN(" Ltd")),0)</f>
        <v/>
      </c>
      <c r="AB1517" s="122">
        <f>IFERROR(IFERROR((LEN($T1518)-LEN(SUBSTITUTE($T1518,"Quality of Works / Criteria of Failings:Compliant","")))/LEN("Quality of Works / Criteria of Failings:Compliant"),0)/MAX(1,(LEN($I1518)-LEN(SUBSTITUTE($I1518," Ltd","")))/LEN(" Ltd")),0)</f>
        <v/>
      </c>
    </row>
    <row r="1518" ht="15" customHeight="1" s="146">
      <c r="Y1518" s="122">
        <f>MAX(0,IFERROR((LEN($T1519)-LEN(SUBSTITUTE($T1519,"Quality of Works / Criteria of Failings:","")))/LEN("Quality of Works / Criteria of Failings:"),0)-IFERROR((LEN($T1519)-LEN(SUBSTITUTE($T1519,"Quality of Works / Criteria of Failings:Compliant","")))/LEN("Quality of Works / Criteria of Failings:Compliant"),0))</f>
        <v/>
      </c>
      <c r="Z1518" s="122">
        <f>IFERROR($Y1519/MAX(1,(LEN($I1519)-LEN(SUBSTITUTE($I1519," Ltd","")))/LEN(" Ltd")),0)</f>
        <v/>
      </c>
      <c r="AA1518" s="122">
        <f>IFERROR(IFERROR((LEN($T1519)-LEN(SUBSTITUTE($T1519,"Quality of Works / Criteria of Failings:","")))/LEN("Quality of Works / Criteria of Failings:"),0)/MAX(1,(LEN($I1519)-LEN(SUBSTITUTE($I1519," Ltd","")))/LEN(" Ltd")),0)</f>
        <v/>
      </c>
      <c r="AB1518" s="122">
        <f>IFERROR(IFERROR((LEN($T1519)-LEN(SUBSTITUTE($T1519,"Quality of Works / Criteria of Failings:Compliant","")))/LEN("Quality of Works / Criteria of Failings:Compliant"),0)/MAX(1,(LEN($I1519)-LEN(SUBSTITUTE($I1519," Ltd","")))/LEN(" Ltd")),0)</f>
        <v/>
      </c>
    </row>
    <row r="1519" ht="15" customHeight="1" s="146">
      <c r="Y1519" s="122">
        <f>MAX(0,IFERROR((LEN($T1520)-LEN(SUBSTITUTE($T1520,"Quality of Works / Criteria of Failings:","")))/LEN("Quality of Works / Criteria of Failings:"),0)-IFERROR((LEN($T1520)-LEN(SUBSTITUTE($T1520,"Quality of Works / Criteria of Failings:Compliant","")))/LEN("Quality of Works / Criteria of Failings:Compliant"),0))</f>
        <v/>
      </c>
      <c r="Z1519" s="122">
        <f>IFERROR($Y1520/MAX(1,(LEN($I1520)-LEN(SUBSTITUTE($I1520," Ltd","")))/LEN(" Ltd")),0)</f>
        <v/>
      </c>
      <c r="AA1519" s="122">
        <f>IFERROR(IFERROR((LEN($T1520)-LEN(SUBSTITUTE($T1520,"Quality of Works / Criteria of Failings:","")))/LEN("Quality of Works / Criteria of Failings:"),0)/MAX(1,(LEN($I1520)-LEN(SUBSTITUTE($I1520," Ltd","")))/LEN(" Ltd")),0)</f>
        <v/>
      </c>
      <c r="AB1519" s="122">
        <f>IFERROR(IFERROR((LEN($T1520)-LEN(SUBSTITUTE($T1520,"Quality of Works / Criteria of Failings:Compliant","")))/LEN("Quality of Works / Criteria of Failings:Compliant"),0)/MAX(1,(LEN($I1520)-LEN(SUBSTITUTE($I1520," Ltd","")))/LEN(" Ltd")),0)</f>
        <v/>
      </c>
    </row>
    <row r="1520" ht="15" customHeight="1" s="146">
      <c r="Y1520" s="122">
        <f>MAX(0,IFERROR((LEN($T1521)-LEN(SUBSTITUTE($T1521,"Quality of Works / Criteria of Failings:","")))/LEN("Quality of Works / Criteria of Failings:"),0)-IFERROR((LEN($T1521)-LEN(SUBSTITUTE($T1521,"Quality of Works / Criteria of Failings:Compliant","")))/LEN("Quality of Works / Criteria of Failings:Compliant"),0))</f>
        <v/>
      </c>
      <c r="Z1520" s="122">
        <f>IFERROR($Y1521/MAX(1,(LEN($I1521)-LEN(SUBSTITUTE($I1521," Ltd","")))/LEN(" Ltd")),0)</f>
        <v/>
      </c>
      <c r="AA1520" s="122">
        <f>IFERROR(IFERROR((LEN($T1521)-LEN(SUBSTITUTE($T1521,"Quality of Works / Criteria of Failings:","")))/LEN("Quality of Works / Criteria of Failings:"),0)/MAX(1,(LEN($I1521)-LEN(SUBSTITUTE($I1521," Ltd","")))/LEN(" Ltd")),0)</f>
        <v/>
      </c>
      <c r="AB1520" s="122">
        <f>IFERROR(IFERROR((LEN($T1521)-LEN(SUBSTITUTE($T1521,"Quality of Works / Criteria of Failings:Compliant","")))/LEN("Quality of Works / Criteria of Failings:Compliant"),0)/MAX(1,(LEN($I1521)-LEN(SUBSTITUTE($I1521," Ltd","")))/LEN(" Ltd")),0)</f>
        <v/>
      </c>
    </row>
    <row r="1521" ht="15" customHeight="1" s="146">
      <c r="Y1521" s="122">
        <f>MAX(0,IFERROR((LEN($T1522)-LEN(SUBSTITUTE($T1522,"Quality of Works / Criteria of Failings:","")))/LEN("Quality of Works / Criteria of Failings:"),0)-IFERROR((LEN($T1522)-LEN(SUBSTITUTE($T1522,"Quality of Works / Criteria of Failings:Compliant","")))/LEN("Quality of Works / Criteria of Failings:Compliant"),0))</f>
        <v/>
      </c>
      <c r="Z1521" s="122">
        <f>IFERROR($Y1522/MAX(1,(LEN($I1522)-LEN(SUBSTITUTE($I1522," Ltd","")))/LEN(" Ltd")),0)</f>
        <v/>
      </c>
      <c r="AA1521" s="122">
        <f>IFERROR(IFERROR((LEN($T1522)-LEN(SUBSTITUTE($T1522,"Quality of Works / Criteria of Failings:","")))/LEN("Quality of Works / Criteria of Failings:"),0)/MAX(1,(LEN($I1522)-LEN(SUBSTITUTE($I1522," Ltd","")))/LEN(" Ltd")),0)</f>
        <v/>
      </c>
      <c r="AB1521" s="122">
        <f>IFERROR(IFERROR((LEN($T1522)-LEN(SUBSTITUTE($T1522,"Quality of Works / Criteria of Failings:Compliant","")))/LEN("Quality of Works / Criteria of Failings:Compliant"),0)/MAX(1,(LEN($I1522)-LEN(SUBSTITUTE($I1522," Ltd","")))/LEN(" Ltd")),0)</f>
        <v/>
      </c>
    </row>
    <row r="1522" ht="15" customHeight="1" s="146">
      <c r="Y1522" s="122">
        <f>MAX(0,IFERROR((LEN($T1523)-LEN(SUBSTITUTE($T1523,"Quality of Works / Criteria of Failings:","")))/LEN("Quality of Works / Criteria of Failings:"),0)-IFERROR((LEN($T1523)-LEN(SUBSTITUTE($T1523,"Quality of Works / Criteria of Failings:Compliant","")))/LEN("Quality of Works / Criteria of Failings:Compliant"),0))</f>
        <v/>
      </c>
      <c r="Z1522" s="122">
        <f>IFERROR($Y1523/MAX(1,(LEN($I1523)-LEN(SUBSTITUTE($I1523," Ltd","")))/LEN(" Ltd")),0)</f>
        <v/>
      </c>
      <c r="AA1522" s="122">
        <f>IFERROR(IFERROR((LEN($T1523)-LEN(SUBSTITUTE($T1523,"Quality of Works / Criteria of Failings:","")))/LEN("Quality of Works / Criteria of Failings:"),0)/MAX(1,(LEN($I1523)-LEN(SUBSTITUTE($I1523," Ltd","")))/LEN(" Ltd")),0)</f>
        <v/>
      </c>
      <c r="AB1522" s="122">
        <f>IFERROR(IFERROR((LEN($T1523)-LEN(SUBSTITUTE($T1523,"Quality of Works / Criteria of Failings:Compliant","")))/LEN("Quality of Works / Criteria of Failings:Compliant"),0)/MAX(1,(LEN($I1523)-LEN(SUBSTITUTE($I1523," Ltd","")))/LEN(" Ltd")),0)</f>
        <v/>
      </c>
    </row>
    <row r="1523" ht="15" customHeight="1" s="146">
      <c r="Y1523" s="122">
        <f>MAX(0,IFERROR((LEN($T1524)-LEN(SUBSTITUTE($T1524,"Quality of Works / Criteria of Failings:","")))/LEN("Quality of Works / Criteria of Failings:"),0)-IFERROR((LEN($T1524)-LEN(SUBSTITUTE($T1524,"Quality of Works / Criteria of Failings:Compliant","")))/LEN("Quality of Works / Criteria of Failings:Compliant"),0))</f>
        <v/>
      </c>
      <c r="Z1523" s="122">
        <f>IFERROR($Y1524/MAX(1,(LEN($I1524)-LEN(SUBSTITUTE($I1524," Ltd","")))/LEN(" Ltd")),0)</f>
        <v/>
      </c>
      <c r="AA1523" s="122">
        <f>IFERROR(IFERROR((LEN($T1524)-LEN(SUBSTITUTE($T1524,"Quality of Works / Criteria of Failings:","")))/LEN("Quality of Works / Criteria of Failings:"),0)/MAX(1,(LEN($I1524)-LEN(SUBSTITUTE($I1524," Ltd","")))/LEN(" Ltd")),0)</f>
        <v/>
      </c>
      <c r="AB1523" s="122">
        <f>IFERROR(IFERROR((LEN($T1524)-LEN(SUBSTITUTE($T1524,"Quality of Works / Criteria of Failings:Compliant","")))/LEN("Quality of Works / Criteria of Failings:Compliant"),0)/MAX(1,(LEN($I1524)-LEN(SUBSTITUTE($I1524," Ltd","")))/LEN(" Ltd")),0)</f>
        <v/>
      </c>
    </row>
    <row r="1524" ht="15" customHeight="1" s="146">
      <c r="Y1524" s="122">
        <f>MAX(0,IFERROR((LEN($T1525)-LEN(SUBSTITUTE($T1525,"Quality of Works / Criteria of Failings:","")))/LEN("Quality of Works / Criteria of Failings:"),0)-IFERROR((LEN($T1525)-LEN(SUBSTITUTE($T1525,"Quality of Works / Criteria of Failings:Compliant","")))/LEN("Quality of Works / Criteria of Failings:Compliant"),0))</f>
        <v/>
      </c>
      <c r="Z1524" s="122">
        <f>IFERROR($Y1525/MAX(1,(LEN($I1525)-LEN(SUBSTITUTE($I1525," Ltd","")))/LEN(" Ltd")),0)</f>
        <v/>
      </c>
      <c r="AA1524" s="122">
        <f>IFERROR(IFERROR((LEN($T1525)-LEN(SUBSTITUTE($T1525,"Quality of Works / Criteria of Failings:","")))/LEN("Quality of Works / Criteria of Failings:"),0)/MAX(1,(LEN($I1525)-LEN(SUBSTITUTE($I1525," Ltd","")))/LEN(" Ltd")),0)</f>
        <v/>
      </c>
      <c r="AB1524" s="122">
        <f>IFERROR(IFERROR((LEN($T1525)-LEN(SUBSTITUTE($T1525,"Quality of Works / Criteria of Failings:Compliant","")))/LEN("Quality of Works / Criteria of Failings:Compliant"),0)/MAX(1,(LEN($I1525)-LEN(SUBSTITUTE($I1525," Ltd","")))/LEN(" Ltd")),0)</f>
        <v/>
      </c>
    </row>
    <row r="1525" ht="15" customHeight="1" s="146">
      <c r="Y1525" s="122">
        <f>MAX(0,IFERROR((LEN($T1526)-LEN(SUBSTITUTE($T1526,"Quality of Works / Criteria of Failings:","")))/LEN("Quality of Works / Criteria of Failings:"),0)-IFERROR((LEN($T1526)-LEN(SUBSTITUTE($T1526,"Quality of Works / Criteria of Failings:Compliant","")))/LEN("Quality of Works / Criteria of Failings:Compliant"),0))</f>
        <v/>
      </c>
      <c r="Z1525" s="122">
        <f>IFERROR($Y1526/MAX(1,(LEN($I1526)-LEN(SUBSTITUTE($I1526," Ltd","")))/LEN(" Ltd")),0)</f>
        <v/>
      </c>
      <c r="AA1525" s="122">
        <f>IFERROR(IFERROR((LEN($T1526)-LEN(SUBSTITUTE($T1526,"Quality of Works / Criteria of Failings:","")))/LEN("Quality of Works / Criteria of Failings:"),0)/MAX(1,(LEN($I1526)-LEN(SUBSTITUTE($I1526," Ltd","")))/LEN(" Ltd")),0)</f>
        <v/>
      </c>
      <c r="AB1525" s="122">
        <f>IFERROR(IFERROR((LEN($T1526)-LEN(SUBSTITUTE($T1526,"Quality of Works / Criteria of Failings:Compliant","")))/LEN("Quality of Works / Criteria of Failings:Compliant"),0)/MAX(1,(LEN($I1526)-LEN(SUBSTITUTE($I1526," Ltd","")))/LEN(" Ltd")),0)</f>
        <v/>
      </c>
    </row>
    <row r="1526" ht="15" customHeight="1" s="146">
      <c r="Y1526" s="122">
        <f>MAX(0,IFERROR((LEN($T1527)-LEN(SUBSTITUTE($T1527,"Quality of Works / Criteria of Failings:","")))/LEN("Quality of Works / Criteria of Failings:"),0)-IFERROR((LEN($T1527)-LEN(SUBSTITUTE($T1527,"Quality of Works / Criteria of Failings:Compliant","")))/LEN("Quality of Works / Criteria of Failings:Compliant"),0))</f>
        <v/>
      </c>
      <c r="Z1526" s="122">
        <f>IFERROR($Y1527/MAX(1,(LEN($I1527)-LEN(SUBSTITUTE($I1527," Ltd","")))/LEN(" Ltd")),0)</f>
        <v/>
      </c>
      <c r="AA1526" s="122">
        <f>IFERROR(IFERROR((LEN($T1527)-LEN(SUBSTITUTE($T1527,"Quality of Works / Criteria of Failings:","")))/LEN("Quality of Works / Criteria of Failings:"),0)/MAX(1,(LEN($I1527)-LEN(SUBSTITUTE($I1527," Ltd","")))/LEN(" Ltd")),0)</f>
        <v/>
      </c>
      <c r="AB1526" s="122">
        <f>IFERROR(IFERROR((LEN($T1527)-LEN(SUBSTITUTE($T1527,"Quality of Works / Criteria of Failings:Compliant","")))/LEN("Quality of Works / Criteria of Failings:Compliant"),0)/MAX(1,(LEN($I1527)-LEN(SUBSTITUTE($I1527," Ltd","")))/LEN(" Ltd")),0)</f>
        <v/>
      </c>
    </row>
    <row r="1527" ht="15" customHeight="1" s="146">
      <c r="Y1527" s="122">
        <f>MAX(0,IFERROR((LEN($T1528)-LEN(SUBSTITUTE($T1528,"Quality of Works / Criteria of Failings:","")))/LEN("Quality of Works / Criteria of Failings:"),0)-IFERROR((LEN($T1528)-LEN(SUBSTITUTE($T1528,"Quality of Works / Criteria of Failings:Compliant","")))/LEN("Quality of Works / Criteria of Failings:Compliant"),0))</f>
        <v/>
      </c>
      <c r="Z1527" s="122">
        <f>IFERROR($Y1528/MAX(1,(LEN($I1528)-LEN(SUBSTITUTE($I1528," Ltd","")))/LEN(" Ltd")),0)</f>
        <v/>
      </c>
      <c r="AA1527" s="122">
        <f>IFERROR(IFERROR((LEN($T1528)-LEN(SUBSTITUTE($T1528,"Quality of Works / Criteria of Failings:","")))/LEN("Quality of Works / Criteria of Failings:"),0)/MAX(1,(LEN($I1528)-LEN(SUBSTITUTE($I1528," Ltd","")))/LEN(" Ltd")),0)</f>
        <v/>
      </c>
      <c r="AB1527" s="122">
        <f>IFERROR(IFERROR((LEN($T1528)-LEN(SUBSTITUTE($T1528,"Quality of Works / Criteria of Failings:Compliant","")))/LEN("Quality of Works / Criteria of Failings:Compliant"),0)/MAX(1,(LEN($I1528)-LEN(SUBSTITUTE($I1528," Ltd","")))/LEN(" Ltd")),0)</f>
        <v/>
      </c>
    </row>
    <row r="1528" ht="15" customHeight="1" s="146">
      <c r="Y1528" s="122">
        <f>MAX(0,IFERROR((LEN($T1529)-LEN(SUBSTITUTE($T1529,"Quality of Works / Criteria of Failings:","")))/LEN("Quality of Works / Criteria of Failings:"),0)-IFERROR((LEN($T1529)-LEN(SUBSTITUTE($T1529,"Quality of Works / Criteria of Failings:Compliant","")))/LEN("Quality of Works / Criteria of Failings:Compliant"),0))</f>
        <v/>
      </c>
      <c r="Z1528" s="122">
        <f>IFERROR($Y1529/MAX(1,(LEN($I1529)-LEN(SUBSTITUTE($I1529," Ltd","")))/LEN(" Ltd")),0)</f>
        <v/>
      </c>
      <c r="AA1528" s="122">
        <f>IFERROR(IFERROR((LEN($T1529)-LEN(SUBSTITUTE($T1529,"Quality of Works / Criteria of Failings:","")))/LEN("Quality of Works / Criteria of Failings:"),0)/MAX(1,(LEN($I1529)-LEN(SUBSTITUTE($I1529," Ltd","")))/LEN(" Ltd")),0)</f>
        <v/>
      </c>
      <c r="AB1528" s="122">
        <f>IFERROR(IFERROR((LEN($T1529)-LEN(SUBSTITUTE($T1529,"Quality of Works / Criteria of Failings:Compliant","")))/LEN("Quality of Works / Criteria of Failings:Compliant"),0)/MAX(1,(LEN($I1529)-LEN(SUBSTITUTE($I1529," Ltd","")))/LEN(" Ltd")),0)</f>
        <v/>
      </c>
    </row>
    <row r="1529" ht="15" customHeight="1" s="146">
      <c r="Y1529" s="122">
        <f>MAX(0,IFERROR((LEN($T1530)-LEN(SUBSTITUTE($T1530,"Quality of Works / Criteria of Failings:","")))/LEN("Quality of Works / Criteria of Failings:"),0)-IFERROR((LEN($T1530)-LEN(SUBSTITUTE($T1530,"Quality of Works / Criteria of Failings:Compliant","")))/LEN("Quality of Works / Criteria of Failings:Compliant"),0))</f>
        <v/>
      </c>
      <c r="Z1529" s="122">
        <f>IFERROR($Y1530/MAX(1,(LEN($I1530)-LEN(SUBSTITUTE($I1530," Ltd","")))/LEN(" Ltd")),0)</f>
        <v/>
      </c>
      <c r="AA1529" s="122">
        <f>IFERROR(IFERROR((LEN($T1530)-LEN(SUBSTITUTE($T1530,"Quality of Works / Criteria of Failings:","")))/LEN("Quality of Works / Criteria of Failings:"),0)/MAX(1,(LEN($I1530)-LEN(SUBSTITUTE($I1530," Ltd","")))/LEN(" Ltd")),0)</f>
        <v/>
      </c>
      <c r="AB1529" s="122">
        <f>IFERROR(IFERROR((LEN($T1530)-LEN(SUBSTITUTE($T1530,"Quality of Works / Criteria of Failings:Compliant","")))/LEN("Quality of Works / Criteria of Failings:Compliant"),0)/MAX(1,(LEN($I1530)-LEN(SUBSTITUTE($I1530," Ltd","")))/LEN(" Ltd")),0)</f>
        <v/>
      </c>
    </row>
    <row r="1530" ht="15" customHeight="1" s="146">
      <c r="Y1530" s="122">
        <f>MAX(0,IFERROR((LEN($T1531)-LEN(SUBSTITUTE($T1531,"Quality of Works / Criteria of Failings:","")))/LEN("Quality of Works / Criteria of Failings:"),0)-IFERROR((LEN($T1531)-LEN(SUBSTITUTE($T1531,"Quality of Works / Criteria of Failings:Compliant","")))/LEN("Quality of Works / Criteria of Failings:Compliant"),0))</f>
        <v/>
      </c>
      <c r="Z1530" s="122">
        <f>IFERROR($Y1531/MAX(1,(LEN($I1531)-LEN(SUBSTITUTE($I1531," Ltd","")))/LEN(" Ltd")),0)</f>
        <v/>
      </c>
      <c r="AA1530" s="122">
        <f>IFERROR(IFERROR((LEN($T1531)-LEN(SUBSTITUTE($T1531,"Quality of Works / Criteria of Failings:","")))/LEN("Quality of Works / Criteria of Failings:"),0)/MAX(1,(LEN($I1531)-LEN(SUBSTITUTE($I1531," Ltd","")))/LEN(" Ltd")),0)</f>
        <v/>
      </c>
      <c r="AB1530" s="122">
        <f>IFERROR(IFERROR((LEN($T1531)-LEN(SUBSTITUTE($T1531,"Quality of Works / Criteria of Failings:Compliant","")))/LEN("Quality of Works / Criteria of Failings:Compliant"),0)/MAX(1,(LEN($I1531)-LEN(SUBSTITUTE($I1531," Ltd","")))/LEN(" Ltd")),0)</f>
        <v/>
      </c>
    </row>
    <row r="1531" ht="15" customHeight="1" s="146">
      <c r="Y1531" s="122">
        <f>MAX(0,IFERROR((LEN($T1532)-LEN(SUBSTITUTE($T1532,"Quality of Works / Criteria of Failings:","")))/LEN("Quality of Works / Criteria of Failings:"),0)-IFERROR((LEN($T1532)-LEN(SUBSTITUTE($T1532,"Quality of Works / Criteria of Failings:Compliant","")))/LEN("Quality of Works / Criteria of Failings:Compliant"),0))</f>
        <v/>
      </c>
      <c r="Z1531" s="122">
        <f>IFERROR($Y1532/MAX(1,(LEN($I1532)-LEN(SUBSTITUTE($I1532," Ltd","")))/LEN(" Ltd")),0)</f>
        <v/>
      </c>
      <c r="AA1531" s="122">
        <f>IFERROR(IFERROR((LEN($T1532)-LEN(SUBSTITUTE($T1532,"Quality of Works / Criteria of Failings:","")))/LEN("Quality of Works / Criteria of Failings:"),0)/MAX(1,(LEN($I1532)-LEN(SUBSTITUTE($I1532," Ltd","")))/LEN(" Ltd")),0)</f>
        <v/>
      </c>
      <c r="AB1531" s="122">
        <f>IFERROR(IFERROR((LEN($T1532)-LEN(SUBSTITUTE($T1532,"Quality of Works / Criteria of Failings:Compliant","")))/LEN("Quality of Works / Criteria of Failings:Compliant"),0)/MAX(1,(LEN($I1532)-LEN(SUBSTITUTE($I1532," Ltd","")))/LEN(" Ltd")),0)</f>
        <v/>
      </c>
    </row>
    <row r="1532" ht="15" customHeight="1" s="146">
      <c r="Y1532" s="122">
        <f>MAX(0,IFERROR((LEN($T1533)-LEN(SUBSTITUTE($T1533,"Quality of Works / Criteria of Failings:","")))/LEN("Quality of Works / Criteria of Failings:"),0)-IFERROR((LEN($T1533)-LEN(SUBSTITUTE($T1533,"Quality of Works / Criteria of Failings:Compliant","")))/LEN("Quality of Works / Criteria of Failings:Compliant"),0))</f>
        <v/>
      </c>
      <c r="Z1532" s="122">
        <f>IFERROR($Y1533/MAX(1,(LEN($I1533)-LEN(SUBSTITUTE($I1533," Ltd","")))/LEN(" Ltd")),0)</f>
        <v/>
      </c>
      <c r="AA1532" s="122">
        <f>IFERROR(IFERROR((LEN($T1533)-LEN(SUBSTITUTE($T1533,"Quality of Works / Criteria of Failings:","")))/LEN("Quality of Works / Criteria of Failings:"),0)/MAX(1,(LEN($I1533)-LEN(SUBSTITUTE($I1533," Ltd","")))/LEN(" Ltd")),0)</f>
        <v/>
      </c>
      <c r="AB1532" s="122">
        <f>IFERROR(IFERROR((LEN($T1533)-LEN(SUBSTITUTE($T1533,"Quality of Works / Criteria of Failings:Compliant","")))/LEN("Quality of Works / Criteria of Failings:Compliant"),0)/MAX(1,(LEN($I1533)-LEN(SUBSTITUTE($I1533," Ltd","")))/LEN(" Ltd")),0)</f>
        <v/>
      </c>
    </row>
    <row r="1533" ht="15" customHeight="1" s="146">
      <c r="Y1533" s="122">
        <f>MAX(0,IFERROR((LEN($T1534)-LEN(SUBSTITUTE($T1534,"Quality of Works / Criteria of Failings:","")))/LEN("Quality of Works / Criteria of Failings:"),0)-IFERROR((LEN($T1534)-LEN(SUBSTITUTE($T1534,"Quality of Works / Criteria of Failings:Compliant","")))/LEN("Quality of Works / Criteria of Failings:Compliant"),0))</f>
        <v/>
      </c>
      <c r="Z1533" s="122">
        <f>IFERROR($Y1534/MAX(1,(LEN($I1534)-LEN(SUBSTITUTE($I1534," Ltd","")))/LEN(" Ltd")),0)</f>
        <v/>
      </c>
      <c r="AA1533" s="122">
        <f>IFERROR(IFERROR((LEN($T1534)-LEN(SUBSTITUTE($T1534,"Quality of Works / Criteria of Failings:","")))/LEN("Quality of Works / Criteria of Failings:"),0)/MAX(1,(LEN($I1534)-LEN(SUBSTITUTE($I1534," Ltd","")))/LEN(" Ltd")),0)</f>
        <v/>
      </c>
      <c r="AB1533" s="122">
        <f>IFERROR(IFERROR((LEN($T1534)-LEN(SUBSTITUTE($T1534,"Quality of Works / Criteria of Failings:Compliant","")))/LEN("Quality of Works / Criteria of Failings:Compliant"),0)/MAX(1,(LEN($I1534)-LEN(SUBSTITUTE($I1534," Ltd","")))/LEN(" Ltd")),0)</f>
        <v/>
      </c>
    </row>
    <row r="1534" ht="15" customHeight="1" s="146">
      <c r="Y1534" s="122">
        <f>MAX(0,IFERROR((LEN($T1535)-LEN(SUBSTITUTE($T1535,"Quality of Works / Criteria of Failings:","")))/LEN("Quality of Works / Criteria of Failings:"),0)-IFERROR((LEN($T1535)-LEN(SUBSTITUTE($T1535,"Quality of Works / Criteria of Failings:Compliant","")))/LEN("Quality of Works / Criteria of Failings:Compliant"),0))</f>
        <v/>
      </c>
      <c r="Z1534" s="122">
        <f>IFERROR($Y1535/MAX(1,(LEN($I1535)-LEN(SUBSTITUTE($I1535," Ltd","")))/LEN(" Ltd")),0)</f>
        <v/>
      </c>
      <c r="AA1534" s="122">
        <f>IFERROR(IFERROR((LEN($T1535)-LEN(SUBSTITUTE($T1535,"Quality of Works / Criteria of Failings:","")))/LEN("Quality of Works / Criteria of Failings:"),0)/MAX(1,(LEN($I1535)-LEN(SUBSTITUTE($I1535," Ltd","")))/LEN(" Ltd")),0)</f>
        <v/>
      </c>
      <c r="AB1534" s="122">
        <f>IFERROR(IFERROR((LEN($T1535)-LEN(SUBSTITUTE($T1535,"Quality of Works / Criteria of Failings:Compliant","")))/LEN("Quality of Works / Criteria of Failings:Compliant"),0)/MAX(1,(LEN($I1535)-LEN(SUBSTITUTE($I1535," Ltd","")))/LEN(" Ltd")),0)</f>
        <v/>
      </c>
    </row>
    <row r="1535" ht="15" customHeight="1" s="146">
      <c r="Y1535" s="122">
        <f>MAX(0,IFERROR((LEN($T1536)-LEN(SUBSTITUTE($T1536,"Quality of Works / Criteria of Failings:","")))/LEN("Quality of Works / Criteria of Failings:"),0)-IFERROR((LEN($T1536)-LEN(SUBSTITUTE($T1536,"Quality of Works / Criteria of Failings:Compliant","")))/LEN("Quality of Works / Criteria of Failings:Compliant"),0))</f>
        <v/>
      </c>
      <c r="Z1535" s="122">
        <f>IFERROR($Y1536/MAX(1,(LEN($I1536)-LEN(SUBSTITUTE($I1536," Ltd","")))/LEN(" Ltd")),0)</f>
        <v/>
      </c>
      <c r="AA1535" s="122">
        <f>IFERROR(IFERROR((LEN($T1536)-LEN(SUBSTITUTE($T1536,"Quality of Works / Criteria of Failings:","")))/LEN("Quality of Works / Criteria of Failings:"),0)/MAX(1,(LEN($I1536)-LEN(SUBSTITUTE($I1536," Ltd","")))/LEN(" Ltd")),0)</f>
        <v/>
      </c>
      <c r="AB1535" s="122">
        <f>IFERROR(IFERROR((LEN($T1536)-LEN(SUBSTITUTE($T1536,"Quality of Works / Criteria of Failings:Compliant","")))/LEN("Quality of Works / Criteria of Failings:Compliant"),0)/MAX(1,(LEN($I1536)-LEN(SUBSTITUTE($I1536," Ltd","")))/LEN(" Ltd")),0)</f>
        <v/>
      </c>
    </row>
    <row r="1536" ht="15" customHeight="1" s="146">
      <c r="Y1536" s="122">
        <f>MAX(0,IFERROR((LEN($T1537)-LEN(SUBSTITUTE($T1537,"Quality of Works / Criteria of Failings:","")))/LEN("Quality of Works / Criteria of Failings:"),0)-IFERROR((LEN($T1537)-LEN(SUBSTITUTE($T1537,"Quality of Works / Criteria of Failings:Compliant","")))/LEN("Quality of Works / Criteria of Failings:Compliant"),0))</f>
        <v/>
      </c>
      <c r="Z1536" s="122">
        <f>IFERROR($Y1537/MAX(1,(LEN($I1537)-LEN(SUBSTITUTE($I1537," Ltd","")))/LEN(" Ltd")),0)</f>
        <v/>
      </c>
      <c r="AA1536" s="122">
        <f>IFERROR(IFERROR((LEN($T1537)-LEN(SUBSTITUTE($T1537,"Quality of Works / Criteria of Failings:","")))/LEN("Quality of Works / Criteria of Failings:"),0)/MAX(1,(LEN($I1537)-LEN(SUBSTITUTE($I1537," Ltd","")))/LEN(" Ltd")),0)</f>
        <v/>
      </c>
      <c r="AB1536" s="122">
        <f>IFERROR(IFERROR((LEN($T1537)-LEN(SUBSTITUTE($T1537,"Quality of Works / Criteria of Failings:Compliant","")))/LEN("Quality of Works / Criteria of Failings:Compliant"),0)/MAX(1,(LEN($I1537)-LEN(SUBSTITUTE($I1537," Ltd","")))/LEN(" Ltd")),0)</f>
        <v/>
      </c>
    </row>
    <row r="1537" ht="15" customHeight="1" s="146">
      <c r="Y1537" s="122">
        <f>MAX(0,IFERROR((LEN($T1538)-LEN(SUBSTITUTE($T1538,"Quality of Works / Criteria of Failings:","")))/LEN("Quality of Works / Criteria of Failings:"),0)-IFERROR((LEN($T1538)-LEN(SUBSTITUTE($T1538,"Quality of Works / Criteria of Failings:Compliant","")))/LEN("Quality of Works / Criteria of Failings:Compliant"),0))</f>
        <v/>
      </c>
      <c r="Z1537" s="122">
        <f>IFERROR($Y1538/MAX(1,(LEN($I1538)-LEN(SUBSTITUTE($I1538," Ltd","")))/LEN(" Ltd")),0)</f>
        <v/>
      </c>
      <c r="AA1537" s="122">
        <f>IFERROR(IFERROR((LEN($T1538)-LEN(SUBSTITUTE($T1538,"Quality of Works / Criteria of Failings:","")))/LEN("Quality of Works / Criteria of Failings:"),0)/MAX(1,(LEN($I1538)-LEN(SUBSTITUTE($I1538," Ltd","")))/LEN(" Ltd")),0)</f>
        <v/>
      </c>
      <c r="AB1537" s="122">
        <f>IFERROR(IFERROR((LEN($T1538)-LEN(SUBSTITUTE($T1538,"Quality of Works / Criteria of Failings:Compliant","")))/LEN("Quality of Works / Criteria of Failings:Compliant"),0)/MAX(1,(LEN($I1538)-LEN(SUBSTITUTE($I1538," Ltd","")))/LEN(" Ltd")),0)</f>
        <v/>
      </c>
    </row>
    <row r="1538" ht="15" customHeight="1" s="146">
      <c r="Y1538" s="122">
        <f>MAX(0,IFERROR((LEN($T1539)-LEN(SUBSTITUTE($T1539,"Quality of Works / Criteria of Failings:","")))/LEN("Quality of Works / Criteria of Failings:"),0)-IFERROR((LEN($T1539)-LEN(SUBSTITUTE($T1539,"Quality of Works / Criteria of Failings:Compliant","")))/LEN("Quality of Works / Criteria of Failings:Compliant"),0))</f>
        <v/>
      </c>
      <c r="Z1538" s="122">
        <f>IFERROR($Y1539/MAX(1,(LEN($I1539)-LEN(SUBSTITUTE($I1539," Ltd","")))/LEN(" Ltd")),0)</f>
        <v/>
      </c>
      <c r="AA1538" s="122">
        <f>IFERROR(IFERROR((LEN($T1539)-LEN(SUBSTITUTE($T1539,"Quality of Works / Criteria of Failings:","")))/LEN("Quality of Works / Criteria of Failings:"),0)/MAX(1,(LEN($I1539)-LEN(SUBSTITUTE($I1539," Ltd","")))/LEN(" Ltd")),0)</f>
        <v/>
      </c>
      <c r="AB1538" s="122">
        <f>IFERROR(IFERROR((LEN($T1539)-LEN(SUBSTITUTE($T1539,"Quality of Works / Criteria of Failings:Compliant","")))/LEN("Quality of Works / Criteria of Failings:Compliant"),0)/MAX(1,(LEN($I1539)-LEN(SUBSTITUTE($I1539," Ltd","")))/LEN(" Ltd")),0)</f>
        <v/>
      </c>
    </row>
    <row r="1539" ht="15" customHeight="1" s="146">
      <c r="Y1539" s="122">
        <f>MAX(0,IFERROR((LEN($T1540)-LEN(SUBSTITUTE($T1540,"Quality of Works / Criteria of Failings:","")))/LEN("Quality of Works / Criteria of Failings:"),0)-IFERROR((LEN($T1540)-LEN(SUBSTITUTE($T1540,"Quality of Works / Criteria of Failings:Compliant","")))/LEN("Quality of Works / Criteria of Failings:Compliant"),0))</f>
        <v/>
      </c>
      <c r="Z1539" s="122">
        <f>IFERROR($Y1540/MAX(1,(LEN($I1540)-LEN(SUBSTITUTE($I1540," Ltd","")))/LEN(" Ltd")),0)</f>
        <v/>
      </c>
      <c r="AA1539" s="122">
        <f>IFERROR(IFERROR((LEN($T1540)-LEN(SUBSTITUTE($T1540,"Quality of Works / Criteria of Failings:","")))/LEN("Quality of Works / Criteria of Failings:"),0)/MAX(1,(LEN($I1540)-LEN(SUBSTITUTE($I1540," Ltd","")))/LEN(" Ltd")),0)</f>
        <v/>
      </c>
      <c r="AB1539" s="122">
        <f>IFERROR(IFERROR((LEN($T1540)-LEN(SUBSTITUTE($T1540,"Quality of Works / Criteria of Failings:Compliant","")))/LEN("Quality of Works / Criteria of Failings:Compliant"),0)/MAX(1,(LEN($I1540)-LEN(SUBSTITUTE($I1540," Ltd","")))/LEN(" Ltd")),0)</f>
        <v/>
      </c>
    </row>
    <row r="1540" ht="15" customHeight="1" s="146">
      <c r="Y1540" s="122">
        <f>MAX(0,IFERROR((LEN($T1541)-LEN(SUBSTITUTE($T1541,"Quality of Works / Criteria of Failings:","")))/LEN("Quality of Works / Criteria of Failings:"),0)-IFERROR((LEN($T1541)-LEN(SUBSTITUTE($T1541,"Quality of Works / Criteria of Failings:Compliant","")))/LEN("Quality of Works / Criteria of Failings:Compliant"),0))</f>
        <v/>
      </c>
      <c r="Z1540" s="122">
        <f>IFERROR($Y1541/MAX(1,(LEN($I1541)-LEN(SUBSTITUTE($I1541," Ltd","")))/LEN(" Ltd")),0)</f>
        <v/>
      </c>
      <c r="AA1540" s="122">
        <f>IFERROR(IFERROR((LEN($T1541)-LEN(SUBSTITUTE($T1541,"Quality of Works / Criteria of Failings:","")))/LEN("Quality of Works / Criteria of Failings:"),0)/MAX(1,(LEN($I1541)-LEN(SUBSTITUTE($I1541," Ltd","")))/LEN(" Ltd")),0)</f>
        <v/>
      </c>
      <c r="AB1540" s="122">
        <f>IFERROR(IFERROR((LEN($T1541)-LEN(SUBSTITUTE($T1541,"Quality of Works / Criteria of Failings:Compliant","")))/LEN("Quality of Works / Criteria of Failings:Compliant"),0)/MAX(1,(LEN($I1541)-LEN(SUBSTITUTE($I1541," Ltd","")))/LEN(" Ltd")),0)</f>
        <v/>
      </c>
    </row>
    <row r="1541" ht="15" customHeight="1" s="146">
      <c r="Y1541" s="122">
        <f>MAX(0,IFERROR((LEN($T1542)-LEN(SUBSTITUTE($T1542,"Quality of Works / Criteria of Failings:","")))/LEN("Quality of Works / Criteria of Failings:"),0)-IFERROR((LEN($T1542)-LEN(SUBSTITUTE($T1542,"Quality of Works / Criteria of Failings:Compliant","")))/LEN("Quality of Works / Criteria of Failings:Compliant"),0))</f>
        <v/>
      </c>
      <c r="Z1541" s="122">
        <f>IFERROR($Y1542/MAX(1,(LEN($I1542)-LEN(SUBSTITUTE($I1542," Ltd","")))/LEN(" Ltd")),0)</f>
        <v/>
      </c>
      <c r="AA1541" s="122">
        <f>IFERROR(IFERROR((LEN($T1542)-LEN(SUBSTITUTE($T1542,"Quality of Works / Criteria of Failings:","")))/LEN("Quality of Works / Criteria of Failings:"),0)/MAX(1,(LEN($I1542)-LEN(SUBSTITUTE($I1542," Ltd","")))/LEN(" Ltd")),0)</f>
        <v/>
      </c>
      <c r="AB1541" s="122">
        <f>IFERROR(IFERROR((LEN($T1542)-LEN(SUBSTITUTE($T1542,"Quality of Works / Criteria of Failings:Compliant","")))/LEN("Quality of Works / Criteria of Failings:Compliant"),0)/MAX(1,(LEN($I1542)-LEN(SUBSTITUTE($I1542," Ltd","")))/LEN(" Ltd")),0)</f>
        <v/>
      </c>
    </row>
    <row r="1542" ht="15" customHeight="1" s="146">
      <c r="Y1542" s="122">
        <f>MAX(0,IFERROR((LEN($T1543)-LEN(SUBSTITUTE($T1543,"Quality of Works / Criteria of Failings:","")))/LEN("Quality of Works / Criteria of Failings:"),0)-IFERROR((LEN($T1543)-LEN(SUBSTITUTE($T1543,"Quality of Works / Criteria of Failings:Compliant","")))/LEN("Quality of Works / Criteria of Failings:Compliant"),0))</f>
        <v/>
      </c>
      <c r="Z1542" s="122">
        <f>IFERROR($Y1543/MAX(1,(LEN($I1543)-LEN(SUBSTITUTE($I1543," Ltd","")))/LEN(" Ltd")),0)</f>
        <v/>
      </c>
      <c r="AA1542" s="122">
        <f>IFERROR(IFERROR((LEN($T1543)-LEN(SUBSTITUTE($T1543,"Quality of Works / Criteria of Failings:","")))/LEN("Quality of Works / Criteria of Failings:"),0)/MAX(1,(LEN($I1543)-LEN(SUBSTITUTE($I1543," Ltd","")))/LEN(" Ltd")),0)</f>
        <v/>
      </c>
      <c r="AB1542" s="122">
        <f>IFERROR(IFERROR((LEN($T1543)-LEN(SUBSTITUTE($T1543,"Quality of Works / Criteria of Failings:Compliant","")))/LEN("Quality of Works / Criteria of Failings:Compliant"),0)/MAX(1,(LEN($I1543)-LEN(SUBSTITUTE($I1543," Ltd","")))/LEN(" Ltd")),0)</f>
        <v/>
      </c>
    </row>
    <row r="1543" ht="15" customHeight="1" s="146">
      <c r="Y1543" s="122">
        <f>MAX(0,IFERROR((LEN($T1544)-LEN(SUBSTITUTE($T1544,"Quality of Works / Criteria of Failings:","")))/LEN("Quality of Works / Criteria of Failings:"),0)-IFERROR((LEN($T1544)-LEN(SUBSTITUTE($T1544,"Quality of Works / Criteria of Failings:Compliant","")))/LEN("Quality of Works / Criteria of Failings:Compliant"),0))</f>
        <v/>
      </c>
      <c r="Z1543" s="122">
        <f>IFERROR($Y1544/MAX(1,(LEN($I1544)-LEN(SUBSTITUTE($I1544," Ltd","")))/LEN(" Ltd")),0)</f>
        <v/>
      </c>
      <c r="AA1543" s="122">
        <f>IFERROR(IFERROR((LEN($T1544)-LEN(SUBSTITUTE($T1544,"Quality of Works / Criteria of Failings:","")))/LEN("Quality of Works / Criteria of Failings:"),0)/MAX(1,(LEN($I1544)-LEN(SUBSTITUTE($I1544," Ltd","")))/LEN(" Ltd")),0)</f>
        <v/>
      </c>
      <c r="AB1543" s="122">
        <f>IFERROR(IFERROR((LEN($T1544)-LEN(SUBSTITUTE($T1544,"Quality of Works / Criteria of Failings:Compliant","")))/LEN("Quality of Works / Criteria of Failings:Compliant"),0)/MAX(1,(LEN($I1544)-LEN(SUBSTITUTE($I1544," Ltd","")))/LEN(" Ltd")),0)</f>
        <v/>
      </c>
    </row>
    <row r="1544" ht="15" customHeight="1" s="146">
      <c r="Y1544" s="122">
        <f>MAX(0,IFERROR((LEN($T1545)-LEN(SUBSTITUTE($T1545,"Quality of Works / Criteria of Failings:","")))/LEN("Quality of Works / Criteria of Failings:"),0)-IFERROR((LEN($T1545)-LEN(SUBSTITUTE($T1545,"Quality of Works / Criteria of Failings:Compliant","")))/LEN("Quality of Works / Criteria of Failings:Compliant"),0))</f>
        <v/>
      </c>
      <c r="Z1544" s="122">
        <f>IFERROR($Y1545/MAX(1,(LEN($I1545)-LEN(SUBSTITUTE($I1545," Ltd","")))/LEN(" Ltd")),0)</f>
        <v/>
      </c>
      <c r="AA1544" s="122">
        <f>IFERROR(IFERROR((LEN($T1545)-LEN(SUBSTITUTE($T1545,"Quality of Works / Criteria of Failings:","")))/LEN("Quality of Works / Criteria of Failings:"),0)/MAX(1,(LEN($I1545)-LEN(SUBSTITUTE($I1545," Ltd","")))/LEN(" Ltd")),0)</f>
        <v/>
      </c>
      <c r="AB1544" s="122">
        <f>IFERROR(IFERROR((LEN($T1545)-LEN(SUBSTITUTE($T1545,"Quality of Works / Criteria of Failings:Compliant","")))/LEN("Quality of Works / Criteria of Failings:Compliant"),0)/MAX(1,(LEN($I1545)-LEN(SUBSTITUTE($I1545," Ltd","")))/LEN(" Ltd")),0)</f>
        <v/>
      </c>
    </row>
    <row r="1545" ht="15" customHeight="1" s="146">
      <c r="Y1545" s="122">
        <f>MAX(0,IFERROR((LEN($T1546)-LEN(SUBSTITUTE($T1546,"Quality of Works / Criteria of Failings:","")))/LEN("Quality of Works / Criteria of Failings:"),0)-IFERROR((LEN($T1546)-LEN(SUBSTITUTE($T1546,"Quality of Works / Criteria of Failings:Compliant","")))/LEN("Quality of Works / Criteria of Failings:Compliant"),0))</f>
        <v/>
      </c>
      <c r="Z1545" s="122">
        <f>IFERROR($Y1546/MAX(1,(LEN($I1546)-LEN(SUBSTITUTE($I1546," Ltd","")))/LEN(" Ltd")),0)</f>
        <v/>
      </c>
      <c r="AA1545" s="122">
        <f>IFERROR(IFERROR((LEN($T1546)-LEN(SUBSTITUTE($T1546,"Quality of Works / Criteria of Failings:","")))/LEN("Quality of Works / Criteria of Failings:"),0)/MAX(1,(LEN($I1546)-LEN(SUBSTITUTE($I1546," Ltd","")))/LEN(" Ltd")),0)</f>
        <v/>
      </c>
      <c r="AB1545" s="122">
        <f>IFERROR(IFERROR((LEN($T1546)-LEN(SUBSTITUTE($T1546,"Quality of Works / Criteria of Failings:Compliant","")))/LEN("Quality of Works / Criteria of Failings:Compliant"),0)/MAX(1,(LEN($I1546)-LEN(SUBSTITUTE($I1546," Ltd","")))/LEN(" Ltd")),0)</f>
        <v/>
      </c>
    </row>
    <row r="1546" ht="15" customHeight="1" s="146">
      <c r="Y1546" s="122">
        <f>MAX(0,IFERROR((LEN($T1547)-LEN(SUBSTITUTE($T1547,"Quality of Works / Criteria of Failings:","")))/LEN("Quality of Works / Criteria of Failings:"),0)-IFERROR((LEN($T1547)-LEN(SUBSTITUTE($T1547,"Quality of Works / Criteria of Failings:Compliant","")))/LEN("Quality of Works / Criteria of Failings:Compliant"),0))</f>
        <v/>
      </c>
      <c r="Z1546" s="122">
        <f>IFERROR($Y1547/MAX(1,(LEN($I1547)-LEN(SUBSTITUTE($I1547," Ltd","")))/LEN(" Ltd")),0)</f>
        <v/>
      </c>
      <c r="AA1546" s="122">
        <f>IFERROR(IFERROR((LEN($T1547)-LEN(SUBSTITUTE($T1547,"Quality of Works / Criteria of Failings:","")))/LEN("Quality of Works / Criteria of Failings:"),0)/MAX(1,(LEN($I1547)-LEN(SUBSTITUTE($I1547," Ltd","")))/LEN(" Ltd")),0)</f>
        <v/>
      </c>
      <c r="AB1546" s="122">
        <f>IFERROR(IFERROR((LEN($T1547)-LEN(SUBSTITUTE($T1547,"Quality of Works / Criteria of Failings:Compliant","")))/LEN("Quality of Works / Criteria of Failings:Compliant"),0)/MAX(1,(LEN($I1547)-LEN(SUBSTITUTE($I1547," Ltd","")))/LEN(" Ltd")),0)</f>
        <v/>
      </c>
    </row>
    <row r="1547" ht="15" customHeight="1" s="146">
      <c r="Y1547" s="122">
        <f>MAX(0,IFERROR((LEN($T1548)-LEN(SUBSTITUTE($T1548,"Quality of Works / Criteria of Failings:","")))/LEN("Quality of Works / Criteria of Failings:"),0)-IFERROR((LEN($T1548)-LEN(SUBSTITUTE($T1548,"Quality of Works / Criteria of Failings:Compliant","")))/LEN("Quality of Works / Criteria of Failings:Compliant"),0))</f>
        <v/>
      </c>
      <c r="Z1547" s="122">
        <f>IFERROR($Y1548/MAX(1,(LEN($I1548)-LEN(SUBSTITUTE($I1548," Ltd","")))/LEN(" Ltd")),0)</f>
        <v/>
      </c>
      <c r="AA1547" s="122">
        <f>IFERROR(IFERROR((LEN($T1548)-LEN(SUBSTITUTE($T1548,"Quality of Works / Criteria of Failings:","")))/LEN("Quality of Works / Criteria of Failings:"),0)/MAX(1,(LEN($I1548)-LEN(SUBSTITUTE($I1548," Ltd","")))/LEN(" Ltd")),0)</f>
        <v/>
      </c>
      <c r="AB1547" s="122">
        <f>IFERROR(IFERROR((LEN($T1548)-LEN(SUBSTITUTE($T1548,"Quality of Works / Criteria of Failings:Compliant","")))/LEN("Quality of Works / Criteria of Failings:Compliant"),0)/MAX(1,(LEN($I1548)-LEN(SUBSTITUTE($I1548," Ltd","")))/LEN(" Ltd")),0)</f>
        <v/>
      </c>
    </row>
    <row r="1548" ht="15" customHeight="1" s="146">
      <c r="Y1548" s="122">
        <f>MAX(0,IFERROR((LEN($T1549)-LEN(SUBSTITUTE($T1549,"Quality of Works / Criteria of Failings:","")))/LEN("Quality of Works / Criteria of Failings:"),0)-IFERROR((LEN($T1549)-LEN(SUBSTITUTE($T1549,"Quality of Works / Criteria of Failings:Compliant","")))/LEN("Quality of Works / Criteria of Failings:Compliant"),0))</f>
        <v/>
      </c>
      <c r="Z1548" s="122">
        <f>IFERROR($Y1549/MAX(1,(LEN($I1549)-LEN(SUBSTITUTE($I1549," Ltd","")))/LEN(" Ltd")),0)</f>
        <v/>
      </c>
      <c r="AA1548" s="122">
        <f>IFERROR(IFERROR((LEN($T1549)-LEN(SUBSTITUTE($T1549,"Quality of Works / Criteria of Failings:","")))/LEN("Quality of Works / Criteria of Failings:"),0)/MAX(1,(LEN($I1549)-LEN(SUBSTITUTE($I1549," Ltd","")))/LEN(" Ltd")),0)</f>
        <v/>
      </c>
      <c r="AB1548" s="122">
        <f>IFERROR(IFERROR((LEN($T1549)-LEN(SUBSTITUTE($T1549,"Quality of Works / Criteria of Failings:Compliant","")))/LEN("Quality of Works / Criteria of Failings:Compliant"),0)/MAX(1,(LEN($I1549)-LEN(SUBSTITUTE($I1549," Ltd","")))/LEN(" Ltd")),0)</f>
        <v/>
      </c>
    </row>
    <row r="1549" ht="15" customHeight="1" s="146">
      <c r="Y1549" s="122">
        <f>MAX(0,IFERROR((LEN($T1550)-LEN(SUBSTITUTE($T1550,"Quality of Works / Criteria of Failings:","")))/LEN("Quality of Works / Criteria of Failings:"),0)-IFERROR((LEN($T1550)-LEN(SUBSTITUTE($T1550,"Quality of Works / Criteria of Failings:Compliant","")))/LEN("Quality of Works / Criteria of Failings:Compliant"),0))</f>
        <v/>
      </c>
      <c r="Z1549" s="122">
        <f>IFERROR($Y1550/MAX(1,(LEN($I1550)-LEN(SUBSTITUTE($I1550," Ltd","")))/LEN(" Ltd")),0)</f>
        <v/>
      </c>
      <c r="AA1549" s="122">
        <f>IFERROR(IFERROR((LEN($T1550)-LEN(SUBSTITUTE($T1550,"Quality of Works / Criteria of Failings:","")))/LEN("Quality of Works / Criteria of Failings:"),0)/MAX(1,(LEN($I1550)-LEN(SUBSTITUTE($I1550," Ltd","")))/LEN(" Ltd")),0)</f>
        <v/>
      </c>
      <c r="AB1549" s="122">
        <f>IFERROR(IFERROR((LEN($T1550)-LEN(SUBSTITUTE($T1550,"Quality of Works / Criteria of Failings:Compliant","")))/LEN("Quality of Works / Criteria of Failings:Compliant"),0)/MAX(1,(LEN($I1550)-LEN(SUBSTITUTE($I1550," Ltd","")))/LEN(" Ltd")),0)</f>
        <v/>
      </c>
    </row>
    <row r="1550" ht="15" customHeight="1" s="146">
      <c r="Y1550" s="122">
        <f>MAX(0,IFERROR((LEN($T1551)-LEN(SUBSTITUTE($T1551,"Quality of Works / Criteria of Failings:","")))/LEN("Quality of Works / Criteria of Failings:"),0)-IFERROR((LEN($T1551)-LEN(SUBSTITUTE($T1551,"Quality of Works / Criteria of Failings:Compliant","")))/LEN("Quality of Works / Criteria of Failings:Compliant"),0))</f>
        <v/>
      </c>
      <c r="Z1550" s="122">
        <f>IFERROR($Y1551/MAX(1,(LEN($I1551)-LEN(SUBSTITUTE($I1551," Ltd","")))/LEN(" Ltd")),0)</f>
        <v/>
      </c>
      <c r="AA1550" s="122">
        <f>IFERROR(IFERROR((LEN($T1551)-LEN(SUBSTITUTE($T1551,"Quality of Works / Criteria of Failings:","")))/LEN("Quality of Works / Criteria of Failings:"),0)/MAX(1,(LEN($I1551)-LEN(SUBSTITUTE($I1551," Ltd","")))/LEN(" Ltd")),0)</f>
        <v/>
      </c>
      <c r="AB1550" s="122">
        <f>IFERROR(IFERROR((LEN($T1551)-LEN(SUBSTITUTE($T1551,"Quality of Works / Criteria of Failings:Compliant","")))/LEN("Quality of Works / Criteria of Failings:Compliant"),0)/MAX(1,(LEN($I1551)-LEN(SUBSTITUTE($I1551," Ltd","")))/LEN(" Ltd")),0)</f>
        <v/>
      </c>
    </row>
    <row r="1551" ht="15" customHeight="1" s="146">
      <c r="Y1551" s="122">
        <f>MAX(0,IFERROR((LEN($T1552)-LEN(SUBSTITUTE($T1552,"Quality of Works / Criteria of Failings:","")))/LEN("Quality of Works / Criteria of Failings:"),0)-IFERROR((LEN($T1552)-LEN(SUBSTITUTE($T1552,"Quality of Works / Criteria of Failings:Compliant","")))/LEN("Quality of Works / Criteria of Failings:Compliant"),0))</f>
        <v/>
      </c>
      <c r="Z1551" s="122">
        <f>IFERROR($Y1552/MAX(1,(LEN($I1552)-LEN(SUBSTITUTE($I1552," Ltd","")))/LEN(" Ltd")),0)</f>
        <v/>
      </c>
      <c r="AA1551" s="122">
        <f>IFERROR(IFERROR((LEN($T1552)-LEN(SUBSTITUTE($T1552,"Quality of Works / Criteria of Failings:","")))/LEN("Quality of Works / Criteria of Failings:"),0)/MAX(1,(LEN($I1552)-LEN(SUBSTITUTE($I1552," Ltd","")))/LEN(" Ltd")),0)</f>
        <v/>
      </c>
      <c r="AB1551" s="122">
        <f>IFERROR(IFERROR((LEN($T1552)-LEN(SUBSTITUTE($T1552,"Quality of Works / Criteria of Failings:Compliant","")))/LEN("Quality of Works / Criteria of Failings:Compliant"),0)/MAX(1,(LEN($I1552)-LEN(SUBSTITUTE($I1552," Ltd","")))/LEN(" Ltd")),0)</f>
        <v/>
      </c>
    </row>
    <row r="1552" ht="15" customHeight="1" s="146">
      <c r="Y1552" s="122">
        <f>MAX(0,IFERROR((LEN($T1553)-LEN(SUBSTITUTE($T1553,"Quality of Works / Criteria of Failings:","")))/LEN("Quality of Works / Criteria of Failings:"),0)-IFERROR((LEN($T1553)-LEN(SUBSTITUTE($T1553,"Quality of Works / Criteria of Failings:Compliant","")))/LEN("Quality of Works / Criteria of Failings:Compliant"),0))</f>
        <v/>
      </c>
      <c r="Z1552" s="122">
        <f>IFERROR($Y1553/MAX(1,(LEN($I1553)-LEN(SUBSTITUTE($I1553," Ltd","")))/LEN(" Ltd")),0)</f>
        <v/>
      </c>
      <c r="AA1552" s="122">
        <f>IFERROR(IFERROR((LEN($T1553)-LEN(SUBSTITUTE($T1553,"Quality of Works / Criteria of Failings:","")))/LEN("Quality of Works / Criteria of Failings:"),0)/MAX(1,(LEN($I1553)-LEN(SUBSTITUTE($I1553," Ltd","")))/LEN(" Ltd")),0)</f>
        <v/>
      </c>
      <c r="AB1552" s="122">
        <f>IFERROR(IFERROR((LEN($T1553)-LEN(SUBSTITUTE($T1553,"Quality of Works / Criteria of Failings:Compliant","")))/LEN("Quality of Works / Criteria of Failings:Compliant"),0)/MAX(1,(LEN($I1553)-LEN(SUBSTITUTE($I1553," Ltd","")))/LEN(" Ltd")),0)</f>
        <v/>
      </c>
    </row>
    <row r="1553" ht="15" customHeight="1" s="146">
      <c r="Y1553" s="122">
        <f>MAX(0,IFERROR((LEN($T1554)-LEN(SUBSTITUTE($T1554,"Quality of Works / Criteria of Failings:","")))/LEN("Quality of Works / Criteria of Failings:"),0)-IFERROR((LEN($T1554)-LEN(SUBSTITUTE($T1554,"Quality of Works / Criteria of Failings:Compliant","")))/LEN("Quality of Works / Criteria of Failings:Compliant"),0))</f>
        <v/>
      </c>
      <c r="Z1553" s="122">
        <f>IFERROR($Y1554/MAX(1,(LEN($I1554)-LEN(SUBSTITUTE($I1554," Ltd","")))/LEN(" Ltd")),0)</f>
        <v/>
      </c>
      <c r="AA1553" s="122">
        <f>IFERROR(IFERROR((LEN($T1554)-LEN(SUBSTITUTE($T1554,"Quality of Works / Criteria of Failings:","")))/LEN("Quality of Works / Criteria of Failings:"),0)/MAX(1,(LEN($I1554)-LEN(SUBSTITUTE($I1554," Ltd","")))/LEN(" Ltd")),0)</f>
        <v/>
      </c>
      <c r="AB1553" s="122">
        <f>IFERROR(IFERROR((LEN($T1554)-LEN(SUBSTITUTE($T1554,"Quality of Works / Criteria of Failings:Compliant","")))/LEN("Quality of Works / Criteria of Failings:Compliant"),0)/MAX(1,(LEN($I1554)-LEN(SUBSTITUTE($I1554," Ltd","")))/LEN(" Ltd")),0)</f>
        <v/>
      </c>
    </row>
    <row r="1554" ht="15" customHeight="1" s="146">
      <c r="Y1554" s="122">
        <f>MAX(0,IFERROR((LEN($T1555)-LEN(SUBSTITUTE($T1555,"Quality of Works / Criteria of Failings:","")))/LEN("Quality of Works / Criteria of Failings:"),0)-IFERROR((LEN($T1555)-LEN(SUBSTITUTE($T1555,"Quality of Works / Criteria of Failings:Compliant","")))/LEN("Quality of Works / Criteria of Failings:Compliant"),0))</f>
        <v/>
      </c>
      <c r="Z1554" s="122">
        <f>IFERROR($Y1555/MAX(1,(LEN($I1555)-LEN(SUBSTITUTE($I1555," Ltd","")))/LEN(" Ltd")),0)</f>
        <v/>
      </c>
      <c r="AA1554" s="122">
        <f>IFERROR(IFERROR((LEN($T1555)-LEN(SUBSTITUTE($T1555,"Quality of Works / Criteria of Failings:","")))/LEN("Quality of Works / Criteria of Failings:"),0)/MAX(1,(LEN($I1555)-LEN(SUBSTITUTE($I1555," Ltd","")))/LEN(" Ltd")),0)</f>
        <v/>
      </c>
      <c r="AB1554" s="122">
        <f>IFERROR(IFERROR((LEN($T1555)-LEN(SUBSTITUTE($T1555,"Quality of Works / Criteria of Failings:Compliant","")))/LEN("Quality of Works / Criteria of Failings:Compliant"),0)/MAX(1,(LEN($I1555)-LEN(SUBSTITUTE($I1555," Ltd","")))/LEN(" Ltd")),0)</f>
        <v/>
      </c>
    </row>
    <row r="1555" ht="15" customHeight="1" s="146">
      <c r="Y1555" s="122">
        <f>MAX(0,IFERROR((LEN($T1556)-LEN(SUBSTITUTE($T1556,"Quality of Works / Criteria of Failings:","")))/LEN("Quality of Works / Criteria of Failings:"),0)-IFERROR((LEN($T1556)-LEN(SUBSTITUTE($T1556,"Quality of Works / Criteria of Failings:Compliant","")))/LEN("Quality of Works / Criteria of Failings:Compliant"),0))</f>
        <v/>
      </c>
      <c r="Z1555" s="122">
        <f>IFERROR($Y1556/MAX(1,(LEN($I1556)-LEN(SUBSTITUTE($I1556," Ltd","")))/LEN(" Ltd")),0)</f>
        <v/>
      </c>
      <c r="AA1555" s="122">
        <f>IFERROR(IFERROR((LEN($T1556)-LEN(SUBSTITUTE($T1556,"Quality of Works / Criteria of Failings:","")))/LEN("Quality of Works / Criteria of Failings:"),0)/MAX(1,(LEN($I1556)-LEN(SUBSTITUTE($I1556," Ltd","")))/LEN(" Ltd")),0)</f>
        <v/>
      </c>
      <c r="AB1555" s="122">
        <f>IFERROR(IFERROR((LEN($T1556)-LEN(SUBSTITUTE($T1556,"Quality of Works / Criteria of Failings:Compliant","")))/LEN("Quality of Works / Criteria of Failings:Compliant"),0)/MAX(1,(LEN($I1556)-LEN(SUBSTITUTE($I1556," Ltd","")))/LEN(" Ltd")),0)</f>
        <v/>
      </c>
    </row>
    <row r="1556" ht="15" customHeight="1" s="146">
      <c r="Y1556" s="122">
        <f>MAX(0,IFERROR((LEN($T1557)-LEN(SUBSTITUTE($T1557,"Quality of Works / Criteria of Failings:","")))/LEN("Quality of Works / Criteria of Failings:"),0)-IFERROR((LEN($T1557)-LEN(SUBSTITUTE($T1557,"Quality of Works / Criteria of Failings:Compliant","")))/LEN("Quality of Works / Criteria of Failings:Compliant"),0))</f>
        <v/>
      </c>
      <c r="Z1556" s="122">
        <f>IFERROR($Y1557/MAX(1,(LEN($I1557)-LEN(SUBSTITUTE($I1557," Ltd","")))/LEN(" Ltd")),0)</f>
        <v/>
      </c>
      <c r="AA1556" s="122">
        <f>IFERROR(IFERROR((LEN($T1557)-LEN(SUBSTITUTE($T1557,"Quality of Works / Criteria of Failings:","")))/LEN("Quality of Works / Criteria of Failings:"),0)/MAX(1,(LEN($I1557)-LEN(SUBSTITUTE($I1557," Ltd","")))/LEN(" Ltd")),0)</f>
        <v/>
      </c>
      <c r="AB1556" s="122">
        <f>IFERROR(IFERROR((LEN($T1557)-LEN(SUBSTITUTE($T1557,"Quality of Works / Criteria of Failings:Compliant","")))/LEN("Quality of Works / Criteria of Failings:Compliant"),0)/MAX(1,(LEN($I1557)-LEN(SUBSTITUTE($I1557," Ltd","")))/LEN(" Ltd")),0)</f>
        <v/>
      </c>
    </row>
    <row r="1557" ht="15" customHeight="1" s="146">
      <c r="Y1557" s="122">
        <f>MAX(0,IFERROR((LEN($T1558)-LEN(SUBSTITUTE($T1558,"Quality of Works / Criteria of Failings:","")))/LEN("Quality of Works / Criteria of Failings:"),0)-IFERROR((LEN($T1558)-LEN(SUBSTITUTE($T1558,"Quality of Works / Criteria of Failings:Compliant","")))/LEN("Quality of Works / Criteria of Failings:Compliant"),0))</f>
        <v/>
      </c>
      <c r="Z1557" s="122">
        <f>IFERROR($Y1558/MAX(1,(LEN($I1558)-LEN(SUBSTITUTE($I1558," Ltd","")))/LEN(" Ltd")),0)</f>
        <v/>
      </c>
      <c r="AA1557" s="122">
        <f>IFERROR(IFERROR((LEN($T1558)-LEN(SUBSTITUTE($T1558,"Quality of Works / Criteria of Failings:","")))/LEN("Quality of Works / Criteria of Failings:"),0)/MAX(1,(LEN($I1558)-LEN(SUBSTITUTE($I1558," Ltd","")))/LEN(" Ltd")),0)</f>
        <v/>
      </c>
      <c r="AB1557" s="122">
        <f>IFERROR(IFERROR((LEN($T1558)-LEN(SUBSTITUTE($T1558,"Quality of Works / Criteria of Failings:Compliant","")))/LEN("Quality of Works / Criteria of Failings:Compliant"),0)/MAX(1,(LEN($I1558)-LEN(SUBSTITUTE($I1558," Ltd","")))/LEN(" Ltd")),0)</f>
        <v/>
      </c>
    </row>
    <row r="1558" ht="15" customHeight="1" s="146">
      <c r="Y1558" s="122">
        <f>MAX(0,IFERROR((LEN($T1559)-LEN(SUBSTITUTE($T1559,"Quality of Works / Criteria of Failings:","")))/LEN("Quality of Works / Criteria of Failings:"),0)-IFERROR((LEN($T1559)-LEN(SUBSTITUTE($T1559,"Quality of Works / Criteria of Failings:Compliant","")))/LEN("Quality of Works / Criteria of Failings:Compliant"),0))</f>
        <v/>
      </c>
      <c r="Z1558" s="122">
        <f>IFERROR($Y1559/MAX(1,(LEN($I1559)-LEN(SUBSTITUTE($I1559," Ltd","")))/LEN(" Ltd")),0)</f>
        <v/>
      </c>
      <c r="AA1558" s="122">
        <f>IFERROR(IFERROR((LEN($T1559)-LEN(SUBSTITUTE($T1559,"Quality of Works / Criteria of Failings:","")))/LEN("Quality of Works / Criteria of Failings:"),0)/MAX(1,(LEN($I1559)-LEN(SUBSTITUTE($I1559," Ltd","")))/LEN(" Ltd")),0)</f>
        <v/>
      </c>
      <c r="AB1558" s="122">
        <f>IFERROR(IFERROR((LEN($T1559)-LEN(SUBSTITUTE($T1559,"Quality of Works / Criteria of Failings:Compliant","")))/LEN("Quality of Works / Criteria of Failings:Compliant"),0)/MAX(1,(LEN($I1559)-LEN(SUBSTITUTE($I1559," Ltd","")))/LEN(" Ltd")),0)</f>
        <v/>
      </c>
    </row>
    <row r="1559" ht="15" customHeight="1" s="146">
      <c r="Y1559" s="122">
        <f>MAX(0,IFERROR((LEN($T1560)-LEN(SUBSTITUTE($T1560,"Quality of Works / Criteria of Failings:","")))/LEN("Quality of Works / Criteria of Failings:"),0)-IFERROR((LEN($T1560)-LEN(SUBSTITUTE($T1560,"Quality of Works / Criteria of Failings:Compliant","")))/LEN("Quality of Works / Criteria of Failings:Compliant"),0))</f>
        <v/>
      </c>
      <c r="Z1559" s="122">
        <f>IFERROR($Y1560/MAX(1,(LEN($I1560)-LEN(SUBSTITUTE($I1560," Ltd","")))/LEN(" Ltd")),0)</f>
        <v/>
      </c>
      <c r="AA1559" s="122">
        <f>IFERROR(IFERROR((LEN($T1560)-LEN(SUBSTITUTE($T1560,"Quality of Works / Criteria of Failings:","")))/LEN("Quality of Works / Criteria of Failings:"),0)/MAX(1,(LEN($I1560)-LEN(SUBSTITUTE($I1560," Ltd","")))/LEN(" Ltd")),0)</f>
        <v/>
      </c>
      <c r="AB1559" s="122">
        <f>IFERROR(IFERROR((LEN($T1560)-LEN(SUBSTITUTE($T1560,"Quality of Works / Criteria of Failings:Compliant","")))/LEN("Quality of Works / Criteria of Failings:Compliant"),0)/MAX(1,(LEN($I1560)-LEN(SUBSTITUTE($I1560," Ltd","")))/LEN(" Ltd")),0)</f>
        <v/>
      </c>
    </row>
    <row r="1560" ht="15" customHeight="1" s="146">
      <c r="Y1560" s="122">
        <f>MAX(0,IFERROR((LEN($T1561)-LEN(SUBSTITUTE($T1561,"Quality of Works / Criteria of Failings:","")))/LEN("Quality of Works / Criteria of Failings:"),0)-IFERROR((LEN($T1561)-LEN(SUBSTITUTE($T1561,"Quality of Works / Criteria of Failings:Compliant","")))/LEN("Quality of Works / Criteria of Failings:Compliant"),0))</f>
        <v/>
      </c>
      <c r="Z1560" s="122">
        <f>IFERROR($Y1561/MAX(1,(LEN($I1561)-LEN(SUBSTITUTE($I1561," Ltd","")))/LEN(" Ltd")),0)</f>
        <v/>
      </c>
      <c r="AA1560" s="122">
        <f>IFERROR(IFERROR((LEN($T1561)-LEN(SUBSTITUTE($T1561,"Quality of Works / Criteria of Failings:","")))/LEN("Quality of Works / Criteria of Failings:"),0)/MAX(1,(LEN($I1561)-LEN(SUBSTITUTE($I1561," Ltd","")))/LEN(" Ltd")),0)</f>
        <v/>
      </c>
      <c r="AB1560" s="122">
        <f>IFERROR(IFERROR((LEN($T1561)-LEN(SUBSTITUTE($T1561,"Quality of Works / Criteria of Failings:Compliant","")))/LEN("Quality of Works / Criteria of Failings:Compliant"),0)/MAX(1,(LEN($I1561)-LEN(SUBSTITUTE($I1561," Ltd","")))/LEN(" Ltd")),0)</f>
        <v/>
      </c>
    </row>
    <row r="1561" ht="15" customHeight="1" s="146">
      <c r="Y1561" s="122">
        <f>MAX(0,IFERROR((LEN($T1562)-LEN(SUBSTITUTE($T1562,"Quality of Works / Criteria of Failings:","")))/LEN("Quality of Works / Criteria of Failings:"),0)-IFERROR((LEN($T1562)-LEN(SUBSTITUTE($T1562,"Quality of Works / Criteria of Failings:Compliant","")))/LEN("Quality of Works / Criteria of Failings:Compliant"),0))</f>
        <v/>
      </c>
      <c r="Z1561" s="122">
        <f>IFERROR($Y1562/MAX(1,(LEN($I1562)-LEN(SUBSTITUTE($I1562," Ltd","")))/LEN(" Ltd")),0)</f>
        <v/>
      </c>
      <c r="AA1561" s="122">
        <f>IFERROR(IFERROR((LEN($T1562)-LEN(SUBSTITUTE($T1562,"Quality of Works / Criteria of Failings:","")))/LEN("Quality of Works / Criteria of Failings:"),0)/MAX(1,(LEN($I1562)-LEN(SUBSTITUTE($I1562," Ltd","")))/LEN(" Ltd")),0)</f>
        <v/>
      </c>
      <c r="AB1561" s="122">
        <f>IFERROR(IFERROR((LEN($T1562)-LEN(SUBSTITUTE($T1562,"Quality of Works / Criteria of Failings:Compliant","")))/LEN("Quality of Works / Criteria of Failings:Compliant"),0)/MAX(1,(LEN($I1562)-LEN(SUBSTITUTE($I1562," Ltd","")))/LEN(" Ltd")),0)</f>
        <v/>
      </c>
    </row>
    <row r="1562" ht="15" customHeight="1" s="146">
      <c r="Y1562" s="122">
        <f>MAX(0,IFERROR((LEN($T1563)-LEN(SUBSTITUTE($T1563,"Quality of Works / Criteria of Failings:","")))/LEN("Quality of Works / Criteria of Failings:"),0)-IFERROR((LEN($T1563)-LEN(SUBSTITUTE($T1563,"Quality of Works / Criteria of Failings:Compliant","")))/LEN("Quality of Works / Criteria of Failings:Compliant"),0))</f>
        <v/>
      </c>
      <c r="Z1562" s="122">
        <f>IFERROR($Y1563/MAX(1,(LEN($I1563)-LEN(SUBSTITUTE($I1563," Ltd","")))/LEN(" Ltd")),0)</f>
        <v/>
      </c>
      <c r="AA1562" s="122">
        <f>IFERROR(IFERROR((LEN($T1563)-LEN(SUBSTITUTE($T1563,"Quality of Works / Criteria of Failings:","")))/LEN("Quality of Works / Criteria of Failings:"),0)/MAX(1,(LEN($I1563)-LEN(SUBSTITUTE($I1563," Ltd","")))/LEN(" Ltd")),0)</f>
        <v/>
      </c>
      <c r="AB1562" s="122">
        <f>IFERROR(IFERROR((LEN($T1563)-LEN(SUBSTITUTE($T1563,"Quality of Works / Criteria of Failings:Compliant","")))/LEN("Quality of Works / Criteria of Failings:Compliant"),0)/MAX(1,(LEN($I1563)-LEN(SUBSTITUTE($I1563," Ltd","")))/LEN(" Ltd")),0)</f>
        <v/>
      </c>
    </row>
    <row r="1563" ht="15" customHeight="1" s="146">
      <c r="Y1563" s="122">
        <f>MAX(0,IFERROR((LEN($T1564)-LEN(SUBSTITUTE($T1564,"Quality of Works / Criteria of Failings:","")))/LEN("Quality of Works / Criteria of Failings:"),0)-IFERROR((LEN($T1564)-LEN(SUBSTITUTE($T1564,"Quality of Works / Criteria of Failings:Compliant","")))/LEN("Quality of Works / Criteria of Failings:Compliant"),0))</f>
        <v/>
      </c>
      <c r="Z1563" s="122">
        <f>IFERROR($Y1564/MAX(1,(LEN($I1564)-LEN(SUBSTITUTE($I1564," Ltd","")))/LEN(" Ltd")),0)</f>
        <v/>
      </c>
      <c r="AA1563" s="122">
        <f>IFERROR(IFERROR((LEN($T1564)-LEN(SUBSTITUTE($T1564,"Quality of Works / Criteria of Failings:","")))/LEN("Quality of Works / Criteria of Failings:"),0)/MAX(1,(LEN($I1564)-LEN(SUBSTITUTE($I1564," Ltd","")))/LEN(" Ltd")),0)</f>
        <v/>
      </c>
      <c r="AB1563" s="122">
        <f>IFERROR(IFERROR((LEN($T1564)-LEN(SUBSTITUTE($T1564,"Quality of Works / Criteria of Failings:Compliant","")))/LEN("Quality of Works / Criteria of Failings:Compliant"),0)/MAX(1,(LEN($I1564)-LEN(SUBSTITUTE($I1564," Ltd","")))/LEN(" Ltd")),0)</f>
        <v/>
      </c>
    </row>
    <row r="1564" ht="15" customHeight="1" s="146">
      <c r="Y1564" s="122">
        <f>MAX(0,IFERROR((LEN($T1565)-LEN(SUBSTITUTE($T1565,"Quality of Works / Criteria of Failings:","")))/LEN("Quality of Works / Criteria of Failings:"),0)-IFERROR((LEN($T1565)-LEN(SUBSTITUTE($T1565,"Quality of Works / Criteria of Failings:Compliant","")))/LEN("Quality of Works / Criteria of Failings:Compliant"),0))</f>
        <v/>
      </c>
      <c r="Z1564" s="122">
        <f>IFERROR($Y1565/MAX(1,(LEN($I1565)-LEN(SUBSTITUTE($I1565," Ltd","")))/LEN(" Ltd")),0)</f>
        <v/>
      </c>
      <c r="AA1564" s="122">
        <f>IFERROR(IFERROR((LEN($T1565)-LEN(SUBSTITUTE($T1565,"Quality of Works / Criteria of Failings:","")))/LEN("Quality of Works / Criteria of Failings:"),0)/MAX(1,(LEN($I1565)-LEN(SUBSTITUTE($I1565," Ltd","")))/LEN(" Ltd")),0)</f>
        <v/>
      </c>
      <c r="AB1564" s="122">
        <f>IFERROR(IFERROR((LEN($T1565)-LEN(SUBSTITUTE($T1565,"Quality of Works / Criteria of Failings:Compliant","")))/LEN("Quality of Works / Criteria of Failings:Compliant"),0)/MAX(1,(LEN($I1565)-LEN(SUBSTITUTE($I1565," Ltd","")))/LEN(" Ltd")),0)</f>
        <v/>
      </c>
    </row>
    <row r="1565" ht="15" customHeight="1" s="146">
      <c r="Y1565" s="122">
        <f>MAX(0,IFERROR((LEN($T1566)-LEN(SUBSTITUTE($T1566,"Quality of Works / Criteria of Failings:","")))/LEN("Quality of Works / Criteria of Failings:"),0)-IFERROR((LEN($T1566)-LEN(SUBSTITUTE($T1566,"Quality of Works / Criteria of Failings:Compliant","")))/LEN("Quality of Works / Criteria of Failings:Compliant"),0))</f>
        <v/>
      </c>
      <c r="Z1565" s="122">
        <f>IFERROR($Y1566/MAX(1,(LEN($I1566)-LEN(SUBSTITUTE($I1566," Ltd","")))/LEN(" Ltd")),0)</f>
        <v/>
      </c>
      <c r="AA1565" s="122">
        <f>IFERROR(IFERROR((LEN($T1566)-LEN(SUBSTITUTE($T1566,"Quality of Works / Criteria of Failings:","")))/LEN("Quality of Works / Criteria of Failings:"),0)/MAX(1,(LEN($I1566)-LEN(SUBSTITUTE($I1566," Ltd","")))/LEN(" Ltd")),0)</f>
        <v/>
      </c>
      <c r="AB1565" s="122">
        <f>IFERROR(IFERROR((LEN($T1566)-LEN(SUBSTITUTE($T1566,"Quality of Works / Criteria of Failings:Compliant","")))/LEN("Quality of Works / Criteria of Failings:Compliant"),0)/MAX(1,(LEN($I1566)-LEN(SUBSTITUTE($I1566," Ltd","")))/LEN(" Ltd")),0)</f>
        <v/>
      </c>
    </row>
    <row r="1566" ht="15" customHeight="1" s="146">
      <c r="Y1566" s="122">
        <f>MAX(0,IFERROR((LEN($T1567)-LEN(SUBSTITUTE($T1567,"Quality of Works / Criteria of Failings:","")))/LEN("Quality of Works / Criteria of Failings:"),0)-IFERROR((LEN($T1567)-LEN(SUBSTITUTE($T1567,"Quality of Works / Criteria of Failings:Compliant","")))/LEN("Quality of Works / Criteria of Failings:Compliant"),0))</f>
        <v/>
      </c>
      <c r="Z1566" s="122">
        <f>IFERROR($Y1567/MAX(1,(LEN($I1567)-LEN(SUBSTITUTE($I1567," Ltd","")))/LEN(" Ltd")),0)</f>
        <v/>
      </c>
      <c r="AA1566" s="122">
        <f>IFERROR(IFERROR((LEN($T1567)-LEN(SUBSTITUTE($T1567,"Quality of Works / Criteria of Failings:","")))/LEN("Quality of Works / Criteria of Failings:"),0)/MAX(1,(LEN($I1567)-LEN(SUBSTITUTE($I1567," Ltd","")))/LEN(" Ltd")),0)</f>
        <v/>
      </c>
      <c r="AB1566" s="122">
        <f>IFERROR(IFERROR((LEN($T1567)-LEN(SUBSTITUTE($T1567,"Quality of Works / Criteria of Failings:Compliant","")))/LEN("Quality of Works / Criteria of Failings:Compliant"),0)/MAX(1,(LEN($I1567)-LEN(SUBSTITUTE($I1567," Ltd","")))/LEN(" Ltd")),0)</f>
        <v/>
      </c>
    </row>
    <row r="1567" ht="15" customHeight="1" s="146">
      <c r="Y1567" s="122">
        <f>MAX(0,IFERROR((LEN($T1568)-LEN(SUBSTITUTE($T1568,"Quality of Works / Criteria of Failings:","")))/LEN("Quality of Works / Criteria of Failings:"),0)-IFERROR((LEN($T1568)-LEN(SUBSTITUTE($T1568,"Quality of Works / Criteria of Failings:Compliant","")))/LEN("Quality of Works / Criteria of Failings:Compliant"),0))</f>
        <v/>
      </c>
      <c r="Z1567" s="122">
        <f>IFERROR($Y1568/MAX(1,(LEN($I1568)-LEN(SUBSTITUTE($I1568," Ltd","")))/LEN(" Ltd")),0)</f>
        <v/>
      </c>
      <c r="AA1567" s="122">
        <f>IFERROR(IFERROR((LEN($T1568)-LEN(SUBSTITUTE($T1568,"Quality of Works / Criteria of Failings:","")))/LEN("Quality of Works / Criteria of Failings:"),0)/MAX(1,(LEN($I1568)-LEN(SUBSTITUTE($I1568," Ltd","")))/LEN(" Ltd")),0)</f>
        <v/>
      </c>
      <c r="AB1567" s="122">
        <f>IFERROR(IFERROR((LEN($T1568)-LEN(SUBSTITUTE($T1568,"Quality of Works / Criteria of Failings:Compliant","")))/LEN("Quality of Works / Criteria of Failings:Compliant"),0)/MAX(1,(LEN($I1568)-LEN(SUBSTITUTE($I1568," Ltd","")))/LEN(" Ltd")),0)</f>
        <v/>
      </c>
    </row>
    <row r="1568" ht="15" customHeight="1" s="146">
      <c r="Y1568" s="122">
        <f>MAX(0,IFERROR((LEN($T1569)-LEN(SUBSTITUTE($T1569,"Quality of Works / Criteria of Failings:","")))/LEN("Quality of Works / Criteria of Failings:"),0)-IFERROR((LEN($T1569)-LEN(SUBSTITUTE($T1569,"Quality of Works / Criteria of Failings:Compliant","")))/LEN("Quality of Works / Criteria of Failings:Compliant"),0))</f>
        <v/>
      </c>
      <c r="Z1568" s="122">
        <f>IFERROR($Y1569/MAX(1,(LEN($I1569)-LEN(SUBSTITUTE($I1569," Ltd","")))/LEN(" Ltd")),0)</f>
        <v/>
      </c>
      <c r="AA1568" s="122">
        <f>IFERROR(IFERROR((LEN($T1569)-LEN(SUBSTITUTE($T1569,"Quality of Works / Criteria of Failings:","")))/LEN("Quality of Works / Criteria of Failings:"),0)/MAX(1,(LEN($I1569)-LEN(SUBSTITUTE($I1569," Ltd","")))/LEN(" Ltd")),0)</f>
        <v/>
      </c>
      <c r="AB1568" s="122">
        <f>IFERROR(IFERROR((LEN($T1569)-LEN(SUBSTITUTE($T1569,"Quality of Works / Criteria of Failings:Compliant","")))/LEN("Quality of Works / Criteria of Failings:Compliant"),0)/MAX(1,(LEN($I1569)-LEN(SUBSTITUTE($I1569," Ltd","")))/LEN(" Ltd")),0)</f>
        <v/>
      </c>
    </row>
    <row r="1569" ht="15" customHeight="1" s="146">
      <c r="Y1569" s="122">
        <f>MAX(0,IFERROR((LEN($T1570)-LEN(SUBSTITUTE($T1570,"Quality of Works / Criteria of Failings:","")))/LEN("Quality of Works / Criteria of Failings:"),0)-IFERROR((LEN($T1570)-LEN(SUBSTITUTE($T1570,"Quality of Works / Criteria of Failings:Compliant","")))/LEN("Quality of Works / Criteria of Failings:Compliant"),0))</f>
        <v/>
      </c>
      <c r="Z1569" s="122">
        <f>IFERROR($Y1570/MAX(1,(LEN($I1570)-LEN(SUBSTITUTE($I1570," Ltd","")))/LEN(" Ltd")),0)</f>
        <v/>
      </c>
      <c r="AA1569" s="122">
        <f>IFERROR(IFERROR((LEN($T1570)-LEN(SUBSTITUTE($T1570,"Quality of Works / Criteria of Failings:","")))/LEN("Quality of Works / Criteria of Failings:"),0)/MAX(1,(LEN($I1570)-LEN(SUBSTITUTE($I1570," Ltd","")))/LEN(" Ltd")),0)</f>
        <v/>
      </c>
      <c r="AB1569" s="122">
        <f>IFERROR(IFERROR((LEN($T1570)-LEN(SUBSTITUTE($T1570,"Quality of Works / Criteria of Failings:Compliant","")))/LEN("Quality of Works / Criteria of Failings:Compliant"),0)/MAX(1,(LEN($I1570)-LEN(SUBSTITUTE($I1570," Ltd","")))/LEN(" Ltd")),0)</f>
        <v/>
      </c>
    </row>
    <row r="1570" ht="15" customHeight="1" s="146">
      <c r="Y1570" s="122">
        <f>MAX(0,IFERROR((LEN($T1571)-LEN(SUBSTITUTE($T1571,"Quality of Works / Criteria of Failings:","")))/LEN("Quality of Works / Criteria of Failings:"),0)-IFERROR((LEN($T1571)-LEN(SUBSTITUTE($T1571,"Quality of Works / Criteria of Failings:Compliant","")))/LEN("Quality of Works / Criteria of Failings:Compliant"),0))</f>
        <v/>
      </c>
      <c r="Z1570" s="122">
        <f>IFERROR($Y1571/MAX(1,(LEN($I1571)-LEN(SUBSTITUTE($I1571," Ltd","")))/LEN(" Ltd")),0)</f>
        <v/>
      </c>
      <c r="AA1570" s="122">
        <f>IFERROR(IFERROR((LEN($T1571)-LEN(SUBSTITUTE($T1571,"Quality of Works / Criteria of Failings:","")))/LEN("Quality of Works / Criteria of Failings:"),0)/MAX(1,(LEN($I1571)-LEN(SUBSTITUTE($I1571," Ltd","")))/LEN(" Ltd")),0)</f>
        <v/>
      </c>
      <c r="AB1570" s="122">
        <f>IFERROR(IFERROR((LEN($T1571)-LEN(SUBSTITUTE($T1571,"Quality of Works / Criteria of Failings:Compliant","")))/LEN("Quality of Works / Criteria of Failings:Compliant"),0)/MAX(1,(LEN($I1571)-LEN(SUBSTITUTE($I1571," Ltd","")))/LEN(" Ltd")),0)</f>
        <v/>
      </c>
    </row>
    <row r="1571" ht="15" customHeight="1" s="146">
      <c r="Y1571" s="122">
        <f>MAX(0,IFERROR((LEN($T1572)-LEN(SUBSTITUTE($T1572,"Quality of Works / Criteria of Failings:","")))/LEN("Quality of Works / Criteria of Failings:"),0)-IFERROR((LEN($T1572)-LEN(SUBSTITUTE($T1572,"Quality of Works / Criteria of Failings:Compliant","")))/LEN("Quality of Works / Criteria of Failings:Compliant"),0))</f>
        <v/>
      </c>
      <c r="Z1571" s="122">
        <f>IFERROR($Y1572/MAX(1,(LEN($I1572)-LEN(SUBSTITUTE($I1572," Ltd","")))/LEN(" Ltd")),0)</f>
        <v/>
      </c>
      <c r="AA1571" s="122">
        <f>IFERROR(IFERROR((LEN($T1572)-LEN(SUBSTITUTE($T1572,"Quality of Works / Criteria of Failings:","")))/LEN("Quality of Works / Criteria of Failings:"),0)/MAX(1,(LEN($I1572)-LEN(SUBSTITUTE($I1572," Ltd","")))/LEN(" Ltd")),0)</f>
        <v/>
      </c>
      <c r="AB1571" s="122">
        <f>IFERROR(IFERROR((LEN($T1572)-LEN(SUBSTITUTE($T1572,"Quality of Works / Criteria of Failings:Compliant","")))/LEN("Quality of Works / Criteria of Failings:Compliant"),0)/MAX(1,(LEN($I1572)-LEN(SUBSTITUTE($I1572," Ltd","")))/LEN(" Ltd")),0)</f>
        <v/>
      </c>
    </row>
    <row r="1572" ht="15" customHeight="1" s="146">
      <c r="Y1572" s="122">
        <f>MAX(0,IFERROR((LEN($T1573)-LEN(SUBSTITUTE($T1573,"Quality of Works / Criteria of Failings:","")))/LEN("Quality of Works / Criteria of Failings:"),0)-IFERROR((LEN($T1573)-LEN(SUBSTITUTE($T1573,"Quality of Works / Criteria of Failings:Compliant","")))/LEN("Quality of Works / Criteria of Failings:Compliant"),0))</f>
        <v/>
      </c>
      <c r="Z1572" s="122">
        <f>IFERROR($Y1573/MAX(1,(LEN($I1573)-LEN(SUBSTITUTE($I1573," Ltd","")))/LEN(" Ltd")),0)</f>
        <v/>
      </c>
      <c r="AA1572" s="122">
        <f>IFERROR(IFERROR((LEN($T1573)-LEN(SUBSTITUTE($T1573,"Quality of Works / Criteria of Failings:","")))/LEN("Quality of Works / Criteria of Failings:"),0)/MAX(1,(LEN($I1573)-LEN(SUBSTITUTE($I1573," Ltd","")))/LEN(" Ltd")),0)</f>
        <v/>
      </c>
      <c r="AB1572" s="122">
        <f>IFERROR(IFERROR((LEN($T1573)-LEN(SUBSTITUTE($T1573,"Quality of Works / Criteria of Failings:Compliant","")))/LEN("Quality of Works / Criteria of Failings:Compliant"),0)/MAX(1,(LEN($I1573)-LEN(SUBSTITUTE($I1573," Ltd","")))/LEN(" Ltd")),0)</f>
        <v/>
      </c>
    </row>
    <row r="1573" ht="15" customHeight="1" s="146">
      <c r="Y1573" s="122">
        <f>MAX(0,IFERROR((LEN($T1574)-LEN(SUBSTITUTE($T1574,"Quality of Works / Criteria of Failings:","")))/LEN("Quality of Works / Criteria of Failings:"),0)-IFERROR((LEN($T1574)-LEN(SUBSTITUTE($T1574,"Quality of Works / Criteria of Failings:Compliant","")))/LEN("Quality of Works / Criteria of Failings:Compliant"),0))</f>
        <v/>
      </c>
      <c r="Z1573" s="122">
        <f>IFERROR($Y1574/MAX(1,(LEN($I1574)-LEN(SUBSTITUTE($I1574," Ltd","")))/LEN(" Ltd")),0)</f>
        <v/>
      </c>
      <c r="AA1573" s="122">
        <f>IFERROR(IFERROR((LEN($T1574)-LEN(SUBSTITUTE($T1574,"Quality of Works / Criteria of Failings:","")))/LEN("Quality of Works / Criteria of Failings:"),0)/MAX(1,(LEN($I1574)-LEN(SUBSTITUTE($I1574," Ltd","")))/LEN(" Ltd")),0)</f>
        <v/>
      </c>
      <c r="AB1573" s="122">
        <f>IFERROR(IFERROR((LEN($T1574)-LEN(SUBSTITUTE($T1574,"Quality of Works / Criteria of Failings:Compliant","")))/LEN("Quality of Works / Criteria of Failings:Compliant"),0)/MAX(1,(LEN($I1574)-LEN(SUBSTITUTE($I1574," Ltd","")))/LEN(" Ltd")),0)</f>
        <v/>
      </c>
    </row>
    <row r="1574" ht="15" customHeight="1" s="146">
      <c r="Y1574" s="122">
        <f>MAX(0,IFERROR((LEN($T1575)-LEN(SUBSTITUTE($T1575,"Quality of Works / Criteria of Failings:","")))/LEN("Quality of Works / Criteria of Failings:"),0)-IFERROR((LEN($T1575)-LEN(SUBSTITUTE($T1575,"Quality of Works / Criteria of Failings:Compliant","")))/LEN("Quality of Works / Criteria of Failings:Compliant"),0))</f>
        <v/>
      </c>
      <c r="Z1574" s="122">
        <f>IFERROR($Y1575/MAX(1,(LEN($I1575)-LEN(SUBSTITUTE($I1575," Ltd","")))/LEN(" Ltd")),0)</f>
        <v/>
      </c>
      <c r="AA1574" s="122">
        <f>IFERROR(IFERROR((LEN($T1575)-LEN(SUBSTITUTE($T1575,"Quality of Works / Criteria of Failings:","")))/LEN("Quality of Works / Criteria of Failings:"),0)/MAX(1,(LEN($I1575)-LEN(SUBSTITUTE($I1575," Ltd","")))/LEN(" Ltd")),0)</f>
        <v/>
      </c>
      <c r="AB1574" s="122">
        <f>IFERROR(IFERROR((LEN($T1575)-LEN(SUBSTITUTE($T1575,"Quality of Works / Criteria of Failings:Compliant","")))/LEN("Quality of Works / Criteria of Failings:Compliant"),0)/MAX(1,(LEN($I1575)-LEN(SUBSTITUTE($I1575," Ltd","")))/LEN(" Ltd")),0)</f>
        <v/>
      </c>
    </row>
    <row r="1575" ht="15" customHeight="1" s="146">
      <c r="Y1575" s="122">
        <f>MAX(0,IFERROR((LEN($T1576)-LEN(SUBSTITUTE($T1576,"Quality of Works / Criteria of Failings:","")))/LEN("Quality of Works / Criteria of Failings:"),0)-IFERROR((LEN($T1576)-LEN(SUBSTITUTE($T1576,"Quality of Works / Criteria of Failings:Compliant","")))/LEN("Quality of Works / Criteria of Failings:Compliant"),0))</f>
        <v/>
      </c>
      <c r="Z1575" s="122">
        <f>IFERROR($Y1576/MAX(1,(LEN($I1576)-LEN(SUBSTITUTE($I1576," Ltd","")))/LEN(" Ltd")),0)</f>
        <v/>
      </c>
      <c r="AA1575" s="122">
        <f>IFERROR(IFERROR((LEN($T1576)-LEN(SUBSTITUTE($T1576,"Quality of Works / Criteria of Failings:","")))/LEN("Quality of Works / Criteria of Failings:"),0)/MAX(1,(LEN($I1576)-LEN(SUBSTITUTE($I1576," Ltd","")))/LEN(" Ltd")),0)</f>
        <v/>
      </c>
      <c r="AB1575" s="122">
        <f>IFERROR(IFERROR((LEN($T1576)-LEN(SUBSTITUTE($T1576,"Quality of Works / Criteria of Failings:Compliant","")))/LEN("Quality of Works / Criteria of Failings:Compliant"),0)/MAX(1,(LEN($I1576)-LEN(SUBSTITUTE($I1576," Ltd","")))/LEN(" Ltd")),0)</f>
        <v/>
      </c>
    </row>
    <row r="1576" ht="15" customHeight="1" s="146">
      <c r="Y1576" s="122">
        <f>MAX(0,IFERROR((LEN($T1577)-LEN(SUBSTITUTE($T1577,"Quality of Works / Criteria of Failings:","")))/LEN("Quality of Works / Criteria of Failings:"),0)-IFERROR((LEN($T1577)-LEN(SUBSTITUTE($T1577,"Quality of Works / Criteria of Failings:Compliant","")))/LEN("Quality of Works / Criteria of Failings:Compliant"),0))</f>
        <v/>
      </c>
      <c r="Z1576" s="122">
        <f>IFERROR($Y1577/MAX(1,(LEN($I1577)-LEN(SUBSTITUTE($I1577," Ltd","")))/LEN(" Ltd")),0)</f>
        <v/>
      </c>
      <c r="AA1576" s="122">
        <f>IFERROR(IFERROR((LEN($T1577)-LEN(SUBSTITUTE($T1577,"Quality of Works / Criteria of Failings:","")))/LEN("Quality of Works / Criteria of Failings:"),0)/MAX(1,(LEN($I1577)-LEN(SUBSTITUTE($I1577," Ltd","")))/LEN(" Ltd")),0)</f>
        <v/>
      </c>
      <c r="AB1576" s="122">
        <f>IFERROR(IFERROR((LEN($T1577)-LEN(SUBSTITUTE($T1577,"Quality of Works / Criteria of Failings:Compliant","")))/LEN("Quality of Works / Criteria of Failings:Compliant"),0)/MAX(1,(LEN($I1577)-LEN(SUBSTITUTE($I1577," Ltd","")))/LEN(" Ltd")),0)</f>
        <v/>
      </c>
    </row>
    <row r="1577" ht="15" customHeight="1" s="146">
      <c r="Y1577" s="122">
        <f>MAX(0,IFERROR((LEN($T1578)-LEN(SUBSTITUTE($T1578,"Quality of Works / Criteria of Failings:","")))/LEN("Quality of Works / Criteria of Failings:"),0)-IFERROR((LEN($T1578)-LEN(SUBSTITUTE($T1578,"Quality of Works / Criteria of Failings:Compliant","")))/LEN("Quality of Works / Criteria of Failings:Compliant"),0))</f>
        <v/>
      </c>
      <c r="Z1577" s="122">
        <f>IFERROR($Y1578/MAX(1,(LEN($I1578)-LEN(SUBSTITUTE($I1578," Ltd","")))/LEN(" Ltd")),0)</f>
        <v/>
      </c>
      <c r="AA1577" s="122">
        <f>IFERROR(IFERROR((LEN($T1578)-LEN(SUBSTITUTE($T1578,"Quality of Works / Criteria of Failings:","")))/LEN("Quality of Works / Criteria of Failings:"),0)/MAX(1,(LEN($I1578)-LEN(SUBSTITUTE($I1578," Ltd","")))/LEN(" Ltd")),0)</f>
        <v/>
      </c>
      <c r="AB1577" s="122">
        <f>IFERROR(IFERROR((LEN($T1578)-LEN(SUBSTITUTE($T1578,"Quality of Works / Criteria of Failings:Compliant","")))/LEN("Quality of Works / Criteria of Failings:Compliant"),0)/MAX(1,(LEN($I1578)-LEN(SUBSTITUTE($I1578," Ltd","")))/LEN(" Ltd")),0)</f>
        <v/>
      </c>
    </row>
    <row r="1578" ht="15" customHeight="1" s="146">
      <c r="Y1578" s="122">
        <f>MAX(0,IFERROR((LEN($T1579)-LEN(SUBSTITUTE($T1579,"Quality of Works / Criteria of Failings:","")))/LEN("Quality of Works / Criteria of Failings:"),0)-IFERROR((LEN($T1579)-LEN(SUBSTITUTE($T1579,"Quality of Works / Criteria of Failings:Compliant","")))/LEN("Quality of Works / Criteria of Failings:Compliant"),0))</f>
        <v/>
      </c>
      <c r="Z1578" s="122">
        <f>IFERROR($Y1579/MAX(1,(LEN($I1579)-LEN(SUBSTITUTE($I1579," Ltd","")))/LEN(" Ltd")),0)</f>
        <v/>
      </c>
      <c r="AA1578" s="122">
        <f>IFERROR(IFERROR((LEN($T1579)-LEN(SUBSTITUTE($T1579,"Quality of Works / Criteria of Failings:","")))/LEN("Quality of Works / Criteria of Failings:"),0)/MAX(1,(LEN($I1579)-LEN(SUBSTITUTE($I1579," Ltd","")))/LEN(" Ltd")),0)</f>
        <v/>
      </c>
      <c r="AB1578" s="122">
        <f>IFERROR(IFERROR((LEN($T1579)-LEN(SUBSTITUTE($T1579,"Quality of Works / Criteria of Failings:Compliant","")))/LEN("Quality of Works / Criteria of Failings:Compliant"),0)/MAX(1,(LEN($I1579)-LEN(SUBSTITUTE($I1579," Ltd","")))/LEN(" Ltd")),0)</f>
        <v/>
      </c>
    </row>
    <row r="1579" ht="15" customHeight="1" s="146">
      <c r="Y1579" s="122">
        <f>MAX(0,IFERROR((LEN($T1580)-LEN(SUBSTITUTE($T1580,"Quality of Works / Criteria of Failings:","")))/LEN("Quality of Works / Criteria of Failings:"),0)-IFERROR((LEN($T1580)-LEN(SUBSTITUTE($T1580,"Quality of Works / Criteria of Failings:Compliant","")))/LEN("Quality of Works / Criteria of Failings:Compliant"),0))</f>
        <v/>
      </c>
      <c r="Z1579" s="122">
        <f>IFERROR($Y1580/MAX(1,(LEN($I1580)-LEN(SUBSTITUTE($I1580," Ltd","")))/LEN(" Ltd")),0)</f>
        <v/>
      </c>
      <c r="AA1579" s="122">
        <f>IFERROR(IFERROR((LEN($T1580)-LEN(SUBSTITUTE($T1580,"Quality of Works / Criteria of Failings:","")))/LEN("Quality of Works / Criteria of Failings:"),0)/MAX(1,(LEN($I1580)-LEN(SUBSTITUTE($I1580," Ltd","")))/LEN(" Ltd")),0)</f>
        <v/>
      </c>
      <c r="AB1579" s="122">
        <f>IFERROR(IFERROR((LEN($T1580)-LEN(SUBSTITUTE($T1580,"Quality of Works / Criteria of Failings:Compliant","")))/LEN("Quality of Works / Criteria of Failings:Compliant"),0)/MAX(1,(LEN($I1580)-LEN(SUBSTITUTE($I1580," Ltd","")))/LEN(" Ltd")),0)</f>
        <v/>
      </c>
    </row>
    <row r="1580" ht="15" customHeight="1" s="146">
      <c r="Y1580" s="122">
        <f>MAX(0,IFERROR((LEN($T1581)-LEN(SUBSTITUTE($T1581,"Quality of Works / Criteria of Failings:","")))/LEN("Quality of Works / Criteria of Failings:"),0)-IFERROR((LEN($T1581)-LEN(SUBSTITUTE($T1581,"Quality of Works / Criteria of Failings:Compliant","")))/LEN("Quality of Works / Criteria of Failings:Compliant"),0))</f>
        <v/>
      </c>
      <c r="Z1580" s="122">
        <f>IFERROR($Y1581/MAX(1,(LEN($I1581)-LEN(SUBSTITUTE($I1581," Ltd","")))/LEN(" Ltd")),0)</f>
        <v/>
      </c>
      <c r="AA1580" s="122">
        <f>IFERROR(IFERROR((LEN($T1581)-LEN(SUBSTITUTE($T1581,"Quality of Works / Criteria of Failings:","")))/LEN("Quality of Works / Criteria of Failings:"),0)/MAX(1,(LEN($I1581)-LEN(SUBSTITUTE($I1581," Ltd","")))/LEN(" Ltd")),0)</f>
        <v/>
      </c>
      <c r="AB1580" s="122">
        <f>IFERROR(IFERROR((LEN($T1581)-LEN(SUBSTITUTE($T1581,"Quality of Works / Criteria of Failings:Compliant","")))/LEN("Quality of Works / Criteria of Failings:Compliant"),0)/MAX(1,(LEN($I1581)-LEN(SUBSTITUTE($I1581," Ltd","")))/LEN(" Ltd")),0)</f>
        <v/>
      </c>
    </row>
    <row r="1581" ht="15" customHeight="1" s="146">
      <c r="Y1581" s="122">
        <f>MAX(0,IFERROR((LEN($T1582)-LEN(SUBSTITUTE($T1582,"Quality of Works / Criteria of Failings:","")))/LEN("Quality of Works / Criteria of Failings:"),0)-IFERROR((LEN($T1582)-LEN(SUBSTITUTE($T1582,"Quality of Works / Criteria of Failings:Compliant","")))/LEN("Quality of Works / Criteria of Failings:Compliant"),0))</f>
        <v/>
      </c>
      <c r="Z1581" s="122">
        <f>IFERROR($Y1582/MAX(1,(LEN($I1582)-LEN(SUBSTITUTE($I1582," Ltd","")))/LEN(" Ltd")),0)</f>
        <v/>
      </c>
      <c r="AA1581" s="122">
        <f>IFERROR(IFERROR((LEN($T1582)-LEN(SUBSTITUTE($T1582,"Quality of Works / Criteria of Failings:","")))/LEN("Quality of Works / Criteria of Failings:"),0)/MAX(1,(LEN($I1582)-LEN(SUBSTITUTE($I1582," Ltd","")))/LEN(" Ltd")),0)</f>
        <v/>
      </c>
      <c r="AB1581" s="122">
        <f>IFERROR(IFERROR((LEN($T1582)-LEN(SUBSTITUTE($T1582,"Quality of Works / Criteria of Failings:Compliant","")))/LEN("Quality of Works / Criteria of Failings:Compliant"),0)/MAX(1,(LEN($I1582)-LEN(SUBSTITUTE($I1582," Ltd","")))/LEN(" Ltd")),0)</f>
        <v/>
      </c>
    </row>
    <row r="1582" ht="15" customHeight="1" s="146">
      <c r="Y1582" s="122">
        <f>MAX(0,IFERROR((LEN($T1583)-LEN(SUBSTITUTE($T1583,"Quality of Works / Criteria of Failings:","")))/LEN("Quality of Works / Criteria of Failings:"),0)-IFERROR((LEN($T1583)-LEN(SUBSTITUTE($T1583,"Quality of Works / Criteria of Failings:Compliant","")))/LEN("Quality of Works / Criteria of Failings:Compliant"),0))</f>
        <v/>
      </c>
      <c r="Z1582" s="122">
        <f>IFERROR($Y1583/MAX(1,(LEN($I1583)-LEN(SUBSTITUTE($I1583," Ltd","")))/LEN(" Ltd")),0)</f>
        <v/>
      </c>
      <c r="AA1582" s="122">
        <f>IFERROR(IFERROR((LEN($T1583)-LEN(SUBSTITUTE($T1583,"Quality of Works / Criteria of Failings:","")))/LEN("Quality of Works / Criteria of Failings:"),0)/MAX(1,(LEN($I1583)-LEN(SUBSTITUTE($I1583," Ltd","")))/LEN(" Ltd")),0)</f>
        <v/>
      </c>
      <c r="AB1582" s="122">
        <f>IFERROR(IFERROR((LEN($T1583)-LEN(SUBSTITUTE($T1583,"Quality of Works / Criteria of Failings:Compliant","")))/LEN("Quality of Works / Criteria of Failings:Compliant"),0)/MAX(1,(LEN($I1583)-LEN(SUBSTITUTE($I1583," Ltd","")))/LEN(" Ltd")),0)</f>
        <v/>
      </c>
    </row>
    <row r="1583" ht="15" customHeight="1" s="146">
      <c r="Y1583" s="122">
        <f>MAX(0,IFERROR((LEN($T1584)-LEN(SUBSTITUTE($T1584,"Quality of Works / Criteria of Failings:","")))/LEN("Quality of Works / Criteria of Failings:"),0)-IFERROR((LEN($T1584)-LEN(SUBSTITUTE($T1584,"Quality of Works / Criteria of Failings:Compliant","")))/LEN("Quality of Works / Criteria of Failings:Compliant"),0))</f>
        <v/>
      </c>
      <c r="Z1583" s="122">
        <f>IFERROR($Y1584/MAX(1,(LEN($I1584)-LEN(SUBSTITUTE($I1584," Ltd","")))/LEN(" Ltd")),0)</f>
        <v/>
      </c>
      <c r="AA1583" s="122">
        <f>IFERROR(IFERROR((LEN($T1584)-LEN(SUBSTITUTE($T1584,"Quality of Works / Criteria of Failings:","")))/LEN("Quality of Works / Criteria of Failings:"),0)/MAX(1,(LEN($I1584)-LEN(SUBSTITUTE($I1584," Ltd","")))/LEN(" Ltd")),0)</f>
        <v/>
      </c>
      <c r="AB1583" s="122">
        <f>IFERROR(IFERROR((LEN($T1584)-LEN(SUBSTITUTE($T1584,"Quality of Works / Criteria of Failings:Compliant","")))/LEN("Quality of Works / Criteria of Failings:Compliant"),0)/MAX(1,(LEN($I1584)-LEN(SUBSTITUTE($I1584," Ltd","")))/LEN(" Ltd")),0)</f>
        <v/>
      </c>
    </row>
    <row r="1584" ht="15" customHeight="1" s="146">
      <c r="Y1584" s="122">
        <f>MAX(0,IFERROR((LEN($T1585)-LEN(SUBSTITUTE($T1585,"Quality of Works / Criteria of Failings:","")))/LEN("Quality of Works / Criteria of Failings:"),0)-IFERROR((LEN($T1585)-LEN(SUBSTITUTE($T1585,"Quality of Works / Criteria of Failings:Compliant","")))/LEN("Quality of Works / Criteria of Failings:Compliant"),0))</f>
        <v/>
      </c>
      <c r="Z1584" s="122">
        <f>IFERROR($Y1585/MAX(1,(LEN($I1585)-LEN(SUBSTITUTE($I1585," Ltd","")))/LEN(" Ltd")),0)</f>
        <v/>
      </c>
      <c r="AA1584" s="122">
        <f>IFERROR(IFERROR((LEN($T1585)-LEN(SUBSTITUTE($T1585,"Quality of Works / Criteria of Failings:","")))/LEN("Quality of Works / Criteria of Failings:"),0)/MAX(1,(LEN($I1585)-LEN(SUBSTITUTE($I1585," Ltd","")))/LEN(" Ltd")),0)</f>
        <v/>
      </c>
      <c r="AB1584" s="122">
        <f>IFERROR(IFERROR((LEN($T1585)-LEN(SUBSTITUTE($T1585,"Quality of Works / Criteria of Failings:Compliant","")))/LEN("Quality of Works / Criteria of Failings:Compliant"),0)/MAX(1,(LEN($I1585)-LEN(SUBSTITUTE($I1585," Ltd","")))/LEN(" Ltd")),0)</f>
        <v/>
      </c>
    </row>
    <row r="1585" ht="15" customHeight="1" s="146">
      <c r="Y1585" s="122">
        <f>MAX(0,IFERROR((LEN($T1586)-LEN(SUBSTITUTE($T1586,"Quality of Works / Criteria of Failings:","")))/LEN("Quality of Works / Criteria of Failings:"),0)-IFERROR((LEN($T1586)-LEN(SUBSTITUTE($T1586,"Quality of Works / Criteria of Failings:Compliant","")))/LEN("Quality of Works / Criteria of Failings:Compliant"),0))</f>
        <v/>
      </c>
      <c r="Z1585" s="122">
        <f>IFERROR($Y1586/MAX(1,(LEN($I1586)-LEN(SUBSTITUTE($I1586," Ltd","")))/LEN(" Ltd")),0)</f>
        <v/>
      </c>
      <c r="AA1585" s="122">
        <f>IFERROR(IFERROR((LEN($T1586)-LEN(SUBSTITUTE($T1586,"Quality of Works / Criteria of Failings:","")))/LEN("Quality of Works / Criteria of Failings:"),0)/MAX(1,(LEN($I1586)-LEN(SUBSTITUTE($I1586," Ltd","")))/LEN(" Ltd")),0)</f>
        <v/>
      </c>
      <c r="AB1585" s="122">
        <f>IFERROR(IFERROR((LEN($T1586)-LEN(SUBSTITUTE($T1586,"Quality of Works / Criteria of Failings:Compliant","")))/LEN("Quality of Works / Criteria of Failings:Compliant"),0)/MAX(1,(LEN($I1586)-LEN(SUBSTITUTE($I1586," Ltd","")))/LEN(" Ltd")),0)</f>
        <v/>
      </c>
    </row>
    <row r="1586" ht="15" customHeight="1" s="146">
      <c r="Y1586" s="122">
        <f>MAX(0,IFERROR((LEN($T1587)-LEN(SUBSTITUTE($T1587,"Quality of Works / Criteria of Failings:","")))/LEN("Quality of Works / Criteria of Failings:"),0)-IFERROR((LEN($T1587)-LEN(SUBSTITUTE($T1587,"Quality of Works / Criteria of Failings:Compliant","")))/LEN("Quality of Works / Criteria of Failings:Compliant"),0))</f>
        <v/>
      </c>
      <c r="Z1586" s="122">
        <f>IFERROR($Y1587/MAX(1,(LEN($I1587)-LEN(SUBSTITUTE($I1587," Ltd","")))/LEN(" Ltd")),0)</f>
        <v/>
      </c>
      <c r="AA1586" s="122">
        <f>IFERROR(IFERROR((LEN($T1587)-LEN(SUBSTITUTE($T1587,"Quality of Works / Criteria of Failings:","")))/LEN("Quality of Works / Criteria of Failings:"),0)/MAX(1,(LEN($I1587)-LEN(SUBSTITUTE($I1587," Ltd","")))/LEN(" Ltd")),0)</f>
        <v/>
      </c>
      <c r="AB1586" s="122">
        <f>IFERROR(IFERROR((LEN($T1587)-LEN(SUBSTITUTE($T1587,"Quality of Works / Criteria of Failings:Compliant","")))/LEN("Quality of Works / Criteria of Failings:Compliant"),0)/MAX(1,(LEN($I1587)-LEN(SUBSTITUTE($I1587," Ltd","")))/LEN(" Ltd")),0)</f>
        <v/>
      </c>
    </row>
    <row r="1587" ht="15" customHeight="1" s="146">
      <c r="Y1587" s="122">
        <f>MAX(0,IFERROR((LEN($T1588)-LEN(SUBSTITUTE($T1588,"Quality of Works / Criteria of Failings:","")))/LEN("Quality of Works / Criteria of Failings:"),0)-IFERROR((LEN($T1588)-LEN(SUBSTITUTE($T1588,"Quality of Works / Criteria of Failings:Compliant","")))/LEN("Quality of Works / Criteria of Failings:Compliant"),0))</f>
        <v/>
      </c>
      <c r="Z1587" s="122">
        <f>IFERROR($Y1588/MAX(1,(LEN($I1588)-LEN(SUBSTITUTE($I1588," Ltd","")))/LEN(" Ltd")),0)</f>
        <v/>
      </c>
      <c r="AA1587" s="122">
        <f>IFERROR(IFERROR((LEN($T1588)-LEN(SUBSTITUTE($T1588,"Quality of Works / Criteria of Failings:","")))/LEN("Quality of Works / Criteria of Failings:"),0)/MAX(1,(LEN($I1588)-LEN(SUBSTITUTE($I1588," Ltd","")))/LEN(" Ltd")),0)</f>
        <v/>
      </c>
      <c r="AB1587" s="122">
        <f>IFERROR(IFERROR((LEN($T1588)-LEN(SUBSTITUTE($T1588,"Quality of Works / Criteria of Failings:Compliant","")))/LEN("Quality of Works / Criteria of Failings:Compliant"),0)/MAX(1,(LEN($I1588)-LEN(SUBSTITUTE($I1588," Ltd","")))/LEN(" Ltd")),0)</f>
        <v/>
      </c>
    </row>
    <row r="1588" ht="15" customHeight="1" s="146">
      <c r="Y1588" s="122">
        <f>MAX(0,IFERROR((LEN($T1589)-LEN(SUBSTITUTE($T1589,"Quality of Works / Criteria of Failings:","")))/LEN("Quality of Works / Criteria of Failings:"),0)-IFERROR((LEN($T1589)-LEN(SUBSTITUTE($T1589,"Quality of Works / Criteria of Failings:Compliant","")))/LEN("Quality of Works / Criteria of Failings:Compliant"),0))</f>
        <v/>
      </c>
      <c r="Z1588" s="122">
        <f>IFERROR($Y1589/MAX(1,(LEN($I1589)-LEN(SUBSTITUTE($I1589," Ltd","")))/LEN(" Ltd")),0)</f>
        <v/>
      </c>
      <c r="AA1588" s="122">
        <f>IFERROR(IFERROR((LEN($T1589)-LEN(SUBSTITUTE($T1589,"Quality of Works / Criteria of Failings:","")))/LEN("Quality of Works / Criteria of Failings:"),0)/MAX(1,(LEN($I1589)-LEN(SUBSTITUTE($I1589," Ltd","")))/LEN(" Ltd")),0)</f>
        <v/>
      </c>
      <c r="AB1588" s="122">
        <f>IFERROR(IFERROR((LEN($T1589)-LEN(SUBSTITUTE($T1589,"Quality of Works / Criteria of Failings:Compliant","")))/LEN("Quality of Works / Criteria of Failings:Compliant"),0)/MAX(1,(LEN($I1589)-LEN(SUBSTITUTE($I1589," Ltd","")))/LEN(" Ltd")),0)</f>
        <v/>
      </c>
    </row>
    <row r="1589" ht="15" customHeight="1" s="146">
      <c r="Y1589" s="122">
        <f>MAX(0,IFERROR((LEN($T1590)-LEN(SUBSTITUTE($T1590,"Quality of Works / Criteria of Failings:","")))/LEN("Quality of Works / Criteria of Failings:"),0)-IFERROR((LEN($T1590)-LEN(SUBSTITUTE($T1590,"Quality of Works / Criteria of Failings:Compliant","")))/LEN("Quality of Works / Criteria of Failings:Compliant"),0))</f>
        <v/>
      </c>
      <c r="Z1589" s="122">
        <f>IFERROR($Y1590/MAX(1,(LEN($I1590)-LEN(SUBSTITUTE($I1590," Ltd","")))/LEN(" Ltd")),0)</f>
        <v/>
      </c>
      <c r="AA1589" s="122">
        <f>IFERROR(IFERROR((LEN($T1590)-LEN(SUBSTITUTE($T1590,"Quality of Works / Criteria of Failings:","")))/LEN("Quality of Works / Criteria of Failings:"),0)/MAX(1,(LEN($I1590)-LEN(SUBSTITUTE($I1590," Ltd","")))/LEN(" Ltd")),0)</f>
        <v/>
      </c>
      <c r="AB1589" s="122">
        <f>IFERROR(IFERROR((LEN($T1590)-LEN(SUBSTITUTE($T1590,"Quality of Works / Criteria of Failings:Compliant","")))/LEN("Quality of Works / Criteria of Failings:Compliant"),0)/MAX(1,(LEN($I1590)-LEN(SUBSTITUTE($I1590," Ltd","")))/LEN(" Ltd")),0)</f>
        <v/>
      </c>
    </row>
    <row r="1590" ht="15" customHeight="1" s="146">
      <c r="Y1590" s="122">
        <f>MAX(0,IFERROR((LEN($T1591)-LEN(SUBSTITUTE($T1591,"Quality of Works / Criteria of Failings:","")))/LEN("Quality of Works / Criteria of Failings:"),0)-IFERROR((LEN($T1591)-LEN(SUBSTITUTE($T1591,"Quality of Works / Criteria of Failings:Compliant","")))/LEN("Quality of Works / Criteria of Failings:Compliant"),0))</f>
        <v/>
      </c>
      <c r="Z1590" s="122">
        <f>IFERROR($Y1591/MAX(1,(LEN($I1591)-LEN(SUBSTITUTE($I1591," Ltd","")))/LEN(" Ltd")),0)</f>
        <v/>
      </c>
      <c r="AA1590" s="122">
        <f>IFERROR(IFERROR((LEN($T1591)-LEN(SUBSTITUTE($T1591,"Quality of Works / Criteria of Failings:","")))/LEN("Quality of Works / Criteria of Failings:"),0)/MAX(1,(LEN($I1591)-LEN(SUBSTITUTE($I1591," Ltd","")))/LEN(" Ltd")),0)</f>
        <v/>
      </c>
      <c r="AB1590" s="122">
        <f>IFERROR(IFERROR((LEN($T1591)-LEN(SUBSTITUTE($T1591,"Quality of Works / Criteria of Failings:Compliant","")))/LEN("Quality of Works / Criteria of Failings:Compliant"),0)/MAX(1,(LEN($I1591)-LEN(SUBSTITUTE($I1591," Ltd","")))/LEN(" Ltd")),0)</f>
        <v/>
      </c>
    </row>
    <row r="1591" ht="15" customHeight="1" s="146">
      <c r="Y1591" s="122">
        <f>MAX(0,IFERROR((LEN($T1592)-LEN(SUBSTITUTE($T1592,"Quality of Works / Criteria of Failings:","")))/LEN("Quality of Works / Criteria of Failings:"),0)-IFERROR((LEN($T1592)-LEN(SUBSTITUTE($T1592,"Quality of Works / Criteria of Failings:Compliant","")))/LEN("Quality of Works / Criteria of Failings:Compliant"),0))</f>
        <v/>
      </c>
      <c r="Z1591" s="122">
        <f>IFERROR($Y1592/MAX(1,(LEN($I1592)-LEN(SUBSTITUTE($I1592," Ltd","")))/LEN(" Ltd")),0)</f>
        <v/>
      </c>
      <c r="AA1591" s="122">
        <f>IFERROR(IFERROR((LEN($T1592)-LEN(SUBSTITUTE($T1592,"Quality of Works / Criteria of Failings:","")))/LEN("Quality of Works / Criteria of Failings:"),0)/MAX(1,(LEN($I1592)-LEN(SUBSTITUTE($I1592," Ltd","")))/LEN(" Ltd")),0)</f>
        <v/>
      </c>
      <c r="AB1591" s="122">
        <f>IFERROR(IFERROR((LEN($T1592)-LEN(SUBSTITUTE($T1592,"Quality of Works / Criteria of Failings:Compliant","")))/LEN("Quality of Works / Criteria of Failings:Compliant"),0)/MAX(1,(LEN($I1592)-LEN(SUBSTITUTE($I1592," Ltd","")))/LEN(" Ltd")),0)</f>
        <v/>
      </c>
    </row>
    <row r="1592" ht="15" customHeight="1" s="146">
      <c r="Y1592" s="122">
        <f>MAX(0,IFERROR((LEN($T1593)-LEN(SUBSTITUTE($T1593,"Quality of Works / Criteria of Failings:","")))/LEN("Quality of Works / Criteria of Failings:"),0)-IFERROR((LEN($T1593)-LEN(SUBSTITUTE($T1593,"Quality of Works / Criteria of Failings:Compliant","")))/LEN("Quality of Works / Criteria of Failings:Compliant"),0))</f>
        <v/>
      </c>
      <c r="Z1592" s="122">
        <f>IFERROR($Y1593/MAX(1,(LEN($I1593)-LEN(SUBSTITUTE($I1593," Ltd","")))/LEN(" Ltd")),0)</f>
        <v/>
      </c>
      <c r="AA1592" s="122">
        <f>IFERROR(IFERROR((LEN($T1593)-LEN(SUBSTITUTE($T1593,"Quality of Works / Criteria of Failings:","")))/LEN("Quality of Works / Criteria of Failings:"),0)/MAX(1,(LEN($I1593)-LEN(SUBSTITUTE($I1593," Ltd","")))/LEN(" Ltd")),0)</f>
        <v/>
      </c>
      <c r="AB1592" s="122">
        <f>IFERROR(IFERROR((LEN($T1593)-LEN(SUBSTITUTE($T1593,"Quality of Works / Criteria of Failings:Compliant","")))/LEN("Quality of Works / Criteria of Failings:Compliant"),0)/MAX(1,(LEN($I1593)-LEN(SUBSTITUTE($I1593," Ltd","")))/LEN(" Ltd")),0)</f>
        <v/>
      </c>
    </row>
    <row r="1593" ht="15" customHeight="1" s="146">
      <c r="Y1593" s="122">
        <f>MAX(0,IFERROR((LEN($T1594)-LEN(SUBSTITUTE($T1594,"Quality of Works / Criteria of Failings:","")))/LEN("Quality of Works / Criteria of Failings:"),0)-IFERROR((LEN($T1594)-LEN(SUBSTITUTE($T1594,"Quality of Works / Criteria of Failings:Compliant","")))/LEN("Quality of Works / Criteria of Failings:Compliant"),0))</f>
        <v/>
      </c>
      <c r="Z1593" s="122">
        <f>IFERROR($Y1594/MAX(1,(LEN($I1594)-LEN(SUBSTITUTE($I1594," Ltd","")))/LEN(" Ltd")),0)</f>
        <v/>
      </c>
      <c r="AA1593" s="122">
        <f>IFERROR(IFERROR((LEN($T1594)-LEN(SUBSTITUTE($T1594,"Quality of Works / Criteria of Failings:","")))/LEN("Quality of Works / Criteria of Failings:"),0)/MAX(1,(LEN($I1594)-LEN(SUBSTITUTE($I1594," Ltd","")))/LEN(" Ltd")),0)</f>
        <v/>
      </c>
      <c r="AB1593" s="122">
        <f>IFERROR(IFERROR((LEN($T1594)-LEN(SUBSTITUTE($T1594,"Quality of Works / Criteria of Failings:Compliant","")))/LEN("Quality of Works / Criteria of Failings:Compliant"),0)/MAX(1,(LEN($I1594)-LEN(SUBSTITUTE($I1594," Ltd","")))/LEN(" Ltd")),0)</f>
        <v/>
      </c>
    </row>
    <row r="1594" ht="15" customHeight="1" s="146">
      <c r="Y1594" s="122">
        <f>MAX(0,IFERROR((LEN($T1595)-LEN(SUBSTITUTE($T1595,"Quality of Works / Criteria of Failings:","")))/LEN("Quality of Works / Criteria of Failings:"),0)-IFERROR((LEN($T1595)-LEN(SUBSTITUTE($T1595,"Quality of Works / Criteria of Failings:Compliant","")))/LEN("Quality of Works / Criteria of Failings:Compliant"),0))</f>
        <v/>
      </c>
      <c r="Z1594" s="122">
        <f>IFERROR($Y1595/MAX(1,(LEN($I1595)-LEN(SUBSTITUTE($I1595," Ltd","")))/LEN(" Ltd")),0)</f>
        <v/>
      </c>
      <c r="AA1594" s="122">
        <f>IFERROR(IFERROR((LEN($T1595)-LEN(SUBSTITUTE($T1595,"Quality of Works / Criteria of Failings:","")))/LEN("Quality of Works / Criteria of Failings:"),0)/MAX(1,(LEN($I1595)-LEN(SUBSTITUTE($I1595," Ltd","")))/LEN(" Ltd")),0)</f>
        <v/>
      </c>
      <c r="AB1594" s="122">
        <f>IFERROR(IFERROR((LEN($T1595)-LEN(SUBSTITUTE($T1595,"Quality of Works / Criteria of Failings:Compliant","")))/LEN("Quality of Works / Criteria of Failings:Compliant"),0)/MAX(1,(LEN($I1595)-LEN(SUBSTITUTE($I1595," Ltd","")))/LEN(" Ltd")),0)</f>
        <v/>
      </c>
    </row>
    <row r="1595" ht="15" customHeight="1" s="146">
      <c r="Y1595" s="122">
        <f>MAX(0,IFERROR((LEN($T1596)-LEN(SUBSTITUTE($T1596,"Quality of Works / Criteria of Failings:","")))/LEN("Quality of Works / Criteria of Failings:"),0)-IFERROR((LEN($T1596)-LEN(SUBSTITUTE($T1596,"Quality of Works / Criteria of Failings:Compliant","")))/LEN("Quality of Works / Criteria of Failings:Compliant"),0))</f>
        <v/>
      </c>
      <c r="Z1595" s="122">
        <f>IFERROR($Y1596/MAX(1,(LEN($I1596)-LEN(SUBSTITUTE($I1596," Ltd","")))/LEN(" Ltd")),0)</f>
        <v/>
      </c>
      <c r="AA1595" s="122">
        <f>IFERROR(IFERROR((LEN($T1596)-LEN(SUBSTITUTE($T1596,"Quality of Works / Criteria of Failings:","")))/LEN("Quality of Works / Criteria of Failings:"),0)/MAX(1,(LEN($I1596)-LEN(SUBSTITUTE($I1596," Ltd","")))/LEN(" Ltd")),0)</f>
        <v/>
      </c>
      <c r="AB1595" s="122">
        <f>IFERROR(IFERROR((LEN($T1596)-LEN(SUBSTITUTE($T1596,"Quality of Works / Criteria of Failings:Compliant","")))/LEN("Quality of Works / Criteria of Failings:Compliant"),0)/MAX(1,(LEN($I1596)-LEN(SUBSTITUTE($I1596," Ltd","")))/LEN(" Ltd")),0)</f>
        <v/>
      </c>
    </row>
    <row r="1596" ht="15" customHeight="1" s="146">
      <c r="Y1596" s="122">
        <f>MAX(0,IFERROR((LEN($T1597)-LEN(SUBSTITUTE($T1597,"Quality of Works / Criteria of Failings:","")))/LEN("Quality of Works / Criteria of Failings:"),0)-IFERROR((LEN($T1597)-LEN(SUBSTITUTE($T1597,"Quality of Works / Criteria of Failings:Compliant","")))/LEN("Quality of Works / Criteria of Failings:Compliant"),0))</f>
        <v/>
      </c>
      <c r="Z1596" s="122">
        <f>IFERROR($Y1597/MAX(1,(LEN($I1597)-LEN(SUBSTITUTE($I1597," Ltd","")))/LEN(" Ltd")),0)</f>
        <v/>
      </c>
      <c r="AA1596" s="122">
        <f>IFERROR(IFERROR((LEN($T1597)-LEN(SUBSTITUTE($T1597,"Quality of Works / Criteria of Failings:","")))/LEN("Quality of Works / Criteria of Failings:"),0)/MAX(1,(LEN($I1597)-LEN(SUBSTITUTE($I1597," Ltd","")))/LEN(" Ltd")),0)</f>
        <v/>
      </c>
      <c r="AB1596" s="122">
        <f>IFERROR(IFERROR((LEN($T1597)-LEN(SUBSTITUTE($T1597,"Quality of Works / Criteria of Failings:Compliant","")))/LEN("Quality of Works / Criteria of Failings:Compliant"),0)/MAX(1,(LEN($I1597)-LEN(SUBSTITUTE($I1597," Ltd","")))/LEN(" Ltd")),0)</f>
        <v/>
      </c>
    </row>
    <row r="1597" ht="15" customHeight="1" s="146">
      <c r="Y1597" s="122">
        <f>MAX(0,IFERROR((LEN($T1598)-LEN(SUBSTITUTE($T1598,"Quality of Works / Criteria of Failings:","")))/LEN("Quality of Works / Criteria of Failings:"),0)-IFERROR((LEN($T1598)-LEN(SUBSTITUTE($T1598,"Quality of Works / Criteria of Failings:Compliant","")))/LEN("Quality of Works / Criteria of Failings:Compliant"),0))</f>
        <v/>
      </c>
      <c r="Z1597" s="122">
        <f>IFERROR($Y1598/MAX(1,(LEN($I1598)-LEN(SUBSTITUTE($I1598," Ltd","")))/LEN(" Ltd")),0)</f>
        <v/>
      </c>
      <c r="AA1597" s="122">
        <f>IFERROR(IFERROR((LEN($T1598)-LEN(SUBSTITUTE($T1598,"Quality of Works / Criteria of Failings:","")))/LEN("Quality of Works / Criteria of Failings:"),0)/MAX(1,(LEN($I1598)-LEN(SUBSTITUTE($I1598," Ltd","")))/LEN(" Ltd")),0)</f>
        <v/>
      </c>
      <c r="AB1597" s="122">
        <f>IFERROR(IFERROR((LEN($T1598)-LEN(SUBSTITUTE($T1598,"Quality of Works / Criteria of Failings:Compliant","")))/LEN("Quality of Works / Criteria of Failings:Compliant"),0)/MAX(1,(LEN($I1598)-LEN(SUBSTITUTE($I1598," Ltd","")))/LEN(" Ltd")),0)</f>
        <v/>
      </c>
    </row>
    <row r="1598" ht="15" customHeight="1" s="146">
      <c r="Y1598" s="122">
        <f>MAX(0,IFERROR((LEN($T1599)-LEN(SUBSTITUTE($T1599,"Quality of Works / Criteria of Failings:","")))/LEN("Quality of Works / Criteria of Failings:"),0)-IFERROR((LEN($T1599)-LEN(SUBSTITUTE($T1599,"Quality of Works / Criteria of Failings:Compliant","")))/LEN("Quality of Works / Criteria of Failings:Compliant"),0))</f>
        <v/>
      </c>
      <c r="Z1598" s="122">
        <f>IFERROR($Y1599/MAX(1,(LEN($I1599)-LEN(SUBSTITUTE($I1599," Ltd","")))/LEN(" Ltd")),0)</f>
        <v/>
      </c>
      <c r="AA1598" s="122">
        <f>IFERROR(IFERROR((LEN($T1599)-LEN(SUBSTITUTE($T1599,"Quality of Works / Criteria of Failings:","")))/LEN("Quality of Works / Criteria of Failings:"),0)/MAX(1,(LEN($I1599)-LEN(SUBSTITUTE($I1599," Ltd","")))/LEN(" Ltd")),0)</f>
        <v/>
      </c>
      <c r="AB1598" s="122">
        <f>IFERROR(IFERROR((LEN($T1599)-LEN(SUBSTITUTE($T1599,"Quality of Works / Criteria of Failings:Compliant","")))/LEN("Quality of Works / Criteria of Failings:Compliant"),0)/MAX(1,(LEN($I1599)-LEN(SUBSTITUTE($I1599," Ltd","")))/LEN(" Ltd")),0)</f>
        <v/>
      </c>
    </row>
    <row r="1599" ht="15" customHeight="1" s="146">
      <c r="Y1599" s="122">
        <f>MAX(0,IFERROR((LEN($T1600)-LEN(SUBSTITUTE($T1600,"Quality of Works / Criteria of Failings:","")))/LEN("Quality of Works / Criteria of Failings:"),0)-IFERROR((LEN($T1600)-LEN(SUBSTITUTE($T1600,"Quality of Works / Criteria of Failings:Compliant","")))/LEN("Quality of Works / Criteria of Failings:Compliant"),0))</f>
        <v/>
      </c>
      <c r="Z1599" s="122">
        <f>IFERROR($Y1600/MAX(1,(LEN($I1600)-LEN(SUBSTITUTE($I1600," Ltd","")))/LEN(" Ltd")),0)</f>
        <v/>
      </c>
      <c r="AA1599" s="122">
        <f>IFERROR(IFERROR((LEN($T1600)-LEN(SUBSTITUTE($T1600,"Quality of Works / Criteria of Failings:","")))/LEN("Quality of Works / Criteria of Failings:"),0)/MAX(1,(LEN($I1600)-LEN(SUBSTITUTE($I1600," Ltd","")))/LEN(" Ltd")),0)</f>
        <v/>
      </c>
      <c r="AB1599" s="122">
        <f>IFERROR(IFERROR((LEN($T1600)-LEN(SUBSTITUTE($T1600,"Quality of Works / Criteria of Failings:Compliant","")))/LEN("Quality of Works / Criteria of Failings:Compliant"),0)/MAX(1,(LEN($I1600)-LEN(SUBSTITUTE($I1600," Ltd","")))/LEN(" Ltd")),0)</f>
        <v/>
      </c>
    </row>
    <row r="1600" ht="15" customHeight="1" s="146">
      <c r="Y1600" s="122">
        <f>MAX(0,IFERROR((LEN($T1601)-LEN(SUBSTITUTE($T1601,"Quality of Works / Criteria of Failings:","")))/LEN("Quality of Works / Criteria of Failings:"),0)-IFERROR((LEN($T1601)-LEN(SUBSTITUTE($T1601,"Quality of Works / Criteria of Failings:Compliant","")))/LEN("Quality of Works / Criteria of Failings:Compliant"),0))</f>
        <v/>
      </c>
      <c r="Z1600" s="122">
        <f>IFERROR($Y1601/MAX(1,(LEN($I1601)-LEN(SUBSTITUTE($I1601," Ltd","")))/LEN(" Ltd")),0)</f>
        <v/>
      </c>
      <c r="AA1600" s="122">
        <f>IFERROR(IFERROR((LEN($T1601)-LEN(SUBSTITUTE($T1601,"Quality of Works / Criteria of Failings:","")))/LEN("Quality of Works / Criteria of Failings:"),0)/MAX(1,(LEN($I1601)-LEN(SUBSTITUTE($I1601," Ltd","")))/LEN(" Ltd")),0)</f>
        <v/>
      </c>
      <c r="AB1600" s="122">
        <f>IFERROR(IFERROR((LEN($T1601)-LEN(SUBSTITUTE($T1601,"Quality of Works / Criteria of Failings:Compliant","")))/LEN("Quality of Works / Criteria of Failings:Compliant"),0)/MAX(1,(LEN($I1601)-LEN(SUBSTITUTE($I1601," Ltd","")))/LEN(" Ltd")),0)</f>
        <v/>
      </c>
    </row>
    <row r="1601" ht="15" customHeight="1" s="146">
      <c r="Y1601" s="122">
        <f>MAX(0,IFERROR((LEN($T1602)-LEN(SUBSTITUTE($T1602,"Quality of Works / Criteria of Failings:","")))/LEN("Quality of Works / Criteria of Failings:"),0)-IFERROR((LEN($T1602)-LEN(SUBSTITUTE($T1602,"Quality of Works / Criteria of Failings:Compliant","")))/LEN("Quality of Works / Criteria of Failings:Compliant"),0))</f>
        <v/>
      </c>
      <c r="Z1601" s="122">
        <f>IFERROR($Y1602/MAX(1,(LEN($I1602)-LEN(SUBSTITUTE($I1602," Ltd","")))/LEN(" Ltd")),0)</f>
        <v/>
      </c>
      <c r="AA1601" s="122">
        <f>IFERROR(IFERROR((LEN($T1602)-LEN(SUBSTITUTE($T1602,"Quality of Works / Criteria of Failings:","")))/LEN("Quality of Works / Criteria of Failings:"),0)/MAX(1,(LEN($I1602)-LEN(SUBSTITUTE($I1602," Ltd","")))/LEN(" Ltd")),0)</f>
        <v/>
      </c>
      <c r="AB1601" s="122">
        <f>IFERROR(IFERROR((LEN($T1602)-LEN(SUBSTITUTE($T1602,"Quality of Works / Criteria of Failings:Compliant","")))/LEN("Quality of Works / Criteria of Failings:Compliant"),0)/MAX(1,(LEN($I1602)-LEN(SUBSTITUTE($I1602," Ltd","")))/LEN(" Ltd")),0)</f>
        <v/>
      </c>
    </row>
    <row r="1602" ht="15" customHeight="1" s="146">
      <c r="Y1602" s="122">
        <f>MAX(0,IFERROR((LEN($T1603)-LEN(SUBSTITUTE($T1603,"Quality of Works / Criteria of Failings:","")))/LEN("Quality of Works / Criteria of Failings:"),0)-IFERROR((LEN($T1603)-LEN(SUBSTITUTE($T1603,"Quality of Works / Criteria of Failings:Compliant","")))/LEN("Quality of Works / Criteria of Failings:Compliant"),0))</f>
        <v/>
      </c>
      <c r="Z1602" s="122">
        <f>IFERROR($Y1603/MAX(1,(LEN($I1603)-LEN(SUBSTITUTE($I1603," Ltd","")))/LEN(" Ltd")),0)</f>
        <v/>
      </c>
      <c r="AA1602" s="122">
        <f>IFERROR(IFERROR((LEN($T1603)-LEN(SUBSTITUTE($T1603,"Quality of Works / Criteria of Failings:","")))/LEN("Quality of Works / Criteria of Failings:"),0)/MAX(1,(LEN($I1603)-LEN(SUBSTITUTE($I1603," Ltd","")))/LEN(" Ltd")),0)</f>
        <v/>
      </c>
      <c r="AB1602" s="122">
        <f>IFERROR(IFERROR((LEN($T1603)-LEN(SUBSTITUTE($T1603,"Quality of Works / Criteria of Failings:Compliant","")))/LEN("Quality of Works / Criteria of Failings:Compliant"),0)/MAX(1,(LEN($I1603)-LEN(SUBSTITUTE($I1603," Ltd","")))/LEN(" Ltd")),0)</f>
        <v/>
      </c>
    </row>
    <row r="1603" ht="15" customHeight="1" s="146">
      <c r="Y1603" s="122">
        <f>MAX(0,IFERROR((LEN($T1604)-LEN(SUBSTITUTE($T1604,"Quality of Works / Criteria of Failings:","")))/LEN("Quality of Works / Criteria of Failings:"),0)-IFERROR((LEN($T1604)-LEN(SUBSTITUTE($T1604,"Quality of Works / Criteria of Failings:Compliant","")))/LEN("Quality of Works / Criteria of Failings:Compliant"),0))</f>
        <v/>
      </c>
      <c r="Z1603" s="122">
        <f>IFERROR($Y1604/MAX(1,(LEN($I1604)-LEN(SUBSTITUTE($I1604," Ltd","")))/LEN(" Ltd")),0)</f>
        <v/>
      </c>
      <c r="AA1603" s="122">
        <f>IFERROR(IFERROR((LEN($T1604)-LEN(SUBSTITUTE($T1604,"Quality of Works / Criteria of Failings:","")))/LEN("Quality of Works / Criteria of Failings:"),0)/MAX(1,(LEN($I1604)-LEN(SUBSTITUTE($I1604," Ltd","")))/LEN(" Ltd")),0)</f>
        <v/>
      </c>
      <c r="AB1603" s="122">
        <f>IFERROR(IFERROR((LEN($T1604)-LEN(SUBSTITUTE($T1604,"Quality of Works / Criteria of Failings:Compliant","")))/LEN("Quality of Works / Criteria of Failings:Compliant"),0)/MAX(1,(LEN($I1604)-LEN(SUBSTITUTE($I1604," Ltd","")))/LEN(" Ltd")),0)</f>
        <v/>
      </c>
    </row>
    <row r="1604" ht="15" customHeight="1" s="146">
      <c r="Y1604" s="122">
        <f>MAX(0,IFERROR((LEN($T1605)-LEN(SUBSTITUTE($T1605,"Quality of Works / Criteria of Failings:","")))/LEN("Quality of Works / Criteria of Failings:"),0)-IFERROR((LEN($T1605)-LEN(SUBSTITUTE($T1605,"Quality of Works / Criteria of Failings:Compliant","")))/LEN("Quality of Works / Criteria of Failings:Compliant"),0))</f>
        <v/>
      </c>
      <c r="Z1604" s="122">
        <f>IFERROR($Y1605/MAX(1,(LEN($I1605)-LEN(SUBSTITUTE($I1605," Ltd","")))/LEN(" Ltd")),0)</f>
        <v/>
      </c>
      <c r="AA1604" s="122">
        <f>IFERROR(IFERROR((LEN($T1605)-LEN(SUBSTITUTE($T1605,"Quality of Works / Criteria of Failings:","")))/LEN("Quality of Works / Criteria of Failings:"),0)/MAX(1,(LEN($I1605)-LEN(SUBSTITUTE($I1605," Ltd","")))/LEN(" Ltd")),0)</f>
        <v/>
      </c>
      <c r="AB1604" s="122">
        <f>IFERROR(IFERROR((LEN($T1605)-LEN(SUBSTITUTE($T1605,"Quality of Works / Criteria of Failings:Compliant","")))/LEN("Quality of Works / Criteria of Failings:Compliant"),0)/MAX(1,(LEN($I1605)-LEN(SUBSTITUTE($I1605," Ltd","")))/LEN(" Ltd")),0)</f>
        <v/>
      </c>
    </row>
    <row r="1605" ht="15" customHeight="1" s="146">
      <c r="Y1605" s="122">
        <f>MAX(0,IFERROR((LEN($T1606)-LEN(SUBSTITUTE($T1606,"Quality of Works / Criteria of Failings:","")))/LEN("Quality of Works / Criteria of Failings:"),0)-IFERROR((LEN($T1606)-LEN(SUBSTITUTE($T1606,"Quality of Works / Criteria of Failings:Compliant","")))/LEN("Quality of Works / Criteria of Failings:Compliant"),0))</f>
        <v/>
      </c>
      <c r="Z1605" s="122">
        <f>IFERROR($Y1606/MAX(1,(LEN($I1606)-LEN(SUBSTITUTE($I1606," Ltd","")))/LEN(" Ltd")),0)</f>
        <v/>
      </c>
      <c r="AA1605" s="122">
        <f>IFERROR(IFERROR((LEN($T1606)-LEN(SUBSTITUTE($T1606,"Quality of Works / Criteria of Failings:","")))/LEN("Quality of Works / Criteria of Failings:"),0)/MAX(1,(LEN($I1606)-LEN(SUBSTITUTE($I1606," Ltd","")))/LEN(" Ltd")),0)</f>
        <v/>
      </c>
      <c r="AB1605" s="122">
        <f>IFERROR(IFERROR((LEN($T1606)-LEN(SUBSTITUTE($T1606,"Quality of Works / Criteria of Failings:Compliant","")))/LEN("Quality of Works / Criteria of Failings:Compliant"),0)/MAX(1,(LEN($I1606)-LEN(SUBSTITUTE($I1606," Ltd","")))/LEN(" Ltd")),0)</f>
        <v/>
      </c>
    </row>
    <row r="1606" ht="15" customHeight="1" s="146">
      <c r="Y1606" s="122">
        <f>MAX(0,IFERROR((LEN($T1607)-LEN(SUBSTITUTE($T1607,"Quality of Works / Criteria of Failings:","")))/LEN("Quality of Works / Criteria of Failings:"),0)-IFERROR((LEN($T1607)-LEN(SUBSTITUTE($T1607,"Quality of Works / Criteria of Failings:Compliant","")))/LEN("Quality of Works / Criteria of Failings:Compliant"),0))</f>
        <v/>
      </c>
      <c r="Z1606" s="122">
        <f>IFERROR($Y1607/MAX(1,(LEN($I1607)-LEN(SUBSTITUTE($I1607," Ltd","")))/LEN(" Ltd")),0)</f>
        <v/>
      </c>
      <c r="AA1606" s="122">
        <f>IFERROR(IFERROR((LEN($T1607)-LEN(SUBSTITUTE($T1607,"Quality of Works / Criteria of Failings:","")))/LEN("Quality of Works / Criteria of Failings:"),0)/MAX(1,(LEN($I1607)-LEN(SUBSTITUTE($I1607," Ltd","")))/LEN(" Ltd")),0)</f>
        <v/>
      </c>
      <c r="AB1606" s="122">
        <f>IFERROR(IFERROR((LEN($T1607)-LEN(SUBSTITUTE($T1607,"Quality of Works / Criteria of Failings:Compliant","")))/LEN("Quality of Works / Criteria of Failings:Compliant"),0)/MAX(1,(LEN($I1607)-LEN(SUBSTITUTE($I1607," Ltd","")))/LEN(" Ltd")),0)</f>
        <v/>
      </c>
    </row>
    <row r="1607" ht="15" customHeight="1" s="146">
      <c r="Y1607" s="122">
        <f>MAX(0,IFERROR((LEN($T1608)-LEN(SUBSTITUTE($T1608,"Quality of Works / Criteria of Failings:","")))/LEN("Quality of Works / Criteria of Failings:"),0)-IFERROR((LEN($T1608)-LEN(SUBSTITUTE($T1608,"Quality of Works / Criteria of Failings:Compliant","")))/LEN("Quality of Works / Criteria of Failings:Compliant"),0))</f>
        <v/>
      </c>
      <c r="Z1607" s="122">
        <f>IFERROR($Y1608/MAX(1,(LEN($I1608)-LEN(SUBSTITUTE($I1608," Ltd","")))/LEN(" Ltd")),0)</f>
        <v/>
      </c>
      <c r="AA1607" s="122">
        <f>IFERROR(IFERROR((LEN($T1608)-LEN(SUBSTITUTE($T1608,"Quality of Works / Criteria of Failings:","")))/LEN("Quality of Works / Criteria of Failings:"),0)/MAX(1,(LEN($I1608)-LEN(SUBSTITUTE($I1608," Ltd","")))/LEN(" Ltd")),0)</f>
        <v/>
      </c>
      <c r="AB1607" s="122">
        <f>IFERROR(IFERROR((LEN($T1608)-LEN(SUBSTITUTE($T1608,"Quality of Works / Criteria of Failings:Compliant","")))/LEN("Quality of Works / Criteria of Failings:Compliant"),0)/MAX(1,(LEN($I1608)-LEN(SUBSTITUTE($I1608," Ltd","")))/LEN(" Ltd")),0)</f>
        <v/>
      </c>
    </row>
    <row r="1608" ht="15" customHeight="1" s="146">
      <c r="Y1608" s="122">
        <f>MAX(0,IFERROR((LEN($T1609)-LEN(SUBSTITUTE($T1609,"Quality of Works / Criteria of Failings:","")))/LEN("Quality of Works / Criteria of Failings:"),0)-IFERROR((LEN($T1609)-LEN(SUBSTITUTE($T1609,"Quality of Works / Criteria of Failings:Compliant","")))/LEN("Quality of Works / Criteria of Failings:Compliant"),0))</f>
        <v/>
      </c>
      <c r="Z1608" s="122">
        <f>IFERROR($Y1609/MAX(1,(LEN($I1609)-LEN(SUBSTITUTE($I1609," Ltd","")))/LEN(" Ltd")),0)</f>
        <v/>
      </c>
      <c r="AA1608" s="122">
        <f>IFERROR(IFERROR((LEN($T1609)-LEN(SUBSTITUTE($T1609,"Quality of Works / Criteria of Failings:","")))/LEN("Quality of Works / Criteria of Failings:"),0)/MAX(1,(LEN($I1609)-LEN(SUBSTITUTE($I1609," Ltd","")))/LEN(" Ltd")),0)</f>
        <v/>
      </c>
      <c r="AB1608" s="122">
        <f>IFERROR(IFERROR((LEN($T1609)-LEN(SUBSTITUTE($T1609,"Quality of Works / Criteria of Failings:Compliant","")))/LEN("Quality of Works / Criteria of Failings:Compliant"),0)/MAX(1,(LEN($I1609)-LEN(SUBSTITUTE($I1609," Ltd","")))/LEN(" Ltd")),0)</f>
        <v/>
      </c>
    </row>
    <row r="1609" ht="15" customHeight="1" s="146">
      <c r="Y1609" s="122">
        <f>MAX(0,IFERROR((LEN($T1610)-LEN(SUBSTITUTE($T1610,"Quality of Works / Criteria of Failings:","")))/LEN("Quality of Works / Criteria of Failings:"),0)-IFERROR((LEN($T1610)-LEN(SUBSTITUTE($T1610,"Quality of Works / Criteria of Failings:Compliant","")))/LEN("Quality of Works / Criteria of Failings:Compliant"),0))</f>
        <v/>
      </c>
      <c r="Z1609" s="122">
        <f>IFERROR($Y1610/MAX(1,(LEN($I1610)-LEN(SUBSTITUTE($I1610," Ltd","")))/LEN(" Ltd")),0)</f>
        <v/>
      </c>
      <c r="AA1609" s="122">
        <f>IFERROR(IFERROR((LEN($T1610)-LEN(SUBSTITUTE($T1610,"Quality of Works / Criteria of Failings:","")))/LEN("Quality of Works / Criteria of Failings:"),0)/MAX(1,(LEN($I1610)-LEN(SUBSTITUTE($I1610," Ltd","")))/LEN(" Ltd")),0)</f>
        <v/>
      </c>
      <c r="AB1609" s="122">
        <f>IFERROR(IFERROR((LEN($T1610)-LEN(SUBSTITUTE($T1610,"Quality of Works / Criteria of Failings:Compliant","")))/LEN("Quality of Works / Criteria of Failings:Compliant"),0)/MAX(1,(LEN($I1610)-LEN(SUBSTITUTE($I1610," Ltd","")))/LEN(" Ltd")),0)</f>
        <v/>
      </c>
    </row>
    <row r="1610" ht="15" customHeight="1" s="146">
      <c r="Y1610" s="122">
        <f>MAX(0,IFERROR((LEN($T1611)-LEN(SUBSTITUTE($T1611,"Quality of Works / Criteria of Failings:","")))/LEN("Quality of Works / Criteria of Failings:"),0)-IFERROR((LEN($T1611)-LEN(SUBSTITUTE($T1611,"Quality of Works / Criteria of Failings:Compliant","")))/LEN("Quality of Works / Criteria of Failings:Compliant"),0))</f>
        <v/>
      </c>
      <c r="Z1610" s="122">
        <f>IFERROR($Y1611/MAX(1,(LEN($I1611)-LEN(SUBSTITUTE($I1611," Ltd","")))/LEN(" Ltd")),0)</f>
        <v/>
      </c>
      <c r="AA1610" s="122">
        <f>IFERROR(IFERROR((LEN($T1611)-LEN(SUBSTITUTE($T1611,"Quality of Works / Criteria of Failings:","")))/LEN("Quality of Works / Criteria of Failings:"),0)/MAX(1,(LEN($I1611)-LEN(SUBSTITUTE($I1611," Ltd","")))/LEN(" Ltd")),0)</f>
        <v/>
      </c>
      <c r="AB1610" s="122">
        <f>IFERROR(IFERROR((LEN($T1611)-LEN(SUBSTITUTE($T1611,"Quality of Works / Criteria of Failings:Compliant","")))/LEN("Quality of Works / Criteria of Failings:Compliant"),0)/MAX(1,(LEN($I1611)-LEN(SUBSTITUTE($I1611," Ltd","")))/LEN(" Ltd")),0)</f>
        <v/>
      </c>
    </row>
    <row r="1611" ht="15" customHeight="1" s="146">
      <c r="Y1611" s="122">
        <f>MAX(0,IFERROR((LEN($T1612)-LEN(SUBSTITUTE($T1612,"Quality of Works / Criteria of Failings:","")))/LEN("Quality of Works / Criteria of Failings:"),0)-IFERROR((LEN($T1612)-LEN(SUBSTITUTE($T1612,"Quality of Works / Criteria of Failings:Compliant","")))/LEN("Quality of Works / Criteria of Failings:Compliant"),0))</f>
        <v/>
      </c>
      <c r="Z1611" s="122">
        <f>IFERROR($Y1612/MAX(1,(LEN($I1612)-LEN(SUBSTITUTE($I1612," Ltd","")))/LEN(" Ltd")),0)</f>
        <v/>
      </c>
      <c r="AA1611" s="122">
        <f>IFERROR(IFERROR((LEN($T1612)-LEN(SUBSTITUTE($T1612,"Quality of Works / Criteria of Failings:","")))/LEN("Quality of Works / Criteria of Failings:"),0)/MAX(1,(LEN($I1612)-LEN(SUBSTITUTE($I1612," Ltd","")))/LEN(" Ltd")),0)</f>
        <v/>
      </c>
      <c r="AB1611" s="122">
        <f>IFERROR(IFERROR((LEN($T1612)-LEN(SUBSTITUTE($T1612,"Quality of Works / Criteria of Failings:Compliant","")))/LEN("Quality of Works / Criteria of Failings:Compliant"),0)/MAX(1,(LEN($I1612)-LEN(SUBSTITUTE($I1612," Ltd","")))/LEN(" Ltd")),0)</f>
        <v/>
      </c>
    </row>
    <row r="1612" ht="15" customHeight="1" s="146">
      <c r="Y1612" s="122">
        <f>MAX(0,IFERROR((LEN($T1613)-LEN(SUBSTITUTE($T1613,"Quality of Works / Criteria of Failings:","")))/LEN("Quality of Works / Criteria of Failings:"),0)-IFERROR((LEN($T1613)-LEN(SUBSTITUTE($T1613,"Quality of Works / Criteria of Failings:Compliant","")))/LEN("Quality of Works / Criteria of Failings:Compliant"),0))</f>
        <v/>
      </c>
      <c r="Z1612" s="122">
        <f>IFERROR($Y1613/MAX(1,(LEN($I1613)-LEN(SUBSTITUTE($I1613," Ltd","")))/LEN(" Ltd")),0)</f>
        <v/>
      </c>
      <c r="AA1612" s="122">
        <f>IFERROR(IFERROR((LEN($T1613)-LEN(SUBSTITUTE($T1613,"Quality of Works / Criteria of Failings:","")))/LEN("Quality of Works / Criteria of Failings:"),0)/MAX(1,(LEN($I1613)-LEN(SUBSTITUTE($I1613," Ltd","")))/LEN(" Ltd")),0)</f>
        <v/>
      </c>
      <c r="AB1612" s="122">
        <f>IFERROR(IFERROR((LEN($T1613)-LEN(SUBSTITUTE($T1613,"Quality of Works / Criteria of Failings:Compliant","")))/LEN("Quality of Works / Criteria of Failings:Compliant"),0)/MAX(1,(LEN($I1613)-LEN(SUBSTITUTE($I1613," Ltd","")))/LEN(" Ltd")),0)</f>
        <v/>
      </c>
    </row>
    <row r="1613" ht="15" customHeight="1" s="146">
      <c r="Y1613" s="122">
        <f>MAX(0,IFERROR((LEN($T1614)-LEN(SUBSTITUTE($T1614,"Quality of Works / Criteria of Failings:","")))/LEN("Quality of Works / Criteria of Failings:"),0)-IFERROR((LEN($T1614)-LEN(SUBSTITUTE($T1614,"Quality of Works / Criteria of Failings:Compliant","")))/LEN("Quality of Works / Criteria of Failings:Compliant"),0))</f>
        <v/>
      </c>
      <c r="Z1613" s="122">
        <f>IFERROR($Y1614/MAX(1,(LEN($I1614)-LEN(SUBSTITUTE($I1614," Ltd","")))/LEN(" Ltd")),0)</f>
        <v/>
      </c>
      <c r="AA1613" s="122">
        <f>IFERROR(IFERROR((LEN($T1614)-LEN(SUBSTITUTE($T1614,"Quality of Works / Criteria of Failings:","")))/LEN("Quality of Works / Criteria of Failings:"),0)/MAX(1,(LEN($I1614)-LEN(SUBSTITUTE($I1614," Ltd","")))/LEN(" Ltd")),0)</f>
        <v/>
      </c>
      <c r="AB1613" s="122">
        <f>IFERROR(IFERROR((LEN($T1614)-LEN(SUBSTITUTE($T1614,"Quality of Works / Criteria of Failings:Compliant","")))/LEN("Quality of Works / Criteria of Failings:Compliant"),0)/MAX(1,(LEN($I1614)-LEN(SUBSTITUTE($I1614," Ltd","")))/LEN(" Ltd")),0)</f>
        <v/>
      </c>
    </row>
    <row r="1614" ht="15" customHeight="1" s="146">
      <c r="Y1614" s="122">
        <f>MAX(0,IFERROR((LEN($T1615)-LEN(SUBSTITUTE($T1615,"Quality of Works / Criteria of Failings:","")))/LEN("Quality of Works / Criteria of Failings:"),0)-IFERROR((LEN($T1615)-LEN(SUBSTITUTE($T1615,"Quality of Works / Criteria of Failings:Compliant","")))/LEN("Quality of Works / Criteria of Failings:Compliant"),0))</f>
        <v/>
      </c>
      <c r="Z1614" s="122">
        <f>IFERROR($Y1615/MAX(1,(LEN($I1615)-LEN(SUBSTITUTE($I1615," Ltd","")))/LEN(" Ltd")),0)</f>
        <v/>
      </c>
      <c r="AA1614" s="122">
        <f>IFERROR(IFERROR((LEN($T1615)-LEN(SUBSTITUTE($T1615,"Quality of Works / Criteria of Failings:","")))/LEN("Quality of Works / Criteria of Failings:"),0)/MAX(1,(LEN($I1615)-LEN(SUBSTITUTE($I1615," Ltd","")))/LEN(" Ltd")),0)</f>
        <v/>
      </c>
      <c r="AB1614" s="122">
        <f>IFERROR(IFERROR((LEN($T1615)-LEN(SUBSTITUTE($T1615,"Quality of Works / Criteria of Failings:Compliant","")))/LEN("Quality of Works / Criteria of Failings:Compliant"),0)/MAX(1,(LEN($I1615)-LEN(SUBSTITUTE($I1615," Ltd","")))/LEN(" Ltd")),0)</f>
        <v/>
      </c>
    </row>
    <row r="1615" ht="15" customHeight="1" s="146">
      <c r="Y1615" s="122">
        <f>MAX(0,IFERROR((LEN($T1616)-LEN(SUBSTITUTE($T1616,"Quality of Works / Criteria of Failings:","")))/LEN("Quality of Works / Criteria of Failings:"),0)-IFERROR((LEN($T1616)-LEN(SUBSTITUTE($T1616,"Quality of Works / Criteria of Failings:Compliant","")))/LEN("Quality of Works / Criteria of Failings:Compliant"),0))</f>
        <v/>
      </c>
      <c r="Z1615" s="122">
        <f>IFERROR($Y1616/MAX(1,(LEN($I1616)-LEN(SUBSTITUTE($I1616," Ltd","")))/LEN(" Ltd")),0)</f>
        <v/>
      </c>
      <c r="AA1615" s="122">
        <f>IFERROR(IFERROR((LEN($T1616)-LEN(SUBSTITUTE($T1616,"Quality of Works / Criteria of Failings:","")))/LEN("Quality of Works / Criteria of Failings:"),0)/MAX(1,(LEN($I1616)-LEN(SUBSTITUTE($I1616," Ltd","")))/LEN(" Ltd")),0)</f>
        <v/>
      </c>
      <c r="AB1615" s="122">
        <f>IFERROR(IFERROR((LEN($T1616)-LEN(SUBSTITUTE($T1616,"Quality of Works / Criteria of Failings:Compliant","")))/LEN("Quality of Works / Criteria of Failings:Compliant"),0)/MAX(1,(LEN($I1616)-LEN(SUBSTITUTE($I1616," Ltd","")))/LEN(" Ltd")),0)</f>
        <v/>
      </c>
    </row>
    <row r="1616" ht="15" customHeight="1" s="146">
      <c r="Y1616" s="122">
        <f>MAX(0,IFERROR((LEN($T1617)-LEN(SUBSTITUTE($T1617,"Quality of Works / Criteria of Failings:","")))/LEN("Quality of Works / Criteria of Failings:"),0)-IFERROR((LEN($T1617)-LEN(SUBSTITUTE($T1617,"Quality of Works / Criteria of Failings:Compliant","")))/LEN("Quality of Works / Criteria of Failings:Compliant"),0))</f>
        <v/>
      </c>
      <c r="Z1616" s="122">
        <f>IFERROR($Y1617/MAX(1,(LEN($I1617)-LEN(SUBSTITUTE($I1617," Ltd","")))/LEN(" Ltd")),0)</f>
        <v/>
      </c>
      <c r="AA1616" s="122">
        <f>IFERROR(IFERROR((LEN($T1617)-LEN(SUBSTITUTE($T1617,"Quality of Works / Criteria of Failings:","")))/LEN("Quality of Works / Criteria of Failings:"),0)/MAX(1,(LEN($I1617)-LEN(SUBSTITUTE($I1617," Ltd","")))/LEN(" Ltd")),0)</f>
        <v/>
      </c>
      <c r="AB1616" s="122">
        <f>IFERROR(IFERROR((LEN($T1617)-LEN(SUBSTITUTE($T1617,"Quality of Works / Criteria of Failings:Compliant","")))/LEN("Quality of Works / Criteria of Failings:Compliant"),0)/MAX(1,(LEN($I1617)-LEN(SUBSTITUTE($I1617," Ltd","")))/LEN(" Ltd")),0)</f>
        <v/>
      </c>
    </row>
    <row r="1617" ht="15" customHeight="1" s="146">
      <c r="Y1617" s="122">
        <f>MAX(0,IFERROR((LEN($T1618)-LEN(SUBSTITUTE($T1618,"Quality of Works / Criteria of Failings:","")))/LEN("Quality of Works / Criteria of Failings:"),0)-IFERROR((LEN($T1618)-LEN(SUBSTITUTE($T1618,"Quality of Works / Criteria of Failings:Compliant","")))/LEN("Quality of Works / Criteria of Failings:Compliant"),0))</f>
        <v/>
      </c>
      <c r="Z1617" s="122">
        <f>IFERROR($Y1618/MAX(1,(LEN($I1618)-LEN(SUBSTITUTE($I1618," Ltd","")))/LEN(" Ltd")),0)</f>
        <v/>
      </c>
      <c r="AA1617" s="122">
        <f>IFERROR(IFERROR((LEN($T1618)-LEN(SUBSTITUTE($T1618,"Quality of Works / Criteria of Failings:","")))/LEN("Quality of Works / Criteria of Failings:"),0)/MAX(1,(LEN($I1618)-LEN(SUBSTITUTE($I1618," Ltd","")))/LEN(" Ltd")),0)</f>
        <v/>
      </c>
      <c r="AB1617" s="122">
        <f>IFERROR(IFERROR((LEN($T1618)-LEN(SUBSTITUTE($T1618,"Quality of Works / Criteria of Failings:Compliant","")))/LEN("Quality of Works / Criteria of Failings:Compliant"),0)/MAX(1,(LEN($I1618)-LEN(SUBSTITUTE($I1618," Ltd","")))/LEN(" Ltd")),0)</f>
        <v/>
      </c>
    </row>
    <row r="1618" ht="15" customHeight="1" s="146">
      <c r="Y1618" s="122">
        <f>MAX(0,IFERROR((LEN($T1619)-LEN(SUBSTITUTE($T1619,"Quality of Works / Criteria of Failings:","")))/LEN("Quality of Works / Criteria of Failings:"),0)-IFERROR((LEN($T1619)-LEN(SUBSTITUTE($T1619,"Quality of Works / Criteria of Failings:Compliant","")))/LEN("Quality of Works / Criteria of Failings:Compliant"),0))</f>
        <v/>
      </c>
      <c r="Z1618" s="122">
        <f>IFERROR($Y1619/MAX(1,(LEN($I1619)-LEN(SUBSTITUTE($I1619," Ltd","")))/LEN(" Ltd")),0)</f>
        <v/>
      </c>
      <c r="AA1618" s="122">
        <f>IFERROR(IFERROR((LEN($T1619)-LEN(SUBSTITUTE($T1619,"Quality of Works / Criteria of Failings:","")))/LEN("Quality of Works / Criteria of Failings:"),0)/MAX(1,(LEN($I1619)-LEN(SUBSTITUTE($I1619," Ltd","")))/LEN(" Ltd")),0)</f>
        <v/>
      </c>
      <c r="AB1618" s="122">
        <f>IFERROR(IFERROR((LEN($T1619)-LEN(SUBSTITUTE($T1619,"Quality of Works / Criteria of Failings:Compliant","")))/LEN("Quality of Works / Criteria of Failings:Compliant"),0)/MAX(1,(LEN($I1619)-LEN(SUBSTITUTE($I1619," Ltd","")))/LEN(" Ltd")),0)</f>
        <v/>
      </c>
    </row>
    <row r="1619" ht="15" customHeight="1" s="146">
      <c r="Y1619" s="122">
        <f>MAX(0,IFERROR((LEN($T1620)-LEN(SUBSTITUTE($T1620,"Quality of Works / Criteria of Failings:","")))/LEN("Quality of Works / Criteria of Failings:"),0)-IFERROR((LEN($T1620)-LEN(SUBSTITUTE($T1620,"Quality of Works / Criteria of Failings:Compliant","")))/LEN("Quality of Works / Criteria of Failings:Compliant"),0))</f>
        <v/>
      </c>
      <c r="Z1619" s="122">
        <f>IFERROR($Y1620/MAX(1,(LEN($I1620)-LEN(SUBSTITUTE($I1620," Ltd","")))/LEN(" Ltd")),0)</f>
        <v/>
      </c>
      <c r="AA1619" s="122">
        <f>IFERROR(IFERROR((LEN($T1620)-LEN(SUBSTITUTE($T1620,"Quality of Works / Criteria of Failings:","")))/LEN("Quality of Works / Criteria of Failings:"),0)/MAX(1,(LEN($I1620)-LEN(SUBSTITUTE($I1620," Ltd","")))/LEN(" Ltd")),0)</f>
        <v/>
      </c>
      <c r="AB1619" s="122">
        <f>IFERROR(IFERROR((LEN($T1620)-LEN(SUBSTITUTE($T1620,"Quality of Works / Criteria of Failings:Compliant","")))/LEN("Quality of Works / Criteria of Failings:Compliant"),0)/MAX(1,(LEN($I1620)-LEN(SUBSTITUTE($I1620," Ltd","")))/LEN(" Ltd")),0)</f>
        <v/>
      </c>
    </row>
    <row r="1620" ht="15" customHeight="1" s="146">
      <c r="Y1620" s="122">
        <f>MAX(0,IFERROR((LEN($T1621)-LEN(SUBSTITUTE($T1621,"Quality of Works / Criteria of Failings:","")))/LEN("Quality of Works / Criteria of Failings:"),0)-IFERROR((LEN($T1621)-LEN(SUBSTITUTE($T1621,"Quality of Works / Criteria of Failings:Compliant","")))/LEN("Quality of Works / Criteria of Failings:Compliant"),0))</f>
        <v/>
      </c>
      <c r="Z1620" s="122">
        <f>IFERROR($Y1621/MAX(1,(LEN($I1621)-LEN(SUBSTITUTE($I1621," Ltd","")))/LEN(" Ltd")),0)</f>
        <v/>
      </c>
      <c r="AA1620" s="122">
        <f>IFERROR(IFERROR((LEN($T1621)-LEN(SUBSTITUTE($T1621,"Quality of Works / Criteria of Failings:","")))/LEN("Quality of Works / Criteria of Failings:"),0)/MAX(1,(LEN($I1621)-LEN(SUBSTITUTE($I1621," Ltd","")))/LEN(" Ltd")),0)</f>
        <v/>
      </c>
      <c r="AB1620" s="122">
        <f>IFERROR(IFERROR((LEN($T1621)-LEN(SUBSTITUTE($T1621,"Quality of Works / Criteria of Failings:Compliant","")))/LEN("Quality of Works / Criteria of Failings:Compliant"),0)/MAX(1,(LEN($I1621)-LEN(SUBSTITUTE($I1621," Ltd","")))/LEN(" Ltd")),0)</f>
        <v/>
      </c>
    </row>
    <row r="1621" ht="15" customHeight="1" s="146">
      <c r="Y1621" s="122">
        <f>MAX(0,IFERROR((LEN($T1622)-LEN(SUBSTITUTE($T1622,"Quality of Works / Criteria of Failings:","")))/LEN("Quality of Works / Criteria of Failings:"),0)-IFERROR((LEN($T1622)-LEN(SUBSTITUTE($T1622,"Quality of Works / Criteria of Failings:Compliant","")))/LEN("Quality of Works / Criteria of Failings:Compliant"),0))</f>
        <v/>
      </c>
      <c r="Z1621" s="122">
        <f>IFERROR($Y1622/MAX(1,(LEN($I1622)-LEN(SUBSTITUTE($I1622," Ltd","")))/LEN(" Ltd")),0)</f>
        <v/>
      </c>
      <c r="AA1621" s="122">
        <f>IFERROR(IFERROR((LEN($T1622)-LEN(SUBSTITUTE($T1622,"Quality of Works / Criteria of Failings:","")))/LEN("Quality of Works / Criteria of Failings:"),0)/MAX(1,(LEN($I1622)-LEN(SUBSTITUTE($I1622," Ltd","")))/LEN(" Ltd")),0)</f>
        <v/>
      </c>
      <c r="AB1621" s="122">
        <f>IFERROR(IFERROR((LEN($T1622)-LEN(SUBSTITUTE($T1622,"Quality of Works / Criteria of Failings:Compliant","")))/LEN("Quality of Works / Criteria of Failings:Compliant"),0)/MAX(1,(LEN($I1622)-LEN(SUBSTITUTE($I1622," Ltd","")))/LEN(" Ltd")),0)</f>
        <v/>
      </c>
    </row>
    <row r="1622" ht="15" customHeight="1" s="146">
      <c r="Y1622" s="122">
        <f>MAX(0,IFERROR((LEN($T1623)-LEN(SUBSTITUTE($T1623,"Quality of Works / Criteria of Failings:","")))/LEN("Quality of Works / Criteria of Failings:"),0)-IFERROR((LEN($T1623)-LEN(SUBSTITUTE($T1623,"Quality of Works / Criteria of Failings:Compliant","")))/LEN("Quality of Works / Criteria of Failings:Compliant"),0))</f>
        <v/>
      </c>
      <c r="Z1622" s="122">
        <f>IFERROR($Y1623/MAX(1,(LEN($I1623)-LEN(SUBSTITUTE($I1623," Ltd","")))/LEN(" Ltd")),0)</f>
        <v/>
      </c>
      <c r="AA1622" s="122">
        <f>IFERROR(IFERROR((LEN($T1623)-LEN(SUBSTITUTE($T1623,"Quality of Works / Criteria of Failings:","")))/LEN("Quality of Works / Criteria of Failings:"),0)/MAX(1,(LEN($I1623)-LEN(SUBSTITUTE($I1623," Ltd","")))/LEN(" Ltd")),0)</f>
        <v/>
      </c>
      <c r="AB1622" s="122">
        <f>IFERROR(IFERROR((LEN($T1623)-LEN(SUBSTITUTE($T1623,"Quality of Works / Criteria of Failings:Compliant","")))/LEN("Quality of Works / Criteria of Failings:Compliant"),0)/MAX(1,(LEN($I1623)-LEN(SUBSTITUTE($I1623," Ltd","")))/LEN(" Ltd")),0)</f>
        <v/>
      </c>
    </row>
    <row r="1623" ht="15" customHeight="1" s="146">
      <c r="Y1623" s="122">
        <f>MAX(0,IFERROR((LEN($T1624)-LEN(SUBSTITUTE($T1624,"Quality of Works / Criteria of Failings:","")))/LEN("Quality of Works / Criteria of Failings:"),0)-IFERROR((LEN($T1624)-LEN(SUBSTITUTE($T1624,"Quality of Works / Criteria of Failings:Compliant","")))/LEN("Quality of Works / Criteria of Failings:Compliant"),0))</f>
        <v/>
      </c>
      <c r="Z1623" s="122">
        <f>IFERROR($Y1624/MAX(1,(LEN($I1624)-LEN(SUBSTITUTE($I1624," Ltd","")))/LEN(" Ltd")),0)</f>
        <v/>
      </c>
      <c r="AA1623" s="122">
        <f>IFERROR(IFERROR((LEN($T1624)-LEN(SUBSTITUTE($T1624,"Quality of Works / Criteria of Failings:","")))/LEN("Quality of Works / Criteria of Failings:"),0)/MAX(1,(LEN($I1624)-LEN(SUBSTITUTE($I1624," Ltd","")))/LEN(" Ltd")),0)</f>
        <v/>
      </c>
      <c r="AB1623" s="122">
        <f>IFERROR(IFERROR((LEN($T1624)-LEN(SUBSTITUTE($T1624,"Quality of Works / Criteria of Failings:Compliant","")))/LEN("Quality of Works / Criteria of Failings:Compliant"),0)/MAX(1,(LEN($I1624)-LEN(SUBSTITUTE($I1624," Ltd","")))/LEN(" Ltd")),0)</f>
        <v/>
      </c>
    </row>
    <row r="1624" ht="15" customHeight="1" s="146">
      <c r="Y1624" s="122">
        <f>MAX(0,IFERROR((LEN($T1625)-LEN(SUBSTITUTE($T1625,"Quality of Works / Criteria of Failings:","")))/LEN("Quality of Works / Criteria of Failings:"),0)-IFERROR((LEN($T1625)-LEN(SUBSTITUTE($T1625,"Quality of Works / Criteria of Failings:Compliant","")))/LEN("Quality of Works / Criteria of Failings:Compliant"),0))</f>
        <v/>
      </c>
      <c r="Z1624" s="122">
        <f>IFERROR($Y1625/MAX(1,(LEN($I1625)-LEN(SUBSTITUTE($I1625," Ltd","")))/LEN(" Ltd")),0)</f>
        <v/>
      </c>
      <c r="AA1624" s="122">
        <f>IFERROR(IFERROR((LEN($T1625)-LEN(SUBSTITUTE($T1625,"Quality of Works / Criteria of Failings:","")))/LEN("Quality of Works / Criteria of Failings:"),0)/MAX(1,(LEN($I1625)-LEN(SUBSTITUTE($I1625," Ltd","")))/LEN(" Ltd")),0)</f>
        <v/>
      </c>
      <c r="AB1624" s="122">
        <f>IFERROR(IFERROR((LEN($T1625)-LEN(SUBSTITUTE($T1625,"Quality of Works / Criteria of Failings:Compliant","")))/LEN("Quality of Works / Criteria of Failings:Compliant"),0)/MAX(1,(LEN($I1625)-LEN(SUBSTITUTE($I1625," Ltd","")))/LEN(" Ltd")),0)</f>
        <v/>
      </c>
    </row>
    <row r="1625" ht="15" customHeight="1" s="146">
      <c r="Y1625" s="122">
        <f>MAX(0,IFERROR((LEN($T1626)-LEN(SUBSTITUTE($T1626,"Quality of Works / Criteria of Failings:","")))/LEN("Quality of Works / Criteria of Failings:"),0)-IFERROR((LEN($T1626)-LEN(SUBSTITUTE($T1626,"Quality of Works / Criteria of Failings:Compliant","")))/LEN("Quality of Works / Criteria of Failings:Compliant"),0))</f>
        <v/>
      </c>
      <c r="Z1625" s="122">
        <f>IFERROR($Y1626/MAX(1,(LEN($I1626)-LEN(SUBSTITUTE($I1626," Ltd","")))/LEN(" Ltd")),0)</f>
        <v/>
      </c>
      <c r="AA1625" s="122">
        <f>IFERROR(IFERROR((LEN($T1626)-LEN(SUBSTITUTE($T1626,"Quality of Works / Criteria of Failings:","")))/LEN("Quality of Works / Criteria of Failings:"),0)/MAX(1,(LEN($I1626)-LEN(SUBSTITUTE($I1626," Ltd","")))/LEN(" Ltd")),0)</f>
        <v/>
      </c>
      <c r="AB1625" s="122">
        <f>IFERROR(IFERROR((LEN($T1626)-LEN(SUBSTITUTE($T1626,"Quality of Works / Criteria of Failings:Compliant","")))/LEN("Quality of Works / Criteria of Failings:Compliant"),0)/MAX(1,(LEN($I1626)-LEN(SUBSTITUTE($I1626," Ltd","")))/LEN(" Ltd")),0)</f>
        <v/>
      </c>
    </row>
    <row r="1626" ht="15" customHeight="1" s="146">
      <c r="Y1626" s="122">
        <f>MAX(0,IFERROR((LEN($T1627)-LEN(SUBSTITUTE($T1627,"Quality of Works / Criteria of Failings:","")))/LEN("Quality of Works / Criteria of Failings:"),0)-IFERROR((LEN($T1627)-LEN(SUBSTITUTE($T1627,"Quality of Works / Criteria of Failings:Compliant","")))/LEN("Quality of Works / Criteria of Failings:Compliant"),0))</f>
        <v/>
      </c>
      <c r="Z1626" s="122">
        <f>IFERROR($Y1627/MAX(1,(LEN($I1627)-LEN(SUBSTITUTE($I1627," Ltd","")))/LEN(" Ltd")),0)</f>
        <v/>
      </c>
      <c r="AA1626" s="122">
        <f>IFERROR(IFERROR((LEN($T1627)-LEN(SUBSTITUTE($T1627,"Quality of Works / Criteria of Failings:","")))/LEN("Quality of Works / Criteria of Failings:"),0)/MAX(1,(LEN($I1627)-LEN(SUBSTITUTE($I1627," Ltd","")))/LEN(" Ltd")),0)</f>
        <v/>
      </c>
      <c r="AB1626" s="122">
        <f>IFERROR(IFERROR((LEN($T1627)-LEN(SUBSTITUTE($T1627,"Quality of Works / Criteria of Failings:Compliant","")))/LEN("Quality of Works / Criteria of Failings:Compliant"),0)/MAX(1,(LEN($I1627)-LEN(SUBSTITUTE($I1627," Ltd","")))/LEN(" Ltd")),0)</f>
        <v/>
      </c>
    </row>
    <row r="1627" ht="15" customHeight="1" s="146">
      <c r="Y1627" s="122">
        <f>MAX(0,IFERROR((LEN($T1628)-LEN(SUBSTITUTE($T1628,"Quality of Works / Criteria of Failings:","")))/LEN("Quality of Works / Criteria of Failings:"),0)-IFERROR((LEN($T1628)-LEN(SUBSTITUTE($T1628,"Quality of Works / Criteria of Failings:Compliant","")))/LEN("Quality of Works / Criteria of Failings:Compliant"),0))</f>
        <v/>
      </c>
      <c r="Z1627" s="122">
        <f>IFERROR($Y1628/MAX(1,(LEN($I1628)-LEN(SUBSTITUTE($I1628," Ltd","")))/LEN(" Ltd")),0)</f>
        <v/>
      </c>
      <c r="AA1627" s="122">
        <f>IFERROR(IFERROR((LEN($T1628)-LEN(SUBSTITUTE($T1628,"Quality of Works / Criteria of Failings:","")))/LEN("Quality of Works / Criteria of Failings:"),0)/MAX(1,(LEN($I1628)-LEN(SUBSTITUTE($I1628," Ltd","")))/LEN(" Ltd")),0)</f>
        <v/>
      </c>
      <c r="AB1627" s="122">
        <f>IFERROR(IFERROR((LEN($T1628)-LEN(SUBSTITUTE($T1628,"Quality of Works / Criteria of Failings:Compliant","")))/LEN("Quality of Works / Criteria of Failings:Compliant"),0)/MAX(1,(LEN($I1628)-LEN(SUBSTITUTE($I1628," Ltd","")))/LEN(" Ltd")),0)</f>
        <v/>
      </c>
    </row>
    <row r="1628" ht="15" customHeight="1" s="146">
      <c r="Y1628" s="122">
        <f>MAX(0,IFERROR((LEN($T1629)-LEN(SUBSTITUTE($T1629,"Quality of Works / Criteria of Failings:","")))/LEN("Quality of Works / Criteria of Failings:"),0)-IFERROR((LEN($T1629)-LEN(SUBSTITUTE($T1629,"Quality of Works / Criteria of Failings:Compliant","")))/LEN("Quality of Works / Criteria of Failings:Compliant"),0))</f>
        <v/>
      </c>
      <c r="Z1628" s="122">
        <f>IFERROR($Y1629/MAX(1,(LEN($I1629)-LEN(SUBSTITUTE($I1629," Ltd","")))/LEN(" Ltd")),0)</f>
        <v/>
      </c>
      <c r="AA1628" s="122">
        <f>IFERROR(IFERROR((LEN($T1629)-LEN(SUBSTITUTE($T1629,"Quality of Works / Criteria of Failings:","")))/LEN("Quality of Works / Criteria of Failings:"),0)/MAX(1,(LEN($I1629)-LEN(SUBSTITUTE($I1629," Ltd","")))/LEN(" Ltd")),0)</f>
        <v/>
      </c>
      <c r="AB1628" s="122">
        <f>IFERROR(IFERROR((LEN($T1629)-LEN(SUBSTITUTE($T1629,"Quality of Works / Criteria of Failings:Compliant","")))/LEN("Quality of Works / Criteria of Failings:Compliant"),0)/MAX(1,(LEN($I1629)-LEN(SUBSTITUTE($I1629," Ltd","")))/LEN(" Ltd")),0)</f>
        <v/>
      </c>
    </row>
    <row r="1629" ht="15" customHeight="1" s="146">
      <c r="Y1629" s="122">
        <f>MAX(0,IFERROR((LEN($T1630)-LEN(SUBSTITUTE($T1630,"Quality of Works / Criteria of Failings:","")))/LEN("Quality of Works / Criteria of Failings:"),0)-IFERROR((LEN($T1630)-LEN(SUBSTITUTE($T1630,"Quality of Works / Criteria of Failings:Compliant","")))/LEN("Quality of Works / Criteria of Failings:Compliant"),0))</f>
        <v/>
      </c>
      <c r="Z1629" s="122">
        <f>IFERROR($Y1630/MAX(1,(LEN($I1630)-LEN(SUBSTITUTE($I1630," Ltd","")))/LEN(" Ltd")),0)</f>
        <v/>
      </c>
      <c r="AA1629" s="122">
        <f>IFERROR(IFERROR((LEN($T1630)-LEN(SUBSTITUTE($T1630,"Quality of Works / Criteria of Failings:","")))/LEN("Quality of Works / Criteria of Failings:"),0)/MAX(1,(LEN($I1630)-LEN(SUBSTITUTE($I1630," Ltd","")))/LEN(" Ltd")),0)</f>
        <v/>
      </c>
      <c r="AB1629" s="122">
        <f>IFERROR(IFERROR((LEN($T1630)-LEN(SUBSTITUTE($T1630,"Quality of Works / Criteria of Failings:Compliant","")))/LEN("Quality of Works / Criteria of Failings:Compliant"),0)/MAX(1,(LEN($I1630)-LEN(SUBSTITUTE($I1630," Ltd","")))/LEN(" Ltd")),0)</f>
        <v/>
      </c>
    </row>
    <row r="1630" ht="15" customHeight="1" s="146">
      <c r="Y1630" s="122">
        <f>MAX(0,IFERROR((LEN($T1631)-LEN(SUBSTITUTE($T1631,"Quality of Works / Criteria of Failings:","")))/LEN("Quality of Works / Criteria of Failings:"),0)-IFERROR((LEN($T1631)-LEN(SUBSTITUTE($T1631,"Quality of Works / Criteria of Failings:Compliant","")))/LEN("Quality of Works / Criteria of Failings:Compliant"),0))</f>
        <v/>
      </c>
      <c r="Z1630" s="122">
        <f>IFERROR($Y1631/MAX(1,(LEN($I1631)-LEN(SUBSTITUTE($I1631," Ltd","")))/LEN(" Ltd")),0)</f>
        <v/>
      </c>
      <c r="AA1630" s="122">
        <f>IFERROR(IFERROR((LEN($T1631)-LEN(SUBSTITUTE($T1631,"Quality of Works / Criteria of Failings:","")))/LEN("Quality of Works / Criteria of Failings:"),0)/MAX(1,(LEN($I1631)-LEN(SUBSTITUTE($I1631," Ltd","")))/LEN(" Ltd")),0)</f>
        <v/>
      </c>
      <c r="AB1630" s="122">
        <f>IFERROR(IFERROR((LEN($T1631)-LEN(SUBSTITUTE($T1631,"Quality of Works / Criteria of Failings:Compliant","")))/LEN("Quality of Works / Criteria of Failings:Compliant"),0)/MAX(1,(LEN($I1631)-LEN(SUBSTITUTE($I1631," Ltd","")))/LEN(" Ltd")),0)</f>
        <v/>
      </c>
    </row>
    <row r="1631" ht="15" customHeight="1" s="146">
      <c r="Y1631" s="122">
        <f>MAX(0,IFERROR((LEN($T1632)-LEN(SUBSTITUTE($T1632,"Quality of Works / Criteria of Failings:","")))/LEN("Quality of Works / Criteria of Failings:"),0)-IFERROR((LEN($T1632)-LEN(SUBSTITUTE($T1632,"Quality of Works / Criteria of Failings:Compliant","")))/LEN("Quality of Works / Criteria of Failings:Compliant"),0))</f>
        <v/>
      </c>
      <c r="Z1631" s="122">
        <f>IFERROR($Y1632/MAX(1,(LEN($I1632)-LEN(SUBSTITUTE($I1632," Ltd","")))/LEN(" Ltd")),0)</f>
        <v/>
      </c>
      <c r="AA1631" s="122">
        <f>IFERROR(IFERROR((LEN($T1632)-LEN(SUBSTITUTE($T1632,"Quality of Works / Criteria of Failings:","")))/LEN("Quality of Works / Criteria of Failings:"),0)/MAX(1,(LEN($I1632)-LEN(SUBSTITUTE($I1632," Ltd","")))/LEN(" Ltd")),0)</f>
        <v/>
      </c>
      <c r="AB1631" s="122">
        <f>IFERROR(IFERROR((LEN($T1632)-LEN(SUBSTITUTE($T1632,"Quality of Works / Criteria of Failings:Compliant","")))/LEN("Quality of Works / Criteria of Failings:Compliant"),0)/MAX(1,(LEN($I1632)-LEN(SUBSTITUTE($I1632," Ltd","")))/LEN(" Ltd")),0)</f>
        <v/>
      </c>
    </row>
    <row r="1632" ht="15" customHeight="1" s="146">
      <c r="Y1632" s="122">
        <f>MAX(0,IFERROR((LEN($T1633)-LEN(SUBSTITUTE($T1633,"Quality of Works / Criteria of Failings:","")))/LEN("Quality of Works / Criteria of Failings:"),0)-IFERROR((LEN($T1633)-LEN(SUBSTITUTE($T1633,"Quality of Works / Criteria of Failings:Compliant","")))/LEN("Quality of Works / Criteria of Failings:Compliant"),0))</f>
        <v/>
      </c>
      <c r="Z1632" s="122">
        <f>IFERROR($Y1633/MAX(1,(LEN($I1633)-LEN(SUBSTITUTE($I1633," Ltd","")))/LEN(" Ltd")),0)</f>
        <v/>
      </c>
      <c r="AA1632" s="122">
        <f>IFERROR(IFERROR((LEN($T1633)-LEN(SUBSTITUTE($T1633,"Quality of Works / Criteria of Failings:","")))/LEN("Quality of Works / Criteria of Failings:"),0)/MAX(1,(LEN($I1633)-LEN(SUBSTITUTE($I1633," Ltd","")))/LEN(" Ltd")),0)</f>
        <v/>
      </c>
      <c r="AB1632" s="122">
        <f>IFERROR(IFERROR((LEN($T1633)-LEN(SUBSTITUTE($T1633,"Quality of Works / Criteria of Failings:Compliant","")))/LEN("Quality of Works / Criteria of Failings:Compliant"),0)/MAX(1,(LEN($I1633)-LEN(SUBSTITUTE($I1633," Ltd","")))/LEN(" Ltd")),0)</f>
        <v/>
      </c>
    </row>
    <row r="1633" ht="15" customHeight="1" s="146">
      <c r="Y1633" s="122">
        <f>MAX(0,IFERROR((LEN($T1634)-LEN(SUBSTITUTE($T1634,"Quality of Works / Criteria of Failings:","")))/LEN("Quality of Works / Criteria of Failings:"),0)-IFERROR((LEN($T1634)-LEN(SUBSTITUTE($T1634,"Quality of Works / Criteria of Failings:Compliant","")))/LEN("Quality of Works / Criteria of Failings:Compliant"),0))</f>
        <v/>
      </c>
      <c r="Z1633" s="122">
        <f>IFERROR($Y1634/MAX(1,(LEN($I1634)-LEN(SUBSTITUTE($I1634," Ltd","")))/LEN(" Ltd")),0)</f>
        <v/>
      </c>
      <c r="AA1633" s="122">
        <f>IFERROR(IFERROR((LEN($T1634)-LEN(SUBSTITUTE($T1634,"Quality of Works / Criteria of Failings:","")))/LEN("Quality of Works / Criteria of Failings:"),0)/MAX(1,(LEN($I1634)-LEN(SUBSTITUTE($I1634," Ltd","")))/LEN(" Ltd")),0)</f>
        <v/>
      </c>
      <c r="AB1633" s="122">
        <f>IFERROR(IFERROR((LEN($T1634)-LEN(SUBSTITUTE($T1634,"Quality of Works / Criteria of Failings:Compliant","")))/LEN("Quality of Works / Criteria of Failings:Compliant"),0)/MAX(1,(LEN($I1634)-LEN(SUBSTITUTE($I1634," Ltd","")))/LEN(" Ltd")),0)</f>
        <v/>
      </c>
    </row>
    <row r="1634" ht="15" customHeight="1" s="146">
      <c r="Y1634" s="122">
        <f>MAX(0,IFERROR((LEN($T1635)-LEN(SUBSTITUTE($T1635,"Quality of Works / Criteria of Failings:","")))/LEN("Quality of Works / Criteria of Failings:"),0)-IFERROR((LEN($T1635)-LEN(SUBSTITUTE($T1635,"Quality of Works / Criteria of Failings:Compliant","")))/LEN("Quality of Works / Criteria of Failings:Compliant"),0))</f>
        <v/>
      </c>
      <c r="Z1634" s="122">
        <f>IFERROR($Y1635/MAX(1,(LEN($I1635)-LEN(SUBSTITUTE($I1635," Ltd","")))/LEN(" Ltd")),0)</f>
        <v/>
      </c>
      <c r="AA1634" s="122">
        <f>IFERROR(IFERROR((LEN($T1635)-LEN(SUBSTITUTE($T1635,"Quality of Works / Criteria of Failings:","")))/LEN("Quality of Works / Criteria of Failings:"),0)/MAX(1,(LEN($I1635)-LEN(SUBSTITUTE($I1635," Ltd","")))/LEN(" Ltd")),0)</f>
        <v/>
      </c>
      <c r="AB1634" s="122">
        <f>IFERROR(IFERROR((LEN($T1635)-LEN(SUBSTITUTE($T1635,"Quality of Works / Criteria of Failings:Compliant","")))/LEN("Quality of Works / Criteria of Failings:Compliant"),0)/MAX(1,(LEN($I1635)-LEN(SUBSTITUTE($I1635," Ltd","")))/LEN(" Ltd")),0)</f>
        <v/>
      </c>
    </row>
    <row r="1635" ht="15" customHeight="1" s="146">
      <c r="Y1635" s="122">
        <f>MAX(0,IFERROR((LEN($T1636)-LEN(SUBSTITUTE($T1636,"Quality of Works / Criteria of Failings:","")))/LEN("Quality of Works / Criteria of Failings:"),0)-IFERROR((LEN($T1636)-LEN(SUBSTITUTE($T1636,"Quality of Works / Criteria of Failings:Compliant","")))/LEN("Quality of Works / Criteria of Failings:Compliant"),0))</f>
        <v/>
      </c>
      <c r="Z1635" s="122">
        <f>IFERROR($Y1636/MAX(1,(LEN($I1636)-LEN(SUBSTITUTE($I1636," Ltd","")))/LEN(" Ltd")),0)</f>
        <v/>
      </c>
      <c r="AA1635" s="122">
        <f>IFERROR(IFERROR((LEN($T1636)-LEN(SUBSTITUTE($T1636,"Quality of Works / Criteria of Failings:","")))/LEN("Quality of Works / Criteria of Failings:"),0)/MAX(1,(LEN($I1636)-LEN(SUBSTITUTE($I1636," Ltd","")))/LEN(" Ltd")),0)</f>
        <v/>
      </c>
      <c r="AB1635" s="122">
        <f>IFERROR(IFERROR((LEN($T1636)-LEN(SUBSTITUTE($T1636,"Quality of Works / Criteria of Failings:Compliant","")))/LEN("Quality of Works / Criteria of Failings:Compliant"),0)/MAX(1,(LEN($I1636)-LEN(SUBSTITUTE($I1636," Ltd","")))/LEN(" Ltd")),0)</f>
        <v/>
      </c>
    </row>
    <row r="1636" ht="15" customHeight="1" s="146">
      <c r="Y1636" s="122">
        <f>MAX(0,IFERROR((LEN($T1637)-LEN(SUBSTITUTE($T1637,"Quality of Works / Criteria of Failings:","")))/LEN("Quality of Works / Criteria of Failings:"),0)-IFERROR((LEN($T1637)-LEN(SUBSTITUTE($T1637,"Quality of Works / Criteria of Failings:Compliant","")))/LEN("Quality of Works / Criteria of Failings:Compliant"),0))</f>
        <v/>
      </c>
      <c r="Z1636" s="122">
        <f>IFERROR($Y1637/MAX(1,(LEN($I1637)-LEN(SUBSTITUTE($I1637," Ltd","")))/LEN(" Ltd")),0)</f>
        <v/>
      </c>
      <c r="AA1636" s="122">
        <f>IFERROR(IFERROR((LEN($T1637)-LEN(SUBSTITUTE($T1637,"Quality of Works / Criteria of Failings:","")))/LEN("Quality of Works / Criteria of Failings:"),0)/MAX(1,(LEN($I1637)-LEN(SUBSTITUTE($I1637," Ltd","")))/LEN(" Ltd")),0)</f>
        <v/>
      </c>
      <c r="AB1636" s="122">
        <f>IFERROR(IFERROR((LEN($T1637)-LEN(SUBSTITUTE($T1637,"Quality of Works / Criteria of Failings:Compliant","")))/LEN("Quality of Works / Criteria of Failings:Compliant"),0)/MAX(1,(LEN($I1637)-LEN(SUBSTITUTE($I1637," Ltd","")))/LEN(" Ltd")),0)</f>
        <v/>
      </c>
    </row>
    <row r="1637" ht="15" customHeight="1" s="146">
      <c r="Y1637" s="122">
        <f>MAX(0,IFERROR((LEN($T1638)-LEN(SUBSTITUTE($T1638,"Quality of Works / Criteria of Failings:","")))/LEN("Quality of Works / Criteria of Failings:"),0)-IFERROR((LEN($T1638)-LEN(SUBSTITUTE($T1638,"Quality of Works / Criteria of Failings:Compliant","")))/LEN("Quality of Works / Criteria of Failings:Compliant"),0))</f>
        <v/>
      </c>
      <c r="Z1637" s="122">
        <f>IFERROR($Y1638/MAX(1,(LEN($I1638)-LEN(SUBSTITUTE($I1638," Ltd","")))/LEN(" Ltd")),0)</f>
        <v/>
      </c>
      <c r="AA1637" s="122">
        <f>IFERROR(IFERROR((LEN($T1638)-LEN(SUBSTITUTE($T1638,"Quality of Works / Criteria of Failings:","")))/LEN("Quality of Works / Criteria of Failings:"),0)/MAX(1,(LEN($I1638)-LEN(SUBSTITUTE($I1638," Ltd","")))/LEN(" Ltd")),0)</f>
        <v/>
      </c>
      <c r="AB1637" s="122">
        <f>IFERROR(IFERROR((LEN($T1638)-LEN(SUBSTITUTE($T1638,"Quality of Works / Criteria of Failings:Compliant","")))/LEN("Quality of Works / Criteria of Failings:Compliant"),0)/MAX(1,(LEN($I1638)-LEN(SUBSTITUTE($I1638," Ltd","")))/LEN(" Ltd")),0)</f>
        <v/>
      </c>
    </row>
    <row r="1638" ht="15" customHeight="1" s="146">
      <c r="Y1638" s="122">
        <f>MAX(0,IFERROR((LEN($T1639)-LEN(SUBSTITUTE($T1639,"Quality of Works / Criteria of Failings:","")))/LEN("Quality of Works / Criteria of Failings:"),0)-IFERROR((LEN($T1639)-LEN(SUBSTITUTE($T1639,"Quality of Works / Criteria of Failings:Compliant","")))/LEN("Quality of Works / Criteria of Failings:Compliant"),0))</f>
        <v/>
      </c>
      <c r="Z1638" s="122">
        <f>IFERROR($Y1639/MAX(1,(LEN($I1639)-LEN(SUBSTITUTE($I1639," Ltd","")))/LEN(" Ltd")),0)</f>
        <v/>
      </c>
      <c r="AA1638" s="122">
        <f>IFERROR(IFERROR((LEN($T1639)-LEN(SUBSTITUTE($T1639,"Quality of Works / Criteria of Failings:","")))/LEN("Quality of Works / Criteria of Failings:"),0)/MAX(1,(LEN($I1639)-LEN(SUBSTITUTE($I1639," Ltd","")))/LEN(" Ltd")),0)</f>
        <v/>
      </c>
      <c r="AB1638" s="122">
        <f>IFERROR(IFERROR((LEN($T1639)-LEN(SUBSTITUTE($T1639,"Quality of Works / Criteria of Failings:Compliant","")))/LEN("Quality of Works / Criteria of Failings:Compliant"),0)/MAX(1,(LEN($I1639)-LEN(SUBSTITUTE($I1639," Ltd","")))/LEN(" Ltd")),0)</f>
        <v/>
      </c>
    </row>
    <row r="1639" ht="15" customHeight="1" s="146">
      <c r="Y1639" s="122">
        <f>MAX(0,IFERROR((LEN($T1640)-LEN(SUBSTITUTE($T1640,"Quality of Works / Criteria of Failings:","")))/LEN("Quality of Works / Criteria of Failings:"),0)-IFERROR((LEN($T1640)-LEN(SUBSTITUTE($T1640,"Quality of Works / Criteria of Failings:Compliant","")))/LEN("Quality of Works / Criteria of Failings:Compliant"),0))</f>
        <v/>
      </c>
      <c r="Z1639" s="122">
        <f>IFERROR($Y1640/MAX(1,(LEN($I1640)-LEN(SUBSTITUTE($I1640," Ltd","")))/LEN(" Ltd")),0)</f>
        <v/>
      </c>
      <c r="AA1639" s="122">
        <f>IFERROR(IFERROR((LEN($T1640)-LEN(SUBSTITUTE($T1640,"Quality of Works / Criteria of Failings:","")))/LEN("Quality of Works / Criteria of Failings:"),0)/MAX(1,(LEN($I1640)-LEN(SUBSTITUTE($I1640," Ltd","")))/LEN(" Ltd")),0)</f>
        <v/>
      </c>
      <c r="AB1639" s="122">
        <f>IFERROR(IFERROR((LEN($T1640)-LEN(SUBSTITUTE($T1640,"Quality of Works / Criteria of Failings:Compliant","")))/LEN("Quality of Works / Criteria of Failings:Compliant"),0)/MAX(1,(LEN($I1640)-LEN(SUBSTITUTE($I1640," Ltd","")))/LEN(" Ltd")),0)</f>
        <v/>
      </c>
    </row>
    <row r="1640" ht="15" customHeight="1" s="146">
      <c r="Y1640" s="122">
        <f>MAX(0,IFERROR((LEN($T1641)-LEN(SUBSTITUTE($T1641,"Quality of Works / Criteria of Failings:","")))/LEN("Quality of Works / Criteria of Failings:"),0)-IFERROR((LEN($T1641)-LEN(SUBSTITUTE($T1641,"Quality of Works / Criteria of Failings:Compliant","")))/LEN("Quality of Works / Criteria of Failings:Compliant"),0))</f>
        <v/>
      </c>
      <c r="Z1640" s="122">
        <f>IFERROR($Y1641/MAX(1,(LEN($I1641)-LEN(SUBSTITUTE($I1641," Ltd","")))/LEN(" Ltd")),0)</f>
        <v/>
      </c>
      <c r="AA1640" s="122">
        <f>IFERROR(IFERROR((LEN($T1641)-LEN(SUBSTITUTE($T1641,"Quality of Works / Criteria of Failings:","")))/LEN("Quality of Works / Criteria of Failings:"),0)/MAX(1,(LEN($I1641)-LEN(SUBSTITUTE($I1641," Ltd","")))/LEN(" Ltd")),0)</f>
        <v/>
      </c>
      <c r="AB1640" s="122">
        <f>IFERROR(IFERROR((LEN($T1641)-LEN(SUBSTITUTE($T1641,"Quality of Works / Criteria of Failings:Compliant","")))/LEN("Quality of Works / Criteria of Failings:Compliant"),0)/MAX(1,(LEN($I1641)-LEN(SUBSTITUTE($I1641," Ltd","")))/LEN(" Ltd")),0)</f>
        <v/>
      </c>
    </row>
    <row r="1641" ht="15" customHeight="1" s="146">
      <c r="Y1641" s="122">
        <f>MAX(0,IFERROR((LEN($T1642)-LEN(SUBSTITUTE($T1642,"Quality of Works / Criteria of Failings:","")))/LEN("Quality of Works / Criteria of Failings:"),0)-IFERROR((LEN($T1642)-LEN(SUBSTITUTE($T1642,"Quality of Works / Criteria of Failings:Compliant","")))/LEN("Quality of Works / Criteria of Failings:Compliant"),0))</f>
        <v/>
      </c>
      <c r="Z1641" s="122">
        <f>IFERROR($Y1642/MAX(1,(LEN($I1642)-LEN(SUBSTITUTE($I1642," Ltd","")))/LEN(" Ltd")),0)</f>
        <v/>
      </c>
      <c r="AA1641" s="122">
        <f>IFERROR(IFERROR((LEN($T1642)-LEN(SUBSTITUTE($T1642,"Quality of Works / Criteria of Failings:","")))/LEN("Quality of Works / Criteria of Failings:"),0)/MAX(1,(LEN($I1642)-LEN(SUBSTITUTE($I1642," Ltd","")))/LEN(" Ltd")),0)</f>
        <v/>
      </c>
      <c r="AB1641" s="122">
        <f>IFERROR(IFERROR((LEN($T1642)-LEN(SUBSTITUTE($T1642,"Quality of Works / Criteria of Failings:Compliant","")))/LEN("Quality of Works / Criteria of Failings:Compliant"),0)/MAX(1,(LEN($I1642)-LEN(SUBSTITUTE($I1642," Ltd","")))/LEN(" Ltd")),0)</f>
        <v/>
      </c>
    </row>
    <row r="1642" ht="15" customHeight="1" s="146">
      <c r="Y1642" s="122">
        <f>MAX(0,IFERROR((LEN($T1643)-LEN(SUBSTITUTE($T1643,"Quality of Works / Criteria of Failings:","")))/LEN("Quality of Works / Criteria of Failings:"),0)-IFERROR((LEN($T1643)-LEN(SUBSTITUTE($T1643,"Quality of Works / Criteria of Failings:Compliant","")))/LEN("Quality of Works / Criteria of Failings:Compliant"),0))</f>
        <v/>
      </c>
      <c r="Z1642" s="122">
        <f>IFERROR($Y1643/MAX(1,(LEN($I1643)-LEN(SUBSTITUTE($I1643," Ltd","")))/LEN(" Ltd")),0)</f>
        <v/>
      </c>
      <c r="AA1642" s="122">
        <f>IFERROR(IFERROR((LEN($T1643)-LEN(SUBSTITUTE($T1643,"Quality of Works / Criteria of Failings:","")))/LEN("Quality of Works / Criteria of Failings:"),0)/MAX(1,(LEN($I1643)-LEN(SUBSTITUTE($I1643," Ltd","")))/LEN(" Ltd")),0)</f>
        <v/>
      </c>
      <c r="AB1642" s="122">
        <f>IFERROR(IFERROR((LEN($T1643)-LEN(SUBSTITUTE($T1643,"Quality of Works / Criteria of Failings:Compliant","")))/LEN("Quality of Works / Criteria of Failings:Compliant"),0)/MAX(1,(LEN($I1643)-LEN(SUBSTITUTE($I1643," Ltd","")))/LEN(" Ltd")),0)</f>
        <v/>
      </c>
    </row>
    <row r="1643" ht="15" customHeight="1" s="146">
      <c r="Y1643" s="122">
        <f>MAX(0,IFERROR((LEN($T1644)-LEN(SUBSTITUTE($T1644,"Quality of Works / Criteria of Failings:","")))/LEN("Quality of Works / Criteria of Failings:"),0)-IFERROR((LEN($T1644)-LEN(SUBSTITUTE($T1644,"Quality of Works / Criteria of Failings:Compliant","")))/LEN("Quality of Works / Criteria of Failings:Compliant"),0))</f>
        <v/>
      </c>
      <c r="Z1643" s="122">
        <f>IFERROR($Y1644/MAX(1,(LEN($I1644)-LEN(SUBSTITUTE($I1644," Ltd","")))/LEN(" Ltd")),0)</f>
        <v/>
      </c>
      <c r="AA1643" s="122">
        <f>IFERROR(IFERROR((LEN($T1644)-LEN(SUBSTITUTE($T1644,"Quality of Works / Criteria of Failings:","")))/LEN("Quality of Works / Criteria of Failings:"),0)/MAX(1,(LEN($I1644)-LEN(SUBSTITUTE($I1644," Ltd","")))/LEN(" Ltd")),0)</f>
        <v/>
      </c>
      <c r="AB1643" s="122">
        <f>IFERROR(IFERROR((LEN($T1644)-LEN(SUBSTITUTE($T1644,"Quality of Works / Criteria of Failings:Compliant","")))/LEN("Quality of Works / Criteria of Failings:Compliant"),0)/MAX(1,(LEN($I1644)-LEN(SUBSTITUTE($I1644," Ltd","")))/LEN(" Ltd")),0)</f>
        <v/>
      </c>
    </row>
    <row r="1644" ht="15" customHeight="1" s="146">
      <c r="Y1644" s="122">
        <f>MAX(0,IFERROR((LEN($T1645)-LEN(SUBSTITUTE($T1645,"Quality of Works / Criteria of Failings:","")))/LEN("Quality of Works / Criteria of Failings:"),0)-IFERROR((LEN($T1645)-LEN(SUBSTITUTE($T1645,"Quality of Works / Criteria of Failings:Compliant","")))/LEN("Quality of Works / Criteria of Failings:Compliant"),0))</f>
        <v/>
      </c>
      <c r="Z1644" s="122">
        <f>IFERROR($Y1645/MAX(1,(LEN($I1645)-LEN(SUBSTITUTE($I1645," Ltd","")))/LEN(" Ltd")),0)</f>
        <v/>
      </c>
      <c r="AA1644" s="122">
        <f>IFERROR(IFERROR((LEN($T1645)-LEN(SUBSTITUTE($T1645,"Quality of Works / Criteria of Failings:","")))/LEN("Quality of Works / Criteria of Failings:"),0)/MAX(1,(LEN($I1645)-LEN(SUBSTITUTE($I1645," Ltd","")))/LEN(" Ltd")),0)</f>
        <v/>
      </c>
      <c r="AB1644" s="122">
        <f>IFERROR(IFERROR((LEN($T1645)-LEN(SUBSTITUTE($T1645,"Quality of Works / Criteria of Failings:Compliant","")))/LEN("Quality of Works / Criteria of Failings:Compliant"),0)/MAX(1,(LEN($I1645)-LEN(SUBSTITUTE($I1645," Ltd","")))/LEN(" Ltd")),0)</f>
        <v/>
      </c>
    </row>
    <row r="1645" ht="15" customHeight="1" s="146">
      <c r="Y1645" s="122">
        <f>MAX(0,IFERROR((LEN($T1646)-LEN(SUBSTITUTE($T1646,"Quality of Works / Criteria of Failings:","")))/LEN("Quality of Works / Criteria of Failings:"),0)-IFERROR((LEN($T1646)-LEN(SUBSTITUTE($T1646,"Quality of Works / Criteria of Failings:Compliant","")))/LEN("Quality of Works / Criteria of Failings:Compliant"),0))</f>
        <v/>
      </c>
      <c r="Z1645" s="122">
        <f>IFERROR($Y1646/MAX(1,(LEN($I1646)-LEN(SUBSTITUTE($I1646," Ltd","")))/LEN(" Ltd")),0)</f>
        <v/>
      </c>
      <c r="AA1645" s="122">
        <f>IFERROR(IFERROR((LEN($T1646)-LEN(SUBSTITUTE($T1646,"Quality of Works / Criteria of Failings:","")))/LEN("Quality of Works / Criteria of Failings:"),0)/MAX(1,(LEN($I1646)-LEN(SUBSTITUTE($I1646," Ltd","")))/LEN(" Ltd")),0)</f>
        <v/>
      </c>
      <c r="AB1645" s="122">
        <f>IFERROR(IFERROR((LEN($T1646)-LEN(SUBSTITUTE($T1646,"Quality of Works / Criteria of Failings:Compliant","")))/LEN("Quality of Works / Criteria of Failings:Compliant"),0)/MAX(1,(LEN($I1646)-LEN(SUBSTITUTE($I1646," Ltd","")))/LEN(" Ltd")),0)</f>
        <v/>
      </c>
    </row>
    <row r="1646" ht="15" customHeight="1" s="146">
      <c r="Y1646" s="122">
        <f>MAX(0,IFERROR((LEN($T1647)-LEN(SUBSTITUTE($T1647,"Quality of Works / Criteria of Failings:","")))/LEN("Quality of Works / Criteria of Failings:"),0)-IFERROR((LEN($T1647)-LEN(SUBSTITUTE($T1647,"Quality of Works / Criteria of Failings:Compliant","")))/LEN("Quality of Works / Criteria of Failings:Compliant"),0))</f>
        <v/>
      </c>
      <c r="Z1646" s="122">
        <f>IFERROR($Y1647/MAX(1,(LEN($I1647)-LEN(SUBSTITUTE($I1647," Ltd","")))/LEN(" Ltd")),0)</f>
        <v/>
      </c>
      <c r="AA1646" s="122">
        <f>IFERROR(IFERROR((LEN($T1647)-LEN(SUBSTITUTE($T1647,"Quality of Works / Criteria of Failings:","")))/LEN("Quality of Works / Criteria of Failings:"),0)/MAX(1,(LEN($I1647)-LEN(SUBSTITUTE($I1647," Ltd","")))/LEN(" Ltd")),0)</f>
        <v/>
      </c>
      <c r="AB1646" s="122">
        <f>IFERROR(IFERROR((LEN($T1647)-LEN(SUBSTITUTE($T1647,"Quality of Works / Criteria of Failings:Compliant","")))/LEN("Quality of Works / Criteria of Failings:Compliant"),0)/MAX(1,(LEN($I1647)-LEN(SUBSTITUTE($I1647," Ltd","")))/LEN(" Ltd")),0)</f>
        <v/>
      </c>
    </row>
    <row r="1647" ht="15" customHeight="1" s="146">
      <c r="Y1647" s="122">
        <f>MAX(0,IFERROR((LEN($T1648)-LEN(SUBSTITUTE($T1648,"Quality of Works / Criteria of Failings:","")))/LEN("Quality of Works / Criteria of Failings:"),0)-IFERROR((LEN($T1648)-LEN(SUBSTITUTE($T1648,"Quality of Works / Criteria of Failings:Compliant","")))/LEN("Quality of Works / Criteria of Failings:Compliant"),0))</f>
        <v/>
      </c>
      <c r="Z1647" s="122">
        <f>IFERROR($Y1648/MAX(1,(LEN($I1648)-LEN(SUBSTITUTE($I1648," Ltd","")))/LEN(" Ltd")),0)</f>
        <v/>
      </c>
      <c r="AA1647" s="122">
        <f>IFERROR(IFERROR((LEN($T1648)-LEN(SUBSTITUTE($T1648,"Quality of Works / Criteria of Failings:","")))/LEN("Quality of Works / Criteria of Failings:"),0)/MAX(1,(LEN($I1648)-LEN(SUBSTITUTE($I1648," Ltd","")))/LEN(" Ltd")),0)</f>
        <v/>
      </c>
      <c r="AB1647" s="122">
        <f>IFERROR(IFERROR((LEN($T1648)-LEN(SUBSTITUTE($T1648,"Quality of Works / Criteria of Failings:Compliant","")))/LEN("Quality of Works / Criteria of Failings:Compliant"),0)/MAX(1,(LEN($I1648)-LEN(SUBSTITUTE($I1648," Ltd","")))/LEN(" Ltd")),0)</f>
        <v/>
      </c>
    </row>
    <row r="1648" ht="15" customHeight="1" s="146">
      <c r="Y1648" s="122">
        <f>MAX(0,IFERROR((LEN($T1649)-LEN(SUBSTITUTE($T1649,"Quality of Works / Criteria of Failings:","")))/LEN("Quality of Works / Criteria of Failings:"),0)-IFERROR((LEN($T1649)-LEN(SUBSTITUTE($T1649,"Quality of Works / Criteria of Failings:Compliant","")))/LEN("Quality of Works / Criteria of Failings:Compliant"),0))</f>
        <v/>
      </c>
      <c r="Z1648" s="122">
        <f>IFERROR($Y1649/MAX(1,(LEN($I1649)-LEN(SUBSTITUTE($I1649," Ltd","")))/LEN(" Ltd")),0)</f>
        <v/>
      </c>
      <c r="AA1648" s="122">
        <f>IFERROR(IFERROR((LEN($T1649)-LEN(SUBSTITUTE($T1649,"Quality of Works / Criteria of Failings:","")))/LEN("Quality of Works / Criteria of Failings:"),0)/MAX(1,(LEN($I1649)-LEN(SUBSTITUTE($I1649," Ltd","")))/LEN(" Ltd")),0)</f>
        <v/>
      </c>
      <c r="AB1648" s="122">
        <f>IFERROR(IFERROR((LEN($T1649)-LEN(SUBSTITUTE($T1649,"Quality of Works / Criteria of Failings:Compliant","")))/LEN("Quality of Works / Criteria of Failings:Compliant"),0)/MAX(1,(LEN($I1649)-LEN(SUBSTITUTE($I1649," Ltd","")))/LEN(" Ltd")),0)</f>
        <v/>
      </c>
    </row>
    <row r="1649" ht="15" customHeight="1" s="146">
      <c r="Y1649" s="122">
        <f>MAX(0,IFERROR((LEN($T1650)-LEN(SUBSTITUTE($T1650,"Quality of Works / Criteria of Failings:","")))/LEN("Quality of Works / Criteria of Failings:"),0)-IFERROR((LEN($T1650)-LEN(SUBSTITUTE($T1650,"Quality of Works / Criteria of Failings:Compliant","")))/LEN("Quality of Works / Criteria of Failings:Compliant"),0))</f>
        <v/>
      </c>
      <c r="Z1649" s="122">
        <f>IFERROR($Y1650/MAX(1,(LEN($I1650)-LEN(SUBSTITUTE($I1650," Ltd","")))/LEN(" Ltd")),0)</f>
        <v/>
      </c>
      <c r="AA1649" s="122">
        <f>IFERROR(IFERROR((LEN($T1650)-LEN(SUBSTITUTE($T1650,"Quality of Works / Criteria of Failings:","")))/LEN("Quality of Works / Criteria of Failings:"),0)/MAX(1,(LEN($I1650)-LEN(SUBSTITUTE($I1650," Ltd","")))/LEN(" Ltd")),0)</f>
        <v/>
      </c>
      <c r="AB1649" s="122">
        <f>IFERROR(IFERROR((LEN($T1650)-LEN(SUBSTITUTE($T1650,"Quality of Works / Criteria of Failings:Compliant","")))/LEN("Quality of Works / Criteria of Failings:Compliant"),0)/MAX(1,(LEN($I1650)-LEN(SUBSTITUTE($I1650," Ltd","")))/LEN(" Ltd")),0)</f>
        <v/>
      </c>
    </row>
    <row r="1650" ht="15" customHeight="1" s="146">
      <c r="Y1650" s="122">
        <f>MAX(0,IFERROR((LEN($T1651)-LEN(SUBSTITUTE($T1651,"Quality of Works / Criteria of Failings:","")))/LEN("Quality of Works / Criteria of Failings:"),0)-IFERROR((LEN($T1651)-LEN(SUBSTITUTE($T1651,"Quality of Works / Criteria of Failings:Compliant","")))/LEN("Quality of Works / Criteria of Failings:Compliant"),0))</f>
        <v/>
      </c>
      <c r="Z1650" s="122">
        <f>IFERROR($Y1651/MAX(1,(LEN($I1651)-LEN(SUBSTITUTE($I1651," Ltd","")))/LEN(" Ltd")),0)</f>
        <v/>
      </c>
      <c r="AA1650" s="122">
        <f>IFERROR(IFERROR((LEN($T1651)-LEN(SUBSTITUTE($T1651,"Quality of Works / Criteria of Failings:","")))/LEN("Quality of Works / Criteria of Failings:"),0)/MAX(1,(LEN($I1651)-LEN(SUBSTITUTE($I1651," Ltd","")))/LEN(" Ltd")),0)</f>
        <v/>
      </c>
      <c r="AB1650" s="122">
        <f>IFERROR(IFERROR((LEN($T1651)-LEN(SUBSTITUTE($T1651,"Quality of Works / Criteria of Failings:Compliant","")))/LEN("Quality of Works / Criteria of Failings:Compliant"),0)/MAX(1,(LEN($I1651)-LEN(SUBSTITUTE($I1651," Ltd","")))/LEN(" Ltd")),0)</f>
        <v/>
      </c>
    </row>
    <row r="1651" ht="15" customHeight="1" s="146">
      <c r="Y1651" s="122">
        <f>MAX(0,IFERROR((LEN($T1652)-LEN(SUBSTITUTE($T1652,"Quality of Works / Criteria of Failings:","")))/LEN("Quality of Works / Criteria of Failings:"),0)-IFERROR((LEN($T1652)-LEN(SUBSTITUTE($T1652,"Quality of Works / Criteria of Failings:Compliant","")))/LEN("Quality of Works / Criteria of Failings:Compliant"),0))</f>
        <v/>
      </c>
      <c r="Z1651" s="122">
        <f>IFERROR($Y1652/MAX(1,(LEN($I1652)-LEN(SUBSTITUTE($I1652," Ltd","")))/LEN(" Ltd")),0)</f>
        <v/>
      </c>
      <c r="AA1651" s="122">
        <f>IFERROR(IFERROR((LEN($T1652)-LEN(SUBSTITUTE($T1652,"Quality of Works / Criteria of Failings:","")))/LEN("Quality of Works / Criteria of Failings:"),0)/MAX(1,(LEN($I1652)-LEN(SUBSTITUTE($I1652," Ltd","")))/LEN(" Ltd")),0)</f>
        <v/>
      </c>
      <c r="AB1651" s="122">
        <f>IFERROR(IFERROR((LEN($T1652)-LEN(SUBSTITUTE($T1652,"Quality of Works / Criteria of Failings:Compliant","")))/LEN("Quality of Works / Criteria of Failings:Compliant"),0)/MAX(1,(LEN($I1652)-LEN(SUBSTITUTE($I1652," Ltd","")))/LEN(" Ltd")),0)</f>
        <v/>
      </c>
    </row>
    <row r="1652" ht="15" customHeight="1" s="146">
      <c r="Y1652" s="122">
        <f>MAX(0,IFERROR((LEN($T1653)-LEN(SUBSTITUTE($T1653,"Quality of Works / Criteria of Failings:","")))/LEN("Quality of Works / Criteria of Failings:"),0)-IFERROR((LEN($T1653)-LEN(SUBSTITUTE($T1653,"Quality of Works / Criteria of Failings:Compliant","")))/LEN("Quality of Works / Criteria of Failings:Compliant"),0))</f>
        <v/>
      </c>
      <c r="Z1652" s="122">
        <f>IFERROR($Y1653/MAX(1,(LEN($I1653)-LEN(SUBSTITUTE($I1653," Ltd","")))/LEN(" Ltd")),0)</f>
        <v/>
      </c>
      <c r="AA1652" s="122">
        <f>IFERROR(IFERROR((LEN($T1653)-LEN(SUBSTITUTE($T1653,"Quality of Works / Criteria of Failings:","")))/LEN("Quality of Works / Criteria of Failings:"),0)/MAX(1,(LEN($I1653)-LEN(SUBSTITUTE($I1653," Ltd","")))/LEN(" Ltd")),0)</f>
        <v/>
      </c>
      <c r="AB1652" s="122">
        <f>IFERROR(IFERROR((LEN($T1653)-LEN(SUBSTITUTE($T1653,"Quality of Works / Criteria of Failings:Compliant","")))/LEN("Quality of Works / Criteria of Failings:Compliant"),0)/MAX(1,(LEN($I1653)-LEN(SUBSTITUTE($I1653," Ltd","")))/LEN(" Ltd")),0)</f>
        <v/>
      </c>
    </row>
    <row r="1653" ht="15" customHeight="1" s="146">
      <c r="Y1653" s="122">
        <f>MAX(0,IFERROR((LEN($T1654)-LEN(SUBSTITUTE($T1654,"Quality of Works / Criteria of Failings:","")))/LEN("Quality of Works / Criteria of Failings:"),0)-IFERROR((LEN($T1654)-LEN(SUBSTITUTE($T1654,"Quality of Works / Criteria of Failings:Compliant","")))/LEN("Quality of Works / Criteria of Failings:Compliant"),0))</f>
        <v/>
      </c>
      <c r="Z1653" s="122">
        <f>IFERROR($Y1654/MAX(1,(LEN($I1654)-LEN(SUBSTITUTE($I1654," Ltd","")))/LEN(" Ltd")),0)</f>
        <v/>
      </c>
      <c r="AA1653" s="122">
        <f>IFERROR(IFERROR((LEN($T1654)-LEN(SUBSTITUTE($T1654,"Quality of Works / Criteria of Failings:","")))/LEN("Quality of Works / Criteria of Failings:"),0)/MAX(1,(LEN($I1654)-LEN(SUBSTITUTE($I1654," Ltd","")))/LEN(" Ltd")),0)</f>
        <v/>
      </c>
      <c r="AB1653" s="122">
        <f>IFERROR(IFERROR((LEN($T1654)-LEN(SUBSTITUTE($T1654,"Quality of Works / Criteria of Failings:Compliant","")))/LEN("Quality of Works / Criteria of Failings:Compliant"),0)/MAX(1,(LEN($I1654)-LEN(SUBSTITUTE($I1654," Ltd","")))/LEN(" Ltd")),0)</f>
        <v/>
      </c>
    </row>
    <row r="1654" ht="15" customHeight="1" s="146">
      <c r="Y1654" s="122">
        <f>MAX(0,IFERROR((LEN($T1655)-LEN(SUBSTITUTE($T1655,"Quality of Works / Criteria of Failings:","")))/LEN("Quality of Works / Criteria of Failings:"),0)-IFERROR((LEN($T1655)-LEN(SUBSTITUTE($T1655,"Quality of Works / Criteria of Failings:Compliant","")))/LEN("Quality of Works / Criteria of Failings:Compliant"),0))</f>
        <v/>
      </c>
      <c r="Z1654" s="122">
        <f>IFERROR($Y1655/MAX(1,(LEN($I1655)-LEN(SUBSTITUTE($I1655," Ltd","")))/LEN(" Ltd")),0)</f>
        <v/>
      </c>
      <c r="AA1654" s="122">
        <f>IFERROR(IFERROR((LEN($T1655)-LEN(SUBSTITUTE($T1655,"Quality of Works / Criteria of Failings:","")))/LEN("Quality of Works / Criteria of Failings:"),0)/MAX(1,(LEN($I1655)-LEN(SUBSTITUTE($I1655," Ltd","")))/LEN(" Ltd")),0)</f>
        <v/>
      </c>
      <c r="AB1654" s="122">
        <f>IFERROR(IFERROR((LEN($T1655)-LEN(SUBSTITUTE($T1655,"Quality of Works / Criteria of Failings:Compliant","")))/LEN("Quality of Works / Criteria of Failings:Compliant"),0)/MAX(1,(LEN($I1655)-LEN(SUBSTITUTE($I1655," Ltd","")))/LEN(" Ltd")),0)</f>
        <v/>
      </c>
    </row>
    <row r="1655" ht="15" customHeight="1" s="146">
      <c r="Y1655" s="122">
        <f>MAX(0,IFERROR((LEN($T1656)-LEN(SUBSTITUTE($T1656,"Quality of Works / Criteria of Failings:","")))/LEN("Quality of Works / Criteria of Failings:"),0)-IFERROR((LEN($T1656)-LEN(SUBSTITUTE($T1656,"Quality of Works / Criteria of Failings:Compliant","")))/LEN("Quality of Works / Criteria of Failings:Compliant"),0))</f>
        <v/>
      </c>
      <c r="Z1655" s="122">
        <f>IFERROR($Y1656/MAX(1,(LEN($I1656)-LEN(SUBSTITUTE($I1656," Ltd","")))/LEN(" Ltd")),0)</f>
        <v/>
      </c>
      <c r="AA1655" s="122">
        <f>IFERROR(IFERROR((LEN($T1656)-LEN(SUBSTITUTE($T1656,"Quality of Works / Criteria of Failings:","")))/LEN("Quality of Works / Criteria of Failings:"),0)/MAX(1,(LEN($I1656)-LEN(SUBSTITUTE($I1656," Ltd","")))/LEN(" Ltd")),0)</f>
        <v/>
      </c>
      <c r="AB1655" s="122">
        <f>IFERROR(IFERROR((LEN($T1656)-LEN(SUBSTITUTE($T1656,"Quality of Works / Criteria of Failings:Compliant","")))/LEN("Quality of Works / Criteria of Failings:Compliant"),0)/MAX(1,(LEN($I1656)-LEN(SUBSTITUTE($I1656," Ltd","")))/LEN(" Ltd")),0)</f>
        <v/>
      </c>
    </row>
    <row r="1656" ht="15" customHeight="1" s="146">
      <c r="Y1656" s="122">
        <f>MAX(0,IFERROR((LEN($T1657)-LEN(SUBSTITUTE($T1657,"Quality of Works / Criteria of Failings:","")))/LEN("Quality of Works / Criteria of Failings:"),0)-IFERROR((LEN($T1657)-LEN(SUBSTITUTE($T1657,"Quality of Works / Criteria of Failings:Compliant","")))/LEN("Quality of Works / Criteria of Failings:Compliant"),0))</f>
        <v/>
      </c>
      <c r="Z1656" s="122">
        <f>IFERROR($Y1657/MAX(1,(LEN($I1657)-LEN(SUBSTITUTE($I1657," Ltd","")))/LEN(" Ltd")),0)</f>
        <v/>
      </c>
      <c r="AA1656" s="122">
        <f>IFERROR(IFERROR((LEN($T1657)-LEN(SUBSTITUTE($T1657,"Quality of Works / Criteria of Failings:","")))/LEN("Quality of Works / Criteria of Failings:"),0)/MAX(1,(LEN($I1657)-LEN(SUBSTITUTE($I1657," Ltd","")))/LEN(" Ltd")),0)</f>
        <v/>
      </c>
      <c r="AB1656" s="122">
        <f>IFERROR(IFERROR((LEN($T1657)-LEN(SUBSTITUTE($T1657,"Quality of Works / Criteria of Failings:Compliant","")))/LEN("Quality of Works / Criteria of Failings:Compliant"),0)/MAX(1,(LEN($I1657)-LEN(SUBSTITUTE($I1657," Ltd","")))/LEN(" Ltd")),0)</f>
        <v/>
      </c>
    </row>
    <row r="1657" ht="15" customHeight="1" s="146">
      <c r="Y1657" s="122">
        <f>MAX(0,IFERROR((LEN($T1658)-LEN(SUBSTITUTE($T1658,"Quality of Works / Criteria of Failings:","")))/LEN("Quality of Works / Criteria of Failings:"),0)-IFERROR((LEN($T1658)-LEN(SUBSTITUTE($T1658,"Quality of Works / Criteria of Failings:Compliant","")))/LEN("Quality of Works / Criteria of Failings:Compliant"),0))</f>
        <v/>
      </c>
      <c r="Z1657" s="122">
        <f>IFERROR($Y1658/MAX(1,(LEN($I1658)-LEN(SUBSTITUTE($I1658," Ltd","")))/LEN(" Ltd")),0)</f>
        <v/>
      </c>
      <c r="AA1657" s="122">
        <f>IFERROR(IFERROR((LEN($T1658)-LEN(SUBSTITUTE($T1658,"Quality of Works / Criteria of Failings:","")))/LEN("Quality of Works / Criteria of Failings:"),0)/MAX(1,(LEN($I1658)-LEN(SUBSTITUTE($I1658," Ltd","")))/LEN(" Ltd")),0)</f>
        <v/>
      </c>
      <c r="AB1657" s="122">
        <f>IFERROR(IFERROR((LEN($T1658)-LEN(SUBSTITUTE($T1658,"Quality of Works / Criteria of Failings:Compliant","")))/LEN("Quality of Works / Criteria of Failings:Compliant"),0)/MAX(1,(LEN($I1658)-LEN(SUBSTITUTE($I1658," Ltd","")))/LEN(" Ltd")),0)</f>
        <v/>
      </c>
    </row>
    <row r="1658" ht="15" customHeight="1" s="146">
      <c r="Y1658" s="122">
        <f>MAX(0,IFERROR((LEN($T1659)-LEN(SUBSTITUTE($T1659,"Quality of Works / Criteria of Failings:","")))/LEN("Quality of Works / Criteria of Failings:"),0)-IFERROR((LEN($T1659)-LEN(SUBSTITUTE($T1659,"Quality of Works / Criteria of Failings:Compliant","")))/LEN("Quality of Works / Criteria of Failings:Compliant"),0))</f>
        <v/>
      </c>
      <c r="Z1658" s="122">
        <f>IFERROR($Y1659/MAX(1,(LEN($I1659)-LEN(SUBSTITUTE($I1659," Ltd","")))/LEN(" Ltd")),0)</f>
        <v/>
      </c>
      <c r="AA1658" s="122">
        <f>IFERROR(IFERROR((LEN($T1659)-LEN(SUBSTITUTE($T1659,"Quality of Works / Criteria of Failings:","")))/LEN("Quality of Works / Criteria of Failings:"),0)/MAX(1,(LEN($I1659)-LEN(SUBSTITUTE($I1659," Ltd","")))/LEN(" Ltd")),0)</f>
        <v/>
      </c>
      <c r="AB1658" s="122">
        <f>IFERROR(IFERROR((LEN($T1659)-LEN(SUBSTITUTE($T1659,"Quality of Works / Criteria of Failings:Compliant","")))/LEN("Quality of Works / Criteria of Failings:Compliant"),0)/MAX(1,(LEN($I1659)-LEN(SUBSTITUTE($I1659," Ltd","")))/LEN(" Ltd")),0)</f>
        <v/>
      </c>
    </row>
    <row r="1659" ht="15" customHeight="1" s="146">
      <c r="Y1659" s="122">
        <f>MAX(0,IFERROR((LEN($T1660)-LEN(SUBSTITUTE($T1660,"Quality of Works / Criteria of Failings:","")))/LEN("Quality of Works / Criteria of Failings:"),0)-IFERROR((LEN($T1660)-LEN(SUBSTITUTE($T1660,"Quality of Works / Criteria of Failings:Compliant","")))/LEN("Quality of Works / Criteria of Failings:Compliant"),0))</f>
        <v/>
      </c>
      <c r="Z1659" s="122">
        <f>IFERROR($Y1660/MAX(1,(LEN($I1660)-LEN(SUBSTITUTE($I1660," Ltd","")))/LEN(" Ltd")),0)</f>
        <v/>
      </c>
      <c r="AA1659" s="122">
        <f>IFERROR(IFERROR((LEN($T1660)-LEN(SUBSTITUTE($T1660,"Quality of Works / Criteria of Failings:","")))/LEN("Quality of Works / Criteria of Failings:"),0)/MAX(1,(LEN($I1660)-LEN(SUBSTITUTE($I1660," Ltd","")))/LEN(" Ltd")),0)</f>
        <v/>
      </c>
      <c r="AB1659" s="122">
        <f>IFERROR(IFERROR((LEN($T1660)-LEN(SUBSTITUTE($T1660,"Quality of Works / Criteria of Failings:Compliant","")))/LEN("Quality of Works / Criteria of Failings:Compliant"),0)/MAX(1,(LEN($I1660)-LEN(SUBSTITUTE($I1660," Ltd","")))/LEN(" Ltd")),0)</f>
        <v/>
      </c>
    </row>
    <row r="1660" ht="15" customHeight="1" s="146">
      <c r="Y1660" s="122">
        <f>MAX(0,IFERROR((LEN($T1661)-LEN(SUBSTITUTE($T1661,"Quality of Works / Criteria of Failings:","")))/LEN("Quality of Works / Criteria of Failings:"),0)-IFERROR((LEN($T1661)-LEN(SUBSTITUTE($T1661,"Quality of Works / Criteria of Failings:Compliant","")))/LEN("Quality of Works / Criteria of Failings:Compliant"),0))</f>
        <v/>
      </c>
      <c r="Z1660" s="122">
        <f>IFERROR($Y1661/MAX(1,(LEN($I1661)-LEN(SUBSTITUTE($I1661," Ltd","")))/LEN(" Ltd")),0)</f>
        <v/>
      </c>
      <c r="AA1660" s="122">
        <f>IFERROR(IFERROR((LEN($T1661)-LEN(SUBSTITUTE($T1661,"Quality of Works / Criteria of Failings:","")))/LEN("Quality of Works / Criteria of Failings:"),0)/MAX(1,(LEN($I1661)-LEN(SUBSTITUTE($I1661," Ltd","")))/LEN(" Ltd")),0)</f>
        <v/>
      </c>
      <c r="AB1660" s="122">
        <f>IFERROR(IFERROR((LEN($T1661)-LEN(SUBSTITUTE($T1661,"Quality of Works / Criteria of Failings:Compliant","")))/LEN("Quality of Works / Criteria of Failings:Compliant"),0)/MAX(1,(LEN($I1661)-LEN(SUBSTITUTE($I1661," Ltd","")))/LEN(" Ltd")),0)</f>
        <v/>
      </c>
    </row>
    <row r="1661" ht="15" customHeight="1" s="146">
      <c r="Y1661" s="122">
        <f>MAX(0,IFERROR((LEN($T1662)-LEN(SUBSTITUTE($T1662,"Quality of Works / Criteria of Failings:","")))/LEN("Quality of Works / Criteria of Failings:"),0)-IFERROR((LEN($T1662)-LEN(SUBSTITUTE($T1662,"Quality of Works / Criteria of Failings:Compliant","")))/LEN("Quality of Works / Criteria of Failings:Compliant"),0))</f>
        <v/>
      </c>
      <c r="Z1661" s="122">
        <f>IFERROR($Y1662/MAX(1,(LEN($I1662)-LEN(SUBSTITUTE($I1662," Ltd","")))/LEN(" Ltd")),0)</f>
        <v/>
      </c>
      <c r="AA1661" s="122">
        <f>IFERROR(IFERROR((LEN($T1662)-LEN(SUBSTITUTE($T1662,"Quality of Works / Criteria of Failings:","")))/LEN("Quality of Works / Criteria of Failings:"),0)/MAX(1,(LEN($I1662)-LEN(SUBSTITUTE($I1662," Ltd","")))/LEN(" Ltd")),0)</f>
        <v/>
      </c>
      <c r="AB1661" s="122">
        <f>IFERROR(IFERROR((LEN($T1662)-LEN(SUBSTITUTE($T1662,"Quality of Works / Criteria of Failings:Compliant","")))/LEN("Quality of Works / Criteria of Failings:Compliant"),0)/MAX(1,(LEN($I1662)-LEN(SUBSTITUTE($I1662," Ltd","")))/LEN(" Ltd")),0)</f>
        <v/>
      </c>
    </row>
    <row r="1662" ht="15" customHeight="1" s="146">
      <c r="Y1662" s="122">
        <f>MAX(0,IFERROR((LEN($T1663)-LEN(SUBSTITUTE($T1663,"Quality of Works / Criteria of Failings:","")))/LEN("Quality of Works / Criteria of Failings:"),0)-IFERROR((LEN($T1663)-LEN(SUBSTITUTE($T1663,"Quality of Works / Criteria of Failings:Compliant","")))/LEN("Quality of Works / Criteria of Failings:Compliant"),0))</f>
        <v/>
      </c>
      <c r="Z1662" s="122">
        <f>IFERROR($Y1663/MAX(1,(LEN($I1663)-LEN(SUBSTITUTE($I1663," Ltd","")))/LEN(" Ltd")),0)</f>
        <v/>
      </c>
      <c r="AA1662" s="122">
        <f>IFERROR(IFERROR((LEN($T1663)-LEN(SUBSTITUTE($T1663,"Quality of Works / Criteria of Failings:","")))/LEN("Quality of Works / Criteria of Failings:"),0)/MAX(1,(LEN($I1663)-LEN(SUBSTITUTE($I1663," Ltd","")))/LEN(" Ltd")),0)</f>
        <v/>
      </c>
      <c r="AB1662" s="122">
        <f>IFERROR(IFERROR((LEN($T1663)-LEN(SUBSTITUTE($T1663,"Quality of Works / Criteria of Failings:Compliant","")))/LEN("Quality of Works / Criteria of Failings:Compliant"),0)/MAX(1,(LEN($I1663)-LEN(SUBSTITUTE($I1663," Ltd","")))/LEN(" Ltd")),0)</f>
        <v/>
      </c>
    </row>
    <row r="1663" ht="15" customHeight="1" s="146">
      <c r="Y1663" s="122">
        <f>MAX(0,IFERROR((LEN($T1664)-LEN(SUBSTITUTE($T1664,"Quality of Works / Criteria of Failings:","")))/LEN("Quality of Works / Criteria of Failings:"),0)-IFERROR((LEN($T1664)-LEN(SUBSTITUTE($T1664,"Quality of Works / Criteria of Failings:Compliant","")))/LEN("Quality of Works / Criteria of Failings:Compliant"),0))</f>
        <v/>
      </c>
      <c r="Z1663" s="122">
        <f>IFERROR($Y1664/MAX(1,(LEN($I1664)-LEN(SUBSTITUTE($I1664," Ltd","")))/LEN(" Ltd")),0)</f>
        <v/>
      </c>
      <c r="AA1663" s="122">
        <f>IFERROR(IFERROR((LEN($T1664)-LEN(SUBSTITUTE($T1664,"Quality of Works / Criteria of Failings:","")))/LEN("Quality of Works / Criteria of Failings:"),0)/MAX(1,(LEN($I1664)-LEN(SUBSTITUTE($I1664," Ltd","")))/LEN(" Ltd")),0)</f>
        <v/>
      </c>
      <c r="AB1663" s="122">
        <f>IFERROR(IFERROR((LEN($T1664)-LEN(SUBSTITUTE($T1664,"Quality of Works / Criteria of Failings:Compliant","")))/LEN("Quality of Works / Criteria of Failings:Compliant"),0)/MAX(1,(LEN($I1664)-LEN(SUBSTITUTE($I1664," Ltd","")))/LEN(" Ltd")),0)</f>
        <v/>
      </c>
    </row>
    <row r="1664" ht="15" customHeight="1" s="146">
      <c r="Y1664" s="122">
        <f>MAX(0,IFERROR((LEN($T1665)-LEN(SUBSTITUTE($T1665,"Quality of Works / Criteria of Failings:","")))/LEN("Quality of Works / Criteria of Failings:"),0)-IFERROR((LEN($T1665)-LEN(SUBSTITUTE($T1665,"Quality of Works / Criteria of Failings:Compliant","")))/LEN("Quality of Works / Criteria of Failings:Compliant"),0))</f>
        <v/>
      </c>
      <c r="Z1664" s="122">
        <f>IFERROR($Y1665/MAX(1,(LEN($I1665)-LEN(SUBSTITUTE($I1665," Ltd","")))/LEN(" Ltd")),0)</f>
        <v/>
      </c>
      <c r="AA1664" s="122">
        <f>IFERROR(IFERROR((LEN($T1665)-LEN(SUBSTITUTE($T1665,"Quality of Works / Criteria of Failings:","")))/LEN("Quality of Works / Criteria of Failings:"),0)/MAX(1,(LEN($I1665)-LEN(SUBSTITUTE($I1665," Ltd","")))/LEN(" Ltd")),0)</f>
        <v/>
      </c>
      <c r="AB1664" s="122">
        <f>IFERROR(IFERROR((LEN($T1665)-LEN(SUBSTITUTE($T1665,"Quality of Works / Criteria of Failings:Compliant","")))/LEN("Quality of Works / Criteria of Failings:Compliant"),0)/MAX(1,(LEN($I1665)-LEN(SUBSTITUTE($I1665," Ltd","")))/LEN(" Ltd")),0)</f>
        <v/>
      </c>
    </row>
    <row r="1665" ht="15" customHeight="1" s="146">
      <c r="Y1665" s="122">
        <f>MAX(0,IFERROR((LEN($T1666)-LEN(SUBSTITUTE($T1666,"Quality of Works / Criteria of Failings:","")))/LEN("Quality of Works / Criteria of Failings:"),0)-IFERROR((LEN($T1666)-LEN(SUBSTITUTE($T1666,"Quality of Works / Criteria of Failings:Compliant","")))/LEN("Quality of Works / Criteria of Failings:Compliant"),0))</f>
        <v/>
      </c>
      <c r="Z1665" s="122">
        <f>IFERROR($Y1666/MAX(1,(LEN($I1666)-LEN(SUBSTITUTE($I1666," Ltd","")))/LEN(" Ltd")),0)</f>
        <v/>
      </c>
      <c r="AA1665" s="122">
        <f>IFERROR(IFERROR((LEN($T1666)-LEN(SUBSTITUTE($T1666,"Quality of Works / Criteria of Failings:","")))/LEN("Quality of Works / Criteria of Failings:"),0)/MAX(1,(LEN($I1666)-LEN(SUBSTITUTE($I1666," Ltd","")))/LEN(" Ltd")),0)</f>
        <v/>
      </c>
      <c r="AB1665" s="122">
        <f>IFERROR(IFERROR((LEN($T1666)-LEN(SUBSTITUTE($T1666,"Quality of Works / Criteria of Failings:Compliant","")))/LEN("Quality of Works / Criteria of Failings:Compliant"),0)/MAX(1,(LEN($I1666)-LEN(SUBSTITUTE($I1666," Ltd","")))/LEN(" Ltd")),0)</f>
        <v/>
      </c>
    </row>
    <row r="1666" ht="15" customHeight="1" s="146">
      <c r="Y1666" s="122">
        <f>MAX(0,IFERROR((LEN($T1667)-LEN(SUBSTITUTE($T1667,"Quality of Works / Criteria of Failings:","")))/LEN("Quality of Works / Criteria of Failings:"),0)-IFERROR((LEN($T1667)-LEN(SUBSTITUTE($T1667,"Quality of Works / Criteria of Failings:Compliant","")))/LEN("Quality of Works / Criteria of Failings:Compliant"),0))</f>
        <v/>
      </c>
      <c r="Z1666" s="122">
        <f>IFERROR($Y1667/MAX(1,(LEN($I1667)-LEN(SUBSTITUTE($I1667," Ltd","")))/LEN(" Ltd")),0)</f>
        <v/>
      </c>
      <c r="AA1666" s="122">
        <f>IFERROR(IFERROR((LEN($T1667)-LEN(SUBSTITUTE($T1667,"Quality of Works / Criteria of Failings:","")))/LEN("Quality of Works / Criteria of Failings:"),0)/MAX(1,(LEN($I1667)-LEN(SUBSTITUTE($I1667," Ltd","")))/LEN(" Ltd")),0)</f>
        <v/>
      </c>
      <c r="AB1666" s="122">
        <f>IFERROR(IFERROR((LEN($T1667)-LEN(SUBSTITUTE($T1667,"Quality of Works / Criteria of Failings:Compliant","")))/LEN("Quality of Works / Criteria of Failings:Compliant"),0)/MAX(1,(LEN($I1667)-LEN(SUBSTITUTE($I1667," Ltd","")))/LEN(" Ltd")),0)</f>
        <v/>
      </c>
    </row>
    <row r="1667" ht="15" customHeight="1" s="146">
      <c r="Y1667" s="122">
        <f>MAX(0,IFERROR((LEN($T1668)-LEN(SUBSTITUTE($T1668,"Quality of Works / Criteria of Failings:","")))/LEN("Quality of Works / Criteria of Failings:"),0)-IFERROR((LEN($T1668)-LEN(SUBSTITUTE($T1668,"Quality of Works / Criteria of Failings:Compliant","")))/LEN("Quality of Works / Criteria of Failings:Compliant"),0))</f>
        <v/>
      </c>
      <c r="Z1667" s="122">
        <f>IFERROR($Y1668/MAX(1,(LEN($I1668)-LEN(SUBSTITUTE($I1668," Ltd","")))/LEN(" Ltd")),0)</f>
        <v/>
      </c>
      <c r="AA1667" s="122">
        <f>IFERROR(IFERROR((LEN($T1668)-LEN(SUBSTITUTE($T1668,"Quality of Works / Criteria of Failings:","")))/LEN("Quality of Works / Criteria of Failings:"),0)/MAX(1,(LEN($I1668)-LEN(SUBSTITUTE($I1668," Ltd","")))/LEN(" Ltd")),0)</f>
        <v/>
      </c>
      <c r="AB1667" s="122">
        <f>IFERROR(IFERROR((LEN($T1668)-LEN(SUBSTITUTE($T1668,"Quality of Works / Criteria of Failings:Compliant","")))/LEN("Quality of Works / Criteria of Failings:Compliant"),0)/MAX(1,(LEN($I1668)-LEN(SUBSTITUTE($I1668," Ltd","")))/LEN(" Ltd")),0)</f>
        <v/>
      </c>
    </row>
    <row r="1668" ht="15" customHeight="1" s="146">
      <c r="Y1668" s="122">
        <f>MAX(0,IFERROR((LEN($T1669)-LEN(SUBSTITUTE($T1669,"Quality of Works / Criteria of Failings:","")))/LEN("Quality of Works / Criteria of Failings:"),0)-IFERROR((LEN($T1669)-LEN(SUBSTITUTE($T1669,"Quality of Works / Criteria of Failings:Compliant","")))/LEN("Quality of Works / Criteria of Failings:Compliant"),0))</f>
        <v/>
      </c>
      <c r="Z1668" s="122">
        <f>IFERROR($Y1669/MAX(1,(LEN($I1669)-LEN(SUBSTITUTE($I1669," Ltd","")))/LEN(" Ltd")),0)</f>
        <v/>
      </c>
      <c r="AA1668" s="122">
        <f>IFERROR(IFERROR((LEN($T1669)-LEN(SUBSTITUTE($T1669,"Quality of Works / Criteria of Failings:","")))/LEN("Quality of Works / Criteria of Failings:"),0)/MAX(1,(LEN($I1669)-LEN(SUBSTITUTE($I1669," Ltd","")))/LEN(" Ltd")),0)</f>
        <v/>
      </c>
      <c r="AB1668" s="122">
        <f>IFERROR(IFERROR((LEN($T1669)-LEN(SUBSTITUTE($T1669,"Quality of Works / Criteria of Failings:Compliant","")))/LEN("Quality of Works / Criteria of Failings:Compliant"),0)/MAX(1,(LEN($I1669)-LEN(SUBSTITUTE($I1669," Ltd","")))/LEN(" Ltd")),0)</f>
        <v/>
      </c>
    </row>
    <row r="1669" ht="15" customHeight="1" s="146">
      <c r="Y1669" s="122">
        <f>MAX(0,IFERROR((LEN($T1670)-LEN(SUBSTITUTE($T1670,"Quality of Works / Criteria of Failings:","")))/LEN("Quality of Works / Criteria of Failings:"),0)-IFERROR((LEN($T1670)-LEN(SUBSTITUTE($T1670,"Quality of Works / Criteria of Failings:Compliant","")))/LEN("Quality of Works / Criteria of Failings:Compliant"),0))</f>
        <v/>
      </c>
      <c r="Z1669" s="122">
        <f>IFERROR($Y1670/MAX(1,(LEN($I1670)-LEN(SUBSTITUTE($I1670," Ltd","")))/LEN(" Ltd")),0)</f>
        <v/>
      </c>
      <c r="AA1669" s="122">
        <f>IFERROR(IFERROR((LEN($T1670)-LEN(SUBSTITUTE($T1670,"Quality of Works / Criteria of Failings:","")))/LEN("Quality of Works / Criteria of Failings:"),0)/MAX(1,(LEN($I1670)-LEN(SUBSTITUTE($I1670," Ltd","")))/LEN(" Ltd")),0)</f>
        <v/>
      </c>
      <c r="AB1669" s="122">
        <f>IFERROR(IFERROR((LEN($T1670)-LEN(SUBSTITUTE($T1670,"Quality of Works / Criteria of Failings:Compliant","")))/LEN("Quality of Works / Criteria of Failings:Compliant"),0)/MAX(1,(LEN($I1670)-LEN(SUBSTITUTE($I1670," Ltd","")))/LEN(" Ltd")),0)</f>
        <v/>
      </c>
    </row>
    <row r="1670" ht="15" customHeight="1" s="146">
      <c r="Y1670" s="122">
        <f>MAX(0,IFERROR((LEN($T1671)-LEN(SUBSTITUTE($T1671,"Quality of Works / Criteria of Failings:","")))/LEN("Quality of Works / Criteria of Failings:"),0)-IFERROR((LEN($T1671)-LEN(SUBSTITUTE($T1671,"Quality of Works / Criteria of Failings:Compliant","")))/LEN("Quality of Works / Criteria of Failings:Compliant"),0))</f>
        <v/>
      </c>
      <c r="Z1670" s="122">
        <f>IFERROR($Y1671/MAX(1,(LEN($I1671)-LEN(SUBSTITUTE($I1671," Ltd","")))/LEN(" Ltd")),0)</f>
        <v/>
      </c>
      <c r="AA1670" s="122">
        <f>IFERROR(IFERROR((LEN($T1671)-LEN(SUBSTITUTE($T1671,"Quality of Works / Criteria of Failings:","")))/LEN("Quality of Works / Criteria of Failings:"),0)/MAX(1,(LEN($I1671)-LEN(SUBSTITUTE($I1671," Ltd","")))/LEN(" Ltd")),0)</f>
        <v/>
      </c>
      <c r="AB1670" s="122">
        <f>IFERROR(IFERROR((LEN($T1671)-LEN(SUBSTITUTE($T1671,"Quality of Works / Criteria of Failings:Compliant","")))/LEN("Quality of Works / Criteria of Failings:Compliant"),0)/MAX(1,(LEN($I1671)-LEN(SUBSTITUTE($I1671," Ltd","")))/LEN(" Ltd")),0)</f>
        <v/>
      </c>
    </row>
    <row r="1671" ht="15" customHeight="1" s="146">
      <c r="Y1671" s="122">
        <f>MAX(0,IFERROR((LEN($T1672)-LEN(SUBSTITUTE($T1672,"Quality of Works / Criteria of Failings:","")))/LEN("Quality of Works / Criteria of Failings:"),0)-IFERROR((LEN($T1672)-LEN(SUBSTITUTE($T1672,"Quality of Works / Criteria of Failings:Compliant","")))/LEN("Quality of Works / Criteria of Failings:Compliant"),0))</f>
        <v/>
      </c>
      <c r="Z1671" s="122">
        <f>IFERROR($Y1672/MAX(1,(LEN($I1672)-LEN(SUBSTITUTE($I1672," Ltd","")))/LEN(" Ltd")),0)</f>
        <v/>
      </c>
      <c r="AA1671" s="122">
        <f>IFERROR(IFERROR((LEN($T1672)-LEN(SUBSTITUTE($T1672,"Quality of Works / Criteria of Failings:","")))/LEN("Quality of Works / Criteria of Failings:"),0)/MAX(1,(LEN($I1672)-LEN(SUBSTITUTE($I1672," Ltd","")))/LEN(" Ltd")),0)</f>
        <v/>
      </c>
      <c r="AB1671" s="122">
        <f>IFERROR(IFERROR((LEN($T1672)-LEN(SUBSTITUTE($T1672,"Quality of Works / Criteria of Failings:Compliant","")))/LEN("Quality of Works / Criteria of Failings:Compliant"),0)/MAX(1,(LEN($I1672)-LEN(SUBSTITUTE($I1672," Ltd","")))/LEN(" Ltd")),0)</f>
        <v/>
      </c>
    </row>
    <row r="1672" ht="15" customHeight="1" s="146">
      <c r="Y1672" s="122">
        <f>MAX(0,IFERROR((LEN($T1673)-LEN(SUBSTITUTE($T1673,"Quality of Works / Criteria of Failings:","")))/LEN("Quality of Works / Criteria of Failings:"),0)-IFERROR((LEN($T1673)-LEN(SUBSTITUTE($T1673,"Quality of Works / Criteria of Failings:Compliant","")))/LEN("Quality of Works / Criteria of Failings:Compliant"),0))</f>
        <v/>
      </c>
      <c r="Z1672" s="122">
        <f>IFERROR($Y1673/MAX(1,(LEN($I1673)-LEN(SUBSTITUTE($I1673," Ltd","")))/LEN(" Ltd")),0)</f>
        <v/>
      </c>
      <c r="AA1672" s="122">
        <f>IFERROR(IFERROR((LEN($T1673)-LEN(SUBSTITUTE($T1673,"Quality of Works / Criteria of Failings:","")))/LEN("Quality of Works / Criteria of Failings:"),0)/MAX(1,(LEN($I1673)-LEN(SUBSTITUTE($I1673," Ltd","")))/LEN(" Ltd")),0)</f>
        <v/>
      </c>
      <c r="AB1672" s="122">
        <f>IFERROR(IFERROR((LEN($T1673)-LEN(SUBSTITUTE($T1673,"Quality of Works / Criteria of Failings:Compliant","")))/LEN("Quality of Works / Criteria of Failings:Compliant"),0)/MAX(1,(LEN($I1673)-LEN(SUBSTITUTE($I1673," Ltd","")))/LEN(" Ltd")),0)</f>
        <v/>
      </c>
    </row>
    <row r="1673" ht="15" customHeight="1" s="146">
      <c r="Y1673" s="122">
        <f>MAX(0,IFERROR((LEN($T1674)-LEN(SUBSTITUTE($T1674,"Quality of Works / Criteria of Failings:","")))/LEN("Quality of Works / Criteria of Failings:"),0)-IFERROR((LEN($T1674)-LEN(SUBSTITUTE($T1674,"Quality of Works / Criteria of Failings:Compliant","")))/LEN("Quality of Works / Criteria of Failings:Compliant"),0))</f>
        <v/>
      </c>
      <c r="Z1673" s="122">
        <f>IFERROR($Y1674/MAX(1,(LEN($I1674)-LEN(SUBSTITUTE($I1674," Ltd","")))/LEN(" Ltd")),0)</f>
        <v/>
      </c>
      <c r="AA1673" s="122">
        <f>IFERROR(IFERROR((LEN($T1674)-LEN(SUBSTITUTE($T1674,"Quality of Works / Criteria of Failings:","")))/LEN("Quality of Works / Criteria of Failings:"),0)/MAX(1,(LEN($I1674)-LEN(SUBSTITUTE($I1674," Ltd","")))/LEN(" Ltd")),0)</f>
        <v/>
      </c>
      <c r="AB1673" s="122">
        <f>IFERROR(IFERROR((LEN($T1674)-LEN(SUBSTITUTE($T1674,"Quality of Works / Criteria of Failings:Compliant","")))/LEN("Quality of Works / Criteria of Failings:Compliant"),0)/MAX(1,(LEN($I1674)-LEN(SUBSTITUTE($I1674," Ltd","")))/LEN(" Ltd")),0)</f>
        <v/>
      </c>
    </row>
    <row r="1674" ht="15" customHeight="1" s="146">
      <c r="Y1674" s="122">
        <f>MAX(0,IFERROR((LEN($T1675)-LEN(SUBSTITUTE($T1675,"Quality of Works / Criteria of Failings:","")))/LEN("Quality of Works / Criteria of Failings:"),0)-IFERROR((LEN($T1675)-LEN(SUBSTITUTE($T1675,"Quality of Works / Criteria of Failings:Compliant","")))/LEN("Quality of Works / Criteria of Failings:Compliant"),0))</f>
        <v/>
      </c>
      <c r="Z1674" s="122">
        <f>IFERROR($Y1675/MAX(1,(LEN($I1675)-LEN(SUBSTITUTE($I1675," Ltd","")))/LEN(" Ltd")),0)</f>
        <v/>
      </c>
      <c r="AA1674" s="122">
        <f>IFERROR(IFERROR((LEN($T1675)-LEN(SUBSTITUTE($T1675,"Quality of Works / Criteria of Failings:","")))/LEN("Quality of Works / Criteria of Failings:"),0)/MAX(1,(LEN($I1675)-LEN(SUBSTITUTE($I1675," Ltd","")))/LEN(" Ltd")),0)</f>
        <v/>
      </c>
      <c r="AB1674" s="122">
        <f>IFERROR(IFERROR((LEN($T1675)-LEN(SUBSTITUTE($T1675,"Quality of Works / Criteria of Failings:Compliant","")))/LEN("Quality of Works / Criteria of Failings:Compliant"),0)/MAX(1,(LEN($I1675)-LEN(SUBSTITUTE($I1675," Ltd","")))/LEN(" Ltd")),0)</f>
        <v/>
      </c>
    </row>
    <row r="1675" ht="15" customHeight="1" s="146">
      <c r="Y1675" s="122">
        <f>MAX(0,IFERROR((LEN($T1676)-LEN(SUBSTITUTE($T1676,"Quality of Works / Criteria of Failings:","")))/LEN("Quality of Works / Criteria of Failings:"),0)-IFERROR((LEN($T1676)-LEN(SUBSTITUTE($T1676,"Quality of Works / Criteria of Failings:Compliant","")))/LEN("Quality of Works / Criteria of Failings:Compliant"),0))</f>
        <v/>
      </c>
      <c r="Z1675" s="122">
        <f>IFERROR($Y1676/MAX(1,(LEN($I1676)-LEN(SUBSTITUTE($I1676," Ltd","")))/LEN(" Ltd")),0)</f>
        <v/>
      </c>
      <c r="AA1675" s="122">
        <f>IFERROR(IFERROR((LEN($T1676)-LEN(SUBSTITUTE($T1676,"Quality of Works / Criteria of Failings:","")))/LEN("Quality of Works / Criteria of Failings:"),0)/MAX(1,(LEN($I1676)-LEN(SUBSTITUTE($I1676," Ltd","")))/LEN(" Ltd")),0)</f>
        <v/>
      </c>
      <c r="AB1675" s="122">
        <f>IFERROR(IFERROR((LEN($T1676)-LEN(SUBSTITUTE($T1676,"Quality of Works / Criteria of Failings:Compliant","")))/LEN("Quality of Works / Criteria of Failings:Compliant"),0)/MAX(1,(LEN($I1676)-LEN(SUBSTITUTE($I1676," Ltd","")))/LEN(" Ltd")),0)</f>
        <v/>
      </c>
    </row>
    <row r="1676" ht="15" customHeight="1" s="146">
      <c r="Y1676" s="122">
        <f>MAX(0,IFERROR((LEN($T1677)-LEN(SUBSTITUTE($T1677,"Quality of Works / Criteria of Failings:","")))/LEN("Quality of Works / Criteria of Failings:"),0)-IFERROR((LEN($T1677)-LEN(SUBSTITUTE($T1677,"Quality of Works / Criteria of Failings:Compliant","")))/LEN("Quality of Works / Criteria of Failings:Compliant"),0))</f>
        <v/>
      </c>
      <c r="Z1676" s="122">
        <f>IFERROR($Y1677/MAX(1,(LEN($I1677)-LEN(SUBSTITUTE($I1677," Ltd","")))/LEN(" Ltd")),0)</f>
        <v/>
      </c>
      <c r="AA1676" s="122">
        <f>IFERROR(IFERROR((LEN($T1677)-LEN(SUBSTITUTE($T1677,"Quality of Works / Criteria of Failings:","")))/LEN("Quality of Works / Criteria of Failings:"),0)/MAX(1,(LEN($I1677)-LEN(SUBSTITUTE($I1677," Ltd","")))/LEN(" Ltd")),0)</f>
        <v/>
      </c>
      <c r="AB1676" s="122">
        <f>IFERROR(IFERROR((LEN($T1677)-LEN(SUBSTITUTE($T1677,"Quality of Works / Criteria of Failings:Compliant","")))/LEN("Quality of Works / Criteria of Failings:Compliant"),0)/MAX(1,(LEN($I1677)-LEN(SUBSTITUTE($I1677," Ltd","")))/LEN(" Ltd")),0)</f>
        <v/>
      </c>
    </row>
    <row r="1677" ht="15" customHeight="1" s="146">
      <c r="Y1677" s="122">
        <f>MAX(0,IFERROR((LEN($T1678)-LEN(SUBSTITUTE($T1678,"Quality of Works / Criteria of Failings:","")))/LEN("Quality of Works / Criteria of Failings:"),0)-IFERROR((LEN($T1678)-LEN(SUBSTITUTE($T1678,"Quality of Works / Criteria of Failings:Compliant","")))/LEN("Quality of Works / Criteria of Failings:Compliant"),0))</f>
        <v/>
      </c>
      <c r="Z1677" s="122">
        <f>IFERROR($Y1678/MAX(1,(LEN($I1678)-LEN(SUBSTITUTE($I1678," Ltd","")))/LEN(" Ltd")),0)</f>
        <v/>
      </c>
      <c r="AA1677" s="122">
        <f>IFERROR(IFERROR((LEN($T1678)-LEN(SUBSTITUTE($T1678,"Quality of Works / Criteria of Failings:","")))/LEN("Quality of Works / Criteria of Failings:"),0)/MAX(1,(LEN($I1678)-LEN(SUBSTITUTE($I1678," Ltd","")))/LEN(" Ltd")),0)</f>
        <v/>
      </c>
      <c r="AB1677" s="122">
        <f>IFERROR(IFERROR((LEN($T1678)-LEN(SUBSTITUTE($T1678,"Quality of Works / Criteria of Failings:Compliant","")))/LEN("Quality of Works / Criteria of Failings:Compliant"),0)/MAX(1,(LEN($I1678)-LEN(SUBSTITUTE($I1678," Ltd","")))/LEN(" Ltd")),0)</f>
        <v/>
      </c>
    </row>
    <row r="1678" ht="15" customHeight="1" s="146">
      <c r="Y1678" s="122">
        <f>MAX(0,IFERROR((LEN($T1679)-LEN(SUBSTITUTE($T1679,"Quality of Works / Criteria of Failings:","")))/LEN("Quality of Works / Criteria of Failings:"),0)-IFERROR((LEN($T1679)-LEN(SUBSTITUTE($T1679,"Quality of Works / Criteria of Failings:Compliant","")))/LEN("Quality of Works / Criteria of Failings:Compliant"),0))</f>
        <v/>
      </c>
      <c r="Z1678" s="122">
        <f>IFERROR($Y1679/MAX(1,(LEN($I1679)-LEN(SUBSTITUTE($I1679," Ltd","")))/LEN(" Ltd")),0)</f>
        <v/>
      </c>
      <c r="AA1678" s="122">
        <f>IFERROR(IFERROR((LEN($T1679)-LEN(SUBSTITUTE($T1679,"Quality of Works / Criteria of Failings:","")))/LEN("Quality of Works / Criteria of Failings:"),0)/MAX(1,(LEN($I1679)-LEN(SUBSTITUTE($I1679," Ltd","")))/LEN(" Ltd")),0)</f>
        <v/>
      </c>
      <c r="AB1678" s="122">
        <f>IFERROR(IFERROR((LEN($T1679)-LEN(SUBSTITUTE($T1679,"Quality of Works / Criteria of Failings:Compliant","")))/LEN("Quality of Works / Criteria of Failings:Compliant"),0)/MAX(1,(LEN($I1679)-LEN(SUBSTITUTE($I1679," Ltd","")))/LEN(" Ltd")),0)</f>
        <v/>
      </c>
    </row>
    <row r="1679" ht="15" customHeight="1" s="146">
      <c r="Y1679" s="122">
        <f>MAX(0,IFERROR((LEN($T1680)-LEN(SUBSTITUTE($T1680,"Quality of Works / Criteria of Failings:","")))/LEN("Quality of Works / Criteria of Failings:"),0)-IFERROR((LEN($T1680)-LEN(SUBSTITUTE($T1680,"Quality of Works / Criteria of Failings:Compliant","")))/LEN("Quality of Works / Criteria of Failings:Compliant"),0))</f>
        <v/>
      </c>
      <c r="Z1679" s="122">
        <f>IFERROR($Y1680/MAX(1,(LEN($I1680)-LEN(SUBSTITUTE($I1680," Ltd","")))/LEN(" Ltd")),0)</f>
        <v/>
      </c>
      <c r="AA1679" s="122">
        <f>IFERROR(IFERROR((LEN($T1680)-LEN(SUBSTITUTE($T1680,"Quality of Works / Criteria of Failings:","")))/LEN("Quality of Works / Criteria of Failings:"),0)/MAX(1,(LEN($I1680)-LEN(SUBSTITUTE($I1680," Ltd","")))/LEN(" Ltd")),0)</f>
        <v/>
      </c>
      <c r="AB1679" s="122">
        <f>IFERROR(IFERROR((LEN($T1680)-LEN(SUBSTITUTE($T1680,"Quality of Works / Criteria of Failings:Compliant","")))/LEN("Quality of Works / Criteria of Failings:Compliant"),0)/MAX(1,(LEN($I1680)-LEN(SUBSTITUTE($I1680," Ltd","")))/LEN(" Ltd")),0)</f>
        <v/>
      </c>
    </row>
    <row r="1680" ht="15" customHeight="1" s="146">
      <c r="Y1680" s="122">
        <f>MAX(0,IFERROR((LEN($T1681)-LEN(SUBSTITUTE($T1681,"Quality of Works / Criteria of Failings:","")))/LEN("Quality of Works / Criteria of Failings:"),0)-IFERROR((LEN($T1681)-LEN(SUBSTITUTE($T1681,"Quality of Works / Criteria of Failings:Compliant","")))/LEN("Quality of Works / Criteria of Failings:Compliant"),0))</f>
        <v/>
      </c>
      <c r="Z1680" s="122">
        <f>IFERROR($Y1681/MAX(1,(LEN($I1681)-LEN(SUBSTITUTE($I1681," Ltd","")))/LEN(" Ltd")),0)</f>
        <v/>
      </c>
      <c r="AA1680" s="122">
        <f>IFERROR(IFERROR((LEN($T1681)-LEN(SUBSTITUTE($T1681,"Quality of Works / Criteria of Failings:","")))/LEN("Quality of Works / Criteria of Failings:"),0)/MAX(1,(LEN($I1681)-LEN(SUBSTITUTE($I1681," Ltd","")))/LEN(" Ltd")),0)</f>
        <v/>
      </c>
      <c r="AB1680" s="122">
        <f>IFERROR(IFERROR((LEN($T1681)-LEN(SUBSTITUTE($T1681,"Quality of Works / Criteria of Failings:Compliant","")))/LEN("Quality of Works / Criteria of Failings:Compliant"),0)/MAX(1,(LEN($I1681)-LEN(SUBSTITUTE($I1681," Ltd","")))/LEN(" Ltd")),0)</f>
        <v/>
      </c>
    </row>
    <row r="1681" ht="15" customHeight="1" s="146">
      <c r="Y1681" s="122">
        <f>MAX(0,IFERROR((LEN($T1682)-LEN(SUBSTITUTE($T1682,"Quality of Works / Criteria of Failings:","")))/LEN("Quality of Works / Criteria of Failings:"),0)-IFERROR((LEN($T1682)-LEN(SUBSTITUTE($T1682,"Quality of Works / Criteria of Failings:Compliant","")))/LEN("Quality of Works / Criteria of Failings:Compliant"),0))</f>
        <v/>
      </c>
      <c r="Z1681" s="122">
        <f>IFERROR($Y1682/MAX(1,(LEN($I1682)-LEN(SUBSTITUTE($I1682," Ltd","")))/LEN(" Ltd")),0)</f>
        <v/>
      </c>
      <c r="AA1681" s="122">
        <f>IFERROR(IFERROR((LEN($T1682)-LEN(SUBSTITUTE($T1682,"Quality of Works / Criteria of Failings:","")))/LEN("Quality of Works / Criteria of Failings:"),0)/MAX(1,(LEN($I1682)-LEN(SUBSTITUTE($I1682," Ltd","")))/LEN(" Ltd")),0)</f>
        <v/>
      </c>
      <c r="AB1681" s="122">
        <f>IFERROR(IFERROR((LEN($T1682)-LEN(SUBSTITUTE($T1682,"Quality of Works / Criteria of Failings:Compliant","")))/LEN("Quality of Works / Criteria of Failings:Compliant"),0)/MAX(1,(LEN($I1682)-LEN(SUBSTITUTE($I1682," Ltd","")))/LEN(" Ltd")),0)</f>
        <v/>
      </c>
    </row>
    <row r="1682" ht="15" customHeight="1" s="146">
      <c r="Y1682" s="122">
        <f>MAX(0,IFERROR((LEN($T1683)-LEN(SUBSTITUTE($T1683,"Quality of Works / Criteria of Failings:","")))/LEN("Quality of Works / Criteria of Failings:"),0)-IFERROR((LEN($T1683)-LEN(SUBSTITUTE($T1683,"Quality of Works / Criteria of Failings:Compliant","")))/LEN("Quality of Works / Criteria of Failings:Compliant"),0))</f>
        <v/>
      </c>
      <c r="Z1682" s="122">
        <f>IFERROR($Y1683/MAX(1,(LEN($I1683)-LEN(SUBSTITUTE($I1683," Ltd","")))/LEN(" Ltd")),0)</f>
        <v/>
      </c>
      <c r="AA1682" s="122">
        <f>IFERROR(IFERROR((LEN($T1683)-LEN(SUBSTITUTE($T1683,"Quality of Works / Criteria of Failings:","")))/LEN("Quality of Works / Criteria of Failings:"),0)/MAX(1,(LEN($I1683)-LEN(SUBSTITUTE($I1683," Ltd","")))/LEN(" Ltd")),0)</f>
        <v/>
      </c>
      <c r="AB1682" s="122">
        <f>IFERROR(IFERROR((LEN($T1683)-LEN(SUBSTITUTE($T1683,"Quality of Works / Criteria of Failings:Compliant","")))/LEN("Quality of Works / Criteria of Failings:Compliant"),0)/MAX(1,(LEN($I1683)-LEN(SUBSTITUTE($I1683," Ltd","")))/LEN(" Ltd")),0)</f>
        <v/>
      </c>
    </row>
    <row r="1683" ht="15" customHeight="1" s="146">
      <c r="Y1683" s="122">
        <f>MAX(0,IFERROR((LEN($T1684)-LEN(SUBSTITUTE($T1684,"Quality of Works / Criteria of Failings:","")))/LEN("Quality of Works / Criteria of Failings:"),0)-IFERROR((LEN($T1684)-LEN(SUBSTITUTE($T1684,"Quality of Works / Criteria of Failings:Compliant","")))/LEN("Quality of Works / Criteria of Failings:Compliant"),0))</f>
        <v/>
      </c>
      <c r="Z1683" s="122">
        <f>IFERROR($Y1684/MAX(1,(LEN($I1684)-LEN(SUBSTITUTE($I1684," Ltd","")))/LEN(" Ltd")),0)</f>
        <v/>
      </c>
      <c r="AA1683" s="122">
        <f>IFERROR(IFERROR((LEN($T1684)-LEN(SUBSTITUTE($T1684,"Quality of Works / Criteria of Failings:","")))/LEN("Quality of Works / Criteria of Failings:"),0)/MAX(1,(LEN($I1684)-LEN(SUBSTITUTE($I1684," Ltd","")))/LEN(" Ltd")),0)</f>
        <v/>
      </c>
      <c r="AB1683" s="122">
        <f>IFERROR(IFERROR((LEN($T1684)-LEN(SUBSTITUTE($T1684,"Quality of Works / Criteria of Failings:Compliant","")))/LEN("Quality of Works / Criteria of Failings:Compliant"),0)/MAX(1,(LEN($I1684)-LEN(SUBSTITUTE($I1684," Ltd","")))/LEN(" Ltd")),0)</f>
        <v/>
      </c>
    </row>
    <row r="1684" ht="15" customHeight="1" s="146">
      <c r="Y1684" s="122">
        <f>MAX(0,IFERROR((LEN($T1685)-LEN(SUBSTITUTE($T1685,"Quality of Works / Criteria of Failings:","")))/LEN("Quality of Works / Criteria of Failings:"),0)-IFERROR((LEN($T1685)-LEN(SUBSTITUTE($T1685,"Quality of Works / Criteria of Failings:Compliant","")))/LEN("Quality of Works / Criteria of Failings:Compliant"),0))</f>
        <v/>
      </c>
      <c r="Z1684" s="122">
        <f>IFERROR($Y1685/MAX(1,(LEN($I1685)-LEN(SUBSTITUTE($I1685," Ltd","")))/LEN(" Ltd")),0)</f>
        <v/>
      </c>
      <c r="AA1684" s="122">
        <f>IFERROR(IFERROR((LEN($T1685)-LEN(SUBSTITUTE($T1685,"Quality of Works / Criteria of Failings:","")))/LEN("Quality of Works / Criteria of Failings:"),0)/MAX(1,(LEN($I1685)-LEN(SUBSTITUTE($I1685," Ltd","")))/LEN(" Ltd")),0)</f>
        <v/>
      </c>
      <c r="AB1684" s="122">
        <f>IFERROR(IFERROR((LEN($T1685)-LEN(SUBSTITUTE($T1685,"Quality of Works / Criteria of Failings:Compliant","")))/LEN("Quality of Works / Criteria of Failings:Compliant"),0)/MAX(1,(LEN($I1685)-LEN(SUBSTITUTE($I1685," Ltd","")))/LEN(" Ltd")),0)</f>
        <v/>
      </c>
    </row>
    <row r="1685" ht="15" customHeight="1" s="146">
      <c r="Y1685" s="122">
        <f>MAX(0,IFERROR((LEN($T1686)-LEN(SUBSTITUTE($T1686,"Quality of Works / Criteria of Failings:","")))/LEN("Quality of Works / Criteria of Failings:"),0)-IFERROR((LEN($T1686)-LEN(SUBSTITUTE($T1686,"Quality of Works / Criteria of Failings:Compliant","")))/LEN("Quality of Works / Criteria of Failings:Compliant"),0))</f>
        <v/>
      </c>
      <c r="Z1685" s="122">
        <f>IFERROR($Y1686/MAX(1,(LEN($I1686)-LEN(SUBSTITUTE($I1686," Ltd","")))/LEN(" Ltd")),0)</f>
        <v/>
      </c>
      <c r="AA1685" s="122">
        <f>IFERROR(IFERROR((LEN($T1686)-LEN(SUBSTITUTE($T1686,"Quality of Works / Criteria of Failings:","")))/LEN("Quality of Works / Criteria of Failings:"),0)/MAX(1,(LEN($I1686)-LEN(SUBSTITUTE($I1686," Ltd","")))/LEN(" Ltd")),0)</f>
        <v/>
      </c>
      <c r="AB1685" s="122">
        <f>IFERROR(IFERROR((LEN($T1686)-LEN(SUBSTITUTE($T1686,"Quality of Works / Criteria of Failings:Compliant","")))/LEN("Quality of Works / Criteria of Failings:Compliant"),0)/MAX(1,(LEN($I1686)-LEN(SUBSTITUTE($I1686," Ltd","")))/LEN(" Ltd")),0)</f>
        <v/>
      </c>
    </row>
    <row r="1686" ht="15" customHeight="1" s="146">
      <c r="Y1686" s="122">
        <f>MAX(0,IFERROR((LEN($T1687)-LEN(SUBSTITUTE($T1687,"Quality of Works / Criteria of Failings:","")))/LEN("Quality of Works / Criteria of Failings:"),0)-IFERROR((LEN($T1687)-LEN(SUBSTITUTE($T1687,"Quality of Works / Criteria of Failings:Compliant","")))/LEN("Quality of Works / Criteria of Failings:Compliant"),0))</f>
        <v/>
      </c>
      <c r="Z1686" s="122">
        <f>IFERROR($Y1687/MAX(1,(LEN($I1687)-LEN(SUBSTITUTE($I1687," Ltd","")))/LEN(" Ltd")),0)</f>
        <v/>
      </c>
      <c r="AA1686" s="122">
        <f>IFERROR(IFERROR((LEN($T1687)-LEN(SUBSTITUTE($T1687,"Quality of Works / Criteria of Failings:","")))/LEN("Quality of Works / Criteria of Failings:"),0)/MAX(1,(LEN($I1687)-LEN(SUBSTITUTE($I1687," Ltd","")))/LEN(" Ltd")),0)</f>
        <v/>
      </c>
      <c r="AB1686" s="122">
        <f>IFERROR(IFERROR((LEN($T1687)-LEN(SUBSTITUTE($T1687,"Quality of Works / Criteria of Failings:Compliant","")))/LEN("Quality of Works / Criteria of Failings:Compliant"),0)/MAX(1,(LEN($I1687)-LEN(SUBSTITUTE($I1687," Ltd","")))/LEN(" Ltd")),0)</f>
        <v/>
      </c>
    </row>
    <row r="1687" ht="15" customHeight="1" s="146">
      <c r="Y1687" s="122">
        <f>MAX(0,IFERROR((LEN($T1688)-LEN(SUBSTITUTE($T1688,"Quality of Works / Criteria of Failings:","")))/LEN("Quality of Works / Criteria of Failings:"),0)-IFERROR((LEN($T1688)-LEN(SUBSTITUTE($T1688,"Quality of Works / Criteria of Failings:Compliant","")))/LEN("Quality of Works / Criteria of Failings:Compliant"),0))</f>
        <v/>
      </c>
      <c r="Z1687" s="122">
        <f>IFERROR($Y1688/MAX(1,(LEN($I1688)-LEN(SUBSTITUTE($I1688," Ltd","")))/LEN(" Ltd")),0)</f>
        <v/>
      </c>
      <c r="AA1687" s="122">
        <f>IFERROR(IFERROR((LEN($T1688)-LEN(SUBSTITUTE($T1688,"Quality of Works / Criteria of Failings:","")))/LEN("Quality of Works / Criteria of Failings:"),0)/MAX(1,(LEN($I1688)-LEN(SUBSTITUTE($I1688," Ltd","")))/LEN(" Ltd")),0)</f>
        <v/>
      </c>
      <c r="AB1687" s="122">
        <f>IFERROR(IFERROR((LEN($T1688)-LEN(SUBSTITUTE($T1688,"Quality of Works / Criteria of Failings:Compliant","")))/LEN("Quality of Works / Criteria of Failings:Compliant"),0)/MAX(1,(LEN($I1688)-LEN(SUBSTITUTE($I1688," Ltd","")))/LEN(" Ltd")),0)</f>
        <v/>
      </c>
    </row>
    <row r="1688" ht="15" customHeight="1" s="146">
      <c r="Y1688" s="122">
        <f>MAX(0,IFERROR((LEN($T1689)-LEN(SUBSTITUTE($T1689,"Quality of Works / Criteria of Failings:","")))/LEN("Quality of Works / Criteria of Failings:"),0)-IFERROR((LEN($T1689)-LEN(SUBSTITUTE($T1689,"Quality of Works / Criteria of Failings:Compliant","")))/LEN("Quality of Works / Criteria of Failings:Compliant"),0))</f>
        <v/>
      </c>
      <c r="Z1688" s="122">
        <f>IFERROR($Y1689/MAX(1,(LEN($I1689)-LEN(SUBSTITUTE($I1689," Ltd","")))/LEN(" Ltd")),0)</f>
        <v/>
      </c>
      <c r="AA1688" s="122">
        <f>IFERROR(IFERROR((LEN($T1689)-LEN(SUBSTITUTE($T1689,"Quality of Works / Criteria of Failings:","")))/LEN("Quality of Works / Criteria of Failings:"),0)/MAX(1,(LEN($I1689)-LEN(SUBSTITUTE($I1689," Ltd","")))/LEN(" Ltd")),0)</f>
        <v/>
      </c>
      <c r="AB1688" s="122">
        <f>IFERROR(IFERROR((LEN($T1689)-LEN(SUBSTITUTE($T1689,"Quality of Works / Criteria of Failings:Compliant","")))/LEN("Quality of Works / Criteria of Failings:Compliant"),0)/MAX(1,(LEN($I1689)-LEN(SUBSTITUTE($I1689," Ltd","")))/LEN(" Ltd")),0)</f>
        <v/>
      </c>
    </row>
    <row r="1689" ht="15" customHeight="1" s="146">
      <c r="Y1689" s="122">
        <f>MAX(0,IFERROR((LEN($T1690)-LEN(SUBSTITUTE($T1690,"Quality of Works / Criteria of Failings:","")))/LEN("Quality of Works / Criteria of Failings:"),0)-IFERROR((LEN($T1690)-LEN(SUBSTITUTE($T1690,"Quality of Works / Criteria of Failings:Compliant","")))/LEN("Quality of Works / Criteria of Failings:Compliant"),0))</f>
        <v/>
      </c>
      <c r="Z1689" s="122">
        <f>IFERROR($Y1690/MAX(1,(LEN($I1690)-LEN(SUBSTITUTE($I1690," Ltd","")))/LEN(" Ltd")),0)</f>
        <v/>
      </c>
      <c r="AA1689" s="122">
        <f>IFERROR(IFERROR((LEN($T1690)-LEN(SUBSTITUTE($T1690,"Quality of Works / Criteria of Failings:","")))/LEN("Quality of Works / Criteria of Failings:"),0)/MAX(1,(LEN($I1690)-LEN(SUBSTITUTE($I1690," Ltd","")))/LEN(" Ltd")),0)</f>
        <v/>
      </c>
      <c r="AB1689" s="122">
        <f>IFERROR(IFERROR((LEN($T1690)-LEN(SUBSTITUTE($T1690,"Quality of Works / Criteria of Failings:Compliant","")))/LEN("Quality of Works / Criteria of Failings:Compliant"),0)/MAX(1,(LEN($I1690)-LEN(SUBSTITUTE($I1690," Ltd","")))/LEN(" Ltd")),0)</f>
        <v/>
      </c>
    </row>
    <row r="1690" ht="15" customHeight="1" s="146">
      <c r="Y1690" s="122">
        <f>MAX(0,IFERROR((LEN($T1691)-LEN(SUBSTITUTE($T1691,"Quality of Works / Criteria of Failings:","")))/LEN("Quality of Works / Criteria of Failings:"),0)-IFERROR((LEN($T1691)-LEN(SUBSTITUTE($T1691,"Quality of Works / Criteria of Failings:Compliant","")))/LEN("Quality of Works / Criteria of Failings:Compliant"),0))</f>
        <v/>
      </c>
      <c r="Z1690" s="122">
        <f>IFERROR($Y1691/MAX(1,(LEN($I1691)-LEN(SUBSTITUTE($I1691," Ltd","")))/LEN(" Ltd")),0)</f>
        <v/>
      </c>
      <c r="AA1690" s="122">
        <f>IFERROR(IFERROR((LEN($T1691)-LEN(SUBSTITUTE($T1691,"Quality of Works / Criteria of Failings:","")))/LEN("Quality of Works / Criteria of Failings:"),0)/MAX(1,(LEN($I1691)-LEN(SUBSTITUTE($I1691," Ltd","")))/LEN(" Ltd")),0)</f>
        <v/>
      </c>
      <c r="AB1690" s="122">
        <f>IFERROR(IFERROR((LEN($T1691)-LEN(SUBSTITUTE($T1691,"Quality of Works / Criteria of Failings:Compliant","")))/LEN("Quality of Works / Criteria of Failings:Compliant"),0)/MAX(1,(LEN($I1691)-LEN(SUBSTITUTE($I1691," Ltd","")))/LEN(" Ltd")),0)</f>
        <v/>
      </c>
    </row>
    <row r="1691" ht="15" customHeight="1" s="146">
      <c r="Y1691" s="122">
        <f>MAX(0,IFERROR((LEN($T1692)-LEN(SUBSTITUTE($T1692,"Quality of Works / Criteria of Failings:","")))/LEN("Quality of Works / Criteria of Failings:"),0)-IFERROR((LEN($T1692)-LEN(SUBSTITUTE($T1692,"Quality of Works / Criteria of Failings:Compliant","")))/LEN("Quality of Works / Criteria of Failings:Compliant"),0))</f>
        <v/>
      </c>
      <c r="Z1691" s="122">
        <f>IFERROR($Y1692/MAX(1,(LEN($I1692)-LEN(SUBSTITUTE($I1692," Ltd","")))/LEN(" Ltd")),0)</f>
        <v/>
      </c>
      <c r="AA1691" s="122">
        <f>IFERROR(IFERROR((LEN($T1692)-LEN(SUBSTITUTE($T1692,"Quality of Works / Criteria of Failings:","")))/LEN("Quality of Works / Criteria of Failings:"),0)/MAX(1,(LEN($I1692)-LEN(SUBSTITUTE($I1692," Ltd","")))/LEN(" Ltd")),0)</f>
        <v/>
      </c>
      <c r="AB1691" s="122">
        <f>IFERROR(IFERROR((LEN($T1692)-LEN(SUBSTITUTE($T1692,"Quality of Works / Criteria of Failings:Compliant","")))/LEN("Quality of Works / Criteria of Failings:Compliant"),0)/MAX(1,(LEN($I1692)-LEN(SUBSTITUTE($I1692," Ltd","")))/LEN(" Ltd")),0)</f>
        <v/>
      </c>
    </row>
    <row r="1692" ht="15" customHeight="1" s="146">
      <c r="Y1692" s="122">
        <f>MAX(0,IFERROR((LEN($T1693)-LEN(SUBSTITUTE($T1693,"Quality of Works / Criteria of Failings:","")))/LEN("Quality of Works / Criteria of Failings:"),0)-IFERROR((LEN($T1693)-LEN(SUBSTITUTE($T1693,"Quality of Works / Criteria of Failings:Compliant","")))/LEN("Quality of Works / Criteria of Failings:Compliant"),0))</f>
        <v/>
      </c>
      <c r="Z1692" s="122">
        <f>IFERROR($Y1693/MAX(1,(LEN($I1693)-LEN(SUBSTITUTE($I1693," Ltd","")))/LEN(" Ltd")),0)</f>
        <v/>
      </c>
      <c r="AA1692" s="122">
        <f>IFERROR(IFERROR((LEN($T1693)-LEN(SUBSTITUTE($T1693,"Quality of Works / Criteria of Failings:","")))/LEN("Quality of Works / Criteria of Failings:"),0)/MAX(1,(LEN($I1693)-LEN(SUBSTITUTE($I1693," Ltd","")))/LEN(" Ltd")),0)</f>
        <v/>
      </c>
      <c r="AB1692" s="122">
        <f>IFERROR(IFERROR((LEN($T1693)-LEN(SUBSTITUTE($T1693,"Quality of Works / Criteria of Failings:Compliant","")))/LEN("Quality of Works / Criteria of Failings:Compliant"),0)/MAX(1,(LEN($I1693)-LEN(SUBSTITUTE($I1693," Ltd","")))/LEN(" Ltd")),0)</f>
        <v/>
      </c>
    </row>
    <row r="1693" ht="15" customHeight="1" s="146">
      <c r="Y1693" s="122">
        <f>MAX(0,IFERROR((LEN($T1694)-LEN(SUBSTITUTE($T1694,"Quality of Works / Criteria of Failings:","")))/LEN("Quality of Works / Criteria of Failings:"),0)-IFERROR((LEN($T1694)-LEN(SUBSTITUTE($T1694,"Quality of Works / Criteria of Failings:Compliant","")))/LEN("Quality of Works / Criteria of Failings:Compliant"),0))</f>
        <v/>
      </c>
      <c r="Z1693" s="122">
        <f>IFERROR($Y1694/MAX(1,(LEN($I1694)-LEN(SUBSTITUTE($I1694," Ltd","")))/LEN(" Ltd")),0)</f>
        <v/>
      </c>
      <c r="AA1693" s="122">
        <f>IFERROR(IFERROR((LEN($T1694)-LEN(SUBSTITUTE($T1694,"Quality of Works / Criteria of Failings:","")))/LEN("Quality of Works / Criteria of Failings:"),0)/MAX(1,(LEN($I1694)-LEN(SUBSTITUTE($I1694," Ltd","")))/LEN(" Ltd")),0)</f>
        <v/>
      </c>
      <c r="AB1693" s="122">
        <f>IFERROR(IFERROR((LEN($T1694)-LEN(SUBSTITUTE($T1694,"Quality of Works / Criteria of Failings:Compliant","")))/LEN("Quality of Works / Criteria of Failings:Compliant"),0)/MAX(1,(LEN($I1694)-LEN(SUBSTITUTE($I1694," Ltd","")))/LEN(" Ltd")),0)</f>
        <v/>
      </c>
    </row>
    <row r="1694" ht="15" customHeight="1" s="146">
      <c r="Y1694" s="122">
        <f>MAX(0,IFERROR((LEN($T1695)-LEN(SUBSTITUTE($T1695,"Quality of Works / Criteria of Failings:","")))/LEN("Quality of Works / Criteria of Failings:"),0)-IFERROR((LEN($T1695)-LEN(SUBSTITUTE($T1695,"Quality of Works / Criteria of Failings:Compliant","")))/LEN("Quality of Works / Criteria of Failings:Compliant"),0))</f>
        <v/>
      </c>
      <c r="Z1694" s="122">
        <f>IFERROR($Y1695/MAX(1,(LEN($I1695)-LEN(SUBSTITUTE($I1695," Ltd","")))/LEN(" Ltd")),0)</f>
        <v/>
      </c>
      <c r="AA1694" s="122">
        <f>IFERROR(IFERROR((LEN($T1695)-LEN(SUBSTITUTE($T1695,"Quality of Works / Criteria of Failings:","")))/LEN("Quality of Works / Criteria of Failings:"),0)/MAX(1,(LEN($I1695)-LEN(SUBSTITUTE($I1695," Ltd","")))/LEN(" Ltd")),0)</f>
        <v/>
      </c>
      <c r="AB1694" s="122">
        <f>IFERROR(IFERROR((LEN($T1695)-LEN(SUBSTITUTE($T1695,"Quality of Works / Criteria of Failings:Compliant","")))/LEN("Quality of Works / Criteria of Failings:Compliant"),0)/MAX(1,(LEN($I1695)-LEN(SUBSTITUTE($I1695," Ltd","")))/LEN(" Ltd")),0)</f>
        <v/>
      </c>
    </row>
    <row r="1695" ht="15" customHeight="1" s="146">
      <c r="Y1695" s="122">
        <f>MAX(0,IFERROR((LEN($T1696)-LEN(SUBSTITUTE($T1696,"Quality of Works / Criteria of Failings:","")))/LEN("Quality of Works / Criteria of Failings:"),0)-IFERROR((LEN($T1696)-LEN(SUBSTITUTE($T1696,"Quality of Works / Criteria of Failings:Compliant","")))/LEN("Quality of Works / Criteria of Failings:Compliant"),0))</f>
        <v/>
      </c>
      <c r="Z1695" s="122">
        <f>IFERROR($Y1696/MAX(1,(LEN($I1696)-LEN(SUBSTITUTE($I1696," Ltd","")))/LEN(" Ltd")),0)</f>
        <v/>
      </c>
      <c r="AA1695" s="122">
        <f>IFERROR(IFERROR((LEN($T1696)-LEN(SUBSTITUTE($T1696,"Quality of Works / Criteria of Failings:","")))/LEN("Quality of Works / Criteria of Failings:"),0)/MAX(1,(LEN($I1696)-LEN(SUBSTITUTE($I1696," Ltd","")))/LEN(" Ltd")),0)</f>
        <v/>
      </c>
      <c r="AB1695" s="122">
        <f>IFERROR(IFERROR((LEN($T1696)-LEN(SUBSTITUTE($T1696,"Quality of Works / Criteria of Failings:Compliant","")))/LEN("Quality of Works / Criteria of Failings:Compliant"),0)/MAX(1,(LEN($I1696)-LEN(SUBSTITUTE($I1696," Ltd","")))/LEN(" Ltd")),0)</f>
        <v/>
      </c>
    </row>
    <row r="1696" ht="15" customHeight="1" s="146">
      <c r="Y1696" s="122">
        <f>MAX(0,IFERROR((LEN($T1697)-LEN(SUBSTITUTE($T1697,"Quality of Works / Criteria of Failings:","")))/LEN("Quality of Works / Criteria of Failings:"),0)-IFERROR((LEN($T1697)-LEN(SUBSTITUTE($T1697,"Quality of Works / Criteria of Failings:Compliant","")))/LEN("Quality of Works / Criteria of Failings:Compliant"),0))</f>
        <v/>
      </c>
      <c r="Z1696" s="122">
        <f>IFERROR($Y1697/MAX(1,(LEN($I1697)-LEN(SUBSTITUTE($I1697," Ltd","")))/LEN(" Ltd")),0)</f>
        <v/>
      </c>
      <c r="AA1696" s="122">
        <f>IFERROR(IFERROR((LEN($T1697)-LEN(SUBSTITUTE($T1697,"Quality of Works / Criteria of Failings:","")))/LEN("Quality of Works / Criteria of Failings:"),0)/MAX(1,(LEN($I1697)-LEN(SUBSTITUTE($I1697," Ltd","")))/LEN(" Ltd")),0)</f>
        <v/>
      </c>
      <c r="AB1696" s="122">
        <f>IFERROR(IFERROR((LEN($T1697)-LEN(SUBSTITUTE($T1697,"Quality of Works / Criteria of Failings:Compliant","")))/LEN("Quality of Works / Criteria of Failings:Compliant"),0)/MAX(1,(LEN($I1697)-LEN(SUBSTITUTE($I1697," Ltd","")))/LEN(" Ltd")),0)</f>
        <v/>
      </c>
    </row>
    <row r="1697" ht="15" customHeight="1" s="146">
      <c r="Y1697" s="122">
        <f>MAX(0,IFERROR((LEN($T1698)-LEN(SUBSTITUTE($T1698,"Quality of Works / Criteria of Failings:","")))/LEN("Quality of Works / Criteria of Failings:"),0)-IFERROR((LEN($T1698)-LEN(SUBSTITUTE($T1698,"Quality of Works / Criteria of Failings:Compliant","")))/LEN("Quality of Works / Criteria of Failings:Compliant"),0))</f>
        <v/>
      </c>
      <c r="Z1697" s="122">
        <f>IFERROR($Y1698/MAX(1,(LEN($I1698)-LEN(SUBSTITUTE($I1698," Ltd","")))/LEN(" Ltd")),0)</f>
        <v/>
      </c>
      <c r="AA1697" s="122">
        <f>IFERROR(IFERROR((LEN($T1698)-LEN(SUBSTITUTE($T1698,"Quality of Works / Criteria of Failings:","")))/LEN("Quality of Works / Criteria of Failings:"),0)/MAX(1,(LEN($I1698)-LEN(SUBSTITUTE($I1698," Ltd","")))/LEN(" Ltd")),0)</f>
        <v/>
      </c>
      <c r="AB1697" s="122">
        <f>IFERROR(IFERROR((LEN($T1698)-LEN(SUBSTITUTE($T1698,"Quality of Works / Criteria of Failings:Compliant","")))/LEN("Quality of Works / Criteria of Failings:Compliant"),0)/MAX(1,(LEN($I1698)-LEN(SUBSTITUTE($I1698," Ltd","")))/LEN(" Ltd")),0)</f>
        <v/>
      </c>
    </row>
    <row r="1698" ht="15" customHeight="1" s="146">
      <c r="Y1698" s="122">
        <f>MAX(0,IFERROR((LEN($T1699)-LEN(SUBSTITUTE($T1699,"Quality of Works / Criteria of Failings:","")))/LEN("Quality of Works / Criteria of Failings:"),0)-IFERROR((LEN($T1699)-LEN(SUBSTITUTE($T1699,"Quality of Works / Criteria of Failings:Compliant","")))/LEN("Quality of Works / Criteria of Failings:Compliant"),0))</f>
        <v/>
      </c>
      <c r="Z1698" s="122">
        <f>IFERROR($Y1699/MAX(1,(LEN($I1699)-LEN(SUBSTITUTE($I1699," Ltd","")))/LEN(" Ltd")),0)</f>
        <v/>
      </c>
      <c r="AA1698" s="122">
        <f>IFERROR(IFERROR((LEN($T1699)-LEN(SUBSTITUTE($T1699,"Quality of Works / Criteria of Failings:","")))/LEN("Quality of Works / Criteria of Failings:"),0)/MAX(1,(LEN($I1699)-LEN(SUBSTITUTE($I1699," Ltd","")))/LEN(" Ltd")),0)</f>
        <v/>
      </c>
      <c r="AB1698" s="122">
        <f>IFERROR(IFERROR((LEN($T1699)-LEN(SUBSTITUTE($T1699,"Quality of Works / Criteria of Failings:Compliant","")))/LEN("Quality of Works / Criteria of Failings:Compliant"),0)/MAX(1,(LEN($I1699)-LEN(SUBSTITUTE($I1699," Ltd","")))/LEN(" Ltd")),0)</f>
        <v/>
      </c>
    </row>
    <row r="1699" ht="15" customHeight="1" s="146">
      <c r="Y1699" s="122">
        <f>MAX(0,IFERROR((LEN($T1700)-LEN(SUBSTITUTE($T1700,"Quality of Works / Criteria of Failings:","")))/LEN("Quality of Works / Criteria of Failings:"),0)-IFERROR((LEN($T1700)-LEN(SUBSTITUTE($T1700,"Quality of Works / Criteria of Failings:Compliant","")))/LEN("Quality of Works / Criteria of Failings:Compliant"),0))</f>
        <v/>
      </c>
      <c r="Z1699" s="122">
        <f>IFERROR($Y1700/MAX(1,(LEN($I1700)-LEN(SUBSTITUTE($I1700," Ltd","")))/LEN(" Ltd")),0)</f>
        <v/>
      </c>
      <c r="AA1699" s="122">
        <f>IFERROR(IFERROR((LEN($T1700)-LEN(SUBSTITUTE($T1700,"Quality of Works / Criteria of Failings:","")))/LEN("Quality of Works / Criteria of Failings:"),0)/MAX(1,(LEN($I1700)-LEN(SUBSTITUTE($I1700," Ltd","")))/LEN(" Ltd")),0)</f>
        <v/>
      </c>
      <c r="AB1699" s="122">
        <f>IFERROR(IFERROR((LEN($T1700)-LEN(SUBSTITUTE($T1700,"Quality of Works / Criteria of Failings:Compliant","")))/LEN("Quality of Works / Criteria of Failings:Compliant"),0)/MAX(1,(LEN($I1700)-LEN(SUBSTITUTE($I1700," Ltd","")))/LEN(" Ltd")),0)</f>
        <v/>
      </c>
    </row>
    <row r="1700" ht="15" customHeight="1" s="146">
      <c r="Y1700" s="122">
        <f>MAX(0,IFERROR((LEN($T1701)-LEN(SUBSTITUTE($T1701,"Quality of Works / Criteria of Failings:","")))/LEN("Quality of Works / Criteria of Failings:"),0)-IFERROR((LEN($T1701)-LEN(SUBSTITUTE($T1701,"Quality of Works / Criteria of Failings:Compliant","")))/LEN("Quality of Works / Criteria of Failings:Compliant"),0))</f>
        <v/>
      </c>
      <c r="Z1700" s="122">
        <f>IFERROR($Y1701/MAX(1,(LEN($I1701)-LEN(SUBSTITUTE($I1701," Ltd","")))/LEN(" Ltd")),0)</f>
        <v/>
      </c>
      <c r="AA1700" s="122">
        <f>IFERROR(IFERROR((LEN($T1701)-LEN(SUBSTITUTE($T1701,"Quality of Works / Criteria of Failings:","")))/LEN("Quality of Works / Criteria of Failings:"),0)/MAX(1,(LEN($I1701)-LEN(SUBSTITUTE($I1701," Ltd","")))/LEN(" Ltd")),0)</f>
        <v/>
      </c>
      <c r="AB1700" s="122">
        <f>IFERROR(IFERROR((LEN($T1701)-LEN(SUBSTITUTE($T1701,"Quality of Works / Criteria of Failings:Compliant","")))/LEN("Quality of Works / Criteria of Failings:Compliant"),0)/MAX(1,(LEN($I1701)-LEN(SUBSTITUTE($I1701," Ltd","")))/LEN(" Ltd")),0)</f>
        <v/>
      </c>
    </row>
    <row r="1701" ht="15" customHeight="1" s="146">
      <c r="Y1701" s="122">
        <f>MAX(0,IFERROR((LEN($T1702)-LEN(SUBSTITUTE($T1702,"Quality of Works / Criteria of Failings:","")))/LEN("Quality of Works / Criteria of Failings:"),0)-IFERROR((LEN($T1702)-LEN(SUBSTITUTE($T1702,"Quality of Works / Criteria of Failings:Compliant","")))/LEN("Quality of Works / Criteria of Failings:Compliant"),0))</f>
        <v/>
      </c>
      <c r="Z1701" s="122">
        <f>IFERROR($Y1702/MAX(1,(LEN($I1702)-LEN(SUBSTITUTE($I1702," Ltd","")))/LEN(" Ltd")),0)</f>
        <v/>
      </c>
      <c r="AA1701" s="122">
        <f>IFERROR(IFERROR((LEN($T1702)-LEN(SUBSTITUTE($T1702,"Quality of Works / Criteria of Failings:","")))/LEN("Quality of Works / Criteria of Failings:"),0)/MAX(1,(LEN($I1702)-LEN(SUBSTITUTE($I1702," Ltd","")))/LEN(" Ltd")),0)</f>
        <v/>
      </c>
      <c r="AB1701" s="122">
        <f>IFERROR(IFERROR((LEN($T1702)-LEN(SUBSTITUTE($T1702,"Quality of Works / Criteria of Failings:Compliant","")))/LEN("Quality of Works / Criteria of Failings:Compliant"),0)/MAX(1,(LEN($I1702)-LEN(SUBSTITUTE($I1702," Ltd","")))/LEN(" Ltd")),0)</f>
        <v/>
      </c>
    </row>
    <row r="1702" ht="15" customHeight="1" s="146">
      <c r="Y1702" s="122">
        <f>MAX(0,IFERROR((LEN($T1703)-LEN(SUBSTITUTE($T1703,"Quality of Works / Criteria of Failings:","")))/LEN("Quality of Works / Criteria of Failings:"),0)-IFERROR((LEN($T1703)-LEN(SUBSTITUTE($T1703,"Quality of Works / Criteria of Failings:Compliant","")))/LEN("Quality of Works / Criteria of Failings:Compliant"),0))</f>
        <v/>
      </c>
      <c r="Z1702" s="122">
        <f>IFERROR($Y1703/MAX(1,(LEN($I1703)-LEN(SUBSTITUTE($I1703," Ltd","")))/LEN(" Ltd")),0)</f>
        <v/>
      </c>
      <c r="AA1702" s="122">
        <f>IFERROR(IFERROR((LEN($T1703)-LEN(SUBSTITUTE($T1703,"Quality of Works / Criteria of Failings:","")))/LEN("Quality of Works / Criteria of Failings:"),0)/MAX(1,(LEN($I1703)-LEN(SUBSTITUTE($I1703," Ltd","")))/LEN(" Ltd")),0)</f>
        <v/>
      </c>
      <c r="AB1702" s="122">
        <f>IFERROR(IFERROR((LEN($T1703)-LEN(SUBSTITUTE($T1703,"Quality of Works / Criteria of Failings:Compliant","")))/LEN("Quality of Works / Criteria of Failings:Compliant"),0)/MAX(1,(LEN($I1703)-LEN(SUBSTITUTE($I1703," Ltd","")))/LEN(" Ltd")),0)</f>
        <v/>
      </c>
    </row>
    <row r="1703" ht="15" customHeight="1" s="146">
      <c r="Y1703" s="122">
        <f>MAX(0,IFERROR((LEN($T1704)-LEN(SUBSTITUTE($T1704,"Quality of Works / Criteria of Failings:","")))/LEN("Quality of Works / Criteria of Failings:"),0)-IFERROR((LEN($T1704)-LEN(SUBSTITUTE($T1704,"Quality of Works / Criteria of Failings:Compliant","")))/LEN("Quality of Works / Criteria of Failings:Compliant"),0))</f>
        <v/>
      </c>
      <c r="Z1703" s="122">
        <f>IFERROR($Y1704/MAX(1,(LEN($I1704)-LEN(SUBSTITUTE($I1704," Ltd","")))/LEN(" Ltd")),0)</f>
        <v/>
      </c>
      <c r="AA1703" s="122">
        <f>IFERROR(IFERROR((LEN($T1704)-LEN(SUBSTITUTE($T1704,"Quality of Works / Criteria of Failings:","")))/LEN("Quality of Works / Criteria of Failings:"),0)/MAX(1,(LEN($I1704)-LEN(SUBSTITUTE($I1704," Ltd","")))/LEN(" Ltd")),0)</f>
        <v/>
      </c>
      <c r="AB1703" s="122">
        <f>IFERROR(IFERROR((LEN($T1704)-LEN(SUBSTITUTE($T1704,"Quality of Works / Criteria of Failings:Compliant","")))/LEN("Quality of Works / Criteria of Failings:Compliant"),0)/MAX(1,(LEN($I1704)-LEN(SUBSTITUTE($I1704," Ltd","")))/LEN(" Ltd")),0)</f>
        <v/>
      </c>
    </row>
    <row r="1704" ht="15" customHeight="1" s="146">
      <c r="Y1704" s="122">
        <f>MAX(0,IFERROR((LEN($T1705)-LEN(SUBSTITUTE($T1705,"Quality of Works / Criteria of Failings:","")))/LEN("Quality of Works / Criteria of Failings:"),0)-IFERROR((LEN($T1705)-LEN(SUBSTITUTE($T1705,"Quality of Works / Criteria of Failings:Compliant","")))/LEN("Quality of Works / Criteria of Failings:Compliant"),0))</f>
        <v/>
      </c>
      <c r="Z1704" s="122">
        <f>IFERROR($Y1705/MAX(1,(LEN($I1705)-LEN(SUBSTITUTE($I1705," Ltd","")))/LEN(" Ltd")),0)</f>
        <v/>
      </c>
      <c r="AA1704" s="122">
        <f>IFERROR(IFERROR((LEN($T1705)-LEN(SUBSTITUTE($T1705,"Quality of Works / Criteria of Failings:","")))/LEN("Quality of Works / Criteria of Failings:"),0)/MAX(1,(LEN($I1705)-LEN(SUBSTITUTE($I1705," Ltd","")))/LEN(" Ltd")),0)</f>
        <v/>
      </c>
      <c r="AB1704" s="122">
        <f>IFERROR(IFERROR((LEN($T1705)-LEN(SUBSTITUTE($T1705,"Quality of Works / Criteria of Failings:Compliant","")))/LEN("Quality of Works / Criteria of Failings:Compliant"),0)/MAX(1,(LEN($I1705)-LEN(SUBSTITUTE($I1705," Ltd","")))/LEN(" Ltd")),0)</f>
        <v/>
      </c>
    </row>
    <row r="1705" ht="15" customHeight="1" s="146">
      <c r="Y1705" s="122">
        <f>MAX(0,IFERROR((LEN($T1706)-LEN(SUBSTITUTE($T1706,"Quality of Works / Criteria of Failings:","")))/LEN("Quality of Works / Criteria of Failings:"),0)-IFERROR((LEN($T1706)-LEN(SUBSTITUTE($T1706,"Quality of Works / Criteria of Failings:Compliant","")))/LEN("Quality of Works / Criteria of Failings:Compliant"),0))</f>
        <v/>
      </c>
      <c r="Z1705" s="122">
        <f>IFERROR($Y1706/MAX(1,(LEN($I1706)-LEN(SUBSTITUTE($I1706," Ltd","")))/LEN(" Ltd")),0)</f>
        <v/>
      </c>
      <c r="AA1705" s="122">
        <f>IFERROR(IFERROR((LEN($T1706)-LEN(SUBSTITUTE($T1706,"Quality of Works / Criteria of Failings:","")))/LEN("Quality of Works / Criteria of Failings:"),0)/MAX(1,(LEN($I1706)-LEN(SUBSTITUTE($I1706," Ltd","")))/LEN(" Ltd")),0)</f>
        <v/>
      </c>
      <c r="AB1705" s="122">
        <f>IFERROR(IFERROR((LEN($T1706)-LEN(SUBSTITUTE($T1706,"Quality of Works / Criteria of Failings:Compliant","")))/LEN("Quality of Works / Criteria of Failings:Compliant"),0)/MAX(1,(LEN($I1706)-LEN(SUBSTITUTE($I1706," Ltd","")))/LEN(" Ltd")),0)</f>
        <v/>
      </c>
    </row>
    <row r="1706" ht="15" customHeight="1" s="146">
      <c r="Y1706" s="122">
        <f>MAX(0,IFERROR((LEN($T1707)-LEN(SUBSTITUTE($T1707,"Quality of Works / Criteria of Failings:","")))/LEN("Quality of Works / Criteria of Failings:"),0)-IFERROR((LEN($T1707)-LEN(SUBSTITUTE($T1707,"Quality of Works / Criteria of Failings:Compliant","")))/LEN("Quality of Works / Criteria of Failings:Compliant"),0))</f>
        <v/>
      </c>
      <c r="Z1706" s="122">
        <f>IFERROR($Y1707/MAX(1,(LEN($I1707)-LEN(SUBSTITUTE($I1707," Ltd","")))/LEN(" Ltd")),0)</f>
        <v/>
      </c>
      <c r="AA1706" s="122">
        <f>IFERROR(IFERROR((LEN($T1707)-LEN(SUBSTITUTE($T1707,"Quality of Works / Criteria of Failings:","")))/LEN("Quality of Works / Criteria of Failings:"),0)/MAX(1,(LEN($I1707)-LEN(SUBSTITUTE($I1707," Ltd","")))/LEN(" Ltd")),0)</f>
        <v/>
      </c>
      <c r="AB1706" s="122">
        <f>IFERROR(IFERROR((LEN($T1707)-LEN(SUBSTITUTE($T1707,"Quality of Works / Criteria of Failings:Compliant","")))/LEN("Quality of Works / Criteria of Failings:Compliant"),0)/MAX(1,(LEN($I1707)-LEN(SUBSTITUTE($I1707," Ltd","")))/LEN(" Ltd")),0)</f>
        <v/>
      </c>
    </row>
    <row r="1707" ht="15" customHeight="1" s="146">
      <c r="Y1707" s="122">
        <f>MAX(0,IFERROR((LEN($T1708)-LEN(SUBSTITUTE($T1708,"Quality of Works / Criteria of Failings:","")))/LEN("Quality of Works / Criteria of Failings:"),0)-IFERROR((LEN($T1708)-LEN(SUBSTITUTE($T1708,"Quality of Works / Criteria of Failings:Compliant","")))/LEN("Quality of Works / Criteria of Failings:Compliant"),0))</f>
        <v/>
      </c>
      <c r="Z1707" s="122">
        <f>IFERROR($Y1708/MAX(1,(LEN($I1708)-LEN(SUBSTITUTE($I1708," Ltd","")))/LEN(" Ltd")),0)</f>
        <v/>
      </c>
      <c r="AA1707" s="122">
        <f>IFERROR(IFERROR((LEN($T1708)-LEN(SUBSTITUTE($T1708,"Quality of Works / Criteria of Failings:","")))/LEN("Quality of Works / Criteria of Failings:"),0)/MAX(1,(LEN($I1708)-LEN(SUBSTITUTE($I1708," Ltd","")))/LEN(" Ltd")),0)</f>
        <v/>
      </c>
      <c r="AB1707" s="122">
        <f>IFERROR(IFERROR((LEN($T1708)-LEN(SUBSTITUTE($T1708,"Quality of Works / Criteria of Failings:Compliant","")))/LEN("Quality of Works / Criteria of Failings:Compliant"),0)/MAX(1,(LEN($I1708)-LEN(SUBSTITUTE($I1708," Ltd","")))/LEN(" Ltd")),0)</f>
        <v/>
      </c>
    </row>
    <row r="1708" ht="15" customHeight="1" s="146">
      <c r="Y1708" s="122">
        <f>MAX(0,IFERROR((LEN($T1709)-LEN(SUBSTITUTE($T1709,"Quality of Works / Criteria of Failings:","")))/LEN("Quality of Works / Criteria of Failings:"),0)-IFERROR((LEN($T1709)-LEN(SUBSTITUTE($T1709,"Quality of Works / Criteria of Failings:Compliant","")))/LEN("Quality of Works / Criteria of Failings:Compliant"),0))</f>
        <v/>
      </c>
      <c r="Z1708" s="122">
        <f>IFERROR($Y1709/MAX(1,(LEN($I1709)-LEN(SUBSTITUTE($I1709," Ltd","")))/LEN(" Ltd")),0)</f>
        <v/>
      </c>
      <c r="AA1708" s="122">
        <f>IFERROR(IFERROR((LEN($T1709)-LEN(SUBSTITUTE($T1709,"Quality of Works / Criteria of Failings:","")))/LEN("Quality of Works / Criteria of Failings:"),0)/MAX(1,(LEN($I1709)-LEN(SUBSTITUTE($I1709," Ltd","")))/LEN(" Ltd")),0)</f>
        <v/>
      </c>
      <c r="AB1708" s="122">
        <f>IFERROR(IFERROR((LEN($T1709)-LEN(SUBSTITUTE($T1709,"Quality of Works / Criteria of Failings:Compliant","")))/LEN("Quality of Works / Criteria of Failings:Compliant"),0)/MAX(1,(LEN($I1709)-LEN(SUBSTITUTE($I1709," Ltd","")))/LEN(" Ltd")),0)</f>
        <v/>
      </c>
    </row>
    <row r="1709" ht="15" customHeight="1" s="146">
      <c r="Y1709" s="122">
        <f>MAX(0,IFERROR((LEN($T1710)-LEN(SUBSTITUTE($T1710,"Quality of Works / Criteria of Failings:","")))/LEN("Quality of Works / Criteria of Failings:"),0)-IFERROR((LEN($T1710)-LEN(SUBSTITUTE($T1710,"Quality of Works / Criteria of Failings:Compliant","")))/LEN("Quality of Works / Criteria of Failings:Compliant"),0))</f>
        <v/>
      </c>
      <c r="Z1709" s="122">
        <f>IFERROR($Y1710/MAX(1,(LEN($I1710)-LEN(SUBSTITUTE($I1710," Ltd","")))/LEN(" Ltd")),0)</f>
        <v/>
      </c>
      <c r="AA1709" s="122">
        <f>IFERROR(IFERROR((LEN($T1710)-LEN(SUBSTITUTE($T1710,"Quality of Works / Criteria of Failings:","")))/LEN("Quality of Works / Criteria of Failings:"),0)/MAX(1,(LEN($I1710)-LEN(SUBSTITUTE($I1710," Ltd","")))/LEN(" Ltd")),0)</f>
        <v/>
      </c>
      <c r="AB1709" s="122">
        <f>IFERROR(IFERROR((LEN($T1710)-LEN(SUBSTITUTE($T1710,"Quality of Works / Criteria of Failings:Compliant","")))/LEN("Quality of Works / Criteria of Failings:Compliant"),0)/MAX(1,(LEN($I1710)-LEN(SUBSTITUTE($I1710," Ltd","")))/LEN(" Ltd")),0)</f>
        <v/>
      </c>
    </row>
    <row r="1710" ht="15" customHeight="1" s="146">
      <c r="Y1710" s="122">
        <f>MAX(0,IFERROR((LEN($T1711)-LEN(SUBSTITUTE($T1711,"Quality of Works / Criteria of Failings:","")))/LEN("Quality of Works / Criteria of Failings:"),0)-IFERROR((LEN($T1711)-LEN(SUBSTITUTE($T1711,"Quality of Works / Criteria of Failings:Compliant","")))/LEN("Quality of Works / Criteria of Failings:Compliant"),0))</f>
        <v/>
      </c>
      <c r="Z1710" s="122">
        <f>IFERROR($Y1711/MAX(1,(LEN($I1711)-LEN(SUBSTITUTE($I1711," Ltd","")))/LEN(" Ltd")),0)</f>
        <v/>
      </c>
      <c r="AA1710" s="122">
        <f>IFERROR(IFERROR((LEN($T1711)-LEN(SUBSTITUTE($T1711,"Quality of Works / Criteria of Failings:","")))/LEN("Quality of Works / Criteria of Failings:"),0)/MAX(1,(LEN($I1711)-LEN(SUBSTITUTE($I1711," Ltd","")))/LEN(" Ltd")),0)</f>
        <v/>
      </c>
      <c r="AB1710" s="122">
        <f>IFERROR(IFERROR((LEN($T1711)-LEN(SUBSTITUTE($T1711,"Quality of Works / Criteria of Failings:Compliant","")))/LEN("Quality of Works / Criteria of Failings:Compliant"),0)/MAX(1,(LEN($I1711)-LEN(SUBSTITUTE($I1711," Ltd","")))/LEN(" Ltd")),0)</f>
        <v/>
      </c>
    </row>
    <row r="1711" ht="15" customHeight="1" s="146">
      <c r="Y1711" s="122">
        <f>MAX(0,IFERROR((LEN($T1712)-LEN(SUBSTITUTE($T1712,"Quality of Works / Criteria of Failings:","")))/LEN("Quality of Works / Criteria of Failings:"),0)-IFERROR((LEN($T1712)-LEN(SUBSTITUTE($T1712,"Quality of Works / Criteria of Failings:Compliant","")))/LEN("Quality of Works / Criteria of Failings:Compliant"),0))</f>
        <v/>
      </c>
      <c r="Z1711" s="122">
        <f>IFERROR($Y1712/MAX(1,(LEN($I1712)-LEN(SUBSTITUTE($I1712," Ltd","")))/LEN(" Ltd")),0)</f>
        <v/>
      </c>
      <c r="AA1711" s="122">
        <f>IFERROR(IFERROR((LEN($T1712)-LEN(SUBSTITUTE($T1712,"Quality of Works / Criteria of Failings:","")))/LEN("Quality of Works / Criteria of Failings:"),0)/MAX(1,(LEN($I1712)-LEN(SUBSTITUTE($I1712," Ltd","")))/LEN(" Ltd")),0)</f>
        <v/>
      </c>
      <c r="AB1711" s="122">
        <f>IFERROR(IFERROR((LEN($T1712)-LEN(SUBSTITUTE($T1712,"Quality of Works / Criteria of Failings:Compliant","")))/LEN("Quality of Works / Criteria of Failings:Compliant"),0)/MAX(1,(LEN($I1712)-LEN(SUBSTITUTE($I1712," Ltd","")))/LEN(" Ltd")),0)</f>
        <v/>
      </c>
    </row>
    <row r="1712" ht="15" customHeight="1" s="146">
      <c r="Y1712" s="122">
        <f>MAX(0,IFERROR((LEN($T1713)-LEN(SUBSTITUTE($T1713,"Quality of Works / Criteria of Failings:","")))/LEN("Quality of Works / Criteria of Failings:"),0)-IFERROR((LEN($T1713)-LEN(SUBSTITUTE($T1713,"Quality of Works / Criteria of Failings:Compliant","")))/LEN("Quality of Works / Criteria of Failings:Compliant"),0))</f>
        <v/>
      </c>
      <c r="Z1712" s="122">
        <f>IFERROR($Y1713/MAX(1,(LEN($I1713)-LEN(SUBSTITUTE($I1713," Ltd","")))/LEN(" Ltd")),0)</f>
        <v/>
      </c>
      <c r="AA1712" s="122">
        <f>IFERROR(IFERROR((LEN($T1713)-LEN(SUBSTITUTE($T1713,"Quality of Works / Criteria of Failings:","")))/LEN("Quality of Works / Criteria of Failings:"),0)/MAX(1,(LEN($I1713)-LEN(SUBSTITUTE($I1713," Ltd","")))/LEN(" Ltd")),0)</f>
        <v/>
      </c>
      <c r="AB1712" s="122">
        <f>IFERROR(IFERROR((LEN($T1713)-LEN(SUBSTITUTE($T1713,"Quality of Works / Criteria of Failings:Compliant","")))/LEN("Quality of Works / Criteria of Failings:Compliant"),0)/MAX(1,(LEN($I1713)-LEN(SUBSTITUTE($I1713," Ltd","")))/LEN(" Ltd")),0)</f>
        <v/>
      </c>
    </row>
    <row r="1713" ht="15" customHeight="1" s="146">
      <c r="Y1713" s="122">
        <f>MAX(0,IFERROR((LEN($T1714)-LEN(SUBSTITUTE($T1714,"Quality of Works / Criteria of Failings:","")))/LEN("Quality of Works / Criteria of Failings:"),0)-IFERROR((LEN($T1714)-LEN(SUBSTITUTE($T1714,"Quality of Works / Criteria of Failings:Compliant","")))/LEN("Quality of Works / Criteria of Failings:Compliant"),0))</f>
        <v/>
      </c>
      <c r="Z1713" s="122">
        <f>IFERROR($Y1714/MAX(1,(LEN($I1714)-LEN(SUBSTITUTE($I1714," Ltd","")))/LEN(" Ltd")),0)</f>
        <v/>
      </c>
      <c r="AA1713" s="122">
        <f>IFERROR(IFERROR((LEN($T1714)-LEN(SUBSTITUTE($T1714,"Quality of Works / Criteria of Failings:","")))/LEN("Quality of Works / Criteria of Failings:"),0)/MAX(1,(LEN($I1714)-LEN(SUBSTITUTE($I1714," Ltd","")))/LEN(" Ltd")),0)</f>
        <v/>
      </c>
      <c r="AB1713" s="122">
        <f>IFERROR(IFERROR((LEN($T1714)-LEN(SUBSTITUTE($T1714,"Quality of Works / Criteria of Failings:Compliant","")))/LEN("Quality of Works / Criteria of Failings:Compliant"),0)/MAX(1,(LEN($I1714)-LEN(SUBSTITUTE($I1714," Ltd","")))/LEN(" Ltd")),0)</f>
        <v/>
      </c>
    </row>
    <row r="1714" ht="15" customHeight="1" s="146">
      <c r="Y1714" s="122">
        <f>MAX(0,IFERROR((LEN($T1715)-LEN(SUBSTITUTE($T1715,"Quality of Works / Criteria of Failings:","")))/LEN("Quality of Works / Criteria of Failings:"),0)-IFERROR((LEN($T1715)-LEN(SUBSTITUTE($T1715,"Quality of Works / Criteria of Failings:Compliant","")))/LEN("Quality of Works / Criteria of Failings:Compliant"),0))</f>
        <v/>
      </c>
      <c r="Z1714" s="122">
        <f>IFERROR($Y1715/MAX(1,(LEN($I1715)-LEN(SUBSTITUTE($I1715," Ltd","")))/LEN(" Ltd")),0)</f>
        <v/>
      </c>
      <c r="AA1714" s="122">
        <f>IFERROR(IFERROR((LEN($T1715)-LEN(SUBSTITUTE($T1715,"Quality of Works / Criteria of Failings:","")))/LEN("Quality of Works / Criteria of Failings:"),0)/MAX(1,(LEN($I1715)-LEN(SUBSTITUTE($I1715," Ltd","")))/LEN(" Ltd")),0)</f>
        <v/>
      </c>
      <c r="AB1714" s="122">
        <f>IFERROR(IFERROR((LEN($T1715)-LEN(SUBSTITUTE($T1715,"Quality of Works / Criteria of Failings:Compliant","")))/LEN("Quality of Works / Criteria of Failings:Compliant"),0)/MAX(1,(LEN($I1715)-LEN(SUBSTITUTE($I1715," Ltd","")))/LEN(" Ltd")),0)</f>
        <v/>
      </c>
    </row>
    <row r="1715" ht="15" customHeight="1" s="146">
      <c r="Y1715" s="122">
        <f>MAX(0,IFERROR((LEN($T1716)-LEN(SUBSTITUTE($T1716,"Quality of Works / Criteria of Failings:","")))/LEN("Quality of Works / Criteria of Failings:"),0)-IFERROR((LEN($T1716)-LEN(SUBSTITUTE($T1716,"Quality of Works / Criteria of Failings:Compliant","")))/LEN("Quality of Works / Criteria of Failings:Compliant"),0))</f>
        <v/>
      </c>
      <c r="Z1715" s="122">
        <f>IFERROR($Y1716/MAX(1,(LEN($I1716)-LEN(SUBSTITUTE($I1716," Ltd","")))/LEN(" Ltd")),0)</f>
        <v/>
      </c>
      <c r="AA1715" s="122">
        <f>IFERROR(IFERROR((LEN($T1716)-LEN(SUBSTITUTE($T1716,"Quality of Works / Criteria of Failings:","")))/LEN("Quality of Works / Criteria of Failings:"),0)/MAX(1,(LEN($I1716)-LEN(SUBSTITUTE($I1716," Ltd","")))/LEN(" Ltd")),0)</f>
        <v/>
      </c>
      <c r="AB1715" s="122">
        <f>IFERROR(IFERROR((LEN($T1716)-LEN(SUBSTITUTE($T1716,"Quality of Works / Criteria of Failings:Compliant","")))/LEN("Quality of Works / Criteria of Failings:Compliant"),0)/MAX(1,(LEN($I1716)-LEN(SUBSTITUTE($I1716," Ltd","")))/LEN(" Ltd")),0)</f>
        <v/>
      </c>
    </row>
    <row r="1716" ht="15" customHeight="1" s="146">
      <c r="Y1716" s="122">
        <f>MAX(0,IFERROR((LEN($T1717)-LEN(SUBSTITUTE($T1717,"Quality of Works / Criteria of Failings:","")))/LEN("Quality of Works / Criteria of Failings:"),0)-IFERROR((LEN($T1717)-LEN(SUBSTITUTE($T1717,"Quality of Works / Criteria of Failings:Compliant","")))/LEN("Quality of Works / Criteria of Failings:Compliant"),0))</f>
        <v/>
      </c>
      <c r="Z1716" s="122">
        <f>IFERROR($Y1717/MAX(1,(LEN($I1717)-LEN(SUBSTITUTE($I1717," Ltd","")))/LEN(" Ltd")),0)</f>
        <v/>
      </c>
      <c r="AA1716" s="122">
        <f>IFERROR(IFERROR((LEN($T1717)-LEN(SUBSTITUTE($T1717,"Quality of Works / Criteria of Failings:","")))/LEN("Quality of Works / Criteria of Failings:"),0)/MAX(1,(LEN($I1717)-LEN(SUBSTITUTE($I1717," Ltd","")))/LEN(" Ltd")),0)</f>
        <v/>
      </c>
      <c r="AB1716" s="122">
        <f>IFERROR(IFERROR((LEN($T1717)-LEN(SUBSTITUTE($T1717,"Quality of Works / Criteria of Failings:Compliant","")))/LEN("Quality of Works / Criteria of Failings:Compliant"),0)/MAX(1,(LEN($I1717)-LEN(SUBSTITUTE($I1717," Ltd","")))/LEN(" Ltd")),0)</f>
        <v/>
      </c>
    </row>
    <row r="1717" ht="15" customHeight="1" s="146">
      <c r="Y1717" s="122">
        <f>MAX(0,IFERROR((LEN($T1718)-LEN(SUBSTITUTE($T1718,"Quality of Works / Criteria of Failings:","")))/LEN("Quality of Works / Criteria of Failings:"),0)-IFERROR((LEN($T1718)-LEN(SUBSTITUTE($T1718,"Quality of Works / Criteria of Failings:Compliant","")))/LEN("Quality of Works / Criteria of Failings:Compliant"),0))</f>
        <v/>
      </c>
      <c r="Z1717" s="122">
        <f>IFERROR($Y1718/MAX(1,(LEN($I1718)-LEN(SUBSTITUTE($I1718," Ltd","")))/LEN(" Ltd")),0)</f>
        <v/>
      </c>
      <c r="AA1717" s="122">
        <f>IFERROR(IFERROR((LEN($T1718)-LEN(SUBSTITUTE($T1718,"Quality of Works / Criteria of Failings:","")))/LEN("Quality of Works / Criteria of Failings:"),0)/MAX(1,(LEN($I1718)-LEN(SUBSTITUTE($I1718," Ltd","")))/LEN(" Ltd")),0)</f>
        <v/>
      </c>
      <c r="AB1717" s="122">
        <f>IFERROR(IFERROR((LEN($T1718)-LEN(SUBSTITUTE($T1718,"Quality of Works / Criteria of Failings:Compliant","")))/LEN("Quality of Works / Criteria of Failings:Compliant"),0)/MAX(1,(LEN($I1718)-LEN(SUBSTITUTE($I1718," Ltd","")))/LEN(" Ltd")),0)</f>
        <v/>
      </c>
    </row>
    <row r="1718" ht="15" customHeight="1" s="146">
      <c r="Y1718" s="122">
        <f>MAX(0,IFERROR((LEN($T1719)-LEN(SUBSTITUTE($T1719,"Quality of Works / Criteria of Failings:","")))/LEN("Quality of Works / Criteria of Failings:"),0)-IFERROR((LEN($T1719)-LEN(SUBSTITUTE($T1719,"Quality of Works / Criteria of Failings:Compliant","")))/LEN("Quality of Works / Criteria of Failings:Compliant"),0))</f>
        <v/>
      </c>
      <c r="Z1718" s="122">
        <f>IFERROR($Y1719/MAX(1,(LEN($I1719)-LEN(SUBSTITUTE($I1719," Ltd","")))/LEN(" Ltd")),0)</f>
        <v/>
      </c>
      <c r="AA1718" s="122">
        <f>IFERROR(IFERROR((LEN($T1719)-LEN(SUBSTITUTE($T1719,"Quality of Works / Criteria of Failings:","")))/LEN("Quality of Works / Criteria of Failings:"),0)/MAX(1,(LEN($I1719)-LEN(SUBSTITUTE($I1719," Ltd","")))/LEN(" Ltd")),0)</f>
        <v/>
      </c>
      <c r="AB1718" s="122">
        <f>IFERROR(IFERROR((LEN($T1719)-LEN(SUBSTITUTE($T1719,"Quality of Works / Criteria of Failings:Compliant","")))/LEN("Quality of Works / Criteria of Failings:Compliant"),0)/MAX(1,(LEN($I1719)-LEN(SUBSTITUTE($I1719," Ltd","")))/LEN(" Ltd")),0)</f>
        <v/>
      </c>
    </row>
    <row r="1719" ht="15" customHeight="1" s="146">
      <c r="Y1719" s="122">
        <f>MAX(0,IFERROR((LEN($T1720)-LEN(SUBSTITUTE($T1720,"Quality of Works / Criteria of Failings:","")))/LEN("Quality of Works / Criteria of Failings:"),0)-IFERROR((LEN($T1720)-LEN(SUBSTITUTE($T1720,"Quality of Works / Criteria of Failings:Compliant","")))/LEN("Quality of Works / Criteria of Failings:Compliant"),0))</f>
        <v/>
      </c>
      <c r="Z1719" s="122">
        <f>IFERROR($Y1720/MAX(1,(LEN($I1720)-LEN(SUBSTITUTE($I1720," Ltd","")))/LEN(" Ltd")),0)</f>
        <v/>
      </c>
      <c r="AA1719" s="122">
        <f>IFERROR(IFERROR((LEN($T1720)-LEN(SUBSTITUTE($T1720,"Quality of Works / Criteria of Failings:","")))/LEN("Quality of Works / Criteria of Failings:"),0)/MAX(1,(LEN($I1720)-LEN(SUBSTITUTE($I1720," Ltd","")))/LEN(" Ltd")),0)</f>
        <v/>
      </c>
      <c r="AB1719" s="122">
        <f>IFERROR(IFERROR((LEN($T1720)-LEN(SUBSTITUTE($T1720,"Quality of Works / Criteria of Failings:Compliant","")))/LEN("Quality of Works / Criteria of Failings:Compliant"),0)/MAX(1,(LEN($I1720)-LEN(SUBSTITUTE($I1720," Ltd","")))/LEN(" Ltd")),0)</f>
        <v/>
      </c>
    </row>
    <row r="1720" ht="15" customHeight="1" s="146">
      <c r="Y1720" s="122">
        <f>MAX(0,IFERROR((LEN($T1721)-LEN(SUBSTITUTE($T1721,"Quality of Works / Criteria of Failings:","")))/LEN("Quality of Works / Criteria of Failings:"),0)-IFERROR((LEN($T1721)-LEN(SUBSTITUTE($T1721,"Quality of Works / Criteria of Failings:Compliant","")))/LEN("Quality of Works / Criteria of Failings:Compliant"),0))</f>
        <v/>
      </c>
      <c r="Z1720" s="122">
        <f>IFERROR($Y1721/MAX(1,(LEN($I1721)-LEN(SUBSTITUTE($I1721," Ltd","")))/LEN(" Ltd")),0)</f>
        <v/>
      </c>
      <c r="AA1720" s="122">
        <f>IFERROR(IFERROR((LEN($T1721)-LEN(SUBSTITUTE($T1721,"Quality of Works / Criteria of Failings:","")))/LEN("Quality of Works / Criteria of Failings:"),0)/MAX(1,(LEN($I1721)-LEN(SUBSTITUTE($I1721," Ltd","")))/LEN(" Ltd")),0)</f>
        <v/>
      </c>
      <c r="AB1720" s="122">
        <f>IFERROR(IFERROR((LEN($T1721)-LEN(SUBSTITUTE($T1721,"Quality of Works / Criteria of Failings:Compliant","")))/LEN("Quality of Works / Criteria of Failings:Compliant"),0)/MAX(1,(LEN($I1721)-LEN(SUBSTITUTE($I1721," Ltd","")))/LEN(" Ltd")),0)</f>
        <v/>
      </c>
    </row>
    <row r="1721" ht="15" customHeight="1" s="146">
      <c r="Y1721" s="122">
        <f>MAX(0,IFERROR((LEN($T1722)-LEN(SUBSTITUTE($T1722,"Quality of Works / Criteria of Failings:","")))/LEN("Quality of Works / Criteria of Failings:"),0)-IFERROR((LEN($T1722)-LEN(SUBSTITUTE($T1722,"Quality of Works / Criteria of Failings:Compliant","")))/LEN("Quality of Works / Criteria of Failings:Compliant"),0))</f>
        <v/>
      </c>
      <c r="Z1721" s="122">
        <f>IFERROR($Y1722/MAX(1,(LEN($I1722)-LEN(SUBSTITUTE($I1722," Ltd","")))/LEN(" Ltd")),0)</f>
        <v/>
      </c>
      <c r="AA1721" s="122">
        <f>IFERROR(IFERROR((LEN($T1722)-LEN(SUBSTITUTE($T1722,"Quality of Works / Criteria of Failings:","")))/LEN("Quality of Works / Criteria of Failings:"),0)/MAX(1,(LEN($I1722)-LEN(SUBSTITUTE($I1722," Ltd","")))/LEN(" Ltd")),0)</f>
        <v/>
      </c>
      <c r="AB1721" s="122">
        <f>IFERROR(IFERROR((LEN($T1722)-LEN(SUBSTITUTE($T1722,"Quality of Works / Criteria of Failings:Compliant","")))/LEN("Quality of Works / Criteria of Failings:Compliant"),0)/MAX(1,(LEN($I1722)-LEN(SUBSTITUTE($I1722," Ltd","")))/LEN(" Ltd")),0)</f>
        <v/>
      </c>
    </row>
    <row r="1722" ht="15" customHeight="1" s="146">
      <c r="Y1722" s="122">
        <f>MAX(0,IFERROR((LEN($T1723)-LEN(SUBSTITUTE($T1723,"Quality of Works / Criteria of Failings:","")))/LEN("Quality of Works / Criteria of Failings:"),0)-IFERROR((LEN($T1723)-LEN(SUBSTITUTE($T1723,"Quality of Works / Criteria of Failings:Compliant","")))/LEN("Quality of Works / Criteria of Failings:Compliant"),0))</f>
        <v/>
      </c>
      <c r="Z1722" s="122">
        <f>IFERROR($Y1723/MAX(1,(LEN($I1723)-LEN(SUBSTITUTE($I1723," Ltd","")))/LEN(" Ltd")),0)</f>
        <v/>
      </c>
      <c r="AA1722" s="122">
        <f>IFERROR(IFERROR((LEN($T1723)-LEN(SUBSTITUTE($T1723,"Quality of Works / Criteria of Failings:","")))/LEN("Quality of Works / Criteria of Failings:"),0)/MAX(1,(LEN($I1723)-LEN(SUBSTITUTE($I1723," Ltd","")))/LEN(" Ltd")),0)</f>
        <v/>
      </c>
      <c r="AB1722" s="122">
        <f>IFERROR(IFERROR((LEN($T1723)-LEN(SUBSTITUTE($T1723,"Quality of Works / Criteria of Failings:Compliant","")))/LEN("Quality of Works / Criteria of Failings:Compliant"),0)/MAX(1,(LEN($I1723)-LEN(SUBSTITUTE($I1723," Ltd","")))/LEN(" Ltd")),0)</f>
        <v/>
      </c>
    </row>
    <row r="1723" ht="15" customHeight="1" s="146">
      <c r="Y1723" s="122">
        <f>MAX(0,IFERROR((LEN($T1724)-LEN(SUBSTITUTE($T1724,"Quality of Works / Criteria of Failings:","")))/LEN("Quality of Works / Criteria of Failings:"),0)-IFERROR((LEN($T1724)-LEN(SUBSTITUTE($T1724,"Quality of Works / Criteria of Failings:Compliant","")))/LEN("Quality of Works / Criteria of Failings:Compliant"),0))</f>
        <v/>
      </c>
      <c r="Z1723" s="122">
        <f>IFERROR($Y1724/MAX(1,(LEN($I1724)-LEN(SUBSTITUTE($I1724," Ltd","")))/LEN(" Ltd")),0)</f>
        <v/>
      </c>
      <c r="AA1723" s="122">
        <f>IFERROR(IFERROR((LEN($T1724)-LEN(SUBSTITUTE($T1724,"Quality of Works / Criteria of Failings:","")))/LEN("Quality of Works / Criteria of Failings:"),0)/MAX(1,(LEN($I1724)-LEN(SUBSTITUTE($I1724," Ltd","")))/LEN(" Ltd")),0)</f>
        <v/>
      </c>
      <c r="AB1723" s="122">
        <f>IFERROR(IFERROR((LEN($T1724)-LEN(SUBSTITUTE($T1724,"Quality of Works / Criteria of Failings:Compliant","")))/LEN("Quality of Works / Criteria of Failings:Compliant"),0)/MAX(1,(LEN($I1724)-LEN(SUBSTITUTE($I1724," Ltd","")))/LEN(" Ltd")),0)</f>
        <v/>
      </c>
    </row>
    <row r="1724" ht="15" customHeight="1" s="146">
      <c r="Y1724" s="122">
        <f>MAX(0,IFERROR((LEN($T1725)-LEN(SUBSTITUTE($T1725,"Quality of Works / Criteria of Failings:","")))/LEN("Quality of Works / Criteria of Failings:"),0)-IFERROR((LEN($T1725)-LEN(SUBSTITUTE($T1725,"Quality of Works / Criteria of Failings:Compliant","")))/LEN("Quality of Works / Criteria of Failings:Compliant"),0))</f>
        <v/>
      </c>
      <c r="Z1724" s="122">
        <f>IFERROR($Y1725/MAX(1,(LEN($I1725)-LEN(SUBSTITUTE($I1725," Ltd","")))/LEN(" Ltd")),0)</f>
        <v/>
      </c>
      <c r="AA1724" s="122">
        <f>IFERROR(IFERROR((LEN($T1725)-LEN(SUBSTITUTE($T1725,"Quality of Works / Criteria of Failings:","")))/LEN("Quality of Works / Criteria of Failings:"),0)/MAX(1,(LEN($I1725)-LEN(SUBSTITUTE($I1725," Ltd","")))/LEN(" Ltd")),0)</f>
        <v/>
      </c>
      <c r="AB1724" s="122">
        <f>IFERROR(IFERROR((LEN($T1725)-LEN(SUBSTITUTE($T1725,"Quality of Works / Criteria of Failings:Compliant","")))/LEN("Quality of Works / Criteria of Failings:Compliant"),0)/MAX(1,(LEN($I1725)-LEN(SUBSTITUTE($I1725," Ltd","")))/LEN(" Ltd")),0)</f>
        <v/>
      </c>
    </row>
    <row r="1725" ht="15" customHeight="1" s="146">
      <c r="Y1725" s="122">
        <f>MAX(0,IFERROR((LEN($T1726)-LEN(SUBSTITUTE($T1726,"Quality of Works / Criteria of Failings:","")))/LEN("Quality of Works / Criteria of Failings:"),0)-IFERROR((LEN($T1726)-LEN(SUBSTITUTE($T1726,"Quality of Works / Criteria of Failings:Compliant","")))/LEN("Quality of Works / Criteria of Failings:Compliant"),0))</f>
        <v/>
      </c>
      <c r="Z1725" s="122">
        <f>IFERROR($Y1726/MAX(1,(LEN($I1726)-LEN(SUBSTITUTE($I1726," Ltd","")))/LEN(" Ltd")),0)</f>
        <v/>
      </c>
      <c r="AA1725" s="122">
        <f>IFERROR(IFERROR((LEN($T1726)-LEN(SUBSTITUTE($T1726,"Quality of Works / Criteria of Failings:","")))/LEN("Quality of Works / Criteria of Failings:"),0)/MAX(1,(LEN($I1726)-LEN(SUBSTITUTE($I1726," Ltd","")))/LEN(" Ltd")),0)</f>
        <v/>
      </c>
      <c r="AB1725" s="122">
        <f>IFERROR(IFERROR((LEN($T1726)-LEN(SUBSTITUTE($T1726,"Quality of Works / Criteria of Failings:Compliant","")))/LEN("Quality of Works / Criteria of Failings:Compliant"),0)/MAX(1,(LEN($I1726)-LEN(SUBSTITUTE($I1726," Ltd","")))/LEN(" Ltd")),0)</f>
        <v/>
      </c>
    </row>
    <row r="1726" ht="15" customHeight="1" s="146">
      <c r="Y1726" s="122">
        <f>MAX(0,IFERROR((LEN($T1727)-LEN(SUBSTITUTE($T1727,"Quality of Works / Criteria of Failings:","")))/LEN("Quality of Works / Criteria of Failings:"),0)-IFERROR((LEN($T1727)-LEN(SUBSTITUTE($T1727,"Quality of Works / Criteria of Failings:Compliant","")))/LEN("Quality of Works / Criteria of Failings:Compliant"),0))</f>
        <v/>
      </c>
      <c r="Z1726" s="122">
        <f>IFERROR($Y1727/MAX(1,(LEN($I1727)-LEN(SUBSTITUTE($I1727," Ltd","")))/LEN(" Ltd")),0)</f>
        <v/>
      </c>
      <c r="AA1726" s="122">
        <f>IFERROR(IFERROR((LEN($T1727)-LEN(SUBSTITUTE($T1727,"Quality of Works / Criteria of Failings:","")))/LEN("Quality of Works / Criteria of Failings:"),0)/MAX(1,(LEN($I1727)-LEN(SUBSTITUTE($I1727," Ltd","")))/LEN(" Ltd")),0)</f>
        <v/>
      </c>
      <c r="AB1726" s="122">
        <f>IFERROR(IFERROR((LEN($T1727)-LEN(SUBSTITUTE($T1727,"Quality of Works / Criteria of Failings:Compliant","")))/LEN("Quality of Works / Criteria of Failings:Compliant"),0)/MAX(1,(LEN($I1727)-LEN(SUBSTITUTE($I1727," Ltd","")))/LEN(" Ltd")),0)</f>
        <v/>
      </c>
    </row>
    <row r="1727" ht="15" customHeight="1" s="146">
      <c r="Y1727" s="122">
        <f>MAX(0,IFERROR((LEN($T1728)-LEN(SUBSTITUTE($T1728,"Quality of Works / Criteria of Failings:","")))/LEN("Quality of Works / Criteria of Failings:"),0)-IFERROR((LEN($T1728)-LEN(SUBSTITUTE($T1728,"Quality of Works / Criteria of Failings:Compliant","")))/LEN("Quality of Works / Criteria of Failings:Compliant"),0))</f>
        <v/>
      </c>
      <c r="Z1727" s="122">
        <f>IFERROR($Y1728/MAX(1,(LEN($I1728)-LEN(SUBSTITUTE($I1728," Ltd","")))/LEN(" Ltd")),0)</f>
        <v/>
      </c>
      <c r="AA1727" s="122">
        <f>IFERROR(IFERROR((LEN($T1728)-LEN(SUBSTITUTE($T1728,"Quality of Works / Criteria of Failings:","")))/LEN("Quality of Works / Criteria of Failings:"),0)/MAX(1,(LEN($I1728)-LEN(SUBSTITUTE($I1728," Ltd","")))/LEN(" Ltd")),0)</f>
        <v/>
      </c>
      <c r="AB1727" s="122">
        <f>IFERROR(IFERROR((LEN($T1728)-LEN(SUBSTITUTE($T1728,"Quality of Works / Criteria of Failings:Compliant","")))/LEN("Quality of Works / Criteria of Failings:Compliant"),0)/MAX(1,(LEN($I1728)-LEN(SUBSTITUTE($I1728," Ltd","")))/LEN(" Ltd")),0)</f>
        <v/>
      </c>
    </row>
    <row r="1728" ht="15" customHeight="1" s="146">
      <c r="Y1728" s="122">
        <f>MAX(0,IFERROR((LEN($T1729)-LEN(SUBSTITUTE($T1729,"Quality of Works / Criteria of Failings:","")))/LEN("Quality of Works / Criteria of Failings:"),0)-IFERROR((LEN($T1729)-LEN(SUBSTITUTE($T1729,"Quality of Works / Criteria of Failings:Compliant","")))/LEN("Quality of Works / Criteria of Failings:Compliant"),0))</f>
        <v/>
      </c>
      <c r="Z1728" s="122">
        <f>IFERROR($Y1729/MAX(1,(LEN($I1729)-LEN(SUBSTITUTE($I1729," Ltd","")))/LEN(" Ltd")),0)</f>
        <v/>
      </c>
      <c r="AA1728" s="122">
        <f>IFERROR(IFERROR((LEN($T1729)-LEN(SUBSTITUTE($T1729,"Quality of Works / Criteria of Failings:","")))/LEN("Quality of Works / Criteria of Failings:"),0)/MAX(1,(LEN($I1729)-LEN(SUBSTITUTE($I1729," Ltd","")))/LEN(" Ltd")),0)</f>
        <v/>
      </c>
      <c r="AB1728" s="122">
        <f>IFERROR(IFERROR((LEN($T1729)-LEN(SUBSTITUTE($T1729,"Quality of Works / Criteria of Failings:Compliant","")))/LEN("Quality of Works / Criteria of Failings:Compliant"),0)/MAX(1,(LEN($I1729)-LEN(SUBSTITUTE($I1729," Ltd","")))/LEN(" Ltd")),0)</f>
        <v/>
      </c>
    </row>
    <row r="1729" ht="15" customHeight="1" s="146">
      <c r="Y1729" s="122">
        <f>MAX(0,IFERROR((LEN($T1730)-LEN(SUBSTITUTE($T1730,"Quality of Works / Criteria of Failings:","")))/LEN("Quality of Works / Criteria of Failings:"),0)-IFERROR((LEN($T1730)-LEN(SUBSTITUTE($T1730,"Quality of Works / Criteria of Failings:Compliant","")))/LEN("Quality of Works / Criteria of Failings:Compliant"),0))</f>
        <v/>
      </c>
      <c r="Z1729" s="122">
        <f>IFERROR($Y1730/MAX(1,(LEN($I1730)-LEN(SUBSTITUTE($I1730," Ltd","")))/LEN(" Ltd")),0)</f>
        <v/>
      </c>
      <c r="AA1729" s="122">
        <f>IFERROR(IFERROR((LEN($T1730)-LEN(SUBSTITUTE($T1730,"Quality of Works / Criteria of Failings:","")))/LEN("Quality of Works / Criteria of Failings:"),0)/MAX(1,(LEN($I1730)-LEN(SUBSTITUTE($I1730," Ltd","")))/LEN(" Ltd")),0)</f>
        <v/>
      </c>
      <c r="AB1729" s="122">
        <f>IFERROR(IFERROR((LEN($T1730)-LEN(SUBSTITUTE($T1730,"Quality of Works / Criteria of Failings:Compliant","")))/LEN("Quality of Works / Criteria of Failings:Compliant"),0)/MAX(1,(LEN($I1730)-LEN(SUBSTITUTE($I1730," Ltd","")))/LEN(" Ltd")),0)</f>
        <v/>
      </c>
    </row>
    <row r="1730" ht="15" customHeight="1" s="146">
      <c r="Y1730" s="122">
        <f>MAX(0,IFERROR((LEN($T1731)-LEN(SUBSTITUTE($T1731,"Quality of Works / Criteria of Failings:","")))/LEN("Quality of Works / Criteria of Failings:"),0)-IFERROR((LEN($T1731)-LEN(SUBSTITUTE($T1731,"Quality of Works / Criteria of Failings:Compliant","")))/LEN("Quality of Works / Criteria of Failings:Compliant"),0))</f>
        <v/>
      </c>
      <c r="Z1730" s="122">
        <f>IFERROR($Y1731/MAX(1,(LEN($I1731)-LEN(SUBSTITUTE($I1731," Ltd","")))/LEN(" Ltd")),0)</f>
        <v/>
      </c>
      <c r="AA1730" s="122">
        <f>IFERROR(IFERROR((LEN($T1731)-LEN(SUBSTITUTE($T1731,"Quality of Works / Criteria of Failings:","")))/LEN("Quality of Works / Criteria of Failings:"),0)/MAX(1,(LEN($I1731)-LEN(SUBSTITUTE($I1731," Ltd","")))/LEN(" Ltd")),0)</f>
        <v/>
      </c>
      <c r="AB1730" s="122">
        <f>IFERROR(IFERROR((LEN($T1731)-LEN(SUBSTITUTE($T1731,"Quality of Works / Criteria of Failings:Compliant","")))/LEN("Quality of Works / Criteria of Failings:Compliant"),0)/MAX(1,(LEN($I1731)-LEN(SUBSTITUTE($I1731," Ltd","")))/LEN(" Ltd")),0)</f>
        <v/>
      </c>
    </row>
    <row r="1731" ht="15" customHeight="1" s="146">
      <c r="Y1731" s="122">
        <f>MAX(0,IFERROR((LEN($T1732)-LEN(SUBSTITUTE($T1732,"Quality of Works / Criteria of Failings:","")))/LEN("Quality of Works / Criteria of Failings:"),0)-IFERROR((LEN($T1732)-LEN(SUBSTITUTE($T1732,"Quality of Works / Criteria of Failings:Compliant","")))/LEN("Quality of Works / Criteria of Failings:Compliant"),0))</f>
        <v/>
      </c>
      <c r="Z1731" s="122">
        <f>IFERROR($Y1732/MAX(1,(LEN($I1732)-LEN(SUBSTITUTE($I1732," Ltd","")))/LEN(" Ltd")),0)</f>
        <v/>
      </c>
      <c r="AA1731" s="122">
        <f>IFERROR(IFERROR((LEN($T1732)-LEN(SUBSTITUTE($T1732,"Quality of Works / Criteria of Failings:","")))/LEN("Quality of Works / Criteria of Failings:"),0)/MAX(1,(LEN($I1732)-LEN(SUBSTITUTE($I1732," Ltd","")))/LEN(" Ltd")),0)</f>
        <v/>
      </c>
      <c r="AB1731" s="122">
        <f>IFERROR(IFERROR((LEN($T1732)-LEN(SUBSTITUTE($T1732,"Quality of Works / Criteria of Failings:Compliant","")))/LEN("Quality of Works / Criteria of Failings:Compliant"),0)/MAX(1,(LEN($I1732)-LEN(SUBSTITUTE($I1732," Ltd","")))/LEN(" Ltd")),0)</f>
        <v/>
      </c>
    </row>
    <row r="1732" ht="15" customHeight="1" s="146">
      <c r="Y1732" s="122">
        <f>MAX(0,IFERROR((LEN($T1733)-LEN(SUBSTITUTE($T1733,"Quality of Works / Criteria of Failings:","")))/LEN("Quality of Works / Criteria of Failings:"),0)-IFERROR((LEN($T1733)-LEN(SUBSTITUTE($T1733,"Quality of Works / Criteria of Failings:Compliant","")))/LEN("Quality of Works / Criteria of Failings:Compliant"),0))</f>
        <v/>
      </c>
      <c r="Z1732" s="122">
        <f>IFERROR($Y1733/MAX(1,(LEN($I1733)-LEN(SUBSTITUTE($I1733," Ltd","")))/LEN(" Ltd")),0)</f>
        <v/>
      </c>
      <c r="AA1732" s="122">
        <f>IFERROR(IFERROR((LEN($T1733)-LEN(SUBSTITUTE($T1733,"Quality of Works / Criteria of Failings:","")))/LEN("Quality of Works / Criteria of Failings:"),0)/MAX(1,(LEN($I1733)-LEN(SUBSTITUTE($I1733," Ltd","")))/LEN(" Ltd")),0)</f>
        <v/>
      </c>
      <c r="AB1732" s="122">
        <f>IFERROR(IFERROR((LEN($T1733)-LEN(SUBSTITUTE($T1733,"Quality of Works / Criteria of Failings:Compliant","")))/LEN("Quality of Works / Criteria of Failings:Compliant"),0)/MAX(1,(LEN($I1733)-LEN(SUBSTITUTE($I1733," Ltd","")))/LEN(" Ltd")),0)</f>
        <v/>
      </c>
    </row>
    <row r="1733" ht="15" customHeight="1" s="146">
      <c r="Y1733" s="122">
        <f>MAX(0,IFERROR((LEN($T1734)-LEN(SUBSTITUTE($T1734,"Quality of Works / Criteria of Failings:","")))/LEN("Quality of Works / Criteria of Failings:"),0)-IFERROR((LEN($T1734)-LEN(SUBSTITUTE($T1734,"Quality of Works / Criteria of Failings:Compliant","")))/LEN("Quality of Works / Criteria of Failings:Compliant"),0))</f>
        <v/>
      </c>
      <c r="Z1733" s="122">
        <f>IFERROR($Y1734/MAX(1,(LEN($I1734)-LEN(SUBSTITUTE($I1734," Ltd","")))/LEN(" Ltd")),0)</f>
        <v/>
      </c>
      <c r="AA1733" s="122">
        <f>IFERROR(IFERROR((LEN($T1734)-LEN(SUBSTITUTE($T1734,"Quality of Works / Criteria of Failings:","")))/LEN("Quality of Works / Criteria of Failings:"),0)/MAX(1,(LEN($I1734)-LEN(SUBSTITUTE($I1734," Ltd","")))/LEN(" Ltd")),0)</f>
        <v/>
      </c>
      <c r="AB1733" s="122">
        <f>IFERROR(IFERROR((LEN($T1734)-LEN(SUBSTITUTE($T1734,"Quality of Works / Criteria of Failings:Compliant","")))/LEN("Quality of Works / Criteria of Failings:Compliant"),0)/MAX(1,(LEN($I1734)-LEN(SUBSTITUTE($I1734," Ltd","")))/LEN(" Ltd")),0)</f>
        <v/>
      </c>
    </row>
    <row r="1734" ht="15" customHeight="1" s="146">
      <c r="Y1734" s="122">
        <f>MAX(0,IFERROR((LEN($T1735)-LEN(SUBSTITUTE($T1735,"Quality of Works / Criteria of Failings:","")))/LEN("Quality of Works / Criteria of Failings:"),0)-IFERROR((LEN($T1735)-LEN(SUBSTITUTE($T1735,"Quality of Works / Criteria of Failings:Compliant","")))/LEN("Quality of Works / Criteria of Failings:Compliant"),0))</f>
        <v/>
      </c>
      <c r="Z1734" s="122">
        <f>IFERROR($Y1735/MAX(1,(LEN($I1735)-LEN(SUBSTITUTE($I1735," Ltd","")))/LEN(" Ltd")),0)</f>
        <v/>
      </c>
      <c r="AA1734" s="122">
        <f>IFERROR(IFERROR((LEN($T1735)-LEN(SUBSTITUTE($T1735,"Quality of Works / Criteria of Failings:","")))/LEN("Quality of Works / Criteria of Failings:"),0)/MAX(1,(LEN($I1735)-LEN(SUBSTITUTE($I1735," Ltd","")))/LEN(" Ltd")),0)</f>
        <v/>
      </c>
      <c r="AB1734" s="122">
        <f>IFERROR(IFERROR((LEN($T1735)-LEN(SUBSTITUTE($T1735,"Quality of Works / Criteria of Failings:Compliant","")))/LEN("Quality of Works / Criteria of Failings:Compliant"),0)/MAX(1,(LEN($I1735)-LEN(SUBSTITUTE($I1735," Ltd","")))/LEN(" Ltd")),0)</f>
        <v/>
      </c>
    </row>
    <row r="1735" ht="15" customHeight="1" s="146">
      <c r="Y1735" s="122">
        <f>MAX(0,IFERROR((LEN($T1736)-LEN(SUBSTITUTE($T1736,"Quality of Works / Criteria of Failings:","")))/LEN("Quality of Works / Criteria of Failings:"),0)-IFERROR((LEN($T1736)-LEN(SUBSTITUTE($T1736,"Quality of Works / Criteria of Failings:Compliant","")))/LEN("Quality of Works / Criteria of Failings:Compliant"),0))</f>
        <v/>
      </c>
      <c r="Z1735" s="122">
        <f>IFERROR($Y1736/MAX(1,(LEN($I1736)-LEN(SUBSTITUTE($I1736," Ltd","")))/LEN(" Ltd")),0)</f>
        <v/>
      </c>
      <c r="AA1735" s="122">
        <f>IFERROR(IFERROR((LEN($T1736)-LEN(SUBSTITUTE($T1736,"Quality of Works / Criteria of Failings:","")))/LEN("Quality of Works / Criteria of Failings:"),0)/MAX(1,(LEN($I1736)-LEN(SUBSTITUTE($I1736," Ltd","")))/LEN(" Ltd")),0)</f>
        <v/>
      </c>
      <c r="AB1735" s="122">
        <f>IFERROR(IFERROR((LEN($T1736)-LEN(SUBSTITUTE($T1736,"Quality of Works / Criteria of Failings:Compliant","")))/LEN("Quality of Works / Criteria of Failings:Compliant"),0)/MAX(1,(LEN($I1736)-LEN(SUBSTITUTE($I1736," Ltd","")))/LEN(" Ltd")),0)</f>
        <v/>
      </c>
    </row>
    <row r="1736" ht="15" customHeight="1" s="146">
      <c r="Y1736" s="122">
        <f>MAX(0,IFERROR((LEN($T1737)-LEN(SUBSTITUTE($T1737,"Quality of Works / Criteria of Failings:","")))/LEN("Quality of Works / Criteria of Failings:"),0)-IFERROR((LEN($T1737)-LEN(SUBSTITUTE($T1737,"Quality of Works / Criteria of Failings:Compliant","")))/LEN("Quality of Works / Criteria of Failings:Compliant"),0))</f>
        <v/>
      </c>
      <c r="Z1736" s="122">
        <f>IFERROR($Y1737/MAX(1,(LEN($I1737)-LEN(SUBSTITUTE($I1737," Ltd","")))/LEN(" Ltd")),0)</f>
        <v/>
      </c>
      <c r="AA1736" s="122">
        <f>IFERROR(IFERROR((LEN($T1737)-LEN(SUBSTITUTE($T1737,"Quality of Works / Criteria of Failings:","")))/LEN("Quality of Works / Criteria of Failings:"),0)/MAX(1,(LEN($I1737)-LEN(SUBSTITUTE($I1737," Ltd","")))/LEN(" Ltd")),0)</f>
        <v/>
      </c>
      <c r="AB1736" s="122">
        <f>IFERROR(IFERROR((LEN($T1737)-LEN(SUBSTITUTE($T1737,"Quality of Works / Criteria of Failings:Compliant","")))/LEN("Quality of Works / Criteria of Failings:Compliant"),0)/MAX(1,(LEN($I1737)-LEN(SUBSTITUTE($I1737," Ltd","")))/LEN(" Ltd")),0)</f>
        <v/>
      </c>
    </row>
    <row r="1737" ht="15" customHeight="1" s="146">
      <c r="Y1737" s="122">
        <f>MAX(0,IFERROR((LEN($T1738)-LEN(SUBSTITUTE($T1738,"Quality of Works / Criteria of Failings:","")))/LEN("Quality of Works / Criteria of Failings:"),0)-IFERROR((LEN($T1738)-LEN(SUBSTITUTE($T1738,"Quality of Works / Criteria of Failings:Compliant","")))/LEN("Quality of Works / Criteria of Failings:Compliant"),0))</f>
        <v/>
      </c>
      <c r="Z1737" s="122">
        <f>IFERROR($Y1738/MAX(1,(LEN($I1738)-LEN(SUBSTITUTE($I1738," Ltd","")))/LEN(" Ltd")),0)</f>
        <v/>
      </c>
      <c r="AA1737" s="122">
        <f>IFERROR(IFERROR((LEN($T1738)-LEN(SUBSTITUTE($T1738,"Quality of Works / Criteria of Failings:","")))/LEN("Quality of Works / Criteria of Failings:"),0)/MAX(1,(LEN($I1738)-LEN(SUBSTITUTE($I1738," Ltd","")))/LEN(" Ltd")),0)</f>
        <v/>
      </c>
      <c r="AB1737" s="122">
        <f>IFERROR(IFERROR((LEN($T1738)-LEN(SUBSTITUTE($T1738,"Quality of Works / Criteria of Failings:Compliant","")))/LEN("Quality of Works / Criteria of Failings:Compliant"),0)/MAX(1,(LEN($I1738)-LEN(SUBSTITUTE($I1738," Ltd","")))/LEN(" Ltd")),0)</f>
        <v/>
      </c>
    </row>
    <row r="1738" ht="15" customHeight="1" s="146">
      <c r="Y1738" s="122">
        <f>MAX(0,IFERROR((LEN($T1739)-LEN(SUBSTITUTE($T1739,"Quality of Works / Criteria of Failings:","")))/LEN("Quality of Works / Criteria of Failings:"),0)-IFERROR((LEN($T1739)-LEN(SUBSTITUTE($T1739,"Quality of Works / Criteria of Failings:Compliant","")))/LEN("Quality of Works / Criteria of Failings:Compliant"),0))</f>
        <v/>
      </c>
      <c r="Z1738" s="122">
        <f>IFERROR($Y1739/MAX(1,(LEN($I1739)-LEN(SUBSTITUTE($I1739," Ltd","")))/LEN(" Ltd")),0)</f>
        <v/>
      </c>
      <c r="AA1738" s="122">
        <f>IFERROR(IFERROR((LEN($T1739)-LEN(SUBSTITUTE($T1739,"Quality of Works / Criteria of Failings:","")))/LEN("Quality of Works / Criteria of Failings:"),0)/MAX(1,(LEN($I1739)-LEN(SUBSTITUTE($I1739," Ltd","")))/LEN(" Ltd")),0)</f>
        <v/>
      </c>
      <c r="AB1738" s="122">
        <f>IFERROR(IFERROR((LEN($T1739)-LEN(SUBSTITUTE($T1739,"Quality of Works / Criteria of Failings:Compliant","")))/LEN("Quality of Works / Criteria of Failings:Compliant"),0)/MAX(1,(LEN($I1739)-LEN(SUBSTITUTE($I1739," Ltd","")))/LEN(" Ltd")),0)</f>
        <v/>
      </c>
    </row>
    <row r="1739" ht="15" customHeight="1" s="146">
      <c r="Y1739" s="122">
        <f>MAX(0,IFERROR((LEN($T1740)-LEN(SUBSTITUTE($T1740,"Quality of Works / Criteria of Failings:","")))/LEN("Quality of Works / Criteria of Failings:"),0)-IFERROR((LEN($T1740)-LEN(SUBSTITUTE($T1740,"Quality of Works / Criteria of Failings:Compliant","")))/LEN("Quality of Works / Criteria of Failings:Compliant"),0))</f>
        <v/>
      </c>
      <c r="Z1739" s="122">
        <f>IFERROR($Y1740/MAX(1,(LEN($I1740)-LEN(SUBSTITUTE($I1740," Ltd","")))/LEN(" Ltd")),0)</f>
        <v/>
      </c>
      <c r="AA1739" s="122">
        <f>IFERROR(IFERROR((LEN($T1740)-LEN(SUBSTITUTE($T1740,"Quality of Works / Criteria of Failings:","")))/LEN("Quality of Works / Criteria of Failings:"),0)/MAX(1,(LEN($I1740)-LEN(SUBSTITUTE($I1740," Ltd","")))/LEN(" Ltd")),0)</f>
        <v/>
      </c>
      <c r="AB1739" s="122">
        <f>IFERROR(IFERROR((LEN($T1740)-LEN(SUBSTITUTE($T1740,"Quality of Works / Criteria of Failings:Compliant","")))/LEN("Quality of Works / Criteria of Failings:Compliant"),0)/MAX(1,(LEN($I1740)-LEN(SUBSTITUTE($I1740," Ltd","")))/LEN(" Ltd")),0)</f>
        <v/>
      </c>
    </row>
    <row r="1740" ht="15" customHeight="1" s="146">
      <c r="Y1740" s="122">
        <f>MAX(0,IFERROR((LEN($T1741)-LEN(SUBSTITUTE($T1741,"Quality of Works / Criteria of Failings:","")))/LEN("Quality of Works / Criteria of Failings:"),0)-IFERROR((LEN($T1741)-LEN(SUBSTITUTE($T1741,"Quality of Works / Criteria of Failings:Compliant","")))/LEN("Quality of Works / Criteria of Failings:Compliant"),0))</f>
        <v/>
      </c>
      <c r="Z1740" s="122">
        <f>IFERROR($Y1741/MAX(1,(LEN($I1741)-LEN(SUBSTITUTE($I1741," Ltd","")))/LEN(" Ltd")),0)</f>
        <v/>
      </c>
      <c r="AA1740" s="122">
        <f>IFERROR(IFERROR((LEN($T1741)-LEN(SUBSTITUTE($T1741,"Quality of Works / Criteria of Failings:","")))/LEN("Quality of Works / Criteria of Failings:"),0)/MAX(1,(LEN($I1741)-LEN(SUBSTITUTE($I1741," Ltd","")))/LEN(" Ltd")),0)</f>
        <v/>
      </c>
      <c r="AB1740" s="122">
        <f>IFERROR(IFERROR((LEN($T1741)-LEN(SUBSTITUTE($T1741,"Quality of Works / Criteria of Failings:Compliant","")))/LEN("Quality of Works / Criteria of Failings:Compliant"),0)/MAX(1,(LEN($I1741)-LEN(SUBSTITUTE($I1741," Ltd","")))/LEN(" Ltd")),0)</f>
        <v/>
      </c>
    </row>
    <row r="1741" ht="15" customHeight="1" s="146">
      <c r="Y1741" s="122">
        <f>MAX(0,IFERROR((LEN($T1742)-LEN(SUBSTITUTE($T1742,"Quality of Works / Criteria of Failings:","")))/LEN("Quality of Works / Criteria of Failings:"),0)-IFERROR((LEN($T1742)-LEN(SUBSTITUTE($T1742,"Quality of Works / Criteria of Failings:Compliant","")))/LEN("Quality of Works / Criteria of Failings:Compliant"),0))</f>
        <v/>
      </c>
      <c r="Z1741" s="122">
        <f>IFERROR($Y1742/MAX(1,(LEN($I1742)-LEN(SUBSTITUTE($I1742," Ltd","")))/LEN(" Ltd")),0)</f>
        <v/>
      </c>
      <c r="AA1741" s="122">
        <f>IFERROR(IFERROR((LEN($T1742)-LEN(SUBSTITUTE($T1742,"Quality of Works / Criteria of Failings:","")))/LEN("Quality of Works / Criteria of Failings:"),0)/MAX(1,(LEN($I1742)-LEN(SUBSTITUTE($I1742," Ltd","")))/LEN(" Ltd")),0)</f>
        <v/>
      </c>
      <c r="AB1741" s="122">
        <f>IFERROR(IFERROR((LEN($T1742)-LEN(SUBSTITUTE($T1742,"Quality of Works / Criteria of Failings:Compliant","")))/LEN("Quality of Works / Criteria of Failings:Compliant"),0)/MAX(1,(LEN($I1742)-LEN(SUBSTITUTE($I1742," Ltd","")))/LEN(" Ltd")),0)</f>
        <v/>
      </c>
    </row>
    <row r="1742" ht="15" customHeight="1" s="146">
      <c r="Y1742" s="122">
        <f>MAX(0,IFERROR((LEN($T1743)-LEN(SUBSTITUTE($T1743,"Quality of Works / Criteria of Failings:","")))/LEN("Quality of Works / Criteria of Failings:"),0)-IFERROR((LEN($T1743)-LEN(SUBSTITUTE($T1743,"Quality of Works / Criteria of Failings:Compliant","")))/LEN("Quality of Works / Criteria of Failings:Compliant"),0))</f>
        <v/>
      </c>
      <c r="Z1742" s="122">
        <f>IFERROR($Y1743/MAX(1,(LEN($I1743)-LEN(SUBSTITUTE($I1743," Ltd","")))/LEN(" Ltd")),0)</f>
        <v/>
      </c>
      <c r="AA1742" s="122">
        <f>IFERROR(IFERROR((LEN($T1743)-LEN(SUBSTITUTE($T1743,"Quality of Works / Criteria of Failings:","")))/LEN("Quality of Works / Criteria of Failings:"),0)/MAX(1,(LEN($I1743)-LEN(SUBSTITUTE($I1743," Ltd","")))/LEN(" Ltd")),0)</f>
        <v/>
      </c>
      <c r="AB1742" s="122">
        <f>IFERROR(IFERROR((LEN($T1743)-LEN(SUBSTITUTE($T1743,"Quality of Works / Criteria of Failings:Compliant","")))/LEN("Quality of Works / Criteria of Failings:Compliant"),0)/MAX(1,(LEN($I1743)-LEN(SUBSTITUTE($I1743," Ltd","")))/LEN(" Ltd")),0)</f>
        <v/>
      </c>
    </row>
    <row r="1743" ht="15" customHeight="1" s="146">
      <c r="Y1743" s="122">
        <f>MAX(0,IFERROR((LEN($T1744)-LEN(SUBSTITUTE($T1744,"Quality of Works / Criteria of Failings:","")))/LEN("Quality of Works / Criteria of Failings:"),0)-IFERROR((LEN($T1744)-LEN(SUBSTITUTE($T1744,"Quality of Works / Criteria of Failings:Compliant","")))/LEN("Quality of Works / Criteria of Failings:Compliant"),0))</f>
        <v/>
      </c>
      <c r="Z1743" s="122">
        <f>IFERROR($Y1744/MAX(1,(LEN($I1744)-LEN(SUBSTITUTE($I1744," Ltd","")))/LEN(" Ltd")),0)</f>
        <v/>
      </c>
      <c r="AA1743" s="122">
        <f>IFERROR(IFERROR((LEN($T1744)-LEN(SUBSTITUTE($T1744,"Quality of Works / Criteria of Failings:","")))/LEN("Quality of Works / Criteria of Failings:"),0)/MAX(1,(LEN($I1744)-LEN(SUBSTITUTE($I1744," Ltd","")))/LEN(" Ltd")),0)</f>
        <v/>
      </c>
      <c r="AB1743" s="122">
        <f>IFERROR(IFERROR((LEN($T1744)-LEN(SUBSTITUTE($T1744,"Quality of Works / Criteria of Failings:Compliant","")))/LEN("Quality of Works / Criteria of Failings:Compliant"),0)/MAX(1,(LEN($I1744)-LEN(SUBSTITUTE($I1744," Ltd","")))/LEN(" Ltd")),0)</f>
        <v/>
      </c>
    </row>
    <row r="1744" ht="15" customHeight="1" s="146">
      <c r="Y1744" s="122">
        <f>MAX(0,IFERROR((LEN($T1745)-LEN(SUBSTITUTE($T1745,"Quality of Works / Criteria of Failings:","")))/LEN("Quality of Works / Criteria of Failings:"),0)-IFERROR((LEN($T1745)-LEN(SUBSTITUTE($T1745,"Quality of Works / Criteria of Failings:Compliant","")))/LEN("Quality of Works / Criteria of Failings:Compliant"),0))</f>
        <v/>
      </c>
      <c r="Z1744" s="122">
        <f>IFERROR($Y1745/MAX(1,(LEN($I1745)-LEN(SUBSTITUTE($I1745," Ltd","")))/LEN(" Ltd")),0)</f>
        <v/>
      </c>
      <c r="AA1744" s="122">
        <f>IFERROR(IFERROR((LEN($T1745)-LEN(SUBSTITUTE($T1745,"Quality of Works / Criteria of Failings:","")))/LEN("Quality of Works / Criteria of Failings:"),0)/MAX(1,(LEN($I1745)-LEN(SUBSTITUTE($I1745," Ltd","")))/LEN(" Ltd")),0)</f>
        <v/>
      </c>
      <c r="AB1744" s="122">
        <f>IFERROR(IFERROR((LEN($T1745)-LEN(SUBSTITUTE($T1745,"Quality of Works / Criteria of Failings:Compliant","")))/LEN("Quality of Works / Criteria of Failings:Compliant"),0)/MAX(1,(LEN($I1745)-LEN(SUBSTITUTE($I1745," Ltd","")))/LEN(" Ltd")),0)</f>
        <v/>
      </c>
    </row>
    <row r="1745" ht="15" customHeight="1" s="146">
      <c r="Y1745" s="122">
        <f>MAX(0,IFERROR((LEN($T1746)-LEN(SUBSTITUTE($T1746,"Quality of Works / Criteria of Failings:","")))/LEN("Quality of Works / Criteria of Failings:"),0)-IFERROR((LEN($T1746)-LEN(SUBSTITUTE($T1746,"Quality of Works / Criteria of Failings:Compliant","")))/LEN("Quality of Works / Criteria of Failings:Compliant"),0))</f>
        <v/>
      </c>
      <c r="Z1745" s="122">
        <f>IFERROR($Y1746/MAX(1,(LEN($I1746)-LEN(SUBSTITUTE($I1746," Ltd","")))/LEN(" Ltd")),0)</f>
        <v/>
      </c>
      <c r="AA1745" s="122">
        <f>IFERROR(IFERROR((LEN($T1746)-LEN(SUBSTITUTE($T1746,"Quality of Works / Criteria of Failings:","")))/LEN("Quality of Works / Criteria of Failings:"),0)/MAX(1,(LEN($I1746)-LEN(SUBSTITUTE($I1746," Ltd","")))/LEN(" Ltd")),0)</f>
        <v/>
      </c>
      <c r="AB1745" s="122">
        <f>IFERROR(IFERROR((LEN($T1746)-LEN(SUBSTITUTE($T1746,"Quality of Works / Criteria of Failings:Compliant","")))/LEN("Quality of Works / Criteria of Failings:Compliant"),0)/MAX(1,(LEN($I1746)-LEN(SUBSTITUTE($I1746," Ltd","")))/LEN(" Ltd")),0)</f>
        <v/>
      </c>
    </row>
    <row r="1746" ht="15" customHeight="1" s="146">
      <c r="Y1746" s="122">
        <f>MAX(0,IFERROR((LEN($T1747)-LEN(SUBSTITUTE($T1747,"Quality of Works / Criteria of Failings:","")))/LEN("Quality of Works / Criteria of Failings:"),0)-IFERROR((LEN($T1747)-LEN(SUBSTITUTE($T1747,"Quality of Works / Criteria of Failings:Compliant","")))/LEN("Quality of Works / Criteria of Failings:Compliant"),0))</f>
        <v/>
      </c>
      <c r="Z1746" s="122">
        <f>IFERROR($Y1747/MAX(1,(LEN($I1747)-LEN(SUBSTITUTE($I1747," Ltd","")))/LEN(" Ltd")),0)</f>
        <v/>
      </c>
      <c r="AA1746" s="122">
        <f>IFERROR(IFERROR((LEN($T1747)-LEN(SUBSTITUTE($T1747,"Quality of Works / Criteria of Failings:","")))/LEN("Quality of Works / Criteria of Failings:"),0)/MAX(1,(LEN($I1747)-LEN(SUBSTITUTE($I1747," Ltd","")))/LEN(" Ltd")),0)</f>
        <v/>
      </c>
      <c r="AB1746" s="122">
        <f>IFERROR(IFERROR((LEN($T1747)-LEN(SUBSTITUTE($T1747,"Quality of Works / Criteria of Failings:Compliant","")))/LEN("Quality of Works / Criteria of Failings:Compliant"),0)/MAX(1,(LEN($I1747)-LEN(SUBSTITUTE($I1747," Ltd","")))/LEN(" Ltd")),0)</f>
        <v/>
      </c>
    </row>
    <row r="1747" ht="15" customHeight="1" s="146">
      <c r="Y1747" s="122">
        <f>MAX(0,IFERROR((LEN($T1748)-LEN(SUBSTITUTE($T1748,"Quality of Works / Criteria of Failings:","")))/LEN("Quality of Works / Criteria of Failings:"),0)-IFERROR((LEN($T1748)-LEN(SUBSTITUTE($T1748,"Quality of Works / Criteria of Failings:Compliant","")))/LEN("Quality of Works / Criteria of Failings:Compliant"),0))</f>
        <v/>
      </c>
      <c r="Z1747" s="122">
        <f>IFERROR($Y1748/MAX(1,(LEN($I1748)-LEN(SUBSTITUTE($I1748," Ltd","")))/LEN(" Ltd")),0)</f>
        <v/>
      </c>
      <c r="AA1747" s="122">
        <f>IFERROR(IFERROR((LEN($T1748)-LEN(SUBSTITUTE($T1748,"Quality of Works / Criteria of Failings:","")))/LEN("Quality of Works / Criteria of Failings:"),0)/MAX(1,(LEN($I1748)-LEN(SUBSTITUTE($I1748," Ltd","")))/LEN(" Ltd")),0)</f>
        <v/>
      </c>
      <c r="AB1747" s="122">
        <f>IFERROR(IFERROR((LEN($T1748)-LEN(SUBSTITUTE($T1748,"Quality of Works / Criteria of Failings:Compliant","")))/LEN("Quality of Works / Criteria of Failings:Compliant"),0)/MAX(1,(LEN($I1748)-LEN(SUBSTITUTE($I1748," Ltd","")))/LEN(" Ltd")),0)</f>
        <v/>
      </c>
    </row>
    <row r="1748" ht="15" customHeight="1" s="146">
      <c r="Y1748" s="122">
        <f>MAX(0,IFERROR((LEN($T1749)-LEN(SUBSTITUTE($T1749,"Quality of Works / Criteria of Failings:","")))/LEN("Quality of Works / Criteria of Failings:"),0)-IFERROR((LEN($T1749)-LEN(SUBSTITUTE($T1749,"Quality of Works / Criteria of Failings:Compliant","")))/LEN("Quality of Works / Criteria of Failings:Compliant"),0))</f>
        <v/>
      </c>
      <c r="Z1748" s="122">
        <f>IFERROR($Y1749/MAX(1,(LEN($I1749)-LEN(SUBSTITUTE($I1749," Ltd","")))/LEN(" Ltd")),0)</f>
        <v/>
      </c>
      <c r="AA1748" s="122">
        <f>IFERROR(IFERROR((LEN($T1749)-LEN(SUBSTITUTE($T1749,"Quality of Works / Criteria of Failings:","")))/LEN("Quality of Works / Criteria of Failings:"),0)/MAX(1,(LEN($I1749)-LEN(SUBSTITUTE($I1749," Ltd","")))/LEN(" Ltd")),0)</f>
        <v/>
      </c>
      <c r="AB1748" s="122">
        <f>IFERROR(IFERROR((LEN($T1749)-LEN(SUBSTITUTE($T1749,"Quality of Works / Criteria of Failings:Compliant","")))/LEN("Quality of Works / Criteria of Failings:Compliant"),0)/MAX(1,(LEN($I1749)-LEN(SUBSTITUTE($I1749," Ltd","")))/LEN(" Ltd")),0)</f>
        <v/>
      </c>
    </row>
    <row r="1749" ht="15" customHeight="1" s="146">
      <c r="Y1749" s="122">
        <f>MAX(0,IFERROR((LEN($T1750)-LEN(SUBSTITUTE($T1750,"Quality of Works / Criteria of Failings:","")))/LEN("Quality of Works / Criteria of Failings:"),0)-IFERROR((LEN($T1750)-LEN(SUBSTITUTE($T1750,"Quality of Works / Criteria of Failings:Compliant","")))/LEN("Quality of Works / Criteria of Failings:Compliant"),0))</f>
        <v/>
      </c>
      <c r="Z1749" s="122">
        <f>IFERROR($Y1750/MAX(1,(LEN($I1750)-LEN(SUBSTITUTE($I1750," Ltd","")))/LEN(" Ltd")),0)</f>
        <v/>
      </c>
      <c r="AA1749" s="122">
        <f>IFERROR(IFERROR((LEN($T1750)-LEN(SUBSTITUTE($T1750,"Quality of Works / Criteria of Failings:","")))/LEN("Quality of Works / Criteria of Failings:"),0)/MAX(1,(LEN($I1750)-LEN(SUBSTITUTE($I1750," Ltd","")))/LEN(" Ltd")),0)</f>
        <v/>
      </c>
      <c r="AB1749" s="122">
        <f>IFERROR(IFERROR((LEN($T1750)-LEN(SUBSTITUTE($T1750,"Quality of Works / Criteria of Failings:Compliant","")))/LEN("Quality of Works / Criteria of Failings:Compliant"),0)/MAX(1,(LEN($I1750)-LEN(SUBSTITUTE($I1750," Ltd","")))/LEN(" Ltd")),0)</f>
        <v/>
      </c>
    </row>
    <row r="1750" ht="15" customHeight="1" s="146">
      <c r="Y1750" s="122">
        <f>MAX(0,IFERROR((LEN($T1751)-LEN(SUBSTITUTE($T1751,"Quality of Works / Criteria of Failings:","")))/LEN("Quality of Works / Criteria of Failings:"),0)-IFERROR((LEN($T1751)-LEN(SUBSTITUTE($T1751,"Quality of Works / Criteria of Failings:Compliant","")))/LEN("Quality of Works / Criteria of Failings:Compliant"),0))</f>
        <v/>
      </c>
      <c r="Z1750" s="122">
        <f>IFERROR($Y1751/MAX(1,(LEN($I1751)-LEN(SUBSTITUTE($I1751," Ltd","")))/LEN(" Ltd")),0)</f>
        <v/>
      </c>
      <c r="AA1750" s="122">
        <f>IFERROR(IFERROR((LEN($T1751)-LEN(SUBSTITUTE($T1751,"Quality of Works / Criteria of Failings:","")))/LEN("Quality of Works / Criteria of Failings:"),0)/MAX(1,(LEN($I1751)-LEN(SUBSTITUTE($I1751," Ltd","")))/LEN(" Ltd")),0)</f>
        <v/>
      </c>
      <c r="AB1750" s="122">
        <f>IFERROR(IFERROR((LEN($T1751)-LEN(SUBSTITUTE($T1751,"Quality of Works / Criteria of Failings:Compliant","")))/LEN("Quality of Works / Criteria of Failings:Compliant"),0)/MAX(1,(LEN($I1751)-LEN(SUBSTITUTE($I1751," Ltd","")))/LEN(" Ltd")),0)</f>
        <v/>
      </c>
    </row>
    <row r="1751" ht="15" customHeight="1" s="146">
      <c r="Y1751" s="122">
        <f>MAX(0,IFERROR((LEN($T1752)-LEN(SUBSTITUTE($T1752,"Quality of Works / Criteria of Failings:","")))/LEN("Quality of Works / Criteria of Failings:"),0)-IFERROR((LEN($T1752)-LEN(SUBSTITUTE($T1752,"Quality of Works / Criteria of Failings:Compliant","")))/LEN("Quality of Works / Criteria of Failings:Compliant"),0))</f>
        <v/>
      </c>
      <c r="Z1751" s="122">
        <f>IFERROR($Y1752/MAX(1,(LEN($I1752)-LEN(SUBSTITUTE($I1752," Ltd","")))/LEN(" Ltd")),0)</f>
        <v/>
      </c>
      <c r="AA1751" s="122">
        <f>IFERROR(IFERROR((LEN($T1752)-LEN(SUBSTITUTE($T1752,"Quality of Works / Criteria of Failings:","")))/LEN("Quality of Works / Criteria of Failings:"),0)/MAX(1,(LEN($I1752)-LEN(SUBSTITUTE($I1752," Ltd","")))/LEN(" Ltd")),0)</f>
        <v/>
      </c>
      <c r="AB1751" s="122">
        <f>IFERROR(IFERROR((LEN($T1752)-LEN(SUBSTITUTE($T1752,"Quality of Works / Criteria of Failings:Compliant","")))/LEN("Quality of Works / Criteria of Failings:Compliant"),0)/MAX(1,(LEN($I1752)-LEN(SUBSTITUTE($I1752," Ltd","")))/LEN(" Ltd")),0)</f>
        <v/>
      </c>
    </row>
    <row r="1752" ht="15" customHeight="1" s="146">
      <c r="Y1752" s="122">
        <f>MAX(0,IFERROR((LEN($T1753)-LEN(SUBSTITUTE($T1753,"Quality of Works / Criteria of Failings:","")))/LEN("Quality of Works / Criteria of Failings:"),0)-IFERROR((LEN($T1753)-LEN(SUBSTITUTE($T1753,"Quality of Works / Criteria of Failings:Compliant","")))/LEN("Quality of Works / Criteria of Failings:Compliant"),0))</f>
        <v/>
      </c>
      <c r="Z1752" s="122">
        <f>IFERROR($Y1753/MAX(1,(LEN($I1753)-LEN(SUBSTITUTE($I1753," Ltd","")))/LEN(" Ltd")),0)</f>
        <v/>
      </c>
      <c r="AA1752" s="122">
        <f>IFERROR(IFERROR((LEN($T1753)-LEN(SUBSTITUTE($T1753,"Quality of Works / Criteria of Failings:","")))/LEN("Quality of Works / Criteria of Failings:"),0)/MAX(1,(LEN($I1753)-LEN(SUBSTITUTE($I1753," Ltd","")))/LEN(" Ltd")),0)</f>
        <v/>
      </c>
      <c r="AB1752" s="122">
        <f>IFERROR(IFERROR((LEN($T1753)-LEN(SUBSTITUTE($T1753,"Quality of Works / Criteria of Failings:Compliant","")))/LEN("Quality of Works / Criteria of Failings:Compliant"),0)/MAX(1,(LEN($I1753)-LEN(SUBSTITUTE($I1753," Ltd","")))/LEN(" Ltd")),0)</f>
        <v/>
      </c>
    </row>
    <row r="1753" ht="15" customHeight="1" s="146">
      <c r="Y1753" s="122">
        <f>MAX(0,IFERROR((LEN($T1754)-LEN(SUBSTITUTE($T1754,"Quality of Works / Criteria of Failings:","")))/LEN("Quality of Works / Criteria of Failings:"),0)-IFERROR((LEN($T1754)-LEN(SUBSTITUTE($T1754,"Quality of Works / Criteria of Failings:Compliant","")))/LEN("Quality of Works / Criteria of Failings:Compliant"),0))</f>
        <v/>
      </c>
      <c r="Z1753" s="122">
        <f>IFERROR($Y1754/MAX(1,(LEN($I1754)-LEN(SUBSTITUTE($I1754," Ltd","")))/LEN(" Ltd")),0)</f>
        <v/>
      </c>
      <c r="AA1753" s="122">
        <f>IFERROR(IFERROR((LEN($T1754)-LEN(SUBSTITUTE($T1754,"Quality of Works / Criteria of Failings:","")))/LEN("Quality of Works / Criteria of Failings:"),0)/MAX(1,(LEN($I1754)-LEN(SUBSTITUTE($I1754," Ltd","")))/LEN(" Ltd")),0)</f>
        <v/>
      </c>
      <c r="AB1753" s="122">
        <f>IFERROR(IFERROR((LEN($T1754)-LEN(SUBSTITUTE($T1754,"Quality of Works / Criteria of Failings:Compliant","")))/LEN("Quality of Works / Criteria of Failings:Compliant"),0)/MAX(1,(LEN($I1754)-LEN(SUBSTITUTE($I1754," Ltd","")))/LEN(" Ltd")),0)</f>
        <v/>
      </c>
    </row>
    <row r="1754" ht="15" customHeight="1" s="146">
      <c r="Y1754" s="122">
        <f>MAX(0,IFERROR((LEN($T1755)-LEN(SUBSTITUTE($T1755,"Quality of Works / Criteria of Failings:","")))/LEN("Quality of Works / Criteria of Failings:"),0)-IFERROR((LEN($T1755)-LEN(SUBSTITUTE($T1755,"Quality of Works / Criteria of Failings:Compliant","")))/LEN("Quality of Works / Criteria of Failings:Compliant"),0))</f>
        <v/>
      </c>
      <c r="Z1754" s="122">
        <f>IFERROR($Y1755/MAX(1,(LEN($I1755)-LEN(SUBSTITUTE($I1755," Ltd","")))/LEN(" Ltd")),0)</f>
        <v/>
      </c>
      <c r="AA1754" s="122">
        <f>IFERROR(IFERROR((LEN($T1755)-LEN(SUBSTITUTE($T1755,"Quality of Works / Criteria of Failings:","")))/LEN("Quality of Works / Criteria of Failings:"),0)/MAX(1,(LEN($I1755)-LEN(SUBSTITUTE($I1755," Ltd","")))/LEN(" Ltd")),0)</f>
        <v/>
      </c>
      <c r="AB1754" s="122">
        <f>IFERROR(IFERROR((LEN($T1755)-LEN(SUBSTITUTE($T1755,"Quality of Works / Criteria of Failings:Compliant","")))/LEN("Quality of Works / Criteria of Failings:Compliant"),0)/MAX(1,(LEN($I1755)-LEN(SUBSTITUTE($I1755," Ltd","")))/LEN(" Ltd")),0)</f>
        <v/>
      </c>
    </row>
    <row r="1755" ht="15" customHeight="1" s="146">
      <c r="Y1755" s="122">
        <f>MAX(0,IFERROR((LEN($T1756)-LEN(SUBSTITUTE($T1756,"Quality of Works / Criteria of Failings:","")))/LEN("Quality of Works / Criteria of Failings:"),0)-IFERROR((LEN($T1756)-LEN(SUBSTITUTE($T1756,"Quality of Works / Criteria of Failings:Compliant","")))/LEN("Quality of Works / Criteria of Failings:Compliant"),0))</f>
        <v/>
      </c>
      <c r="Z1755" s="122">
        <f>IFERROR($Y1756/MAX(1,(LEN($I1756)-LEN(SUBSTITUTE($I1756," Ltd","")))/LEN(" Ltd")),0)</f>
        <v/>
      </c>
      <c r="AA1755" s="122">
        <f>IFERROR(IFERROR((LEN($T1756)-LEN(SUBSTITUTE($T1756,"Quality of Works / Criteria of Failings:","")))/LEN("Quality of Works / Criteria of Failings:"),0)/MAX(1,(LEN($I1756)-LEN(SUBSTITUTE($I1756," Ltd","")))/LEN(" Ltd")),0)</f>
        <v/>
      </c>
      <c r="AB1755" s="122">
        <f>IFERROR(IFERROR((LEN($T1756)-LEN(SUBSTITUTE($T1756,"Quality of Works / Criteria of Failings:Compliant","")))/LEN("Quality of Works / Criteria of Failings:Compliant"),0)/MAX(1,(LEN($I1756)-LEN(SUBSTITUTE($I1756," Ltd","")))/LEN(" Ltd")),0)</f>
        <v/>
      </c>
    </row>
    <row r="1756" ht="15" customHeight="1" s="146">
      <c r="Y1756" s="122">
        <f>MAX(0,IFERROR((LEN($T1757)-LEN(SUBSTITUTE($T1757,"Quality of Works / Criteria of Failings:","")))/LEN("Quality of Works / Criteria of Failings:"),0)-IFERROR((LEN($T1757)-LEN(SUBSTITUTE($T1757,"Quality of Works / Criteria of Failings:Compliant","")))/LEN("Quality of Works / Criteria of Failings:Compliant"),0))</f>
        <v/>
      </c>
      <c r="Z1756" s="122">
        <f>IFERROR($Y1757/MAX(1,(LEN($I1757)-LEN(SUBSTITUTE($I1757," Ltd","")))/LEN(" Ltd")),0)</f>
        <v/>
      </c>
      <c r="AA1756" s="122">
        <f>IFERROR(IFERROR((LEN($T1757)-LEN(SUBSTITUTE($T1757,"Quality of Works / Criteria of Failings:","")))/LEN("Quality of Works / Criteria of Failings:"),0)/MAX(1,(LEN($I1757)-LEN(SUBSTITUTE($I1757," Ltd","")))/LEN(" Ltd")),0)</f>
        <v/>
      </c>
      <c r="AB1756" s="122">
        <f>IFERROR(IFERROR((LEN($T1757)-LEN(SUBSTITUTE($T1757,"Quality of Works / Criteria of Failings:Compliant","")))/LEN("Quality of Works / Criteria of Failings:Compliant"),0)/MAX(1,(LEN($I1757)-LEN(SUBSTITUTE($I1757," Ltd","")))/LEN(" Ltd")),0)</f>
        <v/>
      </c>
    </row>
    <row r="1757" ht="15" customHeight="1" s="146">
      <c r="Y1757" s="122">
        <f>MAX(0,IFERROR((LEN($T1758)-LEN(SUBSTITUTE($T1758,"Quality of Works / Criteria of Failings:","")))/LEN("Quality of Works / Criteria of Failings:"),0)-IFERROR((LEN($T1758)-LEN(SUBSTITUTE($T1758,"Quality of Works / Criteria of Failings:Compliant","")))/LEN("Quality of Works / Criteria of Failings:Compliant"),0))</f>
        <v/>
      </c>
      <c r="Z1757" s="122">
        <f>IFERROR($Y1758/MAX(1,(LEN($I1758)-LEN(SUBSTITUTE($I1758," Ltd","")))/LEN(" Ltd")),0)</f>
        <v/>
      </c>
      <c r="AA1757" s="122">
        <f>IFERROR(IFERROR((LEN($T1758)-LEN(SUBSTITUTE($T1758,"Quality of Works / Criteria of Failings:","")))/LEN("Quality of Works / Criteria of Failings:"),0)/MAX(1,(LEN($I1758)-LEN(SUBSTITUTE($I1758," Ltd","")))/LEN(" Ltd")),0)</f>
        <v/>
      </c>
      <c r="AB1757" s="122">
        <f>IFERROR(IFERROR((LEN($T1758)-LEN(SUBSTITUTE($T1758,"Quality of Works / Criteria of Failings:Compliant","")))/LEN("Quality of Works / Criteria of Failings:Compliant"),0)/MAX(1,(LEN($I1758)-LEN(SUBSTITUTE($I1758," Ltd","")))/LEN(" Ltd")),0)</f>
        <v/>
      </c>
    </row>
    <row r="1758" ht="15" customHeight="1" s="146">
      <c r="Y1758" s="122">
        <f>MAX(0,IFERROR((LEN($T1759)-LEN(SUBSTITUTE($T1759,"Quality of Works / Criteria of Failings:","")))/LEN("Quality of Works / Criteria of Failings:"),0)-IFERROR((LEN($T1759)-LEN(SUBSTITUTE($T1759,"Quality of Works / Criteria of Failings:Compliant","")))/LEN("Quality of Works / Criteria of Failings:Compliant"),0))</f>
        <v/>
      </c>
      <c r="Z1758" s="122">
        <f>IFERROR($Y1759/MAX(1,(LEN($I1759)-LEN(SUBSTITUTE($I1759," Ltd","")))/LEN(" Ltd")),0)</f>
        <v/>
      </c>
      <c r="AA1758" s="122">
        <f>IFERROR(IFERROR((LEN($T1759)-LEN(SUBSTITUTE($T1759,"Quality of Works / Criteria of Failings:","")))/LEN("Quality of Works / Criteria of Failings:"),0)/MAX(1,(LEN($I1759)-LEN(SUBSTITUTE($I1759," Ltd","")))/LEN(" Ltd")),0)</f>
        <v/>
      </c>
      <c r="AB1758" s="122">
        <f>IFERROR(IFERROR((LEN($T1759)-LEN(SUBSTITUTE($T1759,"Quality of Works / Criteria of Failings:Compliant","")))/LEN("Quality of Works / Criteria of Failings:Compliant"),0)/MAX(1,(LEN($I1759)-LEN(SUBSTITUTE($I1759," Ltd","")))/LEN(" Ltd")),0)</f>
        <v/>
      </c>
    </row>
    <row r="1759" ht="15" customHeight="1" s="146">
      <c r="Y1759" s="122">
        <f>MAX(0,IFERROR((LEN($T1760)-LEN(SUBSTITUTE($T1760,"Quality of Works / Criteria of Failings:","")))/LEN("Quality of Works / Criteria of Failings:"),0)-IFERROR((LEN($T1760)-LEN(SUBSTITUTE($T1760,"Quality of Works / Criteria of Failings:Compliant","")))/LEN("Quality of Works / Criteria of Failings:Compliant"),0))</f>
        <v/>
      </c>
      <c r="Z1759" s="122">
        <f>IFERROR($Y1760/MAX(1,(LEN($I1760)-LEN(SUBSTITUTE($I1760," Ltd","")))/LEN(" Ltd")),0)</f>
        <v/>
      </c>
      <c r="AA1759" s="122">
        <f>IFERROR(IFERROR((LEN($T1760)-LEN(SUBSTITUTE($T1760,"Quality of Works / Criteria of Failings:","")))/LEN("Quality of Works / Criteria of Failings:"),0)/MAX(1,(LEN($I1760)-LEN(SUBSTITUTE($I1760," Ltd","")))/LEN(" Ltd")),0)</f>
        <v/>
      </c>
      <c r="AB1759" s="122">
        <f>IFERROR(IFERROR((LEN($T1760)-LEN(SUBSTITUTE($T1760,"Quality of Works / Criteria of Failings:Compliant","")))/LEN("Quality of Works / Criteria of Failings:Compliant"),0)/MAX(1,(LEN($I1760)-LEN(SUBSTITUTE($I1760," Ltd","")))/LEN(" Ltd")),0)</f>
        <v/>
      </c>
    </row>
    <row r="1760" ht="15" customHeight="1" s="146">
      <c r="Y1760" s="122">
        <f>MAX(0,IFERROR((LEN($T1761)-LEN(SUBSTITUTE($T1761,"Quality of Works / Criteria of Failings:","")))/LEN("Quality of Works / Criteria of Failings:"),0)-IFERROR((LEN($T1761)-LEN(SUBSTITUTE($T1761,"Quality of Works / Criteria of Failings:Compliant","")))/LEN("Quality of Works / Criteria of Failings:Compliant"),0))</f>
        <v/>
      </c>
      <c r="Z1760" s="122">
        <f>IFERROR($Y1761/MAX(1,(LEN($I1761)-LEN(SUBSTITUTE($I1761," Ltd","")))/LEN(" Ltd")),0)</f>
        <v/>
      </c>
      <c r="AA1760" s="122">
        <f>IFERROR(IFERROR((LEN($T1761)-LEN(SUBSTITUTE($T1761,"Quality of Works / Criteria of Failings:","")))/LEN("Quality of Works / Criteria of Failings:"),0)/MAX(1,(LEN($I1761)-LEN(SUBSTITUTE($I1761," Ltd","")))/LEN(" Ltd")),0)</f>
        <v/>
      </c>
      <c r="AB1760" s="122">
        <f>IFERROR(IFERROR((LEN($T1761)-LEN(SUBSTITUTE($T1761,"Quality of Works / Criteria of Failings:Compliant","")))/LEN("Quality of Works / Criteria of Failings:Compliant"),0)/MAX(1,(LEN($I1761)-LEN(SUBSTITUTE($I1761," Ltd","")))/LEN(" Ltd")),0)</f>
        <v/>
      </c>
    </row>
    <row r="1761" ht="15" customHeight="1" s="146">
      <c r="Y1761" s="122">
        <f>MAX(0,IFERROR((LEN($T1762)-LEN(SUBSTITUTE($T1762,"Quality of Works / Criteria of Failings:","")))/LEN("Quality of Works / Criteria of Failings:"),0)-IFERROR((LEN($T1762)-LEN(SUBSTITUTE($T1762,"Quality of Works / Criteria of Failings:Compliant","")))/LEN("Quality of Works / Criteria of Failings:Compliant"),0))</f>
        <v/>
      </c>
      <c r="Z1761" s="122">
        <f>IFERROR($Y1762/MAX(1,(LEN($I1762)-LEN(SUBSTITUTE($I1762," Ltd","")))/LEN(" Ltd")),0)</f>
        <v/>
      </c>
      <c r="AA1761" s="122">
        <f>IFERROR(IFERROR((LEN($T1762)-LEN(SUBSTITUTE($T1762,"Quality of Works / Criteria of Failings:","")))/LEN("Quality of Works / Criteria of Failings:"),0)/MAX(1,(LEN($I1762)-LEN(SUBSTITUTE($I1762," Ltd","")))/LEN(" Ltd")),0)</f>
        <v/>
      </c>
      <c r="AB1761" s="122">
        <f>IFERROR(IFERROR((LEN($T1762)-LEN(SUBSTITUTE($T1762,"Quality of Works / Criteria of Failings:Compliant","")))/LEN("Quality of Works / Criteria of Failings:Compliant"),0)/MAX(1,(LEN($I1762)-LEN(SUBSTITUTE($I1762," Ltd","")))/LEN(" Ltd")),0)</f>
        <v/>
      </c>
    </row>
    <row r="1762" ht="15" customHeight="1" s="146">
      <c r="Y1762" s="122">
        <f>MAX(0,IFERROR((LEN($T1763)-LEN(SUBSTITUTE($T1763,"Quality of Works / Criteria of Failings:","")))/LEN("Quality of Works / Criteria of Failings:"),0)-IFERROR((LEN($T1763)-LEN(SUBSTITUTE($T1763,"Quality of Works / Criteria of Failings:Compliant","")))/LEN("Quality of Works / Criteria of Failings:Compliant"),0))</f>
        <v/>
      </c>
      <c r="Z1762" s="122">
        <f>IFERROR($Y1763/MAX(1,(LEN($I1763)-LEN(SUBSTITUTE($I1763," Ltd","")))/LEN(" Ltd")),0)</f>
        <v/>
      </c>
      <c r="AA1762" s="122">
        <f>IFERROR(IFERROR((LEN($T1763)-LEN(SUBSTITUTE($T1763,"Quality of Works / Criteria of Failings:","")))/LEN("Quality of Works / Criteria of Failings:"),0)/MAX(1,(LEN($I1763)-LEN(SUBSTITUTE($I1763," Ltd","")))/LEN(" Ltd")),0)</f>
        <v/>
      </c>
      <c r="AB1762" s="122">
        <f>IFERROR(IFERROR((LEN($T1763)-LEN(SUBSTITUTE($T1763,"Quality of Works / Criteria of Failings:Compliant","")))/LEN("Quality of Works / Criteria of Failings:Compliant"),0)/MAX(1,(LEN($I1763)-LEN(SUBSTITUTE($I1763," Ltd","")))/LEN(" Ltd")),0)</f>
        <v/>
      </c>
    </row>
    <row r="1763" ht="15" customHeight="1" s="146">
      <c r="Y1763" s="122">
        <f>MAX(0,IFERROR((LEN($T1764)-LEN(SUBSTITUTE($T1764,"Quality of Works / Criteria of Failings:","")))/LEN("Quality of Works / Criteria of Failings:"),0)-IFERROR((LEN($T1764)-LEN(SUBSTITUTE($T1764,"Quality of Works / Criteria of Failings:Compliant","")))/LEN("Quality of Works / Criteria of Failings:Compliant"),0))</f>
        <v/>
      </c>
      <c r="Z1763" s="122">
        <f>IFERROR($Y1764/MAX(1,(LEN($I1764)-LEN(SUBSTITUTE($I1764," Ltd","")))/LEN(" Ltd")),0)</f>
        <v/>
      </c>
      <c r="AA1763" s="122">
        <f>IFERROR(IFERROR((LEN($T1764)-LEN(SUBSTITUTE($T1764,"Quality of Works / Criteria of Failings:","")))/LEN("Quality of Works / Criteria of Failings:"),0)/MAX(1,(LEN($I1764)-LEN(SUBSTITUTE($I1764," Ltd","")))/LEN(" Ltd")),0)</f>
        <v/>
      </c>
      <c r="AB1763" s="122">
        <f>IFERROR(IFERROR((LEN($T1764)-LEN(SUBSTITUTE($T1764,"Quality of Works / Criteria of Failings:Compliant","")))/LEN("Quality of Works / Criteria of Failings:Compliant"),0)/MAX(1,(LEN($I1764)-LEN(SUBSTITUTE($I1764," Ltd","")))/LEN(" Ltd")),0)</f>
        <v/>
      </c>
    </row>
    <row r="1764" ht="15" customHeight="1" s="146">
      <c r="Y1764" s="122">
        <f>MAX(0,IFERROR((LEN($T1765)-LEN(SUBSTITUTE($T1765,"Quality of Works / Criteria of Failings:","")))/LEN("Quality of Works / Criteria of Failings:"),0)-IFERROR((LEN($T1765)-LEN(SUBSTITUTE($T1765,"Quality of Works / Criteria of Failings:Compliant","")))/LEN("Quality of Works / Criteria of Failings:Compliant"),0))</f>
        <v/>
      </c>
      <c r="Z1764" s="122">
        <f>IFERROR($Y1765/MAX(1,(LEN($I1765)-LEN(SUBSTITUTE($I1765," Ltd","")))/LEN(" Ltd")),0)</f>
        <v/>
      </c>
      <c r="AA1764" s="122">
        <f>IFERROR(IFERROR((LEN($T1765)-LEN(SUBSTITUTE($T1765,"Quality of Works / Criteria of Failings:","")))/LEN("Quality of Works / Criteria of Failings:"),0)/MAX(1,(LEN($I1765)-LEN(SUBSTITUTE($I1765," Ltd","")))/LEN(" Ltd")),0)</f>
        <v/>
      </c>
      <c r="AB1764" s="122">
        <f>IFERROR(IFERROR((LEN($T1765)-LEN(SUBSTITUTE($T1765,"Quality of Works / Criteria of Failings:Compliant","")))/LEN("Quality of Works / Criteria of Failings:Compliant"),0)/MAX(1,(LEN($I1765)-LEN(SUBSTITUTE($I1765," Ltd","")))/LEN(" Ltd")),0)</f>
        <v/>
      </c>
    </row>
    <row r="1765" ht="15" customHeight="1" s="146">
      <c r="Y1765" s="122">
        <f>MAX(0,IFERROR((LEN($T1766)-LEN(SUBSTITUTE($T1766,"Quality of Works / Criteria of Failings:","")))/LEN("Quality of Works / Criteria of Failings:"),0)-IFERROR((LEN($T1766)-LEN(SUBSTITUTE($T1766,"Quality of Works / Criteria of Failings:Compliant","")))/LEN("Quality of Works / Criteria of Failings:Compliant"),0))</f>
        <v/>
      </c>
      <c r="Z1765" s="122">
        <f>IFERROR($Y1766/MAX(1,(LEN($I1766)-LEN(SUBSTITUTE($I1766," Ltd","")))/LEN(" Ltd")),0)</f>
        <v/>
      </c>
      <c r="AA1765" s="122">
        <f>IFERROR(IFERROR((LEN($T1766)-LEN(SUBSTITUTE($T1766,"Quality of Works / Criteria of Failings:","")))/LEN("Quality of Works / Criteria of Failings:"),0)/MAX(1,(LEN($I1766)-LEN(SUBSTITUTE($I1766," Ltd","")))/LEN(" Ltd")),0)</f>
        <v/>
      </c>
      <c r="AB1765" s="122">
        <f>IFERROR(IFERROR((LEN($T1766)-LEN(SUBSTITUTE($T1766,"Quality of Works / Criteria of Failings:Compliant","")))/LEN("Quality of Works / Criteria of Failings:Compliant"),0)/MAX(1,(LEN($I1766)-LEN(SUBSTITUTE($I1766," Ltd","")))/LEN(" Ltd")),0)</f>
        <v/>
      </c>
    </row>
    <row r="1766" ht="15" customHeight="1" s="146">
      <c r="Y1766" s="122">
        <f>MAX(0,IFERROR((LEN($T1767)-LEN(SUBSTITUTE($T1767,"Quality of Works / Criteria of Failings:","")))/LEN("Quality of Works / Criteria of Failings:"),0)-IFERROR((LEN($T1767)-LEN(SUBSTITUTE($T1767,"Quality of Works / Criteria of Failings:Compliant","")))/LEN("Quality of Works / Criteria of Failings:Compliant"),0))</f>
        <v/>
      </c>
      <c r="Z1766" s="122">
        <f>IFERROR($Y1767/MAX(1,(LEN($I1767)-LEN(SUBSTITUTE($I1767," Ltd","")))/LEN(" Ltd")),0)</f>
        <v/>
      </c>
      <c r="AA1766" s="122">
        <f>IFERROR(IFERROR((LEN($T1767)-LEN(SUBSTITUTE($T1767,"Quality of Works / Criteria of Failings:","")))/LEN("Quality of Works / Criteria of Failings:"),0)/MAX(1,(LEN($I1767)-LEN(SUBSTITUTE($I1767," Ltd","")))/LEN(" Ltd")),0)</f>
        <v/>
      </c>
      <c r="AB1766" s="122">
        <f>IFERROR(IFERROR((LEN($T1767)-LEN(SUBSTITUTE($T1767,"Quality of Works / Criteria of Failings:Compliant","")))/LEN("Quality of Works / Criteria of Failings:Compliant"),0)/MAX(1,(LEN($I1767)-LEN(SUBSTITUTE($I1767," Ltd","")))/LEN(" Ltd")),0)</f>
        <v/>
      </c>
    </row>
    <row r="1767" ht="15" customHeight="1" s="146">
      <c r="Y1767" s="122">
        <f>MAX(0,IFERROR((LEN($T1768)-LEN(SUBSTITUTE($T1768,"Quality of Works / Criteria of Failings:","")))/LEN("Quality of Works / Criteria of Failings:"),0)-IFERROR((LEN($T1768)-LEN(SUBSTITUTE($T1768,"Quality of Works / Criteria of Failings:Compliant","")))/LEN("Quality of Works / Criteria of Failings:Compliant"),0))</f>
        <v/>
      </c>
      <c r="Z1767" s="122">
        <f>IFERROR($Y1768/MAX(1,(LEN($I1768)-LEN(SUBSTITUTE($I1768," Ltd","")))/LEN(" Ltd")),0)</f>
        <v/>
      </c>
      <c r="AA1767" s="122">
        <f>IFERROR(IFERROR((LEN($T1768)-LEN(SUBSTITUTE($T1768,"Quality of Works / Criteria of Failings:","")))/LEN("Quality of Works / Criteria of Failings:"),0)/MAX(1,(LEN($I1768)-LEN(SUBSTITUTE($I1768," Ltd","")))/LEN(" Ltd")),0)</f>
        <v/>
      </c>
      <c r="AB1767" s="122">
        <f>IFERROR(IFERROR((LEN($T1768)-LEN(SUBSTITUTE($T1768,"Quality of Works / Criteria of Failings:Compliant","")))/LEN("Quality of Works / Criteria of Failings:Compliant"),0)/MAX(1,(LEN($I1768)-LEN(SUBSTITUTE($I1768," Ltd","")))/LEN(" Ltd")),0)</f>
        <v/>
      </c>
    </row>
    <row r="1768" ht="15" customHeight="1" s="146">
      <c r="Y1768" s="122">
        <f>MAX(0,IFERROR((LEN($T1769)-LEN(SUBSTITUTE($T1769,"Quality of Works / Criteria of Failings:","")))/LEN("Quality of Works / Criteria of Failings:"),0)-IFERROR((LEN($T1769)-LEN(SUBSTITUTE($T1769,"Quality of Works / Criteria of Failings:Compliant","")))/LEN("Quality of Works / Criteria of Failings:Compliant"),0))</f>
        <v/>
      </c>
      <c r="Z1768" s="122">
        <f>IFERROR($Y1769/MAX(1,(LEN($I1769)-LEN(SUBSTITUTE($I1769," Ltd","")))/LEN(" Ltd")),0)</f>
        <v/>
      </c>
      <c r="AA1768" s="122">
        <f>IFERROR(IFERROR((LEN($T1769)-LEN(SUBSTITUTE($T1769,"Quality of Works / Criteria of Failings:","")))/LEN("Quality of Works / Criteria of Failings:"),0)/MAX(1,(LEN($I1769)-LEN(SUBSTITUTE($I1769," Ltd","")))/LEN(" Ltd")),0)</f>
        <v/>
      </c>
      <c r="AB1768" s="122">
        <f>IFERROR(IFERROR((LEN($T1769)-LEN(SUBSTITUTE($T1769,"Quality of Works / Criteria of Failings:Compliant","")))/LEN("Quality of Works / Criteria of Failings:Compliant"),0)/MAX(1,(LEN($I1769)-LEN(SUBSTITUTE($I1769," Ltd","")))/LEN(" Ltd")),0)</f>
        <v/>
      </c>
    </row>
    <row r="1769" ht="15" customHeight="1" s="146">
      <c r="Y1769" s="122">
        <f>MAX(0,IFERROR((LEN($T1770)-LEN(SUBSTITUTE($T1770,"Quality of Works / Criteria of Failings:","")))/LEN("Quality of Works / Criteria of Failings:"),0)-IFERROR((LEN($T1770)-LEN(SUBSTITUTE($T1770,"Quality of Works / Criteria of Failings:Compliant","")))/LEN("Quality of Works / Criteria of Failings:Compliant"),0))</f>
        <v/>
      </c>
      <c r="Z1769" s="122">
        <f>IFERROR($Y1770/MAX(1,(LEN($I1770)-LEN(SUBSTITUTE($I1770," Ltd","")))/LEN(" Ltd")),0)</f>
        <v/>
      </c>
      <c r="AA1769" s="122">
        <f>IFERROR(IFERROR((LEN($T1770)-LEN(SUBSTITUTE($T1770,"Quality of Works / Criteria of Failings:","")))/LEN("Quality of Works / Criteria of Failings:"),0)/MAX(1,(LEN($I1770)-LEN(SUBSTITUTE($I1770," Ltd","")))/LEN(" Ltd")),0)</f>
        <v/>
      </c>
      <c r="AB1769" s="122">
        <f>IFERROR(IFERROR((LEN($T1770)-LEN(SUBSTITUTE($T1770,"Quality of Works / Criteria of Failings:Compliant","")))/LEN("Quality of Works / Criteria of Failings:Compliant"),0)/MAX(1,(LEN($I1770)-LEN(SUBSTITUTE($I1770," Ltd","")))/LEN(" Ltd")),0)</f>
        <v/>
      </c>
    </row>
    <row r="1770" ht="15" customHeight="1" s="146">
      <c r="Y1770" s="122">
        <f>MAX(0,IFERROR((LEN($T1771)-LEN(SUBSTITUTE($T1771,"Quality of Works / Criteria of Failings:","")))/LEN("Quality of Works / Criteria of Failings:"),0)-IFERROR((LEN($T1771)-LEN(SUBSTITUTE($T1771,"Quality of Works / Criteria of Failings:Compliant","")))/LEN("Quality of Works / Criteria of Failings:Compliant"),0))</f>
        <v/>
      </c>
      <c r="Z1770" s="122">
        <f>IFERROR($Y1771/MAX(1,(LEN($I1771)-LEN(SUBSTITUTE($I1771," Ltd","")))/LEN(" Ltd")),0)</f>
        <v/>
      </c>
      <c r="AA1770" s="122">
        <f>IFERROR(IFERROR((LEN($T1771)-LEN(SUBSTITUTE($T1771,"Quality of Works / Criteria of Failings:","")))/LEN("Quality of Works / Criteria of Failings:"),0)/MAX(1,(LEN($I1771)-LEN(SUBSTITUTE($I1771," Ltd","")))/LEN(" Ltd")),0)</f>
        <v/>
      </c>
      <c r="AB1770" s="122">
        <f>IFERROR(IFERROR((LEN($T1771)-LEN(SUBSTITUTE($T1771,"Quality of Works / Criteria of Failings:Compliant","")))/LEN("Quality of Works / Criteria of Failings:Compliant"),0)/MAX(1,(LEN($I1771)-LEN(SUBSTITUTE($I1771," Ltd","")))/LEN(" Ltd")),0)</f>
        <v/>
      </c>
    </row>
    <row r="1771" ht="15" customHeight="1" s="146">
      <c r="Y1771" s="122">
        <f>MAX(0,IFERROR((LEN($T1772)-LEN(SUBSTITUTE($T1772,"Quality of Works / Criteria of Failings:","")))/LEN("Quality of Works / Criteria of Failings:"),0)-IFERROR((LEN($T1772)-LEN(SUBSTITUTE($T1772,"Quality of Works / Criteria of Failings:Compliant","")))/LEN("Quality of Works / Criteria of Failings:Compliant"),0))</f>
        <v/>
      </c>
      <c r="Z1771" s="122">
        <f>IFERROR($Y1772/MAX(1,(LEN($I1772)-LEN(SUBSTITUTE($I1772," Ltd","")))/LEN(" Ltd")),0)</f>
        <v/>
      </c>
      <c r="AA1771" s="122">
        <f>IFERROR(IFERROR((LEN($T1772)-LEN(SUBSTITUTE($T1772,"Quality of Works / Criteria of Failings:","")))/LEN("Quality of Works / Criteria of Failings:"),0)/MAX(1,(LEN($I1772)-LEN(SUBSTITUTE($I1772," Ltd","")))/LEN(" Ltd")),0)</f>
        <v/>
      </c>
      <c r="AB1771" s="122">
        <f>IFERROR(IFERROR((LEN($T1772)-LEN(SUBSTITUTE($T1772,"Quality of Works / Criteria of Failings:Compliant","")))/LEN("Quality of Works / Criteria of Failings:Compliant"),0)/MAX(1,(LEN($I1772)-LEN(SUBSTITUTE($I1772," Ltd","")))/LEN(" Ltd")),0)</f>
        <v/>
      </c>
    </row>
    <row r="1772" ht="15" customHeight="1" s="146">
      <c r="Y1772" s="122">
        <f>MAX(0,IFERROR((LEN($T1773)-LEN(SUBSTITUTE($T1773,"Quality of Works / Criteria of Failings:","")))/LEN("Quality of Works / Criteria of Failings:"),0)-IFERROR((LEN($T1773)-LEN(SUBSTITUTE($T1773,"Quality of Works / Criteria of Failings:Compliant","")))/LEN("Quality of Works / Criteria of Failings:Compliant"),0))</f>
        <v/>
      </c>
      <c r="Z1772" s="122">
        <f>IFERROR($Y1773/MAX(1,(LEN($I1773)-LEN(SUBSTITUTE($I1773," Ltd","")))/LEN(" Ltd")),0)</f>
        <v/>
      </c>
      <c r="AA1772" s="122">
        <f>IFERROR(IFERROR((LEN($T1773)-LEN(SUBSTITUTE($T1773,"Quality of Works / Criteria of Failings:","")))/LEN("Quality of Works / Criteria of Failings:"),0)/MAX(1,(LEN($I1773)-LEN(SUBSTITUTE($I1773," Ltd","")))/LEN(" Ltd")),0)</f>
        <v/>
      </c>
      <c r="AB1772" s="122">
        <f>IFERROR(IFERROR((LEN($T1773)-LEN(SUBSTITUTE($T1773,"Quality of Works / Criteria of Failings:Compliant","")))/LEN("Quality of Works / Criteria of Failings:Compliant"),0)/MAX(1,(LEN($I1773)-LEN(SUBSTITUTE($I1773," Ltd","")))/LEN(" Ltd")),0)</f>
        <v/>
      </c>
    </row>
    <row r="1773" ht="15" customHeight="1" s="146">
      <c r="Y1773" s="122">
        <f>MAX(0,IFERROR((LEN($T1774)-LEN(SUBSTITUTE($T1774,"Quality of Works / Criteria of Failings:","")))/LEN("Quality of Works / Criteria of Failings:"),0)-IFERROR((LEN($T1774)-LEN(SUBSTITUTE($T1774,"Quality of Works / Criteria of Failings:Compliant","")))/LEN("Quality of Works / Criteria of Failings:Compliant"),0))</f>
        <v/>
      </c>
      <c r="Z1773" s="122">
        <f>IFERROR($Y1774/MAX(1,(LEN($I1774)-LEN(SUBSTITUTE($I1774," Ltd","")))/LEN(" Ltd")),0)</f>
        <v/>
      </c>
      <c r="AA1773" s="122">
        <f>IFERROR(IFERROR((LEN($T1774)-LEN(SUBSTITUTE($T1774,"Quality of Works / Criteria of Failings:","")))/LEN("Quality of Works / Criteria of Failings:"),0)/MAX(1,(LEN($I1774)-LEN(SUBSTITUTE($I1774," Ltd","")))/LEN(" Ltd")),0)</f>
        <v/>
      </c>
      <c r="AB1773" s="122">
        <f>IFERROR(IFERROR((LEN($T1774)-LEN(SUBSTITUTE($T1774,"Quality of Works / Criteria of Failings:Compliant","")))/LEN("Quality of Works / Criteria of Failings:Compliant"),0)/MAX(1,(LEN($I1774)-LEN(SUBSTITUTE($I1774," Ltd","")))/LEN(" Ltd")),0)</f>
        <v/>
      </c>
    </row>
    <row r="1774" ht="15" customHeight="1" s="146">
      <c r="Y1774" s="122">
        <f>MAX(0,IFERROR((LEN($T1775)-LEN(SUBSTITUTE($T1775,"Quality of Works / Criteria of Failings:","")))/LEN("Quality of Works / Criteria of Failings:"),0)-IFERROR((LEN($T1775)-LEN(SUBSTITUTE($T1775,"Quality of Works / Criteria of Failings:Compliant","")))/LEN("Quality of Works / Criteria of Failings:Compliant"),0))</f>
        <v/>
      </c>
      <c r="Z1774" s="122">
        <f>IFERROR($Y1775/MAX(1,(LEN($I1775)-LEN(SUBSTITUTE($I1775," Ltd","")))/LEN(" Ltd")),0)</f>
        <v/>
      </c>
      <c r="AA1774" s="122">
        <f>IFERROR(IFERROR((LEN($T1775)-LEN(SUBSTITUTE($T1775,"Quality of Works / Criteria of Failings:","")))/LEN("Quality of Works / Criteria of Failings:"),0)/MAX(1,(LEN($I1775)-LEN(SUBSTITUTE($I1775," Ltd","")))/LEN(" Ltd")),0)</f>
        <v/>
      </c>
      <c r="AB1774" s="122">
        <f>IFERROR(IFERROR((LEN($T1775)-LEN(SUBSTITUTE($T1775,"Quality of Works / Criteria of Failings:Compliant","")))/LEN("Quality of Works / Criteria of Failings:Compliant"),0)/MAX(1,(LEN($I1775)-LEN(SUBSTITUTE($I1775," Ltd","")))/LEN(" Ltd")),0)</f>
        <v/>
      </c>
    </row>
    <row r="1775" ht="15" customHeight="1" s="146">
      <c r="Y1775" s="122">
        <f>MAX(0,IFERROR((LEN($T1776)-LEN(SUBSTITUTE($T1776,"Quality of Works / Criteria of Failings:","")))/LEN("Quality of Works / Criteria of Failings:"),0)-IFERROR((LEN($T1776)-LEN(SUBSTITUTE($T1776,"Quality of Works / Criteria of Failings:Compliant","")))/LEN("Quality of Works / Criteria of Failings:Compliant"),0))</f>
        <v/>
      </c>
      <c r="Z1775" s="122">
        <f>IFERROR($Y1776/MAX(1,(LEN($I1776)-LEN(SUBSTITUTE($I1776," Ltd","")))/LEN(" Ltd")),0)</f>
        <v/>
      </c>
      <c r="AA1775" s="122">
        <f>IFERROR(IFERROR((LEN($T1776)-LEN(SUBSTITUTE($T1776,"Quality of Works / Criteria of Failings:","")))/LEN("Quality of Works / Criteria of Failings:"),0)/MAX(1,(LEN($I1776)-LEN(SUBSTITUTE($I1776," Ltd","")))/LEN(" Ltd")),0)</f>
        <v/>
      </c>
      <c r="AB1775" s="122">
        <f>IFERROR(IFERROR((LEN($T1776)-LEN(SUBSTITUTE($T1776,"Quality of Works / Criteria of Failings:Compliant","")))/LEN("Quality of Works / Criteria of Failings:Compliant"),0)/MAX(1,(LEN($I1776)-LEN(SUBSTITUTE($I1776," Ltd","")))/LEN(" Ltd")),0)</f>
        <v/>
      </c>
    </row>
    <row r="1776" ht="15" customHeight="1" s="146">
      <c r="Y1776" s="122">
        <f>MAX(0,IFERROR((LEN($T1777)-LEN(SUBSTITUTE($T1777,"Quality of Works / Criteria of Failings:","")))/LEN("Quality of Works / Criteria of Failings:"),0)-IFERROR((LEN($T1777)-LEN(SUBSTITUTE($T1777,"Quality of Works / Criteria of Failings:Compliant","")))/LEN("Quality of Works / Criteria of Failings:Compliant"),0))</f>
        <v/>
      </c>
      <c r="Z1776" s="122">
        <f>IFERROR($Y1777/MAX(1,(LEN($I1777)-LEN(SUBSTITUTE($I1777," Ltd","")))/LEN(" Ltd")),0)</f>
        <v/>
      </c>
      <c r="AA1776" s="122">
        <f>IFERROR(IFERROR((LEN($T1777)-LEN(SUBSTITUTE($T1777,"Quality of Works / Criteria of Failings:","")))/LEN("Quality of Works / Criteria of Failings:"),0)/MAX(1,(LEN($I1777)-LEN(SUBSTITUTE($I1777," Ltd","")))/LEN(" Ltd")),0)</f>
        <v/>
      </c>
      <c r="AB1776" s="122">
        <f>IFERROR(IFERROR((LEN($T1777)-LEN(SUBSTITUTE($T1777,"Quality of Works / Criteria of Failings:Compliant","")))/LEN("Quality of Works / Criteria of Failings:Compliant"),0)/MAX(1,(LEN($I1777)-LEN(SUBSTITUTE($I1777," Ltd","")))/LEN(" Ltd")),0)</f>
        <v/>
      </c>
    </row>
    <row r="1777" ht="15" customHeight="1" s="146">
      <c r="Y1777" s="122">
        <f>MAX(0,IFERROR((LEN($T1778)-LEN(SUBSTITUTE($T1778,"Quality of Works / Criteria of Failings:","")))/LEN("Quality of Works / Criteria of Failings:"),0)-IFERROR((LEN($T1778)-LEN(SUBSTITUTE($T1778,"Quality of Works / Criteria of Failings:Compliant","")))/LEN("Quality of Works / Criteria of Failings:Compliant"),0))</f>
        <v/>
      </c>
      <c r="Z1777" s="122">
        <f>IFERROR($Y1778/MAX(1,(LEN($I1778)-LEN(SUBSTITUTE($I1778," Ltd","")))/LEN(" Ltd")),0)</f>
        <v/>
      </c>
      <c r="AA1777" s="122">
        <f>IFERROR(IFERROR((LEN($T1778)-LEN(SUBSTITUTE($T1778,"Quality of Works / Criteria of Failings:","")))/LEN("Quality of Works / Criteria of Failings:"),0)/MAX(1,(LEN($I1778)-LEN(SUBSTITUTE($I1778," Ltd","")))/LEN(" Ltd")),0)</f>
        <v/>
      </c>
      <c r="AB1777" s="122">
        <f>IFERROR(IFERROR((LEN($T1778)-LEN(SUBSTITUTE($T1778,"Quality of Works / Criteria of Failings:Compliant","")))/LEN("Quality of Works / Criteria of Failings:Compliant"),0)/MAX(1,(LEN($I1778)-LEN(SUBSTITUTE($I1778," Ltd","")))/LEN(" Ltd")),0)</f>
        <v/>
      </c>
    </row>
    <row r="1778" ht="15" customHeight="1" s="146">
      <c r="Y1778" s="122">
        <f>MAX(0,IFERROR((LEN($T1779)-LEN(SUBSTITUTE($T1779,"Quality of Works / Criteria of Failings:","")))/LEN("Quality of Works / Criteria of Failings:"),0)-IFERROR((LEN($T1779)-LEN(SUBSTITUTE($T1779,"Quality of Works / Criteria of Failings:Compliant","")))/LEN("Quality of Works / Criteria of Failings:Compliant"),0))</f>
        <v/>
      </c>
      <c r="Z1778" s="122">
        <f>IFERROR($Y1779/MAX(1,(LEN($I1779)-LEN(SUBSTITUTE($I1779," Ltd","")))/LEN(" Ltd")),0)</f>
        <v/>
      </c>
      <c r="AA1778" s="122">
        <f>IFERROR(IFERROR((LEN($T1779)-LEN(SUBSTITUTE($T1779,"Quality of Works / Criteria of Failings:","")))/LEN("Quality of Works / Criteria of Failings:"),0)/MAX(1,(LEN($I1779)-LEN(SUBSTITUTE($I1779," Ltd","")))/LEN(" Ltd")),0)</f>
        <v/>
      </c>
      <c r="AB1778" s="122">
        <f>IFERROR(IFERROR((LEN($T1779)-LEN(SUBSTITUTE($T1779,"Quality of Works / Criteria of Failings:Compliant","")))/LEN("Quality of Works / Criteria of Failings:Compliant"),0)/MAX(1,(LEN($I1779)-LEN(SUBSTITUTE($I1779," Ltd","")))/LEN(" Ltd")),0)</f>
        <v/>
      </c>
    </row>
    <row r="1779" ht="15" customHeight="1" s="146">
      <c r="Y1779" s="122">
        <f>MAX(0,IFERROR((LEN($T1780)-LEN(SUBSTITUTE($T1780,"Quality of Works / Criteria of Failings:","")))/LEN("Quality of Works / Criteria of Failings:"),0)-IFERROR((LEN($T1780)-LEN(SUBSTITUTE($T1780,"Quality of Works / Criteria of Failings:Compliant","")))/LEN("Quality of Works / Criteria of Failings:Compliant"),0))</f>
        <v/>
      </c>
      <c r="Z1779" s="122">
        <f>IFERROR($Y1780/MAX(1,(LEN($I1780)-LEN(SUBSTITUTE($I1780," Ltd","")))/LEN(" Ltd")),0)</f>
        <v/>
      </c>
      <c r="AA1779" s="122">
        <f>IFERROR(IFERROR((LEN($T1780)-LEN(SUBSTITUTE($T1780,"Quality of Works / Criteria of Failings:","")))/LEN("Quality of Works / Criteria of Failings:"),0)/MAX(1,(LEN($I1780)-LEN(SUBSTITUTE($I1780," Ltd","")))/LEN(" Ltd")),0)</f>
        <v/>
      </c>
      <c r="AB1779" s="122">
        <f>IFERROR(IFERROR((LEN($T1780)-LEN(SUBSTITUTE($T1780,"Quality of Works / Criteria of Failings:Compliant","")))/LEN("Quality of Works / Criteria of Failings:Compliant"),0)/MAX(1,(LEN($I1780)-LEN(SUBSTITUTE($I1780," Ltd","")))/LEN(" Ltd")),0)</f>
        <v/>
      </c>
    </row>
    <row r="1780" ht="15" customHeight="1" s="146">
      <c r="Y1780" s="122">
        <f>MAX(0,IFERROR((LEN($T1781)-LEN(SUBSTITUTE($T1781,"Quality of Works / Criteria of Failings:","")))/LEN("Quality of Works / Criteria of Failings:"),0)-IFERROR((LEN($T1781)-LEN(SUBSTITUTE($T1781,"Quality of Works / Criteria of Failings:Compliant","")))/LEN("Quality of Works / Criteria of Failings:Compliant"),0))</f>
        <v/>
      </c>
      <c r="Z1780" s="122">
        <f>IFERROR($Y1781/MAX(1,(LEN($I1781)-LEN(SUBSTITUTE($I1781," Ltd","")))/LEN(" Ltd")),0)</f>
        <v/>
      </c>
      <c r="AA1780" s="122">
        <f>IFERROR(IFERROR((LEN($T1781)-LEN(SUBSTITUTE($T1781,"Quality of Works / Criteria of Failings:","")))/LEN("Quality of Works / Criteria of Failings:"),0)/MAX(1,(LEN($I1781)-LEN(SUBSTITUTE($I1781," Ltd","")))/LEN(" Ltd")),0)</f>
        <v/>
      </c>
      <c r="AB1780" s="122">
        <f>IFERROR(IFERROR((LEN($T1781)-LEN(SUBSTITUTE($T1781,"Quality of Works / Criteria of Failings:Compliant","")))/LEN("Quality of Works / Criteria of Failings:Compliant"),0)/MAX(1,(LEN($I1781)-LEN(SUBSTITUTE($I1781," Ltd","")))/LEN(" Ltd")),0)</f>
        <v/>
      </c>
    </row>
    <row r="1781" ht="15" customHeight="1" s="146">
      <c r="Y1781" s="122">
        <f>MAX(0,IFERROR((LEN($T1782)-LEN(SUBSTITUTE($T1782,"Quality of Works / Criteria of Failings:","")))/LEN("Quality of Works / Criteria of Failings:"),0)-IFERROR((LEN($T1782)-LEN(SUBSTITUTE($T1782,"Quality of Works / Criteria of Failings:Compliant","")))/LEN("Quality of Works / Criteria of Failings:Compliant"),0))</f>
        <v/>
      </c>
      <c r="Z1781" s="122">
        <f>IFERROR($Y1782/MAX(1,(LEN($I1782)-LEN(SUBSTITUTE($I1782," Ltd","")))/LEN(" Ltd")),0)</f>
        <v/>
      </c>
      <c r="AA1781" s="122">
        <f>IFERROR(IFERROR((LEN($T1782)-LEN(SUBSTITUTE($T1782,"Quality of Works / Criteria of Failings:","")))/LEN("Quality of Works / Criteria of Failings:"),0)/MAX(1,(LEN($I1782)-LEN(SUBSTITUTE($I1782," Ltd","")))/LEN(" Ltd")),0)</f>
        <v/>
      </c>
      <c r="AB1781" s="122">
        <f>IFERROR(IFERROR((LEN($T1782)-LEN(SUBSTITUTE($T1782,"Quality of Works / Criteria of Failings:Compliant","")))/LEN("Quality of Works / Criteria of Failings:Compliant"),0)/MAX(1,(LEN($I1782)-LEN(SUBSTITUTE($I1782," Ltd","")))/LEN(" Ltd")),0)</f>
        <v/>
      </c>
    </row>
    <row r="1782" ht="15" customHeight="1" s="146">
      <c r="Y1782" s="122">
        <f>MAX(0,IFERROR((LEN($T1783)-LEN(SUBSTITUTE($T1783,"Quality of Works / Criteria of Failings:","")))/LEN("Quality of Works / Criteria of Failings:"),0)-IFERROR((LEN($T1783)-LEN(SUBSTITUTE($T1783,"Quality of Works / Criteria of Failings:Compliant","")))/LEN("Quality of Works / Criteria of Failings:Compliant"),0))</f>
        <v/>
      </c>
      <c r="Z1782" s="122">
        <f>IFERROR($Y1783/MAX(1,(LEN($I1783)-LEN(SUBSTITUTE($I1783," Ltd","")))/LEN(" Ltd")),0)</f>
        <v/>
      </c>
      <c r="AA1782" s="122">
        <f>IFERROR(IFERROR((LEN($T1783)-LEN(SUBSTITUTE($T1783,"Quality of Works / Criteria of Failings:","")))/LEN("Quality of Works / Criteria of Failings:"),0)/MAX(1,(LEN($I1783)-LEN(SUBSTITUTE($I1783," Ltd","")))/LEN(" Ltd")),0)</f>
        <v/>
      </c>
      <c r="AB1782" s="122">
        <f>IFERROR(IFERROR((LEN($T1783)-LEN(SUBSTITUTE($T1783,"Quality of Works / Criteria of Failings:Compliant","")))/LEN("Quality of Works / Criteria of Failings:Compliant"),0)/MAX(1,(LEN($I1783)-LEN(SUBSTITUTE($I1783," Ltd","")))/LEN(" Ltd")),0)</f>
        <v/>
      </c>
    </row>
    <row r="1783" ht="15" customHeight="1" s="146">
      <c r="Y1783" s="122">
        <f>MAX(0,IFERROR((LEN($T1784)-LEN(SUBSTITUTE($T1784,"Quality of Works / Criteria of Failings:","")))/LEN("Quality of Works / Criteria of Failings:"),0)-IFERROR((LEN($T1784)-LEN(SUBSTITUTE($T1784,"Quality of Works / Criteria of Failings:Compliant","")))/LEN("Quality of Works / Criteria of Failings:Compliant"),0))</f>
        <v/>
      </c>
      <c r="Z1783" s="122">
        <f>IFERROR($Y1784/MAX(1,(LEN($I1784)-LEN(SUBSTITUTE($I1784," Ltd","")))/LEN(" Ltd")),0)</f>
        <v/>
      </c>
      <c r="AA1783" s="122">
        <f>IFERROR(IFERROR((LEN($T1784)-LEN(SUBSTITUTE($T1784,"Quality of Works / Criteria of Failings:","")))/LEN("Quality of Works / Criteria of Failings:"),0)/MAX(1,(LEN($I1784)-LEN(SUBSTITUTE($I1784," Ltd","")))/LEN(" Ltd")),0)</f>
        <v/>
      </c>
      <c r="AB1783" s="122">
        <f>IFERROR(IFERROR((LEN($T1784)-LEN(SUBSTITUTE($T1784,"Quality of Works / Criteria of Failings:Compliant","")))/LEN("Quality of Works / Criteria of Failings:Compliant"),0)/MAX(1,(LEN($I1784)-LEN(SUBSTITUTE($I1784," Ltd","")))/LEN(" Ltd")),0)</f>
        <v/>
      </c>
    </row>
    <row r="1784" ht="15" customHeight="1" s="146">
      <c r="Y1784" s="122">
        <f>MAX(0,IFERROR((LEN($T1785)-LEN(SUBSTITUTE($T1785,"Quality of Works / Criteria of Failings:","")))/LEN("Quality of Works / Criteria of Failings:"),0)-IFERROR((LEN($T1785)-LEN(SUBSTITUTE($T1785,"Quality of Works / Criteria of Failings:Compliant","")))/LEN("Quality of Works / Criteria of Failings:Compliant"),0))</f>
        <v/>
      </c>
      <c r="Z1784" s="122">
        <f>IFERROR($Y1785/MAX(1,(LEN($I1785)-LEN(SUBSTITUTE($I1785," Ltd","")))/LEN(" Ltd")),0)</f>
        <v/>
      </c>
      <c r="AA1784" s="122">
        <f>IFERROR(IFERROR((LEN($T1785)-LEN(SUBSTITUTE($T1785,"Quality of Works / Criteria of Failings:","")))/LEN("Quality of Works / Criteria of Failings:"),0)/MAX(1,(LEN($I1785)-LEN(SUBSTITUTE($I1785," Ltd","")))/LEN(" Ltd")),0)</f>
        <v/>
      </c>
      <c r="AB1784" s="122">
        <f>IFERROR(IFERROR((LEN($T1785)-LEN(SUBSTITUTE($T1785,"Quality of Works / Criteria of Failings:Compliant","")))/LEN("Quality of Works / Criteria of Failings:Compliant"),0)/MAX(1,(LEN($I1785)-LEN(SUBSTITUTE($I1785," Ltd","")))/LEN(" Ltd")),0)</f>
        <v/>
      </c>
    </row>
    <row r="1785" ht="15" customHeight="1" s="146">
      <c r="Y1785" s="122">
        <f>MAX(0,IFERROR((LEN($T1786)-LEN(SUBSTITUTE($T1786,"Quality of Works / Criteria of Failings:","")))/LEN("Quality of Works / Criteria of Failings:"),0)-IFERROR((LEN($T1786)-LEN(SUBSTITUTE($T1786,"Quality of Works / Criteria of Failings:Compliant","")))/LEN("Quality of Works / Criteria of Failings:Compliant"),0))</f>
        <v/>
      </c>
      <c r="Z1785" s="122">
        <f>IFERROR($Y1786/MAX(1,(LEN($I1786)-LEN(SUBSTITUTE($I1786," Ltd","")))/LEN(" Ltd")),0)</f>
        <v/>
      </c>
      <c r="AA1785" s="122">
        <f>IFERROR(IFERROR((LEN($T1786)-LEN(SUBSTITUTE($T1786,"Quality of Works / Criteria of Failings:","")))/LEN("Quality of Works / Criteria of Failings:"),0)/MAX(1,(LEN($I1786)-LEN(SUBSTITUTE($I1786," Ltd","")))/LEN(" Ltd")),0)</f>
        <v/>
      </c>
      <c r="AB1785" s="122">
        <f>IFERROR(IFERROR((LEN($T1786)-LEN(SUBSTITUTE($T1786,"Quality of Works / Criteria of Failings:Compliant","")))/LEN("Quality of Works / Criteria of Failings:Compliant"),0)/MAX(1,(LEN($I1786)-LEN(SUBSTITUTE($I1786," Ltd","")))/LEN(" Ltd")),0)</f>
        <v/>
      </c>
    </row>
    <row r="1786" ht="15" customHeight="1" s="146">
      <c r="Y1786" s="122">
        <f>MAX(0,IFERROR((LEN($T1787)-LEN(SUBSTITUTE($T1787,"Quality of Works / Criteria of Failings:","")))/LEN("Quality of Works / Criteria of Failings:"),0)-IFERROR((LEN($T1787)-LEN(SUBSTITUTE($T1787,"Quality of Works / Criteria of Failings:Compliant","")))/LEN("Quality of Works / Criteria of Failings:Compliant"),0))</f>
        <v/>
      </c>
      <c r="Z1786" s="122">
        <f>IFERROR($Y1787/MAX(1,(LEN($I1787)-LEN(SUBSTITUTE($I1787," Ltd","")))/LEN(" Ltd")),0)</f>
        <v/>
      </c>
      <c r="AA1786" s="122">
        <f>IFERROR(IFERROR((LEN($T1787)-LEN(SUBSTITUTE($T1787,"Quality of Works / Criteria of Failings:","")))/LEN("Quality of Works / Criteria of Failings:"),0)/MAX(1,(LEN($I1787)-LEN(SUBSTITUTE($I1787," Ltd","")))/LEN(" Ltd")),0)</f>
        <v/>
      </c>
      <c r="AB1786" s="122">
        <f>IFERROR(IFERROR((LEN($T1787)-LEN(SUBSTITUTE($T1787,"Quality of Works / Criteria of Failings:Compliant","")))/LEN("Quality of Works / Criteria of Failings:Compliant"),0)/MAX(1,(LEN($I1787)-LEN(SUBSTITUTE($I1787," Ltd","")))/LEN(" Ltd")),0)</f>
        <v/>
      </c>
    </row>
    <row r="1787" ht="15" customHeight="1" s="146">
      <c r="Y1787" s="122">
        <f>MAX(0,IFERROR((LEN($T1788)-LEN(SUBSTITUTE($T1788,"Quality of Works / Criteria of Failings:","")))/LEN("Quality of Works / Criteria of Failings:"),0)-IFERROR((LEN($T1788)-LEN(SUBSTITUTE($T1788,"Quality of Works / Criteria of Failings:Compliant","")))/LEN("Quality of Works / Criteria of Failings:Compliant"),0))</f>
        <v/>
      </c>
      <c r="Z1787" s="122">
        <f>IFERROR($Y1788/MAX(1,(LEN($I1788)-LEN(SUBSTITUTE($I1788," Ltd","")))/LEN(" Ltd")),0)</f>
        <v/>
      </c>
      <c r="AA1787" s="122">
        <f>IFERROR(IFERROR((LEN($T1788)-LEN(SUBSTITUTE($T1788,"Quality of Works / Criteria of Failings:","")))/LEN("Quality of Works / Criteria of Failings:"),0)/MAX(1,(LEN($I1788)-LEN(SUBSTITUTE($I1788," Ltd","")))/LEN(" Ltd")),0)</f>
        <v/>
      </c>
      <c r="AB1787" s="122">
        <f>IFERROR(IFERROR((LEN($T1788)-LEN(SUBSTITUTE($T1788,"Quality of Works / Criteria of Failings:Compliant","")))/LEN("Quality of Works / Criteria of Failings:Compliant"),0)/MAX(1,(LEN($I1788)-LEN(SUBSTITUTE($I1788," Ltd","")))/LEN(" Ltd")),0)</f>
        <v/>
      </c>
    </row>
    <row r="1788" ht="15" customHeight="1" s="146">
      <c r="Y1788" s="122">
        <f>MAX(0,IFERROR((LEN($T1789)-LEN(SUBSTITUTE($T1789,"Quality of Works / Criteria of Failings:","")))/LEN("Quality of Works / Criteria of Failings:"),0)-IFERROR((LEN($T1789)-LEN(SUBSTITUTE($T1789,"Quality of Works / Criteria of Failings:Compliant","")))/LEN("Quality of Works / Criteria of Failings:Compliant"),0))</f>
        <v/>
      </c>
      <c r="Z1788" s="122">
        <f>IFERROR($Y1789/MAX(1,(LEN($I1789)-LEN(SUBSTITUTE($I1789," Ltd","")))/LEN(" Ltd")),0)</f>
        <v/>
      </c>
      <c r="AA1788" s="122">
        <f>IFERROR(IFERROR((LEN($T1789)-LEN(SUBSTITUTE($T1789,"Quality of Works / Criteria of Failings:","")))/LEN("Quality of Works / Criteria of Failings:"),0)/MAX(1,(LEN($I1789)-LEN(SUBSTITUTE($I1789," Ltd","")))/LEN(" Ltd")),0)</f>
        <v/>
      </c>
      <c r="AB1788" s="122">
        <f>IFERROR(IFERROR((LEN($T1789)-LEN(SUBSTITUTE($T1789,"Quality of Works / Criteria of Failings:Compliant","")))/LEN("Quality of Works / Criteria of Failings:Compliant"),0)/MAX(1,(LEN($I1789)-LEN(SUBSTITUTE($I1789," Ltd","")))/LEN(" Ltd")),0)</f>
        <v/>
      </c>
    </row>
    <row r="1789" ht="15" customHeight="1" s="146">
      <c r="Y1789" s="122">
        <f>MAX(0,IFERROR((LEN($T1790)-LEN(SUBSTITUTE($T1790,"Quality of Works / Criteria of Failings:","")))/LEN("Quality of Works / Criteria of Failings:"),0)-IFERROR((LEN($T1790)-LEN(SUBSTITUTE($T1790,"Quality of Works / Criteria of Failings:Compliant","")))/LEN("Quality of Works / Criteria of Failings:Compliant"),0))</f>
        <v/>
      </c>
      <c r="Z1789" s="122">
        <f>IFERROR($Y1790/MAX(1,(LEN($I1790)-LEN(SUBSTITUTE($I1790," Ltd","")))/LEN(" Ltd")),0)</f>
        <v/>
      </c>
      <c r="AA1789" s="122">
        <f>IFERROR(IFERROR((LEN($T1790)-LEN(SUBSTITUTE($T1790,"Quality of Works / Criteria of Failings:","")))/LEN("Quality of Works / Criteria of Failings:"),0)/MAX(1,(LEN($I1790)-LEN(SUBSTITUTE($I1790," Ltd","")))/LEN(" Ltd")),0)</f>
        <v/>
      </c>
      <c r="AB1789" s="122">
        <f>IFERROR(IFERROR((LEN($T1790)-LEN(SUBSTITUTE($T1790,"Quality of Works / Criteria of Failings:Compliant","")))/LEN("Quality of Works / Criteria of Failings:Compliant"),0)/MAX(1,(LEN($I1790)-LEN(SUBSTITUTE($I1790," Ltd","")))/LEN(" Ltd")),0)</f>
        <v/>
      </c>
    </row>
    <row r="1790" ht="15" customHeight="1" s="146">
      <c r="Y1790" s="122">
        <f>MAX(0,IFERROR((LEN($T1791)-LEN(SUBSTITUTE($T1791,"Quality of Works / Criteria of Failings:","")))/LEN("Quality of Works / Criteria of Failings:"),0)-IFERROR((LEN($T1791)-LEN(SUBSTITUTE($T1791,"Quality of Works / Criteria of Failings:Compliant","")))/LEN("Quality of Works / Criteria of Failings:Compliant"),0))</f>
        <v/>
      </c>
      <c r="Z1790" s="122">
        <f>IFERROR($Y1791/MAX(1,(LEN($I1791)-LEN(SUBSTITUTE($I1791," Ltd","")))/LEN(" Ltd")),0)</f>
        <v/>
      </c>
      <c r="AA1790" s="122">
        <f>IFERROR(IFERROR((LEN($T1791)-LEN(SUBSTITUTE($T1791,"Quality of Works / Criteria of Failings:","")))/LEN("Quality of Works / Criteria of Failings:"),0)/MAX(1,(LEN($I1791)-LEN(SUBSTITUTE($I1791," Ltd","")))/LEN(" Ltd")),0)</f>
        <v/>
      </c>
      <c r="AB1790" s="122">
        <f>IFERROR(IFERROR((LEN($T1791)-LEN(SUBSTITUTE($T1791,"Quality of Works / Criteria of Failings:Compliant","")))/LEN("Quality of Works / Criteria of Failings:Compliant"),0)/MAX(1,(LEN($I1791)-LEN(SUBSTITUTE($I1791," Ltd","")))/LEN(" Ltd")),0)</f>
        <v/>
      </c>
    </row>
    <row r="1791" ht="15" customHeight="1" s="146">
      <c r="Y1791" s="122">
        <f>MAX(0,IFERROR((LEN($T1792)-LEN(SUBSTITUTE($T1792,"Quality of Works / Criteria of Failings:","")))/LEN("Quality of Works / Criteria of Failings:"),0)-IFERROR((LEN($T1792)-LEN(SUBSTITUTE($T1792,"Quality of Works / Criteria of Failings:Compliant","")))/LEN("Quality of Works / Criteria of Failings:Compliant"),0))</f>
        <v/>
      </c>
      <c r="Z1791" s="122">
        <f>IFERROR($Y1792/MAX(1,(LEN($I1792)-LEN(SUBSTITUTE($I1792," Ltd","")))/LEN(" Ltd")),0)</f>
        <v/>
      </c>
      <c r="AA1791" s="122">
        <f>IFERROR(IFERROR((LEN($T1792)-LEN(SUBSTITUTE($T1792,"Quality of Works / Criteria of Failings:","")))/LEN("Quality of Works / Criteria of Failings:"),0)/MAX(1,(LEN($I1792)-LEN(SUBSTITUTE($I1792," Ltd","")))/LEN(" Ltd")),0)</f>
        <v/>
      </c>
      <c r="AB1791" s="122">
        <f>IFERROR(IFERROR((LEN($T1792)-LEN(SUBSTITUTE($T1792,"Quality of Works / Criteria of Failings:Compliant","")))/LEN("Quality of Works / Criteria of Failings:Compliant"),0)/MAX(1,(LEN($I1792)-LEN(SUBSTITUTE($I1792," Ltd","")))/LEN(" Ltd")),0)</f>
        <v/>
      </c>
    </row>
    <row r="1792" ht="15" customHeight="1" s="146">
      <c r="Y1792" s="122">
        <f>MAX(0,IFERROR((LEN($T1793)-LEN(SUBSTITUTE($T1793,"Quality of Works / Criteria of Failings:","")))/LEN("Quality of Works / Criteria of Failings:"),0)-IFERROR((LEN($T1793)-LEN(SUBSTITUTE($T1793,"Quality of Works / Criteria of Failings:Compliant","")))/LEN("Quality of Works / Criteria of Failings:Compliant"),0))</f>
        <v/>
      </c>
      <c r="Z1792" s="122">
        <f>IFERROR($Y1793/MAX(1,(LEN($I1793)-LEN(SUBSTITUTE($I1793," Ltd","")))/LEN(" Ltd")),0)</f>
        <v/>
      </c>
      <c r="AA1792" s="122">
        <f>IFERROR(IFERROR((LEN($T1793)-LEN(SUBSTITUTE($T1793,"Quality of Works / Criteria of Failings:","")))/LEN("Quality of Works / Criteria of Failings:"),0)/MAX(1,(LEN($I1793)-LEN(SUBSTITUTE($I1793," Ltd","")))/LEN(" Ltd")),0)</f>
        <v/>
      </c>
      <c r="AB1792" s="122">
        <f>IFERROR(IFERROR((LEN($T1793)-LEN(SUBSTITUTE($T1793,"Quality of Works / Criteria of Failings:Compliant","")))/LEN("Quality of Works / Criteria of Failings:Compliant"),0)/MAX(1,(LEN($I1793)-LEN(SUBSTITUTE($I1793," Ltd","")))/LEN(" Ltd")),0)</f>
        <v/>
      </c>
    </row>
    <row r="1793" ht="15" customHeight="1" s="146">
      <c r="Y1793" s="122">
        <f>MAX(0,IFERROR((LEN($T1794)-LEN(SUBSTITUTE($T1794,"Quality of Works / Criteria of Failings:","")))/LEN("Quality of Works / Criteria of Failings:"),0)-IFERROR((LEN($T1794)-LEN(SUBSTITUTE($T1794,"Quality of Works / Criteria of Failings:Compliant","")))/LEN("Quality of Works / Criteria of Failings:Compliant"),0))</f>
        <v/>
      </c>
      <c r="Z1793" s="122">
        <f>IFERROR($Y1794/MAX(1,(LEN($I1794)-LEN(SUBSTITUTE($I1794," Ltd","")))/LEN(" Ltd")),0)</f>
        <v/>
      </c>
      <c r="AA1793" s="122">
        <f>IFERROR(IFERROR((LEN($T1794)-LEN(SUBSTITUTE($T1794,"Quality of Works / Criteria of Failings:","")))/LEN("Quality of Works / Criteria of Failings:"),0)/MAX(1,(LEN($I1794)-LEN(SUBSTITUTE($I1794," Ltd","")))/LEN(" Ltd")),0)</f>
        <v/>
      </c>
      <c r="AB1793" s="122">
        <f>IFERROR(IFERROR((LEN($T1794)-LEN(SUBSTITUTE($T1794,"Quality of Works / Criteria of Failings:Compliant","")))/LEN("Quality of Works / Criteria of Failings:Compliant"),0)/MAX(1,(LEN($I1794)-LEN(SUBSTITUTE($I1794," Ltd","")))/LEN(" Ltd")),0)</f>
        <v/>
      </c>
    </row>
    <row r="1794" ht="15" customHeight="1" s="146">
      <c r="Y1794" s="122">
        <f>MAX(0,IFERROR((LEN($T1795)-LEN(SUBSTITUTE($T1795,"Quality of Works / Criteria of Failings:","")))/LEN("Quality of Works / Criteria of Failings:"),0)-IFERROR((LEN($T1795)-LEN(SUBSTITUTE($T1795,"Quality of Works / Criteria of Failings:Compliant","")))/LEN("Quality of Works / Criteria of Failings:Compliant"),0))</f>
        <v/>
      </c>
      <c r="Z1794" s="122">
        <f>IFERROR($Y1795/MAX(1,(LEN($I1795)-LEN(SUBSTITUTE($I1795," Ltd","")))/LEN(" Ltd")),0)</f>
        <v/>
      </c>
      <c r="AA1794" s="122">
        <f>IFERROR(IFERROR((LEN($T1795)-LEN(SUBSTITUTE($T1795,"Quality of Works / Criteria of Failings:","")))/LEN("Quality of Works / Criteria of Failings:"),0)/MAX(1,(LEN($I1795)-LEN(SUBSTITUTE($I1795," Ltd","")))/LEN(" Ltd")),0)</f>
        <v/>
      </c>
      <c r="AB1794" s="122">
        <f>IFERROR(IFERROR((LEN($T1795)-LEN(SUBSTITUTE($T1795,"Quality of Works / Criteria of Failings:Compliant","")))/LEN("Quality of Works / Criteria of Failings:Compliant"),0)/MAX(1,(LEN($I1795)-LEN(SUBSTITUTE($I1795," Ltd","")))/LEN(" Ltd")),0)</f>
        <v/>
      </c>
    </row>
    <row r="1795" ht="15" customHeight="1" s="146">
      <c r="Y1795" s="122">
        <f>MAX(0,IFERROR((LEN($T1796)-LEN(SUBSTITUTE($T1796,"Quality of Works / Criteria of Failings:","")))/LEN("Quality of Works / Criteria of Failings:"),0)-IFERROR((LEN($T1796)-LEN(SUBSTITUTE($T1796,"Quality of Works / Criteria of Failings:Compliant","")))/LEN("Quality of Works / Criteria of Failings:Compliant"),0))</f>
        <v/>
      </c>
      <c r="Z1795" s="122">
        <f>IFERROR($Y1796/MAX(1,(LEN($I1796)-LEN(SUBSTITUTE($I1796," Ltd","")))/LEN(" Ltd")),0)</f>
        <v/>
      </c>
      <c r="AA1795" s="122">
        <f>IFERROR(IFERROR((LEN($T1796)-LEN(SUBSTITUTE($T1796,"Quality of Works / Criteria of Failings:","")))/LEN("Quality of Works / Criteria of Failings:"),0)/MAX(1,(LEN($I1796)-LEN(SUBSTITUTE($I1796," Ltd","")))/LEN(" Ltd")),0)</f>
        <v/>
      </c>
      <c r="AB1795" s="122">
        <f>IFERROR(IFERROR((LEN($T1796)-LEN(SUBSTITUTE($T1796,"Quality of Works / Criteria of Failings:Compliant","")))/LEN("Quality of Works / Criteria of Failings:Compliant"),0)/MAX(1,(LEN($I1796)-LEN(SUBSTITUTE($I1796," Ltd","")))/LEN(" Ltd")),0)</f>
        <v/>
      </c>
    </row>
    <row r="1796" ht="15" customHeight="1" s="146">
      <c r="Y1796" s="122">
        <f>MAX(0,IFERROR((LEN($T1797)-LEN(SUBSTITUTE($T1797,"Quality of Works / Criteria of Failings:","")))/LEN("Quality of Works / Criteria of Failings:"),0)-IFERROR((LEN($T1797)-LEN(SUBSTITUTE($T1797,"Quality of Works / Criteria of Failings:Compliant","")))/LEN("Quality of Works / Criteria of Failings:Compliant"),0))</f>
        <v/>
      </c>
      <c r="Z1796" s="122">
        <f>IFERROR($Y1797/MAX(1,(LEN($I1797)-LEN(SUBSTITUTE($I1797," Ltd","")))/LEN(" Ltd")),0)</f>
        <v/>
      </c>
      <c r="AA1796" s="122">
        <f>IFERROR(IFERROR((LEN($T1797)-LEN(SUBSTITUTE($T1797,"Quality of Works / Criteria of Failings:","")))/LEN("Quality of Works / Criteria of Failings:"),0)/MAX(1,(LEN($I1797)-LEN(SUBSTITUTE($I1797," Ltd","")))/LEN(" Ltd")),0)</f>
        <v/>
      </c>
      <c r="AB1796" s="122">
        <f>IFERROR(IFERROR((LEN($T1797)-LEN(SUBSTITUTE($T1797,"Quality of Works / Criteria of Failings:Compliant","")))/LEN("Quality of Works / Criteria of Failings:Compliant"),0)/MAX(1,(LEN($I1797)-LEN(SUBSTITUTE($I1797," Ltd","")))/LEN(" Ltd")),0)</f>
        <v/>
      </c>
    </row>
    <row r="1797" ht="15" customHeight="1" s="146">
      <c r="Y1797" s="122">
        <f>MAX(0,IFERROR((LEN($T1798)-LEN(SUBSTITUTE($T1798,"Quality of Works / Criteria of Failings:","")))/LEN("Quality of Works / Criteria of Failings:"),0)-IFERROR((LEN($T1798)-LEN(SUBSTITUTE($T1798,"Quality of Works / Criteria of Failings:Compliant","")))/LEN("Quality of Works / Criteria of Failings:Compliant"),0))</f>
        <v/>
      </c>
      <c r="Z1797" s="122">
        <f>IFERROR($Y1798/MAX(1,(LEN($I1798)-LEN(SUBSTITUTE($I1798," Ltd","")))/LEN(" Ltd")),0)</f>
        <v/>
      </c>
      <c r="AA1797" s="122">
        <f>IFERROR(IFERROR((LEN($T1798)-LEN(SUBSTITUTE($T1798,"Quality of Works / Criteria of Failings:","")))/LEN("Quality of Works / Criteria of Failings:"),0)/MAX(1,(LEN($I1798)-LEN(SUBSTITUTE($I1798," Ltd","")))/LEN(" Ltd")),0)</f>
        <v/>
      </c>
      <c r="AB1797" s="122">
        <f>IFERROR(IFERROR((LEN($T1798)-LEN(SUBSTITUTE($T1798,"Quality of Works / Criteria of Failings:Compliant","")))/LEN("Quality of Works / Criteria of Failings:Compliant"),0)/MAX(1,(LEN($I1798)-LEN(SUBSTITUTE($I1798," Ltd","")))/LEN(" Ltd")),0)</f>
        <v/>
      </c>
    </row>
    <row r="1798" ht="15" customHeight="1" s="146">
      <c r="Y1798" s="122">
        <f>MAX(0,IFERROR((LEN($T1799)-LEN(SUBSTITUTE($T1799,"Quality of Works / Criteria of Failings:","")))/LEN("Quality of Works / Criteria of Failings:"),0)-IFERROR((LEN($T1799)-LEN(SUBSTITUTE($T1799,"Quality of Works / Criteria of Failings:Compliant","")))/LEN("Quality of Works / Criteria of Failings:Compliant"),0))</f>
        <v/>
      </c>
      <c r="Z1798" s="122">
        <f>IFERROR($Y1799/MAX(1,(LEN($I1799)-LEN(SUBSTITUTE($I1799," Ltd","")))/LEN(" Ltd")),0)</f>
        <v/>
      </c>
      <c r="AA1798" s="122">
        <f>IFERROR(IFERROR((LEN($T1799)-LEN(SUBSTITUTE($T1799,"Quality of Works / Criteria of Failings:","")))/LEN("Quality of Works / Criteria of Failings:"),0)/MAX(1,(LEN($I1799)-LEN(SUBSTITUTE($I1799," Ltd","")))/LEN(" Ltd")),0)</f>
        <v/>
      </c>
      <c r="AB1798" s="122">
        <f>IFERROR(IFERROR((LEN($T1799)-LEN(SUBSTITUTE($T1799,"Quality of Works / Criteria of Failings:Compliant","")))/LEN("Quality of Works / Criteria of Failings:Compliant"),0)/MAX(1,(LEN($I1799)-LEN(SUBSTITUTE($I1799," Ltd","")))/LEN(" Ltd")),0)</f>
        <v/>
      </c>
    </row>
    <row r="1799" ht="15" customHeight="1" s="146">
      <c r="Y1799" s="122">
        <f>MAX(0,IFERROR((LEN($T1800)-LEN(SUBSTITUTE($T1800,"Quality of Works / Criteria of Failings:","")))/LEN("Quality of Works / Criteria of Failings:"),0)-IFERROR((LEN($T1800)-LEN(SUBSTITUTE($T1800,"Quality of Works / Criteria of Failings:Compliant","")))/LEN("Quality of Works / Criteria of Failings:Compliant"),0))</f>
        <v/>
      </c>
      <c r="Z1799" s="122">
        <f>IFERROR($Y1800/MAX(1,(LEN($I1800)-LEN(SUBSTITUTE($I1800," Ltd","")))/LEN(" Ltd")),0)</f>
        <v/>
      </c>
      <c r="AA1799" s="122">
        <f>IFERROR(IFERROR((LEN($T1800)-LEN(SUBSTITUTE($T1800,"Quality of Works / Criteria of Failings:","")))/LEN("Quality of Works / Criteria of Failings:"),0)/MAX(1,(LEN($I1800)-LEN(SUBSTITUTE($I1800," Ltd","")))/LEN(" Ltd")),0)</f>
        <v/>
      </c>
      <c r="AB1799" s="122">
        <f>IFERROR(IFERROR((LEN($T1800)-LEN(SUBSTITUTE($T1800,"Quality of Works / Criteria of Failings:Compliant","")))/LEN("Quality of Works / Criteria of Failings:Compliant"),0)/MAX(1,(LEN($I1800)-LEN(SUBSTITUTE($I1800," Ltd","")))/LEN(" Ltd")),0)</f>
        <v/>
      </c>
    </row>
    <row r="1800" ht="15" customHeight="1" s="146">
      <c r="Y1800" s="122">
        <f>MAX(0,IFERROR((LEN($T1801)-LEN(SUBSTITUTE($T1801,"Quality of Works / Criteria of Failings:","")))/LEN("Quality of Works / Criteria of Failings:"),0)-IFERROR((LEN($T1801)-LEN(SUBSTITUTE($T1801,"Quality of Works / Criteria of Failings:Compliant","")))/LEN("Quality of Works / Criteria of Failings:Compliant"),0))</f>
        <v/>
      </c>
      <c r="Z1800" s="122">
        <f>IFERROR($Y1801/MAX(1,(LEN($I1801)-LEN(SUBSTITUTE($I1801," Ltd","")))/LEN(" Ltd")),0)</f>
        <v/>
      </c>
      <c r="AA1800" s="122">
        <f>IFERROR(IFERROR((LEN($T1801)-LEN(SUBSTITUTE($T1801,"Quality of Works / Criteria of Failings:","")))/LEN("Quality of Works / Criteria of Failings:"),0)/MAX(1,(LEN($I1801)-LEN(SUBSTITUTE($I1801," Ltd","")))/LEN(" Ltd")),0)</f>
        <v/>
      </c>
      <c r="AB1800" s="122">
        <f>IFERROR(IFERROR((LEN($T1801)-LEN(SUBSTITUTE($T1801,"Quality of Works / Criteria of Failings:Compliant","")))/LEN("Quality of Works / Criteria of Failings:Compliant"),0)/MAX(1,(LEN($I1801)-LEN(SUBSTITUTE($I1801," Ltd","")))/LEN(" Ltd")),0)</f>
        <v/>
      </c>
    </row>
    <row r="1801" ht="15" customHeight="1" s="146">
      <c r="Y1801" s="122">
        <f>MAX(0,IFERROR((LEN($T1802)-LEN(SUBSTITUTE($T1802,"Quality of Works / Criteria of Failings:","")))/LEN("Quality of Works / Criteria of Failings:"),0)-IFERROR((LEN($T1802)-LEN(SUBSTITUTE($T1802,"Quality of Works / Criteria of Failings:Compliant","")))/LEN("Quality of Works / Criteria of Failings:Compliant"),0))</f>
        <v/>
      </c>
      <c r="Z1801" s="122">
        <f>IFERROR($Y1802/MAX(1,(LEN($I1802)-LEN(SUBSTITUTE($I1802," Ltd","")))/LEN(" Ltd")),0)</f>
        <v/>
      </c>
      <c r="AA1801" s="122">
        <f>IFERROR(IFERROR((LEN($T1802)-LEN(SUBSTITUTE($T1802,"Quality of Works / Criteria of Failings:","")))/LEN("Quality of Works / Criteria of Failings:"),0)/MAX(1,(LEN($I1802)-LEN(SUBSTITUTE($I1802," Ltd","")))/LEN(" Ltd")),0)</f>
        <v/>
      </c>
      <c r="AB1801" s="122">
        <f>IFERROR(IFERROR((LEN($T1802)-LEN(SUBSTITUTE($T1802,"Quality of Works / Criteria of Failings:Compliant","")))/LEN("Quality of Works / Criteria of Failings:Compliant"),0)/MAX(1,(LEN($I1802)-LEN(SUBSTITUTE($I1802," Ltd","")))/LEN(" Ltd")),0)</f>
        <v/>
      </c>
    </row>
    <row r="1802" ht="15" customHeight="1" s="146">
      <c r="Y1802" s="122">
        <f>MAX(0,IFERROR((LEN($T1803)-LEN(SUBSTITUTE($T1803,"Quality of Works / Criteria of Failings:","")))/LEN("Quality of Works / Criteria of Failings:"),0)-IFERROR((LEN($T1803)-LEN(SUBSTITUTE($T1803,"Quality of Works / Criteria of Failings:Compliant","")))/LEN("Quality of Works / Criteria of Failings:Compliant"),0))</f>
        <v/>
      </c>
      <c r="Z1802" s="122">
        <f>IFERROR($Y1803/MAX(1,(LEN($I1803)-LEN(SUBSTITUTE($I1803," Ltd","")))/LEN(" Ltd")),0)</f>
        <v/>
      </c>
      <c r="AA1802" s="122">
        <f>IFERROR(IFERROR((LEN($T1803)-LEN(SUBSTITUTE($T1803,"Quality of Works / Criteria of Failings:","")))/LEN("Quality of Works / Criteria of Failings:"),0)/MAX(1,(LEN($I1803)-LEN(SUBSTITUTE($I1803," Ltd","")))/LEN(" Ltd")),0)</f>
        <v/>
      </c>
      <c r="AB1802" s="122">
        <f>IFERROR(IFERROR((LEN($T1803)-LEN(SUBSTITUTE($T1803,"Quality of Works / Criteria of Failings:Compliant","")))/LEN("Quality of Works / Criteria of Failings:Compliant"),0)/MAX(1,(LEN($I1803)-LEN(SUBSTITUTE($I1803," Ltd","")))/LEN(" Ltd")),0)</f>
        <v/>
      </c>
    </row>
    <row r="1803" ht="15" customHeight="1" s="146">
      <c r="Y1803" s="122">
        <f>MAX(0,IFERROR((LEN($T1804)-LEN(SUBSTITUTE($T1804,"Quality of Works / Criteria of Failings:","")))/LEN("Quality of Works / Criteria of Failings:"),0)-IFERROR((LEN($T1804)-LEN(SUBSTITUTE($T1804,"Quality of Works / Criteria of Failings:Compliant","")))/LEN("Quality of Works / Criteria of Failings:Compliant"),0))</f>
        <v/>
      </c>
      <c r="Z1803" s="122">
        <f>IFERROR($Y1804/MAX(1,(LEN($I1804)-LEN(SUBSTITUTE($I1804," Ltd","")))/LEN(" Ltd")),0)</f>
        <v/>
      </c>
      <c r="AA1803" s="122">
        <f>IFERROR(IFERROR((LEN($T1804)-LEN(SUBSTITUTE($T1804,"Quality of Works / Criteria of Failings:","")))/LEN("Quality of Works / Criteria of Failings:"),0)/MAX(1,(LEN($I1804)-LEN(SUBSTITUTE($I1804," Ltd","")))/LEN(" Ltd")),0)</f>
        <v/>
      </c>
      <c r="AB1803" s="122">
        <f>IFERROR(IFERROR((LEN($T1804)-LEN(SUBSTITUTE($T1804,"Quality of Works / Criteria of Failings:Compliant","")))/LEN("Quality of Works / Criteria of Failings:Compliant"),0)/MAX(1,(LEN($I1804)-LEN(SUBSTITUTE($I1804," Ltd","")))/LEN(" Ltd")),0)</f>
        <v/>
      </c>
    </row>
    <row r="1804" ht="15" customHeight="1" s="146">
      <c r="Y1804" s="122">
        <f>MAX(0,IFERROR((LEN($T1805)-LEN(SUBSTITUTE($T1805,"Quality of Works / Criteria of Failings:","")))/LEN("Quality of Works / Criteria of Failings:"),0)-IFERROR((LEN($T1805)-LEN(SUBSTITUTE($T1805,"Quality of Works / Criteria of Failings:Compliant","")))/LEN("Quality of Works / Criteria of Failings:Compliant"),0))</f>
        <v/>
      </c>
      <c r="Z1804" s="122">
        <f>IFERROR($Y1805/MAX(1,(LEN($I1805)-LEN(SUBSTITUTE($I1805," Ltd","")))/LEN(" Ltd")),0)</f>
        <v/>
      </c>
      <c r="AA1804" s="122">
        <f>IFERROR(IFERROR((LEN($T1805)-LEN(SUBSTITUTE($T1805,"Quality of Works / Criteria of Failings:","")))/LEN("Quality of Works / Criteria of Failings:"),0)/MAX(1,(LEN($I1805)-LEN(SUBSTITUTE($I1805," Ltd","")))/LEN(" Ltd")),0)</f>
        <v/>
      </c>
      <c r="AB1804" s="122">
        <f>IFERROR(IFERROR((LEN($T1805)-LEN(SUBSTITUTE($T1805,"Quality of Works / Criteria of Failings:Compliant","")))/LEN("Quality of Works / Criteria of Failings:Compliant"),0)/MAX(1,(LEN($I1805)-LEN(SUBSTITUTE($I1805," Ltd","")))/LEN(" Ltd")),0)</f>
        <v/>
      </c>
    </row>
    <row r="1805" ht="15" customHeight="1" s="146">
      <c r="Y1805" s="122">
        <f>MAX(0,IFERROR((LEN($T1806)-LEN(SUBSTITUTE($T1806,"Quality of Works / Criteria of Failings:","")))/LEN("Quality of Works / Criteria of Failings:"),0)-IFERROR((LEN($T1806)-LEN(SUBSTITUTE($T1806,"Quality of Works / Criteria of Failings:Compliant","")))/LEN("Quality of Works / Criteria of Failings:Compliant"),0))</f>
        <v/>
      </c>
      <c r="Z1805" s="122">
        <f>IFERROR($Y1806/MAX(1,(LEN($I1806)-LEN(SUBSTITUTE($I1806," Ltd","")))/LEN(" Ltd")),0)</f>
        <v/>
      </c>
      <c r="AA1805" s="122">
        <f>IFERROR(IFERROR((LEN($T1806)-LEN(SUBSTITUTE($T1806,"Quality of Works / Criteria of Failings:","")))/LEN("Quality of Works / Criteria of Failings:"),0)/MAX(1,(LEN($I1806)-LEN(SUBSTITUTE($I1806," Ltd","")))/LEN(" Ltd")),0)</f>
        <v/>
      </c>
      <c r="AB1805" s="122">
        <f>IFERROR(IFERROR((LEN($T1806)-LEN(SUBSTITUTE($T1806,"Quality of Works / Criteria of Failings:Compliant","")))/LEN("Quality of Works / Criteria of Failings:Compliant"),0)/MAX(1,(LEN($I1806)-LEN(SUBSTITUTE($I1806," Ltd","")))/LEN(" Ltd")),0)</f>
        <v/>
      </c>
    </row>
    <row r="1806" ht="15" customHeight="1" s="146">
      <c r="Y1806" s="122">
        <f>MAX(0,IFERROR((LEN($T1807)-LEN(SUBSTITUTE($T1807,"Quality of Works / Criteria of Failings:","")))/LEN("Quality of Works / Criteria of Failings:"),0)-IFERROR((LEN($T1807)-LEN(SUBSTITUTE($T1807,"Quality of Works / Criteria of Failings:Compliant","")))/LEN("Quality of Works / Criteria of Failings:Compliant"),0))</f>
        <v/>
      </c>
      <c r="Z1806" s="122">
        <f>IFERROR($Y1807/MAX(1,(LEN($I1807)-LEN(SUBSTITUTE($I1807," Ltd","")))/LEN(" Ltd")),0)</f>
        <v/>
      </c>
      <c r="AA1806" s="122">
        <f>IFERROR(IFERROR((LEN($T1807)-LEN(SUBSTITUTE($T1807,"Quality of Works / Criteria of Failings:","")))/LEN("Quality of Works / Criteria of Failings:"),0)/MAX(1,(LEN($I1807)-LEN(SUBSTITUTE($I1807," Ltd","")))/LEN(" Ltd")),0)</f>
        <v/>
      </c>
      <c r="AB1806" s="122">
        <f>IFERROR(IFERROR((LEN($T1807)-LEN(SUBSTITUTE($T1807,"Quality of Works / Criteria of Failings:Compliant","")))/LEN("Quality of Works / Criteria of Failings:Compliant"),0)/MAX(1,(LEN($I1807)-LEN(SUBSTITUTE($I1807," Ltd","")))/LEN(" Ltd")),0)</f>
        <v/>
      </c>
    </row>
    <row r="1807" ht="15" customHeight="1" s="146">
      <c r="Y1807" s="122">
        <f>MAX(0,IFERROR((LEN($T1808)-LEN(SUBSTITUTE($T1808,"Quality of Works / Criteria of Failings:","")))/LEN("Quality of Works / Criteria of Failings:"),0)-IFERROR((LEN($T1808)-LEN(SUBSTITUTE($T1808,"Quality of Works / Criteria of Failings:Compliant","")))/LEN("Quality of Works / Criteria of Failings:Compliant"),0))</f>
        <v/>
      </c>
      <c r="Z1807" s="122">
        <f>IFERROR($Y1808/MAX(1,(LEN($I1808)-LEN(SUBSTITUTE($I1808," Ltd","")))/LEN(" Ltd")),0)</f>
        <v/>
      </c>
      <c r="AA1807" s="122">
        <f>IFERROR(IFERROR((LEN($T1808)-LEN(SUBSTITUTE($T1808,"Quality of Works / Criteria of Failings:","")))/LEN("Quality of Works / Criteria of Failings:"),0)/MAX(1,(LEN($I1808)-LEN(SUBSTITUTE($I1808," Ltd","")))/LEN(" Ltd")),0)</f>
        <v/>
      </c>
      <c r="AB1807" s="122">
        <f>IFERROR(IFERROR((LEN($T1808)-LEN(SUBSTITUTE($T1808,"Quality of Works / Criteria of Failings:Compliant","")))/LEN("Quality of Works / Criteria of Failings:Compliant"),0)/MAX(1,(LEN($I1808)-LEN(SUBSTITUTE($I1808," Ltd","")))/LEN(" Ltd")),0)</f>
        <v/>
      </c>
    </row>
    <row r="1808" ht="15" customHeight="1" s="146">
      <c r="Y1808" s="122">
        <f>MAX(0,IFERROR((LEN($T1809)-LEN(SUBSTITUTE($T1809,"Quality of Works / Criteria of Failings:","")))/LEN("Quality of Works / Criteria of Failings:"),0)-IFERROR((LEN($T1809)-LEN(SUBSTITUTE($T1809,"Quality of Works / Criteria of Failings:Compliant","")))/LEN("Quality of Works / Criteria of Failings:Compliant"),0))</f>
        <v/>
      </c>
      <c r="Z1808" s="122">
        <f>IFERROR($Y1809/MAX(1,(LEN($I1809)-LEN(SUBSTITUTE($I1809," Ltd","")))/LEN(" Ltd")),0)</f>
        <v/>
      </c>
      <c r="AA1808" s="122">
        <f>IFERROR(IFERROR((LEN($T1809)-LEN(SUBSTITUTE($T1809,"Quality of Works / Criteria of Failings:","")))/LEN("Quality of Works / Criteria of Failings:"),0)/MAX(1,(LEN($I1809)-LEN(SUBSTITUTE($I1809," Ltd","")))/LEN(" Ltd")),0)</f>
        <v/>
      </c>
      <c r="AB1808" s="122">
        <f>IFERROR(IFERROR((LEN($T1809)-LEN(SUBSTITUTE($T1809,"Quality of Works / Criteria of Failings:Compliant","")))/LEN("Quality of Works / Criteria of Failings:Compliant"),0)/MAX(1,(LEN($I1809)-LEN(SUBSTITUTE($I1809," Ltd","")))/LEN(" Ltd")),0)</f>
        <v/>
      </c>
    </row>
    <row r="1809" ht="15" customHeight="1" s="146">
      <c r="Y1809" s="122">
        <f>MAX(0,IFERROR((LEN($T1810)-LEN(SUBSTITUTE($T1810,"Quality of Works / Criteria of Failings:","")))/LEN("Quality of Works / Criteria of Failings:"),0)-IFERROR((LEN($T1810)-LEN(SUBSTITUTE($T1810,"Quality of Works / Criteria of Failings:Compliant","")))/LEN("Quality of Works / Criteria of Failings:Compliant"),0))</f>
        <v/>
      </c>
      <c r="Z1809" s="122">
        <f>IFERROR($Y1810/MAX(1,(LEN($I1810)-LEN(SUBSTITUTE($I1810," Ltd","")))/LEN(" Ltd")),0)</f>
        <v/>
      </c>
      <c r="AA1809" s="122">
        <f>IFERROR(IFERROR((LEN($T1810)-LEN(SUBSTITUTE($T1810,"Quality of Works / Criteria of Failings:","")))/LEN("Quality of Works / Criteria of Failings:"),0)/MAX(1,(LEN($I1810)-LEN(SUBSTITUTE($I1810," Ltd","")))/LEN(" Ltd")),0)</f>
        <v/>
      </c>
      <c r="AB1809" s="122">
        <f>IFERROR(IFERROR((LEN($T1810)-LEN(SUBSTITUTE($T1810,"Quality of Works / Criteria of Failings:Compliant","")))/LEN("Quality of Works / Criteria of Failings:Compliant"),0)/MAX(1,(LEN($I1810)-LEN(SUBSTITUTE($I1810," Ltd","")))/LEN(" Ltd")),0)</f>
        <v/>
      </c>
    </row>
    <row r="1810" ht="15" customHeight="1" s="146">
      <c r="Y1810" s="122">
        <f>MAX(0,IFERROR((LEN($T1811)-LEN(SUBSTITUTE($T1811,"Quality of Works / Criteria of Failings:","")))/LEN("Quality of Works / Criteria of Failings:"),0)-IFERROR((LEN($T1811)-LEN(SUBSTITUTE($T1811,"Quality of Works / Criteria of Failings:Compliant","")))/LEN("Quality of Works / Criteria of Failings:Compliant"),0))</f>
        <v/>
      </c>
      <c r="Z1810" s="122">
        <f>IFERROR($Y1811/MAX(1,(LEN($I1811)-LEN(SUBSTITUTE($I1811," Ltd","")))/LEN(" Ltd")),0)</f>
        <v/>
      </c>
      <c r="AA1810" s="122">
        <f>IFERROR(IFERROR((LEN($T1811)-LEN(SUBSTITUTE($T1811,"Quality of Works / Criteria of Failings:","")))/LEN("Quality of Works / Criteria of Failings:"),0)/MAX(1,(LEN($I1811)-LEN(SUBSTITUTE($I1811," Ltd","")))/LEN(" Ltd")),0)</f>
        <v/>
      </c>
      <c r="AB1810" s="122">
        <f>IFERROR(IFERROR((LEN($T1811)-LEN(SUBSTITUTE($T1811,"Quality of Works / Criteria of Failings:Compliant","")))/LEN("Quality of Works / Criteria of Failings:Compliant"),0)/MAX(1,(LEN($I1811)-LEN(SUBSTITUTE($I1811," Ltd","")))/LEN(" Ltd")),0)</f>
        <v/>
      </c>
    </row>
    <row r="1811" ht="15" customHeight="1" s="146">
      <c r="Y1811" s="122">
        <f>MAX(0,IFERROR((LEN($T1812)-LEN(SUBSTITUTE($T1812,"Quality of Works / Criteria of Failings:","")))/LEN("Quality of Works / Criteria of Failings:"),0)-IFERROR((LEN($T1812)-LEN(SUBSTITUTE($T1812,"Quality of Works / Criteria of Failings:Compliant","")))/LEN("Quality of Works / Criteria of Failings:Compliant"),0))</f>
        <v/>
      </c>
      <c r="Z1811" s="122">
        <f>IFERROR($Y1812/MAX(1,(LEN($I1812)-LEN(SUBSTITUTE($I1812," Ltd","")))/LEN(" Ltd")),0)</f>
        <v/>
      </c>
      <c r="AA1811" s="122">
        <f>IFERROR(IFERROR((LEN($T1812)-LEN(SUBSTITUTE($T1812,"Quality of Works / Criteria of Failings:","")))/LEN("Quality of Works / Criteria of Failings:"),0)/MAX(1,(LEN($I1812)-LEN(SUBSTITUTE($I1812," Ltd","")))/LEN(" Ltd")),0)</f>
        <v/>
      </c>
      <c r="AB1811" s="122">
        <f>IFERROR(IFERROR((LEN($T1812)-LEN(SUBSTITUTE($T1812,"Quality of Works / Criteria of Failings:Compliant","")))/LEN("Quality of Works / Criteria of Failings:Compliant"),0)/MAX(1,(LEN($I1812)-LEN(SUBSTITUTE($I1812," Ltd","")))/LEN(" Ltd")),0)</f>
        <v/>
      </c>
    </row>
    <row r="1812" ht="15" customHeight="1" s="146">
      <c r="Y1812" s="122">
        <f>MAX(0,IFERROR((LEN($T1813)-LEN(SUBSTITUTE($T1813,"Quality of Works / Criteria of Failings:","")))/LEN("Quality of Works / Criteria of Failings:"),0)-IFERROR((LEN($T1813)-LEN(SUBSTITUTE($T1813,"Quality of Works / Criteria of Failings:Compliant","")))/LEN("Quality of Works / Criteria of Failings:Compliant"),0))</f>
        <v/>
      </c>
      <c r="Z1812" s="122">
        <f>IFERROR($Y1813/MAX(1,(LEN($I1813)-LEN(SUBSTITUTE($I1813," Ltd","")))/LEN(" Ltd")),0)</f>
        <v/>
      </c>
      <c r="AA1812" s="122">
        <f>IFERROR(IFERROR((LEN($T1813)-LEN(SUBSTITUTE($T1813,"Quality of Works / Criteria of Failings:","")))/LEN("Quality of Works / Criteria of Failings:"),0)/MAX(1,(LEN($I1813)-LEN(SUBSTITUTE($I1813," Ltd","")))/LEN(" Ltd")),0)</f>
        <v/>
      </c>
      <c r="AB1812" s="122">
        <f>IFERROR(IFERROR((LEN($T1813)-LEN(SUBSTITUTE($T1813,"Quality of Works / Criteria of Failings:Compliant","")))/LEN("Quality of Works / Criteria of Failings:Compliant"),0)/MAX(1,(LEN($I1813)-LEN(SUBSTITUTE($I1813," Ltd","")))/LEN(" Ltd")),0)</f>
        <v/>
      </c>
    </row>
    <row r="1813" ht="15" customHeight="1" s="146">
      <c r="Y1813" s="122">
        <f>MAX(0,IFERROR((LEN($T1814)-LEN(SUBSTITUTE($T1814,"Quality of Works / Criteria of Failings:","")))/LEN("Quality of Works / Criteria of Failings:"),0)-IFERROR((LEN($T1814)-LEN(SUBSTITUTE($T1814,"Quality of Works / Criteria of Failings:Compliant","")))/LEN("Quality of Works / Criteria of Failings:Compliant"),0))</f>
        <v/>
      </c>
      <c r="Z1813" s="122">
        <f>IFERROR($Y1814/MAX(1,(LEN($I1814)-LEN(SUBSTITUTE($I1814," Ltd","")))/LEN(" Ltd")),0)</f>
        <v/>
      </c>
      <c r="AA1813" s="122">
        <f>IFERROR(IFERROR((LEN($T1814)-LEN(SUBSTITUTE($T1814,"Quality of Works / Criteria of Failings:","")))/LEN("Quality of Works / Criteria of Failings:"),0)/MAX(1,(LEN($I1814)-LEN(SUBSTITUTE($I1814," Ltd","")))/LEN(" Ltd")),0)</f>
        <v/>
      </c>
      <c r="AB1813" s="122">
        <f>IFERROR(IFERROR((LEN($T1814)-LEN(SUBSTITUTE($T1814,"Quality of Works / Criteria of Failings:Compliant","")))/LEN("Quality of Works / Criteria of Failings:Compliant"),0)/MAX(1,(LEN($I1814)-LEN(SUBSTITUTE($I1814," Ltd","")))/LEN(" Ltd")),0)</f>
        <v/>
      </c>
    </row>
    <row r="1814" ht="15" customHeight="1" s="146">
      <c r="Y1814" s="122">
        <f>MAX(0,IFERROR((LEN($T1815)-LEN(SUBSTITUTE($T1815,"Quality of Works / Criteria of Failings:","")))/LEN("Quality of Works / Criteria of Failings:"),0)-IFERROR((LEN($T1815)-LEN(SUBSTITUTE($T1815,"Quality of Works / Criteria of Failings:Compliant","")))/LEN("Quality of Works / Criteria of Failings:Compliant"),0))</f>
        <v/>
      </c>
      <c r="Z1814" s="122">
        <f>IFERROR($Y1815/MAX(1,(LEN($I1815)-LEN(SUBSTITUTE($I1815," Ltd","")))/LEN(" Ltd")),0)</f>
        <v/>
      </c>
      <c r="AA1814" s="122">
        <f>IFERROR(IFERROR((LEN($T1815)-LEN(SUBSTITUTE($T1815,"Quality of Works / Criteria of Failings:","")))/LEN("Quality of Works / Criteria of Failings:"),0)/MAX(1,(LEN($I1815)-LEN(SUBSTITUTE($I1815," Ltd","")))/LEN(" Ltd")),0)</f>
        <v/>
      </c>
      <c r="AB1814" s="122">
        <f>IFERROR(IFERROR((LEN($T1815)-LEN(SUBSTITUTE($T1815,"Quality of Works / Criteria of Failings:Compliant","")))/LEN("Quality of Works / Criteria of Failings:Compliant"),0)/MAX(1,(LEN($I1815)-LEN(SUBSTITUTE($I1815," Ltd","")))/LEN(" Ltd")),0)</f>
        <v/>
      </c>
    </row>
    <row r="1815" ht="15" customHeight="1" s="146">
      <c r="Y1815" s="122">
        <f>MAX(0,IFERROR((LEN($T1816)-LEN(SUBSTITUTE($T1816,"Quality of Works / Criteria of Failings:","")))/LEN("Quality of Works / Criteria of Failings:"),0)-IFERROR((LEN($T1816)-LEN(SUBSTITUTE($T1816,"Quality of Works / Criteria of Failings:Compliant","")))/LEN("Quality of Works / Criteria of Failings:Compliant"),0))</f>
        <v/>
      </c>
      <c r="Z1815" s="122">
        <f>IFERROR($Y1816/MAX(1,(LEN($I1816)-LEN(SUBSTITUTE($I1816," Ltd","")))/LEN(" Ltd")),0)</f>
        <v/>
      </c>
      <c r="AA1815" s="122">
        <f>IFERROR(IFERROR((LEN($T1816)-LEN(SUBSTITUTE($T1816,"Quality of Works / Criteria of Failings:","")))/LEN("Quality of Works / Criteria of Failings:"),0)/MAX(1,(LEN($I1816)-LEN(SUBSTITUTE($I1816," Ltd","")))/LEN(" Ltd")),0)</f>
        <v/>
      </c>
      <c r="AB1815" s="122">
        <f>IFERROR(IFERROR((LEN($T1816)-LEN(SUBSTITUTE($T1816,"Quality of Works / Criteria of Failings:Compliant","")))/LEN("Quality of Works / Criteria of Failings:Compliant"),0)/MAX(1,(LEN($I1816)-LEN(SUBSTITUTE($I1816," Ltd","")))/LEN(" Ltd")),0)</f>
        <v/>
      </c>
    </row>
    <row r="1816" ht="15" customHeight="1" s="146">
      <c r="Y1816" s="122">
        <f>MAX(0,IFERROR((LEN($T1817)-LEN(SUBSTITUTE($T1817,"Quality of Works / Criteria of Failings:","")))/LEN("Quality of Works / Criteria of Failings:"),0)-IFERROR((LEN($T1817)-LEN(SUBSTITUTE($T1817,"Quality of Works / Criteria of Failings:Compliant","")))/LEN("Quality of Works / Criteria of Failings:Compliant"),0))</f>
        <v/>
      </c>
      <c r="Z1816" s="122">
        <f>IFERROR($Y1817/MAX(1,(LEN($I1817)-LEN(SUBSTITUTE($I1817," Ltd","")))/LEN(" Ltd")),0)</f>
        <v/>
      </c>
      <c r="AA1816" s="122">
        <f>IFERROR(IFERROR((LEN($T1817)-LEN(SUBSTITUTE($T1817,"Quality of Works / Criteria of Failings:","")))/LEN("Quality of Works / Criteria of Failings:"),0)/MAX(1,(LEN($I1817)-LEN(SUBSTITUTE($I1817," Ltd","")))/LEN(" Ltd")),0)</f>
        <v/>
      </c>
      <c r="AB1816" s="122">
        <f>IFERROR(IFERROR((LEN($T1817)-LEN(SUBSTITUTE($T1817,"Quality of Works / Criteria of Failings:Compliant","")))/LEN("Quality of Works / Criteria of Failings:Compliant"),0)/MAX(1,(LEN($I1817)-LEN(SUBSTITUTE($I1817," Ltd","")))/LEN(" Ltd")),0)</f>
        <v/>
      </c>
    </row>
    <row r="1817" ht="15" customHeight="1" s="146">
      <c r="Y1817" s="122">
        <f>MAX(0,IFERROR((LEN($T1818)-LEN(SUBSTITUTE($T1818,"Quality of Works / Criteria of Failings:","")))/LEN("Quality of Works / Criteria of Failings:"),0)-IFERROR((LEN($T1818)-LEN(SUBSTITUTE($T1818,"Quality of Works / Criteria of Failings:Compliant","")))/LEN("Quality of Works / Criteria of Failings:Compliant"),0))</f>
        <v/>
      </c>
      <c r="Z1817" s="122">
        <f>IFERROR($Y1818/MAX(1,(LEN($I1818)-LEN(SUBSTITUTE($I1818," Ltd","")))/LEN(" Ltd")),0)</f>
        <v/>
      </c>
      <c r="AA1817" s="122">
        <f>IFERROR(IFERROR((LEN($T1818)-LEN(SUBSTITUTE($T1818,"Quality of Works / Criteria of Failings:","")))/LEN("Quality of Works / Criteria of Failings:"),0)/MAX(1,(LEN($I1818)-LEN(SUBSTITUTE($I1818," Ltd","")))/LEN(" Ltd")),0)</f>
        <v/>
      </c>
      <c r="AB1817" s="122">
        <f>IFERROR(IFERROR((LEN($T1818)-LEN(SUBSTITUTE($T1818,"Quality of Works / Criteria of Failings:Compliant","")))/LEN("Quality of Works / Criteria of Failings:Compliant"),0)/MAX(1,(LEN($I1818)-LEN(SUBSTITUTE($I1818," Ltd","")))/LEN(" Ltd")),0)</f>
        <v/>
      </c>
    </row>
    <row r="1818" ht="15" customHeight="1" s="146">
      <c r="Y1818" s="122">
        <f>MAX(0,IFERROR((LEN($T1819)-LEN(SUBSTITUTE($T1819,"Quality of Works / Criteria of Failings:","")))/LEN("Quality of Works / Criteria of Failings:"),0)-IFERROR((LEN($T1819)-LEN(SUBSTITUTE($T1819,"Quality of Works / Criteria of Failings:Compliant","")))/LEN("Quality of Works / Criteria of Failings:Compliant"),0))</f>
        <v/>
      </c>
      <c r="Z1818" s="122">
        <f>IFERROR($Y1819/MAX(1,(LEN($I1819)-LEN(SUBSTITUTE($I1819," Ltd","")))/LEN(" Ltd")),0)</f>
        <v/>
      </c>
      <c r="AA1818" s="122">
        <f>IFERROR(IFERROR((LEN($T1819)-LEN(SUBSTITUTE($T1819,"Quality of Works / Criteria of Failings:","")))/LEN("Quality of Works / Criteria of Failings:"),0)/MAX(1,(LEN($I1819)-LEN(SUBSTITUTE($I1819," Ltd","")))/LEN(" Ltd")),0)</f>
        <v/>
      </c>
      <c r="AB1818" s="122">
        <f>IFERROR(IFERROR((LEN($T1819)-LEN(SUBSTITUTE($T1819,"Quality of Works / Criteria of Failings:Compliant","")))/LEN("Quality of Works / Criteria of Failings:Compliant"),0)/MAX(1,(LEN($I1819)-LEN(SUBSTITUTE($I1819," Ltd","")))/LEN(" Ltd")),0)</f>
        <v/>
      </c>
    </row>
    <row r="1819" ht="15" customHeight="1" s="146">
      <c r="Y1819" s="122">
        <f>MAX(0,IFERROR((LEN($T1820)-LEN(SUBSTITUTE($T1820,"Quality of Works / Criteria of Failings:","")))/LEN("Quality of Works / Criteria of Failings:"),0)-IFERROR((LEN($T1820)-LEN(SUBSTITUTE($T1820,"Quality of Works / Criteria of Failings:Compliant","")))/LEN("Quality of Works / Criteria of Failings:Compliant"),0))</f>
        <v/>
      </c>
      <c r="Z1819" s="122">
        <f>IFERROR($Y1820/MAX(1,(LEN($I1820)-LEN(SUBSTITUTE($I1820," Ltd","")))/LEN(" Ltd")),0)</f>
        <v/>
      </c>
      <c r="AA1819" s="122">
        <f>IFERROR(IFERROR((LEN($T1820)-LEN(SUBSTITUTE($T1820,"Quality of Works / Criteria of Failings:","")))/LEN("Quality of Works / Criteria of Failings:"),0)/MAX(1,(LEN($I1820)-LEN(SUBSTITUTE($I1820," Ltd","")))/LEN(" Ltd")),0)</f>
        <v/>
      </c>
      <c r="AB1819" s="122">
        <f>IFERROR(IFERROR((LEN($T1820)-LEN(SUBSTITUTE($T1820,"Quality of Works / Criteria of Failings:Compliant","")))/LEN("Quality of Works / Criteria of Failings:Compliant"),0)/MAX(1,(LEN($I1820)-LEN(SUBSTITUTE($I1820," Ltd","")))/LEN(" Ltd")),0)</f>
        <v/>
      </c>
    </row>
    <row r="1820" ht="15" customHeight="1" s="146">
      <c r="Y1820" s="122">
        <f>MAX(0,IFERROR((LEN($T1821)-LEN(SUBSTITUTE($T1821,"Quality of Works / Criteria of Failings:","")))/LEN("Quality of Works / Criteria of Failings:"),0)-IFERROR((LEN($T1821)-LEN(SUBSTITUTE($T1821,"Quality of Works / Criteria of Failings:Compliant","")))/LEN("Quality of Works / Criteria of Failings:Compliant"),0))</f>
        <v/>
      </c>
      <c r="Z1820" s="122">
        <f>IFERROR($Y1821/MAX(1,(LEN($I1821)-LEN(SUBSTITUTE($I1821," Ltd","")))/LEN(" Ltd")),0)</f>
        <v/>
      </c>
      <c r="AA1820" s="122">
        <f>IFERROR(IFERROR((LEN($T1821)-LEN(SUBSTITUTE($T1821,"Quality of Works / Criteria of Failings:","")))/LEN("Quality of Works / Criteria of Failings:"),0)/MAX(1,(LEN($I1821)-LEN(SUBSTITUTE($I1821," Ltd","")))/LEN(" Ltd")),0)</f>
        <v/>
      </c>
      <c r="AB1820" s="122">
        <f>IFERROR(IFERROR((LEN($T1821)-LEN(SUBSTITUTE($T1821,"Quality of Works / Criteria of Failings:Compliant","")))/LEN("Quality of Works / Criteria of Failings:Compliant"),0)/MAX(1,(LEN($I1821)-LEN(SUBSTITUTE($I1821," Ltd","")))/LEN(" Ltd")),0)</f>
        <v/>
      </c>
    </row>
    <row r="1821" ht="15" customHeight="1" s="146">
      <c r="Y1821" s="122">
        <f>MAX(0,IFERROR((LEN($T1822)-LEN(SUBSTITUTE($T1822,"Quality of Works / Criteria of Failings:","")))/LEN("Quality of Works / Criteria of Failings:"),0)-IFERROR((LEN($T1822)-LEN(SUBSTITUTE($T1822,"Quality of Works / Criteria of Failings:Compliant","")))/LEN("Quality of Works / Criteria of Failings:Compliant"),0))</f>
        <v/>
      </c>
      <c r="Z1821" s="122">
        <f>IFERROR($Y1822/MAX(1,(LEN($I1822)-LEN(SUBSTITUTE($I1822," Ltd","")))/LEN(" Ltd")),0)</f>
        <v/>
      </c>
      <c r="AA1821" s="122">
        <f>IFERROR(IFERROR((LEN($T1822)-LEN(SUBSTITUTE($T1822,"Quality of Works / Criteria of Failings:","")))/LEN("Quality of Works / Criteria of Failings:"),0)/MAX(1,(LEN($I1822)-LEN(SUBSTITUTE($I1822," Ltd","")))/LEN(" Ltd")),0)</f>
        <v/>
      </c>
      <c r="AB1821" s="122">
        <f>IFERROR(IFERROR((LEN($T1822)-LEN(SUBSTITUTE($T1822,"Quality of Works / Criteria of Failings:Compliant","")))/LEN("Quality of Works / Criteria of Failings:Compliant"),0)/MAX(1,(LEN($I1822)-LEN(SUBSTITUTE($I1822," Ltd","")))/LEN(" Ltd")),0)</f>
        <v/>
      </c>
    </row>
    <row r="1822" ht="15" customHeight="1" s="146">
      <c r="Y1822" s="122">
        <f>MAX(0,IFERROR((LEN($T1823)-LEN(SUBSTITUTE($T1823,"Quality of Works / Criteria of Failings:","")))/LEN("Quality of Works / Criteria of Failings:"),0)-IFERROR((LEN($T1823)-LEN(SUBSTITUTE($T1823,"Quality of Works / Criteria of Failings:Compliant","")))/LEN("Quality of Works / Criteria of Failings:Compliant"),0))</f>
        <v/>
      </c>
      <c r="Z1822" s="122">
        <f>IFERROR($Y1823/MAX(1,(LEN($I1823)-LEN(SUBSTITUTE($I1823," Ltd","")))/LEN(" Ltd")),0)</f>
        <v/>
      </c>
      <c r="AA1822" s="122">
        <f>IFERROR(IFERROR((LEN($T1823)-LEN(SUBSTITUTE($T1823,"Quality of Works / Criteria of Failings:","")))/LEN("Quality of Works / Criteria of Failings:"),0)/MAX(1,(LEN($I1823)-LEN(SUBSTITUTE($I1823," Ltd","")))/LEN(" Ltd")),0)</f>
        <v/>
      </c>
      <c r="AB1822" s="122">
        <f>IFERROR(IFERROR((LEN($T1823)-LEN(SUBSTITUTE($T1823,"Quality of Works / Criteria of Failings:Compliant","")))/LEN("Quality of Works / Criteria of Failings:Compliant"),0)/MAX(1,(LEN($I1823)-LEN(SUBSTITUTE($I1823," Ltd","")))/LEN(" Ltd")),0)</f>
        <v/>
      </c>
    </row>
    <row r="1823" ht="15" customHeight="1" s="146">
      <c r="Y1823" s="122">
        <f>MAX(0,IFERROR((LEN($T1824)-LEN(SUBSTITUTE($T1824,"Quality of Works / Criteria of Failings:","")))/LEN("Quality of Works / Criteria of Failings:"),0)-IFERROR((LEN($T1824)-LEN(SUBSTITUTE($T1824,"Quality of Works / Criteria of Failings:Compliant","")))/LEN("Quality of Works / Criteria of Failings:Compliant"),0))</f>
        <v/>
      </c>
      <c r="Z1823" s="122">
        <f>IFERROR($Y1824/MAX(1,(LEN($I1824)-LEN(SUBSTITUTE($I1824," Ltd","")))/LEN(" Ltd")),0)</f>
        <v/>
      </c>
      <c r="AA1823" s="122">
        <f>IFERROR(IFERROR((LEN($T1824)-LEN(SUBSTITUTE($T1824,"Quality of Works / Criteria of Failings:","")))/LEN("Quality of Works / Criteria of Failings:"),0)/MAX(1,(LEN($I1824)-LEN(SUBSTITUTE($I1824," Ltd","")))/LEN(" Ltd")),0)</f>
        <v/>
      </c>
      <c r="AB1823" s="122">
        <f>IFERROR(IFERROR((LEN($T1824)-LEN(SUBSTITUTE($T1824,"Quality of Works / Criteria of Failings:Compliant","")))/LEN("Quality of Works / Criteria of Failings:Compliant"),0)/MAX(1,(LEN($I1824)-LEN(SUBSTITUTE($I1824," Ltd","")))/LEN(" Ltd")),0)</f>
        <v/>
      </c>
    </row>
    <row r="1824" ht="15" customHeight="1" s="146">
      <c r="Y1824" s="122">
        <f>MAX(0,IFERROR((LEN($T1825)-LEN(SUBSTITUTE($T1825,"Quality of Works / Criteria of Failings:","")))/LEN("Quality of Works / Criteria of Failings:"),0)-IFERROR((LEN($T1825)-LEN(SUBSTITUTE($T1825,"Quality of Works / Criteria of Failings:Compliant","")))/LEN("Quality of Works / Criteria of Failings:Compliant"),0))</f>
        <v/>
      </c>
      <c r="Z1824" s="122">
        <f>IFERROR($Y1825/MAX(1,(LEN($I1825)-LEN(SUBSTITUTE($I1825," Ltd","")))/LEN(" Ltd")),0)</f>
        <v/>
      </c>
      <c r="AA1824" s="122">
        <f>IFERROR(IFERROR((LEN($T1825)-LEN(SUBSTITUTE($T1825,"Quality of Works / Criteria of Failings:","")))/LEN("Quality of Works / Criteria of Failings:"),0)/MAX(1,(LEN($I1825)-LEN(SUBSTITUTE($I1825," Ltd","")))/LEN(" Ltd")),0)</f>
        <v/>
      </c>
      <c r="AB1824" s="122">
        <f>IFERROR(IFERROR((LEN($T1825)-LEN(SUBSTITUTE($T1825,"Quality of Works / Criteria of Failings:Compliant","")))/LEN("Quality of Works / Criteria of Failings:Compliant"),0)/MAX(1,(LEN($I1825)-LEN(SUBSTITUTE($I1825," Ltd","")))/LEN(" Ltd")),0)</f>
        <v/>
      </c>
    </row>
    <row r="1825" ht="15" customHeight="1" s="146">
      <c r="Y1825" s="122">
        <f>MAX(0,IFERROR((LEN($T1826)-LEN(SUBSTITUTE($T1826,"Quality of Works / Criteria of Failings:","")))/LEN("Quality of Works / Criteria of Failings:"),0)-IFERROR((LEN($T1826)-LEN(SUBSTITUTE($T1826,"Quality of Works / Criteria of Failings:Compliant","")))/LEN("Quality of Works / Criteria of Failings:Compliant"),0))</f>
        <v/>
      </c>
      <c r="Z1825" s="122">
        <f>IFERROR($Y1826/MAX(1,(LEN($I1826)-LEN(SUBSTITUTE($I1826," Ltd","")))/LEN(" Ltd")),0)</f>
        <v/>
      </c>
      <c r="AA1825" s="122">
        <f>IFERROR(IFERROR((LEN($T1826)-LEN(SUBSTITUTE($T1826,"Quality of Works / Criteria of Failings:","")))/LEN("Quality of Works / Criteria of Failings:"),0)/MAX(1,(LEN($I1826)-LEN(SUBSTITUTE($I1826," Ltd","")))/LEN(" Ltd")),0)</f>
        <v/>
      </c>
      <c r="AB1825" s="122">
        <f>IFERROR(IFERROR((LEN($T1826)-LEN(SUBSTITUTE($T1826,"Quality of Works / Criteria of Failings:Compliant","")))/LEN("Quality of Works / Criteria of Failings:Compliant"),0)/MAX(1,(LEN($I1826)-LEN(SUBSTITUTE($I1826," Ltd","")))/LEN(" Ltd")),0)</f>
        <v/>
      </c>
    </row>
    <row r="1826" ht="15" customHeight="1" s="146">
      <c r="Y1826" s="122">
        <f>MAX(0,IFERROR((LEN($T1827)-LEN(SUBSTITUTE($T1827,"Quality of Works / Criteria of Failings:","")))/LEN("Quality of Works / Criteria of Failings:"),0)-IFERROR((LEN($T1827)-LEN(SUBSTITUTE($T1827,"Quality of Works / Criteria of Failings:Compliant","")))/LEN("Quality of Works / Criteria of Failings:Compliant"),0))</f>
        <v/>
      </c>
      <c r="Z1826" s="122">
        <f>IFERROR($Y1827/MAX(1,(LEN($I1827)-LEN(SUBSTITUTE($I1827," Ltd","")))/LEN(" Ltd")),0)</f>
        <v/>
      </c>
      <c r="AA1826" s="122">
        <f>IFERROR(IFERROR((LEN($T1827)-LEN(SUBSTITUTE($T1827,"Quality of Works / Criteria of Failings:","")))/LEN("Quality of Works / Criteria of Failings:"),0)/MAX(1,(LEN($I1827)-LEN(SUBSTITUTE($I1827," Ltd","")))/LEN(" Ltd")),0)</f>
        <v/>
      </c>
      <c r="AB1826" s="122">
        <f>IFERROR(IFERROR((LEN($T1827)-LEN(SUBSTITUTE($T1827,"Quality of Works / Criteria of Failings:Compliant","")))/LEN("Quality of Works / Criteria of Failings:Compliant"),0)/MAX(1,(LEN($I1827)-LEN(SUBSTITUTE($I1827," Ltd","")))/LEN(" Ltd")),0)</f>
        <v/>
      </c>
    </row>
    <row r="1827" ht="15" customHeight="1" s="146">
      <c r="Y1827" s="122">
        <f>MAX(0,IFERROR((LEN($T1828)-LEN(SUBSTITUTE($T1828,"Quality of Works / Criteria of Failings:","")))/LEN("Quality of Works / Criteria of Failings:"),0)-IFERROR((LEN($T1828)-LEN(SUBSTITUTE($T1828,"Quality of Works / Criteria of Failings:Compliant","")))/LEN("Quality of Works / Criteria of Failings:Compliant"),0))</f>
        <v/>
      </c>
      <c r="Z1827" s="122">
        <f>IFERROR($Y1828/MAX(1,(LEN($I1828)-LEN(SUBSTITUTE($I1828," Ltd","")))/LEN(" Ltd")),0)</f>
        <v/>
      </c>
      <c r="AA1827" s="122">
        <f>IFERROR(IFERROR((LEN($T1828)-LEN(SUBSTITUTE($T1828,"Quality of Works / Criteria of Failings:","")))/LEN("Quality of Works / Criteria of Failings:"),0)/MAX(1,(LEN($I1828)-LEN(SUBSTITUTE($I1828," Ltd","")))/LEN(" Ltd")),0)</f>
        <v/>
      </c>
      <c r="AB1827" s="122">
        <f>IFERROR(IFERROR((LEN($T1828)-LEN(SUBSTITUTE($T1828,"Quality of Works / Criteria of Failings:Compliant","")))/LEN("Quality of Works / Criteria of Failings:Compliant"),0)/MAX(1,(LEN($I1828)-LEN(SUBSTITUTE($I1828," Ltd","")))/LEN(" Ltd")),0)</f>
        <v/>
      </c>
    </row>
    <row r="1828" ht="15" customHeight="1" s="146">
      <c r="Y1828" s="122">
        <f>MAX(0,IFERROR((LEN($T1829)-LEN(SUBSTITUTE($T1829,"Quality of Works / Criteria of Failings:","")))/LEN("Quality of Works / Criteria of Failings:"),0)-IFERROR((LEN($T1829)-LEN(SUBSTITUTE($T1829,"Quality of Works / Criteria of Failings:Compliant","")))/LEN("Quality of Works / Criteria of Failings:Compliant"),0))</f>
        <v/>
      </c>
      <c r="Z1828" s="122">
        <f>IFERROR($Y1829/MAX(1,(LEN($I1829)-LEN(SUBSTITUTE($I1829," Ltd","")))/LEN(" Ltd")),0)</f>
        <v/>
      </c>
      <c r="AA1828" s="122">
        <f>IFERROR(IFERROR((LEN($T1829)-LEN(SUBSTITUTE($T1829,"Quality of Works / Criteria of Failings:","")))/LEN("Quality of Works / Criteria of Failings:"),0)/MAX(1,(LEN($I1829)-LEN(SUBSTITUTE($I1829," Ltd","")))/LEN(" Ltd")),0)</f>
        <v/>
      </c>
      <c r="AB1828" s="122">
        <f>IFERROR(IFERROR((LEN($T1829)-LEN(SUBSTITUTE($T1829,"Quality of Works / Criteria of Failings:Compliant","")))/LEN("Quality of Works / Criteria of Failings:Compliant"),0)/MAX(1,(LEN($I1829)-LEN(SUBSTITUTE($I1829," Ltd","")))/LEN(" Ltd")),0)</f>
        <v/>
      </c>
    </row>
    <row r="1829" ht="15" customHeight="1" s="146">
      <c r="Y1829" s="122">
        <f>MAX(0,IFERROR((LEN($T1830)-LEN(SUBSTITUTE($T1830,"Quality of Works / Criteria of Failings:","")))/LEN("Quality of Works / Criteria of Failings:"),0)-IFERROR((LEN($T1830)-LEN(SUBSTITUTE($T1830,"Quality of Works / Criteria of Failings:Compliant","")))/LEN("Quality of Works / Criteria of Failings:Compliant"),0))</f>
        <v/>
      </c>
      <c r="Z1829" s="122">
        <f>IFERROR($Y1830/MAX(1,(LEN($I1830)-LEN(SUBSTITUTE($I1830," Ltd","")))/LEN(" Ltd")),0)</f>
        <v/>
      </c>
      <c r="AA1829" s="122">
        <f>IFERROR(IFERROR((LEN($T1830)-LEN(SUBSTITUTE($T1830,"Quality of Works / Criteria of Failings:","")))/LEN("Quality of Works / Criteria of Failings:"),0)/MAX(1,(LEN($I1830)-LEN(SUBSTITUTE($I1830," Ltd","")))/LEN(" Ltd")),0)</f>
        <v/>
      </c>
      <c r="AB1829" s="122">
        <f>IFERROR(IFERROR((LEN($T1830)-LEN(SUBSTITUTE($T1830,"Quality of Works / Criteria of Failings:Compliant","")))/LEN("Quality of Works / Criteria of Failings:Compliant"),0)/MAX(1,(LEN($I1830)-LEN(SUBSTITUTE($I1830," Ltd","")))/LEN(" Ltd")),0)</f>
        <v/>
      </c>
    </row>
    <row r="1830" ht="15" customHeight="1" s="146">
      <c r="Y1830" s="122">
        <f>MAX(0,IFERROR((LEN($T1831)-LEN(SUBSTITUTE($T1831,"Quality of Works / Criteria of Failings:","")))/LEN("Quality of Works / Criteria of Failings:"),0)-IFERROR((LEN($T1831)-LEN(SUBSTITUTE($T1831,"Quality of Works / Criteria of Failings:Compliant","")))/LEN("Quality of Works / Criteria of Failings:Compliant"),0))</f>
        <v/>
      </c>
      <c r="Z1830" s="122">
        <f>IFERROR($Y1831/MAX(1,(LEN($I1831)-LEN(SUBSTITUTE($I1831," Ltd","")))/LEN(" Ltd")),0)</f>
        <v/>
      </c>
      <c r="AA1830" s="122">
        <f>IFERROR(IFERROR((LEN($T1831)-LEN(SUBSTITUTE($T1831,"Quality of Works / Criteria of Failings:","")))/LEN("Quality of Works / Criteria of Failings:"),0)/MAX(1,(LEN($I1831)-LEN(SUBSTITUTE($I1831," Ltd","")))/LEN(" Ltd")),0)</f>
        <v/>
      </c>
      <c r="AB1830" s="122">
        <f>IFERROR(IFERROR((LEN($T1831)-LEN(SUBSTITUTE($T1831,"Quality of Works / Criteria of Failings:Compliant","")))/LEN("Quality of Works / Criteria of Failings:Compliant"),0)/MAX(1,(LEN($I1831)-LEN(SUBSTITUTE($I1831," Ltd","")))/LEN(" Ltd")),0)</f>
        <v/>
      </c>
    </row>
    <row r="1831" ht="15" customHeight="1" s="146">
      <c r="Y1831" s="122">
        <f>MAX(0,IFERROR((LEN($T1832)-LEN(SUBSTITUTE($T1832,"Quality of Works / Criteria of Failings:","")))/LEN("Quality of Works / Criteria of Failings:"),0)-IFERROR((LEN($T1832)-LEN(SUBSTITUTE($T1832,"Quality of Works / Criteria of Failings:Compliant","")))/LEN("Quality of Works / Criteria of Failings:Compliant"),0))</f>
        <v/>
      </c>
      <c r="Z1831" s="122">
        <f>IFERROR($Y1832/MAX(1,(LEN($I1832)-LEN(SUBSTITUTE($I1832," Ltd","")))/LEN(" Ltd")),0)</f>
        <v/>
      </c>
      <c r="AA1831" s="122">
        <f>IFERROR(IFERROR((LEN($T1832)-LEN(SUBSTITUTE($T1832,"Quality of Works / Criteria of Failings:","")))/LEN("Quality of Works / Criteria of Failings:"),0)/MAX(1,(LEN($I1832)-LEN(SUBSTITUTE($I1832," Ltd","")))/LEN(" Ltd")),0)</f>
        <v/>
      </c>
      <c r="AB1831" s="122">
        <f>IFERROR(IFERROR((LEN($T1832)-LEN(SUBSTITUTE($T1832,"Quality of Works / Criteria of Failings:Compliant","")))/LEN("Quality of Works / Criteria of Failings:Compliant"),0)/MAX(1,(LEN($I1832)-LEN(SUBSTITUTE($I1832," Ltd","")))/LEN(" Ltd")),0)</f>
        <v/>
      </c>
    </row>
    <row r="1832" ht="15" customHeight="1" s="146">
      <c r="Y1832" s="122">
        <f>MAX(0,IFERROR((LEN($T1833)-LEN(SUBSTITUTE($T1833,"Quality of Works / Criteria of Failings:","")))/LEN("Quality of Works / Criteria of Failings:"),0)-IFERROR((LEN($T1833)-LEN(SUBSTITUTE($T1833,"Quality of Works / Criteria of Failings:Compliant","")))/LEN("Quality of Works / Criteria of Failings:Compliant"),0))</f>
        <v/>
      </c>
      <c r="Z1832" s="122">
        <f>IFERROR($Y1833/MAX(1,(LEN($I1833)-LEN(SUBSTITUTE($I1833," Ltd","")))/LEN(" Ltd")),0)</f>
        <v/>
      </c>
      <c r="AA1832" s="122">
        <f>IFERROR(IFERROR((LEN($T1833)-LEN(SUBSTITUTE($T1833,"Quality of Works / Criteria of Failings:","")))/LEN("Quality of Works / Criteria of Failings:"),0)/MAX(1,(LEN($I1833)-LEN(SUBSTITUTE($I1833," Ltd","")))/LEN(" Ltd")),0)</f>
        <v/>
      </c>
      <c r="AB1832" s="122">
        <f>IFERROR(IFERROR((LEN($T1833)-LEN(SUBSTITUTE($T1833,"Quality of Works / Criteria of Failings:Compliant","")))/LEN("Quality of Works / Criteria of Failings:Compliant"),0)/MAX(1,(LEN($I1833)-LEN(SUBSTITUTE($I1833," Ltd","")))/LEN(" Ltd")),0)</f>
        <v/>
      </c>
    </row>
    <row r="1833" ht="15" customHeight="1" s="146">
      <c r="Y1833" s="122">
        <f>MAX(0,IFERROR((LEN($T1834)-LEN(SUBSTITUTE($T1834,"Quality of Works / Criteria of Failings:","")))/LEN("Quality of Works / Criteria of Failings:"),0)-IFERROR((LEN($T1834)-LEN(SUBSTITUTE($T1834,"Quality of Works / Criteria of Failings:Compliant","")))/LEN("Quality of Works / Criteria of Failings:Compliant"),0))</f>
        <v/>
      </c>
      <c r="Z1833" s="122">
        <f>IFERROR($Y1834/MAX(1,(LEN($I1834)-LEN(SUBSTITUTE($I1834," Ltd","")))/LEN(" Ltd")),0)</f>
        <v/>
      </c>
      <c r="AA1833" s="122">
        <f>IFERROR(IFERROR((LEN($T1834)-LEN(SUBSTITUTE($T1834,"Quality of Works / Criteria of Failings:","")))/LEN("Quality of Works / Criteria of Failings:"),0)/MAX(1,(LEN($I1834)-LEN(SUBSTITUTE($I1834," Ltd","")))/LEN(" Ltd")),0)</f>
        <v/>
      </c>
      <c r="AB1833" s="122">
        <f>IFERROR(IFERROR((LEN($T1834)-LEN(SUBSTITUTE($T1834,"Quality of Works / Criteria of Failings:Compliant","")))/LEN("Quality of Works / Criteria of Failings:Compliant"),0)/MAX(1,(LEN($I1834)-LEN(SUBSTITUTE($I1834," Ltd","")))/LEN(" Ltd")),0)</f>
        <v/>
      </c>
    </row>
    <row r="1834" ht="15" customHeight="1" s="146">
      <c r="Y1834" s="122">
        <f>MAX(0,IFERROR((LEN($T1835)-LEN(SUBSTITUTE($T1835,"Quality of Works / Criteria of Failings:","")))/LEN("Quality of Works / Criteria of Failings:"),0)-IFERROR((LEN($T1835)-LEN(SUBSTITUTE($T1835,"Quality of Works / Criteria of Failings:Compliant","")))/LEN("Quality of Works / Criteria of Failings:Compliant"),0))</f>
        <v/>
      </c>
      <c r="Z1834" s="122">
        <f>IFERROR($Y1835/MAX(1,(LEN($I1835)-LEN(SUBSTITUTE($I1835," Ltd","")))/LEN(" Ltd")),0)</f>
        <v/>
      </c>
      <c r="AA1834" s="122">
        <f>IFERROR(IFERROR((LEN($T1835)-LEN(SUBSTITUTE($T1835,"Quality of Works / Criteria of Failings:","")))/LEN("Quality of Works / Criteria of Failings:"),0)/MAX(1,(LEN($I1835)-LEN(SUBSTITUTE($I1835," Ltd","")))/LEN(" Ltd")),0)</f>
        <v/>
      </c>
      <c r="AB1834" s="122">
        <f>IFERROR(IFERROR((LEN($T1835)-LEN(SUBSTITUTE($T1835,"Quality of Works / Criteria of Failings:Compliant","")))/LEN("Quality of Works / Criteria of Failings:Compliant"),0)/MAX(1,(LEN($I1835)-LEN(SUBSTITUTE($I1835," Ltd","")))/LEN(" Ltd")),0)</f>
        <v/>
      </c>
    </row>
    <row r="1835" ht="15" customHeight="1" s="146">
      <c r="Y1835" s="122">
        <f>MAX(0,IFERROR((LEN($T1836)-LEN(SUBSTITUTE($T1836,"Quality of Works / Criteria of Failings:","")))/LEN("Quality of Works / Criteria of Failings:"),0)-IFERROR((LEN($T1836)-LEN(SUBSTITUTE($T1836,"Quality of Works / Criteria of Failings:Compliant","")))/LEN("Quality of Works / Criteria of Failings:Compliant"),0))</f>
        <v/>
      </c>
      <c r="Z1835" s="122">
        <f>IFERROR($Y1836/MAX(1,(LEN($I1836)-LEN(SUBSTITUTE($I1836," Ltd","")))/LEN(" Ltd")),0)</f>
        <v/>
      </c>
      <c r="AA1835" s="122">
        <f>IFERROR(IFERROR((LEN($T1836)-LEN(SUBSTITUTE($T1836,"Quality of Works / Criteria of Failings:","")))/LEN("Quality of Works / Criteria of Failings:"),0)/MAX(1,(LEN($I1836)-LEN(SUBSTITUTE($I1836," Ltd","")))/LEN(" Ltd")),0)</f>
        <v/>
      </c>
      <c r="AB1835" s="122">
        <f>IFERROR(IFERROR((LEN($T1836)-LEN(SUBSTITUTE($T1836,"Quality of Works / Criteria of Failings:Compliant","")))/LEN("Quality of Works / Criteria of Failings:Compliant"),0)/MAX(1,(LEN($I1836)-LEN(SUBSTITUTE($I1836," Ltd","")))/LEN(" Ltd")),0)</f>
        <v/>
      </c>
    </row>
    <row r="1836" ht="15" customHeight="1" s="146">
      <c r="Y1836" s="122">
        <f>MAX(0,IFERROR((LEN($T1837)-LEN(SUBSTITUTE($T1837,"Quality of Works / Criteria of Failings:","")))/LEN("Quality of Works / Criteria of Failings:"),0)-IFERROR((LEN($T1837)-LEN(SUBSTITUTE($T1837,"Quality of Works / Criteria of Failings:Compliant","")))/LEN("Quality of Works / Criteria of Failings:Compliant"),0))</f>
        <v/>
      </c>
      <c r="Z1836" s="122">
        <f>IFERROR($Y1837/MAX(1,(LEN($I1837)-LEN(SUBSTITUTE($I1837," Ltd","")))/LEN(" Ltd")),0)</f>
        <v/>
      </c>
      <c r="AA1836" s="122">
        <f>IFERROR(IFERROR((LEN($T1837)-LEN(SUBSTITUTE($T1837,"Quality of Works / Criteria of Failings:","")))/LEN("Quality of Works / Criteria of Failings:"),0)/MAX(1,(LEN($I1837)-LEN(SUBSTITUTE($I1837," Ltd","")))/LEN(" Ltd")),0)</f>
        <v/>
      </c>
      <c r="AB1836" s="122">
        <f>IFERROR(IFERROR((LEN($T1837)-LEN(SUBSTITUTE($T1837,"Quality of Works / Criteria of Failings:Compliant","")))/LEN("Quality of Works / Criteria of Failings:Compliant"),0)/MAX(1,(LEN($I1837)-LEN(SUBSTITUTE($I1837," Ltd","")))/LEN(" Ltd")),0)</f>
        <v/>
      </c>
    </row>
    <row r="1837" ht="15" customHeight="1" s="146">
      <c r="Y1837" s="122">
        <f>MAX(0,IFERROR((LEN($T1838)-LEN(SUBSTITUTE($T1838,"Quality of Works / Criteria of Failings:","")))/LEN("Quality of Works / Criteria of Failings:"),0)-IFERROR((LEN($T1838)-LEN(SUBSTITUTE($T1838,"Quality of Works / Criteria of Failings:Compliant","")))/LEN("Quality of Works / Criteria of Failings:Compliant"),0))</f>
        <v/>
      </c>
      <c r="Z1837" s="122">
        <f>IFERROR($Y1838/MAX(1,(LEN($I1838)-LEN(SUBSTITUTE($I1838," Ltd","")))/LEN(" Ltd")),0)</f>
        <v/>
      </c>
      <c r="AA1837" s="122">
        <f>IFERROR(IFERROR((LEN($T1838)-LEN(SUBSTITUTE($T1838,"Quality of Works / Criteria of Failings:","")))/LEN("Quality of Works / Criteria of Failings:"),0)/MAX(1,(LEN($I1838)-LEN(SUBSTITUTE($I1838," Ltd","")))/LEN(" Ltd")),0)</f>
        <v/>
      </c>
      <c r="AB1837" s="122">
        <f>IFERROR(IFERROR((LEN($T1838)-LEN(SUBSTITUTE($T1838,"Quality of Works / Criteria of Failings:Compliant","")))/LEN("Quality of Works / Criteria of Failings:Compliant"),0)/MAX(1,(LEN($I1838)-LEN(SUBSTITUTE($I1838," Ltd","")))/LEN(" Ltd")),0)</f>
        <v/>
      </c>
    </row>
    <row r="1838" ht="15" customHeight="1" s="146">
      <c r="Y1838" s="122">
        <f>MAX(0,IFERROR((LEN($T1839)-LEN(SUBSTITUTE($T1839,"Quality of Works / Criteria of Failings:","")))/LEN("Quality of Works / Criteria of Failings:"),0)-IFERROR((LEN($T1839)-LEN(SUBSTITUTE($T1839,"Quality of Works / Criteria of Failings:Compliant","")))/LEN("Quality of Works / Criteria of Failings:Compliant"),0))</f>
        <v/>
      </c>
      <c r="Z1838" s="122">
        <f>IFERROR($Y1839/MAX(1,(LEN($I1839)-LEN(SUBSTITUTE($I1839," Ltd","")))/LEN(" Ltd")),0)</f>
        <v/>
      </c>
      <c r="AA1838" s="122">
        <f>IFERROR(IFERROR((LEN($T1839)-LEN(SUBSTITUTE($T1839,"Quality of Works / Criteria of Failings:","")))/LEN("Quality of Works / Criteria of Failings:"),0)/MAX(1,(LEN($I1839)-LEN(SUBSTITUTE($I1839," Ltd","")))/LEN(" Ltd")),0)</f>
        <v/>
      </c>
      <c r="AB1838" s="122">
        <f>IFERROR(IFERROR((LEN($T1839)-LEN(SUBSTITUTE($T1839,"Quality of Works / Criteria of Failings:Compliant","")))/LEN("Quality of Works / Criteria of Failings:Compliant"),0)/MAX(1,(LEN($I1839)-LEN(SUBSTITUTE($I1839," Ltd","")))/LEN(" Ltd")),0)</f>
        <v/>
      </c>
    </row>
    <row r="1839" ht="15" customHeight="1" s="146">
      <c r="Y1839" s="122">
        <f>MAX(0,IFERROR((LEN($T1840)-LEN(SUBSTITUTE($T1840,"Quality of Works / Criteria of Failings:","")))/LEN("Quality of Works / Criteria of Failings:"),0)-IFERROR((LEN($T1840)-LEN(SUBSTITUTE($T1840,"Quality of Works / Criteria of Failings:Compliant","")))/LEN("Quality of Works / Criteria of Failings:Compliant"),0))</f>
        <v/>
      </c>
      <c r="Z1839" s="122">
        <f>IFERROR($Y1840/MAX(1,(LEN($I1840)-LEN(SUBSTITUTE($I1840," Ltd","")))/LEN(" Ltd")),0)</f>
        <v/>
      </c>
      <c r="AA1839" s="122">
        <f>IFERROR(IFERROR((LEN($T1840)-LEN(SUBSTITUTE($T1840,"Quality of Works / Criteria of Failings:","")))/LEN("Quality of Works / Criteria of Failings:"),0)/MAX(1,(LEN($I1840)-LEN(SUBSTITUTE($I1840," Ltd","")))/LEN(" Ltd")),0)</f>
        <v/>
      </c>
      <c r="AB1839" s="122">
        <f>IFERROR(IFERROR((LEN($T1840)-LEN(SUBSTITUTE($T1840,"Quality of Works / Criteria of Failings:Compliant","")))/LEN("Quality of Works / Criteria of Failings:Compliant"),0)/MAX(1,(LEN($I1840)-LEN(SUBSTITUTE($I1840," Ltd","")))/LEN(" Ltd")),0)</f>
        <v/>
      </c>
    </row>
    <row r="1840" ht="15" customHeight="1" s="146">
      <c r="Y1840" s="122">
        <f>MAX(0,IFERROR((LEN($T1841)-LEN(SUBSTITUTE($T1841,"Quality of Works / Criteria of Failings:","")))/LEN("Quality of Works / Criteria of Failings:"),0)-IFERROR((LEN($T1841)-LEN(SUBSTITUTE($T1841,"Quality of Works / Criteria of Failings:Compliant","")))/LEN("Quality of Works / Criteria of Failings:Compliant"),0))</f>
        <v/>
      </c>
      <c r="Z1840" s="122">
        <f>IFERROR($Y1841/MAX(1,(LEN($I1841)-LEN(SUBSTITUTE($I1841," Ltd","")))/LEN(" Ltd")),0)</f>
        <v/>
      </c>
      <c r="AA1840" s="122">
        <f>IFERROR(IFERROR((LEN($T1841)-LEN(SUBSTITUTE($T1841,"Quality of Works / Criteria of Failings:","")))/LEN("Quality of Works / Criteria of Failings:"),0)/MAX(1,(LEN($I1841)-LEN(SUBSTITUTE($I1841," Ltd","")))/LEN(" Ltd")),0)</f>
        <v/>
      </c>
      <c r="AB1840" s="122">
        <f>IFERROR(IFERROR((LEN($T1841)-LEN(SUBSTITUTE($T1841,"Quality of Works / Criteria of Failings:Compliant","")))/LEN("Quality of Works / Criteria of Failings:Compliant"),0)/MAX(1,(LEN($I1841)-LEN(SUBSTITUTE($I1841," Ltd","")))/LEN(" Ltd")),0)</f>
        <v/>
      </c>
    </row>
    <row r="1841" ht="15" customHeight="1" s="146">
      <c r="Y1841" s="122">
        <f>MAX(0,IFERROR((LEN($T1842)-LEN(SUBSTITUTE($T1842,"Quality of Works / Criteria of Failings:","")))/LEN("Quality of Works / Criteria of Failings:"),0)-IFERROR((LEN($T1842)-LEN(SUBSTITUTE($T1842,"Quality of Works / Criteria of Failings:Compliant","")))/LEN("Quality of Works / Criteria of Failings:Compliant"),0))</f>
        <v/>
      </c>
      <c r="Z1841" s="122">
        <f>IFERROR($Y1842/MAX(1,(LEN($I1842)-LEN(SUBSTITUTE($I1842," Ltd","")))/LEN(" Ltd")),0)</f>
        <v/>
      </c>
      <c r="AA1841" s="122">
        <f>IFERROR(IFERROR((LEN($T1842)-LEN(SUBSTITUTE($T1842,"Quality of Works / Criteria of Failings:","")))/LEN("Quality of Works / Criteria of Failings:"),0)/MAX(1,(LEN($I1842)-LEN(SUBSTITUTE($I1842," Ltd","")))/LEN(" Ltd")),0)</f>
        <v/>
      </c>
      <c r="AB1841" s="122">
        <f>IFERROR(IFERROR((LEN($T1842)-LEN(SUBSTITUTE($T1842,"Quality of Works / Criteria of Failings:Compliant","")))/LEN("Quality of Works / Criteria of Failings:Compliant"),0)/MAX(1,(LEN($I1842)-LEN(SUBSTITUTE($I1842," Ltd","")))/LEN(" Ltd")),0)</f>
        <v/>
      </c>
    </row>
    <row r="1842" ht="15" customHeight="1" s="146">
      <c r="Y1842" s="122">
        <f>MAX(0,IFERROR((LEN($T1843)-LEN(SUBSTITUTE($T1843,"Quality of Works / Criteria of Failings:","")))/LEN("Quality of Works / Criteria of Failings:"),0)-IFERROR((LEN($T1843)-LEN(SUBSTITUTE($T1843,"Quality of Works / Criteria of Failings:Compliant","")))/LEN("Quality of Works / Criteria of Failings:Compliant"),0))</f>
        <v/>
      </c>
      <c r="Z1842" s="122">
        <f>IFERROR($Y1843/MAX(1,(LEN($I1843)-LEN(SUBSTITUTE($I1843," Ltd","")))/LEN(" Ltd")),0)</f>
        <v/>
      </c>
      <c r="AA1842" s="122">
        <f>IFERROR(IFERROR((LEN($T1843)-LEN(SUBSTITUTE($T1843,"Quality of Works / Criteria of Failings:","")))/LEN("Quality of Works / Criteria of Failings:"),0)/MAX(1,(LEN($I1843)-LEN(SUBSTITUTE($I1843," Ltd","")))/LEN(" Ltd")),0)</f>
        <v/>
      </c>
      <c r="AB1842" s="122">
        <f>IFERROR(IFERROR((LEN($T1843)-LEN(SUBSTITUTE($T1843,"Quality of Works / Criteria of Failings:Compliant","")))/LEN("Quality of Works / Criteria of Failings:Compliant"),0)/MAX(1,(LEN($I1843)-LEN(SUBSTITUTE($I1843," Ltd","")))/LEN(" Ltd")),0)</f>
        <v/>
      </c>
    </row>
    <row r="1843" ht="15" customHeight="1" s="146">
      <c r="Y1843" s="122">
        <f>MAX(0,IFERROR((LEN($T1844)-LEN(SUBSTITUTE($T1844,"Quality of Works / Criteria of Failings:","")))/LEN("Quality of Works / Criteria of Failings:"),0)-IFERROR((LEN($T1844)-LEN(SUBSTITUTE($T1844,"Quality of Works / Criteria of Failings:Compliant","")))/LEN("Quality of Works / Criteria of Failings:Compliant"),0))</f>
        <v/>
      </c>
      <c r="Z1843" s="122">
        <f>IFERROR($Y1844/MAX(1,(LEN($I1844)-LEN(SUBSTITUTE($I1844," Ltd","")))/LEN(" Ltd")),0)</f>
        <v/>
      </c>
      <c r="AA1843" s="122">
        <f>IFERROR(IFERROR((LEN($T1844)-LEN(SUBSTITUTE($T1844,"Quality of Works / Criteria of Failings:","")))/LEN("Quality of Works / Criteria of Failings:"),0)/MAX(1,(LEN($I1844)-LEN(SUBSTITUTE($I1844," Ltd","")))/LEN(" Ltd")),0)</f>
        <v/>
      </c>
      <c r="AB1843" s="122">
        <f>IFERROR(IFERROR((LEN($T1844)-LEN(SUBSTITUTE($T1844,"Quality of Works / Criteria of Failings:Compliant","")))/LEN("Quality of Works / Criteria of Failings:Compliant"),0)/MAX(1,(LEN($I1844)-LEN(SUBSTITUTE($I1844," Ltd","")))/LEN(" Ltd")),0)</f>
        <v/>
      </c>
    </row>
    <row r="1844" ht="15" customHeight="1" s="146">
      <c r="Y1844" s="122">
        <f>MAX(0,IFERROR((LEN($T1845)-LEN(SUBSTITUTE($T1845,"Quality of Works / Criteria of Failings:","")))/LEN("Quality of Works / Criteria of Failings:"),0)-IFERROR((LEN($T1845)-LEN(SUBSTITUTE($T1845,"Quality of Works / Criteria of Failings:Compliant","")))/LEN("Quality of Works / Criteria of Failings:Compliant"),0))</f>
        <v/>
      </c>
      <c r="Z1844" s="122">
        <f>IFERROR($Y1845/MAX(1,(LEN($I1845)-LEN(SUBSTITUTE($I1845," Ltd","")))/LEN(" Ltd")),0)</f>
        <v/>
      </c>
      <c r="AA1844" s="122">
        <f>IFERROR(IFERROR((LEN($T1845)-LEN(SUBSTITUTE($T1845,"Quality of Works / Criteria of Failings:","")))/LEN("Quality of Works / Criteria of Failings:"),0)/MAX(1,(LEN($I1845)-LEN(SUBSTITUTE($I1845," Ltd","")))/LEN(" Ltd")),0)</f>
        <v/>
      </c>
      <c r="AB1844" s="122">
        <f>IFERROR(IFERROR((LEN($T1845)-LEN(SUBSTITUTE($T1845,"Quality of Works / Criteria of Failings:Compliant","")))/LEN("Quality of Works / Criteria of Failings:Compliant"),0)/MAX(1,(LEN($I1845)-LEN(SUBSTITUTE($I1845," Ltd","")))/LEN(" Ltd")),0)</f>
        <v/>
      </c>
    </row>
    <row r="1845" ht="15" customHeight="1" s="146">
      <c r="Y1845" s="122">
        <f>MAX(0,IFERROR((LEN($T1846)-LEN(SUBSTITUTE($T1846,"Quality of Works / Criteria of Failings:","")))/LEN("Quality of Works / Criteria of Failings:"),0)-IFERROR((LEN($T1846)-LEN(SUBSTITUTE($T1846,"Quality of Works / Criteria of Failings:Compliant","")))/LEN("Quality of Works / Criteria of Failings:Compliant"),0))</f>
        <v/>
      </c>
      <c r="Z1845" s="122">
        <f>IFERROR($Y1846/MAX(1,(LEN($I1846)-LEN(SUBSTITUTE($I1846," Ltd","")))/LEN(" Ltd")),0)</f>
        <v/>
      </c>
      <c r="AA1845" s="122">
        <f>IFERROR(IFERROR((LEN($T1846)-LEN(SUBSTITUTE($T1846,"Quality of Works / Criteria of Failings:","")))/LEN("Quality of Works / Criteria of Failings:"),0)/MAX(1,(LEN($I1846)-LEN(SUBSTITUTE($I1846," Ltd","")))/LEN(" Ltd")),0)</f>
        <v/>
      </c>
      <c r="AB1845" s="122">
        <f>IFERROR(IFERROR((LEN($T1846)-LEN(SUBSTITUTE($T1846,"Quality of Works / Criteria of Failings:Compliant","")))/LEN("Quality of Works / Criteria of Failings:Compliant"),0)/MAX(1,(LEN($I1846)-LEN(SUBSTITUTE($I1846," Ltd","")))/LEN(" Ltd")),0)</f>
        <v/>
      </c>
    </row>
    <row r="1846" ht="15" customHeight="1" s="146">
      <c r="Y1846" s="122">
        <f>MAX(0,IFERROR((LEN($T1847)-LEN(SUBSTITUTE($T1847,"Quality of Works / Criteria of Failings:","")))/LEN("Quality of Works / Criteria of Failings:"),0)-IFERROR((LEN($T1847)-LEN(SUBSTITUTE($T1847,"Quality of Works / Criteria of Failings:Compliant","")))/LEN("Quality of Works / Criteria of Failings:Compliant"),0))</f>
        <v/>
      </c>
      <c r="Z1846" s="122">
        <f>IFERROR($Y1847/MAX(1,(LEN($I1847)-LEN(SUBSTITUTE($I1847," Ltd","")))/LEN(" Ltd")),0)</f>
        <v/>
      </c>
      <c r="AA1846" s="122">
        <f>IFERROR(IFERROR((LEN($T1847)-LEN(SUBSTITUTE($T1847,"Quality of Works / Criteria of Failings:","")))/LEN("Quality of Works / Criteria of Failings:"),0)/MAX(1,(LEN($I1847)-LEN(SUBSTITUTE($I1847," Ltd","")))/LEN(" Ltd")),0)</f>
        <v/>
      </c>
      <c r="AB1846" s="122">
        <f>IFERROR(IFERROR((LEN($T1847)-LEN(SUBSTITUTE($T1847,"Quality of Works / Criteria of Failings:Compliant","")))/LEN("Quality of Works / Criteria of Failings:Compliant"),0)/MAX(1,(LEN($I1847)-LEN(SUBSTITUTE($I1847," Ltd","")))/LEN(" Ltd")),0)</f>
        <v/>
      </c>
    </row>
    <row r="1847" ht="15" customHeight="1" s="146">
      <c r="Y1847" s="122">
        <f>MAX(0,IFERROR((LEN($T1848)-LEN(SUBSTITUTE($T1848,"Quality of Works / Criteria of Failings:","")))/LEN("Quality of Works / Criteria of Failings:"),0)-IFERROR((LEN($T1848)-LEN(SUBSTITUTE($T1848,"Quality of Works / Criteria of Failings:Compliant","")))/LEN("Quality of Works / Criteria of Failings:Compliant"),0))</f>
        <v/>
      </c>
      <c r="Z1847" s="122">
        <f>IFERROR($Y1848/MAX(1,(LEN($I1848)-LEN(SUBSTITUTE($I1848," Ltd","")))/LEN(" Ltd")),0)</f>
        <v/>
      </c>
      <c r="AA1847" s="122">
        <f>IFERROR(IFERROR((LEN($T1848)-LEN(SUBSTITUTE($T1848,"Quality of Works / Criteria of Failings:","")))/LEN("Quality of Works / Criteria of Failings:"),0)/MAX(1,(LEN($I1848)-LEN(SUBSTITUTE($I1848," Ltd","")))/LEN(" Ltd")),0)</f>
        <v/>
      </c>
      <c r="AB1847" s="122">
        <f>IFERROR(IFERROR((LEN($T1848)-LEN(SUBSTITUTE($T1848,"Quality of Works / Criteria of Failings:Compliant","")))/LEN("Quality of Works / Criteria of Failings:Compliant"),0)/MAX(1,(LEN($I1848)-LEN(SUBSTITUTE($I1848," Ltd","")))/LEN(" Ltd")),0)</f>
        <v/>
      </c>
    </row>
    <row r="1848" ht="15" customHeight="1" s="146">
      <c r="Y1848" s="122">
        <f>MAX(0,IFERROR((LEN($T1849)-LEN(SUBSTITUTE($T1849,"Quality of Works / Criteria of Failings:","")))/LEN("Quality of Works / Criteria of Failings:"),0)-IFERROR((LEN($T1849)-LEN(SUBSTITUTE($T1849,"Quality of Works / Criteria of Failings:Compliant","")))/LEN("Quality of Works / Criteria of Failings:Compliant"),0))</f>
        <v/>
      </c>
      <c r="Z1848" s="122">
        <f>IFERROR($Y1849/MAX(1,(LEN($I1849)-LEN(SUBSTITUTE($I1849," Ltd","")))/LEN(" Ltd")),0)</f>
        <v/>
      </c>
      <c r="AA1848" s="122">
        <f>IFERROR(IFERROR((LEN($T1849)-LEN(SUBSTITUTE($T1849,"Quality of Works / Criteria of Failings:","")))/LEN("Quality of Works / Criteria of Failings:"),0)/MAX(1,(LEN($I1849)-LEN(SUBSTITUTE($I1849," Ltd","")))/LEN(" Ltd")),0)</f>
        <v/>
      </c>
      <c r="AB1848" s="122">
        <f>IFERROR(IFERROR((LEN($T1849)-LEN(SUBSTITUTE($T1849,"Quality of Works / Criteria of Failings:Compliant","")))/LEN("Quality of Works / Criteria of Failings:Compliant"),0)/MAX(1,(LEN($I1849)-LEN(SUBSTITUTE($I1849," Ltd","")))/LEN(" Ltd")),0)</f>
        <v/>
      </c>
    </row>
    <row r="1849" ht="15" customHeight="1" s="146">
      <c r="Y1849" s="122">
        <f>MAX(0,IFERROR((LEN($T1850)-LEN(SUBSTITUTE($T1850,"Quality of Works / Criteria of Failings:","")))/LEN("Quality of Works / Criteria of Failings:"),0)-IFERROR((LEN($T1850)-LEN(SUBSTITUTE($T1850,"Quality of Works / Criteria of Failings:Compliant","")))/LEN("Quality of Works / Criteria of Failings:Compliant"),0))</f>
        <v/>
      </c>
      <c r="Z1849" s="122">
        <f>IFERROR($Y1850/MAX(1,(LEN($I1850)-LEN(SUBSTITUTE($I1850," Ltd","")))/LEN(" Ltd")),0)</f>
        <v/>
      </c>
      <c r="AA1849" s="122">
        <f>IFERROR(IFERROR((LEN($T1850)-LEN(SUBSTITUTE($T1850,"Quality of Works / Criteria of Failings:","")))/LEN("Quality of Works / Criteria of Failings:"),0)/MAX(1,(LEN($I1850)-LEN(SUBSTITUTE($I1850," Ltd","")))/LEN(" Ltd")),0)</f>
        <v/>
      </c>
      <c r="AB1849" s="122">
        <f>IFERROR(IFERROR((LEN($T1850)-LEN(SUBSTITUTE($T1850,"Quality of Works / Criteria of Failings:Compliant","")))/LEN("Quality of Works / Criteria of Failings:Compliant"),0)/MAX(1,(LEN($I1850)-LEN(SUBSTITUTE($I1850," Ltd","")))/LEN(" Ltd")),0)</f>
        <v/>
      </c>
    </row>
    <row r="1850" ht="15" customHeight="1" s="146">
      <c r="Y1850" s="122">
        <f>MAX(0,IFERROR((LEN($T1851)-LEN(SUBSTITUTE($T1851,"Quality of Works / Criteria of Failings:","")))/LEN("Quality of Works / Criteria of Failings:"),0)-IFERROR((LEN($T1851)-LEN(SUBSTITUTE($T1851,"Quality of Works / Criteria of Failings:Compliant","")))/LEN("Quality of Works / Criteria of Failings:Compliant"),0))</f>
        <v/>
      </c>
      <c r="Z1850" s="122">
        <f>IFERROR($Y1851/MAX(1,(LEN($I1851)-LEN(SUBSTITUTE($I1851," Ltd","")))/LEN(" Ltd")),0)</f>
        <v/>
      </c>
      <c r="AA1850" s="122">
        <f>IFERROR(IFERROR((LEN($T1851)-LEN(SUBSTITUTE($T1851,"Quality of Works / Criteria of Failings:","")))/LEN("Quality of Works / Criteria of Failings:"),0)/MAX(1,(LEN($I1851)-LEN(SUBSTITUTE($I1851," Ltd","")))/LEN(" Ltd")),0)</f>
        <v/>
      </c>
      <c r="AB1850" s="122">
        <f>IFERROR(IFERROR((LEN($T1851)-LEN(SUBSTITUTE($T1851,"Quality of Works / Criteria of Failings:Compliant","")))/LEN("Quality of Works / Criteria of Failings:Compliant"),0)/MAX(1,(LEN($I1851)-LEN(SUBSTITUTE($I1851," Ltd","")))/LEN(" Ltd")),0)</f>
        <v/>
      </c>
    </row>
    <row r="1851" ht="15" customHeight="1" s="146">
      <c r="Y1851" s="122">
        <f>MAX(0,IFERROR((LEN($T1852)-LEN(SUBSTITUTE($T1852,"Quality of Works / Criteria of Failings:","")))/LEN("Quality of Works / Criteria of Failings:"),0)-IFERROR((LEN($T1852)-LEN(SUBSTITUTE($T1852,"Quality of Works / Criteria of Failings:Compliant","")))/LEN("Quality of Works / Criteria of Failings:Compliant"),0))</f>
        <v/>
      </c>
      <c r="Z1851" s="122">
        <f>IFERROR($Y1852/MAX(1,(LEN($I1852)-LEN(SUBSTITUTE($I1852," Ltd","")))/LEN(" Ltd")),0)</f>
        <v/>
      </c>
      <c r="AA1851" s="122">
        <f>IFERROR(IFERROR((LEN($T1852)-LEN(SUBSTITUTE($T1852,"Quality of Works / Criteria of Failings:","")))/LEN("Quality of Works / Criteria of Failings:"),0)/MAX(1,(LEN($I1852)-LEN(SUBSTITUTE($I1852," Ltd","")))/LEN(" Ltd")),0)</f>
        <v/>
      </c>
      <c r="AB1851" s="122">
        <f>IFERROR(IFERROR((LEN($T1852)-LEN(SUBSTITUTE($T1852,"Quality of Works / Criteria of Failings:Compliant","")))/LEN("Quality of Works / Criteria of Failings:Compliant"),0)/MAX(1,(LEN($I1852)-LEN(SUBSTITUTE($I1852," Ltd","")))/LEN(" Ltd")),0)</f>
        <v/>
      </c>
    </row>
    <row r="1852" ht="15" customHeight="1" s="146">
      <c r="Y1852" s="122">
        <f>MAX(0,IFERROR((LEN($T1853)-LEN(SUBSTITUTE($T1853,"Quality of Works / Criteria of Failings:","")))/LEN("Quality of Works / Criteria of Failings:"),0)-IFERROR((LEN($T1853)-LEN(SUBSTITUTE($T1853,"Quality of Works / Criteria of Failings:Compliant","")))/LEN("Quality of Works / Criteria of Failings:Compliant"),0))</f>
        <v/>
      </c>
      <c r="Z1852" s="122">
        <f>IFERROR($Y1853/MAX(1,(LEN($I1853)-LEN(SUBSTITUTE($I1853," Ltd","")))/LEN(" Ltd")),0)</f>
        <v/>
      </c>
      <c r="AA1852" s="122">
        <f>IFERROR(IFERROR((LEN($T1853)-LEN(SUBSTITUTE($T1853,"Quality of Works / Criteria of Failings:","")))/LEN("Quality of Works / Criteria of Failings:"),0)/MAX(1,(LEN($I1853)-LEN(SUBSTITUTE($I1853," Ltd","")))/LEN(" Ltd")),0)</f>
        <v/>
      </c>
      <c r="AB1852" s="122">
        <f>IFERROR(IFERROR((LEN($T1853)-LEN(SUBSTITUTE($T1853,"Quality of Works / Criteria of Failings:Compliant","")))/LEN("Quality of Works / Criteria of Failings:Compliant"),0)/MAX(1,(LEN($I1853)-LEN(SUBSTITUTE($I1853," Ltd","")))/LEN(" Ltd")),0)</f>
        <v/>
      </c>
    </row>
    <row r="1853" ht="15" customHeight="1" s="146">
      <c r="Y1853" s="122">
        <f>MAX(0,IFERROR((LEN($T1854)-LEN(SUBSTITUTE($T1854,"Quality of Works / Criteria of Failings:","")))/LEN("Quality of Works / Criteria of Failings:"),0)-IFERROR((LEN($T1854)-LEN(SUBSTITUTE($T1854,"Quality of Works / Criteria of Failings:Compliant","")))/LEN("Quality of Works / Criteria of Failings:Compliant"),0))</f>
        <v/>
      </c>
      <c r="Z1853" s="122">
        <f>IFERROR($Y1854/MAX(1,(LEN($I1854)-LEN(SUBSTITUTE($I1854," Ltd","")))/LEN(" Ltd")),0)</f>
        <v/>
      </c>
      <c r="AA1853" s="122">
        <f>IFERROR(IFERROR((LEN($T1854)-LEN(SUBSTITUTE($T1854,"Quality of Works / Criteria of Failings:","")))/LEN("Quality of Works / Criteria of Failings:"),0)/MAX(1,(LEN($I1854)-LEN(SUBSTITUTE($I1854," Ltd","")))/LEN(" Ltd")),0)</f>
        <v/>
      </c>
      <c r="AB1853" s="122">
        <f>IFERROR(IFERROR((LEN($T1854)-LEN(SUBSTITUTE($T1854,"Quality of Works / Criteria of Failings:Compliant","")))/LEN("Quality of Works / Criteria of Failings:Compliant"),0)/MAX(1,(LEN($I1854)-LEN(SUBSTITUTE($I1854," Ltd","")))/LEN(" Ltd")),0)</f>
        <v/>
      </c>
    </row>
    <row r="1854" ht="15" customHeight="1" s="146">
      <c r="Y1854" s="122">
        <f>MAX(0,IFERROR((LEN($T1855)-LEN(SUBSTITUTE($T1855,"Quality of Works / Criteria of Failings:","")))/LEN("Quality of Works / Criteria of Failings:"),0)-IFERROR((LEN($T1855)-LEN(SUBSTITUTE($T1855,"Quality of Works / Criteria of Failings:Compliant","")))/LEN("Quality of Works / Criteria of Failings:Compliant"),0))</f>
        <v/>
      </c>
      <c r="Z1854" s="122">
        <f>IFERROR($Y1855/MAX(1,(LEN($I1855)-LEN(SUBSTITUTE($I1855," Ltd","")))/LEN(" Ltd")),0)</f>
        <v/>
      </c>
      <c r="AA1854" s="122">
        <f>IFERROR(IFERROR((LEN($T1855)-LEN(SUBSTITUTE($T1855,"Quality of Works / Criteria of Failings:","")))/LEN("Quality of Works / Criteria of Failings:"),0)/MAX(1,(LEN($I1855)-LEN(SUBSTITUTE($I1855," Ltd","")))/LEN(" Ltd")),0)</f>
        <v/>
      </c>
      <c r="AB1854" s="122">
        <f>IFERROR(IFERROR((LEN($T1855)-LEN(SUBSTITUTE($T1855,"Quality of Works / Criteria of Failings:Compliant","")))/LEN("Quality of Works / Criteria of Failings:Compliant"),0)/MAX(1,(LEN($I1855)-LEN(SUBSTITUTE($I1855," Ltd","")))/LEN(" Ltd")),0)</f>
        <v/>
      </c>
    </row>
    <row r="1855" ht="15" customHeight="1" s="146">
      <c r="Y1855" s="122">
        <f>MAX(0,IFERROR((LEN($T1856)-LEN(SUBSTITUTE($T1856,"Quality of Works / Criteria of Failings:","")))/LEN("Quality of Works / Criteria of Failings:"),0)-IFERROR((LEN($T1856)-LEN(SUBSTITUTE($T1856,"Quality of Works / Criteria of Failings:Compliant","")))/LEN("Quality of Works / Criteria of Failings:Compliant"),0))</f>
        <v/>
      </c>
      <c r="Z1855" s="122">
        <f>IFERROR($Y1856/MAX(1,(LEN($I1856)-LEN(SUBSTITUTE($I1856," Ltd","")))/LEN(" Ltd")),0)</f>
        <v/>
      </c>
      <c r="AA1855" s="122">
        <f>IFERROR(IFERROR((LEN($T1856)-LEN(SUBSTITUTE($T1856,"Quality of Works / Criteria of Failings:","")))/LEN("Quality of Works / Criteria of Failings:"),0)/MAX(1,(LEN($I1856)-LEN(SUBSTITUTE($I1856," Ltd","")))/LEN(" Ltd")),0)</f>
        <v/>
      </c>
      <c r="AB1855" s="122">
        <f>IFERROR(IFERROR((LEN($T1856)-LEN(SUBSTITUTE($T1856,"Quality of Works / Criteria of Failings:Compliant","")))/LEN("Quality of Works / Criteria of Failings:Compliant"),0)/MAX(1,(LEN($I1856)-LEN(SUBSTITUTE($I1856," Ltd","")))/LEN(" Ltd")),0)</f>
        <v/>
      </c>
    </row>
    <row r="1856" ht="15" customHeight="1" s="146">
      <c r="Y1856" s="122">
        <f>MAX(0,IFERROR((LEN($T1857)-LEN(SUBSTITUTE($T1857,"Quality of Works / Criteria of Failings:","")))/LEN("Quality of Works / Criteria of Failings:"),0)-IFERROR((LEN($T1857)-LEN(SUBSTITUTE($T1857,"Quality of Works / Criteria of Failings:Compliant","")))/LEN("Quality of Works / Criteria of Failings:Compliant"),0))</f>
        <v/>
      </c>
      <c r="Z1856" s="122">
        <f>IFERROR($Y1857/MAX(1,(LEN($I1857)-LEN(SUBSTITUTE($I1857," Ltd","")))/LEN(" Ltd")),0)</f>
        <v/>
      </c>
      <c r="AA1856" s="122">
        <f>IFERROR(IFERROR((LEN($T1857)-LEN(SUBSTITUTE($T1857,"Quality of Works / Criteria of Failings:","")))/LEN("Quality of Works / Criteria of Failings:"),0)/MAX(1,(LEN($I1857)-LEN(SUBSTITUTE($I1857," Ltd","")))/LEN(" Ltd")),0)</f>
        <v/>
      </c>
      <c r="AB1856" s="122">
        <f>IFERROR(IFERROR((LEN($T1857)-LEN(SUBSTITUTE($T1857,"Quality of Works / Criteria of Failings:Compliant","")))/LEN("Quality of Works / Criteria of Failings:Compliant"),0)/MAX(1,(LEN($I1857)-LEN(SUBSTITUTE($I1857," Ltd","")))/LEN(" Ltd")),0)</f>
        <v/>
      </c>
    </row>
    <row r="1857" ht="15" customHeight="1" s="146">
      <c r="Y1857" s="122">
        <f>MAX(0,IFERROR((LEN($T1858)-LEN(SUBSTITUTE($T1858,"Quality of Works / Criteria of Failings:","")))/LEN("Quality of Works / Criteria of Failings:"),0)-IFERROR((LEN($T1858)-LEN(SUBSTITUTE($T1858,"Quality of Works / Criteria of Failings:Compliant","")))/LEN("Quality of Works / Criteria of Failings:Compliant"),0))</f>
        <v/>
      </c>
      <c r="Z1857" s="122">
        <f>IFERROR($Y1858/MAX(1,(LEN($I1858)-LEN(SUBSTITUTE($I1858," Ltd","")))/LEN(" Ltd")),0)</f>
        <v/>
      </c>
      <c r="AA1857" s="122">
        <f>IFERROR(IFERROR((LEN($T1858)-LEN(SUBSTITUTE($T1858,"Quality of Works / Criteria of Failings:","")))/LEN("Quality of Works / Criteria of Failings:"),0)/MAX(1,(LEN($I1858)-LEN(SUBSTITUTE($I1858," Ltd","")))/LEN(" Ltd")),0)</f>
        <v/>
      </c>
      <c r="AB1857" s="122">
        <f>IFERROR(IFERROR((LEN($T1858)-LEN(SUBSTITUTE($T1858,"Quality of Works / Criteria of Failings:Compliant","")))/LEN("Quality of Works / Criteria of Failings:Compliant"),0)/MAX(1,(LEN($I1858)-LEN(SUBSTITUTE($I1858," Ltd","")))/LEN(" Ltd")),0)</f>
        <v/>
      </c>
    </row>
    <row r="1858" ht="15" customHeight="1" s="146">
      <c r="Y1858" s="122">
        <f>MAX(0,IFERROR((LEN($T1859)-LEN(SUBSTITUTE($T1859,"Quality of Works / Criteria of Failings:","")))/LEN("Quality of Works / Criteria of Failings:"),0)-IFERROR((LEN($T1859)-LEN(SUBSTITUTE($T1859,"Quality of Works / Criteria of Failings:Compliant","")))/LEN("Quality of Works / Criteria of Failings:Compliant"),0))</f>
        <v/>
      </c>
      <c r="Z1858" s="122">
        <f>IFERROR($Y1859/MAX(1,(LEN($I1859)-LEN(SUBSTITUTE($I1859," Ltd","")))/LEN(" Ltd")),0)</f>
        <v/>
      </c>
      <c r="AA1858" s="122">
        <f>IFERROR(IFERROR((LEN($T1859)-LEN(SUBSTITUTE($T1859,"Quality of Works / Criteria of Failings:","")))/LEN("Quality of Works / Criteria of Failings:"),0)/MAX(1,(LEN($I1859)-LEN(SUBSTITUTE($I1859," Ltd","")))/LEN(" Ltd")),0)</f>
        <v/>
      </c>
      <c r="AB1858" s="122">
        <f>IFERROR(IFERROR((LEN($T1859)-LEN(SUBSTITUTE($T1859,"Quality of Works / Criteria of Failings:Compliant","")))/LEN("Quality of Works / Criteria of Failings:Compliant"),0)/MAX(1,(LEN($I1859)-LEN(SUBSTITUTE($I1859," Ltd","")))/LEN(" Ltd")),0)</f>
        <v/>
      </c>
    </row>
    <row r="1859" ht="15" customHeight="1" s="146">
      <c r="Y1859" s="122">
        <f>MAX(0,IFERROR((LEN($T1860)-LEN(SUBSTITUTE($T1860,"Quality of Works / Criteria of Failings:","")))/LEN("Quality of Works / Criteria of Failings:"),0)-IFERROR((LEN($T1860)-LEN(SUBSTITUTE($T1860,"Quality of Works / Criteria of Failings:Compliant","")))/LEN("Quality of Works / Criteria of Failings:Compliant"),0))</f>
        <v/>
      </c>
      <c r="Z1859" s="122">
        <f>IFERROR($Y1860/MAX(1,(LEN($I1860)-LEN(SUBSTITUTE($I1860," Ltd","")))/LEN(" Ltd")),0)</f>
        <v/>
      </c>
      <c r="AA1859" s="122">
        <f>IFERROR(IFERROR((LEN($T1860)-LEN(SUBSTITUTE($T1860,"Quality of Works / Criteria of Failings:","")))/LEN("Quality of Works / Criteria of Failings:"),0)/MAX(1,(LEN($I1860)-LEN(SUBSTITUTE($I1860," Ltd","")))/LEN(" Ltd")),0)</f>
        <v/>
      </c>
      <c r="AB1859" s="122">
        <f>IFERROR(IFERROR((LEN($T1860)-LEN(SUBSTITUTE($T1860,"Quality of Works / Criteria of Failings:Compliant","")))/LEN("Quality of Works / Criteria of Failings:Compliant"),0)/MAX(1,(LEN($I1860)-LEN(SUBSTITUTE($I1860," Ltd","")))/LEN(" Ltd")),0)</f>
        <v/>
      </c>
    </row>
    <row r="1860" ht="15" customHeight="1" s="146">
      <c r="Y1860" s="122">
        <f>MAX(0,IFERROR((LEN($T1861)-LEN(SUBSTITUTE($T1861,"Quality of Works / Criteria of Failings:","")))/LEN("Quality of Works / Criteria of Failings:"),0)-IFERROR((LEN($T1861)-LEN(SUBSTITUTE($T1861,"Quality of Works / Criteria of Failings:Compliant","")))/LEN("Quality of Works / Criteria of Failings:Compliant"),0))</f>
        <v/>
      </c>
      <c r="Z1860" s="122">
        <f>IFERROR($Y1861/MAX(1,(LEN($I1861)-LEN(SUBSTITUTE($I1861," Ltd","")))/LEN(" Ltd")),0)</f>
        <v/>
      </c>
      <c r="AA1860" s="122">
        <f>IFERROR(IFERROR((LEN($T1861)-LEN(SUBSTITUTE($T1861,"Quality of Works / Criteria of Failings:","")))/LEN("Quality of Works / Criteria of Failings:"),0)/MAX(1,(LEN($I1861)-LEN(SUBSTITUTE($I1861," Ltd","")))/LEN(" Ltd")),0)</f>
        <v/>
      </c>
      <c r="AB1860" s="122">
        <f>IFERROR(IFERROR((LEN($T1861)-LEN(SUBSTITUTE($T1861,"Quality of Works / Criteria of Failings:Compliant","")))/LEN("Quality of Works / Criteria of Failings:Compliant"),0)/MAX(1,(LEN($I1861)-LEN(SUBSTITUTE($I1861," Ltd","")))/LEN(" Ltd")),0)</f>
        <v/>
      </c>
    </row>
    <row r="1861" ht="15" customHeight="1" s="146">
      <c r="Y1861" s="122">
        <f>MAX(0,IFERROR((LEN($T1862)-LEN(SUBSTITUTE($T1862,"Quality of Works / Criteria of Failings:","")))/LEN("Quality of Works / Criteria of Failings:"),0)-IFERROR((LEN($T1862)-LEN(SUBSTITUTE($T1862,"Quality of Works / Criteria of Failings:Compliant","")))/LEN("Quality of Works / Criteria of Failings:Compliant"),0))</f>
        <v/>
      </c>
      <c r="Z1861" s="122">
        <f>IFERROR($Y1862/MAX(1,(LEN($I1862)-LEN(SUBSTITUTE($I1862," Ltd","")))/LEN(" Ltd")),0)</f>
        <v/>
      </c>
      <c r="AA1861" s="122">
        <f>IFERROR(IFERROR((LEN($T1862)-LEN(SUBSTITUTE($T1862,"Quality of Works / Criteria of Failings:","")))/LEN("Quality of Works / Criteria of Failings:"),0)/MAX(1,(LEN($I1862)-LEN(SUBSTITUTE($I1862," Ltd","")))/LEN(" Ltd")),0)</f>
        <v/>
      </c>
      <c r="AB1861" s="122">
        <f>IFERROR(IFERROR((LEN($T1862)-LEN(SUBSTITUTE($T1862,"Quality of Works / Criteria of Failings:Compliant","")))/LEN("Quality of Works / Criteria of Failings:Compliant"),0)/MAX(1,(LEN($I1862)-LEN(SUBSTITUTE($I1862," Ltd","")))/LEN(" Ltd")),0)</f>
        <v/>
      </c>
    </row>
    <row r="1862" ht="15" customHeight="1" s="146">
      <c r="Y1862" s="122">
        <f>MAX(0,IFERROR((LEN($T1863)-LEN(SUBSTITUTE($T1863,"Quality of Works / Criteria of Failings:","")))/LEN("Quality of Works / Criteria of Failings:"),0)-IFERROR((LEN($T1863)-LEN(SUBSTITUTE($T1863,"Quality of Works / Criteria of Failings:Compliant","")))/LEN("Quality of Works / Criteria of Failings:Compliant"),0))</f>
        <v/>
      </c>
      <c r="Z1862" s="122">
        <f>IFERROR($Y1863/MAX(1,(LEN($I1863)-LEN(SUBSTITUTE($I1863," Ltd","")))/LEN(" Ltd")),0)</f>
        <v/>
      </c>
      <c r="AA1862" s="122">
        <f>IFERROR(IFERROR((LEN($T1863)-LEN(SUBSTITUTE($T1863,"Quality of Works / Criteria of Failings:","")))/LEN("Quality of Works / Criteria of Failings:"),0)/MAX(1,(LEN($I1863)-LEN(SUBSTITUTE($I1863," Ltd","")))/LEN(" Ltd")),0)</f>
        <v/>
      </c>
      <c r="AB1862" s="122">
        <f>IFERROR(IFERROR((LEN($T1863)-LEN(SUBSTITUTE($T1863,"Quality of Works / Criteria of Failings:Compliant","")))/LEN("Quality of Works / Criteria of Failings:Compliant"),0)/MAX(1,(LEN($I1863)-LEN(SUBSTITUTE($I1863," Ltd","")))/LEN(" Ltd")),0)</f>
        <v/>
      </c>
    </row>
    <row r="1863" ht="15" customHeight="1" s="146">
      <c r="Y1863" s="122">
        <f>MAX(0,IFERROR((LEN($T1864)-LEN(SUBSTITUTE($T1864,"Quality of Works / Criteria of Failings:","")))/LEN("Quality of Works / Criteria of Failings:"),0)-IFERROR((LEN($T1864)-LEN(SUBSTITUTE($T1864,"Quality of Works / Criteria of Failings:Compliant","")))/LEN("Quality of Works / Criteria of Failings:Compliant"),0))</f>
        <v/>
      </c>
      <c r="Z1863" s="122">
        <f>IFERROR($Y1864/MAX(1,(LEN($I1864)-LEN(SUBSTITUTE($I1864," Ltd","")))/LEN(" Ltd")),0)</f>
        <v/>
      </c>
      <c r="AA1863" s="122">
        <f>IFERROR(IFERROR((LEN($T1864)-LEN(SUBSTITUTE($T1864,"Quality of Works / Criteria of Failings:","")))/LEN("Quality of Works / Criteria of Failings:"),0)/MAX(1,(LEN($I1864)-LEN(SUBSTITUTE($I1864," Ltd","")))/LEN(" Ltd")),0)</f>
        <v/>
      </c>
      <c r="AB1863" s="122">
        <f>IFERROR(IFERROR((LEN($T1864)-LEN(SUBSTITUTE($T1864,"Quality of Works / Criteria of Failings:Compliant","")))/LEN("Quality of Works / Criteria of Failings:Compliant"),0)/MAX(1,(LEN($I1864)-LEN(SUBSTITUTE($I1864," Ltd","")))/LEN(" Ltd")),0)</f>
        <v/>
      </c>
    </row>
    <row r="1864" ht="15" customHeight="1" s="146">
      <c r="Y1864" s="122">
        <f>MAX(0,IFERROR((LEN($T1865)-LEN(SUBSTITUTE($T1865,"Quality of Works / Criteria of Failings:","")))/LEN("Quality of Works / Criteria of Failings:"),0)-IFERROR((LEN($T1865)-LEN(SUBSTITUTE($T1865,"Quality of Works / Criteria of Failings:Compliant","")))/LEN("Quality of Works / Criteria of Failings:Compliant"),0))</f>
        <v/>
      </c>
      <c r="Z1864" s="122">
        <f>IFERROR($Y1865/MAX(1,(LEN($I1865)-LEN(SUBSTITUTE($I1865," Ltd","")))/LEN(" Ltd")),0)</f>
        <v/>
      </c>
      <c r="AA1864" s="122">
        <f>IFERROR(IFERROR((LEN($T1865)-LEN(SUBSTITUTE($T1865,"Quality of Works / Criteria of Failings:","")))/LEN("Quality of Works / Criteria of Failings:"),0)/MAX(1,(LEN($I1865)-LEN(SUBSTITUTE($I1865," Ltd","")))/LEN(" Ltd")),0)</f>
        <v/>
      </c>
      <c r="AB1864" s="122">
        <f>IFERROR(IFERROR((LEN($T1865)-LEN(SUBSTITUTE($T1865,"Quality of Works / Criteria of Failings:Compliant","")))/LEN("Quality of Works / Criteria of Failings:Compliant"),0)/MAX(1,(LEN($I1865)-LEN(SUBSTITUTE($I1865," Ltd","")))/LEN(" Ltd")),0)</f>
        <v/>
      </c>
    </row>
    <row r="1865" ht="15" customHeight="1" s="146">
      <c r="Y1865" s="122">
        <f>MAX(0,IFERROR((LEN($T1866)-LEN(SUBSTITUTE($T1866,"Quality of Works / Criteria of Failings:","")))/LEN("Quality of Works / Criteria of Failings:"),0)-IFERROR((LEN($T1866)-LEN(SUBSTITUTE($T1866,"Quality of Works / Criteria of Failings:Compliant","")))/LEN("Quality of Works / Criteria of Failings:Compliant"),0))</f>
        <v/>
      </c>
      <c r="Z1865" s="122">
        <f>IFERROR($Y1866/MAX(1,(LEN($I1866)-LEN(SUBSTITUTE($I1866," Ltd","")))/LEN(" Ltd")),0)</f>
        <v/>
      </c>
      <c r="AA1865" s="122">
        <f>IFERROR(IFERROR((LEN($T1866)-LEN(SUBSTITUTE($T1866,"Quality of Works / Criteria of Failings:","")))/LEN("Quality of Works / Criteria of Failings:"),0)/MAX(1,(LEN($I1866)-LEN(SUBSTITUTE($I1866," Ltd","")))/LEN(" Ltd")),0)</f>
        <v/>
      </c>
      <c r="AB1865" s="122">
        <f>IFERROR(IFERROR((LEN($T1866)-LEN(SUBSTITUTE($T1866,"Quality of Works / Criteria of Failings:Compliant","")))/LEN("Quality of Works / Criteria of Failings:Compliant"),0)/MAX(1,(LEN($I1866)-LEN(SUBSTITUTE($I1866," Ltd","")))/LEN(" Ltd")),0)</f>
        <v/>
      </c>
    </row>
    <row r="1866" ht="15" customHeight="1" s="146">
      <c r="Y1866" s="122">
        <f>MAX(0,IFERROR((LEN($T1867)-LEN(SUBSTITUTE($T1867,"Quality of Works / Criteria of Failings:","")))/LEN("Quality of Works / Criteria of Failings:"),0)-IFERROR((LEN($T1867)-LEN(SUBSTITUTE($T1867,"Quality of Works / Criteria of Failings:Compliant","")))/LEN("Quality of Works / Criteria of Failings:Compliant"),0))</f>
        <v/>
      </c>
      <c r="Z1866" s="122">
        <f>IFERROR($Y1867/MAX(1,(LEN($I1867)-LEN(SUBSTITUTE($I1867," Ltd","")))/LEN(" Ltd")),0)</f>
        <v/>
      </c>
      <c r="AA1866" s="122">
        <f>IFERROR(IFERROR((LEN($T1867)-LEN(SUBSTITUTE($T1867,"Quality of Works / Criteria of Failings:","")))/LEN("Quality of Works / Criteria of Failings:"),0)/MAX(1,(LEN($I1867)-LEN(SUBSTITUTE($I1867," Ltd","")))/LEN(" Ltd")),0)</f>
        <v/>
      </c>
      <c r="AB1866" s="122">
        <f>IFERROR(IFERROR((LEN($T1867)-LEN(SUBSTITUTE($T1867,"Quality of Works / Criteria of Failings:Compliant","")))/LEN("Quality of Works / Criteria of Failings:Compliant"),0)/MAX(1,(LEN($I1867)-LEN(SUBSTITUTE($I1867," Ltd","")))/LEN(" Ltd")),0)</f>
        <v/>
      </c>
    </row>
    <row r="1867" ht="15" customHeight="1" s="146">
      <c r="Y1867" s="122">
        <f>MAX(0,IFERROR((LEN($T1868)-LEN(SUBSTITUTE($T1868,"Quality of Works / Criteria of Failings:","")))/LEN("Quality of Works / Criteria of Failings:"),0)-IFERROR((LEN($T1868)-LEN(SUBSTITUTE($T1868,"Quality of Works / Criteria of Failings:Compliant","")))/LEN("Quality of Works / Criteria of Failings:Compliant"),0))</f>
        <v/>
      </c>
      <c r="Z1867" s="122">
        <f>IFERROR($Y1868/MAX(1,(LEN($I1868)-LEN(SUBSTITUTE($I1868," Ltd","")))/LEN(" Ltd")),0)</f>
        <v/>
      </c>
      <c r="AA1867" s="122">
        <f>IFERROR(IFERROR((LEN($T1868)-LEN(SUBSTITUTE($T1868,"Quality of Works / Criteria of Failings:","")))/LEN("Quality of Works / Criteria of Failings:"),0)/MAX(1,(LEN($I1868)-LEN(SUBSTITUTE($I1868," Ltd","")))/LEN(" Ltd")),0)</f>
        <v/>
      </c>
      <c r="AB1867" s="122">
        <f>IFERROR(IFERROR((LEN($T1868)-LEN(SUBSTITUTE($T1868,"Quality of Works / Criteria of Failings:Compliant","")))/LEN("Quality of Works / Criteria of Failings:Compliant"),0)/MAX(1,(LEN($I1868)-LEN(SUBSTITUTE($I1868," Ltd","")))/LEN(" Ltd")),0)</f>
        <v/>
      </c>
    </row>
    <row r="1868" ht="15" customHeight="1" s="146">
      <c r="Y1868" s="122">
        <f>MAX(0,IFERROR((LEN($T1869)-LEN(SUBSTITUTE($T1869,"Quality of Works / Criteria of Failings:","")))/LEN("Quality of Works / Criteria of Failings:"),0)-IFERROR((LEN($T1869)-LEN(SUBSTITUTE($T1869,"Quality of Works / Criteria of Failings:Compliant","")))/LEN("Quality of Works / Criteria of Failings:Compliant"),0))</f>
        <v/>
      </c>
      <c r="Z1868" s="122">
        <f>IFERROR($Y1869/MAX(1,(LEN($I1869)-LEN(SUBSTITUTE($I1869," Ltd","")))/LEN(" Ltd")),0)</f>
        <v/>
      </c>
      <c r="AA1868" s="122">
        <f>IFERROR(IFERROR((LEN($T1869)-LEN(SUBSTITUTE($T1869,"Quality of Works / Criteria of Failings:","")))/LEN("Quality of Works / Criteria of Failings:"),0)/MAX(1,(LEN($I1869)-LEN(SUBSTITUTE($I1869," Ltd","")))/LEN(" Ltd")),0)</f>
        <v/>
      </c>
      <c r="AB1868" s="122">
        <f>IFERROR(IFERROR((LEN($T1869)-LEN(SUBSTITUTE($T1869,"Quality of Works / Criteria of Failings:Compliant","")))/LEN("Quality of Works / Criteria of Failings:Compliant"),0)/MAX(1,(LEN($I1869)-LEN(SUBSTITUTE($I1869," Ltd","")))/LEN(" Ltd")),0)</f>
        <v/>
      </c>
    </row>
    <row r="1869" ht="15" customHeight="1" s="146">
      <c r="Y1869" s="122">
        <f>MAX(0,IFERROR((LEN($T1870)-LEN(SUBSTITUTE($T1870,"Quality of Works / Criteria of Failings:","")))/LEN("Quality of Works / Criteria of Failings:"),0)-IFERROR((LEN($T1870)-LEN(SUBSTITUTE($T1870,"Quality of Works / Criteria of Failings:Compliant","")))/LEN("Quality of Works / Criteria of Failings:Compliant"),0))</f>
        <v/>
      </c>
      <c r="Z1869" s="122">
        <f>IFERROR($Y1870/MAX(1,(LEN($I1870)-LEN(SUBSTITUTE($I1870," Ltd","")))/LEN(" Ltd")),0)</f>
        <v/>
      </c>
      <c r="AA1869" s="122">
        <f>IFERROR(IFERROR((LEN($T1870)-LEN(SUBSTITUTE($T1870,"Quality of Works / Criteria of Failings:","")))/LEN("Quality of Works / Criteria of Failings:"),0)/MAX(1,(LEN($I1870)-LEN(SUBSTITUTE($I1870," Ltd","")))/LEN(" Ltd")),0)</f>
        <v/>
      </c>
      <c r="AB1869" s="122">
        <f>IFERROR(IFERROR((LEN($T1870)-LEN(SUBSTITUTE($T1870,"Quality of Works / Criteria of Failings:Compliant","")))/LEN("Quality of Works / Criteria of Failings:Compliant"),0)/MAX(1,(LEN($I1870)-LEN(SUBSTITUTE($I1870," Ltd","")))/LEN(" Ltd")),0)</f>
        <v/>
      </c>
    </row>
    <row r="1870" ht="15" customHeight="1" s="146">
      <c r="Y1870" s="122">
        <f>MAX(0,IFERROR((LEN($T1871)-LEN(SUBSTITUTE($T1871,"Quality of Works / Criteria of Failings:","")))/LEN("Quality of Works / Criteria of Failings:"),0)-IFERROR((LEN($T1871)-LEN(SUBSTITUTE($T1871,"Quality of Works / Criteria of Failings:Compliant","")))/LEN("Quality of Works / Criteria of Failings:Compliant"),0))</f>
        <v/>
      </c>
      <c r="Z1870" s="122">
        <f>IFERROR($Y1871/MAX(1,(LEN($I1871)-LEN(SUBSTITUTE($I1871," Ltd","")))/LEN(" Ltd")),0)</f>
        <v/>
      </c>
      <c r="AA1870" s="122">
        <f>IFERROR(IFERROR((LEN($T1871)-LEN(SUBSTITUTE($T1871,"Quality of Works / Criteria of Failings:","")))/LEN("Quality of Works / Criteria of Failings:"),0)/MAX(1,(LEN($I1871)-LEN(SUBSTITUTE($I1871," Ltd","")))/LEN(" Ltd")),0)</f>
        <v/>
      </c>
      <c r="AB1870" s="122">
        <f>IFERROR(IFERROR((LEN($T1871)-LEN(SUBSTITUTE($T1871,"Quality of Works / Criteria of Failings:Compliant","")))/LEN("Quality of Works / Criteria of Failings:Compliant"),0)/MAX(1,(LEN($I1871)-LEN(SUBSTITUTE($I1871," Ltd","")))/LEN(" Ltd")),0)</f>
        <v/>
      </c>
    </row>
    <row r="1871" ht="15" customHeight="1" s="146">
      <c r="Y1871" s="122">
        <f>MAX(0,IFERROR((LEN($T1872)-LEN(SUBSTITUTE($T1872,"Quality of Works / Criteria of Failings:","")))/LEN("Quality of Works / Criteria of Failings:"),0)-IFERROR((LEN($T1872)-LEN(SUBSTITUTE($T1872,"Quality of Works / Criteria of Failings:Compliant","")))/LEN("Quality of Works / Criteria of Failings:Compliant"),0))</f>
        <v/>
      </c>
      <c r="Z1871" s="122">
        <f>IFERROR($Y1872/MAX(1,(LEN($I1872)-LEN(SUBSTITUTE($I1872," Ltd","")))/LEN(" Ltd")),0)</f>
        <v/>
      </c>
      <c r="AA1871" s="122">
        <f>IFERROR(IFERROR((LEN($T1872)-LEN(SUBSTITUTE($T1872,"Quality of Works / Criteria of Failings:","")))/LEN("Quality of Works / Criteria of Failings:"),0)/MAX(1,(LEN($I1872)-LEN(SUBSTITUTE($I1872," Ltd","")))/LEN(" Ltd")),0)</f>
        <v/>
      </c>
      <c r="AB1871" s="122">
        <f>IFERROR(IFERROR((LEN($T1872)-LEN(SUBSTITUTE($T1872,"Quality of Works / Criteria of Failings:Compliant","")))/LEN("Quality of Works / Criteria of Failings:Compliant"),0)/MAX(1,(LEN($I1872)-LEN(SUBSTITUTE($I1872," Ltd","")))/LEN(" Ltd")),0)</f>
        <v/>
      </c>
    </row>
    <row r="1872" ht="15" customHeight="1" s="146">
      <c r="Y1872" s="122">
        <f>MAX(0,IFERROR((LEN($T1873)-LEN(SUBSTITUTE($T1873,"Quality of Works / Criteria of Failings:","")))/LEN("Quality of Works / Criteria of Failings:"),0)-IFERROR((LEN($T1873)-LEN(SUBSTITUTE($T1873,"Quality of Works / Criteria of Failings:Compliant","")))/LEN("Quality of Works / Criteria of Failings:Compliant"),0))</f>
        <v/>
      </c>
      <c r="Z1872" s="122">
        <f>IFERROR($Y1873/MAX(1,(LEN($I1873)-LEN(SUBSTITUTE($I1873," Ltd","")))/LEN(" Ltd")),0)</f>
        <v/>
      </c>
      <c r="AA1872" s="122">
        <f>IFERROR(IFERROR((LEN($T1873)-LEN(SUBSTITUTE($T1873,"Quality of Works / Criteria of Failings:","")))/LEN("Quality of Works / Criteria of Failings:"),0)/MAX(1,(LEN($I1873)-LEN(SUBSTITUTE($I1873," Ltd","")))/LEN(" Ltd")),0)</f>
        <v/>
      </c>
      <c r="AB1872" s="122">
        <f>IFERROR(IFERROR((LEN($T1873)-LEN(SUBSTITUTE($T1873,"Quality of Works / Criteria of Failings:Compliant","")))/LEN("Quality of Works / Criteria of Failings:Compliant"),0)/MAX(1,(LEN($I1873)-LEN(SUBSTITUTE($I1873," Ltd","")))/LEN(" Ltd")),0)</f>
        <v/>
      </c>
    </row>
    <row r="1873" ht="15" customHeight="1" s="146">
      <c r="Y1873" s="122">
        <f>MAX(0,IFERROR((LEN($T1874)-LEN(SUBSTITUTE($T1874,"Quality of Works / Criteria of Failings:","")))/LEN("Quality of Works / Criteria of Failings:"),0)-IFERROR((LEN($T1874)-LEN(SUBSTITUTE($T1874,"Quality of Works / Criteria of Failings:Compliant","")))/LEN("Quality of Works / Criteria of Failings:Compliant"),0))</f>
        <v/>
      </c>
      <c r="Z1873" s="122">
        <f>IFERROR($Y1874/MAX(1,(LEN($I1874)-LEN(SUBSTITUTE($I1874," Ltd","")))/LEN(" Ltd")),0)</f>
        <v/>
      </c>
      <c r="AA1873" s="122">
        <f>IFERROR(IFERROR((LEN($T1874)-LEN(SUBSTITUTE($T1874,"Quality of Works / Criteria of Failings:","")))/LEN("Quality of Works / Criteria of Failings:"),0)/MAX(1,(LEN($I1874)-LEN(SUBSTITUTE($I1874," Ltd","")))/LEN(" Ltd")),0)</f>
        <v/>
      </c>
      <c r="AB1873" s="122">
        <f>IFERROR(IFERROR((LEN($T1874)-LEN(SUBSTITUTE($T1874,"Quality of Works / Criteria of Failings:Compliant","")))/LEN("Quality of Works / Criteria of Failings:Compliant"),0)/MAX(1,(LEN($I1874)-LEN(SUBSTITUTE($I1874," Ltd","")))/LEN(" Ltd")),0)</f>
        <v/>
      </c>
    </row>
    <row r="1874" ht="15" customHeight="1" s="146">
      <c r="Y1874" s="122">
        <f>MAX(0,IFERROR((LEN($T1875)-LEN(SUBSTITUTE($T1875,"Quality of Works / Criteria of Failings:","")))/LEN("Quality of Works / Criteria of Failings:"),0)-IFERROR((LEN($T1875)-LEN(SUBSTITUTE($T1875,"Quality of Works / Criteria of Failings:Compliant","")))/LEN("Quality of Works / Criteria of Failings:Compliant"),0))</f>
        <v/>
      </c>
      <c r="Z1874" s="122">
        <f>IFERROR($Y1875/MAX(1,(LEN($I1875)-LEN(SUBSTITUTE($I1875," Ltd","")))/LEN(" Ltd")),0)</f>
        <v/>
      </c>
      <c r="AA1874" s="122">
        <f>IFERROR(IFERROR((LEN($T1875)-LEN(SUBSTITUTE($T1875,"Quality of Works / Criteria of Failings:","")))/LEN("Quality of Works / Criteria of Failings:"),0)/MAX(1,(LEN($I1875)-LEN(SUBSTITUTE($I1875," Ltd","")))/LEN(" Ltd")),0)</f>
        <v/>
      </c>
      <c r="AB1874" s="122">
        <f>IFERROR(IFERROR((LEN($T1875)-LEN(SUBSTITUTE($T1875,"Quality of Works / Criteria of Failings:Compliant","")))/LEN("Quality of Works / Criteria of Failings:Compliant"),0)/MAX(1,(LEN($I1875)-LEN(SUBSTITUTE($I1875," Ltd","")))/LEN(" Ltd")),0)</f>
        <v/>
      </c>
    </row>
    <row r="1875" ht="15" customHeight="1" s="146">
      <c r="Y1875" s="122">
        <f>MAX(0,IFERROR((LEN($T1876)-LEN(SUBSTITUTE($T1876,"Quality of Works / Criteria of Failings:","")))/LEN("Quality of Works / Criteria of Failings:"),0)-IFERROR((LEN($T1876)-LEN(SUBSTITUTE($T1876,"Quality of Works / Criteria of Failings:Compliant","")))/LEN("Quality of Works / Criteria of Failings:Compliant"),0))</f>
        <v/>
      </c>
      <c r="Z1875" s="122">
        <f>IFERROR($Y1876/MAX(1,(LEN($I1876)-LEN(SUBSTITUTE($I1876," Ltd","")))/LEN(" Ltd")),0)</f>
        <v/>
      </c>
      <c r="AA1875" s="122">
        <f>IFERROR(IFERROR((LEN($T1876)-LEN(SUBSTITUTE($T1876,"Quality of Works / Criteria of Failings:","")))/LEN("Quality of Works / Criteria of Failings:"),0)/MAX(1,(LEN($I1876)-LEN(SUBSTITUTE($I1876," Ltd","")))/LEN(" Ltd")),0)</f>
        <v/>
      </c>
      <c r="AB1875" s="122">
        <f>IFERROR(IFERROR((LEN($T1876)-LEN(SUBSTITUTE($T1876,"Quality of Works / Criteria of Failings:Compliant","")))/LEN("Quality of Works / Criteria of Failings:Compliant"),0)/MAX(1,(LEN($I1876)-LEN(SUBSTITUTE($I1876," Ltd","")))/LEN(" Ltd")),0)</f>
        <v/>
      </c>
    </row>
    <row r="1876" ht="15" customHeight="1" s="146">
      <c r="Y1876" s="122">
        <f>MAX(0,IFERROR((LEN($T1877)-LEN(SUBSTITUTE($T1877,"Quality of Works / Criteria of Failings:","")))/LEN("Quality of Works / Criteria of Failings:"),0)-IFERROR((LEN($T1877)-LEN(SUBSTITUTE($T1877,"Quality of Works / Criteria of Failings:Compliant","")))/LEN("Quality of Works / Criteria of Failings:Compliant"),0))</f>
        <v/>
      </c>
      <c r="Z1876" s="122">
        <f>IFERROR($Y1877/MAX(1,(LEN($I1877)-LEN(SUBSTITUTE($I1877," Ltd","")))/LEN(" Ltd")),0)</f>
        <v/>
      </c>
      <c r="AA1876" s="122">
        <f>IFERROR(IFERROR((LEN($T1877)-LEN(SUBSTITUTE($T1877,"Quality of Works / Criteria of Failings:","")))/LEN("Quality of Works / Criteria of Failings:"),0)/MAX(1,(LEN($I1877)-LEN(SUBSTITUTE($I1877," Ltd","")))/LEN(" Ltd")),0)</f>
        <v/>
      </c>
      <c r="AB1876" s="122">
        <f>IFERROR(IFERROR((LEN($T1877)-LEN(SUBSTITUTE($T1877,"Quality of Works / Criteria of Failings:Compliant","")))/LEN("Quality of Works / Criteria of Failings:Compliant"),0)/MAX(1,(LEN($I1877)-LEN(SUBSTITUTE($I1877," Ltd","")))/LEN(" Ltd")),0)</f>
        <v/>
      </c>
    </row>
    <row r="1877" ht="15" customHeight="1" s="146">
      <c r="Y1877" s="122">
        <f>MAX(0,IFERROR((LEN($T1878)-LEN(SUBSTITUTE($T1878,"Quality of Works / Criteria of Failings:","")))/LEN("Quality of Works / Criteria of Failings:"),0)-IFERROR((LEN($T1878)-LEN(SUBSTITUTE($T1878,"Quality of Works / Criteria of Failings:Compliant","")))/LEN("Quality of Works / Criteria of Failings:Compliant"),0))</f>
        <v/>
      </c>
      <c r="Z1877" s="122">
        <f>IFERROR($Y1878/MAX(1,(LEN($I1878)-LEN(SUBSTITUTE($I1878," Ltd","")))/LEN(" Ltd")),0)</f>
        <v/>
      </c>
      <c r="AA1877" s="122">
        <f>IFERROR(IFERROR((LEN($T1878)-LEN(SUBSTITUTE($T1878,"Quality of Works / Criteria of Failings:","")))/LEN("Quality of Works / Criteria of Failings:"),0)/MAX(1,(LEN($I1878)-LEN(SUBSTITUTE($I1878," Ltd","")))/LEN(" Ltd")),0)</f>
        <v/>
      </c>
      <c r="AB1877" s="122">
        <f>IFERROR(IFERROR((LEN($T1878)-LEN(SUBSTITUTE($T1878,"Quality of Works / Criteria of Failings:Compliant","")))/LEN("Quality of Works / Criteria of Failings:Compliant"),0)/MAX(1,(LEN($I1878)-LEN(SUBSTITUTE($I1878," Ltd","")))/LEN(" Ltd")),0)</f>
        <v/>
      </c>
    </row>
    <row r="1878" ht="15" customHeight="1" s="146">
      <c r="Y1878" s="122">
        <f>MAX(0,IFERROR((LEN($T1879)-LEN(SUBSTITUTE($T1879,"Quality of Works / Criteria of Failings:","")))/LEN("Quality of Works / Criteria of Failings:"),0)-IFERROR((LEN($T1879)-LEN(SUBSTITUTE($T1879,"Quality of Works / Criteria of Failings:Compliant","")))/LEN("Quality of Works / Criteria of Failings:Compliant"),0))</f>
        <v/>
      </c>
      <c r="Z1878" s="122">
        <f>IFERROR($Y1879/MAX(1,(LEN($I1879)-LEN(SUBSTITUTE($I1879," Ltd","")))/LEN(" Ltd")),0)</f>
        <v/>
      </c>
      <c r="AA1878" s="122">
        <f>IFERROR(IFERROR((LEN($T1879)-LEN(SUBSTITUTE($T1879,"Quality of Works / Criteria of Failings:","")))/LEN("Quality of Works / Criteria of Failings:"),0)/MAX(1,(LEN($I1879)-LEN(SUBSTITUTE($I1879," Ltd","")))/LEN(" Ltd")),0)</f>
        <v/>
      </c>
      <c r="AB1878" s="122">
        <f>IFERROR(IFERROR((LEN($T1879)-LEN(SUBSTITUTE($T1879,"Quality of Works / Criteria of Failings:Compliant","")))/LEN("Quality of Works / Criteria of Failings:Compliant"),0)/MAX(1,(LEN($I1879)-LEN(SUBSTITUTE($I1879," Ltd","")))/LEN(" Ltd")),0)</f>
        <v/>
      </c>
    </row>
    <row r="1879" ht="15" customHeight="1" s="146">
      <c r="Y1879" s="122">
        <f>MAX(0,IFERROR((LEN($T1880)-LEN(SUBSTITUTE($T1880,"Quality of Works / Criteria of Failings:","")))/LEN("Quality of Works / Criteria of Failings:"),0)-IFERROR((LEN($T1880)-LEN(SUBSTITUTE($T1880,"Quality of Works / Criteria of Failings:Compliant","")))/LEN("Quality of Works / Criteria of Failings:Compliant"),0))</f>
        <v/>
      </c>
      <c r="Z1879" s="122">
        <f>IFERROR($Y1880/MAX(1,(LEN($I1880)-LEN(SUBSTITUTE($I1880," Ltd","")))/LEN(" Ltd")),0)</f>
        <v/>
      </c>
      <c r="AA1879" s="122">
        <f>IFERROR(IFERROR((LEN($T1880)-LEN(SUBSTITUTE($T1880,"Quality of Works / Criteria of Failings:","")))/LEN("Quality of Works / Criteria of Failings:"),0)/MAX(1,(LEN($I1880)-LEN(SUBSTITUTE($I1880," Ltd","")))/LEN(" Ltd")),0)</f>
        <v/>
      </c>
      <c r="AB1879" s="122">
        <f>IFERROR(IFERROR((LEN($T1880)-LEN(SUBSTITUTE($T1880,"Quality of Works / Criteria of Failings:Compliant","")))/LEN("Quality of Works / Criteria of Failings:Compliant"),0)/MAX(1,(LEN($I1880)-LEN(SUBSTITUTE($I1880," Ltd","")))/LEN(" Ltd")),0)</f>
        <v/>
      </c>
    </row>
    <row r="1880" ht="15" customHeight="1" s="146">
      <c r="Y1880" s="122">
        <f>MAX(0,IFERROR((LEN($T1881)-LEN(SUBSTITUTE($T1881,"Quality of Works / Criteria of Failings:","")))/LEN("Quality of Works / Criteria of Failings:"),0)-IFERROR((LEN($T1881)-LEN(SUBSTITUTE($T1881,"Quality of Works / Criteria of Failings:Compliant","")))/LEN("Quality of Works / Criteria of Failings:Compliant"),0))</f>
        <v/>
      </c>
      <c r="Z1880" s="122">
        <f>IFERROR($Y1881/MAX(1,(LEN($I1881)-LEN(SUBSTITUTE($I1881," Ltd","")))/LEN(" Ltd")),0)</f>
        <v/>
      </c>
      <c r="AA1880" s="122">
        <f>IFERROR(IFERROR((LEN($T1881)-LEN(SUBSTITUTE($T1881,"Quality of Works / Criteria of Failings:","")))/LEN("Quality of Works / Criteria of Failings:"),0)/MAX(1,(LEN($I1881)-LEN(SUBSTITUTE($I1881," Ltd","")))/LEN(" Ltd")),0)</f>
        <v/>
      </c>
      <c r="AB1880" s="122">
        <f>IFERROR(IFERROR((LEN($T1881)-LEN(SUBSTITUTE($T1881,"Quality of Works / Criteria of Failings:Compliant","")))/LEN("Quality of Works / Criteria of Failings:Compliant"),0)/MAX(1,(LEN($I1881)-LEN(SUBSTITUTE($I1881," Ltd","")))/LEN(" Ltd")),0)</f>
        <v/>
      </c>
    </row>
    <row r="1881" ht="15" customHeight="1" s="146">
      <c r="Y1881" s="122">
        <f>MAX(0,IFERROR((LEN($T1882)-LEN(SUBSTITUTE($T1882,"Quality of Works / Criteria of Failings:","")))/LEN("Quality of Works / Criteria of Failings:"),0)-IFERROR((LEN($T1882)-LEN(SUBSTITUTE($T1882,"Quality of Works / Criteria of Failings:Compliant","")))/LEN("Quality of Works / Criteria of Failings:Compliant"),0))</f>
        <v/>
      </c>
      <c r="Z1881" s="122">
        <f>IFERROR($Y1882/MAX(1,(LEN($I1882)-LEN(SUBSTITUTE($I1882," Ltd","")))/LEN(" Ltd")),0)</f>
        <v/>
      </c>
      <c r="AA1881" s="122">
        <f>IFERROR(IFERROR((LEN($T1882)-LEN(SUBSTITUTE($T1882,"Quality of Works / Criteria of Failings:","")))/LEN("Quality of Works / Criteria of Failings:"),0)/MAX(1,(LEN($I1882)-LEN(SUBSTITUTE($I1882," Ltd","")))/LEN(" Ltd")),0)</f>
        <v/>
      </c>
      <c r="AB1881" s="122">
        <f>IFERROR(IFERROR((LEN($T1882)-LEN(SUBSTITUTE($T1882,"Quality of Works / Criteria of Failings:Compliant","")))/LEN("Quality of Works / Criteria of Failings:Compliant"),0)/MAX(1,(LEN($I1882)-LEN(SUBSTITUTE($I1882," Ltd","")))/LEN(" Ltd")),0)</f>
        <v/>
      </c>
    </row>
    <row r="1882" ht="15" customHeight="1" s="146">
      <c r="Y1882" s="122">
        <f>MAX(0,IFERROR((LEN($T1883)-LEN(SUBSTITUTE($T1883,"Quality of Works / Criteria of Failings:","")))/LEN("Quality of Works / Criteria of Failings:"),0)-IFERROR((LEN($T1883)-LEN(SUBSTITUTE($T1883,"Quality of Works / Criteria of Failings:Compliant","")))/LEN("Quality of Works / Criteria of Failings:Compliant"),0))</f>
        <v/>
      </c>
      <c r="Z1882" s="122">
        <f>IFERROR($Y1883/MAX(1,(LEN($I1883)-LEN(SUBSTITUTE($I1883," Ltd","")))/LEN(" Ltd")),0)</f>
        <v/>
      </c>
      <c r="AA1882" s="122">
        <f>IFERROR(IFERROR((LEN($T1883)-LEN(SUBSTITUTE($T1883,"Quality of Works / Criteria of Failings:","")))/LEN("Quality of Works / Criteria of Failings:"),0)/MAX(1,(LEN($I1883)-LEN(SUBSTITUTE($I1883," Ltd","")))/LEN(" Ltd")),0)</f>
        <v/>
      </c>
      <c r="AB1882" s="122">
        <f>IFERROR(IFERROR((LEN($T1883)-LEN(SUBSTITUTE($T1883,"Quality of Works / Criteria of Failings:Compliant","")))/LEN("Quality of Works / Criteria of Failings:Compliant"),0)/MAX(1,(LEN($I1883)-LEN(SUBSTITUTE($I1883," Ltd","")))/LEN(" Ltd")),0)</f>
        <v/>
      </c>
    </row>
    <row r="1883" ht="15" customHeight="1" s="146">
      <c r="Y1883" s="122">
        <f>MAX(0,IFERROR((LEN($T1884)-LEN(SUBSTITUTE($T1884,"Quality of Works / Criteria of Failings:","")))/LEN("Quality of Works / Criteria of Failings:"),0)-IFERROR((LEN($T1884)-LEN(SUBSTITUTE($T1884,"Quality of Works / Criteria of Failings:Compliant","")))/LEN("Quality of Works / Criteria of Failings:Compliant"),0))</f>
        <v/>
      </c>
      <c r="Z1883" s="122">
        <f>IFERROR($Y1884/MAX(1,(LEN($I1884)-LEN(SUBSTITUTE($I1884," Ltd","")))/LEN(" Ltd")),0)</f>
        <v/>
      </c>
      <c r="AA1883" s="122">
        <f>IFERROR(IFERROR((LEN($T1884)-LEN(SUBSTITUTE($T1884,"Quality of Works / Criteria of Failings:","")))/LEN("Quality of Works / Criteria of Failings:"),0)/MAX(1,(LEN($I1884)-LEN(SUBSTITUTE($I1884," Ltd","")))/LEN(" Ltd")),0)</f>
        <v/>
      </c>
      <c r="AB1883" s="122">
        <f>IFERROR(IFERROR((LEN($T1884)-LEN(SUBSTITUTE($T1884,"Quality of Works / Criteria of Failings:Compliant","")))/LEN("Quality of Works / Criteria of Failings:Compliant"),0)/MAX(1,(LEN($I1884)-LEN(SUBSTITUTE($I1884," Ltd","")))/LEN(" Ltd")),0)</f>
        <v/>
      </c>
    </row>
    <row r="1884" ht="15" customHeight="1" s="146">
      <c r="Y1884" s="122">
        <f>MAX(0,IFERROR((LEN($T1885)-LEN(SUBSTITUTE($T1885,"Quality of Works / Criteria of Failings:","")))/LEN("Quality of Works / Criteria of Failings:"),0)-IFERROR((LEN($T1885)-LEN(SUBSTITUTE($T1885,"Quality of Works / Criteria of Failings:Compliant","")))/LEN("Quality of Works / Criteria of Failings:Compliant"),0))</f>
        <v/>
      </c>
      <c r="Z1884" s="122">
        <f>IFERROR($Y1885/MAX(1,(LEN($I1885)-LEN(SUBSTITUTE($I1885," Ltd","")))/LEN(" Ltd")),0)</f>
        <v/>
      </c>
      <c r="AA1884" s="122">
        <f>IFERROR(IFERROR((LEN($T1885)-LEN(SUBSTITUTE($T1885,"Quality of Works / Criteria of Failings:","")))/LEN("Quality of Works / Criteria of Failings:"),0)/MAX(1,(LEN($I1885)-LEN(SUBSTITUTE($I1885," Ltd","")))/LEN(" Ltd")),0)</f>
        <v/>
      </c>
      <c r="AB1884" s="122">
        <f>IFERROR(IFERROR((LEN($T1885)-LEN(SUBSTITUTE($T1885,"Quality of Works / Criteria of Failings:Compliant","")))/LEN("Quality of Works / Criteria of Failings:Compliant"),0)/MAX(1,(LEN($I1885)-LEN(SUBSTITUTE($I1885," Ltd","")))/LEN(" Ltd")),0)</f>
        <v/>
      </c>
    </row>
    <row r="1885" ht="15" customHeight="1" s="146">
      <c r="Y1885" s="122">
        <f>MAX(0,IFERROR((LEN($T1886)-LEN(SUBSTITUTE($T1886,"Quality of Works / Criteria of Failings:","")))/LEN("Quality of Works / Criteria of Failings:"),0)-IFERROR((LEN($T1886)-LEN(SUBSTITUTE($T1886,"Quality of Works / Criteria of Failings:Compliant","")))/LEN("Quality of Works / Criteria of Failings:Compliant"),0))</f>
        <v/>
      </c>
      <c r="Z1885" s="122">
        <f>IFERROR($Y1886/MAX(1,(LEN($I1886)-LEN(SUBSTITUTE($I1886," Ltd","")))/LEN(" Ltd")),0)</f>
        <v/>
      </c>
      <c r="AA1885" s="122">
        <f>IFERROR(IFERROR((LEN($T1886)-LEN(SUBSTITUTE($T1886,"Quality of Works / Criteria of Failings:","")))/LEN("Quality of Works / Criteria of Failings:"),0)/MAX(1,(LEN($I1886)-LEN(SUBSTITUTE($I1886," Ltd","")))/LEN(" Ltd")),0)</f>
        <v/>
      </c>
      <c r="AB1885" s="122">
        <f>IFERROR(IFERROR((LEN($T1886)-LEN(SUBSTITUTE($T1886,"Quality of Works / Criteria of Failings:Compliant","")))/LEN("Quality of Works / Criteria of Failings:Compliant"),0)/MAX(1,(LEN($I1886)-LEN(SUBSTITUTE($I1886," Ltd","")))/LEN(" Ltd")),0)</f>
        <v/>
      </c>
    </row>
    <row r="1886" ht="15" customHeight="1" s="146">
      <c r="Y1886" s="122">
        <f>MAX(0,IFERROR((LEN($T1887)-LEN(SUBSTITUTE($T1887,"Quality of Works / Criteria of Failings:","")))/LEN("Quality of Works / Criteria of Failings:"),0)-IFERROR((LEN($T1887)-LEN(SUBSTITUTE($T1887,"Quality of Works / Criteria of Failings:Compliant","")))/LEN("Quality of Works / Criteria of Failings:Compliant"),0))</f>
        <v/>
      </c>
      <c r="Z1886" s="122">
        <f>IFERROR($Y1887/MAX(1,(LEN($I1887)-LEN(SUBSTITUTE($I1887," Ltd","")))/LEN(" Ltd")),0)</f>
        <v/>
      </c>
      <c r="AA1886" s="122">
        <f>IFERROR(IFERROR((LEN($T1887)-LEN(SUBSTITUTE($T1887,"Quality of Works / Criteria of Failings:","")))/LEN("Quality of Works / Criteria of Failings:"),0)/MAX(1,(LEN($I1887)-LEN(SUBSTITUTE($I1887," Ltd","")))/LEN(" Ltd")),0)</f>
        <v/>
      </c>
      <c r="AB1886" s="122">
        <f>IFERROR(IFERROR((LEN($T1887)-LEN(SUBSTITUTE($T1887,"Quality of Works / Criteria of Failings:Compliant","")))/LEN("Quality of Works / Criteria of Failings:Compliant"),0)/MAX(1,(LEN($I1887)-LEN(SUBSTITUTE($I1887," Ltd","")))/LEN(" Ltd")),0)</f>
        <v/>
      </c>
    </row>
    <row r="1887" ht="15" customHeight="1" s="146">
      <c r="Y1887" s="122">
        <f>MAX(0,IFERROR((LEN($T1888)-LEN(SUBSTITUTE($T1888,"Quality of Works / Criteria of Failings:","")))/LEN("Quality of Works / Criteria of Failings:"),0)-IFERROR((LEN($T1888)-LEN(SUBSTITUTE($T1888,"Quality of Works / Criteria of Failings:Compliant","")))/LEN("Quality of Works / Criteria of Failings:Compliant"),0))</f>
        <v/>
      </c>
      <c r="Z1887" s="122">
        <f>IFERROR($Y1888/MAX(1,(LEN($I1888)-LEN(SUBSTITUTE($I1888," Ltd","")))/LEN(" Ltd")),0)</f>
        <v/>
      </c>
      <c r="AA1887" s="122">
        <f>IFERROR(IFERROR((LEN($T1888)-LEN(SUBSTITUTE($T1888,"Quality of Works / Criteria of Failings:","")))/LEN("Quality of Works / Criteria of Failings:"),0)/MAX(1,(LEN($I1888)-LEN(SUBSTITUTE($I1888," Ltd","")))/LEN(" Ltd")),0)</f>
        <v/>
      </c>
      <c r="AB1887" s="122">
        <f>IFERROR(IFERROR((LEN($T1888)-LEN(SUBSTITUTE($T1888,"Quality of Works / Criteria of Failings:Compliant","")))/LEN("Quality of Works / Criteria of Failings:Compliant"),0)/MAX(1,(LEN($I1888)-LEN(SUBSTITUTE($I1888," Ltd","")))/LEN(" Ltd")),0)</f>
        <v/>
      </c>
    </row>
    <row r="1888" ht="15" customHeight="1" s="146">
      <c r="Y1888" s="122">
        <f>MAX(0,IFERROR((LEN($T1889)-LEN(SUBSTITUTE($T1889,"Quality of Works / Criteria of Failings:","")))/LEN("Quality of Works / Criteria of Failings:"),0)-IFERROR((LEN($T1889)-LEN(SUBSTITUTE($T1889,"Quality of Works / Criteria of Failings:Compliant","")))/LEN("Quality of Works / Criteria of Failings:Compliant"),0))</f>
        <v/>
      </c>
      <c r="Z1888" s="122">
        <f>IFERROR($Y1889/MAX(1,(LEN($I1889)-LEN(SUBSTITUTE($I1889," Ltd","")))/LEN(" Ltd")),0)</f>
        <v/>
      </c>
      <c r="AA1888" s="122">
        <f>IFERROR(IFERROR((LEN($T1889)-LEN(SUBSTITUTE($T1889,"Quality of Works / Criteria of Failings:","")))/LEN("Quality of Works / Criteria of Failings:"),0)/MAX(1,(LEN($I1889)-LEN(SUBSTITUTE($I1889," Ltd","")))/LEN(" Ltd")),0)</f>
        <v/>
      </c>
      <c r="AB1888" s="122">
        <f>IFERROR(IFERROR((LEN($T1889)-LEN(SUBSTITUTE($T1889,"Quality of Works / Criteria of Failings:Compliant","")))/LEN("Quality of Works / Criteria of Failings:Compliant"),0)/MAX(1,(LEN($I1889)-LEN(SUBSTITUTE($I1889," Ltd","")))/LEN(" Ltd")),0)</f>
        <v/>
      </c>
    </row>
    <row r="1889" ht="15" customHeight="1" s="146">
      <c r="Y1889" s="122">
        <f>MAX(0,IFERROR((LEN($T1890)-LEN(SUBSTITUTE($T1890,"Quality of Works / Criteria of Failings:","")))/LEN("Quality of Works / Criteria of Failings:"),0)-IFERROR((LEN($T1890)-LEN(SUBSTITUTE($T1890,"Quality of Works / Criteria of Failings:Compliant","")))/LEN("Quality of Works / Criteria of Failings:Compliant"),0))</f>
        <v/>
      </c>
      <c r="Z1889" s="122">
        <f>IFERROR($Y1890/MAX(1,(LEN($I1890)-LEN(SUBSTITUTE($I1890," Ltd","")))/LEN(" Ltd")),0)</f>
        <v/>
      </c>
      <c r="AA1889" s="122">
        <f>IFERROR(IFERROR((LEN($T1890)-LEN(SUBSTITUTE($T1890,"Quality of Works / Criteria of Failings:","")))/LEN("Quality of Works / Criteria of Failings:"),0)/MAX(1,(LEN($I1890)-LEN(SUBSTITUTE($I1890," Ltd","")))/LEN(" Ltd")),0)</f>
        <v/>
      </c>
      <c r="AB1889" s="122">
        <f>IFERROR(IFERROR((LEN($T1890)-LEN(SUBSTITUTE($T1890,"Quality of Works / Criteria of Failings:Compliant","")))/LEN("Quality of Works / Criteria of Failings:Compliant"),0)/MAX(1,(LEN($I1890)-LEN(SUBSTITUTE($I1890," Ltd","")))/LEN(" Ltd")),0)</f>
        <v/>
      </c>
    </row>
    <row r="1890" ht="15" customHeight="1" s="146">
      <c r="Y1890" s="122">
        <f>MAX(0,IFERROR((LEN($T1891)-LEN(SUBSTITUTE($T1891,"Quality of Works / Criteria of Failings:","")))/LEN("Quality of Works / Criteria of Failings:"),0)-IFERROR((LEN($T1891)-LEN(SUBSTITUTE($T1891,"Quality of Works / Criteria of Failings:Compliant","")))/LEN("Quality of Works / Criteria of Failings:Compliant"),0))</f>
        <v/>
      </c>
      <c r="Z1890" s="122">
        <f>IFERROR($Y1891/MAX(1,(LEN($I1891)-LEN(SUBSTITUTE($I1891," Ltd","")))/LEN(" Ltd")),0)</f>
        <v/>
      </c>
      <c r="AA1890" s="122">
        <f>IFERROR(IFERROR((LEN($T1891)-LEN(SUBSTITUTE($T1891,"Quality of Works / Criteria of Failings:","")))/LEN("Quality of Works / Criteria of Failings:"),0)/MAX(1,(LEN($I1891)-LEN(SUBSTITUTE($I1891," Ltd","")))/LEN(" Ltd")),0)</f>
        <v/>
      </c>
      <c r="AB1890" s="122">
        <f>IFERROR(IFERROR((LEN($T1891)-LEN(SUBSTITUTE($T1891,"Quality of Works / Criteria of Failings:Compliant","")))/LEN("Quality of Works / Criteria of Failings:Compliant"),0)/MAX(1,(LEN($I1891)-LEN(SUBSTITUTE($I1891," Ltd","")))/LEN(" Ltd")),0)</f>
        <v/>
      </c>
    </row>
    <row r="1891" ht="15" customHeight="1" s="146">
      <c r="Y1891" s="122">
        <f>MAX(0,IFERROR((LEN($T1892)-LEN(SUBSTITUTE($T1892,"Quality of Works / Criteria of Failings:","")))/LEN("Quality of Works / Criteria of Failings:"),0)-IFERROR((LEN($T1892)-LEN(SUBSTITUTE($T1892,"Quality of Works / Criteria of Failings:Compliant","")))/LEN("Quality of Works / Criteria of Failings:Compliant"),0))</f>
        <v/>
      </c>
      <c r="Z1891" s="122">
        <f>IFERROR($Y1892/MAX(1,(LEN($I1892)-LEN(SUBSTITUTE($I1892," Ltd","")))/LEN(" Ltd")),0)</f>
        <v/>
      </c>
      <c r="AA1891" s="122">
        <f>IFERROR(IFERROR((LEN($T1892)-LEN(SUBSTITUTE($T1892,"Quality of Works / Criteria of Failings:","")))/LEN("Quality of Works / Criteria of Failings:"),0)/MAX(1,(LEN($I1892)-LEN(SUBSTITUTE($I1892," Ltd","")))/LEN(" Ltd")),0)</f>
        <v/>
      </c>
      <c r="AB1891" s="122">
        <f>IFERROR(IFERROR((LEN($T1892)-LEN(SUBSTITUTE($T1892,"Quality of Works / Criteria of Failings:Compliant","")))/LEN("Quality of Works / Criteria of Failings:Compliant"),0)/MAX(1,(LEN($I1892)-LEN(SUBSTITUTE($I1892," Ltd","")))/LEN(" Ltd")),0)</f>
        <v/>
      </c>
    </row>
    <row r="1892" ht="15" customHeight="1" s="146">
      <c r="Y1892" s="122">
        <f>MAX(0,IFERROR((LEN($T1893)-LEN(SUBSTITUTE($T1893,"Quality of Works / Criteria of Failings:","")))/LEN("Quality of Works / Criteria of Failings:"),0)-IFERROR((LEN($T1893)-LEN(SUBSTITUTE($T1893,"Quality of Works / Criteria of Failings:Compliant","")))/LEN("Quality of Works / Criteria of Failings:Compliant"),0))</f>
        <v/>
      </c>
      <c r="Z1892" s="122">
        <f>IFERROR($Y1893/MAX(1,(LEN($I1893)-LEN(SUBSTITUTE($I1893," Ltd","")))/LEN(" Ltd")),0)</f>
        <v/>
      </c>
      <c r="AA1892" s="122">
        <f>IFERROR(IFERROR((LEN($T1893)-LEN(SUBSTITUTE($T1893,"Quality of Works / Criteria of Failings:","")))/LEN("Quality of Works / Criteria of Failings:"),0)/MAX(1,(LEN($I1893)-LEN(SUBSTITUTE($I1893," Ltd","")))/LEN(" Ltd")),0)</f>
        <v/>
      </c>
      <c r="AB1892" s="122">
        <f>IFERROR(IFERROR((LEN($T1893)-LEN(SUBSTITUTE($T1893,"Quality of Works / Criteria of Failings:Compliant","")))/LEN("Quality of Works / Criteria of Failings:Compliant"),0)/MAX(1,(LEN($I1893)-LEN(SUBSTITUTE($I1893," Ltd","")))/LEN(" Ltd")),0)</f>
        <v/>
      </c>
    </row>
    <row r="1893" ht="15" customHeight="1" s="146">
      <c r="Y1893" s="122">
        <f>MAX(0,IFERROR((LEN($T1894)-LEN(SUBSTITUTE($T1894,"Quality of Works / Criteria of Failings:","")))/LEN("Quality of Works / Criteria of Failings:"),0)-IFERROR((LEN($T1894)-LEN(SUBSTITUTE($T1894,"Quality of Works / Criteria of Failings:Compliant","")))/LEN("Quality of Works / Criteria of Failings:Compliant"),0))</f>
        <v/>
      </c>
      <c r="Z1893" s="122">
        <f>IFERROR($Y1894/MAX(1,(LEN($I1894)-LEN(SUBSTITUTE($I1894," Ltd","")))/LEN(" Ltd")),0)</f>
        <v/>
      </c>
      <c r="AA1893" s="122">
        <f>IFERROR(IFERROR((LEN($T1894)-LEN(SUBSTITUTE($T1894,"Quality of Works / Criteria of Failings:","")))/LEN("Quality of Works / Criteria of Failings:"),0)/MAX(1,(LEN($I1894)-LEN(SUBSTITUTE($I1894," Ltd","")))/LEN(" Ltd")),0)</f>
        <v/>
      </c>
      <c r="AB1893" s="122">
        <f>IFERROR(IFERROR((LEN($T1894)-LEN(SUBSTITUTE($T1894,"Quality of Works / Criteria of Failings:Compliant","")))/LEN("Quality of Works / Criteria of Failings:Compliant"),0)/MAX(1,(LEN($I1894)-LEN(SUBSTITUTE($I1894," Ltd","")))/LEN(" Ltd")),0)</f>
        <v/>
      </c>
    </row>
    <row r="1894" ht="15" customHeight="1" s="146">
      <c r="Y1894" s="122">
        <f>MAX(0,IFERROR((LEN($T1895)-LEN(SUBSTITUTE($T1895,"Quality of Works / Criteria of Failings:","")))/LEN("Quality of Works / Criteria of Failings:"),0)-IFERROR((LEN($T1895)-LEN(SUBSTITUTE($T1895,"Quality of Works / Criteria of Failings:Compliant","")))/LEN("Quality of Works / Criteria of Failings:Compliant"),0))</f>
        <v/>
      </c>
      <c r="Z1894" s="122">
        <f>IFERROR($Y1895/MAX(1,(LEN($I1895)-LEN(SUBSTITUTE($I1895," Ltd","")))/LEN(" Ltd")),0)</f>
        <v/>
      </c>
      <c r="AA1894" s="122">
        <f>IFERROR(IFERROR((LEN($T1895)-LEN(SUBSTITUTE($T1895,"Quality of Works / Criteria of Failings:","")))/LEN("Quality of Works / Criteria of Failings:"),0)/MAX(1,(LEN($I1895)-LEN(SUBSTITUTE($I1895," Ltd","")))/LEN(" Ltd")),0)</f>
        <v/>
      </c>
      <c r="AB1894" s="122">
        <f>IFERROR(IFERROR((LEN($T1895)-LEN(SUBSTITUTE($T1895,"Quality of Works / Criteria of Failings:Compliant","")))/LEN("Quality of Works / Criteria of Failings:Compliant"),0)/MAX(1,(LEN($I1895)-LEN(SUBSTITUTE($I1895," Ltd","")))/LEN(" Ltd")),0)</f>
        <v/>
      </c>
    </row>
    <row r="1895" ht="15" customHeight="1" s="146">
      <c r="Y1895" s="122">
        <f>MAX(0,IFERROR((LEN($T1896)-LEN(SUBSTITUTE($T1896,"Quality of Works / Criteria of Failings:","")))/LEN("Quality of Works / Criteria of Failings:"),0)-IFERROR((LEN($T1896)-LEN(SUBSTITUTE($T1896,"Quality of Works / Criteria of Failings:Compliant","")))/LEN("Quality of Works / Criteria of Failings:Compliant"),0))</f>
        <v/>
      </c>
      <c r="Z1895" s="122">
        <f>IFERROR($Y1896/MAX(1,(LEN($I1896)-LEN(SUBSTITUTE($I1896," Ltd","")))/LEN(" Ltd")),0)</f>
        <v/>
      </c>
      <c r="AA1895" s="122">
        <f>IFERROR(IFERROR((LEN($T1896)-LEN(SUBSTITUTE($T1896,"Quality of Works / Criteria of Failings:","")))/LEN("Quality of Works / Criteria of Failings:"),0)/MAX(1,(LEN($I1896)-LEN(SUBSTITUTE($I1896," Ltd","")))/LEN(" Ltd")),0)</f>
        <v/>
      </c>
      <c r="AB1895" s="122">
        <f>IFERROR(IFERROR((LEN($T1896)-LEN(SUBSTITUTE($T1896,"Quality of Works / Criteria of Failings:Compliant","")))/LEN("Quality of Works / Criteria of Failings:Compliant"),0)/MAX(1,(LEN($I1896)-LEN(SUBSTITUTE($I1896," Ltd","")))/LEN(" Ltd")),0)</f>
        <v/>
      </c>
    </row>
    <row r="1896" ht="15" customHeight="1" s="146">
      <c r="Y1896" s="122">
        <f>MAX(0,IFERROR((LEN($T1897)-LEN(SUBSTITUTE($T1897,"Quality of Works / Criteria of Failings:","")))/LEN("Quality of Works / Criteria of Failings:"),0)-IFERROR((LEN($T1897)-LEN(SUBSTITUTE($T1897,"Quality of Works / Criteria of Failings:Compliant","")))/LEN("Quality of Works / Criteria of Failings:Compliant"),0))</f>
        <v/>
      </c>
      <c r="Z1896" s="122">
        <f>IFERROR($Y1897/MAX(1,(LEN($I1897)-LEN(SUBSTITUTE($I1897," Ltd","")))/LEN(" Ltd")),0)</f>
        <v/>
      </c>
      <c r="AA1896" s="122">
        <f>IFERROR(IFERROR((LEN($T1897)-LEN(SUBSTITUTE($T1897,"Quality of Works / Criteria of Failings:","")))/LEN("Quality of Works / Criteria of Failings:"),0)/MAX(1,(LEN($I1897)-LEN(SUBSTITUTE($I1897," Ltd","")))/LEN(" Ltd")),0)</f>
        <v/>
      </c>
      <c r="AB1896" s="122">
        <f>IFERROR(IFERROR((LEN($T1897)-LEN(SUBSTITUTE($T1897,"Quality of Works / Criteria of Failings:Compliant","")))/LEN("Quality of Works / Criteria of Failings:Compliant"),0)/MAX(1,(LEN($I1897)-LEN(SUBSTITUTE($I1897," Ltd","")))/LEN(" Ltd")),0)</f>
        <v/>
      </c>
    </row>
    <row r="1897" ht="15" customHeight="1" s="146">
      <c r="Y1897" s="122">
        <f>MAX(0,IFERROR((LEN($T1898)-LEN(SUBSTITUTE($T1898,"Quality of Works / Criteria of Failings:","")))/LEN("Quality of Works / Criteria of Failings:"),0)-IFERROR((LEN($T1898)-LEN(SUBSTITUTE($T1898,"Quality of Works / Criteria of Failings:Compliant","")))/LEN("Quality of Works / Criteria of Failings:Compliant"),0))</f>
        <v/>
      </c>
      <c r="Z1897" s="122">
        <f>IFERROR($Y1898/MAX(1,(LEN($I1898)-LEN(SUBSTITUTE($I1898," Ltd","")))/LEN(" Ltd")),0)</f>
        <v/>
      </c>
      <c r="AA1897" s="122">
        <f>IFERROR(IFERROR((LEN($T1898)-LEN(SUBSTITUTE($T1898,"Quality of Works / Criteria of Failings:","")))/LEN("Quality of Works / Criteria of Failings:"),0)/MAX(1,(LEN($I1898)-LEN(SUBSTITUTE($I1898," Ltd","")))/LEN(" Ltd")),0)</f>
        <v/>
      </c>
      <c r="AB1897" s="122">
        <f>IFERROR(IFERROR((LEN($T1898)-LEN(SUBSTITUTE($T1898,"Quality of Works / Criteria of Failings:Compliant","")))/LEN("Quality of Works / Criteria of Failings:Compliant"),0)/MAX(1,(LEN($I1898)-LEN(SUBSTITUTE($I1898," Ltd","")))/LEN(" Ltd")),0)</f>
        <v/>
      </c>
    </row>
    <row r="1898" ht="15" customHeight="1" s="146">
      <c r="Y1898" s="122">
        <f>MAX(0,IFERROR((LEN($T1899)-LEN(SUBSTITUTE($T1899,"Quality of Works / Criteria of Failings:","")))/LEN("Quality of Works / Criteria of Failings:"),0)-IFERROR((LEN($T1899)-LEN(SUBSTITUTE($T1899,"Quality of Works / Criteria of Failings:Compliant","")))/LEN("Quality of Works / Criteria of Failings:Compliant"),0))</f>
        <v/>
      </c>
      <c r="Z1898" s="122">
        <f>IFERROR($Y1899/MAX(1,(LEN($I1899)-LEN(SUBSTITUTE($I1899," Ltd","")))/LEN(" Ltd")),0)</f>
        <v/>
      </c>
      <c r="AA1898" s="122">
        <f>IFERROR(IFERROR((LEN($T1899)-LEN(SUBSTITUTE($T1899,"Quality of Works / Criteria of Failings:","")))/LEN("Quality of Works / Criteria of Failings:"),0)/MAX(1,(LEN($I1899)-LEN(SUBSTITUTE($I1899," Ltd","")))/LEN(" Ltd")),0)</f>
        <v/>
      </c>
      <c r="AB1898" s="122">
        <f>IFERROR(IFERROR((LEN($T1899)-LEN(SUBSTITUTE($T1899,"Quality of Works / Criteria of Failings:Compliant","")))/LEN("Quality of Works / Criteria of Failings:Compliant"),0)/MAX(1,(LEN($I1899)-LEN(SUBSTITUTE($I1899," Ltd","")))/LEN(" Ltd")),0)</f>
        <v/>
      </c>
    </row>
    <row r="1899" ht="15" customHeight="1" s="146">
      <c r="Y1899" s="122">
        <f>MAX(0,IFERROR((LEN($T1900)-LEN(SUBSTITUTE($T1900,"Quality of Works / Criteria of Failings:","")))/LEN("Quality of Works / Criteria of Failings:"),0)-IFERROR((LEN($T1900)-LEN(SUBSTITUTE($T1900,"Quality of Works / Criteria of Failings:Compliant","")))/LEN("Quality of Works / Criteria of Failings:Compliant"),0))</f>
        <v/>
      </c>
      <c r="Z1899" s="122">
        <f>IFERROR($Y1900/MAX(1,(LEN($I1900)-LEN(SUBSTITUTE($I1900," Ltd","")))/LEN(" Ltd")),0)</f>
        <v/>
      </c>
      <c r="AA1899" s="122">
        <f>IFERROR(IFERROR((LEN($T1900)-LEN(SUBSTITUTE($T1900,"Quality of Works / Criteria of Failings:","")))/LEN("Quality of Works / Criteria of Failings:"),0)/MAX(1,(LEN($I1900)-LEN(SUBSTITUTE($I1900," Ltd","")))/LEN(" Ltd")),0)</f>
        <v/>
      </c>
      <c r="AB1899" s="122">
        <f>IFERROR(IFERROR((LEN($T1900)-LEN(SUBSTITUTE($T1900,"Quality of Works / Criteria of Failings:Compliant","")))/LEN("Quality of Works / Criteria of Failings:Compliant"),0)/MAX(1,(LEN($I1900)-LEN(SUBSTITUTE($I1900," Ltd","")))/LEN(" Ltd")),0)</f>
        <v/>
      </c>
    </row>
    <row r="1900" ht="15" customHeight="1" s="146">
      <c r="Y1900" s="122">
        <f>MAX(0,IFERROR((LEN($T1901)-LEN(SUBSTITUTE($T1901,"Quality of Works / Criteria of Failings:","")))/LEN("Quality of Works / Criteria of Failings:"),0)-IFERROR((LEN($T1901)-LEN(SUBSTITUTE($T1901,"Quality of Works / Criteria of Failings:Compliant","")))/LEN("Quality of Works / Criteria of Failings:Compliant"),0))</f>
        <v/>
      </c>
      <c r="Z1900" s="122">
        <f>IFERROR($Y1901/MAX(1,(LEN($I1901)-LEN(SUBSTITUTE($I1901," Ltd","")))/LEN(" Ltd")),0)</f>
        <v/>
      </c>
      <c r="AA1900" s="122">
        <f>IFERROR(IFERROR((LEN($T1901)-LEN(SUBSTITUTE($T1901,"Quality of Works / Criteria of Failings:","")))/LEN("Quality of Works / Criteria of Failings:"),0)/MAX(1,(LEN($I1901)-LEN(SUBSTITUTE($I1901," Ltd","")))/LEN(" Ltd")),0)</f>
        <v/>
      </c>
      <c r="AB1900" s="122">
        <f>IFERROR(IFERROR((LEN($T1901)-LEN(SUBSTITUTE($T1901,"Quality of Works / Criteria of Failings:Compliant","")))/LEN("Quality of Works / Criteria of Failings:Compliant"),0)/MAX(1,(LEN($I1901)-LEN(SUBSTITUTE($I1901," Ltd","")))/LEN(" Ltd")),0)</f>
        <v/>
      </c>
    </row>
    <row r="1901" ht="15" customHeight="1" s="146">
      <c r="Y1901" s="122">
        <f>MAX(0,IFERROR((LEN($T1902)-LEN(SUBSTITUTE($T1902,"Quality of Works / Criteria of Failings:","")))/LEN("Quality of Works / Criteria of Failings:"),0)-IFERROR((LEN($T1902)-LEN(SUBSTITUTE($T1902,"Quality of Works / Criteria of Failings:Compliant","")))/LEN("Quality of Works / Criteria of Failings:Compliant"),0))</f>
        <v/>
      </c>
      <c r="Z1901" s="122">
        <f>IFERROR($Y1902/MAX(1,(LEN($I1902)-LEN(SUBSTITUTE($I1902," Ltd","")))/LEN(" Ltd")),0)</f>
        <v/>
      </c>
      <c r="AA1901" s="122">
        <f>IFERROR(IFERROR((LEN($T1902)-LEN(SUBSTITUTE($T1902,"Quality of Works / Criteria of Failings:","")))/LEN("Quality of Works / Criteria of Failings:"),0)/MAX(1,(LEN($I1902)-LEN(SUBSTITUTE($I1902," Ltd","")))/LEN(" Ltd")),0)</f>
        <v/>
      </c>
      <c r="AB1901" s="122">
        <f>IFERROR(IFERROR((LEN($T1902)-LEN(SUBSTITUTE($T1902,"Quality of Works / Criteria of Failings:Compliant","")))/LEN("Quality of Works / Criteria of Failings:Compliant"),0)/MAX(1,(LEN($I1902)-LEN(SUBSTITUTE($I1902," Ltd","")))/LEN(" Ltd")),0)</f>
        <v/>
      </c>
    </row>
    <row r="1902" ht="15" customHeight="1" s="146">
      <c r="Y1902" s="122">
        <f>MAX(0,IFERROR((LEN($T1903)-LEN(SUBSTITUTE($T1903,"Quality of Works / Criteria of Failings:","")))/LEN("Quality of Works / Criteria of Failings:"),0)-IFERROR((LEN($T1903)-LEN(SUBSTITUTE($T1903,"Quality of Works / Criteria of Failings:Compliant","")))/LEN("Quality of Works / Criteria of Failings:Compliant"),0))</f>
        <v/>
      </c>
      <c r="Z1902" s="122">
        <f>IFERROR($Y1903/MAX(1,(LEN($I1903)-LEN(SUBSTITUTE($I1903," Ltd","")))/LEN(" Ltd")),0)</f>
        <v/>
      </c>
      <c r="AA1902" s="122">
        <f>IFERROR(IFERROR((LEN($T1903)-LEN(SUBSTITUTE($T1903,"Quality of Works / Criteria of Failings:","")))/LEN("Quality of Works / Criteria of Failings:"),0)/MAX(1,(LEN($I1903)-LEN(SUBSTITUTE($I1903," Ltd","")))/LEN(" Ltd")),0)</f>
        <v/>
      </c>
      <c r="AB1902" s="122">
        <f>IFERROR(IFERROR((LEN($T1903)-LEN(SUBSTITUTE($T1903,"Quality of Works / Criteria of Failings:Compliant","")))/LEN("Quality of Works / Criteria of Failings:Compliant"),0)/MAX(1,(LEN($I1903)-LEN(SUBSTITUTE($I1903," Ltd","")))/LEN(" Ltd")),0)</f>
        <v/>
      </c>
    </row>
    <row r="1903" ht="15" customHeight="1" s="146">
      <c r="Y1903" s="122">
        <f>MAX(0,IFERROR((LEN($T1904)-LEN(SUBSTITUTE($T1904,"Quality of Works / Criteria of Failings:","")))/LEN("Quality of Works / Criteria of Failings:"),0)-IFERROR((LEN($T1904)-LEN(SUBSTITUTE($T1904,"Quality of Works / Criteria of Failings:Compliant","")))/LEN("Quality of Works / Criteria of Failings:Compliant"),0))</f>
        <v/>
      </c>
      <c r="Z1903" s="122">
        <f>IFERROR($Y1904/MAX(1,(LEN($I1904)-LEN(SUBSTITUTE($I1904," Ltd","")))/LEN(" Ltd")),0)</f>
        <v/>
      </c>
      <c r="AA1903" s="122">
        <f>IFERROR(IFERROR((LEN($T1904)-LEN(SUBSTITUTE($T1904,"Quality of Works / Criteria of Failings:","")))/LEN("Quality of Works / Criteria of Failings:"),0)/MAX(1,(LEN($I1904)-LEN(SUBSTITUTE($I1904," Ltd","")))/LEN(" Ltd")),0)</f>
        <v/>
      </c>
      <c r="AB1903" s="122">
        <f>IFERROR(IFERROR((LEN($T1904)-LEN(SUBSTITUTE($T1904,"Quality of Works / Criteria of Failings:Compliant","")))/LEN("Quality of Works / Criteria of Failings:Compliant"),0)/MAX(1,(LEN($I1904)-LEN(SUBSTITUTE($I1904," Ltd","")))/LEN(" Ltd")),0)</f>
        <v/>
      </c>
    </row>
    <row r="1904" ht="15" customHeight="1" s="146">
      <c r="Y1904" s="122">
        <f>MAX(0,IFERROR((LEN($T1905)-LEN(SUBSTITUTE($T1905,"Quality of Works / Criteria of Failings:","")))/LEN("Quality of Works / Criteria of Failings:"),0)-IFERROR((LEN($T1905)-LEN(SUBSTITUTE($T1905,"Quality of Works / Criteria of Failings:Compliant","")))/LEN("Quality of Works / Criteria of Failings:Compliant"),0))</f>
        <v/>
      </c>
      <c r="Z1904" s="122">
        <f>IFERROR($Y1905/MAX(1,(LEN($I1905)-LEN(SUBSTITUTE($I1905," Ltd","")))/LEN(" Ltd")),0)</f>
        <v/>
      </c>
      <c r="AA1904" s="122">
        <f>IFERROR(IFERROR((LEN($T1905)-LEN(SUBSTITUTE($T1905,"Quality of Works / Criteria of Failings:","")))/LEN("Quality of Works / Criteria of Failings:"),0)/MAX(1,(LEN($I1905)-LEN(SUBSTITUTE($I1905," Ltd","")))/LEN(" Ltd")),0)</f>
        <v/>
      </c>
      <c r="AB1904" s="122">
        <f>IFERROR(IFERROR((LEN($T1905)-LEN(SUBSTITUTE($T1905,"Quality of Works / Criteria of Failings:Compliant","")))/LEN("Quality of Works / Criteria of Failings:Compliant"),0)/MAX(1,(LEN($I1905)-LEN(SUBSTITUTE($I1905," Ltd","")))/LEN(" Ltd")),0)</f>
        <v/>
      </c>
    </row>
    <row r="1905" ht="15" customHeight="1" s="146">
      <c r="Y1905" s="122">
        <f>MAX(0,IFERROR((LEN($T1906)-LEN(SUBSTITUTE($T1906,"Quality of Works / Criteria of Failings:","")))/LEN("Quality of Works / Criteria of Failings:"),0)-IFERROR((LEN($T1906)-LEN(SUBSTITUTE($T1906,"Quality of Works / Criteria of Failings:Compliant","")))/LEN("Quality of Works / Criteria of Failings:Compliant"),0))</f>
        <v/>
      </c>
      <c r="Z1905" s="122">
        <f>IFERROR($Y1906/MAX(1,(LEN($I1906)-LEN(SUBSTITUTE($I1906," Ltd","")))/LEN(" Ltd")),0)</f>
        <v/>
      </c>
      <c r="AA1905" s="122">
        <f>IFERROR(IFERROR((LEN($T1906)-LEN(SUBSTITUTE($T1906,"Quality of Works / Criteria of Failings:","")))/LEN("Quality of Works / Criteria of Failings:"),0)/MAX(1,(LEN($I1906)-LEN(SUBSTITUTE($I1906," Ltd","")))/LEN(" Ltd")),0)</f>
        <v/>
      </c>
      <c r="AB1905" s="122">
        <f>IFERROR(IFERROR((LEN($T1906)-LEN(SUBSTITUTE($T1906,"Quality of Works / Criteria of Failings:Compliant","")))/LEN("Quality of Works / Criteria of Failings:Compliant"),0)/MAX(1,(LEN($I1906)-LEN(SUBSTITUTE($I1906," Ltd","")))/LEN(" Ltd")),0)</f>
        <v/>
      </c>
    </row>
    <row r="1906" ht="15" customHeight="1" s="146">
      <c r="Y1906" s="122">
        <f>MAX(0,IFERROR((LEN($T1907)-LEN(SUBSTITUTE($T1907,"Quality of Works / Criteria of Failings:","")))/LEN("Quality of Works / Criteria of Failings:"),0)-IFERROR((LEN($T1907)-LEN(SUBSTITUTE($T1907,"Quality of Works / Criteria of Failings:Compliant","")))/LEN("Quality of Works / Criteria of Failings:Compliant"),0))</f>
        <v/>
      </c>
      <c r="Z1906" s="122">
        <f>IFERROR($Y1907/MAX(1,(LEN($I1907)-LEN(SUBSTITUTE($I1907," Ltd","")))/LEN(" Ltd")),0)</f>
        <v/>
      </c>
      <c r="AA1906" s="122">
        <f>IFERROR(IFERROR((LEN($T1907)-LEN(SUBSTITUTE($T1907,"Quality of Works / Criteria of Failings:","")))/LEN("Quality of Works / Criteria of Failings:"),0)/MAX(1,(LEN($I1907)-LEN(SUBSTITUTE($I1907," Ltd","")))/LEN(" Ltd")),0)</f>
        <v/>
      </c>
      <c r="AB1906" s="122">
        <f>IFERROR(IFERROR((LEN($T1907)-LEN(SUBSTITUTE($T1907,"Quality of Works / Criteria of Failings:Compliant","")))/LEN("Quality of Works / Criteria of Failings:Compliant"),0)/MAX(1,(LEN($I1907)-LEN(SUBSTITUTE($I1907," Ltd","")))/LEN(" Ltd")),0)</f>
        <v/>
      </c>
    </row>
    <row r="1907" ht="15" customHeight="1" s="146">
      <c r="Y1907" s="122">
        <f>MAX(0,IFERROR((LEN($T1908)-LEN(SUBSTITUTE($T1908,"Quality of Works / Criteria of Failings:","")))/LEN("Quality of Works / Criteria of Failings:"),0)-IFERROR((LEN($T1908)-LEN(SUBSTITUTE($T1908,"Quality of Works / Criteria of Failings:Compliant","")))/LEN("Quality of Works / Criteria of Failings:Compliant"),0))</f>
        <v/>
      </c>
      <c r="Z1907" s="122">
        <f>IFERROR($Y1908/MAX(1,(LEN($I1908)-LEN(SUBSTITUTE($I1908," Ltd","")))/LEN(" Ltd")),0)</f>
        <v/>
      </c>
      <c r="AA1907" s="122">
        <f>IFERROR(IFERROR((LEN($T1908)-LEN(SUBSTITUTE($T1908,"Quality of Works / Criteria of Failings:","")))/LEN("Quality of Works / Criteria of Failings:"),0)/MAX(1,(LEN($I1908)-LEN(SUBSTITUTE($I1908," Ltd","")))/LEN(" Ltd")),0)</f>
        <v/>
      </c>
      <c r="AB1907" s="122">
        <f>IFERROR(IFERROR((LEN($T1908)-LEN(SUBSTITUTE($T1908,"Quality of Works / Criteria of Failings:Compliant","")))/LEN("Quality of Works / Criteria of Failings:Compliant"),0)/MAX(1,(LEN($I1908)-LEN(SUBSTITUTE($I1908," Ltd","")))/LEN(" Ltd")),0)</f>
        <v/>
      </c>
    </row>
    <row r="1908" ht="15" customHeight="1" s="146">
      <c r="Y1908" s="122">
        <f>MAX(0,IFERROR((LEN($T1909)-LEN(SUBSTITUTE($T1909,"Quality of Works / Criteria of Failings:","")))/LEN("Quality of Works / Criteria of Failings:"),0)-IFERROR((LEN($T1909)-LEN(SUBSTITUTE($T1909,"Quality of Works / Criteria of Failings:Compliant","")))/LEN("Quality of Works / Criteria of Failings:Compliant"),0))</f>
        <v/>
      </c>
      <c r="Z1908" s="122">
        <f>IFERROR($Y1909/MAX(1,(LEN($I1909)-LEN(SUBSTITUTE($I1909," Ltd","")))/LEN(" Ltd")),0)</f>
        <v/>
      </c>
      <c r="AA1908" s="122">
        <f>IFERROR(IFERROR((LEN($T1909)-LEN(SUBSTITUTE($T1909,"Quality of Works / Criteria of Failings:","")))/LEN("Quality of Works / Criteria of Failings:"),0)/MAX(1,(LEN($I1909)-LEN(SUBSTITUTE($I1909," Ltd","")))/LEN(" Ltd")),0)</f>
        <v/>
      </c>
      <c r="AB1908" s="122">
        <f>IFERROR(IFERROR((LEN($T1909)-LEN(SUBSTITUTE($T1909,"Quality of Works / Criteria of Failings:Compliant","")))/LEN("Quality of Works / Criteria of Failings:Compliant"),0)/MAX(1,(LEN($I1909)-LEN(SUBSTITUTE($I1909," Ltd","")))/LEN(" Ltd")),0)</f>
        <v/>
      </c>
    </row>
    <row r="1909" ht="15" customHeight="1" s="146">
      <c r="Y1909" s="122">
        <f>MAX(0,IFERROR((LEN($T1910)-LEN(SUBSTITUTE($T1910,"Quality of Works / Criteria of Failings:","")))/LEN("Quality of Works / Criteria of Failings:"),0)-IFERROR((LEN($T1910)-LEN(SUBSTITUTE($T1910,"Quality of Works / Criteria of Failings:Compliant","")))/LEN("Quality of Works / Criteria of Failings:Compliant"),0))</f>
        <v/>
      </c>
      <c r="Z1909" s="122">
        <f>IFERROR($Y1910/MAX(1,(LEN($I1910)-LEN(SUBSTITUTE($I1910," Ltd","")))/LEN(" Ltd")),0)</f>
        <v/>
      </c>
      <c r="AA1909" s="122">
        <f>IFERROR(IFERROR((LEN($T1910)-LEN(SUBSTITUTE($T1910,"Quality of Works / Criteria of Failings:","")))/LEN("Quality of Works / Criteria of Failings:"),0)/MAX(1,(LEN($I1910)-LEN(SUBSTITUTE($I1910," Ltd","")))/LEN(" Ltd")),0)</f>
        <v/>
      </c>
      <c r="AB1909" s="122">
        <f>IFERROR(IFERROR((LEN($T1910)-LEN(SUBSTITUTE($T1910,"Quality of Works / Criteria of Failings:Compliant","")))/LEN("Quality of Works / Criteria of Failings:Compliant"),0)/MAX(1,(LEN($I1910)-LEN(SUBSTITUTE($I1910," Ltd","")))/LEN(" Ltd")),0)</f>
        <v/>
      </c>
    </row>
    <row r="1910" ht="15" customHeight="1" s="146">
      <c r="Y1910" s="122">
        <f>MAX(0,IFERROR((LEN($T1911)-LEN(SUBSTITUTE($T1911,"Quality of Works / Criteria of Failings:","")))/LEN("Quality of Works / Criteria of Failings:"),0)-IFERROR((LEN($T1911)-LEN(SUBSTITUTE($T1911,"Quality of Works / Criteria of Failings:Compliant","")))/LEN("Quality of Works / Criteria of Failings:Compliant"),0))</f>
        <v/>
      </c>
      <c r="Z1910" s="122">
        <f>IFERROR($Y1911/MAX(1,(LEN($I1911)-LEN(SUBSTITUTE($I1911," Ltd","")))/LEN(" Ltd")),0)</f>
        <v/>
      </c>
      <c r="AA1910" s="122">
        <f>IFERROR(IFERROR((LEN($T1911)-LEN(SUBSTITUTE($T1911,"Quality of Works / Criteria of Failings:","")))/LEN("Quality of Works / Criteria of Failings:"),0)/MAX(1,(LEN($I1911)-LEN(SUBSTITUTE($I1911," Ltd","")))/LEN(" Ltd")),0)</f>
        <v/>
      </c>
      <c r="AB1910" s="122">
        <f>IFERROR(IFERROR((LEN($T1911)-LEN(SUBSTITUTE($T1911,"Quality of Works / Criteria of Failings:Compliant","")))/LEN("Quality of Works / Criteria of Failings:Compliant"),0)/MAX(1,(LEN($I1911)-LEN(SUBSTITUTE($I1911," Ltd","")))/LEN(" Ltd")),0)</f>
        <v/>
      </c>
    </row>
    <row r="1911" ht="15" customHeight="1" s="146">
      <c r="Y1911" s="122">
        <f>MAX(0,IFERROR((LEN($T1912)-LEN(SUBSTITUTE($T1912,"Quality of Works / Criteria of Failings:","")))/LEN("Quality of Works / Criteria of Failings:"),0)-IFERROR((LEN($T1912)-LEN(SUBSTITUTE($T1912,"Quality of Works / Criteria of Failings:Compliant","")))/LEN("Quality of Works / Criteria of Failings:Compliant"),0))</f>
        <v/>
      </c>
      <c r="Z1911" s="122">
        <f>IFERROR($Y1912/MAX(1,(LEN($I1912)-LEN(SUBSTITUTE($I1912," Ltd","")))/LEN(" Ltd")),0)</f>
        <v/>
      </c>
      <c r="AA1911" s="122">
        <f>IFERROR(IFERROR((LEN($T1912)-LEN(SUBSTITUTE($T1912,"Quality of Works / Criteria of Failings:","")))/LEN("Quality of Works / Criteria of Failings:"),0)/MAX(1,(LEN($I1912)-LEN(SUBSTITUTE($I1912," Ltd","")))/LEN(" Ltd")),0)</f>
        <v/>
      </c>
      <c r="AB1911" s="122">
        <f>IFERROR(IFERROR((LEN($T1912)-LEN(SUBSTITUTE($T1912,"Quality of Works / Criteria of Failings:Compliant","")))/LEN("Quality of Works / Criteria of Failings:Compliant"),0)/MAX(1,(LEN($I1912)-LEN(SUBSTITUTE($I1912," Ltd","")))/LEN(" Ltd")),0)</f>
        <v/>
      </c>
    </row>
    <row r="1912" ht="15" customHeight="1" s="146">
      <c r="Y1912" s="122">
        <f>MAX(0,IFERROR((LEN($T1913)-LEN(SUBSTITUTE($T1913,"Quality of Works / Criteria of Failings:","")))/LEN("Quality of Works / Criteria of Failings:"),0)-IFERROR((LEN($T1913)-LEN(SUBSTITUTE($T1913,"Quality of Works / Criteria of Failings:Compliant","")))/LEN("Quality of Works / Criteria of Failings:Compliant"),0))</f>
        <v/>
      </c>
      <c r="Z1912" s="122">
        <f>IFERROR($Y1913/MAX(1,(LEN($I1913)-LEN(SUBSTITUTE($I1913," Ltd","")))/LEN(" Ltd")),0)</f>
        <v/>
      </c>
      <c r="AA1912" s="122">
        <f>IFERROR(IFERROR((LEN($T1913)-LEN(SUBSTITUTE($T1913,"Quality of Works / Criteria of Failings:","")))/LEN("Quality of Works / Criteria of Failings:"),0)/MAX(1,(LEN($I1913)-LEN(SUBSTITUTE($I1913," Ltd","")))/LEN(" Ltd")),0)</f>
        <v/>
      </c>
      <c r="AB1912" s="122">
        <f>IFERROR(IFERROR((LEN($T1913)-LEN(SUBSTITUTE($T1913,"Quality of Works / Criteria of Failings:Compliant","")))/LEN("Quality of Works / Criteria of Failings:Compliant"),0)/MAX(1,(LEN($I1913)-LEN(SUBSTITUTE($I1913," Ltd","")))/LEN(" Ltd")),0)</f>
        <v/>
      </c>
    </row>
    <row r="1913" ht="15" customHeight="1" s="146">
      <c r="Y1913" s="122">
        <f>MAX(0,IFERROR((LEN($T1914)-LEN(SUBSTITUTE($T1914,"Quality of Works / Criteria of Failings:","")))/LEN("Quality of Works / Criteria of Failings:"),0)-IFERROR((LEN($T1914)-LEN(SUBSTITUTE($T1914,"Quality of Works / Criteria of Failings:Compliant","")))/LEN("Quality of Works / Criteria of Failings:Compliant"),0))</f>
        <v/>
      </c>
      <c r="Z1913" s="122">
        <f>IFERROR($Y1914/MAX(1,(LEN($I1914)-LEN(SUBSTITUTE($I1914," Ltd","")))/LEN(" Ltd")),0)</f>
        <v/>
      </c>
      <c r="AA1913" s="122">
        <f>IFERROR(IFERROR((LEN($T1914)-LEN(SUBSTITUTE($T1914,"Quality of Works / Criteria of Failings:","")))/LEN("Quality of Works / Criteria of Failings:"),0)/MAX(1,(LEN($I1914)-LEN(SUBSTITUTE($I1914," Ltd","")))/LEN(" Ltd")),0)</f>
        <v/>
      </c>
      <c r="AB1913" s="122">
        <f>IFERROR(IFERROR((LEN($T1914)-LEN(SUBSTITUTE($T1914,"Quality of Works / Criteria of Failings:Compliant","")))/LEN("Quality of Works / Criteria of Failings:Compliant"),0)/MAX(1,(LEN($I1914)-LEN(SUBSTITUTE($I1914," Ltd","")))/LEN(" Ltd")),0)</f>
        <v/>
      </c>
    </row>
    <row r="1914" ht="15" customHeight="1" s="146">
      <c r="Y1914" s="122">
        <f>MAX(0,IFERROR((LEN($T1915)-LEN(SUBSTITUTE($T1915,"Quality of Works / Criteria of Failings:","")))/LEN("Quality of Works / Criteria of Failings:"),0)-IFERROR((LEN($T1915)-LEN(SUBSTITUTE($T1915,"Quality of Works / Criteria of Failings:Compliant","")))/LEN("Quality of Works / Criteria of Failings:Compliant"),0))</f>
        <v/>
      </c>
      <c r="Z1914" s="122">
        <f>IFERROR($Y1915/MAX(1,(LEN($I1915)-LEN(SUBSTITUTE($I1915," Ltd","")))/LEN(" Ltd")),0)</f>
        <v/>
      </c>
      <c r="AA1914" s="122">
        <f>IFERROR(IFERROR((LEN($T1915)-LEN(SUBSTITUTE($T1915,"Quality of Works / Criteria of Failings:","")))/LEN("Quality of Works / Criteria of Failings:"),0)/MAX(1,(LEN($I1915)-LEN(SUBSTITUTE($I1915," Ltd","")))/LEN(" Ltd")),0)</f>
        <v/>
      </c>
      <c r="AB1914" s="122">
        <f>IFERROR(IFERROR((LEN($T1915)-LEN(SUBSTITUTE($T1915,"Quality of Works / Criteria of Failings:Compliant","")))/LEN("Quality of Works / Criteria of Failings:Compliant"),0)/MAX(1,(LEN($I1915)-LEN(SUBSTITUTE($I1915," Ltd","")))/LEN(" Ltd")),0)</f>
        <v/>
      </c>
    </row>
    <row r="1915" ht="15" customHeight="1" s="146">
      <c r="Y1915" s="122">
        <f>MAX(0,IFERROR((LEN($T1916)-LEN(SUBSTITUTE($T1916,"Quality of Works / Criteria of Failings:","")))/LEN("Quality of Works / Criteria of Failings:"),0)-IFERROR((LEN($T1916)-LEN(SUBSTITUTE($T1916,"Quality of Works / Criteria of Failings:Compliant","")))/LEN("Quality of Works / Criteria of Failings:Compliant"),0))</f>
        <v/>
      </c>
      <c r="Z1915" s="122">
        <f>IFERROR($Y1916/MAX(1,(LEN($I1916)-LEN(SUBSTITUTE($I1916," Ltd","")))/LEN(" Ltd")),0)</f>
        <v/>
      </c>
      <c r="AA1915" s="122">
        <f>IFERROR(IFERROR((LEN($T1916)-LEN(SUBSTITUTE($T1916,"Quality of Works / Criteria of Failings:","")))/LEN("Quality of Works / Criteria of Failings:"),0)/MAX(1,(LEN($I1916)-LEN(SUBSTITUTE($I1916," Ltd","")))/LEN(" Ltd")),0)</f>
        <v/>
      </c>
      <c r="AB1915" s="122">
        <f>IFERROR(IFERROR((LEN($T1916)-LEN(SUBSTITUTE($T1916,"Quality of Works / Criteria of Failings:Compliant","")))/LEN("Quality of Works / Criteria of Failings:Compliant"),0)/MAX(1,(LEN($I1916)-LEN(SUBSTITUTE($I1916," Ltd","")))/LEN(" Ltd")),0)</f>
        <v/>
      </c>
    </row>
    <row r="1916" ht="15" customHeight="1" s="146">
      <c r="Y1916" s="122">
        <f>MAX(0,IFERROR((LEN($T1917)-LEN(SUBSTITUTE($T1917,"Quality of Works / Criteria of Failings:","")))/LEN("Quality of Works / Criteria of Failings:"),0)-IFERROR((LEN($T1917)-LEN(SUBSTITUTE($T1917,"Quality of Works / Criteria of Failings:Compliant","")))/LEN("Quality of Works / Criteria of Failings:Compliant"),0))</f>
        <v/>
      </c>
      <c r="Z1916" s="122">
        <f>IFERROR($Y1917/MAX(1,(LEN($I1917)-LEN(SUBSTITUTE($I1917," Ltd","")))/LEN(" Ltd")),0)</f>
        <v/>
      </c>
      <c r="AA1916" s="122">
        <f>IFERROR(IFERROR((LEN($T1917)-LEN(SUBSTITUTE($T1917,"Quality of Works / Criteria of Failings:","")))/LEN("Quality of Works / Criteria of Failings:"),0)/MAX(1,(LEN($I1917)-LEN(SUBSTITUTE($I1917," Ltd","")))/LEN(" Ltd")),0)</f>
        <v/>
      </c>
      <c r="AB1916" s="122">
        <f>IFERROR(IFERROR((LEN($T1917)-LEN(SUBSTITUTE($T1917,"Quality of Works / Criteria of Failings:Compliant","")))/LEN("Quality of Works / Criteria of Failings:Compliant"),0)/MAX(1,(LEN($I1917)-LEN(SUBSTITUTE($I1917," Ltd","")))/LEN(" Ltd")),0)</f>
        <v/>
      </c>
    </row>
    <row r="1917" ht="15" customHeight="1" s="146">
      <c r="Y1917" s="122">
        <f>MAX(0,IFERROR((LEN($T1918)-LEN(SUBSTITUTE($T1918,"Quality of Works / Criteria of Failings:","")))/LEN("Quality of Works / Criteria of Failings:"),0)-IFERROR((LEN($T1918)-LEN(SUBSTITUTE($T1918,"Quality of Works / Criteria of Failings:Compliant","")))/LEN("Quality of Works / Criteria of Failings:Compliant"),0))</f>
        <v/>
      </c>
      <c r="Z1917" s="122">
        <f>IFERROR($Y1918/MAX(1,(LEN($I1918)-LEN(SUBSTITUTE($I1918," Ltd","")))/LEN(" Ltd")),0)</f>
        <v/>
      </c>
      <c r="AA1917" s="122">
        <f>IFERROR(IFERROR((LEN($T1918)-LEN(SUBSTITUTE($T1918,"Quality of Works / Criteria of Failings:","")))/LEN("Quality of Works / Criteria of Failings:"),0)/MAX(1,(LEN($I1918)-LEN(SUBSTITUTE($I1918," Ltd","")))/LEN(" Ltd")),0)</f>
        <v/>
      </c>
      <c r="AB1917" s="122">
        <f>IFERROR(IFERROR((LEN($T1918)-LEN(SUBSTITUTE($T1918,"Quality of Works / Criteria of Failings:Compliant","")))/LEN("Quality of Works / Criteria of Failings:Compliant"),0)/MAX(1,(LEN($I1918)-LEN(SUBSTITUTE($I1918," Ltd","")))/LEN(" Ltd")),0)</f>
        <v/>
      </c>
    </row>
    <row r="1918" ht="15" customHeight="1" s="146">
      <c r="Y1918" s="122">
        <f>MAX(0,IFERROR((LEN($T1919)-LEN(SUBSTITUTE($T1919,"Quality of Works / Criteria of Failings:","")))/LEN("Quality of Works / Criteria of Failings:"),0)-IFERROR((LEN($T1919)-LEN(SUBSTITUTE($T1919,"Quality of Works / Criteria of Failings:Compliant","")))/LEN("Quality of Works / Criteria of Failings:Compliant"),0))</f>
        <v/>
      </c>
      <c r="Z1918" s="122">
        <f>IFERROR($Y1919/MAX(1,(LEN($I1919)-LEN(SUBSTITUTE($I1919," Ltd","")))/LEN(" Ltd")),0)</f>
        <v/>
      </c>
      <c r="AA1918" s="122">
        <f>IFERROR(IFERROR((LEN($T1919)-LEN(SUBSTITUTE($T1919,"Quality of Works / Criteria of Failings:","")))/LEN("Quality of Works / Criteria of Failings:"),0)/MAX(1,(LEN($I1919)-LEN(SUBSTITUTE($I1919," Ltd","")))/LEN(" Ltd")),0)</f>
        <v/>
      </c>
      <c r="AB1918" s="122">
        <f>IFERROR(IFERROR((LEN($T1919)-LEN(SUBSTITUTE($T1919,"Quality of Works / Criteria of Failings:Compliant","")))/LEN("Quality of Works / Criteria of Failings:Compliant"),0)/MAX(1,(LEN($I1919)-LEN(SUBSTITUTE($I1919," Ltd","")))/LEN(" Ltd")),0)</f>
        <v/>
      </c>
    </row>
    <row r="1919" ht="15" customHeight="1" s="146">
      <c r="Y1919" s="122">
        <f>MAX(0,IFERROR((LEN($T1920)-LEN(SUBSTITUTE($T1920,"Quality of Works / Criteria of Failings:","")))/LEN("Quality of Works / Criteria of Failings:"),0)-IFERROR((LEN($T1920)-LEN(SUBSTITUTE($T1920,"Quality of Works / Criteria of Failings:Compliant","")))/LEN("Quality of Works / Criteria of Failings:Compliant"),0))</f>
        <v/>
      </c>
      <c r="Z1919" s="122">
        <f>IFERROR($Y1920/MAX(1,(LEN($I1920)-LEN(SUBSTITUTE($I1920," Ltd","")))/LEN(" Ltd")),0)</f>
        <v/>
      </c>
      <c r="AA1919" s="122">
        <f>IFERROR(IFERROR((LEN($T1920)-LEN(SUBSTITUTE($T1920,"Quality of Works / Criteria of Failings:","")))/LEN("Quality of Works / Criteria of Failings:"),0)/MAX(1,(LEN($I1920)-LEN(SUBSTITUTE($I1920," Ltd","")))/LEN(" Ltd")),0)</f>
        <v/>
      </c>
      <c r="AB1919" s="122">
        <f>IFERROR(IFERROR((LEN($T1920)-LEN(SUBSTITUTE($T1920,"Quality of Works / Criteria of Failings:Compliant","")))/LEN("Quality of Works / Criteria of Failings:Compliant"),0)/MAX(1,(LEN($I1920)-LEN(SUBSTITUTE($I1920," Ltd","")))/LEN(" Ltd")),0)</f>
        <v/>
      </c>
    </row>
    <row r="1920" ht="15" customHeight="1" s="146">
      <c r="Y1920" s="122">
        <f>MAX(0,IFERROR((LEN($T1921)-LEN(SUBSTITUTE($T1921,"Quality of Works / Criteria of Failings:","")))/LEN("Quality of Works / Criteria of Failings:"),0)-IFERROR((LEN($T1921)-LEN(SUBSTITUTE($T1921,"Quality of Works / Criteria of Failings:Compliant","")))/LEN("Quality of Works / Criteria of Failings:Compliant"),0))</f>
        <v/>
      </c>
      <c r="Z1920" s="122">
        <f>IFERROR($Y1921/MAX(1,(LEN($I1921)-LEN(SUBSTITUTE($I1921," Ltd","")))/LEN(" Ltd")),0)</f>
        <v/>
      </c>
      <c r="AA1920" s="122">
        <f>IFERROR(IFERROR((LEN($T1921)-LEN(SUBSTITUTE($T1921,"Quality of Works / Criteria of Failings:","")))/LEN("Quality of Works / Criteria of Failings:"),0)/MAX(1,(LEN($I1921)-LEN(SUBSTITUTE($I1921," Ltd","")))/LEN(" Ltd")),0)</f>
        <v/>
      </c>
      <c r="AB1920" s="122">
        <f>IFERROR(IFERROR((LEN($T1921)-LEN(SUBSTITUTE($T1921,"Quality of Works / Criteria of Failings:Compliant","")))/LEN("Quality of Works / Criteria of Failings:Compliant"),0)/MAX(1,(LEN($I1921)-LEN(SUBSTITUTE($I1921," Ltd","")))/LEN(" Ltd")),0)</f>
        <v/>
      </c>
    </row>
    <row r="1921" ht="15" customHeight="1" s="146">
      <c r="Y1921" s="122">
        <f>MAX(0,IFERROR((LEN($T1922)-LEN(SUBSTITUTE($T1922,"Quality of Works / Criteria of Failings:","")))/LEN("Quality of Works / Criteria of Failings:"),0)-IFERROR((LEN($T1922)-LEN(SUBSTITUTE($T1922,"Quality of Works / Criteria of Failings:Compliant","")))/LEN("Quality of Works / Criteria of Failings:Compliant"),0))</f>
        <v/>
      </c>
      <c r="Z1921" s="122">
        <f>IFERROR($Y1922/MAX(1,(LEN($I1922)-LEN(SUBSTITUTE($I1922," Ltd","")))/LEN(" Ltd")),0)</f>
        <v/>
      </c>
      <c r="AA1921" s="122">
        <f>IFERROR(IFERROR((LEN($T1922)-LEN(SUBSTITUTE($T1922,"Quality of Works / Criteria of Failings:","")))/LEN("Quality of Works / Criteria of Failings:"),0)/MAX(1,(LEN($I1922)-LEN(SUBSTITUTE($I1922," Ltd","")))/LEN(" Ltd")),0)</f>
        <v/>
      </c>
      <c r="AB1921" s="122">
        <f>IFERROR(IFERROR((LEN($T1922)-LEN(SUBSTITUTE($T1922,"Quality of Works / Criteria of Failings:Compliant","")))/LEN("Quality of Works / Criteria of Failings:Compliant"),0)/MAX(1,(LEN($I1922)-LEN(SUBSTITUTE($I1922," Ltd","")))/LEN(" Ltd")),0)</f>
        <v/>
      </c>
    </row>
    <row r="1922" ht="15" customHeight="1" s="146">
      <c r="Y1922" s="122">
        <f>MAX(0,IFERROR((LEN($T1923)-LEN(SUBSTITUTE($T1923,"Quality of Works / Criteria of Failings:","")))/LEN("Quality of Works / Criteria of Failings:"),0)-IFERROR((LEN($T1923)-LEN(SUBSTITUTE($T1923,"Quality of Works / Criteria of Failings:Compliant","")))/LEN("Quality of Works / Criteria of Failings:Compliant"),0))</f>
        <v/>
      </c>
      <c r="Z1922" s="122">
        <f>IFERROR($Y1923/MAX(1,(LEN($I1923)-LEN(SUBSTITUTE($I1923," Ltd","")))/LEN(" Ltd")),0)</f>
        <v/>
      </c>
      <c r="AA1922" s="122">
        <f>IFERROR(IFERROR((LEN($T1923)-LEN(SUBSTITUTE($T1923,"Quality of Works / Criteria of Failings:","")))/LEN("Quality of Works / Criteria of Failings:"),0)/MAX(1,(LEN($I1923)-LEN(SUBSTITUTE($I1923," Ltd","")))/LEN(" Ltd")),0)</f>
        <v/>
      </c>
      <c r="AB1922" s="122">
        <f>IFERROR(IFERROR((LEN($T1923)-LEN(SUBSTITUTE($T1923,"Quality of Works / Criteria of Failings:Compliant","")))/LEN("Quality of Works / Criteria of Failings:Compliant"),0)/MAX(1,(LEN($I1923)-LEN(SUBSTITUTE($I1923," Ltd","")))/LEN(" Ltd")),0)</f>
        <v/>
      </c>
    </row>
    <row r="1923" ht="15" customHeight="1" s="146">
      <c r="Y1923" s="122">
        <f>MAX(0,IFERROR((LEN($T1924)-LEN(SUBSTITUTE($T1924,"Quality of Works / Criteria of Failings:","")))/LEN("Quality of Works / Criteria of Failings:"),0)-IFERROR((LEN($T1924)-LEN(SUBSTITUTE($T1924,"Quality of Works / Criteria of Failings:Compliant","")))/LEN("Quality of Works / Criteria of Failings:Compliant"),0))</f>
        <v/>
      </c>
      <c r="Z1923" s="122">
        <f>IFERROR($Y1924/MAX(1,(LEN($I1924)-LEN(SUBSTITUTE($I1924," Ltd","")))/LEN(" Ltd")),0)</f>
        <v/>
      </c>
      <c r="AA1923" s="122">
        <f>IFERROR(IFERROR((LEN($T1924)-LEN(SUBSTITUTE($T1924,"Quality of Works / Criteria of Failings:","")))/LEN("Quality of Works / Criteria of Failings:"),0)/MAX(1,(LEN($I1924)-LEN(SUBSTITUTE($I1924," Ltd","")))/LEN(" Ltd")),0)</f>
        <v/>
      </c>
      <c r="AB1923" s="122">
        <f>IFERROR(IFERROR((LEN($T1924)-LEN(SUBSTITUTE($T1924,"Quality of Works / Criteria of Failings:Compliant","")))/LEN("Quality of Works / Criteria of Failings:Compliant"),0)/MAX(1,(LEN($I1924)-LEN(SUBSTITUTE($I1924," Ltd","")))/LEN(" Ltd")),0)</f>
        <v/>
      </c>
    </row>
    <row r="1924" ht="15" customHeight="1" s="146">
      <c r="Y1924" s="122">
        <f>MAX(0,IFERROR((LEN($T1925)-LEN(SUBSTITUTE($T1925,"Quality of Works / Criteria of Failings:","")))/LEN("Quality of Works / Criteria of Failings:"),0)-IFERROR((LEN($T1925)-LEN(SUBSTITUTE($T1925,"Quality of Works / Criteria of Failings:Compliant","")))/LEN("Quality of Works / Criteria of Failings:Compliant"),0))</f>
        <v/>
      </c>
      <c r="Z1924" s="122">
        <f>IFERROR($Y1925/MAX(1,(LEN($I1925)-LEN(SUBSTITUTE($I1925," Ltd","")))/LEN(" Ltd")),0)</f>
        <v/>
      </c>
      <c r="AA1924" s="122">
        <f>IFERROR(IFERROR((LEN($T1925)-LEN(SUBSTITUTE($T1925,"Quality of Works / Criteria of Failings:","")))/LEN("Quality of Works / Criteria of Failings:"),0)/MAX(1,(LEN($I1925)-LEN(SUBSTITUTE($I1925," Ltd","")))/LEN(" Ltd")),0)</f>
        <v/>
      </c>
      <c r="AB1924" s="122">
        <f>IFERROR(IFERROR((LEN($T1925)-LEN(SUBSTITUTE($T1925,"Quality of Works / Criteria of Failings:Compliant","")))/LEN("Quality of Works / Criteria of Failings:Compliant"),0)/MAX(1,(LEN($I1925)-LEN(SUBSTITUTE($I1925," Ltd","")))/LEN(" Ltd")),0)</f>
        <v/>
      </c>
    </row>
    <row r="1925" ht="15" customHeight="1" s="146">
      <c r="Y1925" s="122">
        <f>MAX(0,IFERROR((LEN($T1926)-LEN(SUBSTITUTE($T1926,"Quality of Works / Criteria of Failings:","")))/LEN("Quality of Works / Criteria of Failings:"),0)-IFERROR((LEN($T1926)-LEN(SUBSTITUTE($T1926,"Quality of Works / Criteria of Failings:Compliant","")))/LEN("Quality of Works / Criteria of Failings:Compliant"),0))</f>
        <v/>
      </c>
      <c r="Z1925" s="122">
        <f>IFERROR($Y1926/MAX(1,(LEN($I1926)-LEN(SUBSTITUTE($I1926," Ltd","")))/LEN(" Ltd")),0)</f>
        <v/>
      </c>
      <c r="AA1925" s="122">
        <f>IFERROR(IFERROR((LEN($T1926)-LEN(SUBSTITUTE($T1926,"Quality of Works / Criteria of Failings:","")))/LEN("Quality of Works / Criteria of Failings:"),0)/MAX(1,(LEN($I1926)-LEN(SUBSTITUTE($I1926," Ltd","")))/LEN(" Ltd")),0)</f>
        <v/>
      </c>
      <c r="AB1925" s="122">
        <f>IFERROR(IFERROR((LEN($T1926)-LEN(SUBSTITUTE($T1926,"Quality of Works / Criteria of Failings:Compliant","")))/LEN("Quality of Works / Criteria of Failings:Compliant"),0)/MAX(1,(LEN($I1926)-LEN(SUBSTITUTE($I1926," Ltd","")))/LEN(" Ltd")),0)</f>
        <v/>
      </c>
    </row>
    <row r="1926" ht="15" customHeight="1" s="146">
      <c r="Y1926" s="122">
        <f>MAX(0,IFERROR((LEN($T1927)-LEN(SUBSTITUTE($T1927,"Quality of Works / Criteria of Failings:","")))/LEN("Quality of Works / Criteria of Failings:"),0)-IFERROR((LEN($T1927)-LEN(SUBSTITUTE($T1927,"Quality of Works / Criteria of Failings:Compliant","")))/LEN("Quality of Works / Criteria of Failings:Compliant"),0))</f>
        <v/>
      </c>
      <c r="Z1926" s="122">
        <f>IFERROR($Y1927/MAX(1,(LEN($I1927)-LEN(SUBSTITUTE($I1927," Ltd","")))/LEN(" Ltd")),0)</f>
        <v/>
      </c>
      <c r="AA1926" s="122">
        <f>IFERROR(IFERROR((LEN($T1927)-LEN(SUBSTITUTE($T1927,"Quality of Works / Criteria of Failings:","")))/LEN("Quality of Works / Criteria of Failings:"),0)/MAX(1,(LEN($I1927)-LEN(SUBSTITUTE($I1927," Ltd","")))/LEN(" Ltd")),0)</f>
        <v/>
      </c>
      <c r="AB1926" s="122">
        <f>IFERROR(IFERROR((LEN($T1927)-LEN(SUBSTITUTE($T1927,"Quality of Works / Criteria of Failings:Compliant","")))/LEN("Quality of Works / Criteria of Failings:Compliant"),0)/MAX(1,(LEN($I1927)-LEN(SUBSTITUTE($I1927," Ltd","")))/LEN(" Ltd")),0)</f>
        <v/>
      </c>
    </row>
    <row r="1927" ht="15" customHeight="1" s="146">
      <c r="Y1927" s="122">
        <f>MAX(0,IFERROR((LEN($T1928)-LEN(SUBSTITUTE($T1928,"Quality of Works / Criteria of Failings:","")))/LEN("Quality of Works / Criteria of Failings:"),0)-IFERROR((LEN($T1928)-LEN(SUBSTITUTE($T1928,"Quality of Works / Criteria of Failings:Compliant","")))/LEN("Quality of Works / Criteria of Failings:Compliant"),0))</f>
        <v/>
      </c>
      <c r="Z1927" s="122">
        <f>IFERROR($Y1928/MAX(1,(LEN($I1928)-LEN(SUBSTITUTE($I1928," Ltd","")))/LEN(" Ltd")),0)</f>
        <v/>
      </c>
      <c r="AA1927" s="122">
        <f>IFERROR(IFERROR((LEN($T1928)-LEN(SUBSTITUTE($T1928,"Quality of Works / Criteria of Failings:","")))/LEN("Quality of Works / Criteria of Failings:"),0)/MAX(1,(LEN($I1928)-LEN(SUBSTITUTE($I1928," Ltd","")))/LEN(" Ltd")),0)</f>
        <v/>
      </c>
      <c r="AB1927" s="122">
        <f>IFERROR(IFERROR((LEN($T1928)-LEN(SUBSTITUTE($T1928,"Quality of Works / Criteria of Failings:Compliant","")))/LEN("Quality of Works / Criteria of Failings:Compliant"),0)/MAX(1,(LEN($I1928)-LEN(SUBSTITUTE($I1928," Ltd","")))/LEN(" Ltd")),0)</f>
        <v/>
      </c>
    </row>
    <row r="1928" ht="15" customHeight="1" s="146">
      <c r="Y1928" s="122">
        <f>MAX(0,IFERROR((LEN($T1929)-LEN(SUBSTITUTE($T1929,"Quality of Works / Criteria of Failings:","")))/LEN("Quality of Works / Criteria of Failings:"),0)-IFERROR((LEN($T1929)-LEN(SUBSTITUTE($T1929,"Quality of Works / Criteria of Failings:Compliant","")))/LEN("Quality of Works / Criteria of Failings:Compliant"),0))</f>
        <v/>
      </c>
      <c r="Z1928" s="122">
        <f>IFERROR($Y1929/MAX(1,(LEN($I1929)-LEN(SUBSTITUTE($I1929," Ltd","")))/LEN(" Ltd")),0)</f>
        <v/>
      </c>
      <c r="AA1928" s="122">
        <f>IFERROR(IFERROR((LEN($T1929)-LEN(SUBSTITUTE($T1929,"Quality of Works / Criteria of Failings:","")))/LEN("Quality of Works / Criteria of Failings:"),0)/MAX(1,(LEN($I1929)-LEN(SUBSTITUTE($I1929," Ltd","")))/LEN(" Ltd")),0)</f>
        <v/>
      </c>
      <c r="AB1928" s="122">
        <f>IFERROR(IFERROR((LEN($T1929)-LEN(SUBSTITUTE($T1929,"Quality of Works / Criteria of Failings:Compliant","")))/LEN("Quality of Works / Criteria of Failings:Compliant"),0)/MAX(1,(LEN($I1929)-LEN(SUBSTITUTE($I1929," Ltd","")))/LEN(" Ltd")),0)</f>
        <v/>
      </c>
    </row>
    <row r="1929" ht="15" customHeight="1" s="146">
      <c r="Y1929" s="122">
        <f>MAX(0,IFERROR((LEN($T1930)-LEN(SUBSTITUTE($T1930,"Quality of Works / Criteria of Failings:","")))/LEN("Quality of Works / Criteria of Failings:"),0)-IFERROR((LEN($T1930)-LEN(SUBSTITUTE($T1930,"Quality of Works / Criteria of Failings:Compliant","")))/LEN("Quality of Works / Criteria of Failings:Compliant"),0))</f>
        <v/>
      </c>
      <c r="Z1929" s="122">
        <f>IFERROR($Y1930/MAX(1,(LEN($I1930)-LEN(SUBSTITUTE($I1930," Ltd","")))/LEN(" Ltd")),0)</f>
        <v/>
      </c>
      <c r="AA1929" s="122">
        <f>IFERROR(IFERROR((LEN($T1930)-LEN(SUBSTITUTE($T1930,"Quality of Works / Criteria of Failings:","")))/LEN("Quality of Works / Criteria of Failings:"),0)/MAX(1,(LEN($I1930)-LEN(SUBSTITUTE($I1930," Ltd","")))/LEN(" Ltd")),0)</f>
        <v/>
      </c>
      <c r="AB1929" s="122">
        <f>IFERROR(IFERROR((LEN($T1930)-LEN(SUBSTITUTE($T1930,"Quality of Works / Criteria of Failings:Compliant","")))/LEN("Quality of Works / Criteria of Failings:Compliant"),0)/MAX(1,(LEN($I1930)-LEN(SUBSTITUTE($I1930," Ltd","")))/LEN(" Ltd")),0)</f>
        <v/>
      </c>
    </row>
    <row r="1930" ht="15" customHeight="1" s="146">
      <c r="Y1930" s="122">
        <f>MAX(0,IFERROR((LEN($T1931)-LEN(SUBSTITUTE($T1931,"Quality of Works / Criteria of Failings:","")))/LEN("Quality of Works / Criteria of Failings:"),0)-IFERROR((LEN($T1931)-LEN(SUBSTITUTE($T1931,"Quality of Works / Criteria of Failings:Compliant","")))/LEN("Quality of Works / Criteria of Failings:Compliant"),0))</f>
        <v/>
      </c>
      <c r="Z1930" s="122">
        <f>IFERROR($Y1931/MAX(1,(LEN($I1931)-LEN(SUBSTITUTE($I1931," Ltd","")))/LEN(" Ltd")),0)</f>
        <v/>
      </c>
      <c r="AA1930" s="122">
        <f>IFERROR(IFERROR((LEN($T1931)-LEN(SUBSTITUTE($T1931,"Quality of Works / Criteria of Failings:","")))/LEN("Quality of Works / Criteria of Failings:"),0)/MAX(1,(LEN($I1931)-LEN(SUBSTITUTE($I1931," Ltd","")))/LEN(" Ltd")),0)</f>
        <v/>
      </c>
      <c r="AB1930" s="122">
        <f>IFERROR(IFERROR((LEN($T1931)-LEN(SUBSTITUTE($T1931,"Quality of Works / Criteria of Failings:Compliant","")))/LEN("Quality of Works / Criteria of Failings:Compliant"),0)/MAX(1,(LEN($I1931)-LEN(SUBSTITUTE($I1931," Ltd","")))/LEN(" Ltd")),0)</f>
        <v/>
      </c>
    </row>
    <row r="1931" ht="15" customHeight="1" s="146">
      <c r="Y1931" s="122">
        <f>MAX(0,IFERROR((LEN($T1932)-LEN(SUBSTITUTE($T1932,"Quality of Works / Criteria of Failings:","")))/LEN("Quality of Works / Criteria of Failings:"),0)-IFERROR((LEN($T1932)-LEN(SUBSTITUTE($T1932,"Quality of Works / Criteria of Failings:Compliant","")))/LEN("Quality of Works / Criteria of Failings:Compliant"),0))</f>
        <v/>
      </c>
      <c r="Z1931" s="122">
        <f>IFERROR($Y1932/MAX(1,(LEN($I1932)-LEN(SUBSTITUTE($I1932," Ltd","")))/LEN(" Ltd")),0)</f>
        <v/>
      </c>
      <c r="AA1931" s="122">
        <f>IFERROR(IFERROR((LEN($T1932)-LEN(SUBSTITUTE($T1932,"Quality of Works / Criteria of Failings:","")))/LEN("Quality of Works / Criteria of Failings:"),0)/MAX(1,(LEN($I1932)-LEN(SUBSTITUTE($I1932," Ltd","")))/LEN(" Ltd")),0)</f>
        <v/>
      </c>
      <c r="AB1931" s="122">
        <f>IFERROR(IFERROR((LEN($T1932)-LEN(SUBSTITUTE($T1932,"Quality of Works / Criteria of Failings:Compliant","")))/LEN("Quality of Works / Criteria of Failings:Compliant"),0)/MAX(1,(LEN($I1932)-LEN(SUBSTITUTE($I1932," Ltd","")))/LEN(" Ltd")),0)</f>
        <v/>
      </c>
    </row>
    <row r="1932" ht="15" customHeight="1" s="146">
      <c r="Y1932" s="122">
        <f>MAX(0,IFERROR((LEN($T1933)-LEN(SUBSTITUTE($T1933,"Quality of Works / Criteria of Failings:","")))/LEN("Quality of Works / Criteria of Failings:"),0)-IFERROR((LEN($T1933)-LEN(SUBSTITUTE($T1933,"Quality of Works / Criteria of Failings:Compliant","")))/LEN("Quality of Works / Criteria of Failings:Compliant"),0))</f>
        <v/>
      </c>
      <c r="Z1932" s="122">
        <f>IFERROR($Y1933/MAX(1,(LEN($I1933)-LEN(SUBSTITUTE($I1933," Ltd","")))/LEN(" Ltd")),0)</f>
        <v/>
      </c>
      <c r="AA1932" s="122">
        <f>IFERROR(IFERROR((LEN($T1933)-LEN(SUBSTITUTE($T1933,"Quality of Works / Criteria of Failings:","")))/LEN("Quality of Works / Criteria of Failings:"),0)/MAX(1,(LEN($I1933)-LEN(SUBSTITUTE($I1933," Ltd","")))/LEN(" Ltd")),0)</f>
        <v/>
      </c>
      <c r="AB1932" s="122">
        <f>IFERROR(IFERROR((LEN($T1933)-LEN(SUBSTITUTE($T1933,"Quality of Works / Criteria of Failings:Compliant","")))/LEN("Quality of Works / Criteria of Failings:Compliant"),0)/MAX(1,(LEN($I1933)-LEN(SUBSTITUTE($I1933," Ltd","")))/LEN(" Ltd")),0)</f>
        <v/>
      </c>
    </row>
    <row r="1933" ht="15" customHeight="1" s="146">
      <c r="Y1933" s="122">
        <f>MAX(0,IFERROR((LEN($T1934)-LEN(SUBSTITUTE($T1934,"Quality of Works / Criteria of Failings:","")))/LEN("Quality of Works / Criteria of Failings:"),0)-IFERROR((LEN($T1934)-LEN(SUBSTITUTE($T1934,"Quality of Works / Criteria of Failings:Compliant","")))/LEN("Quality of Works / Criteria of Failings:Compliant"),0))</f>
        <v/>
      </c>
      <c r="Z1933" s="122">
        <f>IFERROR($Y1934/MAX(1,(LEN($I1934)-LEN(SUBSTITUTE($I1934," Ltd","")))/LEN(" Ltd")),0)</f>
        <v/>
      </c>
      <c r="AA1933" s="122">
        <f>IFERROR(IFERROR((LEN($T1934)-LEN(SUBSTITUTE($T1934,"Quality of Works / Criteria of Failings:","")))/LEN("Quality of Works / Criteria of Failings:"),0)/MAX(1,(LEN($I1934)-LEN(SUBSTITUTE($I1934," Ltd","")))/LEN(" Ltd")),0)</f>
        <v/>
      </c>
      <c r="AB1933" s="122">
        <f>IFERROR(IFERROR((LEN($T1934)-LEN(SUBSTITUTE($T1934,"Quality of Works / Criteria of Failings:Compliant","")))/LEN("Quality of Works / Criteria of Failings:Compliant"),0)/MAX(1,(LEN($I1934)-LEN(SUBSTITUTE($I1934," Ltd","")))/LEN(" Ltd")),0)</f>
        <v/>
      </c>
    </row>
    <row r="1934" ht="15" customHeight="1" s="146">
      <c r="Y1934" s="122">
        <f>MAX(0,IFERROR((LEN($T1935)-LEN(SUBSTITUTE($T1935,"Quality of Works / Criteria of Failings:","")))/LEN("Quality of Works / Criteria of Failings:"),0)-IFERROR((LEN($T1935)-LEN(SUBSTITUTE($T1935,"Quality of Works / Criteria of Failings:Compliant","")))/LEN("Quality of Works / Criteria of Failings:Compliant"),0))</f>
        <v/>
      </c>
      <c r="Z1934" s="122">
        <f>IFERROR($Y1935/MAX(1,(LEN($I1935)-LEN(SUBSTITUTE($I1935," Ltd","")))/LEN(" Ltd")),0)</f>
        <v/>
      </c>
      <c r="AA1934" s="122">
        <f>IFERROR(IFERROR((LEN($T1935)-LEN(SUBSTITUTE($T1935,"Quality of Works / Criteria of Failings:","")))/LEN("Quality of Works / Criteria of Failings:"),0)/MAX(1,(LEN($I1935)-LEN(SUBSTITUTE($I1935," Ltd","")))/LEN(" Ltd")),0)</f>
        <v/>
      </c>
      <c r="AB1934" s="122">
        <f>IFERROR(IFERROR((LEN($T1935)-LEN(SUBSTITUTE($T1935,"Quality of Works / Criteria of Failings:Compliant","")))/LEN("Quality of Works / Criteria of Failings:Compliant"),0)/MAX(1,(LEN($I1935)-LEN(SUBSTITUTE($I1935," Ltd","")))/LEN(" Ltd")),0)</f>
        <v/>
      </c>
    </row>
    <row r="1935" ht="15" customHeight="1" s="146">
      <c r="Y1935" s="122">
        <f>MAX(0,IFERROR((LEN($T1936)-LEN(SUBSTITUTE($T1936,"Quality of Works / Criteria of Failings:","")))/LEN("Quality of Works / Criteria of Failings:"),0)-IFERROR((LEN($T1936)-LEN(SUBSTITUTE($T1936,"Quality of Works / Criteria of Failings:Compliant","")))/LEN("Quality of Works / Criteria of Failings:Compliant"),0))</f>
        <v/>
      </c>
      <c r="Z1935" s="122">
        <f>IFERROR($Y1936/MAX(1,(LEN($I1936)-LEN(SUBSTITUTE($I1936," Ltd","")))/LEN(" Ltd")),0)</f>
        <v/>
      </c>
      <c r="AA1935" s="122">
        <f>IFERROR(IFERROR((LEN($T1936)-LEN(SUBSTITUTE($T1936,"Quality of Works / Criteria of Failings:","")))/LEN("Quality of Works / Criteria of Failings:"),0)/MAX(1,(LEN($I1936)-LEN(SUBSTITUTE($I1936," Ltd","")))/LEN(" Ltd")),0)</f>
        <v/>
      </c>
      <c r="AB1935" s="122">
        <f>IFERROR(IFERROR((LEN($T1936)-LEN(SUBSTITUTE($T1936,"Quality of Works / Criteria of Failings:Compliant","")))/LEN("Quality of Works / Criteria of Failings:Compliant"),0)/MAX(1,(LEN($I1936)-LEN(SUBSTITUTE($I1936," Ltd","")))/LEN(" Ltd")),0)</f>
        <v/>
      </c>
    </row>
    <row r="1936" ht="15" customHeight="1" s="146">
      <c r="Y1936" s="122">
        <f>MAX(0,IFERROR((LEN($T1937)-LEN(SUBSTITUTE($T1937,"Quality of Works / Criteria of Failings:","")))/LEN("Quality of Works / Criteria of Failings:"),0)-IFERROR((LEN($T1937)-LEN(SUBSTITUTE($T1937,"Quality of Works / Criteria of Failings:Compliant","")))/LEN("Quality of Works / Criteria of Failings:Compliant"),0))</f>
        <v/>
      </c>
      <c r="Z1936" s="122">
        <f>IFERROR($Y1937/MAX(1,(LEN($I1937)-LEN(SUBSTITUTE($I1937," Ltd","")))/LEN(" Ltd")),0)</f>
        <v/>
      </c>
      <c r="AA1936" s="122">
        <f>IFERROR(IFERROR((LEN($T1937)-LEN(SUBSTITUTE($T1937,"Quality of Works / Criteria of Failings:","")))/LEN("Quality of Works / Criteria of Failings:"),0)/MAX(1,(LEN($I1937)-LEN(SUBSTITUTE($I1937," Ltd","")))/LEN(" Ltd")),0)</f>
        <v/>
      </c>
      <c r="AB1936" s="122">
        <f>IFERROR(IFERROR((LEN($T1937)-LEN(SUBSTITUTE($T1937,"Quality of Works / Criteria of Failings:Compliant","")))/LEN("Quality of Works / Criteria of Failings:Compliant"),0)/MAX(1,(LEN($I1937)-LEN(SUBSTITUTE($I1937," Ltd","")))/LEN(" Ltd")),0)</f>
        <v/>
      </c>
    </row>
    <row r="1937" ht="15" customHeight="1" s="146">
      <c r="Y1937" s="122">
        <f>MAX(0,IFERROR((LEN($T1938)-LEN(SUBSTITUTE($T1938,"Quality of Works / Criteria of Failings:","")))/LEN("Quality of Works / Criteria of Failings:"),0)-IFERROR((LEN($T1938)-LEN(SUBSTITUTE($T1938,"Quality of Works / Criteria of Failings:Compliant","")))/LEN("Quality of Works / Criteria of Failings:Compliant"),0))</f>
        <v/>
      </c>
      <c r="Z1937" s="122">
        <f>IFERROR($Y1938/MAX(1,(LEN($I1938)-LEN(SUBSTITUTE($I1938," Ltd","")))/LEN(" Ltd")),0)</f>
        <v/>
      </c>
      <c r="AA1937" s="122">
        <f>IFERROR(IFERROR((LEN($T1938)-LEN(SUBSTITUTE($T1938,"Quality of Works / Criteria of Failings:","")))/LEN("Quality of Works / Criteria of Failings:"),0)/MAX(1,(LEN($I1938)-LEN(SUBSTITUTE($I1938," Ltd","")))/LEN(" Ltd")),0)</f>
        <v/>
      </c>
      <c r="AB1937" s="122">
        <f>IFERROR(IFERROR((LEN($T1938)-LEN(SUBSTITUTE($T1938,"Quality of Works / Criteria of Failings:Compliant","")))/LEN("Quality of Works / Criteria of Failings:Compliant"),0)/MAX(1,(LEN($I1938)-LEN(SUBSTITUTE($I1938," Ltd","")))/LEN(" Ltd")),0)</f>
        <v/>
      </c>
    </row>
    <row r="1938" ht="15" customHeight="1" s="146">
      <c r="Y1938" s="122">
        <f>MAX(0,IFERROR((LEN($T1939)-LEN(SUBSTITUTE($T1939,"Quality of Works / Criteria of Failings:","")))/LEN("Quality of Works / Criteria of Failings:"),0)-IFERROR((LEN($T1939)-LEN(SUBSTITUTE($T1939,"Quality of Works / Criteria of Failings:Compliant","")))/LEN("Quality of Works / Criteria of Failings:Compliant"),0))</f>
        <v/>
      </c>
      <c r="Z1938" s="122">
        <f>IFERROR($Y1939/MAX(1,(LEN($I1939)-LEN(SUBSTITUTE($I1939," Ltd","")))/LEN(" Ltd")),0)</f>
        <v/>
      </c>
      <c r="AA1938" s="122">
        <f>IFERROR(IFERROR((LEN($T1939)-LEN(SUBSTITUTE($T1939,"Quality of Works / Criteria of Failings:","")))/LEN("Quality of Works / Criteria of Failings:"),0)/MAX(1,(LEN($I1939)-LEN(SUBSTITUTE($I1939," Ltd","")))/LEN(" Ltd")),0)</f>
        <v/>
      </c>
      <c r="AB1938" s="122">
        <f>IFERROR(IFERROR((LEN($T1939)-LEN(SUBSTITUTE($T1939,"Quality of Works / Criteria of Failings:Compliant","")))/LEN("Quality of Works / Criteria of Failings:Compliant"),0)/MAX(1,(LEN($I1939)-LEN(SUBSTITUTE($I1939," Ltd","")))/LEN(" Ltd")),0)</f>
        <v/>
      </c>
    </row>
    <row r="1939" ht="15" customHeight="1" s="146">
      <c r="Y1939" s="122">
        <f>MAX(0,IFERROR((LEN($T1940)-LEN(SUBSTITUTE($T1940,"Quality of Works / Criteria of Failings:","")))/LEN("Quality of Works / Criteria of Failings:"),0)-IFERROR((LEN($T1940)-LEN(SUBSTITUTE($T1940,"Quality of Works / Criteria of Failings:Compliant","")))/LEN("Quality of Works / Criteria of Failings:Compliant"),0))</f>
        <v/>
      </c>
      <c r="Z1939" s="122">
        <f>IFERROR($Y1940/MAX(1,(LEN($I1940)-LEN(SUBSTITUTE($I1940," Ltd","")))/LEN(" Ltd")),0)</f>
        <v/>
      </c>
      <c r="AA1939" s="122">
        <f>IFERROR(IFERROR((LEN($T1940)-LEN(SUBSTITUTE($T1940,"Quality of Works / Criteria of Failings:","")))/LEN("Quality of Works / Criteria of Failings:"),0)/MAX(1,(LEN($I1940)-LEN(SUBSTITUTE($I1940," Ltd","")))/LEN(" Ltd")),0)</f>
        <v/>
      </c>
      <c r="AB1939" s="122">
        <f>IFERROR(IFERROR((LEN($T1940)-LEN(SUBSTITUTE($T1940,"Quality of Works / Criteria of Failings:Compliant","")))/LEN("Quality of Works / Criteria of Failings:Compliant"),0)/MAX(1,(LEN($I1940)-LEN(SUBSTITUTE($I1940," Ltd","")))/LEN(" Ltd")),0)</f>
        <v/>
      </c>
    </row>
    <row r="1940" ht="15" customHeight="1" s="146">
      <c r="Y1940" s="122">
        <f>MAX(0,IFERROR((LEN($T1941)-LEN(SUBSTITUTE($T1941,"Quality of Works / Criteria of Failings:","")))/LEN("Quality of Works / Criteria of Failings:"),0)-IFERROR((LEN($T1941)-LEN(SUBSTITUTE($T1941,"Quality of Works / Criteria of Failings:Compliant","")))/LEN("Quality of Works / Criteria of Failings:Compliant"),0))</f>
        <v/>
      </c>
      <c r="Z1940" s="122">
        <f>IFERROR($Y1941/MAX(1,(LEN($I1941)-LEN(SUBSTITUTE($I1941," Ltd","")))/LEN(" Ltd")),0)</f>
        <v/>
      </c>
      <c r="AA1940" s="122">
        <f>IFERROR(IFERROR((LEN($T1941)-LEN(SUBSTITUTE($T1941,"Quality of Works / Criteria of Failings:","")))/LEN("Quality of Works / Criteria of Failings:"),0)/MAX(1,(LEN($I1941)-LEN(SUBSTITUTE($I1941," Ltd","")))/LEN(" Ltd")),0)</f>
        <v/>
      </c>
      <c r="AB1940" s="122">
        <f>IFERROR(IFERROR((LEN($T1941)-LEN(SUBSTITUTE($T1941,"Quality of Works / Criteria of Failings:Compliant","")))/LEN("Quality of Works / Criteria of Failings:Compliant"),0)/MAX(1,(LEN($I1941)-LEN(SUBSTITUTE($I1941," Ltd","")))/LEN(" Ltd")),0)</f>
        <v/>
      </c>
    </row>
    <row r="1941" ht="15" customHeight="1" s="146">
      <c r="Y1941" s="122">
        <f>MAX(0,IFERROR((LEN($T1942)-LEN(SUBSTITUTE($T1942,"Quality of Works / Criteria of Failings:","")))/LEN("Quality of Works / Criteria of Failings:"),0)-IFERROR((LEN($T1942)-LEN(SUBSTITUTE($T1942,"Quality of Works / Criteria of Failings:Compliant","")))/LEN("Quality of Works / Criteria of Failings:Compliant"),0))</f>
        <v/>
      </c>
      <c r="Z1941" s="122">
        <f>IFERROR($Y1942/MAX(1,(LEN($I1942)-LEN(SUBSTITUTE($I1942," Ltd","")))/LEN(" Ltd")),0)</f>
        <v/>
      </c>
      <c r="AA1941" s="122">
        <f>IFERROR(IFERROR((LEN($T1942)-LEN(SUBSTITUTE($T1942,"Quality of Works / Criteria of Failings:","")))/LEN("Quality of Works / Criteria of Failings:"),0)/MAX(1,(LEN($I1942)-LEN(SUBSTITUTE($I1942," Ltd","")))/LEN(" Ltd")),0)</f>
        <v/>
      </c>
      <c r="AB1941" s="122">
        <f>IFERROR(IFERROR((LEN($T1942)-LEN(SUBSTITUTE($T1942,"Quality of Works / Criteria of Failings:Compliant","")))/LEN("Quality of Works / Criteria of Failings:Compliant"),0)/MAX(1,(LEN($I1942)-LEN(SUBSTITUTE($I1942," Ltd","")))/LEN(" Ltd")),0)</f>
        <v/>
      </c>
    </row>
    <row r="1942" ht="15" customHeight="1" s="146">
      <c r="Y1942" s="122">
        <f>MAX(0,IFERROR((LEN($T1943)-LEN(SUBSTITUTE($T1943,"Quality of Works / Criteria of Failings:","")))/LEN("Quality of Works / Criteria of Failings:"),0)-IFERROR((LEN($T1943)-LEN(SUBSTITUTE($T1943,"Quality of Works / Criteria of Failings:Compliant","")))/LEN("Quality of Works / Criteria of Failings:Compliant"),0))</f>
        <v/>
      </c>
      <c r="Z1942" s="122">
        <f>IFERROR($Y1943/MAX(1,(LEN($I1943)-LEN(SUBSTITUTE($I1943," Ltd","")))/LEN(" Ltd")),0)</f>
        <v/>
      </c>
      <c r="AA1942" s="122">
        <f>IFERROR(IFERROR((LEN($T1943)-LEN(SUBSTITUTE($T1943,"Quality of Works / Criteria of Failings:","")))/LEN("Quality of Works / Criteria of Failings:"),0)/MAX(1,(LEN($I1943)-LEN(SUBSTITUTE($I1943," Ltd","")))/LEN(" Ltd")),0)</f>
        <v/>
      </c>
      <c r="AB1942" s="122">
        <f>IFERROR(IFERROR((LEN($T1943)-LEN(SUBSTITUTE($T1943,"Quality of Works / Criteria of Failings:Compliant","")))/LEN("Quality of Works / Criteria of Failings:Compliant"),0)/MAX(1,(LEN($I1943)-LEN(SUBSTITUTE($I1943," Ltd","")))/LEN(" Ltd")),0)</f>
        <v/>
      </c>
    </row>
    <row r="1943" ht="15" customHeight="1" s="146">
      <c r="Y1943" s="122">
        <f>MAX(0,IFERROR((LEN($T1944)-LEN(SUBSTITUTE($T1944,"Quality of Works / Criteria of Failings:","")))/LEN("Quality of Works / Criteria of Failings:"),0)-IFERROR((LEN($T1944)-LEN(SUBSTITUTE($T1944,"Quality of Works / Criteria of Failings:Compliant","")))/LEN("Quality of Works / Criteria of Failings:Compliant"),0))</f>
        <v/>
      </c>
      <c r="Z1943" s="122">
        <f>IFERROR($Y1944/MAX(1,(LEN($I1944)-LEN(SUBSTITUTE($I1944," Ltd","")))/LEN(" Ltd")),0)</f>
        <v/>
      </c>
      <c r="AA1943" s="122">
        <f>IFERROR(IFERROR((LEN($T1944)-LEN(SUBSTITUTE($T1944,"Quality of Works / Criteria of Failings:","")))/LEN("Quality of Works / Criteria of Failings:"),0)/MAX(1,(LEN($I1944)-LEN(SUBSTITUTE($I1944," Ltd","")))/LEN(" Ltd")),0)</f>
        <v/>
      </c>
      <c r="AB1943" s="122">
        <f>IFERROR(IFERROR((LEN($T1944)-LEN(SUBSTITUTE($T1944,"Quality of Works / Criteria of Failings:Compliant","")))/LEN("Quality of Works / Criteria of Failings:Compliant"),0)/MAX(1,(LEN($I1944)-LEN(SUBSTITUTE($I1944," Ltd","")))/LEN(" Ltd")),0)</f>
        <v/>
      </c>
    </row>
    <row r="1944" ht="15" customHeight="1" s="146">
      <c r="Y1944" s="122">
        <f>MAX(0,IFERROR((LEN($T1945)-LEN(SUBSTITUTE($T1945,"Quality of Works / Criteria of Failings:","")))/LEN("Quality of Works / Criteria of Failings:"),0)-IFERROR((LEN($T1945)-LEN(SUBSTITUTE($T1945,"Quality of Works / Criteria of Failings:Compliant","")))/LEN("Quality of Works / Criteria of Failings:Compliant"),0))</f>
        <v/>
      </c>
      <c r="Z1944" s="122">
        <f>IFERROR($Y1945/MAX(1,(LEN($I1945)-LEN(SUBSTITUTE($I1945," Ltd","")))/LEN(" Ltd")),0)</f>
        <v/>
      </c>
      <c r="AA1944" s="122">
        <f>IFERROR(IFERROR((LEN($T1945)-LEN(SUBSTITUTE($T1945,"Quality of Works / Criteria of Failings:","")))/LEN("Quality of Works / Criteria of Failings:"),0)/MAX(1,(LEN($I1945)-LEN(SUBSTITUTE($I1945," Ltd","")))/LEN(" Ltd")),0)</f>
        <v/>
      </c>
      <c r="AB1944" s="122">
        <f>IFERROR(IFERROR((LEN($T1945)-LEN(SUBSTITUTE($T1945,"Quality of Works / Criteria of Failings:Compliant","")))/LEN("Quality of Works / Criteria of Failings:Compliant"),0)/MAX(1,(LEN($I1945)-LEN(SUBSTITUTE($I1945," Ltd","")))/LEN(" Ltd")),0)</f>
        <v/>
      </c>
    </row>
    <row r="1945" ht="15" customHeight="1" s="146">
      <c r="Y1945" s="122">
        <f>MAX(0,IFERROR((LEN($T1946)-LEN(SUBSTITUTE($T1946,"Quality of Works / Criteria of Failings:","")))/LEN("Quality of Works / Criteria of Failings:"),0)-IFERROR((LEN($T1946)-LEN(SUBSTITUTE($T1946,"Quality of Works / Criteria of Failings:Compliant","")))/LEN("Quality of Works / Criteria of Failings:Compliant"),0))</f>
        <v/>
      </c>
      <c r="Z1945" s="122">
        <f>IFERROR($Y1946/MAX(1,(LEN($I1946)-LEN(SUBSTITUTE($I1946," Ltd","")))/LEN(" Ltd")),0)</f>
        <v/>
      </c>
      <c r="AA1945" s="122">
        <f>IFERROR(IFERROR((LEN($T1946)-LEN(SUBSTITUTE($T1946,"Quality of Works / Criteria of Failings:","")))/LEN("Quality of Works / Criteria of Failings:"),0)/MAX(1,(LEN($I1946)-LEN(SUBSTITUTE($I1946," Ltd","")))/LEN(" Ltd")),0)</f>
        <v/>
      </c>
      <c r="AB1945" s="122">
        <f>IFERROR(IFERROR((LEN($T1946)-LEN(SUBSTITUTE($T1946,"Quality of Works / Criteria of Failings:Compliant","")))/LEN("Quality of Works / Criteria of Failings:Compliant"),0)/MAX(1,(LEN($I1946)-LEN(SUBSTITUTE($I1946," Ltd","")))/LEN(" Ltd")),0)</f>
        <v/>
      </c>
    </row>
    <row r="1946" ht="15" customHeight="1" s="146">
      <c r="Y1946" s="122">
        <f>MAX(0,IFERROR((LEN($T1947)-LEN(SUBSTITUTE($T1947,"Quality of Works / Criteria of Failings:","")))/LEN("Quality of Works / Criteria of Failings:"),0)-IFERROR((LEN($T1947)-LEN(SUBSTITUTE($T1947,"Quality of Works / Criteria of Failings:Compliant","")))/LEN("Quality of Works / Criteria of Failings:Compliant"),0))</f>
        <v/>
      </c>
      <c r="Z1946" s="122">
        <f>IFERROR($Y1947/MAX(1,(LEN($I1947)-LEN(SUBSTITUTE($I1947," Ltd","")))/LEN(" Ltd")),0)</f>
        <v/>
      </c>
      <c r="AA1946" s="122">
        <f>IFERROR(IFERROR((LEN($T1947)-LEN(SUBSTITUTE($T1947,"Quality of Works / Criteria of Failings:","")))/LEN("Quality of Works / Criteria of Failings:"),0)/MAX(1,(LEN($I1947)-LEN(SUBSTITUTE($I1947," Ltd","")))/LEN(" Ltd")),0)</f>
        <v/>
      </c>
      <c r="AB1946" s="122">
        <f>IFERROR(IFERROR((LEN($T1947)-LEN(SUBSTITUTE($T1947,"Quality of Works / Criteria of Failings:Compliant","")))/LEN("Quality of Works / Criteria of Failings:Compliant"),0)/MAX(1,(LEN($I1947)-LEN(SUBSTITUTE($I1947," Ltd","")))/LEN(" Ltd")),0)</f>
        <v/>
      </c>
    </row>
    <row r="1947" ht="15" customHeight="1" s="146">
      <c r="Y1947" s="122">
        <f>MAX(0,IFERROR((LEN($T1948)-LEN(SUBSTITUTE($T1948,"Quality of Works / Criteria of Failings:","")))/LEN("Quality of Works / Criteria of Failings:"),0)-IFERROR((LEN($T1948)-LEN(SUBSTITUTE($T1948,"Quality of Works / Criteria of Failings:Compliant","")))/LEN("Quality of Works / Criteria of Failings:Compliant"),0))</f>
        <v/>
      </c>
      <c r="Z1947" s="122">
        <f>IFERROR($Y1948/MAX(1,(LEN($I1948)-LEN(SUBSTITUTE($I1948," Ltd","")))/LEN(" Ltd")),0)</f>
        <v/>
      </c>
      <c r="AA1947" s="122">
        <f>IFERROR(IFERROR((LEN($T1948)-LEN(SUBSTITUTE($T1948,"Quality of Works / Criteria of Failings:","")))/LEN("Quality of Works / Criteria of Failings:"),0)/MAX(1,(LEN($I1948)-LEN(SUBSTITUTE($I1948," Ltd","")))/LEN(" Ltd")),0)</f>
        <v/>
      </c>
      <c r="AB1947" s="122">
        <f>IFERROR(IFERROR((LEN($T1948)-LEN(SUBSTITUTE($T1948,"Quality of Works / Criteria of Failings:Compliant","")))/LEN("Quality of Works / Criteria of Failings:Compliant"),0)/MAX(1,(LEN($I1948)-LEN(SUBSTITUTE($I1948," Ltd","")))/LEN(" Ltd")),0)</f>
        <v/>
      </c>
    </row>
    <row r="1948" ht="15" customHeight="1" s="146">
      <c r="Y1948" s="122">
        <f>MAX(0,IFERROR((LEN($T1949)-LEN(SUBSTITUTE($T1949,"Quality of Works / Criteria of Failings:","")))/LEN("Quality of Works / Criteria of Failings:"),0)-IFERROR((LEN($T1949)-LEN(SUBSTITUTE($T1949,"Quality of Works / Criteria of Failings:Compliant","")))/LEN("Quality of Works / Criteria of Failings:Compliant"),0))</f>
        <v/>
      </c>
      <c r="Z1948" s="122">
        <f>IFERROR($Y1949/MAX(1,(LEN($I1949)-LEN(SUBSTITUTE($I1949," Ltd","")))/LEN(" Ltd")),0)</f>
        <v/>
      </c>
      <c r="AA1948" s="122">
        <f>IFERROR(IFERROR((LEN($T1949)-LEN(SUBSTITUTE($T1949,"Quality of Works / Criteria of Failings:","")))/LEN("Quality of Works / Criteria of Failings:"),0)/MAX(1,(LEN($I1949)-LEN(SUBSTITUTE($I1949," Ltd","")))/LEN(" Ltd")),0)</f>
        <v/>
      </c>
      <c r="AB1948" s="122">
        <f>IFERROR(IFERROR((LEN($T1949)-LEN(SUBSTITUTE($T1949,"Quality of Works / Criteria of Failings:Compliant","")))/LEN("Quality of Works / Criteria of Failings:Compliant"),0)/MAX(1,(LEN($I1949)-LEN(SUBSTITUTE($I1949," Ltd","")))/LEN(" Ltd")),0)</f>
        <v/>
      </c>
    </row>
    <row r="1949" ht="15" customHeight="1" s="146">
      <c r="Y1949" s="122">
        <f>MAX(0,IFERROR((LEN($T1950)-LEN(SUBSTITUTE($T1950,"Quality of Works / Criteria of Failings:","")))/LEN("Quality of Works / Criteria of Failings:"),0)-IFERROR((LEN($T1950)-LEN(SUBSTITUTE($T1950,"Quality of Works / Criteria of Failings:Compliant","")))/LEN("Quality of Works / Criteria of Failings:Compliant"),0))</f>
        <v/>
      </c>
      <c r="Z1949" s="122">
        <f>IFERROR($Y1950/MAX(1,(LEN($I1950)-LEN(SUBSTITUTE($I1950," Ltd","")))/LEN(" Ltd")),0)</f>
        <v/>
      </c>
      <c r="AA1949" s="122">
        <f>IFERROR(IFERROR((LEN($T1950)-LEN(SUBSTITUTE($T1950,"Quality of Works / Criteria of Failings:","")))/LEN("Quality of Works / Criteria of Failings:"),0)/MAX(1,(LEN($I1950)-LEN(SUBSTITUTE($I1950," Ltd","")))/LEN(" Ltd")),0)</f>
        <v/>
      </c>
      <c r="AB1949" s="122">
        <f>IFERROR(IFERROR((LEN($T1950)-LEN(SUBSTITUTE($T1950,"Quality of Works / Criteria of Failings:Compliant","")))/LEN("Quality of Works / Criteria of Failings:Compliant"),0)/MAX(1,(LEN($I1950)-LEN(SUBSTITUTE($I1950," Ltd","")))/LEN(" Ltd")),0)</f>
        <v/>
      </c>
    </row>
    <row r="1950" ht="15" customHeight="1" s="146">
      <c r="Y1950" s="122">
        <f>MAX(0,IFERROR((LEN($T1951)-LEN(SUBSTITUTE($T1951,"Quality of Works / Criteria of Failings:","")))/LEN("Quality of Works / Criteria of Failings:"),0)-IFERROR((LEN($T1951)-LEN(SUBSTITUTE($T1951,"Quality of Works / Criteria of Failings:Compliant","")))/LEN("Quality of Works / Criteria of Failings:Compliant"),0))</f>
        <v/>
      </c>
      <c r="Z1950" s="122">
        <f>IFERROR($Y1951/MAX(1,(LEN($I1951)-LEN(SUBSTITUTE($I1951," Ltd","")))/LEN(" Ltd")),0)</f>
        <v/>
      </c>
      <c r="AA1950" s="122">
        <f>IFERROR(IFERROR((LEN($T1951)-LEN(SUBSTITUTE($T1951,"Quality of Works / Criteria of Failings:","")))/LEN("Quality of Works / Criteria of Failings:"),0)/MAX(1,(LEN($I1951)-LEN(SUBSTITUTE($I1951," Ltd","")))/LEN(" Ltd")),0)</f>
        <v/>
      </c>
      <c r="AB1950" s="122">
        <f>IFERROR(IFERROR((LEN($T1951)-LEN(SUBSTITUTE($T1951,"Quality of Works / Criteria of Failings:Compliant","")))/LEN("Quality of Works / Criteria of Failings:Compliant"),0)/MAX(1,(LEN($I1951)-LEN(SUBSTITUTE($I1951," Ltd","")))/LEN(" Ltd")),0)</f>
        <v/>
      </c>
    </row>
    <row r="1951" ht="15" customHeight="1" s="146">
      <c r="Y1951" s="122">
        <f>MAX(0,IFERROR((LEN($T1952)-LEN(SUBSTITUTE($T1952,"Quality of Works / Criteria of Failings:","")))/LEN("Quality of Works / Criteria of Failings:"),0)-IFERROR((LEN($T1952)-LEN(SUBSTITUTE($T1952,"Quality of Works / Criteria of Failings:Compliant","")))/LEN("Quality of Works / Criteria of Failings:Compliant"),0))</f>
        <v/>
      </c>
      <c r="Z1951" s="122">
        <f>IFERROR($Y1952/MAX(1,(LEN($I1952)-LEN(SUBSTITUTE($I1952," Ltd","")))/LEN(" Ltd")),0)</f>
        <v/>
      </c>
      <c r="AA1951" s="122">
        <f>IFERROR(IFERROR((LEN($T1952)-LEN(SUBSTITUTE($T1952,"Quality of Works / Criteria of Failings:","")))/LEN("Quality of Works / Criteria of Failings:"),0)/MAX(1,(LEN($I1952)-LEN(SUBSTITUTE($I1952," Ltd","")))/LEN(" Ltd")),0)</f>
        <v/>
      </c>
      <c r="AB1951" s="122">
        <f>IFERROR(IFERROR((LEN($T1952)-LEN(SUBSTITUTE($T1952,"Quality of Works / Criteria of Failings:Compliant","")))/LEN("Quality of Works / Criteria of Failings:Compliant"),0)/MAX(1,(LEN($I1952)-LEN(SUBSTITUTE($I1952," Ltd","")))/LEN(" Ltd")),0)</f>
        <v/>
      </c>
    </row>
    <row r="1952" ht="15" customHeight="1" s="146">
      <c r="Y1952" s="122">
        <f>MAX(0,IFERROR((LEN($T1953)-LEN(SUBSTITUTE($T1953,"Quality of Works / Criteria of Failings:","")))/LEN("Quality of Works / Criteria of Failings:"),0)-IFERROR((LEN($T1953)-LEN(SUBSTITUTE($T1953,"Quality of Works / Criteria of Failings:Compliant","")))/LEN("Quality of Works / Criteria of Failings:Compliant"),0))</f>
        <v/>
      </c>
      <c r="Z1952" s="122">
        <f>IFERROR($Y1953/MAX(1,(LEN($I1953)-LEN(SUBSTITUTE($I1953," Ltd","")))/LEN(" Ltd")),0)</f>
        <v/>
      </c>
      <c r="AA1952" s="122">
        <f>IFERROR(IFERROR((LEN($T1953)-LEN(SUBSTITUTE($T1953,"Quality of Works / Criteria of Failings:","")))/LEN("Quality of Works / Criteria of Failings:"),0)/MAX(1,(LEN($I1953)-LEN(SUBSTITUTE($I1953," Ltd","")))/LEN(" Ltd")),0)</f>
        <v/>
      </c>
      <c r="AB1952" s="122">
        <f>IFERROR(IFERROR((LEN($T1953)-LEN(SUBSTITUTE($T1953,"Quality of Works / Criteria of Failings:Compliant","")))/LEN("Quality of Works / Criteria of Failings:Compliant"),0)/MAX(1,(LEN($I1953)-LEN(SUBSTITUTE($I1953," Ltd","")))/LEN(" Ltd")),0)</f>
        <v/>
      </c>
    </row>
    <row r="1953" ht="15" customHeight="1" s="146">
      <c r="Y1953" s="122">
        <f>MAX(0,IFERROR((LEN($T1954)-LEN(SUBSTITUTE($T1954,"Quality of Works / Criteria of Failings:","")))/LEN("Quality of Works / Criteria of Failings:"),0)-IFERROR((LEN($T1954)-LEN(SUBSTITUTE($T1954,"Quality of Works / Criteria of Failings:Compliant","")))/LEN("Quality of Works / Criteria of Failings:Compliant"),0))</f>
        <v/>
      </c>
      <c r="Z1953" s="122">
        <f>IFERROR($Y1954/MAX(1,(LEN($I1954)-LEN(SUBSTITUTE($I1954," Ltd","")))/LEN(" Ltd")),0)</f>
        <v/>
      </c>
      <c r="AA1953" s="122">
        <f>IFERROR(IFERROR((LEN($T1954)-LEN(SUBSTITUTE($T1954,"Quality of Works / Criteria of Failings:","")))/LEN("Quality of Works / Criteria of Failings:"),0)/MAX(1,(LEN($I1954)-LEN(SUBSTITUTE($I1954," Ltd","")))/LEN(" Ltd")),0)</f>
        <v/>
      </c>
      <c r="AB1953" s="122">
        <f>IFERROR(IFERROR((LEN($T1954)-LEN(SUBSTITUTE($T1954,"Quality of Works / Criteria of Failings:Compliant","")))/LEN("Quality of Works / Criteria of Failings:Compliant"),0)/MAX(1,(LEN($I1954)-LEN(SUBSTITUTE($I1954," Ltd","")))/LEN(" Ltd")),0)</f>
        <v/>
      </c>
    </row>
    <row r="1954" ht="15" customHeight="1" s="146">
      <c r="Y1954" s="122">
        <f>MAX(0,IFERROR((LEN($T1955)-LEN(SUBSTITUTE($T1955,"Quality of Works / Criteria of Failings:","")))/LEN("Quality of Works / Criteria of Failings:"),0)-IFERROR((LEN($T1955)-LEN(SUBSTITUTE($T1955,"Quality of Works / Criteria of Failings:Compliant","")))/LEN("Quality of Works / Criteria of Failings:Compliant"),0))</f>
        <v/>
      </c>
      <c r="Z1954" s="122">
        <f>IFERROR($Y1955/MAX(1,(LEN($I1955)-LEN(SUBSTITUTE($I1955," Ltd","")))/LEN(" Ltd")),0)</f>
        <v/>
      </c>
      <c r="AA1954" s="122">
        <f>IFERROR(IFERROR((LEN($T1955)-LEN(SUBSTITUTE($T1955,"Quality of Works / Criteria of Failings:","")))/LEN("Quality of Works / Criteria of Failings:"),0)/MAX(1,(LEN($I1955)-LEN(SUBSTITUTE($I1955," Ltd","")))/LEN(" Ltd")),0)</f>
        <v/>
      </c>
      <c r="AB1954" s="122">
        <f>IFERROR(IFERROR((LEN($T1955)-LEN(SUBSTITUTE($T1955,"Quality of Works / Criteria of Failings:Compliant","")))/LEN("Quality of Works / Criteria of Failings:Compliant"),0)/MAX(1,(LEN($I1955)-LEN(SUBSTITUTE($I1955," Ltd","")))/LEN(" Ltd")),0)</f>
        <v/>
      </c>
    </row>
    <row r="1955" ht="15" customHeight="1" s="146">
      <c r="Y1955" s="122">
        <f>MAX(0,IFERROR((LEN($T1956)-LEN(SUBSTITUTE($T1956,"Quality of Works / Criteria of Failings:","")))/LEN("Quality of Works / Criteria of Failings:"),0)-IFERROR((LEN($T1956)-LEN(SUBSTITUTE($T1956,"Quality of Works / Criteria of Failings:Compliant","")))/LEN("Quality of Works / Criteria of Failings:Compliant"),0))</f>
        <v/>
      </c>
      <c r="Z1955" s="122">
        <f>IFERROR($Y1956/MAX(1,(LEN($I1956)-LEN(SUBSTITUTE($I1956," Ltd","")))/LEN(" Ltd")),0)</f>
        <v/>
      </c>
      <c r="AA1955" s="122">
        <f>IFERROR(IFERROR((LEN($T1956)-LEN(SUBSTITUTE($T1956,"Quality of Works / Criteria of Failings:","")))/LEN("Quality of Works / Criteria of Failings:"),0)/MAX(1,(LEN($I1956)-LEN(SUBSTITUTE($I1956," Ltd","")))/LEN(" Ltd")),0)</f>
        <v/>
      </c>
      <c r="AB1955" s="122">
        <f>IFERROR(IFERROR((LEN($T1956)-LEN(SUBSTITUTE($T1956,"Quality of Works / Criteria of Failings:Compliant","")))/LEN("Quality of Works / Criteria of Failings:Compliant"),0)/MAX(1,(LEN($I1956)-LEN(SUBSTITUTE($I1956," Ltd","")))/LEN(" Ltd")),0)</f>
        <v/>
      </c>
    </row>
    <row r="1956" ht="15" customHeight="1" s="146">
      <c r="Y1956" s="122">
        <f>MAX(0,IFERROR((LEN($T1957)-LEN(SUBSTITUTE($T1957,"Quality of Works / Criteria of Failings:","")))/LEN("Quality of Works / Criteria of Failings:"),0)-IFERROR((LEN($T1957)-LEN(SUBSTITUTE($T1957,"Quality of Works / Criteria of Failings:Compliant","")))/LEN("Quality of Works / Criteria of Failings:Compliant"),0))</f>
        <v/>
      </c>
      <c r="Z1956" s="122">
        <f>IFERROR($Y1957/MAX(1,(LEN($I1957)-LEN(SUBSTITUTE($I1957," Ltd","")))/LEN(" Ltd")),0)</f>
        <v/>
      </c>
      <c r="AA1956" s="122">
        <f>IFERROR(IFERROR((LEN($T1957)-LEN(SUBSTITUTE($T1957,"Quality of Works / Criteria of Failings:","")))/LEN("Quality of Works / Criteria of Failings:"),0)/MAX(1,(LEN($I1957)-LEN(SUBSTITUTE($I1957," Ltd","")))/LEN(" Ltd")),0)</f>
        <v/>
      </c>
      <c r="AB1956" s="122">
        <f>IFERROR(IFERROR((LEN($T1957)-LEN(SUBSTITUTE($T1957,"Quality of Works / Criteria of Failings:Compliant","")))/LEN("Quality of Works / Criteria of Failings:Compliant"),0)/MAX(1,(LEN($I1957)-LEN(SUBSTITUTE($I1957," Ltd","")))/LEN(" Ltd")),0)</f>
        <v/>
      </c>
    </row>
    <row r="1957" ht="15" customHeight="1" s="146">
      <c r="Y1957" s="122">
        <f>MAX(0,IFERROR((LEN($T1958)-LEN(SUBSTITUTE($T1958,"Quality of Works / Criteria of Failings:","")))/LEN("Quality of Works / Criteria of Failings:"),0)-IFERROR((LEN($T1958)-LEN(SUBSTITUTE($T1958,"Quality of Works / Criteria of Failings:Compliant","")))/LEN("Quality of Works / Criteria of Failings:Compliant"),0))</f>
        <v/>
      </c>
      <c r="Z1957" s="122">
        <f>IFERROR($Y1958/MAX(1,(LEN($I1958)-LEN(SUBSTITUTE($I1958," Ltd","")))/LEN(" Ltd")),0)</f>
        <v/>
      </c>
      <c r="AA1957" s="122">
        <f>IFERROR(IFERROR((LEN($T1958)-LEN(SUBSTITUTE($T1958,"Quality of Works / Criteria of Failings:","")))/LEN("Quality of Works / Criteria of Failings:"),0)/MAX(1,(LEN($I1958)-LEN(SUBSTITUTE($I1958," Ltd","")))/LEN(" Ltd")),0)</f>
        <v/>
      </c>
      <c r="AB1957" s="122">
        <f>IFERROR(IFERROR((LEN($T1958)-LEN(SUBSTITUTE($T1958,"Quality of Works / Criteria of Failings:Compliant","")))/LEN("Quality of Works / Criteria of Failings:Compliant"),0)/MAX(1,(LEN($I1958)-LEN(SUBSTITUTE($I1958," Ltd","")))/LEN(" Ltd")),0)</f>
        <v/>
      </c>
    </row>
    <row r="1958" ht="15" customHeight="1" s="146">
      <c r="Y1958" s="122">
        <f>MAX(0,IFERROR((LEN($T1959)-LEN(SUBSTITUTE($T1959,"Quality of Works / Criteria of Failings:","")))/LEN("Quality of Works / Criteria of Failings:"),0)-IFERROR((LEN($T1959)-LEN(SUBSTITUTE($T1959,"Quality of Works / Criteria of Failings:Compliant","")))/LEN("Quality of Works / Criteria of Failings:Compliant"),0))</f>
        <v/>
      </c>
      <c r="Z1958" s="122">
        <f>IFERROR($Y1959/MAX(1,(LEN($I1959)-LEN(SUBSTITUTE($I1959," Ltd","")))/LEN(" Ltd")),0)</f>
        <v/>
      </c>
      <c r="AA1958" s="122">
        <f>IFERROR(IFERROR((LEN($T1959)-LEN(SUBSTITUTE($T1959,"Quality of Works / Criteria of Failings:","")))/LEN("Quality of Works / Criteria of Failings:"),0)/MAX(1,(LEN($I1959)-LEN(SUBSTITUTE($I1959," Ltd","")))/LEN(" Ltd")),0)</f>
        <v/>
      </c>
      <c r="AB1958" s="122">
        <f>IFERROR(IFERROR((LEN($T1959)-LEN(SUBSTITUTE($T1959,"Quality of Works / Criteria of Failings:Compliant","")))/LEN("Quality of Works / Criteria of Failings:Compliant"),0)/MAX(1,(LEN($I1959)-LEN(SUBSTITUTE($I1959," Ltd","")))/LEN(" Ltd")),0)</f>
        <v/>
      </c>
    </row>
    <row r="1959" ht="15" customHeight="1" s="146">
      <c r="Y1959" s="122">
        <f>MAX(0,IFERROR((LEN($T1960)-LEN(SUBSTITUTE($T1960,"Quality of Works / Criteria of Failings:","")))/LEN("Quality of Works / Criteria of Failings:"),0)-IFERROR((LEN($T1960)-LEN(SUBSTITUTE($T1960,"Quality of Works / Criteria of Failings:Compliant","")))/LEN("Quality of Works / Criteria of Failings:Compliant"),0))</f>
        <v/>
      </c>
      <c r="Z1959" s="122">
        <f>IFERROR($Y1960/MAX(1,(LEN($I1960)-LEN(SUBSTITUTE($I1960," Ltd","")))/LEN(" Ltd")),0)</f>
        <v/>
      </c>
      <c r="AA1959" s="122">
        <f>IFERROR(IFERROR((LEN($T1960)-LEN(SUBSTITUTE($T1960,"Quality of Works / Criteria of Failings:","")))/LEN("Quality of Works / Criteria of Failings:"),0)/MAX(1,(LEN($I1960)-LEN(SUBSTITUTE($I1960," Ltd","")))/LEN(" Ltd")),0)</f>
        <v/>
      </c>
      <c r="AB1959" s="122">
        <f>IFERROR(IFERROR((LEN($T1960)-LEN(SUBSTITUTE($T1960,"Quality of Works / Criteria of Failings:Compliant","")))/LEN("Quality of Works / Criteria of Failings:Compliant"),0)/MAX(1,(LEN($I1960)-LEN(SUBSTITUTE($I1960," Ltd","")))/LEN(" Ltd")),0)</f>
        <v/>
      </c>
    </row>
    <row r="1960" ht="15" customHeight="1" s="146">
      <c r="Y1960" s="122">
        <f>MAX(0,IFERROR((LEN($T1961)-LEN(SUBSTITUTE($T1961,"Quality of Works / Criteria of Failings:","")))/LEN("Quality of Works / Criteria of Failings:"),0)-IFERROR((LEN($T1961)-LEN(SUBSTITUTE($T1961,"Quality of Works / Criteria of Failings:Compliant","")))/LEN("Quality of Works / Criteria of Failings:Compliant"),0))</f>
        <v/>
      </c>
      <c r="Z1960" s="122">
        <f>IFERROR($Y1961/MAX(1,(LEN($I1961)-LEN(SUBSTITUTE($I1961," Ltd","")))/LEN(" Ltd")),0)</f>
        <v/>
      </c>
      <c r="AA1960" s="122">
        <f>IFERROR(IFERROR((LEN($T1961)-LEN(SUBSTITUTE($T1961,"Quality of Works / Criteria of Failings:","")))/LEN("Quality of Works / Criteria of Failings:"),0)/MAX(1,(LEN($I1961)-LEN(SUBSTITUTE($I1961," Ltd","")))/LEN(" Ltd")),0)</f>
        <v/>
      </c>
      <c r="AB1960" s="122">
        <f>IFERROR(IFERROR((LEN($T1961)-LEN(SUBSTITUTE($T1961,"Quality of Works / Criteria of Failings:Compliant","")))/LEN("Quality of Works / Criteria of Failings:Compliant"),0)/MAX(1,(LEN($I1961)-LEN(SUBSTITUTE($I1961," Ltd","")))/LEN(" Ltd")),0)</f>
        <v/>
      </c>
    </row>
    <row r="1961" ht="15" customHeight="1" s="146">
      <c r="Y1961" s="122">
        <f>MAX(0,IFERROR((LEN($T1962)-LEN(SUBSTITUTE($T1962,"Quality of Works / Criteria of Failings:","")))/LEN("Quality of Works / Criteria of Failings:"),0)-IFERROR((LEN($T1962)-LEN(SUBSTITUTE($T1962,"Quality of Works / Criteria of Failings:Compliant","")))/LEN("Quality of Works / Criteria of Failings:Compliant"),0))</f>
        <v/>
      </c>
      <c r="Z1961" s="122">
        <f>IFERROR($Y1962/MAX(1,(LEN($I1962)-LEN(SUBSTITUTE($I1962," Ltd","")))/LEN(" Ltd")),0)</f>
        <v/>
      </c>
      <c r="AA1961" s="122">
        <f>IFERROR(IFERROR((LEN($T1962)-LEN(SUBSTITUTE($T1962,"Quality of Works / Criteria of Failings:","")))/LEN("Quality of Works / Criteria of Failings:"),0)/MAX(1,(LEN($I1962)-LEN(SUBSTITUTE($I1962," Ltd","")))/LEN(" Ltd")),0)</f>
        <v/>
      </c>
      <c r="AB1961" s="122">
        <f>IFERROR(IFERROR((LEN($T1962)-LEN(SUBSTITUTE($T1962,"Quality of Works / Criteria of Failings:Compliant","")))/LEN("Quality of Works / Criteria of Failings:Compliant"),0)/MAX(1,(LEN($I1962)-LEN(SUBSTITUTE($I1962," Ltd","")))/LEN(" Ltd")),0)</f>
        <v/>
      </c>
    </row>
    <row r="1962" ht="15" customHeight="1" s="146">
      <c r="Y1962" s="122">
        <f>MAX(0,IFERROR((LEN($T1963)-LEN(SUBSTITUTE($T1963,"Quality of Works / Criteria of Failings:","")))/LEN("Quality of Works / Criteria of Failings:"),0)-IFERROR((LEN($T1963)-LEN(SUBSTITUTE($T1963,"Quality of Works / Criteria of Failings:Compliant","")))/LEN("Quality of Works / Criteria of Failings:Compliant"),0))</f>
        <v/>
      </c>
      <c r="Z1962" s="122">
        <f>IFERROR($Y1963/MAX(1,(LEN($I1963)-LEN(SUBSTITUTE($I1963," Ltd","")))/LEN(" Ltd")),0)</f>
        <v/>
      </c>
      <c r="AA1962" s="122">
        <f>IFERROR(IFERROR((LEN($T1963)-LEN(SUBSTITUTE($T1963,"Quality of Works / Criteria of Failings:","")))/LEN("Quality of Works / Criteria of Failings:"),0)/MAX(1,(LEN($I1963)-LEN(SUBSTITUTE($I1963," Ltd","")))/LEN(" Ltd")),0)</f>
        <v/>
      </c>
      <c r="AB1962" s="122">
        <f>IFERROR(IFERROR((LEN($T1963)-LEN(SUBSTITUTE($T1963,"Quality of Works / Criteria of Failings:Compliant","")))/LEN("Quality of Works / Criteria of Failings:Compliant"),0)/MAX(1,(LEN($I1963)-LEN(SUBSTITUTE($I1963," Ltd","")))/LEN(" Ltd")),0)</f>
        <v/>
      </c>
    </row>
    <row r="1963" ht="15" customHeight="1" s="146">
      <c r="Y1963" s="122">
        <f>MAX(0,IFERROR((LEN($T1964)-LEN(SUBSTITUTE($T1964,"Quality of Works / Criteria of Failings:","")))/LEN("Quality of Works / Criteria of Failings:"),0)-IFERROR((LEN($T1964)-LEN(SUBSTITUTE($T1964,"Quality of Works / Criteria of Failings:Compliant","")))/LEN("Quality of Works / Criteria of Failings:Compliant"),0))</f>
        <v/>
      </c>
      <c r="Z1963" s="122">
        <f>IFERROR($Y1964/MAX(1,(LEN($I1964)-LEN(SUBSTITUTE($I1964," Ltd","")))/LEN(" Ltd")),0)</f>
        <v/>
      </c>
      <c r="AA1963" s="122">
        <f>IFERROR(IFERROR((LEN($T1964)-LEN(SUBSTITUTE($T1964,"Quality of Works / Criteria of Failings:","")))/LEN("Quality of Works / Criteria of Failings:"),0)/MAX(1,(LEN($I1964)-LEN(SUBSTITUTE($I1964," Ltd","")))/LEN(" Ltd")),0)</f>
        <v/>
      </c>
      <c r="AB1963" s="122">
        <f>IFERROR(IFERROR((LEN($T1964)-LEN(SUBSTITUTE($T1964,"Quality of Works / Criteria of Failings:Compliant","")))/LEN("Quality of Works / Criteria of Failings:Compliant"),0)/MAX(1,(LEN($I1964)-LEN(SUBSTITUTE($I1964," Ltd","")))/LEN(" Ltd")),0)</f>
        <v/>
      </c>
    </row>
    <row r="1964" ht="15" customHeight="1" s="146">
      <c r="Y1964" s="122">
        <f>MAX(0,IFERROR((LEN($T1965)-LEN(SUBSTITUTE($T1965,"Quality of Works / Criteria of Failings:","")))/LEN("Quality of Works / Criteria of Failings:"),0)-IFERROR((LEN($T1965)-LEN(SUBSTITUTE($T1965,"Quality of Works / Criteria of Failings:Compliant","")))/LEN("Quality of Works / Criteria of Failings:Compliant"),0))</f>
        <v/>
      </c>
      <c r="Z1964" s="122">
        <f>IFERROR($Y1965/MAX(1,(LEN($I1965)-LEN(SUBSTITUTE($I1965," Ltd","")))/LEN(" Ltd")),0)</f>
        <v/>
      </c>
      <c r="AA1964" s="122">
        <f>IFERROR(IFERROR((LEN($T1965)-LEN(SUBSTITUTE($T1965,"Quality of Works / Criteria of Failings:","")))/LEN("Quality of Works / Criteria of Failings:"),0)/MAX(1,(LEN($I1965)-LEN(SUBSTITUTE($I1965," Ltd","")))/LEN(" Ltd")),0)</f>
        <v/>
      </c>
      <c r="AB1964" s="122">
        <f>IFERROR(IFERROR((LEN($T1965)-LEN(SUBSTITUTE($T1965,"Quality of Works / Criteria of Failings:Compliant","")))/LEN("Quality of Works / Criteria of Failings:Compliant"),0)/MAX(1,(LEN($I1965)-LEN(SUBSTITUTE($I1965," Ltd","")))/LEN(" Ltd")),0)</f>
        <v/>
      </c>
    </row>
    <row r="1965" ht="15" customHeight="1" s="146">
      <c r="Y1965" s="122">
        <f>MAX(0,IFERROR((LEN($T1966)-LEN(SUBSTITUTE($T1966,"Quality of Works / Criteria of Failings:","")))/LEN("Quality of Works / Criteria of Failings:"),0)-IFERROR((LEN($T1966)-LEN(SUBSTITUTE($T1966,"Quality of Works / Criteria of Failings:Compliant","")))/LEN("Quality of Works / Criteria of Failings:Compliant"),0))</f>
        <v/>
      </c>
      <c r="Z1965" s="122">
        <f>IFERROR($Y1966/MAX(1,(LEN($I1966)-LEN(SUBSTITUTE($I1966," Ltd","")))/LEN(" Ltd")),0)</f>
        <v/>
      </c>
      <c r="AA1965" s="122">
        <f>IFERROR(IFERROR((LEN($T1966)-LEN(SUBSTITUTE($T1966,"Quality of Works / Criteria of Failings:","")))/LEN("Quality of Works / Criteria of Failings:"),0)/MAX(1,(LEN($I1966)-LEN(SUBSTITUTE($I1966," Ltd","")))/LEN(" Ltd")),0)</f>
        <v/>
      </c>
      <c r="AB1965" s="122">
        <f>IFERROR(IFERROR((LEN($T1966)-LEN(SUBSTITUTE($T1966,"Quality of Works / Criteria of Failings:Compliant","")))/LEN("Quality of Works / Criteria of Failings:Compliant"),0)/MAX(1,(LEN($I1966)-LEN(SUBSTITUTE($I1966," Ltd","")))/LEN(" Ltd")),0)</f>
        <v/>
      </c>
    </row>
    <row r="1966" ht="15" customHeight="1" s="146">
      <c r="Y1966" s="122">
        <f>MAX(0,IFERROR((LEN($T1967)-LEN(SUBSTITUTE($T1967,"Quality of Works / Criteria of Failings:","")))/LEN("Quality of Works / Criteria of Failings:"),0)-IFERROR((LEN($T1967)-LEN(SUBSTITUTE($T1967,"Quality of Works / Criteria of Failings:Compliant","")))/LEN("Quality of Works / Criteria of Failings:Compliant"),0))</f>
        <v/>
      </c>
      <c r="Z1966" s="122">
        <f>IFERROR($Y1967/MAX(1,(LEN($I1967)-LEN(SUBSTITUTE($I1967," Ltd","")))/LEN(" Ltd")),0)</f>
        <v/>
      </c>
      <c r="AA1966" s="122">
        <f>IFERROR(IFERROR((LEN($T1967)-LEN(SUBSTITUTE($T1967,"Quality of Works / Criteria of Failings:","")))/LEN("Quality of Works / Criteria of Failings:"),0)/MAX(1,(LEN($I1967)-LEN(SUBSTITUTE($I1967," Ltd","")))/LEN(" Ltd")),0)</f>
        <v/>
      </c>
      <c r="AB1966" s="122">
        <f>IFERROR(IFERROR((LEN($T1967)-LEN(SUBSTITUTE($T1967,"Quality of Works / Criteria of Failings:Compliant","")))/LEN("Quality of Works / Criteria of Failings:Compliant"),0)/MAX(1,(LEN($I1967)-LEN(SUBSTITUTE($I1967," Ltd","")))/LEN(" Ltd")),0)</f>
        <v/>
      </c>
    </row>
    <row r="1967" ht="15" customHeight="1" s="146">
      <c r="Y1967" s="122">
        <f>MAX(0,IFERROR((LEN($T1968)-LEN(SUBSTITUTE($T1968,"Quality of Works / Criteria of Failings:","")))/LEN("Quality of Works / Criteria of Failings:"),0)-IFERROR((LEN($T1968)-LEN(SUBSTITUTE($T1968,"Quality of Works / Criteria of Failings:Compliant","")))/LEN("Quality of Works / Criteria of Failings:Compliant"),0))</f>
        <v/>
      </c>
      <c r="Z1967" s="122">
        <f>IFERROR($Y1968/MAX(1,(LEN($I1968)-LEN(SUBSTITUTE($I1968," Ltd","")))/LEN(" Ltd")),0)</f>
        <v/>
      </c>
      <c r="AA1967" s="122">
        <f>IFERROR(IFERROR((LEN($T1968)-LEN(SUBSTITUTE($T1968,"Quality of Works / Criteria of Failings:","")))/LEN("Quality of Works / Criteria of Failings:"),0)/MAX(1,(LEN($I1968)-LEN(SUBSTITUTE($I1968," Ltd","")))/LEN(" Ltd")),0)</f>
        <v/>
      </c>
      <c r="AB1967" s="122">
        <f>IFERROR(IFERROR((LEN($T1968)-LEN(SUBSTITUTE($T1968,"Quality of Works / Criteria of Failings:Compliant","")))/LEN("Quality of Works / Criteria of Failings:Compliant"),0)/MAX(1,(LEN($I1968)-LEN(SUBSTITUTE($I1968," Ltd","")))/LEN(" Ltd")),0)</f>
        <v/>
      </c>
    </row>
    <row r="1968" ht="15" customHeight="1" s="146">
      <c r="Y1968" s="122">
        <f>MAX(0,IFERROR((LEN($T1969)-LEN(SUBSTITUTE($T1969,"Quality of Works / Criteria of Failings:","")))/LEN("Quality of Works / Criteria of Failings:"),0)-IFERROR((LEN($T1969)-LEN(SUBSTITUTE($T1969,"Quality of Works / Criteria of Failings:Compliant","")))/LEN("Quality of Works / Criteria of Failings:Compliant"),0))</f>
        <v/>
      </c>
      <c r="Z1968" s="122">
        <f>IFERROR($Y1969/MAX(1,(LEN($I1969)-LEN(SUBSTITUTE($I1969," Ltd","")))/LEN(" Ltd")),0)</f>
        <v/>
      </c>
      <c r="AA1968" s="122">
        <f>IFERROR(IFERROR((LEN($T1969)-LEN(SUBSTITUTE($T1969,"Quality of Works / Criteria of Failings:","")))/LEN("Quality of Works / Criteria of Failings:"),0)/MAX(1,(LEN($I1969)-LEN(SUBSTITUTE($I1969," Ltd","")))/LEN(" Ltd")),0)</f>
        <v/>
      </c>
      <c r="AB1968" s="122">
        <f>IFERROR(IFERROR((LEN($T1969)-LEN(SUBSTITUTE($T1969,"Quality of Works / Criteria of Failings:Compliant","")))/LEN("Quality of Works / Criteria of Failings:Compliant"),0)/MAX(1,(LEN($I1969)-LEN(SUBSTITUTE($I1969," Ltd","")))/LEN(" Ltd")),0)</f>
        <v/>
      </c>
    </row>
    <row r="1969" ht="15" customHeight="1" s="146">
      <c r="Y1969" s="122">
        <f>MAX(0,IFERROR((LEN($T1970)-LEN(SUBSTITUTE($T1970,"Quality of Works / Criteria of Failings:","")))/LEN("Quality of Works / Criteria of Failings:"),0)-IFERROR((LEN($T1970)-LEN(SUBSTITUTE($T1970,"Quality of Works / Criteria of Failings:Compliant","")))/LEN("Quality of Works / Criteria of Failings:Compliant"),0))</f>
        <v/>
      </c>
      <c r="Z1969" s="122">
        <f>IFERROR($Y1970/MAX(1,(LEN($I1970)-LEN(SUBSTITUTE($I1970," Ltd","")))/LEN(" Ltd")),0)</f>
        <v/>
      </c>
      <c r="AA1969" s="122">
        <f>IFERROR(IFERROR((LEN($T1970)-LEN(SUBSTITUTE($T1970,"Quality of Works / Criteria of Failings:","")))/LEN("Quality of Works / Criteria of Failings:"),0)/MAX(1,(LEN($I1970)-LEN(SUBSTITUTE($I1970," Ltd","")))/LEN(" Ltd")),0)</f>
        <v/>
      </c>
      <c r="AB1969" s="122">
        <f>IFERROR(IFERROR((LEN($T1970)-LEN(SUBSTITUTE($T1970,"Quality of Works / Criteria of Failings:Compliant","")))/LEN("Quality of Works / Criteria of Failings:Compliant"),0)/MAX(1,(LEN($I1970)-LEN(SUBSTITUTE($I1970," Ltd","")))/LEN(" Ltd")),0)</f>
        <v/>
      </c>
    </row>
    <row r="1970" ht="15" customHeight="1" s="146">
      <c r="Y1970" s="122">
        <f>MAX(0,IFERROR((LEN($T1971)-LEN(SUBSTITUTE($T1971,"Quality of Works / Criteria of Failings:","")))/LEN("Quality of Works / Criteria of Failings:"),0)-IFERROR((LEN($T1971)-LEN(SUBSTITUTE($T1971,"Quality of Works / Criteria of Failings:Compliant","")))/LEN("Quality of Works / Criteria of Failings:Compliant"),0))</f>
        <v/>
      </c>
      <c r="Z1970" s="122">
        <f>IFERROR($Y1971/MAX(1,(LEN($I1971)-LEN(SUBSTITUTE($I1971," Ltd","")))/LEN(" Ltd")),0)</f>
        <v/>
      </c>
      <c r="AA1970" s="122">
        <f>IFERROR(IFERROR((LEN($T1971)-LEN(SUBSTITUTE($T1971,"Quality of Works / Criteria of Failings:","")))/LEN("Quality of Works / Criteria of Failings:"),0)/MAX(1,(LEN($I1971)-LEN(SUBSTITUTE($I1971," Ltd","")))/LEN(" Ltd")),0)</f>
        <v/>
      </c>
      <c r="AB1970" s="122">
        <f>IFERROR(IFERROR((LEN($T1971)-LEN(SUBSTITUTE($T1971,"Quality of Works / Criteria of Failings:Compliant","")))/LEN("Quality of Works / Criteria of Failings:Compliant"),0)/MAX(1,(LEN($I1971)-LEN(SUBSTITUTE($I1971," Ltd","")))/LEN(" Ltd")),0)</f>
        <v/>
      </c>
    </row>
    <row r="1971" ht="15" customHeight="1" s="146">
      <c r="Y1971" s="122">
        <f>MAX(0,IFERROR((LEN($T1972)-LEN(SUBSTITUTE($T1972,"Quality of Works / Criteria of Failings:","")))/LEN("Quality of Works / Criteria of Failings:"),0)-IFERROR((LEN($T1972)-LEN(SUBSTITUTE($T1972,"Quality of Works / Criteria of Failings:Compliant","")))/LEN("Quality of Works / Criteria of Failings:Compliant"),0))</f>
        <v/>
      </c>
      <c r="Z1971" s="122">
        <f>IFERROR($Y1972/MAX(1,(LEN($I1972)-LEN(SUBSTITUTE($I1972," Ltd","")))/LEN(" Ltd")),0)</f>
        <v/>
      </c>
      <c r="AA1971" s="122">
        <f>IFERROR(IFERROR((LEN($T1972)-LEN(SUBSTITUTE($T1972,"Quality of Works / Criteria of Failings:","")))/LEN("Quality of Works / Criteria of Failings:"),0)/MAX(1,(LEN($I1972)-LEN(SUBSTITUTE($I1972," Ltd","")))/LEN(" Ltd")),0)</f>
        <v/>
      </c>
      <c r="AB1971" s="122">
        <f>IFERROR(IFERROR((LEN($T1972)-LEN(SUBSTITUTE($T1972,"Quality of Works / Criteria of Failings:Compliant","")))/LEN("Quality of Works / Criteria of Failings:Compliant"),0)/MAX(1,(LEN($I1972)-LEN(SUBSTITUTE($I1972," Ltd","")))/LEN(" Ltd")),0)</f>
        <v/>
      </c>
    </row>
    <row r="1972" ht="15" customHeight="1" s="146">
      <c r="Y1972" s="122">
        <f>MAX(0,IFERROR((LEN($T1973)-LEN(SUBSTITUTE($T1973,"Quality of Works / Criteria of Failings:","")))/LEN("Quality of Works / Criteria of Failings:"),0)-IFERROR((LEN($T1973)-LEN(SUBSTITUTE($T1973,"Quality of Works / Criteria of Failings:Compliant","")))/LEN("Quality of Works / Criteria of Failings:Compliant"),0))</f>
        <v/>
      </c>
      <c r="Z1972" s="122">
        <f>IFERROR($Y1973/MAX(1,(LEN($I1973)-LEN(SUBSTITUTE($I1973," Ltd","")))/LEN(" Ltd")),0)</f>
        <v/>
      </c>
      <c r="AA1972" s="122">
        <f>IFERROR(IFERROR((LEN($T1973)-LEN(SUBSTITUTE($T1973,"Quality of Works / Criteria of Failings:","")))/LEN("Quality of Works / Criteria of Failings:"),0)/MAX(1,(LEN($I1973)-LEN(SUBSTITUTE($I1973," Ltd","")))/LEN(" Ltd")),0)</f>
        <v/>
      </c>
      <c r="AB1972" s="122">
        <f>IFERROR(IFERROR((LEN($T1973)-LEN(SUBSTITUTE($T1973,"Quality of Works / Criteria of Failings:Compliant","")))/LEN("Quality of Works / Criteria of Failings:Compliant"),0)/MAX(1,(LEN($I1973)-LEN(SUBSTITUTE($I1973," Ltd","")))/LEN(" Ltd")),0)</f>
        <v/>
      </c>
    </row>
    <row r="1973" ht="15" customHeight="1" s="146">
      <c r="Y1973" s="122">
        <f>MAX(0,IFERROR((LEN($T1974)-LEN(SUBSTITUTE($T1974,"Quality of Works / Criteria of Failings:","")))/LEN("Quality of Works / Criteria of Failings:"),0)-IFERROR((LEN($T1974)-LEN(SUBSTITUTE($T1974,"Quality of Works / Criteria of Failings:Compliant","")))/LEN("Quality of Works / Criteria of Failings:Compliant"),0))</f>
        <v/>
      </c>
      <c r="Z1973" s="122">
        <f>IFERROR($Y1974/MAX(1,(LEN($I1974)-LEN(SUBSTITUTE($I1974," Ltd","")))/LEN(" Ltd")),0)</f>
        <v/>
      </c>
      <c r="AA1973" s="122">
        <f>IFERROR(IFERROR((LEN($T1974)-LEN(SUBSTITUTE($T1974,"Quality of Works / Criteria of Failings:","")))/LEN("Quality of Works / Criteria of Failings:"),0)/MAX(1,(LEN($I1974)-LEN(SUBSTITUTE($I1974," Ltd","")))/LEN(" Ltd")),0)</f>
        <v/>
      </c>
      <c r="AB1973" s="122">
        <f>IFERROR(IFERROR((LEN($T1974)-LEN(SUBSTITUTE($T1974,"Quality of Works / Criteria of Failings:Compliant","")))/LEN("Quality of Works / Criteria of Failings:Compliant"),0)/MAX(1,(LEN($I1974)-LEN(SUBSTITUTE($I1974," Ltd","")))/LEN(" Ltd")),0)</f>
        <v/>
      </c>
    </row>
    <row r="1974" ht="15" customHeight="1" s="146">
      <c r="Y1974" s="122">
        <f>MAX(0,IFERROR((LEN($T1975)-LEN(SUBSTITUTE($T1975,"Quality of Works / Criteria of Failings:","")))/LEN("Quality of Works / Criteria of Failings:"),0)-IFERROR((LEN($T1975)-LEN(SUBSTITUTE($T1975,"Quality of Works / Criteria of Failings:Compliant","")))/LEN("Quality of Works / Criteria of Failings:Compliant"),0))</f>
        <v/>
      </c>
      <c r="Z1974" s="122">
        <f>IFERROR($Y1975/MAX(1,(LEN($I1975)-LEN(SUBSTITUTE($I1975," Ltd","")))/LEN(" Ltd")),0)</f>
        <v/>
      </c>
      <c r="AA1974" s="122">
        <f>IFERROR(IFERROR((LEN($T1975)-LEN(SUBSTITUTE($T1975,"Quality of Works / Criteria of Failings:","")))/LEN("Quality of Works / Criteria of Failings:"),0)/MAX(1,(LEN($I1975)-LEN(SUBSTITUTE($I1975," Ltd","")))/LEN(" Ltd")),0)</f>
        <v/>
      </c>
      <c r="AB1974" s="122">
        <f>IFERROR(IFERROR((LEN($T1975)-LEN(SUBSTITUTE($T1975,"Quality of Works / Criteria of Failings:Compliant","")))/LEN("Quality of Works / Criteria of Failings:Compliant"),0)/MAX(1,(LEN($I1975)-LEN(SUBSTITUTE($I1975," Ltd","")))/LEN(" Ltd")),0)</f>
        <v/>
      </c>
    </row>
    <row r="1975" ht="15" customHeight="1" s="146">
      <c r="Y1975" s="122">
        <f>MAX(0,IFERROR((LEN($T1976)-LEN(SUBSTITUTE($T1976,"Quality of Works / Criteria of Failings:","")))/LEN("Quality of Works / Criteria of Failings:"),0)-IFERROR((LEN($T1976)-LEN(SUBSTITUTE($T1976,"Quality of Works / Criteria of Failings:Compliant","")))/LEN("Quality of Works / Criteria of Failings:Compliant"),0))</f>
        <v/>
      </c>
      <c r="Z1975" s="122">
        <f>IFERROR($Y1976/MAX(1,(LEN($I1976)-LEN(SUBSTITUTE($I1976," Ltd","")))/LEN(" Ltd")),0)</f>
        <v/>
      </c>
      <c r="AA1975" s="122">
        <f>IFERROR(IFERROR((LEN($T1976)-LEN(SUBSTITUTE($T1976,"Quality of Works / Criteria of Failings:","")))/LEN("Quality of Works / Criteria of Failings:"),0)/MAX(1,(LEN($I1976)-LEN(SUBSTITUTE($I1976," Ltd","")))/LEN(" Ltd")),0)</f>
        <v/>
      </c>
      <c r="AB1975" s="122">
        <f>IFERROR(IFERROR((LEN($T1976)-LEN(SUBSTITUTE($T1976,"Quality of Works / Criteria of Failings:Compliant","")))/LEN("Quality of Works / Criteria of Failings:Compliant"),0)/MAX(1,(LEN($I1976)-LEN(SUBSTITUTE($I1976," Ltd","")))/LEN(" Ltd")),0)</f>
        <v/>
      </c>
    </row>
    <row r="1976" ht="15" customHeight="1" s="146">
      <c r="Y1976" s="122">
        <f>MAX(0,IFERROR((LEN($T1977)-LEN(SUBSTITUTE($T1977,"Quality of Works / Criteria of Failings:","")))/LEN("Quality of Works / Criteria of Failings:"),0)-IFERROR((LEN($T1977)-LEN(SUBSTITUTE($T1977,"Quality of Works / Criteria of Failings:Compliant","")))/LEN("Quality of Works / Criteria of Failings:Compliant"),0))</f>
        <v/>
      </c>
      <c r="Z1976" s="122">
        <f>IFERROR($Y1977/MAX(1,(LEN($I1977)-LEN(SUBSTITUTE($I1977," Ltd","")))/LEN(" Ltd")),0)</f>
        <v/>
      </c>
      <c r="AA1976" s="122">
        <f>IFERROR(IFERROR((LEN($T1977)-LEN(SUBSTITUTE($T1977,"Quality of Works / Criteria of Failings:","")))/LEN("Quality of Works / Criteria of Failings:"),0)/MAX(1,(LEN($I1977)-LEN(SUBSTITUTE($I1977," Ltd","")))/LEN(" Ltd")),0)</f>
        <v/>
      </c>
      <c r="AB1976" s="122">
        <f>IFERROR(IFERROR((LEN($T1977)-LEN(SUBSTITUTE($T1977,"Quality of Works / Criteria of Failings:Compliant","")))/LEN("Quality of Works / Criteria of Failings:Compliant"),0)/MAX(1,(LEN($I1977)-LEN(SUBSTITUTE($I1977," Ltd","")))/LEN(" Ltd")),0)</f>
        <v/>
      </c>
    </row>
    <row r="1977" ht="15" customHeight="1" s="146">
      <c r="Y1977" s="122">
        <f>MAX(0,IFERROR((LEN($T1978)-LEN(SUBSTITUTE($T1978,"Quality of Works / Criteria of Failings:","")))/LEN("Quality of Works / Criteria of Failings:"),0)-IFERROR((LEN($T1978)-LEN(SUBSTITUTE($T1978,"Quality of Works / Criteria of Failings:Compliant","")))/LEN("Quality of Works / Criteria of Failings:Compliant"),0))</f>
        <v/>
      </c>
      <c r="Z1977" s="122">
        <f>IFERROR($Y1978/MAX(1,(LEN($I1978)-LEN(SUBSTITUTE($I1978," Ltd","")))/LEN(" Ltd")),0)</f>
        <v/>
      </c>
      <c r="AA1977" s="122">
        <f>IFERROR(IFERROR((LEN($T1978)-LEN(SUBSTITUTE($T1978,"Quality of Works / Criteria of Failings:","")))/LEN("Quality of Works / Criteria of Failings:"),0)/MAX(1,(LEN($I1978)-LEN(SUBSTITUTE($I1978," Ltd","")))/LEN(" Ltd")),0)</f>
        <v/>
      </c>
      <c r="AB1977" s="122">
        <f>IFERROR(IFERROR((LEN($T1978)-LEN(SUBSTITUTE($T1978,"Quality of Works / Criteria of Failings:Compliant","")))/LEN("Quality of Works / Criteria of Failings:Compliant"),0)/MAX(1,(LEN($I1978)-LEN(SUBSTITUTE($I1978," Ltd","")))/LEN(" Ltd")),0)</f>
        <v/>
      </c>
    </row>
    <row r="1978" ht="15" customHeight="1" s="146">
      <c r="Y1978" s="122">
        <f>MAX(0,IFERROR((LEN($T1979)-LEN(SUBSTITUTE($T1979,"Quality of Works / Criteria of Failings:","")))/LEN("Quality of Works / Criteria of Failings:"),0)-IFERROR((LEN($T1979)-LEN(SUBSTITUTE($T1979,"Quality of Works / Criteria of Failings:Compliant","")))/LEN("Quality of Works / Criteria of Failings:Compliant"),0))</f>
        <v/>
      </c>
      <c r="Z1978" s="122">
        <f>IFERROR($Y1979/MAX(1,(LEN($I1979)-LEN(SUBSTITUTE($I1979," Ltd","")))/LEN(" Ltd")),0)</f>
        <v/>
      </c>
      <c r="AA1978" s="122">
        <f>IFERROR(IFERROR((LEN($T1979)-LEN(SUBSTITUTE($T1979,"Quality of Works / Criteria of Failings:","")))/LEN("Quality of Works / Criteria of Failings:"),0)/MAX(1,(LEN($I1979)-LEN(SUBSTITUTE($I1979," Ltd","")))/LEN(" Ltd")),0)</f>
        <v/>
      </c>
      <c r="AB1978" s="122">
        <f>IFERROR(IFERROR((LEN($T1979)-LEN(SUBSTITUTE($T1979,"Quality of Works / Criteria of Failings:Compliant","")))/LEN("Quality of Works / Criteria of Failings:Compliant"),0)/MAX(1,(LEN($I1979)-LEN(SUBSTITUTE($I1979," Ltd","")))/LEN(" Ltd")),0)</f>
        <v/>
      </c>
    </row>
    <row r="1979" ht="15" customHeight="1" s="146">
      <c r="Y1979" s="122">
        <f>MAX(0,IFERROR((LEN($T1980)-LEN(SUBSTITUTE($T1980,"Quality of Works / Criteria of Failings:","")))/LEN("Quality of Works / Criteria of Failings:"),0)-IFERROR((LEN($T1980)-LEN(SUBSTITUTE($T1980,"Quality of Works / Criteria of Failings:Compliant","")))/LEN("Quality of Works / Criteria of Failings:Compliant"),0))</f>
        <v/>
      </c>
      <c r="Z1979" s="122">
        <f>IFERROR($Y1980/MAX(1,(LEN($I1980)-LEN(SUBSTITUTE($I1980," Ltd","")))/LEN(" Ltd")),0)</f>
        <v/>
      </c>
      <c r="AA1979" s="122">
        <f>IFERROR(IFERROR((LEN($T1980)-LEN(SUBSTITUTE($T1980,"Quality of Works / Criteria of Failings:","")))/LEN("Quality of Works / Criteria of Failings:"),0)/MAX(1,(LEN($I1980)-LEN(SUBSTITUTE($I1980," Ltd","")))/LEN(" Ltd")),0)</f>
        <v/>
      </c>
      <c r="AB1979" s="122">
        <f>IFERROR(IFERROR((LEN($T1980)-LEN(SUBSTITUTE($T1980,"Quality of Works / Criteria of Failings:Compliant","")))/LEN("Quality of Works / Criteria of Failings:Compliant"),0)/MAX(1,(LEN($I1980)-LEN(SUBSTITUTE($I1980," Ltd","")))/LEN(" Ltd")),0)</f>
        <v/>
      </c>
    </row>
    <row r="1980" ht="15" customHeight="1" s="146">
      <c r="Y1980" s="122">
        <f>MAX(0,IFERROR((LEN($T1981)-LEN(SUBSTITUTE($T1981,"Quality of Works / Criteria of Failings:","")))/LEN("Quality of Works / Criteria of Failings:"),0)-IFERROR((LEN($T1981)-LEN(SUBSTITUTE($T1981,"Quality of Works / Criteria of Failings:Compliant","")))/LEN("Quality of Works / Criteria of Failings:Compliant"),0))</f>
        <v/>
      </c>
      <c r="Z1980" s="122">
        <f>IFERROR($Y1981/MAX(1,(LEN($I1981)-LEN(SUBSTITUTE($I1981," Ltd","")))/LEN(" Ltd")),0)</f>
        <v/>
      </c>
      <c r="AA1980" s="122">
        <f>IFERROR(IFERROR((LEN($T1981)-LEN(SUBSTITUTE($T1981,"Quality of Works / Criteria of Failings:","")))/LEN("Quality of Works / Criteria of Failings:"),0)/MAX(1,(LEN($I1981)-LEN(SUBSTITUTE($I1981," Ltd","")))/LEN(" Ltd")),0)</f>
        <v/>
      </c>
      <c r="AB1980" s="122">
        <f>IFERROR(IFERROR((LEN($T1981)-LEN(SUBSTITUTE($T1981,"Quality of Works / Criteria of Failings:Compliant","")))/LEN("Quality of Works / Criteria of Failings:Compliant"),0)/MAX(1,(LEN($I1981)-LEN(SUBSTITUTE($I1981," Ltd","")))/LEN(" Ltd")),0)</f>
        <v/>
      </c>
    </row>
    <row r="1981" ht="15" customHeight="1" s="146">
      <c r="Y1981" s="122">
        <f>MAX(0,IFERROR((LEN($T1982)-LEN(SUBSTITUTE($T1982,"Quality of Works / Criteria of Failings:","")))/LEN("Quality of Works / Criteria of Failings:"),0)-IFERROR((LEN($T1982)-LEN(SUBSTITUTE($T1982,"Quality of Works / Criteria of Failings:Compliant","")))/LEN("Quality of Works / Criteria of Failings:Compliant"),0))</f>
        <v/>
      </c>
      <c r="Z1981" s="122">
        <f>IFERROR($Y1982/MAX(1,(LEN($I1982)-LEN(SUBSTITUTE($I1982," Ltd","")))/LEN(" Ltd")),0)</f>
        <v/>
      </c>
      <c r="AA1981" s="122">
        <f>IFERROR(IFERROR((LEN($T1982)-LEN(SUBSTITUTE($T1982,"Quality of Works / Criteria of Failings:","")))/LEN("Quality of Works / Criteria of Failings:"),0)/MAX(1,(LEN($I1982)-LEN(SUBSTITUTE($I1982," Ltd","")))/LEN(" Ltd")),0)</f>
        <v/>
      </c>
      <c r="AB1981" s="122">
        <f>IFERROR(IFERROR((LEN($T1982)-LEN(SUBSTITUTE($T1982,"Quality of Works / Criteria of Failings:Compliant","")))/LEN("Quality of Works / Criteria of Failings:Compliant"),0)/MAX(1,(LEN($I1982)-LEN(SUBSTITUTE($I1982," Ltd","")))/LEN(" Ltd")),0)</f>
        <v/>
      </c>
    </row>
    <row r="1982" ht="15" customHeight="1" s="146">
      <c r="Y1982" s="122">
        <f>MAX(0,IFERROR((LEN($T1983)-LEN(SUBSTITUTE($T1983,"Quality of Works / Criteria of Failings:","")))/LEN("Quality of Works / Criteria of Failings:"),0)-IFERROR((LEN($T1983)-LEN(SUBSTITUTE($T1983,"Quality of Works / Criteria of Failings:Compliant","")))/LEN("Quality of Works / Criteria of Failings:Compliant"),0))</f>
        <v/>
      </c>
      <c r="Z1982" s="122">
        <f>IFERROR($Y1983/MAX(1,(LEN($I1983)-LEN(SUBSTITUTE($I1983," Ltd","")))/LEN(" Ltd")),0)</f>
        <v/>
      </c>
      <c r="AA1982" s="122">
        <f>IFERROR(IFERROR((LEN($T1983)-LEN(SUBSTITUTE($T1983,"Quality of Works / Criteria of Failings:","")))/LEN("Quality of Works / Criteria of Failings:"),0)/MAX(1,(LEN($I1983)-LEN(SUBSTITUTE($I1983," Ltd","")))/LEN(" Ltd")),0)</f>
        <v/>
      </c>
      <c r="AB1982" s="122">
        <f>IFERROR(IFERROR((LEN($T1983)-LEN(SUBSTITUTE($T1983,"Quality of Works / Criteria of Failings:Compliant","")))/LEN("Quality of Works / Criteria of Failings:Compliant"),0)/MAX(1,(LEN($I1983)-LEN(SUBSTITUTE($I1983," Ltd","")))/LEN(" Ltd")),0)</f>
        <v/>
      </c>
    </row>
    <row r="1983" ht="15" customHeight="1" s="146">
      <c r="Y1983" s="122">
        <f>MAX(0,IFERROR((LEN($T1984)-LEN(SUBSTITUTE($T1984,"Quality of Works / Criteria of Failings:","")))/LEN("Quality of Works / Criteria of Failings:"),0)-IFERROR((LEN($T1984)-LEN(SUBSTITUTE($T1984,"Quality of Works / Criteria of Failings:Compliant","")))/LEN("Quality of Works / Criteria of Failings:Compliant"),0))</f>
        <v/>
      </c>
      <c r="Z1983" s="122">
        <f>IFERROR($Y1984/MAX(1,(LEN($I1984)-LEN(SUBSTITUTE($I1984," Ltd","")))/LEN(" Ltd")),0)</f>
        <v/>
      </c>
      <c r="AA1983" s="122">
        <f>IFERROR(IFERROR((LEN($T1984)-LEN(SUBSTITUTE($T1984,"Quality of Works / Criteria of Failings:","")))/LEN("Quality of Works / Criteria of Failings:"),0)/MAX(1,(LEN($I1984)-LEN(SUBSTITUTE($I1984," Ltd","")))/LEN(" Ltd")),0)</f>
        <v/>
      </c>
      <c r="AB1983" s="122">
        <f>IFERROR(IFERROR((LEN($T1984)-LEN(SUBSTITUTE($T1984,"Quality of Works / Criteria of Failings:Compliant","")))/LEN("Quality of Works / Criteria of Failings:Compliant"),0)/MAX(1,(LEN($I1984)-LEN(SUBSTITUTE($I1984," Ltd","")))/LEN(" Ltd")),0)</f>
        <v/>
      </c>
    </row>
    <row r="1984" ht="15" customHeight="1" s="146">
      <c r="Y1984" s="122">
        <f>MAX(0,IFERROR((LEN($T1985)-LEN(SUBSTITUTE($T1985,"Quality of Works / Criteria of Failings:","")))/LEN("Quality of Works / Criteria of Failings:"),0)-IFERROR((LEN($T1985)-LEN(SUBSTITUTE($T1985,"Quality of Works / Criteria of Failings:Compliant","")))/LEN("Quality of Works / Criteria of Failings:Compliant"),0))</f>
        <v/>
      </c>
      <c r="Z1984" s="122">
        <f>IFERROR($Y1985/MAX(1,(LEN($I1985)-LEN(SUBSTITUTE($I1985," Ltd","")))/LEN(" Ltd")),0)</f>
        <v/>
      </c>
      <c r="AA1984" s="122">
        <f>IFERROR(IFERROR((LEN($T1985)-LEN(SUBSTITUTE($T1985,"Quality of Works / Criteria of Failings:","")))/LEN("Quality of Works / Criteria of Failings:"),0)/MAX(1,(LEN($I1985)-LEN(SUBSTITUTE($I1985," Ltd","")))/LEN(" Ltd")),0)</f>
        <v/>
      </c>
      <c r="AB1984" s="122">
        <f>IFERROR(IFERROR((LEN($T1985)-LEN(SUBSTITUTE($T1985,"Quality of Works / Criteria of Failings:Compliant","")))/LEN("Quality of Works / Criteria of Failings:Compliant"),0)/MAX(1,(LEN($I1985)-LEN(SUBSTITUTE($I1985," Ltd","")))/LEN(" Ltd")),0)</f>
        <v/>
      </c>
    </row>
    <row r="1985" ht="15" customHeight="1" s="146">
      <c r="Y1985" s="122">
        <f>MAX(0,IFERROR((LEN($T1986)-LEN(SUBSTITUTE($T1986,"Quality of Works / Criteria of Failings:","")))/LEN("Quality of Works / Criteria of Failings:"),0)-IFERROR((LEN($T1986)-LEN(SUBSTITUTE($T1986,"Quality of Works / Criteria of Failings:Compliant","")))/LEN("Quality of Works / Criteria of Failings:Compliant"),0))</f>
        <v/>
      </c>
      <c r="Z1985" s="122">
        <f>IFERROR($Y1986/MAX(1,(LEN($I1986)-LEN(SUBSTITUTE($I1986," Ltd","")))/LEN(" Ltd")),0)</f>
        <v/>
      </c>
      <c r="AA1985" s="122">
        <f>IFERROR(IFERROR((LEN($T1986)-LEN(SUBSTITUTE($T1986,"Quality of Works / Criteria of Failings:","")))/LEN("Quality of Works / Criteria of Failings:"),0)/MAX(1,(LEN($I1986)-LEN(SUBSTITUTE($I1986," Ltd","")))/LEN(" Ltd")),0)</f>
        <v/>
      </c>
      <c r="AB1985" s="122">
        <f>IFERROR(IFERROR((LEN($T1986)-LEN(SUBSTITUTE($T1986,"Quality of Works / Criteria of Failings:Compliant","")))/LEN("Quality of Works / Criteria of Failings:Compliant"),0)/MAX(1,(LEN($I1986)-LEN(SUBSTITUTE($I1986," Ltd","")))/LEN(" Ltd")),0)</f>
        <v/>
      </c>
    </row>
    <row r="1986" ht="15" customHeight="1" s="146">
      <c r="Y1986" s="122">
        <f>MAX(0,IFERROR((LEN($T1987)-LEN(SUBSTITUTE($T1987,"Quality of Works / Criteria of Failings:","")))/LEN("Quality of Works / Criteria of Failings:"),0)-IFERROR((LEN($T1987)-LEN(SUBSTITUTE($T1987,"Quality of Works / Criteria of Failings:Compliant","")))/LEN("Quality of Works / Criteria of Failings:Compliant"),0))</f>
        <v/>
      </c>
      <c r="Z1986" s="122">
        <f>IFERROR($Y1987/MAX(1,(LEN($I1987)-LEN(SUBSTITUTE($I1987," Ltd","")))/LEN(" Ltd")),0)</f>
        <v/>
      </c>
      <c r="AA1986" s="122">
        <f>IFERROR(IFERROR((LEN($T1987)-LEN(SUBSTITUTE($T1987,"Quality of Works / Criteria of Failings:","")))/LEN("Quality of Works / Criteria of Failings:"),0)/MAX(1,(LEN($I1987)-LEN(SUBSTITUTE($I1987," Ltd","")))/LEN(" Ltd")),0)</f>
        <v/>
      </c>
      <c r="AB1986" s="122">
        <f>IFERROR(IFERROR((LEN($T1987)-LEN(SUBSTITUTE($T1987,"Quality of Works / Criteria of Failings:Compliant","")))/LEN("Quality of Works / Criteria of Failings:Compliant"),0)/MAX(1,(LEN($I1987)-LEN(SUBSTITUTE($I1987," Ltd","")))/LEN(" Ltd")),0)</f>
        <v/>
      </c>
    </row>
    <row r="1987" ht="15" customHeight="1" s="146">
      <c r="Y1987" s="122">
        <f>MAX(0,IFERROR((LEN($T1988)-LEN(SUBSTITUTE($T1988,"Quality of Works / Criteria of Failings:","")))/LEN("Quality of Works / Criteria of Failings:"),0)-IFERROR((LEN($T1988)-LEN(SUBSTITUTE($T1988,"Quality of Works / Criteria of Failings:Compliant","")))/LEN("Quality of Works / Criteria of Failings:Compliant"),0))</f>
        <v/>
      </c>
      <c r="Z1987" s="122">
        <f>IFERROR($Y1988/MAX(1,(LEN($I1988)-LEN(SUBSTITUTE($I1988," Ltd","")))/LEN(" Ltd")),0)</f>
        <v/>
      </c>
      <c r="AA1987" s="122">
        <f>IFERROR(IFERROR((LEN($T1988)-LEN(SUBSTITUTE($T1988,"Quality of Works / Criteria of Failings:","")))/LEN("Quality of Works / Criteria of Failings:"),0)/MAX(1,(LEN($I1988)-LEN(SUBSTITUTE($I1988," Ltd","")))/LEN(" Ltd")),0)</f>
        <v/>
      </c>
      <c r="AB1987" s="122">
        <f>IFERROR(IFERROR((LEN($T1988)-LEN(SUBSTITUTE($T1988,"Quality of Works / Criteria of Failings:Compliant","")))/LEN("Quality of Works / Criteria of Failings:Compliant"),0)/MAX(1,(LEN($I1988)-LEN(SUBSTITUTE($I1988," Ltd","")))/LEN(" Ltd")),0)</f>
        <v/>
      </c>
    </row>
    <row r="1988" ht="15" customHeight="1" s="146">
      <c r="Y1988" s="122">
        <f>MAX(0,IFERROR((LEN($T1989)-LEN(SUBSTITUTE($T1989,"Quality of Works / Criteria of Failings:","")))/LEN("Quality of Works / Criteria of Failings:"),0)-IFERROR((LEN($T1989)-LEN(SUBSTITUTE($T1989,"Quality of Works / Criteria of Failings:Compliant","")))/LEN("Quality of Works / Criteria of Failings:Compliant"),0))</f>
        <v/>
      </c>
      <c r="Z1988" s="122">
        <f>IFERROR($Y1989/MAX(1,(LEN($I1989)-LEN(SUBSTITUTE($I1989," Ltd","")))/LEN(" Ltd")),0)</f>
        <v/>
      </c>
      <c r="AA1988" s="122">
        <f>IFERROR(IFERROR((LEN($T1989)-LEN(SUBSTITUTE($T1989,"Quality of Works / Criteria of Failings:","")))/LEN("Quality of Works / Criteria of Failings:"),0)/MAX(1,(LEN($I1989)-LEN(SUBSTITUTE($I1989," Ltd","")))/LEN(" Ltd")),0)</f>
        <v/>
      </c>
      <c r="AB1988" s="122">
        <f>IFERROR(IFERROR((LEN($T1989)-LEN(SUBSTITUTE($T1989,"Quality of Works / Criteria of Failings:Compliant","")))/LEN("Quality of Works / Criteria of Failings:Compliant"),0)/MAX(1,(LEN($I1989)-LEN(SUBSTITUTE($I1989," Ltd","")))/LEN(" Ltd")),0)</f>
        <v/>
      </c>
    </row>
    <row r="1989" ht="15" customHeight="1" s="146">
      <c r="Y1989" s="122">
        <f>MAX(0,IFERROR((LEN($T1990)-LEN(SUBSTITUTE($T1990,"Quality of Works / Criteria of Failings:","")))/LEN("Quality of Works / Criteria of Failings:"),0)-IFERROR((LEN($T1990)-LEN(SUBSTITUTE($T1990,"Quality of Works / Criteria of Failings:Compliant","")))/LEN("Quality of Works / Criteria of Failings:Compliant"),0))</f>
        <v/>
      </c>
      <c r="Z1989" s="122">
        <f>IFERROR($Y1990/MAX(1,(LEN($I1990)-LEN(SUBSTITUTE($I1990," Ltd","")))/LEN(" Ltd")),0)</f>
        <v/>
      </c>
      <c r="AA1989" s="122">
        <f>IFERROR(IFERROR((LEN($T1990)-LEN(SUBSTITUTE($T1990,"Quality of Works / Criteria of Failings:","")))/LEN("Quality of Works / Criteria of Failings:"),0)/MAX(1,(LEN($I1990)-LEN(SUBSTITUTE($I1990," Ltd","")))/LEN(" Ltd")),0)</f>
        <v/>
      </c>
      <c r="AB1989" s="122">
        <f>IFERROR(IFERROR((LEN($T1990)-LEN(SUBSTITUTE($T1990,"Quality of Works / Criteria of Failings:Compliant","")))/LEN("Quality of Works / Criteria of Failings:Compliant"),0)/MAX(1,(LEN($I1990)-LEN(SUBSTITUTE($I1990," Ltd","")))/LEN(" Ltd")),0)</f>
        <v/>
      </c>
    </row>
    <row r="1990" ht="15" customHeight="1" s="146">
      <c r="Y1990" s="122">
        <f>MAX(0,IFERROR((LEN($T1991)-LEN(SUBSTITUTE($T1991,"Quality of Works / Criteria of Failings:","")))/LEN("Quality of Works / Criteria of Failings:"),0)-IFERROR((LEN($T1991)-LEN(SUBSTITUTE($T1991,"Quality of Works / Criteria of Failings:Compliant","")))/LEN("Quality of Works / Criteria of Failings:Compliant"),0))</f>
        <v/>
      </c>
      <c r="Z1990" s="122">
        <f>IFERROR($Y1991/MAX(1,(LEN($I1991)-LEN(SUBSTITUTE($I1991," Ltd","")))/LEN(" Ltd")),0)</f>
        <v/>
      </c>
      <c r="AA1990" s="122">
        <f>IFERROR(IFERROR((LEN($T1991)-LEN(SUBSTITUTE($T1991,"Quality of Works / Criteria of Failings:","")))/LEN("Quality of Works / Criteria of Failings:"),0)/MAX(1,(LEN($I1991)-LEN(SUBSTITUTE($I1991," Ltd","")))/LEN(" Ltd")),0)</f>
        <v/>
      </c>
      <c r="AB1990" s="122">
        <f>IFERROR(IFERROR((LEN($T1991)-LEN(SUBSTITUTE($T1991,"Quality of Works / Criteria of Failings:Compliant","")))/LEN("Quality of Works / Criteria of Failings:Compliant"),0)/MAX(1,(LEN($I1991)-LEN(SUBSTITUTE($I1991," Ltd","")))/LEN(" Ltd")),0)</f>
        <v/>
      </c>
    </row>
    <row r="1991" ht="15" customHeight="1" s="146">
      <c r="Y1991" s="122">
        <f>MAX(0,IFERROR((LEN($T1992)-LEN(SUBSTITUTE($T1992,"Quality of Works / Criteria of Failings:","")))/LEN("Quality of Works / Criteria of Failings:"),0)-IFERROR((LEN($T1992)-LEN(SUBSTITUTE($T1992,"Quality of Works / Criteria of Failings:Compliant","")))/LEN("Quality of Works / Criteria of Failings:Compliant"),0))</f>
        <v/>
      </c>
      <c r="Z1991" s="122">
        <f>IFERROR($Y1992/MAX(1,(LEN($I1992)-LEN(SUBSTITUTE($I1992," Ltd","")))/LEN(" Ltd")),0)</f>
        <v/>
      </c>
      <c r="AA1991" s="122">
        <f>IFERROR(IFERROR((LEN($T1992)-LEN(SUBSTITUTE($T1992,"Quality of Works / Criteria of Failings:","")))/LEN("Quality of Works / Criteria of Failings:"),0)/MAX(1,(LEN($I1992)-LEN(SUBSTITUTE($I1992," Ltd","")))/LEN(" Ltd")),0)</f>
        <v/>
      </c>
      <c r="AB1991" s="122">
        <f>IFERROR(IFERROR((LEN($T1992)-LEN(SUBSTITUTE($T1992,"Quality of Works / Criteria of Failings:Compliant","")))/LEN("Quality of Works / Criteria of Failings:Compliant"),0)/MAX(1,(LEN($I1992)-LEN(SUBSTITUTE($I1992," Ltd","")))/LEN(" Ltd")),0)</f>
        <v/>
      </c>
    </row>
    <row r="1992" ht="15" customHeight="1" s="146">
      <c r="Y1992" s="122">
        <f>MAX(0,IFERROR((LEN($T1993)-LEN(SUBSTITUTE($T1993,"Quality of Works / Criteria of Failings:","")))/LEN("Quality of Works / Criteria of Failings:"),0)-IFERROR((LEN($T1993)-LEN(SUBSTITUTE($T1993,"Quality of Works / Criteria of Failings:Compliant","")))/LEN("Quality of Works / Criteria of Failings:Compliant"),0))</f>
        <v/>
      </c>
      <c r="Z1992" s="122">
        <f>IFERROR($Y1993/MAX(1,(LEN($I1993)-LEN(SUBSTITUTE($I1993," Ltd","")))/LEN(" Ltd")),0)</f>
        <v/>
      </c>
      <c r="AA1992" s="122">
        <f>IFERROR(IFERROR((LEN($T1993)-LEN(SUBSTITUTE($T1993,"Quality of Works / Criteria of Failings:","")))/LEN("Quality of Works / Criteria of Failings:"),0)/MAX(1,(LEN($I1993)-LEN(SUBSTITUTE($I1993," Ltd","")))/LEN(" Ltd")),0)</f>
        <v/>
      </c>
      <c r="AB1992" s="122">
        <f>IFERROR(IFERROR((LEN($T1993)-LEN(SUBSTITUTE($T1993,"Quality of Works / Criteria of Failings:Compliant","")))/LEN("Quality of Works / Criteria of Failings:Compliant"),0)/MAX(1,(LEN($I1993)-LEN(SUBSTITUTE($I1993," Ltd","")))/LEN(" Ltd")),0)</f>
        <v/>
      </c>
    </row>
    <row r="1993" ht="15" customHeight="1" s="146">
      <c r="Y1993" s="122">
        <f>MAX(0,IFERROR((LEN($T1994)-LEN(SUBSTITUTE($T1994,"Quality of Works / Criteria of Failings:","")))/LEN("Quality of Works / Criteria of Failings:"),0)-IFERROR((LEN($T1994)-LEN(SUBSTITUTE($T1994,"Quality of Works / Criteria of Failings:Compliant","")))/LEN("Quality of Works / Criteria of Failings:Compliant"),0))</f>
        <v/>
      </c>
      <c r="Z1993" s="122">
        <f>IFERROR($Y1994/MAX(1,(LEN($I1994)-LEN(SUBSTITUTE($I1994," Ltd","")))/LEN(" Ltd")),0)</f>
        <v/>
      </c>
      <c r="AA1993" s="122">
        <f>IFERROR(IFERROR((LEN($T1994)-LEN(SUBSTITUTE($T1994,"Quality of Works / Criteria of Failings:","")))/LEN("Quality of Works / Criteria of Failings:"),0)/MAX(1,(LEN($I1994)-LEN(SUBSTITUTE($I1994," Ltd","")))/LEN(" Ltd")),0)</f>
        <v/>
      </c>
      <c r="AB1993" s="122">
        <f>IFERROR(IFERROR((LEN($T1994)-LEN(SUBSTITUTE($T1994,"Quality of Works / Criteria of Failings:Compliant","")))/LEN("Quality of Works / Criteria of Failings:Compliant"),0)/MAX(1,(LEN($I1994)-LEN(SUBSTITUTE($I1994," Ltd","")))/LEN(" Ltd")),0)</f>
        <v/>
      </c>
    </row>
    <row r="1994" ht="15" customHeight="1" s="146">
      <c r="Y1994" s="122">
        <f>MAX(0,IFERROR((LEN($T1995)-LEN(SUBSTITUTE($T1995,"Quality of Works / Criteria of Failings:","")))/LEN("Quality of Works / Criteria of Failings:"),0)-IFERROR((LEN($T1995)-LEN(SUBSTITUTE($T1995,"Quality of Works / Criteria of Failings:Compliant","")))/LEN("Quality of Works / Criteria of Failings:Compliant"),0))</f>
        <v/>
      </c>
      <c r="Z1994" s="122">
        <f>IFERROR($Y1995/MAX(1,(LEN($I1995)-LEN(SUBSTITUTE($I1995," Ltd","")))/LEN(" Ltd")),0)</f>
        <v/>
      </c>
      <c r="AA1994" s="122">
        <f>IFERROR(IFERROR((LEN($T1995)-LEN(SUBSTITUTE($T1995,"Quality of Works / Criteria of Failings:","")))/LEN("Quality of Works / Criteria of Failings:"),0)/MAX(1,(LEN($I1995)-LEN(SUBSTITUTE($I1995," Ltd","")))/LEN(" Ltd")),0)</f>
        <v/>
      </c>
      <c r="AB1994" s="122">
        <f>IFERROR(IFERROR((LEN($T1995)-LEN(SUBSTITUTE($T1995,"Quality of Works / Criteria of Failings:Compliant","")))/LEN("Quality of Works / Criteria of Failings:Compliant"),0)/MAX(1,(LEN($I1995)-LEN(SUBSTITUTE($I1995," Ltd","")))/LEN(" Ltd")),0)</f>
        <v/>
      </c>
    </row>
    <row r="1995" ht="15" customHeight="1" s="146">
      <c r="Y1995" s="122">
        <f>MAX(0,IFERROR((LEN($T1996)-LEN(SUBSTITUTE($T1996,"Quality of Works / Criteria of Failings:","")))/LEN("Quality of Works / Criteria of Failings:"),0)-IFERROR((LEN($T1996)-LEN(SUBSTITUTE($T1996,"Quality of Works / Criteria of Failings:Compliant","")))/LEN("Quality of Works / Criteria of Failings:Compliant"),0))</f>
        <v/>
      </c>
      <c r="Z1995" s="122">
        <f>IFERROR($Y1996/MAX(1,(LEN($I1996)-LEN(SUBSTITUTE($I1996," Ltd","")))/LEN(" Ltd")),0)</f>
        <v/>
      </c>
      <c r="AA1995" s="122">
        <f>IFERROR(IFERROR((LEN($T1996)-LEN(SUBSTITUTE($T1996,"Quality of Works / Criteria of Failings:","")))/LEN("Quality of Works / Criteria of Failings:"),0)/MAX(1,(LEN($I1996)-LEN(SUBSTITUTE($I1996," Ltd","")))/LEN(" Ltd")),0)</f>
        <v/>
      </c>
      <c r="AB1995" s="122">
        <f>IFERROR(IFERROR((LEN($T1996)-LEN(SUBSTITUTE($T1996,"Quality of Works / Criteria of Failings:Compliant","")))/LEN("Quality of Works / Criteria of Failings:Compliant"),0)/MAX(1,(LEN($I1996)-LEN(SUBSTITUTE($I1996," Ltd","")))/LEN(" Ltd")),0)</f>
        <v/>
      </c>
    </row>
    <row r="1996" ht="15" customHeight="1" s="146">
      <c r="Y1996" s="122">
        <f>MAX(0,IFERROR((LEN($T1997)-LEN(SUBSTITUTE($T1997,"Quality of Works / Criteria of Failings:","")))/LEN("Quality of Works / Criteria of Failings:"),0)-IFERROR((LEN($T1997)-LEN(SUBSTITUTE($T1997,"Quality of Works / Criteria of Failings:Compliant","")))/LEN("Quality of Works / Criteria of Failings:Compliant"),0))</f>
        <v/>
      </c>
      <c r="Z1996" s="122">
        <f>IFERROR($Y1997/MAX(1,(LEN($I1997)-LEN(SUBSTITUTE($I1997," Ltd","")))/LEN(" Ltd")),0)</f>
        <v/>
      </c>
      <c r="AA1996" s="122">
        <f>IFERROR(IFERROR((LEN($T1997)-LEN(SUBSTITUTE($T1997,"Quality of Works / Criteria of Failings:","")))/LEN("Quality of Works / Criteria of Failings:"),0)/MAX(1,(LEN($I1997)-LEN(SUBSTITUTE($I1997," Ltd","")))/LEN(" Ltd")),0)</f>
        <v/>
      </c>
      <c r="AB1996" s="122">
        <f>IFERROR(IFERROR((LEN($T1997)-LEN(SUBSTITUTE($T1997,"Quality of Works / Criteria of Failings:Compliant","")))/LEN("Quality of Works / Criteria of Failings:Compliant"),0)/MAX(1,(LEN($I1997)-LEN(SUBSTITUTE($I1997," Ltd","")))/LEN(" Ltd")),0)</f>
        <v/>
      </c>
    </row>
    <row r="1997" ht="15" customHeight="1" s="146">
      <c r="Y1997" s="122">
        <f>MAX(0,IFERROR((LEN($T1998)-LEN(SUBSTITUTE($T1998,"Quality of Works / Criteria of Failings:","")))/LEN("Quality of Works / Criteria of Failings:"),0)-IFERROR((LEN($T1998)-LEN(SUBSTITUTE($T1998,"Quality of Works / Criteria of Failings:Compliant","")))/LEN("Quality of Works / Criteria of Failings:Compliant"),0))</f>
        <v/>
      </c>
      <c r="Z1997" s="122">
        <f>IFERROR($Y1998/MAX(1,(LEN($I1998)-LEN(SUBSTITUTE($I1998," Ltd","")))/LEN(" Ltd")),0)</f>
        <v/>
      </c>
      <c r="AA1997" s="122">
        <f>IFERROR(IFERROR((LEN($T1998)-LEN(SUBSTITUTE($T1998,"Quality of Works / Criteria of Failings:","")))/LEN("Quality of Works / Criteria of Failings:"),0)/MAX(1,(LEN($I1998)-LEN(SUBSTITUTE($I1998," Ltd","")))/LEN(" Ltd")),0)</f>
        <v/>
      </c>
      <c r="AB1997" s="122">
        <f>IFERROR(IFERROR((LEN($T1998)-LEN(SUBSTITUTE($T1998,"Quality of Works / Criteria of Failings:Compliant","")))/LEN("Quality of Works / Criteria of Failings:Compliant"),0)/MAX(1,(LEN($I1998)-LEN(SUBSTITUTE($I1998," Ltd","")))/LEN(" Ltd")),0)</f>
        <v/>
      </c>
    </row>
    <row r="1998" ht="15" customHeight="1" s="146">
      <c r="Y1998" s="122">
        <f>MAX(0,IFERROR((LEN($T1999)-LEN(SUBSTITUTE($T1999,"Quality of Works / Criteria of Failings:","")))/LEN("Quality of Works / Criteria of Failings:"),0)-IFERROR((LEN($T1999)-LEN(SUBSTITUTE($T1999,"Quality of Works / Criteria of Failings:Compliant","")))/LEN("Quality of Works / Criteria of Failings:Compliant"),0))</f>
        <v/>
      </c>
      <c r="Z1998" s="122">
        <f>IFERROR($Y1999/MAX(1,(LEN($I1999)-LEN(SUBSTITUTE($I1999," Ltd","")))/LEN(" Ltd")),0)</f>
        <v/>
      </c>
      <c r="AA1998" s="122">
        <f>IFERROR(IFERROR((LEN($T1999)-LEN(SUBSTITUTE($T1999,"Quality of Works / Criteria of Failings:","")))/LEN("Quality of Works / Criteria of Failings:"),0)/MAX(1,(LEN($I1999)-LEN(SUBSTITUTE($I1999," Ltd","")))/LEN(" Ltd")),0)</f>
        <v/>
      </c>
      <c r="AB1998" s="122">
        <f>IFERROR(IFERROR((LEN($T1999)-LEN(SUBSTITUTE($T1999,"Quality of Works / Criteria of Failings:Compliant","")))/LEN("Quality of Works / Criteria of Failings:Compliant"),0)/MAX(1,(LEN($I1999)-LEN(SUBSTITUTE($I1999," Ltd","")))/LEN(" Ltd")),0)</f>
        <v/>
      </c>
    </row>
    <row r="1999" ht="15" customHeight="1" s="146">
      <c r="Y1999" s="122">
        <f>MAX(0,IFERROR((LEN($T2000)-LEN(SUBSTITUTE($T2000,"Quality of Works / Criteria of Failings:","")))/LEN("Quality of Works / Criteria of Failings:"),0)-IFERROR((LEN($T2000)-LEN(SUBSTITUTE($T2000,"Quality of Works / Criteria of Failings:Compliant","")))/LEN("Quality of Works / Criteria of Failings:Compliant"),0))</f>
        <v/>
      </c>
      <c r="Z1999" s="122">
        <f>IFERROR($Y2000/MAX(1,(LEN($I2000)-LEN(SUBSTITUTE($I2000," Ltd","")))/LEN(" Ltd")),0)</f>
        <v/>
      </c>
      <c r="AA1999" s="122">
        <f>IFERROR(IFERROR((LEN($T2000)-LEN(SUBSTITUTE($T2000,"Quality of Works / Criteria of Failings:","")))/LEN("Quality of Works / Criteria of Failings:"),0)/MAX(1,(LEN($I2000)-LEN(SUBSTITUTE($I2000," Ltd","")))/LEN(" Ltd")),0)</f>
        <v/>
      </c>
      <c r="AB1999" s="122">
        <f>IFERROR(IFERROR((LEN($T2000)-LEN(SUBSTITUTE($T2000,"Quality of Works / Criteria of Failings:Compliant","")))/LEN("Quality of Works / Criteria of Failings:Compliant"),0)/MAX(1,(LEN($I2000)-LEN(SUBSTITUTE($I2000," Ltd","")))/LEN(" Ltd")),0)</f>
        <v/>
      </c>
    </row>
  </sheetData>
  <mergeCells count="4">
    <mergeCell ref="A1:X1"/>
    <mergeCell ref="A2:X2"/>
    <mergeCell ref="A3:Y3"/>
    <mergeCell ref="A5:X5"/>
  </mergeCells>
  <conditionalFormatting sqref="F5:F1004">
    <cfRule type="containsText" priority="2" operator="containsText" dxfId="1" text="Not Cut to Consent">
      <formula>NOT(ISERROR(SEARCH("Not Cut to Consent",F5)))</formula>
    </cfRule>
    <cfRule type="containsText" priority="3" operator="containsText" dxfId="1" text="Cut Not Compliant with BS3998">
      <formula>NOT(ISERROR(SEARCH("Cut Not Compliant with BS3998",F5)))</formula>
    </cfRule>
    <cfRule type="containsText" priority="4" operator="containsText" dxfId="1" text="Limited Cuts Recorded">
      <formula>NOT(ISERROR(SEARCH("Limited Cuts Recorded",F5)))</formula>
    </cfRule>
    <cfRule type="containsText" priority="5" operator="containsText" dxfId="1" text="Climbing Vegetation">
      <formula>NOT(ISERROR(SEARCH("Climbing Vegetation",F5)))</formula>
    </cfRule>
    <cfRule type="containsText" priority="6" operator="containsText" dxfId="0" text="Compliant">
      <formula>NOT(ISERROR(SEARCH("Compliant",F5)))</formula>
    </cfRule>
  </conditionalFormatting>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AH127"/>
  <sheetViews>
    <sheetView topLeftCell="K1" workbookViewId="0">
      <selection activeCell="A1" sqref="A1"/>
    </sheetView>
  </sheetViews>
  <sheetFormatPr baseColWidth="10" defaultColWidth="8.83203125" defaultRowHeight="13"/>
  <cols>
    <col hidden="1" width="8" customWidth="1" style="146" min="1" max="10"/>
    <col width="20" customWidth="1" style="146" min="11" max="11"/>
    <col hidden="1" width="8" customWidth="1" style="146" min="12" max="13"/>
    <col width="20" customWidth="1" style="146" min="14" max="14"/>
    <col hidden="1" width="8" customWidth="1" style="146" min="15" max="20"/>
    <col width="20" customWidth="1" style="146" min="21" max="21"/>
    <col hidden="1" width="8" customWidth="1" style="146" min="22" max="22"/>
    <col width="20" customWidth="1" style="146" min="23" max="23"/>
    <col hidden="1" width="8" customWidth="1" style="146" min="24" max="30"/>
    <col hidden="1" width="18" customWidth="1" style="146" min="31" max="34"/>
  </cols>
  <sheetData>
    <row r="1">
      <c r="A1" s="156" t="inlineStr">
        <is>
          <t>DATA - SSV (SITE SAFETY VISITS)  |  ROLLING LOG  |  Paste full SafetyCulture CSV export below row 5. Do not delete rows — append new exports below existing data. Duplicate rows are ignored by formulas.</t>
        </is>
      </c>
    </row>
    <row r="2">
      <c r="A2" s="155" t="inlineStr">
        <is>
          <t>VALIDITY RULES: Rows must have (1) Completed date populated, (2) FT On Site populated, (3) Overall Result = High Standards | Compliant | Minor Nonconformity. All other rows are ignored.</t>
        </is>
      </c>
    </row>
    <row r="4">
      <c r="A4" s="157" t="inlineStr">
        <is>
          <t>PASTE INSTRUCTIONS: Export from SafetyCulture &gt; Templates &gt; Monitoring Visit (SSV) &gt; Export as CSV. Paste all rows including header. The formula columns (H onwards) will auto-populate.</t>
        </is>
      </c>
    </row>
    <row r="5" ht="48" customHeight="1" s="146">
      <c r="A5" s="112" t="inlineStr">
        <is>
          <t>Template</t>
        </is>
      </c>
      <c r="B5" s="112" t="inlineStr">
        <is>
          <t>Completed By</t>
        </is>
      </c>
      <c r="C5" s="112" t="inlineStr">
        <is>
          <t>Business Unit</t>
        </is>
      </c>
      <c r="D5" s="112" t="inlineStr">
        <is>
          <t>Division</t>
        </is>
      </c>
      <c r="E5" s="112" t="inlineStr">
        <is>
          <t>GC Division</t>
        </is>
      </c>
      <c r="F5" s="112" t="inlineStr">
        <is>
          <t>GC Division: Business Unit Group</t>
        </is>
      </c>
      <c r="G5" s="112" t="inlineStr">
        <is>
          <t>Region</t>
        </is>
      </c>
      <c r="H5" s="112" t="inlineStr">
        <is>
          <t>Client</t>
        </is>
      </c>
      <c r="I5" s="112" t="inlineStr">
        <is>
          <t>Site</t>
        </is>
      </c>
      <c r="J5" s="112" t="inlineStr">
        <is>
          <t>Project</t>
        </is>
      </c>
      <c r="K5" s="113" t="inlineStr">
        <is>
          <t>FT On Site</t>
        </is>
      </c>
      <c r="L5" s="112" t="inlineStr">
        <is>
          <t>Operatives on site</t>
        </is>
      </c>
      <c r="M5" s="112" t="inlineStr">
        <is>
          <t>Started</t>
        </is>
      </c>
      <c r="N5" s="113" t="inlineStr">
        <is>
          <t>Completed</t>
        </is>
      </c>
      <c r="O5" s="112" t="inlineStr">
        <is>
          <t>Topics Covered</t>
        </is>
      </c>
      <c r="P5" s="112" t="inlineStr">
        <is>
          <t>Mins taken</t>
        </is>
      </c>
      <c r="Q5" s="112" t="inlineStr">
        <is>
          <t>Number of Questions</t>
        </is>
      </c>
      <c r="R5" s="112" t="inlineStr">
        <is>
          <t>Compliant Answers</t>
        </is>
      </c>
      <c r="S5" s="112" t="inlineStr">
        <is>
          <t>Questions Per Min</t>
        </is>
      </c>
      <c r="T5" s="112" t="inlineStr">
        <is>
          <t>Score</t>
        </is>
      </c>
      <c r="U5" s="113" t="inlineStr">
        <is>
          <t>Overall Result</t>
        </is>
      </c>
      <c r="V5" s="112" t="inlineStr">
        <is>
          <t>NA Questions</t>
        </is>
      </c>
      <c r="W5" s="113" t="inlineStr">
        <is>
          <t>NC Questions</t>
        </is>
      </c>
      <c r="X5" s="112" t="inlineStr">
        <is>
          <t>Exec Summary</t>
        </is>
      </c>
      <c r="Y5" s="112" t="inlineStr">
        <is>
          <t>Witnessed</t>
        </is>
      </c>
      <c r="Z5" s="112" t="inlineStr">
        <is>
          <t>Witness Name</t>
        </is>
      </c>
      <c r="AA5" s="112" t="inlineStr">
        <is>
          <t>Witness Comments</t>
        </is>
      </c>
      <c r="AB5" s="112" t="inlineStr">
        <is>
          <t>Actions</t>
        </is>
      </c>
      <c r="AC5" s="112" t="inlineStr">
        <is>
          <t>ID</t>
        </is>
      </c>
      <c r="AD5" s="112" t="inlineStr">
        <is>
          <t>Location</t>
        </is>
      </c>
      <c r="AE5" s="114" t="inlineStr">
        <is>
          <t>FT Name (matched)</t>
        </is>
      </c>
      <c r="AF5" s="114" t="inlineStr">
        <is>
          <t>Completed Date</t>
        </is>
      </c>
      <c r="AG5" s="117" t="inlineStr">
        <is>
          <t>NC Count</t>
        </is>
      </c>
      <c r="AH5" s="117" t="inlineStr">
        <is>
          <t>Visit Score (1-4)</t>
        </is>
      </c>
    </row>
    <row r="6">
      <c r="A6" t="inlineStr">
        <is>
          <t>Leadership Site Safety &amp; Engagement Tour</t>
        </is>
      </c>
      <c r="B6" t="inlineStr">
        <is>
          <t>Jake Bolwell</t>
        </is>
      </c>
      <c r="C6" t="inlineStr">
        <is>
          <t>Infrastructure &amp; Utilities</t>
        </is>
      </c>
      <c r="D6" t="inlineStr">
        <is>
          <t>SSE</t>
        </is>
      </c>
      <c r="E6" t="inlineStr">
        <is>
          <t>SSE</t>
        </is>
      </c>
      <c r="F6" t="inlineStr">
        <is>
          <t>Infrastructure &amp; Utilities</t>
        </is>
      </c>
      <c r="G6" t="inlineStr">
        <is>
          <t>Salisbury~</t>
        </is>
      </c>
      <c r="H6" t="inlineStr">
        <is>
          <t>3086 : SSE CONTRACTING</t>
        </is>
      </c>
      <c r="I6" t="inlineStr">
        <is>
          <t>Various</t>
        </is>
      </c>
      <c r="J6" t="inlineStr">
        <is>
          <t>HINM E5</t>
        </is>
      </c>
      <c r="K6" t="inlineStr"/>
      <c r="L6" t="inlineStr"/>
      <c r="M6" t="inlineStr">
        <is>
          <t>06/05/2026 08:46</t>
        </is>
      </c>
      <c r="N6" t="inlineStr">
        <is>
          <t>06/05/2026 08:52</t>
        </is>
      </c>
      <c r="O6" t="inlineStr"/>
      <c r="P6" t="inlineStr">
        <is>
          <t>1</t>
        </is>
      </c>
      <c r="Q6" t="inlineStr">
        <is>
          <t>16</t>
        </is>
      </c>
      <c r="R6" t="inlineStr">
        <is>
          <t>15</t>
        </is>
      </c>
      <c r="S6" t="inlineStr">
        <is>
          <t>16.0</t>
        </is>
      </c>
      <c r="T6" t="inlineStr">
        <is>
          <t>93.75</t>
        </is>
      </c>
      <c r="U6" t="inlineStr">
        <is>
          <t>High Standards</t>
        </is>
      </c>
      <c r="V6" t="inlineStr">
        <is>
          <t xml:space="preserve">WORK AT HEIGHT / GROUND DISTURBANCE CONTROLS: N/A
</t>
        </is>
      </c>
      <c r="W6" t="inlineStr"/>
      <c r="X6" t="inlineStr">
        <is>
          <t xml:space="preserve">Exec Summary:
during my visits with the guys we identified a number of sites that could be cut live using the correct techniques and tools and by an experienced team.
</t>
        </is>
      </c>
      <c r="Y6" t="inlineStr">
        <is>
          <t>No</t>
        </is>
      </c>
      <c r="Z6" t="inlineStr"/>
      <c r="AA6" t="inlineStr"/>
      <c r="AB6" t="inlineStr">
        <is>
          <t>&lt;p&gt;&lt;/p&gt;</t>
        </is>
      </c>
      <c r="AC6" t="inlineStr">
        <is>
          <t>1704</t>
        </is>
      </c>
      <c r="AD6" t="inlineStr">
        <is>
          <t>Salisbury - HINM E5</t>
        </is>
      </c>
      <c r="AE6">
        <f>IF(K6="","",TRIM(MID(K6,IF(ISNUMBER(VALUE(LEFT(K6,4))),6,1),200)))</f>
        <v/>
      </c>
      <c r="AF6">
        <f>IF(N6="","",IFERROR(DATEVALUE(LEFT(N6,10)),N6))</f>
        <v/>
      </c>
      <c r="AG6">
        <f>IF(W6="",0,LEN(TRIM(W6))-LEN(SUBSTITUTE(TRIM(W6),",",""))+1)</f>
        <v/>
      </c>
      <c r="AH6">
        <f>IF(OR(N6="",K6=""),"",IF(U6="High Standards",4,IF(U6="Compliant",3,IF(U6="Minor Nonconformity",IF(AG6&gt;=2,1,2),""))))</f>
        <v/>
      </c>
    </row>
    <row r="7">
      <c r="A7" t="inlineStr">
        <is>
          <t>Site Safety Visit (SSV)</t>
        </is>
      </c>
      <c r="B7" t="inlineStr">
        <is>
          <t>Harry Bellis</t>
        </is>
      </c>
      <c r="C7" t="inlineStr">
        <is>
          <t>Infrastructure &amp; Utilities</t>
        </is>
      </c>
      <c r="D7" t="inlineStr">
        <is>
          <t>SSE</t>
        </is>
      </c>
      <c r="E7" t="inlineStr">
        <is>
          <t>SSE</t>
        </is>
      </c>
      <c r="F7" t="inlineStr">
        <is>
          <t>Infrastructure &amp; Utilities</t>
        </is>
      </c>
      <c r="G7" t="inlineStr">
        <is>
          <t>Andover~</t>
        </is>
      </c>
      <c r="H7" t="inlineStr">
        <is>
          <t>3086 : SSE CONTRACTING</t>
        </is>
      </c>
      <c r="I7" t="inlineStr">
        <is>
          <t>136</t>
        </is>
      </c>
      <c r="J7" t="inlineStr">
        <is>
          <t>Ease e4</t>
        </is>
      </c>
      <c r="K7" t="inlineStr">
        <is>
          <t>7397 Brinksworth Tree Services Ltd</t>
        </is>
      </c>
      <c r="L7" t="inlineStr">
        <is>
          <t>["7397 : 57929 Marlee Butler","7397 : 54435 Scott Carpenter"]</t>
        </is>
      </c>
      <c r="M7" t="inlineStr">
        <is>
          <t>06/05/2026 10:59</t>
        </is>
      </c>
      <c r="N7" t="inlineStr">
        <is>
          <t>06/05/2026 11:20</t>
        </is>
      </c>
      <c r="O7" t="inlineStr">
        <is>
          <t>["Vehicles","Engagements &amp; Values","Risk Management","Service Quality"]</t>
        </is>
      </c>
      <c r="P7" t="inlineStr">
        <is>
          <t>20</t>
        </is>
      </c>
      <c r="Q7" t="inlineStr">
        <is>
          <t>32</t>
        </is>
      </c>
      <c r="R7" t="inlineStr">
        <is>
          <t>32</t>
        </is>
      </c>
      <c r="S7" t="inlineStr">
        <is>
          <t>1.6</t>
        </is>
      </c>
      <c r="T7" t="inlineStr">
        <is>
          <t>100</t>
        </is>
      </c>
      <c r="U7" t="inlineStr">
        <is>
          <t>Compliant</t>
        </is>
      </c>
      <c r="V7" t="inlineStr">
        <is>
          <t xml:space="preserve">TRAILER COMPLIANCE: N/A
</t>
        </is>
      </c>
      <c r="W7" t="inlineStr"/>
      <c r="X7" t="inlineStr">
        <is>
          <t xml:space="preserve">Exec Summary:
Fine.
</t>
        </is>
      </c>
      <c r="Y7" t="inlineStr">
        <is>
          <t>No</t>
        </is>
      </c>
      <c r="Z7" t="inlineStr"/>
      <c r="AA7" t="inlineStr"/>
      <c r="AB7" t="inlineStr">
        <is>
          <t>&lt;p&gt;&lt;/p&gt;</t>
        </is>
      </c>
      <c r="AC7" t="inlineStr">
        <is>
          <t>1706</t>
        </is>
      </c>
      <c r="AD7" t="inlineStr">
        <is>
          <t>Victoria Park, Erlestoke, Devizes SN10 5TW, UK</t>
        </is>
      </c>
      <c r="AE7">
        <f>IF(K7="","",TRIM(MID(K7,IF(ISNUMBER(VALUE(LEFT(K7,4))),6,1),200)))</f>
        <v/>
      </c>
      <c r="AF7">
        <f>IF(N7="","",IFERROR(DATEVALUE(LEFT(N7,10)),N7))</f>
        <v/>
      </c>
      <c r="AG7">
        <f>IF(W7="",0,LEN(TRIM(W7))-LEN(SUBSTITUTE(TRIM(W7),",",""))+1)</f>
        <v/>
      </c>
      <c r="AH7">
        <f>IF(OR(N7="",K7=""),"",IF(U7="High Standards",4,IF(U7="Compliant",3,IF(U7="Minor Nonconformity",IF(AG7&gt;=2,1,2),""))))</f>
        <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sheetData>
  <mergeCells count="3">
    <mergeCell ref="A2:G2"/>
    <mergeCell ref="A1:G1"/>
    <mergeCell ref="A4:G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99"/>
  <sheetViews>
    <sheetView tabSelected="1" topLeftCell="A8" workbookViewId="0">
      <selection activeCell="A1" sqref="A1:F1"/>
    </sheetView>
  </sheetViews>
  <sheetFormatPr baseColWidth="10" defaultColWidth="8.83203125" defaultRowHeight="13"/>
  <cols>
    <col width="18" customWidth="1" style="146" min="1" max="1"/>
    <col width="16" customWidth="1" style="146" min="2" max="2"/>
    <col width="22" customWidth="1" style="146" min="3" max="3"/>
    <col width="45" customWidth="1" style="146" min="4" max="4"/>
    <col width="16" customWidth="1" style="146" min="5" max="5"/>
    <col width="10" customWidth="1" style="146" min="6" max="6"/>
  </cols>
  <sheetData>
    <row r="1" ht="22" customHeight="1" s="146">
      <c r="A1" s="161" t="inlineStr">
        <is>
          <t>POLE RESULTS — PARSED QUALITY DATA</t>
        </is>
      </c>
    </row>
    <row r="2" ht="40" customHeight="1" s="146">
      <c r="A2" s="158" t="inlineStr">
        <is>
          <t>Auto-generated from Data - Post-Cut Quality via Power Query. Each row = one pole assessed for one team. Refresh monthly: Data → Refresh All after pasting new quality data. Monthly Matrix quality scores draw directly from this sheet.</t>
        </is>
      </c>
    </row>
    <row r="3" ht="30" customHeight="1" s="146">
      <c r="A3" s="165" t="inlineStr">
        <is>
          <t>⚠  DO NOT edit this sheet manually. All content below row 12 is overwritten every time the script runs. Any manual changes will be lost.</t>
        </is>
      </c>
    </row>
    <row r="4" ht="20" customHeight="1" s="146">
      <c r="A4" s="164" t="inlineStr">
        <is>
          <t>NORMAL MONTHLY USE — ONE CLICK TO REFRESH</t>
        </is>
      </c>
    </row>
    <row r="5" ht="50" customHeight="1" s="146">
      <c r="A5" s="162" t="inlineStr">
        <is>
          <t>After pasting new data into the Data - Post-Cut Quality tab:  click the Data ribbon at the top of Excel  →  click Refresh All.  This sheet updates automatically. No other action needed.</t>
        </is>
      </c>
    </row>
    <row r="6" ht="18" customHeight="1" s="146">
      <c r="A6" s="163" t="inlineStr">
        <is>
          <t>FIRST-TIME SETUP — complete once only. Not needed for routine monthly use.</t>
        </is>
      </c>
    </row>
    <row r="7" ht="50" customHeight="1" s="146">
      <c r="A7" s="96" t="inlineStr">
        <is>
          <t>Step 1</t>
        </is>
      </c>
      <c r="B7" s="160" t="inlineStr">
        <is>
          <t>In Excel click the Data ribbon → Get Data → Launch Power Query Editor. In the left-hand panel look for a query named "PoleResults". If it exists, setup is already done — close the editor and use Refresh All monthly.</t>
        </is>
      </c>
    </row>
    <row r="8" ht="50" customHeight="1" s="146">
      <c r="A8" s="96" t="inlineStr">
        <is>
          <t>Step 2</t>
        </is>
      </c>
      <c r="B8" s="160" t="inlineStr">
        <is>
          <t>If no PoleResults query exists: in Power Query Editor click New Source → Blank Query. Then click Advanced Editor in the top ribbon. Delete all text in the editor.</t>
        </is>
      </c>
    </row>
    <row r="9" ht="50" customHeight="1" s="146">
      <c r="A9" s="96" t="inlineStr">
        <is>
          <t>Step 3</t>
        </is>
      </c>
      <c r="B9" s="160" t="inlineStr">
        <is>
          <t>Go to the PQ_Code sheet in this workbook. Copy all text in cell A3. Paste it into the Advanced Editor. Click Done. Right-click the new query in the left panel and rename it "PoleResults".</t>
        </is>
      </c>
    </row>
    <row r="10" ht="50" customHeight="1" s="146">
      <c r="A10" s="96" t="inlineStr">
        <is>
          <t>Step 4</t>
        </is>
      </c>
      <c r="B10" s="160" t="inlineStr">
        <is>
          <t>In the Power Query Home ribbon click Close &amp; Load To. Select Existing worksheet, navigate to this Pole Results tab, cell A13. Click Load. Setup is complete. Use Data → Refresh All each month from this point forward.</t>
        </is>
      </c>
    </row>
    <row r="11" ht="16" customHeight="1" s="146">
      <c r="A11" s="159" t="inlineStr">
        <is>
          <t>DATA — auto-refreshed from Data - Post-Cut Quality tab via Power Query</t>
        </is>
      </c>
    </row>
    <row r="12" ht="18" customHeight="1" s="146">
      <c r="A12" s="97" t="inlineStr">
        <is>
          <t>FT On Site</t>
        </is>
      </c>
      <c r="B12" s="98" t="inlineStr">
        <is>
          <t>Inspection Date</t>
        </is>
      </c>
      <c r="C12" s="97" t="inlineStr">
        <is>
          <t>Pole Reference</t>
        </is>
      </c>
      <c r="D12" s="97" t="inlineStr">
        <is>
          <t>Result Detail</t>
        </is>
      </c>
      <c r="E12" s="97" t="inlineStr">
        <is>
          <t>Compliance</t>
        </is>
      </c>
      <c r="F12" s="97" t="inlineStr">
        <is>
          <t>Source Row</t>
        </is>
      </c>
    </row>
    <row r="13">
      <c r="A13" s="99" t="inlineStr">
        <is>
          <t>MAC Tree Surgery and Fencing Ltd</t>
        </is>
      </c>
      <c r="B13" s="100" t="n">
        <v>46113</v>
      </c>
      <c r="C13" s="99" t="inlineStr">
        <is>
          <t>311399-311402-311403-311404-311405-311406</t>
        </is>
      </c>
      <c r="D13" s="99" t="inlineStr">
        <is>
          <t>Compliant</t>
        </is>
      </c>
      <c r="E13" s="101" t="inlineStr">
        <is>
          <t>Compliant</t>
        </is>
      </c>
      <c r="F13" s="99" t="n">
        <v>6</v>
      </c>
    </row>
    <row r="14">
      <c r="A14" s="99" t="inlineStr">
        <is>
          <t>Eastwoodbury Tree Services Ltd</t>
        </is>
      </c>
      <c r="B14" s="100" t="n">
        <v>46113</v>
      </c>
      <c r="C14" s="99" t="inlineStr">
        <is>
          <t>311399-311402-311403-311404-311405-311406</t>
        </is>
      </c>
      <c r="D14" s="99" t="inlineStr">
        <is>
          <t>Compliant</t>
        </is>
      </c>
      <c r="E14" s="101" t="inlineStr">
        <is>
          <t>Compliant</t>
        </is>
      </c>
      <c r="F14" s="99" t="n">
        <v>6</v>
      </c>
    </row>
    <row r="15">
      <c r="A15" s="99" t="inlineStr">
        <is>
          <t>Green Net Eco Ltd</t>
        </is>
      </c>
      <c r="B15" s="100" t="n">
        <v>46129</v>
      </c>
      <c r="C15" s="99" t="inlineStr">
        <is>
          <t>311669</t>
        </is>
      </c>
      <c r="D15" s="99" t="inlineStr">
        <is>
          <t>Compliant</t>
        </is>
      </c>
      <c r="E15" s="101" t="inlineStr">
        <is>
          <t>Compliant</t>
        </is>
      </c>
      <c r="F15" s="99" t="n">
        <v>8</v>
      </c>
    </row>
    <row r="16">
      <c r="A16" s="99" t="inlineStr">
        <is>
          <t>New Leaf Arb Ltd</t>
        </is>
      </c>
      <c r="B16" s="100" t="n">
        <v>46133</v>
      </c>
      <c r="C16" s="99" t="inlineStr">
        <is>
          <t>JDC12B</t>
        </is>
      </c>
      <c r="D16" s="99" t="inlineStr">
        <is>
          <t>Cut Not Compliant with BS3998</t>
        </is>
      </c>
      <c r="E16" s="102" t="inlineStr">
        <is>
          <t>Non-Compliant</t>
        </is>
      </c>
      <c r="F16" s="99" t="n">
        <v>10</v>
      </c>
    </row>
    <row r="17">
      <c r="A17" s="99" t="inlineStr">
        <is>
          <t>New Leaf Arb Ltd</t>
        </is>
      </c>
      <c r="B17" s="100" t="n">
        <v>46133</v>
      </c>
      <c r="C17" s="99" t="inlineStr">
        <is>
          <t>JDC11</t>
        </is>
      </c>
      <c r="D17" s="99" t="inlineStr">
        <is>
          <t>Compliant</t>
        </is>
      </c>
      <c r="E17" s="101" t="inlineStr">
        <is>
          <t>Compliant</t>
        </is>
      </c>
      <c r="F17" s="99" t="n">
        <v>10</v>
      </c>
    </row>
    <row r="18">
      <c r="A18" s="99" t="inlineStr">
        <is>
          <t>New Leaf Arb Ltd</t>
        </is>
      </c>
      <c r="B18" s="100" t="n">
        <v>46133</v>
      </c>
      <c r="C18" s="99" t="inlineStr">
        <is>
          <t>2119800175</t>
        </is>
      </c>
      <c r="D18" s="99" t="inlineStr">
        <is>
          <t>Compliant</t>
        </is>
      </c>
      <c r="E18" s="101" t="inlineStr">
        <is>
          <t>Compliant</t>
        </is>
      </c>
      <c r="F18" s="99" t="n">
        <v>10</v>
      </c>
    </row>
    <row r="19">
      <c r="A19" s="99" t="inlineStr">
        <is>
          <t>New Leaf Arb Ltd</t>
        </is>
      </c>
      <c r="B19" s="100" t="n">
        <v>46133</v>
      </c>
      <c r="C19" s="99" t="inlineStr">
        <is>
          <t>JDCA4</t>
        </is>
      </c>
      <c r="D19" s="99" t="inlineStr">
        <is>
          <t>Compliant</t>
        </is>
      </c>
      <c r="E19" s="101" t="inlineStr">
        <is>
          <t>Compliant</t>
        </is>
      </c>
      <c r="F19" s="99" t="n">
        <v>10</v>
      </c>
    </row>
    <row r="20">
      <c r="A20" s="99" t="inlineStr">
        <is>
          <t>New Leaf Arb Ltd</t>
        </is>
      </c>
      <c r="B20" s="100" t="n">
        <v>46133</v>
      </c>
      <c r="C20" s="99" t="inlineStr">
        <is>
          <t>JDCA5</t>
        </is>
      </c>
      <c r="D20" s="99" t="inlineStr">
        <is>
          <t>Compliant</t>
        </is>
      </c>
      <c r="E20" s="101" t="inlineStr">
        <is>
          <t>Compliant</t>
        </is>
      </c>
      <c r="F20" s="99" t="n">
        <v>10</v>
      </c>
    </row>
    <row r="21">
      <c r="A21" s="99" t="inlineStr">
        <is>
          <t>5112 DE UA Arb Neil Squires</t>
        </is>
      </c>
      <c r="B21" s="100" t="n">
        <v>46134</v>
      </c>
      <c r="C21" s="99" t="inlineStr">
        <is>
          <t>2121500060</t>
        </is>
      </c>
      <c r="D21" s="99" t="inlineStr">
        <is>
          <t>Compliant</t>
        </is>
      </c>
      <c r="E21" s="101" t="inlineStr">
        <is>
          <t>Compliant</t>
        </is>
      </c>
      <c r="F21" s="99" t="n">
        <v>11</v>
      </c>
    </row>
    <row r="22">
      <c r="A22" s="99" t="inlineStr">
        <is>
          <t>M G Tree Surgery Ltd</t>
        </is>
      </c>
      <c r="B22" s="100" t="n">
        <v>46136</v>
      </c>
      <c r="C22" s="99" t="inlineStr">
        <is>
          <t>437805</t>
        </is>
      </c>
      <c r="D22" s="99" t="inlineStr">
        <is>
          <t>Compliant</t>
        </is>
      </c>
      <c r="E22" s="101" t="inlineStr">
        <is>
          <t>Compliant</t>
        </is>
      </c>
      <c r="F22" s="99" t="n">
        <v>12</v>
      </c>
    </row>
    <row r="23">
      <c r="A23" s="99" t="inlineStr">
        <is>
          <t>M G Tree Surgery Ltd</t>
        </is>
      </c>
      <c r="B23" s="100" t="n">
        <v>46136</v>
      </c>
      <c r="C23" s="99" t="inlineStr">
        <is>
          <t>424378</t>
        </is>
      </c>
      <c r="D23" s="99" t="inlineStr">
        <is>
          <t>Compliant</t>
        </is>
      </c>
      <c r="E23" s="101" t="inlineStr">
        <is>
          <t>Compliant</t>
        </is>
      </c>
      <c r="F23" s="99" t="n">
        <v>13</v>
      </c>
    </row>
    <row r="24">
      <c r="A24" s="99" t="inlineStr">
        <is>
          <t>25 I-Green Ltd</t>
        </is>
      </c>
      <c r="B24" s="100" t="n">
        <v>46108</v>
      </c>
      <c r="C24" s="99" t="inlineStr">
        <is>
          <t>1234</t>
        </is>
      </c>
      <c r="D24" s="99" t="inlineStr">
        <is>
          <t>Compliant</t>
        </is>
      </c>
      <c r="E24" s="101" t="inlineStr">
        <is>
          <t>Compliant</t>
        </is>
      </c>
      <c r="F24" s="99" t="n">
        <v>14</v>
      </c>
    </row>
    <row r="25">
      <c r="A25" s="99" t="inlineStr">
        <is>
          <t>25 I-Green Ltd</t>
        </is>
      </c>
      <c r="B25" s="100" t="n">
        <v>46108</v>
      </c>
      <c r="C25" s="99" t="inlineStr">
        <is>
          <t>3212</t>
        </is>
      </c>
      <c r="D25" s="99" t="inlineStr">
        <is>
          <t>Not Cut to Consent</t>
        </is>
      </c>
      <c r="E25" s="102" t="inlineStr">
        <is>
          <t>Non-Compliant</t>
        </is>
      </c>
      <c r="F25" s="99" t="n">
        <v>14</v>
      </c>
    </row>
    <row r="26">
      <c r="A26" s="99" t="inlineStr">
        <is>
          <t>25 I-Green Ltd</t>
        </is>
      </c>
      <c r="B26" s="100" t="n">
        <v>46108</v>
      </c>
      <c r="C26" s="99" t="inlineStr">
        <is>
          <t>9876</t>
        </is>
      </c>
      <c r="D26" s="99" t="inlineStr">
        <is>
          <t>Climbing Vegetation</t>
        </is>
      </c>
      <c r="E26" s="102" t="inlineStr">
        <is>
          <t>Non-Compliant</t>
        </is>
      </c>
      <c r="F26" s="99" t="n">
        <v>14</v>
      </c>
    </row>
    <row r="27">
      <c r="A27" s="99" t="inlineStr">
        <is>
          <t>New Leaf Arb Ltd</t>
        </is>
      </c>
      <c r="B27" s="100" t="n">
        <v>46139</v>
      </c>
      <c r="C27" s="99" t="inlineStr">
        <is>
          <t>JDCE8</t>
        </is>
      </c>
      <c r="D27" s="99" t="inlineStr">
        <is>
          <t>Limited Cuts Recorded</t>
        </is>
      </c>
      <c r="E27" s="102" t="inlineStr">
        <is>
          <t>Non-Compliant</t>
        </is>
      </c>
      <c r="F27" s="99" t="n">
        <v>15</v>
      </c>
    </row>
    <row r="28">
      <c r="A28" s="99" t="inlineStr">
        <is>
          <t>New Leaf Arb Ltd</t>
        </is>
      </c>
      <c r="B28" s="100" t="n">
        <v>46139</v>
      </c>
      <c r="C28" s="99" t="inlineStr">
        <is>
          <t>JDCE6</t>
        </is>
      </c>
      <c r="D28" s="99" t="inlineStr">
        <is>
          <t>Limited Cuts Recorded</t>
        </is>
      </c>
      <c r="E28" s="102" t="inlineStr">
        <is>
          <t>Non-Compliant</t>
        </is>
      </c>
      <c r="F28" s="99" t="n">
        <v>15</v>
      </c>
    </row>
    <row r="29">
      <c r="A29" s="99" t="inlineStr">
        <is>
          <t>New Leaf Arb Ltd</t>
        </is>
      </c>
      <c r="B29" s="100" t="n">
        <v>46139</v>
      </c>
      <c r="C29" s="99" t="inlineStr">
        <is>
          <t>JDCF11</t>
        </is>
      </c>
      <c r="D29" s="99" t="inlineStr">
        <is>
          <t>Compliant</t>
        </is>
      </c>
      <c r="E29" s="101" t="inlineStr">
        <is>
          <t>Compliant</t>
        </is>
      </c>
      <c r="F29" s="99" t="n">
        <v>16</v>
      </c>
    </row>
    <row r="30">
      <c r="A30" s="99" t="inlineStr">
        <is>
          <t>New Leaf Arb Ltd</t>
        </is>
      </c>
      <c r="B30" s="100" t="n">
        <v>46139</v>
      </c>
      <c r="C30" s="99" t="inlineStr">
        <is>
          <t>2127450030</t>
        </is>
      </c>
      <c r="D30" s="99" t="inlineStr">
        <is>
          <t>Compliant</t>
        </is>
      </c>
      <c r="E30" s="101" t="inlineStr">
        <is>
          <t>Compliant</t>
        </is>
      </c>
      <c r="F30" s="99" t="n">
        <v>16</v>
      </c>
    </row>
    <row r="31">
      <c r="A31" s="99" t="inlineStr">
        <is>
          <t>New Leaf Arb Ltd</t>
        </is>
      </c>
      <c r="B31" s="100" t="n">
        <v>46139</v>
      </c>
      <c r="C31" s="99" t="inlineStr">
        <is>
          <t>2127450060</t>
        </is>
      </c>
      <c r="D31" s="99" t="inlineStr">
        <is>
          <t>Compliant</t>
        </is>
      </c>
      <c r="E31" s="101" t="inlineStr">
        <is>
          <t>Compliant</t>
        </is>
      </c>
      <c r="F31" s="99" t="n">
        <v>16</v>
      </c>
    </row>
    <row r="32">
      <c r="A32" s="99" t="inlineStr">
        <is>
          <t>New Leaf Arb Ltd</t>
        </is>
      </c>
      <c r="B32" s="100" t="n">
        <v>46139</v>
      </c>
      <c r="C32" s="99" t="inlineStr">
        <is>
          <t>2127450070</t>
        </is>
      </c>
      <c r="D32" s="99" t="inlineStr">
        <is>
          <t>Compliant</t>
        </is>
      </c>
      <c r="E32" s="101" t="inlineStr">
        <is>
          <t>Compliant</t>
        </is>
      </c>
      <c r="F32" s="99" t="n">
        <v>16</v>
      </c>
    </row>
    <row r="33">
      <c r="A33" s="99" t="n"/>
      <c r="B33" s="99" t="n"/>
      <c r="C33" s="99" t="n"/>
      <c r="D33" s="99" t="n"/>
      <c r="E33" s="99" t="n"/>
      <c r="F33" s="99" t="n"/>
    </row>
    <row r="34">
      <c r="A34" s="99" t="n"/>
      <c r="B34" s="99" t="n"/>
      <c r="C34" s="99" t="n"/>
      <c r="D34" s="99" t="n"/>
      <c r="E34" s="99" t="n"/>
      <c r="F34" s="99" t="n"/>
    </row>
    <row r="35">
      <c r="A35" s="99" t="n"/>
      <c r="B35" s="99" t="n"/>
      <c r="C35" s="99" t="n"/>
      <c r="D35" s="99" t="n"/>
      <c r="E35" s="99" t="n"/>
      <c r="F35" s="99" t="n"/>
    </row>
    <row r="36">
      <c r="A36" s="99" t="n"/>
      <c r="B36" s="99" t="n"/>
      <c r="C36" s="99" t="n"/>
      <c r="D36" s="99" t="n"/>
      <c r="E36" s="99" t="n"/>
      <c r="F36" s="99" t="n"/>
    </row>
    <row r="37">
      <c r="A37" s="99" t="n"/>
      <c r="B37" s="99" t="n"/>
      <c r="C37" s="99" t="n"/>
      <c r="D37" s="99" t="n"/>
      <c r="E37" s="99" t="n"/>
      <c r="F37" s="99" t="n"/>
    </row>
    <row r="38">
      <c r="A38" s="99" t="n"/>
      <c r="B38" s="99" t="n"/>
      <c r="C38" s="99" t="n"/>
      <c r="D38" s="99" t="n"/>
      <c r="E38" s="99" t="n"/>
      <c r="F38" s="99" t="n"/>
    </row>
    <row r="39">
      <c r="A39" s="99" t="n"/>
      <c r="B39" s="99" t="n"/>
      <c r="C39" s="99" t="n"/>
      <c r="D39" s="99" t="n"/>
      <c r="E39" s="99" t="n"/>
      <c r="F39" s="99" t="n"/>
    </row>
    <row r="40">
      <c r="A40" s="99" t="n"/>
      <c r="B40" s="99" t="n"/>
      <c r="C40" s="99" t="n"/>
      <c r="D40" s="99" t="n"/>
      <c r="E40" s="99" t="n"/>
      <c r="F40" s="99" t="n"/>
    </row>
    <row r="41">
      <c r="A41" s="99" t="n"/>
      <c r="B41" s="99" t="n"/>
      <c r="C41" s="99" t="n"/>
      <c r="D41" s="99" t="n"/>
      <c r="E41" s="99" t="n"/>
      <c r="F41" s="99" t="n"/>
    </row>
    <row r="42">
      <c r="A42" s="99" t="n"/>
      <c r="B42" s="99" t="n"/>
      <c r="C42" s="99" t="n"/>
      <c r="D42" s="99" t="n"/>
      <c r="E42" s="99" t="n"/>
      <c r="F42" s="99" t="n"/>
    </row>
    <row r="43">
      <c r="A43" s="99" t="n"/>
      <c r="B43" s="99" t="n"/>
      <c r="C43" s="99" t="n"/>
      <c r="D43" s="99" t="n"/>
      <c r="E43" s="99" t="n"/>
      <c r="F43" s="99" t="n"/>
    </row>
    <row r="44">
      <c r="A44" s="99" t="n"/>
      <c r="B44" s="99" t="n"/>
      <c r="C44" s="99" t="n"/>
      <c r="D44" s="99" t="n"/>
      <c r="E44" s="99" t="n"/>
      <c r="F44" s="99" t="n"/>
    </row>
    <row r="45">
      <c r="A45" s="99" t="n"/>
      <c r="B45" s="99" t="n"/>
      <c r="C45" s="99" t="n"/>
      <c r="D45" s="99" t="n"/>
      <c r="E45" s="99" t="n"/>
      <c r="F45" s="99" t="n"/>
    </row>
    <row r="46">
      <c r="A46" s="99" t="n"/>
      <c r="B46" s="99" t="n"/>
      <c r="C46" s="99" t="n"/>
      <c r="D46" s="99" t="n"/>
      <c r="E46" s="99" t="n"/>
      <c r="F46" s="99" t="n"/>
    </row>
    <row r="47">
      <c r="A47" s="99" t="n"/>
      <c r="B47" s="99" t="n"/>
      <c r="C47" s="99" t="n"/>
      <c r="D47" s="99" t="n"/>
      <c r="E47" s="99" t="n"/>
      <c r="F47" s="99" t="n"/>
    </row>
    <row r="48">
      <c r="A48" s="99" t="n"/>
      <c r="B48" s="99" t="n"/>
      <c r="C48" s="99" t="n"/>
      <c r="D48" s="99" t="n"/>
      <c r="E48" s="99" t="n"/>
      <c r="F48" s="99" t="n"/>
    </row>
    <row r="49">
      <c r="A49" s="99" t="n"/>
      <c r="B49" s="99" t="n"/>
      <c r="C49" s="99" t="n"/>
      <c r="D49" s="99" t="n"/>
      <c r="E49" s="99" t="n"/>
      <c r="F49" s="99" t="n"/>
    </row>
    <row r="50">
      <c r="A50" s="99" t="n"/>
      <c r="B50" s="99" t="n"/>
      <c r="C50" s="99" t="n"/>
      <c r="D50" s="99" t="n"/>
      <c r="E50" s="99" t="n"/>
      <c r="F50" s="99" t="n"/>
    </row>
    <row r="51">
      <c r="A51" s="99" t="n"/>
      <c r="B51" s="99" t="n"/>
      <c r="C51" s="99" t="n"/>
      <c r="D51" s="99" t="n"/>
      <c r="E51" s="99" t="n"/>
      <c r="F51" s="99" t="n"/>
    </row>
    <row r="52">
      <c r="A52" s="99" t="n"/>
      <c r="B52" s="99" t="n"/>
      <c r="C52" s="99" t="n"/>
      <c r="D52" s="99" t="n"/>
      <c r="E52" s="99" t="n"/>
      <c r="F52" s="99" t="n"/>
    </row>
    <row r="53">
      <c r="A53" s="99" t="n"/>
      <c r="B53" s="99" t="n"/>
      <c r="C53" s="99" t="n"/>
      <c r="D53" s="99" t="n"/>
      <c r="E53" s="99" t="n"/>
      <c r="F53" s="99" t="n"/>
    </row>
    <row r="54">
      <c r="A54" s="99" t="n"/>
      <c r="B54" s="99" t="n"/>
      <c r="C54" s="99" t="n"/>
      <c r="D54" s="99" t="n"/>
      <c r="E54" s="99" t="n"/>
      <c r="F54" s="99" t="n"/>
    </row>
    <row r="55">
      <c r="A55" s="99" t="n"/>
      <c r="B55" s="99" t="n"/>
      <c r="C55" s="99" t="n"/>
      <c r="D55" s="99" t="n"/>
      <c r="E55" s="99" t="n"/>
      <c r="F55" s="99" t="n"/>
    </row>
    <row r="56">
      <c r="A56" s="99" t="n"/>
      <c r="B56" s="99" t="n"/>
      <c r="C56" s="99" t="n"/>
      <c r="D56" s="99" t="n"/>
      <c r="E56" s="99" t="n"/>
      <c r="F56" s="99" t="n"/>
    </row>
    <row r="57">
      <c r="A57" s="99" t="n"/>
      <c r="B57" s="99" t="n"/>
      <c r="C57" s="99" t="n"/>
      <c r="D57" s="99" t="n"/>
      <c r="E57" s="99" t="n"/>
      <c r="F57" s="99" t="n"/>
    </row>
    <row r="58">
      <c r="A58" s="99" t="n"/>
      <c r="B58" s="99" t="n"/>
      <c r="C58" s="99" t="n"/>
      <c r="D58" s="99" t="n"/>
      <c r="E58" s="99" t="n"/>
      <c r="F58" s="99" t="n"/>
    </row>
    <row r="59">
      <c r="A59" s="99" t="n"/>
      <c r="B59" s="99" t="n"/>
      <c r="C59" s="99" t="n"/>
      <c r="D59" s="99" t="n"/>
      <c r="E59" s="99" t="n"/>
      <c r="F59" s="99" t="n"/>
    </row>
    <row r="60">
      <c r="A60" s="99" t="n"/>
      <c r="B60" s="99" t="n"/>
      <c r="C60" s="99" t="n"/>
      <c r="D60" s="99" t="n"/>
      <c r="E60" s="99" t="n"/>
      <c r="F60" s="99" t="n"/>
    </row>
    <row r="61">
      <c r="A61" s="99" t="n"/>
      <c r="B61" s="99" t="n"/>
      <c r="C61" s="99" t="n"/>
      <c r="D61" s="99" t="n"/>
      <c r="E61" s="99" t="n"/>
      <c r="F61" s="99" t="n"/>
    </row>
    <row r="62">
      <c r="A62" s="99" t="n"/>
      <c r="B62" s="99" t="n"/>
      <c r="C62" s="99" t="n"/>
      <c r="D62" s="99" t="n"/>
      <c r="E62" s="99" t="n"/>
      <c r="F62" s="99" t="n"/>
    </row>
    <row r="63">
      <c r="A63" s="99" t="n"/>
      <c r="B63" s="99" t="n"/>
      <c r="C63" s="99" t="n"/>
      <c r="D63" s="99" t="n"/>
      <c r="E63" s="99" t="n"/>
      <c r="F63" s="99" t="n"/>
    </row>
    <row r="64">
      <c r="A64" s="99" t="n"/>
      <c r="B64" s="99" t="n"/>
      <c r="C64" s="99" t="n"/>
      <c r="D64" s="99" t="n"/>
      <c r="E64" s="99" t="n"/>
      <c r="F64" s="99" t="n"/>
    </row>
    <row r="65">
      <c r="A65" s="99" t="n"/>
      <c r="B65" s="99" t="n"/>
      <c r="C65" s="99" t="n"/>
      <c r="D65" s="99" t="n"/>
      <c r="E65" s="99" t="n"/>
      <c r="F65" s="99" t="n"/>
    </row>
    <row r="66">
      <c r="A66" s="99" t="n"/>
      <c r="B66" s="99" t="n"/>
      <c r="C66" s="99" t="n"/>
      <c r="D66" s="99" t="n"/>
      <c r="E66" s="99" t="n"/>
      <c r="F66" s="99" t="n"/>
    </row>
    <row r="67">
      <c r="A67" s="99" t="n"/>
      <c r="B67" s="99" t="n"/>
      <c r="C67" s="99" t="n"/>
      <c r="D67" s="99" t="n"/>
      <c r="E67" s="99" t="n"/>
      <c r="F67" s="99" t="n"/>
    </row>
    <row r="68">
      <c r="A68" s="99" t="n"/>
      <c r="B68" s="99" t="n"/>
      <c r="C68" s="99" t="n"/>
      <c r="D68" s="99" t="n"/>
      <c r="E68" s="99" t="n"/>
      <c r="F68" s="99" t="n"/>
    </row>
    <row r="69">
      <c r="A69" s="99" t="n"/>
      <c r="B69" s="99" t="n"/>
      <c r="C69" s="99" t="n"/>
      <c r="D69" s="99" t="n"/>
      <c r="E69" s="99" t="n"/>
      <c r="F69" s="99" t="n"/>
    </row>
    <row r="70">
      <c r="A70" s="99" t="n"/>
      <c r="B70" s="99" t="n"/>
      <c r="C70" s="99" t="n"/>
      <c r="D70" s="99" t="n"/>
      <c r="E70" s="99" t="n"/>
      <c r="F70" s="99" t="n"/>
    </row>
    <row r="71">
      <c r="A71" s="99" t="n"/>
      <c r="B71" s="99" t="n"/>
      <c r="C71" s="99" t="n"/>
      <c r="D71" s="99" t="n"/>
      <c r="E71" s="99" t="n"/>
      <c r="F71" s="99" t="n"/>
    </row>
    <row r="72">
      <c r="A72" s="99" t="n"/>
      <c r="B72" s="99" t="n"/>
      <c r="C72" s="99" t="n"/>
      <c r="D72" s="99" t="n"/>
      <c r="E72" s="99" t="n"/>
      <c r="F72" s="99" t="n"/>
    </row>
    <row r="73">
      <c r="A73" s="99" t="n"/>
      <c r="B73" s="99" t="n"/>
      <c r="C73" s="99" t="n"/>
      <c r="D73" s="99" t="n"/>
      <c r="E73" s="99" t="n"/>
      <c r="F73" s="99" t="n"/>
    </row>
    <row r="74">
      <c r="A74" s="99" t="n"/>
      <c r="B74" s="99" t="n"/>
      <c r="C74" s="99" t="n"/>
      <c r="D74" s="99" t="n"/>
      <c r="E74" s="99" t="n"/>
      <c r="F74" s="99" t="n"/>
    </row>
    <row r="75">
      <c r="A75" s="99" t="n"/>
      <c r="B75" s="99" t="n"/>
      <c r="C75" s="99" t="n"/>
      <c r="D75" s="99" t="n"/>
      <c r="E75" s="99" t="n"/>
      <c r="F75" s="99" t="n"/>
    </row>
    <row r="76">
      <c r="A76" s="99" t="n"/>
      <c r="B76" s="99" t="n"/>
      <c r="C76" s="99" t="n"/>
      <c r="D76" s="99" t="n"/>
      <c r="E76" s="99" t="n"/>
      <c r="F76" s="99" t="n"/>
    </row>
    <row r="77">
      <c r="A77" s="99" t="n"/>
      <c r="B77" s="99" t="n"/>
      <c r="C77" s="99" t="n"/>
      <c r="D77" s="99" t="n"/>
      <c r="E77" s="99" t="n"/>
      <c r="F77" s="99" t="n"/>
    </row>
    <row r="78">
      <c r="A78" s="99" t="n"/>
      <c r="B78" s="99" t="n"/>
      <c r="C78" s="99" t="n"/>
      <c r="D78" s="99" t="n"/>
      <c r="E78" s="99" t="n"/>
      <c r="F78" s="99" t="n"/>
    </row>
    <row r="79">
      <c r="A79" s="99" t="n"/>
      <c r="B79" s="99" t="n"/>
      <c r="C79" s="99" t="n"/>
      <c r="D79" s="99" t="n"/>
      <c r="E79" s="99" t="n"/>
      <c r="F79" s="99" t="n"/>
    </row>
    <row r="80">
      <c r="A80" s="99" t="n"/>
      <c r="B80" s="99" t="n"/>
      <c r="C80" s="99" t="n"/>
      <c r="D80" s="99" t="n"/>
      <c r="E80" s="99" t="n"/>
      <c r="F80" s="99" t="n"/>
    </row>
    <row r="81">
      <c r="A81" s="99" t="n"/>
      <c r="B81" s="99" t="n"/>
      <c r="C81" s="99" t="n"/>
      <c r="D81" s="99" t="n"/>
      <c r="E81" s="99" t="n"/>
      <c r="F81" s="99" t="n"/>
    </row>
    <row r="82">
      <c r="A82" s="99" t="n"/>
      <c r="B82" s="99" t="n"/>
      <c r="C82" s="99" t="n"/>
      <c r="D82" s="99" t="n"/>
      <c r="E82" s="99" t="n"/>
      <c r="F82" s="99" t="n"/>
    </row>
    <row r="83">
      <c r="A83" s="99" t="n"/>
      <c r="B83" s="99" t="n"/>
      <c r="C83" s="99" t="n"/>
      <c r="D83" s="99" t="n"/>
      <c r="E83" s="99" t="n"/>
      <c r="F83" s="99" t="n"/>
    </row>
    <row r="84">
      <c r="A84" s="99" t="n"/>
      <c r="B84" s="99" t="n"/>
      <c r="C84" s="99" t="n"/>
      <c r="D84" s="99" t="n"/>
      <c r="E84" s="99" t="n"/>
      <c r="F84" s="99" t="n"/>
    </row>
    <row r="85">
      <c r="A85" s="99" t="n"/>
      <c r="B85" s="99" t="n"/>
      <c r="C85" s="99" t="n"/>
      <c r="D85" s="99" t="n"/>
      <c r="E85" s="99" t="n"/>
      <c r="F85" s="99" t="n"/>
    </row>
    <row r="86">
      <c r="A86" s="99" t="n"/>
      <c r="B86" s="99" t="n"/>
      <c r="C86" s="99" t="n"/>
      <c r="D86" s="99" t="n"/>
      <c r="E86" s="99" t="n"/>
      <c r="F86" s="99" t="n"/>
    </row>
    <row r="87">
      <c r="A87" s="99" t="n"/>
      <c r="B87" s="99" t="n"/>
      <c r="C87" s="99" t="n"/>
      <c r="D87" s="99" t="n"/>
      <c r="E87" s="99" t="n"/>
      <c r="F87" s="99" t="n"/>
    </row>
    <row r="88">
      <c r="A88" s="99" t="n"/>
      <c r="B88" s="99" t="n"/>
      <c r="C88" s="99" t="n"/>
      <c r="D88" s="99" t="n"/>
      <c r="E88" s="99" t="n"/>
      <c r="F88" s="99" t="n"/>
    </row>
    <row r="89">
      <c r="A89" s="99" t="n"/>
      <c r="B89" s="99" t="n"/>
      <c r="C89" s="99" t="n"/>
      <c r="D89" s="99" t="n"/>
      <c r="E89" s="99" t="n"/>
      <c r="F89" s="99" t="n"/>
    </row>
    <row r="90">
      <c r="A90" s="99" t="n"/>
      <c r="B90" s="99" t="n"/>
      <c r="C90" s="99" t="n"/>
      <c r="D90" s="99" t="n"/>
      <c r="E90" s="99" t="n"/>
      <c r="F90" s="99" t="n"/>
    </row>
    <row r="91">
      <c r="A91" s="99" t="n"/>
      <c r="B91" s="99" t="n"/>
      <c r="C91" s="99" t="n"/>
      <c r="D91" s="99" t="n"/>
      <c r="E91" s="99" t="n"/>
      <c r="F91" s="99" t="n"/>
    </row>
    <row r="92">
      <c r="A92" s="99" t="n"/>
      <c r="B92" s="99" t="n"/>
      <c r="C92" s="99" t="n"/>
      <c r="D92" s="99" t="n"/>
      <c r="E92" s="99" t="n"/>
      <c r="F92" s="99" t="n"/>
    </row>
    <row r="93">
      <c r="A93" s="99" t="n"/>
      <c r="B93" s="99" t="n"/>
      <c r="C93" s="99" t="n"/>
      <c r="D93" s="99" t="n"/>
      <c r="E93" s="99" t="n"/>
      <c r="F93" s="99" t="n"/>
    </row>
    <row r="94">
      <c r="A94" s="99" t="n"/>
      <c r="B94" s="99" t="n"/>
      <c r="C94" s="99" t="n"/>
      <c r="D94" s="99" t="n"/>
      <c r="E94" s="99" t="n"/>
      <c r="F94" s="99" t="n"/>
    </row>
    <row r="95">
      <c r="A95" s="99" t="n"/>
      <c r="B95" s="99" t="n"/>
      <c r="C95" s="99" t="n"/>
      <c r="D95" s="99" t="n"/>
      <c r="E95" s="99" t="n"/>
      <c r="F95" s="99" t="n"/>
    </row>
    <row r="96">
      <c r="A96" s="99" t="n"/>
      <c r="B96" s="99" t="n"/>
      <c r="C96" s="99" t="n"/>
      <c r="D96" s="99" t="n"/>
      <c r="E96" s="99" t="n"/>
      <c r="F96" s="99" t="n"/>
    </row>
    <row r="97">
      <c r="A97" s="99" t="n"/>
      <c r="B97" s="99" t="n"/>
      <c r="C97" s="99" t="n"/>
      <c r="D97" s="99" t="n"/>
      <c r="E97" s="99" t="n"/>
      <c r="F97" s="99" t="n"/>
    </row>
    <row r="98">
      <c r="A98" s="99" t="n"/>
      <c r="B98" s="99" t="n"/>
      <c r="C98" s="99" t="n"/>
      <c r="D98" s="99" t="n"/>
      <c r="E98" s="99" t="n"/>
      <c r="F98" s="99" t="n"/>
    </row>
    <row r="99">
      <c r="A99" s="99" t="n"/>
      <c r="B99" s="99" t="n"/>
      <c r="C99" s="99" t="n"/>
      <c r="D99" s="99" t="n"/>
      <c r="E99" s="99" t="n"/>
      <c r="F99" s="99" t="n"/>
    </row>
    <row r="100">
      <c r="A100" s="99" t="n"/>
      <c r="B100" s="99" t="n"/>
      <c r="C100" s="99" t="n"/>
      <c r="D100" s="99" t="n"/>
      <c r="E100" s="99" t="n"/>
      <c r="F100" s="99" t="n"/>
    </row>
    <row r="101">
      <c r="A101" s="99" t="n"/>
      <c r="B101" s="99" t="n"/>
      <c r="C101" s="99" t="n"/>
      <c r="D101" s="99" t="n"/>
      <c r="E101" s="99" t="n"/>
      <c r="F101" s="99" t="n"/>
    </row>
    <row r="102">
      <c r="A102" s="99" t="n"/>
      <c r="B102" s="99" t="n"/>
      <c r="C102" s="99" t="n"/>
      <c r="D102" s="99" t="n"/>
      <c r="E102" s="99" t="n"/>
      <c r="F102" s="99" t="n"/>
    </row>
    <row r="103">
      <c r="A103" s="99" t="n"/>
      <c r="B103" s="99" t="n"/>
      <c r="C103" s="99" t="n"/>
      <c r="D103" s="99" t="n"/>
      <c r="E103" s="99" t="n"/>
      <c r="F103" s="99" t="n"/>
    </row>
    <row r="104">
      <c r="A104" s="99" t="n"/>
      <c r="B104" s="99" t="n"/>
      <c r="C104" s="99" t="n"/>
      <c r="D104" s="99" t="n"/>
      <c r="E104" s="99" t="n"/>
      <c r="F104" s="99" t="n"/>
    </row>
    <row r="105">
      <c r="A105" s="99" t="n"/>
      <c r="B105" s="99" t="n"/>
      <c r="C105" s="99" t="n"/>
      <c r="D105" s="99" t="n"/>
      <c r="E105" s="99" t="n"/>
      <c r="F105" s="99" t="n"/>
    </row>
    <row r="106">
      <c r="A106" s="99" t="n"/>
      <c r="B106" s="99" t="n"/>
      <c r="C106" s="99" t="n"/>
      <c r="D106" s="99" t="n"/>
      <c r="E106" s="99" t="n"/>
      <c r="F106" s="99" t="n"/>
    </row>
    <row r="107">
      <c r="A107" s="99" t="n"/>
      <c r="B107" s="99" t="n"/>
      <c r="C107" s="99" t="n"/>
      <c r="D107" s="99" t="n"/>
      <c r="E107" s="99" t="n"/>
      <c r="F107" s="99" t="n"/>
    </row>
    <row r="108">
      <c r="A108" s="99" t="n"/>
      <c r="B108" s="99" t="n"/>
      <c r="C108" s="99" t="n"/>
      <c r="D108" s="99" t="n"/>
      <c r="E108" s="99" t="n"/>
      <c r="F108" s="99" t="n"/>
    </row>
    <row r="109">
      <c r="A109" s="99" t="n"/>
      <c r="B109" s="99" t="n"/>
      <c r="C109" s="99" t="n"/>
      <c r="D109" s="99" t="n"/>
      <c r="E109" s="99" t="n"/>
      <c r="F109" s="99" t="n"/>
    </row>
    <row r="110">
      <c r="A110" s="99" t="n"/>
      <c r="B110" s="99" t="n"/>
      <c r="C110" s="99" t="n"/>
      <c r="D110" s="99" t="n"/>
      <c r="E110" s="99" t="n"/>
      <c r="F110" s="99" t="n"/>
    </row>
    <row r="111">
      <c r="A111" s="99" t="n"/>
      <c r="B111" s="99" t="n"/>
      <c r="C111" s="99" t="n"/>
      <c r="D111" s="99" t="n"/>
      <c r="E111" s="99" t="n"/>
      <c r="F111" s="99" t="n"/>
    </row>
    <row r="112">
      <c r="A112" s="99" t="n"/>
      <c r="B112" s="99" t="n"/>
      <c r="C112" s="99" t="n"/>
      <c r="D112" s="99" t="n"/>
      <c r="E112" s="99" t="n"/>
      <c r="F112" s="99" t="n"/>
    </row>
    <row r="113">
      <c r="A113" s="99" t="n"/>
      <c r="B113" s="99" t="n"/>
      <c r="C113" s="99" t="n"/>
      <c r="D113" s="99" t="n"/>
      <c r="E113" s="99" t="n"/>
      <c r="F113" s="99" t="n"/>
    </row>
    <row r="114">
      <c r="A114" s="99" t="n"/>
      <c r="B114" s="99" t="n"/>
      <c r="C114" s="99" t="n"/>
      <c r="D114" s="99" t="n"/>
      <c r="E114" s="99" t="n"/>
      <c r="F114" s="99" t="n"/>
    </row>
    <row r="115">
      <c r="A115" s="99" t="n"/>
      <c r="B115" s="99" t="n"/>
      <c r="C115" s="99" t="n"/>
      <c r="D115" s="99" t="n"/>
      <c r="E115" s="99" t="n"/>
      <c r="F115" s="99" t="n"/>
    </row>
    <row r="116">
      <c r="A116" s="99" t="n"/>
      <c r="B116" s="99" t="n"/>
      <c r="C116" s="99" t="n"/>
      <c r="D116" s="99" t="n"/>
      <c r="E116" s="99" t="n"/>
      <c r="F116" s="99" t="n"/>
    </row>
    <row r="117">
      <c r="A117" s="99" t="n"/>
      <c r="B117" s="99" t="n"/>
      <c r="C117" s="99" t="n"/>
      <c r="D117" s="99" t="n"/>
      <c r="E117" s="99" t="n"/>
      <c r="F117" s="99" t="n"/>
    </row>
    <row r="118">
      <c r="A118" s="99" t="n"/>
      <c r="B118" s="99" t="n"/>
      <c r="C118" s="99" t="n"/>
      <c r="D118" s="99" t="n"/>
      <c r="E118" s="99" t="n"/>
      <c r="F118" s="99" t="n"/>
    </row>
    <row r="119">
      <c r="A119" s="99" t="n"/>
      <c r="B119" s="99" t="n"/>
      <c r="C119" s="99" t="n"/>
      <c r="D119" s="99" t="n"/>
      <c r="E119" s="99" t="n"/>
      <c r="F119" s="99" t="n"/>
    </row>
    <row r="120">
      <c r="A120" s="99" t="n"/>
      <c r="B120" s="99" t="n"/>
      <c r="C120" s="99" t="n"/>
      <c r="D120" s="99" t="n"/>
      <c r="E120" s="99" t="n"/>
      <c r="F120" s="99" t="n"/>
    </row>
    <row r="121">
      <c r="A121" s="99" t="n"/>
      <c r="B121" s="99" t="n"/>
      <c r="C121" s="99" t="n"/>
      <c r="D121" s="99" t="n"/>
      <c r="E121" s="99" t="n"/>
      <c r="F121" s="99" t="n"/>
    </row>
    <row r="122">
      <c r="A122" s="99" t="n"/>
      <c r="B122" s="99" t="n"/>
      <c r="C122" s="99" t="n"/>
      <c r="D122" s="99" t="n"/>
      <c r="E122" s="99" t="n"/>
      <c r="F122" s="99" t="n"/>
    </row>
    <row r="123">
      <c r="A123" s="99" t="n"/>
      <c r="B123" s="99" t="n"/>
      <c r="C123" s="99" t="n"/>
      <c r="D123" s="99" t="n"/>
      <c r="E123" s="99" t="n"/>
      <c r="F123" s="99" t="n"/>
    </row>
    <row r="124">
      <c r="A124" s="99" t="n"/>
      <c r="B124" s="99" t="n"/>
      <c r="C124" s="99" t="n"/>
      <c r="D124" s="99" t="n"/>
      <c r="E124" s="99" t="n"/>
      <c r="F124" s="99" t="n"/>
    </row>
    <row r="125">
      <c r="A125" s="99" t="n"/>
      <c r="B125" s="99" t="n"/>
      <c r="C125" s="99" t="n"/>
      <c r="D125" s="99" t="n"/>
      <c r="E125" s="99" t="n"/>
      <c r="F125" s="99" t="n"/>
    </row>
    <row r="126">
      <c r="A126" s="99" t="n"/>
      <c r="B126" s="99" t="n"/>
      <c r="C126" s="99" t="n"/>
      <c r="D126" s="99" t="n"/>
      <c r="E126" s="99" t="n"/>
      <c r="F126" s="99" t="n"/>
    </row>
    <row r="127">
      <c r="A127" s="99" t="n"/>
      <c r="B127" s="99" t="n"/>
      <c r="C127" s="99" t="n"/>
      <c r="D127" s="99" t="n"/>
      <c r="E127" s="99" t="n"/>
      <c r="F127" s="99" t="n"/>
    </row>
    <row r="128">
      <c r="A128" s="99" t="n"/>
      <c r="B128" s="99" t="n"/>
      <c r="C128" s="99" t="n"/>
      <c r="D128" s="99" t="n"/>
      <c r="E128" s="99" t="n"/>
      <c r="F128" s="99" t="n"/>
    </row>
    <row r="129">
      <c r="A129" s="99" t="n"/>
      <c r="B129" s="99" t="n"/>
      <c r="C129" s="99" t="n"/>
      <c r="D129" s="99" t="n"/>
      <c r="E129" s="99" t="n"/>
      <c r="F129" s="99" t="n"/>
    </row>
    <row r="130">
      <c r="A130" s="99" t="n"/>
      <c r="B130" s="99" t="n"/>
      <c r="C130" s="99" t="n"/>
      <c r="D130" s="99" t="n"/>
      <c r="E130" s="99" t="n"/>
      <c r="F130" s="99" t="n"/>
    </row>
    <row r="131">
      <c r="A131" s="99" t="n"/>
      <c r="B131" s="99" t="n"/>
      <c r="C131" s="99" t="n"/>
      <c r="D131" s="99" t="n"/>
      <c r="E131" s="99" t="n"/>
      <c r="F131" s="99" t="n"/>
    </row>
    <row r="132">
      <c r="A132" s="99" t="n"/>
      <c r="B132" s="99" t="n"/>
      <c r="C132" s="99" t="n"/>
      <c r="D132" s="99" t="n"/>
      <c r="E132" s="99" t="n"/>
      <c r="F132" s="99" t="n"/>
    </row>
    <row r="133">
      <c r="A133" s="99" t="n"/>
      <c r="B133" s="99" t="n"/>
      <c r="C133" s="99" t="n"/>
      <c r="D133" s="99" t="n"/>
      <c r="E133" s="99" t="n"/>
      <c r="F133" s="99" t="n"/>
    </row>
    <row r="134">
      <c r="A134" s="99" t="n"/>
      <c r="B134" s="99" t="n"/>
      <c r="C134" s="99" t="n"/>
      <c r="D134" s="99" t="n"/>
      <c r="E134" s="99" t="n"/>
      <c r="F134" s="99" t="n"/>
    </row>
    <row r="135">
      <c r="A135" s="99" t="n"/>
      <c r="B135" s="99" t="n"/>
      <c r="C135" s="99" t="n"/>
      <c r="D135" s="99" t="n"/>
      <c r="E135" s="99" t="n"/>
      <c r="F135" s="99" t="n"/>
    </row>
    <row r="136">
      <c r="A136" s="99" t="n"/>
      <c r="B136" s="99" t="n"/>
      <c r="C136" s="99" t="n"/>
      <c r="D136" s="99" t="n"/>
      <c r="E136" s="99" t="n"/>
      <c r="F136" s="99" t="n"/>
    </row>
    <row r="137">
      <c r="A137" s="99" t="n"/>
      <c r="B137" s="99" t="n"/>
      <c r="C137" s="99" t="n"/>
      <c r="D137" s="99" t="n"/>
      <c r="E137" s="99" t="n"/>
      <c r="F137" s="99" t="n"/>
    </row>
    <row r="138">
      <c r="A138" s="99" t="n"/>
      <c r="B138" s="99" t="n"/>
      <c r="C138" s="99" t="n"/>
      <c r="D138" s="99" t="n"/>
      <c r="E138" s="99" t="n"/>
      <c r="F138" s="99" t="n"/>
    </row>
    <row r="139">
      <c r="A139" s="99" t="n"/>
      <c r="B139" s="99" t="n"/>
      <c r="C139" s="99" t="n"/>
      <c r="D139" s="99" t="n"/>
      <c r="E139" s="99" t="n"/>
      <c r="F139" s="99" t="n"/>
    </row>
    <row r="140">
      <c r="A140" s="99" t="n"/>
      <c r="B140" s="99" t="n"/>
      <c r="C140" s="99" t="n"/>
      <c r="D140" s="99" t="n"/>
      <c r="E140" s="99" t="n"/>
      <c r="F140" s="99" t="n"/>
    </row>
    <row r="141">
      <c r="A141" s="99" t="n"/>
      <c r="B141" s="99" t="n"/>
      <c r="C141" s="99" t="n"/>
      <c r="D141" s="99" t="n"/>
      <c r="E141" s="99" t="n"/>
      <c r="F141" s="99" t="n"/>
    </row>
    <row r="142">
      <c r="A142" s="99" t="n"/>
      <c r="B142" s="99" t="n"/>
      <c r="C142" s="99" t="n"/>
      <c r="D142" s="99" t="n"/>
      <c r="E142" s="99" t="n"/>
      <c r="F142" s="99" t="n"/>
    </row>
    <row r="143">
      <c r="A143" s="99" t="n"/>
      <c r="B143" s="99" t="n"/>
      <c r="C143" s="99" t="n"/>
      <c r="D143" s="99" t="n"/>
      <c r="E143" s="99" t="n"/>
      <c r="F143" s="99" t="n"/>
    </row>
    <row r="144">
      <c r="A144" s="99" t="n"/>
      <c r="B144" s="99" t="n"/>
      <c r="C144" s="99" t="n"/>
      <c r="D144" s="99" t="n"/>
      <c r="E144" s="99" t="n"/>
      <c r="F144" s="99" t="n"/>
    </row>
    <row r="145">
      <c r="A145" s="99" t="n"/>
      <c r="B145" s="99" t="n"/>
      <c r="C145" s="99" t="n"/>
      <c r="D145" s="99" t="n"/>
      <c r="E145" s="99" t="n"/>
      <c r="F145" s="99" t="n"/>
    </row>
    <row r="146">
      <c r="A146" s="99" t="n"/>
      <c r="B146" s="99" t="n"/>
      <c r="C146" s="99" t="n"/>
      <c r="D146" s="99" t="n"/>
      <c r="E146" s="99" t="n"/>
      <c r="F146" s="99" t="n"/>
    </row>
    <row r="147">
      <c r="A147" s="99" t="n"/>
      <c r="B147" s="99" t="n"/>
      <c r="C147" s="99" t="n"/>
      <c r="D147" s="99" t="n"/>
      <c r="E147" s="99" t="n"/>
      <c r="F147" s="99" t="n"/>
    </row>
    <row r="148">
      <c r="A148" s="99" t="n"/>
      <c r="B148" s="99" t="n"/>
      <c r="C148" s="99" t="n"/>
      <c r="D148" s="99" t="n"/>
      <c r="E148" s="99" t="n"/>
      <c r="F148" s="99" t="n"/>
    </row>
    <row r="149">
      <c r="A149" s="99" t="n"/>
      <c r="B149" s="99" t="n"/>
      <c r="C149" s="99" t="n"/>
      <c r="D149" s="99" t="n"/>
      <c r="E149" s="99" t="n"/>
      <c r="F149" s="99" t="n"/>
    </row>
    <row r="150">
      <c r="A150" s="99" t="n"/>
      <c r="B150" s="99" t="n"/>
      <c r="C150" s="99" t="n"/>
      <c r="D150" s="99" t="n"/>
      <c r="E150" s="99" t="n"/>
      <c r="F150" s="99" t="n"/>
    </row>
    <row r="151">
      <c r="A151" s="99" t="n"/>
      <c r="B151" s="99" t="n"/>
      <c r="C151" s="99" t="n"/>
      <c r="D151" s="99" t="n"/>
      <c r="E151" s="99" t="n"/>
      <c r="F151" s="99" t="n"/>
    </row>
    <row r="152">
      <c r="A152" s="99" t="n"/>
      <c r="B152" s="99" t="n"/>
      <c r="C152" s="99" t="n"/>
      <c r="D152" s="99" t="n"/>
      <c r="E152" s="99" t="n"/>
      <c r="F152" s="99" t="n"/>
    </row>
    <row r="153">
      <c r="A153" s="99" t="n"/>
      <c r="B153" s="99" t="n"/>
      <c r="C153" s="99" t="n"/>
      <c r="D153" s="99" t="n"/>
      <c r="E153" s="99" t="n"/>
      <c r="F153" s="99" t="n"/>
    </row>
    <row r="154">
      <c r="A154" s="99" t="n"/>
      <c r="B154" s="99" t="n"/>
      <c r="C154" s="99" t="n"/>
      <c r="D154" s="99" t="n"/>
      <c r="E154" s="99" t="n"/>
      <c r="F154" s="99" t="n"/>
    </row>
    <row r="155">
      <c r="A155" s="99" t="n"/>
      <c r="B155" s="99" t="n"/>
      <c r="C155" s="99" t="n"/>
      <c r="D155" s="99" t="n"/>
      <c r="E155" s="99" t="n"/>
      <c r="F155" s="99" t="n"/>
    </row>
    <row r="156">
      <c r="A156" s="99" t="n"/>
      <c r="B156" s="99" t="n"/>
      <c r="C156" s="99" t="n"/>
      <c r="D156" s="99" t="n"/>
      <c r="E156" s="99" t="n"/>
      <c r="F156" s="99" t="n"/>
    </row>
    <row r="157">
      <c r="A157" s="99" t="n"/>
      <c r="B157" s="99" t="n"/>
      <c r="C157" s="99" t="n"/>
      <c r="D157" s="99" t="n"/>
      <c r="E157" s="99" t="n"/>
      <c r="F157" s="99" t="n"/>
    </row>
    <row r="158">
      <c r="A158" s="99" t="n"/>
      <c r="B158" s="99" t="n"/>
      <c r="C158" s="99" t="n"/>
      <c r="D158" s="99" t="n"/>
      <c r="E158" s="99" t="n"/>
      <c r="F158" s="99" t="n"/>
    </row>
    <row r="159">
      <c r="A159" s="99" t="n"/>
      <c r="B159" s="99" t="n"/>
      <c r="C159" s="99" t="n"/>
      <c r="D159" s="99" t="n"/>
      <c r="E159" s="99" t="n"/>
      <c r="F159" s="99" t="n"/>
    </row>
    <row r="160">
      <c r="A160" s="99" t="n"/>
      <c r="B160" s="99" t="n"/>
      <c r="C160" s="99" t="n"/>
      <c r="D160" s="99" t="n"/>
      <c r="E160" s="99" t="n"/>
      <c r="F160" s="99" t="n"/>
    </row>
    <row r="161">
      <c r="A161" s="99" t="n"/>
      <c r="B161" s="99" t="n"/>
      <c r="C161" s="99" t="n"/>
      <c r="D161" s="99" t="n"/>
      <c r="E161" s="99" t="n"/>
      <c r="F161" s="99" t="n"/>
    </row>
    <row r="162">
      <c r="A162" s="99" t="n"/>
      <c r="B162" s="99" t="n"/>
      <c r="C162" s="99" t="n"/>
      <c r="D162" s="99" t="n"/>
      <c r="E162" s="99" t="n"/>
      <c r="F162" s="99" t="n"/>
    </row>
    <row r="163">
      <c r="A163" s="99" t="n"/>
      <c r="B163" s="99" t="n"/>
      <c r="C163" s="99" t="n"/>
      <c r="D163" s="99" t="n"/>
      <c r="E163" s="99" t="n"/>
      <c r="F163" s="99" t="n"/>
    </row>
    <row r="164">
      <c r="A164" s="99" t="n"/>
      <c r="B164" s="99" t="n"/>
      <c r="C164" s="99" t="n"/>
      <c r="D164" s="99" t="n"/>
      <c r="E164" s="99" t="n"/>
      <c r="F164" s="99" t="n"/>
    </row>
    <row r="165">
      <c r="A165" s="99" t="n"/>
      <c r="B165" s="99" t="n"/>
      <c r="C165" s="99" t="n"/>
      <c r="D165" s="99" t="n"/>
      <c r="E165" s="99" t="n"/>
      <c r="F165" s="99" t="n"/>
    </row>
    <row r="166">
      <c r="A166" s="99" t="n"/>
      <c r="B166" s="99" t="n"/>
      <c r="C166" s="99" t="n"/>
      <c r="D166" s="99" t="n"/>
      <c r="E166" s="99" t="n"/>
      <c r="F166" s="99" t="n"/>
    </row>
    <row r="167">
      <c r="A167" s="99" t="n"/>
      <c r="B167" s="99" t="n"/>
      <c r="C167" s="99" t="n"/>
      <c r="D167" s="99" t="n"/>
      <c r="E167" s="99" t="n"/>
      <c r="F167" s="99" t="n"/>
    </row>
    <row r="168">
      <c r="A168" s="99" t="n"/>
      <c r="B168" s="99" t="n"/>
      <c r="C168" s="99" t="n"/>
      <c r="D168" s="99" t="n"/>
      <c r="E168" s="99" t="n"/>
      <c r="F168" s="99" t="n"/>
    </row>
    <row r="169">
      <c r="A169" s="99" t="n"/>
      <c r="B169" s="99" t="n"/>
      <c r="C169" s="99" t="n"/>
      <c r="D169" s="99" t="n"/>
      <c r="E169" s="99" t="n"/>
      <c r="F169" s="99" t="n"/>
    </row>
    <row r="170">
      <c r="A170" s="99" t="n"/>
      <c r="B170" s="99" t="n"/>
      <c r="C170" s="99" t="n"/>
      <c r="D170" s="99" t="n"/>
      <c r="E170" s="99" t="n"/>
      <c r="F170" s="99" t="n"/>
    </row>
    <row r="171">
      <c r="A171" s="99" t="n"/>
      <c r="B171" s="99" t="n"/>
      <c r="C171" s="99" t="n"/>
      <c r="D171" s="99" t="n"/>
      <c r="E171" s="99" t="n"/>
      <c r="F171" s="99" t="n"/>
    </row>
    <row r="172">
      <c r="A172" s="99" t="n"/>
      <c r="B172" s="99" t="n"/>
      <c r="C172" s="99" t="n"/>
      <c r="D172" s="99" t="n"/>
      <c r="E172" s="99" t="n"/>
      <c r="F172" s="99" t="n"/>
    </row>
    <row r="173">
      <c r="A173" s="99" t="n"/>
      <c r="B173" s="99" t="n"/>
      <c r="C173" s="99" t="n"/>
      <c r="D173" s="99" t="n"/>
      <c r="E173" s="99" t="n"/>
      <c r="F173" s="99" t="n"/>
    </row>
    <row r="174">
      <c r="A174" s="99" t="n"/>
      <c r="B174" s="99" t="n"/>
      <c r="C174" s="99" t="n"/>
      <c r="D174" s="99" t="n"/>
      <c r="E174" s="99" t="n"/>
      <c r="F174" s="99" t="n"/>
    </row>
    <row r="175">
      <c r="A175" s="99" t="n"/>
      <c r="B175" s="99" t="n"/>
      <c r="C175" s="99" t="n"/>
      <c r="D175" s="99" t="n"/>
      <c r="E175" s="99" t="n"/>
      <c r="F175" s="99" t="n"/>
    </row>
    <row r="176">
      <c r="A176" s="99" t="n"/>
      <c r="B176" s="99" t="n"/>
      <c r="C176" s="99" t="n"/>
      <c r="D176" s="99" t="n"/>
      <c r="E176" s="99" t="n"/>
      <c r="F176" s="99" t="n"/>
    </row>
    <row r="177">
      <c r="A177" s="99" t="n"/>
      <c r="B177" s="99" t="n"/>
      <c r="C177" s="99" t="n"/>
      <c r="D177" s="99" t="n"/>
      <c r="E177" s="99" t="n"/>
      <c r="F177" s="99" t="n"/>
    </row>
    <row r="178">
      <c r="A178" s="99" t="n"/>
      <c r="B178" s="99" t="n"/>
      <c r="C178" s="99" t="n"/>
      <c r="D178" s="99" t="n"/>
      <c r="E178" s="99" t="n"/>
      <c r="F178" s="99" t="n"/>
    </row>
    <row r="179">
      <c r="A179" s="99" t="n"/>
      <c r="B179" s="99" t="n"/>
      <c r="C179" s="99" t="n"/>
      <c r="D179" s="99" t="n"/>
      <c r="E179" s="99" t="n"/>
      <c r="F179" s="99" t="n"/>
    </row>
    <row r="180">
      <c r="A180" s="99" t="n"/>
      <c r="B180" s="99" t="n"/>
      <c r="C180" s="99" t="n"/>
      <c r="D180" s="99" t="n"/>
      <c r="E180" s="99" t="n"/>
      <c r="F180" s="99" t="n"/>
    </row>
    <row r="181">
      <c r="A181" s="99" t="n"/>
      <c r="B181" s="99" t="n"/>
      <c r="C181" s="99" t="n"/>
      <c r="D181" s="99" t="n"/>
      <c r="E181" s="99" t="n"/>
      <c r="F181" s="99" t="n"/>
    </row>
    <row r="182">
      <c r="A182" s="99" t="n"/>
      <c r="B182" s="99" t="n"/>
      <c r="C182" s="99" t="n"/>
      <c r="D182" s="99" t="n"/>
      <c r="E182" s="99" t="n"/>
      <c r="F182" s="99" t="n"/>
    </row>
    <row r="183">
      <c r="A183" s="99" t="n"/>
      <c r="B183" s="99" t="n"/>
      <c r="C183" s="99" t="n"/>
      <c r="D183" s="99" t="n"/>
      <c r="E183" s="99" t="n"/>
      <c r="F183" s="99" t="n"/>
    </row>
    <row r="184">
      <c r="A184" s="99" t="n"/>
      <c r="B184" s="99" t="n"/>
      <c r="C184" s="99" t="n"/>
      <c r="D184" s="99" t="n"/>
      <c r="E184" s="99" t="n"/>
      <c r="F184" s="99" t="n"/>
    </row>
    <row r="185">
      <c r="A185" s="99" t="n"/>
      <c r="B185" s="99" t="n"/>
      <c r="C185" s="99" t="n"/>
      <c r="D185" s="99" t="n"/>
      <c r="E185" s="99" t="n"/>
      <c r="F185" s="99" t="n"/>
    </row>
    <row r="186">
      <c r="A186" s="99" t="n"/>
      <c r="B186" s="99" t="n"/>
      <c r="C186" s="99" t="n"/>
      <c r="D186" s="99" t="n"/>
      <c r="E186" s="99" t="n"/>
      <c r="F186" s="99" t="n"/>
    </row>
    <row r="187">
      <c r="A187" s="99" t="n"/>
      <c r="B187" s="99" t="n"/>
      <c r="C187" s="99" t="n"/>
      <c r="D187" s="99" t="n"/>
      <c r="E187" s="99" t="n"/>
      <c r="F187" s="99" t="n"/>
    </row>
    <row r="188">
      <c r="A188" s="99" t="n"/>
      <c r="B188" s="99" t="n"/>
      <c r="C188" s="99" t="n"/>
      <c r="D188" s="99" t="n"/>
      <c r="E188" s="99" t="n"/>
      <c r="F188" s="99" t="n"/>
    </row>
    <row r="189">
      <c r="A189" s="99" t="n"/>
      <c r="B189" s="99" t="n"/>
      <c r="C189" s="99" t="n"/>
      <c r="D189" s="99" t="n"/>
      <c r="E189" s="99" t="n"/>
      <c r="F189" s="99" t="n"/>
    </row>
    <row r="190">
      <c r="A190" s="99" t="n"/>
      <c r="B190" s="99" t="n"/>
      <c r="C190" s="99" t="n"/>
      <c r="D190" s="99" t="n"/>
      <c r="E190" s="99" t="n"/>
      <c r="F190" s="99" t="n"/>
    </row>
    <row r="191">
      <c r="A191" s="99" t="n"/>
      <c r="B191" s="99" t="n"/>
      <c r="C191" s="99" t="n"/>
      <c r="D191" s="99" t="n"/>
      <c r="E191" s="99" t="n"/>
      <c r="F191" s="99" t="n"/>
    </row>
    <row r="192">
      <c r="A192" s="99" t="n"/>
      <c r="B192" s="99" t="n"/>
      <c r="C192" s="99" t="n"/>
      <c r="D192" s="99" t="n"/>
      <c r="E192" s="99" t="n"/>
      <c r="F192" s="99" t="n"/>
    </row>
    <row r="193">
      <c r="A193" s="99" t="n"/>
      <c r="B193" s="99" t="n"/>
      <c r="C193" s="99" t="n"/>
      <c r="D193" s="99" t="n"/>
      <c r="E193" s="99" t="n"/>
      <c r="F193" s="99" t="n"/>
    </row>
    <row r="194">
      <c r="A194" s="99" t="n"/>
      <c r="B194" s="99" t="n"/>
      <c r="C194" s="99" t="n"/>
      <c r="D194" s="99" t="n"/>
      <c r="E194" s="99" t="n"/>
      <c r="F194" s="99" t="n"/>
    </row>
    <row r="195">
      <c r="A195" s="99" t="n"/>
      <c r="B195" s="99" t="n"/>
      <c r="C195" s="99" t="n"/>
      <c r="D195" s="99" t="n"/>
      <c r="E195" s="99" t="n"/>
      <c r="F195" s="99" t="n"/>
    </row>
    <row r="196">
      <c r="A196" s="99" t="n"/>
      <c r="B196" s="99" t="n"/>
      <c r="C196" s="99" t="n"/>
      <c r="D196" s="99" t="n"/>
      <c r="E196" s="99" t="n"/>
      <c r="F196" s="99" t="n"/>
    </row>
    <row r="197">
      <c r="A197" s="99" t="n"/>
      <c r="B197" s="99" t="n"/>
      <c r="C197" s="99" t="n"/>
      <c r="D197" s="99" t="n"/>
      <c r="E197" s="99" t="n"/>
      <c r="F197" s="99" t="n"/>
    </row>
    <row r="198">
      <c r="A198" s="99" t="n"/>
      <c r="B198" s="99" t="n"/>
      <c r="C198" s="99" t="n"/>
      <c r="D198" s="99" t="n"/>
      <c r="E198" s="99" t="n"/>
      <c r="F198" s="99" t="n"/>
    </row>
    <row r="199">
      <c r="A199" s="99" t="n"/>
      <c r="B199" s="99" t="n"/>
      <c r="C199" s="99" t="n"/>
      <c r="D199" s="99" t="n"/>
      <c r="E199" s="99" t="n"/>
      <c r="F199" s="99" t="n"/>
    </row>
    <row r="200">
      <c r="A200" s="99" t="n"/>
      <c r="B200" s="99" t="n"/>
      <c r="C200" s="99" t="n"/>
      <c r="D200" s="99" t="n"/>
      <c r="E200" s="99" t="n"/>
      <c r="F200" s="99" t="n"/>
    </row>
    <row r="201">
      <c r="A201" s="99" t="n"/>
      <c r="B201" s="99" t="n"/>
      <c r="C201" s="99" t="n"/>
      <c r="D201" s="99" t="n"/>
      <c r="E201" s="99" t="n"/>
      <c r="F201" s="99" t="n"/>
    </row>
    <row r="202">
      <c r="A202" s="99" t="n"/>
      <c r="B202" s="99" t="n"/>
      <c r="C202" s="99" t="n"/>
      <c r="D202" s="99" t="n"/>
      <c r="E202" s="99" t="n"/>
      <c r="F202" s="99" t="n"/>
    </row>
    <row r="203">
      <c r="A203" s="99" t="n"/>
      <c r="B203" s="99" t="n"/>
      <c r="C203" s="99" t="n"/>
      <c r="D203" s="99" t="n"/>
      <c r="E203" s="99" t="n"/>
      <c r="F203" s="99" t="n"/>
    </row>
    <row r="204">
      <c r="A204" s="99" t="n"/>
      <c r="B204" s="99" t="n"/>
      <c r="C204" s="99" t="n"/>
      <c r="D204" s="99" t="n"/>
      <c r="E204" s="99" t="n"/>
      <c r="F204" s="99" t="n"/>
    </row>
    <row r="205">
      <c r="A205" s="99" t="n"/>
      <c r="B205" s="99" t="n"/>
      <c r="C205" s="99" t="n"/>
      <c r="D205" s="99" t="n"/>
      <c r="E205" s="99" t="n"/>
      <c r="F205" s="99" t="n"/>
    </row>
    <row r="206">
      <c r="A206" s="99" t="n"/>
      <c r="B206" s="99" t="n"/>
      <c r="C206" s="99" t="n"/>
      <c r="D206" s="99" t="n"/>
      <c r="E206" s="99" t="n"/>
      <c r="F206" s="99" t="n"/>
    </row>
    <row r="207">
      <c r="A207" s="99" t="n"/>
      <c r="B207" s="99" t="n"/>
      <c r="C207" s="99" t="n"/>
      <c r="D207" s="99" t="n"/>
      <c r="E207" s="99" t="n"/>
      <c r="F207" s="99" t="n"/>
    </row>
    <row r="208">
      <c r="A208" s="99" t="n"/>
      <c r="B208" s="99" t="n"/>
      <c r="C208" s="99" t="n"/>
      <c r="D208" s="99" t="n"/>
      <c r="E208" s="99" t="n"/>
      <c r="F208" s="99" t="n"/>
    </row>
    <row r="209">
      <c r="A209" s="99" t="n"/>
      <c r="B209" s="99" t="n"/>
      <c r="C209" s="99" t="n"/>
      <c r="D209" s="99" t="n"/>
      <c r="E209" s="99" t="n"/>
      <c r="F209" s="99" t="n"/>
    </row>
    <row r="210">
      <c r="A210" s="99" t="n"/>
      <c r="B210" s="99" t="n"/>
      <c r="C210" s="99" t="n"/>
      <c r="D210" s="99" t="n"/>
      <c r="E210" s="99" t="n"/>
      <c r="F210" s="99" t="n"/>
    </row>
    <row r="211">
      <c r="A211" s="99" t="n"/>
      <c r="B211" s="99" t="n"/>
      <c r="C211" s="99" t="n"/>
      <c r="D211" s="99" t="n"/>
      <c r="E211" s="99" t="n"/>
      <c r="F211" s="99" t="n"/>
    </row>
    <row r="212">
      <c r="A212" s="99" t="n"/>
      <c r="B212" s="99" t="n"/>
      <c r="C212" s="99" t="n"/>
      <c r="D212" s="99" t="n"/>
      <c r="E212" s="99" t="n"/>
      <c r="F212" s="99" t="n"/>
    </row>
    <row r="213">
      <c r="A213" s="99" t="n"/>
      <c r="B213" s="99" t="n"/>
      <c r="C213" s="99" t="n"/>
      <c r="D213" s="99" t="n"/>
      <c r="E213" s="99" t="n"/>
      <c r="F213" s="99" t="n"/>
    </row>
    <row r="214">
      <c r="A214" s="99" t="n"/>
      <c r="B214" s="99" t="n"/>
      <c r="C214" s="99" t="n"/>
      <c r="D214" s="99" t="n"/>
      <c r="E214" s="99" t="n"/>
      <c r="F214" s="99" t="n"/>
    </row>
    <row r="215">
      <c r="A215" s="99" t="n"/>
      <c r="B215" s="99" t="n"/>
      <c r="C215" s="99" t="n"/>
      <c r="D215" s="99" t="n"/>
      <c r="E215" s="99" t="n"/>
      <c r="F215" s="99" t="n"/>
    </row>
    <row r="216">
      <c r="A216" s="99" t="n"/>
      <c r="B216" s="99" t="n"/>
      <c r="C216" s="99" t="n"/>
      <c r="D216" s="99" t="n"/>
      <c r="E216" s="99" t="n"/>
      <c r="F216" s="99" t="n"/>
    </row>
    <row r="217">
      <c r="A217" s="99" t="n"/>
      <c r="B217" s="99" t="n"/>
      <c r="C217" s="99" t="n"/>
      <c r="D217" s="99" t="n"/>
      <c r="E217" s="99" t="n"/>
      <c r="F217" s="99" t="n"/>
    </row>
    <row r="218">
      <c r="A218" s="99" t="n"/>
      <c r="B218" s="99" t="n"/>
      <c r="C218" s="99" t="n"/>
      <c r="D218" s="99" t="n"/>
      <c r="E218" s="99" t="n"/>
      <c r="F218" s="99" t="n"/>
    </row>
    <row r="219">
      <c r="A219" s="99" t="n"/>
      <c r="B219" s="99" t="n"/>
      <c r="C219" s="99" t="n"/>
      <c r="D219" s="99" t="n"/>
      <c r="E219" s="99" t="n"/>
      <c r="F219" s="99" t="n"/>
    </row>
    <row r="220">
      <c r="A220" s="99" t="n"/>
      <c r="B220" s="99" t="n"/>
      <c r="C220" s="99" t="n"/>
      <c r="D220" s="99" t="n"/>
      <c r="E220" s="99" t="n"/>
      <c r="F220" s="99" t="n"/>
    </row>
    <row r="221">
      <c r="A221" s="99" t="n"/>
      <c r="B221" s="99" t="n"/>
      <c r="C221" s="99" t="n"/>
      <c r="D221" s="99" t="n"/>
      <c r="E221" s="99" t="n"/>
      <c r="F221" s="99" t="n"/>
    </row>
    <row r="222">
      <c r="A222" s="99" t="n"/>
      <c r="B222" s="99" t="n"/>
      <c r="C222" s="99" t="n"/>
      <c r="D222" s="99" t="n"/>
      <c r="E222" s="99" t="n"/>
      <c r="F222" s="99" t="n"/>
    </row>
    <row r="223">
      <c r="A223" s="99" t="n"/>
      <c r="B223" s="99" t="n"/>
      <c r="C223" s="99" t="n"/>
      <c r="D223" s="99" t="n"/>
      <c r="E223" s="99" t="n"/>
      <c r="F223" s="99" t="n"/>
    </row>
    <row r="224">
      <c r="A224" s="99" t="n"/>
      <c r="B224" s="99" t="n"/>
      <c r="C224" s="99" t="n"/>
      <c r="D224" s="99" t="n"/>
      <c r="E224" s="99" t="n"/>
      <c r="F224" s="99" t="n"/>
    </row>
    <row r="225">
      <c r="A225" s="99" t="n"/>
      <c r="B225" s="99" t="n"/>
      <c r="C225" s="99" t="n"/>
      <c r="D225" s="99" t="n"/>
      <c r="E225" s="99" t="n"/>
      <c r="F225" s="99" t="n"/>
    </row>
    <row r="226">
      <c r="A226" s="99" t="n"/>
      <c r="B226" s="99" t="n"/>
      <c r="C226" s="99" t="n"/>
      <c r="D226" s="99" t="n"/>
      <c r="E226" s="99" t="n"/>
      <c r="F226" s="99" t="n"/>
    </row>
    <row r="227">
      <c r="A227" s="99" t="n"/>
      <c r="B227" s="99" t="n"/>
      <c r="C227" s="99" t="n"/>
      <c r="D227" s="99" t="n"/>
      <c r="E227" s="99" t="n"/>
      <c r="F227" s="99" t="n"/>
    </row>
    <row r="228">
      <c r="A228" s="99" t="n"/>
      <c r="B228" s="99" t="n"/>
      <c r="C228" s="99" t="n"/>
      <c r="D228" s="99" t="n"/>
      <c r="E228" s="99" t="n"/>
      <c r="F228" s="99" t="n"/>
    </row>
    <row r="229">
      <c r="A229" s="99" t="n"/>
      <c r="B229" s="99" t="n"/>
      <c r="C229" s="99" t="n"/>
      <c r="D229" s="99" t="n"/>
      <c r="E229" s="99" t="n"/>
      <c r="F229" s="99" t="n"/>
    </row>
    <row r="230">
      <c r="A230" s="99" t="n"/>
      <c r="B230" s="99" t="n"/>
      <c r="C230" s="99" t="n"/>
      <c r="D230" s="99" t="n"/>
      <c r="E230" s="99" t="n"/>
      <c r="F230" s="99" t="n"/>
    </row>
    <row r="231">
      <c r="A231" s="99" t="n"/>
      <c r="B231" s="99" t="n"/>
      <c r="C231" s="99" t="n"/>
      <c r="D231" s="99" t="n"/>
      <c r="E231" s="99" t="n"/>
      <c r="F231" s="99" t="n"/>
    </row>
    <row r="232">
      <c r="A232" s="99" t="n"/>
      <c r="B232" s="99" t="n"/>
      <c r="C232" s="99" t="n"/>
      <c r="D232" s="99" t="n"/>
      <c r="E232" s="99" t="n"/>
      <c r="F232" s="99" t="n"/>
    </row>
    <row r="233">
      <c r="A233" s="99" t="n"/>
      <c r="B233" s="99" t="n"/>
      <c r="C233" s="99" t="n"/>
      <c r="D233" s="99" t="n"/>
      <c r="E233" s="99" t="n"/>
      <c r="F233" s="99" t="n"/>
    </row>
    <row r="234">
      <c r="A234" s="99" t="n"/>
      <c r="B234" s="99" t="n"/>
      <c r="C234" s="99" t="n"/>
      <c r="D234" s="99" t="n"/>
      <c r="E234" s="99" t="n"/>
      <c r="F234" s="99" t="n"/>
    </row>
    <row r="235">
      <c r="A235" s="99" t="n"/>
      <c r="B235" s="99" t="n"/>
      <c r="C235" s="99" t="n"/>
      <c r="D235" s="99" t="n"/>
      <c r="E235" s="99" t="n"/>
      <c r="F235" s="99" t="n"/>
    </row>
    <row r="236">
      <c r="A236" s="99" t="n"/>
      <c r="B236" s="99" t="n"/>
      <c r="C236" s="99" t="n"/>
      <c r="D236" s="99" t="n"/>
      <c r="E236" s="99" t="n"/>
      <c r="F236" s="99" t="n"/>
    </row>
    <row r="237">
      <c r="A237" s="99" t="n"/>
      <c r="B237" s="99" t="n"/>
      <c r="C237" s="99" t="n"/>
      <c r="D237" s="99" t="n"/>
      <c r="E237" s="99" t="n"/>
      <c r="F237" s="99" t="n"/>
    </row>
    <row r="238">
      <c r="A238" s="99" t="n"/>
      <c r="B238" s="99" t="n"/>
      <c r="C238" s="99" t="n"/>
      <c r="D238" s="99" t="n"/>
      <c r="E238" s="99" t="n"/>
      <c r="F238" s="99" t="n"/>
    </row>
    <row r="239">
      <c r="A239" s="99" t="n"/>
      <c r="B239" s="99" t="n"/>
      <c r="C239" s="99" t="n"/>
      <c r="D239" s="99" t="n"/>
      <c r="E239" s="99" t="n"/>
      <c r="F239" s="99" t="n"/>
    </row>
    <row r="240">
      <c r="A240" s="99" t="n"/>
      <c r="B240" s="99" t="n"/>
      <c r="C240" s="99" t="n"/>
      <c r="D240" s="99" t="n"/>
      <c r="E240" s="99" t="n"/>
      <c r="F240" s="99" t="n"/>
    </row>
    <row r="241">
      <c r="A241" s="99" t="n"/>
      <c r="B241" s="99" t="n"/>
      <c r="C241" s="99" t="n"/>
      <c r="D241" s="99" t="n"/>
      <c r="E241" s="99" t="n"/>
      <c r="F241" s="99" t="n"/>
    </row>
    <row r="242">
      <c r="A242" s="99" t="n"/>
      <c r="B242" s="99" t="n"/>
      <c r="C242" s="99" t="n"/>
      <c r="D242" s="99" t="n"/>
      <c r="E242" s="99" t="n"/>
      <c r="F242" s="99" t="n"/>
    </row>
    <row r="243">
      <c r="A243" s="99" t="n"/>
      <c r="B243" s="99" t="n"/>
      <c r="C243" s="99" t="n"/>
      <c r="D243" s="99" t="n"/>
      <c r="E243" s="99" t="n"/>
      <c r="F243" s="99" t="n"/>
    </row>
    <row r="244">
      <c r="A244" s="99" t="n"/>
      <c r="B244" s="99" t="n"/>
      <c r="C244" s="99" t="n"/>
      <c r="D244" s="99" t="n"/>
      <c r="E244" s="99" t="n"/>
      <c r="F244" s="99" t="n"/>
    </row>
    <row r="245">
      <c r="A245" s="99" t="n"/>
      <c r="B245" s="99" t="n"/>
      <c r="C245" s="99" t="n"/>
      <c r="D245" s="99" t="n"/>
      <c r="E245" s="99" t="n"/>
      <c r="F245" s="99" t="n"/>
    </row>
    <row r="246">
      <c r="A246" s="99" t="n"/>
      <c r="B246" s="99" t="n"/>
      <c r="C246" s="99" t="n"/>
      <c r="D246" s="99" t="n"/>
      <c r="E246" s="99" t="n"/>
      <c r="F246" s="99" t="n"/>
    </row>
    <row r="247">
      <c r="A247" s="99" t="n"/>
      <c r="B247" s="99" t="n"/>
      <c r="C247" s="99" t="n"/>
      <c r="D247" s="99" t="n"/>
      <c r="E247" s="99" t="n"/>
      <c r="F247" s="99" t="n"/>
    </row>
    <row r="248">
      <c r="A248" s="99" t="n"/>
      <c r="B248" s="99" t="n"/>
      <c r="C248" s="99" t="n"/>
      <c r="D248" s="99" t="n"/>
      <c r="E248" s="99" t="n"/>
      <c r="F248" s="99" t="n"/>
    </row>
    <row r="249">
      <c r="A249" s="99" t="n"/>
      <c r="B249" s="99" t="n"/>
      <c r="C249" s="99" t="n"/>
      <c r="D249" s="99" t="n"/>
      <c r="E249" s="99" t="n"/>
      <c r="F249" s="99" t="n"/>
    </row>
    <row r="250">
      <c r="A250" s="99" t="n"/>
      <c r="B250" s="99" t="n"/>
      <c r="C250" s="99" t="n"/>
      <c r="D250" s="99" t="n"/>
      <c r="E250" s="99" t="n"/>
      <c r="F250" s="99" t="n"/>
    </row>
    <row r="251">
      <c r="A251" s="99" t="n"/>
      <c r="B251" s="99" t="n"/>
      <c r="C251" s="99" t="n"/>
      <c r="D251" s="99" t="n"/>
      <c r="E251" s="99" t="n"/>
      <c r="F251" s="99" t="n"/>
    </row>
    <row r="252">
      <c r="A252" s="99" t="n"/>
      <c r="B252" s="99" t="n"/>
      <c r="C252" s="99" t="n"/>
      <c r="D252" s="99" t="n"/>
      <c r="E252" s="99" t="n"/>
      <c r="F252" s="99" t="n"/>
    </row>
    <row r="253">
      <c r="A253" s="99" t="n"/>
      <c r="B253" s="99" t="n"/>
      <c r="C253" s="99" t="n"/>
      <c r="D253" s="99" t="n"/>
      <c r="E253" s="99" t="n"/>
      <c r="F253" s="99" t="n"/>
    </row>
    <row r="254">
      <c r="A254" s="99" t="n"/>
      <c r="B254" s="99" t="n"/>
      <c r="C254" s="99" t="n"/>
      <c r="D254" s="99" t="n"/>
      <c r="E254" s="99" t="n"/>
      <c r="F254" s="99" t="n"/>
    </row>
    <row r="255">
      <c r="A255" s="99" t="n"/>
      <c r="B255" s="99" t="n"/>
      <c r="C255" s="99" t="n"/>
      <c r="D255" s="99" t="n"/>
      <c r="E255" s="99" t="n"/>
      <c r="F255" s="99" t="n"/>
    </row>
    <row r="256">
      <c r="A256" s="99" t="n"/>
      <c r="B256" s="99" t="n"/>
      <c r="C256" s="99" t="n"/>
      <c r="D256" s="99" t="n"/>
      <c r="E256" s="99" t="n"/>
      <c r="F256" s="99" t="n"/>
    </row>
    <row r="257">
      <c r="A257" s="99" t="n"/>
      <c r="B257" s="99" t="n"/>
      <c r="C257" s="99" t="n"/>
      <c r="D257" s="99" t="n"/>
      <c r="E257" s="99" t="n"/>
      <c r="F257" s="99" t="n"/>
    </row>
    <row r="258">
      <c r="A258" s="99" t="n"/>
      <c r="B258" s="99" t="n"/>
      <c r="C258" s="99" t="n"/>
      <c r="D258" s="99" t="n"/>
      <c r="E258" s="99" t="n"/>
      <c r="F258" s="99" t="n"/>
    </row>
    <row r="259">
      <c r="A259" s="99" t="n"/>
      <c r="B259" s="99" t="n"/>
      <c r="C259" s="99" t="n"/>
      <c r="D259" s="99" t="n"/>
      <c r="E259" s="99" t="n"/>
      <c r="F259" s="99" t="n"/>
    </row>
    <row r="260">
      <c r="A260" s="99" t="n"/>
      <c r="B260" s="99" t="n"/>
      <c r="C260" s="99" t="n"/>
      <c r="D260" s="99" t="n"/>
      <c r="E260" s="99" t="n"/>
      <c r="F260" s="99" t="n"/>
    </row>
    <row r="261">
      <c r="A261" s="99" t="n"/>
      <c r="B261" s="99" t="n"/>
      <c r="C261" s="99" t="n"/>
      <c r="D261" s="99" t="n"/>
      <c r="E261" s="99" t="n"/>
      <c r="F261" s="99" t="n"/>
    </row>
    <row r="262">
      <c r="A262" s="99" t="n"/>
      <c r="B262" s="99" t="n"/>
      <c r="C262" s="99" t="n"/>
      <c r="D262" s="99" t="n"/>
      <c r="E262" s="99" t="n"/>
      <c r="F262" s="99" t="n"/>
    </row>
    <row r="263">
      <c r="A263" s="99" t="n"/>
      <c r="B263" s="99" t="n"/>
      <c r="C263" s="99" t="n"/>
      <c r="D263" s="99" t="n"/>
      <c r="E263" s="99" t="n"/>
      <c r="F263" s="99" t="n"/>
    </row>
    <row r="264">
      <c r="A264" s="99" t="n"/>
      <c r="B264" s="99" t="n"/>
      <c r="C264" s="99" t="n"/>
      <c r="D264" s="99" t="n"/>
      <c r="E264" s="99" t="n"/>
      <c r="F264" s="99" t="n"/>
    </row>
    <row r="265">
      <c r="A265" s="99" t="n"/>
      <c r="B265" s="99" t="n"/>
      <c r="C265" s="99" t="n"/>
      <c r="D265" s="99" t="n"/>
      <c r="E265" s="99" t="n"/>
      <c r="F265" s="99" t="n"/>
    </row>
    <row r="266">
      <c r="A266" s="99" t="n"/>
      <c r="B266" s="99" t="n"/>
      <c r="C266" s="99" t="n"/>
      <c r="D266" s="99" t="n"/>
      <c r="E266" s="99" t="n"/>
      <c r="F266" s="99" t="n"/>
    </row>
    <row r="267">
      <c r="A267" s="99" t="n"/>
      <c r="B267" s="99" t="n"/>
      <c r="C267" s="99" t="n"/>
      <c r="D267" s="99" t="n"/>
      <c r="E267" s="99" t="n"/>
      <c r="F267" s="99" t="n"/>
    </row>
    <row r="268">
      <c r="A268" s="99" t="n"/>
      <c r="B268" s="99" t="n"/>
      <c r="C268" s="99" t="n"/>
      <c r="D268" s="99" t="n"/>
      <c r="E268" s="99" t="n"/>
      <c r="F268" s="99" t="n"/>
    </row>
    <row r="269">
      <c r="A269" s="99" t="n"/>
      <c r="B269" s="99" t="n"/>
      <c r="C269" s="99" t="n"/>
      <c r="D269" s="99" t="n"/>
      <c r="E269" s="99" t="n"/>
      <c r="F269" s="99" t="n"/>
    </row>
    <row r="270">
      <c r="A270" s="99" t="n"/>
      <c r="B270" s="99" t="n"/>
      <c r="C270" s="99" t="n"/>
      <c r="D270" s="99" t="n"/>
      <c r="E270" s="99" t="n"/>
      <c r="F270" s="99" t="n"/>
    </row>
    <row r="271">
      <c r="A271" s="99" t="n"/>
      <c r="B271" s="99" t="n"/>
      <c r="C271" s="99" t="n"/>
      <c r="D271" s="99" t="n"/>
      <c r="E271" s="99" t="n"/>
      <c r="F271" s="99" t="n"/>
    </row>
    <row r="272">
      <c r="A272" s="99" t="n"/>
      <c r="B272" s="99" t="n"/>
      <c r="C272" s="99" t="n"/>
      <c r="D272" s="99" t="n"/>
      <c r="E272" s="99" t="n"/>
      <c r="F272" s="99" t="n"/>
    </row>
    <row r="273">
      <c r="A273" s="99" t="n"/>
      <c r="B273" s="99" t="n"/>
      <c r="C273" s="99" t="n"/>
      <c r="D273" s="99" t="n"/>
      <c r="E273" s="99" t="n"/>
      <c r="F273" s="99" t="n"/>
    </row>
    <row r="274">
      <c r="A274" s="99" t="n"/>
      <c r="B274" s="99" t="n"/>
      <c r="C274" s="99" t="n"/>
      <c r="D274" s="99" t="n"/>
      <c r="E274" s="99" t="n"/>
      <c r="F274" s="99" t="n"/>
    </row>
    <row r="275">
      <c r="A275" s="99" t="n"/>
      <c r="B275" s="99" t="n"/>
      <c r="C275" s="99" t="n"/>
      <c r="D275" s="99" t="n"/>
      <c r="E275" s="99" t="n"/>
      <c r="F275" s="99" t="n"/>
    </row>
    <row r="276">
      <c r="A276" s="99" t="n"/>
      <c r="B276" s="99" t="n"/>
      <c r="C276" s="99" t="n"/>
      <c r="D276" s="99" t="n"/>
      <c r="E276" s="99" t="n"/>
      <c r="F276" s="99" t="n"/>
    </row>
    <row r="277">
      <c r="A277" s="99" t="n"/>
      <c r="B277" s="99" t="n"/>
      <c r="C277" s="99" t="n"/>
      <c r="D277" s="99" t="n"/>
      <c r="E277" s="99" t="n"/>
      <c r="F277" s="99" t="n"/>
    </row>
    <row r="278">
      <c r="A278" s="99" t="n"/>
      <c r="B278" s="99" t="n"/>
      <c r="C278" s="99" t="n"/>
      <c r="D278" s="99" t="n"/>
      <c r="E278" s="99" t="n"/>
      <c r="F278" s="99" t="n"/>
    </row>
    <row r="279">
      <c r="A279" s="99" t="n"/>
      <c r="B279" s="99" t="n"/>
      <c r="C279" s="99" t="n"/>
      <c r="D279" s="99" t="n"/>
      <c r="E279" s="99" t="n"/>
      <c r="F279" s="99" t="n"/>
    </row>
    <row r="280">
      <c r="A280" s="99" t="n"/>
      <c r="B280" s="99" t="n"/>
      <c r="C280" s="99" t="n"/>
      <c r="D280" s="99" t="n"/>
      <c r="E280" s="99" t="n"/>
      <c r="F280" s="99" t="n"/>
    </row>
    <row r="281">
      <c r="A281" s="99" t="n"/>
      <c r="B281" s="99" t="n"/>
      <c r="C281" s="99" t="n"/>
      <c r="D281" s="99" t="n"/>
      <c r="E281" s="99" t="n"/>
      <c r="F281" s="99" t="n"/>
    </row>
    <row r="282">
      <c r="A282" s="99" t="n"/>
      <c r="B282" s="99" t="n"/>
      <c r="C282" s="99" t="n"/>
      <c r="D282" s="99" t="n"/>
      <c r="E282" s="99" t="n"/>
      <c r="F282" s="99" t="n"/>
    </row>
    <row r="283">
      <c r="A283" s="99" t="n"/>
      <c r="B283" s="99" t="n"/>
      <c r="C283" s="99" t="n"/>
      <c r="D283" s="99" t="n"/>
      <c r="E283" s="99" t="n"/>
      <c r="F283" s="99" t="n"/>
    </row>
    <row r="284">
      <c r="A284" s="99" t="n"/>
      <c r="B284" s="99" t="n"/>
      <c r="C284" s="99" t="n"/>
      <c r="D284" s="99" t="n"/>
      <c r="E284" s="99" t="n"/>
      <c r="F284" s="99" t="n"/>
    </row>
    <row r="285">
      <c r="A285" s="99" t="n"/>
      <c r="B285" s="99" t="n"/>
      <c r="C285" s="99" t="n"/>
      <c r="D285" s="99" t="n"/>
      <c r="E285" s="99" t="n"/>
      <c r="F285" s="99" t="n"/>
    </row>
    <row r="286">
      <c r="A286" s="99" t="n"/>
      <c r="B286" s="99" t="n"/>
      <c r="C286" s="99" t="n"/>
      <c r="D286" s="99" t="n"/>
      <c r="E286" s="99" t="n"/>
      <c r="F286" s="99" t="n"/>
    </row>
    <row r="287">
      <c r="A287" s="99" t="n"/>
      <c r="B287" s="99" t="n"/>
      <c r="C287" s="99" t="n"/>
      <c r="D287" s="99" t="n"/>
      <c r="E287" s="99" t="n"/>
      <c r="F287" s="99" t="n"/>
    </row>
    <row r="288">
      <c r="A288" s="99" t="n"/>
      <c r="B288" s="99" t="n"/>
      <c r="C288" s="99" t="n"/>
      <c r="D288" s="99" t="n"/>
      <c r="E288" s="99" t="n"/>
      <c r="F288" s="99" t="n"/>
    </row>
    <row r="289">
      <c r="A289" s="99" t="n"/>
      <c r="B289" s="99" t="n"/>
      <c r="C289" s="99" t="n"/>
      <c r="D289" s="99" t="n"/>
      <c r="E289" s="99" t="n"/>
      <c r="F289" s="99" t="n"/>
    </row>
    <row r="290">
      <c r="A290" s="99" t="n"/>
      <c r="B290" s="99" t="n"/>
      <c r="C290" s="99" t="n"/>
      <c r="D290" s="99" t="n"/>
      <c r="E290" s="99" t="n"/>
      <c r="F290" s="99" t="n"/>
    </row>
    <row r="291">
      <c r="A291" s="99" t="n"/>
      <c r="B291" s="99" t="n"/>
      <c r="C291" s="99" t="n"/>
      <c r="D291" s="99" t="n"/>
      <c r="E291" s="99" t="n"/>
      <c r="F291" s="99" t="n"/>
    </row>
    <row r="292">
      <c r="A292" s="99" t="n"/>
      <c r="B292" s="99" t="n"/>
      <c r="C292" s="99" t="n"/>
      <c r="D292" s="99" t="n"/>
      <c r="E292" s="99" t="n"/>
      <c r="F292" s="99" t="n"/>
    </row>
    <row r="293">
      <c r="A293" s="99" t="n"/>
      <c r="B293" s="99" t="n"/>
      <c r="C293" s="99" t="n"/>
      <c r="D293" s="99" t="n"/>
      <c r="E293" s="99" t="n"/>
      <c r="F293" s="99" t="n"/>
    </row>
    <row r="294">
      <c r="A294" s="99" t="n"/>
      <c r="B294" s="99" t="n"/>
      <c r="C294" s="99" t="n"/>
      <c r="D294" s="99" t="n"/>
      <c r="E294" s="99" t="n"/>
      <c r="F294" s="99" t="n"/>
    </row>
    <row r="295">
      <c r="A295" s="99" t="n"/>
      <c r="B295" s="99" t="n"/>
      <c r="C295" s="99" t="n"/>
      <c r="D295" s="99" t="n"/>
      <c r="E295" s="99" t="n"/>
      <c r="F295" s="99" t="n"/>
    </row>
    <row r="296">
      <c r="A296" s="99" t="n"/>
      <c r="B296" s="99" t="n"/>
      <c r="C296" s="99" t="n"/>
      <c r="D296" s="99" t="n"/>
      <c r="E296" s="99" t="n"/>
      <c r="F296" s="99" t="n"/>
    </row>
    <row r="297">
      <c r="A297" s="99" t="n"/>
      <c r="B297" s="99" t="n"/>
      <c r="C297" s="99" t="n"/>
      <c r="D297" s="99" t="n"/>
      <c r="E297" s="99" t="n"/>
      <c r="F297" s="99" t="n"/>
    </row>
    <row r="298">
      <c r="A298" s="99" t="n"/>
      <c r="B298" s="99" t="n"/>
      <c r="C298" s="99" t="n"/>
      <c r="D298" s="99" t="n"/>
      <c r="E298" s="99" t="n"/>
      <c r="F298" s="99" t="n"/>
    </row>
    <row r="299">
      <c r="A299" s="99" t="n"/>
      <c r="B299" s="99" t="n"/>
      <c r="C299" s="99" t="n"/>
      <c r="D299" s="99" t="n"/>
      <c r="E299" s="99" t="n"/>
      <c r="F299" s="99" t="n"/>
    </row>
    <row r="300">
      <c r="A300" s="99" t="n"/>
      <c r="B300" s="99" t="n"/>
      <c r="C300" s="99" t="n"/>
      <c r="D300" s="99" t="n"/>
      <c r="E300" s="99" t="n"/>
      <c r="F300" s="99" t="n"/>
    </row>
    <row r="301">
      <c r="A301" s="99" t="n"/>
      <c r="B301" s="99" t="n"/>
      <c r="C301" s="99" t="n"/>
      <c r="D301" s="99" t="n"/>
      <c r="E301" s="99" t="n"/>
      <c r="F301" s="99" t="n"/>
    </row>
    <row r="302">
      <c r="A302" s="99" t="n"/>
      <c r="B302" s="99" t="n"/>
      <c r="C302" s="99" t="n"/>
      <c r="D302" s="99" t="n"/>
      <c r="E302" s="99" t="n"/>
      <c r="F302" s="99" t="n"/>
    </row>
    <row r="303">
      <c r="A303" s="99" t="n"/>
      <c r="B303" s="99" t="n"/>
      <c r="C303" s="99" t="n"/>
      <c r="D303" s="99" t="n"/>
      <c r="E303" s="99" t="n"/>
      <c r="F303" s="99" t="n"/>
    </row>
    <row r="304">
      <c r="A304" s="99" t="n"/>
      <c r="B304" s="99" t="n"/>
      <c r="C304" s="99" t="n"/>
      <c r="D304" s="99" t="n"/>
      <c r="E304" s="99" t="n"/>
      <c r="F304" s="99" t="n"/>
    </row>
    <row r="305">
      <c r="A305" s="99" t="n"/>
      <c r="B305" s="99" t="n"/>
      <c r="C305" s="99" t="n"/>
      <c r="D305" s="99" t="n"/>
      <c r="E305" s="99" t="n"/>
      <c r="F305" s="99" t="n"/>
    </row>
    <row r="306">
      <c r="A306" s="99" t="n"/>
      <c r="B306" s="99" t="n"/>
      <c r="C306" s="99" t="n"/>
      <c r="D306" s="99" t="n"/>
      <c r="E306" s="99" t="n"/>
      <c r="F306" s="99" t="n"/>
    </row>
    <row r="307">
      <c r="A307" s="99" t="n"/>
      <c r="B307" s="99" t="n"/>
      <c r="C307" s="99" t="n"/>
      <c r="D307" s="99" t="n"/>
      <c r="E307" s="99" t="n"/>
      <c r="F307" s="99" t="n"/>
    </row>
    <row r="308">
      <c r="A308" s="99" t="n"/>
      <c r="B308" s="99" t="n"/>
      <c r="C308" s="99" t="n"/>
      <c r="D308" s="99" t="n"/>
      <c r="E308" s="99" t="n"/>
      <c r="F308" s="99" t="n"/>
    </row>
    <row r="309">
      <c r="A309" s="99" t="n"/>
      <c r="B309" s="99" t="n"/>
      <c r="C309" s="99" t="n"/>
      <c r="D309" s="99" t="n"/>
      <c r="E309" s="99" t="n"/>
      <c r="F309" s="99" t="n"/>
    </row>
    <row r="310">
      <c r="A310" s="99" t="n"/>
      <c r="B310" s="99" t="n"/>
      <c r="C310" s="99" t="n"/>
      <c r="D310" s="99" t="n"/>
      <c r="E310" s="99" t="n"/>
      <c r="F310" s="99" t="n"/>
    </row>
    <row r="311">
      <c r="A311" s="99" t="n"/>
      <c r="B311" s="99" t="n"/>
      <c r="C311" s="99" t="n"/>
      <c r="D311" s="99" t="n"/>
      <c r="E311" s="99" t="n"/>
      <c r="F311" s="99" t="n"/>
    </row>
    <row r="312">
      <c r="A312" s="99" t="n"/>
      <c r="B312" s="99" t="n"/>
      <c r="C312" s="99" t="n"/>
      <c r="D312" s="99" t="n"/>
      <c r="E312" s="99" t="n"/>
      <c r="F312" s="99" t="n"/>
    </row>
    <row r="313">
      <c r="A313" s="99" t="n"/>
      <c r="B313" s="99" t="n"/>
      <c r="C313" s="99" t="n"/>
      <c r="D313" s="99" t="n"/>
      <c r="E313" s="99" t="n"/>
      <c r="F313" s="99" t="n"/>
    </row>
    <row r="314">
      <c r="A314" s="99" t="n"/>
      <c r="B314" s="99" t="n"/>
      <c r="C314" s="99" t="n"/>
      <c r="D314" s="99" t="n"/>
      <c r="E314" s="99" t="n"/>
      <c r="F314" s="99" t="n"/>
    </row>
    <row r="315">
      <c r="A315" s="99" t="n"/>
      <c r="B315" s="99" t="n"/>
      <c r="C315" s="99" t="n"/>
      <c r="D315" s="99" t="n"/>
      <c r="E315" s="99" t="n"/>
      <c r="F315" s="99" t="n"/>
    </row>
    <row r="316">
      <c r="A316" s="99" t="n"/>
      <c r="B316" s="99" t="n"/>
      <c r="C316" s="99" t="n"/>
      <c r="D316" s="99" t="n"/>
      <c r="E316" s="99" t="n"/>
      <c r="F316" s="99" t="n"/>
    </row>
    <row r="317">
      <c r="A317" s="99" t="n"/>
      <c r="B317" s="99" t="n"/>
      <c r="C317" s="99" t="n"/>
      <c r="D317" s="99" t="n"/>
      <c r="E317" s="99" t="n"/>
      <c r="F317" s="99" t="n"/>
    </row>
    <row r="318">
      <c r="A318" s="99" t="n"/>
      <c r="B318" s="99" t="n"/>
      <c r="C318" s="99" t="n"/>
      <c r="D318" s="99" t="n"/>
      <c r="E318" s="99" t="n"/>
      <c r="F318" s="99" t="n"/>
    </row>
    <row r="319">
      <c r="A319" s="99" t="n"/>
      <c r="B319" s="99" t="n"/>
      <c r="C319" s="99" t="n"/>
      <c r="D319" s="99" t="n"/>
      <c r="E319" s="99" t="n"/>
      <c r="F319" s="99" t="n"/>
    </row>
    <row r="320">
      <c r="A320" s="99" t="n"/>
      <c r="B320" s="99" t="n"/>
      <c r="C320" s="99" t="n"/>
      <c r="D320" s="99" t="n"/>
      <c r="E320" s="99" t="n"/>
      <c r="F320" s="99" t="n"/>
    </row>
    <row r="321">
      <c r="A321" s="99" t="n"/>
      <c r="B321" s="99" t="n"/>
      <c r="C321" s="99" t="n"/>
      <c r="D321" s="99" t="n"/>
      <c r="E321" s="99" t="n"/>
      <c r="F321" s="99" t="n"/>
    </row>
    <row r="322">
      <c r="A322" s="99" t="n"/>
      <c r="B322" s="99" t="n"/>
      <c r="C322" s="99" t="n"/>
      <c r="D322" s="99" t="n"/>
      <c r="E322" s="99" t="n"/>
      <c r="F322" s="99" t="n"/>
    </row>
    <row r="323">
      <c r="A323" s="99" t="n"/>
      <c r="B323" s="99" t="n"/>
      <c r="C323" s="99" t="n"/>
      <c r="D323" s="99" t="n"/>
      <c r="E323" s="99" t="n"/>
      <c r="F323" s="99" t="n"/>
    </row>
    <row r="324">
      <c r="A324" s="99" t="n"/>
      <c r="B324" s="99" t="n"/>
      <c r="C324" s="99" t="n"/>
      <c r="D324" s="99" t="n"/>
      <c r="E324" s="99" t="n"/>
      <c r="F324" s="99" t="n"/>
    </row>
    <row r="325">
      <c r="A325" s="99" t="n"/>
      <c r="B325" s="99" t="n"/>
      <c r="C325" s="99" t="n"/>
      <c r="D325" s="99" t="n"/>
      <c r="E325" s="99" t="n"/>
      <c r="F325" s="99" t="n"/>
    </row>
    <row r="326">
      <c r="A326" s="99" t="n"/>
      <c r="B326" s="99" t="n"/>
      <c r="C326" s="99" t="n"/>
      <c r="D326" s="99" t="n"/>
      <c r="E326" s="99" t="n"/>
      <c r="F326" s="99" t="n"/>
    </row>
    <row r="327">
      <c r="A327" s="99" t="n"/>
      <c r="B327" s="99" t="n"/>
      <c r="C327" s="99" t="n"/>
      <c r="D327" s="99" t="n"/>
      <c r="E327" s="99" t="n"/>
      <c r="F327" s="99" t="n"/>
    </row>
    <row r="328">
      <c r="A328" s="99" t="n"/>
      <c r="B328" s="99" t="n"/>
      <c r="C328" s="99" t="n"/>
      <c r="D328" s="99" t="n"/>
      <c r="E328" s="99" t="n"/>
      <c r="F328" s="99" t="n"/>
    </row>
    <row r="329">
      <c r="A329" s="99" t="n"/>
      <c r="B329" s="99" t="n"/>
      <c r="C329" s="99" t="n"/>
      <c r="D329" s="99" t="n"/>
      <c r="E329" s="99" t="n"/>
      <c r="F329" s="99" t="n"/>
    </row>
    <row r="330">
      <c r="A330" s="99" t="n"/>
      <c r="B330" s="99" t="n"/>
      <c r="C330" s="99" t="n"/>
      <c r="D330" s="99" t="n"/>
      <c r="E330" s="99" t="n"/>
      <c r="F330" s="99" t="n"/>
    </row>
    <row r="331">
      <c r="A331" s="99" t="n"/>
      <c r="B331" s="99" t="n"/>
      <c r="C331" s="99" t="n"/>
      <c r="D331" s="99" t="n"/>
      <c r="E331" s="99" t="n"/>
      <c r="F331" s="99" t="n"/>
    </row>
    <row r="332">
      <c r="A332" s="99" t="n"/>
      <c r="B332" s="99" t="n"/>
      <c r="C332" s="99" t="n"/>
      <c r="D332" s="99" t="n"/>
      <c r="E332" s="99" t="n"/>
      <c r="F332" s="99" t="n"/>
    </row>
    <row r="333">
      <c r="A333" s="99" t="n"/>
      <c r="B333" s="99" t="n"/>
      <c r="C333" s="99" t="n"/>
      <c r="D333" s="99" t="n"/>
      <c r="E333" s="99" t="n"/>
      <c r="F333" s="99" t="n"/>
    </row>
    <row r="334">
      <c r="A334" s="99" t="n"/>
      <c r="B334" s="99" t="n"/>
      <c r="C334" s="99" t="n"/>
      <c r="D334" s="99" t="n"/>
      <c r="E334" s="99" t="n"/>
      <c r="F334" s="99" t="n"/>
    </row>
    <row r="335">
      <c r="A335" s="99" t="n"/>
      <c r="B335" s="99" t="n"/>
      <c r="C335" s="99" t="n"/>
      <c r="D335" s="99" t="n"/>
      <c r="E335" s="99" t="n"/>
      <c r="F335" s="99" t="n"/>
    </row>
    <row r="336">
      <c r="A336" s="99" t="n"/>
      <c r="B336" s="99" t="n"/>
      <c r="C336" s="99" t="n"/>
      <c r="D336" s="99" t="n"/>
      <c r="E336" s="99" t="n"/>
      <c r="F336" s="99" t="n"/>
    </row>
    <row r="337">
      <c r="A337" s="99" t="n"/>
      <c r="B337" s="99" t="n"/>
      <c r="C337" s="99" t="n"/>
      <c r="D337" s="99" t="n"/>
      <c r="E337" s="99" t="n"/>
      <c r="F337" s="99" t="n"/>
    </row>
    <row r="338">
      <c r="A338" s="99" t="n"/>
      <c r="B338" s="99" t="n"/>
      <c r="C338" s="99" t="n"/>
      <c r="D338" s="99" t="n"/>
      <c r="E338" s="99" t="n"/>
      <c r="F338" s="99" t="n"/>
    </row>
    <row r="339">
      <c r="A339" s="99" t="n"/>
      <c r="B339" s="99" t="n"/>
      <c r="C339" s="99" t="n"/>
      <c r="D339" s="99" t="n"/>
      <c r="E339" s="99" t="n"/>
      <c r="F339" s="99" t="n"/>
    </row>
    <row r="340">
      <c r="A340" s="99" t="n"/>
      <c r="B340" s="99" t="n"/>
      <c r="C340" s="99" t="n"/>
      <c r="D340" s="99" t="n"/>
      <c r="E340" s="99" t="n"/>
      <c r="F340" s="99" t="n"/>
    </row>
    <row r="341">
      <c r="A341" s="99" t="n"/>
      <c r="B341" s="99" t="n"/>
      <c r="C341" s="99" t="n"/>
      <c r="D341" s="99" t="n"/>
      <c r="E341" s="99" t="n"/>
      <c r="F341" s="99" t="n"/>
    </row>
    <row r="342">
      <c r="A342" s="99" t="n"/>
      <c r="B342" s="99" t="n"/>
      <c r="C342" s="99" t="n"/>
      <c r="D342" s="99" t="n"/>
      <c r="E342" s="99" t="n"/>
      <c r="F342" s="99" t="n"/>
    </row>
    <row r="343">
      <c r="A343" s="99" t="n"/>
      <c r="B343" s="99" t="n"/>
      <c r="C343" s="99" t="n"/>
      <c r="D343" s="99" t="n"/>
      <c r="E343" s="99" t="n"/>
      <c r="F343" s="99" t="n"/>
    </row>
    <row r="344">
      <c r="A344" s="99" t="n"/>
      <c r="B344" s="99" t="n"/>
      <c r="C344" s="99" t="n"/>
      <c r="D344" s="99" t="n"/>
      <c r="E344" s="99" t="n"/>
      <c r="F344" s="99" t="n"/>
    </row>
    <row r="345">
      <c r="A345" s="99" t="n"/>
      <c r="B345" s="99" t="n"/>
      <c r="C345" s="99" t="n"/>
      <c r="D345" s="99" t="n"/>
      <c r="E345" s="99" t="n"/>
      <c r="F345" s="99" t="n"/>
    </row>
    <row r="346">
      <c r="A346" s="99" t="n"/>
      <c r="B346" s="99" t="n"/>
      <c r="C346" s="99" t="n"/>
      <c r="D346" s="99" t="n"/>
      <c r="E346" s="99" t="n"/>
      <c r="F346" s="99" t="n"/>
    </row>
    <row r="347">
      <c r="A347" s="99" t="n"/>
      <c r="B347" s="99" t="n"/>
      <c r="C347" s="99" t="n"/>
      <c r="D347" s="99" t="n"/>
      <c r="E347" s="99" t="n"/>
      <c r="F347" s="99" t="n"/>
    </row>
    <row r="348">
      <c r="A348" s="99" t="n"/>
      <c r="B348" s="99" t="n"/>
      <c r="C348" s="99" t="n"/>
      <c r="D348" s="99" t="n"/>
      <c r="E348" s="99" t="n"/>
      <c r="F348" s="99" t="n"/>
    </row>
    <row r="349">
      <c r="A349" s="99" t="n"/>
      <c r="B349" s="99" t="n"/>
      <c r="C349" s="99" t="n"/>
      <c r="D349" s="99" t="n"/>
      <c r="E349" s="99" t="n"/>
      <c r="F349" s="99" t="n"/>
    </row>
    <row r="350">
      <c r="A350" s="99" t="n"/>
      <c r="B350" s="99" t="n"/>
      <c r="C350" s="99" t="n"/>
      <c r="D350" s="99" t="n"/>
      <c r="E350" s="99" t="n"/>
      <c r="F350" s="99" t="n"/>
    </row>
    <row r="351">
      <c r="A351" s="99" t="n"/>
      <c r="B351" s="99" t="n"/>
      <c r="C351" s="99" t="n"/>
      <c r="D351" s="99" t="n"/>
      <c r="E351" s="99" t="n"/>
      <c r="F351" s="99" t="n"/>
    </row>
    <row r="352">
      <c r="A352" s="99" t="n"/>
      <c r="B352" s="99" t="n"/>
      <c r="C352" s="99" t="n"/>
      <c r="D352" s="99" t="n"/>
      <c r="E352" s="99" t="n"/>
      <c r="F352" s="99" t="n"/>
    </row>
    <row r="353">
      <c r="A353" s="99" t="n"/>
      <c r="B353" s="99" t="n"/>
      <c r="C353" s="99" t="n"/>
      <c r="D353" s="99" t="n"/>
      <c r="E353" s="99" t="n"/>
      <c r="F353" s="99" t="n"/>
    </row>
    <row r="354">
      <c r="A354" s="99" t="n"/>
      <c r="B354" s="99" t="n"/>
      <c r="C354" s="99" t="n"/>
      <c r="D354" s="99" t="n"/>
      <c r="E354" s="99" t="n"/>
      <c r="F354" s="99" t="n"/>
    </row>
    <row r="355">
      <c r="A355" s="99" t="n"/>
      <c r="B355" s="99" t="n"/>
      <c r="C355" s="99" t="n"/>
      <c r="D355" s="99" t="n"/>
      <c r="E355" s="99" t="n"/>
      <c r="F355" s="99" t="n"/>
    </row>
    <row r="356">
      <c r="A356" s="99" t="n"/>
      <c r="B356" s="99" t="n"/>
      <c r="C356" s="99" t="n"/>
      <c r="D356" s="99" t="n"/>
      <c r="E356" s="99" t="n"/>
      <c r="F356" s="99" t="n"/>
    </row>
    <row r="357">
      <c r="A357" s="99" t="n"/>
      <c r="B357" s="99" t="n"/>
      <c r="C357" s="99" t="n"/>
      <c r="D357" s="99" t="n"/>
      <c r="E357" s="99" t="n"/>
      <c r="F357" s="99" t="n"/>
    </row>
    <row r="358">
      <c r="A358" s="99" t="n"/>
      <c r="B358" s="99" t="n"/>
      <c r="C358" s="99" t="n"/>
      <c r="D358" s="99" t="n"/>
      <c r="E358" s="99" t="n"/>
      <c r="F358" s="99" t="n"/>
    </row>
    <row r="359">
      <c r="A359" s="99" t="n"/>
      <c r="B359" s="99" t="n"/>
      <c r="C359" s="99" t="n"/>
      <c r="D359" s="99" t="n"/>
      <c r="E359" s="99" t="n"/>
      <c r="F359" s="99" t="n"/>
    </row>
    <row r="360">
      <c r="A360" s="99" t="n"/>
      <c r="B360" s="99" t="n"/>
      <c r="C360" s="99" t="n"/>
      <c r="D360" s="99" t="n"/>
      <c r="E360" s="99" t="n"/>
      <c r="F360" s="99" t="n"/>
    </row>
    <row r="361">
      <c r="A361" s="99" t="n"/>
      <c r="B361" s="99" t="n"/>
      <c r="C361" s="99" t="n"/>
      <c r="D361" s="99" t="n"/>
      <c r="E361" s="99" t="n"/>
      <c r="F361" s="99" t="n"/>
    </row>
    <row r="362">
      <c r="A362" s="99" t="n"/>
      <c r="B362" s="99" t="n"/>
      <c r="C362" s="99" t="n"/>
      <c r="D362" s="99" t="n"/>
      <c r="E362" s="99" t="n"/>
      <c r="F362" s="99" t="n"/>
    </row>
    <row r="363">
      <c r="A363" s="99" t="n"/>
      <c r="B363" s="99" t="n"/>
      <c r="C363" s="99" t="n"/>
      <c r="D363" s="99" t="n"/>
      <c r="E363" s="99" t="n"/>
      <c r="F363" s="99" t="n"/>
    </row>
    <row r="364">
      <c r="A364" s="99" t="n"/>
      <c r="B364" s="99" t="n"/>
      <c r="C364" s="99" t="n"/>
      <c r="D364" s="99" t="n"/>
      <c r="E364" s="99" t="n"/>
      <c r="F364" s="99" t="n"/>
    </row>
    <row r="365">
      <c r="A365" s="99" t="n"/>
      <c r="B365" s="99" t="n"/>
      <c r="C365" s="99" t="n"/>
      <c r="D365" s="99" t="n"/>
      <c r="E365" s="99" t="n"/>
      <c r="F365" s="99" t="n"/>
    </row>
    <row r="366">
      <c r="A366" s="99" t="n"/>
      <c r="B366" s="99" t="n"/>
      <c r="C366" s="99" t="n"/>
      <c r="D366" s="99" t="n"/>
      <c r="E366" s="99" t="n"/>
      <c r="F366" s="99" t="n"/>
    </row>
    <row r="367">
      <c r="A367" s="99" t="n"/>
      <c r="B367" s="99" t="n"/>
      <c r="C367" s="99" t="n"/>
      <c r="D367" s="99" t="n"/>
      <c r="E367" s="99" t="n"/>
      <c r="F367" s="99" t="n"/>
    </row>
    <row r="368">
      <c r="A368" s="99" t="n"/>
      <c r="B368" s="99" t="n"/>
      <c r="C368" s="99" t="n"/>
      <c r="D368" s="99" t="n"/>
      <c r="E368" s="99" t="n"/>
      <c r="F368" s="99" t="n"/>
    </row>
    <row r="369">
      <c r="A369" s="99" t="n"/>
      <c r="B369" s="99" t="n"/>
      <c r="C369" s="99" t="n"/>
      <c r="D369" s="99" t="n"/>
      <c r="E369" s="99" t="n"/>
      <c r="F369" s="99" t="n"/>
    </row>
    <row r="370">
      <c r="A370" s="99" t="n"/>
      <c r="B370" s="99" t="n"/>
      <c r="C370" s="99" t="n"/>
      <c r="D370" s="99" t="n"/>
      <c r="E370" s="99" t="n"/>
      <c r="F370" s="99" t="n"/>
    </row>
    <row r="371">
      <c r="A371" s="99" t="n"/>
      <c r="B371" s="99" t="n"/>
      <c r="C371" s="99" t="n"/>
      <c r="D371" s="99" t="n"/>
      <c r="E371" s="99" t="n"/>
      <c r="F371" s="99" t="n"/>
    </row>
    <row r="372">
      <c r="A372" s="99" t="n"/>
      <c r="B372" s="99" t="n"/>
      <c r="C372" s="99" t="n"/>
      <c r="D372" s="99" t="n"/>
      <c r="E372" s="99" t="n"/>
      <c r="F372" s="99" t="n"/>
    </row>
    <row r="373">
      <c r="A373" s="99" t="n"/>
      <c r="B373" s="99" t="n"/>
      <c r="C373" s="99" t="n"/>
      <c r="D373" s="99" t="n"/>
      <c r="E373" s="99" t="n"/>
      <c r="F373" s="99" t="n"/>
    </row>
    <row r="374">
      <c r="A374" s="99" t="n"/>
      <c r="B374" s="99" t="n"/>
      <c r="C374" s="99" t="n"/>
      <c r="D374" s="99" t="n"/>
      <c r="E374" s="99" t="n"/>
      <c r="F374" s="99" t="n"/>
    </row>
    <row r="375">
      <c r="A375" s="99" t="n"/>
      <c r="B375" s="99" t="n"/>
      <c r="C375" s="99" t="n"/>
      <c r="D375" s="99" t="n"/>
      <c r="E375" s="99" t="n"/>
      <c r="F375" s="99" t="n"/>
    </row>
    <row r="376">
      <c r="A376" s="99" t="n"/>
      <c r="B376" s="99" t="n"/>
      <c r="C376" s="99" t="n"/>
      <c r="D376" s="99" t="n"/>
      <c r="E376" s="99" t="n"/>
      <c r="F376" s="99" t="n"/>
    </row>
    <row r="377">
      <c r="A377" s="99" t="n"/>
      <c r="B377" s="99" t="n"/>
      <c r="C377" s="99" t="n"/>
      <c r="D377" s="99" t="n"/>
      <c r="E377" s="99" t="n"/>
      <c r="F377" s="99" t="n"/>
    </row>
    <row r="378">
      <c r="A378" s="99" t="n"/>
      <c r="B378" s="99" t="n"/>
      <c r="C378" s="99" t="n"/>
      <c r="D378" s="99" t="n"/>
      <c r="E378" s="99" t="n"/>
      <c r="F378" s="99" t="n"/>
    </row>
    <row r="379">
      <c r="A379" s="99" t="n"/>
      <c r="B379" s="99" t="n"/>
      <c r="C379" s="99" t="n"/>
      <c r="D379" s="99" t="n"/>
      <c r="E379" s="99" t="n"/>
      <c r="F379" s="99" t="n"/>
    </row>
    <row r="380">
      <c r="A380" s="99" t="n"/>
      <c r="B380" s="99" t="n"/>
      <c r="C380" s="99" t="n"/>
      <c r="D380" s="99" t="n"/>
      <c r="E380" s="99" t="n"/>
      <c r="F380" s="99" t="n"/>
    </row>
    <row r="381">
      <c r="A381" s="99" t="n"/>
      <c r="B381" s="99" t="n"/>
      <c r="C381" s="99" t="n"/>
      <c r="D381" s="99" t="n"/>
      <c r="E381" s="99" t="n"/>
      <c r="F381" s="99" t="n"/>
    </row>
    <row r="382">
      <c r="A382" s="99" t="n"/>
      <c r="B382" s="99" t="n"/>
      <c r="C382" s="99" t="n"/>
      <c r="D382" s="99" t="n"/>
      <c r="E382" s="99" t="n"/>
      <c r="F382" s="99" t="n"/>
    </row>
    <row r="383">
      <c r="A383" s="99" t="n"/>
      <c r="B383" s="99" t="n"/>
      <c r="C383" s="99" t="n"/>
      <c r="D383" s="99" t="n"/>
      <c r="E383" s="99" t="n"/>
      <c r="F383" s="99" t="n"/>
    </row>
    <row r="384">
      <c r="A384" s="99" t="n"/>
      <c r="B384" s="99" t="n"/>
      <c r="C384" s="99" t="n"/>
      <c r="D384" s="99" t="n"/>
      <c r="E384" s="99" t="n"/>
      <c r="F384" s="99" t="n"/>
    </row>
    <row r="385">
      <c r="A385" s="99" t="n"/>
      <c r="B385" s="99" t="n"/>
      <c r="C385" s="99" t="n"/>
      <c r="D385" s="99" t="n"/>
      <c r="E385" s="99" t="n"/>
      <c r="F385" s="99" t="n"/>
    </row>
    <row r="386">
      <c r="A386" s="99" t="n"/>
      <c r="B386" s="99" t="n"/>
      <c r="C386" s="99" t="n"/>
      <c r="D386" s="99" t="n"/>
      <c r="E386" s="99" t="n"/>
      <c r="F386" s="99" t="n"/>
    </row>
    <row r="387">
      <c r="A387" s="99" t="n"/>
      <c r="B387" s="99" t="n"/>
      <c r="C387" s="99" t="n"/>
      <c r="D387" s="99" t="n"/>
      <c r="E387" s="99" t="n"/>
      <c r="F387" s="99" t="n"/>
    </row>
    <row r="388">
      <c r="A388" s="99" t="n"/>
      <c r="B388" s="99" t="n"/>
      <c r="C388" s="99" t="n"/>
      <c r="D388" s="99" t="n"/>
      <c r="E388" s="99" t="n"/>
      <c r="F388" s="99" t="n"/>
    </row>
    <row r="389">
      <c r="A389" s="99" t="n"/>
      <c r="B389" s="99" t="n"/>
      <c r="C389" s="99" t="n"/>
      <c r="D389" s="99" t="n"/>
      <c r="E389" s="99" t="n"/>
      <c r="F389" s="99" t="n"/>
    </row>
    <row r="390">
      <c r="A390" s="99" t="n"/>
      <c r="B390" s="99" t="n"/>
      <c r="C390" s="99" t="n"/>
      <c r="D390" s="99" t="n"/>
      <c r="E390" s="99" t="n"/>
      <c r="F390" s="99" t="n"/>
    </row>
    <row r="391">
      <c r="A391" s="99" t="n"/>
      <c r="B391" s="99" t="n"/>
      <c r="C391" s="99" t="n"/>
      <c r="D391" s="99" t="n"/>
      <c r="E391" s="99" t="n"/>
      <c r="F391" s="99" t="n"/>
    </row>
    <row r="392">
      <c r="A392" s="99" t="n"/>
      <c r="B392" s="99" t="n"/>
      <c r="C392" s="99" t="n"/>
      <c r="D392" s="99" t="n"/>
      <c r="E392" s="99" t="n"/>
      <c r="F392" s="99" t="n"/>
    </row>
    <row r="393">
      <c r="A393" s="99" t="n"/>
      <c r="B393" s="99" t="n"/>
      <c r="C393" s="99" t="n"/>
      <c r="D393" s="99" t="n"/>
      <c r="E393" s="99" t="n"/>
      <c r="F393" s="99" t="n"/>
    </row>
    <row r="394">
      <c r="A394" s="99" t="n"/>
      <c r="B394" s="99" t="n"/>
      <c r="C394" s="99" t="n"/>
      <c r="D394" s="99" t="n"/>
      <c r="E394" s="99" t="n"/>
      <c r="F394" s="99" t="n"/>
    </row>
    <row r="395">
      <c r="A395" s="99" t="n"/>
      <c r="B395" s="99" t="n"/>
      <c r="C395" s="99" t="n"/>
      <c r="D395" s="99" t="n"/>
      <c r="E395" s="99" t="n"/>
      <c r="F395" s="99" t="n"/>
    </row>
    <row r="396">
      <c r="A396" s="99" t="n"/>
      <c r="B396" s="99" t="n"/>
      <c r="C396" s="99" t="n"/>
      <c r="D396" s="99" t="n"/>
      <c r="E396" s="99" t="n"/>
      <c r="F396" s="99" t="n"/>
    </row>
    <row r="397">
      <c r="A397" s="99" t="n"/>
      <c r="B397" s="99" t="n"/>
      <c r="C397" s="99" t="n"/>
      <c r="D397" s="99" t="n"/>
      <c r="E397" s="99" t="n"/>
      <c r="F397" s="99" t="n"/>
    </row>
    <row r="398">
      <c r="A398" s="99" t="n"/>
      <c r="B398" s="99" t="n"/>
      <c r="C398" s="99" t="n"/>
      <c r="D398" s="99" t="n"/>
      <c r="E398" s="99" t="n"/>
      <c r="F398" s="99" t="n"/>
    </row>
    <row r="399">
      <c r="A399" s="99" t="n"/>
      <c r="B399" s="99" t="n"/>
      <c r="C399" s="99" t="n"/>
      <c r="D399" s="99" t="n"/>
      <c r="E399" s="99" t="n"/>
      <c r="F399" s="99" t="n"/>
    </row>
    <row r="400">
      <c r="A400" s="99" t="n"/>
      <c r="B400" s="99" t="n"/>
      <c r="C400" s="99" t="n"/>
      <c r="D400" s="99" t="n"/>
      <c r="E400" s="99" t="n"/>
      <c r="F400" s="99" t="n"/>
    </row>
    <row r="401">
      <c r="A401" s="99" t="n"/>
      <c r="B401" s="99" t="n"/>
      <c r="C401" s="99" t="n"/>
      <c r="D401" s="99" t="n"/>
      <c r="E401" s="99" t="n"/>
      <c r="F401" s="99" t="n"/>
    </row>
    <row r="402">
      <c r="A402" s="99" t="n"/>
      <c r="B402" s="99" t="n"/>
      <c r="C402" s="99" t="n"/>
      <c r="D402" s="99" t="n"/>
      <c r="E402" s="99" t="n"/>
      <c r="F402" s="99" t="n"/>
    </row>
    <row r="403">
      <c r="A403" s="99" t="n"/>
      <c r="B403" s="99" t="n"/>
      <c r="C403" s="99" t="n"/>
      <c r="D403" s="99" t="n"/>
      <c r="E403" s="99" t="n"/>
      <c r="F403" s="99" t="n"/>
    </row>
    <row r="404">
      <c r="A404" s="99" t="n"/>
      <c r="B404" s="99" t="n"/>
      <c r="C404" s="99" t="n"/>
      <c r="D404" s="99" t="n"/>
      <c r="E404" s="99" t="n"/>
      <c r="F404" s="99" t="n"/>
    </row>
    <row r="405">
      <c r="A405" s="99" t="n"/>
      <c r="B405" s="99" t="n"/>
      <c r="C405" s="99" t="n"/>
      <c r="D405" s="99" t="n"/>
      <c r="E405" s="99" t="n"/>
      <c r="F405" s="99" t="n"/>
    </row>
    <row r="406">
      <c r="A406" s="99" t="n"/>
      <c r="B406" s="99" t="n"/>
      <c r="C406" s="99" t="n"/>
      <c r="D406" s="99" t="n"/>
      <c r="E406" s="99" t="n"/>
      <c r="F406" s="99" t="n"/>
    </row>
    <row r="407">
      <c r="A407" s="99" t="n"/>
      <c r="B407" s="99" t="n"/>
      <c r="C407" s="99" t="n"/>
      <c r="D407" s="99" t="n"/>
      <c r="E407" s="99" t="n"/>
      <c r="F407" s="99" t="n"/>
    </row>
    <row r="408">
      <c r="A408" s="99" t="n"/>
      <c r="B408" s="99" t="n"/>
      <c r="C408" s="99" t="n"/>
      <c r="D408" s="99" t="n"/>
      <c r="E408" s="99" t="n"/>
      <c r="F408" s="99" t="n"/>
    </row>
    <row r="409">
      <c r="A409" s="99" t="n"/>
      <c r="B409" s="99" t="n"/>
      <c r="C409" s="99" t="n"/>
      <c r="D409" s="99" t="n"/>
      <c r="E409" s="99" t="n"/>
      <c r="F409" s="99" t="n"/>
    </row>
    <row r="410">
      <c r="A410" s="99" t="n"/>
      <c r="B410" s="99" t="n"/>
      <c r="C410" s="99" t="n"/>
      <c r="D410" s="99" t="n"/>
      <c r="E410" s="99" t="n"/>
      <c r="F410" s="99" t="n"/>
    </row>
    <row r="411">
      <c r="A411" s="99" t="n"/>
      <c r="B411" s="99" t="n"/>
      <c r="C411" s="99" t="n"/>
      <c r="D411" s="99" t="n"/>
      <c r="E411" s="99" t="n"/>
      <c r="F411" s="99" t="n"/>
    </row>
    <row r="412">
      <c r="A412" s="99" t="n"/>
      <c r="B412" s="99" t="n"/>
      <c r="C412" s="99" t="n"/>
      <c r="D412" s="99" t="n"/>
      <c r="E412" s="99" t="n"/>
      <c r="F412" s="99" t="n"/>
    </row>
    <row r="413">
      <c r="A413" s="99" t="n"/>
      <c r="B413" s="99" t="n"/>
      <c r="C413" s="99" t="n"/>
      <c r="D413" s="99" t="n"/>
      <c r="E413" s="99" t="n"/>
      <c r="F413" s="99" t="n"/>
    </row>
    <row r="414">
      <c r="A414" s="99" t="n"/>
      <c r="B414" s="99" t="n"/>
      <c r="C414" s="99" t="n"/>
      <c r="D414" s="99" t="n"/>
      <c r="E414" s="99" t="n"/>
      <c r="F414" s="99" t="n"/>
    </row>
    <row r="415">
      <c r="A415" s="99" t="n"/>
      <c r="B415" s="99" t="n"/>
      <c r="C415" s="99" t="n"/>
      <c r="D415" s="99" t="n"/>
      <c r="E415" s="99" t="n"/>
      <c r="F415" s="99" t="n"/>
    </row>
    <row r="416">
      <c r="A416" s="99" t="n"/>
      <c r="B416" s="99" t="n"/>
      <c r="C416" s="99" t="n"/>
      <c r="D416" s="99" t="n"/>
      <c r="E416" s="99" t="n"/>
      <c r="F416" s="99" t="n"/>
    </row>
    <row r="417">
      <c r="A417" s="99" t="n"/>
      <c r="B417" s="99" t="n"/>
      <c r="C417" s="99" t="n"/>
      <c r="D417" s="99" t="n"/>
      <c r="E417" s="99" t="n"/>
      <c r="F417" s="99" t="n"/>
    </row>
    <row r="418">
      <c r="A418" s="99" t="n"/>
      <c r="B418" s="99" t="n"/>
      <c r="C418" s="99" t="n"/>
      <c r="D418" s="99" t="n"/>
      <c r="E418" s="99" t="n"/>
      <c r="F418" s="99" t="n"/>
    </row>
    <row r="419">
      <c r="A419" s="99" t="n"/>
      <c r="B419" s="99" t="n"/>
      <c r="C419" s="99" t="n"/>
      <c r="D419" s="99" t="n"/>
      <c r="E419" s="99" t="n"/>
      <c r="F419" s="99" t="n"/>
    </row>
    <row r="420">
      <c r="A420" s="99" t="n"/>
      <c r="B420" s="99" t="n"/>
      <c r="C420" s="99" t="n"/>
      <c r="D420" s="99" t="n"/>
      <c r="E420" s="99" t="n"/>
      <c r="F420" s="99" t="n"/>
    </row>
    <row r="421">
      <c r="A421" s="99" t="n"/>
      <c r="B421" s="99" t="n"/>
      <c r="C421" s="99" t="n"/>
      <c r="D421" s="99" t="n"/>
      <c r="E421" s="99" t="n"/>
      <c r="F421" s="99" t="n"/>
    </row>
    <row r="422">
      <c r="A422" s="99" t="n"/>
      <c r="B422" s="99" t="n"/>
      <c r="C422" s="99" t="n"/>
      <c r="D422" s="99" t="n"/>
      <c r="E422" s="99" t="n"/>
      <c r="F422" s="99" t="n"/>
    </row>
    <row r="423">
      <c r="A423" s="99" t="n"/>
      <c r="B423" s="99" t="n"/>
      <c r="C423" s="99" t="n"/>
      <c r="D423" s="99" t="n"/>
      <c r="E423" s="99" t="n"/>
      <c r="F423" s="99" t="n"/>
    </row>
    <row r="424">
      <c r="A424" s="99" t="n"/>
      <c r="B424" s="99" t="n"/>
      <c r="C424" s="99" t="n"/>
      <c r="D424" s="99" t="n"/>
      <c r="E424" s="99" t="n"/>
      <c r="F424" s="99" t="n"/>
    </row>
    <row r="425">
      <c r="A425" s="99" t="n"/>
      <c r="B425" s="99" t="n"/>
      <c r="C425" s="99" t="n"/>
      <c r="D425" s="99" t="n"/>
      <c r="E425" s="99" t="n"/>
      <c r="F425" s="99" t="n"/>
    </row>
    <row r="426">
      <c r="A426" s="99" t="n"/>
      <c r="B426" s="99" t="n"/>
      <c r="C426" s="99" t="n"/>
      <c r="D426" s="99" t="n"/>
      <c r="E426" s="99" t="n"/>
      <c r="F426" s="99" t="n"/>
    </row>
    <row r="427">
      <c r="A427" s="99" t="n"/>
      <c r="B427" s="99" t="n"/>
      <c r="C427" s="99" t="n"/>
      <c r="D427" s="99" t="n"/>
      <c r="E427" s="99" t="n"/>
      <c r="F427" s="99" t="n"/>
    </row>
    <row r="428">
      <c r="A428" s="99" t="n"/>
      <c r="B428" s="99" t="n"/>
      <c r="C428" s="99" t="n"/>
      <c r="D428" s="99" t="n"/>
      <c r="E428" s="99" t="n"/>
      <c r="F428" s="99" t="n"/>
    </row>
    <row r="429">
      <c r="A429" s="99" t="n"/>
      <c r="B429" s="99" t="n"/>
      <c r="C429" s="99" t="n"/>
      <c r="D429" s="99" t="n"/>
      <c r="E429" s="99" t="n"/>
      <c r="F429" s="99" t="n"/>
    </row>
    <row r="430">
      <c r="A430" s="99" t="n"/>
      <c r="B430" s="99" t="n"/>
      <c r="C430" s="99" t="n"/>
      <c r="D430" s="99" t="n"/>
      <c r="E430" s="99" t="n"/>
      <c r="F430" s="99" t="n"/>
    </row>
    <row r="431">
      <c r="A431" s="99" t="n"/>
      <c r="B431" s="99" t="n"/>
      <c r="C431" s="99" t="n"/>
      <c r="D431" s="99" t="n"/>
      <c r="E431" s="99" t="n"/>
      <c r="F431" s="99" t="n"/>
    </row>
    <row r="432">
      <c r="A432" s="99" t="n"/>
      <c r="B432" s="99" t="n"/>
      <c r="C432" s="99" t="n"/>
      <c r="D432" s="99" t="n"/>
      <c r="E432" s="99" t="n"/>
      <c r="F432" s="99" t="n"/>
    </row>
    <row r="433">
      <c r="A433" s="99" t="n"/>
      <c r="B433" s="99" t="n"/>
      <c r="C433" s="99" t="n"/>
      <c r="D433" s="99" t="n"/>
      <c r="E433" s="99" t="n"/>
      <c r="F433" s="99" t="n"/>
    </row>
    <row r="434">
      <c r="A434" s="99" t="n"/>
      <c r="B434" s="99" t="n"/>
      <c r="C434" s="99" t="n"/>
      <c r="D434" s="99" t="n"/>
      <c r="E434" s="99" t="n"/>
      <c r="F434" s="99" t="n"/>
    </row>
    <row r="435">
      <c r="A435" s="99" t="n"/>
      <c r="B435" s="99" t="n"/>
      <c r="C435" s="99" t="n"/>
      <c r="D435" s="99" t="n"/>
      <c r="E435" s="99" t="n"/>
      <c r="F435" s="99" t="n"/>
    </row>
    <row r="436">
      <c r="A436" s="99" t="n"/>
      <c r="B436" s="99" t="n"/>
      <c r="C436" s="99" t="n"/>
      <c r="D436" s="99" t="n"/>
      <c r="E436" s="99" t="n"/>
      <c r="F436" s="99" t="n"/>
    </row>
    <row r="437">
      <c r="A437" s="99" t="n"/>
      <c r="B437" s="99" t="n"/>
      <c r="C437" s="99" t="n"/>
      <c r="D437" s="99" t="n"/>
      <c r="E437" s="99" t="n"/>
      <c r="F437" s="99" t="n"/>
    </row>
    <row r="438">
      <c r="A438" s="99" t="n"/>
      <c r="B438" s="99" t="n"/>
      <c r="C438" s="99" t="n"/>
      <c r="D438" s="99" t="n"/>
      <c r="E438" s="99" t="n"/>
      <c r="F438" s="99" t="n"/>
    </row>
    <row r="439">
      <c r="A439" s="99" t="n"/>
      <c r="B439" s="99" t="n"/>
      <c r="C439" s="99" t="n"/>
      <c r="D439" s="99" t="n"/>
      <c r="E439" s="99" t="n"/>
      <c r="F439" s="99" t="n"/>
    </row>
    <row r="440">
      <c r="A440" s="99" t="n"/>
      <c r="B440" s="99" t="n"/>
      <c r="C440" s="99" t="n"/>
      <c r="D440" s="99" t="n"/>
      <c r="E440" s="99" t="n"/>
      <c r="F440" s="99" t="n"/>
    </row>
    <row r="441">
      <c r="A441" s="99" t="n"/>
      <c r="B441" s="99" t="n"/>
      <c r="C441" s="99" t="n"/>
      <c r="D441" s="99" t="n"/>
      <c r="E441" s="99" t="n"/>
      <c r="F441" s="99" t="n"/>
    </row>
    <row r="442">
      <c r="A442" s="99" t="n"/>
      <c r="B442" s="99" t="n"/>
      <c r="C442" s="99" t="n"/>
      <c r="D442" s="99" t="n"/>
      <c r="E442" s="99" t="n"/>
      <c r="F442" s="99" t="n"/>
    </row>
    <row r="443">
      <c r="A443" s="99" t="n"/>
      <c r="B443" s="99" t="n"/>
      <c r="C443" s="99" t="n"/>
      <c r="D443" s="99" t="n"/>
      <c r="E443" s="99" t="n"/>
      <c r="F443" s="99" t="n"/>
    </row>
    <row r="444">
      <c r="A444" s="99" t="n"/>
      <c r="B444" s="99" t="n"/>
      <c r="C444" s="99" t="n"/>
      <c r="D444" s="99" t="n"/>
      <c r="E444" s="99" t="n"/>
      <c r="F444" s="99" t="n"/>
    </row>
    <row r="445">
      <c r="A445" s="99" t="n"/>
      <c r="B445" s="99" t="n"/>
      <c r="C445" s="99" t="n"/>
      <c r="D445" s="99" t="n"/>
      <c r="E445" s="99" t="n"/>
      <c r="F445" s="99" t="n"/>
    </row>
    <row r="446">
      <c r="A446" s="99" t="n"/>
      <c r="B446" s="99" t="n"/>
      <c r="C446" s="99" t="n"/>
      <c r="D446" s="99" t="n"/>
      <c r="E446" s="99" t="n"/>
      <c r="F446" s="99" t="n"/>
    </row>
    <row r="447">
      <c r="A447" s="99" t="n"/>
      <c r="B447" s="99" t="n"/>
      <c r="C447" s="99" t="n"/>
      <c r="D447" s="99" t="n"/>
      <c r="E447" s="99" t="n"/>
      <c r="F447" s="99" t="n"/>
    </row>
    <row r="448">
      <c r="A448" s="99" t="n"/>
      <c r="B448" s="99" t="n"/>
      <c r="C448" s="99" t="n"/>
      <c r="D448" s="99" t="n"/>
      <c r="E448" s="99" t="n"/>
      <c r="F448" s="99" t="n"/>
    </row>
    <row r="449">
      <c r="A449" s="99" t="n"/>
      <c r="B449" s="99" t="n"/>
      <c r="C449" s="99" t="n"/>
      <c r="D449" s="99" t="n"/>
      <c r="E449" s="99" t="n"/>
      <c r="F449" s="99" t="n"/>
    </row>
    <row r="450">
      <c r="A450" s="99" t="n"/>
      <c r="B450" s="99" t="n"/>
      <c r="C450" s="99" t="n"/>
      <c r="D450" s="99" t="n"/>
      <c r="E450" s="99" t="n"/>
      <c r="F450" s="99" t="n"/>
    </row>
    <row r="451">
      <c r="A451" s="99" t="n"/>
      <c r="B451" s="99" t="n"/>
      <c r="C451" s="99" t="n"/>
      <c r="D451" s="99" t="n"/>
      <c r="E451" s="99" t="n"/>
      <c r="F451" s="99" t="n"/>
    </row>
    <row r="452">
      <c r="A452" s="99" t="n"/>
      <c r="B452" s="99" t="n"/>
      <c r="C452" s="99" t="n"/>
      <c r="D452" s="99" t="n"/>
      <c r="E452" s="99" t="n"/>
      <c r="F452" s="99" t="n"/>
    </row>
    <row r="453">
      <c r="A453" s="99" t="n"/>
      <c r="B453" s="99" t="n"/>
      <c r="C453" s="99" t="n"/>
      <c r="D453" s="99" t="n"/>
      <c r="E453" s="99" t="n"/>
      <c r="F453" s="99" t="n"/>
    </row>
    <row r="454">
      <c r="A454" s="99" t="n"/>
      <c r="B454" s="99" t="n"/>
      <c r="C454" s="99" t="n"/>
      <c r="D454" s="99" t="n"/>
      <c r="E454" s="99" t="n"/>
      <c r="F454" s="99" t="n"/>
    </row>
    <row r="455">
      <c r="A455" s="99" t="n"/>
      <c r="B455" s="99" t="n"/>
      <c r="C455" s="99" t="n"/>
      <c r="D455" s="99" t="n"/>
      <c r="E455" s="99" t="n"/>
      <c r="F455" s="99" t="n"/>
    </row>
    <row r="456">
      <c r="A456" s="99" t="n"/>
      <c r="B456" s="99" t="n"/>
      <c r="C456" s="99" t="n"/>
      <c r="D456" s="99" t="n"/>
      <c r="E456" s="99" t="n"/>
      <c r="F456" s="99" t="n"/>
    </row>
    <row r="457">
      <c r="A457" s="99" t="n"/>
      <c r="B457" s="99" t="n"/>
      <c r="C457" s="99" t="n"/>
      <c r="D457" s="99" t="n"/>
      <c r="E457" s="99" t="n"/>
      <c r="F457" s="99" t="n"/>
    </row>
    <row r="458">
      <c r="A458" s="99" t="n"/>
      <c r="B458" s="99" t="n"/>
      <c r="C458" s="99" t="n"/>
      <c r="D458" s="99" t="n"/>
      <c r="E458" s="99" t="n"/>
      <c r="F458" s="99" t="n"/>
    </row>
    <row r="459">
      <c r="A459" s="99" t="n"/>
      <c r="B459" s="99" t="n"/>
      <c r="C459" s="99" t="n"/>
      <c r="D459" s="99" t="n"/>
      <c r="E459" s="99" t="n"/>
      <c r="F459" s="99" t="n"/>
    </row>
    <row r="460">
      <c r="A460" s="99" t="n"/>
      <c r="B460" s="99" t="n"/>
      <c r="C460" s="99" t="n"/>
      <c r="D460" s="99" t="n"/>
      <c r="E460" s="99" t="n"/>
      <c r="F460" s="99" t="n"/>
    </row>
    <row r="461">
      <c r="A461" s="99" t="n"/>
      <c r="B461" s="99" t="n"/>
      <c r="C461" s="99" t="n"/>
      <c r="D461" s="99" t="n"/>
      <c r="E461" s="99" t="n"/>
      <c r="F461" s="99" t="n"/>
    </row>
    <row r="462">
      <c r="A462" s="99" t="n"/>
      <c r="B462" s="99" t="n"/>
      <c r="C462" s="99" t="n"/>
      <c r="D462" s="99" t="n"/>
      <c r="E462" s="99" t="n"/>
      <c r="F462" s="99" t="n"/>
    </row>
    <row r="463">
      <c r="A463" s="99" t="n"/>
      <c r="B463" s="99" t="n"/>
      <c r="C463" s="99" t="n"/>
      <c r="D463" s="99" t="n"/>
      <c r="E463" s="99" t="n"/>
      <c r="F463" s="99" t="n"/>
    </row>
    <row r="464">
      <c r="A464" s="99" t="n"/>
      <c r="B464" s="99" t="n"/>
      <c r="C464" s="99" t="n"/>
      <c r="D464" s="99" t="n"/>
      <c r="E464" s="99" t="n"/>
      <c r="F464" s="99" t="n"/>
    </row>
    <row r="465">
      <c r="A465" s="99" t="n"/>
      <c r="B465" s="99" t="n"/>
      <c r="C465" s="99" t="n"/>
      <c r="D465" s="99" t="n"/>
      <c r="E465" s="99" t="n"/>
      <c r="F465" s="99" t="n"/>
    </row>
    <row r="466">
      <c r="A466" s="99" t="n"/>
      <c r="B466" s="99" t="n"/>
      <c r="C466" s="99" t="n"/>
      <c r="D466" s="99" t="n"/>
      <c r="E466" s="99" t="n"/>
      <c r="F466" s="99" t="n"/>
    </row>
    <row r="467">
      <c r="A467" s="99" t="n"/>
      <c r="B467" s="99" t="n"/>
      <c r="C467" s="99" t="n"/>
      <c r="D467" s="99" t="n"/>
      <c r="E467" s="99" t="n"/>
      <c r="F467" s="99" t="n"/>
    </row>
    <row r="468">
      <c r="A468" s="99" t="n"/>
      <c r="B468" s="99" t="n"/>
      <c r="C468" s="99" t="n"/>
      <c r="D468" s="99" t="n"/>
      <c r="E468" s="99" t="n"/>
      <c r="F468" s="99" t="n"/>
    </row>
    <row r="469">
      <c r="A469" s="99" t="n"/>
      <c r="B469" s="99" t="n"/>
      <c r="C469" s="99" t="n"/>
      <c r="D469" s="99" t="n"/>
      <c r="E469" s="99" t="n"/>
      <c r="F469" s="99" t="n"/>
    </row>
    <row r="470">
      <c r="A470" s="99" t="n"/>
      <c r="B470" s="99" t="n"/>
      <c r="C470" s="99" t="n"/>
      <c r="D470" s="99" t="n"/>
      <c r="E470" s="99" t="n"/>
      <c r="F470" s="99" t="n"/>
    </row>
    <row r="471">
      <c r="A471" s="99" t="n"/>
      <c r="B471" s="99" t="n"/>
      <c r="C471" s="99" t="n"/>
      <c r="D471" s="99" t="n"/>
      <c r="E471" s="99" t="n"/>
      <c r="F471" s="99" t="n"/>
    </row>
    <row r="472">
      <c r="A472" s="99" t="n"/>
      <c r="B472" s="99" t="n"/>
      <c r="C472" s="99" t="n"/>
      <c r="D472" s="99" t="n"/>
      <c r="E472" s="99" t="n"/>
      <c r="F472" s="99" t="n"/>
    </row>
    <row r="473">
      <c r="A473" s="99" t="n"/>
      <c r="B473" s="99" t="n"/>
      <c r="C473" s="99" t="n"/>
      <c r="D473" s="99" t="n"/>
      <c r="E473" s="99" t="n"/>
      <c r="F473" s="99" t="n"/>
    </row>
    <row r="474">
      <c r="A474" s="99" t="n"/>
      <c r="B474" s="99" t="n"/>
      <c r="C474" s="99" t="n"/>
      <c r="D474" s="99" t="n"/>
      <c r="E474" s="99" t="n"/>
      <c r="F474" s="99" t="n"/>
    </row>
    <row r="475">
      <c r="A475" s="99" t="n"/>
      <c r="B475" s="99" t="n"/>
      <c r="C475" s="99" t="n"/>
      <c r="D475" s="99" t="n"/>
      <c r="E475" s="99" t="n"/>
      <c r="F475" s="99" t="n"/>
    </row>
    <row r="476">
      <c r="A476" s="99" t="n"/>
      <c r="B476" s="99" t="n"/>
      <c r="C476" s="99" t="n"/>
      <c r="D476" s="99" t="n"/>
      <c r="E476" s="99" t="n"/>
      <c r="F476" s="99" t="n"/>
    </row>
    <row r="477">
      <c r="A477" s="99" t="n"/>
      <c r="B477" s="99" t="n"/>
      <c r="C477" s="99" t="n"/>
      <c r="D477" s="99" t="n"/>
      <c r="E477" s="99" t="n"/>
      <c r="F477" s="99" t="n"/>
    </row>
    <row r="478">
      <c r="A478" s="99" t="n"/>
      <c r="B478" s="99" t="n"/>
      <c r="C478" s="99" t="n"/>
      <c r="D478" s="99" t="n"/>
      <c r="E478" s="99" t="n"/>
      <c r="F478" s="99" t="n"/>
    </row>
    <row r="479">
      <c r="A479" s="99" t="n"/>
      <c r="B479" s="99" t="n"/>
      <c r="C479" s="99" t="n"/>
      <c r="D479" s="99" t="n"/>
      <c r="E479" s="99" t="n"/>
      <c r="F479" s="99" t="n"/>
    </row>
    <row r="480">
      <c r="A480" s="99" t="n"/>
      <c r="B480" s="99" t="n"/>
      <c r="C480" s="99" t="n"/>
      <c r="D480" s="99" t="n"/>
      <c r="E480" s="99" t="n"/>
      <c r="F480" s="99" t="n"/>
    </row>
    <row r="481">
      <c r="A481" s="99" t="n"/>
      <c r="B481" s="99" t="n"/>
      <c r="C481" s="99" t="n"/>
      <c r="D481" s="99" t="n"/>
      <c r="E481" s="99" t="n"/>
      <c r="F481" s="99" t="n"/>
    </row>
    <row r="482">
      <c r="A482" s="99" t="n"/>
      <c r="B482" s="99" t="n"/>
      <c r="C482" s="99" t="n"/>
      <c r="D482" s="99" t="n"/>
      <c r="E482" s="99" t="n"/>
      <c r="F482" s="99" t="n"/>
    </row>
    <row r="483">
      <c r="A483" s="99" t="n"/>
      <c r="B483" s="99" t="n"/>
      <c r="C483" s="99" t="n"/>
      <c r="D483" s="99" t="n"/>
      <c r="E483" s="99" t="n"/>
      <c r="F483" s="99" t="n"/>
    </row>
    <row r="484">
      <c r="A484" s="99" t="n"/>
      <c r="B484" s="99" t="n"/>
      <c r="C484" s="99" t="n"/>
      <c r="D484" s="99" t="n"/>
      <c r="E484" s="99" t="n"/>
      <c r="F484" s="99" t="n"/>
    </row>
    <row r="485">
      <c r="A485" s="99" t="n"/>
      <c r="B485" s="99" t="n"/>
      <c r="C485" s="99" t="n"/>
      <c r="D485" s="99" t="n"/>
      <c r="E485" s="99" t="n"/>
      <c r="F485" s="99" t="n"/>
    </row>
    <row r="486">
      <c r="A486" s="99" t="n"/>
      <c r="B486" s="99" t="n"/>
      <c r="C486" s="99" t="n"/>
      <c r="D486" s="99" t="n"/>
      <c r="E486" s="99" t="n"/>
      <c r="F486" s="99" t="n"/>
    </row>
    <row r="487">
      <c r="A487" s="99" t="n"/>
      <c r="B487" s="99" t="n"/>
      <c r="C487" s="99" t="n"/>
      <c r="D487" s="99" t="n"/>
      <c r="E487" s="99" t="n"/>
      <c r="F487" s="99" t="n"/>
    </row>
    <row r="488">
      <c r="A488" s="99" t="n"/>
      <c r="B488" s="99" t="n"/>
      <c r="C488" s="99" t="n"/>
      <c r="D488" s="99" t="n"/>
      <c r="E488" s="99" t="n"/>
      <c r="F488" s="99" t="n"/>
    </row>
    <row r="489">
      <c r="A489" s="99" t="n"/>
      <c r="B489" s="99" t="n"/>
      <c r="C489" s="99" t="n"/>
      <c r="D489" s="99" t="n"/>
      <c r="E489" s="99" t="n"/>
      <c r="F489" s="99" t="n"/>
    </row>
    <row r="490">
      <c r="A490" s="99" t="n"/>
      <c r="B490" s="99" t="n"/>
      <c r="C490" s="99" t="n"/>
      <c r="D490" s="99" t="n"/>
      <c r="E490" s="99" t="n"/>
      <c r="F490" s="99" t="n"/>
    </row>
    <row r="491">
      <c r="A491" s="99" t="n"/>
      <c r="B491" s="99" t="n"/>
      <c r="C491" s="99" t="n"/>
      <c r="D491" s="99" t="n"/>
      <c r="E491" s="99" t="n"/>
      <c r="F491" s="99" t="n"/>
    </row>
    <row r="492">
      <c r="A492" s="99" t="n"/>
      <c r="B492" s="99" t="n"/>
      <c r="C492" s="99" t="n"/>
      <c r="D492" s="99" t="n"/>
      <c r="E492" s="99" t="n"/>
      <c r="F492" s="99" t="n"/>
    </row>
    <row r="493">
      <c r="A493" s="99" t="n"/>
      <c r="B493" s="99" t="n"/>
      <c r="C493" s="99" t="n"/>
      <c r="D493" s="99" t="n"/>
      <c r="E493" s="99" t="n"/>
      <c r="F493" s="99" t="n"/>
    </row>
    <row r="494">
      <c r="A494" s="99" t="n"/>
      <c r="B494" s="99" t="n"/>
      <c r="C494" s="99" t="n"/>
      <c r="D494" s="99" t="n"/>
      <c r="E494" s="99" t="n"/>
      <c r="F494" s="99" t="n"/>
    </row>
    <row r="495">
      <c r="A495" s="99" t="n"/>
      <c r="B495" s="99" t="n"/>
      <c r="C495" s="99" t="n"/>
      <c r="D495" s="99" t="n"/>
      <c r="E495" s="99" t="n"/>
      <c r="F495" s="99" t="n"/>
    </row>
    <row r="496">
      <c r="A496" s="99" t="n"/>
      <c r="B496" s="99" t="n"/>
      <c r="C496" s="99" t="n"/>
      <c r="D496" s="99" t="n"/>
      <c r="E496" s="99" t="n"/>
      <c r="F496" s="99" t="n"/>
    </row>
    <row r="497">
      <c r="A497" s="99" t="n"/>
      <c r="B497" s="99" t="n"/>
      <c r="C497" s="99" t="n"/>
      <c r="D497" s="99" t="n"/>
      <c r="E497" s="99" t="n"/>
      <c r="F497" s="99" t="n"/>
    </row>
    <row r="498">
      <c r="A498" s="99" t="n"/>
      <c r="B498" s="99" t="n"/>
      <c r="C498" s="99" t="n"/>
      <c r="D498" s="99" t="n"/>
      <c r="E498" s="99" t="n"/>
      <c r="F498" s="99" t="n"/>
    </row>
    <row r="499">
      <c r="A499" s="99" t="n"/>
      <c r="B499" s="99" t="n"/>
      <c r="C499" s="99" t="n"/>
      <c r="D499" s="99" t="n"/>
      <c r="E499" s="99" t="n"/>
      <c r="F499" s="99" t="n"/>
    </row>
  </sheetData>
  <mergeCells count="11">
    <mergeCell ref="A2:F2"/>
    <mergeCell ref="A11:F11"/>
    <mergeCell ref="B7:F7"/>
    <mergeCell ref="B10:F10"/>
    <mergeCell ref="A1:F1"/>
    <mergeCell ref="A5:F5"/>
    <mergeCell ref="A6:F6"/>
    <mergeCell ref="A4:F4"/>
    <mergeCell ref="B8:F8"/>
    <mergeCell ref="A3:F3"/>
    <mergeCell ref="B9:F9"/>
  </mergeCells>
  <pageMargins left="0.75" right="0.75" top="1" bottom="1" header="0.5" footer="0.5"/>
</worksheet>
</file>

<file path=xl/worksheets/sheet10.xml><?xml version="1.0" encoding="utf-8"?>
<worksheet xmlns="http://schemas.openxmlformats.org/spreadsheetml/2006/main">
  <sheetPr>
    <tabColor rgb="FF2980B9"/>
    <outlinePr summaryBelow="1" summaryRight="1"/>
    <pageSetUpPr/>
  </sheetPr>
  <dimension ref="A1:P78"/>
  <sheetViews>
    <sheetView showGridLines="0" zoomScaleNormal="100" workbookViewId="0">
      <selection activeCell="A1" sqref="A1"/>
    </sheetView>
  </sheetViews>
  <sheetFormatPr baseColWidth="10" defaultColWidth="8.6640625" defaultRowHeight="15" customHeight="1"/>
  <cols>
    <col width="8" customWidth="1" style="122" min="1" max="1"/>
    <col width="34" customWidth="1" style="122" min="2" max="2"/>
    <col width="9" customWidth="1" style="122" min="3" max="15"/>
    <col width="13" customWidth="1" style="122" min="16" max="55"/>
  </cols>
  <sheetData>
    <row r="1" ht="27.75" customHeight="1" s="146">
      <c r="A1" s="167" t="inlineStr">
        <is>
          <t>FIELD TEAM RISK MATRIX - HISTORICAL SCORE LOG</t>
        </is>
      </c>
    </row>
    <row r="2" ht="30" customHeight="1" s="146">
      <c r="A2" s="149" t="inlineStr">
        <is>
          <t>At month end: copy Composite Score (col U) from Monthly Matrix rows 4-76. Paste as VALUES ONLY (not formulas) into the correct month column below — rows 5-77. Col W is a rank tiebreaker and must NOT be used here. Trend column (P) and 12-month average (O) update automatically.</t>
        </is>
      </c>
    </row>
    <row r="3" ht="19.5" customHeight="1" s="146">
      <c r="A3" s="5" t="inlineStr">
        <is>
          <t>Team ID</t>
        </is>
      </c>
      <c r="B3" s="5" t="inlineStr">
        <is>
          <t>Team Name</t>
        </is>
      </c>
      <c r="C3" s="166" t="inlineStr">
        <is>
          <t>COMPOSITE RISK SCORE (1–5)  —  paste values from Monthly Matrix col U at month end</t>
        </is>
      </c>
      <c r="D3" s="119" t="n"/>
      <c r="E3" s="119" t="n"/>
      <c r="F3" s="119" t="n"/>
      <c r="G3" s="119" t="n"/>
      <c r="H3" s="119" t="n"/>
      <c r="I3" s="119" t="n"/>
      <c r="J3" s="119" t="n"/>
      <c r="K3" s="119" t="n"/>
      <c r="L3" s="119" t="n"/>
      <c r="M3" s="119" t="n"/>
      <c r="N3" s="152" t="n"/>
      <c r="O3" s="168" t="inlineStr">
        <is>
          <t>SUMMARY</t>
        </is>
      </c>
      <c r="P3" s="152" t="n"/>
    </row>
    <row r="4" ht="19.5" customHeight="1" s="146">
      <c r="A4" s="67" t="inlineStr">
        <is>
          <t>Team ID</t>
        </is>
      </c>
      <c r="B4" s="67" t="inlineStr">
        <is>
          <t>Team Name</t>
        </is>
      </c>
      <c r="C4" s="61" t="inlineStr">
        <is>
          <t>Apr 2026</t>
        </is>
      </c>
      <c r="D4" s="61" t="inlineStr">
        <is>
          <t>May 2026</t>
        </is>
      </c>
      <c r="E4" s="61" t="inlineStr">
        <is>
          <t>Jun 2026</t>
        </is>
      </c>
      <c r="F4" s="61" t="inlineStr">
        <is>
          <t>Jul 2026</t>
        </is>
      </c>
      <c r="G4" s="61" t="inlineStr">
        <is>
          <t>Aug 2026</t>
        </is>
      </c>
      <c r="H4" s="61" t="inlineStr">
        <is>
          <t>Sep 2026</t>
        </is>
      </c>
      <c r="I4" s="61" t="inlineStr">
        <is>
          <t>Oct 2026</t>
        </is>
      </c>
      <c r="J4" s="61" t="inlineStr">
        <is>
          <t>Nov 2026</t>
        </is>
      </c>
      <c r="K4" s="61" t="inlineStr">
        <is>
          <t>Dec 2026</t>
        </is>
      </c>
      <c r="L4" s="61" t="inlineStr">
        <is>
          <t>Jan 2027</t>
        </is>
      </c>
      <c r="M4" s="61" t="inlineStr">
        <is>
          <t>Feb 2027</t>
        </is>
      </c>
      <c r="N4" s="61" t="inlineStr">
        <is>
          <t>Mar 2027</t>
        </is>
      </c>
      <c r="O4" s="67" t="inlineStr">
        <is>
          <t>12-Mo Avg</t>
        </is>
      </c>
      <c r="P4" s="67" t="inlineStr">
        <is>
          <t>Trend</t>
        </is>
      </c>
    </row>
    <row r="5" ht="19.5" customHeight="1" s="146">
      <c r="A5" s="20">
        <f>'Field Teams'!A5</f>
        <v/>
      </c>
      <c r="B5" s="68">
        <f>'Field Teams'!B5</f>
        <v/>
      </c>
      <c r="C5" s="69" t="n"/>
      <c r="D5" s="69" t="n"/>
      <c r="E5" s="69" t="n"/>
      <c r="F5" s="69" t="n"/>
      <c r="G5" s="69" t="n"/>
      <c r="H5" s="69" t="n"/>
      <c r="I5" s="69" t="n"/>
      <c r="J5" s="69" t="n"/>
      <c r="K5" s="69" t="n"/>
      <c r="L5" s="69" t="n"/>
      <c r="M5" s="69" t="n"/>
      <c r="N5" s="69" t="n"/>
      <c r="O5" s="19">
        <f>IFERROR(AVERAGE(C5:N5),"")</f>
        <v/>
      </c>
      <c r="P5" s="20">
        <f>IFERROR(IF(AND(C5="",N5=""),"--",IF(N5&gt;C5," Worsening",IF(N5&lt;C5," Improving"," Stable"))),"--")</f>
        <v/>
      </c>
    </row>
    <row r="6" ht="19.5" customHeight="1" s="146">
      <c r="A6" s="70">
        <f>'Field Teams'!A6</f>
        <v/>
      </c>
      <c r="B6" s="18">
        <f>'Field Teams'!B6</f>
        <v/>
      </c>
      <c r="C6" s="69" t="n"/>
      <c r="D6" s="69" t="n"/>
      <c r="E6" s="69" t="n"/>
      <c r="F6" s="69" t="n"/>
      <c r="G6" s="69" t="n"/>
      <c r="H6" s="69" t="n"/>
      <c r="I6" s="69" t="n"/>
      <c r="J6" s="69" t="n"/>
      <c r="K6" s="69" t="n"/>
      <c r="L6" s="69" t="n"/>
      <c r="M6" s="69" t="n"/>
      <c r="N6" s="69" t="n"/>
      <c r="O6" s="71">
        <f>IFERROR(AVERAGE(C6:N6),"")</f>
        <v/>
      </c>
      <c r="P6" s="70">
        <f>IFERROR(IF(AND(C6="",N6=""),"--",IF(N6&gt;C6," Worsening",IF(N6&lt;C6," Improving"," Stable"))),"--")</f>
        <v/>
      </c>
    </row>
    <row r="7" ht="19.5" customHeight="1" s="146">
      <c r="A7" s="20">
        <f>'Field Teams'!A7</f>
        <v/>
      </c>
      <c r="B7" s="68">
        <f>'Field Teams'!B7</f>
        <v/>
      </c>
      <c r="C7" s="69" t="n"/>
      <c r="D7" s="69" t="n"/>
      <c r="E7" s="69" t="n"/>
      <c r="F7" s="69" t="n"/>
      <c r="G7" s="69" t="n"/>
      <c r="H7" s="69" t="n"/>
      <c r="I7" s="69" t="n"/>
      <c r="J7" s="69" t="n"/>
      <c r="K7" s="69" t="n"/>
      <c r="L7" s="69" t="n"/>
      <c r="M7" s="69" t="n"/>
      <c r="N7" s="69" t="n"/>
      <c r="O7" s="19">
        <f>IFERROR(AVERAGE(C7:N7),"")</f>
        <v/>
      </c>
      <c r="P7" s="20">
        <f>IFERROR(IF(AND(C7="",N7=""),"--",IF(N7&gt;C7," Worsening",IF(N7&lt;C7," Improving"," Stable"))),"--")</f>
        <v/>
      </c>
    </row>
    <row r="8" ht="19.5" customHeight="1" s="146">
      <c r="A8" s="70">
        <f>'Field Teams'!A8</f>
        <v/>
      </c>
      <c r="B8" s="18">
        <f>'Field Teams'!B8</f>
        <v/>
      </c>
      <c r="C8" s="69" t="n"/>
      <c r="D8" s="69" t="n"/>
      <c r="E8" s="69" t="n"/>
      <c r="F8" s="69" t="n"/>
      <c r="G8" s="69" t="n"/>
      <c r="H8" s="69" t="n"/>
      <c r="I8" s="69" t="n"/>
      <c r="J8" s="69" t="n"/>
      <c r="K8" s="69" t="n"/>
      <c r="L8" s="69" t="n"/>
      <c r="M8" s="69" t="n"/>
      <c r="N8" s="69" t="n"/>
      <c r="O8" s="71">
        <f>IFERROR(AVERAGE(C8:N8),"")</f>
        <v/>
      </c>
      <c r="P8" s="70">
        <f>IFERROR(IF(AND(C8="",N8=""),"--",IF(N8&gt;C8," Worsening",IF(N8&lt;C8," Improving"," Stable"))),"--")</f>
        <v/>
      </c>
    </row>
    <row r="9" ht="19.5" customHeight="1" s="146">
      <c r="A9" s="20">
        <f>'Field Teams'!A9</f>
        <v/>
      </c>
      <c r="B9" s="68">
        <f>'Field Teams'!B9</f>
        <v/>
      </c>
      <c r="C9" s="69" t="n"/>
      <c r="D9" s="69" t="n"/>
      <c r="E9" s="69" t="n"/>
      <c r="F9" s="69" t="n"/>
      <c r="G9" s="69" t="n"/>
      <c r="H9" s="69" t="n"/>
      <c r="I9" s="69" t="n"/>
      <c r="J9" s="69" t="n"/>
      <c r="K9" s="69" t="n"/>
      <c r="L9" s="69" t="n"/>
      <c r="M9" s="69" t="n"/>
      <c r="N9" s="69" t="n"/>
      <c r="O9" s="19">
        <f>IFERROR(AVERAGE(C9:N9),"")</f>
        <v/>
      </c>
      <c r="P9" s="20">
        <f>IFERROR(IF(AND(C9="",N9=""),"--",IF(N9&gt;C9," Worsening",IF(N9&lt;C9," Improving"," Stable"))),"--")</f>
        <v/>
      </c>
    </row>
    <row r="10" ht="19.5" customHeight="1" s="146">
      <c r="A10" s="70">
        <f>'Field Teams'!A10</f>
        <v/>
      </c>
      <c r="B10" s="18">
        <f>'Field Teams'!B10</f>
        <v/>
      </c>
      <c r="C10" s="69" t="n"/>
      <c r="D10" s="69" t="n"/>
      <c r="E10" s="69" t="n"/>
      <c r="F10" s="69" t="n"/>
      <c r="G10" s="69" t="n"/>
      <c r="H10" s="69" t="n"/>
      <c r="I10" s="69" t="n"/>
      <c r="J10" s="69" t="n"/>
      <c r="K10" s="69" t="n"/>
      <c r="L10" s="69" t="n"/>
      <c r="M10" s="69" t="n"/>
      <c r="N10" s="69" t="n"/>
      <c r="O10" s="71">
        <f>IFERROR(AVERAGE(C10:N10),"")</f>
        <v/>
      </c>
      <c r="P10" s="70">
        <f>IFERROR(IF(AND(C10="",N10=""),"--",IF(N10&gt;C10," Worsening",IF(N10&lt;C10," Improving"," Stable"))),"--")</f>
        <v/>
      </c>
    </row>
    <row r="11" ht="19.5" customHeight="1" s="146">
      <c r="A11" s="20">
        <f>'Field Teams'!A11</f>
        <v/>
      </c>
      <c r="B11" s="68">
        <f>'Field Teams'!B11</f>
        <v/>
      </c>
      <c r="C11" s="69" t="n"/>
      <c r="D11" s="69" t="n"/>
      <c r="E11" s="69" t="n"/>
      <c r="F11" s="69" t="n"/>
      <c r="G11" s="69" t="n"/>
      <c r="H11" s="69" t="n"/>
      <c r="I11" s="69" t="n"/>
      <c r="J11" s="69" t="n"/>
      <c r="K11" s="69" t="n"/>
      <c r="L11" s="69" t="n"/>
      <c r="M11" s="69" t="n"/>
      <c r="N11" s="69" t="n"/>
      <c r="O11" s="19">
        <f>IFERROR(AVERAGE(C11:N11),"")</f>
        <v/>
      </c>
      <c r="P11" s="20">
        <f>IFERROR(IF(AND(C11="",N11=""),"--",IF(N11&gt;C11," Worsening",IF(N11&lt;C11," Improving"," Stable"))),"--")</f>
        <v/>
      </c>
    </row>
    <row r="12" ht="19.5" customHeight="1" s="146">
      <c r="A12" s="70">
        <f>'Field Teams'!A12</f>
        <v/>
      </c>
      <c r="B12" s="18">
        <f>'Field Teams'!B12</f>
        <v/>
      </c>
      <c r="C12" s="69" t="n"/>
      <c r="D12" s="69" t="n"/>
      <c r="E12" s="69" t="n"/>
      <c r="F12" s="69" t="n"/>
      <c r="G12" s="69" t="n"/>
      <c r="H12" s="69" t="n"/>
      <c r="I12" s="69" t="n"/>
      <c r="J12" s="69" t="n"/>
      <c r="K12" s="69" t="n"/>
      <c r="L12" s="69" t="n"/>
      <c r="M12" s="69" t="n"/>
      <c r="N12" s="69" t="n"/>
      <c r="O12" s="71">
        <f>IFERROR(AVERAGE(C12:N12),"")</f>
        <v/>
      </c>
      <c r="P12" s="70">
        <f>IFERROR(IF(AND(C12="",N12=""),"--",IF(N12&gt;C12," Worsening",IF(N12&lt;C12," Improving"," Stable"))),"--")</f>
        <v/>
      </c>
    </row>
    <row r="13" ht="19.5" customHeight="1" s="146">
      <c r="A13" s="20">
        <f>'Field Teams'!A13</f>
        <v/>
      </c>
      <c r="B13" s="68">
        <f>'Field Teams'!B13</f>
        <v/>
      </c>
      <c r="C13" s="69" t="n"/>
      <c r="D13" s="69" t="n"/>
      <c r="E13" s="69" t="n"/>
      <c r="F13" s="69" t="n"/>
      <c r="G13" s="69" t="n"/>
      <c r="H13" s="69" t="n"/>
      <c r="I13" s="69" t="n"/>
      <c r="J13" s="69" t="n"/>
      <c r="K13" s="69" t="n"/>
      <c r="L13" s="69" t="n"/>
      <c r="M13" s="69" t="n"/>
      <c r="N13" s="69" t="n"/>
      <c r="O13" s="19">
        <f>IFERROR(AVERAGE(C13:N13),"")</f>
        <v/>
      </c>
      <c r="P13" s="20">
        <f>IFERROR(IF(AND(C13="",N13=""),"--",IF(N13&gt;C13," Worsening",IF(N13&lt;C13," Improving"," Stable"))),"--")</f>
        <v/>
      </c>
    </row>
    <row r="14" ht="19.5" customHeight="1" s="146">
      <c r="A14" s="70">
        <f>'Field Teams'!A14</f>
        <v/>
      </c>
      <c r="B14" s="18">
        <f>'Field Teams'!B14</f>
        <v/>
      </c>
      <c r="C14" s="69" t="n"/>
      <c r="D14" s="69" t="n"/>
      <c r="E14" s="69" t="n"/>
      <c r="F14" s="69" t="n"/>
      <c r="G14" s="69" t="n"/>
      <c r="H14" s="69" t="n"/>
      <c r="I14" s="69" t="n"/>
      <c r="J14" s="69" t="n"/>
      <c r="K14" s="69" t="n"/>
      <c r="L14" s="69" t="n"/>
      <c r="M14" s="69" t="n"/>
      <c r="N14" s="69" t="n"/>
      <c r="O14" s="71">
        <f>IFERROR(AVERAGE(C14:N14),"")</f>
        <v/>
      </c>
      <c r="P14" s="70">
        <f>IFERROR(IF(AND(C14="",N14=""),"--",IF(N14&gt;C14," Worsening",IF(N14&lt;C14," Improving"," Stable"))),"--")</f>
        <v/>
      </c>
    </row>
    <row r="15" ht="19.5" customHeight="1" s="146">
      <c r="A15" s="20">
        <f>'Field Teams'!A15</f>
        <v/>
      </c>
      <c r="B15" s="68">
        <f>'Field Teams'!B15</f>
        <v/>
      </c>
      <c r="C15" s="69" t="n"/>
      <c r="D15" s="69" t="n"/>
      <c r="E15" s="69" t="n"/>
      <c r="F15" s="69" t="n"/>
      <c r="G15" s="69" t="n"/>
      <c r="H15" s="69" t="n"/>
      <c r="I15" s="69" t="n"/>
      <c r="J15" s="69" t="n"/>
      <c r="K15" s="69" t="n"/>
      <c r="L15" s="69" t="n"/>
      <c r="M15" s="69" t="n"/>
      <c r="N15" s="69" t="n"/>
      <c r="O15" s="19">
        <f>IFERROR(AVERAGE(C15:N15),"")</f>
        <v/>
      </c>
      <c r="P15" s="20">
        <f>IFERROR(IF(AND(C15="",N15=""),"--",IF(N15&gt;C15," Worsening",IF(N15&lt;C15," Improving"," Stable"))),"--")</f>
        <v/>
      </c>
    </row>
    <row r="16" ht="19.5" customHeight="1" s="146">
      <c r="A16" s="70">
        <f>'Field Teams'!A16</f>
        <v/>
      </c>
      <c r="B16" s="18">
        <f>'Field Teams'!B16</f>
        <v/>
      </c>
      <c r="C16" s="69" t="n"/>
      <c r="D16" s="69" t="n"/>
      <c r="E16" s="69" t="n"/>
      <c r="F16" s="69" t="n"/>
      <c r="G16" s="69" t="n"/>
      <c r="H16" s="69" t="n"/>
      <c r="I16" s="69" t="n"/>
      <c r="J16" s="69" t="n"/>
      <c r="K16" s="69" t="n"/>
      <c r="L16" s="69" t="n"/>
      <c r="M16" s="69" t="n"/>
      <c r="N16" s="69" t="n"/>
      <c r="O16" s="71">
        <f>IFERROR(AVERAGE(C16:N16),"")</f>
        <v/>
      </c>
      <c r="P16" s="70">
        <f>IFERROR(IF(AND(C16="",N16=""),"--",IF(N16&gt;C16," Worsening",IF(N16&lt;C16," Improving"," Stable"))),"--")</f>
        <v/>
      </c>
    </row>
    <row r="17" ht="19.5" customHeight="1" s="146">
      <c r="A17" s="20">
        <f>'Field Teams'!A17</f>
        <v/>
      </c>
      <c r="B17" s="68">
        <f>'Field Teams'!B17</f>
        <v/>
      </c>
      <c r="C17" s="69" t="n"/>
      <c r="D17" s="69" t="n"/>
      <c r="E17" s="69" t="n"/>
      <c r="F17" s="69" t="n"/>
      <c r="G17" s="69" t="n"/>
      <c r="H17" s="69" t="n"/>
      <c r="I17" s="69" t="n"/>
      <c r="J17" s="69" t="n"/>
      <c r="K17" s="69" t="n"/>
      <c r="L17" s="69" t="n"/>
      <c r="M17" s="69" t="n"/>
      <c r="N17" s="69" t="n"/>
      <c r="O17" s="19">
        <f>IFERROR(AVERAGE(C17:N17),"")</f>
        <v/>
      </c>
      <c r="P17" s="20">
        <f>IFERROR(IF(AND(C17="",N17=""),"--",IF(N17&gt;C17," Worsening",IF(N17&lt;C17," Improving"," Stable"))),"--")</f>
        <v/>
      </c>
    </row>
    <row r="18" ht="19.5" customHeight="1" s="146">
      <c r="A18" s="70">
        <f>'Field Teams'!A18</f>
        <v/>
      </c>
      <c r="B18" s="18">
        <f>'Field Teams'!B18</f>
        <v/>
      </c>
      <c r="C18" s="69" t="n"/>
      <c r="D18" s="69" t="n"/>
      <c r="E18" s="69" t="n"/>
      <c r="F18" s="69" t="n"/>
      <c r="G18" s="69" t="n"/>
      <c r="H18" s="69" t="n"/>
      <c r="I18" s="69" t="n"/>
      <c r="J18" s="69" t="n"/>
      <c r="K18" s="69" t="n"/>
      <c r="L18" s="69" t="n"/>
      <c r="M18" s="69" t="n"/>
      <c r="N18" s="69" t="n"/>
      <c r="O18" s="71">
        <f>IFERROR(AVERAGE(C18:N18),"")</f>
        <v/>
      </c>
      <c r="P18" s="70">
        <f>IFERROR(IF(AND(C18="",N18=""),"--",IF(N18&gt;C18," Worsening",IF(N18&lt;C18," Improving"," Stable"))),"--")</f>
        <v/>
      </c>
    </row>
    <row r="19" ht="19.5" customHeight="1" s="146">
      <c r="A19" s="20">
        <f>'Field Teams'!A19</f>
        <v/>
      </c>
      <c r="B19" s="68">
        <f>'Field Teams'!B19</f>
        <v/>
      </c>
      <c r="C19" s="69" t="n"/>
      <c r="D19" s="69" t="n"/>
      <c r="E19" s="69" t="n"/>
      <c r="F19" s="69" t="n"/>
      <c r="G19" s="69" t="n"/>
      <c r="H19" s="69" t="n"/>
      <c r="I19" s="69" t="n"/>
      <c r="J19" s="69" t="n"/>
      <c r="K19" s="69" t="n"/>
      <c r="L19" s="69" t="n"/>
      <c r="M19" s="69" t="n"/>
      <c r="N19" s="69" t="n"/>
      <c r="O19" s="19">
        <f>IFERROR(AVERAGE(C19:N19),"")</f>
        <v/>
      </c>
      <c r="P19" s="20">
        <f>IFERROR(IF(AND(C19="",N19=""),"--",IF(N19&gt;C19," Worsening",IF(N19&lt;C19," Improving"," Stable"))),"--")</f>
        <v/>
      </c>
    </row>
    <row r="20" ht="19.5" customHeight="1" s="146">
      <c r="A20" s="70">
        <f>'Field Teams'!A20</f>
        <v/>
      </c>
      <c r="B20" s="18">
        <f>'Field Teams'!B20</f>
        <v/>
      </c>
      <c r="C20" s="69" t="n"/>
      <c r="D20" s="69" t="n"/>
      <c r="E20" s="69" t="n"/>
      <c r="F20" s="69" t="n"/>
      <c r="G20" s="69" t="n"/>
      <c r="H20" s="69" t="n"/>
      <c r="I20" s="69" t="n"/>
      <c r="J20" s="69" t="n"/>
      <c r="K20" s="69" t="n"/>
      <c r="L20" s="69" t="n"/>
      <c r="M20" s="69" t="n"/>
      <c r="N20" s="69" t="n"/>
      <c r="O20" s="71">
        <f>IFERROR(AVERAGE(C20:N20),"")</f>
        <v/>
      </c>
      <c r="P20" s="70">
        <f>IFERROR(IF(AND(C20="",N20=""),"--",IF(N20&gt;C20," Worsening",IF(N20&lt;C20," Improving"," Stable"))),"--")</f>
        <v/>
      </c>
    </row>
    <row r="21" ht="19.5" customHeight="1" s="146">
      <c r="A21" s="20">
        <f>'Field Teams'!A21</f>
        <v/>
      </c>
      <c r="B21" s="68">
        <f>'Field Teams'!B21</f>
        <v/>
      </c>
      <c r="C21" s="69" t="n"/>
      <c r="D21" s="69" t="n"/>
      <c r="E21" s="69" t="n"/>
      <c r="F21" s="69" t="n"/>
      <c r="G21" s="69" t="n"/>
      <c r="H21" s="69" t="n"/>
      <c r="I21" s="69" t="n"/>
      <c r="J21" s="69" t="n"/>
      <c r="K21" s="69" t="n"/>
      <c r="L21" s="69" t="n"/>
      <c r="M21" s="69" t="n"/>
      <c r="N21" s="69" t="n"/>
      <c r="O21" s="19">
        <f>IFERROR(AVERAGE(C21:N21),"")</f>
        <v/>
      </c>
      <c r="P21" s="20">
        <f>IFERROR(IF(AND(C21="",N21=""),"--",IF(N21&gt;C21," Worsening",IF(N21&lt;C21," Improving"," Stable"))),"--")</f>
        <v/>
      </c>
    </row>
    <row r="22" ht="19.5" customHeight="1" s="146">
      <c r="A22" s="70">
        <f>'Field Teams'!A22</f>
        <v/>
      </c>
      <c r="B22" s="18">
        <f>'Field Teams'!B22</f>
        <v/>
      </c>
      <c r="C22" s="69" t="n"/>
      <c r="D22" s="69" t="n"/>
      <c r="E22" s="69" t="n"/>
      <c r="F22" s="69" t="n"/>
      <c r="G22" s="69" t="n"/>
      <c r="H22" s="69" t="n"/>
      <c r="I22" s="69" t="n"/>
      <c r="J22" s="69" t="n"/>
      <c r="K22" s="69" t="n"/>
      <c r="L22" s="69" t="n"/>
      <c r="M22" s="69" t="n"/>
      <c r="N22" s="69" t="n"/>
      <c r="O22" s="71">
        <f>IFERROR(AVERAGE(C22:N22),"")</f>
        <v/>
      </c>
      <c r="P22" s="70">
        <f>IFERROR(IF(AND(C22="",N22=""),"--",IF(N22&gt;C22," Worsening",IF(N22&lt;C22," Improving"," Stable"))),"--")</f>
        <v/>
      </c>
    </row>
    <row r="23" ht="19.5" customHeight="1" s="146">
      <c r="A23" s="20">
        <f>'Field Teams'!A23</f>
        <v/>
      </c>
      <c r="B23" s="68">
        <f>'Field Teams'!B23</f>
        <v/>
      </c>
      <c r="C23" s="69" t="n"/>
      <c r="D23" s="69" t="n"/>
      <c r="E23" s="69" t="n"/>
      <c r="F23" s="69" t="n"/>
      <c r="G23" s="69" t="n"/>
      <c r="H23" s="69" t="n"/>
      <c r="I23" s="69" t="n"/>
      <c r="J23" s="69" t="n"/>
      <c r="K23" s="69" t="n"/>
      <c r="L23" s="69" t="n"/>
      <c r="M23" s="69" t="n"/>
      <c r="N23" s="69" t="n"/>
      <c r="O23" s="19">
        <f>IFERROR(AVERAGE(C23:N23),"")</f>
        <v/>
      </c>
      <c r="P23" s="20">
        <f>IFERROR(IF(AND(C23="",N23=""),"--",IF(N23&gt;C23," Worsening",IF(N23&lt;C23," Improving"," Stable"))),"--")</f>
        <v/>
      </c>
    </row>
    <row r="24" ht="19.5" customHeight="1" s="146">
      <c r="A24" s="70">
        <f>'Field Teams'!A24</f>
        <v/>
      </c>
      <c r="B24" s="18">
        <f>'Field Teams'!B24</f>
        <v/>
      </c>
      <c r="C24" s="69" t="n"/>
      <c r="D24" s="69" t="n"/>
      <c r="E24" s="69" t="n"/>
      <c r="F24" s="69" t="n"/>
      <c r="G24" s="69" t="n"/>
      <c r="H24" s="69" t="n"/>
      <c r="I24" s="69" t="n"/>
      <c r="J24" s="69" t="n"/>
      <c r="K24" s="69" t="n"/>
      <c r="L24" s="69" t="n"/>
      <c r="M24" s="69" t="n"/>
      <c r="N24" s="69" t="n"/>
      <c r="O24" s="71">
        <f>IFERROR(AVERAGE(C24:N24),"")</f>
        <v/>
      </c>
      <c r="P24" s="70">
        <f>IFERROR(IF(AND(C24="",N24=""),"--",IF(N24&gt;C24," Worsening",IF(N24&lt;C24," Improving"," Stable"))),"--")</f>
        <v/>
      </c>
    </row>
    <row r="25" ht="19.5" customHeight="1" s="146">
      <c r="A25" s="20">
        <f>'Field Teams'!A25</f>
        <v/>
      </c>
      <c r="B25" s="68">
        <f>'Field Teams'!B25</f>
        <v/>
      </c>
      <c r="C25" s="69" t="n"/>
      <c r="D25" s="69" t="n"/>
      <c r="E25" s="69" t="n"/>
      <c r="F25" s="69" t="n"/>
      <c r="G25" s="69" t="n"/>
      <c r="H25" s="69" t="n"/>
      <c r="I25" s="69" t="n"/>
      <c r="J25" s="69" t="n"/>
      <c r="K25" s="69" t="n"/>
      <c r="L25" s="69" t="n"/>
      <c r="M25" s="69" t="n"/>
      <c r="N25" s="69" t="n"/>
      <c r="O25" s="19">
        <f>IFERROR(AVERAGE(C25:N25),"")</f>
        <v/>
      </c>
      <c r="P25" s="20">
        <f>IFERROR(IF(AND(C25="",N25=""),"--",IF(N25&gt;C25," Worsening",IF(N25&lt;C25," Improving"," Stable"))),"--")</f>
        <v/>
      </c>
    </row>
    <row r="26" ht="19.5" customHeight="1" s="146">
      <c r="A26" s="70">
        <f>'Field Teams'!A26</f>
        <v/>
      </c>
      <c r="B26" s="18">
        <f>'Field Teams'!B26</f>
        <v/>
      </c>
      <c r="C26" s="69" t="n"/>
      <c r="D26" s="69" t="n"/>
      <c r="E26" s="69" t="n"/>
      <c r="F26" s="69" t="n"/>
      <c r="G26" s="69" t="n"/>
      <c r="H26" s="69" t="n"/>
      <c r="I26" s="69" t="n"/>
      <c r="J26" s="69" t="n"/>
      <c r="K26" s="69" t="n"/>
      <c r="L26" s="69" t="n"/>
      <c r="M26" s="69" t="n"/>
      <c r="N26" s="69" t="n"/>
      <c r="O26" s="71">
        <f>IFERROR(AVERAGE(C26:N26),"")</f>
        <v/>
      </c>
      <c r="P26" s="70">
        <f>IFERROR(IF(AND(C26="",N26=""),"--",IF(N26&gt;C26," Worsening",IF(N26&lt;C26," Improving"," Stable"))),"--")</f>
        <v/>
      </c>
    </row>
    <row r="27" ht="19.5" customHeight="1" s="146">
      <c r="A27" s="20">
        <f>'Field Teams'!A27</f>
        <v/>
      </c>
      <c r="B27" s="68">
        <f>'Field Teams'!B27</f>
        <v/>
      </c>
      <c r="C27" s="69" t="n"/>
      <c r="D27" s="69" t="n"/>
      <c r="E27" s="69" t="n"/>
      <c r="F27" s="69" t="n"/>
      <c r="G27" s="69" t="n"/>
      <c r="H27" s="69" t="n"/>
      <c r="I27" s="69" t="n"/>
      <c r="J27" s="69" t="n"/>
      <c r="K27" s="69" t="n"/>
      <c r="L27" s="69" t="n"/>
      <c r="M27" s="69" t="n"/>
      <c r="N27" s="69" t="n"/>
      <c r="O27" s="19">
        <f>IFERROR(AVERAGE(C27:N27),"")</f>
        <v/>
      </c>
      <c r="P27" s="20">
        <f>IFERROR(IF(AND(C27="",N27=""),"--",IF(N27&gt;C27," Worsening",IF(N27&lt;C27," Improving"," Stable"))),"--")</f>
        <v/>
      </c>
    </row>
    <row r="28" ht="19.5" customHeight="1" s="146">
      <c r="A28" s="70">
        <f>'Field Teams'!A28</f>
        <v/>
      </c>
      <c r="B28" s="18">
        <f>'Field Teams'!B28</f>
        <v/>
      </c>
      <c r="C28" s="69" t="n"/>
      <c r="D28" s="69" t="n"/>
      <c r="E28" s="69" t="n"/>
      <c r="F28" s="69" t="n"/>
      <c r="G28" s="69" t="n"/>
      <c r="H28" s="69" t="n"/>
      <c r="I28" s="69" t="n"/>
      <c r="J28" s="69" t="n"/>
      <c r="K28" s="69" t="n"/>
      <c r="L28" s="69" t="n"/>
      <c r="M28" s="69" t="n"/>
      <c r="N28" s="69" t="n"/>
      <c r="O28" s="71">
        <f>IFERROR(AVERAGE(C28:N28),"")</f>
        <v/>
      </c>
      <c r="P28" s="70">
        <f>IFERROR(IF(AND(C28="",N28=""),"--",IF(N28&gt;C28," Worsening",IF(N28&lt;C28," Improving"," Stable"))),"--")</f>
        <v/>
      </c>
    </row>
    <row r="29" ht="19.5" customHeight="1" s="146">
      <c r="A29" s="20">
        <f>'Field Teams'!A29</f>
        <v/>
      </c>
      <c r="B29" s="68">
        <f>'Field Teams'!B29</f>
        <v/>
      </c>
      <c r="C29" s="69" t="n"/>
      <c r="D29" s="69" t="n"/>
      <c r="E29" s="69" t="n"/>
      <c r="F29" s="69" t="n"/>
      <c r="G29" s="69" t="n"/>
      <c r="H29" s="69" t="n"/>
      <c r="I29" s="69" t="n"/>
      <c r="J29" s="69" t="n"/>
      <c r="K29" s="69" t="n"/>
      <c r="L29" s="69" t="n"/>
      <c r="M29" s="69" t="n"/>
      <c r="N29" s="69" t="n"/>
      <c r="O29" s="19">
        <f>IFERROR(AVERAGE(C29:N29),"")</f>
        <v/>
      </c>
      <c r="P29" s="20">
        <f>IFERROR(IF(AND(C29="",N29=""),"--",IF(N29&gt;C29," Worsening",IF(N29&lt;C29," Improving"," Stable"))),"--")</f>
        <v/>
      </c>
    </row>
    <row r="30" ht="19.5" customHeight="1" s="146">
      <c r="A30" s="70">
        <f>'Field Teams'!A30</f>
        <v/>
      </c>
      <c r="B30" s="18">
        <f>'Field Teams'!B30</f>
        <v/>
      </c>
      <c r="C30" s="69" t="n"/>
      <c r="D30" s="69" t="n"/>
      <c r="E30" s="69" t="n"/>
      <c r="F30" s="69" t="n"/>
      <c r="G30" s="69" t="n"/>
      <c r="H30" s="69" t="n"/>
      <c r="I30" s="69" t="n"/>
      <c r="J30" s="69" t="n"/>
      <c r="K30" s="69" t="n"/>
      <c r="L30" s="69" t="n"/>
      <c r="M30" s="69" t="n"/>
      <c r="N30" s="69" t="n"/>
      <c r="O30" s="71">
        <f>IFERROR(AVERAGE(C30:N30),"")</f>
        <v/>
      </c>
      <c r="P30" s="70">
        <f>IFERROR(IF(AND(C30="",N30=""),"--",IF(N30&gt;C30," Worsening",IF(N30&lt;C30," Improving"," Stable"))),"--")</f>
        <v/>
      </c>
    </row>
    <row r="31" ht="19.5" customHeight="1" s="146">
      <c r="A31" s="20">
        <f>'Field Teams'!A31</f>
        <v/>
      </c>
      <c r="B31" s="68">
        <f>'Field Teams'!B31</f>
        <v/>
      </c>
      <c r="C31" s="69" t="n"/>
      <c r="D31" s="69" t="n"/>
      <c r="E31" s="69" t="n"/>
      <c r="F31" s="69" t="n"/>
      <c r="G31" s="69" t="n"/>
      <c r="H31" s="69" t="n"/>
      <c r="I31" s="69" t="n"/>
      <c r="J31" s="69" t="n"/>
      <c r="K31" s="69" t="n"/>
      <c r="L31" s="69" t="n"/>
      <c r="M31" s="69" t="n"/>
      <c r="N31" s="69" t="n"/>
      <c r="O31" s="19">
        <f>IFERROR(AVERAGE(C31:N31),"")</f>
        <v/>
      </c>
      <c r="P31" s="20">
        <f>IFERROR(IF(AND(C31="",N31=""),"--",IF(N31&gt;C31," Worsening",IF(N31&lt;C31," Improving"," Stable"))),"--")</f>
        <v/>
      </c>
    </row>
    <row r="32" ht="19.5" customHeight="1" s="146">
      <c r="A32" s="70">
        <f>'Field Teams'!A32</f>
        <v/>
      </c>
      <c r="B32" s="18">
        <f>'Field Teams'!B32</f>
        <v/>
      </c>
      <c r="C32" s="69" t="n"/>
      <c r="D32" s="69" t="n"/>
      <c r="E32" s="69" t="n"/>
      <c r="F32" s="69" t="n"/>
      <c r="G32" s="69" t="n"/>
      <c r="H32" s="69" t="n"/>
      <c r="I32" s="69" t="n"/>
      <c r="J32" s="69" t="n"/>
      <c r="K32" s="69" t="n"/>
      <c r="L32" s="69" t="n"/>
      <c r="M32" s="69" t="n"/>
      <c r="N32" s="69" t="n"/>
      <c r="O32" s="71">
        <f>IFERROR(AVERAGE(C32:N32),"")</f>
        <v/>
      </c>
      <c r="P32" s="70">
        <f>IFERROR(IF(AND(C32="",N32=""),"--",IF(N32&gt;C32," Worsening",IF(N32&lt;C32," Improving"," Stable"))),"--")</f>
        <v/>
      </c>
    </row>
    <row r="33" ht="19.5" customHeight="1" s="146">
      <c r="A33" s="20">
        <f>'Field Teams'!A33</f>
        <v/>
      </c>
      <c r="B33" s="68">
        <f>'Field Teams'!B33</f>
        <v/>
      </c>
      <c r="C33" s="69" t="n"/>
      <c r="D33" s="69" t="n"/>
      <c r="E33" s="69" t="n"/>
      <c r="F33" s="69" t="n"/>
      <c r="G33" s="69" t="n"/>
      <c r="H33" s="69" t="n"/>
      <c r="I33" s="69" t="n"/>
      <c r="J33" s="69" t="n"/>
      <c r="K33" s="69" t="n"/>
      <c r="L33" s="69" t="n"/>
      <c r="M33" s="69" t="n"/>
      <c r="N33" s="69" t="n"/>
      <c r="O33" s="19">
        <f>IFERROR(AVERAGE(C33:N33),"")</f>
        <v/>
      </c>
      <c r="P33" s="20">
        <f>IFERROR(IF(AND(C33="",N33=""),"--",IF(N33&gt;C33," Worsening",IF(N33&lt;C33," Improving"," Stable"))),"--")</f>
        <v/>
      </c>
    </row>
    <row r="34" ht="19.5" customHeight="1" s="146">
      <c r="A34" s="70">
        <f>'Field Teams'!A34</f>
        <v/>
      </c>
      <c r="B34" s="18">
        <f>'Field Teams'!B34</f>
        <v/>
      </c>
      <c r="C34" s="69" t="n"/>
      <c r="D34" s="69" t="n"/>
      <c r="E34" s="69" t="n"/>
      <c r="F34" s="69" t="n"/>
      <c r="G34" s="69" t="n"/>
      <c r="H34" s="69" t="n"/>
      <c r="I34" s="69" t="n"/>
      <c r="J34" s="69" t="n"/>
      <c r="K34" s="69" t="n"/>
      <c r="L34" s="69" t="n"/>
      <c r="M34" s="69" t="n"/>
      <c r="N34" s="69" t="n"/>
      <c r="O34" s="71">
        <f>IFERROR(AVERAGE(C34:N34),"")</f>
        <v/>
      </c>
      <c r="P34" s="70">
        <f>IFERROR(IF(AND(C34="",N34=""),"--",IF(N34&gt;C34," Worsening",IF(N34&lt;C34," Improving"," Stable"))),"--")</f>
        <v/>
      </c>
    </row>
    <row r="35" ht="19.5" customHeight="1" s="146">
      <c r="A35" s="20">
        <f>'Field Teams'!A35</f>
        <v/>
      </c>
      <c r="B35" s="68">
        <f>'Field Teams'!B35</f>
        <v/>
      </c>
      <c r="C35" s="69" t="n"/>
      <c r="D35" s="69" t="n"/>
      <c r="E35" s="69" t="n"/>
      <c r="F35" s="69" t="n"/>
      <c r="G35" s="69" t="n"/>
      <c r="H35" s="69" t="n"/>
      <c r="I35" s="69" t="n"/>
      <c r="J35" s="69" t="n"/>
      <c r="K35" s="69" t="n"/>
      <c r="L35" s="69" t="n"/>
      <c r="M35" s="69" t="n"/>
      <c r="N35" s="69" t="n"/>
      <c r="O35" s="19">
        <f>IFERROR(AVERAGE(C35:N35),"")</f>
        <v/>
      </c>
      <c r="P35" s="20">
        <f>IFERROR(IF(AND(C35="",N35=""),"--",IF(N35&gt;C35," Worsening",IF(N35&lt;C35," Improving"," Stable"))),"--")</f>
        <v/>
      </c>
    </row>
    <row r="36" ht="19.5" customHeight="1" s="146">
      <c r="A36" s="70">
        <f>'Field Teams'!A36</f>
        <v/>
      </c>
      <c r="B36" s="18">
        <f>'Field Teams'!B36</f>
        <v/>
      </c>
      <c r="C36" s="69" t="n"/>
      <c r="D36" s="69" t="n"/>
      <c r="E36" s="69" t="n"/>
      <c r="F36" s="69" t="n"/>
      <c r="G36" s="69" t="n"/>
      <c r="H36" s="69" t="n"/>
      <c r="I36" s="69" t="n"/>
      <c r="J36" s="69" t="n"/>
      <c r="K36" s="69" t="n"/>
      <c r="L36" s="69" t="n"/>
      <c r="M36" s="69" t="n"/>
      <c r="N36" s="69" t="n"/>
      <c r="O36" s="71">
        <f>IFERROR(AVERAGE(C36:N36),"")</f>
        <v/>
      </c>
      <c r="P36" s="70">
        <f>IFERROR(IF(AND(C36="",N36=""),"--",IF(N36&gt;C36," Worsening",IF(N36&lt;C36," Improving"," Stable"))),"--")</f>
        <v/>
      </c>
    </row>
    <row r="37" ht="19.5" customHeight="1" s="146">
      <c r="A37" s="20">
        <f>'Field Teams'!A37</f>
        <v/>
      </c>
      <c r="B37" s="68">
        <f>'Field Teams'!B37</f>
        <v/>
      </c>
      <c r="C37" s="69" t="n"/>
      <c r="D37" s="69" t="n"/>
      <c r="E37" s="69" t="n"/>
      <c r="F37" s="69" t="n"/>
      <c r="G37" s="69" t="n"/>
      <c r="H37" s="69" t="n"/>
      <c r="I37" s="69" t="n"/>
      <c r="J37" s="69" t="n"/>
      <c r="K37" s="69" t="n"/>
      <c r="L37" s="69" t="n"/>
      <c r="M37" s="69" t="n"/>
      <c r="N37" s="69" t="n"/>
      <c r="O37" s="19">
        <f>IFERROR(AVERAGE(C37:N37),"")</f>
        <v/>
      </c>
      <c r="P37" s="20">
        <f>IFERROR(IF(AND(C37="",N37=""),"--",IF(N37&gt;C37," Worsening",IF(N37&lt;C37," Improving"," Stable"))),"--")</f>
        <v/>
      </c>
    </row>
    <row r="38" ht="19.5" customHeight="1" s="146">
      <c r="A38" s="70">
        <f>'Field Teams'!A38</f>
        <v/>
      </c>
      <c r="B38" s="18">
        <f>'Field Teams'!B38</f>
        <v/>
      </c>
      <c r="C38" s="69" t="n"/>
      <c r="D38" s="69" t="n"/>
      <c r="E38" s="69" t="n"/>
      <c r="F38" s="69" t="n"/>
      <c r="G38" s="69" t="n"/>
      <c r="H38" s="69" t="n"/>
      <c r="I38" s="69" t="n"/>
      <c r="J38" s="69" t="n"/>
      <c r="K38" s="69" t="n"/>
      <c r="L38" s="69" t="n"/>
      <c r="M38" s="69" t="n"/>
      <c r="N38" s="69" t="n"/>
      <c r="O38" s="71">
        <f>IFERROR(AVERAGE(C38:N38),"")</f>
        <v/>
      </c>
      <c r="P38" s="70">
        <f>IFERROR(IF(AND(C38="",N38=""),"--",IF(N38&gt;C38," Worsening",IF(N38&lt;C38," Improving"," Stable"))),"--")</f>
        <v/>
      </c>
    </row>
    <row r="39" ht="19.5" customHeight="1" s="146">
      <c r="A39" s="20">
        <f>'Field Teams'!A39</f>
        <v/>
      </c>
      <c r="B39" s="68">
        <f>'Field Teams'!B39</f>
        <v/>
      </c>
      <c r="C39" s="69" t="n"/>
      <c r="D39" s="69" t="n"/>
      <c r="E39" s="69" t="n"/>
      <c r="F39" s="69" t="n"/>
      <c r="G39" s="69" t="n"/>
      <c r="H39" s="69" t="n"/>
      <c r="I39" s="69" t="n"/>
      <c r="J39" s="69" t="n"/>
      <c r="K39" s="69" t="n"/>
      <c r="L39" s="69" t="n"/>
      <c r="M39" s="69" t="n"/>
      <c r="N39" s="69" t="n"/>
      <c r="O39" s="19">
        <f>IFERROR(AVERAGE(C39:N39),"")</f>
        <v/>
      </c>
      <c r="P39" s="20">
        <f>IFERROR(IF(AND(C39="",N39=""),"--",IF(N39&gt;C39," Worsening",IF(N39&lt;C39," Improving"," Stable"))),"--")</f>
        <v/>
      </c>
    </row>
    <row r="40" ht="19.5" customHeight="1" s="146">
      <c r="A40" s="70">
        <f>'Field Teams'!A40</f>
        <v/>
      </c>
      <c r="B40" s="18">
        <f>'Field Teams'!B40</f>
        <v/>
      </c>
      <c r="C40" s="69" t="n"/>
      <c r="D40" s="69" t="n"/>
      <c r="E40" s="69" t="n"/>
      <c r="F40" s="69" t="n"/>
      <c r="G40" s="69" t="n"/>
      <c r="H40" s="69" t="n"/>
      <c r="I40" s="69" t="n"/>
      <c r="J40" s="69" t="n"/>
      <c r="K40" s="69" t="n"/>
      <c r="L40" s="69" t="n"/>
      <c r="M40" s="69" t="n"/>
      <c r="N40" s="69" t="n"/>
      <c r="O40" s="71">
        <f>IFERROR(AVERAGE(C40:N40),"")</f>
        <v/>
      </c>
      <c r="P40" s="70">
        <f>IFERROR(IF(AND(C40="",N40=""),"--",IF(N40&gt;C40," Worsening",IF(N40&lt;C40," Improving"," Stable"))),"--")</f>
        <v/>
      </c>
    </row>
    <row r="41" ht="19.5" customHeight="1" s="146">
      <c r="A41" s="20">
        <f>'Field Teams'!A41</f>
        <v/>
      </c>
      <c r="B41" s="68">
        <f>'Field Teams'!B41</f>
        <v/>
      </c>
      <c r="C41" s="69" t="n"/>
      <c r="D41" s="69" t="n"/>
      <c r="E41" s="69" t="n"/>
      <c r="F41" s="69" t="n"/>
      <c r="G41" s="69" t="n"/>
      <c r="H41" s="69" t="n"/>
      <c r="I41" s="69" t="n"/>
      <c r="J41" s="69" t="n"/>
      <c r="K41" s="69" t="n"/>
      <c r="L41" s="69" t="n"/>
      <c r="M41" s="69" t="n"/>
      <c r="N41" s="69" t="n"/>
      <c r="O41" s="19">
        <f>IFERROR(AVERAGE(C41:N41),"")</f>
        <v/>
      </c>
      <c r="P41" s="20">
        <f>IFERROR(IF(AND(C41="",N41=""),"--",IF(N41&gt;C41," Worsening",IF(N41&lt;C41," Improving"," Stable"))),"--")</f>
        <v/>
      </c>
    </row>
    <row r="42" ht="19.5" customHeight="1" s="146">
      <c r="A42" s="70">
        <f>'Field Teams'!A42</f>
        <v/>
      </c>
      <c r="B42" s="18">
        <f>'Field Teams'!B42</f>
        <v/>
      </c>
      <c r="C42" s="69" t="n"/>
      <c r="D42" s="69" t="n"/>
      <c r="E42" s="69" t="n"/>
      <c r="F42" s="69" t="n"/>
      <c r="G42" s="69" t="n"/>
      <c r="H42" s="69" t="n"/>
      <c r="I42" s="69" t="n"/>
      <c r="J42" s="69" t="n"/>
      <c r="K42" s="69" t="n"/>
      <c r="L42" s="69" t="n"/>
      <c r="M42" s="69" t="n"/>
      <c r="N42" s="69" t="n"/>
      <c r="O42" s="71">
        <f>IFERROR(AVERAGE(C42:N42),"")</f>
        <v/>
      </c>
      <c r="P42" s="70">
        <f>IFERROR(IF(AND(C42="",N42=""),"--",IF(N42&gt;C42," Worsening",IF(N42&lt;C42," Improving"," Stable"))),"--")</f>
        <v/>
      </c>
    </row>
    <row r="43" ht="19.5" customHeight="1" s="146">
      <c r="A43" s="20">
        <f>'Field Teams'!A43</f>
        <v/>
      </c>
      <c r="B43" s="68">
        <f>'Field Teams'!B43</f>
        <v/>
      </c>
      <c r="C43" s="69" t="n"/>
      <c r="D43" s="69" t="n"/>
      <c r="E43" s="69" t="n"/>
      <c r="F43" s="69" t="n"/>
      <c r="G43" s="69" t="n"/>
      <c r="H43" s="69" t="n"/>
      <c r="I43" s="69" t="n"/>
      <c r="J43" s="69" t="n"/>
      <c r="K43" s="69" t="n"/>
      <c r="L43" s="69" t="n"/>
      <c r="M43" s="69" t="n"/>
      <c r="N43" s="69" t="n"/>
      <c r="O43" s="19">
        <f>IFERROR(AVERAGE(C43:N43),"")</f>
        <v/>
      </c>
      <c r="P43" s="20">
        <f>IFERROR(IF(AND(C43="",N43=""),"--",IF(N43&gt;C43," Worsening",IF(N43&lt;C43," Improving"," Stable"))),"--")</f>
        <v/>
      </c>
    </row>
    <row r="44" ht="19.5" customHeight="1" s="146">
      <c r="A44" s="70">
        <f>'Field Teams'!A44</f>
        <v/>
      </c>
      <c r="B44" s="18">
        <f>'Field Teams'!B44</f>
        <v/>
      </c>
      <c r="C44" s="69" t="n"/>
      <c r="D44" s="69" t="n"/>
      <c r="E44" s="69" t="n"/>
      <c r="F44" s="69" t="n"/>
      <c r="G44" s="69" t="n"/>
      <c r="H44" s="69" t="n"/>
      <c r="I44" s="69" t="n"/>
      <c r="J44" s="69" t="n"/>
      <c r="K44" s="69" t="n"/>
      <c r="L44" s="69" t="n"/>
      <c r="M44" s="69" t="n"/>
      <c r="N44" s="69" t="n"/>
      <c r="O44" s="71">
        <f>IFERROR(AVERAGE(C44:N44),"")</f>
        <v/>
      </c>
      <c r="P44" s="70">
        <f>IFERROR(IF(AND(C44="",N44=""),"--",IF(N44&gt;C44," Worsening",IF(N44&lt;C44," Improving"," Stable"))),"--")</f>
        <v/>
      </c>
    </row>
    <row r="45" ht="19.5" customHeight="1" s="146">
      <c r="A45" s="20">
        <f>'Field Teams'!A45</f>
        <v/>
      </c>
      <c r="B45" s="68">
        <f>'Field Teams'!B45</f>
        <v/>
      </c>
      <c r="C45" s="69" t="n"/>
      <c r="D45" s="69" t="n"/>
      <c r="E45" s="69" t="n"/>
      <c r="F45" s="69" t="n"/>
      <c r="G45" s="69" t="n"/>
      <c r="H45" s="69" t="n"/>
      <c r="I45" s="69" t="n"/>
      <c r="J45" s="69" t="n"/>
      <c r="K45" s="69" t="n"/>
      <c r="L45" s="69" t="n"/>
      <c r="M45" s="69" t="n"/>
      <c r="N45" s="69" t="n"/>
      <c r="O45" s="19">
        <f>IFERROR(AVERAGE(C45:N45),"")</f>
        <v/>
      </c>
      <c r="P45" s="20">
        <f>IFERROR(IF(AND(C45="",N45=""),"--",IF(N45&gt;C45," Worsening",IF(N45&lt;C45," Improving"," Stable"))),"--")</f>
        <v/>
      </c>
    </row>
    <row r="46" ht="19.5" customHeight="1" s="146">
      <c r="A46" s="70">
        <f>'Field Teams'!A46</f>
        <v/>
      </c>
      <c r="B46" s="18">
        <f>'Field Teams'!B46</f>
        <v/>
      </c>
      <c r="C46" s="69" t="n"/>
      <c r="D46" s="69" t="n"/>
      <c r="E46" s="69" t="n"/>
      <c r="F46" s="69" t="n"/>
      <c r="G46" s="69" t="n"/>
      <c r="H46" s="69" t="n"/>
      <c r="I46" s="69" t="n"/>
      <c r="J46" s="69" t="n"/>
      <c r="K46" s="69" t="n"/>
      <c r="L46" s="69" t="n"/>
      <c r="M46" s="69" t="n"/>
      <c r="N46" s="69" t="n"/>
      <c r="O46" s="71">
        <f>IFERROR(AVERAGE(C46:N46),"")</f>
        <v/>
      </c>
      <c r="P46" s="70">
        <f>IFERROR(IF(AND(C46="",N46=""),"--",IF(N46&gt;C46," Worsening",IF(N46&lt;C46," Improving"," Stable"))),"--")</f>
        <v/>
      </c>
    </row>
    <row r="47" ht="19.5" customHeight="1" s="146">
      <c r="A47" s="20">
        <f>'Field Teams'!A47</f>
        <v/>
      </c>
      <c r="B47" s="68">
        <f>'Field Teams'!B47</f>
        <v/>
      </c>
      <c r="C47" s="69" t="n"/>
      <c r="D47" s="69" t="n"/>
      <c r="E47" s="69" t="n"/>
      <c r="F47" s="69" t="n"/>
      <c r="G47" s="69" t="n"/>
      <c r="H47" s="69" t="n"/>
      <c r="I47" s="69" t="n"/>
      <c r="J47" s="69" t="n"/>
      <c r="K47" s="69" t="n"/>
      <c r="L47" s="69" t="n"/>
      <c r="M47" s="69" t="n"/>
      <c r="N47" s="69" t="n"/>
      <c r="O47" s="19">
        <f>IFERROR(AVERAGE(C47:N47),"")</f>
        <v/>
      </c>
      <c r="P47" s="20">
        <f>IFERROR(IF(AND(C47="",N47=""),"--",IF(N47&gt;C47," Worsening",IF(N47&lt;C47," Improving"," Stable"))),"--")</f>
        <v/>
      </c>
    </row>
    <row r="48" ht="19.5" customHeight="1" s="146">
      <c r="A48" s="70">
        <f>'Field Teams'!A48</f>
        <v/>
      </c>
      <c r="B48" s="18">
        <f>'Field Teams'!B48</f>
        <v/>
      </c>
      <c r="C48" s="69" t="n"/>
      <c r="D48" s="69" t="n"/>
      <c r="E48" s="69" t="n"/>
      <c r="F48" s="69" t="n"/>
      <c r="G48" s="69" t="n"/>
      <c r="H48" s="69" t="n"/>
      <c r="I48" s="69" t="n"/>
      <c r="J48" s="69" t="n"/>
      <c r="K48" s="69" t="n"/>
      <c r="L48" s="69" t="n"/>
      <c r="M48" s="69" t="n"/>
      <c r="N48" s="69" t="n"/>
      <c r="O48" s="71">
        <f>IFERROR(AVERAGE(C48:N48),"")</f>
        <v/>
      </c>
      <c r="P48" s="70">
        <f>IFERROR(IF(AND(C48="",N48=""),"--",IF(N48&gt;C48," Worsening",IF(N48&lt;C48," Improving"," Stable"))),"--")</f>
        <v/>
      </c>
    </row>
    <row r="49" ht="19.5" customHeight="1" s="146">
      <c r="A49" s="20">
        <f>'Field Teams'!A49</f>
        <v/>
      </c>
      <c r="B49" s="68">
        <f>'Field Teams'!B49</f>
        <v/>
      </c>
      <c r="C49" s="69" t="n"/>
      <c r="D49" s="69" t="n"/>
      <c r="E49" s="69" t="n"/>
      <c r="F49" s="69" t="n"/>
      <c r="G49" s="69" t="n"/>
      <c r="H49" s="69" t="n"/>
      <c r="I49" s="69" t="n"/>
      <c r="J49" s="69" t="n"/>
      <c r="K49" s="69" t="n"/>
      <c r="L49" s="69" t="n"/>
      <c r="M49" s="69" t="n"/>
      <c r="N49" s="69" t="n"/>
      <c r="O49" s="19">
        <f>IFERROR(AVERAGE(C49:N49),"")</f>
        <v/>
      </c>
      <c r="P49" s="20">
        <f>IFERROR(IF(AND(C49="",N49=""),"--",IF(N49&gt;C49," Worsening",IF(N49&lt;C49," Improving"," Stable"))),"--")</f>
        <v/>
      </c>
    </row>
    <row r="50" ht="19.5" customHeight="1" s="146">
      <c r="A50" s="70">
        <f>'Field Teams'!A50</f>
        <v/>
      </c>
      <c r="B50" s="18">
        <f>'Field Teams'!B50</f>
        <v/>
      </c>
      <c r="C50" s="69" t="n"/>
      <c r="D50" s="69" t="n"/>
      <c r="E50" s="69" t="n"/>
      <c r="F50" s="69" t="n"/>
      <c r="G50" s="69" t="n"/>
      <c r="H50" s="69" t="n"/>
      <c r="I50" s="69" t="n"/>
      <c r="J50" s="69" t="n"/>
      <c r="K50" s="69" t="n"/>
      <c r="L50" s="69" t="n"/>
      <c r="M50" s="69" t="n"/>
      <c r="N50" s="69" t="n"/>
      <c r="O50" s="71">
        <f>IFERROR(AVERAGE(C50:N50),"")</f>
        <v/>
      </c>
      <c r="P50" s="70">
        <f>IFERROR(IF(AND(C50="",N50=""),"--",IF(N50&gt;C50," Worsening",IF(N50&lt;C50," Improving"," Stable"))),"--")</f>
        <v/>
      </c>
    </row>
    <row r="51" ht="19.5" customHeight="1" s="146">
      <c r="A51" s="20">
        <f>'Field Teams'!A51</f>
        <v/>
      </c>
      <c r="B51" s="68">
        <f>'Field Teams'!B51</f>
        <v/>
      </c>
      <c r="C51" s="69" t="n"/>
      <c r="D51" s="69" t="n"/>
      <c r="E51" s="69" t="n"/>
      <c r="F51" s="69" t="n"/>
      <c r="G51" s="69" t="n"/>
      <c r="H51" s="69" t="n"/>
      <c r="I51" s="69" t="n"/>
      <c r="J51" s="69" t="n"/>
      <c r="K51" s="69" t="n"/>
      <c r="L51" s="69" t="n"/>
      <c r="M51" s="69" t="n"/>
      <c r="N51" s="69" t="n"/>
      <c r="O51" s="19">
        <f>IFERROR(AVERAGE(C51:N51),"")</f>
        <v/>
      </c>
      <c r="P51" s="20">
        <f>IFERROR(IF(AND(C51="",N51=""),"--",IF(N51&gt;C51," Worsening",IF(N51&lt;C51," Improving"," Stable"))),"--")</f>
        <v/>
      </c>
    </row>
    <row r="52" ht="19.5" customHeight="1" s="146">
      <c r="A52" s="70">
        <f>'Field Teams'!A52</f>
        <v/>
      </c>
      <c r="B52" s="18">
        <f>'Field Teams'!B52</f>
        <v/>
      </c>
      <c r="C52" s="69" t="n"/>
      <c r="D52" s="69" t="n"/>
      <c r="E52" s="69" t="n"/>
      <c r="F52" s="69" t="n"/>
      <c r="G52" s="69" t="n"/>
      <c r="H52" s="69" t="n"/>
      <c r="I52" s="69" t="n"/>
      <c r="J52" s="69" t="n"/>
      <c r="K52" s="69" t="n"/>
      <c r="L52" s="69" t="n"/>
      <c r="M52" s="69" t="n"/>
      <c r="N52" s="69" t="n"/>
      <c r="O52" s="71">
        <f>IFERROR(AVERAGE(C52:N52),"")</f>
        <v/>
      </c>
      <c r="P52" s="70">
        <f>IFERROR(IF(AND(C52="",N52=""),"--",IF(N52&gt;C52," Worsening",IF(N52&lt;C52," Improving"," Stable"))),"--")</f>
        <v/>
      </c>
    </row>
    <row r="53" ht="19.5" customHeight="1" s="146">
      <c r="A53" s="20">
        <f>'Field Teams'!A53</f>
        <v/>
      </c>
      <c r="B53" s="68">
        <f>'Field Teams'!B53</f>
        <v/>
      </c>
      <c r="C53" s="69" t="n"/>
      <c r="D53" s="69" t="n"/>
      <c r="E53" s="69" t="n"/>
      <c r="F53" s="69" t="n"/>
      <c r="G53" s="69" t="n"/>
      <c r="H53" s="69" t="n"/>
      <c r="I53" s="69" t="n"/>
      <c r="J53" s="69" t="n"/>
      <c r="K53" s="69" t="n"/>
      <c r="L53" s="69" t="n"/>
      <c r="M53" s="69" t="n"/>
      <c r="N53" s="69" t="n"/>
      <c r="O53" s="19">
        <f>IFERROR(AVERAGE(C53:N53),"")</f>
        <v/>
      </c>
      <c r="P53" s="20">
        <f>IFERROR(IF(AND(C53="",N53=""),"--",IF(N53&gt;C53," Worsening",IF(N53&lt;C53," Improving"," Stable"))),"--")</f>
        <v/>
      </c>
    </row>
    <row r="54" ht="19.5" customHeight="1" s="146">
      <c r="A54" s="70">
        <f>'Field Teams'!A54</f>
        <v/>
      </c>
      <c r="B54" s="18">
        <f>'Field Teams'!B54</f>
        <v/>
      </c>
      <c r="C54" s="69" t="n"/>
      <c r="D54" s="69" t="n"/>
      <c r="E54" s="69" t="n"/>
      <c r="F54" s="69" t="n"/>
      <c r="G54" s="69" t="n"/>
      <c r="H54" s="69" t="n"/>
      <c r="I54" s="69" t="n"/>
      <c r="J54" s="69" t="n"/>
      <c r="K54" s="69" t="n"/>
      <c r="L54" s="69" t="n"/>
      <c r="M54" s="69" t="n"/>
      <c r="N54" s="69" t="n"/>
      <c r="O54" s="71">
        <f>IFERROR(AVERAGE(C54:N54),"")</f>
        <v/>
      </c>
      <c r="P54" s="70">
        <f>IFERROR(IF(AND(C54="",N54=""),"--",IF(N54&gt;C54," Worsening",IF(N54&lt;C54," Improving"," Stable"))),"--")</f>
        <v/>
      </c>
    </row>
    <row r="55" ht="19.5" customHeight="1" s="146">
      <c r="A55" s="20">
        <f>'Field Teams'!A55</f>
        <v/>
      </c>
      <c r="B55" s="68">
        <f>'Field Teams'!B55</f>
        <v/>
      </c>
      <c r="C55" s="69" t="n"/>
      <c r="D55" s="69" t="n"/>
      <c r="E55" s="69" t="n"/>
      <c r="F55" s="69" t="n"/>
      <c r="G55" s="69" t="n"/>
      <c r="H55" s="69" t="n"/>
      <c r="I55" s="69" t="n"/>
      <c r="J55" s="69" t="n"/>
      <c r="K55" s="69" t="n"/>
      <c r="L55" s="69" t="n"/>
      <c r="M55" s="69" t="n"/>
      <c r="N55" s="69" t="n"/>
      <c r="O55" s="19">
        <f>IFERROR(AVERAGE(C55:N55),"")</f>
        <v/>
      </c>
      <c r="P55" s="20">
        <f>IFERROR(IF(AND(C55="",N55=""),"--",IF(N55&gt;C55," Worsening",IF(N55&lt;C55," Improving"," Stable"))),"--")</f>
        <v/>
      </c>
    </row>
    <row r="56" ht="19.5" customHeight="1" s="146">
      <c r="A56" s="70">
        <f>'Field Teams'!A56</f>
        <v/>
      </c>
      <c r="B56" s="18">
        <f>'Field Teams'!B56</f>
        <v/>
      </c>
      <c r="C56" s="69" t="n"/>
      <c r="D56" s="69" t="n"/>
      <c r="E56" s="69" t="n"/>
      <c r="F56" s="69" t="n"/>
      <c r="G56" s="69" t="n"/>
      <c r="H56" s="69" t="n"/>
      <c r="I56" s="69" t="n"/>
      <c r="J56" s="69" t="n"/>
      <c r="K56" s="69" t="n"/>
      <c r="L56" s="69" t="n"/>
      <c r="M56" s="69" t="n"/>
      <c r="N56" s="69" t="n"/>
      <c r="O56" s="71">
        <f>IFERROR(AVERAGE(C56:N56),"")</f>
        <v/>
      </c>
      <c r="P56" s="70">
        <f>IFERROR(IF(AND(C56="",N56=""),"--",IF(N56&gt;C56," Worsening",IF(N56&lt;C56," Improving"," Stable"))),"--")</f>
        <v/>
      </c>
    </row>
    <row r="57" ht="19.5" customHeight="1" s="146">
      <c r="A57" s="20">
        <f>'Field Teams'!A57</f>
        <v/>
      </c>
      <c r="B57" s="68">
        <f>'Field Teams'!B57</f>
        <v/>
      </c>
      <c r="C57" s="69" t="n"/>
      <c r="D57" s="69" t="n"/>
      <c r="E57" s="69" t="n"/>
      <c r="F57" s="69" t="n"/>
      <c r="G57" s="69" t="n"/>
      <c r="H57" s="69" t="n"/>
      <c r="I57" s="69" t="n"/>
      <c r="J57" s="69" t="n"/>
      <c r="K57" s="69" t="n"/>
      <c r="L57" s="69" t="n"/>
      <c r="M57" s="69" t="n"/>
      <c r="N57" s="69" t="n"/>
      <c r="O57" s="19">
        <f>IFERROR(AVERAGE(C57:N57),"")</f>
        <v/>
      </c>
      <c r="P57" s="20">
        <f>IFERROR(IF(AND(C57="",N57=""),"--",IF(N57&gt;C57," Worsening",IF(N57&lt;C57," Improving"," Stable"))),"--")</f>
        <v/>
      </c>
    </row>
    <row r="58" ht="19.5" customHeight="1" s="146">
      <c r="A58" s="70">
        <f>'Field Teams'!A58</f>
        <v/>
      </c>
      <c r="B58" s="18">
        <f>'Field Teams'!B58</f>
        <v/>
      </c>
      <c r="C58" s="69" t="n"/>
      <c r="D58" s="69" t="n"/>
      <c r="E58" s="69" t="n"/>
      <c r="F58" s="69" t="n"/>
      <c r="G58" s="69" t="n"/>
      <c r="H58" s="69" t="n"/>
      <c r="I58" s="69" t="n"/>
      <c r="J58" s="69" t="n"/>
      <c r="K58" s="69" t="n"/>
      <c r="L58" s="69" t="n"/>
      <c r="M58" s="69" t="n"/>
      <c r="N58" s="69" t="n"/>
      <c r="O58" s="71">
        <f>IFERROR(AVERAGE(C58:N58),"")</f>
        <v/>
      </c>
      <c r="P58" s="70">
        <f>IFERROR(IF(AND(C58="",N58=""),"--",IF(N58&gt;C58," Worsening",IF(N58&lt;C58," Improving"," Stable"))),"--")</f>
        <v/>
      </c>
    </row>
    <row r="59" ht="19.5" customHeight="1" s="146">
      <c r="A59" s="20">
        <f>'Field Teams'!A59</f>
        <v/>
      </c>
      <c r="B59" s="68">
        <f>'Field Teams'!B59</f>
        <v/>
      </c>
      <c r="C59" s="69" t="n"/>
      <c r="D59" s="69" t="n"/>
      <c r="E59" s="69" t="n"/>
      <c r="F59" s="69" t="n"/>
      <c r="G59" s="69" t="n"/>
      <c r="H59" s="69" t="n"/>
      <c r="I59" s="69" t="n"/>
      <c r="J59" s="69" t="n"/>
      <c r="K59" s="69" t="n"/>
      <c r="L59" s="69" t="n"/>
      <c r="M59" s="69" t="n"/>
      <c r="N59" s="69" t="n"/>
      <c r="O59" s="19">
        <f>IFERROR(AVERAGE(C59:N59),"")</f>
        <v/>
      </c>
      <c r="P59" s="20">
        <f>IFERROR(IF(AND(C59="",N59=""),"--",IF(N59&gt;C59," Worsening",IF(N59&lt;C59," Improving"," Stable"))),"--")</f>
        <v/>
      </c>
    </row>
    <row r="60" ht="19.5" customHeight="1" s="146">
      <c r="A60" s="70">
        <f>'Field Teams'!A60</f>
        <v/>
      </c>
      <c r="B60" s="18">
        <f>'Field Teams'!B60</f>
        <v/>
      </c>
      <c r="C60" s="69" t="n"/>
      <c r="D60" s="69" t="n"/>
      <c r="E60" s="69" t="n"/>
      <c r="F60" s="69" t="n"/>
      <c r="G60" s="69" t="n"/>
      <c r="H60" s="69" t="n"/>
      <c r="I60" s="69" t="n"/>
      <c r="J60" s="69" t="n"/>
      <c r="K60" s="69" t="n"/>
      <c r="L60" s="69" t="n"/>
      <c r="M60" s="69" t="n"/>
      <c r="N60" s="69" t="n"/>
      <c r="O60" s="71">
        <f>IFERROR(AVERAGE(C60:N60),"")</f>
        <v/>
      </c>
      <c r="P60" s="70">
        <f>IFERROR(IF(AND(C60="",N60=""),"--",IF(N60&gt;C60," Worsening",IF(N60&lt;C60," Improving"," Stable"))),"--")</f>
        <v/>
      </c>
    </row>
    <row r="61" ht="19.5" customHeight="1" s="146">
      <c r="A61" s="20">
        <f>'Field Teams'!A61</f>
        <v/>
      </c>
      <c r="B61" s="68">
        <f>'Field Teams'!B61</f>
        <v/>
      </c>
      <c r="C61" s="69" t="n"/>
      <c r="D61" s="69" t="n"/>
      <c r="E61" s="69" t="n"/>
      <c r="F61" s="69" t="n"/>
      <c r="G61" s="69" t="n"/>
      <c r="H61" s="69" t="n"/>
      <c r="I61" s="69" t="n"/>
      <c r="J61" s="69" t="n"/>
      <c r="K61" s="69" t="n"/>
      <c r="L61" s="69" t="n"/>
      <c r="M61" s="69" t="n"/>
      <c r="N61" s="69" t="n"/>
      <c r="O61" s="19">
        <f>IFERROR(AVERAGE(C61:N61),"")</f>
        <v/>
      </c>
      <c r="P61" s="20">
        <f>IFERROR(IF(AND(C61="",N61=""),"--",IF(N61&gt;C61," Worsening",IF(N61&lt;C61," Improving"," Stable"))),"--")</f>
        <v/>
      </c>
    </row>
    <row r="62" ht="19.5" customHeight="1" s="146">
      <c r="A62" s="70">
        <f>'Field Teams'!A62</f>
        <v/>
      </c>
      <c r="B62" s="18">
        <f>'Field Teams'!B62</f>
        <v/>
      </c>
      <c r="C62" s="69" t="n"/>
      <c r="D62" s="69" t="n"/>
      <c r="E62" s="69" t="n"/>
      <c r="F62" s="69" t="n"/>
      <c r="G62" s="69" t="n"/>
      <c r="H62" s="69" t="n"/>
      <c r="I62" s="69" t="n"/>
      <c r="J62" s="69" t="n"/>
      <c r="K62" s="69" t="n"/>
      <c r="L62" s="69" t="n"/>
      <c r="M62" s="69" t="n"/>
      <c r="N62" s="69" t="n"/>
      <c r="O62" s="71">
        <f>IFERROR(AVERAGE(C62:N62),"")</f>
        <v/>
      </c>
      <c r="P62" s="70">
        <f>IFERROR(IF(AND(C62="",N62=""),"--",IF(N62&gt;C62," Worsening",IF(N62&lt;C62," Improving"," Stable"))),"--")</f>
        <v/>
      </c>
    </row>
    <row r="63" ht="19.5" customHeight="1" s="146">
      <c r="A63" s="20">
        <f>'Field Teams'!A63</f>
        <v/>
      </c>
      <c r="B63" s="68">
        <f>'Field Teams'!B63</f>
        <v/>
      </c>
      <c r="C63" s="69" t="n"/>
      <c r="D63" s="69" t="n"/>
      <c r="E63" s="69" t="n"/>
      <c r="F63" s="69" t="n"/>
      <c r="G63" s="69" t="n"/>
      <c r="H63" s="69" t="n"/>
      <c r="I63" s="69" t="n"/>
      <c r="J63" s="69" t="n"/>
      <c r="K63" s="69" t="n"/>
      <c r="L63" s="69" t="n"/>
      <c r="M63" s="69" t="n"/>
      <c r="N63" s="69" t="n"/>
      <c r="O63" s="19">
        <f>IFERROR(AVERAGE(C63:N63),"")</f>
        <v/>
      </c>
      <c r="P63" s="20">
        <f>IFERROR(IF(AND(C63="",N63=""),"--",IF(N63&gt;C63," Worsening",IF(N63&lt;C63," Improving"," Stable"))),"--")</f>
        <v/>
      </c>
    </row>
    <row r="64" ht="19.5" customHeight="1" s="146">
      <c r="A64" s="70">
        <f>'Field Teams'!A64</f>
        <v/>
      </c>
      <c r="B64" s="18">
        <f>'Field Teams'!B64</f>
        <v/>
      </c>
      <c r="C64" s="69" t="n"/>
      <c r="D64" s="69" t="n"/>
      <c r="E64" s="69" t="n"/>
      <c r="F64" s="69" t="n"/>
      <c r="G64" s="69" t="n"/>
      <c r="H64" s="69" t="n"/>
      <c r="I64" s="69" t="n"/>
      <c r="J64" s="69" t="n"/>
      <c r="K64" s="69" t="n"/>
      <c r="L64" s="69" t="n"/>
      <c r="M64" s="69" t="n"/>
      <c r="N64" s="69" t="n"/>
      <c r="O64" s="71">
        <f>IFERROR(AVERAGE(C64:N64),"")</f>
        <v/>
      </c>
      <c r="P64" s="70">
        <f>IFERROR(IF(AND(C64="",N64=""),"--",IF(N64&gt;C64," Worsening",IF(N64&lt;C64," Improving"," Stable"))),"--")</f>
        <v/>
      </c>
    </row>
    <row r="65" ht="19.5" customHeight="1" s="146">
      <c r="A65" s="20">
        <f>'Field Teams'!A65</f>
        <v/>
      </c>
      <c r="B65" s="68">
        <f>'Field Teams'!B65</f>
        <v/>
      </c>
      <c r="C65" s="69" t="n"/>
      <c r="D65" s="69" t="n"/>
      <c r="E65" s="69" t="n"/>
      <c r="F65" s="69" t="n"/>
      <c r="G65" s="69" t="n"/>
      <c r="H65" s="69" t="n"/>
      <c r="I65" s="69" t="n"/>
      <c r="J65" s="69" t="n"/>
      <c r="K65" s="69" t="n"/>
      <c r="L65" s="69" t="n"/>
      <c r="M65" s="69" t="n"/>
      <c r="N65" s="69" t="n"/>
      <c r="O65" s="19">
        <f>IFERROR(AVERAGE(C65:N65),"")</f>
        <v/>
      </c>
      <c r="P65" s="20">
        <f>IFERROR(IF(AND(C65="",N65=""),"--",IF(N65&gt;C65," Worsening",IF(N65&lt;C65," Improving"," Stable"))),"--")</f>
        <v/>
      </c>
    </row>
    <row r="66" ht="19.5" customHeight="1" s="146">
      <c r="A66" s="70">
        <f>'Field Teams'!A66</f>
        <v/>
      </c>
      <c r="B66" s="18">
        <f>'Field Teams'!B66</f>
        <v/>
      </c>
      <c r="C66" s="69" t="n"/>
      <c r="D66" s="69" t="n"/>
      <c r="E66" s="69" t="n"/>
      <c r="F66" s="69" t="n"/>
      <c r="G66" s="69" t="n"/>
      <c r="H66" s="69" t="n"/>
      <c r="I66" s="69" t="n"/>
      <c r="J66" s="69" t="n"/>
      <c r="K66" s="69" t="n"/>
      <c r="L66" s="69" t="n"/>
      <c r="M66" s="69" t="n"/>
      <c r="N66" s="69" t="n"/>
      <c r="O66" s="71">
        <f>IFERROR(AVERAGE(C66:N66),"")</f>
        <v/>
      </c>
      <c r="P66" s="70">
        <f>IFERROR(IF(AND(C66="",N66=""),"--",IF(N66&gt;C66," Worsening",IF(N66&lt;C66," Improving"," Stable"))),"--")</f>
        <v/>
      </c>
    </row>
    <row r="67" ht="19.5" customHeight="1" s="146">
      <c r="A67" s="20">
        <f>'Field Teams'!A67</f>
        <v/>
      </c>
      <c r="B67" s="68">
        <f>'Field Teams'!B67</f>
        <v/>
      </c>
      <c r="C67" s="69" t="n"/>
      <c r="D67" s="69" t="n"/>
      <c r="E67" s="69" t="n"/>
      <c r="F67" s="69" t="n"/>
      <c r="G67" s="69" t="n"/>
      <c r="H67" s="69" t="n"/>
      <c r="I67" s="69" t="n"/>
      <c r="J67" s="69" t="n"/>
      <c r="K67" s="69" t="n"/>
      <c r="L67" s="69" t="n"/>
      <c r="M67" s="69" t="n"/>
      <c r="N67" s="69" t="n"/>
      <c r="O67" s="19">
        <f>IFERROR(AVERAGE(C67:N67),"")</f>
        <v/>
      </c>
      <c r="P67" s="20">
        <f>IFERROR(IF(AND(C67="",N67=""),"--",IF(N67&gt;C67," Worsening",IF(N67&lt;C67," Improving"," Stable"))),"--")</f>
        <v/>
      </c>
    </row>
    <row r="68" ht="19.5" customHeight="1" s="146">
      <c r="A68" s="70">
        <f>'Field Teams'!A68</f>
        <v/>
      </c>
      <c r="B68" s="18">
        <f>'Field Teams'!B68</f>
        <v/>
      </c>
      <c r="C68" s="69" t="n"/>
      <c r="D68" s="69" t="n"/>
      <c r="E68" s="69" t="n"/>
      <c r="F68" s="69" t="n"/>
      <c r="G68" s="69" t="n"/>
      <c r="H68" s="69" t="n"/>
      <c r="I68" s="69" t="n"/>
      <c r="J68" s="69" t="n"/>
      <c r="K68" s="69" t="n"/>
      <c r="L68" s="69" t="n"/>
      <c r="M68" s="69" t="n"/>
      <c r="N68" s="69" t="n"/>
      <c r="O68" s="71">
        <f>IFERROR(AVERAGE(C68:N68),"")</f>
        <v/>
      </c>
      <c r="P68" s="70">
        <f>IFERROR(IF(AND(C68="",N68=""),"--",IF(N68&gt;C68," Worsening",IF(N68&lt;C68," Improving"," Stable"))),"--")</f>
        <v/>
      </c>
    </row>
    <row r="69" ht="19.5" customHeight="1" s="146">
      <c r="A69" s="20">
        <f>'Field Teams'!A69</f>
        <v/>
      </c>
      <c r="B69" s="68">
        <f>'Field Teams'!B69</f>
        <v/>
      </c>
      <c r="C69" s="69" t="n"/>
      <c r="D69" s="69" t="n"/>
      <c r="E69" s="69" t="n"/>
      <c r="F69" s="69" t="n"/>
      <c r="G69" s="69" t="n"/>
      <c r="H69" s="69" t="n"/>
      <c r="I69" s="69" t="n"/>
      <c r="J69" s="69" t="n"/>
      <c r="K69" s="69" t="n"/>
      <c r="L69" s="69" t="n"/>
      <c r="M69" s="69" t="n"/>
      <c r="N69" s="69" t="n"/>
      <c r="O69" s="19">
        <f>IFERROR(AVERAGE(C69:N69),"")</f>
        <v/>
      </c>
      <c r="P69" s="20">
        <f>IFERROR(IF(AND(C69="",N69=""),"--",IF(N69&gt;C69," Worsening",IF(N69&lt;C69," Improving"," Stable"))),"--")</f>
        <v/>
      </c>
    </row>
    <row r="70" ht="19.5" customHeight="1" s="146">
      <c r="A70" s="70">
        <f>'Field Teams'!A70</f>
        <v/>
      </c>
      <c r="B70" s="18">
        <f>'Field Teams'!B70</f>
        <v/>
      </c>
      <c r="C70" s="69" t="n"/>
      <c r="D70" s="69" t="n"/>
      <c r="E70" s="69" t="n"/>
      <c r="F70" s="69" t="n"/>
      <c r="G70" s="69" t="n"/>
      <c r="H70" s="69" t="n"/>
      <c r="I70" s="69" t="n"/>
      <c r="J70" s="69" t="n"/>
      <c r="K70" s="69" t="n"/>
      <c r="L70" s="69" t="n"/>
      <c r="M70" s="69" t="n"/>
      <c r="N70" s="69" t="n"/>
      <c r="O70" s="71">
        <f>IFERROR(AVERAGE(C70:N70),"")</f>
        <v/>
      </c>
      <c r="P70" s="70">
        <f>IFERROR(IF(AND(C70="",N70=""),"--",IF(N70&gt;C70," Worsening",IF(N70&lt;C70," Improving"," Stable"))),"--")</f>
        <v/>
      </c>
    </row>
    <row r="71" ht="19.5" customHeight="1" s="146">
      <c r="A71" s="20">
        <f>'Field Teams'!A71</f>
        <v/>
      </c>
      <c r="B71" s="68">
        <f>'Field Teams'!B71</f>
        <v/>
      </c>
      <c r="C71" s="69" t="n"/>
      <c r="D71" s="69" t="n"/>
      <c r="E71" s="69" t="n"/>
      <c r="F71" s="69" t="n"/>
      <c r="G71" s="69" t="n"/>
      <c r="H71" s="69" t="n"/>
      <c r="I71" s="69" t="n"/>
      <c r="J71" s="69" t="n"/>
      <c r="K71" s="69" t="n"/>
      <c r="L71" s="69" t="n"/>
      <c r="M71" s="69" t="n"/>
      <c r="N71" s="69" t="n"/>
      <c r="O71" s="19">
        <f>IFERROR(AVERAGE(C71:N71),"")</f>
        <v/>
      </c>
      <c r="P71" s="20">
        <f>IFERROR(IF(AND(C71="",N71=""),"--",IF(N71&gt;C71," Worsening",IF(N71&lt;C71," Improving"," Stable"))),"--")</f>
        <v/>
      </c>
    </row>
    <row r="72" ht="19.5" customHeight="1" s="146">
      <c r="A72" s="70">
        <f>'Field Teams'!A72</f>
        <v/>
      </c>
      <c r="B72" s="18">
        <f>'Field Teams'!B72</f>
        <v/>
      </c>
      <c r="C72" s="69" t="n"/>
      <c r="D72" s="69" t="n"/>
      <c r="E72" s="69" t="n"/>
      <c r="F72" s="69" t="n"/>
      <c r="G72" s="69" t="n"/>
      <c r="H72" s="69" t="n"/>
      <c r="I72" s="69" t="n"/>
      <c r="J72" s="69" t="n"/>
      <c r="K72" s="69" t="n"/>
      <c r="L72" s="69" t="n"/>
      <c r="M72" s="69" t="n"/>
      <c r="N72" s="69" t="n"/>
      <c r="O72" s="71">
        <f>IFERROR(AVERAGE(C72:N72),"")</f>
        <v/>
      </c>
      <c r="P72" s="70">
        <f>IFERROR(IF(AND(C72="",N72=""),"--",IF(N72&gt;C72," Worsening",IF(N72&lt;C72," Improving"," Stable"))),"--")</f>
        <v/>
      </c>
    </row>
    <row r="73" ht="19.5" customHeight="1" s="146">
      <c r="A73" s="20">
        <f>'Field Teams'!A73</f>
        <v/>
      </c>
      <c r="B73" s="68">
        <f>'Field Teams'!B73</f>
        <v/>
      </c>
      <c r="C73" s="69" t="n"/>
      <c r="D73" s="69" t="n"/>
      <c r="E73" s="69" t="n"/>
      <c r="F73" s="69" t="n"/>
      <c r="G73" s="69" t="n"/>
      <c r="H73" s="69" t="n"/>
      <c r="I73" s="69" t="n"/>
      <c r="J73" s="69" t="n"/>
      <c r="K73" s="69" t="n"/>
      <c r="L73" s="69" t="n"/>
      <c r="M73" s="69" t="n"/>
      <c r="N73" s="69" t="n"/>
      <c r="O73" s="19">
        <f>IFERROR(AVERAGE(C73:N73),"")</f>
        <v/>
      </c>
      <c r="P73" s="20">
        <f>IFERROR(IF(AND(C73="",N73=""),"--",IF(N73&gt;C73," Worsening",IF(N73&lt;C73," Improving"," Stable"))),"--")</f>
        <v/>
      </c>
    </row>
    <row r="74" ht="19.5" customHeight="1" s="146">
      <c r="A74" s="70">
        <f>'Field Teams'!A74</f>
        <v/>
      </c>
      <c r="B74" s="18">
        <f>'Field Teams'!B74</f>
        <v/>
      </c>
      <c r="C74" s="69" t="n"/>
      <c r="D74" s="69" t="n"/>
      <c r="E74" s="69" t="n"/>
      <c r="F74" s="69" t="n"/>
      <c r="G74" s="69" t="n"/>
      <c r="H74" s="69" t="n"/>
      <c r="I74" s="69" t="n"/>
      <c r="J74" s="69" t="n"/>
      <c r="K74" s="69" t="n"/>
      <c r="L74" s="69" t="n"/>
      <c r="M74" s="69" t="n"/>
      <c r="N74" s="69" t="n"/>
      <c r="O74" s="71">
        <f>IFERROR(AVERAGE(C74:N74),"")</f>
        <v/>
      </c>
      <c r="P74" s="70">
        <f>IFERROR(IF(AND(C74="",N74=""),"--",IF(N74&gt;C74," Worsening",IF(N74&lt;C74," Improving"," Stable"))),"--")</f>
        <v/>
      </c>
    </row>
    <row r="75" ht="19.5" customHeight="1" s="146">
      <c r="A75" s="20">
        <f>'Field Teams'!A75</f>
        <v/>
      </c>
      <c r="B75" s="68">
        <f>'Field Teams'!B75</f>
        <v/>
      </c>
      <c r="C75" s="69" t="n"/>
      <c r="D75" s="69" t="n"/>
      <c r="E75" s="69" t="n"/>
      <c r="F75" s="69" t="n"/>
      <c r="G75" s="69" t="n"/>
      <c r="H75" s="69" t="n"/>
      <c r="I75" s="69" t="n"/>
      <c r="J75" s="69" t="n"/>
      <c r="K75" s="69" t="n"/>
      <c r="L75" s="69" t="n"/>
      <c r="M75" s="69" t="n"/>
      <c r="N75" s="69" t="n"/>
      <c r="O75" s="19">
        <f>IFERROR(AVERAGE(C75:N75),"")</f>
        <v/>
      </c>
      <c r="P75" s="20">
        <f>IFERROR(IF(AND(C75="",N75=""),"--",IF(N75&gt;C75," Worsening",IF(N75&lt;C75," Improving"," Stable"))),"--")</f>
        <v/>
      </c>
    </row>
    <row r="76" ht="19.5" customHeight="1" s="146">
      <c r="A76" s="70">
        <f>'Field Teams'!A76</f>
        <v/>
      </c>
      <c r="B76" s="18">
        <f>'Field Teams'!B76</f>
        <v/>
      </c>
      <c r="C76" s="69" t="n"/>
      <c r="D76" s="69" t="n"/>
      <c r="E76" s="69" t="n"/>
      <c r="F76" s="69" t="n"/>
      <c r="G76" s="69" t="n"/>
      <c r="H76" s="69" t="n"/>
      <c r="I76" s="69" t="n"/>
      <c r="J76" s="69" t="n"/>
      <c r="K76" s="69" t="n"/>
      <c r="L76" s="69" t="n"/>
      <c r="M76" s="69" t="n"/>
      <c r="N76" s="69" t="n"/>
      <c r="O76" s="71">
        <f>IFERROR(AVERAGE(C76:N76),"")</f>
        <v/>
      </c>
      <c r="P76" s="70">
        <f>IFERROR(IF(AND(C76="",N76=""),"--",IF(N76&gt;C76," Worsening",IF(N76&lt;C76," Improving"," Stable"))),"--")</f>
        <v/>
      </c>
    </row>
    <row r="77" ht="15" customHeight="1" s="146">
      <c r="A77" s="49">
        <f>'Field Teams'!A77</f>
        <v/>
      </c>
      <c r="B77" s="72">
        <f>'Field Teams'!B77</f>
        <v/>
      </c>
      <c r="O77" s="49">
        <f>IFERROR(AVERAGE(C77:N77),"")</f>
        <v/>
      </c>
      <c r="P77" s="49">
        <f>IFERROR(IF(AND(C77="",N77=""),"--",IF(N77&gt;C77," Worsening",IF(N77&lt;C77," Improving"," Stable"))),"--")</f>
        <v/>
      </c>
    </row>
    <row r="78" ht="19.5" customHeight="1" s="146">
      <c r="A78" s="73" t="inlineStr">
        <is>
          <t>TOTAL</t>
        </is>
      </c>
      <c r="B78" s="73" t="inlineStr">
        <is>
          <t>Portfolio Total (all teams)</t>
        </is>
      </c>
      <c r="C78" s="74">
        <f>IFERROR(AVERAGE(C4:C77),"")</f>
        <v/>
      </c>
      <c r="D78" s="74">
        <f>IFERROR(AVERAGE(D4:D77),"")</f>
        <v/>
      </c>
      <c r="E78" s="74">
        <f>IFERROR(AVERAGE(E4:E77),"")</f>
        <v/>
      </c>
      <c r="F78" s="74">
        <f>IFERROR(AVERAGE(F4:F77),"")</f>
        <v/>
      </c>
      <c r="G78" s="74">
        <f>IFERROR(AVERAGE(G4:G77),"")</f>
        <v/>
      </c>
      <c r="H78" s="74">
        <f>IFERROR(AVERAGE(H4:H77),"")</f>
        <v/>
      </c>
      <c r="I78" s="74">
        <f>IFERROR(AVERAGE(I4:I77),"")</f>
        <v/>
      </c>
      <c r="J78" s="74">
        <f>IFERROR(AVERAGE(J4:J77),"")</f>
        <v/>
      </c>
      <c r="K78" s="74">
        <f>IFERROR(AVERAGE(K4:K77),"")</f>
        <v/>
      </c>
      <c r="L78" s="74">
        <f>IFERROR(AVERAGE(L4:L77),"")</f>
        <v/>
      </c>
      <c r="M78" s="74">
        <f>IFERROR(AVERAGE(M4:M77),"")</f>
        <v/>
      </c>
      <c r="N78" s="74">
        <f>IFERROR(AVERAGE(N4:N77),"")</f>
        <v/>
      </c>
      <c r="O78">
        <f>IFERROR(AVERAGE(O5:O77),"")</f>
        <v/>
      </c>
      <c r="P78" t="inlineStr">
        <is>
          <t xml:space="preserve">-- </t>
        </is>
      </c>
    </row>
  </sheetData>
  <mergeCells count="4">
    <mergeCell ref="C3:N3"/>
    <mergeCell ref="A1:P1"/>
    <mergeCell ref="O3:P3"/>
    <mergeCell ref="A2:P2"/>
  </mergeCells>
  <conditionalFormatting sqref="C4:N76">
    <cfRule type="colorScale" priority="4">
      <colorScale>
        <cfvo type="num" val="0"/>
        <cfvo type="num" val="5"/>
        <cfvo type="num" val="10"/>
        <color rgb="FF00B050"/>
        <color rgb="FFFFC000"/>
        <color rgb="FFFF0000"/>
      </colorScale>
    </cfRule>
  </conditionalFormatting>
  <conditionalFormatting sqref="P4:P76">
    <cfRule type="containsText" priority="2" operator="containsText" dxfId="1" text="Worsening">
      <formula>NOT(ISERROR(SEARCH("Worsening",P4)))</formula>
    </cfRule>
    <cfRule type="containsText" priority="3" operator="containsText" dxfId="0" text="Improving">
      <formula>NOT(ISERROR(SEARCH("Improving",P4)))</formula>
    </cfRule>
  </conditionalFormatting>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C0392B"/>
    <outlinePr summaryBelow="1" summaryRight="1"/>
    <pageSetUpPr/>
  </sheetPr>
  <dimension ref="A1:Q203"/>
  <sheetViews>
    <sheetView showGridLines="0" zoomScaleNormal="100" workbookViewId="0">
      <selection activeCell="A1" sqref="A1"/>
    </sheetView>
  </sheetViews>
  <sheetFormatPr baseColWidth="10" defaultColWidth="8.6640625" defaultRowHeight="15" customHeight="1"/>
  <cols>
    <col width="8" customWidth="1" style="122" min="1" max="1"/>
    <col width="9" customWidth="1" style="122" min="2" max="2"/>
    <col width="28" customWidth="1" style="122" min="3" max="3"/>
    <col width="16" customWidth="1" style="122" min="4" max="5"/>
    <col width="14" customWidth="1" style="122" min="6" max="6"/>
    <col width="13" customWidth="1" style="122" min="7" max="8"/>
    <col width="11" customWidth="1" style="122" min="9" max="9"/>
    <col width="12" customWidth="1" style="122" min="10" max="10"/>
    <col width="30" customWidth="1" style="122" min="11" max="12"/>
    <col width="13" customWidth="1" style="122" min="13" max="17"/>
  </cols>
  <sheetData>
    <row r="1" ht="36" customHeight="1" s="146">
      <c r="A1" s="121" t="inlineStr">
        <is>
          <t>IMPROVEMENT PLAN &amp; ACTION LOG 2026-27</t>
        </is>
      </c>
    </row>
    <row r="2" ht="30" customHeight="1" s="146">
      <c r="A2" s="140" t="inlineStr">
        <is>
          <t>HIGH-risk teams auto-populate and rank by composite score. Complete manually: Root Cause / Issue | Action Required | Target Date | Date Closed. SLA: improvement plan entries within 5 working days of month end for all HIGH teams. Major event teams: immediate entry — do not wait for month end. PM site visits: 3x per week for HIGH teams until 4 consecutive months at LOW. Team drops to blank here when it exits HIGH — archive completed rows monthly.</t>
        </is>
      </c>
    </row>
    <row r="3" ht="42" customHeight="1" s="146">
      <c r="A3" s="5" t="inlineStr">
        <is>
          <t>Ref</t>
        </is>
      </c>
      <c r="B3" s="5" t="inlineStr">
        <is>
          <t>Team ID</t>
        </is>
      </c>
      <c r="C3" s="5" t="inlineStr">
        <is>
          <t>Team Name</t>
        </is>
      </c>
      <c r="D3" s="5" t="inlineStr">
        <is>
          <t>PM</t>
        </is>
      </c>
      <c r="E3" s="5" t="inlineStr">
        <is>
          <t>CM</t>
        </is>
      </c>
      <c r="F3" s="5" t="inlineStr">
        <is>
          <t>SOM</t>
        </is>
      </c>
      <c r="G3" s="5" t="inlineStr">
        <is>
          <t>Date Raised</t>
        </is>
      </c>
      <c r="H3" s="5" t="inlineStr">
        <is>
          <t>Trigger Month</t>
        </is>
      </c>
      <c r="I3" s="5" t="inlineStr">
        <is>
          <t>RAG</t>
        </is>
      </c>
      <c r="J3" s="5" t="inlineStr">
        <is>
          <t>Major Event?</t>
        </is>
      </c>
      <c r="K3" s="5" t="inlineStr">
        <is>
          <t>Root Cause / Issue</t>
        </is>
      </c>
      <c r="L3" s="5" t="inlineStr">
        <is>
          <t>Action Required</t>
        </is>
      </c>
      <c r="M3" s="5" t="inlineStr">
        <is>
          <t>Target Date</t>
        </is>
      </c>
      <c r="N3" s="5" t="inlineStr">
        <is>
          <t>Status</t>
        </is>
      </c>
      <c r="O3" s="5" t="inlineStr">
        <is>
          <t>Date Closed</t>
        </is>
      </c>
      <c r="P3" s="5" t="inlineStr">
        <is>
          <t>4-wk LOW count</t>
        </is>
      </c>
      <c r="Q3" s="5" t="inlineStr">
        <is>
          <t>Plan Closed?</t>
        </is>
      </c>
    </row>
    <row r="4" ht="21.75" customHeight="1" s="146">
      <c r="A4" s="10">
        <f>IF(LARGE('Monthly Matrix'!$AH$4:$AH$76,1)&lt;0,"","IP-001")</f>
        <v/>
      </c>
      <c r="B4" s="10">
        <f>IFERROR(IF(LARGE('Monthly Matrix'!$AH$4:$AH$76,1)&lt;0,"",INDEX('Monthly Matrix'!$A$4:$A$76,MATCH(LARGE('Monthly Matrix'!$AH$4:$AH$76,1),'Monthly Matrix'!$AH$4:$AH$76,0))),"")</f>
        <v/>
      </c>
      <c r="C4" s="10">
        <f>IFERROR(IF(LARGE('Monthly Matrix'!$AH$4:$AH$76,1)&lt;0,"",INDEX('Monthly Matrix'!$B$4:$B$76,MATCH(LARGE('Monthly Matrix'!$AH$4:$AH$76,1),'Monthly Matrix'!$AH$4:$AH$76,0))),"")</f>
        <v/>
      </c>
      <c r="D4" s="10">
        <f>IFERROR(IF(LARGE('Monthly Matrix'!$AH$4:$AH$76,1)&lt;0,"",INDEX('Monthly Matrix'!$G$4:$G$76,MATCH(LARGE('Monthly Matrix'!$AH$4:$AH$76,1),'Monthly Matrix'!$AH$4:$AH$76,0))),"")</f>
        <v/>
      </c>
      <c r="E4" s="10">
        <f>IFERROR(IF(LARGE('Monthly Matrix'!$AH$4:$AH$76,1)&lt;0,"",INDEX('Monthly Matrix'!$F$4:$F$76,MATCH(LARGE('Monthly Matrix'!$AH$4:$AH$76,1),'Monthly Matrix'!$AH$4:$AH$76,0))),"")</f>
        <v/>
      </c>
      <c r="F4" s="10">
        <f>IFERROR(IF(LARGE('Monthly Matrix'!$AH$4:$AH$76,1)&lt;0,"",INDEX('Monthly Matrix'!$E$4:$E$76,MATCH(LARGE('Monthly Matrix'!$AH$4:$AH$76,1),'Monthly Matrix'!$AH$4:$AH$76,0))),"")</f>
        <v/>
      </c>
      <c r="G4" s="10" t="n"/>
      <c r="H4" s="10">
        <f>IF(LARGE('Monthly Matrix'!$AH$4:$AH$76,1)&lt;0,"",'Monthly Matrix'!$AB$3)</f>
        <v/>
      </c>
      <c r="I4" s="10">
        <f>IF(LARGE('Monthly Matrix'!$AH$4:$AH$76,1)&lt;0,"","HIGH")</f>
        <v/>
      </c>
      <c r="J4" s="10">
        <f>IFERROR(IF(LARGE('Monthly Matrix'!$AH$4:$AH$76,1)&lt;0,"",INDEX('Monthly Matrix'!$M$4:$M$76,MATCH(LARGE('Monthly Matrix'!$AH$4:$AH$76,1),'Monthly Matrix'!$AH$4:$AH$76,0))),"")</f>
        <v/>
      </c>
      <c r="K4" s="11" t="n"/>
      <c r="L4" s="11" t="n"/>
      <c r="M4" s="10" t="n"/>
      <c r="N4" s="10">
        <f>IF(LARGE('Monthly Matrix'!$AH$4:$AH$76,1)&lt;0,"","Open")</f>
        <v/>
      </c>
      <c r="O4" s="10" t="n"/>
      <c r="P4" s="10" t="n"/>
      <c r="Q4" s="10" t="n"/>
    </row>
    <row r="5" ht="21.75" customHeight="1" s="146">
      <c r="A5" s="6">
        <f>IF(LARGE('Monthly Matrix'!$AH$4:$AH$76,2)&lt;0,"","IP-002")</f>
        <v/>
      </c>
      <c r="B5" s="6">
        <f>IFERROR(IF(LARGE('Monthly Matrix'!$AH$4:$AH$76,2)&lt;0,"",INDEX('Monthly Matrix'!$A$4:$A$76,MATCH(LARGE('Monthly Matrix'!$AH$4:$AH$76,2),'Monthly Matrix'!$AH$4:$AH$76,0))),"")</f>
        <v/>
      </c>
      <c r="C5" s="6">
        <f>IFERROR(IF(LARGE('Monthly Matrix'!$AH$4:$AH$76,2)&lt;0,"",INDEX('Monthly Matrix'!$B$4:$B$76,MATCH(LARGE('Monthly Matrix'!$AH$4:$AH$76,2),'Monthly Matrix'!$AH$4:$AH$76,0))),"")</f>
        <v/>
      </c>
      <c r="D5" s="6">
        <f>IFERROR(IF(LARGE('Monthly Matrix'!$AH$4:$AH$76,2)&lt;0,"",INDEX('Monthly Matrix'!$G$4:$G$76,MATCH(LARGE('Monthly Matrix'!$AH$4:$AH$76,2),'Monthly Matrix'!$AH$4:$AH$76,0))),"")</f>
        <v/>
      </c>
      <c r="E5" s="6">
        <f>IFERROR(IF(LARGE('Monthly Matrix'!$AH$4:$AH$76,2)&lt;0,"",INDEX('Monthly Matrix'!$F$4:$F$76,MATCH(LARGE('Monthly Matrix'!$AH$4:$AH$76,2),'Monthly Matrix'!$AH$4:$AH$76,0))),"")</f>
        <v/>
      </c>
      <c r="F5" s="6">
        <f>IFERROR(IF(LARGE('Monthly Matrix'!$AH$4:$AH$76,2)&lt;0,"",INDEX('Monthly Matrix'!$E$4:$E$76,MATCH(LARGE('Monthly Matrix'!$AH$4:$AH$76,2),'Monthly Matrix'!$AH$4:$AH$76,0))),"")</f>
        <v/>
      </c>
      <c r="G5" s="6" t="n"/>
      <c r="H5" s="6">
        <f>IF(LARGE('Monthly Matrix'!$AH$4:$AH$76,2)&lt;0,"",'Monthly Matrix'!$AB$3)</f>
        <v/>
      </c>
      <c r="I5" s="6">
        <f>IF(LARGE('Monthly Matrix'!$AH$4:$AH$76,2)&lt;0,"","HIGH")</f>
        <v/>
      </c>
      <c r="J5" s="6">
        <f>IFERROR(IF(LARGE('Monthly Matrix'!$AH$4:$AH$76,2)&lt;0,"",INDEX('Monthly Matrix'!$M$4:$M$76,MATCH(LARGE('Monthly Matrix'!$AH$4:$AH$76,2),'Monthly Matrix'!$AH$4:$AH$76,0))),"")</f>
        <v/>
      </c>
      <c r="K5" s="7" t="n"/>
      <c r="L5" s="7" t="n"/>
      <c r="M5" s="6" t="n"/>
      <c r="N5" s="6">
        <f>IF(LARGE('Monthly Matrix'!$AH$4:$AH$76,2)&lt;0,"","Open")</f>
        <v/>
      </c>
      <c r="O5" s="6" t="n"/>
      <c r="P5" s="6" t="n"/>
      <c r="Q5" s="6" t="n"/>
    </row>
    <row r="6" ht="21.75" customHeight="1" s="146">
      <c r="A6" s="10">
        <f>IF(LARGE('Monthly Matrix'!$AH$4:$AH$76,3)&lt;0,"","IP-003")</f>
        <v/>
      </c>
      <c r="B6" s="10">
        <f>IFERROR(IF(LARGE('Monthly Matrix'!$AH$4:$AH$76,3)&lt;0,"",INDEX('Monthly Matrix'!$A$4:$A$76,MATCH(LARGE('Monthly Matrix'!$AH$4:$AH$76,3),'Monthly Matrix'!$AH$4:$AH$76,0))),"")</f>
        <v/>
      </c>
      <c r="C6" s="10">
        <f>IFERROR(IF(LARGE('Monthly Matrix'!$AH$4:$AH$76,3)&lt;0,"",INDEX('Monthly Matrix'!$B$4:$B$76,MATCH(LARGE('Monthly Matrix'!$AH$4:$AH$76,3),'Monthly Matrix'!$AH$4:$AH$76,0))),"")</f>
        <v/>
      </c>
      <c r="D6" s="10">
        <f>IFERROR(IF(LARGE('Monthly Matrix'!$AH$4:$AH$76,3)&lt;0,"",INDEX('Monthly Matrix'!$G$4:$G$76,MATCH(LARGE('Monthly Matrix'!$AH$4:$AH$76,3),'Monthly Matrix'!$AH$4:$AH$76,0))),"")</f>
        <v/>
      </c>
      <c r="E6" s="10">
        <f>IFERROR(IF(LARGE('Monthly Matrix'!$AH$4:$AH$76,3)&lt;0,"",INDEX('Monthly Matrix'!$F$4:$F$76,MATCH(LARGE('Monthly Matrix'!$AH$4:$AH$76,3),'Monthly Matrix'!$AH$4:$AH$76,0))),"")</f>
        <v/>
      </c>
      <c r="F6" s="10">
        <f>IFERROR(IF(LARGE('Monthly Matrix'!$AH$4:$AH$76,3)&lt;0,"",INDEX('Monthly Matrix'!$E$4:$E$76,MATCH(LARGE('Monthly Matrix'!$AH$4:$AH$76,3),'Monthly Matrix'!$AH$4:$AH$76,0))),"")</f>
        <v/>
      </c>
      <c r="G6" s="10" t="n"/>
      <c r="H6" s="10">
        <f>IF(LARGE('Monthly Matrix'!$AH$4:$AH$76,3)&lt;0,"",'Monthly Matrix'!$AB$3)</f>
        <v/>
      </c>
      <c r="I6" s="10">
        <f>IF(LARGE('Monthly Matrix'!$AH$4:$AH$76,3)&lt;0,"","HIGH")</f>
        <v/>
      </c>
      <c r="J6" s="10">
        <f>IFERROR(IF(LARGE('Monthly Matrix'!$AH$4:$AH$76,3)&lt;0,"",INDEX('Monthly Matrix'!$M$4:$M$76,MATCH(LARGE('Monthly Matrix'!$AH$4:$AH$76,3),'Monthly Matrix'!$AH$4:$AH$76,0))),"")</f>
        <v/>
      </c>
      <c r="K6" s="11" t="n"/>
      <c r="L6" s="11" t="n"/>
      <c r="M6" s="10" t="n"/>
      <c r="N6" s="10">
        <f>IF(LARGE('Monthly Matrix'!$AH$4:$AH$76,3)&lt;0,"","Open")</f>
        <v/>
      </c>
      <c r="O6" s="10" t="n"/>
      <c r="P6" s="10" t="n"/>
      <c r="Q6" s="10" t="n"/>
    </row>
    <row r="7" ht="21.75" customHeight="1" s="146">
      <c r="A7" s="6">
        <f>IF(LARGE('Monthly Matrix'!$AH$4:$AH$76,4)&lt;0,"","IP-004")</f>
        <v/>
      </c>
      <c r="B7" s="6">
        <f>IFERROR(IF(LARGE('Monthly Matrix'!$AH$4:$AH$76,4)&lt;0,"",INDEX('Monthly Matrix'!$A$4:$A$76,MATCH(LARGE('Monthly Matrix'!$AH$4:$AH$76,4),'Monthly Matrix'!$AH$4:$AH$76,0))),"")</f>
        <v/>
      </c>
      <c r="C7" s="6">
        <f>IFERROR(IF(LARGE('Monthly Matrix'!$AH$4:$AH$76,4)&lt;0,"",INDEX('Monthly Matrix'!$B$4:$B$76,MATCH(LARGE('Monthly Matrix'!$AH$4:$AH$76,4),'Monthly Matrix'!$AH$4:$AH$76,0))),"")</f>
        <v/>
      </c>
      <c r="D7" s="6">
        <f>IFERROR(IF(LARGE('Monthly Matrix'!$AH$4:$AH$76,4)&lt;0,"",INDEX('Monthly Matrix'!$G$4:$G$76,MATCH(LARGE('Monthly Matrix'!$AH$4:$AH$76,4),'Monthly Matrix'!$AH$4:$AH$76,0))),"")</f>
        <v/>
      </c>
      <c r="E7" s="6">
        <f>IFERROR(IF(LARGE('Monthly Matrix'!$AH$4:$AH$76,4)&lt;0,"",INDEX('Monthly Matrix'!$F$4:$F$76,MATCH(LARGE('Monthly Matrix'!$AH$4:$AH$76,4),'Monthly Matrix'!$AH$4:$AH$76,0))),"")</f>
        <v/>
      </c>
      <c r="F7" s="6">
        <f>IFERROR(IF(LARGE('Monthly Matrix'!$AH$4:$AH$76,4)&lt;0,"",INDEX('Monthly Matrix'!$E$4:$E$76,MATCH(LARGE('Monthly Matrix'!$AH$4:$AH$76,4),'Monthly Matrix'!$AH$4:$AH$76,0))),"")</f>
        <v/>
      </c>
      <c r="G7" s="6" t="n"/>
      <c r="H7" s="6">
        <f>IF(LARGE('Monthly Matrix'!$AH$4:$AH$76,4)&lt;0,"",'Monthly Matrix'!$AB$3)</f>
        <v/>
      </c>
      <c r="I7" s="6">
        <f>IF(LARGE('Monthly Matrix'!$AH$4:$AH$76,4)&lt;0,"","HIGH")</f>
        <v/>
      </c>
      <c r="J7" s="6">
        <f>IFERROR(IF(LARGE('Monthly Matrix'!$AH$4:$AH$76,4)&lt;0,"",INDEX('Monthly Matrix'!$M$4:$M$76,MATCH(LARGE('Monthly Matrix'!$AH$4:$AH$76,4),'Monthly Matrix'!$AH$4:$AH$76,0))),"")</f>
        <v/>
      </c>
      <c r="K7" s="7" t="n"/>
      <c r="L7" s="7" t="n"/>
      <c r="M7" s="6" t="n"/>
      <c r="N7" s="6">
        <f>IF(LARGE('Monthly Matrix'!$AH$4:$AH$76,4)&lt;0,"","Open")</f>
        <v/>
      </c>
      <c r="O7" s="6" t="n"/>
      <c r="P7" s="6" t="n"/>
      <c r="Q7" s="6" t="n"/>
    </row>
    <row r="8" ht="21.75" customHeight="1" s="146">
      <c r="A8" s="10">
        <f>IF(LARGE('Monthly Matrix'!$AH$4:$AH$76,5)&lt;0,"","IP-005")</f>
        <v/>
      </c>
      <c r="B8" s="10">
        <f>IFERROR(IF(LARGE('Monthly Matrix'!$AH$4:$AH$76,5)&lt;0,"",INDEX('Monthly Matrix'!$A$4:$A$76,MATCH(LARGE('Monthly Matrix'!$AH$4:$AH$76,5),'Monthly Matrix'!$AH$4:$AH$76,0))),"")</f>
        <v/>
      </c>
      <c r="C8" s="10">
        <f>IFERROR(IF(LARGE('Monthly Matrix'!$AH$4:$AH$76,5)&lt;0,"",INDEX('Monthly Matrix'!$B$4:$B$76,MATCH(LARGE('Monthly Matrix'!$AH$4:$AH$76,5),'Monthly Matrix'!$AH$4:$AH$76,0))),"")</f>
        <v/>
      </c>
      <c r="D8" s="10">
        <f>IFERROR(IF(LARGE('Monthly Matrix'!$AH$4:$AH$76,5)&lt;0,"",INDEX('Monthly Matrix'!$G$4:$G$76,MATCH(LARGE('Monthly Matrix'!$AH$4:$AH$76,5),'Monthly Matrix'!$AH$4:$AH$76,0))),"")</f>
        <v/>
      </c>
      <c r="E8" s="10">
        <f>IFERROR(IF(LARGE('Monthly Matrix'!$AH$4:$AH$76,5)&lt;0,"",INDEX('Monthly Matrix'!$F$4:$F$76,MATCH(LARGE('Monthly Matrix'!$AH$4:$AH$76,5),'Monthly Matrix'!$AH$4:$AH$76,0))),"")</f>
        <v/>
      </c>
      <c r="F8" s="10">
        <f>IFERROR(IF(LARGE('Monthly Matrix'!$AH$4:$AH$76,5)&lt;0,"",INDEX('Monthly Matrix'!$E$4:$E$76,MATCH(LARGE('Monthly Matrix'!$AH$4:$AH$76,5),'Monthly Matrix'!$AH$4:$AH$76,0))),"")</f>
        <v/>
      </c>
      <c r="G8" s="10" t="n"/>
      <c r="H8" s="10">
        <f>IF(LARGE('Monthly Matrix'!$AH$4:$AH$76,5)&lt;0,"",'Monthly Matrix'!$AB$3)</f>
        <v/>
      </c>
      <c r="I8" s="10">
        <f>IF(LARGE('Monthly Matrix'!$AH$4:$AH$76,5)&lt;0,"","HIGH")</f>
        <v/>
      </c>
      <c r="J8" s="10">
        <f>IFERROR(IF(LARGE('Monthly Matrix'!$AH$4:$AH$76,5)&lt;0,"",INDEX('Monthly Matrix'!$M$4:$M$76,MATCH(LARGE('Monthly Matrix'!$AH$4:$AH$76,5),'Monthly Matrix'!$AH$4:$AH$76,0))),"")</f>
        <v/>
      </c>
      <c r="K8" s="11" t="n"/>
      <c r="L8" s="11" t="n"/>
      <c r="M8" s="10" t="n"/>
      <c r="N8" s="10">
        <f>IF(LARGE('Monthly Matrix'!$AH$4:$AH$76,5)&lt;0,"","Open")</f>
        <v/>
      </c>
      <c r="O8" s="10" t="n"/>
      <c r="P8" s="10" t="n"/>
      <c r="Q8" s="10" t="n"/>
    </row>
    <row r="9" ht="21.75" customHeight="1" s="146">
      <c r="A9" s="6">
        <f>IF(LARGE('Monthly Matrix'!$AH$4:$AH$76,6)&lt;0,"","IP-006")</f>
        <v/>
      </c>
      <c r="B9" s="6">
        <f>IFERROR(IF(LARGE('Monthly Matrix'!$AH$4:$AH$76,6)&lt;0,"",INDEX('Monthly Matrix'!$A$4:$A$76,MATCH(LARGE('Monthly Matrix'!$AH$4:$AH$76,6),'Monthly Matrix'!$AH$4:$AH$76,0))),"")</f>
        <v/>
      </c>
      <c r="C9" s="6">
        <f>IFERROR(IF(LARGE('Monthly Matrix'!$AH$4:$AH$76,6)&lt;0,"",INDEX('Monthly Matrix'!$B$4:$B$76,MATCH(LARGE('Monthly Matrix'!$AH$4:$AH$76,6),'Monthly Matrix'!$AH$4:$AH$76,0))),"")</f>
        <v/>
      </c>
      <c r="D9" s="6">
        <f>IFERROR(IF(LARGE('Monthly Matrix'!$AH$4:$AH$76,6)&lt;0,"",INDEX('Monthly Matrix'!$G$4:$G$76,MATCH(LARGE('Monthly Matrix'!$AH$4:$AH$76,6),'Monthly Matrix'!$AH$4:$AH$76,0))),"")</f>
        <v/>
      </c>
      <c r="E9" s="6">
        <f>IFERROR(IF(LARGE('Monthly Matrix'!$AH$4:$AH$76,6)&lt;0,"",INDEX('Monthly Matrix'!$F$4:$F$76,MATCH(LARGE('Monthly Matrix'!$AH$4:$AH$76,6),'Monthly Matrix'!$AH$4:$AH$76,0))),"")</f>
        <v/>
      </c>
      <c r="F9" s="6">
        <f>IFERROR(IF(LARGE('Monthly Matrix'!$AH$4:$AH$76,6)&lt;0,"",INDEX('Monthly Matrix'!$E$4:$E$76,MATCH(LARGE('Monthly Matrix'!$AH$4:$AH$76,6),'Monthly Matrix'!$AH$4:$AH$76,0))),"")</f>
        <v/>
      </c>
      <c r="G9" s="6" t="n"/>
      <c r="H9" s="6">
        <f>IF(LARGE('Monthly Matrix'!$AH$4:$AH$76,6)&lt;0,"",'Monthly Matrix'!$AB$3)</f>
        <v/>
      </c>
      <c r="I9" s="6">
        <f>IF(LARGE('Monthly Matrix'!$AH$4:$AH$76,6)&lt;0,"","HIGH")</f>
        <v/>
      </c>
      <c r="J9" s="6">
        <f>IFERROR(IF(LARGE('Monthly Matrix'!$AH$4:$AH$76,6)&lt;0,"",INDEX('Monthly Matrix'!$M$4:$M$76,MATCH(LARGE('Monthly Matrix'!$AH$4:$AH$76,6),'Monthly Matrix'!$AH$4:$AH$76,0))),"")</f>
        <v/>
      </c>
      <c r="K9" s="7" t="n"/>
      <c r="L9" s="7" t="n"/>
      <c r="M9" s="6" t="n"/>
      <c r="N9" s="6">
        <f>IF(LARGE('Monthly Matrix'!$AH$4:$AH$76,6)&lt;0,"","Open")</f>
        <v/>
      </c>
      <c r="O9" s="6" t="n"/>
      <c r="P9" s="6" t="n"/>
      <c r="Q9" s="6" t="n"/>
    </row>
    <row r="10" ht="21.75" customHeight="1" s="146">
      <c r="A10" s="10">
        <f>IF(LARGE('Monthly Matrix'!$AH$4:$AH$76,7)&lt;0,"","IP-007")</f>
        <v/>
      </c>
      <c r="B10" s="10">
        <f>IFERROR(IF(LARGE('Monthly Matrix'!$AH$4:$AH$76,7)&lt;0,"",INDEX('Monthly Matrix'!$A$4:$A$76,MATCH(LARGE('Monthly Matrix'!$AH$4:$AH$76,7),'Monthly Matrix'!$AH$4:$AH$76,0))),"")</f>
        <v/>
      </c>
      <c r="C10" s="10">
        <f>IFERROR(IF(LARGE('Monthly Matrix'!$AH$4:$AH$76,7)&lt;0,"",INDEX('Monthly Matrix'!$B$4:$B$76,MATCH(LARGE('Monthly Matrix'!$AH$4:$AH$76,7),'Monthly Matrix'!$AH$4:$AH$76,0))),"")</f>
        <v/>
      </c>
      <c r="D10" s="10">
        <f>IFERROR(IF(LARGE('Monthly Matrix'!$AH$4:$AH$76,7)&lt;0,"",INDEX('Monthly Matrix'!$G$4:$G$76,MATCH(LARGE('Monthly Matrix'!$AH$4:$AH$76,7),'Monthly Matrix'!$AH$4:$AH$76,0))),"")</f>
        <v/>
      </c>
      <c r="E10" s="10">
        <f>IFERROR(IF(LARGE('Monthly Matrix'!$AH$4:$AH$76,7)&lt;0,"",INDEX('Monthly Matrix'!$F$4:$F$76,MATCH(LARGE('Monthly Matrix'!$AH$4:$AH$76,7),'Monthly Matrix'!$AH$4:$AH$76,0))),"")</f>
        <v/>
      </c>
      <c r="F10" s="10">
        <f>IFERROR(IF(LARGE('Monthly Matrix'!$AH$4:$AH$76,7)&lt;0,"",INDEX('Monthly Matrix'!$E$4:$E$76,MATCH(LARGE('Monthly Matrix'!$AH$4:$AH$76,7),'Monthly Matrix'!$AH$4:$AH$76,0))),"")</f>
        <v/>
      </c>
      <c r="G10" s="10" t="n"/>
      <c r="H10" s="10">
        <f>IF(LARGE('Monthly Matrix'!$AH$4:$AH$76,7)&lt;0,"",'Monthly Matrix'!$AB$3)</f>
        <v/>
      </c>
      <c r="I10" s="10">
        <f>IF(LARGE('Monthly Matrix'!$AH$4:$AH$76,7)&lt;0,"","HIGH")</f>
        <v/>
      </c>
      <c r="J10" s="10">
        <f>IFERROR(IF(LARGE('Monthly Matrix'!$AH$4:$AH$76,7)&lt;0,"",INDEX('Monthly Matrix'!$M$4:$M$76,MATCH(LARGE('Monthly Matrix'!$AH$4:$AH$76,7),'Monthly Matrix'!$AH$4:$AH$76,0))),"")</f>
        <v/>
      </c>
      <c r="K10" s="11" t="n"/>
      <c r="L10" s="11" t="n"/>
      <c r="M10" s="10" t="n"/>
      <c r="N10" s="10">
        <f>IF(LARGE('Monthly Matrix'!$AH$4:$AH$76,7)&lt;0,"","Open")</f>
        <v/>
      </c>
      <c r="O10" s="10" t="n"/>
      <c r="P10" s="10" t="n"/>
      <c r="Q10" s="10" t="n"/>
    </row>
    <row r="11" ht="21.75" customHeight="1" s="146">
      <c r="A11" s="6">
        <f>IF(LARGE('Monthly Matrix'!$AH$4:$AH$76,8)&lt;0,"","IP-008")</f>
        <v/>
      </c>
      <c r="B11" s="6">
        <f>IFERROR(IF(LARGE('Monthly Matrix'!$AH$4:$AH$76,8)&lt;0,"",INDEX('Monthly Matrix'!$A$4:$A$76,MATCH(LARGE('Monthly Matrix'!$AH$4:$AH$76,8),'Monthly Matrix'!$AH$4:$AH$76,0))),"")</f>
        <v/>
      </c>
      <c r="C11" s="6">
        <f>IFERROR(IF(LARGE('Monthly Matrix'!$AH$4:$AH$76,8)&lt;0,"",INDEX('Monthly Matrix'!$B$4:$B$76,MATCH(LARGE('Monthly Matrix'!$AH$4:$AH$76,8),'Monthly Matrix'!$AH$4:$AH$76,0))),"")</f>
        <v/>
      </c>
      <c r="D11" s="6">
        <f>IFERROR(IF(LARGE('Monthly Matrix'!$AH$4:$AH$76,8)&lt;0,"",INDEX('Monthly Matrix'!$G$4:$G$76,MATCH(LARGE('Monthly Matrix'!$AH$4:$AH$76,8),'Monthly Matrix'!$AH$4:$AH$76,0))),"")</f>
        <v/>
      </c>
      <c r="E11" s="6">
        <f>IFERROR(IF(LARGE('Monthly Matrix'!$AH$4:$AH$76,8)&lt;0,"",INDEX('Monthly Matrix'!$F$4:$F$76,MATCH(LARGE('Monthly Matrix'!$AH$4:$AH$76,8),'Monthly Matrix'!$AH$4:$AH$76,0))),"")</f>
        <v/>
      </c>
      <c r="F11" s="6">
        <f>IFERROR(IF(LARGE('Monthly Matrix'!$AH$4:$AH$76,8)&lt;0,"",INDEX('Monthly Matrix'!$E$4:$E$76,MATCH(LARGE('Monthly Matrix'!$AH$4:$AH$76,8),'Monthly Matrix'!$AH$4:$AH$76,0))),"")</f>
        <v/>
      </c>
      <c r="G11" s="6" t="n"/>
      <c r="H11" s="6">
        <f>IF(LARGE('Monthly Matrix'!$AH$4:$AH$76,8)&lt;0,"",'Monthly Matrix'!$AB$3)</f>
        <v/>
      </c>
      <c r="I11" s="6">
        <f>IF(LARGE('Monthly Matrix'!$AH$4:$AH$76,8)&lt;0,"","HIGH")</f>
        <v/>
      </c>
      <c r="J11" s="6">
        <f>IFERROR(IF(LARGE('Monthly Matrix'!$AH$4:$AH$76,8)&lt;0,"",INDEX('Monthly Matrix'!$M$4:$M$76,MATCH(LARGE('Monthly Matrix'!$AH$4:$AH$76,8),'Monthly Matrix'!$AH$4:$AH$76,0))),"")</f>
        <v/>
      </c>
      <c r="K11" s="7" t="n"/>
      <c r="L11" s="7" t="n"/>
      <c r="M11" s="6" t="n"/>
      <c r="N11" s="6">
        <f>IF(LARGE('Monthly Matrix'!$AH$4:$AH$76,8)&lt;0,"","Open")</f>
        <v/>
      </c>
      <c r="O11" s="6" t="n"/>
      <c r="P11" s="6" t="n"/>
      <c r="Q11" s="6" t="n"/>
    </row>
    <row r="12" ht="21.75" customHeight="1" s="146">
      <c r="A12" s="10">
        <f>IF(LARGE('Monthly Matrix'!$AH$4:$AH$76,9)&lt;0,"","IP-009")</f>
        <v/>
      </c>
      <c r="B12" s="10">
        <f>IFERROR(IF(LARGE('Monthly Matrix'!$AH$4:$AH$76,9)&lt;0,"",INDEX('Monthly Matrix'!$A$4:$A$76,MATCH(LARGE('Monthly Matrix'!$AH$4:$AH$76,9),'Monthly Matrix'!$AH$4:$AH$76,0))),"")</f>
        <v/>
      </c>
      <c r="C12" s="10">
        <f>IFERROR(IF(LARGE('Monthly Matrix'!$AH$4:$AH$76,9)&lt;0,"",INDEX('Monthly Matrix'!$B$4:$B$76,MATCH(LARGE('Monthly Matrix'!$AH$4:$AH$76,9),'Monthly Matrix'!$AH$4:$AH$76,0))),"")</f>
        <v/>
      </c>
      <c r="D12" s="10">
        <f>IFERROR(IF(LARGE('Monthly Matrix'!$AH$4:$AH$76,9)&lt;0,"",INDEX('Monthly Matrix'!$G$4:$G$76,MATCH(LARGE('Monthly Matrix'!$AH$4:$AH$76,9),'Monthly Matrix'!$AH$4:$AH$76,0))),"")</f>
        <v/>
      </c>
      <c r="E12" s="10">
        <f>IFERROR(IF(LARGE('Monthly Matrix'!$AH$4:$AH$76,9)&lt;0,"",INDEX('Monthly Matrix'!$F$4:$F$76,MATCH(LARGE('Monthly Matrix'!$AH$4:$AH$76,9),'Monthly Matrix'!$AH$4:$AH$76,0))),"")</f>
        <v/>
      </c>
      <c r="F12" s="10">
        <f>IFERROR(IF(LARGE('Monthly Matrix'!$AH$4:$AH$76,9)&lt;0,"",INDEX('Monthly Matrix'!$E$4:$E$76,MATCH(LARGE('Monthly Matrix'!$AH$4:$AH$76,9),'Monthly Matrix'!$AH$4:$AH$76,0))),"")</f>
        <v/>
      </c>
      <c r="G12" s="10" t="n"/>
      <c r="H12" s="10">
        <f>IF(LARGE('Monthly Matrix'!$AH$4:$AH$76,9)&lt;0,"",'Monthly Matrix'!$AB$3)</f>
        <v/>
      </c>
      <c r="I12" s="10">
        <f>IF(LARGE('Monthly Matrix'!$AH$4:$AH$76,9)&lt;0,"","HIGH")</f>
        <v/>
      </c>
      <c r="J12" s="10">
        <f>IFERROR(IF(LARGE('Monthly Matrix'!$AH$4:$AH$76,9)&lt;0,"",INDEX('Monthly Matrix'!$M$4:$M$76,MATCH(LARGE('Monthly Matrix'!$AH$4:$AH$76,9),'Monthly Matrix'!$AH$4:$AH$76,0))),"")</f>
        <v/>
      </c>
      <c r="K12" s="11" t="n"/>
      <c r="L12" s="11" t="n"/>
      <c r="M12" s="10" t="n"/>
      <c r="N12" s="10">
        <f>IF(LARGE('Monthly Matrix'!$AH$4:$AH$76,9)&lt;0,"","Open")</f>
        <v/>
      </c>
      <c r="O12" s="10" t="n"/>
      <c r="P12" s="10" t="n"/>
      <c r="Q12" s="10" t="n"/>
    </row>
    <row r="13" ht="21.75" customHeight="1" s="146">
      <c r="A13" s="6">
        <f>IF(LARGE('Monthly Matrix'!$AH$4:$AH$76,10)&lt;0,"","IP-010")</f>
        <v/>
      </c>
      <c r="B13" s="6">
        <f>IFERROR(IF(LARGE('Monthly Matrix'!$AH$4:$AH$76,10)&lt;0,"",INDEX('Monthly Matrix'!$A$4:$A$76,MATCH(LARGE('Monthly Matrix'!$AH$4:$AH$76,10),'Monthly Matrix'!$AH$4:$AH$76,0))),"")</f>
        <v/>
      </c>
      <c r="C13" s="6">
        <f>IFERROR(IF(LARGE('Monthly Matrix'!$AH$4:$AH$76,10)&lt;0,"",INDEX('Monthly Matrix'!$B$4:$B$76,MATCH(LARGE('Monthly Matrix'!$AH$4:$AH$76,10),'Monthly Matrix'!$AH$4:$AH$76,0))),"")</f>
        <v/>
      </c>
      <c r="D13" s="6">
        <f>IFERROR(IF(LARGE('Monthly Matrix'!$AH$4:$AH$76,10)&lt;0,"",INDEX('Monthly Matrix'!$G$4:$G$76,MATCH(LARGE('Monthly Matrix'!$AH$4:$AH$76,10),'Monthly Matrix'!$AH$4:$AH$76,0))),"")</f>
        <v/>
      </c>
      <c r="E13" s="6">
        <f>IFERROR(IF(LARGE('Monthly Matrix'!$AH$4:$AH$76,10)&lt;0,"",INDEX('Monthly Matrix'!$F$4:$F$76,MATCH(LARGE('Monthly Matrix'!$AH$4:$AH$76,10),'Monthly Matrix'!$AH$4:$AH$76,0))),"")</f>
        <v/>
      </c>
      <c r="F13" s="6">
        <f>IFERROR(IF(LARGE('Monthly Matrix'!$AH$4:$AH$76,10)&lt;0,"",INDEX('Monthly Matrix'!$E$4:$E$76,MATCH(LARGE('Monthly Matrix'!$AH$4:$AH$76,10),'Monthly Matrix'!$AH$4:$AH$76,0))),"")</f>
        <v/>
      </c>
      <c r="G13" s="6" t="n"/>
      <c r="H13" s="6">
        <f>IF(LARGE('Monthly Matrix'!$AH$4:$AH$76,10)&lt;0,"",'Monthly Matrix'!$AB$3)</f>
        <v/>
      </c>
      <c r="I13" s="6">
        <f>IF(LARGE('Monthly Matrix'!$AH$4:$AH$76,10)&lt;0,"","HIGH")</f>
        <v/>
      </c>
      <c r="J13" s="6">
        <f>IFERROR(IF(LARGE('Monthly Matrix'!$AH$4:$AH$76,10)&lt;0,"",INDEX('Monthly Matrix'!$M$4:$M$76,MATCH(LARGE('Monthly Matrix'!$AH$4:$AH$76,10),'Monthly Matrix'!$AH$4:$AH$76,0))),"")</f>
        <v/>
      </c>
      <c r="K13" s="7" t="n"/>
      <c r="L13" s="7" t="n"/>
      <c r="M13" s="6" t="n"/>
      <c r="N13" s="6">
        <f>IF(LARGE('Monthly Matrix'!$AH$4:$AH$76,10)&lt;0,"","Open")</f>
        <v/>
      </c>
      <c r="O13" s="6" t="n"/>
      <c r="P13" s="6" t="n"/>
      <c r="Q13" s="6" t="n"/>
    </row>
    <row r="14" ht="21.75" customHeight="1" s="146">
      <c r="A14" s="10">
        <f>IF(LARGE('Monthly Matrix'!$AH$4:$AH$76,11)&lt;0,"","IP-011")</f>
        <v/>
      </c>
      <c r="B14" s="10">
        <f>IFERROR(IF(LARGE('Monthly Matrix'!$AH$4:$AH$76,11)&lt;0,"",INDEX('Monthly Matrix'!$A$4:$A$76,MATCH(LARGE('Monthly Matrix'!$AH$4:$AH$76,11),'Monthly Matrix'!$AH$4:$AH$76,0))),"")</f>
        <v/>
      </c>
      <c r="C14" s="10">
        <f>IFERROR(IF(LARGE('Monthly Matrix'!$AH$4:$AH$76,11)&lt;0,"",INDEX('Monthly Matrix'!$B$4:$B$76,MATCH(LARGE('Monthly Matrix'!$AH$4:$AH$76,11),'Monthly Matrix'!$AH$4:$AH$76,0))),"")</f>
        <v/>
      </c>
      <c r="D14" s="10">
        <f>IFERROR(IF(LARGE('Monthly Matrix'!$AH$4:$AH$76,11)&lt;0,"",INDEX('Monthly Matrix'!$G$4:$G$76,MATCH(LARGE('Monthly Matrix'!$AH$4:$AH$76,11),'Monthly Matrix'!$AH$4:$AH$76,0))),"")</f>
        <v/>
      </c>
      <c r="E14" s="10">
        <f>IFERROR(IF(LARGE('Monthly Matrix'!$AH$4:$AH$76,11)&lt;0,"",INDEX('Monthly Matrix'!$F$4:$F$76,MATCH(LARGE('Monthly Matrix'!$AH$4:$AH$76,11),'Monthly Matrix'!$AH$4:$AH$76,0))),"")</f>
        <v/>
      </c>
      <c r="F14" s="10">
        <f>IFERROR(IF(LARGE('Monthly Matrix'!$AH$4:$AH$76,11)&lt;0,"",INDEX('Monthly Matrix'!$E$4:$E$76,MATCH(LARGE('Monthly Matrix'!$AH$4:$AH$76,11),'Monthly Matrix'!$AH$4:$AH$76,0))),"")</f>
        <v/>
      </c>
      <c r="G14" s="10" t="n"/>
      <c r="H14" s="10">
        <f>IF(LARGE('Monthly Matrix'!$AH$4:$AH$76,11)&lt;0,"",'Monthly Matrix'!$AB$3)</f>
        <v/>
      </c>
      <c r="I14" s="10">
        <f>IF(LARGE('Monthly Matrix'!$AH$4:$AH$76,11)&lt;0,"","HIGH")</f>
        <v/>
      </c>
      <c r="J14" s="10">
        <f>IFERROR(IF(LARGE('Monthly Matrix'!$AH$4:$AH$76,11)&lt;0,"",INDEX('Monthly Matrix'!$M$4:$M$76,MATCH(LARGE('Monthly Matrix'!$AH$4:$AH$76,11),'Monthly Matrix'!$AH$4:$AH$76,0))),"")</f>
        <v/>
      </c>
      <c r="K14" s="11" t="n"/>
      <c r="L14" s="11" t="n"/>
      <c r="M14" s="10" t="n"/>
      <c r="N14" s="10">
        <f>IF(LARGE('Monthly Matrix'!$AH$4:$AH$76,11)&lt;0,"","Open")</f>
        <v/>
      </c>
      <c r="O14" s="10" t="n"/>
      <c r="P14" s="10" t="n"/>
      <c r="Q14" s="10" t="n"/>
    </row>
    <row r="15" ht="21.75" customHeight="1" s="146">
      <c r="A15" s="6">
        <f>IF(LARGE('Monthly Matrix'!$AH$4:$AH$76,12)&lt;0,"","IP-012")</f>
        <v/>
      </c>
      <c r="B15" s="6">
        <f>IFERROR(IF(LARGE('Monthly Matrix'!$AH$4:$AH$76,12)&lt;0,"",INDEX('Monthly Matrix'!$A$4:$A$76,MATCH(LARGE('Monthly Matrix'!$AH$4:$AH$76,12),'Monthly Matrix'!$AH$4:$AH$76,0))),"")</f>
        <v/>
      </c>
      <c r="C15" s="6">
        <f>IFERROR(IF(LARGE('Monthly Matrix'!$AH$4:$AH$76,12)&lt;0,"",INDEX('Monthly Matrix'!$B$4:$B$76,MATCH(LARGE('Monthly Matrix'!$AH$4:$AH$76,12),'Monthly Matrix'!$AH$4:$AH$76,0))),"")</f>
        <v/>
      </c>
      <c r="D15" s="6">
        <f>IFERROR(IF(LARGE('Monthly Matrix'!$AH$4:$AH$76,12)&lt;0,"",INDEX('Monthly Matrix'!$G$4:$G$76,MATCH(LARGE('Monthly Matrix'!$AH$4:$AH$76,12),'Monthly Matrix'!$AH$4:$AH$76,0))),"")</f>
        <v/>
      </c>
      <c r="E15" s="6">
        <f>IFERROR(IF(LARGE('Monthly Matrix'!$AH$4:$AH$76,12)&lt;0,"",INDEX('Monthly Matrix'!$F$4:$F$76,MATCH(LARGE('Monthly Matrix'!$AH$4:$AH$76,12),'Monthly Matrix'!$AH$4:$AH$76,0))),"")</f>
        <v/>
      </c>
      <c r="F15" s="6">
        <f>IFERROR(IF(LARGE('Monthly Matrix'!$AH$4:$AH$76,12)&lt;0,"",INDEX('Monthly Matrix'!$E$4:$E$76,MATCH(LARGE('Monthly Matrix'!$AH$4:$AH$76,12),'Monthly Matrix'!$AH$4:$AH$76,0))),"")</f>
        <v/>
      </c>
      <c r="G15" s="6" t="n"/>
      <c r="H15" s="6">
        <f>IF(LARGE('Monthly Matrix'!$AH$4:$AH$76,12)&lt;0,"",'Monthly Matrix'!$AB$3)</f>
        <v/>
      </c>
      <c r="I15" s="6">
        <f>IF(LARGE('Monthly Matrix'!$AH$4:$AH$76,12)&lt;0,"","HIGH")</f>
        <v/>
      </c>
      <c r="J15" s="6">
        <f>IFERROR(IF(LARGE('Monthly Matrix'!$AH$4:$AH$76,12)&lt;0,"",INDEX('Monthly Matrix'!$M$4:$M$76,MATCH(LARGE('Monthly Matrix'!$AH$4:$AH$76,12),'Monthly Matrix'!$AH$4:$AH$76,0))),"")</f>
        <v/>
      </c>
      <c r="K15" s="7" t="n"/>
      <c r="L15" s="7" t="n"/>
      <c r="M15" s="6" t="n"/>
      <c r="N15" s="6">
        <f>IF(LARGE('Monthly Matrix'!$AH$4:$AH$76,12)&lt;0,"","Open")</f>
        <v/>
      </c>
      <c r="O15" s="6" t="n"/>
      <c r="P15" s="6" t="n"/>
      <c r="Q15" s="6" t="n"/>
    </row>
    <row r="16" ht="21.75" customHeight="1" s="146">
      <c r="A16" s="10">
        <f>IF(LARGE('Monthly Matrix'!$AH$4:$AH$76,13)&lt;0,"","IP-013")</f>
        <v/>
      </c>
      <c r="B16" s="10">
        <f>IFERROR(IF(LARGE('Monthly Matrix'!$AH$4:$AH$76,13)&lt;0,"",INDEX('Monthly Matrix'!$A$4:$A$76,MATCH(LARGE('Monthly Matrix'!$AH$4:$AH$76,13),'Monthly Matrix'!$AH$4:$AH$76,0))),"")</f>
        <v/>
      </c>
      <c r="C16" s="10">
        <f>IFERROR(IF(LARGE('Monthly Matrix'!$AH$4:$AH$76,13)&lt;0,"",INDEX('Monthly Matrix'!$B$4:$B$76,MATCH(LARGE('Monthly Matrix'!$AH$4:$AH$76,13),'Monthly Matrix'!$AH$4:$AH$76,0))),"")</f>
        <v/>
      </c>
      <c r="D16" s="10">
        <f>IFERROR(IF(LARGE('Monthly Matrix'!$AH$4:$AH$76,13)&lt;0,"",INDEX('Monthly Matrix'!$G$4:$G$76,MATCH(LARGE('Monthly Matrix'!$AH$4:$AH$76,13),'Monthly Matrix'!$AH$4:$AH$76,0))),"")</f>
        <v/>
      </c>
      <c r="E16" s="10">
        <f>IFERROR(IF(LARGE('Monthly Matrix'!$AH$4:$AH$76,13)&lt;0,"",INDEX('Monthly Matrix'!$F$4:$F$76,MATCH(LARGE('Monthly Matrix'!$AH$4:$AH$76,13),'Monthly Matrix'!$AH$4:$AH$76,0))),"")</f>
        <v/>
      </c>
      <c r="F16" s="10">
        <f>IFERROR(IF(LARGE('Monthly Matrix'!$AH$4:$AH$76,13)&lt;0,"",INDEX('Monthly Matrix'!$E$4:$E$76,MATCH(LARGE('Monthly Matrix'!$AH$4:$AH$76,13),'Monthly Matrix'!$AH$4:$AH$76,0))),"")</f>
        <v/>
      </c>
      <c r="G16" s="10" t="n"/>
      <c r="H16" s="10">
        <f>IF(LARGE('Monthly Matrix'!$AH$4:$AH$76,13)&lt;0,"",'Monthly Matrix'!$AB$3)</f>
        <v/>
      </c>
      <c r="I16" s="10">
        <f>IF(LARGE('Monthly Matrix'!$AH$4:$AH$76,13)&lt;0,"","HIGH")</f>
        <v/>
      </c>
      <c r="J16" s="10">
        <f>IFERROR(IF(LARGE('Monthly Matrix'!$AH$4:$AH$76,13)&lt;0,"",INDEX('Monthly Matrix'!$M$4:$M$76,MATCH(LARGE('Monthly Matrix'!$AH$4:$AH$76,13),'Monthly Matrix'!$AH$4:$AH$76,0))),"")</f>
        <v/>
      </c>
      <c r="K16" s="11" t="n"/>
      <c r="L16" s="11" t="n"/>
      <c r="M16" s="10" t="n"/>
      <c r="N16" s="10">
        <f>IF(LARGE('Monthly Matrix'!$AH$4:$AH$76,13)&lt;0,"","Open")</f>
        <v/>
      </c>
      <c r="O16" s="10" t="n"/>
      <c r="P16" s="10" t="n"/>
      <c r="Q16" s="10" t="n"/>
    </row>
    <row r="17" ht="21.75" customHeight="1" s="146">
      <c r="A17" s="6">
        <f>IF(LARGE('Monthly Matrix'!$AH$4:$AH$76,14)&lt;0,"","IP-014")</f>
        <v/>
      </c>
      <c r="B17" s="6">
        <f>IFERROR(IF(LARGE('Monthly Matrix'!$AH$4:$AH$76,14)&lt;0,"",INDEX('Monthly Matrix'!$A$4:$A$76,MATCH(LARGE('Monthly Matrix'!$AH$4:$AH$76,14),'Monthly Matrix'!$AH$4:$AH$76,0))),"")</f>
        <v/>
      </c>
      <c r="C17" s="6">
        <f>IFERROR(IF(LARGE('Monthly Matrix'!$AH$4:$AH$76,14)&lt;0,"",INDEX('Monthly Matrix'!$B$4:$B$76,MATCH(LARGE('Monthly Matrix'!$AH$4:$AH$76,14),'Monthly Matrix'!$AH$4:$AH$76,0))),"")</f>
        <v/>
      </c>
      <c r="D17" s="6">
        <f>IFERROR(IF(LARGE('Monthly Matrix'!$AH$4:$AH$76,14)&lt;0,"",INDEX('Monthly Matrix'!$G$4:$G$76,MATCH(LARGE('Monthly Matrix'!$AH$4:$AH$76,14),'Monthly Matrix'!$AH$4:$AH$76,0))),"")</f>
        <v/>
      </c>
      <c r="E17" s="6">
        <f>IFERROR(IF(LARGE('Monthly Matrix'!$AH$4:$AH$76,14)&lt;0,"",INDEX('Monthly Matrix'!$F$4:$F$76,MATCH(LARGE('Monthly Matrix'!$AH$4:$AH$76,14),'Monthly Matrix'!$AH$4:$AH$76,0))),"")</f>
        <v/>
      </c>
      <c r="F17" s="6">
        <f>IFERROR(IF(LARGE('Monthly Matrix'!$AH$4:$AH$76,14)&lt;0,"",INDEX('Monthly Matrix'!$E$4:$E$76,MATCH(LARGE('Monthly Matrix'!$AH$4:$AH$76,14),'Monthly Matrix'!$AH$4:$AH$76,0))),"")</f>
        <v/>
      </c>
      <c r="G17" s="6" t="n"/>
      <c r="H17" s="6">
        <f>IF(LARGE('Monthly Matrix'!$AH$4:$AH$76,14)&lt;0,"",'Monthly Matrix'!$AB$3)</f>
        <v/>
      </c>
      <c r="I17" s="6">
        <f>IF(LARGE('Monthly Matrix'!$AH$4:$AH$76,14)&lt;0,"","HIGH")</f>
        <v/>
      </c>
      <c r="J17" s="6">
        <f>IFERROR(IF(LARGE('Monthly Matrix'!$AH$4:$AH$76,14)&lt;0,"",INDEX('Monthly Matrix'!$M$4:$M$76,MATCH(LARGE('Monthly Matrix'!$AH$4:$AH$76,14),'Monthly Matrix'!$AH$4:$AH$76,0))),"")</f>
        <v/>
      </c>
      <c r="K17" s="7" t="n"/>
      <c r="L17" s="7" t="n"/>
      <c r="M17" s="6" t="n"/>
      <c r="N17" s="6">
        <f>IF(LARGE('Monthly Matrix'!$AH$4:$AH$76,14)&lt;0,"","Open")</f>
        <v/>
      </c>
      <c r="O17" s="6" t="n"/>
      <c r="P17" s="6" t="n"/>
      <c r="Q17" s="6" t="n"/>
    </row>
    <row r="18" ht="21.75" customHeight="1" s="146">
      <c r="A18" s="10">
        <f>IF(LARGE('Monthly Matrix'!$AH$4:$AH$76,15)&lt;0,"","IP-015")</f>
        <v/>
      </c>
      <c r="B18" s="10">
        <f>IFERROR(IF(LARGE('Monthly Matrix'!$AH$4:$AH$76,15)&lt;0,"",INDEX('Monthly Matrix'!$A$4:$A$76,MATCH(LARGE('Monthly Matrix'!$AH$4:$AH$76,15),'Monthly Matrix'!$AH$4:$AH$76,0))),"")</f>
        <v/>
      </c>
      <c r="C18" s="10">
        <f>IFERROR(IF(LARGE('Monthly Matrix'!$AH$4:$AH$76,15)&lt;0,"",INDEX('Monthly Matrix'!$B$4:$B$76,MATCH(LARGE('Monthly Matrix'!$AH$4:$AH$76,15),'Monthly Matrix'!$AH$4:$AH$76,0))),"")</f>
        <v/>
      </c>
      <c r="D18" s="10">
        <f>IFERROR(IF(LARGE('Monthly Matrix'!$AH$4:$AH$76,15)&lt;0,"",INDEX('Monthly Matrix'!$G$4:$G$76,MATCH(LARGE('Monthly Matrix'!$AH$4:$AH$76,15),'Monthly Matrix'!$AH$4:$AH$76,0))),"")</f>
        <v/>
      </c>
      <c r="E18" s="10">
        <f>IFERROR(IF(LARGE('Monthly Matrix'!$AH$4:$AH$76,15)&lt;0,"",INDEX('Monthly Matrix'!$F$4:$F$76,MATCH(LARGE('Monthly Matrix'!$AH$4:$AH$76,15),'Monthly Matrix'!$AH$4:$AH$76,0))),"")</f>
        <v/>
      </c>
      <c r="F18" s="10">
        <f>IFERROR(IF(LARGE('Monthly Matrix'!$AH$4:$AH$76,15)&lt;0,"",INDEX('Monthly Matrix'!$E$4:$E$76,MATCH(LARGE('Monthly Matrix'!$AH$4:$AH$76,15),'Monthly Matrix'!$AH$4:$AH$76,0))),"")</f>
        <v/>
      </c>
      <c r="G18" s="10" t="n"/>
      <c r="H18" s="10">
        <f>IF(LARGE('Monthly Matrix'!$AH$4:$AH$76,15)&lt;0,"",'Monthly Matrix'!$AB$3)</f>
        <v/>
      </c>
      <c r="I18" s="10">
        <f>IF(LARGE('Monthly Matrix'!$AH$4:$AH$76,15)&lt;0,"","HIGH")</f>
        <v/>
      </c>
      <c r="J18" s="10">
        <f>IFERROR(IF(LARGE('Monthly Matrix'!$AH$4:$AH$76,15)&lt;0,"",INDEX('Monthly Matrix'!$M$4:$M$76,MATCH(LARGE('Monthly Matrix'!$AH$4:$AH$76,15),'Monthly Matrix'!$AH$4:$AH$76,0))),"")</f>
        <v/>
      </c>
      <c r="K18" s="11" t="n"/>
      <c r="L18" s="11" t="n"/>
      <c r="M18" s="10" t="n"/>
      <c r="N18" s="10">
        <f>IF(LARGE('Monthly Matrix'!$AH$4:$AH$76,15)&lt;0,"","Open")</f>
        <v/>
      </c>
      <c r="O18" s="10" t="n"/>
      <c r="P18" s="10" t="n"/>
      <c r="Q18" s="10" t="n"/>
    </row>
    <row r="19" ht="21.75" customHeight="1" s="146">
      <c r="A19" s="6">
        <f>IF(LARGE('Monthly Matrix'!$AH$4:$AH$76,16)&lt;0,"","IP-016")</f>
        <v/>
      </c>
      <c r="B19" s="6">
        <f>IFERROR(IF(LARGE('Monthly Matrix'!$AH$4:$AH$76,16)&lt;0,"",INDEX('Monthly Matrix'!$A$4:$A$76,MATCH(LARGE('Monthly Matrix'!$AH$4:$AH$76,16),'Monthly Matrix'!$AH$4:$AH$76,0))),"")</f>
        <v/>
      </c>
      <c r="C19" s="6">
        <f>IFERROR(IF(LARGE('Monthly Matrix'!$AH$4:$AH$76,16)&lt;0,"",INDEX('Monthly Matrix'!$B$4:$B$76,MATCH(LARGE('Monthly Matrix'!$AH$4:$AH$76,16),'Monthly Matrix'!$AH$4:$AH$76,0))),"")</f>
        <v/>
      </c>
      <c r="D19" s="6">
        <f>IFERROR(IF(LARGE('Monthly Matrix'!$AH$4:$AH$76,16)&lt;0,"",INDEX('Monthly Matrix'!$G$4:$G$76,MATCH(LARGE('Monthly Matrix'!$AH$4:$AH$76,16),'Monthly Matrix'!$AH$4:$AH$76,0))),"")</f>
        <v/>
      </c>
      <c r="E19" s="6">
        <f>IFERROR(IF(LARGE('Monthly Matrix'!$AH$4:$AH$76,16)&lt;0,"",INDEX('Monthly Matrix'!$F$4:$F$76,MATCH(LARGE('Monthly Matrix'!$AH$4:$AH$76,16),'Monthly Matrix'!$AH$4:$AH$76,0))),"")</f>
        <v/>
      </c>
      <c r="F19" s="6">
        <f>IFERROR(IF(LARGE('Monthly Matrix'!$AH$4:$AH$76,16)&lt;0,"",INDEX('Monthly Matrix'!$E$4:$E$76,MATCH(LARGE('Monthly Matrix'!$AH$4:$AH$76,16),'Monthly Matrix'!$AH$4:$AH$76,0))),"")</f>
        <v/>
      </c>
      <c r="G19" s="6" t="n"/>
      <c r="H19" s="6">
        <f>IF(LARGE('Monthly Matrix'!$AH$4:$AH$76,16)&lt;0,"",'Monthly Matrix'!$AB$3)</f>
        <v/>
      </c>
      <c r="I19" s="6">
        <f>IF(LARGE('Monthly Matrix'!$AH$4:$AH$76,16)&lt;0,"","HIGH")</f>
        <v/>
      </c>
      <c r="J19" s="6">
        <f>IFERROR(IF(LARGE('Monthly Matrix'!$AH$4:$AH$76,16)&lt;0,"",INDEX('Monthly Matrix'!$M$4:$M$76,MATCH(LARGE('Monthly Matrix'!$AH$4:$AH$76,16),'Monthly Matrix'!$AH$4:$AH$76,0))),"")</f>
        <v/>
      </c>
      <c r="K19" s="7" t="n"/>
      <c r="L19" s="7" t="n"/>
      <c r="M19" s="6" t="n"/>
      <c r="N19" s="6">
        <f>IF(LARGE('Monthly Matrix'!$AH$4:$AH$76,16)&lt;0,"","Open")</f>
        <v/>
      </c>
      <c r="O19" s="6" t="n"/>
      <c r="P19" s="6" t="n"/>
      <c r="Q19" s="6" t="n"/>
    </row>
    <row r="20" ht="21.75" customHeight="1" s="146">
      <c r="A20" s="10">
        <f>IF(LARGE('Monthly Matrix'!$AH$4:$AH$76,17)&lt;0,"","IP-017")</f>
        <v/>
      </c>
      <c r="B20" s="10">
        <f>IFERROR(IF(LARGE('Monthly Matrix'!$AH$4:$AH$76,17)&lt;0,"",INDEX('Monthly Matrix'!$A$4:$A$76,MATCH(LARGE('Monthly Matrix'!$AH$4:$AH$76,17),'Monthly Matrix'!$AH$4:$AH$76,0))),"")</f>
        <v/>
      </c>
      <c r="C20" s="10">
        <f>IFERROR(IF(LARGE('Monthly Matrix'!$AH$4:$AH$76,17)&lt;0,"",INDEX('Monthly Matrix'!$B$4:$B$76,MATCH(LARGE('Monthly Matrix'!$AH$4:$AH$76,17),'Monthly Matrix'!$AH$4:$AH$76,0))),"")</f>
        <v/>
      </c>
      <c r="D20" s="10">
        <f>IFERROR(IF(LARGE('Monthly Matrix'!$AH$4:$AH$76,17)&lt;0,"",INDEX('Monthly Matrix'!$G$4:$G$76,MATCH(LARGE('Monthly Matrix'!$AH$4:$AH$76,17),'Monthly Matrix'!$AH$4:$AH$76,0))),"")</f>
        <v/>
      </c>
      <c r="E20" s="10">
        <f>IFERROR(IF(LARGE('Monthly Matrix'!$AH$4:$AH$76,17)&lt;0,"",INDEX('Monthly Matrix'!$F$4:$F$76,MATCH(LARGE('Monthly Matrix'!$AH$4:$AH$76,17),'Monthly Matrix'!$AH$4:$AH$76,0))),"")</f>
        <v/>
      </c>
      <c r="F20" s="10">
        <f>IFERROR(IF(LARGE('Monthly Matrix'!$AH$4:$AH$76,17)&lt;0,"",INDEX('Monthly Matrix'!$E$4:$E$76,MATCH(LARGE('Monthly Matrix'!$AH$4:$AH$76,17),'Monthly Matrix'!$AH$4:$AH$76,0))),"")</f>
        <v/>
      </c>
      <c r="G20" s="10" t="n"/>
      <c r="H20" s="10">
        <f>IF(LARGE('Monthly Matrix'!$AH$4:$AH$76,17)&lt;0,"",'Monthly Matrix'!$AB$3)</f>
        <v/>
      </c>
      <c r="I20" s="10">
        <f>IF(LARGE('Monthly Matrix'!$AH$4:$AH$76,17)&lt;0,"","HIGH")</f>
        <v/>
      </c>
      <c r="J20" s="10">
        <f>IFERROR(IF(LARGE('Monthly Matrix'!$AH$4:$AH$76,17)&lt;0,"",INDEX('Monthly Matrix'!$M$4:$M$76,MATCH(LARGE('Monthly Matrix'!$AH$4:$AH$76,17),'Monthly Matrix'!$AH$4:$AH$76,0))),"")</f>
        <v/>
      </c>
      <c r="K20" s="11" t="n"/>
      <c r="L20" s="11" t="n"/>
      <c r="M20" s="10" t="n"/>
      <c r="N20" s="10">
        <f>IF(LARGE('Monthly Matrix'!$AH$4:$AH$76,17)&lt;0,"","Open")</f>
        <v/>
      </c>
      <c r="O20" s="10" t="n"/>
      <c r="P20" s="10" t="n"/>
      <c r="Q20" s="10" t="n"/>
    </row>
    <row r="21" ht="21.75" customHeight="1" s="146">
      <c r="A21" s="6">
        <f>IF(LARGE('Monthly Matrix'!$AH$4:$AH$76,18)&lt;0,"","IP-018")</f>
        <v/>
      </c>
      <c r="B21" s="6">
        <f>IFERROR(IF(LARGE('Monthly Matrix'!$AH$4:$AH$76,18)&lt;0,"",INDEX('Monthly Matrix'!$A$4:$A$76,MATCH(LARGE('Monthly Matrix'!$AH$4:$AH$76,18),'Monthly Matrix'!$AH$4:$AH$76,0))),"")</f>
        <v/>
      </c>
      <c r="C21" s="6">
        <f>IFERROR(IF(LARGE('Monthly Matrix'!$AH$4:$AH$76,18)&lt;0,"",INDEX('Monthly Matrix'!$B$4:$B$76,MATCH(LARGE('Monthly Matrix'!$AH$4:$AH$76,18),'Monthly Matrix'!$AH$4:$AH$76,0))),"")</f>
        <v/>
      </c>
      <c r="D21" s="6">
        <f>IFERROR(IF(LARGE('Monthly Matrix'!$AH$4:$AH$76,18)&lt;0,"",INDEX('Monthly Matrix'!$G$4:$G$76,MATCH(LARGE('Monthly Matrix'!$AH$4:$AH$76,18),'Monthly Matrix'!$AH$4:$AH$76,0))),"")</f>
        <v/>
      </c>
      <c r="E21" s="6">
        <f>IFERROR(IF(LARGE('Monthly Matrix'!$AH$4:$AH$76,18)&lt;0,"",INDEX('Monthly Matrix'!$F$4:$F$76,MATCH(LARGE('Monthly Matrix'!$AH$4:$AH$76,18),'Monthly Matrix'!$AH$4:$AH$76,0))),"")</f>
        <v/>
      </c>
      <c r="F21" s="6">
        <f>IFERROR(IF(LARGE('Monthly Matrix'!$AH$4:$AH$76,18)&lt;0,"",INDEX('Monthly Matrix'!$E$4:$E$76,MATCH(LARGE('Monthly Matrix'!$AH$4:$AH$76,18),'Monthly Matrix'!$AH$4:$AH$76,0))),"")</f>
        <v/>
      </c>
      <c r="G21" s="6" t="n"/>
      <c r="H21" s="6">
        <f>IF(LARGE('Monthly Matrix'!$AH$4:$AH$76,18)&lt;0,"",'Monthly Matrix'!$AB$3)</f>
        <v/>
      </c>
      <c r="I21" s="6">
        <f>IF(LARGE('Monthly Matrix'!$AH$4:$AH$76,18)&lt;0,"","HIGH")</f>
        <v/>
      </c>
      <c r="J21" s="6">
        <f>IFERROR(IF(LARGE('Monthly Matrix'!$AH$4:$AH$76,18)&lt;0,"",INDEX('Monthly Matrix'!$M$4:$M$76,MATCH(LARGE('Monthly Matrix'!$AH$4:$AH$76,18),'Monthly Matrix'!$AH$4:$AH$76,0))),"")</f>
        <v/>
      </c>
      <c r="K21" s="7" t="n"/>
      <c r="L21" s="7" t="n"/>
      <c r="M21" s="6" t="n"/>
      <c r="N21" s="6">
        <f>IF(LARGE('Monthly Matrix'!$AH$4:$AH$76,18)&lt;0,"","Open")</f>
        <v/>
      </c>
      <c r="O21" s="6" t="n"/>
      <c r="P21" s="6" t="n"/>
      <c r="Q21" s="6" t="n"/>
    </row>
    <row r="22" ht="21.75" customHeight="1" s="146">
      <c r="A22" s="10">
        <f>IF(LARGE('Monthly Matrix'!$AH$4:$AH$76,19)&lt;0,"","IP-019")</f>
        <v/>
      </c>
      <c r="B22" s="10">
        <f>IFERROR(IF(LARGE('Monthly Matrix'!$AH$4:$AH$76,19)&lt;0,"",INDEX('Monthly Matrix'!$A$4:$A$76,MATCH(LARGE('Monthly Matrix'!$AH$4:$AH$76,19),'Monthly Matrix'!$AH$4:$AH$76,0))),"")</f>
        <v/>
      </c>
      <c r="C22" s="10">
        <f>IFERROR(IF(LARGE('Monthly Matrix'!$AH$4:$AH$76,19)&lt;0,"",INDEX('Monthly Matrix'!$B$4:$B$76,MATCH(LARGE('Monthly Matrix'!$AH$4:$AH$76,19),'Monthly Matrix'!$AH$4:$AH$76,0))),"")</f>
        <v/>
      </c>
      <c r="D22" s="10">
        <f>IFERROR(IF(LARGE('Monthly Matrix'!$AH$4:$AH$76,19)&lt;0,"",INDEX('Monthly Matrix'!$G$4:$G$76,MATCH(LARGE('Monthly Matrix'!$AH$4:$AH$76,19),'Monthly Matrix'!$AH$4:$AH$76,0))),"")</f>
        <v/>
      </c>
      <c r="E22" s="10">
        <f>IFERROR(IF(LARGE('Monthly Matrix'!$AH$4:$AH$76,19)&lt;0,"",INDEX('Monthly Matrix'!$F$4:$F$76,MATCH(LARGE('Monthly Matrix'!$AH$4:$AH$76,19),'Monthly Matrix'!$AH$4:$AH$76,0))),"")</f>
        <v/>
      </c>
      <c r="F22" s="10">
        <f>IFERROR(IF(LARGE('Monthly Matrix'!$AH$4:$AH$76,19)&lt;0,"",INDEX('Monthly Matrix'!$E$4:$E$76,MATCH(LARGE('Monthly Matrix'!$AH$4:$AH$76,19),'Monthly Matrix'!$AH$4:$AH$76,0))),"")</f>
        <v/>
      </c>
      <c r="G22" s="10" t="n"/>
      <c r="H22" s="10">
        <f>IF(LARGE('Monthly Matrix'!$AH$4:$AH$76,19)&lt;0,"",'Monthly Matrix'!$AB$3)</f>
        <v/>
      </c>
      <c r="I22" s="10">
        <f>IF(LARGE('Monthly Matrix'!$AH$4:$AH$76,19)&lt;0,"","HIGH")</f>
        <v/>
      </c>
      <c r="J22" s="10">
        <f>IFERROR(IF(LARGE('Monthly Matrix'!$AH$4:$AH$76,19)&lt;0,"",INDEX('Monthly Matrix'!$M$4:$M$76,MATCH(LARGE('Monthly Matrix'!$AH$4:$AH$76,19),'Monthly Matrix'!$AH$4:$AH$76,0))),"")</f>
        <v/>
      </c>
      <c r="K22" s="11" t="n"/>
      <c r="L22" s="11" t="n"/>
      <c r="M22" s="10" t="n"/>
      <c r="N22" s="10">
        <f>IF(LARGE('Monthly Matrix'!$AH$4:$AH$76,19)&lt;0,"","Open")</f>
        <v/>
      </c>
      <c r="O22" s="10" t="n"/>
      <c r="P22" s="10" t="n"/>
      <c r="Q22" s="10" t="n"/>
    </row>
    <row r="23" ht="21.75" customHeight="1" s="146">
      <c r="A23" s="6">
        <f>IF(LARGE('Monthly Matrix'!$AH$4:$AH$76,20)&lt;0,"","IP-020")</f>
        <v/>
      </c>
      <c r="B23" s="6">
        <f>IFERROR(IF(LARGE('Monthly Matrix'!$AH$4:$AH$76,20)&lt;0,"",INDEX('Monthly Matrix'!$A$4:$A$76,MATCH(LARGE('Monthly Matrix'!$AH$4:$AH$76,20),'Monthly Matrix'!$AH$4:$AH$76,0))),"")</f>
        <v/>
      </c>
      <c r="C23" s="6">
        <f>IFERROR(IF(LARGE('Monthly Matrix'!$AH$4:$AH$76,20)&lt;0,"",INDEX('Monthly Matrix'!$B$4:$B$76,MATCH(LARGE('Monthly Matrix'!$AH$4:$AH$76,20),'Monthly Matrix'!$AH$4:$AH$76,0))),"")</f>
        <v/>
      </c>
      <c r="D23" s="6">
        <f>IFERROR(IF(LARGE('Monthly Matrix'!$AH$4:$AH$76,20)&lt;0,"",INDEX('Monthly Matrix'!$G$4:$G$76,MATCH(LARGE('Monthly Matrix'!$AH$4:$AH$76,20),'Monthly Matrix'!$AH$4:$AH$76,0))),"")</f>
        <v/>
      </c>
      <c r="E23" s="6">
        <f>IFERROR(IF(LARGE('Monthly Matrix'!$AH$4:$AH$76,20)&lt;0,"",INDEX('Monthly Matrix'!$F$4:$F$76,MATCH(LARGE('Monthly Matrix'!$AH$4:$AH$76,20),'Monthly Matrix'!$AH$4:$AH$76,0))),"")</f>
        <v/>
      </c>
      <c r="F23" s="6">
        <f>IFERROR(IF(LARGE('Monthly Matrix'!$AH$4:$AH$76,20)&lt;0,"",INDEX('Monthly Matrix'!$E$4:$E$76,MATCH(LARGE('Monthly Matrix'!$AH$4:$AH$76,20),'Monthly Matrix'!$AH$4:$AH$76,0))),"")</f>
        <v/>
      </c>
      <c r="G23" s="6" t="n"/>
      <c r="H23" s="6">
        <f>IF(LARGE('Monthly Matrix'!$AH$4:$AH$76,20)&lt;0,"",'Monthly Matrix'!$AB$3)</f>
        <v/>
      </c>
      <c r="I23" s="6">
        <f>IF(LARGE('Monthly Matrix'!$AH$4:$AH$76,20)&lt;0,"","HIGH")</f>
        <v/>
      </c>
      <c r="J23" s="6">
        <f>IFERROR(IF(LARGE('Monthly Matrix'!$AH$4:$AH$76,20)&lt;0,"",INDEX('Monthly Matrix'!$M$4:$M$76,MATCH(LARGE('Monthly Matrix'!$AH$4:$AH$76,20),'Monthly Matrix'!$AH$4:$AH$76,0))),"")</f>
        <v/>
      </c>
      <c r="K23" s="7" t="n"/>
      <c r="L23" s="7" t="n"/>
      <c r="M23" s="6" t="n"/>
      <c r="N23" s="6">
        <f>IF(LARGE('Monthly Matrix'!$AH$4:$AH$76,20)&lt;0,"","Open")</f>
        <v/>
      </c>
      <c r="O23" s="6" t="n"/>
      <c r="P23" s="6" t="n"/>
      <c r="Q23" s="6" t="n"/>
    </row>
    <row r="24" ht="21.75" customHeight="1" s="146">
      <c r="A24" s="10">
        <f>IF(LARGE('Monthly Matrix'!$AH$4:$AH$76,21)&lt;0,"","IP-021")</f>
        <v/>
      </c>
      <c r="B24" s="10">
        <f>IFERROR(IF(LARGE('Monthly Matrix'!$AH$4:$AH$76,21)&lt;0,"",INDEX('Monthly Matrix'!$A$4:$A$76,MATCH(LARGE('Monthly Matrix'!$AH$4:$AH$76,21),'Monthly Matrix'!$AH$4:$AH$76,0))),"")</f>
        <v/>
      </c>
      <c r="C24" s="10">
        <f>IFERROR(IF(LARGE('Monthly Matrix'!$AH$4:$AH$76,21)&lt;0,"",INDEX('Monthly Matrix'!$B$4:$B$76,MATCH(LARGE('Monthly Matrix'!$AH$4:$AH$76,21),'Monthly Matrix'!$AH$4:$AH$76,0))),"")</f>
        <v/>
      </c>
      <c r="D24" s="10">
        <f>IFERROR(IF(LARGE('Monthly Matrix'!$AH$4:$AH$76,21)&lt;0,"",INDEX('Monthly Matrix'!$G$4:$G$76,MATCH(LARGE('Monthly Matrix'!$AH$4:$AH$76,21),'Monthly Matrix'!$AH$4:$AH$76,0))),"")</f>
        <v/>
      </c>
      <c r="E24" s="10">
        <f>IFERROR(IF(LARGE('Monthly Matrix'!$AH$4:$AH$76,21)&lt;0,"",INDEX('Monthly Matrix'!$F$4:$F$76,MATCH(LARGE('Monthly Matrix'!$AH$4:$AH$76,21),'Monthly Matrix'!$AH$4:$AH$76,0))),"")</f>
        <v/>
      </c>
      <c r="F24" s="10">
        <f>IFERROR(IF(LARGE('Monthly Matrix'!$AH$4:$AH$76,21)&lt;0,"",INDEX('Monthly Matrix'!$E$4:$E$76,MATCH(LARGE('Monthly Matrix'!$AH$4:$AH$76,21),'Monthly Matrix'!$AH$4:$AH$76,0))),"")</f>
        <v/>
      </c>
      <c r="G24" s="10" t="n"/>
      <c r="H24" s="10">
        <f>IF(LARGE('Monthly Matrix'!$AH$4:$AH$76,21)&lt;0,"",'Monthly Matrix'!$AB$3)</f>
        <v/>
      </c>
      <c r="I24" s="10">
        <f>IF(LARGE('Monthly Matrix'!$AH$4:$AH$76,21)&lt;0,"","HIGH")</f>
        <v/>
      </c>
      <c r="J24" s="10">
        <f>IFERROR(IF(LARGE('Monthly Matrix'!$AH$4:$AH$76,21)&lt;0,"",INDEX('Monthly Matrix'!$M$4:$M$76,MATCH(LARGE('Monthly Matrix'!$AH$4:$AH$76,21),'Monthly Matrix'!$AH$4:$AH$76,0))),"")</f>
        <v/>
      </c>
      <c r="K24" s="11" t="n"/>
      <c r="L24" s="11" t="n"/>
      <c r="M24" s="10" t="n"/>
      <c r="N24" s="10">
        <f>IF(LARGE('Monthly Matrix'!$AH$4:$AH$76,21)&lt;0,"","Open")</f>
        <v/>
      </c>
      <c r="O24" s="10" t="n"/>
      <c r="P24" s="10" t="n"/>
      <c r="Q24" s="10" t="n"/>
    </row>
    <row r="25" ht="21.75" customHeight="1" s="146">
      <c r="A25" s="6">
        <f>IF(LARGE('Monthly Matrix'!$AH$4:$AH$76,22)&lt;0,"","IP-022")</f>
        <v/>
      </c>
      <c r="B25" s="6">
        <f>IFERROR(IF(LARGE('Monthly Matrix'!$AH$4:$AH$76,22)&lt;0,"",INDEX('Monthly Matrix'!$A$4:$A$76,MATCH(LARGE('Monthly Matrix'!$AH$4:$AH$76,22),'Monthly Matrix'!$AH$4:$AH$76,0))),"")</f>
        <v/>
      </c>
      <c r="C25" s="6">
        <f>IFERROR(IF(LARGE('Monthly Matrix'!$AH$4:$AH$76,22)&lt;0,"",INDEX('Monthly Matrix'!$B$4:$B$76,MATCH(LARGE('Monthly Matrix'!$AH$4:$AH$76,22),'Monthly Matrix'!$AH$4:$AH$76,0))),"")</f>
        <v/>
      </c>
      <c r="D25" s="6">
        <f>IFERROR(IF(LARGE('Monthly Matrix'!$AH$4:$AH$76,22)&lt;0,"",INDEX('Monthly Matrix'!$G$4:$G$76,MATCH(LARGE('Monthly Matrix'!$AH$4:$AH$76,22),'Monthly Matrix'!$AH$4:$AH$76,0))),"")</f>
        <v/>
      </c>
      <c r="E25" s="6">
        <f>IFERROR(IF(LARGE('Monthly Matrix'!$AH$4:$AH$76,22)&lt;0,"",INDEX('Monthly Matrix'!$F$4:$F$76,MATCH(LARGE('Monthly Matrix'!$AH$4:$AH$76,22),'Monthly Matrix'!$AH$4:$AH$76,0))),"")</f>
        <v/>
      </c>
      <c r="F25" s="6">
        <f>IFERROR(IF(LARGE('Monthly Matrix'!$AH$4:$AH$76,22)&lt;0,"",INDEX('Monthly Matrix'!$E$4:$E$76,MATCH(LARGE('Monthly Matrix'!$AH$4:$AH$76,22),'Monthly Matrix'!$AH$4:$AH$76,0))),"")</f>
        <v/>
      </c>
      <c r="G25" s="6" t="n"/>
      <c r="H25" s="6">
        <f>IF(LARGE('Monthly Matrix'!$AH$4:$AH$76,22)&lt;0,"",'Monthly Matrix'!$AB$3)</f>
        <v/>
      </c>
      <c r="I25" s="6">
        <f>IF(LARGE('Monthly Matrix'!$AH$4:$AH$76,22)&lt;0,"","HIGH")</f>
        <v/>
      </c>
      <c r="J25" s="6">
        <f>IFERROR(IF(LARGE('Monthly Matrix'!$AH$4:$AH$76,22)&lt;0,"",INDEX('Monthly Matrix'!$M$4:$M$76,MATCH(LARGE('Monthly Matrix'!$AH$4:$AH$76,22),'Monthly Matrix'!$AH$4:$AH$76,0))),"")</f>
        <v/>
      </c>
      <c r="K25" s="7" t="n"/>
      <c r="L25" s="7" t="n"/>
      <c r="M25" s="6" t="n"/>
      <c r="N25" s="6">
        <f>IF(LARGE('Monthly Matrix'!$AH$4:$AH$76,22)&lt;0,"","Open")</f>
        <v/>
      </c>
      <c r="O25" s="6" t="n"/>
      <c r="P25" s="6" t="n"/>
      <c r="Q25" s="6" t="n"/>
    </row>
    <row r="26" ht="21.75" customHeight="1" s="146">
      <c r="A26" s="10">
        <f>IF(LARGE('Monthly Matrix'!$AH$4:$AH$76,23)&lt;0,"","IP-023")</f>
        <v/>
      </c>
      <c r="B26" s="10">
        <f>IFERROR(IF(LARGE('Monthly Matrix'!$AH$4:$AH$76,23)&lt;0,"",INDEX('Monthly Matrix'!$A$4:$A$76,MATCH(LARGE('Monthly Matrix'!$AH$4:$AH$76,23),'Monthly Matrix'!$AH$4:$AH$76,0))),"")</f>
        <v/>
      </c>
      <c r="C26" s="10">
        <f>IFERROR(IF(LARGE('Monthly Matrix'!$AH$4:$AH$76,23)&lt;0,"",INDEX('Monthly Matrix'!$B$4:$B$76,MATCH(LARGE('Monthly Matrix'!$AH$4:$AH$76,23),'Monthly Matrix'!$AH$4:$AH$76,0))),"")</f>
        <v/>
      </c>
      <c r="D26" s="10">
        <f>IFERROR(IF(LARGE('Monthly Matrix'!$AH$4:$AH$76,23)&lt;0,"",INDEX('Monthly Matrix'!$G$4:$G$76,MATCH(LARGE('Monthly Matrix'!$AH$4:$AH$76,23),'Monthly Matrix'!$AH$4:$AH$76,0))),"")</f>
        <v/>
      </c>
      <c r="E26" s="10">
        <f>IFERROR(IF(LARGE('Monthly Matrix'!$AH$4:$AH$76,23)&lt;0,"",INDEX('Monthly Matrix'!$F$4:$F$76,MATCH(LARGE('Monthly Matrix'!$AH$4:$AH$76,23),'Monthly Matrix'!$AH$4:$AH$76,0))),"")</f>
        <v/>
      </c>
      <c r="F26" s="10">
        <f>IFERROR(IF(LARGE('Monthly Matrix'!$AH$4:$AH$76,23)&lt;0,"",INDEX('Monthly Matrix'!$E$4:$E$76,MATCH(LARGE('Monthly Matrix'!$AH$4:$AH$76,23),'Monthly Matrix'!$AH$4:$AH$76,0))),"")</f>
        <v/>
      </c>
      <c r="G26" s="10" t="n"/>
      <c r="H26" s="10">
        <f>IF(LARGE('Monthly Matrix'!$AH$4:$AH$76,23)&lt;0,"",'Monthly Matrix'!$AB$3)</f>
        <v/>
      </c>
      <c r="I26" s="10">
        <f>IF(LARGE('Monthly Matrix'!$AH$4:$AH$76,23)&lt;0,"","HIGH")</f>
        <v/>
      </c>
      <c r="J26" s="10">
        <f>IFERROR(IF(LARGE('Monthly Matrix'!$AH$4:$AH$76,23)&lt;0,"",INDEX('Monthly Matrix'!$M$4:$M$76,MATCH(LARGE('Monthly Matrix'!$AH$4:$AH$76,23),'Monthly Matrix'!$AH$4:$AH$76,0))),"")</f>
        <v/>
      </c>
      <c r="K26" s="11" t="n"/>
      <c r="L26" s="11" t="n"/>
      <c r="M26" s="10" t="n"/>
      <c r="N26" s="10">
        <f>IF(LARGE('Monthly Matrix'!$AH$4:$AH$76,23)&lt;0,"","Open")</f>
        <v/>
      </c>
      <c r="O26" s="10" t="n"/>
      <c r="P26" s="10" t="n"/>
      <c r="Q26" s="10" t="n"/>
    </row>
    <row r="27" ht="21.75" customHeight="1" s="146">
      <c r="A27" s="6">
        <f>IF(LARGE('Monthly Matrix'!$AH$4:$AH$76,24)&lt;0,"","IP-024")</f>
        <v/>
      </c>
      <c r="B27" s="6">
        <f>IFERROR(IF(LARGE('Monthly Matrix'!$AH$4:$AH$76,24)&lt;0,"",INDEX('Monthly Matrix'!$A$4:$A$76,MATCH(LARGE('Monthly Matrix'!$AH$4:$AH$76,24),'Monthly Matrix'!$AH$4:$AH$76,0))),"")</f>
        <v/>
      </c>
      <c r="C27" s="6">
        <f>IFERROR(IF(LARGE('Monthly Matrix'!$AH$4:$AH$76,24)&lt;0,"",INDEX('Monthly Matrix'!$B$4:$B$76,MATCH(LARGE('Monthly Matrix'!$AH$4:$AH$76,24),'Monthly Matrix'!$AH$4:$AH$76,0))),"")</f>
        <v/>
      </c>
      <c r="D27" s="6">
        <f>IFERROR(IF(LARGE('Monthly Matrix'!$AH$4:$AH$76,24)&lt;0,"",INDEX('Monthly Matrix'!$G$4:$G$76,MATCH(LARGE('Monthly Matrix'!$AH$4:$AH$76,24),'Monthly Matrix'!$AH$4:$AH$76,0))),"")</f>
        <v/>
      </c>
      <c r="E27" s="6">
        <f>IFERROR(IF(LARGE('Monthly Matrix'!$AH$4:$AH$76,24)&lt;0,"",INDEX('Monthly Matrix'!$F$4:$F$76,MATCH(LARGE('Monthly Matrix'!$AH$4:$AH$76,24),'Monthly Matrix'!$AH$4:$AH$76,0))),"")</f>
        <v/>
      </c>
      <c r="F27" s="6">
        <f>IFERROR(IF(LARGE('Monthly Matrix'!$AH$4:$AH$76,24)&lt;0,"",INDEX('Monthly Matrix'!$E$4:$E$76,MATCH(LARGE('Monthly Matrix'!$AH$4:$AH$76,24),'Monthly Matrix'!$AH$4:$AH$76,0))),"")</f>
        <v/>
      </c>
      <c r="G27" s="6" t="n"/>
      <c r="H27" s="6">
        <f>IF(LARGE('Monthly Matrix'!$AH$4:$AH$76,24)&lt;0,"",'Monthly Matrix'!$AB$3)</f>
        <v/>
      </c>
      <c r="I27" s="6">
        <f>IF(LARGE('Monthly Matrix'!$AH$4:$AH$76,24)&lt;0,"","HIGH")</f>
        <v/>
      </c>
      <c r="J27" s="6">
        <f>IFERROR(IF(LARGE('Monthly Matrix'!$AH$4:$AH$76,24)&lt;0,"",INDEX('Monthly Matrix'!$M$4:$M$76,MATCH(LARGE('Monthly Matrix'!$AH$4:$AH$76,24),'Monthly Matrix'!$AH$4:$AH$76,0))),"")</f>
        <v/>
      </c>
      <c r="K27" s="7" t="n"/>
      <c r="L27" s="7" t="n"/>
      <c r="M27" s="6" t="n"/>
      <c r="N27" s="6">
        <f>IF(LARGE('Monthly Matrix'!$AH$4:$AH$76,24)&lt;0,"","Open")</f>
        <v/>
      </c>
      <c r="O27" s="6" t="n"/>
      <c r="P27" s="6" t="n"/>
      <c r="Q27" s="6" t="n"/>
    </row>
    <row r="28" ht="21.75" customHeight="1" s="146">
      <c r="A28" s="10">
        <f>IF(LARGE('Monthly Matrix'!$AH$4:$AH$76,25)&lt;0,"","IP-025")</f>
        <v/>
      </c>
      <c r="B28" s="10">
        <f>IFERROR(IF(LARGE('Monthly Matrix'!$AH$4:$AH$76,25)&lt;0,"",INDEX('Monthly Matrix'!$A$4:$A$76,MATCH(LARGE('Monthly Matrix'!$AH$4:$AH$76,25),'Monthly Matrix'!$AH$4:$AH$76,0))),"")</f>
        <v/>
      </c>
      <c r="C28" s="10">
        <f>IFERROR(IF(LARGE('Monthly Matrix'!$AH$4:$AH$76,25)&lt;0,"",INDEX('Monthly Matrix'!$B$4:$B$76,MATCH(LARGE('Monthly Matrix'!$AH$4:$AH$76,25),'Monthly Matrix'!$AH$4:$AH$76,0))),"")</f>
        <v/>
      </c>
      <c r="D28" s="10">
        <f>IFERROR(IF(LARGE('Monthly Matrix'!$AH$4:$AH$76,25)&lt;0,"",INDEX('Monthly Matrix'!$G$4:$G$76,MATCH(LARGE('Monthly Matrix'!$AH$4:$AH$76,25),'Monthly Matrix'!$AH$4:$AH$76,0))),"")</f>
        <v/>
      </c>
      <c r="E28" s="10">
        <f>IFERROR(IF(LARGE('Monthly Matrix'!$AH$4:$AH$76,25)&lt;0,"",INDEX('Monthly Matrix'!$F$4:$F$76,MATCH(LARGE('Monthly Matrix'!$AH$4:$AH$76,25),'Monthly Matrix'!$AH$4:$AH$76,0))),"")</f>
        <v/>
      </c>
      <c r="F28" s="10">
        <f>IFERROR(IF(LARGE('Monthly Matrix'!$AH$4:$AH$76,25)&lt;0,"",INDEX('Monthly Matrix'!$E$4:$E$76,MATCH(LARGE('Monthly Matrix'!$AH$4:$AH$76,25),'Monthly Matrix'!$AH$4:$AH$76,0))),"")</f>
        <v/>
      </c>
      <c r="G28" s="10" t="n"/>
      <c r="H28" s="10">
        <f>IF(LARGE('Monthly Matrix'!$AH$4:$AH$76,25)&lt;0,"",'Monthly Matrix'!$AB$3)</f>
        <v/>
      </c>
      <c r="I28" s="10">
        <f>IF(LARGE('Monthly Matrix'!$AH$4:$AH$76,25)&lt;0,"","HIGH")</f>
        <v/>
      </c>
      <c r="J28" s="10">
        <f>IFERROR(IF(LARGE('Monthly Matrix'!$AH$4:$AH$76,25)&lt;0,"",INDEX('Monthly Matrix'!$M$4:$M$76,MATCH(LARGE('Monthly Matrix'!$AH$4:$AH$76,25),'Monthly Matrix'!$AH$4:$AH$76,0))),"")</f>
        <v/>
      </c>
      <c r="K28" s="11" t="n"/>
      <c r="L28" s="11" t="n"/>
      <c r="M28" s="10" t="n"/>
      <c r="N28" s="10">
        <f>IF(LARGE('Monthly Matrix'!$AH$4:$AH$76,25)&lt;0,"","Open")</f>
        <v/>
      </c>
      <c r="O28" s="10" t="n"/>
      <c r="P28" s="10" t="n"/>
      <c r="Q28" s="10" t="n"/>
    </row>
    <row r="29" ht="21.75" customHeight="1" s="146">
      <c r="A29" s="6">
        <f>IF(LARGE('Monthly Matrix'!$AH$4:$AH$76,26)&lt;0,"","IP-026")</f>
        <v/>
      </c>
      <c r="B29" s="6">
        <f>IFERROR(IF(LARGE('Monthly Matrix'!$AH$4:$AH$76,26)&lt;0,"",INDEX('Monthly Matrix'!$A$4:$A$76,MATCH(LARGE('Monthly Matrix'!$AH$4:$AH$76,26),'Monthly Matrix'!$AH$4:$AH$76,0))),"")</f>
        <v/>
      </c>
      <c r="C29" s="6">
        <f>IFERROR(IF(LARGE('Monthly Matrix'!$AH$4:$AH$76,26)&lt;0,"",INDEX('Monthly Matrix'!$B$4:$B$76,MATCH(LARGE('Monthly Matrix'!$AH$4:$AH$76,26),'Monthly Matrix'!$AH$4:$AH$76,0))),"")</f>
        <v/>
      </c>
      <c r="D29" s="6">
        <f>IFERROR(IF(LARGE('Monthly Matrix'!$AH$4:$AH$76,26)&lt;0,"",INDEX('Monthly Matrix'!$G$4:$G$76,MATCH(LARGE('Monthly Matrix'!$AH$4:$AH$76,26),'Monthly Matrix'!$AH$4:$AH$76,0))),"")</f>
        <v/>
      </c>
      <c r="E29" s="6">
        <f>IFERROR(IF(LARGE('Monthly Matrix'!$AH$4:$AH$76,26)&lt;0,"",INDEX('Monthly Matrix'!$F$4:$F$76,MATCH(LARGE('Monthly Matrix'!$AH$4:$AH$76,26),'Monthly Matrix'!$AH$4:$AH$76,0))),"")</f>
        <v/>
      </c>
      <c r="F29" s="6">
        <f>IFERROR(IF(LARGE('Monthly Matrix'!$AH$4:$AH$76,26)&lt;0,"",INDEX('Monthly Matrix'!$E$4:$E$76,MATCH(LARGE('Monthly Matrix'!$AH$4:$AH$76,26),'Monthly Matrix'!$AH$4:$AH$76,0))),"")</f>
        <v/>
      </c>
      <c r="G29" s="6" t="n"/>
      <c r="H29" s="6">
        <f>IF(LARGE('Monthly Matrix'!$AH$4:$AH$76,26)&lt;0,"",'Monthly Matrix'!$AB$3)</f>
        <v/>
      </c>
      <c r="I29" s="6">
        <f>IF(LARGE('Monthly Matrix'!$AH$4:$AH$76,26)&lt;0,"","HIGH")</f>
        <v/>
      </c>
      <c r="J29" s="6">
        <f>IFERROR(IF(LARGE('Monthly Matrix'!$AH$4:$AH$76,26)&lt;0,"",INDEX('Monthly Matrix'!$M$4:$M$76,MATCH(LARGE('Monthly Matrix'!$AH$4:$AH$76,26),'Monthly Matrix'!$AH$4:$AH$76,0))),"")</f>
        <v/>
      </c>
      <c r="K29" s="7" t="n"/>
      <c r="L29" s="7" t="n"/>
      <c r="M29" s="6" t="n"/>
      <c r="N29" s="6">
        <f>IF(LARGE('Monthly Matrix'!$AH$4:$AH$76,26)&lt;0,"","Open")</f>
        <v/>
      </c>
      <c r="O29" s="6" t="n"/>
      <c r="P29" s="6" t="n"/>
      <c r="Q29" s="6" t="n"/>
    </row>
    <row r="30" ht="21.75" customHeight="1" s="146">
      <c r="A30" s="10">
        <f>IF(LARGE('Monthly Matrix'!$AH$4:$AH$76,27)&lt;0,"","IP-027")</f>
        <v/>
      </c>
      <c r="B30" s="10">
        <f>IFERROR(IF(LARGE('Monthly Matrix'!$AH$4:$AH$76,27)&lt;0,"",INDEX('Monthly Matrix'!$A$4:$A$76,MATCH(LARGE('Monthly Matrix'!$AH$4:$AH$76,27),'Monthly Matrix'!$AH$4:$AH$76,0))),"")</f>
        <v/>
      </c>
      <c r="C30" s="10">
        <f>IFERROR(IF(LARGE('Monthly Matrix'!$AH$4:$AH$76,27)&lt;0,"",INDEX('Monthly Matrix'!$B$4:$B$76,MATCH(LARGE('Monthly Matrix'!$AH$4:$AH$76,27),'Monthly Matrix'!$AH$4:$AH$76,0))),"")</f>
        <v/>
      </c>
      <c r="D30" s="10">
        <f>IFERROR(IF(LARGE('Monthly Matrix'!$AH$4:$AH$76,27)&lt;0,"",INDEX('Monthly Matrix'!$G$4:$G$76,MATCH(LARGE('Monthly Matrix'!$AH$4:$AH$76,27),'Monthly Matrix'!$AH$4:$AH$76,0))),"")</f>
        <v/>
      </c>
      <c r="E30" s="10">
        <f>IFERROR(IF(LARGE('Monthly Matrix'!$AH$4:$AH$76,27)&lt;0,"",INDEX('Monthly Matrix'!$F$4:$F$76,MATCH(LARGE('Monthly Matrix'!$AH$4:$AH$76,27),'Monthly Matrix'!$AH$4:$AH$76,0))),"")</f>
        <v/>
      </c>
      <c r="F30" s="10">
        <f>IFERROR(IF(LARGE('Monthly Matrix'!$AH$4:$AH$76,27)&lt;0,"",INDEX('Monthly Matrix'!$E$4:$E$76,MATCH(LARGE('Monthly Matrix'!$AH$4:$AH$76,27),'Monthly Matrix'!$AH$4:$AH$76,0))),"")</f>
        <v/>
      </c>
      <c r="G30" s="10" t="n"/>
      <c r="H30" s="10">
        <f>IF(LARGE('Monthly Matrix'!$AH$4:$AH$76,27)&lt;0,"",'Monthly Matrix'!$AB$3)</f>
        <v/>
      </c>
      <c r="I30" s="10">
        <f>IF(LARGE('Monthly Matrix'!$AH$4:$AH$76,27)&lt;0,"","HIGH")</f>
        <v/>
      </c>
      <c r="J30" s="10">
        <f>IFERROR(IF(LARGE('Monthly Matrix'!$AH$4:$AH$76,27)&lt;0,"",INDEX('Monthly Matrix'!$M$4:$M$76,MATCH(LARGE('Monthly Matrix'!$AH$4:$AH$76,27),'Monthly Matrix'!$AH$4:$AH$76,0))),"")</f>
        <v/>
      </c>
      <c r="K30" s="11" t="n"/>
      <c r="L30" s="11" t="n"/>
      <c r="M30" s="10" t="n"/>
      <c r="N30" s="10">
        <f>IF(LARGE('Monthly Matrix'!$AH$4:$AH$76,27)&lt;0,"","Open")</f>
        <v/>
      </c>
      <c r="O30" s="10" t="n"/>
      <c r="P30" s="10" t="n"/>
      <c r="Q30" s="10" t="n"/>
    </row>
    <row r="31" ht="21.75" customHeight="1" s="146">
      <c r="A31" s="6">
        <f>IF(LARGE('Monthly Matrix'!$AH$4:$AH$76,28)&lt;0,"","IP-028")</f>
        <v/>
      </c>
      <c r="B31" s="6">
        <f>IFERROR(IF(LARGE('Monthly Matrix'!$AH$4:$AH$76,28)&lt;0,"",INDEX('Monthly Matrix'!$A$4:$A$76,MATCH(LARGE('Monthly Matrix'!$AH$4:$AH$76,28),'Monthly Matrix'!$AH$4:$AH$76,0))),"")</f>
        <v/>
      </c>
      <c r="C31" s="6">
        <f>IFERROR(IF(LARGE('Monthly Matrix'!$AH$4:$AH$76,28)&lt;0,"",INDEX('Monthly Matrix'!$B$4:$B$76,MATCH(LARGE('Monthly Matrix'!$AH$4:$AH$76,28),'Monthly Matrix'!$AH$4:$AH$76,0))),"")</f>
        <v/>
      </c>
      <c r="D31" s="6">
        <f>IFERROR(IF(LARGE('Monthly Matrix'!$AH$4:$AH$76,28)&lt;0,"",INDEX('Monthly Matrix'!$G$4:$G$76,MATCH(LARGE('Monthly Matrix'!$AH$4:$AH$76,28),'Monthly Matrix'!$AH$4:$AH$76,0))),"")</f>
        <v/>
      </c>
      <c r="E31" s="6">
        <f>IFERROR(IF(LARGE('Monthly Matrix'!$AH$4:$AH$76,28)&lt;0,"",INDEX('Monthly Matrix'!$F$4:$F$76,MATCH(LARGE('Monthly Matrix'!$AH$4:$AH$76,28),'Monthly Matrix'!$AH$4:$AH$76,0))),"")</f>
        <v/>
      </c>
      <c r="F31" s="6">
        <f>IFERROR(IF(LARGE('Monthly Matrix'!$AH$4:$AH$76,28)&lt;0,"",INDEX('Monthly Matrix'!$E$4:$E$76,MATCH(LARGE('Monthly Matrix'!$AH$4:$AH$76,28),'Monthly Matrix'!$AH$4:$AH$76,0))),"")</f>
        <v/>
      </c>
      <c r="G31" s="6" t="n"/>
      <c r="H31" s="6">
        <f>IF(LARGE('Monthly Matrix'!$AH$4:$AH$76,28)&lt;0,"",'Monthly Matrix'!$AB$3)</f>
        <v/>
      </c>
      <c r="I31" s="6">
        <f>IF(LARGE('Monthly Matrix'!$AH$4:$AH$76,28)&lt;0,"","HIGH")</f>
        <v/>
      </c>
      <c r="J31" s="6">
        <f>IFERROR(IF(LARGE('Monthly Matrix'!$AH$4:$AH$76,28)&lt;0,"",INDEX('Monthly Matrix'!$M$4:$M$76,MATCH(LARGE('Monthly Matrix'!$AH$4:$AH$76,28),'Monthly Matrix'!$AH$4:$AH$76,0))),"")</f>
        <v/>
      </c>
      <c r="K31" s="7" t="n"/>
      <c r="L31" s="7" t="n"/>
      <c r="M31" s="6" t="n"/>
      <c r="N31" s="6">
        <f>IF(LARGE('Monthly Matrix'!$AH$4:$AH$76,28)&lt;0,"","Open")</f>
        <v/>
      </c>
      <c r="O31" s="6" t="n"/>
      <c r="P31" s="6" t="n"/>
      <c r="Q31" s="6" t="n"/>
    </row>
    <row r="32" ht="21.75" customHeight="1" s="146">
      <c r="A32" s="10">
        <f>IF(LARGE('Monthly Matrix'!$AH$4:$AH$76,29)&lt;0,"","IP-029")</f>
        <v/>
      </c>
      <c r="B32" s="10">
        <f>IFERROR(IF(LARGE('Monthly Matrix'!$AH$4:$AH$76,29)&lt;0,"",INDEX('Monthly Matrix'!$A$4:$A$76,MATCH(LARGE('Monthly Matrix'!$AH$4:$AH$76,29),'Monthly Matrix'!$AH$4:$AH$76,0))),"")</f>
        <v/>
      </c>
      <c r="C32" s="10">
        <f>IFERROR(IF(LARGE('Monthly Matrix'!$AH$4:$AH$76,29)&lt;0,"",INDEX('Monthly Matrix'!$B$4:$B$76,MATCH(LARGE('Monthly Matrix'!$AH$4:$AH$76,29),'Monthly Matrix'!$AH$4:$AH$76,0))),"")</f>
        <v/>
      </c>
      <c r="D32" s="10">
        <f>IFERROR(IF(LARGE('Monthly Matrix'!$AH$4:$AH$76,29)&lt;0,"",INDEX('Monthly Matrix'!$G$4:$G$76,MATCH(LARGE('Monthly Matrix'!$AH$4:$AH$76,29),'Monthly Matrix'!$AH$4:$AH$76,0))),"")</f>
        <v/>
      </c>
      <c r="E32" s="10">
        <f>IFERROR(IF(LARGE('Monthly Matrix'!$AH$4:$AH$76,29)&lt;0,"",INDEX('Monthly Matrix'!$F$4:$F$76,MATCH(LARGE('Monthly Matrix'!$AH$4:$AH$76,29),'Monthly Matrix'!$AH$4:$AH$76,0))),"")</f>
        <v/>
      </c>
      <c r="F32" s="10">
        <f>IFERROR(IF(LARGE('Monthly Matrix'!$AH$4:$AH$76,29)&lt;0,"",INDEX('Monthly Matrix'!$E$4:$E$76,MATCH(LARGE('Monthly Matrix'!$AH$4:$AH$76,29),'Monthly Matrix'!$AH$4:$AH$76,0))),"")</f>
        <v/>
      </c>
      <c r="G32" s="10" t="n"/>
      <c r="H32" s="10">
        <f>IF(LARGE('Monthly Matrix'!$AH$4:$AH$76,29)&lt;0,"",'Monthly Matrix'!$AB$3)</f>
        <v/>
      </c>
      <c r="I32" s="10">
        <f>IF(LARGE('Monthly Matrix'!$AH$4:$AH$76,29)&lt;0,"","HIGH")</f>
        <v/>
      </c>
      <c r="J32" s="10">
        <f>IFERROR(IF(LARGE('Monthly Matrix'!$AH$4:$AH$76,29)&lt;0,"",INDEX('Monthly Matrix'!$M$4:$M$76,MATCH(LARGE('Monthly Matrix'!$AH$4:$AH$76,29),'Monthly Matrix'!$AH$4:$AH$76,0))),"")</f>
        <v/>
      </c>
      <c r="K32" s="11" t="n"/>
      <c r="L32" s="11" t="n"/>
      <c r="M32" s="10" t="n"/>
      <c r="N32" s="10">
        <f>IF(LARGE('Monthly Matrix'!$AH$4:$AH$76,29)&lt;0,"","Open")</f>
        <v/>
      </c>
      <c r="O32" s="10" t="n"/>
      <c r="P32" s="10" t="n"/>
      <c r="Q32" s="10" t="n"/>
    </row>
    <row r="33" ht="21.75" customHeight="1" s="146">
      <c r="A33" s="6">
        <f>IF(LARGE('Monthly Matrix'!$AH$4:$AH$76,30)&lt;0,"","IP-030")</f>
        <v/>
      </c>
      <c r="B33" s="6">
        <f>IFERROR(IF(LARGE('Monthly Matrix'!$AH$4:$AH$76,30)&lt;0,"",INDEX('Monthly Matrix'!$A$4:$A$76,MATCH(LARGE('Monthly Matrix'!$AH$4:$AH$76,30),'Monthly Matrix'!$AH$4:$AH$76,0))),"")</f>
        <v/>
      </c>
      <c r="C33" s="6">
        <f>IFERROR(IF(LARGE('Monthly Matrix'!$AH$4:$AH$76,30)&lt;0,"",INDEX('Monthly Matrix'!$B$4:$B$76,MATCH(LARGE('Monthly Matrix'!$AH$4:$AH$76,30),'Monthly Matrix'!$AH$4:$AH$76,0))),"")</f>
        <v/>
      </c>
      <c r="D33" s="6">
        <f>IFERROR(IF(LARGE('Monthly Matrix'!$AH$4:$AH$76,30)&lt;0,"",INDEX('Monthly Matrix'!$G$4:$G$76,MATCH(LARGE('Monthly Matrix'!$AH$4:$AH$76,30),'Monthly Matrix'!$AH$4:$AH$76,0))),"")</f>
        <v/>
      </c>
      <c r="E33" s="6">
        <f>IFERROR(IF(LARGE('Monthly Matrix'!$AH$4:$AH$76,30)&lt;0,"",INDEX('Monthly Matrix'!$F$4:$F$76,MATCH(LARGE('Monthly Matrix'!$AH$4:$AH$76,30),'Monthly Matrix'!$AH$4:$AH$76,0))),"")</f>
        <v/>
      </c>
      <c r="F33" s="6">
        <f>IFERROR(IF(LARGE('Monthly Matrix'!$AH$4:$AH$76,30)&lt;0,"",INDEX('Monthly Matrix'!$E$4:$E$76,MATCH(LARGE('Monthly Matrix'!$AH$4:$AH$76,30),'Monthly Matrix'!$AH$4:$AH$76,0))),"")</f>
        <v/>
      </c>
      <c r="G33" s="6" t="n"/>
      <c r="H33" s="6">
        <f>IF(LARGE('Monthly Matrix'!$AH$4:$AH$76,30)&lt;0,"",'Monthly Matrix'!$AB$3)</f>
        <v/>
      </c>
      <c r="I33" s="6">
        <f>IF(LARGE('Monthly Matrix'!$AH$4:$AH$76,30)&lt;0,"","HIGH")</f>
        <v/>
      </c>
      <c r="J33" s="6">
        <f>IFERROR(IF(LARGE('Monthly Matrix'!$AH$4:$AH$76,30)&lt;0,"",INDEX('Monthly Matrix'!$M$4:$M$76,MATCH(LARGE('Monthly Matrix'!$AH$4:$AH$76,30),'Monthly Matrix'!$AH$4:$AH$76,0))),"")</f>
        <v/>
      </c>
      <c r="K33" s="7" t="n"/>
      <c r="L33" s="7" t="n"/>
      <c r="M33" s="6" t="n"/>
      <c r="N33" s="6">
        <f>IF(LARGE('Monthly Matrix'!$AH$4:$AH$76,30)&lt;0,"","Open")</f>
        <v/>
      </c>
      <c r="O33" s="6" t="n"/>
      <c r="P33" s="6" t="n"/>
      <c r="Q33" s="6" t="n"/>
    </row>
    <row r="34" ht="21.75" customHeight="1" s="146">
      <c r="A34" s="10">
        <f>IF(LARGE('Monthly Matrix'!$AH$4:$AH$76,31)&lt;0,"","IP-031")</f>
        <v/>
      </c>
      <c r="B34" s="10">
        <f>IFERROR(IF(LARGE('Monthly Matrix'!$AH$4:$AH$76,31)&lt;0,"",INDEX('Monthly Matrix'!$A$4:$A$76,MATCH(LARGE('Monthly Matrix'!$AH$4:$AH$76,31),'Monthly Matrix'!$AH$4:$AH$76,0))),"")</f>
        <v/>
      </c>
      <c r="C34" s="10">
        <f>IFERROR(IF(LARGE('Monthly Matrix'!$AH$4:$AH$76,31)&lt;0,"",INDEX('Monthly Matrix'!$B$4:$B$76,MATCH(LARGE('Monthly Matrix'!$AH$4:$AH$76,31),'Monthly Matrix'!$AH$4:$AH$76,0))),"")</f>
        <v/>
      </c>
      <c r="D34" s="10">
        <f>IFERROR(IF(LARGE('Monthly Matrix'!$AH$4:$AH$76,31)&lt;0,"",INDEX('Monthly Matrix'!$G$4:$G$76,MATCH(LARGE('Monthly Matrix'!$AH$4:$AH$76,31),'Monthly Matrix'!$AH$4:$AH$76,0))),"")</f>
        <v/>
      </c>
      <c r="E34" s="10">
        <f>IFERROR(IF(LARGE('Monthly Matrix'!$AH$4:$AH$76,31)&lt;0,"",INDEX('Monthly Matrix'!$F$4:$F$76,MATCH(LARGE('Monthly Matrix'!$AH$4:$AH$76,31),'Monthly Matrix'!$AH$4:$AH$76,0))),"")</f>
        <v/>
      </c>
      <c r="F34" s="10">
        <f>IFERROR(IF(LARGE('Monthly Matrix'!$AH$4:$AH$76,31)&lt;0,"",INDEX('Monthly Matrix'!$E$4:$E$76,MATCH(LARGE('Monthly Matrix'!$AH$4:$AH$76,31),'Monthly Matrix'!$AH$4:$AH$76,0))),"")</f>
        <v/>
      </c>
      <c r="G34" s="10" t="n"/>
      <c r="H34" s="10">
        <f>IF(LARGE('Monthly Matrix'!$AH$4:$AH$76,31)&lt;0,"",'Monthly Matrix'!$AB$3)</f>
        <v/>
      </c>
      <c r="I34" s="10">
        <f>IF(LARGE('Monthly Matrix'!$AH$4:$AH$76,31)&lt;0,"","HIGH")</f>
        <v/>
      </c>
      <c r="J34" s="10">
        <f>IFERROR(IF(LARGE('Monthly Matrix'!$AH$4:$AH$76,31)&lt;0,"",INDEX('Monthly Matrix'!$M$4:$M$76,MATCH(LARGE('Monthly Matrix'!$AH$4:$AH$76,31),'Monthly Matrix'!$AH$4:$AH$76,0))),"")</f>
        <v/>
      </c>
      <c r="K34" s="11" t="n"/>
      <c r="L34" s="11" t="n"/>
      <c r="M34" s="10" t="n"/>
      <c r="N34" s="10">
        <f>IF(LARGE('Monthly Matrix'!$AH$4:$AH$76,31)&lt;0,"","Open")</f>
        <v/>
      </c>
      <c r="O34" s="10" t="n"/>
      <c r="P34" s="10" t="n"/>
      <c r="Q34" s="10" t="n"/>
    </row>
    <row r="35" ht="21.75" customHeight="1" s="146">
      <c r="A35" s="6">
        <f>IF(LARGE('Monthly Matrix'!$AH$4:$AH$76,32)&lt;0,"","IP-032")</f>
        <v/>
      </c>
      <c r="B35" s="6">
        <f>IFERROR(IF(LARGE('Monthly Matrix'!$AH$4:$AH$76,32)&lt;0,"",INDEX('Monthly Matrix'!$A$4:$A$76,MATCH(LARGE('Monthly Matrix'!$AH$4:$AH$76,32),'Monthly Matrix'!$AH$4:$AH$76,0))),"")</f>
        <v/>
      </c>
      <c r="C35" s="6">
        <f>IFERROR(IF(LARGE('Monthly Matrix'!$AH$4:$AH$76,32)&lt;0,"",INDEX('Monthly Matrix'!$B$4:$B$76,MATCH(LARGE('Monthly Matrix'!$AH$4:$AH$76,32),'Monthly Matrix'!$AH$4:$AH$76,0))),"")</f>
        <v/>
      </c>
      <c r="D35" s="6">
        <f>IFERROR(IF(LARGE('Monthly Matrix'!$AH$4:$AH$76,32)&lt;0,"",INDEX('Monthly Matrix'!$G$4:$G$76,MATCH(LARGE('Monthly Matrix'!$AH$4:$AH$76,32),'Monthly Matrix'!$AH$4:$AH$76,0))),"")</f>
        <v/>
      </c>
      <c r="E35" s="6">
        <f>IFERROR(IF(LARGE('Monthly Matrix'!$AH$4:$AH$76,32)&lt;0,"",INDEX('Monthly Matrix'!$F$4:$F$76,MATCH(LARGE('Monthly Matrix'!$AH$4:$AH$76,32),'Monthly Matrix'!$AH$4:$AH$76,0))),"")</f>
        <v/>
      </c>
      <c r="F35" s="6">
        <f>IFERROR(IF(LARGE('Monthly Matrix'!$AH$4:$AH$76,32)&lt;0,"",INDEX('Monthly Matrix'!$E$4:$E$76,MATCH(LARGE('Monthly Matrix'!$AH$4:$AH$76,32),'Monthly Matrix'!$AH$4:$AH$76,0))),"")</f>
        <v/>
      </c>
      <c r="G35" s="6" t="n"/>
      <c r="H35" s="6">
        <f>IF(LARGE('Monthly Matrix'!$AH$4:$AH$76,32)&lt;0,"",'Monthly Matrix'!$AB$3)</f>
        <v/>
      </c>
      <c r="I35" s="6">
        <f>IF(LARGE('Monthly Matrix'!$AH$4:$AH$76,32)&lt;0,"","HIGH")</f>
        <v/>
      </c>
      <c r="J35" s="6">
        <f>IFERROR(IF(LARGE('Monthly Matrix'!$AH$4:$AH$76,32)&lt;0,"",INDEX('Monthly Matrix'!$M$4:$M$76,MATCH(LARGE('Monthly Matrix'!$AH$4:$AH$76,32),'Monthly Matrix'!$AH$4:$AH$76,0))),"")</f>
        <v/>
      </c>
      <c r="K35" s="7" t="n"/>
      <c r="L35" s="7" t="n"/>
      <c r="M35" s="6" t="n"/>
      <c r="N35" s="6">
        <f>IF(LARGE('Monthly Matrix'!$AH$4:$AH$76,32)&lt;0,"","Open")</f>
        <v/>
      </c>
      <c r="O35" s="6" t="n"/>
      <c r="P35" s="6" t="n"/>
      <c r="Q35" s="6" t="n"/>
    </row>
    <row r="36" ht="21.75" customHeight="1" s="146">
      <c r="A36" s="10">
        <f>IF(LARGE('Monthly Matrix'!$AH$4:$AH$76,33)&lt;0,"","IP-033")</f>
        <v/>
      </c>
      <c r="B36" s="10">
        <f>IFERROR(IF(LARGE('Monthly Matrix'!$AH$4:$AH$76,33)&lt;0,"",INDEX('Monthly Matrix'!$A$4:$A$76,MATCH(LARGE('Monthly Matrix'!$AH$4:$AH$76,33),'Monthly Matrix'!$AH$4:$AH$76,0))),"")</f>
        <v/>
      </c>
      <c r="C36" s="10">
        <f>IFERROR(IF(LARGE('Monthly Matrix'!$AH$4:$AH$76,33)&lt;0,"",INDEX('Monthly Matrix'!$B$4:$B$76,MATCH(LARGE('Monthly Matrix'!$AH$4:$AH$76,33),'Monthly Matrix'!$AH$4:$AH$76,0))),"")</f>
        <v/>
      </c>
      <c r="D36" s="10">
        <f>IFERROR(IF(LARGE('Monthly Matrix'!$AH$4:$AH$76,33)&lt;0,"",INDEX('Monthly Matrix'!$G$4:$G$76,MATCH(LARGE('Monthly Matrix'!$AH$4:$AH$76,33),'Monthly Matrix'!$AH$4:$AH$76,0))),"")</f>
        <v/>
      </c>
      <c r="E36" s="10">
        <f>IFERROR(IF(LARGE('Monthly Matrix'!$AH$4:$AH$76,33)&lt;0,"",INDEX('Monthly Matrix'!$F$4:$F$76,MATCH(LARGE('Monthly Matrix'!$AH$4:$AH$76,33),'Monthly Matrix'!$AH$4:$AH$76,0))),"")</f>
        <v/>
      </c>
      <c r="F36" s="10">
        <f>IFERROR(IF(LARGE('Monthly Matrix'!$AH$4:$AH$76,33)&lt;0,"",INDEX('Monthly Matrix'!$E$4:$E$76,MATCH(LARGE('Monthly Matrix'!$AH$4:$AH$76,33),'Monthly Matrix'!$AH$4:$AH$76,0))),"")</f>
        <v/>
      </c>
      <c r="G36" s="10" t="n"/>
      <c r="H36" s="10">
        <f>IF(LARGE('Monthly Matrix'!$AH$4:$AH$76,33)&lt;0,"",'Monthly Matrix'!$AB$3)</f>
        <v/>
      </c>
      <c r="I36" s="10">
        <f>IF(LARGE('Monthly Matrix'!$AH$4:$AH$76,33)&lt;0,"","HIGH")</f>
        <v/>
      </c>
      <c r="J36" s="10">
        <f>IFERROR(IF(LARGE('Monthly Matrix'!$AH$4:$AH$76,33)&lt;0,"",INDEX('Monthly Matrix'!$M$4:$M$76,MATCH(LARGE('Monthly Matrix'!$AH$4:$AH$76,33),'Monthly Matrix'!$AH$4:$AH$76,0))),"")</f>
        <v/>
      </c>
      <c r="K36" s="11" t="n"/>
      <c r="L36" s="11" t="n"/>
      <c r="M36" s="10" t="n"/>
      <c r="N36" s="10">
        <f>IF(LARGE('Monthly Matrix'!$AH$4:$AH$76,33)&lt;0,"","Open")</f>
        <v/>
      </c>
      <c r="O36" s="10" t="n"/>
      <c r="P36" s="10" t="n"/>
      <c r="Q36" s="10" t="n"/>
    </row>
    <row r="37" ht="21.75" customHeight="1" s="146">
      <c r="A37" s="6">
        <f>IF(LARGE('Monthly Matrix'!$AH$4:$AH$76,34)&lt;0,"","IP-034")</f>
        <v/>
      </c>
      <c r="B37" s="6">
        <f>IFERROR(IF(LARGE('Monthly Matrix'!$AH$4:$AH$76,34)&lt;0,"",INDEX('Monthly Matrix'!$A$4:$A$76,MATCH(LARGE('Monthly Matrix'!$AH$4:$AH$76,34),'Monthly Matrix'!$AH$4:$AH$76,0))),"")</f>
        <v/>
      </c>
      <c r="C37" s="6">
        <f>IFERROR(IF(LARGE('Monthly Matrix'!$AH$4:$AH$76,34)&lt;0,"",INDEX('Monthly Matrix'!$B$4:$B$76,MATCH(LARGE('Monthly Matrix'!$AH$4:$AH$76,34),'Monthly Matrix'!$AH$4:$AH$76,0))),"")</f>
        <v/>
      </c>
      <c r="D37" s="6">
        <f>IFERROR(IF(LARGE('Monthly Matrix'!$AH$4:$AH$76,34)&lt;0,"",INDEX('Monthly Matrix'!$G$4:$G$76,MATCH(LARGE('Monthly Matrix'!$AH$4:$AH$76,34),'Monthly Matrix'!$AH$4:$AH$76,0))),"")</f>
        <v/>
      </c>
      <c r="E37" s="6">
        <f>IFERROR(IF(LARGE('Monthly Matrix'!$AH$4:$AH$76,34)&lt;0,"",INDEX('Monthly Matrix'!$F$4:$F$76,MATCH(LARGE('Monthly Matrix'!$AH$4:$AH$76,34),'Monthly Matrix'!$AH$4:$AH$76,0))),"")</f>
        <v/>
      </c>
      <c r="F37" s="6">
        <f>IFERROR(IF(LARGE('Monthly Matrix'!$AH$4:$AH$76,34)&lt;0,"",INDEX('Monthly Matrix'!$E$4:$E$76,MATCH(LARGE('Monthly Matrix'!$AH$4:$AH$76,34),'Monthly Matrix'!$AH$4:$AH$76,0))),"")</f>
        <v/>
      </c>
      <c r="G37" s="6" t="n"/>
      <c r="H37" s="6">
        <f>IF(LARGE('Monthly Matrix'!$AH$4:$AH$76,34)&lt;0,"",'Monthly Matrix'!$AB$3)</f>
        <v/>
      </c>
      <c r="I37" s="6">
        <f>IF(LARGE('Monthly Matrix'!$AH$4:$AH$76,34)&lt;0,"","HIGH")</f>
        <v/>
      </c>
      <c r="J37" s="6">
        <f>IFERROR(IF(LARGE('Monthly Matrix'!$AH$4:$AH$76,34)&lt;0,"",INDEX('Monthly Matrix'!$M$4:$M$76,MATCH(LARGE('Monthly Matrix'!$AH$4:$AH$76,34),'Monthly Matrix'!$AH$4:$AH$76,0))),"")</f>
        <v/>
      </c>
      <c r="K37" s="7" t="n"/>
      <c r="L37" s="7" t="n"/>
      <c r="M37" s="6" t="n"/>
      <c r="N37" s="6">
        <f>IF(LARGE('Monthly Matrix'!$AH$4:$AH$76,34)&lt;0,"","Open")</f>
        <v/>
      </c>
      <c r="O37" s="6" t="n"/>
      <c r="P37" s="6" t="n"/>
      <c r="Q37" s="6" t="n"/>
    </row>
    <row r="38" ht="21.75" customHeight="1" s="146">
      <c r="A38" s="10">
        <f>IF(LARGE('Monthly Matrix'!$AH$4:$AH$76,35)&lt;0,"","IP-035")</f>
        <v/>
      </c>
      <c r="B38" s="10">
        <f>IFERROR(IF(LARGE('Monthly Matrix'!$AH$4:$AH$76,35)&lt;0,"",INDEX('Monthly Matrix'!$A$4:$A$76,MATCH(LARGE('Monthly Matrix'!$AH$4:$AH$76,35),'Monthly Matrix'!$AH$4:$AH$76,0))),"")</f>
        <v/>
      </c>
      <c r="C38" s="10">
        <f>IFERROR(IF(LARGE('Monthly Matrix'!$AH$4:$AH$76,35)&lt;0,"",INDEX('Monthly Matrix'!$B$4:$B$76,MATCH(LARGE('Monthly Matrix'!$AH$4:$AH$76,35),'Monthly Matrix'!$AH$4:$AH$76,0))),"")</f>
        <v/>
      </c>
      <c r="D38" s="10">
        <f>IFERROR(IF(LARGE('Monthly Matrix'!$AH$4:$AH$76,35)&lt;0,"",INDEX('Monthly Matrix'!$G$4:$G$76,MATCH(LARGE('Monthly Matrix'!$AH$4:$AH$76,35),'Monthly Matrix'!$AH$4:$AH$76,0))),"")</f>
        <v/>
      </c>
      <c r="E38" s="10">
        <f>IFERROR(IF(LARGE('Monthly Matrix'!$AH$4:$AH$76,35)&lt;0,"",INDEX('Monthly Matrix'!$F$4:$F$76,MATCH(LARGE('Monthly Matrix'!$AH$4:$AH$76,35),'Monthly Matrix'!$AH$4:$AH$76,0))),"")</f>
        <v/>
      </c>
      <c r="F38" s="10">
        <f>IFERROR(IF(LARGE('Monthly Matrix'!$AH$4:$AH$76,35)&lt;0,"",INDEX('Monthly Matrix'!$E$4:$E$76,MATCH(LARGE('Monthly Matrix'!$AH$4:$AH$76,35),'Monthly Matrix'!$AH$4:$AH$76,0))),"")</f>
        <v/>
      </c>
      <c r="G38" s="10" t="n"/>
      <c r="H38" s="10">
        <f>IF(LARGE('Monthly Matrix'!$AH$4:$AH$76,35)&lt;0,"",'Monthly Matrix'!$AB$3)</f>
        <v/>
      </c>
      <c r="I38" s="10">
        <f>IF(LARGE('Monthly Matrix'!$AH$4:$AH$76,35)&lt;0,"","HIGH")</f>
        <v/>
      </c>
      <c r="J38" s="10">
        <f>IFERROR(IF(LARGE('Monthly Matrix'!$AH$4:$AH$76,35)&lt;0,"",INDEX('Monthly Matrix'!$M$4:$M$76,MATCH(LARGE('Monthly Matrix'!$AH$4:$AH$76,35),'Monthly Matrix'!$AH$4:$AH$76,0))),"")</f>
        <v/>
      </c>
      <c r="K38" s="11" t="n"/>
      <c r="L38" s="11" t="n"/>
      <c r="M38" s="10" t="n"/>
      <c r="N38" s="10">
        <f>IF(LARGE('Monthly Matrix'!$AH$4:$AH$76,35)&lt;0,"","Open")</f>
        <v/>
      </c>
      <c r="O38" s="10" t="n"/>
      <c r="P38" s="10" t="n"/>
      <c r="Q38" s="10" t="n"/>
    </row>
    <row r="39" ht="21.75" customHeight="1" s="146">
      <c r="A39" s="6">
        <f>IF(LARGE('Monthly Matrix'!$AH$4:$AH$76,36)&lt;0,"","IP-036")</f>
        <v/>
      </c>
      <c r="B39" s="6">
        <f>IFERROR(IF(LARGE('Monthly Matrix'!$AH$4:$AH$76,36)&lt;0,"",INDEX('Monthly Matrix'!$A$4:$A$76,MATCH(LARGE('Monthly Matrix'!$AH$4:$AH$76,36),'Monthly Matrix'!$AH$4:$AH$76,0))),"")</f>
        <v/>
      </c>
      <c r="C39" s="6">
        <f>IFERROR(IF(LARGE('Monthly Matrix'!$AH$4:$AH$76,36)&lt;0,"",INDEX('Monthly Matrix'!$B$4:$B$76,MATCH(LARGE('Monthly Matrix'!$AH$4:$AH$76,36),'Monthly Matrix'!$AH$4:$AH$76,0))),"")</f>
        <v/>
      </c>
      <c r="D39" s="6">
        <f>IFERROR(IF(LARGE('Monthly Matrix'!$AH$4:$AH$76,36)&lt;0,"",INDEX('Monthly Matrix'!$G$4:$G$76,MATCH(LARGE('Monthly Matrix'!$AH$4:$AH$76,36),'Monthly Matrix'!$AH$4:$AH$76,0))),"")</f>
        <v/>
      </c>
      <c r="E39" s="6">
        <f>IFERROR(IF(LARGE('Monthly Matrix'!$AH$4:$AH$76,36)&lt;0,"",INDEX('Monthly Matrix'!$F$4:$F$76,MATCH(LARGE('Monthly Matrix'!$AH$4:$AH$76,36),'Monthly Matrix'!$AH$4:$AH$76,0))),"")</f>
        <v/>
      </c>
      <c r="F39" s="6">
        <f>IFERROR(IF(LARGE('Monthly Matrix'!$AH$4:$AH$76,36)&lt;0,"",INDEX('Monthly Matrix'!$E$4:$E$76,MATCH(LARGE('Monthly Matrix'!$AH$4:$AH$76,36),'Monthly Matrix'!$AH$4:$AH$76,0))),"")</f>
        <v/>
      </c>
      <c r="G39" s="6" t="n"/>
      <c r="H39" s="6">
        <f>IF(LARGE('Monthly Matrix'!$AH$4:$AH$76,36)&lt;0,"",'Monthly Matrix'!$AB$3)</f>
        <v/>
      </c>
      <c r="I39" s="6">
        <f>IF(LARGE('Monthly Matrix'!$AH$4:$AH$76,36)&lt;0,"","HIGH")</f>
        <v/>
      </c>
      <c r="J39" s="6">
        <f>IFERROR(IF(LARGE('Monthly Matrix'!$AH$4:$AH$76,36)&lt;0,"",INDEX('Monthly Matrix'!$M$4:$M$76,MATCH(LARGE('Monthly Matrix'!$AH$4:$AH$76,36),'Monthly Matrix'!$AH$4:$AH$76,0))),"")</f>
        <v/>
      </c>
      <c r="K39" s="7" t="n"/>
      <c r="L39" s="7" t="n"/>
      <c r="M39" s="6" t="n"/>
      <c r="N39" s="6">
        <f>IF(LARGE('Monthly Matrix'!$AH$4:$AH$76,36)&lt;0,"","Open")</f>
        <v/>
      </c>
      <c r="O39" s="6" t="n"/>
      <c r="P39" s="6" t="n"/>
      <c r="Q39" s="6" t="n"/>
    </row>
    <row r="40" ht="21.75" customHeight="1" s="146">
      <c r="A40" s="10">
        <f>IF(LARGE('Monthly Matrix'!$AH$4:$AH$76,37)&lt;0,"","IP-037")</f>
        <v/>
      </c>
      <c r="B40" s="10">
        <f>IFERROR(IF(LARGE('Monthly Matrix'!$AH$4:$AH$76,37)&lt;0,"",INDEX('Monthly Matrix'!$A$4:$A$76,MATCH(LARGE('Monthly Matrix'!$AH$4:$AH$76,37),'Monthly Matrix'!$AH$4:$AH$76,0))),"")</f>
        <v/>
      </c>
      <c r="C40" s="10">
        <f>IFERROR(IF(LARGE('Monthly Matrix'!$AH$4:$AH$76,37)&lt;0,"",INDEX('Monthly Matrix'!$B$4:$B$76,MATCH(LARGE('Monthly Matrix'!$AH$4:$AH$76,37),'Monthly Matrix'!$AH$4:$AH$76,0))),"")</f>
        <v/>
      </c>
      <c r="D40" s="10">
        <f>IFERROR(IF(LARGE('Monthly Matrix'!$AH$4:$AH$76,37)&lt;0,"",INDEX('Monthly Matrix'!$G$4:$G$76,MATCH(LARGE('Monthly Matrix'!$AH$4:$AH$76,37),'Monthly Matrix'!$AH$4:$AH$76,0))),"")</f>
        <v/>
      </c>
      <c r="E40" s="10">
        <f>IFERROR(IF(LARGE('Monthly Matrix'!$AH$4:$AH$76,37)&lt;0,"",INDEX('Monthly Matrix'!$F$4:$F$76,MATCH(LARGE('Monthly Matrix'!$AH$4:$AH$76,37),'Monthly Matrix'!$AH$4:$AH$76,0))),"")</f>
        <v/>
      </c>
      <c r="F40" s="10">
        <f>IFERROR(IF(LARGE('Monthly Matrix'!$AH$4:$AH$76,37)&lt;0,"",INDEX('Monthly Matrix'!$E$4:$E$76,MATCH(LARGE('Monthly Matrix'!$AH$4:$AH$76,37),'Monthly Matrix'!$AH$4:$AH$76,0))),"")</f>
        <v/>
      </c>
      <c r="G40" s="10" t="n"/>
      <c r="H40" s="10">
        <f>IF(LARGE('Monthly Matrix'!$AH$4:$AH$76,37)&lt;0,"",'Monthly Matrix'!$AB$3)</f>
        <v/>
      </c>
      <c r="I40" s="10">
        <f>IF(LARGE('Monthly Matrix'!$AH$4:$AH$76,37)&lt;0,"","HIGH")</f>
        <v/>
      </c>
      <c r="J40" s="10">
        <f>IFERROR(IF(LARGE('Monthly Matrix'!$AH$4:$AH$76,37)&lt;0,"",INDEX('Monthly Matrix'!$M$4:$M$76,MATCH(LARGE('Monthly Matrix'!$AH$4:$AH$76,37),'Monthly Matrix'!$AH$4:$AH$76,0))),"")</f>
        <v/>
      </c>
      <c r="K40" s="11" t="n"/>
      <c r="L40" s="11" t="n"/>
      <c r="M40" s="10" t="n"/>
      <c r="N40" s="10">
        <f>IF(LARGE('Monthly Matrix'!$AH$4:$AH$76,37)&lt;0,"","Open")</f>
        <v/>
      </c>
      <c r="O40" s="10" t="n"/>
      <c r="P40" s="10" t="n"/>
      <c r="Q40" s="10" t="n"/>
    </row>
    <row r="41" ht="21.75" customHeight="1" s="146">
      <c r="A41" s="6">
        <f>IF(LARGE('Monthly Matrix'!$AH$4:$AH$76,38)&lt;0,"","IP-038")</f>
        <v/>
      </c>
      <c r="B41" s="6">
        <f>IFERROR(IF(LARGE('Monthly Matrix'!$AH$4:$AH$76,38)&lt;0,"",INDEX('Monthly Matrix'!$A$4:$A$76,MATCH(LARGE('Monthly Matrix'!$AH$4:$AH$76,38),'Monthly Matrix'!$AH$4:$AH$76,0))),"")</f>
        <v/>
      </c>
      <c r="C41" s="6">
        <f>IFERROR(IF(LARGE('Monthly Matrix'!$AH$4:$AH$76,38)&lt;0,"",INDEX('Monthly Matrix'!$B$4:$B$76,MATCH(LARGE('Monthly Matrix'!$AH$4:$AH$76,38),'Monthly Matrix'!$AH$4:$AH$76,0))),"")</f>
        <v/>
      </c>
      <c r="D41" s="6">
        <f>IFERROR(IF(LARGE('Monthly Matrix'!$AH$4:$AH$76,38)&lt;0,"",INDEX('Monthly Matrix'!$G$4:$G$76,MATCH(LARGE('Monthly Matrix'!$AH$4:$AH$76,38),'Monthly Matrix'!$AH$4:$AH$76,0))),"")</f>
        <v/>
      </c>
      <c r="E41" s="6">
        <f>IFERROR(IF(LARGE('Monthly Matrix'!$AH$4:$AH$76,38)&lt;0,"",INDEX('Monthly Matrix'!$F$4:$F$76,MATCH(LARGE('Monthly Matrix'!$AH$4:$AH$76,38),'Monthly Matrix'!$AH$4:$AH$76,0))),"")</f>
        <v/>
      </c>
      <c r="F41" s="6">
        <f>IFERROR(IF(LARGE('Monthly Matrix'!$AH$4:$AH$76,38)&lt;0,"",INDEX('Monthly Matrix'!$E$4:$E$76,MATCH(LARGE('Monthly Matrix'!$AH$4:$AH$76,38),'Monthly Matrix'!$AH$4:$AH$76,0))),"")</f>
        <v/>
      </c>
      <c r="G41" s="6" t="n"/>
      <c r="H41" s="6">
        <f>IF(LARGE('Monthly Matrix'!$AH$4:$AH$76,38)&lt;0,"",'Monthly Matrix'!$AB$3)</f>
        <v/>
      </c>
      <c r="I41" s="6">
        <f>IF(LARGE('Monthly Matrix'!$AH$4:$AH$76,38)&lt;0,"","HIGH")</f>
        <v/>
      </c>
      <c r="J41" s="6">
        <f>IFERROR(IF(LARGE('Monthly Matrix'!$AH$4:$AH$76,38)&lt;0,"",INDEX('Monthly Matrix'!$M$4:$M$76,MATCH(LARGE('Monthly Matrix'!$AH$4:$AH$76,38),'Monthly Matrix'!$AH$4:$AH$76,0))),"")</f>
        <v/>
      </c>
      <c r="K41" s="7" t="n"/>
      <c r="L41" s="7" t="n"/>
      <c r="M41" s="6" t="n"/>
      <c r="N41" s="6">
        <f>IF(LARGE('Monthly Matrix'!$AH$4:$AH$76,38)&lt;0,"","Open")</f>
        <v/>
      </c>
      <c r="O41" s="6" t="n"/>
      <c r="P41" s="6" t="n"/>
      <c r="Q41" s="6" t="n"/>
    </row>
    <row r="42" ht="21.75" customHeight="1" s="146">
      <c r="A42" s="10">
        <f>IF(LARGE('Monthly Matrix'!$AH$4:$AH$76,39)&lt;0,"","IP-039")</f>
        <v/>
      </c>
      <c r="B42" s="10">
        <f>IFERROR(IF(LARGE('Monthly Matrix'!$AH$4:$AH$76,39)&lt;0,"",INDEX('Monthly Matrix'!$A$4:$A$76,MATCH(LARGE('Monthly Matrix'!$AH$4:$AH$76,39),'Monthly Matrix'!$AH$4:$AH$76,0))),"")</f>
        <v/>
      </c>
      <c r="C42" s="10">
        <f>IFERROR(IF(LARGE('Monthly Matrix'!$AH$4:$AH$76,39)&lt;0,"",INDEX('Monthly Matrix'!$B$4:$B$76,MATCH(LARGE('Monthly Matrix'!$AH$4:$AH$76,39),'Monthly Matrix'!$AH$4:$AH$76,0))),"")</f>
        <v/>
      </c>
      <c r="D42" s="10">
        <f>IFERROR(IF(LARGE('Monthly Matrix'!$AH$4:$AH$76,39)&lt;0,"",INDEX('Monthly Matrix'!$G$4:$G$76,MATCH(LARGE('Monthly Matrix'!$AH$4:$AH$76,39),'Monthly Matrix'!$AH$4:$AH$76,0))),"")</f>
        <v/>
      </c>
      <c r="E42" s="10">
        <f>IFERROR(IF(LARGE('Monthly Matrix'!$AH$4:$AH$76,39)&lt;0,"",INDEX('Monthly Matrix'!$F$4:$F$76,MATCH(LARGE('Monthly Matrix'!$AH$4:$AH$76,39),'Monthly Matrix'!$AH$4:$AH$76,0))),"")</f>
        <v/>
      </c>
      <c r="F42" s="10">
        <f>IFERROR(IF(LARGE('Monthly Matrix'!$AH$4:$AH$76,39)&lt;0,"",INDEX('Monthly Matrix'!$E$4:$E$76,MATCH(LARGE('Monthly Matrix'!$AH$4:$AH$76,39),'Monthly Matrix'!$AH$4:$AH$76,0))),"")</f>
        <v/>
      </c>
      <c r="G42" s="10" t="n"/>
      <c r="H42" s="10">
        <f>IF(LARGE('Monthly Matrix'!$AH$4:$AH$76,39)&lt;0,"",'Monthly Matrix'!$AB$3)</f>
        <v/>
      </c>
      <c r="I42" s="10">
        <f>IF(LARGE('Monthly Matrix'!$AH$4:$AH$76,39)&lt;0,"","HIGH")</f>
        <v/>
      </c>
      <c r="J42" s="10">
        <f>IFERROR(IF(LARGE('Monthly Matrix'!$AH$4:$AH$76,39)&lt;0,"",INDEX('Monthly Matrix'!$M$4:$M$76,MATCH(LARGE('Monthly Matrix'!$AH$4:$AH$76,39),'Monthly Matrix'!$AH$4:$AH$76,0))),"")</f>
        <v/>
      </c>
      <c r="K42" s="11" t="n"/>
      <c r="L42" s="11" t="n"/>
      <c r="M42" s="10" t="n"/>
      <c r="N42" s="10">
        <f>IF(LARGE('Monthly Matrix'!$AH$4:$AH$76,39)&lt;0,"","Open")</f>
        <v/>
      </c>
      <c r="O42" s="10" t="n"/>
      <c r="P42" s="10" t="n"/>
      <c r="Q42" s="10" t="n"/>
    </row>
    <row r="43" ht="21.75" customHeight="1" s="146">
      <c r="A43" s="6">
        <f>IF(LARGE('Monthly Matrix'!$AH$4:$AH$76,40)&lt;0,"","IP-040")</f>
        <v/>
      </c>
      <c r="B43" s="6">
        <f>IFERROR(IF(LARGE('Monthly Matrix'!$AH$4:$AH$76,40)&lt;0,"",INDEX('Monthly Matrix'!$A$4:$A$76,MATCH(LARGE('Monthly Matrix'!$AH$4:$AH$76,40),'Monthly Matrix'!$AH$4:$AH$76,0))),"")</f>
        <v/>
      </c>
      <c r="C43" s="6">
        <f>IFERROR(IF(LARGE('Monthly Matrix'!$AH$4:$AH$76,40)&lt;0,"",INDEX('Monthly Matrix'!$B$4:$B$76,MATCH(LARGE('Monthly Matrix'!$AH$4:$AH$76,40),'Monthly Matrix'!$AH$4:$AH$76,0))),"")</f>
        <v/>
      </c>
      <c r="D43" s="6">
        <f>IFERROR(IF(LARGE('Monthly Matrix'!$AH$4:$AH$76,40)&lt;0,"",INDEX('Monthly Matrix'!$G$4:$G$76,MATCH(LARGE('Monthly Matrix'!$AH$4:$AH$76,40),'Monthly Matrix'!$AH$4:$AH$76,0))),"")</f>
        <v/>
      </c>
      <c r="E43" s="6">
        <f>IFERROR(IF(LARGE('Monthly Matrix'!$AH$4:$AH$76,40)&lt;0,"",INDEX('Monthly Matrix'!$F$4:$F$76,MATCH(LARGE('Monthly Matrix'!$AH$4:$AH$76,40),'Monthly Matrix'!$AH$4:$AH$76,0))),"")</f>
        <v/>
      </c>
      <c r="F43" s="6">
        <f>IFERROR(IF(LARGE('Monthly Matrix'!$AH$4:$AH$76,40)&lt;0,"",INDEX('Monthly Matrix'!$E$4:$E$76,MATCH(LARGE('Monthly Matrix'!$AH$4:$AH$76,40),'Monthly Matrix'!$AH$4:$AH$76,0))),"")</f>
        <v/>
      </c>
      <c r="G43" s="6" t="n"/>
      <c r="H43" s="6">
        <f>IF(LARGE('Monthly Matrix'!$AH$4:$AH$76,40)&lt;0,"",'Monthly Matrix'!$AB$3)</f>
        <v/>
      </c>
      <c r="I43" s="6">
        <f>IF(LARGE('Monthly Matrix'!$AH$4:$AH$76,40)&lt;0,"","HIGH")</f>
        <v/>
      </c>
      <c r="J43" s="6">
        <f>IFERROR(IF(LARGE('Monthly Matrix'!$AH$4:$AH$76,40)&lt;0,"",INDEX('Monthly Matrix'!$M$4:$M$76,MATCH(LARGE('Monthly Matrix'!$AH$4:$AH$76,40),'Monthly Matrix'!$AH$4:$AH$76,0))),"")</f>
        <v/>
      </c>
      <c r="K43" s="7" t="n"/>
      <c r="L43" s="7" t="n"/>
      <c r="M43" s="6" t="n"/>
      <c r="N43" s="6">
        <f>IF(LARGE('Monthly Matrix'!$AH$4:$AH$76,40)&lt;0,"","Open")</f>
        <v/>
      </c>
      <c r="O43" s="6" t="n"/>
      <c r="P43" s="6" t="n"/>
      <c r="Q43" s="6" t="n"/>
    </row>
    <row r="44" ht="21.75" customHeight="1" s="146">
      <c r="A44" s="10">
        <f>IF(LARGE('Monthly Matrix'!$AH$4:$AH$76,41)&lt;0,"","IP-041")</f>
        <v/>
      </c>
      <c r="B44" s="10">
        <f>IFERROR(IF(LARGE('Monthly Matrix'!$AH$4:$AH$76,41)&lt;0,"",INDEX('Monthly Matrix'!$A$4:$A$76,MATCH(LARGE('Monthly Matrix'!$AH$4:$AH$76,41),'Monthly Matrix'!$AH$4:$AH$76,0))),"")</f>
        <v/>
      </c>
      <c r="C44" s="10">
        <f>IFERROR(IF(LARGE('Monthly Matrix'!$AH$4:$AH$76,41)&lt;0,"",INDEX('Monthly Matrix'!$B$4:$B$76,MATCH(LARGE('Monthly Matrix'!$AH$4:$AH$76,41),'Monthly Matrix'!$AH$4:$AH$76,0))),"")</f>
        <v/>
      </c>
      <c r="D44" s="10">
        <f>IFERROR(IF(LARGE('Monthly Matrix'!$AH$4:$AH$76,41)&lt;0,"",INDEX('Monthly Matrix'!$G$4:$G$76,MATCH(LARGE('Monthly Matrix'!$AH$4:$AH$76,41),'Monthly Matrix'!$AH$4:$AH$76,0))),"")</f>
        <v/>
      </c>
      <c r="E44" s="10">
        <f>IFERROR(IF(LARGE('Monthly Matrix'!$AH$4:$AH$76,41)&lt;0,"",INDEX('Monthly Matrix'!$F$4:$F$76,MATCH(LARGE('Monthly Matrix'!$AH$4:$AH$76,41),'Monthly Matrix'!$AH$4:$AH$76,0))),"")</f>
        <v/>
      </c>
      <c r="F44" s="10">
        <f>IFERROR(IF(LARGE('Monthly Matrix'!$AH$4:$AH$76,41)&lt;0,"",INDEX('Monthly Matrix'!$E$4:$E$76,MATCH(LARGE('Monthly Matrix'!$AH$4:$AH$76,41),'Monthly Matrix'!$AH$4:$AH$76,0))),"")</f>
        <v/>
      </c>
      <c r="G44" s="10" t="n"/>
      <c r="H44" s="10">
        <f>IF(LARGE('Monthly Matrix'!$AH$4:$AH$76,41)&lt;0,"",'Monthly Matrix'!$AB$3)</f>
        <v/>
      </c>
      <c r="I44" s="10">
        <f>IF(LARGE('Monthly Matrix'!$AH$4:$AH$76,41)&lt;0,"","HIGH")</f>
        <v/>
      </c>
      <c r="J44" s="10">
        <f>IFERROR(IF(LARGE('Monthly Matrix'!$AH$4:$AH$76,41)&lt;0,"",INDEX('Monthly Matrix'!$M$4:$M$76,MATCH(LARGE('Monthly Matrix'!$AH$4:$AH$76,41),'Monthly Matrix'!$AH$4:$AH$76,0))),"")</f>
        <v/>
      </c>
      <c r="K44" s="11" t="n"/>
      <c r="L44" s="11" t="n"/>
      <c r="M44" s="10" t="n"/>
      <c r="N44" s="10">
        <f>IF(LARGE('Monthly Matrix'!$AH$4:$AH$76,41)&lt;0,"","Open")</f>
        <v/>
      </c>
      <c r="O44" s="10" t="n"/>
      <c r="P44" s="10" t="n"/>
      <c r="Q44" s="10" t="n"/>
    </row>
    <row r="45" ht="21.75" customHeight="1" s="146">
      <c r="A45" s="6">
        <f>IF(LARGE('Monthly Matrix'!$AH$4:$AH$76,42)&lt;0,"","IP-042")</f>
        <v/>
      </c>
      <c r="B45" s="6">
        <f>IFERROR(IF(LARGE('Monthly Matrix'!$AH$4:$AH$76,42)&lt;0,"",INDEX('Monthly Matrix'!$A$4:$A$76,MATCH(LARGE('Monthly Matrix'!$AH$4:$AH$76,42),'Monthly Matrix'!$AH$4:$AH$76,0))),"")</f>
        <v/>
      </c>
      <c r="C45" s="6">
        <f>IFERROR(IF(LARGE('Monthly Matrix'!$AH$4:$AH$76,42)&lt;0,"",INDEX('Monthly Matrix'!$B$4:$B$76,MATCH(LARGE('Monthly Matrix'!$AH$4:$AH$76,42),'Monthly Matrix'!$AH$4:$AH$76,0))),"")</f>
        <v/>
      </c>
      <c r="D45" s="6">
        <f>IFERROR(IF(LARGE('Monthly Matrix'!$AH$4:$AH$76,42)&lt;0,"",INDEX('Monthly Matrix'!$G$4:$G$76,MATCH(LARGE('Monthly Matrix'!$AH$4:$AH$76,42),'Monthly Matrix'!$AH$4:$AH$76,0))),"")</f>
        <v/>
      </c>
      <c r="E45" s="6">
        <f>IFERROR(IF(LARGE('Monthly Matrix'!$AH$4:$AH$76,42)&lt;0,"",INDEX('Monthly Matrix'!$F$4:$F$76,MATCH(LARGE('Monthly Matrix'!$AH$4:$AH$76,42),'Monthly Matrix'!$AH$4:$AH$76,0))),"")</f>
        <v/>
      </c>
      <c r="F45" s="6">
        <f>IFERROR(IF(LARGE('Monthly Matrix'!$AH$4:$AH$76,42)&lt;0,"",INDEX('Monthly Matrix'!$E$4:$E$76,MATCH(LARGE('Monthly Matrix'!$AH$4:$AH$76,42),'Monthly Matrix'!$AH$4:$AH$76,0))),"")</f>
        <v/>
      </c>
      <c r="G45" s="6" t="n"/>
      <c r="H45" s="6">
        <f>IF(LARGE('Monthly Matrix'!$AH$4:$AH$76,42)&lt;0,"",'Monthly Matrix'!$AB$3)</f>
        <v/>
      </c>
      <c r="I45" s="6">
        <f>IF(LARGE('Monthly Matrix'!$AH$4:$AH$76,42)&lt;0,"","HIGH")</f>
        <v/>
      </c>
      <c r="J45" s="6">
        <f>IFERROR(IF(LARGE('Monthly Matrix'!$AH$4:$AH$76,42)&lt;0,"",INDEX('Monthly Matrix'!$M$4:$M$76,MATCH(LARGE('Monthly Matrix'!$AH$4:$AH$76,42),'Monthly Matrix'!$AH$4:$AH$76,0))),"")</f>
        <v/>
      </c>
      <c r="K45" s="7" t="n"/>
      <c r="L45" s="7" t="n"/>
      <c r="M45" s="6" t="n"/>
      <c r="N45" s="6">
        <f>IF(LARGE('Monthly Matrix'!$AH$4:$AH$76,42)&lt;0,"","Open")</f>
        <v/>
      </c>
      <c r="O45" s="6" t="n"/>
      <c r="P45" s="6" t="n"/>
      <c r="Q45" s="6" t="n"/>
    </row>
    <row r="46" ht="21.75" customHeight="1" s="146">
      <c r="A46" s="10">
        <f>IF(LARGE('Monthly Matrix'!$AH$4:$AH$76,43)&lt;0,"","IP-043")</f>
        <v/>
      </c>
      <c r="B46" s="10">
        <f>IFERROR(IF(LARGE('Monthly Matrix'!$AH$4:$AH$76,43)&lt;0,"",INDEX('Monthly Matrix'!$A$4:$A$76,MATCH(LARGE('Monthly Matrix'!$AH$4:$AH$76,43),'Monthly Matrix'!$AH$4:$AH$76,0))),"")</f>
        <v/>
      </c>
      <c r="C46" s="10">
        <f>IFERROR(IF(LARGE('Monthly Matrix'!$AH$4:$AH$76,43)&lt;0,"",INDEX('Monthly Matrix'!$B$4:$B$76,MATCH(LARGE('Monthly Matrix'!$AH$4:$AH$76,43),'Monthly Matrix'!$AH$4:$AH$76,0))),"")</f>
        <v/>
      </c>
      <c r="D46" s="10">
        <f>IFERROR(IF(LARGE('Monthly Matrix'!$AH$4:$AH$76,43)&lt;0,"",INDEX('Monthly Matrix'!$G$4:$G$76,MATCH(LARGE('Monthly Matrix'!$AH$4:$AH$76,43),'Monthly Matrix'!$AH$4:$AH$76,0))),"")</f>
        <v/>
      </c>
      <c r="E46" s="10">
        <f>IFERROR(IF(LARGE('Monthly Matrix'!$AH$4:$AH$76,43)&lt;0,"",INDEX('Monthly Matrix'!$F$4:$F$76,MATCH(LARGE('Monthly Matrix'!$AH$4:$AH$76,43),'Monthly Matrix'!$AH$4:$AH$76,0))),"")</f>
        <v/>
      </c>
      <c r="F46" s="10">
        <f>IFERROR(IF(LARGE('Monthly Matrix'!$AH$4:$AH$76,43)&lt;0,"",INDEX('Monthly Matrix'!$E$4:$E$76,MATCH(LARGE('Monthly Matrix'!$AH$4:$AH$76,43),'Monthly Matrix'!$AH$4:$AH$76,0))),"")</f>
        <v/>
      </c>
      <c r="G46" s="10" t="n"/>
      <c r="H46" s="10">
        <f>IF(LARGE('Monthly Matrix'!$AH$4:$AH$76,43)&lt;0,"",'Monthly Matrix'!$AB$3)</f>
        <v/>
      </c>
      <c r="I46" s="10">
        <f>IF(LARGE('Monthly Matrix'!$AH$4:$AH$76,43)&lt;0,"","HIGH")</f>
        <v/>
      </c>
      <c r="J46" s="10">
        <f>IFERROR(IF(LARGE('Monthly Matrix'!$AH$4:$AH$76,43)&lt;0,"",INDEX('Monthly Matrix'!$M$4:$M$76,MATCH(LARGE('Monthly Matrix'!$AH$4:$AH$76,43),'Monthly Matrix'!$AH$4:$AH$76,0))),"")</f>
        <v/>
      </c>
      <c r="K46" s="11" t="n"/>
      <c r="L46" s="11" t="n"/>
      <c r="M46" s="10" t="n"/>
      <c r="N46" s="10">
        <f>IF(LARGE('Monthly Matrix'!$AH$4:$AH$76,43)&lt;0,"","Open")</f>
        <v/>
      </c>
      <c r="O46" s="10" t="n"/>
      <c r="P46" s="10" t="n"/>
      <c r="Q46" s="10" t="n"/>
    </row>
    <row r="47" ht="21.75" customHeight="1" s="146">
      <c r="A47" s="6">
        <f>IF(LARGE('Monthly Matrix'!$AH$4:$AH$76,44)&lt;0,"","IP-044")</f>
        <v/>
      </c>
      <c r="B47" s="6">
        <f>IFERROR(IF(LARGE('Monthly Matrix'!$AH$4:$AH$76,44)&lt;0,"",INDEX('Monthly Matrix'!$A$4:$A$76,MATCH(LARGE('Monthly Matrix'!$AH$4:$AH$76,44),'Monthly Matrix'!$AH$4:$AH$76,0))),"")</f>
        <v/>
      </c>
      <c r="C47" s="6">
        <f>IFERROR(IF(LARGE('Monthly Matrix'!$AH$4:$AH$76,44)&lt;0,"",INDEX('Monthly Matrix'!$B$4:$B$76,MATCH(LARGE('Monthly Matrix'!$AH$4:$AH$76,44),'Monthly Matrix'!$AH$4:$AH$76,0))),"")</f>
        <v/>
      </c>
      <c r="D47" s="6">
        <f>IFERROR(IF(LARGE('Monthly Matrix'!$AH$4:$AH$76,44)&lt;0,"",INDEX('Monthly Matrix'!$G$4:$G$76,MATCH(LARGE('Monthly Matrix'!$AH$4:$AH$76,44),'Monthly Matrix'!$AH$4:$AH$76,0))),"")</f>
        <v/>
      </c>
      <c r="E47" s="6">
        <f>IFERROR(IF(LARGE('Monthly Matrix'!$AH$4:$AH$76,44)&lt;0,"",INDEX('Monthly Matrix'!$F$4:$F$76,MATCH(LARGE('Monthly Matrix'!$AH$4:$AH$76,44),'Monthly Matrix'!$AH$4:$AH$76,0))),"")</f>
        <v/>
      </c>
      <c r="F47" s="6">
        <f>IFERROR(IF(LARGE('Monthly Matrix'!$AH$4:$AH$76,44)&lt;0,"",INDEX('Monthly Matrix'!$E$4:$E$76,MATCH(LARGE('Monthly Matrix'!$AH$4:$AH$76,44),'Monthly Matrix'!$AH$4:$AH$76,0))),"")</f>
        <v/>
      </c>
      <c r="G47" s="6" t="n"/>
      <c r="H47" s="6">
        <f>IF(LARGE('Monthly Matrix'!$AH$4:$AH$76,44)&lt;0,"",'Monthly Matrix'!$AB$3)</f>
        <v/>
      </c>
      <c r="I47" s="6">
        <f>IF(LARGE('Monthly Matrix'!$AH$4:$AH$76,44)&lt;0,"","HIGH")</f>
        <v/>
      </c>
      <c r="J47" s="6">
        <f>IFERROR(IF(LARGE('Monthly Matrix'!$AH$4:$AH$76,44)&lt;0,"",INDEX('Monthly Matrix'!$M$4:$M$76,MATCH(LARGE('Monthly Matrix'!$AH$4:$AH$76,44),'Monthly Matrix'!$AH$4:$AH$76,0))),"")</f>
        <v/>
      </c>
      <c r="K47" s="7" t="n"/>
      <c r="L47" s="7" t="n"/>
      <c r="M47" s="6" t="n"/>
      <c r="N47" s="6">
        <f>IF(LARGE('Monthly Matrix'!$AH$4:$AH$76,44)&lt;0,"","Open")</f>
        <v/>
      </c>
      <c r="O47" s="6" t="n"/>
      <c r="P47" s="6" t="n"/>
      <c r="Q47" s="6" t="n"/>
    </row>
    <row r="48" ht="21.75" customHeight="1" s="146">
      <c r="A48" s="10">
        <f>IF(LARGE('Monthly Matrix'!$AH$4:$AH$76,45)&lt;0,"","IP-045")</f>
        <v/>
      </c>
      <c r="B48" s="10">
        <f>IFERROR(IF(LARGE('Monthly Matrix'!$AH$4:$AH$76,45)&lt;0,"",INDEX('Monthly Matrix'!$A$4:$A$76,MATCH(LARGE('Monthly Matrix'!$AH$4:$AH$76,45),'Monthly Matrix'!$AH$4:$AH$76,0))),"")</f>
        <v/>
      </c>
      <c r="C48" s="10">
        <f>IFERROR(IF(LARGE('Monthly Matrix'!$AH$4:$AH$76,45)&lt;0,"",INDEX('Monthly Matrix'!$B$4:$B$76,MATCH(LARGE('Monthly Matrix'!$AH$4:$AH$76,45),'Monthly Matrix'!$AH$4:$AH$76,0))),"")</f>
        <v/>
      </c>
      <c r="D48" s="10">
        <f>IFERROR(IF(LARGE('Monthly Matrix'!$AH$4:$AH$76,45)&lt;0,"",INDEX('Monthly Matrix'!$G$4:$G$76,MATCH(LARGE('Monthly Matrix'!$AH$4:$AH$76,45),'Monthly Matrix'!$AH$4:$AH$76,0))),"")</f>
        <v/>
      </c>
      <c r="E48" s="10">
        <f>IFERROR(IF(LARGE('Monthly Matrix'!$AH$4:$AH$76,45)&lt;0,"",INDEX('Monthly Matrix'!$F$4:$F$76,MATCH(LARGE('Monthly Matrix'!$AH$4:$AH$76,45),'Monthly Matrix'!$AH$4:$AH$76,0))),"")</f>
        <v/>
      </c>
      <c r="F48" s="10">
        <f>IFERROR(IF(LARGE('Monthly Matrix'!$AH$4:$AH$76,45)&lt;0,"",INDEX('Monthly Matrix'!$E$4:$E$76,MATCH(LARGE('Monthly Matrix'!$AH$4:$AH$76,45),'Monthly Matrix'!$AH$4:$AH$76,0))),"")</f>
        <v/>
      </c>
      <c r="G48" s="10" t="n"/>
      <c r="H48" s="10">
        <f>IF(LARGE('Monthly Matrix'!$AH$4:$AH$76,45)&lt;0,"",'Monthly Matrix'!$AB$3)</f>
        <v/>
      </c>
      <c r="I48" s="10">
        <f>IF(LARGE('Monthly Matrix'!$AH$4:$AH$76,45)&lt;0,"","HIGH")</f>
        <v/>
      </c>
      <c r="J48" s="10">
        <f>IFERROR(IF(LARGE('Monthly Matrix'!$AH$4:$AH$76,45)&lt;0,"",INDEX('Monthly Matrix'!$M$4:$M$76,MATCH(LARGE('Monthly Matrix'!$AH$4:$AH$76,45),'Monthly Matrix'!$AH$4:$AH$76,0))),"")</f>
        <v/>
      </c>
      <c r="K48" s="11" t="n"/>
      <c r="L48" s="11" t="n"/>
      <c r="M48" s="10" t="n"/>
      <c r="N48" s="10">
        <f>IF(LARGE('Monthly Matrix'!$AH$4:$AH$76,45)&lt;0,"","Open")</f>
        <v/>
      </c>
      <c r="O48" s="10" t="n"/>
      <c r="P48" s="10" t="n"/>
      <c r="Q48" s="10" t="n"/>
    </row>
    <row r="49" ht="21.75" customHeight="1" s="146">
      <c r="A49" s="6">
        <f>IF(LARGE('Monthly Matrix'!$AH$4:$AH$76,46)&lt;0,"","IP-046")</f>
        <v/>
      </c>
      <c r="B49" s="6">
        <f>IFERROR(IF(LARGE('Monthly Matrix'!$AH$4:$AH$76,46)&lt;0,"",INDEX('Monthly Matrix'!$A$4:$A$76,MATCH(LARGE('Monthly Matrix'!$AH$4:$AH$76,46),'Monthly Matrix'!$AH$4:$AH$76,0))),"")</f>
        <v/>
      </c>
      <c r="C49" s="6">
        <f>IFERROR(IF(LARGE('Monthly Matrix'!$AH$4:$AH$76,46)&lt;0,"",INDEX('Monthly Matrix'!$B$4:$B$76,MATCH(LARGE('Monthly Matrix'!$AH$4:$AH$76,46),'Monthly Matrix'!$AH$4:$AH$76,0))),"")</f>
        <v/>
      </c>
      <c r="D49" s="6">
        <f>IFERROR(IF(LARGE('Monthly Matrix'!$AH$4:$AH$76,46)&lt;0,"",INDEX('Monthly Matrix'!$G$4:$G$76,MATCH(LARGE('Monthly Matrix'!$AH$4:$AH$76,46),'Monthly Matrix'!$AH$4:$AH$76,0))),"")</f>
        <v/>
      </c>
      <c r="E49" s="6">
        <f>IFERROR(IF(LARGE('Monthly Matrix'!$AH$4:$AH$76,46)&lt;0,"",INDEX('Monthly Matrix'!$F$4:$F$76,MATCH(LARGE('Monthly Matrix'!$AH$4:$AH$76,46),'Monthly Matrix'!$AH$4:$AH$76,0))),"")</f>
        <v/>
      </c>
      <c r="F49" s="6">
        <f>IFERROR(IF(LARGE('Monthly Matrix'!$AH$4:$AH$76,46)&lt;0,"",INDEX('Monthly Matrix'!$E$4:$E$76,MATCH(LARGE('Monthly Matrix'!$AH$4:$AH$76,46),'Monthly Matrix'!$AH$4:$AH$76,0))),"")</f>
        <v/>
      </c>
      <c r="G49" s="6" t="n"/>
      <c r="H49" s="6">
        <f>IF(LARGE('Monthly Matrix'!$AH$4:$AH$76,46)&lt;0,"",'Monthly Matrix'!$AB$3)</f>
        <v/>
      </c>
      <c r="I49" s="6">
        <f>IF(LARGE('Monthly Matrix'!$AH$4:$AH$76,46)&lt;0,"","HIGH")</f>
        <v/>
      </c>
      <c r="J49" s="6">
        <f>IFERROR(IF(LARGE('Monthly Matrix'!$AH$4:$AH$76,46)&lt;0,"",INDEX('Monthly Matrix'!$M$4:$M$76,MATCH(LARGE('Monthly Matrix'!$AH$4:$AH$76,46),'Monthly Matrix'!$AH$4:$AH$76,0))),"")</f>
        <v/>
      </c>
      <c r="K49" s="7" t="n"/>
      <c r="L49" s="7" t="n"/>
      <c r="M49" s="6" t="n"/>
      <c r="N49" s="6">
        <f>IF(LARGE('Monthly Matrix'!$AH$4:$AH$76,46)&lt;0,"","Open")</f>
        <v/>
      </c>
      <c r="O49" s="6" t="n"/>
      <c r="P49" s="6" t="n"/>
      <c r="Q49" s="6" t="n"/>
    </row>
    <row r="50" ht="21.75" customHeight="1" s="146">
      <c r="A50" s="10">
        <f>IF(LARGE('Monthly Matrix'!$AH$4:$AH$76,47)&lt;0,"","IP-047")</f>
        <v/>
      </c>
      <c r="B50" s="10">
        <f>IFERROR(IF(LARGE('Monthly Matrix'!$AH$4:$AH$76,47)&lt;0,"",INDEX('Monthly Matrix'!$A$4:$A$76,MATCH(LARGE('Monthly Matrix'!$AH$4:$AH$76,47),'Monthly Matrix'!$AH$4:$AH$76,0))),"")</f>
        <v/>
      </c>
      <c r="C50" s="10">
        <f>IFERROR(IF(LARGE('Monthly Matrix'!$AH$4:$AH$76,47)&lt;0,"",INDEX('Monthly Matrix'!$B$4:$B$76,MATCH(LARGE('Monthly Matrix'!$AH$4:$AH$76,47),'Monthly Matrix'!$AH$4:$AH$76,0))),"")</f>
        <v/>
      </c>
      <c r="D50" s="10">
        <f>IFERROR(IF(LARGE('Monthly Matrix'!$AH$4:$AH$76,47)&lt;0,"",INDEX('Monthly Matrix'!$G$4:$G$76,MATCH(LARGE('Monthly Matrix'!$AH$4:$AH$76,47),'Monthly Matrix'!$AH$4:$AH$76,0))),"")</f>
        <v/>
      </c>
      <c r="E50" s="10">
        <f>IFERROR(IF(LARGE('Monthly Matrix'!$AH$4:$AH$76,47)&lt;0,"",INDEX('Monthly Matrix'!$F$4:$F$76,MATCH(LARGE('Monthly Matrix'!$AH$4:$AH$76,47),'Monthly Matrix'!$AH$4:$AH$76,0))),"")</f>
        <v/>
      </c>
      <c r="F50" s="10">
        <f>IFERROR(IF(LARGE('Monthly Matrix'!$AH$4:$AH$76,47)&lt;0,"",INDEX('Monthly Matrix'!$E$4:$E$76,MATCH(LARGE('Monthly Matrix'!$AH$4:$AH$76,47),'Monthly Matrix'!$AH$4:$AH$76,0))),"")</f>
        <v/>
      </c>
      <c r="G50" s="10" t="n"/>
      <c r="H50" s="10">
        <f>IF(LARGE('Monthly Matrix'!$AH$4:$AH$76,47)&lt;0,"",'Monthly Matrix'!$AB$3)</f>
        <v/>
      </c>
      <c r="I50" s="10">
        <f>IF(LARGE('Monthly Matrix'!$AH$4:$AH$76,47)&lt;0,"","HIGH")</f>
        <v/>
      </c>
      <c r="J50" s="10">
        <f>IFERROR(IF(LARGE('Monthly Matrix'!$AH$4:$AH$76,47)&lt;0,"",INDEX('Monthly Matrix'!$M$4:$M$76,MATCH(LARGE('Monthly Matrix'!$AH$4:$AH$76,47),'Monthly Matrix'!$AH$4:$AH$76,0))),"")</f>
        <v/>
      </c>
      <c r="K50" s="11" t="n"/>
      <c r="L50" s="11" t="n"/>
      <c r="M50" s="10" t="n"/>
      <c r="N50" s="10">
        <f>IF(LARGE('Monthly Matrix'!$AH$4:$AH$76,47)&lt;0,"","Open")</f>
        <v/>
      </c>
      <c r="O50" s="10" t="n"/>
      <c r="P50" s="10" t="n"/>
      <c r="Q50" s="10" t="n"/>
    </row>
    <row r="51" ht="21.75" customHeight="1" s="146">
      <c r="A51" s="6">
        <f>IF(LARGE('Monthly Matrix'!$AH$4:$AH$76,48)&lt;0,"","IP-048")</f>
        <v/>
      </c>
      <c r="B51" s="6">
        <f>IFERROR(IF(LARGE('Monthly Matrix'!$AH$4:$AH$76,48)&lt;0,"",INDEX('Monthly Matrix'!$A$4:$A$76,MATCH(LARGE('Monthly Matrix'!$AH$4:$AH$76,48),'Monthly Matrix'!$AH$4:$AH$76,0))),"")</f>
        <v/>
      </c>
      <c r="C51" s="6">
        <f>IFERROR(IF(LARGE('Monthly Matrix'!$AH$4:$AH$76,48)&lt;0,"",INDEX('Monthly Matrix'!$B$4:$B$76,MATCH(LARGE('Monthly Matrix'!$AH$4:$AH$76,48),'Monthly Matrix'!$AH$4:$AH$76,0))),"")</f>
        <v/>
      </c>
      <c r="D51" s="6">
        <f>IFERROR(IF(LARGE('Monthly Matrix'!$AH$4:$AH$76,48)&lt;0,"",INDEX('Monthly Matrix'!$G$4:$G$76,MATCH(LARGE('Monthly Matrix'!$AH$4:$AH$76,48),'Monthly Matrix'!$AH$4:$AH$76,0))),"")</f>
        <v/>
      </c>
      <c r="E51" s="6">
        <f>IFERROR(IF(LARGE('Monthly Matrix'!$AH$4:$AH$76,48)&lt;0,"",INDEX('Monthly Matrix'!$F$4:$F$76,MATCH(LARGE('Monthly Matrix'!$AH$4:$AH$76,48),'Monthly Matrix'!$AH$4:$AH$76,0))),"")</f>
        <v/>
      </c>
      <c r="F51" s="6">
        <f>IFERROR(IF(LARGE('Monthly Matrix'!$AH$4:$AH$76,48)&lt;0,"",INDEX('Monthly Matrix'!$E$4:$E$76,MATCH(LARGE('Monthly Matrix'!$AH$4:$AH$76,48),'Monthly Matrix'!$AH$4:$AH$76,0))),"")</f>
        <v/>
      </c>
      <c r="G51" s="6" t="n"/>
      <c r="H51" s="6">
        <f>IF(LARGE('Monthly Matrix'!$AH$4:$AH$76,48)&lt;0,"",'Monthly Matrix'!$AB$3)</f>
        <v/>
      </c>
      <c r="I51" s="6">
        <f>IF(LARGE('Monthly Matrix'!$AH$4:$AH$76,48)&lt;0,"","HIGH")</f>
        <v/>
      </c>
      <c r="J51" s="6">
        <f>IFERROR(IF(LARGE('Monthly Matrix'!$AH$4:$AH$76,48)&lt;0,"",INDEX('Monthly Matrix'!$M$4:$M$76,MATCH(LARGE('Monthly Matrix'!$AH$4:$AH$76,48),'Monthly Matrix'!$AH$4:$AH$76,0))),"")</f>
        <v/>
      </c>
      <c r="K51" s="7" t="n"/>
      <c r="L51" s="7" t="n"/>
      <c r="M51" s="6" t="n"/>
      <c r="N51" s="6">
        <f>IF(LARGE('Monthly Matrix'!$AH$4:$AH$76,48)&lt;0,"","Open")</f>
        <v/>
      </c>
      <c r="O51" s="6" t="n"/>
      <c r="P51" s="6" t="n"/>
      <c r="Q51" s="6" t="n"/>
    </row>
    <row r="52" ht="21.75" customHeight="1" s="146">
      <c r="A52" s="10">
        <f>IF(LARGE('Monthly Matrix'!$AH$4:$AH$76,49)&lt;0,"","IP-049")</f>
        <v/>
      </c>
      <c r="B52" s="10">
        <f>IFERROR(IF(LARGE('Monthly Matrix'!$AH$4:$AH$76,49)&lt;0,"",INDEX('Monthly Matrix'!$A$4:$A$76,MATCH(LARGE('Monthly Matrix'!$AH$4:$AH$76,49),'Monthly Matrix'!$AH$4:$AH$76,0))),"")</f>
        <v/>
      </c>
      <c r="C52" s="10">
        <f>IFERROR(IF(LARGE('Monthly Matrix'!$AH$4:$AH$76,49)&lt;0,"",INDEX('Monthly Matrix'!$B$4:$B$76,MATCH(LARGE('Monthly Matrix'!$AH$4:$AH$76,49),'Monthly Matrix'!$AH$4:$AH$76,0))),"")</f>
        <v/>
      </c>
      <c r="D52" s="10">
        <f>IFERROR(IF(LARGE('Monthly Matrix'!$AH$4:$AH$76,49)&lt;0,"",INDEX('Monthly Matrix'!$G$4:$G$76,MATCH(LARGE('Monthly Matrix'!$AH$4:$AH$76,49),'Monthly Matrix'!$AH$4:$AH$76,0))),"")</f>
        <v/>
      </c>
      <c r="E52" s="10">
        <f>IFERROR(IF(LARGE('Monthly Matrix'!$AH$4:$AH$76,49)&lt;0,"",INDEX('Monthly Matrix'!$F$4:$F$76,MATCH(LARGE('Monthly Matrix'!$AH$4:$AH$76,49),'Monthly Matrix'!$AH$4:$AH$76,0))),"")</f>
        <v/>
      </c>
      <c r="F52" s="10">
        <f>IFERROR(IF(LARGE('Monthly Matrix'!$AH$4:$AH$76,49)&lt;0,"",INDEX('Monthly Matrix'!$E$4:$E$76,MATCH(LARGE('Monthly Matrix'!$AH$4:$AH$76,49),'Monthly Matrix'!$AH$4:$AH$76,0))),"")</f>
        <v/>
      </c>
      <c r="G52" s="10" t="n"/>
      <c r="H52" s="10">
        <f>IF(LARGE('Monthly Matrix'!$AH$4:$AH$76,49)&lt;0,"",'Monthly Matrix'!$AB$3)</f>
        <v/>
      </c>
      <c r="I52" s="10">
        <f>IF(LARGE('Monthly Matrix'!$AH$4:$AH$76,49)&lt;0,"","HIGH")</f>
        <v/>
      </c>
      <c r="J52" s="10">
        <f>IFERROR(IF(LARGE('Monthly Matrix'!$AH$4:$AH$76,49)&lt;0,"",INDEX('Monthly Matrix'!$M$4:$M$76,MATCH(LARGE('Monthly Matrix'!$AH$4:$AH$76,49),'Monthly Matrix'!$AH$4:$AH$76,0))),"")</f>
        <v/>
      </c>
      <c r="K52" s="11" t="n"/>
      <c r="L52" s="11" t="n"/>
      <c r="M52" s="10" t="n"/>
      <c r="N52" s="10">
        <f>IF(LARGE('Monthly Matrix'!$AH$4:$AH$76,49)&lt;0,"","Open")</f>
        <v/>
      </c>
      <c r="O52" s="10" t="n"/>
      <c r="P52" s="10" t="n"/>
      <c r="Q52" s="10" t="n"/>
    </row>
    <row r="53" ht="21.75" customHeight="1" s="146">
      <c r="A53" s="6">
        <f>IF(LARGE('Monthly Matrix'!$AH$4:$AH$76,50)&lt;0,"","IP-050")</f>
        <v/>
      </c>
      <c r="B53" s="6">
        <f>IFERROR(IF(LARGE('Monthly Matrix'!$AH$4:$AH$76,50)&lt;0,"",INDEX('Monthly Matrix'!$A$4:$A$76,MATCH(LARGE('Monthly Matrix'!$AH$4:$AH$76,50),'Monthly Matrix'!$AH$4:$AH$76,0))),"")</f>
        <v/>
      </c>
      <c r="C53" s="6">
        <f>IFERROR(IF(LARGE('Monthly Matrix'!$AH$4:$AH$76,50)&lt;0,"",INDEX('Monthly Matrix'!$B$4:$B$76,MATCH(LARGE('Monthly Matrix'!$AH$4:$AH$76,50),'Monthly Matrix'!$AH$4:$AH$76,0))),"")</f>
        <v/>
      </c>
      <c r="D53" s="6">
        <f>IFERROR(IF(LARGE('Monthly Matrix'!$AH$4:$AH$76,50)&lt;0,"",INDEX('Monthly Matrix'!$G$4:$G$76,MATCH(LARGE('Monthly Matrix'!$AH$4:$AH$76,50),'Monthly Matrix'!$AH$4:$AH$76,0))),"")</f>
        <v/>
      </c>
      <c r="E53" s="6">
        <f>IFERROR(IF(LARGE('Monthly Matrix'!$AH$4:$AH$76,50)&lt;0,"",INDEX('Monthly Matrix'!$F$4:$F$76,MATCH(LARGE('Monthly Matrix'!$AH$4:$AH$76,50),'Monthly Matrix'!$AH$4:$AH$76,0))),"")</f>
        <v/>
      </c>
      <c r="F53" s="6">
        <f>IFERROR(IF(LARGE('Monthly Matrix'!$AH$4:$AH$76,50)&lt;0,"",INDEX('Monthly Matrix'!$E$4:$E$76,MATCH(LARGE('Monthly Matrix'!$AH$4:$AH$76,50),'Monthly Matrix'!$AH$4:$AH$76,0))),"")</f>
        <v/>
      </c>
      <c r="G53" s="6" t="n"/>
      <c r="H53" s="6">
        <f>IF(LARGE('Monthly Matrix'!$AH$4:$AH$76,50)&lt;0,"",'Monthly Matrix'!$AB$3)</f>
        <v/>
      </c>
      <c r="I53" s="6">
        <f>IF(LARGE('Monthly Matrix'!$AH$4:$AH$76,50)&lt;0,"","HIGH")</f>
        <v/>
      </c>
      <c r="J53" s="6">
        <f>IFERROR(IF(LARGE('Monthly Matrix'!$AH$4:$AH$76,50)&lt;0,"",INDEX('Monthly Matrix'!$M$4:$M$76,MATCH(LARGE('Monthly Matrix'!$AH$4:$AH$76,50),'Monthly Matrix'!$AH$4:$AH$76,0))),"")</f>
        <v/>
      </c>
      <c r="K53" s="7" t="n"/>
      <c r="L53" s="7" t="n"/>
      <c r="M53" s="6" t="n"/>
      <c r="N53" s="6">
        <f>IF(LARGE('Monthly Matrix'!$AH$4:$AH$76,50)&lt;0,"","Open")</f>
        <v/>
      </c>
      <c r="O53" s="6" t="n"/>
      <c r="P53" s="6" t="n"/>
      <c r="Q53" s="6" t="n"/>
    </row>
    <row r="54" ht="21.75" customHeight="1" s="146">
      <c r="A54" s="10">
        <f>IF(LARGE('Monthly Matrix'!$AH$4:$AH$76,51)&lt;0,"","IP-051")</f>
        <v/>
      </c>
      <c r="B54" s="10">
        <f>IFERROR(IF(LARGE('Monthly Matrix'!$AH$4:$AH$76,51)&lt;0,"",INDEX('Monthly Matrix'!$A$4:$A$76,MATCH(LARGE('Monthly Matrix'!$AH$4:$AH$76,51),'Monthly Matrix'!$AH$4:$AH$76,0))),"")</f>
        <v/>
      </c>
      <c r="C54" s="10">
        <f>IFERROR(IF(LARGE('Monthly Matrix'!$AH$4:$AH$76,51)&lt;0,"",INDEX('Monthly Matrix'!$B$4:$B$76,MATCH(LARGE('Monthly Matrix'!$AH$4:$AH$76,51),'Monthly Matrix'!$AH$4:$AH$76,0))),"")</f>
        <v/>
      </c>
      <c r="D54" s="10">
        <f>IFERROR(IF(LARGE('Monthly Matrix'!$AH$4:$AH$76,51)&lt;0,"",INDEX('Monthly Matrix'!$G$4:$G$76,MATCH(LARGE('Monthly Matrix'!$AH$4:$AH$76,51),'Monthly Matrix'!$AH$4:$AH$76,0))),"")</f>
        <v/>
      </c>
      <c r="E54" s="10">
        <f>IFERROR(IF(LARGE('Monthly Matrix'!$AH$4:$AH$76,51)&lt;0,"",INDEX('Monthly Matrix'!$F$4:$F$76,MATCH(LARGE('Monthly Matrix'!$AH$4:$AH$76,51),'Monthly Matrix'!$AH$4:$AH$76,0))),"")</f>
        <v/>
      </c>
      <c r="F54" s="10">
        <f>IFERROR(IF(LARGE('Monthly Matrix'!$AH$4:$AH$76,51)&lt;0,"",INDEX('Monthly Matrix'!$E$4:$E$76,MATCH(LARGE('Monthly Matrix'!$AH$4:$AH$76,51),'Monthly Matrix'!$AH$4:$AH$76,0))),"")</f>
        <v/>
      </c>
      <c r="G54" s="10" t="n"/>
      <c r="H54" s="10">
        <f>IF(LARGE('Monthly Matrix'!$AH$4:$AH$76,51)&lt;0,"",'Monthly Matrix'!$AB$3)</f>
        <v/>
      </c>
      <c r="I54" s="10">
        <f>IF(LARGE('Monthly Matrix'!$AH$4:$AH$76,51)&lt;0,"","HIGH")</f>
        <v/>
      </c>
      <c r="J54" s="10">
        <f>IFERROR(IF(LARGE('Monthly Matrix'!$AH$4:$AH$76,51)&lt;0,"",INDEX('Monthly Matrix'!$M$4:$M$76,MATCH(LARGE('Monthly Matrix'!$AH$4:$AH$76,51),'Monthly Matrix'!$AH$4:$AH$76,0))),"")</f>
        <v/>
      </c>
      <c r="K54" s="11" t="n"/>
      <c r="L54" s="11" t="n"/>
      <c r="M54" s="10" t="n"/>
      <c r="N54" s="10">
        <f>IF(LARGE('Monthly Matrix'!$AH$4:$AH$76,51)&lt;0,"","Open")</f>
        <v/>
      </c>
      <c r="O54" s="10" t="n"/>
      <c r="P54" s="10" t="n"/>
      <c r="Q54" s="10" t="n"/>
    </row>
    <row r="55" ht="21.75" customHeight="1" s="146">
      <c r="A55" s="6">
        <f>IF(LARGE('Monthly Matrix'!$AH$4:$AH$76,52)&lt;0,"","IP-052")</f>
        <v/>
      </c>
      <c r="B55" s="6">
        <f>IFERROR(IF(LARGE('Monthly Matrix'!$AH$4:$AH$76,52)&lt;0,"",INDEX('Monthly Matrix'!$A$4:$A$76,MATCH(LARGE('Monthly Matrix'!$AH$4:$AH$76,52),'Monthly Matrix'!$AH$4:$AH$76,0))),"")</f>
        <v/>
      </c>
      <c r="C55" s="6">
        <f>IFERROR(IF(LARGE('Monthly Matrix'!$AH$4:$AH$76,52)&lt;0,"",INDEX('Monthly Matrix'!$B$4:$B$76,MATCH(LARGE('Monthly Matrix'!$AH$4:$AH$76,52),'Monthly Matrix'!$AH$4:$AH$76,0))),"")</f>
        <v/>
      </c>
      <c r="D55" s="6">
        <f>IFERROR(IF(LARGE('Monthly Matrix'!$AH$4:$AH$76,52)&lt;0,"",INDEX('Monthly Matrix'!$G$4:$G$76,MATCH(LARGE('Monthly Matrix'!$AH$4:$AH$76,52),'Monthly Matrix'!$AH$4:$AH$76,0))),"")</f>
        <v/>
      </c>
      <c r="E55" s="6">
        <f>IFERROR(IF(LARGE('Monthly Matrix'!$AH$4:$AH$76,52)&lt;0,"",INDEX('Monthly Matrix'!$F$4:$F$76,MATCH(LARGE('Monthly Matrix'!$AH$4:$AH$76,52),'Monthly Matrix'!$AH$4:$AH$76,0))),"")</f>
        <v/>
      </c>
      <c r="F55" s="6">
        <f>IFERROR(IF(LARGE('Monthly Matrix'!$AH$4:$AH$76,52)&lt;0,"",INDEX('Monthly Matrix'!$E$4:$E$76,MATCH(LARGE('Monthly Matrix'!$AH$4:$AH$76,52),'Monthly Matrix'!$AH$4:$AH$76,0))),"")</f>
        <v/>
      </c>
      <c r="G55" s="6" t="n"/>
      <c r="H55" s="6">
        <f>IF(LARGE('Monthly Matrix'!$AH$4:$AH$76,52)&lt;0,"",'Monthly Matrix'!$AB$3)</f>
        <v/>
      </c>
      <c r="I55" s="6">
        <f>IF(LARGE('Monthly Matrix'!$AH$4:$AH$76,52)&lt;0,"","HIGH")</f>
        <v/>
      </c>
      <c r="J55" s="6">
        <f>IFERROR(IF(LARGE('Monthly Matrix'!$AH$4:$AH$76,52)&lt;0,"",INDEX('Monthly Matrix'!$M$4:$M$76,MATCH(LARGE('Monthly Matrix'!$AH$4:$AH$76,52),'Monthly Matrix'!$AH$4:$AH$76,0))),"")</f>
        <v/>
      </c>
      <c r="K55" s="7" t="n"/>
      <c r="L55" s="7" t="n"/>
      <c r="M55" s="6" t="n"/>
      <c r="N55" s="6">
        <f>IF(LARGE('Monthly Matrix'!$AH$4:$AH$76,52)&lt;0,"","Open")</f>
        <v/>
      </c>
      <c r="O55" s="6" t="n"/>
      <c r="P55" s="6" t="n"/>
      <c r="Q55" s="6" t="n"/>
    </row>
    <row r="56" ht="21.75" customHeight="1" s="146">
      <c r="A56" s="10">
        <f>IF(LARGE('Monthly Matrix'!$AH$4:$AH$76,53)&lt;0,"","IP-053")</f>
        <v/>
      </c>
      <c r="B56" s="10">
        <f>IFERROR(IF(LARGE('Monthly Matrix'!$AH$4:$AH$76,53)&lt;0,"",INDEX('Monthly Matrix'!$A$4:$A$76,MATCH(LARGE('Monthly Matrix'!$AH$4:$AH$76,53),'Monthly Matrix'!$AH$4:$AH$76,0))),"")</f>
        <v/>
      </c>
      <c r="C56" s="10">
        <f>IFERROR(IF(LARGE('Monthly Matrix'!$AH$4:$AH$76,53)&lt;0,"",INDEX('Monthly Matrix'!$B$4:$B$76,MATCH(LARGE('Monthly Matrix'!$AH$4:$AH$76,53),'Monthly Matrix'!$AH$4:$AH$76,0))),"")</f>
        <v/>
      </c>
      <c r="D56" s="10">
        <f>IFERROR(IF(LARGE('Monthly Matrix'!$AH$4:$AH$76,53)&lt;0,"",INDEX('Monthly Matrix'!$G$4:$G$76,MATCH(LARGE('Monthly Matrix'!$AH$4:$AH$76,53),'Monthly Matrix'!$AH$4:$AH$76,0))),"")</f>
        <v/>
      </c>
      <c r="E56" s="10">
        <f>IFERROR(IF(LARGE('Monthly Matrix'!$AH$4:$AH$76,53)&lt;0,"",INDEX('Monthly Matrix'!$F$4:$F$76,MATCH(LARGE('Monthly Matrix'!$AH$4:$AH$76,53),'Monthly Matrix'!$AH$4:$AH$76,0))),"")</f>
        <v/>
      </c>
      <c r="F56" s="10">
        <f>IFERROR(IF(LARGE('Monthly Matrix'!$AH$4:$AH$76,53)&lt;0,"",INDEX('Monthly Matrix'!$E$4:$E$76,MATCH(LARGE('Monthly Matrix'!$AH$4:$AH$76,53),'Monthly Matrix'!$AH$4:$AH$76,0))),"")</f>
        <v/>
      </c>
      <c r="G56" s="10" t="n"/>
      <c r="H56" s="10">
        <f>IF(LARGE('Monthly Matrix'!$AH$4:$AH$76,53)&lt;0,"",'Monthly Matrix'!$AB$3)</f>
        <v/>
      </c>
      <c r="I56" s="10">
        <f>IF(LARGE('Monthly Matrix'!$AH$4:$AH$76,53)&lt;0,"","HIGH")</f>
        <v/>
      </c>
      <c r="J56" s="10">
        <f>IFERROR(IF(LARGE('Monthly Matrix'!$AH$4:$AH$76,53)&lt;0,"",INDEX('Monthly Matrix'!$M$4:$M$76,MATCH(LARGE('Monthly Matrix'!$AH$4:$AH$76,53),'Monthly Matrix'!$AH$4:$AH$76,0))),"")</f>
        <v/>
      </c>
      <c r="K56" s="11" t="n"/>
      <c r="L56" s="11" t="n"/>
      <c r="M56" s="10" t="n"/>
      <c r="N56" s="10">
        <f>IF(LARGE('Monthly Matrix'!$AH$4:$AH$76,53)&lt;0,"","Open")</f>
        <v/>
      </c>
      <c r="O56" s="10" t="n"/>
      <c r="P56" s="10" t="n"/>
      <c r="Q56" s="10" t="n"/>
    </row>
    <row r="57" ht="21.75" customHeight="1" s="146">
      <c r="A57" s="6">
        <f>IF(LARGE('Monthly Matrix'!$AH$4:$AH$76,54)&lt;0,"","IP-054")</f>
        <v/>
      </c>
      <c r="B57" s="6">
        <f>IFERROR(IF(LARGE('Monthly Matrix'!$AH$4:$AH$76,54)&lt;0,"",INDEX('Monthly Matrix'!$A$4:$A$76,MATCH(LARGE('Monthly Matrix'!$AH$4:$AH$76,54),'Monthly Matrix'!$AH$4:$AH$76,0))),"")</f>
        <v/>
      </c>
      <c r="C57" s="6">
        <f>IFERROR(IF(LARGE('Monthly Matrix'!$AH$4:$AH$76,54)&lt;0,"",INDEX('Monthly Matrix'!$B$4:$B$76,MATCH(LARGE('Monthly Matrix'!$AH$4:$AH$76,54),'Monthly Matrix'!$AH$4:$AH$76,0))),"")</f>
        <v/>
      </c>
      <c r="D57" s="6">
        <f>IFERROR(IF(LARGE('Monthly Matrix'!$AH$4:$AH$76,54)&lt;0,"",INDEX('Monthly Matrix'!$G$4:$G$76,MATCH(LARGE('Monthly Matrix'!$AH$4:$AH$76,54),'Monthly Matrix'!$AH$4:$AH$76,0))),"")</f>
        <v/>
      </c>
      <c r="E57" s="6">
        <f>IFERROR(IF(LARGE('Monthly Matrix'!$AH$4:$AH$76,54)&lt;0,"",INDEX('Monthly Matrix'!$F$4:$F$76,MATCH(LARGE('Monthly Matrix'!$AH$4:$AH$76,54),'Monthly Matrix'!$AH$4:$AH$76,0))),"")</f>
        <v/>
      </c>
      <c r="F57" s="6">
        <f>IFERROR(IF(LARGE('Monthly Matrix'!$AH$4:$AH$76,54)&lt;0,"",INDEX('Monthly Matrix'!$E$4:$E$76,MATCH(LARGE('Monthly Matrix'!$AH$4:$AH$76,54),'Monthly Matrix'!$AH$4:$AH$76,0))),"")</f>
        <v/>
      </c>
      <c r="G57" s="6" t="n"/>
      <c r="H57" s="6">
        <f>IF(LARGE('Monthly Matrix'!$AH$4:$AH$76,54)&lt;0,"",'Monthly Matrix'!$AB$3)</f>
        <v/>
      </c>
      <c r="I57" s="6">
        <f>IF(LARGE('Monthly Matrix'!$AH$4:$AH$76,54)&lt;0,"","HIGH")</f>
        <v/>
      </c>
      <c r="J57" s="6">
        <f>IFERROR(IF(LARGE('Monthly Matrix'!$AH$4:$AH$76,54)&lt;0,"",INDEX('Monthly Matrix'!$M$4:$M$76,MATCH(LARGE('Monthly Matrix'!$AH$4:$AH$76,54),'Monthly Matrix'!$AH$4:$AH$76,0))),"")</f>
        <v/>
      </c>
      <c r="K57" s="7" t="n"/>
      <c r="L57" s="7" t="n"/>
      <c r="M57" s="6" t="n"/>
      <c r="N57" s="6">
        <f>IF(LARGE('Monthly Matrix'!$AH$4:$AH$76,54)&lt;0,"","Open")</f>
        <v/>
      </c>
      <c r="O57" s="6" t="n"/>
      <c r="P57" s="6" t="n"/>
      <c r="Q57" s="6" t="n"/>
    </row>
    <row r="58" ht="21.75" customHeight="1" s="146">
      <c r="A58" s="10">
        <f>IF(LARGE('Monthly Matrix'!$AH$4:$AH$76,55)&lt;0,"","IP-055")</f>
        <v/>
      </c>
      <c r="B58" s="10">
        <f>IFERROR(IF(LARGE('Monthly Matrix'!$AH$4:$AH$76,55)&lt;0,"",INDEX('Monthly Matrix'!$A$4:$A$76,MATCH(LARGE('Monthly Matrix'!$AH$4:$AH$76,55),'Monthly Matrix'!$AH$4:$AH$76,0))),"")</f>
        <v/>
      </c>
      <c r="C58" s="10">
        <f>IFERROR(IF(LARGE('Monthly Matrix'!$AH$4:$AH$76,55)&lt;0,"",INDEX('Monthly Matrix'!$B$4:$B$76,MATCH(LARGE('Monthly Matrix'!$AH$4:$AH$76,55),'Monthly Matrix'!$AH$4:$AH$76,0))),"")</f>
        <v/>
      </c>
      <c r="D58" s="10">
        <f>IFERROR(IF(LARGE('Monthly Matrix'!$AH$4:$AH$76,55)&lt;0,"",INDEX('Monthly Matrix'!$G$4:$G$76,MATCH(LARGE('Monthly Matrix'!$AH$4:$AH$76,55),'Monthly Matrix'!$AH$4:$AH$76,0))),"")</f>
        <v/>
      </c>
      <c r="E58" s="10">
        <f>IFERROR(IF(LARGE('Monthly Matrix'!$AH$4:$AH$76,55)&lt;0,"",INDEX('Monthly Matrix'!$F$4:$F$76,MATCH(LARGE('Monthly Matrix'!$AH$4:$AH$76,55),'Monthly Matrix'!$AH$4:$AH$76,0))),"")</f>
        <v/>
      </c>
      <c r="F58" s="10">
        <f>IFERROR(IF(LARGE('Monthly Matrix'!$AH$4:$AH$76,55)&lt;0,"",INDEX('Monthly Matrix'!$E$4:$E$76,MATCH(LARGE('Monthly Matrix'!$AH$4:$AH$76,55),'Monthly Matrix'!$AH$4:$AH$76,0))),"")</f>
        <v/>
      </c>
      <c r="G58" s="10" t="n"/>
      <c r="H58" s="10">
        <f>IF(LARGE('Monthly Matrix'!$AH$4:$AH$76,55)&lt;0,"",'Monthly Matrix'!$AB$3)</f>
        <v/>
      </c>
      <c r="I58" s="10">
        <f>IF(LARGE('Monthly Matrix'!$AH$4:$AH$76,55)&lt;0,"","HIGH")</f>
        <v/>
      </c>
      <c r="J58" s="10">
        <f>IFERROR(IF(LARGE('Monthly Matrix'!$AH$4:$AH$76,55)&lt;0,"",INDEX('Monthly Matrix'!$M$4:$M$76,MATCH(LARGE('Monthly Matrix'!$AH$4:$AH$76,55),'Monthly Matrix'!$AH$4:$AH$76,0))),"")</f>
        <v/>
      </c>
      <c r="K58" s="11" t="n"/>
      <c r="L58" s="11" t="n"/>
      <c r="M58" s="10" t="n"/>
      <c r="N58" s="10">
        <f>IF(LARGE('Monthly Matrix'!$AH$4:$AH$76,55)&lt;0,"","Open")</f>
        <v/>
      </c>
      <c r="O58" s="10" t="n"/>
      <c r="P58" s="10" t="n"/>
      <c r="Q58" s="10" t="n"/>
    </row>
    <row r="59" ht="21.75" customHeight="1" s="146">
      <c r="A59" s="6">
        <f>IF(LARGE('Monthly Matrix'!$AH$4:$AH$76,56)&lt;0,"","IP-056")</f>
        <v/>
      </c>
      <c r="B59" s="6">
        <f>IFERROR(IF(LARGE('Monthly Matrix'!$AH$4:$AH$76,56)&lt;0,"",INDEX('Monthly Matrix'!$A$4:$A$76,MATCH(LARGE('Monthly Matrix'!$AH$4:$AH$76,56),'Monthly Matrix'!$AH$4:$AH$76,0))),"")</f>
        <v/>
      </c>
      <c r="C59" s="6">
        <f>IFERROR(IF(LARGE('Monthly Matrix'!$AH$4:$AH$76,56)&lt;0,"",INDEX('Monthly Matrix'!$B$4:$B$76,MATCH(LARGE('Monthly Matrix'!$AH$4:$AH$76,56),'Monthly Matrix'!$AH$4:$AH$76,0))),"")</f>
        <v/>
      </c>
      <c r="D59" s="6">
        <f>IFERROR(IF(LARGE('Monthly Matrix'!$AH$4:$AH$76,56)&lt;0,"",INDEX('Monthly Matrix'!$G$4:$G$76,MATCH(LARGE('Monthly Matrix'!$AH$4:$AH$76,56),'Monthly Matrix'!$AH$4:$AH$76,0))),"")</f>
        <v/>
      </c>
      <c r="E59" s="6">
        <f>IFERROR(IF(LARGE('Monthly Matrix'!$AH$4:$AH$76,56)&lt;0,"",INDEX('Monthly Matrix'!$F$4:$F$76,MATCH(LARGE('Monthly Matrix'!$AH$4:$AH$76,56),'Monthly Matrix'!$AH$4:$AH$76,0))),"")</f>
        <v/>
      </c>
      <c r="F59" s="6">
        <f>IFERROR(IF(LARGE('Monthly Matrix'!$AH$4:$AH$76,56)&lt;0,"",INDEX('Monthly Matrix'!$E$4:$E$76,MATCH(LARGE('Monthly Matrix'!$AH$4:$AH$76,56),'Monthly Matrix'!$AH$4:$AH$76,0))),"")</f>
        <v/>
      </c>
      <c r="G59" s="6" t="n"/>
      <c r="H59" s="6">
        <f>IF(LARGE('Monthly Matrix'!$AH$4:$AH$76,56)&lt;0,"",'Monthly Matrix'!$AB$3)</f>
        <v/>
      </c>
      <c r="I59" s="6">
        <f>IF(LARGE('Monthly Matrix'!$AH$4:$AH$76,56)&lt;0,"","HIGH")</f>
        <v/>
      </c>
      <c r="J59" s="6">
        <f>IFERROR(IF(LARGE('Monthly Matrix'!$AH$4:$AH$76,56)&lt;0,"",INDEX('Monthly Matrix'!$M$4:$M$76,MATCH(LARGE('Monthly Matrix'!$AH$4:$AH$76,56),'Monthly Matrix'!$AH$4:$AH$76,0))),"")</f>
        <v/>
      </c>
      <c r="K59" s="7" t="n"/>
      <c r="L59" s="7" t="n"/>
      <c r="M59" s="6" t="n"/>
      <c r="N59" s="6">
        <f>IF(LARGE('Monthly Matrix'!$AH$4:$AH$76,56)&lt;0,"","Open")</f>
        <v/>
      </c>
      <c r="O59" s="6" t="n"/>
      <c r="P59" s="6" t="n"/>
      <c r="Q59" s="6" t="n"/>
    </row>
    <row r="60" ht="21.75" customHeight="1" s="146">
      <c r="A60" s="10">
        <f>IF(LARGE('Monthly Matrix'!$AH$4:$AH$76,57)&lt;0,"","IP-057")</f>
        <v/>
      </c>
      <c r="B60" s="10">
        <f>IFERROR(IF(LARGE('Monthly Matrix'!$AH$4:$AH$76,57)&lt;0,"",INDEX('Monthly Matrix'!$A$4:$A$76,MATCH(LARGE('Monthly Matrix'!$AH$4:$AH$76,57),'Monthly Matrix'!$AH$4:$AH$76,0))),"")</f>
        <v/>
      </c>
      <c r="C60" s="10">
        <f>IFERROR(IF(LARGE('Monthly Matrix'!$AH$4:$AH$76,57)&lt;0,"",INDEX('Monthly Matrix'!$B$4:$B$76,MATCH(LARGE('Monthly Matrix'!$AH$4:$AH$76,57),'Monthly Matrix'!$AH$4:$AH$76,0))),"")</f>
        <v/>
      </c>
      <c r="D60" s="10">
        <f>IFERROR(IF(LARGE('Monthly Matrix'!$AH$4:$AH$76,57)&lt;0,"",INDEX('Monthly Matrix'!$G$4:$G$76,MATCH(LARGE('Monthly Matrix'!$AH$4:$AH$76,57),'Monthly Matrix'!$AH$4:$AH$76,0))),"")</f>
        <v/>
      </c>
      <c r="E60" s="10">
        <f>IFERROR(IF(LARGE('Monthly Matrix'!$AH$4:$AH$76,57)&lt;0,"",INDEX('Monthly Matrix'!$F$4:$F$76,MATCH(LARGE('Monthly Matrix'!$AH$4:$AH$76,57),'Monthly Matrix'!$AH$4:$AH$76,0))),"")</f>
        <v/>
      </c>
      <c r="F60" s="10">
        <f>IFERROR(IF(LARGE('Monthly Matrix'!$AH$4:$AH$76,57)&lt;0,"",INDEX('Monthly Matrix'!$E$4:$E$76,MATCH(LARGE('Monthly Matrix'!$AH$4:$AH$76,57),'Monthly Matrix'!$AH$4:$AH$76,0))),"")</f>
        <v/>
      </c>
      <c r="G60" s="10" t="n"/>
      <c r="H60" s="10">
        <f>IF(LARGE('Monthly Matrix'!$AH$4:$AH$76,57)&lt;0,"",'Monthly Matrix'!$AB$3)</f>
        <v/>
      </c>
      <c r="I60" s="10">
        <f>IF(LARGE('Monthly Matrix'!$AH$4:$AH$76,57)&lt;0,"","HIGH")</f>
        <v/>
      </c>
      <c r="J60" s="10">
        <f>IFERROR(IF(LARGE('Monthly Matrix'!$AH$4:$AH$76,57)&lt;0,"",INDEX('Monthly Matrix'!$M$4:$M$76,MATCH(LARGE('Monthly Matrix'!$AH$4:$AH$76,57),'Monthly Matrix'!$AH$4:$AH$76,0))),"")</f>
        <v/>
      </c>
      <c r="K60" s="11" t="n"/>
      <c r="L60" s="11" t="n"/>
      <c r="M60" s="10" t="n"/>
      <c r="N60" s="10">
        <f>IF(LARGE('Monthly Matrix'!$AH$4:$AH$76,57)&lt;0,"","Open")</f>
        <v/>
      </c>
      <c r="O60" s="10" t="n"/>
      <c r="P60" s="10" t="n"/>
      <c r="Q60" s="10" t="n"/>
    </row>
    <row r="61" ht="21.75" customHeight="1" s="146">
      <c r="A61" s="6">
        <f>IF(LARGE('Monthly Matrix'!$AH$4:$AH$76,58)&lt;0,"","IP-058")</f>
        <v/>
      </c>
      <c r="B61" s="6">
        <f>IFERROR(IF(LARGE('Monthly Matrix'!$AH$4:$AH$76,58)&lt;0,"",INDEX('Monthly Matrix'!$A$4:$A$76,MATCH(LARGE('Monthly Matrix'!$AH$4:$AH$76,58),'Monthly Matrix'!$AH$4:$AH$76,0))),"")</f>
        <v/>
      </c>
      <c r="C61" s="6">
        <f>IFERROR(IF(LARGE('Monthly Matrix'!$AH$4:$AH$76,58)&lt;0,"",INDEX('Monthly Matrix'!$B$4:$B$76,MATCH(LARGE('Monthly Matrix'!$AH$4:$AH$76,58),'Monthly Matrix'!$AH$4:$AH$76,0))),"")</f>
        <v/>
      </c>
      <c r="D61" s="6">
        <f>IFERROR(IF(LARGE('Monthly Matrix'!$AH$4:$AH$76,58)&lt;0,"",INDEX('Monthly Matrix'!$G$4:$G$76,MATCH(LARGE('Monthly Matrix'!$AH$4:$AH$76,58),'Monthly Matrix'!$AH$4:$AH$76,0))),"")</f>
        <v/>
      </c>
      <c r="E61" s="6">
        <f>IFERROR(IF(LARGE('Monthly Matrix'!$AH$4:$AH$76,58)&lt;0,"",INDEX('Monthly Matrix'!$F$4:$F$76,MATCH(LARGE('Monthly Matrix'!$AH$4:$AH$76,58),'Monthly Matrix'!$AH$4:$AH$76,0))),"")</f>
        <v/>
      </c>
      <c r="F61" s="6">
        <f>IFERROR(IF(LARGE('Monthly Matrix'!$AH$4:$AH$76,58)&lt;0,"",INDEX('Monthly Matrix'!$E$4:$E$76,MATCH(LARGE('Monthly Matrix'!$AH$4:$AH$76,58),'Monthly Matrix'!$AH$4:$AH$76,0))),"")</f>
        <v/>
      </c>
      <c r="G61" s="6" t="n"/>
      <c r="H61" s="6">
        <f>IF(LARGE('Monthly Matrix'!$AH$4:$AH$76,58)&lt;0,"",'Monthly Matrix'!$AB$3)</f>
        <v/>
      </c>
      <c r="I61" s="6">
        <f>IF(LARGE('Monthly Matrix'!$AH$4:$AH$76,58)&lt;0,"","HIGH")</f>
        <v/>
      </c>
      <c r="J61" s="6">
        <f>IFERROR(IF(LARGE('Monthly Matrix'!$AH$4:$AH$76,58)&lt;0,"",INDEX('Monthly Matrix'!$M$4:$M$76,MATCH(LARGE('Monthly Matrix'!$AH$4:$AH$76,58),'Monthly Matrix'!$AH$4:$AH$76,0))),"")</f>
        <v/>
      </c>
      <c r="K61" s="7" t="n"/>
      <c r="L61" s="7" t="n"/>
      <c r="M61" s="6" t="n"/>
      <c r="N61" s="6">
        <f>IF(LARGE('Monthly Matrix'!$AH$4:$AH$76,58)&lt;0,"","Open")</f>
        <v/>
      </c>
      <c r="O61" s="6" t="n"/>
      <c r="P61" s="6" t="n"/>
      <c r="Q61" s="6" t="n"/>
    </row>
    <row r="62" ht="21.75" customHeight="1" s="146">
      <c r="A62" s="10">
        <f>IF(LARGE('Monthly Matrix'!$AH$4:$AH$76,59)&lt;0,"","IP-059")</f>
        <v/>
      </c>
      <c r="B62" s="10">
        <f>IFERROR(IF(LARGE('Monthly Matrix'!$AH$4:$AH$76,59)&lt;0,"",INDEX('Monthly Matrix'!$A$4:$A$76,MATCH(LARGE('Monthly Matrix'!$AH$4:$AH$76,59),'Monthly Matrix'!$AH$4:$AH$76,0))),"")</f>
        <v/>
      </c>
      <c r="C62" s="10">
        <f>IFERROR(IF(LARGE('Monthly Matrix'!$AH$4:$AH$76,59)&lt;0,"",INDEX('Monthly Matrix'!$B$4:$B$76,MATCH(LARGE('Monthly Matrix'!$AH$4:$AH$76,59),'Monthly Matrix'!$AH$4:$AH$76,0))),"")</f>
        <v/>
      </c>
      <c r="D62" s="10">
        <f>IFERROR(IF(LARGE('Monthly Matrix'!$AH$4:$AH$76,59)&lt;0,"",INDEX('Monthly Matrix'!$G$4:$G$76,MATCH(LARGE('Monthly Matrix'!$AH$4:$AH$76,59),'Monthly Matrix'!$AH$4:$AH$76,0))),"")</f>
        <v/>
      </c>
      <c r="E62" s="10">
        <f>IFERROR(IF(LARGE('Monthly Matrix'!$AH$4:$AH$76,59)&lt;0,"",INDEX('Monthly Matrix'!$F$4:$F$76,MATCH(LARGE('Monthly Matrix'!$AH$4:$AH$76,59),'Monthly Matrix'!$AH$4:$AH$76,0))),"")</f>
        <v/>
      </c>
      <c r="F62" s="10">
        <f>IFERROR(IF(LARGE('Monthly Matrix'!$AH$4:$AH$76,59)&lt;0,"",INDEX('Monthly Matrix'!$E$4:$E$76,MATCH(LARGE('Monthly Matrix'!$AH$4:$AH$76,59),'Monthly Matrix'!$AH$4:$AH$76,0))),"")</f>
        <v/>
      </c>
      <c r="G62" s="10" t="n"/>
      <c r="H62" s="10">
        <f>IF(LARGE('Monthly Matrix'!$AH$4:$AH$76,59)&lt;0,"",'Monthly Matrix'!$AB$3)</f>
        <v/>
      </c>
      <c r="I62" s="10">
        <f>IF(LARGE('Monthly Matrix'!$AH$4:$AH$76,59)&lt;0,"","HIGH")</f>
        <v/>
      </c>
      <c r="J62" s="10">
        <f>IFERROR(IF(LARGE('Monthly Matrix'!$AH$4:$AH$76,59)&lt;0,"",INDEX('Monthly Matrix'!$M$4:$M$76,MATCH(LARGE('Monthly Matrix'!$AH$4:$AH$76,59),'Monthly Matrix'!$AH$4:$AH$76,0))),"")</f>
        <v/>
      </c>
      <c r="K62" s="11" t="n"/>
      <c r="L62" s="11" t="n"/>
      <c r="M62" s="10" t="n"/>
      <c r="N62" s="10">
        <f>IF(LARGE('Monthly Matrix'!$AH$4:$AH$76,59)&lt;0,"","Open")</f>
        <v/>
      </c>
      <c r="O62" s="10" t="n"/>
      <c r="P62" s="10" t="n"/>
      <c r="Q62" s="10" t="n"/>
    </row>
    <row r="63" ht="21.75" customHeight="1" s="146">
      <c r="A63" s="6">
        <f>IF(LARGE('Monthly Matrix'!$AH$4:$AH$76,60)&lt;0,"","IP-060")</f>
        <v/>
      </c>
      <c r="B63" s="6">
        <f>IFERROR(IF(LARGE('Monthly Matrix'!$AH$4:$AH$76,60)&lt;0,"",INDEX('Monthly Matrix'!$A$4:$A$76,MATCH(LARGE('Monthly Matrix'!$AH$4:$AH$76,60),'Monthly Matrix'!$AH$4:$AH$76,0))),"")</f>
        <v/>
      </c>
      <c r="C63" s="6">
        <f>IFERROR(IF(LARGE('Monthly Matrix'!$AH$4:$AH$76,60)&lt;0,"",INDEX('Monthly Matrix'!$B$4:$B$76,MATCH(LARGE('Monthly Matrix'!$AH$4:$AH$76,60),'Monthly Matrix'!$AH$4:$AH$76,0))),"")</f>
        <v/>
      </c>
      <c r="D63" s="6">
        <f>IFERROR(IF(LARGE('Monthly Matrix'!$AH$4:$AH$76,60)&lt;0,"",INDEX('Monthly Matrix'!$G$4:$G$76,MATCH(LARGE('Monthly Matrix'!$AH$4:$AH$76,60),'Monthly Matrix'!$AH$4:$AH$76,0))),"")</f>
        <v/>
      </c>
      <c r="E63" s="6">
        <f>IFERROR(IF(LARGE('Monthly Matrix'!$AH$4:$AH$76,60)&lt;0,"",INDEX('Monthly Matrix'!$F$4:$F$76,MATCH(LARGE('Monthly Matrix'!$AH$4:$AH$76,60),'Monthly Matrix'!$AH$4:$AH$76,0))),"")</f>
        <v/>
      </c>
      <c r="F63" s="6">
        <f>IFERROR(IF(LARGE('Monthly Matrix'!$AH$4:$AH$76,60)&lt;0,"",INDEX('Monthly Matrix'!$E$4:$E$76,MATCH(LARGE('Monthly Matrix'!$AH$4:$AH$76,60),'Monthly Matrix'!$AH$4:$AH$76,0))),"")</f>
        <v/>
      </c>
      <c r="G63" s="6" t="n"/>
      <c r="H63" s="6">
        <f>IF(LARGE('Monthly Matrix'!$AH$4:$AH$76,60)&lt;0,"",'Monthly Matrix'!$AB$3)</f>
        <v/>
      </c>
      <c r="I63" s="6">
        <f>IF(LARGE('Monthly Matrix'!$AH$4:$AH$76,60)&lt;0,"","HIGH")</f>
        <v/>
      </c>
      <c r="J63" s="6">
        <f>IFERROR(IF(LARGE('Monthly Matrix'!$AH$4:$AH$76,60)&lt;0,"",INDEX('Monthly Matrix'!$M$4:$M$76,MATCH(LARGE('Monthly Matrix'!$AH$4:$AH$76,60),'Monthly Matrix'!$AH$4:$AH$76,0))),"")</f>
        <v/>
      </c>
      <c r="K63" s="7" t="n"/>
      <c r="L63" s="7" t="n"/>
      <c r="M63" s="6" t="n"/>
      <c r="N63" s="6">
        <f>IF(LARGE('Monthly Matrix'!$AH$4:$AH$76,60)&lt;0,"","Open")</f>
        <v/>
      </c>
      <c r="O63" s="6" t="n"/>
      <c r="P63" s="6" t="n"/>
      <c r="Q63" s="6" t="n"/>
    </row>
    <row r="64" ht="21.75" customHeight="1" s="146">
      <c r="A64" s="10">
        <f>IF(LARGE('Monthly Matrix'!$AH$4:$AH$76,61)&lt;0,"","IP-061")</f>
        <v/>
      </c>
      <c r="B64" s="10">
        <f>IFERROR(IF(LARGE('Monthly Matrix'!$AH$4:$AH$76,61)&lt;0,"",INDEX('Monthly Matrix'!$A$4:$A$76,MATCH(LARGE('Monthly Matrix'!$AH$4:$AH$76,61),'Monthly Matrix'!$AH$4:$AH$76,0))),"")</f>
        <v/>
      </c>
      <c r="C64" s="10">
        <f>IFERROR(IF(LARGE('Monthly Matrix'!$AH$4:$AH$76,61)&lt;0,"",INDEX('Monthly Matrix'!$B$4:$B$76,MATCH(LARGE('Monthly Matrix'!$AH$4:$AH$76,61),'Monthly Matrix'!$AH$4:$AH$76,0))),"")</f>
        <v/>
      </c>
      <c r="D64" s="10">
        <f>IFERROR(IF(LARGE('Monthly Matrix'!$AH$4:$AH$76,61)&lt;0,"",INDEX('Monthly Matrix'!$G$4:$G$76,MATCH(LARGE('Monthly Matrix'!$AH$4:$AH$76,61),'Monthly Matrix'!$AH$4:$AH$76,0))),"")</f>
        <v/>
      </c>
      <c r="E64" s="10">
        <f>IFERROR(IF(LARGE('Monthly Matrix'!$AH$4:$AH$76,61)&lt;0,"",INDEX('Monthly Matrix'!$F$4:$F$76,MATCH(LARGE('Monthly Matrix'!$AH$4:$AH$76,61),'Monthly Matrix'!$AH$4:$AH$76,0))),"")</f>
        <v/>
      </c>
      <c r="F64" s="10">
        <f>IFERROR(IF(LARGE('Monthly Matrix'!$AH$4:$AH$76,61)&lt;0,"",INDEX('Monthly Matrix'!$E$4:$E$76,MATCH(LARGE('Monthly Matrix'!$AH$4:$AH$76,61),'Monthly Matrix'!$AH$4:$AH$76,0))),"")</f>
        <v/>
      </c>
      <c r="G64" s="10" t="n"/>
      <c r="H64" s="10">
        <f>IF(LARGE('Monthly Matrix'!$AH$4:$AH$76,61)&lt;0,"",'Monthly Matrix'!$AB$3)</f>
        <v/>
      </c>
      <c r="I64" s="10">
        <f>IF(LARGE('Monthly Matrix'!$AH$4:$AH$76,61)&lt;0,"","HIGH")</f>
        <v/>
      </c>
      <c r="J64" s="10">
        <f>IFERROR(IF(LARGE('Monthly Matrix'!$AH$4:$AH$76,61)&lt;0,"",INDEX('Monthly Matrix'!$M$4:$M$76,MATCH(LARGE('Monthly Matrix'!$AH$4:$AH$76,61),'Monthly Matrix'!$AH$4:$AH$76,0))),"")</f>
        <v/>
      </c>
      <c r="K64" s="11" t="n"/>
      <c r="L64" s="11" t="n"/>
      <c r="M64" s="10" t="n"/>
      <c r="N64" s="10">
        <f>IF(LARGE('Monthly Matrix'!$AH$4:$AH$76,61)&lt;0,"","Open")</f>
        <v/>
      </c>
      <c r="O64" s="10" t="n"/>
      <c r="P64" s="10" t="n"/>
      <c r="Q64" s="10" t="n"/>
    </row>
    <row r="65" ht="21.75" customHeight="1" s="146">
      <c r="A65" s="6">
        <f>IF(LARGE('Monthly Matrix'!$AH$4:$AH$76,62)&lt;0,"","IP-062")</f>
        <v/>
      </c>
      <c r="B65" s="6">
        <f>IFERROR(IF(LARGE('Monthly Matrix'!$AH$4:$AH$76,62)&lt;0,"",INDEX('Monthly Matrix'!$A$4:$A$76,MATCH(LARGE('Monthly Matrix'!$AH$4:$AH$76,62),'Monthly Matrix'!$AH$4:$AH$76,0))),"")</f>
        <v/>
      </c>
      <c r="C65" s="6">
        <f>IFERROR(IF(LARGE('Monthly Matrix'!$AH$4:$AH$76,62)&lt;0,"",INDEX('Monthly Matrix'!$B$4:$B$76,MATCH(LARGE('Monthly Matrix'!$AH$4:$AH$76,62),'Monthly Matrix'!$AH$4:$AH$76,0))),"")</f>
        <v/>
      </c>
      <c r="D65" s="6">
        <f>IFERROR(IF(LARGE('Monthly Matrix'!$AH$4:$AH$76,62)&lt;0,"",INDEX('Monthly Matrix'!$G$4:$G$76,MATCH(LARGE('Monthly Matrix'!$AH$4:$AH$76,62),'Monthly Matrix'!$AH$4:$AH$76,0))),"")</f>
        <v/>
      </c>
      <c r="E65" s="6">
        <f>IFERROR(IF(LARGE('Monthly Matrix'!$AH$4:$AH$76,62)&lt;0,"",INDEX('Monthly Matrix'!$F$4:$F$76,MATCH(LARGE('Monthly Matrix'!$AH$4:$AH$76,62),'Monthly Matrix'!$AH$4:$AH$76,0))),"")</f>
        <v/>
      </c>
      <c r="F65" s="6">
        <f>IFERROR(IF(LARGE('Monthly Matrix'!$AH$4:$AH$76,62)&lt;0,"",INDEX('Monthly Matrix'!$E$4:$E$76,MATCH(LARGE('Monthly Matrix'!$AH$4:$AH$76,62),'Monthly Matrix'!$AH$4:$AH$76,0))),"")</f>
        <v/>
      </c>
      <c r="G65" s="6" t="n"/>
      <c r="H65" s="6">
        <f>IF(LARGE('Monthly Matrix'!$AH$4:$AH$76,62)&lt;0,"",'Monthly Matrix'!$AB$3)</f>
        <v/>
      </c>
      <c r="I65" s="6">
        <f>IF(LARGE('Monthly Matrix'!$AH$4:$AH$76,62)&lt;0,"","HIGH")</f>
        <v/>
      </c>
      <c r="J65" s="6">
        <f>IFERROR(IF(LARGE('Monthly Matrix'!$AH$4:$AH$76,62)&lt;0,"",INDEX('Monthly Matrix'!$M$4:$M$76,MATCH(LARGE('Monthly Matrix'!$AH$4:$AH$76,62),'Monthly Matrix'!$AH$4:$AH$76,0))),"")</f>
        <v/>
      </c>
      <c r="K65" s="7" t="n"/>
      <c r="L65" s="7" t="n"/>
      <c r="M65" s="6" t="n"/>
      <c r="N65" s="6">
        <f>IF(LARGE('Monthly Matrix'!$AH$4:$AH$76,62)&lt;0,"","Open")</f>
        <v/>
      </c>
      <c r="O65" s="6" t="n"/>
      <c r="P65" s="6" t="n"/>
      <c r="Q65" s="6" t="n"/>
    </row>
    <row r="66" ht="21.75" customHeight="1" s="146">
      <c r="A66" s="10">
        <f>IF(LARGE('Monthly Matrix'!$AH$4:$AH$76,63)&lt;0,"","IP-063")</f>
        <v/>
      </c>
      <c r="B66" s="10">
        <f>IFERROR(IF(LARGE('Monthly Matrix'!$AH$4:$AH$76,63)&lt;0,"",INDEX('Monthly Matrix'!$A$4:$A$76,MATCH(LARGE('Monthly Matrix'!$AH$4:$AH$76,63),'Monthly Matrix'!$AH$4:$AH$76,0))),"")</f>
        <v/>
      </c>
      <c r="C66" s="10">
        <f>IFERROR(IF(LARGE('Monthly Matrix'!$AH$4:$AH$76,63)&lt;0,"",INDEX('Monthly Matrix'!$B$4:$B$76,MATCH(LARGE('Monthly Matrix'!$AH$4:$AH$76,63),'Monthly Matrix'!$AH$4:$AH$76,0))),"")</f>
        <v/>
      </c>
      <c r="D66" s="10">
        <f>IFERROR(IF(LARGE('Monthly Matrix'!$AH$4:$AH$76,63)&lt;0,"",INDEX('Monthly Matrix'!$G$4:$G$76,MATCH(LARGE('Monthly Matrix'!$AH$4:$AH$76,63),'Monthly Matrix'!$AH$4:$AH$76,0))),"")</f>
        <v/>
      </c>
      <c r="E66" s="10">
        <f>IFERROR(IF(LARGE('Monthly Matrix'!$AH$4:$AH$76,63)&lt;0,"",INDEX('Monthly Matrix'!$F$4:$F$76,MATCH(LARGE('Monthly Matrix'!$AH$4:$AH$76,63),'Monthly Matrix'!$AH$4:$AH$76,0))),"")</f>
        <v/>
      </c>
      <c r="F66" s="10">
        <f>IFERROR(IF(LARGE('Monthly Matrix'!$AH$4:$AH$76,63)&lt;0,"",INDEX('Monthly Matrix'!$E$4:$E$76,MATCH(LARGE('Monthly Matrix'!$AH$4:$AH$76,63),'Monthly Matrix'!$AH$4:$AH$76,0))),"")</f>
        <v/>
      </c>
      <c r="G66" s="10" t="n"/>
      <c r="H66" s="10">
        <f>IF(LARGE('Monthly Matrix'!$AH$4:$AH$76,63)&lt;0,"",'Monthly Matrix'!$AB$3)</f>
        <v/>
      </c>
      <c r="I66" s="10">
        <f>IF(LARGE('Monthly Matrix'!$AH$4:$AH$76,63)&lt;0,"","HIGH")</f>
        <v/>
      </c>
      <c r="J66" s="10">
        <f>IFERROR(IF(LARGE('Monthly Matrix'!$AH$4:$AH$76,63)&lt;0,"",INDEX('Monthly Matrix'!$M$4:$M$76,MATCH(LARGE('Monthly Matrix'!$AH$4:$AH$76,63),'Monthly Matrix'!$AH$4:$AH$76,0))),"")</f>
        <v/>
      </c>
      <c r="K66" s="11" t="n"/>
      <c r="L66" s="11" t="n"/>
      <c r="M66" s="10" t="n"/>
      <c r="N66" s="10">
        <f>IF(LARGE('Monthly Matrix'!$AH$4:$AH$76,63)&lt;0,"","Open")</f>
        <v/>
      </c>
      <c r="O66" s="10" t="n"/>
      <c r="P66" s="10" t="n"/>
      <c r="Q66" s="10" t="n"/>
    </row>
    <row r="67" ht="21.75" customHeight="1" s="146">
      <c r="A67" s="6">
        <f>IF(LARGE('Monthly Matrix'!$AH$4:$AH$76,64)&lt;0,"","IP-064")</f>
        <v/>
      </c>
      <c r="B67" s="6">
        <f>IFERROR(IF(LARGE('Monthly Matrix'!$AH$4:$AH$76,64)&lt;0,"",INDEX('Monthly Matrix'!$A$4:$A$76,MATCH(LARGE('Monthly Matrix'!$AH$4:$AH$76,64),'Monthly Matrix'!$AH$4:$AH$76,0))),"")</f>
        <v/>
      </c>
      <c r="C67" s="6">
        <f>IFERROR(IF(LARGE('Monthly Matrix'!$AH$4:$AH$76,64)&lt;0,"",INDEX('Monthly Matrix'!$B$4:$B$76,MATCH(LARGE('Monthly Matrix'!$AH$4:$AH$76,64),'Monthly Matrix'!$AH$4:$AH$76,0))),"")</f>
        <v/>
      </c>
      <c r="D67" s="6">
        <f>IFERROR(IF(LARGE('Monthly Matrix'!$AH$4:$AH$76,64)&lt;0,"",INDEX('Monthly Matrix'!$G$4:$G$76,MATCH(LARGE('Monthly Matrix'!$AH$4:$AH$76,64),'Monthly Matrix'!$AH$4:$AH$76,0))),"")</f>
        <v/>
      </c>
      <c r="E67" s="6">
        <f>IFERROR(IF(LARGE('Monthly Matrix'!$AH$4:$AH$76,64)&lt;0,"",INDEX('Monthly Matrix'!$F$4:$F$76,MATCH(LARGE('Monthly Matrix'!$AH$4:$AH$76,64),'Monthly Matrix'!$AH$4:$AH$76,0))),"")</f>
        <v/>
      </c>
      <c r="F67" s="6">
        <f>IFERROR(IF(LARGE('Monthly Matrix'!$AH$4:$AH$76,64)&lt;0,"",INDEX('Monthly Matrix'!$E$4:$E$76,MATCH(LARGE('Monthly Matrix'!$AH$4:$AH$76,64),'Monthly Matrix'!$AH$4:$AH$76,0))),"")</f>
        <v/>
      </c>
      <c r="G67" s="6" t="n"/>
      <c r="H67" s="6">
        <f>IF(LARGE('Monthly Matrix'!$AH$4:$AH$76,64)&lt;0,"",'Monthly Matrix'!$AB$3)</f>
        <v/>
      </c>
      <c r="I67" s="6">
        <f>IF(LARGE('Monthly Matrix'!$AH$4:$AH$76,64)&lt;0,"","HIGH")</f>
        <v/>
      </c>
      <c r="J67" s="6">
        <f>IFERROR(IF(LARGE('Monthly Matrix'!$AH$4:$AH$76,64)&lt;0,"",INDEX('Monthly Matrix'!$M$4:$M$76,MATCH(LARGE('Monthly Matrix'!$AH$4:$AH$76,64),'Monthly Matrix'!$AH$4:$AH$76,0))),"")</f>
        <v/>
      </c>
      <c r="K67" s="7" t="n"/>
      <c r="L67" s="7" t="n"/>
      <c r="M67" s="6" t="n"/>
      <c r="N67" s="6">
        <f>IF(LARGE('Monthly Matrix'!$AH$4:$AH$76,64)&lt;0,"","Open")</f>
        <v/>
      </c>
      <c r="O67" s="6" t="n"/>
      <c r="P67" s="6" t="n"/>
      <c r="Q67" s="6" t="n"/>
    </row>
    <row r="68" ht="21.75" customHeight="1" s="146">
      <c r="A68" s="10">
        <f>IF(LARGE('Monthly Matrix'!$AH$4:$AH$76,65)&lt;0,"","IP-065")</f>
        <v/>
      </c>
      <c r="B68" s="10">
        <f>IFERROR(IF(LARGE('Monthly Matrix'!$AH$4:$AH$76,65)&lt;0,"",INDEX('Monthly Matrix'!$A$4:$A$76,MATCH(LARGE('Monthly Matrix'!$AH$4:$AH$76,65),'Monthly Matrix'!$AH$4:$AH$76,0))),"")</f>
        <v/>
      </c>
      <c r="C68" s="10">
        <f>IFERROR(IF(LARGE('Monthly Matrix'!$AH$4:$AH$76,65)&lt;0,"",INDEX('Monthly Matrix'!$B$4:$B$76,MATCH(LARGE('Monthly Matrix'!$AH$4:$AH$76,65),'Monthly Matrix'!$AH$4:$AH$76,0))),"")</f>
        <v/>
      </c>
      <c r="D68" s="10">
        <f>IFERROR(IF(LARGE('Monthly Matrix'!$AH$4:$AH$76,65)&lt;0,"",INDEX('Monthly Matrix'!$G$4:$G$76,MATCH(LARGE('Monthly Matrix'!$AH$4:$AH$76,65),'Monthly Matrix'!$AH$4:$AH$76,0))),"")</f>
        <v/>
      </c>
      <c r="E68" s="10">
        <f>IFERROR(IF(LARGE('Monthly Matrix'!$AH$4:$AH$76,65)&lt;0,"",INDEX('Monthly Matrix'!$F$4:$F$76,MATCH(LARGE('Monthly Matrix'!$AH$4:$AH$76,65),'Monthly Matrix'!$AH$4:$AH$76,0))),"")</f>
        <v/>
      </c>
      <c r="F68" s="10">
        <f>IFERROR(IF(LARGE('Monthly Matrix'!$AH$4:$AH$76,65)&lt;0,"",INDEX('Monthly Matrix'!$E$4:$E$76,MATCH(LARGE('Monthly Matrix'!$AH$4:$AH$76,65),'Monthly Matrix'!$AH$4:$AH$76,0))),"")</f>
        <v/>
      </c>
      <c r="G68" s="10" t="n"/>
      <c r="H68" s="10">
        <f>IF(LARGE('Monthly Matrix'!$AH$4:$AH$76,65)&lt;0,"",'Monthly Matrix'!$AB$3)</f>
        <v/>
      </c>
      <c r="I68" s="10">
        <f>IF(LARGE('Monthly Matrix'!$AH$4:$AH$76,65)&lt;0,"","HIGH")</f>
        <v/>
      </c>
      <c r="J68" s="10">
        <f>IFERROR(IF(LARGE('Monthly Matrix'!$AH$4:$AH$76,65)&lt;0,"",INDEX('Monthly Matrix'!$M$4:$M$76,MATCH(LARGE('Monthly Matrix'!$AH$4:$AH$76,65),'Monthly Matrix'!$AH$4:$AH$76,0))),"")</f>
        <v/>
      </c>
      <c r="K68" s="11" t="n"/>
      <c r="L68" s="11" t="n"/>
      <c r="M68" s="10" t="n"/>
      <c r="N68" s="10">
        <f>IF(LARGE('Monthly Matrix'!$AH$4:$AH$76,65)&lt;0,"","Open")</f>
        <v/>
      </c>
      <c r="O68" s="10" t="n"/>
      <c r="P68" s="10" t="n"/>
      <c r="Q68" s="10" t="n"/>
    </row>
    <row r="69" ht="21.75" customHeight="1" s="146">
      <c r="A69" s="6">
        <f>IF(LARGE('Monthly Matrix'!$AH$4:$AH$76,66)&lt;0,"","IP-066")</f>
        <v/>
      </c>
      <c r="B69" s="6">
        <f>IFERROR(IF(LARGE('Monthly Matrix'!$AH$4:$AH$76,66)&lt;0,"",INDEX('Monthly Matrix'!$A$4:$A$76,MATCH(LARGE('Monthly Matrix'!$AH$4:$AH$76,66),'Monthly Matrix'!$AH$4:$AH$76,0))),"")</f>
        <v/>
      </c>
      <c r="C69" s="6">
        <f>IFERROR(IF(LARGE('Monthly Matrix'!$AH$4:$AH$76,66)&lt;0,"",INDEX('Monthly Matrix'!$B$4:$B$76,MATCH(LARGE('Monthly Matrix'!$AH$4:$AH$76,66),'Monthly Matrix'!$AH$4:$AH$76,0))),"")</f>
        <v/>
      </c>
      <c r="D69" s="6">
        <f>IFERROR(IF(LARGE('Monthly Matrix'!$AH$4:$AH$76,66)&lt;0,"",INDEX('Monthly Matrix'!$G$4:$G$76,MATCH(LARGE('Monthly Matrix'!$AH$4:$AH$76,66),'Monthly Matrix'!$AH$4:$AH$76,0))),"")</f>
        <v/>
      </c>
      <c r="E69" s="6">
        <f>IFERROR(IF(LARGE('Monthly Matrix'!$AH$4:$AH$76,66)&lt;0,"",INDEX('Monthly Matrix'!$F$4:$F$76,MATCH(LARGE('Monthly Matrix'!$AH$4:$AH$76,66),'Monthly Matrix'!$AH$4:$AH$76,0))),"")</f>
        <v/>
      </c>
      <c r="F69" s="6">
        <f>IFERROR(IF(LARGE('Monthly Matrix'!$AH$4:$AH$76,66)&lt;0,"",INDEX('Monthly Matrix'!$E$4:$E$76,MATCH(LARGE('Monthly Matrix'!$AH$4:$AH$76,66),'Monthly Matrix'!$AH$4:$AH$76,0))),"")</f>
        <v/>
      </c>
      <c r="G69" s="6" t="n"/>
      <c r="H69" s="6">
        <f>IF(LARGE('Monthly Matrix'!$AH$4:$AH$76,66)&lt;0,"",'Monthly Matrix'!$AB$3)</f>
        <v/>
      </c>
      <c r="I69" s="6">
        <f>IF(LARGE('Monthly Matrix'!$AH$4:$AH$76,66)&lt;0,"","HIGH")</f>
        <v/>
      </c>
      <c r="J69" s="6">
        <f>IFERROR(IF(LARGE('Monthly Matrix'!$AH$4:$AH$76,66)&lt;0,"",INDEX('Monthly Matrix'!$M$4:$M$76,MATCH(LARGE('Monthly Matrix'!$AH$4:$AH$76,66),'Monthly Matrix'!$AH$4:$AH$76,0))),"")</f>
        <v/>
      </c>
      <c r="K69" s="7" t="n"/>
      <c r="L69" s="7" t="n"/>
      <c r="M69" s="6" t="n"/>
      <c r="N69" s="6">
        <f>IF(LARGE('Monthly Matrix'!$AH$4:$AH$76,66)&lt;0,"","Open")</f>
        <v/>
      </c>
      <c r="O69" s="6" t="n"/>
      <c r="P69" s="6" t="n"/>
      <c r="Q69" s="6" t="n"/>
    </row>
    <row r="70" ht="21.75" customHeight="1" s="146">
      <c r="A70" s="10">
        <f>IF(LARGE('Monthly Matrix'!$AH$4:$AH$76,67)&lt;0,"","IP-067")</f>
        <v/>
      </c>
      <c r="B70" s="10">
        <f>IFERROR(IF(LARGE('Monthly Matrix'!$AH$4:$AH$76,67)&lt;0,"",INDEX('Monthly Matrix'!$A$4:$A$76,MATCH(LARGE('Monthly Matrix'!$AH$4:$AH$76,67),'Monthly Matrix'!$AH$4:$AH$76,0))),"")</f>
        <v/>
      </c>
      <c r="C70" s="10">
        <f>IFERROR(IF(LARGE('Monthly Matrix'!$AH$4:$AH$76,67)&lt;0,"",INDEX('Monthly Matrix'!$B$4:$B$76,MATCH(LARGE('Monthly Matrix'!$AH$4:$AH$76,67),'Monthly Matrix'!$AH$4:$AH$76,0))),"")</f>
        <v/>
      </c>
      <c r="D70" s="10">
        <f>IFERROR(IF(LARGE('Monthly Matrix'!$AH$4:$AH$76,67)&lt;0,"",INDEX('Monthly Matrix'!$G$4:$G$76,MATCH(LARGE('Monthly Matrix'!$AH$4:$AH$76,67),'Monthly Matrix'!$AH$4:$AH$76,0))),"")</f>
        <v/>
      </c>
      <c r="E70" s="10">
        <f>IFERROR(IF(LARGE('Monthly Matrix'!$AH$4:$AH$76,67)&lt;0,"",INDEX('Monthly Matrix'!$F$4:$F$76,MATCH(LARGE('Monthly Matrix'!$AH$4:$AH$76,67),'Monthly Matrix'!$AH$4:$AH$76,0))),"")</f>
        <v/>
      </c>
      <c r="F70" s="10">
        <f>IFERROR(IF(LARGE('Monthly Matrix'!$AH$4:$AH$76,67)&lt;0,"",INDEX('Monthly Matrix'!$E$4:$E$76,MATCH(LARGE('Monthly Matrix'!$AH$4:$AH$76,67),'Monthly Matrix'!$AH$4:$AH$76,0))),"")</f>
        <v/>
      </c>
      <c r="G70" s="10" t="n"/>
      <c r="H70" s="10">
        <f>IF(LARGE('Monthly Matrix'!$AH$4:$AH$76,67)&lt;0,"",'Monthly Matrix'!$AB$3)</f>
        <v/>
      </c>
      <c r="I70" s="10">
        <f>IF(LARGE('Monthly Matrix'!$AH$4:$AH$76,67)&lt;0,"","HIGH")</f>
        <v/>
      </c>
      <c r="J70" s="10">
        <f>IFERROR(IF(LARGE('Monthly Matrix'!$AH$4:$AH$76,67)&lt;0,"",INDEX('Monthly Matrix'!$M$4:$M$76,MATCH(LARGE('Monthly Matrix'!$AH$4:$AH$76,67),'Monthly Matrix'!$AH$4:$AH$76,0))),"")</f>
        <v/>
      </c>
      <c r="K70" s="11" t="n"/>
      <c r="L70" s="11" t="n"/>
      <c r="M70" s="10" t="n"/>
      <c r="N70" s="10">
        <f>IF(LARGE('Monthly Matrix'!$AH$4:$AH$76,67)&lt;0,"","Open")</f>
        <v/>
      </c>
      <c r="O70" s="10" t="n"/>
      <c r="P70" s="10" t="n"/>
      <c r="Q70" s="10" t="n"/>
    </row>
    <row r="71" ht="21.75" customHeight="1" s="146">
      <c r="A71" s="6">
        <f>IF(LARGE('Monthly Matrix'!$AH$4:$AH$76,68)&lt;0,"","IP-068")</f>
        <v/>
      </c>
      <c r="B71" s="6">
        <f>IFERROR(IF(LARGE('Monthly Matrix'!$AH$4:$AH$76,68)&lt;0,"",INDEX('Monthly Matrix'!$A$4:$A$76,MATCH(LARGE('Monthly Matrix'!$AH$4:$AH$76,68),'Monthly Matrix'!$AH$4:$AH$76,0))),"")</f>
        <v/>
      </c>
      <c r="C71" s="6">
        <f>IFERROR(IF(LARGE('Monthly Matrix'!$AH$4:$AH$76,68)&lt;0,"",INDEX('Monthly Matrix'!$B$4:$B$76,MATCH(LARGE('Monthly Matrix'!$AH$4:$AH$76,68),'Monthly Matrix'!$AH$4:$AH$76,0))),"")</f>
        <v/>
      </c>
      <c r="D71" s="6">
        <f>IFERROR(IF(LARGE('Monthly Matrix'!$AH$4:$AH$76,68)&lt;0,"",INDEX('Monthly Matrix'!$G$4:$G$76,MATCH(LARGE('Monthly Matrix'!$AH$4:$AH$76,68),'Monthly Matrix'!$AH$4:$AH$76,0))),"")</f>
        <v/>
      </c>
      <c r="E71" s="6">
        <f>IFERROR(IF(LARGE('Monthly Matrix'!$AH$4:$AH$76,68)&lt;0,"",INDEX('Monthly Matrix'!$F$4:$F$76,MATCH(LARGE('Monthly Matrix'!$AH$4:$AH$76,68),'Monthly Matrix'!$AH$4:$AH$76,0))),"")</f>
        <v/>
      </c>
      <c r="F71" s="6">
        <f>IFERROR(IF(LARGE('Monthly Matrix'!$AH$4:$AH$76,68)&lt;0,"",INDEX('Monthly Matrix'!$E$4:$E$76,MATCH(LARGE('Monthly Matrix'!$AH$4:$AH$76,68),'Monthly Matrix'!$AH$4:$AH$76,0))),"")</f>
        <v/>
      </c>
      <c r="G71" s="6" t="n"/>
      <c r="H71" s="6">
        <f>IF(LARGE('Monthly Matrix'!$AH$4:$AH$76,68)&lt;0,"",'Monthly Matrix'!$AB$3)</f>
        <v/>
      </c>
      <c r="I71" s="6">
        <f>IF(LARGE('Monthly Matrix'!$AH$4:$AH$76,68)&lt;0,"","HIGH")</f>
        <v/>
      </c>
      <c r="J71" s="6">
        <f>IFERROR(IF(LARGE('Monthly Matrix'!$AH$4:$AH$76,68)&lt;0,"",INDEX('Monthly Matrix'!$M$4:$M$76,MATCH(LARGE('Monthly Matrix'!$AH$4:$AH$76,68),'Monthly Matrix'!$AH$4:$AH$76,0))),"")</f>
        <v/>
      </c>
      <c r="K71" s="7" t="n"/>
      <c r="L71" s="7" t="n"/>
      <c r="M71" s="6" t="n"/>
      <c r="N71" s="6">
        <f>IF(LARGE('Monthly Matrix'!$AH$4:$AH$76,68)&lt;0,"","Open")</f>
        <v/>
      </c>
      <c r="O71" s="6" t="n"/>
      <c r="P71" s="6" t="n"/>
      <c r="Q71" s="6" t="n"/>
    </row>
    <row r="72" ht="21.75" customHeight="1" s="146">
      <c r="A72" s="10">
        <f>IF(LARGE('Monthly Matrix'!$AH$4:$AH$76,69)&lt;0,"","IP-069")</f>
        <v/>
      </c>
      <c r="B72" s="10">
        <f>IFERROR(IF(LARGE('Monthly Matrix'!$AH$4:$AH$76,69)&lt;0,"",INDEX('Monthly Matrix'!$A$4:$A$76,MATCH(LARGE('Monthly Matrix'!$AH$4:$AH$76,69),'Monthly Matrix'!$AH$4:$AH$76,0))),"")</f>
        <v/>
      </c>
      <c r="C72" s="10">
        <f>IFERROR(IF(LARGE('Monthly Matrix'!$AH$4:$AH$76,69)&lt;0,"",INDEX('Monthly Matrix'!$B$4:$B$76,MATCH(LARGE('Monthly Matrix'!$AH$4:$AH$76,69),'Monthly Matrix'!$AH$4:$AH$76,0))),"")</f>
        <v/>
      </c>
      <c r="D72" s="10">
        <f>IFERROR(IF(LARGE('Monthly Matrix'!$AH$4:$AH$76,69)&lt;0,"",INDEX('Monthly Matrix'!$G$4:$G$76,MATCH(LARGE('Monthly Matrix'!$AH$4:$AH$76,69),'Monthly Matrix'!$AH$4:$AH$76,0))),"")</f>
        <v/>
      </c>
      <c r="E72" s="10">
        <f>IFERROR(IF(LARGE('Monthly Matrix'!$AH$4:$AH$76,69)&lt;0,"",INDEX('Monthly Matrix'!$F$4:$F$76,MATCH(LARGE('Monthly Matrix'!$AH$4:$AH$76,69),'Monthly Matrix'!$AH$4:$AH$76,0))),"")</f>
        <v/>
      </c>
      <c r="F72" s="10">
        <f>IFERROR(IF(LARGE('Monthly Matrix'!$AH$4:$AH$76,69)&lt;0,"",INDEX('Monthly Matrix'!$E$4:$E$76,MATCH(LARGE('Monthly Matrix'!$AH$4:$AH$76,69),'Monthly Matrix'!$AH$4:$AH$76,0))),"")</f>
        <v/>
      </c>
      <c r="G72" s="10" t="n"/>
      <c r="H72" s="10">
        <f>IF(LARGE('Monthly Matrix'!$AH$4:$AH$76,69)&lt;0,"",'Monthly Matrix'!$AB$3)</f>
        <v/>
      </c>
      <c r="I72" s="10">
        <f>IF(LARGE('Monthly Matrix'!$AH$4:$AH$76,69)&lt;0,"","HIGH")</f>
        <v/>
      </c>
      <c r="J72" s="10">
        <f>IFERROR(IF(LARGE('Monthly Matrix'!$AH$4:$AH$76,69)&lt;0,"",INDEX('Monthly Matrix'!$M$4:$M$76,MATCH(LARGE('Monthly Matrix'!$AH$4:$AH$76,69),'Monthly Matrix'!$AH$4:$AH$76,0))),"")</f>
        <v/>
      </c>
      <c r="K72" s="11" t="n"/>
      <c r="L72" s="11" t="n"/>
      <c r="M72" s="10" t="n"/>
      <c r="N72" s="10">
        <f>IF(LARGE('Monthly Matrix'!$AH$4:$AH$76,69)&lt;0,"","Open")</f>
        <v/>
      </c>
      <c r="O72" s="10" t="n"/>
      <c r="P72" s="10" t="n"/>
      <c r="Q72" s="10" t="n"/>
    </row>
    <row r="73" ht="21.75" customHeight="1" s="146">
      <c r="A73" s="6">
        <f>IF(LARGE('Monthly Matrix'!$AH$4:$AH$76,70)&lt;0,"","IP-070")</f>
        <v/>
      </c>
      <c r="B73" s="6">
        <f>IFERROR(IF(LARGE('Monthly Matrix'!$AH$4:$AH$76,70)&lt;0,"",INDEX('Monthly Matrix'!$A$4:$A$76,MATCH(LARGE('Monthly Matrix'!$AH$4:$AH$76,70),'Monthly Matrix'!$AH$4:$AH$76,0))),"")</f>
        <v/>
      </c>
      <c r="C73" s="6">
        <f>IFERROR(IF(LARGE('Monthly Matrix'!$AH$4:$AH$76,70)&lt;0,"",INDEX('Monthly Matrix'!$B$4:$B$76,MATCH(LARGE('Monthly Matrix'!$AH$4:$AH$76,70),'Monthly Matrix'!$AH$4:$AH$76,0))),"")</f>
        <v/>
      </c>
      <c r="D73" s="6">
        <f>IFERROR(IF(LARGE('Monthly Matrix'!$AH$4:$AH$76,70)&lt;0,"",INDEX('Monthly Matrix'!$G$4:$G$76,MATCH(LARGE('Monthly Matrix'!$AH$4:$AH$76,70),'Monthly Matrix'!$AH$4:$AH$76,0))),"")</f>
        <v/>
      </c>
      <c r="E73" s="6">
        <f>IFERROR(IF(LARGE('Monthly Matrix'!$AH$4:$AH$76,70)&lt;0,"",INDEX('Monthly Matrix'!$F$4:$F$76,MATCH(LARGE('Monthly Matrix'!$AH$4:$AH$76,70),'Monthly Matrix'!$AH$4:$AH$76,0))),"")</f>
        <v/>
      </c>
      <c r="F73" s="6">
        <f>IFERROR(IF(LARGE('Monthly Matrix'!$AH$4:$AH$76,70)&lt;0,"",INDEX('Monthly Matrix'!$E$4:$E$76,MATCH(LARGE('Monthly Matrix'!$AH$4:$AH$76,70),'Monthly Matrix'!$AH$4:$AH$76,0))),"")</f>
        <v/>
      </c>
      <c r="G73" s="6" t="n"/>
      <c r="H73" s="6">
        <f>IF(LARGE('Monthly Matrix'!$AH$4:$AH$76,70)&lt;0,"",'Monthly Matrix'!$AB$3)</f>
        <v/>
      </c>
      <c r="I73" s="6">
        <f>IF(LARGE('Monthly Matrix'!$AH$4:$AH$76,70)&lt;0,"","HIGH")</f>
        <v/>
      </c>
      <c r="J73" s="6">
        <f>IFERROR(IF(LARGE('Monthly Matrix'!$AH$4:$AH$76,70)&lt;0,"",INDEX('Monthly Matrix'!$M$4:$M$76,MATCH(LARGE('Monthly Matrix'!$AH$4:$AH$76,70),'Monthly Matrix'!$AH$4:$AH$76,0))),"")</f>
        <v/>
      </c>
      <c r="K73" s="7" t="n"/>
      <c r="L73" s="7" t="n"/>
      <c r="M73" s="6" t="n"/>
      <c r="N73" s="6">
        <f>IF(LARGE('Monthly Matrix'!$AH$4:$AH$76,70)&lt;0,"","Open")</f>
        <v/>
      </c>
      <c r="O73" s="6" t="n"/>
      <c r="P73" s="6" t="n"/>
      <c r="Q73" s="6" t="n"/>
    </row>
    <row r="74" ht="21.75" customHeight="1" s="146">
      <c r="A74" s="10">
        <f>IF(LARGE('Monthly Matrix'!$AH$4:$AH$76,71)&lt;0,"","IP-071")</f>
        <v/>
      </c>
      <c r="B74" s="10">
        <f>IFERROR(IF(LARGE('Monthly Matrix'!$AH$4:$AH$76,71)&lt;0,"",INDEX('Monthly Matrix'!$A$4:$A$76,MATCH(LARGE('Monthly Matrix'!$AH$4:$AH$76,71),'Monthly Matrix'!$AH$4:$AH$76,0))),"")</f>
        <v/>
      </c>
      <c r="C74" s="10">
        <f>IFERROR(IF(LARGE('Monthly Matrix'!$AH$4:$AH$76,71)&lt;0,"",INDEX('Monthly Matrix'!$B$4:$B$76,MATCH(LARGE('Monthly Matrix'!$AH$4:$AH$76,71),'Monthly Matrix'!$AH$4:$AH$76,0))),"")</f>
        <v/>
      </c>
      <c r="D74" s="10">
        <f>IFERROR(IF(LARGE('Monthly Matrix'!$AH$4:$AH$76,71)&lt;0,"",INDEX('Monthly Matrix'!$G$4:$G$76,MATCH(LARGE('Monthly Matrix'!$AH$4:$AH$76,71),'Monthly Matrix'!$AH$4:$AH$76,0))),"")</f>
        <v/>
      </c>
      <c r="E74" s="10">
        <f>IFERROR(IF(LARGE('Monthly Matrix'!$AH$4:$AH$76,71)&lt;0,"",INDEX('Monthly Matrix'!$F$4:$F$76,MATCH(LARGE('Monthly Matrix'!$AH$4:$AH$76,71),'Monthly Matrix'!$AH$4:$AH$76,0))),"")</f>
        <v/>
      </c>
      <c r="F74" s="10">
        <f>IFERROR(IF(LARGE('Monthly Matrix'!$AH$4:$AH$76,71)&lt;0,"",INDEX('Monthly Matrix'!$E$4:$E$76,MATCH(LARGE('Monthly Matrix'!$AH$4:$AH$76,71),'Monthly Matrix'!$AH$4:$AH$76,0))),"")</f>
        <v/>
      </c>
      <c r="G74" s="10" t="n"/>
      <c r="H74" s="10">
        <f>IF(LARGE('Monthly Matrix'!$AH$4:$AH$76,71)&lt;0,"",'Monthly Matrix'!$AB$3)</f>
        <v/>
      </c>
      <c r="I74" s="10">
        <f>IF(LARGE('Monthly Matrix'!$AH$4:$AH$76,71)&lt;0,"","HIGH")</f>
        <v/>
      </c>
      <c r="J74" s="10">
        <f>IFERROR(IF(LARGE('Monthly Matrix'!$AH$4:$AH$76,71)&lt;0,"",INDEX('Monthly Matrix'!$M$4:$M$76,MATCH(LARGE('Monthly Matrix'!$AH$4:$AH$76,71),'Monthly Matrix'!$AH$4:$AH$76,0))),"")</f>
        <v/>
      </c>
      <c r="K74" s="11" t="n"/>
      <c r="L74" s="11" t="n"/>
      <c r="M74" s="10" t="n"/>
      <c r="N74" s="10">
        <f>IF(LARGE('Monthly Matrix'!$AH$4:$AH$76,71)&lt;0,"","Open")</f>
        <v/>
      </c>
      <c r="O74" s="10" t="n"/>
      <c r="P74" s="10" t="n"/>
      <c r="Q74" s="10" t="n"/>
    </row>
    <row r="75" ht="21.75" customHeight="1" s="146">
      <c r="A75" s="6">
        <f>IF(LARGE('Monthly Matrix'!$AH$4:$AH$76,72)&lt;0,"","IP-072")</f>
        <v/>
      </c>
      <c r="B75" s="6">
        <f>IFERROR(IF(LARGE('Monthly Matrix'!$AH$4:$AH$76,72)&lt;0,"",INDEX('Monthly Matrix'!$A$4:$A$76,MATCH(LARGE('Monthly Matrix'!$AH$4:$AH$76,72),'Monthly Matrix'!$AH$4:$AH$76,0))),"")</f>
        <v/>
      </c>
      <c r="C75" s="6">
        <f>IFERROR(IF(LARGE('Monthly Matrix'!$AH$4:$AH$76,72)&lt;0,"",INDEX('Monthly Matrix'!$B$4:$B$76,MATCH(LARGE('Monthly Matrix'!$AH$4:$AH$76,72),'Monthly Matrix'!$AH$4:$AH$76,0))),"")</f>
        <v/>
      </c>
      <c r="D75" s="6">
        <f>IFERROR(IF(LARGE('Monthly Matrix'!$AH$4:$AH$76,72)&lt;0,"",INDEX('Monthly Matrix'!$G$4:$G$76,MATCH(LARGE('Monthly Matrix'!$AH$4:$AH$76,72),'Monthly Matrix'!$AH$4:$AH$76,0))),"")</f>
        <v/>
      </c>
      <c r="E75" s="6">
        <f>IFERROR(IF(LARGE('Monthly Matrix'!$AH$4:$AH$76,72)&lt;0,"",INDEX('Monthly Matrix'!$F$4:$F$76,MATCH(LARGE('Monthly Matrix'!$AH$4:$AH$76,72),'Monthly Matrix'!$AH$4:$AH$76,0))),"")</f>
        <v/>
      </c>
      <c r="F75" s="6">
        <f>IFERROR(IF(LARGE('Monthly Matrix'!$AH$4:$AH$76,72)&lt;0,"",INDEX('Monthly Matrix'!$E$4:$E$76,MATCH(LARGE('Monthly Matrix'!$AH$4:$AH$76,72),'Monthly Matrix'!$AH$4:$AH$76,0))),"")</f>
        <v/>
      </c>
      <c r="G75" s="6" t="n"/>
      <c r="H75" s="6">
        <f>IF(LARGE('Monthly Matrix'!$AH$4:$AH$76,72)&lt;0,"",'Monthly Matrix'!$AB$3)</f>
        <v/>
      </c>
      <c r="I75" s="6">
        <f>IF(LARGE('Monthly Matrix'!$AH$4:$AH$76,72)&lt;0,"","HIGH")</f>
        <v/>
      </c>
      <c r="J75" s="6">
        <f>IFERROR(IF(LARGE('Monthly Matrix'!$AH$4:$AH$76,72)&lt;0,"",INDEX('Monthly Matrix'!$M$4:$M$76,MATCH(LARGE('Monthly Matrix'!$AH$4:$AH$76,72),'Monthly Matrix'!$AH$4:$AH$76,0))),"")</f>
        <v/>
      </c>
      <c r="K75" s="7" t="n"/>
      <c r="L75" s="7" t="n"/>
      <c r="M75" s="6" t="n"/>
      <c r="N75" s="6">
        <f>IF(LARGE('Monthly Matrix'!$AH$4:$AH$76,72)&lt;0,"","Open")</f>
        <v/>
      </c>
      <c r="O75" s="6" t="n"/>
      <c r="P75" s="6" t="n"/>
      <c r="Q75" s="6" t="n"/>
    </row>
    <row r="76" ht="21.75" customHeight="1" s="146">
      <c r="A76" s="10">
        <f>IF(LARGE('Monthly Matrix'!$AH$4:$AH$76,73)&lt;0,"","IP-073")</f>
        <v/>
      </c>
      <c r="B76" s="10">
        <f>IFERROR(IF(LARGE('Monthly Matrix'!$AH$4:$AH$76,73)&lt;0,"",INDEX('Monthly Matrix'!$A$4:$A$76,MATCH(LARGE('Monthly Matrix'!$AH$4:$AH$76,73),'Monthly Matrix'!$AH$4:$AH$76,0))),"")</f>
        <v/>
      </c>
      <c r="C76" s="10">
        <f>IFERROR(IF(LARGE('Monthly Matrix'!$AH$4:$AH$76,73)&lt;0,"",INDEX('Monthly Matrix'!$B$4:$B$76,MATCH(LARGE('Monthly Matrix'!$AH$4:$AH$76,73),'Monthly Matrix'!$AH$4:$AH$76,0))),"")</f>
        <v/>
      </c>
      <c r="D76" s="10">
        <f>IFERROR(IF(LARGE('Monthly Matrix'!$AH$4:$AH$76,73)&lt;0,"",INDEX('Monthly Matrix'!$G$4:$G$76,MATCH(LARGE('Monthly Matrix'!$AH$4:$AH$76,73),'Monthly Matrix'!$AH$4:$AH$76,0))),"")</f>
        <v/>
      </c>
      <c r="E76" s="10">
        <f>IFERROR(IF(LARGE('Monthly Matrix'!$AH$4:$AH$76,73)&lt;0,"",INDEX('Monthly Matrix'!$F$4:$F$76,MATCH(LARGE('Monthly Matrix'!$AH$4:$AH$76,73),'Monthly Matrix'!$AH$4:$AH$76,0))),"")</f>
        <v/>
      </c>
      <c r="F76" s="10">
        <f>IFERROR(IF(LARGE('Monthly Matrix'!$AH$4:$AH$76,73)&lt;0,"",INDEX('Monthly Matrix'!$E$4:$E$76,MATCH(LARGE('Monthly Matrix'!$AH$4:$AH$76,73),'Monthly Matrix'!$AH$4:$AH$76,0))),"")</f>
        <v/>
      </c>
      <c r="G76" s="10" t="n"/>
      <c r="H76" s="10">
        <f>IF(LARGE('Monthly Matrix'!$AH$4:$AH$76,73)&lt;0,"",'Monthly Matrix'!$AB$3)</f>
        <v/>
      </c>
      <c r="I76" s="10">
        <f>IF(LARGE('Monthly Matrix'!$AH$4:$AH$76,73)&lt;0,"","HIGH")</f>
        <v/>
      </c>
      <c r="J76" s="10">
        <f>IFERROR(IF(LARGE('Monthly Matrix'!$AH$4:$AH$76,73)&lt;0,"",INDEX('Monthly Matrix'!$M$4:$M$76,MATCH(LARGE('Monthly Matrix'!$AH$4:$AH$76,73),'Monthly Matrix'!$AH$4:$AH$76,0))),"")</f>
        <v/>
      </c>
      <c r="K76" s="11" t="n"/>
      <c r="L76" s="11" t="n"/>
      <c r="M76" s="10" t="n"/>
      <c r="N76" s="10">
        <f>IF(LARGE('Monthly Matrix'!$AH$4:$AH$76,73)&lt;0,"","Open")</f>
        <v/>
      </c>
      <c r="O76" s="10" t="n"/>
      <c r="P76" s="10" t="n"/>
      <c r="Q76" s="10" t="n"/>
    </row>
    <row r="77" ht="21.75" customHeight="1" s="146">
      <c r="A77" s="6" t="n"/>
      <c r="B77" s="6" t="n"/>
      <c r="C77" s="6" t="n"/>
      <c r="D77" s="6" t="n"/>
      <c r="E77" s="6" t="n"/>
      <c r="F77" s="6" t="n"/>
      <c r="G77" s="6" t="n"/>
      <c r="H77" s="6" t="n"/>
      <c r="I77" s="6" t="n"/>
      <c r="J77" s="6" t="n"/>
      <c r="K77" s="7" t="n"/>
      <c r="L77" s="7" t="n"/>
      <c r="M77" s="6" t="n"/>
      <c r="N77" s="6" t="n"/>
      <c r="O77" s="6" t="n"/>
      <c r="P77" s="6" t="n"/>
      <c r="Q77" s="6" t="n"/>
    </row>
    <row r="78" ht="21.75" customHeight="1" s="146">
      <c r="A78" s="10" t="n"/>
      <c r="B78" s="10" t="n"/>
      <c r="C78" s="10" t="n"/>
      <c r="D78" s="10" t="n"/>
      <c r="E78" s="10" t="n"/>
      <c r="F78" s="10" t="n"/>
      <c r="G78" s="10" t="n"/>
      <c r="H78" s="10" t="n"/>
      <c r="I78" s="10" t="n"/>
      <c r="J78" s="10" t="n"/>
      <c r="K78" s="11" t="n"/>
      <c r="L78" s="11" t="n"/>
      <c r="M78" s="10" t="n"/>
      <c r="N78" s="10" t="n"/>
      <c r="O78" s="10" t="n"/>
      <c r="P78" s="10" t="n"/>
      <c r="Q78" s="10" t="n"/>
    </row>
    <row r="79" ht="21.75" customHeight="1" s="146">
      <c r="A79" s="6" t="n"/>
      <c r="B79" s="6" t="n"/>
      <c r="C79" s="6" t="n"/>
      <c r="D79" s="6" t="n"/>
      <c r="E79" s="6" t="n"/>
      <c r="F79" s="6" t="n"/>
      <c r="G79" s="6" t="n"/>
      <c r="H79" s="6" t="n"/>
      <c r="I79" s="6" t="n"/>
      <c r="J79" s="6" t="n"/>
      <c r="K79" s="7" t="n"/>
      <c r="L79" s="7" t="n"/>
      <c r="M79" s="6" t="n"/>
      <c r="N79" s="6" t="n"/>
      <c r="O79" s="6" t="n"/>
      <c r="P79" s="6" t="n"/>
      <c r="Q79" s="6" t="n"/>
    </row>
    <row r="80" ht="21.75" customHeight="1" s="146">
      <c r="A80" s="10" t="n"/>
      <c r="B80" s="10" t="n"/>
      <c r="C80" s="10" t="n"/>
      <c r="D80" s="10" t="n"/>
      <c r="E80" s="10" t="n"/>
      <c r="F80" s="10" t="n"/>
      <c r="G80" s="10" t="n"/>
      <c r="H80" s="10" t="n"/>
      <c r="I80" s="10" t="n"/>
      <c r="J80" s="10" t="n"/>
      <c r="K80" s="11" t="n"/>
      <c r="L80" s="11" t="n"/>
      <c r="M80" s="10" t="n"/>
      <c r="N80" s="10" t="n"/>
      <c r="O80" s="10" t="n"/>
      <c r="P80" s="10" t="n"/>
      <c r="Q80" s="10" t="n"/>
    </row>
    <row r="81" ht="21.75" customHeight="1" s="146">
      <c r="A81" s="6" t="n"/>
      <c r="B81" s="6" t="n"/>
      <c r="C81" s="6" t="n"/>
      <c r="D81" s="6" t="n"/>
      <c r="E81" s="6" t="n"/>
      <c r="F81" s="6" t="n"/>
      <c r="G81" s="6" t="n"/>
      <c r="H81" s="6" t="n"/>
      <c r="I81" s="6" t="n"/>
      <c r="J81" s="6" t="n"/>
      <c r="K81" s="7" t="n"/>
      <c r="L81" s="7" t="n"/>
      <c r="M81" s="6" t="n"/>
      <c r="N81" s="6" t="n"/>
      <c r="O81" s="6" t="n"/>
      <c r="P81" s="6" t="n"/>
      <c r="Q81" s="6" t="n"/>
    </row>
    <row r="82" ht="21.75" customHeight="1" s="146">
      <c r="A82" s="10" t="n"/>
      <c r="B82" s="10" t="n"/>
      <c r="C82" s="10" t="n"/>
      <c r="D82" s="10" t="n"/>
      <c r="E82" s="10" t="n"/>
      <c r="F82" s="10" t="n"/>
      <c r="G82" s="10" t="n"/>
      <c r="H82" s="10" t="n"/>
      <c r="I82" s="10" t="n"/>
      <c r="J82" s="10" t="n"/>
      <c r="K82" s="11" t="n"/>
      <c r="L82" s="11" t="n"/>
      <c r="M82" s="10" t="n"/>
      <c r="N82" s="10" t="n"/>
      <c r="O82" s="10" t="n"/>
      <c r="P82" s="10" t="n"/>
      <c r="Q82" s="10" t="n"/>
    </row>
    <row r="83" ht="21.75" customHeight="1" s="146">
      <c r="A83" s="6" t="n"/>
      <c r="B83" s="6" t="n"/>
      <c r="C83" s="6" t="n"/>
      <c r="D83" s="6" t="n"/>
      <c r="E83" s="6" t="n"/>
      <c r="F83" s="6" t="n"/>
      <c r="G83" s="6" t="n"/>
      <c r="H83" s="6" t="n"/>
      <c r="I83" s="6" t="n"/>
      <c r="J83" s="6" t="n"/>
      <c r="K83" s="7" t="n"/>
      <c r="L83" s="7" t="n"/>
      <c r="M83" s="6" t="n"/>
      <c r="N83" s="6" t="n"/>
      <c r="O83" s="6" t="n"/>
      <c r="P83" s="6" t="n"/>
      <c r="Q83" s="6" t="n"/>
    </row>
    <row r="84" ht="21.75" customHeight="1" s="146">
      <c r="A84" s="10" t="n"/>
      <c r="B84" s="10" t="n"/>
      <c r="C84" s="10" t="n"/>
      <c r="D84" s="10" t="n"/>
      <c r="E84" s="10" t="n"/>
      <c r="F84" s="10" t="n"/>
      <c r="G84" s="10" t="n"/>
      <c r="H84" s="10" t="n"/>
      <c r="I84" s="10" t="n"/>
      <c r="J84" s="10" t="n"/>
      <c r="K84" s="11" t="n"/>
      <c r="L84" s="11" t="n"/>
      <c r="M84" s="10" t="n"/>
      <c r="N84" s="10" t="n"/>
      <c r="O84" s="10" t="n"/>
      <c r="P84" s="10" t="n"/>
      <c r="Q84" s="10" t="n"/>
    </row>
    <row r="85" ht="21.75" customHeight="1" s="146">
      <c r="A85" s="6" t="n"/>
      <c r="B85" s="6" t="n"/>
      <c r="C85" s="6" t="n"/>
      <c r="D85" s="6" t="n"/>
      <c r="E85" s="6" t="n"/>
      <c r="F85" s="6" t="n"/>
      <c r="G85" s="6" t="n"/>
      <c r="H85" s="6" t="n"/>
      <c r="I85" s="6" t="n"/>
      <c r="J85" s="6" t="n"/>
      <c r="K85" s="7" t="n"/>
      <c r="L85" s="7" t="n"/>
      <c r="M85" s="6" t="n"/>
      <c r="N85" s="6" t="n"/>
      <c r="O85" s="6" t="n"/>
      <c r="P85" s="6" t="n"/>
      <c r="Q85" s="6" t="n"/>
    </row>
    <row r="86" ht="21.75" customHeight="1" s="146">
      <c r="A86" s="10" t="n"/>
      <c r="B86" s="10" t="n"/>
      <c r="C86" s="10" t="n"/>
      <c r="D86" s="10" t="n"/>
      <c r="E86" s="10" t="n"/>
      <c r="F86" s="10" t="n"/>
      <c r="G86" s="10" t="n"/>
      <c r="H86" s="10" t="n"/>
      <c r="I86" s="10" t="n"/>
      <c r="J86" s="10" t="n"/>
      <c r="K86" s="11" t="n"/>
      <c r="L86" s="11" t="n"/>
      <c r="M86" s="10" t="n"/>
      <c r="N86" s="10" t="n"/>
      <c r="O86" s="10" t="n"/>
      <c r="P86" s="10" t="n"/>
      <c r="Q86" s="10" t="n"/>
    </row>
    <row r="87" ht="21.75" customHeight="1" s="146">
      <c r="A87" s="6" t="n"/>
      <c r="B87" s="6" t="n"/>
      <c r="C87" s="6" t="n"/>
      <c r="D87" s="6" t="n"/>
      <c r="E87" s="6" t="n"/>
      <c r="F87" s="6" t="n"/>
      <c r="G87" s="6" t="n"/>
      <c r="H87" s="6" t="n"/>
      <c r="I87" s="6" t="n"/>
      <c r="J87" s="6" t="n"/>
      <c r="K87" s="7" t="n"/>
      <c r="L87" s="7" t="n"/>
      <c r="M87" s="6" t="n"/>
      <c r="N87" s="6" t="n"/>
      <c r="O87" s="6" t="n"/>
      <c r="P87" s="6" t="n"/>
      <c r="Q87" s="6" t="n"/>
    </row>
    <row r="88" ht="21.75" customHeight="1" s="146">
      <c r="A88" s="10" t="n"/>
      <c r="B88" s="10" t="n"/>
      <c r="C88" s="10" t="n"/>
      <c r="D88" s="10" t="n"/>
      <c r="E88" s="10" t="n"/>
      <c r="F88" s="10" t="n"/>
      <c r="G88" s="10" t="n"/>
      <c r="H88" s="10" t="n"/>
      <c r="I88" s="10" t="n"/>
      <c r="J88" s="10" t="n"/>
      <c r="K88" s="11" t="n"/>
      <c r="L88" s="11" t="n"/>
      <c r="M88" s="10" t="n"/>
      <c r="N88" s="10" t="n"/>
      <c r="O88" s="10" t="n"/>
      <c r="P88" s="10" t="n"/>
      <c r="Q88" s="10" t="n"/>
    </row>
    <row r="89" ht="21.75" customHeight="1" s="146">
      <c r="A89" s="6" t="n"/>
      <c r="B89" s="6" t="n"/>
      <c r="C89" s="6" t="n"/>
      <c r="D89" s="6" t="n"/>
      <c r="E89" s="6" t="n"/>
      <c r="F89" s="6" t="n"/>
      <c r="G89" s="6" t="n"/>
      <c r="H89" s="6" t="n"/>
      <c r="I89" s="6" t="n"/>
      <c r="J89" s="6" t="n"/>
      <c r="K89" s="7" t="n"/>
      <c r="L89" s="7" t="n"/>
      <c r="M89" s="6" t="n"/>
      <c r="N89" s="6" t="n"/>
      <c r="O89" s="6" t="n"/>
      <c r="P89" s="6" t="n"/>
      <c r="Q89" s="6" t="n"/>
    </row>
    <row r="90" ht="21.75" customHeight="1" s="146">
      <c r="A90" s="10" t="n"/>
      <c r="B90" s="10" t="n"/>
      <c r="C90" s="10" t="n"/>
      <c r="D90" s="10" t="n"/>
      <c r="E90" s="10" t="n"/>
      <c r="F90" s="10" t="n"/>
      <c r="G90" s="10" t="n"/>
      <c r="H90" s="10" t="n"/>
      <c r="I90" s="10" t="n"/>
      <c r="J90" s="10" t="n"/>
      <c r="K90" s="11" t="n"/>
      <c r="L90" s="11" t="n"/>
      <c r="M90" s="10" t="n"/>
      <c r="N90" s="10" t="n"/>
      <c r="O90" s="10" t="n"/>
      <c r="P90" s="10" t="n"/>
      <c r="Q90" s="10" t="n"/>
    </row>
    <row r="91" ht="21.75" customHeight="1" s="146">
      <c r="A91" s="6" t="n"/>
      <c r="B91" s="6" t="n"/>
      <c r="C91" s="6" t="n"/>
      <c r="D91" s="6" t="n"/>
      <c r="E91" s="6" t="n"/>
      <c r="F91" s="6" t="n"/>
      <c r="G91" s="6" t="n"/>
      <c r="H91" s="6" t="n"/>
      <c r="I91" s="6" t="n"/>
      <c r="J91" s="6" t="n"/>
      <c r="K91" s="7" t="n"/>
      <c r="L91" s="7" t="n"/>
      <c r="M91" s="6" t="n"/>
      <c r="N91" s="6" t="n"/>
      <c r="O91" s="6" t="n"/>
      <c r="P91" s="6" t="n"/>
      <c r="Q91" s="6" t="n"/>
    </row>
    <row r="92" ht="21.75" customHeight="1" s="146">
      <c r="A92" s="10" t="n"/>
      <c r="B92" s="10" t="n"/>
      <c r="C92" s="10" t="n"/>
      <c r="D92" s="10" t="n"/>
      <c r="E92" s="10" t="n"/>
      <c r="F92" s="10" t="n"/>
      <c r="G92" s="10" t="n"/>
      <c r="H92" s="10" t="n"/>
      <c r="I92" s="10" t="n"/>
      <c r="J92" s="10" t="n"/>
      <c r="K92" s="11" t="n"/>
      <c r="L92" s="11" t="n"/>
      <c r="M92" s="10" t="n"/>
      <c r="N92" s="10" t="n"/>
      <c r="O92" s="10" t="n"/>
      <c r="P92" s="10" t="n"/>
      <c r="Q92" s="10" t="n"/>
    </row>
    <row r="93" ht="21.75" customHeight="1" s="146">
      <c r="A93" s="6" t="n"/>
      <c r="B93" s="6" t="n"/>
      <c r="C93" s="6" t="n"/>
      <c r="D93" s="6" t="n"/>
      <c r="E93" s="6" t="n"/>
      <c r="F93" s="6" t="n"/>
      <c r="G93" s="6" t="n"/>
      <c r="H93" s="6" t="n"/>
      <c r="I93" s="6" t="n"/>
      <c r="J93" s="6" t="n"/>
      <c r="K93" s="7" t="n"/>
      <c r="L93" s="7" t="n"/>
      <c r="M93" s="6" t="n"/>
      <c r="N93" s="6" t="n"/>
      <c r="O93" s="6" t="n"/>
      <c r="P93" s="6" t="n"/>
      <c r="Q93" s="6" t="n"/>
    </row>
    <row r="94" ht="21.75" customHeight="1" s="146">
      <c r="A94" s="10" t="n"/>
      <c r="B94" s="10" t="n"/>
      <c r="C94" s="10" t="n"/>
      <c r="D94" s="10" t="n"/>
      <c r="E94" s="10" t="n"/>
      <c r="F94" s="10" t="n"/>
      <c r="G94" s="10" t="n"/>
      <c r="H94" s="10" t="n"/>
      <c r="I94" s="10" t="n"/>
      <c r="J94" s="10" t="n"/>
      <c r="K94" s="11" t="n"/>
      <c r="L94" s="11" t="n"/>
      <c r="M94" s="10" t="n"/>
      <c r="N94" s="10" t="n"/>
      <c r="O94" s="10" t="n"/>
      <c r="P94" s="10" t="n"/>
      <c r="Q94" s="10" t="n"/>
    </row>
    <row r="95" ht="21.75" customHeight="1" s="146">
      <c r="A95" s="6" t="n"/>
      <c r="B95" s="6" t="n"/>
      <c r="C95" s="6" t="n"/>
      <c r="D95" s="6" t="n"/>
      <c r="E95" s="6" t="n"/>
      <c r="F95" s="6" t="n"/>
      <c r="G95" s="6" t="n"/>
      <c r="H95" s="6" t="n"/>
      <c r="I95" s="6" t="n"/>
      <c r="J95" s="6" t="n"/>
      <c r="K95" s="7" t="n"/>
      <c r="L95" s="7" t="n"/>
      <c r="M95" s="6" t="n"/>
      <c r="N95" s="6" t="n"/>
      <c r="O95" s="6" t="n"/>
      <c r="P95" s="6" t="n"/>
      <c r="Q95" s="6" t="n"/>
    </row>
    <row r="96" ht="21.75" customHeight="1" s="146">
      <c r="A96" s="10" t="n"/>
      <c r="B96" s="10" t="n"/>
      <c r="C96" s="10" t="n"/>
      <c r="D96" s="10" t="n"/>
      <c r="E96" s="10" t="n"/>
      <c r="F96" s="10" t="n"/>
      <c r="G96" s="10" t="n"/>
      <c r="H96" s="10" t="n"/>
      <c r="I96" s="10" t="n"/>
      <c r="J96" s="10" t="n"/>
      <c r="K96" s="11" t="n"/>
      <c r="L96" s="11" t="n"/>
      <c r="M96" s="10" t="n"/>
      <c r="N96" s="10" t="n"/>
      <c r="O96" s="10" t="n"/>
      <c r="P96" s="10" t="n"/>
      <c r="Q96" s="10" t="n"/>
    </row>
    <row r="97" ht="21.75" customHeight="1" s="146">
      <c r="A97" s="6" t="n"/>
      <c r="B97" s="6" t="n"/>
      <c r="C97" s="6" t="n"/>
      <c r="D97" s="6" t="n"/>
      <c r="E97" s="6" t="n"/>
      <c r="F97" s="6" t="n"/>
      <c r="G97" s="6" t="n"/>
      <c r="H97" s="6" t="n"/>
      <c r="I97" s="6" t="n"/>
      <c r="J97" s="6" t="n"/>
      <c r="K97" s="7" t="n"/>
      <c r="L97" s="7" t="n"/>
      <c r="M97" s="6" t="n"/>
      <c r="N97" s="6" t="n"/>
      <c r="O97" s="6" t="n"/>
      <c r="P97" s="6" t="n"/>
      <c r="Q97" s="6" t="n"/>
    </row>
    <row r="98" ht="21.75" customHeight="1" s="146">
      <c r="A98" s="10" t="n"/>
      <c r="B98" s="10" t="n"/>
      <c r="C98" s="10" t="n"/>
      <c r="D98" s="10" t="n"/>
      <c r="E98" s="10" t="n"/>
      <c r="F98" s="10" t="n"/>
      <c r="G98" s="10" t="n"/>
      <c r="H98" s="10" t="n"/>
      <c r="I98" s="10" t="n"/>
      <c r="J98" s="10" t="n"/>
      <c r="K98" s="11" t="n"/>
      <c r="L98" s="11" t="n"/>
      <c r="M98" s="10" t="n"/>
      <c r="N98" s="10" t="n"/>
      <c r="O98" s="10" t="n"/>
      <c r="P98" s="10" t="n"/>
      <c r="Q98" s="10" t="n"/>
    </row>
    <row r="99" ht="21.75" customHeight="1" s="146">
      <c r="A99" s="6" t="n"/>
      <c r="B99" s="6" t="n"/>
      <c r="C99" s="6" t="n"/>
      <c r="D99" s="6" t="n"/>
      <c r="E99" s="6" t="n"/>
      <c r="F99" s="6" t="n"/>
      <c r="G99" s="6" t="n"/>
      <c r="H99" s="6" t="n"/>
      <c r="I99" s="6" t="n"/>
      <c r="J99" s="6" t="n"/>
      <c r="K99" s="7" t="n"/>
      <c r="L99" s="7" t="n"/>
      <c r="M99" s="6" t="n"/>
      <c r="N99" s="6" t="n"/>
      <c r="O99" s="6" t="n"/>
      <c r="P99" s="6" t="n"/>
      <c r="Q99" s="6" t="n"/>
    </row>
    <row r="100" ht="21.75" customHeight="1" s="146">
      <c r="A100" s="10" t="n"/>
      <c r="B100" s="10" t="n"/>
      <c r="C100" s="10" t="n"/>
      <c r="D100" s="10" t="n"/>
      <c r="E100" s="10" t="n"/>
      <c r="F100" s="10" t="n"/>
      <c r="G100" s="10" t="n"/>
      <c r="H100" s="10" t="n"/>
      <c r="I100" s="10" t="n"/>
      <c r="J100" s="10" t="n"/>
      <c r="K100" s="11" t="n"/>
      <c r="L100" s="11" t="n"/>
      <c r="M100" s="10" t="n"/>
      <c r="N100" s="10" t="n"/>
      <c r="O100" s="10" t="n"/>
      <c r="P100" s="10" t="n"/>
      <c r="Q100" s="10" t="n"/>
    </row>
    <row r="101" ht="21.75" customHeight="1" s="146">
      <c r="A101" s="6" t="n"/>
      <c r="B101" s="6" t="n"/>
      <c r="C101" s="6" t="n"/>
      <c r="D101" s="6" t="n"/>
      <c r="E101" s="6" t="n"/>
      <c r="F101" s="6" t="n"/>
      <c r="G101" s="6" t="n"/>
      <c r="H101" s="6" t="n"/>
      <c r="I101" s="6" t="n"/>
      <c r="J101" s="6" t="n"/>
      <c r="K101" s="7" t="n"/>
      <c r="L101" s="7" t="n"/>
      <c r="M101" s="6" t="n"/>
      <c r="N101" s="6" t="n"/>
      <c r="O101" s="6" t="n"/>
      <c r="P101" s="6" t="n"/>
      <c r="Q101" s="6" t="n"/>
    </row>
    <row r="102" ht="21.75" customHeight="1" s="146">
      <c r="A102" s="10" t="n"/>
      <c r="B102" s="10" t="n"/>
      <c r="C102" s="10" t="n"/>
      <c r="D102" s="10" t="n"/>
      <c r="E102" s="10" t="n"/>
      <c r="F102" s="10" t="n"/>
      <c r="G102" s="10" t="n"/>
      <c r="H102" s="10" t="n"/>
      <c r="I102" s="10" t="n"/>
      <c r="J102" s="10" t="n"/>
      <c r="K102" s="11" t="n"/>
      <c r="L102" s="11" t="n"/>
      <c r="M102" s="10" t="n"/>
      <c r="N102" s="10" t="n"/>
      <c r="O102" s="10" t="n"/>
      <c r="P102" s="10" t="n"/>
      <c r="Q102" s="10" t="n"/>
    </row>
    <row r="103" ht="21.75" customHeight="1" s="146">
      <c r="A103" s="6" t="n"/>
      <c r="B103" s="6" t="n"/>
      <c r="C103" s="6" t="n"/>
      <c r="D103" s="6" t="n"/>
      <c r="E103" s="6" t="n"/>
      <c r="F103" s="6" t="n"/>
      <c r="G103" s="6" t="n"/>
      <c r="H103" s="6" t="n"/>
      <c r="I103" s="6" t="n"/>
      <c r="J103" s="6" t="n"/>
      <c r="K103" s="7" t="n"/>
      <c r="L103" s="7" t="n"/>
      <c r="M103" s="6" t="n"/>
      <c r="N103" s="6" t="n"/>
      <c r="O103" s="6" t="n"/>
      <c r="P103" s="6" t="n"/>
      <c r="Q103" s="6" t="n"/>
    </row>
    <row r="104" ht="21.75" customHeight="1" s="146">
      <c r="A104" s="10" t="n"/>
      <c r="B104" s="10" t="n"/>
      <c r="C104" s="10" t="n"/>
      <c r="D104" s="10" t="n"/>
      <c r="E104" s="10" t="n"/>
      <c r="F104" s="10" t="n"/>
      <c r="G104" s="10" t="n"/>
      <c r="H104" s="10" t="n"/>
      <c r="I104" s="10" t="n"/>
      <c r="J104" s="10" t="n"/>
      <c r="K104" s="11" t="n"/>
      <c r="L104" s="11" t="n"/>
      <c r="M104" s="10" t="n"/>
      <c r="N104" s="10" t="n"/>
      <c r="O104" s="10" t="n"/>
      <c r="P104" s="10" t="n"/>
      <c r="Q104" s="10" t="n"/>
    </row>
    <row r="105" ht="21.75" customHeight="1" s="146">
      <c r="A105" s="6" t="n"/>
      <c r="B105" s="6" t="n"/>
      <c r="C105" s="6" t="n"/>
      <c r="D105" s="6" t="n"/>
      <c r="E105" s="6" t="n"/>
      <c r="F105" s="6" t="n"/>
      <c r="G105" s="6" t="n"/>
      <c r="H105" s="6" t="n"/>
      <c r="I105" s="6" t="n"/>
      <c r="J105" s="6" t="n"/>
      <c r="K105" s="7" t="n"/>
      <c r="L105" s="7" t="n"/>
      <c r="M105" s="6" t="n"/>
      <c r="N105" s="6" t="n"/>
      <c r="O105" s="6" t="n"/>
      <c r="P105" s="6" t="n"/>
      <c r="Q105" s="6" t="n"/>
    </row>
    <row r="106" ht="21.75" customHeight="1" s="146">
      <c r="A106" s="10" t="n"/>
      <c r="B106" s="10" t="n"/>
      <c r="C106" s="10" t="n"/>
      <c r="D106" s="10" t="n"/>
      <c r="E106" s="10" t="n"/>
      <c r="F106" s="10" t="n"/>
      <c r="G106" s="10" t="n"/>
      <c r="H106" s="10" t="n"/>
      <c r="I106" s="10" t="n"/>
      <c r="J106" s="10" t="n"/>
      <c r="K106" s="11" t="n"/>
      <c r="L106" s="11" t="n"/>
      <c r="M106" s="10" t="n"/>
      <c r="N106" s="10" t="n"/>
      <c r="O106" s="10" t="n"/>
      <c r="P106" s="10" t="n"/>
      <c r="Q106" s="10" t="n"/>
    </row>
    <row r="107" ht="21.75" customHeight="1" s="146">
      <c r="A107" s="6" t="n"/>
      <c r="B107" s="6" t="n"/>
      <c r="C107" s="6" t="n"/>
      <c r="D107" s="6" t="n"/>
      <c r="E107" s="6" t="n"/>
      <c r="F107" s="6" t="n"/>
      <c r="G107" s="6" t="n"/>
      <c r="H107" s="6" t="n"/>
      <c r="I107" s="6" t="n"/>
      <c r="J107" s="6" t="n"/>
      <c r="K107" s="7" t="n"/>
      <c r="L107" s="7" t="n"/>
      <c r="M107" s="6" t="n"/>
      <c r="N107" s="6" t="n"/>
      <c r="O107" s="6" t="n"/>
      <c r="P107" s="6" t="n"/>
      <c r="Q107" s="6" t="n"/>
    </row>
    <row r="108" ht="21.75" customHeight="1" s="146">
      <c r="A108" s="10" t="n"/>
      <c r="B108" s="10" t="n"/>
      <c r="C108" s="10" t="n"/>
      <c r="D108" s="10" t="n"/>
      <c r="E108" s="10" t="n"/>
      <c r="F108" s="10" t="n"/>
      <c r="G108" s="10" t="n"/>
      <c r="H108" s="10" t="n"/>
      <c r="I108" s="10" t="n"/>
      <c r="J108" s="10" t="n"/>
      <c r="K108" s="11" t="n"/>
      <c r="L108" s="11" t="n"/>
      <c r="M108" s="10" t="n"/>
      <c r="N108" s="10" t="n"/>
      <c r="O108" s="10" t="n"/>
      <c r="P108" s="10" t="n"/>
      <c r="Q108" s="10" t="n"/>
    </row>
    <row r="109" ht="21.75" customHeight="1" s="146">
      <c r="A109" s="6" t="n"/>
      <c r="B109" s="6" t="n"/>
      <c r="C109" s="6" t="n"/>
      <c r="D109" s="6" t="n"/>
      <c r="E109" s="6" t="n"/>
      <c r="F109" s="6" t="n"/>
      <c r="G109" s="6" t="n"/>
      <c r="H109" s="6" t="n"/>
      <c r="I109" s="6" t="n"/>
      <c r="J109" s="6" t="n"/>
      <c r="K109" s="7" t="n"/>
      <c r="L109" s="7" t="n"/>
      <c r="M109" s="6" t="n"/>
      <c r="N109" s="6" t="n"/>
      <c r="O109" s="6" t="n"/>
      <c r="P109" s="6" t="n"/>
      <c r="Q109" s="6" t="n"/>
    </row>
    <row r="110" ht="21.75" customHeight="1" s="146">
      <c r="A110" s="10" t="n"/>
      <c r="B110" s="10" t="n"/>
      <c r="C110" s="10" t="n"/>
      <c r="D110" s="10" t="n"/>
      <c r="E110" s="10" t="n"/>
      <c r="F110" s="10" t="n"/>
      <c r="G110" s="10" t="n"/>
      <c r="H110" s="10" t="n"/>
      <c r="I110" s="10" t="n"/>
      <c r="J110" s="10" t="n"/>
      <c r="K110" s="11" t="n"/>
      <c r="L110" s="11" t="n"/>
      <c r="M110" s="10" t="n"/>
      <c r="N110" s="10" t="n"/>
      <c r="O110" s="10" t="n"/>
      <c r="P110" s="10" t="n"/>
      <c r="Q110" s="10" t="n"/>
    </row>
    <row r="111" ht="21.75" customHeight="1" s="146">
      <c r="A111" s="6" t="n"/>
      <c r="B111" s="6" t="n"/>
      <c r="C111" s="6" t="n"/>
      <c r="D111" s="6" t="n"/>
      <c r="E111" s="6" t="n"/>
      <c r="F111" s="6" t="n"/>
      <c r="G111" s="6" t="n"/>
      <c r="H111" s="6" t="n"/>
      <c r="I111" s="6" t="n"/>
      <c r="J111" s="6" t="n"/>
      <c r="K111" s="7" t="n"/>
      <c r="L111" s="7" t="n"/>
      <c r="M111" s="6" t="n"/>
      <c r="N111" s="6" t="n"/>
      <c r="O111" s="6" t="n"/>
      <c r="P111" s="6" t="n"/>
      <c r="Q111" s="6" t="n"/>
    </row>
    <row r="112" ht="21.75" customHeight="1" s="146">
      <c r="A112" s="10" t="n"/>
      <c r="B112" s="10" t="n"/>
      <c r="C112" s="10" t="n"/>
      <c r="D112" s="10" t="n"/>
      <c r="E112" s="10" t="n"/>
      <c r="F112" s="10" t="n"/>
      <c r="G112" s="10" t="n"/>
      <c r="H112" s="10" t="n"/>
      <c r="I112" s="10" t="n"/>
      <c r="J112" s="10" t="n"/>
      <c r="K112" s="11" t="n"/>
      <c r="L112" s="11" t="n"/>
      <c r="M112" s="10" t="n"/>
      <c r="N112" s="10" t="n"/>
      <c r="O112" s="10" t="n"/>
      <c r="P112" s="10" t="n"/>
      <c r="Q112" s="10" t="n"/>
    </row>
    <row r="113" ht="21.75" customHeight="1" s="146">
      <c r="A113" s="6" t="n"/>
      <c r="B113" s="6" t="n"/>
      <c r="C113" s="6" t="n"/>
      <c r="D113" s="6" t="n"/>
      <c r="E113" s="6" t="n"/>
      <c r="F113" s="6" t="n"/>
      <c r="G113" s="6" t="n"/>
      <c r="H113" s="6" t="n"/>
      <c r="I113" s="6" t="n"/>
      <c r="J113" s="6" t="n"/>
      <c r="K113" s="7" t="n"/>
      <c r="L113" s="7" t="n"/>
      <c r="M113" s="6" t="n"/>
      <c r="N113" s="6" t="n"/>
      <c r="O113" s="6" t="n"/>
      <c r="P113" s="6" t="n"/>
      <c r="Q113" s="6" t="n"/>
    </row>
    <row r="114" ht="21.75" customHeight="1" s="146">
      <c r="A114" s="10" t="n"/>
      <c r="B114" s="10" t="n"/>
      <c r="C114" s="10" t="n"/>
      <c r="D114" s="10" t="n"/>
      <c r="E114" s="10" t="n"/>
      <c r="F114" s="10" t="n"/>
      <c r="G114" s="10" t="n"/>
      <c r="H114" s="10" t="n"/>
      <c r="I114" s="10" t="n"/>
      <c r="J114" s="10" t="n"/>
      <c r="K114" s="11" t="n"/>
      <c r="L114" s="11" t="n"/>
      <c r="M114" s="10" t="n"/>
      <c r="N114" s="10" t="n"/>
      <c r="O114" s="10" t="n"/>
      <c r="P114" s="10" t="n"/>
      <c r="Q114" s="10" t="n"/>
    </row>
    <row r="115" ht="21.75" customHeight="1" s="146">
      <c r="A115" s="6" t="n"/>
      <c r="B115" s="6" t="n"/>
      <c r="C115" s="6" t="n"/>
      <c r="D115" s="6" t="n"/>
      <c r="E115" s="6" t="n"/>
      <c r="F115" s="6" t="n"/>
      <c r="G115" s="6" t="n"/>
      <c r="H115" s="6" t="n"/>
      <c r="I115" s="6" t="n"/>
      <c r="J115" s="6" t="n"/>
      <c r="K115" s="7" t="n"/>
      <c r="L115" s="7" t="n"/>
      <c r="M115" s="6" t="n"/>
      <c r="N115" s="6" t="n"/>
      <c r="O115" s="6" t="n"/>
      <c r="P115" s="6" t="n"/>
      <c r="Q115" s="6" t="n"/>
    </row>
    <row r="116" ht="21.75" customHeight="1" s="146">
      <c r="A116" s="10" t="n"/>
      <c r="B116" s="10" t="n"/>
      <c r="C116" s="10" t="n"/>
      <c r="D116" s="10" t="n"/>
      <c r="E116" s="10" t="n"/>
      <c r="F116" s="10" t="n"/>
      <c r="G116" s="10" t="n"/>
      <c r="H116" s="10" t="n"/>
      <c r="I116" s="10" t="n"/>
      <c r="J116" s="10" t="n"/>
      <c r="K116" s="11" t="n"/>
      <c r="L116" s="11" t="n"/>
      <c r="M116" s="10" t="n"/>
      <c r="N116" s="10" t="n"/>
      <c r="O116" s="10" t="n"/>
      <c r="P116" s="10" t="n"/>
      <c r="Q116" s="10" t="n"/>
    </row>
    <row r="117" ht="21.75" customHeight="1" s="146">
      <c r="A117" s="6" t="n"/>
      <c r="B117" s="6" t="n"/>
      <c r="C117" s="6" t="n"/>
      <c r="D117" s="6" t="n"/>
      <c r="E117" s="6" t="n"/>
      <c r="F117" s="6" t="n"/>
      <c r="G117" s="6" t="n"/>
      <c r="H117" s="6" t="n"/>
      <c r="I117" s="6" t="n"/>
      <c r="J117" s="6" t="n"/>
      <c r="K117" s="7" t="n"/>
      <c r="L117" s="7" t="n"/>
      <c r="M117" s="6" t="n"/>
      <c r="N117" s="6" t="n"/>
      <c r="O117" s="6" t="n"/>
      <c r="P117" s="6" t="n"/>
      <c r="Q117" s="6" t="n"/>
    </row>
    <row r="118" ht="21.75" customHeight="1" s="146">
      <c r="A118" s="10" t="n"/>
      <c r="B118" s="10" t="n"/>
      <c r="C118" s="10" t="n"/>
      <c r="D118" s="10" t="n"/>
      <c r="E118" s="10" t="n"/>
      <c r="F118" s="10" t="n"/>
      <c r="G118" s="10" t="n"/>
      <c r="H118" s="10" t="n"/>
      <c r="I118" s="10" t="n"/>
      <c r="J118" s="10" t="n"/>
      <c r="K118" s="11" t="n"/>
      <c r="L118" s="11" t="n"/>
      <c r="M118" s="10" t="n"/>
      <c r="N118" s="10" t="n"/>
      <c r="O118" s="10" t="n"/>
      <c r="P118" s="10" t="n"/>
      <c r="Q118" s="10" t="n"/>
    </row>
    <row r="119" ht="21.75" customHeight="1" s="146">
      <c r="A119" s="6" t="n"/>
      <c r="B119" s="6" t="n"/>
      <c r="C119" s="6" t="n"/>
      <c r="D119" s="6" t="n"/>
      <c r="E119" s="6" t="n"/>
      <c r="F119" s="6" t="n"/>
      <c r="G119" s="6" t="n"/>
      <c r="H119" s="6" t="n"/>
      <c r="I119" s="6" t="n"/>
      <c r="J119" s="6" t="n"/>
      <c r="K119" s="7" t="n"/>
      <c r="L119" s="7" t="n"/>
      <c r="M119" s="6" t="n"/>
      <c r="N119" s="6" t="n"/>
      <c r="O119" s="6" t="n"/>
      <c r="P119" s="6" t="n"/>
      <c r="Q119" s="6" t="n"/>
    </row>
    <row r="120" ht="21.75" customHeight="1" s="146">
      <c r="A120" s="10" t="n"/>
      <c r="B120" s="10" t="n"/>
      <c r="C120" s="10" t="n"/>
      <c r="D120" s="10" t="n"/>
      <c r="E120" s="10" t="n"/>
      <c r="F120" s="10" t="n"/>
      <c r="G120" s="10" t="n"/>
      <c r="H120" s="10" t="n"/>
      <c r="I120" s="10" t="n"/>
      <c r="J120" s="10" t="n"/>
      <c r="K120" s="11" t="n"/>
      <c r="L120" s="11" t="n"/>
      <c r="M120" s="10" t="n"/>
      <c r="N120" s="10" t="n"/>
      <c r="O120" s="10" t="n"/>
      <c r="P120" s="10" t="n"/>
      <c r="Q120" s="10" t="n"/>
    </row>
    <row r="121" ht="21.75" customHeight="1" s="146">
      <c r="A121" s="6" t="n"/>
      <c r="B121" s="6" t="n"/>
      <c r="C121" s="6" t="n"/>
      <c r="D121" s="6" t="n"/>
      <c r="E121" s="6" t="n"/>
      <c r="F121" s="6" t="n"/>
      <c r="G121" s="6" t="n"/>
      <c r="H121" s="6" t="n"/>
      <c r="I121" s="6" t="n"/>
      <c r="J121" s="6" t="n"/>
      <c r="K121" s="7" t="n"/>
      <c r="L121" s="7" t="n"/>
      <c r="M121" s="6" t="n"/>
      <c r="N121" s="6" t="n"/>
      <c r="O121" s="6" t="n"/>
      <c r="P121" s="6" t="n"/>
      <c r="Q121" s="6" t="n"/>
    </row>
    <row r="122" ht="21.75" customHeight="1" s="146">
      <c r="A122" s="10" t="n"/>
      <c r="B122" s="10" t="n"/>
      <c r="C122" s="10" t="n"/>
      <c r="D122" s="10" t="n"/>
      <c r="E122" s="10" t="n"/>
      <c r="F122" s="10" t="n"/>
      <c r="G122" s="10" t="n"/>
      <c r="H122" s="10" t="n"/>
      <c r="I122" s="10" t="n"/>
      <c r="J122" s="10" t="n"/>
      <c r="K122" s="11" t="n"/>
      <c r="L122" s="11" t="n"/>
      <c r="M122" s="10" t="n"/>
      <c r="N122" s="10" t="n"/>
      <c r="O122" s="10" t="n"/>
      <c r="P122" s="10" t="n"/>
      <c r="Q122" s="10" t="n"/>
    </row>
    <row r="123" ht="21.75" customHeight="1" s="146">
      <c r="A123" s="6" t="n"/>
      <c r="B123" s="6" t="n"/>
      <c r="C123" s="6" t="n"/>
      <c r="D123" s="6" t="n"/>
      <c r="E123" s="6" t="n"/>
      <c r="F123" s="6" t="n"/>
      <c r="G123" s="6" t="n"/>
      <c r="H123" s="6" t="n"/>
      <c r="I123" s="6" t="n"/>
      <c r="J123" s="6" t="n"/>
      <c r="K123" s="7" t="n"/>
      <c r="L123" s="7" t="n"/>
      <c r="M123" s="6" t="n"/>
      <c r="N123" s="6" t="n"/>
      <c r="O123" s="6" t="n"/>
      <c r="P123" s="6" t="n"/>
      <c r="Q123" s="6" t="n"/>
    </row>
    <row r="124" ht="21.75" customHeight="1" s="146">
      <c r="A124" s="10" t="n"/>
      <c r="B124" s="10" t="n"/>
      <c r="C124" s="10" t="n"/>
      <c r="D124" s="10" t="n"/>
      <c r="E124" s="10" t="n"/>
      <c r="F124" s="10" t="n"/>
      <c r="G124" s="10" t="n"/>
      <c r="H124" s="10" t="n"/>
      <c r="I124" s="10" t="n"/>
      <c r="J124" s="10" t="n"/>
      <c r="K124" s="11" t="n"/>
      <c r="L124" s="11" t="n"/>
      <c r="M124" s="10" t="n"/>
      <c r="N124" s="10" t="n"/>
      <c r="O124" s="10" t="n"/>
      <c r="P124" s="10" t="n"/>
      <c r="Q124" s="10" t="n"/>
    </row>
    <row r="125" ht="21.75" customHeight="1" s="146">
      <c r="A125" s="6" t="n"/>
      <c r="B125" s="6" t="n"/>
      <c r="C125" s="6" t="n"/>
      <c r="D125" s="6" t="n"/>
      <c r="E125" s="6" t="n"/>
      <c r="F125" s="6" t="n"/>
      <c r="G125" s="6" t="n"/>
      <c r="H125" s="6" t="n"/>
      <c r="I125" s="6" t="n"/>
      <c r="J125" s="6" t="n"/>
      <c r="K125" s="7" t="n"/>
      <c r="L125" s="7" t="n"/>
      <c r="M125" s="6" t="n"/>
      <c r="N125" s="6" t="n"/>
      <c r="O125" s="6" t="n"/>
      <c r="P125" s="6" t="n"/>
      <c r="Q125" s="6" t="n"/>
    </row>
    <row r="126" ht="21.75" customHeight="1" s="146">
      <c r="A126" s="10" t="n"/>
      <c r="B126" s="10" t="n"/>
      <c r="C126" s="10" t="n"/>
      <c r="D126" s="10" t="n"/>
      <c r="E126" s="10" t="n"/>
      <c r="F126" s="10" t="n"/>
      <c r="G126" s="10" t="n"/>
      <c r="H126" s="10" t="n"/>
      <c r="I126" s="10" t="n"/>
      <c r="J126" s="10" t="n"/>
      <c r="K126" s="11" t="n"/>
      <c r="L126" s="11" t="n"/>
      <c r="M126" s="10" t="n"/>
      <c r="N126" s="10" t="n"/>
      <c r="O126" s="10" t="n"/>
      <c r="P126" s="10" t="n"/>
      <c r="Q126" s="10" t="n"/>
    </row>
    <row r="127" ht="21.75" customHeight="1" s="146">
      <c r="A127" s="6" t="n"/>
      <c r="B127" s="6" t="n"/>
      <c r="C127" s="6" t="n"/>
      <c r="D127" s="6" t="n"/>
      <c r="E127" s="6" t="n"/>
      <c r="F127" s="6" t="n"/>
      <c r="G127" s="6" t="n"/>
      <c r="H127" s="6" t="n"/>
      <c r="I127" s="6" t="n"/>
      <c r="J127" s="6" t="n"/>
      <c r="K127" s="7" t="n"/>
      <c r="L127" s="7" t="n"/>
      <c r="M127" s="6" t="n"/>
      <c r="N127" s="6" t="n"/>
      <c r="O127" s="6" t="n"/>
      <c r="P127" s="6" t="n"/>
      <c r="Q127" s="6" t="n"/>
    </row>
    <row r="128" ht="21.75" customHeight="1" s="146">
      <c r="A128" s="10" t="n"/>
      <c r="B128" s="10" t="n"/>
      <c r="C128" s="10" t="n"/>
      <c r="D128" s="10" t="n"/>
      <c r="E128" s="10" t="n"/>
      <c r="F128" s="10" t="n"/>
      <c r="G128" s="10" t="n"/>
      <c r="H128" s="10" t="n"/>
      <c r="I128" s="10" t="n"/>
      <c r="J128" s="10" t="n"/>
      <c r="K128" s="11" t="n"/>
      <c r="L128" s="11" t="n"/>
      <c r="M128" s="10" t="n"/>
      <c r="N128" s="10" t="n"/>
      <c r="O128" s="10" t="n"/>
      <c r="P128" s="10" t="n"/>
      <c r="Q128" s="10" t="n"/>
    </row>
    <row r="129" ht="21.75" customHeight="1" s="146">
      <c r="A129" s="6" t="n"/>
      <c r="B129" s="6" t="n"/>
      <c r="C129" s="6" t="n"/>
      <c r="D129" s="6" t="n"/>
      <c r="E129" s="6" t="n"/>
      <c r="F129" s="6" t="n"/>
      <c r="G129" s="6" t="n"/>
      <c r="H129" s="6" t="n"/>
      <c r="I129" s="6" t="n"/>
      <c r="J129" s="6" t="n"/>
      <c r="K129" s="7" t="n"/>
      <c r="L129" s="7" t="n"/>
      <c r="M129" s="6" t="n"/>
      <c r="N129" s="6" t="n"/>
      <c r="O129" s="6" t="n"/>
      <c r="P129" s="6" t="n"/>
      <c r="Q129" s="6" t="n"/>
    </row>
    <row r="130" ht="21.75" customHeight="1" s="146">
      <c r="A130" s="10" t="n"/>
      <c r="B130" s="10" t="n"/>
      <c r="C130" s="10" t="n"/>
      <c r="D130" s="10" t="n"/>
      <c r="E130" s="10" t="n"/>
      <c r="F130" s="10" t="n"/>
      <c r="G130" s="10" t="n"/>
      <c r="H130" s="10" t="n"/>
      <c r="I130" s="10" t="n"/>
      <c r="J130" s="10" t="n"/>
      <c r="K130" s="11" t="n"/>
      <c r="L130" s="11" t="n"/>
      <c r="M130" s="10" t="n"/>
      <c r="N130" s="10" t="n"/>
      <c r="O130" s="10" t="n"/>
      <c r="P130" s="10" t="n"/>
      <c r="Q130" s="10" t="n"/>
    </row>
    <row r="131" ht="21.75" customHeight="1" s="146">
      <c r="A131" s="6" t="n"/>
      <c r="B131" s="6" t="n"/>
      <c r="C131" s="6" t="n"/>
      <c r="D131" s="6" t="n"/>
      <c r="E131" s="6" t="n"/>
      <c r="F131" s="6" t="n"/>
      <c r="G131" s="6" t="n"/>
      <c r="H131" s="6" t="n"/>
      <c r="I131" s="6" t="n"/>
      <c r="J131" s="6" t="n"/>
      <c r="K131" s="7" t="n"/>
      <c r="L131" s="7" t="n"/>
      <c r="M131" s="6" t="n"/>
      <c r="N131" s="6" t="n"/>
      <c r="O131" s="6" t="n"/>
      <c r="P131" s="6" t="n"/>
      <c r="Q131" s="6" t="n"/>
    </row>
    <row r="132" ht="21.75" customHeight="1" s="146">
      <c r="A132" s="10" t="n"/>
      <c r="B132" s="10" t="n"/>
      <c r="C132" s="10" t="n"/>
      <c r="D132" s="10" t="n"/>
      <c r="E132" s="10" t="n"/>
      <c r="F132" s="10" t="n"/>
      <c r="G132" s="10" t="n"/>
      <c r="H132" s="10" t="n"/>
      <c r="I132" s="10" t="n"/>
      <c r="J132" s="10" t="n"/>
      <c r="K132" s="11" t="n"/>
      <c r="L132" s="11" t="n"/>
      <c r="M132" s="10" t="n"/>
      <c r="N132" s="10" t="n"/>
      <c r="O132" s="10" t="n"/>
      <c r="P132" s="10" t="n"/>
      <c r="Q132" s="10" t="n"/>
    </row>
    <row r="133" ht="21.75" customHeight="1" s="146">
      <c r="A133" s="6" t="n"/>
      <c r="B133" s="6" t="n"/>
      <c r="C133" s="6" t="n"/>
      <c r="D133" s="6" t="n"/>
      <c r="E133" s="6" t="n"/>
      <c r="F133" s="6" t="n"/>
      <c r="G133" s="6" t="n"/>
      <c r="H133" s="6" t="n"/>
      <c r="I133" s="6" t="n"/>
      <c r="J133" s="6" t="n"/>
      <c r="K133" s="7" t="n"/>
      <c r="L133" s="7" t="n"/>
      <c r="M133" s="6" t="n"/>
      <c r="N133" s="6" t="n"/>
      <c r="O133" s="6" t="n"/>
      <c r="P133" s="6" t="n"/>
      <c r="Q133" s="6" t="n"/>
    </row>
    <row r="134" ht="21.75" customHeight="1" s="146">
      <c r="A134" s="10" t="n"/>
      <c r="B134" s="10" t="n"/>
      <c r="C134" s="10" t="n"/>
      <c r="D134" s="10" t="n"/>
      <c r="E134" s="10" t="n"/>
      <c r="F134" s="10" t="n"/>
      <c r="G134" s="10" t="n"/>
      <c r="H134" s="10" t="n"/>
      <c r="I134" s="10" t="n"/>
      <c r="J134" s="10" t="n"/>
      <c r="K134" s="11" t="n"/>
      <c r="L134" s="11" t="n"/>
      <c r="M134" s="10" t="n"/>
      <c r="N134" s="10" t="n"/>
      <c r="O134" s="10" t="n"/>
      <c r="P134" s="10" t="n"/>
      <c r="Q134" s="10" t="n"/>
    </row>
    <row r="135" ht="21.75" customHeight="1" s="146">
      <c r="A135" s="6" t="n"/>
      <c r="B135" s="6" t="n"/>
      <c r="C135" s="6" t="n"/>
      <c r="D135" s="6" t="n"/>
      <c r="E135" s="6" t="n"/>
      <c r="F135" s="6" t="n"/>
      <c r="G135" s="6" t="n"/>
      <c r="H135" s="6" t="n"/>
      <c r="I135" s="6" t="n"/>
      <c r="J135" s="6" t="n"/>
      <c r="K135" s="7" t="n"/>
      <c r="L135" s="7" t="n"/>
      <c r="M135" s="6" t="n"/>
      <c r="N135" s="6" t="n"/>
      <c r="O135" s="6" t="n"/>
      <c r="P135" s="6" t="n"/>
      <c r="Q135" s="6" t="n"/>
    </row>
    <row r="136" ht="21.75" customHeight="1" s="146">
      <c r="A136" s="10" t="n"/>
      <c r="B136" s="10" t="n"/>
      <c r="C136" s="10" t="n"/>
      <c r="D136" s="10" t="n"/>
      <c r="E136" s="10" t="n"/>
      <c r="F136" s="10" t="n"/>
      <c r="G136" s="10" t="n"/>
      <c r="H136" s="10" t="n"/>
      <c r="I136" s="10" t="n"/>
      <c r="J136" s="10" t="n"/>
      <c r="K136" s="11" t="n"/>
      <c r="L136" s="11" t="n"/>
      <c r="M136" s="10" t="n"/>
      <c r="N136" s="10" t="n"/>
      <c r="O136" s="10" t="n"/>
      <c r="P136" s="10" t="n"/>
      <c r="Q136" s="10" t="n"/>
    </row>
    <row r="137" ht="21.75" customHeight="1" s="146">
      <c r="A137" s="6" t="n"/>
      <c r="B137" s="6" t="n"/>
      <c r="C137" s="6" t="n"/>
      <c r="D137" s="6" t="n"/>
      <c r="E137" s="6" t="n"/>
      <c r="F137" s="6" t="n"/>
      <c r="G137" s="6" t="n"/>
      <c r="H137" s="6" t="n"/>
      <c r="I137" s="6" t="n"/>
      <c r="J137" s="6" t="n"/>
      <c r="K137" s="7" t="n"/>
      <c r="L137" s="7" t="n"/>
      <c r="M137" s="6" t="n"/>
      <c r="N137" s="6" t="n"/>
      <c r="O137" s="6" t="n"/>
      <c r="P137" s="6" t="n"/>
      <c r="Q137" s="6" t="n"/>
    </row>
    <row r="138" ht="21.75" customHeight="1" s="146">
      <c r="A138" s="10" t="n"/>
      <c r="B138" s="10" t="n"/>
      <c r="C138" s="10" t="n"/>
      <c r="D138" s="10" t="n"/>
      <c r="E138" s="10" t="n"/>
      <c r="F138" s="10" t="n"/>
      <c r="G138" s="10" t="n"/>
      <c r="H138" s="10" t="n"/>
      <c r="I138" s="10" t="n"/>
      <c r="J138" s="10" t="n"/>
      <c r="K138" s="11" t="n"/>
      <c r="L138" s="11" t="n"/>
      <c r="M138" s="10" t="n"/>
      <c r="N138" s="10" t="n"/>
      <c r="O138" s="10" t="n"/>
      <c r="P138" s="10" t="n"/>
      <c r="Q138" s="10" t="n"/>
    </row>
    <row r="139" ht="21.75" customHeight="1" s="146">
      <c r="A139" s="6" t="n"/>
      <c r="B139" s="6" t="n"/>
      <c r="C139" s="6" t="n"/>
      <c r="D139" s="6" t="n"/>
      <c r="E139" s="6" t="n"/>
      <c r="F139" s="6" t="n"/>
      <c r="G139" s="6" t="n"/>
      <c r="H139" s="6" t="n"/>
      <c r="I139" s="6" t="n"/>
      <c r="J139" s="6" t="n"/>
      <c r="K139" s="7" t="n"/>
      <c r="L139" s="7" t="n"/>
      <c r="M139" s="6" t="n"/>
      <c r="N139" s="6" t="n"/>
      <c r="O139" s="6" t="n"/>
      <c r="P139" s="6" t="n"/>
      <c r="Q139" s="6" t="n"/>
    </row>
    <row r="140" ht="21.75" customHeight="1" s="146">
      <c r="A140" s="10" t="n"/>
      <c r="B140" s="10" t="n"/>
      <c r="C140" s="10" t="n"/>
      <c r="D140" s="10" t="n"/>
      <c r="E140" s="10" t="n"/>
      <c r="F140" s="10" t="n"/>
      <c r="G140" s="10" t="n"/>
      <c r="H140" s="10" t="n"/>
      <c r="I140" s="10" t="n"/>
      <c r="J140" s="10" t="n"/>
      <c r="K140" s="11" t="n"/>
      <c r="L140" s="11" t="n"/>
      <c r="M140" s="10" t="n"/>
      <c r="N140" s="10" t="n"/>
      <c r="O140" s="10" t="n"/>
      <c r="P140" s="10" t="n"/>
      <c r="Q140" s="10" t="n"/>
    </row>
    <row r="141" ht="21.75" customHeight="1" s="146">
      <c r="A141" s="6" t="n"/>
      <c r="B141" s="6" t="n"/>
      <c r="C141" s="6" t="n"/>
      <c r="D141" s="6" t="n"/>
      <c r="E141" s="6" t="n"/>
      <c r="F141" s="6" t="n"/>
      <c r="G141" s="6" t="n"/>
      <c r="H141" s="6" t="n"/>
      <c r="I141" s="6" t="n"/>
      <c r="J141" s="6" t="n"/>
      <c r="K141" s="7" t="n"/>
      <c r="L141" s="7" t="n"/>
      <c r="M141" s="6" t="n"/>
      <c r="N141" s="6" t="n"/>
      <c r="O141" s="6" t="n"/>
      <c r="P141" s="6" t="n"/>
      <c r="Q141" s="6" t="n"/>
    </row>
    <row r="142" ht="21.75" customHeight="1" s="146">
      <c r="A142" s="10" t="n"/>
      <c r="B142" s="10" t="n"/>
      <c r="C142" s="10" t="n"/>
      <c r="D142" s="10" t="n"/>
      <c r="E142" s="10" t="n"/>
      <c r="F142" s="10" t="n"/>
      <c r="G142" s="10" t="n"/>
      <c r="H142" s="10" t="n"/>
      <c r="I142" s="10" t="n"/>
      <c r="J142" s="10" t="n"/>
      <c r="K142" s="11" t="n"/>
      <c r="L142" s="11" t="n"/>
      <c r="M142" s="10" t="n"/>
      <c r="N142" s="10" t="n"/>
      <c r="O142" s="10" t="n"/>
      <c r="P142" s="10" t="n"/>
      <c r="Q142" s="10" t="n"/>
    </row>
    <row r="143" ht="21.75" customHeight="1" s="146">
      <c r="A143" s="6" t="n"/>
      <c r="B143" s="6" t="n"/>
      <c r="C143" s="6" t="n"/>
      <c r="D143" s="6" t="n"/>
      <c r="E143" s="6" t="n"/>
      <c r="F143" s="6" t="n"/>
      <c r="G143" s="6" t="n"/>
      <c r="H143" s="6" t="n"/>
      <c r="I143" s="6" t="n"/>
      <c r="J143" s="6" t="n"/>
      <c r="K143" s="7" t="n"/>
      <c r="L143" s="7" t="n"/>
      <c r="M143" s="6" t="n"/>
      <c r="N143" s="6" t="n"/>
      <c r="O143" s="6" t="n"/>
      <c r="P143" s="6" t="n"/>
      <c r="Q143" s="6" t="n"/>
    </row>
    <row r="144" ht="21.75" customHeight="1" s="146">
      <c r="A144" s="10" t="n"/>
      <c r="B144" s="10" t="n"/>
      <c r="C144" s="10" t="n"/>
      <c r="D144" s="10" t="n"/>
      <c r="E144" s="10" t="n"/>
      <c r="F144" s="10" t="n"/>
      <c r="G144" s="10" t="n"/>
      <c r="H144" s="10" t="n"/>
      <c r="I144" s="10" t="n"/>
      <c r="J144" s="10" t="n"/>
      <c r="K144" s="11" t="n"/>
      <c r="L144" s="11" t="n"/>
      <c r="M144" s="10" t="n"/>
      <c r="N144" s="10" t="n"/>
      <c r="O144" s="10" t="n"/>
      <c r="P144" s="10" t="n"/>
      <c r="Q144" s="10" t="n"/>
    </row>
    <row r="145" ht="21.75" customHeight="1" s="146">
      <c r="A145" s="6" t="n"/>
      <c r="B145" s="6" t="n"/>
      <c r="C145" s="6" t="n"/>
      <c r="D145" s="6" t="n"/>
      <c r="E145" s="6" t="n"/>
      <c r="F145" s="6" t="n"/>
      <c r="G145" s="6" t="n"/>
      <c r="H145" s="6" t="n"/>
      <c r="I145" s="6" t="n"/>
      <c r="J145" s="6" t="n"/>
      <c r="K145" s="7" t="n"/>
      <c r="L145" s="7" t="n"/>
      <c r="M145" s="6" t="n"/>
      <c r="N145" s="6" t="n"/>
      <c r="O145" s="6" t="n"/>
      <c r="P145" s="6" t="n"/>
      <c r="Q145" s="6" t="n"/>
    </row>
    <row r="146" ht="21.75" customHeight="1" s="146">
      <c r="A146" s="10" t="n"/>
      <c r="B146" s="10" t="n"/>
      <c r="C146" s="10" t="n"/>
      <c r="D146" s="10" t="n"/>
      <c r="E146" s="10" t="n"/>
      <c r="F146" s="10" t="n"/>
      <c r="G146" s="10" t="n"/>
      <c r="H146" s="10" t="n"/>
      <c r="I146" s="10" t="n"/>
      <c r="J146" s="10" t="n"/>
      <c r="K146" s="11" t="n"/>
      <c r="L146" s="11" t="n"/>
      <c r="M146" s="10" t="n"/>
      <c r="N146" s="10" t="n"/>
      <c r="O146" s="10" t="n"/>
      <c r="P146" s="10" t="n"/>
      <c r="Q146" s="10" t="n"/>
    </row>
    <row r="147" ht="21.75" customHeight="1" s="146">
      <c r="A147" s="6" t="n"/>
      <c r="B147" s="6" t="n"/>
      <c r="C147" s="6" t="n"/>
      <c r="D147" s="6" t="n"/>
      <c r="E147" s="6" t="n"/>
      <c r="F147" s="6" t="n"/>
      <c r="G147" s="6" t="n"/>
      <c r="H147" s="6" t="n"/>
      <c r="I147" s="6" t="n"/>
      <c r="J147" s="6" t="n"/>
      <c r="K147" s="7" t="n"/>
      <c r="L147" s="7" t="n"/>
      <c r="M147" s="6" t="n"/>
      <c r="N147" s="6" t="n"/>
      <c r="O147" s="6" t="n"/>
      <c r="P147" s="6" t="n"/>
      <c r="Q147" s="6" t="n"/>
    </row>
    <row r="148" ht="21.75" customHeight="1" s="146">
      <c r="A148" s="10" t="n"/>
      <c r="B148" s="10" t="n"/>
      <c r="C148" s="10" t="n"/>
      <c r="D148" s="10" t="n"/>
      <c r="E148" s="10" t="n"/>
      <c r="F148" s="10" t="n"/>
      <c r="G148" s="10" t="n"/>
      <c r="H148" s="10" t="n"/>
      <c r="I148" s="10" t="n"/>
      <c r="J148" s="10" t="n"/>
      <c r="K148" s="11" t="n"/>
      <c r="L148" s="11" t="n"/>
      <c r="M148" s="10" t="n"/>
      <c r="N148" s="10" t="n"/>
      <c r="O148" s="10" t="n"/>
      <c r="P148" s="10" t="n"/>
      <c r="Q148" s="10" t="n"/>
    </row>
    <row r="149" ht="21.75" customHeight="1" s="146">
      <c r="A149" s="6" t="n"/>
      <c r="B149" s="6" t="n"/>
      <c r="C149" s="6" t="n"/>
      <c r="D149" s="6" t="n"/>
      <c r="E149" s="6" t="n"/>
      <c r="F149" s="6" t="n"/>
      <c r="G149" s="6" t="n"/>
      <c r="H149" s="6" t="n"/>
      <c r="I149" s="6" t="n"/>
      <c r="J149" s="6" t="n"/>
      <c r="K149" s="7" t="n"/>
      <c r="L149" s="7" t="n"/>
      <c r="M149" s="6" t="n"/>
      <c r="N149" s="6" t="n"/>
      <c r="O149" s="6" t="n"/>
      <c r="P149" s="6" t="n"/>
      <c r="Q149" s="6" t="n"/>
    </row>
    <row r="150" ht="21.75" customHeight="1" s="146">
      <c r="A150" s="10" t="n"/>
      <c r="B150" s="10" t="n"/>
      <c r="C150" s="10" t="n"/>
      <c r="D150" s="10" t="n"/>
      <c r="E150" s="10" t="n"/>
      <c r="F150" s="10" t="n"/>
      <c r="G150" s="10" t="n"/>
      <c r="H150" s="10" t="n"/>
      <c r="I150" s="10" t="n"/>
      <c r="J150" s="10" t="n"/>
      <c r="K150" s="11" t="n"/>
      <c r="L150" s="11" t="n"/>
      <c r="M150" s="10" t="n"/>
      <c r="N150" s="10" t="n"/>
      <c r="O150" s="10" t="n"/>
      <c r="P150" s="10" t="n"/>
      <c r="Q150" s="10" t="n"/>
    </row>
    <row r="151" ht="21.75" customHeight="1" s="146">
      <c r="A151" s="6" t="n"/>
      <c r="B151" s="6" t="n"/>
      <c r="C151" s="6" t="n"/>
      <c r="D151" s="6" t="n"/>
      <c r="E151" s="6" t="n"/>
      <c r="F151" s="6" t="n"/>
      <c r="G151" s="6" t="n"/>
      <c r="H151" s="6" t="n"/>
      <c r="I151" s="6" t="n"/>
      <c r="J151" s="6" t="n"/>
      <c r="K151" s="7" t="n"/>
      <c r="L151" s="7" t="n"/>
      <c r="M151" s="6" t="n"/>
      <c r="N151" s="6" t="n"/>
      <c r="O151" s="6" t="n"/>
      <c r="P151" s="6" t="n"/>
      <c r="Q151" s="6" t="n"/>
    </row>
    <row r="152" ht="21.75" customHeight="1" s="146">
      <c r="A152" s="10" t="n"/>
      <c r="B152" s="10" t="n"/>
      <c r="C152" s="10" t="n"/>
      <c r="D152" s="10" t="n"/>
      <c r="E152" s="10" t="n"/>
      <c r="F152" s="10" t="n"/>
      <c r="G152" s="10" t="n"/>
      <c r="H152" s="10" t="n"/>
      <c r="I152" s="10" t="n"/>
      <c r="J152" s="10" t="n"/>
      <c r="K152" s="11" t="n"/>
      <c r="L152" s="11" t="n"/>
      <c r="M152" s="10" t="n"/>
      <c r="N152" s="10" t="n"/>
      <c r="O152" s="10" t="n"/>
      <c r="P152" s="10" t="n"/>
      <c r="Q152" s="10" t="n"/>
    </row>
    <row r="153" ht="21.75" customHeight="1" s="146">
      <c r="A153" s="6" t="n"/>
      <c r="B153" s="6" t="n"/>
      <c r="C153" s="6" t="n"/>
      <c r="D153" s="6" t="n"/>
      <c r="E153" s="6" t="n"/>
      <c r="F153" s="6" t="n"/>
      <c r="G153" s="6" t="n"/>
      <c r="H153" s="6" t="n"/>
      <c r="I153" s="6" t="n"/>
      <c r="J153" s="6" t="n"/>
      <c r="K153" s="7" t="n"/>
      <c r="L153" s="7" t="n"/>
      <c r="M153" s="6" t="n"/>
      <c r="N153" s="6" t="n"/>
      <c r="O153" s="6" t="n"/>
      <c r="P153" s="6" t="n"/>
      <c r="Q153" s="6" t="n"/>
    </row>
    <row r="154" ht="21.75" customHeight="1" s="146">
      <c r="A154" s="10" t="n"/>
      <c r="B154" s="10" t="n"/>
      <c r="C154" s="10" t="n"/>
      <c r="D154" s="10" t="n"/>
      <c r="E154" s="10" t="n"/>
      <c r="F154" s="10" t="n"/>
      <c r="G154" s="10" t="n"/>
      <c r="H154" s="10" t="n"/>
      <c r="I154" s="10" t="n"/>
      <c r="J154" s="10" t="n"/>
      <c r="K154" s="11" t="n"/>
      <c r="L154" s="11" t="n"/>
      <c r="M154" s="10" t="n"/>
      <c r="N154" s="10" t="n"/>
      <c r="O154" s="10" t="n"/>
      <c r="P154" s="10" t="n"/>
      <c r="Q154" s="10" t="n"/>
    </row>
    <row r="155" ht="21.75" customHeight="1" s="146">
      <c r="A155" s="6" t="n"/>
      <c r="B155" s="6" t="n"/>
      <c r="C155" s="6" t="n"/>
      <c r="D155" s="6" t="n"/>
      <c r="E155" s="6" t="n"/>
      <c r="F155" s="6" t="n"/>
      <c r="G155" s="6" t="n"/>
      <c r="H155" s="6" t="n"/>
      <c r="I155" s="6" t="n"/>
      <c r="J155" s="6" t="n"/>
      <c r="K155" s="7" t="n"/>
      <c r="L155" s="7" t="n"/>
      <c r="M155" s="6" t="n"/>
      <c r="N155" s="6" t="n"/>
      <c r="O155" s="6" t="n"/>
      <c r="P155" s="6" t="n"/>
      <c r="Q155" s="6" t="n"/>
    </row>
    <row r="156" ht="21.75" customHeight="1" s="146">
      <c r="A156" s="10" t="n"/>
      <c r="B156" s="10" t="n"/>
      <c r="C156" s="10" t="n"/>
      <c r="D156" s="10" t="n"/>
      <c r="E156" s="10" t="n"/>
      <c r="F156" s="10" t="n"/>
      <c r="G156" s="10" t="n"/>
      <c r="H156" s="10" t="n"/>
      <c r="I156" s="10" t="n"/>
      <c r="J156" s="10" t="n"/>
      <c r="K156" s="11" t="n"/>
      <c r="L156" s="11" t="n"/>
      <c r="M156" s="10" t="n"/>
      <c r="N156" s="10" t="n"/>
      <c r="O156" s="10" t="n"/>
      <c r="P156" s="10" t="n"/>
      <c r="Q156" s="10" t="n"/>
    </row>
    <row r="157" ht="21.75" customHeight="1" s="146">
      <c r="A157" s="6" t="n"/>
      <c r="B157" s="6" t="n"/>
      <c r="C157" s="6" t="n"/>
      <c r="D157" s="6" t="n"/>
      <c r="E157" s="6" t="n"/>
      <c r="F157" s="6" t="n"/>
      <c r="G157" s="6" t="n"/>
      <c r="H157" s="6" t="n"/>
      <c r="I157" s="6" t="n"/>
      <c r="J157" s="6" t="n"/>
      <c r="K157" s="7" t="n"/>
      <c r="L157" s="7" t="n"/>
      <c r="M157" s="6" t="n"/>
      <c r="N157" s="6" t="n"/>
      <c r="O157" s="6" t="n"/>
      <c r="P157" s="6" t="n"/>
      <c r="Q157" s="6" t="n"/>
    </row>
    <row r="158" ht="21.75" customHeight="1" s="146">
      <c r="A158" s="10" t="n"/>
      <c r="B158" s="10" t="n"/>
      <c r="C158" s="10" t="n"/>
      <c r="D158" s="10" t="n"/>
      <c r="E158" s="10" t="n"/>
      <c r="F158" s="10" t="n"/>
      <c r="G158" s="10" t="n"/>
      <c r="H158" s="10" t="n"/>
      <c r="I158" s="10" t="n"/>
      <c r="J158" s="10" t="n"/>
      <c r="K158" s="11" t="n"/>
      <c r="L158" s="11" t="n"/>
      <c r="M158" s="10" t="n"/>
      <c r="N158" s="10" t="n"/>
      <c r="O158" s="10" t="n"/>
      <c r="P158" s="10" t="n"/>
      <c r="Q158" s="10" t="n"/>
    </row>
    <row r="159" ht="21.75" customHeight="1" s="146">
      <c r="A159" s="6" t="n"/>
      <c r="B159" s="6" t="n"/>
      <c r="C159" s="6" t="n"/>
      <c r="D159" s="6" t="n"/>
      <c r="E159" s="6" t="n"/>
      <c r="F159" s="6" t="n"/>
      <c r="G159" s="6" t="n"/>
      <c r="H159" s="6" t="n"/>
      <c r="I159" s="6" t="n"/>
      <c r="J159" s="6" t="n"/>
      <c r="K159" s="7" t="n"/>
      <c r="L159" s="7" t="n"/>
      <c r="M159" s="6" t="n"/>
      <c r="N159" s="6" t="n"/>
      <c r="O159" s="6" t="n"/>
      <c r="P159" s="6" t="n"/>
      <c r="Q159" s="6" t="n"/>
    </row>
    <row r="160" ht="21.75" customHeight="1" s="146">
      <c r="A160" s="10" t="n"/>
      <c r="B160" s="10" t="n"/>
      <c r="C160" s="10" t="n"/>
      <c r="D160" s="10" t="n"/>
      <c r="E160" s="10" t="n"/>
      <c r="F160" s="10" t="n"/>
      <c r="G160" s="10" t="n"/>
      <c r="H160" s="10" t="n"/>
      <c r="I160" s="10" t="n"/>
      <c r="J160" s="10" t="n"/>
      <c r="K160" s="11" t="n"/>
      <c r="L160" s="11" t="n"/>
      <c r="M160" s="10" t="n"/>
      <c r="N160" s="10" t="n"/>
      <c r="O160" s="10" t="n"/>
      <c r="P160" s="10" t="n"/>
      <c r="Q160" s="10" t="n"/>
    </row>
    <row r="161" ht="21.75" customHeight="1" s="146">
      <c r="A161" s="6" t="n"/>
      <c r="B161" s="6" t="n"/>
      <c r="C161" s="6" t="n"/>
      <c r="D161" s="6" t="n"/>
      <c r="E161" s="6" t="n"/>
      <c r="F161" s="6" t="n"/>
      <c r="G161" s="6" t="n"/>
      <c r="H161" s="6" t="n"/>
      <c r="I161" s="6" t="n"/>
      <c r="J161" s="6" t="n"/>
      <c r="K161" s="7" t="n"/>
      <c r="L161" s="7" t="n"/>
      <c r="M161" s="6" t="n"/>
      <c r="N161" s="6" t="n"/>
      <c r="O161" s="6" t="n"/>
      <c r="P161" s="6" t="n"/>
      <c r="Q161" s="6" t="n"/>
    </row>
    <row r="162" ht="21.75" customHeight="1" s="146">
      <c r="A162" s="10" t="n"/>
      <c r="B162" s="10" t="n"/>
      <c r="C162" s="10" t="n"/>
      <c r="D162" s="10" t="n"/>
      <c r="E162" s="10" t="n"/>
      <c r="F162" s="10" t="n"/>
      <c r="G162" s="10" t="n"/>
      <c r="H162" s="10" t="n"/>
      <c r="I162" s="10" t="n"/>
      <c r="J162" s="10" t="n"/>
      <c r="K162" s="11" t="n"/>
      <c r="L162" s="11" t="n"/>
      <c r="M162" s="10" t="n"/>
      <c r="N162" s="10" t="n"/>
      <c r="O162" s="10" t="n"/>
      <c r="P162" s="10" t="n"/>
      <c r="Q162" s="10" t="n"/>
    </row>
    <row r="163" ht="21.75" customHeight="1" s="146">
      <c r="A163" s="6" t="n"/>
      <c r="B163" s="6" t="n"/>
      <c r="C163" s="6" t="n"/>
      <c r="D163" s="6" t="n"/>
      <c r="E163" s="6" t="n"/>
      <c r="F163" s="6" t="n"/>
      <c r="G163" s="6" t="n"/>
      <c r="H163" s="6" t="n"/>
      <c r="I163" s="6" t="n"/>
      <c r="J163" s="6" t="n"/>
      <c r="K163" s="7" t="n"/>
      <c r="L163" s="7" t="n"/>
      <c r="M163" s="6" t="n"/>
      <c r="N163" s="6" t="n"/>
      <c r="O163" s="6" t="n"/>
      <c r="P163" s="6" t="n"/>
      <c r="Q163" s="6" t="n"/>
    </row>
    <row r="164" ht="21.75" customHeight="1" s="146">
      <c r="A164" s="10" t="n"/>
      <c r="B164" s="10" t="n"/>
      <c r="C164" s="10" t="n"/>
      <c r="D164" s="10" t="n"/>
      <c r="E164" s="10" t="n"/>
      <c r="F164" s="10" t="n"/>
      <c r="G164" s="10" t="n"/>
      <c r="H164" s="10" t="n"/>
      <c r="I164" s="10" t="n"/>
      <c r="J164" s="10" t="n"/>
      <c r="K164" s="11" t="n"/>
      <c r="L164" s="11" t="n"/>
      <c r="M164" s="10" t="n"/>
      <c r="N164" s="10" t="n"/>
      <c r="O164" s="10" t="n"/>
      <c r="P164" s="10" t="n"/>
      <c r="Q164" s="10" t="n"/>
    </row>
    <row r="165" ht="21.75" customHeight="1" s="146">
      <c r="A165" s="6" t="n"/>
      <c r="B165" s="6" t="n"/>
      <c r="C165" s="6" t="n"/>
      <c r="D165" s="6" t="n"/>
      <c r="E165" s="6" t="n"/>
      <c r="F165" s="6" t="n"/>
      <c r="G165" s="6" t="n"/>
      <c r="H165" s="6" t="n"/>
      <c r="I165" s="6" t="n"/>
      <c r="J165" s="6" t="n"/>
      <c r="K165" s="7" t="n"/>
      <c r="L165" s="7" t="n"/>
      <c r="M165" s="6" t="n"/>
      <c r="N165" s="6" t="n"/>
      <c r="O165" s="6" t="n"/>
      <c r="P165" s="6" t="n"/>
      <c r="Q165" s="6" t="n"/>
    </row>
    <row r="166" ht="21.75" customHeight="1" s="146">
      <c r="A166" s="10" t="n"/>
      <c r="B166" s="10" t="n"/>
      <c r="C166" s="10" t="n"/>
      <c r="D166" s="10" t="n"/>
      <c r="E166" s="10" t="n"/>
      <c r="F166" s="10" t="n"/>
      <c r="G166" s="10" t="n"/>
      <c r="H166" s="10" t="n"/>
      <c r="I166" s="10" t="n"/>
      <c r="J166" s="10" t="n"/>
      <c r="K166" s="11" t="n"/>
      <c r="L166" s="11" t="n"/>
      <c r="M166" s="10" t="n"/>
      <c r="N166" s="10" t="n"/>
      <c r="O166" s="10" t="n"/>
      <c r="P166" s="10" t="n"/>
      <c r="Q166" s="10" t="n"/>
    </row>
    <row r="167" ht="21.75" customHeight="1" s="146">
      <c r="A167" s="6" t="n"/>
      <c r="B167" s="6" t="n"/>
      <c r="C167" s="6" t="n"/>
      <c r="D167" s="6" t="n"/>
      <c r="E167" s="6" t="n"/>
      <c r="F167" s="6" t="n"/>
      <c r="G167" s="6" t="n"/>
      <c r="H167" s="6" t="n"/>
      <c r="I167" s="6" t="n"/>
      <c r="J167" s="6" t="n"/>
      <c r="K167" s="7" t="n"/>
      <c r="L167" s="7" t="n"/>
      <c r="M167" s="6" t="n"/>
      <c r="N167" s="6" t="n"/>
      <c r="O167" s="6" t="n"/>
      <c r="P167" s="6" t="n"/>
      <c r="Q167" s="6" t="n"/>
    </row>
    <row r="168" ht="21.75" customHeight="1" s="146">
      <c r="A168" s="10" t="n"/>
      <c r="B168" s="10" t="n"/>
      <c r="C168" s="10" t="n"/>
      <c r="D168" s="10" t="n"/>
      <c r="E168" s="10" t="n"/>
      <c r="F168" s="10" t="n"/>
      <c r="G168" s="10" t="n"/>
      <c r="H168" s="10" t="n"/>
      <c r="I168" s="10" t="n"/>
      <c r="J168" s="10" t="n"/>
      <c r="K168" s="11" t="n"/>
      <c r="L168" s="11" t="n"/>
      <c r="M168" s="10" t="n"/>
      <c r="N168" s="10" t="n"/>
      <c r="O168" s="10" t="n"/>
      <c r="P168" s="10" t="n"/>
      <c r="Q168" s="10" t="n"/>
    </row>
    <row r="169" ht="21.75" customHeight="1" s="146">
      <c r="A169" s="6" t="n"/>
      <c r="B169" s="6" t="n"/>
      <c r="C169" s="6" t="n"/>
      <c r="D169" s="6" t="n"/>
      <c r="E169" s="6" t="n"/>
      <c r="F169" s="6" t="n"/>
      <c r="G169" s="6" t="n"/>
      <c r="H169" s="6" t="n"/>
      <c r="I169" s="6" t="n"/>
      <c r="J169" s="6" t="n"/>
      <c r="K169" s="7" t="n"/>
      <c r="L169" s="7" t="n"/>
      <c r="M169" s="6" t="n"/>
      <c r="N169" s="6" t="n"/>
      <c r="O169" s="6" t="n"/>
      <c r="P169" s="6" t="n"/>
      <c r="Q169" s="6" t="n"/>
    </row>
    <row r="170" ht="21.75" customHeight="1" s="146">
      <c r="A170" s="10" t="n"/>
      <c r="B170" s="10" t="n"/>
      <c r="C170" s="10" t="n"/>
      <c r="D170" s="10" t="n"/>
      <c r="E170" s="10" t="n"/>
      <c r="F170" s="10" t="n"/>
      <c r="G170" s="10" t="n"/>
      <c r="H170" s="10" t="n"/>
      <c r="I170" s="10" t="n"/>
      <c r="J170" s="10" t="n"/>
      <c r="K170" s="11" t="n"/>
      <c r="L170" s="11" t="n"/>
      <c r="M170" s="10" t="n"/>
      <c r="N170" s="10" t="n"/>
      <c r="O170" s="10" t="n"/>
      <c r="P170" s="10" t="n"/>
      <c r="Q170" s="10" t="n"/>
    </row>
    <row r="171" ht="21.75" customHeight="1" s="146">
      <c r="A171" s="6" t="n"/>
      <c r="B171" s="6" t="n"/>
      <c r="C171" s="6" t="n"/>
      <c r="D171" s="6" t="n"/>
      <c r="E171" s="6" t="n"/>
      <c r="F171" s="6" t="n"/>
      <c r="G171" s="6" t="n"/>
      <c r="H171" s="6" t="n"/>
      <c r="I171" s="6" t="n"/>
      <c r="J171" s="6" t="n"/>
      <c r="K171" s="7" t="n"/>
      <c r="L171" s="7" t="n"/>
      <c r="M171" s="6" t="n"/>
      <c r="N171" s="6" t="n"/>
      <c r="O171" s="6" t="n"/>
      <c r="P171" s="6" t="n"/>
      <c r="Q171" s="6" t="n"/>
    </row>
    <row r="172" ht="21.75" customHeight="1" s="146">
      <c r="A172" s="10" t="n"/>
      <c r="B172" s="10" t="n"/>
      <c r="C172" s="10" t="n"/>
      <c r="D172" s="10" t="n"/>
      <c r="E172" s="10" t="n"/>
      <c r="F172" s="10" t="n"/>
      <c r="G172" s="10" t="n"/>
      <c r="H172" s="10" t="n"/>
      <c r="I172" s="10" t="n"/>
      <c r="J172" s="10" t="n"/>
      <c r="K172" s="11" t="n"/>
      <c r="L172" s="11" t="n"/>
      <c r="M172" s="10" t="n"/>
      <c r="N172" s="10" t="n"/>
      <c r="O172" s="10" t="n"/>
      <c r="P172" s="10" t="n"/>
      <c r="Q172" s="10" t="n"/>
    </row>
    <row r="173" ht="21.75" customHeight="1" s="146">
      <c r="A173" s="6" t="n"/>
      <c r="B173" s="6" t="n"/>
      <c r="C173" s="6" t="n"/>
      <c r="D173" s="6" t="n"/>
      <c r="E173" s="6" t="n"/>
      <c r="F173" s="6" t="n"/>
      <c r="G173" s="6" t="n"/>
      <c r="H173" s="6" t="n"/>
      <c r="I173" s="6" t="n"/>
      <c r="J173" s="6" t="n"/>
      <c r="K173" s="7" t="n"/>
      <c r="L173" s="7" t="n"/>
      <c r="M173" s="6" t="n"/>
      <c r="N173" s="6" t="n"/>
      <c r="O173" s="6" t="n"/>
      <c r="P173" s="6" t="n"/>
      <c r="Q173" s="6" t="n"/>
    </row>
    <row r="174" ht="21.75" customHeight="1" s="146">
      <c r="A174" s="10" t="n"/>
      <c r="B174" s="10" t="n"/>
      <c r="C174" s="10" t="n"/>
      <c r="D174" s="10" t="n"/>
      <c r="E174" s="10" t="n"/>
      <c r="F174" s="10" t="n"/>
      <c r="G174" s="10" t="n"/>
      <c r="H174" s="10" t="n"/>
      <c r="I174" s="10" t="n"/>
      <c r="J174" s="10" t="n"/>
      <c r="K174" s="11" t="n"/>
      <c r="L174" s="11" t="n"/>
      <c r="M174" s="10" t="n"/>
      <c r="N174" s="10" t="n"/>
      <c r="O174" s="10" t="n"/>
      <c r="P174" s="10" t="n"/>
      <c r="Q174" s="10" t="n"/>
    </row>
    <row r="175" ht="21.75" customHeight="1" s="146">
      <c r="A175" s="6" t="n"/>
      <c r="B175" s="6" t="n"/>
      <c r="C175" s="6" t="n"/>
      <c r="D175" s="6" t="n"/>
      <c r="E175" s="6" t="n"/>
      <c r="F175" s="6" t="n"/>
      <c r="G175" s="6" t="n"/>
      <c r="H175" s="6" t="n"/>
      <c r="I175" s="6" t="n"/>
      <c r="J175" s="6" t="n"/>
      <c r="K175" s="7" t="n"/>
      <c r="L175" s="7" t="n"/>
      <c r="M175" s="6" t="n"/>
      <c r="N175" s="6" t="n"/>
      <c r="O175" s="6" t="n"/>
      <c r="P175" s="6" t="n"/>
      <c r="Q175" s="6" t="n"/>
    </row>
    <row r="176" ht="21.75" customHeight="1" s="146">
      <c r="A176" s="10" t="n"/>
      <c r="B176" s="10" t="n"/>
      <c r="C176" s="10" t="n"/>
      <c r="D176" s="10" t="n"/>
      <c r="E176" s="10" t="n"/>
      <c r="F176" s="10" t="n"/>
      <c r="G176" s="10" t="n"/>
      <c r="H176" s="10" t="n"/>
      <c r="I176" s="10" t="n"/>
      <c r="J176" s="10" t="n"/>
      <c r="K176" s="11" t="n"/>
      <c r="L176" s="11" t="n"/>
      <c r="M176" s="10" t="n"/>
      <c r="N176" s="10" t="n"/>
      <c r="O176" s="10" t="n"/>
      <c r="P176" s="10" t="n"/>
      <c r="Q176" s="10" t="n"/>
    </row>
    <row r="177" ht="21.75" customHeight="1" s="146">
      <c r="A177" s="6" t="n"/>
      <c r="B177" s="6" t="n"/>
      <c r="C177" s="6" t="n"/>
      <c r="D177" s="6" t="n"/>
      <c r="E177" s="6" t="n"/>
      <c r="F177" s="6" t="n"/>
      <c r="G177" s="6" t="n"/>
      <c r="H177" s="6" t="n"/>
      <c r="I177" s="6" t="n"/>
      <c r="J177" s="6" t="n"/>
      <c r="K177" s="7" t="n"/>
      <c r="L177" s="7" t="n"/>
      <c r="M177" s="6" t="n"/>
      <c r="N177" s="6" t="n"/>
      <c r="O177" s="6" t="n"/>
      <c r="P177" s="6" t="n"/>
      <c r="Q177" s="6" t="n"/>
    </row>
    <row r="178" ht="21.75" customHeight="1" s="146">
      <c r="A178" s="10" t="n"/>
      <c r="B178" s="10" t="n"/>
      <c r="C178" s="10" t="n"/>
      <c r="D178" s="10" t="n"/>
      <c r="E178" s="10" t="n"/>
      <c r="F178" s="10" t="n"/>
      <c r="G178" s="10" t="n"/>
      <c r="H178" s="10" t="n"/>
      <c r="I178" s="10" t="n"/>
      <c r="J178" s="10" t="n"/>
      <c r="K178" s="11" t="n"/>
      <c r="L178" s="11" t="n"/>
      <c r="M178" s="10" t="n"/>
      <c r="N178" s="10" t="n"/>
      <c r="O178" s="10" t="n"/>
      <c r="P178" s="10" t="n"/>
      <c r="Q178" s="10" t="n"/>
    </row>
    <row r="179" ht="21.75" customHeight="1" s="146">
      <c r="A179" s="6" t="n"/>
      <c r="B179" s="6" t="n"/>
      <c r="C179" s="6" t="n"/>
      <c r="D179" s="6" t="n"/>
      <c r="E179" s="6" t="n"/>
      <c r="F179" s="6" t="n"/>
      <c r="G179" s="6" t="n"/>
      <c r="H179" s="6" t="n"/>
      <c r="I179" s="6" t="n"/>
      <c r="J179" s="6" t="n"/>
      <c r="K179" s="7" t="n"/>
      <c r="L179" s="7" t="n"/>
      <c r="M179" s="6" t="n"/>
      <c r="N179" s="6" t="n"/>
      <c r="O179" s="6" t="n"/>
      <c r="P179" s="6" t="n"/>
      <c r="Q179" s="6" t="n"/>
    </row>
    <row r="180" ht="21.75" customHeight="1" s="146">
      <c r="A180" s="10" t="n"/>
      <c r="B180" s="10" t="n"/>
      <c r="C180" s="10" t="n"/>
      <c r="D180" s="10" t="n"/>
      <c r="E180" s="10" t="n"/>
      <c r="F180" s="10" t="n"/>
      <c r="G180" s="10" t="n"/>
      <c r="H180" s="10" t="n"/>
      <c r="I180" s="10" t="n"/>
      <c r="J180" s="10" t="n"/>
      <c r="K180" s="11" t="n"/>
      <c r="L180" s="11" t="n"/>
      <c r="M180" s="10" t="n"/>
      <c r="N180" s="10" t="n"/>
      <c r="O180" s="10" t="n"/>
      <c r="P180" s="10" t="n"/>
      <c r="Q180" s="10" t="n"/>
    </row>
    <row r="181" ht="21.75" customHeight="1" s="146">
      <c r="A181" s="6" t="n"/>
      <c r="B181" s="6" t="n"/>
      <c r="C181" s="6" t="n"/>
      <c r="D181" s="6" t="n"/>
      <c r="E181" s="6" t="n"/>
      <c r="F181" s="6" t="n"/>
      <c r="G181" s="6" t="n"/>
      <c r="H181" s="6" t="n"/>
      <c r="I181" s="6" t="n"/>
      <c r="J181" s="6" t="n"/>
      <c r="K181" s="7" t="n"/>
      <c r="L181" s="7" t="n"/>
      <c r="M181" s="6" t="n"/>
      <c r="N181" s="6" t="n"/>
      <c r="O181" s="6" t="n"/>
      <c r="P181" s="6" t="n"/>
      <c r="Q181" s="6" t="n"/>
    </row>
    <row r="182" ht="21.75" customHeight="1" s="146">
      <c r="A182" s="10" t="n"/>
      <c r="B182" s="10" t="n"/>
      <c r="C182" s="10" t="n"/>
      <c r="D182" s="10" t="n"/>
      <c r="E182" s="10" t="n"/>
      <c r="F182" s="10" t="n"/>
      <c r="G182" s="10" t="n"/>
      <c r="H182" s="10" t="n"/>
      <c r="I182" s="10" t="n"/>
      <c r="J182" s="10" t="n"/>
      <c r="K182" s="11" t="n"/>
      <c r="L182" s="11" t="n"/>
      <c r="M182" s="10" t="n"/>
      <c r="N182" s="10" t="n"/>
      <c r="O182" s="10" t="n"/>
      <c r="P182" s="10" t="n"/>
      <c r="Q182" s="10" t="n"/>
    </row>
    <row r="183" ht="21.75" customHeight="1" s="146">
      <c r="A183" s="6" t="n"/>
      <c r="B183" s="6" t="n"/>
      <c r="C183" s="6" t="n"/>
      <c r="D183" s="6" t="n"/>
      <c r="E183" s="6" t="n"/>
      <c r="F183" s="6" t="n"/>
      <c r="G183" s="6" t="n"/>
      <c r="H183" s="6" t="n"/>
      <c r="I183" s="6" t="n"/>
      <c r="J183" s="6" t="n"/>
      <c r="K183" s="7" t="n"/>
      <c r="L183" s="7" t="n"/>
      <c r="M183" s="6" t="n"/>
      <c r="N183" s="6" t="n"/>
      <c r="O183" s="6" t="n"/>
      <c r="P183" s="6" t="n"/>
      <c r="Q183" s="6" t="n"/>
    </row>
    <row r="184" ht="21.75" customHeight="1" s="146">
      <c r="A184" s="10" t="n"/>
      <c r="B184" s="10" t="n"/>
      <c r="C184" s="10" t="n"/>
      <c r="D184" s="10" t="n"/>
      <c r="E184" s="10" t="n"/>
      <c r="F184" s="10" t="n"/>
      <c r="G184" s="10" t="n"/>
      <c r="H184" s="10" t="n"/>
      <c r="I184" s="10" t="n"/>
      <c r="J184" s="10" t="n"/>
      <c r="K184" s="11" t="n"/>
      <c r="L184" s="11" t="n"/>
      <c r="M184" s="10" t="n"/>
      <c r="N184" s="10" t="n"/>
      <c r="O184" s="10" t="n"/>
      <c r="P184" s="10" t="n"/>
      <c r="Q184" s="10" t="n"/>
    </row>
    <row r="185" ht="21.75" customHeight="1" s="146">
      <c r="A185" s="6" t="n"/>
      <c r="B185" s="6" t="n"/>
      <c r="C185" s="6" t="n"/>
      <c r="D185" s="6" t="n"/>
      <c r="E185" s="6" t="n"/>
      <c r="F185" s="6" t="n"/>
      <c r="G185" s="6" t="n"/>
      <c r="H185" s="6" t="n"/>
      <c r="I185" s="6" t="n"/>
      <c r="J185" s="6" t="n"/>
      <c r="K185" s="7" t="n"/>
      <c r="L185" s="7" t="n"/>
      <c r="M185" s="6" t="n"/>
      <c r="N185" s="6" t="n"/>
      <c r="O185" s="6" t="n"/>
      <c r="P185" s="6" t="n"/>
      <c r="Q185" s="6" t="n"/>
    </row>
    <row r="186" ht="21.75" customHeight="1" s="146">
      <c r="A186" s="10" t="n"/>
      <c r="B186" s="10" t="n"/>
      <c r="C186" s="10" t="n"/>
      <c r="D186" s="10" t="n"/>
      <c r="E186" s="10" t="n"/>
      <c r="F186" s="10" t="n"/>
      <c r="G186" s="10" t="n"/>
      <c r="H186" s="10" t="n"/>
      <c r="I186" s="10" t="n"/>
      <c r="J186" s="10" t="n"/>
      <c r="K186" s="11" t="n"/>
      <c r="L186" s="11" t="n"/>
      <c r="M186" s="10" t="n"/>
      <c r="N186" s="10" t="n"/>
      <c r="O186" s="10" t="n"/>
      <c r="P186" s="10" t="n"/>
      <c r="Q186" s="10" t="n"/>
    </row>
    <row r="187" ht="21.75" customHeight="1" s="146">
      <c r="A187" s="6" t="n"/>
      <c r="B187" s="6" t="n"/>
      <c r="C187" s="6" t="n"/>
      <c r="D187" s="6" t="n"/>
      <c r="E187" s="6" t="n"/>
      <c r="F187" s="6" t="n"/>
      <c r="G187" s="6" t="n"/>
      <c r="H187" s="6" t="n"/>
      <c r="I187" s="6" t="n"/>
      <c r="J187" s="6" t="n"/>
      <c r="K187" s="7" t="n"/>
      <c r="L187" s="7" t="n"/>
      <c r="M187" s="6" t="n"/>
      <c r="N187" s="6" t="n"/>
      <c r="O187" s="6" t="n"/>
      <c r="P187" s="6" t="n"/>
      <c r="Q187" s="6" t="n"/>
    </row>
    <row r="188" ht="21.75" customHeight="1" s="146">
      <c r="A188" s="10" t="n"/>
      <c r="B188" s="10" t="n"/>
      <c r="C188" s="10" t="n"/>
      <c r="D188" s="10" t="n"/>
      <c r="E188" s="10" t="n"/>
      <c r="F188" s="10" t="n"/>
      <c r="G188" s="10" t="n"/>
      <c r="H188" s="10" t="n"/>
      <c r="I188" s="10" t="n"/>
      <c r="J188" s="10" t="n"/>
      <c r="K188" s="11" t="n"/>
      <c r="L188" s="11" t="n"/>
      <c r="M188" s="10" t="n"/>
      <c r="N188" s="10" t="n"/>
      <c r="O188" s="10" t="n"/>
      <c r="P188" s="10" t="n"/>
      <c r="Q188" s="10" t="n"/>
    </row>
    <row r="189" ht="21.75" customHeight="1" s="146">
      <c r="A189" s="6" t="n"/>
      <c r="B189" s="6" t="n"/>
      <c r="C189" s="6" t="n"/>
      <c r="D189" s="6" t="n"/>
      <c r="E189" s="6" t="n"/>
      <c r="F189" s="6" t="n"/>
      <c r="G189" s="6" t="n"/>
      <c r="H189" s="6" t="n"/>
      <c r="I189" s="6" t="n"/>
      <c r="J189" s="6" t="n"/>
      <c r="K189" s="7" t="n"/>
      <c r="L189" s="7" t="n"/>
      <c r="M189" s="6" t="n"/>
      <c r="N189" s="6" t="n"/>
      <c r="O189" s="6" t="n"/>
      <c r="P189" s="6" t="n"/>
      <c r="Q189" s="6" t="n"/>
    </row>
    <row r="190" ht="21.75" customHeight="1" s="146">
      <c r="A190" s="10" t="n"/>
      <c r="B190" s="10" t="n"/>
      <c r="C190" s="10" t="n"/>
      <c r="D190" s="10" t="n"/>
      <c r="E190" s="10" t="n"/>
      <c r="F190" s="10" t="n"/>
      <c r="G190" s="10" t="n"/>
      <c r="H190" s="10" t="n"/>
      <c r="I190" s="10" t="n"/>
      <c r="J190" s="10" t="n"/>
      <c r="K190" s="11" t="n"/>
      <c r="L190" s="11" t="n"/>
      <c r="M190" s="10" t="n"/>
      <c r="N190" s="10" t="n"/>
      <c r="O190" s="10" t="n"/>
      <c r="P190" s="10" t="n"/>
      <c r="Q190" s="10" t="n"/>
    </row>
    <row r="191" ht="21.75" customHeight="1" s="146">
      <c r="A191" s="6" t="n"/>
      <c r="B191" s="6" t="n"/>
      <c r="C191" s="6" t="n"/>
      <c r="D191" s="6" t="n"/>
      <c r="E191" s="6" t="n"/>
      <c r="F191" s="6" t="n"/>
      <c r="G191" s="6" t="n"/>
      <c r="H191" s="6" t="n"/>
      <c r="I191" s="6" t="n"/>
      <c r="J191" s="6" t="n"/>
      <c r="K191" s="7" t="n"/>
      <c r="L191" s="7" t="n"/>
      <c r="M191" s="6" t="n"/>
      <c r="N191" s="6" t="n"/>
      <c r="O191" s="6" t="n"/>
      <c r="P191" s="6" t="n"/>
      <c r="Q191" s="6" t="n"/>
    </row>
    <row r="192" ht="21.75" customHeight="1" s="146">
      <c r="A192" s="10" t="n"/>
      <c r="B192" s="10" t="n"/>
      <c r="C192" s="10" t="n"/>
      <c r="D192" s="10" t="n"/>
      <c r="E192" s="10" t="n"/>
      <c r="F192" s="10" t="n"/>
      <c r="G192" s="10" t="n"/>
      <c r="H192" s="10" t="n"/>
      <c r="I192" s="10" t="n"/>
      <c r="J192" s="10" t="n"/>
      <c r="K192" s="11" t="n"/>
      <c r="L192" s="11" t="n"/>
      <c r="M192" s="10" t="n"/>
      <c r="N192" s="10" t="n"/>
      <c r="O192" s="10" t="n"/>
      <c r="P192" s="10" t="n"/>
      <c r="Q192" s="10" t="n"/>
    </row>
    <row r="193" ht="21.75" customHeight="1" s="146">
      <c r="A193" s="6" t="n"/>
      <c r="B193" s="6" t="n"/>
      <c r="C193" s="6" t="n"/>
      <c r="D193" s="6" t="n"/>
      <c r="E193" s="6" t="n"/>
      <c r="F193" s="6" t="n"/>
      <c r="G193" s="6" t="n"/>
      <c r="H193" s="6" t="n"/>
      <c r="I193" s="6" t="n"/>
      <c r="J193" s="6" t="n"/>
      <c r="K193" s="7" t="n"/>
      <c r="L193" s="7" t="n"/>
      <c r="M193" s="6" t="n"/>
      <c r="N193" s="6" t="n"/>
      <c r="O193" s="6" t="n"/>
      <c r="P193" s="6" t="n"/>
      <c r="Q193" s="6" t="n"/>
    </row>
    <row r="194" ht="21.75" customHeight="1" s="146">
      <c r="A194" s="10" t="n"/>
      <c r="B194" s="10" t="n"/>
      <c r="C194" s="10" t="n"/>
      <c r="D194" s="10" t="n"/>
      <c r="E194" s="10" t="n"/>
      <c r="F194" s="10" t="n"/>
      <c r="G194" s="10" t="n"/>
      <c r="H194" s="10" t="n"/>
      <c r="I194" s="10" t="n"/>
      <c r="J194" s="10" t="n"/>
      <c r="K194" s="11" t="n"/>
      <c r="L194" s="11" t="n"/>
      <c r="M194" s="10" t="n"/>
      <c r="N194" s="10" t="n"/>
      <c r="O194" s="10" t="n"/>
      <c r="P194" s="10" t="n"/>
      <c r="Q194" s="10" t="n"/>
    </row>
    <row r="195" ht="21.75" customHeight="1" s="146">
      <c r="A195" s="6" t="n"/>
      <c r="B195" s="6" t="n"/>
      <c r="C195" s="6" t="n"/>
      <c r="D195" s="6" t="n"/>
      <c r="E195" s="6" t="n"/>
      <c r="F195" s="6" t="n"/>
      <c r="G195" s="6" t="n"/>
      <c r="H195" s="6" t="n"/>
      <c r="I195" s="6" t="n"/>
      <c r="J195" s="6" t="n"/>
      <c r="K195" s="7" t="n"/>
      <c r="L195" s="7" t="n"/>
      <c r="M195" s="6" t="n"/>
      <c r="N195" s="6" t="n"/>
      <c r="O195" s="6" t="n"/>
      <c r="P195" s="6" t="n"/>
      <c r="Q195" s="6" t="n"/>
    </row>
    <row r="196" ht="21.75" customHeight="1" s="146">
      <c r="A196" s="10" t="n"/>
      <c r="B196" s="10" t="n"/>
      <c r="C196" s="10" t="n"/>
      <c r="D196" s="10" t="n"/>
      <c r="E196" s="10" t="n"/>
      <c r="F196" s="10" t="n"/>
      <c r="G196" s="10" t="n"/>
      <c r="H196" s="10" t="n"/>
      <c r="I196" s="10" t="n"/>
      <c r="J196" s="10" t="n"/>
      <c r="K196" s="11" t="n"/>
      <c r="L196" s="11" t="n"/>
      <c r="M196" s="10" t="n"/>
      <c r="N196" s="10" t="n"/>
      <c r="O196" s="10" t="n"/>
      <c r="P196" s="10" t="n"/>
      <c r="Q196" s="10" t="n"/>
    </row>
    <row r="197" ht="21.75" customHeight="1" s="146">
      <c r="A197" s="6" t="n"/>
      <c r="B197" s="6" t="n"/>
      <c r="C197" s="6" t="n"/>
      <c r="D197" s="6" t="n"/>
      <c r="E197" s="6" t="n"/>
      <c r="F197" s="6" t="n"/>
      <c r="G197" s="6" t="n"/>
      <c r="H197" s="6" t="n"/>
      <c r="I197" s="6" t="n"/>
      <c r="J197" s="6" t="n"/>
      <c r="K197" s="7" t="n"/>
      <c r="L197" s="7" t="n"/>
      <c r="M197" s="6" t="n"/>
      <c r="N197" s="6" t="n"/>
      <c r="O197" s="6" t="n"/>
      <c r="P197" s="6" t="n"/>
      <c r="Q197" s="6" t="n"/>
    </row>
    <row r="198" ht="21.75" customHeight="1" s="146">
      <c r="A198" s="10" t="n"/>
      <c r="B198" s="10" t="n"/>
      <c r="C198" s="10" t="n"/>
      <c r="D198" s="10" t="n"/>
      <c r="E198" s="10" t="n"/>
      <c r="F198" s="10" t="n"/>
      <c r="G198" s="10" t="n"/>
      <c r="H198" s="10" t="n"/>
      <c r="I198" s="10" t="n"/>
      <c r="J198" s="10" t="n"/>
      <c r="K198" s="11" t="n"/>
      <c r="L198" s="11" t="n"/>
      <c r="M198" s="10" t="n"/>
      <c r="N198" s="10" t="n"/>
      <c r="O198" s="10" t="n"/>
      <c r="P198" s="10" t="n"/>
      <c r="Q198" s="10" t="n"/>
    </row>
    <row r="199" ht="21.75" customHeight="1" s="146">
      <c r="A199" s="6" t="n"/>
      <c r="B199" s="6" t="n"/>
      <c r="C199" s="6" t="n"/>
      <c r="D199" s="6" t="n"/>
      <c r="E199" s="6" t="n"/>
      <c r="F199" s="6" t="n"/>
      <c r="G199" s="6" t="n"/>
      <c r="H199" s="6" t="n"/>
      <c r="I199" s="6" t="n"/>
      <c r="J199" s="6" t="n"/>
      <c r="K199" s="7" t="n"/>
      <c r="L199" s="7" t="n"/>
      <c r="M199" s="6" t="n"/>
      <c r="N199" s="6" t="n"/>
      <c r="O199" s="6" t="n"/>
      <c r="P199" s="6" t="n"/>
      <c r="Q199" s="6" t="n"/>
    </row>
    <row r="200" ht="21.75" customHeight="1" s="146">
      <c r="A200" s="10" t="n"/>
      <c r="B200" s="10" t="n"/>
      <c r="C200" s="10" t="n"/>
      <c r="D200" s="10" t="n"/>
      <c r="E200" s="10" t="n"/>
      <c r="F200" s="10" t="n"/>
      <c r="G200" s="10" t="n"/>
      <c r="H200" s="10" t="n"/>
      <c r="I200" s="10" t="n"/>
      <c r="J200" s="10" t="n"/>
      <c r="K200" s="11" t="n"/>
      <c r="L200" s="11" t="n"/>
      <c r="M200" s="10" t="n"/>
      <c r="N200" s="10" t="n"/>
      <c r="O200" s="10" t="n"/>
      <c r="P200" s="10" t="n"/>
      <c r="Q200" s="10" t="n"/>
    </row>
    <row r="201" ht="21.75" customHeight="1" s="146">
      <c r="A201" s="6" t="n"/>
      <c r="B201" s="6" t="n"/>
      <c r="C201" s="6" t="n"/>
      <c r="D201" s="6" t="n"/>
      <c r="E201" s="6" t="n"/>
      <c r="F201" s="6" t="n"/>
      <c r="G201" s="6" t="n"/>
      <c r="H201" s="6" t="n"/>
      <c r="I201" s="6" t="n"/>
      <c r="J201" s="6" t="n"/>
      <c r="K201" s="7" t="n"/>
      <c r="L201" s="7" t="n"/>
      <c r="M201" s="6" t="n"/>
      <c r="N201" s="6" t="n"/>
      <c r="O201" s="6" t="n"/>
      <c r="P201" s="6" t="n"/>
      <c r="Q201" s="6" t="n"/>
    </row>
    <row r="202" ht="21.75" customHeight="1" s="146">
      <c r="A202" s="10" t="n"/>
      <c r="B202" s="10" t="n"/>
      <c r="C202" s="10" t="n"/>
      <c r="D202" s="10" t="n"/>
      <c r="E202" s="10" t="n"/>
      <c r="F202" s="10" t="n"/>
      <c r="G202" s="10" t="n"/>
      <c r="H202" s="10" t="n"/>
      <c r="I202" s="10" t="n"/>
      <c r="J202" s="10" t="n"/>
      <c r="K202" s="11" t="n"/>
      <c r="L202" s="11" t="n"/>
      <c r="M202" s="10" t="n"/>
      <c r="N202" s="10" t="n"/>
      <c r="O202" s="10" t="n"/>
      <c r="P202" s="10" t="n"/>
      <c r="Q202" s="10" t="n"/>
    </row>
    <row r="203" ht="21.75" customHeight="1" s="146">
      <c r="A203" s="6" t="n"/>
      <c r="B203" s="6" t="n"/>
      <c r="C203" s="6" t="n"/>
      <c r="D203" s="6" t="n"/>
      <c r="E203" s="6" t="n"/>
      <c r="F203" s="6" t="n"/>
      <c r="G203" s="6" t="n"/>
      <c r="H203" s="6" t="n"/>
      <c r="I203" s="6" t="n"/>
      <c r="J203" s="6" t="n"/>
      <c r="K203" s="7" t="n"/>
      <c r="L203" s="7" t="n"/>
      <c r="M203" s="6" t="n"/>
      <c r="N203" s="6" t="n"/>
      <c r="O203" s="6" t="n"/>
      <c r="P203" s="6" t="n"/>
      <c r="Q203" s="6" t="n"/>
    </row>
  </sheetData>
  <mergeCells count="2">
    <mergeCell ref="A1:O1"/>
    <mergeCell ref="A2:O2"/>
  </mergeCells>
  <conditionalFormatting sqref="J4:J203">
    <cfRule type="containsText" priority="4" operator="containsText" dxfId="1" text="YES">
      <formula>NOT(ISERROR(SEARCH("YES",J4)))</formula>
    </cfRule>
  </conditionalFormatting>
  <conditionalFormatting sqref="N4:N203">
    <cfRule type="containsText" priority="2" operator="containsText" dxfId="1" text="Open">
      <formula>NOT(ISERROR(SEARCH("Open",N4)))</formula>
    </cfRule>
    <cfRule type="containsText" priority="3" operator="containsText" dxfId="0" text="Closed">
      <formula>NOT(ISERROR(SEARCH("Closed",N4)))</formula>
    </cfRule>
  </conditionalFormatting>
  <dataValidations count="1">
    <dataValidation sqref="N4:N203" showDropDown="0" showInputMessage="0" showErrorMessage="0" allowBlank="0" type="list">
      <formula1>"Open,In Progress,Closed,Escalated"</formula1>
      <formula2>0</formula2>
    </dataValidation>
  </dataValidations>
  <pageMargins left="0.7" right="0.7" top="0.75" bottom="0.75"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F4A100"/>
    <outlinePr summaryBelow="1" summaryRight="1"/>
    <pageSetUpPr/>
  </sheetPr>
  <dimension ref="A1:J303"/>
  <sheetViews>
    <sheetView showGridLines="0" zoomScaleNormal="100" workbookViewId="0">
      <selection activeCell="A1" sqref="A1"/>
    </sheetView>
  </sheetViews>
  <sheetFormatPr baseColWidth="10" defaultColWidth="8.6640625" defaultRowHeight="15" customHeight="1"/>
  <cols>
    <col width="10" customWidth="1" style="122" min="1" max="1"/>
    <col width="30" customWidth="1" style="122" min="2" max="2"/>
    <col width="11" customWidth="1" style="122" min="3" max="3"/>
    <col width="16" customWidth="1" style="122" min="4" max="4"/>
    <col width="22" customWidth="1" style="122" min="5" max="5"/>
    <col width="14" customWidth="1" style="122" min="6" max="7"/>
    <col width="18" customWidth="1" style="122" min="8" max="8"/>
    <col width="36" customWidth="1" style="122" min="9" max="9"/>
    <col width="12" customWidth="1" style="122" min="10" max="10"/>
  </cols>
  <sheetData>
    <row r="1" ht="36" customHeight="1" s="146">
      <c r="A1" s="121" t="inlineStr">
        <is>
          <t>FIELD TEAM AUDIT &amp; VISIT SCHEDULE 2026-27</t>
        </is>
      </c>
    </row>
    <row r="2" ht="30" customHeight="1" s="146">
      <c r="A2" s="140" t="inlineStr">
        <is>
          <t>HIGH and MEDIUM teams auto-populate ranked by composite score — HIGH teams first. Visit cadence: HIGH = 3x PM site visits per week | MEDIUM = weekly PM check-in | LOW = standard cadence. Complete manually: Planned Date | Actual Date | Conducted By | Findings | Status. Update Status to "Completed" once the visit is done — feeds Dashboard audit completion rate. Teams exit automatically when they drop below MEDIUM.</t>
        </is>
      </c>
    </row>
    <row r="3" ht="36" customHeight="1" s="146">
      <c r="A3" s="5" t="inlineStr">
        <is>
          <t>Team ID</t>
        </is>
      </c>
      <c r="B3" s="5" t="inlineStr">
        <is>
          <t>Team Name</t>
        </is>
      </c>
      <c r="C3" s="5" t="inlineStr">
        <is>
          <t>Current RAG</t>
        </is>
      </c>
      <c r="D3" s="5" t="inlineStr">
        <is>
          <t>PM</t>
        </is>
      </c>
      <c r="E3" s="5" t="inlineStr">
        <is>
          <t>Visit Type</t>
        </is>
      </c>
      <c r="F3" s="5" t="inlineStr">
        <is>
          <t>Planned Date</t>
        </is>
      </c>
      <c r="G3" s="5" t="inlineStr">
        <is>
          <t>Actual Date</t>
        </is>
      </c>
      <c r="H3" s="5" t="inlineStr">
        <is>
          <t>Conducted By</t>
        </is>
      </c>
      <c r="I3" s="5" t="inlineStr">
        <is>
          <t>Findings</t>
        </is>
      </c>
      <c r="J3" s="5" t="inlineStr">
        <is>
          <t>Status</t>
        </is>
      </c>
    </row>
    <row r="4" ht="19.5" customHeight="1" s="146">
      <c r="A4" s="10">
        <f>IFERROR(IF(LARGE('Monthly Matrix'!$AI$4:$AN$76,1)&lt;0,"",INDEX('Monthly Matrix'!$A$4:$A$76,MATCH(LARGE('Monthly Matrix'!$AI$4:$AN$76,1),'Monthly Matrix'!$AI$4:$AN$76,0))),"")</f>
        <v/>
      </c>
      <c r="B4" s="10">
        <f>IFERROR(IF(LARGE('Monthly Matrix'!$AI$4:$AN$76,1)&lt;0,"",INDEX('Monthly Matrix'!$B$4:$B$76,MATCH(LARGE('Monthly Matrix'!$AI$4:$AN$76,1),'Monthly Matrix'!$AI$4:$AN$76,0))),"")</f>
        <v/>
      </c>
      <c r="C4" s="10">
        <f>IFERROR(IF(LARGE('Monthly Matrix'!$AI$4:$AN$76,1)&lt;0,"",INDEX('Monthly Matrix'!$V$4:$AA$76,MATCH(LARGE('Monthly Matrix'!$AI$4:$AN$76,1),'Monthly Matrix'!$AI$4:$AN$76,0))),"")</f>
        <v/>
      </c>
      <c r="D4" s="10">
        <f>IFERROR(IF(LARGE('Monthly Matrix'!$AI$4:$AN$76,1)&lt;0,"",INDEX('Monthly Matrix'!$G$4:$G$76,MATCH(LARGE('Monthly Matrix'!$AI$4:$AN$76,1),'Monthly Matrix'!$AI$4:$AN$76,0))),"")</f>
        <v/>
      </c>
      <c r="E4" s="10">
        <f>IF(LARGE('Monthly Matrix'!$AI$4:$AN$76,1)&lt;0,"",IF(INDEX('Monthly Matrix'!$V$4:$AA$76,MATCH(LARGE('Monthly Matrix'!$AI$4:$AN$76,1),'Monthly Matrix'!$AI$4:$AN$76,0))="HIGH","Site visit (3x per week)","Weekly check-in"))</f>
        <v/>
      </c>
      <c r="F4" s="10" t="n"/>
      <c r="G4" s="10" t="n"/>
      <c r="H4" s="10" t="n"/>
      <c r="I4" s="11" t="n"/>
      <c r="J4" s="10">
        <f>IF(LARGE('Monthly Matrix'!$AI$4:$AN$76,1)&lt;0,"","Scheduled")</f>
        <v/>
      </c>
    </row>
    <row r="5" ht="19.5" customHeight="1" s="146">
      <c r="A5" s="6">
        <f>IFERROR(IF(LARGE('Monthly Matrix'!$AI$4:$AN$76,2)&lt;0,"",INDEX('Monthly Matrix'!$A$4:$A$76,MATCH(LARGE('Monthly Matrix'!$AI$4:$AN$76,2),'Monthly Matrix'!$AI$4:$AN$76,0))),"")</f>
        <v/>
      </c>
      <c r="B5" s="6">
        <f>IFERROR(IF(LARGE('Monthly Matrix'!$AI$4:$AN$76,2)&lt;0,"",INDEX('Monthly Matrix'!$B$4:$B$76,MATCH(LARGE('Monthly Matrix'!$AI$4:$AN$76,2),'Monthly Matrix'!$AI$4:$AN$76,0))),"")</f>
        <v/>
      </c>
      <c r="C5" s="6">
        <f>IFERROR(IF(LARGE('Monthly Matrix'!$AI$4:$AN$76,2)&lt;0,"",INDEX('Monthly Matrix'!$V$4:$AA$76,MATCH(LARGE('Monthly Matrix'!$AI$4:$AN$76,2),'Monthly Matrix'!$AI$4:$AN$76,0))),"")</f>
        <v/>
      </c>
      <c r="D5" s="6">
        <f>IFERROR(IF(LARGE('Monthly Matrix'!$AI$4:$AN$76,2)&lt;0,"",INDEX('Monthly Matrix'!$G$4:$G$76,MATCH(LARGE('Monthly Matrix'!$AI$4:$AN$76,2),'Monthly Matrix'!$AI$4:$AN$76,0))),"")</f>
        <v/>
      </c>
      <c r="E5" s="6">
        <f>IF(LARGE('Monthly Matrix'!$AI$4:$AN$76,2)&lt;0,"",IF(INDEX('Monthly Matrix'!$V$4:$AA$76,MATCH(LARGE('Monthly Matrix'!$AI$4:$AN$76,2),'Monthly Matrix'!$AI$4:$AN$76,0))="HIGH","Site visit (3x per week)","Weekly check-in"))</f>
        <v/>
      </c>
      <c r="F5" s="6" t="n"/>
      <c r="G5" s="6" t="n"/>
      <c r="H5" s="6" t="n"/>
      <c r="I5" s="7" t="n"/>
      <c r="J5" s="6">
        <f>IF(LARGE('Monthly Matrix'!$AI$4:$AN$76,2)&lt;0,"","Scheduled")</f>
        <v/>
      </c>
    </row>
    <row r="6" ht="19.5" customHeight="1" s="146">
      <c r="A6" s="10">
        <f>IFERROR(IF(LARGE('Monthly Matrix'!$AI$4:$AN$76,3)&lt;0,"",INDEX('Monthly Matrix'!$A$4:$A$76,MATCH(LARGE('Monthly Matrix'!$AI$4:$AN$76,3),'Monthly Matrix'!$AI$4:$AN$76,0))),"")</f>
        <v/>
      </c>
      <c r="B6" s="10">
        <f>IFERROR(IF(LARGE('Monthly Matrix'!$AI$4:$AN$76,3)&lt;0,"",INDEX('Monthly Matrix'!$B$4:$B$76,MATCH(LARGE('Monthly Matrix'!$AI$4:$AN$76,3),'Monthly Matrix'!$AI$4:$AN$76,0))),"")</f>
        <v/>
      </c>
      <c r="C6" s="10">
        <f>IFERROR(IF(LARGE('Monthly Matrix'!$AI$4:$AN$76,3)&lt;0,"",INDEX('Monthly Matrix'!$V$4:$AA$76,MATCH(LARGE('Monthly Matrix'!$AI$4:$AN$76,3),'Monthly Matrix'!$AI$4:$AN$76,0))),"")</f>
        <v/>
      </c>
      <c r="D6" s="10">
        <f>IFERROR(IF(LARGE('Monthly Matrix'!$AI$4:$AN$76,3)&lt;0,"",INDEX('Monthly Matrix'!$G$4:$G$76,MATCH(LARGE('Monthly Matrix'!$AI$4:$AN$76,3),'Monthly Matrix'!$AI$4:$AN$76,0))),"")</f>
        <v/>
      </c>
      <c r="E6" s="10">
        <f>IF(LARGE('Monthly Matrix'!$AI$4:$AN$76,3)&lt;0,"",IF(INDEX('Monthly Matrix'!$V$4:$AA$76,MATCH(LARGE('Monthly Matrix'!$AI$4:$AN$76,3),'Monthly Matrix'!$AI$4:$AN$76,0))="HIGH","Site visit (3x per week)","Weekly check-in"))</f>
        <v/>
      </c>
      <c r="F6" s="10" t="n"/>
      <c r="G6" s="10" t="n"/>
      <c r="H6" s="10" t="n"/>
      <c r="I6" s="11" t="n"/>
      <c r="J6" s="10">
        <f>IF(LARGE('Monthly Matrix'!$AI$4:$AN$76,3)&lt;0,"","Scheduled")</f>
        <v/>
      </c>
    </row>
    <row r="7" ht="19.5" customHeight="1" s="146">
      <c r="A7" s="6">
        <f>IFERROR(IF(LARGE('Monthly Matrix'!$AI$4:$AN$76,4)&lt;0,"",INDEX('Monthly Matrix'!$A$4:$A$76,MATCH(LARGE('Monthly Matrix'!$AI$4:$AN$76,4),'Monthly Matrix'!$AI$4:$AN$76,0))),"")</f>
        <v/>
      </c>
      <c r="B7" s="6">
        <f>IFERROR(IF(LARGE('Monthly Matrix'!$AI$4:$AN$76,4)&lt;0,"",INDEX('Monthly Matrix'!$B$4:$B$76,MATCH(LARGE('Monthly Matrix'!$AI$4:$AN$76,4),'Monthly Matrix'!$AI$4:$AN$76,0))),"")</f>
        <v/>
      </c>
      <c r="C7" s="6">
        <f>IFERROR(IF(LARGE('Monthly Matrix'!$AI$4:$AN$76,4)&lt;0,"",INDEX('Monthly Matrix'!$V$4:$AA$76,MATCH(LARGE('Monthly Matrix'!$AI$4:$AN$76,4),'Monthly Matrix'!$AI$4:$AN$76,0))),"")</f>
        <v/>
      </c>
      <c r="D7" s="6">
        <f>IFERROR(IF(LARGE('Monthly Matrix'!$AI$4:$AN$76,4)&lt;0,"",INDEX('Monthly Matrix'!$G$4:$G$76,MATCH(LARGE('Monthly Matrix'!$AI$4:$AN$76,4),'Monthly Matrix'!$AI$4:$AN$76,0))),"")</f>
        <v/>
      </c>
      <c r="E7" s="6">
        <f>IF(LARGE('Monthly Matrix'!$AI$4:$AN$76,4)&lt;0,"",IF(INDEX('Monthly Matrix'!$V$4:$AA$76,MATCH(LARGE('Monthly Matrix'!$AI$4:$AN$76,4),'Monthly Matrix'!$AI$4:$AN$76,0))="HIGH","Site visit (3x per week)","Weekly check-in"))</f>
        <v/>
      </c>
      <c r="F7" s="6" t="n"/>
      <c r="G7" s="6" t="n"/>
      <c r="H7" s="6" t="n"/>
      <c r="I7" s="7" t="n"/>
      <c r="J7" s="6">
        <f>IF(LARGE('Monthly Matrix'!$AI$4:$AN$76,4)&lt;0,"","Scheduled")</f>
        <v/>
      </c>
    </row>
    <row r="8" ht="19.5" customHeight="1" s="146">
      <c r="A8" s="10">
        <f>IFERROR(IF(LARGE('Monthly Matrix'!$AI$4:$AN$76,5)&lt;0,"",INDEX('Monthly Matrix'!$A$4:$A$76,MATCH(LARGE('Monthly Matrix'!$AI$4:$AN$76,5),'Monthly Matrix'!$AI$4:$AN$76,0))),"")</f>
        <v/>
      </c>
      <c r="B8" s="10">
        <f>IFERROR(IF(LARGE('Monthly Matrix'!$AI$4:$AN$76,5)&lt;0,"",INDEX('Monthly Matrix'!$B$4:$B$76,MATCH(LARGE('Monthly Matrix'!$AI$4:$AN$76,5),'Monthly Matrix'!$AI$4:$AN$76,0))),"")</f>
        <v/>
      </c>
      <c r="C8" s="10">
        <f>IFERROR(IF(LARGE('Monthly Matrix'!$AI$4:$AN$76,5)&lt;0,"",INDEX('Monthly Matrix'!$V$4:$AA$76,MATCH(LARGE('Monthly Matrix'!$AI$4:$AN$76,5),'Monthly Matrix'!$AI$4:$AN$76,0))),"")</f>
        <v/>
      </c>
      <c r="D8" s="10">
        <f>IFERROR(IF(LARGE('Monthly Matrix'!$AI$4:$AN$76,5)&lt;0,"",INDEX('Monthly Matrix'!$G$4:$G$76,MATCH(LARGE('Monthly Matrix'!$AI$4:$AN$76,5),'Monthly Matrix'!$AI$4:$AN$76,0))),"")</f>
        <v/>
      </c>
      <c r="E8" s="10">
        <f>IF(LARGE('Monthly Matrix'!$AI$4:$AN$76,5)&lt;0,"",IF(INDEX('Monthly Matrix'!$V$4:$AA$76,MATCH(LARGE('Monthly Matrix'!$AI$4:$AN$76,5),'Monthly Matrix'!$AI$4:$AN$76,0))="HIGH","Site visit (3x per week)","Weekly check-in"))</f>
        <v/>
      </c>
      <c r="F8" s="10" t="n"/>
      <c r="G8" s="10" t="n"/>
      <c r="H8" s="10" t="n"/>
      <c r="I8" s="11" t="n"/>
      <c r="J8" s="10">
        <f>IF(LARGE('Monthly Matrix'!$AI$4:$AN$76,5)&lt;0,"","Scheduled")</f>
        <v/>
      </c>
    </row>
    <row r="9" ht="19.5" customHeight="1" s="146">
      <c r="A9" s="6">
        <f>IFERROR(IF(LARGE('Monthly Matrix'!$AI$4:$AN$76,6)&lt;0,"",INDEX('Monthly Matrix'!$A$4:$A$76,MATCH(LARGE('Monthly Matrix'!$AI$4:$AN$76,6),'Monthly Matrix'!$AI$4:$AN$76,0))),"")</f>
        <v/>
      </c>
      <c r="B9" s="6">
        <f>IFERROR(IF(LARGE('Monthly Matrix'!$AI$4:$AN$76,6)&lt;0,"",INDEX('Monthly Matrix'!$B$4:$B$76,MATCH(LARGE('Monthly Matrix'!$AI$4:$AN$76,6),'Monthly Matrix'!$AI$4:$AN$76,0))),"")</f>
        <v/>
      </c>
      <c r="C9" s="6">
        <f>IFERROR(IF(LARGE('Monthly Matrix'!$AI$4:$AN$76,6)&lt;0,"",INDEX('Monthly Matrix'!$V$4:$AA$76,MATCH(LARGE('Monthly Matrix'!$AI$4:$AN$76,6),'Monthly Matrix'!$AI$4:$AN$76,0))),"")</f>
        <v/>
      </c>
      <c r="D9" s="6">
        <f>IFERROR(IF(LARGE('Monthly Matrix'!$AI$4:$AN$76,6)&lt;0,"",INDEX('Monthly Matrix'!$G$4:$G$76,MATCH(LARGE('Monthly Matrix'!$AI$4:$AN$76,6),'Monthly Matrix'!$AI$4:$AN$76,0))),"")</f>
        <v/>
      </c>
      <c r="E9" s="6">
        <f>IF(LARGE('Monthly Matrix'!$AI$4:$AN$76,6)&lt;0,"",IF(INDEX('Monthly Matrix'!$V$4:$AA$76,MATCH(LARGE('Monthly Matrix'!$AI$4:$AN$76,6),'Monthly Matrix'!$AI$4:$AN$76,0))="HIGH","Site visit (3x per week)","Weekly check-in"))</f>
        <v/>
      </c>
      <c r="F9" s="6" t="n"/>
      <c r="G9" s="6" t="n"/>
      <c r="H9" s="6" t="n"/>
      <c r="I9" s="7" t="n"/>
      <c r="J9" s="6">
        <f>IF(LARGE('Monthly Matrix'!$AI$4:$AN$76,6)&lt;0,"","Scheduled")</f>
        <v/>
      </c>
    </row>
    <row r="10" ht="19.5" customHeight="1" s="146">
      <c r="A10" s="10">
        <f>IFERROR(IF(LARGE('Monthly Matrix'!$AI$4:$AN$76,7)&lt;0,"",INDEX('Monthly Matrix'!$A$4:$A$76,MATCH(LARGE('Monthly Matrix'!$AI$4:$AN$76,7),'Monthly Matrix'!$AI$4:$AN$76,0))),"")</f>
        <v/>
      </c>
      <c r="B10" s="10">
        <f>IFERROR(IF(LARGE('Monthly Matrix'!$AI$4:$AN$76,7)&lt;0,"",INDEX('Monthly Matrix'!$B$4:$B$76,MATCH(LARGE('Monthly Matrix'!$AI$4:$AN$76,7),'Monthly Matrix'!$AI$4:$AN$76,0))),"")</f>
        <v/>
      </c>
      <c r="C10" s="10">
        <f>IFERROR(IF(LARGE('Monthly Matrix'!$AI$4:$AN$76,7)&lt;0,"",INDEX('Monthly Matrix'!$V$4:$AA$76,MATCH(LARGE('Monthly Matrix'!$AI$4:$AN$76,7),'Monthly Matrix'!$AI$4:$AN$76,0))),"")</f>
        <v/>
      </c>
      <c r="D10" s="10">
        <f>IFERROR(IF(LARGE('Monthly Matrix'!$AI$4:$AN$76,7)&lt;0,"",INDEX('Monthly Matrix'!$G$4:$G$76,MATCH(LARGE('Monthly Matrix'!$AI$4:$AN$76,7),'Monthly Matrix'!$AI$4:$AN$76,0))),"")</f>
        <v/>
      </c>
      <c r="E10" s="10">
        <f>IF(LARGE('Monthly Matrix'!$AI$4:$AN$76,7)&lt;0,"",IF(INDEX('Monthly Matrix'!$V$4:$AA$76,MATCH(LARGE('Monthly Matrix'!$AI$4:$AN$76,7),'Monthly Matrix'!$AI$4:$AN$76,0))="HIGH","Site visit (3x per week)","Weekly check-in"))</f>
        <v/>
      </c>
      <c r="F10" s="10" t="n"/>
      <c r="G10" s="10" t="n"/>
      <c r="H10" s="10" t="n"/>
      <c r="I10" s="11" t="n"/>
      <c r="J10" s="10">
        <f>IF(LARGE('Monthly Matrix'!$AI$4:$AN$76,7)&lt;0,"","Scheduled")</f>
        <v/>
      </c>
    </row>
    <row r="11" ht="19.5" customHeight="1" s="146">
      <c r="A11" s="6">
        <f>IFERROR(IF(LARGE('Monthly Matrix'!$AI$4:$AN$76,8)&lt;0,"",INDEX('Monthly Matrix'!$A$4:$A$76,MATCH(LARGE('Monthly Matrix'!$AI$4:$AN$76,8),'Monthly Matrix'!$AI$4:$AN$76,0))),"")</f>
        <v/>
      </c>
      <c r="B11" s="6">
        <f>IFERROR(IF(LARGE('Monthly Matrix'!$AI$4:$AN$76,8)&lt;0,"",INDEX('Monthly Matrix'!$B$4:$B$76,MATCH(LARGE('Monthly Matrix'!$AI$4:$AN$76,8),'Monthly Matrix'!$AI$4:$AN$76,0))),"")</f>
        <v/>
      </c>
      <c r="C11" s="6">
        <f>IFERROR(IF(LARGE('Monthly Matrix'!$AI$4:$AN$76,8)&lt;0,"",INDEX('Monthly Matrix'!$V$4:$AA$76,MATCH(LARGE('Monthly Matrix'!$AI$4:$AN$76,8),'Monthly Matrix'!$AI$4:$AN$76,0))),"")</f>
        <v/>
      </c>
      <c r="D11" s="6">
        <f>IFERROR(IF(LARGE('Monthly Matrix'!$AI$4:$AN$76,8)&lt;0,"",INDEX('Monthly Matrix'!$G$4:$G$76,MATCH(LARGE('Monthly Matrix'!$AI$4:$AN$76,8),'Monthly Matrix'!$AI$4:$AN$76,0))),"")</f>
        <v/>
      </c>
      <c r="E11" s="6">
        <f>IF(LARGE('Monthly Matrix'!$AI$4:$AN$76,8)&lt;0,"",IF(INDEX('Monthly Matrix'!$V$4:$AA$76,MATCH(LARGE('Monthly Matrix'!$AI$4:$AN$76,8),'Monthly Matrix'!$AI$4:$AN$76,0))="HIGH","Site visit (3x per week)","Weekly check-in"))</f>
        <v/>
      </c>
      <c r="F11" s="6" t="n"/>
      <c r="G11" s="6" t="n"/>
      <c r="H11" s="6" t="n"/>
      <c r="I11" s="7" t="n"/>
      <c r="J11" s="6">
        <f>IF(LARGE('Monthly Matrix'!$AI$4:$AN$76,8)&lt;0,"","Scheduled")</f>
        <v/>
      </c>
    </row>
    <row r="12" ht="19.5" customHeight="1" s="146">
      <c r="A12" s="10">
        <f>IFERROR(IF(LARGE('Monthly Matrix'!$AI$4:$AN$76,9)&lt;0,"",INDEX('Monthly Matrix'!$A$4:$A$76,MATCH(LARGE('Monthly Matrix'!$AI$4:$AN$76,9),'Monthly Matrix'!$AI$4:$AN$76,0))),"")</f>
        <v/>
      </c>
      <c r="B12" s="10">
        <f>IFERROR(IF(LARGE('Monthly Matrix'!$AI$4:$AN$76,9)&lt;0,"",INDEX('Monthly Matrix'!$B$4:$B$76,MATCH(LARGE('Monthly Matrix'!$AI$4:$AN$76,9),'Monthly Matrix'!$AI$4:$AN$76,0))),"")</f>
        <v/>
      </c>
      <c r="C12" s="10">
        <f>IFERROR(IF(LARGE('Monthly Matrix'!$AI$4:$AN$76,9)&lt;0,"",INDEX('Monthly Matrix'!$V$4:$AA$76,MATCH(LARGE('Monthly Matrix'!$AI$4:$AN$76,9),'Monthly Matrix'!$AI$4:$AN$76,0))),"")</f>
        <v/>
      </c>
      <c r="D12" s="10">
        <f>IFERROR(IF(LARGE('Monthly Matrix'!$AI$4:$AN$76,9)&lt;0,"",INDEX('Monthly Matrix'!$G$4:$G$76,MATCH(LARGE('Monthly Matrix'!$AI$4:$AN$76,9),'Monthly Matrix'!$AI$4:$AN$76,0))),"")</f>
        <v/>
      </c>
      <c r="E12" s="10">
        <f>IF(LARGE('Monthly Matrix'!$AI$4:$AN$76,9)&lt;0,"",IF(INDEX('Monthly Matrix'!$V$4:$AA$76,MATCH(LARGE('Monthly Matrix'!$AI$4:$AN$76,9),'Monthly Matrix'!$AI$4:$AN$76,0))="HIGH","Site visit (3x per week)","Weekly check-in"))</f>
        <v/>
      </c>
      <c r="F12" s="10" t="n"/>
      <c r="G12" s="10" t="n"/>
      <c r="H12" s="10" t="n"/>
      <c r="I12" s="11" t="n"/>
      <c r="J12" s="10">
        <f>IF(LARGE('Monthly Matrix'!$AI$4:$AN$76,9)&lt;0,"","Scheduled")</f>
        <v/>
      </c>
    </row>
    <row r="13" ht="19.5" customHeight="1" s="146">
      <c r="A13" s="6">
        <f>IFERROR(IF(LARGE('Monthly Matrix'!$AI$4:$AN$76,10)&lt;0,"",INDEX('Monthly Matrix'!$A$4:$A$76,MATCH(LARGE('Monthly Matrix'!$AI$4:$AN$76,10),'Monthly Matrix'!$AI$4:$AN$76,0))),"")</f>
        <v/>
      </c>
      <c r="B13" s="6">
        <f>IFERROR(IF(LARGE('Monthly Matrix'!$AI$4:$AN$76,10)&lt;0,"",INDEX('Monthly Matrix'!$B$4:$B$76,MATCH(LARGE('Monthly Matrix'!$AI$4:$AN$76,10),'Monthly Matrix'!$AI$4:$AN$76,0))),"")</f>
        <v/>
      </c>
      <c r="C13" s="6">
        <f>IFERROR(IF(LARGE('Monthly Matrix'!$AI$4:$AN$76,10)&lt;0,"",INDEX('Monthly Matrix'!$V$4:$AA$76,MATCH(LARGE('Monthly Matrix'!$AI$4:$AN$76,10),'Monthly Matrix'!$AI$4:$AN$76,0))),"")</f>
        <v/>
      </c>
      <c r="D13" s="6">
        <f>IFERROR(IF(LARGE('Monthly Matrix'!$AI$4:$AN$76,10)&lt;0,"",INDEX('Monthly Matrix'!$G$4:$G$76,MATCH(LARGE('Monthly Matrix'!$AI$4:$AN$76,10),'Monthly Matrix'!$AI$4:$AN$76,0))),"")</f>
        <v/>
      </c>
      <c r="E13" s="6">
        <f>IF(LARGE('Monthly Matrix'!$AI$4:$AN$76,10)&lt;0,"",IF(INDEX('Monthly Matrix'!$V$4:$AA$76,MATCH(LARGE('Monthly Matrix'!$AI$4:$AN$76,10),'Monthly Matrix'!$AI$4:$AN$76,0))="HIGH","Site visit (3x per week)","Weekly check-in"))</f>
        <v/>
      </c>
      <c r="F13" s="6" t="n"/>
      <c r="G13" s="6" t="n"/>
      <c r="H13" s="6" t="n"/>
      <c r="I13" s="7" t="n"/>
      <c r="J13" s="6">
        <f>IF(LARGE('Monthly Matrix'!$AI$4:$AN$76,10)&lt;0,"","Scheduled")</f>
        <v/>
      </c>
    </row>
    <row r="14" ht="19.5" customHeight="1" s="146">
      <c r="A14" s="10">
        <f>IFERROR(IF(LARGE('Monthly Matrix'!$AI$4:$AN$76,11)&lt;0,"",INDEX('Monthly Matrix'!$A$4:$A$76,MATCH(LARGE('Monthly Matrix'!$AI$4:$AN$76,11),'Monthly Matrix'!$AI$4:$AN$76,0))),"")</f>
        <v/>
      </c>
      <c r="B14" s="10">
        <f>IFERROR(IF(LARGE('Monthly Matrix'!$AI$4:$AN$76,11)&lt;0,"",INDEX('Monthly Matrix'!$B$4:$B$76,MATCH(LARGE('Monthly Matrix'!$AI$4:$AN$76,11),'Monthly Matrix'!$AI$4:$AN$76,0))),"")</f>
        <v/>
      </c>
      <c r="C14" s="10">
        <f>IFERROR(IF(LARGE('Monthly Matrix'!$AI$4:$AN$76,11)&lt;0,"",INDEX('Monthly Matrix'!$V$4:$AA$76,MATCH(LARGE('Monthly Matrix'!$AI$4:$AN$76,11),'Monthly Matrix'!$AI$4:$AN$76,0))),"")</f>
        <v/>
      </c>
      <c r="D14" s="10">
        <f>IFERROR(IF(LARGE('Monthly Matrix'!$AI$4:$AN$76,11)&lt;0,"",INDEX('Monthly Matrix'!$G$4:$G$76,MATCH(LARGE('Monthly Matrix'!$AI$4:$AN$76,11),'Monthly Matrix'!$AI$4:$AN$76,0))),"")</f>
        <v/>
      </c>
      <c r="E14" s="10">
        <f>IF(LARGE('Monthly Matrix'!$AI$4:$AN$76,11)&lt;0,"",IF(INDEX('Monthly Matrix'!$V$4:$AA$76,MATCH(LARGE('Monthly Matrix'!$AI$4:$AN$76,11),'Monthly Matrix'!$AI$4:$AN$76,0))="HIGH","Site visit (3x per week)","Weekly check-in"))</f>
        <v/>
      </c>
      <c r="F14" s="10" t="n"/>
      <c r="G14" s="10" t="n"/>
      <c r="H14" s="10" t="n"/>
      <c r="I14" s="11" t="n"/>
      <c r="J14" s="10">
        <f>IF(LARGE('Monthly Matrix'!$AI$4:$AN$76,11)&lt;0,"","Scheduled")</f>
        <v/>
      </c>
    </row>
    <row r="15" ht="19.5" customHeight="1" s="146">
      <c r="A15" s="6">
        <f>IFERROR(IF(LARGE('Monthly Matrix'!$AI$4:$AN$76,12)&lt;0,"",INDEX('Monthly Matrix'!$A$4:$A$76,MATCH(LARGE('Monthly Matrix'!$AI$4:$AN$76,12),'Monthly Matrix'!$AI$4:$AN$76,0))),"")</f>
        <v/>
      </c>
      <c r="B15" s="6">
        <f>IFERROR(IF(LARGE('Monthly Matrix'!$AI$4:$AN$76,12)&lt;0,"",INDEX('Monthly Matrix'!$B$4:$B$76,MATCH(LARGE('Monthly Matrix'!$AI$4:$AN$76,12),'Monthly Matrix'!$AI$4:$AN$76,0))),"")</f>
        <v/>
      </c>
      <c r="C15" s="6">
        <f>IFERROR(IF(LARGE('Monthly Matrix'!$AI$4:$AN$76,12)&lt;0,"",INDEX('Monthly Matrix'!$V$4:$AA$76,MATCH(LARGE('Monthly Matrix'!$AI$4:$AN$76,12),'Monthly Matrix'!$AI$4:$AN$76,0))),"")</f>
        <v/>
      </c>
      <c r="D15" s="6">
        <f>IFERROR(IF(LARGE('Monthly Matrix'!$AI$4:$AN$76,12)&lt;0,"",INDEX('Monthly Matrix'!$G$4:$G$76,MATCH(LARGE('Monthly Matrix'!$AI$4:$AN$76,12),'Monthly Matrix'!$AI$4:$AN$76,0))),"")</f>
        <v/>
      </c>
      <c r="E15" s="6">
        <f>IF(LARGE('Monthly Matrix'!$AI$4:$AN$76,12)&lt;0,"",IF(INDEX('Monthly Matrix'!$V$4:$AA$76,MATCH(LARGE('Monthly Matrix'!$AI$4:$AN$76,12),'Monthly Matrix'!$AI$4:$AN$76,0))="HIGH","Site visit (3x per week)","Weekly check-in"))</f>
        <v/>
      </c>
      <c r="F15" s="6" t="n"/>
      <c r="G15" s="6" t="n"/>
      <c r="H15" s="6" t="n"/>
      <c r="I15" s="7" t="n"/>
      <c r="J15" s="6">
        <f>IF(LARGE('Monthly Matrix'!$AI$4:$AN$76,12)&lt;0,"","Scheduled")</f>
        <v/>
      </c>
    </row>
    <row r="16" ht="19.5" customHeight="1" s="146">
      <c r="A16" s="10">
        <f>IFERROR(IF(LARGE('Monthly Matrix'!$AI$4:$AN$76,13)&lt;0,"",INDEX('Monthly Matrix'!$A$4:$A$76,MATCH(LARGE('Monthly Matrix'!$AI$4:$AN$76,13),'Monthly Matrix'!$AI$4:$AN$76,0))),"")</f>
        <v/>
      </c>
      <c r="B16" s="10">
        <f>IFERROR(IF(LARGE('Monthly Matrix'!$AI$4:$AN$76,13)&lt;0,"",INDEX('Monthly Matrix'!$B$4:$B$76,MATCH(LARGE('Monthly Matrix'!$AI$4:$AN$76,13),'Monthly Matrix'!$AI$4:$AN$76,0))),"")</f>
        <v/>
      </c>
      <c r="C16" s="10">
        <f>IFERROR(IF(LARGE('Monthly Matrix'!$AI$4:$AN$76,13)&lt;0,"",INDEX('Monthly Matrix'!$V$4:$AA$76,MATCH(LARGE('Monthly Matrix'!$AI$4:$AN$76,13),'Monthly Matrix'!$AI$4:$AN$76,0))),"")</f>
        <v/>
      </c>
      <c r="D16" s="10">
        <f>IFERROR(IF(LARGE('Monthly Matrix'!$AI$4:$AN$76,13)&lt;0,"",INDEX('Monthly Matrix'!$G$4:$G$76,MATCH(LARGE('Monthly Matrix'!$AI$4:$AN$76,13),'Monthly Matrix'!$AI$4:$AN$76,0))),"")</f>
        <v/>
      </c>
      <c r="E16" s="10">
        <f>IF(LARGE('Monthly Matrix'!$AI$4:$AN$76,13)&lt;0,"",IF(INDEX('Monthly Matrix'!$V$4:$AA$76,MATCH(LARGE('Monthly Matrix'!$AI$4:$AN$76,13),'Monthly Matrix'!$AI$4:$AN$76,0))="HIGH","Site visit (3x per week)","Weekly check-in"))</f>
        <v/>
      </c>
      <c r="F16" s="10" t="n"/>
      <c r="G16" s="10" t="n"/>
      <c r="H16" s="10" t="n"/>
      <c r="I16" s="11" t="n"/>
      <c r="J16" s="10">
        <f>IF(LARGE('Monthly Matrix'!$AI$4:$AN$76,13)&lt;0,"","Scheduled")</f>
        <v/>
      </c>
    </row>
    <row r="17" ht="19.5" customHeight="1" s="146">
      <c r="A17" s="6">
        <f>IFERROR(IF(LARGE('Monthly Matrix'!$AI$4:$AN$76,14)&lt;0,"",INDEX('Monthly Matrix'!$A$4:$A$76,MATCH(LARGE('Monthly Matrix'!$AI$4:$AN$76,14),'Monthly Matrix'!$AI$4:$AN$76,0))),"")</f>
        <v/>
      </c>
      <c r="B17" s="6">
        <f>IFERROR(IF(LARGE('Monthly Matrix'!$AI$4:$AN$76,14)&lt;0,"",INDEX('Monthly Matrix'!$B$4:$B$76,MATCH(LARGE('Monthly Matrix'!$AI$4:$AN$76,14),'Monthly Matrix'!$AI$4:$AN$76,0))),"")</f>
        <v/>
      </c>
      <c r="C17" s="6">
        <f>IFERROR(IF(LARGE('Monthly Matrix'!$AI$4:$AN$76,14)&lt;0,"",INDEX('Monthly Matrix'!$V$4:$AA$76,MATCH(LARGE('Monthly Matrix'!$AI$4:$AN$76,14),'Monthly Matrix'!$AI$4:$AN$76,0))),"")</f>
        <v/>
      </c>
      <c r="D17" s="6">
        <f>IFERROR(IF(LARGE('Monthly Matrix'!$AI$4:$AN$76,14)&lt;0,"",INDEX('Monthly Matrix'!$G$4:$G$76,MATCH(LARGE('Monthly Matrix'!$AI$4:$AN$76,14),'Monthly Matrix'!$AI$4:$AN$76,0))),"")</f>
        <v/>
      </c>
      <c r="E17" s="6">
        <f>IF(LARGE('Monthly Matrix'!$AI$4:$AN$76,14)&lt;0,"",IF(INDEX('Monthly Matrix'!$V$4:$AA$76,MATCH(LARGE('Monthly Matrix'!$AI$4:$AN$76,14),'Monthly Matrix'!$AI$4:$AN$76,0))="HIGH","Site visit (3x per week)","Weekly check-in"))</f>
        <v/>
      </c>
      <c r="F17" s="6" t="n"/>
      <c r="G17" s="6" t="n"/>
      <c r="H17" s="6" t="n"/>
      <c r="I17" s="7" t="n"/>
      <c r="J17" s="6">
        <f>IF(LARGE('Monthly Matrix'!$AI$4:$AN$76,14)&lt;0,"","Scheduled")</f>
        <v/>
      </c>
    </row>
    <row r="18" ht="19.5" customHeight="1" s="146">
      <c r="A18" s="10">
        <f>IFERROR(IF(LARGE('Monthly Matrix'!$AI$4:$AN$76,15)&lt;0,"",INDEX('Monthly Matrix'!$A$4:$A$76,MATCH(LARGE('Monthly Matrix'!$AI$4:$AN$76,15),'Monthly Matrix'!$AI$4:$AN$76,0))),"")</f>
        <v/>
      </c>
      <c r="B18" s="10">
        <f>IFERROR(IF(LARGE('Monthly Matrix'!$AI$4:$AN$76,15)&lt;0,"",INDEX('Monthly Matrix'!$B$4:$B$76,MATCH(LARGE('Monthly Matrix'!$AI$4:$AN$76,15),'Monthly Matrix'!$AI$4:$AN$76,0))),"")</f>
        <v/>
      </c>
      <c r="C18" s="10">
        <f>IFERROR(IF(LARGE('Monthly Matrix'!$AI$4:$AN$76,15)&lt;0,"",INDEX('Monthly Matrix'!$V$4:$AA$76,MATCH(LARGE('Monthly Matrix'!$AI$4:$AN$76,15),'Monthly Matrix'!$AI$4:$AN$76,0))),"")</f>
        <v/>
      </c>
      <c r="D18" s="10">
        <f>IFERROR(IF(LARGE('Monthly Matrix'!$AI$4:$AN$76,15)&lt;0,"",INDEX('Monthly Matrix'!$G$4:$G$76,MATCH(LARGE('Monthly Matrix'!$AI$4:$AN$76,15),'Monthly Matrix'!$AI$4:$AN$76,0))),"")</f>
        <v/>
      </c>
      <c r="E18" s="10">
        <f>IF(LARGE('Monthly Matrix'!$AI$4:$AN$76,15)&lt;0,"",IF(INDEX('Monthly Matrix'!$V$4:$AA$76,MATCH(LARGE('Monthly Matrix'!$AI$4:$AN$76,15),'Monthly Matrix'!$AI$4:$AN$76,0))="HIGH","Site visit (3x per week)","Weekly check-in"))</f>
        <v/>
      </c>
      <c r="F18" s="10" t="n"/>
      <c r="G18" s="10" t="n"/>
      <c r="H18" s="10" t="n"/>
      <c r="I18" s="11" t="n"/>
      <c r="J18" s="10">
        <f>IF(LARGE('Monthly Matrix'!$AI$4:$AN$76,15)&lt;0,"","Scheduled")</f>
        <v/>
      </c>
    </row>
    <row r="19" ht="19.5" customHeight="1" s="146">
      <c r="A19" s="6">
        <f>IFERROR(IF(LARGE('Monthly Matrix'!$AI$4:$AN$76,16)&lt;0,"",INDEX('Monthly Matrix'!$A$4:$A$76,MATCH(LARGE('Monthly Matrix'!$AI$4:$AN$76,16),'Monthly Matrix'!$AI$4:$AN$76,0))),"")</f>
        <v/>
      </c>
      <c r="B19" s="6">
        <f>IFERROR(IF(LARGE('Monthly Matrix'!$AI$4:$AN$76,16)&lt;0,"",INDEX('Monthly Matrix'!$B$4:$B$76,MATCH(LARGE('Monthly Matrix'!$AI$4:$AN$76,16),'Monthly Matrix'!$AI$4:$AN$76,0))),"")</f>
        <v/>
      </c>
      <c r="C19" s="6">
        <f>IFERROR(IF(LARGE('Monthly Matrix'!$AI$4:$AN$76,16)&lt;0,"",INDEX('Monthly Matrix'!$V$4:$AA$76,MATCH(LARGE('Monthly Matrix'!$AI$4:$AN$76,16),'Monthly Matrix'!$AI$4:$AN$76,0))),"")</f>
        <v/>
      </c>
      <c r="D19" s="6">
        <f>IFERROR(IF(LARGE('Monthly Matrix'!$AI$4:$AN$76,16)&lt;0,"",INDEX('Monthly Matrix'!$G$4:$G$76,MATCH(LARGE('Monthly Matrix'!$AI$4:$AN$76,16),'Monthly Matrix'!$AI$4:$AN$76,0))),"")</f>
        <v/>
      </c>
      <c r="E19" s="6">
        <f>IF(LARGE('Monthly Matrix'!$AI$4:$AN$76,16)&lt;0,"",IF(INDEX('Monthly Matrix'!$V$4:$AA$76,MATCH(LARGE('Monthly Matrix'!$AI$4:$AN$76,16),'Monthly Matrix'!$AI$4:$AN$76,0))="HIGH","Site visit (3x per week)","Weekly check-in"))</f>
        <v/>
      </c>
      <c r="F19" s="6" t="n"/>
      <c r="G19" s="6" t="n"/>
      <c r="H19" s="6" t="n"/>
      <c r="I19" s="7" t="n"/>
      <c r="J19" s="6">
        <f>IF(LARGE('Monthly Matrix'!$AI$4:$AN$76,16)&lt;0,"","Scheduled")</f>
        <v/>
      </c>
    </row>
    <row r="20" ht="19.5" customHeight="1" s="146">
      <c r="A20" s="10">
        <f>IFERROR(IF(LARGE('Monthly Matrix'!$AI$4:$AN$76,17)&lt;0,"",INDEX('Monthly Matrix'!$A$4:$A$76,MATCH(LARGE('Monthly Matrix'!$AI$4:$AN$76,17),'Monthly Matrix'!$AI$4:$AN$76,0))),"")</f>
        <v/>
      </c>
      <c r="B20" s="10">
        <f>IFERROR(IF(LARGE('Monthly Matrix'!$AI$4:$AN$76,17)&lt;0,"",INDEX('Monthly Matrix'!$B$4:$B$76,MATCH(LARGE('Monthly Matrix'!$AI$4:$AN$76,17),'Monthly Matrix'!$AI$4:$AN$76,0))),"")</f>
        <v/>
      </c>
      <c r="C20" s="10">
        <f>IFERROR(IF(LARGE('Monthly Matrix'!$AI$4:$AN$76,17)&lt;0,"",INDEX('Monthly Matrix'!$V$4:$AA$76,MATCH(LARGE('Monthly Matrix'!$AI$4:$AN$76,17),'Monthly Matrix'!$AI$4:$AN$76,0))),"")</f>
        <v/>
      </c>
      <c r="D20" s="10">
        <f>IFERROR(IF(LARGE('Monthly Matrix'!$AI$4:$AN$76,17)&lt;0,"",INDEX('Monthly Matrix'!$G$4:$G$76,MATCH(LARGE('Monthly Matrix'!$AI$4:$AN$76,17),'Monthly Matrix'!$AI$4:$AN$76,0))),"")</f>
        <v/>
      </c>
      <c r="E20" s="10">
        <f>IF(LARGE('Monthly Matrix'!$AI$4:$AN$76,17)&lt;0,"",IF(INDEX('Monthly Matrix'!$V$4:$AA$76,MATCH(LARGE('Monthly Matrix'!$AI$4:$AN$76,17),'Monthly Matrix'!$AI$4:$AN$76,0))="HIGH","Site visit (3x per week)","Weekly check-in"))</f>
        <v/>
      </c>
      <c r="F20" s="10" t="n"/>
      <c r="G20" s="10" t="n"/>
      <c r="H20" s="10" t="n"/>
      <c r="I20" s="11" t="n"/>
      <c r="J20" s="10">
        <f>IF(LARGE('Monthly Matrix'!$AI$4:$AN$76,17)&lt;0,"","Scheduled")</f>
        <v/>
      </c>
    </row>
    <row r="21" ht="19.5" customHeight="1" s="146">
      <c r="A21" s="6">
        <f>IFERROR(IF(LARGE('Monthly Matrix'!$AI$4:$AN$76,18)&lt;0,"",INDEX('Monthly Matrix'!$A$4:$A$76,MATCH(LARGE('Monthly Matrix'!$AI$4:$AN$76,18),'Monthly Matrix'!$AI$4:$AN$76,0))),"")</f>
        <v/>
      </c>
      <c r="B21" s="6">
        <f>IFERROR(IF(LARGE('Monthly Matrix'!$AI$4:$AN$76,18)&lt;0,"",INDEX('Monthly Matrix'!$B$4:$B$76,MATCH(LARGE('Monthly Matrix'!$AI$4:$AN$76,18),'Monthly Matrix'!$AI$4:$AN$76,0))),"")</f>
        <v/>
      </c>
      <c r="C21" s="6">
        <f>IFERROR(IF(LARGE('Monthly Matrix'!$AI$4:$AN$76,18)&lt;0,"",INDEX('Monthly Matrix'!$V$4:$AA$76,MATCH(LARGE('Monthly Matrix'!$AI$4:$AN$76,18),'Monthly Matrix'!$AI$4:$AN$76,0))),"")</f>
        <v/>
      </c>
      <c r="D21" s="6">
        <f>IFERROR(IF(LARGE('Monthly Matrix'!$AI$4:$AN$76,18)&lt;0,"",INDEX('Monthly Matrix'!$G$4:$G$76,MATCH(LARGE('Monthly Matrix'!$AI$4:$AN$76,18),'Monthly Matrix'!$AI$4:$AN$76,0))),"")</f>
        <v/>
      </c>
      <c r="E21" s="6">
        <f>IF(LARGE('Monthly Matrix'!$AI$4:$AN$76,18)&lt;0,"",IF(INDEX('Monthly Matrix'!$V$4:$AA$76,MATCH(LARGE('Monthly Matrix'!$AI$4:$AN$76,18),'Monthly Matrix'!$AI$4:$AN$76,0))="HIGH","Site visit (3x per week)","Weekly check-in"))</f>
        <v/>
      </c>
      <c r="F21" s="6" t="n"/>
      <c r="G21" s="6" t="n"/>
      <c r="H21" s="6" t="n"/>
      <c r="I21" s="7" t="n"/>
      <c r="J21" s="6">
        <f>IF(LARGE('Monthly Matrix'!$AI$4:$AN$76,18)&lt;0,"","Scheduled")</f>
        <v/>
      </c>
    </row>
    <row r="22" ht="19.5" customHeight="1" s="146">
      <c r="A22" s="10">
        <f>IFERROR(IF(LARGE('Monthly Matrix'!$AI$4:$AN$76,19)&lt;0,"",INDEX('Monthly Matrix'!$A$4:$A$76,MATCH(LARGE('Monthly Matrix'!$AI$4:$AN$76,19),'Monthly Matrix'!$AI$4:$AN$76,0))),"")</f>
        <v/>
      </c>
      <c r="B22" s="10">
        <f>IFERROR(IF(LARGE('Monthly Matrix'!$AI$4:$AN$76,19)&lt;0,"",INDEX('Monthly Matrix'!$B$4:$B$76,MATCH(LARGE('Monthly Matrix'!$AI$4:$AN$76,19),'Monthly Matrix'!$AI$4:$AN$76,0))),"")</f>
        <v/>
      </c>
      <c r="C22" s="10">
        <f>IFERROR(IF(LARGE('Monthly Matrix'!$AI$4:$AN$76,19)&lt;0,"",INDEX('Monthly Matrix'!$V$4:$AA$76,MATCH(LARGE('Monthly Matrix'!$AI$4:$AN$76,19),'Monthly Matrix'!$AI$4:$AN$76,0))),"")</f>
        <v/>
      </c>
      <c r="D22" s="10">
        <f>IFERROR(IF(LARGE('Monthly Matrix'!$AI$4:$AN$76,19)&lt;0,"",INDEX('Monthly Matrix'!$G$4:$G$76,MATCH(LARGE('Monthly Matrix'!$AI$4:$AN$76,19),'Monthly Matrix'!$AI$4:$AN$76,0))),"")</f>
        <v/>
      </c>
      <c r="E22" s="10">
        <f>IF(LARGE('Monthly Matrix'!$AI$4:$AN$76,19)&lt;0,"",IF(INDEX('Monthly Matrix'!$V$4:$AA$76,MATCH(LARGE('Monthly Matrix'!$AI$4:$AN$76,19),'Monthly Matrix'!$AI$4:$AN$76,0))="HIGH","Site visit (3x per week)","Weekly check-in"))</f>
        <v/>
      </c>
      <c r="F22" s="10" t="n"/>
      <c r="G22" s="10" t="n"/>
      <c r="H22" s="10" t="n"/>
      <c r="I22" s="11" t="n"/>
      <c r="J22" s="10">
        <f>IF(LARGE('Monthly Matrix'!$AI$4:$AN$76,19)&lt;0,"","Scheduled")</f>
        <v/>
      </c>
    </row>
    <row r="23" ht="19.5" customHeight="1" s="146">
      <c r="A23" s="6">
        <f>IFERROR(IF(LARGE('Monthly Matrix'!$AI$4:$AN$76,20)&lt;0,"",INDEX('Monthly Matrix'!$A$4:$A$76,MATCH(LARGE('Monthly Matrix'!$AI$4:$AN$76,20),'Monthly Matrix'!$AI$4:$AN$76,0))),"")</f>
        <v/>
      </c>
      <c r="B23" s="6">
        <f>IFERROR(IF(LARGE('Monthly Matrix'!$AI$4:$AN$76,20)&lt;0,"",INDEX('Monthly Matrix'!$B$4:$B$76,MATCH(LARGE('Monthly Matrix'!$AI$4:$AN$76,20),'Monthly Matrix'!$AI$4:$AN$76,0))),"")</f>
        <v/>
      </c>
      <c r="C23" s="6">
        <f>IFERROR(IF(LARGE('Monthly Matrix'!$AI$4:$AN$76,20)&lt;0,"",INDEX('Monthly Matrix'!$V$4:$AA$76,MATCH(LARGE('Monthly Matrix'!$AI$4:$AN$76,20),'Monthly Matrix'!$AI$4:$AN$76,0))),"")</f>
        <v/>
      </c>
      <c r="D23" s="6">
        <f>IFERROR(IF(LARGE('Monthly Matrix'!$AI$4:$AN$76,20)&lt;0,"",INDEX('Monthly Matrix'!$G$4:$G$76,MATCH(LARGE('Monthly Matrix'!$AI$4:$AN$76,20),'Monthly Matrix'!$AI$4:$AN$76,0))),"")</f>
        <v/>
      </c>
      <c r="E23" s="6">
        <f>IF(LARGE('Monthly Matrix'!$AI$4:$AN$76,20)&lt;0,"",IF(INDEX('Monthly Matrix'!$V$4:$AA$76,MATCH(LARGE('Monthly Matrix'!$AI$4:$AN$76,20),'Monthly Matrix'!$AI$4:$AN$76,0))="HIGH","Site visit (3x per week)","Weekly check-in"))</f>
        <v/>
      </c>
      <c r="F23" s="6" t="n"/>
      <c r="G23" s="6" t="n"/>
      <c r="H23" s="6" t="n"/>
      <c r="I23" s="7" t="n"/>
      <c r="J23" s="6">
        <f>IF(LARGE('Monthly Matrix'!$AI$4:$AN$76,20)&lt;0,"","Scheduled")</f>
        <v/>
      </c>
    </row>
    <row r="24" ht="19.5" customHeight="1" s="146">
      <c r="A24" s="10">
        <f>IFERROR(IF(LARGE('Monthly Matrix'!$AI$4:$AN$76,21)&lt;0,"",INDEX('Monthly Matrix'!$A$4:$A$76,MATCH(LARGE('Monthly Matrix'!$AI$4:$AN$76,21),'Monthly Matrix'!$AI$4:$AN$76,0))),"")</f>
        <v/>
      </c>
      <c r="B24" s="10">
        <f>IFERROR(IF(LARGE('Monthly Matrix'!$AI$4:$AN$76,21)&lt;0,"",INDEX('Monthly Matrix'!$B$4:$B$76,MATCH(LARGE('Monthly Matrix'!$AI$4:$AN$76,21),'Monthly Matrix'!$AI$4:$AN$76,0))),"")</f>
        <v/>
      </c>
      <c r="C24" s="10">
        <f>IFERROR(IF(LARGE('Monthly Matrix'!$AI$4:$AN$76,21)&lt;0,"",INDEX('Monthly Matrix'!$V$4:$AA$76,MATCH(LARGE('Monthly Matrix'!$AI$4:$AN$76,21),'Monthly Matrix'!$AI$4:$AN$76,0))),"")</f>
        <v/>
      </c>
      <c r="D24" s="10">
        <f>IFERROR(IF(LARGE('Monthly Matrix'!$AI$4:$AN$76,21)&lt;0,"",INDEX('Monthly Matrix'!$G$4:$G$76,MATCH(LARGE('Monthly Matrix'!$AI$4:$AN$76,21),'Monthly Matrix'!$AI$4:$AN$76,0))),"")</f>
        <v/>
      </c>
      <c r="E24" s="10">
        <f>IF(LARGE('Monthly Matrix'!$AI$4:$AN$76,21)&lt;0,"",IF(INDEX('Monthly Matrix'!$V$4:$AA$76,MATCH(LARGE('Monthly Matrix'!$AI$4:$AN$76,21),'Monthly Matrix'!$AI$4:$AN$76,0))="HIGH","Site visit (3x per week)","Weekly check-in"))</f>
        <v/>
      </c>
      <c r="F24" s="10" t="n"/>
      <c r="G24" s="10" t="n"/>
      <c r="H24" s="10" t="n"/>
      <c r="I24" s="11" t="n"/>
      <c r="J24" s="10">
        <f>IF(LARGE('Monthly Matrix'!$AI$4:$AN$76,21)&lt;0,"","Scheduled")</f>
        <v/>
      </c>
    </row>
    <row r="25" ht="19.5" customHeight="1" s="146">
      <c r="A25" s="6">
        <f>IFERROR(IF(LARGE('Monthly Matrix'!$AI$4:$AN$76,22)&lt;0,"",INDEX('Monthly Matrix'!$A$4:$A$76,MATCH(LARGE('Monthly Matrix'!$AI$4:$AN$76,22),'Monthly Matrix'!$AI$4:$AN$76,0))),"")</f>
        <v/>
      </c>
      <c r="B25" s="6">
        <f>IFERROR(IF(LARGE('Monthly Matrix'!$AI$4:$AN$76,22)&lt;0,"",INDEX('Monthly Matrix'!$B$4:$B$76,MATCH(LARGE('Monthly Matrix'!$AI$4:$AN$76,22),'Monthly Matrix'!$AI$4:$AN$76,0))),"")</f>
        <v/>
      </c>
      <c r="C25" s="6">
        <f>IFERROR(IF(LARGE('Monthly Matrix'!$AI$4:$AN$76,22)&lt;0,"",INDEX('Monthly Matrix'!$V$4:$AA$76,MATCH(LARGE('Monthly Matrix'!$AI$4:$AN$76,22),'Monthly Matrix'!$AI$4:$AN$76,0))),"")</f>
        <v/>
      </c>
      <c r="D25" s="6">
        <f>IFERROR(IF(LARGE('Monthly Matrix'!$AI$4:$AN$76,22)&lt;0,"",INDEX('Monthly Matrix'!$G$4:$G$76,MATCH(LARGE('Monthly Matrix'!$AI$4:$AN$76,22),'Monthly Matrix'!$AI$4:$AN$76,0))),"")</f>
        <v/>
      </c>
      <c r="E25" s="6">
        <f>IF(LARGE('Monthly Matrix'!$AI$4:$AN$76,22)&lt;0,"",IF(INDEX('Monthly Matrix'!$V$4:$AA$76,MATCH(LARGE('Monthly Matrix'!$AI$4:$AN$76,22),'Monthly Matrix'!$AI$4:$AN$76,0))="HIGH","Site visit (3x per week)","Weekly check-in"))</f>
        <v/>
      </c>
      <c r="F25" s="6" t="n"/>
      <c r="G25" s="6" t="n"/>
      <c r="H25" s="6" t="n"/>
      <c r="I25" s="7" t="n"/>
      <c r="J25" s="6">
        <f>IF(LARGE('Monthly Matrix'!$AI$4:$AN$76,22)&lt;0,"","Scheduled")</f>
        <v/>
      </c>
    </row>
    <row r="26" ht="19.5" customHeight="1" s="146">
      <c r="A26" s="10">
        <f>IFERROR(IF(LARGE('Monthly Matrix'!$AI$4:$AN$76,23)&lt;0,"",INDEX('Monthly Matrix'!$A$4:$A$76,MATCH(LARGE('Monthly Matrix'!$AI$4:$AN$76,23),'Monthly Matrix'!$AI$4:$AN$76,0))),"")</f>
        <v/>
      </c>
      <c r="B26" s="10">
        <f>IFERROR(IF(LARGE('Monthly Matrix'!$AI$4:$AN$76,23)&lt;0,"",INDEX('Monthly Matrix'!$B$4:$B$76,MATCH(LARGE('Monthly Matrix'!$AI$4:$AN$76,23),'Monthly Matrix'!$AI$4:$AN$76,0))),"")</f>
        <v/>
      </c>
      <c r="C26" s="10">
        <f>IFERROR(IF(LARGE('Monthly Matrix'!$AI$4:$AN$76,23)&lt;0,"",INDEX('Monthly Matrix'!$V$4:$AA$76,MATCH(LARGE('Monthly Matrix'!$AI$4:$AN$76,23),'Monthly Matrix'!$AI$4:$AN$76,0))),"")</f>
        <v/>
      </c>
      <c r="D26" s="10">
        <f>IFERROR(IF(LARGE('Monthly Matrix'!$AI$4:$AN$76,23)&lt;0,"",INDEX('Monthly Matrix'!$G$4:$G$76,MATCH(LARGE('Monthly Matrix'!$AI$4:$AN$76,23),'Monthly Matrix'!$AI$4:$AN$76,0))),"")</f>
        <v/>
      </c>
      <c r="E26" s="10">
        <f>IF(LARGE('Monthly Matrix'!$AI$4:$AN$76,23)&lt;0,"",IF(INDEX('Monthly Matrix'!$V$4:$AA$76,MATCH(LARGE('Monthly Matrix'!$AI$4:$AN$76,23),'Monthly Matrix'!$AI$4:$AN$76,0))="HIGH","Site visit (3x per week)","Weekly check-in"))</f>
        <v/>
      </c>
      <c r="F26" s="10" t="n"/>
      <c r="G26" s="10" t="n"/>
      <c r="H26" s="10" t="n"/>
      <c r="I26" s="11" t="n"/>
      <c r="J26" s="10">
        <f>IF(LARGE('Monthly Matrix'!$AI$4:$AN$76,23)&lt;0,"","Scheduled")</f>
        <v/>
      </c>
    </row>
    <row r="27" ht="19.5" customHeight="1" s="146">
      <c r="A27" s="6">
        <f>IFERROR(IF(LARGE('Monthly Matrix'!$AI$4:$AN$76,24)&lt;0,"",INDEX('Monthly Matrix'!$A$4:$A$76,MATCH(LARGE('Monthly Matrix'!$AI$4:$AN$76,24),'Monthly Matrix'!$AI$4:$AN$76,0))),"")</f>
        <v/>
      </c>
      <c r="B27" s="6">
        <f>IFERROR(IF(LARGE('Monthly Matrix'!$AI$4:$AN$76,24)&lt;0,"",INDEX('Monthly Matrix'!$B$4:$B$76,MATCH(LARGE('Monthly Matrix'!$AI$4:$AN$76,24),'Monthly Matrix'!$AI$4:$AN$76,0))),"")</f>
        <v/>
      </c>
      <c r="C27" s="6">
        <f>IFERROR(IF(LARGE('Monthly Matrix'!$AI$4:$AN$76,24)&lt;0,"",INDEX('Monthly Matrix'!$V$4:$AA$76,MATCH(LARGE('Monthly Matrix'!$AI$4:$AN$76,24),'Monthly Matrix'!$AI$4:$AN$76,0))),"")</f>
        <v/>
      </c>
      <c r="D27" s="6">
        <f>IFERROR(IF(LARGE('Monthly Matrix'!$AI$4:$AN$76,24)&lt;0,"",INDEX('Monthly Matrix'!$G$4:$G$76,MATCH(LARGE('Monthly Matrix'!$AI$4:$AN$76,24),'Monthly Matrix'!$AI$4:$AN$76,0))),"")</f>
        <v/>
      </c>
      <c r="E27" s="6">
        <f>IF(LARGE('Monthly Matrix'!$AI$4:$AN$76,24)&lt;0,"",IF(INDEX('Monthly Matrix'!$V$4:$AA$76,MATCH(LARGE('Monthly Matrix'!$AI$4:$AN$76,24),'Monthly Matrix'!$AI$4:$AN$76,0))="HIGH","Site visit (3x per week)","Weekly check-in"))</f>
        <v/>
      </c>
      <c r="F27" s="6" t="n"/>
      <c r="G27" s="6" t="n"/>
      <c r="H27" s="6" t="n"/>
      <c r="I27" s="7" t="n"/>
      <c r="J27" s="6">
        <f>IF(LARGE('Monthly Matrix'!$AI$4:$AN$76,24)&lt;0,"","Scheduled")</f>
        <v/>
      </c>
    </row>
    <row r="28" ht="19.5" customHeight="1" s="146">
      <c r="A28" s="10">
        <f>IFERROR(IF(LARGE('Monthly Matrix'!$AI$4:$AN$76,25)&lt;0,"",INDEX('Monthly Matrix'!$A$4:$A$76,MATCH(LARGE('Monthly Matrix'!$AI$4:$AN$76,25),'Monthly Matrix'!$AI$4:$AN$76,0))),"")</f>
        <v/>
      </c>
      <c r="B28" s="10">
        <f>IFERROR(IF(LARGE('Monthly Matrix'!$AI$4:$AN$76,25)&lt;0,"",INDEX('Monthly Matrix'!$B$4:$B$76,MATCH(LARGE('Monthly Matrix'!$AI$4:$AN$76,25),'Monthly Matrix'!$AI$4:$AN$76,0))),"")</f>
        <v/>
      </c>
      <c r="C28" s="10">
        <f>IFERROR(IF(LARGE('Monthly Matrix'!$AI$4:$AN$76,25)&lt;0,"",INDEX('Monthly Matrix'!$V$4:$AA$76,MATCH(LARGE('Monthly Matrix'!$AI$4:$AN$76,25),'Monthly Matrix'!$AI$4:$AN$76,0))),"")</f>
        <v/>
      </c>
      <c r="D28" s="10">
        <f>IFERROR(IF(LARGE('Monthly Matrix'!$AI$4:$AN$76,25)&lt;0,"",INDEX('Monthly Matrix'!$G$4:$G$76,MATCH(LARGE('Monthly Matrix'!$AI$4:$AN$76,25),'Monthly Matrix'!$AI$4:$AN$76,0))),"")</f>
        <v/>
      </c>
      <c r="E28" s="10">
        <f>IF(LARGE('Monthly Matrix'!$AI$4:$AN$76,25)&lt;0,"",IF(INDEX('Monthly Matrix'!$V$4:$AA$76,MATCH(LARGE('Monthly Matrix'!$AI$4:$AN$76,25),'Monthly Matrix'!$AI$4:$AN$76,0))="HIGH","Site visit (3x per week)","Weekly check-in"))</f>
        <v/>
      </c>
      <c r="F28" s="10" t="n"/>
      <c r="G28" s="10" t="n"/>
      <c r="H28" s="10" t="n"/>
      <c r="I28" s="11" t="n"/>
      <c r="J28" s="10">
        <f>IF(LARGE('Monthly Matrix'!$AI$4:$AN$76,25)&lt;0,"","Scheduled")</f>
        <v/>
      </c>
    </row>
    <row r="29" ht="19.5" customHeight="1" s="146">
      <c r="A29" s="6">
        <f>IFERROR(IF(LARGE('Monthly Matrix'!$AI$4:$AN$76,26)&lt;0,"",INDEX('Monthly Matrix'!$A$4:$A$76,MATCH(LARGE('Monthly Matrix'!$AI$4:$AN$76,26),'Monthly Matrix'!$AI$4:$AN$76,0))),"")</f>
        <v/>
      </c>
      <c r="B29" s="6">
        <f>IFERROR(IF(LARGE('Monthly Matrix'!$AI$4:$AN$76,26)&lt;0,"",INDEX('Monthly Matrix'!$B$4:$B$76,MATCH(LARGE('Monthly Matrix'!$AI$4:$AN$76,26),'Monthly Matrix'!$AI$4:$AN$76,0))),"")</f>
        <v/>
      </c>
      <c r="C29" s="6">
        <f>IFERROR(IF(LARGE('Monthly Matrix'!$AI$4:$AN$76,26)&lt;0,"",INDEX('Monthly Matrix'!$V$4:$AA$76,MATCH(LARGE('Monthly Matrix'!$AI$4:$AN$76,26),'Monthly Matrix'!$AI$4:$AN$76,0))),"")</f>
        <v/>
      </c>
      <c r="D29" s="6">
        <f>IFERROR(IF(LARGE('Monthly Matrix'!$AI$4:$AN$76,26)&lt;0,"",INDEX('Monthly Matrix'!$G$4:$G$76,MATCH(LARGE('Monthly Matrix'!$AI$4:$AN$76,26),'Monthly Matrix'!$AI$4:$AN$76,0))),"")</f>
        <v/>
      </c>
      <c r="E29" s="6">
        <f>IF(LARGE('Monthly Matrix'!$AI$4:$AN$76,26)&lt;0,"",IF(INDEX('Monthly Matrix'!$V$4:$AA$76,MATCH(LARGE('Monthly Matrix'!$AI$4:$AN$76,26),'Monthly Matrix'!$AI$4:$AN$76,0))="HIGH","Site visit (3x per week)","Weekly check-in"))</f>
        <v/>
      </c>
      <c r="F29" s="6" t="n"/>
      <c r="G29" s="6" t="n"/>
      <c r="H29" s="6" t="n"/>
      <c r="I29" s="7" t="n"/>
      <c r="J29" s="6">
        <f>IF(LARGE('Monthly Matrix'!$AI$4:$AN$76,26)&lt;0,"","Scheduled")</f>
        <v/>
      </c>
    </row>
    <row r="30" ht="19.5" customHeight="1" s="146">
      <c r="A30" s="10">
        <f>IFERROR(IF(LARGE('Monthly Matrix'!$AI$4:$AN$76,27)&lt;0,"",INDEX('Monthly Matrix'!$A$4:$A$76,MATCH(LARGE('Monthly Matrix'!$AI$4:$AN$76,27),'Monthly Matrix'!$AI$4:$AN$76,0))),"")</f>
        <v/>
      </c>
      <c r="B30" s="10">
        <f>IFERROR(IF(LARGE('Monthly Matrix'!$AI$4:$AN$76,27)&lt;0,"",INDEX('Monthly Matrix'!$B$4:$B$76,MATCH(LARGE('Monthly Matrix'!$AI$4:$AN$76,27),'Monthly Matrix'!$AI$4:$AN$76,0))),"")</f>
        <v/>
      </c>
      <c r="C30" s="10">
        <f>IFERROR(IF(LARGE('Monthly Matrix'!$AI$4:$AN$76,27)&lt;0,"",INDEX('Monthly Matrix'!$V$4:$AA$76,MATCH(LARGE('Monthly Matrix'!$AI$4:$AN$76,27),'Monthly Matrix'!$AI$4:$AN$76,0))),"")</f>
        <v/>
      </c>
      <c r="D30" s="10">
        <f>IFERROR(IF(LARGE('Monthly Matrix'!$AI$4:$AN$76,27)&lt;0,"",INDEX('Monthly Matrix'!$G$4:$G$76,MATCH(LARGE('Monthly Matrix'!$AI$4:$AN$76,27),'Monthly Matrix'!$AI$4:$AN$76,0))),"")</f>
        <v/>
      </c>
      <c r="E30" s="10">
        <f>IF(LARGE('Monthly Matrix'!$AI$4:$AN$76,27)&lt;0,"",IF(INDEX('Monthly Matrix'!$V$4:$AA$76,MATCH(LARGE('Monthly Matrix'!$AI$4:$AN$76,27),'Monthly Matrix'!$AI$4:$AN$76,0))="HIGH","Site visit (3x per week)","Weekly check-in"))</f>
        <v/>
      </c>
      <c r="F30" s="10" t="n"/>
      <c r="G30" s="10" t="n"/>
      <c r="H30" s="10" t="n"/>
      <c r="I30" s="11" t="n"/>
      <c r="J30" s="10">
        <f>IF(LARGE('Monthly Matrix'!$AI$4:$AN$76,27)&lt;0,"","Scheduled")</f>
        <v/>
      </c>
    </row>
    <row r="31" ht="19.5" customHeight="1" s="146">
      <c r="A31" s="6">
        <f>IFERROR(IF(LARGE('Monthly Matrix'!$AI$4:$AN$76,28)&lt;0,"",INDEX('Monthly Matrix'!$A$4:$A$76,MATCH(LARGE('Monthly Matrix'!$AI$4:$AN$76,28),'Monthly Matrix'!$AI$4:$AN$76,0))),"")</f>
        <v/>
      </c>
      <c r="B31" s="6">
        <f>IFERROR(IF(LARGE('Monthly Matrix'!$AI$4:$AN$76,28)&lt;0,"",INDEX('Monthly Matrix'!$B$4:$B$76,MATCH(LARGE('Monthly Matrix'!$AI$4:$AN$76,28),'Monthly Matrix'!$AI$4:$AN$76,0))),"")</f>
        <v/>
      </c>
      <c r="C31" s="6">
        <f>IFERROR(IF(LARGE('Monthly Matrix'!$AI$4:$AN$76,28)&lt;0,"",INDEX('Monthly Matrix'!$V$4:$AA$76,MATCH(LARGE('Monthly Matrix'!$AI$4:$AN$76,28),'Monthly Matrix'!$AI$4:$AN$76,0))),"")</f>
        <v/>
      </c>
      <c r="D31" s="6">
        <f>IFERROR(IF(LARGE('Monthly Matrix'!$AI$4:$AN$76,28)&lt;0,"",INDEX('Monthly Matrix'!$G$4:$G$76,MATCH(LARGE('Monthly Matrix'!$AI$4:$AN$76,28),'Monthly Matrix'!$AI$4:$AN$76,0))),"")</f>
        <v/>
      </c>
      <c r="E31" s="6">
        <f>IF(LARGE('Monthly Matrix'!$AI$4:$AN$76,28)&lt;0,"",IF(INDEX('Monthly Matrix'!$V$4:$AA$76,MATCH(LARGE('Monthly Matrix'!$AI$4:$AN$76,28),'Monthly Matrix'!$AI$4:$AN$76,0))="HIGH","Site visit (3x per week)","Weekly check-in"))</f>
        <v/>
      </c>
      <c r="F31" s="6" t="n"/>
      <c r="G31" s="6" t="n"/>
      <c r="H31" s="6" t="n"/>
      <c r="I31" s="7" t="n"/>
      <c r="J31" s="6">
        <f>IF(LARGE('Monthly Matrix'!$AI$4:$AN$76,28)&lt;0,"","Scheduled")</f>
        <v/>
      </c>
    </row>
    <row r="32" ht="19.5" customHeight="1" s="146">
      <c r="A32" s="10">
        <f>IFERROR(IF(LARGE('Monthly Matrix'!$AI$4:$AN$76,29)&lt;0,"",INDEX('Monthly Matrix'!$A$4:$A$76,MATCH(LARGE('Monthly Matrix'!$AI$4:$AN$76,29),'Monthly Matrix'!$AI$4:$AN$76,0))),"")</f>
        <v/>
      </c>
      <c r="B32" s="10">
        <f>IFERROR(IF(LARGE('Monthly Matrix'!$AI$4:$AN$76,29)&lt;0,"",INDEX('Monthly Matrix'!$B$4:$B$76,MATCH(LARGE('Monthly Matrix'!$AI$4:$AN$76,29),'Monthly Matrix'!$AI$4:$AN$76,0))),"")</f>
        <v/>
      </c>
      <c r="C32" s="10">
        <f>IFERROR(IF(LARGE('Monthly Matrix'!$AI$4:$AN$76,29)&lt;0,"",INDEX('Monthly Matrix'!$V$4:$AA$76,MATCH(LARGE('Monthly Matrix'!$AI$4:$AN$76,29),'Monthly Matrix'!$AI$4:$AN$76,0))),"")</f>
        <v/>
      </c>
      <c r="D32" s="10">
        <f>IFERROR(IF(LARGE('Monthly Matrix'!$AI$4:$AN$76,29)&lt;0,"",INDEX('Monthly Matrix'!$G$4:$G$76,MATCH(LARGE('Monthly Matrix'!$AI$4:$AN$76,29),'Monthly Matrix'!$AI$4:$AN$76,0))),"")</f>
        <v/>
      </c>
      <c r="E32" s="10">
        <f>IF(LARGE('Monthly Matrix'!$AI$4:$AN$76,29)&lt;0,"",IF(INDEX('Monthly Matrix'!$V$4:$AA$76,MATCH(LARGE('Monthly Matrix'!$AI$4:$AN$76,29),'Monthly Matrix'!$AI$4:$AN$76,0))="HIGH","Site visit (3x per week)","Weekly check-in"))</f>
        <v/>
      </c>
      <c r="F32" s="10" t="n"/>
      <c r="G32" s="10" t="n"/>
      <c r="H32" s="10" t="n"/>
      <c r="I32" s="11" t="n"/>
      <c r="J32" s="10">
        <f>IF(LARGE('Monthly Matrix'!$AI$4:$AN$76,29)&lt;0,"","Scheduled")</f>
        <v/>
      </c>
    </row>
    <row r="33" ht="19.5" customHeight="1" s="146">
      <c r="A33" s="6">
        <f>IFERROR(IF(LARGE('Monthly Matrix'!$AI$4:$AN$76,30)&lt;0,"",INDEX('Monthly Matrix'!$A$4:$A$76,MATCH(LARGE('Monthly Matrix'!$AI$4:$AN$76,30),'Monthly Matrix'!$AI$4:$AN$76,0))),"")</f>
        <v/>
      </c>
      <c r="B33" s="6">
        <f>IFERROR(IF(LARGE('Monthly Matrix'!$AI$4:$AN$76,30)&lt;0,"",INDEX('Monthly Matrix'!$B$4:$B$76,MATCH(LARGE('Monthly Matrix'!$AI$4:$AN$76,30),'Monthly Matrix'!$AI$4:$AN$76,0))),"")</f>
        <v/>
      </c>
      <c r="C33" s="6">
        <f>IFERROR(IF(LARGE('Monthly Matrix'!$AI$4:$AN$76,30)&lt;0,"",INDEX('Monthly Matrix'!$V$4:$AA$76,MATCH(LARGE('Monthly Matrix'!$AI$4:$AN$76,30),'Monthly Matrix'!$AI$4:$AN$76,0))),"")</f>
        <v/>
      </c>
      <c r="D33" s="6">
        <f>IFERROR(IF(LARGE('Monthly Matrix'!$AI$4:$AN$76,30)&lt;0,"",INDEX('Monthly Matrix'!$G$4:$G$76,MATCH(LARGE('Monthly Matrix'!$AI$4:$AN$76,30),'Monthly Matrix'!$AI$4:$AN$76,0))),"")</f>
        <v/>
      </c>
      <c r="E33" s="6">
        <f>IF(LARGE('Monthly Matrix'!$AI$4:$AN$76,30)&lt;0,"",IF(INDEX('Monthly Matrix'!$V$4:$AA$76,MATCH(LARGE('Monthly Matrix'!$AI$4:$AN$76,30),'Monthly Matrix'!$AI$4:$AN$76,0))="HIGH","Site visit (3x per week)","Weekly check-in"))</f>
        <v/>
      </c>
      <c r="F33" s="6" t="n"/>
      <c r="G33" s="6" t="n"/>
      <c r="H33" s="6" t="n"/>
      <c r="I33" s="7" t="n"/>
      <c r="J33" s="6">
        <f>IF(LARGE('Monthly Matrix'!$AI$4:$AN$76,30)&lt;0,"","Scheduled")</f>
        <v/>
      </c>
    </row>
    <row r="34" ht="19.5" customHeight="1" s="146">
      <c r="A34" s="10">
        <f>IFERROR(IF(LARGE('Monthly Matrix'!$AI$4:$AN$76,31)&lt;0,"",INDEX('Monthly Matrix'!$A$4:$A$76,MATCH(LARGE('Monthly Matrix'!$AI$4:$AN$76,31),'Monthly Matrix'!$AI$4:$AN$76,0))),"")</f>
        <v/>
      </c>
      <c r="B34" s="10">
        <f>IFERROR(IF(LARGE('Monthly Matrix'!$AI$4:$AN$76,31)&lt;0,"",INDEX('Monthly Matrix'!$B$4:$B$76,MATCH(LARGE('Monthly Matrix'!$AI$4:$AN$76,31),'Monthly Matrix'!$AI$4:$AN$76,0))),"")</f>
        <v/>
      </c>
      <c r="C34" s="10">
        <f>IFERROR(IF(LARGE('Monthly Matrix'!$AI$4:$AN$76,31)&lt;0,"",INDEX('Monthly Matrix'!$V$4:$AA$76,MATCH(LARGE('Monthly Matrix'!$AI$4:$AN$76,31),'Monthly Matrix'!$AI$4:$AN$76,0))),"")</f>
        <v/>
      </c>
      <c r="D34" s="10">
        <f>IFERROR(IF(LARGE('Monthly Matrix'!$AI$4:$AN$76,31)&lt;0,"",INDEX('Monthly Matrix'!$G$4:$G$76,MATCH(LARGE('Monthly Matrix'!$AI$4:$AN$76,31),'Monthly Matrix'!$AI$4:$AN$76,0))),"")</f>
        <v/>
      </c>
      <c r="E34" s="10">
        <f>IF(LARGE('Monthly Matrix'!$AI$4:$AN$76,31)&lt;0,"",IF(INDEX('Monthly Matrix'!$V$4:$AA$76,MATCH(LARGE('Monthly Matrix'!$AI$4:$AN$76,31),'Monthly Matrix'!$AI$4:$AN$76,0))="HIGH","Site visit (3x per week)","Weekly check-in"))</f>
        <v/>
      </c>
      <c r="F34" s="10" t="n"/>
      <c r="G34" s="10" t="n"/>
      <c r="H34" s="10" t="n"/>
      <c r="I34" s="11" t="n"/>
      <c r="J34" s="10">
        <f>IF(LARGE('Monthly Matrix'!$AI$4:$AN$76,31)&lt;0,"","Scheduled")</f>
        <v/>
      </c>
    </row>
    <row r="35" ht="19.5" customHeight="1" s="146">
      <c r="A35" s="6">
        <f>IFERROR(IF(LARGE('Monthly Matrix'!$AI$4:$AN$76,32)&lt;0,"",INDEX('Monthly Matrix'!$A$4:$A$76,MATCH(LARGE('Monthly Matrix'!$AI$4:$AN$76,32),'Monthly Matrix'!$AI$4:$AN$76,0))),"")</f>
        <v/>
      </c>
      <c r="B35" s="6">
        <f>IFERROR(IF(LARGE('Monthly Matrix'!$AI$4:$AN$76,32)&lt;0,"",INDEX('Monthly Matrix'!$B$4:$B$76,MATCH(LARGE('Monthly Matrix'!$AI$4:$AN$76,32),'Monthly Matrix'!$AI$4:$AN$76,0))),"")</f>
        <v/>
      </c>
      <c r="C35" s="6">
        <f>IFERROR(IF(LARGE('Monthly Matrix'!$AI$4:$AN$76,32)&lt;0,"",INDEX('Monthly Matrix'!$V$4:$AA$76,MATCH(LARGE('Monthly Matrix'!$AI$4:$AN$76,32),'Monthly Matrix'!$AI$4:$AN$76,0))),"")</f>
        <v/>
      </c>
      <c r="D35" s="6">
        <f>IFERROR(IF(LARGE('Monthly Matrix'!$AI$4:$AN$76,32)&lt;0,"",INDEX('Monthly Matrix'!$G$4:$G$76,MATCH(LARGE('Monthly Matrix'!$AI$4:$AN$76,32),'Monthly Matrix'!$AI$4:$AN$76,0))),"")</f>
        <v/>
      </c>
      <c r="E35" s="6">
        <f>IF(LARGE('Monthly Matrix'!$AI$4:$AN$76,32)&lt;0,"",IF(INDEX('Monthly Matrix'!$V$4:$AA$76,MATCH(LARGE('Monthly Matrix'!$AI$4:$AN$76,32),'Monthly Matrix'!$AI$4:$AN$76,0))="HIGH","Site visit (3x per week)","Weekly check-in"))</f>
        <v/>
      </c>
      <c r="F35" s="6" t="n"/>
      <c r="G35" s="6" t="n"/>
      <c r="H35" s="6" t="n"/>
      <c r="I35" s="7" t="n"/>
      <c r="J35" s="6">
        <f>IF(LARGE('Monthly Matrix'!$AI$4:$AN$76,32)&lt;0,"","Scheduled")</f>
        <v/>
      </c>
    </row>
    <row r="36" ht="19.5" customHeight="1" s="146">
      <c r="A36" s="10">
        <f>IFERROR(IF(LARGE('Monthly Matrix'!$AI$4:$AN$76,33)&lt;0,"",INDEX('Monthly Matrix'!$A$4:$A$76,MATCH(LARGE('Monthly Matrix'!$AI$4:$AN$76,33),'Monthly Matrix'!$AI$4:$AN$76,0))),"")</f>
        <v/>
      </c>
      <c r="B36" s="10">
        <f>IFERROR(IF(LARGE('Monthly Matrix'!$AI$4:$AN$76,33)&lt;0,"",INDEX('Monthly Matrix'!$B$4:$B$76,MATCH(LARGE('Monthly Matrix'!$AI$4:$AN$76,33),'Monthly Matrix'!$AI$4:$AN$76,0))),"")</f>
        <v/>
      </c>
      <c r="C36" s="10">
        <f>IFERROR(IF(LARGE('Monthly Matrix'!$AI$4:$AN$76,33)&lt;0,"",INDEX('Monthly Matrix'!$V$4:$AA$76,MATCH(LARGE('Monthly Matrix'!$AI$4:$AN$76,33),'Monthly Matrix'!$AI$4:$AN$76,0))),"")</f>
        <v/>
      </c>
      <c r="D36" s="10">
        <f>IFERROR(IF(LARGE('Monthly Matrix'!$AI$4:$AN$76,33)&lt;0,"",INDEX('Monthly Matrix'!$G$4:$G$76,MATCH(LARGE('Monthly Matrix'!$AI$4:$AN$76,33),'Monthly Matrix'!$AI$4:$AN$76,0))),"")</f>
        <v/>
      </c>
      <c r="E36" s="10">
        <f>IF(LARGE('Monthly Matrix'!$AI$4:$AN$76,33)&lt;0,"",IF(INDEX('Monthly Matrix'!$V$4:$AA$76,MATCH(LARGE('Monthly Matrix'!$AI$4:$AN$76,33),'Monthly Matrix'!$AI$4:$AN$76,0))="HIGH","Site visit (3x per week)","Weekly check-in"))</f>
        <v/>
      </c>
      <c r="F36" s="10" t="n"/>
      <c r="G36" s="10" t="n"/>
      <c r="H36" s="10" t="n"/>
      <c r="I36" s="11" t="n"/>
      <c r="J36" s="10">
        <f>IF(LARGE('Monthly Matrix'!$AI$4:$AN$76,33)&lt;0,"","Scheduled")</f>
        <v/>
      </c>
    </row>
    <row r="37" ht="19.5" customHeight="1" s="146">
      <c r="A37" s="6">
        <f>IFERROR(IF(LARGE('Monthly Matrix'!$AI$4:$AN$76,34)&lt;0,"",INDEX('Monthly Matrix'!$A$4:$A$76,MATCH(LARGE('Monthly Matrix'!$AI$4:$AN$76,34),'Monthly Matrix'!$AI$4:$AN$76,0))),"")</f>
        <v/>
      </c>
      <c r="B37" s="6">
        <f>IFERROR(IF(LARGE('Monthly Matrix'!$AI$4:$AN$76,34)&lt;0,"",INDEX('Monthly Matrix'!$B$4:$B$76,MATCH(LARGE('Monthly Matrix'!$AI$4:$AN$76,34),'Monthly Matrix'!$AI$4:$AN$76,0))),"")</f>
        <v/>
      </c>
      <c r="C37" s="6">
        <f>IFERROR(IF(LARGE('Monthly Matrix'!$AI$4:$AN$76,34)&lt;0,"",INDEX('Monthly Matrix'!$V$4:$AA$76,MATCH(LARGE('Monthly Matrix'!$AI$4:$AN$76,34),'Monthly Matrix'!$AI$4:$AN$76,0))),"")</f>
        <v/>
      </c>
      <c r="D37" s="6">
        <f>IFERROR(IF(LARGE('Monthly Matrix'!$AI$4:$AN$76,34)&lt;0,"",INDEX('Monthly Matrix'!$G$4:$G$76,MATCH(LARGE('Monthly Matrix'!$AI$4:$AN$76,34),'Monthly Matrix'!$AI$4:$AN$76,0))),"")</f>
        <v/>
      </c>
      <c r="E37" s="6">
        <f>IF(LARGE('Monthly Matrix'!$AI$4:$AN$76,34)&lt;0,"",IF(INDEX('Monthly Matrix'!$V$4:$AA$76,MATCH(LARGE('Monthly Matrix'!$AI$4:$AN$76,34),'Monthly Matrix'!$AI$4:$AN$76,0))="HIGH","Site visit (3x per week)","Weekly check-in"))</f>
        <v/>
      </c>
      <c r="F37" s="6" t="n"/>
      <c r="G37" s="6" t="n"/>
      <c r="H37" s="6" t="n"/>
      <c r="I37" s="7" t="n"/>
      <c r="J37" s="6">
        <f>IF(LARGE('Monthly Matrix'!$AI$4:$AN$76,34)&lt;0,"","Scheduled")</f>
        <v/>
      </c>
    </row>
    <row r="38" ht="19.5" customHeight="1" s="146">
      <c r="A38" s="10">
        <f>IFERROR(IF(LARGE('Monthly Matrix'!$AI$4:$AN$76,35)&lt;0,"",INDEX('Monthly Matrix'!$A$4:$A$76,MATCH(LARGE('Monthly Matrix'!$AI$4:$AN$76,35),'Monthly Matrix'!$AI$4:$AN$76,0))),"")</f>
        <v/>
      </c>
      <c r="B38" s="10">
        <f>IFERROR(IF(LARGE('Monthly Matrix'!$AI$4:$AN$76,35)&lt;0,"",INDEX('Monthly Matrix'!$B$4:$B$76,MATCH(LARGE('Monthly Matrix'!$AI$4:$AN$76,35),'Monthly Matrix'!$AI$4:$AN$76,0))),"")</f>
        <v/>
      </c>
      <c r="C38" s="10">
        <f>IFERROR(IF(LARGE('Monthly Matrix'!$AI$4:$AN$76,35)&lt;0,"",INDEX('Monthly Matrix'!$V$4:$AA$76,MATCH(LARGE('Monthly Matrix'!$AI$4:$AN$76,35),'Monthly Matrix'!$AI$4:$AN$76,0))),"")</f>
        <v/>
      </c>
      <c r="D38" s="10">
        <f>IFERROR(IF(LARGE('Monthly Matrix'!$AI$4:$AN$76,35)&lt;0,"",INDEX('Monthly Matrix'!$G$4:$G$76,MATCH(LARGE('Monthly Matrix'!$AI$4:$AN$76,35),'Monthly Matrix'!$AI$4:$AN$76,0))),"")</f>
        <v/>
      </c>
      <c r="E38" s="10">
        <f>IF(LARGE('Monthly Matrix'!$AI$4:$AN$76,35)&lt;0,"",IF(INDEX('Monthly Matrix'!$V$4:$AA$76,MATCH(LARGE('Monthly Matrix'!$AI$4:$AN$76,35),'Monthly Matrix'!$AI$4:$AN$76,0))="HIGH","Site visit (3x per week)","Weekly check-in"))</f>
        <v/>
      </c>
      <c r="F38" s="10" t="n"/>
      <c r="G38" s="10" t="n"/>
      <c r="H38" s="10" t="n"/>
      <c r="I38" s="11" t="n"/>
      <c r="J38" s="10">
        <f>IF(LARGE('Monthly Matrix'!$AI$4:$AN$76,35)&lt;0,"","Scheduled")</f>
        <v/>
      </c>
    </row>
    <row r="39" ht="19.5" customHeight="1" s="146">
      <c r="A39" s="6">
        <f>IFERROR(IF(LARGE('Monthly Matrix'!$AI$4:$AN$76,36)&lt;0,"",INDEX('Monthly Matrix'!$A$4:$A$76,MATCH(LARGE('Monthly Matrix'!$AI$4:$AN$76,36),'Monthly Matrix'!$AI$4:$AN$76,0))),"")</f>
        <v/>
      </c>
      <c r="B39" s="6">
        <f>IFERROR(IF(LARGE('Monthly Matrix'!$AI$4:$AN$76,36)&lt;0,"",INDEX('Monthly Matrix'!$B$4:$B$76,MATCH(LARGE('Monthly Matrix'!$AI$4:$AN$76,36),'Monthly Matrix'!$AI$4:$AN$76,0))),"")</f>
        <v/>
      </c>
      <c r="C39" s="6">
        <f>IFERROR(IF(LARGE('Monthly Matrix'!$AI$4:$AN$76,36)&lt;0,"",INDEX('Monthly Matrix'!$V$4:$AA$76,MATCH(LARGE('Monthly Matrix'!$AI$4:$AN$76,36),'Monthly Matrix'!$AI$4:$AN$76,0))),"")</f>
        <v/>
      </c>
      <c r="D39" s="6">
        <f>IFERROR(IF(LARGE('Monthly Matrix'!$AI$4:$AN$76,36)&lt;0,"",INDEX('Monthly Matrix'!$G$4:$G$76,MATCH(LARGE('Monthly Matrix'!$AI$4:$AN$76,36),'Monthly Matrix'!$AI$4:$AN$76,0))),"")</f>
        <v/>
      </c>
      <c r="E39" s="6">
        <f>IF(LARGE('Monthly Matrix'!$AI$4:$AN$76,36)&lt;0,"",IF(INDEX('Monthly Matrix'!$V$4:$AA$76,MATCH(LARGE('Monthly Matrix'!$AI$4:$AN$76,36),'Monthly Matrix'!$AI$4:$AN$76,0))="HIGH","Site visit (3x per week)","Weekly check-in"))</f>
        <v/>
      </c>
      <c r="F39" s="6" t="n"/>
      <c r="G39" s="6" t="n"/>
      <c r="H39" s="6" t="n"/>
      <c r="I39" s="7" t="n"/>
      <c r="J39" s="6">
        <f>IF(LARGE('Monthly Matrix'!$AI$4:$AN$76,36)&lt;0,"","Scheduled")</f>
        <v/>
      </c>
    </row>
    <row r="40" ht="19.5" customHeight="1" s="146">
      <c r="A40" s="10">
        <f>IFERROR(IF(LARGE('Monthly Matrix'!$AI$4:$AN$76,37)&lt;0,"",INDEX('Monthly Matrix'!$A$4:$A$76,MATCH(LARGE('Monthly Matrix'!$AI$4:$AN$76,37),'Monthly Matrix'!$AI$4:$AN$76,0))),"")</f>
        <v/>
      </c>
      <c r="B40" s="10">
        <f>IFERROR(IF(LARGE('Monthly Matrix'!$AI$4:$AN$76,37)&lt;0,"",INDEX('Monthly Matrix'!$B$4:$B$76,MATCH(LARGE('Monthly Matrix'!$AI$4:$AN$76,37),'Monthly Matrix'!$AI$4:$AN$76,0))),"")</f>
        <v/>
      </c>
      <c r="C40" s="10">
        <f>IFERROR(IF(LARGE('Monthly Matrix'!$AI$4:$AN$76,37)&lt;0,"",INDEX('Monthly Matrix'!$V$4:$AA$76,MATCH(LARGE('Monthly Matrix'!$AI$4:$AN$76,37),'Monthly Matrix'!$AI$4:$AN$76,0))),"")</f>
        <v/>
      </c>
      <c r="D40" s="10">
        <f>IFERROR(IF(LARGE('Monthly Matrix'!$AI$4:$AN$76,37)&lt;0,"",INDEX('Monthly Matrix'!$G$4:$G$76,MATCH(LARGE('Monthly Matrix'!$AI$4:$AN$76,37),'Monthly Matrix'!$AI$4:$AN$76,0))),"")</f>
        <v/>
      </c>
      <c r="E40" s="10">
        <f>IF(LARGE('Monthly Matrix'!$AI$4:$AN$76,37)&lt;0,"",IF(INDEX('Monthly Matrix'!$V$4:$AA$76,MATCH(LARGE('Monthly Matrix'!$AI$4:$AN$76,37),'Monthly Matrix'!$AI$4:$AN$76,0))="HIGH","Site visit (3x per week)","Weekly check-in"))</f>
        <v/>
      </c>
      <c r="F40" s="10" t="n"/>
      <c r="G40" s="10" t="n"/>
      <c r="H40" s="10" t="n"/>
      <c r="I40" s="11" t="n"/>
      <c r="J40" s="10">
        <f>IF(LARGE('Monthly Matrix'!$AI$4:$AN$76,37)&lt;0,"","Scheduled")</f>
        <v/>
      </c>
    </row>
    <row r="41" ht="19.5" customHeight="1" s="146">
      <c r="A41" s="6">
        <f>IFERROR(IF(LARGE('Monthly Matrix'!$AI$4:$AN$76,38)&lt;0,"",INDEX('Monthly Matrix'!$A$4:$A$76,MATCH(LARGE('Monthly Matrix'!$AI$4:$AN$76,38),'Monthly Matrix'!$AI$4:$AN$76,0))),"")</f>
        <v/>
      </c>
      <c r="B41" s="6">
        <f>IFERROR(IF(LARGE('Monthly Matrix'!$AI$4:$AN$76,38)&lt;0,"",INDEX('Monthly Matrix'!$B$4:$B$76,MATCH(LARGE('Monthly Matrix'!$AI$4:$AN$76,38),'Monthly Matrix'!$AI$4:$AN$76,0))),"")</f>
        <v/>
      </c>
      <c r="C41" s="6">
        <f>IFERROR(IF(LARGE('Monthly Matrix'!$AI$4:$AN$76,38)&lt;0,"",INDEX('Monthly Matrix'!$V$4:$AA$76,MATCH(LARGE('Monthly Matrix'!$AI$4:$AN$76,38),'Monthly Matrix'!$AI$4:$AN$76,0))),"")</f>
        <v/>
      </c>
      <c r="D41" s="6">
        <f>IFERROR(IF(LARGE('Monthly Matrix'!$AI$4:$AN$76,38)&lt;0,"",INDEX('Monthly Matrix'!$G$4:$G$76,MATCH(LARGE('Monthly Matrix'!$AI$4:$AN$76,38),'Monthly Matrix'!$AI$4:$AN$76,0))),"")</f>
        <v/>
      </c>
      <c r="E41" s="6">
        <f>IF(LARGE('Monthly Matrix'!$AI$4:$AN$76,38)&lt;0,"",IF(INDEX('Monthly Matrix'!$V$4:$AA$76,MATCH(LARGE('Monthly Matrix'!$AI$4:$AN$76,38),'Monthly Matrix'!$AI$4:$AN$76,0))="HIGH","Site visit (3x per week)","Weekly check-in"))</f>
        <v/>
      </c>
      <c r="F41" s="6" t="n"/>
      <c r="G41" s="6" t="n"/>
      <c r="H41" s="6" t="n"/>
      <c r="I41" s="7" t="n"/>
      <c r="J41" s="6">
        <f>IF(LARGE('Monthly Matrix'!$AI$4:$AN$76,38)&lt;0,"","Scheduled")</f>
        <v/>
      </c>
    </row>
    <row r="42" ht="19.5" customHeight="1" s="146">
      <c r="A42" s="10">
        <f>IFERROR(IF(LARGE('Monthly Matrix'!$AI$4:$AN$76,39)&lt;0,"",INDEX('Monthly Matrix'!$A$4:$A$76,MATCH(LARGE('Monthly Matrix'!$AI$4:$AN$76,39),'Monthly Matrix'!$AI$4:$AN$76,0))),"")</f>
        <v/>
      </c>
      <c r="B42" s="10">
        <f>IFERROR(IF(LARGE('Monthly Matrix'!$AI$4:$AN$76,39)&lt;0,"",INDEX('Monthly Matrix'!$B$4:$B$76,MATCH(LARGE('Monthly Matrix'!$AI$4:$AN$76,39),'Monthly Matrix'!$AI$4:$AN$76,0))),"")</f>
        <v/>
      </c>
      <c r="C42" s="10">
        <f>IFERROR(IF(LARGE('Monthly Matrix'!$AI$4:$AN$76,39)&lt;0,"",INDEX('Monthly Matrix'!$V$4:$AA$76,MATCH(LARGE('Monthly Matrix'!$AI$4:$AN$76,39),'Monthly Matrix'!$AI$4:$AN$76,0))),"")</f>
        <v/>
      </c>
      <c r="D42" s="10">
        <f>IFERROR(IF(LARGE('Monthly Matrix'!$AI$4:$AN$76,39)&lt;0,"",INDEX('Monthly Matrix'!$G$4:$G$76,MATCH(LARGE('Monthly Matrix'!$AI$4:$AN$76,39),'Monthly Matrix'!$AI$4:$AN$76,0))),"")</f>
        <v/>
      </c>
      <c r="E42" s="10">
        <f>IF(LARGE('Monthly Matrix'!$AI$4:$AN$76,39)&lt;0,"",IF(INDEX('Monthly Matrix'!$V$4:$AA$76,MATCH(LARGE('Monthly Matrix'!$AI$4:$AN$76,39),'Monthly Matrix'!$AI$4:$AN$76,0))="HIGH","Site visit (3x per week)","Weekly check-in"))</f>
        <v/>
      </c>
      <c r="F42" s="10" t="n"/>
      <c r="G42" s="10" t="n"/>
      <c r="H42" s="10" t="n"/>
      <c r="I42" s="11" t="n"/>
      <c r="J42" s="10">
        <f>IF(LARGE('Monthly Matrix'!$AI$4:$AN$76,39)&lt;0,"","Scheduled")</f>
        <v/>
      </c>
    </row>
    <row r="43" ht="19.5" customHeight="1" s="146">
      <c r="A43" s="6">
        <f>IFERROR(IF(LARGE('Monthly Matrix'!$AI$4:$AN$76,40)&lt;0,"",INDEX('Monthly Matrix'!$A$4:$A$76,MATCH(LARGE('Monthly Matrix'!$AI$4:$AN$76,40),'Monthly Matrix'!$AI$4:$AN$76,0))),"")</f>
        <v/>
      </c>
      <c r="B43" s="6">
        <f>IFERROR(IF(LARGE('Monthly Matrix'!$AI$4:$AN$76,40)&lt;0,"",INDEX('Monthly Matrix'!$B$4:$B$76,MATCH(LARGE('Monthly Matrix'!$AI$4:$AN$76,40),'Monthly Matrix'!$AI$4:$AN$76,0))),"")</f>
        <v/>
      </c>
      <c r="C43" s="6">
        <f>IFERROR(IF(LARGE('Monthly Matrix'!$AI$4:$AN$76,40)&lt;0,"",INDEX('Monthly Matrix'!$V$4:$AA$76,MATCH(LARGE('Monthly Matrix'!$AI$4:$AN$76,40),'Monthly Matrix'!$AI$4:$AN$76,0))),"")</f>
        <v/>
      </c>
      <c r="D43" s="6">
        <f>IFERROR(IF(LARGE('Monthly Matrix'!$AI$4:$AN$76,40)&lt;0,"",INDEX('Monthly Matrix'!$G$4:$G$76,MATCH(LARGE('Monthly Matrix'!$AI$4:$AN$76,40),'Monthly Matrix'!$AI$4:$AN$76,0))),"")</f>
        <v/>
      </c>
      <c r="E43" s="6">
        <f>IF(LARGE('Monthly Matrix'!$AI$4:$AN$76,40)&lt;0,"",IF(INDEX('Monthly Matrix'!$V$4:$AA$76,MATCH(LARGE('Monthly Matrix'!$AI$4:$AN$76,40),'Monthly Matrix'!$AI$4:$AN$76,0))="HIGH","Site visit (3x per week)","Weekly check-in"))</f>
        <v/>
      </c>
      <c r="F43" s="6" t="n"/>
      <c r="G43" s="6" t="n"/>
      <c r="H43" s="6" t="n"/>
      <c r="I43" s="7" t="n"/>
      <c r="J43" s="6">
        <f>IF(LARGE('Monthly Matrix'!$AI$4:$AN$76,40)&lt;0,"","Scheduled")</f>
        <v/>
      </c>
    </row>
    <row r="44" ht="19.5" customHeight="1" s="146">
      <c r="A44" s="10">
        <f>IFERROR(IF(LARGE('Monthly Matrix'!$AI$4:$AN$76,41)&lt;0,"",INDEX('Monthly Matrix'!$A$4:$A$76,MATCH(LARGE('Monthly Matrix'!$AI$4:$AN$76,41),'Monthly Matrix'!$AI$4:$AN$76,0))),"")</f>
        <v/>
      </c>
      <c r="B44" s="10">
        <f>IFERROR(IF(LARGE('Monthly Matrix'!$AI$4:$AN$76,41)&lt;0,"",INDEX('Monthly Matrix'!$B$4:$B$76,MATCH(LARGE('Monthly Matrix'!$AI$4:$AN$76,41),'Monthly Matrix'!$AI$4:$AN$76,0))),"")</f>
        <v/>
      </c>
      <c r="C44" s="10">
        <f>IFERROR(IF(LARGE('Monthly Matrix'!$AI$4:$AN$76,41)&lt;0,"",INDEX('Monthly Matrix'!$V$4:$AA$76,MATCH(LARGE('Monthly Matrix'!$AI$4:$AN$76,41),'Monthly Matrix'!$AI$4:$AN$76,0))),"")</f>
        <v/>
      </c>
      <c r="D44" s="10">
        <f>IFERROR(IF(LARGE('Monthly Matrix'!$AI$4:$AN$76,41)&lt;0,"",INDEX('Monthly Matrix'!$G$4:$G$76,MATCH(LARGE('Monthly Matrix'!$AI$4:$AN$76,41),'Monthly Matrix'!$AI$4:$AN$76,0))),"")</f>
        <v/>
      </c>
      <c r="E44" s="10">
        <f>IF(LARGE('Monthly Matrix'!$AI$4:$AN$76,41)&lt;0,"",IF(INDEX('Monthly Matrix'!$V$4:$AA$76,MATCH(LARGE('Monthly Matrix'!$AI$4:$AN$76,41),'Monthly Matrix'!$AI$4:$AN$76,0))="HIGH","Site visit (3x per week)","Weekly check-in"))</f>
        <v/>
      </c>
      <c r="F44" s="10" t="n"/>
      <c r="G44" s="10" t="n"/>
      <c r="H44" s="10" t="n"/>
      <c r="I44" s="11" t="n"/>
      <c r="J44" s="10">
        <f>IF(LARGE('Monthly Matrix'!$AI$4:$AN$76,41)&lt;0,"","Scheduled")</f>
        <v/>
      </c>
    </row>
    <row r="45" ht="19.5" customHeight="1" s="146">
      <c r="A45" s="6">
        <f>IFERROR(IF(LARGE('Monthly Matrix'!$AI$4:$AN$76,42)&lt;0,"",INDEX('Monthly Matrix'!$A$4:$A$76,MATCH(LARGE('Monthly Matrix'!$AI$4:$AN$76,42),'Monthly Matrix'!$AI$4:$AN$76,0))),"")</f>
        <v/>
      </c>
      <c r="B45" s="6">
        <f>IFERROR(IF(LARGE('Monthly Matrix'!$AI$4:$AN$76,42)&lt;0,"",INDEX('Monthly Matrix'!$B$4:$B$76,MATCH(LARGE('Monthly Matrix'!$AI$4:$AN$76,42),'Monthly Matrix'!$AI$4:$AN$76,0))),"")</f>
        <v/>
      </c>
      <c r="C45" s="6">
        <f>IFERROR(IF(LARGE('Monthly Matrix'!$AI$4:$AN$76,42)&lt;0,"",INDEX('Monthly Matrix'!$V$4:$AA$76,MATCH(LARGE('Monthly Matrix'!$AI$4:$AN$76,42),'Monthly Matrix'!$AI$4:$AN$76,0))),"")</f>
        <v/>
      </c>
      <c r="D45" s="6">
        <f>IFERROR(IF(LARGE('Monthly Matrix'!$AI$4:$AN$76,42)&lt;0,"",INDEX('Monthly Matrix'!$G$4:$G$76,MATCH(LARGE('Monthly Matrix'!$AI$4:$AN$76,42),'Monthly Matrix'!$AI$4:$AN$76,0))),"")</f>
        <v/>
      </c>
      <c r="E45" s="6">
        <f>IF(LARGE('Monthly Matrix'!$AI$4:$AN$76,42)&lt;0,"",IF(INDEX('Monthly Matrix'!$V$4:$AA$76,MATCH(LARGE('Monthly Matrix'!$AI$4:$AN$76,42),'Monthly Matrix'!$AI$4:$AN$76,0))="HIGH","Site visit (3x per week)","Weekly check-in"))</f>
        <v/>
      </c>
      <c r="F45" s="6" t="n"/>
      <c r="G45" s="6" t="n"/>
      <c r="H45" s="6" t="n"/>
      <c r="I45" s="7" t="n"/>
      <c r="J45" s="6">
        <f>IF(LARGE('Monthly Matrix'!$AI$4:$AN$76,42)&lt;0,"","Scheduled")</f>
        <v/>
      </c>
    </row>
    <row r="46" ht="19.5" customHeight="1" s="146">
      <c r="A46" s="10">
        <f>IFERROR(IF(LARGE('Monthly Matrix'!$AI$4:$AN$76,43)&lt;0,"",INDEX('Monthly Matrix'!$A$4:$A$76,MATCH(LARGE('Monthly Matrix'!$AI$4:$AN$76,43),'Monthly Matrix'!$AI$4:$AN$76,0))),"")</f>
        <v/>
      </c>
      <c r="B46" s="10">
        <f>IFERROR(IF(LARGE('Monthly Matrix'!$AI$4:$AN$76,43)&lt;0,"",INDEX('Monthly Matrix'!$B$4:$B$76,MATCH(LARGE('Monthly Matrix'!$AI$4:$AN$76,43),'Monthly Matrix'!$AI$4:$AN$76,0))),"")</f>
        <v/>
      </c>
      <c r="C46" s="10">
        <f>IFERROR(IF(LARGE('Monthly Matrix'!$AI$4:$AN$76,43)&lt;0,"",INDEX('Monthly Matrix'!$V$4:$AA$76,MATCH(LARGE('Monthly Matrix'!$AI$4:$AN$76,43),'Monthly Matrix'!$AI$4:$AN$76,0))),"")</f>
        <v/>
      </c>
      <c r="D46" s="10">
        <f>IFERROR(IF(LARGE('Monthly Matrix'!$AI$4:$AN$76,43)&lt;0,"",INDEX('Monthly Matrix'!$G$4:$G$76,MATCH(LARGE('Monthly Matrix'!$AI$4:$AN$76,43),'Monthly Matrix'!$AI$4:$AN$76,0))),"")</f>
        <v/>
      </c>
      <c r="E46" s="10">
        <f>IF(LARGE('Monthly Matrix'!$AI$4:$AN$76,43)&lt;0,"",IF(INDEX('Monthly Matrix'!$V$4:$AA$76,MATCH(LARGE('Monthly Matrix'!$AI$4:$AN$76,43),'Monthly Matrix'!$AI$4:$AN$76,0))="HIGH","Site visit (3x per week)","Weekly check-in"))</f>
        <v/>
      </c>
      <c r="F46" s="10" t="n"/>
      <c r="G46" s="10" t="n"/>
      <c r="H46" s="10" t="n"/>
      <c r="I46" s="11" t="n"/>
      <c r="J46" s="10">
        <f>IF(LARGE('Monthly Matrix'!$AI$4:$AN$76,43)&lt;0,"","Scheduled")</f>
        <v/>
      </c>
    </row>
    <row r="47" ht="19.5" customHeight="1" s="146">
      <c r="A47" s="6">
        <f>IFERROR(IF(LARGE('Monthly Matrix'!$AI$4:$AN$76,44)&lt;0,"",INDEX('Monthly Matrix'!$A$4:$A$76,MATCH(LARGE('Monthly Matrix'!$AI$4:$AN$76,44),'Monthly Matrix'!$AI$4:$AN$76,0))),"")</f>
        <v/>
      </c>
      <c r="B47" s="6">
        <f>IFERROR(IF(LARGE('Monthly Matrix'!$AI$4:$AN$76,44)&lt;0,"",INDEX('Monthly Matrix'!$B$4:$B$76,MATCH(LARGE('Monthly Matrix'!$AI$4:$AN$76,44),'Monthly Matrix'!$AI$4:$AN$76,0))),"")</f>
        <v/>
      </c>
      <c r="C47" s="6">
        <f>IFERROR(IF(LARGE('Monthly Matrix'!$AI$4:$AN$76,44)&lt;0,"",INDEX('Monthly Matrix'!$V$4:$AA$76,MATCH(LARGE('Monthly Matrix'!$AI$4:$AN$76,44),'Monthly Matrix'!$AI$4:$AN$76,0))),"")</f>
        <v/>
      </c>
      <c r="D47" s="6">
        <f>IFERROR(IF(LARGE('Monthly Matrix'!$AI$4:$AN$76,44)&lt;0,"",INDEX('Monthly Matrix'!$G$4:$G$76,MATCH(LARGE('Monthly Matrix'!$AI$4:$AN$76,44),'Monthly Matrix'!$AI$4:$AN$76,0))),"")</f>
        <v/>
      </c>
      <c r="E47" s="6">
        <f>IF(LARGE('Monthly Matrix'!$AI$4:$AN$76,44)&lt;0,"",IF(INDEX('Monthly Matrix'!$V$4:$AA$76,MATCH(LARGE('Monthly Matrix'!$AI$4:$AN$76,44),'Monthly Matrix'!$AI$4:$AN$76,0))="HIGH","Site visit (3x per week)","Weekly check-in"))</f>
        <v/>
      </c>
      <c r="F47" s="6" t="n"/>
      <c r="G47" s="6" t="n"/>
      <c r="H47" s="6" t="n"/>
      <c r="I47" s="7" t="n"/>
      <c r="J47" s="6">
        <f>IF(LARGE('Monthly Matrix'!$AI$4:$AN$76,44)&lt;0,"","Scheduled")</f>
        <v/>
      </c>
    </row>
    <row r="48" ht="19.5" customHeight="1" s="146">
      <c r="A48" s="10">
        <f>IFERROR(IF(LARGE('Monthly Matrix'!$AI$4:$AN$76,45)&lt;0,"",INDEX('Monthly Matrix'!$A$4:$A$76,MATCH(LARGE('Monthly Matrix'!$AI$4:$AN$76,45),'Monthly Matrix'!$AI$4:$AN$76,0))),"")</f>
        <v/>
      </c>
      <c r="B48" s="10">
        <f>IFERROR(IF(LARGE('Monthly Matrix'!$AI$4:$AN$76,45)&lt;0,"",INDEX('Monthly Matrix'!$B$4:$B$76,MATCH(LARGE('Monthly Matrix'!$AI$4:$AN$76,45),'Monthly Matrix'!$AI$4:$AN$76,0))),"")</f>
        <v/>
      </c>
      <c r="C48" s="10">
        <f>IFERROR(IF(LARGE('Monthly Matrix'!$AI$4:$AN$76,45)&lt;0,"",INDEX('Monthly Matrix'!$V$4:$AA$76,MATCH(LARGE('Monthly Matrix'!$AI$4:$AN$76,45),'Monthly Matrix'!$AI$4:$AN$76,0))),"")</f>
        <v/>
      </c>
      <c r="D48" s="10">
        <f>IFERROR(IF(LARGE('Monthly Matrix'!$AI$4:$AN$76,45)&lt;0,"",INDEX('Monthly Matrix'!$G$4:$G$76,MATCH(LARGE('Monthly Matrix'!$AI$4:$AN$76,45),'Monthly Matrix'!$AI$4:$AN$76,0))),"")</f>
        <v/>
      </c>
      <c r="E48" s="10">
        <f>IF(LARGE('Monthly Matrix'!$AI$4:$AN$76,45)&lt;0,"",IF(INDEX('Monthly Matrix'!$V$4:$AA$76,MATCH(LARGE('Monthly Matrix'!$AI$4:$AN$76,45),'Monthly Matrix'!$AI$4:$AN$76,0))="HIGH","Site visit (3x per week)","Weekly check-in"))</f>
        <v/>
      </c>
      <c r="F48" s="10" t="n"/>
      <c r="G48" s="10" t="n"/>
      <c r="H48" s="10" t="n"/>
      <c r="I48" s="11" t="n"/>
      <c r="J48" s="10">
        <f>IF(LARGE('Monthly Matrix'!$AI$4:$AN$76,45)&lt;0,"","Scheduled")</f>
        <v/>
      </c>
    </row>
    <row r="49" ht="19.5" customHeight="1" s="146">
      <c r="A49" s="6">
        <f>IFERROR(IF(LARGE('Monthly Matrix'!$AI$4:$AN$76,46)&lt;0,"",INDEX('Monthly Matrix'!$A$4:$A$76,MATCH(LARGE('Monthly Matrix'!$AI$4:$AN$76,46),'Monthly Matrix'!$AI$4:$AN$76,0))),"")</f>
        <v/>
      </c>
      <c r="B49" s="6">
        <f>IFERROR(IF(LARGE('Monthly Matrix'!$AI$4:$AN$76,46)&lt;0,"",INDEX('Monthly Matrix'!$B$4:$B$76,MATCH(LARGE('Monthly Matrix'!$AI$4:$AN$76,46),'Monthly Matrix'!$AI$4:$AN$76,0))),"")</f>
        <v/>
      </c>
      <c r="C49" s="6">
        <f>IFERROR(IF(LARGE('Monthly Matrix'!$AI$4:$AN$76,46)&lt;0,"",INDEX('Monthly Matrix'!$V$4:$AA$76,MATCH(LARGE('Monthly Matrix'!$AI$4:$AN$76,46),'Monthly Matrix'!$AI$4:$AN$76,0))),"")</f>
        <v/>
      </c>
      <c r="D49" s="6">
        <f>IFERROR(IF(LARGE('Monthly Matrix'!$AI$4:$AN$76,46)&lt;0,"",INDEX('Monthly Matrix'!$G$4:$G$76,MATCH(LARGE('Monthly Matrix'!$AI$4:$AN$76,46),'Monthly Matrix'!$AI$4:$AN$76,0))),"")</f>
        <v/>
      </c>
      <c r="E49" s="6">
        <f>IF(LARGE('Monthly Matrix'!$AI$4:$AN$76,46)&lt;0,"",IF(INDEX('Monthly Matrix'!$V$4:$AA$76,MATCH(LARGE('Monthly Matrix'!$AI$4:$AN$76,46),'Monthly Matrix'!$AI$4:$AN$76,0))="HIGH","Site visit (3x per week)","Weekly check-in"))</f>
        <v/>
      </c>
      <c r="F49" s="6" t="n"/>
      <c r="G49" s="6" t="n"/>
      <c r="H49" s="6" t="n"/>
      <c r="I49" s="7" t="n"/>
      <c r="J49" s="6">
        <f>IF(LARGE('Monthly Matrix'!$AI$4:$AN$76,46)&lt;0,"","Scheduled")</f>
        <v/>
      </c>
    </row>
    <row r="50" ht="19.5" customHeight="1" s="146">
      <c r="A50" s="10">
        <f>IFERROR(IF(LARGE('Monthly Matrix'!$AI$4:$AN$76,47)&lt;0,"",INDEX('Monthly Matrix'!$A$4:$A$76,MATCH(LARGE('Monthly Matrix'!$AI$4:$AN$76,47),'Monthly Matrix'!$AI$4:$AN$76,0))),"")</f>
        <v/>
      </c>
      <c r="B50" s="10">
        <f>IFERROR(IF(LARGE('Monthly Matrix'!$AI$4:$AN$76,47)&lt;0,"",INDEX('Monthly Matrix'!$B$4:$B$76,MATCH(LARGE('Monthly Matrix'!$AI$4:$AN$76,47),'Monthly Matrix'!$AI$4:$AN$76,0))),"")</f>
        <v/>
      </c>
      <c r="C50" s="10">
        <f>IFERROR(IF(LARGE('Monthly Matrix'!$AI$4:$AN$76,47)&lt;0,"",INDEX('Monthly Matrix'!$V$4:$AA$76,MATCH(LARGE('Monthly Matrix'!$AI$4:$AN$76,47),'Monthly Matrix'!$AI$4:$AN$76,0))),"")</f>
        <v/>
      </c>
      <c r="D50" s="10">
        <f>IFERROR(IF(LARGE('Monthly Matrix'!$AI$4:$AN$76,47)&lt;0,"",INDEX('Monthly Matrix'!$G$4:$G$76,MATCH(LARGE('Monthly Matrix'!$AI$4:$AN$76,47),'Monthly Matrix'!$AI$4:$AN$76,0))),"")</f>
        <v/>
      </c>
      <c r="E50" s="10">
        <f>IF(LARGE('Monthly Matrix'!$AI$4:$AN$76,47)&lt;0,"",IF(INDEX('Monthly Matrix'!$V$4:$AA$76,MATCH(LARGE('Monthly Matrix'!$AI$4:$AN$76,47),'Monthly Matrix'!$AI$4:$AN$76,0))="HIGH","Site visit (3x per week)","Weekly check-in"))</f>
        <v/>
      </c>
      <c r="F50" s="10" t="n"/>
      <c r="G50" s="10" t="n"/>
      <c r="H50" s="10" t="n"/>
      <c r="I50" s="11" t="n"/>
      <c r="J50" s="10">
        <f>IF(LARGE('Monthly Matrix'!$AI$4:$AN$76,47)&lt;0,"","Scheduled")</f>
        <v/>
      </c>
    </row>
    <row r="51" ht="19.5" customHeight="1" s="146">
      <c r="A51" s="6">
        <f>IFERROR(IF(LARGE('Monthly Matrix'!$AI$4:$AN$76,48)&lt;0,"",INDEX('Monthly Matrix'!$A$4:$A$76,MATCH(LARGE('Monthly Matrix'!$AI$4:$AN$76,48),'Monthly Matrix'!$AI$4:$AN$76,0))),"")</f>
        <v/>
      </c>
      <c r="B51" s="6">
        <f>IFERROR(IF(LARGE('Monthly Matrix'!$AI$4:$AN$76,48)&lt;0,"",INDEX('Monthly Matrix'!$B$4:$B$76,MATCH(LARGE('Monthly Matrix'!$AI$4:$AN$76,48),'Monthly Matrix'!$AI$4:$AN$76,0))),"")</f>
        <v/>
      </c>
      <c r="C51" s="6">
        <f>IFERROR(IF(LARGE('Monthly Matrix'!$AI$4:$AN$76,48)&lt;0,"",INDEX('Monthly Matrix'!$V$4:$AA$76,MATCH(LARGE('Monthly Matrix'!$AI$4:$AN$76,48),'Monthly Matrix'!$AI$4:$AN$76,0))),"")</f>
        <v/>
      </c>
      <c r="D51" s="6">
        <f>IFERROR(IF(LARGE('Monthly Matrix'!$AI$4:$AN$76,48)&lt;0,"",INDEX('Monthly Matrix'!$G$4:$G$76,MATCH(LARGE('Monthly Matrix'!$AI$4:$AN$76,48),'Monthly Matrix'!$AI$4:$AN$76,0))),"")</f>
        <v/>
      </c>
      <c r="E51" s="6">
        <f>IF(LARGE('Monthly Matrix'!$AI$4:$AN$76,48)&lt;0,"",IF(INDEX('Monthly Matrix'!$V$4:$AA$76,MATCH(LARGE('Monthly Matrix'!$AI$4:$AN$76,48),'Monthly Matrix'!$AI$4:$AN$76,0))="HIGH","Site visit (3x per week)","Weekly check-in"))</f>
        <v/>
      </c>
      <c r="F51" s="6" t="n"/>
      <c r="G51" s="6" t="n"/>
      <c r="H51" s="6" t="n"/>
      <c r="I51" s="7" t="n"/>
      <c r="J51" s="6">
        <f>IF(LARGE('Monthly Matrix'!$AI$4:$AN$76,48)&lt;0,"","Scheduled")</f>
        <v/>
      </c>
    </row>
    <row r="52" ht="19.5" customHeight="1" s="146">
      <c r="A52" s="10">
        <f>IFERROR(IF(LARGE('Monthly Matrix'!$AI$4:$AN$76,49)&lt;0,"",INDEX('Monthly Matrix'!$A$4:$A$76,MATCH(LARGE('Monthly Matrix'!$AI$4:$AN$76,49),'Monthly Matrix'!$AI$4:$AN$76,0))),"")</f>
        <v/>
      </c>
      <c r="B52" s="10">
        <f>IFERROR(IF(LARGE('Monthly Matrix'!$AI$4:$AN$76,49)&lt;0,"",INDEX('Monthly Matrix'!$B$4:$B$76,MATCH(LARGE('Monthly Matrix'!$AI$4:$AN$76,49),'Monthly Matrix'!$AI$4:$AN$76,0))),"")</f>
        <v/>
      </c>
      <c r="C52" s="10">
        <f>IFERROR(IF(LARGE('Monthly Matrix'!$AI$4:$AN$76,49)&lt;0,"",INDEX('Monthly Matrix'!$V$4:$AA$76,MATCH(LARGE('Monthly Matrix'!$AI$4:$AN$76,49),'Monthly Matrix'!$AI$4:$AN$76,0))),"")</f>
        <v/>
      </c>
      <c r="D52" s="10">
        <f>IFERROR(IF(LARGE('Monthly Matrix'!$AI$4:$AN$76,49)&lt;0,"",INDEX('Monthly Matrix'!$G$4:$G$76,MATCH(LARGE('Monthly Matrix'!$AI$4:$AN$76,49),'Monthly Matrix'!$AI$4:$AN$76,0))),"")</f>
        <v/>
      </c>
      <c r="E52" s="10">
        <f>IF(LARGE('Monthly Matrix'!$AI$4:$AN$76,49)&lt;0,"",IF(INDEX('Monthly Matrix'!$V$4:$AA$76,MATCH(LARGE('Monthly Matrix'!$AI$4:$AN$76,49),'Monthly Matrix'!$AI$4:$AN$76,0))="HIGH","Site visit (3x per week)","Weekly check-in"))</f>
        <v/>
      </c>
      <c r="F52" s="10" t="n"/>
      <c r="G52" s="10" t="n"/>
      <c r="H52" s="10" t="n"/>
      <c r="I52" s="11" t="n"/>
      <c r="J52" s="10">
        <f>IF(LARGE('Monthly Matrix'!$AI$4:$AN$76,49)&lt;0,"","Scheduled")</f>
        <v/>
      </c>
    </row>
    <row r="53" ht="19.5" customHeight="1" s="146">
      <c r="A53" s="6">
        <f>IFERROR(IF(LARGE('Monthly Matrix'!$AI$4:$AN$76,50)&lt;0,"",INDEX('Monthly Matrix'!$A$4:$A$76,MATCH(LARGE('Monthly Matrix'!$AI$4:$AN$76,50),'Monthly Matrix'!$AI$4:$AN$76,0))),"")</f>
        <v/>
      </c>
      <c r="B53" s="6">
        <f>IFERROR(IF(LARGE('Monthly Matrix'!$AI$4:$AN$76,50)&lt;0,"",INDEX('Monthly Matrix'!$B$4:$B$76,MATCH(LARGE('Monthly Matrix'!$AI$4:$AN$76,50),'Monthly Matrix'!$AI$4:$AN$76,0))),"")</f>
        <v/>
      </c>
      <c r="C53" s="6">
        <f>IFERROR(IF(LARGE('Monthly Matrix'!$AI$4:$AN$76,50)&lt;0,"",INDEX('Monthly Matrix'!$V$4:$AA$76,MATCH(LARGE('Monthly Matrix'!$AI$4:$AN$76,50),'Monthly Matrix'!$AI$4:$AN$76,0))),"")</f>
        <v/>
      </c>
      <c r="D53" s="6">
        <f>IFERROR(IF(LARGE('Monthly Matrix'!$AI$4:$AN$76,50)&lt;0,"",INDEX('Monthly Matrix'!$G$4:$G$76,MATCH(LARGE('Monthly Matrix'!$AI$4:$AN$76,50),'Monthly Matrix'!$AI$4:$AN$76,0))),"")</f>
        <v/>
      </c>
      <c r="E53" s="6">
        <f>IF(LARGE('Monthly Matrix'!$AI$4:$AN$76,50)&lt;0,"",IF(INDEX('Monthly Matrix'!$V$4:$AA$76,MATCH(LARGE('Monthly Matrix'!$AI$4:$AN$76,50),'Monthly Matrix'!$AI$4:$AN$76,0))="HIGH","Site visit (3x per week)","Weekly check-in"))</f>
        <v/>
      </c>
      <c r="F53" s="6" t="n"/>
      <c r="G53" s="6" t="n"/>
      <c r="H53" s="6" t="n"/>
      <c r="I53" s="7" t="n"/>
      <c r="J53" s="6">
        <f>IF(LARGE('Monthly Matrix'!$AI$4:$AN$76,50)&lt;0,"","Scheduled")</f>
        <v/>
      </c>
    </row>
    <row r="54" ht="19.5" customHeight="1" s="146">
      <c r="A54" s="10">
        <f>IFERROR(IF(LARGE('Monthly Matrix'!$AI$4:$AN$76,51)&lt;0,"",INDEX('Monthly Matrix'!$A$4:$A$76,MATCH(LARGE('Monthly Matrix'!$AI$4:$AN$76,51),'Monthly Matrix'!$AI$4:$AN$76,0))),"")</f>
        <v/>
      </c>
      <c r="B54" s="10">
        <f>IFERROR(IF(LARGE('Monthly Matrix'!$AI$4:$AN$76,51)&lt;0,"",INDEX('Monthly Matrix'!$B$4:$B$76,MATCH(LARGE('Monthly Matrix'!$AI$4:$AN$76,51),'Monthly Matrix'!$AI$4:$AN$76,0))),"")</f>
        <v/>
      </c>
      <c r="C54" s="10">
        <f>IFERROR(IF(LARGE('Monthly Matrix'!$AI$4:$AN$76,51)&lt;0,"",INDEX('Monthly Matrix'!$V$4:$AA$76,MATCH(LARGE('Monthly Matrix'!$AI$4:$AN$76,51),'Monthly Matrix'!$AI$4:$AN$76,0))),"")</f>
        <v/>
      </c>
      <c r="D54" s="10">
        <f>IFERROR(IF(LARGE('Monthly Matrix'!$AI$4:$AN$76,51)&lt;0,"",INDEX('Monthly Matrix'!$G$4:$G$76,MATCH(LARGE('Monthly Matrix'!$AI$4:$AN$76,51),'Monthly Matrix'!$AI$4:$AN$76,0))),"")</f>
        <v/>
      </c>
      <c r="E54" s="10">
        <f>IF(LARGE('Monthly Matrix'!$AI$4:$AN$76,51)&lt;0,"",IF(INDEX('Monthly Matrix'!$V$4:$AA$76,MATCH(LARGE('Monthly Matrix'!$AI$4:$AN$76,51),'Monthly Matrix'!$AI$4:$AN$76,0))="HIGH","Site visit (3x per week)","Weekly check-in"))</f>
        <v/>
      </c>
      <c r="F54" s="10" t="n"/>
      <c r="G54" s="10" t="n"/>
      <c r="H54" s="10" t="n"/>
      <c r="I54" s="11" t="n"/>
      <c r="J54" s="10">
        <f>IF(LARGE('Monthly Matrix'!$AI$4:$AN$76,51)&lt;0,"","Scheduled")</f>
        <v/>
      </c>
    </row>
    <row r="55" ht="19.5" customHeight="1" s="146">
      <c r="A55" s="6">
        <f>IFERROR(IF(LARGE('Monthly Matrix'!$AI$4:$AN$76,52)&lt;0,"",INDEX('Monthly Matrix'!$A$4:$A$76,MATCH(LARGE('Monthly Matrix'!$AI$4:$AN$76,52),'Monthly Matrix'!$AI$4:$AN$76,0))),"")</f>
        <v/>
      </c>
      <c r="B55" s="6">
        <f>IFERROR(IF(LARGE('Monthly Matrix'!$AI$4:$AN$76,52)&lt;0,"",INDEX('Monthly Matrix'!$B$4:$B$76,MATCH(LARGE('Monthly Matrix'!$AI$4:$AN$76,52),'Monthly Matrix'!$AI$4:$AN$76,0))),"")</f>
        <v/>
      </c>
      <c r="C55" s="6">
        <f>IFERROR(IF(LARGE('Monthly Matrix'!$AI$4:$AN$76,52)&lt;0,"",INDEX('Monthly Matrix'!$V$4:$AA$76,MATCH(LARGE('Monthly Matrix'!$AI$4:$AN$76,52),'Monthly Matrix'!$AI$4:$AN$76,0))),"")</f>
        <v/>
      </c>
      <c r="D55" s="6">
        <f>IFERROR(IF(LARGE('Monthly Matrix'!$AI$4:$AN$76,52)&lt;0,"",INDEX('Monthly Matrix'!$G$4:$G$76,MATCH(LARGE('Monthly Matrix'!$AI$4:$AN$76,52),'Monthly Matrix'!$AI$4:$AN$76,0))),"")</f>
        <v/>
      </c>
      <c r="E55" s="6">
        <f>IF(LARGE('Monthly Matrix'!$AI$4:$AN$76,52)&lt;0,"",IF(INDEX('Monthly Matrix'!$V$4:$AA$76,MATCH(LARGE('Monthly Matrix'!$AI$4:$AN$76,52),'Monthly Matrix'!$AI$4:$AN$76,0))="HIGH","Site visit (3x per week)","Weekly check-in"))</f>
        <v/>
      </c>
      <c r="F55" s="6" t="n"/>
      <c r="G55" s="6" t="n"/>
      <c r="H55" s="6" t="n"/>
      <c r="I55" s="7" t="n"/>
      <c r="J55" s="6">
        <f>IF(LARGE('Monthly Matrix'!$AI$4:$AN$76,52)&lt;0,"","Scheduled")</f>
        <v/>
      </c>
    </row>
    <row r="56" ht="19.5" customHeight="1" s="146">
      <c r="A56" s="10">
        <f>IFERROR(IF(LARGE('Monthly Matrix'!$AI$4:$AN$76,53)&lt;0,"",INDEX('Monthly Matrix'!$A$4:$A$76,MATCH(LARGE('Monthly Matrix'!$AI$4:$AN$76,53),'Monthly Matrix'!$AI$4:$AN$76,0))),"")</f>
        <v/>
      </c>
      <c r="B56" s="10">
        <f>IFERROR(IF(LARGE('Monthly Matrix'!$AI$4:$AN$76,53)&lt;0,"",INDEX('Monthly Matrix'!$B$4:$B$76,MATCH(LARGE('Monthly Matrix'!$AI$4:$AN$76,53),'Monthly Matrix'!$AI$4:$AN$76,0))),"")</f>
        <v/>
      </c>
      <c r="C56" s="10">
        <f>IFERROR(IF(LARGE('Monthly Matrix'!$AI$4:$AN$76,53)&lt;0,"",INDEX('Monthly Matrix'!$V$4:$AA$76,MATCH(LARGE('Monthly Matrix'!$AI$4:$AN$76,53),'Monthly Matrix'!$AI$4:$AN$76,0))),"")</f>
        <v/>
      </c>
      <c r="D56" s="10">
        <f>IFERROR(IF(LARGE('Monthly Matrix'!$AI$4:$AN$76,53)&lt;0,"",INDEX('Monthly Matrix'!$G$4:$G$76,MATCH(LARGE('Monthly Matrix'!$AI$4:$AN$76,53),'Monthly Matrix'!$AI$4:$AN$76,0))),"")</f>
        <v/>
      </c>
      <c r="E56" s="10">
        <f>IF(LARGE('Monthly Matrix'!$AI$4:$AN$76,53)&lt;0,"",IF(INDEX('Monthly Matrix'!$V$4:$AA$76,MATCH(LARGE('Monthly Matrix'!$AI$4:$AN$76,53),'Monthly Matrix'!$AI$4:$AN$76,0))="HIGH","Site visit (3x per week)","Weekly check-in"))</f>
        <v/>
      </c>
      <c r="F56" s="10" t="n"/>
      <c r="G56" s="10" t="n"/>
      <c r="H56" s="10" t="n"/>
      <c r="I56" s="11" t="n"/>
      <c r="J56" s="10">
        <f>IF(LARGE('Monthly Matrix'!$AI$4:$AN$76,53)&lt;0,"","Scheduled")</f>
        <v/>
      </c>
    </row>
    <row r="57" ht="19.5" customHeight="1" s="146">
      <c r="A57" s="6">
        <f>IFERROR(IF(LARGE('Monthly Matrix'!$AI$4:$AN$76,54)&lt;0,"",INDEX('Monthly Matrix'!$A$4:$A$76,MATCH(LARGE('Monthly Matrix'!$AI$4:$AN$76,54),'Monthly Matrix'!$AI$4:$AN$76,0))),"")</f>
        <v/>
      </c>
      <c r="B57" s="6">
        <f>IFERROR(IF(LARGE('Monthly Matrix'!$AI$4:$AN$76,54)&lt;0,"",INDEX('Monthly Matrix'!$B$4:$B$76,MATCH(LARGE('Monthly Matrix'!$AI$4:$AN$76,54),'Monthly Matrix'!$AI$4:$AN$76,0))),"")</f>
        <v/>
      </c>
      <c r="C57" s="6">
        <f>IFERROR(IF(LARGE('Monthly Matrix'!$AI$4:$AN$76,54)&lt;0,"",INDEX('Monthly Matrix'!$V$4:$AA$76,MATCH(LARGE('Monthly Matrix'!$AI$4:$AN$76,54),'Monthly Matrix'!$AI$4:$AN$76,0))),"")</f>
        <v/>
      </c>
      <c r="D57" s="6">
        <f>IFERROR(IF(LARGE('Monthly Matrix'!$AI$4:$AN$76,54)&lt;0,"",INDEX('Monthly Matrix'!$G$4:$G$76,MATCH(LARGE('Monthly Matrix'!$AI$4:$AN$76,54),'Monthly Matrix'!$AI$4:$AN$76,0))),"")</f>
        <v/>
      </c>
      <c r="E57" s="6">
        <f>IF(LARGE('Monthly Matrix'!$AI$4:$AN$76,54)&lt;0,"",IF(INDEX('Monthly Matrix'!$V$4:$AA$76,MATCH(LARGE('Monthly Matrix'!$AI$4:$AN$76,54),'Monthly Matrix'!$AI$4:$AN$76,0))="HIGH","Site visit (3x per week)","Weekly check-in"))</f>
        <v/>
      </c>
      <c r="F57" s="6" t="n"/>
      <c r="G57" s="6" t="n"/>
      <c r="H57" s="6" t="n"/>
      <c r="I57" s="7" t="n"/>
      <c r="J57" s="6">
        <f>IF(LARGE('Monthly Matrix'!$AI$4:$AN$76,54)&lt;0,"","Scheduled")</f>
        <v/>
      </c>
    </row>
    <row r="58" ht="19.5" customHeight="1" s="146">
      <c r="A58" s="10">
        <f>IFERROR(IF(LARGE('Monthly Matrix'!$AI$4:$AN$76,55)&lt;0,"",INDEX('Monthly Matrix'!$A$4:$A$76,MATCH(LARGE('Monthly Matrix'!$AI$4:$AN$76,55),'Monthly Matrix'!$AI$4:$AN$76,0))),"")</f>
        <v/>
      </c>
      <c r="B58" s="10">
        <f>IFERROR(IF(LARGE('Monthly Matrix'!$AI$4:$AN$76,55)&lt;0,"",INDEX('Monthly Matrix'!$B$4:$B$76,MATCH(LARGE('Monthly Matrix'!$AI$4:$AN$76,55),'Monthly Matrix'!$AI$4:$AN$76,0))),"")</f>
        <v/>
      </c>
      <c r="C58" s="10">
        <f>IFERROR(IF(LARGE('Monthly Matrix'!$AI$4:$AN$76,55)&lt;0,"",INDEX('Monthly Matrix'!$V$4:$AA$76,MATCH(LARGE('Monthly Matrix'!$AI$4:$AN$76,55),'Monthly Matrix'!$AI$4:$AN$76,0))),"")</f>
        <v/>
      </c>
      <c r="D58" s="10">
        <f>IFERROR(IF(LARGE('Monthly Matrix'!$AI$4:$AN$76,55)&lt;0,"",INDEX('Monthly Matrix'!$G$4:$G$76,MATCH(LARGE('Monthly Matrix'!$AI$4:$AN$76,55),'Monthly Matrix'!$AI$4:$AN$76,0))),"")</f>
        <v/>
      </c>
      <c r="E58" s="10">
        <f>IF(LARGE('Monthly Matrix'!$AI$4:$AN$76,55)&lt;0,"",IF(INDEX('Monthly Matrix'!$V$4:$AA$76,MATCH(LARGE('Monthly Matrix'!$AI$4:$AN$76,55),'Monthly Matrix'!$AI$4:$AN$76,0))="HIGH","Site visit (3x per week)","Weekly check-in"))</f>
        <v/>
      </c>
      <c r="F58" s="10" t="n"/>
      <c r="G58" s="10" t="n"/>
      <c r="H58" s="10" t="n"/>
      <c r="I58" s="11" t="n"/>
      <c r="J58" s="10">
        <f>IF(LARGE('Monthly Matrix'!$AI$4:$AN$76,55)&lt;0,"","Scheduled")</f>
        <v/>
      </c>
    </row>
    <row r="59" ht="19.5" customHeight="1" s="146">
      <c r="A59" s="6">
        <f>IFERROR(IF(LARGE('Monthly Matrix'!$AI$4:$AN$76,56)&lt;0,"",INDEX('Monthly Matrix'!$A$4:$A$76,MATCH(LARGE('Monthly Matrix'!$AI$4:$AN$76,56),'Monthly Matrix'!$AI$4:$AN$76,0))),"")</f>
        <v/>
      </c>
      <c r="B59" s="6">
        <f>IFERROR(IF(LARGE('Monthly Matrix'!$AI$4:$AN$76,56)&lt;0,"",INDEX('Monthly Matrix'!$B$4:$B$76,MATCH(LARGE('Monthly Matrix'!$AI$4:$AN$76,56),'Monthly Matrix'!$AI$4:$AN$76,0))),"")</f>
        <v/>
      </c>
      <c r="C59" s="6">
        <f>IFERROR(IF(LARGE('Monthly Matrix'!$AI$4:$AN$76,56)&lt;0,"",INDEX('Monthly Matrix'!$V$4:$AA$76,MATCH(LARGE('Monthly Matrix'!$AI$4:$AN$76,56),'Monthly Matrix'!$AI$4:$AN$76,0))),"")</f>
        <v/>
      </c>
      <c r="D59" s="6">
        <f>IFERROR(IF(LARGE('Monthly Matrix'!$AI$4:$AN$76,56)&lt;0,"",INDEX('Monthly Matrix'!$G$4:$G$76,MATCH(LARGE('Monthly Matrix'!$AI$4:$AN$76,56),'Monthly Matrix'!$AI$4:$AN$76,0))),"")</f>
        <v/>
      </c>
      <c r="E59" s="6">
        <f>IF(LARGE('Monthly Matrix'!$AI$4:$AN$76,56)&lt;0,"",IF(INDEX('Monthly Matrix'!$V$4:$AA$76,MATCH(LARGE('Monthly Matrix'!$AI$4:$AN$76,56),'Monthly Matrix'!$AI$4:$AN$76,0))="HIGH","Site visit (3x per week)","Weekly check-in"))</f>
        <v/>
      </c>
      <c r="F59" s="6" t="n"/>
      <c r="G59" s="6" t="n"/>
      <c r="H59" s="6" t="n"/>
      <c r="I59" s="7" t="n"/>
      <c r="J59" s="6">
        <f>IF(LARGE('Monthly Matrix'!$AI$4:$AN$76,56)&lt;0,"","Scheduled")</f>
        <v/>
      </c>
    </row>
    <row r="60" ht="19.5" customHeight="1" s="146">
      <c r="A60" s="10">
        <f>IFERROR(IF(LARGE('Monthly Matrix'!$AI$4:$AN$76,57)&lt;0,"",INDEX('Monthly Matrix'!$A$4:$A$76,MATCH(LARGE('Monthly Matrix'!$AI$4:$AN$76,57),'Monthly Matrix'!$AI$4:$AN$76,0))),"")</f>
        <v/>
      </c>
      <c r="B60" s="10">
        <f>IFERROR(IF(LARGE('Monthly Matrix'!$AI$4:$AN$76,57)&lt;0,"",INDEX('Monthly Matrix'!$B$4:$B$76,MATCH(LARGE('Monthly Matrix'!$AI$4:$AN$76,57),'Monthly Matrix'!$AI$4:$AN$76,0))),"")</f>
        <v/>
      </c>
      <c r="C60" s="10">
        <f>IFERROR(IF(LARGE('Monthly Matrix'!$AI$4:$AN$76,57)&lt;0,"",INDEX('Monthly Matrix'!$V$4:$AA$76,MATCH(LARGE('Monthly Matrix'!$AI$4:$AN$76,57),'Monthly Matrix'!$AI$4:$AN$76,0))),"")</f>
        <v/>
      </c>
      <c r="D60" s="10">
        <f>IFERROR(IF(LARGE('Monthly Matrix'!$AI$4:$AN$76,57)&lt;0,"",INDEX('Monthly Matrix'!$G$4:$G$76,MATCH(LARGE('Monthly Matrix'!$AI$4:$AN$76,57),'Monthly Matrix'!$AI$4:$AN$76,0))),"")</f>
        <v/>
      </c>
      <c r="E60" s="10">
        <f>IF(LARGE('Monthly Matrix'!$AI$4:$AN$76,57)&lt;0,"",IF(INDEX('Monthly Matrix'!$V$4:$AA$76,MATCH(LARGE('Monthly Matrix'!$AI$4:$AN$76,57),'Monthly Matrix'!$AI$4:$AN$76,0))="HIGH","Site visit (3x per week)","Weekly check-in"))</f>
        <v/>
      </c>
      <c r="F60" s="10" t="n"/>
      <c r="G60" s="10" t="n"/>
      <c r="H60" s="10" t="n"/>
      <c r="I60" s="11" t="n"/>
      <c r="J60" s="10">
        <f>IF(LARGE('Monthly Matrix'!$AI$4:$AN$76,57)&lt;0,"","Scheduled")</f>
        <v/>
      </c>
    </row>
    <row r="61" ht="19.5" customHeight="1" s="146">
      <c r="A61" s="6">
        <f>IFERROR(IF(LARGE('Monthly Matrix'!$AI$4:$AN$76,58)&lt;0,"",INDEX('Monthly Matrix'!$A$4:$A$76,MATCH(LARGE('Monthly Matrix'!$AI$4:$AN$76,58),'Monthly Matrix'!$AI$4:$AN$76,0))),"")</f>
        <v/>
      </c>
      <c r="B61" s="6">
        <f>IFERROR(IF(LARGE('Monthly Matrix'!$AI$4:$AN$76,58)&lt;0,"",INDEX('Monthly Matrix'!$B$4:$B$76,MATCH(LARGE('Monthly Matrix'!$AI$4:$AN$76,58),'Monthly Matrix'!$AI$4:$AN$76,0))),"")</f>
        <v/>
      </c>
      <c r="C61" s="6">
        <f>IFERROR(IF(LARGE('Monthly Matrix'!$AI$4:$AN$76,58)&lt;0,"",INDEX('Monthly Matrix'!$V$4:$AA$76,MATCH(LARGE('Monthly Matrix'!$AI$4:$AN$76,58),'Monthly Matrix'!$AI$4:$AN$76,0))),"")</f>
        <v/>
      </c>
      <c r="D61" s="6">
        <f>IFERROR(IF(LARGE('Monthly Matrix'!$AI$4:$AN$76,58)&lt;0,"",INDEX('Monthly Matrix'!$G$4:$G$76,MATCH(LARGE('Monthly Matrix'!$AI$4:$AN$76,58),'Monthly Matrix'!$AI$4:$AN$76,0))),"")</f>
        <v/>
      </c>
      <c r="E61" s="6">
        <f>IF(LARGE('Monthly Matrix'!$AI$4:$AN$76,58)&lt;0,"",IF(INDEX('Monthly Matrix'!$V$4:$AA$76,MATCH(LARGE('Monthly Matrix'!$AI$4:$AN$76,58),'Monthly Matrix'!$AI$4:$AN$76,0))="HIGH","Site visit (3x per week)","Weekly check-in"))</f>
        <v/>
      </c>
      <c r="F61" s="6" t="n"/>
      <c r="G61" s="6" t="n"/>
      <c r="H61" s="6" t="n"/>
      <c r="I61" s="7" t="n"/>
      <c r="J61" s="6">
        <f>IF(LARGE('Monthly Matrix'!$AI$4:$AN$76,58)&lt;0,"","Scheduled")</f>
        <v/>
      </c>
    </row>
    <row r="62" ht="19.5" customHeight="1" s="146">
      <c r="A62" s="10">
        <f>IFERROR(IF(LARGE('Monthly Matrix'!$AI$4:$AN$76,59)&lt;0,"",INDEX('Monthly Matrix'!$A$4:$A$76,MATCH(LARGE('Monthly Matrix'!$AI$4:$AN$76,59),'Monthly Matrix'!$AI$4:$AN$76,0))),"")</f>
        <v/>
      </c>
      <c r="B62" s="10">
        <f>IFERROR(IF(LARGE('Monthly Matrix'!$AI$4:$AN$76,59)&lt;0,"",INDEX('Monthly Matrix'!$B$4:$B$76,MATCH(LARGE('Monthly Matrix'!$AI$4:$AN$76,59),'Monthly Matrix'!$AI$4:$AN$76,0))),"")</f>
        <v/>
      </c>
      <c r="C62" s="10">
        <f>IFERROR(IF(LARGE('Monthly Matrix'!$AI$4:$AN$76,59)&lt;0,"",INDEX('Monthly Matrix'!$V$4:$AA$76,MATCH(LARGE('Monthly Matrix'!$AI$4:$AN$76,59),'Monthly Matrix'!$AI$4:$AN$76,0))),"")</f>
        <v/>
      </c>
      <c r="D62" s="10">
        <f>IFERROR(IF(LARGE('Monthly Matrix'!$AI$4:$AN$76,59)&lt;0,"",INDEX('Monthly Matrix'!$G$4:$G$76,MATCH(LARGE('Monthly Matrix'!$AI$4:$AN$76,59),'Monthly Matrix'!$AI$4:$AN$76,0))),"")</f>
        <v/>
      </c>
      <c r="E62" s="10">
        <f>IF(LARGE('Monthly Matrix'!$AI$4:$AN$76,59)&lt;0,"",IF(INDEX('Monthly Matrix'!$V$4:$AA$76,MATCH(LARGE('Monthly Matrix'!$AI$4:$AN$76,59),'Monthly Matrix'!$AI$4:$AN$76,0))="HIGH","Site visit (3x per week)","Weekly check-in"))</f>
        <v/>
      </c>
      <c r="F62" s="10" t="n"/>
      <c r="G62" s="10" t="n"/>
      <c r="H62" s="10" t="n"/>
      <c r="I62" s="11" t="n"/>
      <c r="J62" s="10">
        <f>IF(LARGE('Monthly Matrix'!$AI$4:$AN$76,59)&lt;0,"","Scheduled")</f>
        <v/>
      </c>
    </row>
    <row r="63" ht="19.5" customHeight="1" s="146">
      <c r="A63" s="6">
        <f>IFERROR(IF(LARGE('Monthly Matrix'!$AI$4:$AN$76,60)&lt;0,"",INDEX('Monthly Matrix'!$A$4:$A$76,MATCH(LARGE('Monthly Matrix'!$AI$4:$AN$76,60),'Monthly Matrix'!$AI$4:$AN$76,0))),"")</f>
        <v/>
      </c>
      <c r="B63" s="6">
        <f>IFERROR(IF(LARGE('Monthly Matrix'!$AI$4:$AN$76,60)&lt;0,"",INDEX('Monthly Matrix'!$B$4:$B$76,MATCH(LARGE('Monthly Matrix'!$AI$4:$AN$76,60),'Monthly Matrix'!$AI$4:$AN$76,0))),"")</f>
        <v/>
      </c>
      <c r="C63" s="6">
        <f>IFERROR(IF(LARGE('Monthly Matrix'!$AI$4:$AN$76,60)&lt;0,"",INDEX('Monthly Matrix'!$V$4:$AA$76,MATCH(LARGE('Monthly Matrix'!$AI$4:$AN$76,60),'Monthly Matrix'!$AI$4:$AN$76,0))),"")</f>
        <v/>
      </c>
      <c r="D63" s="6">
        <f>IFERROR(IF(LARGE('Monthly Matrix'!$AI$4:$AN$76,60)&lt;0,"",INDEX('Monthly Matrix'!$G$4:$G$76,MATCH(LARGE('Monthly Matrix'!$AI$4:$AN$76,60),'Monthly Matrix'!$AI$4:$AN$76,0))),"")</f>
        <v/>
      </c>
      <c r="E63" s="6">
        <f>IF(LARGE('Monthly Matrix'!$AI$4:$AN$76,60)&lt;0,"",IF(INDEX('Monthly Matrix'!$V$4:$AA$76,MATCH(LARGE('Monthly Matrix'!$AI$4:$AN$76,60),'Monthly Matrix'!$AI$4:$AN$76,0))="HIGH","Site visit (3x per week)","Weekly check-in"))</f>
        <v/>
      </c>
      <c r="F63" s="6" t="n"/>
      <c r="G63" s="6" t="n"/>
      <c r="H63" s="6" t="n"/>
      <c r="I63" s="7" t="n"/>
      <c r="J63" s="6">
        <f>IF(LARGE('Monthly Matrix'!$AI$4:$AN$76,60)&lt;0,"","Scheduled")</f>
        <v/>
      </c>
    </row>
    <row r="64" ht="19.5" customHeight="1" s="146">
      <c r="A64" s="10">
        <f>IFERROR(IF(LARGE('Monthly Matrix'!$AI$4:$AN$76,61)&lt;0,"",INDEX('Monthly Matrix'!$A$4:$A$76,MATCH(LARGE('Monthly Matrix'!$AI$4:$AN$76,61),'Monthly Matrix'!$AI$4:$AN$76,0))),"")</f>
        <v/>
      </c>
      <c r="B64" s="10">
        <f>IFERROR(IF(LARGE('Monthly Matrix'!$AI$4:$AN$76,61)&lt;0,"",INDEX('Monthly Matrix'!$B$4:$B$76,MATCH(LARGE('Monthly Matrix'!$AI$4:$AN$76,61),'Monthly Matrix'!$AI$4:$AN$76,0))),"")</f>
        <v/>
      </c>
      <c r="C64" s="10">
        <f>IFERROR(IF(LARGE('Monthly Matrix'!$AI$4:$AN$76,61)&lt;0,"",INDEX('Monthly Matrix'!$V$4:$AA$76,MATCH(LARGE('Monthly Matrix'!$AI$4:$AN$76,61),'Monthly Matrix'!$AI$4:$AN$76,0))),"")</f>
        <v/>
      </c>
      <c r="D64" s="10">
        <f>IFERROR(IF(LARGE('Monthly Matrix'!$AI$4:$AN$76,61)&lt;0,"",INDEX('Monthly Matrix'!$G$4:$G$76,MATCH(LARGE('Monthly Matrix'!$AI$4:$AN$76,61),'Monthly Matrix'!$AI$4:$AN$76,0))),"")</f>
        <v/>
      </c>
      <c r="E64" s="10">
        <f>IF(LARGE('Monthly Matrix'!$AI$4:$AN$76,61)&lt;0,"",IF(INDEX('Monthly Matrix'!$V$4:$AA$76,MATCH(LARGE('Monthly Matrix'!$AI$4:$AN$76,61),'Monthly Matrix'!$AI$4:$AN$76,0))="HIGH","Site visit (3x per week)","Weekly check-in"))</f>
        <v/>
      </c>
      <c r="F64" s="10" t="n"/>
      <c r="G64" s="10" t="n"/>
      <c r="H64" s="10" t="n"/>
      <c r="I64" s="11" t="n"/>
      <c r="J64" s="10">
        <f>IF(LARGE('Monthly Matrix'!$AI$4:$AN$76,61)&lt;0,"","Scheduled")</f>
        <v/>
      </c>
    </row>
    <row r="65" ht="19.5" customHeight="1" s="146">
      <c r="A65" s="6">
        <f>IFERROR(IF(LARGE('Monthly Matrix'!$AI$4:$AN$76,62)&lt;0,"",INDEX('Monthly Matrix'!$A$4:$A$76,MATCH(LARGE('Monthly Matrix'!$AI$4:$AN$76,62),'Monthly Matrix'!$AI$4:$AN$76,0))),"")</f>
        <v/>
      </c>
      <c r="B65" s="6">
        <f>IFERROR(IF(LARGE('Monthly Matrix'!$AI$4:$AN$76,62)&lt;0,"",INDEX('Monthly Matrix'!$B$4:$B$76,MATCH(LARGE('Monthly Matrix'!$AI$4:$AN$76,62),'Monthly Matrix'!$AI$4:$AN$76,0))),"")</f>
        <v/>
      </c>
      <c r="C65" s="6">
        <f>IFERROR(IF(LARGE('Monthly Matrix'!$AI$4:$AN$76,62)&lt;0,"",INDEX('Monthly Matrix'!$V$4:$AA$76,MATCH(LARGE('Monthly Matrix'!$AI$4:$AN$76,62),'Monthly Matrix'!$AI$4:$AN$76,0))),"")</f>
        <v/>
      </c>
      <c r="D65" s="6">
        <f>IFERROR(IF(LARGE('Monthly Matrix'!$AI$4:$AN$76,62)&lt;0,"",INDEX('Monthly Matrix'!$G$4:$G$76,MATCH(LARGE('Monthly Matrix'!$AI$4:$AN$76,62),'Monthly Matrix'!$AI$4:$AN$76,0))),"")</f>
        <v/>
      </c>
      <c r="E65" s="6">
        <f>IF(LARGE('Monthly Matrix'!$AI$4:$AN$76,62)&lt;0,"",IF(INDEX('Monthly Matrix'!$V$4:$AA$76,MATCH(LARGE('Monthly Matrix'!$AI$4:$AN$76,62),'Monthly Matrix'!$AI$4:$AN$76,0))="HIGH","Site visit (3x per week)","Weekly check-in"))</f>
        <v/>
      </c>
      <c r="F65" s="6" t="n"/>
      <c r="G65" s="6" t="n"/>
      <c r="H65" s="6" t="n"/>
      <c r="I65" s="7" t="n"/>
      <c r="J65" s="6">
        <f>IF(LARGE('Monthly Matrix'!$AI$4:$AN$76,62)&lt;0,"","Scheduled")</f>
        <v/>
      </c>
    </row>
    <row r="66" ht="19.5" customHeight="1" s="146">
      <c r="A66" s="10">
        <f>IFERROR(IF(LARGE('Monthly Matrix'!$AI$4:$AN$76,63)&lt;0,"",INDEX('Monthly Matrix'!$A$4:$A$76,MATCH(LARGE('Monthly Matrix'!$AI$4:$AN$76,63),'Monthly Matrix'!$AI$4:$AN$76,0))),"")</f>
        <v/>
      </c>
      <c r="B66" s="10">
        <f>IFERROR(IF(LARGE('Monthly Matrix'!$AI$4:$AN$76,63)&lt;0,"",INDEX('Monthly Matrix'!$B$4:$B$76,MATCH(LARGE('Monthly Matrix'!$AI$4:$AN$76,63),'Monthly Matrix'!$AI$4:$AN$76,0))),"")</f>
        <v/>
      </c>
      <c r="C66" s="10">
        <f>IFERROR(IF(LARGE('Monthly Matrix'!$AI$4:$AN$76,63)&lt;0,"",INDEX('Monthly Matrix'!$V$4:$AA$76,MATCH(LARGE('Monthly Matrix'!$AI$4:$AN$76,63),'Monthly Matrix'!$AI$4:$AN$76,0))),"")</f>
        <v/>
      </c>
      <c r="D66" s="10">
        <f>IFERROR(IF(LARGE('Monthly Matrix'!$AI$4:$AN$76,63)&lt;0,"",INDEX('Monthly Matrix'!$G$4:$G$76,MATCH(LARGE('Monthly Matrix'!$AI$4:$AN$76,63),'Monthly Matrix'!$AI$4:$AN$76,0))),"")</f>
        <v/>
      </c>
      <c r="E66" s="10">
        <f>IF(LARGE('Monthly Matrix'!$AI$4:$AN$76,63)&lt;0,"",IF(INDEX('Monthly Matrix'!$V$4:$AA$76,MATCH(LARGE('Monthly Matrix'!$AI$4:$AN$76,63),'Monthly Matrix'!$AI$4:$AN$76,0))="HIGH","Site visit (3x per week)","Weekly check-in"))</f>
        <v/>
      </c>
      <c r="F66" s="10" t="n"/>
      <c r="G66" s="10" t="n"/>
      <c r="H66" s="10" t="n"/>
      <c r="I66" s="11" t="n"/>
      <c r="J66" s="10">
        <f>IF(LARGE('Monthly Matrix'!$AI$4:$AN$76,63)&lt;0,"","Scheduled")</f>
        <v/>
      </c>
    </row>
    <row r="67" ht="19.5" customHeight="1" s="146">
      <c r="A67" s="6">
        <f>IFERROR(IF(LARGE('Monthly Matrix'!$AI$4:$AN$76,64)&lt;0,"",INDEX('Monthly Matrix'!$A$4:$A$76,MATCH(LARGE('Monthly Matrix'!$AI$4:$AN$76,64),'Monthly Matrix'!$AI$4:$AN$76,0))),"")</f>
        <v/>
      </c>
      <c r="B67" s="6">
        <f>IFERROR(IF(LARGE('Monthly Matrix'!$AI$4:$AN$76,64)&lt;0,"",INDEX('Monthly Matrix'!$B$4:$B$76,MATCH(LARGE('Monthly Matrix'!$AI$4:$AN$76,64),'Monthly Matrix'!$AI$4:$AN$76,0))),"")</f>
        <v/>
      </c>
      <c r="C67" s="6">
        <f>IFERROR(IF(LARGE('Monthly Matrix'!$AI$4:$AN$76,64)&lt;0,"",INDEX('Monthly Matrix'!$V$4:$AA$76,MATCH(LARGE('Monthly Matrix'!$AI$4:$AN$76,64),'Monthly Matrix'!$AI$4:$AN$76,0))),"")</f>
        <v/>
      </c>
      <c r="D67" s="6">
        <f>IFERROR(IF(LARGE('Monthly Matrix'!$AI$4:$AN$76,64)&lt;0,"",INDEX('Monthly Matrix'!$G$4:$G$76,MATCH(LARGE('Monthly Matrix'!$AI$4:$AN$76,64),'Monthly Matrix'!$AI$4:$AN$76,0))),"")</f>
        <v/>
      </c>
      <c r="E67" s="6">
        <f>IF(LARGE('Monthly Matrix'!$AI$4:$AN$76,64)&lt;0,"",IF(INDEX('Monthly Matrix'!$V$4:$AA$76,MATCH(LARGE('Monthly Matrix'!$AI$4:$AN$76,64),'Monthly Matrix'!$AI$4:$AN$76,0))="HIGH","Site visit (3x per week)","Weekly check-in"))</f>
        <v/>
      </c>
      <c r="F67" s="6" t="n"/>
      <c r="G67" s="6" t="n"/>
      <c r="H67" s="6" t="n"/>
      <c r="I67" s="7" t="n"/>
      <c r="J67" s="6">
        <f>IF(LARGE('Monthly Matrix'!$AI$4:$AN$76,64)&lt;0,"","Scheduled")</f>
        <v/>
      </c>
    </row>
    <row r="68" ht="19.5" customHeight="1" s="146">
      <c r="A68" s="10">
        <f>IFERROR(IF(LARGE('Monthly Matrix'!$AI$4:$AN$76,65)&lt;0,"",INDEX('Monthly Matrix'!$A$4:$A$76,MATCH(LARGE('Monthly Matrix'!$AI$4:$AN$76,65),'Monthly Matrix'!$AI$4:$AN$76,0))),"")</f>
        <v/>
      </c>
      <c r="B68" s="10">
        <f>IFERROR(IF(LARGE('Monthly Matrix'!$AI$4:$AN$76,65)&lt;0,"",INDEX('Monthly Matrix'!$B$4:$B$76,MATCH(LARGE('Monthly Matrix'!$AI$4:$AN$76,65),'Monthly Matrix'!$AI$4:$AN$76,0))),"")</f>
        <v/>
      </c>
      <c r="C68" s="10">
        <f>IFERROR(IF(LARGE('Monthly Matrix'!$AI$4:$AN$76,65)&lt;0,"",INDEX('Monthly Matrix'!$V$4:$AA$76,MATCH(LARGE('Monthly Matrix'!$AI$4:$AN$76,65),'Monthly Matrix'!$AI$4:$AN$76,0))),"")</f>
        <v/>
      </c>
      <c r="D68" s="10">
        <f>IFERROR(IF(LARGE('Monthly Matrix'!$AI$4:$AN$76,65)&lt;0,"",INDEX('Monthly Matrix'!$G$4:$G$76,MATCH(LARGE('Monthly Matrix'!$AI$4:$AN$76,65),'Monthly Matrix'!$AI$4:$AN$76,0))),"")</f>
        <v/>
      </c>
      <c r="E68" s="10">
        <f>IF(LARGE('Monthly Matrix'!$AI$4:$AN$76,65)&lt;0,"",IF(INDEX('Monthly Matrix'!$V$4:$AA$76,MATCH(LARGE('Monthly Matrix'!$AI$4:$AN$76,65),'Monthly Matrix'!$AI$4:$AN$76,0))="HIGH","Site visit (3x per week)","Weekly check-in"))</f>
        <v/>
      </c>
      <c r="F68" s="10" t="n"/>
      <c r="G68" s="10" t="n"/>
      <c r="H68" s="10" t="n"/>
      <c r="I68" s="11" t="n"/>
      <c r="J68" s="10">
        <f>IF(LARGE('Monthly Matrix'!$AI$4:$AN$76,65)&lt;0,"","Scheduled")</f>
        <v/>
      </c>
    </row>
    <row r="69" ht="19.5" customHeight="1" s="146">
      <c r="A69" s="6">
        <f>IFERROR(IF(LARGE('Monthly Matrix'!$AI$4:$AN$76,66)&lt;0,"",INDEX('Monthly Matrix'!$A$4:$A$76,MATCH(LARGE('Monthly Matrix'!$AI$4:$AN$76,66),'Monthly Matrix'!$AI$4:$AN$76,0))),"")</f>
        <v/>
      </c>
      <c r="B69" s="6">
        <f>IFERROR(IF(LARGE('Monthly Matrix'!$AI$4:$AN$76,66)&lt;0,"",INDEX('Monthly Matrix'!$B$4:$B$76,MATCH(LARGE('Monthly Matrix'!$AI$4:$AN$76,66),'Monthly Matrix'!$AI$4:$AN$76,0))),"")</f>
        <v/>
      </c>
      <c r="C69" s="6">
        <f>IFERROR(IF(LARGE('Monthly Matrix'!$AI$4:$AN$76,66)&lt;0,"",INDEX('Monthly Matrix'!$V$4:$AA$76,MATCH(LARGE('Monthly Matrix'!$AI$4:$AN$76,66),'Monthly Matrix'!$AI$4:$AN$76,0))),"")</f>
        <v/>
      </c>
      <c r="D69" s="6">
        <f>IFERROR(IF(LARGE('Monthly Matrix'!$AI$4:$AN$76,66)&lt;0,"",INDEX('Monthly Matrix'!$G$4:$G$76,MATCH(LARGE('Monthly Matrix'!$AI$4:$AN$76,66),'Monthly Matrix'!$AI$4:$AN$76,0))),"")</f>
        <v/>
      </c>
      <c r="E69" s="6">
        <f>IF(LARGE('Monthly Matrix'!$AI$4:$AN$76,66)&lt;0,"",IF(INDEX('Monthly Matrix'!$V$4:$AA$76,MATCH(LARGE('Monthly Matrix'!$AI$4:$AN$76,66),'Monthly Matrix'!$AI$4:$AN$76,0))="HIGH","Site visit (3x per week)","Weekly check-in"))</f>
        <v/>
      </c>
      <c r="F69" s="6" t="n"/>
      <c r="G69" s="6" t="n"/>
      <c r="H69" s="6" t="n"/>
      <c r="I69" s="7" t="n"/>
      <c r="J69" s="6">
        <f>IF(LARGE('Monthly Matrix'!$AI$4:$AN$76,66)&lt;0,"","Scheduled")</f>
        <v/>
      </c>
    </row>
    <row r="70" ht="19.5" customHeight="1" s="146">
      <c r="A70" s="10">
        <f>IFERROR(IF(LARGE('Monthly Matrix'!$AI$4:$AN$76,67)&lt;0,"",INDEX('Monthly Matrix'!$A$4:$A$76,MATCH(LARGE('Monthly Matrix'!$AI$4:$AN$76,67),'Monthly Matrix'!$AI$4:$AN$76,0))),"")</f>
        <v/>
      </c>
      <c r="B70" s="10">
        <f>IFERROR(IF(LARGE('Monthly Matrix'!$AI$4:$AN$76,67)&lt;0,"",INDEX('Monthly Matrix'!$B$4:$B$76,MATCH(LARGE('Monthly Matrix'!$AI$4:$AN$76,67),'Monthly Matrix'!$AI$4:$AN$76,0))),"")</f>
        <v/>
      </c>
      <c r="C70" s="10">
        <f>IFERROR(IF(LARGE('Monthly Matrix'!$AI$4:$AN$76,67)&lt;0,"",INDEX('Monthly Matrix'!$V$4:$AA$76,MATCH(LARGE('Monthly Matrix'!$AI$4:$AN$76,67),'Monthly Matrix'!$AI$4:$AN$76,0))),"")</f>
        <v/>
      </c>
      <c r="D70" s="10">
        <f>IFERROR(IF(LARGE('Monthly Matrix'!$AI$4:$AN$76,67)&lt;0,"",INDEX('Monthly Matrix'!$G$4:$G$76,MATCH(LARGE('Monthly Matrix'!$AI$4:$AN$76,67),'Monthly Matrix'!$AI$4:$AN$76,0))),"")</f>
        <v/>
      </c>
      <c r="E70" s="10">
        <f>IF(LARGE('Monthly Matrix'!$AI$4:$AN$76,67)&lt;0,"",IF(INDEX('Monthly Matrix'!$V$4:$AA$76,MATCH(LARGE('Monthly Matrix'!$AI$4:$AN$76,67),'Monthly Matrix'!$AI$4:$AN$76,0))="HIGH","Site visit (3x per week)","Weekly check-in"))</f>
        <v/>
      </c>
      <c r="F70" s="10" t="n"/>
      <c r="G70" s="10" t="n"/>
      <c r="H70" s="10" t="n"/>
      <c r="I70" s="11" t="n"/>
      <c r="J70" s="10">
        <f>IF(LARGE('Monthly Matrix'!$AI$4:$AN$76,67)&lt;0,"","Scheduled")</f>
        <v/>
      </c>
    </row>
    <row r="71" ht="19.5" customHeight="1" s="146">
      <c r="A71" s="6">
        <f>IFERROR(IF(LARGE('Monthly Matrix'!$AI$4:$AN$76,68)&lt;0,"",INDEX('Monthly Matrix'!$A$4:$A$76,MATCH(LARGE('Monthly Matrix'!$AI$4:$AN$76,68),'Monthly Matrix'!$AI$4:$AN$76,0))),"")</f>
        <v/>
      </c>
      <c r="B71" s="6">
        <f>IFERROR(IF(LARGE('Monthly Matrix'!$AI$4:$AN$76,68)&lt;0,"",INDEX('Monthly Matrix'!$B$4:$B$76,MATCH(LARGE('Monthly Matrix'!$AI$4:$AN$76,68),'Monthly Matrix'!$AI$4:$AN$76,0))),"")</f>
        <v/>
      </c>
      <c r="C71" s="6">
        <f>IFERROR(IF(LARGE('Monthly Matrix'!$AI$4:$AN$76,68)&lt;0,"",INDEX('Monthly Matrix'!$V$4:$AA$76,MATCH(LARGE('Monthly Matrix'!$AI$4:$AN$76,68),'Monthly Matrix'!$AI$4:$AN$76,0))),"")</f>
        <v/>
      </c>
      <c r="D71" s="6">
        <f>IFERROR(IF(LARGE('Monthly Matrix'!$AI$4:$AN$76,68)&lt;0,"",INDEX('Monthly Matrix'!$G$4:$G$76,MATCH(LARGE('Monthly Matrix'!$AI$4:$AN$76,68),'Monthly Matrix'!$AI$4:$AN$76,0))),"")</f>
        <v/>
      </c>
      <c r="E71" s="6">
        <f>IF(LARGE('Monthly Matrix'!$AI$4:$AN$76,68)&lt;0,"",IF(INDEX('Monthly Matrix'!$V$4:$AA$76,MATCH(LARGE('Monthly Matrix'!$AI$4:$AN$76,68),'Monthly Matrix'!$AI$4:$AN$76,0))="HIGH","Site visit (3x per week)","Weekly check-in"))</f>
        <v/>
      </c>
      <c r="F71" s="6" t="n"/>
      <c r="G71" s="6" t="n"/>
      <c r="H71" s="6" t="n"/>
      <c r="I71" s="7" t="n"/>
      <c r="J71" s="6">
        <f>IF(LARGE('Monthly Matrix'!$AI$4:$AN$76,68)&lt;0,"","Scheduled")</f>
        <v/>
      </c>
    </row>
    <row r="72" ht="19.5" customHeight="1" s="146">
      <c r="A72" s="10">
        <f>IFERROR(IF(LARGE('Monthly Matrix'!$AI$4:$AN$76,69)&lt;0,"",INDEX('Monthly Matrix'!$A$4:$A$76,MATCH(LARGE('Monthly Matrix'!$AI$4:$AN$76,69),'Monthly Matrix'!$AI$4:$AN$76,0))),"")</f>
        <v/>
      </c>
      <c r="B72" s="10">
        <f>IFERROR(IF(LARGE('Monthly Matrix'!$AI$4:$AN$76,69)&lt;0,"",INDEX('Monthly Matrix'!$B$4:$B$76,MATCH(LARGE('Monthly Matrix'!$AI$4:$AN$76,69),'Monthly Matrix'!$AI$4:$AN$76,0))),"")</f>
        <v/>
      </c>
      <c r="C72" s="10">
        <f>IFERROR(IF(LARGE('Monthly Matrix'!$AI$4:$AN$76,69)&lt;0,"",INDEX('Monthly Matrix'!$V$4:$AA$76,MATCH(LARGE('Monthly Matrix'!$AI$4:$AN$76,69),'Monthly Matrix'!$AI$4:$AN$76,0))),"")</f>
        <v/>
      </c>
      <c r="D72" s="10">
        <f>IFERROR(IF(LARGE('Monthly Matrix'!$AI$4:$AN$76,69)&lt;0,"",INDEX('Monthly Matrix'!$G$4:$G$76,MATCH(LARGE('Monthly Matrix'!$AI$4:$AN$76,69),'Monthly Matrix'!$AI$4:$AN$76,0))),"")</f>
        <v/>
      </c>
      <c r="E72" s="10">
        <f>IF(LARGE('Monthly Matrix'!$AI$4:$AN$76,69)&lt;0,"",IF(INDEX('Monthly Matrix'!$V$4:$AA$76,MATCH(LARGE('Monthly Matrix'!$AI$4:$AN$76,69),'Monthly Matrix'!$AI$4:$AN$76,0))="HIGH","Site visit (3x per week)","Weekly check-in"))</f>
        <v/>
      </c>
      <c r="F72" s="10" t="n"/>
      <c r="G72" s="10" t="n"/>
      <c r="H72" s="10" t="n"/>
      <c r="I72" s="11" t="n"/>
      <c r="J72" s="10">
        <f>IF(LARGE('Monthly Matrix'!$AI$4:$AN$76,69)&lt;0,"","Scheduled")</f>
        <v/>
      </c>
    </row>
    <row r="73" ht="19.5" customHeight="1" s="146">
      <c r="A73" s="6">
        <f>IFERROR(IF(LARGE('Monthly Matrix'!$AI$4:$AN$76,70)&lt;0,"",INDEX('Monthly Matrix'!$A$4:$A$76,MATCH(LARGE('Monthly Matrix'!$AI$4:$AN$76,70),'Monthly Matrix'!$AI$4:$AN$76,0))),"")</f>
        <v/>
      </c>
      <c r="B73" s="6">
        <f>IFERROR(IF(LARGE('Monthly Matrix'!$AI$4:$AN$76,70)&lt;0,"",INDEX('Monthly Matrix'!$B$4:$B$76,MATCH(LARGE('Monthly Matrix'!$AI$4:$AN$76,70),'Monthly Matrix'!$AI$4:$AN$76,0))),"")</f>
        <v/>
      </c>
      <c r="C73" s="6">
        <f>IFERROR(IF(LARGE('Monthly Matrix'!$AI$4:$AN$76,70)&lt;0,"",INDEX('Monthly Matrix'!$V$4:$AA$76,MATCH(LARGE('Monthly Matrix'!$AI$4:$AN$76,70),'Monthly Matrix'!$AI$4:$AN$76,0))),"")</f>
        <v/>
      </c>
      <c r="D73" s="6">
        <f>IFERROR(IF(LARGE('Monthly Matrix'!$AI$4:$AN$76,70)&lt;0,"",INDEX('Monthly Matrix'!$G$4:$G$76,MATCH(LARGE('Monthly Matrix'!$AI$4:$AN$76,70),'Monthly Matrix'!$AI$4:$AN$76,0))),"")</f>
        <v/>
      </c>
      <c r="E73" s="6">
        <f>IF(LARGE('Monthly Matrix'!$AI$4:$AN$76,70)&lt;0,"",IF(INDEX('Monthly Matrix'!$V$4:$AA$76,MATCH(LARGE('Monthly Matrix'!$AI$4:$AN$76,70),'Monthly Matrix'!$AI$4:$AN$76,0))="HIGH","Site visit (3x per week)","Weekly check-in"))</f>
        <v/>
      </c>
      <c r="F73" s="6" t="n"/>
      <c r="G73" s="6" t="n"/>
      <c r="H73" s="6" t="n"/>
      <c r="I73" s="7" t="n"/>
      <c r="J73" s="6">
        <f>IF(LARGE('Monthly Matrix'!$AI$4:$AN$76,70)&lt;0,"","Scheduled")</f>
        <v/>
      </c>
    </row>
    <row r="74" ht="19.5" customHeight="1" s="146">
      <c r="A74" s="10">
        <f>IFERROR(IF(LARGE('Monthly Matrix'!$AI$4:$AN$76,71)&lt;0,"",INDEX('Monthly Matrix'!$A$4:$A$76,MATCH(LARGE('Monthly Matrix'!$AI$4:$AN$76,71),'Monthly Matrix'!$AI$4:$AN$76,0))),"")</f>
        <v/>
      </c>
      <c r="B74" s="10">
        <f>IFERROR(IF(LARGE('Monthly Matrix'!$AI$4:$AN$76,71)&lt;0,"",INDEX('Monthly Matrix'!$B$4:$B$76,MATCH(LARGE('Monthly Matrix'!$AI$4:$AN$76,71),'Monthly Matrix'!$AI$4:$AN$76,0))),"")</f>
        <v/>
      </c>
      <c r="C74" s="10">
        <f>IFERROR(IF(LARGE('Monthly Matrix'!$AI$4:$AN$76,71)&lt;0,"",INDEX('Monthly Matrix'!$V$4:$AA$76,MATCH(LARGE('Monthly Matrix'!$AI$4:$AN$76,71),'Monthly Matrix'!$AI$4:$AN$76,0))),"")</f>
        <v/>
      </c>
      <c r="D74" s="10">
        <f>IFERROR(IF(LARGE('Monthly Matrix'!$AI$4:$AN$76,71)&lt;0,"",INDEX('Monthly Matrix'!$G$4:$G$76,MATCH(LARGE('Monthly Matrix'!$AI$4:$AN$76,71),'Monthly Matrix'!$AI$4:$AN$76,0))),"")</f>
        <v/>
      </c>
      <c r="E74" s="10">
        <f>IF(LARGE('Monthly Matrix'!$AI$4:$AN$76,71)&lt;0,"",IF(INDEX('Monthly Matrix'!$V$4:$AA$76,MATCH(LARGE('Monthly Matrix'!$AI$4:$AN$76,71),'Monthly Matrix'!$AI$4:$AN$76,0))="HIGH","Site visit (3x per week)","Weekly check-in"))</f>
        <v/>
      </c>
      <c r="F74" s="10" t="n"/>
      <c r="G74" s="10" t="n"/>
      <c r="H74" s="10" t="n"/>
      <c r="I74" s="11" t="n"/>
      <c r="J74" s="10">
        <f>IF(LARGE('Monthly Matrix'!$AI$4:$AN$76,71)&lt;0,"","Scheduled")</f>
        <v/>
      </c>
    </row>
    <row r="75" ht="19.5" customHeight="1" s="146">
      <c r="A75" s="6">
        <f>IFERROR(IF(LARGE('Monthly Matrix'!$AI$4:$AN$76,72)&lt;0,"",INDEX('Monthly Matrix'!$A$4:$A$76,MATCH(LARGE('Monthly Matrix'!$AI$4:$AN$76,72),'Monthly Matrix'!$AI$4:$AN$76,0))),"")</f>
        <v/>
      </c>
      <c r="B75" s="6">
        <f>IFERROR(IF(LARGE('Monthly Matrix'!$AI$4:$AN$76,72)&lt;0,"",INDEX('Monthly Matrix'!$B$4:$B$76,MATCH(LARGE('Monthly Matrix'!$AI$4:$AN$76,72),'Monthly Matrix'!$AI$4:$AN$76,0))),"")</f>
        <v/>
      </c>
      <c r="C75" s="6">
        <f>IFERROR(IF(LARGE('Monthly Matrix'!$AI$4:$AN$76,72)&lt;0,"",INDEX('Monthly Matrix'!$V$4:$AA$76,MATCH(LARGE('Monthly Matrix'!$AI$4:$AN$76,72),'Monthly Matrix'!$AI$4:$AN$76,0))),"")</f>
        <v/>
      </c>
      <c r="D75" s="6">
        <f>IFERROR(IF(LARGE('Monthly Matrix'!$AI$4:$AN$76,72)&lt;0,"",INDEX('Monthly Matrix'!$G$4:$G$76,MATCH(LARGE('Monthly Matrix'!$AI$4:$AN$76,72),'Monthly Matrix'!$AI$4:$AN$76,0))),"")</f>
        <v/>
      </c>
      <c r="E75" s="6">
        <f>IF(LARGE('Monthly Matrix'!$AI$4:$AN$76,72)&lt;0,"",IF(INDEX('Monthly Matrix'!$V$4:$AA$76,MATCH(LARGE('Monthly Matrix'!$AI$4:$AN$76,72),'Monthly Matrix'!$AI$4:$AN$76,0))="HIGH","Site visit (3x per week)","Weekly check-in"))</f>
        <v/>
      </c>
      <c r="F75" s="6" t="n"/>
      <c r="G75" s="6" t="n"/>
      <c r="H75" s="6" t="n"/>
      <c r="I75" s="7" t="n"/>
      <c r="J75" s="6">
        <f>IF(LARGE('Monthly Matrix'!$AI$4:$AN$76,72)&lt;0,"","Scheduled")</f>
        <v/>
      </c>
    </row>
    <row r="76" ht="19.5" customHeight="1" s="146">
      <c r="A76" s="10">
        <f>IFERROR(IF(LARGE('Monthly Matrix'!$AI$4:$AN$76,73)&lt;0,"",INDEX('Monthly Matrix'!$A$4:$A$76,MATCH(LARGE('Monthly Matrix'!$AI$4:$AN$76,73),'Monthly Matrix'!$AI$4:$AN$76,0))),"")</f>
        <v/>
      </c>
      <c r="B76" s="10">
        <f>IFERROR(IF(LARGE('Monthly Matrix'!$AI$4:$AN$76,73)&lt;0,"",INDEX('Monthly Matrix'!$B$4:$B$76,MATCH(LARGE('Monthly Matrix'!$AI$4:$AN$76,73),'Monthly Matrix'!$AI$4:$AN$76,0))),"")</f>
        <v/>
      </c>
      <c r="C76" s="10">
        <f>IFERROR(IF(LARGE('Monthly Matrix'!$AI$4:$AN$76,73)&lt;0,"",INDEX('Monthly Matrix'!$V$4:$AA$76,MATCH(LARGE('Monthly Matrix'!$AI$4:$AN$76,73),'Monthly Matrix'!$AI$4:$AN$76,0))),"")</f>
        <v/>
      </c>
      <c r="D76" s="10">
        <f>IFERROR(IF(LARGE('Monthly Matrix'!$AI$4:$AN$76,73)&lt;0,"",INDEX('Monthly Matrix'!$G$4:$G$76,MATCH(LARGE('Monthly Matrix'!$AI$4:$AN$76,73),'Monthly Matrix'!$AI$4:$AN$76,0))),"")</f>
        <v/>
      </c>
      <c r="E76" s="10">
        <f>IF(LARGE('Monthly Matrix'!$AI$4:$AN$76,73)&lt;0,"",IF(INDEX('Monthly Matrix'!$V$4:$AA$76,MATCH(LARGE('Monthly Matrix'!$AI$4:$AN$76,73),'Monthly Matrix'!$AI$4:$AN$76,0))="HIGH","Site visit (3x per week)","Weekly check-in"))</f>
        <v/>
      </c>
      <c r="F76" s="10" t="n"/>
      <c r="G76" s="10" t="n"/>
      <c r="H76" s="10" t="n"/>
      <c r="I76" s="11" t="n"/>
      <c r="J76" s="10">
        <f>IF(LARGE('Monthly Matrix'!$AI$4:$AN$76,73)&lt;0,"","Scheduled")</f>
        <v/>
      </c>
    </row>
    <row r="77" ht="19.5" customHeight="1" s="146">
      <c r="A77" s="6" t="n"/>
      <c r="B77" s="6" t="n"/>
      <c r="C77" s="6" t="n"/>
      <c r="D77" s="6" t="n"/>
      <c r="E77" s="6" t="n"/>
      <c r="F77" s="6" t="n"/>
      <c r="G77" s="6" t="n"/>
      <c r="H77" s="6" t="n"/>
      <c r="I77" s="7" t="n"/>
      <c r="J77" s="6" t="n"/>
    </row>
    <row r="78" ht="19.5" customHeight="1" s="146">
      <c r="A78" s="10" t="n"/>
      <c r="B78" s="10" t="n"/>
      <c r="C78" s="10" t="n"/>
      <c r="D78" s="10" t="n"/>
      <c r="E78" s="10" t="n"/>
      <c r="F78" s="10" t="n"/>
      <c r="G78" s="10" t="n"/>
      <c r="H78" s="10" t="n"/>
      <c r="I78" s="11" t="n"/>
      <c r="J78" s="10" t="n"/>
    </row>
    <row r="79" ht="19.5" customHeight="1" s="146">
      <c r="A79" s="6" t="n"/>
      <c r="B79" s="6" t="n"/>
      <c r="C79" s="6" t="n"/>
      <c r="D79" s="6" t="n"/>
      <c r="E79" s="6" t="n"/>
      <c r="F79" s="6" t="n"/>
      <c r="G79" s="6" t="n"/>
      <c r="H79" s="6" t="n"/>
      <c r="I79" s="7" t="n"/>
      <c r="J79" s="6" t="n"/>
    </row>
    <row r="80" ht="19.5" customHeight="1" s="146">
      <c r="A80" s="10" t="n"/>
      <c r="B80" s="10" t="n"/>
      <c r="C80" s="10" t="n"/>
      <c r="D80" s="10" t="n"/>
      <c r="E80" s="10" t="n"/>
      <c r="F80" s="10" t="n"/>
      <c r="G80" s="10" t="n"/>
      <c r="H80" s="10" t="n"/>
      <c r="I80" s="11" t="n"/>
      <c r="J80" s="10" t="n"/>
    </row>
    <row r="81" ht="19.5" customHeight="1" s="146">
      <c r="A81" s="6" t="n"/>
      <c r="B81" s="6" t="n"/>
      <c r="C81" s="6" t="n"/>
      <c r="D81" s="6" t="n"/>
      <c r="E81" s="6" t="n"/>
      <c r="F81" s="6" t="n"/>
      <c r="G81" s="6" t="n"/>
      <c r="H81" s="6" t="n"/>
      <c r="I81" s="7" t="n"/>
      <c r="J81" s="6" t="n"/>
    </row>
    <row r="82" ht="19.5" customHeight="1" s="146">
      <c r="A82" s="10" t="n"/>
      <c r="B82" s="10" t="n"/>
      <c r="C82" s="10" t="n"/>
      <c r="D82" s="10" t="n"/>
      <c r="E82" s="10" t="n"/>
      <c r="F82" s="10" t="n"/>
      <c r="G82" s="10" t="n"/>
      <c r="H82" s="10" t="n"/>
      <c r="I82" s="11" t="n"/>
      <c r="J82" s="10" t="n"/>
    </row>
    <row r="83" ht="19.5" customHeight="1" s="146">
      <c r="A83" s="6" t="n"/>
      <c r="B83" s="6" t="n"/>
      <c r="C83" s="6" t="n"/>
      <c r="D83" s="6" t="n"/>
      <c r="E83" s="6" t="n"/>
      <c r="F83" s="6" t="n"/>
      <c r="G83" s="6" t="n"/>
      <c r="H83" s="6" t="n"/>
      <c r="I83" s="7" t="n"/>
      <c r="J83" s="6" t="n"/>
    </row>
    <row r="84" ht="19.5" customHeight="1" s="146">
      <c r="A84" s="10" t="n"/>
      <c r="B84" s="10" t="n"/>
      <c r="C84" s="10" t="n"/>
      <c r="D84" s="10" t="n"/>
      <c r="E84" s="10" t="n"/>
      <c r="F84" s="10" t="n"/>
      <c r="G84" s="10" t="n"/>
      <c r="H84" s="10" t="n"/>
      <c r="I84" s="11" t="n"/>
      <c r="J84" s="10" t="n"/>
    </row>
    <row r="85" ht="19.5" customHeight="1" s="146">
      <c r="A85" s="6" t="n"/>
      <c r="B85" s="6" t="n"/>
      <c r="C85" s="6" t="n"/>
      <c r="D85" s="6" t="n"/>
      <c r="E85" s="6" t="n"/>
      <c r="F85" s="6" t="n"/>
      <c r="G85" s="6" t="n"/>
      <c r="H85" s="6" t="n"/>
      <c r="I85" s="7" t="n"/>
      <c r="J85" s="6" t="n"/>
    </row>
    <row r="86" ht="19.5" customHeight="1" s="146">
      <c r="A86" s="10" t="n"/>
      <c r="B86" s="10" t="n"/>
      <c r="C86" s="10" t="n"/>
      <c r="D86" s="10" t="n"/>
      <c r="E86" s="10" t="n"/>
      <c r="F86" s="10" t="n"/>
      <c r="G86" s="10" t="n"/>
      <c r="H86" s="10" t="n"/>
      <c r="I86" s="11" t="n"/>
      <c r="J86" s="10" t="n"/>
    </row>
    <row r="87" ht="19.5" customHeight="1" s="146">
      <c r="A87" s="6" t="n"/>
      <c r="B87" s="6" t="n"/>
      <c r="C87" s="6" t="n"/>
      <c r="D87" s="6" t="n"/>
      <c r="E87" s="6" t="n"/>
      <c r="F87" s="6" t="n"/>
      <c r="G87" s="6" t="n"/>
      <c r="H87" s="6" t="n"/>
      <c r="I87" s="7" t="n"/>
      <c r="J87" s="6" t="n"/>
    </row>
    <row r="88" ht="19.5" customHeight="1" s="146">
      <c r="A88" s="10" t="n"/>
      <c r="B88" s="10" t="n"/>
      <c r="C88" s="10" t="n"/>
      <c r="D88" s="10" t="n"/>
      <c r="E88" s="10" t="n"/>
      <c r="F88" s="10" t="n"/>
      <c r="G88" s="10" t="n"/>
      <c r="H88" s="10" t="n"/>
      <c r="I88" s="11" t="n"/>
      <c r="J88" s="10" t="n"/>
    </row>
    <row r="89" ht="19.5" customHeight="1" s="146">
      <c r="A89" s="6" t="n"/>
      <c r="B89" s="6" t="n"/>
      <c r="C89" s="6" t="n"/>
      <c r="D89" s="6" t="n"/>
      <c r="E89" s="6" t="n"/>
      <c r="F89" s="6" t="n"/>
      <c r="G89" s="6" t="n"/>
      <c r="H89" s="6" t="n"/>
      <c r="I89" s="7" t="n"/>
      <c r="J89" s="6" t="n"/>
    </row>
    <row r="90" ht="19.5" customHeight="1" s="146">
      <c r="A90" s="10" t="n"/>
      <c r="B90" s="10" t="n"/>
      <c r="C90" s="10" t="n"/>
      <c r="D90" s="10" t="n"/>
      <c r="E90" s="10" t="n"/>
      <c r="F90" s="10" t="n"/>
      <c r="G90" s="10" t="n"/>
      <c r="H90" s="10" t="n"/>
      <c r="I90" s="11" t="n"/>
      <c r="J90" s="10" t="n"/>
    </row>
    <row r="91" ht="19.5" customHeight="1" s="146">
      <c r="A91" s="6" t="n"/>
      <c r="B91" s="6" t="n"/>
      <c r="C91" s="6" t="n"/>
      <c r="D91" s="6" t="n"/>
      <c r="E91" s="6" t="n"/>
      <c r="F91" s="6" t="n"/>
      <c r="G91" s="6" t="n"/>
      <c r="H91" s="6" t="n"/>
      <c r="I91" s="7" t="n"/>
      <c r="J91" s="6" t="n"/>
    </row>
    <row r="92" ht="19.5" customHeight="1" s="146">
      <c r="A92" s="10" t="n"/>
      <c r="B92" s="10" t="n"/>
      <c r="C92" s="10" t="n"/>
      <c r="D92" s="10" t="n"/>
      <c r="E92" s="10" t="n"/>
      <c r="F92" s="10" t="n"/>
      <c r="G92" s="10" t="n"/>
      <c r="H92" s="10" t="n"/>
      <c r="I92" s="11" t="n"/>
      <c r="J92" s="10" t="n"/>
    </row>
    <row r="93" ht="19.5" customHeight="1" s="146">
      <c r="A93" s="6" t="n"/>
      <c r="B93" s="6" t="n"/>
      <c r="C93" s="6" t="n"/>
      <c r="D93" s="6" t="n"/>
      <c r="E93" s="6" t="n"/>
      <c r="F93" s="6" t="n"/>
      <c r="G93" s="6" t="n"/>
      <c r="H93" s="6" t="n"/>
      <c r="I93" s="7" t="n"/>
      <c r="J93" s="6" t="n"/>
    </row>
    <row r="94" ht="19.5" customHeight="1" s="146">
      <c r="A94" s="10" t="n"/>
      <c r="B94" s="10" t="n"/>
      <c r="C94" s="10" t="n"/>
      <c r="D94" s="10" t="n"/>
      <c r="E94" s="10" t="n"/>
      <c r="F94" s="10" t="n"/>
      <c r="G94" s="10" t="n"/>
      <c r="H94" s="10" t="n"/>
      <c r="I94" s="11" t="n"/>
      <c r="J94" s="10" t="n"/>
    </row>
    <row r="95" ht="19.5" customHeight="1" s="146">
      <c r="A95" s="6" t="n"/>
      <c r="B95" s="6" t="n"/>
      <c r="C95" s="6" t="n"/>
      <c r="D95" s="6" t="n"/>
      <c r="E95" s="6" t="n"/>
      <c r="F95" s="6" t="n"/>
      <c r="G95" s="6" t="n"/>
      <c r="H95" s="6" t="n"/>
      <c r="I95" s="7" t="n"/>
      <c r="J95" s="6" t="n"/>
    </row>
    <row r="96" ht="19.5" customHeight="1" s="146">
      <c r="A96" s="10" t="n"/>
      <c r="B96" s="10" t="n"/>
      <c r="C96" s="10" t="n"/>
      <c r="D96" s="10" t="n"/>
      <c r="E96" s="10" t="n"/>
      <c r="F96" s="10" t="n"/>
      <c r="G96" s="10" t="n"/>
      <c r="H96" s="10" t="n"/>
      <c r="I96" s="11" t="n"/>
      <c r="J96" s="10" t="n"/>
    </row>
    <row r="97" ht="19.5" customHeight="1" s="146">
      <c r="A97" s="6" t="n"/>
      <c r="B97" s="6" t="n"/>
      <c r="C97" s="6" t="n"/>
      <c r="D97" s="6" t="n"/>
      <c r="E97" s="6" t="n"/>
      <c r="F97" s="6" t="n"/>
      <c r="G97" s="6" t="n"/>
      <c r="H97" s="6" t="n"/>
      <c r="I97" s="7" t="n"/>
      <c r="J97" s="6" t="n"/>
    </row>
    <row r="98" ht="19.5" customHeight="1" s="146">
      <c r="A98" s="10" t="n"/>
      <c r="B98" s="10" t="n"/>
      <c r="C98" s="10" t="n"/>
      <c r="D98" s="10" t="n"/>
      <c r="E98" s="10" t="n"/>
      <c r="F98" s="10" t="n"/>
      <c r="G98" s="10" t="n"/>
      <c r="H98" s="10" t="n"/>
      <c r="I98" s="11" t="n"/>
      <c r="J98" s="10" t="n"/>
    </row>
    <row r="99" ht="19.5" customHeight="1" s="146">
      <c r="A99" s="6" t="n"/>
      <c r="B99" s="6" t="n"/>
      <c r="C99" s="6" t="n"/>
      <c r="D99" s="6" t="n"/>
      <c r="E99" s="6" t="n"/>
      <c r="F99" s="6" t="n"/>
      <c r="G99" s="6" t="n"/>
      <c r="H99" s="6" t="n"/>
      <c r="I99" s="7" t="n"/>
      <c r="J99" s="6" t="n"/>
    </row>
    <row r="100" ht="19.5" customHeight="1" s="146">
      <c r="A100" s="10" t="n"/>
      <c r="B100" s="10" t="n"/>
      <c r="C100" s="10" t="n"/>
      <c r="D100" s="10" t="n"/>
      <c r="E100" s="10" t="n"/>
      <c r="F100" s="10" t="n"/>
      <c r="G100" s="10" t="n"/>
      <c r="H100" s="10" t="n"/>
      <c r="I100" s="11" t="n"/>
      <c r="J100" s="10" t="n"/>
    </row>
    <row r="101" ht="19.5" customHeight="1" s="146">
      <c r="A101" s="6" t="n"/>
      <c r="B101" s="6" t="n"/>
      <c r="C101" s="6" t="n"/>
      <c r="D101" s="6" t="n"/>
      <c r="E101" s="6" t="n"/>
      <c r="F101" s="6" t="n"/>
      <c r="G101" s="6" t="n"/>
      <c r="H101" s="6" t="n"/>
      <c r="I101" s="7" t="n"/>
      <c r="J101" s="6" t="n"/>
    </row>
    <row r="102" ht="19.5" customHeight="1" s="146">
      <c r="A102" s="10" t="n"/>
      <c r="B102" s="10" t="n"/>
      <c r="C102" s="10" t="n"/>
      <c r="D102" s="10" t="n"/>
      <c r="E102" s="10" t="n"/>
      <c r="F102" s="10" t="n"/>
      <c r="G102" s="10" t="n"/>
      <c r="H102" s="10" t="n"/>
      <c r="I102" s="11" t="n"/>
      <c r="J102" s="10" t="n"/>
    </row>
    <row r="103" ht="19.5" customHeight="1" s="146">
      <c r="A103" s="6" t="n"/>
      <c r="B103" s="6" t="n"/>
      <c r="C103" s="6" t="n"/>
      <c r="D103" s="6" t="n"/>
      <c r="E103" s="6" t="n"/>
      <c r="F103" s="6" t="n"/>
      <c r="G103" s="6" t="n"/>
      <c r="H103" s="6" t="n"/>
      <c r="I103" s="7" t="n"/>
      <c r="J103" s="6" t="n"/>
    </row>
    <row r="104" ht="19.5" customHeight="1" s="146">
      <c r="A104" s="10" t="n"/>
      <c r="B104" s="10" t="n"/>
      <c r="C104" s="10" t="n"/>
      <c r="D104" s="10" t="n"/>
      <c r="E104" s="10" t="n"/>
      <c r="F104" s="10" t="n"/>
      <c r="G104" s="10" t="n"/>
      <c r="H104" s="10" t="n"/>
      <c r="I104" s="11" t="n"/>
      <c r="J104" s="10" t="n"/>
    </row>
    <row r="105" ht="19.5" customHeight="1" s="146">
      <c r="A105" s="6" t="n"/>
      <c r="B105" s="6" t="n"/>
      <c r="C105" s="6" t="n"/>
      <c r="D105" s="6" t="n"/>
      <c r="E105" s="6" t="n"/>
      <c r="F105" s="6" t="n"/>
      <c r="G105" s="6" t="n"/>
      <c r="H105" s="6" t="n"/>
      <c r="I105" s="7" t="n"/>
      <c r="J105" s="6" t="n"/>
    </row>
    <row r="106" ht="19.5" customHeight="1" s="146">
      <c r="A106" s="10" t="n"/>
      <c r="B106" s="10" t="n"/>
      <c r="C106" s="10" t="n"/>
      <c r="D106" s="10" t="n"/>
      <c r="E106" s="10" t="n"/>
      <c r="F106" s="10" t="n"/>
      <c r="G106" s="10" t="n"/>
      <c r="H106" s="10" t="n"/>
      <c r="I106" s="11" t="n"/>
      <c r="J106" s="10" t="n"/>
    </row>
    <row r="107" ht="19.5" customHeight="1" s="146">
      <c r="A107" s="6" t="n"/>
      <c r="B107" s="6" t="n"/>
      <c r="C107" s="6" t="n"/>
      <c r="D107" s="6" t="n"/>
      <c r="E107" s="6" t="n"/>
      <c r="F107" s="6" t="n"/>
      <c r="G107" s="6" t="n"/>
      <c r="H107" s="6" t="n"/>
      <c r="I107" s="7" t="n"/>
      <c r="J107" s="6" t="n"/>
    </row>
    <row r="108" ht="19.5" customHeight="1" s="146">
      <c r="A108" s="10" t="n"/>
      <c r="B108" s="10" t="n"/>
      <c r="C108" s="10" t="n"/>
      <c r="D108" s="10" t="n"/>
      <c r="E108" s="10" t="n"/>
      <c r="F108" s="10" t="n"/>
      <c r="G108" s="10" t="n"/>
      <c r="H108" s="10" t="n"/>
      <c r="I108" s="11" t="n"/>
      <c r="J108" s="10" t="n"/>
    </row>
    <row r="109" ht="19.5" customHeight="1" s="146">
      <c r="A109" s="6" t="n"/>
      <c r="B109" s="6" t="n"/>
      <c r="C109" s="6" t="n"/>
      <c r="D109" s="6" t="n"/>
      <c r="E109" s="6" t="n"/>
      <c r="F109" s="6" t="n"/>
      <c r="G109" s="6" t="n"/>
      <c r="H109" s="6" t="n"/>
      <c r="I109" s="7" t="n"/>
      <c r="J109" s="6" t="n"/>
    </row>
    <row r="110" ht="19.5" customHeight="1" s="146">
      <c r="A110" s="10" t="n"/>
      <c r="B110" s="10" t="n"/>
      <c r="C110" s="10" t="n"/>
      <c r="D110" s="10" t="n"/>
      <c r="E110" s="10" t="n"/>
      <c r="F110" s="10" t="n"/>
      <c r="G110" s="10" t="n"/>
      <c r="H110" s="10" t="n"/>
      <c r="I110" s="11" t="n"/>
      <c r="J110" s="10" t="n"/>
    </row>
    <row r="111" ht="19.5" customHeight="1" s="146">
      <c r="A111" s="6" t="n"/>
      <c r="B111" s="6" t="n"/>
      <c r="C111" s="6" t="n"/>
      <c r="D111" s="6" t="n"/>
      <c r="E111" s="6" t="n"/>
      <c r="F111" s="6" t="n"/>
      <c r="G111" s="6" t="n"/>
      <c r="H111" s="6" t="n"/>
      <c r="I111" s="7" t="n"/>
      <c r="J111" s="6" t="n"/>
    </row>
    <row r="112" ht="19.5" customHeight="1" s="146">
      <c r="A112" s="10" t="n"/>
      <c r="B112" s="10" t="n"/>
      <c r="C112" s="10" t="n"/>
      <c r="D112" s="10" t="n"/>
      <c r="E112" s="10" t="n"/>
      <c r="F112" s="10" t="n"/>
      <c r="G112" s="10" t="n"/>
      <c r="H112" s="10" t="n"/>
      <c r="I112" s="11" t="n"/>
      <c r="J112" s="10" t="n"/>
    </row>
    <row r="113" ht="19.5" customHeight="1" s="146">
      <c r="A113" s="6" t="n"/>
      <c r="B113" s="6" t="n"/>
      <c r="C113" s="6" t="n"/>
      <c r="D113" s="6" t="n"/>
      <c r="E113" s="6" t="n"/>
      <c r="F113" s="6" t="n"/>
      <c r="G113" s="6" t="n"/>
      <c r="H113" s="6" t="n"/>
      <c r="I113" s="7" t="n"/>
      <c r="J113" s="6" t="n"/>
    </row>
    <row r="114" ht="19.5" customHeight="1" s="146">
      <c r="A114" s="10" t="n"/>
      <c r="B114" s="10" t="n"/>
      <c r="C114" s="10" t="n"/>
      <c r="D114" s="10" t="n"/>
      <c r="E114" s="10" t="n"/>
      <c r="F114" s="10" t="n"/>
      <c r="G114" s="10" t="n"/>
      <c r="H114" s="10" t="n"/>
      <c r="I114" s="11" t="n"/>
      <c r="J114" s="10" t="n"/>
    </row>
    <row r="115" ht="19.5" customHeight="1" s="146">
      <c r="A115" s="6" t="n"/>
      <c r="B115" s="6" t="n"/>
      <c r="C115" s="6" t="n"/>
      <c r="D115" s="6" t="n"/>
      <c r="E115" s="6" t="n"/>
      <c r="F115" s="6" t="n"/>
      <c r="G115" s="6" t="n"/>
      <c r="H115" s="6" t="n"/>
      <c r="I115" s="7" t="n"/>
      <c r="J115" s="6" t="n"/>
    </row>
    <row r="116" ht="19.5" customHeight="1" s="146">
      <c r="A116" s="10" t="n"/>
      <c r="B116" s="10" t="n"/>
      <c r="C116" s="10" t="n"/>
      <c r="D116" s="10" t="n"/>
      <c r="E116" s="10" t="n"/>
      <c r="F116" s="10" t="n"/>
      <c r="G116" s="10" t="n"/>
      <c r="H116" s="10" t="n"/>
      <c r="I116" s="11" t="n"/>
      <c r="J116" s="10" t="n"/>
    </row>
    <row r="117" ht="19.5" customHeight="1" s="146">
      <c r="A117" s="6" t="n"/>
      <c r="B117" s="6" t="n"/>
      <c r="C117" s="6" t="n"/>
      <c r="D117" s="6" t="n"/>
      <c r="E117" s="6" t="n"/>
      <c r="F117" s="6" t="n"/>
      <c r="G117" s="6" t="n"/>
      <c r="H117" s="6" t="n"/>
      <c r="I117" s="7" t="n"/>
      <c r="J117" s="6" t="n"/>
    </row>
    <row r="118" ht="19.5" customHeight="1" s="146">
      <c r="A118" s="10" t="n"/>
      <c r="B118" s="10" t="n"/>
      <c r="C118" s="10" t="n"/>
      <c r="D118" s="10" t="n"/>
      <c r="E118" s="10" t="n"/>
      <c r="F118" s="10" t="n"/>
      <c r="G118" s="10" t="n"/>
      <c r="H118" s="10" t="n"/>
      <c r="I118" s="11" t="n"/>
      <c r="J118" s="10" t="n"/>
    </row>
    <row r="119" ht="19.5" customHeight="1" s="146">
      <c r="A119" s="6" t="n"/>
      <c r="B119" s="6" t="n"/>
      <c r="C119" s="6" t="n"/>
      <c r="D119" s="6" t="n"/>
      <c r="E119" s="6" t="n"/>
      <c r="F119" s="6" t="n"/>
      <c r="G119" s="6" t="n"/>
      <c r="H119" s="6" t="n"/>
      <c r="I119" s="7" t="n"/>
      <c r="J119" s="6" t="n"/>
    </row>
    <row r="120" ht="19.5" customHeight="1" s="146">
      <c r="A120" s="10" t="n"/>
      <c r="B120" s="10" t="n"/>
      <c r="C120" s="10" t="n"/>
      <c r="D120" s="10" t="n"/>
      <c r="E120" s="10" t="n"/>
      <c r="F120" s="10" t="n"/>
      <c r="G120" s="10" t="n"/>
      <c r="H120" s="10" t="n"/>
      <c r="I120" s="11" t="n"/>
      <c r="J120" s="10" t="n"/>
    </row>
    <row r="121" ht="19.5" customHeight="1" s="146">
      <c r="A121" s="6" t="n"/>
      <c r="B121" s="6" t="n"/>
      <c r="C121" s="6" t="n"/>
      <c r="D121" s="6" t="n"/>
      <c r="E121" s="6" t="n"/>
      <c r="F121" s="6" t="n"/>
      <c r="G121" s="6" t="n"/>
      <c r="H121" s="6" t="n"/>
      <c r="I121" s="7" t="n"/>
      <c r="J121" s="6" t="n"/>
    </row>
    <row r="122" ht="19.5" customHeight="1" s="146">
      <c r="A122" s="10" t="n"/>
      <c r="B122" s="10" t="n"/>
      <c r="C122" s="10" t="n"/>
      <c r="D122" s="10" t="n"/>
      <c r="E122" s="10" t="n"/>
      <c r="F122" s="10" t="n"/>
      <c r="G122" s="10" t="n"/>
      <c r="H122" s="10" t="n"/>
      <c r="I122" s="11" t="n"/>
      <c r="J122" s="10" t="n"/>
    </row>
    <row r="123" ht="19.5" customHeight="1" s="146">
      <c r="A123" s="6" t="n"/>
      <c r="B123" s="6" t="n"/>
      <c r="C123" s="6" t="n"/>
      <c r="D123" s="6" t="n"/>
      <c r="E123" s="6" t="n"/>
      <c r="F123" s="6" t="n"/>
      <c r="G123" s="6" t="n"/>
      <c r="H123" s="6" t="n"/>
      <c r="I123" s="7" t="n"/>
      <c r="J123" s="6" t="n"/>
    </row>
    <row r="124" ht="19.5" customHeight="1" s="146">
      <c r="A124" s="10" t="n"/>
      <c r="B124" s="10" t="n"/>
      <c r="C124" s="10" t="n"/>
      <c r="D124" s="10" t="n"/>
      <c r="E124" s="10" t="n"/>
      <c r="F124" s="10" t="n"/>
      <c r="G124" s="10" t="n"/>
      <c r="H124" s="10" t="n"/>
      <c r="I124" s="11" t="n"/>
      <c r="J124" s="10" t="n"/>
    </row>
    <row r="125" ht="19.5" customHeight="1" s="146">
      <c r="A125" s="6" t="n"/>
      <c r="B125" s="6" t="n"/>
      <c r="C125" s="6" t="n"/>
      <c r="D125" s="6" t="n"/>
      <c r="E125" s="6" t="n"/>
      <c r="F125" s="6" t="n"/>
      <c r="G125" s="6" t="n"/>
      <c r="H125" s="6" t="n"/>
      <c r="I125" s="7" t="n"/>
      <c r="J125" s="6" t="n"/>
    </row>
    <row r="126" ht="19.5" customHeight="1" s="146">
      <c r="A126" s="10" t="n"/>
      <c r="B126" s="10" t="n"/>
      <c r="C126" s="10" t="n"/>
      <c r="D126" s="10" t="n"/>
      <c r="E126" s="10" t="n"/>
      <c r="F126" s="10" t="n"/>
      <c r="G126" s="10" t="n"/>
      <c r="H126" s="10" t="n"/>
      <c r="I126" s="11" t="n"/>
      <c r="J126" s="10" t="n"/>
    </row>
    <row r="127" ht="19.5" customHeight="1" s="146">
      <c r="A127" s="6" t="n"/>
      <c r="B127" s="6" t="n"/>
      <c r="C127" s="6" t="n"/>
      <c r="D127" s="6" t="n"/>
      <c r="E127" s="6" t="n"/>
      <c r="F127" s="6" t="n"/>
      <c r="G127" s="6" t="n"/>
      <c r="H127" s="6" t="n"/>
      <c r="I127" s="7" t="n"/>
      <c r="J127" s="6" t="n"/>
    </row>
    <row r="128" ht="19.5" customHeight="1" s="146">
      <c r="A128" s="10" t="n"/>
      <c r="B128" s="10" t="n"/>
      <c r="C128" s="10" t="n"/>
      <c r="D128" s="10" t="n"/>
      <c r="E128" s="10" t="n"/>
      <c r="F128" s="10" t="n"/>
      <c r="G128" s="10" t="n"/>
      <c r="H128" s="10" t="n"/>
      <c r="I128" s="11" t="n"/>
      <c r="J128" s="10" t="n"/>
    </row>
    <row r="129" ht="19.5" customHeight="1" s="146">
      <c r="A129" s="6" t="n"/>
      <c r="B129" s="6" t="n"/>
      <c r="C129" s="6" t="n"/>
      <c r="D129" s="6" t="n"/>
      <c r="E129" s="6" t="n"/>
      <c r="F129" s="6" t="n"/>
      <c r="G129" s="6" t="n"/>
      <c r="H129" s="6" t="n"/>
      <c r="I129" s="7" t="n"/>
      <c r="J129" s="6" t="n"/>
    </row>
    <row r="130" ht="19.5" customHeight="1" s="146">
      <c r="A130" s="10" t="n"/>
      <c r="B130" s="10" t="n"/>
      <c r="C130" s="10" t="n"/>
      <c r="D130" s="10" t="n"/>
      <c r="E130" s="10" t="n"/>
      <c r="F130" s="10" t="n"/>
      <c r="G130" s="10" t="n"/>
      <c r="H130" s="10" t="n"/>
      <c r="I130" s="11" t="n"/>
      <c r="J130" s="10" t="n"/>
    </row>
    <row r="131" ht="19.5" customHeight="1" s="146">
      <c r="A131" s="6" t="n"/>
      <c r="B131" s="6" t="n"/>
      <c r="C131" s="6" t="n"/>
      <c r="D131" s="6" t="n"/>
      <c r="E131" s="6" t="n"/>
      <c r="F131" s="6" t="n"/>
      <c r="G131" s="6" t="n"/>
      <c r="H131" s="6" t="n"/>
      <c r="I131" s="7" t="n"/>
      <c r="J131" s="6" t="n"/>
    </row>
    <row r="132" ht="19.5" customHeight="1" s="146">
      <c r="A132" s="10" t="n"/>
      <c r="B132" s="10" t="n"/>
      <c r="C132" s="10" t="n"/>
      <c r="D132" s="10" t="n"/>
      <c r="E132" s="10" t="n"/>
      <c r="F132" s="10" t="n"/>
      <c r="G132" s="10" t="n"/>
      <c r="H132" s="10" t="n"/>
      <c r="I132" s="11" t="n"/>
      <c r="J132" s="10" t="n"/>
    </row>
    <row r="133" ht="19.5" customHeight="1" s="146">
      <c r="A133" s="6" t="n"/>
      <c r="B133" s="6" t="n"/>
      <c r="C133" s="6" t="n"/>
      <c r="D133" s="6" t="n"/>
      <c r="E133" s="6" t="n"/>
      <c r="F133" s="6" t="n"/>
      <c r="G133" s="6" t="n"/>
      <c r="H133" s="6" t="n"/>
      <c r="I133" s="7" t="n"/>
      <c r="J133" s="6" t="n"/>
    </row>
    <row r="134" ht="19.5" customHeight="1" s="146">
      <c r="A134" s="10" t="n"/>
      <c r="B134" s="10" t="n"/>
      <c r="C134" s="10" t="n"/>
      <c r="D134" s="10" t="n"/>
      <c r="E134" s="10" t="n"/>
      <c r="F134" s="10" t="n"/>
      <c r="G134" s="10" t="n"/>
      <c r="H134" s="10" t="n"/>
      <c r="I134" s="11" t="n"/>
      <c r="J134" s="10" t="n"/>
    </row>
    <row r="135" ht="19.5" customHeight="1" s="146">
      <c r="A135" s="6" t="n"/>
      <c r="B135" s="6" t="n"/>
      <c r="C135" s="6" t="n"/>
      <c r="D135" s="6" t="n"/>
      <c r="E135" s="6" t="n"/>
      <c r="F135" s="6" t="n"/>
      <c r="G135" s="6" t="n"/>
      <c r="H135" s="6" t="n"/>
      <c r="I135" s="7" t="n"/>
      <c r="J135" s="6" t="n"/>
    </row>
    <row r="136" ht="19.5" customHeight="1" s="146">
      <c r="A136" s="10" t="n"/>
      <c r="B136" s="10" t="n"/>
      <c r="C136" s="10" t="n"/>
      <c r="D136" s="10" t="n"/>
      <c r="E136" s="10" t="n"/>
      <c r="F136" s="10" t="n"/>
      <c r="G136" s="10" t="n"/>
      <c r="H136" s="10" t="n"/>
      <c r="I136" s="11" t="n"/>
      <c r="J136" s="10" t="n"/>
    </row>
    <row r="137" ht="19.5" customHeight="1" s="146">
      <c r="A137" s="6" t="n"/>
      <c r="B137" s="6" t="n"/>
      <c r="C137" s="6" t="n"/>
      <c r="D137" s="6" t="n"/>
      <c r="E137" s="6" t="n"/>
      <c r="F137" s="6" t="n"/>
      <c r="G137" s="6" t="n"/>
      <c r="H137" s="6" t="n"/>
      <c r="I137" s="7" t="n"/>
      <c r="J137" s="6" t="n"/>
    </row>
    <row r="138" ht="19.5" customHeight="1" s="146">
      <c r="A138" s="10" t="n"/>
      <c r="B138" s="10" t="n"/>
      <c r="C138" s="10" t="n"/>
      <c r="D138" s="10" t="n"/>
      <c r="E138" s="10" t="n"/>
      <c r="F138" s="10" t="n"/>
      <c r="G138" s="10" t="n"/>
      <c r="H138" s="10" t="n"/>
      <c r="I138" s="11" t="n"/>
      <c r="J138" s="10" t="n"/>
    </row>
    <row r="139" ht="19.5" customHeight="1" s="146">
      <c r="A139" s="6" t="n"/>
      <c r="B139" s="6" t="n"/>
      <c r="C139" s="6" t="n"/>
      <c r="D139" s="6" t="n"/>
      <c r="E139" s="6" t="n"/>
      <c r="F139" s="6" t="n"/>
      <c r="G139" s="6" t="n"/>
      <c r="H139" s="6" t="n"/>
      <c r="I139" s="7" t="n"/>
      <c r="J139" s="6" t="n"/>
    </row>
    <row r="140" ht="19.5" customHeight="1" s="146">
      <c r="A140" s="10" t="n"/>
      <c r="B140" s="10" t="n"/>
      <c r="C140" s="10" t="n"/>
      <c r="D140" s="10" t="n"/>
      <c r="E140" s="10" t="n"/>
      <c r="F140" s="10" t="n"/>
      <c r="G140" s="10" t="n"/>
      <c r="H140" s="10" t="n"/>
      <c r="I140" s="11" t="n"/>
      <c r="J140" s="10" t="n"/>
    </row>
    <row r="141" ht="19.5" customHeight="1" s="146">
      <c r="A141" s="6" t="n"/>
      <c r="B141" s="6" t="n"/>
      <c r="C141" s="6" t="n"/>
      <c r="D141" s="6" t="n"/>
      <c r="E141" s="6" t="n"/>
      <c r="F141" s="6" t="n"/>
      <c r="G141" s="6" t="n"/>
      <c r="H141" s="6" t="n"/>
      <c r="I141" s="7" t="n"/>
      <c r="J141" s="6" t="n"/>
    </row>
    <row r="142" ht="19.5" customHeight="1" s="146">
      <c r="A142" s="10" t="n"/>
      <c r="B142" s="10" t="n"/>
      <c r="C142" s="10" t="n"/>
      <c r="D142" s="10" t="n"/>
      <c r="E142" s="10" t="n"/>
      <c r="F142" s="10" t="n"/>
      <c r="G142" s="10" t="n"/>
      <c r="H142" s="10" t="n"/>
      <c r="I142" s="11" t="n"/>
      <c r="J142" s="10" t="n"/>
    </row>
    <row r="143" ht="19.5" customHeight="1" s="146">
      <c r="A143" s="6" t="n"/>
      <c r="B143" s="6" t="n"/>
      <c r="C143" s="6" t="n"/>
      <c r="D143" s="6" t="n"/>
      <c r="E143" s="6" t="n"/>
      <c r="F143" s="6" t="n"/>
      <c r="G143" s="6" t="n"/>
      <c r="H143" s="6" t="n"/>
      <c r="I143" s="7" t="n"/>
      <c r="J143" s="6" t="n"/>
    </row>
    <row r="144" ht="19.5" customHeight="1" s="146">
      <c r="A144" s="10" t="n"/>
      <c r="B144" s="10" t="n"/>
      <c r="C144" s="10" t="n"/>
      <c r="D144" s="10" t="n"/>
      <c r="E144" s="10" t="n"/>
      <c r="F144" s="10" t="n"/>
      <c r="G144" s="10" t="n"/>
      <c r="H144" s="10" t="n"/>
      <c r="I144" s="11" t="n"/>
      <c r="J144" s="10" t="n"/>
    </row>
    <row r="145" ht="19.5" customHeight="1" s="146">
      <c r="A145" s="6" t="n"/>
      <c r="B145" s="6" t="n"/>
      <c r="C145" s="6" t="n"/>
      <c r="D145" s="6" t="n"/>
      <c r="E145" s="6" t="n"/>
      <c r="F145" s="6" t="n"/>
      <c r="G145" s="6" t="n"/>
      <c r="H145" s="6" t="n"/>
      <c r="I145" s="7" t="n"/>
      <c r="J145" s="6" t="n"/>
    </row>
    <row r="146" ht="19.5" customHeight="1" s="146">
      <c r="A146" s="10" t="n"/>
      <c r="B146" s="10" t="n"/>
      <c r="C146" s="10" t="n"/>
      <c r="D146" s="10" t="n"/>
      <c r="E146" s="10" t="n"/>
      <c r="F146" s="10" t="n"/>
      <c r="G146" s="10" t="n"/>
      <c r="H146" s="10" t="n"/>
      <c r="I146" s="11" t="n"/>
      <c r="J146" s="10" t="n"/>
    </row>
    <row r="147" ht="19.5" customHeight="1" s="146">
      <c r="A147" s="6" t="n"/>
      <c r="B147" s="6" t="n"/>
      <c r="C147" s="6" t="n"/>
      <c r="D147" s="6" t="n"/>
      <c r="E147" s="6" t="n"/>
      <c r="F147" s="6" t="n"/>
      <c r="G147" s="6" t="n"/>
      <c r="H147" s="6" t="n"/>
      <c r="I147" s="7" t="n"/>
      <c r="J147" s="6" t="n"/>
    </row>
    <row r="148" ht="19.5" customHeight="1" s="146">
      <c r="A148" s="10" t="n"/>
      <c r="B148" s="10" t="n"/>
      <c r="C148" s="10" t="n"/>
      <c r="D148" s="10" t="n"/>
      <c r="E148" s="10" t="n"/>
      <c r="F148" s="10" t="n"/>
      <c r="G148" s="10" t="n"/>
      <c r="H148" s="10" t="n"/>
      <c r="I148" s="11" t="n"/>
      <c r="J148" s="10" t="n"/>
    </row>
    <row r="149" ht="19.5" customHeight="1" s="146">
      <c r="A149" s="6" t="n"/>
      <c r="B149" s="6" t="n"/>
      <c r="C149" s="6" t="n"/>
      <c r="D149" s="6" t="n"/>
      <c r="E149" s="6" t="n"/>
      <c r="F149" s="6" t="n"/>
      <c r="G149" s="6" t="n"/>
      <c r="H149" s="6" t="n"/>
      <c r="I149" s="7" t="n"/>
      <c r="J149" s="6" t="n"/>
    </row>
    <row r="150" ht="19.5" customHeight="1" s="146">
      <c r="A150" s="10" t="n"/>
      <c r="B150" s="10" t="n"/>
      <c r="C150" s="10" t="n"/>
      <c r="D150" s="10" t="n"/>
      <c r="E150" s="10" t="n"/>
      <c r="F150" s="10" t="n"/>
      <c r="G150" s="10" t="n"/>
      <c r="H150" s="10" t="n"/>
      <c r="I150" s="11" t="n"/>
      <c r="J150" s="10" t="n"/>
    </row>
    <row r="151" ht="19.5" customHeight="1" s="146">
      <c r="A151" s="6" t="n"/>
      <c r="B151" s="6" t="n"/>
      <c r="C151" s="6" t="n"/>
      <c r="D151" s="6" t="n"/>
      <c r="E151" s="6" t="n"/>
      <c r="F151" s="6" t="n"/>
      <c r="G151" s="6" t="n"/>
      <c r="H151" s="6" t="n"/>
      <c r="I151" s="7" t="n"/>
      <c r="J151" s="6" t="n"/>
    </row>
    <row r="152" ht="19.5" customHeight="1" s="146">
      <c r="A152" s="10" t="n"/>
      <c r="B152" s="10" t="n"/>
      <c r="C152" s="10" t="n"/>
      <c r="D152" s="10" t="n"/>
      <c r="E152" s="10" t="n"/>
      <c r="F152" s="10" t="n"/>
      <c r="G152" s="10" t="n"/>
      <c r="H152" s="10" t="n"/>
      <c r="I152" s="11" t="n"/>
      <c r="J152" s="10" t="n"/>
    </row>
    <row r="153" ht="19.5" customHeight="1" s="146">
      <c r="A153" s="6" t="n"/>
      <c r="B153" s="6" t="n"/>
      <c r="C153" s="6" t="n"/>
      <c r="D153" s="6" t="n"/>
      <c r="E153" s="6" t="n"/>
      <c r="F153" s="6" t="n"/>
      <c r="G153" s="6" t="n"/>
      <c r="H153" s="6" t="n"/>
      <c r="I153" s="7" t="n"/>
      <c r="J153" s="6" t="n"/>
    </row>
    <row r="154" ht="19.5" customHeight="1" s="146">
      <c r="A154" s="10" t="n"/>
      <c r="B154" s="10" t="n"/>
      <c r="C154" s="10" t="n"/>
      <c r="D154" s="10" t="n"/>
      <c r="E154" s="10" t="n"/>
      <c r="F154" s="10" t="n"/>
      <c r="G154" s="10" t="n"/>
      <c r="H154" s="10" t="n"/>
      <c r="I154" s="11" t="n"/>
      <c r="J154" s="10" t="n"/>
    </row>
    <row r="155" ht="19.5" customHeight="1" s="146">
      <c r="A155" s="6" t="n"/>
      <c r="B155" s="6" t="n"/>
      <c r="C155" s="6" t="n"/>
      <c r="D155" s="6" t="n"/>
      <c r="E155" s="6" t="n"/>
      <c r="F155" s="6" t="n"/>
      <c r="G155" s="6" t="n"/>
      <c r="H155" s="6" t="n"/>
      <c r="I155" s="7" t="n"/>
      <c r="J155" s="6" t="n"/>
    </row>
    <row r="156" ht="19.5" customHeight="1" s="146">
      <c r="A156" s="10" t="n"/>
      <c r="B156" s="10" t="n"/>
      <c r="C156" s="10" t="n"/>
      <c r="D156" s="10" t="n"/>
      <c r="E156" s="10" t="n"/>
      <c r="F156" s="10" t="n"/>
      <c r="G156" s="10" t="n"/>
      <c r="H156" s="10" t="n"/>
      <c r="I156" s="11" t="n"/>
      <c r="J156" s="10" t="n"/>
    </row>
    <row r="157" ht="19.5" customHeight="1" s="146">
      <c r="A157" s="6" t="n"/>
      <c r="B157" s="6" t="n"/>
      <c r="C157" s="6" t="n"/>
      <c r="D157" s="6" t="n"/>
      <c r="E157" s="6" t="n"/>
      <c r="F157" s="6" t="n"/>
      <c r="G157" s="6" t="n"/>
      <c r="H157" s="6" t="n"/>
      <c r="I157" s="7" t="n"/>
      <c r="J157" s="6" t="n"/>
    </row>
    <row r="158" ht="19.5" customHeight="1" s="146">
      <c r="A158" s="10" t="n"/>
      <c r="B158" s="10" t="n"/>
      <c r="C158" s="10" t="n"/>
      <c r="D158" s="10" t="n"/>
      <c r="E158" s="10" t="n"/>
      <c r="F158" s="10" t="n"/>
      <c r="G158" s="10" t="n"/>
      <c r="H158" s="10" t="n"/>
      <c r="I158" s="11" t="n"/>
      <c r="J158" s="10" t="n"/>
    </row>
    <row r="159" ht="19.5" customHeight="1" s="146">
      <c r="A159" s="6" t="n"/>
      <c r="B159" s="6" t="n"/>
      <c r="C159" s="6" t="n"/>
      <c r="D159" s="6" t="n"/>
      <c r="E159" s="6" t="n"/>
      <c r="F159" s="6" t="n"/>
      <c r="G159" s="6" t="n"/>
      <c r="H159" s="6" t="n"/>
      <c r="I159" s="7" t="n"/>
      <c r="J159" s="6" t="n"/>
    </row>
    <row r="160" ht="19.5" customHeight="1" s="146">
      <c r="A160" s="10" t="n"/>
      <c r="B160" s="10" t="n"/>
      <c r="C160" s="10" t="n"/>
      <c r="D160" s="10" t="n"/>
      <c r="E160" s="10" t="n"/>
      <c r="F160" s="10" t="n"/>
      <c r="G160" s="10" t="n"/>
      <c r="H160" s="10" t="n"/>
      <c r="I160" s="11" t="n"/>
      <c r="J160" s="10" t="n"/>
    </row>
    <row r="161" ht="19.5" customHeight="1" s="146">
      <c r="A161" s="6" t="n"/>
      <c r="B161" s="6" t="n"/>
      <c r="C161" s="6" t="n"/>
      <c r="D161" s="6" t="n"/>
      <c r="E161" s="6" t="n"/>
      <c r="F161" s="6" t="n"/>
      <c r="G161" s="6" t="n"/>
      <c r="H161" s="6" t="n"/>
      <c r="I161" s="7" t="n"/>
      <c r="J161" s="6" t="n"/>
    </row>
    <row r="162" ht="19.5" customHeight="1" s="146">
      <c r="A162" s="10" t="n"/>
      <c r="B162" s="10" t="n"/>
      <c r="C162" s="10" t="n"/>
      <c r="D162" s="10" t="n"/>
      <c r="E162" s="10" t="n"/>
      <c r="F162" s="10" t="n"/>
      <c r="G162" s="10" t="n"/>
      <c r="H162" s="10" t="n"/>
      <c r="I162" s="11" t="n"/>
      <c r="J162" s="10" t="n"/>
    </row>
    <row r="163" ht="19.5" customHeight="1" s="146">
      <c r="A163" s="6" t="n"/>
      <c r="B163" s="6" t="n"/>
      <c r="C163" s="6" t="n"/>
      <c r="D163" s="6" t="n"/>
      <c r="E163" s="6" t="n"/>
      <c r="F163" s="6" t="n"/>
      <c r="G163" s="6" t="n"/>
      <c r="H163" s="6" t="n"/>
      <c r="I163" s="7" t="n"/>
      <c r="J163" s="6" t="n"/>
    </row>
    <row r="164" ht="19.5" customHeight="1" s="146">
      <c r="A164" s="10" t="n"/>
      <c r="B164" s="10" t="n"/>
      <c r="C164" s="10" t="n"/>
      <c r="D164" s="10" t="n"/>
      <c r="E164" s="10" t="n"/>
      <c r="F164" s="10" t="n"/>
      <c r="G164" s="10" t="n"/>
      <c r="H164" s="10" t="n"/>
      <c r="I164" s="11" t="n"/>
      <c r="J164" s="10" t="n"/>
    </row>
    <row r="165" ht="19.5" customHeight="1" s="146">
      <c r="A165" s="6" t="n"/>
      <c r="B165" s="6" t="n"/>
      <c r="C165" s="6" t="n"/>
      <c r="D165" s="6" t="n"/>
      <c r="E165" s="6" t="n"/>
      <c r="F165" s="6" t="n"/>
      <c r="G165" s="6" t="n"/>
      <c r="H165" s="6" t="n"/>
      <c r="I165" s="7" t="n"/>
      <c r="J165" s="6" t="n"/>
    </row>
    <row r="166" ht="19.5" customHeight="1" s="146">
      <c r="A166" s="10" t="n"/>
      <c r="B166" s="10" t="n"/>
      <c r="C166" s="10" t="n"/>
      <c r="D166" s="10" t="n"/>
      <c r="E166" s="10" t="n"/>
      <c r="F166" s="10" t="n"/>
      <c r="G166" s="10" t="n"/>
      <c r="H166" s="10" t="n"/>
      <c r="I166" s="11" t="n"/>
      <c r="J166" s="10" t="n"/>
    </row>
    <row r="167" ht="19.5" customHeight="1" s="146">
      <c r="A167" s="6" t="n"/>
      <c r="B167" s="6" t="n"/>
      <c r="C167" s="6" t="n"/>
      <c r="D167" s="6" t="n"/>
      <c r="E167" s="6" t="n"/>
      <c r="F167" s="6" t="n"/>
      <c r="G167" s="6" t="n"/>
      <c r="H167" s="6" t="n"/>
      <c r="I167" s="7" t="n"/>
      <c r="J167" s="6" t="n"/>
    </row>
    <row r="168" ht="19.5" customHeight="1" s="146">
      <c r="A168" s="10" t="n"/>
      <c r="B168" s="10" t="n"/>
      <c r="C168" s="10" t="n"/>
      <c r="D168" s="10" t="n"/>
      <c r="E168" s="10" t="n"/>
      <c r="F168" s="10" t="n"/>
      <c r="G168" s="10" t="n"/>
      <c r="H168" s="10" t="n"/>
      <c r="I168" s="11" t="n"/>
      <c r="J168" s="10" t="n"/>
    </row>
    <row r="169" ht="19.5" customHeight="1" s="146">
      <c r="A169" s="6" t="n"/>
      <c r="B169" s="6" t="n"/>
      <c r="C169" s="6" t="n"/>
      <c r="D169" s="6" t="n"/>
      <c r="E169" s="6" t="n"/>
      <c r="F169" s="6" t="n"/>
      <c r="G169" s="6" t="n"/>
      <c r="H169" s="6" t="n"/>
      <c r="I169" s="7" t="n"/>
      <c r="J169" s="6" t="n"/>
    </row>
    <row r="170" ht="19.5" customHeight="1" s="146">
      <c r="A170" s="10" t="n"/>
      <c r="B170" s="10" t="n"/>
      <c r="C170" s="10" t="n"/>
      <c r="D170" s="10" t="n"/>
      <c r="E170" s="10" t="n"/>
      <c r="F170" s="10" t="n"/>
      <c r="G170" s="10" t="n"/>
      <c r="H170" s="10" t="n"/>
      <c r="I170" s="11" t="n"/>
      <c r="J170" s="10" t="n"/>
    </row>
    <row r="171" ht="19.5" customHeight="1" s="146">
      <c r="A171" s="6" t="n"/>
      <c r="B171" s="6" t="n"/>
      <c r="C171" s="6" t="n"/>
      <c r="D171" s="6" t="n"/>
      <c r="E171" s="6" t="n"/>
      <c r="F171" s="6" t="n"/>
      <c r="G171" s="6" t="n"/>
      <c r="H171" s="6" t="n"/>
      <c r="I171" s="7" t="n"/>
      <c r="J171" s="6" t="n"/>
    </row>
    <row r="172" ht="19.5" customHeight="1" s="146">
      <c r="A172" s="10" t="n"/>
      <c r="B172" s="10" t="n"/>
      <c r="C172" s="10" t="n"/>
      <c r="D172" s="10" t="n"/>
      <c r="E172" s="10" t="n"/>
      <c r="F172" s="10" t="n"/>
      <c r="G172" s="10" t="n"/>
      <c r="H172" s="10" t="n"/>
      <c r="I172" s="11" t="n"/>
      <c r="J172" s="10" t="n"/>
    </row>
    <row r="173" ht="19.5" customHeight="1" s="146">
      <c r="A173" s="6" t="n"/>
      <c r="B173" s="6" t="n"/>
      <c r="C173" s="6" t="n"/>
      <c r="D173" s="6" t="n"/>
      <c r="E173" s="6" t="n"/>
      <c r="F173" s="6" t="n"/>
      <c r="G173" s="6" t="n"/>
      <c r="H173" s="6" t="n"/>
      <c r="I173" s="7" t="n"/>
      <c r="J173" s="6" t="n"/>
    </row>
    <row r="174" ht="19.5" customHeight="1" s="146">
      <c r="A174" s="10" t="n"/>
      <c r="B174" s="10" t="n"/>
      <c r="C174" s="10" t="n"/>
      <c r="D174" s="10" t="n"/>
      <c r="E174" s="10" t="n"/>
      <c r="F174" s="10" t="n"/>
      <c r="G174" s="10" t="n"/>
      <c r="H174" s="10" t="n"/>
      <c r="I174" s="11" t="n"/>
      <c r="J174" s="10" t="n"/>
    </row>
    <row r="175" ht="19.5" customHeight="1" s="146">
      <c r="A175" s="6" t="n"/>
      <c r="B175" s="6" t="n"/>
      <c r="C175" s="6" t="n"/>
      <c r="D175" s="6" t="n"/>
      <c r="E175" s="6" t="n"/>
      <c r="F175" s="6" t="n"/>
      <c r="G175" s="6" t="n"/>
      <c r="H175" s="6" t="n"/>
      <c r="I175" s="7" t="n"/>
      <c r="J175" s="6" t="n"/>
    </row>
    <row r="176" ht="19.5" customHeight="1" s="146">
      <c r="A176" s="10" t="n"/>
      <c r="B176" s="10" t="n"/>
      <c r="C176" s="10" t="n"/>
      <c r="D176" s="10" t="n"/>
      <c r="E176" s="10" t="n"/>
      <c r="F176" s="10" t="n"/>
      <c r="G176" s="10" t="n"/>
      <c r="H176" s="10" t="n"/>
      <c r="I176" s="11" t="n"/>
      <c r="J176" s="10" t="n"/>
    </row>
    <row r="177" ht="19.5" customHeight="1" s="146">
      <c r="A177" s="6" t="n"/>
      <c r="B177" s="6" t="n"/>
      <c r="C177" s="6" t="n"/>
      <c r="D177" s="6" t="n"/>
      <c r="E177" s="6" t="n"/>
      <c r="F177" s="6" t="n"/>
      <c r="G177" s="6" t="n"/>
      <c r="H177" s="6" t="n"/>
      <c r="I177" s="7" t="n"/>
      <c r="J177" s="6" t="n"/>
    </row>
    <row r="178" ht="19.5" customHeight="1" s="146">
      <c r="A178" s="10" t="n"/>
      <c r="B178" s="10" t="n"/>
      <c r="C178" s="10" t="n"/>
      <c r="D178" s="10" t="n"/>
      <c r="E178" s="10" t="n"/>
      <c r="F178" s="10" t="n"/>
      <c r="G178" s="10" t="n"/>
      <c r="H178" s="10" t="n"/>
      <c r="I178" s="11" t="n"/>
      <c r="J178" s="10" t="n"/>
    </row>
    <row r="179" ht="19.5" customHeight="1" s="146">
      <c r="A179" s="6" t="n"/>
      <c r="B179" s="6" t="n"/>
      <c r="C179" s="6" t="n"/>
      <c r="D179" s="6" t="n"/>
      <c r="E179" s="6" t="n"/>
      <c r="F179" s="6" t="n"/>
      <c r="G179" s="6" t="n"/>
      <c r="H179" s="6" t="n"/>
      <c r="I179" s="7" t="n"/>
      <c r="J179" s="6" t="n"/>
    </row>
    <row r="180" ht="19.5" customHeight="1" s="146">
      <c r="A180" s="10" t="n"/>
      <c r="B180" s="10" t="n"/>
      <c r="C180" s="10" t="n"/>
      <c r="D180" s="10" t="n"/>
      <c r="E180" s="10" t="n"/>
      <c r="F180" s="10" t="n"/>
      <c r="G180" s="10" t="n"/>
      <c r="H180" s="10" t="n"/>
      <c r="I180" s="11" t="n"/>
      <c r="J180" s="10" t="n"/>
    </row>
    <row r="181" ht="19.5" customHeight="1" s="146">
      <c r="A181" s="6" t="n"/>
      <c r="B181" s="6" t="n"/>
      <c r="C181" s="6" t="n"/>
      <c r="D181" s="6" t="n"/>
      <c r="E181" s="6" t="n"/>
      <c r="F181" s="6" t="n"/>
      <c r="G181" s="6" t="n"/>
      <c r="H181" s="6" t="n"/>
      <c r="I181" s="7" t="n"/>
      <c r="J181" s="6" t="n"/>
    </row>
    <row r="182" ht="19.5" customHeight="1" s="146">
      <c r="A182" s="10" t="n"/>
      <c r="B182" s="10" t="n"/>
      <c r="C182" s="10" t="n"/>
      <c r="D182" s="10" t="n"/>
      <c r="E182" s="10" t="n"/>
      <c r="F182" s="10" t="n"/>
      <c r="G182" s="10" t="n"/>
      <c r="H182" s="10" t="n"/>
      <c r="I182" s="11" t="n"/>
      <c r="J182" s="10" t="n"/>
    </row>
    <row r="183" ht="19.5" customHeight="1" s="146">
      <c r="A183" s="6" t="n"/>
      <c r="B183" s="6" t="n"/>
      <c r="C183" s="6" t="n"/>
      <c r="D183" s="6" t="n"/>
      <c r="E183" s="6" t="n"/>
      <c r="F183" s="6" t="n"/>
      <c r="G183" s="6" t="n"/>
      <c r="H183" s="6" t="n"/>
      <c r="I183" s="7" t="n"/>
      <c r="J183" s="6" t="n"/>
    </row>
    <row r="184" ht="19.5" customHeight="1" s="146">
      <c r="A184" s="10" t="n"/>
      <c r="B184" s="10" t="n"/>
      <c r="C184" s="10" t="n"/>
      <c r="D184" s="10" t="n"/>
      <c r="E184" s="10" t="n"/>
      <c r="F184" s="10" t="n"/>
      <c r="G184" s="10" t="n"/>
      <c r="H184" s="10" t="n"/>
      <c r="I184" s="11" t="n"/>
      <c r="J184" s="10" t="n"/>
    </row>
    <row r="185" ht="19.5" customHeight="1" s="146">
      <c r="A185" s="6" t="n"/>
      <c r="B185" s="6" t="n"/>
      <c r="C185" s="6" t="n"/>
      <c r="D185" s="6" t="n"/>
      <c r="E185" s="6" t="n"/>
      <c r="F185" s="6" t="n"/>
      <c r="G185" s="6" t="n"/>
      <c r="H185" s="6" t="n"/>
      <c r="I185" s="7" t="n"/>
      <c r="J185" s="6" t="n"/>
    </row>
    <row r="186" ht="19.5" customHeight="1" s="146">
      <c r="A186" s="10" t="n"/>
      <c r="B186" s="10" t="n"/>
      <c r="C186" s="10" t="n"/>
      <c r="D186" s="10" t="n"/>
      <c r="E186" s="10" t="n"/>
      <c r="F186" s="10" t="n"/>
      <c r="G186" s="10" t="n"/>
      <c r="H186" s="10" t="n"/>
      <c r="I186" s="11" t="n"/>
      <c r="J186" s="10" t="n"/>
    </row>
    <row r="187" ht="19.5" customHeight="1" s="146">
      <c r="A187" s="6" t="n"/>
      <c r="B187" s="6" t="n"/>
      <c r="C187" s="6" t="n"/>
      <c r="D187" s="6" t="n"/>
      <c r="E187" s="6" t="n"/>
      <c r="F187" s="6" t="n"/>
      <c r="G187" s="6" t="n"/>
      <c r="H187" s="6" t="n"/>
      <c r="I187" s="7" t="n"/>
      <c r="J187" s="6" t="n"/>
    </row>
    <row r="188" ht="19.5" customHeight="1" s="146">
      <c r="A188" s="10" t="n"/>
      <c r="B188" s="10" t="n"/>
      <c r="C188" s="10" t="n"/>
      <c r="D188" s="10" t="n"/>
      <c r="E188" s="10" t="n"/>
      <c r="F188" s="10" t="n"/>
      <c r="G188" s="10" t="n"/>
      <c r="H188" s="10" t="n"/>
      <c r="I188" s="11" t="n"/>
      <c r="J188" s="10" t="n"/>
    </row>
    <row r="189" ht="19.5" customHeight="1" s="146">
      <c r="A189" s="6" t="n"/>
      <c r="B189" s="6" t="n"/>
      <c r="C189" s="6" t="n"/>
      <c r="D189" s="6" t="n"/>
      <c r="E189" s="6" t="n"/>
      <c r="F189" s="6" t="n"/>
      <c r="G189" s="6" t="n"/>
      <c r="H189" s="6" t="n"/>
      <c r="I189" s="7" t="n"/>
      <c r="J189" s="6" t="n"/>
    </row>
    <row r="190" ht="19.5" customHeight="1" s="146">
      <c r="A190" s="10" t="n"/>
      <c r="B190" s="10" t="n"/>
      <c r="C190" s="10" t="n"/>
      <c r="D190" s="10" t="n"/>
      <c r="E190" s="10" t="n"/>
      <c r="F190" s="10" t="n"/>
      <c r="G190" s="10" t="n"/>
      <c r="H190" s="10" t="n"/>
      <c r="I190" s="11" t="n"/>
      <c r="J190" s="10" t="n"/>
    </row>
    <row r="191" ht="19.5" customHeight="1" s="146">
      <c r="A191" s="6" t="n"/>
      <c r="B191" s="6" t="n"/>
      <c r="C191" s="6" t="n"/>
      <c r="D191" s="6" t="n"/>
      <c r="E191" s="6" t="n"/>
      <c r="F191" s="6" t="n"/>
      <c r="G191" s="6" t="n"/>
      <c r="H191" s="6" t="n"/>
      <c r="I191" s="7" t="n"/>
      <c r="J191" s="6" t="n"/>
    </row>
    <row r="192" ht="19.5" customHeight="1" s="146">
      <c r="A192" s="10" t="n"/>
      <c r="B192" s="10" t="n"/>
      <c r="C192" s="10" t="n"/>
      <c r="D192" s="10" t="n"/>
      <c r="E192" s="10" t="n"/>
      <c r="F192" s="10" t="n"/>
      <c r="G192" s="10" t="n"/>
      <c r="H192" s="10" t="n"/>
      <c r="I192" s="11" t="n"/>
      <c r="J192" s="10" t="n"/>
    </row>
    <row r="193" ht="19.5" customHeight="1" s="146">
      <c r="A193" s="6" t="n"/>
      <c r="B193" s="6" t="n"/>
      <c r="C193" s="6" t="n"/>
      <c r="D193" s="6" t="n"/>
      <c r="E193" s="6" t="n"/>
      <c r="F193" s="6" t="n"/>
      <c r="G193" s="6" t="n"/>
      <c r="H193" s="6" t="n"/>
      <c r="I193" s="7" t="n"/>
      <c r="J193" s="6" t="n"/>
    </row>
    <row r="194" ht="19.5" customHeight="1" s="146">
      <c r="A194" s="10" t="n"/>
      <c r="B194" s="10" t="n"/>
      <c r="C194" s="10" t="n"/>
      <c r="D194" s="10" t="n"/>
      <c r="E194" s="10" t="n"/>
      <c r="F194" s="10" t="n"/>
      <c r="G194" s="10" t="n"/>
      <c r="H194" s="10" t="n"/>
      <c r="I194" s="11" t="n"/>
      <c r="J194" s="10" t="n"/>
    </row>
    <row r="195" ht="19.5" customHeight="1" s="146">
      <c r="A195" s="6" t="n"/>
      <c r="B195" s="6" t="n"/>
      <c r="C195" s="6" t="n"/>
      <c r="D195" s="6" t="n"/>
      <c r="E195" s="6" t="n"/>
      <c r="F195" s="6" t="n"/>
      <c r="G195" s="6" t="n"/>
      <c r="H195" s="6" t="n"/>
      <c r="I195" s="7" t="n"/>
      <c r="J195" s="6" t="n"/>
    </row>
    <row r="196" ht="19.5" customHeight="1" s="146">
      <c r="A196" s="10" t="n"/>
      <c r="B196" s="10" t="n"/>
      <c r="C196" s="10" t="n"/>
      <c r="D196" s="10" t="n"/>
      <c r="E196" s="10" t="n"/>
      <c r="F196" s="10" t="n"/>
      <c r="G196" s="10" t="n"/>
      <c r="H196" s="10" t="n"/>
      <c r="I196" s="11" t="n"/>
      <c r="J196" s="10" t="n"/>
    </row>
    <row r="197" ht="19.5" customHeight="1" s="146">
      <c r="A197" s="6" t="n"/>
      <c r="B197" s="6" t="n"/>
      <c r="C197" s="6" t="n"/>
      <c r="D197" s="6" t="n"/>
      <c r="E197" s="6" t="n"/>
      <c r="F197" s="6" t="n"/>
      <c r="G197" s="6" t="n"/>
      <c r="H197" s="6" t="n"/>
      <c r="I197" s="7" t="n"/>
      <c r="J197" s="6" t="n"/>
    </row>
    <row r="198" ht="19.5" customHeight="1" s="146">
      <c r="A198" s="10" t="n"/>
      <c r="B198" s="10" t="n"/>
      <c r="C198" s="10" t="n"/>
      <c r="D198" s="10" t="n"/>
      <c r="E198" s="10" t="n"/>
      <c r="F198" s="10" t="n"/>
      <c r="G198" s="10" t="n"/>
      <c r="H198" s="10" t="n"/>
      <c r="I198" s="11" t="n"/>
      <c r="J198" s="10" t="n"/>
    </row>
    <row r="199" ht="19.5" customHeight="1" s="146">
      <c r="A199" s="6" t="n"/>
      <c r="B199" s="6" t="n"/>
      <c r="C199" s="6" t="n"/>
      <c r="D199" s="6" t="n"/>
      <c r="E199" s="6" t="n"/>
      <c r="F199" s="6" t="n"/>
      <c r="G199" s="6" t="n"/>
      <c r="H199" s="6" t="n"/>
      <c r="I199" s="7" t="n"/>
      <c r="J199" s="6" t="n"/>
    </row>
    <row r="200" ht="19.5" customHeight="1" s="146">
      <c r="A200" s="10" t="n"/>
      <c r="B200" s="10" t="n"/>
      <c r="C200" s="10" t="n"/>
      <c r="D200" s="10" t="n"/>
      <c r="E200" s="10" t="n"/>
      <c r="F200" s="10" t="n"/>
      <c r="G200" s="10" t="n"/>
      <c r="H200" s="10" t="n"/>
      <c r="I200" s="11" t="n"/>
      <c r="J200" s="10" t="n"/>
    </row>
    <row r="201" ht="19.5" customHeight="1" s="146">
      <c r="A201" s="6" t="n"/>
      <c r="B201" s="6" t="n"/>
      <c r="C201" s="6" t="n"/>
      <c r="D201" s="6" t="n"/>
      <c r="E201" s="6" t="n"/>
      <c r="F201" s="6" t="n"/>
      <c r="G201" s="6" t="n"/>
      <c r="H201" s="6" t="n"/>
      <c r="I201" s="7" t="n"/>
      <c r="J201" s="6" t="n"/>
    </row>
    <row r="202" ht="19.5" customHeight="1" s="146">
      <c r="A202" s="10" t="n"/>
      <c r="B202" s="10" t="n"/>
      <c r="C202" s="10" t="n"/>
      <c r="D202" s="10" t="n"/>
      <c r="E202" s="10" t="n"/>
      <c r="F202" s="10" t="n"/>
      <c r="G202" s="10" t="n"/>
      <c r="H202" s="10" t="n"/>
      <c r="I202" s="11" t="n"/>
      <c r="J202" s="10" t="n"/>
    </row>
    <row r="203" ht="19.5" customHeight="1" s="146">
      <c r="A203" s="6" t="n"/>
      <c r="B203" s="6" t="n"/>
      <c r="C203" s="6" t="n"/>
      <c r="D203" s="6" t="n"/>
      <c r="E203" s="6" t="n"/>
      <c r="F203" s="6" t="n"/>
      <c r="G203" s="6" t="n"/>
      <c r="H203" s="6" t="n"/>
      <c r="I203" s="7" t="n"/>
      <c r="J203" s="6" t="n"/>
    </row>
    <row r="204" ht="19.5" customHeight="1" s="146">
      <c r="A204" s="10" t="n"/>
      <c r="B204" s="10" t="n"/>
      <c r="C204" s="10" t="n"/>
      <c r="D204" s="10" t="n"/>
      <c r="E204" s="10" t="n"/>
      <c r="F204" s="10" t="n"/>
      <c r="G204" s="10" t="n"/>
      <c r="H204" s="10" t="n"/>
      <c r="I204" s="11" t="n"/>
      <c r="J204" s="10" t="n"/>
    </row>
    <row r="205" ht="19.5" customHeight="1" s="146">
      <c r="A205" s="6" t="n"/>
      <c r="B205" s="6" t="n"/>
      <c r="C205" s="6" t="n"/>
      <c r="D205" s="6" t="n"/>
      <c r="E205" s="6" t="n"/>
      <c r="F205" s="6" t="n"/>
      <c r="G205" s="6" t="n"/>
      <c r="H205" s="6" t="n"/>
      <c r="I205" s="7" t="n"/>
      <c r="J205" s="6" t="n"/>
    </row>
    <row r="206" ht="19.5" customHeight="1" s="146">
      <c r="A206" s="10" t="n"/>
      <c r="B206" s="10" t="n"/>
      <c r="C206" s="10" t="n"/>
      <c r="D206" s="10" t="n"/>
      <c r="E206" s="10" t="n"/>
      <c r="F206" s="10" t="n"/>
      <c r="G206" s="10" t="n"/>
      <c r="H206" s="10" t="n"/>
      <c r="I206" s="11" t="n"/>
      <c r="J206" s="10" t="n"/>
    </row>
    <row r="207" ht="19.5" customHeight="1" s="146">
      <c r="A207" s="6" t="n"/>
      <c r="B207" s="6" t="n"/>
      <c r="C207" s="6" t="n"/>
      <c r="D207" s="6" t="n"/>
      <c r="E207" s="6" t="n"/>
      <c r="F207" s="6" t="n"/>
      <c r="G207" s="6" t="n"/>
      <c r="H207" s="6" t="n"/>
      <c r="I207" s="7" t="n"/>
      <c r="J207" s="6" t="n"/>
    </row>
    <row r="208" ht="19.5" customHeight="1" s="146">
      <c r="A208" s="10" t="n"/>
      <c r="B208" s="10" t="n"/>
      <c r="C208" s="10" t="n"/>
      <c r="D208" s="10" t="n"/>
      <c r="E208" s="10" t="n"/>
      <c r="F208" s="10" t="n"/>
      <c r="G208" s="10" t="n"/>
      <c r="H208" s="10" t="n"/>
      <c r="I208" s="11" t="n"/>
      <c r="J208" s="10" t="n"/>
    </row>
    <row r="209" ht="19.5" customHeight="1" s="146">
      <c r="A209" s="6" t="n"/>
      <c r="B209" s="6" t="n"/>
      <c r="C209" s="6" t="n"/>
      <c r="D209" s="6" t="n"/>
      <c r="E209" s="6" t="n"/>
      <c r="F209" s="6" t="n"/>
      <c r="G209" s="6" t="n"/>
      <c r="H209" s="6" t="n"/>
      <c r="I209" s="7" t="n"/>
      <c r="J209" s="6" t="n"/>
    </row>
    <row r="210" ht="19.5" customHeight="1" s="146">
      <c r="A210" s="10" t="n"/>
      <c r="B210" s="10" t="n"/>
      <c r="C210" s="10" t="n"/>
      <c r="D210" s="10" t="n"/>
      <c r="E210" s="10" t="n"/>
      <c r="F210" s="10" t="n"/>
      <c r="G210" s="10" t="n"/>
      <c r="H210" s="10" t="n"/>
      <c r="I210" s="11" t="n"/>
      <c r="J210" s="10" t="n"/>
    </row>
    <row r="211" ht="19.5" customHeight="1" s="146">
      <c r="A211" s="6" t="n"/>
      <c r="B211" s="6" t="n"/>
      <c r="C211" s="6" t="n"/>
      <c r="D211" s="6" t="n"/>
      <c r="E211" s="6" t="n"/>
      <c r="F211" s="6" t="n"/>
      <c r="G211" s="6" t="n"/>
      <c r="H211" s="6" t="n"/>
      <c r="I211" s="7" t="n"/>
      <c r="J211" s="6" t="n"/>
    </row>
    <row r="212" ht="19.5" customHeight="1" s="146">
      <c r="A212" s="10" t="n"/>
      <c r="B212" s="10" t="n"/>
      <c r="C212" s="10" t="n"/>
      <c r="D212" s="10" t="n"/>
      <c r="E212" s="10" t="n"/>
      <c r="F212" s="10" t="n"/>
      <c r="G212" s="10" t="n"/>
      <c r="H212" s="10" t="n"/>
      <c r="I212" s="11" t="n"/>
      <c r="J212" s="10" t="n"/>
    </row>
    <row r="213" ht="19.5" customHeight="1" s="146">
      <c r="A213" s="6" t="n"/>
      <c r="B213" s="6" t="n"/>
      <c r="C213" s="6" t="n"/>
      <c r="D213" s="6" t="n"/>
      <c r="E213" s="6" t="n"/>
      <c r="F213" s="6" t="n"/>
      <c r="G213" s="6" t="n"/>
      <c r="H213" s="6" t="n"/>
      <c r="I213" s="7" t="n"/>
      <c r="J213" s="6" t="n"/>
    </row>
    <row r="214" ht="19.5" customHeight="1" s="146">
      <c r="A214" s="10" t="n"/>
      <c r="B214" s="10" t="n"/>
      <c r="C214" s="10" t="n"/>
      <c r="D214" s="10" t="n"/>
      <c r="E214" s="10" t="n"/>
      <c r="F214" s="10" t="n"/>
      <c r="G214" s="10" t="n"/>
      <c r="H214" s="10" t="n"/>
      <c r="I214" s="11" t="n"/>
      <c r="J214" s="10" t="n"/>
    </row>
    <row r="215" ht="19.5" customHeight="1" s="146">
      <c r="A215" s="6" t="n"/>
      <c r="B215" s="6" t="n"/>
      <c r="C215" s="6" t="n"/>
      <c r="D215" s="6" t="n"/>
      <c r="E215" s="6" t="n"/>
      <c r="F215" s="6" t="n"/>
      <c r="G215" s="6" t="n"/>
      <c r="H215" s="6" t="n"/>
      <c r="I215" s="7" t="n"/>
      <c r="J215" s="6" t="n"/>
    </row>
    <row r="216" ht="19.5" customHeight="1" s="146">
      <c r="A216" s="10" t="n"/>
      <c r="B216" s="10" t="n"/>
      <c r="C216" s="10" t="n"/>
      <c r="D216" s="10" t="n"/>
      <c r="E216" s="10" t="n"/>
      <c r="F216" s="10" t="n"/>
      <c r="G216" s="10" t="n"/>
      <c r="H216" s="10" t="n"/>
      <c r="I216" s="11" t="n"/>
      <c r="J216" s="10" t="n"/>
    </row>
    <row r="217" ht="19.5" customHeight="1" s="146">
      <c r="A217" s="6" t="n"/>
      <c r="B217" s="6" t="n"/>
      <c r="C217" s="6" t="n"/>
      <c r="D217" s="6" t="n"/>
      <c r="E217" s="6" t="n"/>
      <c r="F217" s="6" t="n"/>
      <c r="G217" s="6" t="n"/>
      <c r="H217" s="6" t="n"/>
      <c r="I217" s="7" t="n"/>
      <c r="J217" s="6" t="n"/>
    </row>
    <row r="218" ht="19.5" customHeight="1" s="146">
      <c r="A218" s="10" t="n"/>
      <c r="B218" s="10" t="n"/>
      <c r="C218" s="10" t="n"/>
      <c r="D218" s="10" t="n"/>
      <c r="E218" s="10" t="n"/>
      <c r="F218" s="10" t="n"/>
      <c r="G218" s="10" t="n"/>
      <c r="H218" s="10" t="n"/>
      <c r="I218" s="11" t="n"/>
      <c r="J218" s="10" t="n"/>
    </row>
    <row r="219" ht="19.5" customHeight="1" s="146">
      <c r="A219" s="6" t="n"/>
      <c r="B219" s="6" t="n"/>
      <c r="C219" s="6" t="n"/>
      <c r="D219" s="6" t="n"/>
      <c r="E219" s="6" t="n"/>
      <c r="F219" s="6" t="n"/>
      <c r="G219" s="6" t="n"/>
      <c r="H219" s="6" t="n"/>
      <c r="I219" s="7" t="n"/>
      <c r="J219" s="6" t="n"/>
    </row>
    <row r="220" ht="19.5" customHeight="1" s="146">
      <c r="A220" s="10" t="n"/>
      <c r="B220" s="10" t="n"/>
      <c r="C220" s="10" t="n"/>
      <c r="D220" s="10" t="n"/>
      <c r="E220" s="10" t="n"/>
      <c r="F220" s="10" t="n"/>
      <c r="G220" s="10" t="n"/>
      <c r="H220" s="10" t="n"/>
      <c r="I220" s="11" t="n"/>
      <c r="J220" s="10" t="n"/>
    </row>
    <row r="221" ht="19.5" customHeight="1" s="146">
      <c r="A221" s="6" t="n"/>
      <c r="B221" s="6" t="n"/>
      <c r="C221" s="6" t="n"/>
      <c r="D221" s="6" t="n"/>
      <c r="E221" s="6" t="n"/>
      <c r="F221" s="6" t="n"/>
      <c r="G221" s="6" t="n"/>
      <c r="H221" s="6" t="n"/>
      <c r="I221" s="7" t="n"/>
      <c r="J221" s="6" t="n"/>
    </row>
    <row r="222" ht="19.5" customHeight="1" s="146">
      <c r="A222" s="10" t="n"/>
      <c r="B222" s="10" t="n"/>
      <c r="C222" s="10" t="n"/>
      <c r="D222" s="10" t="n"/>
      <c r="E222" s="10" t="n"/>
      <c r="F222" s="10" t="n"/>
      <c r="G222" s="10" t="n"/>
      <c r="H222" s="10" t="n"/>
      <c r="I222" s="11" t="n"/>
      <c r="J222" s="10" t="n"/>
    </row>
    <row r="223" ht="19.5" customHeight="1" s="146">
      <c r="A223" s="6" t="n"/>
      <c r="B223" s="6" t="n"/>
      <c r="C223" s="6" t="n"/>
      <c r="D223" s="6" t="n"/>
      <c r="E223" s="6" t="n"/>
      <c r="F223" s="6" t="n"/>
      <c r="G223" s="6" t="n"/>
      <c r="H223" s="6" t="n"/>
      <c r="I223" s="7" t="n"/>
      <c r="J223" s="6" t="n"/>
    </row>
    <row r="224" ht="19.5" customHeight="1" s="146">
      <c r="A224" s="10" t="n"/>
      <c r="B224" s="10" t="n"/>
      <c r="C224" s="10" t="n"/>
      <c r="D224" s="10" t="n"/>
      <c r="E224" s="10" t="n"/>
      <c r="F224" s="10" t="n"/>
      <c r="G224" s="10" t="n"/>
      <c r="H224" s="10" t="n"/>
      <c r="I224" s="11" t="n"/>
      <c r="J224" s="10" t="n"/>
    </row>
    <row r="225" ht="19.5" customHeight="1" s="146">
      <c r="A225" s="6" t="n"/>
      <c r="B225" s="6" t="n"/>
      <c r="C225" s="6" t="n"/>
      <c r="D225" s="6" t="n"/>
      <c r="E225" s="6" t="n"/>
      <c r="F225" s="6" t="n"/>
      <c r="G225" s="6" t="n"/>
      <c r="H225" s="6" t="n"/>
      <c r="I225" s="7" t="n"/>
      <c r="J225" s="6" t="n"/>
    </row>
    <row r="226" ht="19.5" customHeight="1" s="146">
      <c r="A226" s="10" t="n"/>
      <c r="B226" s="10" t="n"/>
      <c r="C226" s="10" t="n"/>
      <c r="D226" s="10" t="n"/>
      <c r="E226" s="10" t="n"/>
      <c r="F226" s="10" t="n"/>
      <c r="G226" s="10" t="n"/>
      <c r="H226" s="10" t="n"/>
      <c r="I226" s="11" t="n"/>
      <c r="J226" s="10" t="n"/>
    </row>
    <row r="227" ht="19.5" customHeight="1" s="146">
      <c r="A227" s="6" t="n"/>
      <c r="B227" s="6" t="n"/>
      <c r="C227" s="6" t="n"/>
      <c r="D227" s="6" t="n"/>
      <c r="E227" s="6" t="n"/>
      <c r="F227" s="6" t="n"/>
      <c r="G227" s="6" t="n"/>
      <c r="H227" s="6" t="n"/>
      <c r="I227" s="7" t="n"/>
      <c r="J227" s="6" t="n"/>
    </row>
    <row r="228" ht="19.5" customHeight="1" s="146">
      <c r="A228" s="10" t="n"/>
      <c r="B228" s="10" t="n"/>
      <c r="C228" s="10" t="n"/>
      <c r="D228" s="10" t="n"/>
      <c r="E228" s="10" t="n"/>
      <c r="F228" s="10" t="n"/>
      <c r="G228" s="10" t="n"/>
      <c r="H228" s="10" t="n"/>
      <c r="I228" s="11" t="n"/>
      <c r="J228" s="10" t="n"/>
    </row>
    <row r="229" ht="19.5" customHeight="1" s="146">
      <c r="A229" s="6" t="n"/>
      <c r="B229" s="6" t="n"/>
      <c r="C229" s="6" t="n"/>
      <c r="D229" s="6" t="n"/>
      <c r="E229" s="6" t="n"/>
      <c r="F229" s="6" t="n"/>
      <c r="G229" s="6" t="n"/>
      <c r="H229" s="6" t="n"/>
      <c r="I229" s="7" t="n"/>
      <c r="J229" s="6" t="n"/>
    </row>
    <row r="230" ht="19.5" customHeight="1" s="146">
      <c r="A230" s="10" t="n"/>
      <c r="B230" s="10" t="n"/>
      <c r="C230" s="10" t="n"/>
      <c r="D230" s="10" t="n"/>
      <c r="E230" s="10" t="n"/>
      <c r="F230" s="10" t="n"/>
      <c r="G230" s="10" t="n"/>
      <c r="H230" s="10" t="n"/>
      <c r="I230" s="11" t="n"/>
      <c r="J230" s="10" t="n"/>
    </row>
    <row r="231" ht="19.5" customHeight="1" s="146">
      <c r="A231" s="6" t="n"/>
      <c r="B231" s="6" t="n"/>
      <c r="C231" s="6" t="n"/>
      <c r="D231" s="6" t="n"/>
      <c r="E231" s="6" t="n"/>
      <c r="F231" s="6" t="n"/>
      <c r="G231" s="6" t="n"/>
      <c r="H231" s="6" t="n"/>
      <c r="I231" s="7" t="n"/>
      <c r="J231" s="6" t="n"/>
    </row>
    <row r="232" ht="19.5" customHeight="1" s="146">
      <c r="A232" s="10" t="n"/>
      <c r="B232" s="10" t="n"/>
      <c r="C232" s="10" t="n"/>
      <c r="D232" s="10" t="n"/>
      <c r="E232" s="10" t="n"/>
      <c r="F232" s="10" t="n"/>
      <c r="G232" s="10" t="n"/>
      <c r="H232" s="10" t="n"/>
      <c r="I232" s="11" t="n"/>
      <c r="J232" s="10" t="n"/>
    </row>
    <row r="233" ht="19.5" customHeight="1" s="146">
      <c r="A233" s="6" t="n"/>
      <c r="B233" s="6" t="n"/>
      <c r="C233" s="6" t="n"/>
      <c r="D233" s="6" t="n"/>
      <c r="E233" s="6" t="n"/>
      <c r="F233" s="6" t="n"/>
      <c r="G233" s="6" t="n"/>
      <c r="H233" s="6" t="n"/>
      <c r="I233" s="7" t="n"/>
      <c r="J233" s="6" t="n"/>
    </row>
    <row r="234" ht="19.5" customHeight="1" s="146">
      <c r="A234" s="10" t="n"/>
      <c r="B234" s="10" t="n"/>
      <c r="C234" s="10" t="n"/>
      <c r="D234" s="10" t="n"/>
      <c r="E234" s="10" t="n"/>
      <c r="F234" s="10" t="n"/>
      <c r="G234" s="10" t="n"/>
      <c r="H234" s="10" t="n"/>
      <c r="I234" s="11" t="n"/>
      <c r="J234" s="10" t="n"/>
    </row>
    <row r="235" ht="19.5" customHeight="1" s="146">
      <c r="A235" s="6" t="n"/>
      <c r="B235" s="6" t="n"/>
      <c r="C235" s="6" t="n"/>
      <c r="D235" s="6" t="n"/>
      <c r="E235" s="6" t="n"/>
      <c r="F235" s="6" t="n"/>
      <c r="G235" s="6" t="n"/>
      <c r="H235" s="6" t="n"/>
      <c r="I235" s="7" t="n"/>
      <c r="J235" s="6" t="n"/>
    </row>
    <row r="236" ht="19.5" customHeight="1" s="146">
      <c r="A236" s="10" t="n"/>
      <c r="B236" s="10" t="n"/>
      <c r="C236" s="10" t="n"/>
      <c r="D236" s="10" t="n"/>
      <c r="E236" s="10" t="n"/>
      <c r="F236" s="10" t="n"/>
      <c r="G236" s="10" t="n"/>
      <c r="H236" s="10" t="n"/>
      <c r="I236" s="11" t="n"/>
      <c r="J236" s="10" t="n"/>
    </row>
    <row r="237" ht="19.5" customHeight="1" s="146">
      <c r="A237" s="6" t="n"/>
      <c r="B237" s="6" t="n"/>
      <c r="C237" s="6" t="n"/>
      <c r="D237" s="6" t="n"/>
      <c r="E237" s="6" t="n"/>
      <c r="F237" s="6" t="n"/>
      <c r="G237" s="6" t="n"/>
      <c r="H237" s="6" t="n"/>
      <c r="I237" s="7" t="n"/>
      <c r="J237" s="6" t="n"/>
    </row>
    <row r="238" ht="19.5" customHeight="1" s="146">
      <c r="A238" s="10" t="n"/>
      <c r="B238" s="10" t="n"/>
      <c r="C238" s="10" t="n"/>
      <c r="D238" s="10" t="n"/>
      <c r="E238" s="10" t="n"/>
      <c r="F238" s="10" t="n"/>
      <c r="G238" s="10" t="n"/>
      <c r="H238" s="10" t="n"/>
      <c r="I238" s="11" t="n"/>
      <c r="J238" s="10" t="n"/>
    </row>
    <row r="239" ht="19.5" customHeight="1" s="146">
      <c r="A239" s="6" t="n"/>
      <c r="B239" s="6" t="n"/>
      <c r="C239" s="6" t="n"/>
      <c r="D239" s="6" t="n"/>
      <c r="E239" s="6" t="n"/>
      <c r="F239" s="6" t="n"/>
      <c r="G239" s="6" t="n"/>
      <c r="H239" s="6" t="n"/>
      <c r="I239" s="7" t="n"/>
      <c r="J239" s="6" t="n"/>
    </row>
    <row r="240" ht="19.5" customHeight="1" s="146">
      <c r="A240" s="10" t="n"/>
      <c r="B240" s="10" t="n"/>
      <c r="C240" s="10" t="n"/>
      <c r="D240" s="10" t="n"/>
      <c r="E240" s="10" t="n"/>
      <c r="F240" s="10" t="n"/>
      <c r="G240" s="10" t="n"/>
      <c r="H240" s="10" t="n"/>
      <c r="I240" s="11" t="n"/>
      <c r="J240" s="10" t="n"/>
    </row>
    <row r="241" ht="19.5" customHeight="1" s="146">
      <c r="A241" s="6" t="n"/>
      <c r="B241" s="6" t="n"/>
      <c r="C241" s="6" t="n"/>
      <c r="D241" s="6" t="n"/>
      <c r="E241" s="6" t="n"/>
      <c r="F241" s="6" t="n"/>
      <c r="G241" s="6" t="n"/>
      <c r="H241" s="6" t="n"/>
      <c r="I241" s="7" t="n"/>
      <c r="J241" s="6" t="n"/>
    </row>
    <row r="242" ht="19.5" customHeight="1" s="146">
      <c r="A242" s="10" t="n"/>
      <c r="B242" s="10" t="n"/>
      <c r="C242" s="10" t="n"/>
      <c r="D242" s="10" t="n"/>
      <c r="E242" s="10" t="n"/>
      <c r="F242" s="10" t="n"/>
      <c r="G242" s="10" t="n"/>
      <c r="H242" s="10" t="n"/>
      <c r="I242" s="11" t="n"/>
      <c r="J242" s="10" t="n"/>
    </row>
    <row r="243" ht="19.5" customHeight="1" s="146">
      <c r="A243" s="6" t="n"/>
      <c r="B243" s="6" t="n"/>
      <c r="C243" s="6" t="n"/>
      <c r="D243" s="6" t="n"/>
      <c r="E243" s="6" t="n"/>
      <c r="F243" s="6" t="n"/>
      <c r="G243" s="6" t="n"/>
      <c r="H243" s="6" t="n"/>
      <c r="I243" s="7" t="n"/>
      <c r="J243" s="6" t="n"/>
    </row>
    <row r="244" ht="19.5" customHeight="1" s="146">
      <c r="A244" s="10" t="n"/>
      <c r="B244" s="10" t="n"/>
      <c r="C244" s="10" t="n"/>
      <c r="D244" s="10" t="n"/>
      <c r="E244" s="10" t="n"/>
      <c r="F244" s="10" t="n"/>
      <c r="G244" s="10" t="n"/>
      <c r="H244" s="10" t="n"/>
      <c r="I244" s="11" t="n"/>
      <c r="J244" s="10" t="n"/>
    </row>
    <row r="245" ht="19.5" customHeight="1" s="146">
      <c r="A245" s="6" t="n"/>
      <c r="B245" s="6" t="n"/>
      <c r="C245" s="6" t="n"/>
      <c r="D245" s="6" t="n"/>
      <c r="E245" s="6" t="n"/>
      <c r="F245" s="6" t="n"/>
      <c r="G245" s="6" t="n"/>
      <c r="H245" s="6" t="n"/>
      <c r="I245" s="7" t="n"/>
      <c r="J245" s="6" t="n"/>
    </row>
    <row r="246" ht="19.5" customHeight="1" s="146">
      <c r="A246" s="10" t="n"/>
      <c r="B246" s="10" t="n"/>
      <c r="C246" s="10" t="n"/>
      <c r="D246" s="10" t="n"/>
      <c r="E246" s="10" t="n"/>
      <c r="F246" s="10" t="n"/>
      <c r="G246" s="10" t="n"/>
      <c r="H246" s="10" t="n"/>
      <c r="I246" s="11" t="n"/>
      <c r="J246" s="10" t="n"/>
    </row>
    <row r="247" ht="19.5" customHeight="1" s="146">
      <c r="A247" s="6" t="n"/>
      <c r="B247" s="6" t="n"/>
      <c r="C247" s="6" t="n"/>
      <c r="D247" s="6" t="n"/>
      <c r="E247" s="6" t="n"/>
      <c r="F247" s="6" t="n"/>
      <c r="G247" s="6" t="n"/>
      <c r="H247" s="6" t="n"/>
      <c r="I247" s="7" t="n"/>
      <c r="J247" s="6" t="n"/>
    </row>
    <row r="248" ht="19.5" customHeight="1" s="146">
      <c r="A248" s="10" t="n"/>
      <c r="B248" s="10" t="n"/>
      <c r="C248" s="10" t="n"/>
      <c r="D248" s="10" t="n"/>
      <c r="E248" s="10" t="n"/>
      <c r="F248" s="10" t="n"/>
      <c r="G248" s="10" t="n"/>
      <c r="H248" s="10" t="n"/>
      <c r="I248" s="11" t="n"/>
      <c r="J248" s="10" t="n"/>
    </row>
    <row r="249" ht="19.5" customHeight="1" s="146">
      <c r="A249" s="6" t="n"/>
      <c r="B249" s="6" t="n"/>
      <c r="C249" s="6" t="n"/>
      <c r="D249" s="6" t="n"/>
      <c r="E249" s="6" t="n"/>
      <c r="F249" s="6" t="n"/>
      <c r="G249" s="6" t="n"/>
      <c r="H249" s="6" t="n"/>
      <c r="I249" s="7" t="n"/>
      <c r="J249" s="6" t="n"/>
    </row>
    <row r="250" ht="19.5" customHeight="1" s="146">
      <c r="A250" s="10" t="n"/>
      <c r="B250" s="10" t="n"/>
      <c r="C250" s="10" t="n"/>
      <c r="D250" s="10" t="n"/>
      <c r="E250" s="10" t="n"/>
      <c r="F250" s="10" t="n"/>
      <c r="G250" s="10" t="n"/>
      <c r="H250" s="10" t="n"/>
      <c r="I250" s="11" t="n"/>
      <c r="J250" s="10" t="n"/>
    </row>
    <row r="251" ht="19.5" customHeight="1" s="146">
      <c r="A251" s="6" t="n"/>
      <c r="B251" s="6" t="n"/>
      <c r="C251" s="6" t="n"/>
      <c r="D251" s="6" t="n"/>
      <c r="E251" s="6" t="n"/>
      <c r="F251" s="6" t="n"/>
      <c r="G251" s="6" t="n"/>
      <c r="H251" s="6" t="n"/>
      <c r="I251" s="7" t="n"/>
      <c r="J251" s="6" t="n"/>
    </row>
    <row r="252" ht="19.5" customHeight="1" s="146">
      <c r="A252" s="10" t="n"/>
      <c r="B252" s="10" t="n"/>
      <c r="C252" s="10" t="n"/>
      <c r="D252" s="10" t="n"/>
      <c r="E252" s="10" t="n"/>
      <c r="F252" s="10" t="n"/>
      <c r="G252" s="10" t="n"/>
      <c r="H252" s="10" t="n"/>
      <c r="I252" s="11" t="n"/>
      <c r="J252" s="10" t="n"/>
    </row>
    <row r="253" ht="19.5" customHeight="1" s="146">
      <c r="A253" s="6" t="n"/>
      <c r="B253" s="6" t="n"/>
      <c r="C253" s="6" t="n"/>
      <c r="D253" s="6" t="n"/>
      <c r="E253" s="6" t="n"/>
      <c r="F253" s="6" t="n"/>
      <c r="G253" s="6" t="n"/>
      <c r="H253" s="6" t="n"/>
      <c r="I253" s="7" t="n"/>
      <c r="J253" s="6" t="n"/>
    </row>
    <row r="254" ht="19.5" customHeight="1" s="146">
      <c r="A254" s="10" t="n"/>
      <c r="B254" s="10" t="n"/>
      <c r="C254" s="10" t="n"/>
      <c r="D254" s="10" t="n"/>
      <c r="E254" s="10" t="n"/>
      <c r="F254" s="10" t="n"/>
      <c r="G254" s="10" t="n"/>
      <c r="H254" s="10" t="n"/>
      <c r="I254" s="11" t="n"/>
      <c r="J254" s="10" t="n"/>
    </row>
    <row r="255" ht="19.5" customHeight="1" s="146">
      <c r="A255" s="6" t="n"/>
      <c r="B255" s="6" t="n"/>
      <c r="C255" s="6" t="n"/>
      <c r="D255" s="6" t="n"/>
      <c r="E255" s="6" t="n"/>
      <c r="F255" s="6" t="n"/>
      <c r="G255" s="6" t="n"/>
      <c r="H255" s="6" t="n"/>
      <c r="I255" s="7" t="n"/>
      <c r="J255" s="6" t="n"/>
    </row>
    <row r="256" ht="19.5" customHeight="1" s="146">
      <c r="A256" s="10" t="n"/>
      <c r="B256" s="10" t="n"/>
      <c r="C256" s="10" t="n"/>
      <c r="D256" s="10" t="n"/>
      <c r="E256" s="10" t="n"/>
      <c r="F256" s="10" t="n"/>
      <c r="G256" s="10" t="n"/>
      <c r="H256" s="10" t="n"/>
      <c r="I256" s="11" t="n"/>
      <c r="J256" s="10" t="n"/>
    </row>
    <row r="257" ht="19.5" customHeight="1" s="146">
      <c r="A257" s="6" t="n"/>
      <c r="B257" s="6" t="n"/>
      <c r="C257" s="6" t="n"/>
      <c r="D257" s="6" t="n"/>
      <c r="E257" s="6" t="n"/>
      <c r="F257" s="6" t="n"/>
      <c r="G257" s="6" t="n"/>
      <c r="H257" s="6" t="n"/>
      <c r="I257" s="7" t="n"/>
      <c r="J257" s="6" t="n"/>
    </row>
    <row r="258" ht="19.5" customHeight="1" s="146">
      <c r="A258" s="10" t="n"/>
      <c r="B258" s="10" t="n"/>
      <c r="C258" s="10" t="n"/>
      <c r="D258" s="10" t="n"/>
      <c r="E258" s="10" t="n"/>
      <c r="F258" s="10" t="n"/>
      <c r="G258" s="10" t="n"/>
      <c r="H258" s="10" t="n"/>
      <c r="I258" s="11" t="n"/>
      <c r="J258" s="10" t="n"/>
    </row>
    <row r="259" ht="19.5" customHeight="1" s="146">
      <c r="A259" s="6" t="n"/>
      <c r="B259" s="6" t="n"/>
      <c r="C259" s="6" t="n"/>
      <c r="D259" s="6" t="n"/>
      <c r="E259" s="6" t="n"/>
      <c r="F259" s="6" t="n"/>
      <c r="G259" s="6" t="n"/>
      <c r="H259" s="6" t="n"/>
      <c r="I259" s="7" t="n"/>
      <c r="J259" s="6" t="n"/>
    </row>
    <row r="260" ht="19.5" customHeight="1" s="146">
      <c r="A260" s="10" t="n"/>
      <c r="B260" s="10" t="n"/>
      <c r="C260" s="10" t="n"/>
      <c r="D260" s="10" t="n"/>
      <c r="E260" s="10" t="n"/>
      <c r="F260" s="10" t="n"/>
      <c r="G260" s="10" t="n"/>
      <c r="H260" s="10" t="n"/>
      <c r="I260" s="11" t="n"/>
      <c r="J260" s="10" t="n"/>
    </row>
    <row r="261" ht="19.5" customHeight="1" s="146">
      <c r="A261" s="6" t="n"/>
      <c r="B261" s="6" t="n"/>
      <c r="C261" s="6" t="n"/>
      <c r="D261" s="6" t="n"/>
      <c r="E261" s="6" t="n"/>
      <c r="F261" s="6" t="n"/>
      <c r="G261" s="6" t="n"/>
      <c r="H261" s="6" t="n"/>
      <c r="I261" s="7" t="n"/>
      <c r="J261" s="6" t="n"/>
    </row>
    <row r="262" ht="19.5" customHeight="1" s="146">
      <c r="A262" s="10" t="n"/>
      <c r="B262" s="10" t="n"/>
      <c r="C262" s="10" t="n"/>
      <c r="D262" s="10" t="n"/>
      <c r="E262" s="10" t="n"/>
      <c r="F262" s="10" t="n"/>
      <c r="G262" s="10" t="n"/>
      <c r="H262" s="10" t="n"/>
      <c r="I262" s="11" t="n"/>
      <c r="J262" s="10" t="n"/>
    </row>
    <row r="263" ht="19.5" customHeight="1" s="146">
      <c r="A263" s="6" t="n"/>
      <c r="B263" s="6" t="n"/>
      <c r="C263" s="6" t="n"/>
      <c r="D263" s="6" t="n"/>
      <c r="E263" s="6" t="n"/>
      <c r="F263" s="6" t="n"/>
      <c r="G263" s="6" t="n"/>
      <c r="H263" s="6" t="n"/>
      <c r="I263" s="7" t="n"/>
      <c r="J263" s="6" t="n"/>
    </row>
    <row r="264" ht="19.5" customHeight="1" s="146">
      <c r="A264" s="10" t="n"/>
      <c r="B264" s="10" t="n"/>
      <c r="C264" s="10" t="n"/>
      <c r="D264" s="10" t="n"/>
      <c r="E264" s="10" t="n"/>
      <c r="F264" s="10" t="n"/>
      <c r="G264" s="10" t="n"/>
      <c r="H264" s="10" t="n"/>
      <c r="I264" s="11" t="n"/>
      <c r="J264" s="10" t="n"/>
    </row>
    <row r="265" ht="19.5" customHeight="1" s="146">
      <c r="A265" s="6" t="n"/>
      <c r="B265" s="6" t="n"/>
      <c r="C265" s="6" t="n"/>
      <c r="D265" s="6" t="n"/>
      <c r="E265" s="6" t="n"/>
      <c r="F265" s="6" t="n"/>
      <c r="G265" s="6" t="n"/>
      <c r="H265" s="6" t="n"/>
      <c r="I265" s="7" t="n"/>
      <c r="J265" s="6" t="n"/>
    </row>
    <row r="266" ht="19.5" customHeight="1" s="146">
      <c r="A266" s="10" t="n"/>
      <c r="B266" s="10" t="n"/>
      <c r="C266" s="10" t="n"/>
      <c r="D266" s="10" t="n"/>
      <c r="E266" s="10" t="n"/>
      <c r="F266" s="10" t="n"/>
      <c r="G266" s="10" t="n"/>
      <c r="H266" s="10" t="n"/>
      <c r="I266" s="11" t="n"/>
      <c r="J266" s="10" t="n"/>
    </row>
    <row r="267" ht="19.5" customHeight="1" s="146">
      <c r="A267" s="6" t="n"/>
      <c r="B267" s="6" t="n"/>
      <c r="C267" s="6" t="n"/>
      <c r="D267" s="6" t="n"/>
      <c r="E267" s="6" t="n"/>
      <c r="F267" s="6" t="n"/>
      <c r="G267" s="6" t="n"/>
      <c r="H267" s="6" t="n"/>
      <c r="I267" s="7" t="n"/>
      <c r="J267" s="6" t="n"/>
    </row>
    <row r="268" ht="19.5" customHeight="1" s="146">
      <c r="A268" s="10" t="n"/>
      <c r="B268" s="10" t="n"/>
      <c r="C268" s="10" t="n"/>
      <c r="D268" s="10" t="n"/>
      <c r="E268" s="10" t="n"/>
      <c r="F268" s="10" t="n"/>
      <c r="G268" s="10" t="n"/>
      <c r="H268" s="10" t="n"/>
      <c r="I268" s="11" t="n"/>
      <c r="J268" s="10" t="n"/>
    </row>
    <row r="269" ht="19.5" customHeight="1" s="146">
      <c r="A269" s="6" t="n"/>
      <c r="B269" s="6" t="n"/>
      <c r="C269" s="6" t="n"/>
      <c r="D269" s="6" t="n"/>
      <c r="E269" s="6" t="n"/>
      <c r="F269" s="6" t="n"/>
      <c r="G269" s="6" t="n"/>
      <c r="H269" s="6" t="n"/>
      <c r="I269" s="7" t="n"/>
      <c r="J269" s="6" t="n"/>
    </row>
    <row r="270" ht="19.5" customHeight="1" s="146">
      <c r="A270" s="10" t="n"/>
      <c r="B270" s="10" t="n"/>
      <c r="C270" s="10" t="n"/>
      <c r="D270" s="10" t="n"/>
      <c r="E270" s="10" t="n"/>
      <c r="F270" s="10" t="n"/>
      <c r="G270" s="10" t="n"/>
      <c r="H270" s="10" t="n"/>
      <c r="I270" s="11" t="n"/>
      <c r="J270" s="10" t="n"/>
    </row>
    <row r="271" ht="19.5" customHeight="1" s="146">
      <c r="A271" s="6" t="n"/>
      <c r="B271" s="6" t="n"/>
      <c r="C271" s="6" t="n"/>
      <c r="D271" s="6" t="n"/>
      <c r="E271" s="6" t="n"/>
      <c r="F271" s="6" t="n"/>
      <c r="G271" s="6" t="n"/>
      <c r="H271" s="6" t="n"/>
      <c r="I271" s="7" t="n"/>
      <c r="J271" s="6" t="n"/>
    </row>
    <row r="272" ht="19.5" customHeight="1" s="146">
      <c r="A272" s="10" t="n"/>
      <c r="B272" s="10" t="n"/>
      <c r="C272" s="10" t="n"/>
      <c r="D272" s="10" t="n"/>
      <c r="E272" s="10" t="n"/>
      <c r="F272" s="10" t="n"/>
      <c r="G272" s="10" t="n"/>
      <c r="H272" s="10" t="n"/>
      <c r="I272" s="11" t="n"/>
      <c r="J272" s="10" t="n"/>
    </row>
    <row r="273" ht="19.5" customHeight="1" s="146">
      <c r="A273" s="6" t="n"/>
      <c r="B273" s="6" t="n"/>
      <c r="C273" s="6" t="n"/>
      <c r="D273" s="6" t="n"/>
      <c r="E273" s="6" t="n"/>
      <c r="F273" s="6" t="n"/>
      <c r="G273" s="6" t="n"/>
      <c r="H273" s="6" t="n"/>
      <c r="I273" s="7" t="n"/>
      <c r="J273" s="6" t="n"/>
    </row>
    <row r="274" ht="19.5" customHeight="1" s="146">
      <c r="A274" s="10" t="n"/>
      <c r="B274" s="10" t="n"/>
      <c r="C274" s="10" t="n"/>
      <c r="D274" s="10" t="n"/>
      <c r="E274" s="10" t="n"/>
      <c r="F274" s="10" t="n"/>
      <c r="G274" s="10" t="n"/>
      <c r="H274" s="10" t="n"/>
      <c r="I274" s="11" t="n"/>
      <c r="J274" s="10" t="n"/>
    </row>
    <row r="275" ht="19.5" customHeight="1" s="146">
      <c r="A275" s="6" t="n"/>
      <c r="B275" s="6" t="n"/>
      <c r="C275" s="6" t="n"/>
      <c r="D275" s="6" t="n"/>
      <c r="E275" s="6" t="n"/>
      <c r="F275" s="6" t="n"/>
      <c r="G275" s="6" t="n"/>
      <c r="H275" s="6" t="n"/>
      <c r="I275" s="7" t="n"/>
      <c r="J275" s="6" t="n"/>
    </row>
    <row r="276" ht="19.5" customHeight="1" s="146">
      <c r="A276" s="10" t="n"/>
      <c r="B276" s="10" t="n"/>
      <c r="C276" s="10" t="n"/>
      <c r="D276" s="10" t="n"/>
      <c r="E276" s="10" t="n"/>
      <c r="F276" s="10" t="n"/>
      <c r="G276" s="10" t="n"/>
      <c r="H276" s="10" t="n"/>
      <c r="I276" s="11" t="n"/>
      <c r="J276" s="10" t="n"/>
    </row>
    <row r="277" ht="19.5" customHeight="1" s="146">
      <c r="A277" s="6" t="n"/>
      <c r="B277" s="6" t="n"/>
      <c r="C277" s="6" t="n"/>
      <c r="D277" s="6" t="n"/>
      <c r="E277" s="6" t="n"/>
      <c r="F277" s="6" t="n"/>
      <c r="G277" s="6" t="n"/>
      <c r="H277" s="6" t="n"/>
      <c r="I277" s="7" t="n"/>
      <c r="J277" s="6" t="n"/>
    </row>
    <row r="278" ht="19.5" customHeight="1" s="146">
      <c r="A278" s="10" t="n"/>
      <c r="B278" s="10" t="n"/>
      <c r="C278" s="10" t="n"/>
      <c r="D278" s="10" t="n"/>
      <c r="E278" s="10" t="n"/>
      <c r="F278" s="10" t="n"/>
      <c r="G278" s="10" t="n"/>
      <c r="H278" s="10" t="n"/>
      <c r="I278" s="11" t="n"/>
      <c r="J278" s="10" t="n"/>
    </row>
    <row r="279" ht="19.5" customHeight="1" s="146">
      <c r="A279" s="6" t="n"/>
      <c r="B279" s="6" t="n"/>
      <c r="C279" s="6" t="n"/>
      <c r="D279" s="6" t="n"/>
      <c r="E279" s="6" t="n"/>
      <c r="F279" s="6" t="n"/>
      <c r="G279" s="6" t="n"/>
      <c r="H279" s="6" t="n"/>
      <c r="I279" s="7" t="n"/>
      <c r="J279" s="6" t="n"/>
    </row>
    <row r="280" ht="19.5" customHeight="1" s="146">
      <c r="A280" s="10" t="n"/>
      <c r="B280" s="10" t="n"/>
      <c r="C280" s="10" t="n"/>
      <c r="D280" s="10" t="n"/>
      <c r="E280" s="10" t="n"/>
      <c r="F280" s="10" t="n"/>
      <c r="G280" s="10" t="n"/>
      <c r="H280" s="10" t="n"/>
      <c r="I280" s="11" t="n"/>
      <c r="J280" s="10" t="n"/>
    </row>
    <row r="281" ht="19.5" customHeight="1" s="146">
      <c r="A281" s="6" t="n"/>
      <c r="B281" s="6" t="n"/>
      <c r="C281" s="6" t="n"/>
      <c r="D281" s="6" t="n"/>
      <c r="E281" s="6" t="n"/>
      <c r="F281" s="6" t="n"/>
      <c r="G281" s="6" t="n"/>
      <c r="H281" s="6" t="n"/>
      <c r="I281" s="7" t="n"/>
      <c r="J281" s="6" t="n"/>
    </row>
    <row r="282" ht="19.5" customHeight="1" s="146">
      <c r="A282" s="10" t="n"/>
      <c r="B282" s="10" t="n"/>
      <c r="C282" s="10" t="n"/>
      <c r="D282" s="10" t="n"/>
      <c r="E282" s="10" t="n"/>
      <c r="F282" s="10" t="n"/>
      <c r="G282" s="10" t="n"/>
      <c r="H282" s="10" t="n"/>
      <c r="I282" s="11" t="n"/>
      <c r="J282" s="10" t="n"/>
    </row>
    <row r="283" ht="19.5" customHeight="1" s="146">
      <c r="A283" s="6" t="n"/>
      <c r="B283" s="6" t="n"/>
      <c r="C283" s="6" t="n"/>
      <c r="D283" s="6" t="n"/>
      <c r="E283" s="6" t="n"/>
      <c r="F283" s="6" t="n"/>
      <c r="G283" s="6" t="n"/>
      <c r="H283" s="6" t="n"/>
      <c r="I283" s="7" t="n"/>
      <c r="J283" s="6" t="n"/>
    </row>
    <row r="284" ht="19.5" customHeight="1" s="146">
      <c r="A284" s="10" t="n"/>
      <c r="B284" s="10" t="n"/>
      <c r="C284" s="10" t="n"/>
      <c r="D284" s="10" t="n"/>
      <c r="E284" s="10" t="n"/>
      <c r="F284" s="10" t="n"/>
      <c r="G284" s="10" t="n"/>
      <c r="H284" s="10" t="n"/>
      <c r="I284" s="11" t="n"/>
      <c r="J284" s="10" t="n"/>
    </row>
    <row r="285" ht="19.5" customHeight="1" s="146">
      <c r="A285" s="6" t="n"/>
      <c r="B285" s="6" t="n"/>
      <c r="C285" s="6" t="n"/>
      <c r="D285" s="6" t="n"/>
      <c r="E285" s="6" t="n"/>
      <c r="F285" s="6" t="n"/>
      <c r="G285" s="6" t="n"/>
      <c r="H285" s="6" t="n"/>
      <c r="I285" s="7" t="n"/>
      <c r="J285" s="6" t="n"/>
    </row>
    <row r="286" ht="19.5" customHeight="1" s="146">
      <c r="A286" s="10" t="n"/>
      <c r="B286" s="10" t="n"/>
      <c r="C286" s="10" t="n"/>
      <c r="D286" s="10" t="n"/>
      <c r="E286" s="10" t="n"/>
      <c r="F286" s="10" t="n"/>
      <c r="G286" s="10" t="n"/>
      <c r="H286" s="10" t="n"/>
      <c r="I286" s="11" t="n"/>
      <c r="J286" s="10" t="n"/>
    </row>
    <row r="287" ht="19.5" customHeight="1" s="146">
      <c r="A287" s="6" t="n"/>
      <c r="B287" s="6" t="n"/>
      <c r="C287" s="6" t="n"/>
      <c r="D287" s="6" t="n"/>
      <c r="E287" s="6" t="n"/>
      <c r="F287" s="6" t="n"/>
      <c r="G287" s="6" t="n"/>
      <c r="H287" s="6" t="n"/>
      <c r="I287" s="7" t="n"/>
      <c r="J287" s="6" t="n"/>
    </row>
    <row r="288" ht="19.5" customHeight="1" s="146">
      <c r="A288" s="10" t="n"/>
      <c r="B288" s="10" t="n"/>
      <c r="C288" s="10" t="n"/>
      <c r="D288" s="10" t="n"/>
      <c r="E288" s="10" t="n"/>
      <c r="F288" s="10" t="n"/>
      <c r="G288" s="10" t="n"/>
      <c r="H288" s="10" t="n"/>
      <c r="I288" s="11" t="n"/>
      <c r="J288" s="10" t="n"/>
    </row>
    <row r="289" ht="19.5" customHeight="1" s="146">
      <c r="A289" s="6" t="n"/>
      <c r="B289" s="6" t="n"/>
      <c r="C289" s="6" t="n"/>
      <c r="D289" s="6" t="n"/>
      <c r="E289" s="6" t="n"/>
      <c r="F289" s="6" t="n"/>
      <c r="G289" s="6" t="n"/>
      <c r="H289" s="6" t="n"/>
      <c r="I289" s="7" t="n"/>
      <c r="J289" s="6" t="n"/>
    </row>
    <row r="290" ht="19.5" customHeight="1" s="146">
      <c r="A290" s="10" t="n"/>
      <c r="B290" s="10" t="n"/>
      <c r="C290" s="10" t="n"/>
      <c r="D290" s="10" t="n"/>
      <c r="E290" s="10" t="n"/>
      <c r="F290" s="10" t="n"/>
      <c r="G290" s="10" t="n"/>
      <c r="H290" s="10" t="n"/>
      <c r="I290" s="11" t="n"/>
      <c r="J290" s="10" t="n"/>
    </row>
    <row r="291" ht="19.5" customHeight="1" s="146">
      <c r="A291" s="6" t="n"/>
      <c r="B291" s="6" t="n"/>
      <c r="C291" s="6" t="n"/>
      <c r="D291" s="6" t="n"/>
      <c r="E291" s="6" t="n"/>
      <c r="F291" s="6" t="n"/>
      <c r="G291" s="6" t="n"/>
      <c r="H291" s="6" t="n"/>
      <c r="I291" s="7" t="n"/>
      <c r="J291" s="6" t="n"/>
    </row>
    <row r="292" ht="19.5" customHeight="1" s="146">
      <c r="A292" s="10" t="n"/>
      <c r="B292" s="10" t="n"/>
      <c r="C292" s="10" t="n"/>
      <c r="D292" s="10" t="n"/>
      <c r="E292" s="10" t="n"/>
      <c r="F292" s="10" t="n"/>
      <c r="G292" s="10" t="n"/>
      <c r="H292" s="10" t="n"/>
      <c r="I292" s="11" t="n"/>
      <c r="J292" s="10" t="n"/>
    </row>
    <row r="293" ht="19.5" customHeight="1" s="146">
      <c r="A293" s="6" t="n"/>
      <c r="B293" s="6" t="n"/>
      <c r="C293" s="6" t="n"/>
      <c r="D293" s="6" t="n"/>
      <c r="E293" s="6" t="n"/>
      <c r="F293" s="6" t="n"/>
      <c r="G293" s="6" t="n"/>
      <c r="H293" s="6" t="n"/>
      <c r="I293" s="7" t="n"/>
      <c r="J293" s="6" t="n"/>
    </row>
    <row r="294" ht="19.5" customHeight="1" s="146">
      <c r="A294" s="10" t="n"/>
      <c r="B294" s="10" t="n"/>
      <c r="C294" s="10" t="n"/>
      <c r="D294" s="10" t="n"/>
      <c r="E294" s="10" t="n"/>
      <c r="F294" s="10" t="n"/>
      <c r="G294" s="10" t="n"/>
      <c r="H294" s="10" t="n"/>
      <c r="I294" s="11" t="n"/>
      <c r="J294" s="10" t="n"/>
    </row>
    <row r="295" ht="19.5" customHeight="1" s="146">
      <c r="A295" s="6" t="n"/>
      <c r="B295" s="6" t="n"/>
      <c r="C295" s="6" t="n"/>
      <c r="D295" s="6" t="n"/>
      <c r="E295" s="6" t="n"/>
      <c r="F295" s="6" t="n"/>
      <c r="G295" s="6" t="n"/>
      <c r="H295" s="6" t="n"/>
      <c r="I295" s="7" t="n"/>
      <c r="J295" s="6" t="n"/>
    </row>
    <row r="296" ht="19.5" customHeight="1" s="146">
      <c r="A296" s="10" t="n"/>
      <c r="B296" s="10" t="n"/>
      <c r="C296" s="10" t="n"/>
      <c r="D296" s="10" t="n"/>
      <c r="E296" s="10" t="n"/>
      <c r="F296" s="10" t="n"/>
      <c r="G296" s="10" t="n"/>
      <c r="H296" s="10" t="n"/>
      <c r="I296" s="11" t="n"/>
      <c r="J296" s="10" t="n"/>
    </row>
    <row r="297" ht="19.5" customHeight="1" s="146">
      <c r="A297" s="6" t="n"/>
      <c r="B297" s="6" t="n"/>
      <c r="C297" s="6" t="n"/>
      <c r="D297" s="6" t="n"/>
      <c r="E297" s="6" t="n"/>
      <c r="F297" s="6" t="n"/>
      <c r="G297" s="6" t="n"/>
      <c r="H297" s="6" t="n"/>
      <c r="I297" s="7" t="n"/>
      <c r="J297" s="6" t="n"/>
    </row>
    <row r="298" ht="19.5" customHeight="1" s="146">
      <c r="A298" s="10" t="n"/>
      <c r="B298" s="10" t="n"/>
      <c r="C298" s="10" t="n"/>
      <c r="D298" s="10" t="n"/>
      <c r="E298" s="10" t="n"/>
      <c r="F298" s="10" t="n"/>
      <c r="G298" s="10" t="n"/>
      <c r="H298" s="10" t="n"/>
      <c r="I298" s="11" t="n"/>
      <c r="J298" s="10" t="n"/>
    </row>
    <row r="299" ht="19.5" customHeight="1" s="146">
      <c r="A299" s="6" t="n"/>
      <c r="B299" s="6" t="n"/>
      <c r="C299" s="6" t="n"/>
      <c r="D299" s="6" t="n"/>
      <c r="E299" s="6" t="n"/>
      <c r="F299" s="6" t="n"/>
      <c r="G299" s="6" t="n"/>
      <c r="H299" s="6" t="n"/>
      <c r="I299" s="7" t="n"/>
      <c r="J299" s="6" t="n"/>
    </row>
    <row r="300" ht="19.5" customHeight="1" s="146">
      <c r="A300" s="10" t="n"/>
      <c r="B300" s="10" t="n"/>
      <c r="C300" s="10" t="n"/>
      <c r="D300" s="10" t="n"/>
      <c r="E300" s="10" t="n"/>
      <c r="F300" s="10" t="n"/>
      <c r="G300" s="10" t="n"/>
      <c r="H300" s="10" t="n"/>
      <c r="I300" s="11" t="n"/>
      <c r="J300" s="10" t="n"/>
    </row>
    <row r="301" ht="19.5" customHeight="1" s="146">
      <c r="A301" s="6" t="n"/>
      <c r="B301" s="6" t="n"/>
      <c r="C301" s="6" t="n"/>
      <c r="D301" s="6" t="n"/>
      <c r="E301" s="6" t="n"/>
      <c r="F301" s="6" t="n"/>
      <c r="G301" s="6" t="n"/>
      <c r="H301" s="6" t="n"/>
      <c r="I301" s="7" t="n"/>
      <c r="J301" s="6" t="n"/>
    </row>
    <row r="302" ht="19.5" customHeight="1" s="146">
      <c r="A302" s="10" t="n"/>
      <c r="B302" s="10" t="n"/>
      <c r="C302" s="10" t="n"/>
      <c r="D302" s="10" t="n"/>
      <c r="E302" s="10" t="n"/>
      <c r="F302" s="10" t="n"/>
      <c r="G302" s="10" t="n"/>
      <c r="H302" s="10" t="n"/>
      <c r="I302" s="11" t="n"/>
      <c r="J302" s="10" t="n"/>
    </row>
    <row r="303" ht="19.5" customHeight="1" s="146">
      <c r="A303" s="6" t="n"/>
      <c r="B303" s="6" t="n"/>
      <c r="C303" s="6" t="n"/>
      <c r="D303" s="6" t="n"/>
      <c r="E303" s="6" t="n"/>
      <c r="F303" s="6" t="n"/>
      <c r="G303" s="6" t="n"/>
      <c r="H303" s="6" t="n"/>
      <c r="I303" s="7" t="n"/>
      <c r="J303" s="6" t="n"/>
    </row>
  </sheetData>
  <mergeCells count="2">
    <mergeCell ref="A1:J1"/>
    <mergeCell ref="A2:J2"/>
  </mergeCells>
  <conditionalFormatting sqref="C4:C303">
    <cfRule type="containsText" priority="2" operator="containsText" dxfId="1" text="HIGH">
      <formula>NOT(ISERROR(SEARCH("HIGH",C4)))</formula>
    </cfRule>
    <cfRule type="containsText" priority="3" operator="containsText" dxfId="2" text="MEDIUM">
      <formula>NOT(ISERROR(SEARCH("MEDIUM",C4)))</formula>
    </cfRule>
  </conditionalFormatting>
  <conditionalFormatting sqref="J4:J303">
    <cfRule type="containsText" priority="4" operator="containsText" dxfId="1" text="Overdue">
      <formula>NOT(ISERROR(SEARCH("Overdue",J4)))</formula>
    </cfRule>
    <cfRule type="containsText" priority="5" operator="containsText" dxfId="0" text="Completed">
      <formula>NOT(ISERROR(SEARCH("Completed",J4)))</formula>
    </cfRule>
  </conditionalFormatting>
  <dataValidations count="2">
    <dataValidation sqref="E4:E303" showDropDown="0" showInputMessage="0" showErrorMessage="0" allowBlank="0" type="list">
      <formula1>"PM Site Visit,SSV,HSQE Audit,Coaching Session,Engagement Visit,Post-Cut Inspection"</formula1>
      <formula2>0</formula2>
    </dataValidation>
    <dataValidation sqref="J4:J303" showDropDown="0" showInputMessage="0" showErrorMessage="0" allowBlank="0" type="list">
      <formula1>"Planned,Completed,Overdue,Cancelled"</formula1>
      <formula2>0</formula2>
    </dataValidation>
  </dataValidations>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2980B9"/>
    <outlinePr summaryBelow="1" summaryRight="1"/>
    <pageSetUpPr/>
  </sheetPr>
  <dimension ref="A1:H69"/>
  <sheetViews>
    <sheetView showGridLines="0" zoomScaleNormal="100" workbookViewId="0">
      <selection activeCell="A1" sqref="A1"/>
    </sheetView>
  </sheetViews>
  <sheetFormatPr baseColWidth="10" defaultColWidth="8.6640625" defaultRowHeight="15" customHeight="1"/>
  <cols>
    <col width="6" customWidth="1" style="122" min="1" max="1"/>
    <col width="36" customWidth="1" style="122" min="2" max="2"/>
    <col width="16" customWidth="1" style="122" min="3" max="3"/>
    <col width="13" customWidth="1" style="122" min="4" max="4"/>
    <col width="12" customWidth="1" style="122" min="5" max="5"/>
    <col width="15" customWidth="1" style="122" min="6" max="6"/>
    <col width="28" customWidth="1" style="122" min="7" max="7"/>
    <col width="10" customWidth="1" style="122" min="8" max="8"/>
  </cols>
  <sheetData>
    <row r="1" ht="36" customHeight="1" s="146">
      <c r="A1" s="121" t="inlineStr">
        <is>
          <t>FIELD TEAM REPRESENTATIVES - MEETING RECORD 2026</t>
        </is>
      </c>
    </row>
    <row r="2" ht="30" customHeight="1" s="146">
      <c r="A2" s="140" t="inlineStr">
        <is>
          <t>2 meetings per year minimum. Actions distributed to all FT reps and wider Field Teams within 5 working days.</t>
        </is>
      </c>
    </row>
    <row r="4" ht="27.75" customHeight="1" s="146">
      <c r="A4" s="169" t="inlineStr">
        <is>
          <t>MEETING 1 - 2026</t>
        </is>
      </c>
    </row>
    <row r="5" ht="21.75" customHeight="1" s="146">
      <c r="A5" s="75" t="inlineStr">
        <is>
          <t>Date:</t>
        </is>
      </c>
      <c r="B5" s="170" t="n"/>
      <c r="C5" s="119" t="n"/>
      <c r="D5" s="119" t="n"/>
      <c r="E5" s="119" t="n"/>
      <c r="F5" s="119" t="n"/>
      <c r="G5" s="119" t="n"/>
      <c r="H5" s="119" t="n"/>
    </row>
    <row r="6" ht="21.75" customHeight="1" s="146">
      <c r="A6" s="75" t="inlineStr">
        <is>
          <t>Location / Format:</t>
        </is>
      </c>
      <c r="B6" s="170" t="n"/>
      <c r="C6" s="119" t="n"/>
      <c r="D6" s="119" t="n"/>
      <c r="E6" s="119" t="n"/>
      <c r="F6" s="119" t="n"/>
      <c r="G6" s="119" t="n"/>
      <c r="H6" s="119" t="n"/>
    </row>
    <row r="7" ht="21.75" customHeight="1" s="146">
      <c r="A7" s="75" t="inlineStr">
        <is>
          <t>Chair:</t>
        </is>
      </c>
      <c r="B7" s="170" t="n"/>
      <c r="C7" s="119" t="n"/>
      <c r="D7" s="119" t="n"/>
      <c r="E7" s="119" t="n"/>
      <c r="F7" s="119" t="n"/>
      <c r="G7" s="119" t="n"/>
      <c r="H7" s="119" t="n"/>
    </row>
    <row r="8" ht="21.75" customHeight="1" s="146">
      <c r="A8" s="75" t="inlineStr">
        <is>
          <t>Attendees:</t>
        </is>
      </c>
      <c r="B8" s="170" t="n"/>
      <c r="C8" s="119" t="n"/>
      <c r="D8" s="119" t="n"/>
      <c r="E8" s="119" t="n"/>
      <c r="F8" s="119" t="n"/>
      <c r="G8" s="119" t="n"/>
      <c r="H8" s="119" t="n"/>
    </row>
    <row r="9" ht="21.75" customHeight="1" s="146">
      <c r="A9" s="75" t="inlineStr">
        <is>
          <t>Apologies:</t>
        </is>
      </c>
      <c r="B9" s="170" t="n"/>
      <c r="C9" s="119" t="n"/>
      <c r="D9" s="119" t="n"/>
      <c r="E9" s="119" t="n"/>
      <c r="F9" s="119" t="n"/>
      <c r="G9" s="119" t="n"/>
      <c r="H9" s="119" t="n"/>
    </row>
    <row r="11" ht="25.5" customHeight="1" s="146">
      <c r="A11" s="172" t="inlineStr">
        <is>
          <t>ACTION LOG</t>
        </is>
      </c>
    </row>
    <row r="12" ht="30" customHeight="1" s="146">
      <c r="A12" s="76" t="inlineStr">
        <is>
          <t>#</t>
        </is>
      </c>
      <c r="B12" s="76" t="inlineStr">
        <is>
          <t>Action</t>
        </is>
      </c>
      <c r="C12" s="76" t="inlineStr">
        <is>
          <t>Owner</t>
        </is>
      </c>
      <c r="D12" s="76" t="inlineStr">
        <is>
          <t>Due Date</t>
        </is>
      </c>
      <c r="E12" s="76" t="inlineStr">
        <is>
          <t>Status</t>
        </is>
      </c>
      <c r="F12" s="76" t="inlineStr">
        <is>
          <t>Completed</t>
        </is>
      </c>
      <c r="G12" s="76" t="inlineStr">
        <is>
          <t>Notes</t>
        </is>
      </c>
      <c r="H12" s="76" t="inlineStr">
        <is>
          <t>Shared?</t>
        </is>
      </c>
    </row>
    <row r="13" ht="19.5" customHeight="1" s="146">
      <c r="A13" s="6" t="n">
        <v>1</v>
      </c>
      <c r="B13" s="7" t="n"/>
      <c r="C13" s="6" t="n"/>
      <c r="D13" s="6" t="n"/>
      <c r="E13" s="6" t="inlineStr">
        <is>
          <t>Open</t>
        </is>
      </c>
      <c r="F13" s="6" t="n"/>
      <c r="G13" s="7" t="n"/>
      <c r="H13" s="6" t="inlineStr">
        <is>
          <t>No</t>
        </is>
      </c>
    </row>
    <row r="14" ht="19.5" customHeight="1" s="146">
      <c r="A14" s="10" t="n">
        <v>2</v>
      </c>
      <c r="B14" s="11" t="n"/>
      <c r="C14" s="10" t="n"/>
      <c r="D14" s="10" t="n"/>
      <c r="E14" s="10" t="inlineStr">
        <is>
          <t>Open</t>
        </is>
      </c>
      <c r="F14" s="10" t="n"/>
      <c r="G14" s="11" t="n"/>
      <c r="H14" s="10" t="inlineStr">
        <is>
          <t>No</t>
        </is>
      </c>
    </row>
    <row r="15" ht="19.5" customHeight="1" s="146">
      <c r="A15" s="6" t="n">
        <v>3</v>
      </c>
      <c r="B15" s="7" t="n"/>
      <c r="C15" s="6" t="n"/>
      <c r="D15" s="6" t="n"/>
      <c r="E15" s="6" t="inlineStr">
        <is>
          <t>Open</t>
        </is>
      </c>
      <c r="F15" s="6" t="n"/>
      <c r="G15" s="7" t="n"/>
      <c r="H15" s="6" t="inlineStr">
        <is>
          <t>No</t>
        </is>
      </c>
    </row>
    <row r="16" ht="19.5" customHeight="1" s="146">
      <c r="A16" s="10" t="n">
        <v>4</v>
      </c>
      <c r="B16" s="11" t="n"/>
      <c r="C16" s="10" t="n"/>
      <c r="D16" s="10" t="n"/>
      <c r="E16" s="10" t="inlineStr">
        <is>
          <t>Open</t>
        </is>
      </c>
      <c r="F16" s="10" t="n"/>
      <c r="G16" s="11" t="n"/>
      <c r="H16" s="10" t="inlineStr">
        <is>
          <t>No</t>
        </is>
      </c>
    </row>
    <row r="17" ht="19.5" customHeight="1" s="146">
      <c r="A17" s="6" t="n">
        <v>5</v>
      </c>
      <c r="B17" s="7" t="n"/>
      <c r="C17" s="6" t="n"/>
      <c r="D17" s="6" t="n"/>
      <c r="E17" s="6" t="inlineStr">
        <is>
          <t>Open</t>
        </is>
      </c>
      <c r="F17" s="6" t="n"/>
      <c r="G17" s="7" t="n"/>
      <c r="H17" s="6" t="inlineStr">
        <is>
          <t>No</t>
        </is>
      </c>
    </row>
    <row r="18" ht="19.5" customHeight="1" s="146">
      <c r="A18" s="10" t="n">
        <v>6</v>
      </c>
      <c r="B18" s="11" t="n"/>
      <c r="C18" s="10" t="n"/>
      <c r="D18" s="10" t="n"/>
      <c r="E18" s="10" t="inlineStr">
        <is>
          <t>Open</t>
        </is>
      </c>
      <c r="F18" s="10" t="n"/>
      <c r="G18" s="11" t="n"/>
      <c r="H18" s="10" t="inlineStr">
        <is>
          <t>No</t>
        </is>
      </c>
    </row>
    <row r="19" ht="19.5" customHeight="1" s="146">
      <c r="A19" s="6" t="n">
        <v>7</v>
      </c>
      <c r="B19" s="7" t="n"/>
      <c r="C19" s="6" t="n"/>
      <c r="D19" s="6" t="n"/>
      <c r="E19" s="6" t="inlineStr">
        <is>
          <t>Open</t>
        </is>
      </c>
      <c r="F19" s="6" t="n"/>
      <c r="G19" s="7" t="n"/>
      <c r="H19" s="6" t="inlineStr">
        <is>
          <t>No</t>
        </is>
      </c>
    </row>
    <row r="20" ht="19.5" customHeight="1" s="146">
      <c r="A20" s="10" t="n">
        <v>8</v>
      </c>
      <c r="B20" s="11" t="n"/>
      <c r="C20" s="10" t="n"/>
      <c r="D20" s="10" t="n"/>
      <c r="E20" s="10" t="inlineStr">
        <is>
          <t>Open</t>
        </is>
      </c>
      <c r="F20" s="10" t="n"/>
      <c r="G20" s="11" t="n"/>
      <c r="H20" s="10" t="inlineStr">
        <is>
          <t>No</t>
        </is>
      </c>
    </row>
    <row r="21" ht="19.5" customHeight="1" s="146">
      <c r="A21" s="6" t="n">
        <v>9</v>
      </c>
      <c r="B21" s="7" t="n"/>
      <c r="C21" s="6" t="n"/>
      <c r="D21" s="6" t="n"/>
      <c r="E21" s="6" t="inlineStr">
        <is>
          <t>Open</t>
        </is>
      </c>
      <c r="F21" s="6" t="n"/>
      <c r="G21" s="7" t="n"/>
      <c r="H21" s="6" t="inlineStr">
        <is>
          <t>No</t>
        </is>
      </c>
    </row>
    <row r="22" ht="19.5" customHeight="1" s="146">
      <c r="A22" s="10" t="n">
        <v>10</v>
      </c>
      <c r="B22" s="11" t="n"/>
      <c r="C22" s="10" t="n"/>
      <c r="D22" s="10" t="n"/>
      <c r="E22" s="10" t="inlineStr">
        <is>
          <t>Open</t>
        </is>
      </c>
      <c r="F22" s="10" t="n"/>
      <c r="G22" s="11" t="n"/>
      <c r="H22" s="10" t="inlineStr">
        <is>
          <t>No</t>
        </is>
      </c>
    </row>
    <row r="23" ht="19.5" customHeight="1" s="146">
      <c r="A23" s="6" t="n">
        <v>11</v>
      </c>
      <c r="B23" s="7" t="n"/>
      <c r="C23" s="6" t="n"/>
      <c r="D23" s="6" t="n"/>
      <c r="E23" s="6" t="inlineStr">
        <is>
          <t>Open</t>
        </is>
      </c>
      <c r="F23" s="6" t="n"/>
      <c r="G23" s="7" t="n"/>
      <c r="H23" s="6" t="inlineStr">
        <is>
          <t>No</t>
        </is>
      </c>
    </row>
    <row r="24" ht="19.5" customHeight="1" s="146">
      <c r="A24" s="10" t="n">
        <v>12</v>
      </c>
      <c r="B24" s="11" t="n"/>
      <c r="C24" s="10" t="n"/>
      <c r="D24" s="10" t="n"/>
      <c r="E24" s="10" t="inlineStr">
        <is>
          <t>Open</t>
        </is>
      </c>
      <c r="F24" s="10" t="n"/>
      <c r="G24" s="11" t="n"/>
      <c r="H24" s="10" t="inlineStr">
        <is>
          <t>No</t>
        </is>
      </c>
    </row>
    <row r="25" ht="19.5" customHeight="1" s="146">
      <c r="A25" s="6" t="n">
        <v>13</v>
      </c>
      <c r="B25" s="7" t="n"/>
      <c r="C25" s="6" t="n"/>
      <c r="D25" s="6" t="n"/>
      <c r="E25" s="6" t="inlineStr">
        <is>
          <t>Open</t>
        </is>
      </c>
      <c r="F25" s="6" t="n"/>
      <c r="G25" s="7" t="n"/>
      <c r="H25" s="6" t="inlineStr">
        <is>
          <t>No</t>
        </is>
      </c>
    </row>
    <row r="26" ht="19.5" customHeight="1" s="146">
      <c r="A26" s="10" t="n">
        <v>14</v>
      </c>
      <c r="B26" s="11" t="n"/>
      <c r="C26" s="10" t="n"/>
      <c r="D26" s="10" t="n"/>
      <c r="E26" s="10" t="inlineStr">
        <is>
          <t>Open</t>
        </is>
      </c>
      <c r="F26" s="10" t="n"/>
      <c r="G26" s="11" t="n"/>
      <c r="H26" s="10" t="inlineStr">
        <is>
          <t>No</t>
        </is>
      </c>
    </row>
    <row r="27" ht="19.5" customHeight="1" s="146">
      <c r="A27" s="6" t="n">
        <v>15</v>
      </c>
      <c r="B27" s="7" t="n"/>
      <c r="C27" s="6" t="n"/>
      <c r="D27" s="6" t="n"/>
      <c r="E27" s="6" t="inlineStr">
        <is>
          <t>Open</t>
        </is>
      </c>
      <c r="F27" s="6" t="n"/>
      <c r="G27" s="7" t="n"/>
      <c r="H27" s="6" t="inlineStr">
        <is>
          <t>No</t>
        </is>
      </c>
    </row>
    <row r="28" ht="19.5" customHeight="1" s="146">
      <c r="A28" s="10" t="n">
        <v>16</v>
      </c>
      <c r="B28" s="11" t="n"/>
      <c r="C28" s="10" t="n"/>
      <c r="D28" s="10" t="n"/>
      <c r="E28" s="10" t="inlineStr">
        <is>
          <t>Open</t>
        </is>
      </c>
      <c r="F28" s="10" t="n"/>
      <c r="G28" s="11" t="n"/>
      <c r="H28" s="10" t="inlineStr">
        <is>
          <t>No</t>
        </is>
      </c>
    </row>
    <row r="29" ht="19.5" customHeight="1" s="146">
      <c r="A29" s="6" t="n">
        <v>17</v>
      </c>
      <c r="B29" s="7" t="n"/>
      <c r="C29" s="6" t="n"/>
      <c r="D29" s="6" t="n"/>
      <c r="E29" s="6" t="inlineStr">
        <is>
          <t>Open</t>
        </is>
      </c>
      <c r="F29" s="6" t="n"/>
      <c r="G29" s="7" t="n"/>
      <c r="H29" s="6" t="inlineStr">
        <is>
          <t>No</t>
        </is>
      </c>
    </row>
    <row r="30" ht="19.5" customHeight="1" s="146">
      <c r="A30" s="10" t="n">
        <v>18</v>
      </c>
      <c r="B30" s="11" t="n"/>
      <c r="C30" s="10" t="n"/>
      <c r="D30" s="10" t="n"/>
      <c r="E30" s="10" t="inlineStr">
        <is>
          <t>Open</t>
        </is>
      </c>
      <c r="F30" s="10" t="n"/>
      <c r="G30" s="11" t="n"/>
      <c r="H30" s="10" t="inlineStr">
        <is>
          <t>No</t>
        </is>
      </c>
    </row>
    <row r="31" ht="19.5" customHeight="1" s="146">
      <c r="A31" s="6" t="n">
        <v>19</v>
      </c>
      <c r="B31" s="7" t="n"/>
      <c r="C31" s="6" t="n"/>
      <c r="D31" s="6" t="n"/>
      <c r="E31" s="6" t="inlineStr">
        <is>
          <t>Open</t>
        </is>
      </c>
      <c r="F31" s="6" t="n"/>
      <c r="G31" s="7" t="n"/>
      <c r="H31" s="6" t="inlineStr">
        <is>
          <t>No</t>
        </is>
      </c>
    </row>
    <row r="32" ht="19.5" customHeight="1" s="146">
      <c r="A32" s="10" t="n">
        <v>20</v>
      </c>
      <c r="B32" s="11" t="n"/>
      <c r="C32" s="10" t="n"/>
      <c r="D32" s="10" t="n"/>
      <c r="E32" s="10" t="inlineStr">
        <is>
          <t>Open</t>
        </is>
      </c>
      <c r="F32" s="10" t="n"/>
      <c r="G32" s="11" t="n"/>
      <c r="H32" s="10" t="inlineStr">
        <is>
          <t>No</t>
        </is>
      </c>
    </row>
    <row r="33" ht="19.5" customHeight="1" s="146">
      <c r="A33" s="6" t="n">
        <v>21</v>
      </c>
      <c r="B33" s="7" t="n"/>
      <c r="C33" s="6" t="n"/>
      <c r="D33" s="6" t="n"/>
      <c r="E33" s="6" t="inlineStr">
        <is>
          <t>Open</t>
        </is>
      </c>
      <c r="F33" s="6" t="n"/>
      <c r="G33" s="7" t="n"/>
      <c r="H33" s="6" t="inlineStr">
        <is>
          <t>No</t>
        </is>
      </c>
    </row>
    <row r="34" ht="19.5" customHeight="1" s="146">
      <c r="A34" s="10" t="n">
        <v>22</v>
      </c>
      <c r="B34" s="11" t="n"/>
      <c r="C34" s="10" t="n"/>
      <c r="D34" s="10" t="n"/>
      <c r="E34" s="10" t="inlineStr">
        <is>
          <t>Open</t>
        </is>
      </c>
      <c r="F34" s="10" t="n"/>
      <c r="G34" s="11" t="n"/>
      <c r="H34" s="10" t="inlineStr">
        <is>
          <t>No</t>
        </is>
      </c>
    </row>
    <row r="35" ht="27.75" customHeight="1" s="146">
      <c r="A35" s="171" t="inlineStr">
        <is>
          <t>Distribute actions to all FT reps AND wider FT population within 5 working days. Update Shared? = YES once done.</t>
        </is>
      </c>
      <c r="B35" s="119" t="n"/>
      <c r="C35" s="119" t="n"/>
      <c r="D35" s="119" t="n"/>
      <c r="E35" s="119" t="n"/>
      <c r="F35" s="119" t="n"/>
      <c r="G35" s="119" t="n"/>
      <c r="H35" s="119" t="n"/>
    </row>
    <row r="38" ht="27.75" customHeight="1" s="146">
      <c r="A38" s="169" t="inlineStr">
        <is>
          <t>MEETING 2 - 2026</t>
        </is>
      </c>
    </row>
    <row r="39" ht="21.75" customHeight="1" s="146">
      <c r="A39" s="75" t="inlineStr">
        <is>
          <t>Date:</t>
        </is>
      </c>
      <c r="B39" s="170" t="n"/>
      <c r="C39" s="119" t="n"/>
      <c r="D39" s="119" t="n"/>
      <c r="E39" s="119" t="n"/>
      <c r="F39" s="119" t="n"/>
      <c r="G39" s="119" t="n"/>
      <c r="H39" s="119" t="n"/>
    </row>
    <row r="40" ht="21.75" customHeight="1" s="146">
      <c r="A40" s="75" t="inlineStr">
        <is>
          <t>Location / Format:</t>
        </is>
      </c>
      <c r="B40" s="170" t="n"/>
      <c r="C40" s="119" t="n"/>
      <c r="D40" s="119" t="n"/>
      <c r="E40" s="119" t="n"/>
      <c r="F40" s="119" t="n"/>
      <c r="G40" s="119" t="n"/>
      <c r="H40" s="119" t="n"/>
    </row>
    <row r="41" ht="21.75" customHeight="1" s="146">
      <c r="A41" s="75" t="inlineStr">
        <is>
          <t>Chair:</t>
        </is>
      </c>
      <c r="B41" s="170" t="n"/>
      <c r="C41" s="119" t="n"/>
      <c r="D41" s="119" t="n"/>
      <c r="E41" s="119" t="n"/>
      <c r="F41" s="119" t="n"/>
      <c r="G41" s="119" t="n"/>
      <c r="H41" s="119" t="n"/>
    </row>
    <row r="42" ht="21.75" customHeight="1" s="146">
      <c r="A42" s="75" t="inlineStr">
        <is>
          <t>Attendees:</t>
        </is>
      </c>
      <c r="B42" s="170" t="n"/>
      <c r="C42" s="119" t="n"/>
      <c r="D42" s="119" t="n"/>
      <c r="E42" s="119" t="n"/>
      <c r="F42" s="119" t="n"/>
      <c r="G42" s="119" t="n"/>
      <c r="H42" s="119" t="n"/>
    </row>
    <row r="43" ht="21.75" customHeight="1" s="146">
      <c r="A43" s="75" t="inlineStr">
        <is>
          <t>Apologies:</t>
        </is>
      </c>
      <c r="B43" s="170" t="n"/>
      <c r="C43" s="119" t="n"/>
      <c r="D43" s="119" t="n"/>
      <c r="E43" s="119" t="n"/>
      <c r="F43" s="119" t="n"/>
      <c r="G43" s="119" t="n"/>
      <c r="H43" s="119" t="n"/>
    </row>
    <row r="45" ht="25.5" customHeight="1" s="146">
      <c r="A45" s="172" t="inlineStr">
        <is>
          <t>ACTION LOG</t>
        </is>
      </c>
    </row>
    <row r="46" ht="30" customHeight="1" s="146">
      <c r="A46" s="76" t="inlineStr">
        <is>
          <t>#</t>
        </is>
      </c>
      <c r="B46" s="76" t="inlineStr">
        <is>
          <t>Action</t>
        </is>
      </c>
      <c r="C46" s="76" t="inlineStr">
        <is>
          <t>Owner</t>
        </is>
      </c>
      <c r="D46" s="76" t="inlineStr">
        <is>
          <t>Due Date</t>
        </is>
      </c>
      <c r="E46" s="76" t="inlineStr">
        <is>
          <t>Status</t>
        </is>
      </c>
      <c r="F46" s="76" t="inlineStr">
        <is>
          <t>Completed</t>
        </is>
      </c>
      <c r="G46" s="76" t="inlineStr">
        <is>
          <t>Notes</t>
        </is>
      </c>
      <c r="H46" s="76" t="inlineStr">
        <is>
          <t>Shared?</t>
        </is>
      </c>
    </row>
    <row r="47" ht="19.5" customHeight="1" s="146">
      <c r="A47" s="6" t="n">
        <v>1</v>
      </c>
      <c r="B47" s="7" t="n"/>
      <c r="C47" s="6" t="n"/>
      <c r="D47" s="6" t="n"/>
      <c r="E47" s="6" t="inlineStr">
        <is>
          <t>Open</t>
        </is>
      </c>
      <c r="F47" s="6" t="n"/>
      <c r="G47" s="7" t="n"/>
      <c r="H47" s="6" t="inlineStr">
        <is>
          <t>No</t>
        </is>
      </c>
    </row>
    <row r="48" ht="19.5" customHeight="1" s="146">
      <c r="A48" s="10" t="n">
        <v>2</v>
      </c>
      <c r="B48" s="11" t="n"/>
      <c r="C48" s="10" t="n"/>
      <c r="D48" s="10" t="n"/>
      <c r="E48" s="10" t="inlineStr">
        <is>
          <t>Open</t>
        </is>
      </c>
      <c r="F48" s="10" t="n"/>
      <c r="G48" s="11" t="n"/>
      <c r="H48" s="10" t="inlineStr">
        <is>
          <t>No</t>
        </is>
      </c>
    </row>
    <row r="49" ht="19.5" customHeight="1" s="146">
      <c r="A49" s="6" t="n">
        <v>3</v>
      </c>
      <c r="B49" s="7" t="n"/>
      <c r="C49" s="6" t="n"/>
      <c r="D49" s="6" t="n"/>
      <c r="E49" s="6" t="inlineStr">
        <is>
          <t>Open</t>
        </is>
      </c>
      <c r="F49" s="6" t="n"/>
      <c r="G49" s="7" t="n"/>
      <c r="H49" s="6" t="inlineStr">
        <is>
          <t>No</t>
        </is>
      </c>
    </row>
    <row r="50" ht="19.5" customHeight="1" s="146">
      <c r="A50" s="10" t="n">
        <v>4</v>
      </c>
      <c r="B50" s="11" t="n"/>
      <c r="C50" s="10" t="n"/>
      <c r="D50" s="10" t="n"/>
      <c r="E50" s="10" t="inlineStr">
        <is>
          <t>Open</t>
        </is>
      </c>
      <c r="F50" s="10" t="n"/>
      <c r="G50" s="11" t="n"/>
      <c r="H50" s="10" t="inlineStr">
        <is>
          <t>No</t>
        </is>
      </c>
    </row>
    <row r="51" ht="19.5" customHeight="1" s="146">
      <c r="A51" s="6" t="n">
        <v>5</v>
      </c>
      <c r="B51" s="7" t="n"/>
      <c r="C51" s="6" t="n"/>
      <c r="D51" s="6" t="n"/>
      <c r="E51" s="6" t="inlineStr">
        <is>
          <t>Open</t>
        </is>
      </c>
      <c r="F51" s="6" t="n"/>
      <c r="G51" s="7" t="n"/>
      <c r="H51" s="6" t="inlineStr">
        <is>
          <t>No</t>
        </is>
      </c>
    </row>
    <row r="52" ht="19.5" customHeight="1" s="146">
      <c r="A52" s="10" t="n">
        <v>6</v>
      </c>
      <c r="B52" s="11" t="n"/>
      <c r="C52" s="10" t="n"/>
      <c r="D52" s="10" t="n"/>
      <c r="E52" s="10" t="inlineStr">
        <is>
          <t>Open</t>
        </is>
      </c>
      <c r="F52" s="10" t="n"/>
      <c r="G52" s="11" t="n"/>
      <c r="H52" s="10" t="inlineStr">
        <is>
          <t>No</t>
        </is>
      </c>
    </row>
    <row r="53" ht="19.5" customHeight="1" s="146">
      <c r="A53" s="6" t="n">
        <v>7</v>
      </c>
      <c r="B53" s="7" t="n"/>
      <c r="C53" s="6" t="n"/>
      <c r="D53" s="6" t="n"/>
      <c r="E53" s="6" t="inlineStr">
        <is>
          <t>Open</t>
        </is>
      </c>
      <c r="F53" s="6" t="n"/>
      <c r="G53" s="7" t="n"/>
      <c r="H53" s="6" t="inlineStr">
        <is>
          <t>No</t>
        </is>
      </c>
    </row>
    <row r="54" ht="19.5" customHeight="1" s="146">
      <c r="A54" s="10" t="n">
        <v>8</v>
      </c>
      <c r="B54" s="11" t="n"/>
      <c r="C54" s="10" t="n"/>
      <c r="D54" s="10" t="n"/>
      <c r="E54" s="10" t="inlineStr">
        <is>
          <t>Open</t>
        </is>
      </c>
      <c r="F54" s="10" t="n"/>
      <c r="G54" s="11" t="n"/>
      <c r="H54" s="10" t="inlineStr">
        <is>
          <t>No</t>
        </is>
      </c>
    </row>
    <row r="55" ht="19.5" customHeight="1" s="146">
      <c r="A55" s="6" t="n">
        <v>9</v>
      </c>
      <c r="B55" s="7" t="n"/>
      <c r="C55" s="6" t="n"/>
      <c r="D55" s="6" t="n"/>
      <c r="E55" s="6" t="inlineStr">
        <is>
          <t>Open</t>
        </is>
      </c>
      <c r="F55" s="6" t="n"/>
      <c r="G55" s="7" t="n"/>
      <c r="H55" s="6" t="inlineStr">
        <is>
          <t>No</t>
        </is>
      </c>
    </row>
    <row r="56" ht="19.5" customHeight="1" s="146">
      <c r="A56" s="10" t="n">
        <v>10</v>
      </c>
      <c r="B56" s="11" t="n"/>
      <c r="C56" s="10" t="n"/>
      <c r="D56" s="10" t="n"/>
      <c r="E56" s="10" t="inlineStr">
        <is>
          <t>Open</t>
        </is>
      </c>
      <c r="F56" s="10" t="n"/>
      <c r="G56" s="11" t="n"/>
      <c r="H56" s="10" t="inlineStr">
        <is>
          <t>No</t>
        </is>
      </c>
    </row>
    <row r="57" ht="19.5" customHeight="1" s="146">
      <c r="A57" s="6" t="n">
        <v>11</v>
      </c>
      <c r="B57" s="7" t="n"/>
      <c r="C57" s="6" t="n"/>
      <c r="D57" s="6" t="n"/>
      <c r="E57" s="6" t="inlineStr">
        <is>
          <t>Open</t>
        </is>
      </c>
      <c r="F57" s="6" t="n"/>
      <c r="G57" s="7" t="n"/>
      <c r="H57" s="6" t="inlineStr">
        <is>
          <t>No</t>
        </is>
      </c>
    </row>
    <row r="58" ht="19.5" customHeight="1" s="146">
      <c r="A58" s="10" t="n">
        <v>12</v>
      </c>
      <c r="B58" s="11" t="n"/>
      <c r="C58" s="10" t="n"/>
      <c r="D58" s="10" t="n"/>
      <c r="E58" s="10" t="inlineStr">
        <is>
          <t>Open</t>
        </is>
      </c>
      <c r="F58" s="10" t="n"/>
      <c r="G58" s="11" t="n"/>
      <c r="H58" s="10" t="inlineStr">
        <is>
          <t>No</t>
        </is>
      </c>
    </row>
    <row r="59" ht="19.5" customHeight="1" s="146">
      <c r="A59" s="6" t="n">
        <v>13</v>
      </c>
      <c r="B59" s="7" t="n"/>
      <c r="C59" s="6" t="n"/>
      <c r="D59" s="6" t="n"/>
      <c r="E59" s="6" t="inlineStr">
        <is>
          <t>Open</t>
        </is>
      </c>
      <c r="F59" s="6" t="n"/>
      <c r="G59" s="7" t="n"/>
      <c r="H59" s="6" t="inlineStr">
        <is>
          <t>No</t>
        </is>
      </c>
    </row>
    <row r="60" ht="19.5" customHeight="1" s="146">
      <c r="A60" s="10" t="n">
        <v>14</v>
      </c>
      <c r="B60" s="11" t="n"/>
      <c r="C60" s="10" t="n"/>
      <c r="D60" s="10" t="n"/>
      <c r="E60" s="10" t="inlineStr">
        <is>
          <t>Open</t>
        </is>
      </c>
      <c r="F60" s="10" t="n"/>
      <c r="G60" s="11" t="n"/>
      <c r="H60" s="10" t="inlineStr">
        <is>
          <t>No</t>
        </is>
      </c>
    </row>
    <row r="61" ht="19.5" customHeight="1" s="146">
      <c r="A61" s="6" t="n">
        <v>15</v>
      </c>
      <c r="B61" s="7" t="n"/>
      <c r="C61" s="6" t="n"/>
      <c r="D61" s="6" t="n"/>
      <c r="E61" s="6" t="inlineStr">
        <is>
          <t>Open</t>
        </is>
      </c>
      <c r="F61" s="6" t="n"/>
      <c r="G61" s="7" t="n"/>
      <c r="H61" s="6" t="inlineStr">
        <is>
          <t>No</t>
        </is>
      </c>
    </row>
    <row r="62" ht="19.5" customHeight="1" s="146">
      <c r="A62" s="10" t="n">
        <v>16</v>
      </c>
      <c r="B62" s="11" t="n"/>
      <c r="C62" s="10" t="n"/>
      <c r="D62" s="10" t="n"/>
      <c r="E62" s="10" t="inlineStr">
        <is>
          <t>Open</t>
        </is>
      </c>
      <c r="F62" s="10" t="n"/>
      <c r="G62" s="11" t="n"/>
      <c r="H62" s="10" t="inlineStr">
        <is>
          <t>No</t>
        </is>
      </c>
    </row>
    <row r="63" ht="19.5" customHeight="1" s="146">
      <c r="A63" s="6" t="n">
        <v>17</v>
      </c>
      <c r="B63" s="7" t="n"/>
      <c r="C63" s="6" t="n"/>
      <c r="D63" s="6" t="n"/>
      <c r="E63" s="6" t="inlineStr">
        <is>
          <t>Open</t>
        </is>
      </c>
      <c r="F63" s="6" t="n"/>
      <c r="G63" s="7" t="n"/>
      <c r="H63" s="6" t="inlineStr">
        <is>
          <t>No</t>
        </is>
      </c>
    </row>
    <row r="64" ht="19.5" customHeight="1" s="146">
      <c r="A64" s="10" t="n">
        <v>18</v>
      </c>
      <c r="B64" s="11" t="n"/>
      <c r="C64" s="10" t="n"/>
      <c r="D64" s="10" t="n"/>
      <c r="E64" s="10" t="inlineStr">
        <is>
          <t>Open</t>
        </is>
      </c>
      <c r="F64" s="10" t="n"/>
      <c r="G64" s="11" t="n"/>
      <c r="H64" s="10" t="inlineStr">
        <is>
          <t>No</t>
        </is>
      </c>
    </row>
    <row r="65" ht="19.5" customHeight="1" s="146">
      <c r="A65" s="6" t="n">
        <v>19</v>
      </c>
      <c r="B65" s="7" t="n"/>
      <c r="C65" s="6" t="n"/>
      <c r="D65" s="6" t="n"/>
      <c r="E65" s="6" t="inlineStr">
        <is>
          <t>Open</t>
        </is>
      </c>
      <c r="F65" s="6" t="n"/>
      <c r="G65" s="7" t="n"/>
      <c r="H65" s="6" t="inlineStr">
        <is>
          <t>No</t>
        </is>
      </c>
    </row>
    <row r="66" ht="19.5" customHeight="1" s="146">
      <c r="A66" s="10" t="n">
        <v>20</v>
      </c>
      <c r="B66" s="11" t="n"/>
      <c r="C66" s="10" t="n"/>
      <c r="D66" s="10" t="n"/>
      <c r="E66" s="10" t="inlineStr">
        <is>
          <t>Open</t>
        </is>
      </c>
      <c r="F66" s="10" t="n"/>
      <c r="G66" s="11" t="n"/>
      <c r="H66" s="10" t="inlineStr">
        <is>
          <t>No</t>
        </is>
      </c>
    </row>
    <row r="67" ht="19.5" customHeight="1" s="146">
      <c r="A67" s="6" t="n">
        <v>21</v>
      </c>
      <c r="B67" s="7" t="n"/>
      <c r="C67" s="6" t="n"/>
      <c r="D67" s="6" t="n"/>
      <c r="E67" s="6" t="inlineStr">
        <is>
          <t>Open</t>
        </is>
      </c>
      <c r="F67" s="6" t="n"/>
      <c r="G67" s="7" t="n"/>
      <c r="H67" s="6" t="inlineStr">
        <is>
          <t>No</t>
        </is>
      </c>
    </row>
    <row r="68" ht="19.5" customHeight="1" s="146">
      <c r="A68" s="10" t="n">
        <v>22</v>
      </c>
      <c r="B68" s="11" t="n"/>
      <c r="C68" s="10" t="n"/>
      <c r="D68" s="10" t="n"/>
      <c r="E68" s="10" t="inlineStr">
        <is>
          <t>Open</t>
        </is>
      </c>
      <c r="F68" s="10" t="n"/>
      <c r="G68" s="11" t="n"/>
      <c r="H68" s="10" t="inlineStr">
        <is>
          <t>No</t>
        </is>
      </c>
    </row>
    <row r="69" ht="27.75" customHeight="1" s="146">
      <c r="A69" s="171" t="inlineStr">
        <is>
          <t>Distribute actions to all FT reps AND wider FT population within 5 working days. Update Shared? = YES once done.</t>
        </is>
      </c>
      <c r="B69" s="119" t="n"/>
      <c r="C69" s="119" t="n"/>
      <c r="D69" s="119" t="n"/>
      <c r="E69" s="119" t="n"/>
      <c r="F69" s="119" t="n"/>
      <c r="G69" s="119" t="n"/>
      <c r="H69" s="119" t="n"/>
    </row>
  </sheetData>
  <mergeCells count="18">
    <mergeCell ref="A45:H45"/>
    <mergeCell ref="A4:H4"/>
    <mergeCell ref="B8:H8"/>
    <mergeCell ref="A69:H69"/>
    <mergeCell ref="B41:H41"/>
    <mergeCell ref="B42:H42"/>
    <mergeCell ref="B40:H40"/>
    <mergeCell ref="B9:H9"/>
    <mergeCell ref="A38:H38"/>
    <mergeCell ref="A2:H2"/>
    <mergeCell ref="B43:H43"/>
    <mergeCell ref="A35:H35"/>
    <mergeCell ref="B39:H39"/>
    <mergeCell ref="B6:H6"/>
    <mergeCell ref="A11:H11"/>
    <mergeCell ref="B7:H7"/>
    <mergeCell ref="A1:H1"/>
    <mergeCell ref="B5:H5"/>
  </mergeCells>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F4A100"/>
    <outlinePr summaryBelow="1" summaryRight="1"/>
    <pageSetUpPr/>
  </sheetPr>
  <dimension ref="A1:E54"/>
  <sheetViews>
    <sheetView showGridLines="0" zoomScaleNormal="100" workbookViewId="0">
      <selection activeCell="A1" sqref="A1"/>
    </sheetView>
  </sheetViews>
  <sheetFormatPr baseColWidth="10" defaultColWidth="8.6640625" defaultRowHeight="15" customHeight="1"/>
  <cols>
    <col width="6" customWidth="1" style="122" min="1" max="1"/>
    <col width="30" customWidth="1" style="122" min="2" max="2"/>
    <col width="54" customWidth="1" style="122" min="3" max="3"/>
    <col width="16" customWidth="1" style="122" min="4" max="4"/>
  </cols>
  <sheetData>
    <row r="1" ht="36" customHeight="1" s="146">
      <c r="A1" s="121" t="inlineStr">
        <is>
          <t>MONTHLY DATA IMPORT GUIDE</t>
        </is>
      </c>
    </row>
    <row r="2" ht="30" customHeight="1" s="146">
      <c r="A2" s="140" t="inlineStr">
        <is>
          <t>Complete in order at the start of each scoring month. All data tabs must be updated before the matrix is presented to SOMs. Target: complete by working day 5. Steps: (1) Paste Skillko — delete from row 5 first. (2) Append HSQE Events below last row. (3) Append Post-Cut Quality below last row. (4) Click Data → Refresh All — Pole Results updates automatically. (5) Set Dashboard date range: N1 = start, O1 = end. (6) Check Monthly Matrix — HIGH teams must have Action Log entries. (7) Month end only: copy col U rows 4-76 from Monthly Matrix, paste as VALUES into Historical Scores correct month column rows 5-77.</t>
        </is>
      </c>
    </row>
    <row r="4" ht="25.5" customHeight="1" s="146">
      <c r="A4" s="125" t="inlineStr">
        <is>
          <t>DATA SOURCES OVERVIEW</t>
        </is>
      </c>
    </row>
    <row r="5" ht="25.5" customHeight="1" s="146">
      <c r="A5" s="5" t="inlineStr">
        <is>
          <t>Source</t>
        </is>
      </c>
      <c r="B5" s="5" t="inlineStr">
        <is>
          <t>Where to get it</t>
        </is>
      </c>
      <c r="C5" s="5" t="inlineStr">
        <is>
          <t>Paste into tab</t>
        </is>
      </c>
      <c r="D5" s="5" t="inlineStr">
        <is>
          <t>Key columns</t>
        </is>
      </c>
    </row>
    <row r="6" ht="25.5" customHeight="1" s="146">
      <c r="A6" s="32" t="inlineStr">
        <is>
          <t>Skillko operatives + compliance</t>
        </is>
      </c>
      <c r="B6" s="11" t="inlineStr">
        <is>
          <t>Skillko BI export - run twice: Utility Arboriculture + ESB</t>
        </is>
      </c>
      <c r="C6" s="11" t="inlineStr">
        <is>
          <t>Data - Skillko</t>
        </is>
      </c>
      <c r="D6" s="11" t="inlineStr">
        <is>
          <t>All columns as exported. Keep all rows including Total rows.</t>
        </is>
      </c>
    </row>
    <row r="7" ht="25.5" customHeight="1" s="146">
      <c r="A7" s="77" t="inlineStr">
        <is>
          <t>HSQE Events (all Impact levels)</t>
        </is>
      </c>
      <c r="B7" s="78" t="inlineStr">
        <is>
          <t>HSQE Tracker 2 SharePoint list - export CSV filtered to current month + Utilities</t>
        </is>
      </c>
      <c r="C7" s="78" t="inlineStr">
        <is>
          <t>Data - HSQE Events</t>
        </is>
      </c>
      <c r="D7" s="78" t="inlineStr">
        <is>
          <t>DE/FT Name (col 22) | Impact (col 18) | Reported By (col 8) as fallback. Paste full 47-column export - do not reorder columns.</t>
        </is>
      </c>
    </row>
    <row r="8" ht="25.5" customHeight="1" s="146">
      <c r="A8" s="32" t="inlineStr">
        <is>
          <t>Post-Cut Quality Fails</t>
        </is>
      </c>
      <c r="B8" s="11" t="inlineStr">
        <is>
          <t>Post-cut quality SharePoint list - export filtered to current month</t>
        </is>
      </c>
      <c r="C8" s="11" t="inlineStr">
        <is>
          <t>Data - Post-Cut Quality</t>
        </is>
      </c>
      <c r="D8" s="11" t="inlineStr">
        <is>
          <t>FT On Site (col E) | Pole Result (col F) - non-compliant values counted</t>
        </is>
      </c>
    </row>
    <row r="9" ht="25.5" customHeight="1" s="146">
      <c r="A9" s="79" t="n"/>
      <c r="B9" s="79" t="n"/>
      <c r="C9" s="79" t="n"/>
      <c r="D9" s="79" t="n"/>
      <c r="E9" s="80" t="n"/>
    </row>
    <row r="12" ht="25.5" customHeight="1" s="146">
      <c r="A12" s="173" t="inlineStr">
        <is>
          <t>STEP 1 - UPDATE SCORING MONTH</t>
        </is>
      </c>
      <c r="B12" s="119" t="n"/>
      <c r="C12" s="119" t="n"/>
      <c r="D12" s="119" t="n"/>
    </row>
    <row r="13" ht="21.75" customHeight="1" s="146">
      <c r="A13" s="81" t="inlineStr">
        <is>
          <t>1.1</t>
        </is>
      </c>
      <c r="B13" s="175" t="inlineStr">
        <is>
          <t>Go to Monthly Matrix tab. Click cell AC3. Change to 1st of the month being scored e.g. 01/05/2026</t>
        </is>
      </c>
      <c r="C13" s="119" t="n"/>
      <c r="D13" s="119" t="n"/>
    </row>
    <row r="14" ht="21.75" customHeight="1" s="146">
      <c r="A14" s="81" t="inlineStr">
        <is>
          <t>1.2</t>
        </is>
      </c>
      <c r="B14" s="174" t="inlineStr">
        <is>
          <t>All tab headers and historical score columns reference this date automatically</t>
        </is>
      </c>
      <c r="C14" s="119" t="n"/>
      <c r="D14" s="119" t="n"/>
    </row>
    <row r="16" ht="25.5" customHeight="1" s="146">
      <c r="A16" s="173" t="inlineStr">
        <is>
          <t>STEP 2 - PASTE SKILLKO DATA</t>
        </is>
      </c>
      <c r="B16" s="119" t="n"/>
      <c r="C16" s="119" t="n"/>
      <c r="D16" s="119" t="n"/>
    </row>
    <row r="17" ht="21.75" customHeight="1" s="146">
      <c r="A17" s="81" t="inlineStr">
        <is>
          <t>2.1</t>
        </is>
      </c>
      <c r="B17" s="175" t="inlineStr">
        <is>
          <t>Export from Skillko BI filtered to Utility Arboriculture. Export again for ESB</t>
        </is>
      </c>
      <c r="C17" s="119" t="n"/>
      <c r="D17" s="119" t="n"/>
    </row>
    <row r="18" ht="21.75" customHeight="1" s="146">
      <c r="A18" s="81" t="inlineStr">
        <is>
          <t>2.2</t>
        </is>
      </c>
      <c r="B18" s="174" t="inlineStr">
        <is>
          <t>Go to Data - Skillko tab. Delete all data from row 5 downwards</t>
        </is>
      </c>
      <c r="C18" s="119" t="n"/>
      <c r="D18" s="119" t="n"/>
    </row>
    <row r="19" ht="21.75" customHeight="1" s="146">
      <c r="A19" s="81" t="inlineStr">
        <is>
          <t>2.3</t>
        </is>
      </c>
      <c r="B19" s="175" t="inlineStr">
        <is>
          <t>Paste both exports - Utility Arboriculture first, ESB below. Keep all rows including Total and course rows</t>
        </is>
      </c>
      <c r="C19" s="119" t="n"/>
      <c r="D19" s="119" t="n"/>
    </row>
    <row r="20" ht="21.75" customHeight="1" s="146">
      <c r="A20" s="81" t="inlineStr">
        <is>
          <t>2.4</t>
        </is>
      </c>
      <c r="B20" s="174" t="inlineStr">
        <is>
          <t>Operative counts and Skillko % in Monthly Matrix update automatically</t>
        </is>
      </c>
      <c r="C20" s="119" t="n"/>
      <c r="D20" s="119" t="n"/>
    </row>
    <row r="21" ht="21.75" customHeight="1" s="146">
      <c r="A21" s="81" t="inlineStr">
        <is>
          <t>2.5</t>
        </is>
      </c>
      <c r="B21" s="175" t="inlineStr">
        <is>
          <t>Check Field Teams tab col H - operative counts should refresh. Flag any teams showing 0 that should have operatives</t>
        </is>
      </c>
      <c r="C21" s="119" t="n"/>
      <c r="D21" s="119" t="n"/>
    </row>
    <row r="23" ht="25.5" customHeight="1" s="146">
      <c r="A23" s="173" t="inlineStr">
        <is>
          <t>STEP 3 - PASTE HSQE EVENTS DATA</t>
        </is>
      </c>
      <c r="B23" s="119" t="n"/>
      <c r="C23" s="119" t="n"/>
      <c r="D23" s="119" t="n"/>
    </row>
    <row r="24" ht="21.75" customHeight="1" s="146">
      <c r="A24" s="81" t="inlineStr">
        <is>
          <t>3.1</t>
        </is>
      </c>
      <c r="B24" s="174" t="inlineStr">
        <is>
          <t>Go to HSQE Tracker 2 in SharePoint. Filter list to: current month + Utilities subdivisions</t>
        </is>
      </c>
      <c r="C24" s="119" t="n"/>
      <c r="D24" s="119" t="n"/>
    </row>
    <row r="25" ht="21.75" customHeight="1" s="146">
      <c r="A25" s="81" t="inlineStr">
        <is>
          <t>3.2</t>
        </is>
      </c>
      <c r="B25" s="175" t="inlineStr">
        <is>
          <t>Export as CSV. Open the CSV</t>
        </is>
      </c>
      <c r="C25" s="119" t="n"/>
      <c r="D25" s="119" t="n"/>
    </row>
    <row r="26" ht="21.75" customHeight="1" s="146">
      <c r="A26" s="81" t="inlineStr">
        <is>
          <t>3.3</t>
        </is>
      </c>
      <c r="B26" s="174" t="inlineStr">
        <is>
          <t>Go to Data - HSQE Events tab. Find the first empty row in column A below all existing data. Click that cell. Paste. Do NOT delete previous months - this tab is a rolling annual log.</t>
        </is>
      </c>
      <c r="C26" s="119" t="n"/>
      <c r="D26" s="119" t="n"/>
    </row>
    <row r="27" ht="21.75" customHeight="1" s="146">
      <c r="A27" s="81" t="inlineStr">
        <is>
          <t>3.4</t>
        </is>
      </c>
      <c r="B27" s="175" t="inlineStr">
        <is>
          <t>Paste the full CSV export without removing or reordering columns. The tab now accepts all 47 columns as exported from SharePoint. Do NOT paste just selected columns - the matrix uses col 22 (DE/FT Name) and col 18 (Impact).</t>
        </is>
      </c>
      <c r="C27" s="119" t="n"/>
      <c r="D27" s="119" t="n"/>
    </row>
    <row r="28" ht="21.75" customHeight="1" s="146">
      <c r="A28" s="81" t="inlineStr">
        <is>
          <t>3.5</t>
        </is>
      </c>
      <c r="B28" s="174" t="inlineStr">
        <is>
          <t>Monthly Matrix counts Opportunity (G1) | Minor (G2) | Moderate + Major (G3+) per team. Team matching uses CONTAINS logic - prefix numbers (e.g. '7186 Eastwoodbury...') are handled automatically. Where DE/FT Name is blank, Reported By column is used as fallback.</t>
        </is>
      </c>
      <c r="C28" s="119" t="n"/>
      <c r="D28" s="119" t="n"/>
    </row>
    <row r="29" ht="21.75" customHeight="1" s="146">
      <c r="A29" s="81" t="inlineStr">
        <is>
          <t>3.6</t>
        </is>
      </c>
      <c r="B29" s="175" t="inlineStr">
        <is>
          <t>Any team with a Major impact event will show YES in col M of Monthly Matrix and be forced to HIGH automatically. Immediate escalation required - do not wait for month-end review.</t>
        </is>
      </c>
      <c r="C29" s="119" t="n"/>
      <c r="D29" s="119" t="n"/>
    </row>
    <row r="31" ht="25.5" customHeight="1" s="146">
      <c r="A31" s="173" t="inlineStr">
        <is>
          <t>STEP 4 - PASTE POST-CUT QUALITY DATA</t>
        </is>
      </c>
      <c r="B31" s="119" t="n"/>
      <c r="C31" s="119" t="n"/>
      <c r="D31" s="119" t="n"/>
    </row>
    <row r="32" ht="21.75" customHeight="1" s="146">
      <c r="A32" s="81" t="inlineStr">
        <is>
          <t>4.1</t>
        </is>
      </c>
      <c r="B32" s="174" t="inlineStr">
        <is>
          <t>Export post-cut quality inspection list filtered to current month</t>
        </is>
      </c>
      <c r="C32" s="119" t="n"/>
      <c r="D32" s="119" t="n"/>
    </row>
    <row r="33" ht="21.75" customHeight="1" s="146">
      <c r="A33" s="81" t="inlineStr">
        <is>
          <t>4.2</t>
        </is>
      </c>
      <c r="B33" s="175" t="inlineStr">
        <is>
          <t>Go to Data - Post-Cut Quality tab. Delete all data from row 5 downwards</t>
        </is>
      </c>
      <c r="C33" s="119" t="n"/>
      <c r="D33" s="119" t="n"/>
    </row>
    <row r="34" ht="21.75" customHeight="1" s="146">
      <c r="A34" s="81" t="inlineStr">
        <is>
          <t>4.3</t>
        </is>
      </c>
      <c r="B34" s="174" t="inlineStr">
        <is>
          <t>Paste export. Ensure FT On Site is in col E and Pole Result is in col F</t>
        </is>
      </c>
      <c r="C34" s="119" t="n"/>
      <c r="D34" s="119" t="n"/>
    </row>
    <row r="35" ht="21.75" customHeight="1" s="146">
      <c r="A35" s="81" t="inlineStr">
        <is>
          <t>4.4</t>
        </is>
      </c>
      <c r="B35" s="175" t="inlineStr">
        <is>
          <t>Matrix counts non-compliant Pole Result values per team using wildcard match on FT On Site</t>
        </is>
      </c>
      <c r="C35" s="119" t="n"/>
      <c r="D35" s="119" t="n"/>
    </row>
    <row r="36" ht="21.75" customHeight="1" s="146">
      <c r="A36" s="81" t="inlineStr">
        <is>
          <t>4.5</t>
        </is>
      </c>
      <c r="B36" s="174" t="inlineStr">
        <is>
          <t>Non-compliant values counted: Not Cut to Consent | Cut Not Compliant with BS3998 | Limited Cuts Recorded | Climbing Vegetation</t>
        </is>
      </c>
      <c r="C36" s="119" t="n"/>
      <c r="D36" s="119" t="n"/>
    </row>
    <row r="38" ht="25.5" customHeight="1" s="146">
      <c r="A38" s="83" t="n"/>
      <c r="B38" s="80" t="n"/>
      <c r="C38" s="80" t="n"/>
      <c r="D38" s="80" t="n"/>
      <c r="E38" s="80" t="n"/>
    </row>
    <row r="39" ht="21.75" customHeight="1" s="146">
      <c r="A39" s="84" t="n"/>
      <c r="B39" s="181" t="n"/>
      <c r="C39" s="80" t="n"/>
      <c r="D39" s="80" t="n"/>
      <c r="E39" s="80" t="n"/>
    </row>
    <row r="40" ht="21.75" customHeight="1" s="146">
      <c r="A40" s="84" t="n"/>
      <c r="B40" s="181" t="n"/>
      <c r="C40" s="80" t="n"/>
      <c r="D40" s="80" t="n"/>
      <c r="E40" s="80" t="n"/>
    </row>
    <row r="41" ht="21.75" customHeight="1" s="146">
      <c r="A41" s="81" t="inlineStr">
        <is>
          <t>5.3</t>
        </is>
      </c>
      <c r="B41" s="175" t="inlineStr">
        <is>
          <t>Column structure to be confirmed once export format is available - update this guide when confirmed</t>
        </is>
      </c>
      <c r="C41" s="119" t="n"/>
      <c r="D41" s="119" t="n"/>
    </row>
    <row r="43" ht="25.5" customHeight="1" s="146">
      <c r="A43" s="173" t="inlineStr">
        <is>
          <t>STEP 6 - REVIEW MATRIX AND DASHBOARD</t>
        </is>
      </c>
      <c r="B43" s="119" t="n"/>
      <c r="C43" s="119" t="n"/>
      <c r="D43" s="119" t="n"/>
    </row>
    <row r="44" ht="21.75" customHeight="1" s="146">
      <c r="A44" s="81" t="inlineStr">
        <is>
          <t>6.1</t>
        </is>
      </c>
      <c r="B44" s="174" t="inlineStr">
        <is>
          <t>Go to Monthly Matrix. Check col M - any YES in Major Event column requires immediate escalation</t>
        </is>
      </c>
      <c r="C44" s="119" t="n"/>
      <c r="D44" s="119" t="n"/>
    </row>
    <row r="45" ht="21.75" customHeight="1" s="146">
      <c r="A45" s="81" t="inlineStr">
        <is>
          <t>6.2</t>
        </is>
      </c>
      <c r="B45" s="175" t="inlineStr">
        <is>
          <t>In col Y (Prev Score): paste VALUES from last month's col W composite scores</t>
        </is>
      </c>
      <c r="C45" s="119" t="n"/>
      <c r="D45" s="119" t="n"/>
    </row>
    <row r="46" ht="21.75" customHeight="1" s="146">
      <c r="A46" s="81" t="inlineStr">
        <is>
          <t>6.3</t>
        </is>
      </c>
      <c r="B46" s="174" t="inlineStr">
        <is>
          <t>Check col AB - YES entries require improvement plans in Action Log within 5 working days</t>
        </is>
      </c>
      <c r="C46" s="119" t="n"/>
      <c r="D46" s="119" t="n"/>
    </row>
    <row r="47" ht="21.75" customHeight="1" s="146">
      <c r="A47" s="81" t="inlineStr">
        <is>
          <t>6.4</t>
        </is>
      </c>
      <c r="B47" s="175" t="inlineStr">
        <is>
          <t>Go to Dashboard - check both alert banners at top. Share Dashboard with SOMs before monthly review meeting</t>
        </is>
      </c>
      <c r="C47" s="119" t="n"/>
      <c r="D47" s="119" t="n"/>
    </row>
    <row r="48" ht="21.75" customHeight="1" s="146">
      <c r="A48" s="81" t="inlineStr">
        <is>
          <t>6.5</t>
        </is>
      </c>
      <c r="B48" s="174" t="inlineStr">
        <is>
          <t>For HIGH-risk teams: confirm improvement plans raised in Action Log and PM visit schedule activated</t>
        </is>
      </c>
      <c r="C48" s="119" t="n"/>
      <c r="D48" s="119" t="n"/>
    </row>
    <row r="50" ht="25.5" customHeight="1" s="146">
      <c r="A50" s="173" t="inlineStr">
        <is>
          <t>STEP 7 - SAVE HISTORICAL RECORD</t>
        </is>
      </c>
      <c r="B50" s="119" t="n"/>
      <c r="C50" s="119" t="n"/>
      <c r="D50" s="119" t="n"/>
    </row>
    <row r="51" ht="21.75" customHeight="1" s="146">
      <c r="A51" s="81" t="inlineStr">
        <is>
          <t>7.1</t>
        </is>
      </c>
      <c r="B51" s="175" t="inlineStr">
        <is>
          <t>Go to Historical Scores tab. Copy col W from Monthly Matrix (composite scores)</t>
        </is>
      </c>
      <c r="C51" s="119" t="n"/>
      <c r="D51" s="119" t="n"/>
    </row>
    <row r="52" ht="21.75" customHeight="1" s="146">
      <c r="A52" s="81" t="inlineStr">
        <is>
          <t>7.2</t>
        </is>
      </c>
      <c r="B52" s="174" t="inlineStr">
        <is>
          <t>Find correct month column e.g. May 2026. Paste as VALUES only - not formulas</t>
        </is>
      </c>
      <c r="C52" s="119" t="n"/>
      <c r="D52" s="119" t="n"/>
    </row>
    <row r="53" ht="21.75" customHeight="1" s="146">
      <c r="A53" s="81" t="inlineStr">
        <is>
          <t>7.3</t>
        </is>
      </c>
      <c r="B53" s="175" t="inlineStr">
        <is>
          <t>Save dated archive copy: FT_Risk_Matrix_May2026.xlsx - this is your audit record</t>
        </is>
      </c>
      <c r="C53" s="119" t="n"/>
      <c r="D53" s="119" t="n"/>
    </row>
    <row r="54" ht="21.75" customHeight="1" s="146">
      <c r="A54" s="81" t="inlineStr">
        <is>
          <t>7.4</t>
        </is>
      </c>
      <c r="B54" s="174" t="inlineStr">
        <is>
          <t>Overwrite live version as: FT_Risk_Matrix_Tracker_2026.xlsx</t>
        </is>
      </c>
      <c r="C54" s="119" t="n"/>
      <c r="D54" s="119" t="n"/>
    </row>
  </sheetData>
  <mergeCells count="37">
    <mergeCell ref="A23:D23"/>
    <mergeCell ref="B14:D14"/>
    <mergeCell ref="A4:D4"/>
    <mergeCell ref="B17:D17"/>
    <mergeCell ref="B13:D13"/>
    <mergeCell ref="A43:D43"/>
    <mergeCell ref="B44:D44"/>
    <mergeCell ref="B53:D53"/>
    <mergeCell ref="B29:D29"/>
    <mergeCell ref="B34:D34"/>
    <mergeCell ref="B28:D28"/>
    <mergeCell ref="B19:D19"/>
    <mergeCell ref="A31:D31"/>
    <mergeCell ref="B24:D24"/>
    <mergeCell ref="B51:D51"/>
    <mergeCell ref="B20:D20"/>
    <mergeCell ref="B33:D33"/>
    <mergeCell ref="A1:D1"/>
    <mergeCell ref="B36:D36"/>
    <mergeCell ref="B45:D45"/>
    <mergeCell ref="B41:D41"/>
    <mergeCell ref="B32:D32"/>
    <mergeCell ref="B35:D35"/>
    <mergeCell ref="B26:D26"/>
    <mergeCell ref="A16:D16"/>
    <mergeCell ref="B25:D25"/>
    <mergeCell ref="B47:D47"/>
    <mergeCell ref="B54:D54"/>
    <mergeCell ref="B46:D46"/>
    <mergeCell ref="A12:D12"/>
    <mergeCell ref="A50:D50"/>
    <mergeCell ref="B18:D18"/>
    <mergeCell ref="B27:D27"/>
    <mergeCell ref="B52:D52"/>
    <mergeCell ref="B21:D21"/>
    <mergeCell ref="A2:D2"/>
    <mergeCell ref="B48:D48"/>
  </mergeCells>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D9E2DC"/>
    <outlinePr summaryBelow="1" summaryRight="1"/>
    <pageSetUpPr/>
  </sheetPr>
  <dimension ref="A1:E32"/>
  <sheetViews>
    <sheetView showGridLines="0" zoomScaleNormal="100" workbookViewId="0">
      <selection activeCell="A1" sqref="A1"/>
    </sheetView>
  </sheetViews>
  <sheetFormatPr baseColWidth="10" defaultColWidth="8.6640625" defaultRowHeight="15" customHeight="1"/>
  <cols>
    <col width="30" customWidth="1" style="122" min="1" max="1"/>
    <col width="18" customWidth="1" style="122" min="2" max="5"/>
  </cols>
  <sheetData>
    <row r="1" ht="36" customHeight="1" s="146">
      <c r="A1" s="121" t="inlineStr">
        <is>
          <t>SCORING METHODOLOGY - QUICK REFERENCE</t>
        </is>
      </c>
    </row>
    <row r="2" ht="31.5" customHeight="1" s="146">
      <c r="A2" s="180" t="inlineStr">
        <is>
          <t>HOW THE COMPOSITE SCORE WORKS</t>
        </is>
      </c>
      <c r="B2" s="119" t="n"/>
      <c r="C2" s="119" t="n"/>
      <c r="D2" s="119" t="n"/>
      <c r="E2" s="119" t="n"/>
    </row>
    <row r="3" ht="43.5" customHeight="1" s="146">
      <c r="A3" s="179" t="inlineStr">
        <is>
          <t>Four scored metrics: Amber Alerts (weight 18) + Red Alerts (weight 6) + Skillko Compliance (weight 8) + Post-Cut Quality defect rate (weight 7). Total weight = 39. Composite = weighted average (1–5). Two override rules apply regardless of composite: (1) Major event forces AUTO HIGH. (2) Amber score ≥8 (team submitting &lt;20% of monthly target) forces AUTO HIGH.</t>
        </is>
      </c>
      <c r="B3" s="119" t="n"/>
      <c r="C3" s="119" t="n"/>
      <c r="D3" s="119" t="n"/>
      <c r="E3" s="119" t="n"/>
    </row>
    <row r="4" ht="7.5" customHeight="1" s="146">
      <c r="A4" s="145" t="inlineStr">
        <is>
          <t>Site Safety Visit (SSV)</t>
        </is>
      </c>
    </row>
    <row r="5" ht="31.5" customHeight="1" s="146">
      <c r="A5" s="176" t="inlineStr">
        <is>
          <t>Post-Cut Quality is scored as a defect rate from the Pole Results sheet: non-compliant poles / total poles assessed × 10, capped at 10. If no poles assessed in the period, quality score = 0 (no penalty for no data). Red Alert score = MAX(minor sub-score, moderate/major sub-score): each Minor = +0.8 above baseline 1, capped at 5, each Moderate/Major = 5pts, both capped at 10.</t>
        </is>
      </c>
      <c r="B5" s="119" t="n"/>
      <c r="C5" s="119" t="n"/>
      <c r="D5" s="119" t="n"/>
      <c r="E5" s="119" t="n"/>
    </row>
    <row r="6" ht="36" customHeight="1" s="146">
      <c r="A6" s="180" t="inlineStr">
        <is>
          <t>METRIC SCORING DETAIL</t>
        </is>
      </c>
      <c r="B6" s="119" t="n"/>
      <c r="C6" s="119" t="n"/>
      <c r="D6" s="119" t="n"/>
      <c r="E6" s="119" t="n"/>
    </row>
    <row r="7" ht="36" customHeight="1" s="146">
      <c r="A7" s="184" t="inlineStr">
        <is>
          <t>Grade 1 - Opportunity (proactive ambers)</t>
        </is>
      </c>
      <c r="B7" s="174" t="inlineStr">
        <is>
          <t>Target: operative count × 2 per month. Score = MAX(0,(target−actual)/target×10). Zero ambers raised = score 1.0 (1 star — team not reporting). Meeting target exactly = score 5.0 (5 stars). Weight 18 - highest weighted metric.</t>
        </is>
      </c>
      <c r="C7" s="119" t="n"/>
      <c r="D7" s="119" t="n"/>
      <c r="E7" s="119" t="n"/>
    </row>
    <row r="8" ht="36" customHeight="1" s="146">
      <c r="A8" s="184" t="inlineStr">
        <is>
          <t>Red Alerts (Minor)</t>
        </is>
      </c>
      <c r="B8" s="174" t="inlineStr">
        <is>
          <t>Target: 0. Each Minor event = 2 risk points, capped at 10. E.g. 4 Minor events = score 4.2. 5+ = score 5.0.</t>
        </is>
      </c>
      <c r="C8" s="119" t="n"/>
      <c r="D8" s="119" t="n"/>
      <c r="E8" s="119" t="n"/>
    </row>
    <row r="9" ht="36" customHeight="1" s="146">
      <c r="A9" s="184" t="inlineStr">
        <is>
          <t>Red Alerts (Moderate/Major)</t>
        </is>
      </c>
      <c r="B9" s="174" t="inlineStr">
        <is>
          <t>Target: 0. Each Moderate/Major event = 5 risk points, capped at 10. E.g. 2 Moderate events = score 10. Combined Red Alert Score = MAX(Minor sub-score, Mod/Maj sub-score).</t>
        </is>
      </c>
      <c r="C9" s="119" t="n"/>
      <c r="D9" s="119" t="n"/>
      <c r="E9" s="119" t="n"/>
    </row>
    <row r="10" ht="36" customHeight="1" s="146">
      <c r="A10" s="184" t="inlineStr">
        <is>
          <t>Major event override</t>
        </is>
      </c>
      <c r="B10" s="174" t="inlineStr">
        <is>
          <t>Any Major impact event forces the team to HIGH regardless of composite score. Appears as YES in Monthly Matrix col M. Immediate escalation - do not wait for month end.</t>
        </is>
      </c>
      <c r="C10" s="119" t="n"/>
      <c r="D10" s="119" t="n"/>
      <c r="E10" s="119" t="n"/>
    </row>
    <row r="11" ht="36" customHeight="1" s="146">
      <c r="A11" s="184" t="inlineStr">
        <is>
          <t>Skillko Compliance</t>
        </is>
      </c>
      <c r="B11" s="174" t="inlineStr">
        <is>
          <t>Target: 100%. Score = (1 − actual%) × 4 + 1, range 1–5. E.g. 70% compliance = score 2.2. Operative count and compliance % pull automatically from Data - Skillko tab.</t>
        </is>
      </c>
      <c r="C11" s="119" t="n"/>
      <c r="D11" s="119" t="n"/>
      <c r="E11" s="119" t="n"/>
    </row>
    <row r="12" ht="36" customHeight="1" s="146">
      <c r="A12" s="79" t="n"/>
      <c r="B12" s="181" t="n"/>
      <c r="C12" s="119" t="n"/>
      <c r="D12" s="119" t="n"/>
      <c r="E12" s="119" t="n"/>
    </row>
    <row r="13" ht="7.5" customHeight="1" s="146">
      <c r="A13" s="184" t="inlineStr">
        <is>
          <t>Post-Cut Quality - defect rate</t>
        </is>
      </c>
      <c r="B13" s="119" t="n"/>
      <c r="C13" s="119" t="n"/>
      <c r="D13" s="119" t="n"/>
      <c r="E13" s="152" t="n"/>
    </row>
    <row r="14" ht="31.5" customHeight="1" s="146">
      <c r="A14" s="176" t="inlineStr">
        <is>
          <t>Close-out Rate (amber alerts) | Monthly Matrix col AG. Resolved ambers / total ambers × 100. Info only - not scored. Target 100%. Below 80% = SOM/CDM review not keeping pace.</t>
        </is>
      </c>
      <c r="B14" s="119" t="n"/>
      <c r="C14" s="119" t="n"/>
      <c r="D14" s="119" t="n"/>
      <c r="E14" s="119" t="n"/>
    </row>
    <row r="15" ht="36" customHeight="1" s="146">
      <c r="A15" s="180" t="inlineStr">
        <is>
          <t>AMBER REPORTING TARGET</t>
        </is>
      </c>
      <c r="B15" s="119" t="n"/>
      <c r="C15" s="119" t="n"/>
      <c r="D15" s="119" t="n"/>
      <c r="E15" s="119" t="n"/>
    </row>
    <row r="16" ht="36" customHeight="1" s="146">
      <c r="A16" s="184" t="inlineStr">
        <is>
          <t>How the target is calculated</t>
        </is>
      </c>
      <c r="B16" s="174" t="inlineStr">
        <is>
          <t>Amber target = operative count × 2. Operative count comes from Skillko - counted as person-level rows (Job Role = Total) excluding company-named entries. Updates automatically each month when Skillko data is pasted.</t>
        </is>
      </c>
      <c r="C16" s="119" t="n"/>
      <c r="D16" s="119" t="n"/>
      <c r="E16" s="119" t="n"/>
    </row>
    <row r="17" ht="7.5" customHeight="1" s="146">
      <c r="A17" s="184" t="inlineStr">
        <is>
          <t>LATENT RISK FLOOR RULE</t>
        </is>
      </c>
      <c r="B17" s="119" t="n"/>
      <c r="C17" s="119" t="n"/>
      <c r="D17" s="119" t="n"/>
      <c r="E17" s="152" t="n"/>
    </row>
    <row r="18" ht="31.5" customHeight="1" s="146">
      <c r="A18" s="176" t="n"/>
      <c r="B18" s="119" t="n"/>
      <c r="C18" s="119" t="n"/>
      <c r="D18" s="119" t="n"/>
      <c r="E18" s="119" t="n"/>
    </row>
    <row r="19" ht="36" customHeight="1" s="146">
      <c r="A19" s="180" t="inlineStr">
        <is>
          <t>RISK BANDS</t>
        </is>
      </c>
      <c r="B19" s="119" t="n"/>
      <c r="C19" s="119" t="n"/>
      <c r="D19" s="119" t="n"/>
      <c r="E19" s="119" t="n"/>
    </row>
    <row r="20" ht="36" customHeight="1" s="146">
      <c r="A20" s="88" t="inlineStr">
        <is>
          <t>LOW risk (3.25 – 5.0 ★★★ to ★★★★★)</t>
        </is>
      </c>
      <c r="B20" s="177" t="inlineStr">
        <is>
          <t>Standard PM cadence. No mandatory improvement plan.</t>
        </is>
      </c>
      <c r="C20" s="119" t="n"/>
      <c r="D20" s="119" t="n"/>
      <c r="E20" s="119" t="n"/>
    </row>
    <row r="21" ht="36" customHeight="1" s="146">
      <c r="A21" s="89" t="inlineStr">
        <is>
          <t>MEDIUM risk (2.75 – 3.24 ★★ to ★★★)</t>
        </is>
      </c>
      <c r="B21" s="182" t="inlineStr">
        <is>
          <t>Weekly PM check-in. Coaching to be initiated.</t>
        </is>
      </c>
      <c r="C21" s="119" t="n"/>
      <c r="D21" s="119" t="n"/>
      <c r="E21" s="119" t="n"/>
    </row>
    <row r="22" ht="36" customHeight="1" s="146">
      <c r="A22" s="183" t="inlineStr">
        <is>
          <t>HIGH risk (1.0 – 2.74 ★ to ★★)</t>
        </is>
      </c>
      <c r="B22" s="178" t="inlineStr">
        <is>
          <t>PM 3x per week. Improvement plan within 5 working days. Maintained until LOW for 4 consecutive months.</t>
        </is>
      </c>
      <c r="C22" s="119" t="n"/>
      <c r="D22" s="119" t="n"/>
      <c r="E22" s="119" t="n"/>
    </row>
    <row r="23" ht="7.5" customHeight="1" s="146">
      <c r="A23" s="183" t="inlineStr">
        <is>
          <t>Major override</t>
        </is>
      </c>
      <c r="B23" s="119" t="n"/>
      <c r="C23" s="119" t="n"/>
      <c r="D23" s="119" t="n"/>
      <c r="E23" s="152" t="n"/>
    </row>
    <row r="24" ht="31.5" customHeight="1" s="146">
      <c r="A24" s="176" t="n"/>
      <c r="B24" s="119" t="n"/>
      <c r="C24" s="119" t="n"/>
      <c r="D24" s="119" t="n"/>
      <c r="E24" s="119" t="n"/>
    </row>
    <row r="25" ht="36" customHeight="1" s="146">
      <c r="A25" s="180" t="inlineStr">
        <is>
          <t>GOVERNANCE</t>
        </is>
      </c>
      <c r="B25" s="119" t="n"/>
      <c r="C25" s="119" t="n"/>
      <c r="D25" s="119" t="n"/>
      <c r="E25" s="119" t="n"/>
    </row>
    <row r="26" ht="36" customHeight="1" s="146">
      <c r="A26" s="184" t="inlineStr">
        <is>
          <t>Monthly review</t>
        </is>
      </c>
      <c r="B26" s="174" t="inlineStr">
        <is>
          <t>SOM / CM meeting - all active teams scored, Dashboard presented.</t>
        </is>
      </c>
      <c r="C26" s="119" t="n"/>
      <c r="D26" s="119" t="n"/>
      <c r="E26" s="119" t="n"/>
    </row>
    <row r="27" ht="36" customHeight="1" s="146">
      <c r="A27" s="184" t="inlineStr">
        <is>
          <t>HIGH trigger</t>
        </is>
      </c>
      <c r="B27" s="174" t="inlineStr">
        <is>
          <t>Improvement plan within 5 working days. PM visits 3x per week.</t>
        </is>
      </c>
      <c r="C27" s="119" t="n"/>
      <c r="D27" s="119" t="n"/>
      <c r="E27" s="119" t="n"/>
    </row>
    <row r="28" ht="36" customHeight="1" s="146">
      <c r="A28" s="184" t="inlineStr">
        <is>
          <t>Step-down</t>
        </is>
      </c>
      <c r="B28" s="174" t="inlineStr">
        <is>
          <t>HIGH cadence maintained until LOW for 4 consecutive months.</t>
        </is>
      </c>
      <c r="C28" s="119" t="n"/>
      <c r="D28" s="119" t="n"/>
      <c r="E28" s="119" t="n"/>
    </row>
    <row r="29" ht="36" customHeight="1" s="146">
      <c r="A29" s="184" t="inlineStr">
        <is>
          <t>Major events</t>
        </is>
      </c>
      <c r="B29" s="174" t="inlineStr">
        <is>
          <t>Immediate escalation - do not wait for month-end review.</t>
        </is>
      </c>
      <c r="C29" s="119" t="n"/>
      <c r="D29" s="119" t="n"/>
      <c r="E29" s="119" t="n"/>
    </row>
    <row r="30" ht="36" customHeight="1" s="146">
      <c r="A30" s="184" t="inlineStr">
        <is>
          <t>New teams</t>
        </is>
      </c>
      <c r="B30" s="174" t="inlineStr">
        <is>
          <t>Add to Field Teams tab - appear in matrix automatically.</t>
        </is>
      </c>
      <c r="C30" s="119" t="n"/>
      <c r="D30" s="119" t="n"/>
      <c r="E30" s="119" t="n"/>
    </row>
    <row r="31" ht="36" customHeight="1" s="146">
      <c r="A31" s="184" t="inlineStr">
        <is>
          <t>Deactivated teams</t>
        </is>
      </c>
      <c r="B31" s="174" t="inlineStr">
        <is>
          <t>Set Status = Inactive in Field Teams tab - drop out immediately.</t>
        </is>
      </c>
      <c r="C31" s="119" t="n"/>
      <c r="D31" s="119" t="n"/>
      <c r="E31" s="119" t="n"/>
    </row>
    <row r="32" ht="52" customHeight="1" s="146">
      <c r="A32" s="184" t="inlineStr">
        <is>
          <t>FT Reps</t>
        </is>
      </c>
      <c r="B32" s="174" t="inlineStr">
        <is>
          <t>2 meetings per year. Actions shared with wider FT population within 5 working days.</t>
        </is>
      </c>
      <c r="C32" s="119" t="n"/>
      <c r="D32" s="119" t="n"/>
      <c r="E32" s="119" t="n"/>
    </row>
  </sheetData>
  <mergeCells count="30">
    <mergeCell ref="B9:E9"/>
    <mergeCell ref="A24:E24"/>
    <mergeCell ref="B6:E6"/>
    <mergeCell ref="B30:E30"/>
    <mergeCell ref="B15:E15"/>
    <mergeCell ref="A1:E1"/>
    <mergeCell ref="B20:E20"/>
    <mergeCell ref="B26:E26"/>
    <mergeCell ref="B16:E16"/>
    <mergeCell ref="B7:E7"/>
    <mergeCell ref="B25:E25"/>
    <mergeCell ref="A18:E18"/>
    <mergeCell ref="B22:E22"/>
    <mergeCell ref="A3:E3"/>
    <mergeCell ref="B31:E31"/>
    <mergeCell ref="B27:E27"/>
    <mergeCell ref="A2:E2"/>
    <mergeCell ref="B12:E12"/>
    <mergeCell ref="B21:E21"/>
    <mergeCell ref="A5:E5"/>
    <mergeCell ref="A23:E23"/>
    <mergeCell ref="A14:E14"/>
    <mergeCell ref="A17:E17"/>
    <mergeCell ref="A4:E4"/>
    <mergeCell ref="B8:E8"/>
    <mergeCell ref="B29:E29"/>
    <mergeCell ref="A13:E13"/>
    <mergeCell ref="B19:E19"/>
    <mergeCell ref="B10:E10"/>
    <mergeCell ref="B28:E28"/>
  </mergeCells>
  <pageMargins left="0.7" right="0.7" top="0.75" bottom="0.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D45"/>
  <sheetViews>
    <sheetView zoomScaleNormal="100" workbookViewId="0">
      <selection activeCell="A1" sqref="A1"/>
    </sheetView>
  </sheetViews>
  <sheetFormatPr baseColWidth="10" defaultColWidth="8.6640625" defaultRowHeight="15" customHeight="1"/>
  <cols>
    <col width="22" customWidth="1" style="122" min="1" max="1"/>
    <col width="110" customWidth="1" style="122" min="2" max="2"/>
  </cols>
  <sheetData>
    <row r="1" ht="15" customHeight="1" s="146">
      <c r="A1" s="91" t="inlineStr">
        <is>
          <t>Area</t>
        </is>
      </c>
      <c r="B1" s="91" t="inlineStr">
        <is>
          <t>Finding / Fix</t>
        </is>
      </c>
      <c r="C1" s="122" t="n"/>
      <c r="D1" s="122" t="n"/>
    </row>
    <row r="2" ht="28.25" customHeight="1" s="146">
      <c r="A2" s="122" t="inlineStr">
        <is>
          <t>Risk model</t>
        </is>
      </c>
      <c r="B2" s="92" t="inlineStr">
        <is>
          <t>Model uses four scored metrics: Amber Alert Count (weight 18), Red Alert Score (weight 6, Minor + Moderate/Major combined), Skillko Compliance (weight 8), Post-Cut Quality defect rate (weight 7). Total weight 39. HIGH threshold 5.5, MEDIUM threshold 4.5.</t>
        </is>
      </c>
      <c r="C2" s="122" t="n"/>
      <c r="D2" s="122" t="n"/>
    </row>
    <row r="3" ht="15" customHeight="1" s="146">
      <c r="A3" s="122" t="inlineStr">
        <is>
          <t>Removed metrics</t>
        </is>
      </c>
      <c r="B3" s="92" t="inlineStr">
        <is>
          <t>Red Alerts (G2 Minor and G3+ Moderate/Major) were previously information-only with zero weight. Now combined into a single Red Alert Score (col R, weight 6). Major events still force AUTO HIGH via separate override. POWRA removed. Amber floor rule: score ≥8 forces AUTO HIGH.</t>
        </is>
      </c>
      <c r="C3" s="122" t="n"/>
      <c r="D3" s="122" t="n"/>
    </row>
    <row r="4" ht="15" customHeight="1" s="146">
      <c r="A4" s="122" t="inlineStr">
        <is>
          <t>Quality logic</t>
        </is>
      </c>
      <c r="B4" s="92" t="inlineStr">
        <is>
          <t>Post-Cut Quality now parses pole-by-pole results from Summary of Works (col T) into the Pole Results sheet. Monthly Matrix counts compliant and non-compliant poles directly from Pole Results using SUMPRODUCT SEARCH. Legacy substring formulas in cols Y/Z/AA/AB are superseded and marked LEGACY.</t>
        </is>
      </c>
      <c r="C4" s="122" t="n"/>
      <c r="D4" s="122" t="n"/>
    </row>
    <row r="5" ht="28.25" customHeight="1" s="146">
      <c r="A5" s="122" t="inlineStr">
        <is>
          <t>Quality context</t>
        </is>
      </c>
      <c r="B5" s="92" t="inlineStr">
        <is>
          <t>Monthly Matrix shows: P = non-compliant poles, AC = total poles assessed, AD = compliant poles, T = quality score (defect rate × 10). Multi-team inspections split into one row per team in Pole Results using longest-name-first matching against Field Teams register.</t>
        </is>
      </c>
      <c r="C5" s="122" t="inlineStr">
        <is>
          <t>Fix applied</t>
        </is>
      </c>
      <c r="D5" s="122" t="inlineStr">
        <is>
          <t>Why it matters</t>
        </is>
      </c>
    </row>
    <row r="6" ht="15" customHeight="1" s="146">
      <c r="A6" s="122" t="inlineStr">
        <is>
          <t>Dashboard</t>
        </is>
      </c>
      <c r="B6" s="92" t="inlineStr">
        <is>
          <t>Top/bottom 10 tables now show Amber Count, Amber Target, Skillko %, Quality Fails, Poles Assessed, Compliant %, and Plan?</t>
        </is>
      </c>
      <c r="C6" s="122" t="inlineStr">
        <is>
          <t>Changed logic to look at RAG in V instead of rank score in X.</t>
        </is>
      </c>
      <c r="D6" s="122" t="inlineStr">
        <is>
          <t>HIGH teams now correctly show improvement plan requirement.</t>
        </is>
      </c>
    </row>
    <row r="7" ht="15" customHeight="1" s="146">
      <c r="A7" s="122" t="inlineStr">
        <is>
          <t>Month selector</t>
        </is>
      </c>
      <c r="B7" s="92" t="inlineStr">
        <is>
          <t>Dashboard N1 is the editable scoring month; Monthly Matrix AB3 references Dashboard N1.</t>
        </is>
      </c>
      <c r="C7" s="122" t="inlineStr">
        <is>
          <t>Changed lookup from Monthly Matrix AB to AA.</t>
        </is>
      </c>
      <c r="D7" s="122" t="inlineStr">
        <is>
          <t>Top 10 table now shows the actual plan requirement.</t>
        </is>
      </c>
    </row>
    <row r="8" ht="15" customHeight="1" s="146">
      <c r="A8" s="122" t="inlineStr">
        <is>
          <t>Targets</t>
        </is>
      </c>
      <c r="B8" s="92" t="inlineStr">
        <is>
          <t>Skillko and Post-Cut Quality compliant rate targets set to 95%.</t>
        </is>
      </c>
      <c r="C8" s="122" t="inlineStr">
        <is>
          <t>Changed AC3 to AB3.</t>
        </is>
      </c>
      <c r="D8" s="122" t="inlineStr">
        <is>
          <t>Prevents monthly update mistake. AC is used for poles assessed.</t>
        </is>
      </c>
    </row>
    <row r="9" ht="15" customHeight="1" s="146">
      <c r="A9" s="122" t="inlineStr">
        <is>
          <t>Known parsing limitation - CLOSED</t>
        </is>
      </c>
      <c r="B9" s="122" t="inlineStr">
        <is>
          <t>For automatic calculation, the helper uses each "Quality of Works / Criteria of Failings:" entry as the assessed unit. Where multiple pole numbers are grouped under one compliant criterion, that grouped entry counts as one check unless the export provides a separate criterion per pole.</t>
        </is>
      </c>
      <c r="C9" s="122" t="inlineStr">
        <is>
          <t>Resolved by operational instruction: one SafetyCulture form per contractor per inspection. Multi-team forms will not occur in routine use.</t>
        </is>
      </c>
      <c r="D9" s="122" t="inlineStr">
        <is>
          <t>Closed 29 Apr 2026</t>
        </is>
      </c>
    </row>
    <row r="10" ht="15" customHeight="1" s="146">
      <c r="A10" s="122" t="inlineStr">
        <is>
          <t>Amber target guidance said operative count is manual</t>
        </is>
      </c>
      <c r="B10" s="122" t="inlineStr">
        <is>
          <t>Settings!A23</t>
        </is>
      </c>
      <c r="C10" s="122" t="inlineStr">
        <is>
          <t>Updated wording to reflect Skillko auto-calculation.</t>
        </is>
      </c>
      <c r="D10" s="122" t="inlineStr">
        <is>
          <t>Avoids accidental manual overrides.</t>
        </is>
      </c>
    </row>
    <row r="11" ht="15" customHeight="1" s="146">
      <c r="A11" s="122" t="inlineStr">
        <is>
          <t>New team checker had no formulas</t>
        </is>
      </c>
      <c r="B11" s="122" t="inlineStr">
        <is>
          <t>Field Teams!L6:N204</t>
        </is>
      </c>
      <c r="C11" s="122" t="inlineStr">
        <is>
          <t>Checked current Skillko paste against master list; no missing teams found. Left a clear status message instead of unsupported spill formulas.</t>
        </is>
      </c>
      <c r="D11" s="122" t="inlineStr">
        <is>
          <t>Avoids false formula/spill errors while still confirming current data is aligned.</t>
        </is>
      </c>
    </row>
    <row r="12" ht="15" customHeight="1" s="146">
      <c r="C12" s="122" t="n"/>
      <c r="D12" s="122" t="n"/>
    </row>
    <row r="13" ht="15" customHeight="1" s="146">
      <c r="A13" s="122" t="inlineStr">
        <is>
          <t>Still worth checking</t>
        </is>
      </c>
      <c r="B13" s="122" t="inlineStr">
        <is>
          <t>Where</t>
        </is>
      </c>
      <c r="C13" s="122" t="inlineStr">
        <is>
          <t>Comment</t>
        </is>
      </c>
      <c r="D13" s="122" t="inlineStr">
        <is>
          <t>Suggested next action</t>
        </is>
      </c>
    </row>
    <row r="14" ht="15" customHeight="1" s="146">
      <c r="A14" s="122" t="inlineStr">
        <is>
          <t>Threshold mismatch</t>
        </is>
      </c>
      <c r="B14" s="122" t="inlineStr">
        <is>
          <t>Settings rows 17-18 vs D22:D23</t>
        </is>
      </c>
      <c r="C14" s="122" t="inlineStr">
        <is>
          <t>Risk guide says HIGH starts at 6.7 and MEDIUM at 3.4, but live thresholds are HIGH &gt;= 6 and MEDIUM &gt;= 4.5.</t>
        </is>
      </c>
      <c r="D14" s="122" t="inlineStr">
        <is>
          <t>Decide whether the scoring logic or written guide is the source of truth.</t>
        </is>
      </c>
    </row>
    <row r="15" ht="15" customHeight="1" s="146">
      <c r="A15" s="122" t="inlineStr">
        <is>
          <t>Score weighting is currently narrow</t>
        </is>
      </c>
      <c r="B15" s="122" t="inlineStr">
        <is>
          <t>Settings D6:D12 / Monthly Matrix U</t>
        </is>
      </c>
      <c r="C15" s="122" t="inlineStr">
        <is>
          <t>Only Amber, Skillko and Quality are active. G2/G3/Major are info/override only.</t>
        </is>
      </c>
      <c r="D15" s="122" t="inlineStr">
        <is>
          <t>This may be intentional, but confirm before leadership use.</t>
        </is>
      </c>
    </row>
    <row r="16" ht="15" customHeight="1" s="146">
      <c r="A16" s="122" t="inlineStr">
        <is>
          <t>Action Log is blank</t>
        </is>
      </c>
      <c r="B16" s="122" t="inlineStr">
        <is>
          <t>Action Log</t>
        </is>
      </c>
      <c r="C16" s="122" t="inlineStr">
        <is>
          <t>HIGH teams do not automatically populate improvement plan entries.</t>
        </is>
      </c>
      <c r="D16" s="122" t="inlineStr">
        <is>
          <t>Use Dashboard top 10 / Monthly Matrix HIGH list to manually seed actions or automate this next.</t>
        </is>
      </c>
    </row>
    <row r="17" ht="15" customHeight="1" s="146">
      <c r="A17" s="122" t="inlineStr">
        <is>
          <t>Audit Schedule is blank</t>
        </is>
      </c>
      <c r="B17" s="122" t="inlineStr">
        <is>
          <t>Audit Schedule</t>
        </is>
      </c>
      <c r="C17" s="122" t="inlineStr">
        <is>
          <t>No visit schedule auto-populated from RAG.</t>
        </is>
      </c>
      <c r="D17" s="122" t="inlineStr">
        <is>
          <t>Generate schedule from Monthly Matrix once cadence rules are locked.</t>
        </is>
      </c>
    </row>
    <row r="18" ht="15" customHeight="1" s="146">
      <c r="C18" s="122" t="n"/>
      <c r="D18" s="122" t="n"/>
    </row>
    <row r="19" ht="15" customHeight="1" s="146">
      <c r="A19" s="122" t="inlineStr">
        <is>
          <t>Current snapshot</t>
        </is>
      </c>
      <c r="C19" s="122" t="n"/>
      <c r="D19" s="122" t="n"/>
    </row>
    <row r="20" ht="15" customHeight="1" s="146">
      <c r="A20" s="122" t="inlineStr">
        <is>
          <t>Active teams</t>
        </is>
      </c>
      <c r="B20" s="122">
        <f>Dashboard!A6</f>
        <v/>
      </c>
      <c r="C20" s="122" t="n"/>
      <c r="D20" s="122" t="n"/>
    </row>
    <row r="21" ht="15" customHeight="1" s="146">
      <c r="A21" s="122" t="inlineStr">
        <is>
          <t>LOW risk</t>
        </is>
      </c>
      <c r="B21" s="122">
        <f>Dashboard!D6</f>
        <v/>
      </c>
      <c r="C21" s="122" t="n"/>
      <c r="D21" s="122" t="n"/>
    </row>
    <row r="22" ht="15" customHeight="1" s="146">
      <c r="A22" s="122" t="inlineStr">
        <is>
          <t>MEDIUM risk</t>
        </is>
      </c>
      <c r="B22" s="122">
        <f>Dashboard!H6</f>
        <v/>
      </c>
      <c r="C22" s="122" t="n"/>
      <c r="D22" s="122" t="n"/>
    </row>
    <row r="23" ht="15" customHeight="1" s="146">
      <c r="A23" s="122" t="inlineStr">
        <is>
          <t>HIGH risk</t>
        </is>
      </c>
      <c r="B23" s="122">
        <f>Dashboard!L6</f>
        <v/>
      </c>
      <c r="C23" s="122" t="n"/>
      <c r="D23" s="122" t="n"/>
    </row>
    <row r="24" ht="13" customHeight="1" s="146">
      <c r="A24" t="inlineStr">
        <is>
          <t>Quality scoring - rate conversion</t>
        </is>
      </c>
      <c r="B24" t="inlineStr">
        <is>
          <t>Quality Score (col T, Monthly Matrix) changed from count-based (each non-compliant pole = 2 pts) to rate-based: (non-compliant poles / total poles assessed) × 10. Eliminates workload bias where high-volume teams were penalised vs low-volume teams with the same defect rate.</t>
        </is>
      </c>
      <c r="C24" t="inlineStr">
        <is>
          <t>T4:T76 formula updated; Settings A12/B12/E12 updated; Scoring Guide A3/A4/B12 updated.</t>
        </is>
      </c>
      <c r="D24" t="inlineStr">
        <is>
          <t>29 Apr 2026</t>
        </is>
      </c>
    </row>
    <row r="25" ht="13" customHeight="1" s="146">
      <c r="A25" t="inlineStr">
        <is>
          <t>Quality scoring - no-data handling</t>
        </is>
      </c>
      <c r="B25" t="inlineStr">
        <is>
          <t>If no post-cut quality inspections exist for a team in the scoring month (AC = 0), Quality Score returns 0 rather than penalising the team. Previously MAX(1,...) guard caused (1-0/1)*10 = 10 when no data present under old rate logic.</t>
        </is>
      </c>
      <c r="C25" t="inlineStr">
        <is>
          <t>IFERROR wrapper in T formula catches AC=0 division and returns 0.</t>
        </is>
      </c>
      <c r="D25" t="inlineStr">
        <is>
          <t>29 Apr 2026</t>
        </is>
      </c>
    </row>
    <row r="26" ht="13" customHeight="1" s="146">
      <c r="A26" t="inlineStr">
        <is>
          <t>Threshold mismatch - RESOLVED</t>
        </is>
      </c>
      <c r="B26" t="inlineStr">
        <is>
          <t>Scoring Guide thresholds corrected to match live Settings/formula values: LOW 0.0-4.4, MEDIUM 4.5-5.9, HIGH 6.0+. Previously Scoring Guide stated LOW 0-3.3, MEDIUM 3.4-6.6, HIGH 6.7+ which did not match the live thresholds in Settings D22:D23.</t>
        </is>
      </c>
      <c r="C26" t="inlineStr">
        <is>
          <t>Scoring Guide A19:B21 updated.</t>
        </is>
      </c>
      <c r="D26" t="inlineStr">
        <is>
          <t>29 Apr 2026</t>
        </is>
      </c>
    </row>
    <row r="27" ht="13" customHeight="1" s="146">
      <c r="A27" t="inlineStr">
        <is>
          <t>Dashboard col L label - RESOLVED</t>
        </is>
      </c>
      <c r="B27" t="inlineStr">
        <is>
          <t>Dashboard top 10 and bottom 10 tables col L header was labelled "Compliant %" but the formula returns a raw compliant check count (from Monthly Matrix col AD), not a percentage. Header corrected to "Compliant Checks".</t>
        </is>
      </c>
      <c r="C27" t="inlineStr">
        <is>
          <t>Dashboard L12 and L38 updated.</t>
        </is>
      </c>
      <c r="D27" t="inlineStr">
        <is>
          <t>29 Apr 2026</t>
        </is>
      </c>
    </row>
    <row r="28" ht="13" customHeight="1" s="146">
      <c r="A28" t="inlineStr">
        <is>
          <t>Inactive team filtering - FIXED</t>
        </is>
      </c>
      <c r="B28" t="inlineStr">
        <is>
          <t>Monthly Matrix previously scored all 73 team rows regardless of Status. Inactive teams appeared in rankings, top/bottom 10 tables, and RAG counts. Fix: U (composite), V (RAG), W (rank high), X (rank low), Y (rank score), and AA (plan required) now check Field Teams Status before calculating. Inactive teams return blank score/RAG, -1 rank high, 999 rank low - excluded from all dashboard tables and COUNTIF RAG bands automatically.</t>
        </is>
      </c>
      <c r="C28" t="inlineStr">
        <is>
          <t>Monthly Matrix U4:U76, V4:V76, W4:W76, X4:X76, Y4:Y76, AA4:AA76 updated.</t>
        </is>
      </c>
      <c r="D28" t="inlineStr">
        <is>
          <t>29 Apr 2026</t>
        </is>
      </c>
    </row>
    <row r="29" ht="13" customHeight="1" s="146">
      <c r="A29" t="inlineStr">
        <is>
          <t>Status dropdown - ADDED</t>
        </is>
      </c>
      <c r="B29" t="inlineStr">
        <is>
          <t>Field Teams col I (Status) had no data validation. Free-text entry meant typos (e.g. "active", "INACTIVE", "inactive ") silently broke the inactive filter. Dropdown validation added to I5:I204 restricting entry to Active or Inactive only.</t>
        </is>
      </c>
      <c r="C29" t="inlineStr">
        <is>
          <t>Data validation added: Field Teams I5:I204, list = Active | Inactive.</t>
        </is>
      </c>
      <c r="D29" t="inlineStr">
        <is>
          <t>29 Apr 2026</t>
        </is>
      </c>
    </row>
    <row r="30" ht="13" customHeight="1" s="146">
      <c r="A30" t="inlineStr">
        <is>
          <t>Date filter changed to range - DONE</t>
        </is>
      </c>
      <c r="B30" t="inlineStr">
        <is>
          <t>Single-month filter (MONTH/YEAR match on Dashboard N1) replaced with date range. Dashboard N1 = range start (existing). Dashboard O1 = range end (new, default 30 Apr 2026). Monthly Matrix AE3 = Dashboard O1. HSQE Events J/K/L/M: filter changed to F &gt;= AB3 AND F &lt;= AE3 (datetime comparison). Post-Cut Quality P/AC/AD: text date in col L converted via DATE(y,m,d) and filtered &gt;= AB3 AND &lt;= AE3.</t>
        </is>
      </c>
      <c r="C30" t="inlineStr">
        <is>
          <t>Dashboard O1/O2 added; MM AE3 added; MM J4:M76, P4:P76, AC4:AC76, AD4:AD76 updated.</t>
        </is>
      </c>
      <c r="D30" t="inlineStr">
        <is>
          <t>29 Apr 2026</t>
        </is>
      </c>
    </row>
    <row r="31" ht="13" customHeight="1" s="146">
      <c r="A31" t="inlineStr">
        <is>
          <t>G2/G3+ merged into Red Alert score - DONE</t>
        </is>
      </c>
      <c r="B31" t="inlineStr">
        <is>
          <t>G2 (Minor) and G3+ (Moderate/Major) were information-only with zero weight. Merged into a single Red Alert Score (col R). Scoring: Minor = 2pts/event capped at 10; Moderate/Major = 5pts/event capped at 10. Red Alert Score = MAX of the two sub-scores. Weight = 6. Major event AUTO HIGH override retained separately. Total composite weight increases from 30 to 36 (self-normalising). K col = Minor count, L col = Mod/Maj count (both retained for breakdown). S col cleared (G3+ score no longer a separate column).</t>
        </is>
      </c>
      <c r="C31" t="inlineStr">
        <is>
          <t>Settings A7/B7/C7/D7/E7/F7 updated; D8 set to 0; D13 updated to include D7. MM K3/L3/R3 headers updated; S3/S4:S76 cleared. R4:R76 formula updated. U4:U76 composite updated.</t>
        </is>
      </c>
      <c r="D31" t="inlineStr">
        <is>
          <t>29 Apr 2026</t>
        </is>
      </c>
    </row>
    <row r="32" ht="13" customHeight="1" s="146">
      <c r="A32" t="inlineStr">
        <is>
          <t>Amber weight recalibrated - DONE</t>
        </is>
      </c>
      <c r="B32" t="inlineStr">
        <is>
          <t>Amber weight raised from 15 to 18 following addition of Red Alert weight (6). Adding Red Alert to denominator (30-&gt;36) diluted amber contribution, dropping zero-amber teams from MEDIUM to LOW and reducing bad-team composite below HIGH threshold. Weight 18 restores amber as dominant metric. New total weight = 39 (18+6+8+7). Zero ambers alone now scores 4.6 [MEDIUM]. Bad team (amber=8,red=6,skl=3,qual=3) correctly scores HIGH. D13 self-normalises via =D6+D7+D10+D12 - no formula changes required.</t>
        </is>
      </c>
      <c r="C32" t="inlineStr">
        <is>
          <t>Settings D6 updated to 18.</t>
        </is>
      </c>
      <c r="D32" t="inlineStr">
        <is>
          <t>29 Apr 2026</t>
        </is>
      </c>
    </row>
    <row r="33" ht="13" customHeight="1" s="146">
      <c r="A33" t="inlineStr">
        <is>
          <t>HIGH threshold lowered to 5.5 - DONE</t>
        </is>
      </c>
      <c r="B33" t="inlineStr">
        <is>
          <t>HIGH threshold reduced from 6.0 to 5.5 in Settings D22. Restores correct RAG classification for teams with significant multi-metric failures. Bad team (amber=8, red=6, skillko=3, quality=3) now correctly scores HIGH (5.8). Zero ambers alone scores 4.6 [MEDIUM] - floor rule will elevate to HIGH for zero reporters. MEDIUM band narrows to 4.5-5.4. Settings B18/B19 and Scoring Guide A20/A21 updated.</t>
        </is>
      </c>
      <c r="C33" t="inlineStr">
        <is>
          <t>Settings D22=5.5, B18/B19 updated. Scoring Guide A20/A21 updated.</t>
        </is>
      </c>
      <c r="D33" t="inlineStr">
        <is>
          <t>29 Apr 2026</t>
        </is>
      </c>
    </row>
    <row r="34" ht="13" customHeight="1" s="146">
      <c r="A34" t="inlineStr">
        <is>
          <t>Latent risk floor rule added - DONE</t>
        </is>
      </c>
      <c r="B34" t="inlineStr">
        <is>
          <t>RAG formula (col V) updated to include amber floor rule. Teams with amber score &gt;= 8 (submitting &lt; 20% of monthly target, including zero reporters) are automatically rated HIGH regardless of composite score. Floor threshold stored in Settings D25 = 8 (adjustable). Rule fires after Major event override and before composite threshold checks. Closes false-assurance gap where zero-amber teams scored MEDIUM via composite.</t>
        </is>
      </c>
      <c r="C34" t="inlineStr">
        <is>
          <t>Settings C25/D25/E25/A25 added. V4:V76 formula updated. Scoring Guide A16/B16 added.</t>
        </is>
      </c>
      <c r="D34" t="inlineStr">
        <is>
          <t>29 Apr 2026</t>
        </is>
      </c>
    </row>
    <row r="35" ht="13" customHeight="1" s="146">
      <c r="A35" t="inlineStr">
        <is>
          <t>Close-out rate metric added - DONE</t>
        </is>
      </c>
      <c r="B35" t="inlineStr">
        <is>
          <t>New columns AF (Amber Close-out Count) and AG (Close-out Rate %) added to Monthly Matrix. AF = SUMPRODUCT matching team + date range + Impact=Opportunity + Resolved=Yes. AG = AF/J*100. Information only, not scored. Dashboard row 31 shows portfolio average, target 100%, warning at 80%. Settings row 14 documents metric. Mock data in HSQE Events rows 13-58 for testing.</t>
        </is>
      </c>
      <c r="C35" t="inlineStr">
        <is>
          <t>MM AF3:AF76, AG3:AG76 added. Settings A14-F14. Scoring Guide A13 updated. Dashboard B31-D31.</t>
        </is>
      </c>
      <c r="D35" t="inlineStr">
        <is>
          <t>29 Apr 2026</t>
        </is>
      </c>
    </row>
    <row r="36" ht="13" customHeight="1" s="146">
      <c r="A36" t="inlineStr">
        <is>
          <t>Mock HSQE data inserted - REMOVE before production</t>
        </is>
      </c>
      <c r="B36" t="inlineStr">
        <is>
          <t>Mock amber and red alert events in HSQE Events rows 13-58. 8 teams with varied volumes and close-out profiles. FT-004 = zero ambers (floor rule test). FT-006 = near-zero, none resolved. Delete rows 13-58 before go-live and replace with real Tracker 2 export.</t>
        </is>
      </c>
      <c r="C36" t="inlineStr">
        <is>
          <t>HSQE Events rows 13:58</t>
        </is>
      </c>
      <c r="D36" t="inlineStr">
        <is>
          <t>29 Apr 2026 - TEST ONLY</t>
        </is>
      </c>
    </row>
    <row r="37" ht="13" customHeight="1" s="146">
      <c r="A37" t="inlineStr">
        <is>
          <t>Close-out rate metric added - DONE</t>
        </is>
      </c>
      <c r="B37" t="inlineStr">
        <is>
          <t>MM cols AF (resolved amber count) and AG (close-out rate %) added. AF: SUMPRODUCT team+date+Opportunity+Resolved=Yes. AG: AF/J*100. Info only, not scored. Dashboard row 31 portfolio avg. Settings row 14 documented.</t>
        </is>
      </c>
      <c r="C37" t="inlineStr">
        <is>
          <t>MM AF3:AF76, AG3:AG76. Settings row 14. Dashboard B31:D31.</t>
        </is>
      </c>
      <c r="D37" t="inlineStr">
        <is>
          <t>29 Apr 2026</t>
        </is>
      </c>
    </row>
    <row r="38" ht="13" customHeight="1" s="146">
      <c r="A38" t="inlineStr">
        <is>
          <t>Mock HSQE data - REMOVE before production</t>
        </is>
      </c>
      <c r="B38" t="inlineStr">
        <is>
          <t>Test events in HSQE Events rows 13-58. Covers 8 teams, varied volumes and close-out profiles. FT-004 (Austin) = zero ambers. FT-006 (Eastwoodbury) = 1 amber, unresolved. Delete rows 13-58 before go-live.</t>
        </is>
      </c>
      <c r="C38" t="inlineStr">
        <is>
          <t>HSQE Events rows 13:58</t>
        </is>
      </c>
      <c r="D38" t="inlineStr">
        <is>
          <t>29 Apr 2026 - TEST ONLY</t>
        </is>
      </c>
    </row>
    <row r="39" ht="13" customHeight="1" s="146">
      <c r="A39" t="inlineStr">
        <is>
          <t>Action Log and Audit Schedule auto-populated - DONE</t>
        </is>
      </c>
      <c r="B39" t="inlineStr">
        <is>
          <t>Action Log rows 4-76 now formula-driven: pulls Team ID, Name, PM, CM, SOM, Trigger Month, RAG, Major flag from Monthly Matrix for HIGH teams ranked by score. Root Cause, Action Required, Target Date, Date Closed, 4wk LOW count remain manual. Audit Schedule rows 4-76 now formula-driven: pulls HIGH then MEDIUM teams ranked by score. Visit Type auto-set from RAG. Planned/Actual Date, Findings, Status remain manual. Helper rank columns AH (HIGH only) and AI (HIGH+MEDIUM) added to Monthly Matrix. Close-out rate columns AF/AG removed - wrong metric. Dashboard row 31 changed to audit completion rate.</t>
        </is>
      </c>
      <c r="C39" t="inlineStr">
        <is>
          <t>MM AH3:AH76, AI3:AI76 added; AF/AG cleared. Action Log rows 4-76 rebuilt. Audit Schedule rows 4-76 rebuilt. Dashboard B31:D31 updated.</t>
        </is>
      </c>
      <c r="D39" t="inlineStr">
        <is>
          <t>29 Apr 2026</t>
        </is>
      </c>
    </row>
    <row r="40" ht="13" customHeight="1" s="146">
      <c r="A40" t="inlineStr">
        <is>
          <t>Historical Scores populated + trend column added - DONE</t>
        </is>
      </c>
      <c r="B40" t="inlineStr">
        <is>
          <t>Historical Scores col C (Apr 2026) populated with mock composite scores for all 73 teams. Instruction text corrected: was "col W" (rank tiebreaker), now correctly states "col U" (composite score). Monthly Matrix col AJ added: Trend vs Prev Month, pulls last non-blank historical score per team using LOOKUP(2,1/(range&lt;&gt;""),range) and compares to current U score. Shows Worsening / Improving / Stable / New. Dashboard row 32 shows portfolio average composite score. Mock scores follow realistic distribution: ~15% HIGH, ~25% MEDIUM, ~60% LOW.</t>
        </is>
      </c>
      <c r="C40" t="inlineStr">
        <is>
          <t>Historical Scores C5:C77 populated (mock - replace with real values). HS row 2 instruction corrected. HS row 78 O/P formulas added. MM AJ3:AJ76 trend column added. Dashboard row 32 added.</t>
        </is>
      </c>
      <c r="D40" t="inlineStr">
        <is>
          <t>29 Apr 2026</t>
        </is>
      </c>
    </row>
    <row r="41" ht="13" customHeight="1" s="146">
      <c r="A41" t="inlineStr">
        <is>
          <t>Mock historical scores - REPLACE with real values</t>
        </is>
      </c>
      <c r="B41" t="inlineStr">
        <is>
          <t>Historical Scores col C (Apr 2026) contains generated scores for testing. At month end, overwrite col C rows 5-77 with actual composite scores from Monthly Matrix col U (copy col U rows 4-76, paste as VALUES ONLY into Historical Scores col C rows 5-77).</t>
        </is>
      </c>
      <c r="C41" t="inlineStr">
        <is>
          <t>Historical Scores C5:C77</t>
        </is>
      </c>
      <c r="D41" t="inlineStr">
        <is>
          <t>29 Apr 2026 - MOCK DATA</t>
        </is>
      </c>
    </row>
    <row r="42" ht="13" customHeight="1" s="146">
      <c r="A42" t="inlineStr">
        <is>
          <t>Pole Results sheet created - quality parsing fixed - DONE</t>
        </is>
      </c>
      <c r="B42" t="inlineStr">
        <is>
          <t>New sheet "Pole Results" created. Parses col T (Summary of Works) from Data - Post-Cut Quality row by row, exploding each pole into its own row with: FT On Site, Inspection Date, Pole Reference, Result Detail, Compliance. Monthly Matrix P (non-compliant count), AC (total poles), AD (compliant count) rewritten to SUMPRODUCT SEARCH against Pole Results cols A/B/E. Eliminates fragile substring counting in legacy cols Y/Z/AA/AB. New Leaf Arb verified: 11 poles parsed, 3 non-compliant, 8 compliant (72.7%). Pole Results must be regenerated by re-running the parse script after each data paste.</t>
        </is>
      </c>
      <c r="C42" t="inlineStr">
        <is>
          <t>New sheet: Pole Results (cols A-F). MM P4:P76, AC4:AC76, AD4:AD76 rewritten. Data - Post-Cut Quality cols Y/Z/AA/AB headers marked LEGACY.</t>
        </is>
      </c>
      <c r="D42" t="inlineStr">
        <is>
          <t>29 Apr 2026</t>
        </is>
      </c>
    </row>
    <row r="43" ht="13" customHeight="1" s="146">
      <c r="A43" t="inlineStr">
        <is>
          <t>Pole Results - multi-team split fixed - DONE</t>
        </is>
      </c>
      <c r="B43" t="inlineStr">
        <is>
          <t>Pole Results parser updated to handle concatenated FT On Site strings. Where multiple teams appear in one inspection (e.g. "7800 MAC...7186 Eastwoodbury..."), each team name is matched against the Field Teams register and the pole rows are duplicated once per team. Uses longest-name-first matching to prevent partial collisions. This will be resolved at source once one-form-per-contractor instruction is enforced. Pole Results sheet regenerated with corrected split logic.</t>
        </is>
      </c>
      <c r="C43" t="inlineStr">
        <is>
          <t>Pole Results rows 3+ regenerated. Parser split logic updated.</t>
        </is>
      </c>
      <c r="D43" t="inlineStr">
        <is>
          <t>29 Apr 2026</t>
        </is>
      </c>
    </row>
    <row r="44" ht="13" customHeight="1" s="146">
      <c r="A44" t="inlineStr">
        <is>
          <t>Pole Results - layman instructions added - DONE</t>
        </is>
      </c>
      <c r="B44" t="inlineStr">
        <is>
          <t>Pole Results sheet restructured with 6-step layman instructions for refreshing the parse script via Claude.ai. Data shifted from row 3 to row 13. Warning box, step-by-step guide, and separator added above data. Monthly Matrix P/AC/AD formulas updated to reference new data start row 13.</t>
        </is>
      </c>
      <c r="C44" t="inlineStr">
        <is>
          <t>Pole Results rows 1-12 restructured. MM P4:P76, AC4:AC76, AD4:AD76 updated to row 13+.</t>
        </is>
      </c>
      <c r="D44" t="inlineStr">
        <is>
          <t>29 Apr 2026</t>
        </is>
      </c>
    </row>
    <row r="45" ht="13" customHeight="1" s="146">
      <c r="A45" t="inlineStr">
        <is>
          <t>Pole Results - Power Query implemented - DONE</t>
        </is>
      </c>
      <c r="B45" t="inlineStr">
        <is>
          <t>AI/script approach replaced with Excel Power Query. Users refresh by clicking Data → Refresh All after each quality data paste. M code stored in PQ_Code sheet. First-time setup instructions in Pole Results rows 6-10. Monthly Import Guide step 4 updated to Refresh All.</t>
        </is>
      </c>
      <c r="C45" t="inlineStr">
        <is>
          <t>Pole Results rows 4-11 rebuilt. PQ_Code sheet added. Import Guide row 2 updated.</t>
        </is>
      </c>
      <c r="D45" t="inlineStr">
        <is>
          <t>29 Apr 2026</t>
        </is>
      </c>
    </row>
  </sheetData>
  <pageMargins left="0.7" right="0.7" top="0.75" bottom="0.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10" defaultColWidth="8.83203125" defaultRowHeight="13"/>
  <cols>
    <col width="120" customWidth="1" style="146" min="1" max="1"/>
  </cols>
  <sheetData>
    <row r="1" ht="17" customHeight="1" s="146">
      <c r="A1" s="186" t="inlineStr">
        <is>
          <t>POWER QUERY M CODE — POLE RESULTS</t>
        </is>
      </c>
    </row>
    <row r="2">
      <c r="A2" s="185" t="inlineStr">
        <is>
          <t>Copy ALL text from cell A3 and paste into the Power Query Advanced Editor. See the Pole Results tab for setup instructions.</t>
        </is>
      </c>
    </row>
    <row r="3" ht="409.6" customHeight="1" s="146">
      <c r="A3" s="103" t="inlineStr">
        <is>
          <t>let
    // LOAD Post-Cut Quality data
    Source     = Excel.CurrentWorkbook(),
    RawTable   = Source{[Name="tbl_PostCutQuality"]}[Content],
    // LOAD Field Teams register — longest names first to prevent partial match collisions
    FTTable    = Source{[Name="tbl_FieldTeams"]}[Content],
    TeamNames  = List.Sort(
                     List.Select(Table.Column(FTTable, "Field Team Name"),
                                 each _ &lt;&gt; null and _ &lt;&gt; ""),
                     Order.Descending),
    // FILTER to real inspection rows only
    Filtered   = Table.SelectRows(RawTable,
                     each [Report Type] = "Post Cut Quality Inspection"
                       and [FT On Site] &lt;&gt; null
                       and [Summary of Works] &lt;&gt; null),
    // KEEP key columns
    Trimmed    = Table.SelectColumns(Filtered,
                     {"FT On Site", "Completed", "Summary of Works"}),
    // PARSE inspection date from text format dd/mm/yyyy hh:mm
    WithDate   = Table.AddColumn(Trimmed, "Inspection Date", each
                     try Date.FromText(Text.Start([Completed], 10), [Format="dd/MM/yyyy"])
                     otherwise null, type date),
    // SPLIT multi-team FT On Site string into one row per team
    WithTeams  = Table.AddColumn(WithDate, "Teams", each
                     let ftStr   = [FT On Site],
                         matched = List.Select(TeamNames, each Text.Contains(ftStr, _))
                     in  if List.Count(matched) = 0 then {ftStr} else matched),
    ExpTeams   = Table.ExpandListColumn(WithTeams, "Teams"),
    // PARSE pole blocks from Summary of Works
    // Format: Pole Number:XXX#Quality of Works / Criteria of Failings:RESULT~#
    WithPoles  = Table.AddColumn(ExpTeams, "PoleList", each
                     let raw    = [Summary of Works],
                         blocks = List.Select(Text.Split(raw, "#"), each Text.Trim(_) &lt;&gt; ""),
                         count  = List.Count(blocks),
                         parsed = List.Generate(
                                      () =&gt; [i=0, pole=null, rows={}],
                                      each [i] &lt; count,
                                      each let blk     = Text.Trim(blocks{[i]}),
                                               isPole  = Text.StartsWith(blk, "Pole Number:"),
                                               isCrit  = Text.Contains(blk, "Quality of Works / Criteria of Failings:"),
                                               newPole = if isPole then Text.AfterDelimiter(blk, "Pole Number:") else [pole],
                                               result  = if isCrit and [pole] &lt;&gt; null
                                                         then Text.BeforeDelimiter(
                                                                  Text.AfterDelimiter(blk, "Quality of Works / Criteria of Failings:"), "~")
                                                         else null,
                                               newRows = if result &lt;&gt; null
                                                         then List.Combine([[rows], {[PoleRef=newPole, Result=result]}])
                                                         else [rows]
                                           in  [i=[i]+1, pole=if isPole then newPole else [pole], rows=newRows],
                                      each [rows]),
                         allRows = List.Last(parsed)
                     in  allRows),
    ExpPoles   = Table.ExpandListColumn(WithPoles, "PoleList"),
    ExpRecs    = Table.ExpandRecordColumn(ExpPoles, "PoleList",
                     {"PoleRef","Result"}, {"Pole Reference","Result Detail"}),
    // REMOVE null rows
    Cleaned    = Table.SelectRows(ExpRecs,
                     each [Pole Reference] &lt;&gt; null and [Result Detail] &lt;&gt; null),
    // ADD Compliance flag
    WithComp   = Table.AddColumn(Cleaned, "Compliance", each
                     if Text.Lower(Text.Start([Result Detail], 9)) = "compliant"
                     then "Compliant" else "Non-Compliant", type text),
    // FINAL columns and sort
    Final      = Table.SelectColumns(WithComp,
                     {"Teams","Inspection Date","Pole Reference","Result Detail","Compliance"}),
    Renamed    = Table.RenameColumns(Final, {{"Teams","FT On Site"}}),
    Sorted     = Table.Sort(Renamed, {{"Inspection Date", Order.Descending},
                                      {"FT On Site",      Order.Ascending}})
in  Sorted</t>
        </is>
      </c>
    </row>
  </sheetData>
  <mergeCells count="2">
    <mergeCell ref="A2:B2"/>
    <mergeCell ref="A1:B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4457"/>
  <sheetViews>
    <sheetView workbookViewId="0">
      <pane ySplit="1" topLeftCell="A2" activePane="bottomLeft" state="frozen"/>
      <selection pane="bottomLeft" activeCell="A1" sqref="A1"/>
    </sheetView>
  </sheetViews>
  <sheetFormatPr baseColWidth="8" defaultRowHeight="15"/>
  <sheetData>
    <row r="1">
      <c r="A1" t="inlineStr">
        <is>
          <t>Title</t>
        </is>
      </c>
      <c r="B1" t="inlineStr">
        <is>
          <t>Business Unit</t>
        </is>
      </c>
      <c r="C1" t="inlineStr">
        <is>
          <t>Division</t>
        </is>
      </c>
      <c r="D1" t="inlineStr">
        <is>
          <t>Vehicle Make / Model</t>
        </is>
      </c>
      <c r="E1" t="inlineStr">
        <is>
          <t>Model</t>
        </is>
      </c>
      <c r="F1" t="inlineStr">
        <is>
          <t>Registration Number</t>
        </is>
      </c>
      <c r="G1" t="inlineStr">
        <is>
          <t>Driver Name</t>
        </is>
      </c>
      <c r="H1" t="inlineStr">
        <is>
          <t>Type of vehicle</t>
        </is>
      </c>
      <c r="I1" t="inlineStr">
        <is>
          <t>Check Type</t>
        </is>
      </c>
      <c r="J1" t="inlineStr">
        <is>
          <t>Odometer</t>
        </is>
      </c>
      <c r="K1" t="inlineStr">
        <is>
          <t>Completed By</t>
        </is>
      </c>
      <c r="L1" t="inlineStr">
        <is>
          <t>Created</t>
        </is>
      </c>
      <c r="M1" t="inlineStr">
        <is>
          <t>Failed Responses</t>
        </is>
      </c>
      <c r="N1" t="inlineStr">
        <is>
          <t>Actions</t>
        </is>
      </c>
      <c r="O1" t="inlineStr">
        <is>
          <t>Notes</t>
        </is>
      </c>
      <c r="P1" t="inlineStr">
        <is>
          <t>Vehicle Record</t>
        </is>
      </c>
      <c r="Q1" t="inlineStr">
        <is>
          <t>Division (normalised)</t>
        </is>
      </c>
      <c r="R1" t="inlineStr">
        <is>
          <t>In snapshot week</t>
        </is>
      </c>
    </row>
    <row r="2">
      <c r="A2" t="inlineStr">
        <is>
          <t>24 Sep 2024 / Emily Eva</t>
        </is>
      </c>
      <c r="B2" t="inlineStr">
        <is>
          <t>Utilities &amp; Inland Waterways</t>
        </is>
      </c>
      <c r="C2" t="inlineStr">
        <is>
          <t>NGED</t>
        </is>
      </c>
      <c r="D2" t="inlineStr">
        <is>
          <t>Ford</t>
        </is>
      </c>
      <c r="E2" t="inlineStr">
        <is>
          <t>Focus</t>
        </is>
      </c>
      <c r="F2" t="inlineStr">
        <is>
          <t>GL15WYB</t>
        </is>
      </c>
      <c r="G2" t="inlineStr">
        <is>
          <t>Emily Eva</t>
        </is>
      </c>
      <c r="H2" t="inlineStr">
        <is>
          <t>Petrol Vehicle</t>
        </is>
      </c>
      <c r="I2" t="inlineStr">
        <is>
          <t>Daily/ Weekly Vehicle Inspection</t>
        </is>
      </c>
      <c r="J2" t="inlineStr">
        <is>
          <t>N/A</t>
        </is>
      </c>
      <c r="K2" t="inlineStr">
        <is>
          <t>Emily Eva</t>
        </is>
      </c>
      <c r="L2" t="inlineStr">
        <is>
          <t>26/09/2024 01:57</t>
        </is>
      </c>
      <c r="M2" t="inlineStr">
        <is>
          <t>None</t>
        </is>
      </c>
      <c r="N2" t="inlineStr">
        <is>
          <t>&lt;p&gt;&lt;a href="https&amp;#58;//apps.powerapps.com/play/2d567dc9-5d50-4629-a077-f7ccbff3e239?tenantId=3ef9f654-aa07-41b8-88ad-a411c62bd12c&amp;amp;Action=Open&amp;amp;Actionno=5289"&gt;Test 13&lt;/a&gt;&lt;br&gt;&lt;/p&gt;</t>
        </is>
      </c>
      <c r="O2" t="inlineStr">
        <is>
          <t>Please indicate what has not met the requirements:bulb ordered - to be picked up and installed tomorrow.</t>
        </is>
      </c>
      <c r="P2" t="inlineStr">
        <is>
          <t>Petrol Vehicle - Ford - Focus - GL15WYB</t>
        </is>
      </c>
      <c r="Q2" t="inlineStr">
        <is>
          <t>NGED</t>
        </is>
      </c>
      <c r="R2" t="b">
        <v>0</v>
      </c>
    </row>
    <row r="3">
      <c r="A3" t="inlineStr">
        <is>
          <t>18 Oct 2024 / 3098 D &amp; R Landscapes (PEND Arb Rail)</t>
        </is>
      </c>
      <c r="B3" t="inlineStr">
        <is>
          <t>Utilities &amp; Inland Waterways</t>
        </is>
      </c>
      <c r="C3" t="inlineStr">
        <is>
          <t>UKPN</t>
        </is>
      </c>
      <c r="D3" t="inlineStr">
        <is>
          <t>Isuzu</t>
        </is>
      </c>
      <c r="E3" t="inlineStr">
        <is>
          <t>DMAX</t>
        </is>
      </c>
      <c r="F3" t="inlineStr">
        <is>
          <t>EJ12TWE</t>
        </is>
      </c>
      <c r="G3" t="inlineStr">
        <is>
          <t xml:space="preserve">Richard Payne </t>
        </is>
      </c>
      <c r="H3" t="inlineStr">
        <is>
          <t>4x4</t>
        </is>
      </c>
      <c r="I3" t="inlineStr">
        <is>
          <t>Daily/ Weekly Vehicle Inspection</t>
        </is>
      </c>
      <c r="J3" t="inlineStr">
        <is>
          <t>N/A</t>
        </is>
      </c>
      <c r="K3" t="inlineStr">
        <is>
          <t>3098 D &amp; R Landscapes (PEND Arb Rail)</t>
        </is>
      </c>
      <c r="L3" t="inlineStr">
        <is>
          <t>19/10/2024 15:41</t>
        </is>
      </c>
      <c r="M3" t="inlineStr">
        <is>
          <t>None</t>
        </is>
      </c>
      <c r="N3" t="inlineStr">
        <is>
          <t>&lt;p&gt;&lt;/p&gt;</t>
        </is>
      </c>
      <c r="O3" t="inlineStr"/>
      <c r="P3" t="inlineStr">
        <is>
          <t>Vehicle - Isuzu - DMAX - EJ12 TWE</t>
        </is>
      </c>
      <c r="Q3" t="inlineStr">
        <is>
          <t>UKPN</t>
        </is>
      </c>
      <c r="R3" t="b">
        <v>0</v>
      </c>
    </row>
    <row r="4">
      <c r="A4" t="inlineStr">
        <is>
          <t>21 Oct 2024 / 7889 Tree Tech Suffolk Ltd</t>
        </is>
      </c>
      <c r="B4" t="inlineStr">
        <is>
          <t>Utilities &amp; Inland Waterways</t>
        </is>
      </c>
      <c r="C4" t="inlineStr">
        <is>
          <t>UKPN</t>
        </is>
      </c>
      <c r="D4" t="inlineStr">
        <is>
          <t>Nissan</t>
        </is>
      </c>
      <c r="E4" t="inlineStr">
        <is>
          <t>Navara</t>
        </is>
      </c>
      <c r="F4" t="inlineStr">
        <is>
          <t>NS02TTS</t>
        </is>
      </c>
      <c r="G4" t="inlineStr">
        <is>
          <t xml:space="preserve">Danny Appleby Danny Appleby </t>
        </is>
      </c>
      <c r="H4" t="inlineStr">
        <is>
          <t>TipperTowed Chipper</t>
        </is>
      </c>
      <c r="I4" t="inlineStr">
        <is>
          <t>Daily/ Weekly Vehicle Inspection</t>
        </is>
      </c>
      <c r="J4" t="inlineStr">
        <is>
          <t>N/A</t>
        </is>
      </c>
      <c r="K4" t="inlineStr">
        <is>
          <t>7889 Tree Tech Suffolk Ltd</t>
        </is>
      </c>
      <c r="L4" t="inlineStr">
        <is>
          <t>21/10/2024 15:42</t>
        </is>
      </c>
      <c r="M4" t="inlineStr">
        <is>
          <t>None</t>
        </is>
      </c>
      <c r="N4" t="inlineStr">
        <is>
          <t>&lt;p&gt;&lt;/p&gt;</t>
        </is>
      </c>
      <c r="O4" t="inlineStr"/>
      <c r="P4" t="inlineStr">
        <is>
          <t>Tipper - Nissan - Navara - NS02TTSTow Chipper - Jenson - A530L - 5521063948</t>
        </is>
      </c>
      <c r="Q4" t="inlineStr">
        <is>
          <t>UKPN</t>
        </is>
      </c>
      <c r="R4" t="b">
        <v>0</v>
      </c>
    </row>
    <row r="5">
      <c r="A5" t="inlineStr">
        <is>
          <t>23 Oct 2024 / 6617 Ashdown Tree Limited</t>
        </is>
      </c>
      <c r="B5" t="inlineStr">
        <is>
          <t>Utilities &amp; Inland Waterways</t>
        </is>
      </c>
      <c r="C5" t="inlineStr">
        <is>
          <t>UKPN</t>
        </is>
      </c>
      <c r="D5" t="inlineStr">
        <is>
          <t>Ford</t>
        </is>
      </c>
      <c r="E5" t="inlineStr">
        <is>
          <t>Transit</t>
        </is>
      </c>
      <c r="F5" t="inlineStr">
        <is>
          <t>FE11BUT</t>
        </is>
      </c>
      <c r="G5" t="inlineStr">
        <is>
          <t xml:space="preserve">Francis lesser </t>
        </is>
      </c>
      <c r="H5" t="inlineStr">
        <is>
          <t>Towed Chipper</t>
        </is>
      </c>
      <c r="I5" t="inlineStr">
        <is>
          <t>Daily/ Weekly Vehicle Inspection</t>
        </is>
      </c>
      <c r="J5" t="inlineStr">
        <is>
          <t>N/A</t>
        </is>
      </c>
      <c r="K5" t="inlineStr">
        <is>
          <t>6617 Ashdown Tree Limited</t>
        </is>
      </c>
      <c r="L5" t="inlineStr">
        <is>
          <t>23/10/2024 15:42</t>
        </is>
      </c>
      <c r="M5" t="inlineStr">
        <is>
          <t>None</t>
        </is>
      </c>
      <c r="N5" t="inlineStr">
        <is>
          <t>&lt;p&gt;&lt;/p&gt;</t>
        </is>
      </c>
      <c r="O5" t="inlineStr"/>
      <c r="P5" t="inlineStr">
        <is>
          <t>Tow Chipper - Timberwolf - TW230DHB - SBXTW 35A6LS209184</t>
        </is>
      </c>
      <c r="Q5" t="inlineStr">
        <is>
          <t>UKPN</t>
        </is>
      </c>
      <c r="R5" t="b">
        <v>0</v>
      </c>
    </row>
    <row r="6">
      <c r="A6" t="inlineStr">
        <is>
          <t>23 Oct 2024 / 6617 Ashdown Tree Limited</t>
        </is>
      </c>
      <c r="B6" t="inlineStr">
        <is>
          <t>Utilities &amp; Inland Waterways</t>
        </is>
      </c>
      <c r="C6" t="inlineStr">
        <is>
          <t>UKPN</t>
        </is>
      </c>
      <c r="D6" t="inlineStr">
        <is>
          <t>Ford</t>
        </is>
      </c>
      <c r="E6" t="inlineStr">
        <is>
          <t>Transit</t>
        </is>
      </c>
      <c r="F6" t="inlineStr">
        <is>
          <t>FE11BUT</t>
        </is>
      </c>
      <c r="G6" t="inlineStr">
        <is>
          <t xml:space="preserve">Francis lesser </t>
        </is>
      </c>
      <c r="H6" t="inlineStr">
        <is>
          <t>Tipper</t>
        </is>
      </c>
      <c r="I6" t="inlineStr">
        <is>
          <t>Daily/ Weekly Vehicle Inspection</t>
        </is>
      </c>
      <c r="J6" t="inlineStr">
        <is>
          <t>N/A</t>
        </is>
      </c>
      <c r="K6" t="inlineStr">
        <is>
          <t>6617 Ashdown Tree Limited</t>
        </is>
      </c>
      <c r="L6" t="inlineStr">
        <is>
          <t>23/10/2024 15:44</t>
        </is>
      </c>
      <c r="M6" t="inlineStr">
        <is>
          <t>None</t>
        </is>
      </c>
      <c r="N6" t="inlineStr">
        <is>
          <t>&lt;p&gt;&lt;/p&gt;</t>
        </is>
      </c>
      <c r="O6" t="inlineStr"/>
      <c r="P6" t="inlineStr">
        <is>
          <t>Tipper - Ford - Transit - FE11 BUT</t>
        </is>
      </c>
      <c r="Q6" t="inlineStr">
        <is>
          <t>UKPN</t>
        </is>
      </c>
      <c r="R6" t="b">
        <v>0</v>
      </c>
    </row>
    <row r="7">
      <c r="A7" t="inlineStr">
        <is>
          <t>23 Oct 2024 / 7186 Eastwoodbury Tree Services Ltd</t>
        </is>
      </c>
      <c r="B7" t="inlineStr">
        <is>
          <t>Utilities &amp; Inland Waterways</t>
        </is>
      </c>
      <c r="C7" t="inlineStr">
        <is>
          <t>UKPN</t>
        </is>
      </c>
      <c r="D7" t="inlineStr">
        <is>
          <t xml:space="preserve">Santana </t>
        </is>
      </c>
      <c r="E7" t="inlineStr">
        <is>
          <t>Ps10</t>
        </is>
      </c>
      <c r="F7" t="inlineStr">
        <is>
          <t>AO57BPF</t>
        </is>
      </c>
      <c r="G7" t="inlineStr">
        <is>
          <t xml:space="preserve">Jay Denkmayer Tom Price Dan Gilbert </t>
        </is>
      </c>
      <c r="H7" t="inlineStr">
        <is>
          <t>4x4Tipper4x4</t>
        </is>
      </c>
      <c r="I7" t="inlineStr">
        <is>
          <t>Daily/ Weekly Vehicle Inspection</t>
        </is>
      </c>
      <c r="J7" t="inlineStr">
        <is>
          <t>N/A</t>
        </is>
      </c>
      <c r="K7" t="inlineStr">
        <is>
          <t>7186 Eastwoodbury Tree Services Ltd</t>
        </is>
      </c>
      <c r="L7" t="inlineStr">
        <is>
          <t>23/10/2024 15:45</t>
        </is>
      </c>
      <c r="M7" t="inlineStr">
        <is>
          <t>None</t>
        </is>
      </c>
      <c r="N7" t="inlineStr">
        <is>
          <t>&lt;p&gt;&lt;/p&gt;</t>
        </is>
      </c>
      <c r="O7" t="inlineStr"/>
      <c r="P7" t="inlineStr">
        <is>
          <t>4x4 - Land Rover  - Defender - Fn60 0xmTipper - Ford - Transit - DN61XKJ4x4 - Santana  - Ps10 - Ao57 bpf</t>
        </is>
      </c>
      <c r="Q7" t="inlineStr">
        <is>
          <t>UKPN</t>
        </is>
      </c>
      <c r="R7" t="b">
        <v>0</v>
      </c>
    </row>
    <row r="8">
      <c r="A8" t="inlineStr">
        <is>
          <t>23 Oct 2024 / 7889 Tree Tech Suffolk Ltd</t>
        </is>
      </c>
      <c r="B8" t="inlineStr">
        <is>
          <t>Utilities &amp; Inland Waterways</t>
        </is>
      </c>
      <c r="C8" t="inlineStr">
        <is>
          <t>UKPN</t>
        </is>
      </c>
      <c r="D8" t="e">
        <v>#N/A</v>
      </c>
      <c r="E8" t="e">
        <v>#N/A</v>
      </c>
      <c r="F8" t="inlineStr">
        <is>
          <t>5521063948</t>
        </is>
      </c>
      <c r="G8" t="inlineStr">
        <is>
          <t xml:space="preserve">Danny Appleby </t>
        </is>
      </c>
      <c r="H8" t="inlineStr">
        <is>
          <t>Towed Chipper</t>
        </is>
      </c>
      <c r="I8" t="inlineStr">
        <is>
          <t>Daily/ Weekly Vehicle Inspection</t>
        </is>
      </c>
      <c r="J8" t="inlineStr">
        <is>
          <t>N/A</t>
        </is>
      </c>
      <c r="K8" t="inlineStr">
        <is>
          <t>7889 Tree Tech Suffolk Ltd</t>
        </is>
      </c>
      <c r="L8" t="inlineStr">
        <is>
          <t>23/10/2024 15:46</t>
        </is>
      </c>
      <c r="M8" t="inlineStr">
        <is>
          <t>None</t>
        </is>
      </c>
      <c r="N8" t="inlineStr">
        <is>
          <t>&lt;p&gt;&lt;/p&gt;</t>
        </is>
      </c>
      <c r="O8" t="inlineStr"/>
      <c r="P8" t="inlineStr">
        <is>
          <t>Tow Chipper - Jenson - A530L - 5521063948</t>
        </is>
      </c>
      <c r="Q8" t="inlineStr">
        <is>
          <t>UKPN</t>
        </is>
      </c>
      <c r="R8" t="b">
        <v>0</v>
      </c>
    </row>
    <row r="9">
      <c r="A9" t="inlineStr">
        <is>
          <t>22 Oct 2024 / 7186 Eastwoodbury Tree Services Ltd</t>
        </is>
      </c>
      <c r="B9" t="inlineStr">
        <is>
          <t>Utilities &amp; Inland Waterways</t>
        </is>
      </c>
      <c r="C9" t="inlineStr">
        <is>
          <t>UKPN</t>
        </is>
      </c>
      <c r="D9" t="inlineStr">
        <is>
          <t>Ford</t>
        </is>
      </c>
      <c r="E9" t="inlineStr">
        <is>
          <t>Ranger</t>
        </is>
      </c>
      <c r="F9" t="inlineStr">
        <is>
          <t>DE53NKS</t>
        </is>
      </c>
      <c r="G9" t="inlineStr">
        <is>
          <t>Jay</t>
        </is>
      </c>
      <c r="H9" t="inlineStr">
        <is>
          <t>4x4</t>
        </is>
      </c>
      <c r="I9" t="inlineStr">
        <is>
          <t>Daily/ Weekly Vehicle Inspection</t>
        </is>
      </c>
      <c r="J9" t="inlineStr">
        <is>
          <t>N/A</t>
        </is>
      </c>
      <c r="K9" t="inlineStr">
        <is>
          <t>7186 Eastwoodbury Tree Services Ltd</t>
        </is>
      </c>
      <c r="L9" t="inlineStr">
        <is>
          <t>23/10/2024 15:48</t>
        </is>
      </c>
      <c r="M9" t="inlineStr">
        <is>
          <t>None</t>
        </is>
      </c>
      <c r="N9" t="inlineStr">
        <is>
          <t>&lt;p&gt;&lt;/p&gt;</t>
        </is>
      </c>
      <c r="O9" t="inlineStr"/>
      <c r="P9" t="inlineStr">
        <is>
          <t>Vehicle - Ford - ranger  - DE53NKS</t>
        </is>
      </c>
      <c r="Q9" t="inlineStr">
        <is>
          <t>UKPN</t>
        </is>
      </c>
      <c r="R9" t="b">
        <v>0</v>
      </c>
    </row>
    <row r="10">
      <c r="A10" t="inlineStr">
        <is>
          <t>25 Oct 2024 / 3098 D &amp; R Landscapes (PEND Arb Rail)</t>
        </is>
      </c>
      <c r="B10" t="inlineStr">
        <is>
          <t>Utilities &amp; Inland Waterways</t>
        </is>
      </c>
      <c r="C10" t="inlineStr">
        <is>
          <t>UKPN</t>
        </is>
      </c>
      <c r="D10" t="inlineStr">
        <is>
          <t>Nissan</t>
        </is>
      </c>
      <c r="E10" t="inlineStr">
        <is>
          <t>Navara</t>
        </is>
      </c>
      <c r="F10" t="inlineStr">
        <is>
          <t>FX17YVM</t>
        </is>
      </c>
      <c r="G10" t="inlineStr">
        <is>
          <t>Jason MCCLOY</t>
        </is>
      </c>
      <c r="H10" t="inlineStr">
        <is>
          <t>4x4</t>
        </is>
      </c>
      <c r="I10" t="inlineStr">
        <is>
          <t>Daily/ Weekly Vehicle Inspection</t>
        </is>
      </c>
      <c r="J10" t="inlineStr">
        <is>
          <t>N/A</t>
        </is>
      </c>
      <c r="K10" t="inlineStr">
        <is>
          <t>3098 D &amp; R Landscapes (PEND Arb Rail)</t>
        </is>
      </c>
      <c r="L10" t="inlineStr">
        <is>
          <t>25/10/2024 15:42</t>
        </is>
      </c>
      <c r="M10" t="inlineStr">
        <is>
          <t>None</t>
        </is>
      </c>
      <c r="N10" t="inlineStr">
        <is>
          <t>&lt;p&gt;&lt;/p&gt;</t>
        </is>
      </c>
      <c r="O10" t="inlineStr"/>
      <c r="P10" t="inlineStr">
        <is>
          <t>Vehicle - Nissan - Navara - FX17 YVM</t>
        </is>
      </c>
      <c r="Q10" t="inlineStr">
        <is>
          <t>UKPN</t>
        </is>
      </c>
      <c r="R10" t="b">
        <v>0</v>
      </c>
    </row>
    <row r="11">
      <c r="A11" t="inlineStr">
        <is>
          <t>25 Oct 2024 / 6617 Ashdown Tree Limited</t>
        </is>
      </c>
      <c r="B11" t="inlineStr">
        <is>
          <t>Utilities &amp; Inland Waterways</t>
        </is>
      </c>
      <c r="C11" t="inlineStr">
        <is>
          <t>UKPN</t>
        </is>
      </c>
      <c r="D11" t="inlineStr">
        <is>
          <t>Land Rover</t>
        </is>
      </c>
      <c r="E11" t="inlineStr">
        <is>
          <t>Defender</t>
        </is>
      </c>
      <c r="F11" t="inlineStr">
        <is>
          <t>GU11LKD</t>
        </is>
      </c>
      <c r="G11" t="inlineStr">
        <is>
          <t xml:space="preserve">Francis lesser Francis lesser </t>
        </is>
      </c>
      <c r="H11" t="inlineStr">
        <is>
          <t>4x4Towed Chipper</t>
        </is>
      </c>
      <c r="I11" t="inlineStr">
        <is>
          <t>Daily/ Weekly Vehicle Inspection</t>
        </is>
      </c>
      <c r="J11" t="inlineStr">
        <is>
          <t>N/A</t>
        </is>
      </c>
      <c r="K11" t="inlineStr">
        <is>
          <t>6617 Ashdown Tree Limited</t>
        </is>
      </c>
      <c r="L11" t="inlineStr">
        <is>
          <t>25/10/2024 15:43</t>
        </is>
      </c>
      <c r="M11" t="inlineStr">
        <is>
          <t>None</t>
        </is>
      </c>
      <c r="N11" t="inlineStr">
        <is>
          <t>&lt;p&gt;&lt;/p&gt;</t>
        </is>
      </c>
      <c r="O11" t="inlineStr">
        <is>
          <t>Select Vehicle:Gu11lkd</t>
        </is>
      </c>
      <c r="P11" t="inlineStr">
        <is>
          <t>Vehicle - Land Rover - Discovery  - WF11 EJJTow Chipper - Timberwolf - TW230DHB - SBXTW 35A6LS209184</t>
        </is>
      </c>
      <c r="Q11" t="inlineStr">
        <is>
          <t>UKPN</t>
        </is>
      </c>
      <c r="R11" t="b">
        <v>0</v>
      </c>
    </row>
    <row r="12">
      <c r="A12" t="inlineStr">
        <is>
          <t>24 Oct 2024 / 3098 D &amp; R Landscapes (PEND Arb Rail)</t>
        </is>
      </c>
      <c r="B12" t="inlineStr">
        <is>
          <t>Utilities &amp; Inland Waterways</t>
        </is>
      </c>
      <c r="C12" t="inlineStr">
        <is>
          <t>UKPN</t>
        </is>
      </c>
      <c r="D12" t="inlineStr">
        <is>
          <t>Isuzu</t>
        </is>
      </c>
      <c r="E12" t="inlineStr">
        <is>
          <t>Grafter</t>
        </is>
      </c>
      <c r="F12" t="inlineStr">
        <is>
          <t>DE68XHA</t>
        </is>
      </c>
      <c r="G12" t="inlineStr">
        <is>
          <t>Jason MCCLOYJason MCCLOY</t>
        </is>
      </c>
      <c r="H12" t="inlineStr">
        <is>
          <t>TipperPlant Trailer</t>
        </is>
      </c>
      <c r="I12" t="inlineStr">
        <is>
          <t>Daily/ Weekly Vehicle Inspection</t>
        </is>
      </c>
      <c r="J12" t="inlineStr">
        <is>
          <t>N/A</t>
        </is>
      </c>
      <c r="K12" t="inlineStr">
        <is>
          <t>3098 D &amp; R Landscapes (PEND Arb Rail)</t>
        </is>
      </c>
      <c r="L12" t="inlineStr">
        <is>
          <t>25/10/2024 15:44</t>
        </is>
      </c>
      <c r="M12" t="inlineStr">
        <is>
          <t>None</t>
        </is>
      </c>
      <c r="N12" t="inlineStr">
        <is>
          <t>&lt;p&gt;&lt;/p&gt;</t>
        </is>
      </c>
      <c r="O12" t="inlineStr"/>
      <c r="P12" t="inlineStr">
        <is>
          <t>Tipper - Isuzu - Grafter - DE68 XHAFlat Bed Trailer - Ifor Williams - SA9 TAGD - DSF27414036</t>
        </is>
      </c>
      <c r="Q12" t="inlineStr">
        <is>
          <t>UKPN</t>
        </is>
      </c>
      <c r="R12" t="b">
        <v>0</v>
      </c>
    </row>
    <row r="13">
      <c r="A13" t="inlineStr">
        <is>
          <t>24 Oct 2024 / 6617 Ashdown Tree Limited</t>
        </is>
      </c>
      <c r="B13" t="inlineStr">
        <is>
          <t>Utilities &amp; Inland Waterways</t>
        </is>
      </c>
      <c r="C13" t="inlineStr">
        <is>
          <t>UKPN</t>
        </is>
      </c>
      <c r="D13" t="inlineStr">
        <is>
          <t>Land Rover</t>
        </is>
      </c>
      <c r="E13" t="inlineStr">
        <is>
          <t>Defender</t>
        </is>
      </c>
      <c r="F13" t="inlineStr">
        <is>
          <t>GU11LKD</t>
        </is>
      </c>
      <c r="G13" t="inlineStr">
        <is>
          <t xml:space="preserve">Francis lesser Francis lesser </t>
        </is>
      </c>
      <c r="H13" t="inlineStr">
        <is>
          <t>Car - DieselEquipment Trailer</t>
        </is>
      </c>
      <c r="I13" t="inlineStr">
        <is>
          <t>Daily/ Weekly Vehicle Inspection</t>
        </is>
      </c>
      <c r="J13" t="inlineStr">
        <is>
          <t>N/A</t>
        </is>
      </c>
      <c r="K13" t="inlineStr">
        <is>
          <t>6617 Ashdown Tree Limited</t>
        </is>
      </c>
      <c r="L13" t="inlineStr">
        <is>
          <t>25/10/2024 15:46</t>
        </is>
      </c>
      <c r="M13" t="inlineStr">
        <is>
          <t>None</t>
        </is>
      </c>
      <c r="N13" t="inlineStr">
        <is>
          <t>&lt;p&gt;&lt;/p&gt;</t>
        </is>
      </c>
      <c r="O13" t="inlineStr">
        <is>
          <t>Select Vehicle:Gu11lkdSelect Vehicle:Tracked chipper trailer</t>
        </is>
      </c>
      <c r="P13" t="inlineStr">
        <is>
          <t>Tipper - Ford - Transit - FE11 BUTVehicle - Land Rover - Discovery  - WF11 EJJ</t>
        </is>
      </c>
      <c r="Q13" t="inlineStr">
        <is>
          <t>UKPN</t>
        </is>
      </c>
      <c r="R13" t="b">
        <v>0</v>
      </c>
    </row>
    <row r="14">
      <c r="A14" t="inlineStr">
        <is>
          <t>24 Oct 2024 / 7186 Eastwoodbury Tree Services Ltd</t>
        </is>
      </c>
      <c r="B14" t="inlineStr">
        <is>
          <t>Utilities &amp; Inland Waterways</t>
        </is>
      </c>
      <c r="C14" t="inlineStr">
        <is>
          <t>UKPN</t>
        </is>
      </c>
      <c r="D14" t="inlineStr">
        <is>
          <t xml:space="preserve">Santana </t>
        </is>
      </c>
      <c r="E14" t="inlineStr">
        <is>
          <t>Ps10</t>
        </is>
      </c>
      <c r="F14" t="inlineStr">
        <is>
          <t>AO57BPF</t>
        </is>
      </c>
      <c r="G14" t="inlineStr">
        <is>
          <t xml:space="preserve">Jay Denkmayer Dan Gilbert </t>
        </is>
      </c>
      <c r="H14" t="inlineStr">
        <is>
          <t>4x44x4</t>
        </is>
      </c>
      <c r="I14" t="inlineStr">
        <is>
          <t>Daily/ Weekly Vehicle Inspection</t>
        </is>
      </c>
      <c r="J14" t="inlineStr">
        <is>
          <t>N/A</t>
        </is>
      </c>
      <c r="K14" t="inlineStr">
        <is>
          <t>7186 Eastwoodbury Tree Services Ltd</t>
        </is>
      </c>
      <c r="L14" t="inlineStr">
        <is>
          <t>25/10/2024 15:47</t>
        </is>
      </c>
      <c r="M14" t="inlineStr">
        <is>
          <t>None</t>
        </is>
      </c>
      <c r="N14" t="inlineStr">
        <is>
          <t>&lt;p&gt;&lt;/p&gt;</t>
        </is>
      </c>
      <c r="O14" t="inlineStr"/>
      <c r="P14" t="inlineStr">
        <is>
          <t>4x4 - Land Rover  - Defender - FN60 0XM4x4 - Santana  - Ps10 - AO57 BPF</t>
        </is>
      </c>
      <c r="Q14" t="inlineStr">
        <is>
          <t>UKPN</t>
        </is>
      </c>
      <c r="R14" t="b">
        <v>0</v>
      </c>
    </row>
    <row r="15">
      <c r="A15" t="inlineStr">
        <is>
          <t>29 Oct 2024 / 6617 Ashdown Tree Limited</t>
        </is>
      </c>
      <c r="B15" t="inlineStr">
        <is>
          <t>Utilities &amp; Inland Waterways</t>
        </is>
      </c>
      <c r="C15" t="inlineStr">
        <is>
          <t>UKPN</t>
        </is>
      </c>
      <c r="D15" t="inlineStr">
        <is>
          <t>Land Rover</t>
        </is>
      </c>
      <c r="E15" t="inlineStr">
        <is>
          <t xml:space="preserve">Discovery </t>
        </is>
      </c>
      <c r="F15" t="inlineStr">
        <is>
          <t>WF11EJJ</t>
        </is>
      </c>
      <c r="G15" t="inlineStr">
        <is>
          <t>Ashley HorwoodDaniel WatkinsAshley Horwood Daniel Watkins</t>
        </is>
      </c>
      <c r="H15" t="inlineStr">
        <is>
          <t>4x44x4Flat Bed TrailerEquipment Trailer</t>
        </is>
      </c>
      <c r="I15" t="inlineStr">
        <is>
          <t>Daily/ Weekly Vehicle Inspection</t>
        </is>
      </c>
      <c r="J15" t="inlineStr">
        <is>
          <t>N/A</t>
        </is>
      </c>
      <c r="K15" t="inlineStr">
        <is>
          <t>6617 Ashdown Tree Limited</t>
        </is>
      </c>
      <c r="L15" t="inlineStr">
        <is>
          <t>29/10/2024 14:42</t>
        </is>
      </c>
      <c r="M15" t="inlineStr">
        <is>
          <t>None</t>
        </is>
      </c>
      <c r="N15" t="inlineStr">
        <is>
          <t>&lt;p&gt;&lt;/p&gt;</t>
        </is>
      </c>
      <c r="O15" t="inlineStr">
        <is>
          <t>Select Vehicle:TR55 TUBSelect Vehicle:Mewp trailerType of vehicle:Tracked chipper trailer</t>
        </is>
      </c>
      <c r="P15" t="inlineStr">
        <is>
          <t>Vehicle - Land Rover - Discovery  - WF11 EJJVehicle - Land Rover - Discovery  - WF11 EJJFlat Bed Trailer - Ifor Williams -  - SCKD00000H5147808AFlat Bed Trailer - Ifor Williams -  - SCKD00000H5147808A</t>
        </is>
      </c>
      <c r="Q15" t="inlineStr">
        <is>
          <t>UKPN</t>
        </is>
      </c>
      <c r="R15" t="b">
        <v>0</v>
      </c>
    </row>
    <row r="16">
      <c r="A16" t="inlineStr">
        <is>
          <t>29 Oct 2024 / 6617 Ashdown Tree Limited</t>
        </is>
      </c>
      <c r="B16" t="inlineStr">
        <is>
          <t>Utilities &amp; Inland Waterways</t>
        </is>
      </c>
      <c r="C16" t="inlineStr">
        <is>
          <t>UKPN</t>
        </is>
      </c>
      <c r="D16" t="inlineStr">
        <is>
          <t>Ford</t>
        </is>
      </c>
      <c r="E16" t="inlineStr">
        <is>
          <t>Transit</t>
        </is>
      </c>
      <c r="F16" t="inlineStr">
        <is>
          <t>TR66BOY</t>
        </is>
      </c>
      <c r="G16" t="inlineStr">
        <is>
          <t xml:space="preserve">Francis lesser Lewis welsford Lewis welsford Francis lesser </t>
        </is>
      </c>
      <c r="H16" t="inlineStr">
        <is>
          <t>TipperTipperTowed ChipperEquipment Trailer</t>
        </is>
      </c>
      <c r="I16" t="inlineStr">
        <is>
          <t>Daily/ Weekly Vehicle Inspection</t>
        </is>
      </c>
      <c r="J16" t="inlineStr">
        <is>
          <t>N/A</t>
        </is>
      </c>
      <c r="K16" t="inlineStr">
        <is>
          <t>6617 Ashdown Tree Limited</t>
        </is>
      </c>
      <c r="L16" t="inlineStr">
        <is>
          <t>29/10/2024 14:44</t>
        </is>
      </c>
      <c r="M16" t="inlineStr">
        <is>
          <t>None</t>
        </is>
      </c>
      <c r="N16" t="inlineStr">
        <is>
          <t>&lt;p&gt;&lt;/p&gt;</t>
        </is>
      </c>
      <c r="O16" t="inlineStr"/>
      <c r="P16" t="inlineStr">
        <is>
          <t>Tipper - Ford - Transit - TR66 BOYTipper - Ford - Transit - FE11 BUTTow Chipper - Timberwolf - TW230 - SBXTW 37A2PS241049Flat Bed Trailer - Ifor Williams - SA9 TAGD - DSF27414036</t>
        </is>
      </c>
      <c r="Q16" t="inlineStr">
        <is>
          <t>UKPN</t>
        </is>
      </c>
      <c r="R16" t="b">
        <v>0</v>
      </c>
    </row>
    <row r="17">
      <c r="A17" t="inlineStr">
        <is>
          <t>29 Oct 2024 / 3098 D &amp; R Landscapes (PEND Arb Rail)</t>
        </is>
      </c>
      <c r="B17" t="inlineStr">
        <is>
          <t>Utilities &amp; Inland Waterways</t>
        </is>
      </c>
      <c r="C17" t="inlineStr">
        <is>
          <t>UKPN</t>
        </is>
      </c>
      <c r="D17" t="inlineStr">
        <is>
          <t>Nissan</t>
        </is>
      </c>
      <c r="E17" t="inlineStr">
        <is>
          <t>Navara</t>
        </is>
      </c>
      <c r="F17" t="inlineStr">
        <is>
          <t>FX17YVM</t>
        </is>
      </c>
      <c r="G17" t="inlineStr">
        <is>
          <t xml:space="preserve">Jason Mccloy </t>
        </is>
      </c>
      <c r="H17" t="inlineStr">
        <is>
          <t>Pickup Truck</t>
        </is>
      </c>
      <c r="I17" t="inlineStr">
        <is>
          <t>Daily/ Weekly Vehicle Inspection</t>
        </is>
      </c>
      <c r="J17" t="inlineStr">
        <is>
          <t>N/A</t>
        </is>
      </c>
      <c r="K17" t="inlineStr">
        <is>
          <t>3098 D &amp; R Landscapes (PEND Arb Rail)</t>
        </is>
      </c>
      <c r="L17" t="inlineStr">
        <is>
          <t>29/10/2024 14:45</t>
        </is>
      </c>
      <c r="M17" t="inlineStr">
        <is>
          <t>None</t>
        </is>
      </c>
      <c r="N17" t="inlineStr">
        <is>
          <t>&lt;p&gt;&lt;/p&gt;</t>
        </is>
      </c>
      <c r="O17" t="inlineStr"/>
      <c r="P17" t="inlineStr">
        <is>
          <t>Vehicle - Nissan - Navara - FX17 YVM</t>
        </is>
      </c>
      <c r="Q17" t="inlineStr">
        <is>
          <t>UKPN</t>
        </is>
      </c>
      <c r="R17" t="b">
        <v>0</v>
      </c>
    </row>
    <row r="18">
      <c r="A18" t="inlineStr">
        <is>
          <t>29 Oct 2024 / 7186 Eastwoodbury Tree Services Ltd</t>
        </is>
      </c>
      <c r="B18" t="inlineStr">
        <is>
          <t>Utilities &amp; Inland Waterways</t>
        </is>
      </c>
      <c r="C18" t="inlineStr">
        <is>
          <t>UKPN</t>
        </is>
      </c>
      <c r="D18" t="inlineStr">
        <is>
          <t xml:space="preserve">Santana </t>
        </is>
      </c>
      <c r="E18" t="inlineStr">
        <is>
          <t>Ps10</t>
        </is>
      </c>
      <c r="F18" t="inlineStr">
        <is>
          <t>AO57BPF</t>
        </is>
      </c>
      <c r="G18" t="inlineStr">
        <is>
          <t xml:space="preserve">Jay Denkmayer Dan Gilbert </t>
        </is>
      </c>
      <c r="H18" t="inlineStr">
        <is>
          <t>4x44x4</t>
        </is>
      </c>
      <c r="I18" t="inlineStr">
        <is>
          <t>Daily/ Weekly Vehicle Inspection</t>
        </is>
      </c>
      <c r="J18" t="inlineStr">
        <is>
          <t>N/A</t>
        </is>
      </c>
      <c r="K18" t="inlineStr">
        <is>
          <t>7186 Eastwoodbury Tree Services Ltd</t>
        </is>
      </c>
      <c r="L18" t="inlineStr">
        <is>
          <t>29/10/2024 14:45</t>
        </is>
      </c>
      <c r="M18" t="inlineStr">
        <is>
          <t>None</t>
        </is>
      </c>
      <c r="N18" t="inlineStr">
        <is>
          <t>&lt;p&gt;&lt;/p&gt;</t>
        </is>
      </c>
      <c r="O18" t="inlineStr"/>
      <c r="P18" t="inlineStr">
        <is>
          <t>4x4 - Land Rover  - Defender - FN60 0XM4x4 - Santana  - Ps10 - AO57 BPF</t>
        </is>
      </c>
      <c r="Q18" t="inlineStr">
        <is>
          <t>UKPN</t>
        </is>
      </c>
      <c r="R18" t="b">
        <v>0</v>
      </c>
    </row>
    <row r="19">
      <c r="A19" t="inlineStr">
        <is>
          <t>29 Oct 2024 / 7889 Tree Tech Suffolk Ltd</t>
        </is>
      </c>
      <c r="B19" t="inlineStr">
        <is>
          <t>Utilities &amp; Inland Waterways</t>
        </is>
      </c>
      <c r="C19" t="inlineStr">
        <is>
          <t>UKPN</t>
        </is>
      </c>
      <c r="D19" t="e">
        <v>#N/A</v>
      </c>
      <c r="E19" t="e">
        <v>#N/A</v>
      </c>
      <c r="F19" t="inlineStr">
        <is>
          <t>5521063948</t>
        </is>
      </c>
      <c r="G19" t="inlineStr">
        <is>
          <t xml:space="preserve">Danny Appleby </t>
        </is>
      </c>
      <c r="H19" t="inlineStr">
        <is>
          <t>Towed Chipper</t>
        </is>
      </c>
      <c r="I19" t="inlineStr">
        <is>
          <t>Daily/ Weekly Vehicle Inspection</t>
        </is>
      </c>
      <c r="J19" t="inlineStr">
        <is>
          <t>N/A</t>
        </is>
      </c>
      <c r="K19" t="inlineStr">
        <is>
          <t>7889 Tree Tech Suffolk Ltd</t>
        </is>
      </c>
      <c r="L19" t="inlineStr">
        <is>
          <t>29/10/2024 14:46</t>
        </is>
      </c>
      <c r="M19" t="inlineStr">
        <is>
          <t>None</t>
        </is>
      </c>
      <c r="N19" t="inlineStr">
        <is>
          <t>&lt;p&gt;&lt;/p&gt;</t>
        </is>
      </c>
      <c r="O19" t="inlineStr"/>
      <c r="P19" t="inlineStr">
        <is>
          <t>Tow Chipper - Jenson - A530L - 5521063948</t>
        </is>
      </c>
      <c r="Q19" t="inlineStr">
        <is>
          <t>UKPN</t>
        </is>
      </c>
      <c r="R19" t="b">
        <v>0</v>
      </c>
    </row>
    <row r="20">
      <c r="A20" t="inlineStr">
        <is>
          <t>29 Oct 2024 / 7800 MAC Trees and Fencing Ltd</t>
        </is>
      </c>
      <c r="B20" t="inlineStr">
        <is>
          <t>Utilities &amp; Inland Waterways</t>
        </is>
      </c>
      <c r="C20" t="inlineStr">
        <is>
          <t>UKPN</t>
        </is>
      </c>
      <c r="D20" t="inlineStr">
        <is>
          <t>Izuzu</t>
        </is>
      </c>
      <c r="E20" t="inlineStr">
        <is>
          <t>Dmax</t>
        </is>
      </c>
      <c r="F20" t="inlineStr">
        <is>
          <t>AY68DAA</t>
        </is>
      </c>
      <c r="G20" t="inlineStr">
        <is>
          <t>Lewis mac</t>
        </is>
      </c>
      <c r="H20" t="inlineStr">
        <is>
          <t>4x4</t>
        </is>
      </c>
      <c r="I20" t="inlineStr">
        <is>
          <t>Daily/ Weekly Vehicle Inspection</t>
        </is>
      </c>
      <c r="J20" t="inlineStr">
        <is>
          <t>N/A</t>
        </is>
      </c>
      <c r="K20" t="inlineStr">
        <is>
          <t>7800 MAC Trees and Fencing Ltd</t>
        </is>
      </c>
      <c r="L20" t="inlineStr">
        <is>
          <t>29/10/2024 14:47</t>
        </is>
      </c>
      <c r="M20" t="inlineStr">
        <is>
          <t>None</t>
        </is>
      </c>
      <c r="N20" t="inlineStr">
        <is>
          <t>&lt;p&gt;&lt;/p&gt;</t>
        </is>
      </c>
      <c r="O20" t="inlineStr"/>
      <c r="P20" t="inlineStr">
        <is>
          <t>4x4 - Izuzu - Dmax - Ay68 daa</t>
        </is>
      </c>
      <c r="Q20" t="inlineStr">
        <is>
          <t>UKPN</t>
        </is>
      </c>
      <c r="R20" t="b">
        <v>0</v>
      </c>
    </row>
    <row r="21">
      <c r="A21" t="inlineStr">
        <is>
          <t>28 Oct 2024 / 7126 Maple Tree Surgery and Landscapes Ltd</t>
        </is>
      </c>
      <c r="B21" t="inlineStr">
        <is>
          <t>Utilities &amp; Inland Waterways</t>
        </is>
      </c>
      <c r="C21" t="inlineStr">
        <is>
          <t>UKPN</t>
        </is>
      </c>
      <c r="D21" t="inlineStr">
        <is>
          <t>Land Rover</t>
        </is>
      </c>
      <c r="E21" t="inlineStr">
        <is>
          <t xml:space="preserve">Discovery </t>
        </is>
      </c>
      <c r="F21" t="inlineStr">
        <is>
          <t>SJ55HMZ</t>
        </is>
      </c>
      <c r="G21" t="inlineStr">
        <is>
          <t>Tim brown</t>
        </is>
      </c>
      <c r="H21" t="inlineStr">
        <is>
          <t>4x4</t>
        </is>
      </c>
      <c r="I21" t="inlineStr">
        <is>
          <t>Daily/ Weekly Vehicle Inspection</t>
        </is>
      </c>
      <c r="J21" t="inlineStr">
        <is>
          <t>N/A</t>
        </is>
      </c>
      <c r="K21" t="inlineStr">
        <is>
          <t>7126 Maple Tree Surgery and Landscapes Ltd</t>
        </is>
      </c>
      <c r="L21" t="inlineStr">
        <is>
          <t>29/10/2024 14:48</t>
        </is>
      </c>
      <c r="M21" t="inlineStr">
        <is>
          <t>None</t>
        </is>
      </c>
      <c r="N21" t="inlineStr">
        <is>
          <t>&lt;p&gt;&lt;/p&gt;</t>
        </is>
      </c>
      <c r="O21" t="inlineStr"/>
      <c r="P21" t="inlineStr">
        <is>
          <t>Vehicle - Land Rover - Discovery  - SJ55 HMZ</t>
        </is>
      </c>
      <c r="Q21" t="inlineStr">
        <is>
          <t>UKPN</t>
        </is>
      </c>
      <c r="R21" t="b">
        <v>0</v>
      </c>
    </row>
    <row r="22">
      <c r="A22" t="inlineStr">
        <is>
          <t>28 Oct 2024 / 3098 D &amp; R Landscapes (PEND Arb Rail)</t>
        </is>
      </c>
      <c r="B22" t="inlineStr">
        <is>
          <t>Utilities &amp; Inland Waterways</t>
        </is>
      </c>
      <c r="C22" t="inlineStr">
        <is>
          <t>UKPN</t>
        </is>
      </c>
      <c r="D22" t="inlineStr">
        <is>
          <t>Isuzu</t>
        </is>
      </c>
      <c r="E22" t="inlineStr">
        <is>
          <t>Grafter</t>
        </is>
      </c>
      <c r="F22" t="inlineStr">
        <is>
          <t>DE68XHA</t>
        </is>
      </c>
      <c r="G22" t="inlineStr">
        <is>
          <t xml:space="preserve">Dylan </t>
        </is>
      </c>
      <c r="H22" t="inlineStr">
        <is>
          <t>Pickup Truck</t>
        </is>
      </c>
      <c r="I22" t="inlineStr">
        <is>
          <t>Daily/ Weekly Vehicle Inspection</t>
        </is>
      </c>
      <c r="J22" t="inlineStr">
        <is>
          <t>N/A</t>
        </is>
      </c>
      <c r="K22" t="inlineStr">
        <is>
          <t>3098 D &amp; R Landscapes (PEND Arb Rail)</t>
        </is>
      </c>
      <c r="L22" t="inlineStr">
        <is>
          <t>29/10/2024 14:49</t>
        </is>
      </c>
      <c r="M22" t="inlineStr">
        <is>
          <t>None</t>
        </is>
      </c>
      <c r="N22" t="inlineStr">
        <is>
          <t>&lt;p&gt;&lt;/p&gt;</t>
        </is>
      </c>
      <c r="O22" t="inlineStr"/>
      <c r="P22" t="inlineStr">
        <is>
          <t>Vehicle - Nissan - Navara - FX17 YVM</t>
        </is>
      </c>
      <c r="Q22" t="inlineStr">
        <is>
          <t>UKPN</t>
        </is>
      </c>
      <c r="R22" t="b">
        <v>0</v>
      </c>
    </row>
    <row r="23">
      <c r="A23" t="inlineStr">
        <is>
          <t>28 Oct 2024 / 3098 D &amp; R Landscapes (PEND Arb Rail)</t>
        </is>
      </c>
      <c r="B23" t="inlineStr">
        <is>
          <t>Utilities &amp; Inland Waterways</t>
        </is>
      </c>
      <c r="C23" t="inlineStr">
        <is>
          <t>UKPN</t>
        </is>
      </c>
      <c r="D23" t="inlineStr">
        <is>
          <t>Isuzu</t>
        </is>
      </c>
      <c r="E23" t="inlineStr">
        <is>
          <t>Grafter</t>
        </is>
      </c>
      <c r="F23" t="inlineStr">
        <is>
          <t>DE68XHA</t>
        </is>
      </c>
      <c r="G23" t="inlineStr">
        <is>
          <t xml:space="preserve">Jason MCCLOY </t>
        </is>
      </c>
      <c r="H23" t="inlineStr">
        <is>
          <t>Tipper</t>
        </is>
      </c>
      <c r="I23" t="inlineStr">
        <is>
          <t>Daily/ Weekly Vehicle Inspection</t>
        </is>
      </c>
      <c r="J23" t="inlineStr">
        <is>
          <t>N/A</t>
        </is>
      </c>
      <c r="K23" t="inlineStr">
        <is>
          <t>3098 D &amp; R Landscapes (PEND Arb Rail)</t>
        </is>
      </c>
      <c r="L23" t="inlineStr">
        <is>
          <t>29/10/2024 14:50</t>
        </is>
      </c>
      <c r="M23" t="inlineStr">
        <is>
          <t>None</t>
        </is>
      </c>
      <c r="N23" t="inlineStr">
        <is>
          <t>&lt;p&gt;&lt;/p&gt;</t>
        </is>
      </c>
      <c r="O23" t="inlineStr"/>
      <c r="P23" t="inlineStr">
        <is>
          <t>Tipper - Isuzu - Grafter - DE68 XHA</t>
        </is>
      </c>
      <c r="Q23" t="inlineStr">
        <is>
          <t>UKPN</t>
        </is>
      </c>
      <c r="R23" t="b">
        <v>0</v>
      </c>
    </row>
    <row r="24">
      <c r="A24" t="inlineStr">
        <is>
          <t>28 Oct 2024 / 6617 Ashdown Tree Limited</t>
        </is>
      </c>
      <c r="B24" t="inlineStr">
        <is>
          <t>Utilities &amp; Inland Waterways</t>
        </is>
      </c>
      <c r="C24" t="inlineStr">
        <is>
          <t>UKPN</t>
        </is>
      </c>
      <c r="D24" t="inlineStr">
        <is>
          <t>Land Rover</t>
        </is>
      </c>
      <c r="E24" t="inlineStr">
        <is>
          <t>Defender</t>
        </is>
      </c>
      <c r="F24" t="inlineStr">
        <is>
          <t>GU11LKD</t>
        </is>
      </c>
      <c r="G24" t="inlineStr">
        <is>
          <t xml:space="preserve">Francis lesser Francis lesser </t>
        </is>
      </c>
      <c r="H24" t="inlineStr">
        <is>
          <t>Towed Chipper4x4</t>
        </is>
      </c>
      <c r="I24" t="inlineStr">
        <is>
          <t>Daily/ Weekly Vehicle Inspection</t>
        </is>
      </c>
      <c r="J24" t="inlineStr">
        <is>
          <t>N/A</t>
        </is>
      </c>
      <c r="K24" t="inlineStr">
        <is>
          <t>6617 Ashdown Tree Limited</t>
        </is>
      </c>
      <c r="L24" t="inlineStr">
        <is>
          <t>29/10/2024 14:50</t>
        </is>
      </c>
      <c r="M24" t="inlineStr">
        <is>
          <t>None</t>
        </is>
      </c>
      <c r="N24" t="inlineStr">
        <is>
          <t>&lt;p&gt;&lt;/p&gt;</t>
        </is>
      </c>
      <c r="O24" t="inlineStr">
        <is>
          <t>Select Vehicle:Gu11lkd</t>
        </is>
      </c>
      <c r="P24" t="inlineStr">
        <is>
          <t>Tow Chipper - Timberwolf - TW150DBH - 210143089-a64x4 - Land Rover  - Defender - FN60 0XM</t>
        </is>
      </c>
      <c r="Q24" t="inlineStr">
        <is>
          <t>UKPN</t>
        </is>
      </c>
      <c r="R24" t="b">
        <v>0</v>
      </c>
    </row>
    <row r="25">
      <c r="A25" t="inlineStr">
        <is>
          <t>28 Oct 2024 / 7186 Eastwoodbury Tree Services Ltd</t>
        </is>
      </c>
      <c r="B25" t="inlineStr">
        <is>
          <t>Utilities &amp; Inland Waterways</t>
        </is>
      </c>
      <c r="C25" t="inlineStr">
        <is>
          <t>UKPN</t>
        </is>
      </c>
      <c r="D25" t="inlineStr">
        <is>
          <t>Ford</t>
        </is>
      </c>
      <c r="E25" t="inlineStr">
        <is>
          <t>Ranger</t>
        </is>
      </c>
      <c r="F25" t="inlineStr">
        <is>
          <t>DE53NKS</t>
        </is>
      </c>
      <c r="G25" t="inlineStr">
        <is>
          <t xml:space="preserve">Dan Gilbert Jay Denkmayer </t>
        </is>
      </c>
      <c r="H25" t="inlineStr">
        <is>
          <t>4x4Pickup Truck</t>
        </is>
      </c>
      <c r="I25" t="inlineStr">
        <is>
          <t>Daily/ Weekly Vehicle Inspection</t>
        </is>
      </c>
      <c r="J25" t="inlineStr">
        <is>
          <t>N/A</t>
        </is>
      </c>
      <c r="K25" t="inlineStr">
        <is>
          <t>7186 Eastwoodbury Tree Services Ltd</t>
        </is>
      </c>
      <c r="L25" t="inlineStr">
        <is>
          <t>29/10/2024 14:52</t>
        </is>
      </c>
      <c r="M25" t="inlineStr">
        <is>
          <t>None</t>
        </is>
      </c>
      <c r="N25" t="inlineStr">
        <is>
          <t>&lt;p&gt;&lt;/p&gt;</t>
        </is>
      </c>
      <c r="O25" t="inlineStr"/>
      <c r="P25" t="inlineStr">
        <is>
          <t>4x4 - Santana  - Ps10 - AO57 BPF4x4 - Ford - Ranger - DE53NKS</t>
        </is>
      </c>
      <c r="Q25" t="inlineStr">
        <is>
          <t>UKPN</t>
        </is>
      </c>
      <c r="R25" t="b">
        <v>0</v>
      </c>
    </row>
    <row r="26">
      <c r="A26" t="inlineStr">
        <is>
          <t>28 Oct 2024 / 7889 Tree Tech Suffolk Ltd</t>
        </is>
      </c>
      <c r="B26" t="inlineStr">
        <is>
          <t>Utilities &amp; Inland Waterways</t>
        </is>
      </c>
      <c r="C26" t="inlineStr">
        <is>
          <t>UKPN</t>
        </is>
      </c>
      <c r="D26" t="e">
        <v>#N/A</v>
      </c>
      <c r="E26" t="e">
        <v>#N/A</v>
      </c>
      <c r="F26" t="inlineStr">
        <is>
          <t>5521063948</t>
        </is>
      </c>
      <c r="G26" t="inlineStr">
        <is>
          <t xml:space="preserve">Danny Appleby </t>
        </is>
      </c>
      <c r="H26" t="inlineStr">
        <is>
          <t>Towed Chipper</t>
        </is>
      </c>
      <c r="I26" t="inlineStr">
        <is>
          <t>Daily/ Weekly Vehicle Inspection</t>
        </is>
      </c>
      <c r="J26" t="inlineStr">
        <is>
          <t>N/A</t>
        </is>
      </c>
      <c r="K26" t="inlineStr">
        <is>
          <t>7889 Tree Tech Suffolk Ltd</t>
        </is>
      </c>
      <c r="L26" t="inlineStr">
        <is>
          <t>29/10/2024 14:52</t>
        </is>
      </c>
      <c r="M26" t="inlineStr">
        <is>
          <t>None</t>
        </is>
      </c>
      <c r="N26" t="inlineStr">
        <is>
          <t>&lt;p&gt;&lt;/p&gt;</t>
        </is>
      </c>
      <c r="O26" t="inlineStr">
        <is>
          <t>Confirm that you have checked this vehicle as per the guidance document and the vehicle is fit to drive:Inside tyre worn on drivers side
-</t>
        </is>
      </c>
      <c r="P26" t="inlineStr">
        <is>
          <t>Tow Chipper - Jenson - A530L - 5521063948</t>
        </is>
      </c>
      <c r="Q26" t="inlineStr">
        <is>
          <t>UKPN</t>
        </is>
      </c>
      <c r="R26" t="b">
        <v>0</v>
      </c>
    </row>
    <row r="27">
      <c r="A27" t="inlineStr">
        <is>
          <t>31 Oct 2024 / 7126 Maple Tree Surgery and Landscapes Ltd</t>
        </is>
      </c>
      <c r="B27" t="inlineStr">
        <is>
          <t>Utilities &amp; Inland Waterways</t>
        </is>
      </c>
      <c r="C27" t="inlineStr">
        <is>
          <t>UKPN</t>
        </is>
      </c>
      <c r="D27" t="inlineStr">
        <is>
          <t>Land Rover</t>
        </is>
      </c>
      <c r="E27" t="inlineStr">
        <is>
          <t xml:space="preserve">Discovery </t>
        </is>
      </c>
      <c r="F27" t="inlineStr">
        <is>
          <t>SJ55HMZ</t>
        </is>
      </c>
      <c r="G27" t="inlineStr">
        <is>
          <t>Laurence leoneLaurence leone</t>
        </is>
      </c>
      <c r="H27" t="inlineStr">
        <is>
          <t>Flat Bed Trailer4x4</t>
        </is>
      </c>
      <c r="I27" t="inlineStr">
        <is>
          <t>Daily/ Weekly Vehicle Inspection</t>
        </is>
      </c>
      <c r="J27" t="inlineStr">
        <is>
          <t>N/A</t>
        </is>
      </c>
      <c r="K27" t="inlineStr">
        <is>
          <t>7126 Maple Tree Surgery and Landscapes Ltd</t>
        </is>
      </c>
      <c r="L27" t="inlineStr">
        <is>
          <t>31/10/2024 14:42</t>
        </is>
      </c>
      <c r="M27" t="inlineStr">
        <is>
          <t>None</t>
        </is>
      </c>
      <c r="N27" t="inlineStr">
        <is>
          <t>&lt;p&gt;&lt;/p&gt;</t>
        </is>
      </c>
      <c r="O27" t="inlineStr"/>
      <c r="P27" t="inlineStr">
        <is>
          <t>Flat Bed Trailer - Ifor Williams -  - SCKD00000H5147808AVehicle - Land Rover - Discovery  - SJ55 HMZ</t>
        </is>
      </c>
      <c r="Q27" t="inlineStr">
        <is>
          <t>UKPN</t>
        </is>
      </c>
      <c r="R27" t="b">
        <v>0</v>
      </c>
    </row>
    <row r="28">
      <c r="A28" t="inlineStr">
        <is>
          <t>31 Oct 2024 / 6617 Ashdown Tree Limited</t>
        </is>
      </c>
      <c r="B28" t="inlineStr">
        <is>
          <t>Utilities &amp; Inland Waterways</t>
        </is>
      </c>
      <c r="C28" t="inlineStr">
        <is>
          <t>UKPN</t>
        </is>
      </c>
      <c r="D28" t="inlineStr">
        <is>
          <t>Land Rover</t>
        </is>
      </c>
      <c r="E28" t="inlineStr">
        <is>
          <t>Defender</t>
        </is>
      </c>
      <c r="F28" t="inlineStr">
        <is>
          <t>GU11LKD</t>
        </is>
      </c>
      <c r="G28" t="inlineStr">
        <is>
          <t xml:space="preserve">Francis lesser Lewis welsford Lewis welsford </t>
        </is>
      </c>
      <c r="H28" t="inlineStr">
        <is>
          <t>4x4TipperTowed Chipper</t>
        </is>
      </c>
      <c r="I28" t="inlineStr">
        <is>
          <t>Daily/ Weekly Vehicle Inspection</t>
        </is>
      </c>
      <c r="J28" t="inlineStr">
        <is>
          <t>N/A</t>
        </is>
      </c>
      <c r="K28" t="inlineStr">
        <is>
          <t>6617 Ashdown Tree Limited</t>
        </is>
      </c>
      <c r="L28" t="inlineStr">
        <is>
          <t>31/10/2024 14:43</t>
        </is>
      </c>
      <c r="M28" t="inlineStr">
        <is>
          <t>None</t>
        </is>
      </c>
      <c r="N28" t="inlineStr">
        <is>
          <t>&lt;p&gt;&lt;/p&gt;</t>
        </is>
      </c>
      <c r="O28" t="inlineStr">
        <is>
          <t>Select Vehicle:Gu11lkd</t>
        </is>
      </c>
      <c r="P28" t="inlineStr">
        <is>
          <t>Vehicle - Land Rover - Discovery  - WF11 EJJTipper - Ford - Transit - FE11 BUTTow Chipper - Timberwolf - TW190 DBH - 210137001- A8</t>
        </is>
      </c>
      <c r="Q28" t="inlineStr">
        <is>
          <t>UKPN</t>
        </is>
      </c>
      <c r="R28" t="b">
        <v>0</v>
      </c>
    </row>
    <row r="29">
      <c r="A29" t="inlineStr">
        <is>
          <t>31 Oct 2024 / 3098 D &amp; R Landscapes (PEND Arb Rail)</t>
        </is>
      </c>
      <c r="B29" t="inlineStr">
        <is>
          <t>Utilities &amp; Inland Waterways</t>
        </is>
      </c>
      <c r="C29" t="inlineStr">
        <is>
          <t>UKPN</t>
        </is>
      </c>
      <c r="D29" t="inlineStr">
        <is>
          <t>Nissan</t>
        </is>
      </c>
      <c r="E29" t="inlineStr">
        <is>
          <t>Navara</t>
        </is>
      </c>
      <c r="F29" t="inlineStr">
        <is>
          <t>FX17YVM</t>
        </is>
      </c>
      <c r="G29" t="inlineStr">
        <is>
          <t xml:space="preserve">Jason Mccloy </t>
        </is>
      </c>
      <c r="H29" t="inlineStr">
        <is>
          <t>Pickup Truck</t>
        </is>
      </c>
      <c r="I29" t="inlineStr">
        <is>
          <t>Daily/ Weekly Vehicle Inspection</t>
        </is>
      </c>
      <c r="J29" t="inlineStr">
        <is>
          <t>N/A</t>
        </is>
      </c>
      <c r="K29" t="inlineStr">
        <is>
          <t>3098 D &amp; R Landscapes (PEND Arb Rail)</t>
        </is>
      </c>
      <c r="L29" t="inlineStr">
        <is>
          <t>31/10/2024 14:44</t>
        </is>
      </c>
      <c r="M29" t="inlineStr">
        <is>
          <t>None</t>
        </is>
      </c>
      <c r="N29" t="inlineStr">
        <is>
          <t>&lt;p&gt;&lt;/p&gt;</t>
        </is>
      </c>
      <c r="O29" t="inlineStr"/>
      <c r="P29" t="inlineStr">
        <is>
          <t>Vehicle - Nissan - Navara - FX17 YVM</t>
        </is>
      </c>
      <c r="Q29" t="inlineStr">
        <is>
          <t>UKPN</t>
        </is>
      </c>
      <c r="R29" t="b">
        <v>0</v>
      </c>
    </row>
    <row r="30">
      <c r="A30" t="inlineStr">
        <is>
          <t>31 Oct 2024 / 7186 Eastwoodbury Tree Services Ltd</t>
        </is>
      </c>
      <c r="B30" t="inlineStr">
        <is>
          <t>Utilities &amp; Inland Waterways</t>
        </is>
      </c>
      <c r="C30" t="inlineStr">
        <is>
          <t>UKPN</t>
        </is>
      </c>
      <c r="D30" t="inlineStr">
        <is>
          <t>Ford</t>
        </is>
      </c>
      <c r="E30" t="inlineStr">
        <is>
          <t>Ranger</t>
        </is>
      </c>
      <c r="F30" t="inlineStr">
        <is>
          <t>DE53NKS</t>
        </is>
      </c>
      <c r="G30" t="inlineStr">
        <is>
          <t xml:space="preserve">Tom Price Dan Gilbert Jay Denkmayer </t>
        </is>
      </c>
      <c r="H30" t="inlineStr">
        <is>
          <t>4x44x4Pickup Truck</t>
        </is>
      </c>
      <c r="I30" t="inlineStr">
        <is>
          <t>Daily/ Weekly Vehicle Inspection</t>
        </is>
      </c>
      <c r="J30" t="inlineStr">
        <is>
          <t>N/A</t>
        </is>
      </c>
      <c r="K30" t="inlineStr">
        <is>
          <t>7186 Eastwoodbury Tree Services Ltd</t>
        </is>
      </c>
      <c r="L30" t="inlineStr">
        <is>
          <t>31/10/2024 14:45</t>
        </is>
      </c>
      <c r="M30" t="inlineStr">
        <is>
          <t>None</t>
        </is>
      </c>
      <c r="N30" t="inlineStr">
        <is>
          <t>&lt;p&gt;&lt;/p&gt;</t>
        </is>
      </c>
      <c r="O30" t="inlineStr"/>
      <c r="P30" t="inlineStr">
        <is>
          <t>4x4 - Land Rover  - Defender - FN60 0XM4x4 - Santana  - Ps10 - AO57 BPF4x4 - Ford - Ranger - DE53NKS</t>
        </is>
      </c>
      <c r="Q30" t="inlineStr">
        <is>
          <t>UKPN</t>
        </is>
      </c>
      <c r="R30" t="b">
        <v>0</v>
      </c>
    </row>
    <row r="31">
      <c r="A31" t="inlineStr">
        <is>
          <t>31 Oct 2024 / 7889 Tree Tech Suffolk Ltd</t>
        </is>
      </c>
      <c r="B31" t="inlineStr">
        <is>
          <t>Utilities &amp; Inland Waterways</t>
        </is>
      </c>
      <c r="C31" t="inlineStr">
        <is>
          <t>UKPN</t>
        </is>
      </c>
      <c r="D31" t="e">
        <v>#N/A</v>
      </c>
      <c r="E31" t="e">
        <v>#N/A</v>
      </c>
      <c r="F31" t="inlineStr">
        <is>
          <t>5521063948</t>
        </is>
      </c>
      <c r="G31" t="inlineStr">
        <is>
          <t xml:space="preserve">Danny Appleby </t>
        </is>
      </c>
      <c r="H31" t="inlineStr">
        <is>
          <t>Towed Chipper</t>
        </is>
      </c>
      <c r="I31" t="inlineStr">
        <is>
          <t>Daily/ Weekly Vehicle Inspection</t>
        </is>
      </c>
      <c r="J31" t="inlineStr">
        <is>
          <t>N/A</t>
        </is>
      </c>
      <c r="K31" t="inlineStr">
        <is>
          <t>7889 Tree Tech Suffolk Ltd</t>
        </is>
      </c>
      <c r="L31" t="inlineStr">
        <is>
          <t>31/10/2024 14:46</t>
        </is>
      </c>
      <c r="M31" t="inlineStr">
        <is>
          <t>None</t>
        </is>
      </c>
      <c r="N31" t="inlineStr">
        <is>
          <t>&lt;p&gt;&lt;/p&gt;</t>
        </is>
      </c>
      <c r="O31" t="inlineStr"/>
      <c r="P31" t="inlineStr">
        <is>
          <t>Tow Chipper - Jenson - A530L - 5521063948</t>
        </is>
      </c>
      <c r="Q31" t="inlineStr">
        <is>
          <t>UKPN</t>
        </is>
      </c>
      <c r="R31" t="b">
        <v>0</v>
      </c>
    </row>
    <row r="32">
      <c r="A32" t="inlineStr">
        <is>
          <t>31 Oct 2024 / 7800 MAC Trees and Fencing Ltd</t>
        </is>
      </c>
      <c r="B32" t="inlineStr">
        <is>
          <t>Utilities &amp; Inland Waterways</t>
        </is>
      </c>
      <c r="C32" t="inlineStr">
        <is>
          <t>UKPN</t>
        </is>
      </c>
      <c r="D32" t="inlineStr">
        <is>
          <t>Izuzu</t>
        </is>
      </c>
      <c r="E32" t="inlineStr">
        <is>
          <t>Dmax</t>
        </is>
      </c>
      <c r="F32" t="inlineStr">
        <is>
          <t>AY68DAA</t>
        </is>
      </c>
      <c r="G32" t="inlineStr">
        <is>
          <t>Lewis</t>
        </is>
      </c>
      <c r="H32" t="inlineStr">
        <is>
          <t>4x4</t>
        </is>
      </c>
      <c r="I32" t="inlineStr">
        <is>
          <t>Daily/ Weekly Vehicle Inspection</t>
        </is>
      </c>
      <c r="J32" t="inlineStr">
        <is>
          <t>N/A</t>
        </is>
      </c>
      <c r="K32" t="inlineStr">
        <is>
          <t>7800 MAC Trees and Fencing Ltd</t>
        </is>
      </c>
      <c r="L32" t="inlineStr">
        <is>
          <t>31/10/2024 14:47</t>
        </is>
      </c>
      <c r="M32" t="inlineStr">
        <is>
          <t>None</t>
        </is>
      </c>
      <c r="N32" t="inlineStr">
        <is>
          <t>&lt;p&gt;&lt;/p&gt;</t>
        </is>
      </c>
      <c r="O32" t="inlineStr"/>
      <c r="P32" t="inlineStr">
        <is>
          <t>4x4 - Izuzu - Dmax - Ay68 daa</t>
        </is>
      </c>
      <c r="Q32" t="inlineStr">
        <is>
          <t>UKPN</t>
        </is>
      </c>
      <c r="R32" t="b">
        <v>0</v>
      </c>
    </row>
    <row r="33">
      <c r="A33" t="inlineStr">
        <is>
          <t>30 Oct 2024 / 3098 D &amp; R Landscapes (PEND Arb Rail)</t>
        </is>
      </c>
      <c r="B33" t="inlineStr">
        <is>
          <t>Utilities &amp; Inland Waterways</t>
        </is>
      </c>
      <c r="C33" t="inlineStr">
        <is>
          <t>UKPN</t>
        </is>
      </c>
      <c r="D33" t="inlineStr">
        <is>
          <t>Nissan</t>
        </is>
      </c>
      <c r="E33" t="inlineStr">
        <is>
          <t>Navara</t>
        </is>
      </c>
      <c r="F33" t="inlineStr">
        <is>
          <t>FX17YVM</t>
        </is>
      </c>
      <c r="G33" t="inlineStr">
        <is>
          <t xml:space="preserve">Jason MCCLOY </t>
        </is>
      </c>
      <c r="H33" t="inlineStr"/>
      <c r="I33" t="inlineStr">
        <is>
          <t>Daily/ Weekly Vehicle Inspection</t>
        </is>
      </c>
      <c r="J33" t="inlineStr">
        <is>
          <t>N/A</t>
        </is>
      </c>
      <c r="K33" t="inlineStr">
        <is>
          <t>3098 D &amp; R Landscapes (PEND Arb Rail)</t>
        </is>
      </c>
      <c r="L33" t="inlineStr">
        <is>
          <t>31/10/2024 14:47</t>
        </is>
      </c>
      <c r="M33" t="inlineStr">
        <is>
          <t>None</t>
        </is>
      </c>
      <c r="N33" t="inlineStr">
        <is>
          <t>&lt;p&gt;&lt;/p&gt;</t>
        </is>
      </c>
      <c r="O33" t="inlineStr"/>
      <c r="P33" t="inlineStr">
        <is>
          <t>Vehicle - Nissan - Navara - FX17 YVM</t>
        </is>
      </c>
      <c r="Q33" t="inlineStr">
        <is>
          <t>UKPN</t>
        </is>
      </c>
      <c r="R33" t="b">
        <v>0</v>
      </c>
    </row>
    <row r="34">
      <c r="A34" t="inlineStr">
        <is>
          <t>30 Oct 2024 / 7889 Tree Tech Suffolk Ltd</t>
        </is>
      </c>
      <c r="B34" t="inlineStr">
        <is>
          <t>Utilities &amp; Inland Waterways</t>
        </is>
      </c>
      <c r="C34" t="inlineStr">
        <is>
          <t>UKPN</t>
        </is>
      </c>
      <c r="D34" t="e">
        <v>#N/A</v>
      </c>
      <c r="E34" t="e">
        <v>#N/A</v>
      </c>
      <c r="F34" t="inlineStr">
        <is>
          <t>5521063948</t>
        </is>
      </c>
      <c r="G34" t="inlineStr">
        <is>
          <t xml:space="preserve">Danny Appleby </t>
        </is>
      </c>
      <c r="H34" t="inlineStr">
        <is>
          <t>Towed Chipper</t>
        </is>
      </c>
      <c r="I34" t="inlineStr">
        <is>
          <t>Daily/ Weekly Vehicle Inspection</t>
        </is>
      </c>
      <c r="J34" t="inlineStr">
        <is>
          <t>N/A</t>
        </is>
      </c>
      <c r="K34" t="inlineStr">
        <is>
          <t>7889 Tree Tech Suffolk Ltd</t>
        </is>
      </c>
      <c r="L34" t="inlineStr">
        <is>
          <t>31/10/2024 14:49</t>
        </is>
      </c>
      <c r="M34" t="inlineStr">
        <is>
          <t>None</t>
        </is>
      </c>
      <c r="N34" t="inlineStr">
        <is>
          <t>&lt;p&gt;&lt;/p&gt;</t>
        </is>
      </c>
      <c r="O34" t="inlineStr">
        <is>
          <t>Confirm that you have checked this vehicle as per the guidance document and the vehicle is fit to drive:Drivers side tyre worn
-</t>
        </is>
      </c>
      <c r="P34" t="inlineStr">
        <is>
          <t>Tow Chipper - Jenson - A530L - 5521063948</t>
        </is>
      </c>
      <c r="Q34" t="inlineStr">
        <is>
          <t>UKPN</t>
        </is>
      </c>
      <c r="R34" t="b">
        <v>0</v>
      </c>
    </row>
    <row r="35">
      <c r="A35" t="inlineStr">
        <is>
          <t>30 Oct 2024 / 7186 Eastwoodbury Tree Services Ltd</t>
        </is>
      </c>
      <c r="B35" t="inlineStr">
        <is>
          <t>Utilities &amp; Inland Waterways</t>
        </is>
      </c>
      <c r="C35" t="inlineStr">
        <is>
          <t>UKPN</t>
        </is>
      </c>
      <c r="D35" t="inlineStr">
        <is>
          <t xml:space="preserve">Land Rover </t>
        </is>
      </c>
      <c r="E35" t="inlineStr">
        <is>
          <t>Defender</t>
        </is>
      </c>
      <c r="F35" t="inlineStr">
        <is>
          <t>FN600XM</t>
        </is>
      </c>
      <c r="G35" t="inlineStr">
        <is>
          <t xml:space="preserve">Dan Gilbert Jay Denkmayer </t>
        </is>
      </c>
      <c r="H35" t="inlineStr">
        <is>
          <t>4x44x4</t>
        </is>
      </c>
      <c r="I35" t="inlineStr">
        <is>
          <t>Daily/ Weekly Vehicle Inspection</t>
        </is>
      </c>
      <c r="J35" t="inlineStr">
        <is>
          <t>N/A</t>
        </is>
      </c>
      <c r="K35" t="inlineStr">
        <is>
          <t>7186 Eastwoodbury Tree Services Ltd</t>
        </is>
      </c>
      <c r="L35" t="inlineStr">
        <is>
          <t>31/10/2024 14:50</t>
        </is>
      </c>
      <c r="M35" t="inlineStr">
        <is>
          <t>None</t>
        </is>
      </c>
      <c r="N35" t="inlineStr">
        <is>
          <t>&lt;p&gt;&lt;/p&gt;</t>
        </is>
      </c>
      <c r="O35" t="inlineStr"/>
      <c r="P35" t="inlineStr">
        <is>
          <t>4x4 - Santana  - Ps10 - AO57 BPF4x4 - Land Rover  - Defender - FN60 0XM</t>
        </is>
      </c>
      <c r="Q35" t="inlineStr">
        <is>
          <t>UKPN</t>
        </is>
      </c>
      <c r="R35" t="b">
        <v>0</v>
      </c>
    </row>
    <row r="36">
      <c r="A36" t="inlineStr">
        <is>
          <t>30 Oct 2024 / 6617 Ashdown Tree Limited</t>
        </is>
      </c>
      <c r="B36" t="inlineStr">
        <is>
          <t>Utilities &amp; Inland Waterways</t>
        </is>
      </c>
      <c r="C36" t="inlineStr">
        <is>
          <t>UKPN</t>
        </is>
      </c>
      <c r="D36" t="inlineStr">
        <is>
          <t>Land Rover</t>
        </is>
      </c>
      <c r="E36" t="inlineStr">
        <is>
          <t>Defender</t>
        </is>
      </c>
      <c r="F36" t="inlineStr">
        <is>
          <t>GU11LKD</t>
        </is>
      </c>
      <c r="G36" t="inlineStr">
        <is>
          <t xml:space="preserve">Francis lesser Lewis welsford Lewis welsford </t>
        </is>
      </c>
      <c r="H36" t="inlineStr">
        <is>
          <t>4x4TipperTowed Chipper</t>
        </is>
      </c>
      <c r="I36" t="inlineStr">
        <is>
          <t>Daily/ Weekly Vehicle Inspection</t>
        </is>
      </c>
      <c r="J36" t="inlineStr">
        <is>
          <t>N/A</t>
        </is>
      </c>
      <c r="K36" t="inlineStr">
        <is>
          <t>6617 Ashdown Tree Limited</t>
        </is>
      </c>
      <c r="L36" t="inlineStr">
        <is>
          <t>31/10/2024 14:51</t>
        </is>
      </c>
      <c r="M36" t="inlineStr">
        <is>
          <t>None</t>
        </is>
      </c>
      <c r="N36" t="inlineStr">
        <is>
          <t>&lt;p&gt;&lt;/p&gt;</t>
        </is>
      </c>
      <c r="O36" t="inlineStr">
        <is>
          <t>Select Vehicle:Gu11lkd</t>
        </is>
      </c>
      <c r="P36" t="inlineStr">
        <is>
          <t>Vehicle - Land Rover - Discovery  - WF11 EJJTipper - Ford - Transit - FE11 BUTTow Chipper - Timberwolf - TW230 - SBXTW 37A2PS241049</t>
        </is>
      </c>
      <c r="Q36" t="inlineStr">
        <is>
          <t>UKPN</t>
        </is>
      </c>
      <c r="R36" t="b">
        <v>0</v>
      </c>
    </row>
    <row r="37">
      <c r="A37" t="inlineStr">
        <is>
          <t>30 Oct 2024 / 7800 MAC Trees and Fencing Ltd</t>
        </is>
      </c>
      <c r="B37" t="inlineStr">
        <is>
          <t>Utilities &amp; Inland Waterways</t>
        </is>
      </c>
      <c r="C37" t="inlineStr">
        <is>
          <t>UKPN</t>
        </is>
      </c>
      <c r="D37" t="inlineStr">
        <is>
          <t>Izuzu</t>
        </is>
      </c>
      <c r="E37" t="inlineStr">
        <is>
          <t>Dmax</t>
        </is>
      </c>
      <c r="F37" t="inlineStr">
        <is>
          <t>AY68DAA</t>
        </is>
      </c>
      <c r="G37" t="inlineStr">
        <is>
          <t>Lewis</t>
        </is>
      </c>
      <c r="H37" t="inlineStr">
        <is>
          <t>4x4</t>
        </is>
      </c>
      <c r="I37" t="inlineStr">
        <is>
          <t>Daily/ Weekly Vehicle Inspection</t>
        </is>
      </c>
      <c r="J37" t="inlineStr">
        <is>
          <t>N/A</t>
        </is>
      </c>
      <c r="K37" t="inlineStr">
        <is>
          <t>7800 MAC Trees and Fencing Ltd</t>
        </is>
      </c>
      <c r="L37" t="inlineStr">
        <is>
          <t>31/10/2024 14:51</t>
        </is>
      </c>
      <c r="M37" t="inlineStr">
        <is>
          <t>None</t>
        </is>
      </c>
      <c r="N37" t="inlineStr">
        <is>
          <t>&lt;p&gt;&lt;/p&gt;</t>
        </is>
      </c>
      <c r="O37" t="inlineStr"/>
      <c r="P37" t="inlineStr">
        <is>
          <t>4x4 - Izuzu - Dmax - Ay68 daa</t>
        </is>
      </c>
      <c r="Q37" t="inlineStr">
        <is>
          <t>UKPN</t>
        </is>
      </c>
      <c r="R37" t="b">
        <v>0</v>
      </c>
    </row>
    <row r="38">
      <c r="A38" t="inlineStr">
        <is>
          <t>1 Nov 2024 / 7126 Maple Tree Surgery and Landscapes Ltd</t>
        </is>
      </c>
      <c r="B38" t="inlineStr">
        <is>
          <t>Utilities &amp; Inland Waterways</t>
        </is>
      </c>
      <c r="C38" t="inlineStr">
        <is>
          <t>UKPN</t>
        </is>
      </c>
      <c r="D38" t="inlineStr">
        <is>
          <t>Land Rover</t>
        </is>
      </c>
      <c r="E38" t="inlineStr">
        <is>
          <t xml:space="preserve">Discovery </t>
        </is>
      </c>
      <c r="F38" t="inlineStr">
        <is>
          <t>SJ55HMZ</t>
        </is>
      </c>
      <c r="G38" t="inlineStr">
        <is>
          <t>Laurence leoneLaurence leone</t>
        </is>
      </c>
      <c r="H38" t="inlineStr">
        <is>
          <t>4x4Flat Bed Trailer</t>
        </is>
      </c>
      <c r="I38" t="inlineStr">
        <is>
          <t>Daily/ Weekly Vehicle Inspection</t>
        </is>
      </c>
      <c r="J38" t="inlineStr">
        <is>
          <t>N/A</t>
        </is>
      </c>
      <c r="K38" t="inlineStr">
        <is>
          <t>7126 Maple Tree Surgery and Landscapes Ltd</t>
        </is>
      </c>
      <c r="L38" t="inlineStr">
        <is>
          <t>02/11/2024 14:42</t>
        </is>
      </c>
      <c r="M38" t="inlineStr">
        <is>
          <t>None</t>
        </is>
      </c>
      <c r="N38" t="inlineStr">
        <is>
          <t>&lt;p&gt;&lt;/p&gt;</t>
        </is>
      </c>
      <c r="O38" t="inlineStr"/>
      <c r="P38" t="inlineStr">
        <is>
          <t>Vehicle - Land Rover - Discovery  - SJ55 HMZFlat Bed Trailer - Ifor Williams -  - SCKD00000H5147808A</t>
        </is>
      </c>
      <c r="Q38" t="inlineStr">
        <is>
          <t>UKPN</t>
        </is>
      </c>
      <c r="R38" t="b">
        <v>0</v>
      </c>
    </row>
    <row r="39">
      <c r="A39" t="inlineStr">
        <is>
          <t>1 Nov 2024 / 3098 D &amp; R Landscapes (PEND Arb Rail)</t>
        </is>
      </c>
      <c r="B39" t="inlineStr">
        <is>
          <t>Utilities &amp; Inland Waterways</t>
        </is>
      </c>
      <c r="C39" t="inlineStr">
        <is>
          <t>UKPN</t>
        </is>
      </c>
      <c r="D39" t="inlineStr">
        <is>
          <t>Nissan</t>
        </is>
      </c>
      <c r="E39" t="inlineStr">
        <is>
          <t>Navara</t>
        </is>
      </c>
      <c r="F39" t="inlineStr">
        <is>
          <t>FX17YVM</t>
        </is>
      </c>
      <c r="G39" t="inlineStr">
        <is>
          <t xml:space="preserve">Jason </t>
        </is>
      </c>
      <c r="H39" t="inlineStr">
        <is>
          <t>Pickup Truck</t>
        </is>
      </c>
      <c r="I39" t="inlineStr">
        <is>
          <t>Daily/ Weekly Vehicle Inspection</t>
        </is>
      </c>
      <c r="J39" t="inlineStr">
        <is>
          <t>N/A</t>
        </is>
      </c>
      <c r="K39" t="inlineStr">
        <is>
          <t>3098 D &amp; R Landscapes (PEND Arb Rail)</t>
        </is>
      </c>
      <c r="L39" t="inlineStr">
        <is>
          <t>02/11/2024 14:42</t>
        </is>
      </c>
      <c r="M39" t="inlineStr">
        <is>
          <t>None</t>
        </is>
      </c>
      <c r="N39" t="inlineStr">
        <is>
          <t>&lt;p&gt;&lt;/p&gt;</t>
        </is>
      </c>
      <c r="O39" t="inlineStr"/>
      <c r="P39" t="inlineStr">
        <is>
          <t>Vehicle - Nissan - Navara - FX17 YVM</t>
        </is>
      </c>
      <c r="Q39" t="inlineStr">
        <is>
          <t>UKPN</t>
        </is>
      </c>
      <c r="R39" t="b">
        <v>0</v>
      </c>
    </row>
    <row r="40">
      <c r="A40" t="inlineStr">
        <is>
          <t>1 Nov 2024 / 6617 Ashdown Tree Limited</t>
        </is>
      </c>
      <c r="B40" t="inlineStr">
        <is>
          <t>Utilities &amp; Inland Waterways</t>
        </is>
      </c>
      <c r="C40" t="inlineStr">
        <is>
          <t>UKPN</t>
        </is>
      </c>
      <c r="D40" t="inlineStr">
        <is>
          <t>Land Rover</t>
        </is>
      </c>
      <c r="E40" t="inlineStr">
        <is>
          <t>Defender</t>
        </is>
      </c>
      <c r="F40" t="inlineStr">
        <is>
          <t>GU11LKD</t>
        </is>
      </c>
      <c r="G40" t="inlineStr">
        <is>
          <t xml:space="preserve">Francis lesser Luke Williams Luke Williams </t>
        </is>
      </c>
      <c r="H40" t="inlineStr">
        <is>
          <t>4x4TipperTowed Chipper</t>
        </is>
      </c>
      <c r="I40" t="inlineStr">
        <is>
          <t>Daily/ Weekly Vehicle Inspection</t>
        </is>
      </c>
      <c r="J40" t="inlineStr">
        <is>
          <t>N/A</t>
        </is>
      </c>
      <c r="K40" t="inlineStr">
        <is>
          <t>6617 Ashdown Tree Limited</t>
        </is>
      </c>
      <c r="L40" t="inlineStr">
        <is>
          <t>02/11/2024 14:44</t>
        </is>
      </c>
      <c r="M40" t="inlineStr">
        <is>
          <t>None</t>
        </is>
      </c>
      <c r="N40" t="inlineStr">
        <is>
          <t>&lt;p&gt;&lt;/p&gt;</t>
        </is>
      </c>
      <c r="O40" t="inlineStr"/>
      <c r="P40" t="inlineStr">
        <is>
          <t>4x4 - Land Rover - Defender - GU11 LKDTipper - Ford - Transit - FE11 BUTTow Chipper - Timberwolf - TW230 - SBXTW 37A2PS241049</t>
        </is>
      </c>
      <c r="Q40" t="inlineStr">
        <is>
          <t>UKPN</t>
        </is>
      </c>
      <c r="R40" t="b">
        <v>0</v>
      </c>
    </row>
    <row r="41">
      <c r="A41" t="inlineStr">
        <is>
          <t>1 Nov 2024 / 7186 Eastwoodbury Tree Services Ltd</t>
        </is>
      </c>
      <c r="B41" t="inlineStr">
        <is>
          <t>Utilities &amp; Inland Waterways</t>
        </is>
      </c>
      <c r="C41" t="inlineStr">
        <is>
          <t>UKPN</t>
        </is>
      </c>
      <c r="D41" t="inlineStr">
        <is>
          <t xml:space="preserve">Santana </t>
        </is>
      </c>
      <c r="E41" t="inlineStr">
        <is>
          <t>Ps10</t>
        </is>
      </c>
      <c r="F41" t="inlineStr">
        <is>
          <t>AO57BPF</t>
        </is>
      </c>
      <c r="G41" t="inlineStr">
        <is>
          <t>JayDan</t>
        </is>
      </c>
      <c r="H41" t="inlineStr">
        <is>
          <t>4x4</t>
        </is>
      </c>
      <c r="I41" t="inlineStr">
        <is>
          <t>Daily/ Weekly Vehicle Inspection</t>
        </is>
      </c>
      <c r="J41" t="inlineStr">
        <is>
          <t>N/A</t>
        </is>
      </c>
      <c r="K41" t="inlineStr">
        <is>
          <t>7186 Eastwoodbury Tree Services Ltd</t>
        </is>
      </c>
      <c r="L41" t="inlineStr">
        <is>
          <t>02/11/2024 14:44</t>
        </is>
      </c>
      <c r="M41" t="inlineStr">
        <is>
          <t>None</t>
        </is>
      </c>
      <c r="N41" t="inlineStr">
        <is>
          <t>&lt;p&gt;&lt;/p&gt;</t>
        </is>
      </c>
      <c r="O41" t="inlineStr"/>
      <c r="P41" t="inlineStr">
        <is>
          <t>4x4 - Ford - Ranger - DE53NKS4x4 - Santana  - Ps10 - AO57 BPF</t>
        </is>
      </c>
      <c r="Q41" t="inlineStr">
        <is>
          <t>UKPN</t>
        </is>
      </c>
      <c r="R41" t="b">
        <v>0</v>
      </c>
    </row>
    <row r="42">
      <c r="A42" t="inlineStr">
        <is>
          <t>1 Nov 2024 / 7800 MAC Trees and Fencing Ltd</t>
        </is>
      </c>
      <c r="B42" t="inlineStr">
        <is>
          <t>Utilities &amp; Inland Waterways</t>
        </is>
      </c>
      <c r="C42" t="inlineStr">
        <is>
          <t>UKPN</t>
        </is>
      </c>
      <c r="D42" t="inlineStr">
        <is>
          <t>Izuzu</t>
        </is>
      </c>
      <c r="E42" t="inlineStr">
        <is>
          <t>Dmax</t>
        </is>
      </c>
      <c r="F42" t="inlineStr">
        <is>
          <t>AY68DAA</t>
        </is>
      </c>
      <c r="G42" t="inlineStr">
        <is>
          <t>Lewis</t>
        </is>
      </c>
      <c r="H42" t="inlineStr">
        <is>
          <t>4x4</t>
        </is>
      </c>
      <c r="I42" t="inlineStr">
        <is>
          <t>Daily/ Weekly Vehicle Inspection</t>
        </is>
      </c>
      <c r="J42" t="inlineStr">
        <is>
          <t>N/A</t>
        </is>
      </c>
      <c r="K42" t="inlineStr">
        <is>
          <t>7800 MAC Trees and Fencing Ltd</t>
        </is>
      </c>
      <c r="L42" t="inlineStr">
        <is>
          <t>02/11/2024 14:45</t>
        </is>
      </c>
      <c r="M42" t="inlineStr">
        <is>
          <t>None</t>
        </is>
      </c>
      <c r="N42" t="inlineStr">
        <is>
          <t>&lt;p&gt;&lt;/p&gt;</t>
        </is>
      </c>
      <c r="O42" t="inlineStr"/>
      <c r="P42" t="inlineStr">
        <is>
          <t>4x4 - Izuzu - Dmax - Ay68 daa</t>
        </is>
      </c>
      <c r="Q42" t="inlineStr">
        <is>
          <t>UKPN</t>
        </is>
      </c>
      <c r="R42" t="b">
        <v>0</v>
      </c>
    </row>
    <row r="43">
      <c r="A43" t="inlineStr">
        <is>
          <t>4 Nov 2024 / 7126 Maple Tree Surgery and Landscapes Ltd</t>
        </is>
      </c>
      <c r="B43" t="inlineStr">
        <is>
          <t>Utilities &amp; Inland Waterways</t>
        </is>
      </c>
      <c r="C43" t="inlineStr">
        <is>
          <t>UKPN</t>
        </is>
      </c>
      <c r="D43" t="inlineStr">
        <is>
          <t>Land Rover</t>
        </is>
      </c>
      <c r="E43" t="inlineStr">
        <is>
          <t xml:space="preserve">Discovery </t>
        </is>
      </c>
      <c r="F43" t="inlineStr">
        <is>
          <t>SJ55HMZ</t>
        </is>
      </c>
      <c r="G43" t="inlineStr">
        <is>
          <t>Tim brown</t>
        </is>
      </c>
      <c r="H43" t="inlineStr">
        <is>
          <t>4x4</t>
        </is>
      </c>
      <c r="I43" t="inlineStr">
        <is>
          <t>Daily/ Weekly Vehicle Inspection</t>
        </is>
      </c>
      <c r="J43" t="inlineStr">
        <is>
          <t>N/A</t>
        </is>
      </c>
      <c r="K43" t="inlineStr">
        <is>
          <t>7126 Maple Tree Surgery and Landscapes Ltd</t>
        </is>
      </c>
      <c r="L43" t="inlineStr">
        <is>
          <t>04/11/2024 14:42</t>
        </is>
      </c>
      <c r="M43" t="inlineStr">
        <is>
          <t>None</t>
        </is>
      </c>
      <c r="N43" t="inlineStr">
        <is>
          <t>&lt;p&gt;&lt;/p&gt;</t>
        </is>
      </c>
      <c r="O43" t="inlineStr"/>
      <c r="P43" t="inlineStr">
        <is>
          <t>Vehicle - Land Rover - Discovery  - SJ55 HMZ</t>
        </is>
      </c>
      <c r="Q43" t="inlineStr">
        <is>
          <t>UKPN</t>
        </is>
      </c>
      <c r="R43" t="b">
        <v>0</v>
      </c>
    </row>
    <row r="44">
      <c r="A44" t="inlineStr">
        <is>
          <t>4 Nov 2024 / 7800 MAC Trees and Fencing Ltd</t>
        </is>
      </c>
      <c r="B44" t="inlineStr">
        <is>
          <t>Utilities &amp; Inland Waterways</t>
        </is>
      </c>
      <c r="C44" t="inlineStr">
        <is>
          <t>UKPN</t>
        </is>
      </c>
      <c r="D44" t="inlineStr">
        <is>
          <t>Izuzu</t>
        </is>
      </c>
      <c r="E44" t="inlineStr">
        <is>
          <t>Dmax</t>
        </is>
      </c>
      <c r="F44" t="inlineStr">
        <is>
          <t>AY68DAA</t>
        </is>
      </c>
      <c r="G44" t="inlineStr">
        <is>
          <t xml:space="preserve">Lewis </t>
        </is>
      </c>
      <c r="H44" t="inlineStr">
        <is>
          <t>Towed Chipper</t>
        </is>
      </c>
      <c r="I44" t="inlineStr">
        <is>
          <t>Daily/ Weekly Vehicle Inspection</t>
        </is>
      </c>
      <c r="J44" t="inlineStr">
        <is>
          <t>N/A</t>
        </is>
      </c>
      <c r="K44" t="inlineStr">
        <is>
          <t>7800 MAC Trees and Fencing Ltd</t>
        </is>
      </c>
      <c r="L44" t="inlineStr">
        <is>
          <t>04/11/2024 14:42</t>
        </is>
      </c>
      <c r="M44" t="inlineStr">
        <is>
          <t>None</t>
        </is>
      </c>
      <c r="N44" t="inlineStr">
        <is>
          <t>&lt;p&gt;&lt;/p&gt;</t>
        </is>
      </c>
      <c r="O44" t="inlineStr"/>
      <c r="P44" t="inlineStr">
        <is>
          <t>Tow Chipper - Timberwolf - TW150 - 205143043-a1</t>
        </is>
      </c>
      <c r="Q44" t="inlineStr">
        <is>
          <t>UKPN</t>
        </is>
      </c>
      <c r="R44" t="b">
        <v>0</v>
      </c>
    </row>
    <row r="45">
      <c r="A45" t="inlineStr">
        <is>
          <t>4 Nov 2024 / 7800 MAC Trees and Fencing Ltd</t>
        </is>
      </c>
      <c r="B45" t="inlineStr">
        <is>
          <t>Utilities &amp; Inland Waterways</t>
        </is>
      </c>
      <c r="C45" t="inlineStr">
        <is>
          <t>UKPN</t>
        </is>
      </c>
      <c r="D45" t="inlineStr">
        <is>
          <t>Izuzu</t>
        </is>
      </c>
      <c r="E45" t="inlineStr">
        <is>
          <t>Dmax</t>
        </is>
      </c>
      <c r="F45" t="inlineStr">
        <is>
          <t>AY68DAA</t>
        </is>
      </c>
      <c r="G45" t="inlineStr">
        <is>
          <t>Lewis</t>
        </is>
      </c>
      <c r="H45" t="inlineStr">
        <is>
          <t>4x4</t>
        </is>
      </c>
      <c r="I45" t="inlineStr">
        <is>
          <t>Daily/ Weekly Vehicle Inspection</t>
        </is>
      </c>
      <c r="J45" t="inlineStr">
        <is>
          <t>N/A</t>
        </is>
      </c>
      <c r="K45" t="inlineStr">
        <is>
          <t>7800 MAC Trees and Fencing Ltd</t>
        </is>
      </c>
      <c r="L45" t="inlineStr">
        <is>
          <t>04/11/2024 14:43</t>
        </is>
      </c>
      <c r="M45" t="inlineStr">
        <is>
          <t>None</t>
        </is>
      </c>
      <c r="N45" t="inlineStr">
        <is>
          <t>&lt;p&gt;&lt;/p&gt;</t>
        </is>
      </c>
      <c r="O45" t="inlineStr"/>
      <c r="P45" t="inlineStr">
        <is>
          <t>4x4 - Izuzu - Dmax - Ay68 daa</t>
        </is>
      </c>
      <c r="Q45" t="inlineStr">
        <is>
          <t>UKPN</t>
        </is>
      </c>
      <c r="R45" t="b">
        <v>0</v>
      </c>
    </row>
    <row r="46">
      <c r="A46" t="inlineStr">
        <is>
          <t>4 Nov 2024 / 3098 D &amp; R Landscapes (PEND Arb Rail)</t>
        </is>
      </c>
      <c r="B46" t="inlineStr">
        <is>
          <t>Utilities &amp; Inland Waterways</t>
        </is>
      </c>
      <c r="C46" t="inlineStr">
        <is>
          <t>UKPN</t>
        </is>
      </c>
      <c r="D46" t="inlineStr">
        <is>
          <t>Nissan</t>
        </is>
      </c>
      <c r="E46" t="inlineStr">
        <is>
          <t>Navara</t>
        </is>
      </c>
      <c r="F46" t="inlineStr">
        <is>
          <t>FX17YVM</t>
        </is>
      </c>
      <c r="G46" t="inlineStr">
        <is>
          <t xml:space="preserve">Jason </t>
        </is>
      </c>
      <c r="H46" t="inlineStr">
        <is>
          <t>Pickup Truck</t>
        </is>
      </c>
      <c r="I46" t="inlineStr">
        <is>
          <t>Daily/ Weekly Vehicle Inspection</t>
        </is>
      </c>
      <c r="J46" t="inlineStr">
        <is>
          <t>N/A</t>
        </is>
      </c>
      <c r="K46" t="inlineStr">
        <is>
          <t>3098 D &amp; R Landscapes (PEND Arb Rail)</t>
        </is>
      </c>
      <c r="L46" t="inlineStr">
        <is>
          <t>04/11/2024 14:44</t>
        </is>
      </c>
      <c r="M46" t="inlineStr">
        <is>
          <t>None</t>
        </is>
      </c>
      <c r="N46" t="inlineStr">
        <is>
          <t>&lt;p&gt;&lt;/p&gt;</t>
        </is>
      </c>
      <c r="O46" t="inlineStr"/>
      <c r="P46" t="inlineStr">
        <is>
          <t>Vehicle - Nissan - Navara - FX17 YVM</t>
        </is>
      </c>
      <c r="Q46" t="inlineStr">
        <is>
          <t>UKPN</t>
        </is>
      </c>
      <c r="R46" t="b">
        <v>0</v>
      </c>
    </row>
    <row r="47">
      <c r="A47" t="inlineStr">
        <is>
          <t>4 Nov 2024 / 3098 D &amp; R Landscapes (PEND Arb Rail)</t>
        </is>
      </c>
      <c r="B47" t="inlineStr">
        <is>
          <t>Utilities &amp; Inland Waterways</t>
        </is>
      </c>
      <c r="C47" t="inlineStr">
        <is>
          <t>UKPN</t>
        </is>
      </c>
      <c r="D47" t="inlineStr">
        <is>
          <t>Nissan</t>
        </is>
      </c>
      <c r="E47" t="inlineStr">
        <is>
          <t>Navara</t>
        </is>
      </c>
      <c r="F47" t="inlineStr">
        <is>
          <t>FX17YVM</t>
        </is>
      </c>
      <c r="G47" t="inlineStr">
        <is>
          <t>Jason MCCLOY</t>
        </is>
      </c>
      <c r="H47" t="inlineStr">
        <is>
          <t>4x4</t>
        </is>
      </c>
      <c r="I47" t="inlineStr">
        <is>
          <t>Daily/ Weekly Vehicle Inspection</t>
        </is>
      </c>
      <c r="J47" t="inlineStr">
        <is>
          <t>N/A</t>
        </is>
      </c>
      <c r="K47" t="inlineStr">
        <is>
          <t>3098 D &amp; R Landscapes (PEND Arb Rail)</t>
        </is>
      </c>
      <c r="L47" t="inlineStr">
        <is>
          <t>04/11/2024 14:45</t>
        </is>
      </c>
      <c r="M47" t="inlineStr">
        <is>
          <t>None</t>
        </is>
      </c>
      <c r="N47" t="inlineStr">
        <is>
          <t>&lt;p&gt;&lt;/p&gt;</t>
        </is>
      </c>
      <c r="O47" t="inlineStr"/>
      <c r="P47" t="inlineStr">
        <is>
          <t>Vehicle - Nissan - Navara - FX17 YVM</t>
        </is>
      </c>
      <c r="Q47" t="inlineStr">
        <is>
          <t>UKPN</t>
        </is>
      </c>
      <c r="R47" t="b">
        <v>0</v>
      </c>
    </row>
    <row r="48">
      <c r="A48" t="inlineStr">
        <is>
          <t>6 Nov 2024 / 7126 Maple Tree Surgery and Landscapes Ltd</t>
        </is>
      </c>
      <c r="B48" t="inlineStr">
        <is>
          <t>Utilities &amp; Inland Waterways</t>
        </is>
      </c>
      <c r="C48" t="inlineStr">
        <is>
          <t>UKPN</t>
        </is>
      </c>
      <c r="D48" t="inlineStr">
        <is>
          <t>Land Rover</t>
        </is>
      </c>
      <c r="E48" t="inlineStr">
        <is>
          <t xml:space="preserve">Discovery </t>
        </is>
      </c>
      <c r="F48" t="inlineStr">
        <is>
          <t>SJ55HMZ</t>
        </is>
      </c>
      <c r="G48" t="inlineStr">
        <is>
          <t>Tim brown Tim</t>
        </is>
      </c>
      <c r="H48" t="inlineStr">
        <is>
          <t>4x4Towed Chipper</t>
        </is>
      </c>
      <c r="I48" t="inlineStr">
        <is>
          <t>Daily/ Weekly Vehicle Inspection</t>
        </is>
      </c>
      <c r="J48" t="inlineStr">
        <is>
          <t>N/A</t>
        </is>
      </c>
      <c r="K48" t="inlineStr">
        <is>
          <t>7126 Maple Tree Surgery and Landscapes Ltd</t>
        </is>
      </c>
      <c r="L48" t="inlineStr">
        <is>
          <t>06/11/2024 14:44</t>
        </is>
      </c>
      <c r="M48" t="inlineStr">
        <is>
          <t>None</t>
        </is>
      </c>
      <c r="N48" t="inlineStr">
        <is>
          <t>&lt;p&gt;&lt;/p&gt;</t>
        </is>
      </c>
      <c r="O48" t="inlineStr"/>
      <c r="P48" t="inlineStr">
        <is>
          <t>Vehicle - Land Rover - Discovery  - SJ55 HMZTow Chipper - Timberwolf - TW230 - SBXTW 37A2PS241049</t>
        </is>
      </c>
      <c r="Q48" t="inlineStr">
        <is>
          <t>UKPN</t>
        </is>
      </c>
      <c r="R48" t="b">
        <v>0</v>
      </c>
    </row>
    <row r="49">
      <c r="A49" t="inlineStr">
        <is>
          <t>5 Nov 2024 / 7126 Maple Tree Surgery and Landscapes Ltd</t>
        </is>
      </c>
      <c r="B49" t="inlineStr">
        <is>
          <t>Utilities &amp; Inland Waterways</t>
        </is>
      </c>
      <c r="C49" t="inlineStr">
        <is>
          <t>UKPN</t>
        </is>
      </c>
      <c r="D49" t="inlineStr">
        <is>
          <t>Land Rover</t>
        </is>
      </c>
      <c r="E49" t="inlineStr">
        <is>
          <t xml:space="preserve">Discovery </t>
        </is>
      </c>
      <c r="F49" t="inlineStr">
        <is>
          <t>SJ55HMZ</t>
        </is>
      </c>
      <c r="G49" t="inlineStr">
        <is>
          <t xml:space="preserve">Tim brown Tim brown </t>
        </is>
      </c>
      <c r="H49" t="inlineStr">
        <is>
          <t>4x4Towed Chipper</t>
        </is>
      </c>
      <c r="I49" t="inlineStr">
        <is>
          <t>Daily/ Weekly Vehicle Inspection</t>
        </is>
      </c>
      <c r="J49" t="inlineStr">
        <is>
          <t>N/A</t>
        </is>
      </c>
      <c r="K49" t="inlineStr">
        <is>
          <t>7126 Maple Tree Surgery and Landscapes Ltd</t>
        </is>
      </c>
      <c r="L49" t="inlineStr">
        <is>
          <t>06/11/2024 14:45</t>
        </is>
      </c>
      <c r="M49" t="inlineStr">
        <is>
          <t>None</t>
        </is>
      </c>
      <c r="N49" t="inlineStr">
        <is>
          <t>&lt;p&gt;&lt;/p&gt;</t>
        </is>
      </c>
      <c r="O49" t="inlineStr"/>
      <c r="P49" t="inlineStr">
        <is>
          <t>Vehicle - Land Rover - Discovery  - SJ55 HMZTow Chipper - Timberwolf - TW230 - SBXTW 37A2PS241049</t>
        </is>
      </c>
      <c r="Q49" t="inlineStr">
        <is>
          <t>UKPN</t>
        </is>
      </c>
      <c r="R49" t="b">
        <v>0</v>
      </c>
    </row>
    <row r="50">
      <c r="A50" t="inlineStr">
        <is>
          <t>6 Nov 2024 / 7889 Tree Tech Suffolk Ltd</t>
        </is>
      </c>
      <c r="B50" t="inlineStr">
        <is>
          <t>Utilities &amp; Inland Waterways</t>
        </is>
      </c>
      <c r="C50" t="inlineStr">
        <is>
          <t>UKPN</t>
        </is>
      </c>
      <c r="D50" t="e">
        <v>#N/A</v>
      </c>
      <c r="E50" t="e">
        <v>#N/A</v>
      </c>
      <c r="F50" t="inlineStr">
        <is>
          <t>5521063948</t>
        </is>
      </c>
      <c r="G50" t="inlineStr">
        <is>
          <t xml:space="preserve">Danny Appleby </t>
        </is>
      </c>
      <c r="H50" t="inlineStr">
        <is>
          <t>Towed Chipper</t>
        </is>
      </c>
      <c r="I50" t="inlineStr">
        <is>
          <t>Daily/ Weekly Vehicle Inspection</t>
        </is>
      </c>
      <c r="J50" t="inlineStr">
        <is>
          <t>N/A</t>
        </is>
      </c>
      <c r="K50" t="inlineStr">
        <is>
          <t>7889 Tree Tech Suffolk Ltd</t>
        </is>
      </c>
      <c r="L50" t="inlineStr">
        <is>
          <t>06/11/2024 14:46</t>
        </is>
      </c>
      <c r="M50" t="inlineStr">
        <is>
          <t>None</t>
        </is>
      </c>
      <c r="N50" t="inlineStr">
        <is>
          <t>&lt;p&gt;&lt;/p&gt;</t>
        </is>
      </c>
      <c r="O50" t="inlineStr"/>
      <c r="P50" t="inlineStr">
        <is>
          <t>Tow Chipper - Jenson - A530L - 5521063948</t>
        </is>
      </c>
      <c r="Q50" t="inlineStr">
        <is>
          <t>UKPN</t>
        </is>
      </c>
      <c r="R50" t="b">
        <v>0</v>
      </c>
    </row>
    <row r="51">
      <c r="A51" t="inlineStr">
        <is>
          <t>6 Nov 2024 / 7186 Eastwoodbury Tree Services Ltd</t>
        </is>
      </c>
      <c r="B51" t="inlineStr">
        <is>
          <t>Utilities &amp; Inland Waterways</t>
        </is>
      </c>
      <c r="C51" t="inlineStr">
        <is>
          <t>UKPN</t>
        </is>
      </c>
      <c r="D51" t="inlineStr">
        <is>
          <t xml:space="preserve">Santana </t>
        </is>
      </c>
      <c r="E51" t="inlineStr">
        <is>
          <t>Ps10</t>
        </is>
      </c>
      <c r="F51" t="inlineStr">
        <is>
          <t>AO57BPF</t>
        </is>
      </c>
      <c r="G51" t="inlineStr">
        <is>
          <t xml:space="preserve">Jay Denkmayer Dan Gilbert </t>
        </is>
      </c>
      <c r="H51" t="inlineStr">
        <is>
          <t>Pickup Truck4x4</t>
        </is>
      </c>
      <c r="I51" t="inlineStr">
        <is>
          <t>Daily/ Weekly Vehicle Inspection</t>
        </is>
      </c>
      <c r="J51" t="inlineStr">
        <is>
          <t>N/A</t>
        </is>
      </c>
      <c r="K51" t="inlineStr">
        <is>
          <t>7186 Eastwoodbury Tree Services Ltd</t>
        </is>
      </c>
      <c r="L51" t="inlineStr">
        <is>
          <t>06/11/2024 14:47</t>
        </is>
      </c>
      <c r="M51" t="inlineStr">
        <is>
          <t>None</t>
        </is>
      </c>
      <c r="N51" t="inlineStr">
        <is>
          <t>&lt;p&gt;&lt;/p&gt;</t>
        </is>
      </c>
      <c r="O51" t="inlineStr"/>
      <c r="P51" t="inlineStr">
        <is>
          <t>4x4 - Ford - Ranger - DE53NKS4x4 - Santana  - Ps10 - AO57 BPF</t>
        </is>
      </c>
      <c r="Q51" t="inlineStr">
        <is>
          <t>UKPN</t>
        </is>
      </c>
      <c r="R51" t="b">
        <v>0</v>
      </c>
    </row>
    <row r="52">
      <c r="A52" t="inlineStr">
        <is>
          <t>6 Nov 2024 / 7800 MAC Trees and Fencing Ltd</t>
        </is>
      </c>
      <c r="B52" t="inlineStr">
        <is>
          <t>Utilities &amp; Inland Waterways</t>
        </is>
      </c>
      <c r="C52" t="inlineStr">
        <is>
          <t>UKPN</t>
        </is>
      </c>
      <c r="D52" t="inlineStr">
        <is>
          <t>Land Rover</t>
        </is>
      </c>
      <c r="E52" t="inlineStr">
        <is>
          <t xml:space="preserve">Discovery </t>
        </is>
      </c>
      <c r="F52" t="inlineStr">
        <is>
          <t>EX56JNN</t>
        </is>
      </c>
      <c r="G52" t="inlineStr">
        <is>
          <t>Lewis</t>
        </is>
      </c>
      <c r="H52" t="inlineStr">
        <is>
          <t>4x4</t>
        </is>
      </c>
      <c r="I52" t="inlineStr">
        <is>
          <t>Daily/ Weekly Vehicle Inspection</t>
        </is>
      </c>
      <c r="J52" t="inlineStr">
        <is>
          <t>N/A</t>
        </is>
      </c>
      <c r="K52" t="inlineStr">
        <is>
          <t>7800 MAC Trees and Fencing Ltd</t>
        </is>
      </c>
      <c r="L52" t="inlineStr">
        <is>
          <t>06/11/2024 14:48</t>
        </is>
      </c>
      <c r="M52" t="inlineStr">
        <is>
          <t>None</t>
        </is>
      </c>
      <c r="N52" t="inlineStr">
        <is>
          <t>&lt;p&gt;&lt;/p&gt;</t>
        </is>
      </c>
      <c r="O52" t="inlineStr"/>
      <c r="P52" t="inlineStr">
        <is>
          <t>Vehicle - Land Rover - Discovery  - EX56 JNN</t>
        </is>
      </c>
      <c r="Q52" t="inlineStr">
        <is>
          <t>UKPN</t>
        </is>
      </c>
      <c r="R52" t="b">
        <v>0</v>
      </c>
    </row>
    <row r="53">
      <c r="A53" t="inlineStr">
        <is>
          <t>5 Nov 2024 / 7889 Tree Tech Suffolk Ltd</t>
        </is>
      </c>
      <c r="B53" t="inlineStr">
        <is>
          <t>Utilities &amp; Inland Waterways</t>
        </is>
      </c>
      <c r="C53" t="inlineStr">
        <is>
          <t>UKPN</t>
        </is>
      </c>
      <c r="D53" t="e">
        <v>#N/A</v>
      </c>
      <c r="E53" t="e">
        <v>#N/A</v>
      </c>
      <c r="F53" t="inlineStr">
        <is>
          <t>5521063948</t>
        </is>
      </c>
      <c r="G53" t="inlineStr">
        <is>
          <t xml:space="preserve">Danny Appleby </t>
        </is>
      </c>
      <c r="H53" t="inlineStr">
        <is>
          <t>Towed Chipper</t>
        </is>
      </c>
      <c r="I53" t="inlineStr">
        <is>
          <t>Daily/ Weekly Vehicle Inspection</t>
        </is>
      </c>
      <c r="J53" t="inlineStr">
        <is>
          <t>N/A</t>
        </is>
      </c>
      <c r="K53" t="inlineStr">
        <is>
          <t>7889 Tree Tech Suffolk Ltd</t>
        </is>
      </c>
      <c r="L53" t="inlineStr">
        <is>
          <t>06/11/2024 14:48</t>
        </is>
      </c>
      <c r="M53" t="inlineStr">
        <is>
          <t>None</t>
        </is>
      </c>
      <c r="N53" t="inlineStr">
        <is>
          <t>&lt;p&gt;&lt;/p&gt;</t>
        </is>
      </c>
      <c r="O53" t="inlineStr"/>
      <c r="P53" t="inlineStr">
        <is>
          <t>Tow Chipper - Jenson - A530L - 5521063948</t>
        </is>
      </c>
      <c r="Q53" t="inlineStr">
        <is>
          <t>UKPN</t>
        </is>
      </c>
      <c r="R53" t="b">
        <v>0</v>
      </c>
    </row>
    <row r="54">
      <c r="A54" t="inlineStr">
        <is>
          <t>5 Nov 2024 / 7186 Eastwoodbury Tree Services Ltd</t>
        </is>
      </c>
      <c r="B54" t="inlineStr">
        <is>
          <t>Utilities &amp; Inland Waterways</t>
        </is>
      </c>
      <c r="C54" t="inlineStr">
        <is>
          <t>UKPN</t>
        </is>
      </c>
      <c r="D54" t="inlineStr">
        <is>
          <t xml:space="preserve">Land Rover </t>
        </is>
      </c>
      <c r="E54" t="inlineStr">
        <is>
          <t>Defender</t>
        </is>
      </c>
      <c r="F54" t="inlineStr">
        <is>
          <t>FN600XM</t>
        </is>
      </c>
      <c r="G54" t="inlineStr">
        <is>
          <t xml:space="preserve">Dan Gilbert Jay Denkmayer </t>
        </is>
      </c>
      <c r="H54" t="inlineStr">
        <is>
          <t>4x44x4</t>
        </is>
      </c>
      <c r="I54" t="inlineStr">
        <is>
          <t>Daily/ Weekly Vehicle Inspection</t>
        </is>
      </c>
      <c r="J54" t="inlineStr">
        <is>
          <t>N/A</t>
        </is>
      </c>
      <c r="K54" t="inlineStr">
        <is>
          <t>7186 Eastwoodbury Tree Services Ltd</t>
        </is>
      </c>
      <c r="L54" t="inlineStr">
        <is>
          <t>06/11/2024 14:50</t>
        </is>
      </c>
      <c r="M54" t="inlineStr">
        <is>
          <t>None</t>
        </is>
      </c>
      <c r="N54" t="inlineStr">
        <is>
          <t>&lt;p&gt;&lt;/p&gt;</t>
        </is>
      </c>
      <c r="O54" t="inlineStr"/>
      <c r="P54" t="inlineStr">
        <is>
          <t>4x4 - Santana  - Ps10 - AO57 BPF4x4 - Land Rover  - Defender - FN60 0XM</t>
        </is>
      </c>
      <c r="Q54" t="inlineStr">
        <is>
          <t>UKPN</t>
        </is>
      </c>
      <c r="R54" t="b">
        <v>0</v>
      </c>
    </row>
    <row r="55">
      <c r="A55" t="inlineStr">
        <is>
          <t>8 Nov 2024 / 7126 Maple Tree Surgery and Landscapes Ltd</t>
        </is>
      </c>
      <c r="B55" t="inlineStr">
        <is>
          <t>Utilities &amp; Inland Waterways</t>
        </is>
      </c>
      <c r="C55" t="inlineStr">
        <is>
          <t>UKPN</t>
        </is>
      </c>
      <c r="D55" t="inlineStr">
        <is>
          <t>Land Rover</t>
        </is>
      </c>
      <c r="E55" t="inlineStr">
        <is>
          <t xml:space="preserve">Discovery </t>
        </is>
      </c>
      <c r="F55" t="inlineStr">
        <is>
          <t>SJ55HMZ</t>
        </is>
      </c>
      <c r="G55" t="inlineStr">
        <is>
          <t>TimTim</t>
        </is>
      </c>
      <c r="H55" t="inlineStr">
        <is>
          <t>4x4Towed Chipper</t>
        </is>
      </c>
      <c r="I55" t="inlineStr">
        <is>
          <t>Daily/ Weekly Vehicle Inspection</t>
        </is>
      </c>
      <c r="J55" t="inlineStr">
        <is>
          <t>N/A</t>
        </is>
      </c>
      <c r="K55" t="inlineStr">
        <is>
          <t>7126 Maple Tree Surgery and Landscapes Ltd</t>
        </is>
      </c>
      <c r="L55" t="inlineStr">
        <is>
          <t>08/11/2024 14:42</t>
        </is>
      </c>
      <c r="M55" t="inlineStr">
        <is>
          <t>None</t>
        </is>
      </c>
      <c r="N55" t="inlineStr">
        <is>
          <t>&lt;p&gt;&lt;/p&gt;</t>
        </is>
      </c>
      <c r="O55" t="inlineStr"/>
      <c r="P55" t="inlineStr">
        <is>
          <t>Vehicle - Land Rover - Discovery  - SJ55 HMZTow Chipper - Timberwolf - TW150DBH - 210143089-a6</t>
        </is>
      </c>
      <c r="Q55" t="inlineStr">
        <is>
          <t>UKPN</t>
        </is>
      </c>
      <c r="R55" t="b">
        <v>0</v>
      </c>
    </row>
    <row r="56">
      <c r="A56" t="inlineStr">
        <is>
          <t>8 Nov 2024 / 6617 Ashdown Tree Limited</t>
        </is>
      </c>
      <c r="B56" t="inlineStr">
        <is>
          <t>Utilities &amp; Inland Waterways</t>
        </is>
      </c>
      <c r="C56" t="inlineStr">
        <is>
          <t>UKPN</t>
        </is>
      </c>
      <c r="D56" t="inlineStr">
        <is>
          <t>Land Rover</t>
        </is>
      </c>
      <c r="E56" t="inlineStr">
        <is>
          <t xml:space="preserve">Discovery </t>
        </is>
      </c>
      <c r="F56" t="inlineStr">
        <is>
          <t>WF11EJJ</t>
        </is>
      </c>
      <c r="G56" t="inlineStr">
        <is>
          <t xml:space="preserve">Francis lesser Francis lesser Ashley Horwood Ashley Horwood </t>
        </is>
      </c>
      <c r="H56" t="inlineStr">
        <is>
          <t>4x4Towed Chipper4x4Plant Trailer</t>
        </is>
      </c>
      <c r="I56" t="inlineStr">
        <is>
          <t>Daily/ Weekly Vehicle Inspection</t>
        </is>
      </c>
      <c r="J56" t="inlineStr">
        <is>
          <t>N/A</t>
        </is>
      </c>
      <c r="K56" t="inlineStr">
        <is>
          <t>6617 Ashdown Tree Limited</t>
        </is>
      </c>
      <c r="L56" t="inlineStr">
        <is>
          <t>08/11/2024 14:43</t>
        </is>
      </c>
      <c r="M56" t="inlineStr">
        <is>
          <t>None</t>
        </is>
      </c>
      <c r="N56" t="inlineStr">
        <is>
          <t>&lt;p&gt;&lt;/p&gt;</t>
        </is>
      </c>
      <c r="O56" t="inlineStr"/>
      <c r="P56" t="inlineStr">
        <is>
          <t>4x4 - Land Rover - Defender - GU11 LKDTow Chipper - Timberwolf - TW230 - SBXTW 37A2PS241049Vehicle - Land Rover - Discovery  - WF11 EJJFlat Bed Trailer - Ifor Williams -  - SCKD00000H5147808A</t>
        </is>
      </c>
      <c r="Q56" t="inlineStr">
        <is>
          <t>UKPN</t>
        </is>
      </c>
      <c r="R56" t="b">
        <v>0</v>
      </c>
    </row>
    <row r="57">
      <c r="A57" t="inlineStr">
        <is>
          <t>8 Nov 2024 / 7800 MAC Trees and Fencing Ltd</t>
        </is>
      </c>
      <c r="B57" t="inlineStr">
        <is>
          <t>Utilities &amp; Inland Waterways</t>
        </is>
      </c>
      <c r="C57" t="inlineStr">
        <is>
          <t>UKPN</t>
        </is>
      </c>
      <c r="D57" t="inlineStr">
        <is>
          <t>Izuzu</t>
        </is>
      </c>
      <c r="E57" t="inlineStr">
        <is>
          <t>Dmax</t>
        </is>
      </c>
      <c r="F57" t="inlineStr">
        <is>
          <t>Ay68daa</t>
        </is>
      </c>
      <c r="G57" t="inlineStr">
        <is>
          <t xml:space="preserve">LewisLewis </t>
        </is>
      </c>
      <c r="H57" t="inlineStr">
        <is>
          <t>4x4Towed Chipper</t>
        </is>
      </c>
      <c r="I57" t="inlineStr">
        <is>
          <t>Daily/ Weekly Vehicle Inspection</t>
        </is>
      </c>
      <c r="J57" t="inlineStr">
        <is>
          <t>N/A</t>
        </is>
      </c>
      <c r="K57" t="inlineStr">
        <is>
          <t>7800 MAC Trees and Fencing Ltd</t>
        </is>
      </c>
      <c r="L57" t="inlineStr">
        <is>
          <t>08/11/2024 14:45</t>
        </is>
      </c>
      <c r="M57" t="inlineStr">
        <is>
          <t>None</t>
        </is>
      </c>
      <c r="N57" t="inlineStr">
        <is>
          <t>&lt;p&gt;&lt;/p&gt;</t>
        </is>
      </c>
      <c r="O57" t="inlineStr"/>
      <c r="P57" t="inlineStr">
        <is>
          <t>4x4 - Izuzu - Dmax - Ay68 daaTow Chipper - Timberwolf - TW150 - 205143043-a1</t>
        </is>
      </c>
      <c r="Q57" t="inlineStr">
        <is>
          <t>UKPN</t>
        </is>
      </c>
      <c r="R57" t="b">
        <v>0</v>
      </c>
    </row>
    <row r="58">
      <c r="A58" t="inlineStr">
        <is>
          <t>7 Nov 2024 / 7126 Maple Tree Surgery and Landscapes Ltd</t>
        </is>
      </c>
      <c r="B58" t="inlineStr">
        <is>
          <t>Utilities &amp; Inland Waterways</t>
        </is>
      </c>
      <c r="C58" t="inlineStr">
        <is>
          <t>UKPN</t>
        </is>
      </c>
      <c r="D58" t="inlineStr">
        <is>
          <t>Land Rover</t>
        </is>
      </c>
      <c r="E58" t="inlineStr">
        <is>
          <t xml:space="preserve">Discovery </t>
        </is>
      </c>
      <c r="F58" t="inlineStr">
        <is>
          <t>SJ55HMZ</t>
        </is>
      </c>
      <c r="G58" t="inlineStr">
        <is>
          <t>Tim BrownTim Brown</t>
        </is>
      </c>
      <c r="H58" t="inlineStr">
        <is>
          <t>4x4Towed Chipper</t>
        </is>
      </c>
      <c r="I58" t="inlineStr">
        <is>
          <t>Daily/ Weekly Vehicle Inspection</t>
        </is>
      </c>
      <c r="J58" t="inlineStr">
        <is>
          <t>N/A</t>
        </is>
      </c>
      <c r="K58" t="inlineStr">
        <is>
          <t>7126 Maple Tree Surgery and Landscapes Ltd</t>
        </is>
      </c>
      <c r="L58" t="inlineStr">
        <is>
          <t>08/11/2024 14:46</t>
        </is>
      </c>
      <c r="M58" t="inlineStr">
        <is>
          <t>None</t>
        </is>
      </c>
      <c r="N58" t="inlineStr">
        <is>
          <t>&lt;p&gt;&lt;/p&gt;</t>
        </is>
      </c>
      <c r="O58" t="inlineStr"/>
      <c r="P58" t="inlineStr">
        <is>
          <t>Vehicle - Land Rover - Discovery  - SJ55 HMZTow Chipper - Timberwolf - TW150DBH - 210143089-a6</t>
        </is>
      </c>
      <c r="Q58" t="inlineStr">
        <is>
          <t>UKPN</t>
        </is>
      </c>
      <c r="R58" t="b">
        <v>0</v>
      </c>
    </row>
    <row r="59">
      <c r="A59" t="inlineStr">
        <is>
          <t>7 Nov 2024 / 6617 Ashdown Tree Limited</t>
        </is>
      </c>
      <c r="B59" t="inlineStr">
        <is>
          <t>Utilities &amp; Inland Waterways</t>
        </is>
      </c>
      <c r="C59" t="inlineStr">
        <is>
          <t>UKPN</t>
        </is>
      </c>
      <c r="D59" t="inlineStr">
        <is>
          <t>Ford</t>
        </is>
      </c>
      <c r="E59" t="inlineStr">
        <is>
          <t>Transit</t>
        </is>
      </c>
      <c r="F59" t="inlineStr">
        <is>
          <t>FE11BUT</t>
        </is>
      </c>
      <c r="G59" t="inlineStr">
        <is>
          <t xml:space="preserve">Francis lesser Francis lesser Ashley horwoodashley horwood </t>
        </is>
      </c>
      <c r="H59" t="inlineStr">
        <is>
          <t>TipperTowed ChipperCar - DieselPlant Trailer</t>
        </is>
      </c>
      <c r="I59" t="inlineStr">
        <is>
          <t>Daily/ Weekly Vehicle Inspection</t>
        </is>
      </c>
      <c r="J59" t="inlineStr">
        <is>
          <t>N/A</t>
        </is>
      </c>
      <c r="K59" t="inlineStr">
        <is>
          <t>6617 Ashdown Tree Limited</t>
        </is>
      </c>
      <c r="L59" t="inlineStr">
        <is>
          <t>08/11/2024 14:48</t>
        </is>
      </c>
      <c r="M59" t="inlineStr">
        <is>
          <t>None</t>
        </is>
      </c>
      <c r="N59" t="inlineStr">
        <is>
          <t>&lt;p&gt;&lt;/p&gt;</t>
        </is>
      </c>
      <c r="O59" t="inlineStr"/>
      <c r="P59" t="inlineStr">
        <is>
          <t>Tipper - Ford - Transit - FE11 BUTTow Chipper - Timberwolf - TW230DHB - SBXTW 35A6LS209184Vehicle - Land Rover - Discovery  - WF11 EJJFlat Bed Trailer - Ifor Williams - SA9 TAGD - DSF27414036</t>
        </is>
      </c>
      <c r="Q59" t="inlineStr">
        <is>
          <t>UKPN</t>
        </is>
      </c>
      <c r="R59" t="b">
        <v>0</v>
      </c>
    </row>
    <row r="60">
      <c r="A60" t="inlineStr">
        <is>
          <t>7 Nov 2024 / 7889 Tree Tech Suffolk Ltd</t>
        </is>
      </c>
      <c r="B60" t="inlineStr">
        <is>
          <t>Utilities &amp; Inland Waterways</t>
        </is>
      </c>
      <c r="C60" t="inlineStr">
        <is>
          <t>UKPN</t>
        </is>
      </c>
      <c r="D60" t="e">
        <v>#N/A</v>
      </c>
      <c r="E60" t="e">
        <v>#N/A</v>
      </c>
      <c r="F60" t="inlineStr">
        <is>
          <t>5521063948</t>
        </is>
      </c>
      <c r="G60" t="inlineStr">
        <is>
          <t>Danny Appleby</t>
        </is>
      </c>
      <c r="H60" t="inlineStr">
        <is>
          <t>Towed Chipper</t>
        </is>
      </c>
      <c r="I60" t="inlineStr">
        <is>
          <t>Daily/ Weekly Vehicle Inspection</t>
        </is>
      </c>
      <c r="J60" t="inlineStr">
        <is>
          <t>N/A</t>
        </is>
      </c>
      <c r="K60" t="inlineStr">
        <is>
          <t>7889 Tree Tech Suffolk Ltd</t>
        </is>
      </c>
      <c r="L60" t="inlineStr">
        <is>
          <t>08/11/2024 14:48</t>
        </is>
      </c>
      <c r="M60" t="inlineStr">
        <is>
          <t>None</t>
        </is>
      </c>
      <c r="N60" t="inlineStr">
        <is>
          <t>&lt;p&gt;&lt;/p&gt;</t>
        </is>
      </c>
      <c r="O60" t="inlineStr"/>
      <c r="P60" t="inlineStr">
        <is>
          <t>Tow Chipper - Jenson - A530L - 5521063948</t>
        </is>
      </c>
      <c r="Q60" t="inlineStr">
        <is>
          <t>UKPN</t>
        </is>
      </c>
      <c r="R60" t="b">
        <v>0</v>
      </c>
    </row>
    <row r="61">
      <c r="A61" t="inlineStr">
        <is>
          <t>7 Nov 2024 / 7186 Eastwoodbury Tree Services Ltd</t>
        </is>
      </c>
      <c r="B61" t="inlineStr">
        <is>
          <t>Utilities &amp; Inland Waterways</t>
        </is>
      </c>
      <c r="C61" t="inlineStr">
        <is>
          <t>UKPN</t>
        </is>
      </c>
      <c r="D61" t="inlineStr">
        <is>
          <t>Ford</t>
        </is>
      </c>
      <c r="E61" t="inlineStr">
        <is>
          <t>Transit</t>
        </is>
      </c>
      <c r="F61" t="inlineStr">
        <is>
          <t>DN61XKJ</t>
        </is>
      </c>
      <c r="G61" t="inlineStr">
        <is>
          <t xml:space="preserve">Tom price Jay Denkmayer </t>
        </is>
      </c>
      <c r="H61" t="inlineStr">
        <is>
          <t>4x4Tipper</t>
        </is>
      </c>
      <c r="I61" t="inlineStr">
        <is>
          <t>Daily/ Weekly Vehicle Inspection</t>
        </is>
      </c>
      <c r="J61" t="inlineStr">
        <is>
          <t>N/A</t>
        </is>
      </c>
      <c r="K61" t="inlineStr">
        <is>
          <t>7186 Eastwoodbury Tree Services Ltd</t>
        </is>
      </c>
      <c r="L61" t="inlineStr">
        <is>
          <t>08/11/2024 14:49</t>
        </is>
      </c>
      <c r="M61" t="inlineStr">
        <is>
          <t>None</t>
        </is>
      </c>
      <c r="N61" t="inlineStr">
        <is>
          <t>&lt;p&gt;&lt;/p&gt;</t>
        </is>
      </c>
      <c r="O61" t="inlineStr"/>
      <c r="P61" t="inlineStr">
        <is>
          <t>4x4 - Land Rover  - Defender - FN60 0XMTipper - Ford - Transit - DN61XKJ</t>
        </is>
      </c>
      <c r="Q61" t="inlineStr">
        <is>
          <t>UKPN</t>
        </is>
      </c>
      <c r="R61" t="b">
        <v>0</v>
      </c>
    </row>
    <row r="62">
      <c r="A62" t="inlineStr">
        <is>
          <t>7 Nov 2024 / 7800 MAC Trees and Fencing Ltd</t>
        </is>
      </c>
      <c r="B62" t="inlineStr">
        <is>
          <t>Utilities &amp; Inland Waterways</t>
        </is>
      </c>
      <c r="C62" t="inlineStr">
        <is>
          <t>UKPN</t>
        </is>
      </c>
      <c r="D62" t="inlineStr">
        <is>
          <t>Izuzu</t>
        </is>
      </c>
      <c r="E62" t="inlineStr">
        <is>
          <t>Dmax</t>
        </is>
      </c>
      <c r="F62" t="inlineStr">
        <is>
          <t>Ay68daa</t>
        </is>
      </c>
      <c r="G62" t="inlineStr">
        <is>
          <t>LewisLewis</t>
        </is>
      </c>
      <c r="H62" t="inlineStr">
        <is>
          <t>4x4Towed Chipper</t>
        </is>
      </c>
      <c r="I62" t="inlineStr">
        <is>
          <t>Daily/ Weekly Vehicle Inspection</t>
        </is>
      </c>
      <c r="J62" t="inlineStr">
        <is>
          <t>N/A</t>
        </is>
      </c>
      <c r="K62" t="inlineStr">
        <is>
          <t>7800 MAC Trees and Fencing Ltd</t>
        </is>
      </c>
      <c r="L62" t="inlineStr">
        <is>
          <t>08/11/2024 14:50</t>
        </is>
      </c>
      <c r="M62" t="inlineStr">
        <is>
          <t>None</t>
        </is>
      </c>
      <c r="N62" t="inlineStr">
        <is>
          <t>&lt;p&gt;&lt;/p&gt;</t>
        </is>
      </c>
      <c r="O62" t="inlineStr"/>
      <c r="P62" t="inlineStr">
        <is>
          <t>4x4 - Izuzu - Dmax - Ay68 daaTow Chipper - Timberwolf - TW150 - 205143043-a1</t>
        </is>
      </c>
      <c r="Q62" t="inlineStr">
        <is>
          <t>UKPN</t>
        </is>
      </c>
      <c r="R62" t="b">
        <v>0</v>
      </c>
    </row>
    <row r="63">
      <c r="A63" t="inlineStr">
        <is>
          <t>12 Nov 2024 / 3098 D &amp; R Landscapes (PEND Arb Rail)</t>
        </is>
      </c>
      <c r="B63" t="inlineStr">
        <is>
          <t>Utilities &amp; Inland Waterways</t>
        </is>
      </c>
      <c r="C63" t="inlineStr">
        <is>
          <t>UKPN</t>
        </is>
      </c>
      <c r="D63" t="inlineStr">
        <is>
          <t>Nissan</t>
        </is>
      </c>
      <c r="E63" t="inlineStr">
        <is>
          <t>Navara</t>
        </is>
      </c>
      <c r="F63" t="inlineStr">
        <is>
          <t>FX17YVM</t>
        </is>
      </c>
      <c r="G63" t="inlineStr">
        <is>
          <t>Jason m</t>
        </is>
      </c>
      <c r="H63" t="inlineStr">
        <is>
          <t>Pickup Truck</t>
        </is>
      </c>
      <c r="I63" t="inlineStr">
        <is>
          <t>Daily/ Weekly Vehicle Inspection</t>
        </is>
      </c>
      <c r="J63" t="inlineStr">
        <is>
          <t>N/A</t>
        </is>
      </c>
      <c r="K63" t="inlineStr">
        <is>
          <t>3098 D &amp; R Landscapes (PEND Arb Rail)</t>
        </is>
      </c>
      <c r="L63" t="inlineStr">
        <is>
          <t>12/11/2024 14:42</t>
        </is>
      </c>
      <c r="M63" t="inlineStr">
        <is>
          <t>None</t>
        </is>
      </c>
      <c r="N63" t="inlineStr">
        <is>
          <t>&lt;p&gt;&lt;/p&gt;</t>
        </is>
      </c>
      <c r="O63" t="inlineStr"/>
      <c r="P63" t="inlineStr">
        <is>
          <t>Vehicle - Nissan - Navara - FX17 YVM</t>
        </is>
      </c>
      <c r="Q63" t="inlineStr">
        <is>
          <t>UKPN</t>
        </is>
      </c>
      <c r="R63" t="b">
        <v>0</v>
      </c>
    </row>
    <row r="64">
      <c r="A64" t="inlineStr">
        <is>
          <t>12 Nov 2024 / 3098 D &amp; R Landscapes (PEND Arb Rail)</t>
        </is>
      </c>
      <c r="B64" t="inlineStr">
        <is>
          <t>Utilities &amp; Inland Waterways</t>
        </is>
      </c>
      <c r="C64" t="inlineStr">
        <is>
          <t>UKPN</t>
        </is>
      </c>
      <c r="D64" t="inlineStr">
        <is>
          <t>Nissan</t>
        </is>
      </c>
      <c r="E64" t="inlineStr">
        <is>
          <t>Navara</t>
        </is>
      </c>
      <c r="F64" t="inlineStr">
        <is>
          <t>FX17YVM</t>
        </is>
      </c>
      <c r="G64" t="inlineStr">
        <is>
          <t xml:space="preserve">Jason MCCLOY </t>
        </is>
      </c>
      <c r="H64" t="inlineStr">
        <is>
          <t>4x4</t>
        </is>
      </c>
      <c r="I64" t="inlineStr">
        <is>
          <t>Daily/ Weekly Vehicle Inspection</t>
        </is>
      </c>
      <c r="J64" t="inlineStr">
        <is>
          <t>N/A</t>
        </is>
      </c>
      <c r="K64" t="inlineStr">
        <is>
          <t>3098 D &amp; R Landscapes (PEND Arb Rail)</t>
        </is>
      </c>
      <c r="L64" t="inlineStr">
        <is>
          <t>12/11/2024 14:42</t>
        </is>
      </c>
      <c r="M64" t="inlineStr">
        <is>
          <t>None</t>
        </is>
      </c>
      <c r="N64" t="inlineStr">
        <is>
          <t>&lt;p&gt;&lt;/p&gt;</t>
        </is>
      </c>
      <c r="O64" t="inlineStr"/>
      <c r="P64" t="inlineStr">
        <is>
          <t>Vehicle - Nissan - Navara - FX17 YVM</t>
        </is>
      </c>
      <c r="Q64" t="inlineStr">
        <is>
          <t>UKPN</t>
        </is>
      </c>
      <c r="R64" t="b">
        <v>0</v>
      </c>
    </row>
    <row r="65">
      <c r="A65" t="inlineStr">
        <is>
          <t>12 Nov 2024 / 6617 Ashdown Tree Limited</t>
        </is>
      </c>
      <c r="B65" t="inlineStr">
        <is>
          <t>Utilities &amp; Inland Waterways</t>
        </is>
      </c>
      <c r="C65" t="inlineStr">
        <is>
          <t>UKPN</t>
        </is>
      </c>
      <c r="D65" t="inlineStr">
        <is>
          <t>Land Rover</t>
        </is>
      </c>
      <c r="E65" t="inlineStr">
        <is>
          <t>Defender</t>
        </is>
      </c>
      <c r="F65" t="inlineStr">
        <is>
          <t>GU11LKD</t>
        </is>
      </c>
      <c r="G65" t="inlineStr">
        <is>
          <t xml:space="preserve">Francis lesser Francis lesser </t>
        </is>
      </c>
      <c r="H65" t="inlineStr">
        <is>
          <t>4x4Towed Chipper</t>
        </is>
      </c>
      <c r="I65" t="inlineStr">
        <is>
          <t>Daily/ Weekly Vehicle Inspection</t>
        </is>
      </c>
      <c r="J65" t="inlineStr">
        <is>
          <t>N/A</t>
        </is>
      </c>
      <c r="K65" t="inlineStr">
        <is>
          <t>6617 Ashdown Tree Limited</t>
        </is>
      </c>
      <c r="L65" t="inlineStr">
        <is>
          <t>12/11/2024 14:43</t>
        </is>
      </c>
      <c r="M65" t="inlineStr">
        <is>
          <t>None</t>
        </is>
      </c>
      <c r="N65" t="inlineStr">
        <is>
          <t>&lt;p&gt;&lt;/p&gt;</t>
        </is>
      </c>
      <c r="O65" t="inlineStr"/>
      <c r="P65" t="inlineStr">
        <is>
          <t>4x4 - Land Rover - Defender - GU11 LKDTow Chipper - Timberwolf - TW230DHB - SBCTW 35A6LS209242</t>
        </is>
      </c>
      <c r="Q65" t="inlineStr">
        <is>
          <t>UKPN</t>
        </is>
      </c>
      <c r="R65" t="b">
        <v>0</v>
      </c>
    </row>
    <row r="66">
      <c r="A66" t="inlineStr">
        <is>
          <t>12 Nov 2024 / 7186 Eastwoodbury Tree Services Ltd</t>
        </is>
      </c>
      <c r="B66" t="inlineStr">
        <is>
          <t>Utilities &amp; Inland Waterways</t>
        </is>
      </c>
      <c r="C66" t="inlineStr">
        <is>
          <t>UKPN</t>
        </is>
      </c>
      <c r="D66" t="inlineStr">
        <is>
          <t xml:space="preserve">Land Rover </t>
        </is>
      </c>
      <c r="E66" t="inlineStr">
        <is>
          <t>Defender</t>
        </is>
      </c>
      <c r="F66" t="inlineStr">
        <is>
          <t>FN600XM</t>
        </is>
      </c>
      <c r="G66" t="inlineStr">
        <is>
          <t xml:space="preserve">Dan Gilbert Jay Denkmayer </t>
        </is>
      </c>
      <c r="H66" t="inlineStr">
        <is>
          <t>4x44x4</t>
        </is>
      </c>
      <c r="I66" t="inlineStr">
        <is>
          <t>Daily/ Weekly Vehicle Inspection</t>
        </is>
      </c>
      <c r="J66" t="inlineStr">
        <is>
          <t>N/A</t>
        </is>
      </c>
      <c r="K66" t="inlineStr">
        <is>
          <t>7186 Eastwoodbury Tree Services Ltd</t>
        </is>
      </c>
      <c r="L66" t="inlineStr">
        <is>
          <t>12/11/2024 14:44</t>
        </is>
      </c>
      <c r="M66" t="inlineStr">
        <is>
          <t>None</t>
        </is>
      </c>
      <c r="N66" t="inlineStr">
        <is>
          <t>&lt;p&gt;&lt;/p&gt;</t>
        </is>
      </c>
      <c r="O66" t="inlineStr"/>
      <c r="P66" t="inlineStr">
        <is>
          <t>4x4 - Land Rover  - Defender - FN60 0XM4x4 - Land Rover  - Defender - FN60 0XM</t>
        </is>
      </c>
      <c r="Q66" t="inlineStr">
        <is>
          <t>UKPN</t>
        </is>
      </c>
      <c r="R66" t="b">
        <v>0</v>
      </c>
    </row>
    <row r="67">
      <c r="A67" t="inlineStr">
        <is>
          <t>12 Nov 2024 / 7889 Tree Tech Suffolk Ltd</t>
        </is>
      </c>
      <c r="B67" t="inlineStr">
        <is>
          <t>Utilities &amp; Inland Waterways</t>
        </is>
      </c>
      <c r="C67" t="inlineStr">
        <is>
          <t>UKPN</t>
        </is>
      </c>
      <c r="D67" t="inlineStr">
        <is>
          <t>Isuzu</t>
        </is>
      </c>
      <c r="E67" t="inlineStr">
        <is>
          <t>D-max</t>
        </is>
      </c>
      <c r="F67" t="inlineStr">
        <is>
          <t>NS03TTS</t>
        </is>
      </c>
      <c r="G67" t="inlineStr">
        <is>
          <t xml:space="preserve">Nikki sparrow </t>
        </is>
      </c>
      <c r="H67" t="inlineStr">
        <is>
          <t>4x4</t>
        </is>
      </c>
      <c r="I67" t="inlineStr">
        <is>
          <t>Daily/ Weekly Vehicle Inspection</t>
        </is>
      </c>
      <c r="J67" t="inlineStr">
        <is>
          <t>N/A</t>
        </is>
      </c>
      <c r="K67" t="inlineStr">
        <is>
          <t>7889 Tree Tech Suffolk Ltd</t>
        </is>
      </c>
      <c r="L67" t="inlineStr">
        <is>
          <t>12/11/2024 14:44</t>
        </is>
      </c>
      <c r="M67" t="inlineStr">
        <is>
          <t>None</t>
        </is>
      </c>
      <c r="N67" t="inlineStr">
        <is>
          <t>&lt;p&gt;&lt;/p&gt;</t>
        </is>
      </c>
      <c r="O67" t="inlineStr"/>
      <c r="P67" t="inlineStr">
        <is>
          <t>4x4 - Isuzu - D-max - NS03 TTS</t>
        </is>
      </c>
      <c r="Q67" t="inlineStr">
        <is>
          <t>UKPN</t>
        </is>
      </c>
      <c r="R67" t="b">
        <v>0</v>
      </c>
    </row>
    <row r="68">
      <c r="A68" t="inlineStr">
        <is>
          <t>12 Nov 2024 / 7800 MAC Trees and Fencing Ltd</t>
        </is>
      </c>
      <c r="B68" t="inlineStr">
        <is>
          <t>Utilities &amp; Inland Waterways</t>
        </is>
      </c>
      <c r="C68" t="inlineStr">
        <is>
          <t>UKPN</t>
        </is>
      </c>
      <c r="D68" t="inlineStr">
        <is>
          <t>Izuzu</t>
        </is>
      </c>
      <c r="E68" t="inlineStr">
        <is>
          <t>Dmax</t>
        </is>
      </c>
      <c r="F68" t="inlineStr">
        <is>
          <t>Ay68daa</t>
        </is>
      </c>
      <c r="G68" t="inlineStr">
        <is>
          <t>Lewis mac Lewis</t>
        </is>
      </c>
      <c r="H68" t="inlineStr">
        <is>
          <t>4x4Towed Chipper</t>
        </is>
      </c>
      <c r="I68" t="inlineStr">
        <is>
          <t>Daily/ Weekly Vehicle Inspection</t>
        </is>
      </c>
      <c r="J68" t="inlineStr">
        <is>
          <t>N/A</t>
        </is>
      </c>
      <c r="K68" t="inlineStr">
        <is>
          <t>7800 MAC Trees and Fencing Ltd</t>
        </is>
      </c>
      <c r="L68" t="inlineStr">
        <is>
          <t>12/11/2024 14:45</t>
        </is>
      </c>
      <c r="M68" t="inlineStr">
        <is>
          <t>None</t>
        </is>
      </c>
      <c r="N68" t="inlineStr">
        <is>
          <t>&lt;p&gt;&lt;/p&gt;</t>
        </is>
      </c>
      <c r="O68" t="inlineStr"/>
      <c r="P68" t="inlineStr">
        <is>
          <t>4x4 - Izuzu - Dmax - Ay68 daaTow Chipper - Timberwolf - TW150 - 205143043-a1</t>
        </is>
      </c>
      <c r="Q68" t="inlineStr">
        <is>
          <t>UKPN</t>
        </is>
      </c>
      <c r="R68" t="b">
        <v>0</v>
      </c>
    </row>
    <row r="69">
      <c r="A69" t="inlineStr">
        <is>
          <t>11 Nov 2024 / 3098 D &amp; R Landscapes (PEND Arb Rail)</t>
        </is>
      </c>
      <c r="B69" t="inlineStr">
        <is>
          <t>Utilities &amp; Inland Waterways</t>
        </is>
      </c>
      <c r="C69" t="inlineStr">
        <is>
          <t>UKPN</t>
        </is>
      </c>
      <c r="D69" t="inlineStr">
        <is>
          <t xml:space="preserve">Land Rover </t>
        </is>
      </c>
      <c r="E69" t="inlineStr">
        <is>
          <t>Defender</t>
        </is>
      </c>
      <c r="F69" t="inlineStr">
        <is>
          <t>FN600XM</t>
        </is>
      </c>
      <c r="G69" t="inlineStr">
        <is>
          <t xml:space="preserve">Dylan Rob b </t>
        </is>
      </c>
      <c r="H69" t="inlineStr">
        <is>
          <t>Tipper4x4</t>
        </is>
      </c>
      <c r="I69" t="inlineStr">
        <is>
          <t>Daily/ Weekly Vehicle Inspection</t>
        </is>
      </c>
      <c r="J69" t="inlineStr">
        <is>
          <t>N/A</t>
        </is>
      </c>
      <c r="K69" t="inlineStr">
        <is>
          <t>3098 D &amp; R Landscapes (PEND Arb Rail)</t>
        </is>
      </c>
      <c r="L69" t="inlineStr">
        <is>
          <t>12/11/2024 14:46</t>
        </is>
      </c>
      <c r="M69" t="inlineStr">
        <is>
          <t>None</t>
        </is>
      </c>
      <c r="N69" t="inlineStr">
        <is>
          <t>&lt;p&gt;&lt;/p&gt;</t>
        </is>
      </c>
      <c r="O69" t="inlineStr"/>
      <c r="P69" t="inlineStr">
        <is>
          <t>Tipper - Isuzu - Grafter - DE68 XHA4x4 - Land Rover  - Defender - FN60 0XM</t>
        </is>
      </c>
      <c r="Q69" t="inlineStr">
        <is>
          <t>UKPN</t>
        </is>
      </c>
      <c r="R69" t="b">
        <v>0</v>
      </c>
    </row>
    <row r="70">
      <c r="A70" t="inlineStr">
        <is>
          <t>11 Nov 2024 / 7186 Eastwoodbury Tree Services Ltd</t>
        </is>
      </c>
      <c r="B70" t="inlineStr">
        <is>
          <t>Utilities &amp; Inland Waterways</t>
        </is>
      </c>
      <c r="C70" t="inlineStr">
        <is>
          <t>UKPN</t>
        </is>
      </c>
      <c r="D70" t="inlineStr">
        <is>
          <t>Ford</t>
        </is>
      </c>
      <c r="E70" t="inlineStr">
        <is>
          <t>Transit</t>
        </is>
      </c>
      <c r="F70" t="inlineStr">
        <is>
          <t>DN61XKJ</t>
        </is>
      </c>
      <c r="G70" t="inlineStr">
        <is>
          <t>JayDan</t>
        </is>
      </c>
      <c r="H70" t="inlineStr">
        <is>
          <t>4x4Tipper</t>
        </is>
      </c>
      <c r="I70" t="inlineStr">
        <is>
          <t>Daily/ Weekly Vehicle Inspection</t>
        </is>
      </c>
      <c r="J70" t="inlineStr">
        <is>
          <t>N/A</t>
        </is>
      </c>
      <c r="K70" t="inlineStr">
        <is>
          <t>7186 Eastwoodbury Tree Services Ltd</t>
        </is>
      </c>
      <c r="L70" t="inlineStr">
        <is>
          <t>12/11/2024 14:47</t>
        </is>
      </c>
      <c r="M70" t="inlineStr">
        <is>
          <t>None</t>
        </is>
      </c>
      <c r="N70" t="inlineStr">
        <is>
          <t>&lt;p&gt;&lt;/p&gt;</t>
        </is>
      </c>
      <c r="O70" t="inlineStr"/>
      <c r="P70" t="inlineStr">
        <is>
          <t>4x4 - Ford - Ranger - DE53NKSTipper - Ford - Transit - DN61XKJ</t>
        </is>
      </c>
      <c r="Q70" t="inlineStr">
        <is>
          <t>UKPN</t>
        </is>
      </c>
      <c r="R70" t="b">
        <v>0</v>
      </c>
    </row>
    <row r="71">
      <c r="A71" t="inlineStr">
        <is>
          <t>11 Nov 2024 / 7889 Tree Tech Suffolk Ltd</t>
        </is>
      </c>
      <c r="B71" t="inlineStr">
        <is>
          <t>Utilities &amp; Inland Waterways</t>
        </is>
      </c>
      <c r="C71" t="inlineStr">
        <is>
          <t>UKPN</t>
        </is>
      </c>
      <c r="D71" t="inlineStr">
        <is>
          <t>Isuzu</t>
        </is>
      </c>
      <c r="E71" t="inlineStr">
        <is>
          <t>D-max</t>
        </is>
      </c>
      <c r="F71" t="inlineStr">
        <is>
          <t>NS03TTS</t>
        </is>
      </c>
      <c r="G71" t="inlineStr">
        <is>
          <t xml:space="preserve">Danny Appleby </t>
        </is>
      </c>
      <c r="H71" t="inlineStr">
        <is>
          <t>Towed Chipper</t>
        </is>
      </c>
      <c r="I71" t="inlineStr">
        <is>
          <t>Daily/ Weekly Vehicle Inspection</t>
        </is>
      </c>
      <c r="J71" t="inlineStr">
        <is>
          <t>N/A</t>
        </is>
      </c>
      <c r="K71" t="inlineStr">
        <is>
          <t>7889 Tree Tech Suffolk Ltd</t>
        </is>
      </c>
      <c r="L71" t="inlineStr">
        <is>
          <t>12/11/2024 14:47</t>
        </is>
      </c>
      <c r="M71" t="inlineStr">
        <is>
          <t>None</t>
        </is>
      </c>
      <c r="N71" t="inlineStr">
        <is>
          <t>&lt;p&gt;&lt;/p&gt;</t>
        </is>
      </c>
      <c r="O71" t="inlineStr"/>
      <c r="P71" t="inlineStr">
        <is>
          <t>Tow Chipper - Jenson - A530L - 5521063948</t>
        </is>
      </c>
      <c r="Q71" t="inlineStr">
        <is>
          <t>UKPN</t>
        </is>
      </c>
      <c r="R71" t="b">
        <v>0</v>
      </c>
    </row>
    <row r="72">
      <c r="A72" t="inlineStr">
        <is>
          <t>11 Nov 2024 / 7889 Tree Tech Suffolk Ltd</t>
        </is>
      </c>
      <c r="B72" t="inlineStr">
        <is>
          <t>Utilities &amp; Inland Waterways</t>
        </is>
      </c>
      <c r="C72" t="inlineStr">
        <is>
          <t>UKPN</t>
        </is>
      </c>
      <c r="D72" t="inlineStr">
        <is>
          <t>Isuzu</t>
        </is>
      </c>
      <c r="E72" t="inlineStr">
        <is>
          <t>D-max</t>
        </is>
      </c>
      <c r="F72" t="inlineStr">
        <is>
          <t>NS03TTS</t>
        </is>
      </c>
      <c r="G72" t="inlineStr">
        <is>
          <t xml:space="preserve">Danny Appleby </t>
        </is>
      </c>
      <c r="H72" t="inlineStr">
        <is>
          <t>4x4</t>
        </is>
      </c>
      <c r="I72" t="inlineStr">
        <is>
          <t>Daily/ Weekly Vehicle Inspection</t>
        </is>
      </c>
      <c r="J72" t="inlineStr">
        <is>
          <t>N/A</t>
        </is>
      </c>
      <c r="K72" t="inlineStr">
        <is>
          <t>7889 Tree Tech Suffolk Ltd</t>
        </is>
      </c>
      <c r="L72" t="inlineStr">
        <is>
          <t>12/11/2024 14:48</t>
        </is>
      </c>
      <c r="M72" t="inlineStr">
        <is>
          <t>None</t>
        </is>
      </c>
      <c r="N72" t="inlineStr">
        <is>
          <t>&lt;p&gt;&lt;/p&gt;</t>
        </is>
      </c>
      <c r="O72" t="inlineStr"/>
      <c r="P72" t="inlineStr">
        <is>
          <t>4x4 - Isuzu - D-max - NS03 TTS</t>
        </is>
      </c>
      <c r="Q72" t="inlineStr">
        <is>
          <t>UKPN</t>
        </is>
      </c>
      <c r="R72" t="b">
        <v>0</v>
      </c>
    </row>
    <row r="73">
      <c r="A73" t="inlineStr">
        <is>
          <t>11 Nov 2024 / 7800 MAC Trees and Fencing Ltd</t>
        </is>
      </c>
      <c r="B73" t="inlineStr">
        <is>
          <t>Utilities &amp; Inland Waterways</t>
        </is>
      </c>
      <c r="C73" t="inlineStr">
        <is>
          <t>UKPN</t>
        </is>
      </c>
      <c r="D73" t="inlineStr">
        <is>
          <t>Izuzu</t>
        </is>
      </c>
      <c r="E73" t="inlineStr">
        <is>
          <t>Dmax</t>
        </is>
      </c>
      <c r="F73" t="inlineStr">
        <is>
          <t>Ay68daa</t>
        </is>
      </c>
      <c r="G73" t="inlineStr">
        <is>
          <t>Lewis Lewis</t>
        </is>
      </c>
      <c r="H73" t="inlineStr">
        <is>
          <t>4x4Towed Chipper</t>
        </is>
      </c>
      <c r="I73" t="inlineStr">
        <is>
          <t>Daily/ Weekly Vehicle Inspection</t>
        </is>
      </c>
      <c r="J73" t="inlineStr">
        <is>
          <t>N/A</t>
        </is>
      </c>
      <c r="K73" t="inlineStr">
        <is>
          <t>7800 MAC Trees and Fencing Ltd</t>
        </is>
      </c>
      <c r="L73" t="inlineStr">
        <is>
          <t>12/11/2024 14:49</t>
        </is>
      </c>
      <c r="M73" t="inlineStr">
        <is>
          <t>None</t>
        </is>
      </c>
      <c r="N73" t="inlineStr">
        <is>
          <t>&lt;p&gt;&lt;/p&gt;</t>
        </is>
      </c>
      <c r="O73" t="inlineStr"/>
      <c r="P73" t="inlineStr">
        <is>
          <t>4x4 - Izuzu - Dmax - Ay68 daaTow Chipper - Timberwolf - TW150 - 205143043-a1</t>
        </is>
      </c>
      <c r="Q73" t="inlineStr">
        <is>
          <t>UKPN</t>
        </is>
      </c>
      <c r="R73" t="b">
        <v>0</v>
      </c>
    </row>
    <row r="74">
      <c r="A74" t="inlineStr">
        <is>
          <t>11 Nov 2024 / 6617 Ashdown Tree Limited</t>
        </is>
      </c>
      <c r="B74" t="inlineStr">
        <is>
          <t>Utilities &amp; Inland Waterways</t>
        </is>
      </c>
      <c r="C74" t="inlineStr">
        <is>
          <t>UKPN</t>
        </is>
      </c>
      <c r="D74" t="inlineStr">
        <is>
          <t>Land Rover</t>
        </is>
      </c>
      <c r="E74" t="inlineStr">
        <is>
          <t>Defender</t>
        </is>
      </c>
      <c r="F74" t="inlineStr">
        <is>
          <t>GU11LKD</t>
        </is>
      </c>
      <c r="G74" t="inlineStr">
        <is>
          <t xml:space="preserve">Francis lesser Ashley Horwood Ashley Horwood </t>
        </is>
      </c>
      <c r="H74" t="inlineStr">
        <is>
          <t>4x44x4Plant Trailer</t>
        </is>
      </c>
      <c r="I74" t="inlineStr">
        <is>
          <t>Daily/ Weekly Vehicle Inspection</t>
        </is>
      </c>
      <c r="J74" t="inlineStr">
        <is>
          <t>N/A</t>
        </is>
      </c>
      <c r="K74" t="inlineStr">
        <is>
          <t>6617 Ashdown Tree Limited</t>
        </is>
      </c>
      <c r="L74" t="inlineStr">
        <is>
          <t>12/11/2024 14:50</t>
        </is>
      </c>
      <c r="M74" t="inlineStr">
        <is>
          <t>None</t>
        </is>
      </c>
      <c r="N74" t="inlineStr">
        <is>
          <t>&lt;p&gt;&lt;/p&gt;</t>
        </is>
      </c>
      <c r="O74" t="inlineStr"/>
      <c r="P74" t="inlineStr">
        <is>
          <t>4x4 - Land Rover - Defender - GU11 LKDVehicle - Land Rover - Discovery  - WF11 EJJFlat Bed Trailer - Ifor Williams -  - SCKD00000H5147808A</t>
        </is>
      </c>
      <c r="Q74" t="inlineStr">
        <is>
          <t>UKPN</t>
        </is>
      </c>
      <c r="R74" t="b">
        <v>0</v>
      </c>
    </row>
    <row r="75">
      <c r="A75" t="inlineStr">
        <is>
          <t>14 Nov 2024 / 6617 Ashdown Tree Limited</t>
        </is>
      </c>
      <c r="B75" t="inlineStr">
        <is>
          <t>Utilities &amp; Inland Waterways</t>
        </is>
      </c>
      <c r="C75" t="inlineStr">
        <is>
          <t>UKPN</t>
        </is>
      </c>
      <c r="D75" t="inlineStr">
        <is>
          <t>Land Rover</t>
        </is>
      </c>
      <c r="E75" t="inlineStr">
        <is>
          <t>Defender</t>
        </is>
      </c>
      <c r="F75" t="inlineStr">
        <is>
          <t>GU11LKD</t>
        </is>
      </c>
      <c r="G75" t="inlineStr">
        <is>
          <t>Daniel WatkinsAshley HorwoodFrancis LesserDaniel Watkins</t>
        </is>
      </c>
      <c r="H75" t="inlineStr">
        <is>
          <t>Tipper4x44x4Towed Chipper</t>
        </is>
      </c>
      <c r="I75" t="inlineStr">
        <is>
          <t>Daily/ Weekly Vehicle Inspection</t>
        </is>
      </c>
      <c r="J75" t="inlineStr">
        <is>
          <t>N/A</t>
        </is>
      </c>
      <c r="K75" t="inlineStr">
        <is>
          <t>6617 Ashdown Tree Limited</t>
        </is>
      </c>
      <c r="L75" t="inlineStr">
        <is>
          <t>14/11/2024 14:42</t>
        </is>
      </c>
      <c r="M75" t="inlineStr">
        <is>
          <t>None</t>
        </is>
      </c>
      <c r="N75" t="inlineStr">
        <is>
          <t>&lt;p&gt;&lt;/p&gt;</t>
        </is>
      </c>
      <c r="O75" t="inlineStr"/>
      <c r="P75" t="inlineStr">
        <is>
          <t>Tipper - Ford - Transit - FE11 BUTVehicle - Land Rover - Discovery  - WF11 EJJ4x4 - Land Rover - Defender - GU11 LKDTow Chipper - Timberwolf - TW230DHB - SBCTW 35A6LS209060</t>
        </is>
      </c>
      <c r="Q75" t="inlineStr">
        <is>
          <t>UKPN</t>
        </is>
      </c>
      <c r="R75" t="b">
        <v>0</v>
      </c>
    </row>
    <row r="76">
      <c r="A76" t="inlineStr">
        <is>
          <t>14 Nov 2024 / 3098 D &amp; R Landscapes (PEND Arb Rail)</t>
        </is>
      </c>
      <c r="B76" t="inlineStr">
        <is>
          <t>Utilities &amp; Inland Waterways</t>
        </is>
      </c>
      <c r="C76" t="inlineStr">
        <is>
          <t>UKPN</t>
        </is>
      </c>
      <c r="D76" t="inlineStr">
        <is>
          <t>Nissan</t>
        </is>
      </c>
      <c r="E76" t="inlineStr">
        <is>
          <t>Navara</t>
        </is>
      </c>
      <c r="F76" t="inlineStr">
        <is>
          <t>FX17YVM</t>
        </is>
      </c>
      <c r="G76" t="inlineStr">
        <is>
          <t xml:space="preserve">Jason MCCLOY </t>
        </is>
      </c>
      <c r="H76" t="inlineStr">
        <is>
          <t>4x4</t>
        </is>
      </c>
      <c r="I76" t="inlineStr">
        <is>
          <t>Daily/ Weekly Vehicle Inspection</t>
        </is>
      </c>
      <c r="J76" t="inlineStr">
        <is>
          <t>N/A</t>
        </is>
      </c>
      <c r="K76" t="inlineStr">
        <is>
          <t>3098 D &amp; R Landscapes (PEND Arb Rail)</t>
        </is>
      </c>
      <c r="L76" t="inlineStr">
        <is>
          <t>14/11/2024 14:43</t>
        </is>
      </c>
      <c r="M76" t="inlineStr">
        <is>
          <t>None</t>
        </is>
      </c>
      <c r="N76" t="inlineStr">
        <is>
          <t>&lt;p&gt;&lt;/p&gt;</t>
        </is>
      </c>
      <c r="O76" t="inlineStr"/>
      <c r="P76" t="inlineStr">
        <is>
          <t>Vehicle - Nissan - Navara - FX17 YVM</t>
        </is>
      </c>
      <c r="Q76" t="inlineStr">
        <is>
          <t>UKPN</t>
        </is>
      </c>
      <c r="R76" t="b">
        <v>0</v>
      </c>
    </row>
    <row r="77">
      <c r="A77" t="inlineStr">
        <is>
          <t>14 Nov 2024 / 7186 Eastwoodbury Tree Services Ltd</t>
        </is>
      </c>
      <c r="B77" t="inlineStr">
        <is>
          <t>Utilities &amp; Inland Waterways</t>
        </is>
      </c>
      <c r="C77" t="inlineStr">
        <is>
          <t>UKPN</t>
        </is>
      </c>
      <c r="D77" t="inlineStr">
        <is>
          <t xml:space="preserve">Santana </t>
        </is>
      </c>
      <c r="E77" t="inlineStr">
        <is>
          <t>Ps10</t>
        </is>
      </c>
      <c r="F77" t="inlineStr">
        <is>
          <t>AO57BPF</t>
        </is>
      </c>
      <c r="G77" t="inlineStr">
        <is>
          <t xml:space="preserve">Jay Denkmayer Dan Gilbert </t>
        </is>
      </c>
      <c r="H77" t="inlineStr">
        <is>
          <t>Pickup Truck4x4</t>
        </is>
      </c>
      <c r="I77" t="inlineStr">
        <is>
          <t>Daily/ Weekly Vehicle Inspection</t>
        </is>
      </c>
      <c r="J77" t="inlineStr">
        <is>
          <t>N/A</t>
        </is>
      </c>
      <c r="K77" t="inlineStr">
        <is>
          <t>7186 Eastwoodbury Tree Services Ltd</t>
        </is>
      </c>
      <c r="L77" t="inlineStr">
        <is>
          <t>14/11/2024 14:44</t>
        </is>
      </c>
      <c r="M77" t="inlineStr">
        <is>
          <t>None</t>
        </is>
      </c>
      <c r="N77" t="inlineStr">
        <is>
          <t>&lt;p&gt;&lt;/p&gt;</t>
        </is>
      </c>
      <c r="O77" t="inlineStr"/>
      <c r="P77" t="inlineStr">
        <is>
          <t>4x4 - Ford - Ranger - DE53NKS4x4 - Santana  - Ps10 - AO57 BPF</t>
        </is>
      </c>
      <c r="Q77" t="inlineStr">
        <is>
          <t>UKPN</t>
        </is>
      </c>
      <c r="R77" t="b">
        <v>0</v>
      </c>
    </row>
    <row r="78">
      <c r="A78" t="inlineStr">
        <is>
          <t>14 Nov 2024 / 7800 MAC Trees and Fencing Ltd</t>
        </is>
      </c>
      <c r="B78" t="inlineStr">
        <is>
          <t>Utilities &amp; Inland Waterways</t>
        </is>
      </c>
      <c r="C78" t="inlineStr">
        <is>
          <t>UKPN</t>
        </is>
      </c>
      <c r="D78" t="inlineStr">
        <is>
          <t>Izuzu</t>
        </is>
      </c>
      <c r="E78" t="inlineStr">
        <is>
          <t>Dmax</t>
        </is>
      </c>
      <c r="F78" t="inlineStr">
        <is>
          <t>Ay68daa</t>
        </is>
      </c>
      <c r="G78" t="inlineStr">
        <is>
          <t xml:space="preserve">Lewis macLewis mac </t>
        </is>
      </c>
      <c r="H78" t="inlineStr">
        <is>
          <t>4x4Towed Chipper</t>
        </is>
      </c>
      <c r="I78" t="inlineStr">
        <is>
          <t>Daily/ Weekly Vehicle Inspection</t>
        </is>
      </c>
      <c r="J78" t="inlineStr">
        <is>
          <t>N/A</t>
        </is>
      </c>
      <c r="K78" t="inlineStr">
        <is>
          <t>7800 MAC Trees and Fencing Ltd</t>
        </is>
      </c>
      <c r="L78" t="inlineStr">
        <is>
          <t>14/11/2024 14:45</t>
        </is>
      </c>
      <c r="M78" t="inlineStr">
        <is>
          <t>None</t>
        </is>
      </c>
      <c r="N78" t="inlineStr">
        <is>
          <t>&lt;p&gt;&lt;/p&gt;</t>
        </is>
      </c>
      <c r="O78" t="inlineStr"/>
      <c r="P78" t="inlineStr">
        <is>
          <t>4x4 - Izuzu - Dmax - Ay68 daaTow Chipper - Timberwolf - TW150 - 205143043-a1</t>
        </is>
      </c>
      <c r="Q78" t="inlineStr">
        <is>
          <t>UKPN</t>
        </is>
      </c>
      <c r="R78" t="b">
        <v>0</v>
      </c>
    </row>
    <row r="79">
      <c r="A79" t="inlineStr">
        <is>
          <t>13 Nov 2024 / 6617 Ashdown Tree Limited</t>
        </is>
      </c>
      <c r="B79" t="inlineStr">
        <is>
          <t>Utilities &amp; Inland Waterways</t>
        </is>
      </c>
      <c r="C79" t="inlineStr">
        <is>
          <t>UKPN</t>
        </is>
      </c>
      <c r="D79" t="inlineStr">
        <is>
          <t>Land Rover</t>
        </is>
      </c>
      <c r="E79" t="inlineStr">
        <is>
          <t>Defender</t>
        </is>
      </c>
      <c r="F79" t="inlineStr">
        <is>
          <t>GU11LKD</t>
        </is>
      </c>
      <c r="G79" t="inlineStr">
        <is>
          <t xml:space="preserve">Francis lesser Dan Watkins Dan Watkins Ashley Horwood Ashley Horwood </t>
        </is>
      </c>
      <c r="H79" t="inlineStr">
        <is>
          <t>4x4TipperPlant Trailer4x4Plant Trailer</t>
        </is>
      </c>
      <c r="I79" t="inlineStr">
        <is>
          <t>Daily/ Weekly Vehicle Inspection</t>
        </is>
      </c>
      <c r="J79" t="inlineStr">
        <is>
          <t>N/A</t>
        </is>
      </c>
      <c r="K79" t="inlineStr">
        <is>
          <t>6617 Ashdown Tree Limited</t>
        </is>
      </c>
      <c r="L79" t="inlineStr">
        <is>
          <t>14/11/2024 14:47</t>
        </is>
      </c>
      <c r="M79" t="inlineStr">
        <is>
          <t>None</t>
        </is>
      </c>
      <c r="N79" t="inlineStr">
        <is>
          <t>&lt;p&gt;&lt;/p&gt;</t>
        </is>
      </c>
      <c r="O79" t="inlineStr">
        <is>
          <t>Select Vehicle:IndespensionSelect Vehicle:Tima tuepen 23 trailer</t>
        </is>
      </c>
      <c r="P79" t="inlineStr">
        <is>
          <t>4x4 - Land Rover - Defender - GU11 LKDTipper - Ford - Transit - FE11 BUTFlat Bed Trailer - Ifor Williams -  - SCKD00000H5147808AVehicle - Land Rover - Discovery  - WF11 EJJFlat Bed Trailer - Ifor Williams -  - SCKD00000H5147808A</t>
        </is>
      </c>
      <c r="Q79" t="inlineStr">
        <is>
          <t>UKPN</t>
        </is>
      </c>
      <c r="R79" t="b">
        <v>0</v>
      </c>
    </row>
    <row r="80">
      <c r="A80" t="inlineStr">
        <is>
          <t>13 Nov 2024 / 7889 Tree Tech Suffolk Ltd</t>
        </is>
      </c>
      <c r="B80" t="inlineStr">
        <is>
          <t>Utilities &amp; Inland Waterways</t>
        </is>
      </c>
      <c r="C80" t="inlineStr">
        <is>
          <t>UKPN</t>
        </is>
      </c>
      <c r="D80" t="inlineStr">
        <is>
          <t>Isuzu</t>
        </is>
      </c>
      <c r="E80" t="inlineStr">
        <is>
          <t>D-max</t>
        </is>
      </c>
      <c r="F80" t="inlineStr">
        <is>
          <t>NS03TTS</t>
        </is>
      </c>
      <c r="G80" t="inlineStr">
        <is>
          <t xml:space="preserve">Danny Appleby Danny Appleby </t>
        </is>
      </c>
      <c r="H80" t="inlineStr">
        <is>
          <t>4x4Towed Chipper</t>
        </is>
      </c>
      <c r="I80" t="inlineStr">
        <is>
          <t>Daily/ Weekly Vehicle Inspection</t>
        </is>
      </c>
      <c r="J80" t="inlineStr">
        <is>
          <t>N/A</t>
        </is>
      </c>
      <c r="K80" t="inlineStr">
        <is>
          <t>7889 Tree Tech Suffolk Ltd</t>
        </is>
      </c>
      <c r="L80" t="inlineStr">
        <is>
          <t>14/11/2024 14:48</t>
        </is>
      </c>
      <c r="M80" t="inlineStr">
        <is>
          <t>None</t>
        </is>
      </c>
      <c r="N80" t="inlineStr">
        <is>
          <t>&lt;p&gt;&lt;/p&gt;</t>
        </is>
      </c>
      <c r="O80" t="inlineStr"/>
      <c r="P80" t="inlineStr">
        <is>
          <t>4x4 - Isuzu - D-max - NS03 TTSTow Chipper - Jenson - A530L - 5521063948</t>
        </is>
      </c>
      <c r="Q80" t="inlineStr">
        <is>
          <t>UKPN</t>
        </is>
      </c>
      <c r="R80" t="b">
        <v>0</v>
      </c>
    </row>
    <row r="81">
      <c r="A81" t="inlineStr">
        <is>
          <t>13 Nov 2024 / 7800 MAC Trees and Fencing Ltd</t>
        </is>
      </c>
      <c r="B81" t="inlineStr">
        <is>
          <t>Utilities &amp; Inland Waterways</t>
        </is>
      </c>
      <c r="C81" t="inlineStr">
        <is>
          <t>UKPN</t>
        </is>
      </c>
      <c r="D81" t="inlineStr">
        <is>
          <t>Izuzu</t>
        </is>
      </c>
      <c r="E81" t="inlineStr">
        <is>
          <t>Dmax</t>
        </is>
      </c>
      <c r="F81" t="inlineStr">
        <is>
          <t>Ay68daa</t>
        </is>
      </c>
      <c r="G81" t="inlineStr">
        <is>
          <t>Lewis macLewis mac</t>
        </is>
      </c>
      <c r="H81" t="inlineStr">
        <is>
          <t>4x4Towed Chipper</t>
        </is>
      </c>
      <c r="I81" t="inlineStr">
        <is>
          <t>Daily/ Weekly Vehicle Inspection</t>
        </is>
      </c>
      <c r="J81" t="inlineStr">
        <is>
          <t>N/A</t>
        </is>
      </c>
      <c r="K81" t="inlineStr">
        <is>
          <t>7800 MAC Trees and Fencing Ltd</t>
        </is>
      </c>
      <c r="L81" t="inlineStr">
        <is>
          <t>14/11/2024 14:49</t>
        </is>
      </c>
      <c r="M81" t="inlineStr">
        <is>
          <t>None</t>
        </is>
      </c>
      <c r="N81" t="inlineStr">
        <is>
          <t>&lt;p&gt;&lt;/p&gt;</t>
        </is>
      </c>
      <c r="O81" t="inlineStr"/>
      <c r="P81" t="inlineStr">
        <is>
          <t>4x4 - Izuzu - Dmax - Ay68 daaTow Chipper - Timberwolf - TW150 - 205143043-a1</t>
        </is>
      </c>
      <c r="Q81" t="inlineStr">
        <is>
          <t>UKPN</t>
        </is>
      </c>
      <c r="R81" t="b">
        <v>0</v>
      </c>
    </row>
    <row r="82">
      <c r="A82" t="inlineStr">
        <is>
          <t>13 Nov 2024 / 7186 Eastwoodbury Tree Services Ltd</t>
        </is>
      </c>
      <c r="B82" t="inlineStr">
        <is>
          <t>Utilities &amp; Inland Waterways</t>
        </is>
      </c>
      <c r="C82" t="inlineStr">
        <is>
          <t>UKPN</t>
        </is>
      </c>
      <c r="D82" t="inlineStr">
        <is>
          <t xml:space="preserve">Santana </t>
        </is>
      </c>
      <c r="E82" t="inlineStr">
        <is>
          <t>Ps10</t>
        </is>
      </c>
      <c r="F82" t="inlineStr">
        <is>
          <t>AO57BPF</t>
        </is>
      </c>
      <c r="G82" t="inlineStr">
        <is>
          <t xml:space="preserve">Jay Denkmayer Dan Gilbert </t>
        </is>
      </c>
      <c r="H82" t="inlineStr">
        <is>
          <t>Pickup Truck4x4</t>
        </is>
      </c>
      <c r="I82" t="inlineStr">
        <is>
          <t>Daily/ Weekly Vehicle Inspection</t>
        </is>
      </c>
      <c r="J82" t="inlineStr">
        <is>
          <t>N/A</t>
        </is>
      </c>
      <c r="K82" t="inlineStr">
        <is>
          <t>7186 Eastwoodbury Tree Services Ltd</t>
        </is>
      </c>
      <c r="L82" t="inlineStr">
        <is>
          <t>14/11/2024 14:50</t>
        </is>
      </c>
      <c r="M82" t="inlineStr">
        <is>
          <t>None</t>
        </is>
      </c>
      <c r="N82" t="inlineStr">
        <is>
          <t>&lt;p&gt;&lt;/p&gt;</t>
        </is>
      </c>
      <c r="O82" t="inlineStr"/>
      <c r="P82" t="inlineStr">
        <is>
          <t>4x4 - Ford - Ranger - DE53NKS4x4 - Santana  - Ps10 - AO57 BPF</t>
        </is>
      </c>
      <c r="Q82" t="inlineStr">
        <is>
          <t>UKPN</t>
        </is>
      </c>
      <c r="R82" t="b">
        <v>0</v>
      </c>
    </row>
    <row r="83">
      <c r="A83" t="inlineStr">
        <is>
          <t>16 Nov 2024 / 6617 Ashdown Tree Limited</t>
        </is>
      </c>
      <c r="B83" t="inlineStr">
        <is>
          <t>Utilities &amp; Inland Waterways</t>
        </is>
      </c>
      <c r="C83" t="inlineStr">
        <is>
          <t>UKPN</t>
        </is>
      </c>
      <c r="D83" t="inlineStr">
        <is>
          <t>Land Rover</t>
        </is>
      </c>
      <c r="E83" t="inlineStr">
        <is>
          <t>Defender</t>
        </is>
      </c>
      <c r="F83" t="inlineStr">
        <is>
          <t>GU11LKD</t>
        </is>
      </c>
      <c r="G83" t="inlineStr">
        <is>
          <t xml:space="preserve">Francis lesser Francis </t>
        </is>
      </c>
      <c r="H83" t="inlineStr">
        <is>
          <t>4x4Towed Chipper</t>
        </is>
      </c>
      <c r="I83" t="inlineStr">
        <is>
          <t>Daily/ Weekly Vehicle Inspection</t>
        </is>
      </c>
      <c r="J83" t="inlineStr">
        <is>
          <t>N/A</t>
        </is>
      </c>
      <c r="K83" t="inlineStr">
        <is>
          <t>6617 Ashdown Tree Limited</t>
        </is>
      </c>
      <c r="L83" t="inlineStr">
        <is>
          <t>16/11/2024 14:42</t>
        </is>
      </c>
      <c r="M83" t="inlineStr">
        <is>
          <t>None</t>
        </is>
      </c>
      <c r="N83" t="inlineStr">
        <is>
          <t>&lt;p&gt;&lt;/p&gt;</t>
        </is>
      </c>
      <c r="O83" t="inlineStr"/>
      <c r="P83" t="inlineStr">
        <is>
          <t>4x4 - Land Rover - Defender - GU11 LKDTow Chipper - Timberwolf - TW230 - SBXTW 37A2PS241049</t>
        </is>
      </c>
      <c r="Q83" t="inlineStr">
        <is>
          <t>UKPN</t>
        </is>
      </c>
      <c r="R83" t="b">
        <v>0</v>
      </c>
    </row>
    <row r="84">
      <c r="A84" t="inlineStr">
        <is>
          <t>15 Nov 2024 / 7800 MAC Trees and Fencing Ltd</t>
        </is>
      </c>
      <c r="B84" t="inlineStr">
        <is>
          <t>Utilities &amp; Inland Waterways</t>
        </is>
      </c>
      <c r="C84" t="inlineStr">
        <is>
          <t>UKPN</t>
        </is>
      </c>
      <c r="D84" t="inlineStr">
        <is>
          <t>Izuzu</t>
        </is>
      </c>
      <c r="E84" t="inlineStr">
        <is>
          <t>Dmax</t>
        </is>
      </c>
      <c r="F84" t="inlineStr">
        <is>
          <t>Ay68daa</t>
        </is>
      </c>
      <c r="G84" t="inlineStr">
        <is>
          <t>Lewis macLewis mac</t>
        </is>
      </c>
      <c r="H84" t="inlineStr">
        <is>
          <t>4x4Towed Chipper</t>
        </is>
      </c>
      <c r="I84" t="inlineStr">
        <is>
          <t>Daily/ Weekly Vehicle Inspection</t>
        </is>
      </c>
      <c r="J84" t="inlineStr">
        <is>
          <t>N/A</t>
        </is>
      </c>
      <c r="K84" t="inlineStr">
        <is>
          <t>7800 MAC Trees and Fencing Ltd</t>
        </is>
      </c>
      <c r="L84" t="inlineStr">
        <is>
          <t>16/11/2024 14:43</t>
        </is>
      </c>
      <c r="M84" t="inlineStr">
        <is>
          <t>None</t>
        </is>
      </c>
      <c r="N84" t="inlineStr">
        <is>
          <t>&lt;p&gt;&lt;/p&gt;</t>
        </is>
      </c>
      <c r="O84" t="inlineStr"/>
      <c r="P84" t="inlineStr">
        <is>
          <t>4x4 - Izuzu - Dmax - Ay68 daaTow Chipper - Timberwolf - TW150 - 205143043-a1</t>
        </is>
      </c>
      <c r="Q84" t="inlineStr">
        <is>
          <t>UKPN</t>
        </is>
      </c>
      <c r="R84" t="b">
        <v>0</v>
      </c>
    </row>
    <row r="85">
      <c r="A85" t="inlineStr">
        <is>
          <t>15 Nov 2024 / 3098 D &amp; R Landscapes (PEND Arb Rail)</t>
        </is>
      </c>
      <c r="B85" t="inlineStr">
        <is>
          <t>Utilities &amp; Inland Waterways</t>
        </is>
      </c>
      <c r="C85" t="inlineStr">
        <is>
          <t>UKPN</t>
        </is>
      </c>
      <c r="D85" t="inlineStr">
        <is>
          <t>Nissan</t>
        </is>
      </c>
      <c r="E85" t="inlineStr">
        <is>
          <t>Navara</t>
        </is>
      </c>
      <c r="F85" t="inlineStr">
        <is>
          <t>FX17YVM</t>
        </is>
      </c>
      <c r="G85" t="inlineStr">
        <is>
          <t>Jason MCCLOY</t>
        </is>
      </c>
      <c r="H85" t="inlineStr">
        <is>
          <t>4x4</t>
        </is>
      </c>
      <c r="I85" t="inlineStr">
        <is>
          <t>Daily/ Weekly Vehicle Inspection</t>
        </is>
      </c>
      <c r="J85" t="inlineStr">
        <is>
          <t>N/A</t>
        </is>
      </c>
      <c r="K85" t="inlineStr">
        <is>
          <t>3098 D &amp; R Landscapes (PEND Arb Rail)</t>
        </is>
      </c>
      <c r="L85" t="inlineStr">
        <is>
          <t>16/11/2024 14:43</t>
        </is>
      </c>
      <c r="M85" t="inlineStr">
        <is>
          <t>None</t>
        </is>
      </c>
      <c r="N85" t="inlineStr">
        <is>
          <t>&lt;p&gt;&lt;/p&gt;</t>
        </is>
      </c>
      <c r="O85" t="inlineStr"/>
      <c r="P85" t="inlineStr">
        <is>
          <t>Vehicle - Nissan - Navara - FX17 YVM</t>
        </is>
      </c>
      <c r="Q85" t="inlineStr">
        <is>
          <t>UKPN</t>
        </is>
      </c>
      <c r="R85" t="b">
        <v>0</v>
      </c>
    </row>
    <row r="86">
      <c r="A86" t="inlineStr">
        <is>
          <t>15 Nov 2024 / 6617 Ashdown Tree Limited</t>
        </is>
      </c>
      <c r="B86" t="inlineStr">
        <is>
          <t>Utilities &amp; Inland Waterways</t>
        </is>
      </c>
      <c r="C86" t="inlineStr">
        <is>
          <t>UKPN</t>
        </is>
      </c>
      <c r="D86" t="inlineStr">
        <is>
          <t>Land Rover</t>
        </is>
      </c>
      <c r="E86" t="inlineStr">
        <is>
          <t>Defender</t>
        </is>
      </c>
      <c r="F86" t="inlineStr">
        <is>
          <t>GU11LKD</t>
        </is>
      </c>
      <c r="G86" t="inlineStr">
        <is>
          <t xml:space="preserve">Francis lesser Ashley Horwood Ashley Horwood </t>
        </is>
      </c>
      <c r="H86" t="inlineStr">
        <is>
          <t>4x44x4Plant Trailer</t>
        </is>
      </c>
      <c r="I86" t="inlineStr">
        <is>
          <t>Daily/ Weekly Vehicle Inspection</t>
        </is>
      </c>
      <c r="J86" t="inlineStr">
        <is>
          <t>N/A</t>
        </is>
      </c>
      <c r="K86" t="inlineStr">
        <is>
          <t>6617 Ashdown Tree Limited</t>
        </is>
      </c>
      <c r="L86" t="inlineStr">
        <is>
          <t>16/11/2024 14:44</t>
        </is>
      </c>
      <c r="M86" t="inlineStr">
        <is>
          <t>None</t>
        </is>
      </c>
      <c r="N86" t="inlineStr">
        <is>
          <t>&lt;p&gt;&lt;/p&gt;</t>
        </is>
      </c>
      <c r="O86" t="inlineStr">
        <is>
          <t>Select Vehicle:Indespension</t>
        </is>
      </c>
      <c r="P86" t="inlineStr">
        <is>
          <t>4x4 - Land Rover - Defender - GU11 LKDVehicle - Land Rover - Discovery  - WF11 EJJFlat Bed Trailer - Ifor Williams - SA9 TAGD - SF27414034</t>
        </is>
      </c>
      <c r="Q86" t="inlineStr">
        <is>
          <t>UKPN</t>
        </is>
      </c>
      <c r="R86" t="b">
        <v>0</v>
      </c>
    </row>
    <row r="87">
      <c r="A87" t="inlineStr">
        <is>
          <t>18 Nov 2024 / 7126 Maple Tree Surgery and Landscapes Ltd</t>
        </is>
      </c>
      <c r="B87" t="inlineStr">
        <is>
          <t>Utilities &amp; Inland Waterways</t>
        </is>
      </c>
      <c r="C87" t="inlineStr">
        <is>
          <t>UKPN</t>
        </is>
      </c>
      <c r="D87" t="inlineStr">
        <is>
          <t>Land Rover</t>
        </is>
      </c>
      <c r="E87" t="inlineStr">
        <is>
          <t xml:space="preserve">Discovery </t>
        </is>
      </c>
      <c r="F87" t="inlineStr">
        <is>
          <t>SJ55HMZ</t>
        </is>
      </c>
      <c r="G87" t="inlineStr">
        <is>
          <t>TimTim</t>
        </is>
      </c>
      <c r="H87" t="inlineStr">
        <is>
          <t>4x4Towed Chipper</t>
        </is>
      </c>
      <c r="I87" t="inlineStr">
        <is>
          <t>Daily/ Weekly Vehicle Inspection</t>
        </is>
      </c>
      <c r="J87" t="inlineStr">
        <is>
          <t>N/A</t>
        </is>
      </c>
      <c r="K87" t="inlineStr">
        <is>
          <t>7126 Maple Tree Surgery and Landscapes Ltd</t>
        </is>
      </c>
      <c r="L87" t="inlineStr">
        <is>
          <t>18/11/2024 14:43</t>
        </is>
      </c>
      <c r="M87" t="inlineStr">
        <is>
          <t>None</t>
        </is>
      </c>
      <c r="N87" t="inlineStr">
        <is>
          <t>&lt;p&gt;&lt;/p&gt;</t>
        </is>
      </c>
      <c r="O87" t="inlineStr"/>
      <c r="P87" t="inlineStr">
        <is>
          <t>Vehicle - Land Rover - Discovery  - SJ55 HMZTow Chipper - Timberwolf - TW150DBH - 210143089-a6</t>
        </is>
      </c>
      <c r="Q87" t="inlineStr">
        <is>
          <t>UKPN</t>
        </is>
      </c>
      <c r="R87" t="b">
        <v>0</v>
      </c>
    </row>
    <row r="88">
      <c r="A88" t="inlineStr">
        <is>
          <t>18 Nov 2024 / 3098 D &amp; R Landscapes (PEND Arb Rail)</t>
        </is>
      </c>
      <c r="B88" t="inlineStr">
        <is>
          <t>Utilities &amp; Inland Waterways</t>
        </is>
      </c>
      <c r="C88" t="inlineStr">
        <is>
          <t>UKPN</t>
        </is>
      </c>
      <c r="D88" t="inlineStr">
        <is>
          <t>Nissan</t>
        </is>
      </c>
      <c r="E88" t="inlineStr">
        <is>
          <t>Navara</t>
        </is>
      </c>
      <c r="F88" t="inlineStr">
        <is>
          <t>FX17YVM</t>
        </is>
      </c>
      <c r="G88" t="inlineStr">
        <is>
          <t xml:space="preserve">Jason MCCLOY </t>
        </is>
      </c>
      <c r="H88" t="inlineStr">
        <is>
          <t>4x4</t>
        </is>
      </c>
      <c r="I88" t="inlineStr">
        <is>
          <t>Daily/ Weekly Vehicle Inspection</t>
        </is>
      </c>
      <c r="J88" t="inlineStr">
        <is>
          <t>N/A</t>
        </is>
      </c>
      <c r="K88" t="inlineStr">
        <is>
          <t>3098 D &amp; R Landscapes (PEND Arb Rail)</t>
        </is>
      </c>
      <c r="L88" t="inlineStr">
        <is>
          <t>18/11/2024 14:45</t>
        </is>
      </c>
      <c r="M88" t="inlineStr">
        <is>
          <t>None</t>
        </is>
      </c>
      <c r="N88" t="inlineStr">
        <is>
          <t>&lt;p&gt;&lt;/p&gt;</t>
        </is>
      </c>
      <c r="O88" t="inlineStr"/>
      <c r="P88" t="inlineStr">
        <is>
          <t>Vehicle - Nissan - Navara - FX17 YVM</t>
        </is>
      </c>
      <c r="Q88" t="inlineStr">
        <is>
          <t>UKPN</t>
        </is>
      </c>
      <c r="R88" t="b">
        <v>0</v>
      </c>
    </row>
    <row r="89">
      <c r="A89" t="inlineStr">
        <is>
          <t>18 Nov 2024 / 7186 Eastwoodbury Tree Services Ltd</t>
        </is>
      </c>
      <c r="B89" t="inlineStr">
        <is>
          <t>Utilities &amp; Inland Waterways</t>
        </is>
      </c>
      <c r="C89" t="inlineStr">
        <is>
          <t>UKPN</t>
        </is>
      </c>
      <c r="D89" t="inlineStr">
        <is>
          <t xml:space="preserve">Land Rover </t>
        </is>
      </c>
      <c r="E89" t="inlineStr">
        <is>
          <t>Defender</t>
        </is>
      </c>
      <c r="F89" t="inlineStr">
        <is>
          <t>FN600XM</t>
        </is>
      </c>
      <c r="G89" t="inlineStr">
        <is>
          <t xml:space="preserve">Dan Gilbert Jay Denkmayer </t>
        </is>
      </c>
      <c r="H89" t="inlineStr">
        <is>
          <t>4x44x4</t>
        </is>
      </c>
      <c r="I89" t="inlineStr">
        <is>
          <t>Daily/ Weekly Vehicle Inspection</t>
        </is>
      </c>
      <c r="J89" t="inlineStr">
        <is>
          <t>N/A</t>
        </is>
      </c>
      <c r="K89" t="inlineStr">
        <is>
          <t>7186 Eastwoodbury Tree Services Ltd</t>
        </is>
      </c>
      <c r="L89" t="inlineStr">
        <is>
          <t>18/11/2024 14:46</t>
        </is>
      </c>
      <c r="M89" t="inlineStr">
        <is>
          <t>None</t>
        </is>
      </c>
      <c r="N89" t="inlineStr">
        <is>
          <t>&lt;p&gt;&lt;/p&gt;</t>
        </is>
      </c>
      <c r="O89" t="inlineStr"/>
      <c r="P89" t="inlineStr">
        <is>
          <t>4x4 - Santana  - Ps10 - AO57 BPF4x4 - Land Rover  - Defender - FN60 0XM</t>
        </is>
      </c>
      <c r="Q89" t="inlineStr">
        <is>
          <t>UKPN</t>
        </is>
      </c>
      <c r="R89" t="b">
        <v>0</v>
      </c>
    </row>
    <row r="90">
      <c r="A90" t="inlineStr">
        <is>
          <t>18 Nov 2024 / 6617 Ashdown Tree Limited</t>
        </is>
      </c>
      <c r="B90" t="inlineStr">
        <is>
          <t>Utilities &amp; Inland Waterways</t>
        </is>
      </c>
      <c r="C90" t="inlineStr">
        <is>
          <t>UKPN</t>
        </is>
      </c>
      <c r="D90" t="inlineStr">
        <is>
          <t>Land Rover</t>
        </is>
      </c>
      <c r="E90" t="inlineStr">
        <is>
          <t>Defender</t>
        </is>
      </c>
      <c r="F90" t="inlineStr">
        <is>
          <t>GU11LKD</t>
        </is>
      </c>
      <c r="G90" t="inlineStr">
        <is>
          <t xml:space="preserve">Francis lesser Ashley Horwood Ashley Horwood </t>
        </is>
      </c>
      <c r="H90" t="inlineStr">
        <is>
          <t>4x44x4Plant Trailer</t>
        </is>
      </c>
      <c r="I90" t="inlineStr">
        <is>
          <t>Daily/ Weekly Vehicle Inspection</t>
        </is>
      </c>
      <c r="J90" t="inlineStr">
        <is>
          <t>N/A</t>
        </is>
      </c>
      <c r="K90" t="inlineStr">
        <is>
          <t>6617 Ashdown Tree Limited</t>
        </is>
      </c>
      <c r="L90" t="inlineStr">
        <is>
          <t>18/11/2024 14:47</t>
        </is>
      </c>
      <c r="M90" t="inlineStr">
        <is>
          <t>None</t>
        </is>
      </c>
      <c r="N90" t="inlineStr">
        <is>
          <t>&lt;p&gt;&lt;/p&gt;</t>
        </is>
      </c>
      <c r="O90" t="inlineStr">
        <is>
          <t>Select Vehicle:Indespension</t>
        </is>
      </c>
      <c r="P90" t="inlineStr">
        <is>
          <t>4x4 - Land Rover - Defender - GU11 LKDVehicle - Land Rover - Discovery  - WF11 EJJFlat Bed Trailer - Ifor Williams -  - SCKD00000H5147808A</t>
        </is>
      </c>
      <c r="Q90" t="inlineStr">
        <is>
          <t>UKPN</t>
        </is>
      </c>
      <c r="R90" t="b">
        <v>0</v>
      </c>
    </row>
    <row r="91">
      <c r="A91" t="inlineStr">
        <is>
          <t>20 Nov 2024 / 3098 D &amp; R Landscapes (PEND Arb Rail)</t>
        </is>
      </c>
      <c r="B91" t="inlineStr">
        <is>
          <t>Utilities &amp; Inland Waterways</t>
        </is>
      </c>
      <c r="C91" t="inlineStr">
        <is>
          <t>UKPN</t>
        </is>
      </c>
      <c r="D91" t="inlineStr">
        <is>
          <t>Nissan</t>
        </is>
      </c>
      <c r="E91" t="inlineStr">
        <is>
          <t>Navara</t>
        </is>
      </c>
      <c r="F91" t="inlineStr">
        <is>
          <t>FX17YVM</t>
        </is>
      </c>
      <c r="G91" t="inlineStr">
        <is>
          <t xml:space="preserve">Jason Mccloy </t>
        </is>
      </c>
      <c r="H91" t="inlineStr">
        <is>
          <t>Pickup Truck</t>
        </is>
      </c>
      <c r="I91" t="inlineStr">
        <is>
          <t>Daily/ Weekly Vehicle Inspection</t>
        </is>
      </c>
      <c r="J91" t="inlineStr">
        <is>
          <t>N/A</t>
        </is>
      </c>
      <c r="K91" t="inlineStr">
        <is>
          <t>3098 D &amp; R Landscapes (PEND Arb Rail)</t>
        </is>
      </c>
      <c r="L91" t="inlineStr">
        <is>
          <t>20/11/2024 14:42</t>
        </is>
      </c>
      <c r="M91" t="inlineStr">
        <is>
          <t>None</t>
        </is>
      </c>
      <c r="N91" t="inlineStr">
        <is>
          <t>&lt;p&gt;&lt;/p&gt;</t>
        </is>
      </c>
      <c r="O91" t="inlineStr"/>
      <c r="P91" t="inlineStr">
        <is>
          <t>Vehicle - Nissan - Navara - FX17 YVM</t>
        </is>
      </c>
      <c r="Q91" t="inlineStr">
        <is>
          <t>UKPN</t>
        </is>
      </c>
      <c r="R91" t="b">
        <v>0</v>
      </c>
    </row>
    <row r="92">
      <c r="A92" t="inlineStr">
        <is>
          <t>20 Nov 2024 / 7186 Eastwoodbury Tree Services Ltd</t>
        </is>
      </c>
      <c r="B92" t="inlineStr">
        <is>
          <t>Utilities &amp; Inland Waterways</t>
        </is>
      </c>
      <c r="C92" t="inlineStr">
        <is>
          <t>UKPN</t>
        </is>
      </c>
      <c r="D92" t="inlineStr">
        <is>
          <t>Ford</t>
        </is>
      </c>
      <c r="E92" t="inlineStr">
        <is>
          <t>Ranger</t>
        </is>
      </c>
      <c r="F92" t="inlineStr">
        <is>
          <t>DE53NKS</t>
        </is>
      </c>
      <c r="G92" t="inlineStr">
        <is>
          <t xml:space="preserve">Dan Gilbert Jay Denkmayer </t>
        </is>
      </c>
      <c r="H92" t="inlineStr">
        <is>
          <t>TipperPickup Truck</t>
        </is>
      </c>
      <c r="I92" t="inlineStr">
        <is>
          <t>Daily/ Weekly Vehicle Inspection</t>
        </is>
      </c>
      <c r="J92" t="inlineStr">
        <is>
          <t>N/A</t>
        </is>
      </c>
      <c r="K92" t="inlineStr">
        <is>
          <t>7186 Eastwoodbury Tree Services Ltd</t>
        </is>
      </c>
      <c r="L92" t="inlineStr">
        <is>
          <t>20/11/2024 14:42</t>
        </is>
      </c>
      <c r="M92" t="inlineStr">
        <is>
          <t>None</t>
        </is>
      </c>
      <c r="N92" t="inlineStr">
        <is>
          <t>&lt;p&gt;&lt;/p&gt;</t>
        </is>
      </c>
      <c r="O92" t="inlineStr"/>
      <c r="P92" t="inlineStr">
        <is>
          <t>Tipper - Ford - Transit - DN61XKJ4x4 - Ford - Ranger - DE53NKS</t>
        </is>
      </c>
      <c r="Q92" t="inlineStr">
        <is>
          <t>UKPN</t>
        </is>
      </c>
      <c r="R92" t="b">
        <v>0</v>
      </c>
    </row>
    <row r="93">
      <c r="A93" t="inlineStr">
        <is>
          <t>20 Nov 2024 / 6617 Ashdown Tree Limited</t>
        </is>
      </c>
      <c r="B93" t="inlineStr">
        <is>
          <t>Utilities &amp; Inland Waterways</t>
        </is>
      </c>
      <c r="C93" t="inlineStr">
        <is>
          <t>UKPN</t>
        </is>
      </c>
      <c r="D93" t="inlineStr">
        <is>
          <t>Land Rover</t>
        </is>
      </c>
      <c r="E93" t="inlineStr">
        <is>
          <t>Defender</t>
        </is>
      </c>
      <c r="F93" t="inlineStr">
        <is>
          <t>GU11LKD</t>
        </is>
      </c>
      <c r="G93" t="inlineStr">
        <is>
          <t xml:space="preserve">Francis lesser Ashley Horwood Ashley Horwood </t>
        </is>
      </c>
      <c r="H93" t="inlineStr">
        <is>
          <t>4x44x4Plant Trailer</t>
        </is>
      </c>
      <c r="I93" t="inlineStr">
        <is>
          <t>Daily/ Weekly Vehicle Inspection</t>
        </is>
      </c>
      <c r="J93" t="inlineStr">
        <is>
          <t>N/A</t>
        </is>
      </c>
      <c r="K93" t="inlineStr">
        <is>
          <t>6617 Ashdown Tree Limited</t>
        </is>
      </c>
      <c r="L93" t="inlineStr">
        <is>
          <t>20/11/2024 14:43</t>
        </is>
      </c>
      <c r="M93" t="inlineStr">
        <is>
          <t>None</t>
        </is>
      </c>
      <c r="N93" t="inlineStr">
        <is>
          <t>&lt;p&gt;&lt;/p&gt;</t>
        </is>
      </c>
      <c r="O93" t="inlineStr">
        <is>
          <t>Select Vehicle:Indespension</t>
        </is>
      </c>
      <c r="P93" t="inlineStr">
        <is>
          <t>4x4 - Land Rover - Defender - GU11 LKDVehicle - Land Rover - Discovery  - WF11 EJJFlat Bed Trailer - Ifor Williams -  - SCKD00000H5147808A</t>
        </is>
      </c>
      <c r="Q93" t="inlineStr">
        <is>
          <t>UKPN</t>
        </is>
      </c>
      <c r="R93" t="b">
        <v>0</v>
      </c>
    </row>
    <row r="94">
      <c r="A94" t="inlineStr">
        <is>
          <t>20 Nov 2024 / 3098 D &amp; R Landscapes (PEND Arb Rail)</t>
        </is>
      </c>
      <c r="B94" t="inlineStr">
        <is>
          <t>Utilities &amp; Inland Waterways</t>
        </is>
      </c>
      <c r="C94" t="inlineStr">
        <is>
          <t>UKPN</t>
        </is>
      </c>
      <c r="D94" t="inlineStr">
        <is>
          <t>Nissan</t>
        </is>
      </c>
      <c r="E94" t="inlineStr">
        <is>
          <t>Navara</t>
        </is>
      </c>
      <c r="F94" t="inlineStr">
        <is>
          <t>FX17YVM</t>
        </is>
      </c>
      <c r="G94" t="inlineStr">
        <is>
          <t xml:space="preserve">Jason </t>
        </is>
      </c>
      <c r="H94" t="inlineStr">
        <is>
          <t>4x4</t>
        </is>
      </c>
      <c r="I94" t="inlineStr">
        <is>
          <t>Daily/ Weekly Vehicle Inspection</t>
        </is>
      </c>
      <c r="J94" t="inlineStr">
        <is>
          <t>N/A</t>
        </is>
      </c>
      <c r="K94" t="inlineStr">
        <is>
          <t>3098 D &amp; R Landscapes (PEND Arb Rail)</t>
        </is>
      </c>
      <c r="L94" t="inlineStr">
        <is>
          <t>20/11/2024 14:44</t>
        </is>
      </c>
      <c r="M94" t="inlineStr">
        <is>
          <t>None</t>
        </is>
      </c>
      <c r="N94" t="inlineStr">
        <is>
          <t>&lt;p&gt;&lt;/p&gt;</t>
        </is>
      </c>
      <c r="O94" t="inlineStr"/>
      <c r="P94" t="inlineStr">
        <is>
          <t>Vehicle - Nissan - Navara - FX17 YVM</t>
        </is>
      </c>
      <c r="Q94" t="inlineStr">
        <is>
          <t>UKPN</t>
        </is>
      </c>
      <c r="R94" t="b">
        <v>0</v>
      </c>
    </row>
    <row r="95">
      <c r="A95" t="inlineStr">
        <is>
          <t>20 Nov 2024 / 7800 MAC Trees and Fencing Ltd</t>
        </is>
      </c>
      <c r="B95" t="inlineStr">
        <is>
          <t>Utilities &amp; Inland Waterways</t>
        </is>
      </c>
      <c r="C95" t="inlineStr">
        <is>
          <t>UKPN</t>
        </is>
      </c>
      <c r="D95" t="inlineStr">
        <is>
          <t>Izuzu</t>
        </is>
      </c>
      <c r="E95" t="inlineStr">
        <is>
          <t>Dmax</t>
        </is>
      </c>
      <c r="F95" t="inlineStr">
        <is>
          <t>Ay68daa</t>
        </is>
      </c>
      <c r="G95" t="inlineStr">
        <is>
          <t xml:space="preserve">Lewis mac Lewis mac </t>
        </is>
      </c>
      <c r="H95" t="inlineStr">
        <is>
          <t>4x4Towed Chipper</t>
        </is>
      </c>
      <c r="I95" t="inlineStr">
        <is>
          <t>Daily/ Weekly Vehicle Inspection</t>
        </is>
      </c>
      <c r="J95" t="inlineStr">
        <is>
          <t>N/A</t>
        </is>
      </c>
      <c r="K95" t="inlineStr">
        <is>
          <t>7800 MAC Trees and Fencing Ltd</t>
        </is>
      </c>
      <c r="L95" t="inlineStr">
        <is>
          <t>20/11/2024 14:45</t>
        </is>
      </c>
      <c r="M95" t="inlineStr">
        <is>
          <t>None</t>
        </is>
      </c>
      <c r="N95" t="inlineStr">
        <is>
          <t>&lt;p&gt;&lt;/p&gt;</t>
        </is>
      </c>
      <c r="O95" t="inlineStr"/>
      <c r="P95" t="inlineStr">
        <is>
          <t>4x4 - Izuzu - Dmax - Ay68 daaTow Chipper - Timberwolf - TW150 - 205143043-a1</t>
        </is>
      </c>
      <c r="Q95" t="inlineStr">
        <is>
          <t>UKPN</t>
        </is>
      </c>
      <c r="R95" t="b">
        <v>0</v>
      </c>
    </row>
    <row r="96">
      <c r="A96" t="inlineStr">
        <is>
          <t>19 Nov 2024 / 7800 MAC Trees and Fencing Ltd</t>
        </is>
      </c>
      <c r="B96" t="inlineStr">
        <is>
          <t>Utilities &amp; Inland Waterways</t>
        </is>
      </c>
      <c r="C96" t="inlineStr">
        <is>
          <t>UKPN</t>
        </is>
      </c>
      <c r="D96" t="inlineStr">
        <is>
          <t>Izuzu</t>
        </is>
      </c>
      <c r="E96" t="inlineStr">
        <is>
          <t>Dmax</t>
        </is>
      </c>
      <c r="F96" t="inlineStr">
        <is>
          <t>Ay68daa</t>
        </is>
      </c>
      <c r="G96" t="inlineStr">
        <is>
          <t>Lewis macLewis mac</t>
        </is>
      </c>
      <c r="H96" t="inlineStr">
        <is>
          <t>4x4Towed Chipper</t>
        </is>
      </c>
      <c r="I96" t="inlineStr">
        <is>
          <t>Daily/ Weekly Vehicle Inspection</t>
        </is>
      </c>
      <c r="J96" t="inlineStr">
        <is>
          <t>N/A</t>
        </is>
      </c>
      <c r="K96" t="inlineStr">
        <is>
          <t>7800 MAC Trees and Fencing Ltd</t>
        </is>
      </c>
      <c r="L96" t="inlineStr">
        <is>
          <t>20/11/2024 14:46</t>
        </is>
      </c>
      <c r="M96" t="inlineStr">
        <is>
          <t>None</t>
        </is>
      </c>
      <c r="N96" t="inlineStr">
        <is>
          <t>&lt;p&gt;&lt;/p&gt;</t>
        </is>
      </c>
      <c r="O96" t="inlineStr"/>
      <c r="P96" t="inlineStr">
        <is>
          <t>4x4 - Izuzu - Dmax - Ay68 daaTow Chipper - Timberwolf - TW150 - 205143043-a1</t>
        </is>
      </c>
      <c r="Q96" t="inlineStr">
        <is>
          <t>UKPN</t>
        </is>
      </c>
      <c r="R96" t="b">
        <v>0</v>
      </c>
    </row>
    <row r="97">
      <c r="A97" t="inlineStr">
        <is>
          <t>19 Nov 2024 / 7126 Maple Tree Surgery and Landscapes Ltd</t>
        </is>
      </c>
      <c r="B97" t="inlineStr">
        <is>
          <t>Utilities &amp; Inland Waterways</t>
        </is>
      </c>
      <c r="C97" t="inlineStr">
        <is>
          <t>UKPN</t>
        </is>
      </c>
      <c r="D97" t="inlineStr">
        <is>
          <t>Land Rover</t>
        </is>
      </c>
      <c r="E97" t="inlineStr">
        <is>
          <t xml:space="preserve">Discovery </t>
        </is>
      </c>
      <c r="F97" t="inlineStr">
        <is>
          <t>SJ55HMZ</t>
        </is>
      </c>
      <c r="G97" t="inlineStr">
        <is>
          <t xml:space="preserve">Tim brownTim Brown </t>
        </is>
      </c>
      <c r="H97" t="inlineStr">
        <is>
          <t>4x4Towed Chipper</t>
        </is>
      </c>
      <c r="I97" t="inlineStr">
        <is>
          <t>Daily/ Weekly Vehicle Inspection</t>
        </is>
      </c>
      <c r="J97" t="inlineStr">
        <is>
          <t>N/A</t>
        </is>
      </c>
      <c r="K97" t="inlineStr">
        <is>
          <t>7126 Maple Tree Surgery and Landscapes Ltd</t>
        </is>
      </c>
      <c r="L97" t="inlineStr">
        <is>
          <t>20/11/2024 14:46</t>
        </is>
      </c>
      <c r="M97" t="inlineStr">
        <is>
          <t>None</t>
        </is>
      </c>
      <c r="N97" t="inlineStr">
        <is>
          <t>&lt;p&gt;&lt;/p&gt;</t>
        </is>
      </c>
      <c r="O97" t="inlineStr"/>
      <c r="P97" t="inlineStr">
        <is>
          <t>Vehicle - Land Rover - Discovery  - SJ55 HMZTow Chipper - Timberwolf - TW150DBH - 210143089-a6</t>
        </is>
      </c>
      <c r="Q97" t="inlineStr">
        <is>
          <t>UKPN</t>
        </is>
      </c>
      <c r="R97" t="b">
        <v>0</v>
      </c>
    </row>
    <row r="98">
      <c r="A98" t="inlineStr">
        <is>
          <t>19 Nov 2024 / 7889 Tree Tech Suffolk Ltd</t>
        </is>
      </c>
      <c r="B98" t="inlineStr">
        <is>
          <t>Utilities &amp; Inland Waterways</t>
        </is>
      </c>
      <c r="C98" t="inlineStr">
        <is>
          <t>UKPN</t>
        </is>
      </c>
      <c r="D98" t="inlineStr">
        <is>
          <t>Isuzu</t>
        </is>
      </c>
      <c r="E98" t="inlineStr">
        <is>
          <t>D-max</t>
        </is>
      </c>
      <c r="F98" t="inlineStr">
        <is>
          <t>NS03TTS</t>
        </is>
      </c>
      <c r="G98" t="inlineStr">
        <is>
          <t xml:space="preserve">Danny Appleby Danny Appleby </t>
        </is>
      </c>
      <c r="H98" t="inlineStr">
        <is>
          <t>4x4Towed Chipper</t>
        </is>
      </c>
      <c r="I98" t="inlineStr">
        <is>
          <t>Daily/ Weekly Vehicle Inspection</t>
        </is>
      </c>
      <c r="J98" t="inlineStr">
        <is>
          <t>N/A</t>
        </is>
      </c>
      <c r="K98" t="inlineStr">
        <is>
          <t>7889 Tree Tech Suffolk Ltd</t>
        </is>
      </c>
      <c r="L98" t="inlineStr">
        <is>
          <t>20/11/2024 14:47</t>
        </is>
      </c>
      <c r="M98" t="inlineStr">
        <is>
          <t>None</t>
        </is>
      </c>
      <c r="N98" t="inlineStr">
        <is>
          <t>&lt;p&gt;&lt;/p&gt;</t>
        </is>
      </c>
      <c r="O98" t="inlineStr"/>
      <c r="P98" t="inlineStr">
        <is>
          <t>4x4 - Isuzu - D-max - NS03 TTSTow Chipper - Jenson - A530L - 5521063948</t>
        </is>
      </c>
      <c r="Q98" t="inlineStr">
        <is>
          <t>UKPN</t>
        </is>
      </c>
      <c r="R98" t="b">
        <v>0</v>
      </c>
    </row>
    <row r="99">
      <c r="A99" t="inlineStr">
        <is>
          <t>19 Nov 2024 / 3098 D &amp; R Landscapes (PEND Arb Rail)</t>
        </is>
      </c>
      <c r="B99" t="inlineStr">
        <is>
          <t>Utilities &amp; Inland Waterways</t>
        </is>
      </c>
      <c r="C99" t="inlineStr">
        <is>
          <t>UKPN</t>
        </is>
      </c>
      <c r="D99" t="inlineStr">
        <is>
          <t>Isuzu</t>
        </is>
      </c>
      <c r="E99" t="inlineStr">
        <is>
          <t>Grafter</t>
        </is>
      </c>
      <c r="F99" t="inlineStr">
        <is>
          <t>DE68XHA</t>
        </is>
      </c>
      <c r="G99" t="inlineStr">
        <is>
          <t xml:space="preserve">Jason MCCLOY </t>
        </is>
      </c>
      <c r="H99" t="inlineStr">
        <is>
          <t>Tipper</t>
        </is>
      </c>
      <c r="I99" t="inlineStr">
        <is>
          <t>Daily/ Weekly Vehicle Inspection</t>
        </is>
      </c>
      <c r="J99" t="inlineStr">
        <is>
          <t>N/A</t>
        </is>
      </c>
      <c r="K99" t="inlineStr">
        <is>
          <t>3098 D &amp; R Landscapes (PEND Arb Rail)</t>
        </is>
      </c>
      <c r="L99" t="inlineStr">
        <is>
          <t>20/11/2024 14:48</t>
        </is>
      </c>
      <c r="M99" t="inlineStr">
        <is>
          <t>None</t>
        </is>
      </c>
      <c r="N99" t="inlineStr">
        <is>
          <t>&lt;p&gt;&lt;/p&gt;</t>
        </is>
      </c>
      <c r="O99" t="inlineStr"/>
      <c r="P99" t="inlineStr">
        <is>
          <t>Tipper - Isuzu - Grafter - DE68 XHA</t>
        </is>
      </c>
      <c r="Q99" t="inlineStr">
        <is>
          <t>UKPN</t>
        </is>
      </c>
      <c r="R99" t="b">
        <v>0</v>
      </c>
    </row>
    <row r="100">
      <c r="A100" t="inlineStr">
        <is>
          <t>19 Nov 2024 / 7186 Eastwoodbury Tree Services Ltd</t>
        </is>
      </c>
      <c r="B100" t="inlineStr">
        <is>
          <t>Utilities &amp; Inland Waterways</t>
        </is>
      </c>
      <c r="C100" t="inlineStr">
        <is>
          <t>UKPN</t>
        </is>
      </c>
      <c r="D100" t="inlineStr">
        <is>
          <t xml:space="preserve">Land Rover </t>
        </is>
      </c>
      <c r="E100" t="inlineStr">
        <is>
          <t>Defender</t>
        </is>
      </c>
      <c r="F100" t="inlineStr">
        <is>
          <t>FN600XM</t>
        </is>
      </c>
      <c r="G100" t="inlineStr">
        <is>
          <t xml:space="preserve">Dan Gilbert Jay Denkmayer </t>
        </is>
      </c>
      <c r="H100" t="inlineStr">
        <is>
          <t>4x44x4</t>
        </is>
      </c>
      <c r="I100" t="inlineStr">
        <is>
          <t>Daily/ Weekly Vehicle Inspection</t>
        </is>
      </c>
      <c r="J100" t="inlineStr">
        <is>
          <t>N/A</t>
        </is>
      </c>
      <c r="K100" t="inlineStr">
        <is>
          <t>7186 Eastwoodbury Tree Services Ltd</t>
        </is>
      </c>
      <c r="L100" t="inlineStr">
        <is>
          <t>20/11/2024 14:49</t>
        </is>
      </c>
      <c r="M100" t="inlineStr">
        <is>
          <t>None</t>
        </is>
      </c>
      <c r="N100" t="inlineStr">
        <is>
          <t>&lt;p&gt;&lt;/p&gt;</t>
        </is>
      </c>
      <c r="O100" t="inlineStr"/>
      <c r="P100" t="inlineStr">
        <is>
          <t>4x4 - Santana  - Ps10 - AO57 BPF4x4 - Land Rover  - Defender - FN60 0XM</t>
        </is>
      </c>
      <c r="Q100" t="inlineStr">
        <is>
          <t>UKPN</t>
        </is>
      </c>
      <c r="R100" t="b">
        <v>0</v>
      </c>
    </row>
    <row r="101">
      <c r="A101" t="inlineStr">
        <is>
          <t>19 Nov 2024 / 6617 Ashdown Tree Limited</t>
        </is>
      </c>
      <c r="B101" t="inlineStr">
        <is>
          <t>Utilities &amp; Inland Waterways</t>
        </is>
      </c>
      <c r="C101" t="inlineStr">
        <is>
          <t>UKPN</t>
        </is>
      </c>
      <c r="D101" t="inlineStr">
        <is>
          <t>Land Rover</t>
        </is>
      </c>
      <c r="E101" t="inlineStr">
        <is>
          <t>Defender</t>
        </is>
      </c>
      <c r="F101" t="inlineStr">
        <is>
          <t>GU11LKD</t>
        </is>
      </c>
      <c r="G101" t="inlineStr">
        <is>
          <t xml:space="preserve">Francis lesser Ashley Horwood Ashley Horwood </t>
        </is>
      </c>
      <c r="H101" t="inlineStr">
        <is>
          <t>4x44x4Plant Trailer</t>
        </is>
      </c>
      <c r="I101" t="inlineStr">
        <is>
          <t>Daily/ Weekly Vehicle Inspection</t>
        </is>
      </c>
      <c r="J101" t="inlineStr">
        <is>
          <t>N/A</t>
        </is>
      </c>
      <c r="K101" t="inlineStr">
        <is>
          <t>6617 Ashdown Tree Limited</t>
        </is>
      </c>
      <c r="L101" t="inlineStr">
        <is>
          <t>20/11/2024 14:50</t>
        </is>
      </c>
      <c r="M101" t="inlineStr">
        <is>
          <t>None</t>
        </is>
      </c>
      <c r="N101" t="inlineStr">
        <is>
          <t>&lt;p&gt;&lt;/p&gt;</t>
        </is>
      </c>
      <c r="O101" t="inlineStr">
        <is>
          <t>Select Vehicle:Indespension</t>
        </is>
      </c>
      <c r="P101" t="inlineStr">
        <is>
          <t>4x4 - Land Rover - Defender - GU11 LKDVehicle - Land Rover - Discovery  - WF11 EJJFlat Bed Trailer - Ifor Williams -  - SCKD00000H5147808A</t>
        </is>
      </c>
      <c r="Q101" t="inlineStr">
        <is>
          <t>UKPN</t>
        </is>
      </c>
      <c r="R101" t="b">
        <v>0</v>
      </c>
    </row>
    <row r="102">
      <c r="A102" t="inlineStr">
        <is>
          <t>22 Nov 2024 / 3098 D &amp; R Landscapes (PEND Arb Rail)</t>
        </is>
      </c>
      <c r="B102" t="inlineStr">
        <is>
          <t>Utilities &amp; Inland Waterways</t>
        </is>
      </c>
      <c r="C102" t="inlineStr">
        <is>
          <t>UKPN</t>
        </is>
      </c>
      <c r="D102" t="inlineStr">
        <is>
          <t>Nissan</t>
        </is>
      </c>
      <c r="E102" t="inlineStr">
        <is>
          <t>Navara</t>
        </is>
      </c>
      <c r="F102" t="inlineStr">
        <is>
          <t>FX17YVM</t>
        </is>
      </c>
      <c r="G102" t="inlineStr">
        <is>
          <t>Jason MCCLOY</t>
        </is>
      </c>
      <c r="H102" t="inlineStr">
        <is>
          <t>4x4</t>
        </is>
      </c>
      <c r="I102" t="inlineStr">
        <is>
          <t>Daily/ Weekly Vehicle Inspection</t>
        </is>
      </c>
      <c r="J102" t="inlineStr">
        <is>
          <t>N/A</t>
        </is>
      </c>
      <c r="K102" t="inlineStr">
        <is>
          <t>3098 D &amp; R Landscapes (PEND Arb Rail)</t>
        </is>
      </c>
      <c r="L102" t="inlineStr">
        <is>
          <t>22/11/2024 14:42</t>
        </is>
      </c>
      <c r="M102" t="inlineStr">
        <is>
          <t>None</t>
        </is>
      </c>
      <c r="N102" t="inlineStr">
        <is>
          <t>&lt;p&gt;&lt;/p&gt;</t>
        </is>
      </c>
      <c r="O102" t="inlineStr"/>
      <c r="P102" t="inlineStr">
        <is>
          <t>Vehicle - Nissan - Navara - FX17 YVM</t>
        </is>
      </c>
      <c r="Q102" t="inlineStr">
        <is>
          <t>UKPN</t>
        </is>
      </c>
      <c r="R102" t="b">
        <v>0</v>
      </c>
    </row>
    <row r="103">
      <c r="A103" t="inlineStr">
        <is>
          <t>22 Nov 2024 / 7126 Maple Tree Surgery and Landscapes Ltd</t>
        </is>
      </c>
      <c r="B103" t="inlineStr">
        <is>
          <t>Utilities &amp; Inland Waterways</t>
        </is>
      </c>
      <c r="C103" t="inlineStr">
        <is>
          <t>UKPN</t>
        </is>
      </c>
      <c r="D103" t="inlineStr">
        <is>
          <t>Land Rover</t>
        </is>
      </c>
      <c r="E103" t="inlineStr">
        <is>
          <t xml:space="preserve">Discovery </t>
        </is>
      </c>
      <c r="F103" t="inlineStr">
        <is>
          <t>SJ55HMZ</t>
        </is>
      </c>
      <c r="G103" t="inlineStr">
        <is>
          <t>TimTim</t>
        </is>
      </c>
      <c r="H103" t="inlineStr">
        <is>
          <t>4x4Towed Chipper</t>
        </is>
      </c>
      <c r="I103" t="inlineStr">
        <is>
          <t>Daily/ Weekly Vehicle Inspection</t>
        </is>
      </c>
      <c r="J103" t="inlineStr">
        <is>
          <t>N/A</t>
        </is>
      </c>
      <c r="K103" t="inlineStr">
        <is>
          <t>7126 Maple Tree Surgery and Landscapes Ltd</t>
        </is>
      </c>
      <c r="L103" t="inlineStr">
        <is>
          <t>22/11/2024 14:43</t>
        </is>
      </c>
      <c r="M103" t="inlineStr">
        <is>
          <t>None</t>
        </is>
      </c>
      <c r="N103" t="inlineStr">
        <is>
          <t>&lt;p&gt;&lt;/p&gt;</t>
        </is>
      </c>
      <c r="O103" t="inlineStr"/>
      <c r="P103" t="inlineStr">
        <is>
          <t>Vehicle - Land Rover - Discovery  - SJ55 HMZTow Chipper - Timberwolf - TW150DBH - 210143089-a6</t>
        </is>
      </c>
      <c r="Q103" t="inlineStr">
        <is>
          <t>UKPN</t>
        </is>
      </c>
      <c r="R103" t="b">
        <v>0</v>
      </c>
    </row>
    <row r="104">
      <c r="A104" t="inlineStr">
        <is>
          <t>21 Nov 2024 / 7126 Maple Tree Surgery and Landscapes Ltd</t>
        </is>
      </c>
      <c r="B104" t="inlineStr">
        <is>
          <t>Utilities &amp; Inland Waterways</t>
        </is>
      </c>
      <c r="C104" t="inlineStr">
        <is>
          <t>UKPN</t>
        </is>
      </c>
      <c r="D104" t="inlineStr">
        <is>
          <t>Land Rover</t>
        </is>
      </c>
      <c r="E104" t="inlineStr">
        <is>
          <t xml:space="preserve">Discovery </t>
        </is>
      </c>
      <c r="F104" t="inlineStr">
        <is>
          <t>SJ55HMZ</t>
        </is>
      </c>
      <c r="G104" t="inlineStr">
        <is>
          <t>TimTim</t>
        </is>
      </c>
      <c r="H104" t="inlineStr">
        <is>
          <t>4x4Towed Chipper</t>
        </is>
      </c>
      <c r="I104" t="inlineStr">
        <is>
          <t>Daily/ Weekly Vehicle Inspection</t>
        </is>
      </c>
      <c r="J104" t="inlineStr">
        <is>
          <t>N/A</t>
        </is>
      </c>
      <c r="K104" t="inlineStr">
        <is>
          <t>7126 Maple Tree Surgery and Landscapes Ltd</t>
        </is>
      </c>
      <c r="L104" t="inlineStr">
        <is>
          <t>22/11/2024 14:44</t>
        </is>
      </c>
      <c r="M104" t="inlineStr">
        <is>
          <t>None</t>
        </is>
      </c>
      <c r="N104" t="inlineStr">
        <is>
          <t>&lt;p&gt;&lt;/p&gt;</t>
        </is>
      </c>
      <c r="O104" t="inlineStr"/>
      <c r="P104" t="inlineStr">
        <is>
          <t>Vehicle - Land Rover - Discovery  - SJ55 HMZTow Chipper - Timberwolf - TW150DBH - 210143089-a6</t>
        </is>
      </c>
      <c r="Q104" t="inlineStr">
        <is>
          <t>UKPN</t>
        </is>
      </c>
      <c r="R104" t="b">
        <v>0</v>
      </c>
    </row>
    <row r="105">
      <c r="A105" t="inlineStr">
        <is>
          <t>22 Nov 2024 / 7186 Eastwoodbury Tree Services Ltd</t>
        </is>
      </c>
      <c r="B105" t="inlineStr">
        <is>
          <t>Utilities &amp; Inland Waterways</t>
        </is>
      </c>
      <c r="C105" t="inlineStr">
        <is>
          <t>UKPN</t>
        </is>
      </c>
      <c r="D105" t="inlineStr">
        <is>
          <t xml:space="preserve">Land Rover </t>
        </is>
      </c>
      <c r="E105" t="inlineStr">
        <is>
          <t>Defender</t>
        </is>
      </c>
      <c r="F105" t="inlineStr">
        <is>
          <t>FN600XM</t>
        </is>
      </c>
      <c r="G105" t="inlineStr">
        <is>
          <t xml:space="preserve">Dan Gilbert Jay Denkmayer </t>
        </is>
      </c>
      <c r="H105" t="inlineStr">
        <is>
          <t>4x44x4</t>
        </is>
      </c>
      <c r="I105" t="inlineStr">
        <is>
          <t>Daily/ Weekly Vehicle Inspection</t>
        </is>
      </c>
      <c r="J105" t="inlineStr">
        <is>
          <t>N/A</t>
        </is>
      </c>
      <c r="K105" t="inlineStr">
        <is>
          <t>7186 Eastwoodbury Tree Services Ltd</t>
        </is>
      </c>
      <c r="L105" t="inlineStr">
        <is>
          <t>22/11/2024 14:47</t>
        </is>
      </c>
      <c r="M105" t="inlineStr">
        <is>
          <t>None</t>
        </is>
      </c>
      <c r="N105" t="inlineStr">
        <is>
          <t>&lt;p&gt;&lt;/p&gt;</t>
        </is>
      </c>
      <c r="O105" t="inlineStr"/>
      <c r="P105" t="inlineStr">
        <is>
          <t>4x4 - Santana  - Ps10 - AO57 BPF4x4 - Land Rover  - Defender - FN60 0XM</t>
        </is>
      </c>
      <c r="Q105" t="inlineStr">
        <is>
          <t>UKPN</t>
        </is>
      </c>
      <c r="R105" t="b">
        <v>0</v>
      </c>
    </row>
    <row r="106">
      <c r="A106" t="inlineStr">
        <is>
          <t>22 Nov 2024 / 6617 Ashdown Tree Limited</t>
        </is>
      </c>
      <c r="B106" t="inlineStr">
        <is>
          <t>Utilities &amp; Inland Waterways</t>
        </is>
      </c>
      <c r="C106" t="inlineStr">
        <is>
          <t>UKPN</t>
        </is>
      </c>
      <c r="D106" t="inlineStr">
        <is>
          <t>Land Rover</t>
        </is>
      </c>
      <c r="E106" t="inlineStr">
        <is>
          <t>Defender</t>
        </is>
      </c>
      <c r="F106" t="inlineStr">
        <is>
          <t>GU11LKD</t>
        </is>
      </c>
      <c r="G106" t="inlineStr">
        <is>
          <t xml:space="preserve">Francis lesser </t>
        </is>
      </c>
      <c r="H106" t="inlineStr">
        <is>
          <t>4x4</t>
        </is>
      </c>
      <c r="I106" t="inlineStr">
        <is>
          <t>Daily/ Weekly Vehicle Inspection</t>
        </is>
      </c>
      <c r="J106" t="inlineStr">
        <is>
          <t>N/A</t>
        </is>
      </c>
      <c r="K106" t="inlineStr">
        <is>
          <t>6617 Ashdown Tree Limited</t>
        </is>
      </c>
      <c r="L106" t="inlineStr">
        <is>
          <t>22/11/2024 14:48</t>
        </is>
      </c>
      <c r="M106" t="inlineStr">
        <is>
          <t>None</t>
        </is>
      </c>
      <c r="N106" t="inlineStr">
        <is>
          <t>&lt;p&gt;&lt;/p&gt;</t>
        </is>
      </c>
      <c r="O106" t="inlineStr"/>
      <c r="P106" t="inlineStr">
        <is>
          <t>4x4 - Land Rover - Defender - GU11 LKD</t>
        </is>
      </c>
      <c r="Q106" t="inlineStr">
        <is>
          <t>UKPN</t>
        </is>
      </c>
      <c r="R106" t="b">
        <v>0</v>
      </c>
    </row>
    <row r="107">
      <c r="A107" t="inlineStr">
        <is>
          <t>20 Nov 2024 / 7126 Maple Tree Surgery and Landscapes Ltd</t>
        </is>
      </c>
      <c r="B107" t="inlineStr">
        <is>
          <t>Utilities &amp; Inland Waterways</t>
        </is>
      </c>
      <c r="C107" t="inlineStr">
        <is>
          <t>UKPN</t>
        </is>
      </c>
      <c r="D107" t="inlineStr">
        <is>
          <t>Land Rover</t>
        </is>
      </c>
      <c r="E107" t="inlineStr">
        <is>
          <t xml:space="preserve">Discovery </t>
        </is>
      </c>
      <c r="F107" t="inlineStr">
        <is>
          <t>SJ55HMZ</t>
        </is>
      </c>
      <c r="G107" t="inlineStr">
        <is>
          <t>Tim brown Tim</t>
        </is>
      </c>
      <c r="H107" t="inlineStr">
        <is>
          <t>4x4Towed Chipper</t>
        </is>
      </c>
      <c r="I107" t="inlineStr">
        <is>
          <t>Daily/ Weekly Vehicle Inspection</t>
        </is>
      </c>
      <c r="J107" t="inlineStr">
        <is>
          <t>N/A</t>
        </is>
      </c>
      <c r="K107" t="inlineStr">
        <is>
          <t>7126 Maple Tree Surgery and Landscapes Ltd</t>
        </is>
      </c>
      <c r="L107" t="inlineStr">
        <is>
          <t>22/11/2024 14:49</t>
        </is>
      </c>
      <c r="M107" t="inlineStr">
        <is>
          <t>None</t>
        </is>
      </c>
      <c r="N107" t="inlineStr">
        <is>
          <t>&lt;p&gt;&lt;/p&gt;</t>
        </is>
      </c>
      <c r="O107" t="inlineStr"/>
      <c r="P107" t="inlineStr">
        <is>
          <t>Vehicle - Land Rover - Discovery  - SJ55 HMZTow Chipper - Timberwolf - TW150DBH - 210143089-a6</t>
        </is>
      </c>
      <c r="Q107" t="inlineStr">
        <is>
          <t>UKPN</t>
        </is>
      </c>
      <c r="R107" t="b">
        <v>0</v>
      </c>
    </row>
    <row r="108">
      <c r="A108" t="inlineStr">
        <is>
          <t>21 Nov 2024 / 3098 D &amp; R Landscapes (PEND Arb Rail)</t>
        </is>
      </c>
      <c r="B108" t="inlineStr">
        <is>
          <t>Utilities &amp; Inland Waterways</t>
        </is>
      </c>
      <c r="C108" t="inlineStr">
        <is>
          <t>UKPN</t>
        </is>
      </c>
      <c r="D108" t="inlineStr">
        <is>
          <t>Isuzu</t>
        </is>
      </c>
      <c r="E108" t="inlineStr">
        <is>
          <t>Grafter</t>
        </is>
      </c>
      <c r="F108" t="inlineStr">
        <is>
          <t>DE68XHA</t>
        </is>
      </c>
      <c r="G108" t="inlineStr">
        <is>
          <t xml:space="preserve">Jason MCCLOY </t>
        </is>
      </c>
      <c r="H108" t="inlineStr">
        <is>
          <t>Tipper</t>
        </is>
      </c>
      <c r="I108" t="inlineStr">
        <is>
          <t>Daily/ Weekly Vehicle Inspection</t>
        </is>
      </c>
      <c r="J108" t="inlineStr">
        <is>
          <t>N/A</t>
        </is>
      </c>
      <c r="K108" t="inlineStr">
        <is>
          <t>3098 D &amp; R Landscapes (PEND Arb Rail)</t>
        </is>
      </c>
      <c r="L108" t="inlineStr">
        <is>
          <t>22/11/2024 14:50</t>
        </is>
      </c>
      <c r="M108" t="inlineStr">
        <is>
          <t>None</t>
        </is>
      </c>
      <c r="N108" t="inlineStr">
        <is>
          <t>&lt;p&gt;&lt;/p&gt;</t>
        </is>
      </c>
      <c r="O108" t="inlineStr"/>
      <c r="P108" t="inlineStr">
        <is>
          <t>Tipper - Isuzu - Grafter - DE68 XHA</t>
        </is>
      </c>
      <c r="Q108" t="inlineStr">
        <is>
          <t>UKPN</t>
        </is>
      </c>
      <c r="R108" t="b">
        <v>0</v>
      </c>
    </row>
    <row r="109">
      <c r="A109" t="inlineStr">
        <is>
          <t>21 Nov 2024 / 6617 Ashdown Tree Limited</t>
        </is>
      </c>
      <c r="B109" t="inlineStr">
        <is>
          <t>Utilities &amp; Inland Waterways</t>
        </is>
      </c>
      <c r="C109" t="inlineStr">
        <is>
          <t>UKPN</t>
        </is>
      </c>
      <c r="D109" t="inlineStr">
        <is>
          <t>Land Rover</t>
        </is>
      </c>
      <c r="E109" t="inlineStr">
        <is>
          <t>Defender</t>
        </is>
      </c>
      <c r="F109" t="inlineStr">
        <is>
          <t>GU11LKD</t>
        </is>
      </c>
      <c r="G109" t="inlineStr">
        <is>
          <t xml:space="preserve">Francis lesser Ashley Horwood Ashley Horwood </t>
        </is>
      </c>
      <c r="H109" t="inlineStr">
        <is>
          <t>4x44x4Plant Trailer</t>
        </is>
      </c>
      <c r="I109" t="inlineStr">
        <is>
          <t>Daily/ Weekly Vehicle Inspection</t>
        </is>
      </c>
      <c r="J109" t="inlineStr">
        <is>
          <t>N/A</t>
        </is>
      </c>
      <c r="K109" t="inlineStr">
        <is>
          <t>6617 Ashdown Tree Limited</t>
        </is>
      </c>
      <c r="L109" t="inlineStr">
        <is>
          <t>22/11/2024 14:51</t>
        </is>
      </c>
      <c r="M109" t="inlineStr">
        <is>
          <t>None</t>
        </is>
      </c>
      <c r="N109" t="inlineStr">
        <is>
          <t>&lt;p&gt;&lt;/p&gt;</t>
        </is>
      </c>
      <c r="O109" t="inlineStr">
        <is>
          <t>Select Vehicle:Indespension</t>
        </is>
      </c>
      <c r="P109" t="inlineStr">
        <is>
          <t>4x4 - Land Rover - Defender - GU11 LKDVehicle - Land Rover - Discovery  - WF11 EJJFlat Bed Trailer - Ifor Williams -  - SCKD00000H5147808A</t>
        </is>
      </c>
      <c r="Q109" t="inlineStr">
        <is>
          <t>UKPN</t>
        </is>
      </c>
      <c r="R109" t="b">
        <v>0</v>
      </c>
    </row>
    <row r="110">
      <c r="A110" t="inlineStr">
        <is>
          <t>21 Nov 2024 / 7800 MAC Trees and Fencing Ltd</t>
        </is>
      </c>
      <c r="B110" t="inlineStr">
        <is>
          <t>Utilities &amp; Inland Waterways</t>
        </is>
      </c>
      <c r="C110" t="inlineStr">
        <is>
          <t>UKPN</t>
        </is>
      </c>
      <c r="D110" t="inlineStr">
        <is>
          <t>Izuzu</t>
        </is>
      </c>
      <c r="E110" t="inlineStr">
        <is>
          <t>Dmax</t>
        </is>
      </c>
      <c r="F110" t="inlineStr">
        <is>
          <t>Ay68daa</t>
        </is>
      </c>
      <c r="G110" t="inlineStr">
        <is>
          <t>LewisLewis mac</t>
        </is>
      </c>
      <c r="H110" t="inlineStr">
        <is>
          <t>4x4Towed Chipper</t>
        </is>
      </c>
      <c r="I110" t="inlineStr">
        <is>
          <t>Daily/ Weekly Vehicle Inspection</t>
        </is>
      </c>
      <c r="J110" t="inlineStr">
        <is>
          <t>N/A</t>
        </is>
      </c>
      <c r="K110" t="inlineStr">
        <is>
          <t>7800 MAC Trees and Fencing Ltd</t>
        </is>
      </c>
      <c r="L110" t="inlineStr">
        <is>
          <t>22/11/2024 14:53</t>
        </is>
      </c>
      <c r="M110" t="inlineStr">
        <is>
          <t>None</t>
        </is>
      </c>
      <c r="N110" t="inlineStr">
        <is>
          <t>&lt;p&gt;&lt;/p&gt;</t>
        </is>
      </c>
      <c r="O110" t="inlineStr"/>
      <c r="P110" t="inlineStr">
        <is>
          <t>4x4 - Izuzu - Dmax - Ay68 daaTow Chipper - Timberwolf - TW150 - 205143043-a1</t>
        </is>
      </c>
      <c r="Q110" t="inlineStr">
        <is>
          <t>UKPN</t>
        </is>
      </c>
      <c r="R110" t="b">
        <v>0</v>
      </c>
    </row>
    <row r="111">
      <c r="A111" t="inlineStr">
        <is>
          <t>21 Nov 2024 / 7889 Tree Tech Suffolk Ltd</t>
        </is>
      </c>
      <c r="B111" t="inlineStr">
        <is>
          <t>Utilities &amp; Inland Waterways</t>
        </is>
      </c>
      <c r="C111" t="inlineStr">
        <is>
          <t>UKPN</t>
        </is>
      </c>
      <c r="D111" t="inlineStr">
        <is>
          <t>Isuzu</t>
        </is>
      </c>
      <c r="E111" t="inlineStr">
        <is>
          <t>D-max</t>
        </is>
      </c>
      <c r="F111" t="inlineStr">
        <is>
          <t>NS03TTS</t>
        </is>
      </c>
      <c r="G111" t="inlineStr">
        <is>
          <t xml:space="preserve">Danny Appleby Danny appleby </t>
        </is>
      </c>
      <c r="H111" t="inlineStr">
        <is>
          <t>4x4Towed Chipper</t>
        </is>
      </c>
      <c r="I111" t="inlineStr">
        <is>
          <t>Daily/ Weekly Vehicle Inspection</t>
        </is>
      </c>
      <c r="J111" t="inlineStr">
        <is>
          <t>N/A</t>
        </is>
      </c>
      <c r="K111" t="inlineStr">
        <is>
          <t>7889 Tree Tech Suffolk Ltd</t>
        </is>
      </c>
      <c r="L111" t="inlineStr">
        <is>
          <t>22/11/2024 14:54</t>
        </is>
      </c>
      <c r="M111" t="inlineStr">
        <is>
          <t>None</t>
        </is>
      </c>
      <c r="N111" t="inlineStr">
        <is>
          <t>&lt;p&gt;&lt;/p&gt;</t>
        </is>
      </c>
      <c r="O111" t="inlineStr"/>
      <c r="P111" t="inlineStr">
        <is>
          <t>4x4 - Isuzu - D-max - NS03 TTSTow Chipper - Jenson - A530L - 5521063948</t>
        </is>
      </c>
      <c r="Q111" t="inlineStr">
        <is>
          <t>UKPN</t>
        </is>
      </c>
      <c r="R111" t="b">
        <v>0</v>
      </c>
    </row>
    <row r="112">
      <c r="A112" t="inlineStr">
        <is>
          <t>21 Nov 2024 / 7186 Eastwoodbury Tree Services Ltd</t>
        </is>
      </c>
      <c r="B112" t="inlineStr">
        <is>
          <t>Utilities &amp; Inland Waterways</t>
        </is>
      </c>
      <c r="C112" t="inlineStr">
        <is>
          <t>UKPN</t>
        </is>
      </c>
      <c r="D112" t="inlineStr">
        <is>
          <t>Ford</t>
        </is>
      </c>
      <c r="E112" t="inlineStr">
        <is>
          <t>Ranger</t>
        </is>
      </c>
      <c r="F112" t="inlineStr">
        <is>
          <t>DE53NKS</t>
        </is>
      </c>
      <c r="G112" t="inlineStr">
        <is>
          <t xml:space="preserve">Dan Gilbert Jay Denkmayer </t>
        </is>
      </c>
      <c r="H112" t="inlineStr">
        <is>
          <t>TipperPickup Truck</t>
        </is>
      </c>
      <c r="I112" t="inlineStr">
        <is>
          <t>Daily/ Weekly Vehicle Inspection</t>
        </is>
      </c>
      <c r="J112" t="inlineStr">
        <is>
          <t>N/A</t>
        </is>
      </c>
      <c r="K112" t="inlineStr">
        <is>
          <t>7186 Eastwoodbury Tree Services Ltd</t>
        </is>
      </c>
      <c r="L112" t="inlineStr">
        <is>
          <t>22/11/2024 14:55</t>
        </is>
      </c>
      <c r="M112" t="inlineStr">
        <is>
          <t>None</t>
        </is>
      </c>
      <c r="N112" t="inlineStr">
        <is>
          <t>&lt;p&gt;&lt;/p&gt;</t>
        </is>
      </c>
      <c r="O112" t="inlineStr"/>
      <c r="P112" t="inlineStr">
        <is>
          <t>Tipper - Ford - Transit - DN61XKJ4x4 - Ford - Ranger - DE53NKS</t>
        </is>
      </c>
      <c r="Q112" t="inlineStr">
        <is>
          <t>UKPN</t>
        </is>
      </c>
      <c r="R112" t="b">
        <v>0</v>
      </c>
    </row>
    <row r="113">
      <c r="A113" t="inlineStr">
        <is>
          <t>23 Nov 2024 / 7186 Eastwoodbury Tree Services Ltd</t>
        </is>
      </c>
      <c r="B113" t="inlineStr">
        <is>
          <t>Utilities &amp; Inland Waterways</t>
        </is>
      </c>
      <c r="C113" t="inlineStr">
        <is>
          <t>UKPN</t>
        </is>
      </c>
      <c r="D113" t="inlineStr">
        <is>
          <t>Ford</t>
        </is>
      </c>
      <c r="E113" t="inlineStr">
        <is>
          <t>Ranger</t>
        </is>
      </c>
      <c r="F113" t="inlineStr">
        <is>
          <t>DE53NKS</t>
        </is>
      </c>
      <c r="G113" t="inlineStr">
        <is>
          <t xml:space="preserve">Tom Price Jay Denkmayer </t>
        </is>
      </c>
      <c r="H113" t="inlineStr">
        <is>
          <t>TipperPickup Truck</t>
        </is>
      </c>
      <c r="I113" t="inlineStr">
        <is>
          <t>Daily/ Weekly Vehicle Inspection</t>
        </is>
      </c>
      <c r="J113" t="inlineStr">
        <is>
          <t>N/A</t>
        </is>
      </c>
      <c r="K113" t="inlineStr">
        <is>
          <t>7186 Eastwoodbury Tree Services Ltd</t>
        </is>
      </c>
      <c r="L113" t="inlineStr">
        <is>
          <t>24/11/2024 14:42</t>
        </is>
      </c>
      <c r="M113" t="inlineStr">
        <is>
          <t>None</t>
        </is>
      </c>
      <c r="N113" t="inlineStr">
        <is>
          <t>&lt;p&gt;&lt;/p&gt;</t>
        </is>
      </c>
      <c r="O113" t="inlineStr"/>
      <c r="P113" t="inlineStr">
        <is>
          <t>Tipper - Ford - Transit - DN61XKJ4x4 - Ford - Ranger - DE53NKS</t>
        </is>
      </c>
      <c r="Q113" t="inlineStr">
        <is>
          <t>UKPN</t>
        </is>
      </c>
      <c r="R113" t="b">
        <v>0</v>
      </c>
    </row>
    <row r="114">
      <c r="A114" t="inlineStr">
        <is>
          <t>26 Nov 2024 / 3098 D &amp; R Landscapes (PEND Arb Rail)</t>
        </is>
      </c>
      <c r="B114" t="inlineStr">
        <is>
          <t>Utilities &amp; Inland Waterways</t>
        </is>
      </c>
      <c r="C114" t="inlineStr">
        <is>
          <t>UKPN</t>
        </is>
      </c>
      <c r="D114" t="inlineStr">
        <is>
          <t>Isuzu</t>
        </is>
      </c>
      <c r="E114" t="inlineStr">
        <is>
          <t>Grafter</t>
        </is>
      </c>
      <c r="F114" t="inlineStr">
        <is>
          <t>DE68XHA</t>
        </is>
      </c>
      <c r="G114" t="inlineStr">
        <is>
          <t xml:space="preserve">Jason Mccloy </t>
        </is>
      </c>
      <c r="H114" t="inlineStr">
        <is>
          <t>Tipper</t>
        </is>
      </c>
      <c r="I114" t="inlineStr">
        <is>
          <t>Daily/ Weekly Vehicle Inspection</t>
        </is>
      </c>
      <c r="J114" t="inlineStr">
        <is>
          <t>N/A</t>
        </is>
      </c>
      <c r="K114" t="inlineStr">
        <is>
          <t>3098 D &amp; R Landscapes (PEND Arb Rail)</t>
        </is>
      </c>
      <c r="L114" t="inlineStr">
        <is>
          <t>26/11/2024 14:42</t>
        </is>
      </c>
      <c r="M114" t="inlineStr">
        <is>
          <t>None</t>
        </is>
      </c>
      <c r="N114" t="inlineStr">
        <is>
          <t>&lt;p&gt;&lt;/p&gt;</t>
        </is>
      </c>
      <c r="O114" t="inlineStr"/>
      <c r="P114" t="inlineStr">
        <is>
          <t>Tipper - Isuzu - Grafter - DE68 XHA</t>
        </is>
      </c>
      <c r="Q114" t="inlineStr">
        <is>
          <t>UKPN</t>
        </is>
      </c>
      <c r="R114" t="b">
        <v>0</v>
      </c>
    </row>
    <row r="115">
      <c r="A115" t="inlineStr">
        <is>
          <t>26 Nov 2024 / 6617 Ashdown Tree Limited</t>
        </is>
      </c>
      <c r="B115" t="inlineStr">
        <is>
          <t>Utilities &amp; Inland Waterways</t>
        </is>
      </c>
      <c r="C115" t="inlineStr">
        <is>
          <t>UKPN</t>
        </is>
      </c>
      <c r="D115" t="inlineStr">
        <is>
          <t>Ford</t>
        </is>
      </c>
      <c r="E115" t="inlineStr">
        <is>
          <t>Transit</t>
        </is>
      </c>
      <c r="F115" t="inlineStr">
        <is>
          <t>FE11BUT</t>
        </is>
      </c>
      <c r="G115" t="inlineStr">
        <is>
          <t>Ashley HorwoodFrancis lesser</t>
        </is>
      </c>
      <c r="H115" t="inlineStr">
        <is>
          <t>4x4Tipper</t>
        </is>
      </c>
      <c r="I115" t="inlineStr">
        <is>
          <t>Daily/ Weekly Vehicle Inspection</t>
        </is>
      </c>
      <c r="J115" t="inlineStr">
        <is>
          <t>N/A</t>
        </is>
      </c>
      <c r="K115" t="inlineStr">
        <is>
          <t>6617 Ashdown Tree Limited</t>
        </is>
      </c>
      <c r="L115" t="inlineStr">
        <is>
          <t>26/11/2024 14:44</t>
        </is>
      </c>
      <c r="M115" t="inlineStr">
        <is>
          <t>None</t>
        </is>
      </c>
      <c r="N115" t="inlineStr">
        <is>
          <t>&lt;p&gt;&lt;/p&gt;</t>
        </is>
      </c>
      <c r="O115" t="inlineStr"/>
      <c r="P115" t="inlineStr">
        <is>
          <t>Vehicle - Land Rover - Discovery  - WF11 EJJTipper - Ford - Transit - FE11 BUT</t>
        </is>
      </c>
      <c r="Q115" t="inlineStr">
        <is>
          <t>UKPN</t>
        </is>
      </c>
      <c r="R115" t="b">
        <v>0</v>
      </c>
    </row>
    <row r="116">
      <c r="A116" t="inlineStr">
        <is>
          <t>26 Nov 2024 / 7800 MAC Trees and Fencing Ltd</t>
        </is>
      </c>
      <c r="B116" t="inlineStr">
        <is>
          <t>Utilities &amp; Inland Waterways</t>
        </is>
      </c>
      <c r="C116" t="inlineStr">
        <is>
          <t>UKPN</t>
        </is>
      </c>
      <c r="D116" t="inlineStr">
        <is>
          <t>Izuzu</t>
        </is>
      </c>
      <c r="E116" t="inlineStr">
        <is>
          <t>Dmax</t>
        </is>
      </c>
      <c r="F116" t="inlineStr">
        <is>
          <t>Ay68daa</t>
        </is>
      </c>
      <c r="G116" t="inlineStr">
        <is>
          <t>Lewis mac Lewis mac</t>
        </is>
      </c>
      <c r="H116" t="inlineStr">
        <is>
          <t>4x4Towed Chipper</t>
        </is>
      </c>
      <c r="I116" t="inlineStr">
        <is>
          <t>Daily/ Weekly Vehicle Inspection</t>
        </is>
      </c>
      <c r="J116" t="inlineStr">
        <is>
          <t>N/A</t>
        </is>
      </c>
      <c r="K116" t="inlineStr">
        <is>
          <t>7800 MAC Trees and Fencing Ltd</t>
        </is>
      </c>
      <c r="L116" t="inlineStr">
        <is>
          <t>26/11/2024 14:45</t>
        </is>
      </c>
      <c r="M116" t="inlineStr">
        <is>
          <t>None</t>
        </is>
      </c>
      <c r="N116" t="inlineStr">
        <is>
          <t>&lt;p&gt;&lt;/p&gt;</t>
        </is>
      </c>
      <c r="O116" t="inlineStr"/>
      <c r="P116" t="inlineStr">
        <is>
          <t>4x4 - Izuzu - Dmax - Ay68 daaTow Chipper - Timberwolf - TW150 - 205143043-a1</t>
        </is>
      </c>
      <c r="Q116" t="inlineStr">
        <is>
          <t>UKPN</t>
        </is>
      </c>
      <c r="R116" t="b">
        <v>0</v>
      </c>
    </row>
    <row r="117">
      <c r="A117" t="inlineStr">
        <is>
          <t>26 Nov 2024 / 7126 Maple Tree Surgery and Landscapes Ltd</t>
        </is>
      </c>
      <c r="B117" t="inlineStr">
        <is>
          <t>Utilities &amp; Inland Waterways</t>
        </is>
      </c>
      <c r="C117" t="inlineStr">
        <is>
          <t>UKPN</t>
        </is>
      </c>
      <c r="D117" t="inlineStr">
        <is>
          <t>Land Rover</t>
        </is>
      </c>
      <c r="E117" t="inlineStr">
        <is>
          <t xml:space="preserve">Discovery </t>
        </is>
      </c>
      <c r="F117" t="inlineStr">
        <is>
          <t>SJ55HMZ</t>
        </is>
      </c>
      <c r="G117" t="inlineStr">
        <is>
          <t>TimTim</t>
        </is>
      </c>
      <c r="H117" t="inlineStr">
        <is>
          <t>4x4Towed Chipper</t>
        </is>
      </c>
      <c r="I117" t="inlineStr">
        <is>
          <t>Daily/ Weekly Vehicle Inspection</t>
        </is>
      </c>
      <c r="J117" t="inlineStr">
        <is>
          <t>N/A</t>
        </is>
      </c>
      <c r="K117" t="inlineStr">
        <is>
          <t>7126 Maple Tree Surgery and Landscapes Ltd</t>
        </is>
      </c>
      <c r="L117" t="inlineStr">
        <is>
          <t>26/11/2024 14:46</t>
        </is>
      </c>
      <c r="M117" t="inlineStr">
        <is>
          <t>None</t>
        </is>
      </c>
      <c r="N117" t="inlineStr">
        <is>
          <t>&lt;p&gt;&lt;/p&gt;</t>
        </is>
      </c>
      <c r="O117" t="inlineStr"/>
      <c r="P117" t="inlineStr">
        <is>
          <t>Vehicle - Land Rover - Discovery  - SJ55 HMZTow Chipper - Timberwolf - TW150DBH - 210143089-a6</t>
        </is>
      </c>
      <c r="Q117" t="inlineStr">
        <is>
          <t>UKPN</t>
        </is>
      </c>
      <c r="R117" t="b">
        <v>0</v>
      </c>
    </row>
    <row r="118">
      <c r="A118" t="inlineStr">
        <is>
          <t>26 Nov 2024 / 7186 Eastwoodbury Tree Services Ltd</t>
        </is>
      </c>
      <c r="B118" t="inlineStr">
        <is>
          <t>Utilities &amp; Inland Waterways</t>
        </is>
      </c>
      <c r="C118" t="inlineStr">
        <is>
          <t>UKPN</t>
        </is>
      </c>
      <c r="D118" t="inlineStr">
        <is>
          <t>Ford</t>
        </is>
      </c>
      <c r="E118" t="inlineStr">
        <is>
          <t>Ranger</t>
        </is>
      </c>
      <c r="F118" t="inlineStr">
        <is>
          <t>DE53NKS</t>
        </is>
      </c>
      <c r="G118" t="inlineStr">
        <is>
          <t>Jay</t>
        </is>
      </c>
      <c r="H118" t="inlineStr"/>
      <c r="I118" t="inlineStr">
        <is>
          <t>Daily/ Weekly Vehicle Inspection</t>
        </is>
      </c>
      <c r="J118" t="inlineStr">
        <is>
          <t>N/A</t>
        </is>
      </c>
      <c r="K118" t="inlineStr">
        <is>
          <t>7186 Eastwoodbury Tree Services Ltd</t>
        </is>
      </c>
      <c r="L118" t="inlineStr">
        <is>
          <t>26/11/2024 14:47</t>
        </is>
      </c>
      <c r="M118" t="inlineStr">
        <is>
          <t>None</t>
        </is>
      </c>
      <c r="N118" t="inlineStr">
        <is>
          <t>&lt;p&gt;&lt;/p&gt;</t>
        </is>
      </c>
      <c r="O118" t="inlineStr"/>
      <c r="P118" t="inlineStr">
        <is>
          <t>4x4 - Ford - Ranger - DE53NKS</t>
        </is>
      </c>
      <c r="Q118" t="inlineStr">
        <is>
          <t>UKPN</t>
        </is>
      </c>
      <c r="R118" t="b">
        <v>0</v>
      </c>
    </row>
    <row r="119">
      <c r="A119" t="inlineStr">
        <is>
          <t>26 Nov 2024 / 7889 Tree Tech Suffolk Ltd</t>
        </is>
      </c>
      <c r="B119" t="inlineStr">
        <is>
          <t>Utilities &amp; Inland Waterways</t>
        </is>
      </c>
      <c r="C119" t="inlineStr">
        <is>
          <t>UKPN</t>
        </is>
      </c>
      <c r="D119" t="inlineStr">
        <is>
          <t>Isuzu</t>
        </is>
      </c>
      <c r="E119" t="inlineStr">
        <is>
          <t>D-max</t>
        </is>
      </c>
      <c r="F119" t="inlineStr">
        <is>
          <t>NS03TTS</t>
        </is>
      </c>
      <c r="G119" t="inlineStr">
        <is>
          <t xml:space="preserve">Danny Appleby Danny Appleby </t>
        </is>
      </c>
      <c r="H119" t="inlineStr">
        <is>
          <t>4x4Towed Chipper</t>
        </is>
      </c>
      <c r="I119" t="inlineStr">
        <is>
          <t>Daily/ Weekly Vehicle Inspection</t>
        </is>
      </c>
      <c r="J119" t="inlineStr">
        <is>
          <t>N/A</t>
        </is>
      </c>
      <c r="K119" t="inlineStr">
        <is>
          <t>7889 Tree Tech Suffolk Ltd</t>
        </is>
      </c>
      <c r="L119" t="inlineStr">
        <is>
          <t>26/11/2024 14:48</t>
        </is>
      </c>
      <c r="M119" t="inlineStr">
        <is>
          <t>None</t>
        </is>
      </c>
      <c r="N119" t="inlineStr">
        <is>
          <t>&lt;p&gt;&lt;/p&gt;</t>
        </is>
      </c>
      <c r="O119" t="inlineStr"/>
      <c r="P119" t="inlineStr">
        <is>
          <t>4x4 - Isuzu - D-max - NS03 TTSTow Chipper - Jenson - A530L - 5521063948</t>
        </is>
      </c>
      <c r="Q119" t="inlineStr">
        <is>
          <t>UKPN</t>
        </is>
      </c>
      <c r="R119" t="b">
        <v>0</v>
      </c>
    </row>
    <row r="120">
      <c r="A120" t="inlineStr">
        <is>
          <t>25 Nov 2024 / 7800 MAC Trees and Fencing Ltd</t>
        </is>
      </c>
      <c r="B120" t="inlineStr">
        <is>
          <t>Utilities &amp; Inland Waterways</t>
        </is>
      </c>
      <c r="C120" t="inlineStr">
        <is>
          <t>UKPN</t>
        </is>
      </c>
      <c r="D120" t="inlineStr">
        <is>
          <t>Izuzu</t>
        </is>
      </c>
      <c r="E120" t="inlineStr">
        <is>
          <t>Dmax</t>
        </is>
      </c>
      <c r="F120" t="inlineStr">
        <is>
          <t>AY68DAA</t>
        </is>
      </c>
      <c r="G120" t="inlineStr">
        <is>
          <t>Lewis mac</t>
        </is>
      </c>
      <c r="H120" t="inlineStr">
        <is>
          <t>Towed Chipper</t>
        </is>
      </c>
      <c r="I120" t="inlineStr">
        <is>
          <t>Daily/ Weekly Vehicle Inspection</t>
        </is>
      </c>
      <c r="J120" t="inlineStr">
        <is>
          <t>N/A</t>
        </is>
      </c>
      <c r="K120" t="inlineStr">
        <is>
          <t>7800 MAC Trees and Fencing Ltd</t>
        </is>
      </c>
      <c r="L120" t="inlineStr">
        <is>
          <t>26/11/2024 14:48</t>
        </is>
      </c>
      <c r="M120" t="inlineStr">
        <is>
          <t>None</t>
        </is>
      </c>
      <c r="N120" t="inlineStr">
        <is>
          <t>&lt;p&gt;&lt;/p&gt;</t>
        </is>
      </c>
      <c r="O120" t="inlineStr"/>
      <c r="P120" t="inlineStr">
        <is>
          <t>Tow Chipper - Timberwolf - TW150 - 205143043-a1</t>
        </is>
      </c>
      <c r="Q120" t="inlineStr">
        <is>
          <t>UKPN</t>
        </is>
      </c>
      <c r="R120" t="b">
        <v>0</v>
      </c>
    </row>
    <row r="121">
      <c r="A121" t="inlineStr">
        <is>
          <t>25 Nov 2024 / 3098 D &amp; R Landscapes (PEND Arb Rail)</t>
        </is>
      </c>
      <c r="B121" t="inlineStr">
        <is>
          <t>Utilities &amp; Inland Waterways</t>
        </is>
      </c>
      <c r="C121" t="inlineStr">
        <is>
          <t>UKPN</t>
        </is>
      </c>
      <c r="D121" t="inlineStr">
        <is>
          <t>Isuzu</t>
        </is>
      </c>
      <c r="E121" t="inlineStr">
        <is>
          <t>Grafter</t>
        </is>
      </c>
      <c r="F121" t="inlineStr">
        <is>
          <t>DE68XHA</t>
        </is>
      </c>
      <c r="G121" t="inlineStr">
        <is>
          <t>Jason MCCLOY</t>
        </is>
      </c>
      <c r="H121" t="inlineStr">
        <is>
          <t>Tipper</t>
        </is>
      </c>
      <c r="I121" t="inlineStr">
        <is>
          <t>Daily/ Weekly Vehicle Inspection</t>
        </is>
      </c>
      <c r="J121" t="inlineStr">
        <is>
          <t>N/A</t>
        </is>
      </c>
      <c r="K121" t="inlineStr">
        <is>
          <t>3098 D &amp; R Landscapes (PEND Arb Rail)</t>
        </is>
      </c>
      <c r="L121" t="inlineStr">
        <is>
          <t>26/11/2024 14:49</t>
        </is>
      </c>
      <c r="M121" t="inlineStr">
        <is>
          <t>None</t>
        </is>
      </c>
      <c r="N121" t="inlineStr">
        <is>
          <t>&lt;p&gt;&lt;/p&gt;</t>
        </is>
      </c>
      <c r="O121" t="inlineStr"/>
      <c r="P121" t="inlineStr">
        <is>
          <t>Tipper - Isuzu - Grafter - DE68 XHA</t>
        </is>
      </c>
      <c r="Q121" t="inlineStr">
        <is>
          <t>UKPN</t>
        </is>
      </c>
      <c r="R121" t="b">
        <v>0</v>
      </c>
    </row>
    <row r="122">
      <c r="A122" t="inlineStr">
        <is>
          <t>25 Nov 2024 / 6617 Ashdown Tree Limited</t>
        </is>
      </c>
      <c r="B122" t="inlineStr">
        <is>
          <t>Utilities &amp; Inland Waterways</t>
        </is>
      </c>
      <c r="C122" t="inlineStr">
        <is>
          <t>UKPN</t>
        </is>
      </c>
      <c r="D122" t="inlineStr">
        <is>
          <t>Land Rover</t>
        </is>
      </c>
      <c r="E122" t="inlineStr">
        <is>
          <t>Defender</t>
        </is>
      </c>
      <c r="F122" t="inlineStr">
        <is>
          <t>GU11LKD</t>
        </is>
      </c>
      <c r="G122" t="inlineStr">
        <is>
          <t>Francis LesserFrancis Lesser</t>
        </is>
      </c>
      <c r="H122" t="inlineStr">
        <is>
          <t>4x4Towed Chipper</t>
        </is>
      </c>
      <c r="I122" t="inlineStr">
        <is>
          <t>Daily/ Weekly Vehicle Inspection</t>
        </is>
      </c>
      <c r="J122" t="inlineStr">
        <is>
          <t>N/A</t>
        </is>
      </c>
      <c r="K122" t="inlineStr">
        <is>
          <t>6617 Ashdown Tree Limited</t>
        </is>
      </c>
      <c r="L122" t="inlineStr">
        <is>
          <t>26/11/2024 14:50</t>
        </is>
      </c>
      <c r="M122" t="inlineStr">
        <is>
          <t>None</t>
        </is>
      </c>
      <c r="N122" t="inlineStr">
        <is>
          <t>&lt;p&gt;&lt;/p&gt;</t>
        </is>
      </c>
      <c r="O122" t="inlineStr"/>
      <c r="P122" t="inlineStr">
        <is>
          <t>4x4 - Land Rover - Defender - GU11 LKDTow Chipper - Timberwolf - TW230DHB - SBCTW 35A6LS209060</t>
        </is>
      </c>
      <c r="Q122" t="inlineStr">
        <is>
          <t>UKPN</t>
        </is>
      </c>
      <c r="R122" t="b">
        <v>0</v>
      </c>
    </row>
    <row r="123">
      <c r="A123" t="inlineStr">
        <is>
          <t>25 Nov 2024 / 7800 MAC Trees and Fencing Ltd</t>
        </is>
      </c>
      <c r="B123" t="inlineStr">
        <is>
          <t>Utilities &amp; Inland Waterways</t>
        </is>
      </c>
      <c r="C123" t="inlineStr">
        <is>
          <t>UKPN</t>
        </is>
      </c>
      <c r="D123" t="inlineStr">
        <is>
          <t>Izuzu</t>
        </is>
      </c>
      <c r="E123" t="inlineStr">
        <is>
          <t>Dmax</t>
        </is>
      </c>
      <c r="F123" t="inlineStr">
        <is>
          <t>AY68DAA</t>
        </is>
      </c>
      <c r="G123" t="inlineStr">
        <is>
          <t xml:space="preserve">Lewis mac </t>
        </is>
      </c>
      <c r="H123" t="inlineStr">
        <is>
          <t>4x4</t>
        </is>
      </c>
      <c r="I123" t="inlineStr">
        <is>
          <t>Daily/ Weekly Vehicle Inspection</t>
        </is>
      </c>
      <c r="J123" t="inlineStr">
        <is>
          <t>N/A</t>
        </is>
      </c>
      <c r="K123" t="inlineStr">
        <is>
          <t>7800 MAC Trees and Fencing Ltd</t>
        </is>
      </c>
      <c r="L123" t="inlineStr">
        <is>
          <t>26/11/2024 14:51</t>
        </is>
      </c>
      <c r="M123" t="inlineStr">
        <is>
          <t>None</t>
        </is>
      </c>
      <c r="N123" t="inlineStr">
        <is>
          <t>&lt;p&gt;&lt;/p&gt;</t>
        </is>
      </c>
      <c r="O123" t="inlineStr"/>
      <c r="P123" t="inlineStr">
        <is>
          <t>4x4 - Izuzu - Dmax - Ay68 daa</t>
        </is>
      </c>
      <c r="Q123" t="inlineStr">
        <is>
          <t>UKPN</t>
        </is>
      </c>
      <c r="R123" t="b">
        <v>0</v>
      </c>
    </row>
    <row r="124">
      <c r="A124" t="inlineStr">
        <is>
          <t>25 Nov 2024 / 7126 Maple Tree Surgery and Landscapes Ltd</t>
        </is>
      </c>
      <c r="B124" t="inlineStr">
        <is>
          <t>Utilities &amp; Inland Waterways</t>
        </is>
      </c>
      <c r="C124" t="inlineStr">
        <is>
          <t>UKPN</t>
        </is>
      </c>
      <c r="D124" t="inlineStr">
        <is>
          <t>Land Rover</t>
        </is>
      </c>
      <c r="E124" t="inlineStr">
        <is>
          <t xml:space="preserve">Discovery </t>
        </is>
      </c>
      <c r="F124" t="inlineStr">
        <is>
          <t>SJ55HMZ</t>
        </is>
      </c>
      <c r="G124" t="inlineStr">
        <is>
          <t>TimTim</t>
        </is>
      </c>
      <c r="H124" t="inlineStr">
        <is>
          <t>4x4Towed Chipper</t>
        </is>
      </c>
      <c r="I124" t="inlineStr">
        <is>
          <t>Daily/ Weekly Vehicle Inspection</t>
        </is>
      </c>
      <c r="J124" t="inlineStr">
        <is>
          <t>N/A</t>
        </is>
      </c>
      <c r="K124" t="inlineStr">
        <is>
          <t>7126 Maple Tree Surgery and Landscapes Ltd</t>
        </is>
      </c>
      <c r="L124" t="inlineStr">
        <is>
          <t>26/11/2024 14:52</t>
        </is>
      </c>
      <c r="M124" t="inlineStr">
        <is>
          <t>None</t>
        </is>
      </c>
      <c r="N124" t="inlineStr">
        <is>
          <t>&lt;p&gt;&lt;/p&gt;</t>
        </is>
      </c>
      <c r="O124" t="inlineStr"/>
      <c r="P124" t="inlineStr">
        <is>
          <t>Vehicle - Land Rover - Discovery  - SJ55 HMZTow Chipper - Timberwolf - TW150DBH - 210143089-a6</t>
        </is>
      </c>
      <c r="Q124" t="inlineStr">
        <is>
          <t>UKPN</t>
        </is>
      </c>
      <c r="R124" t="b">
        <v>0</v>
      </c>
    </row>
    <row r="125">
      <c r="A125" t="inlineStr">
        <is>
          <t>28 Nov 2024 / 7186 Eastwoodbury Tree Services Ltd</t>
        </is>
      </c>
      <c r="B125" t="inlineStr">
        <is>
          <t>Utilities &amp; Inland Waterways</t>
        </is>
      </c>
      <c r="C125" t="inlineStr">
        <is>
          <t>UKPN</t>
        </is>
      </c>
      <c r="D125" t="inlineStr">
        <is>
          <t xml:space="preserve">Santana </t>
        </is>
      </c>
      <c r="E125" t="inlineStr">
        <is>
          <t>Ps10</t>
        </is>
      </c>
      <c r="F125" t="inlineStr">
        <is>
          <t>AO57BPF</t>
        </is>
      </c>
      <c r="G125" t="inlineStr">
        <is>
          <t>Dan</t>
        </is>
      </c>
      <c r="H125" t="inlineStr">
        <is>
          <t>4x4</t>
        </is>
      </c>
      <c r="I125" t="inlineStr">
        <is>
          <t>Daily/ Weekly Vehicle Inspection</t>
        </is>
      </c>
      <c r="J125" t="inlineStr">
        <is>
          <t>N/A</t>
        </is>
      </c>
      <c r="K125" t="inlineStr">
        <is>
          <t>7186 Eastwoodbury Tree Services Ltd</t>
        </is>
      </c>
      <c r="L125" t="inlineStr">
        <is>
          <t>28/11/2024 14:42</t>
        </is>
      </c>
      <c r="M125" t="inlineStr">
        <is>
          <t>None</t>
        </is>
      </c>
      <c r="N125" t="inlineStr">
        <is>
          <t>&lt;p&gt;&lt;/p&gt;</t>
        </is>
      </c>
      <c r="O125" t="inlineStr"/>
      <c r="P125" t="inlineStr">
        <is>
          <t>4x4 - Santana  - Ps10 - AO57 BPF</t>
        </is>
      </c>
      <c r="Q125" t="inlineStr">
        <is>
          <t>UKPN</t>
        </is>
      </c>
      <c r="R125" t="b">
        <v>0</v>
      </c>
    </row>
    <row r="126">
      <c r="A126" t="inlineStr">
        <is>
          <t>28 Nov 2024 / 7889 Tree Tech Suffolk Ltd</t>
        </is>
      </c>
      <c r="B126" t="inlineStr">
        <is>
          <t>Utilities &amp; Inland Waterways</t>
        </is>
      </c>
      <c r="C126" t="inlineStr">
        <is>
          <t>UKPN</t>
        </is>
      </c>
      <c r="D126" t="inlineStr">
        <is>
          <t>Isuzu</t>
        </is>
      </c>
      <c r="E126" t="inlineStr">
        <is>
          <t>D-max</t>
        </is>
      </c>
      <c r="F126" t="inlineStr">
        <is>
          <t>NS03TTS</t>
        </is>
      </c>
      <c r="G126" t="inlineStr">
        <is>
          <t xml:space="preserve">Nikki sparrow Nikki sparrow </t>
        </is>
      </c>
      <c r="H126" t="inlineStr">
        <is>
          <t>4x4Towed Chipper</t>
        </is>
      </c>
      <c r="I126" t="inlineStr">
        <is>
          <t>Daily/ Weekly Vehicle Inspection</t>
        </is>
      </c>
      <c r="J126" t="inlineStr">
        <is>
          <t>N/A</t>
        </is>
      </c>
      <c r="K126" t="inlineStr">
        <is>
          <t>7889 Tree Tech Suffolk Ltd</t>
        </is>
      </c>
      <c r="L126" t="inlineStr">
        <is>
          <t>28/11/2024 14:43</t>
        </is>
      </c>
      <c r="M126" t="inlineStr">
        <is>
          <t>None</t>
        </is>
      </c>
      <c r="N126" t="inlineStr">
        <is>
          <t>&lt;p&gt;&lt;/p&gt;</t>
        </is>
      </c>
      <c r="O126" t="inlineStr"/>
      <c r="P126" t="inlineStr">
        <is>
          <t>4x4 - Isuzu - D-max - NS03 TTSTow Chipper - Jenson - A530L - 5521063948</t>
        </is>
      </c>
      <c r="Q126" t="inlineStr">
        <is>
          <t>UKPN</t>
        </is>
      </c>
      <c r="R126" t="b">
        <v>0</v>
      </c>
    </row>
    <row r="127">
      <c r="A127" t="inlineStr">
        <is>
          <t>28 Nov 2024 / 7800 MAC Trees and Fencing Ltd</t>
        </is>
      </c>
      <c r="B127" t="inlineStr">
        <is>
          <t>Utilities &amp; Inland Waterways</t>
        </is>
      </c>
      <c r="C127" t="inlineStr">
        <is>
          <t>UKPN</t>
        </is>
      </c>
      <c r="D127" t="inlineStr">
        <is>
          <t>Izuzu</t>
        </is>
      </c>
      <c r="E127" t="inlineStr">
        <is>
          <t>Dmax</t>
        </is>
      </c>
      <c r="F127" t="inlineStr">
        <is>
          <t>Ay68daa</t>
        </is>
      </c>
      <c r="G127" t="inlineStr">
        <is>
          <t xml:space="preserve">Lewis mac Lewis mac </t>
        </is>
      </c>
      <c r="H127" t="inlineStr">
        <is>
          <t>4x4Towed Chipper</t>
        </is>
      </c>
      <c r="I127" t="inlineStr">
        <is>
          <t>Daily/ Weekly Vehicle Inspection</t>
        </is>
      </c>
      <c r="J127" t="inlineStr">
        <is>
          <t>N/A</t>
        </is>
      </c>
      <c r="K127" t="inlineStr">
        <is>
          <t>7800 MAC Trees and Fencing Ltd</t>
        </is>
      </c>
      <c r="L127" t="inlineStr">
        <is>
          <t>28/11/2024 14:44</t>
        </is>
      </c>
      <c r="M127" t="inlineStr">
        <is>
          <t>None</t>
        </is>
      </c>
      <c r="N127" t="inlineStr">
        <is>
          <t>&lt;p&gt;&lt;/p&gt;</t>
        </is>
      </c>
      <c r="O127" t="inlineStr"/>
      <c r="P127" t="inlineStr">
        <is>
          <t>4x4 - Izuzu - Dmax - Ay68 daaTow Chipper - Timberwolf - TW150 - 205143043-a1</t>
        </is>
      </c>
      <c r="Q127" t="inlineStr">
        <is>
          <t>UKPN</t>
        </is>
      </c>
      <c r="R127" t="b">
        <v>0</v>
      </c>
    </row>
    <row r="128">
      <c r="A128" t="inlineStr">
        <is>
          <t>28 Nov 2024 / 7126 Maple Tree Surgery and Landscapes Ltd</t>
        </is>
      </c>
      <c r="B128" t="inlineStr">
        <is>
          <t>Utilities &amp; Inland Waterways</t>
        </is>
      </c>
      <c r="C128" t="inlineStr">
        <is>
          <t>UKPN</t>
        </is>
      </c>
      <c r="D128" t="inlineStr">
        <is>
          <t>Land Rover</t>
        </is>
      </c>
      <c r="E128" t="inlineStr">
        <is>
          <t xml:space="preserve">Discovery </t>
        </is>
      </c>
      <c r="F128" t="inlineStr">
        <is>
          <t>SJ55HMZ</t>
        </is>
      </c>
      <c r="G128" t="inlineStr">
        <is>
          <t>TimTim</t>
        </is>
      </c>
      <c r="H128" t="inlineStr">
        <is>
          <t>4x4Towed Chipper</t>
        </is>
      </c>
      <c r="I128" t="inlineStr">
        <is>
          <t>Daily/ Weekly Vehicle Inspection</t>
        </is>
      </c>
      <c r="J128" t="inlineStr">
        <is>
          <t>N/A</t>
        </is>
      </c>
      <c r="K128" t="inlineStr">
        <is>
          <t>7126 Maple Tree Surgery and Landscapes Ltd</t>
        </is>
      </c>
      <c r="L128" t="inlineStr">
        <is>
          <t>28/11/2024 14:45</t>
        </is>
      </c>
      <c r="M128" t="inlineStr">
        <is>
          <t>None</t>
        </is>
      </c>
      <c r="N128" t="inlineStr">
        <is>
          <t>&lt;p&gt;&lt;/p&gt;</t>
        </is>
      </c>
      <c r="O128" t="inlineStr"/>
      <c r="P128" t="inlineStr">
        <is>
          <t>Vehicle - Land Rover - Discovery  - SJ55 HMZTow Chipper - Timberwolf - TW150DBH - 210143089-a6</t>
        </is>
      </c>
      <c r="Q128" t="inlineStr">
        <is>
          <t>UKPN</t>
        </is>
      </c>
      <c r="R128" t="b">
        <v>0</v>
      </c>
    </row>
    <row r="129">
      <c r="A129" t="inlineStr">
        <is>
          <t>28 Nov 2024 / 6617 Ashdown Tree Limited</t>
        </is>
      </c>
      <c r="B129" t="inlineStr">
        <is>
          <t>Utilities &amp; Inland Waterways</t>
        </is>
      </c>
      <c r="C129" t="inlineStr">
        <is>
          <t>UKPN</t>
        </is>
      </c>
      <c r="D129" t="inlineStr">
        <is>
          <t xml:space="preserve">Land rover </t>
        </is>
      </c>
      <c r="E129" t="inlineStr">
        <is>
          <t xml:space="preserve">Defender mewp </t>
        </is>
      </c>
      <c r="F129" t="inlineStr">
        <is>
          <t>TR55TUB</t>
        </is>
      </c>
      <c r="G129" t="inlineStr">
        <is>
          <t>AshleyFrancis</t>
        </is>
      </c>
      <c r="H129" t="inlineStr">
        <is>
          <t>4x44x4</t>
        </is>
      </c>
      <c r="I129" t="inlineStr">
        <is>
          <t>Daily/ Weekly Vehicle Inspection</t>
        </is>
      </c>
      <c r="J129" t="inlineStr">
        <is>
          <t>N/A</t>
        </is>
      </c>
      <c r="K129" t="inlineStr">
        <is>
          <t>6617 Ashdown Tree Limited</t>
        </is>
      </c>
      <c r="L129" t="inlineStr">
        <is>
          <t>28/11/2024 14:46</t>
        </is>
      </c>
      <c r="M129" t="inlineStr">
        <is>
          <t>None</t>
        </is>
      </c>
      <c r="N129" t="inlineStr">
        <is>
          <t>&lt;p&gt;&lt;/p&gt;</t>
        </is>
      </c>
      <c r="O129" t="inlineStr"/>
      <c r="P129" t="inlineStr">
        <is>
          <t>Vehicle - Land Rover - Discovery  - WF11 EJJ4x4 - Land rover  - Defender mewp  - TR55 tub</t>
        </is>
      </c>
      <c r="Q129" t="inlineStr">
        <is>
          <t>UKPN</t>
        </is>
      </c>
      <c r="R129" t="b">
        <v>0</v>
      </c>
    </row>
    <row r="130">
      <c r="A130" t="inlineStr">
        <is>
          <t>27 Nov 2024 / 3098 D &amp; R Landscapes (PEND Arb Rail)</t>
        </is>
      </c>
      <c r="B130" t="inlineStr">
        <is>
          <t>Utilities &amp; Inland Waterways</t>
        </is>
      </c>
      <c r="C130" t="inlineStr">
        <is>
          <t>UKPN</t>
        </is>
      </c>
      <c r="D130" t="inlineStr">
        <is>
          <t>Isuzu</t>
        </is>
      </c>
      <c r="E130" t="inlineStr">
        <is>
          <t>Grafter</t>
        </is>
      </c>
      <c r="F130" t="inlineStr">
        <is>
          <t>DE68XHA</t>
        </is>
      </c>
      <c r="G130" t="inlineStr">
        <is>
          <t xml:space="preserve">Jason MCCLOY </t>
        </is>
      </c>
      <c r="H130" t="inlineStr"/>
      <c r="I130" t="inlineStr">
        <is>
          <t>Daily/ Weekly Vehicle Inspection</t>
        </is>
      </c>
      <c r="J130" t="inlineStr">
        <is>
          <t>N/A</t>
        </is>
      </c>
      <c r="K130" t="inlineStr">
        <is>
          <t>3098 D &amp; R Landscapes (PEND Arb Rail)</t>
        </is>
      </c>
      <c r="L130" t="inlineStr">
        <is>
          <t>28/11/2024 14:47</t>
        </is>
      </c>
      <c r="M130" t="inlineStr">
        <is>
          <t>None</t>
        </is>
      </c>
      <c r="N130" t="inlineStr">
        <is>
          <t>&lt;p&gt;&lt;/p&gt;</t>
        </is>
      </c>
      <c r="O130" t="inlineStr"/>
      <c r="P130" t="inlineStr">
        <is>
          <t>Tipper - Isuzu - Grafter - DE68 XHA</t>
        </is>
      </c>
      <c r="Q130" t="inlineStr">
        <is>
          <t>UKPN</t>
        </is>
      </c>
      <c r="R130" t="b">
        <v>0</v>
      </c>
    </row>
    <row r="131">
      <c r="A131" t="inlineStr">
        <is>
          <t>27 Nov 2024 / 7126 Maple Tree Surgery and Landscapes Ltd</t>
        </is>
      </c>
      <c r="B131" t="inlineStr">
        <is>
          <t>Utilities &amp; Inland Waterways</t>
        </is>
      </c>
      <c r="C131" t="inlineStr">
        <is>
          <t>UKPN</t>
        </is>
      </c>
      <c r="D131" t="inlineStr">
        <is>
          <t>Land Rover</t>
        </is>
      </c>
      <c r="E131" t="inlineStr">
        <is>
          <t xml:space="preserve">Discovery </t>
        </is>
      </c>
      <c r="F131" t="inlineStr">
        <is>
          <t>SJ55HMZ</t>
        </is>
      </c>
      <c r="G131" t="inlineStr">
        <is>
          <t>Tim brownTim brown</t>
        </is>
      </c>
      <c r="H131" t="inlineStr">
        <is>
          <t>4x4Towed Chipper</t>
        </is>
      </c>
      <c r="I131" t="inlineStr">
        <is>
          <t>Daily/ Weekly Vehicle Inspection</t>
        </is>
      </c>
      <c r="J131" t="inlineStr">
        <is>
          <t>N/A</t>
        </is>
      </c>
      <c r="K131" t="inlineStr">
        <is>
          <t>7126 Maple Tree Surgery and Landscapes Ltd</t>
        </is>
      </c>
      <c r="L131" t="inlineStr">
        <is>
          <t>28/11/2024 14:48</t>
        </is>
      </c>
      <c r="M131" t="inlineStr">
        <is>
          <t>None</t>
        </is>
      </c>
      <c r="N131" t="inlineStr">
        <is>
          <t>&lt;p&gt;&lt;/p&gt;</t>
        </is>
      </c>
      <c r="O131" t="inlineStr"/>
      <c r="P131" t="inlineStr">
        <is>
          <t>Vehicle - Land Rover - Discovery  - SJ55 HMZTow Chipper - Timberwolf - TW150DBH - 210143089-a6</t>
        </is>
      </c>
      <c r="Q131" t="inlineStr">
        <is>
          <t>UKPN</t>
        </is>
      </c>
      <c r="R131" t="b">
        <v>0</v>
      </c>
    </row>
    <row r="132">
      <c r="A132" t="inlineStr">
        <is>
          <t>27 Nov 2024 / 6617 Ashdown Tree Limited</t>
        </is>
      </c>
      <c r="B132" t="inlineStr">
        <is>
          <t>Utilities &amp; Inland Waterways</t>
        </is>
      </c>
      <c r="C132" t="inlineStr">
        <is>
          <t>UKPN</t>
        </is>
      </c>
      <c r="D132" t="inlineStr">
        <is>
          <t xml:space="preserve">Land rover </t>
        </is>
      </c>
      <c r="E132" t="inlineStr">
        <is>
          <t xml:space="preserve">Defender mewp </t>
        </is>
      </c>
      <c r="F132" t="inlineStr">
        <is>
          <t>TR55tub</t>
        </is>
      </c>
      <c r="G132" t="inlineStr">
        <is>
          <t xml:space="preserve">A Horwood </t>
        </is>
      </c>
      <c r="H132" t="inlineStr">
        <is>
          <t>4x4</t>
        </is>
      </c>
      <c r="I132" t="inlineStr">
        <is>
          <t>Daily/ Weekly Vehicle Inspection</t>
        </is>
      </c>
      <c r="J132" t="inlineStr">
        <is>
          <t>N/A</t>
        </is>
      </c>
      <c r="K132" t="inlineStr">
        <is>
          <t>6617 Ashdown Tree Limited</t>
        </is>
      </c>
      <c r="L132" t="inlineStr">
        <is>
          <t>28/11/2024 14:49</t>
        </is>
      </c>
      <c r="M132" t="inlineStr">
        <is>
          <t>None</t>
        </is>
      </c>
      <c r="N132" t="inlineStr">
        <is>
          <t>&lt;p&gt;&lt;/p&gt;</t>
        </is>
      </c>
      <c r="O132" t="inlineStr"/>
      <c r="P132" t="inlineStr">
        <is>
          <t>4x4 - Land rover  - Defender mewp  - TR55 tub</t>
        </is>
      </c>
      <c r="Q132" t="inlineStr">
        <is>
          <t>UKPN</t>
        </is>
      </c>
      <c r="R132" t="b">
        <v>0</v>
      </c>
    </row>
    <row r="133">
      <c r="A133" t="inlineStr">
        <is>
          <t>27 Nov 2024 / 6617 Ashdown Tree Limited</t>
        </is>
      </c>
      <c r="B133" t="inlineStr">
        <is>
          <t>Utilities &amp; Inland Waterways</t>
        </is>
      </c>
      <c r="C133" t="inlineStr">
        <is>
          <t>UKPN</t>
        </is>
      </c>
      <c r="D133" t="inlineStr">
        <is>
          <t>Ford</t>
        </is>
      </c>
      <c r="E133" t="inlineStr">
        <is>
          <t>Transit</t>
        </is>
      </c>
      <c r="F133" t="inlineStr">
        <is>
          <t>FE11BUT</t>
        </is>
      </c>
      <c r="G133" t="inlineStr">
        <is>
          <t>Daniel Watkins</t>
        </is>
      </c>
      <c r="H133" t="inlineStr">
        <is>
          <t>Tipper</t>
        </is>
      </c>
      <c r="I133" t="inlineStr">
        <is>
          <t>Daily/ Weekly Vehicle Inspection</t>
        </is>
      </c>
      <c r="J133" t="inlineStr">
        <is>
          <t>N/A</t>
        </is>
      </c>
      <c r="K133" t="inlineStr">
        <is>
          <t>6617 Ashdown Tree Limited</t>
        </is>
      </c>
      <c r="L133" t="inlineStr">
        <is>
          <t>28/11/2024 14:50</t>
        </is>
      </c>
      <c r="M133" t="inlineStr">
        <is>
          <t>None</t>
        </is>
      </c>
      <c r="N133" t="inlineStr">
        <is>
          <t>&lt;p&gt;&lt;/p&gt;</t>
        </is>
      </c>
      <c r="O133" t="inlineStr"/>
      <c r="P133" t="inlineStr">
        <is>
          <t>Tipper - Ford - Transit - FE11 BUT</t>
        </is>
      </c>
      <c r="Q133" t="inlineStr">
        <is>
          <t>UKPN</t>
        </is>
      </c>
      <c r="R133" t="b">
        <v>0</v>
      </c>
    </row>
    <row r="134">
      <c r="A134" t="inlineStr">
        <is>
          <t>27 Nov 2024 / 7800 MAC Trees and Fencing Ltd</t>
        </is>
      </c>
      <c r="B134" t="inlineStr">
        <is>
          <t>Utilities &amp; Inland Waterways</t>
        </is>
      </c>
      <c r="C134" t="inlineStr">
        <is>
          <t>UKPN</t>
        </is>
      </c>
      <c r="D134" t="inlineStr">
        <is>
          <t>Izuzu</t>
        </is>
      </c>
      <c r="E134" t="inlineStr">
        <is>
          <t>Dmax</t>
        </is>
      </c>
      <c r="F134" t="inlineStr">
        <is>
          <t>Ay68daa</t>
        </is>
      </c>
      <c r="G134" t="inlineStr">
        <is>
          <t xml:space="preserve">Lewis mac Lewis </t>
        </is>
      </c>
      <c r="H134" t="inlineStr">
        <is>
          <t>4x4Towed Chipper</t>
        </is>
      </c>
      <c r="I134" t="inlineStr">
        <is>
          <t>Daily/ Weekly Vehicle Inspection</t>
        </is>
      </c>
      <c r="J134" t="inlineStr">
        <is>
          <t>N/A</t>
        </is>
      </c>
      <c r="K134" t="inlineStr">
        <is>
          <t>7800 MAC Trees and Fencing Ltd</t>
        </is>
      </c>
      <c r="L134" t="inlineStr">
        <is>
          <t>28/11/2024 14:51</t>
        </is>
      </c>
      <c r="M134" t="inlineStr">
        <is>
          <t>None</t>
        </is>
      </c>
      <c r="N134" t="inlineStr">
        <is>
          <t>&lt;p&gt;&lt;/p&gt;</t>
        </is>
      </c>
      <c r="O134" t="inlineStr"/>
      <c r="P134" t="inlineStr">
        <is>
          <t>4x4 - Izuzu - Dmax - Ay68 daaTow Chipper - Timberwolf - TW150 - 205143043-a1</t>
        </is>
      </c>
      <c r="Q134" t="inlineStr">
        <is>
          <t>UKPN</t>
        </is>
      </c>
      <c r="R134" t="b">
        <v>0</v>
      </c>
    </row>
    <row r="135">
      <c r="A135" t="inlineStr">
        <is>
          <t>31 Oct 2024 / 7126 Maple Tree Surgery and Landscapes Ltd</t>
        </is>
      </c>
      <c r="B135" t="inlineStr">
        <is>
          <t>Utilities &amp; Inland Waterways</t>
        </is>
      </c>
      <c r="C135" t="inlineStr">
        <is>
          <t>UKPN</t>
        </is>
      </c>
      <c r="D135" t="inlineStr">
        <is>
          <t>Land Rover</t>
        </is>
      </c>
      <c r="E135" t="inlineStr">
        <is>
          <t xml:space="preserve">Discovery </t>
        </is>
      </c>
      <c r="F135" t="inlineStr">
        <is>
          <t>SJ55HMZ</t>
        </is>
      </c>
      <c r="G135" t="inlineStr">
        <is>
          <t xml:space="preserve">Laurence </t>
        </is>
      </c>
      <c r="H135" t="inlineStr">
        <is>
          <t>4x4</t>
        </is>
      </c>
      <c r="I135" t="inlineStr">
        <is>
          <t>Daily/ Weekly Vehicle Inspection</t>
        </is>
      </c>
      <c r="J135" t="inlineStr">
        <is>
          <t>N/A</t>
        </is>
      </c>
      <c r="K135" t="inlineStr">
        <is>
          <t>7126 Maple Tree Surgery and Landscapes Ltd</t>
        </is>
      </c>
      <c r="L135" t="inlineStr">
        <is>
          <t>28/11/2024 14:52</t>
        </is>
      </c>
      <c r="M135" t="inlineStr">
        <is>
          <t>None</t>
        </is>
      </c>
      <c r="N135" t="inlineStr">
        <is>
          <t>&lt;p&gt;&lt;/p&gt;</t>
        </is>
      </c>
      <c r="O135" t="inlineStr"/>
      <c r="P135" t="inlineStr">
        <is>
          <t>Vehicle - Land Rover - Discovery  - SJ55 HMZ</t>
        </is>
      </c>
      <c r="Q135" t="inlineStr">
        <is>
          <t>UKPN</t>
        </is>
      </c>
      <c r="R135" t="b">
        <v>0</v>
      </c>
    </row>
    <row r="136">
      <c r="A136" t="inlineStr">
        <is>
          <t>27 Nov 2024 / 6617 Ashdown Tree Limited</t>
        </is>
      </c>
      <c r="B136" t="inlineStr">
        <is>
          <t>Utilities &amp; Inland Waterways</t>
        </is>
      </c>
      <c r="C136" t="inlineStr">
        <is>
          <t>UKPN</t>
        </is>
      </c>
      <c r="D136" t="inlineStr">
        <is>
          <t>Land Rover</t>
        </is>
      </c>
      <c r="E136" t="inlineStr">
        <is>
          <t xml:space="preserve">Discovery </t>
        </is>
      </c>
      <c r="F136" t="inlineStr">
        <is>
          <t>WF11EJJ</t>
        </is>
      </c>
      <c r="G136" t="inlineStr">
        <is>
          <t>Francis LesserFrancis Lesser</t>
        </is>
      </c>
      <c r="H136" t="inlineStr">
        <is>
          <t>4x4Flat Bed Trailer</t>
        </is>
      </c>
      <c r="I136" t="inlineStr">
        <is>
          <t>Daily/ Weekly Vehicle Inspection</t>
        </is>
      </c>
      <c r="J136" t="inlineStr">
        <is>
          <t>N/A</t>
        </is>
      </c>
      <c r="K136" t="inlineStr">
        <is>
          <t>6617 Ashdown Tree Limited</t>
        </is>
      </c>
      <c r="L136" t="inlineStr">
        <is>
          <t>28/11/2024 14:53</t>
        </is>
      </c>
      <c r="M136" t="inlineStr">
        <is>
          <t>None</t>
        </is>
      </c>
      <c r="N136" t="inlineStr">
        <is>
          <t>&lt;p&gt;&lt;/p&gt;</t>
        </is>
      </c>
      <c r="O136" t="inlineStr">
        <is>
          <t>Confirm that you have checked this vehicle as per the guidance document and the vehicle is fit to drive:Indespension
-</t>
        </is>
      </c>
      <c r="P136" t="inlineStr">
        <is>
          <t>Vehicle - Land Rover - Discovery  - WF11 EJJFlat Bed Trailer - Ifor Williams - SA9 TAGD - DSF27414036</t>
        </is>
      </c>
      <c r="Q136" t="inlineStr">
        <is>
          <t>UKPN</t>
        </is>
      </c>
      <c r="R136" t="b">
        <v>0</v>
      </c>
    </row>
    <row r="137">
      <c r="A137" t="inlineStr">
        <is>
          <t>27 Nov 2024 / 7889 Tree Tech Suffolk Ltd</t>
        </is>
      </c>
      <c r="B137" t="inlineStr">
        <is>
          <t>Utilities &amp; Inland Waterways</t>
        </is>
      </c>
      <c r="C137" t="inlineStr">
        <is>
          <t>UKPN</t>
        </is>
      </c>
      <c r="D137" t="inlineStr">
        <is>
          <t>Isuzu</t>
        </is>
      </c>
      <c r="E137" t="inlineStr">
        <is>
          <t>D-max</t>
        </is>
      </c>
      <c r="F137" t="inlineStr">
        <is>
          <t>NS03TTS</t>
        </is>
      </c>
      <c r="G137" t="inlineStr">
        <is>
          <t>Danny ApplebyDanny Appleby</t>
        </is>
      </c>
      <c r="H137" t="inlineStr">
        <is>
          <t>4x4Towed Chipper</t>
        </is>
      </c>
      <c r="I137" t="inlineStr">
        <is>
          <t>Daily/ Weekly Vehicle Inspection</t>
        </is>
      </c>
      <c r="J137" t="inlineStr">
        <is>
          <t>N/A</t>
        </is>
      </c>
      <c r="K137" t="inlineStr">
        <is>
          <t>7889 Tree Tech Suffolk Ltd</t>
        </is>
      </c>
      <c r="L137" t="inlineStr">
        <is>
          <t>28/11/2024 14:54</t>
        </is>
      </c>
      <c r="M137" t="inlineStr">
        <is>
          <t>None</t>
        </is>
      </c>
      <c r="N137" t="inlineStr">
        <is>
          <t>&lt;p&gt;&lt;/p&gt;</t>
        </is>
      </c>
      <c r="O137" t="inlineStr"/>
      <c r="P137" t="inlineStr">
        <is>
          <t>4x4 - Isuzu - D-max - NS03 TTSTow Chipper - Jenson - A530L - 5521063948</t>
        </is>
      </c>
      <c r="Q137" t="inlineStr">
        <is>
          <t>UKPN</t>
        </is>
      </c>
      <c r="R137" t="b">
        <v>0</v>
      </c>
    </row>
    <row r="138">
      <c r="A138" t="inlineStr">
        <is>
          <t>27 Nov 2024 / 7186 Eastwoodbury Tree Services Ltd</t>
        </is>
      </c>
      <c r="B138" t="inlineStr">
        <is>
          <t>Utilities &amp; Inland Waterways</t>
        </is>
      </c>
      <c r="C138" t="inlineStr">
        <is>
          <t>UKPN</t>
        </is>
      </c>
      <c r="D138" t="inlineStr">
        <is>
          <t>Ford</t>
        </is>
      </c>
      <c r="E138" t="inlineStr">
        <is>
          <t>Transit</t>
        </is>
      </c>
      <c r="F138" t="inlineStr">
        <is>
          <t>DN61XKJ</t>
        </is>
      </c>
      <c r="G138" t="inlineStr">
        <is>
          <t>DanJay</t>
        </is>
      </c>
      <c r="H138" t="inlineStr">
        <is>
          <t>4x4Tipper</t>
        </is>
      </c>
      <c r="I138" t="inlineStr">
        <is>
          <t>Daily/ Weekly Vehicle Inspection</t>
        </is>
      </c>
      <c r="J138" t="inlineStr">
        <is>
          <t>N/A</t>
        </is>
      </c>
      <c r="K138" t="inlineStr">
        <is>
          <t>7186 Eastwoodbury Tree Services Ltd</t>
        </is>
      </c>
      <c r="L138" t="inlineStr">
        <is>
          <t>28/11/2024 14:55</t>
        </is>
      </c>
      <c r="M138" t="inlineStr">
        <is>
          <t>None</t>
        </is>
      </c>
      <c r="N138" t="inlineStr">
        <is>
          <t>&lt;p&gt;&lt;/p&gt;</t>
        </is>
      </c>
      <c r="O138" t="inlineStr"/>
      <c r="P138" t="inlineStr">
        <is>
          <t>4x4 - Santana  - Ps10 - AO57 BPFTipper - Ford - Transit - DN61XKJ</t>
        </is>
      </c>
      <c r="Q138" t="inlineStr">
        <is>
          <t>UKPN</t>
        </is>
      </c>
      <c r="R138" t="b">
        <v>0</v>
      </c>
    </row>
    <row r="139">
      <c r="A139" t="inlineStr">
        <is>
          <t>29 Nov 2024 / 7800 MAC Trees and Fencing Ltd</t>
        </is>
      </c>
      <c r="B139" t="inlineStr">
        <is>
          <t>Utilities &amp; Inland Waterways</t>
        </is>
      </c>
      <c r="C139" t="inlineStr">
        <is>
          <t>UKPN</t>
        </is>
      </c>
      <c r="D139" t="inlineStr">
        <is>
          <t xml:space="preserve">Ford transit </t>
        </is>
      </c>
      <c r="E139" t="inlineStr">
        <is>
          <t xml:space="preserve">Transit tipper </t>
        </is>
      </c>
      <c r="F139" t="inlineStr">
        <is>
          <t>FG16LNT</t>
        </is>
      </c>
      <c r="G139" t="inlineStr">
        <is>
          <t>Lewis macLewis macnicol</t>
        </is>
      </c>
      <c r="H139" t="inlineStr">
        <is>
          <t>4x4Towed Chipper</t>
        </is>
      </c>
      <c r="I139" t="inlineStr">
        <is>
          <t>Daily/ Weekly Vehicle Inspection</t>
        </is>
      </c>
      <c r="J139" t="inlineStr">
        <is>
          <t>N/A</t>
        </is>
      </c>
      <c r="K139" t="inlineStr">
        <is>
          <t>7800 MAC Trees and Fencing Ltd</t>
        </is>
      </c>
      <c r="L139" t="inlineStr">
        <is>
          <t>30/11/2024 14:42</t>
        </is>
      </c>
      <c r="M139" t="inlineStr">
        <is>
          <t>None</t>
        </is>
      </c>
      <c r="N139" t="inlineStr">
        <is>
          <t>&lt;p&gt;&lt;/p&gt;</t>
        </is>
      </c>
      <c r="O139" t="inlineStr"/>
      <c r="P139" t="inlineStr">
        <is>
          <t>4x4 - Izuzu - Dmax - Ay68 daaTow Chipper - Timberwolf - TW150 - 205143043-a1</t>
        </is>
      </c>
      <c r="Q139" t="inlineStr">
        <is>
          <t>UKPN</t>
        </is>
      </c>
      <c r="R139" t="b">
        <v>0</v>
      </c>
    </row>
    <row r="140">
      <c r="A140" t="inlineStr">
        <is>
          <t>29 Nov 2024 / 6617 Ashdown Tree Limited</t>
        </is>
      </c>
      <c r="B140" t="inlineStr">
        <is>
          <t>Utilities &amp; Inland Waterways</t>
        </is>
      </c>
      <c r="C140" t="inlineStr">
        <is>
          <t>UKPN</t>
        </is>
      </c>
      <c r="D140" t="inlineStr">
        <is>
          <t xml:space="preserve">Land rover </t>
        </is>
      </c>
      <c r="E140" t="inlineStr">
        <is>
          <t xml:space="preserve">Defender mewp </t>
        </is>
      </c>
      <c r="F140" t="inlineStr">
        <is>
          <t>TR55TUB</t>
        </is>
      </c>
      <c r="G140" t="inlineStr">
        <is>
          <t>Ashley Ashley</t>
        </is>
      </c>
      <c r="H140" t="inlineStr">
        <is>
          <t>4x44x4</t>
        </is>
      </c>
      <c r="I140" t="inlineStr">
        <is>
          <t>Daily/ Weekly Vehicle Inspection</t>
        </is>
      </c>
      <c r="J140" t="inlineStr">
        <is>
          <t>N/A</t>
        </is>
      </c>
      <c r="K140" t="inlineStr">
        <is>
          <t>6617 Ashdown Tree Limited</t>
        </is>
      </c>
      <c r="L140" t="inlineStr">
        <is>
          <t>30/11/2024 14:43</t>
        </is>
      </c>
      <c r="M140" t="inlineStr">
        <is>
          <t>None</t>
        </is>
      </c>
      <c r="N140" t="inlineStr">
        <is>
          <t>&lt;p&gt;&lt;/p&gt;</t>
        </is>
      </c>
      <c r="O140" t="inlineStr"/>
      <c r="P140" t="inlineStr">
        <is>
          <t>Vehicle - Land Rover - Discovery  - WF11 EJJ4x4 - Land rover  - Defender mewp  - TR55 tub</t>
        </is>
      </c>
      <c r="Q140" t="inlineStr">
        <is>
          <t>UKPN</t>
        </is>
      </c>
      <c r="R140" t="b">
        <v>0</v>
      </c>
    </row>
    <row r="141">
      <c r="A141" t="inlineStr">
        <is>
          <t>29 Nov 2024 / 7889 Tree Tech Suffolk Ltd</t>
        </is>
      </c>
      <c r="B141" t="inlineStr">
        <is>
          <t>Utilities &amp; Inland Waterways</t>
        </is>
      </c>
      <c r="C141" t="inlineStr">
        <is>
          <t>UKPN</t>
        </is>
      </c>
      <c r="D141" t="inlineStr">
        <is>
          <t>Isuzu</t>
        </is>
      </c>
      <c r="E141" t="inlineStr">
        <is>
          <t>D-max</t>
        </is>
      </c>
      <c r="F141" t="inlineStr">
        <is>
          <t>NS03TTS</t>
        </is>
      </c>
      <c r="G141" t="inlineStr">
        <is>
          <t xml:space="preserve">Nikki sparrow Nikki sparrow </t>
        </is>
      </c>
      <c r="H141" t="inlineStr">
        <is>
          <t>4x4Towed Chipper</t>
        </is>
      </c>
      <c r="I141" t="inlineStr">
        <is>
          <t>Daily/ Weekly Vehicle Inspection</t>
        </is>
      </c>
      <c r="J141" t="inlineStr">
        <is>
          <t>N/A</t>
        </is>
      </c>
      <c r="K141" t="inlineStr">
        <is>
          <t>7889 Tree Tech Suffolk Ltd</t>
        </is>
      </c>
      <c r="L141" t="inlineStr">
        <is>
          <t>30/11/2024 14:44</t>
        </is>
      </c>
      <c r="M141" t="inlineStr">
        <is>
          <t>None</t>
        </is>
      </c>
      <c r="N141" t="inlineStr">
        <is>
          <t>&lt;p&gt;&lt;/p&gt;</t>
        </is>
      </c>
      <c r="O141" t="inlineStr"/>
      <c r="P141" t="inlineStr">
        <is>
          <t>4x4 - Isuzu - D-max - NS03 TTSTow Chipper - Jenson - A530L - 5521063948</t>
        </is>
      </c>
      <c r="Q141" t="inlineStr">
        <is>
          <t>UKPN</t>
        </is>
      </c>
      <c r="R141" t="b">
        <v>0</v>
      </c>
    </row>
    <row r="142">
      <c r="A142" t="inlineStr">
        <is>
          <t>29 Nov 2024 / 7800 MAC Trees and Fencing Ltd</t>
        </is>
      </c>
      <c r="B142" t="inlineStr">
        <is>
          <t>Utilities &amp; Inland Waterways</t>
        </is>
      </c>
      <c r="C142" t="inlineStr">
        <is>
          <t>UKPN</t>
        </is>
      </c>
      <c r="D142" t="inlineStr">
        <is>
          <t xml:space="preserve">Ford transit </t>
        </is>
      </c>
      <c r="E142" t="inlineStr">
        <is>
          <t xml:space="preserve">Transit tipper </t>
        </is>
      </c>
      <c r="F142" t="inlineStr">
        <is>
          <t>FG16LNT</t>
        </is>
      </c>
      <c r="G142" t="inlineStr">
        <is>
          <t xml:space="preserve">Lewis </t>
        </is>
      </c>
      <c r="H142" t="inlineStr">
        <is>
          <t>Tipper</t>
        </is>
      </c>
      <c r="I142" t="inlineStr">
        <is>
          <t>Daily/ Weekly Vehicle Inspection</t>
        </is>
      </c>
      <c r="J142" t="inlineStr">
        <is>
          <t>N/A</t>
        </is>
      </c>
      <c r="K142" t="inlineStr">
        <is>
          <t>7800 MAC Trees and Fencing Ltd</t>
        </is>
      </c>
      <c r="L142" t="inlineStr">
        <is>
          <t>30/11/2024 14:45</t>
        </is>
      </c>
      <c r="M142" t="inlineStr">
        <is>
          <t>None</t>
        </is>
      </c>
      <c r="N142" t="inlineStr">
        <is>
          <t>&lt;p&gt;&lt;/p&gt;</t>
        </is>
      </c>
      <c r="O142" t="inlineStr"/>
      <c r="P142" t="inlineStr">
        <is>
          <t>Tipper - Ford transit  - Transit tipper  - Fg16lnt</t>
        </is>
      </c>
      <c r="Q142" t="inlineStr">
        <is>
          <t>UKPN</t>
        </is>
      </c>
      <c r="R142" t="b">
        <v>0</v>
      </c>
    </row>
    <row r="143">
      <c r="A143" t="inlineStr">
        <is>
          <t>29 Nov 2024 / 7186 Eastwoodbury Tree Services Ltd</t>
        </is>
      </c>
      <c r="B143" t="inlineStr">
        <is>
          <t>Utilities &amp; Inland Waterways</t>
        </is>
      </c>
      <c r="C143" t="inlineStr">
        <is>
          <t>UKPN</t>
        </is>
      </c>
      <c r="D143" t="inlineStr">
        <is>
          <t xml:space="preserve">Santana </t>
        </is>
      </c>
      <c r="E143" t="inlineStr">
        <is>
          <t>Ps10</t>
        </is>
      </c>
      <c r="F143" t="inlineStr">
        <is>
          <t>AO57BPF</t>
        </is>
      </c>
      <c r="G143" t="inlineStr">
        <is>
          <t>JayDan</t>
        </is>
      </c>
      <c r="H143" t="inlineStr">
        <is>
          <t>Tipper4x4</t>
        </is>
      </c>
      <c r="I143" t="inlineStr">
        <is>
          <t>Daily/ Weekly Vehicle Inspection</t>
        </is>
      </c>
      <c r="J143" t="inlineStr">
        <is>
          <t>N/A</t>
        </is>
      </c>
      <c r="K143" t="inlineStr">
        <is>
          <t>7186 Eastwoodbury Tree Services Ltd</t>
        </is>
      </c>
      <c r="L143" t="inlineStr">
        <is>
          <t>30/11/2024 14:46</t>
        </is>
      </c>
      <c r="M143" t="inlineStr">
        <is>
          <t>None</t>
        </is>
      </c>
      <c r="N143" t="inlineStr">
        <is>
          <t>&lt;p&gt;&lt;/p&gt;</t>
        </is>
      </c>
      <c r="O143" t="inlineStr"/>
      <c r="P143" t="inlineStr">
        <is>
          <t>Tipper - Ford - Transit - DN61XKJ4x4 - Santana  - Ps10 - AO57 BPF</t>
        </is>
      </c>
      <c r="Q143" t="inlineStr">
        <is>
          <t>UKPN</t>
        </is>
      </c>
      <c r="R143" t="b">
        <v>0</v>
      </c>
    </row>
    <row r="144">
      <c r="A144" t="inlineStr">
        <is>
          <t>2 Dec 2024 / 3098 D &amp; R Landscapes (PEND Arb Rail)</t>
        </is>
      </c>
      <c r="B144" t="inlineStr">
        <is>
          <t>Utilities &amp; Inland Waterways</t>
        </is>
      </c>
      <c r="C144" t="inlineStr">
        <is>
          <t>UKPN</t>
        </is>
      </c>
      <c r="D144" t="inlineStr">
        <is>
          <t>Nissan</t>
        </is>
      </c>
      <c r="E144" t="inlineStr">
        <is>
          <t>Navara</t>
        </is>
      </c>
      <c r="F144" t="inlineStr">
        <is>
          <t>FX17YVM</t>
        </is>
      </c>
      <c r="G144" t="inlineStr">
        <is>
          <t>Jason MCCLOY</t>
        </is>
      </c>
      <c r="H144" t="inlineStr">
        <is>
          <t>4x4</t>
        </is>
      </c>
      <c r="I144" t="inlineStr">
        <is>
          <t>Daily/ Weekly Vehicle Inspection</t>
        </is>
      </c>
      <c r="J144" t="inlineStr">
        <is>
          <t>N/A</t>
        </is>
      </c>
      <c r="K144" t="inlineStr">
        <is>
          <t>3098 D &amp; R Landscapes (PEND Arb Rail)</t>
        </is>
      </c>
      <c r="L144" t="inlineStr">
        <is>
          <t>02/12/2024 14:42</t>
        </is>
      </c>
      <c r="M144" t="inlineStr">
        <is>
          <t>None</t>
        </is>
      </c>
      <c r="N144" t="inlineStr">
        <is>
          <t>&lt;p&gt;&lt;/p&gt;</t>
        </is>
      </c>
      <c r="O144" t="inlineStr"/>
      <c r="P144" t="inlineStr">
        <is>
          <t>Vehicle - Nissan - Navara - FX17 YVM</t>
        </is>
      </c>
      <c r="Q144" t="inlineStr">
        <is>
          <t>UKPN</t>
        </is>
      </c>
      <c r="R144" t="b">
        <v>0</v>
      </c>
    </row>
    <row r="145">
      <c r="A145" t="inlineStr">
        <is>
          <t>2 Dec 2024 / 6617 Ashdown Tree Limited</t>
        </is>
      </c>
      <c r="B145" t="inlineStr">
        <is>
          <t>Utilities &amp; Inland Waterways</t>
        </is>
      </c>
      <c r="C145" t="inlineStr">
        <is>
          <t>UKPN</t>
        </is>
      </c>
      <c r="D145" t="inlineStr">
        <is>
          <t>Ford</t>
        </is>
      </c>
      <c r="E145" t="inlineStr">
        <is>
          <t>Transit</t>
        </is>
      </c>
      <c r="F145" t="inlineStr">
        <is>
          <t>FE11BUT</t>
        </is>
      </c>
      <c r="G145" t="inlineStr">
        <is>
          <t>AshleyLuke</t>
        </is>
      </c>
      <c r="H145" t="inlineStr">
        <is>
          <t>4x4Tipper</t>
        </is>
      </c>
      <c r="I145" t="inlineStr">
        <is>
          <t>Daily/ Weekly Vehicle Inspection</t>
        </is>
      </c>
      <c r="J145" t="inlineStr">
        <is>
          <t>N/A</t>
        </is>
      </c>
      <c r="K145" t="inlineStr">
        <is>
          <t>6617 Ashdown Tree Limited</t>
        </is>
      </c>
      <c r="L145" t="inlineStr">
        <is>
          <t>02/12/2024 14:43</t>
        </is>
      </c>
      <c r="M145" t="inlineStr">
        <is>
          <t>None</t>
        </is>
      </c>
      <c r="N145" t="inlineStr">
        <is>
          <t>&lt;p&gt;&lt;/p&gt;</t>
        </is>
      </c>
      <c r="O145" t="inlineStr"/>
      <c r="P145" t="inlineStr">
        <is>
          <t>4x4 - Land rover  - Defender mewp  - TR55 tubTipper - Ford - Transit - FE11 BUT</t>
        </is>
      </c>
      <c r="Q145" t="inlineStr">
        <is>
          <t>UKPN</t>
        </is>
      </c>
      <c r="R145" t="b">
        <v>0</v>
      </c>
    </row>
    <row r="146">
      <c r="A146" t="inlineStr">
        <is>
          <t>2 Dec 2024 / 7186 Eastwoodbury Tree Services Ltd</t>
        </is>
      </c>
      <c r="B146" t="inlineStr">
        <is>
          <t>Utilities &amp; Inland Waterways</t>
        </is>
      </c>
      <c r="C146" t="inlineStr">
        <is>
          <t>UKPN</t>
        </is>
      </c>
      <c r="D146" t="inlineStr">
        <is>
          <t xml:space="preserve">Land Rover </t>
        </is>
      </c>
      <c r="E146" t="inlineStr">
        <is>
          <t>Defender</t>
        </is>
      </c>
      <c r="F146" t="inlineStr">
        <is>
          <t>FN600XM</t>
        </is>
      </c>
      <c r="G146" t="inlineStr">
        <is>
          <t xml:space="preserve">Dan Gilbert Jay Denkmayer </t>
        </is>
      </c>
      <c r="H146" t="inlineStr">
        <is>
          <t>4x44x4</t>
        </is>
      </c>
      <c r="I146" t="inlineStr">
        <is>
          <t>Daily/ Weekly Vehicle Inspection</t>
        </is>
      </c>
      <c r="J146" t="inlineStr">
        <is>
          <t>N/A</t>
        </is>
      </c>
      <c r="K146" t="inlineStr">
        <is>
          <t>7186 Eastwoodbury Tree Services Ltd</t>
        </is>
      </c>
      <c r="L146" t="inlineStr">
        <is>
          <t>02/12/2024 14:44</t>
        </is>
      </c>
      <c r="M146" t="inlineStr">
        <is>
          <t>None</t>
        </is>
      </c>
      <c r="N146" t="inlineStr">
        <is>
          <t>&lt;p&gt;&lt;/p&gt;</t>
        </is>
      </c>
      <c r="O146" t="inlineStr"/>
      <c r="P146" t="inlineStr">
        <is>
          <t>4x4 - Santana  - Ps10 - AO57 BPF4x4 - Land Rover  - Defender - FN60 0XM</t>
        </is>
      </c>
      <c r="Q146" t="inlineStr">
        <is>
          <t>UKPN</t>
        </is>
      </c>
      <c r="R146" t="b">
        <v>0</v>
      </c>
    </row>
    <row r="147">
      <c r="A147" t="inlineStr">
        <is>
          <t>2 Dec 2024 / 7800 MAC Trees and Fencing Ltd</t>
        </is>
      </c>
      <c r="B147" t="inlineStr">
        <is>
          <t>Utilities &amp; Inland Waterways</t>
        </is>
      </c>
      <c r="C147" t="inlineStr">
        <is>
          <t>UKPN</t>
        </is>
      </c>
      <c r="D147" t="inlineStr">
        <is>
          <t>Izuzu</t>
        </is>
      </c>
      <c r="E147" t="inlineStr">
        <is>
          <t>Dmax</t>
        </is>
      </c>
      <c r="F147" t="inlineStr">
        <is>
          <t>Ay68daa</t>
        </is>
      </c>
      <c r="G147" t="inlineStr">
        <is>
          <t xml:space="preserve">Lewis macLewis mac </t>
        </is>
      </c>
      <c r="H147" t="inlineStr">
        <is>
          <t>4x4Towed Chipper</t>
        </is>
      </c>
      <c r="I147" t="inlineStr">
        <is>
          <t>Daily/ Weekly Vehicle Inspection</t>
        </is>
      </c>
      <c r="J147" t="inlineStr">
        <is>
          <t>N/A</t>
        </is>
      </c>
      <c r="K147" t="inlineStr">
        <is>
          <t>7800 MAC Trees and Fencing Ltd</t>
        </is>
      </c>
      <c r="L147" t="inlineStr">
        <is>
          <t>02/12/2024 14:45</t>
        </is>
      </c>
      <c r="M147" t="inlineStr">
        <is>
          <t>None</t>
        </is>
      </c>
      <c r="N147" t="inlineStr">
        <is>
          <t>&lt;p&gt;&lt;/p&gt;</t>
        </is>
      </c>
      <c r="O147" t="inlineStr"/>
      <c r="P147" t="inlineStr">
        <is>
          <t>4x4 - Izuzu - Dmax - Ay68 daaTow Chipper - Timberwolf - TW150 - 205143043-a1</t>
        </is>
      </c>
      <c r="Q147" t="inlineStr">
        <is>
          <t>UKPN</t>
        </is>
      </c>
      <c r="R147" t="b">
        <v>0</v>
      </c>
    </row>
    <row r="148">
      <c r="A148" t="inlineStr">
        <is>
          <t>29 Nov 2024 / 7126 Maple Tree Surgery and Landscapes Ltd</t>
        </is>
      </c>
      <c r="B148" t="inlineStr">
        <is>
          <t>Utilities &amp; Inland Waterways</t>
        </is>
      </c>
      <c r="C148" t="inlineStr">
        <is>
          <t>UKPN</t>
        </is>
      </c>
      <c r="D148" t="inlineStr">
        <is>
          <t>Land Rover</t>
        </is>
      </c>
      <c r="E148" t="inlineStr">
        <is>
          <t xml:space="preserve">Discovery </t>
        </is>
      </c>
      <c r="F148" t="inlineStr">
        <is>
          <t>SJ55HMZ</t>
        </is>
      </c>
      <c r="G148" t="inlineStr">
        <is>
          <t>TimTim</t>
        </is>
      </c>
      <c r="H148" t="inlineStr">
        <is>
          <t>4x4Towed Chipper</t>
        </is>
      </c>
      <c r="I148" t="inlineStr">
        <is>
          <t>Daily/ Weekly Vehicle Inspection</t>
        </is>
      </c>
      <c r="J148" t="inlineStr">
        <is>
          <t>N/A</t>
        </is>
      </c>
      <c r="K148" t="inlineStr">
        <is>
          <t>7126 Maple Tree Surgery and Landscapes Ltd</t>
        </is>
      </c>
      <c r="L148" t="inlineStr">
        <is>
          <t>02/12/2024 14:47</t>
        </is>
      </c>
      <c r="M148" t="inlineStr">
        <is>
          <t>None</t>
        </is>
      </c>
      <c r="N148" t="inlineStr">
        <is>
          <t>&lt;p&gt;&lt;/p&gt;</t>
        </is>
      </c>
      <c r="O148" t="inlineStr"/>
      <c r="P148" t="inlineStr">
        <is>
          <t>Vehicle - Land Rover - Discovery  - SJ55 HMZTow Chipper - Timberwolf - TW150DBH - 210143089-a6</t>
        </is>
      </c>
      <c r="Q148" t="inlineStr">
        <is>
          <t>UKPN</t>
        </is>
      </c>
      <c r="R148" t="b">
        <v>0</v>
      </c>
    </row>
    <row r="149">
      <c r="A149" t="inlineStr">
        <is>
          <t>2 Dec 2024 / 7889 Tree Tech Suffolk Ltd</t>
        </is>
      </c>
      <c r="B149" t="inlineStr">
        <is>
          <t>Utilities &amp; Inland Waterways</t>
        </is>
      </c>
      <c r="C149" t="inlineStr">
        <is>
          <t>UKPN</t>
        </is>
      </c>
      <c r="D149" t="inlineStr">
        <is>
          <t>Isuzu</t>
        </is>
      </c>
      <c r="E149" t="inlineStr">
        <is>
          <t>D-max</t>
        </is>
      </c>
      <c r="F149" t="inlineStr">
        <is>
          <t>NS03TTS</t>
        </is>
      </c>
      <c r="G149" t="inlineStr">
        <is>
          <t xml:space="preserve">Nikki sparrow Nikki sparrow </t>
        </is>
      </c>
      <c r="H149" t="inlineStr">
        <is>
          <t>4x4Towed Chipper</t>
        </is>
      </c>
      <c r="I149" t="inlineStr">
        <is>
          <t>Monthly Vehicle Inspection</t>
        </is>
      </c>
      <c r="J149" t="inlineStr">
        <is>
          <t>111925116.6</t>
        </is>
      </c>
      <c r="K149" t="inlineStr">
        <is>
          <t>7889 Tree Tech Suffolk Ltd</t>
        </is>
      </c>
      <c r="L149" t="inlineStr">
        <is>
          <t>02/12/2024 14:49</t>
        </is>
      </c>
      <c r="M149" t="inlineStr">
        <is>
          <t>None</t>
        </is>
      </c>
      <c r="N149" t="inlineStr">
        <is>
          <t>&lt;p&gt;&lt;/p&gt;</t>
        </is>
      </c>
      <c r="O149" t="inlineStr"/>
      <c r="P149" t="inlineStr">
        <is>
          <t>4x4 - Isuzu - D-max - NS03 TTSTow Chipper - Jenson - A530L - 5521063948</t>
        </is>
      </c>
      <c r="Q149" t="inlineStr">
        <is>
          <t>UKPN</t>
        </is>
      </c>
      <c r="R149" t="b">
        <v>0</v>
      </c>
    </row>
    <row r="150">
      <c r="A150" t="inlineStr">
        <is>
          <t>1 Dec 2024 / 6617 Ashdown Tree Limited</t>
        </is>
      </c>
      <c r="B150" t="inlineStr">
        <is>
          <t>Utilities &amp; Inland Waterways</t>
        </is>
      </c>
      <c r="C150" t="inlineStr">
        <is>
          <t>UKPN</t>
        </is>
      </c>
      <c r="D150" t="inlineStr">
        <is>
          <t>Land Rover</t>
        </is>
      </c>
      <c r="E150" t="inlineStr">
        <is>
          <t xml:space="preserve">Discovery </t>
        </is>
      </c>
      <c r="F150" t="inlineStr">
        <is>
          <t>WF11EJJ</t>
        </is>
      </c>
      <c r="G150" t="inlineStr">
        <is>
          <t xml:space="preserve">Ashley </t>
        </is>
      </c>
      <c r="H150" t="inlineStr">
        <is>
          <t>4x4</t>
        </is>
      </c>
      <c r="I150" t="inlineStr">
        <is>
          <t>Daily/ Weekly Vehicle Inspection</t>
        </is>
      </c>
      <c r="J150" t="inlineStr">
        <is>
          <t>N/A</t>
        </is>
      </c>
      <c r="K150" t="inlineStr">
        <is>
          <t>6617 Ashdown Tree Limited</t>
        </is>
      </c>
      <c r="L150" t="inlineStr">
        <is>
          <t>02/12/2024 14:50</t>
        </is>
      </c>
      <c r="M150" t="inlineStr">
        <is>
          <t>None</t>
        </is>
      </c>
      <c r="N150" t="inlineStr">
        <is>
          <t>&lt;p&gt;&lt;/p&gt;</t>
        </is>
      </c>
      <c r="O150" t="inlineStr"/>
      <c r="P150" t="inlineStr">
        <is>
          <t>Vehicle - Land Rover - Discovery  - WF11 EJJ</t>
        </is>
      </c>
      <c r="Q150" t="inlineStr">
        <is>
          <t>UKPN</t>
        </is>
      </c>
      <c r="R150" t="b">
        <v>0</v>
      </c>
    </row>
    <row r="151">
      <c r="A151" t="inlineStr">
        <is>
          <t>4 Dec 2024 / 6617 Ashdown Tree Limited</t>
        </is>
      </c>
      <c r="B151" t="inlineStr">
        <is>
          <t>Utilities &amp; Inland Waterways</t>
        </is>
      </c>
      <c r="C151" t="inlineStr">
        <is>
          <t>UKPN</t>
        </is>
      </c>
      <c r="D151" t="inlineStr">
        <is>
          <t>Land Rover</t>
        </is>
      </c>
      <c r="E151" t="inlineStr">
        <is>
          <t xml:space="preserve">Discovery </t>
        </is>
      </c>
      <c r="F151" t="inlineStr">
        <is>
          <t>WF11EJJ</t>
        </is>
      </c>
      <c r="G151" t="inlineStr">
        <is>
          <t>A Horwood</t>
        </is>
      </c>
      <c r="H151" t="inlineStr">
        <is>
          <t>4x4</t>
        </is>
      </c>
      <c r="I151" t="inlineStr">
        <is>
          <t>Daily/ Weekly Vehicle Inspection</t>
        </is>
      </c>
      <c r="J151" t="inlineStr">
        <is>
          <t>N/A</t>
        </is>
      </c>
      <c r="K151" t="inlineStr">
        <is>
          <t>6617 Ashdown Tree Limited</t>
        </is>
      </c>
      <c r="L151" t="inlineStr">
        <is>
          <t>04/12/2024 14:42</t>
        </is>
      </c>
      <c r="M151" t="inlineStr">
        <is>
          <t>None</t>
        </is>
      </c>
      <c r="N151" t="inlineStr">
        <is>
          <t>&lt;p&gt;&lt;/p&gt;</t>
        </is>
      </c>
      <c r="O151" t="inlineStr"/>
      <c r="P151" t="inlineStr">
        <is>
          <t>Vehicle - Land Rover - Discovery  - WF11 EJJ</t>
        </is>
      </c>
      <c r="Q151" t="inlineStr">
        <is>
          <t>UKPN</t>
        </is>
      </c>
      <c r="R151" t="b">
        <v>0</v>
      </c>
    </row>
    <row r="152">
      <c r="A152" t="inlineStr">
        <is>
          <t>4 Dec 2024 / 6617 Ashdown Tree Limited</t>
        </is>
      </c>
      <c r="B152" t="inlineStr">
        <is>
          <t>Utilities &amp; Inland Waterways</t>
        </is>
      </c>
      <c r="C152" t="inlineStr">
        <is>
          <t>UKPN</t>
        </is>
      </c>
      <c r="D152" t="inlineStr">
        <is>
          <t xml:space="preserve">Land rover </t>
        </is>
      </c>
      <c r="E152" t="inlineStr">
        <is>
          <t xml:space="preserve">defender </t>
        </is>
      </c>
      <c r="F152" t="inlineStr">
        <is>
          <t>Wg63ojs</t>
        </is>
      </c>
      <c r="G152" t="inlineStr">
        <is>
          <t>Francis LesserFrancis Lesser</t>
        </is>
      </c>
      <c r="H152" t="inlineStr">
        <is>
          <t>4x4Towed Chipper</t>
        </is>
      </c>
      <c r="I152" t="inlineStr">
        <is>
          <t>Daily/ Weekly Vehicle Inspection</t>
        </is>
      </c>
      <c r="J152" t="inlineStr">
        <is>
          <t>N/A</t>
        </is>
      </c>
      <c r="K152" t="inlineStr">
        <is>
          <t>6617 Ashdown Tree Limited</t>
        </is>
      </c>
      <c r="L152" t="inlineStr">
        <is>
          <t>04/12/2024 14:43</t>
        </is>
      </c>
      <c r="M152" t="inlineStr">
        <is>
          <t>None</t>
        </is>
      </c>
      <c r="N152" t="inlineStr">
        <is>
          <t>&lt;p&gt;&lt;/p&gt;</t>
        </is>
      </c>
      <c r="O152" t="inlineStr"/>
      <c r="P152" t="inlineStr">
        <is>
          <t>4x4 - Land rover  - defender  - Wg63ojsTow Chipper - Timberwolf - TW230DHB - SBCTW 35A6LS209060</t>
        </is>
      </c>
      <c r="Q152" t="inlineStr">
        <is>
          <t>UKPN</t>
        </is>
      </c>
      <c r="R152" t="b">
        <v>0</v>
      </c>
    </row>
    <row r="153">
      <c r="A153" t="inlineStr">
        <is>
          <t>4 Dec 2024 / 7800 MAC Trees and Fencing Ltd</t>
        </is>
      </c>
      <c r="B153" t="inlineStr">
        <is>
          <t>Utilities &amp; Inland Waterways</t>
        </is>
      </c>
      <c r="C153" t="inlineStr">
        <is>
          <t>UKPN</t>
        </is>
      </c>
      <c r="D153" t="inlineStr">
        <is>
          <t>Izuzu</t>
        </is>
      </c>
      <c r="E153" t="inlineStr">
        <is>
          <t>Dmax</t>
        </is>
      </c>
      <c r="F153" t="inlineStr">
        <is>
          <t>Ay68daa</t>
        </is>
      </c>
      <c r="G153" t="inlineStr">
        <is>
          <t>Lewis macLewis mac</t>
        </is>
      </c>
      <c r="H153" t="inlineStr">
        <is>
          <t>4x4Towed Chipper</t>
        </is>
      </c>
      <c r="I153" t="inlineStr">
        <is>
          <t>Daily/ Weekly Vehicle Inspection</t>
        </is>
      </c>
      <c r="J153" t="inlineStr">
        <is>
          <t>N/A</t>
        </is>
      </c>
      <c r="K153" t="inlineStr">
        <is>
          <t>7800 MAC Trees and Fencing Ltd</t>
        </is>
      </c>
      <c r="L153" t="inlineStr">
        <is>
          <t>04/12/2024 14:44</t>
        </is>
      </c>
      <c r="M153" t="inlineStr">
        <is>
          <t>None</t>
        </is>
      </c>
      <c r="N153" t="inlineStr">
        <is>
          <t>&lt;p&gt;&lt;/p&gt;</t>
        </is>
      </c>
      <c r="O153" t="inlineStr"/>
      <c r="P153" t="inlineStr">
        <is>
          <t>4x4 - Izuzu - Dmax - Ay68 daaTow Chipper - Timberwolf - TW150 - 205143043-a1</t>
        </is>
      </c>
      <c r="Q153" t="inlineStr">
        <is>
          <t>UKPN</t>
        </is>
      </c>
      <c r="R153" t="b">
        <v>0</v>
      </c>
    </row>
    <row r="154">
      <c r="A154" t="inlineStr">
        <is>
          <t>4 Dec 2024 / 7186 Eastwoodbury Tree Services Ltd</t>
        </is>
      </c>
      <c r="B154" t="inlineStr">
        <is>
          <t>Utilities &amp; Inland Waterways</t>
        </is>
      </c>
      <c r="C154" t="inlineStr">
        <is>
          <t>UKPN</t>
        </is>
      </c>
      <c r="D154" t="inlineStr">
        <is>
          <t xml:space="preserve">Santana </t>
        </is>
      </c>
      <c r="E154" t="inlineStr">
        <is>
          <t>Ps10</t>
        </is>
      </c>
      <c r="F154" t="inlineStr">
        <is>
          <t>AO57BPF</t>
        </is>
      </c>
      <c r="G154" t="inlineStr">
        <is>
          <t xml:space="preserve">Jay Denkmayer Dan Gilbert </t>
        </is>
      </c>
      <c r="H154" t="inlineStr">
        <is>
          <t>Pickup Truck4x4</t>
        </is>
      </c>
      <c r="I154" t="inlineStr">
        <is>
          <t>Daily/ Weekly Vehicle Inspection</t>
        </is>
      </c>
      <c r="J154" t="inlineStr">
        <is>
          <t>N/A</t>
        </is>
      </c>
      <c r="K154" t="inlineStr">
        <is>
          <t>7186 Eastwoodbury Tree Services Ltd</t>
        </is>
      </c>
      <c r="L154" t="inlineStr">
        <is>
          <t>04/12/2024 14:45</t>
        </is>
      </c>
      <c r="M154" t="inlineStr">
        <is>
          <t>None</t>
        </is>
      </c>
      <c r="N154" t="inlineStr">
        <is>
          <t>&lt;p&gt;&lt;/p&gt;</t>
        </is>
      </c>
      <c r="O154" t="inlineStr"/>
      <c r="P154" t="inlineStr">
        <is>
          <t>4x4 - Ford - Ranger - DE53NKS4x4 - Santana  - Ps10 - AO57 BPF</t>
        </is>
      </c>
      <c r="Q154" t="inlineStr">
        <is>
          <t>UKPN</t>
        </is>
      </c>
      <c r="R154" t="b">
        <v>0</v>
      </c>
    </row>
    <row r="155">
      <c r="A155" t="inlineStr">
        <is>
          <t>3 Dec 2024 / 6617 Ashdown Tree Limited</t>
        </is>
      </c>
      <c r="B155" t="inlineStr">
        <is>
          <t>Utilities &amp; Inland Waterways</t>
        </is>
      </c>
      <c r="C155" t="inlineStr">
        <is>
          <t>UKPN</t>
        </is>
      </c>
      <c r="D155" t="inlineStr">
        <is>
          <t>Ford</t>
        </is>
      </c>
      <c r="E155" t="inlineStr">
        <is>
          <t>Transit</t>
        </is>
      </c>
      <c r="F155" t="inlineStr">
        <is>
          <t>FE11BUT</t>
        </is>
      </c>
      <c r="G155" t="inlineStr">
        <is>
          <t xml:space="preserve">Francis lesser </t>
        </is>
      </c>
      <c r="H155" t="inlineStr">
        <is>
          <t>4x4</t>
        </is>
      </c>
      <c r="I155" t="inlineStr">
        <is>
          <t>Daily/ Weekly Vehicle Inspection</t>
        </is>
      </c>
      <c r="J155" t="inlineStr">
        <is>
          <t>N/A</t>
        </is>
      </c>
      <c r="K155" t="inlineStr">
        <is>
          <t>6617 Ashdown Tree Limited</t>
        </is>
      </c>
      <c r="L155" t="inlineStr">
        <is>
          <t>04/12/2024 14:47</t>
        </is>
      </c>
      <c r="M155" t="inlineStr">
        <is>
          <t>None</t>
        </is>
      </c>
      <c r="N155" t="inlineStr">
        <is>
          <t>&lt;p&gt;&lt;/p&gt;</t>
        </is>
      </c>
      <c r="O155" t="inlineStr">
        <is>
          <t>Select Vehicle:Wg63ojs</t>
        </is>
      </c>
      <c r="P155" t="inlineStr">
        <is>
          <t>4x4 - Land Rover - Defender - GU11 LKD</t>
        </is>
      </c>
      <c r="Q155" t="inlineStr">
        <is>
          <t>UKPN</t>
        </is>
      </c>
      <c r="R155" t="b">
        <v>0</v>
      </c>
    </row>
    <row r="156">
      <c r="A156" t="inlineStr">
        <is>
          <t>3 Dec 2024 / 7800 MAC Trees and Fencing Ltd</t>
        </is>
      </c>
      <c r="B156" t="inlineStr">
        <is>
          <t>Utilities &amp; Inland Waterways</t>
        </is>
      </c>
      <c r="C156" t="inlineStr">
        <is>
          <t>UKPN</t>
        </is>
      </c>
      <c r="D156" t="inlineStr">
        <is>
          <t>Izuzu</t>
        </is>
      </c>
      <c r="E156" t="inlineStr">
        <is>
          <t>Dmax</t>
        </is>
      </c>
      <c r="F156" t="inlineStr">
        <is>
          <t>AY68DAA</t>
        </is>
      </c>
      <c r="G156" t="inlineStr">
        <is>
          <t xml:space="preserve">Lewis macLewis mac </t>
        </is>
      </c>
      <c r="H156" t="inlineStr">
        <is>
          <t>Towed Chipper4x4</t>
        </is>
      </c>
      <c r="I156" t="inlineStr">
        <is>
          <t>Daily/ Weekly Vehicle Inspection</t>
        </is>
      </c>
      <c r="J156" t="inlineStr">
        <is>
          <t>N/A</t>
        </is>
      </c>
      <c r="K156" t="inlineStr">
        <is>
          <t>7800 MAC Trees and Fencing Ltd</t>
        </is>
      </c>
      <c r="L156" t="inlineStr">
        <is>
          <t>04/12/2024 14:48</t>
        </is>
      </c>
      <c r="M156" t="inlineStr">
        <is>
          <t>None</t>
        </is>
      </c>
      <c r="N156" t="inlineStr">
        <is>
          <t>&lt;p&gt;&lt;/p&gt;</t>
        </is>
      </c>
      <c r="O156" t="inlineStr"/>
      <c r="P156" t="inlineStr">
        <is>
          <t>Tow Chipper - Timberwolf - TW150 - 205143043-a14x4 - Izuzu - Dmax - Ay68 daa</t>
        </is>
      </c>
      <c r="Q156" t="inlineStr">
        <is>
          <t>UKPN</t>
        </is>
      </c>
      <c r="R156" t="b">
        <v>0</v>
      </c>
    </row>
    <row r="157">
      <c r="A157" t="inlineStr">
        <is>
          <t>3 Dec 2024 / 7186 Eastwoodbury Tree Services Ltd</t>
        </is>
      </c>
      <c r="B157" t="inlineStr">
        <is>
          <t>Utilities &amp; Inland Waterways</t>
        </is>
      </c>
      <c r="C157" t="inlineStr">
        <is>
          <t>UKPN</t>
        </is>
      </c>
      <c r="D157" t="inlineStr">
        <is>
          <t>Ford</t>
        </is>
      </c>
      <c r="E157" t="inlineStr">
        <is>
          <t>Transit</t>
        </is>
      </c>
      <c r="F157" t="inlineStr">
        <is>
          <t>DN61XKJ</t>
        </is>
      </c>
      <c r="G157" t="inlineStr">
        <is>
          <t>JayDanTom</t>
        </is>
      </c>
      <c r="H157" t="inlineStr">
        <is>
          <t>4x44x4</t>
        </is>
      </c>
      <c r="I157" t="inlineStr">
        <is>
          <t>Daily/ Weekly Vehicle Inspection</t>
        </is>
      </c>
      <c r="J157" t="inlineStr">
        <is>
          <t>N/A</t>
        </is>
      </c>
      <c r="K157" t="inlineStr">
        <is>
          <t>7186 Eastwoodbury Tree Services Ltd</t>
        </is>
      </c>
      <c r="L157" t="inlineStr">
        <is>
          <t>04/12/2024 14:49</t>
        </is>
      </c>
      <c r="M157" t="inlineStr">
        <is>
          <t>None</t>
        </is>
      </c>
      <c r="N157" t="inlineStr">
        <is>
          <t>&lt;p&gt;&lt;/p&gt;</t>
        </is>
      </c>
      <c r="O157" t="inlineStr"/>
      <c r="P157" t="inlineStr">
        <is>
          <t>4x4 - Land Rover  - Defender - FN60 0XM4x4 - Santana  - Ps10 - AO57 BPFTipper - Ford - Transit - DN61XKJ</t>
        </is>
      </c>
      <c r="Q157" t="inlineStr">
        <is>
          <t>UKPN</t>
        </is>
      </c>
      <c r="R157" t="b">
        <v>0</v>
      </c>
    </row>
    <row r="158">
      <c r="A158" t="inlineStr">
        <is>
          <t>3 Dec 2024 / 6617 Ashdown Tree Limited</t>
        </is>
      </c>
      <c r="B158" t="inlineStr">
        <is>
          <t>Utilities &amp; Inland Waterways</t>
        </is>
      </c>
      <c r="C158" t="inlineStr">
        <is>
          <t>UKPN</t>
        </is>
      </c>
      <c r="D158" t="inlineStr">
        <is>
          <t>Ford</t>
        </is>
      </c>
      <c r="E158" t="inlineStr">
        <is>
          <t>Transit</t>
        </is>
      </c>
      <c r="F158" t="inlineStr">
        <is>
          <t>FE11BUT</t>
        </is>
      </c>
      <c r="G158" t="inlineStr">
        <is>
          <t>Ashley Luke</t>
        </is>
      </c>
      <c r="H158" t="inlineStr">
        <is>
          <t>4x4Tipper</t>
        </is>
      </c>
      <c r="I158" t="inlineStr">
        <is>
          <t>Daily/ Weekly Vehicle Inspection</t>
        </is>
      </c>
      <c r="J158" t="inlineStr">
        <is>
          <t>N/A</t>
        </is>
      </c>
      <c r="K158" t="inlineStr">
        <is>
          <t>6617 Ashdown Tree Limited</t>
        </is>
      </c>
      <c r="L158" t="inlineStr">
        <is>
          <t>04/12/2024 14:50</t>
        </is>
      </c>
      <c r="M158" t="inlineStr">
        <is>
          <t>None</t>
        </is>
      </c>
      <c r="N158" t="inlineStr">
        <is>
          <t>&lt;p&gt;&lt;/p&gt;</t>
        </is>
      </c>
      <c r="O158" t="inlineStr"/>
      <c r="P158" t="inlineStr">
        <is>
          <t>4x4 - Land rover  - Defender mewp  - TR55 tubTipper - Ford - Transit - FE11 BUT</t>
        </is>
      </c>
      <c r="Q158" t="inlineStr">
        <is>
          <t>UKPN</t>
        </is>
      </c>
      <c r="R158" t="b">
        <v>0</v>
      </c>
    </row>
    <row r="159">
      <c r="A159" t="inlineStr">
        <is>
          <t>3 Dec 2024 / 7889 Tree Tech Suffolk Ltd</t>
        </is>
      </c>
      <c r="B159" t="inlineStr">
        <is>
          <t>Utilities &amp; Inland Waterways</t>
        </is>
      </c>
      <c r="C159" t="inlineStr">
        <is>
          <t>UKPN</t>
        </is>
      </c>
      <c r="D159" t="inlineStr">
        <is>
          <t>Isuzu</t>
        </is>
      </c>
      <c r="E159" t="inlineStr">
        <is>
          <t>D-max</t>
        </is>
      </c>
      <c r="F159" t="inlineStr">
        <is>
          <t>NS03TTS</t>
        </is>
      </c>
      <c r="G159" t="inlineStr">
        <is>
          <t xml:space="preserve">Danny Appleby Danny Appleby </t>
        </is>
      </c>
      <c r="H159" t="inlineStr">
        <is>
          <t>4x4Towed Chipper</t>
        </is>
      </c>
      <c r="I159" t="inlineStr">
        <is>
          <t>Daily/ Weekly Vehicle Inspection</t>
        </is>
      </c>
      <c r="J159" t="inlineStr">
        <is>
          <t>N/A</t>
        </is>
      </c>
      <c r="K159" t="inlineStr">
        <is>
          <t>7889 Tree Tech Suffolk Ltd</t>
        </is>
      </c>
      <c r="L159" t="inlineStr">
        <is>
          <t>04/12/2024 14:51</t>
        </is>
      </c>
      <c r="M159" t="inlineStr">
        <is>
          <t>None</t>
        </is>
      </c>
      <c r="N159" t="inlineStr">
        <is>
          <t>&lt;p&gt;&lt;/p&gt;</t>
        </is>
      </c>
      <c r="O159" t="inlineStr"/>
      <c r="P159" t="inlineStr">
        <is>
          <t>4x4 - Isuzu - D-max - NS03 TTSTow Chipper - Jenson - A530L - 5521063948</t>
        </is>
      </c>
      <c r="Q159" t="inlineStr">
        <is>
          <t>UKPN</t>
        </is>
      </c>
      <c r="R159" t="b">
        <v>0</v>
      </c>
    </row>
    <row r="160">
      <c r="A160" t="inlineStr">
        <is>
          <t>6 Dec 2024 / 6617 Ashdown Tree Limited</t>
        </is>
      </c>
      <c r="B160" t="inlineStr">
        <is>
          <t>Utilities &amp; Inland Waterways</t>
        </is>
      </c>
      <c r="C160" t="inlineStr">
        <is>
          <t>UKPN</t>
        </is>
      </c>
      <c r="D160" t="inlineStr">
        <is>
          <t>Land Rover</t>
        </is>
      </c>
      <c r="E160" t="inlineStr">
        <is>
          <t>Defender</t>
        </is>
      </c>
      <c r="F160" t="inlineStr">
        <is>
          <t>GU11LKD</t>
        </is>
      </c>
      <c r="G160" t="inlineStr">
        <is>
          <t>Ashley Francis Dan Watkins</t>
        </is>
      </c>
      <c r="H160" t="inlineStr">
        <is>
          <t>4x44x4Tipper</t>
        </is>
      </c>
      <c r="I160" t="inlineStr">
        <is>
          <t>Daily/ Weekly Vehicle Inspection</t>
        </is>
      </c>
      <c r="J160" t="inlineStr">
        <is>
          <t>N/A</t>
        </is>
      </c>
      <c r="K160" t="inlineStr">
        <is>
          <t>6617 Ashdown Tree Limited</t>
        </is>
      </c>
      <c r="L160" t="inlineStr">
        <is>
          <t>06/12/2024 14:43</t>
        </is>
      </c>
      <c r="M160" t="inlineStr">
        <is>
          <t>None</t>
        </is>
      </c>
      <c r="N160" t="inlineStr">
        <is>
          <t>&lt;p&gt;&lt;/p&gt;</t>
        </is>
      </c>
      <c r="O160" t="inlineStr">
        <is>
          <t>Confirm that you have checked this vehicle as per the guidance document and the vehicle is fit to drive:AV67LXZ,New tipper just been added to S/C
-</t>
        </is>
      </c>
      <c r="P160" t="inlineStr">
        <is>
          <t>Vehicle - Land Rover - Discovery  - WF11 EJJ4x4 - Land Rover - Defender - GU11 LKDTipper - Ford - Transit - FE11 BUT</t>
        </is>
      </c>
      <c r="Q160" t="inlineStr">
        <is>
          <t>UKPN</t>
        </is>
      </c>
      <c r="R160" t="b">
        <v>0</v>
      </c>
    </row>
    <row r="161">
      <c r="A161" t="inlineStr">
        <is>
          <t>6 Dec 2024 / 7889 Tree Tech Suffolk Ltd</t>
        </is>
      </c>
      <c r="B161" t="inlineStr">
        <is>
          <t>Utilities &amp; Inland Waterways</t>
        </is>
      </c>
      <c r="C161" t="inlineStr">
        <is>
          <t>UKPN</t>
        </is>
      </c>
      <c r="D161" t="inlineStr">
        <is>
          <t>Isuzu</t>
        </is>
      </c>
      <c r="E161" t="inlineStr">
        <is>
          <t>D-max</t>
        </is>
      </c>
      <c r="F161" t="inlineStr">
        <is>
          <t>NS03TTS</t>
        </is>
      </c>
      <c r="G161" t="inlineStr">
        <is>
          <t xml:space="preserve">Danny Appleby </t>
        </is>
      </c>
      <c r="H161" t="inlineStr">
        <is>
          <t>4x4</t>
        </is>
      </c>
      <c r="I161" t="inlineStr">
        <is>
          <t>Daily/ Weekly Vehicle Inspection</t>
        </is>
      </c>
      <c r="J161" t="inlineStr">
        <is>
          <t>N/A</t>
        </is>
      </c>
      <c r="K161" t="inlineStr">
        <is>
          <t>7889 Tree Tech Suffolk Ltd</t>
        </is>
      </c>
      <c r="L161" t="inlineStr">
        <is>
          <t>06/12/2024 14:44</t>
        </is>
      </c>
      <c r="M161" t="inlineStr">
        <is>
          <t>None</t>
        </is>
      </c>
      <c r="N161" t="inlineStr">
        <is>
          <t>&lt;p&gt;&lt;/p&gt;</t>
        </is>
      </c>
      <c r="O161" t="inlineStr"/>
      <c r="P161" t="inlineStr">
        <is>
          <t>4x4 - Isuzu - D-max - NS03 TTS</t>
        </is>
      </c>
      <c r="Q161" t="inlineStr">
        <is>
          <t>UKPN</t>
        </is>
      </c>
      <c r="R161" t="b">
        <v>0</v>
      </c>
    </row>
    <row r="162">
      <c r="A162" t="inlineStr">
        <is>
          <t>6 Dec 2024 / 6617 Ashdown Tree Limited</t>
        </is>
      </c>
      <c r="B162" t="inlineStr">
        <is>
          <t>Utilities &amp; Inland Waterways</t>
        </is>
      </c>
      <c r="C162" t="inlineStr">
        <is>
          <t>UKPN</t>
        </is>
      </c>
      <c r="D162" t="inlineStr">
        <is>
          <t>Land Rover</t>
        </is>
      </c>
      <c r="E162" t="inlineStr">
        <is>
          <t>Defender</t>
        </is>
      </c>
      <c r="F162" t="inlineStr">
        <is>
          <t>GU11LKD</t>
        </is>
      </c>
      <c r="G162" t="inlineStr">
        <is>
          <t xml:space="preserve">Francis lesser </t>
        </is>
      </c>
      <c r="H162" t="inlineStr">
        <is>
          <t>4x4</t>
        </is>
      </c>
      <c r="I162" t="inlineStr">
        <is>
          <t>Daily/ Weekly Vehicle Inspection</t>
        </is>
      </c>
      <c r="J162" t="inlineStr">
        <is>
          <t>N/A</t>
        </is>
      </c>
      <c r="K162" t="inlineStr">
        <is>
          <t>6617 Ashdown Tree Limited</t>
        </is>
      </c>
      <c r="L162" t="inlineStr">
        <is>
          <t>06/12/2024 14:45</t>
        </is>
      </c>
      <c r="M162" t="inlineStr">
        <is>
          <t>None</t>
        </is>
      </c>
      <c r="N162" t="inlineStr">
        <is>
          <t>&lt;p&gt;&lt;/p&gt;</t>
        </is>
      </c>
      <c r="O162" t="inlineStr"/>
      <c r="P162" t="inlineStr">
        <is>
          <t>4x4 - Land Rover - Defender - GU11 LKD</t>
        </is>
      </c>
      <c r="Q162" t="inlineStr">
        <is>
          <t>UKPN</t>
        </is>
      </c>
      <c r="R162" t="b">
        <v>0</v>
      </c>
    </row>
    <row r="163">
      <c r="A163" t="inlineStr">
        <is>
          <t>6 Dec 2024 / 7186 Eastwoodbury Tree Services Ltd</t>
        </is>
      </c>
      <c r="B163" t="inlineStr">
        <is>
          <t>Utilities &amp; Inland Waterways</t>
        </is>
      </c>
      <c r="C163" t="inlineStr">
        <is>
          <t>UKPN</t>
        </is>
      </c>
      <c r="D163" t="inlineStr">
        <is>
          <t xml:space="preserve">Land Rover </t>
        </is>
      </c>
      <c r="E163" t="inlineStr">
        <is>
          <t>Defender</t>
        </is>
      </c>
      <c r="F163" t="inlineStr">
        <is>
          <t>FN600XM</t>
        </is>
      </c>
      <c r="G163" t="inlineStr">
        <is>
          <t xml:space="preserve">Tom Price Dan Gilbert Jay Denkmayer </t>
        </is>
      </c>
      <c r="H163" t="inlineStr">
        <is>
          <t>Tipper4x44x4</t>
        </is>
      </c>
      <c r="I163" t="inlineStr">
        <is>
          <t>Daily/ Weekly Vehicle Inspection</t>
        </is>
      </c>
      <c r="J163" t="inlineStr">
        <is>
          <t>N/A</t>
        </is>
      </c>
      <c r="K163" t="inlineStr">
        <is>
          <t>7186 Eastwoodbury Tree Services Ltd</t>
        </is>
      </c>
      <c r="L163" t="inlineStr">
        <is>
          <t>06/12/2024 14:46</t>
        </is>
      </c>
      <c r="M163" t="inlineStr">
        <is>
          <t>None</t>
        </is>
      </c>
      <c r="N163" t="inlineStr">
        <is>
          <t>&lt;p&gt;&lt;/p&gt;</t>
        </is>
      </c>
      <c r="O163" t="inlineStr"/>
      <c r="P163" t="inlineStr">
        <is>
          <t>Tipper - Ford - Transit - DN61XKJ4x4 - Santana  - Ps10 - AO57 BPF4x4 - Land Rover  - Defender - FN60 0XM</t>
        </is>
      </c>
      <c r="Q163" t="inlineStr">
        <is>
          <t>UKPN</t>
        </is>
      </c>
      <c r="R163" t="b">
        <v>0</v>
      </c>
    </row>
    <row r="164">
      <c r="A164" t="inlineStr">
        <is>
          <t>5 Dec 2024 / 6617 Ashdown Tree Limited</t>
        </is>
      </c>
      <c r="B164" t="inlineStr">
        <is>
          <t>Utilities &amp; Inland Waterways</t>
        </is>
      </c>
      <c r="C164" t="inlineStr">
        <is>
          <t>UKPN</t>
        </is>
      </c>
      <c r="D164" t="inlineStr">
        <is>
          <t>Land Rover</t>
        </is>
      </c>
      <c r="E164" t="inlineStr">
        <is>
          <t>Defender</t>
        </is>
      </c>
      <c r="F164" t="inlineStr">
        <is>
          <t>GU11LKD</t>
        </is>
      </c>
      <c r="G164" t="inlineStr">
        <is>
          <t xml:space="preserve">Ashley </t>
        </is>
      </c>
      <c r="H164" t="inlineStr">
        <is>
          <t>4x4</t>
        </is>
      </c>
      <c r="I164" t="inlineStr">
        <is>
          <t>Daily/ Weekly Vehicle Inspection</t>
        </is>
      </c>
      <c r="J164" t="inlineStr">
        <is>
          <t>N/A</t>
        </is>
      </c>
      <c r="K164" t="inlineStr">
        <is>
          <t>6617 Ashdown Tree Limited</t>
        </is>
      </c>
      <c r="L164" t="inlineStr">
        <is>
          <t>06/12/2024 14:47</t>
        </is>
      </c>
      <c r="M164" t="inlineStr">
        <is>
          <t>None</t>
        </is>
      </c>
      <c r="N164" t="inlineStr">
        <is>
          <t>&lt;p&gt;&lt;/p&gt;</t>
        </is>
      </c>
      <c r="O164" t="inlineStr"/>
      <c r="P164" t="inlineStr">
        <is>
          <t>Vehicle - Land Rover - Discovery  - WF11 EJJ</t>
        </is>
      </c>
      <c r="Q164" t="inlineStr">
        <is>
          <t>UKPN</t>
        </is>
      </c>
      <c r="R164" t="b">
        <v>0</v>
      </c>
    </row>
    <row r="165">
      <c r="A165" t="inlineStr">
        <is>
          <t>5 Dec 2024 / 3098 D &amp; R Landscapes (PEND Arb Rail)</t>
        </is>
      </c>
      <c r="B165" t="inlineStr">
        <is>
          <t>Utilities &amp; Inland Waterways</t>
        </is>
      </c>
      <c r="C165" t="inlineStr">
        <is>
          <t>UKPN</t>
        </is>
      </c>
      <c r="D165" t="inlineStr">
        <is>
          <t>Isuzu</t>
        </is>
      </c>
      <c r="E165" t="inlineStr">
        <is>
          <t>Grafter</t>
        </is>
      </c>
      <c r="F165" t="inlineStr">
        <is>
          <t>DE68XHA</t>
        </is>
      </c>
      <c r="G165" t="inlineStr">
        <is>
          <t xml:space="preserve">Jason MCCLOY </t>
        </is>
      </c>
      <c r="H165" t="inlineStr">
        <is>
          <t>Tipper</t>
        </is>
      </c>
      <c r="I165" t="inlineStr">
        <is>
          <t>Daily/ Weekly Vehicle Inspection</t>
        </is>
      </c>
      <c r="J165" t="inlineStr">
        <is>
          <t>N/A</t>
        </is>
      </c>
      <c r="K165" t="inlineStr">
        <is>
          <t>3098 D &amp; R Landscapes (PEND Arb Rail)</t>
        </is>
      </c>
      <c r="L165" t="inlineStr">
        <is>
          <t>06/12/2024 14:50</t>
        </is>
      </c>
      <c r="M165" t="inlineStr">
        <is>
          <t>None</t>
        </is>
      </c>
      <c r="N165" t="inlineStr">
        <is>
          <t>&lt;p&gt;&lt;/p&gt;</t>
        </is>
      </c>
      <c r="O165" t="inlineStr"/>
      <c r="P165" t="inlineStr">
        <is>
          <t>Tipper - Isuzu - Grafter - DE68 XHA</t>
        </is>
      </c>
      <c r="Q165" t="inlineStr">
        <is>
          <t>UKPN</t>
        </is>
      </c>
      <c r="R165" t="b">
        <v>0</v>
      </c>
    </row>
    <row r="166">
      <c r="A166" t="inlineStr">
        <is>
          <t>5 Dec 2024 / 6617 Ashdown Tree Limited</t>
        </is>
      </c>
      <c r="B166" t="inlineStr">
        <is>
          <t>Utilities &amp; Inland Waterways</t>
        </is>
      </c>
      <c r="C166" t="inlineStr">
        <is>
          <t>UKPN</t>
        </is>
      </c>
      <c r="D166" t="inlineStr">
        <is>
          <t>Land Rover</t>
        </is>
      </c>
      <c r="E166" t="inlineStr">
        <is>
          <t>Defender</t>
        </is>
      </c>
      <c r="F166" t="inlineStr">
        <is>
          <t>GU11LKD</t>
        </is>
      </c>
      <c r="G166" t="inlineStr">
        <is>
          <t>Francis Lesser</t>
        </is>
      </c>
      <c r="H166" t="inlineStr">
        <is>
          <t>4x4</t>
        </is>
      </c>
      <c r="I166" t="inlineStr">
        <is>
          <t>Daily/ Weekly Vehicle Inspection</t>
        </is>
      </c>
      <c r="J166" t="inlineStr">
        <is>
          <t>N/A</t>
        </is>
      </c>
      <c r="K166" t="inlineStr">
        <is>
          <t>6617 Ashdown Tree Limited</t>
        </is>
      </c>
      <c r="L166" t="inlineStr">
        <is>
          <t>06/12/2024 14:50</t>
        </is>
      </c>
      <c r="M166" t="inlineStr">
        <is>
          <t>None</t>
        </is>
      </c>
      <c r="N166" t="inlineStr">
        <is>
          <t>&lt;p&gt;&lt;/p&gt;</t>
        </is>
      </c>
      <c r="O166" t="inlineStr"/>
      <c r="P166" t="inlineStr">
        <is>
          <t>4x4 - Land Rover - Defender - GU11 LKD</t>
        </is>
      </c>
      <c r="Q166" t="inlineStr">
        <is>
          <t>UKPN</t>
        </is>
      </c>
      <c r="R166" t="b">
        <v>0</v>
      </c>
    </row>
    <row r="167">
      <c r="A167" t="inlineStr">
        <is>
          <t>5 Dec 2024 / 7889 Tree Tech Suffolk Ltd</t>
        </is>
      </c>
      <c r="B167" t="inlineStr">
        <is>
          <t>Utilities &amp; Inland Waterways</t>
        </is>
      </c>
      <c r="C167" t="inlineStr">
        <is>
          <t>UKPN</t>
        </is>
      </c>
      <c r="D167" t="inlineStr">
        <is>
          <t>Isuzu</t>
        </is>
      </c>
      <c r="E167" t="inlineStr">
        <is>
          <t>D-max</t>
        </is>
      </c>
      <c r="F167" t="inlineStr">
        <is>
          <t>NS03TTS</t>
        </is>
      </c>
      <c r="G167" t="inlineStr">
        <is>
          <t xml:space="preserve">Nikki sparrow Danny Appleby Danny Appleby </t>
        </is>
      </c>
      <c r="H167" t="inlineStr">
        <is>
          <t>4x4TipperTowed Chipper</t>
        </is>
      </c>
      <c r="I167" t="inlineStr">
        <is>
          <t>Daily/ Weekly Vehicle Inspection</t>
        </is>
      </c>
      <c r="J167" t="inlineStr">
        <is>
          <t>N/A</t>
        </is>
      </c>
      <c r="K167" t="inlineStr">
        <is>
          <t>7889 Tree Tech Suffolk Ltd</t>
        </is>
      </c>
      <c r="L167" t="inlineStr">
        <is>
          <t>06/12/2024 14:51</t>
        </is>
      </c>
      <c r="M167" t="inlineStr">
        <is>
          <t>None</t>
        </is>
      </c>
      <c r="N167" t="inlineStr">
        <is>
          <t>&lt;p&gt;&lt;/p&gt;</t>
        </is>
      </c>
      <c r="O167" t="inlineStr"/>
      <c r="P167" t="inlineStr">
        <is>
          <t>4x4 - Isuzu - D-max - NS03 TTSTipper - Nissan - Navara - NS02TTSTow Chipper - Jenson - A530L - 5521063948</t>
        </is>
      </c>
      <c r="Q167" t="inlineStr">
        <is>
          <t>UKPN</t>
        </is>
      </c>
      <c r="R167" t="b">
        <v>0</v>
      </c>
    </row>
    <row r="168">
      <c r="A168" t="inlineStr">
        <is>
          <t>5 Dec 2024 / 7800 MAC Trees and Fencing Ltd</t>
        </is>
      </c>
      <c r="B168" t="inlineStr">
        <is>
          <t>Utilities &amp; Inland Waterways</t>
        </is>
      </c>
      <c r="C168" t="inlineStr">
        <is>
          <t>UKPN</t>
        </is>
      </c>
      <c r="D168" t="inlineStr">
        <is>
          <t>Izuzu</t>
        </is>
      </c>
      <c r="E168" t="inlineStr">
        <is>
          <t>Dmax</t>
        </is>
      </c>
      <c r="F168" t="inlineStr">
        <is>
          <t>Ay68daa</t>
        </is>
      </c>
      <c r="G168" t="inlineStr">
        <is>
          <t xml:space="preserve">Lewis mac Lewis macnicol </t>
        </is>
      </c>
      <c r="H168" t="inlineStr">
        <is>
          <t>4x4Towed Chipper</t>
        </is>
      </c>
      <c r="I168" t="inlineStr">
        <is>
          <t>Daily/ Weekly Vehicle Inspection</t>
        </is>
      </c>
      <c r="J168" t="inlineStr">
        <is>
          <t>N/A</t>
        </is>
      </c>
      <c r="K168" t="inlineStr">
        <is>
          <t>7800 MAC Trees and Fencing Ltd</t>
        </is>
      </c>
      <c r="L168" t="inlineStr">
        <is>
          <t>06/12/2024 14:52</t>
        </is>
      </c>
      <c r="M168" t="inlineStr">
        <is>
          <t>None</t>
        </is>
      </c>
      <c r="N168" t="inlineStr">
        <is>
          <t>&lt;p&gt;&lt;/p&gt;</t>
        </is>
      </c>
      <c r="O168" t="inlineStr"/>
      <c r="P168" t="inlineStr">
        <is>
          <t>4x4 - Izuzu - Dmax - Ay68 daaTow Chipper - Timberwolf - TW150 - 205143043-a1</t>
        </is>
      </c>
      <c r="Q168" t="inlineStr">
        <is>
          <t>UKPN</t>
        </is>
      </c>
      <c r="R168" t="b">
        <v>0</v>
      </c>
    </row>
    <row r="169">
      <c r="A169" t="inlineStr">
        <is>
          <t>5 Dec 2024 / 7186 Eastwoodbury Tree Services Ltd</t>
        </is>
      </c>
      <c r="B169" t="inlineStr">
        <is>
          <t>Utilities &amp; Inland Waterways</t>
        </is>
      </c>
      <c r="C169" t="inlineStr">
        <is>
          <t>UKPN</t>
        </is>
      </c>
      <c r="D169" t="inlineStr">
        <is>
          <t xml:space="preserve">Land Rover </t>
        </is>
      </c>
      <c r="E169" t="inlineStr">
        <is>
          <t>Defender</t>
        </is>
      </c>
      <c r="F169" t="inlineStr">
        <is>
          <t>FN600XM</t>
        </is>
      </c>
      <c r="G169" t="inlineStr">
        <is>
          <t xml:space="preserve">Dan Gilbert Jay Denkmayer </t>
        </is>
      </c>
      <c r="H169" t="inlineStr">
        <is>
          <t>4x44x4</t>
        </is>
      </c>
      <c r="I169" t="inlineStr">
        <is>
          <t>Daily/ Weekly Vehicle Inspection</t>
        </is>
      </c>
      <c r="J169" t="inlineStr">
        <is>
          <t>N/A</t>
        </is>
      </c>
      <c r="K169" t="inlineStr">
        <is>
          <t>7186 Eastwoodbury Tree Services Ltd</t>
        </is>
      </c>
      <c r="L169" t="inlineStr">
        <is>
          <t>06/12/2024 14:53</t>
        </is>
      </c>
      <c r="M169" t="inlineStr">
        <is>
          <t>None</t>
        </is>
      </c>
      <c r="N169" t="inlineStr">
        <is>
          <t>&lt;p&gt;&lt;/p&gt;</t>
        </is>
      </c>
      <c r="O169" t="inlineStr"/>
      <c r="P169" t="inlineStr">
        <is>
          <t>4x4 - Santana  - Ps10 - AO57 BPF4x4 - Land Rover  - Defender - FN60 0XM</t>
        </is>
      </c>
      <c r="Q169" t="inlineStr">
        <is>
          <t>UKPN</t>
        </is>
      </c>
      <c r="R169" t="b">
        <v>0</v>
      </c>
    </row>
    <row r="170">
      <c r="A170" t="inlineStr">
        <is>
          <t>7 Dec 2024 / 6617 Ashdown Tree Limited</t>
        </is>
      </c>
      <c r="B170" t="inlineStr">
        <is>
          <t>Utilities &amp; Inland Waterways</t>
        </is>
      </c>
      <c r="C170" t="inlineStr">
        <is>
          <t>UKPN</t>
        </is>
      </c>
      <c r="D170" t="inlineStr">
        <is>
          <t xml:space="preserve">Land rover </t>
        </is>
      </c>
      <c r="E170" t="inlineStr">
        <is>
          <t xml:space="preserve">Defender mewp </t>
        </is>
      </c>
      <c r="F170" t="inlineStr">
        <is>
          <t>TR55TUB</t>
        </is>
      </c>
      <c r="G170" t="inlineStr">
        <is>
          <t>Ashley</t>
        </is>
      </c>
      <c r="H170" t="inlineStr">
        <is>
          <t>4x4</t>
        </is>
      </c>
      <c r="I170" t="inlineStr">
        <is>
          <t>Daily/ Weekly Vehicle Inspection</t>
        </is>
      </c>
      <c r="J170" t="inlineStr">
        <is>
          <t>N/A</t>
        </is>
      </c>
      <c r="K170" t="inlineStr">
        <is>
          <t>6617 Ashdown Tree Limited</t>
        </is>
      </c>
      <c r="L170" t="inlineStr">
        <is>
          <t>08/12/2024 14:42</t>
        </is>
      </c>
      <c r="M170" t="inlineStr">
        <is>
          <t>None</t>
        </is>
      </c>
      <c r="N170" t="inlineStr">
        <is>
          <t>&lt;p&gt;&lt;/p&gt;</t>
        </is>
      </c>
      <c r="O170" t="inlineStr"/>
      <c r="P170" t="inlineStr">
        <is>
          <t>4x4 - Land rover  - Defender mewp  - TR55 tub</t>
        </is>
      </c>
      <c r="Q170" t="inlineStr">
        <is>
          <t>UKPN</t>
        </is>
      </c>
      <c r="R170" t="b">
        <v>0</v>
      </c>
    </row>
    <row r="171">
      <c r="A171" t="inlineStr">
        <is>
          <t>10 Dec 2024 / 6617 Ashdown Tree Limited</t>
        </is>
      </c>
      <c r="B171" t="inlineStr">
        <is>
          <t>Utilities &amp; Inland Waterways</t>
        </is>
      </c>
      <c r="C171" t="inlineStr">
        <is>
          <t>UKPN</t>
        </is>
      </c>
      <c r="D171" t="inlineStr">
        <is>
          <t>Land Rover</t>
        </is>
      </c>
      <c r="E171" t="inlineStr">
        <is>
          <t>Defender</t>
        </is>
      </c>
      <c r="F171" t="inlineStr">
        <is>
          <t>GU11LKD</t>
        </is>
      </c>
      <c r="G171" t="inlineStr">
        <is>
          <t xml:space="preserve">Ashley </t>
        </is>
      </c>
      <c r="H171" t="inlineStr">
        <is>
          <t>4x4</t>
        </is>
      </c>
      <c r="I171" t="inlineStr">
        <is>
          <t>Daily/ Weekly Vehicle Inspection</t>
        </is>
      </c>
      <c r="J171" t="inlineStr">
        <is>
          <t>N/A</t>
        </is>
      </c>
      <c r="K171" t="inlineStr">
        <is>
          <t>6617 Ashdown Tree Limited</t>
        </is>
      </c>
      <c r="L171" t="inlineStr">
        <is>
          <t>10/12/2024 14:46</t>
        </is>
      </c>
      <c r="M171" t="inlineStr">
        <is>
          <t>None</t>
        </is>
      </c>
      <c r="N171" t="inlineStr">
        <is>
          <t>&lt;p&gt;&lt;/p&gt;</t>
        </is>
      </c>
      <c r="O171" t="inlineStr"/>
      <c r="P171" t="inlineStr">
        <is>
          <t>Vehicle - Land Rover - Discovery  - WF11 EJJ</t>
        </is>
      </c>
      <c r="Q171" t="inlineStr">
        <is>
          <t>UKPN</t>
        </is>
      </c>
      <c r="R171" t="b">
        <v>0</v>
      </c>
    </row>
    <row r="172">
      <c r="A172" t="inlineStr">
        <is>
          <t>10 Dec 2024 / 7800 MAC Trees and Fencing Ltd</t>
        </is>
      </c>
      <c r="B172" t="inlineStr">
        <is>
          <t>Utilities &amp; Inland Waterways</t>
        </is>
      </c>
      <c r="C172" t="inlineStr">
        <is>
          <t>UKPN</t>
        </is>
      </c>
      <c r="D172" t="inlineStr">
        <is>
          <t>Izuzu</t>
        </is>
      </c>
      <c r="E172" t="inlineStr">
        <is>
          <t>Dmax</t>
        </is>
      </c>
      <c r="F172" t="inlineStr">
        <is>
          <t>Ay68daa</t>
        </is>
      </c>
      <c r="G172" t="inlineStr">
        <is>
          <t xml:space="preserve">Lewis macnicol Lewis macnicol </t>
        </is>
      </c>
      <c r="H172" t="inlineStr">
        <is>
          <t>4x4Towed Chipper</t>
        </is>
      </c>
      <c r="I172" t="inlineStr">
        <is>
          <t>Daily/ Weekly Vehicle Inspection</t>
        </is>
      </c>
      <c r="J172" t="inlineStr">
        <is>
          <t>N/A</t>
        </is>
      </c>
      <c r="K172" t="inlineStr">
        <is>
          <t>7800 MAC Trees and Fencing Ltd</t>
        </is>
      </c>
      <c r="L172" t="inlineStr">
        <is>
          <t>10/12/2024 14:47</t>
        </is>
      </c>
      <c r="M172" t="inlineStr">
        <is>
          <t>None</t>
        </is>
      </c>
      <c r="N172" t="inlineStr">
        <is>
          <t>&lt;p&gt;&lt;/p&gt;</t>
        </is>
      </c>
      <c r="O172" t="inlineStr"/>
      <c r="P172" t="inlineStr">
        <is>
          <t>4x4 - Izuzu - Dmax - Ay68 daaTow Chipper - Timberwolf - TW150 - 205143043-a1</t>
        </is>
      </c>
      <c r="Q172" t="inlineStr">
        <is>
          <t>UKPN</t>
        </is>
      </c>
      <c r="R172" t="b">
        <v>0</v>
      </c>
    </row>
    <row r="173">
      <c r="A173" t="inlineStr">
        <is>
          <t>10 Dec 2024 / 7889 Tree Tech Suffolk Ltd</t>
        </is>
      </c>
      <c r="B173" t="inlineStr">
        <is>
          <t>Utilities &amp; Inland Waterways</t>
        </is>
      </c>
      <c r="C173" t="inlineStr">
        <is>
          <t>UKPN</t>
        </is>
      </c>
      <c r="D173" t="inlineStr">
        <is>
          <t>Isuzu</t>
        </is>
      </c>
      <c r="E173" t="inlineStr">
        <is>
          <t>D-max</t>
        </is>
      </c>
      <c r="F173" t="inlineStr">
        <is>
          <t>NS03TTS</t>
        </is>
      </c>
      <c r="G173" t="inlineStr">
        <is>
          <t xml:space="preserve">Danny Appleby Danny Appleby </t>
        </is>
      </c>
      <c r="H173" t="inlineStr">
        <is>
          <t>4x4Towed Chipper</t>
        </is>
      </c>
      <c r="I173" t="inlineStr">
        <is>
          <t>Daily/ Weekly Vehicle Inspection</t>
        </is>
      </c>
      <c r="J173" t="inlineStr">
        <is>
          <t>N/A</t>
        </is>
      </c>
      <c r="K173" t="inlineStr">
        <is>
          <t>7889 Tree Tech Suffolk Ltd</t>
        </is>
      </c>
      <c r="L173" t="inlineStr">
        <is>
          <t>10/12/2024 14:48</t>
        </is>
      </c>
      <c r="M173" t="inlineStr">
        <is>
          <t>None</t>
        </is>
      </c>
      <c r="N173" t="inlineStr">
        <is>
          <t>&lt;p&gt;&lt;/p&gt;</t>
        </is>
      </c>
      <c r="O173" t="inlineStr"/>
      <c r="P173" t="inlineStr">
        <is>
          <t>4x4 - Isuzu - D-max - NS03 TTSTow Chipper - Jenson - A530L - 5521063948</t>
        </is>
      </c>
      <c r="Q173" t="inlineStr">
        <is>
          <t>UKPN</t>
        </is>
      </c>
      <c r="R173" t="b">
        <v>0</v>
      </c>
    </row>
    <row r="174">
      <c r="A174" t="inlineStr">
        <is>
          <t>10 Dec 2024 / 6617 Ashdown Tree Limited</t>
        </is>
      </c>
      <c r="B174" t="inlineStr">
        <is>
          <t>Utilities &amp; Inland Waterways</t>
        </is>
      </c>
      <c r="C174" t="inlineStr">
        <is>
          <t>UKPN</t>
        </is>
      </c>
      <c r="D174" t="inlineStr">
        <is>
          <t>Land Rover</t>
        </is>
      </c>
      <c r="E174" t="inlineStr">
        <is>
          <t>Defender</t>
        </is>
      </c>
      <c r="F174" t="inlineStr">
        <is>
          <t>GU11LKD</t>
        </is>
      </c>
      <c r="G174" t="inlineStr">
        <is>
          <t xml:space="preserve">Francis lesser </t>
        </is>
      </c>
      <c r="H174" t="inlineStr">
        <is>
          <t>4x4</t>
        </is>
      </c>
      <c r="I174" t="inlineStr">
        <is>
          <t>Daily/ Weekly Vehicle Inspection</t>
        </is>
      </c>
      <c r="J174" t="inlineStr">
        <is>
          <t>N/A</t>
        </is>
      </c>
      <c r="K174" t="inlineStr">
        <is>
          <t>6617 Ashdown Tree Limited</t>
        </is>
      </c>
      <c r="L174" t="inlineStr">
        <is>
          <t>10/12/2024 14:49</t>
        </is>
      </c>
      <c r="M174" t="inlineStr">
        <is>
          <t>None</t>
        </is>
      </c>
      <c r="N174" t="inlineStr">
        <is>
          <t>&lt;p&gt;&lt;/p&gt;</t>
        </is>
      </c>
      <c r="O174" t="inlineStr"/>
      <c r="P174" t="inlineStr">
        <is>
          <t>4x4 - Land Rover - Defender - GU11 LKD</t>
        </is>
      </c>
      <c r="Q174" t="inlineStr">
        <is>
          <t>UKPN</t>
        </is>
      </c>
      <c r="R174" t="b">
        <v>0</v>
      </c>
    </row>
    <row r="175">
      <c r="A175" t="inlineStr">
        <is>
          <t>10 Dec 2024 / 7186 Eastwoodbury Tree Services Ltd</t>
        </is>
      </c>
      <c r="B175" t="inlineStr">
        <is>
          <t>Utilities &amp; Inland Waterways</t>
        </is>
      </c>
      <c r="C175" t="inlineStr">
        <is>
          <t>UKPN</t>
        </is>
      </c>
      <c r="D175" t="inlineStr">
        <is>
          <t xml:space="preserve">Land Rover </t>
        </is>
      </c>
      <c r="E175" t="inlineStr">
        <is>
          <t>Defender</t>
        </is>
      </c>
      <c r="F175" t="inlineStr">
        <is>
          <t>FN600XM</t>
        </is>
      </c>
      <c r="G175" t="inlineStr">
        <is>
          <t xml:space="preserve">Tom Price Dan Gilbert Jay Denkmayer </t>
        </is>
      </c>
      <c r="H175" t="inlineStr">
        <is>
          <t>Tipper4x44x4</t>
        </is>
      </c>
      <c r="I175" t="inlineStr">
        <is>
          <t>Daily/ Weekly Vehicle Inspection</t>
        </is>
      </c>
      <c r="J175" t="inlineStr">
        <is>
          <t>N/A</t>
        </is>
      </c>
      <c r="K175" t="inlineStr">
        <is>
          <t>7186 Eastwoodbury Tree Services Ltd</t>
        </is>
      </c>
      <c r="L175" t="inlineStr">
        <is>
          <t>10/12/2024 14:51</t>
        </is>
      </c>
      <c r="M175" t="inlineStr">
        <is>
          <t>None</t>
        </is>
      </c>
      <c r="N175" t="inlineStr">
        <is>
          <t>&lt;p&gt;&lt;/p&gt;</t>
        </is>
      </c>
      <c r="O175" t="inlineStr"/>
      <c r="P175" t="inlineStr">
        <is>
          <t>Tipper - Ford - Transit - DN61XKJ4x4 - Santana  - Ps10 - AO57 BPF4x4 - Land Rover  - Defender - FN60 0XM</t>
        </is>
      </c>
      <c r="Q175" t="inlineStr">
        <is>
          <t>UKPN</t>
        </is>
      </c>
      <c r="R175" t="b">
        <v>0</v>
      </c>
    </row>
    <row r="176">
      <c r="A176" t="inlineStr">
        <is>
          <t>9 Dec 2024 / 7800 MAC Trees and Fencing Ltd</t>
        </is>
      </c>
      <c r="B176" t="inlineStr">
        <is>
          <t>Utilities &amp; Inland Waterways</t>
        </is>
      </c>
      <c r="C176" t="inlineStr">
        <is>
          <t>UKPN</t>
        </is>
      </c>
      <c r="D176" t="inlineStr">
        <is>
          <t>Izuzu</t>
        </is>
      </c>
      <c r="E176" t="inlineStr">
        <is>
          <t>Dmax</t>
        </is>
      </c>
      <c r="F176" t="inlineStr">
        <is>
          <t>Ay68daa</t>
        </is>
      </c>
      <c r="G176" t="inlineStr">
        <is>
          <t>Lewis macLewis mac</t>
        </is>
      </c>
      <c r="H176" t="inlineStr">
        <is>
          <t>4x4Towed Chipper</t>
        </is>
      </c>
      <c r="I176" t="inlineStr">
        <is>
          <t>Daily/ Weekly Vehicle Inspection</t>
        </is>
      </c>
      <c r="J176" t="inlineStr">
        <is>
          <t>N/A</t>
        </is>
      </c>
      <c r="K176" t="inlineStr">
        <is>
          <t>7800 MAC Trees and Fencing Ltd</t>
        </is>
      </c>
      <c r="L176" t="inlineStr">
        <is>
          <t>10/12/2024 14:52</t>
        </is>
      </c>
      <c r="M176" t="inlineStr">
        <is>
          <t>None</t>
        </is>
      </c>
      <c r="N176" t="inlineStr">
        <is>
          <t>&lt;p&gt;&lt;/p&gt;</t>
        </is>
      </c>
      <c r="O176" t="inlineStr"/>
      <c r="P176" t="inlineStr">
        <is>
          <t>4x4 - Izuzu - Dmax - Ay68 daaTow Chipper - Timberwolf - TW150 - 205143043-a1</t>
        </is>
      </c>
      <c r="Q176" t="inlineStr">
        <is>
          <t>UKPN</t>
        </is>
      </c>
      <c r="R176" t="b">
        <v>0</v>
      </c>
    </row>
    <row r="177">
      <c r="A177" t="inlineStr">
        <is>
          <t>9 Dec 2024 / 7186 Eastwoodbury Tree Services Ltd</t>
        </is>
      </c>
      <c r="B177" t="inlineStr">
        <is>
          <t>Utilities &amp; Inland Waterways</t>
        </is>
      </c>
      <c r="C177" t="inlineStr">
        <is>
          <t>UKPN</t>
        </is>
      </c>
      <c r="D177" t="inlineStr">
        <is>
          <t xml:space="preserve">Land Rover </t>
        </is>
      </c>
      <c r="E177" t="inlineStr">
        <is>
          <t>Defender</t>
        </is>
      </c>
      <c r="F177" t="inlineStr">
        <is>
          <t>FN600XM</t>
        </is>
      </c>
      <c r="G177" t="inlineStr">
        <is>
          <t xml:space="preserve">Dan Gilbert Jay Denkmayer </t>
        </is>
      </c>
      <c r="H177" t="inlineStr">
        <is>
          <t>4x44x4</t>
        </is>
      </c>
      <c r="I177" t="inlineStr">
        <is>
          <t>Daily/ Weekly Vehicle Inspection</t>
        </is>
      </c>
      <c r="J177" t="inlineStr">
        <is>
          <t>N/A</t>
        </is>
      </c>
      <c r="K177" t="inlineStr">
        <is>
          <t>7186 Eastwoodbury Tree Services Ltd</t>
        </is>
      </c>
      <c r="L177" t="inlineStr">
        <is>
          <t>10/12/2024 14:53</t>
        </is>
      </c>
      <c r="M177" t="inlineStr">
        <is>
          <t>None</t>
        </is>
      </c>
      <c r="N177" t="inlineStr">
        <is>
          <t>&lt;p&gt;&lt;/p&gt;</t>
        </is>
      </c>
      <c r="O177" t="inlineStr"/>
      <c r="P177" t="inlineStr">
        <is>
          <t>4x4 - Santana  - Ps10 - AO57 BPF4x4 - Land Rover  - Defender - FN60 0XM</t>
        </is>
      </c>
      <c r="Q177" t="inlineStr">
        <is>
          <t>UKPN</t>
        </is>
      </c>
      <c r="R177" t="b">
        <v>0</v>
      </c>
    </row>
    <row r="178">
      <c r="A178" t="inlineStr">
        <is>
          <t>9 Dec 2024 / 6617 Ashdown Tree Limited</t>
        </is>
      </c>
      <c r="B178" t="inlineStr">
        <is>
          <t>Utilities &amp; Inland Waterways</t>
        </is>
      </c>
      <c r="C178" t="inlineStr">
        <is>
          <t>UKPN</t>
        </is>
      </c>
      <c r="D178" t="inlineStr">
        <is>
          <t>Land Rover</t>
        </is>
      </c>
      <c r="E178" t="inlineStr">
        <is>
          <t>Defender</t>
        </is>
      </c>
      <c r="F178" t="inlineStr">
        <is>
          <t>GU11LKD</t>
        </is>
      </c>
      <c r="G178" t="inlineStr">
        <is>
          <t xml:space="preserve">Francis lesser Luke Williams Luke Williams </t>
        </is>
      </c>
      <c r="H178" t="inlineStr">
        <is>
          <t>4x4TipperTowed Chipper</t>
        </is>
      </c>
      <c r="I178" t="inlineStr">
        <is>
          <t>Daily/ Weekly Vehicle Inspection</t>
        </is>
      </c>
      <c r="J178" t="inlineStr">
        <is>
          <t>N/A</t>
        </is>
      </c>
      <c r="K178" t="inlineStr">
        <is>
          <t>6617 Ashdown Tree Limited</t>
        </is>
      </c>
      <c r="L178" t="inlineStr">
        <is>
          <t>10/12/2024 14:55</t>
        </is>
      </c>
      <c r="M178" t="inlineStr">
        <is>
          <t>None</t>
        </is>
      </c>
      <c r="N178" t="inlineStr">
        <is>
          <t>&lt;p&gt;&lt;/p&gt;</t>
        </is>
      </c>
      <c r="O178" t="inlineStr"/>
      <c r="P178" t="inlineStr">
        <is>
          <t>4x4 - Land Rover - Defender - GU11 LKDTipper - Ford - Transit - FE11 BUTTow Chipper - Timberwolf - TW230 - SBXTW 37A2PS241049</t>
        </is>
      </c>
      <c r="Q178" t="inlineStr">
        <is>
          <t>UKPN</t>
        </is>
      </c>
      <c r="R178" t="b">
        <v>0</v>
      </c>
    </row>
    <row r="179">
      <c r="A179" t="inlineStr">
        <is>
          <t>9 Dec 2024 / 7889 Tree Tech Suffolk Ltd</t>
        </is>
      </c>
      <c r="B179" t="inlineStr">
        <is>
          <t>Utilities &amp; Inland Waterways</t>
        </is>
      </c>
      <c r="C179" t="inlineStr">
        <is>
          <t>UKPN</t>
        </is>
      </c>
      <c r="D179" t="inlineStr">
        <is>
          <t>Isuzu</t>
        </is>
      </c>
      <c r="E179" t="inlineStr">
        <is>
          <t>D-max</t>
        </is>
      </c>
      <c r="F179" t="inlineStr">
        <is>
          <t>NS03TTS</t>
        </is>
      </c>
      <c r="G179" t="inlineStr">
        <is>
          <t xml:space="preserve">Nikki sparrow Danny Appleby Danny Appleby </t>
        </is>
      </c>
      <c r="H179" t="inlineStr">
        <is>
          <t>4x4TipperTowed Chipper</t>
        </is>
      </c>
      <c r="I179" t="inlineStr">
        <is>
          <t>Daily/ Weekly Vehicle Inspection</t>
        </is>
      </c>
      <c r="J179" t="inlineStr">
        <is>
          <t>N/A</t>
        </is>
      </c>
      <c r="K179" t="inlineStr">
        <is>
          <t>7889 Tree Tech Suffolk Ltd</t>
        </is>
      </c>
      <c r="L179" t="inlineStr">
        <is>
          <t>10/12/2024 14:56</t>
        </is>
      </c>
      <c r="M179" t="inlineStr">
        <is>
          <t>None</t>
        </is>
      </c>
      <c r="N179" t="inlineStr">
        <is>
          <t>&lt;p&gt;&lt;/p&gt;</t>
        </is>
      </c>
      <c r="O179" t="inlineStr"/>
      <c r="P179" t="inlineStr">
        <is>
          <t>4x4 - Isuzu - D-max - NS03 TTSTipper - Mercedes - Sprinter - NS06TTSTow Chipper - Jenson - A530L - 5521063948</t>
        </is>
      </c>
      <c r="Q179" t="inlineStr">
        <is>
          <t>UKPN</t>
        </is>
      </c>
      <c r="R179" t="b">
        <v>0</v>
      </c>
    </row>
    <row r="180">
      <c r="A180" t="inlineStr">
        <is>
          <t>12 Dec 2024 / 3098 D &amp; R Landscapes (PEND Arb Rail)</t>
        </is>
      </c>
      <c r="B180" t="inlineStr">
        <is>
          <t>Utilities &amp; Inland Waterways</t>
        </is>
      </c>
      <c r="C180" t="inlineStr">
        <is>
          <t>UKPN</t>
        </is>
      </c>
      <c r="D180" t="inlineStr">
        <is>
          <t>Nissan</t>
        </is>
      </c>
      <c r="E180" t="inlineStr">
        <is>
          <t>Navara</t>
        </is>
      </c>
      <c r="F180" t="inlineStr">
        <is>
          <t>FX17YVM</t>
        </is>
      </c>
      <c r="G180" t="inlineStr">
        <is>
          <t xml:space="preserve">Richard Payne </t>
        </is>
      </c>
      <c r="H180" t="inlineStr">
        <is>
          <t>Tipper</t>
        </is>
      </c>
      <c r="I180" t="inlineStr">
        <is>
          <t>Daily/ Weekly Vehicle Inspection</t>
        </is>
      </c>
      <c r="J180" t="inlineStr">
        <is>
          <t>N/A</t>
        </is>
      </c>
      <c r="K180" t="inlineStr">
        <is>
          <t>3098 D &amp; R Landscapes (PEND Arb Rail)</t>
        </is>
      </c>
      <c r="L180" t="inlineStr">
        <is>
          <t>12/12/2024 14:43</t>
        </is>
      </c>
      <c r="M180" t="inlineStr">
        <is>
          <t>None</t>
        </is>
      </c>
      <c r="N180" t="inlineStr">
        <is>
          <t>&lt;p&gt;&lt;/p&gt;</t>
        </is>
      </c>
      <c r="O180" t="inlineStr"/>
      <c r="P180" t="inlineStr">
        <is>
          <t>Tipper - Isuzu - Grafter - DE68 XHA</t>
        </is>
      </c>
      <c r="Q180" t="inlineStr">
        <is>
          <t>UKPN</t>
        </is>
      </c>
      <c r="R180" t="b">
        <v>0</v>
      </c>
    </row>
    <row r="181">
      <c r="A181" t="inlineStr">
        <is>
          <t>12 Dec 2024 / 6617 Ashdown Tree Limited</t>
        </is>
      </c>
      <c r="B181" t="inlineStr">
        <is>
          <t>Utilities &amp; Inland Waterways</t>
        </is>
      </c>
      <c r="C181" t="inlineStr">
        <is>
          <t>UKPN</t>
        </is>
      </c>
      <c r="D181" t="inlineStr">
        <is>
          <t>Land Rover</t>
        </is>
      </c>
      <c r="E181" t="inlineStr">
        <is>
          <t>Defender</t>
        </is>
      </c>
      <c r="F181" t="inlineStr">
        <is>
          <t>GU11LKD</t>
        </is>
      </c>
      <c r="G181" t="inlineStr">
        <is>
          <t xml:space="preserve">Ashley </t>
        </is>
      </c>
      <c r="H181" t="inlineStr">
        <is>
          <t>Tipper</t>
        </is>
      </c>
      <c r="I181" t="inlineStr">
        <is>
          <t>Daily/ Weekly Vehicle Inspection</t>
        </is>
      </c>
      <c r="J181" t="inlineStr">
        <is>
          <t>N/A</t>
        </is>
      </c>
      <c r="K181" t="inlineStr">
        <is>
          <t>6617 Ashdown Tree Limited</t>
        </is>
      </c>
      <c r="L181" t="inlineStr">
        <is>
          <t>12/12/2024 14:44</t>
        </is>
      </c>
      <c r="M181" t="inlineStr">
        <is>
          <t>None</t>
        </is>
      </c>
      <c r="N181" t="inlineStr">
        <is>
          <t>&lt;p&gt;&lt;/p&gt;</t>
        </is>
      </c>
      <c r="O181" t="inlineStr"/>
      <c r="P181" t="inlineStr">
        <is>
          <t>Tipper - Ford - Transit - TR66 BOY</t>
        </is>
      </c>
      <c r="Q181" t="inlineStr">
        <is>
          <t>UKPN</t>
        </is>
      </c>
      <c r="R181" t="b">
        <v>0</v>
      </c>
    </row>
    <row r="182">
      <c r="A182" t="inlineStr">
        <is>
          <t>12 Dec 2024 / 3098 D &amp; R Landscapes (PEND Arb Rail)</t>
        </is>
      </c>
      <c r="B182" t="inlineStr">
        <is>
          <t>Utilities &amp; Inland Waterways</t>
        </is>
      </c>
      <c r="C182" t="inlineStr">
        <is>
          <t>UKPN</t>
        </is>
      </c>
      <c r="D182" t="inlineStr">
        <is>
          <t>Nissan</t>
        </is>
      </c>
      <c r="E182" t="inlineStr">
        <is>
          <t>Navara</t>
        </is>
      </c>
      <c r="F182" t="inlineStr">
        <is>
          <t>FX17YVM</t>
        </is>
      </c>
      <c r="G182" t="inlineStr">
        <is>
          <t>Jason MCCLOY</t>
        </is>
      </c>
      <c r="H182" t="inlineStr">
        <is>
          <t>4x4</t>
        </is>
      </c>
      <c r="I182" t="inlineStr">
        <is>
          <t>Daily/ Weekly Vehicle Inspection</t>
        </is>
      </c>
      <c r="J182" t="inlineStr">
        <is>
          <t>N/A</t>
        </is>
      </c>
      <c r="K182" t="inlineStr">
        <is>
          <t>3098 D &amp; R Landscapes (PEND Arb Rail)</t>
        </is>
      </c>
      <c r="L182" t="inlineStr">
        <is>
          <t>12/12/2024 14:45</t>
        </is>
      </c>
      <c r="M182" t="inlineStr">
        <is>
          <t>None</t>
        </is>
      </c>
      <c r="N182" t="inlineStr">
        <is>
          <t>&lt;p&gt;&lt;/p&gt;</t>
        </is>
      </c>
      <c r="O182" t="inlineStr"/>
      <c r="P182" t="inlineStr">
        <is>
          <t>Vehicle - Nissan - Navara - FX17 YVM</t>
        </is>
      </c>
      <c r="Q182" t="inlineStr">
        <is>
          <t>UKPN</t>
        </is>
      </c>
      <c r="R182" t="b">
        <v>0</v>
      </c>
    </row>
    <row r="183">
      <c r="A183" t="inlineStr">
        <is>
          <t>12 Dec 2024 / 7800 MAC Trees and Fencing Ltd</t>
        </is>
      </c>
      <c r="B183" t="inlineStr">
        <is>
          <t>Utilities &amp; Inland Waterways</t>
        </is>
      </c>
      <c r="C183" t="inlineStr">
        <is>
          <t>UKPN</t>
        </is>
      </c>
      <c r="D183" t="inlineStr">
        <is>
          <t>Izuzu</t>
        </is>
      </c>
      <c r="E183" t="inlineStr">
        <is>
          <t>Dmax</t>
        </is>
      </c>
      <c r="F183" t="inlineStr">
        <is>
          <t>Ay68daa</t>
        </is>
      </c>
      <c r="G183" t="inlineStr">
        <is>
          <t xml:space="preserve">Lewis macLewis mac </t>
        </is>
      </c>
      <c r="H183" t="inlineStr">
        <is>
          <t>4x4Towed Chipper</t>
        </is>
      </c>
      <c r="I183" t="inlineStr">
        <is>
          <t>Daily/ Weekly Vehicle Inspection</t>
        </is>
      </c>
      <c r="J183" t="inlineStr">
        <is>
          <t>N/A</t>
        </is>
      </c>
      <c r="K183" t="inlineStr">
        <is>
          <t>7800 MAC Trees and Fencing Ltd</t>
        </is>
      </c>
      <c r="L183" t="inlineStr">
        <is>
          <t>12/12/2024 14:46</t>
        </is>
      </c>
      <c r="M183" t="inlineStr">
        <is>
          <t>None</t>
        </is>
      </c>
      <c r="N183" t="inlineStr">
        <is>
          <t>&lt;p&gt;&lt;/p&gt;</t>
        </is>
      </c>
      <c r="O183" t="inlineStr"/>
      <c r="P183" t="inlineStr">
        <is>
          <t>4x4 - Izuzu - Dmax - Ay68 daaTow Chipper - Timberwolf - TW150 - 205143043-a1</t>
        </is>
      </c>
      <c r="Q183" t="inlineStr">
        <is>
          <t>UKPN</t>
        </is>
      </c>
      <c r="R183" t="b">
        <v>0</v>
      </c>
    </row>
    <row r="184">
      <c r="A184" t="inlineStr">
        <is>
          <t>12 Dec 2024 / 7889 Tree Tech Suffolk Ltd</t>
        </is>
      </c>
      <c r="B184" t="inlineStr">
        <is>
          <t>Utilities &amp; Inland Waterways</t>
        </is>
      </c>
      <c r="C184" t="inlineStr">
        <is>
          <t>UKPN</t>
        </is>
      </c>
      <c r="D184" t="inlineStr">
        <is>
          <t>Isuzu</t>
        </is>
      </c>
      <c r="E184" t="inlineStr">
        <is>
          <t>D-max</t>
        </is>
      </c>
      <c r="F184" t="inlineStr">
        <is>
          <t>NS03TTS</t>
        </is>
      </c>
      <c r="G184" t="inlineStr">
        <is>
          <t xml:space="preserve">Nikki sparrow Danny Appleby Danny Appleby </t>
        </is>
      </c>
      <c r="H184" t="inlineStr">
        <is>
          <t>4x4TipperTowed Chipper</t>
        </is>
      </c>
      <c r="I184" t="inlineStr">
        <is>
          <t>Daily/ Weekly Vehicle Inspection</t>
        </is>
      </c>
      <c r="J184" t="inlineStr">
        <is>
          <t>N/A</t>
        </is>
      </c>
      <c r="K184" t="inlineStr">
        <is>
          <t>7889 Tree Tech Suffolk Ltd</t>
        </is>
      </c>
      <c r="L184" t="inlineStr">
        <is>
          <t>12/12/2024 14:47</t>
        </is>
      </c>
      <c r="M184" t="inlineStr">
        <is>
          <t>None</t>
        </is>
      </c>
      <c r="N184" t="inlineStr">
        <is>
          <t>&lt;p&gt;&lt;/p&gt;</t>
        </is>
      </c>
      <c r="O184" t="inlineStr"/>
      <c r="P184" t="inlineStr">
        <is>
          <t>4x4 - Isuzu - D-max - NS03 TTSTipper - Nissan - Navara - NS02TTSTow Chipper - Jenson - A530L - 5521063948</t>
        </is>
      </c>
      <c r="Q184" t="inlineStr">
        <is>
          <t>UKPN</t>
        </is>
      </c>
      <c r="R184" t="b">
        <v>0</v>
      </c>
    </row>
    <row r="185">
      <c r="A185" t="inlineStr">
        <is>
          <t>12 Dec 2024 / 6617 Ashdown Tree Limited</t>
        </is>
      </c>
      <c r="B185" t="inlineStr">
        <is>
          <t>Utilities &amp; Inland Waterways</t>
        </is>
      </c>
      <c r="C185" t="inlineStr">
        <is>
          <t>UKPN</t>
        </is>
      </c>
      <c r="D185" t="inlineStr">
        <is>
          <t>Land Rover</t>
        </is>
      </c>
      <c r="E185" t="inlineStr">
        <is>
          <t>Defender</t>
        </is>
      </c>
      <c r="F185" t="inlineStr">
        <is>
          <t>GU11LKD</t>
        </is>
      </c>
      <c r="G185" t="inlineStr">
        <is>
          <t>Frances Lesser</t>
        </is>
      </c>
      <c r="H185" t="inlineStr">
        <is>
          <t>4x4</t>
        </is>
      </c>
      <c r="I185" t="inlineStr">
        <is>
          <t>Daily/ Weekly Vehicle Inspection</t>
        </is>
      </c>
      <c r="J185" t="inlineStr">
        <is>
          <t>N/A</t>
        </is>
      </c>
      <c r="K185" t="inlineStr">
        <is>
          <t>6617 Ashdown Tree Limited</t>
        </is>
      </c>
      <c r="L185" t="inlineStr">
        <is>
          <t>12/12/2024 14:48</t>
        </is>
      </c>
      <c r="M185" t="inlineStr">
        <is>
          <t>None</t>
        </is>
      </c>
      <c r="N185" t="inlineStr">
        <is>
          <t>&lt;p&gt;&lt;/p&gt;</t>
        </is>
      </c>
      <c r="O185" t="inlineStr"/>
      <c r="P185" t="inlineStr">
        <is>
          <t>4x4 - Land Rover - Defender - GU11 LKD</t>
        </is>
      </c>
      <c r="Q185" t="inlineStr">
        <is>
          <t>UKPN</t>
        </is>
      </c>
      <c r="R185" t="b">
        <v>0</v>
      </c>
    </row>
    <row r="186">
      <c r="A186" t="inlineStr">
        <is>
          <t>12 Dec 2024 / 7186 Eastwoodbury Tree Services Ltd</t>
        </is>
      </c>
      <c r="B186" t="inlineStr">
        <is>
          <t>Utilities &amp; Inland Waterways</t>
        </is>
      </c>
      <c r="C186" t="inlineStr">
        <is>
          <t>UKPN</t>
        </is>
      </c>
      <c r="D186" t="inlineStr">
        <is>
          <t>Ford</t>
        </is>
      </c>
      <c r="E186" t="inlineStr">
        <is>
          <t>Transit</t>
        </is>
      </c>
      <c r="F186" t="inlineStr">
        <is>
          <t>DN61XKJ</t>
        </is>
      </c>
      <c r="G186" t="inlineStr">
        <is>
          <t xml:space="preserve">Dan Gilbert Tom Price </t>
        </is>
      </c>
      <c r="H186" t="inlineStr">
        <is>
          <t>4x4Tipper</t>
        </is>
      </c>
      <c r="I186" t="inlineStr">
        <is>
          <t>Daily/ Weekly Vehicle Inspection</t>
        </is>
      </c>
      <c r="J186" t="inlineStr">
        <is>
          <t>N/A</t>
        </is>
      </c>
      <c r="K186" t="inlineStr">
        <is>
          <t>7186 Eastwoodbury Tree Services Ltd</t>
        </is>
      </c>
      <c r="L186" t="inlineStr">
        <is>
          <t>12/12/2024 14:49</t>
        </is>
      </c>
      <c r="M186" t="inlineStr">
        <is>
          <t>None</t>
        </is>
      </c>
      <c r="N186" t="inlineStr">
        <is>
          <t>&lt;p&gt;&lt;/p&gt;</t>
        </is>
      </c>
      <c r="O186" t="inlineStr"/>
      <c r="P186" t="inlineStr">
        <is>
          <t>4x4 - Land Rover  - Defender - FN60 0XMTipper - Ford - Transit - DN61XKJ</t>
        </is>
      </c>
      <c r="Q186" t="inlineStr">
        <is>
          <t>UKPN</t>
        </is>
      </c>
      <c r="R186" t="b">
        <v>0</v>
      </c>
    </row>
    <row r="187">
      <c r="A187" t="inlineStr">
        <is>
          <t>11 Dec 2024 / 7800 MAC Trees and Fencing Ltd</t>
        </is>
      </c>
      <c r="B187" t="inlineStr">
        <is>
          <t>Utilities &amp; Inland Waterways</t>
        </is>
      </c>
      <c r="C187" t="inlineStr">
        <is>
          <t>UKPN</t>
        </is>
      </c>
      <c r="D187" t="inlineStr">
        <is>
          <t>Izuzu</t>
        </is>
      </c>
      <c r="E187" t="inlineStr">
        <is>
          <t>Dmax</t>
        </is>
      </c>
      <c r="F187" t="inlineStr">
        <is>
          <t>Ay68daa</t>
        </is>
      </c>
      <c r="G187" t="inlineStr">
        <is>
          <t xml:space="preserve">Lewis mac Lewis macnicol </t>
        </is>
      </c>
      <c r="H187" t="inlineStr">
        <is>
          <t>4x4Towed Chipper</t>
        </is>
      </c>
      <c r="I187" t="inlineStr">
        <is>
          <t>Daily/ Weekly Vehicle Inspection</t>
        </is>
      </c>
      <c r="J187" t="inlineStr">
        <is>
          <t>N/A</t>
        </is>
      </c>
      <c r="K187" t="inlineStr">
        <is>
          <t>7800 MAC Trees and Fencing Ltd</t>
        </is>
      </c>
      <c r="L187" t="inlineStr">
        <is>
          <t>12/12/2024 14:50</t>
        </is>
      </c>
      <c r="M187" t="inlineStr">
        <is>
          <t>None</t>
        </is>
      </c>
      <c r="N187" t="inlineStr">
        <is>
          <t>&lt;p&gt;&lt;/p&gt;</t>
        </is>
      </c>
      <c r="O187" t="inlineStr"/>
      <c r="P187" t="inlineStr">
        <is>
          <t>4x4 - Izuzu - Dmax - Ay68 daaTow Chipper - Timberwolf - TW150 - 205143043-a1</t>
        </is>
      </c>
      <c r="Q187" t="inlineStr">
        <is>
          <t>UKPN</t>
        </is>
      </c>
      <c r="R187" t="b">
        <v>0</v>
      </c>
    </row>
    <row r="188">
      <c r="A188" t="inlineStr">
        <is>
          <t>11 Dec 2024 / 7889 Tree Tech Suffolk Ltd</t>
        </is>
      </c>
      <c r="B188" t="inlineStr">
        <is>
          <t>Utilities &amp; Inland Waterways</t>
        </is>
      </c>
      <c r="C188" t="inlineStr">
        <is>
          <t>UKPN</t>
        </is>
      </c>
      <c r="D188" t="inlineStr">
        <is>
          <t>Isuzu</t>
        </is>
      </c>
      <c r="E188" t="inlineStr">
        <is>
          <t>D-max</t>
        </is>
      </c>
      <c r="F188" t="inlineStr">
        <is>
          <t>NS03TTS</t>
        </is>
      </c>
      <c r="G188" t="inlineStr">
        <is>
          <t xml:space="preserve">Danny Appleby Danny Appleby </t>
        </is>
      </c>
      <c r="H188" t="inlineStr">
        <is>
          <t>4x4Towed Chipper</t>
        </is>
      </c>
      <c r="I188" t="inlineStr">
        <is>
          <t>Daily/ Weekly Vehicle Inspection</t>
        </is>
      </c>
      <c r="J188" t="inlineStr">
        <is>
          <t>N/A</t>
        </is>
      </c>
      <c r="K188" t="inlineStr">
        <is>
          <t>7889 Tree Tech Suffolk Ltd</t>
        </is>
      </c>
      <c r="L188" t="inlineStr">
        <is>
          <t>12/12/2024 14:52</t>
        </is>
      </c>
      <c r="M188" t="inlineStr">
        <is>
          <t>None</t>
        </is>
      </c>
      <c r="N188" t="inlineStr">
        <is>
          <t>&lt;p&gt;&lt;/p&gt;</t>
        </is>
      </c>
      <c r="O188" t="inlineStr"/>
      <c r="P188" t="inlineStr">
        <is>
          <t>4x4 - Isuzu - D-max - NS03 TTSTow Chipper - Jenson - A530L - 5521063948</t>
        </is>
      </c>
      <c r="Q188" t="inlineStr">
        <is>
          <t>UKPN</t>
        </is>
      </c>
      <c r="R188" t="b">
        <v>0</v>
      </c>
    </row>
    <row r="189">
      <c r="A189" t="inlineStr">
        <is>
          <t>11 Dec 2024 / 7186 Eastwoodbury Tree Services Ltd</t>
        </is>
      </c>
      <c r="B189" t="inlineStr">
        <is>
          <t>Utilities &amp; Inland Waterways</t>
        </is>
      </c>
      <c r="C189" t="inlineStr">
        <is>
          <t>UKPN</t>
        </is>
      </c>
      <c r="D189" t="inlineStr">
        <is>
          <t xml:space="preserve">Land Rover </t>
        </is>
      </c>
      <c r="E189" t="inlineStr">
        <is>
          <t>Defender</t>
        </is>
      </c>
      <c r="F189" t="inlineStr">
        <is>
          <t>FN600XM</t>
        </is>
      </c>
      <c r="G189" t="inlineStr">
        <is>
          <t xml:space="preserve">Tom Price Dan Gilbert Jay Denkmayer </t>
        </is>
      </c>
      <c r="H189" t="inlineStr">
        <is>
          <t>Tipper4x44x4</t>
        </is>
      </c>
      <c r="I189" t="inlineStr">
        <is>
          <t>Daily/ Weekly Vehicle Inspection</t>
        </is>
      </c>
      <c r="J189" t="inlineStr">
        <is>
          <t>N/A</t>
        </is>
      </c>
      <c r="K189" t="inlineStr">
        <is>
          <t>7186 Eastwoodbury Tree Services Ltd</t>
        </is>
      </c>
      <c r="L189" t="inlineStr">
        <is>
          <t>12/12/2024 14:53</t>
        </is>
      </c>
      <c r="M189" t="inlineStr">
        <is>
          <t>None</t>
        </is>
      </c>
      <c r="N189" t="inlineStr">
        <is>
          <t>&lt;p&gt;&lt;/p&gt;</t>
        </is>
      </c>
      <c r="O189" t="inlineStr"/>
      <c r="P189" t="inlineStr">
        <is>
          <t>Tipper - Ford - Transit - DN61XKJ4x4 - Santana  - Ps10 - AO57 BPF4x4 - Land Rover  - Defender - FN60 0XM</t>
        </is>
      </c>
      <c r="Q189" t="inlineStr">
        <is>
          <t>UKPN</t>
        </is>
      </c>
      <c r="R189" t="b">
        <v>0</v>
      </c>
    </row>
    <row r="190">
      <c r="A190" t="inlineStr">
        <is>
          <t>11 Dec 2024 / 6617 Ashdown Tree Limited</t>
        </is>
      </c>
      <c r="B190" t="inlineStr">
        <is>
          <t>Utilities &amp; Inland Waterways</t>
        </is>
      </c>
      <c r="C190" t="inlineStr">
        <is>
          <t>UKPN</t>
        </is>
      </c>
      <c r="D190" t="inlineStr">
        <is>
          <t xml:space="preserve">Land rover </t>
        </is>
      </c>
      <c r="E190" t="inlineStr">
        <is>
          <t xml:space="preserve">Defender mewp </t>
        </is>
      </c>
      <c r="F190" t="inlineStr">
        <is>
          <t>TR55TUB</t>
        </is>
      </c>
      <c r="G190" t="inlineStr">
        <is>
          <t xml:space="preserve">Francis lesser Francis lesser </t>
        </is>
      </c>
      <c r="H190" t="inlineStr">
        <is>
          <t>4x4Plant Trailer</t>
        </is>
      </c>
      <c r="I190" t="inlineStr">
        <is>
          <t>Daily/ Weekly Vehicle Inspection</t>
        </is>
      </c>
      <c r="J190" t="inlineStr">
        <is>
          <t>N/A</t>
        </is>
      </c>
      <c r="K190" t="inlineStr">
        <is>
          <t>6617 Ashdown Tree Limited</t>
        </is>
      </c>
      <c r="L190" t="inlineStr">
        <is>
          <t>12/12/2024 14:54</t>
        </is>
      </c>
      <c r="M190" t="inlineStr">
        <is>
          <t>None</t>
        </is>
      </c>
      <c r="N190" t="inlineStr">
        <is>
          <t>&lt;p&gt;&lt;/p&gt;</t>
        </is>
      </c>
      <c r="O190" t="inlineStr"/>
      <c r="P190" t="inlineStr">
        <is>
          <t>4x4 - Land Rover - Defender - GU11 LKDFlat Bed Trailer - Ifor Williams -  - SCKD00000H5147808A</t>
        </is>
      </c>
      <c r="Q190" t="inlineStr">
        <is>
          <t>UKPN</t>
        </is>
      </c>
      <c r="R190" t="b">
        <v>0</v>
      </c>
    </row>
    <row r="191">
      <c r="A191" t="inlineStr">
        <is>
          <t>11 Dec 2024 / 6617 Ashdown Tree Limited</t>
        </is>
      </c>
      <c r="B191" t="inlineStr">
        <is>
          <t>Utilities &amp; Inland Waterways</t>
        </is>
      </c>
      <c r="C191" t="inlineStr">
        <is>
          <t>UKPN</t>
        </is>
      </c>
      <c r="D191" t="inlineStr">
        <is>
          <t xml:space="preserve">Land rover </t>
        </is>
      </c>
      <c r="E191" t="inlineStr">
        <is>
          <t xml:space="preserve">Defender mewp </t>
        </is>
      </c>
      <c r="F191" t="inlineStr">
        <is>
          <t>TR55TUB</t>
        </is>
      </c>
      <c r="G191" t="inlineStr">
        <is>
          <t>AshleyDan Watkins</t>
        </is>
      </c>
      <c r="H191" t="inlineStr">
        <is>
          <t>Tipper4x4</t>
        </is>
      </c>
      <c r="I191" t="inlineStr">
        <is>
          <t>Daily/ Weekly Vehicle Inspection</t>
        </is>
      </c>
      <c r="J191" t="inlineStr">
        <is>
          <t>N/A</t>
        </is>
      </c>
      <c r="K191" t="inlineStr">
        <is>
          <t>6617 Ashdown Tree Limited</t>
        </is>
      </c>
      <c r="L191" t="inlineStr">
        <is>
          <t>12/12/2024 14:55</t>
        </is>
      </c>
      <c r="M191" t="inlineStr">
        <is>
          <t>None</t>
        </is>
      </c>
      <c r="N191" t="inlineStr">
        <is>
          <t>&lt;p&gt;&lt;/p&gt;</t>
        </is>
      </c>
      <c r="O191" t="inlineStr"/>
      <c r="P191" t="inlineStr">
        <is>
          <t>Tipper - Ford - Transit - TR66 BOY4x4 - Land rover  - Defender mewp  - TR55 tub</t>
        </is>
      </c>
      <c r="Q191" t="inlineStr">
        <is>
          <t>UKPN</t>
        </is>
      </c>
      <c r="R191" t="b">
        <v>0</v>
      </c>
    </row>
    <row r="192">
      <c r="A192" t="inlineStr">
        <is>
          <t>13 Dec 2024 / 7800 MAC Trees and Fencing Ltd</t>
        </is>
      </c>
      <c r="B192" t="inlineStr">
        <is>
          <t>Utilities &amp; Inland Waterways</t>
        </is>
      </c>
      <c r="C192" t="inlineStr">
        <is>
          <t>UKPN</t>
        </is>
      </c>
      <c r="D192" t="inlineStr">
        <is>
          <t>Izuzu</t>
        </is>
      </c>
      <c r="E192" t="inlineStr">
        <is>
          <t>Dmax</t>
        </is>
      </c>
      <c r="F192" t="inlineStr">
        <is>
          <t>Ay68daa</t>
        </is>
      </c>
      <c r="G192" t="inlineStr">
        <is>
          <t>Lewis macLewis mac</t>
        </is>
      </c>
      <c r="H192" t="inlineStr">
        <is>
          <t>4x4Towed Chipper</t>
        </is>
      </c>
      <c r="I192" t="inlineStr">
        <is>
          <t>Daily/ Weekly Vehicle Inspection</t>
        </is>
      </c>
      <c r="J192" t="inlineStr">
        <is>
          <t>N/A</t>
        </is>
      </c>
      <c r="K192" t="inlineStr">
        <is>
          <t>7800 MAC Trees and Fencing Ltd</t>
        </is>
      </c>
      <c r="L192" t="inlineStr">
        <is>
          <t>14/12/2024 14:42</t>
        </is>
      </c>
      <c r="M192" t="inlineStr">
        <is>
          <t>None</t>
        </is>
      </c>
      <c r="N192" t="inlineStr">
        <is>
          <t>&lt;p&gt;&lt;/p&gt;</t>
        </is>
      </c>
      <c r="O192" t="inlineStr"/>
      <c r="P192" t="inlineStr">
        <is>
          <t>4x4 - Izuzu - Dmax - Ay68 daaTow Chipper - Timberwolf - TW150 - 205143043-a1</t>
        </is>
      </c>
      <c r="Q192" t="inlineStr">
        <is>
          <t>UKPN</t>
        </is>
      </c>
      <c r="R192" t="b">
        <v>0</v>
      </c>
    </row>
    <row r="193">
      <c r="A193" t="inlineStr">
        <is>
          <t>13 Dec 2024 / 6617 Ashdown Tree Limited</t>
        </is>
      </c>
      <c r="B193" t="inlineStr">
        <is>
          <t>Utilities &amp; Inland Waterways</t>
        </is>
      </c>
      <c r="C193" t="inlineStr">
        <is>
          <t>UKPN</t>
        </is>
      </c>
      <c r="D193" t="inlineStr">
        <is>
          <t>Ford</t>
        </is>
      </c>
      <c r="E193" t="inlineStr">
        <is>
          <t>Transit</t>
        </is>
      </c>
      <c r="F193" t="inlineStr">
        <is>
          <t>FE11BUT</t>
        </is>
      </c>
      <c r="G193" t="inlineStr">
        <is>
          <t xml:space="preserve">Ashley Dan Watkins </t>
        </is>
      </c>
      <c r="H193" t="inlineStr">
        <is>
          <t>4x4Tipper</t>
        </is>
      </c>
      <c r="I193" t="inlineStr">
        <is>
          <t>Daily/ Weekly Vehicle Inspection</t>
        </is>
      </c>
      <c r="J193" t="inlineStr">
        <is>
          <t>N/A</t>
        </is>
      </c>
      <c r="K193" t="inlineStr">
        <is>
          <t>6617 Ashdown Tree Limited</t>
        </is>
      </c>
      <c r="L193" t="inlineStr">
        <is>
          <t>14/12/2024 14:43</t>
        </is>
      </c>
      <c r="M193" t="inlineStr">
        <is>
          <t>None</t>
        </is>
      </c>
      <c r="N193" t="inlineStr">
        <is>
          <t>&lt;p&gt;&lt;/p&gt;</t>
        </is>
      </c>
      <c r="O193" t="inlineStr"/>
      <c r="P193" t="inlineStr">
        <is>
          <t>Vehicle - Land Rover - Discovery  - WF11 EJJTipper - Ford - Transit - FE11 BUT</t>
        </is>
      </c>
      <c r="Q193" t="inlineStr">
        <is>
          <t>UKPN</t>
        </is>
      </c>
      <c r="R193" t="b">
        <v>0</v>
      </c>
    </row>
    <row r="194">
      <c r="A194" t="inlineStr">
        <is>
          <t>13 Dec 2024 / 3098 D &amp; R Landscapes (PEND Arb Rail)</t>
        </is>
      </c>
      <c r="B194" t="inlineStr">
        <is>
          <t>Utilities &amp; Inland Waterways</t>
        </is>
      </c>
      <c r="C194" t="inlineStr">
        <is>
          <t>UKPN</t>
        </is>
      </c>
      <c r="D194" t="inlineStr">
        <is>
          <t>Nissan</t>
        </is>
      </c>
      <c r="E194" t="inlineStr">
        <is>
          <t>Navara</t>
        </is>
      </c>
      <c r="F194" t="inlineStr">
        <is>
          <t>FX17YVM</t>
        </is>
      </c>
      <c r="G194" t="inlineStr">
        <is>
          <t>Jason</t>
        </is>
      </c>
      <c r="H194" t="inlineStr">
        <is>
          <t>4x4</t>
        </is>
      </c>
      <c r="I194" t="inlineStr">
        <is>
          <t>Daily/ Weekly Vehicle Inspection</t>
        </is>
      </c>
      <c r="J194" t="inlineStr">
        <is>
          <t>N/A</t>
        </is>
      </c>
      <c r="K194" t="inlineStr">
        <is>
          <t>3098 D &amp; R Landscapes (PEND Arb Rail)</t>
        </is>
      </c>
      <c r="L194" t="inlineStr">
        <is>
          <t>14/12/2024 14:44</t>
        </is>
      </c>
      <c r="M194" t="inlineStr">
        <is>
          <t>None</t>
        </is>
      </c>
      <c r="N194" t="inlineStr">
        <is>
          <t>&lt;p&gt;&lt;/p&gt;</t>
        </is>
      </c>
      <c r="O194" t="inlineStr"/>
      <c r="P194" t="inlineStr">
        <is>
          <t>Vehicle - Nissan - Navara - FX17 YVM</t>
        </is>
      </c>
      <c r="Q194" t="inlineStr">
        <is>
          <t>UKPN</t>
        </is>
      </c>
      <c r="R194" t="b">
        <v>0</v>
      </c>
    </row>
    <row r="195">
      <c r="A195" t="inlineStr">
        <is>
          <t>13 Dec 2024 / 7186 Eastwoodbury Tree Services Ltd</t>
        </is>
      </c>
      <c r="B195" t="inlineStr">
        <is>
          <t>Utilities &amp; Inland Waterways</t>
        </is>
      </c>
      <c r="C195" t="inlineStr">
        <is>
          <t>UKPN</t>
        </is>
      </c>
      <c r="D195" t="inlineStr">
        <is>
          <t>Ford</t>
        </is>
      </c>
      <c r="E195" t="inlineStr">
        <is>
          <t>Transit</t>
        </is>
      </c>
      <c r="F195" t="inlineStr">
        <is>
          <t>DN61XKJ</t>
        </is>
      </c>
      <c r="G195" t="inlineStr">
        <is>
          <t xml:space="preserve">Jay denkmayer </t>
        </is>
      </c>
      <c r="H195" t="inlineStr">
        <is>
          <t>Tipper</t>
        </is>
      </c>
      <c r="I195" t="inlineStr">
        <is>
          <t>Daily/ Weekly Vehicle Inspection</t>
        </is>
      </c>
      <c r="J195" t="inlineStr">
        <is>
          <t>N/A</t>
        </is>
      </c>
      <c r="K195" t="inlineStr">
        <is>
          <t>7186 Eastwoodbury Tree Services Ltd</t>
        </is>
      </c>
      <c r="L195" t="inlineStr">
        <is>
          <t>14/12/2024 14:45</t>
        </is>
      </c>
      <c r="M195" t="inlineStr">
        <is>
          <t>None</t>
        </is>
      </c>
      <c r="N195" t="inlineStr">
        <is>
          <t>&lt;p&gt;&lt;/p&gt;</t>
        </is>
      </c>
      <c r="O195" t="inlineStr"/>
      <c r="P195" t="inlineStr">
        <is>
          <t>Tipper - Ford - Transit - DN61XKJ</t>
        </is>
      </c>
      <c r="Q195" t="inlineStr">
        <is>
          <t>UKPN</t>
        </is>
      </c>
      <c r="R195" t="b">
        <v>0</v>
      </c>
    </row>
    <row r="196">
      <c r="A196" t="inlineStr">
        <is>
          <t>13 Dec 2024 / 6617 Ashdown Tree Limited</t>
        </is>
      </c>
      <c r="B196" t="inlineStr">
        <is>
          <t>Utilities &amp; Inland Waterways</t>
        </is>
      </c>
      <c r="C196" t="inlineStr">
        <is>
          <t>UKPN</t>
        </is>
      </c>
      <c r="D196" t="inlineStr">
        <is>
          <t>Land Rover</t>
        </is>
      </c>
      <c r="E196" t="inlineStr">
        <is>
          <t>Defender</t>
        </is>
      </c>
      <c r="F196" t="inlineStr">
        <is>
          <t>GU11LKD</t>
        </is>
      </c>
      <c r="G196" t="inlineStr">
        <is>
          <t xml:space="preserve">Francis lesser Francis lesser </t>
        </is>
      </c>
      <c r="H196" t="inlineStr">
        <is>
          <t>4x4Towed Chipper</t>
        </is>
      </c>
      <c r="I196" t="inlineStr">
        <is>
          <t>Daily/ Weekly Vehicle Inspection</t>
        </is>
      </c>
      <c r="J196" t="inlineStr">
        <is>
          <t>N/A</t>
        </is>
      </c>
      <c r="K196" t="inlineStr">
        <is>
          <t>6617 Ashdown Tree Limited</t>
        </is>
      </c>
      <c r="L196" t="inlineStr">
        <is>
          <t>14/12/2024 14:46</t>
        </is>
      </c>
      <c r="M196" t="inlineStr">
        <is>
          <t>None</t>
        </is>
      </c>
      <c r="N196" t="inlineStr">
        <is>
          <t>&lt;p&gt;&lt;/p&gt;</t>
        </is>
      </c>
      <c r="O196" t="inlineStr"/>
      <c r="P196" t="inlineStr">
        <is>
          <t>4x4 - Land Rover - Defender - GU11 LKDTow Chipper - Timberwolf - TW230 - SBXTW 37A2PS241049</t>
        </is>
      </c>
      <c r="Q196" t="inlineStr">
        <is>
          <t>UKPN</t>
        </is>
      </c>
      <c r="R196" t="b">
        <v>0</v>
      </c>
    </row>
    <row r="197">
      <c r="A197" t="inlineStr">
        <is>
          <t>16 Dec 2024 / 3098 D &amp; R Landscapes (PEND Arb Rail)</t>
        </is>
      </c>
      <c r="B197" t="inlineStr">
        <is>
          <t>Utilities &amp; Inland Waterways</t>
        </is>
      </c>
      <c r="C197" t="inlineStr">
        <is>
          <t>UKPN</t>
        </is>
      </c>
      <c r="D197" t="inlineStr">
        <is>
          <t>Nissan</t>
        </is>
      </c>
      <c r="E197" t="inlineStr">
        <is>
          <t>Navara</t>
        </is>
      </c>
      <c r="F197" t="inlineStr">
        <is>
          <t>FX17YVM</t>
        </is>
      </c>
      <c r="G197" t="inlineStr">
        <is>
          <t>Jason</t>
        </is>
      </c>
      <c r="H197" t="inlineStr">
        <is>
          <t>4x4</t>
        </is>
      </c>
      <c r="I197" t="inlineStr">
        <is>
          <t>Daily/ Weekly Vehicle Inspection</t>
        </is>
      </c>
      <c r="J197" t="inlineStr">
        <is>
          <t>N/A</t>
        </is>
      </c>
      <c r="K197" t="inlineStr">
        <is>
          <t>3098 D &amp; R Landscapes (PEND Arb Rail)</t>
        </is>
      </c>
      <c r="L197" t="inlineStr">
        <is>
          <t>16/12/2024 14:45</t>
        </is>
      </c>
      <c r="M197" t="inlineStr">
        <is>
          <t>None</t>
        </is>
      </c>
      <c r="N197" t="inlineStr">
        <is>
          <t>&lt;p&gt;&lt;/p&gt;</t>
        </is>
      </c>
      <c r="O197" t="inlineStr"/>
      <c r="P197" t="inlineStr">
        <is>
          <t>Vehicle - Nissan - Navara - FX17 YVM</t>
        </is>
      </c>
      <c r="Q197" t="inlineStr">
        <is>
          <t>UKPN</t>
        </is>
      </c>
      <c r="R197" t="b">
        <v>0</v>
      </c>
    </row>
    <row r="198">
      <c r="A198" t="inlineStr">
        <is>
          <t>16 Dec 2024 / 7800 MAC Trees and Fencing Ltd</t>
        </is>
      </c>
      <c r="B198" t="inlineStr">
        <is>
          <t>Utilities &amp; Inland Waterways</t>
        </is>
      </c>
      <c r="C198" t="inlineStr">
        <is>
          <t>UKPN</t>
        </is>
      </c>
      <c r="D198" t="inlineStr">
        <is>
          <t>Izuzu</t>
        </is>
      </c>
      <c r="E198" t="inlineStr">
        <is>
          <t>Dmax</t>
        </is>
      </c>
      <c r="F198" t="inlineStr">
        <is>
          <t>Ay68daa</t>
        </is>
      </c>
      <c r="G198" t="inlineStr">
        <is>
          <t xml:space="preserve">Lewis macnicol Lewis macnicol </t>
        </is>
      </c>
      <c r="H198" t="inlineStr">
        <is>
          <t>4x4Towed Chipper</t>
        </is>
      </c>
      <c r="I198" t="inlineStr">
        <is>
          <t>Daily/ Weekly Vehicle Inspection</t>
        </is>
      </c>
      <c r="J198" t="inlineStr">
        <is>
          <t>N/A</t>
        </is>
      </c>
      <c r="K198" t="inlineStr">
        <is>
          <t>7800 MAC Trees and Fencing Ltd</t>
        </is>
      </c>
      <c r="L198" t="inlineStr">
        <is>
          <t>16/12/2024 14:46</t>
        </is>
      </c>
      <c r="M198" t="inlineStr">
        <is>
          <t>None</t>
        </is>
      </c>
      <c r="N198" t="inlineStr">
        <is>
          <t>&lt;p&gt;&lt;/p&gt;</t>
        </is>
      </c>
      <c r="O198" t="inlineStr"/>
      <c r="P198" t="inlineStr">
        <is>
          <t>4x4 - Izuzu - Dmax - Ay68 daaTow Chipper - Timberwolf - TW150 - 205143043-a1</t>
        </is>
      </c>
      <c r="Q198" t="inlineStr">
        <is>
          <t>UKPN</t>
        </is>
      </c>
      <c r="R198" t="b">
        <v>0</v>
      </c>
    </row>
    <row r="199">
      <c r="A199" t="inlineStr">
        <is>
          <t>16 Dec 2024 / 6617 Ashdown Tree Limited</t>
        </is>
      </c>
      <c r="B199" t="inlineStr">
        <is>
          <t>Utilities &amp; Inland Waterways</t>
        </is>
      </c>
      <c r="C199" t="inlineStr">
        <is>
          <t>UKPN</t>
        </is>
      </c>
      <c r="D199" t="inlineStr">
        <is>
          <t>Land Rover</t>
        </is>
      </c>
      <c r="E199" t="inlineStr">
        <is>
          <t xml:space="preserve">Discovery </t>
        </is>
      </c>
      <c r="F199" t="inlineStr">
        <is>
          <t>WF11EJJ</t>
        </is>
      </c>
      <c r="G199" t="inlineStr">
        <is>
          <t>A Horwood</t>
        </is>
      </c>
      <c r="H199" t="inlineStr">
        <is>
          <t>4x4</t>
        </is>
      </c>
      <c r="I199" t="inlineStr">
        <is>
          <t>Daily/ Weekly Vehicle Inspection</t>
        </is>
      </c>
      <c r="J199" t="inlineStr">
        <is>
          <t>N/A</t>
        </is>
      </c>
      <c r="K199" t="inlineStr">
        <is>
          <t>6617 Ashdown Tree Limited</t>
        </is>
      </c>
      <c r="L199" t="inlineStr">
        <is>
          <t>16/12/2024 14:47</t>
        </is>
      </c>
      <c r="M199" t="inlineStr">
        <is>
          <t>None</t>
        </is>
      </c>
      <c r="N199" t="inlineStr">
        <is>
          <t>&lt;p&gt;&lt;/p&gt;</t>
        </is>
      </c>
      <c r="O199" t="inlineStr"/>
      <c r="P199" t="inlineStr">
        <is>
          <t>Vehicle - Land Rover - Discovery  - WF11 EJJ</t>
        </is>
      </c>
      <c r="Q199" t="inlineStr">
        <is>
          <t>UKPN</t>
        </is>
      </c>
      <c r="R199" t="b">
        <v>0</v>
      </c>
    </row>
    <row r="200">
      <c r="A200" t="inlineStr">
        <is>
          <t>16 Dec 2024 / 6617 Ashdown Tree Limited</t>
        </is>
      </c>
      <c r="B200" t="inlineStr">
        <is>
          <t>Utilities &amp; Inland Waterways</t>
        </is>
      </c>
      <c r="C200" t="inlineStr">
        <is>
          <t>UKPN</t>
        </is>
      </c>
      <c r="D200" t="inlineStr">
        <is>
          <t>Land Rover</t>
        </is>
      </c>
      <c r="E200" t="inlineStr">
        <is>
          <t xml:space="preserve">Discovery </t>
        </is>
      </c>
      <c r="F200" t="inlineStr">
        <is>
          <t>WF11EJJ</t>
        </is>
      </c>
      <c r="G200" t="inlineStr">
        <is>
          <t>Dan Watkins</t>
        </is>
      </c>
      <c r="H200" t="inlineStr">
        <is>
          <t>Tipper</t>
        </is>
      </c>
      <c r="I200" t="inlineStr">
        <is>
          <t>Daily/ Weekly Vehicle Inspection</t>
        </is>
      </c>
      <c r="J200" t="inlineStr">
        <is>
          <t>N/A</t>
        </is>
      </c>
      <c r="K200" t="inlineStr">
        <is>
          <t>6617 Ashdown Tree Limited</t>
        </is>
      </c>
      <c r="L200" t="inlineStr">
        <is>
          <t>16/12/2024 14:48</t>
        </is>
      </c>
      <c r="M200" t="inlineStr">
        <is>
          <t>None</t>
        </is>
      </c>
      <c r="N200" t="inlineStr">
        <is>
          <t>&lt;p&gt;&lt;/p&gt;</t>
        </is>
      </c>
      <c r="O200" t="inlineStr"/>
      <c r="P200" t="inlineStr">
        <is>
          <t>Tipper - Ford  - Transit  - Av67lxz</t>
        </is>
      </c>
      <c r="Q200" t="inlineStr">
        <is>
          <t>UKPN</t>
        </is>
      </c>
      <c r="R200" t="b">
        <v>0</v>
      </c>
    </row>
    <row r="201">
      <c r="A201" t="inlineStr">
        <is>
          <t>16 Dec 2024 / 7186 Eastwoodbury Tree Services Ltd</t>
        </is>
      </c>
      <c r="B201" t="inlineStr">
        <is>
          <t>Utilities &amp; Inland Waterways</t>
        </is>
      </c>
      <c r="C201" t="inlineStr">
        <is>
          <t>UKPN</t>
        </is>
      </c>
      <c r="D201" t="inlineStr">
        <is>
          <t xml:space="preserve">Land Rover </t>
        </is>
      </c>
      <c r="E201" t="inlineStr">
        <is>
          <t>Defender</t>
        </is>
      </c>
      <c r="F201" t="inlineStr">
        <is>
          <t>FN600XM</t>
        </is>
      </c>
      <c r="G201" t="inlineStr">
        <is>
          <t xml:space="preserve">Dan Gilbert Jay Denkmayer </t>
        </is>
      </c>
      <c r="H201" t="inlineStr">
        <is>
          <t>4x44x4</t>
        </is>
      </c>
      <c r="I201" t="inlineStr">
        <is>
          <t>Daily/ Weekly Vehicle Inspection</t>
        </is>
      </c>
      <c r="J201" t="inlineStr">
        <is>
          <t>N/A</t>
        </is>
      </c>
      <c r="K201" t="inlineStr">
        <is>
          <t>7186 Eastwoodbury Tree Services Ltd</t>
        </is>
      </c>
      <c r="L201" t="inlineStr">
        <is>
          <t>16/12/2024 14:49</t>
        </is>
      </c>
      <c r="M201" t="inlineStr">
        <is>
          <t>None</t>
        </is>
      </c>
      <c r="N201" t="inlineStr">
        <is>
          <t>&lt;p&gt;&lt;/p&gt;</t>
        </is>
      </c>
      <c r="O201" t="inlineStr"/>
      <c r="P201" t="inlineStr">
        <is>
          <t>4x4 - Santana  - Ps10 - AO57 BPF4x4 - Land Rover  - Defender - FN60 0XM</t>
        </is>
      </c>
      <c r="Q201" t="inlineStr">
        <is>
          <t>UKPN</t>
        </is>
      </c>
      <c r="R201" t="b">
        <v>0</v>
      </c>
    </row>
    <row r="202">
      <c r="A202" t="inlineStr">
        <is>
          <t>16 Dec 2024 / 6617 Ashdown Tree Limited</t>
        </is>
      </c>
      <c r="B202" t="inlineStr">
        <is>
          <t>Utilities &amp; Inland Waterways</t>
        </is>
      </c>
      <c r="C202" t="inlineStr">
        <is>
          <t>UKPN</t>
        </is>
      </c>
      <c r="D202" t="inlineStr">
        <is>
          <t>Land Rover</t>
        </is>
      </c>
      <c r="E202" t="inlineStr">
        <is>
          <t xml:space="preserve">Discovery </t>
        </is>
      </c>
      <c r="F202" t="inlineStr">
        <is>
          <t>WF11EJJ</t>
        </is>
      </c>
      <c r="G202" t="inlineStr">
        <is>
          <t xml:space="preserve">Francis lesser </t>
        </is>
      </c>
      <c r="H202" t="inlineStr">
        <is>
          <t>4x4</t>
        </is>
      </c>
      <c r="I202" t="inlineStr">
        <is>
          <t>Daily/ Weekly Vehicle Inspection</t>
        </is>
      </c>
      <c r="J202" t="inlineStr">
        <is>
          <t>N/A</t>
        </is>
      </c>
      <c r="K202" t="inlineStr">
        <is>
          <t>6617 Ashdown Tree Limited</t>
        </is>
      </c>
      <c r="L202" t="inlineStr">
        <is>
          <t>16/12/2024 14:50</t>
        </is>
      </c>
      <c r="M202" t="inlineStr">
        <is>
          <t>None</t>
        </is>
      </c>
      <c r="N202" t="inlineStr">
        <is>
          <t>&lt;p&gt;&lt;/p&gt;</t>
        </is>
      </c>
      <c r="O202" t="inlineStr"/>
      <c r="P202" t="inlineStr">
        <is>
          <t>4x4 - Land Rover - Defender - GU11 LKD</t>
        </is>
      </c>
      <c r="Q202" t="inlineStr">
        <is>
          <t>UKPN</t>
        </is>
      </c>
      <c r="R202" t="b">
        <v>0</v>
      </c>
    </row>
    <row r="203">
      <c r="A203" t="inlineStr">
        <is>
          <t>18 Dec 2024 / 3098 D &amp; R Landscapes (PEND Arb Rail)</t>
        </is>
      </c>
      <c r="B203" t="inlineStr">
        <is>
          <t>Utilities &amp; Inland Waterways</t>
        </is>
      </c>
      <c r="C203" t="inlineStr">
        <is>
          <t>UKPN</t>
        </is>
      </c>
      <c r="D203" t="inlineStr">
        <is>
          <t>Nissan</t>
        </is>
      </c>
      <c r="E203" t="inlineStr">
        <is>
          <t>Navara</t>
        </is>
      </c>
      <c r="F203" t="inlineStr">
        <is>
          <t>FX17YVM</t>
        </is>
      </c>
      <c r="G203" t="inlineStr">
        <is>
          <t>Jason</t>
        </is>
      </c>
      <c r="H203" t="inlineStr">
        <is>
          <t>4x4</t>
        </is>
      </c>
      <c r="I203" t="inlineStr">
        <is>
          <t>Daily/ Weekly Vehicle Inspection</t>
        </is>
      </c>
      <c r="J203" t="inlineStr">
        <is>
          <t>N/A</t>
        </is>
      </c>
      <c r="K203" t="inlineStr">
        <is>
          <t>3098 D &amp; R Landscapes (PEND Arb Rail)</t>
        </is>
      </c>
      <c r="L203" t="inlineStr">
        <is>
          <t>18/12/2024 14:42</t>
        </is>
      </c>
      <c r="M203" t="inlineStr">
        <is>
          <t>None</t>
        </is>
      </c>
      <c r="N203" t="inlineStr">
        <is>
          <t>&lt;p&gt;&lt;/p&gt;</t>
        </is>
      </c>
      <c r="O203" t="inlineStr"/>
      <c r="P203" t="inlineStr">
        <is>
          <t>Vehicle - Nissan - Navara - FX17 YVM</t>
        </is>
      </c>
      <c r="Q203" t="inlineStr">
        <is>
          <t>UKPN</t>
        </is>
      </c>
      <c r="R203" t="b">
        <v>0</v>
      </c>
    </row>
    <row r="204">
      <c r="A204" t="inlineStr">
        <is>
          <t>18 Dec 2024 / 6617 Ashdown Tree Limited</t>
        </is>
      </c>
      <c r="B204" t="inlineStr">
        <is>
          <t>Utilities &amp; Inland Waterways</t>
        </is>
      </c>
      <c r="C204" t="inlineStr">
        <is>
          <t>UKPN</t>
        </is>
      </c>
      <c r="D204" t="inlineStr">
        <is>
          <t xml:space="preserve">Ford </t>
        </is>
      </c>
      <c r="E204" t="inlineStr">
        <is>
          <t xml:space="preserve">Transit </t>
        </is>
      </c>
      <c r="F204" t="inlineStr">
        <is>
          <t>Av67lxz</t>
        </is>
      </c>
      <c r="G204" t="inlineStr">
        <is>
          <t xml:space="preserve">Ashley Dan </t>
        </is>
      </c>
      <c r="H204" t="inlineStr">
        <is>
          <t>4x4Tipper</t>
        </is>
      </c>
      <c r="I204" t="inlineStr">
        <is>
          <t>Daily/ Weekly Vehicle Inspection</t>
        </is>
      </c>
      <c r="J204" t="inlineStr">
        <is>
          <t>N/A</t>
        </is>
      </c>
      <c r="K204" t="inlineStr">
        <is>
          <t>6617 Ashdown Tree Limited</t>
        </is>
      </c>
      <c r="L204" t="inlineStr">
        <is>
          <t>18/12/2024 14:43</t>
        </is>
      </c>
      <c r="M204" t="inlineStr">
        <is>
          <t>None</t>
        </is>
      </c>
      <c r="N204" t="inlineStr">
        <is>
          <t>&lt;p&gt;&lt;/p&gt;</t>
        </is>
      </c>
      <c r="O204" t="inlineStr"/>
      <c r="P204" t="inlineStr">
        <is>
          <t>Vehicle - Land Rover - Discovery  - WF11 EJJTipper - Ford  - Transit  - Av67lxz</t>
        </is>
      </c>
      <c r="Q204" t="inlineStr">
        <is>
          <t>UKPN</t>
        </is>
      </c>
      <c r="R204" t="b">
        <v>0</v>
      </c>
    </row>
    <row r="205">
      <c r="A205" t="inlineStr">
        <is>
          <t>18 Dec 2024 / 7186 Eastwoodbury Tree Services Ltd</t>
        </is>
      </c>
      <c r="B205" t="inlineStr">
        <is>
          <t>Utilities &amp; Inland Waterways</t>
        </is>
      </c>
      <c r="C205" t="inlineStr">
        <is>
          <t>UKPN</t>
        </is>
      </c>
      <c r="D205" t="inlineStr">
        <is>
          <t xml:space="preserve">Land Rover </t>
        </is>
      </c>
      <c r="E205" t="inlineStr">
        <is>
          <t>Defender</t>
        </is>
      </c>
      <c r="F205" t="inlineStr">
        <is>
          <t>FN600XM</t>
        </is>
      </c>
      <c r="G205" t="inlineStr">
        <is>
          <t xml:space="preserve">Tom Price Dan Gilbert Jay Denkmayer </t>
        </is>
      </c>
      <c r="H205" t="inlineStr">
        <is>
          <t>Tipper4x44x4</t>
        </is>
      </c>
      <c r="I205" t="inlineStr">
        <is>
          <t>Daily/ Weekly Vehicle Inspection</t>
        </is>
      </c>
      <c r="J205" t="inlineStr">
        <is>
          <t>N/A</t>
        </is>
      </c>
      <c r="K205" t="inlineStr">
        <is>
          <t>7186 Eastwoodbury Tree Services Ltd</t>
        </is>
      </c>
      <c r="L205" t="inlineStr">
        <is>
          <t>18/12/2024 14:44</t>
        </is>
      </c>
      <c r="M205" t="inlineStr">
        <is>
          <t>None</t>
        </is>
      </c>
      <c r="N205" t="inlineStr">
        <is>
          <t>&lt;p&gt;&lt;/p&gt;</t>
        </is>
      </c>
      <c r="O205" t="inlineStr"/>
      <c r="P205" t="inlineStr">
        <is>
          <t>Tipper - Ford - Transit - DN61XKJ4x4 - Santana  - Ps10 - AO57 BPF4x4 - Land Rover  - Defender - FN60 0XM</t>
        </is>
      </c>
      <c r="Q205" t="inlineStr">
        <is>
          <t>UKPN</t>
        </is>
      </c>
      <c r="R205" t="b">
        <v>0</v>
      </c>
    </row>
    <row r="206">
      <c r="A206" t="inlineStr">
        <is>
          <t>18 Dec 2024 / 7889 Tree Tech Suffolk Ltd</t>
        </is>
      </c>
      <c r="B206" t="inlineStr">
        <is>
          <t>Utilities &amp; Inland Waterways</t>
        </is>
      </c>
      <c r="C206" t="inlineStr">
        <is>
          <t>UKPN</t>
        </is>
      </c>
      <c r="D206" t="inlineStr">
        <is>
          <t>Isuzu</t>
        </is>
      </c>
      <c r="E206" t="inlineStr">
        <is>
          <t>D-max</t>
        </is>
      </c>
      <c r="F206" t="inlineStr">
        <is>
          <t>NS03TTS</t>
        </is>
      </c>
      <c r="G206" t="inlineStr">
        <is>
          <t xml:space="preserve">Danny Appleby Danny Appleby </t>
        </is>
      </c>
      <c r="H206" t="inlineStr">
        <is>
          <t>4x4Towed Chipper</t>
        </is>
      </c>
      <c r="I206" t="inlineStr">
        <is>
          <t>Daily/ Weekly Vehicle Inspection</t>
        </is>
      </c>
      <c r="J206" t="inlineStr">
        <is>
          <t>N/A</t>
        </is>
      </c>
      <c r="K206" t="inlineStr">
        <is>
          <t>7889 Tree Tech Suffolk Ltd</t>
        </is>
      </c>
      <c r="L206" t="inlineStr">
        <is>
          <t>18/12/2024 14:45</t>
        </is>
      </c>
      <c r="M206" t="inlineStr">
        <is>
          <t>None</t>
        </is>
      </c>
      <c r="N206" t="inlineStr">
        <is>
          <t>&lt;p&gt;&lt;/p&gt;</t>
        </is>
      </c>
      <c r="O206" t="inlineStr"/>
      <c r="P206" t="inlineStr">
        <is>
          <t>4x4 - Isuzu - D-max - NS03 TTSTow Chipper - Jenson - A530L - 5521063948</t>
        </is>
      </c>
      <c r="Q206" t="inlineStr">
        <is>
          <t>UKPN</t>
        </is>
      </c>
      <c r="R206" t="b">
        <v>0</v>
      </c>
    </row>
    <row r="207">
      <c r="A207" t="inlineStr">
        <is>
          <t>18 Dec 2024 / 6617 Ashdown Tree Limited</t>
        </is>
      </c>
      <c r="B207" t="inlineStr">
        <is>
          <t>Utilities &amp; Inland Waterways</t>
        </is>
      </c>
      <c r="C207" t="inlineStr">
        <is>
          <t>UKPN</t>
        </is>
      </c>
      <c r="D207" t="inlineStr">
        <is>
          <t>Ford</t>
        </is>
      </c>
      <c r="E207" t="inlineStr">
        <is>
          <t>Transit</t>
        </is>
      </c>
      <c r="F207" t="inlineStr">
        <is>
          <t>FE11BUT</t>
        </is>
      </c>
      <c r="G207" t="inlineStr">
        <is>
          <t xml:space="preserve">Francis lesser Francis lesser </t>
        </is>
      </c>
      <c r="H207" t="inlineStr">
        <is>
          <t>TipperTowed Chipper</t>
        </is>
      </c>
      <c r="I207" t="inlineStr">
        <is>
          <t>Daily/ Weekly Vehicle Inspection</t>
        </is>
      </c>
      <c r="J207" t="inlineStr">
        <is>
          <t>N/A</t>
        </is>
      </c>
      <c r="K207" t="inlineStr">
        <is>
          <t>6617 Ashdown Tree Limited</t>
        </is>
      </c>
      <c r="L207" t="inlineStr">
        <is>
          <t>18/12/2024 14:46</t>
        </is>
      </c>
      <c r="M207" t="inlineStr">
        <is>
          <t>None</t>
        </is>
      </c>
      <c r="N207" t="inlineStr">
        <is>
          <t>&lt;p&gt;&lt;/p&gt;</t>
        </is>
      </c>
      <c r="O207" t="inlineStr"/>
      <c r="P207" t="inlineStr">
        <is>
          <t>Tipper - Ford - Transit - FE11 BUTTow Chipper - Timberwolf - TW230DHB - SBXTW 35A6LS209184</t>
        </is>
      </c>
      <c r="Q207" t="inlineStr">
        <is>
          <t>UKPN</t>
        </is>
      </c>
      <c r="R207" t="b">
        <v>0</v>
      </c>
    </row>
    <row r="208">
      <c r="A208" t="inlineStr">
        <is>
          <t>17 Dec 2024 / 7800 MAC Trees and Fencing Ltd</t>
        </is>
      </c>
      <c r="B208" t="inlineStr">
        <is>
          <t>Utilities &amp; Inland Waterways</t>
        </is>
      </c>
      <c r="C208" t="inlineStr">
        <is>
          <t>UKPN</t>
        </is>
      </c>
      <c r="D208" t="inlineStr">
        <is>
          <t>Izuzu</t>
        </is>
      </c>
      <c r="E208" t="inlineStr">
        <is>
          <t>Dmax</t>
        </is>
      </c>
      <c r="F208" t="inlineStr">
        <is>
          <t>AY68DAA</t>
        </is>
      </c>
      <c r="G208" t="inlineStr">
        <is>
          <t>Lewis maci</t>
        </is>
      </c>
      <c r="H208" t="inlineStr">
        <is>
          <t>Towed Chipper</t>
        </is>
      </c>
      <c r="I208" t="inlineStr">
        <is>
          <t>Daily/ Weekly Vehicle Inspection</t>
        </is>
      </c>
      <c r="J208" t="inlineStr">
        <is>
          <t>N/A</t>
        </is>
      </c>
      <c r="K208" t="inlineStr">
        <is>
          <t>7800 MAC Trees and Fencing Ltd</t>
        </is>
      </c>
      <c r="L208" t="inlineStr">
        <is>
          <t>18/12/2024 14:47</t>
        </is>
      </c>
      <c r="M208" t="inlineStr">
        <is>
          <t>None</t>
        </is>
      </c>
      <c r="N208" t="inlineStr">
        <is>
          <t>&lt;p&gt;&lt;/p&gt;</t>
        </is>
      </c>
      <c r="O208" t="inlineStr"/>
      <c r="P208" t="inlineStr">
        <is>
          <t>Tow Chipper - Timberwolf - TW150 - 205143043-a1</t>
        </is>
      </c>
      <c r="Q208" t="inlineStr">
        <is>
          <t>UKPN</t>
        </is>
      </c>
      <c r="R208" t="b">
        <v>0</v>
      </c>
    </row>
    <row r="209">
      <c r="A209" t="inlineStr">
        <is>
          <t>17 Dec 2024 / 7800 MAC Trees and Fencing Ltd</t>
        </is>
      </c>
      <c r="B209" t="inlineStr">
        <is>
          <t>Utilities &amp; Inland Waterways</t>
        </is>
      </c>
      <c r="C209" t="inlineStr">
        <is>
          <t>UKPN</t>
        </is>
      </c>
      <c r="D209" t="inlineStr">
        <is>
          <t>Izuzu</t>
        </is>
      </c>
      <c r="E209" t="inlineStr">
        <is>
          <t>Dmax</t>
        </is>
      </c>
      <c r="F209" t="inlineStr">
        <is>
          <t>AY68DAA</t>
        </is>
      </c>
      <c r="G209" t="inlineStr">
        <is>
          <t>Lewis mac</t>
        </is>
      </c>
      <c r="H209" t="inlineStr">
        <is>
          <t>4x4</t>
        </is>
      </c>
      <c r="I209" t="inlineStr">
        <is>
          <t>Daily/ Weekly Vehicle Inspection</t>
        </is>
      </c>
      <c r="J209" t="inlineStr">
        <is>
          <t>N/A</t>
        </is>
      </c>
      <c r="K209" t="inlineStr">
        <is>
          <t>7800 MAC Trees and Fencing Ltd</t>
        </is>
      </c>
      <c r="L209" t="inlineStr">
        <is>
          <t>18/12/2024 14:48</t>
        </is>
      </c>
      <c r="M209" t="inlineStr">
        <is>
          <t>None</t>
        </is>
      </c>
      <c r="N209" t="inlineStr">
        <is>
          <t>&lt;p&gt;&lt;/p&gt;</t>
        </is>
      </c>
      <c r="O209" t="inlineStr"/>
      <c r="P209" t="inlineStr">
        <is>
          <t>4x4 - Izuzu - Dmax - Ay68 daa</t>
        </is>
      </c>
      <c r="Q209" t="inlineStr">
        <is>
          <t>UKPN</t>
        </is>
      </c>
      <c r="R209" t="b">
        <v>0</v>
      </c>
    </row>
    <row r="210">
      <c r="A210" t="inlineStr">
        <is>
          <t>17 Dec 2024 / 3098 D &amp; R Landscapes (PEND Arb Rail)</t>
        </is>
      </c>
      <c r="B210" t="inlineStr">
        <is>
          <t>Utilities &amp; Inland Waterways</t>
        </is>
      </c>
      <c r="C210" t="inlineStr">
        <is>
          <t>UKPN</t>
        </is>
      </c>
      <c r="D210" t="inlineStr">
        <is>
          <t>Isuzu</t>
        </is>
      </c>
      <c r="E210" t="inlineStr">
        <is>
          <t>Grafter</t>
        </is>
      </c>
      <c r="F210" t="inlineStr">
        <is>
          <t>DE68XHA</t>
        </is>
      </c>
      <c r="G210" t="inlineStr">
        <is>
          <t>Jason</t>
        </is>
      </c>
      <c r="H210" t="inlineStr">
        <is>
          <t>Tipper</t>
        </is>
      </c>
      <c r="I210" t="inlineStr">
        <is>
          <t>Daily/ Weekly Vehicle Inspection</t>
        </is>
      </c>
      <c r="J210" t="inlineStr">
        <is>
          <t>N/A</t>
        </is>
      </c>
      <c r="K210" t="inlineStr">
        <is>
          <t>3098 D &amp; R Landscapes (PEND Arb Rail)</t>
        </is>
      </c>
      <c r="L210" t="inlineStr">
        <is>
          <t>18/12/2024 14:49</t>
        </is>
      </c>
      <c r="M210" t="inlineStr">
        <is>
          <t>None</t>
        </is>
      </c>
      <c r="N210" t="inlineStr">
        <is>
          <t>&lt;p&gt;&lt;/p&gt;</t>
        </is>
      </c>
      <c r="O210" t="inlineStr"/>
      <c r="P210" t="inlineStr">
        <is>
          <t>Tipper - Isuzu - Grafter - DE68 XHA</t>
        </is>
      </c>
      <c r="Q210" t="inlineStr">
        <is>
          <t>UKPN</t>
        </is>
      </c>
      <c r="R210" t="b">
        <v>0</v>
      </c>
    </row>
    <row r="211">
      <c r="A211" t="inlineStr">
        <is>
          <t>17 Dec 2024 / 7186 Eastwoodbury Tree Services Ltd</t>
        </is>
      </c>
      <c r="B211" t="inlineStr">
        <is>
          <t>Utilities &amp; Inland Waterways</t>
        </is>
      </c>
      <c r="C211" t="inlineStr">
        <is>
          <t>UKPN</t>
        </is>
      </c>
      <c r="D211" t="inlineStr">
        <is>
          <t xml:space="preserve">Santana </t>
        </is>
      </c>
      <c r="E211" t="inlineStr">
        <is>
          <t>Ps10</t>
        </is>
      </c>
      <c r="F211" t="inlineStr">
        <is>
          <t>AO57BPF</t>
        </is>
      </c>
      <c r="G211" t="inlineStr">
        <is>
          <t>JayDan</t>
        </is>
      </c>
      <c r="H211" t="inlineStr">
        <is>
          <t>Tipper</t>
        </is>
      </c>
      <c r="I211" t="inlineStr">
        <is>
          <t>Daily/ Weekly Vehicle Inspection</t>
        </is>
      </c>
      <c r="J211" t="inlineStr">
        <is>
          <t>N/A</t>
        </is>
      </c>
      <c r="K211" t="inlineStr">
        <is>
          <t>7186 Eastwoodbury Tree Services Ltd</t>
        </is>
      </c>
      <c r="L211" t="inlineStr">
        <is>
          <t>18/12/2024 14:50</t>
        </is>
      </c>
      <c r="M211" t="inlineStr">
        <is>
          <t>None</t>
        </is>
      </c>
      <c r="N211" t="inlineStr">
        <is>
          <t>&lt;p&gt;&lt;/p&gt;</t>
        </is>
      </c>
      <c r="O211" t="inlineStr"/>
      <c r="P211" t="inlineStr">
        <is>
          <t>Tipper - Ford - Transit - DN61XKJ4x4 - Santana  - Ps10 - AO57 BPF</t>
        </is>
      </c>
      <c r="Q211" t="inlineStr">
        <is>
          <t>UKPN</t>
        </is>
      </c>
      <c r="R211" t="b">
        <v>0</v>
      </c>
    </row>
    <row r="212">
      <c r="A212" t="inlineStr">
        <is>
          <t>17 Dec 2024 / 6617 Ashdown Tree Limited</t>
        </is>
      </c>
      <c r="B212" t="inlineStr">
        <is>
          <t>Utilities &amp; Inland Waterways</t>
        </is>
      </c>
      <c r="C212" t="inlineStr">
        <is>
          <t>UKPN</t>
        </is>
      </c>
      <c r="D212" t="inlineStr">
        <is>
          <t>Ford</t>
        </is>
      </c>
      <c r="E212" t="inlineStr">
        <is>
          <t>Transit</t>
        </is>
      </c>
      <c r="F212" t="inlineStr">
        <is>
          <t>FE11BUT</t>
        </is>
      </c>
      <c r="G212" t="inlineStr">
        <is>
          <t>Francis LesserFrancis Lesser</t>
        </is>
      </c>
      <c r="H212" t="inlineStr">
        <is>
          <t>TipperPlant Trailer</t>
        </is>
      </c>
      <c r="I212" t="inlineStr">
        <is>
          <t>Daily/ Weekly Vehicle Inspection</t>
        </is>
      </c>
      <c r="J212" t="inlineStr">
        <is>
          <t>N/A</t>
        </is>
      </c>
      <c r="K212" t="inlineStr">
        <is>
          <t>6617 Ashdown Tree Limited</t>
        </is>
      </c>
      <c r="L212" t="inlineStr">
        <is>
          <t>18/12/2024 14:51</t>
        </is>
      </c>
      <c r="M212" t="inlineStr">
        <is>
          <t>None</t>
        </is>
      </c>
      <c r="N212" t="inlineStr">
        <is>
          <t>&lt;p&gt;&lt;/p&gt;</t>
        </is>
      </c>
      <c r="O212" t="inlineStr"/>
      <c r="P212" t="inlineStr">
        <is>
          <t>Tipper - Ford - Transit - FE11 BUTFlat Bed Trailer - Ifor Williams -  - SCKD00000H5147808A</t>
        </is>
      </c>
      <c r="Q212" t="inlineStr">
        <is>
          <t>UKPN</t>
        </is>
      </c>
      <c r="R212" t="b">
        <v>0</v>
      </c>
    </row>
    <row r="213">
      <c r="A213" t="inlineStr">
        <is>
          <t>20 Dec 2024 / 3098 D &amp; R Landscapes (PEND Arb Rail)</t>
        </is>
      </c>
      <c r="B213" t="inlineStr">
        <is>
          <t>Utilities &amp; Inland Waterways</t>
        </is>
      </c>
      <c r="C213" t="inlineStr">
        <is>
          <t>UKPN</t>
        </is>
      </c>
      <c r="D213" t="inlineStr">
        <is>
          <t>Isuzu</t>
        </is>
      </c>
      <c r="E213" t="inlineStr">
        <is>
          <t>Grafter</t>
        </is>
      </c>
      <c r="F213" t="inlineStr">
        <is>
          <t>DE68XHA</t>
        </is>
      </c>
      <c r="G213" t="inlineStr">
        <is>
          <t>Jason</t>
        </is>
      </c>
      <c r="H213" t="inlineStr">
        <is>
          <t>Tipper</t>
        </is>
      </c>
      <c r="I213" t="inlineStr">
        <is>
          <t>Daily/ Weekly Vehicle Inspection</t>
        </is>
      </c>
      <c r="J213" t="inlineStr">
        <is>
          <t>N/A</t>
        </is>
      </c>
      <c r="K213" t="inlineStr">
        <is>
          <t>3098 D &amp; R Landscapes (PEND Arb Rail)</t>
        </is>
      </c>
      <c r="L213" t="inlineStr">
        <is>
          <t>20/12/2024 14:42</t>
        </is>
      </c>
      <c r="M213" t="inlineStr">
        <is>
          <t>None</t>
        </is>
      </c>
      <c r="N213" t="inlineStr">
        <is>
          <t>&lt;p&gt;&lt;/p&gt;</t>
        </is>
      </c>
      <c r="O213" t="inlineStr"/>
      <c r="P213" t="inlineStr">
        <is>
          <t>Tipper - Isuzu - Grafter - DE68 XHA</t>
        </is>
      </c>
      <c r="Q213" t="inlineStr">
        <is>
          <t>UKPN</t>
        </is>
      </c>
      <c r="R213" t="b">
        <v>0</v>
      </c>
    </row>
    <row r="214">
      <c r="A214" t="inlineStr">
        <is>
          <t>20 Dec 2024 / 7186 Eastwoodbury Tree Services Ltd</t>
        </is>
      </c>
      <c r="B214" t="inlineStr">
        <is>
          <t>Utilities &amp; Inland Waterways</t>
        </is>
      </c>
      <c r="C214" t="inlineStr">
        <is>
          <t>UKPN</t>
        </is>
      </c>
      <c r="D214" t="inlineStr">
        <is>
          <t>Ford</t>
        </is>
      </c>
      <c r="E214" t="inlineStr">
        <is>
          <t>Transit</t>
        </is>
      </c>
      <c r="F214" t="inlineStr">
        <is>
          <t>DN61XKJ</t>
        </is>
      </c>
      <c r="G214" t="inlineStr">
        <is>
          <t xml:space="preserve">Jay Denkmayer </t>
        </is>
      </c>
      <c r="H214" t="inlineStr">
        <is>
          <t>Tipper</t>
        </is>
      </c>
      <c r="I214" t="inlineStr">
        <is>
          <t>Daily/ Weekly Vehicle Inspection</t>
        </is>
      </c>
      <c r="J214" t="inlineStr">
        <is>
          <t>N/A</t>
        </is>
      </c>
      <c r="K214" t="inlineStr">
        <is>
          <t>7186 Eastwoodbury Tree Services Ltd</t>
        </is>
      </c>
      <c r="L214" t="inlineStr">
        <is>
          <t>20/12/2024 14:43</t>
        </is>
      </c>
      <c r="M214" t="inlineStr">
        <is>
          <t>None</t>
        </is>
      </c>
      <c r="N214" t="inlineStr">
        <is>
          <t>&lt;p&gt;&lt;/p&gt;</t>
        </is>
      </c>
      <c r="O214" t="inlineStr"/>
      <c r="P214" t="inlineStr">
        <is>
          <t>Tipper - Ford - Transit - DN61XKJ</t>
        </is>
      </c>
      <c r="Q214" t="inlineStr">
        <is>
          <t>UKPN</t>
        </is>
      </c>
      <c r="R214" t="b">
        <v>0</v>
      </c>
    </row>
    <row r="215">
      <c r="A215" t="inlineStr">
        <is>
          <t>19 Dec 2024 / 7186 Eastwoodbury Tree Services Ltd</t>
        </is>
      </c>
      <c r="B215" t="inlineStr">
        <is>
          <t>Utilities &amp; Inland Waterways</t>
        </is>
      </c>
      <c r="C215" t="inlineStr">
        <is>
          <t>UKPN</t>
        </is>
      </c>
      <c r="D215" t="inlineStr">
        <is>
          <t>Ford</t>
        </is>
      </c>
      <c r="E215" t="inlineStr">
        <is>
          <t>Transit</t>
        </is>
      </c>
      <c r="F215" t="inlineStr">
        <is>
          <t>DN61XKJ</t>
        </is>
      </c>
      <c r="G215" t="inlineStr">
        <is>
          <t xml:space="preserve">Tom Price </t>
        </is>
      </c>
      <c r="H215" t="inlineStr">
        <is>
          <t>Tipper</t>
        </is>
      </c>
      <c r="I215" t="inlineStr">
        <is>
          <t>Daily/ Weekly Vehicle Inspection</t>
        </is>
      </c>
      <c r="J215" t="inlineStr">
        <is>
          <t>N/A</t>
        </is>
      </c>
      <c r="K215" t="inlineStr">
        <is>
          <t>7186 Eastwoodbury Tree Services Ltd</t>
        </is>
      </c>
      <c r="L215" t="inlineStr">
        <is>
          <t>20/12/2024 14:44</t>
        </is>
      </c>
      <c r="M215" t="inlineStr">
        <is>
          <t>None</t>
        </is>
      </c>
      <c r="N215" t="inlineStr">
        <is>
          <t>&lt;p&gt;&lt;/p&gt;</t>
        </is>
      </c>
      <c r="O215" t="inlineStr"/>
      <c r="P215" t="inlineStr">
        <is>
          <t>Tipper - Ford - Transit - DN61XKJ</t>
        </is>
      </c>
      <c r="Q215" t="inlineStr">
        <is>
          <t>UKPN</t>
        </is>
      </c>
      <c r="R215" t="b">
        <v>0</v>
      </c>
    </row>
    <row r="216">
      <c r="A216" t="inlineStr">
        <is>
          <t>19 Dec 2024 / 6617 Ashdown Tree Limited</t>
        </is>
      </c>
      <c r="B216" t="inlineStr">
        <is>
          <t>Utilities &amp; Inland Waterways</t>
        </is>
      </c>
      <c r="C216" t="inlineStr">
        <is>
          <t>UKPN</t>
        </is>
      </c>
      <c r="D216" t="inlineStr">
        <is>
          <t>Land Rover</t>
        </is>
      </c>
      <c r="E216" t="inlineStr">
        <is>
          <t>Defender</t>
        </is>
      </c>
      <c r="F216" t="inlineStr">
        <is>
          <t>GU11LKD</t>
        </is>
      </c>
      <c r="G216" t="inlineStr">
        <is>
          <t xml:space="preserve">Francis lesser Francis lesser </t>
        </is>
      </c>
      <c r="H216" t="inlineStr">
        <is>
          <t>4x4Plant Trailer</t>
        </is>
      </c>
      <c r="I216" t="inlineStr">
        <is>
          <t>Daily/ Weekly Vehicle Inspection</t>
        </is>
      </c>
      <c r="J216" t="inlineStr">
        <is>
          <t>N/A</t>
        </is>
      </c>
      <c r="K216" t="inlineStr">
        <is>
          <t>6617 Ashdown Tree Limited</t>
        </is>
      </c>
      <c r="L216" t="inlineStr">
        <is>
          <t>20/12/2024 14:45</t>
        </is>
      </c>
      <c r="M216" t="inlineStr">
        <is>
          <t>None</t>
        </is>
      </c>
      <c r="N216" t="inlineStr">
        <is>
          <t>&lt;p&gt;&lt;/p&gt;</t>
        </is>
      </c>
      <c r="O216" t="inlineStr">
        <is>
          <t>Select Vehicle:Indespension</t>
        </is>
      </c>
      <c r="P216" t="inlineStr">
        <is>
          <t>4x4 - Land Rover - Defender - GU11 LKDFlat Bed Trailer - Ifor Williams - SA9 TAGD - SF27414034</t>
        </is>
      </c>
      <c r="Q216" t="inlineStr">
        <is>
          <t>UKPN</t>
        </is>
      </c>
      <c r="R216" t="b">
        <v>0</v>
      </c>
    </row>
    <row r="217">
      <c r="A217" t="inlineStr">
        <is>
          <t>23 Dec 2024 / 7186 Eastwoodbury Tree Services Ltd</t>
        </is>
      </c>
      <c r="B217" t="inlineStr">
        <is>
          <t>Utilities &amp; Inland Waterways</t>
        </is>
      </c>
      <c r="C217" t="inlineStr">
        <is>
          <t>UKPN</t>
        </is>
      </c>
      <c r="D217" t="inlineStr">
        <is>
          <t xml:space="preserve">Santana </t>
        </is>
      </c>
      <c r="E217" t="inlineStr">
        <is>
          <t>Ps10</t>
        </is>
      </c>
      <c r="F217" t="inlineStr">
        <is>
          <t>AO57BPF</t>
        </is>
      </c>
      <c r="G217" t="inlineStr">
        <is>
          <t xml:space="preserve">Dan Gilbert </t>
        </is>
      </c>
      <c r="H217" t="inlineStr">
        <is>
          <t>4x4</t>
        </is>
      </c>
      <c r="I217" t="inlineStr">
        <is>
          <t>Daily/ Weekly Vehicle Inspection</t>
        </is>
      </c>
      <c r="J217" t="inlineStr">
        <is>
          <t>N/A</t>
        </is>
      </c>
      <c r="K217" t="inlineStr">
        <is>
          <t>7186 Eastwoodbury Tree Services Ltd</t>
        </is>
      </c>
      <c r="L217" t="inlineStr">
        <is>
          <t>24/12/2024 14:44</t>
        </is>
      </c>
      <c r="M217" t="inlineStr">
        <is>
          <t>None</t>
        </is>
      </c>
      <c r="N217" t="inlineStr">
        <is>
          <t>&lt;p&gt;&lt;/p&gt;</t>
        </is>
      </c>
      <c r="O217" t="inlineStr"/>
      <c r="P217" t="inlineStr">
        <is>
          <t>4x4 - Santana  - Ps10 - AO57 BPF</t>
        </is>
      </c>
      <c r="Q217" t="inlineStr">
        <is>
          <t>UKPN</t>
        </is>
      </c>
      <c r="R217" t="b">
        <v>0</v>
      </c>
    </row>
    <row r="218">
      <c r="A218" t="inlineStr">
        <is>
          <t>23 Dec 2024 / 6617 Ashdown Tree Limited</t>
        </is>
      </c>
      <c r="B218" t="inlineStr">
        <is>
          <t>Utilities &amp; Inland Waterways</t>
        </is>
      </c>
      <c r="C218" t="inlineStr">
        <is>
          <t>UKPN</t>
        </is>
      </c>
      <c r="D218" t="inlineStr">
        <is>
          <t xml:space="preserve">Land rover </t>
        </is>
      </c>
      <c r="E218" t="inlineStr">
        <is>
          <t xml:space="preserve">Defender mewp </t>
        </is>
      </c>
      <c r="F218" t="inlineStr">
        <is>
          <t>TR55TUB</t>
        </is>
      </c>
      <c r="G218" t="inlineStr">
        <is>
          <t xml:space="preserve">Francis lesser </t>
        </is>
      </c>
      <c r="H218" t="inlineStr">
        <is>
          <t>4x4</t>
        </is>
      </c>
      <c r="I218" t="inlineStr">
        <is>
          <t>Daily/ Weekly Vehicle Inspection</t>
        </is>
      </c>
      <c r="J218" t="inlineStr">
        <is>
          <t>N/A</t>
        </is>
      </c>
      <c r="K218" t="inlineStr">
        <is>
          <t>6617 Ashdown Tree Limited</t>
        </is>
      </c>
      <c r="L218" t="inlineStr">
        <is>
          <t>24/12/2024 14:46</t>
        </is>
      </c>
      <c r="M218" t="inlineStr">
        <is>
          <t>None</t>
        </is>
      </c>
      <c r="N218" t="inlineStr">
        <is>
          <t>&lt;p&gt;&lt;/p&gt;</t>
        </is>
      </c>
      <c r="O218" t="inlineStr"/>
      <c r="P218" t="inlineStr">
        <is>
          <t>4x4 - Land rover  - Defender mewp  - TR55 tub</t>
        </is>
      </c>
      <c r="Q218" t="inlineStr">
        <is>
          <t>UKPN</t>
        </is>
      </c>
      <c r="R218" t="b">
        <v>0</v>
      </c>
    </row>
    <row r="219">
      <c r="A219" t="inlineStr">
        <is>
          <t>3 Jan 2025 / 7186 Eastwoodbury Tree Services Ltd</t>
        </is>
      </c>
      <c r="B219" t="inlineStr">
        <is>
          <t>Utilities &amp; Inland Waterways</t>
        </is>
      </c>
      <c r="C219" t="inlineStr">
        <is>
          <t>UKPN</t>
        </is>
      </c>
      <c r="D219" t="inlineStr">
        <is>
          <t>Ford</t>
        </is>
      </c>
      <c r="E219" t="inlineStr">
        <is>
          <t>Transit</t>
        </is>
      </c>
      <c r="F219" t="inlineStr">
        <is>
          <t>DN61XKJ</t>
        </is>
      </c>
      <c r="G219" t="inlineStr">
        <is>
          <t xml:space="preserve">Dan Gilbert Jay Denkmayer </t>
        </is>
      </c>
      <c r="H219" t="inlineStr">
        <is>
          <t>4x4Tipper</t>
        </is>
      </c>
      <c r="I219" t="inlineStr">
        <is>
          <t>Daily/ Weekly Vehicle Inspection</t>
        </is>
      </c>
      <c r="J219" t="inlineStr">
        <is>
          <t>N/A</t>
        </is>
      </c>
      <c r="K219" t="inlineStr">
        <is>
          <t>7186 Eastwoodbury Tree Services Ltd</t>
        </is>
      </c>
      <c r="L219" t="inlineStr">
        <is>
          <t>03/01/2025 14:44</t>
        </is>
      </c>
      <c r="M219" t="inlineStr">
        <is>
          <t>None</t>
        </is>
      </c>
      <c r="N219" t="inlineStr">
        <is>
          <t>&lt;p&gt;&lt;/p&gt;</t>
        </is>
      </c>
      <c r="O219" t="inlineStr"/>
      <c r="P219" t="inlineStr">
        <is>
          <t>4x4 - Santana  - Ps10 - AO57 BPFTipper - Ford - Transit - DN61XKJ</t>
        </is>
      </c>
      <c r="Q219" t="inlineStr">
        <is>
          <t>UKPN</t>
        </is>
      </c>
      <c r="R219" t="b">
        <v>0</v>
      </c>
    </row>
    <row r="220">
      <c r="A220" t="inlineStr">
        <is>
          <t>2 Jan 2025 / 7186 Eastwoodbury Tree Services Ltd</t>
        </is>
      </c>
      <c r="B220" t="inlineStr">
        <is>
          <t>Utilities &amp; Inland Waterways</t>
        </is>
      </c>
      <c r="C220" t="inlineStr">
        <is>
          <t>UKPN</t>
        </is>
      </c>
      <c r="D220" t="inlineStr">
        <is>
          <t xml:space="preserve">Land Rover </t>
        </is>
      </c>
      <c r="E220" t="inlineStr">
        <is>
          <t>Defender</t>
        </is>
      </c>
      <c r="F220" t="inlineStr">
        <is>
          <t>FN600XM</t>
        </is>
      </c>
      <c r="G220" t="inlineStr">
        <is>
          <t xml:space="preserve">Tom Price Dan Gilbert Jay Denkmayer </t>
        </is>
      </c>
      <c r="H220" t="inlineStr">
        <is>
          <t>Tipper4x44x4</t>
        </is>
      </c>
      <c r="I220" t="inlineStr">
        <is>
          <t>Daily/ Weekly Vehicle Inspection</t>
        </is>
      </c>
      <c r="J220" t="inlineStr">
        <is>
          <t>N/A</t>
        </is>
      </c>
      <c r="K220" t="inlineStr">
        <is>
          <t>7186 Eastwoodbury Tree Services Ltd</t>
        </is>
      </c>
      <c r="L220" t="inlineStr">
        <is>
          <t>03/01/2025 14:45</t>
        </is>
      </c>
      <c r="M220" t="inlineStr">
        <is>
          <t>None</t>
        </is>
      </c>
      <c r="N220" t="inlineStr">
        <is>
          <t>&lt;p&gt;&lt;/p&gt;</t>
        </is>
      </c>
      <c r="O220" t="inlineStr"/>
      <c r="P220" t="inlineStr">
        <is>
          <t>Tipper - Ford - Transit - DN61XKJ4x4 - Santana  - Ps10 - AO57 BPF4x4 - Land Rover  - Defender - FN60 0XM</t>
        </is>
      </c>
      <c r="Q220" t="inlineStr">
        <is>
          <t>UKPN</t>
        </is>
      </c>
      <c r="R220" t="b">
        <v>0</v>
      </c>
    </row>
    <row r="221">
      <c r="A221" t="inlineStr">
        <is>
          <t>7 Jan 2025 / 7800 MAC Trees and Fencing Ltd</t>
        </is>
      </c>
      <c r="B221" t="inlineStr">
        <is>
          <t>Utilities &amp; Inland Waterways</t>
        </is>
      </c>
      <c r="C221" t="inlineStr">
        <is>
          <t>UKPN</t>
        </is>
      </c>
      <c r="D221" t="inlineStr">
        <is>
          <t xml:space="preserve">Ford transit </t>
        </is>
      </c>
      <c r="E221" t="inlineStr">
        <is>
          <t xml:space="preserve">Transit tipper </t>
        </is>
      </c>
      <c r="F221" t="inlineStr">
        <is>
          <t>Fg16lnt</t>
        </is>
      </c>
      <c r="G221" t="inlineStr">
        <is>
          <t>Lewis Lewis mac</t>
        </is>
      </c>
      <c r="H221" t="inlineStr">
        <is>
          <t>TipperTowed Chipper</t>
        </is>
      </c>
      <c r="I221" t="inlineStr">
        <is>
          <t>Daily/ Weekly Vehicle Inspection</t>
        </is>
      </c>
      <c r="J221" t="inlineStr">
        <is>
          <t>N/A</t>
        </is>
      </c>
      <c r="K221" t="inlineStr">
        <is>
          <t>7800 MAC Trees and Fencing Ltd</t>
        </is>
      </c>
      <c r="L221" t="inlineStr">
        <is>
          <t>07/01/2025 14:42</t>
        </is>
      </c>
      <c r="M221" t="inlineStr">
        <is>
          <t>None</t>
        </is>
      </c>
      <c r="N221" t="inlineStr">
        <is>
          <t>&lt;p&gt;&lt;/p&gt;</t>
        </is>
      </c>
      <c r="O221" t="inlineStr"/>
      <c r="P221" t="inlineStr">
        <is>
          <t>Tipper - Ford transit  - Transit tipper  - Fg16lntTow Chipper - Timberwolf - TW150 - 205143043-a1</t>
        </is>
      </c>
      <c r="Q221" t="inlineStr">
        <is>
          <t>UKPN</t>
        </is>
      </c>
      <c r="R221" t="b">
        <v>0</v>
      </c>
    </row>
    <row r="222">
      <c r="A222" t="inlineStr">
        <is>
          <t>7 Jan 2025 / 7186 Eastwoodbury Tree Services Ltd</t>
        </is>
      </c>
      <c r="B222" t="inlineStr">
        <is>
          <t>Utilities &amp; Inland Waterways</t>
        </is>
      </c>
      <c r="C222" t="inlineStr">
        <is>
          <t>UKPN</t>
        </is>
      </c>
      <c r="D222" t="inlineStr">
        <is>
          <t xml:space="preserve">Land Rover </t>
        </is>
      </c>
      <c r="E222" t="inlineStr">
        <is>
          <t>Defender</t>
        </is>
      </c>
      <c r="F222" t="inlineStr">
        <is>
          <t>FN600XM</t>
        </is>
      </c>
      <c r="G222" t="inlineStr">
        <is>
          <t xml:space="preserve">Dan Gilbert Jay Denkmayer </t>
        </is>
      </c>
      <c r="H222" t="inlineStr">
        <is>
          <t>4x44x4</t>
        </is>
      </c>
      <c r="I222" t="inlineStr">
        <is>
          <t>Daily/ Weekly Vehicle Inspection</t>
        </is>
      </c>
      <c r="J222" t="inlineStr">
        <is>
          <t>N/A</t>
        </is>
      </c>
      <c r="K222" t="inlineStr">
        <is>
          <t>7186 Eastwoodbury Tree Services Ltd</t>
        </is>
      </c>
      <c r="L222" t="inlineStr">
        <is>
          <t>07/01/2025 14:43</t>
        </is>
      </c>
      <c r="M222" t="inlineStr">
        <is>
          <t>None</t>
        </is>
      </c>
      <c r="N222" t="inlineStr">
        <is>
          <t>&lt;p&gt;&lt;/p&gt;</t>
        </is>
      </c>
      <c r="O222" t="inlineStr"/>
      <c r="P222" t="inlineStr">
        <is>
          <t>4x4 - Santana  - Ps10 - AO57 BPF4x4 - Land Rover  - Defender - FN60 0XM</t>
        </is>
      </c>
      <c r="Q222" t="inlineStr">
        <is>
          <t>UKPN</t>
        </is>
      </c>
      <c r="R222" t="b">
        <v>0</v>
      </c>
    </row>
    <row r="223">
      <c r="A223" t="inlineStr">
        <is>
          <t>7 Jan 2025 / 7889 Tree Tech Suffolk Ltd</t>
        </is>
      </c>
      <c r="B223" t="inlineStr">
        <is>
          <t>Utilities &amp; Inland Waterways</t>
        </is>
      </c>
      <c r="C223" t="inlineStr">
        <is>
          <t>UKPN</t>
        </is>
      </c>
      <c r="D223" t="inlineStr">
        <is>
          <t>Isuzu</t>
        </is>
      </c>
      <c r="E223" t="inlineStr">
        <is>
          <t>D-max</t>
        </is>
      </c>
      <c r="F223" t="inlineStr">
        <is>
          <t>NS03TTS</t>
        </is>
      </c>
      <c r="G223" t="inlineStr">
        <is>
          <t xml:space="preserve">Danny Appleby Danny Appleby </t>
        </is>
      </c>
      <c r="H223" t="inlineStr">
        <is>
          <t>4x4Towed Chipper</t>
        </is>
      </c>
      <c r="I223" t="inlineStr">
        <is>
          <t>Monthly Vehicle Inspection</t>
        </is>
      </c>
      <c r="J223" t="inlineStr">
        <is>
          <t>112637118.5</t>
        </is>
      </c>
      <c r="K223" t="inlineStr">
        <is>
          <t>7889 Tree Tech Suffolk Ltd</t>
        </is>
      </c>
      <c r="L223" t="inlineStr">
        <is>
          <t>07/01/2025 14:46</t>
        </is>
      </c>
      <c r="M223" t="inlineStr">
        <is>
          <t>None</t>
        </is>
      </c>
      <c r="N223" t="inlineStr">
        <is>
          <t>&lt;p&gt;&lt;/p&gt;</t>
        </is>
      </c>
      <c r="O223" t="inlineStr"/>
      <c r="P223" t="inlineStr">
        <is>
          <t>4x4 - Isuzu - D-max - NS03 TTSTow Chipper - Jenson - A530L - 5521063948</t>
        </is>
      </c>
      <c r="Q223" t="inlineStr">
        <is>
          <t>UKPN</t>
        </is>
      </c>
      <c r="R223" t="b">
        <v>0</v>
      </c>
    </row>
    <row r="224">
      <c r="A224" t="inlineStr">
        <is>
          <t>7 Jan 2025 / 6617 Ashdown Tree Limited</t>
        </is>
      </c>
      <c r="B224" t="inlineStr">
        <is>
          <t>Utilities &amp; Inland Waterways</t>
        </is>
      </c>
      <c r="C224" t="inlineStr">
        <is>
          <t>UKPN</t>
        </is>
      </c>
      <c r="D224" t="inlineStr">
        <is>
          <t xml:space="preserve">Land rover </t>
        </is>
      </c>
      <c r="E224" t="inlineStr">
        <is>
          <t xml:space="preserve">Defender mewp </t>
        </is>
      </c>
      <c r="F224" t="inlineStr">
        <is>
          <t>TR55tub</t>
        </is>
      </c>
      <c r="G224" t="inlineStr">
        <is>
          <t xml:space="preserve">Francis lesser Dan Watkins Dan Watkins </t>
        </is>
      </c>
      <c r="H224" t="inlineStr">
        <is>
          <t>4x4TipperPlant Trailer</t>
        </is>
      </c>
      <c r="I224" t="inlineStr">
        <is>
          <t>Daily/ Weekly Vehicle Inspection</t>
        </is>
      </c>
      <c r="J224" t="inlineStr">
        <is>
          <t>N/A</t>
        </is>
      </c>
      <c r="K224" t="inlineStr">
        <is>
          <t>6617 Ashdown Tree Limited</t>
        </is>
      </c>
      <c r="L224" t="inlineStr">
        <is>
          <t>07/01/2025 14:47</t>
        </is>
      </c>
      <c r="M224" t="inlineStr">
        <is>
          <t>None</t>
        </is>
      </c>
      <c r="N224" t="inlineStr">
        <is>
          <t>&lt;p&gt;&lt;/p&gt;</t>
        </is>
      </c>
      <c r="O224" t="inlineStr">
        <is>
          <t>Select Vehicle:Indespension</t>
        </is>
      </c>
      <c r="P224" t="inlineStr">
        <is>
          <t>4x4 - Land rover  - Defender mewp  - TR55 tubTipper - Ford - Transit - FE11 BUTFlat Bed Trailer - Ifor Williams -  - SCKD00000H5147808A</t>
        </is>
      </c>
      <c r="Q224" t="inlineStr">
        <is>
          <t>UKPN</t>
        </is>
      </c>
      <c r="R224" t="b">
        <v>0</v>
      </c>
    </row>
    <row r="225">
      <c r="A225" t="inlineStr">
        <is>
          <t>6 Jan 2025 / 3098 D &amp; R Landscapes (PEND Arb Rail)</t>
        </is>
      </c>
      <c r="B225" t="inlineStr">
        <is>
          <t>Utilities &amp; Inland Waterways</t>
        </is>
      </c>
      <c r="C225" t="inlineStr">
        <is>
          <t>UKPN</t>
        </is>
      </c>
      <c r="D225" t="inlineStr">
        <is>
          <t>Nissan</t>
        </is>
      </c>
      <c r="E225" t="inlineStr">
        <is>
          <t>Navara</t>
        </is>
      </c>
      <c r="F225" t="inlineStr">
        <is>
          <t>FX17YVM</t>
        </is>
      </c>
      <c r="G225" t="inlineStr">
        <is>
          <t xml:space="preserve">Jason. </t>
        </is>
      </c>
      <c r="H225" t="inlineStr">
        <is>
          <t>Pickup Truck</t>
        </is>
      </c>
      <c r="I225" t="inlineStr">
        <is>
          <t>Daily/ Weekly Vehicle Inspection</t>
        </is>
      </c>
      <c r="J225" t="inlineStr">
        <is>
          <t>N/A</t>
        </is>
      </c>
      <c r="K225" t="inlineStr">
        <is>
          <t>3098 D &amp; R Landscapes (PEND Arb Rail)</t>
        </is>
      </c>
      <c r="L225" t="inlineStr">
        <is>
          <t>07/01/2025 14:48</t>
        </is>
      </c>
      <c r="M225" t="inlineStr">
        <is>
          <t>None</t>
        </is>
      </c>
      <c r="N225" t="inlineStr">
        <is>
          <t>&lt;p&gt;&lt;/p&gt;</t>
        </is>
      </c>
      <c r="O225" t="inlineStr"/>
      <c r="P225" t="inlineStr">
        <is>
          <t>Vehicle - Nissan - Navara - FX17 YVM</t>
        </is>
      </c>
      <c r="Q225" t="inlineStr">
        <is>
          <t>UKPN</t>
        </is>
      </c>
      <c r="R225" t="b">
        <v>0</v>
      </c>
    </row>
    <row r="226">
      <c r="A226" t="inlineStr">
        <is>
          <t>6 Jan 2025 / 7186 Eastwoodbury Tree Services Ltd</t>
        </is>
      </c>
      <c r="B226" t="inlineStr">
        <is>
          <t>Utilities &amp; Inland Waterways</t>
        </is>
      </c>
      <c r="C226" t="inlineStr">
        <is>
          <t>UKPN</t>
        </is>
      </c>
      <c r="D226" t="inlineStr">
        <is>
          <t>Ford</t>
        </is>
      </c>
      <c r="E226" t="inlineStr">
        <is>
          <t>Transit</t>
        </is>
      </c>
      <c r="F226" t="inlineStr">
        <is>
          <t>DN61XKJ</t>
        </is>
      </c>
      <c r="G226" t="inlineStr">
        <is>
          <t xml:space="preserve">Dan Gilbert Jay Denkmayer Jay Denkmayer </t>
        </is>
      </c>
      <c r="H226" t="inlineStr">
        <is>
          <t>4x44x4Tipper</t>
        </is>
      </c>
      <c r="I226" t="inlineStr">
        <is>
          <t>Daily/ Weekly Vehicle Inspection</t>
        </is>
      </c>
      <c r="J226" t="inlineStr">
        <is>
          <t>N/A</t>
        </is>
      </c>
      <c r="K226" t="inlineStr">
        <is>
          <t>7186 Eastwoodbury Tree Services Ltd</t>
        </is>
      </c>
      <c r="L226" t="inlineStr">
        <is>
          <t>07/01/2025 14:50</t>
        </is>
      </c>
      <c r="M226" t="inlineStr">
        <is>
          <t>None</t>
        </is>
      </c>
      <c r="N226" t="inlineStr">
        <is>
          <t>&lt;p&gt;&lt;/p&gt;</t>
        </is>
      </c>
      <c r="O226" t="inlineStr"/>
      <c r="P226" t="inlineStr">
        <is>
          <t>4x4 - Santana  - Ps10 - AO57 BPF4x4 - Land Rover  - Defender - FN60 0XMTipper - Ford - Transit - DN61XKJ</t>
        </is>
      </c>
      <c r="Q226" t="inlineStr">
        <is>
          <t>UKPN</t>
        </is>
      </c>
      <c r="R226" t="b">
        <v>0</v>
      </c>
    </row>
    <row r="227">
      <c r="A227" t="inlineStr">
        <is>
          <t>6 Jan 2025 / 6617 Ashdown Tree Limited</t>
        </is>
      </c>
      <c r="B227" t="inlineStr">
        <is>
          <t>Utilities &amp; Inland Waterways</t>
        </is>
      </c>
      <c r="C227" t="inlineStr">
        <is>
          <t>UKPN</t>
        </is>
      </c>
      <c r="D227" t="inlineStr">
        <is>
          <t xml:space="preserve">Land rover </t>
        </is>
      </c>
      <c r="E227" t="inlineStr">
        <is>
          <t xml:space="preserve">Defender mewp </t>
        </is>
      </c>
      <c r="F227" t="inlineStr">
        <is>
          <t>TR55tub</t>
        </is>
      </c>
      <c r="G227" t="inlineStr">
        <is>
          <t xml:space="preserve">Francis lesser Luke Williams Luke Williams </t>
        </is>
      </c>
      <c r="H227" t="inlineStr">
        <is>
          <t>4x4TipperTowed Chipper</t>
        </is>
      </c>
      <c r="I227" t="inlineStr">
        <is>
          <t>Daily/ Weekly Vehicle Inspection</t>
        </is>
      </c>
      <c r="J227" t="inlineStr">
        <is>
          <t>N/A</t>
        </is>
      </c>
      <c r="K227" t="inlineStr">
        <is>
          <t>6617 Ashdown Tree Limited</t>
        </is>
      </c>
      <c r="L227" t="inlineStr">
        <is>
          <t>07/01/2025 14:52</t>
        </is>
      </c>
      <c r="M227" t="inlineStr">
        <is>
          <t>None</t>
        </is>
      </c>
      <c r="N227" t="inlineStr">
        <is>
          <t>&lt;p&gt;&lt;/p&gt;</t>
        </is>
      </c>
      <c r="O227" t="inlineStr"/>
      <c r="P227" t="inlineStr">
        <is>
          <t>4x4 - Land rover  - Defender mewp  - TR55 tubTipper - Ford - Transit - FE11 BUTTow Chipper - Timberwolf - TW230DHB - SBXTW 35A6LS209184</t>
        </is>
      </c>
      <c r="Q227" t="inlineStr">
        <is>
          <t>UKPN</t>
        </is>
      </c>
      <c r="R227" t="b">
        <v>0</v>
      </c>
    </row>
    <row r="228">
      <c r="A228" t="inlineStr">
        <is>
          <t>9 Jan 2025 / 7800 MAC Trees and Fencing Ltd</t>
        </is>
      </c>
      <c r="B228" t="inlineStr">
        <is>
          <t>Utilities &amp; Inland Waterways</t>
        </is>
      </c>
      <c r="C228" t="inlineStr">
        <is>
          <t>UKPN</t>
        </is>
      </c>
      <c r="D228" t="inlineStr">
        <is>
          <t xml:space="preserve">Ford transit </t>
        </is>
      </c>
      <c r="E228" t="inlineStr">
        <is>
          <t xml:space="preserve">Transit tipper </t>
        </is>
      </c>
      <c r="F228" t="inlineStr">
        <is>
          <t>Fg16lnt</t>
        </is>
      </c>
      <c r="G228" t="inlineStr">
        <is>
          <t>Lewis macLewis mac</t>
        </is>
      </c>
      <c r="H228" t="inlineStr">
        <is>
          <t>TipperTowed Chipper</t>
        </is>
      </c>
      <c r="I228" t="inlineStr">
        <is>
          <t>Daily/ Weekly Vehicle Inspection</t>
        </is>
      </c>
      <c r="J228" t="inlineStr">
        <is>
          <t>N/A</t>
        </is>
      </c>
      <c r="K228" t="inlineStr">
        <is>
          <t>7800 MAC Trees and Fencing Ltd</t>
        </is>
      </c>
      <c r="L228" t="inlineStr">
        <is>
          <t>09/01/2025 14:42</t>
        </is>
      </c>
      <c r="M228" t="inlineStr">
        <is>
          <t>None</t>
        </is>
      </c>
      <c r="N228" t="inlineStr">
        <is>
          <t>&lt;p&gt;&lt;/p&gt;</t>
        </is>
      </c>
      <c r="O228" t="inlineStr"/>
      <c r="P228" t="inlineStr">
        <is>
          <t>Tipper - Ford transit  - Transit tipper  - Fg16lntTow Chipper - Timberwolf - TW150 - 205143043-a1</t>
        </is>
      </c>
      <c r="Q228" t="inlineStr">
        <is>
          <t>UKPN</t>
        </is>
      </c>
      <c r="R228" t="b">
        <v>0</v>
      </c>
    </row>
    <row r="229">
      <c r="A229" t="inlineStr">
        <is>
          <t>9 Jan 2025 / 3098 D &amp; R Landscapes (PEND Arb Rail)</t>
        </is>
      </c>
      <c r="B229" t="inlineStr">
        <is>
          <t>Utilities &amp; Inland Waterways</t>
        </is>
      </c>
      <c r="C229" t="inlineStr">
        <is>
          <t>UKPN</t>
        </is>
      </c>
      <c r="D229" t="inlineStr">
        <is>
          <t>Nissan</t>
        </is>
      </c>
      <c r="E229" t="inlineStr">
        <is>
          <t>Navara</t>
        </is>
      </c>
      <c r="F229" t="inlineStr">
        <is>
          <t>FX17YVM</t>
        </is>
      </c>
      <c r="G229" t="inlineStr">
        <is>
          <t>Jason MCCLOY</t>
        </is>
      </c>
      <c r="H229" t="inlineStr">
        <is>
          <t>4x4</t>
        </is>
      </c>
      <c r="I229" t="inlineStr">
        <is>
          <t>Daily/ Weekly Vehicle Inspection</t>
        </is>
      </c>
      <c r="J229" t="inlineStr">
        <is>
          <t>N/A</t>
        </is>
      </c>
      <c r="K229" t="inlineStr">
        <is>
          <t>3098 D &amp; R Landscapes (PEND Arb Rail)</t>
        </is>
      </c>
      <c r="L229" t="inlineStr">
        <is>
          <t>09/01/2025 14:43</t>
        </is>
      </c>
      <c r="M229" t="inlineStr">
        <is>
          <t>None</t>
        </is>
      </c>
      <c r="N229" t="inlineStr">
        <is>
          <t>&lt;p&gt;&lt;/p&gt;</t>
        </is>
      </c>
      <c r="O229" t="inlineStr"/>
      <c r="P229" t="inlineStr">
        <is>
          <t>Vehicle - Nissan - Navara - FX17 YVM</t>
        </is>
      </c>
      <c r="Q229" t="inlineStr">
        <is>
          <t>UKPN</t>
        </is>
      </c>
      <c r="R229" t="b">
        <v>0</v>
      </c>
    </row>
    <row r="230">
      <c r="A230" t="inlineStr">
        <is>
          <t>9 Jan 2025 / 7186 Eastwoodbury Tree Services Ltd</t>
        </is>
      </c>
      <c r="B230" t="inlineStr">
        <is>
          <t>Utilities &amp; Inland Waterways</t>
        </is>
      </c>
      <c r="C230" t="inlineStr">
        <is>
          <t>UKPN</t>
        </is>
      </c>
      <c r="D230" t="inlineStr">
        <is>
          <t xml:space="preserve">Land Rover </t>
        </is>
      </c>
      <c r="E230" t="inlineStr">
        <is>
          <t>Defender</t>
        </is>
      </c>
      <c r="F230" t="inlineStr">
        <is>
          <t>FN600XM</t>
        </is>
      </c>
      <c r="G230" t="inlineStr">
        <is>
          <t xml:space="preserve">Dan Gilbert Jay Denkmayer </t>
        </is>
      </c>
      <c r="H230" t="inlineStr">
        <is>
          <t>4x44x4</t>
        </is>
      </c>
      <c r="I230" t="inlineStr">
        <is>
          <t>Daily/ Weekly Vehicle Inspection</t>
        </is>
      </c>
      <c r="J230" t="inlineStr">
        <is>
          <t>N/A</t>
        </is>
      </c>
      <c r="K230" t="inlineStr">
        <is>
          <t>7186 Eastwoodbury Tree Services Ltd</t>
        </is>
      </c>
      <c r="L230" t="inlineStr">
        <is>
          <t>09/01/2025 14:44</t>
        </is>
      </c>
      <c r="M230" t="inlineStr">
        <is>
          <t>None</t>
        </is>
      </c>
      <c r="N230" t="inlineStr">
        <is>
          <t>&lt;p&gt;&lt;/p&gt;</t>
        </is>
      </c>
      <c r="O230" t="inlineStr"/>
      <c r="P230" t="inlineStr">
        <is>
          <t>4x4 - Santana  - Ps10 - AO57 BPF4x4 - Land Rover  - Defender - FN60 0XM</t>
        </is>
      </c>
      <c r="Q230" t="inlineStr">
        <is>
          <t>UKPN</t>
        </is>
      </c>
      <c r="R230" t="b">
        <v>0</v>
      </c>
    </row>
    <row r="231">
      <c r="A231" t="inlineStr">
        <is>
          <t>9 Jan 2025 / 6617 Ashdown Tree Limited</t>
        </is>
      </c>
      <c r="B231" t="inlineStr">
        <is>
          <t>Utilities &amp; Inland Waterways</t>
        </is>
      </c>
      <c r="C231" t="inlineStr">
        <is>
          <t>UKPN</t>
        </is>
      </c>
      <c r="D231" t="inlineStr">
        <is>
          <t xml:space="preserve">Land rover </t>
        </is>
      </c>
      <c r="E231" t="inlineStr">
        <is>
          <t xml:space="preserve">Defender mewp </t>
        </is>
      </c>
      <c r="F231" t="inlineStr">
        <is>
          <t>TR55TUB</t>
        </is>
      </c>
      <c r="G231" t="inlineStr">
        <is>
          <t xml:space="preserve">Francis lesser Francis lesser </t>
        </is>
      </c>
      <c r="H231" t="inlineStr">
        <is>
          <t>4x4Towed Chipper</t>
        </is>
      </c>
      <c r="I231" t="inlineStr">
        <is>
          <t>Daily/ Weekly Vehicle Inspection</t>
        </is>
      </c>
      <c r="J231" t="inlineStr">
        <is>
          <t>N/A</t>
        </is>
      </c>
      <c r="K231" t="inlineStr">
        <is>
          <t>6617 Ashdown Tree Limited</t>
        </is>
      </c>
      <c r="L231" t="inlineStr">
        <is>
          <t>09/01/2025 14:45</t>
        </is>
      </c>
      <c r="M231" t="inlineStr">
        <is>
          <t>None</t>
        </is>
      </c>
      <c r="N231" t="inlineStr">
        <is>
          <t>&lt;p&gt;&lt;/p&gt;</t>
        </is>
      </c>
      <c r="O231" t="inlineStr"/>
      <c r="P231" t="inlineStr">
        <is>
          <t>4x4 - Land Rover - Defender - GU11 LKDTow Chipper - Timberwolf - TW230 - SBXTW 37A2PS241049</t>
        </is>
      </c>
      <c r="Q231" t="inlineStr">
        <is>
          <t>UKPN</t>
        </is>
      </c>
      <c r="R231" t="b">
        <v>0</v>
      </c>
    </row>
    <row r="232">
      <c r="A232" t="inlineStr">
        <is>
          <t>9 Jan 2025 / 6617 Ashdown Tree Limited</t>
        </is>
      </c>
      <c r="B232" t="inlineStr">
        <is>
          <t>Utilities &amp; Inland Waterways</t>
        </is>
      </c>
      <c r="C232" t="inlineStr">
        <is>
          <t>UKPN</t>
        </is>
      </c>
      <c r="D232" t="inlineStr">
        <is>
          <t xml:space="preserve">Land rover </t>
        </is>
      </c>
      <c r="E232" t="inlineStr">
        <is>
          <t xml:space="preserve">Defender mewp </t>
        </is>
      </c>
      <c r="F232" t="inlineStr">
        <is>
          <t>TR55TUB</t>
        </is>
      </c>
      <c r="G232" t="inlineStr">
        <is>
          <t>Ashley HorwoodAshley Horwood</t>
        </is>
      </c>
      <c r="H232" t="inlineStr">
        <is>
          <t>TipperEquipment Trailer</t>
        </is>
      </c>
      <c r="I232" t="inlineStr">
        <is>
          <t>Daily/ Weekly Vehicle Inspection</t>
        </is>
      </c>
      <c r="J232" t="inlineStr">
        <is>
          <t>N/A</t>
        </is>
      </c>
      <c r="K232" t="inlineStr">
        <is>
          <t>6617 Ashdown Tree Limited</t>
        </is>
      </c>
      <c r="L232" t="inlineStr">
        <is>
          <t>09/01/2025 14:46</t>
        </is>
      </c>
      <c r="M232" t="inlineStr">
        <is>
          <t>None</t>
        </is>
      </c>
      <c r="N232" t="inlineStr">
        <is>
          <t>&lt;p&gt;&lt;/p&gt;</t>
        </is>
      </c>
      <c r="O232" t="inlineStr"/>
      <c r="P232" t="inlineStr">
        <is>
          <t>4x4 - Land rover  - Defender mewp  - TR55 tub4x4 - Land rover  - Defender mewp  - TR55 tub</t>
        </is>
      </c>
      <c r="Q232" t="inlineStr">
        <is>
          <t>UKPN</t>
        </is>
      </c>
      <c r="R232" t="b">
        <v>0</v>
      </c>
    </row>
    <row r="233">
      <c r="A233" t="inlineStr">
        <is>
          <t>9 Jan 2025 / 7889 Tree Tech Suffolk Ltd</t>
        </is>
      </c>
      <c r="B233" t="inlineStr">
        <is>
          <t>Utilities &amp; Inland Waterways</t>
        </is>
      </c>
      <c r="C233" t="inlineStr">
        <is>
          <t>UKPN</t>
        </is>
      </c>
      <c r="D233" t="inlineStr">
        <is>
          <t>Isuzu</t>
        </is>
      </c>
      <c r="E233" t="inlineStr">
        <is>
          <t>D-max</t>
        </is>
      </c>
      <c r="F233" t="inlineStr">
        <is>
          <t>NS03TTS</t>
        </is>
      </c>
      <c r="G233" t="inlineStr">
        <is>
          <t xml:space="preserve">Danny Appleby Danny Appleby </t>
        </is>
      </c>
      <c r="H233" t="inlineStr">
        <is>
          <t>4x4Towed Chipper</t>
        </is>
      </c>
      <c r="I233" t="inlineStr">
        <is>
          <t>Daily/ Weekly Vehicle Inspection</t>
        </is>
      </c>
      <c r="J233" t="inlineStr">
        <is>
          <t>N/A</t>
        </is>
      </c>
      <c r="K233" t="inlineStr">
        <is>
          <t>7889 Tree Tech Suffolk Ltd</t>
        </is>
      </c>
      <c r="L233" t="inlineStr">
        <is>
          <t>09/01/2025 14:47</t>
        </is>
      </c>
      <c r="M233" t="inlineStr">
        <is>
          <t>None</t>
        </is>
      </c>
      <c r="N233" t="inlineStr">
        <is>
          <t>&lt;p&gt;&lt;/p&gt;</t>
        </is>
      </c>
      <c r="O233" t="inlineStr"/>
      <c r="P233" t="inlineStr">
        <is>
          <t>4x4 - Isuzu - D-max - NS03 TTSTow Chipper - Jenson - A530L - 5521063948</t>
        </is>
      </c>
      <c r="Q233" t="inlineStr">
        <is>
          <t>UKPN</t>
        </is>
      </c>
      <c r="R233" t="b">
        <v>0</v>
      </c>
    </row>
    <row r="234">
      <c r="A234" t="inlineStr">
        <is>
          <t>8 Jan 2025 / 7800 MAC Trees and Fencing Ltd</t>
        </is>
      </c>
      <c r="B234" t="inlineStr">
        <is>
          <t>Utilities &amp; Inland Waterways</t>
        </is>
      </c>
      <c r="C234" t="inlineStr">
        <is>
          <t>UKPN</t>
        </is>
      </c>
      <c r="D234" t="inlineStr">
        <is>
          <t xml:space="preserve">Ford transit </t>
        </is>
      </c>
      <c r="E234" t="inlineStr">
        <is>
          <t xml:space="preserve">Transit tipper </t>
        </is>
      </c>
      <c r="F234" t="inlineStr">
        <is>
          <t>Fg16lnt</t>
        </is>
      </c>
      <c r="G234" t="inlineStr">
        <is>
          <t>Lewis macLewis mac</t>
        </is>
      </c>
      <c r="H234" t="inlineStr">
        <is>
          <t>TipperTowed Chipper</t>
        </is>
      </c>
      <c r="I234" t="inlineStr">
        <is>
          <t>Daily/ Weekly Vehicle Inspection</t>
        </is>
      </c>
      <c r="J234" t="inlineStr">
        <is>
          <t>N/A</t>
        </is>
      </c>
      <c r="K234" t="inlineStr">
        <is>
          <t>7800 MAC Trees and Fencing Ltd</t>
        </is>
      </c>
      <c r="L234" t="inlineStr">
        <is>
          <t>09/01/2025 14:50</t>
        </is>
      </c>
      <c r="M234" t="inlineStr">
        <is>
          <t>None</t>
        </is>
      </c>
      <c r="N234" t="inlineStr">
        <is>
          <t>&lt;p&gt;&lt;/p&gt;</t>
        </is>
      </c>
      <c r="O234" t="inlineStr"/>
      <c r="P234" t="inlineStr">
        <is>
          <t>Tipper - Ford transit  - Transit tipper  - Fg16lntTow Chipper - Timberwolf - TW150 - 205143043-a1</t>
        </is>
      </c>
      <c r="Q234" t="inlineStr">
        <is>
          <t>UKPN</t>
        </is>
      </c>
      <c r="R234" t="b">
        <v>0</v>
      </c>
    </row>
    <row r="235">
      <c r="A235" t="inlineStr">
        <is>
          <t>8 Jan 2025 / 6617 Ashdown Tree Limited</t>
        </is>
      </c>
      <c r="B235" t="inlineStr">
        <is>
          <t>Utilities &amp; Inland Waterways</t>
        </is>
      </c>
      <c r="C235" t="inlineStr">
        <is>
          <t>UKPN</t>
        </is>
      </c>
      <c r="D235" t="inlineStr">
        <is>
          <t>Land Rover</t>
        </is>
      </c>
      <c r="E235" t="inlineStr">
        <is>
          <t>Defender</t>
        </is>
      </c>
      <c r="F235" t="inlineStr">
        <is>
          <t>GU11LKD</t>
        </is>
      </c>
      <c r="G235" t="inlineStr">
        <is>
          <t>Francis Lesser</t>
        </is>
      </c>
      <c r="H235" t="inlineStr">
        <is>
          <t>4x4</t>
        </is>
      </c>
      <c r="I235" t="inlineStr">
        <is>
          <t>Daily/ Weekly Vehicle Inspection</t>
        </is>
      </c>
      <c r="J235" t="inlineStr">
        <is>
          <t>N/A</t>
        </is>
      </c>
      <c r="K235" t="inlineStr">
        <is>
          <t>6617 Ashdown Tree Limited</t>
        </is>
      </c>
      <c r="L235" t="inlineStr">
        <is>
          <t>09/01/2025 14:50</t>
        </is>
      </c>
      <c r="M235" t="inlineStr">
        <is>
          <t>None</t>
        </is>
      </c>
      <c r="N235" t="inlineStr">
        <is>
          <t>&lt;p&gt;&lt;/p&gt;</t>
        </is>
      </c>
      <c r="O235" t="inlineStr"/>
      <c r="P235" t="inlineStr">
        <is>
          <t>4x4 - Land Rover - Defender - GU11 LKD</t>
        </is>
      </c>
      <c r="Q235" t="inlineStr">
        <is>
          <t>UKPN</t>
        </is>
      </c>
      <c r="R235" t="b">
        <v>0</v>
      </c>
    </row>
    <row r="236">
      <c r="A236" t="inlineStr">
        <is>
          <t>8 Jan 2025 / 7186 Eastwoodbury Tree Services Ltd</t>
        </is>
      </c>
      <c r="B236" t="inlineStr">
        <is>
          <t>Utilities &amp; Inland Waterways</t>
        </is>
      </c>
      <c r="C236" t="inlineStr">
        <is>
          <t>UKPN</t>
        </is>
      </c>
      <c r="D236" t="inlineStr">
        <is>
          <t xml:space="preserve">Land Rover </t>
        </is>
      </c>
      <c r="E236" t="inlineStr">
        <is>
          <t>Defender</t>
        </is>
      </c>
      <c r="F236" t="inlineStr">
        <is>
          <t>FN600XM</t>
        </is>
      </c>
      <c r="G236" t="inlineStr">
        <is>
          <t xml:space="preserve">Dan Gilbert Jay Denkmayer </t>
        </is>
      </c>
      <c r="H236" t="inlineStr">
        <is>
          <t>4x44x4</t>
        </is>
      </c>
      <c r="I236" t="inlineStr">
        <is>
          <t>Daily/ Weekly Vehicle Inspection</t>
        </is>
      </c>
      <c r="J236" t="inlineStr">
        <is>
          <t>N/A</t>
        </is>
      </c>
      <c r="K236" t="inlineStr">
        <is>
          <t>7186 Eastwoodbury Tree Services Ltd</t>
        </is>
      </c>
      <c r="L236" t="inlineStr">
        <is>
          <t>09/01/2025 14:51</t>
        </is>
      </c>
      <c r="M236" t="inlineStr">
        <is>
          <t>None</t>
        </is>
      </c>
      <c r="N236" t="inlineStr">
        <is>
          <t>&lt;p&gt;&lt;/p&gt;</t>
        </is>
      </c>
      <c r="O236" t="inlineStr"/>
      <c r="P236" t="inlineStr">
        <is>
          <t>4x4 - Santana  - Ps10 - AO57 BPF4x4 - Land Rover  - Defender - FN60 0XM</t>
        </is>
      </c>
      <c r="Q236" t="inlineStr">
        <is>
          <t>UKPN</t>
        </is>
      </c>
      <c r="R236" t="b">
        <v>0</v>
      </c>
    </row>
    <row r="237">
      <c r="A237" t="inlineStr">
        <is>
          <t>8 Jan 2025 / 7889 Tree Tech Suffolk Ltd</t>
        </is>
      </c>
      <c r="B237" t="inlineStr">
        <is>
          <t>Utilities &amp; Inland Waterways</t>
        </is>
      </c>
      <c r="C237" t="inlineStr">
        <is>
          <t>UKPN</t>
        </is>
      </c>
      <c r="D237" t="inlineStr">
        <is>
          <t>Isuzu</t>
        </is>
      </c>
      <c r="E237" t="inlineStr">
        <is>
          <t>D-max</t>
        </is>
      </c>
      <c r="F237" t="inlineStr">
        <is>
          <t>NS03TTS</t>
        </is>
      </c>
      <c r="G237" t="inlineStr">
        <is>
          <t xml:space="preserve">Danny Appleby Danny Appleby </t>
        </is>
      </c>
      <c r="H237" t="inlineStr">
        <is>
          <t>4x4Towed Chipper</t>
        </is>
      </c>
      <c r="I237" t="inlineStr">
        <is>
          <t>Daily/ Weekly Vehicle Inspection</t>
        </is>
      </c>
      <c r="J237" t="inlineStr">
        <is>
          <t>N/A</t>
        </is>
      </c>
      <c r="K237" t="inlineStr">
        <is>
          <t>7889 Tree Tech Suffolk Ltd</t>
        </is>
      </c>
      <c r="L237" t="inlineStr">
        <is>
          <t>09/01/2025 14:52</t>
        </is>
      </c>
      <c r="M237" t="inlineStr">
        <is>
          <t>None</t>
        </is>
      </c>
      <c r="N237" t="inlineStr">
        <is>
          <t>&lt;p&gt;&lt;/p&gt;</t>
        </is>
      </c>
      <c r="O237" t="inlineStr"/>
      <c r="P237" t="inlineStr">
        <is>
          <t>4x4 - Isuzu - D-max - NS03 TTSTow Chipper - Jenson - A530L - 5521063948</t>
        </is>
      </c>
      <c r="Q237" t="inlineStr">
        <is>
          <t>UKPN</t>
        </is>
      </c>
      <c r="R237" t="b">
        <v>0</v>
      </c>
    </row>
    <row r="238">
      <c r="A238" t="inlineStr">
        <is>
          <t>10 Jan 2025 / 3098 D &amp; R Landscapes (PEND Arb Rail)</t>
        </is>
      </c>
      <c r="B238" t="inlineStr">
        <is>
          <t>Utilities &amp; Inland Waterways</t>
        </is>
      </c>
      <c r="C238" t="inlineStr">
        <is>
          <t>UKPN</t>
        </is>
      </c>
      <c r="D238" t="inlineStr">
        <is>
          <t>Isuzu</t>
        </is>
      </c>
      <c r="E238" t="inlineStr">
        <is>
          <t>Grafter</t>
        </is>
      </c>
      <c r="F238" t="inlineStr">
        <is>
          <t>DE68XHA</t>
        </is>
      </c>
      <c r="G238" t="inlineStr">
        <is>
          <t>Jason MCCLOY</t>
        </is>
      </c>
      <c r="H238" t="inlineStr">
        <is>
          <t>Tipper</t>
        </is>
      </c>
      <c r="I238" t="inlineStr">
        <is>
          <t>Daily/ Weekly Vehicle Inspection</t>
        </is>
      </c>
      <c r="J238" t="inlineStr">
        <is>
          <t>N/A</t>
        </is>
      </c>
      <c r="K238" t="inlineStr">
        <is>
          <t>3098 D &amp; R Landscapes (PEND Arb Rail)</t>
        </is>
      </c>
      <c r="L238" t="inlineStr">
        <is>
          <t>11/01/2025 14:42</t>
        </is>
      </c>
      <c r="M238" t="inlineStr">
        <is>
          <t>None</t>
        </is>
      </c>
      <c r="N238" t="inlineStr">
        <is>
          <t>&lt;p&gt;&lt;/p&gt;</t>
        </is>
      </c>
      <c r="O238" t="inlineStr"/>
      <c r="P238" t="inlineStr">
        <is>
          <t>Tipper - Isuzu - Grafter - DE68 XHA</t>
        </is>
      </c>
      <c r="Q238" t="inlineStr">
        <is>
          <t>UKPN</t>
        </is>
      </c>
      <c r="R238" t="b">
        <v>0</v>
      </c>
    </row>
    <row r="239">
      <c r="A239" t="inlineStr">
        <is>
          <t>10 Jan 2025 / 7800 MAC Trees and Fencing Ltd</t>
        </is>
      </c>
      <c r="B239" t="inlineStr">
        <is>
          <t>Utilities &amp; Inland Waterways</t>
        </is>
      </c>
      <c r="C239" t="inlineStr">
        <is>
          <t>UKPN</t>
        </is>
      </c>
      <c r="D239" t="inlineStr">
        <is>
          <t>Izuzu</t>
        </is>
      </c>
      <c r="E239" t="inlineStr">
        <is>
          <t>Dmax</t>
        </is>
      </c>
      <c r="F239" t="inlineStr">
        <is>
          <t>AY68DAA</t>
        </is>
      </c>
      <c r="G239" t="inlineStr">
        <is>
          <t xml:space="preserve">Lewis mac Lewis macPatrick oshea </t>
        </is>
      </c>
      <c r="H239" t="inlineStr">
        <is>
          <t>TipperTowed Chipper4x4</t>
        </is>
      </c>
      <c r="I239" t="inlineStr">
        <is>
          <t>Daily/ Weekly Vehicle Inspection</t>
        </is>
      </c>
      <c r="J239" t="inlineStr">
        <is>
          <t>N/A</t>
        </is>
      </c>
      <c r="K239" t="inlineStr">
        <is>
          <t>7800 MAC Trees and Fencing Ltd</t>
        </is>
      </c>
      <c r="L239" t="inlineStr">
        <is>
          <t>11/01/2025 14:43</t>
        </is>
      </c>
      <c r="M239" t="inlineStr">
        <is>
          <t>None</t>
        </is>
      </c>
      <c r="N239" t="inlineStr">
        <is>
          <t>&lt;p&gt;&lt;/p&gt;</t>
        </is>
      </c>
      <c r="O239" t="inlineStr"/>
      <c r="P239" t="inlineStr">
        <is>
          <t>Tipper - Ford transit  - Transit tipper  - Fg16lntTow Chipper - Timberwolf - TW150 - 205143043-a14x4 - Izuzu - Dmax - Ay68 daa</t>
        </is>
      </c>
      <c r="Q239" t="inlineStr">
        <is>
          <t>UKPN</t>
        </is>
      </c>
      <c r="R239" t="b">
        <v>0</v>
      </c>
    </row>
    <row r="240">
      <c r="A240" t="inlineStr">
        <is>
          <t>10 Jan 2025 / 6617 Ashdown Tree Limited</t>
        </is>
      </c>
      <c r="B240" t="inlineStr">
        <is>
          <t>Utilities &amp; Inland Waterways</t>
        </is>
      </c>
      <c r="C240" t="inlineStr">
        <is>
          <t>UKPN</t>
        </is>
      </c>
      <c r="D240" t="inlineStr">
        <is>
          <t>Land Rover</t>
        </is>
      </c>
      <c r="E240" t="inlineStr">
        <is>
          <t>Defender</t>
        </is>
      </c>
      <c r="F240" t="inlineStr">
        <is>
          <t>GU11LKD</t>
        </is>
      </c>
      <c r="G240" t="inlineStr">
        <is>
          <t xml:space="preserve">Francis lesser </t>
        </is>
      </c>
      <c r="H240" t="inlineStr">
        <is>
          <t>4x4</t>
        </is>
      </c>
      <c r="I240" t="inlineStr">
        <is>
          <t>Daily/ Weekly Vehicle Inspection</t>
        </is>
      </c>
      <c r="J240" t="inlineStr">
        <is>
          <t>N/A</t>
        </is>
      </c>
      <c r="K240" t="inlineStr">
        <is>
          <t>6617 Ashdown Tree Limited</t>
        </is>
      </c>
      <c r="L240" t="inlineStr">
        <is>
          <t>11/01/2025 14:43</t>
        </is>
      </c>
      <c r="M240" t="inlineStr">
        <is>
          <t>None</t>
        </is>
      </c>
      <c r="N240" t="inlineStr">
        <is>
          <t>&lt;p&gt;&lt;/p&gt;</t>
        </is>
      </c>
      <c r="O240" t="inlineStr"/>
      <c r="P240" t="inlineStr">
        <is>
          <t>4x4 - Land Rover - Defender - GU11 LKD</t>
        </is>
      </c>
      <c r="Q240" t="inlineStr">
        <is>
          <t>UKPN</t>
        </is>
      </c>
      <c r="R240" t="b">
        <v>0</v>
      </c>
    </row>
    <row r="241">
      <c r="A241" t="inlineStr">
        <is>
          <t>10 Jan 2025 / 7186 Eastwoodbury Tree Services Ltd</t>
        </is>
      </c>
      <c r="B241" t="inlineStr">
        <is>
          <t>Utilities &amp; Inland Waterways</t>
        </is>
      </c>
      <c r="C241" t="inlineStr">
        <is>
          <t>UKPN</t>
        </is>
      </c>
      <c r="D241" t="inlineStr">
        <is>
          <t xml:space="preserve">Land Rover </t>
        </is>
      </c>
      <c r="E241" t="inlineStr">
        <is>
          <t>Defender</t>
        </is>
      </c>
      <c r="F241" t="inlineStr">
        <is>
          <t>FN600XM</t>
        </is>
      </c>
      <c r="G241" t="inlineStr">
        <is>
          <t xml:space="preserve">Dan Gilbert Jay Denkmayer </t>
        </is>
      </c>
      <c r="H241" t="inlineStr">
        <is>
          <t>4x44x4</t>
        </is>
      </c>
      <c r="I241" t="inlineStr">
        <is>
          <t>Daily/ Weekly Vehicle Inspection</t>
        </is>
      </c>
      <c r="J241" t="inlineStr">
        <is>
          <t>N/A</t>
        </is>
      </c>
      <c r="K241" t="inlineStr">
        <is>
          <t>7186 Eastwoodbury Tree Services Ltd</t>
        </is>
      </c>
      <c r="L241" t="inlineStr">
        <is>
          <t>11/01/2025 14:44</t>
        </is>
      </c>
      <c r="M241" t="inlineStr">
        <is>
          <t>None</t>
        </is>
      </c>
      <c r="N241" t="inlineStr">
        <is>
          <t>&lt;p&gt;&lt;/p&gt;</t>
        </is>
      </c>
      <c r="O241" t="inlineStr"/>
      <c r="P241" t="inlineStr">
        <is>
          <t>4x4 - Santana  - Ps10 - AO57 BPF4x4 - Land Rover  - Defender - FN60 0XM</t>
        </is>
      </c>
      <c r="Q241" t="inlineStr">
        <is>
          <t>UKPN</t>
        </is>
      </c>
      <c r="R241" t="b">
        <v>0</v>
      </c>
    </row>
    <row r="242">
      <c r="A242" t="inlineStr">
        <is>
          <t>16 Dec 2024 / 6617 Ashdown Tree Limited</t>
        </is>
      </c>
      <c r="B242" t="inlineStr">
        <is>
          <t>Utilities &amp; Inland Waterways</t>
        </is>
      </c>
      <c r="C242" t="inlineStr">
        <is>
          <t>UKPN</t>
        </is>
      </c>
      <c r="D242" t="inlineStr">
        <is>
          <t>Land Rover</t>
        </is>
      </c>
      <c r="E242" t="inlineStr">
        <is>
          <t xml:space="preserve">Discovery </t>
        </is>
      </c>
      <c r="F242" t="inlineStr">
        <is>
          <t>WF11EJJ</t>
        </is>
      </c>
      <c r="G242" t="inlineStr">
        <is>
          <t>A Horwood</t>
        </is>
      </c>
      <c r="H242" t="inlineStr">
        <is>
          <t>4x4</t>
        </is>
      </c>
      <c r="I242" t="inlineStr">
        <is>
          <t>Daily/ Weekly Vehicle Inspection</t>
        </is>
      </c>
      <c r="J242" t="inlineStr">
        <is>
          <t>N/A</t>
        </is>
      </c>
      <c r="K242" t="inlineStr">
        <is>
          <t>6617 Ashdown Tree Limited</t>
        </is>
      </c>
      <c r="L242" t="inlineStr">
        <is>
          <t>13/01/2025 14:43</t>
        </is>
      </c>
      <c r="M242" t="inlineStr">
        <is>
          <t>None</t>
        </is>
      </c>
      <c r="N242" t="inlineStr">
        <is>
          <t>&lt;p&gt;&lt;/p&gt;</t>
        </is>
      </c>
      <c r="O242" t="inlineStr"/>
      <c r="P242" t="inlineStr">
        <is>
          <t>Vehicle - Land Rover - Discovery  - WF11 EJJ</t>
        </is>
      </c>
      <c r="Q242" t="inlineStr">
        <is>
          <t>UKPN</t>
        </is>
      </c>
      <c r="R242" t="b">
        <v>0</v>
      </c>
    </row>
    <row r="243">
      <c r="A243" t="inlineStr">
        <is>
          <t>13 Jan 2025 / 3098 D &amp; R Landscapes (PEND Arb Rail)</t>
        </is>
      </c>
      <c r="B243" t="inlineStr">
        <is>
          <t>Utilities &amp; Inland Waterways</t>
        </is>
      </c>
      <c r="C243" t="inlineStr">
        <is>
          <t>UKPN</t>
        </is>
      </c>
      <c r="D243" t="inlineStr">
        <is>
          <t>Isuzu</t>
        </is>
      </c>
      <c r="E243" t="inlineStr">
        <is>
          <t>Grafter</t>
        </is>
      </c>
      <c r="F243" t="inlineStr">
        <is>
          <t>DE68XHA</t>
        </is>
      </c>
      <c r="G243" t="inlineStr">
        <is>
          <t xml:space="preserve">Jason </t>
        </is>
      </c>
      <c r="H243" t="inlineStr">
        <is>
          <t>Tipper</t>
        </is>
      </c>
      <c r="I243" t="inlineStr">
        <is>
          <t>Daily/ Weekly Vehicle Inspection</t>
        </is>
      </c>
      <c r="J243" t="inlineStr">
        <is>
          <t>N/A</t>
        </is>
      </c>
      <c r="K243" t="inlineStr">
        <is>
          <t>3098 D &amp; R Landscapes (PEND Arb Rail)</t>
        </is>
      </c>
      <c r="L243" t="inlineStr">
        <is>
          <t>13/01/2025 14:44</t>
        </is>
      </c>
      <c r="M243" t="inlineStr">
        <is>
          <t>None</t>
        </is>
      </c>
      <c r="N243" t="inlineStr">
        <is>
          <t>&lt;p&gt;&lt;/p&gt;</t>
        </is>
      </c>
      <c r="O243" t="inlineStr"/>
      <c r="P243" t="inlineStr">
        <is>
          <t>Tipper - Isuzu - Grafter - DE68 XHA</t>
        </is>
      </c>
      <c r="Q243" t="inlineStr">
        <is>
          <t>UKPN</t>
        </is>
      </c>
      <c r="R243" t="b">
        <v>0</v>
      </c>
    </row>
    <row r="244">
      <c r="A244" t="inlineStr">
        <is>
          <t>13 Jan 2025 / 7186 Eastwoodbury Tree Services Ltd</t>
        </is>
      </c>
      <c r="B244" t="inlineStr">
        <is>
          <t>Utilities &amp; Inland Waterways</t>
        </is>
      </c>
      <c r="C244" t="inlineStr">
        <is>
          <t>UKPN</t>
        </is>
      </c>
      <c r="D244" t="inlineStr">
        <is>
          <t xml:space="preserve">Santana </t>
        </is>
      </c>
      <c r="E244" t="inlineStr">
        <is>
          <t>Ps10</t>
        </is>
      </c>
      <c r="F244" t="inlineStr">
        <is>
          <t>AO57BPF</t>
        </is>
      </c>
      <c r="G244" t="inlineStr">
        <is>
          <t xml:space="preserve">Jay Denkmayer Dan Gilbert </t>
        </is>
      </c>
      <c r="H244" t="inlineStr">
        <is>
          <t>4x44x4</t>
        </is>
      </c>
      <c r="I244" t="inlineStr">
        <is>
          <t>Daily/ Weekly Vehicle Inspection</t>
        </is>
      </c>
      <c r="J244" t="inlineStr">
        <is>
          <t>N/A</t>
        </is>
      </c>
      <c r="K244" t="inlineStr">
        <is>
          <t>7186 Eastwoodbury Tree Services Ltd</t>
        </is>
      </c>
      <c r="L244" t="inlineStr">
        <is>
          <t>13/01/2025 14:57</t>
        </is>
      </c>
      <c r="M244" t="inlineStr">
        <is>
          <t>None</t>
        </is>
      </c>
      <c r="N244" t="inlineStr">
        <is>
          <t>&lt;p&gt;&lt;/p&gt;</t>
        </is>
      </c>
      <c r="O244" t="inlineStr"/>
      <c r="P244" t="inlineStr">
        <is>
          <t>4x4 - Land Rover  - Defender - FN60 0XM4x4 - Santana  - Ps10 - AO57 BPF</t>
        </is>
      </c>
      <c r="Q244" t="inlineStr">
        <is>
          <t>UKPN</t>
        </is>
      </c>
      <c r="R244" t="b">
        <v>0</v>
      </c>
    </row>
    <row r="245">
      <c r="A245" t="inlineStr">
        <is>
          <t>13 Jan 2025 / 7800 MAC Trees and Fencing Ltd</t>
        </is>
      </c>
      <c r="B245" t="inlineStr">
        <is>
          <t>Utilities &amp; Inland Waterways</t>
        </is>
      </c>
      <c r="C245" t="inlineStr">
        <is>
          <t>UKPN</t>
        </is>
      </c>
      <c r="D245" t="inlineStr">
        <is>
          <t>Izuzu</t>
        </is>
      </c>
      <c r="E245" t="inlineStr">
        <is>
          <t>Dmax</t>
        </is>
      </c>
      <c r="F245" t="inlineStr">
        <is>
          <t>Ay68daa</t>
        </is>
      </c>
      <c r="G245" t="inlineStr">
        <is>
          <t>Lewis macLewis mac</t>
        </is>
      </c>
      <c r="H245" t="inlineStr">
        <is>
          <t>4x4Towed Chipper</t>
        </is>
      </c>
      <c r="I245" t="inlineStr">
        <is>
          <t>Daily/ Weekly Vehicle Inspection</t>
        </is>
      </c>
      <c r="J245" t="inlineStr">
        <is>
          <t>N/A</t>
        </is>
      </c>
      <c r="K245" t="inlineStr">
        <is>
          <t>7800 MAC Trees and Fencing Ltd</t>
        </is>
      </c>
      <c r="L245" t="inlineStr">
        <is>
          <t>13/01/2025 14:58</t>
        </is>
      </c>
      <c r="M245" t="inlineStr">
        <is>
          <t>None</t>
        </is>
      </c>
      <c r="N245" t="inlineStr">
        <is>
          <t>&lt;p&gt;&lt;/p&gt;</t>
        </is>
      </c>
      <c r="O245" t="inlineStr"/>
      <c r="P245" t="inlineStr">
        <is>
          <t>4x4 - Izuzu - Dmax - Ay68 daaTow Chipper - Timberwolf - TW150 - 205143043-a1</t>
        </is>
      </c>
      <c r="Q245" t="inlineStr">
        <is>
          <t>UKPN</t>
        </is>
      </c>
      <c r="R245" t="b">
        <v>0</v>
      </c>
    </row>
    <row r="246">
      <c r="A246" t="inlineStr">
        <is>
          <t>13 Jan 2025 / 6617 Ashdown Tree Limited</t>
        </is>
      </c>
      <c r="B246" t="inlineStr">
        <is>
          <t>Utilities &amp; Inland Waterways</t>
        </is>
      </c>
      <c r="C246" t="inlineStr">
        <is>
          <t>UKPN</t>
        </is>
      </c>
      <c r="D246" t="inlineStr">
        <is>
          <t>Ford</t>
        </is>
      </c>
      <c r="E246" t="inlineStr">
        <is>
          <t>Transit</t>
        </is>
      </c>
      <c r="F246" t="inlineStr">
        <is>
          <t>FE11BUT</t>
        </is>
      </c>
      <c r="G246" t="inlineStr">
        <is>
          <t xml:space="preserve">DanAshley </t>
        </is>
      </c>
      <c r="H246" t="inlineStr">
        <is>
          <t>4x4Tipper</t>
        </is>
      </c>
      <c r="I246" t="inlineStr">
        <is>
          <t>Daily/ Weekly Vehicle Inspection</t>
        </is>
      </c>
      <c r="J246" t="inlineStr">
        <is>
          <t>N/A</t>
        </is>
      </c>
      <c r="K246" t="inlineStr">
        <is>
          <t>6617 Ashdown Tree Limited</t>
        </is>
      </c>
      <c r="L246" t="inlineStr">
        <is>
          <t>13/01/2025 15:01</t>
        </is>
      </c>
      <c r="M246" t="inlineStr">
        <is>
          <t>None</t>
        </is>
      </c>
      <c r="N246" t="inlineStr">
        <is>
          <t>&lt;p&gt;&lt;/p&gt;</t>
        </is>
      </c>
      <c r="O246" t="inlineStr"/>
      <c r="P246" t="inlineStr">
        <is>
          <t>4x4 - Land rover  - Defender mewp  - TR55 tubTipper - Ford - Transit - TR66 BOY</t>
        </is>
      </c>
      <c r="Q246" t="inlineStr">
        <is>
          <t>UKPN</t>
        </is>
      </c>
      <c r="R246" t="b">
        <v>0</v>
      </c>
    </row>
    <row r="247">
      <c r="A247" t="inlineStr">
        <is>
          <t>13 Jan 2025 / 6617 Ashdown Tree Limited</t>
        </is>
      </c>
      <c r="B247" t="inlineStr">
        <is>
          <t>Utilities &amp; Inland Waterways</t>
        </is>
      </c>
      <c r="C247" t="inlineStr">
        <is>
          <t>UKPN</t>
        </is>
      </c>
      <c r="D247" t="inlineStr">
        <is>
          <t>Ford</t>
        </is>
      </c>
      <c r="E247" t="inlineStr">
        <is>
          <t>Transit</t>
        </is>
      </c>
      <c r="F247" t="inlineStr">
        <is>
          <t>FE11BUT</t>
        </is>
      </c>
      <c r="G247" t="inlineStr">
        <is>
          <t xml:space="preserve">Francis lesser Luke Williams Luke Williams </t>
        </is>
      </c>
      <c r="H247" t="inlineStr">
        <is>
          <t>4x4Towed ChipperTipper</t>
        </is>
      </c>
      <c r="I247" t="inlineStr">
        <is>
          <t>Daily/ Weekly Vehicle Inspection</t>
        </is>
      </c>
      <c r="J247" t="inlineStr">
        <is>
          <t>N/A</t>
        </is>
      </c>
      <c r="K247" t="inlineStr">
        <is>
          <t>6617 Ashdown Tree Limited</t>
        </is>
      </c>
      <c r="L247" t="inlineStr">
        <is>
          <t>13/01/2025 15:03</t>
        </is>
      </c>
      <c r="M247" t="inlineStr">
        <is>
          <t>None</t>
        </is>
      </c>
      <c r="N247" t="inlineStr">
        <is>
          <t>&lt;p&gt;&lt;/p&gt;</t>
        </is>
      </c>
      <c r="O247" t="inlineStr"/>
      <c r="P247" t="inlineStr">
        <is>
          <t>4x4 - Land Rover - Defender - GU11 LKDTow Chipper - Timberwolf - TW230 - SBXTW 37A2PS241049Tipper - Ford - Transit - FE11 BUT</t>
        </is>
      </c>
      <c r="Q247" t="inlineStr">
        <is>
          <t>UKPN</t>
        </is>
      </c>
      <c r="R247" t="b">
        <v>0</v>
      </c>
    </row>
    <row r="248">
      <c r="A248" t="inlineStr">
        <is>
          <t>15 Jan 2025 / 3098 D &amp; R Landscapes (PEND Arb Rail)</t>
        </is>
      </c>
      <c r="B248" t="inlineStr">
        <is>
          <t>Utilities &amp; Inland Waterways</t>
        </is>
      </c>
      <c r="C248" t="inlineStr">
        <is>
          <t>UKPN</t>
        </is>
      </c>
      <c r="D248" t="inlineStr">
        <is>
          <t>Nissan</t>
        </is>
      </c>
      <c r="E248" t="inlineStr">
        <is>
          <t>Navara</t>
        </is>
      </c>
      <c r="F248" t="inlineStr">
        <is>
          <t>FX17YVM</t>
        </is>
      </c>
      <c r="G248" t="inlineStr">
        <is>
          <t xml:space="preserve">Jason </t>
        </is>
      </c>
      <c r="H248" t="inlineStr">
        <is>
          <t>4x4</t>
        </is>
      </c>
      <c r="I248" t="inlineStr">
        <is>
          <t>Daily/ Weekly Vehicle Inspection</t>
        </is>
      </c>
      <c r="J248" t="inlineStr">
        <is>
          <t>N/A</t>
        </is>
      </c>
      <c r="K248" t="inlineStr">
        <is>
          <t>3098 D &amp; R Landscapes (PEND Arb Rail)</t>
        </is>
      </c>
      <c r="L248" t="inlineStr">
        <is>
          <t>15/01/2025 14:50</t>
        </is>
      </c>
      <c r="M248" t="inlineStr">
        <is>
          <t>None</t>
        </is>
      </c>
      <c r="N248" t="inlineStr">
        <is>
          <t>&lt;p&gt;&lt;/p&gt;</t>
        </is>
      </c>
      <c r="O248" t="inlineStr"/>
      <c r="P248" t="inlineStr">
        <is>
          <t>Vehicle - Nissan - Navara - FX17 YVM</t>
        </is>
      </c>
      <c r="Q248" t="inlineStr">
        <is>
          <t>UKPN</t>
        </is>
      </c>
      <c r="R248" t="b">
        <v>0</v>
      </c>
    </row>
    <row r="249">
      <c r="A249" t="inlineStr">
        <is>
          <t>15 Jan 2025 / 7800 MAC Trees and Fencing Ltd</t>
        </is>
      </c>
      <c r="B249" t="inlineStr">
        <is>
          <t>Utilities &amp; Inland Waterways</t>
        </is>
      </c>
      <c r="C249" t="inlineStr">
        <is>
          <t>UKPN</t>
        </is>
      </c>
      <c r="D249" t="inlineStr">
        <is>
          <t>Izuzu</t>
        </is>
      </c>
      <c r="E249" t="inlineStr">
        <is>
          <t>Dmax</t>
        </is>
      </c>
      <c r="F249" t="inlineStr">
        <is>
          <t>Ay68daa</t>
        </is>
      </c>
      <c r="G249" t="inlineStr">
        <is>
          <t xml:space="preserve">Lewis macLewis mac </t>
        </is>
      </c>
      <c r="H249" t="inlineStr">
        <is>
          <t>4x4Towed Chipper</t>
        </is>
      </c>
      <c r="I249" t="inlineStr">
        <is>
          <t>Daily/ Weekly Vehicle Inspection</t>
        </is>
      </c>
      <c r="J249" t="inlineStr">
        <is>
          <t>N/A</t>
        </is>
      </c>
      <c r="K249" t="inlineStr">
        <is>
          <t>7800 MAC Trees and Fencing Ltd</t>
        </is>
      </c>
      <c r="L249" t="inlineStr">
        <is>
          <t>15/01/2025 14:52</t>
        </is>
      </c>
      <c r="M249" t="inlineStr">
        <is>
          <t>None</t>
        </is>
      </c>
      <c r="N249" t="inlineStr">
        <is>
          <t>&lt;p&gt;&lt;/p&gt;</t>
        </is>
      </c>
      <c r="O249" t="inlineStr"/>
      <c r="P249" t="inlineStr">
        <is>
          <t>4x4 - Izuzu - Dmax - Ay68 daaTow Chipper - Timberwolf - TW150 - 205143043-a1</t>
        </is>
      </c>
      <c r="Q249" t="inlineStr">
        <is>
          <t>UKPN</t>
        </is>
      </c>
      <c r="R249" t="b">
        <v>0</v>
      </c>
    </row>
    <row r="250">
      <c r="A250" t="inlineStr">
        <is>
          <t>15 Jan 2025 / 7186 Eastwoodbury Tree Services Ltd</t>
        </is>
      </c>
      <c r="B250" t="inlineStr">
        <is>
          <t>Utilities &amp; Inland Waterways</t>
        </is>
      </c>
      <c r="C250" t="inlineStr">
        <is>
          <t>UKPN</t>
        </is>
      </c>
      <c r="D250" t="inlineStr">
        <is>
          <t xml:space="preserve">Santana </t>
        </is>
      </c>
      <c r="E250" t="inlineStr">
        <is>
          <t>Ps10</t>
        </is>
      </c>
      <c r="F250" t="inlineStr">
        <is>
          <t>AO57BPF</t>
        </is>
      </c>
      <c r="G250" t="inlineStr">
        <is>
          <t xml:space="preserve">Jay Denkmayer Dan Gilbert </t>
        </is>
      </c>
      <c r="H250" t="inlineStr">
        <is>
          <t>4x44x4</t>
        </is>
      </c>
      <c r="I250" t="inlineStr">
        <is>
          <t>Daily/ Weekly Vehicle Inspection</t>
        </is>
      </c>
      <c r="J250" t="inlineStr">
        <is>
          <t>N/A</t>
        </is>
      </c>
      <c r="K250" t="inlineStr">
        <is>
          <t>7186 Eastwoodbury Tree Services Ltd</t>
        </is>
      </c>
      <c r="L250" t="inlineStr">
        <is>
          <t>15/01/2025 14:53</t>
        </is>
      </c>
      <c r="M250" t="inlineStr">
        <is>
          <t>None</t>
        </is>
      </c>
      <c r="N250" t="inlineStr">
        <is>
          <t>&lt;p&gt;&lt;/p&gt;</t>
        </is>
      </c>
      <c r="O250" t="inlineStr"/>
      <c r="P250" t="inlineStr">
        <is>
          <t>4x4 - Land Rover  - Defender - FN60 0XM4x4 - Santana  - Ps10 - AO57 BPF</t>
        </is>
      </c>
      <c r="Q250" t="inlineStr">
        <is>
          <t>UKPN</t>
        </is>
      </c>
      <c r="R250" t="b">
        <v>0</v>
      </c>
    </row>
    <row r="251">
      <c r="A251" t="inlineStr">
        <is>
          <t>15 Jan 2025 / 6617 Ashdown Tree Limited</t>
        </is>
      </c>
      <c r="B251" t="inlineStr">
        <is>
          <t>Utilities &amp; Inland Waterways</t>
        </is>
      </c>
      <c r="C251" t="inlineStr">
        <is>
          <t>UKPN</t>
        </is>
      </c>
      <c r="D251" t="inlineStr">
        <is>
          <t>Land Rover</t>
        </is>
      </c>
      <c r="E251" t="inlineStr">
        <is>
          <t>Defender</t>
        </is>
      </c>
      <c r="F251" t="inlineStr">
        <is>
          <t>GU11LKD</t>
        </is>
      </c>
      <c r="G251" t="inlineStr">
        <is>
          <t xml:space="preserve">Francis lesser Francis lesser </t>
        </is>
      </c>
      <c r="H251" t="inlineStr">
        <is>
          <t>4x4Towed Chipper</t>
        </is>
      </c>
      <c r="I251" t="inlineStr">
        <is>
          <t>Daily/ Weekly Vehicle Inspection</t>
        </is>
      </c>
      <c r="J251" t="inlineStr">
        <is>
          <t>N/A</t>
        </is>
      </c>
      <c r="K251" t="inlineStr">
        <is>
          <t>6617 Ashdown Tree Limited</t>
        </is>
      </c>
      <c r="L251" t="inlineStr">
        <is>
          <t>15/01/2025 14:54</t>
        </is>
      </c>
      <c r="M251" t="inlineStr">
        <is>
          <t>None</t>
        </is>
      </c>
      <c r="N251" t="inlineStr">
        <is>
          <t>&lt;p&gt;&lt;/p&gt;</t>
        </is>
      </c>
      <c r="O251" t="inlineStr"/>
      <c r="P251" t="inlineStr">
        <is>
          <t>4x4 - Land Rover - Defender - GU11 LKDTow Chipper - Timberwolf - TW230 - SBXTW 37A2PS241049</t>
        </is>
      </c>
      <c r="Q251" t="inlineStr">
        <is>
          <t>UKPN</t>
        </is>
      </c>
      <c r="R251" t="b">
        <v>0</v>
      </c>
    </row>
    <row r="252">
      <c r="A252" t="inlineStr">
        <is>
          <t>14 Jan 2025 / 7800 MAC Trees and Fencing Ltd</t>
        </is>
      </c>
      <c r="B252" t="inlineStr">
        <is>
          <t>Utilities &amp; Inland Waterways</t>
        </is>
      </c>
      <c r="C252" t="inlineStr">
        <is>
          <t>UKPN</t>
        </is>
      </c>
      <c r="D252" t="inlineStr">
        <is>
          <t xml:space="preserve">Ford transit </t>
        </is>
      </c>
      <c r="E252" t="inlineStr">
        <is>
          <t xml:space="preserve">Transit tipper </t>
        </is>
      </c>
      <c r="F252" t="inlineStr">
        <is>
          <t>Fg16lnt</t>
        </is>
      </c>
      <c r="G252" t="inlineStr">
        <is>
          <t>Patrick O'Shea Lewis Lewis mac</t>
        </is>
      </c>
      <c r="H252" t="inlineStr">
        <is>
          <t>Tipper4x4Towed Chipper</t>
        </is>
      </c>
      <c r="I252" t="inlineStr">
        <is>
          <t>Daily/ Weekly Vehicle Inspection</t>
        </is>
      </c>
      <c r="J252" t="inlineStr">
        <is>
          <t>N/A</t>
        </is>
      </c>
      <c r="K252" t="inlineStr">
        <is>
          <t>7800 MAC Trees and Fencing Ltd</t>
        </is>
      </c>
      <c r="L252" t="inlineStr">
        <is>
          <t>15/01/2025 15:02</t>
        </is>
      </c>
      <c r="M252" t="inlineStr">
        <is>
          <t>None</t>
        </is>
      </c>
      <c r="N252" t="inlineStr">
        <is>
          <t>&lt;p&gt;&lt;/p&gt;</t>
        </is>
      </c>
      <c r="O252" t="inlineStr"/>
      <c r="P252" t="inlineStr">
        <is>
          <t>Tipper - Ford transit  - Transit tipper  - Fg16lnt4x4 - Izuzu - Dmax - Ay68 daaTow Chipper - Timberwolf - TW150 - 205143043-a1</t>
        </is>
      </c>
      <c r="Q252" t="inlineStr">
        <is>
          <t>UKPN</t>
        </is>
      </c>
      <c r="R252" t="b">
        <v>0</v>
      </c>
    </row>
    <row r="253">
      <c r="A253" t="inlineStr">
        <is>
          <t>14 Jan 2025 / 7186 Eastwoodbury Tree Services Ltd</t>
        </is>
      </c>
      <c r="B253" t="inlineStr">
        <is>
          <t>Utilities &amp; Inland Waterways</t>
        </is>
      </c>
      <c r="C253" t="inlineStr">
        <is>
          <t>UKPN</t>
        </is>
      </c>
      <c r="D253" t="inlineStr">
        <is>
          <t xml:space="preserve">Santana </t>
        </is>
      </c>
      <c r="E253" t="inlineStr">
        <is>
          <t>Ps10</t>
        </is>
      </c>
      <c r="F253" t="inlineStr">
        <is>
          <t>AO57BPF</t>
        </is>
      </c>
      <c r="G253" t="inlineStr">
        <is>
          <t xml:space="preserve">Jay Denkmayer Dan Gilbert </t>
        </is>
      </c>
      <c r="H253" t="inlineStr">
        <is>
          <t>4x44x4</t>
        </is>
      </c>
      <c r="I253" t="inlineStr">
        <is>
          <t>Daily/ Weekly Vehicle Inspection</t>
        </is>
      </c>
      <c r="J253" t="inlineStr">
        <is>
          <t>N/A</t>
        </is>
      </c>
      <c r="K253" t="inlineStr">
        <is>
          <t>7186 Eastwoodbury Tree Services Ltd</t>
        </is>
      </c>
      <c r="L253" t="inlineStr">
        <is>
          <t>15/01/2025 15:04</t>
        </is>
      </c>
      <c r="M253" t="inlineStr">
        <is>
          <t>None</t>
        </is>
      </c>
      <c r="N253" t="inlineStr">
        <is>
          <t>&lt;p&gt;&lt;/p&gt;</t>
        </is>
      </c>
      <c r="O253" t="inlineStr"/>
      <c r="P253" t="inlineStr">
        <is>
          <t>4x4 - Land Rover  - Defender - FN60 0XM4x4 - Santana  - Ps10 - AO57 BPF</t>
        </is>
      </c>
      <c r="Q253" t="inlineStr">
        <is>
          <t>UKPN</t>
        </is>
      </c>
      <c r="R253" t="b">
        <v>0</v>
      </c>
    </row>
    <row r="254">
      <c r="A254" t="inlineStr">
        <is>
          <t>14 Jan 2025 / 6617 Ashdown Tree Limited</t>
        </is>
      </c>
      <c r="B254" t="inlineStr">
        <is>
          <t>Utilities &amp; Inland Waterways</t>
        </is>
      </c>
      <c r="C254" t="inlineStr">
        <is>
          <t>UKPN</t>
        </is>
      </c>
      <c r="D254" t="inlineStr">
        <is>
          <t xml:space="preserve">Land rover </t>
        </is>
      </c>
      <c r="E254" t="inlineStr">
        <is>
          <t xml:space="preserve">Defender mewp </t>
        </is>
      </c>
      <c r="F254" t="inlineStr">
        <is>
          <t>TR55tub</t>
        </is>
      </c>
      <c r="G254" t="inlineStr">
        <is>
          <t>Ashley</t>
        </is>
      </c>
      <c r="H254" t="inlineStr">
        <is>
          <t>4x4</t>
        </is>
      </c>
      <c r="I254" t="inlineStr">
        <is>
          <t>Daily/ Weekly Vehicle Inspection</t>
        </is>
      </c>
      <c r="J254" t="inlineStr">
        <is>
          <t>N/A</t>
        </is>
      </c>
      <c r="K254" t="inlineStr">
        <is>
          <t>6617 Ashdown Tree Limited</t>
        </is>
      </c>
      <c r="L254" t="inlineStr">
        <is>
          <t>15/01/2025 15:05</t>
        </is>
      </c>
      <c r="M254" t="inlineStr">
        <is>
          <t>None</t>
        </is>
      </c>
      <c r="N254" t="inlineStr">
        <is>
          <t>&lt;p&gt;&lt;/p&gt;</t>
        </is>
      </c>
      <c r="O254" t="inlineStr"/>
      <c r="P254" t="inlineStr">
        <is>
          <t>4x4 - Land rover  - Defender mewp  - TR55 tub</t>
        </is>
      </c>
      <c r="Q254" t="inlineStr">
        <is>
          <t>UKPN</t>
        </is>
      </c>
      <c r="R254" t="b">
        <v>0</v>
      </c>
    </row>
    <row r="255">
      <c r="A255" t="inlineStr">
        <is>
          <t>14 Jan 2025 / 6617 Ashdown Tree Limited</t>
        </is>
      </c>
      <c r="B255" t="inlineStr">
        <is>
          <t>Utilities &amp; Inland Waterways</t>
        </is>
      </c>
      <c r="C255" t="inlineStr">
        <is>
          <t>UKPN</t>
        </is>
      </c>
      <c r="D255" t="inlineStr">
        <is>
          <t>Land Rover</t>
        </is>
      </c>
      <c r="E255" t="inlineStr">
        <is>
          <t>Defender</t>
        </is>
      </c>
      <c r="F255" t="inlineStr">
        <is>
          <t>GU11LKD</t>
        </is>
      </c>
      <c r="G255" t="inlineStr">
        <is>
          <t xml:space="preserve">Francis lesser Dan Watkins Dan Watkins </t>
        </is>
      </c>
      <c r="H255" t="inlineStr">
        <is>
          <t>4x4TipperPlant Trailer</t>
        </is>
      </c>
      <c r="I255" t="inlineStr">
        <is>
          <t>Daily/ Weekly Vehicle Inspection</t>
        </is>
      </c>
      <c r="J255" t="inlineStr">
        <is>
          <t>N/A</t>
        </is>
      </c>
      <c r="K255" t="inlineStr">
        <is>
          <t>6617 Ashdown Tree Limited</t>
        </is>
      </c>
      <c r="L255" t="inlineStr">
        <is>
          <t>15/01/2025 15:07</t>
        </is>
      </c>
      <c r="M255" t="inlineStr">
        <is>
          <t>None</t>
        </is>
      </c>
      <c r="N255" t="inlineStr">
        <is>
          <t>&lt;p&gt;&lt;/p&gt;</t>
        </is>
      </c>
      <c r="O255" t="inlineStr">
        <is>
          <t>Select Vehicle:Indespension</t>
        </is>
      </c>
      <c r="P255" t="inlineStr">
        <is>
          <t>4x4 - Land Rover - Defender - GU11 LKDTipper - Ford - Transit - FE11 BUTFlat Bed Trailer - Ifor Williams -  - SCKD00000H5147808A</t>
        </is>
      </c>
      <c r="Q255" t="inlineStr">
        <is>
          <t>UKPN</t>
        </is>
      </c>
      <c r="R255" t="b">
        <v>0</v>
      </c>
    </row>
    <row r="256">
      <c r="A256" t="inlineStr">
        <is>
          <t>17 Jan 2025 / 6617 Ashdown Tree Limited</t>
        </is>
      </c>
      <c r="B256" t="inlineStr">
        <is>
          <t>Utilities &amp; Inland Waterways</t>
        </is>
      </c>
      <c r="C256" t="inlineStr">
        <is>
          <t>UKPN</t>
        </is>
      </c>
      <c r="D256" t="inlineStr">
        <is>
          <t>Land Rover</t>
        </is>
      </c>
      <c r="E256" t="inlineStr">
        <is>
          <t>Defender</t>
        </is>
      </c>
      <c r="F256" t="inlineStr">
        <is>
          <t>GU11LKD</t>
        </is>
      </c>
      <c r="G256" t="inlineStr">
        <is>
          <t>Francis LesserFrancis Lesser</t>
        </is>
      </c>
      <c r="H256" t="inlineStr">
        <is>
          <t>4x4Towed Chipper</t>
        </is>
      </c>
      <c r="I256" t="inlineStr">
        <is>
          <t>Daily/ Weekly Vehicle Inspection</t>
        </is>
      </c>
      <c r="J256" t="inlineStr">
        <is>
          <t>N/A</t>
        </is>
      </c>
      <c r="K256" t="inlineStr">
        <is>
          <t>6617 Ashdown Tree Limited</t>
        </is>
      </c>
      <c r="L256" t="inlineStr">
        <is>
          <t>18/01/2025 12:04</t>
        </is>
      </c>
      <c r="M256" t="inlineStr">
        <is>
          <t>None</t>
        </is>
      </c>
      <c r="N256" t="inlineStr">
        <is>
          <t>&lt;p&gt;&lt;/p&gt;</t>
        </is>
      </c>
      <c r="O256" t="inlineStr"/>
      <c r="P256" t="inlineStr">
        <is>
          <t>4x4 - Land Rover - Defender - GU11 LKDTow Chipper - Timberwolf - TW230DHB - SBCTW 35A6LS209060</t>
        </is>
      </c>
      <c r="Q256" t="inlineStr">
        <is>
          <t>UKPN</t>
        </is>
      </c>
      <c r="R256" t="b">
        <v>0</v>
      </c>
    </row>
    <row r="257">
      <c r="A257" t="inlineStr">
        <is>
          <t>17 Jan 2025 / 3098 D &amp; R Landscapes (PEND Arb Rail)</t>
        </is>
      </c>
      <c r="B257" t="inlineStr">
        <is>
          <t>Utilities &amp; Inland Waterways</t>
        </is>
      </c>
      <c r="C257" t="inlineStr">
        <is>
          <t>UKPN</t>
        </is>
      </c>
      <c r="D257" t="inlineStr">
        <is>
          <t>Nissan</t>
        </is>
      </c>
      <c r="E257" t="inlineStr">
        <is>
          <t>Navara</t>
        </is>
      </c>
      <c r="F257" t="inlineStr">
        <is>
          <t>FX17YVM</t>
        </is>
      </c>
      <c r="G257" t="inlineStr">
        <is>
          <t xml:space="preserve">Jason </t>
        </is>
      </c>
      <c r="H257" t="inlineStr">
        <is>
          <t>4x4</t>
        </is>
      </c>
      <c r="I257" t="inlineStr">
        <is>
          <t>Daily/ Weekly Vehicle Inspection</t>
        </is>
      </c>
      <c r="J257" t="inlineStr">
        <is>
          <t>N/A</t>
        </is>
      </c>
      <c r="K257" t="inlineStr">
        <is>
          <t>3098 D &amp; R Landscapes (PEND Arb Rail)</t>
        </is>
      </c>
      <c r="L257" t="inlineStr">
        <is>
          <t>18/01/2025 12:05</t>
        </is>
      </c>
      <c r="M257" t="inlineStr">
        <is>
          <t>None</t>
        </is>
      </c>
      <c r="N257" t="inlineStr">
        <is>
          <t>&lt;p&gt;&lt;/p&gt;</t>
        </is>
      </c>
      <c r="O257" t="inlineStr"/>
      <c r="P257" t="inlineStr">
        <is>
          <t>Vehicle - Nissan - Navara - FX17 YVM</t>
        </is>
      </c>
      <c r="Q257" t="inlineStr">
        <is>
          <t>UKPN</t>
        </is>
      </c>
      <c r="R257" t="b">
        <v>0</v>
      </c>
    </row>
    <row r="258">
      <c r="A258" t="inlineStr">
        <is>
          <t>17 Jan 2025 / 7800 MAC Trees and Fencing Ltd</t>
        </is>
      </c>
      <c r="B258" t="inlineStr">
        <is>
          <t>Utilities &amp; Inland Waterways</t>
        </is>
      </c>
      <c r="C258" t="inlineStr">
        <is>
          <t>UKPN</t>
        </is>
      </c>
      <c r="D258" t="inlineStr">
        <is>
          <t xml:space="preserve">Ford transit </t>
        </is>
      </c>
      <c r="E258" t="inlineStr">
        <is>
          <t xml:space="preserve">Transit tipper </t>
        </is>
      </c>
      <c r="F258" t="inlineStr">
        <is>
          <t>Fg16lnt</t>
        </is>
      </c>
      <c r="G258" t="inlineStr">
        <is>
          <t>Patrick osheaLewis macnicol iLewis mac</t>
        </is>
      </c>
      <c r="H258" t="inlineStr">
        <is>
          <t>Tipper4x4Towed Chipper</t>
        </is>
      </c>
      <c r="I258" t="inlineStr">
        <is>
          <t>Daily/ Weekly Vehicle Inspection</t>
        </is>
      </c>
      <c r="J258" t="inlineStr">
        <is>
          <t>N/A</t>
        </is>
      </c>
      <c r="K258" t="inlineStr">
        <is>
          <t>7800 MAC Trees and Fencing Ltd</t>
        </is>
      </c>
      <c r="L258" t="inlineStr">
        <is>
          <t>18/01/2025 12:06</t>
        </is>
      </c>
      <c r="M258" t="inlineStr">
        <is>
          <t>None</t>
        </is>
      </c>
      <c r="N258" t="inlineStr">
        <is>
          <t>&lt;p&gt;&lt;/p&gt;</t>
        </is>
      </c>
      <c r="O258" t="inlineStr"/>
      <c r="P258" t="inlineStr">
        <is>
          <t>Tipper - Ford transit  - Transit tipper  - Fg16lnt4x4 - Izuzu - Dmax - Ay68 daaTow Chipper - Timberwolf - TW150 - 205143043-a1</t>
        </is>
      </c>
      <c r="Q258" t="inlineStr">
        <is>
          <t>UKPN</t>
        </is>
      </c>
      <c r="R258" t="b">
        <v>0</v>
      </c>
    </row>
    <row r="259">
      <c r="A259" t="inlineStr">
        <is>
          <t>17 Jan 2025 / 7186 Eastwoodbury Tree Services Ltd</t>
        </is>
      </c>
      <c r="B259" t="inlineStr">
        <is>
          <t>Utilities &amp; Inland Waterways</t>
        </is>
      </c>
      <c r="C259" t="inlineStr">
        <is>
          <t>UKPN</t>
        </is>
      </c>
      <c r="D259" t="inlineStr">
        <is>
          <t xml:space="preserve">Santana </t>
        </is>
      </c>
      <c r="E259" t="inlineStr">
        <is>
          <t>Ps10</t>
        </is>
      </c>
      <c r="F259" t="inlineStr">
        <is>
          <t>AO57BPF</t>
        </is>
      </c>
      <c r="G259" t="inlineStr">
        <is>
          <t xml:space="preserve">Tom Price Jay Denkmayer Dan Gilbert </t>
        </is>
      </c>
      <c r="H259" t="inlineStr">
        <is>
          <t>TipperPickup Truck4x4</t>
        </is>
      </c>
      <c r="I259" t="inlineStr">
        <is>
          <t>Daily/ Weekly Vehicle Inspection</t>
        </is>
      </c>
      <c r="J259" t="inlineStr">
        <is>
          <t>N/A</t>
        </is>
      </c>
      <c r="K259" t="inlineStr">
        <is>
          <t>7186 Eastwoodbury Tree Services Ltd</t>
        </is>
      </c>
      <c r="L259" t="inlineStr">
        <is>
          <t>18/01/2025 12:07</t>
        </is>
      </c>
      <c r="M259" t="inlineStr">
        <is>
          <t>None</t>
        </is>
      </c>
      <c r="N259" t="inlineStr">
        <is>
          <t>&lt;p&gt;&lt;/p&gt;</t>
        </is>
      </c>
      <c r="O259" t="inlineStr"/>
      <c r="P259" t="inlineStr">
        <is>
          <t>Tipper - Ford - Transit - DN61XKJ4x4 - Ford - Ranger - DE53NKS4x4 - Santana  - Ps10 - AO57 BPF</t>
        </is>
      </c>
      <c r="Q259" t="inlineStr">
        <is>
          <t>UKPN</t>
        </is>
      </c>
      <c r="R259" t="b">
        <v>0</v>
      </c>
    </row>
    <row r="260">
      <c r="A260" t="inlineStr">
        <is>
          <t>16 Jan 2025 / 7800 MAC Trees and Fencing Ltd</t>
        </is>
      </c>
      <c r="B260" t="inlineStr">
        <is>
          <t>Utilities &amp; Inland Waterways</t>
        </is>
      </c>
      <c r="C260" t="inlineStr">
        <is>
          <t>UKPN</t>
        </is>
      </c>
      <c r="D260" t="inlineStr">
        <is>
          <t xml:space="preserve">Ford transit </t>
        </is>
      </c>
      <c r="E260" t="inlineStr">
        <is>
          <t xml:space="preserve">Transit tipper </t>
        </is>
      </c>
      <c r="F260" t="inlineStr">
        <is>
          <t>Fg16lnt</t>
        </is>
      </c>
      <c r="G260" t="inlineStr">
        <is>
          <t>Lewis macLewis mac</t>
        </is>
      </c>
      <c r="H260" t="inlineStr">
        <is>
          <t>TipperTowed Chipper</t>
        </is>
      </c>
      <c r="I260" t="inlineStr">
        <is>
          <t>Daily/ Weekly Vehicle Inspection</t>
        </is>
      </c>
      <c r="J260" t="inlineStr">
        <is>
          <t>N/A</t>
        </is>
      </c>
      <c r="K260" t="inlineStr">
        <is>
          <t>7800 MAC Trees and Fencing Ltd</t>
        </is>
      </c>
      <c r="L260" t="inlineStr">
        <is>
          <t>18/01/2025 12:13</t>
        </is>
      </c>
      <c r="M260" t="inlineStr">
        <is>
          <t>None</t>
        </is>
      </c>
      <c r="N260" t="inlineStr">
        <is>
          <t>&lt;p&gt;&lt;/p&gt;</t>
        </is>
      </c>
      <c r="O260" t="inlineStr"/>
      <c r="P260" t="inlineStr">
        <is>
          <t>Tipper - Ford transit  - Transit tipper  - Fg16lntTow Chipper - Timberwolf - TW150 - 205143043-a1</t>
        </is>
      </c>
      <c r="Q260" t="inlineStr">
        <is>
          <t>UKPN</t>
        </is>
      </c>
      <c r="R260" t="b">
        <v>0</v>
      </c>
    </row>
    <row r="261">
      <c r="A261" t="inlineStr">
        <is>
          <t>16 Jan 2025 / 3098 D &amp; R Landscapes (PEND Arb Rail)</t>
        </is>
      </c>
      <c r="B261" t="inlineStr">
        <is>
          <t>Utilities &amp; Inland Waterways</t>
        </is>
      </c>
      <c r="C261" t="inlineStr">
        <is>
          <t>UKPN</t>
        </is>
      </c>
      <c r="D261" t="inlineStr">
        <is>
          <t>Nissan</t>
        </is>
      </c>
      <c r="E261" t="inlineStr">
        <is>
          <t>Navara</t>
        </is>
      </c>
      <c r="F261" t="inlineStr">
        <is>
          <t>FX17YVM</t>
        </is>
      </c>
      <c r="G261" t="inlineStr">
        <is>
          <t xml:space="preserve">Jason </t>
        </is>
      </c>
      <c r="H261" t="inlineStr">
        <is>
          <t>4x4</t>
        </is>
      </c>
      <c r="I261" t="inlineStr">
        <is>
          <t>Daily/ Weekly Vehicle Inspection</t>
        </is>
      </c>
      <c r="J261" t="inlineStr">
        <is>
          <t>N/A</t>
        </is>
      </c>
      <c r="K261" t="inlineStr">
        <is>
          <t>3098 D &amp; R Landscapes (PEND Arb Rail)</t>
        </is>
      </c>
      <c r="L261" t="inlineStr">
        <is>
          <t>18/01/2025 12:14</t>
        </is>
      </c>
      <c r="M261" t="inlineStr">
        <is>
          <t>None</t>
        </is>
      </c>
      <c r="N261" t="inlineStr">
        <is>
          <t>&lt;p&gt;&lt;/p&gt;</t>
        </is>
      </c>
      <c r="O261" t="inlineStr"/>
      <c r="P261" t="inlineStr">
        <is>
          <t>Vehicle - Nissan - Navara - FX17 YVM</t>
        </is>
      </c>
      <c r="Q261" t="inlineStr">
        <is>
          <t>UKPN</t>
        </is>
      </c>
      <c r="R261" t="b">
        <v>0</v>
      </c>
    </row>
    <row r="262">
      <c r="A262" t="inlineStr">
        <is>
          <t>16 Jan 2025 / 7186 Eastwoodbury Tree Services Ltd</t>
        </is>
      </c>
      <c r="B262" t="inlineStr">
        <is>
          <t>Utilities &amp; Inland Waterways</t>
        </is>
      </c>
      <c r="C262" t="inlineStr">
        <is>
          <t>UKPN</t>
        </is>
      </c>
      <c r="D262" t="inlineStr">
        <is>
          <t xml:space="preserve">Santana </t>
        </is>
      </c>
      <c r="E262" t="inlineStr">
        <is>
          <t>Ps10</t>
        </is>
      </c>
      <c r="F262" t="inlineStr">
        <is>
          <t>AO57BPF</t>
        </is>
      </c>
      <c r="G262" t="inlineStr">
        <is>
          <t xml:space="preserve">Tom Price Jay Denkmayer Dan Gilbert </t>
        </is>
      </c>
      <c r="H262" t="inlineStr">
        <is>
          <t>4x4Tipper4x4</t>
        </is>
      </c>
      <c r="I262" t="inlineStr">
        <is>
          <t>Daily/ Weekly Vehicle Inspection</t>
        </is>
      </c>
      <c r="J262" t="inlineStr">
        <is>
          <t>N/A</t>
        </is>
      </c>
      <c r="K262" t="inlineStr">
        <is>
          <t>7186 Eastwoodbury Tree Services Ltd</t>
        </is>
      </c>
      <c r="L262" t="inlineStr">
        <is>
          <t>18/01/2025 12:15</t>
        </is>
      </c>
      <c r="M262" t="inlineStr">
        <is>
          <t>None</t>
        </is>
      </c>
      <c r="N262" t="inlineStr">
        <is>
          <t>&lt;p&gt;&lt;/p&gt;</t>
        </is>
      </c>
      <c r="O262" t="inlineStr"/>
      <c r="P262" t="inlineStr">
        <is>
          <t>4x4 - Land Rover  - Defender - FN60 0XMTipper - Ford - Transit - DN61XKJ4x4 - Santana  - Ps10 - AO57 BPF</t>
        </is>
      </c>
      <c r="Q262" t="inlineStr">
        <is>
          <t>UKPN</t>
        </is>
      </c>
      <c r="R262" t="b">
        <v>0</v>
      </c>
    </row>
    <row r="263">
      <c r="A263" t="inlineStr">
        <is>
          <t>16 Jan 2025 / 6617 Ashdown Tree Limited</t>
        </is>
      </c>
      <c r="B263" t="inlineStr">
        <is>
          <t>Utilities &amp; Inland Waterways</t>
        </is>
      </c>
      <c r="C263" t="inlineStr">
        <is>
          <t>UKPN</t>
        </is>
      </c>
      <c r="D263" t="inlineStr">
        <is>
          <t>Land Rover</t>
        </is>
      </c>
      <c r="E263" t="inlineStr">
        <is>
          <t>Defender</t>
        </is>
      </c>
      <c r="F263" t="inlineStr">
        <is>
          <t>GU11LKD</t>
        </is>
      </c>
      <c r="G263" t="inlineStr">
        <is>
          <t xml:space="preserve">Francis lesser Francis lesser </t>
        </is>
      </c>
      <c r="H263" t="inlineStr">
        <is>
          <t>4x4Towed Chipper</t>
        </is>
      </c>
      <c r="I263" t="inlineStr">
        <is>
          <t>Daily/ Weekly Vehicle Inspection</t>
        </is>
      </c>
      <c r="J263" t="inlineStr">
        <is>
          <t>N/A</t>
        </is>
      </c>
      <c r="K263" t="inlineStr">
        <is>
          <t>6617 Ashdown Tree Limited</t>
        </is>
      </c>
      <c r="L263" t="inlineStr">
        <is>
          <t>18/01/2025 12:17</t>
        </is>
      </c>
      <c r="M263" t="inlineStr">
        <is>
          <t>None</t>
        </is>
      </c>
      <c r="N263" t="inlineStr">
        <is>
          <t>&lt;p&gt;&lt;/p&gt;</t>
        </is>
      </c>
      <c r="O263" t="inlineStr"/>
      <c r="P263" t="inlineStr">
        <is>
          <t>4x4 - Land Rover - Defender - GU11 LKDTow Chipper - Timberwolf - TW230DHB - SBXTW 35A6LS209184</t>
        </is>
      </c>
      <c r="Q263" t="inlineStr">
        <is>
          <t>UKPN</t>
        </is>
      </c>
      <c r="R263" t="b">
        <v>0</v>
      </c>
    </row>
    <row r="264">
      <c r="A264" t="inlineStr">
        <is>
          <t>21 Jan 2025 / 3098 D &amp; R Landscapes (PEND Arb Rail)</t>
        </is>
      </c>
      <c r="B264" t="inlineStr">
        <is>
          <t>Utilities &amp; Inland Waterways</t>
        </is>
      </c>
      <c r="C264" t="inlineStr">
        <is>
          <t>UKPN</t>
        </is>
      </c>
      <c r="D264" t="inlineStr">
        <is>
          <t>Nissan</t>
        </is>
      </c>
      <c r="E264" t="inlineStr">
        <is>
          <t>Navara</t>
        </is>
      </c>
      <c r="F264" t="inlineStr">
        <is>
          <t>FX17YVM</t>
        </is>
      </c>
      <c r="G264" t="inlineStr">
        <is>
          <t>Jason</t>
        </is>
      </c>
      <c r="H264" t="inlineStr">
        <is>
          <t>4x4</t>
        </is>
      </c>
      <c r="I264" t="inlineStr">
        <is>
          <t>Daily/ Weekly Vehicle Inspection</t>
        </is>
      </c>
      <c r="J264" t="inlineStr">
        <is>
          <t>N/A</t>
        </is>
      </c>
      <c r="K264" t="inlineStr">
        <is>
          <t>3098 D &amp; R Landscapes (PEND Arb Rail)</t>
        </is>
      </c>
      <c r="L264" t="inlineStr">
        <is>
          <t>21/01/2025 14:52</t>
        </is>
      </c>
      <c r="M264" t="inlineStr">
        <is>
          <t>None</t>
        </is>
      </c>
      <c r="N264" t="inlineStr">
        <is>
          <t>&lt;p&gt;&lt;/p&gt;</t>
        </is>
      </c>
      <c r="O264" t="inlineStr"/>
      <c r="P264" t="inlineStr">
        <is>
          <t>Vehicle - Nissan - Navara - FX17 YVM</t>
        </is>
      </c>
      <c r="Q264" t="inlineStr">
        <is>
          <t>UKPN</t>
        </is>
      </c>
      <c r="R264" t="b">
        <v>0</v>
      </c>
    </row>
    <row r="265">
      <c r="A265" t="inlineStr">
        <is>
          <t>21 Jan 2025 / 7186 Eastwoodbury Tree Services Ltd</t>
        </is>
      </c>
      <c r="B265" t="inlineStr">
        <is>
          <t>Utilities &amp; Inland Waterways</t>
        </is>
      </c>
      <c r="C265" t="inlineStr">
        <is>
          <t>UKPN</t>
        </is>
      </c>
      <c r="D265" t="inlineStr">
        <is>
          <t xml:space="preserve">Land Rover </t>
        </is>
      </c>
      <c r="E265" t="inlineStr">
        <is>
          <t>Defender</t>
        </is>
      </c>
      <c r="F265" t="inlineStr">
        <is>
          <t>FN600XM</t>
        </is>
      </c>
      <c r="G265" t="inlineStr">
        <is>
          <t xml:space="preserve">Dan Gilbert </t>
        </is>
      </c>
      <c r="H265" t="inlineStr">
        <is>
          <t>4x4</t>
        </is>
      </c>
      <c r="I265" t="inlineStr">
        <is>
          <t>Daily/ Weekly Vehicle Inspection</t>
        </is>
      </c>
      <c r="J265" t="inlineStr">
        <is>
          <t>N/A</t>
        </is>
      </c>
      <c r="K265" t="inlineStr">
        <is>
          <t>7186 Eastwoodbury Tree Services Ltd</t>
        </is>
      </c>
      <c r="L265" t="inlineStr">
        <is>
          <t>21/01/2025 14:54</t>
        </is>
      </c>
      <c r="M265" t="inlineStr">
        <is>
          <t>None</t>
        </is>
      </c>
      <c r="N265" t="inlineStr">
        <is>
          <t>&lt;p&gt;&lt;/p&gt;</t>
        </is>
      </c>
      <c r="O265" t="inlineStr"/>
      <c r="P265" t="inlineStr">
        <is>
          <t>4x4 - Land Rover  - Defender - FN60 0XM</t>
        </is>
      </c>
      <c r="Q265" t="inlineStr">
        <is>
          <t>UKPN</t>
        </is>
      </c>
      <c r="R265" t="b">
        <v>0</v>
      </c>
    </row>
    <row r="266">
      <c r="A266" t="inlineStr">
        <is>
          <t>21 Jan 2025 / 6617 Ashdown Tree Limited</t>
        </is>
      </c>
      <c r="B266" t="inlineStr">
        <is>
          <t>Utilities &amp; Inland Waterways</t>
        </is>
      </c>
      <c r="C266" t="inlineStr">
        <is>
          <t>UKPN</t>
        </is>
      </c>
      <c r="D266" t="inlineStr">
        <is>
          <t>Ford</t>
        </is>
      </c>
      <c r="E266" t="inlineStr">
        <is>
          <t>Transit</t>
        </is>
      </c>
      <c r="F266" t="inlineStr">
        <is>
          <t>FE11BUT</t>
        </is>
      </c>
      <c r="G266" t="inlineStr">
        <is>
          <t xml:space="preserve">Francis lesser Francis lesser </t>
        </is>
      </c>
      <c r="H266" t="inlineStr">
        <is>
          <t>4x4Towed Chipper</t>
        </is>
      </c>
      <c r="I266" t="inlineStr">
        <is>
          <t>Daily/ Weekly Vehicle Inspection</t>
        </is>
      </c>
      <c r="J266" t="inlineStr">
        <is>
          <t>N/A</t>
        </is>
      </c>
      <c r="K266" t="inlineStr">
        <is>
          <t>6617 Ashdown Tree Limited</t>
        </is>
      </c>
      <c r="L266" t="inlineStr">
        <is>
          <t>21/01/2025 14:55</t>
        </is>
      </c>
      <c r="M266" t="inlineStr">
        <is>
          <t>None</t>
        </is>
      </c>
      <c r="N266" t="inlineStr">
        <is>
          <t>&lt;p&gt;&lt;/p&gt;</t>
        </is>
      </c>
      <c r="O266" t="inlineStr"/>
      <c r="P266" t="inlineStr">
        <is>
          <t>4x4 - Land Rover - Defender - GU11 LKDTow Chipper - Timberwolf - TW230 - SBXTW 37A2PS241049</t>
        </is>
      </c>
      <c r="Q266" t="inlineStr">
        <is>
          <t>UKPN</t>
        </is>
      </c>
      <c r="R266" t="b">
        <v>0</v>
      </c>
    </row>
    <row r="267">
      <c r="A267" t="inlineStr">
        <is>
          <t>21 Jan 2025 / 6617 Ashdown Tree Limited</t>
        </is>
      </c>
      <c r="B267" t="inlineStr">
        <is>
          <t>Utilities &amp; Inland Waterways</t>
        </is>
      </c>
      <c r="C267" t="inlineStr">
        <is>
          <t>UKPN</t>
        </is>
      </c>
      <c r="D267" t="inlineStr">
        <is>
          <t>Ford</t>
        </is>
      </c>
      <c r="E267" t="inlineStr">
        <is>
          <t>Transit</t>
        </is>
      </c>
      <c r="F267" t="inlineStr">
        <is>
          <t>FE11BUT</t>
        </is>
      </c>
      <c r="G267" t="inlineStr">
        <is>
          <t xml:space="preserve">Ashley Dan </t>
        </is>
      </c>
      <c r="H267" t="inlineStr">
        <is>
          <t>4x4Tipper</t>
        </is>
      </c>
      <c r="I267" t="inlineStr">
        <is>
          <t>Daily/ Weekly Vehicle Inspection</t>
        </is>
      </c>
      <c r="J267" t="inlineStr">
        <is>
          <t>N/A</t>
        </is>
      </c>
      <c r="K267" t="inlineStr">
        <is>
          <t>6617 Ashdown Tree Limited</t>
        </is>
      </c>
      <c r="L267" t="inlineStr">
        <is>
          <t>21/01/2025 14:56</t>
        </is>
      </c>
      <c r="M267" t="inlineStr">
        <is>
          <t>None</t>
        </is>
      </c>
      <c r="N267" t="inlineStr">
        <is>
          <t>&lt;p&gt;&lt;/p&gt;</t>
        </is>
      </c>
      <c r="O267" t="inlineStr"/>
      <c r="P267" t="inlineStr">
        <is>
          <t>Vehicle - Land Rover - Discovery  - WF11 EJJTipper - Ford - Transit - FE11 BUT</t>
        </is>
      </c>
      <c r="Q267" t="inlineStr">
        <is>
          <t>UKPN</t>
        </is>
      </c>
      <c r="R267" t="b">
        <v>0</v>
      </c>
    </row>
    <row r="268">
      <c r="A268" t="inlineStr">
        <is>
          <t>20 Jan 2025 / 7186 Eastwoodbury Tree Services Ltd</t>
        </is>
      </c>
      <c r="B268" t="inlineStr">
        <is>
          <t>Utilities &amp; Inland Waterways</t>
        </is>
      </c>
      <c r="C268" t="inlineStr">
        <is>
          <t>UKPN</t>
        </is>
      </c>
      <c r="D268" t="inlineStr">
        <is>
          <t>Ford</t>
        </is>
      </c>
      <c r="E268" t="inlineStr">
        <is>
          <t>Ranger</t>
        </is>
      </c>
      <c r="F268" t="inlineStr">
        <is>
          <t>DE53NKS</t>
        </is>
      </c>
      <c r="G268" t="inlineStr">
        <is>
          <t xml:space="preserve">Dan Gilbert Jay Denkmayer </t>
        </is>
      </c>
      <c r="H268" t="inlineStr">
        <is>
          <t>4x4Pickup Truck</t>
        </is>
      </c>
      <c r="I268" t="inlineStr">
        <is>
          <t>Daily/ Weekly Vehicle Inspection</t>
        </is>
      </c>
      <c r="J268" t="inlineStr">
        <is>
          <t>N/A</t>
        </is>
      </c>
      <c r="K268" t="inlineStr">
        <is>
          <t>7186 Eastwoodbury Tree Services Ltd</t>
        </is>
      </c>
      <c r="L268" t="inlineStr">
        <is>
          <t>21/01/2025 15:10</t>
        </is>
      </c>
      <c r="M268" t="inlineStr">
        <is>
          <t>None</t>
        </is>
      </c>
      <c r="N268" t="inlineStr">
        <is>
          <t>&lt;p&gt;&lt;/p&gt;</t>
        </is>
      </c>
      <c r="O268" t="inlineStr"/>
      <c r="P268" t="inlineStr">
        <is>
          <t>4x4 - Santana  - Ps10 - AO57 BPF4x4 - Ford - Ranger - DE53NKS</t>
        </is>
      </c>
      <c r="Q268" t="inlineStr">
        <is>
          <t>UKPN</t>
        </is>
      </c>
      <c r="R268" t="b">
        <v>0</v>
      </c>
    </row>
    <row r="269">
      <c r="A269" t="inlineStr">
        <is>
          <t>20 Jan 2025 / 6617 Ashdown Tree Limited</t>
        </is>
      </c>
      <c r="B269" t="inlineStr">
        <is>
          <t>Utilities &amp; Inland Waterways</t>
        </is>
      </c>
      <c r="C269" t="inlineStr">
        <is>
          <t>UKPN</t>
        </is>
      </c>
      <c r="D269" t="inlineStr">
        <is>
          <t>Land Rover</t>
        </is>
      </c>
      <c r="E269" t="inlineStr">
        <is>
          <t xml:space="preserve">Discovery </t>
        </is>
      </c>
      <c r="F269" t="inlineStr">
        <is>
          <t>WF11EJJ</t>
        </is>
      </c>
      <c r="G269" t="inlineStr">
        <is>
          <t>Dan WatkinsAshley Horwood</t>
        </is>
      </c>
      <c r="H269" t="inlineStr">
        <is>
          <t>Tipper4x4</t>
        </is>
      </c>
      <c r="I269" t="inlineStr">
        <is>
          <t>Daily/ Weekly Vehicle Inspection</t>
        </is>
      </c>
      <c r="J269" t="inlineStr">
        <is>
          <t>N/A</t>
        </is>
      </c>
      <c r="K269" t="inlineStr">
        <is>
          <t>6617 Ashdown Tree Limited</t>
        </is>
      </c>
      <c r="L269" t="inlineStr">
        <is>
          <t>21/01/2025 15:12</t>
        </is>
      </c>
      <c r="M269" t="inlineStr">
        <is>
          <t>None</t>
        </is>
      </c>
      <c r="N269" t="inlineStr">
        <is>
          <t>&lt;p&gt;&lt;/p&gt;</t>
        </is>
      </c>
      <c r="O269" t="inlineStr"/>
      <c r="P269" t="inlineStr">
        <is>
          <t>Tipper - Ford - Transit - FE11 BUTVehicle - Land Rover - Discovery  - WF11 EJJ</t>
        </is>
      </c>
      <c r="Q269" t="inlineStr">
        <is>
          <t>UKPN</t>
        </is>
      </c>
      <c r="R269" t="b">
        <v>0</v>
      </c>
    </row>
    <row r="270">
      <c r="A270" t="inlineStr">
        <is>
          <t>20 Jan 2025 / 6617 Ashdown Tree Limited</t>
        </is>
      </c>
      <c r="B270" t="inlineStr">
        <is>
          <t>Utilities &amp; Inland Waterways</t>
        </is>
      </c>
      <c r="C270" t="inlineStr">
        <is>
          <t>UKPN</t>
        </is>
      </c>
      <c r="D270" t="inlineStr">
        <is>
          <t>Ford</t>
        </is>
      </c>
      <c r="E270" t="inlineStr">
        <is>
          <t>Transit</t>
        </is>
      </c>
      <c r="F270" t="inlineStr">
        <is>
          <t>TR66BOY</t>
        </is>
      </c>
      <c r="G270" t="inlineStr">
        <is>
          <t xml:space="preserve">Francis lesser Francis lesser </t>
        </is>
      </c>
      <c r="H270" t="inlineStr">
        <is>
          <t>TipperPlant Trailer</t>
        </is>
      </c>
      <c r="I270" t="inlineStr">
        <is>
          <t>Daily/ Weekly Vehicle Inspection</t>
        </is>
      </c>
      <c r="J270" t="inlineStr">
        <is>
          <t>N/A</t>
        </is>
      </c>
      <c r="K270" t="inlineStr">
        <is>
          <t>6617 Ashdown Tree Limited</t>
        </is>
      </c>
      <c r="L270" t="inlineStr">
        <is>
          <t>21/01/2025 15:13</t>
        </is>
      </c>
      <c r="M270" t="inlineStr">
        <is>
          <t>None</t>
        </is>
      </c>
      <c r="N270" t="inlineStr">
        <is>
          <t>&lt;p&gt;&lt;/p&gt;</t>
        </is>
      </c>
      <c r="O270" t="inlineStr"/>
      <c r="P270" t="inlineStr">
        <is>
          <t>Tipper - Ford - Transit - TR66 BOYFlat Bed Trailer - Ifor Williams -  - SCKD00000H5147808A</t>
        </is>
      </c>
      <c r="Q270" t="inlineStr">
        <is>
          <t>UKPN</t>
        </is>
      </c>
      <c r="R270" t="b">
        <v>0</v>
      </c>
    </row>
    <row r="271">
      <c r="A271" t="inlineStr">
        <is>
          <t>23 Jan 2025 / 6617 Ashdown Tree Limited</t>
        </is>
      </c>
      <c r="B271" t="inlineStr">
        <is>
          <t>Utilities &amp; Inland Waterways</t>
        </is>
      </c>
      <c r="C271" t="inlineStr">
        <is>
          <t>UKPN</t>
        </is>
      </c>
      <c r="D271" t="inlineStr">
        <is>
          <t>Land Rover</t>
        </is>
      </c>
      <c r="E271" t="inlineStr">
        <is>
          <t xml:space="preserve">Discovery </t>
        </is>
      </c>
      <c r="F271" t="inlineStr">
        <is>
          <t>WF11EJJ</t>
        </is>
      </c>
      <c r="G271" t="inlineStr">
        <is>
          <t>Francis LesserFrancis Lesser</t>
        </is>
      </c>
      <c r="H271" t="inlineStr">
        <is>
          <t>4x4Towed Chipper</t>
        </is>
      </c>
      <c r="I271" t="inlineStr">
        <is>
          <t>Daily/ Weekly Vehicle Inspection</t>
        </is>
      </c>
      <c r="J271" t="inlineStr">
        <is>
          <t>N/A</t>
        </is>
      </c>
      <c r="K271" t="inlineStr">
        <is>
          <t>6617 Ashdown Tree Limited</t>
        </is>
      </c>
      <c r="L271" t="inlineStr">
        <is>
          <t>23/01/2025 14:45</t>
        </is>
      </c>
      <c r="M271" t="inlineStr">
        <is>
          <t>None</t>
        </is>
      </c>
      <c r="N271" t="inlineStr">
        <is>
          <t>&lt;p&gt;&lt;/p&gt;</t>
        </is>
      </c>
      <c r="O271" t="inlineStr"/>
      <c r="P271" t="inlineStr">
        <is>
          <t>4x4 - Land rover  - Defender mewp  - TR55 tubTow Chipper - Timberwolf - TW230DHB - SBCTW 35A6LS209060</t>
        </is>
      </c>
      <c r="Q271" t="inlineStr">
        <is>
          <t>UKPN</t>
        </is>
      </c>
      <c r="R271" t="b">
        <v>0</v>
      </c>
    </row>
    <row r="272">
      <c r="A272" t="inlineStr">
        <is>
          <t>23 Jan 2025 / 7800 MAC Trees and Fencing Ltd</t>
        </is>
      </c>
      <c r="B272" t="inlineStr">
        <is>
          <t>Utilities &amp; Inland Waterways</t>
        </is>
      </c>
      <c r="C272" t="inlineStr">
        <is>
          <t>UKPN</t>
        </is>
      </c>
      <c r="D272" t="inlineStr">
        <is>
          <t>Izuzu</t>
        </is>
      </c>
      <c r="E272" t="inlineStr">
        <is>
          <t>Dmax</t>
        </is>
      </c>
      <c r="F272" t="inlineStr">
        <is>
          <t>Ay68daa</t>
        </is>
      </c>
      <c r="G272" t="inlineStr">
        <is>
          <t>Lewis macLewis mac</t>
        </is>
      </c>
      <c r="H272" t="inlineStr">
        <is>
          <t>4x4Towed Chipper</t>
        </is>
      </c>
      <c r="I272" t="inlineStr">
        <is>
          <t>Daily/ Weekly Vehicle Inspection</t>
        </is>
      </c>
      <c r="J272" t="inlineStr">
        <is>
          <t>N/A</t>
        </is>
      </c>
      <c r="K272" t="inlineStr">
        <is>
          <t>7800 MAC Trees and Fencing Ltd</t>
        </is>
      </c>
      <c r="L272" t="inlineStr">
        <is>
          <t>23/01/2025 14:59</t>
        </is>
      </c>
      <c r="M272" t="inlineStr">
        <is>
          <t>None</t>
        </is>
      </c>
      <c r="N272" t="inlineStr">
        <is>
          <t>&lt;p&gt;&lt;/p&gt;</t>
        </is>
      </c>
      <c r="O272" t="inlineStr"/>
      <c r="P272" t="inlineStr">
        <is>
          <t>4x4 - Izuzu - Dmax - Ay68 daaTow Chipper - Timberwolf - TW150 - 205143043-a1</t>
        </is>
      </c>
      <c r="Q272" t="inlineStr">
        <is>
          <t>UKPN</t>
        </is>
      </c>
      <c r="R272" t="b">
        <v>0</v>
      </c>
    </row>
    <row r="273">
      <c r="A273" t="inlineStr">
        <is>
          <t>23 Jan 2025 / 7186 Eastwoodbury Tree Services Ltd</t>
        </is>
      </c>
      <c r="B273" t="inlineStr">
        <is>
          <t>Utilities &amp; Inland Waterways</t>
        </is>
      </c>
      <c r="C273" t="inlineStr">
        <is>
          <t>UKPN</t>
        </is>
      </c>
      <c r="D273" t="inlineStr">
        <is>
          <t xml:space="preserve">Santana </t>
        </is>
      </c>
      <c r="E273" t="inlineStr">
        <is>
          <t>Ps10</t>
        </is>
      </c>
      <c r="F273" t="inlineStr">
        <is>
          <t>AO57BPF</t>
        </is>
      </c>
      <c r="G273" t="inlineStr">
        <is>
          <t xml:space="preserve">Tom Price Jay Denkmayer Dan Gilbert </t>
        </is>
      </c>
      <c r="H273" t="inlineStr">
        <is>
          <t>4x4Pickup Truck4x4</t>
        </is>
      </c>
      <c r="I273" t="inlineStr">
        <is>
          <t>Daily/ Weekly Vehicle Inspection</t>
        </is>
      </c>
      <c r="J273" t="inlineStr">
        <is>
          <t>N/A</t>
        </is>
      </c>
      <c r="K273" t="inlineStr">
        <is>
          <t>7186 Eastwoodbury Tree Services Ltd</t>
        </is>
      </c>
      <c r="L273" t="inlineStr">
        <is>
          <t>23/01/2025 15:01</t>
        </is>
      </c>
      <c r="M273" t="inlineStr">
        <is>
          <t>None</t>
        </is>
      </c>
      <c r="N273" t="inlineStr">
        <is>
          <t>&lt;p&gt;&lt;/p&gt;</t>
        </is>
      </c>
      <c r="O273" t="inlineStr"/>
      <c r="P273" t="inlineStr">
        <is>
          <t>4x4 - Land Rover  - Defender - FN60 0XM4x4 - Ford - Ranger - DE53NKS4x4 - Santana  - Ps10 - AO57 BPF</t>
        </is>
      </c>
      <c r="Q273" t="inlineStr">
        <is>
          <t>UKPN</t>
        </is>
      </c>
      <c r="R273" t="b">
        <v>0</v>
      </c>
    </row>
    <row r="274">
      <c r="A274" t="inlineStr">
        <is>
          <t>23 Jan 2025 / 6617 Ashdown Tree Limited</t>
        </is>
      </c>
      <c r="B274" t="inlineStr">
        <is>
          <t>Utilities &amp; Inland Waterways</t>
        </is>
      </c>
      <c r="C274" t="inlineStr">
        <is>
          <t>UKPN</t>
        </is>
      </c>
      <c r="D274" t="inlineStr">
        <is>
          <t>Land Rover</t>
        </is>
      </c>
      <c r="E274" t="inlineStr">
        <is>
          <t xml:space="preserve">Discovery </t>
        </is>
      </c>
      <c r="F274" t="inlineStr">
        <is>
          <t>WF11EJJ</t>
        </is>
      </c>
      <c r="G274" t="inlineStr">
        <is>
          <t xml:space="preserve">Dan Ashley </t>
        </is>
      </c>
      <c r="H274" t="inlineStr">
        <is>
          <t>Tipper4x4</t>
        </is>
      </c>
      <c r="I274" t="inlineStr">
        <is>
          <t>Daily/ Weekly Vehicle Inspection</t>
        </is>
      </c>
      <c r="J274" t="inlineStr">
        <is>
          <t>N/A</t>
        </is>
      </c>
      <c r="K274" t="inlineStr">
        <is>
          <t>6617 Ashdown Tree Limited</t>
        </is>
      </c>
      <c r="L274" t="inlineStr">
        <is>
          <t>23/01/2025 15:03</t>
        </is>
      </c>
      <c r="M274" t="inlineStr">
        <is>
          <t>None</t>
        </is>
      </c>
      <c r="N274" t="inlineStr">
        <is>
          <t>&lt;p&gt;&lt;/p&gt;</t>
        </is>
      </c>
      <c r="O274" t="inlineStr"/>
      <c r="P274" t="inlineStr">
        <is>
          <t>Tipper - Ford  - Transit  - Av67lxzVehicle - Land Rover - Discovery  - WF11 EJJ</t>
        </is>
      </c>
      <c r="Q274" t="inlineStr">
        <is>
          <t>UKPN</t>
        </is>
      </c>
      <c r="R274" t="b">
        <v>0</v>
      </c>
    </row>
    <row r="275">
      <c r="A275" t="inlineStr">
        <is>
          <t>22 Jan 2025 / 3098 D &amp; R Landscapes (PEND Arb Rail)</t>
        </is>
      </c>
      <c r="B275" t="inlineStr">
        <is>
          <t>Utilities &amp; Inland Waterways</t>
        </is>
      </c>
      <c r="C275" t="inlineStr">
        <is>
          <t>UKPN</t>
        </is>
      </c>
      <c r="D275" t="inlineStr">
        <is>
          <t>Nissan</t>
        </is>
      </c>
      <c r="E275" t="inlineStr">
        <is>
          <t>Navara</t>
        </is>
      </c>
      <c r="F275" t="inlineStr">
        <is>
          <t>FX17YVM</t>
        </is>
      </c>
      <c r="G275" t="inlineStr">
        <is>
          <t xml:space="preserve">Jason </t>
        </is>
      </c>
      <c r="H275" t="inlineStr">
        <is>
          <t>4x4</t>
        </is>
      </c>
      <c r="I275" t="inlineStr">
        <is>
          <t>Daily/ Weekly Vehicle Inspection</t>
        </is>
      </c>
      <c r="J275" t="inlineStr">
        <is>
          <t>N/A</t>
        </is>
      </c>
      <c r="K275" t="inlineStr">
        <is>
          <t>3098 D &amp; R Landscapes (PEND Arb Rail)</t>
        </is>
      </c>
      <c r="L275" t="inlineStr">
        <is>
          <t>23/01/2025 15:12</t>
        </is>
      </c>
      <c r="M275" t="inlineStr">
        <is>
          <t>None</t>
        </is>
      </c>
      <c r="N275" t="inlineStr">
        <is>
          <t>&lt;p&gt;&lt;/p&gt;</t>
        </is>
      </c>
      <c r="O275" t="inlineStr"/>
      <c r="P275" t="inlineStr">
        <is>
          <t>Vehicle - Nissan - Navara - FX17 YVM</t>
        </is>
      </c>
      <c r="Q275" t="inlineStr">
        <is>
          <t>UKPN</t>
        </is>
      </c>
      <c r="R275" t="b">
        <v>0</v>
      </c>
    </row>
    <row r="276">
      <c r="A276" t="inlineStr">
        <is>
          <t>22 Jan 2025 / 7800 MAC Trees and Fencing Ltd</t>
        </is>
      </c>
      <c r="B276" t="inlineStr">
        <is>
          <t>Utilities &amp; Inland Waterways</t>
        </is>
      </c>
      <c r="C276" t="inlineStr">
        <is>
          <t>UKPN</t>
        </is>
      </c>
      <c r="D276" t="inlineStr">
        <is>
          <t xml:space="preserve">Ford transit </t>
        </is>
      </c>
      <c r="E276" t="inlineStr">
        <is>
          <t xml:space="preserve">Transit tipper </t>
        </is>
      </c>
      <c r="F276" t="inlineStr">
        <is>
          <t>Fg16lnt</t>
        </is>
      </c>
      <c r="G276" t="inlineStr">
        <is>
          <t xml:space="preserve">Patrick oshea Lewis macLewis mac </t>
        </is>
      </c>
      <c r="H276" t="inlineStr">
        <is>
          <t>Tipper4x4Towed Chipper</t>
        </is>
      </c>
      <c r="I276" t="inlineStr">
        <is>
          <t>Daily/ Weekly Vehicle Inspection</t>
        </is>
      </c>
      <c r="J276" t="inlineStr">
        <is>
          <t>N/A</t>
        </is>
      </c>
      <c r="K276" t="inlineStr">
        <is>
          <t>7800 MAC Trees and Fencing Ltd</t>
        </is>
      </c>
      <c r="L276" t="inlineStr">
        <is>
          <t>23/01/2025 15:13</t>
        </is>
      </c>
      <c r="M276" t="inlineStr">
        <is>
          <t>None</t>
        </is>
      </c>
      <c r="N276" t="inlineStr">
        <is>
          <t>&lt;p&gt;&lt;/p&gt;</t>
        </is>
      </c>
      <c r="O276" t="inlineStr"/>
      <c r="P276" t="inlineStr">
        <is>
          <t>Tipper - Ford transit  - Transit tipper  - Fg16lnt4x4 - Izuzu - Dmax - Ay68 daaTow Chipper - Timberwolf - TW150 - 205143043-a1</t>
        </is>
      </c>
      <c r="Q276" t="inlineStr">
        <is>
          <t>UKPN</t>
        </is>
      </c>
      <c r="R276" t="b">
        <v>0</v>
      </c>
    </row>
    <row r="277">
      <c r="A277" t="inlineStr">
        <is>
          <t>22 Jan 2025 / 7186 Eastwoodbury Tree Services Ltd</t>
        </is>
      </c>
      <c r="B277" t="inlineStr">
        <is>
          <t>Utilities &amp; Inland Waterways</t>
        </is>
      </c>
      <c r="C277" t="inlineStr">
        <is>
          <t>UKPN</t>
        </is>
      </c>
      <c r="D277" t="inlineStr">
        <is>
          <t xml:space="preserve">Land Rover </t>
        </is>
      </c>
      <c r="E277" t="inlineStr">
        <is>
          <t>Defender</t>
        </is>
      </c>
      <c r="F277" t="inlineStr">
        <is>
          <t>FN600XM</t>
        </is>
      </c>
      <c r="G277" t="inlineStr">
        <is>
          <t xml:space="preserve">Dan Gilbert Jay Denkmayer </t>
        </is>
      </c>
      <c r="H277" t="inlineStr">
        <is>
          <t>4x44x4</t>
        </is>
      </c>
      <c r="I277" t="inlineStr">
        <is>
          <t>Daily/ Weekly Vehicle Inspection</t>
        </is>
      </c>
      <c r="J277" t="inlineStr">
        <is>
          <t>N/A</t>
        </is>
      </c>
      <c r="K277" t="inlineStr">
        <is>
          <t>7186 Eastwoodbury Tree Services Ltd</t>
        </is>
      </c>
      <c r="L277" t="inlineStr">
        <is>
          <t>23/01/2025 15:14</t>
        </is>
      </c>
      <c r="M277" t="inlineStr">
        <is>
          <t>None</t>
        </is>
      </c>
      <c r="N277" t="inlineStr">
        <is>
          <t>&lt;p&gt;&lt;/p&gt;</t>
        </is>
      </c>
      <c r="O277" t="inlineStr"/>
      <c r="P277" t="inlineStr">
        <is>
          <t>4x4 - Santana  - Ps10 - AO57 BPF4x4 - Land Rover  - Defender - FN60 0XM</t>
        </is>
      </c>
      <c r="Q277" t="inlineStr">
        <is>
          <t>UKPN</t>
        </is>
      </c>
      <c r="R277" t="b">
        <v>0</v>
      </c>
    </row>
    <row r="278">
      <c r="A278" t="inlineStr">
        <is>
          <t>22 Jan 2025 / 6617 Ashdown Tree Limited</t>
        </is>
      </c>
      <c r="B278" t="inlineStr">
        <is>
          <t>Utilities &amp; Inland Waterways</t>
        </is>
      </c>
      <c r="C278" t="inlineStr">
        <is>
          <t>UKPN</t>
        </is>
      </c>
      <c r="D278" t="inlineStr">
        <is>
          <t>Land Rover</t>
        </is>
      </c>
      <c r="E278" t="inlineStr">
        <is>
          <t>Defender</t>
        </is>
      </c>
      <c r="F278" t="inlineStr">
        <is>
          <t>GU11LKD</t>
        </is>
      </c>
      <c r="G278" t="inlineStr">
        <is>
          <t xml:space="preserve">Francis lesser Francis lesser </t>
        </is>
      </c>
      <c r="H278" t="inlineStr">
        <is>
          <t>4x4Towed Chipper</t>
        </is>
      </c>
      <c r="I278" t="inlineStr">
        <is>
          <t>Daily/ Weekly Vehicle Inspection</t>
        </is>
      </c>
      <c r="J278" t="inlineStr">
        <is>
          <t>N/A</t>
        </is>
      </c>
      <c r="K278" t="inlineStr">
        <is>
          <t>6617 Ashdown Tree Limited</t>
        </is>
      </c>
      <c r="L278" t="inlineStr">
        <is>
          <t>23/01/2025 15:16</t>
        </is>
      </c>
      <c r="M278" t="inlineStr">
        <is>
          <t>None</t>
        </is>
      </c>
      <c r="N278" t="inlineStr">
        <is>
          <t>&lt;p&gt;&lt;/p&gt;</t>
        </is>
      </c>
      <c r="O278" t="inlineStr"/>
      <c r="P278" t="inlineStr">
        <is>
          <t>4x4 - Land Rover - Defender - GU11 LKDTow Chipper - Timberwolf - TW230DHB - SBXTW 35A6LS209184</t>
        </is>
      </c>
      <c r="Q278" t="inlineStr">
        <is>
          <t>UKPN</t>
        </is>
      </c>
      <c r="R278" t="b">
        <v>0</v>
      </c>
    </row>
    <row r="279">
      <c r="A279" t="inlineStr">
        <is>
          <t>24 Jan 2025 / 3098 D &amp; R Landscapes (PEND Arb Rail)</t>
        </is>
      </c>
      <c r="B279" t="inlineStr">
        <is>
          <t>Utilities &amp; Inland Waterways</t>
        </is>
      </c>
      <c r="C279" t="inlineStr">
        <is>
          <t>UKPN</t>
        </is>
      </c>
      <c r="D279" t="inlineStr">
        <is>
          <t>Isuzu</t>
        </is>
      </c>
      <c r="E279" t="inlineStr">
        <is>
          <t>Navara</t>
        </is>
      </c>
      <c r="F279" t="inlineStr">
        <is>
          <t>DE68XHA</t>
        </is>
      </c>
      <c r="G279" t="inlineStr">
        <is>
          <t xml:space="preserve">Dylan </t>
        </is>
      </c>
      <c r="H279" t="inlineStr">
        <is>
          <t>4x4</t>
        </is>
      </c>
      <c r="I279" t="inlineStr">
        <is>
          <t>Daily/ Weekly Vehicle Inspection</t>
        </is>
      </c>
      <c r="J279" t="inlineStr">
        <is>
          <t>N/A</t>
        </is>
      </c>
      <c r="K279" t="inlineStr">
        <is>
          <t>3098 D &amp; R Landscapes (PEND Arb Rail)</t>
        </is>
      </c>
      <c r="L279" t="inlineStr">
        <is>
          <t>25/01/2025 14:49</t>
        </is>
      </c>
      <c r="M279" t="inlineStr">
        <is>
          <t>None</t>
        </is>
      </c>
      <c r="N279" t="inlineStr">
        <is>
          <t>&lt;p&gt;&lt;/p&gt;</t>
        </is>
      </c>
      <c r="O279" t="inlineStr"/>
      <c r="P279" t="inlineStr">
        <is>
          <t>Vehicle - Nissan - Navara - FX17 YVM</t>
        </is>
      </c>
      <c r="Q279" t="inlineStr">
        <is>
          <t>UKPN</t>
        </is>
      </c>
      <c r="R279" t="b">
        <v>0</v>
      </c>
    </row>
    <row r="280">
      <c r="A280" t="inlineStr">
        <is>
          <t>24 Jan 2025 / 7800 MAC Trees and Fencing Ltd</t>
        </is>
      </c>
      <c r="B280" t="inlineStr">
        <is>
          <t>Utilities &amp; Inland Waterways</t>
        </is>
      </c>
      <c r="C280" t="inlineStr">
        <is>
          <t>UKPN</t>
        </is>
      </c>
      <c r="D280" t="inlineStr">
        <is>
          <t>Izuzu</t>
        </is>
      </c>
      <c r="E280" t="inlineStr">
        <is>
          <t>Dmax</t>
        </is>
      </c>
      <c r="F280" t="inlineStr">
        <is>
          <t>Ay68daa</t>
        </is>
      </c>
      <c r="G280" t="inlineStr">
        <is>
          <t xml:space="preserve">Lewis mac Lewis mac </t>
        </is>
      </c>
      <c r="H280" t="inlineStr">
        <is>
          <t>4x4Towed Chipper</t>
        </is>
      </c>
      <c r="I280" t="inlineStr">
        <is>
          <t>Daily/ Weekly Vehicle Inspection</t>
        </is>
      </c>
      <c r="J280" t="inlineStr">
        <is>
          <t>N/A</t>
        </is>
      </c>
      <c r="K280" t="inlineStr">
        <is>
          <t>7800 MAC Trees and Fencing Ltd</t>
        </is>
      </c>
      <c r="L280" t="inlineStr">
        <is>
          <t>25/01/2025 14:53</t>
        </is>
      </c>
      <c r="M280" t="inlineStr">
        <is>
          <t>None</t>
        </is>
      </c>
      <c r="N280" t="inlineStr">
        <is>
          <t>&lt;p&gt;&lt;/p&gt;</t>
        </is>
      </c>
      <c r="O280" t="inlineStr"/>
      <c r="P280" t="inlineStr">
        <is>
          <t>4x4 - Izuzu - Dmax - Ay68 daaTow Chipper - Timberwolf - TW150 - 205143043-a1</t>
        </is>
      </c>
      <c r="Q280" t="inlineStr">
        <is>
          <t>UKPN</t>
        </is>
      </c>
      <c r="R280" t="b">
        <v>0</v>
      </c>
    </row>
    <row r="281">
      <c r="A281" t="inlineStr">
        <is>
          <t>24 Jan 2025 / 7186 Eastwoodbury Tree Services Ltd</t>
        </is>
      </c>
      <c r="B281" t="inlineStr">
        <is>
          <t>Utilities &amp; Inland Waterways</t>
        </is>
      </c>
      <c r="C281" t="inlineStr">
        <is>
          <t>UKPN</t>
        </is>
      </c>
      <c r="D281" t="inlineStr">
        <is>
          <t xml:space="preserve">Santana </t>
        </is>
      </c>
      <c r="E281" t="inlineStr">
        <is>
          <t>Ps10</t>
        </is>
      </c>
      <c r="F281" t="inlineStr">
        <is>
          <t>AO57BPF</t>
        </is>
      </c>
      <c r="G281" t="inlineStr">
        <is>
          <t xml:space="preserve">Dan Gilbert </t>
        </is>
      </c>
      <c r="H281" t="inlineStr">
        <is>
          <t>4x4</t>
        </is>
      </c>
      <c r="I281" t="inlineStr">
        <is>
          <t>Daily/ Weekly Vehicle Inspection</t>
        </is>
      </c>
      <c r="J281" t="inlineStr">
        <is>
          <t>N/A</t>
        </is>
      </c>
      <c r="K281" t="inlineStr">
        <is>
          <t>7186 Eastwoodbury Tree Services Ltd</t>
        </is>
      </c>
      <c r="L281" t="inlineStr">
        <is>
          <t>25/01/2025 14:54</t>
        </is>
      </c>
      <c r="M281" t="inlineStr">
        <is>
          <t>None</t>
        </is>
      </c>
      <c r="N281" t="inlineStr">
        <is>
          <t>&lt;p&gt;&lt;/p&gt;</t>
        </is>
      </c>
      <c r="O281" t="inlineStr"/>
      <c r="P281" t="inlineStr">
        <is>
          <t>4x4 - Santana  - Ps10 - AO57 BPF</t>
        </is>
      </c>
      <c r="Q281" t="inlineStr">
        <is>
          <t>UKPN</t>
        </is>
      </c>
      <c r="R281" t="b">
        <v>0</v>
      </c>
    </row>
    <row r="282">
      <c r="A282" t="inlineStr">
        <is>
          <t>24 Jan 2025 / 3098 D &amp; R Landscapes (PEND Arb Rail)</t>
        </is>
      </c>
      <c r="B282" t="inlineStr">
        <is>
          <t>Utilities &amp; Inland Waterways</t>
        </is>
      </c>
      <c r="C282" t="inlineStr">
        <is>
          <t>UKPN</t>
        </is>
      </c>
      <c r="D282" t="inlineStr">
        <is>
          <t>Isuzu</t>
        </is>
      </c>
      <c r="E282" t="inlineStr">
        <is>
          <t>Grafter</t>
        </is>
      </c>
      <c r="F282" t="inlineStr">
        <is>
          <t>DE68XHA</t>
        </is>
      </c>
      <c r="G282" t="inlineStr">
        <is>
          <t xml:space="preserve">Jason </t>
        </is>
      </c>
      <c r="H282" t="inlineStr">
        <is>
          <t>Tipper</t>
        </is>
      </c>
      <c r="I282" t="inlineStr">
        <is>
          <t>Daily/ Weekly Vehicle Inspection</t>
        </is>
      </c>
      <c r="J282" t="inlineStr">
        <is>
          <t>N/A</t>
        </is>
      </c>
      <c r="K282" t="inlineStr">
        <is>
          <t>3098 D &amp; R Landscapes (PEND Arb Rail)</t>
        </is>
      </c>
      <c r="L282" t="inlineStr">
        <is>
          <t>25/01/2025 15:02</t>
        </is>
      </c>
      <c r="M282" t="inlineStr">
        <is>
          <t>None</t>
        </is>
      </c>
      <c r="N282" t="inlineStr">
        <is>
          <t>&lt;p&gt;&lt;/p&gt;</t>
        </is>
      </c>
      <c r="O282" t="inlineStr"/>
      <c r="P282" t="inlineStr">
        <is>
          <t>Tipper - Isuzu - Grafter - DE68 XHA</t>
        </is>
      </c>
      <c r="Q282" t="inlineStr">
        <is>
          <t>UKPN</t>
        </is>
      </c>
      <c r="R282" t="b">
        <v>0</v>
      </c>
    </row>
    <row r="283">
      <c r="A283" t="inlineStr">
        <is>
          <t>24 Jan 2025 / 6617 Ashdown Tree Limited</t>
        </is>
      </c>
      <c r="B283" t="inlineStr">
        <is>
          <t>Utilities &amp; Inland Waterways</t>
        </is>
      </c>
      <c r="C283" t="inlineStr">
        <is>
          <t>UKPN</t>
        </is>
      </c>
      <c r="D283" t="inlineStr">
        <is>
          <t xml:space="preserve">Ford </t>
        </is>
      </c>
      <c r="E283" t="inlineStr">
        <is>
          <t xml:space="preserve">Transit </t>
        </is>
      </c>
      <c r="F283" t="inlineStr">
        <is>
          <t>AV67LXZ</t>
        </is>
      </c>
      <c r="G283" t="inlineStr">
        <is>
          <t xml:space="preserve">Francis lesser </t>
        </is>
      </c>
      <c r="H283" t="inlineStr">
        <is>
          <t>Tipper</t>
        </is>
      </c>
      <c r="I283" t="inlineStr">
        <is>
          <t>Daily/ Weekly Vehicle Inspection</t>
        </is>
      </c>
      <c r="J283" t="inlineStr">
        <is>
          <t>N/A</t>
        </is>
      </c>
      <c r="K283" t="inlineStr">
        <is>
          <t>6617 Ashdown Tree Limited</t>
        </is>
      </c>
      <c r="L283" t="inlineStr">
        <is>
          <t>25/01/2025 15:03</t>
        </is>
      </c>
      <c r="M283" t="inlineStr">
        <is>
          <t>None</t>
        </is>
      </c>
      <c r="N283" t="inlineStr">
        <is>
          <t>&lt;p&gt;&lt;/p&gt;</t>
        </is>
      </c>
      <c r="O283" t="inlineStr"/>
      <c r="P283" t="inlineStr">
        <is>
          <t>Tipper - Ford - Transit - FE11 BUT</t>
        </is>
      </c>
      <c r="Q283" t="inlineStr">
        <is>
          <t>UKPN</t>
        </is>
      </c>
      <c r="R283" t="b">
        <v>0</v>
      </c>
    </row>
    <row r="284">
      <c r="A284" t="inlineStr">
        <is>
          <t>24 Jan 2025 / 6617 Ashdown Tree Limited</t>
        </is>
      </c>
      <c r="B284" t="inlineStr">
        <is>
          <t>Utilities &amp; Inland Waterways</t>
        </is>
      </c>
      <c r="C284" t="inlineStr">
        <is>
          <t>UKPN</t>
        </is>
      </c>
      <c r="D284" t="inlineStr">
        <is>
          <t xml:space="preserve">Ford </t>
        </is>
      </c>
      <c r="E284" t="inlineStr">
        <is>
          <t xml:space="preserve">Transit </t>
        </is>
      </c>
      <c r="F284" t="inlineStr">
        <is>
          <t>AV67LXZ</t>
        </is>
      </c>
      <c r="G284" t="inlineStr">
        <is>
          <t xml:space="preserve">Ashley Dan </t>
        </is>
      </c>
      <c r="H284" t="inlineStr">
        <is>
          <t>4x4Tipper</t>
        </is>
      </c>
      <c r="I284" t="inlineStr">
        <is>
          <t>Daily/ Weekly Vehicle Inspection</t>
        </is>
      </c>
      <c r="J284" t="inlineStr">
        <is>
          <t>N/A</t>
        </is>
      </c>
      <c r="K284" t="inlineStr">
        <is>
          <t>6617 Ashdown Tree Limited</t>
        </is>
      </c>
      <c r="L284" t="inlineStr">
        <is>
          <t>25/01/2025 15:04</t>
        </is>
      </c>
      <c r="M284" t="inlineStr">
        <is>
          <t>None</t>
        </is>
      </c>
      <c r="N284" t="inlineStr">
        <is>
          <t>&lt;p&gt;&lt;/p&gt;</t>
        </is>
      </c>
      <c r="O284" t="inlineStr"/>
      <c r="P284" t="inlineStr">
        <is>
          <t>Vehicle - Land Rover - Discovery  - WF11 EJJTipper - Ford  - Transit  - Av67lxz</t>
        </is>
      </c>
      <c r="Q284" t="inlineStr">
        <is>
          <t>UKPN</t>
        </is>
      </c>
      <c r="R284" t="b">
        <v>0</v>
      </c>
    </row>
    <row r="285">
      <c r="A285" t="inlineStr">
        <is>
          <t>27 Jan 2025 / 3098 D &amp; R Landscapes (PEND Arb Rail)</t>
        </is>
      </c>
      <c r="B285" t="inlineStr">
        <is>
          <t>Utilities &amp; Inland Waterways</t>
        </is>
      </c>
      <c r="C285" t="inlineStr">
        <is>
          <t>UKPN</t>
        </is>
      </c>
      <c r="D285" t="inlineStr">
        <is>
          <t>Nissan</t>
        </is>
      </c>
      <c r="E285" t="inlineStr">
        <is>
          <t>Navara</t>
        </is>
      </c>
      <c r="F285" t="inlineStr">
        <is>
          <t>FX17YVM</t>
        </is>
      </c>
      <c r="G285" t="inlineStr">
        <is>
          <t>Jason</t>
        </is>
      </c>
      <c r="H285" t="inlineStr">
        <is>
          <t>4x4</t>
        </is>
      </c>
      <c r="I285" t="inlineStr">
        <is>
          <t>Daily/ Weekly Vehicle Inspection</t>
        </is>
      </c>
      <c r="J285" t="inlineStr">
        <is>
          <t>N/A</t>
        </is>
      </c>
      <c r="K285" t="inlineStr">
        <is>
          <t>3098 D &amp; R Landscapes (PEND Arb Rail)</t>
        </is>
      </c>
      <c r="L285" t="inlineStr">
        <is>
          <t>27/01/2025 14:49</t>
        </is>
      </c>
      <c r="M285" t="inlineStr">
        <is>
          <t>None</t>
        </is>
      </c>
      <c r="N285" t="inlineStr">
        <is>
          <t>&lt;p&gt;&lt;/p&gt;</t>
        </is>
      </c>
      <c r="O285" t="inlineStr"/>
      <c r="P285" t="inlineStr">
        <is>
          <t>Vehicle - Nissan - Navara - FX17 YVM</t>
        </is>
      </c>
      <c r="Q285" t="inlineStr">
        <is>
          <t>UKPN</t>
        </is>
      </c>
      <c r="R285" t="b">
        <v>0</v>
      </c>
    </row>
    <row r="286">
      <c r="A286" t="inlineStr">
        <is>
          <t>27 Jan 2025 / 7806 Optimum Tree Services Ltd</t>
        </is>
      </c>
      <c r="B286" t="inlineStr">
        <is>
          <t>Utilities &amp; Inland Waterways</t>
        </is>
      </c>
      <c r="C286" t="inlineStr">
        <is>
          <t>UKPN</t>
        </is>
      </c>
      <c r="D286" t="inlineStr">
        <is>
          <t>Land Rover</t>
        </is>
      </c>
      <c r="E286" t="inlineStr">
        <is>
          <t>Defender</t>
        </is>
      </c>
      <c r="F286" t="inlineStr">
        <is>
          <t>WD14EVB</t>
        </is>
      </c>
      <c r="G286" t="inlineStr">
        <is>
          <t xml:space="preserve">Abraham Davies </t>
        </is>
      </c>
      <c r="H286" t="inlineStr">
        <is>
          <t>4x4</t>
        </is>
      </c>
      <c r="I286" t="inlineStr">
        <is>
          <t>Daily/ Weekly Vehicle Inspection</t>
        </is>
      </c>
      <c r="J286" t="inlineStr">
        <is>
          <t>N/A</t>
        </is>
      </c>
      <c r="K286" t="inlineStr">
        <is>
          <t>7806 Optimum Tree Services Ltd</t>
        </is>
      </c>
      <c r="L286" t="inlineStr">
        <is>
          <t>27/01/2025 14:54</t>
        </is>
      </c>
      <c r="M286" t="inlineStr">
        <is>
          <t>None</t>
        </is>
      </c>
      <c r="N286" t="inlineStr">
        <is>
          <t>&lt;p&gt;&lt;/p&gt;</t>
        </is>
      </c>
      <c r="O286" t="inlineStr"/>
      <c r="P286" t="inlineStr">
        <is>
          <t>MEWP -  -  - WD14 EVB</t>
        </is>
      </c>
      <c r="Q286" t="inlineStr">
        <is>
          <t>UKPN</t>
        </is>
      </c>
      <c r="R286" t="b">
        <v>0</v>
      </c>
    </row>
    <row r="287">
      <c r="A287" t="inlineStr">
        <is>
          <t>27 Jan 2025 / 6617 Ashdown Tree Limited</t>
        </is>
      </c>
      <c r="B287" t="inlineStr">
        <is>
          <t>Utilities &amp; Inland Waterways</t>
        </is>
      </c>
      <c r="C287" t="inlineStr">
        <is>
          <t>UKPN</t>
        </is>
      </c>
      <c r="D287" t="inlineStr">
        <is>
          <t xml:space="preserve">Land rover </t>
        </is>
      </c>
      <c r="E287" t="inlineStr">
        <is>
          <t xml:space="preserve">Defender mewp </t>
        </is>
      </c>
      <c r="F287" t="inlineStr">
        <is>
          <t>TR55TUB</t>
        </is>
      </c>
      <c r="G287" t="inlineStr">
        <is>
          <t>Francis LesserFrancis Lesser</t>
        </is>
      </c>
      <c r="H287" t="inlineStr">
        <is>
          <t>4x4Towed Chipper</t>
        </is>
      </c>
      <c r="I287" t="inlineStr">
        <is>
          <t>Daily/ Weekly Vehicle Inspection</t>
        </is>
      </c>
      <c r="J287" t="inlineStr">
        <is>
          <t>N/A</t>
        </is>
      </c>
      <c r="K287" t="inlineStr">
        <is>
          <t>6617 Ashdown Tree Limited</t>
        </is>
      </c>
      <c r="L287" t="inlineStr">
        <is>
          <t>27/01/2025 14:56</t>
        </is>
      </c>
      <c r="M287" t="inlineStr">
        <is>
          <t>None</t>
        </is>
      </c>
      <c r="N287" t="inlineStr">
        <is>
          <t>&lt;p&gt;&lt;/p&gt;</t>
        </is>
      </c>
      <c r="O287" t="inlineStr"/>
      <c r="P287" t="inlineStr">
        <is>
          <t>4x4 - Land rover  - defender  - Wg63ojsTow Chipper - Timberwolf - TW230DHB - SBCTW 35A6LS209060</t>
        </is>
      </c>
      <c r="Q287" t="inlineStr">
        <is>
          <t>UKPN</t>
        </is>
      </c>
      <c r="R287" t="b">
        <v>0</v>
      </c>
    </row>
    <row r="288">
      <c r="A288" t="inlineStr">
        <is>
          <t>27 Jan 2025 / 7186 Eastwoodbury Tree Services Ltd</t>
        </is>
      </c>
      <c r="B288" t="inlineStr">
        <is>
          <t>Utilities &amp; Inland Waterways</t>
        </is>
      </c>
      <c r="C288" t="inlineStr">
        <is>
          <t>UKPN</t>
        </is>
      </c>
      <c r="D288" t="inlineStr">
        <is>
          <t xml:space="preserve">Santana </t>
        </is>
      </c>
      <c r="E288" t="inlineStr">
        <is>
          <t>Ps10</t>
        </is>
      </c>
      <c r="F288" t="inlineStr">
        <is>
          <t>AO57BPF</t>
        </is>
      </c>
      <c r="G288" t="inlineStr">
        <is>
          <t xml:space="preserve">Tom Price Jay Denkmayer Dan Gilbert </t>
        </is>
      </c>
      <c r="H288" t="inlineStr">
        <is>
          <t>TipperPickup Truck4x4</t>
        </is>
      </c>
      <c r="I288" t="inlineStr">
        <is>
          <t>Daily/ Weekly Vehicle Inspection</t>
        </is>
      </c>
      <c r="J288" t="inlineStr">
        <is>
          <t>N/A</t>
        </is>
      </c>
      <c r="K288" t="inlineStr">
        <is>
          <t>7186 Eastwoodbury Tree Services Ltd</t>
        </is>
      </c>
      <c r="L288" t="inlineStr">
        <is>
          <t>27/01/2025 15:02</t>
        </is>
      </c>
      <c r="M288" t="inlineStr">
        <is>
          <t>None</t>
        </is>
      </c>
      <c r="N288" t="inlineStr">
        <is>
          <t>&lt;p&gt;&lt;/p&gt;</t>
        </is>
      </c>
      <c r="O288" t="inlineStr"/>
      <c r="P288" t="inlineStr">
        <is>
          <t>Tipper - Ford - Transit - DN61XKJ4x4 - Ford - Ranger - DE53NKS4x4 - Santana  - Ps10 - AO57 BPF</t>
        </is>
      </c>
      <c r="Q288" t="inlineStr">
        <is>
          <t>UKPN</t>
        </is>
      </c>
      <c r="R288" t="b">
        <v>0</v>
      </c>
    </row>
    <row r="289">
      <c r="A289" t="inlineStr">
        <is>
          <t>27 Jan 2025 / 6617 Ashdown Tree Limited</t>
        </is>
      </c>
      <c r="B289" t="inlineStr">
        <is>
          <t>Utilities &amp; Inland Waterways</t>
        </is>
      </c>
      <c r="C289" t="inlineStr">
        <is>
          <t>UKPN</t>
        </is>
      </c>
      <c r="D289" t="inlineStr">
        <is>
          <t xml:space="preserve">Land rover </t>
        </is>
      </c>
      <c r="E289" t="inlineStr">
        <is>
          <t xml:space="preserve">Defender mewp </t>
        </is>
      </c>
      <c r="F289" t="inlineStr">
        <is>
          <t>TR55TUB</t>
        </is>
      </c>
      <c r="G289" t="inlineStr">
        <is>
          <t xml:space="preserve">Ashley </t>
        </is>
      </c>
      <c r="H289" t="inlineStr">
        <is>
          <t>4x4</t>
        </is>
      </c>
      <c r="I289" t="inlineStr">
        <is>
          <t>Daily/ Weekly Vehicle Inspection</t>
        </is>
      </c>
      <c r="J289" t="inlineStr">
        <is>
          <t>N/A</t>
        </is>
      </c>
      <c r="K289" t="inlineStr">
        <is>
          <t>6617 Ashdown Tree Limited</t>
        </is>
      </c>
      <c r="L289" t="inlineStr">
        <is>
          <t>27/01/2025 15:03</t>
        </is>
      </c>
      <c r="M289" t="inlineStr">
        <is>
          <t>None</t>
        </is>
      </c>
      <c r="N289" t="inlineStr">
        <is>
          <t>&lt;p&gt;&lt;/p&gt;</t>
        </is>
      </c>
      <c r="O289" t="inlineStr"/>
      <c r="P289" t="inlineStr">
        <is>
          <t>4x4 - Land rover  - Defender mewp  - TR55 tub</t>
        </is>
      </c>
      <c r="Q289" t="inlineStr">
        <is>
          <t>UKPN</t>
        </is>
      </c>
      <c r="R289" t="b">
        <v>0</v>
      </c>
    </row>
    <row r="290">
      <c r="A290" t="inlineStr">
        <is>
          <t>27 Jan 2025 / 7889 Tree Tech Suffolk Ltd</t>
        </is>
      </c>
      <c r="B290" t="inlineStr">
        <is>
          <t>Utilities &amp; Inland Waterways</t>
        </is>
      </c>
      <c r="C290" t="inlineStr">
        <is>
          <t>UKPN</t>
        </is>
      </c>
      <c r="D290" t="inlineStr">
        <is>
          <t>Isuzu</t>
        </is>
      </c>
      <c r="E290" t="inlineStr">
        <is>
          <t>D-max</t>
        </is>
      </c>
      <c r="F290" t="inlineStr">
        <is>
          <t>NS03TTS</t>
        </is>
      </c>
      <c r="G290" t="inlineStr">
        <is>
          <t xml:space="preserve">Danny Appleby Danny Appleby </t>
        </is>
      </c>
      <c r="H290" t="inlineStr">
        <is>
          <t>4x4Towed Chipper</t>
        </is>
      </c>
      <c r="I290" t="inlineStr">
        <is>
          <t>Daily/ Weekly Vehicle Inspection</t>
        </is>
      </c>
      <c r="J290" t="inlineStr">
        <is>
          <t>N/A</t>
        </is>
      </c>
      <c r="K290" t="inlineStr">
        <is>
          <t>7889 Tree Tech Suffolk Ltd</t>
        </is>
      </c>
      <c r="L290" t="inlineStr">
        <is>
          <t>27/01/2025 15:05</t>
        </is>
      </c>
      <c r="M290" t="inlineStr">
        <is>
          <t>None</t>
        </is>
      </c>
      <c r="N290" t="inlineStr">
        <is>
          <t>&lt;p&gt;&lt;/p&gt;</t>
        </is>
      </c>
      <c r="O290" t="inlineStr"/>
      <c r="P290" t="inlineStr">
        <is>
          <t>4x4 - Isuzu - D-max - NS03 TTSTow Chipper - Jenson - A530L - 5521063948</t>
        </is>
      </c>
      <c r="Q290" t="inlineStr">
        <is>
          <t>UKPN</t>
        </is>
      </c>
      <c r="R290" t="b">
        <v>0</v>
      </c>
    </row>
    <row r="291">
      <c r="A291" t="inlineStr">
        <is>
          <t>29 Jan 2025 / 6617 Ashdown Tree Limited</t>
        </is>
      </c>
      <c r="B291" t="inlineStr">
        <is>
          <t>Utilities &amp; Inland Waterways</t>
        </is>
      </c>
      <c r="C291" t="inlineStr">
        <is>
          <t>UKPN</t>
        </is>
      </c>
      <c r="D291" t="inlineStr">
        <is>
          <t>Ford</t>
        </is>
      </c>
      <c r="E291" t="inlineStr">
        <is>
          <t>Transit</t>
        </is>
      </c>
      <c r="F291" t="inlineStr">
        <is>
          <t>FE11BUT</t>
        </is>
      </c>
      <c r="G291" t="inlineStr">
        <is>
          <t xml:space="preserve">A Horwood </t>
        </is>
      </c>
      <c r="H291" t="inlineStr">
        <is>
          <t>4x4</t>
        </is>
      </c>
      <c r="I291" t="inlineStr">
        <is>
          <t>Daily/ Weekly Vehicle Inspection</t>
        </is>
      </c>
      <c r="J291" t="inlineStr">
        <is>
          <t>N/A</t>
        </is>
      </c>
      <c r="K291" t="inlineStr">
        <is>
          <t>6617 Ashdown Tree Limited</t>
        </is>
      </c>
      <c r="L291" t="inlineStr">
        <is>
          <t>29/01/2025 14:43</t>
        </is>
      </c>
      <c r="M291" t="inlineStr">
        <is>
          <t>None</t>
        </is>
      </c>
      <c r="N291" t="inlineStr">
        <is>
          <t>&lt;p&gt;&lt;/p&gt;</t>
        </is>
      </c>
      <c r="O291" t="inlineStr"/>
      <c r="P291" t="inlineStr">
        <is>
          <t>4x4 - Land rover  - Defender mewp  - TR55 tub</t>
        </is>
      </c>
      <c r="Q291" t="inlineStr">
        <is>
          <t>UKPN</t>
        </is>
      </c>
      <c r="R291" t="b">
        <v>0</v>
      </c>
    </row>
    <row r="292">
      <c r="A292" t="inlineStr">
        <is>
          <t>29 Jan 2025 / 3098 D &amp; R Landscapes (PEND Arb Rail)</t>
        </is>
      </c>
      <c r="B292" t="inlineStr">
        <is>
          <t>Utilities &amp; Inland Waterways</t>
        </is>
      </c>
      <c r="C292" t="inlineStr">
        <is>
          <t>UKPN</t>
        </is>
      </c>
      <c r="D292" t="inlineStr">
        <is>
          <t>Nissan</t>
        </is>
      </c>
      <c r="E292" t="inlineStr">
        <is>
          <t>Navara</t>
        </is>
      </c>
      <c r="F292" t="inlineStr">
        <is>
          <t>FX17YVM</t>
        </is>
      </c>
      <c r="G292" t="inlineStr">
        <is>
          <t>Jason</t>
        </is>
      </c>
      <c r="H292" t="inlineStr">
        <is>
          <t>4x4</t>
        </is>
      </c>
      <c r="I292" t="inlineStr">
        <is>
          <t>Daily/ Weekly Vehicle Inspection</t>
        </is>
      </c>
      <c r="J292" t="inlineStr">
        <is>
          <t>N/A</t>
        </is>
      </c>
      <c r="K292" t="inlineStr">
        <is>
          <t>3098 D &amp; R Landscapes (PEND Arb Rail)</t>
        </is>
      </c>
      <c r="L292" t="inlineStr">
        <is>
          <t>29/01/2025 14:48</t>
        </is>
      </c>
      <c r="M292" t="inlineStr">
        <is>
          <t>None</t>
        </is>
      </c>
      <c r="N292" t="inlineStr">
        <is>
          <t>&lt;p&gt;&lt;/p&gt;</t>
        </is>
      </c>
      <c r="O292" t="inlineStr"/>
      <c r="P292" t="inlineStr">
        <is>
          <t>Vehicle - Nissan - Navara - FX17 YVM</t>
        </is>
      </c>
      <c r="Q292" t="inlineStr">
        <is>
          <t>UKPN</t>
        </is>
      </c>
      <c r="R292" t="b">
        <v>0</v>
      </c>
    </row>
    <row r="293">
      <c r="A293" t="inlineStr">
        <is>
          <t>29 Jan 2025 / 7800 MAC Trees and Fencing Ltd</t>
        </is>
      </c>
      <c r="B293" t="inlineStr">
        <is>
          <t>Utilities &amp; Inland Waterways</t>
        </is>
      </c>
      <c r="C293" t="inlineStr">
        <is>
          <t>UKPN</t>
        </is>
      </c>
      <c r="D293" t="inlineStr">
        <is>
          <t>Izuzu</t>
        </is>
      </c>
      <c r="E293" t="inlineStr">
        <is>
          <t>Dmax</t>
        </is>
      </c>
      <c r="F293" t="inlineStr">
        <is>
          <t>Ay68daa</t>
        </is>
      </c>
      <c r="G293" t="inlineStr">
        <is>
          <t xml:space="preserve">Lewis mac Lewis mac </t>
        </is>
      </c>
      <c r="H293" t="inlineStr">
        <is>
          <t>4x4Towed Chipper</t>
        </is>
      </c>
      <c r="I293" t="inlineStr">
        <is>
          <t>Daily/ Weekly Vehicle Inspection</t>
        </is>
      </c>
      <c r="J293" t="inlineStr">
        <is>
          <t>N/A</t>
        </is>
      </c>
      <c r="K293" t="inlineStr">
        <is>
          <t>7800 MAC Trees and Fencing Ltd</t>
        </is>
      </c>
      <c r="L293" t="inlineStr">
        <is>
          <t>29/01/2025 14:52</t>
        </is>
      </c>
      <c r="M293" t="inlineStr">
        <is>
          <t>None</t>
        </is>
      </c>
      <c r="N293" t="inlineStr">
        <is>
          <t>&lt;p&gt;&lt;/p&gt;</t>
        </is>
      </c>
      <c r="O293" t="inlineStr"/>
      <c r="P293" t="inlineStr">
        <is>
          <t>4x4 - Izuzu - Dmax - Ay68 daaTow Chipper - Timberwolf - TW150 - 205143043-a1</t>
        </is>
      </c>
      <c r="Q293" t="inlineStr">
        <is>
          <t>UKPN</t>
        </is>
      </c>
      <c r="R293" t="b">
        <v>0</v>
      </c>
    </row>
    <row r="294">
      <c r="A294" t="inlineStr">
        <is>
          <t>29 Jan 2025 / 7186 Eastwoodbury Tree Services Ltd</t>
        </is>
      </c>
      <c r="B294" t="inlineStr">
        <is>
          <t>Utilities &amp; Inland Waterways</t>
        </is>
      </c>
      <c r="C294" t="inlineStr">
        <is>
          <t>UKPN</t>
        </is>
      </c>
      <c r="D294" t="inlineStr">
        <is>
          <t>Ford</t>
        </is>
      </c>
      <c r="E294" t="inlineStr">
        <is>
          <t>Transit</t>
        </is>
      </c>
      <c r="F294" t="inlineStr">
        <is>
          <t>DN61XKJ</t>
        </is>
      </c>
      <c r="G294" t="inlineStr">
        <is>
          <t xml:space="preserve">Jay Denkmayer </t>
        </is>
      </c>
      <c r="H294" t="inlineStr">
        <is>
          <t>Tipper</t>
        </is>
      </c>
      <c r="I294" t="inlineStr">
        <is>
          <t>Daily/ Weekly Vehicle Inspection</t>
        </is>
      </c>
      <c r="J294" t="inlineStr">
        <is>
          <t>N/A</t>
        </is>
      </c>
      <c r="K294" t="inlineStr">
        <is>
          <t>7186 Eastwoodbury Tree Services Ltd</t>
        </is>
      </c>
      <c r="L294" t="inlineStr">
        <is>
          <t>29/01/2025 14:53</t>
        </is>
      </c>
      <c r="M294" t="inlineStr">
        <is>
          <t>None</t>
        </is>
      </c>
      <c r="N294" t="inlineStr">
        <is>
          <t>&lt;p&gt;&lt;/p&gt;</t>
        </is>
      </c>
      <c r="O294" t="inlineStr"/>
      <c r="P294" t="inlineStr">
        <is>
          <t>Tipper - Ford - Transit - DN61XKJ</t>
        </is>
      </c>
      <c r="Q294" t="inlineStr">
        <is>
          <t>UKPN</t>
        </is>
      </c>
      <c r="R294" t="b">
        <v>0</v>
      </c>
    </row>
    <row r="295">
      <c r="A295" t="inlineStr">
        <is>
          <t>29 Jan 2025 / 6617 Ashdown Tree Limited</t>
        </is>
      </c>
      <c r="B295" t="inlineStr">
        <is>
          <t>Utilities &amp; Inland Waterways</t>
        </is>
      </c>
      <c r="C295" t="inlineStr">
        <is>
          <t>UKPN</t>
        </is>
      </c>
      <c r="D295" t="inlineStr">
        <is>
          <t>Ford</t>
        </is>
      </c>
      <c r="E295" t="inlineStr">
        <is>
          <t>Transit</t>
        </is>
      </c>
      <c r="F295" t="inlineStr">
        <is>
          <t>FE11BUT</t>
        </is>
      </c>
      <c r="G295" t="inlineStr">
        <is>
          <t>Francis</t>
        </is>
      </c>
      <c r="H295" t="inlineStr">
        <is>
          <t>Tipper</t>
        </is>
      </c>
      <c r="I295" t="inlineStr">
        <is>
          <t>Daily/ Weekly Vehicle Inspection</t>
        </is>
      </c>
      <c r="J295" t="inlineStr">
        <is>
          <t>N/A</t>
        </is>
      </c>
      <c r="K295" t="inlineStr">
        <is>
          <t>6617 Ashdown Tree Limited</t>
        </is>
      </c>
      <c r="L295" t="inlineStr">
        <is>
          <t>29/01/2025 14:54</t>
        </is>
      </c>
      <c r="M295" t="inlineStr">
        <is>
          <t>None</t>
        </is>
      </c>
      <c r="N295" t="inlineStr">
        <is>
          <t>&lt;p&gt;&lt;/p&gt;</t>
        </is>
      </c>
      <c r="O295" t="inlineStr"/>
      <c r="P295" t="inlineStr">
        <is>
          <t>Tipper - Ford - Transit - FE11 BUT</t>
        </is>
      </c>
      <c r="Q295" t="inlineStr">
        <is>
          <t>UKPN</t>
        </is>
      </c>
      <c r="R295" t="b">
        <v>0</v>
      </c>
    </row>
    <row r="296">
      <c r="A296" t="inlineStr">
        <is>
          <t>28 Jan 2025 / 7800 MAC Trees and Fencing Ltd</t>
        </is>
      </c>
      <c r="B296" t="inlineStr">
        <is>
          <t>Utilities &amp; Inland Waterways</t>
        </is>
      </c>
      <c r="C296" t="inlineStr">
        <is>
          <t>UKPN</t>
        </is>
      </c>
      <c r="D296" t="inlineStr">
        <is>
          <t>Izuzu</t>
        </is>
      </c>
      <c r="E296" t="inlineStr">
        <is>
          <t>Dmax</t>
        </is>
      </c>
      <c r="F296" t="inlineStr">
        <is>
          <t>Ay68daa</t>
        </is>
      </c>
      <c r="G296" t="inlineStr">
        <is>
          <t>Lewis mac Lewis mac</t>
        </is>
      </c>
      <c r="H296" t="inlineStr">
        <is>
          <t>4x4Towed Chipper</t>
        </is>
      </c>
      <c r="I296" t="inlineStr">
        <is>
          <t>Daily/ Weekly Vehicle Inspection</t>
        </is>
      </c>
      <c r="J296" t="inlineStr">
        <is>
          <t>N/A</t>
        </is>
      </c>
      <c r="K296" t="inlineStr">
        <is>
          <t>7800 MAC Trees and Fencing Ltd</t>
        </is>
      </c>
      <c r="L296" t="inlineStr">
        <is>
          <t>29/01/2025 15:01</t>
        </is>
      </c>
      <c r="M296" t="inlineStr">
        <is>
          <t>None</t>
        </is>
      </c>
      <c r="N296" t="inlineStr">
        <is>
          <t>&lt;p&gt;&lt;/p&gt;</t>
        </is>
      </c>
      <c r="O296" t="inlineStr"/>
      <c r="P296" t="inlineStr">
        <is>
          <t>4x4 - Izuzu - Dmax - Ay68 daaTow Chipper - Timberwolf - TW150 - 205143043-a1</t>
        </is>
      </c>
      <c r="Q296" t="inlineStr">
        <is>
          <t>UKPN</t>
        </is>
      </c>
      <c r="R296" t="b">
        <v>0</v>
      </c>
    </row>
    <row r="297">
      <c r="A297" t="inlineStr">
        <is>
          <t>24 Jan 2025 / 7806 Optimum Tree Services Ltd</t>
        </is>
      </c>
      <c r="B297" t="inlineStr">
        <is>
          <t>Utilities &amp; Inland Waterways</t>
        </is>
      </c>
      <c r="C297" t="inlineStr">
        <is>
          <t>UKPN</t>
        </is>
      </c>
      <c r="D297" t="inlineStr">
        <is>
          <t>Land Rover</t>
        </is>
      </c>
      <c r="E297" t="inlineStr">
        <is>
          <t>Defender</t>
        </is>
      </c>
      <c r="F297" t="inlineStr">
        <is>
          <t>WD14EVB</t>
        </is>
      </c>
      <c r="G297" t="inlineStr">
        <is>
          <t xml:space="preserve">Abraham Davies </t>
        </is>
      </c>
      <c r="H297" t="inlineStr">
        <is>
          <t>4x4</t>
        </is>
      </c>
      <c r="I297" t="inlineStr">
        <is>
          <t>Daily/ Weekly Vehicle Inspection</t>
        </is>
      </c>
      <c r="J297" t="inlineStr">
        <is>
          <t>N/A</t>
        </is>
      </c>
      <c r="K297" t="inlineStr">
        <is>
          <t>7806 Optimum Tree Services Ltd</t>
        </is>
      </c>
      <c r="L297" t="inlineStr">
        <is>
          <t>29/01/2025 15:02</t>
        </is>
      </c>
      <c r="M297" t="inlineStr">
        <is>
          <t>None</t>
        </is>
      </c>
      <c r="N297" t="inlineStr">
        <is>
          <t>&lt;p&gt;&lt;/p&gt;</t>
        </is>
      </c>
      <c r="O297" t="inlineStr"/>
      <c r="P297" t="inlineStr">
        <is>
          <t>MEWP -  -  - WD14 EVB</t>
        </is>
      </c>
      <c r="Q297" t="inlineStr">
        <is>
          <t>UKPN</t>
        </is>
      </c>
      <c r="R297" t="b">
        <v>0</v>
      </c>
    </row>
    <row r="298">
      <c r="A298" t="inlineStr">
        <is>
          <t>28 Jan 2025 / 6617 Ashdown Tree Limited</t>
        </is>
      </c>
      <c r="B298" t="inlineStr">
        <is>
          <t>Utilities &amp; Inland Waterways</t>
        </is>
      </c>
      <c r="C298" t="inlineStr">
        <is>
          <t>UKPN</t>
        </is>
      </c>
      <c r="D298" t="inlineStr">
        <is>
          <t>Ford</t>
        </is>
      </c>
      <c r="E298" t="inlineStr">
        <is>
          <t>Transit</t>
        </is>
      </c>
      <c r="F298" t="inlineStr">
        <is>
          <t>FE11BUT</t>
        </is>
      </c>
      <c r="G298" t="inlineStr">
        <is>
          <t xml:space="preserve">DanFrancis </t>
        </is>
      </c>
      <c r="H298" t="inlineStr">
        <is>
          <t>4x4Tipper</t>
        </is>
      </c>
      <c r="I298" t="inlineStr">
        <is>
          <t>Daily/ Weekly Vehicle Inspection</t>
        </is>
      </c>
      <c r="J298" t="inlineStr">
        <is>
          <t>N/A</t>
        </is>
      </c>
      <c r="K298" t="inlineStr">
        <is>
          <t>6617 Ashdown Tree Limited</t>
        </is>
      </c>
      <c r="L298" t="inlineStr">
        <is>
          <t>29/01/2025 15:03</t>
        </is>
      </c>
      <c r="M298" t="inlineStr">
        <is>
          <t>None</t>
        </is>
      </c>
      <c r="N298" t="inlineStr">
        <is>
          <t>&lt;p&gt;&lt;/p&gt;</t>
        </is>
      </c>
      <c r="O298" t="inlineStr"/>
      <c r="P298" t="inlineStr">
        <is>
          <t>Vehicle - Land Rover - Discovery  - WF11 EJJTipper - Ford - Transit - FE11 BUT</t>
        </is>
      </c>
      <c r="Q298" t="inlineStr">
        <is>
          <t>UKPN</t>
        </is>
      </c>
      <c r="R298" t="b">
        <v>0</v>
      </c>
    </row>
    <row r="299">
      <c r="A299" t="inlineStr">
        <is>
          <t>28 Jan 2025 / 7186 Eastwoodbury Tree Services Ltd</t>
        </is>
      </c>
      <c r="B299" t="inlineStr">
        <is>
          <t>Utilities &amp; Inland Waterways</t>
        </is>
      </c>
      <c r="C299" t="inlineStr">
        <is>
          <t>UKPN</t>
        </is>
      </c>
      <c r="D299" t="inlineStr">
        <is>
          <t xml:space="preserve">Land Rover </t>
        </is>
      </c>
      <c r="E299" t="inlineStr">
        <is>
          <t>Defender</t>
        </is>
      </c>
      <c r="F299" t="inlineStr">
        <is>
          <t>FN600XM</t>
        </is>
      </c>
      <c r="G299" t="inlineStr">
        <is>
          <t xml:space="preserve">Dan Gilbert Jay Denkmayer </t>
        </is>
      </c>
      <c r="H299" t="inlineStr">
        <is>
          <t>4x44x4</t>
        </is>
      </c>
      <c r="I299" t="inlineStr">
        <is>
          <t>Daily/ Weekly Vehicle Inspection</t>
        </is>
      </c>
      <c r="J299" t="inlineStr">
        <is>
          <t>N/A</t>
        </is>
      </c>
      <c r="K299" t="inlineStr">
        <is>
          <t>7186 Eastwoodbury Tree Services Ltd</t>
        </is>
      </c>
      <c r="L299" t="inlineStr">
        <is>
          <t>29/01/2025 15:05</t>
        </is>
      </c>
      <c r="M299" t="inlineStr">
        <is>
          <t>None</t>
        </is>
      </c>
      <c r="N299" t="inlineStr">
        <is>
          <t>&lt;p&gt;&lt;/p&gt;</t>
        </is>
      </c>
      <c r="O299" t="inlineStr"/>
      <c r="P299" t="inlineStr">
        <is>
          <t>4x4 - Santana  - Ps10 - AO57 BPF4x4 - Land Rover  - Defender - FN60 0XM</t>
        </is>
      </c>
      <c r="Q299" t="inlineStr">
        <is>
          <t>UKPN</t>
        </is>
      </c>
      <c r="R299" t="b">
        <v>0</v>
      </c>
    </row>
    <row r="300">
      <c r="A300" t="inlineStr">
        <is>
          <t>31 Jan 2025 / 6617 Ashdown Tree Limited</t>
        </is>
      </c>
      <c r="B300" t="inlineStr">
        <is>
          <t>Utilities &amp; Inland Waterways</t>
        </is>
      </c>
      <c r="C300" t="inlineStr">
        <is>
          <t>UKPN</t>
        </is>
      </c>
      <c r="D300" t="inlineStr">
        <is>
          <t>Land Rover</t>
        </is>
      </c>
      <c r="E300" t="inlineStr">
        <is>
          <t>Defender</t>
        </is>
      </c>
      <c r="F300" t="inlineStr">
        <is>
          <t>GU11LKD</t>
        </is>
      </c>
      <c r="G300" t="inlineStr">
        <is>
          <t xml:space="preserve">Francis lesser Francis lesser </t>
        </is>
      </c>
      <c r="H300" t="inlineStr">
        <is>
          <t>4x4Plant Trailer</t>
        </is>
      </c>
      <c r="I300" t="inlineStr">
        <is>
          <t>Daily/ Weekly Vehicle Inspection</t>
        </is>
      </c>
      <c r="J300" t="inlineStr">
        <is>
          <t>N/A</t>
        </is>
      </c>
      <c r="K300" t="inlineStr">
        <is>
          <t>6617 Ashdown Tree Limited</t>
        </is>
      </c>
      <c r="L300" t="inlineStr">
        <is>
          <t>31/01/2025 14:47</t>
        </is>
      </c>
      <c r="M300" t="inlineStr">
        <is>
          <t>None</t>
        </is>
      </c>
      <c r="N300" t="inlineStr">
        <is>
          <t>&lt;p&gt;&lt;/p&gt;</t>
        </is>
      </c>
      <c r="O300" t="inlineStr">
        <is>
          <t>Select Vehicle:Indespension</t>
        </is>
      </c>
      <c r="P300" t="inlineStr">
        <is>
          <t>4x4 - Land Rover - Defender - GU11 LKDFlat Bed Trailer - Ifor Williams -  - SCKD00000H5147808A</t>
        </is>
      </c>
      <c r="Q300" t="inlineStr">
        <is>
          <t>UKPN</t>
        </is>
      </c>
      <c r="R300" t="b">
        <v>0</v>
      </c>
    </row>
    <row r="301">
      <c r="A301" t="inlineStr">
        <is>
          <t>31 Jan 2025 / 7806 Optimum Tree Services Ltd</t>
        </is>
      </c>
      <c r="B301" t="inlineStr">
        <is>
          <t>Utilities &amp; Inland Waterways</t>
        </is>
      </c>
      <c r="C301" t="inlineStr">
        <is>
          <t>UKPN</t>
        </is>
      </c>
      <c r="D301" t="inlineStr">
        <is>
          <t>Land Rover</t>
        </is>
      </c>
      <c r="E301" t="inlineStr">
        <is>
          <t>Defender</t>
        </is>
      </c>
      <c r="F301" t="inlineStr">
        <is>
          <t>WD14EVB</t>
        </is>
      </c>
      <c r="G301" t="inlineStr">
        <is>
          <t xml:space="preserve">Abraham Davies </t>
        </is>
      </c>
      <c r="H301" t="inlineStr">
        <is>
          <t>4x4</t>
        </is>
      </c>
      <c r="I301" t="inlineStr">
        <is>
          <t>Daily/ Weekly Vehicle Inspection</t>
        </is>
      </c>
      <c r="J301" t="inlineStr">
        <is>
          <t>N/A</t>
        </is>
      </c>
      <c r="K301" t="inlineStr">
        <is>
          <t>7806 Optimum Tree Services Ltd</t>
        </is>
      </c>
      <c r="L301" t="inlineStr">
        <is>
          <t>31/01/2025 14:51</t>
        </is>
      </c>
      <c r="M301" t="inlineStr">
        <is>
          <t>None</t>
        </is>
      </c>
      <c r="N301" t="inlineStr">
        <is>
          <t>&lt;p&gt;&lt;/p&gt;</t>
        </is>
      </c>
      <c r="O301" t="inlineStr"/>
      <c r="P301" t="inlineStr">
        <is>
          <t>MEWP -  -  - WD14 EVB</t>
        </is>
      </c>
      <c r="Q301" t="inlineStr">
        <is>
          <t>UKPN</t>
        </is>
      </c>
      <c r="R301" t="b">
        <v>0</v>
      </c>
    </row>
    <row r="302">
      <c r="A302" t="inlineStr">
        <is>
          <t>30 Jan 2025 / 7806 Optimum Tree Services Ltd</t>
        </is>
      </c>
      <c r="B302" t="inlineStr">
        <is>
          <t>Utilities &amp; Inland Waterways</t>
        </is>
      </c>
      <c r="C302" t="inlineStr">
        <is>
          <t>UKPN</t>
        </is>
      </c>
      <c r="D302" t="inlineStr">
        <is>
          <t>Land Rover</t>
        </is>
      </c>
      <c r="E302" t="inlineStr">
        <is>
          <t>Defender</t>
        </is>
      </c>
      <c r="F302" t="inlineStr">
        <is>
          <t>WD14EVB</t>
        </is>
      </c>
      <c r="G302" t="inlineStr">
        <is>
          <t xml:space="preserve">Abraham Davies </t>
        </is>
      </c>
      <c r="H302" t="inlineStr">
        <is>
          <t>4x4</t>
        </is>
      </c>
      <c r="I302" t="inlineStr">
        <is>
          <t>Daily/ Weekly Vehicle Inspection</t>
        </is>
      </c>
      <c r="J302" t="inlineStr">
        <is>
          <t>N/A</t>
        </is>
      </c>
      <c r="K302" t="inlineStr">
        <is>
          <t>7806 Optimum Tree Services Ltd</t>
        </is>
      </c>
      <c r="L302" t="inlineStr">
        <is>
          <t>31/01/2025 15:06</t>
        </is>
      </c>
      <c r="M302" t="inlineStr">
        <is>
          <t>None</t>
        </is>
      </c>
      <c r="N302" t="inlineStr">
        <is>
          <t>&lt;p&gt;&lt;/p&gt;</t>
        </is>
      </c>
      <c r="O302" t="inlineStr"/>
      <c r="P302" t="inlineStr">
        <is>
          <t>MEWP -  -  - WD14 EVB</t>
        </is>
      </c>
      <c r="Q302" t="inlineStr">
        <is>
          <t>UKPN</t>
        </is>
      </c>
      <c r="R302" t="b">
        <v>0</v>
      </c>
    </row>
    <row r="303">
      <c r="A303" t="inlineStr">
        <is>
          <t>30 Jan 2025 / 6617 Ashdown Tree Limited</t>
        </is>
      </c>
      <c r="B303" t="inlineStr">
        <is>
          <t>Utilities &amp; Inland Waterways</t>
        </is>
      </c>
      <c r="C303" t="inlineStr">
        <is>
          <t>UKPN</t>
        </is>
      </c>
      <c r="D303" t="inlineStr">
        <is>
          <t xml:space="preserve">Land rover </t>
        </is>
      </c>
      <c r="E303" t="inlineStr">
        <is>
          <t xml:space="preserve">defender </t>
        </is>
      </c>
      <c r="F303" t="inlineStr">
        <is>
          <t>Wg63ojs</t>
        </is>
      </c>
      <c r="G303" t="inlineStr">
        <is>
          <t>Francis</t>
        </is>
      </c>
      <c r="H303" t="inlineStr">
        <is>
          <t>4x4</t>
        </is>
      </c>
      <c r="I303" t="inlineStr">
        <is>
          <t>Daily/ Weekly Vehicle Inspection</t>
        </is>
      </c>
      <c r="J303" t="inlineStr">
        <is>
          <t>N/A</t>
        </is>
      </c>
      <c r="K303" t="inlineStr">
        <is>
          <t>6617 Ashdown Tree Limited</t>
        </is>
      </c>
      <c r="L303" t="inlineStr">
        <is>
          <t>31/01/2025 15:07</t>
        </is>
      </c>
      <c r="M303" t="inlineStr">
        <is>
          <t>None</t>
        </is>
      </c>
      <c r="N303" t="inlineStr">
        <is>
          <t>&lt;p&gt;&lt;/p&gt;</t>
        </is>
      </c>
      <c r="O303" t="inlineStr"/>
      <c r="P303" t="inlineStr">
        <is>
          <t>4x4 - Land rover  - defender  - Wg63ojs</t>
        </is>
      </c>
      <c r="Q303" t="inlineStr">
        <is>
          <t>UKPN</t>
        </is>
      </c>
      <c r="R303" t="b">
        <v>0</v>
      </c>
    </row>
    <row r="304">
      <c r="A304" t="inlineStr">
        <is>
          <t>29 Jan 2025 / 6617 Ashdown Tree Limited</t>
        </is>
      </c>
      <c r="B304" t="inlineStr">
        <is>
          <t>Utilities &amp; Inland Waterways</t>
        </is>
      </c>
      <c r="C304" t="inlineStr">
        <is>
          <t>UKPN</t>
        </is>
      </c>
      <c r="D304" t="inlineStr">
        <is>
          <t>Ford</t>
        </is>
      </c>
      <c r="E304" t="inlineStr">
        <is>
          <t>Transit</t>
        </is>
      </c>
      <c r="F304" t="inlineStr">
        <is>
          <t>FE11BUT</t>
        </is>
      </c>
      <c r="G304" t="inlineStr">
        <is>
          <t>Francis</t>
        </is>
      </c>
      <c r="H304" t="inlineStr">
        <is>
          <t>Tipper</t>
        </is>
      </c>
      <c r="I304" t="inlineStr">
        <is>
          <t>Daily/ Weekly Vehicle Inspection</t>
        </is>
      </c>
      <c r="J304" t="inlineStr">
        <is>
          <t>N/A</t>
        </is>
      </c>
      <c r="K304" t="inlineStr">
        <is>
          <t>6617 Ashdown Tree Limited</t>
        </is>
      </c>
      <c r="L304" t="inlineStr">
        <is>
          <t>31/01/2025 15:08</t>
        </is>
      </c>
      <c r="M304" t="inlineStr">
        <is>
          <t>None</t>
        </is>
      </c>
      <c r="N304" t="inlineStr">
        <is>
          <t>&lt;p&gt;&lt;/p&gt;</t>
        </is>
      </c>
      <c r="O304" t="inlineStr"/>
      <c r="P304" t="inlineStr">
        <is>
          <t>Tipper - Ford - Transit - FE11 BUT</t>
        </is>
      </c>
      <c r="Q304" t="inlineStr">
        <is>
          <t>UKPN</t>
        </is>
      </c>
      <c r="R304" t="b">
        <v>0</v>
      </c>
    </row>
    <row r="305">
      <c r="A305" t="inlineStr">
        <is>
          <t>30 Jan 2025 / 7186 Eastwoodbury Tree Services Ltd</t>
        </is>
      </c>
      <c r="B305" t="inlineStr">
        <is>
          <t>Utilities &amp; Inland Waterways</t>
        </is>
      </c>
      <c r="C305" t="inlineStr">
        <is>
          <t>UKPN</t>
        </is>
      </c>
      <c r="D305" t="inlineStr">
        <is>
          <t>Ford</t>
        </is>
      </c>
      <c r="E305" t="inlineStr">
        <is>
          <t>Ranger</t>
        </is>
      </c>
      <c r="F305" t="inlineStr">
        <is>
          <t>DE53NKS</t>
        </is>
      </c>
      <c r="G305" t="inlineStr">
        <is>
          <t xml:space="preserve">Tom Price Dan Gilbert Jay Denkmayer </t>
        </is>
      </c>
      <c r="H305" t="inlineStr">
        <is>
          <t>4x44x4Pickup Truck</t>
        </is>
      </c>
      <c r="I305" t="inlineStr">
        <is>
          <t>Daily/ Weekly Vehicle Inspection</t>
        </is>
      </c>
      <c r="J305" t="inlineStr">
        <is>
          <t>N/A</t>
        </is>
      </c>
      <c r="K305" t="inlineStr">
        <is>
          <t>7186 Eastwoodbury Tree Services Ltd</t>
        </is>
      </c>
      <c r="L305" t="inlineStr">
        <is>
          <t>31/01/2025 15:09</t>
        </is>
      </c>
      <c r="M305" t="inlineStr">
        <is>
          <t>None</t>
        </is>
      </c>
      <c r="N305" t="inlineStr">
        <is>
          <t>&lt;p&gt;&lt;/p&gt;</t>
        </is>
      </c>
      <c r="O305" t="inlineStr">
        <is>
          <t>Type of vehicle:Towing tracked chipper</t>
        </is>
      </c>
      <c r="P305" t="inlineStr">
        <is>
          <t>4x4 - Land Rover  - Defender - FN60 0XM4x4 - Santana  - Ps10 - AO57 BPF4x4 - Ford - Ranger - DE53NKS</t>
        </is>
      </c>
      <c r="Q305" t="inlineStr">
        <is>
          <t>UKPN</t>
        </is>
      </c>
      <c r="R305" t="b">
        <v>0</v>
      </c>
    </row>
    <row r="306">
      <c r="A306" t="inlineStr">
        <is>
          <t>4 Feb 2025 / 7889 Tree Tech Suffolk Ltd</t>
        </is>
      </c>
      <c r="B306" t="inlineStr">
        <is>
          <t>Utilities &amp; Inland Waterways</t>
        </is>
      </c>
      <c r="C306" t="inlineStr">
        <is>
          <t>UKPN</t>
        </is>
      </c>
      <c r="D306" t="inlineStr">
        <is>
          <t>Mercedes</t>
        </is>
      </c>
      <c r="E306" t="inlineStr">
        <is>
          <t>Sprinter</t>
        </is>
      </c>
      <c r="F306" t="inlineStr">
        <is>
          <t>NS06TTS</t>
        </is>
      </c>
      <c r="G306" t="inlineStr">
        <is>
          <t xml:space="preserve">Nikki sparrow Danny Appleby Danny Appleby </t>
        </is>
      </c>
      <c r="H306" t="inlineStr">
        <is>
          <t>4x4Towed ChipperTipper</t>
        </is>
      </c>
      <c r="I306" t="inlineStr">
        <is>
          <t>Monthly Vehicle Inspection</t>
        </is>
      </c>
      <c r="J306" t="inlineStr">
        <is>
          <t>114134119.1190528</t>
        </is>
      </c>
      <c r="K306" t="inlineStr">
        <is>
          <t>7889 Tree Tech Suffolk Ltd</t>
        </is>
      </c>
      <c r="L306" t="inlineStr">
        <is>
          <t>04/02/2025 21:42</t>
        </is>
      </c>
      <c r="M306" t="inlineStr">
        <is>
          <t>None</t>
        </is>
      </c>
      <c r="N306" t="inlineStr">
        <is>
          <t>&lt;p&gt;&lt;/p&gt;</t>
        </is>
      </c>
      <c r="O306" t="inlineStr"/>
      <c r="P306" t="inlineStr">
        <is>
          <t>4x4 - Isuzu - D-max - NS03 TTSTow Chipper - Jenson - A530L - 5521063948Tipper - Mercedes - Sprinter - NS06TTS</t>
        </is>
      </c>
      <c r="Q306" t="inlineStr">
        <is>
          <t>UKPN</t>
        </is>
      </c>
      <c r="R306" t="b">
        <v>0</v>
      </c>
    </row>
    <row r="307">
      <c r="A307" t="inlineStr">
        <is>
          <t>4 Feb 2025 / 6617 Ashdown Tree Limited</t>
        </is>
      </c>
      <c r="B307" t="inlineStr">
        <is>
          <t>Utilities &amp; Inland Waterways</t>
        </is>
      </c>
      <c r="C307" t="inlineStr">
        <is>
          <t>UKPN</t>
        </is>
      </c>
      <c r="D307" t="inlineStr">
        <is>
          <t xml:space="preserve">Ford </t>
        </is>
      </c>
      <c r="E307" t="inlineStr">
        <is>
          <t xml:space="preserve">Transit </t>
        </is>
      </c>
      <c r="F307" t="inlineStr">
        <is>
          <t>Av67lxz</t>
        </is>
      </c>
      <c r="G307" t="inlineStr">
        <is>
          <t>Ashley Dan</t>
        </is>
      </c>
      <c r="H307" t="inlineStr">
        <is>
          <t>4x4Tipper</t>
        </is>
      </c>
      <c r="I307" t="inlineStr">
        <is>
          <t>Daily/ Weekly Vehicle Inspection</t>
        </is>
      </c>
      <c r="J307" t="inlineStr">
        <is>
          <t>N/A</t>
        </is>
      </c>
      <c r="K307" t="inlineStr">
        <is>
          <t>6617 Ashdown Tree Limited</t>
        </is>
      </c>
      <c r="L307" t="inlineStr">
        <is>
          <t>04/02/2025 21:43</t>
        </is>
      </c>
      <c r="M307" t="inlineStr">
        <is>
          <t>None</t>
        </is>
      </c>
      <c r="N307" t="inlineStr">
        <is>
          <t>&lt;p&gt;&lt;/p&gt;</t>
        </is>
      </c>
      <c r="O307" t="inlineStr"/>
      <c r="P307" t="inlineStr">
        <is>
          <t>Vehicle - Land Rover - Discovery  - WF11 EJJTipper - Ford  - Transit  - Av67lxz</t>
        </is>
      </c>
      <c r="Q307" t="inlineStr">
        <is>
          <t>UKPN</t>
        </is>
      </c>
      <c r="R307" t="b">
        <v>0</v>
      </c>
    </row>
    <row r="308">
      <c r="A308" t="inlineStr">
        <is>
          <t>4 Feb 2025 / 7186 Eastwoodbury Tree Services Ltd</t>
        </is>
      </c>
      <c r="B308" t="inlineStr">
        <is>
          <t>Utilities &amp; Inland Waterways</t>
        </is>
      </c>
      <c r="C308" t="inlineStr">
        <is>
          <t>UKPN</t>
        </is>
      </c>
      <c r="D308" t="inlineStr">
        <is>
          <t xml:space="preserve">Santana </t>
        </is>
      </c>
      <c r="E308" t="inlineStr">
        <is>
          <t>Ps10</t>
        </is>
      </c>
      <c r="F308" t="inlineStr">
        <is>
          <t>AO57BPF</t>
        </is>
      </c>
      <c r="G308" t="inlineStr">
        <is>
          <t xml:space="preserve">Tom Price Jay Denkmayer Dan Gilbert </t>
        </is>
      </c>
      <c r="H308" t="inlineStr">
        <is>
          <t>TipperPickup Truck4x4</t>
        </is>
      </c>
      <c r="I308" t="inlineStr">
        <is>
          <t>Daily/ Weekly Vehicle Inspection</t>
        </is>
      </c>
      <c r="J308" t="inlineStr">
        <is>
          <t>N/A</t>
        </is>
      </c>
      <c r="K308" t="inlineStr">
        <is>
          <t>7186 Eastwoodbury Tree Services Ltd</t>
        </is>
      </c>
      <c r="L308" t="inlineStr">
        <is>
          <t>04/02/2025 21:48</t>
        </is>
      </c>
      <c r="M308" t="inlineStr">
        <is>
          <t>None</t>
        </is>
      </c>
      <c r="N308" t="inlineStr">
        <is>
          <t>&lt;p&gt;&lt;/p&gt;</t>
        </is>
      </c>
      <c r="O308" t="inlineStr"/>
      <c r="P308" t="inlineStr">
        <is>
          <t>Tipper - Ford - Transit - DN61XKJ4x4 - Ford - Ranger - DE53NKS4x4 - Santana  - Ps10 - AO57 BPF</t>
        </is>
      </c>
      <c r="Q308" t="inlineStr">
        <is>
          <t>UKPN</t>
        </is>
      </c>
      <c r="R308" t="b">
        <v>0</v>
      </c>
    </row>
    <row r="309">
      <c r="A309" t="inlineStr">
        <is>
          <t>3 Feb 2025 / 6617 Ashdown Tree Limited</t>
        </is>
      </c>
      <c r="B309" t="inlineStr">
        <is>
          <t>Utilities &amp; Inland Waterways</t>
        </is>
      </c>
      <c r="C309" t="inlineStr">
        <is>
          <t>UKPN</t>
        </is>
      </c>
      <c r="D309" t="inlineStr">
        <is>
          <t>Ford</t>
        </is>
      </c>
      <c r="E309" t="inlineStr">
        <is>
          <t>Transit</t>
        </is>
      </c>
      <c r="F309" t="inlineStr">
        <is>
          <t>TR66BOY</t>
        </is>
      </c>
      <c r="G309" t="inlineStr">
        <is>
          <t xml:space="preserve">Francis lesser Francis lesser </t>
        </is>
      </c>
      <c r="H309" t="inlineStr">
        <is>
          <t>TipperPlant Trailer</t>
        </is>
      </c>
      <c r="I309" t="inlineStr">
        <is>
          <t>Daily/ Weekly Vehicle Inspection</t>
        </is>
      </c>
      <c r="J309" t="inlineStr">
        <is>
          <t>N/A</t>
        </is>
      </c>
      <c r="K309" t="inlineStr">
        <is>
          <t>6617 Ashdown Tree Limited</t>
        </is>
      </c>
      <c r="L309" t="inlineStr">
        <is>
          <t>04/02/2025 22:18</t>
        </is>
      </c>
      <c r="M309" t="inlineStr">
        <is>
          <t>None</t>
        </is>
      </c>
      <c r="N309" t="inlineStr">
        <is>
          <t>&lt;p&gt;&lt;/p&gt;</t>
        </is>
      </c>
      <c r="O309" t="inlineStr"/>
      <c r="P309" t="inlineStr">
        <is>
          <t>Tipper - Ford - Transit - TR66 BOYFlat Bed Trailer - Ifor Williams -  - SCKD00000H5147808A</t>
        </is>
      </c>
      <c r="Q309" t="inlineStr">
        <is>
          <t>UKPN</t>
        </is>
      </c>
      <c r="R309" t="b">
        <v>0</v>
      </c>
    </row>
    <row r="310">
      <c r="A310" t="inlineStr">
        <is>
          <t>3 Feb 2025 / 7800 MAC Trees and Fencing Ltd</t>
        </is>
      </c>
      <c r="B310" t="inlineStr">
        <is>
          <t>Utilities &amp; Inland Waterways</t>
        </is>
      </c>
      <c r="C310" t="inlineStr">
        <is>
          <t>UKPN</t>
        </is>
      </c>
      <c r="D310" t="inlineStr">
        <is>
          <t>Izuzu</t>
        </is>
      </c>
      <c r="E310" t="inlineStr">
        <is>
          <t>Dmax</t>
        </is>
      </c>
      <c r="F310" t="inlineStr">
        <is>
          <t>Ay68daa</t>
        </is>
      </c>
      <c r="G310" t="inlineStr">
        <is>
          <t>Lewis macLewis mac</t>
        </is>
      </c>
      <c r="H310" t="inlineStr">
        <is>
          <t>4x4Towed Chipper</t>
        </is>
      </c>
      <c r="I310" t="inlineStr">
        <is>
          <t>Daily/ Weekly Vehicle Inspection</t>
        </is>
      </c>
      <c r="J310" t="inlineStr">
        <is>
          <t>N/A</t>
        </is>
      </c>
      <c r="K310" t="inlineStr">
        <is>
          <t>7800 MAC Trees and Fencing Ltd</t>
        </is>
      </c>
      <c r="L310" t="inlineStr">
        <is>
          <t>04/02/2025 22:19</t>
        </is>
      </c>
      <c r="M310" t="inlineStr">
        <is>
          <t>None</t>
        </is>
      </c>
      <c r="N310" t="inlineStr">
        <is>
          <t>&lt;p&gt;&lt;/p&gt;</t>
        </is>
      </c>
      <c r="O310" t="inlineStr"/>
      <c r="P310" t="inlineStr">
        <is>
          <t>4x4 - Izuzu - Dmax - AY68 DAATow Chipper - Timberwolf - TW150 - 205143043-a1</t>
        </is>
      </c>
      <c r="Q310" t="inlineStr">
        <is>
          <t>UKPN</t>
        </is>
      </c>
      <c r="R310" t="b">
        <v>0</v>
      </c>
    </row>
    <row r="311">
      <c r="A311" t="inlineStr">
        <is>
          <t>3 Feb 2025 / 7186 Eastwoodbury Tree Services Ltd</t>
        </is>
      </c>
      <c r="B311" t="inlineStr">
        <is>
          <t>Utilities &amp; Inland Waterways</t>
        </is>
      </c>
      <c r="C311" t="inlineStr">
        <is>
          <t>UKPN</t>
        </is>
      </c>
      <c r="D311" t="inlineStr">
        <is>
          <t xml:space="preserve">Santana </t>
        </is>
      </c>
      <c r="E311" t="inlineStr">
        <is>
          <t>Ps10</t>
        </is>
      </c>
      <c r="F311" t="inlineStr">
        <is>
          <t>AO57BPF</t>
        </is>
      </c>
      <c r="G311" t="inlineStr">
        <is>
          <t xml:space="preserve">Dan Gilbert </t>
        </is>
      </c>
      <c r="H311" t="inlineStr">
        <is>
          <t>4x4</t>
        </is>
      </c>
      <c r="I311" t="inlineStr">
        <is>
          <t>Daily/ Weekly Vehicle Inspection</t>
        </is>
      </c>
      <c r="J311" t="inlineStr">
        <is>
          <t>N/A</t>
        </is>
      </c>
      <c r="K311" t="inlineStr">
        <is>
          <t>7186 Eastwoodbury Tree Services Ltd</t>
        </is>
      </c>
      <c r="L311" t="inlineStr">
        <is>
          <t>04/02/2025 22:27</t>
        </is>
      </c>
      <c r="M311" t="inlineStr">
        <is>
          <t>None</t>
        </is>
      </c>
      <c r="N311" t="inlineStr">
        <is>
          <t>&lt;p&gt;&lt;/p&gt;</t>
        </is>
      </c>
      <c r="O311" t="inlineStr"/>
      <c r="P311" t="inlineStr">
        <is>
          <t>4x4 - Santana  - Ps10 - AO57 BPF</t>
        </is>
      </c>
      <c r="Q311" t="inlineStr">
        <is>
          <t>UKPN</t>
        </is>
      </c>
      <c r="R311" t="b">
        <v>0</v>
      </c>
    </row>
    <row r="312">
      <c r="A312" t="inlineStr">
        <is>
          <t>3 Feb 2025 / 6617 Ashdown Tree Limited</t>
        </is>
      </c>
      <c r="B312" t="inlineStr">
        <is>
          <t>Utilities &amp; Inland Waterways</t>
        </is>
      </c>
      <c r="C312" t="inlineStr">
        <is>
          <t>UKPN</t>
        </is>
      </c>
      <c r="D312" t="inlineStr">
        <is>
          <t>Land Rover</t>
        </is>
      </c>
      <c r="E312" t="inlineStr">
        <is>
          <t xml:space="preserve">Discovery </t>
        </is>
      </c>
      <c r="F312" t="inlineStr">
        <is>
          <t>WF11EJJ</t>
        </is>
      </c>
      <c r="G312" t="inlineStr">
        <is>
          <t xml:space="preserve">Dan Ashley </t>
        </is>
      </c>
      <c r="H312" t="inlineStr">
        <is>
          <t>Tipper4x4</t>
        </is>
      </c>
      <c r="I312" t="inlineStr">
        <is>
          <t>Daily/ Weekly Vehicle Inspection</t>
        </is>
      </c>
      <c r="J312" t="inlineStr">
        <is>
          <t>N/A</t>
        </is>
      </c>
      <c r="K312" t="inlineStr">
        <is>
          <t>6617 Ashdown Tree Limited</t>
        </is>
      </c>
      <c r="L312" t="inlineStr">
        <is>
          <t>04/02/2025 22:34</t>
        </is>
      </c>
      <c r="M312" t="inlineStr">
        <is>
          <t>None</t>
        </is>
      </c>
      <c r="N312" t="inlineStr">
        <is>
          <t>&lt;p&gt;&lt;/p&gt;</t>
        </is>
      </c>
      <c r="O312" t="inlineStr"/>
      <c r="P312" t="inlineStr">
        <is>
          <t>Tipper - Ford  - Transit  - Av67lxzVehicle - Land Rover - Discovery  - WF11 EJJ</t>
        </is>
      </c>
      <c r="Q312" t="inlineStr">
        <is>
          <t>UKPN</t>
        </is>
      </c>
      <c r="R312" t="b">
        <v>0</v>
      </c>
    </row>
    <row r="313">
      <c r="A313" t="inlineStr">
        <is>
          <t>3 Feb 2025 / 7806 Optimum Tree Services Ltd</t>
        </is>
      </c>
      <c r="B313" t="inlineStr">
        <is>
          <t>Utilities &amp; Inland Waterways</t>
        </is>
      </c>
      <c r="C313" t="inlineStr">
        <is>
          <t>UKPN</t>
        </is>
      </c>
      <c r="D313" t="inlineStr">
        <is>
          <t>Land Rover</t>
        </is>
      </c>
      <c r="E313" t="inlineStr">
        <is>
          <t>Defender</t>
        </is>
      </c>
      <c r="F313" t="inlineStr">
        <is>
          <t>WD14EVB</t>
        </is>
      </c>
      <c r="G313" t="inlineStr">
        <is>
          <t xml:space="preserve">Abraham Davies </t>
        </is>
      </c>
      <c r="H313" t="inlineStr">
        <is>
          <t>4x4</t>
        </is>
      </c>
      <c r="I313" t="inlineStr">
        <is>
          <t>Daily/ Weekly Vehicle Inspection</t>
        </is>
      </c>
      <c r="J313" t="inlineStr">
        <is>
          <t>N/A</t>
        </is>
      </c>
      <c r="K313" t="inlineStr">
        <is>
          <t>7806 Optimum Tree Services Ltd</t>
        </is>
      </c>
      <c r="L313" t="inlineStr">
        <is>
          <t>04/02/2025 22:35</t>
        </is>
      </c>
      <c r="M313" t="inlineStr">
        <is>
          <t>None</t>
        </is>
      </c>
      <c r="N313" t="inlineStr">
        <is>
          <t>&lt;p&gt;&lt;/p&gt;</t>
        </is>
      </c>
      <c r="O313" t="inlineStr"/>
      <c r="P313" t="inlineStr">
        <is>
          <t>MEWP -  -  - WD14 EVB</t>
        </is>
      </c>
      <c r="Q313" t="inlineStr">
        <is>
          <t>UKPN</t>
        </is>
      </c>
      <c r="R313" t="b">
        <v>0</v>
      </c>
    </row>
    <row r="314">
      <c r="A314" t="inlineStr">
        <is>
          <t>6 Feb 2025 / 3098 D &amp; R Landscapes (PEND Arb Rail)</t>
        </is>
      </c>
      <c r="B314" t="inlineStr">
        <is>
          <t>Utilities &amp; Inland Waterways</t>
        </is>
      </c>
      <c r="C314" t="inlineStr">
        <is>
          <t>UKPN</t>
        </is>
      </c>
      <c r="D314" t="inlineStr">
        <is>
          <t>Isuzu</t>
        </is>
      </c>
      <c r="E314" t="inlineStr">
        <is>
          <t>Grafter</t>
        </is>
      </c>
      <c r="F314" t="inlineStr">
        <is>
          <t>DE68XHA</t>
        </is>
      </c>
      <c r="G314" t="inlineStr">
        <is>
          <t xml:space="preserve">Dylan </t>
        </is>
      </c>
      <c r="H314" t="inlineStr">
        <is>
          <t>Tipper</t>
        </is>
      </c>
      <c r="I314" t="inlineStr">
        <is>
          <t>Daily/ Weekly Vehicle Inspection</t>
        </is>
      </c>
      <c r="J314" t="inlineStr">
        <is>
          <t>N/A</t>
        </is>
      </c>
      <c r="K314" t="inlineStr">
        <is>
          <t>3098 D &amp; R Landscapes (PEND Arb Rail)</t>
        </is>
      </c>
      <c r="L314" t="inlineStr">
        <is>
          <t>06/02/2025 18:14</t>
        </is>
      </c>
      <c r="M314" t="inlineStr">
        <is>
          <t>None</t>
        </is>
      </c>
      <c r="N314" t="inlineStr">
        <is>
          <t>&lt;p&gt;&lt;/p&gt;</t>
        </is>
      </c>
      <c r="O314" t="inlineStr"/>
      <c r="P314" t="inlineStr">
        <is>
          <t>Tipper - Isuzu - Grafter - DE68 XHA</t>
        </is>
      </c>
      <c r="Q314" t="inlineStr">
        <is>
          <t>UKPN</t>
        </is>
      </c>
      <c r="R314" t="b">
        <v>0</v>
      </c>
    </row>
    <row r="315">
      <c r="A315" t="inlineStr">
        <is>
          <t>6 Feb 2025 / Ben Arnold</t>
        </is>
      </c>
      <c r="B315" t="inlineStr">
        <is>
          <t>Utilities &amp; Inland Waterways</t>
        </is>
      </c>
      <c r="C315" t="inlineStr">
        <is>
          <t>UKPN</t>
        </is>
      </c>
      <c r="D315" t="inlineStr">
        <is>
          <t>Kia</t>
        </is>
      </c>
      <c r="E315" t="inlineStr">
        <is>
          <t>Niro EV</t>
        </is>
      </c>
      <c r="F315" t="inlineStr">
        <is>
          <t>YX24TWG</t>
        </is>
      </c>
      <c r="G315" t="inlineStr">
        <is>
          <t xml:space="preserve">Ben Arnold </t>
        </is>
      </c>
      <c r="H315" t="inlineStr">
        <is>
          <t>Car - Electric</t>
        </is>
      </c>
      <c r="I315" t="inlineStr">
        <is>
          <t>Monthly Vehicle Inspection</t>
        </is>
      </c>
      <c r="J315" t="inlineStr">
        <is>
          <t>12480</t>
        </is>
      </c>
      <c r="K315" t="inlineStr">
        <is>
          <t>Ben Arnold</t>
        </is>
      </c>
      <c r="L315" t="inlineStr">
        <is>
          <t>06/02/2025 18:17</t>
        </is>
      </c>
      <c r="M315" t="inlineStr">
        <is>
          <t>None</t>
        </is>
      </c>
      <c r="N315" t="inlineStr">
        <is>
          <t>&lt;p&gt;&lt;a href="https&amp;#58;//apps.powerapps.com/play/2d567dc9-5d50-4629-a077-f7ccbff3e239?tenantId=3ef9f654-aa07-41b8-88ad-a411c62bd12c&amp;amp;Action=Open&amp;amp;Actionno=5685"&gt;Add my vehicle&lt;/a&gt;&lt;br&gt;&lt;/p&gt;</t>
        </is>
      </c>
      <c r="O315" t="inlineStr">
        <is>
          <t>Select Vehicle:Car isn't listed. My reg is YX24 TXG</t>
        </is>
      </c>
      <c r="P315" t="inlineStr">
        <is>
          <t>Car - Electric - Kia - Niro EV - YX24 TWG</t>
        </is>
      </c>
      <c r="Q315" t="inlineStr">
        <is>
          <t>UKPN</t>
        </is>
      </c>
      <c r="R315" t="b">
        <v>0</v>
      </c>
    </row>
    <row r="316">
      <c r="A316" t="inlineStr">
        <is>
          <t>6 Feb 2025 / 7806 Optimum Tree Services Ltd</t>
        </is>
      </c>
      <c r="B316" t="inlineStr">
        <is>
          <t>Utilities &amp; Inland Waterways</t>
        </is>
      </c>
      <c r="C316" t="inlineStr">
        <is>
          <t>UKPN</t>
        </is>
      </c>
      <c r="D316" t="inlineStr">
        <is>
          <t>Land Rover</t>
        </is>
      </c>
      <c r="E316" t="inlineStr">
        <is>
          <t>Defender</t>
        </is>
      </c>
      <c r="F316" t="inlineStr">
        <is>
          <t>WD14EVB</t>
        </is>
      </c>
      <c r="G316" t="inlineStr">
        <is>
          <t xml:space="preserve">Abraham Davies </t>
        </is>
      </c>
      <c r="H316" t="inlineStr">
        <is>
          <t>4x4</t>
        </is>
      </c>
      <c r="I316" t="inlineStr">
        <is>
          <t>Daily/ Weekly Vehicle Inspection</t>
        </is>
      </c>
      <c r="J316" t="inlineStr">
        <is>
          <t>N/A</t>
        </is>
      </c>
      <c r="K316" t="inlineStr">
        <is>
          <t>7806 Optimum Tree Services Ltd</t>
        </is>
      </c>
      <c r="L316" t="inlineStr">
        <is>
          <t>06/02/2025 18:18</t>
        </is>
      </c>
      <c r="M316" t="inlineStr">
        <is>
          <t>None</t>
        </is>
      </c>
      <c r="N316" t="inlineStr">
        <is>
          <t>&lt;p&gt;&lt;/p&gt;</t>
        </is>
      </c>
      <c r="O316" t="inlineStr"/>
      <c r="P316" t="inlineStr">
        <is>
          <t>MEWP - Land Rover - Defender - WD14 EVB</t>
        </is>
      </c>
      <c r="Q316" t="inlineStr">
        <is>
          <t>UKPN</t>
        </is>
      </c>
      <c r="R316" t="b">
        <v>0</v>
      </c>
    </row>
    <row r="317">
      <c r="A317" t="inlineStr">
        <is>
          <t>6 Feb 2025 / 7800 MAC Trees and Fencing Ltd</t>
        </is>
      </c>
      <c r="B317" t="inlineStr">
        <is>
          <t>Utilities &amp; Inland Waterways</t>
        </is>
      </c>
      <c r="C317" t="inlineStr">
        <is>
          <t>UKPN</t>
        </is>
      </c>
      <c r="D317" t="inlineStr">
        <is>
          <t xml:space="preserve">Ford transit </t>
        </is>
      </c>
      <c r="E317" t="inlineStr">
        <is>
          <t xml:space="preserve">Transit tipper </t>
        </is>
      </c>
      <c r="F317" t="inlineStr">
        <is>
          <t>Fg16lnt</t>
        </is>
      </c>
      <c r="G317" t="inlineStr">
        <is>
          <t xml:space="preserve">Patrick O'Shea Lewis macLewis macnicol </t>
        </is>
      </c>
      <c r="H317" t="inlineStr">
        <is>
          <t>Tipper4x4Towed Chipper</t>
        </is>
      </c>
      <c r="I317" t="inlineStr">
        <is>
          <t>Daily/ Weekly Vehicle Inspection</t>
        </is>
      </c>
      <c r="J317" t="inlineStr">
        <is>
          <t>N/A</t>
        </is>
      </c>
      <c r="K317" t="inlineStr">
        <is>
          <t>7800 MAC Trees and Fencing Ltd</t>
        </is>
      </c>
      <c r="L317" t="inlineStr">
        <is>
          <t>06/02/2025 18:23</t>
        </is>
      </c>
      <c r="M317" t="inlineStr">
        <is>
          <t>None</t>
        </is>
      </c>
      <c r="N317" t="inlineStr">
        <is>
          <t>&lt;p&gt;&lt;/p&gt;</t>
        </is>
      </c>
      <c r="O317" t="inlineStr"/>
      <c r="P317" t="inlineStr">
        <is>
          <t>Tipper - Ford transit  - Transit tipper  - Fg16lnt4x4 - Izuzu - Dmax - AY68 DAATow Chipper - Timberwolf - TW150 - 205143043-a1</t>
        </is>
      </c>
      <c r="Q317" t="inlineStr">
        <is>
          <t>UKPN</t>
        </is>
      </c>
      <c r="R317" t="b">
        <v>0</v>
      </c>
    </row>
    <row r="318">
      <c r="A318" t="inlineStr">
        <is>
          <t>6 Feb 2025 / 7186 Eastwoodbury Tree Services Ltd</t>
        </is>
      </c>
      <c r="B318" t="inlineStr">
        <is>
          <t>Utilities &amp; Inland Waterways</t>
        </is>
      </c>
      <c r="C318" t="inlineStr">
        <is>
          <t>UKPN</t>
        </is>
      </c>
      <c r="D318" t="inlineStr">
        <is>
          <t xml:space="preserve">Land Rover </t>
        </is>
      </c>
      <c r="E318" t="inlineStr">
        <is>
          <t>Defender</t>
        </is>
      </c>
      <c r="F318" t="inlineStr">
        <is>
          <t>FN600XM</t>
        </is>
      </c>
      <c r="G318" t="inlineStr">
        <is>
          <t xml:space="preserve">Jay Denkmayer Dan Gilbert Tom Price </t>
        </is>
      </c>
      <c r="H318" t="inlineStr">
        <is>
          <t>Tipper4x44x4</t>
        </is>
      </c>
      <c r="I318" t="inlineStr">
        <is>
          <t>Daily/ Weekly Vehicle Inspection</t>
        </is>
      </c>
      <c r="J318" t="inlineStr">
        <is>
          <t>N/A</t>
        </is>
      </c>
      <c r="K318" t="inlineStr">
        <is>
          <t>7186 Eastwoodbury Tree Services Ltd</t>
        </is>
      </c>
      <c r="L318" t="inlineStr">
        <is>
          <t>06/02/2025 18:25</t>
        </is>
      </c>
      <c r="M318" t="inlineStr">
        <is>
          <t>None</t>
        </is>
      </c>
      <c r="N318" t="inlineStr">
        <is>
          <t>&lt;p&gt;&lt;/p&gt;</t>
        </is>
      </c>
      <c r="O318" t="inlineStr"/>
      <c r="P318" t="inlineStr">
        <is>
          <t>Tipper - Ford - Transit - DN61XKJ4x4 - Santana  - Ps10 - AO57 BPF4x4 - Land Rover  - Defender - FN60 0XM</t>
        </is>
      </c>
      <c r="Q318" t="inlineStr">
        <is>
          <t>UKPN</t>
        </is>
      </c>
      <c r="R318" t="b">
        <v>0</v>
      </c>
    </row>
    <row r="319">
      <c r="A319" t="inlineStr">
        <is>
          <t>6 Feb 2025 / 6617 Ashdown Tree Limited</t>
        </is>
      </c>
      <c r="B319" t="inlineStr">
        <is>
          <t>Utilities &amp; Inland Waterways</t>
        </is>
      </c>
      <c r="C319" t="inlineStr">
        <is>
          <t>UKPN</t>
        </is>
      </c>
      <c r="D319" t="inlineStr">
        <is>
          <t>Land Rover</t>
        </is>
      </c>
      <c r="E319" t="inlineStr">
        <is>
          <t>Defender</t>
        </is>
      </c>
      <c r="F319" t="inlineStr">
        <is>
          <t>GU11LKD</t>
        </is>
      </c>
      <c r="G319" t="inlineStr">
        <is>
          <t xml:space="preserve">Francis lesser Francis lesser </t>
        </is>
      </c>
      <c r="H319" t="inlineStr">
        <is>
          <t>4x4Towed Chipper</t>
        </is>
      </c>
      <c r="I319" t="inlineStr">
        <is>
          <t>Daily/ Weekly Vehicle Inspection</t>
        </is>
      </c>
      <c r="J319" t="inlineStr">
        <is>
          <t>N/A</t>
        </is>
      </c>
      <c r="K319" t="inlineStr">
        <is>
          <t>6617 Ashdown Tree Limited</t>
        </is>
      </c>
      <c r="L319" t="inlineStr">
        <is>
          <t>06/02/2025 18:26</t>
        </is>
      </c>
      <c r="M319" t="inlineStr">
        <is>
          <t>None</t>
        </is>
      </c>
      <c r="N319" t="inlineStr">
        <is>
          <t>&lt;p&gt;&lt;/p&gt;</t>
        </is>
      </c>
      <c r="O319" t="inlineStr"/>
      <c r="P319" t="inlineStr">
        <is>
          <t>4x4 - Land Rover - Defender - GU11 LKDTow Chipper - Timberwolf - TW230 - SBXTW 37A2PS241049</t>
        </is>
      </c>
      <c r="Q319" t="inlineStr">
        <is>
          <t>UKPN</t>
        </is>
      </c>
      <c r="R319" t="b">
        <v>0</v>
      </c>
    </row>
    <row r="320">
      <c r="A320" t="inlineStr">
        <is>
          <t>6 Feb 2025 / 6617 Ashdown Tree Limited</t>
        </is>
      </c>
      <c r="B320" t="inlineStr">
        <is>
          <t>Utilities &amp; Inland Waterways</t>
        </is>
      </c>
      <c r="C320" t="inlineStr">
        <is>
          <t>UKPN</t>
        </is>
      </c>
      <c r="D320" t="inlineStr">
        <is>
          <t xml:space="preserve">Land rover </t>
        </is>
      </c>
      <c r="E320" t="inlineStr">
        <is>
          <t xml:space="preserve">Defender mewp </t>
        </is>
      </c>
      <c r="F320" t="inlineStr">
        <is>
          <t>TR55tub</t>
        </is>
      </c>
      <c r="G320" t="inlineStr">
        <is>
          <t>AshleyDan</t>
        </is>
      </c>
      <c r="H320" t="inlineStr">
        <is>
          <t>4x44x4</t>
        </is>
      </c>
      <c r="I320" t="inlineStr">
        <is>
          <t>Daily/ Weekly Vehicle Inspection</t>
        </is>
      </c>
      <c r="J320" t="inlineStr">
        <is>
          <t>N/A</t>
        </is>
      </c>
      <c r="K320" t="inlineStr">
        <is>
          <t>6617 Ashdown Tree Limited</t>
        </is>
      </c>
      <c r="L320" t="inlineStr">
        <is>
          <t>06/02/2025 18:27</t>
        </is>
      </c>
      <c r="M320" t="inlineStr">
        <is>
          <t>None</t>
        </is>
      </c>
      <c r="N320" t="inlineStr">
        <is>
          <t>&lt;p&gt;&lt;/p&gt;</t>
        </is>
      </c>
      <c r="O320" t="inlineStr"/>
      <c r="P320" t="inlineStr">
        <is>
          <t>Vehicle - Land Rover - Discovery  - WF11 EJJ4x4 - Land rover  - Defender mewp  - TR55 tub</t>
        </is>
      </c>
      <c r="Q320" t="inlineStr">
        <is>
          <t>UKPN</t>
        </is>
      </c>
      <c r="R320" t="b">
        <v>0</v>
      </c>
    </row>
    <row r="321">
      <c r="A321" t="inlineStr">
        <is>
          <t>5 Feb 2025 / 7806 Optimum Tree Services Ltd</t>
        </is>
      </c>
      <c r="B321" t="inlineStr">
        <is>
          <t>Utilities &amp; Inland Waterways</t>
        </is>
      </c>
      <c r="C321" t="inlineStr">
        <is>
          <t>UKPN</t>
        </is>
      </c>
      <c r="D321" t="inlineStr">
        <is>
          <t>Land Rover</t>
        </is>
      </c>
      <c r="E321" t="inlineStr">
        <is>
          <t>Defender</t>
        </is>
      </c>
      <c r="F321" t="inlineStr">
        <is>
          <t>WD14EVB</t>
        </is>
      </c>
      <c r="G321" t="inlineStr">
        <is>
          <t xml:space="preserve">Abraham Davies </t>
        </is>
      </c>
      <c r="H321" t="inlineStr">
        <is>
          <t>4x4</t>
        </is>
      </c>
      <c r="I321" t="inlineStr">
        <is>
          <t>Daily/ Weekly Vehicle Inspection</t>
        </is>
      </c>
      <c r="J321" t="inlineStr">
        <is>
          <t>N/A</t>
        </is>
      </c>
      <c r="K321" t="inlineStr">
        <is>
          <t>7806 Optimum Tree Services Ltd</t>
        </is>
      </c>
      <c r="L321" t="inlineStr">
        <is>
          <t>06/02/2025 18:50</t>
        </is>
      </c>
      <c r="M321" t="inlineStr">
        <is>
          <t>None</t>
        </is>
      </c>
      <c r="N321" t="inlineStr">
        <is>
          <t>&lt;p&gt;&lt;/p&gt;</t>
        </is>
      </c>
      <c r="O321" t="inlineStr"/>
      <c r="P321" t="inlineStr">
        <is>
          <t>MEWP - Land Rover - Defender - WD14 EVB</t>
        </is>
      </c>
      <c r="Q321" t="inlineStr">
        <is>
          <t>UKPN</t>
        </is>
      </c>
      <c r="R321" t="b">
        <v>0</v>
      </c>
    </row>
    <row r="322">
      <c r="A322" t="inlineStr">
        <is>
          <t>5 Feb 2025 / 7186 Eastwoodbury Tree Services Ltd</t>
        </is>
      </c>
      <c r="B322" t="inlineStr">
        <is>
          <t>Utilities &amp; Inland Waterways</t>
        </is>
      </c>
      <c r="C322" t="inlineStr">
        <is>
          <t>UKPN</t>
        </is>
      </c>
      <c r="D322" t="inlineStr">
        <is>
          <t>Ford</t>
        </is>
      </c>
      <c r="E322" t="inlineStr">
        <is>
          <t>Transit</t>
        </is>
      </c>
      <c r="F322" t="inlineStr">
        <is>
          <t>DN61XKJ</t>
        </is>
      </c>
      <c r="G322" t="inlineStr">
        <is>
          <t xml:space="preserve">Tom Price Dan Gilbert Jay Denkmayer </t>
        </is>
      </c>
      <c r="H322" t="inlineStr">
        <is>
          <t>4x44x4Tipper</t>
        </is>
      </c>
      <c r="I322" t="inlineStr">
        <is>
          <t>Daily/ Weekly Vehicle Inspection</t>
        </is>
      </c>
      <c r="J322" t="inlineStr">
        <is>
          <t>N/A</t>
        </is>
      </c>
      <c r="K322" t="inlineStr">
        <is>
          <t>7186 Eastwoodbury Tree Services Ltd</t>
        </is>
      </c>
      <c r="L322" t="inlineStr">
        <is>
          <t>06/02/2025 18:52</t>
        </is>
      </c>
      <c r="M322" t="inlineStr">
        <is>
          <t>None</t>
        </is>
      </c>
      <c r="N322" t="inlineStr">
        <is>
          <t>&lt;p&gt;&lt;/p&gt;</t>
        </is>
      </c>
      <c r="O322" t="inlineStr"/>
      <c r="P322" t="inlineStr">
        <is>
          <t>4x4 - Land Rover  - Defender - FN60 0XM4x4 - Santana  - Ps10 - AO57 BPFTipper - Ford - Transit - DN61XKJ</t>
        </is>
      </c>
      <c r="Q322" t="inlineStr">
        <is>
          <t>UKPN</t>
        </is>
      </c>
      <c r="R322" t="b">
        <v>0</v>
      </c>
    </row>
    <row r="323">
      <c r="A323" t="inlineStr">
        <is>
          <t>5 Feb 2025 / 7889 Tree Tech Suffolk Ltd</t>
        </is>
      </c>
      <c r="B323" t="inlineStr">
        <is>
          <t>Utilities &amp; Inland Waterways</t>
        </is>
      </c>
      <c r="C323" t="inlineStr">
        <is>
          <t>UKPN</t>
        </is>
      </c>
      <c r="D323" t="inlineStr">
        <is>
          <t>Mercedes</t>
        </is>
      </c>
      <c r="E323" t="inlineStr">
        <is>
          <t>Sprinter</t>
        </is>
      </c>
      <c r="F323" t="inlineStr">
        <is>
          <t>NS06TTS</t>
        </is>
      </c>
      <c r="G323" t="inlineStr">
        <is>
          <t xml:space="preserve">Nikki sparrow Danny Appleby Danny Appleby </t>
        </is>
      </c>
      <c r="H323" t="inlineStr">
        <is>
          <t>4x4Towed ChipperTipper</t>
        </is>
      </c>
      <c r="I323" t="inlineStr">
        <is>
          <t>Daily/ Weekly Vehicle Inspection</t>
        </is>
      </c>
      <c r="J323" t="inlineStr">
        <is>
          <t>N/A</t>
        </is>
      </c>
      <c r="K323" t="inlineStr">
        <is>
          <t>7889 Tree Tech Suffolk Ltd</t>
        </is>
      </c>
      <c r="L323" t="inlineStr">
        <is>
          <t>06/02/2025 18:53</t>
        </is>
      </c>
      <c r="M323" t="inlineStr">
        <is>
          <t>None</t>
        </is>
      </c>
      <c r="N323" t="inlineStr">
        <is>
          <t>&lt;p&gt;&lt;/p&gt;</t>
        </is>
      </c>
      <c r="O323" t="inlineStr"/>
      <c r="P323" t="inlineStr">
        <is>
          <t>4x4 - Isuzu - D-max - NS03 TTSTow Chipper - Jenson - A530L - 5521063948Tipper - Mercedes - Sprinter - NS06TTS</t>
        </is>
      </c>
      <c r="Q323" t="inlineStr">
        <is>
          <t>UKPN</t>
        </is>
      </c>
      <c r="R323" t="b">
        <v>0</v>
      </c>
    </row>
    <row r="324">
      <c r="A324" t="inlineStr">
        <is>
          <t>5 Feb 2025 / 7800 MAC Trees and Fencing Ltd</t>
        </is>
      </c>
      <c r="B324" t="inlineStr">
        <is>
          <t>Utilities &amp; Inland Waterways</t>
        </is>
      </c>
      <c r="C324" t="inlineStr">
        <is>
          <t>UKPN</t>
        </is>
      </c>
      <c r="D324" t="inlineStr">
        <is>
          <t xml:space="preserve">Ford transit </t>
        </is>
      </c>
      <c r="E324" t="inlineStr">
        <is>
          <t xml:space="preserve">Transit tipper </t>
        </is>
      </c>
      <c r="F324" t="inlineStr">
        <is>
          <t>Fg16lnt</t>
        </is>
      </c>
      <c r="G324" t="inlineStr">
        <is>
          <t>Lewis mac</t>
        </is>
      </c>
      <c r="H324" t="inlineStr">
        <is>
          <t>Towed ChipperTipper</t>
        </is>
      </c>
      <c r="I324" t="inlineStr">
        <is>
          <t>Daily/ Weekly Vehicle Inspection</t>
        </is>
      </c>
      <c r="J324" t="inlineStr">
        <is>
          <t>N/A</t>
        </is>
      </c>
      <c r="K324" t="inlineStr">
        <is>
          <t>7800 MAC Trees and Fencing Ltd</t>
        </is>
      </c>
      <c r="L324" t="inlineStr">
        <is>
          <t>06/02/2025 18:53</t>
        </is>
      </c>
      <c r="M324" t="inlineStr">
        <is>
          <t>None</t>
        </is>
      </c>
      <c r="N324" t="inlineStr">
        <is>
          <t>&lt;p&gt;&lt;/p&gt;</t>
        </is>
      </c>
      <c r="O324" t="inlineStr"/>
      <c r="P324" t="inlineStr">
        <is>
          <t>Tow Chipper - Timberwolf - TW150 - 205143043-a1Tipper - Ford transit  - Transit tipper  - Fg16lnt</t>
        </is>
      </c>
      <c r="Q324" t="inlineStr">
        <is>
          <t>UKPN</t>
        </is>
      </c>
      <c r="R324" t="b">
        <v>0</v>
      </c>
    </row>
    <row r="325">
      <c r="A325" t="inlineStr">
        <is>
          <t>5 Feb 2025 / 6617 Ashdown Tree Limited</t>
        </is>
      </c>
      <c r="B325" t="inlineStr">
        <is>
          <t>Utilities &amp; Inland Waterways</t>
        </is>
      </c>
      <c r="C325" t="inlineStr">
        <is>
          <t>UKPN</t>
        </is>
      </c>
      <c r="D325" t="inlineStr">
        <is>
          <t>Land Rover</t>
        </is>
      </c>
      <c r="E325" t="inlineStr">
        <is>
          <t>Defender</t>
        </is>
      </c>
      <c r="F325" t="inlineStr">
        <is>
          <t>GU11LKD</t>
        </is>
      </c>
      <c r="G325" t="inlineStr">
        <is>
          <t xml:space="preserve">Francis lesser </t>
        </is>
      </c>
      <c r="H325" t="inlineStr">
        <is>
          <t>4x4</t>
        </is>
      </c>
      <c r="I325" t="inlineStr">
        <is>
          <t>Daily/ Weekly Vehicle Inspection</t>
        </is>
      </c>
      <c r="J325" t="inlineStr">
        <is>
          <t>N/A</t>
        </is>
      </c>
      <c r="K325" t="inlineStr">
        <is>
          <t>6617 Ashdown Tree Limited</t>
        </is>
      </c>
      <c r="L325" t="inlineStr">
        <is>
          <t>06/02/2025 18:55</t>
        </is>
      </c>
      <c r="M325" t="inlineStr">
        <is>
          <t>None</t>
        </is>
      </c>
      <c r="N325" t="inlineStr">
        <is>
          <t>&lt;p&gt;&lt;/p&gt;</t>
        </is>
      </c>
      <c r="O325" t="inlineStr"/>
      <c r="P325" t="inlineStr">
        <is>
          <t>4x4 - Land Rover - Defender - GU11 LKD</t>
        </is>
      </c>
      <c r="Q325" t="inlineStr">
        <is>
          <t>UKPN</t>
        </is>
      </c>
      <c r="R325" t="b">
        <v>0</v>
      </c>
    </row>
    <row r="326">
      <c r="A326" t="inlineStr">
        <is>
          <t>7 Feb 2025 / 7806 Optimum Tree Services Ltd</t>
        </is>
      </c>
      <c r="B326" t="inlineStr">
        <is>
          <t>Utilities &amp; Inland Waterways</t>
        </is>
      </c>
      <c r="C326" t="inlineStr">
        <is>
          <t>UKPN</t>
        </is>
      </c>
      <c r="D326" t="inlineStr">
        <is>
          <t>Tow Mate</t>
        </is>
      </c>
      <c r="E326" t="inlineStr">
        <is>
          <t>Plant Trailer</t>
        </is>
      </c>
      <c r="F326" t="inlineStr">
        <is>
          <t>SA9TAPLAF27414263</t>
        </is>
      </c>
      <c r="G326" t="inlineStr">
        <is>
          <t xml:space="preserve">Abraham Davies </t>
        </is>
      </c>
      <c r="H326" t="inlineStr">
        <is>
          <t>Plant Trailer</t>
        </is>
      </c>
      <c r="I326" t="inlineStr">
        <is>
          <t>Daily/ Weekly Vehicle Inspection</t>
        </is>
      </c>
      <c r="J326" t="inlineStr">
        <is>
          <t>N/A</t>
        </is>
      </c>
      <c r="K326" t="inlineStr">
        <is>
          <t>7806 Optimum Tree Services Ltd</t>
        </is>
      </c>
      <c r="L326" t="inlineStr">
        <is>
          <t>08/02/2025 14:57</t>
        </is>
      </c>
      <c r="M326" t="inlineStr">
        <is>
          <t>None</t>
        </is>
      </c>
      <c r="N326" t="inlineStr">
        <is>
          <t>&lt;p&gt;&lt;/p&gt;</t>
        </is>
      </c>
      <c r="O326" t="inlineStr"/>
      <c r="P326" t="inlineStr">
        <is>
          <t>Plant Trailer - Tow Mate - Plant Trailer - SA9TAPLAF27414263</t>
        </is>
      </c>
      <c r="Q326" t="inlineStr">
        <is>
          <t>UKPN</t>
        </is>
      </c>
      <c r="R326" t="b">
        <v>0</v>
      </c>
    </row>
    <row r="327">
      <c r="A327" t="inlineStr">
        <is>
          <t>7 Feb 2025 / 7806 Optimum Tree Services Ltd</t>
        </is>
      </c>
      <c r="B327" t="inlineStr">
        <is>
          <t>Utilities &amp; Inland Waterways</t>
        </is>
      </c>
      <c r="C327" t="inlineStr">
        <is>
          <t>UKPN</t>
        </is>
      </c>
      <c r="D327" t="inlineStr">
        <is>
          <t>Land Rover</t>
        </is>
      </c>
      <c r="E327" t="inlineStr">
        <is>
          <t>Defender</t>
        </is>
      </c>
      <c r="F327" t="inlineStr">
        <is>
          <t>WD14EVB</t>
        </is>
      </c>
      <c r="G327" t="inlineStr">
        <is>
          <t xml:space="preserve">Abraham Davies </t>
        </is>
      </c>
      <c r="H327" t="inlineStr">
        <is>
          <t>4x4</t>
        </is>
      </c>
      <c r="I327" t="inlineStr">
        <is>
          <t>Daily/ Weekly Vehicle Inspection</t>
        </is>
      </c>
      <c r="J327" t="inlineStr">
        <is>
          <t>N/A</t>
        </is>
      </c>
      <c r="K327" t="inlineStr">
        <is>
          <t>7806 Optimum Tree Services Ltd</t>
        </is>
      </c>
      <c r="L327" t="inlineStr">
        <is>
          <t>08/02/2025 14:58</t>
        </is>
      </c>
      <c r="M327" t="inlineStr">
        <is>
          <t>None</t>
        </is>
      </c>
      <c r="N327" t="inlineStr">
        <is>
          <t>&lt;p&gt;&lt;/p&gt;</t>
        </is>
      </c>
      <c r="O327" t="inlineStr"/>
      <c r="P327" t="inlineStr">
        <is>
          <t>MEWP - Land Rover - Defender - WD14 EVB</t>
        </is>
      </c>
      <c r="Q327" t="inlineStr">
        <is>
          <t>UKPN</t>
        </is>
      </c>
      <c r="R327" t="b">
        <v>0</v>
      </c>
    </row>
    <row r="328">
      <c r="A328" t="inlineStr">
        <is>
          <t>6 Feb 2025 / Mike Corran</t>
        </is>
      </c>
      <c r="B328" t="inlineStr">
        <is>
          <t>Utilities &amp; Inland Waterways</t>
        </is>
      </c>
      <c r="C328" t="inlineStr">
        <is>
          <t>NGED</t>
        </is>
      </c>
      <c r="D328" t="inlineStr">
        <is>
          <t>Tesla</t>
        </is>
      </c>
      <c r="E328" t="inlineStr">
        <is>
          <t>Model Y Long Range</t>
        </is>
      </c>
      <c r="F328" t="inlineStr">
        <is>
          <t>AJ72EWN</t>
        </is>
      </c>
      <c r="G328" t="inlineStr">
        <is>
          <t>Mike corran</t>
        </is>
      </c>
      <c r="H328" t="inlineStr">
        <is>
          <t>Car - Electric</t>
        </is>
      </c>
      <c r="I328" t="inlineStr">
        <is>
          <t>Monthly Vehicle Inspection</t>
        </is>
      </c>
      <c r="J328" t="inlineStr">
        <is>
          <t>35508</t>
        </is>
      </c>
      <c r="K328" t="inlineStr">
        <is>
          <t>Mike Corran</t>
        </is>
      </c>
      <c r="L328" t="inlineStr">
        <is>
          <t>08/02/2025 15:01</t>
        </is>
      </c>
      <c r="M328" t="inlineStr">
        <is>
          <t>None</t>
        </is>
      </c>
      <c r="N328" t="inlineStr">
        <is>
          <t>&lt;p&gt;&lt;/p&gt;</t>
        </is>
      </c>
      <c r="O328" t="inlineStr">
        <is>
          <t>TYRES &amp; TRACKS
What to Check: 
Are all tyres / tracks in good condition, at the correct pressure for the anticipated load, 
How: Inspect each tyre for tread depth, wear patterns, cuts, or bulges. Check tyre pressure using a gauge and adjust as per manufacturer recommendations. Ensure tracks (if applicable) are in good condition and properly aligned. Verify the presence of a spare tyre or puncture repair kit and its serviceability.
Why: Well-maintained tyres and tracks provide traction, stability, and safe handling of the vehicle. Proper tyre pressure extends tyre life, improves fuel efficiency, and reduces the risk of blowouts or accidents due to tyre failure.:Tryes have been ordered to b fitted at end of month
-</t>
        </is>
      </c>
      <c r="P328" t="inlineStr">
        <is>
          <t>Car - Electric - Tesla - Y - AJ72 EWN</t>
        </is>
      </c>
      <c r="Q328" t="inlineStr">
        <is>
          <t>NGED</t>
        </is>
      </c>
      <c r="R328" t="b">
        <v>0</v>
      </c>
    </row>
    <row r="329">
      <c r="A329" t="inlineStr">
        <is>
          <t>10 Feb 2025 / Ben Arnold</t>
        </is>
      </c>
      <c r="B329" t="inlineStr">
        <is>
          <t>Utilities &amp; Inland Waterways</t>
        </is>
      </c>
      <c r="C329" t="inlineStr">
        <is>
          <t>UKPN</t>
        </is>
      </c>
      <c r="D329" t="inlineStr">
        <is>
          <t>Kia</t>
        </is>
      </c>
      <c r="E329" t="inlineStr">
        <is>
          <t>Niro</t>
        </is>
      </c>
      <c r="F329" t="inlineStr">
        <is>
          <t>YX24TXB</t>
        </is>
      </c>
      <c r="G329" t="inlineStr">
        <is>
          <t>Ben Arnold</t>
        </is>
      </c>
      <c r="H329" t="inlineStr">
        <is>
          <t>Car - Electric</t>
        </is>
      </c>
      <c r="I329" t="inlineStr">
        <is>
          <t>Daily/ Weekly Vehicle Inspection</t>
        </is>
      </c>
      <c r="J329" t="inlineStr">
        <is>
          <t>N/A</t>
        </is>
      </c>
      <c r="K329" t="inlineStr">
        <is>
          <t>Ben Arnold</t>
        </is>
      </c>
      <c r="L329" t="inlineStr">
        <is>
          <t>10/02/2025 14:55</t>
        </is>
      </c>
      <c r="M329" t="inlineStr">
        <is>
          <t>None</t>
        </is>
      </c>
      <c r="N329" t="inlineStr">
        <is>
          <t>&lt;p&gt;&lt;/p&gt;</t>
        </is>
      </c>
      <c r="O329" t="inlineStr"/>
      <c r="P329" t="inlineStr">
        <is>
          <t>Car - Electric - Kia - Niro - YX24TXB</t>
        </is>
      </c>
      <c r="Q329" t="inlineStr">
        <is>
          <t>UKPN</t>
        </is>
      </c>
      <c r="R329" t="b">
        <v>0</v>
      </c>
    </row>
    <row r="330">
      <c r="A330" t="inlineStr">
        <is>
          <t>10 Feb 2025 / 7800 MAC Tree Surgery and Fencing Ltd</t>
        </is>
      </c>
      <c r="B330" t="inlineStr">
        <is>
          <t>Utilities &amp; Inland Waterways</t>
        </is>
      </c>
      <c r="C330" t="inlineStr">
        <is>
          <t>UKPN</t>
        </is>
      </c>
      <c r="D330" t="inlineStr">
        <is>
          <t>Izuzu</t>
        </is>
      </c>
      <c r="E330" t="inlineStr">
        <is>
          <t>Dmax</t>
        </is>
      </c>
      <c r="F330" t="inlineStr">
        <is>
          <t>Ay68daa</t>
        </is>
      </c>
      <c r="G330" t="inlineStr">
        <is>
          <t>Lewis mac Lewis macnicol</t>
        </is>
      </c>
      <c r="H330" t="inlineStr">
        <is>
          <t>4x4Towed Chipper</t>
        </is>
      </c>
      <c r="I330" t="inlineStr">
        <is>
          <t>Daily/ Weekly Vehicle Inspection</t>
        </is>
      </c>
      <c r="J330" t="inlineStr">
        <is>
          <t>N/A</t>
        </is>
      </c>
      <c r="K330" t="inlineStr">
        <is>
          <t>7800 MAC Tree Surgery and Fencing Ltd</t>
        </is>
      </c>
      <c r="L330" t="inlineStr">
        <is>
          <t>10/02/2025 15:12</t>
        </is>
      </c>
      <c r="M330" t="inlineStr">
        <is>
          <t>None</t>
        </is>
      </c>
      <c r="N330" t="inlineStr">
        <is>
          <t>&lt;p&gt;&lt;/p&gt;</t>
        </is>
      </c>
      <c r="O330" t="inlineStr"/>
      <c r="P330" t="inlineStr">
        <is>
          <t>4x4 - Izuzu - Dmax - AY68 DAATow Chipper - Timberwolf - TW150 - 205143043-a1</t>
        </is>
      </c>
      <c r="Q330" t="inlineStr">
        <is>
          <t>UKPN</t>
        </is>
      </c>
      <c r="R330" t="b">
        <v>0</v>
      </c>
    </row>
    <row r="331">
      <c r="A331" t="inlineStr">
        <is>
          <t>10 Feb 2025 / 7889 Tree Tech Suffolk Ltd</t>
        </is>
      </c>
      <c r="B331" t="inlineStr">
        <is>
          <t>Utilities &amp; Inland Waterways</t>
        </is>
      </c>
      <c r="C331" t="inlineStr">
        <is>
          <t>UKPN</t>
        </is>
      </c>
      <c r="D331" t="inlineStr">
        <is>
          <t>Mercedes</t>
        </is>
      </c>
      <c r="E331" t="inlineStr">
        <is>
          <t>Sprinter</t>
        </is>
      </c>
      <c r="F331" t="inlineStr">
        <is>
          <t>NS06TTS</t>
        </is>
      </c>
      <c r="G331" t="inlineStr">
        <is>
          <t xml:space="preserve">Nikki sparrow Danny Appleby Danny Appleby </t>
        </is>
      </c>
      <c r="H331" t="inlineStr">
        <is>
          <t>4x4Towed ChipperTipper</t>
        </is>
      </c>
      <c r="I331" t="inlineStr">
        <is>
          <t>Daily/ Weekly Vehicle Inspection</t>
        </is>
      </c>
      <c r="J331" t="inlineStr">
        <is>
          <t>N/A</t>
        </is>
      </c>
      <c r="K331" t="inlineStr">
        <is>
          <t>7889 Tree Tech Suffolk Ltd</t>
        </is>
      </c>
      <c r="L331" t="inlineStr">
        <is>
          <t>10/02/2025 15:17</t>
        </is>
      </c>
      <c r="M331" t="inlineStr">
        <is>
          <t>None</t>
        </is>
      </c>
      <c r="N331" t="inlineStr">
        <is>
          <t>&lt;p&gt;&lt;/p&gt;</t>
        </is>
      </c>
      <c r="O331" t="inlineStr"/>
      <c r="P331" t="inlineStr">
        <is>
          <t>4x4 - Isuzu - D-max - NS03 TTSTow Chipper - Jenson - A530L - 5521063948Tipper - Mercedes - Sprinter - NS06TTS</t>
        </is>
      </c>
      <c r="Q331" t="inlineStr">
        <is>
          <t>UKPN</t>
        </is>
      </c>
      <c r="R331" t="b">
        <v>0</v>
      </c>
    </row>
    <row r="332">
      <c r="A332" t="inlineStr">
        <is>
          <t>10 Feb 2025 / 7806 Optimum Tree Services Ltd</t>
        </is>
      </c>
      <c r="B332" t="inlineStr">
        <is>
          <t>Utilities &amp; Inland Waterways</t>
        </is>
      </c>
      <c r="C332" t="inlineStr">
        <is>
          <t>UKPN</t>
        </is>
      </c>
      <c r="D332" t="inlineStr">
        <is>
          <t>Land Rover</t>
        </is>
      </c>
      <c r="E332" t="inlineStr">
        <is>
          <t>Defender</t>
        </is>
      </c>
      <c r="F332" t="inlineStr">
        <is>
          <t>WD14EVB</t>
        </is>
      </c>
      <c r="G332" t="inlineStr">
        <is>
          <t xml:space="preserve">Abraham Davies Abraham Davies </t>
        </is>
      </c>
      <c r="H332" t="inlineStr">
        <is>
          <t>4x4Plant Trailer</t>
        </is>
      </c>
      <c r="I332" t="inlineStr">
        <is>
          <t>Daily/ Weekly Vehicle Inspection</t>
        </is>
      </c>
      <c r="J332" t="inlineStr">
        <is>
          <t>N/A</t>
        </is>
      </c>
      <c r="K332" t="inlineStr">
        <is>
          <t>7806 Optimum Tree Services Ltd</t>
        </is>
      </c>
      <c r="L332" t="inlineStr">
        <is>
          <t>10/02/2025 15:22</t>
        </is>
      </c>
      <c r="M332" t="inlineStr">
        <is>
          <t>None</t>
        </is>
      </c>
      <c r="N332" t="inlineStr">
        <is>
          <t>&lt;p&gt;&lt;/p&gt;</t>
        </is>
      </c>
      <c r="O332" t="inlineStr"/>
      <c r="P332" t="inlineStr">
        <is>
          <t>MEWP - Land Rover - Defender - WD14 EVBPlant Trailer - Tow Mate - Plant Trailer - SA9TAPLAF27414263</t>
        </is>
      </c>
      <c r="Q332" t="inlineStr">
        <is>
          <t>UKPN</t>
        </is>
      </c>
      <c r="R332" t="b">
        <v>0</v>
      </c>
    </row>
    <row r="333">
      <c r="A333" t="inlineStr">
        <is>
          <t>10 Feb 2025 / 7186 Eastwoodbury Tree Services Ltd</t>
        </is>
      </c>
      <c r="B333" t="inlineStr">
        <is>
          <t>Utilities &amp; Inland Waterways</t>
        </is>
      </c>
      <c r="C333" t="inlineStr">
        <is>
          <t>UKPN</t>
        </is>
      </c>
      <c r="D333" t="inlineStr">
        <is>
          <t xml:space="preserve">Land Rover </t>
        </is>
      </c>
      <c r="E333" t="inlineStr">
        <is>
          <t>Ps10</t>
        </is>
      </c>
      <c r="F333" t="inlineStr">
        <is>
          <t>FN600XM</t>
        </is>
      </c>
      <c r="G333" t="inlineStr">
        <is>
          <t xml:space="preserve">Dan Gilbert Jay Denkmayer </t>
        </is>
      </c>
      <c r="H333" t="inlineStr">
        <is>
          <t>4x44x4</t>
        </is>
      </c>
      <c r="I333" t="inlineStr">
        <is>
          <t>Daily/ Weekly Vehicle Inspection</t>
        </is>
      </c>
      <c r="J333" t="inlineStr">
        <is>
          <t>N/A</t>
        </is>
      </c>
      <c r="K333" t="inlineStr">
        <is>
          <t>7186 Eastwoodbury Tree Services Ltd</t>
        </is>
      </c>
      <c r="L333" t="inlineStr">
        <is>
          <t>10/02/2025 15:26</t>
        </is>
      </c>
      <c r="M333" t="inlineStr">
        <is>
          <t>None</t>
        </is>
      </c>
      <c r="N333" t="inlineStr">
        <is>
          <t>&lt;p&gt;&lt;/p&gt;</t>
        </is>
      </c>
      <c r="O333" t="inlineStr"/>
      <c r="P333" t="inlineStr">
        <is>
          <t>4x4 - Santana  - Ps10 - AO57 BPF4x4 - Land Rover  - Defender - FN60 0XM</t>
        </is>
      </c>
      <c r="Q333" t="inlineStr">
        <is>
          <t>UKPN</t>
        </is>
      </c>
      <c r="R333" t="b">
        <v>0</v>
      </c>
    </row>
    <row r="334">
      <c r="A334" t="inlineStr">
        <is>
          <t>10 Feb 2025 / 6617 Ashdown Tree Limited</t>
        </is>
      </c>
      <c r="B334" t="inlineStr">
        <is>
          <t>Utilities &amp; Inland Waterways</t>
        </is>
      </c>
      <c r="C334" t="inlineStr">
        <is>
          <t>UKPN</t>
        </is>
      </c>
      <c r="D334" t="inlineStr">
        <is>
          <t>Land Rover</t>
        </is>
      </c>
      <c r="E334" t="inlineStr">
        <is>
          <t>Defender</t>
        </is>
      </c>
      <c r="F334" t="inlineStr">
        <is>
          <t>GU11LKD</t>
        </is>
      </c>
      <c r="G334" t="inlineStr">
        <is>
          <t xml:space="preserve">Francis lesser Francis lesser </t>
        </is>
      </c>
      <c r="H334" t="inlineStr">
        <is>
          <t>4x4Towed Chipper</t>
        </is>
      </c>
      <c r="I334" t="inlineStr">
        <is>
          <t>Daily/ Weekly Vehicle Inspection</t>
        </is>
      </c>
      <c r="J334" t="inlineStr">
        <is>
          <t>N/A</t>
        </is>
      </c>
      <c r="K334" t="inlineStr">
        <is>
          <t>6617 Ashdown Tree Limited</t>
        </is>
      </c>
      <c r="L334" t="inlineStr">
        <is>
          <t>10/02/2025 15:27</t>
        </is>
      </c>
      <c r="M334" t="inlineStr">
        <is>
          <t>None</t>
        </is>
      </c>
      <c r="N334" t="inlineStr">
        <is>
          <t>&lt;p&gt;&lt;/p&gt;</t>
        </is>
      </c>
      <c r="O334" t="inlineStr"/>
      <c r="P334" t="inlineStr">
        <is>
          <t>4x4 - Land Rover - Defender - GU11 LKDTow Chipper - Timberwolf - TW230DHB - SBCTW 35A6LS209242</t>
        </is>
      </c>
      <c r="Q334" t="inlineStr">
        <is>
          <t>UKPN</t>
        </is>
      </c>
      <c r="R334" t="b">
        <v>0</v>
      </c>
    </row>
    <row r="335">
      <c r="A335" t="inlineStr">
        <is>
          <t>12 Feb 2025 / 7889 Tree Tech Suffolk Ltd</t>
        </is>
      </c>
      <c r="B335" t="inlineStr">
        <is>
          <t>Utilities &amp; Inland Waterways</t>
        </is>
      </c>
      <c r="C335" t="inlineStr">
        <is>
          <t>UKPN</t>
        </is>
      </c>
      <c r="D335" t="inlineStr">
        <is>
          <t>Mercedes</t>
        </is>
      </c>
      <c r="E335" t="inlineStr">
        <is>
          <t>Sprinter</t>
        </is>
      </c>
      <c r="F335" t="inlineStr">
        <is>
          <t>NS06TTS</t>
        </is>
      </c>
      <c r="G335" t="inlineStr">
        <is>
          <t xml:space="preserve">Nikki sparrow Danny Appleby Danny Appleby </t>
        </is>
      </c>
      <c r="H335" t="inlineStr">
        <is>
          <t>4x4Towed ChipperTipper</t>
        </is>
      </c>
      <c r="I335" t="inlineStr">
        <is>
          <t>Daily/ Weekly Vehicle Inspection</t>
        </is>
      </c>
      <c r="J335" t="inlineStr">
        <is>
          <t>N/A</t>
        </is>
      </c>
      <c r="K335" t="inlineStr">
        <is>
          <t>7889 Tree Tech Suffolk Ltd</t>
        </is>
      </c>
      <c r="L335" t="inlineStr">
        <is>
          <t>12/02/2025 14:44</t>
        </is>
      </c>
      <c r="M335" t="inlineStr">
        <is>
          <t>None</t>
        </is>
      </c>
      <c r="N335" t="inlineStr">
        <is>
          <t>&lt;p&gt;&lt;/p&gt;</t>
        </is>
      </c>
      <c r="O335" t="inlineStr">
        <is>
          <t>Confirm that you have checked this vehicle as per the guidance document and the vehicle is safe and roadworthy:Crack in windscreen. Started at bottom of windscreen and has now gone halfway up. Still not in drivers views. MOT in march. Change as soon as possible
-</t>
        </is>
      </c>
      <c r="P335" t="inlineStr">
        <is>
          <t>4x4 - Isuzu - D-max - NS03 TTSTow Chipper - Jenson - A530L - 5521063948Tipper - Mercedes - Sprinter - NS06TTS</t>
        </is>
      </c>
      <c r="Q335" t="inlineStr">
        <is>
          <t>UKPN</t>
        </is>
      </c>
      <c r="R335" t="b">
        <v>0</v>
      </c>
    </row>
    <row r="336">
      <c r="A336" t="inlineStr">
        <is>
          <t>12 Feb 2025 / 6617 Ashdown Tree Limited</t>
        </is>
      </c>
      <c r="B336" t="inlineStr">
        <is>
          <t>Utilities &amp; Inland Waterways</t>
        </is>
      </c>
      <c r="C336" t="inlineStr">
        <is>
          <t>UKPN</t>
        </is>
      </c>
      <c r="D336" t="inlineStr">
        <is>
          <t xml:space="preserve">Land rover </t>
        </is>
      </c>
      <c r="E336" t="inlineStr">
        <is>
          <t xml:space="preserve">Defender mewp </t>
        </is>
      </c>
      <c r="F336" t="inlineStr">
        <is>
          <t>TR55tub</t>
        </is>
      </c>
      <c r="G336" t="inlineStr">
        <is>
          <t xml:space="preserve">Francis lesser Francis lesser </t>
        </is>
      </c>
      <c r="H336" t="inlineStr">
        <is>
          <t>4x4Towed Chipper</t>
        </is>
      </c>
      <c r="I336" t="inlineStr">
        <is>
          <t>Daily/ Weekly Vehicle Inspection</t>
        </is>
      </c>
      <c r="J336" t="inlineStr">
        <is>
          <t>N/A</t>
        </is>
      </c>
      <c r="K336" t="inlineStr">
        <is>
          <t>6617 Ashdown Tree Limited</t>
        </is>
      </c>
      <c r="L336" t="inlineStr">
        <is>
          <t>12/02/2025 14:46</t>
        </is>
      </c>
      <c r="M336" t="inlineStr">
        <is>
          <t>None</t>
        </is>
      </c>
      <c r="N336" t="inlineStr">
        <is>
          <t>&lt;p&gt;&lt;/p&gt;</t>
        </is>
      </c>
      <c r="O336" t="inlineStr"/>
      <c r="P336" t="inlineStr">
        <is>
          <t>4x4 - Land rover  - Defender mewp  - TR55 tubTow Chipper - Timberwolf - TW230DHB - SBXTW 35A6LS209184</t>
        </is>
      </c>
      <c r="Q336" t="inlineStr">
        <is>
          <t>UKPN</t>
        </is>
      </c>
      <c r="R336" t="b">
        <v>0</v>
      </c>
    </row>
    <row r="337">
      <c r="A337" t="inlineStr">
        <is>
          <t>12 Feb 2025 / 7800 MAC Tree Surgery and Fencing Ltd</t>
        </is>
      </c>
      <c r="B337" t="inlineStr">
        <is>
          <t>Utilities &amp; Inland Waterways</t>
        </is>
      </c>
      <c r="C337" t="inlineStr">
        <is>
          <t>UKPN</t>
        </is>
      </c>
      <c r="D337" t="inlineStr">
        <is>
          <t>Land Rover</t>
        </is>
      </c>
      <c r="E337" t="inlineStr">
        <is>
          <t xml:space="preserve">Discovery </t>
        </is>
      </c>
      <c r="F337" t="inlineStr">
        <is>
          <t>EX56JNN</t>
        </is>
      </c>
      <c r="G337" t="inlineStr">
        <is>
          <t xml:space="preserve">Lewis mac </t>
        </is>
      </c>
      <c r="H337" t="inlineStr">
        <is>
          <t>4x4</t>
        </is>
      </c>
      <c r="I337" t="inlineStr">
        <is>
          <t>Daily/ Weekly Vehicle Inspection</t>
        </is>
      </c>
      <c r="J337" t="inlineStr">
        <is>
          <t>N/A</t>
        </is>
      </c>
      <c r="K337" t="inlineStr">
        <is>
          <t>7800 MAC Tree Surgery and Fencing Ltd</t>
        </is>
      </c>
      <c r="L337" t="inlineStr">
        <is>
          <t>12/02/2025 14:48</t>
        </is>
      </c>
      <c r="M337" t="inlineStr">
        <is>
          <t>None</t>
        </is>
      </c>
      <c r="N337" t="inlineStr">
        <is>
          <t>&lt;p&gt;&lt;/p&gt;</t>
        </is>
      </c>
      <c r="O337" t="inlineStr"/>
      <c r="P337" t="inlineStr">
        <is>
          <t>Vehicle - Land Rover - Discovery  - EX56 JNN</t>
        </is>
      </c>
      <c r="Q337" t="inlineStr">
        <is>
          <t>UKPN</t>
        </is>
      </c>
      <c r="R337" t="b">
        <v>0</v>
      </c>
    </row>
    <row r="338">
      <c r="A338" t="inlineStr">
        <is>
          <t>12 Feb 2025 / 7806 Optimum Tree Services Ltd</t>
        </is>
      </c>
      <c r="B338" t="inlineStr">
        <is>
          <t>Utilities &amp; Inland Waterways</t>
        </is>
      </c>
      <c r="C338" t="inlineStr">
        <is>
          <t>UKPN</t>
        </is>
      </c>
      <c r="D338" t="inlineStr">
        <is>
          <t>Land Rover</t>
        </is>
      </c>
      <c r="E338" t="inlineStr">
        <is>
          <t>Defender</t>
        </is>
      </c>
      <c r="F338" t="inlineStr">
        <is>
          <t>WD14EVB</t>
        </is>
      </c>
      <c r="G338" t="inlineStr">
        <is>
          <t xml:space="preserve">Abraham Davies Abraham Davies </t>
        </is>
      </c>
      <c r="H338" t="inlineStr">
        <is>
          <t>4x4Plant Trailer</t>
        </is>
      </c>
      <c r="I338" t="inlineStr">
        <is>
          <t>Daily/ Weekly Vehicle Inspection</t>
        </is>
      </c>
      <c r="J338" t="inlineStr">
        <is>
          <t>N/A</t>
        </is>
      </c>
      <c r="K338" t="inlineStr">
        <is>
          <t>7806 Optimum Tree Services Ltd</t>
        </is>
      </c>
      <c r="L338" t="inlineStr">
        <is>
          <t>12/02/2025 14:51</t>
        </is>
      </c>
      <c r="M338" t="inlineStr">
        <is>
          <t>None</t>
        </is>
      </c>
      <c r="N338" t="inlineStr">
        <is>
          <t>&lt;p&gt;&lt;/p&gt;</t>
        </is>
      </c>
      <c r="O338" t="inlineStr"/>
      <c r="P338" t="inlineStr">
        <is>
          <t>MEWP - Land Rover - Defender - WD14 EVBPlant Trailer - Tow Mate - Plant Trailer - SA9TAPLAF27414263</t>
        </is>
      </c>
      <c r="Q338" t="inlineStr">
        <is>
          <t>UKPN</t>
        </is>
      </c>
      <c r="R338" t="b">
        <v>0</v>
      </c>
    </row>
    <row r="339">
      <c r="A339" t="inlineStr">
        <is>
          <t>12 Feb 2025 / 6617 Ashdown Tree Limited</t>
        </is>
      </c>
      <c r="B339" t="inlineStr">
        <is>
          <t>Utilities &amp; Inland Waterways</t>
        </is>
      </c>
      <c r="C339" t="inlineStr">
        <is>
          <t>UKPN</t>
        </is>
      </c>
      <c r="D339" t="inlineStr">
        <is>
          <t>Ford</t>
        </is>
      </c>
      <c r="E339" t="inlineStr">
        <is>
          <t>Transit</t>
        </is>
      </c>
      <c r="F339" t="inlineStr">
        <is>
          <t>TR66BOY</t>
        </is>
      </c>
      <c r="G339" t="inlineStr">
        <is>
          <t xml:space="preserve">Ashley </t>
        </is>
      </c>
      <c r="H339" t="inlineStr">
        <is>
          <t>Tipper</t>
        </is>
      </c>
      <c r="I339" t="inlineStr">
        <is>
          <t>Daily/ Weekly Vehicle Inspection</t>
        </is>
      </c>
      <c r="J339" t="inlineStr">
        <is>
          <t>N/A</t>
        </is>
      </c>
      <c r="K339" t="inlineStr">
        <is>
          <t>6617 Ashdown Tree Limited</t>
        </is>
      </c>
      <c r="L339" t="inlineStr">
        <is>
          <t>12/02/2025 14:51</t>
        </is>
      </c>
      <c r="M339" t="inlineStr">
        <is>
          <t>None</t>
        </is>
      </c>
      <c r="N339" t="inlineStr">
        <is>
          <t>&lt;p&gt;&lt;/p&gt;</t>
        </is>
      </c>
      <c r="O339" t="inlineStr"/>
      <c r="P339" t="inlineStr">
        <is>
          <t>Tipper - Ford - Transit - TR66 BOY</t>
        </is>
      </c>
      <c r="Q339" t="inlineStr">
        <is>
          <t>UKPN</t>
        </is>
      </c>
      <c r="R339" t="b">
        <v>0</v>
      </c>
    </row>
    <row r="340">
      <c r="A340" t="inlineStr">
        <is>
          <t>12 Feb 2025 / 7186 Eastwoodbury Tree Services Ltd</t>
        </is>
      </c>
      <c r="B340" t="inlineStr">
        <is>
          <t>Utilities &amp; Inland Waterways</t>
        </is>
      </c>
      <c r="C340" t="inlineStr">
        <is>
          <t>UKPN</t>
        </is>
      </c>
      <c r="D340" t="inlineStr">
        <is>
          <t>Ford</t>
        </is>
      </c>
      <c r="E340" t="inlineStr">
        <is>
          <t>Ranger</t>
        </is>
      </c>
      <c r="F340" t="inlineStr">
        <is>
          <t>DE53NKS</t>
        </is>
      </c>
      <c r="G340" t="inlineStr">
        <is>
          <t xml:space="preserve">Dan Gilbert Jay Denkmayer </t>
        </is>
      </c>
      <c r="H340" t="inlineStr">
        <is>
          <t>4x4Pickup Truck</t>
        </is>
      </c>
      <c r="I340" t="inlineStr">
        <is>
          <t>Daily/ Weekly Vehicle Inspection</t>
        </is>
      </c>
      <c r="J340" t="inlineStr">
        <is>
          <t>N/A</t>
        </is>
      </c>
      <c r="K340" t="inlineStr">
        <is>
          <t>7186 Eastwoodbury Tree Services Ltd</t>
        </is>
      </c>
      <c r="L340" t="inlineStr">
        <is>
          <t>12/02/2025 14:52</t>
        </is>
      </c>
      <c r="M340" t="inlineStr">
        <is>
          <t>None</t>
        </is>
      </c>
      <c r="N340" t="inlineStr">
        <is>
          <t>&lt;p&gt;&lt;/p&gt;</t>
        </is>
      </c>
      <c r="O340" t="inlineStr"/>
      <c r="P340" t="inlineStr">
        <is>
          <t>4x4 - Santana  - Ps10 - AO57 BPF4x4 - Ford - Ranger - DE53NKS</t>
        </is>
      </c>
      <c r="Q340" t="inlineStr">
        <is>
          <t>UKPN</t>
        </is>
      </c>
      <c r="R340" t="b">
        <v>0</v>
      </c>
    </row>
    <row r="341">
      <c r="A341" t="inlineStr">
        <is>
          <t>11 Feb 2025 / 3098 D &amp; R Landscapes (PEND Arb Rail)</t>
        </is>
      </c>
      <c r="B341" t="inlineStr">
        <is>
          <t>Utilities &amp; Inland Waterways</t>
        </is>
      </c>
      <c r="C341" t="inlineStr">
        <is>
          <t>UKPN</t>
        </is>
      </c>
      <c r="D341" t="inlineStr">
        <is>
          <t>Isuzu</t>
        </is>
      </c>
      <c r="E341" t="inlineStr">
        <is>
          <t>Grafter</t>
        </is>
      </c>
      <c r="F341" t="inlineStr">
        <is>
          <t>DE68XHA</t>
        </is>
      </c>
      <c r="G341" t="inlineStr">
        <is>
          <t>Jason</t>
        </is>
      </c>
      <c r="H341" t="inlineStr">
        <is>
          <t>Tipper</t>
        </is>
      </c>
      <c r="I341" t="inlineStr">
        <is>
          <t>Daily/ Weekly Vehicle Inspection</t>
        </is>
      </c>
      <c r="J341" t="inlineStr">
        <is>
          <t>N/A</t>
        </is>
      </c>
      <c r="K341" t="inlineStr">
        <is>
          <t>3098 D &amp; R Landscapes (PEND Arb Rail)</t>
        </is>
      </c>
      <c r="L341" t="inlineStr">
        <is>
          <t>12/02/2025 15:03</t>
        </is>
      </c>
      <c r="M341" t="inlineStr">
        <is>
          <t>None</t>
        </is>
      </c>
      <c r="N341" t="inlineStr">
        <is>
          <t>&lt;p&gt;&lt;/p&gt;</t>
        </is>
      </c>
      <c r="O341" t="inlineStr"/>
      <c r="P341" t="inlineStr">
        <is>
          <t>Tipper - Isuzu - Grafter - DE68 XHA</t>
        </is>
      </c>
      <c r="Q341" t="inlineStr">
        <is>
          <t>UKPN</t>
        </is>
      </c>
      <c r="R341" t="b">
        <v>0</v>
      </c>
    </row>
    <row r="342">
      <c r="A342" t="inlineStr">
        <is>
          <t>11 Feb 2025 / 7800 MAC Tree Surgery and Fencing Ltd</t>
        </is>
      </c>
      <c r="B342" t="inlineStr">
        <is>
          <t>Utilities &amp; Inland Waterways</t>
        </is>
      </c>
      <c r="C342" t="inlineStr">
        <is>
          <t>UKPN</t>
        </is>
      </c>
      <c r="D342" t="inlineStr">
        <is>
          <t>Izuzu</t>
        </is>
      </c>
      <c r="E342" t="inlineStr">
        <is>
          <t>Dmax</t>
        </is>
      </c>
      <c r="F342" t="inlineStr">
        <is>
          <t>Ay68daa</t>
        </is>
      </c>
      <c r="G342" t="inlineStr">
        <is>
          <t xml:space="preserve">Lewis Lewis macnicol </t>
        </is>
      </c>
      <c r="H342" t="inlineStr">
        <is>
          <t>4x4Towed Chipper</t>
        </is>
      </c>
      <c r="I342" t="inlineStr">
        <is>
          <t>Daily/ Weekly Vehicle Inspection</t>
        </is>
      </c>
      <c r="J342" t="inlineStr">
        <is>
          <t>N/A</t>
        </is>
      </c>
      <c r="K342" t="inlineStr">
        <is>
          <t>7800 MAC Tree Surgery and Fencing Ltd</t>
        </is>
      </c>
      <c r="L342" t="inlineStr">
        <is>
          <t>12/02/2025 15:10</t>
        </is>
      </c>
      <c r="M342" t="inlineStr">
        <is>
          <t>None</t>
        </is>
      </c>
      <c r="N342" t="inlineStr">
        <is>
          <t>&lt;p&gt;&lt;/p&gt;</t>
        </is>
      </c>
      <c r="O342" t="inlineStr"/>
      <c r="P342" t="inlineStr">
        <is>
          <t>4x4 - Izuzu - Dmax - AY68 DAATow Chipper - Timberwolf - TW150 - 205143043-a1</t>
        </is>
      </c>
      <c r="Q342" t="inlineStr">
        <is>
          <t>UKPN</t>
        </is>
      </c>
      <c r="R342" t="b">
        <v>0</v>
      </c>
    </row>
    <row r="343">
      <c r="A343" t="inlineStr">
        <is>
          <t>11 Feb 2025 / 7806 Optimum Tree Services Ltd</t>
        </is>
      </c>
      <c r="B343" t="inlineStr">
        <is>
          <t>Utilities &amp; Inland Waterways</t>
        </is>
      </c>
      <c r="C343" t="inlineStr">
        <is>
          <t>UKPN</t>
        </is>
      </c>
      <c r="D343" t="inlineStr">
        <is>
          <t>Land Rover</t>
        </is>
      </c>
      <c r="E343" t="inlineStr">
        <is>
          <t>Defender</t>
        </is>
      </c>
      <c r="F343" t="inlineStr">
        <is>
          <t>WD14EVB</t>
        </is>
      </c>
      <c r="G343" t="inlineStr">
        <is>
          <t xml:space="preserve">Abraham Davies Abraham Davies </t>
        </is>
      </c>
      <c r="H343" t="inlineStr">
        <is>
          <t>4x4Plant Trailer</t>
        </is>
      </c>
      <c r="I343" t="inlineStr">
        <is>
          <t>Daily/ Weekly Vehicle Inspection</t>
        </is>
      </c>
      <c r="J343" t="inlineStr">
        <is>
          <t>N/A</t>
        </is>
      </c>
      <c r="K343" t="inlineStr">
        <is>
          <t>7806 Optimum Tree Services Ltd</t>
        </is>
      </c>
      <c r="L343" t="inlineStr">
        <is>
          <t>12/02/2025 15:11</t>
        </is>
      </c>
      <c r="M343" t="inlineStr">
        <is>
          <t>None</t>
        </is>
      </c>
      <c r="N343" t="inlineStr">
        <is>
          <t>&lt;p&gt;&lt;/p&gt;</t>
        </is>
      </c>
      <c r="O343" t="inlineStr"/>
      <c r="P343" t="inlineStr">
        <is>
          <t>MEWP - Land Rover - Defender - WD14 EVBPlant Trailer - Tow Mate - Plant Trailer - SA9TAPLAF27414263</t>
        </is>
      </c>
      <c r="Q343" t="inlineStr">
        <is>
          <t>UKPN</t>
        </is>
      </c>
      <c r="R343" t="b">
        <v>0</v>
      </c>
    </row>
    <row r="344">
      <c r="A344" t="inlineStr">
        <is>
          <t>11 Feb 2025 / 7186 Eastwoodbury Tree Services Ltd</t>
        </is>
      </c>
      <c r="B344" t="inlineStr">
        <is>
          <t>Utilities &amp; Inland Waterways</t>
        </is>
      </c>
      <c r="C344" t="inlineStr">
        <is>
          <t>UKPN</t>
        </is>
      </c>
      <c r="D344" t="inlineStr">
        <is>
          <t xml:space="preserve">Land Rover </t>
        </is>
      </c>
      <c r="E344" t="inlineStr">
        <is>
          <t>Defender</t>
        </is>
      </c>
      <c r="F344" t="inlineStr">
        <is>
          <t>FN600XM</t>
        </is>
      </c>
      <c r="G344" t="inlineStr">
        <is>
          <t>Dan Gilbert Jay Denkmayer</t>
        </is>
      </c>
      <c r="H344" t="inlineStr">
        <is>
          <t>4x44x4</t>
        </is>
      </c>
      <c r="I344" t="inlineStr">
        <is>
          <t>Daily/ Weekly Vehicle Inspection</t>
        </is>
      </c>
      <c r="J344" t="inlineStr">
        <is>
          <t>N/A</t>
        </is>
      </c>
      <c r="K344" t="inlineStr">
        <is>
          <t>7186 Eastwoodbury Tree Services Ltd</t>
        </is>
      </c>
      <c r="L344" t="inlineStr">
        <is>
          <t>12/02/2025 15:12</t>
        </is>
      </c>
      <c r="M344" t="inlineStr">
        <is>
          <t>None</t>
        </is>
      </c>
      <c r="N344" t="inlineStr">
        <is>
          <t>&lt;p&gt;&lt;/p&gt;</t>
        </is>
      </c>
      <c r="O344" t="inlineStr"/>
      <c r="P344" t="inlineStr">
        <is>
          <t>4x4 - Santana  - Ps10 - AO57 BPF4x4 - Land Rover  - Defender - FN60 0XM</t>
        </is>
      </c>
      <c r="Q344" t="inlineStr">
        <is>
          <t>UKPN</t>
        </is>
      </c>
      <c r="R344" t="b">
        <v>0</v>
      </c>
    </row>
    <row r="345">
      <c r="A345" t="inlineStr">
        <is>
          <t>11 Feb 2025 / 6617 Ashdown Tree Limited</t>
        </is>
      </c>
      <c r="B345" t="inlineStr">
        <is>
          <t>Utilities &amp; Inland Waterways</t>
        </is>
      </c>
      <c r="C345" t="inlineStr">
        <is>
          <t>UKPN</t>
        </is>
      </c>
      <c r="D345" t="inlineStr">
        <is>
          <t>Ford</t>
        </is>
      </c>
      <c r="E345" t="inlineStr">
        <is>
          <t>Transit</t>
        </is>
      </c>
      <c r="F345" t="inlineStr">
        <is>
          <t>FE11BUT</t>
        </is>
      </c>
      <c r="G345" t="inlineStr">
        <is>
          <t xml:space="preserve">Francis lesser Francis lesser Dan Mitchell </t>
        </is>
      </c>
      <c r="H345" t="inlineStr">
        <is>
          <t>4x4Plant TrailerTipper</t>
        </is>
      </c>
      <c r="I345" t="inlineStr">
        <is>
          <t>Daily/ Weekly Vehicle Inspection</t>
        </is>
      </c>
      <c r="J345" t="inlineStr">
        <is>
          <t>N/A</t>
        </is>
      </c>
      <c r="K345" t="inlineStr">
        <is>
          <t>6617 Ashdown Tree Limited</t>
        </is>
      </c>
      <c r="L345" t="inlineStr">
        <is>
          <t>12/02/2025 15:13</t>
        </is>
      </c>
      <c r="M345" t="inlineStr">
        <is>
          <t>None</t>
        </is>
      </c>
      <c r="N345" t="inlineStr">
        <is>
          <t>&lt;p&gt;&lt;/p&gt;</t>
        </is>
      </c>
      <c r="O345" t="inlineStr">
        <is>
          <t>Select Vehicle:Tuepen trailer</t>
        </is>
      </c>
      <c r="P345" t="inlineStr">
        <is>
          <t>Vehicle - Land Rover - Discovery  - WF11 EJJFlat Bed Trailer - Ifor Williams -  - SCKD00000H5147808ATipper - Ford - Transit - FE11 BUT</t>
        </is>
      </c>
      <c r="Q345" t="inlineStr">
        <is>
          <t>UKPN</t>
        </is>
      </c>
      <c r="R345" t="b">
        <v>0</v>
      </c>
    </row>
    <row r="346">
      <c r="A346" t="inlineStr">
        <is>
          <t>14 Feb 2025 / 7800 MAC Tree Surgery and Fencing Ltd</t>
        </is>
      </c>
      <c r="B346" t="inlineStr">
        <is>
          <t>Utilities &amp; Inland Waterways</t>
        </is>
      </c>
      <c r="C346" t="inlineStr">
        <is>
          <t>UKPN</t>
        </is>
      </c>
      <c r="D346" t="inlineStr">
        <is>
          <t xml:space="preserve">Ford transit </t>
        </is>
      </c>
      <c r="E346" t="inlineStr">
        <is>
          <t xml:space="preserve">Transit tipper </t>
        </is>
      </c>
      <c r="F346" t="inlineStr">
        <is>
          <t>Fg16lnt</t>
        </is>
      </c>
      <c r="G346" t="inlineStr">
        <is>
          <t xml:space="preserve">Lewis mac Lewis mac </t>
        </is>
      </c>
      <c r="H346" t="inlineStr">
        <is>
          <t>TipperTowed Chipper</t>
        </is>
      </c>
      <c r="I346" t="inlineStr">
        <is>
          <t>Daily/ Weekly Vehicle Inspection</t>
        </is>
      </c>
      <c r="J346" t="inlineStr">
        <is>
          <t>N/A</t>
        </is>
      </c>
      <c r="K346" t="inlineStr">
        <is>
          <t>7800 MAC Tree Surgery and Fencing Ltd</t>
        </is>
      </c>
      <c r="L346" t="inlineStr">
        <is>
          <t>14/02/2025 14:48</t>
        </is>
      </c>
      <c r="M346" t="inlineStr">
        <is>
          <t>None</t>
        </is>
      </c>
      <c r="N346" t="inlineStr">
        <is>
          <t>&lt;p&gt;&lt;/p&gt;</t>
        </is>
      </c>
      <c r="O346" t="inlineStr"/>
      <c r="P346" t="inlineStr">
        <is>
          <t>Tipper - Ford transit  - Transit tipper  - Fg16lntTow Chipper - Timberwolf - TW150 - 205143043-a1</t>
        </is>
      </c>
      <c r="Q346" t="inlineStr">
        <is>
          <t>UKPN</t>
        </is>
      </c>
      <c r="R346" t="b">
        <v>0</v>
      </c>
    </row>
    <row r="347">
      <c r="A347" t="inlineStr">
        <is>
          <t>14 Feb 2025 / 7186 Eastwoodbury Tree Services Ltd</t>
        </is>
      </c>
      <c r="B347" t="inlineStr">
        <is>
          <t>Utilities &amp; Inland Waterways</t>
        </is>
      </c>
      <c r="C347" t="inlineStr">
        <is>
          <t>UKPN</t>
        </is>
      </c>
      <c r="D347" t="inlineStr">
        <is>
          <t xml:space="preserve">Land Rover </t>
        </is>
      </c>
      <c r="E347" t="inlineStr">
        <is>
          <t>Defender</t>
        </is>
      </c>
      <c r="F347" t="inlineStr">
        <is>
          <t>FN600XM</t>
        </is>
      </c>
      <c r="G347" t="inlineStr">
        <is>
          <t xml:space="preserve">Dan Gilbert Jay Denkmayer </t>
        </is>
      </c>
      <c r="H347" t="inlineStr">
        <is>
          <t>4x44x4</t>
        </is>
      </c>
      <c r="I347" t="inlineStr">
        <is>
          <t>Daily/ Weekly Vehicle Inspection</t>
        </is>
      </c>
      <c r="J347" t="inlineStr">
        <is>
          <t>N/A</t>
        </is>
      </c>
      <c r="K347" t="inlineStr">
        <is>
          <t>7186 Eastwoodbury Tree Services Ltd</t>
        </is>
      </c>
      <c r="L347" t="inlineStr">
        <is>
          <t>14/02/2025 14:50</t>
        </is>
      </c>
      <c r="M347" t="inlineStr">
        <is>
          <t>None</t>
        </is>
      </c>
      <c r="N347" t="inlineStr">
        <is>
          <t>&lt;p&gt;&lt;/p&gt;</t>
        </is>
      </c>
      <c r="O347" t="inlineStr"/>
      <c r="P347" t="inlineStr">
        <is>
          <t>4x4 - Santana  - Ps10 - AO57 BPF4x4 - Land Rover  - Defender - FN60 0XM</t>
        </is>
      </c>
      <c r="Q347" t="inlineStr">
        <is>
          <t>UKPN</t>
        </is>
      </c>
      <c r="R347" t="b">
        <v>0</v>
      </c>
    </row>
    <row r="348">
      <c r="A348" t="inlineStr">
        <is>
          <t>14 Feb 2025 / 7806 Optimum Tree Services Ltd</t>
        </is>
      </c>
      <c r="B348" t="inlineStr">
        <is>
          <t>Utilities &amp; Inland Waterways</t>
        </is>
      </c>
      <c r="C348" t="inlineStr">
        <is>
          <t>UKPN</t>
        </is>
      </c>
      <c r="D348" t="inlineStr">
        <is>
          <t>Land Rover</t>
        </is>
      </c>
      <c r="E348" t="inlineStr">
        <is>
          <t>Defender</t>
        </is>
      </c>
      <c r="F348" t="inlineStr">
        <is>
          <t>WD14EVB</t>
        </is>
      </c>
      <c r="G348" t="inlineStr">
        <is>
          <t xml:space="preserve">Abraham Davies Abraham Davies </t>
        </is>
      </c>
      <c r="H348" t="inlineStr">
        <is>
          <t>4x4Plant Trailer</t>
        </is>
      </c>
      <c r="I348" t="inlineStr">
        <is>
          <t>Daily/ Weekly Vehicle Inspection</t>
        </is>
      </c>
      <c r="J348" t="inlineStr">
        <is>
          <t>N/A</t>
        </is>
      </c>
      <c r="K348" t="inlineStr">
        <is>
          <t>7806 Optimum Tree Services Ltd</t>
        </is>
      </c>
      <c r="L348" t="inlineStr">
        <is>
          <t>14/02/2025 14:53</t>
        </is>
      </c>
      <c r="M348" t="inlineStr">
        <is>
          <t>None</t>
        </is>
      </c>
      <c r="N348" t="inlineStr">
        <is>
          <t>&lt;p&gt;&lt;/p&gt;</t>
        </is>
      </c>
      <c r="O348" t="inlineStr"/>
      <c r="P348" t="inlineStr">
        <is>
          <t>MEWP - Land Rover - Defender - WD14 EVBPlant Trailer - Tow Mate - Plant Trailer - SA9TAPLAF27414263</t>
        </is>
      </c>
      <c r="Q348" t="inlineStr">
        <is>
          <t>UKPN</t>
        </is>
      </c>
      <c r="R348" t="b">
        <v>0</v>
      </c>
    </row>
    <row r="349">
      <c r="A349" t="inlineStr">
        <is>
          <t>14 Feb 2025 / 6617 Ashdown Tree Limited</t>
        </is>
      </c>
      <c r="B349" t="inlineStr">
        <is>
          <t>Utilities &amp; Inland Waterways</t>
        </is>
      </c>
      <c r="C349" t="inlineStr">
        <is>
          <t>UKPN</t>
        </is>
      </c>
      <c r="D349" t="inlineStr">
        <is>
          <t xml:space="preserve">Land rover </t>
        </is>
      </c>
      <c r="E349" t="inlineStr">
        <is>
          <t xml:space="preserve">Defender mewp </t>
        </is>
      </c>
      <c r="F349" t="inlineStr">
        <is>
          <t>TR55tub</t>
        </is>
      </c>
      <c r="G349" t="inlineStr">
        <is>
          <t xml:space="preserve">Francis lesser Francis lesser </t>
        </is>
      </c>
      <c r="H349" t="inlineStr">
        <is>
          <t>4x4Towed Chipper</t>
        </is>
      </c>
      <c r="I349" t="inlineStr">
        <is>
          <t>Daily/ Weekly Vehicle Inspection</t>
        </is>
      </c>
      <c r="J349" t="inlineStr">
        <is>
          <t>N/A</t>
        </is>
      </c>
      <c r="K349" t="inlineStr">
        <is>
          <t>6617 Ashdown Tree Limited</t>
        </is>
      </c>
      <c r="L349" t="inlineStr">
        <is>
          <t>14/02/2025 14:53</t>
        </is>
      </c>
      <c r="M349" t="inlineStr">
        <is>
          <t>None</t>
        </is>
      </c>
      <c r="N349" t="inlineStr">
        <is>
          <t>&lt;p&gt;&lt;/p&gt;</t>
        </is>
      </c>
      <c r="O349" t="inlineStr"/>
      <c r="P349" t="inlineStr">
        <is>
          <t>4x4 - Land rover  - Defender mewp  - TR55 tubTow Chipper - Timberwolf - TW190 DBH - 210137001- A8</t>
        </is>
      </c>
      <c r="Q349" t="inlineStr">
        <is>
          <t>UKPN</t>
        </is>
      </c>
      <c r="R349" t="b">
        <v>0</v>
      </c>
    </row>
    <row r="350">
      <c r="A350" t="inlineStr">
        <is>
          <t>13 Feb 2025 / 7800 MAC Tree Surgery and Fencing Ltd</t>
        </is>
      </c>
      <c r="B350" t="inlineStr">
        <is>
          <t>Utilities &amp; Inland Waterways</t>
        </is>
      </c>
      <c r="C350" t="inlineStr">
        <is>
          <t>UKPN</t>
        </is>
      </c>
      <c r="D350" t="inlineStr">
        <is>
          <t>Izuzu</t>
        </is>
      </c>
      <c r="E350" t="inlineStr">
        <is>
          <t>Dmax</t>
        </is>
      </c>
      <c r="F350" t="inlineStr">
        <is>
          <t>Ay68daa</t>
        </is>
      </c>
      <c r="G350" t="inlineStr">
        <is>
          <t xml:space="preserve">Lewis mac Lewis mac </t>
        </is>
      </c>
      <c r="H350" t="inlineStr">
        <is>
          <t>4x4Towed Chipper</t>
        </is>
      </c>
      <c r="I350" t="inlineStr">
        <is>
          <t>Daily/ Weekly Vehicle Inspection</t>
        </is>
      </c>
      <c r="J350" t="inlineStr">
        <is>
          <t>N/A</t>
        </is>
      </c>
      <c r="K350" t="inlineStr">
        <is>
          <t>7800 MAC Tree Surgery and Fencing Ltd</t>
        </is>
      </c>
      <c r="L350" t="inlineStr">
        <is>
          <t>14/02/2025 15:03</t>
        </is>
      </c>
      <c r="M350" t="inlineStr">
        <is>
          <t>None</t>
        </is>
      </c>
      <c r="N350" t="inlineStr">
        <is>
          <t>&lt;p&gt;&lt;/p&gt;</t>
        </is>
      </c>
      <c r="O350" t="inlineStr"/>
      <c r="P350" t="inlineStr">
        <is>
          <t>4x4 - Izuzu - Dmax - AY68 DAATow Chipper - Timberwolf - TW150 - 205143043-a1</t>
        </is>
      </c>
      <c r="Q350" t="inlineStr">
        <is>
          <t>UKPN</t>
        </is>
      </c>
      <c r="R350" t="b">
        <v>0</v>
      </c>
    </row>
    <row r="351">
      <c r="A351" t="inlineStr">
        <is>
          <t>13 Feb 2025 / 6617 Ashdown Tree Limited</t>
        </is>
      </c>
      <c r="B351" t="inlineStr">
        <is>
          <t>Utilities &amp; Inland Waterways</t>
        </is>
      </c>
      <c r="C351" t="inlineStr">
        <is>
          <t>UKPN</t>
        </is>
      </c>
      <c r="D351" t="inlineStr">
        <is>
          <t xml:space="preserve">Land rover </t>
        </is>
      </c>
      <c r="E351" t="inlineStr">
        <is>
          <t xml:space="preserve">Defender mewp </t>
        </is>
      </c>
      <c r="F351" t="inlineStr">
        <is>
          <t>TR55tub</t>
        </is>
      </c>
      <c r="G351" t="inlineStr">
        <is>
          <t xml:space="preserve">Francis lesser Francis lesser </t>
        </is>
      </c>
      <c r="H351" t="inlineStr">
        <is>
          <t>4x4Towed Chipper</t>
        </is>
      </c>
      <c r="I351" t="inlineStr">
        <is>
          <t>Daily/ Weekly Vehicle Inspection</t>
        </is>
      </c>
      <c r="J351" t="inlineStr">
        <is>
          <t>N/A</t>
        </is>
      </c>
      <c r="K351" t="inlineStr">
        <is>
          <t>6617 Ashdown Tree Limited</t>
        </is>
      </c>
      <c r="L351" t="inlineStr">
        <is>
          <t>14/02/2025 15:06</t>
        </is>
      </c>
      <c r="M351" t="inlineStr">
        <is>
          <t>None</t>
        </is>
      </c>
      <c r="N351" t="inlineStr">
        <is>
          <t>&lt;p&gt;&lt;/p&gt;</t>
        </is>
      </c>
      <c r="O351" t="inlineStr"/>
      <c r="P351" t="inlineStr">
        <is>
          <t>4x4 - Land rover  - Defender mewp  - TR55 tubTow Chipper - Timberwolf - TW230DHB - SBXTW 35A6LS209184</t>
        </is>
      </c>
      <c r="Q351" t="inlineStr">
        <is>
          <t>UKPN</t>
        </is>
      </c>
      <c r="R351" t="b">
        <v>0</v>
      </c>
    </row>
    <row r="352">
      <c r="A352" t="inlineStr">
        <is>
          <t>13 Feb 2025 / 7186 Eastwoodbury Tree Services Ltd</t>
        </is>
      </c>
      <c r="B352" t="inlineStr">
        <is>
          <t>Utilities &amp; Inland Waterways</t>
        </is>
      </c>
      <c r="C352" t="inlineStr">
        <is>
          <t>UKPN</t>
        </is>
      </c>
      <c r="D352" t="inlineStr">
        <is>
          <t xml:space="preserve">Land Rover </t>
        </is>
      </c>
      <c r="E352" t="inlineStr">
        <is>
          <t>Defender</t>
        </is>
      </c>
      <c r="F352" t="inlineStr">
        <is>
          <t>FN600XM</t>
        </is>
      </c>
      <c r="G352" t="inlineStr">
        <is>
          <t xml:space="preserve">Dan Gilbert Jay Denkmayer </t>
        </is>
      </c>
      <c r="H352" t="inlineStr">
        <is>
          <t>4x44x4</t>
        </is>
      </c>
      <c r="I352" t="inlineStr">
        <is>
          <t>Daily/ Weekly Vehicle Inspection</t>
        </is>
      </c>
      <c r="J352" t="inlineStr">
        <is>
          <t>N/A</t>
        </is>
      </c>
      <c r="K352" t="inlineStr">
        <is>
          <t>7186 Eastwoodbury Tree Services Ltd</t>
        </is>
      </c>
      <c r="L352" t="inlineStr">
        <is>
          <t>14/02/2025 15:08</t>
        </is>
      </c>
      <c r="M352" t="inlineStr">
        <is>
          <t>None</t>
        </is>
      </c>
      <c r="N352" t="inlineStr">
        <is>
          <t>&lt;p&gt;&lt;/p&gt;</t>
        </is>
      </c>
      <c r="O352" t="inlineStr"/>
      <c r="P352" t="inlineStr">
        <is>
          <t>4x4 - Santana  - Ps10 - AO57 BPF4x4 - Land Rover  - Defender - FN60 0XM</t>
        </is>
      </c>
      <c r="Q352" t="inlineStr">
        <is>
          <t>UKPN</t>
        </is>
      </c>
      <c r="R352" t="b">
        <v>0</v>
      </c>
    </row>
    <row r="353">
      <c r="A353" t="inlineStr">
        <is>
          <t>13 Feb 2025 / 7889 Tree Tech Suffolk Ltd</t>
        </is>
      </c>
      <c r="B353" t="inlineStr">
        <is>
          <t>Utilities &amp; Inland Waterways</t>
        </is>
      </c>
      <c r="C353" t="inlineStr">
        <is>
          <t>UKPN</t>
        </is>
      </c>
      <c r="D353" t="inlineStr">
        <is>
          <t>Mercedes</t>
        </is>
      </c>
      <c r="E353" t="inlineStr">
        <is>
          <t>Sprinter</t>
        </is>
      </c>
      <c r="F353" t="inlineStr">
        <is>
          <t>NS06TTS</t>
        </is>
      </c>
      <c r="G353" t="inlineStr">
        <is>
          <t>Nikki sparrow Danny Appleby</t>
        </is>
      </c>
      <c r="H353" t="inlineStr">
        <is>
          <t>4x4Towed ChipperTipper</t>
        </is>
      </c>
      <c r="I353" t="inlineStr">
        <is>
          <t>Daily/ Weekly Vehicle Inspection</t>
        </is>
      </c>
      <c r="J353" t="inlineStr">
        <is>
          <t>N/A</t>
        </is>
      </c>
      <c r="K353" t="inlineStr">
        <is>
          <t>7889 Tree Tech Suffolk Ltd</t>
        </is>
      </c>
      <c r="L353" t="inlineStr">
        <is>
          <t>14/02/2025 15:09</t>
        </is>
      </c>
      <c r="M353" t="inlineStr">
        <is>
          <t>None</t>
        </is>
      </c>
      <c r="N353" t="inlineStr">
        <is>
          <t>&lt;p&gt;&lt;/p&gt;</t>
        </is>
      </c>
      <c r="O353" t="inlineStr">
        <is>
          <t>Confirm that you have checked this vehicle as per the guidance document and the vehicle is safe and roadworthy:Crack in windscreen. Started at bottom of windscreen and has now gone halfway up. Still not in drivers view. MOT in march. Change as soon as possible
-</t>
        </is>
      </c>
      <c r="P353" t="inlineStr">
        <is>
          <t>4x4 - Isuzu - D-max - NS03 TTSTow Chipper - Jenson - A530L - 5521063948Tipper - Mercedes - Sprinter - NS06TTS</t>
        </is>
      </c>
      <c r="Q353" t="inlineStr">
        <is>
          <t>UKPN</t>
        </is>
      </c>
      <c r="R353" t="b">
        <v>0</v>
      </c>
    </row>
    <row r="354">
      <c r="A354" t="inlineStr">
        <is>
          <t>13 Feb 2025 / 7806 Optimum Tree Services Ltd</t>
        </is>
      </c>
      <c r="B354" t="inlineStr">
        <is>
          <t>Utilities &amp; Inland Waterways</t>
        </is>
      </c>
      <c r="C354" t="inlineStr">
        <is>
          <t>UKPN</t>
        </is>
      </c>
      <c r="D354" t="inlineStr">
        <is>
          <t>Land Rover</t>
        </is>
      </c>
      <c r="E354" t="inlineStr">
        <is>
          <t>Defender</t>
        </is>
      </c>
      <c r="F354" t="inlineStr">
        <is>
          <t>WD14EVB</t>
        </is>
      </c>
      <c r="G354" t="inlineStr">
        <is>
          <t xml:space="preserve">Abraham Davies </t>
        </is>
      </c>
      <c r="H354" t="inlineStr">
        <is>
          <t>4x4</t>
        </is>
      </c>
      <c r="I354" t="inlineStr">
        <is>
          <t>Daily/ Weekly Vehicle Inspection</t>
        </is>
      </c>
      <c r="J354" t="inlineStr">
        <is>
          <t>N/A</t>
        </is>
      </c>
      <c r="K354" t="inlineStr">
        <is>
          <t>7806 Optimum Tree Services Ltd</t>
        </is>
      </c>
      <c r="L354" t="inlineStr">
        <is>
          <t>14/02/2025 15:10</t>
        </is>
      </c>
      <c r="M354" t="inlineStr">
        <is>
          <t>None</t>
        </is>
      </c>
      <c r="N354" t="inlineStr">
        <is>
          <t>&lt;p&gt;&lt;/p&gt;</t>
        </is>
      </c>
      <c r="O354" t="inlineStr"/>
      <c r="P354" t="inlineStr">
        <is>
          <t>MEWP - Land Rover - Defender - WD14 EVB</t>
        </is>
      </c>
      <c r="Q354" t="inlineStr">
        <is>
          <t>UKPN</t>
        </is>
      </c>
      <c r="R354" t="b">
        <v>0</v>
      </c>
    </row>
    <row r="355">
      <c r="A355" t="inlineStr">
        <is>
          <t>13 Feb 2025 / 6617 Ashdown Tree Limited</t>
        </is>
      </c>
      <c r="B355" t="inlineStr">
        <is>
          <t>Utilities &amp; Inland Waterways</t>
        </is>
      </c>
      <c r="C355" t="inlineStr">
        <is>
          <t>UKPN</t>
        </is>
      </c>
      <c r="D355" t="inlineStr">
        <is>
          <t>Land Rover</t>
        </is>
      </c>
      <c r="E355" t="inlineStr">
        <is>
          <t xml:space="preserve">Discovery </t>
        </is>
      </c>
      <c r="F355" t="inlineStr">
        <is>
          <t>WF11EJJ</t>
        </is>
      </c>
      <c r="G355" t="inlineStr">
        <is>
          <t xml:space="preserve">DanAshley </t>
        </is>
      </c>
      <c r="H355" t="inlineStr">
        <is>
          <t>Tipper4x4</t>
        </is>
      </c>
      <c r="I355" t="inlineStr">
        <is>
          <t>Daily/ Weekly Vehicle Inspection</t>
        </is>
      </c>
      <c r="J355" t="inlineStr">
        <is>
          <t>N/A</t>
        </is>
      </c>
      <c r="K355" t="inlineStr">
        <is>
          <t>6617 Ashdown Tree Limited</t>
        </is>
      </c>
      <c r="L355" t="inlineStr">
        <is>
          <t>14/02/2025 15:11</t>
        </is>
      </c>
      <c r="M355" t="inlineStr">
        <is>
          <t>None</t>
        </is>
      </c>
      <c r="N355" t="inlineStr">
        <is>
          <t>&lt;p&gt;&lt;/p&gt;</t>
        </is>
      </c>
      <c r="O355" t="inlineStr"/>
      <c r="P355" t="inlineStr">
        <is>
          <t>Tipper - Ford  - Transit  - Av67lxzVehicle - Land Rover - Discovery  - WF11 EJJ</t>
        </is>
      </c>
      <c r="Q355" t="inlineStr">
        <is>
          <t>UKPN</t>
        </is>
      </c>
      <c r="R355" t="b">
        <v>0</v>
      </c>
    </row>
    <row r="356">
      <c r="A356" t="inlineStr">
        <is>
          <t>18 Feb 2025 / 3098 D &amp; R Landscapes (PEND Arb Rail)</t>
        </is>
      </c>
      <c r="B356" t="inlineStr">
        <is>
          <t>Utilities &amp; Inland Waterways</t>
        </is>
      </c>
      <c r="C356" t="inlineStr">
        <is>
          <t>UKPN</t>
        </is>
      </c>
      <c r="D356" t="inlineStr">
        <is>
          <t>Nissan</t>
        </is>
      </c>
      <c r="E356" t="inlineStr">
        <is>
          <t>Navara</t>
        </is>
      </c>
      <c r="F356" t="inlineStr">
        <is>
          <t>FX17YVM</t>
        </is>
      </c>
      <c r="G356" t="inlineStr">
        <is>
          <t xml:space="preserve">Jason </t>
        </is>
      </c>
      <c r="H356" t="inlineStr">
        <is>
          <t>4x4</t>
        </is>
      </c>
      <c r="I356" t="inlineStr">
        <is>
          <t>Daily/ Weekly Vehicle Inspection</t>
        </is>
      </c>
      <c r="J356" t="inlineStr">
        <is>
          <t>N/A</t>
        </is>
      </c>
      <c r="K356" t="inlineStr">
        <is>
          <t>3098 D &amp; R Landscapes (PEND Arb Rail)</t>
        </is>
      </c>
      <c r="L356" t="inlineStr">
        <is>
          <t>18/02/2025 14:52</t>
        </is>
      </c>
      <c r="M356" t="inlineStr">
        <is>
          <t>None</t>
        </is>
      </c>
      <c r="N356" t="inlineStr">
        <is>
          <t>&lt;p&gt;&lt;/p&gt;</t>
        </is>
      </c>
      <c r="O356" t="inlineStr"/>
      <c r="P356" t="inlineStr">
        <is>
          <t>Vehicle - Nissan - Navara - FX17 YVM</t>
        </is>
      </c>
      <c r="Q356" t="inlineStr">
        <is>
          <t>UKPN</t>
        </is>
      </c>
      <c r="R356" t="b">
        <v>0</v>
      </c>
    </row>
    <row r="357">
      <c r="A357" t="inlineStr">
        <is>
          <t>18 Feb 2025 / 6617 Ashdown Tree Limited</t>
        </is>
      </c>
      <c r="B357" t="inlineStr">
        <is>
          <t>Utilities &amp; Inland Waterways</t>
        </is>
      </c>
      <c r="C357" t="inlineStr">
        <is>
          <t>UKPN</t>
        </is>
      </c>
      <c r="D357" t="inlineStr">
        <is>
          <t xml:space="preserve">Land rover </t>
        </is>
      </c>
      <c r="E357" t="inlineStr">
        <is>
          <t xml:space="preserve">defender </t>
        </is>
      </c>
      <c r="F357" t="inlineStr">
        <is>
          <t>Wg63ojs</t>
        </is>
      </c>
      <c r="G357" t="inlineStr">
        <is>
          <t xml:space="preserve">Francis lesser </t>
        </is>
      </c>
      <c r="H357" t="inlineStr">
        <is>
          <t>4x4</t>
        </is>
      </c>
      <c r="I357" t="inlineStr">
        <is>
          <t>Daily/ Weekly Vehicle Inspection</t>
        </is>
      </c>
      <c r="J357" t="inlineStr">
        <is>
          <t>N/A</t>
        </is>
      </c>
      <c r="K357" t="inlineStr">
        <is>
          <t>6617 Ashdown Tree Limited</t>
        </is>
      </c>
      <c r="L357" t="inlineStr">
        <is>
          <t>18/02/2025 14:52</t>
        </is>
      </c>
      <c r="M357" t="inlineStr">
        <is>
          <t>None</t>
        </is>
      </c>
      <c r="N357" t="inlineStr">
        <is>
          <t>&lt;p&gt;&lt;/p&gt;</t>
        </is>
      </c>
      <c r="O357" t="inlineStr"/>
      <c r="P357" t="inlineStr">
        <is>
          <t>4x4 - Land rover  - defender  - Wg63ojs</t>
        </is>
      </c>
      <c r="Q357" t="inlineStr">
        <is>
          <t>UKPN</t>
        </is>
      </c>
      <c r="R357" t="b">
        <v>0</v>
      </c>
    </row>
    <row r="358">
      <c r="A358" t="inlineStr">
        <is>
          <t>18 Feb 2025 / 7800 MAC Tree Surgery and Fencing Ltd</t>
        </is>
      </c>
      <c r="B358" t="inlineStr">
        <is>
          <t>Utilities &amp; Inland Waterways</t>
        </is>
      </c>
      <c r="C358" t="inlineStr">
        <is>
          <t>UKPN</t>
        </is>
      </c>
      <c r="D358" t="inlineStr">
        <is>
          <t xml:space="preserve">Ford transit </t>
        </is>
      </c>
      <c r="E358" t="inlineStr">
        <is>
          <t xml:space="preserve">Transit tipper </t>
        </is>
      </c>
      <c r="F358" t="inlineStr">
        <is>
          <t>Fg16lnt</t>
        </is>
      </c>
      <c r="G358" t="inlineStr">
        <is>
          <t xml:space="preserve">Lewis mac Lewis mac Patrick oshea </t>
        </is>
      </c>
      <c r="H358" t="inlineStr">
        <is>
          <t>4x4Towed ChipperTipper</t>
        </is>
      </c>
      <c r="I358" t="inlineStr">
        <is>
          <t>Daily/ Weekly Vehicle Inspection</t>
        </is>
      </c>
      <c r="J358" t="inlineStr">
        <is>
          <t>N/A</t>
        </is>
      </c>
      <c r="K358" t="inlineStr">
        <is>
          <t>7800 MAC Tree Surgery and Fencing Ltd</t>
        </is>
      </c>
      <c r="L358" t="inlineStr">
        <is>
          <t>18/02/2025 14:55</t>
        </is>
      </c>
      <c r="M358" t="inlineStr">
        <is>
          <t>None</t>
        </is>
      </c>
      <c r="N358" t="inlineStr">
        <is>
          <t>&lt;p&gt;&lt;/p&gt;</t>
        </is>
      </c>
      <c r="O358" t="inlineStr"/>
      <c r="P358" t="inlineStr">
        <is>
          <t>4x4 - Izuzu - Dmax - AY68 DAATow Chipper - Timberwolf - TW150 - 205143043-a1Tipper - Ford transit  - Transit tipper  - Fg16lnt</t>
        </is>
      </c>
      <c r="Q358" t="inlineStr">
        <is>
          <t>UKPN</t>
        </is>
      </c>
      <c r="R358" t="b">
        <v>0</v>
      </c>
    </row>
    <row r="359">
      <c r="A359" t="inlineStr">
        <is>
          <t>18 Feb 2025 / 7806 Optimum Tree Services Ltd</t>
        </is>
      </c>
      <c r="B359" t="inlineStr">
        <is>
          <t>Utilities &amp; Inland Waterways</t>
        </is>
      </c>
      <c r="C359" t="inlineStr">
        <is>
          <t>UKPN</t>
        </is>
      </c>
      <c r="D359" t="inlineStr">
        <is>
          <t>Land Rover</t>
        </is>
      </c>
      <c r="E359" t="inlineStr">
        <is>
          <t>Defender</t>
        </is>
      </c>
      <c r="F359" t="inlineStr">
        <is>
          <t>WD14EVB</t>
        </is>
      </c>
      <c r="G359" t="inlineStr">
        <is>
          <t xml:space="preserve">Abraham Davies </t>
        </is>
      </c>
      <c r="H359" t="inlineStr">
        <is>
          <t>4x4</t>
        </is>
      </c>
      <c r="I359" t="inlineStr">
        <is>
          <t>Daily/ Weekly Vehicle Inspection</t>
        </is>
      </c>
      <c r="J359" t="inlineStr">
        <is>
          <t>N/A</t>
        </is>
      </c>
      <c r="K359" t="inlineStr">
        <is>
          <t>7806 Optimum Tree Services Ltd</t>
        </is>
      </c>
      <c r="L359" t="inlineStr">
        <is>
          <t>18/02/2025 14:56</t>
        </is>
      </c>
      <c r="M359" t="inlineStr">
        <is>
          <t>None</t>
        </is>
      </c>
      <c r="N359" t="inlineStr">
        <is>
          <t>&lt;p&gt;&lt;/p&gt;</t>
        </is>
      </c>
      <c r="O359" t="inlineStr"/>
      <c r="P359" t="inlineStr">
        <is>
          <t>MEWP - Land Rover - Defender - WD14 EVB</t>
        </is>
      </c>
      <c r="Q359" t="inlineStr">
        <is>
          <t>UKPN</t>
        </is>
      </c>
      <c r="R359" t="b">
        <v>0</v>
      </c>
    </row>
    <row r="360">
      <c r="A360" t="inlineStr">
        <is>
          <t>18 Feb 2025 / 7889 Tree Tech Suffolk Ltd</t>
        </is>
      </c>
      <c r="B360" t="inlineStr">
        <is>
          <t>Utilities &amp; Inland Waterways</t>
        </is>
      </c>
      <c r="C360" t="inlineStr">
        <is>
          <t>UKPN</t>
        </is>
      </c>
      <c r="D360" t="inlineStr">
        <is>
          <t>Isuzu</t>
        </is>
      </c>
      <c r="E360" t="inlineStr">
        <is>
          <t>D-max</t>
        </is>
      </c>
      <c r="F360" t="inlineStr">
        <is>
          <t>NS03TTS</t>
        </is>
      </c>
      <c r="G360" t="inlineStr">
        <is>
          <t xml:space="preserve">Danny Appleby Danny Appleby </t>
        </is>
      </c>
      <c r="H360" t="inlineStr">
        <is>
          <t>4x4Towed Chipper</t>
        </is>
      </c>
      <c r="I360" t="inlineStr">
        <is>
          <t>Daily/ Weekly Vehicle Inspection</t>
        </is>
      </c>
      <c r="J360" t="inlineStr">
        <is>
          <t>N/A</t>
        </is>
      </c>
      <c r="K360" t="inlineStr">
        <is>
          <t>7889 Tree Tech Suffolk Ltd</t>
        </is>
      </c>
      <c r="L360" t="inlineStr">
        <is>
          <t>18/02/2025 14:56</t>
        </is>
      </c>
      <c r="M360" t="inlineStr">
        <is>
          <t>None</t>
        </is>
      </c>
      <c r="N360" t="inlineStr">
        <is>
          <t>&lt;p&gt;&lt;/p&gt;</t>
        </is>
      </c>
      <c r="O360" t="inlineStr">
        <is>
          <t>Confirm that you have checked this vehicle as per the guidance document and the vehicle is safe and roadworthy:Crack in windscreen. Started at bottom of windscreen and has now gone halfway up. Still not in drivers view. MOT in march. Change as soon as possible. 
Front tyres worn on inside. Ordered, awaiting confirmation
-</t>
        </is>
      </c>
      <c r="P360" t="inlineStr">
        <is>
          <t>4x4 - Isuzu - D-max - NS03 TTSTow Chipper - Jenson - A530L - 5521063948</t>
        </is>
      </c>
      <c r="Q360" t="inlineStr">
        <is>
          <t>UKPN</t>
        </is>
      </c>
      <c r="R360" t="b">
        <v>0</v>
      </c>
    </row>
    <row r="361">
      <c r="A361" t="inlineStr">
        <is>
          <t>18 Feb 2025 / 6617 Ashdown Tree Limited</t>
        </is>
      </c>
      <c r="B361" t="inlineStr">
        <is>
          <t>Utilities &amp; Inland Waterways</t>
        </is>
      </c>
      <c r="C361" t="inlineStr">
        <is>
          <t>UKPN</t>
        </is>
      </c>
      <c r="D361" t="inlineStr">
        <is>
          <t xml:space="preserve">Ford </t>
        </is>
      </c>
      <c r="E361" t="inlineStr">
        <is>
          <t xml:space="preserve">Transit </t>
        </is>
      </c>
      <c r="F361" t="inlineStr">
        <is>
          <t>Av67lxz</t>
        </is>
      </c>
      <c r="G361" t="inlineStr">
        <is>
          <t xml:space="preserve">Ashley Dan </t>
        </is>
      </c>
      <c r="H361" t="inlineStr">
        <is>
          <t>4x4Tipper</t>
        </is>
      </c>
      <c r="I361" t="inlineStr">
        <is>
          <t>Daily/ Weekly Vehicle Inspection</t>
        </is>
      </c>
      <c r="J361" t="inlineStr">
        <is>
          <t>N/A</t>
        </is>
      </c>
      <c r="K361" t="inlineStr">
        <is>
          <t>6617 Ashdown Tree Limited</t>
        </is>
      </c>
      <c r="L361" t="inlineStr">
        <is>
          <t>18/02/2025 14:57</t>
        </is>
      </c>
      <c r="M361" t="inlineStr">
        <is>
          <t>None</t>
        </is>
      </c>
      <c r="N361" t="inlineStr">
        <is>
          <t>&lt;p&gt;&lt;/p&gt;</t>
        </is>
      </c>
      <c r="O361" t="inlineStr"/>
      <c r="P361" t="inlineStr">
        <is>
          <t>Vehicle - Land Rover - Discovery  - WF11 EJJTipper - Ford  - Transit  - Av67lxz</t>
        </is>
      </c>
      <c r="Q361" t="inlineStr">
        <is>
          <t>UKPN</t>
        </is>
      </c>
      <c r="R361" t="b">
        <v>0</v>
      </c>
    </row>
    <row r="362">
      <c r="A362" t="inlineStr">
        <is>
          <t>18 Feb 2025 / 7186 Eastwoodbury Tree Services Ltd</t>
        </is>
      </c>
      <c r="B362" t="inlineStr">
        <is>
          <t>Utilities &amp; Inland Waterways</t>
        </is>
      </c>
      <c r="C362" t="inlineStr">
        <is>
          <t>UKPN</t>
        </is>
      </c>
      <c r="D362" t="inlineStr">
        <is>
          <t xml:space="preserve">Santana </t>
        </is>
      </c>
      <c r="E362" t="inlineStr">
        <is>
          <t>Ps10</t>
        </is>
      </c>
      <c r="F362" t="inlineStr">
        <is>
          <t>AO57BPF</t>
        </is>
      </c>
      <c r="G362" t="inlineStr">
        <is>
          <t xml:space="preserve">Tom Price Jay Denkmayer Dan Gilbert </t>
        </is>
      </c>
      <c r="H362" t="inlineStr">
        <is>
          <t>4x4Pickup Truck4x4</t>
        </is>
      </c>
      <c r="I362" t="inlineStr">
        <is>
          <t>Daily/ Weekly Vehicle Inspection</t>
        </is>
      </c>
      <c r="J362" t="inlineStr">
        <is>
          <t>N/A</t>
        </is>
      </c>
      <c r="K362" t="inlineStr">
        <is>
          <t>7186 Eastwoodbury Tree Services Ltd</t>
        </is>
      </c>
      <c r="L362" t="inlineStr">
        <is>
          <t>18/02/2025 14:58</t>
        </is>
      </c>
      <c r="M362" t="inlineStr">
        <is>
          <t>None</t>
        </is>
      </c>
      <c r="N362" t="inlineStr">
        <is>
          <t>&lt;p&gt;&lt;/p&gt;</t>
        </is>
      </c>
      <c r="O362" t="inlineStr"/>
      <c r="P362" t="inlineStr">
        <is>
          <t>4x4 - Land Rover  - Defender - FN60 0XM4x4 - Ford - Ranger - DE53NKS4x4 - Santana  - Ps10 - AO57 BPF</t>
        </is>
      </c>
      <c r="Q362" t="inlineStr">
        <is>
          <t>UKPN</t>
        </is>
      </c>
      <c r="R362" t="b">
        <v>0</v>
      </c>
    </row>
    <row r="363">
      <c r="A363" t="inlineStr">
        <is>
          <t>17 Feb 2025 / Mike Corran</t>
        </is>
      </c>
      <c r="B363" t="inlineStr">
        <is>
          <t>Utilities &amp; Inland Waterways</t>
        </is>
      </c>
      <c r="C363" t="inlineStr">
        <is>
          <t>NGED</t>
        </is>
      </c>
      <c r="D363" t="inlineStr">
        <is>
          <t>Tesla</t>
        </is>
      </c>
      <c r="E363" t="inlineStr">
        <is>
          <t>Model Y Long Range</t>
        </is>
      </c>
      <c r="F363" t="inlineStr">
        <is>
          <t>AJ72EWN</t>
        </is>
      </c>
      <c r="G363" t="inlineStr">
        <is>
          <t xml:space="preserve">Mike corran </t>
        </is>
      </c>
      <c r="H363" t="inlineStr">
        <is>
          <t>Car - Electric</t>
        </is>
      </c>
      <c r="I363" t="inlineStr">
        <is>
          <t>Daily/ Weekly Vehicle Inspection</t>
        </is>
      </c>
      <c r="J363" t="inlineStr">
        <is>
          <t>N/A</t>
        </is>
      </c>
      <c r="K363" t="inlineStr">
        <is>
          <t>Mike Corran</t>
        </is>
      </c>
      <c r="L363" t="inlineStr">
        <is>
          <t>18/02/2025 15:00</t>
        </is>
      </c>
      <c r="M363" t="inlineStr">
        <is>
          <t>None</t>
        </is>
      </c>
      <c r="N363" t="inlineStr">
        <is>
          <t>&lt;p&gt;&lt;/p&gt;</t>
        </is>
      </c>
      <c r="O363" t="inlineStr"/>
      <c r="P363" t="inlineStr">
        <is>
          <t>Car - Electric - Tesla - Y - AJ72 EWN</t>
        </is>
      </c>
      <c r="Q363" t="inlineStr">
        <is>
          <t>NGED</t>
        </is>
      </c>
      <c r="R363" t="b">
        <v>0</v>
      </c>
    </row>
    <row r="364">
      <c r="A364" t="inlineStr">
        <is>
          <t>17 Feb 2025 / 7889 Tree Tech Suffolk Ltd</t>
        </is>
      </c>
      <c r="B364" t="inlineStr">
        <is>
          <t>Utilities &amp; Inland Waterways</t>
        </is>
      </c>
      <c r="C364" t="inlineStr">
        <is>
          <t>UKPN</t>
        </is>
      </c>
      <c r="D364" t="inlineStr">
        <is>
          <t>Mercedes</t>
        </is>
      </c>
      <c r="E364" t="inlineStr">
        <is>
          <t>Sprinter</t>
        </is>
      </c>
      <c r="F364" t="inlineStr">
        <is>
          <t>NS06TTS</t>
        </is>
      </c>
      <c r="G364" t="inlineStr">
        <is>
          <t xml:space="preserve">Nikki sparrow Danny Appleby Danny Appleby </t>
        </is>
      </c>
      <c r="H364" t="inlineStr">
        <is>
          <t>4x4Towed ChipperTipper</t>
        </is>
      </c>
      <c r="I364" t="inlineStr">
        <is>
          <t>Daily/ Weekly Vehicle Inspection</t>
        </is>
      </c>
      <c r="J364" t="inlineStr">
        <is>
          <t>N/A</t>
        </is>
      </c>
      <c r="K364" t="inlineStr">
        <is>
          <t>7889 Tree Tech Suffolk Ltd</t>
        </is>
      </c>
      <c r="L364" t="inlineStr">
        <is>
          <t>18/02/2025 15:29</t>
        </is>
      </c>
      <c r="M364" t="inlineStr">
        <is>
          <t>None</t>
        </is>
      </c>
      <c r="N364" t="inlineStr">
        <is>
          <t>&lt;p&gt;&lt;/p&gt;</t>
        </is>
      </c>
      <c r="O364" t="inlineStr">
        <is>
          <t>Confirm that you have checked this vehicle as per the guidance document and the vehicle is safe and roadworthy:Crack in windscreen. Started at bottom of windscreen and has now gone halfway up. Still not in drivers view. MOT in march. Change as soon as possible. 
Front tyres worn on inside. Monitor. Take advice
-</t>
        </is>
      </c>
      <c r="P364" t="inlineStr">
        <is>
          <t>4x4 - Isuzu - D-max - NS03 TTSTow Chipper - Jenson - A530L - 5521063948Tipper - Mercedes - Sprinter - NS06TTS</t>
        </is>
      </c>
      <c r="Q364" t="inlineStr">
        <is>
          <t>UKPN</t>
        </is>
      </c>
      <c r="R364" t="b">
        <v>0</v>
      </c>
    </row>
    <row r="365">
      <c r="A365" t="inlineStr">
        <is>
          <t>17 Feb 2025 / 7800 MAC Tree Surgery and Fencing Ltd</t>
        </is>
      </c>
      <c r="B365" t="inlineStr">
        <is>
          <t>Utilities &amp; Inland Waterways</t>
        </is>
      </c>
      <c r="C365" t="inlineStr">
        <is>
          <t>UKPN</t>
        </is>
      </c>
      <c r="D365" t="inlineStr">
        <is>
          <t xml:space="preserve">Ford transit </t>
        </is>
      </c>
      <c r="E365" t="inlineStr">
        <is>
          <t xml:space="preserve">Transit tipper </t>
        </is>
      </c>
      <c r="F365" t="inlineStr">
        <is>
          <t>Fg16lnt</t>
        </is>
      </c>
      <c r="G365" t="inlineStr">
        <is>
          <t>Lewis mac Lewis mac Patrick oshea</t>
        </is>
      </c>
      <c r="H365" t="inlineStr">
        <is>
          <t>4x4Towed ChipperTipper</t>
        </is>
      </c>
      <c r="I365" t="inlineStr">
        <is>
          <t>Daily/ Weekly Vehicle Inspection</t>
        </is>
      </c>
      <c r="J365" t="inlineStr">
        <is>
          <t>N/A</t>
        </is>
      </c>
      <c r="K365" t="inlineStr">
        <is>
          <t>7800 MAC Tree Surgery and Fencing Ltd</t>
        </is>
      </c>
      <c r="L365" t="inlineStr">
        <is>
          <t>18/02/2025 15:32</t>
        </is>
      </c>
      <c r="M365" t="inlineStr">
        <is>
          <t>None</t>
        </is>
      </c>
      <c r="N365" t="inlineStr">
        <is>
          <t>&lt;p&gt;&lt;/p&gt;</t>
        </is>
      </c>
      <c r="O365" t="inlineStr"/>
      <c r="P365" t="inlineStr">
        <is>
          <t>4x4 - Izuzu - Dmax - AY68 DAATow Chipper - Timberwolf - TW150 - 205143043-a1Tipper - Ford transit  - Transit tipper  - Fg16lnt</t>
        </is>
      </c>
      <c r="Q365" t="inlineStr">
        <is>
          <t>UKPN</t>
        </is>
      </c>
      <c r="R365" t="b">
        <v>0</v>
      </c>
    </row>
    <row r="366">
      <c r="A366" t="inlineStr">
        <is>
          <t>17 Feb 2025 / 7186 Eastwoodbury Tree Services Ltd</t>
        </is>
      </c>
      <c r="B366" t="inlineStr">
        <is>
          <t>Utilities &amp; Inland Waterways</t>
        </is>
      </c>
      <c r="C366" t="inlineStr">
        <is>
          <t>UKPN</t>
        </is>
      </c>
      <c r="D366" t="inlineStr">
        <is>
          <t xml:space="preserve">Land Rover </t>
        </is>
      </c>
      <c r="E366" t="inlineStr">
        <is>
          <t>Defender</t>
        </is>
      </c>
      <c r="F366" t="inlineStr">
        <is>
          <t>FN600XM</t>
        </is>
      </c>
      <c r="G366" t="inlineStr">
        <is>
          <t xml:space="preserve">Dan Gilbert Jay Denkmayer </t>
        </is>
      </c>
      <c r="H366" t="inlineStr">
        <is>
          <t>4x44x4</t>
        </is>
      </c>
      <c r="I366" t="inlineStr">
        <is>
          <t>Daily/ Weekly Vehicle Inspection</t>
        </is>
      </c>
      <c r="J366" t="inlineStr">
        <is>
          <t>N/A</t>
        </is>
      </c>
      <c r="K366" t="inlineStr">
        <is>
          <t>7186 Eastwoodbury Tree Services Ltd</t>
        </is>
      </c>
      <c r="L366" t="inlineStr">
        <is>
          <t>18/02/2025 15:34</t>
        </is>
      </c>
      <c r="M366" t="inlineStr">
        <is>
          <t>None</t>
        </is>
      </c>
      <c r="N366" t="inlineStr">
        <is>
          <t>&lt;p&gt;&lt;/p&gt;</t>
        </is>
      </c>
      <c r="O366" t="inlineStr"/>
      <c r="P366" t="inlineStr">
        <is>
          <t>4x4 - Santana  - Ps10 - AO57 BPF4x4 - Land Rover  - Defender - FN60 0XM</t>
        </is>
      </c>
      <c r="Q366" t="inlineStr">
        <is>
          <t>UKPN</t>
        </is>
      </c>
      <c r="R366" t="b">
        <v>0</v>
      </c>
    </row>
    <row r="367">
      <c r="A367" t="inlineStr">
        <is>
          <t>17 Feb 2025 / 7806 Optimum Tree Services Ltd</t>
        </is>
      </c>
      <c r="B367" t="inlineStr">
        <is>
          <t>Utilities &amp; Inland Waterways</t>
        </is>
      </c>
      <c r="C367" t="inlineStr">
        <is>
          <t>UKPN</t>
        </is>
      </c>
      <c r="D367" t="inlineStr">
        <is>
          <t>Land Rover</t>
        </is>
      </c>
      <c r="E367" t="inlineStr">
        <is>
          <t>Defender</t>
        </is>
      </c>
      <c r="F367" t="inlineStr">
        <is>
          <t>WD14EVB</t>
        </is>
      </c>
      <c r="G367" t="inlineStr">
        <is>
          <t xml:space="preserve">Abraham Davies Abraham Davies </t>
        </is>
      </c>
      <c r="H367" t="inlineStr">
        <is>
          <t>4x4Plant Trailer</t>
        </is>
      </c>
      <c r="I367" t="inlineStr">
        <is>
          <t>Daily/ Weekly Vehicle Inspection</t>
        </is>
      </c>
      <c r="J367" t="inlineStr">
        <is>
          <t>N/A</t>
        </is>
      </c>
      <c r="K367" t="inlineStr">
        <is>
          <t>7806 Optimum Tree Services Ltd</t>
        </is>
      </c>
      <c r="L367" t="inlineStr">
        <is>
          <t>18/02/2025 15:35</t>
        </is>
      </c>
      <c r="M367" t="inlineStr">
        <is>
          <t>None</t>
        </is>
      </c>
      <c r="N367" t="inlineStr">
        <is>
          <t>&lt;p&gt;&lt;/p&gt;</t>
        </is>
      </c>
      <c r="O367" t="inlineStr"/>
      <c r="P367" t="inlineStr">
        <is>
          <t>MEWP - Land Rover - Defender - WD14 EVBPlant Trailer - Tow Mate - Plant Trailer - SA9TAPLAF27414263</t>
        </is>
      </c>
      <c r="Q367" t="inlineStr">
        <is>
          <t>UKPN</t>
        </is>
      </c>
      <c r="R367" t="b">
        <v>0</v>
      </c>
    </row>
    <row r="368">
      <c r="A368" t="inlineStr">
        <is>
          <t>20 Feb 2025 / 7806 Optimum Tree Services Ltd</t>
        </is>
      </c>
      <c r="B368" t="inlineStr">
        <is>
          <t>Utilities &amp; Inland Waterways</t>
        </is>
      </c>
      <c r="C368" t="inlineStr">
        <is>
          <t>UKPN</t>
        </is>
      </c>
      <c r="D368" t="inlineStr">
        <is>
          <t>Tesla</t>
        </is>
      </c>
      <c r="E368" t="inlineStr">
        <is>
          <t>3</t>
        </is>
      </c>
      <c r="F368" t="inlineStr">
        <is>
          <t>GE19ETL</t>
        </is>
      </c>
      <c r="G368" t="inlineStr">
        <is>
          <t xml:space="preserve">Abraham Davies </t>
        </is>
      </c>
      <c r="H368" t="inlineStr">
        <is>
          <t>Plant Trailer</t>
        </is>
      </c>
      <c r="I368" t="inlineStr">
        <is>
          <t>Daily/ Weekly Vehicle Inspection</t>
        </is>
      </c>
      <c r="J368" t="inlineStr">
        <is>
          <t>N/A</t>
        </is>
      </c>
      <c r="K368" t="inlineStr">
        <is>
          <t>7806 Optimum Tree Services Ltd</t>
        </is>
      </c>
      <c r="L368" t="inlineStr">
        <is>
          <t>20/02/2025 14:52</t>
        </is>
      </c>
      <c r="M368" t="inlineStr">
        <is>
          <t>None</t>
        </is>
      </c>
      <c r="N368" t="inlineStr">
        <is>
          <t>&lt;p&gt;&lt;/p&gt;</t>
        </is>
      </c>
      <c r="O368" t="inlineStr"/>
      <c r="P368" t="inlineStr">
        <is>
          <t>Plant Trailer - Tow Mate - Plant Trailer - SA9TAPLAF27414263</t>
        </is>
      </c>
      <c r="Q368" t="inlineStr">
        <is>
          <t>UKPN</t>
        </is>
      </c>
      <c r="R368" t="b">
        <v>0</v>
      </c>
    </row>
    <row r="369">
      <c r="A369" t="inlineStr">
        <is>
          <t>20 Feb 2025 / 7800 MAC Tree Surgery and Fencing Ltd</t>
        </is>
      </c>
      <c r="B369" t="inlineStr">
        <is>
          <t>Utilities &amp; Inland Waterways</t>
        </is>
      </c>
      <c r="C369" t="inlineStr">
        <is>
          <t>UKPN</t>
        </is>
      </c>
      <c r="D369" t="inlineStr">
        <is>
          <t>Izuzu</t>
        </is>
      </c>
      <c r="E369" t="inlineStr">
        <is>
          <t>Dmax</t>
        </is>
      </c>
      <c r="F369" t="inlineStr">
        <is>
          <t>Ay68daa</t>
        </is>
      </c>
      <c r="G369" t="inlineStr">
        <is>
          <t xml:space="preserve">Lewis mac Lewis mac </t>
        </is>
      </c>
      <c r="H369" t="inlineStr">
        <is>
          <t>4x4Towed Chipper</t>
        </is>
      </c>
      <c r="I369" t="inlineStr">
        <is>
          <t>Daily/ Weekly Vehicle Inspection</t>
        </is>
      </c>
      <c r="J369" t="inlineStr">
        <is>
          <t>N/A</t>
        </is>
      </c>
      <c r="K369" t="inlineStr">
        <is>
          <t>7800 MAC Tree Surgery and Fencing Ltd</t>
        </is>
      </c>
      <c r="L369" t="inlineStr">
        <is>
          <t>20/02/2025 14:53</t>
        </is>
      </c>
      <c r="M369" t="inlineStr">
        <is>
          <t>None</t>
        </is>
      </c>
      <c r="N369" t="inlineStr">
        <is>
          <t>&lt;p&gt;&lt;/p&gt;</t>
        </is>
      </c>
      <c r="O369" t="inlineStr"/>
      <c r="P369" t="inlineStr">
        <is>
          <t>4x4 - Izuzu - Dmax - Ay68 daaTow Chipper - Timberwolf - TW150 - 205143043-a1</t>
        </is>
      </c>
      <c r="Q369" t="inlineStr">
        <is>
          <t>UKPN</t>
        </is>
      </c>
      <c r="R369" t="b">
        <v>0</v>
      </c>
    </row>
    <row r="370">
      <c r="A370" t="inlineStr">
        <is>
          <t>24 Jan 2025 / 7800 MAC Trees and Fencing Ltd</t>
        </is>
      </c>
      <c r="B370" t="inlineStr">
        <is>
          <t>Utilities &amp; Inland Waterways</t>
        </is>
      </c>
      <c r="C370" t="inlineStr">
        <is>
          <t>UKPN</t>
        </is>
      </c>
      <c r="D370" t="inlineStr">
        <is>
          <t>Izuzu</t>
        </is>
      </c>
      <c r="E370" t="inlineStr">
        <is>
          <t>Dmax</t>
        </is>
      </c>
      <c r="F370" t="inlineStr">
        <is>
          <t>Ay68daa</t>
        </is>
      </c>
      <c r="G370" t="inlineStr">
        <is>
          <t xml:space="preserve">Lewis mac Lewis mac </t>
        </is>
      </c>
      <c r="H370" t="inlineStr">
        <is>
          <t>4x4Towed Chipper</t>
        </is>
      </c>
      <c r="I370" t="inlineStr">
        <is>
          <t>Daily/ Weekly Vehicle Inspection</t>
        </is>
      </c>
      <c r="J370" t="inlineStr">
        <is>
          <t>N/A</t>
        </is>
      </c>
      <c r="K370" t="inlineStr">
        <is>
          <t>7800 MAC Tree Surgery and Fencing Ltd</t>
        </is>
      </c>
      <c r="L370" t="inlineStr">
        <is>
          <t>20/02/2025 14:54</t>
        </is>
      </c>
      <c r="M370" t="inlineStr">
        <is>
          <t>None</t>
        </is>
      </c>
      <c r="N370" t="inlineStr">
        <is>
          <t>&lt;p&gt;&lt;/p&gt;</t>
        </is>
      </c>
      <c r="O370" t="inlineStr"/>
      <c r="P370" t="inlineStr">
        <is>
          <t>4x4 - Izuzu - Dmax - Ay68 daaTow Chipper - Timberwolf - TW150 - 205143043-a1</t>
        </is>
      </c>
      <c r="Q370" t="inlineStr">
        <is>
          <t>UKPN</t>
        </is>
      </c>
      <c r="R370" t="b">
        <v>0</v>
      </c>
    </row>
    <row r="371">
      <c r="A371" t="inlineStr">
        <is>
          <t>20 Feb 2025 / 7806 Optimum Tree Services Ltd</t>
        </is>
      </c>
      <c r="B371" t="inlineStr">
        <is>
          <t>Utilities &amp; Inland Waterways</t>
        </is>
      </c>
      <c r="C371" t="inlineStr">
        <is>
          <t>UKPN</t>
        </is>
      </c>
      <c r="D371" t="inlineStr">
        <is>
          <t>Tesla</t>
        </is>
      </c>
      <c r="E371" t="inlineStr">
        <is>
          <t>Model 3</t>
        </is>
      </c>
      <c r="F371" t="inlineStr">
        <is>
          <t>GJ71KAX</t>
        </is>
      </c>
      <c r="G371" t="inlineStr">
        <is>
          <t xml:space="preserve">Abraham Davies </t>
        </is>
      </c>
      <c r="H371" t="inlineStr">
        <is>
          <t>4x4</t>
        </is>
      </c>
      <c r="I371" t="inlineStr">
        <is>
          <t>Daily/ Weekly Vehicle Inspection</t>
        </is>
      </c>
      <c r="J371" t="inlineStr">
        <is>
          <t>N/A</t>
        </is>
      </c>
      <c r="K371" t="inlineStr">
        <is>
          <t>7806 Optimum Tree Services Ltd</t>
        </is>
      </c>
      <c r="L371" t="inlineStr">
        <is>
          <t>20/02/2025 14:55</t>
        </is>
      </c>
      <c r="M371" t="inlineStr">
        <is>
          <t>None</t>
        </is>
      </c>
      <c r="N371" t="inlineStr">
        <is>
          <t>&lt;p&gt;&lt;/p&gt;</t>
        </is>
      </c>
      <c r="O371" t="inlineStr"/>
      <c r="P371" t="inlineStr">
        <is>
          <t>MEWP - Land Rover - Defender - WD14 EVB</t>
        </is>
      </c>
      <c r="Q371" t="inlineStr">
        <is>
          <t>UKPN</t>
        </is>
      </c>
      <c r="R371" t="b">
        <v>0</v>
      </c>
    </row>
    <row r="372">
      <c r="A372" t="inlineStr">
        <is>
          <t>20 Feb 2025 / 7889 Tree Tech Suffolk Ltd</t>
        </is>
      </c>
      <c r="B372" t="inlineStr">
        <is>
          <t>Utilities &amp; Inland Waterways</t>
        </is>
      </c>
      <c r="C372" t="inlineStr">
        <is>
          <t>UKPN</t>
        </is>
      </c>
      <c r="D372" t="inlineStr">
        <is>
          <t xml:space="preserve">Vauxhall </t>
        </is>
      </c>
      <c r="E372" t="inlineStr">
        <is>
          <t>Vivaro</t>
        </is>
      </c>
      <c r="F372" t="inlineStr">
        <is>
          <t>Dy24xfo</t>
        </is>
      </c>
      <c r="G372" t="inlineStr">
        <is>
          <t xml:space="preserve">Nikki sparrow Danny Appleby Danny Appleby </t>
        </is>
      </c>
      <c r="H372" t="inlineStr">
        <is>
          <t>4x4Towed ChipperTipper</t>
        </is>
      </c>
      <c r="I372" t="inlineStr">
        <is>
          <t>Daily/ Weekly Vehicle Inspection</t>
        </is>
      </c>
      <c r="J372" t="inlineStr">
        <is>
          <t>N/A</t>
        </is>
      </c>
      <c r="K372" t="inlineStr">
        <is>
          <t>7889 Tree Tech Suffolk Ltd</t>
        </is>
      </c>
      <c r="L372" t="inlineStr">
        <is>
          <t>20/02/2025 14:57</t>
        </is>
      </c>
      <c r="M372" t="inlineStr">
        <is>
          <t>None</t>
        </is>
      </c>
      <c r="N372" t="inlineStr">
        <is>
          <t>&lt;p&gt;&lt;/p&gt;</t>
        </is>
      </c>
      <c r="O372" t="inlineStr">
        <is>
          <t>Confirm that you have checked this vehicle as per the guidance document and the vehicle is safe and roadworthy:Crack in windscreen. Started at bottom of windscreen and has now gone halfway up. Still not in drivers view. MOT in march. Change as soon as possible
-</t>
        </is>
      </c>
      <c r="P372" t="inlineStr">
        <is>
          <t>4x4 - Isuzu - D-max - NS03 TTSTow Chipper - Jenson - A530L - 5521063948Tipper - Mercedes - Sprinter - NS06TTS</t>
        </is>
      </c>
      <c r="Q372" t="inlineStr">
        <is>
          <t>UKPN</t>
        </is>
      </c>
      <c r="R372" t="b">
        <v>0</v>
      </c>
    </row>
    <row r="373">
      <c r="A373" t="inlineStr">
        <is>
          <t>20 Feb 2025 / 7186 Eastwoodbury Tree Services Ltd</t>
        </is>
      </c>
      <c r="B373" t="inlineStr">
        <is>
          <t>Utilities &amp; Inland Waterways</t>
        </is>
      </c>
      <c r="C373" t="inlineStr">
        <is>
          <t>UKPN</t>
        </is>
      </c>
      <c r="D373" t="inlineStr">
        <is>
          <t>Peugeot</t>
        </is>
      </c>
      <c r="E373" t="inlineStr">
        <is>
          <t>Partner</t>
        </is>
      </c>
      <c r="F373" t="inlineStr">
        <is>
          <t>NV70UWF</t>
        </is>
      </c>
      <c r="G373" t="inlineStr">
        <is>
          <t xml:space="preserve">Dan Gilbert Jay Denkmayer </t>
        </is>
      </c>
      <c r="H373" t="inlineStr">
        <is>
          <t>4x44x4</t>
        </is>
      </c>
      <c r="I373" t="inlineStr">
        <is>
          <t>Daily/ Weekly Vehicle Inspection</t>
        </is>
      </c>
      <c r="J373" t="inlineStr">
        <is>
          <t>N/A</t>
        </is>
      </c>
      <c r="K373" t="inlineStr">
        <is>
          <t>7186 Eastwoodbury Tree Services Ltd</t>
        </is>
      </c>
      <c r="L373" t="inlineStr">
        <is>
          <t>20/02/2025 14:58</t>
        </is>
      </c>
      <c r="M373" t="inlineStr">
        <is>
          <t>None</t>
        </is>
      </c>
      <c r="N373" t="inlineStr">
        <is>
          <t>&lt;p&gt;&lt;/p&gt;</t>
        </is>
      </c>
      <c r="O373" t="inlineStr"/>
      <c r="P373" t="inlineStr">
        <is>
          <t>4x4 - Santana  - Ps10 - AO57 BPF4x4 - Land Rover  - Defender - FN60 0XM</t>
        </is>
      </c>
      <c r="Q373" t="inlineStr">
        <is>
          <t>UKPN</t>
        </is>
      </c>
      <c r="R373" t="b">
        <v>0</v>
      </c>
    </row>
    <row r="374">
      <c r="A374" t="inlineStr">
        <is>
          <t>20 Feb 2025 / 6617 Ashdown Tree Limited</t>
        </is>
      </c>
      <c r="B374" t="inlineStr">
        <is>
          <t>Utilities &amp; Inland Waterways</t>
        </is>
      </c>
      <c r="C374" t="inlineStr">
        <is>
          <t>UKPN</t>
        </is>
      </c>
      <c r="D374" t="inlineStr">
        <is>
          <t>Land Rover</t>
        </is>
      </c>
      <c r="E374" t="inlineStr">
        <is>
          <t>Defender</t>
        </is>
      </c>
      <c r="F374" t="inlineStr">
        <is>
          <t>GU11LKD</t>
        </is>
      </c>
      <c r="G374" t="inlineStr">
        <is>
          <t xml:space="preserve">Francis lesser Francis lesser </t>
        </is>
      </c>
      <c r="H374" t="inlineStr">
        <is>
          <t>4x4Towed Chipper</t>
        </is>
      </c>
      <c r="I374" t="inlineStr">
        <is>
          <t>Daily/ Weekly Vehicle Inspection</t>
        </is>
      </c>
      <c r="J374" t="inlineStr">
        <is>
          <t>N/A</t>
        </is>
      </c>
      <c r="K374" t="inlineStr">
        <is>
          <t>6617 Ashdown Tree Limited</t>
        </is>
      </c>
      <c r="L374" t="inlineStr">
        <is>
          <t>20/02/2025 14:59</t>
        </is>
      </c>
      <c r="M374" t="inlineStr">
        <is>
          <t>None</t>
        </is>
      </c>
      <c r="N374" t="inlineStr">
        <is>
          <t>&lt;p&gt;&lt;/p&gt;</t>
        </is>
      </c>
      <c r="O374" t="inlineStr">
        <is>
          <t>Select Vehicle:Wg63ojs</t>
        </is>
      </c>
      <c r="P374" t="inlineStr">
        <is>
          <t>4x4 - Land Rover - Defender - GU11 LKDTow Chipper - Timberwolf - TW230 - SBXTW 37A2PS241049</t>
        </is>
      </c>
      <c r="Q374" t="inlineStr">
        <is>
          <t>UKPN</t>
        </is>
      </c>
      <c r="R374" t="b">
        <v>0</v>
      </c>
    </row>
    <row r="375">
      <c r="A375" t="inlineStr">
        <is>
          <t>19 Feb 2025 / Alexander Damar</t>
        </is>
      </c>
      <c r="B375" t="inlineStr">
        <is>
          <t>Utilities &amp; Inland Waterways</t>
        </is>
      </c>
      <c r="C375" t="inlineStr">
        <is>
          <t>UKPN</t>
        </is>
      </c>
      <c r="D375" t="inlineStr">
        <is>
          <t xml:space="preserve">Land Rover </t>
        </is>
      </c>
      <c r="E375" t="inlineStr">
        <is>
          <t>Defender</t>
        </is>
      </c>
      <c r="F375" t="inlineStr">
        <is>
          <t>FN600XM</t>
        </is>
      </c>
      <c r="G375" t="inlineStr">
        <is>
          <t>A damar</t>
        </is>
      </c>
      <c r="H375" t="inlineStr">
        <is>
          <t>Car - Petrol</t>
        </is>
      </c>
      <c r="I375" t="inlineStr">
        <is>
          <t>Daily/ Weekly Vehicle Inspection</t>
        </is>
      </c>
      <c r="J375" t="inlineStr">
        <is>
          <t>N/A</t>
        </is>
      </c>
      <c r="K375" t="inlineStr">
        <is>
          <t>Alexander Damar</t>
        </is>
      </c>
      <c r="L375" t="inlineStr">
        <is>
          <t>20/02/2025 15:21</t>
        </is>
      </c>
      <c r="M375" t="inlineStr">
        <is>
          <t>None</t>
        </is>
      </c>
      <c r="N375" t="inlineStr">
        <is>
          <t>&lt;p&gt;&lt;/p&gt;</t>
        </is>
      </c>
      <c r="O375" t="inlineStr">
        <is>
          <t>Confirm that you have checked this vehicle as per the guidance document and the vehicle is safe and roadworthy:Visual inspection only
-</t>
        </is>
      </c>
      <c r="P375" t="inlineStr">
        <is>
          <t>Car - Petrol - Mg - Hs - Lb73vhj</t>
        </is>
      </c>
      <c r="Q375" t="inlineStr">
        <is>
          <t>UKPN</t>
        </is>
      </c>
      <c r="R375" t="b">
        <v>0</v>
      </c>
    </row>
    <row r="376">
      <c r="A376" t="inlineStr">
        <is>
          <t>19 Feb 2025 / 7186 Eastwoodbury Tree Services Ltd</t>
        </is>
      </c>
      <c r="B376" t="inlineStr">
        <is>
          <t>Utilities &amp; Inland Waterways</t>
        </is>
      </c>
      <c r="C376" t="inlineStr">
        <is>
          <t>UKPN</t>
        </is>
      </c>
      <c r="D376" t="inlineStr">
        <is>
          <t>Tesla</t>
        </is>
      </c>
      <c r="E376" t="inlineStr">
        <is>
          <t xml:space="preserve">Y </t>
        </is>
      </c>
      <c r="F376" t="inlineStr">
        <is>
          <t>AF23FBN</t>
        </is>
      </c>
      <c r="G376" t="inlineStr">
        <is>
          <t xml:space="preserve">Dan Gilbert Jay Denkmayer </t>
        </is>
      </c>
      <c r="H376" t="inlineStr">
        <is>
          <t>4x44x4</t>
        </is>
      </c>
      <c r="I376" t="inlineStr">
        <is>
          <t>Daily/ Weekly Vehicle Inspection</t>
        </is>
      </c>
      <c r="J376" t="inlineStr">
        <is>
          <t>N/A</t>
        </is>
      </c>
      <c r="K376" t="inlineStr">
        <is>
          <t>7186 Eastwoodbury Tree Services Ltd</t>
        </is>
      </c>
      <c r="L376" t="inlineStr">
        <is>
          <t>20/02/2025 15:23</t>
        </is>
      </c>
      <c r="M376" t="inlineStr">
        <is>
          <t>None</t>
        </is>
      </c>
      <c r="N376" t="inlineStr">
        <is>
          <t>&lt;p&gt;&lt;/p&gt;</t>
        </is>
      </c>
      <c r="O376" t="inlineStr"/>
      <c r="P376" t="inlineStr">
        <is>
          <t>4x4 - Santana  - Ps10 - AO57 BPF4x4 - Land Rover  - Defender - FN60 0XM</t>
        </is>
      </c>
      <c r="Q376" t="inlineStr">
        <is>
          <t>UKPN</t>
        </is>
      </c>
      <c r="R376" t="b">
        <v>0</v>
      </c>
    </row>
    <row r="377">
      <c r="A377" t="inlineStr">
        <is>
          <t>21 Feb 2025 / 6617 Ashdown Tree Limited</t>
        </is>
      </c>
      <c r="B377" t="inlineStr">
        <is>
          <t>Utilities &amp; Inland Waterways</t>
        </is>
      </c>
      <c r="C377" t="inlineStr">
        <is>
          <t>UKPN</t>
        </is>
      </c>
      <c r="D377" t="inlineStr">
        <is>
          <t>Land Rover</t>
        </is>
      </c>
      <c r="E377" t="inlineStr">
        <is>
          <t>Defender</t>
        </is>
      </c>
      <c r="F377" t="inlineStr">
        <is>
          <t>GU11LKD</t>
        </is>
      </c>
      <c r="G377" t="inlineStr">
        <is>
          <t xml:space="preserve">Francis lesser Francis lesser </t>
        </is>
      </c>
      <c r="H377" t="inlineStr">
        <is>
          <t>4x4Towed Chipper</t>
        </is>
      </c>
      <c r="I377" t="inlineStr">
        <is>
          <t>Daily/ Weekly Vehicle Inspection</t>
        </is>
      </c>
      <c r="J377" t="inlineStr">
        <is>
          <t>N/A</t>
        </is>
      </c>
      <c r="K377" t="inlineStr">
        <is>
          <t>6617 Ashdown Tree Limited</t>
        </is>
      </c>
      <c r="L377" t="inlineStr">
        <is>
          <t>22/02/2025 14:53</t>
        </is>
      </c>
      <c r="M377" t="inlineStr">
        <is>
          <t>None</t>
        </is>
      </c>
      <c r="N377" t="inlineStr">
        <is>
          <t>&lt;p&gt;&lt;/p&gt;</t>
        </is>
      </c>
      <c r="O377" t="inlineStr">
        <is>
          <t>Select Vehicle:Wg63ojs</t>
        </is>
      </c>
      <c r="P377" t="inlineStr">
        <is>
          <t>4x4 - Land Rover - Defender - GU11 LKDTow Chipper - Timberwolf - TW230 - SBXTW 37A2PS241049</t>
        </is>
      </c>
      <c r="Q377" t="inlineStr">
        <is>
          <t>UKPN</t>
        </is>
      </c>
      <c r="R377" t="b">
        <v>0</v>
      </c>
    </row>
    <row r="378">
      <c r="A378" t="inlineStr">
        <is>
          <t>21 Feb 2025 / 7186 Eastwoodbury Tree Services Ltd</t>
        </is>
      </c>
      <c r="B378" t="inlineStr">
        <is>
          <t>Utilities &amp; Inland Waterways</t>
        </is>
      </c>
      <c r="C378" t="inlineStr">
        <is>
          <t>UKPN</t>
        </is>
      </c>
      <c r="D378" t="inlineStr">
        <is>
          <t>Ford Transit</t>
        </is>
      </c>
      <c r="E378" t="inlineStr">
        <is>
          <t>Transit</t>
        </is>
      </c>
      <c r="F378" t="inlineStr">
        <is>
          <t>EY17YGM</t>
        </is>
      </c>
      <c r="G378" t="inlineStr">
        <is>
          <t xml:space="preserve">Dan Gilbert Jay Denkmayer </t>
        </is>
      </c>
      <c r="H378" t="inlineStr">
        <is>
          <t>4x44x4</t>
        </is>
      </c>
      <c r="I378" t="inlineStr">
        <is>
          <t>Daily/ Weekly Vehicle Inspection</t>
        </is>
      </c>
      <c r="J378" t="inlineStr">
        <is>
          <t>N/A</t>
        </is>
      </c>
      <c r="K378" t="inlineStr">
        <is>
          <t>7186 Eastwoodbury Tree Services Ltd</t>
        </is>
      </c>
      <c r="L378" t="inlineStr">
        <is>
          <t>22/02/2025 14:54</t>
        </is>
      </c>
      <c r="M378" t="inlineStr">
        <is>
          <t>None</t>
        </is>
      </c>
      <c r="N378" t="inlineStr">
        <is>
          <t>&lt;p&gt;&lt;/p&gt;</t>
        </is>
      </c>
      <c r="O378" t="inlineStr"/>
      <c r="P378" t="inlineStr">
        <is>
          <t>4x4 - Santana  - Ps10 - AO57 BPF4x4 - Land Rover  - Defender - FN60 0XM</t>
        </is>
      </c>
      <c r="Q378" t="inlineStr">
        <is>
          <t>UKPN</t>
        </is>
      </c>
      <c r="R378" t="b">
        <v>0</v>
      </c>
    </row>
    <row r="379">
      <c r="A379" t="inlineStr">
        <is>
          <t>21 Feb 2025 / 7806 Optimum Tree Services Ltd</t>
        </is>
      </c>
      <c r="B379" t="inlineStr">
        <is>
          <t>Utilities &amp; Inland Waterways</t>
        </is>
      </c>
      <c r="C379" t="inlineStr">
        <is>
          <t>UKPN</t>
        </is>
      </c>
      <c r="D379" t="inlineStr">
        <is>
          <t>Land Rover</t>
        </is>
      </c>
      <c r="E379" t="inlineStr">
        <is>
          <t>Defender</t>
        </is>
      </c>
      <c r="F379" t="inlineStr">
        <is>
          <t>WD14EVB</t>
        </is>
      </c>
      <c r="G379" t="inlineStr">
        <is>
          <t xml:space="preserve">Abraham DaviesAbraham Davies </t>
        </is>
      </c>
      <c r="H379" t="inlineStr">
        <is>
          <t>4x4Plant Trailer</t>
        </is>
      </c>
      <c r="I379" t="inlineStr">
        <is>
          <t>Daily/ Weekly Vehicle Inspection</t>
        </is>
      </c>
      <c r="J379" t="inlineStr">
        <is>
          <t>N/A</t>
        </is>
      </c>
      <c r="K379" t="inlineStr">
        <is>
          <t>7806 Optimum Tree Services Ltd</t>
        </is>
      </c>
      <c r="L379" t="inlineStr">
        <is>
          <t>22/02/2025 14:55</t>
        </is>
      </c>
      <c r="M379" t="inlineStr">
        <is>
          <t>None</t>
        </is>
      </c>
      <c r="N379" t="inlineStr">
        <is>
          <t>&lt;p&gt;&lt;/p&gt;</t>
        </is>
      </c>
      <c r="O379" t="inlineStr"/>
      <c r="P379" t="inlineStr">
        <is>
          <t>MEWP - Land Rover - Defender - WD14 EVBPlant Trailer - Tow Mate - Plant Trailer - SA9TAPLAF27414263</t>
        </is>
      </c>
      <c r="Q379" t="inlineStr">
        <is>
          <t>UKPN</t>
        </is>
      </c>
      <c r="R379" t="b">
        <v>0</v>
      </c>
    </row>
    <row r="380">
      <c r="A380" t="inlineStr">
        <is>
          <t>21 Feb 2025 / 7800 MAC Tree Surgery and Fencing Ltd</t>
        </is>
      </c>
      <c r="B380" t="inlineStr">
        <is>
          <t>Utilities &amp; Inland Waterways</t>
        </is>
      </c>
      <c r="C380" t="inlineStr">
        <is>
          <t>UKPN</t>
        </is>
      </c>
      <c r="D380" t="inlineStr">
        <is>
          <t>Izuzu</t>
        </is>
      </c>
      <c r="E380" t="inlineStr">
        <is>
          <t>Dmax</t>
        </is>
      </c>
      <c r="F380" t="inlineStr">
        <is>
          <t>Ay68daa</t>
        </is>
      </c>
      <c r="G380" t="inlineStr">
        <is>
          <t xml:space="preserve">Lewis mac Lewis mac </t>
        </is>
      </c>
      <c r="H380" t="inlineStr">
        <is>
          <t>4x4Towed Chipper</t>
        </is>
      </c>
      <c r="I380" t="inlineStr">
        <is>
          <t>Daily/ Weekly Vehicle Inspection</t>
        </is>
      </c>
      <c r="J380" t="inlineStr">
        <is>
          <t>N/A</t>
        </is>
      </c>
      <c r="K380" t="inlineStr">
        <is>
          <t>7800 MAC Tree Surgery and Fencing Ltd</t>
        </is>
      </c>
      <c r="L380" t="inlineStr">
        <is>
          <t>22/02/2025 14:56</t>
        </is>
      </c>
      <c r="M380" t="inlineStr">
        <is>
          <t>None</t>
        </is>
      </c>
      <c r="N380" t="inlineStr">
        <is>
          <t>&lt;p&gt;&lt;/p&gt;</t>
        </is>
      </c>
      <c r="O380" t="inlineStr"/>
      <c r="P380" t="inlineStr">
        <is>
          <t>4x4 - Izuzu - Dmax - Ay68 daaTow Chipper - Timberwolf - TW150 - 205143043-a1</t>
        </is>
      </c>
      <c r="Q380" t="inlineStr">
        <is>
          <t>UKPN</t>
        </is>
      </c>
      <c r="R380" t="b">
        <v>0</v>
      </c>
    </row>
    <row r="381">
      <c r="A381" t="inlineStr">
        <is>
          <t>24 Feb 2025 / 3098 D &amp; R Landscapes (PEND Arb Rail)</t>
        </is>
      </c>
      <c r="B381" t="inlineStr">
        <is>
          <t>Utilities &amp; Inland Waterways</t>
        </is>
      </c>
      <c r="C381" t="inlineStr">
        <is>
          <t>UKPN</t>
        </is>
      </c>
      <c r="D381" t="inlineStr">
        <is>
          <t>Nissan</t>
        </is>
      </c>
      <c r="E381" t="inlineStr">
        <is>
          <t>Navara</t>
        </is>
      </c>
      <c r="F381" t="inlineStr">
        <is>
          <t>FX17YVM</t>
        </is>
      </c>
      <c r="G381" t="inlineStr">
        <is>
          <t xml:space="preserve">Jason </t>
        </is>
      </c>
      <c r="H381" t="inlineStr">
        <is>
          <t>Pickup Truck</t>
        </is>
      </c>
      <c r="I381" t="inlineStr">
        <is>
          <t>Daily/ Weekly Vehicle Inspection</t>
        </is>
      </c>
      <c r="J381" t="inlineStr">
        <is>
          <t>N/A</t>
        </is>
      </c>
      <c r="K381" t="inlineStr">
        <is>
          <t>3098 D &amp; R Landscapes (PEND Arb Rail)</t>
        </is>
      </c>
      <c r="L381" t="inlineStr">
        <is>
          <t>24/02/2025 15:00</t>
        </is>
      </c>
      <c r="M381" t="inlineStr">
        <is>
          <t>None</t>
        </is>
      </c>
      <c r="N381" t="inlineStr">
        <is>
          <t>&lt;p&gt;&lt;/p&gt;</t>
        </is>
      </c>
      <c r="O381" t="inlineStr"/>
      <c r="P381" t="inlineStr">
        <is>
          <t>Vehicle - Nissan - Navara - FX17 YVM</t>
        </is>
      </c>
      <c r="Q381" t="inlineStr">
        <is>
          <t>UKPN</t>
        </is>
      </c>
      <c r="R381" t="b">
        <v>0</v>
      </c>
    </row>
    <row r="382">
      <c r="A382" t="inlineStr">
        <is>
          <t>24 Feb 2025 / 3098 D &amp; R Landscapes (PEND Arb Rail)</t>
        </is>
      </c>
      <c r="B382" t="inlineStr">
        <is>
          <t>Utilities &amp; Inland Waterways</t>
        </is>
      </c>
      <c r="C382" t="inlineStr">
        <is>
          <t>UKPN</t>
        </is>
      </c>
      <c r="D382" t="inlineStr">
        <is>
          <t>Nissan</t>
        </is>
      </c>
      <c r="E382" t="inlineStr">
        <is>
          <t>Navara</t>
        </is>
      </c>
      <c r="F382" t="inlineStr">
        <is>
          <t>FX17YVM</t>
        </is>
      </c>
      <c r="G382" t="inlineStr">
        <is>
          <t>Jason MCCLOY</t>
        </is>
      </c>
      <c r="H382" t="inlineStr">
        <is>
          <t>4x4</t>
        </is>
      </c>
      <c r="I382" t="inlineStr">
        <is>
          <t>Daily/ Weekly Vehicle Inspection</t>
        </is>
      </c>
      <c r="J382" t="inlineStr">
        <is>
          <t>N/A</t>
        </is>
      </c>
      <c r="K382" t="inlineStr">
        <is>
          <t>3098 D &amp; R Landscapes (PEND Arb Rail)</t>
        </is>
      </c>
      <c r="L382" t="inlineStr">
        <is>
          <t>24/02/2025 15:02</t>
        </is>
      </c>
      <c r="M382" t="inlineStr">
        <is>
          <t>None</t>
        </is>
      </c>
      <c r="N382" t="inlineStr">
        <is>
          <t>&lt;p&gt;&lt;/p&gt;</t>
        </is>
      </c>
      <c r="O382" t="inlineStr"/>
      <c r="P382" t="inlineStr">
        <is>
          <t>Vehicle - Nissan - Navara - FX17 YVM</t>
        </is>
      </c>
      <c r="Q382" t="inlineStr">
        <is>
          <t>UKPN</t>
        </is>
      </c>
      <c r="R382" t="b">
        <v>0</v>
      </c>
    </row>
    <row r="383">
      <c r="A383" t="inlineStr">
        <is>
          <t>24 Feb 2025 / 7186 Eastwoodbury Tree Services Ltd</t>
        </is>
      </c>
      <c r="B383" t="inlineStr">
        <is>
          <t>Utilities &amp; Inland Waterways</t>
        </is>
      </c>
      <c r="C383" t="inlineStr">
        <is>
          <t>UKPN</t>
        </is>
      </c>
      <c r="D383" t="inlineStr">
        <is>
          <t>Ford</t>
        </is>
      </c>
      <c r="E383" t="inlineStr">
        <is>
          <t>Transit</t>
        </is>
      </c>
      <c r="F383" t="inlineStr">
        <is>
          <t>DN61XKJ</t>
        </is>
      </c>
      <c r="G383" t="inlineStr">
        <is>
          <t xml:space="preserve">Dan Gilbert Tom Price Jay Denkmayer </t>
        </is>
      </c>
      <c r="H383" t="inlineStr">
        <is>
          <t>4x44x4Tipper</t>
        </is>
      </c>
      <c r="I383" t="inlineStr">
        <is>
          <t>Daily/ Weekly Vehicle Inspection</t>
        </is>
      </c>
      <c r="J383" t="inlineStr">
        <is>
          <t>N/A</t>
        </is>
      </c>
      <c r="K383" t="inlineStr">
        <is>
          <t>7186 Eastwoodbury Tree Services Ltd</t>
        </is>
      </c>
      <c r="L383" t="inlineStr">
        <is>
          <t>24/02/2025 15:23</t>
        </is>
      </c>
      <c r="M383" t="inlineStr">
        <is>
          <t>None</t>
        </is>
      </c>
      <c r="N383" t="inlineStr">
        <is>
          <t>&lt;p&gt;&lt;/p&gt;</t>
        </is>
      </c>
      <c r="O383" t="inlineStr"/>
      <c r="P383" t="inlineStr">
        <is>
          <t>4x4 - Santana  - Ps10 - AO57 BPF4x4 - Land Rover  - Defender - FN60 0XMTipper - Ford - Transit - DN61XKJ</t>
        </is>
      </c>
      <c r="Q383" t="inlineStr">
        <is>
          <t>UKPN</t>
        </is>
      </c>
      <c r="R383" t="b">
        <v>0</v>
      </c>
    </row>
    <row r="384">
      <c r="A384" t="inlineStr">
        <is>
          <t>24 Feb 2025 / 6617 Ashdown Tree Limited</t>
        </is>
      </c>
      <c r="B384" t="inlineStr">
        <is>
          <t>Utilities &amp; Inland Waterways</t>
        </is>
      </c>
      <c r="C384" t="inlineStr">
        <is>
          <t>UKPN</t>
        </is>
      </c>
      <c r="D384" t="inlineStr">
        <is>
          <t xml:space="preserve">Land rover </t>
        </is>
      </c>
      <c r="E384" t="inlineStr">
        <is>
          <t xml:space="preserve">Defender mewp </t>
        </is>
      </c>
      <c r="F384" t="inlineStr">
        <is>
          <t>TR55tub</t>
        </is>
      </c>
      <c r="G384" t="inlineStr">
        <is>
          <t xml:space="preserve">Ashley </t>
        </is>
      </c>
      <c r="H384" t="inlineStr">
        <is>
          <t>4x4</t>
        </is>
      </c>
      <c r="I384" t="inlineStr">
        <is>
          <t>Daily/ Weekly Vehicle Inspection</t>
        </is>
      </c>
      <c r="J384" t="inlineStr">
        <is>
          <t>N/A</t>
        </is>
      </c>
      <c r="K384" t="inlineStr">
        <is>
          <t>6617 Ashdown Tree Limited</t>
        </is>
      </c>
      <c r="L384" t="inlineStr">
        <is>
          <t>24/02/2025 15:24</t>
        </is>
      </c>
      <c r="M384" t="inlineStr">
        <is>
          <t>None</t>
        </is>
      </c>
      <c r="N384" t="inlineStr">
        <is>
          <t>&lt;p&gt;&lt;/p&gt;</t>
        </is>
      </c>
      <c r="O384" t="inlineStr"/>
      <c r="P384" t="inlineStr">
        <is>
          <t>4x4 - Land rover  - Defender mewp  - TR55 tub</t>
        </is>
      </c>
      <c r="Q384" t="inlineStr">
        <is>
          <t>UKPN</t>
        </is>
      </c>
      <c r="R384" t="b">
        <v>0</v>
      </c>
    </row>
    <row r="385">
      <c r="A385" t="inlineStr">
        <is>
          <t>24 Feb 2025 / 7800 MAC Tree Surgery and Fencing Ltd</t>
        </is>
      </c>
      <c r="B385" t="inlineStr">
        <is>
          <t>Utilities &amp; Inland Waterways</t>
        </is>
      </c>
      <c r="C385" t="inlineStr">
        <is>
          <t>UKPN</t>
        </is>
      </c>
      <c r="D385" t="inlineStr">
        <is>
          <t>Izuzu</t>
        </is>
      </c>
      <c r="E385" t="inlineStr">
        <is>
          <t>Dmax</t>
        </is>
      </c>
      <c r="F385" t="inlineStr">
        <is>
          <t>Ay68daa</t>
        </is>
      </c>
      <c r="G385" t="inlineStr">
        <is>
          <t xml:space="preserve">Lewis mac Lewis mac </t>
        </is>
      </c>
      <c r="H385" t="inlineStr">
        <is>
          <t>4x4Towed Chipper</t>
        </is>
      </c>
      <c r="I385" t="inlineStr">
        <is>
          <t>Daily/ Weekly Vehicle Inspection</t>
        </is>
      </c>
      <c r="J385" t="inlineStr">
        <is>
          <t>N/A</t>
        </is>
      </c>
      <c r="K385" t="inlineStr">
        <is>
          <t>7800 MAC Tree Surgery and Fencing Ltd</t>
        </is>
      </c>
      <c r="L385" t="inlineStr">
        <is>
          <t>24/02/2025 15:25</t>
        </is>
      </c>
      <c r="M385" t="inlineStr">
        <is>
          <t>None</t>
        </is>
      </c>
      <c r="N385" t="inlineStr">
        <is>
          <t>&lt;p&gt;&lt;/p&gt;</t>
        </is>
      </c>
      <c r="O385" t="inlineStr"/>
      <c r="P385" t="inlineStr">
        <is>
          <t>4x4 - Izuzu - Dmax - Ay68 daaTow Chipper - Timberwolf - TW150 - 205143043-a1</t>
        </is>
      </c>
      <c r="Q385" t="inlineStr">
        <is>
          <t>UKPN</t>
        </is>
      </c>
      <c r="R385" t="b">
        <v>0</v>
      </c>
    </row>
    <row r="386">
      <c r="A386" t="inlineStr">
        <is>
          <t>24 Feb 2025 / 6617 Ashdown Tree Limited</t>
        </is>
      </c>
      <c r="B386" t="inlineStr">
        <is>
          <t>Utilities &amp; Inland Waterways</t>
        </is>
      </c>
      <c r="C386" t="inlineStr">
        <is>
          <t>UKPN</t>
        </is>
      </c>
      <c r="D386" t="inlineStr">
        <is>
          <t xml:space="preserve">Land rover </t>
        </is>
      </c>
      <c r="E386" t="inlineStr">
        <is>
          <t xml:space="preserve">defender </t>
        </is>
      </c>
      <c r="F386" t="inlineStr">
        <is>
          <t>Wg63ojs</t>
        </is>
      </c>
      <c r="G386" t="inlineStr">
        <is>
          <t xml:space="preserve">Francis lesser Francis lesser </t>
        </is>
      </c>
      <c r="H386" t="inlineStr">
        <is>
          <t>4x4Towed Chipper</t>
        </is>
      </c>
      <c r="I386" t="inlineStr">
        <is>
          <t>Daily/ Weekly Vehicle Inspection</t>
        </is>
      </c>
      <c r="J386" t="inlineStr">
        <is>
          <t>N/A</t>
        </is>
      </c>
      <c r="K386" t="inlineStr">
        <is>
          <t>6617 Ashdown Tree Limited</t>
        </is>
      </c>
      <c r="L386" t="inlineStr">
        <is>
          <t>24/02/2025 15:27</t>
        </is>
      </c>
      <c r="M386" t="inlineStr">
        <is>
          <t>None</t>
        </is>
      </c>
      <c r="N386" t="inlineStr">
        <is>
          <t>&lt;p&gt;&lt;/p&gt;</t>
        </is>
      </c>
      <c r="O386" t="inlineStr">
        <is>
          <t>Select Vehicle:Wg63ojs</t>
        </is>
      </c>
      <c r="P386" t="inlineStr">
        <is>
          <t>4x4 - Land Rover - Defender - GU11 LKDTow Chipper - Timberwolf - TW230DHB - SBXTW 35A6LS209184</t>
        </is>
      </c>
      <c r="Q386" t="inlineStr">
        <is>
          <t>UKPN</t>
        </is>
      </c>
      <c r="R386" t="b">
        <v>0</v>
      </c>
    </row>
    <row r="387">
      <c r="A387" t="inlineStr">
        <is>
          <t>23 Feb 2025 / 6617 Ashdown Tree Limited</t>
        </is>
      </c>
      <c r="B387" t="inlineStr">
        <is>
          <t>Utilities &amp; Inland Waterways</t>
        </is>
      </c>
      <c r="C387" t="inlineStr">
        <is>
          <t>UKPN</t>
        </is>
      </c>
      <c r="D387" t="inlineStr">
        <is>
          <t>Ford</t>
        </is>
      </c>
      <c r="E387" t="inlineStr">
        <is>
          <t>Transit</t>
        </is>
      </c>
      <c r="F387" t="inlineStr">
        <is>
          <t>TR66BOY</t>
        </is>
      </c>
      <c r="G387" t="inlineStr">
        <is>
          <t>Ashley Dan</t>
        </is>
      </c>
      <c r="H387" t="inlineStr">
        <is>
          <t>4x4Tipper</t>
        </is>
      </c>
      <c r="I387" t="inlineStr">
        <is>
          <t>Daily/ Weekly Vehicle Inspection</t>
        </is>
      </c>
      <c r="J387" t="inlineStr">
        <is>
          <t>N/A</t>
        </is>
      </c>
      <c r="K387" t="inlineStr">
        <is>
          <t>6617 Ashdown Tree Limited</t>
        </is>
      </c>
      <c r="L387" t="inlineStr">
        <is>
          <t>24/02/2025 15:29</t>
        </is>
      </c>
      <c r="M387" t="inlineStr">
        <is>
          <t>None</t>
        </is>
      </c>
      <c r="N387" t="inlineStr">
        <is>
          <t>&lt;p&gt;&lt;/p&gt;</t>
        </is>
      </c>
      <c r="O387" t="inlineStr"/>
      <c r="P387" t="inlineStr">
        <is>
          <t>Vehicle - Land Rover - Discovery  - WF11 EJJTipper - Ford - Transit - TR66 BOY</t>
        </is>
      </c>
      <c r="Q387" t="inlineStr">
        <is>
          <t>UKPN</t>
        </is>
      </c>
      <c r="R387" t="b">
        <v>0</v>
      </c>
    </row>
    <row r="388">
      <c r="A388" t="inlineStr">
        <is>
          <t>26 Feb 2025 / 6556 DE UA SWales3</t>
        </is>
      </c>
      <c r="B388" t="inlineStr">
        <is>
          <t>Utilities &amp; Inland Waterways</t>
        </is>
      </c>
      <c r="C388" t="inlineStr">
        <is>
          <t>NGED</t>
        </is>
      </c>
      <c r="D388" t="inlineStr">
        <is>
          <t>D-Max</t>
        </is>
      </c>
      <c r="E388" t="inlineStr">
        <is>
          <t>BK72ZPG- Ford</t>
        </is>
      </c>
      <c r="F388" t="inlineStr">
        <is>
          <t>Ranger</t>
        </is>
      </c>
      <c r="G388" t="inlineStr">
        <is>
          <t>Adrian Evans Daniel Davies</t>
        </is>
      </c>
      <c r="H388" t="inlineStr">
        <is>
          <t>4x4Tipper</t>
        </is>
      </c>
      <c r="I388" t="inlineStr">
        <is>
          <t>Daily/ Weekly Vehicle Inspection</t>
        </is>
      </c>
      <c r="J388" t="inlineStr">
        <is>
          <t>N/A</t>
        </is>
      </c>
      <c r="K388" t="inlineStr">
        <is>
          <t>6556 DE UA SWales3</t>
        </is>
      </c>
      <c r="L388" t="inlineStr">
        <is>
          <t>26/02/2025 15:14</t>
        </is>
      </c>
      <c r="M388" t="inlineStr">
        <is>
          <t>None</t>
        </is>
      </c>
      <c r="N388" t="inlineStr">
        <is>
          <t>&lt;p&gt;&lt;/p&gt;</t>
        </is>
      </c>
      <c r="O388" t="inlineStr"/>
      <c r="P388" t="inlineStr">
        <is>
          <t>- Isuzu - D-Max - BK72ZPG- Ford - Ranger - WO23RVN</t>
        </is>
      </c>
      <c r="Q388" t="inlineStr">
        <is>
          <t>NGED</t>
        </is>
      </c>
      <c r="R388" t="b">
        <v>0</v>
      </c>
    </row>
    <row r="389">
      <c r="A389" t="inlineStr">
        <is>
          <t>26 Feb 2025 / 7186 Eastwoodbury Tree Services Ltd</t>
        </is>
      </c>
      <c r="B389" t="inlineStr">
        <is>
          <t>Utilities &amp; Inland Waterways</t>
        </is>
      </c>
      <c r="C389" t="inlineStr">
        <is>
          <t>UKPN</t>
        </is>
      </c>
      <c r="D389" t="inlineStr">
        <is>
          <t xml:space="preserve">Santana </t>
        </is>
      </c>
      <c r="E389" t="inlineStr">
        <is>
          <t>Ps10</t>
        </is>
      </c>
      <c r="F389" t="inlineStr">
        <is>
          <t>AO57 BPF</t>
        </is>
      </c>
      <c r="G389" t="inlineStr">
        <is>
          <t xml:space="preserve">Dan Gilbert </t>
        </is>
      </c>
      <c r="H389" t="inlineStr">
        <is>
          <t>4x4</t>
        </is>
      </c>
      <c r="I389" t="inlineStr">
        <is>
          <t>Daily/ Weekly Vehicle Inspection</t>
        </is>
      </c>
      <c r="J389" t="inlineStr">
        <is>
          <t>N/A</t>
        </is>
      </c>
      <c r="K389" t="inlineStr">
        <is>
          <t>7186 Eastwoodbury Tree Services Ltd</t>
        </is>
      </c>
      <c r="L389" t="inlineStr">
        <is>
          <t>26/02/2025 15:25</t>
        </is>
      </c>
      <c r="M389" t="inlineStr">
        <is>
          <t>None</t>
        </is>
      </c>
      <c r="N389" t="inlineStr">
        <is>
          <t>&lt;p&gt;&lt;/p&gt;</t>
        </is>
      </c>
      <c r="O389" t="inlineStr"/>
      <c r="P389" t="inlineStr">
        <is>
          <t>4x4 - Santana  - Ps10 - AO57 BPF</t>
        </is>
      </c>
      <c r="Q389" t="inlineStr">
        <is>
          <t>UKPN</t>
        </is>
      </c>
      <c r="R389" t="b">
        <v>0</v>
      </c>
    </row>
    <row r="390">
      <c r="A390" t="inlineStr">
        <is>
          <t>26 Feb 2025 / 7800 MAC Tree Surgery and Fencing Ltd</t>
        </is>
      </c>
      <c r="B390" t="inlineStr">
        <is>
          <t>Utilities &amp; Inland Waterways</t>
        </is>
      </c>
      <c r="C390" t="inlineStr">
        <is>
          <t>UKPN</t>
        </is>
      </c>
      <c r="D390" t="inlineStr">
        <is>
          <t>Land Rover</t>
        </is>
      </c>
      <c r="E390" t="inlineStr">
        <is>
          <t xml:space="preserve">Discovery </t>
        </is>
      </c>
      <c r="F390" t="inlineStr">
        <is>
          <t>EX56 JNN</t>
        </is>
      </c>
      <c r="G390" t="inlineStr">
        <is>
          <t xml:space="preserve">Lewis mac </t>
        </is>
      </c>
      <c r="H390" t="inlineStr">
        <is>
          <t>4x4</t>
        </is>
      </c>
      <c r="I390" t="inlineStr">
        <is>
          <t>Daily/ Weekly Vehicle Inspection</t>
        </is>
      </c>
      <c r="J390" t="inlineStr">
        <is>
          <t>N/A</t>
        </is>
      </c>
      <c r="K390" t="inlineStr">
        <is>
          <t>7800 MAC Tree Surgery and Fencing Ltd</t>
        </is>
      </c>
      <c r="L390" t="inlineStr">
        <is>
          <t>26/02/2025 15:26</t>
        </is>
      </c>
      <c r="M390" t="inlineStr">
        <is>
          <t>None</t>
        </is>
      </c>
      <c r="N390" t="inlineStr">
        <is>
          <t>&lt;p&gt;&lt;/p&gt;</t>
        </is>
      </c>
      <c r="O390" t="inlineStr">
        <is>
          <t>Select Vehicle:New number plate is tr56 Mac</t>
        </is>
      </c>
      <c r="P390" t="inlineStr">
        <is>
          <t>Vehicle - Land Rover - Discovery  - EX56 JNN</t>
        </is>
      </c>
      <c r="Q390" t="inlineStr">
        <is>
          <t>UKPN</t>
        </is>
      </c>
      <c r="R390" t="b">
        <v>0</v>
      </c>
    </row>
    <row r="391">
      <c r="A391" t="inlineStr">
        <is>
          <t>26 Feb 2025 / 6617 Ashdown Tree Limited</t>
        </is>
      </c>
      <c r="B391" t="inlineStr">
        <is>
          <t>Utilities &amp; Inland Waterways</t>
        </is>
      </c>
      <c r="C391" t="inlineStr">
        <is>
          <t>UKPN</t>
        </is>
      </c>
      <c r="D391" t="inlineStr">
        <is>
          <t xml:space="preserve">Land rover </t>
        </is>
      </c>
      <c r="E391" t="inlineStr">
        <is>
          <t xml:space="preserve">Defender mewp </t>
        </is>
      </c>
      <c r="F391" t="inlineStr">
        <is>
          <t>TR55 tubTow Chipper</t>
        </is>
      </c>
      <c r="G391" t="inlineStr">
        <is>
          <t xml:space="preserve">Francis lesser Francis lesser </t>
        </is>
      </c>
      <c r="H391" t="inlineStr">
        <is>
          <t>4x4Towed Chipper</t>
        </is>
      </c>
      <c r="I391" t="inlineStr">
        <is>
          <t>Daily/ Weekly Vehicle Inspection</t>
        </is>
      </c>
      <c r="J391" t="inlineStr">
        <is>
          <t>N/A</t>
        </is>
      </c>
      <c r="K391" t="inlineStr">
        <is>
          <t>6617 Ashdown Tree Limited</t>
        </is>
      </c>
      <c r="L391" t="inlineStr">
        <is>
          <t>26/02/2025 15:29</t>
        </is>
      </c>
      <c r="M391" t="inlineStr">
        <is>
          <t>None</t>
        </is>
      </c>
      <c r="N391" t="inlineStr">
        <is>
          <t>&lt;p&gt;&lt;/p&gt;</t>
        </is>
      </c>
      <c r="O391" t="inlineStr"/>
      <c r="P391" t="inlineStr">
        <is>
          <t>4x4 - Land rover  - Defender mewp  - TR55 tubTow Chipper - Timberwolf - TW230 - SBXTW 37A2PS241049</t>
        </is>
      </c>
      <c r="Q391" t="inlineStr">
        <is>
          <t>UKPN</t>
        </is>
      </c>
      <c r="R391" t="b">
        <v>0</v>
      </c>
    </row>
    <row r="392">
      <c r="A392" t="inlineStr">
        <is>
          <t>26 Feb 2025 / 6617 Ashdown Tree Limited</t>
        </is>
      </c>
      <c r="B392" t="inlineStr">
        <is>
          <t>Utilities &amp; Inland Waterways</t>
        </is>
      </c>
      <c r="C392" t="inlineStr">
        <is>
          <t>UKPN</t>
        </is>
      </c>
      <c r="D392" t="inlineStr">
        <is>
          <t>Land Rover</t>
        </is>
      </c>
      <c r="E392" t="inlineStr">
        <is>
          <t xml:space="preserve">Discovery </t>
        </is>
      </c>
      <c r="F392" t="inlineStr">
        <is>
          <t>WF11 EJJTipper</t>
        </is>
      </c>
      <c r="G392" t="inlineStr">
        <is>
          <t>Ashley Dan</t>
        </is>
      </c>
      <c r="H392" t="inlineStr">
        <is>
          <t>4x4Tipper</t>
        </is>
      </c>
      <c r="I392" t="inlineStr">
        <is>
          <t>Daily/ Weekly Vehicle Inspection</t>
        </is>
      </c>
      <c r="J392" t="inlineStr">
        <is>
          <t>N/A</t>
        </is>
      </c>
      <c r="K392" t="inlineStr">
        <is>
          <t>6617 Ashdown Tree Limited</t>
        </is>
      </c>
      <c r="L392" t="inlineStr">
        <is>
          <t>26/02/2025 15:29</t>
        </is>
      </c>
      <c r="M392" t="inlineStr">
        <is>
          <t>None</t>
        </is>
      </c>
      <c r="N392" t="inlineStr">
        <is>
          <t>&lt;p&gt;&lt;/p&gt;</t>
        </is>
      </c>
      <c r="O392" t="inlineStr"/>
      <c r="P392" t="inlineStr">
        <is>
          <t>Vehicle - Land Rover - Discovery  - WF11 EJJTipper - Ford  - Transit  - Av67lxz</t>
        </is>
      </c>
      <c r="Q392" t="inlineStr">
        <is>
          <t>UKPN</t>
        </is>
      </c>
      <c r="R392" t="b">
        <v>0</v>
      </c>
    </row>
    <row r="393">
      <c r="A393" t="inlineStr">
        <is>
          <t>26 Feb 2025 / 7806 Optimum Tree Services Ltd</t>
        </is>
      </c>
      <c r="B393" t="inlineStr">
        <is>
          <t>Utilities &amp; Inland Waterways</t>
        </is>
      </c>
      <c r="C393" t="inlineStr">
        <is>
          <t>UKPN</t>
        </is>
      </c>
      <c r="D393" t="inlineStr">
        <is>
          <t>Land Rover</t>
        </is>
      </c>
      <c r="E393" t="inlineStr">
        <is>
          <t>Defender</t>
        </is>
      </c>
      <c r="F393" t="inlineStr">
        <is>
          <t>WD14 EVBTrailer</t>
        </is>
      </c>
      <c r="G393" t="inlineStr">
        <is>
          <t xml:space="preserve">Abraham Davies Abraham Davies </t>
        </is>
      </c>
      <c r="H393" t="inlineStr">
        <is>
          <t>4x4Plant Trailer</t>
        </is>
      </c>
      <c r="I393" t="inlineStr">
        <is>
          <t>Daily/ Weekly Vehicle Inspection</t>
        </is>
      </c>
      <c r="J393" t="inlineStr">
        <is>
          <t>N/A</t>
        </is>
      </c>
      <c r="K393" t="inlineStr">
        <is>
          <t>7806 Optimum Tree Services Ltd</t>
        </is>
      </c>
      <c r="L393" t="inlineStr">
        <is>
          <t>26/02/2025 15:31</t>
        </is>
      </c>
      <c r="M393" t="inlineStr">
        <is>
          <t>None</t>
        </is>
      </c>
      <c r="N393" t="inlineStr">
        <is>
          <t>&lt;p&gt;&lt;/p&gt;</t>
        </is>
      </c>
      <c r="O393" t="inlineStr"/>
      <c r="P393" t="inlineStr">
        <is>
          <t>MEWP - Land Rover - Defender - WD14 EVBTrailer - Tow Mate - Plant Trailer - SA9TAPLAF27414263</t>
        </is>
      </c>
      <c r="Q393" t="inlineStr">
        <is>
          <t>UKPN</t>
        </is>
      </c>
      <c r="R393" t="b">
        <v>0</v>
      </c>
    </row>
    <row r="394">
      <c r="A394" t="inlineStr">
        <is>
          <t>25 Feb 2025 / Patryk Zietarski</t>
        </is>
      </c>
      <c r="B394" t="inlineStr">
        <is>
          <t>Utilities &amp; Inland Waterways</t>
        </is>
      </c>
      <c r="C394" t="inlineStr">
        <is>
          <t>UKPN</t>
        </is>
      </c>
      <c r="D394" t="inlineStr">
        <is>
          <t>Kia</t>
        </is>
      </c>
      <c r="E394" t="inlineStr">
        <is>
          <t>eNiro</t>
        </is>
      </c>
      <c r="F394" t="inlineStr">
        <is>
          <t>YW73 CWL</t>
        </is>
      </c>
      <c r="G394" t="inlineStr">
        <is>
          <t xml:space="preserve">Patryk Zietarski </t>
        </is>
      </c>
      <c r="H394" t="inlineStr">
        <is>
          <t>Car - Electric</t>
        </is>
      </c>
      <c r="I394" t="inlineStr">
        <is>
          <t>Daily/ Weekly Vehicle Inspection</t>
        </is>
      </c>
      <c r="J394" t="inlineStr">
        <is>
          <t>N/A</t>
        </is>
      </c>
      <c r="K394" t="inlineStr">
        <is>
          <t>Patryk Zietarski</t>
        </is>
      </c>
      <c r="L394" t="inlineStr">
        <is>
          <t>26/02/2025 15:46</t>
        </is>
      </c>
      <c r="M394" t="inlineStr">
        <is>
          <t>None</t>
        </is>
      </c>
      <c r="N394" t="inlineStr">
        <is>
          <t>&lt;p&gt;&lt;/p&gt;</t>
        </is>
      </c>
      <c r="O394" t="inlineStr"/>
      <c r="P394" t="inlineStr">
        <is>
          <t>Electric Vehicle - Kia - eNiro - YW73 CWL</t>
        </is>
      </c>
      <c r="Q394" t="inlineStr">
        <is>
          <t>UKPN</t>
        </is>
      </c>
      <c r="R394" t="b">
        <v>0</v>
      </c>
    </row>
    <row r="395">
      <c r="A395" t="inlineStr">
        <is>
          <t>25 Feb 2025 / Lyndon Taylor</t>
        </is>
      </c>
      <c r="B395" t="inlineStr">
        <is>
          <t>Utilities &amp; Inland Waterways</t>
        </is>
      </c>
      <c r="C395" t="inlineStr">
        <is>
          <t>SSE</t>
        </is>
      </c>
      <c r="D395" t="inlineStr">
        <is>
          <t>Electric</t>
        </is>
      </c>
      <c r="E395" t="inlineStr">
        <is>
          <t>Kia</t>
        </is>
      </c>
      <c r="F395" t="inlineStr">
        <is>
          <t>Niro 3 EV</t>
        </is>
      </c>
      <c r="G395" t="inlineStr">
        <is>
          <t>Lyndon Taylor</t>
        </is>
      </c>
      <c r="H395" t="inlineStr">
        <is>
          <t>Car - Electric</t>
        </is>
      </c>
      <c r="I395" t="inlineStr">
        <is>
          <t>Monthly Vehicle Inspection</t>
        </is>
      </c>
      <c r="J395" t="inlineStr">
        <is>
          <t>9424</t>
        </is>
      </c>
      <c r="K395" t="inlineStr">
        <is>
          <t>Lyndon Taylor</t>
        </is>
      </c>
      <c r="L395" t="inlineStr">
        <is>
          <t>26/02/2025 15:55</t>
        </is>
      </c>
      <c r="M395" t="inlineStr">
        <is>
          <t>None</t>
        </is>
      </c>
      <c r="N395" t="inlineStr">
        <is>
          <t>&lt;p&gt;&lt;/p&gt;</t>
        </is>
      </c>
      <c r="O395" t="inlineStr"/>
      <c r="P395" t="inlineStr">
        <is>
          <t>Car - Electric - Kia - Niro 3 EV - YW73CWV</t>
        </is>
      </c>
      <c r="Q395" t="inlineStr">
        <is>
          <t>SSE</t>
        </is>
      </c>
      <c r="R395" t="b">
        <v>0</v>
      </c>
    </row>
    <row r="396">
      <c r="A396" t="inlineStr">
        <is>
          <t>25 Feb 2025 / Alasdair Conlon</t>
        </is>
      </c>
      <c r="B396" t="inlineStr">
        <is>
          <t>Utilities &amp; Inland Waterways</t>
        </is>
      </c>
      <c r="C396" t="inlineStr">
        <is>
          <t>NGED</t>
        </is>
      </c>
      <c r="D396" t="inlineStr">
        <is>
          <t>Electric</t>
        </is>
      </c>
      <c r="E396" t="inlineStr">
        <is>
          <t>Kia</t>
        </is>
      </c>
      <c r="F396" t="inlineStr">
        <is>
          <t>Niro</t>
        </is>
      </c>
      <c r="G396" t="inlineStr">
        <is>
          <t>Alasdair Conlon</t>
        </is>
      </c>
      <c r="H396" t="inlineStr">
        <is>
          <t>Car - Electric</t>
        </is>
      </c>
      <c r="I396" t="inlineStr">
        <is>
          <t>Monthly Vehicle Inspection</t>
        </is>
      </c>
      <c r="J396" t="inlineStr">
        <is>
          <t>13672</t>
        </is>
      </c>
      <c r="K396" t="inlineStr">
        <is>
          <t>Alasdair Conlon</t>
        </is>
      </c>
      <c r="L396" t="inlineStr">
        <is>
          <t>26/02/2025 16:20</t>
        </is>
      </c>
      <c r="M396" t="inlineStr">
        <is>
          <t>None</t>
        </is>
      </c>
      <c r="N396" t="inlineStr">
        <is>
          <t>&lt;p&gt;&lt;a href="https&amp;#58;//apps.powerapps.com/play/2d567dc9-5d50-4629-a077-f7ccbff3e239?tenantId=3ef9f654-aa07-41b8-88ad-a411c62bd12c&amp;amp;Action=Open&amp;amp;Actionno=5819"&gt;YX24TXV&lt;/a&gt;&lt;br&gt;&lt;/p&gt;</t>
        </is>
      </c>
      <c r="O396" t="inlineStr"/>
      <c r="P396" t="inlineStr">
        <is>
          <t>Car - Electric - Kia - Niro - YX24 TWP</t>
        </is>
      </c>
      <c r="Q396" t="inlineStr">
        <is>
          <t>NGED</t>
        </is>
      </c>
      <c r="R396" t="b">
        <v>0</v>
      </c>
    </row>
    <row r="397">
      <c r="A397" t="inlineStr">
        <is>
          <t>25 Feb 2025 / Jack Everiss</t>
        </is>
      </c>
      <c r="B397" t="inlineStr">
        <is>
          <t>Utilities &amp; Inland Waterways</t>
        </is>
      </c>
      <c r="C397" t="inlineStr">
        <is>
          <t>SSE</t>
        </is>
      </c>
      <c r="D397" t="inlineStr">
        <is>
          <t>Electric</t>
        </is>
      </c>
      <c r="E397" t="inlineStr">
        <is>
          <t>Kia</t>
        </is>
      </c>
      <c r="F397" t="inlineStr">
        <is>
          <t>Niro</t>
        </is>
      </c>
      <c r="G397" t="inlineStr">
        <is>
          <t>Jack Everiss</t>
        </is>
      </c>
      <c r="H397" t="inlineStr">
        <is>
          <t>Car - Electric</t>
        </is>
      </c>
      <c r="I397" t="inlineStr">
        <is>
          <t>Monthly Vehicle Inspection</t>
        </is>
      </c>
      <c r="J397" t="inlineStr">
        <is>
          <t>6142</t>
        </is>
      </c>
      <c r="K397" t="inlineStr">
        <is>
          <t>Jack Everiss</t>
        </is>
      </c>
      <c r="L397" t="inlineStr">
        <is>
          <t>26/02/2025 16:21</t>
        </is>
      </c>
      <c r="M397" t="inlineStr">
        <is>
          <t>None</t>
        </is>
      </c>
      <c r="N397" t="inlineStr">
        <is>
          <t>&lt;p&gt;&lt;/p&gt;</t>
        </is>
      </c>
      <c r="O397" t="inlineStr"/>
      <c r="P397" t="inlineStr">
        <is>
          <t>Car - Electric - Kia - Niro - YX24TXB</t>
        </is>
      </c>
      <c r="Q397" t="inlineStr">
        <is>
          <t>SSE</t>
        </is>
      </c>
      <c r="R397" t="b">
        <v>0</v>
      </c>
    </row>
    <row r="398">
      <c r="A398" t="inlineStr">
        <is>
          <t>25 Feb 2025 / Mike Corran</t>
        </is>
      </c>
      <c r="B398" t="inlineStr">
        <is>
          <t>Utilities &amp; Inland Waterways</t>
        </is>
      </c>
      <c r="C398" t="inlineStr">
        <is>
          <t>NGED</t>
        </is>
      </c>
      <c r="D398" t="inlineStr">
        <is>
          <t>Electric</t>
        </is>
      </c>
      <c r="E398" t="inlineStr">
        <is>
          <t>Tesla</t>
        </is>
      </c>
      <c r="F398" t="inlineStr">
        <is>
          <t>Y</t>
        </is>
      </c>
      <c r="G398" t="inlineStr">
        <is>
          <t>Mike corran</t>
        </is>
      </c>
      <c r="H398" t="inlineStr">
        <is>
          <t>Car - Electric</t>
        </is>
      </c>
      <c r="I398" t="inlineStr">
        <is>
          <t>Daily/ Weekly Vehicle Inspection</t>
        </is>
      </c>
      <c r="J398" t="inlineStr">
        <is>
          <t>N/A</t>
        </is>
      </c>
      <c r="K398" t="inlineStr">
        <is>
          <t>Mike Corran</t>
        </is>
      </c>
      <c r="L398" t="inlineStr">
        <is>
          <t>26/02/2025 16:33</t>
        </is>
      </c>
      <c r="M398" t="inlineStr">
        <is>
          <t>None</t>
        </is>
      </c>
      <c r="N398" t="inlineStr">
        <is>
          <t>&lt;p&gt;&lt;/p&gt;</t>
        </is>
      </c>
      <c r="O398" t="inlineStr"/>
      <c r="P398" t="inlineStr">
        <is>
          <t>Car - Electric - Tesla - Y - AJ72 EWN</t>
        </is>
      </c>
      <c r="Q398" t="inlineStr">
        <is>
          <t>NGED</t>
        </is>
      </c>
      <c r="R398" t="b">
        <v>0</v>
      </c>
    </row>
    <row r="399">
      <c r="A399" t="inlineStr">
        <is>
          <t>25 Feb 2025 / Ben Arnold</t>
        </is>
      </c>
      <c r="B399" t="inlineStr">
        <is>
          <t>Utilities &amp; Inland Waterways</t>
        </is>
      </c>
      <c r="C399" t="inlineStr">
        <is>
          <t>UKPN</t>
        </is>
      </c>
      <c r="D399" t="inlineStr">
        <is>
          <t>Electric</t>
        </is>
      </c>
      <c r="E399" t="inlineStr">
        <is>
          <t>Kia</t>
        </is>
      </c>
      <c r="F399" t="inlineStr">
        <is>
          <t>Niro</t>
        </is>
      </c>
      <c r="G399" t="inlineStr">
        <is>
          <t>Ben Arnold</t>
        </is>
      </c>
      <c r="H399" t="inlineStr">
        <is>
          <t>Car - Electric</t>
        </is>
      </c>
      <c r="I399" t="inlineStr">
        <is>
          <t>Daily/ Weekly Vehicle Inspection</t>
        </is>
      </c>
      <c r="J399" t="inlineStr">
        <is>
          <t>N/A</t>
        </is>
      </c>
      <c r="K399" t="inlineStr">
        <is>
          <t>Ben Arnold</t>
        </is>
      </c>
      <c r="L399" t="inlineStr">
        <is>
          <t>26/02/2025 16:34</t>
        </is>
      </c>
      <c r="M399" t="inlineStr">
        <is>
          <t>None</t>
        </is>
      </c>
      <c r="N399" t="inlineStr">
        <is>
          <t>&lt;p&gt;&lt;/p&gt;</t>
        </is>
      </c>
      <c r="O399" t="inlineStr"/>
      <c r="P399" t="inlineStr">
        <is>
          <t>Car - Electric - Kia - Niro - YX24TXG</t>
        </is>
      </c>
      <c r="Q399" t="inlineStr">
        <is>
          <t>UKPN</t>
        </is>
      </c>
      <c r="R399" t="b">
        <v>0</v>
      </c>
    </row>
    <row r="400">
      <c r="A400" t="inlineStr">
        <is>
          <t>25 Feb 2025 / 7186 Eastwoodbury Tree Services Ltd</t>
        </is>
      </c>
      <c r="B400" t="inlineStr">
        <is>
          <t>Utilities &amp; Inland Waterways</t>
        </is>
      </c>
      <c r="C400" t="inlineStr">
        <is>
          <t>UKPN</t>
        </is>
      </c>
      <c r="D400" t="inlineStr">
        <is>
          <t xml:space="preserve">Santana </t>
        </is>
      </c>
      <c r="E400" t="inlineStr">
        <is>
          <t>Ps10</t>
        </is>
      </c>
      <c r="F400" t="inlineStr">
        <is>
          <t>AO57 BPF4x4</t>
        </is>
      </c>
      <c r="G400" t="inlineStr">
        <is>
          <t xml:space="preserve">Dan Gilbert Jay Denkmayer </t>
        </is>
      </c>
      <c r="H400" t="inlineStr">
        <is>
          <t>4x44x4</t>
        </is>
      </c>
      <c r="I400" t="inlineStr">
        <is>
          <t>Daily/ Weekly Vehicle Inspection</t>
        </is>
      </c>
      <c r="J400" t="inlineStr">
        <is>
          <t>N/A</t>
        </is>
      </c>
      <c r="K400" t="inlineStr">
        <is>
          <t>7186 Eastwoodbury Tree Services Ltd</t>
        </is>
      </c>
      <c r="L400" t="inlineStr">
        <is>
          <t>26/02/2025 16:45</t>
        </is>
      </c>
      <c r="M400" t="inlineStr">
        <is>
          <t>None</t>
        </is>
      </c>
      <c r="N400" t="inlineStr">
        <is>
          <t>&lt;p&gt;&lt;/p&gt;</t>
        </is>
      </c>
      <c r="O400" t="inlineStr"/>
      <c r="P400" t="inlineStr">
        <is>
          <t>4x4 - Santana  - Ps10 - AO57 BPF4x4 - Land Rover  - Defender - FN60 0XM</t>
        </is>
      </c>
      <c r="Q400" t="inlineStr">
        <is>
          <t>UKPN</t>
        </is>
      </c>
      <c r="R400" t="b">
        <v>0</v>
      </c>
    </row>
    <row r="401">
      <c r="A401" t="inlineStr">
        <is>
          <t>25 Feb 2025 / 7800 MAC Tree Surgery and Fencing Ltd</t>
        </is>
      </c>
      <c r="B401" t="inlineStr">
        <is>
          <t>Utilities &amp; Inland Waterways</t>
        </is>
      </c>
      <c r="C401" t="inlineStr">
        <is>
          <t>UKPN</t>
        </is>
      </c>
      <c r="D401" t="inlineStr">
        <is>
          <t>Izuzu</t>
        </is>
      </c>
      <c r="E401" t="inlineStr">
        <is>
          <t>Dmax</t>
        </is>
      </c>
      <c r="F401" t="inlineStr">
        <is>
          <t>Ay68 daaTow Chipper</t>
        </is>
      </c>
      <c r="G401" t="inlineStr">
        <is>
          <t xml:space="preserve">Lewis mac Lewis mac </t>
        </is>
      </c>
      <c r="H401" t="inlineStr">
        <is>
          <t>4x4Towed Chipper</t>
        </is>
      </c>
      <c r="I401" t="inlineStr">
        <is>
          <t>Daily/ Weekly Vehicle Inspection</t>
        </is>
      </c>
      <c r="J401" t="inlineStr">
        <is>
          <t>N/A</t>
        </is>
      </c>
      <c r="K401" t="inlineStr">
        <is>
          <t>7800 MAC Tree Surgery and Fencing Ltd</t>
        </is>
      </c>
      <c r="L401" t="inlineStr">
        <is>
          <t>26/02/2025 16:46</t>
        </is>
      </c>
      <c r="M401" t="inlineStr">
        <is>
          <t>None</t>
        </is>
      </c>
      <c r="N401" t="inlineStr">
        <is>
          <t>&lt;p&gt;&lt;/p&gt;</t>
        </is>
      </c>
      <c r="O401" t="inlineStr"/>
      <c r="P401" t="inlineStr">
        <is>
          <t>4x4 - Izuzu - Dmax - Ay68 daaTow Chipper - Timberwolf - TW150 - 205143043-a1</t>
        </is>
      </c>
      <c r="Q401" t="inlineStr">
        <is>
          <t>UKPN</t>
        </is>
      </c>
      <c r="R401" t="b">
        <v>0</v>
      </c>
    </row>
    <row r="402">
      <c r="A402" t="inlineStr">
        <is>
          <t>25 Feb 2025 / 7806 Optimum Tree Services Ltd</t>
        </is>
      </c>
      <c r="B402" t="inlineStr">
        <is>
          <t>Utilities &amp; Inland Waterways</t>
        </is>
      </c>
      <c r="C402" t="inlineStr">
        <is>
          <t>UKPN</t>
        </is>
      </c>
      <c r="D402" t="inlineStr">
        <is>
          <t>Land Rover</t>
        </is>
      </c>
      <c r="E402" t="inlineStr">
        <is>
          <t>Defender</t>
        </is>
      </c>
      <c r="F402" t="inlineStr">
        <is>
          <t>WD14 EVBTrailer</t>
        </is>
      </c>
      <c r="G402" t="inlineStr">
        <is>
          <t xml:space="preserve">Abraham Davies Abraham Davies </t>
        </is>
      </c>
      <c r="H402" t="inlineStr">
        <is>
          <t>4x4Plant Trailer</t>
        </is>
      </c>
      <c r="I402" t="inlineStr">
        <is>
          <t>Daily/ Weekly Vehicle Inspection</t>
        </is>
      </c>
      <c r="J402" t="inlineStr">
        <is>
          <t>N/A</t>
        </is>
      </c>
      <c r="K402" t="inlineStr">
        <is>
          <t>7806 Optimum Tree Services Ltd</t>
        </is>
      </c>
      <c r="L402" t="inlineStr">
        <is>
          <t>28/02/2025 04:22</t>
        </is>
      </c>
      <c r="M402" t="inlineStr">
        <is>
          <t>None</t>
        </is>
      </c>
      <c r="N402" t="inlineStr">
        <is>
          <t>&lt;p&gt;&lt;/p&gt;</t>
        </is>
      </c>
      <c r="O402" t="inlineStr"/>
      <c r="P402" t="inlineStr">
        <is>
          <t>MEWP - Land Rover - Defender - WD14 EVBTrailer - Tow Mate - Plant Trailer - SA9TAPLAF27414263</t>
        </is>
      </c>
      <c r="Q402" t="inlineStr">
        <is>
          <t>UKPN</t>
        </is>
      </c>
      <c r="R402" t="b">
        <v>0</v>
      </c>
    </row>
    <row r="403">
      <c r="A403" t="inlineStr">
        <is>
          <t>25 Feb 2025 / 7889 Tree Tech Suffolk Ltd</t>
        </is>
      </c>
      <c r="B403" t="inlineStr">
        <is>
          <t>Utilities &amp; Inland Waterways</t>
        </is>
      </c>
      <c r="C403" t="inlineStr">
        <is>
          <t>UKPN</t>
        </is>
      </c>
      <c r="D403" t="inlineStr">
        <is>
          <t>Isuzu</t>
        </is>
      </c>
      <c r="E403" t="inlineStr">
        <is>
          <t>D-max</t>
        </is>
      </c>
      <c r="F403" t="inlineStr">
        <is>
          <t>NS03 TTS</t>
        </is>
      </c>
      <c r="G403" t="inlineStr">
        <is>
          <t xml:space="preserve">Danny Appleby </t>
        </is>
      </c>
      <c r="H403" t="inlineStr">
        <is>
          <t>4x4</t>
        </is>
      </c>
      <c r="I403" t="inlineStr">
        <is>
          <t>Daily/ Weekly Vehicle Inspection</t>
        </is>
      </c>
      <c r="J403" t="inlineStr">
        <is>
          <t>N/A</t>
        </is>
      </c>
      <c r="K403" t="inlineStr">
        <is>
          <t>7889 Tree Tech Suffolk Ltd</t>
        </is>
      </c>
      <c r="L403" t="inlineStr">
        <is>
          <t>28/02/2025 04:23</t>
        </is>
      </c>
      <c r="M403" t="inlineStr">
        <is>
          <t>None</t>
        </is>
      </c>
      <c r="N403" t="inlineStr">
        <is>
          <t>&lt;p&gt;&lt;/p&gt;</t>
        </is>
      </c>
      <c r="O403" t="inlineStr">
        <is>
          <t>Confirm that you have checked this vehicle as per the guidance document and the vehicle is safe and roadworthy:Crack in windscreen. Started at bottom of windscreen and has now gone halfway up. Still not in drivers view. MOT in march. Change as soon as possible
-</t>
        </is>
      </c>
      <c r="P403" t="inlineStr">
        <is>
          <t>4x4 - Isuzu - D-max - NS03 TTS</t>
        </is>
      </c>
      <c r="Q403" t="inlineStr">
        <is>
          <t>UKPN</t>
        </is>
      </c>
      <c r="R403" t="b">
        <v>0</v>
      </c>
    </row>
    <row r="404">
      <c r="A404" t="inlineStr">
        <is>
          <t>25 Feb 2025 / 6617 Ashdown Tree Limited</t>
        </is>
      </c>
      <c r="B404" t="inlineStr">
        <is>
          <t>Utilities &amp; Inland Waterways</t>
        </is>
      </c>
      <c r="C404" t="inlineStr">
        <is>
          <t>UKPN</t>
        </is>
      </c>
      <c r="D404" t="inlineStr">
        <is>
          <t>Land Rover</t>
        </is>
      </c>
      <c r="E404" t="inlineStr">
        <is>
          <t xml:space="preserve">Discovery </t>
        </is>
      </c>
      <c r="F404" t="inlineStr">
        <is>
          <t>WF11 EJJTow Chipper</t>
        </is>
      </c>
      <c r="G404" t="inlineStr">
        <is>
          <t xml:space="preserve">Francis lesser Francis lesser </t>
        </is>
      </c>
      <c r="H404" t="inlineStr">
        <is>
          <t>4x4Towed Chipper</t>
        </is>
      </c>
      <c r="I404" t="inlineStr">
        <is>
          <t>Daily/ Weekly Vehicle Inspection</t>
        </is>
      </c>
      <c r="J404" t="inlineStr">
        <is>
          <t>N/A</t>
        </is>
      </c>
      <c r="K404" t="inlineStr">
        <is>
          <t>6617 Ashdown Tree Limited</t>
        </is>
      </c>
      <c r="L404" t="inlineStr">
        <is>
          <t>28/02/2025 04:25</t>
        </is>
      </c>
      <c r="M404" t="inlineStr">
        <is>
          <t>None</t>
        </is>
      </c>
      <c r="N404" t="inlineStr">
        <is>
          <t>&lt;p&gt;&lt;/p&gt;</t>
        </is>
      </c>
      <c r="O404" t="inlineStr"/>
      <c r="P404" t="inlineStr">
        <is>
          <t>Vehicle - Land Rover - Discovery  - WF11 EJJTow Chipper - Timberwolf - TW230 - SBXTW 37A2PS241049</t>
        </is>
      </c>
      <c r="Q404" t="inlineStr">
        <is>
          <t>UKPN</t>
        </is>
      </c>
      <c r="R404" t="b">
        <v>0</v>
      </c>
    </row>
    <row r="405">
      <c r="A405" t="inlineStr">
        <is>
          <t>25 Feb 2025 / 6617 Ashdown Tree Limited</t>
        </is>
      </c>
      <c r="B405" t="inlineStr">
        <is>
          <t>Utilities &amp; Inland Waterways</t>
        </is>
      </c>
      <c r="C405" t="inlineStr">
        <is>
          <t>UKPN</t>
        </is>
      </c>
      <c r="D405" t="inlineStr">
        <is>
          <t xml:space="preserve">Land rover </t>
        </is>
      </c>
      <c r="E405" t="inlineStr">
        <is>
          <t xml:space="preserve">Defender mewp </t>
        </is>
      </c>
      <c r="F405" t="inlineStr">
        <is>
          <t>TR55 tub</t>
        </is>
      </c>
      <c r="G405" t="inlineStr">
        <is>
          <t xml:space="preserve">Ashley </t>
        </is>
      </c>
      <c r="H405" t="inlineStr">
        <is>
          <t>4x4</t>
        </is>
      </c>
      <c r="I405" t="inlineStr">
        <is>
          <t>Daily/ Weekly Vehicle Inspection</t>
        </is>
      </c>
      <c r="J405" t="inlineStr">
        <is>
          <t>N/A</t>
        </is>
      </c>
      <c r="K405" t="inlineStr">
        <is>
          <t>6617 Ashdown Tree Limited</t>
        </is>
      </c>
      <c r="L405" t="inlineStr">
        <is>
          <t>28/02/2025 04:26</t>
        </is>
      </c>
      <c r="M405" t="inlineStr">
        <is>
          <t>None</t>
        </is>
      </c>
      <c r="N405" t="inlineStr">
        <is>
          <t>&lt;p&gt;&lt;/p&gt;</t>
        </is>
      </c>
      <c r="O405" t="inlineStr"/>
      <c r="P405" t="inlineStr">
        <is>
          <t>4x4 - Land rover  - Defender mewp  - TR55 tub</t>
        </is>
      </c>
      <c r="Q405" t="inlineStr">
        <is>
          <t>UKPN</t>
        </is>
      </c>
      <c r="R405" t="b">
        <v>0</v>
      </c>
    </row>
    <row r="406">
      <c r="A406" t="inlineStr">
        <is>
          <t>27 Feb 2025 / 7186 Eastwoodbury Tree Services Ltd</t>
        </is>
      </c>
      <c r="B406" t="inlineStr">
        <is>
          <t>Utilities &amp; Inland Waterways</t>
        </is>
      </c>
      <c r="C406" t="inlineStr">
        <is>
          <t>UKPN</t>
        </is>
      </c>
      <c r="D406" t="inlineStr">
        <is>
          <t xml:space="preserve">Santana </t>
        </is>
      </c>
      <c r="E406" t="inlineStr">
        <is>
          <t>Ps10</t>
        </is>
      </c>
      <c r="F406" t="inlineStr">
        <is>
          <t>AO57 BPF4x4</t>
        </is>
      </c>
      <c r="G406" t="inlineStr">
        <is>
          <t xml:space="preserve">Dan Gilbert Jay Denkmayer </t>
        </is>
      </c>
      <c r="H406" t="inlineStr">
        <is>
          <t>4x4Pickup Truck</t>
        </is>
      </c>
      <c r="I406" t="inlineStr">
        <is>
          <t>Daily/ Weekly Vehicle Inspection</t>
        </is>
      </c>
      <c r="J406" t="inlineStr">
        <is>
          <t>N/A</t>
        </is>
      </c>
      <c r="K406" t="inlineStr">
        <is>
          <t>7186 Eastwoodbury Tree Services Ltd</t>
        </is>
      </c>
      <c r="L406" t="inlineStr">
        <is>
          <t>28/02/2025 15:19</t>
        </is>
      </c>
      <c r="M406" t="inlineStr">
        <is>
          <t>None</t>
        </is>
      </c>
      <c r="N406" t="inlineStr">
        <is>
          <t>&lt;p&gt;&lt;/p&gt;</t>
        </is>
      </c>
      <c r="O406" t="inlineStr"/>
      <c r="P406" t="inlineStr">
        <is>
          <t>4x4 - Santana  - Ps10 - AO57 BPF4x4 - Ford - Ranger - DE53NKS</t>
        </is>
      </c>
      <c r="Q406" t="inlineStr">
        <is>
          <t>UKPN</t>
        </is>
      </c>
      <c r="R406" t="b">
        <v>0</v>
      </c>
    </row>
    <row r="407">
      <c r="A407" t="inlineStr">
        <is>
          <t>27 Feb 2025 / 7800 MAC Tree Surgery and Fencing Ltd</t>
        </is>
      </c>
      <c r="B407" t="inlineStr">
        <is>
          <t>Utilities &amp; Inland Waterways</t>
        </is>
      </c>
      <c r="C407" t="inlineStr">
        <is>
          <t>UKPN</t>
        </is>
      </c>
      <c r="D407" t="inlineStr">
        <is>
          <t>Izuzu</t>
        </is>
      </c>
      <c r="E407" t="inlineStr">
        <is>
          <t>Dmax</t>
        </is>
      </c>
      <c r="F407" t="inlineStr">
        <is>
          <t>Ay68 daaTow Chipper</t>
        </is>
      </c>
      <c r="G407" t="inlineStr">
        <is>
          <t xml:space="preserve">Lewis mac Lewis mac </t>
        </is>
      </c>
      <c r="H407" t="inlineStr">
        <is>
          <t>4x4Towed Chipper</t>
        </is>
      </c>
      <c r="I407" t="inlineStr">
        <is>
          <t>Daily/ Weekly Vehicle Inspection</t>
        </is>
      </c>
      <c r="J407" t="inlineStr">
        <is>
          <t>N/A</t>
        </is>
      </c>
      <c r="K407" t="inlineStr">
        <is>
          <t>7800 MAC Tree Surgery and Fencing Ltd</t>
        </is>
      </c>
      <c r="L407" t="inlineStr">
        <is>
          <t>28/02/2025 15:20</t>
        </is>
      </c>
      <c r="M407" t="inlineStr">
        <is>
          <t>None</t>
        </is>
      </c>
      <c r="N407" t="inlineStr">
        <is>
          <t>&lt;p&gt;&lt;/p&gt;</t>
        </is>
      </c>
      <c r="O407" t="inlineStr"/>
      <c r="P407" t="inlineStr">
        <is>
          <t>4x4 - Izuzu - Dmax - Ay68 daaTow Chipper - Timberwolf - TW150 - 205143043-a1</t>
        </is>
      </c>
      <c r="Q407" t="inlineStr">
        <is>
          <t>UKPN</t>
        </is>
      </c>
      <c r="R407" t="b">
        <v>0</v>
      </c>
    </row>
    <row r="408">
      <c r="A408" t="inlineStr">
        <is>
          <t>27 Feb 2025 / 7889 Tree Tech Suffolk Ltd</t>
        </is>
      </c>
      <c r="B408" t="inlineStr">
        <is>
          <t>Utilities &amp; Inland Waterways</t>
        </is>
      </c>
      <c r="C408" t="inlineStr">
        <is>
          <t>UKPN</t>
        </is>
      </c>
      <c r="D408" t="inlineStr">
        <is>
          <t>Isuzu</t>
        </is>
      </c>
      <c r="E408" t="inlineStr">
        <is>
          <t>D-max</t>
        </is>
      </c>
      <c r="F408" t="inlineStr">
        <is>
          <t>NS03 TTSTow Chipper</t>
        </is>
      </c>
      <c r="G408" t="inlineStr">
        <is>
          <t xml:space="preserve">Nikki sparrow Danny Appleby Danny Appleby </t>
        </is>
      </c>
      <c r="H408" t="inlineStr">
        <is>
          <t>4x4Towed ChipperTipper</t>
        </is>
      </c>
      <c r="I408" t="inlineStr">
        <is>
          <t>Daily/ Weekly Vehicle Inspection</t>
        </is>
      </c>
      <c r="J408" t="inlineStr">
        <is>
          <t>N/A</t>
        </is>
      </c>
      <c r="K408" t="inlineStr">
        <is>
          <t>7889 Tree Tech Suffolk Ltd</t>
        </is>
      </c>
      <c r="L408" t="inlineStr">
        <is>
          <t>28/02/2025 15:21</t>
        </is>
      </c>
      <c r="M408" t="inlineStr">
        <is>
          <t>None</t>
        </is>
      </c>
      <c r="N408" t="inlineStr">
        <is>
          <t>&lt;p&gt;&lt;/p&gt;</t>
        </is>
      </c>
      <c r="O408" t="inlineStr">
        <is>
          <t>Confirm that you have checked this vehicle as per the guidance document and the vehicle is safe and roadworthy:Crack in windscreen. Started at bottom of windscreen and has now gone halfway up. Still not in drivers view. MOT in march. Change as soon as possible
-</t>
        </is>
      </c>
      <c r="P408" t="inlineStr">
        <is>
          <t>4x4 - Isuzu - D-max - NS03 TTSTow Chipper - Jenson - A530L - 5521063948Tipper - Mercedes - Sprinter - NS06TTS</t>
        </is>
      </c>
      <c r="Q408" t="inlineStr">
        <is>
          <t>UKPN</t>
        </is>
      </c>
      <c r="R408" t="b">
        <v>0</v>
      </c>
    </row>
    <row r="409">
      <c r="A409" t="inlineStr">
        <is>
          <t>2 Mar 2025 / 7800 MAC Tree Surgery and Fencing Ltd</t>
        </is>
      </c>
      <c r="B409" t="inlineStr">
        <is>
          <t>Utilities &amp; Inland Waterways</t>
        </is>
      </c>
      <c r="C409" t="inlineStr">
        <is>
          <t>UKPN</t>
        </is>
      </c>
      <c r="D409" t="inlineStr">
        <is>
          <t>Izuzu</t>
        </is>
      </c>
      <c r="E409" t="inlineStr">
        <is>
          <t>Dmax</t>
        </is>
      </c>
      <c r="F409" t="inlineStr">
        <is>
          <t>Ay68 daaTow Chipper</t>
        </is>
      </c>
      <c r="G409" t="inlineStr">
        <is>
          <t xml:space="preserve">Lewis mac Lewis mac </t>
        </is>
      </c>
      <c r="H409" t="inlineStr">
        <is>
          <t>4x4Towed Chipper</t>
        </is>
      </c>
      <c r="I409" t="inlineStr">
        <is>
          <t>Daily/ Weekly Vehicle Inspection</t>
        </is>
      </c>
      <c r="J409" t="inlineStr">
        <is>
          <t>N/A</t>
        </is>
      </c>
      <c r="K409" t="inlineStr">
        <is>
          <t>7800 MAC Tree Surgery and Fencing Ltd</t>
        </is>
      </c>
      <c r="L409" t="inlineStr">
        <is>
          <t>02/03/2025 14:44</t>
        </is>
      </c>
      <c r="M409" t="inlineStr">
        <is>
          <t>None</t>
        </is>
      </c>
      <c r="N409" t="inlineStr">
        <is>
          <t>&lt;p&gt;&lt;/p&gt;</t>
        </is>
      </c>
      <c r="O409" t="inlineStr"/>
      <c r="P409" t="inlineStr">
        <is>
          <t>4x4 - Izuzu - Dmax - Ay68 daaTow Chipper - Timberwolf - TW150 - 205143043-a1</t>
        </is>
      </c>
      <c r="Q409" t="inlineStr">
        <is>
          <t>UKPN</t>
        </is>
      </c>
      <c r="R409" t="b">
        <v>0</v>
      </c>
    </row>
    <row r="410">
      <c r="A410" t="inlineStr">
        <is>
          <t>28 Feb 2025 / 6617 Ashdown Tree Limited</t>
        </is>
      </c>
      <c r="B410" t="inlineStr">
        <is>
          <t>Utilities &amp; Inland Waterways</t>
        </is>
      </c>
      <c r="C410" t="inlineStr">
        <is>
          <t>UKPN</t>
        </is>
      </c>
      <c r="D410" t="inlineStr">
        <is>
          <t xml:space="preserve">Land rover </t>
        </is>
      </c>
      <c r="E410" t="inlineStr">
        <is>
          <t xml:space="preserve">Defender mewp </t>
        </is>
      </c>
      <c r="F410" t="inlineStr">
        <is>
          <t>TR55 tub</t>
        </is>
      </c>
      <c r="G410" t="inlineStr">
        <is>
          <t>A Horwood</t>
        </is>
      </c>
      <c r="H410" t="inlineStr">
        <is>
          <t>4x4</t>
        </is>
      </c>
      <c r="I410" t="inlineStr">
        <is>
          <t>Daily/ Weekly Vehicle Inspection</t>
        </is>
      </c>
      <c r="J410" t="inlineStr">
        <is>
          <t>N/A</t>
        </is>
      </c>
      <c r="K410" t="inlineStr">
        <is>
          <t>6617 Ashdown Tree Limited</t>
        </is>
      </c>
      <c r="L410" t="inlineStr">
        <is>
          <t>02/03/2025 14:48</t>
        </is>
      </c>
      <c r="M410" t="inlineStr">
        <is>
          <t>None</t>
        </is>
      </c>
      <c r="N410" t="inlineStr">
        <is>
          <t>&lt;p&gt;&lt;/p&gt;</t>
        </is>
      </c>
      <c r="O410" t="inlineStr"/>
      <c r="P410" t="inlineStr">
        <is>
          <t>4x4 - Land rover  - Defender mewp  - TR55 tub</t>
        </is>
      </c>
      <c r="Q410" t="inlineStr">
        <is>
          <t>UKPN</t>
        </is>
      </c>
      <c r="R410" t="b">
        <v>0</v>
      </c>
    </row>
    <row r="411">
      <c r="A411" t="inlineStr">
        <is>
          <t>4 Mar 2025 / 7889 Tree Tech Suffolk Ltd</t>
        </is>
      </c>
      <c r="B411" t="inlineStr">
        <is>
          <t>Utilities &amp; Inland Waterways</t>
        </is>
      </c>
      <c r="C411" t="inlineStr">
        <is>
          <t>UKPN</t>
        </is>
      </c>
      <c r="D411" t="inlineStr">
        <is>
          <t>Isuzu</t>
        </is>
      </c>
      <c r="E411" t="inlineStr">
        <is>
          <t>D-max</t>
        </is>
      </c>
      <c r="F411" t="inlineStr">
        <is>
          <t>NS03 TTSTow Chipper</t>
        </is>
      </c>
      <c r="G411" t="inlineStr">
        <is>
          <t xml:space="preserve">Danny Appleby Danny Appleby </t>
        </is>
      </c>
      <c r="H411" t="inlineStr">
        <is>
          <t>4x4Towed Chipper</t>
        </is>
      </c>
      <c r="I411" t="inlineStr">
        <is>
          <t>Daily/ Weekly Vehicle Inspection</t>
        </is>
      </c>
      <c r="J411" t="inlineStr">
        <is>
          <t>N/A</t>
        </is>
      </c>
      <c r="K411" t="inlineStr">
        <is>
          <t>7889 Tree Tech Suffolk Ltd</t>
        </is>
      </c>
      <c r="L411" t="inlineStr">
        <is>
          <t>04/03/2025 14:58</t>
        </is>
      </c>
      <c r="M411" t="inlineStr">
        <is>
          <t>None</t>
        </is>
      </c>
      <c r="N411" t="inlineStr">
        <is>
          <t>&lt;p&gt;&lt;/p&gt;</t>
        </is>
      </c>
      <c r="O411" t="inlineStr">
        <is>
          <t>Confirm that you have checked this vehicle as per the guidance document and the vehicle is safe and roadworthy:Crack in windscreen. Started at bottom of windscreen and has now gone halfway up. Still not in drivers view. MOT in march. Change as soon as possible
-</t>
        </is>
      </c>
      <c r="P411" t="inlineStr">
        <is>
          <t>4x4 - Isuzu - D-max - NS03 TTSTow Chipper - Jenson - A530L - 5521063948</t>
        </is>
      </c>
      <c r="Q411" t="inlineStr">
        <is>
          <t>UKPN</t>
        </is>
      </c>
      <c r="R411" t="b">
        <v>0</v>
      </c>
    </row>
    <row r="412">
      <c r="A412" t="inlineStr">
        <is>
          <t>4 Mar 2025 / 7800 MAC Tree Surgery and Fencing Ltd</t>
        </is>
      </c>
      <c r="B412" t="inlineStr">
        <is>
          <t>Utilities &amp; Inland Waterways</t>
        </is>
      </c>
      <c r="C412" t="inlineStr">
        <is>
          <t>UKPN</t>
        </is>
      </c>
      <c r="D412" t="inlineStr">
        <is>
          <t>Izuzu</t>
        </is>
      </c>
      <c r="E412" t="inlineStr">
        <is>
          <t>Dmax</t>
        </is>
      </c>
      <c r="F412" t="inlineStr">
        <is>
          <t>Ay68 daaTow Chipper</t>
        </is>
      </c>
      <c r="G412" t="inlineStr">
        <is>
          <t xml:space="preserve">Lewis mac Lewis mac </t>
        </is>
      </c>
      <c r="H412" t="inlineStr">
        <is>
          <t>4x4Towed Chipper</t>
        </is>
      </c>
      <c r="I412" t="inlineStr">
        <is>
          <t>Daily/ Weekly Vehicle Inspection</t>
        </is>
      </c>
      <c r="J412" t="inlineStr">
        <is>
          <t>N/A</t>
        </is>
      </c>
      <c r="K412" t="inlineStr">
        <is>
          <t>7800 MAC Tree Surgery and Fencing Ltd</t>
        </is>
      </c>
      <c r="L412" t="inlineStr">
        <is>
          <t>04/03/2025 14:58</t>
        </is>
      </c>
      <c r="M412" t="inlineStr">
        <is>
          <t>None</t>
        </is>
      </c>
      <c r="N412" t="inlineStr">
        <is>
          <t>&lt;p&gt;&lt;/p&gt;</t>
        </is>
      </c>
      <c r="O412" t="inlineStr"/>
      <c r="P412" t="inlineStr">
        <is>
          <t>4x4 - Izuzu - Dmax - Ay68 daaTow Chipper - Timberwolf - TW150 - 205143043-a1</t>
        </is>
      </c>
      <c r="Q412" t="inlineStr">
        <is>
          <t>UKPN</t>
        </is>
      </c>
      <c r="R412" t="b">
        <v>0</v>
      </c>
    </row>
    <row r="413">
      <c r="A413" t="inlineStr">
        <is>
          <t>3 Mar 2025 / Philip Yearsley</t>
        </is>
      </c>
      <c r="B413" t="inlineStr">
        <is>
          <t>Utilities &amp; Inland Waterways</t>
        </is>
      </c>
      <c r="C413" t="inlineStr">
        <is>
          <t>NGED</t>
        </is>
      </c>
      <c r="D413" t="inlineStr">
        <is>
          <t>Electric</t>
        </is>
      </c>
      <c r="E413" t="inlineStr">
        <is>
          <t xml:space="preserve">Tesla </t>
        </is>
      </c>
      <c r="F413" t="inlineStr">
        <is>
          <t>Long range</t>
        </is>
      </c>
      <c r="G413" t="inlineStr">
        <is>
          <t xml:space="preserve">Philip Yearsley </t>
        </is>
      </c>
      <c r="H413" t="inlineStr">
        <is>
          <t>Car - Electric</t>
        </is>
      </c>
      <c r="I413" t="inlineStr">
        <is>
          <t>Daily/ Weekly Vehicle Inspection</t>
        </is>
      </c>
      <c r="J413" t="inlineStr">
        <is>
          <t>N/A</t>
        </is>
      </c>
      <c r="K413" t="inlineStr">
        <is>
          <t>Philip Yearsley</t>
        </is>
      </c>
      <c r="L413" t="inlineStr">
        <is>
          <t>04/03/2025 15:06</t>
        </is>
      </c>
      <c r="M413" t="inlineStr">
        <is>
          <t>None</t>
        </is>
      </c>
      <c r="N413" t="inlineStr">
        <is>
          <t>&lt;p&gt;&lt;/p&gt;</t>
        </is>
      </c>
      <c r="O413" t="inlineStr"/>
      <c r="P413" t="inlineStr">
        <is>
          <t>Car - Electric - Tesla  - Long range - GJ71KBK</t>
        </is>
      </c>
      <c r="Q413" t="inlineStr">
        <is>
          <t>NGED</t>
        </is>
      </c>
      <c r="R413" t="b">
        <v>0</v>
      </c>
    </row>
    <row r="414">
      <c r="A414" t="inlineStr">
        <is>
          <t>3 Mar 2025 / 7800 MAC Tree Surgery and Fencing Ltd</t>
        </is>
      </c>
      <c r="B414" t="inlineStr">
        <is>
          <t>Utilities &amp; Inland Waterways</t>
        </is>
      </c>
      <c r="C414" t="inlineStr">
        <is>
          <t>UKPN</t>
        </is>
      </c>
      <c r="D414" t="inlineStr">
        <is>
          <t>Izuzu</t>
        </is>
      </c>
      <c r="E414" t="inlineStr">
        <is>
          <t>Dmax</t>
        </is>
      </c>
      <c r="F414" t="inlineStr">
        <is>
          <t>Ay68 daaTow Chipper</t>
        </is>
      </c>
      <c r="G414" t="inlineStr">
        <is>
          <t xml:space="preserve">Lewis mac Lewis mac </t>
        </is>
      </c>
      <c r="H414" t="inlineStr">
        <is>
          <t>4x4Towed Chipper</t>
        </is>
      </c>
      <c r="I414" t="inlineStr">
        <is>
          <t>Daily/ Weekly Vehicle Inspection</t>
        </is>
      </c>
      <c r="J414" t="inlineStr">
        <is>
          <t>N/A</t>
        </is>
      </c>
      <c r="K414" t="inlineStr">
        <is>
          <t>7800 MAC Tree Surgery and Fencing Ltd</t>
        </is>
      </c>
      <c r="L414" t="inlineStr">
        <is>
          <t>04/03/2025 15:19</t>
        </is>
      </c>
      <c r="M414" t="inlineStr">
        <is>
          <t>None</t>
        </is>
      </c>
      <c r="N414" t="inlineStr">
        <is>
          <t>&lt;p&gt;&lt;/p&gt;</t>
        </is>
      </c>
      <c r="O414" t="inlineStr"/>
      <c r="P414" t="inlineStr">
        <is>
          <t>4x4 - Izuzu - Dmax - Ay68 daaTow Chipper - Timberwolf - TW150 - 205143043-a1</t>
        </is>
      </c>
      <c r="Q414" t="inlineStr">
        <is>
          <t>UKPN</t>
        </is>
      </c>
      <c r="R414" t="b">
        <v>0</v>
      </c>
    </row>
    <row r="415">
      <c r="A415" t="inlineStr">
        <is>
          <t>5 Mar 2025 / 7800 MAC Tree Surgery and Fencing Ltd</t>
        </is>
      </c>
      <c r="B415" t="inlineStr">
        <is>
          <t>Utilities &amp; Inland Waterways</t>
        </is>
      </c>
      <c r="C415" t="inlineStr">
        <is>
          <t>UKPN</t>
        </is>
      </c>
      <c r="D415" t="inlineStr">
        <is>
          <t>Izuzu</t>
        </is>
      </c>
      <c r="E415" t="inlineStr">
        <is>
          <t>Dmax</t>
        </is>
      </c>
      <c r="F415" t="inlineStr">
        <is>
          <t>Ay68 daaTow Chipper</t>
        </is>
      </c>
      <c r="G415" t="inlineStr">
        <is>
          <t xml:space="preserve">Lewis mac Lewis mac </t>
        </is>
      </c>
      <c r="H415" t="inlineStr">
        <is>
          <t>4x4Towed Chipper</t>
        </is>
      </c>
      <c r="I415" t="inlineStr">
        <is>
          <t>Daily/ Weekly Vehicle Inspection</t>
        </is>
      </c>
      <c r="J415" t="inlineStr">
        <is>
          <t>N/A</t>
        </is>
      </c>
      <c r="K415" t="inlineStr">
        <is>
          <t>7800 MAC Tree Surgery and Fencing Ltd</t>
        </is>
      </c>
      <c r="L415" t="inlineStr">
        <is>
          <t>05/03/2025 15:02</t>
        </is>
      </c>
      <c r="M415" t="inlineStr">
        <is>
          <t>None</t>
        </is>
      </c>
      <c r="N415" t="inlineStr">
        <is>
          <t>&lt;p&gt;&lt;/p&gt;</t>
        </is>
      </c>
      <c r="O415" t="inlineStr"/>
      <c r="P415" t="inlineStr">
        <is>
          <t>4x4 - Izuzu - Dmax - Ay68 daaTow Chipper - Timberwolf - TW150 - 205143043-a1</t>
        </is>
      </c>
      <c r="Q415" t="inlineStr">
        <is>
          <t>UKPN</t>
        </is>
      </c>
      <c r="R415" t="b">
        <v>0</v>
      </c>
    </row>
    <row r="416">
      <c r="A416" t="inlineStr">
        <is>
          <t>4 Mar 2025 / 7889 Tree Tech Suffolk Ltd</t>
        </is>
      </c>
      <c r="B416" t="inlineStr">
        <is>
          <t>Utilities &amp; Inland Waterways</t>
        </is>
      </c>
      <c r="C416" t="inlineStr">
        <is>
          <t>UKPN</t>
        </is>
      </c>
      <c r="D416" t="inlineStr">
        <is>
          <t>Isuzu</t>
        </is>
      </c>
      <c r="E416" t="inlineStr">
        <is>
          <t>D-max</t>
        </is>
      </c>
      <c r="F416" t="inlineStr">
        <is>
          <t>NS03 TTSTow Chipper</t>
        </is>
      </c>
      <c r="G416" t="inlineStr">
        <is>
          <t xml:space="preserve">Danny Appleby Danny Appleby </t>
        </is>
      </c>
      <c r="H416" t="inlineStr">
        <is>
          <t>4x4Towed Chipper</t>
        </is>
      </c>
      <c r="I416" t="inlineStr">
        <is>
          <t>Daily/ Weekly Vehicle Inspection</t>
        </is>
      </c>
      <c r="J416" t="inlineStr">
        <is>
          <t>N/A</t>
        </is>
      </c>
      <c r="K416" t="inlineStr">
        <is>
          <t>7889 Tree Tech Suffolk Ltd</t>
        </is>
      </c>
      <c r="L416" t="inlineStr">
        <is>
          <t>05/03/2025 15:31</t>
        </is>
      </c>
      <c r="M416" t="inlineStr">
        <is>
          <t>None</t>
        </is>
      </c>
      <c r="N416" t="inlineStr">
        <is>
          <t>&lt;p&gt;&lt;/p&gt;</t>
        </is>
      </c>
      <c r="O416" t="inlineStr">
        <is>
          <t>Confirm that you have checked this vehicle as per the guidance document and the vehicle is safe and roadworthy:Crack in windscreen. Started at bottom of windscreen and has now gone halfway up. Still not in drivers view. MOT in march. Change as soon as possible
-</t>
        </is>
      </c>
      <c r="P416" t="inlineStr">
        <is>
          <t>4x4 - Isuzu - D-max - NS03 TTSTow Chipper - Jenson - A530L - 5521063948</t>
        </is>
      </c>
      <c r="Q416" t="inlineStr">
        <is>
          <t>UKPN</t>
        </is>
      </c>
      <c r="R416" t="b">
        <v>0</v>
      </c>
    </row>
    <row r="417">
      <c r="A417" t="inlineStr">
        <is>
          <t>4 Mar 2025 / 7800 MAC Tree Surgery and Fencing Ltd</t>
        </is>
      </c>
      <c r="B417" t="inlineStr">
        <is>
          <t>Utilities &amp; Inland Waterways</t>
        </is>
      </c>
      <c r="C417" t="inlineStr">
        <is>
          <t>UKPN</t>
        </is>
      </c>
      <c r="D417" t="inlineStr">
        <is>
          <t>Izuzu</t>
        </is>
      </c>
      <c r="E417" t="inlineStr">
        <is>
          <t>Dmax</t>
        </is>
      </c>
      <c r="F417" t="inlineStr">
        <is>
          <t>Ay68 daaTow Chipper</t>
        </is>
      </c>
      <c r="G417" t="inlineStr">
        <is>
          <t xml:space="preserve">Lewis mac Lewis mac </t>
        </is>
      </c>
      <c r="H417" t="inlineStr">
        <is>
          <t>4x4Towed Chipper</t>
        </is>
      </c>
      <c r="I417" t="inlineStr">
        <is>
          <t>Daily/ Weekly Vehicle Inspection</t>
        </is>
      </c>
      <c r="J417" t="inlineStr">
        <is>
          <t>N/A</t>
        </is>
      </c>
      <c r="K417" t="inlineStr">
        <is>
          <t>7800 MAC Tree Surgery and Fencing Ltd</t>
        </is>
      </c>
      <c r="L417" t="inlineStr">
        <is>
          <t>05/03/2025 15:32</t>
        </is>
      </c>
      <c r="M417" t="inlineStr">
        <is>
          <t>None</t>
        </is>
      </c>
      <c r="N417" t="inlineStr">
        <is>
          <t>&lt;p&gt;&lt;/p&gt;</t>
        </is>
      </c>
      <c r="O417" t="inlineStr"/>
      <c r="P417" t="inlineStr">
        <is>
          <t>4x4 - Izuzu - Dmax - Ay68 daaTow Chipper - Timberwolf - TW150 - 205143043-a1</t>
        </is>
      </c>
      <c r="Q417" t="inlineStr">
        <is>
          <t>UKPN</t>
        </is>
      </c>
      <c r="R417" t="b">
        <v>0</v>
      </c>
    </row>
    <row r="418">
      <c r="A418" t="inlineStr">
        <is>
          <t>3 Mar 2025 / Philip Yearsley</t>
        </is>
      </c>
      <c r="B418" t="inlineStr">
        <is>
          <t>Utilities &amp; Inland Waterways</t>
        </is>
      </c>
      <c r="C418" t="inlineStr">
        <is>
          <t>NGED</t>
        </is>
      </c>
      <c r="D418" t="inlineStr">
        <is>
          <t>Electric</t>
        </is>
      </c>
      <c r="E418" t="inlineStr">
        <is>
          <t xml:space="preserve">Tesla </t>
        </is>
      </c>
      <c r="F418" t="inlineStr">
        <is>
          <t>Long range</t>
        </is>
      </c>
      <c r="G418" t="inlineStr">
        <is>
          <t xml:space="preserve">Philip Yearsley </t>
        </is>
      </c>
      <c r="H418" t="inlineStr">
        <is>
          <t>Car - Electric</t>
        </is>
      </c>
      <c r="I418" t="inlineStr">
        <is>
          <t>Daily/ Weekly Vehicle Inspection</t>
        </is>
      </c>
      <c r="J418" t="inlineStr">
        <is>
          <t>N/A</t>
        </is>
      </c>
      <c r="K418" t="inlineStr">
        <is>
          <t>Philip Yearsley</t>
        </is>
      </c>
      <c r="L418" t="inlineStr">
        <is>
          <t>05/03/2025 15:41</t>
        </is>
      </c>
      <c r="M418" t="inlineStr">
        <is>
          <t>None</t>
        </is>
      </c>
      <c r="N418" t="inlineStr">
        <is>
          <t>&lt;p&gt;&lt;/p&gt;</t>
        </is>
      </c>
      <c r="O418" t="inlineStr"/>
      <c r="P418" t="inlineStr">
        <is>
          <t>Car - Electric - Tesla  - Long range - GJ71KBK</t>
        </is>
      </c>
      <c r="Q418" t="inlineStr">
        <is>
          <t>NGED</t>
        </is>
      </c>
      <c r="R418" t="b">
        <v>0</v>
      </c>
    </row>
    <row r="419">
      <c r="A419" t="inlineStr">
        <is>
          <t>6 Mar 2025 / 7889 Tree Tech Suffolk Ltd</t>
        </is>
      </c>
      <c r="B419" t="inlineStr">
        <is>
          <t>Utilities &amp; Inland Waterways</t>
        </is>
      </c>
      <c r="C419" t="inlineStr">
        <is>
          <t>UKPN</t>
        </is>
      </c>
      <c r="D419" t="inlineStr">
        <is>
          <t>Isuzu</t>
        </is>
      </c>
      <c r="E419" t="inlineStr">
        <is>
          <t>D-max</t>
        </is>
      </c>
      <c r="F419" t="inlineStr">
        <is>
          <t>NS03 TTSTow Chipper</t>
        </is>
      </c>
      <c r="G419" t="inlineStr">
        <is>
          <t xml:space="preserve">Dan brown Danny Appleby Danny Appleby </t>
        </is>
      </c>
      <c r="H419" t="inlineStr">
        <is>
          <t>4x4Towed ChipperTipper</t>
        </is>
      </c>
      <c r="I419" t="inlineStr">
        <is>
          <t>Daily/ Weekly Vehicle Inspection</t>
        </is>
      </c>
      <c r="J419" t="inlineStr">
        <is>
          <t>N/A</t>
        </is>
      </c>
      <c r="K419" t="inlineStr">
        <is>
          <t>7889 Tree Tech Suffolk Ltd</t>
        </is>
      </c>
      <c r="L419" t="inlineStr">
        <is>
          <t>06/03/2025 07:44</t>
        </is>
      </c>
      <c r="M419" t="inlineStr">
        <is>
          <t>None</t>
        </is>
      </c>
      <c r="N419" t="inlineStr">
        <is>
          <t>&lt;p&gt;&lt;/p&gt;</t>
        </is>
      </c>
      <c r="O419" t="inlineStr">
        <is>
          <t>Confirm that you have checked this vehicle as per the guidance document and the vehicle is safe and roadworthy:Crack in windscreen. Started at bottom of windscreen and has now gone halfway up. Still not in drivers view. MOT in march. Change as soon as possible
-</t>
        </is>
      </c>
      <c r="P419" t="inlineStr">
        <is>
          <t>4x4 - Isuzu - D-max - NS03 TTSTow Chipper - Jenson - A530L - 5521063948Tipper - Mercedes - Sprinter - NS06TTS</t>
        </is>
      </c>
      <c r="Q419" t="inlineStr">
        <is>
          <t>UKPN</t>
        </is>
      </c>
      <c r="R419" t="b">
        <v>0</v>
      </c>
    </row>
    <row r="420">
      <c r="A420" t="inlineStr">
        <is>
          <t>7 Mar 2025 / 7800 MAC Tree Surgery and Fencing Ltd</t>
        </is>
      </c>
      <c r="B420" t="inlineStr">
        <is>
          <t>Utilities &amp; Inland Waterways</t>
        </is>
      </c>
      <c r="C420" t="inlineStr">
        <is>
          <t>UKPN</t>
        </is>
      </c>
      <c r="D420" t="inlineStr">
        <is>
          <t>Izuzu</t>
        </is>
      </c>
      <c r="E420" t="inlineStr">
        <is>
          <t>Dmax</t>
        </is>
      </c>
      <c r="F420" t="inlineStr">
        <is>
          <t>Ay68 daaTow Chipper</t>
        </is>
      </c>
      <c r="G420" t="inlineStr">
        <is>
          <t xml:space="preserve">Lewis mac Lewis mac </t>
        </is>
      </c>
      <c r="H420" t="inlineStr">
        <is>
          <t>4x4Towed Chipper</t>
        </is>
      </c>
      <c r="I420" t="inlineStr">
        <is>
          <t>Daily/ Weekly Vehicle Inspection</t>
        </is>
      </c>
      <c r="J420" t="inlineStr">
        <is>
          <t>N/A</t>
        </is>
      </c>
      <c r="K420" t="inlineStr">
        <is>
          <t>7800 MAC Tree Surgery and Fencing Ltd</t>
        </is>
      </c>
      <c r="L420" t="inlineStr">
        <is>
          <t>07/03/2025 07:43</t>
        </is>
      </c>
      <c r="M420" t="inlineStr">
        <is>
          <t>None</t>
        </is>
      </c>
      <c r="N420" t="inlineStr">
        <is>
          <t>&lt;p&gt;&lt;/p&gt;</t>
        </is>
      </c>
      <c r="O420" t="inlineStr"/>
      <c r="P420" t="inlineStr">
        <is>
          <t>4x4 - Izuzu - Dmax - Ay68 daaTow Chipper - Timberwolf - TW150 - 205143043-a1</t>
        </is>
      </c>
      <c r="Q420" t="inlineStr">
        <is>
          <t>UKPN</t>
        </is>
      </c>
      <c r="R420" t="b">
        <v>0</v>
      </c>
    </row>
    <row r="421">
      <c r="A421" t="inlineStr">
        <is>
          <t>10 Mar 2025 / 7800 MAC Tree Surgery and Fencing Ltd</t>
        </is>
      </c>
      <c r="B421" t="inlineStr">
        <is>
          <t>Utilities &amp; Inland Waterways</t>
        </is>
      </c>
      <c r="C421" t="inlineStr">
        <is>
          <t>UKPN</t>
        </is>
      </c>
      <c r="D421" t="inlineStr">
        <is>
          <t>Izuzu</t>
        </is>
      </c>
      <c r="E421" t="inlineStr">
        <is>
          <t>Dmax</t>
        </is>
      </c>
      <c r="F421" t="inlineStr">
        <is>
          <t>Ay68 daaTow Chipper</t>
        </is>
      </c>
      <c r="G421" t="inlineStr">
        <is>
          <t xml:space="preserve">Lewis mac Lewis mac </t>
        </is>
      </c>
      <c r="H421" t="inlineStr">
        <is>
          <t>4x4Towed Chipper</t>
        </is>
      </c>
      <c r="I421" t="inlineStr">
        <is>
          <t>Daily/ Weekly Vehicle Inspection</t>
        </is>
      </c>
      <c r="J421" t="inlineStr">
        <is>
          <t>N/A</t>
        </is>
      </c>
      <c r="K421" t="inlineStr">
        <is>
          <t>7800 MAC Tree Surgery and Fencing Ltd</t>
        </is>
      </c>
      <c r="L421" t="inlineStr">
        <is>
          <t>10/03/2025 09:53</t>
        </is>
      </c>
      <c r="M421" t="inlineStr">
        <is>
          <t>None</t>
        </is>
      </c>
      <c r="N421" t="inlineStr">
        <is>
          <t>&lt;p&gt;&lt;/p&gt;</t>
        </is>
      </c>
      <c r="O421" t="inlineStr"/>
      <c r="P421" t="inlineStr">
        <is>
          <t>4x4 - Izuzu - Dmax - Ay68 daaTow Chipper - Timberwolf - TW150 - 205143043-a1</t>
        </is>
      </c>
      <c r="Q421" t="inlineStr">
        <is>
          <t>UKPN</t>
        </is>
      </c>
      <c r="R421" t="b">
        <v>0</v>
      </c>
    </row>
    <row r="422">
      <c r="A422" t="inlineStr">
        <is>
          <t>10 Mar 2025 / Anthony Gale</t>
        </is>
      </c>
      <c r="B422" t="inlineStr">
        <is>
          <t>Utilities &amp; Inland Waterways</t>
        </is>
      </c>
      <c r="C422" t="inlineStr">
        <is>
          <t>UKPN</t>
        </is>
      </c>
      <c r="D422" t="inlineStr">
        <is>
          <t xml:space="preserve">Mitsubishi </t>
        </is>
      </c>
      <c r="E422" t="inlineStr">
        <is>
          <t>L200</t>
        </is>
      </c>
      <c r="F422" t="inlineStr">
        <is>
          <t>PE07HGL</t>
        </is>
      </c>
      <c r="G422" t="inlineStr">
        <is>
          <t>Anthony Gale</t>
        </is>
      </c>
      <c r="H422" t="inlineStr">
        <is>
          <t>4x4</t>
        </is>
      </c>
      <c r="I422" t="inlineStr">
        <is>
          <t>Daily/ Weekly Vehicle Inspection</t>
        </is>
      </c>
      <c r="J422" t="inlineStr">
        <is>
          <t>N/A</t>
        </is>
      </c>
      <c r="K422" t="inlineStr">
        <is>
          <t>7996 M G Tree Surgery Ltd</t>
        </is>
      </c>
      <c r="L422" t="inlineStr">
        <is>
          <t>10/03/2025 11:44</t>
        </is>
      </c>
      <c r="M422" t="inlineStr">
        <is>
          <t>None</t>
        </is>
      </c>
      <c r="N422" t="inlineStr">
        <is>
          <t>&lt;p&gt;&lt;/p&gt;</t>
        </is>
      </c>
      <c r="O422" t="inlineStr"/>
      <c r="P422" t="inlineStr">
        <is>
          <t>4x4 - Mitsubishi  - L200 - PE07HGL</t>
        </is>
      </c>
      <c r="Q422" t="inlineStr">
        <is>
          <t>UKPN</t>
        </is>
      </c>
      <c r="R422" t="b">
        <v>0</v>
      </c>
    </row>
    <row r="423">
      <c r="A423" t="inlineStr">
        <is>
          <t>11 Mar 2025 / 7800 MAC Tree Surgery and Fencing Ltd</t>
        </is>
      </c>
      <c r="B423" t="inlineStr">
        <is>
          <t>Utilities &amp; Inland Waterways</t>
        </is>
      </c>
      <c r="C423" t="inlineStr">
        <is>
          <t>UKPN</t>
        </is>
      </c>
      <c r="D423" t="inlineStr">
        <is>
          <t>Izuzu</t>
        </is>
      </c>
      <c r="E423" t="inlineStr">
        <is>
          <t>Dmax</t>
        </is>
      </c>
      <c r="F423" t="inlineStr">
        <is>
          <t>Ay68 daaTow Chipper</t>
        </is>
      </c>
      <c r="G423" t="inlineStr">
        <is>
          <t xml:space="preserve">Lewis mac Lewis mac </t>
        </is>
      </c>
      <c r="H423" t="inlineStr">
        <is>
          <t>4x4Towed Chipper</t>
        </is>
      </c>
      <c r="I423" t="inlineStr">
        <is>
          <t>Daily/ Weekly Vehicle Inspection</t>
        </is>
      </c>
      <c r="J423" t="inlineStr">
        <is>
          <t>N/A</t>
        </is>
      </c>
      <c r="K423" t="inlineStr">
        <is>
          <t>7800 MAC Tree Surgery and Fencing Ltd</t>
        </is>
      </c>
      <c r="L423" t="inlineStr">
        <is>
          <t>11/03/2025 07:44</t>
        </is>
      </c>
      <c r="M423" t="inlineStr">
        <is>
          <t>None</t>
        </is>
      </c>
      <c r="N423" t="inlineStr">
        <is>
          <t>&lt;p&gt;&lt;/p&gt;</t>
        </is>
      </c>
      <c r="O423" t="inlineStr"/>
      <c r="P423" t="inlineStr">
        <is>
          <t>4x4 - Izuzu - Dmax - Ay68 daaTow Chipper - Timberwolf - TW150 - 205143043-a1</t>
        </is>
      </c>
      <c r="Q423" t="inlineStr">
        <is>
          <t>UKPN</t>
        </is>
      </c>
      <c r="R423" t="b">
        <v>0</v>
      </c>
    </row>
    <row r="424">
      <c r="A424" t="inlineStr">
        <is>
          <t>11 Mar 2025 / Anthony Gale</t>
        </is>
      </c>
      <c r="B424" t="inlineStr">
        <is>
          <t>Utilities &amp; Inland Waterways</t>
        </is>
      </c>
      <c r="C424" t="inlineStr">
        <is>
          <t>UKPN</t>
        </is>
      </c>
      <c r="D424" t="inlineStr">
        <is>
          <t xml:space="preserve">Mitsubishi </t>
        </is>
      </c>
      <c r="E424" t="inlineStr">
        <is>
          <t>L200</t>
        </is>
      </c>
      <c r="F424" t="inlineStr">
        <is>
          <t>PE07HGL</t>
        </is>
      </c>
      <c r="G424" t="inlineStr">
        <is>
          <t>Anthony Gale</t>
        </is>
      </c>
      <c r="H424" t="inlineStr">
        <is>
          <t>Pickup Truck</t>
        </is>
      </c>
      <c r="I424" t="inlineStr">
        <is>
          <t>Daily/ Weekly Vehicle Inspection</t>
        </is>
      </c>
      <c r="J424" t="inlineStr">
        <is>
          <t>N/A</t>
        </is>
      </c>
      <c r="K424" t="inlineStr">
        <is>
          <t>7996 M G Tree Surgery Ltd</t>
        </is>
      </c>
      <c r="L424" t="inlineStr">
        <is>
          <t>11/03/2025 07:47</t>
        </is>
      </c>
      <c r="M424" t="inlineStr">
        <is>
          <t>None</t>
        </is>
      </c>
      <c r="N424" t="inlineStr">
        <is>
          <t>&lt;p&gt;&lt;/p&gt;</t>
        </is>
      </c>
      <c r="O424" t="inlineStr"/>
      <c r="P424" t="inlineStr">
        <is>
          <t>4x4 - Mitsubishi  - L200 - PE07HGL</t>
        </is>
      </c>
      <c r="Q424" t="inlineStr">
        <is>
          <t>UKPN</t>
        </is>
      </c>
      <c r="R424" t="b">
        <v>0</v>
      </c>
    </row>
    <row r="425">
      <c r="A425" t="inlineStr">
        <is>
          <t>12 Mar 2025 / 7800 MAC Tree Surgery and Fencing Ltd</t>
        </is>
      </c>
      <c r="B425" t="inlineStr">
        <is>
          <t>Utilities &amp; Inland Waterways</t>
        </is>
      </c>
      <c r="C425" t="inlineStr">
        <is>
          <t>UKPN</t>
        </is>
      </c>
      <c r="D425" t="inlineStr">
        <is>
          <t>Izuzu</t>
        </is>
      </c>
      <c r="E425" t="inlineStr">
        <is>
          <t>Dmax</t>
        </is>
      </c>
      <c r="F425" t="inlineStr">
        <is>
          <t>Ay68 daaTow Chipper</t>
        </is>
      </c>
      <c r="G425" t="inlineStr">
        <is>
          <t xml:space="preserve">Lewis mac Lewis mac </t>
        </is>
      </c>
      <c r="H425" t="inlineStr">
        <is>
          <t>4x4Towed Chipper</t>
        </is>
      </c>
      <c r="I425" t="inlineStr">
        <is>
          <t>Daily/ Weekly Vehicle Inspection</t>
        </is>
      </c>
      <c r="J425" t="inlineStr">
        <is>
          <t>N/A</t>
        </is>
      </c>
      <c r="K425" t="inlineStr">
        <is>
          <t>7800 MAC Tree Surgery and Fencing Ltd</t>
        </is>
      </c>
      <c r="L425" t="inlineStr">
        <is>
          <t>12/03/2025 07:46</t>
        </is>
      </c>
      <c r="M425" t="inlineStr">
        <is>
          <t>None</t>
        </is>
      </c>
      <c r="N425" t="inlineStr">
        <is>
          <t>&lt;p&gt;&lt;/p&gt;</t>
        </is>
      </c>
      <c r="O425" t="inlineStr"/>
      <c r="P425" t="inlineStr">
        <is>
          <t>4x4 - Izuzu - Dmax - Ay68 daaTow Chipper - Timberwolf - TW150 - 205143043-a1</t>
        </is>
      </c>
      <c r="Q425" t="inlineStr">
        <is>
          <t>UKPN</t>
        </is>
      </c>
      <c r="R425" t="b">
        <v>0</v>
      </c>
    </row>
    <row r="426">
      <c r="A426" t="inlineStr">
        <is>
          <t>12 Mar 2025 / 7889 Tree Tech Suffolk Ltd</t>
        </is>
      </c>
      <c r="B426" t="inlineStr">
        <is>
          <t>Utilities &amp; Inland Waterways</t>
        </is>
      </c>
      <c r="C426" t="inlineStr">
        <is>
          <t>UKPN</t>
        </is>
      </c>
      <c r="D426" t="inlineStr">
        <is>
          <t>Isuzu</t>
        </is>
      </c>
      <c r="E426" t="inlineStr">
        <is>
          <t>D-max</t>
        </is>
      </c>
      <c r="F426" t="inlineStr">
        <is>
          <t>NS03 TTSTow Chipper</t>
        </is>
      </c>
      <c r="G426" t="inlineStr">
        <is>
          <t xml:space="preserve">Danny Appleby Danny Appleby </t>
        </is>
      </c>
      <c r="H426" t="inlineStr">
        <is>
          <t>4x4Towed Chipper</t>
        </is>
      </c>
      <c r="I426" t="inlineStr">
        <is>
          <t>Daily/ Weekly Vehicle Inspection</t>
        </is>
      </c>
      <c r="J426" t="inlineStr">
        <is>
          <t>N/A</t>
        </is>
      </c>
      <c r="K426" t="inlineStr">
        <is>
          <t>7889 Tree Tech Suffolk Ltd</t>
        </is>
      </c>
      <c r="L426" t="inlineStr">
        <is>
          <t>12/03/2025 07:49</t>
        </is>
      </c>
      <c r="M426" t="inlineStr">
        <is>
          <t>None</t>
        </is>
      </c>
      <c r="N426" t="inlineStr">
        <is>
          <t>&lt;p&gt;&lt;/p&gt;</t>
        </is>
      </c>
      <c r="O426" t="inlineStr"/>
      <c r="P426" t="inlineStr">
        <is>
          <t>4x4 - Isuzu - D-max - NS03 TTSTow Chipper - Jenson - A530L - 5521063948</t>
        </is>
      </c>
      <c r="Q426" t="inlineStr">
        <is>
          <t>UKPN</t>
        </is>
      </c>
      <c r="R426" t="b">
        <v>0</v>
      </c>
    </row>
    <row r="427">
      <c r="A427" t="inlineStr">
        <is>
          <t>12 Mar 2025 / Philip Yearsley</t>
        </is>
      </c>
      <c r="B427" t="inlineStr">
        <is>
          <t>Utilities &amp; Inland Waterways</t>
        </is>
      </c>
      <c r="C427" t="inlineStr">
        <is>
          <t>NGED</t>
        </is>
      </c>
      <c r="D427" t="inlineStr">
        <is>
          <t>Electric</t>
        </is>
      </c>
      <c r="E427" t="inlineStr">
        <is>
          <t xml:space="preserve">Tesla </t>
        </is>
      </c>
      <c r="F427" t="inlineStr">
        <is>
          <t>Long range</t>
        </is>
      </c>
      <c r="G427" t="inlineStr">
        <is>
          <t xml:space="preserve">Philip Yearsley </t>
        </is>
      </c>
      <c r="H427" t="inlineStr">
        <is>
          <t>Car - Electric</t>
        </is>
      </c>
      <c r="I427" t="inlineStr">
        <is>
          <t>Daily/ Weekly Vehicle Inspection</t>
        </is>
      </c>
      <c r="J427" t="inlineStr">
        <is>
          <t>N/A</t>
        </is>
      </c>
      <c r="K427" t="inlineStr">
        <is>
          <t>Philip Yearsley</t>
        </is>
      </c>
      <c r="L427" t="inlineStr">
        <is>
          <t>12/03/2025 11:45</t>
        </is>
      </c>
      <c r="M427" t="inlineStr">
        <is>
          <t>None</t>
        </is>
      </c>
      <c r="N427" t="inlineStr">
        <is>
          <t>&lt;p&gt;&lt;/p&gt;</t>
        </is>
      </c>
      <c r="O427" t="inlineStr"/>
      <c r="P427" t="inlineStr">
        <is>
          <t>Car - Electric - Tesla  - Long range - GJ71KBK</t>
        </is>
      </c>
      <c r="Q427" t="inlineStr">
        <is>
          <t>NGED</t>
        </is>
      </c>
      <c r="R427" t="b">
        <v>0</v>
      </c>
    </row>
    <row r="428">
      <c r="A428" t="inlineStr">
        <is>
          <t>12 Mar 2025 / Gregory Mapfumo</t>
        </is>
      </c>
      <c r="B428" t="inlineStr">
        <is>
          <t>Utilities &amp; Inland Waterways</t>
        </is>
      </c>
      <c r="C428" t="inlineStr">
        <is>
          <t>UKPN</t>
        </is>
      </c>
      <c r="D428" t="inlineStr">
        <is>
          <t>Petrol</t>
        </is>
      </c>
      <c r="E428" t="inlineStr">
        <is>
          <t>Hyundai</t>
        </is>
      </c>
      <c r="F428" t="inlineStr">
        <is>
          <t>i20</t>
        </is>
      </c>
      <c r="G428" t="inlineStr">
        <is>
          <t>Greg Mapfumo</t>
        </is>
      </c>
      <c r="H428" t="inlineStr">
        <is>
          <t>Car - Petrol</t>
        </is>
      </c>
      <c r="I428" t="inlineStr">
        <is>
          <t>Daily/ Weekly Vehicle Inspection</t>
        </is>
      </c>
      <c r="J428" t="inlineStr">
        <is>
          <t>N/A</t>
        </is>
      </c>
      <c r="K428" t="inlineStr">
        <is>
          <t>Gregory Mapfumo</t>
        </is>
      </c>
      <c r="L428" t="inlineStr">
        <is>
          <t>12/03/2025 18:44</t>
        </is>
      </c>
      <c r="M428" t="inlineStr">
        <is>
          <t>None</t>
        </is>
      </c>
      <c r="N428" t="inlineStr">
        <is>
          <t>&lt;p&gt;&lt;/p&gt;</t>
        </is>
      </c>
      <c r="O428" t="inlineStr"/>
      <c r="P428" t="inlineStr">
        <is>
          <t>Car - Petrol - Hyundai - i20 - GL74VCA</t>
        </is>
      </c>
      <c r="Q428" t="inlineStr">
        <is>
          <t>UKPN</t>
        </is>
      </c>
      <c r="R428" t="b">
        <v>0</v>
      </c>
    </row>
    <row r="429">
      <c r="A429" t="inlineStr">
        <is>
          <t>13 Mar 2025 / 7889 Tree Tech Suffolk Ltd</t>
        </is>
      </c>
      <c r="B429" t="inlineStr">
        <is>
          <t>Utilities &amp; Inland Waterways</t>
        </is>
      </c>
      <c r="C429" t="inlineStr">
        <is>
          <t>UKPN</t>
        </is>
      </c>
      <c r="D429" t="inlineStr">
        <is>
          <t>Isuzu</t>
        </is>
      </c>
      <c r="E429" t="inlineStr">
        <is>
          <t>D-max</t>
        </is>
      </c>
      <c r="F429" t="inlineStr">
        <is>
          <t>NS03 TTSTow Chipper</t>
        </is>
      </c>
      <c r="G429" t="inlineStr">
        <is>
          <t xml:space="preserve">Danny Appleby Danny Appleby </t>
        </is>
      </c>
      <c r="H429" t="inlineStr">
        <is>
          <t>4x4Towed Chipper</t>
        </is>
      </c>
      <c r="I429" t="inlineStr">
        <is>
          <t>Daily/ Weekly Vehicle Inspection</t>
        </is>
      </c>
      <c r="J429" t="inlineStr">
        <is>
          <t>N/A</t>
        </is>
      </c>
      <c r="K429" t="inlineStr">
        <is>
          <t>7889 Tree Tech Suffolk Ltd</t>
        </is>
      </c>
      <c r="L429" t="inlineStr">
        <is>
          <t>13/03/2025 07:46</t>
        </is>
      </c>
      <c r="M429" t="inlineStr">
        <is>
          <t>None</t>
        </is>
      </c>
      <c r="N429" t="inlineStr">
        <is>
          <t>&lt;p&gt;&lt;/p&gt;</t>
        </is>
      </c>
      <c r="O429" t="inlineStr"/>
      <c r="P429" t="inlineStr">
        <is>
          <t>4x4 - Isuzu - D-max - NS03 TTSTow Chipper - Jenson - A530L - 5521063948</t>
        </is>
      </c>
      <c r="Q429" t="inlineStr">
        <is>
          <t>UKPN</t>
        </is>
      </c>
      <c r="R429" t="b">
        <v>0</v>
      </c>
    </row>
    <row r="430">
      <c r="A430" t="inlineStr">
        <is>
          <t>13 Mar 2025 / 7800 MAC Tree Surgery and Fencing Ltd</t>
        </is>
      </c>
      <c r="B430" t="inlineStr">
        <is>
          <t>Utilities &amp; Inland Waterways</t>
        </is>
      </c>
      <c r="C430" t="inlineStr">
        <is>
          <t>UKPN</t>
        </is>
      </c>
      <c r="D430" t="inlineStr">
        <is>
          <t>Izuzu</t>
        </is>
      </c>
      <c r="E430" t="inlineStr">
        <is>
          <t>Dmax</t>
        </is>
      </c>
      <c r="F430" t="inlineStr">
        <is>
          <t>Ay68 daaTow Chipper</t>
        </is>
      </c>
      <c r="G430" t="inlineStr">
        <is>
          <t xml:space="preserve">Lewis mac Lewis mac </t>
        </is>
      </c>
      <c r="H430" t="inlineStr">
        <is>
          <t>4x4Towed Chipper</t>
        </is>
      </c>
      <c r="I430" t="inlineStr">
        <is>
          <t>Daily/ Weekly Vehicle Inspection</t>
        </is>
      </c>
      <c r="J430" t="inlineStr">
        <is>
          <t>N/A</t>
        </is>
      </c>
      <c r="K430" t="inlineStr">
        <is>
          <t>7800 MAC Tree Surgery and Fencing Ltd</t>
        </is>
      </c>
      <c r="L430" t="inlineStr">
        <is>
          <t>13/03/2025 07:47</t>
        </is>
      </c>
      <c r="M430" t="inlineStr">
        <is>
          <t>None</t>
        </is>
      </c>
      <c r="N430" t="inlineStr">
        <is>
          <t>&lt;p&gt;&lt;/p&gt;</t>
        </is>
      </c>
      <c r="O430" t="inlineStr"/>
      <c r="P430" t="inlineStr">
        <is>
          <t>4x4 - Izuzu - Dmax - Ay68 daaTow Chipper - Timberwolf - TW150 - 205143043-a1</t>
        </is>
      </c>
      <c r="Q430" t="inlineStr">
        <is>
          <t>UKPN</t>
        </is>
      </c>
      <c r="R430" t="b">
        <v>0</v>
      </c>
    </row>
    <row r="431">
      <c r="A431" t="inlineStr">
        <is>
          <t>12 Mar 2025 / Thomas Nandi</t>
        </is>
      </c>
      <c r="B431" t="inlineStr">
        <is>
          <t>Utilities &amp; Inland Waterways</t>
        </is>
      </c>
      <c r="C431" t="inlineStr">
        <is>
          <t>SSE</t>
        </is>
      </c>
      <c r="D431" t="inlineStr">
        <is>
          <t>Petrol</t>
        </is>
      </c>
      <c r="E431" t="inlineStr">
        <is>
          <t xml:space="preserve">Peugeot </t>
        </is>
      </c>
      <c r="F431" t="inlineStr">
        <is>
          <t>2008</t>
        </is>
      </c>
      <c r="G431" t="inlineStr">
        <is>
          <t xml:space="preserve">Tom Nandi </t>
        </is>
      </c>
      <c r="H431" t="inlineStr">
        <is>
          <t>Car - Petrol</t>
        </is>
      </c>
      <c r="I431" t="inlineStr">
        <is>
          <t>Daily/ Weekly Vehicle Inspection</t>
        </is>
      </c>
      <c r="J431" t="inlineStr">
        <is>
          <t>N/A</t>
        </is>
      </c>
      <c r="K431" t="inlineStr">
        <is>
          <t>Thomas Nandi</t>
        </is>
      </c>
      <c r="L431" t="inlineStr">
        <is>
          <t>13/03/2025 09:46</t>
        </is>
      </c>
      <c r="M431" t="inlineStr">
        <is>
          <t>None</t>
        </is>
      </c>
      <c r="N431" t="inlineStr">
        <is>
          <t>&lt;p&gt;&lt;/p&gt;</t>
        </is>
      </c>
      <c r="O431" t="inlineStr"/>
      <c r="P431" t="inlineStr">
        <is>
          <t>Car - Petrol - Peugeot  - 2008 - BT24NB0</t>
        </is>
      </c>
      <c r="Q431" t="inlineStr">
        <is>
          <t>SSE</t>
        </is>
      </c>
      <c r="R431" t="b">
        <v>0</v>
      </c>
    </row>
    <row r="432">
      <c r="A432" t="inlineStr">
        <is>
          <t>14 Mar 2025 / 7889 Tree Tech Suffolk Ltd</t>
        </is>
      </c>
      <c r="B432" t="inlineStr">
        <is>
          <t>Utilities &amp; Inland Waterways</t>
        </is>
      </c>
      <c r="C432" t="inlineStr">
        <is>
          <t>UKPN</t>
        </is>
      </c>
      <c r="D432" t="inlineStr">
        <is>
          <t>Isuzu</t>
        </is>
      </c>
      <c r="E432" t="inlineStr">
        <is>
          <t>D-max</t>
        </is>
      </c>
      <c r="F432" t="inlineStr">
        <is>
          <t>NS03 TTSTow Chipper</t>
        </is>
      </c>
      <c r="G432" t="inlineStr">
        <is>
          <t xml:space="preserve">Danny Appleby Danny Appleby </t>
        </is>
      </c>
      <c r="H432" t="inlineStr">
        <is>
          <t>4x4Towed Chipper</t>
        </is>
      </c>
      <c r="I432" t="inlineStr">
        <is>
          <t>Daily/ Weekly Vehicle Inspection</t>
        </is>
      </c>
      <c r="J432" t="inlineStr">
        <is>
          <t>N/A</t>
        </is>
      </c>
      <c r="K432" t="inlineStr">
        <is>
          <t>7889 Tree Tech Suffolk Ltd</t>
        </is>
      </c>
      <c r="L432" t="inlineStr">
        <is>
          <t>14/03/2025 08:44</t>
        </is>
      </c>
      <c r="M432" t="inlineStr">
        <is>
          <t>None</t>
        </is>
      </c>
      <c r="N432" t="inlineStr">
        <is>
          <t>&lt;p&gt;&lt;/p&gt;</t>
        </is>
      </c>
      <c r="O432" t="inlineStr"/>
      <c r="P432" t="inlineStr">
        <is>
          <t>4x4 - Isuzu - D-max - NS03 TTSTow Chipper - Jenson - A530L - 5521063948</t>
        </is>
      </c>
      <c r="Q432" t="inlineStr">
        <is>
          <t>UKPN</t>
        </is>
      </c>
      <c r="R432" t="b">
        <v>0</v>
      </c>
    </row>
    <row r="433">
      <c r="A433" t="inlineStr">
        <is>
          <t>17 Mar 2025 / 7889 Tree Tech Suffolk Ltd</t>
        </is>
      </c>
      <c r="B433" t="inlineStr">
        <is>
          <t>Utilities &amp; Inland Waterways</t>
        </is>
      </c>
      <c r="C433" t="inlineStr">
        <is>
          <t>UKPN</t>
        </is>
      </c>
      <c r="D433" t="inlineStr">
        <is>
          <t>Isuzu</t>
        </is>
      </c>
      <c r="E433" t="inlineStr">
        <is>
          <t>D-max</t>
        </is>
      </c>
      <c r="F433" t="inlineStr">
        <is>
          <t>NS03 TTSTow Chipper</t>
        </is>
      </c>
      <c r="G433" t="inlineStr">
        <is>
          <t xml:space="preserve">Danny Appleby Danny Appleby </t>
        </is>
      </c>
      <c r="H433" t="inlineStr">
        <is>
          <t>4x4Towed Chipper</t>
        </is>
      </c>
      <c r="I433" t="inlineStr">
        <is>
          <t>Daily/ Weekly Vehicle Inspection</t>
        </is>
      </c>
      <c r="J433" t="inlineStr">
        <is>
          <t>N/A</t>
        </is>
      </c>
      <c r="K433" t="inlineStr">
        <is>
          <t>7889 Tree Tech Suffolk Ltd</t>
        </is>
      </c>
      <c r="L433" t="inlineStr">
        <is>
          <t>17/03/2025 08:52</t>
        </is>
      </c>
      <c r="M433" t="inlineStr">
        <is>
          <t>None</t>
        </is>
      </c>
      <c r="N433" t="inlineStr">
        <is>
          <t>&lt;p&gt;&lt;/p&gt;</t>
        </is>
      </c>
      <c r="O433" t="inlineStr"/>
      <c r="P433" t="inlineStr">
        <is>
          <t>4x4 - Isuzu - D-max - NS03 TTSTow Chipper - Jenson - A530L - 5521063948</t>
        </is>
      </c>
      <c r="Q433" t="inlineStr">
        <is>
          <t>UKPN</t>
        </is>
      </c>
      <c r="R433" t="b">
        <v>0</v>
      </c>
    </row>
    <row r="434">
      <c r="A434" t="inlineStr">
        <is>
          <t>18 Mar 2025 / 7800 MAC Tree Surgery and Fencing Ltd</t>
        </is>
      </c>
      <c r="B434" t="inlineStr">
        <is>
          <t>Utilities &amp; Inland Waterways</t>
        </is>
      </c>
      <c r="C434" t="inlineStr">
        <is>
          <t>UKPN</t>
        </is>
      </c>
      <c r="D434" t="inlineStr">
        <is>
          <t>Izuzu</t>
        </is>
      </c>
      <c r="E434" t="inlineStr">
        <is>
          <t>Dmax</t>
        </is>
      </c>
      <c r="F434" t="inlineStr">
        <is>
          <t>Ay68 daaTow Chipper</t>
        </is>
      </c>
      <c r="G434" t="inlineStr">
        <is>
          <t xml:space="preserve">Lewis mac Lewis mac </t>
        </is>
      </c>
      <c r="H434" t="inlineStr">
        <is>
          <t>4x4Towed Chipper</t>
        </is>
      </c>
      <c r="I434" t="inlineStr">
        <is>
          <t>Daily/ Weekly Vehicle Inspection</t>
        </is>
      </c>
      <c r="J434" t="inlineStr">
        <is>
          <t>N/A</t>
        </is>
      </c>
      <c r="K434" t="inlineStr">
        <is>
          <t>7800 MAC Tree Surgery and Fencing Ltd</t>
        </is>
      </c>
      <c r="L434" t="inlineStr">
        <is>
          <t>18/03/2025 07:47</t>
        </is>
      </c>
      <c r="M434" t="inlineStr">
        <is>
          <t>None</t>
        </is>
      </c>
      <c r="N434" t="inlineStr">
        <is>
          <t>&lt;p&gt;&lt;/p&gt;</t>
        </is>
      </c>
      <c r="O434" t="inlineStr"/>
      <c r="P434" t="inlineStr">
        <is>
          <t>4x4 - Izuzu - Dmax - Ay68 daaTow Chipper - Timberwolf - TW150 - 205143043-a1</t>
        </is>
      </c>
      <c r="Q434" t="inlineStr">
        <is>
          <t>UKPN</t>
        </is>
      </c>
      <c r="R434" t="b">
        <v>0</v>
      </c>
    </row>
    <row r="435">
      <c r="A435" t="inlineStr">
        <is>
          <t>18 Mar 2025 / 7889 Tree Tech Suffolk Ltd</t>
        </is>
      </c>
      <c r="B435" t="inlineStr">
        <is>
          <t>Utilities &amp; Inland Waterways</t>
        </is>
      </c>
      <c r="C435" t="inlineStr">
        <is>
          <t>UKPN</t>
        </is>
      </c>
      <c r="D435" t="inlineStr">
        <is>
          <t>Isuzu</t>
        </is>
      </c>
      <c r="E435" t="inlineStr">
        <is>
          <t>D-max</t>
        </is>
      </c>
      <c r="F435" t="inlineStr">
        <is>
          <t>NS03 TTSTow Chipper</t>
        </is>
      </c>
      <c r="G435" t="inlineStr">
        <is>
          <t xml:space="preserve">Danny Appleby Danny Appleby </t>
        </is>
      </c>
      <c r="H435" t="inlineStr">
        <is>
          <t>4x4Towed Chipper</t>
        </is>
      </c>
      <c r="I435" t="inlineStr">
        <is>
          <t>Daily/ Weekly Vehicle Inspection</t>
        </is>
      </c>
      <c r="J435" t="inlineStr">
        <is>
          <t>N/A</t>
        </is>
      </c>
      <c r="K435" t="inlineStr">
        <is>
          <t>7889 Tree Tech Suffolk Ltd</t>
        </is>
      </c>
      <c r="L435" t="inlineStr">
        <is>
          <t>18/03/2025 07:50</t>
        </is>
      </c>
      <c r="M435" t="inlineStr">
        <is>
          <t>None</t>
        </is>
      </c>
      <c r="N435" t="inlineStr">
        <is>
          <t>&lt;p&gt;&lt;/p&gt;</t>
        </is>
      </c>
      <c r="O435" t="inlineStr"/>
      <c r="P435" t="inlineStr">
        <is>
          <t>4x4 - Isuzu - D-max - NS03 TTSTow Chipper - Jenson - A530L - 5521063948</t>
        </is>
      </c>
      <c r="Q435" t="inlineStr">
        <is>
          <t>UKPN</t>
        </is>
      </c>
      <c r="R435" t="b">
        <v>0</v>
      </c>
    </row>
    <row r="436">
      <c r="A436" t="inlineStr">
        <is>
          <t>19 Mar 2025 / 7800 MAC Tree Surgery and Fencing Ltd</t>
        </is>
      </c>
      <c r="B436" t="inlineStr">
        <is>
          <t>Utilities &amp; Inland Waterways</t>
        </is>
      </c>
      <c r="C436" t="inlineStr">
        <is>
          <t>UKPN</t>
        </is>
      </c>
      <c r="D436" t="inlineStr">
        <is>
          <t>Izuzu</t>
        </is>
      </c>
      <c r="E436" t="inlineStr">
        <is>
          <t>Dmax</t>
        </is>
      </c>
      <c r="F436" t="inlineStr">
        <is>
          <t>Ay68 daaTow Chipper</t>
        </is>
      </c>
      <c r="G436" t="inlineStr">
        <is>
          <t xml:space="preserve">Lewis mac Lewis mac </t>
        </is>
      </c>
      <c r="H436" t="inlineStr">
        <is>
          <t>4x4Towed Chipper</t>
        </is>
      </c>
      <c r="I436" t="inlineStr">
        <is>
          <t>Daily/ Weekly Vehicle Inspection</t>
        </is>
      </c>
      <c r="J436" t="inlineStr">
        <is>
          <t>N/A</t>
        </is>
      </c>
      <c r="K436" t="inlineStr">
        <is>
          <t>7800 MAC Tree Surgery and Fencing Ltd</t>
        </is>
      </c>
      <c r="L436" t="inlineStr">
        <is>
          <t>19/03/2025 08:46</t>
        </is>
      </c>
      <c r="M436" t="inlineStr">
        <is>
          <t>None</t>
        </is>
      </c>
      <c r="N436" t="inlineStr">
        <is>
          <t>&lt;p&gt;&lt;/p&gt;</t>
        </is>
      </c>
      <c r="O436" t="inlineStr"/>
      <c r="P436" t="inlineStr">
        <is>
          <t>4x4 - Izuzu - Dmax - Ay68 daaTow Chipper - Timberwolf - TW150 - 205143043-a1</t>
        </is>
      </c>
      <c r="Q436" t="inlineStr">
        <is>
          <t>UKPN</t>
        </is>
      </c>
      <c r="R436" t="b">
        <v>0</v>
      </c>
    </row>
    <row r="437">
      <c r="A437" t="inlineStr">
        <is>
          <t>20 Mar 2025 / 7889 Tree Tech Suffolk Ltd</t>
        </is>
      </c>
      <c r="B437" t="inlineStr">
        <is>
          <t>Utilities &amp; Inland Waterways</t>
        </is>
      </c>
      <c r="C437" t="inlineStr">
        <is>
          <t>UKPN</t>
        </is>
      </c>
      <c r="D437" t="inlineStr">
        <is>
          <t>Isuzu</t>
        </is>
      </c>
      <c r="E437" t="inlineStr">
        <is>
          <t>D-max</t>
        </is>
      </c>
      <c r="F437" t="inlineStr">
        <is>
          <t>NS03 TTSTow Chipper</t>
        </is>
      </c>
      <c r="G437" t="inlineStr">
        <is>
          <t xml:space="preserve">Danny Appleby Danny Appleby </t>
        </is>
      </c>
      <c r="H437" t="inlineStr">
        <is>
          <t>4x4Towed Chipper</t>
        </is>
      </c>
      <c r="I437" t="inlineStr">
        <is>
          <t>Daily/ Weekly Vehicle Inspection</t>
        </is>
      </c>
      <c r="J437" t="inlineStr">
        <is>
          <t>N/A</t>
        </is>
      </c>
      <c r="K437" t="inlineStr">
        <is>
          <t>7889 Tree Tech Suffolk Ltd</t>
        </is>
      </c>
      <c r="L437" t="inlineStr">
        <is>
          <t>20/03/2025 07:48</t>
        </is>
      </c>
      <c r="M437" t="inlineStr">
        <is>
          <t>None</t>
        </is>
      </c>
      <c r="N437" t="inlineStr">
        <is>
          <t>&lt;p&gt;&lt;/p&gt;</t>
        </is>
      </c>
      <c r="O437" t="inlineStr"/>
      <c r="P437" t="inlineStr">
        <is>
          <t>4x4 - Isuzu - D-max - NS03 TTSTow Chipper - Jenson - A530L - 5521063948</t>
        </is>
      </c>
      <c r="Q437" t="inlineStr">
        <is>
          <t>UKPN</t>
        </is>
      </c>
      <c r="R437" t="b">
        <v>0</v>
      </c>
    </row>
    <row r="438">
      <c r="A438" t="inlineStr">
        <is>
          <t>24 Mar 2025 / Thomas Nandi</t>
        </is>
      </c>
      <c r="B438" t="inlineStr">
        <is>
          <t>Utilities &amp; Inland Waterways</t>
        </is>
      </c>
      <c r="C438" t="inlineStr">
        <is>
          <t>SSE</t>
        </is>
      </c>
      <c r="D438" t="inlineStr">
        <is>
          <t>Petrol</t>
        </is>
      </c>
      <c r="E438" t="inlineStr">
        <is>
          <t xml:space="preserve">Peugeot </t>
        </is>
      </c>
      <c r="F438" t="inlineStr">
        <is>
          <t>2008</t>
        </is>
      </c>
      <c r="G438" t="inlineStr">
        <is>
          <t xml:space="preserve">Thomas Nandi </t>
        </is>
      </c>
      <c r="H438" t="inlineStr">
        <is>
          <t>Car - Petrol</t>
        </is>
      </c>
      <c r="I438" t="inlineStr">
        <is>
          <t>Daily/ Weekly Vehicle Inspection</t>
        </is>
      </c>
      <c r="J438" t="inlineStr">
        <is>
          <t>N/A</t>
        </is>
      </c>
      <c r="K438" t="inlineStr">
        <is>
          <t>Thomas Nandi</t>
        </is>
      </c>
      <c r="L438" t="inlineStr">
        <is>
          <t>24/03/2025 11:46</t>
        </is>
      </c>
      <c r="M438" t="inlineStr">
        <is>
          <t>None</t>
        </is>
      </c>
      <c r="N438" t="inlineStr">
        <is>
          <t>&lt;p&gt;&lt;a href="https&amp;#58;//apps.powerapps.com/play/2d567dc9-5d50-4629-a077-f7ccbff3e239?tenantId=3ef9f654-aa07-41b8-88ad-a411c62bd12c&amp;amp;Action=Open&amp;amp;Actionno=5972"&gt;Coolant low&lt;/a&gt;&lt;br&gt;&lt;/p&gt;</t>
        </is>
      </c>
      <c r="O438" t="inlineStr">
        <is>
          <t>Confirm that you have checked this vehicle as per the guidance document and the vehicle is safe and roadworthy:Coolant low
-</t>
        </is>
      </c>
      <c r="P438" t="inlineStr">
        <is>
          <t>Car - Petrol - Peugeot  - 2008 - BT24NB0</t>
        </is>
      </c>
      <c r="Q438" t="inlineStr">
        <is>
          <t>SSE</t>
        </is>
      </c>
      <c r="R438" t="b">
        <v>0</v>
      </c>
    </row>
    <row r="439">
      <c r="A439" t="inlineStr">
        <is>
          <t>25 Mar 2025 / 7889 Tree Tech Suffolk Ltd</t>
        </is>
      </c>
      <c r="B439" t="inlineStr">
        <is>
          <t>Utilities &amp; Inland Waterways</t>
        </is>
      </c>
      <c r="C439" t="inlineStr">
        <is>
          <t>UKPN</t>
        </is>
      </c>
      <c r="D439" t="inlineStr">
        <is>
          <t>Isuzu</t>
        </is>
      </c>
      <c r="E439" t="inlineStr">
        <is>
          <t>D-max</t>
        </is>
      </c>
      <c r="F439" t="inlineStr">
        <is>
          <t>NS03 TTSTow Chipper</t>
        </is>
      </c>
      <c r="G439" t="inlineStr">
        <is>
          <t xml:space="preserve">Danny Appleby Danny Appleby </t>
        </is>
      </c>
      <c r="H439" t="inlineStr">
        <is>
          <t>4x4Towed Chipper</t>
        </is>
      </c>
      <c r="I439" t="inlineStr">
        <is>
          <t>Daily/ Weekly Vehicle Inspection</t>
        </is>
      </c>
      <c r="J439" t="inlineStr">
        <is>
          <t>N/A</t>
        </is>
      </c>
      <c r="K439" t="inlineStr">
        <is>
          <t>7889 Tree Tech Suffolk Ltd</t>
        </is>
      </c>
      <c r="L439" t="inlineStr">
        <is>
          <t>25/03/2025 07:53</t>
        </is>
      </c>
      <c r="M439" t="inlineStr">
        <is>
          <t>None</t>
        </is>
      </c>
      <c r="N439" t="inlineStr">
        <is>
          <t>&lt;p&gt;&lt;/p&gt;</t>
        </is>
      </c>
      <c r="O439" t="inlineStr">
        <is>
          <t>Confirm that you have checked this vehicle as per the guidance document and the vehicle is safe and roadworthy:Inside edge of tyres worn
-</t>
        </is>
      </c>
      <c r="P439" t="inlineStr">
        <is>
          <t>4x4 - Isuzu - D-max - NS03 TTSTow Chipper - Jenson - A530L - 5521063948</t>
        </is>
      </c>
      <c r="Q439" t="inlineStr">
        <is>
          <t>UKPN</t>
        </is>
      </c>
      <c r="R439" t="b">
        <v>0</v>
      </c>
    </row>
    <row r="440">
      <c r="A440" t="inlineStr">
        <is>
          <t>26 Mar 2025 / 7800 MAC Tree Surgery and Fencing Ltd</t>
        </is>
      </c>
      <c r="B440" t="inlineStr">
        <is>
          <t>Utilities &amp; Inland Waterways</t>
        </is>
      </c>
      <c r="C440" t="inlineStr">
        <is>
          <t>UKPN</t>
        </is>
      </c>
      <c r="D440" t="inlineStr">
        <is>
          <t>Izuzu</t>
        </is>
      </c>
      <c r="E440" t="inlineStr">
        <is>
          <t>Dmax</t>
        </is>
      </c>
      <c r="F440" t="inlineStr">
        <is>
          <t>Ay68 daaTow Chipper</t>
        </is>
      </c>
      <c r="G440" t="inlineStr">
        <is>
          <t xml:space="preserve">Lewis mac Lewis mac </t>
        </is>
      </c>
      <c r="H440" t="inlineStr">
        <is>
          <t>4x4Towed Chipper</t>
        </is>
      </c>
      <c r="I440" t="inlineStr">
        <is>
          <t>Daily/ Weekly Vehicle Inspection</t>
        </is>
      </c>
      <c r="J440" t="inlineStr">
        <is>
          <t>N/A</t>
        </is>
      </c>
      <c r="K440" t="inlineStr">
        <is>
          <t>7800 MAC Tree Surgery and Fencing Ltd</t>
        </is>
      </c>
      <c r="L440" t="inlineStr">
        <is>
          <t>26/03/2025 07:46</t>
        </is>
      </c>
      <c r="M440" t="inlineStr">
        <is>
          <t>None</t>
        </is>
      </c>
      <c r="N440" t="inlineStr">
        <is>
          <t>&lt;p&gt;&lt;/p&gt;</t>
        </is>
      </c>
      <c r="O440" t="inlineStr"/>
      <c r="P440" t="inlineStr">
        <is>
          <t>4x4 - Izuzu - Dmax - Ay68 daaTow Chipper - Timberwolf - TW150 - 205143043-a1</t>
        </is>
      </c>
      <c r="Q440" t="inlineStr">
        <is>
          <t>UKPN</t>
        </is>
      </c>
      <c r="R440" t="b">
        <v>0</v>
      </c>
    </row>
    <row r="441">
      <c r="A441" t="inlineStr">
        <is>
          <t>24 Mar 2025 / 7800 MAC Tree Surgery and Fencing Ltd</t>
        </is>
      </c>
      <c r="B441" t="inlineStr">
        <is>
          <t>Utilities &amp; Inland Waterways</t>
        </is>
      </c>
      <c r="C441" t="inlineStr">
        <is>
          <t>UKPN</t>
        </is>
      </c>
      <c r="D441" t="inlineStr">
        <is>
          <t>Izuzu</t>
        </is>
      </c>
      <c r="E441" t="inlineStr">
        <is>
          <t>Dmax</t>
        </is>
      </c>
      <c r="F441" t="inlineStr">
        <is>
          <t>Ay68 daaTow Chipper</t>
        </is>
      </c>
      <c r="G441" t="inlineStr">
        <is>
          <t xml:space="preserve">Lewis mac Lewis mac </t>
        </is>
      </c>
      <c r="H441" t="inlineStr">
        <is>
          <t>4x4Towed Chipper</t>
        </is>
      </c>
      <c r="I441" t="inlineStr">
        <is>
          <t>Daily/ Weekly Vehicle Inspection</t>
        </is>
      </c>
      <c r="J441" t="inlineStr">
        <is>
          <t>N/A</t>
        </is>
      </c>
      <c r="K441" t="inlineStr">
        <is>
          <t>7800 MAC Tree Surgery and Fencing Ltd</t>
        </is>
      </c>
      <c r="L441" t="inlineStr">
        <is>
          <t>26/03/2025 07:47</t>
        </is>
      </c>
      <c r="M441" t="inlineStr">
        <is>
          <t>None</t>
        </is>
      </c>
      <c r="N441" t="inlineStr">
        <is>
          <t>&lt;p&gt;&lt;/p&gt;</t>
        </is>
      </c>
      <c r="O441" t="inlineStr"/>
      <c r="P441" t="inlineStr">
        <is>
          <t>4x4 - Izuzu - Dmax - Ay68 daaTow Chipper - Timberwolf - TW150 - 205143043-a1</t>
        </is>
      </c>
      <c r="Q441" t="inlineStr">
        <is>
          <t>UKPN</t>
        </is>
      </c>
      <c r="R441" t="b">
        <v>0</v>
      </c>
    </row>
    <row r="442">
      <c r="A442" t="inlineStr">
        <is>
          <t>26 Mar 2025 / 7889 Tree Tech Suffolk Ltd</t>
        </is>
      </c>
      <c r="B442" t="inlineStr">
        <is>
          <t>Utilities &amp; Inland Waterways</t>
        </is>
      </c>
      <c r="C442" t="inlineStr">
        <is>
          <t>UKPN</t>
        </is>
      </c>
      <c r="D442" t="inlineStr">
        <is>
          <t>Isuzu</t>
        </is>
      </c>
      <c r="E442" t="inlineStr">
        <is>
          <t>D-max</t>
        </is>
      </c>
      <c r="F442" t="inlineStr">
        <is>
          <t>NS03 TTSTow Chipper</t>
        </is>
      </c>
      <c r="G442" t="inlineStr">
        <is>
          <t xml:space="preserve">Danny Appleby Danny Appleby </t>
        </is>
      </c>
      <c r="H442" t="inlineStr">
        <is>
          <t>4x4Towed Chipper</t>
        </is>
      </c>
      <c r="I442" t="inlineStr">
        <is>
          <t>Daily/ Weekly Vehicle Inspection</t>
        </is>
      </c>
      <c r="J442" t="inlineStr">
        <is>
          <t>N/A</t>
        </is>
      </c>
      <c r="K442" t="inlineStr">
        <is>
          <t>7889 Tree Tech Suffolk Ltd</t>
        </is>
      </c>
      <c r="L442" t="inlineStr">
        <is>
          <t>26/03/2025 08:49</t>
        </is>
      </c>
      <c r="M442" t="inlineStr">
        <is>
          <t>None</t>
        </is>
      </c>
      <c r="N442" t="inlineStr">
        <is>
          <t>&lt;p&gt;&lt;/p&gt;</t>
        </is>
      </c>
      <c r="O442" t="inlineStr">
        <is>
          <t>Confirm that you have checked this vehicle as per the guidance document and the vehicle is safe and roadworthy:Inside edge of tyres worn
-</t>
        </is>
      </c>
      <c r="P442" t="inlineStr">
        <is>
          <t>4x4 - Isuzu - D-max - NS03 TTSTow Chipper - Jenson - A530L - 5521063948</t>
        </is>
      </c>
      <c r="Q442" t="inlineStr">
        <is>
          <t>UKPN</t>
        </is>
      </c>
      <c r="R442" t="b">
        <v>0</v>
      </c>
    </row>
    <row r="443">
      <c r="A443" t="inlineStr">
        <is>
          <t>27 Mar 2025 / 7889 Tree Tech Suffolk Ltd</t>
        </is>
      </c>
      <c r="B443" t="inlineStr">
        <is>
          <t>Utilities &amp; Inland Waterways</t>
        </is>
      </c>
      <c r="C443" t="inlineStr">
        <is>
          <t>UKPN</t>
        </is>
      </c>
      <c r="D443" t="inlineStr">
        <is>
          <t>Isuzu</t>
        </is>
      </c>
      <c r="E443" t="inlineStr">
        <is>
          <t>D-max</t>
        </is>
      </c>
      <c r="F443" t="inlineStr">
        <is>
          <t>NS03 TTSTow Chipper</t>
        </is>
      </c>
      <c r="G443" t="inlineStr">
        <is>
          <t>Dan brown Danny Appleby Danny Appleby</t>
        </is>
      </c>
      <c r="H443" t="inlineStr">
        <is>
          <t>4x4Towed ChipperTipper</t>
        </is>
      </c>
      <c r="I443" t="inlineStr">
        <is>
          <t>Daily/ Weekly Vehicle Inspection</t>
        </is>
      </c>
      <c r="J443" t="inlineStr">
        <is>
          <t>N/A</t>
        </is>
      </c>
      <c r="K443" t="inlineStr">
        <is>
          <t>7889 Tree Tech Suffolk Ltd</t>
        </is>
      </c>
      <c r="L443" t="inlineStr">
        <is>
          <t>27/03/2025 07:50</t>
        </is>
      </c>
      <c r="M443" t="inlineStr">
        <is>
          <t>None</t>
        </is>
      </c>
      <c r="N443" t="inlineStr">
        <is>
          <t>&lt;p&gt;&lt;/p&gt;</t>
        </is>
      </c>
      <c r="O443" t="inlineStr">
        <is>
          <t>Confirm that you have checked this vehicle as per the guidance document and the vehicle is safe and roadworthy:Inside edge of tyres worn
-</t>
        </is>
      </c>
      <c r="P443" t="inlineStr">
        <is>
          <t>4x4 - Isuzu - D-max - NS03 TTSTow Chipper - Jenson - A530L - 5521063948Tipper - Mercedes - Sprinter - NS06TTS</t>
        </is>
      </c>
      <c r="Q443" t="inlineStr">
        <is>
          <t>UKPN</t>
        </is>
      </c>
      <c r="R443" t="b">
        <v>0</v>
      </c>
    </row>
    <row r="444">
      <c r="A444" t="inlineStr">
        <is>
          <t>28 Mar 2025 / 7889 Tree Tech Suffolk Ltd</t>
        </is>
      </c>
      <c r="B444" t="inlineStr">
        <is>
          <t>Utilities &amp; Inland Waterways</t>
        </is>
      </c>
      <c r="C444" t="inlineStr">
        <is>
          <t>UKPN</t>
        </is>
      </c>
      <c r="D444" t="inlineStr">
        <is>
          <t>Isuzu</t>
        </is>
      </c>
      <c r="E444" t="inlineStr">
        <is>
          <t>D-max</t>
        </is>
      </c>
      <c r="F444" t="inlineStr">
        <is>
          <t>NS03 TTSTow Chipper</t>
        </is>
      </c>
      <c r="G444" t="inlineStr">
        <is>
          <t xml:space="preserve">Danny Appleby Danny Appleby </t>
        </is>
      </c>
      <c r="H444" t="inlineStr">
        <is>
          <t>4x4Towed Chipper</t>
        </is>
      </c>
      <c r="I444" t="inlineStr">
        <is>
          <t>Daily/ Weekly Vehicle Inspection</t>
        </is>
      </c>
      <c r="J444" t="inlineStr">
        <is>
          <t>N/A</t>
        </is>
      </c>
      <c r="K444" t="inlineStr">
        <is>
          <t>7889 Tree Tech Suffolk Ltd</t>
        </is>
      </c>
      <c r="L444" t="inlineStr">
        <is>
          <t>28/03/2025 07:48</t>
        </is>
      </c>
      <c r="M444" t="inlineStr">
        <is>
          <t>None</t>
        </is>
      </c>
      <c r="N444" t="inlineStr">
        <is>
          <t>&lt;p&gt;&lt;/p&gt;</t>
        </is>
      </c>
      <c r="O444" t="inlineStr">
        <is>
          <t>Confirm that you have checked this vehicle as per the guidance document and the vehicle is safe and roadworthy:Inside edge of tyres worn
-</t>
        </is>
      </c>
      <c r="P444" t="inlineStr">
        <is>
          <t>4x4 - Isuzu - D-max - NS03 TTSTow Chipper - Jenson - A530L - 5521063948</t>
        </is>
      </c>
      <c r="Q444" t="inlineStr">
        <is>
          <t>UKPN</t>
        </is>
      </c>
      <c r="R444" t="b">
        <v>0</v>
      </c>
    </row>
    <row r="445">
      <c r="A445" t="inlineStr">
        <is>
          <t>31 Mar 2025 / 7889 Tree Tech Suffolk Ltd</t>
        </is>
      </c>
      <c r="B445" t="inlineStr">
        <is>
          <t>Utilities &amp; Inland Waterways</t>
        </is>
      </c>
      <c r="C445" t="inlineStr">
        <is>
          <t>UKPN</t>
        </is>
      </c>
      <c r="D445" t="inlineStr">
        <is>
          <t>Isuzu</t>
        </is>
      </c>
      <c r="E445" t="inlineStr">
        <is>
          <t>D-max</t>
        </is>
      </c>
      <c r="F445" t="inlineStr">
        <is>
          <t>NS03 TTSTow Chipper</t>
        </is>
      </c>
      <c r="G445" t="inlineStr">
        <is>
          <t xml:space="preserve">Danny Appleby Danny Appleby </t>
        </is>
      </c>
      <c r="H445" t="inlineStr">
        <is>
          <t>4x4Towed Chipper</t>
        </is>
      </c>
      <c r="I445" t="inlineStr">
        <is>
          <t>Daily/ Weekly Vehicle Inspection</t>
        </is>
      </c>
      <c r="J445" t="inlineStr">
        <is>
          <t>N/A</t>
        </is>
      </c>
      <c r="K445" t="inlineStr">
        <is>
          <t>7889 Tree Tech Suffolk Ltd</t>
        </is>
      </c>
      <c r="L445" t="inlineStr">
        <is>
          <t>31/03/2025 07:53</t>
        </is>
      </c>
      <c r="M445" t="inlineStr">
        <is>
          <t>None</t>
        </is>
      </c>
      <c r="N445" t="inlineStr">
        <is>
          <t>&lt;p&gt;&lt;/p&gt;</t>
        </is>
      </c>
      <c r="O445" t="inlineStr">
        <is>
          <t>Confirm that you have checked this vehicle as per the guidance document and the vehicle is safe and roadworthy:Inside edge of tyres worn
-</t>
        </is>
      </c>
      <c r="P445" t="inlineStr">
        <is>
          <t>4x4 - Isuzu - D-max - NS03 TTSTow Chipper - Jenson - A530L - 5521063948</t>
        </is>
      </c>
      <c r="Q445" t="inlineStr">
        <is>
          <t>UKPN</t>
        </is>
      </c>
      <c r="R445" t="b">
        <v>0</v>
      </c>
    </row>
    <row r="446">
      <c r="A446" t="inlineStr">
        <is>
          <t>2 Apr 2025 / 7800 MAC Tree Surgery and Fencing Ltd</t>
        </is>
      </c>
      <c r="B446" t="inlineStr">
        <is>
          <t>Utilities &amp; Inland Waterways</t>
        </is>
      </c>
      <c r="C446" t="inlineStr">
        <is>
          <t>UKPN</t>
        </is>
      </c>
      <c r="D446" t="inlineStr">
        <is>
          <t>Izuzu</t>
        </is>
      </c>
      <c r="E446" t="inlineStr">
        <is>
          <t>Dmax</t>
        </is>
      </c>
      <c r="F446" t="inlineStr">
        <is>
          <t>Ay68 daaTow Chipper</t>
        </is>
      </c>
      <c r="G446" t="inlineStr">
        <is>
          <t xml:space="preserve">Lewis mac Lewis mac </t>
        </is>
      </c>
      <c r="H446" t="inlineStr">
        <is>
          <t>4x4Towed Chipper</t>
        </is>
      </c>
      <c r="I446" t="inlineStr">
        <is>
          <t>Daily/ Weekly Vehicle Inspection</t>
        </is>
      </c>
      <c r="J446" t="inlineStr">
        <is>
          <t>N/A</t>
        </is>
      </c>
      <c r="K446" t="inlineStr">
        <is>
          <t>7800 MAC Tree Surgery and Fencing Ltd</t>
        </is>
      </c>
      <c r="L446" t="inlineStr">
        <is>
          <t>02/04/2025 07:48</t>
        </is>
      </c>
      <c r="M446" t="inlineStr">
        <is>
          <t>None</t>
        </is>
      </c>
      <c r="N446" t="inlineStr">
        <is>
          <t>&lt;p&gt;&lt;/p&gt;</t>
        </is>
      </c>
      <c r="O446" t="inlineStr"/>
      <c r="P446" t="inlineStr">
        <is>
          <t>4x4 - Izuzu - Dmax - Ay68 daaTow Chipper - Timberwolf - TW150 - 205143043-a1</t>
        </is>
      </c>
      <c r="Q446" t="inlineStr">
        <is>
          <t>UKPN</t>
        </is>
      </c>
      <c r="R446" t="b">
        <v>0</v>
      </c>
    </row>
    <row r="447">
      <c r="A447" t="inlineStr">
        <is>
          <t>2 Apr 2025 / 7889 Tree Tech Suffolk Ltd</t>
        </is>
      </c>
      <c r="B447" t="inlineStr">
        <is>
          <t>Utilities &amp; Inland Waterways</t>
        </is>
      </c>
      <c r="C447" t="inlineStr">
        <is>
          <t>UKPN</t>
        </is>
      </c>
      <c r="D447" t="inlineStr">
        <is>
          <t>Isuzu</t>
        </is>
      </c>
      <c r="E447" t="inlineStr">
        <is>
          <t>D-max</t>
        </is>
      </c>
      <c r="F447" t="inlineStr">
        <is>
          <t>NS03 TTSTow Chipper</t>
        </is>
      </c>
      <c r="G447" t="inlineStr">
        <is>
          <t xml:space="preserve">Danny Appleby Danny Appleby </t>
        </is>
      </c>
      <c r="H447" t="inlineStr">
        <is>
          <t>4x4Towed Chipper</t>
        </is>
      </c>
      <c r="I447" t="inlineStr">
        <is>
          <t>Daily/ Weekly Vehicle Inspection</t>
        </is>
      </c>
      <c r="J447" t="inlineStr">
        <is>
          <t>N/A</t>
        </is>
      </c>
      <c r="K447" t="inlineStr">
        <is>
          <t>7889 Tree Tech Suffolk Ltd</t>
        </is>
      </c>
      <c r="L447" t="inlineStr">
        <is>
          <t>02/04/2025 07:53</t>
        </is>
      </c>
      <c r="M447" t="inlineStr">
        <is>
          <t>None</t>
        </is>
      </c>
      <c r="N447" t="inlineStr">
        <is>
          <t>&lt;p&gt;&lt;/p&gt;</t>
        </is>
      </c>
      <c r="O447" t="inlineStr">
        <is>
          <t>Confirm that you have checked this vehicle as per the guidance document and the vehicle is safe and roadworthy:Inside edge of tyres worn
-</t>
        </is>
      </c>
      <c r="P447" t="inlineStr">
        <is>
          <t>4x4 - Isuzu - D-max - NS03 TTSTow Chipper - Jenson - A530L - 5521063948</t>
        </is>
      </c>
      <c r="Q447" t="inlineStr">
        <is>
          <t>UKPN</t>
        </is>
      </c>
      <c r="R447" t="b">
        <v>0</v>
      </c>
    </row>
    <row r="448">
      <c r="A448" t="inlineStr">
        <is>
          <t>3 Apr 2025 / 7800 MAC Tree Surgery and Fencing Ltd</t>
        </is>
      </c>
      <c r="B448" t="inlineStr">
        <is>
          <t>Utilities &amp; Inland Waterways</t>
        </is>
      </c>
      <c r="C448" t="inlineStr">
        <is>
          <t>UKPN</t>
        </is>
      </c>
      <c r="D448" t="inlineStr">
        <is>
          <t>Izuzu</t>
        </is>
      </c>
      <c r="E448" t="inlineStr">
        <is>
          <t>Dmax</t>
        </is>
      </c>
      <c r="F448" t="inlineStr">
        <is>
          <t>Ay68 daaTow Chipper</t>
        </is>
      </c>
      <c r="G448" t="inlineStr">
        <is>
          <t xml:space="preserve">Lewis mac Lewis mac </t>
        </is>
      </c>
      <c r="H448" t="inlineStr">
        <is>
          <t>4x4Towed Chipper</t>
        </is>
      </c>
      <c r="I448" t="inlineStr">
        <is>
          <t>Daily/ Weekly Vehicle Inspection</t>
        </is>
      </c>
      <c r="J448" t="inlineStr">
        <is>
          <t>N/A</t>
        </is>
      </c>
      <c r="K448" t="inlineStr">
        <is>
          <t>7800 MAC Tree Surgery and Fencing Ltd</t>
        </is>
      </c>
      <c r="L448" t="inlineStr">
        <is>
          <t>03/04/2025 07:48</t>
        </is>
      </c>
      <c r="M448" t="inlineStr">
        <is>
          <t>None</t>
        </is>
      </c>
      <c r="N448" t="inlineStr">
        <is>
          <t>&lt;p&gt;&lt;/p&gt;</t>
        </is>
      </c>
      <c r="O448" t="inlineStr"/>
      <c r="P448" t="inlineStr">
        <is>
          <t>4x4 - Izuzu - Dmax - Ay68 daaTow Chipper - Timberwolf - TW150 - 205143043-a1</t>
        </is>
      </c>
      <c r="Q448" t="inlineStr">
        <is>
          <t>UKPN</t>
        </is>
      </c>
      <c r="R448" t="b">
        <v>0</v>
      </c>
    </row>
    <row r="449">
      <c r="A449" t="inlineStr">
        <is>
          <t>3 Apr 2025 / 7889 Tree Tech Suffolk Ltd</t>
        </is>
      </c>
      <c r="B449" t="inlineStr">
        <is>
          <t>Utilities &amp; Inland Waterways</t>
        </is>
      </c>
      <c r="C449" t="inlineStr">
        <is>
          <t>UKPN</t>
        </is>
      </c>
      <c r="D449" t="inlineStr">
        <is>
          <t>Isuzu</t>
        </is>
      </c>
      <c r="E449" t="inlineStr">
        <is>
          <t>D-max</t>
        </is>
      </c>
      <c r="F449" t="inlineStr">
        <is>
          <t>NS03 TTSTow Chipper</t>
        </is>
      </c>
      <c r="G449" t="inlineStr">
        <is>
          <t xml:space="preserve">Danny Appleby Danny Appleby </t>
        </is>
      </c>
      <c r="H449" t="inlineStr">
        <is>
          <t>4x4Towed Chipper</t>
        </is>
      </c>
      <c r="I449" t="inlineStr">
        <is>
          <t>Daily/ Weekly Vehicle Inspection</t>
        </is>
      </c>
      <c r="J449" t="inlineStr">
        <is>
          <t>N/A</t>
        </is>
      </c>
      <c r="K449" t="inlineStr">
        <is>
          <t>7889 Tree Tech Suffolk Ltd</t>
        </is>
      </c>
      <c r="L449" t="inlineStr">
        <is>
          <t>03/04/2025 07:50</t>
        </is>
      </c>
      <c r="M449" t="inlineStr">
        <is>
          <t>None</t>
        </is>
      </c>
      <c r="N449" t="inlineStr">
        <is>
          <t>&lt;p&gt;&lt;/p&gt;</t>
        </is>
      </c>
      <c r="O449" t="inlineStr">
        <is>
          <t>Confirm that you have checked this vehicle as per the guidance document and the vehicle is safe and roadworthy:Inside edge of tyres worn
-</t>
        </is>
      </c>
      <c r="P449" t="inlineStr">
        <is>
          <t>4x4 - Isuzu - D-max - NS03 TTSTow Chipper - Jenson - A530L - 5521063948</t>
        </is>
      </c>
      <c r="Q449" t="inlineStr">
        <is>
          <t>UKPN</t>
        </is>
      </c>
      <c r="R449" t="b">
        <v>0</v>
      </c>
    </row>
    <row r="450">
      <c r="A450" t="inlineStr">
        <is>
          <t>4 Apr 2025 / 7889 Tree Tech Suffolk Ltd</t>
        </is>
      </c>
      <c r="B450" t="inlineStr">
        <is>
          <t>Utilities &amp; Inland Waterways</t>
        </is>
      </c>
      <c r="C450" t="inlineStr">
        <is>
          <t>UKPN</t>
        </is>
      </c>
      <c r="D450" t="inlineStr">
        <is>
          <t>Isuzu</t>
        </is>
      </c>
      <c r="E450" t="inlineStr">
        <is>
          <t>D-max</t>
        </is>
      </c>
      <c r="F450" t="inlineStr">
        <is>
          <t>NS03 TTSTow Chipper</t>
        </is>
      </c>
      <c r="G450" t="inlineStr">
        <is>
          <t xml:space="preserve">Danny Appleby Danny Appleby </t>
        </is>
      </c>
      <c r="H450" t="inlineStr">
        <is>
          <t>4x4Towed Chipper</t>
        </is>
      </c>
      <c r="I450" t="inlineStr">
        <is>
          <t>Daily/ Weekly Vehicle Inspection</t>
        </is>
      </c>
      <c r="J450" t="inlineStr">
        <is>
          <t>N/A</t>
        </is>
      </c>
      <c r="K450" t="inlineStr">
        <is>
          <t>7889 Tree Tech Suffolk Ltd</t>
        </is>
      </c>
      <c r="L450" t="inlineStr">
        <is>
          <t>04/04/2025 07:49</t>
        </is>
      </c>
      <c r="M450" t="inlineStr">
        <is>
          <t>None</t>
        </is>
      </c>
      <c r="N450" t="inlineStr">
        <is>
          <t>&lt;p&gt;&lt;/p&gt;</t>
        </is>
      </c>
      <c r="O450" t="inlineStr">
        <is>
          <t>Confirm that you have checked this vehicle as per the guidance document and the vehicle is safe and roadworthy:Inside edge of tyres worn
-</t>
        </is>
      </c>
      <c r="P450" t="inlineStr">
        <is>
          <t>4x4 - Isuzu - D-max - NS03 TTSTow Chipper - Jenson - A530L - 5521063948</t>
        </is>
      </c>
      <c r="Q450" t="inlineStr">
        <is>
          <t>UKPN</t>
        </is>
      </c>
      <c r="R450" t="b">
        <v>0</v>
      </c>
    </row>
    <row r="451">
      <c r="A451" t="inlineStr">
        <is>
          <t>4 Apr 2025 / 7800 MAC Tree Surgery and Fencing Ltd</t>
        </is>
      </c>
      <c r="B451" t="inlineStr">
        <is>
          <t>Utilities &amp; Inland Waterways</t>
        </is>
      </c>
      <c r="C451" t="inlineStr">
        <is>
          <t>UKPN</t>
        </is>
      </c>
      <c r="D451" t="inlineStr">
        <is>
          <t>Izuzu</t>
        </is>
      </c>
      <c r="E451" t="inlineStr">
        <is>
          <t>Dmax</t>
        </is>
      </c>
      <c r="F451" t="inlineStr">
        <is>
          <t>Ay68 daaTow Chipper</t>
        </is>
      </c>
      <c r="G451" t="inlineStr">
        <is>
          <t xml:space="preserve">Lewis mac Lewis mac </t>
        </is>
      </c>
      <c r="H451" t="inlineStr">
        <is>
          <t>4x4Towed Chipper</t>
        </is>
      </c>
      <c r="I451" t="inlineStr">
        <is>
          <t>Daily/ Weekly Vehicle Inspection</t>
        </is>
      </c>
      <c r="J451" t="inlineStr">
        <is>
          <t>N/A</t>
        </is>
      </c>
      <c r="K451" t="inlineStr">
        <is>
          <t>7800 MAC Tree Surgery and Fencing Ltd</t>
        </is>
      </c>
      <c r="L451" t="inlineStr">
        <is>
          <t>04/04/2025 08:50</t>
        </is>
      </c>
      <c r="M451" t="inlineStr">
        <is>
          <t>None</t>
        </is>
      </c>
      <c r="N451" t="inlineStr">
        <is>
          <t>&lt;p&gt;&lt;/p&gt;</t>
        </is>
      </c>
      <c r="O451" t="inlineStr"/>
      <c r="P451" t="inlineStr">
        <is>
          <t>4x4 - Izuzu - Dmax - Ay68 daaTow Chipper - Timberwolf - TW150 - 205143043-a1</t>
        </is>
      </c>
      <c r="Q451" t="inlineStr">
        <is>
          <t>UKPN</t>
        </is>
      </c>
      <c r="R451" t="b">
        <v>0</v>
      </c>
    </row>
    <row r="452">
      <c r="A452" t="inlineStr">
        <is>
          <t>7 Apr 2025 / 7800 MAC Tree Surgery and Fencing Ltd</t>
        </is>
      </c>
      <c r="B452" t="inlineStr">
        <is>
          <t>Utilities &amp; Inland Waterways</t>
        </is>
      </c>
      <c r="C452" t="inlineStr">
        <is>
          <t>UKPN</t>
        </is>
      </c>
      <c r="D452" t="inlineStr">
        <is>
          <t>Izuzu</t>
        </is>
      </c>
      <c r="E452" t="inlineStr">
        <is>
          <t>Dmax</t>
        </is>
      </c>
      <c r="F452" t="inlineStr">
        <is>
          <t>Ay68 daaTow Chipper</t>
        </is>
      </c>
      <c r="G452" t="inlineStr">
        <is>
          <t xml:space="preserve">Lewis mac Lewis mac </t>
        </is>
      </c>
      <c r="H452" t="inlineStr">
        <is>
          <t>4x4Towed Chipper</t>
        </is>
      </c>
      <c r="I452" t="inlineStr">
        <is>
          <t>Daily/ Weekly Vehicle Inspection</t>
        </is>
      </c>
      <c r="J452" t="inlineStr">
        <is>
          <t>N/A</t>
        </is>
      </c>
      <c r="K452" t="inlineStr">
        <is>
          <t>7800 MAC Tree Surgery and Fencing Ltd</t>
        </is>
      </c>
      <c r="L452" t="inlineStr">
        <is>
          <t>07/04/2025 07:51</t>
        </is>
      </c>
      <c r="M452" t="inlineStr">
        <is>
          <t>None</t>
        </is>
      </c>
      <c r="N452" t="inlineStr">
        <is>
          <t>&lt;p&gt;&lt;/p&gt;</t>
        </is>
      </c>
      <c r="O452" t="inlineStr"/>
      <c r="P452" t="inlineStr">
        <is>
          <t>4x4 - Izuzu - Dmax - Ay68 daaTow Chipper - Timberwolf - TW150 - 205143043-a1</t>
        </is>
      </c>
      <c r="Q452" t="inlineStr">
        <is>
          <t>UKPN</t>
        </is>
      </c>
      <c r="R452" t="b">
        <v>0</v>
      </c>
    </row>
    <row r="453">
      <c r="A453" t="inlineStr">
        <is>
          <t>7 Apr 2025 / 7889 Tree Tech Suffolk Ltd</t>
        </is>
      </c>
      <c r="B453" t="inlineStr">
        <is>
          <t>Utilities &amp; Inland Waterways</t>
        </is>
      </c>
      <c r="C453" t="inlineStr">
        <is>
          <t>UKPN</t>
        </is>
      </c>
      <c r="D453" t="inlineStr">
        <is>
          <t>Isuzu</t>
        </is>
      </c>
      <c r="E453" t="inlineStr">
        <is>
          <t>D-max</t>
        </is>
      </c>
      <c r="F453" t="inlineStr">
        <is>
          <t>NS03 TTSTow Chipper</t>
        </is>
      </c>
      <c r="G453" t="inlineStr">
        <is>
          <t xml:space="preserve">Danny Appleby Nikki sparrow Nikki sparrow </t>
        </is>
      </c>
      <c r="H453" t="inlineStr">
        <is>
          <t>4x4Towed ChipperTipper</t>
        </is>
      </c>
      <c r="I453" t="inlineStr">
        <is>
          <t>Daily/ Weekly Vehicle Inspection</t>
        </is>
      </c>
      <c r="J453" t="inlineStr">
        <is>
          <t>N/A</t>
        </is>
      </c>
      <c r="K453" t="inlineStr">
        <is>
          <t>7889 Tree Tech Suffolk Ltd</t>
        </is>
      </c>
      <c r="L453" t="inlineStr">
        <is>
          <t>07/04/2025 08:52</t>
        </is>
      </c>
      <c r="M453" t="inlineStr">
        <is>
          <t>None</t>
        </is>
      </c>
      <c r="N453" t="inlineStr">
        <is>
          <t>&lt;p&gt;&lt;/p&gt;</t>
        </is>
      </c>
      <c r="O453" t="inlineStr">
        <is>
          <t>Confirm that you have checked this vehicle as per the guidance document and the vehicle is safe and roadworthy:Inside edge of tyres worn
-</t>
        </is>
      </c>
      <c r="P453" t="inlineStr">
        <is>
          <t>4x4 - Isuzu - D-max - NS03 TTSTow Chipper - Jenson - A530L - 5521063948Tipper - Nissan - Navara - NS02TTS</t>
        </is>
      </c>
      <c r="Q453" t="inlineStr">
        <is>
          <t>UKPN</t>
        </is>
      </c>
      <c r="R453" t="b">
        <v>0</v>
      </c>
    </row>
    <row r="454">
      <c r="A454" t="inlineStr">
        <is>
          <t>8 Apr 2025 / 7800 MAC Tree Surgery and Fencing Ltd</t>
        </is>
      </c>
      <c r="B454" t="inlineStr">
        <is>
          <t>Utilities &amp; Inland Waterways</t>
        </is>
      </c>
      <c r="C454" t="inlineStr">
        <is>
          <t>UKPN</t>
        </is>
      </c>
      <c r="D454" t="inlineStr">
        <is>
          <t>Izuzu</t>
        </is>
      </c>
      <c r="E454" t="inlineStr">
        <is>
          <t>Dmax</t>
        </is>
      </c>
      <c r="F454" t="inlineStr">
        <is>
          <t>Ay68 daaTow Chipper</t>
        </is>
      </c>
      <c r="G454" t="inlineStr">
        <is>
          <t xml:space="preserve">Lewis mac Lewis mac </t>
        </is>
      </c>
      <c r="H454" t="inlineStr">
        <is>
          <t>4x4Towed Chipper</t>
        </is>
      </c>
      <c r="I454" t="inlineStr">
        <is>
          <t>Daily/ Weekly Vehicle Inspection</t>
        </is>
      </c>
      <c r="J454" t="inlineStr">
        <is>
          <t>N/A</t>
        </is>
      </c>
      <c r="K454" t="inlineStr">
        <is>
          <t>7800 MAC Tree Surgery and Fencing Ltd</t>
        </is>
      </c>
      <c r="L454" t="inlineStr">
        <is>
          <t>08/04/2025 07:52</t>
        </is>
      </c>
      <c r="M454" t="inlineStr">
        <is>
          <t>None</t>
        </is>
      </c>
      <c r="N454" t="inlineStr">
        <is>
          <t>&lt;p&gt;&lt;/p&gt;</t>
        </is>
      </c>
      <c r="O454" t="inlineStr"/>
      <c r="P454" t="inlineStr">
        <is>
          <t>4x4 - Izuzu - Dmax - Ay68 daaTow Chipper - Timberwolf - TW150 - 205143043-a1</t>
        </is>
      </c>
      <c r="Q454" t="inlineStr">
        <is>
          <t>UKPN</t>
        </is>
      </c>
      <c r="R454" t="b">
        <v>0</v>
      </c>
    </row>
    <row r="455">
      <c r="A455" t="inlineStr">
        <is>
          <t>8 Apr 2025 / 3098 D &amp; R Landscapes (PEND Arb Rail)</t>
        </is>
      </c>
      <c r="B455" t="inlineStr">
        <is>
          <t>Utilities &amp; Inland Waterways</t>
        </is>
      </c>
      <c r="C455" t="inlineStr">
        <is>
          <t>UKPN</t>
        </is>
      </c>
      <c r="D455" t="inlineStr">
        <is>
          <t xml:space="preserve">Land Rover </t>
        </is>
      </c>
      <c r="E455" t="inlineStr">
        <is>
          <t>Defender</t>
        </is>
      </c>
      <c r="F455" t="inlineStr">
        <is>
          <t>WA13ZZK</t>
        </is>
      </c>
      <c r="G455" t="inlineStr">
        <is>
          <t>Dylan</t>
        </is>
      </c>
      <c r="H455" t="inlineStr">
        <is>
          <t>4x4</t>
        </is>
      </c>
      <c r="I455" t="inlineStr">
        <is>
          <t>Daily/ Weekly Vehicle Inspection</t>
        </is>
      </c>
      <c r="J455" t="inlineStr">
        <is>
          <t>N/A</t>
        </is>
      </c>
      <c r="K455" t="inlineStr">
        <is>
          <t>3098 D &amp; R Landscapes (PEND Arb Rail)</t>
        </is>
      </c>
      <c r="L455" t="inlineStr">
        <is>
          <t>08/04/2025 08:51</t>
        </is>
      </c>
      <c r="M455" t="inlineStr">
        <is>
          <t>None</t>
        </is>
      </c>
      <c r="N455" t="inlineStr">
        <is>
          <t>&lt;p&gt;&lt;/p&gt;</t>
        </is>
      </c>
      <c r="O455" t="inlineStr"/>
      <c r="P455" t="inlineStr">
        <is>
          <t>4x4 - Land Rover  - Defender - WA13ZZK</t>
        </is>
      </c>
      <c r="Q455" t="inlineStr">
        <is>
          <t>UKPN</t>
        </is>
      </c>
      <c r="R455" t="b">
        <v>0</v>
      </c>
    </row>
    <row r="456">
      <c r="A456" t="inlineStr">
        <is>
          <t>8 Apr 2025 / 7889 Tree Tech Suffolk Ltd</t>
        </is>
      </c>
      <c r="B456" t="inlineStr">
        <is>
          <t>Utilities &amp; Inland Waterways</t>
        </is>
      </c>
      <c r="C456" t="inlineStr">
        <is>
          <t>UKPN</t>
        </is>
      </c>
      <c r="D456" t="inlineStr">
        <is>
          <t>Isuzu</t>
        </is>
      </c>
      <c r="E456" t="inlineStr">
        <is>
          <t>D-max</t>
        </is>
      </c>
      <c r="F456" t="inlineStr">
        <is>
          <t>NS03 TTSTow Chipper</t>
        </is>
      </c>
      <c r="G456" t="inlineStr">
        <is>
          <t xml:space="preserve">Danny Appleby Nikki sparrow Nikki sparrow </t>
        </is>
      </c>
      <c r="H456" t="inlineStr">
        <is>
          <t>4x4Towed ChipperTipper</t>
        </is>
      </c>
      <c r="I456" t="inlineStr">
        <is>
          <t>Daily/ Weekly Vehicle Inspection</t>
        </is>
      </c>
      <c r="J456" t="inlineStr">
        <is>
          <t>N/A</t>
        </is>
      </c>
      <c r="K456" t="inlineStr">
        <is>
          <t>7889 Tree Tech Suffolk Ltd</t>
        </is>
      </c>
      <c r="L456" t="inlineStr">
        <is>
          <t>08/04/2025 09:56</t>
        </is>
      </c>
      <c r="M456" t="inlineStr">
        <is>
          <t>None</t>
        </is>
      </c>
      <c r="N456" t="inlineStr">
        <is>
          <t>&lt;p&gt;&lt;/p&gt;</t>
        </is>
      </c>
      <c r="O456" t="inlineStr">
        <is>
          <t>Confirm that you have checked this vehicle as per the guidance document and the vehicle is safe and roadworthy:Inside edge of tyres worn
-</t>
        </is>
      </c>
      <c r="P456" t="inlineStr">
        <is>
          <t>4x4 - Isuzu - D-max - NS03 TTSTow Chipper - Jenson - A530L - 5521063948Tipper - Nissan - Navara - NS02TTS</t>
        </is>
      </c>
      <c r="Q456" t="inlineStr">
        <is>
          <t>UKPN</t>
        </is>
      </c>
      <c r="R456" t="b">
        <v>0</v>
      </c>
    </row>
    <row r="457">
      <c r="A457" t="inlineStr">
        <is>
          <t>8 Apr 2025 / Thomas Nandi</t>
        </is>
      </c>
      <c r="B457" t="inlineStr">
        <is>
          <t>Utilities &amp; Inland Waterways</t>
        </is>
      </c>
      <c r="C457" t="inlineStr">
        <is>
          <t>SSE</t>
        </is>
      </c>
      <c r="D457" t="inlineStr">
        <is>
          <t>Petrol</t>
        </is>
      </c>
      <c r="E457" t="inlineStr">
        <is>
          <t xml:space="preserve">Peugeot </t>
        </is>
      </c>
      <c r="F457" t="inlineStr">
        <is>
          <t>2008</t>
        </is>
      </c>
      <c r="G457" t="inlineStr">
        <is>
          <t xml:space="preserve">Thomas Nandi </t>
        </is>
      </c>
      <c r="H457" t="inlineStr">
        <is>
          <t>Car - Petrol</t>
        </is>
      </c>
      <c r="I457" t="inlineStr">
        <is>
          <t>Daily/ Weekly Vehicle Inspection</t>
        </is>
      </c>
      <c r="J457" t="inlineStr">
        <is>
          <t>N/A</t>
        </is>
      </c>
      <c r="K457" t="inlineStr">
        <is>
          <t>Thomas Nandi</t>
        </is>
      </c>
      <c r="L457" t="inlineStr">
        <is>
          <t>08/04/2025 09:59</t>
        </is>
      </c>
      <c r="M457" t="inlineStr">
        <is>
          <t>None</t>
        </is>
      </c>
      <c r="N457" t="inlineStr">
        <is>
          <t>&lt;p&gt;&lt;/p&gt;</t>
        </is>
      </c>
      <c r="O457" t="inlineStr"/>
      <c r="P457" t="inlineStr">
        <is>
          <t>Car - Petrol - Peugeot  - 2008 - BT24NB0</t>
        </is>
      </c>
      <c r="Q457" t="inlineStr">
        <is>
          <t>SSE</t>
        </is>
      </c>
      <c r="R457" t="b">
        <v>0</v>
      </c>
    </row>
    <row r="458">
      <c r="A458" t="inlineStr">
        <is>
          <t>9 Apr 2025 / 7889 Tree Tech Suffolk Ltd</t>
        </is>
      </c>
      <c r="B458" t="inlineStr">
        <is>
          <t>Utilities &amp; Inland Waterways</t>
        </is>
      </c>
      <c r="C458" t="inlineStr">
        <is>
          <t>UKPN</t>
        </is>
      </c>
      <c r="D458" t="inlineStr">
        <is>
          <t>Isuzu</t>
        </is>
      </c>
      <c r="E458" t="inlineStr">
        <is>
          <t>D-max</t>
        </is>
      </c>
      <c r="F458" t="inlineStr">
        <is>
          <t>NS03 TTSTow Chipper</t>
        </is>
      </c>
      <c r="G458" t="inlineStr">
        <is>
          <t xml:space="preserve">Danny Appleby Nikki sparrow Nikki sparrow </t>
        </is>
      </c>
      <c r="H458" t="inlineStr">
        <is>
          <t>4x4Towed ChipperTipper</t>
        </is>
      </c>
      <c r="I458" t="inlineStr">
        <is>
          <t>Daily/ Weekly Vehicle Inspection</t>
        </is>
      </c>
      <c r="J458" t="inlineStr">
        <is>
          <t>N/A</t>
        </is>
      </c>
      <c r="K458" t="inlineStr">
        <is>
          <t>7889 Tree Tech Suffolk Ltd</t>
        </is>
      </c>
      <c r="L458" t="inlineStr">
        <is>
          <t>09/04/2025 07:52</t>
        </is>
      </c>
      <c r="M458" t="inlineStr">
        <is>
          <t>None</t>
        </is>
      </c>
      <c r="N458" t="inlineStr">
        <is>
          <t>&lt;p&gt;&lt;/p&gt;</t>
        </is>
      </c>
      <c r="O458" t="inlineStr">
        <is>
          <t>Confirm that you have checked this vehicle as per the guidance document and the vehicle is safe and roadworthy:Inside edge of tyres worn
-</t>
        </is>
      </c>
      <c r="P458" t="inlineStr">
        <is>
          <t>4x4 - Isuzu - D-max - NS03 TTSTow Chipper - Jenson - A530L - 5521063948Tipper - Nissan - Navara - NS02TTS</t>
        </is>
      </c>
      <c r="Q458" t="inlineStr">
        <is>
          <t>UKPN</t>
        </is>
      </c>
      <c r="R458" t="b">
        <v>0</v>
      </c>
    </row>
    <row r="459">
      <c r="A459" t="inlineStr">
        <is>
          <t>9 Apr 2025 / 7800 MAC Tree Surgery and Fencing Ltd</t>
        </is>
      </c>
      <c r="B459" t="inlineStr">
        <is>
          <t>Utilities &amp; Inland Waterways</t>
        </is>
      </c>
      <c r="C459" t="inlineStr">
        <is>
          <t>UKPN</t>
        </is>
      </c>
      <c r="D459" t="inlineStr">
        <is>
          <t>Izuzu</t>
        </is>
      </c>
      <c r="E459" t="inlineStr">
        <is>
          <t>Dmax</t>
        </is>
      </c>
      <c r="F459" t="inlineStr">
        <is>
          <t>Ay68 daaTow Chipper</t>
        </is>
      </c>
      <c r="G459" t="inlineStr">
        <is>
          <t xml:space="preserve">Lewis mac Lewis mac </t>
        </is>
      </c>
      <c r="H459" t="inlineStr">
        <is>
          <t>4x4Towed Chipper</t>
        </is>
      </c>
      <c r="I459" t="inlineStr">
        <is>
          <t>Daily/ Weekly Vehicle Inspection</t>
        </is>
      </c>
      <c r="J459" t="inlineStr">
        <is>
          <t>N/A</t>
        </is>
      </c>
      <c r="K459" t="inlineStr">
        <is>
          <t>7800 MAC Tree Surgery and Fencing Ltd</t>
        </is>
      </c>
      <c r="L459" t="inlineStr">
        <is>
          <t>09/04/2025 08:49</t>
        </is>
      </c>
      <c r="M459" t="inlineStr">
        <is>
          <t>None</t>
        </is>
      </c>
      <c r="N459" t="inlineStr">
        <is>
          <t>&lt;p&gt;&lt;/p&gt;</t>
        </is>
      </c>
      <c r="O459" t="inlineStr"/>
      <c r="P459" t="inlineStr">
        <is>
          <t>4x4 - Izuzu - Dmax - Ay68 daaTow Chipper - Timberwolf - TW150 - 205143043-a1</t>
        </is>
      </c>
      <c r="Q459" t="inlineStr">
        <is>
          <t>UKPN</t>
        </is>
      </c>
      <c r="R459" t="b">
        <v>0</v>
      </c>
    </row>
    <row r="460">
      <c r="A460" t="inlineStr">
        <is>
          <t>10 Apr 2025 / 7889 Tree Tech Suffolk Ltd</t>
        </is>
      </c>
      <c r="B460" t="inlineStr">
        <is>
          <t>Utilities &amp; Inland Waterways</t>
        </is>
      </c>
      <c r="C460" t="inlineStr">
        <is>
          <t>UKPN</t>
        </is>
      </c>
      <c r="D460" t="inlineStr">
        <is>
          <t>Isuzu</t>
        </is>
      </c>
      <c r="E460" t="inlineStr">
        <is>
          <t>D-max</t>
        </is>
      </c>
      <c r="F460" t="inlineStr">
        <is>
          <t>NS03 TTSTow Chipper</t>
        </is>
      </c>
      <c r="G460" t="inlineStr">
        <is>
          <t xml:space="preserve">Danny Appleby Nikki sparrow Nikki sparrow </t>
        </is>
      </c>
      <c r="H460" t="inlineStr">
        <is>
          <t>4x4Towed ChipperTipper</t>
        </is>
      </c>
      <c r="I460" t="inlineStr">
        <is>
          <t>Daily/ Weekly Vehicle Inspection</t>
        </is>
      </c>
      <c r="J460" t="inlineStr">
        <is>
          <t>N/A</t>
        </is>
      </c>
      <c r="K460" t="inlineStr">
        <is>
          <t>7889 Tree Tech Suffolk Ltd</t>
        </is>
      </c>
      <c r="L460" t="inlineStr">
        <is>
          <t>10/04/2025 07:50</t>
        </is>
      </c>
      <c r="M460" t="inlineStr">
        <is>
          <t>None</t>
        </is>
      </c>
      <c r="N460" t="inlineStr">
        <is>
          <t>&lt;p&gt;&lt;/p&gt;</t>
        </is>
      </c>
      <c r="O460" t="inlineStr">
        <is>
          <t>Confirm that you have checked this vehicle as per the guidance document and the vehicle is safe and roadworthy:Inside edge of tyres worn
-</t>
        </is>
      </c>
      <c r="P460" t="inlineStr">
        <is>
          <t>4x4 - Isuzu - D-max - NS03 TTSTow Chipper - Jenson - A530L - 5521063948Tipper - Nissan - Navara - NS02TTS</t>
        </is>
      </c>
      <c r="Q460" t="inlineStr">
        <is>
          <t>UKPN</t>
        </is>
      </c>
      <c r="R460" t="b">
        <v>0</v>
      </c>
    </row>
    <row r="461">
      <c r="A461" t="inlineStr">
        <is>
          <t>10 Apr 2025 / 7800 MAC Tree Surgery and Fencing Ltd</t>
        </is>
      </c>
      <c r="B461" t="inlineStr">
        <is>
          <t>Utilities &amp; Inland Waterways</t>
        </is>
      </c>
      <c r="C461" t="inlineStr">
        <is>
          <t>UKPN</t>
        </is>
      </c>
      <c r="D461" t="inlineStr">
        <is>
          <t>Izuzu</t>
        </is>
      </c>
      <c r="E461" t="inlineStr">
        <is>
          <t>Dmax</t>
        </is>
      </c>
      <c r="F461" t="inlineStr">
        <is>
          <t>Ay68 daaTow Chipper</t>
        </is>
      </c>
      <c r="G461" t="inlineStr">
        <is>
          <t xml:space="preserve">Lewis mac Lewis mac </t>
        </is>
      </c>
      <c r="H461" t="inlineStr">
        <is>
          <t>4x4Towed Chipper</t>
        </is>
      </c>
      <c r="I461" t="inlineStr">
        <is>
          <t>Daily/ Weekly Vehicle Inspection</t>
        </is>
      </c>
      <c r="J461" t="inlineStr">
        <is>
          <t>N/A</t>
        </is>
      </c>
      <c r="K461" t="inlineStr">
        <is>
          <t>7800 MAC Tree Surgery and Fencing Ltd</t>
        </is>
      </c>
      <c r="L461" t="inlineStr">
        <is>
          <t>10/04/2025 08:51</t>
        </is>
      </c>
      <c r="M461" t="inlineStr">
        <is>
          <t>None</t>
        </is>
      </c>
      <c r="N461" t="inlineStr">
        <is>
          <t>&lt;p&gt;&lt;/p&gt;</t>
        </is>
      </c>
      <c r="O461" t="inlineStr"/>
      <c r="P461" t="inlineStr">
        <is>
          <t>4x4 - Izuzu - Dmax - Ay68 daaTow Chipper - Timberwolf - TW150 - 205143043-a1</t>
        </is>
      </c>
      <c r="Q461" t="inlineStr">
        <is>
          <t>UKPN</t>
        </is>
      </c>
      <c r="R461" t="b">
        <v>0</v>
      </c>
    </row>
    <row r="462">
      <c r="A462" t="inlineStr">
        <is>
          <t>10 Apr 2025 / 7800 MAC Tree Surgery and Fencing Ltd</t>
        </is>
      </c>
      <c r="B462" t="inlineStr">
        <is>
          <t>Utilities &amp; Inland Waterways</t>
        </is>
      </c>
      <c r="C462" t="inlineStr">
        <is>
          <t>UKPN</t>
        </is>
      </c>
      <c r="D462" t="inlineStr">
        <is>
          <t>Izuzu</t>
        </is>
      </c>
      <c r="E462" t="inlineStr">
        <is>
          <t>Dmax</t>
        </is>
      </c>
      <c r="F462" t="inlineStr">
        <is>
          <t>Ay68 daaTow Chipper</t>
        </is>
      </c>
      <c r="G462" t="inlineStr">
        <is>
          <t xml:space="preserve">Lewis mac Lewis mac </t>
        </is>
      </c>
      <c r="H462" t="inlineStr">
        <is>
          <t>4x4Towed Chipper</t>
        </is>
      </c>
      <c r="I462" t="inlineStr">
        <is>
          <t>Daily/ Weekly Vehicle Inspection</t>
        </is>
      </c>
      <c r="J462" t="inlineStr">
        <is>
          <t>N/A</t>
        </is>
      </c>
      <c r="K462" t="inlineStr">
        <is>
          <t>7800 MAC Tree Surgery and Fencing Ltd</t>
        </is>
      </c>
      <c r="L462" t="inlineStr">
        <is>
          <t>10/04/2025 10:52</t>
        </is>
      </c>
      <c r="M462" t="inlineStr">
        <is>
          <t>None</t>
        </is>
      </c>
      <c r="N462" t="inlineStr">
        <is>
          <t>&lt;p&gt;&lt;/p&gt;</t>
        </is>
      </c>
      <c r="O462" t="inlineStr"/>
      <c r="P462" t="inlineStr">
        <is>
          <t>4x4 - Izuzu - Dmax - Ay68 daaTow Chipper - Timberwolf - TW150 - 205143043-a1</t>
        </is>
      </c>
      <c r="Q462" t="inlineStr">
        <is>
          <t>UKPN</t>
        </is>
      </c>
      <c r="R462" t="b">
        <v>0</v>
      </c>
    </row>
    <row r="463">
      <c r="A463" t="inlineStr">
        <is>
          <t>11 Apr 2025 / Jonathan Wisbey</t>
        </is>
      </c>
      <c r="B463" t="inlineStr">
        <is>
          <t>Utilities &amp; Inland Waterways</t>
        </is>
      </c>
      <c r="C463" t="inlineStr">
        <is>
          <t>UKPN</t>
        </is>
      </c>
      <c r="D463" t="inlineStr">
        <is>
          <t>Petrol</t>
        </is>
      </c>
      <c r="E463" t="inlineStr">
        <is>
          <t>vw</t>
        </is>
      </c>
      <c r="F463" t="inlineStr">
        <is>
          <t>Golf</t>
        </is>
      </c>
      <c r="G463" t="inlineStr">
        <is>
          <t xml:space="preserve">Jonathan Wisbey </t>
        </is>
      </c>
      <c r="H463" t="inlineStr">
        <is>
          <t>Car - Petrol</t>
        </is>
      </c>
      <c r="I463" t="inlineStr">
        <is>
          <t>Daily/ Weekly Vehicle Inspection</t>
        </is>
      </c>
      <c r="J463" t="inlineStr">
        <is>
          <t>N/A</t>
        </is>
      </c>
      <c r="K463" t="inlineStr">
        <is>
          <t>Jonathan Wisbey</t>
        </is>
      </c>
      <c r="L463" t="inlineStr">
        <is>
          <t>11/04/2025 11:51</t>
        </is>
      </c>
      <c r="M463" t="inlineStr">
        <is>
          <t>None</t>
        </is>
      </c>
      <c r="N463" t="inlineStr">
        <is>
          <t>&lt;p&gt;&lt;/p&gt;</t>
        </is>
      </c>
      <c r="O463" t="inlineStr"/>
      <c r="P463" t="inlineStr">
        <is>
          <t>Car - Petrol - vw - Golf - KN25GGK</t>
        </is>
      </c>
      <c r="Q463" t="inlineStr">
        <is>
          <t>UKPN</t>
        </is>
      </c>
      <c r="R463" t="b">
        <v>0</v>
      </c>
    </row>
    <row r="464">
      <c r="A464" t="inlineStr">
        <is>
          <t>14 Apr 2025 / 7889 Tree Tech Suffolk Ltd</t>
        </is>
      </c>
      <c r="B464" t="inlineStr">
        <is>
          <t>Utilities &amp; Inland Waterways</t>
        </is>
      </c>
      <c r="C464" t="inlineStr">
        <is>
          <t>UKPN</t>
        </is>
      </c>
      <c r="D464" t="inlineStr">
        <is>
          <t>Isuzu</t>
        </is>
      </c>
      <c r="E464" t="inlineStr">
        <is>
          <t>D-max</t>
        </is>
      </c>
      <c r="F464" t="inlineStr">
        <is>
          <t>NS03 TTSTow Chipper</t>
        </is>
      </c>
      <c r="G464" t="inlineStr">
        <is>
          <t xml:space="preserve">Danny Appleby Nikki sparrow Nikki sparrow </t>
        </is>
      </c>
      <c r="H464" t="inlineStr">
        <is>
          <t>4x4Towed ChipperTipper</t>
        </is>
      </c>
      <c r="I464" t="inlineStr">
        <is>
          <t>Daily/ Weekly Vehicle Inspection</t>
        </is>
      </c>
      <c r="J464" t="inlineStr">
        <is>
          <t>N/A</t>
        </is>
      </c>
      <c r="K464" t="inlineStr">
        <is>
          <t>7889 Tree Tech Suffolk Ltd</t>
        </is>
      </c>
      <c r="L464" t="inlineStr">
        <is>
          <t>14/04/2025 07:51</t>
        </is>
      </c>
      <c r="M464" t="inlineStr">
        <is>
          <t>None</t>
        </is>
      </c>
      <c r="N464" t="inlineStr">
        <is>
          <t>&lt;p&gt;&lt;/p&gt;</t>
        </is>
      </c>
      <c r="O464" t="inlineStr">
        <is>
          <t>Confirm that you have checked this vehicle as per the guidance document and the vehicle is safe and roadworthy:Inside edge of tyres worn
-</t>
        </is>
      </c>
      <c r="P464" t="inlineStr">
        <is>
          <t>4x4 - Isuzu - D-max - NS03 TTSTow Chipper - Jenson - A530L - 5521063948Tipper - Nissan - Navara - NS02TTS</t>
        </is>
      </c>
      <c r="Q464" t="inlineStr">
        <is>
          <t>UKPN</t>
        </is>
      </c>
      <c r="R464" t="b">
        <v>0</v>
      </c>
    </row>
    <row r="465">
      <c r="A465" t="inlineStr">
        <is>
          <t>14 Apr 2025 / 7940 HRJ Tree Services LTD</t>
        </is>
      </c>
      <c r="B465" t="inlineStr">
        <is>
          <t>Utilities &amp; Inland Waterways</t>
        </is>
      </c>
      <c r="C465" t="inlineStr">
        <is>
          <t>UKPN</t>
        </is>
      </c>
      <c r="D465" t="inlineStr">
        <is>
          <t xml:space="preserve">Izuzu d max </t>
        </is>
      </c>
      <c r="E465" t="inlineStr">
        <is>
          <t>D max</t>
        </is>
      </c>
      <c r="F465" t="inlineStr">
        <is>
          <t>Kx65fcp</t>
        </is>
      </c>
      <c r="G465" t="inlineStr">
        <is>
          <t>Jack Buchan</t>
        </is>
      </c>
      <c r="H465" t="inlineStr">
        <is>
          <t>4x4</t>
        </is>
      </c>
      <c r="I465" t="inlineStr">
        <is>
          <t>Daily/ Weekly Vehicle Inspection</t>
        </is>
      </c>
      <c r="J465" t="inlineStr">
        <is>
          <t>N/A</t>
        </is>
      </c>
      <c r="K465" t="inlineStr">
        <is>
          <t>7940 HRJ Tree Services LTD</t>
        </is>
      </c>
      <c r="L465" t="inlineStr">
        <is>
          <t>14/04/2025 08:55</t>
        </is>
      </c>
      <c r="M465" t="inlineStr">
        <is>
          <t>None</t>
        </is>
      </c>
      <c r="N465" t="inlineStr">
        <is>
          <t>&lt;p&gt;&lt;/p&gt;</t>
        </is>
      </c>
      <c r="O465" t="inlineStr"/>
      <c r="P465" t="inlineStr">
        <is>
          <t>4x4 - Izuzu d max  - D max - Kx65fcp</t>
        </is>
      </c>
      <c r="Q465" t="inlineStr">
        <is>
          <t>UKPN</t>
        </is>
      </c>
      <c r="R465" t="b">
        <v>0</v>
      </c>
    </row>
    <row r="466">
      <c r="A466" t="inlineStr">
        <is>
          <t>14 Apr 2025 / 3098 D &amp; R Landscapes (PEND Arb Rail)</t>
        </is>
      </c>
      <c r="B466" t="inlineStr">
        <is>
          <t>Utilities &amp; Inland Waterways</t>
        </is>
      </c>
      <c r="C466" t="inlineStr">
        <is>
          <t>UKPN</t>
        </is>
      </c>
      <c r="D466" t="inlineStr">
        <is>
          <t xml:space="preserve">Land Rover </t>
        </is>
      </c>
      <c r="E466" t="inlineStr">
        <is>
          <t>Defender</t>
        </is>
      </c>
      <c r="F466" t="inlineStr">
        <is>
          <t>WA13ZZK</t>
        </is>
      </c>
      <c r="G466" t="inlineStr">
        <is>
          <t xml:space="preserve">Dylan </t>
        </is>
      </c>
      <c r="H466" t="inlineStr">
        <is>
          <t>4x4</t>
        </is>
      </c>
      <c r="I466" t="inlineStr">
        <is>
          <t>Daily/ Weekly Vehicle Inspection</t>
        </is>
      </c>
      <c r="J466" t="inlineStr">
        <is>
          <t>N/A</t>
        </is>
      </c>
      <c r="K466" t="inlineStr">
        <is>
          <t>3098 D &amp; R Landscapes (PEND Arb Rail)</t>
        </is>
      </c>
      <c r="L466" t="inlineStr">
        <is>
          <t>14/04/2025 09:51</t>
        </is>
      </c>
      <c r="M466" t="inlineStr">
        <is>
          <t>None</t>
        </is>
      </c>
      <c r="N466" t="inlineStr">
        <is>
          <t>&lt;p&gt;&lt;/p&gt;</t>
        </is>
      </c>
      <c r="O466" t="inlineStr"/>
      <c r="P466" t="inlineStr">
        <is>
          <t>4x4 - Land Rover  - Defender - WA13ZZK</t>
        </is>
      </c>
      <c r="Q466" t="inlineStr">
        <is>
          <t>UKPN</t>
        </is>
      </c>
      <c r="R466" t="b">
        <v>0</v>
      </c>
    </row>
    <row r="467">
      <c r="A467" t="inlineStr">
        <is>
          <t>15 Apr 2025 / 7889 Tree Tech Suffolk Ltd</t>
        </is>
      </c>
      <c r="B467" t="inlineStr">
        <is>
          <t>Utilities &amp; Inland Waterways</t>
        </is>
      </c>
      <c r="C467" t="inlineStr">
        <is>
          <t>UKPN</t>
        </is>
      </c>
      <c r="D467" t="inlineStr">
        <is>
          <t>Isuzu</t>
        </is>
      </c>
      <c r="E467" t="inlineStr">
        <is>
          <t>D-max</t>
        </is>
      </c>
      <c r="F467" t="inlineStr">
        <is>
          <t>NS03 TTSTow Chipper</t>
        </is>
      </c>
      <c r="G467" t="inlineStr">
        <is>
          <t xml:space="preserve">Danny Appleby Nikki sparrow Nikki sparrow </t>
        </is>
      </c>
      <c r="H467" t="inlineStr">
        <is>
          <t>4x4Towed ChipperTipper</t>
        </is>
      </c>
      <c r="I467" t="inlineStr">
        <is>
          <t>Daily/ Weekly Vehicle Inspection</t>
        </is>
      </c>
      <c r="J467" t="inlineStr">
        <is>
          <t>N/A</t>
        </is>
      </c>
      <c r="K467" t="inlineStr">
        <is>
          <t>7889 Tree Tech Suffolk Ltd</t>
        </is>
      </c>
      <c r="L467" t="inlineStr">
        <is>
          <t>15/04/2025 07:55</t>
        </is>
      </c>
      <c r="M467" t="inlineStr">
        <is>
          <t>None</t>
        </is>
      </c>
      <c r="N467" t="inlineStr">
        <is>
          <t>&lt;p&gt;&lt;/p&gt;</t>
        </is>
      </c>
      <c r="O467" t="inlineStr">
        <is>
          <t>Confirm that you have checked this vehicle as per the guidance document and the vehicle is safe and roadworthy:Inside edge of tyres worn
-</t>
        </is>
      </c>
      <c r="P467" t="inlineStr">
        <is>
          <t>4x4 - Isuzu - D-max - NS03 TTSTow Chipper - Jenson - A530L - 5521063948Tipper - Nissan - Navara - NS02TTS</t>
        </is>
      </c>
      <c r="Q467" t="inlineStr">
        <is>
          <t>UKPN</t>
        </is>
      </c>
      <c r="R467" t="b">
        <v>0</v>
      </c>
    </row>
    <row r="468">
      <c r="A468" t="inlineStr">
        <is>
          <t>16 Apr 2025 / 7889 Tree Tech Suffolk Ltd</t>
        </is>
      </c>
      <c r="B468" t="inlineStr">
        <is>
          <t>Utilities &amp; Inland Waterways</t>
        </is>
      </c>
      <c r="C468" t="inlineStr">
        <is>
          <t>UKPN</t>
        </is>
      </c>
      <c r="D468" t="inlineStr">
        <is>
          <t>Isuzu</t>
        </is>
      </c>
      <c r="E468" t="inlineStr">
        <is>
          <t>D-max</t>
        </is>
      </c>
      <c r="F468" t="inlineStr">
        <is>
          <t>NS03 TTSTow Chipper</t>
        </is>
      </c>
      <c r="G468" t="inlineStr">
        <is>
          <t xml:space="preserve">Danny Appleby Nikki sparrow </t>
        </is>
      </c>
      <c r="H468" t="inlineStr">
        <is>
          <t>4x4Towed Chipper</t>
        </is>
      </c>
      <c r="I468" t="inlineStr">
        <is>
          <t>Daily/ Weekly Vehicle Inspection</t>
        </is>
      </c>
      <c r="J468" t="inlineStr">
        <is>
          <t>N/A</t>
        </is>
      </c>
      <c r="K468" t="inlineStr">
        <is>
          <t>7889 Tree Tech Suffolk Ltd</t>
        </is>
      </c>
      <c r="L468" t="inlineStr">
        <is>
          <t>16/04/2025 07:55</t>
        </is>
      </c>
      <c r="M468" t="inlineStr">
        <is>
          <t>None</t>
        </is>
      </c>
      <c r="N468" t="inlineStr">
        <is>
          <t>&lt;p&gt;&lt;/p&gt;</t>
        </is>
      </c>
      <c r="O468" t="inlineStr">
        <is>
          <t>Confirm that you have checked this vehicle as per the guidance document and the vehicle is safe and roadworthy:Inside edge of tyres worn
-</t>
        </is>
      </c>
      <c r="P468" t="inlineStr">
        <is>
          <t>4x4 - Isuzu - D-max - NS03 TTSTow Chipper - Jenson - A530L - 5521063948</t>
        </is>
      </c>
      <c r="Q468" t="inlineStr">
        <is>
          <t>UKPN</t>
        </is>
      </c>
      <c r="R468" t="b">
        <v>0</v>
      </c>
    </row>
    <row r="469">
      <c r="A469" t="inlineStr">
        <is>
          <t>16 Apr 2025 / 7800 MAC Tree Surgery and Fencing Ltd</t>
        </is>
      </c>
      <c r="B469" t="inlineStr">
        <is>
          <t>Utilities &amp; Inland Waterways</t>
        </is>
      </c>
      <c r="C469" t="inlineStr">
        <is>
          <t>UKPN</t>
        </is>
      </c>
      <c r="D469" t="inlineStr">
        <is>
          <t>Izuzu</t>
        </is>
      </c>
      <c r="E469" t="inlineStr">
        <is>
          <t>Dmax</t>
        </is>
      </c>
      <c r="F469" t="inlineStr">
        <is>
          <t>Ay68 daaTow Chipper</t>
        </is>
      </c>
      <c r="G469" t="inlineStr">
        <is>
          <t xml:space="preserve">Lewis mac Lewis mac </t>
        </is>
      </c>
      <c r="H469" t="inlineStr">
        <is>
          <t>4x4Towed Chipper</t>
        </is>
      </c>
      <c r="I469" t="inlineStr">
        <is>
          <t>Daily/ Weekly Vehicle Inspection</t>
        </is>
      </c>
      <c r="J469" t="inlineStr">
        <is>
          <t>N/A</t>
        </is>
      </c>
      <c r="K469" t="inlineStr">
        <is>
          <t>7800 MAC Tree Surgery and Fencing Ltd</t>
        </is>
      </c>
      <c r="L469" t="inlineStr">
        <is>
          <t>16/04/2025 07:56</t>
        </is>
      </c>
      <c r="M469" t="inlineStr">
        <is>
          <t>None</t>
        </is>
      </c>
      <c r="N469" t="inlineStr">
        <is>
          <t>&lt;p&gt;&lt;/p&gt;</t>
        </is>
      </c>
      <c r="O469" t="inlineStr"/>
      <c r="P469" t="inlineStr">
        <is>
          <t>4x4 - Izuzu - Dmax - Ay68 daaTow Chipper - Timberwolf - TW150 - 205143043-a1</t>
        </is>
      </c>
      <c r="Q469" t="inlineStr">
        <is>
          <t>UKPN</t>
        </is>
      </c>
      <c r="R469" t="b">
        <v>0</v>
      </c>
    </row>
    <row r="470">
      <c r="A470" t="inlineStr">
        <is>
          <t>17 Apr 2025 / 7889 Tree Tech Suffolk Ltd</t>
        </is>
      </c>
      <c r="B470" t="inlineStr">
        <is>
          <t>Utilities &amp; Inland Waterways</t>
        </is>
      </c>
      <c r="C470" t="inlineStr">
        <is>
          <t>UKPN</t>
        </is>
      </c>
      <c r="D470" t="inlineStr">
        <is>
          <t>Isuzu</t>
        </is>
      </c>
      <c r="E470" t="inlineStr">
        <is>
          <t>D-max</t>
        </is>
      </c>
      <c r="F470" t="inlineStr">
        <is>
          <t>NS03 TTSTow Chipper</t>
        </is>
      </c>
      <c r="G470" t="inlineStr">
        <is>
          <t xml:space="preserve">Danny Appleby Danny Appleby </t>
        </is>
      </c>
      <c r="H470" t="inlineStr">
        <is>
          <t>4x4Towed Chipper</t>
        </is>
      </c>
      <c r="I470" t="inlineStr">
        <is>
          <t>Daily/ Weekly Vehicle Inspection</t>
        </is>
      </c>
      <c r="J470" t="inlineStr">
        <is>
          <t>N/A</t>
        </is>
      </c>
      <c r="K470" t="inlineStr">
        <is>
          <t>7889 Tree Tech Suffolk Ltd</t>
        </is>
      </c>
      <c r="L470" t="inlineStr">
        <is>
          <t>17/04/2025 07:54</t>
        </is>
      </c>
      <c r="M470" t="inlineStr">
        <is>
          <t>None</t>
        </is>
      </c>
      <c r="N470" t="inlineStr">
        <is>
          <t>&lt;p&gt;&lt;/p&gt;</t>
        </is>
      </c>
      <c r="O470" t="inlineStr">
        <is>
          <t>Confirm that you have checked this vehicle as per the guidance document and the vehicle is safe and roadworthy:Inside edge of tyres worn
-</t>
        </is>
      </c>
      <c r="P470" t="inlineStr">
        <is>
          <t>4x4 - Isuzu - D-max - NS03 TTSTow Chipper - Jenson - A530L - 5521063948</t>
        </is>
      </c>
      <c r="Q470" t="inlineStr">
        <is>
          <t>UKPN</t>
        </is>
      </c>
      <c r="R470" t="b">
        <v>0</v>
      </c>
    </row>
    <row r="471">
      <c r="A471" t="inlineStr">
        <is>
          <t>17 Apr 2025 / 7889 Tree Tech Suffolk Ltd</t>
        </is>
      </c>
      <c r="B471" t="inlineStr">
        <is>
          <t>Utilities &amp; Inland Waterways</t>
        </is>
      </c>
      <c r="C471" t="inlineStr">
        <is>
          <t>UKPN</t>
        </is>
      </c>
      <c r="D471" t="inlineStr">
        <is>
          <t>Isuzu</t>
        </is>
      </c>
      <c r="E471" t="inlineStr">
        <is>
          <t>D-max</t>
        </is>
      </c>
      <c r="F471" t="inlineStr">
        <is>
          <t>NS03 TTSTow Chipper</t>
        </is>
      </c>
      <c r="G471" t="inlineStr">
        <is>
          <t xml:space="preserve">Danny Appleby Danny Appleby Nikki sparrow </t>
        </is>
      </c>
      <c r="H471" t="inlineStr">
        <is>
          <t>4x4Towed Chipper</t>
        </is>
      </c>
      <c r="I471" t="inlineStr">
        <is>
          <t>Daily/ Weekly Vehicle Inspection</t>
        </is>
      </c>
      <c r="J471" t="inlineStr">
        <is>
          <t>N/A</t>
        </is>
      </c>
      <c r="K471" t="inlineStr">
        <is>
          <t>7889 Tree Tech Suffolk Ltd</t>
        </is>
      </c>
      <c r="L471" t="inlineStr">
        <is>
          <t>17/04/2025 09:52</t>
        </is>
      </c>
      <c r="M471" t="inlineStr">
        <is>
          <t>None</t>
        </is>
      </c>
      <c r="N471" t="inlineStr">
        <is>
          <t>&lt;p&gt;&lt;/p&gt;</t>
        </is>
      </c>
      <c r="O471" t="inlineStr">
        <is>
          <t>Confirm that you have checked this vehicle as per the guidance document and the vehicle is safe and roadworthy:Inside edge of tyres worn
-</t>
        </is>
      </c>
      <c r="P471" t="inlineStr">
        <is>
          <t>4x4 - Isuzu - D-max - NS03 TTSTow Chipper - Jenson - A530L - 5521063948</t>
        </is>
      </c>
      <c r="Q471" t="inlineStr">
        <is>
          <t>UKPN</t>
        </is>
      </c>
      <c r="R471" t="b">
        <v>0</v>
      </c>
    </row>
    <row r="472">
      <c r="A472" t="inlineStr">
        <is>
          <t>17 Apr 2025 / 7800 MAC Tree Surgery and Fencing Ltd</t>
        </is>
      </c>
      <c r="B472" t="inlineStr">
        <is>
          <t>Utilities &amp; Inland Waterways</t>
        </is>
      </c>
      <c r="C472" t="inlineStr">
        <is>
          <t>UKPN</t>
        </is>
      </c>
      <c r="D472" t="inlineStr">
        <is>
          <t>Izuzu</t>
        </is>
      </c>
      <c r="E472" t="inlineStr">
        <is>
          <t>Dmax</t>
        </is>
      </c>
      <c r="F472" t="inlineStr">
        <is>
          <t>Ay68 daaTow Chipper</t>
        </is>
      </c>
      <c r="G472" t="inlineStr">
        <is>
          <t xml:space="preserve">Lewis mac Lewis mac </t>
        </is>
      </c>
      <c r="H472" t="inlineStr">
        <is>
          <t>4x4Towed Chipper</t>
        </is>
      </c>
      <c r="I472" t="inlineStr">
        <is>
          <t>Daily/ Weekly Vehicle Inspection</t>
        </is>
      </c>
      <c r="J472" t="inlineStr">
        <is>
          <t>N/A</t>
        </is>
      </c>
      <c r="K472" t="inlineStr">
        <is>
          <t>7800 MAC Tree Surgery and Fencing Ltd</t>
        </is>
      </c>
      <c r="L472" t="inlineStr">
        <is>
          <t>17/04/2025 09:53</t>
        </is>
      </c>
      <c r="M472" t="inlineStr">
        <is>
          <t>None</t>
        </is>
      </c>
      <c r="N472" t="inlineStr">
        <is>
          <t>&lt;p&gt;&lt;/p&gt;</t>
        </is>
      </c>
      <c r="O472" t="inlineStr"/>
      <c r="P472" t="inlineStr">
        <is>
          <t>4x4 - Izuzu - Dmax - Ay68 daaTow Chipper - Timberwolf - TW150 - 205143043-a1</t>
        </is>
      </c>
      <c r="Q472" t="inlineStr">
        <is>
          <t>UKPN</t>
        </is>
      </c>
      <c r="R472" t="b">
        <v>0</v>
      </c>
    </row>
    <row r="473">
      <c r="A473" t="inlineStr">
        <is>
          <t>22 Apr 2025 / 7889 Tree Tech Suffolk Ltd</t>
        </is>
      </c>
      <c r="B473" t="inlineStr">
        <is>
          <t>Utilities &amp; Inland Waterways</t>
        </is>
      </c>
      <c r="C473" t="inlineStr">
        <is>
          <t>UKPN</t>
        </is>
      </c>
      <c r="D473" t="inlineStr">
        <is>
          <t>Isuzu</t>
        </is>
      </c>
      <c r="E473" t="inlineStr">
        <is>
          <t>D-max</t>
        </is>
      </c>
      <c r="F473" t="inlineStr">
        <is>
          <t>NS03 TTSTow Chipper</t>
        </is>
      </c>
      <c r="G473" t="inlineStr">
        <is>
          <t xml:space="preserve">Danny Appleby Nikki sparrow Nikki sparrow </t>
        </is>
      </c>
      <c r="H473" t="inlineStr">
        <is>
          <t>4x4Towed ChipperTipper</t>
        </is>
      </c>
      <c r="I473" t="inlineStr">
        <is>
          <t>Daily/ Weekly Vehicle Inspection</t>
        </is>
      </c>
      <c r="J473" t="inlineStr">
        <is>
          <t>N/A</t>
        </is>
      </c>
      <c r="K473" t="inlineStr">
        <is>
          <t>7889 Tree Tech Suffolk Ltd</t>
        </is>
      </c>
      <c r="L473" t="inlineStr">
        <is>
          <t>22/04/2025 07:56</t>
        </is>
      </c>
      <c r="M473" t="inlineStr">
        <is>
          <t>None</t>
        </is>
      </c>
      <c r="N473" t="inlineStr">
        <is>
          <t>&lt;p&gt;&lt;/p&gt;</t>
        </is>
      </c>
      <c r="O473" t="inlineStr">
        <is>
          <t>Confirm that you have checked this vehicle as per the guidance document and the vehicle is safe and roadworthy:Inside edge of tyres worn
-</t>
        </is>
      </c>
      <c r="P473" t="inlineStr">
        <is>
          <t>4x4 - Isuzu - D-max - NS03 TTSTow Chipper - Jenson - A530L - 5521063948Tipper - Nissan - Navara - NS02TTS</t>
        </is>
      </c>
      <c r="Q473" t="inlineStr">
        <is>
          <t>UKPN</t>
        </is>
      </c>
      <c r="R473" t="b">
        <v>0</v>
      </c>
    </row>
    <row r="474">
      <c r="A474" t="inlineStr">
        <is>
          <t>22 Apr 2025 / 7800 MAC Tree Surgery and Fencing Ltd</t>
        </is>
      </c>
      <c r="B474" t="inlineStr">
        <is>
          <t>Utilities &amp; Inland Waterways</t>
        </is>
      </c>
      <c r="C474" t="inlineStr">
        <is>
          <t>UKPN</t>
        </is>
      </c>
      <c r="D474" t="inlineStr">
        <is>
          <t>Izuzu</t>
        </is>
      </c>
      <c r="E474" t="inlineStr">
        <is>
          <t>Dmax</t>
        </is>
      </c>
      <c r="F474" t="inlineStr">
        <is>
          <t>Ay68 daaTow Chipper</t>
        </is>
      </c>
      <c r="G474" t="inlineStr">
        <is>
          <t xml:space="preserve">Lewis mac Lewis mac </t>
        </is>
      </c>
      <c r="H474" t="inlineStr">
        <is>
          <t>4x4Towed Chipper</t>
        </is>
      </c>
      <c r="I474" t="inlineStr">
        <is>
          <t>Daily/ Weekly Vehicle Inspection</t>
        </is>
      </c>
      <c r="J474" t="inlineStr">
        <is>
          <t>N/A</t>
        </is>
      </c>
      <c r="K474" t="inlineStr">
        <is>
          <t>7800 MAC Tree Surgery and Fencing Ltd</t>
        </is>
      </c>
      <c r="L474" t="inlineStr">
        <is>
          <t>22/04/2025 08:53</t>
        </is>
      </c>
      <c r="M474" t="inlineStr">
        <is>
          <t>None</t>
        </is>
      </c>
      <c r="N474" t="inlineStr">
        <is>
          <t>&lt;p&gt;&lt;/p&gt;</t>
        </is>
      </c>
      <c r="O474" t="inlineStr"/>
      <c r="P474" t="inlineStr">
        <is>
          <t>4x4 - Izuzu - Dmax - Ay68 daaTow Chipper - Timberwolf - TW150 - 205143043-a1</t>
        </is>
      </c>
      <c r="Q474" t="inlineStr">
        <is>
          <t>UKPN</t>
        </is>
      </c>
      <c r="R474" t="b">
        <v>0</v>
      </c>
    </row>
    <row r="475">
      <c r="A475" t="inlineStr">
        <is>
          <t>23 Apr 2025 / 7889 Tree Tech Suffolk Ltd</t>
        </is>
      </c>
      <c r="B475" t="inlineStr">
        <is>
          <t>Utilities &amp; Inland Waterways</t>
        </is>
      </c>
      <c r="C475" t="inlineStr">
        <is>
          <t>UKPN</t>
        </is>
      </c>
      <c r="D475" t="inlineStr">
        <is>
          <t>Isuzu</t>
        </is>
      </c>
      <c r="E475" t="inlineStr">
        <is>
          <t>D-max</t>
        </is>
      </c>
      <c r="F475" t="inlineStr">
        <is>
          <t>NS03 TTSTow Chipper</t>
        </is>
      </c>
      <c r="G475" t="inlineStr">
        <is>
          <t xml:space="preserve">Danny Appleby Danny Appleby </t>
        </is>
      </c>
      <c r="H475" t="inlineStr">
        <is>
          <t>4x4Towed Chipper</t>
        </is>
      </c>
      <c r="I475" t="inlineStr">
        <is>
          <t>Daily/ Weekly Vehicle Inspection</t>
        </is>
      </c>
      <c r="J475" t="inlineStr">
        <is>
          <t>N/A</t>
        </is>
      </c>
      <c r="K475" t="inlineStr">
        <is>
          <t>7889 Tree Tech Suffolk Ltd</t>
        </is>
      </c>
      <c r="L475" t="inlineStr">
        <is>
          <t>23/04/2025 07:55</t>
        </is>
      </c>
      <c r="M475" t="inlineStr">
        <is>
          <t>None</t>
        </is>
      </c>
      <c r="N475" t="inlineStr">
        <is>
          <t>&lt;p&gt;&lt;/p&gt;</t>
        </is>
      </c>
      <c r="O475" t="inlineStr"/>
      <c r="P475" t="inlineStr">
        <is>
          <t>4x4 - Isuzu - D-max - NS03 TTSTow Chipper - Jenson - A530L - 5521063948</t>
        </is>
      </c>
      <c r="Q475" t="inlineStr">
        <is>
          <t>UKPN</t>
        </is>
      </c>
      <c r="R475" t="b">
        <v>0</v>
      </c>
    </row>
    <row r="476">
      <c r="A476" t="inlineStr">
        <is>
          <t>23 Apr 2025 / 7800 MAC Tree Surgery and Fencing Ltd</t>
        </is>
      </c>
      <c r="B476" t="inlineStr">
        <is>
          <t>Utilities &amp; Inland Waterways</t>
        </is>
      </c>
      <c r="C476" t="inlineStr">
        <is>
          <t>UKPN</t>
        </is>
      </c>
      <c r="D476" t="inlineStr">
        <is>
          <t>Izuzu</t>
        </is>
      </c>
      <c r="E476" t="inlineStr">
        <is>
          <t>Dmax</t>
        </is>
      </c>
      <c r="F476" t="inlineStr">
        <is>
          <t>Ay68 daaTow Chipper</t>
        </is>
      </c>
      <c r="G476" t="inlineStr">
        <is>
          <t xml:space="preserve">Lewis mac Lewis mac </t>
        </is>
      </c>
      <c r="H476" t="inlineStr">
        <is>
          <t>4x4Towed Chipper</t>
        </is>
      </c>
      <c r="I476" t="inlineStr">
        <is>
          <t>Daily/ Weekly Vehicle Inspection</t>
        </is>
      </c>
      <c r="J476" t="inlineStr">
        <is>
          <t>N/A</t>
        </is>
      </c>
      <c r="K476" t="inlineStr">
        <is>
          <t>7800 MAC Tree Surgery and Fencing Ltd</t>
        </is>
      </c>
      <c r="L476" t="inlineStr">
        <is>
          <t>23/04/2025 08:53</t>
        </is>
      </c>
      <c r="M476" t="inlineStr">
        <is>
          <t>None</t>
        </is>
      </c>
      <c r="N476" t="inlineStr">
        <is>
          <t>&lt;p&gt;&lt;/p&gt;</t>
        </is>
      </c>
      <c r="O476" t="inlineStr"/>
      <c r="P476" t="inlineStr">
        <is>
          <t>4x4 - Izuzu - Dmax - Ay68 daaTow Chipper - Timberwolf - TW150 - 205143043-a1</t>
        </is>
      </c>
      <c r="Q476" t="inlineStr">
        <is>
          <t>UKPN</t>
        </is>
      </c>
      <c r="R476" t="b">
        <v>0</v>
      </c>
    </row>
    <row r="477">
      <c r="A477" t="inlineStr">
        <is>
          <t>23 Apr 2025 / Mathew Dunn</t>
        </is>
      </c>
      <c r="B477" t="inlineStr">
        <is>
          <t>Utilities &amp; Inland Waterways</t>
        </is>
      </c>
      <c r="C477" t="inlineStr">
        <is>
          <t>SSE</t>
        </is>
      </c>
      <c r="D477" t="inlineStr">
        <is>
          <t>Petrol</t>
        </is>
      </c>
      <c r="E477" t="inlineStr">
        <is>
          <t xml:space="preserve">Vauxhall </t>
        </is>
      </c>
      <c r="F477" t="inlineStr">
        <is>
          <t>Mokka</t>
        </is>
      </c>
      <c r="G477" t="inlineStr">
        <is>
          <t>Mathew dunn</t>
        </is>
      </c>
      <c r="H477" t="inlineStr">
        <is>
          <t>Car - Petrol</t>
        </is>
      </c>
      <c r="I477" t="inlineStr">
        <is>
          <t>Daily/ Weekly Vehicle Inspection</t>
        </is>
      </c>
      <c r="J477" t="inlineStr">
        <is>
          <t>N/A</t>
        </is>
      </c>
      <c r="K477" t="inlineStr">
        <is>
          <t>Mathew Dunn</t>
        </is>
      </c>
      <c r="L477" t="inlineStr">
        <is>
          <t>23/04/2025 08:55</t>
        </is>
      </c>
      <c r="M477" t="inlineStr">
        <is>
          <t>None</t>
        </is>
      </c>
      <c r="N477" t="inlineStr">
        <is>
          <t>&lt;p&gt;&lt;/p&gt;</t>
        </is>
      </c>
      <c r="O477" t="inlineStr"/>
      <c r="P477" t="inlineStr">
        <is>
          <t>Car - Petrol - Vauxhall  - Mokka - DY23NLD</t>
        </is>
      </c>
      <c r="Q477" t="inlineStr">
        <is>
          <t>SSE</t>
        </is>
      </c>
      <c r="R477" t="b">
        <v>0</v>
      </c>
    </row>
    <row r="478">
      <c r="A478" t="inlineStr">
        <is>
          <t>14 Apr 2025 / Jonathan Wisbey</t>
        </is>
      </c>
      <c r="B478" t="inlineStr">
        <is>
          <t>Utilities &amp; Inland Waterways</t>
        </is>
      </c>
      <c r="C478" t="inlineStr">
        <is>
          <t>UKPN</t>
        </is>
      </c>
      <c r="D478" t="inlineStr">
        <is>
          <t>Petrol</t>
        </is>
      </c>
      <c r="E478" t="inlineStr">
        <is>
          <t>vw</t>
        </is>
      </c>
      <c r="F478" t="inlineStr">
        <is>
          <t>Golf</t>
        </is>
      </c>
      <c r="G478" t="inlineStr">
        <is>
          <t xml:space="preserve">Jonathan wisbey </t>
        </is>
      </c>
      <c r="H478" t="inlineStr">
        <is>
          <t>Car - Petrol</t>
        </is>
      </c>
      <c r="I478" t="inlineStr">
        <is>
          <t>Daily/ Weekly Vehicle Inspection</t>
        </is>
      </c>
      <c r="J478" t="inlineStr">
        <is>
          <t>N/A</t>
        </is>
      </c>
      <c r="K478" t="inlineStr">
        <is>
          <t>Jonathan Wisbey</t>
        </is>
      </c>
      <c r="L478" t="inlineStr">
        <is>
          <t>23/04/2025 10:56</t>
        </is>
      </c>
      <c r="M478" t="inlineStr">
        <is>
          <t>None</t>
        </is>
      </c>
      <c r="N478" t="inlineStr">
        <is>
          <t>&lt;p&gt;&lt;/p&gt;</t>
        </is>
      </c>
      <c r="O478" t="inlineStr"/>
      <c r="P478" t="inlineStr">
        <is>
          <t>Car - Petrol - vw - Golf - KN25GGK</t>
        </is>
      </c>
      <c r="Q478" t="inlineStr">
        <is>
          <t>UKPN</t>
        </is>
      </c>
      <c r="R478" t="b">
        <v>0</v>
      </c>
    </row>
    <row r="479">
      <c r="A479" t="inlineStr">
        <is>
          <t>28 Apr 2025 / 7889 Tree Tech Suffolk Ltd</t>
        </is>
      </c>
      <c r="B479" t="inlineStr">
        <is>
          <t>Utilities &amp; Inland Waterways</t>
        </is>
      </c>
      <c r="C479" t="inlineStr">
        <is>
          <t>UKPN</t>
        </is>
      </c>
      <c r="D479" t="inlineStr">
        <is>
          <t>Isuzu</t>
        </is>
      </c>
      <c r="E479" t="inlineStr">
        <is>
          <t>D-max</t>
        </is>
      </c>
      <c r="F479" t="inlineStr">
        <is>
          <t>NS03 TTSTow Chipper</t>
        </is>
      </c>
      <c r="G479" t="inlineStr">
        <is>
          <t xml:space="preserve">Dan brown Danny Appleby Danny Appleby </t>
        </is>
      </c>
      <c r="H479" t="inlineStr">
        <is>
          <t>4x4Towed ChipperTipper</t>
        </is>
      </c>
      <c r="I479" t="inlineStr">
        <is>
          <t>Daily/ Weekly Vehicle Inspection</t>
        </is>
      </c>
      <c r="J479" t="inlineStr">
        <is>
          <t>N/A</t>
        </is>
      </c>
      <c r="K479" t="inlineStr">
        <is>
          <t>7889 Tree Tech Suffolk Ltd</t>
        </is>
      </c>
      <c r="L479" t="inlineStr">
        <is>
          <t>28/04/2025 07:58</t>
        </is>
      </c>
      <c r="M479" t="inlineStr">
        <is>
          <t>None</t>
        </is>
      </c>
      <c r="N479" t="inlineStr">
        <is>
          <t>&lt;p&gt;&lt;/p&gt;</t>
        </is>
      </c>
      <c r="O479" t="inlineStr"/>
      <c r="P479" t="inlineStr">
        <is>
          <t>4x4 - Isuzu - D-max - NS03 TTSTow Chipper - Jenson - A530L - 5521063948Tipper - Nissan - Navara - NS02TTS</t>
        </is>
      </c>
      <c r="Q479" t="inlineStr">
        <is>
          <t>UKPN</t>
        </is>
      </c>
      <c r="R479" t="b">
        <v>0</v>
      </c>
    </row>
    <row r="480">
      <c r="A480" t="inlineStr">
        <is>
          <t>28 Apr 2025 / 7940 HRJ Tree Services LTD</t>
        </is>
      </c>
      <c r="B480" t="inlineStr">
        <is>
          <t>Utilities &amp; Inland Waterways</t>
        </is>
      </c>
      <c r="C480" t="inlineStr">
        <is>
          <t>UKPN</t>
        </is>
      </c>
      <c r="D480" t="inlineStr">
        <is>
          <t xml:space="preserve">Toyota </t>
        </is>
      </c>
      <c r="E480" t="inlineStr">
        <is>
          <t>Hilux</t>
        </is>
      </c>
      <c r="F480" t="inlineStr">
        <is>
          <t>LL70GZP</t>
        </is>
      </c>
      <c r="G480" t="inlineStr">
        <is>
          <t>Harry Wilson</t>
        </is>
      </c>
      <c r="H480" t="inlineStr">
        <is>
          <t>4x4</t>
        </is>
      </c>
      <c r="I480" t="inlineStr">
        <is>
          <t>Daily/ Weekly Vehicle Inspection</t>
        </is>
      </c>
      <c r="J480" t="inlineStr">
        <is>
          <t>N/A</t>
        </is>
      </c>
      <c r="K480" t="inlineStr">
        <is>
          <t>7940 HRJ Tree Services LTD</t>
        </is>
      </c>
      <c r="L480" t="inlineStr">
        <is>
          <t>28/04/2025 11:56</t>
        </is>
      </c>
      <c r="M480" t="inlineStr">
        <is>
          <t>None</t>
        </is>
      </c>
      <c r="N480" t="inlineStr">
        <is>
          <t>&lt;p&gt;&lt;/p&gt;</t>
        </is>
      </c>
      <c r="O480" t="inlineStr"/>
      <c r="P480" t="inlineStr">
        <is>
          <t>4x4 - Toyota  - Hilux - LL70GZP</t>
        </is>
      </c>
      <c r="Q480" t="inlineStr">
        <is>
          <t>UKPN</t>
        </is>
      </c>
      <c r="R480" t="b">
        <v>0</v>
      </c>
    </row>
    <row r="481">
      <c r="A481" t="inlineStr">
        <is>
          <t>17 Apr 2025 / 7940 HRJ Tree Services LTD</t>
        </is>
      </c>
      <c r="B481" t="inlineStr">
        <is>
          <t>Utilities &amp; Inland Waterways</t>
        </is>
      </c>
      <c r="C481" t="inlineStr">
        <is>
          <t>UKPN</t>
        </is>
      </c>
      <c r="D481" t="inlineStr">
        <is>
          <t xml:space="preserve">Toyota </t>
        </is>
      </c>
      <c r="E481" t="inlineStr">
        <is>
          <t>Hilux</t>
        </is>
      </c>
      <c r="F481" t="inlineStr">
        <is>
          <t>LL70GZP</t>
        </is>
      </c>
      <c r="G481" t="inlineStr">
        <is>
          <t>Harry Wilson</t>
        </is>
      </c>
      <c r="H481" t="inlineStr">
        <is>
          <t>4x4</t>
        </is>
      </c>
      <c r="I481" t="inlineStr">
        <is>
          <t>Daily/ Weekly Vehicle Inspection</t>
        </is>
      </c>
      <c r="J481" t="inlineStr">
        <is>
          <t>N/A</t>
        </is>
      </c>
      <c r="K481" t="inlineStr">
        <is>
          <t>7940 HRJ Tree Services LTD</t>
        </is>
      </c>
      <c r="L481" t="inlineStr">
        <is>
          <t>28/04/2025 11:56</t>
        </is>
      </c>
      <c r="M481" t="inlineStr">
        <is>
          <t>None</t>
        </is>
      </c>
      <c r="N481" t="inlineStr">
        <is>
          <t>&lt;p&gt;&lt;/p&gt;</t>
        </is>
      </c>
      <c r="O481" t="inlineStr"/>
      <c r="P481" t="inlineStr">
        <is>
          <t>4x4 - Toyota  - Hilux - LL70GZP</t>
        </is>
      </c>
      <c r="Q481" t="inlineStr">
        <is>
          <t>UKPN</t>
        </is>
      </c>
      <c r="R481" t="b">
        <v>0</v>
      </c>
    </row>
    <row r="482">
      <c r="A482" t="inlineStr">
        <is>
          <t>29 Apr 2025 / 7889 Tree Tech Suffolk Ltd</t>
        </is>
      </c>
      <c r="B482" t="inlineStr">
        <is>
          <t>Utilities &amp; Inland Waterways</t>
        </is>
      </c>
      <c r="C482" t="inlineStr">
        <is>
          <t>UKPN</t>
        </is>
      </c>
      <c r="D482" t="inlineStr">
        <is>
          <t>Isuzu</t>
        </is>
      </c>
      <c r="E482" t="inlineStr">
        <is>
          <t>D-max</t>
        </is>
      </c>
      <c r="F482" t="inlineStr">
        <is>
          <t>NS03 TTSTow Chipper</t>
        </is>
      </c>
      <c r="G482" t="inlineStr">
        <is>
          <t xml:space="preserve">Dan brown Danny Appleby Danny Appleby </t>
        </is>
      </c>
      <c r="H482" t="inlineStr">
        <is>
          <t>4x4Towed ChipperTipper</t>
        </is>
      </c>
      <c r="I482" t="inlineStr">
        <is>
          <t>Daily/ Weekly Vehicle Inspection</t>
        </is>
      </c>
      <c r="J482" t="inlineStr">
        <is>
          <t>N/A</t>
        </is>
      </c>
      <c r="K482" t="inlineStr">
        <is>
          <t>7889 Tree Tech Suffolk Ltd</t>
        </is>
      </c>
      <c r="L482" t="inlineStr">
        <is>
          <t>29/04/2025 09:53</t>
        </is>
      </c>
      <c r="M482" t="inlineStr">
        <is>
          <t>None</t>
        </is>
      </c>
      <c r="N482" t="inlineStr">
        <is>
          <t>&lt;p&gt;&lt;/p&gt;</t>
        </is>
      </c>
      <c r="O482" t="inlineStr"/>
      <c r="P482" t="inlineStr">
        <is>
          <t>4x4 - Isuzu - D-max - NS03 TTSTow Chipper - Jenson - A530L - 5521063948Tipper - Nissan - Navara - NS02TTS</t>
        </is>
      </c>
      <c r="Q482" t="inlineStr">
        <is>
          <t>UKPN</t>
        </is>
      </c>
      <c r="R482" t="b">
        <v>0</v>
      </c>
    </row>
    <row r="483">
      <c r="A483" t="inlineStr">
        <is>
          <t>29 Apr 2025 / 7940 HRJ Tree Services LTD</t>
        </is>
      </c>
      <c r="B483" t="inlineStr">
        <is>
          <t>Utilities &amp; Inland Waterways</t>
        </is>
      </c>
      <c r="C483" t="inlineStr">
        <is>
          <t>UKPN</t>
        </is>
      </c>
      <c r="D483" t="inlineStr">
        <is>
          <t xml:space="preserve">Toyota </t>
        </is>
      </c>
      <c r="E483" t="inlineStr">
        <is>
          <t>Hilux</t>
        </is>
      </c>
      <c r="F483" t="inlineStr">
        <is>
          <t>LL70GZP</t>
        </is>
      </c>
      <c r="G483" t="inlineStr">
        <is>
          <t>Harry Wilson</t>
        </is>
      </c>
      <c r="H483" t="inlineStr">
        <is>
          <t>4x4</t>
        </is>
      </c>
      <c r="I483" t="inlineStr">
        <is>
          <t>Daily/ Weekly Vehicle Inspection</t>
        </is>
      </c>
      <c r="J483" t="inlineStr">
        <is>
          <t>N/A</t>
        </is>
      </c>
      <c r="K483" t="inlineStr">
        <is>
          <t>7940 HRJ Tree Services LTD</t>
        </is>
      </c>
      <c r="L483" t="inlineStr">
        <is>
          <t>29/04/2025 10:57</t>
        </is>
      </c>
      <c r="M483" t="inlineStr">
        <is>
          <t>None</t>
        </is>
      </c>
      <c r="N483" t="inlineStr">
        <is>
          <t>&lt;p&gt;&lt;/p&gt;</t>
        </is>
      </c>
      <c r="O483" t="inlineStr"/>
      <c r="P483" t="inlineStr">
        <is>
          <t>4x4 - Toyota  - Hilux - LL70GZP</t>
        </is>
      </c>
      <c r="Q483" t="inlineStr">
        <is>
          <t>UKPN</t>
        </is>
      </c>
      <c r="R483" t="b">
        <v>0</v>
      </c>
    </row>
    <row r="484">
      <c r="A484" t="inlineStr">
        <is>
          <t>30 Apr 2025 / 7940 HRJ Tree Services LTD</t>
        </is>
      </c>
      <c r="B484" t="inlineStr">
        <is>
          <t>Utilities &amp; Inland Waterways</t>
        </is>
      </c>
      <c r="C484" t="inlineStr">
        <is>
          <t>UKPN</t>
        </is>
      </c>
      <c r="D484" t="inlineStr">
        <is>
          <t xml:space="preserve">Toyota </t>
        </is>
      </c>
      <c r="E484" t="inlineStr">
        <is>
          <t>Hilux</t>
        </is>
      </c>
      <c r="F484" t="inlineStr">
        <is>
          <t>LL70GZP</t>
        </is>
      </c>
      <c r="G484" t="inlineStr">
        <is>
          <t xml:space="preserve">Harry Wilson </t>
        </is>
      </c>
      <c r="H484" t="inlineStr">
        <is>
          <t>4x4</t>
        </is>
      </c>
      <c r="I484" t="inlineStr">
        <is>
          <t>Daily/ Weekly Vehicle Inspection</t>
        </is>
      </c>
      <c r="J484" t="inlineStr">
        <is>
          <t>N/A</t>
        </is>
      </c>
      <c r="K484" t="inlineStr">
        <is>
          <t>7940 HRJ Tree Services LTD</t>
        </is>
      </c>
      <c r="L484" t="inlineStr">
        <is>
          <t>30/04/2025 07:54</t>
        </is>
      </c>
      <c r="M484" t="inlineStr">
        <is>
          <t>None</t>
        </is>
      </c>
      <c r="N484" t="inlineStr">
        <is>
          <t>&lt;p&gt;&lt;/p&gt;</t>
        </is>
      </c>
      <c r="O484" t="inlineStr"/>
      <c r="P484" t="inlineStr">
        <is>
          <t>4x4 - Toyota  - Hilux - LL70GZP</t>
        </is>
      </c>
      <c r="Q484" t="inlineStr">
        <is>
          <t>UKPN</t>
        </is>
      </c>
      <c r="R484" t="b">
        <v>0</v>
      </c>
    </row>
    <row r="485">
      <c r="A485" t="inlineStr">
        <is>
          <t>30 Apr 2025 / 7889 Tree Tech Suffolk Ltd</t>
        </is>
      </c>
      <c r="B485" t="inlineStr">
        <is>
          <t>Utilities &amp; Inland Waterways</t>
        </is>
      </c>
      <c r="C485" t="inlineStr">
        <is>
          <t>UKPN</t>
        </is>
      </c>
      <c r="D485" t="inlineStr">
        <is>
          <t>Isuzu</t>
        </is>
      </c>
      <c r="E485" t="inlineStr">
        <is>
          <t>D-max</t>
        </is>
      </c>
      <c r="F485" t="inlineStr">
        <is>
          <t>NS03 TTSTow Chipper</t>
        </is>
      </c>
      <c r="G485" t="inlineStr">
        <is>
          <t xml:space="preserve">Dan brown Danny Appleby Danny Appleby </t>
        </is>
      </c>
      <c r="H485" t="inlineStr">
        <is>
          <t>4x4Towed ChipperTipper</t>
        </is>
      </c>
      <c r="I485" t="inlineStr">
        <is>
          <t>Daily/ Weekly Vehicle Inspection</t>
        </is>
      </c>
      <c r="J485" t="inlineStr">
        <is>
          <t>N/A</t>
        </is>
      </c>
      <c r="K485" t="inlineStr">
        <is>
          <t>7889 Tree Tech Suffolk Ltd</t>
        </is>
      </c>
      <c r="L485" t="inlineStr">
        <is>
          <t>30/04/2025 07:57</t>
        </is>
      </c>
      <c r="M485" t="inlineStr">
        <is>
          <t>None</t>
        </is>
      </c>
      <c r="N485" t="inlineStr">
        <is>
          <t>&lt;p&gt;&lt;/p&gt;</t>
        </is>
      </c>
      <c r="O485" t="inlineStr"/>
      <c r="P485" t="inlineStr">
        <is>
          <t>4x4 - Isuzu - D-max - NS03 TTSTow Chipper - Jenson - A530L - 5521063948Tipper - Nissan - Navara - NS02TTS</t>
        </is>
      </c>
      <c r="Q485" t="inlineStr">
        <is>
          <t>UKPN</t>
        </is>
      </c>
      <c r="R485" t="b">
        <v>0</v>
      </c>
    </row>
    <row r="486">
      <c r="A486" t="inlineStr">
        <is>
          <t>30 Apr 2025 / Mathew Dunn</t>
        </is>
      </c>
      <c r="B486" t="inlineStr">
        <is>
          <t>Utilities &amp; Inland Waterways</t>
        </is>
      </c>
      <c r="C486" t="inlineStr">
        <is>
          <t>SSE</t>
        </is>
      </c>
      <c r="D486" t="inlineStr">
        <is>
          <t>Petrol</t>
        </is>
      </c>
      <c r="E486" t="inlineStr">
        <is>
          <t xml:space="preserve">Vauxhall </t>
        </is>
      </c>
      <c r="F486" t="inlineStr">
        <is>
          <t>Mokka</t>
        </is>
      </c>
      <c r="G486" t="inlineStr">
        <is>
          <t>Mathew dunn</t>
        </is>
      </c>
      <c r="H486" t="inlineStr">
        <is>
          <t>Car - Petrol</t>
        </is>
      </c>
      <c r="I486" t="inlineStr">
        <is>
          <t>Daily/ Weekly Vehicle Inspection</t>
        </is>
      </c>
      <c r="J486" t="inlineStr">
        <is>
          <t>N/A</t>
        </is>
      </c>
      <c r="K486" t="inlineStr">
        <is>
          <t>Mathew Dunn</t>
        </is>
      </c>
      <c r="L486" t="inlineStr">
        <is>
          <t>30/04/2025 14:55</t>
        </is>
      </c>
      <c r="M486" t="inlineStr">
        <is>
          <t>None</t>
        </is>
      </c>
      <c r="N486" t="inlineStr">
        <is>
          <t>&lt;p&gt;&lt;/p&gt;</t>
        </is>
      </c>
      <c r="O486" t="inlineStr"/>
      <c r="P486" t="inlineStr">
        <is>
          <t>Car - Petrol - Vauxhall  - Mokka - DY23NLD</t>
        </is>
      </c>
      <c r="Q486" t="inlineStr">
        <is>
          <t>SSE</t>
        </is>
      </c>
      <c r="R486" t="b">
        <v>0</v>
      </c>
    </row>
    <row r="487">
      <c r="A487" t="inlineStr">
        <is>
          <t>1 May 2025 / 7889 Tree Tech Suffolk Ltd</t>
        </is>
      </c>
      <c r="B487" t="inlineStr">
        <is>
          <t>Utilities &amp; Inland Waterways</t>
        </is>
      </c>
      <c r="C487" t="inlineStr">
        <is>
          <t>UKPN</t>
        </is>
      </c>
      <c r="D487" t="inlineStr">
        <is>
          <t>Isuzu</t>
        </is>
      </c>
      <c r="E487" t="inlineStr">
        <is>
          <t>D-max</t>
        </is>
      </c>
      <c r="F487" t="inlineStr">
        <is>
          <t>NS03 TTSTow Chipper</t>
        </is>
      </c>
      <c r="G487" t="inlineStr">
        <is>
          <t xml:space="preserve">Dan brown Danny Appleby Danny Appleby </t>
        </is>
      </c>
      <c r="H487" t="inlineStr">
        <is>
          <t>4x4Towed ChipperTipper</t>
        </is>
      </c>
      <c r="I487" t="inlineStr">
        <is>
          <t>Daily/ Weekly Vehicle Inspection</t>
        </is>
      </c>
      <c r="J487" t="inlineStr">
        <is>
          <t>N/A</t>
        </is>
      </c>
      <c r="K487" t="inlineStr">
        <is>
          <t>7889 Tree Tech Suffolk Ltd</t>
        </is>
      </c>
      <c r="L487" t="inlineStr">
        <is>
          <t>01/05/2025 07:55</t>
        </is>
      </c>
      <c r="M487" t="inlineStr">
        <is>
          <t>None</t>
        </is>
      </c>
      <c r="N487" t="inlineStr">
        <is>
          <t>&lt;p&gt;&lt;/p&gt;</t>
        </is>
      </c>
      <c r="O487" t="inlineStr"/>
      <c r="P487" t="inlineStr">
        <is>
          <t>4x4 - Isuzu - D-max - NS03 TTSTow Chipper - Jenson - A530L - 5521063948Tipper - Nissan - Navara - NS02TTS</t>
        </is>
      </c>
      <c r="Q487" t="inlineStr">
        <is>
          <t>UKPN</t>
        </is>
      </c>
      <c r="R487" t="b">
        <v>0</v>
      </c>
    </row>
    <row r="488">
      <c r="A488" t="inlineStr">
        <is>
          <t>2 May 2025 / 7889 Tree Tech Suffolk Ltd</t>
        </is>
      </c>
      <c r="B488" t="inlineStr">
        <is>
          <t>Utilities &amp; Inland Waterways</t>
        </is>
      </c>
      <c r="C488" t="inlineStr">
        <is>
          <t>UKPN</t>
        </is>
      </c>
      <c r="D488" t="inlineStr">
        <is>
          <t>Isuzu</t>
        </is>
      </c>
      <c r="E488" t="inlineStr">
        <is>
          <t>D-max</t>
        </is>
      </c>
      <c r="F488" t="inlineStr">
        <is>
          <t>NS03 TTSTow Chipper</t>
        </is>
      </c>
      <c r="G488" t="inlineStr">
        <is>
          <t xml:space="preserve">Dan brown Danny Appleby Danny Appleby </t>
        </is>
      </c>
      <c r="H488" t="inlineStr">
        <is>
          <t>4x4Towed ChipperTipper</t>
        </is>
      </c>
      <c r="I488" t="inlineStr">
        <is>
          <t>Daily/ Weekly Vehicle Inspection</t>
        </is>
      </c>
      <c r="J488" t="inlineStr">
        <is>
          <t>N/A</t>
        </is>
      </c>
      <c r="K488" t="inlineStr">
        <is>
          <t>7889 Tree Tech Suffolk Ltd</t>
        </is>
      </c>
      <c r="L488" t="inlineStr">
        <is>
          <t>02/05/2025 07:57</t>
        </is>
      </c>
      <c r="M488" t="inlineStr">
        <is>
          <t>None</t>
        </is>
      </c>
      <c r="N488" t="inlineStr">
        <is>
          <t>&lt;p&gt;&lt;/p&gt;</t>
        </is>
      </c>
      <c r="O488" t="inlineStr"/>
      <c r="P488" t="inlineStr">
        <is>
          <t>4x4 - Isuzu - D-max - NS03 TTSTow Chipper - Jenson - A530L - 5521063948Tipper - Nissan - Navara - NS02TTS</t>
        </is>
      </c>
      <c r="Q488" t="inlineStr">
        <is>
          <t>UKPN</t>
        </is>
      </c>
      <c r="R488" t="b">
        <v>0</v>
      </c>
    </row>
    <row r="489">
      <c r="A489" t="inlineStr">
        <is>
          <t>6 May 2025 / 7889 Tree Tech Suffolk Ltd</t>
        </is>
      </c>
      <c r="B489" t="inlineStr">
        <is>
          <t>Utilities &amp; Inland Waterways</t>
        </is>
      </c>
      <c r="C489" t="inlineStr">
        <is>
          <t>UKPN</t>
        </is>
      </c>
      <c r="D489" t="inlineStr">
        <is>
          <t>Isuzu</t>
        </is>
      </c>
      <c r="E489" t="inlineStr">
        <is>
          <t>D-max</t>
        </is>
      </c>
      <c r="F489" t="inlineStr">
        <is>
          <t>NS03 TTSTow Chipper</t>
        </is>
      </c>
      <c r="G489" t="inlineStr">
        <is>
          <t xml:space="preserve">Danny Appleby Danny Appleby Nikki sparrow </t>
        </is>
      </c>
      <c r="H489" t="inlineStr">
        <is>
          <t>4x4Towed ChipperTipper</t>
        </is>
      </c>
      <c r="I489" t="inlineStr">
        <is>
          <t>Daily/ Weekly Vehicle Inspection</t>
        </is>
      </c>
      <c r="J489" t="inlineStr">
        <is>
          <t>N/A</t>
        </is>
      </c>
      <c r="K489" t="inlineStr">
        <is>
          <t>7889 Tree Tech Suffolk Ltd</t>
        </is>
      </c>
      <c r="L489" t="inlineStr">
        <is>
          <t>06/05/2025 07:58</t>
        </is>
      </c>
      <c r="M489" t="inlineStr">
        <is>
          <t>None</t>
        </is>
      </c>
      <c r="N489" t="inlineStr">
        <is>
          <t>&lt;p&gt;&lt;/p&gt;</t>
        </is>
      </c>
      <c r="O489" t="inlineStr"/>
      <c r="P489" t="inlineStr">
        <is>
          <t>4x4 - Isuzu - D-max - NS03 TTSTow Chipper - Jenson - A530L - 5521063948Tipper - Nissan - Navara - NS02TTS</t>
        </is>
      </c>
      <c r="Q489" t="inlineStr">
        <is>
          <t>UKPN</t>
        </is>
      </c>
      <c r="R489" t="b">
        <v>0</v>
      </c>
    </row>
    <row r="490">
      <c r="A490" t="inlineStr">
        <is>
          <t>6 May 2025 / 7940 HRJ Tree Services LTD</t>
        </is>
      </c>
      <c r="B490" t="inlineStr">
        <is>
          <t>Utilities &amp; Inland Waterways</t>
        </is>
      </c>
      <c r="C490" t="inlineStr">
        <is>
          <t>UKPN</t>
        </is>
      </c>
      <c r="D490" t="inlineStr">
        <is>
          <t xml:space="preserve">Toyota </t>
        </is>
      </c>
      <c r="E490" t="inlineStr">
        <is>
          <t>Hilux</t>
        </is>
      </c>
      <c r="F490" t="inlineStr">
        <is>
          <t>LL70GZP</t>
        </is>
      </c>
      <c r="G490" t="inlineStr">
        <is>
          <t>Harry Wilson</t>
        </is>
      </c>
      <c r="H490" t="inlineStr">
        <is>
          <t>4x4</t>
        </is>
      </c>
      <c r="I490" t="inlineStr">
        <is>
          <t>Daily/ Weekly Vehicle Inspection</t>
        </is>
      </c>
      <c r="J490" t="inlineStr">
        <is>
          <t>N/A</t>
        </is>
      </c>
      <c r="K490" t="inlineStr">
        <is>
          <t>7940 HRJ Tree Services LTD</t>
        </is>
      </c>
      <c r="L490" t="inlineStr">
        <is>
          <t>06/05/2025 09:58</t>
        </is>
      </c>
      <c r="M490" t="inlineStr">
        <is>
          <t>None</t>
        </is>
      </c>
      <c r="N490" t="inlineStr">
        <is>
          <t>&lt;p&gt;&lt;/p&gt;</t>
        </is>
      </c>
      <c r="O490" t="inlineStr"/>
      <c r="P490" t="inlineStr">
        <is>
          <t>4x4 - Toyota  - Hilux - LL70GZP</t>
        </is>
      </c>
      <c r="Q490" t="inlineStr">
        <is>
          <t>UKPN</t>
        </is>
      </c>
      <c r="R490" t="b">
        <v>0</v>
      </c>
    </row>
    <row r="491">
      <c r="A491" t="inlineStr">
        <is>
          <t>7 May 2025 / 7889 Tree Tech Suffolk Ltd</t>
        </is>
      </c>
      <c r="B491" t="inlineStr">
        <is>
          <t>Utilities &amp; Inland Waterways</t>
        </is>
      </c>
      <c r="C491" t="inlineStr">
        <is>
          <t>UKPN</t>
        </is>
      </c>
      <c r="D491" t="inlineStr">
        <is>
          <t>Isuzu</t>
        </is>
      </c>
      <c r="E491" t="inlineStr">
        <is>
          <t>D-max</t>
        </is>
      </c>
      <c r="F491" t="inlineStr">
        <is>
          <t>NS03 TTSTow Chipper</t>
        </is>
      </c>
      <c r="G491" t="inlineStr">
        <is>
          <t xml:space="preserve">Danny Appleby Danny Appleby Nikki sparrow </t>
        </is>
      </c>
      <c r="H491" t="inlineStr">
        <is>
          <t>4x4Towed ChipperTipper</t>
        </is>
      </c>
      <c r="I491" t="inlineStr">
        <is>
          <t>Daily/ Weekly Vehicle Inspection</t>
        </is>
      </c>
      <c r="J491" t="inlineStr">
        <is>
          <t>N/A</t>
        </is>
      </c>
      <c r="K491" t="inlineStr">
        <is>
          <t>7889 Tree Tech Suffolk Ltd</t>
        </is>
      </c>
      <c r="L491" t="inlineStr">
        <is>
          <t>07/05/2025 07:58</t>
        </is>
      </c>
      <c r="M491" t="inlineStr">
        <is>
          <t>None</t>
        </is>
      </c>
      <c r="N491" t="inlineStr">
        <is>
          <t>&lt;p&gt;&lt;/p&gt;</t>
        </is>
      </c>
      <c r="O491" t="inlineStr"/>
      <c r="P491" t="inlineStr">
        <is>
          <t>4x4 - Isuzu - D-max - NS03 TTSTow Chipper - Jenson - A530L - 5521063948Tipper - Nissan - Navara - NS02TTS</t>
        </is>
      </c>
      <c r="Q491" t="inlineStr">
        <is>
          <t>UKPN</t>
        </is>
      </c>
      <c r="R491" t="b">
        <v>0</v>
      </c>
    </row>
    <row r="492">
      <c r="A492" t="inlineStr">
        <is>
          <t>7 May 2025 / 7940 HRJ Tree Services LTD</t>
        </is>
      </c>
      <c r="B492" t="inlineStr">
        <is>
          <t>Utilities &amp; Inland Waterways</t>
        </is>
      </c>
      <c r="C492" t="inlineStr">
        <is>
          <t>UKPN</t>
        </is>
      </c>
      <c r="D492" t="inlineStr">
        <is>
          <t xml:space="preserve">Toyota </t>
        </is>
      </c>
      <c r="E492" t="inlineStr">
        <is>
          <t>Hilux</t>
        </is>
      </c>
      <c r="F492" t="inlineStr">
        <is>
          <t>LL70GZP</t>
        </is>
      </c>
      <c r="G492" t="inlineStr">
        <is>
          <t xml:space="preserve">Harry Wilson </t>
        </is>
      </c>
      <c r="H492" t="inlineStr">
        <is>
          <t>Tipper</t>
        </is>
      </c>
      <c r="I492" t="inlineStr">
        <is>
          <t>Daily/ Weekly Vehicle Inspection</t>
        </is>
      </c>
      <c r="J492" t="inlineStr">
        <is>
          <t>N/A</t>
        </is>
      </c>
      <c r="K492" t="inlineStr">
        <is>
          <t>7940 HRJ Tree Services LTD</t>
        </is>
      </c>
      <c r="L492" t="inlineStr">
        <is>
          <t>07/05/2025 08:57</t>
        </is>
      </c>
      <c r="M492" t="inlineStr">
        <is>
          <t>None</t>
        </is>
      </c>
      <c r="N492" t="inlineStr">
        <is>
          <t>&lt;p&gt;&lt;/p&gt;</t>
        </is>
      </c>
      <c r="O492" t="inlineStr"/>
      <c r="P492" t="inlineStr">
        <is>
          <t>4x4 - Toyota  - Hilux - LL70GZP</t>
        </is>
      </c>
      <c r="Q492" t="inlineStr">
        <is>
          <t>UKPN</t>
        </is>
      </c>
      <c r="R492" t="b">
        <v>0</v>
      </c>
    </row>
    <row r="493">
      <c r="A493" t="inlineStr">
        <is>
          <t>8 May 2025 / 7940 HRJ Tree Services LTD</t>
        </is>
      </c>
      <c r="B493" t="inlineStr">
        <is>
          <t>Utilities &amp; Inland Waterways</t>
        </is>
      </c>
      <c r="C493" t="inlineStr">
        <is>
          <t>UKPN</t>
        </is>
      </c>
      <c r="D493" t="inlineStr">
        <is>
          <t xml:space="preserve">Toyota </t>
        </is>
      </c>
      <c r="E493" t="inlineStr">
        <is>
          <t>Hilux</t>
        </is>
      </c>
      <c r="F493" t="inlineStr">
        <is>
          <t>LL70GZP</t>
        </is>
      </c>
      <c r="G493" t="inlineStr">
        <is>
          <t xml:space="preserve">Harry Wilson </t>
        </is>
      </c>
      <c r="H493" t="inlineStr">
        <is>
          <t>Tipper</t>
        </is>
      </c>
      <c r="I493" t="inlineStr">
        <is>
          <t>Daily/ Weekly Vehicle Inspection</t>
        </is>
      </c>
      <c r="J493" t="inlineStr">
        <is>
          <t>N/A</t>
        </is>
      </c>
      <c r="K493" t="inlineStr">
        <is>
          <t>7940 HRJ Tree Services LTD</t>
        </is>
      </c>
      <c r="L493" t="inlineStr">
        <is>
          <t>08/05/2025 07:58</t>
        </is>
      </c>
      <c r="M493" t="inlineStr">
        <is>
          <t>None</t>
        </is>
      </c>
      <c r="N493" t="inlineStr">
        <is>
          <t>&lt;p&gt;&lt;/p&gt;</t>
        </is>
      </c>
      <c r="O493" t="inlineStr"/>
      <c r="P493" t="inlineStr">
        <is>
          <t>4x4 - Toyota  - Hilux - LL70GZP</t>
        </is>
      </c>
      <c r="Q493" t="inlineStr">
        <is>
          <t>UKPN</t>
        </is>
      </c>
      <c r="R493" t="b">
        <v>0</v>
      </c>
    </row>
    <row r="494">
      <c r="A494" t="inlineStr">
        <is>
          <t>8 May 2025 / 7889 Tree Tech Suffolk Ltd</t>
        </is>
      </c>
      <c r="B494" t="inlineStr">
        <is>
          <t>Utilities &amp; Inland Waterways</t>
        </is>
      </c>
      <c r="C494" t="inlineStr">
        <is>
          <t>UKPN</t>
        </is>
      </c>
      <c r="D494" t="inlineStr">
        <is>
          <t>Isuzu</t>
        </is>
      </c>
      <c r="E494" t="inlineStr">
        <is>
          <t>D-max</t>
        </is>
      </c>
      <c r="F494" t="inlineStr">
        <is>
          <t>NS03 TTSTow Chipper</t>
        </is>
      </c>
      <c r="G494" t="inlineStr">
        <is>
          <t xml:space="preserve">Danny Appleby Danny Appleby Nikki sparrow </t>
        </is>
      </c>
      <c r="H494" t="inlineStr">
        <is>
          <t>4x4Towed ChipperTipper</t>
        </is>
      </c>
      <c r="I494" t="inlineStr">
        <is>
          <t>Daily/ Weekly Vehicle Inspection</t>
        </is>
      </c>
      <c r="J494" t="inlineStr">
        <is>
          <t>N/A</t>
        </is>
      </c>
      <c r="K494" t="inlineStr">
        <is>
          <t>7889 Tree Tech Suffolk Ltd</t>
        </is>
      </c>
      <c r="L494" t="inlineStr">
        <is>
          <t>08/05/2025 08:02</t>
        </is>
      </c>
      <c r="M494" t="inlineStr">
        <is>
          <t>None</t>
        </is>
      </c>
      <c r="N494" t="inlineStr">
        <is>
          <t>&lt;p&gt;&lt;/p&gt;</t>
        </is>
      </c>
      <c r="O494" t="inlineStr"/>
      <c r="P494" t="inlineStr">
        <is>
          <t>4x4 - Isuzu - D-max - NS03 TTSTow Chipper - Jenson - A530L - 5521063948Tipper - Nissan - Navara - NS02TTS</t>
        </is>
      </c>
      <c r="Q494" t="inlineStr">
        <is>
          <t>UKPN</t>
        </is>
      </c>
      <c r="R494" t="b">
        <v>0</v>
      </c>
    </row>
    <row r="495">
      <c r="A495" t="inlineStr">
        <is>
          <t>9 May 2025 / 7889 Tree Tech Suffolk Ltd</t>
        </is>
      </c>
      <c r="B495" t="inlineStr">
        <is>
          <t>Utilities &amp; Inland Waterways</t>
        </is>
      </c>
      <c r="C495" t="inlineStr">
        <is>
          <t>UKPN</t>
        </is>
      </c>
      <c r="D495" t="inlineStr">
        <is>
          <t>Isuzu</t>
        </is>
      </c>
      <c r="E495" t="inlineStr">
        <is>
          <t>D-max</t>
        </is>
      </c>
      <c r="F495" t="inlineStr">
        <is>
          <t>NS03 TTSTow Chipper</t>
        </is>
      </c>
      <c r="G495" t="inlineStr">
        <is>
          <t xml:space="preserve">Danny Appleby Danny Appleby Nikki sparrow </t>
        </is>
      </c>
      <c r="H495" t="inlineStr">
        <is>
          <t>4x4Towed ChipperTipper</t>
        </is>
      </c>
      <c r="I495" t="inlineStr">
        <is>
          <t>Daily/ Weekly Vehicle Inspection</t>
        </is>
      </c>
      <c r="J495" t="inlineStr">
        <is>
          <t>N/A</t>
        </is>
      </c>
      <c r="K495" t="inlineStr">
        <is>
          <t>7889 Tree Tech Suffolk Ltd</t>
        </is>
      </c>
      <c r="L495" t="inlineStr">
        <is>
          <t>09/05/2025 07:58</t>
        </is>
      </c>
      <c r="M495" t="inlineStr">
        <is>
          <t>None</t>
        </is>
      </c>
      <c r="N495" t="inlineStr">
        <is>
          <t>&lt;p&gt;&lt;/p&gt;</t>
        </is>
      </c>
      <c r="O495" t="inlineStr"/>
      <c r="P495" t="inlineStr">
        <is>
          <t>4x4 - Isuzu - D-max - NS03 TTSTow Chipper - Jenson - A530L - 5521063948Tipper - Nissan - Navara - NS02TTS</t>
        </is>
      </c>
      <c r="Q495" t="inlineStr">
        <is>
          <t>UKPN</t>
        </is>
      </c>
      <c r="R495" t="b">
        <v>0</v>
      </c>
    </row>
    <row r="496">
      <c r="A496" t="inlineStr">
        <is>
          <t>9 May 2025 / 7940 HRJ Tree Services LTD</t>
        </is>
      </c>
      <c r="B496" t="inlineStr">
        <is>
          <t>Utilities &amp; Inland Waterways</t>
        </is>
      </c>
      <c r="C496" t="inlineStr">
        <is>
          <t>UKPN</t>
        </is>
      </c>
      <c r="D496" t="inlineStr">
        <is>
          <t xml:space="preserve">Toyota </t>
        </is>
      </c>
      <c r="E496" t="inlineStr">
        <is>
          <t>Hilux</t>
        </is>
      </c>
      <c r="F496" t="inlineStr">
        <is>
          <t>LL70GZP</t>
        </is>
      </c>
      <c r="G496" t="inlineStr">
        <is>
          <t xml:space="preserve">Harry Wilson </t>
        </is>
      </c>
      <c r="H496" t="inlineStr">
        <is>
          <t>4x4</t>
        </is>
      </c>
      <c r="I496" t="inlineStr">
        <is>
          <t>Daily/ Weekly Vehicle Inspection</t>
        </is>
      </c>
      <c r="J496" t="inlineStr">
        <is>
          <t>N/A</t>
        </is>
      </c>
      <c r="K496" t="inlineStr">
        <is>
          <t>7940 HRJ Tree Services LTD</t>
        </is>
      </c>
      <c r="L496" t="inlineStr">
        <is>
          <t>09/05/2025 10:57</t>
        </is>
      </c>
      <c r="M496" t="inlineStr">
        <is>
          <t>None</t>
        </is>
      </c>
      <c r="N496" t="inlineStr">
        <is>
          <t>&lt;p&gt;&lt;/p&gt;</t>
        </is>
      </c>
      <c r="O496" t="inlineStr"/>
      <c r="P496" t="inlineStr">
        <is>
          <t>4x4 - Toyota  - Hilux - LL70GZP</t>
        </is>
      </c>
      <c r="Q496" t="inlineStr">
        <is>
          <t>UKPN</t>
        </is>
      </c>
      <c r="R496" t="b">
        <v>0</v>
      </c>
    </row>
    <row r="497">
      <c r="A497" t="inlineStr">
        <is>
          <t>12 May 2025 / 7940 HRJ Tree Services LTD</t>
        </is>
      </c>
      <c r="B497" t="inlineStr">
        <is>
          <t>Utilities &amp; Inland Waterways</t>
        </is>
      </c>
      <c r="C497" t="inlineStr">
        <is>
          <t>UKPN</t>
        </is>
      </c>
      <c r="D497" t="inlineStr">
        <is>
          <t xml:space="preserve">Toyota </t>
        </is>
      </c>
      <c r="E497" t="inlineStr">
        <is>
          <t>Hilux</t>
        </is>
      </c>
      <c r="F497" t="inlineStr">
        <is>
          <t>LL70GZP</t>
        </is>
      </c>
      <c r="G497" t="inlineStr">
        <is>
          <t xml:space="preserve">Harry Wilson </t>
        </is>
      </c>
      <c r="H497" t="inlineStr">
        <is>
          <t>Tipper</t>
        </is>
      </c>
      <c r="I497" t="inlineStr">
        <is>
          <t>Daily/ Weekly Vehicle Inspection</t>
        </is>
      </c>
      <c r="J497" t="inlineStr">
        <is>
          <t>N/A</t>
        </is>
      </c>
      <c r="K497" t="inlineStr">
        <is>
          <t>7940 HRJ Tree Services LTD</t>
        </is>
      </c>
      <c r="L497" t="inlineStr">
        <is>
          <t>12/05/2025 06:58</t>
        </is>
      </c>
      <c r="M497" t="inlineStr">
        <is>
          <t>None</t>
        </is>
      </c>
      <c r="N497" t="inlineStr">
        <is>
          <t>&lt;p&gt;&lt;/p&gt;</t>
        </is>
      </c>
      <c r="O497" t="inlineStr"/>
      <c r="P497" t="inlineStr">
        <is>
          <t>4x4 - Toyota  - Hilux - LL70GZP</t>
        </is>
      </c>
      <c r="Q497" t="inlineStr">
        <is>
          <t>UKPN</t>
        </is>
      </c>
      <c r="R497" t="b">
        <v>0</v>
      </c>
    </row>
    <row r="498">
      <c r="A498" t="inlineStr">
        <is>
          <t>12 May 2025 / 7940 HRJ Tree Services LTD</t>
        </is>
      </c>
      <c r="B498" t="inlineStr">
        <is>
          <t>Utilities &amp; Inland Waterways</t>
        </is>
      </c>
      <c r="C498" t="inlineStr">
        <is>
          <t>UKPN</t>
        </is>
      </c>
      <c r="D498" t="inlineStr">
        <is>
          <t xml:space="preserve">Toyota </t>
        </is>
      </c>
      <c r="E498" t="inlineStr">
        <is>
          <t>Hilux</t>
        </is>
      </c>
      <c r="F498" t="inlineStr">
        <is>
          <t>LL70GZP</t>
        </is>
      </c>
      <c r="G498" t="inlineStr">
        <is>
          <t xml:space="preserve">Harry Wilson </t>
        </is>
      </c>
      <c r="H498" t="inlineStr">
        <is>
          <t>Tipper</t>
        </is>
      </c>
      <c r="I498" t="inlineStr">
        <is>
          <t>Daily/ Weekly Vehicle Inspection</t>
        </is>
      </c>
      <c r="J498" t="inlineStr">
        <is>
          <t>N/A</t>
        </is>
      </c>
      <c r="K498" t="inlineStr">
        <is>
          <t>7940 HRJ Tree Services LTD</t>
        </is>
      </c>
      <c r="L498" t="inlineStr">
        <is>
          <t>12/05/2025 06:58</t>
        </is>
      </c>
      <c r="M498" t="inlineStr">
        <is>
          <t>None</t>
        </is>
      </c>
      <c r="N498" t="inlineStr">
        <is>
          <t>&lt;p&gt;&lt;/p&gt;</t>
        </is>
      </c>
      <c r="O498" t="inlineStr"/>
      <c r="P498" t="inlineStr">
        <is>
          <t>4x4 - Toyota  - Hilux - LL70GZP</t>
        </is>
      </c>
      <c r="Q498" t="inlineStr">
        <is>
          <t>UKPN</t>
        </is>
      </c>
      <c r="R498" t="b">
        <v>0</v>
      </c>
    </row>
    <row r="499">
      <c r="A499" t="inlineStr">
        <is>
          <t>12 May 2025 / 7889 Tree Tech Suffolk Ltd</t>
        </is>
      </c>
      <c r="B499" t="inlineStr">
        <is>
          <t>Utilities &amp; Inland Waterways</t>
        </is>
      </c>
      <c r="C499" t="inlineStr">
        <is>
          <t>UKPN</t>
        </is>
      </c>
      <c r="D499" t="inlineStr">
        <is>
          <t>Isuzu</t>
        </is>
      </c>
      <c r="E499" t="inlineStr">
        <is>
          <t>D-max</t>
        </is>
      </c>
      <c r="F499" t="inlineStr">
        <is>
          <t>NS03 TTSTow Chipper</t>
        </is>
      </c>
      <c r="G499" t="inlineStr">
        <is>
          <t xml:space="preserve">Danny Appleby Nikki sparrow Nikki sparrow </t>
        </is>
      </c>
      <c r="H499" t="inlineStr">
        <is>
          <t>4x4Towed ChipperTipper</t>
        </is>
      </c>
      <c r="I499" t="inlineStr">
        <is>
          <t>Daily/ Weekly Vehicle Inspection</t>
        </is>
      </c>
      <c r="J499" t="inlineStr">
        <is>
          <t>N/A</t>
        </is>
      </c>
      <c r="K499" t="inlineStr">
        <is>
          <t>7889 Tree Tech Suffolk Ltd</t>
        </is>
      </c>
      <c r="L499" t="inlineStr">
        <is>
          <t>12/05/2025 08:06</t>
        </is>
      </c>
      <c r="M499" t="inlineStr">
        <is>
          <t>None</t>
        </is>
      </c>
      <c r="N499" t="inlineStr">
        <is>
          <t>&lt;p&gt;&lt;/p&gt;</t>
        </is>
      </c>
      <c r="O499" t="inlineStr"/>
      <c r="P499" t="inlineStr">
        <is>
          <t>4x4 - Isuzu - D-max - NS03 TTSTow Chipper - Jenson - A530L - 5521063948Tipper - Nissan - Navara - NS02TTS</t>
        </is>
      </c>
      <c r="Q499" t="inlineStr">
        <is>
          <t>UKPN</t>
        </is>
      </c>
      <c r="R499" t="b">
        <v>0</v>
      </c>
    </row>
    <row r="500">
      <c r="A500" t="inlineStr">
        <is>
          <t>13 May 2025 / 7889 Tree Tech Suffolk Ltd</t>
        </is>
      </c>
      <c r="B500" t="inlineStr">
        <is>
          <t>Utilities &amp; Inland Waterways</t>
        </is>
      </c>
      <c r="C500" t="inlineStr">
        <is>
          <t>UKPN</t>
        </is>
      </c>
      <c r="D500" t="inlineStr">
        <is>
          <t>Isuzu</t>
        </is>
      </c>
      <c r="E500" t="inlineStr">
        <is>
          <t>D-max</t>
        </is>
      </c>
      <c r="F500" t="inlineStr">
        <is>
          <t>NS03 TTSTow Chipper</t>
        </is>
      </c>
      <c r="G500" t="inlineStr">
        <is>
          <t xml:space="preserve">Danny Appleby Nikki sparrow Nikki sparrow </t>
        </is>
      </c>
      <c r="H500" t="inlineStr">
        <is>
          <t>4x4Towed ChipperTipper</t>
        </is>
      </c>
      <c r="I500" t="inlineStr">
        <is>
          <t>Daily/ Weekly Vehicle Inspection</t>
        </is>
      </c>
      <c r="J500" t="inlineStr">
        <is>
          <t>N/A</t>
        </is>
      </c>
      <c r="K500" t="inlineStr">
        <is>
          <t>7889 Tree Tech Suffolk Ltd</t>
        </is>
      </c>
      <c r="L500" t="inlineStr">
        <is>
          <t>13/05/2025 07:58</t>
        </is>
      </c>
      <c r="M500" t="inlineStr">
        <is>
          <t>None</t>
        </is>
      </c>
      <c r="N500" t="inlineStr">
        <is>
          <t>&lt;p&gt;&lt;/p&gt;</t>
        </is>
      </c>
      <c r="O500" t="inlineStr"/>
      <c r="P500" t="inlineStr">
        <is>
          <t>4x4 - Isuzu - D-max - NS03 TTSTow Chipper - Jenson - A530L - 5521063948Tipper - Nissan - Navara - NS02TTS</t>
        </is>
      </c>
      <c r="Q500" t="inlineStr">
        <is>
          <t>UKPN</t>
        </is>
      </c>
      <c r="R500" t="b">
        <v>0</v>
      </c>
    </row>
    <row r="501">
      <c r="A501" t="inlineStr">
        <is>
          <t>13 May 2025 / 7940 HRJ Tree Services LTD</t>
        </is>
      </c>
      <c r="B501" t="inlineStr">
        <is>
          <t>Utilities &amp; Inland Waterways</t>
        </is>
      </c>
      <c r="C501" t="inlineStr">
        <is>
          <t>UKPN</t>
        </is>
      </c>
      <c r="D501" t="inlineStr">
        <is>
          <t xml:space="preserve">Toyota </t>
        </is>
      </c>
      <c r="E501" t="inlineStr">
        <is>
          <t>Hilux</t>
        </is>
      </c>
      <c r="F501" t="inlineStr">
        <is>
          <t>LL70GZP</t>
        </is>
      </c>
      <c r="G501" t="inlineStr">
        <is>
          <t>Harry Wilson</t>
        </is>
      </c>
      <c r="H501" t="inlineStr">
        <is>
          <t>4x4</t>
        </is>
      </c>
      <c r="I501" t="inlineStr">
        <is>
          <t>Daily/ Weekly Vehicle Inspection</t>
        </is>
      </c>
      <c r="J501" t="inlineStr">
        <is>
          <t>N/A</t>
        </is>
      </c>
      <c r="K501" t="inlineStr">
        <is>
          <t>7940 HRJ Tree Services LTD</t>
        </is>
      </c>
      <c r="L501" t="inlineStr">
        <is>
          <t>13/05/2025 11:57</t>
        </is>
      </c>
      <c r="M501" t="inlineStr">
        <is>
          <t>None</t>
        </is>
      </c>
      <c r="N501" t="inlineStr">
        <is>
          <t>&lt;p&gt;&lt;/p&gt;</t>
        </is>
      </c>
      <c r="O501" t="inlineStr"/>
      <c r="P501" t="inlineStr">
        <is>
          <t>4x4 - Toyota  - Hilux - LL70GZP</t>
        </is>
      </c>
      <c r="Q501" t="inlineStr">
        <is>
          <t>UKPN</t>
        </is>
      </c>
      <c r="R501" t="b">
        <v>0</v>
      </c>
    </row>
    <row r="502">
      <c r="A502" t="inlineStr">
        <is>
          <t>14 May 2025 / 7889 Tree Tech Suffolk Ltd</t>
        </is>
      </c>
      <c r="B502" t="inlineStr">
        <is>
          <t>Utilities &amp; Inland Waterways</t>
        </is>
      </c>
      <c r="C502" t="inlineStr">
        <is>
          <t>UKPN</t>
        </is>
      </c>
      <c r="D502" t="inlineStr">
        <is>
          <t>Isuzu</t>
        </is>
      </c>
      <c r="E502" t="inlineStr">
        <is>
          <t>D-max</t>
        </is>
      </c>
      <c r="F502" t="inlineStr">
        <is>
          <t>NS03 TTSTow Chipper</t>
        </is>
      </c>
      <c r="G502" t="inlineStr">
        <is>
          <t xml:space="preserve">Danny Appleby Nikki sparrow Nikki sparrow </t>
        </is>
      </c>
      <c r="H502" t="inlineStr">
        <is>
          <t>4x4Towed ChipperTipper</t>
        </is>
      </c>
      <c r="I502" t="inlineStr">
        <is>
          <t>Daily/ Weekly Vehicle Inspection</t>
        </is>
      </c>
      <c r="J502" t="inlineStr">
        <is>
          <t>N/A</t>
        </is>
      </c>
      <c r="K502" t="inlineStr">
        <is>
          <t>7889 Tree Tech Suffolk Ltd</t>
        </is>
      </c>
      <c r="L502" t="inlineStr">
        <is>
          <t>14/05/2025 08:03</t>
        </is>
      </c>
      <c r="M502" t="inlineStr">
        <is>
          <t>None</t>
        </is>
      </c>
      <c r="N502" t="inlineStr">
        <is>
          <t>&lt;p&gt;&lt;/p&gt;</t>
        </is>
      </c>
      <c r="O502" t="inlineStr"/>
      <c r="P502" t="inlineStr">
        <is>
          <t>4x4 - Isuzu - D-max - NS03 TTSTow Chipper - Jenson - A530L - 5521063948Tipper - Nissan - Navara - NS02TTS</t>
        </is>
      </c>
      <c r="Q502" t="inlineStr">
        <is>
          <t>UKPN</t>
        </is>
      </c>
      <c r="R502" t="b">
        <v>0</v>
      </c>
    </row>
    <row r="503">
      <c r="A503" t="inlineStr">
        <is>
          <t>15 May 2025 / 7889 Tree Tech Suffolk Ltd</t>
        </is>
      </c>
      <c r="B503" t="inlineStr">
        <is>
          <t>Utilities &amp; Inland Waterways</t>
        </is>
      </c>
      <c r="C503" t="inlineStr">
        <is>
          <t>UKPN</t>
        </is>
      </c>
      <c r="D503" t="inlineStr">
        <is>
          <t>Isuzu</t>
        </is>
      </c>
      <c r="E503" t="inlineStr">
        <is>
          <t>D-max</t>
        </is>
      </c>
      <c r="F503" t="inlineStr">
        <is>
          <t>NS03 TTSTow Chipper</t>
        </is>
      </c>
      <c r="G503" t="inlineStr">
        <is>
          <t xml:space="preserve">Danny Appleby Nikki sparrow Nikki sparrow </t>
        </is>
      </c>
      <c r="H503" t="inlineStr">
        <is>
          <t>4x4Towed ChipperTipper</t>
        </is>
      </c>
      <c r="I503" t="inlineStr">
        <is>
          <t>Daily/ Weekly Vehicle Inspection</t>
        </is>
      </c>
      <c r="J503" t="inlineStr">
        <is>
          <t>N/A</t>
        </is>
      </c>
      <c r="K503" t="inlineStr">
        <is>
          <t>7889 Tree Tech Suffolk Ltd</t>
        </is>
      </c>
      <c r="L503" t="inlineStr">
        <is>
          <t>15/05/2025 08:01</t>
        </is>
      </c>
      <c r="M503" t="inlineStr">
        <is>
          <t>None</t>
        </is>
      </c>
      <c r="N503" t="inlineStr">
        <is>
          <t>&lt;p&gt;&lt;/p&gt;</t>
        </is>
      </c>
      <c r="O503" t="inlineStr"/>
      <c r="P503" t="inlineStr">
        <is>
          <t>4x4 - Isuzu - D-max - NS03 TTSTow Chipper - Jenson - A530L - 5521063948Tipper - Nissan - Navara - NS02TTS</t>
        </is>
      </c>
      <c r="Q503" t="inlineStr">
        <is>
          <t>UKPN</t>
        </is>
      </c>
      <c r="R503" t="b">
        <v>0</v>
      </c>
    </row>
    <row r="504">
      <c r="A504" t="inlineStr">
        <is>
          <t>15 May 2025 / 7940 HRJ Tree Services LTD</t>
        </is>
      </c>
      <c r="B504" t="inlineStr">
        <is>
          <t>Utilities &amp; Inland Waterways</t>
        </is>
      </c>
      <c r="C504" t="inlineStr">
        <is>
          <t>UKPN</t>
        </is>
      </c>
      <c r="D504" t="inlineStr">
        <is>
          <t xml:space="preserve">Toyota </t>
        </is>
      </c>
      <c r="E504" t="inlineStr">
        <is>
          <t>Hilux</t>
        </is>
      </c>
      <c r="F504" t="inlineStr">
        <is>
          <t>LL70GZP</t>
        </is>
      </c>
      <c r="G504" t="inlineStr">
        <is>
          <t>Harry Wilson</t>
        </is>
      </c>
      <c r="H504" t="inlineStr">
        <is>
          <t>Tipper</t>
        </is>
      </c>
      <c r="I504" t="inlineStr">
        <is>
          <t>Add to Vehicle to the GC Vehicle List</t>
        </is>
      </c>
      <c r="J504" t="inlineStr">
        <is>
          <t>N/A</t>
        </is>
      </c>
      <c r="K504" t="inlineStr">
        <is>
          <t>7940 HRJ Tree Services LTD</t>
        </is>
      </c>
      <c r="L504" t="inlineStr">
        <is>
          <t>15/05/2025 09:58</t>
        </is>
      </c>
      <c r="M504" t="inlineStr">
        <is>
          <t>None</t>
        </is>
      </c>
      <c r="N504" t="inlineStr">
        <is>
          <t>&lt;p&gt;&lt;/p&gt;</t>
        </is>
      </c>
      <c r="O504" t="inlineStr"/>
      <c r="P504" t="inlineStr">
        <is>
          <t>4x4 - Toyota  - Hilux - LL70GZP</t>
        </is>
      </c>
      <c r="Q504" t="inlineStr">
        <is>
          <t>UKPN</t>
        </is>
      </c>
      <c r="R504" t="b">
        <v>0</v>
      </c>
    </row>
    <row r="505">
      <c r="A505" t="inlineStr">
        <is>
          <t>15 May 2025 / 7940 HRJ Tree Services LTD</t>
        </is>
      </c>
      <c r="B505" t="inlineStr">
        <is>
          <t>Utilities &amp; Inland Waterways</t>
        </is>
      </c>
      <c r="C505" t="inlineStr">
        <is>
          <t>UKPN</t>
        </is>
      </c>
      <c r="D505" t="inlineStr">
        <is>
          <t xml:space="preserve">Toyota </t>
        </is>
      </c>
      <c r="E505" t="inlineStr">
        <is>
          <t>Hilux</t>
        </is>
      </c>
      <c r="F505" t="inlineStr">
        <is>
          <t>LL70GZP</t>
        </is>
      </c>
      <c r="G505" t="inlineStr">
        <is>
          <t>Harry Wilson</t>
        </is>
      </c>
      <c r="H505" t="inlineStr">
        <is>
          <t>Tipper</t>
        </is>
      </c>
      <c r="I505" t="inlineStr">
        <is>
          <t>Daily/ Weekly Vehicle Inspection</t>
        </is>
      </c>
      <c r="J505" t="inlineStr">
        <is>
          <t>N/A</t>
        </is>
      </c>
      <c r="K505" t="inlineStr">
        <is>
          <t>7940 HRJ Tree Services LTD</t>
        </is>
      </c>
      <c r="L505" t="inlineStr">
        <is>
          <t>15/05/2025 09:59</t>
        </is>
      </c>
      <c r="M505" t="inlineStr">
        <is>
          <t>None</t>
        </is>
      </c>
      <c r="N505" t="inlineStr">
        <is>
          <t>&lt;p&gt;&lt;/p&gt;</t>
        </is>
      </c>
      <c r="O505" t="inlineStr"/>
      <c r="P505" t="inlineStr">
        <is>
          <t>4x4 - Toyota  - Hilux - LL70GZP</t>
        </is>
      </c>
      <c r="Q505" t="inlineStr">
        <is>
          <t>UKPN</t>
        </is>
      </c>
      <c r="R505" t="b">
        <v>0</v>
      </c>
    </row>
    <row r="506">
      <c r="A506" t="inlineStr">
        <is>
          <t>16 May 2025 / 7940 HRJ Tree Services LTD</t>
        </is>
      </c>
      <c r="B506" t="inlineStr">
        <is>
          <t>Utilities &amp; Inland Waterways</t>
        </is>
      </c>
      <c r="C506" t="inlineStr">
        <is>
          <t>UKPN</t>
        </is>
      </c>
      <c r="D506" t="inlineStr">
        <is>
          <t xml:space="preserve">Toyota </t>
        </is>
      </c>
      <c r="E506" t="inlineStr">
        <is>
          <t>Hilux</t>
        </is>
      </c>
      <c r="F506" t="inlineStr">
        <is>
          <t>LL70GZP</t>
        </is>
      </c>
      <c r="G506" t="inlineStr">
        <is>
          <t>Harry Wilson</t>
        </is>
      </c>
      <c r="H506" t="inlineStr">
        <is>
          <t>4x4</t>
        </is>
      </c>
      <c r="I506" t="inlineStr">
        <is>
          <t>Daily/ Weekly Vehicle Inspection</t>
        </is>
      </c>
      <c r="J506" t="inlineStr">
        <is>
          <t>N/A</t>
        </is>
      </c>
      <c r="K506" t="inlineStr">
        <is>
          <t>7940 HRJ Tree Services LTD</t>
        </is>
      </c>
      <c r="L506" t="inlineStr">
        <is>
          <t>16/05/2025 09:58</t>
        </is>
      </c>
      <c r="M506" t="inlineStr">
        <is>
          <t>None</t>
        </is>
      </c>
      <c r="N506" t="inlineStr">
        <is>
          <t>&lt;p&gt;&lt;/p&gt;</t>
        </is>
      </c>
      <c r="O506" t="inlineStr"/>
      <c r="P506" t="inlineStr">
        <is>
          <t>4x4 - Toyota  - Hilux - LL70GZP</t>
        </is>
      </c>
      <c r="Q506" t="inlineStr">
        <is>
          <t>UKPN</t>
        </is>
      </c>
      <c r="R506" t="b">
        <v>0</v>
      </c>
    </row>
    <row r="507">
      <c r="A507" t="inlineStr">
        <is>
          <t>19 May 2025 / 7889 Tree Tech Suffolk Ltd</t>
        </is>
      </c>
      <c r="B507" t="inlineStr">
        <is>
          <t>Utilities &amp; Inland Waterways</t>
        </is>
      </c>
      <c r="C507" t="inlineStr">
        <is>
          <t>UKPN</t>
        </is>
      </c>
      <c r="D507" t="inlineStr">
        <is>
          <t>Isuzu</t>
        </is>
      </c>
      <c r="E507" t="inlineStr">
        <is>
          <t>D-max</t>
        </is>
      </c>
      <c r="F507" t="inlineStr">
        <is>
          <t>NS03 TTSTow Chipper</t>
        </is>
      </c>
      <c r="G507" t="inlineStr">
        <is>
          <t xml:space="preserve">Danny Appleby Nikki sparrow Nikki sparrow </t>
        </is>
      </c>
      <c r="H507" t="inlineStr">
        <is>
          <t>4x4Towed ChipperTipper</t>
        </is>
      </c>
      <c r="I507" t="inlineStr">
        <is>
          <t>Daily/ Weekly Vehicle Inspection</t>
        </is>
      </c>
      <c r="J507" t="inlineStr">
        <is>
          <t>N/A</t>
        </is>
      </c>
      <c r="K507" t="inlineStr">
        <is>
          <t>7889 Tree Tech Suffolk Ltd</t>
        </is>
      </c>
      <c r="L507" t="inlineStr">
        <is>
          <t>19/05/2025 10:00</t>
        </is>
      </c>
      <c r="M507" t="inlineStr">
        <is>
          <t>None</t>
        </is>
      </c>
      <c r="N507" t="inlineStr">
        <is>
          <t>&lt;p&gt;&lt;/p&gt;</t>
        </is>
      </c>
      <c r="O507" t="inlineStr"/>
      <c r="P507" t="inlineStr">
        <is>
          <t>4x4 - Isuzu - D-max - NS03 TTSTow Chipper - Jenson - A530L - 5521063948Tipper - Nissan - Navara - NS02TTS</t>
        </is>
      </c>
      <c r="Q507" t="inlineStr">
        <is>
          <t>UKPN</t>
        </is>
      </c>
      <c r="R507" t="b">
        <v>0</v>
      </c>
    </row>
    <row r="508">
      <c r="A508" t="inlineStr">
        <is>
          <t>20 May 2025 / 7889 Tree Tech Suffolk Ltd</t>
        </is>
      </c>
      <c r="B508" t="inlineStr">
        <is>
          <t>Utilities &amp; Inland Waterways</t>
        </is>
      </c>
      <c r="C508" t="inlineStr">
        <is>
          <t>UKPN</t>
        </is>
      </c>
      <c r="D508" t="inlineStr">
        <is>
          <t>Isuzu</t>
        </is>
      </c>
      <c r="E508" t="inlineStr">
        <is>
          <t>D-max</t>
        </is>
      </c>
      <c r="F508" t="inlineStr">
        <is>
          <t>NS03 TTSTow Chipper</t>
        </is>
      </c>
      <c r="G508" t="inlineStr">
        <is>
          <t xml:space="preserve">Danny Appleby Nikki sparrow Nikki sparrow </t>
        </is>
      </c>
      <c r="H508" t="inlineStr">
        <is>
          <t>4x4Towed ChipperTipper</t>
        </is>
      </c>
      <c r="I508" t="inlineStr">
        <is>
          <t>Daily/ Weekly Vehicle Inspection</t>
        </is>
      </c>
      <c r="J508" t="inlineStr">
        <is>
          <t>N/A</t>
        </is>
      </c>
      <c r="K508" t="inlineStr">
        <is>
          <t>7889 Tree Tech Suffolk Ltd</t>
        </is>
      </c>
      <c r="L508" t="inlineStr">
        <is>
          <t>20/05/2025 08:03</t>
        </is>
      </c>
      <c r="M508" t="inlineStr">
        <is>
          <t>None</t>
        </is>
      </c>
      <c r="N508" t="inlineStr">
        <is>
          <t>&lt;p&gt;&lt;/p&gt;</t>
        </is>
      </c>
      <c r="O508" t="inlineStr"/>
      <c r="P508" t="inlineStr">
        <is>
          <t>4x4 - Isuzu - D-max - NS03 TTSTow Chipper - Jenson - A530L - 5521063948Tipper - Nissan - Navara - NS02TTS</t>
        </is>
      </c>
      <c r="Q508" t="inlineStr">
        <is>
          <t>UKPN</t>
        </is>
      </c>
      <c r="R508" t="b">
        <v>0</v>
      </c>
    </row>
    <row r="509">
      <c r="A509" t="inlineStr">
        <is>
          <t>22 May 2025 / 7889 Tree Tech Suffolk Ltd</t>
        </is>
      </c>
      <c r="B509" t="inlineStr">
        <is>
          <t>Utilities &amp; Inland Waterways</t>
        </is>
      </c>
      <c r="C509" t="inlineStr">
        <is>
          <t>UKPN</t>
        </is>
      </c>
      <c r="D509" t="inlineStr">
        <is>
          <t>Isuzu</t>
        </is>
      </c>
      <c r="E509" t="inlineStr">
        <is>
          <t>D-max</t>
        </is>
      </c>
      <c r="F509" t="inlineStr">
        <is>
          <t>NS03 TTSTow Chipper</t>
        </is>
      </c>
      <c r="G509" t="inlineStr">
        <is>
          <t xml:space="preserve">Danny Appleby Nikki sparrow Nikki sparrow </t>
        </is>
      </c>
      <c r="H509" t="inlineStr">
        <is>
          <t>4x4Towed ChipperTipper</t>
        </is>
      </c>
      <c r="I509" t="inlineStr">
        <is>
          <t>Daily/ Weekly Vehicle Inspection</t>
        </is>
      </c>
      <c r="J509" t="inlineStr">
        <is>
          <t>N/A</t>
        </is>
      </c>
      <c r="K509" t="inlineStr">
        <is>
          <t>7889 Tree Tech Suffolk Ltd</t>
        </is>
      </c>
      <c r="L509" t="inlineStr">
        <is>
          <t>22/05/2025 06:58</t>
        </is>
      </c>
      <c r="M509" t="inlineStr">
        <is>
          <t>None</t>
        </is>
      </c>
      <c r="N509" t="inlineStr">
        <is>
          <t>&lt;p&gt;&lt;/p&gt;</t>
        </is>
      </c>
      <c r="O509" t="inlineStr"/>
      <c r="P509" t="inlineStr">
        <is>
          <t>4x4 - Isuzu - D-max - NS03 TTSTow Chipper - Jenson - A530L - 5521063948Tipper - Nissan - Navara - NS02TTS</t>
        </is>
      </c>
      <c r="Q509" t="inlineStr">
        <is>
          <t>UKPN</t>
        </is>
      </c>
      <c r="R509" t="b">
        <v>0</v>
      </c>
    </row>
    <row r="510">
      <c r="A510" t="inlineStr">
        <is>
          <t>22 May 2025 / 7806 Optimum Tree Services Ltd</t>
        </is>
      </c>
      <c r="B510" t="inlineStr">
        <is>
          <t>Utilities &amp; Inland Waterways</t>
        </is>
      </c>
      <c r="C510" t="inlineStr">
        <is>
          <t>UKPN</t>
        </is>
      </c>
      <c r="D510" t="inlineStr">
        <is>
          <t>Ford</t>
        </is>
      </c>
      <c r="E510" t="inlineStr">
        <is>
          <t>Transit</t>
        </is>
      </c>
      <c r="F510" t="inlineStr">
        <is>
          <t>NA10SYZ</t>
        </is>
      </c>
      <c r="G510" t="inlineStr">
        <is>
          <t xml:space="preserve">Abraham Davies </t>
        </is>
      </c>
      <c r="H510" t="inlineStr">
        <is>
          <t>Tipper</t>
        </is>
      </c>
      <c r="I510" t="inlineStr">
        <is>
          <t>Daily/ Weekly Vehicle Inspection</t>
        </is>
      </c>
      <c r="J510" t="inlineStr">
        <is>
          <t>N/A</t>
        </is>
      </c>
      <c r="K510" t="inlineStr">
        <is>
          <t>7806 Optimum Tree Services Ltd</t>
        </is>
      </c>
      <c r="L510" t="inlineStr">
        <is>
          <t>22/05/2025 08:59</t>
        </is>
      </c>
      <c r="M510" t="inlineStr">
        <is>
          <t>None</t>
        </is>
      </c>
      <c r="N510" t="inlineStr">
        <is>
          <t>&lt;p&gt;&lt;/p&gt;</t>
        </is>
      </c>
      <c r="O510" t="inlineStr"/>
      <c r="P510" t="inlineStr">
        <is>
          <t>Tipper - Ford - Transit - NA10SYZ</t>
        </is>
      </c>
      <c r="Q510" t="inlineStr">
        <is>
          <t>UKPN</t>
        </is>
      </c>
      <c r="R510" t="b">
        <v>0</v>
      </c>
    </row>
    <row r="511">
      <c r="A511" t="inlineStr">
        <is>
          <t>23 May 2025 / 3988 Valiant Arborist Ltd</t>
        </is>
      </c>
      <c r="B511" t="inlineStr">
        <is>
          <t>Utilities &amp; Inland Waterways</t>
        </is>
      </c>
      <c r="C511" t="inlineStr">
        <is>
          <t>UKPN</t>
        </is>
      </c>
      <c r="D511" t="inlineStr">
        <is>
          <t xml:space="preserve">Isuzu </t>
        </is>
      </c>
      <c r="E511" t="inlineStr">
        <is>
          <t xml:space="preserve">D Max </t>
        </is>
      </c>
      <c r="F511" t="inlineStr">
        <is>
          <t>BT24 YEC</t>
        </is>
      </c>
      <c r="G511" t="inlineStr">
        <is>
          <t>Sam knight</t>
        </is>
      </c>
      <c r="H511" t="inlineStr">
        <is>
          <t>4x4</t>
        </is>
      </c>
      <c r="I511" t="inlineStr">
        <is>
          <t>Daily/ Weekly Vehicle Inspection</t>
        </is>
      </c>
      <c r="J511" t="inlineStr">
        <is>
          <t>N/A</t>
        </is>
      </c>
      <c r="K511" t="inlineStr">
        <is>
          <t>3988 Valiant Arborist Ltd</t>
        </is>
      </c>
      <c r="L511" t="inlineStr">
        <is>
          <t>23/05/2025 10:59</t>
        </is>
      </c>
      <c r="M511" t="inlineStr">
        <is>
          <t>None</t>
        </is>
      </c>
      <c r="N511" t="inlineStr">
        <is>
          <t>&lt;p&gt;&lt;/p&gt;</t>
        </is>
      </c>
      <c r="O511" t="inlineStr"/>
      <c r="P511" t="inlineStr">
        <is>
          <t>4x4 - Isuzu  - D Max  - BT24 YEC</t>
        </is>
      </c>
      <c r="Q511" t="inlineStr">
        <is>
          <t>UKPN</t>
        </is>
      </c>
      <c r="R511" t="b">
        <v>0</v>
      </c>
    </row>
    <row r="512">
      <c r="A512" t="inlineStr">
        <is>
          <t>23 May 2025 / 3988 Valiant Arborist Ltd</t>
        </is>
      </c>
      <c r="B512" t="inlineStr">
        <is>
          <t>Utilities &amp; Inland Waterways</t>
        </is>
      </c>
      <c r="C512" t="inlineStr">
        <is>
          <t>UKPN</t>
        </is>
      </c>
      <c r="D512" t="inlineStr">
        <is>
          <t>Nissan</t>
        </is>
      </c>
      <c r="E512" t="inlineStr">
        <is>
          <t>Cabstar</t>
        </is>
      </c>
      <c r="F512" t="inlineStr">
        <is>
          <t>SC57 WCM</t>
        </is>
      </c>
      <c r="G512" t="inlineStr">
        <is>
          <t>Sam knight</t>
        </is>
      </c>
      <c r="H512" t="inlineStr">
        <is>
          <t>Tipper</t>
        </is>
      </c>
      <c r="I512" t="inlineStr">
        <is>
          <t>Daily/ Weekly Vehicle Inspection</t>
        </is>
      </c>
      <c r="J512" t="inlineStr">
        <is>
          <t>N/A</t>
        </is>
      </c>
      <c r="K512" t="inlineStr">
        <is>
          <t>3988 Valiant Arborist Ltd</t>
        </is>
      </c>
      <c r="L512" t="inlineStr">
        <is>
          <t>23/05/2025 10:59</t>
        </is>
      </c>
      <c r="M512" t="inlineStr">
        <is>
          <t>None</t>
        </is>
      </c>
      <c r="N512" t="inlineStr">
        <is>
          <t>&lt;p&gt;&lt;/p&gt;</t>
        </is>
      </c>
      <c r="O512" t="inlineStr"/>
      <c r="P512" t="inlineStr">
        <is>
          <t>Tipper - Nissan - Cabstar - SC57 WCM</t>
        </is>
      </c>
      <c r="Q512" t="inlineStr">
        <is>
          <t>UKPN</t>
        </is>
      </c>
      <c r="R512" t="b">
        <v>0</v>
      </c>
    </row>
    <row r="513">
      <c r="A513" t="inlineStr">
        <is>
          <t>27 May 2025 / 7889 Tree Tech Suffolk Ltd</t>
        </is>
      </c>
      <c r="B513" t="inlineStr">
        <is>
          <t>Utilities &amp; Inland Waterways</t>
        </is>
      </c>
      <c r="C513" t="inlineStr">
        <is>
          <t>UKPN</t>
        </is>
      </c>
      <c r="D513" t="inlineStr">
        <is>
          <t>Isuzu</t>
        </is>
      </c>
      <c r="E513" t="inlineStr">
        <is>
          <t>D-max</t>
        </is>
      </c>
      <c r="F513" t="inlineStr">
        <is>
          <t>NS03 TTSTow Chipper</t>
        </is>
      </c>
      <c r="G513" t="inlineStr">
        <is>
          <t xml:space="preserve">Dan brown Danny Appleby Danny Appleby </t>
        </is>
      </c>
      <c r="H513" t="inlineStr">
        <is>
          <t>4x4Towed ChipperTipper</t>
        </is>
      </c>
      <c r="I513" t="inlineStr">
        <is>
          <t>Daily/ Weekly Vehicle Inspection</t>
        </is>
      </c>
      <c r="J513" t="inlineStr">
        <is>
          <t>N/A</t>
        </is>
      </c>
      <c r="K513" t="inlineStr">
        <is>
          <t>7889 Tree Tech Suffolk Ltd</t>
        </is>
      </c>
      <c r="L513" t="inlineStr">
        <is>
          <t>27/05/2025 08:04</t>
        </is>
      </c>
      <c r="M513" t="inlineStr">
        <is>
          <t>None</t>
        </is>
      </c>
      <c r="N513" t="inlineStr">
        <is>
          <t>&lt;p&gt;&lt;/p&gt;</t>
        </is>
      </c>
      <c r="O513" t="inlineStr"/>
      <c r="P513" t="inlineStr">
        <is>
          <t>4x4 - Isuzu - D-max - NS03 TTSTow Chipper - Jenson - A530L - 5521063948Tipper - Mercedes - Sprinter - NS06TTS</t>
        </is>
      </c>
      <c r="Q513" t="inlineStr">
        <is>
          <t>UKPN</t>
        </is>
      </c>
      <c r="R513" t="b">
        <v>0</v>
      </c>
    </row>
    <row r="514">
      <c r="A514" t="inlineStr">
        <is>
          <t>27 May 2025 / 3988 Valiant Arborist Ltd</t>
        </is>
      </c>
      <c r="B514" t="inlineStr">
        <is>
          <t>Utilities &amp; Inland Waterways</t>
        </is>
      </c>
      <c r="C514" t="inlineStr">
        <is>
          <t>UKPN</t>
        </is>
      </c>
      <c r="D514" t="inlineStr">
        <is>
          <t xml:space="preserve">Isuzu </t>
        </is>
      </c>
      <c r="E514" t="inlineStr">
        <is>
          <t xml:space="preserve">D Max </t>
        </is>
      </c>
      <c r="F514" t="inlineStr">
        <is>
          <t>BT24 YEC</t>
        </is>
      </c>
      <c r="G514" t="inlineStr">
        <is>
          <t>Sam knight</t>
        </is>
      </c>
      <c r="H514" t="inlineStr">
        <is>
          <t>4x4</t>
        </is>
      </c>
      <c r="I514" t="inlineStr">
        <is>
          <t>Daily/ Weekly Vehicle Inspection</t>
        </is>
      </c>
      <c r="J514" t="inlineStr">
        <is>
          <t>N/A</t>
        </is>
      </c>
      <c r="K514" t="inlineStr">
        <is>
          <t>3988 Valiant Arborist Ltd</t>
        </is>
      </c>
      <c r="L514" t="inlineStr">
        <is>
          <t>27/05/2025 09:06</t>
        </is>
      </c>
      <c r="M514" t="inlineStr">
        <is>
          <t>None</t>
        </is>
      </c>
      <c r="N514" t="inlineStr">
        <is>
          <t>&lt;p&gt;&lt;/p&gt;</t>
        </is>
      </c>
      <c r="O514" t="inlineStr"/>
      <c r="P514" t="inlineStr">
        <is>
          <t>4x4 - Isuzu  - D Max  - BT24 YEC</t>
        </is>
      </c>
      <c r="Q514" t="inlineStr">
        <is>
          <t>UKPN</t>
        </is>
      </c>
      <c r="R514" t="b">
        <v>0</v>
      </c>
    </row>
    <row r="515">
      <c r="A515" t="inlineStr">
        <is>
          <t>27 May 2025 / Mathew Dunn</t>
        </is>
      </c>
      <c r="B515" t="inlineStr">
        <is>
          <t>Utilities &amp; Inland Waterways</t>
        </is>
      </c>
      <c r="C515" t="inlineStr">
        <is>
          <t>SSE</t>
        </is>
      </c>
      <c r="D515" t="inlineStr">
        <is>
          <t>Petrol</t>
        </is>
      </c>
      <c r="E515" t="inlineStr">
        <is>
          <t xml:space="preserve">Vauxhall </t>
        </is>
      </c>
      <c r="F515" t="inlineStr">
        <is>
          <t>Mokka</t>
        </is>
      </c>
      <c r="G515" t="inlineStr">
        <is>
          <t>Mathew Dunn</t>
        </is>
      </c>
      <c r="H515" t="inlineStr">
        <is>
          <t>Car - Petrol</t>
        </is>
      </c>
      <c r="I515" t="inlineStr">
        <is>
          <t>Daily/ Weekly Vehicle Inspection</t>
        </is>
      </c>
      <c r="J515" t="inlineStr">
        <is>
          <t>N/A</t>
        </is>
      </c>
      <c r="K515" t="inlineStr">
        <is>
          <t>Mathew Dunn</t>
        </is>
      </c>
      <c r="L515" t="inlineStr">
        <is>
          <t>27/05/2025 14:59</t>
        </is>
      </c>
      <c r="M515" t="inlineStr">
        <is>
          <t>None</t>
        </is>
      </c>
      <c r="N515" t="inlineStr">
        <is>
          <t>&lt;p&gt;&lt;/p&gt;</t>
        </is>
      </c>
      <c r="O515" t="inlineStr"/>
      <c r="P515" t="inlineStr">
        <is>
          <t>Car - Petrol - Vauxhall  - Mokka - DY23NLD</t>
        </is>
      </c>
      <c r="Q515" t="inlineStr">
        <is>
          <t>SSE</t>
        </is>
      </c>
      <c r="R515" t="b">
        <v>0</v>
      </c>
    </row>
    <row r="516">
      <c r="A516" t="inlineStr">
        <is>
          <t>28 May 2025 / 7889 Tree Tech Suffolk Ltd</t>
        </is>
      </c>
      <c r="B516" t="inlineStr">
        <is>
          <t>Utilities &amp; Inland Waterways</t>
        </is>
      </c>
      <c r="C516" t="inlineStr">
        <is>
          <t>UKPN</t>
        </is>
      </c>
      <c r="D516" t="inlineStr">
        <is>
          <t>Isuzu</t>
        </is>
      </c>
      <c r="E516" t="inlineStr">
        <is>
          <t>D-max</t>
        </is>
      </c>
      <c r="F516" t="inlineStr">
        <is>
          <t>NS03 TTSTow Chipper</t>
        </is>
      </c>
      <c r="G516" t="inlineStr">
        <is>
          <t xml:space="preserve">Danny Appleby Nikki sparrow Nikki sparrow </t>
        </is>
      </c>
      <c r="H516" t="inlineStr">
        <is>
          <t>4x4Towed ChipperTipper</t>
        </is>
      </c>
      <c r="I516" t="inlineStr">
        <is>
          <t>Daily/ Weekly Vehicle Inspection</t>
        </is>
      </c>
      <c r="J516" t="inlineStr">
        <is>
          <t>N/A</t>
        </is>
      </c>
      <c r="K516" t="inlineStr">
        <is>
          <t>7889 Tree Tech Suffolk Ltd</t>
        </is>
      </c>
      <c r="L516" t="inlineStr">
        <is>
          <t>28/05/2025 08:04</t>
        </is>
      </c>
      <c r="M516" t="inlineStr">
        <is>
          <t>None</t>
        </is>
      </c>
      <c r="N516" t="inlineStr">
        <is>
          <t>&lt;p&gt;&lt;/p&gt;</t>
        </is>
      </c>
      <c r="O516" t="inlineStr"/>
      <c r="P516" t="inlineStr">
        <is>
          <t>4x4 - Isuzu - D-max - NS03 TTSTow Chipper - Jenson - A530L - 5521063948Tipper - Nissan - Navara - NS02TTS</t>
        </is>
      </c>
      <c r="Q516" t="inlineStr">
        <is>
          <t>UKPN</t>
        </is>
      </c>
      <c r="R516" t="b">
        <v>0</v>
      </c>
    </row>
    <row r="517">
      <c r="A517" t="inlineStr">
        <is>
          <t>28 May 2025 / 3988 Valiant Arborist Ltd</t>
        </is>
      </c>
      <c r="B517" t="inlineStr">
        <is>
          <t>Utilities &amp; Inland Waterways</t>
        </is>
      </c>
      <c r="C517" t="inlineStr">
        <is>
          <t>UKPN</t>
        </is>
      </c>
      <c r="D517" t="inlineStr">
        <is>
          <t>Nissan</t>
        </is>
      </c>
      <c r="E517" t="inlineStr">
        <is>
          <t>Cabstar</t>
        </is>
      </c>
      <c r="F517" t="inlineStr">
        <is>
          <t>SC57 WCM</t>
        </is>
      </c>
      <c r="G517" t="inlineStr">
        <is>
          <t>Sam knight</t>
        </is>
      </c>
      <c r="H517" t="inlineStr">
        <is>
          <t>Tipper</t>
        </is>
      </c>
      <c r="I517" t="inlineStr">
        <is>
          <t>Daily/ Weekly Vehicle Inspection</t>
        </is>
      </c>
      <c r="J517" t="inlineStr">
        <is>
          <t>N/A</t>
        </is>
      </c>
      <c r="K517" t="inlineStr">
        <is>
          <t>3988 Valiant Arborist Ltd</t>
        </is>
      </c>
      <c r="L517" t="inlineStr">
        <is>
          <t>28/05/2025 11:00</t>
        </is>
      </c>
      <c r="M517" t="inlineStr">
        <is>
          <t>None</t>
        </is>
      </c>
      <c r="N517" t="inlineStr">
        <is>
          <t>&lt;p&gt;&lt;/p&gt;</t>
        </is>
      </c>
      <c r="O517" t="inlineStr"/>
      <c r="P517" t="inlineStr">
        <is>
          <t>Tipper - Nissan - Cabstar - SC57 WCM</t>
        </is>
      </c>
      <c r="Q517" t="inlineStr">
        <is>
          <t>UKPN</t>
        </is>
      </c>
      <c r="R517" t="b">
        <v>0</v>
      </c>
    </row>
    <row r="518">
      <c r="A518" t="inlineStr">
        <is>
          <t>29 May 2025 / 7889 Tree Tech Suffolk Ltd</t>
        </is>
      </c>
      <c r="B518" t="inlineStr">
        <is>
          <t>Utilities &amp; Inland Waterways</t>
        </is>
      </c>
      <c r="C518" t="inlineStr">
        <is>
          <t>UKPN</t>
        </is>
      </c>
      <c r="D518" t="inlineStr">
        <is>
          <t>Isuzu</t>
        </is>
      </c>
      <c r="E518" t="inlineStr">
        <is>
          <t>D-max</t>
        </is>
      </c>
      <c r="F518" t="inlineStr">
        <is>
          <t>NS03 TTSTow Chipper</t>
        </is>
      </c>
      <c r="G518" t="inlineStr">
        <is>
          <t xml:space="preserve">Danny Appleby Nikki sparrow Nikki sparrow </t>
        </is>
      </c>
      <c r="H518" t="inlineStr">
        <is>
          <t>4x4Towed ChipperTipper</t>
        </is>
      </c>
      <c r="I518" t="inlineStr">
        <is>
          <t>Daily/ Weekly Vehicle Inspection</t>
        </is>
      </c>
      <c r="J518" t="inlineStr">
        <is>
          <t>N/A</t>
        </is>
      </c>
      <c r="K518" t="inlineStr">
        <is>
          <t>7889 Tree Tech Suffolk Ltd</t>
        </is>
      </c>
      <c r="L518" t="inlineStr">
        <is>
          <t>29/05/2025 06:59</t>
        </is>
      </c>
      <c r="M518" t="inlineStr">
        <is>
          <t>None</t>
        </is>
      </c>
      <c r="N518" t="inlineStr">
        <is>
          <t>&lt;p&gt;&lt;/p&gt;</t>
        </is>
      </c>
      <c r="O518" t="inlineStr"/>
      <c r="P518" t="inlineStr">
        <is>
          <t>4x4 - Isuzu - D-max - NS03 TTSTow Chipper - Jenson - A530L - 5521063948Tipper - Nissan - Navara - NS02TTS</t>
        </is>
      </c>
      <c r="Q518" t="inlineStr">
        <is>
          <t>UKPN</t>
        </is>
      </c>
      <c r="R518" t="b">
        <v>0</v>
      </c>
    </row>
    <row r="519">
      <c r="A519" t="inlineStr">
        <is>
          <t>30 May 2025 / 7806 Optimum Tree Services Ltd</t>
        </is>
      </c>
      <c r="B519" t="inlineStr">
        <is>
          <t>Utilities &amp; Inland Waterways</t>
        </is>
      </c>
      <c r="C519" t="inlineStr">
        <is>
          <t>UKPN</t>
        </is>
      </c>
      <c r="D519" t="inlineStr">
        <is>
          <t>Ford</t>
        </is>
      </c>
      <c r="E519" t="inlineStr">
        <is>
          <t>Transit</t>
        </is>
      </c>
      <c r="F519" t="inlineStr">
        <is>
          <t>NA10SYZ</t>
        </is>
      </c>
      <c r="G519" t="inlineStr">
        <is>
          <t xml:space="preserve">Abraham Davies </t>
        </is>
      </c>
      <c r="H519" t="inlineStr">
        <is>
          <t>Tipper</t>
        </is>
      </c>
      <c r="I519" t="inlineStr">
        <is>
          <t>Daily/ Weekly Vehicle Inspection</t>
        </is>
      </c>
      <c r="J519" t="inlineStr">
        <is>
          <t>N/A</t>
        </is>
      </c>
      <c r="K519" t="inlineStr">
        <is>
          <t>7806 Optimum Tree Services Ltd</t>
        </is>
      </c>
      <c r="L519" t="inlineStr">
        <is>
          <t>30/05/2025 08:03</t>
        </is>
      </c>
      <c r="M519" t="inlineStr">
        <is>
          <t>None</t>
        </is>
      </c>
      <c r="N519" t="inlineStr">
        <is>
          <t>&lt;p&gt;&lt;/p&gt;</t>
        </is>
      </c>
      <c r="O519" t="inlineStr"/>
      <c r="P519" t="inlineStr">
        <is>
          <t>Tipper - Ford - Transit - NA10SYZ</t>
        </is>
      </c>
      <c r="Q519" t="inlineStr">
        <is>
          <t>UKPN</t>
        </is>
      </c>
      <c r="R519" t="b">
        <v>0</v>
      </c>
    </row>
    <row r="520">
      <c r="A520" t="inlineStr">
        <is>
          <t>2 Jun 2025 / 7806 Optimum Tree Services Ltd</t>
        </is>
      </c>
      <c r="B520" t="inlineStr">
        <is>
          <t>Utilities &amp; Inland Waterways</t>
        </is>
      </c>
      <c r="C520" t="inlineStr">
        <is>
          <t>UKPN</t>
        </is>
      </c>
      <c r="D520" t="inlineStr">
        <is>
          <t>Ford</t>
        </is>
      </c>
      <c r="E520" t="inlineStr">
        <is>
          <t>Transit</t>
        </is>
      </c>
      <c r="F520" t="inlineStr">
        <is>
          <t>NA10SYZ</t>
        </is>
      </c>
      <c r="G520" t="inlineStr">
        <is>
          <t xml:space="preserve">Abraham Davies </t>
        </is>
      </c>
      <c r="H520" t="inlineStr">
        <is>
          <t>Tipper</t>
        </is>
      </c>
      <c r="I520" t="inlineStr">
        <is>
          <t>Daily/ Weekly Vehicle Inspection</t>
        </is>
      </c>
      <c r="J520" t="inlineStr">
        <is>
          <t>N/A</t>
        </is>
      </c>
      <c r="K520" t="inlineStr">
        <is>
          <t>7806 Optimum Tree Services Ltd</t>
        </is>
      </c>
      <c r="L520" t="inlineStr">
        <is>
          <t>02/06/2025 08:11</t>
        </is>
      </c>
      <c r="M520" t="inlineStr">
        <is>
          <t>None</t>
        </is>
      </c>
      <c r="N520" t="inlineStr">
        <is>
          <t>&lt;p&gt;&lt;/p&gt;</t>
        </is>
      </c>
      <c r="O520" t="inlineStr"/>
      <c r="P520" t="inlineStr">
        <is>
          <t>Tipper - Ford - Transit - NA10SYZ</t>
        </is>
      </c>
      <c r="Q520" t="inlineStr">
        <is>
          <t>UKPN</t>
        </is>
      </c>
      <c r="R520" t="b">
        <v>0</v>
      </c>
    </row>
    <row r="521">
      <c r="A521" t="inlineStr">
        <is>
          <t>2 Jun 2025 / 7889 Tree Tech Suffolk Ltd</t>
        </is>
      </c>
      <c r="B521" t="inlineStr">
        <is>
          <t>Utilities &amp; Inland Waterways</t>
        </is>
      </c>
      <c r="C521" t="inlineStr">
        <is>
          <t>UKPN</t>
        </is>
      </c>
      <c r="D521" t="inlineStr">
        <is>
          <t>Isuzu</t>
        </is>
      </c>
      <c r="E521" t="inlineStr">
        <is>
          <t>D-max</t>
        </is>
      </c>
      <c r="F521" t="inlineStr">
        <is>
          <t>NS03 TTSTow Chipper</t>
        </is>
      </c>
      <c r="G521" t="inlineStr">
        <is>
          <t xml:space="preserve">Danny Appleby Nikki sparrow Nikki sparrow </t>
        </is>
      </c>
      <c r="H521" t="inlineStr">
        <is>
          <t>4x4Towed ChipperTipper</t>
        </is>
      </c>
      <c r="I521" t="inlineStr">
        <is>
          <t>Daily/ Weekly Vehicle Inspection</t>
        </is>
      </c>
      <c r="J521" t="inlineStr">
        <is>
          <t>N/A</t>
        </is>
      </c>
      <c r="K521" t="inlineStr">
        <is>
          <t>7889 Tree Tech Suffolk Ltd</t>
        </is>
      </c>
      <c r="L521" t="inlineStr">
        <is>
          <t>02/06/2025 08:13</t>
        </is>
      </c>
      <c r="M521" t="inlineStr">
        <is>
          <t>None</t>
        </is>
      </c>
      <c r="N521" t="inlineStr">
        <is>
          <t>&lt;p&gt;&lt;/p&gt;</t>
        </is>
      </c>
      <c r="O521" t="inlineStr"/>
      <c r="P521" t="inlineStr">
        <is>
          <t>4x4 - Isuzu - D-max - NS03 TTSTow Chipper - Jenson - A530L - 5521063948Tipper - Nissan - Navara - NS02TTS</t>
        </is>
      </c>
      <c r="Q521" t="inlineStr">
        <is>
          <t>UKPN</t>
        </is>
      </c>
      <c r="R521" t="b">
        <v>0</v>
      </c>
    </row>
    <row r="522">
      <c r="A522" t="inlineStr">
        <is>
          <t>3 Jun 2025 / 3988 Valiant Arborist Ltd</t>
        </is>
      </c>
      <c r="B522" t="inlineStr">
        <is>
          <t>Utilities &amp; Inland Waterways</t>
        </is>
      </c>
      <c r="C522" t="inlineStr">
        <is>
          <t>UKPN</t>
        </is>
      </c>
      <c r="D522" t="inlineStr">
        <is>
          <t>Nissan</t>
        </is>
      </c>
      <c r="E522" t="inlineStr">
        <is>
          <t>Cabstar</t>
        </is>
      </c>
      <c r="F522" t="inlineStr">
        <is>
          <t>SC57 WCM</t>
        </is>
      </c>
      <c r="G522" t="inlineStr">
        <is>
          <t xml:space="preserve">Adam nobles </t>
        </is>
      </c>
      <c r="H522" t="inlineStr">
        <is>
          <t>Tipper</t>
        </is>
      </c>
      <c r="I522" t="inlineStr">
        <is>
          <t>Daily/ Weekly Vehicle Inspection</t>
        </is>
      </c>
      <c r="J522" t="inlineStr">
        <is>
          <t>N/A</t>
        </is>
      </c>
      <c r="K522" t="inlineStr">
        <is>
          <t>3988 Valiant Arborist Ltd</t>
        </is>
      </c>
      <c r="L522" t="inlineStr">
        <is>
          <t>03/06/2025 07:00</t>
        </is>
      </c>
      <c r="M522" t="inlineStr">
        <is>
          <t>None</t>
        </is>
      </c>
      <c r="N522" t="inlineStr">
        <is>
          <t>&lt;p&gt;&lt;/p&gt;</t>
        </is>
      </c>
      <c r="O522" t="inlineStr"/>
      <c r="P522" t="inlineStr">
        <is>
          <t>Tipper - Nissan - Cabstar - SC57 WCM</t>
        </is>
      </c>
      <c r="Q522" t="inlineStr">
        <is>
          <t>UKPN</t>
        </is>
      </c>
      <c r="R522" t="b">
        <v>0</v>
      </c>
    </row>
    <row r="523">
      <c r="A523" t="inlineStr">
        <is>
          <t>3 Jun 2025 / 7806 Optimum Tree Services Ltd</t>
        </is>
      </c>
      <c r="B523" t="inlineStr">
        <is>
          <t>Utilities &amp; Inland Waterways</t>
        </is>
      </c>
      <c r="C523" t="inlineStr">
        <is>
          <t>UKPN</t>
        </is>
      </c>
      <c r="D523" t="inlineStr">
        <is>
          <t>Ford</t>
        </is>
      </c>
      <c r="E523" t="inlineStr">
        <is>
          <t>Transit</t>
        </is>
      </c>
      <c r="F523" t="inlineStr">
        <is>
          <t>NA10SYZ</t>
        </is>
      </c>
      <c r="G523" t="inlineStr">
        <is>
          <t xml:space="preserve">Abraham Davies </t>
        </is>
      </c>
      <c r="H523" t="inlineStr">
        <is>
          <t>Tipper</t>
        </is>
      </c>
      <c r="I523" t="inlineStr">
        <is>
          <t>Daily/ Weekly Vehicle Inspection</t>
        </is>
      </c>
      <c r="J523" t="inlineStr">
        <is>
          <t>N/A</t>
        </is>
      </c>
      <c r="K523" t="inlineStr">
        <is>
          <t>7806 Optimum Tree Services Ltd</t>
        </is>
      </c>
      <c r="L523" t="inlineStr">
        <is>
          <t>03/06/2025 07:01</t>
        </is>
      </c>
      <c r="M523" t="inlineStr">
        <is>
          <t>None</t>
        </is>
      </c>
      <c r="N523" t="inlineStr">
        <is>
          <t>&lt;p&gt;&lt;/p&gt;</t>
        </is>
      </c>
      <c r="O523" t="inlineStr"/>
      <c r="P523" t="inlineStr">
        <is>
          <t>Tipper - Ford - Transit - NA10SYZ</t>
        </is>
      </c>
      <c r="Q523" t="inlineStr">
        <is>
          <t>UKPN</t>
        </is>
      </c>
      <c r="R523" t="b">
        <v>0</v>
      </c>
    </row>
    <row r="524">
      <c r="A524" t="inlineStr">
        <is>
          <t>3 Jun 2025 / 7889 Tree Tech Suffolk Ltd</t>
        </is>
      </c>
      <c r="B524" t="inlineStr">
        <is>
          <t>Utilities &amp; Inland Waterways</t>
        </is>
      </c>
      <c r="C524" t="inlineStr">
        <is>
          <t>UKPN</t>
        </is>
      </c>
      <c r="D524" t="inlineStr">
        <is>
          <t>Isuzu</t>
        </is>
      </c>
      <c r="E524" t="inlineStr">
        <is>
          <t>D-max</t>
        </is>
      </c>
      <c r="F524" t="inlineStr">
        <is>
          <t>NS03 TTSTow Chipper</t>
        </is>
      </c>
      <c r="G524" t="inlineStr">
        <is>
          <t xml:space="preserve">Danny Appleby Nikki sparrow Nikki sparrow </t>
        </is>
      </c>
      <c r="H524" t="inlineStr">
        <is>
          <t>4x4Towed ChipperTipper</t>
        </is>
      </c>
      <c r="I524" t="inlineStr">
        <is>
          <t>Daily/ Weekly Vehicle Inspection</t>
        </is>
      </c>
      <c r="J524" t="inlineStr">
        <is>
          <t>N/A</t>
        </is>
      </c>
      <c r="K524" t="inlineStr">
        <is>
          <t>7889 Tree Tech Suffolk Ltd</t>
        </is>
      </c>
      <c r="L524" t="inlineStr">
        <is>
          <t>03/06/2025 08:03</t>
        </is>
      </c>
      <c r="M524" t="inlineStr">
        <is>
          <t>None</t>
        </is>
      </c>
      <c r="N524" t="inlineStr">
        <is>
          <t>&lt;p&gt;&lt;/p&gt;</t>
        </is>
      </c>
      <c r="O524" t="inlineStr"/>
      <c r="P524" t="inlineStr">
        <is>
          <t>4x4 - Isuzu - D-max - NS03 TTSTow Chipper - Jenson - A530L - 5521063948Tipper - Nissan - Navara - NS02TTS</t>
        </is>
      </c>
      <c r="Q524" t="inlineStr">
        <is>
          <t>UKPN</t>
        </is>
      </c>
      <c r="R524" t="b">
        <v>0</v>
      </c>
    </row>
    <row r="525">
      <c r="A525" t="inlineStr">
        <is>
          <t>2 Jun 2025 / 8016 AJ Tree Solutions</t>
        </is>
      </c>
      <c r="B525" t="inlineStr">
        <is>
          <t>Utilities &amp; Inland Waterways</t>
        </is>
      </c>
      <c r="C525" t="inlineStr">
        <is>
          <t>NGED</t>
        </is>
      </c>
      <c r="D525" t="inlineStr">
        <is>
          <t>Mitsubishi</t>
        </is>
      </c>
      <c r="E525" t="inlineStr">
        <is>
          <t>L200</t>
        </is>
      </c>
      <c r="F525" t="inlineStr">
        <is>
          <t>DN67 UMA</t>
        </is>
      </c>
      <c r="G525" t="inlineStr">
        <is>
          <t>Adam Jones</t>
        </is>
      </c>
      <c r="H525" t="inlineStr">
        <is>
          <t>Pickup Truck</t>
        </is>
      </c>
      <c r="I525" t="inlineStr">
        <is>
          <t>Daily/ Weekly Vehicle Inspection</t>
        </is>
      </c>
      <c r="J525" t="inlineStr">
        <is>
          <t>N/A</t>
        </is>
      </c>
      <c r="K525" t="inlineStr">
        <is>
          <t>8016 AJ Tree Solutions</t>
        </is>
      </c>
      <c r="L525" t="inlineStr">
        <is>
          <t>03/06/2025 20:01</t>
        </is>
      </c>
      <c r="M525" t="inlineStr">
        <is>
          <t>None</t>
        </is>
      </c>
      <c r="N525" t="inlineStr">
        <is>
          <t>&lt;p&gt;&lt;/p&gt;</t>
        </is>
      </c>
      <c r="O525" t="inlineStr"/>
      <c r="P525" t="inlineStr">
        <is>
          <t>Pickup Truck - Mitsubishi - L200 - DN67 UMA</t>
        </is>
      </c>
      <c r="Q525" t="inlineStr">
        <is>
          <t>NGED</t>
        </is>
      </c>
      <c r="R525" t="b">
        <v>0</v>
      </c>
    </row>
    <row r="526">
      <c r="A526" t="inlineStr">
        <is>
          <t>4 Jun 2025 / 7889 Tree Tech Suffolk Ltd</t>
        </is>
      </c>
      <c r="B526" t="inlineStr">
        <is>
          <t>Utilities &amp; Inland Waterways</t>
        </is>
      </c>
      <c r="C526" t="inlineStr">
        <is>
          <t>UKPN</t>
        </is>
      </c>
      <c r="D526" t="inlineStr">
        <is>
          <t>Isuzu</t>
        </is>
      </c>
      <c r="E526" t="inlineStr">
        <is>
          <t>D-max</t>
        </is>
      </c>
      <c r="F526" t="inlineStr">
        <is>
          <t>NS03 TTSTow Chipper</t>
        </is>
      </c>
      <c r="G526" t="inlineStr">
        <is>
          <t xml:space="preserve">Danny Appleby Nikki sparrow Nikki sparrow </t>
        </is>
      </c>
      <c r="H526" t="inlineStr">
        <is>
          <t>4x4Towed ChipperTipper</t>
        </is>
      </c>
      <c r="I526" t="inlineStr">
        <is>
          <t>Daily/ Weekly Vehicle Inspection</t>
        </is>
      </c>
      <c r="J526" t="inlineStr">
        <is>
          <t>N/A</t>
        </is>
      </c>
      <c r="K526" t="inlineStr">
        <is>
          <t>7889 Tree Tech Suffolk Ltd</t>
        </is>
      </c>
      <c r="L526" t="inlineStr">
        <is>
          <t>04/06/2025 07:04</t>
        </is>
      </c>
      <c r="M526" t="inlineStr">
        <is>
          <t>None</t>
        </is>
      </c>
      <c r="N526" t="inlineStr">
        <is>
          <t>&lt;p&gt;&lt;/p&gt;</t>
        </is>
      </c>
      <c r="O526" t="inlineStr"/>
      <c r="P526" t="inlineStr">
        <is>
          <t>4x4 - Isuzu - D-max - NS03 TTSTow Chipper - Jenson - A530L - 5521063948Tipper - Nissan - Navara - NS02TTS</t>
        </is>
      </c>
      <c r="Q526" t="inlineStr">
        <is>
          <t>UKPN</t>
        </is>
      </c>
      <c r="R526" t="b">
        <v>0</v>
      </c>
    </row>
    <row r="527">
      <c r="A527" t="inlineStr">
        <is>
          <t>4 Jun 2025 / 3988 Valiant Arborist Ltd</t>
        </is>
      </c>
      <c r="B527" t="inlineStr">
        <is>
          <t>Utilities &amp; Inland Waterways</t>
        </is>
      </c>
      <c r="C527" t="inlineStr">
        <is>
          <t>UKPN</t>
        </is>
      </c>
      <c r="D527" t="inlineStr">
        <is>
          <t xml:space="preserve">Isuzu </t>
        </is>
      </c>
      <c r="E527" t="inlineStr">
        <is>
          <t xml:space="preserve">D Max </t>
        </is>
      </c>
      <c r="F527" t="inlineStr">
        <is>
          <t>BT24 YEC</t>
        </is>
      </c>
      <c r="G527" t="inlineStr">
        <is>
          <t>Jake turner</t>
        </is>
      </c>
      <c r="H527" t="inlineStr">
        <is>
          <t>4x4</t>
        </is>
      </c>
      <c r="I527" t="inlineStr">
        <is>
          <t>Daily/ Weekly Vehicle Inspection</t>
        </is>
      </c>
      <c r="J527" t="inlineStr">
        <is>
          <t>N/A</t>
        </is>
      </c>
      <c r="K527" t="inlineStr">
        <is>
          <t>3988 Valiant Arborist Ltd</t>
        </is>
      </c>
      <c r="L527" t="inlineStr">
        <is>
          <t>04/06/2025 10:01</t>
        </is>
      </c>
      <c r="M527" t="inlineStr">
        <is>
          <t>None</t>
        </is>
      </c>
      <c r="N527" t="inlineStr">
        <is>
          <t>&lt;p&gt;&lt;/p&gt;</t>
        </is>
      </c>
      <c r="O527" t="inlineStr"/>
      <c r="P527" t="inlineStr">
        <is>
          <t>4x4 - Isuzu  - D Max  - BT24 YEC</t>
        </is>
      </c>
      <c r="Q527" t="inlineStr">
        <is>
          <t>UKPN</t>
        </is>
      </c>
      <c r="R527" t="b">
        <v>0</v>
      </c>
    </row>
    <row r="528">
      <c r="A528" t="inlineStr">
        <is>
          <t>5 Jun 2025 / 7806 Optimum Tree Services Ltd</t>
        </is>
      </c>
      <c r="B528" t="inlineStr">
        <is>
          <t>Utilities &amp; Inland Waterways</t>
        </is>
      </c>
      <c r="C528" t="inlineStr">
        <is>
          <t>UKPN</t>
        </is>
      </c>
      <c r="D528" t="inlineStr">
        <is>
          <t>Ford</t>
        </is>
      </c>
      <c r="E528" t="inlineStr">
        <is>
          <t>Transit</t>
        </is>
      </c>
      <c r="F528" t="inlineStr">
        <is>
          <t>NA10SYZ</t>
        </is>
      </c>
      <c r="G528" t="inlineStr">
        <is>
          <t xml:space="preserve">Abraham Davies </t>
        </is>
      </c>
      <c r="H528" t="inlineStr">
        <is>
          <t>Tipper</t>
        </is>
      </c>
      <c r="I528" t="inlineStr">
        <is>
          <t>Daily/ Weekly Vehicle Inspection</t>
        </is>
      </c>
      <c r="J528" t="inlineStr">
        <is>
          <t>N/A</t>
        </is>
      </c>
      <c r="K528" t="inlineStr">
        <is>
          <t>7806 Optimum Tree Services Ltd</t>
        </is>
      </c>
      <c r="L528" t="inlineStr">
        <is>
          <t>05/06/2025 08:02</t>
        </is>
      </c>
      <c r="M528" t="inlineStr">
        <is>
          <t>None</t>
        </is>
      </c>
      <c r="N528" t="inlineStr">
        <is>
          <t>&lt;p&gt;&lt;/p&gt;</t>
        </is>
      </c>
      <c r="O528" t="inlineStr"/>
      <c r="P528" t="inlineStr">
        <is>
          <t>Tipper - Ford - Transit - NA10SYZ</t>
        </is>
      </c>
      <c r="Q528" t="inlineStr">
        <is>
          <t>UKPN</t>
        </is>
      </c>
      <c r="R528" t="b">
        <v>0</v>
      </c>
    </row>
    <row r="529">
      <c r="A529" t="inlineStr">
        <is>
          <t>5 Jun 2025 / Jacob Oram</t>
        </is>
      </c>
      <c r="B529" t="inlineStr">
        <is>
          <t>Utilities &amp; Inland Waterways</t>
        </is>
      </c>
      <c r="C529" t="inlineStr">
        <is>
          <t>UKPN</t>
        </is>
      </c>
      <c r="D529" t="inlineStr">
        <is>
          <t>Toyota</t>
        </is>
      </c>
      <c r="E529" t="inlineStr">
        <is>
          <t>Hilux</t>
        </is>
      </c>
      <c r="F529" t="inlineStr">
        <is>
          <t>X21TNP</t>
        </is>
      </c>
      <c r="G529" t="inlineStr">
        <is>
          <t>Tom Playford</t>
        </is>
      </c>
      <c r="H529" t="inlineStr">
        <is>
          <t>4x4</t>
        </is>
      </c>
      <c r="I529" t="inlineStr">
        <is>
          <t>Daily/ Weekly Vehicle Inspection</t>
        </is>
      </c>
      <c r="J529" t="inlineStr">
        <is>
          <t>N/A</t>
        </is>
      </c>
      <c r="K529" t="inlineStr">
        <is>
          <t>7995 Contour Landscapes Ltd 1</t>
        </is>
      </c>
      <c r="L529" t="inlineStr">
        <is>
          <t>05/06/2025 09:01</t>
        </is>
      </c>
      <c r="M529" t="inlineStr">
        <is>
          <t>None</t>
        </is>
      </c>
      <c r="N529" t="inlineStr">
        <is>
          <t>&lt;p&gt;&lt;/p&gt;</t>
        </is>
      </c>
      <c r="O529" t="inlineStr"/>
      <c r="P529" t="inlineStr">
        <is>
          <t>4x4 - Toyota - Hilux - X21TNP</t>
        </is>
      </c>
      <c r="Q529" t="inlineStr">
        <is>
          <t>UKPN</t>
        </is>
      </c>
      <c r="R529" t="b">
        <v>0</v>
      </c>
    </row>
    <row r="530">
      <c r="A530" t="inlineStr">
        <is>
          <t>6 Jun 2025 / Mathew Dunn</t>
        </is>
      </c>
      <c r="B530" t="inlineStr">
        <is>
          <t>Utilities &amp; Inland Waterways</t>
        </is>
      </c>
      <c r="C530" t="inlineStr">
        <is>
          <t>SSE</t>
        </is>
      </c>
      <c r="D530" t="inlineStr">
        <is>
          <t>Petrol</t>
        </is>
      </c>
      <c r="E530" t="inlineStr">
        <is>
          <t xml:space="preserve">Vauxhall </t>
        </is>
      </c>
      <c r="F530" t="inlineStr">
        <is>
          <t>Mokka</t>
        </is>
      </c>
      <c r="G530" t="inlineStr">
        <is>
          <t xml:space="preserve">Mathew dunn </t>
        </is>
      </c>
      <c r="H530" t="inlineStr">
        <is>
          <t>Car - Petrol</t>
        </is>
      </c>
      <c r="I530" t="inlineStr">
        <is>
          <t>Monthly Vehicle Inspection</t>
        </is>
      </c>
      <c r="J530" t="inlineStr">
        <is>
          <t>23912</t>
        </is>
      </c>
      <c r="K530" t="inlineStr">
        <is>
          <t>Mathew Dunn</t>
        </is>
      </c>
      <c r="L530" t="inlineStr">
        <is>
          <t>06/06/2025 14:01</t>
        </is>
      </c>
      <c r="M530" t="inlineStr">
        <is>
          <t>None</t>
        </is>
      </c>
      <c r="N530" t="inlineStr">
        <is>
          <t>&lt;p&gt;&lt;/p&gt;</t>
        </is>
      </c>
      <c r="O530" t="inlineStr"/>
      <c r="P530" t="inlineStr">
        <is>
          <t>Car - Petrol - Vauxhall  - Mokka - DY23NLD</t>
        </is>
      </c>
      <c r="Q530" t="inlineStr">
        <is>
          <t>SSE</t>
        </is>
      </c>
      <c r="R530" t="b">
        <v>0</v>
      </c>
    </row>
    <row r="531">
      <c r="A531" t="inlineStr">
        <is>
          <t>9 Jun 2025 / 7940 HRJ Tree Services LTD</t>
        </is>
      </c>
      <c r="B531" t="inlineStr">
        <is>
          <t>Utilities &amp; Inland Waterways</t>
        </is>
      </c>
      <c r="C531" t="inlineStr">
        <is>
          <t>UKPN</t>
        </is>
      </c>
      <c r="D531" t="inlineStr">
        <is>
          <t xml:space="preserve">Toyota </t>
        </is>
      </c>
      <c r="E531" t="inlineStr">
        <is>
          <t>Hilux</t>
        </is>
      </c>
      <c r="F531" t="inlineStr">
        <is>
          <t>LL70GZP</t>
        </is>
      </c>
      <c r="G531" t="inlineStr">
        <is>
          <t xml:space="preserve">Harry Wilson </t>
        </is>
      </c>
      <c r="H531" t="inlineStr">
        <is>
          <t>Tipper</t>
        </is>
      </c>
      <c r="I531" t="inlineStr">
        <is>
          <t>Daily/ Weekly Vehicle Inspection</t>
        </is>
      </c>
      <c r="J531" t="inlineStr">
        <is>
          <t>N/A</t>
        </is>
      </c>
      <c r="K531" t="inlineStr">
        <is>
          <t>7940 HRJ Tree Services LTD</t>
        </is>
      </c>
      <c r="L531" t="inlineStr">
        <is>
          <t>09/06/2025 08:16</t>
        </is>
      </c>
      <c r="M531" t="inlineStr">
        <is>
          <t>None</t>
        </is>
      </c>
      <c r="N531" t="inlineStr">
        <is>
          <t>&lt;p&gt;&lt;/p&gt;</t>
        </is>
      </c>
      <c r="O531" t="inlineStr"/>
      <c r="P531" t="inlineStr">
        <is>
          <t>4x4 - Toyota  - Hilux - LL70GZP</t>
        </is>
      </c>
      <c r="Q531" t="inlineStr">
        <is>
          <t>UKPN</t>
        </is>
      </c>
      <c r="R531" t="b">
        <v>0</v>
      </c>
    </row>
    <row r="532">
      <c r="A532" t="inlineStr">
        <is>
          <t>9 Jun 2025 / 3988 Valiant Arborist Ltd</t>
        </is>
      </c>
      <c r="B532" t="inlineStr">
        <is>
          <t>Utilities &amp; Inland Waterways</t>
        </is>
      </c>
      <c r="C532" t="inlineStr">
        <is>
          <t>UKPN</t>
        </is>
      </c>
      <c r="D532" t="inlineStr">
        <is>
          <t>Nissan</t>
        </is>
      </c>
      <c r="E532" t="inlineStr">
        <is>
          <t>Cabstar</t>
        </is>
      </c>
      <c r="F532" t="inlineStr">
        <is>
          <t>SC57 WCM</t>
        </is>
      </c>
      <c r="G532" t="inlineStr">
        <is>
          <t xml:space="preserve">Adam nobles </t>
        </is>
      </c>
      <c r="H532" t="inlineStr">
        <is>
          <t>Tipper</t>
        </is>
      </c>
      <c r="I532" t="inlineStr">
        <is>
          <t>Daily/ Weekly Vehicle Inspection</t>
        </is>
      </c>
      <c r="J532" t="inlineStr">
        <is>
          <t>N/A</t>
        </is>
      </c>
      <c r="K532" t="inlineStr">
        <is>
          <t>3988 Valiant Arborist Ltd</t>
        </is>
      </c>
      <c r="L532" t="inlineStr">
        <is>
          <t>09/06/2025 10:04</t>
        </is>
      </c>
      <c r="M532" t="inlineStr">
        <is>
          <t>None</t>
        </is>
      </c>
      <c r="N532" t="inlineStr">
        <is>
          <t>&lt;p&gt;&lt;/p&gt;</t>
        </is>
      </c>
      <c r="O532" t="inlineStr"/>
      <c r="P532" t="inlineStr">
        <is>
          <t>Tipper - Nissan - Cabstar - SC57 WCM</t>
        </is>
      </c>
      <c r="Q532" t="inlineStr">
        <is>
          <t>UKPN</t>
        </is>
      </c>
      <c r="R532" t="b">
        <v>0</v>
      </c>
    </row>
    <row r="533">
      <c r="A533" t="inlineStr">
        <is>
          <t>9 Jun 2025 / 3988 Valiant Arborist Ltd</t>
        </is>
      </c>
      <c r="B533" t="inlineStr">
        <is>
          <t>Utilities &amp; Inland Waterways</t>
        </is>
      </c>
      <c r="C533" t="inlineStr">
        <is>
          <t>UKPN</t>
        </is>
      </c>
      <c r="D533" t="inlineStr">
        <is>
          <t xml:space="preserve">Isuzu </t>
        </is>
      </c>
      <c r="E533" t="inlineStr">
        <is>
          <t xml:space="preserve">D Max </t>
        </is>
      </c>
      <c r="F533" t="inlineStr">
        <is>
          <t>BT24 YEC</t>
        </is>
      </c>
      <c r="G533" t="inlineStr">
        <is>
          <t>Sam knight</t>
        </is>
      </c>
      <c r="H533" t="inlineStr">
        <is>
          <t>4x4</t>
        </is>
      </c>
      <c r="I533" t="inlineStr">
        <is>
          <t>Daily/ Weekly Vehicle Inspection</t>
        </is>
      </c>
      <c r="J533" t="inlineStr">
        <is>
          <t>N/A</t>
        </is>
      </c>
      <c r="K533" t="inlineStr">
        <is>
          <t>3988 Valiant Arborist Ltd</t>
        </is>
      </c>
      <c r="L533" t="inlineStr">
        <is>
          <t>09/06/2025 10:06</t>
        </is>
      </c>
      <c r="M533" t="inlineStr">
        <is>
          <t>None</t>
        </is>
      </c>
      <c r="N533" t="inlineStr">
        <is>
          <t>&lt;p&gt;&lt;/p&gt;</t>
        </is>
      </c>
      <c r="O533" t="inlineStr"/>
      <c r="P533" t="inlineStr">
        <is>
          <t>4x4 - Isuzu  - D Max  - BT24 YEC</t>
        </is>
      </c>
      <c r="Q533" t="inlineStr">
        <is>
          <t>UKPN</t>
        </is>
      </c>
      <c r="R533" t="b">
        <v>0</v>
      </c>
    </row>
    <row r="534">
      <c r="A534" t="inlineStr">
        <is>
          <t>9 Jun 2025 / Mathew Dunn</t>
        </is>
      </c>
      <c r="B534" t="inlineStr">
        <is>
          <t>Utilities &amp; Inland Waterways</t>
        </is>
      </c>
      <c r="C534" t="inlineStr">
        <is>
          <t>SSE</t>
        </is>
      </c>
      <c r="D534" t="inlineStr">
        <is>
          <t>Petrol</t>
        </is>
      </c>
      <c r="E534" t="inlineStr">
        <is>
          <t xml:space="preserve">Vauxhall </t>
        </is>
      </c>
      <c r="F534" t="inlineStr">
        <is>
          <t>Mokka</t>
        </is>
      </c>
      <c r="G534" t="inlineStr">
        <is>
          <t xml:space="preserve">Mathew dunn </t>
        </is>
      </c>
      <c r="H534" t="inlineStr">
        <is>
          <t>Car - Petrol</t>
        </is>
      </c>
      <c r="I534" t="inlineStr">
        <is>
          <t>Daily/ Weekly Vehicle Inspection</t>
        </is>
      </c>
      <c r="J534" t="inlineStr">
        <is>
          <t>N/A</t>
        </is>
      </c>
      <c r="K534" t="inlineStr">
        <is>
          <t>Mathew Dunn</t>
        </is>
      </c>
      <c r="L534" t="inlineStr">
        <is>
          <t>09/06/2025 15:02</t>
        </is>
      </c>
      <c r="M534" t="inlineStr">
        <is>
          <t>None</t>
        </is>
      </c>
      <c r="N534" t="inlineStr">
        <is>
          <t>&lt;p&gt;&lt;/p&gt;</t>
        </is>
      </c>
      <c r="O534" t="inlineStr"/>
      <c r="P534" t="inlineStr">
        <is>
          <t>Car - Petrol - Vauxhall  - Mokka - DY23NLD</t>
        </is>
      </c>
      <c r="Q534" t="inlineStr">
        <is>
          <t>SSE</t>
        </is>
      </c>
      <c r="R534" t="b">
        <v>0</v>
      </c>
    </row>
    <row r="535">
      <c r="A535" t="inlineStr">
        <is>
          <t>10 Jun 2025 / 7889 Tree Tech Suffolk Ltd</t>
        </is>
      </c>
      <c r="B535" t="inlineStr">
        <is>
          <t>Utilities &amp; Inland Waterways</t>
        </is>
      </c>
      <c r="C535" t="inlineStr">
        <is>
          <t>UKPN</t>
        </is>
      </c>
      <c r="D535" t="inlineStr">
        <is>
          <t>Isuzu</t>
        </is>
      </c>
      <c r="E535" t="inlineStr">
        <is>
          <t>D-max</t>
        </is>
      </c>
      <c r="F535" t="inlineStr">
        <is>
          <t>NS03 TTSTow Chipper</t>
        </is>
      </c>
      <c r="G535" t="inlineStr">
        <is>
          <t xml:space="preserve">Danny Appleby Nikki sparrow Nikki sparrow </t>
        </is>
      </c>
      <c r="H535" t="inlineStr">
        <is>
          <t>4x4Towed ChipperTipper</t>
        </is>
      </c>
      <c r="I535" t="inlineStr">
        <is>
          <t>Daily/ Weekly Vehicle Inspection</t>
        </is>
      </c>
      <c r="J535" t="inlineStr">
        <is>
          <t>N/A</t>
        </is>
      </c>
      <c r="K535" t="inlineStr">
        <is>
          <t>7889 Tree Tech Suffolk Ltd</t>
        </is>
      </c>
      <c r="L535" t="inlineStr">
        <is>
          <t>10/06/2025 07:04</t>
        </is>
      </c>
      <c r="M535" t="inlineStr">
        <is>
          <t>None</t>
        </is>
      </c>
      <c r="N535" t="inlineStr">
        <is>
          <t>&lt;p&gt;&lt;/p&gt;</t>
        </is>
      </c>
      <c r="O535" t="inlineStr"/>
      <c r="P535" t="inlineStr">
        <is>
          <t>4x4 - Isuzu - D-max - NS03 TTSTow Chipper - Jenson - A530L - 5521063948Tipper - Nissan - Navara - NS02TTS</t>
        </is>
      </c>
      <c r="Q535" t="inlineStr">
        <is>
          <t>UKPN</t>
        </is>
      </c>
      <c r="R535" t="b">
        <v>0</v>
      </c>
    </row>
    <row r="536">
      <c r="A536" t="inlineStr">
        <is>
          <t>10 Jun 2025 / 7806 Optimum Tree Services Ltd</t>
        </is>
      </c>
      <c r="B536" t="inlineStr">
        <is>
          <t>Utilities &amp; Inland Waterways</t>
        </is>
      </c>
      <c r="C536" t="inlineStr">
        <is>
          <t>UKPN</t>
        </is>
      </c>
      <c r="D536" t="inlineStr">
        <is>
          <t>Ford</t>
        </is>
      </c>
      <c r="E536" t="inlineStr">
        <is>
          <t>Transit</t>
        </is>
      </c>
      <c r="F536" t="inlineStr">
        <is>
          <t>NA10SYZ</t>
        </is>
      </c>
      <c r="G536" t="inlineStr">
        <is>
          <t xml:space="preserve">Abraham Davies </t>
        </is>
      </c>
      <c r="H536" t="inlineStr">
        <is>
          <t>Tipper</t>
        </is>
      </c>
      <c r="I536" t="inlineStr">
        <is>
          <t>Daily/ Weekly Vehicle Inspection</t>
        </is>
      </c>
      <c r="J536" t="inlineStr">
        <is>
          <t>N/A</t>
        </is>
      </c>
      <c r="K536" t="inlineStr">
        <is>
          <t>7806 Optimum Tree Services Ltd</t>
        </is>
      </c>
      <c r="L536" t="inlineStr">
        <is>
          <t>10/06/2025 08:05</t>
        </is>
      </c>
      <c r="M536" t="inlineStr">
        <is>
          <t>None</t>
        </is>
      </c>
      <c r="N536" t="inlineStr">
        <is>
          <t>&lt;p&gt;&lt;/p&gt;</t>
        </is>
      </c>
      <c r="O536" t="inlineStr"/>
      <c r="P536" t="inlineStr">
        <is>
          <t>Tipper - Ford - Transit - NA10SYZ</t>
        </is>
      </c>
      <c r="Q536" t="inlineStr">
        <is>
          <t>UKPN</t>
        </is>
      </c>
      <c r="R536" t="b">
        <v>0</v>
      </c>
    </row>
    <row r="537">
      <c r="A537" t="inlineStr">
        <is>
          <t>10 Jun 2025 / 7940 HRJ Tree Services LTD</t>
        </is>
      </c>
      <c r="B537" t="inlineStr">
        <is>
          <t>Utilities &amp; Inland Waterways</t>
        </is>
      </c>
      <c r="C537" t="inlineStr">
        <is>
          <t>UKPN</t>
        </is>
      </c>
      <c r="D537" t="inlineStr">
        <is>
          <t xml:space="preserve">Toyota </t>
        </is>
      </c>
      <c r="E537" t="inlineStr">
        <is>
          <t>Hilux</t>
        </is>
      </c>
      <c r="F537" t="inlineStr">
        <is>
          <t>LL70GZP</t>
        </is>
      </c>
      <c r="G537" t="inlineStr">
        <is>
          <t xml:space="preserve">Harry Wilson </t>
        </is>
      </c>
      <c r="H537" t="inlineStr">
        <is>
          <t>Tipper</t>
        </is>
      </c>
      <c r="I537" t="inlineStr">
        <is>
          <t>Daily/ Weekly Vehicle Inspection</t>
        </is>
      </c>
      <c r="J537" t="inlineStr">
        <is>
          <t>N/A</t>
        </is>
      </c>
      <c r="K537" t="inlineStr">
        <is>
          <t>7940 HRJ Tree Services LTD</t>
        </is>
      </c>
      <c r="L537" t="inlineStr">
        <is>
          <t>10/06/2025 08:10</t>
        </is>
      </c>
      <c r="M537" t="inlineStr">
        <is>
          <t>None</t>
        </is>
      </c>
      <c r="N537" t="inlineStr">
        <is>
          <t>&lt;p&gt;&lt;/p&gt;</t>
        </is>
      </c>
      <c r="O537" t="inlineStr"/>
      <c r="P537" t="inlineStr">
        <is>
          <t>4x4 - Toyota  - Hilux - LL70GZP</t>
        </is>
      </c>
      <c r="Q537" t="inlineStr">
        <is>
          <t>UKPN</t>
        </is>
      </c>
      <c r="R537" t="b">
        <v>0</v>
      </c>
    </row>
    <row r="538">
      <c r="A538" t="inlineStr">
        <is>
          <t>10 Jun 2025 / 7940 HRJ Tree Services LTD</t>
        </is>
      </c>
      <c r="B538" t="inlineStr">
        <is>
          <t>Utilities &amp; Inland Waterways</t>
        </is>
      </c>
      <c r="C538" t="inlineStr">
        <is>
          <t>UKPN</t>
        </is>
      </c>
      <c r="D538" t="inlineStr">
        <is>
          <t>Greenmech</t>
        </is>
      </c>
      <c r="E538" t="inlineStr">
        <is>
          <t>Quad trak160</t>
        </is>
      </c>
      <c r="F538" t="inlineStr">
        <is>
          <t>6632626</t>
        </is>
      </c>
      <c r="G538" t="inlineStr">
        <is>
          <t>Harry Wilson</t>
        </is>
      </c>
      <c r="H538" t="inlineStr">
        <is>
          <t>Towed Chipper</t>
        </is>
      </c>
      <c r="I538" t="inlineStr">
        <is>
          <t>Daily/ Weekly Vehicle Inspection</t>
        </is>
      </c>
      <c r="J538" t="inlineStr">
        <is>
          <t>N/A</t>
        </is>
      </c>
      <c r="K538" t="inlineStr">
        <is>
          <t>7940 HRJ Tree Services LTD</t>
        </is>
      </c>
      <c r="L538" t="inlineStr">
        <is>
          <t>10/06/2025 11:07</t>
        </is>
      </c>
      <c r="M538" t="inlineStr">
        <is>
          <t>None</t>
        </is>
      </c>
      <c r="N538" t="inlineStr">
        <is>
          <t>&lt;p&gt;&lt;/p&gt;</t>
        </is>
      </c>
      <c r="O538" t="inlineStr"/>
      <c r="P538" t="inlineStr">
        <is>
          <t>Tracked Vehicle - Greenmech - Quad trak160 - 6632626</t>
        </is>
      </c>
      <c r="Q538" t="inlineStr">
        <is>
          <t>UKPN</t>
        </is>
      </c>
      <c r="R538" t="b">
        <v>0</v>
      </c>
    </row>
    <row r="539">
      <c r="A539" t="inlineStr">
        <is>
          <t>11 Jun 2025 / 7889 Tree Tech Suffolk Ltd</t>
        </is>
      </c>
      <c r="B539" t="inlineStr">
        <is>
          <t>Utilities &amp; Inland Waterways</t>
        </is>
      </c>
      <c r="C539" t="inlineStr">
        <is>
          <t>UKPN</t>
        </is>
      </c>
      <c r="D539" t="inlineStr">
        <is>
          <t>Isuzu</t>
        </is>
      </c>
      <c r="E539" t="inlineStr">
        <is>
          <t>D-max</t>
        </is>
      </c>
      <c r="F539" t="inlineStr">
        <is>
          <t>NS03 TTSTow Chipper</t>
        </is>
      </c>
      <c r="G539" t="inlineStr">
        <is>
          <t xml:space="preserve">Danny Appleby Nikki sparrow Nikki sparrow </t>
        </is>
      </c>
      <c r="H539" t="inlineStr">
        <is>
          <t>4x4Towed ChipperTipper</t>
        </is>
      </c>
      <c r="I539" t="inlineStr">
        <is>
          <t>Daily/ Weekly Vehicle Inspection</t>
        </is>
      </c>
      <c r="J539" t="inlineStr">
        <is>
          <t>N/A</t>
        </is>
      </c>
      <c r="K539" t="inlineStr">
        <is>
          <t>7889 Tree Tech Suffolk Ltd</t>
        </is>
      </c>
      <c r="L539" t="inlineStr">
        <is>
          <t>11/06/2025 07:03</t>
        </is>
      </c>
      <c r="M539" t="inlineStr">
        <is>
          <t>None</t>
        </is>
      </c>
      <c r="N539" t="inlineStr">
        <is>
          <t>&lt;p&gt;&lt;/p&gt;</t>
        </is>
      </c>
      <c r="O539" t="inlineStr"/>
      <c r="P539" t="inlineStr">
        <is>
          <t>4x4 - Isuzu - D-max - NS03 TTSTow Chipper - Jenson - A530L - 5521063948Tipper - Nissan - Navara - NS02TTS</t>
        </is>
      </c>
      <c r="Q539" t="inlineStr">
        <is>
          <t>UKPN</t>
        </is>
      </c>
      <c r="R539" t="b">
        <v>0</v>
      </c>
    </row>
    <row r="540">
      <c r="A540" t="inlineStr">
        <is>
          <t>11 Jun 2025 / 7940 HRJ Tree Services LTD</t>
        </is>
      </c>
      <c r="B540" t="inlineStr">
        <is>
          <t>Utilities &amp; Inland Waterways</t>
        </is>
      </c>
      <c r="C540" t="inlineStr">
        <is>
          <t>UKPN</t>
        </is>
      </c>
      <c r="D540" t="inlineStr">
        <is>
          <t>Greenmech</t>
        </is>
      </c>
      <c r="E540" t="inlineStr">
        <is>
          <t>Quad trak160</t>
        </is>
      </c>
      <c r="F540" t="inlineStr">
        <is>
          <t>6632626</t>
        </is>
      </c>
      <c r="G540" t="inlineStr">
        <is>
          <t>Harry Wilson</t>
        </is>
      </c>
      <c r="H540" t="inlineStr">
        <is>
          <t>Equipment Trailer</t>
        </is>
      </c>
      <c r="I540" t="inlineStr">
        <is>
          <t>Daily/ Weekly Vehicle Inspection</t>
        </is>
      </c>
      <c r="J540" t="inlineStr">
        <is>
          <t>N/A</t>
        </is>
      </c>
      <c r="K540" t="inlineStr">
        <is>
          <t>7940 HRJ Tree Services LTD</t>
        </is>
      </c>
      <c r="L540" t="inlineStr">
        <is>
          <t>11/06/2025 07:05</t>
        </is>
      </c>
      <c r="M540" t="inlineStr">
        <is>
          <t>None</t>
        </is>
      </c>
      <c r="N540" t="inlineStr">
        <is>
          <t>&lt;p&gt;&lt;/p&gt;</t>
        </is>
      </c>
      <c r="O540" t="inlineStr"/>
      <c r="P540" t="inlineStr">
        <is>
          <t>Tracked Vehicle - Greenmech - Quad trak160 - 6632626</t>
        </is>
      </c>
      <c r="Q540" t="inlineStr">
        <is>
          <t>UKPN</t>
        </is>
      </c>
      <c r="R540" t="b">
        <v>0</v>
      </c>
    </row>
    <row r="541">
      <c r="A541" t="inlineStr">
        <is>
          <t>11 Jun 2025 / 7940 HRJ Tree Services LTD</t>
        </is>
      </c>
      <c r="B541" t="inlineStr">
        <is>
          <t>Utilities &amp; Inland Waterways</t>
        </is>
      </c>
      <c r="C541" t="inlineStr">
        <is>
          <t>UKPN</t>
        </is>
      </c>
      <c r="D541" t="inlineStr">
        <is>
          <t xml:space="preserve">Toyota </t>
        </is>
      </c>
      <c r="E541" t="inlineStr">
        <is>
          <t>Hilux</t>
        </is>
      </c>
      <c r="F541" t="inlineStr">
        <is>
          <t>LL70GZP</t>
        </is>
      </c>
      <c r="G541" t="inlineStr">
        <is>
          <t>Harry Wilson</t>
        </is>
      </c>
      <c r="H541" t="inlineStr">
        <is>
          <t>4x4</t>
        </is>
      </c>
      <c r="I541" t="inlineStr">
        <is>
          <t>Daily/ Weekly Vehicle Inspection</t>
        </is>
      </c>
      <c r="J541" t="inlineStr">
        <is>
          <t>N/A</t>
        </is>
      </c>
      <c r="K541" t="inlineStr">
        <is>
          <t>7940 HRJ Tree Services LTD</t>
        </is>
      </c>
      <c r="L541" t="inlineStr">
        <is>
          <t>11/06/2025 07:06</t>
        </is>
      </c>
      <c r="M541" t="inlineStr">
        <is>
          <t>None</t>
        </is>
      </c>
      <c r="N541" t="inlineStr">
        <is>
          <t>&lt;p&gt;&lt;/p&gt;</t>
        </is>
      </c>
      <c r="O541" t="inlineStr"/>
      <c r="P541" t="inlineStr">
        <is>
          <t>4x4 - Toyota  - Hilux - LL70GZP</t>
        </is>
      </c>
      <c r="Q541" t="inlineStr">
        <is>
          <t>UKPN</t>
        </is>
      </c>
      <c r="R541" t="b">
        <v>0</v>
      </c>
    </row>
    <row r="542">
      <c r="A542" t="inlineStr">
        <is>
          <t>12 Jun 2025 / 7940 HRJ Tree Services LTD</t>
        </is>
      </c>
      <c r="B542" t="inlineStr">
        <is>
          <t>Utilities &amp; Inland Waterways</t>
        </is>
      </c>
      <c r="C542" t="inlineStr">
        <is>
          <t>UKPN</t>
        </is>
      </c>
      <c r="D542" t="inlineStr">
        <is>
          <t>Greenmech</t>
        </is>
      </c>
      <c r="E542" t="inlineStr">
        <is>
          <t>Quad trak160</t>
        </is>
      </c>
      <c r="F542" t="inlineStr">
        <is>
          <t>6632626</t>
        </is>
      </c>
      <c r="G542" t="inlineStr">
        <is>
          <t>Harry Wilson</t>
        </is>
      </c>
      <c r="H542" t="inlineStr">
        <is>
          <t>Equipment Trailer</t>
        </is>
      </c>
      <c r="I542" t="inlineStr">
        <is>
          <t>Daily/ Weekly Vehicle Inspection</t>
        </is>
      </c>
      <c r="J542" t="inlineStr">
        <is>
          <t>N/A</t>
        </is>
      </c>
      <c r="K542" t="inlineStr">
        <is>
          <t>7940 HRJ Tree Services LTD</t>
        </is>
      </c>
      <c r="L542" t="inlineStr">
        <is>
          <t>12/06/2025 07:04</t>
        </is>
      </c>
      <c r="M542" t="inlineStr">
        <is>
          <t>None</t>
        </is>
      </c>
      <c r="N542" t="inlineStr">
        <is>
          <t>&lt;p&gt;&lt;/p&gt;</t>
        </is>
      </c>
      <c r="O542" t="inlineStr"/>
      <c r="P542" t="inlineStr">
        <is>
          <t>Tracked Vehicle - Greenmech - Quad trak160 - 6632626</t>
        </is>
      </c>
      <c r="Q542" t="inlineStr">
        <is>
          <t>UKPN</t>
        </is>
      </c>
      <c r="R542" t="b">
        <v>0</v>
      </c>
    </row>
    <row r="543">
      <c r="A543" t="inlineStr">
        <is>
          <t>12 Jun 2025 / 7940 HRJ Tree Services LTD</t>
        </is>
      </c>
      <c r="B543" t="inlineStr">
        <is>
          <t>Utilities &amp; Inland Waterways</t>
        </is>
      </c>
      <c r="C543" t="inlineStr">
        <is>
          <t>UKPN</t>
        </is>
      </c>
      <c r="D543" t="inlineStr">
        <is>
          <t xml:space="preserve">Toyota </t>
        </is>
      </c>
      <c r="E543" t="inlineStr">
        <is>
          <t>Hilux</t>
        </is>
      </c>
      <c r="F543" t="inlineStr">
        <is>
          <t>LL70GZP</t>
        </is>
      </c>
      <c r="G543" t="inlineStr">
        <is>
          <t>Harry Wilson</t>
        </is>
      </c>
      <c r="H543" t="inlineStr">
        <is>
          <t>4x4</t>
        </is>
      </c>
      <c r="I543" t="inlineStr">
        <is>
          <t>Daily/ Weekly Vehicle Inspection</t>
        </is>
      </c>
      <c r="J543" t="inlineStr">
        <is>
          <t>N/A</t>
        </is>
      </c>
      <c r="K543" t="inlineStr">
        <is>
          <t>7940 HRJ Tree Services LTD</t>
        </is>
      </c>
      <c r="L543" t="inlineStr">
        <is>
          <t>12/06/2025 07:04</t>
        </is>
      </c>
      <c r="M543" t="inlineStr">
        <is>
          <t>None</t>
        </is>
      </c>
      <c r="N543" t="inlineStr">
        <is>
          <t>&lt;p&gt;&lt;/p&gt;</t>
        </is>
      </c>
      <c r="O543" t="inlineStr"/>
      <c r="P543" t="inlineStr">
        <is>
          <t>4x4 - Toyota  - Hilux - LL70GZP</t>
        </is>
      </c>
      <c r="Q543" t="inlineStr">
        <is>
          <t>UKPN</t>
        </is>
      </c>
      <c r="R543" t="b">
        <v>0</v>
      </c>
    </row>
    <row r="544">
      <c r="A544" t="inlineStr">
        <is>
          <t>13 Jun 2025 / 7889 Tree Tech Suffolk Ltd</t>
        </is>
      </c>
      <c r="B544" t="inlineStr">
        <is>
          <t>Utilities &amp; Inland Waterways</t>
        </is>
      </c>
      <c r="C544" t="inlineStr">
        <is>
          <t>UKPN</t>
        </is>
      </c>
      <c r="D544" t="inlineStr">
        <is>
          <t>Isuzu</t>
        </is>
      </c>
      <c r="E544" t="inlineStr">
        <is>
          <t>D-max</t>
        </is>
      </c>
      <c r="F544" t="inlineStr">
        <is>
          <t>NS03 TTSTow Chipper</t>
        </is>
      </c>
      <c r="G544" t="inlineStr">
        <is>
          <t xml:space="preserve">Danny Appleby Nikki sparrow Nikki sparrow </t>
        </is>
      </c>
      <c r="H544" t="inlineStr">
        <is>
          <t>4x4Towed ChipperTipper</t>
        </is>
      </c>
      <c r="I544" t="inlineStr">
        <is>
          <t>Daily/ Weekly Vehicle Inspection</t>
        </is>
      </c>
      <c r="J544" t="inlineStr">
        <is>
          <t>N/A</t>
        </is>
      </c>
      <c r="K544" t="inlineStr">
        <is>
          <t>7889 Tree Tech Suffolk Ltd</t>
        </is>
      </c>
      <c r="L544" t="inlineStr">
        <is>
          <t>13/06/2025 07:03</t>
        </is>
      </c>
      <c r="M544" t="inlineStr">
        <is>
          <t>None</t>
        </is>
      </c>
      <c r="N544" t="inlineStr">
        <is>
          <t>&lt;p&gt;&lt;/p&gt;</t>
        </is>
      </c>
      <c r="O544" t="inlineStr"/>
      <c r="P544" t="inlineStr">
        <is>
          <t>4x4 - Isuzu - D-max - NS03 TTSTow Chipper - Jenson - A530L - 5521063948Tipper - Nissan - Navara - NS02TTS</t>
        </is>
      </c>
      <c r="Q544" t="inlineStr">
        <is>
          <t>UKPN</t>
        </is>
      </c>
      <c r="R544" t="b">
        <v>0</v>
      </c>
    </row>
    <row r="545">
      <c r="A545" t="inlineStr">
        <is>
          <t>13 Jun 2025 / 7940 HRJ Tree Services LTD</t>
        </is>
      </c>
      <c r="B545" t="inlineStr">
        <is>
          <t>Utilities &amp; Inland Waterways</t>
        </is>
      </c>
      <c r="C545" t="inlineStr">
        <is>
          <t>UKPN</t>
        </is>
      </c>
      <c r="D545" t="inlineStr">
        <is>
          <t xml:space="preserve">Toyota </t>
        </is>
      </c>
      <c r="E545" t="inlineStr">
        <is>
          <t>Hilux</t>
        </is>
      </c>
      <c r="F545" t="inlineStr">
        <is>
          <t>LL70GZP</t>
        </is>
      </c>
      <c r="G545" t="inlineStr">
        <is>
          <t xml:space="preserve">Harty Wilson </t>
        </is>
      </c>
      <c r="H545" t="inlineStr">
        <is>
          <t>4x4</t>
        </is>
      </c>
      <c r="I545" t="inlineStr">
        <is>
          <t>Daily/ Weekly Vehicle Inspection</t>
        </is>
      </c>
      <c r="J545" t="inlineStr">
        <is>
          <t>N/A</t>
        </is>
      </c>
      <c r="K545" t="inlineStr">
        <is>
          <t>7940 HRJ Tree Services LTD</t>
        </is>
      </c>
      <c r="L545" t="inlineStr">
        <is>
          <t>13/06/2025 07:05</t>
        </is>
      </c>
      <c r="M545" t="inlineStr">
        <is>
          <t>None</t>
        </is>
      </c>
      <c r="N545" t="inlineStr">
        <is>
          <t>&lt;p&gt;&lt;/p&gt;</t>
        </is>
      </c>
      <c r="O545" t="inlineStr"/>
      <c r="P545" t="inlineStr">
        <is>
          <t>4x4 - Toyota  - Hilux - LL70GZP</t>
        </is>
      </c>
      <c r="Q545" t="inlineStr">
        <is>
          <t>UKPN</t>
        </is>
      </c>
      <c r="R545" t="b">
        <v>0</v>
      </c>
    </row>
    <row r="546">
      <c r="A546" t="inlineStr">
        <is>
          <t>16 Jun 2025 / 7940 HRJ Tree Services LTD</t>
        </is>
      </c>
      <c r="B546" t="inlineStr">
        <is>
          <t>Utilities &amp; Inland Waterways</t>
        </is>
      </c>
      <c r="C546" t="inlineStr">
        <is>
          <t>UKPN</t>
        </is>
      </c>
      <c r="D546" t="inlineStr">
        <is>
          <t xml:space="preserve">Toyota </t>
        </is>
      </c>
      <c r="E546" t="inlineStr">
        <is>
          <t>Hilux</t>
        </is>
      </c>
      <c r="F546" t="inlineStr">
        <is>
          <t>LL70GZP</t>
        </is>
      </c>
      <c r="G546" t="inlineStr">
        <is>
          <t xml:space="preserve">Harry Wilson </t>
        </is>
      </c>
      <c r="H546" t="inlineStr">
        <is>
          <t>4x4</t>
        </is>
      </c>
      <c r="I546" t="inlineStr">
        <is>
          <t>Daily/ Weekly Vehicle Inspection</t>
        </is>
      </c>
      <c r="J546" t="inlineStr">
        <is>
          <t>N/A</t>
        </is>
      </c>
      <c r="K546" t="inlineStr">
        <is>
          <t>7940 HRJ Tree Services LTD</t>
        </is>
      </c>
      <c r="L546" t="inlineStr">
        <is>
          <t>16/06/2025 07:08</t>
        </is>
      </c>
      <c r="M546" t="inlineStr">
        <is>
          <t>None</t>
        </is>
      </c>
      <c r="N546" t="inlineStr">
        <is>
          <t>&lt;p&gt;&lt;/p&gt;</t>
        </is>
      </c>
      <c r="O546" t="inlineStr"/>
      <c r="P546" t="inlineStr">
        <is>
          <t>4x4 - Toyota  - Hilux - LL70GZP</t>
        </is>
      </c>
      <c r="Q546" t="inlineStr">
        <is>
          <t>UKPN</t>
        </is>
      </c>
      <c r="R546" t="b">
        <v>0</v>
      </c>
    </row>
    <row r="547">
      <c r="A547" t="inlineStr">
        <is>
          <t>16 Jun 2025 / 7940 HRJ Tree Services LTD</t>
        </is>
      </c>
      <c r="B547" t="inlineStr">
        <is>
          <t>Utilities &amp; Inland Waterways</t>
        </is>
      </c>
      <c r="C547" t="inlineStr">
        <is>
          <t>UKPN</t>
        </is>
      </c>
      <c r="D547" t="inlineStr">
        <is>
          <t>Greenmech</t>
        </is>
      </c>
      <c r="E547" t="inlineStr">
        <is>
          <t>Quad trak160</t>
        </is>
      </c>
      <c r="F547" t="inlineStr">
        <is>
          <t>6632626</t>
        </is>
      </c>
      <c r="G547" t="inlineStr">
        <is>
          <t>Harry Wilson</t>
        </is>
      </c>
      <c r="H547" t="inlineStr">
        <is>
          <t>Equipment Trailer</t>
        </is>
      </c>
      <c r="I547" t="inlineStr">
        <is>
          <t>Daily/ Weekly Vehicle Inspection</t>
        </is>
      </c>
      <c r="J547" t="inlineStr">
        <is>
          <t>N/A</t>
        </is>
      </c>
      <c r="K547" t="inlineStr">
        <is>
          <t>7940 HRJ Tree Services LTD</t>
        </is>
      </c>
      <c r="L547" t="inlineStr">
        <is>
          <t>16/06/2025 10:09</t>
        </is>
      </c>
      <c r="M547" t="inlineStr">
        <is>
          <t>None</t>
        </is>
      </c>
      <c r="N547" t="inlineStr">
        <is>
          <t>&lt;p&gt;&lt;/p&gt;</t>
        </is>
      </c>
      <c r="O547" t="inlineStr"/>
      <c r="P547" t="inlineStr">
        <is>
          <t>Tracked Vehicle - Greenmech - Quad trak160 - 6632626</t>
        </is>
      </c>
      <c r="Q547" t="inlineStr">
        <is>
          <t>UKPN</t>
        </is>
      </c>
      <c r="R547" t="b">
        <v>0</v>
      </c>
    </row>
    <row r="548">
      <c r="A548" t="inlineStr">
        <is>
          <t>17 Jun 2025 / 7889 Tree Tech Suffolk Ltd</t>
        </is>
      </c>
      <c r="B548" t="inlineStr">
        <is>
          <t>Utilities &amp; Inland Waterways</t>
        </is>
      </c>
      <c r="C548" t="inlineStr">
        <is>
          <t>UKPN</t>
        </is>
      </c>
      <c r="D548" t="inlineStr">
        <is>
          <t>Isuzu</t>
        </is>
      </c>
      <c r="E548" t="inlineStr">
        <is>
          <t>D-max</t>
        </is>
      </c>
      <c r="F548" t="inlineStr">
        <is>
          <t>NS03 TTSTow Chipper</t>
        </is>
      </c>
      <c r="G548" t="inlineStr">
        <is>
          <t xml:space="preserve">Danny Appleby Nikki sparrow Nikki sparrow </t>
        </is>
      </c>
      <c r="H548" t="inlineStr">
        <is>
          <t>4x4Towed ChipperTipper</t>
        </is>
      </c>
      <c r="I548" t="inlineStr">
        <is>
          <t>Daily/ Weekly Vehicle Inspection</t>
        </is>
      </c>
      <c r="J548" t="inlineStr">
        <is>
          <t>N/A</t>
        </is>
      </c>
      <c r="K548" t="inlineStr">
        <is>
          <t>7889 Tree Tech Suffolk Ltd</t>
        </is>
      </c>
      <c r="L548" t="inlineStr">
        <is>
          <t>17/06/2025 08:11</t>
        </is>
      </c>
      <c r="M548" t="inlineStr">
        <is>
          <t>None</t>
        </is>
      </c>
      <c r="N548" t="inlineStr">
        <is>
          <t>&lt;p&gt;&lt;/p&gt;</t>
        </is>
      </c>
      <c r="O548" t="inlineStr"/>
      <c r="P548" t="inlineStr">
        <is>
          <t>4x4 - Isuzu - D-max - NS03 TTSTow Chipper - Jenson - A530L - 5521063948Tipper - Nissan - Navara - NS02TTS</t>
        </is>
      </c>
      <c r="Q548" t="inlineStr">
        <is>
          <t>UKPN</t>
        </is>
      </c>
      <c r="R548" t="b">
        <v>0</v>
      </c>
    </row>
    <row r="549">
      <c r="A549" t="inlineStr">
        <is>
          <t>18 Jun 2025 / 7889 Tree Tech Suffolk Ltd</t>
        </is>
      </c>
      <c r="B549" t="inlineStr">
        <is>
          <t>Utilities &amp; Inland Waterways</t>
        </is>
      </c>
      <c r="C549" t="inlineStr">
        <is>
          <t>UKPN</t>
        </is>
      </c>
      <c r="D549" t="inlineStr">
        <is>
          <t>4x4 - Isuzu - D-max - NS03 TTSTow Chipper - Jenson - A530L - 5521063948Tipper - Nissan - Navara - NS02TTS</t>
        </is>
      </c>
      <c r="E549" t="inlineStr">
        <is>
          <t>4x4 - Isuzu - D-max - NS03 TTSTow Chipper - Jenson - A530L - 5521063948Tipper - Nissan - Navara - NS02TTS</t>
        </is>
      </c>
      <c r="F549" t="inlineStr">
        <is>
          <t>4x4 - Isuzu - D-max - NS03 TTSTow Chipper - Jenson - A530L - 5521063948Tipper - Nissan - Navara - NS02TTS</t>
        </is>
      </c>
      <c r="G549" t="inlineStr">
        <is>
          <t xml:space="preserve">Danny Appleby Nikki sparrow Nikki sparrow </t>
        </is>
      </c>
      <c r="H549" t="inlineStr">
        <is>
          <t>4x4Towed ChipperTipper</t>
        </is>
      </c>
      <c r="I549" t="inlineStr">
        <is>
          <t>Daily/ Weekly Vehicle Inspection</t>
        </is>
      </c>
      <c r="J549" t="inlineStr">
        <is>
          <t>N/A</t>
        </is>
      </c>
      <c r="K549" t="inlineStr">
        <is>
          <t>7889 Tree Tech Suffolk Ltd</t>
        </is>
      </c>
      <c r="L549" t="inlineStr">
        <is>
          <t>18/06/2025 07:04</t>
        </is>
      </c>
      <c r="M549" t="inlineStr">
        <is>
          <t>None</t>
        </is>
      </c>
      <c r="N549" t="inlineStr">
        <is>
          <t>&lt;p&gt;&lt;/p&gt;</t>
        </is>
      </c>
      <c r="O549" t="inlineStr"/>
      <c r="P549" t="inlineStr">
        <is>
          <t>4x4 - Isuzu - D-max - NS03 TTSTow Chipper - Jenson - A530L - 5521063948Tipper - Nissan - Navara - NS02TTS</t>
        </is>
      </c>
      <c r="Q549" t="inlineStr">
        <is>
          <t>UKPN</t>
        </is>
      </c>
      <c r="R549" t="b">
        <v>0</v>
      </c>
    </row>
    <row r="550">
      <c r="A550" t="inlineStr">
        <is>
          <t>12 Jun 2025 / 7951 Austin Tree Care LTD</t>
        </is>
      </c>
      <c r="B550" t="inlineStr">
        <is>
          <t>Utilities &amp; Inland Waterways</t>
        </is>
      </c>
      <c r="C550" t="inlineStr">
        <is>
          <t>UKPN</t>
        </is>
      </c>
      <c r="D550" t="inlineStr">
        <is>
          <t>SA9ST6P0001283612 , Tow Chipper , Forst , ST6p</t>
        </is>
      </c>
      <c r="E550" t="inlineStr">
        <is>
          <t>SA9ST6P0001283612 , Tow Chipper , Forst , ST6p</t>
        </is>
      </c>
      <c r="F550" t="inlineStr">
        <is>
          <t>SA9ST6P0001283612 , Tow Chipper , Forst , ST6p</t>
        </is>
      </c>
      <c r="G550" t="inlineStr">
        <is>
          <t>Jack Austin</t>
        </is>
      </c>
      <c r="H550" t="inlineStr">
        <is>
          <t>Towed Chipper</t>
        </is>
      </c>
      <c r="I550" t="inlineStr">
        <is>
          <t>Daily/ Weekly Vehicle Inspection</t>
        </is>
      </c>
      <c r="J550" t="inlineStr">
        <is>
          <t>N/A</t>
        </is>
      </c>
      <c r="K550" t="inlineStr">
        <is>
          <t>7951 Austin Tree Care LTD</t>
        </is>
      </c>
      <c r="L550" t="inlineStr">
        <is>
          <t>18/06/2025 08:04</t>
        </is>
      </c>
      <c r="M550" t="inlineStr">
        <is>
          <t>None</t>
        </is>
      </c>
      <c r="N550" t="inlineStr">
        <is>
          <t>&lt;p&gt;&lt;/p&gt;</t>
        </is>
      </c>
      <c r="O550" t="inlineStr"/>
      <c r="P550" t="inlineStr">
        <is>
          <t>SA9ST6P0001283612 , Tow Chipper , Forst , ST6p</t>
        </is>
      </c>
      <c r="Q550" t="inlineStr">
        <is>
          <t>UKPN</t>
        </is>
      </c>
      <c r="R550" t="b">
        <v>0</v>
      </c>
    </row>
    <row r="551">
      <c r="A551" t="inlineStr">
        <is>
          <t>16 Apr 2025 / 7951 Austin Tree Care LTD</t>
        </is>
      </c>
      <c r="B551" t="inlineStr">
        <is>
          <t>Utilities &amp; Inland Waterways</t>
        </is>
      </c>
      <c r="C551" t="inlineStr">
        <is>
          <t>UKPN</t>
        </is>
      </c>
      <c r="D551" t="inlineStr">
        <is>
          <t>WF61 HZV , 4x4 MEWP , Land Rover , Defender</t>
        </is>
      </c>
      <c r="E551" t="inlineStr">
        <is>
          <t>WF61 HZV , 4x4 MEWP , Land Rover , Defender</t>
        </is>
      </c>
      <c r="F551" t="inlineStr">
        <is>
          <t>WF61 HZV , 4x4 MEWP , Land Rover , Defender</t>
        </is>
      </c>
      <c r="G551" t="inlineStr">
        <is>
          <t xml:space="preserve">Jack Austin </t>
        </is>
      </c>
      <c r="H551" t="inlineStr">
        <is>
          <t>4x4</t>
        </is>
      </c>
      <c r="I551" t="inlineStr">
        <is>
          <t>Daily/ Weekly Vehicle Inspection</t>
        </is>
      </c>
      <c r="J551" t="inlineStr">
        <is>
          <t>N/A</t>
        </is>
      </c>
      <c r="K551" t="inlineStr">
        <is>
          <t>7951 Austin Tree Care LTD</t>
        </is>
      </c>
      <c r="L551" t="inlineStr">
        <is>
          <t>18/06/2025 08:05</t>
        </is>
      </c>
      <c r="M551" t="inlineStr">
        <is>
          <t>None</t>
        </is>
      </c>
      <c r="N551" t="inlineStr">
        <is>
          <t>&lt;p&gt;&lt;/p&gt;</t>
        </is>
      </c>
      <c r="O551" t="inlineStr"/>
      <c r="P551" t="inlineStr">
        <is>
          <t>WF61 HZV , 4x4 MEWP , Land Rover , Defender</t>
        </is>
      </c>
      <c r="Q551" t="inlineStr">
        <is>
          <t>UKPN</t>
        </is>
      </c>
      <c r="R551" t="b">
        <v>0</v>
      </c>
    </row>
    <row r="552">
      <c r="A552" t="inlineStr">
        <is>
          <t>18 Jun 2025 / 7800 MAC Tree Surgery and Fencing Ltd</t>
        </is>
      </c>
      <c r="B552" t="inlineStr">
        <is>
          <t>Utilities &amp; Inland Waterways</t>
        </is>
      </c>
      <c r="C552" t="inlineStr">
        <is>
          <t>UKPN</t>
        </is>
      </c>
      <c r="D552" t="inlineStr">
        <is>
          <t>205143043-A1 , Tow Chipper , Timberwolf , TW150</t>
        </is>
      </c>
      <c r="E552" t="inlineStr">
        <is>
          <t>205143043-A1 , Tow Chipper , Timberwolf , TW150</t>
        </is>
      </c>
      <c r="F552" t="inlineStr">
        <is>
          <t>205143043-A1 , Tow Chipper , Timberwolf , TW150</t>
        </is>
      </c>
      <c r="G552" t="inlineStr">
        <is>
          <t xml:space="preserve">Lewis mac </t>
        </is>
      </c>
      <c r="H552" t="inlineStr">
        <is>
          <t>Towed Chipper</t>
        </is>
      </c>
      <c r="I552" t="inlineStr">
        <is>
          <t>Daily/ Weekly Vehicle Inspection</t>
        </is>
      </c>
      <c r="J552" t="inlineStr">
        <is>
          <t>N/A</t>
        </is>
      </c>
      <c r="K552" t="inlineStr">
        <is>
          <t>7800 MAC Tree Surgery and Fencing Ltd</t>
        </is>
      </c>
      <c r="L552" t="inlineStr">
        <is>
          <t>18/06/2025 08:06</t>
        </is>
      </c>
      <c r="M552" t="inlineStr">
        <is>
          <t>None</t>
        </is>
      </c>
      <c r="N552" t="inlineStr">
        <is>
          <t>&lt;p&gt;&lt;/p&gt;</t>
        </is>
      </c>
      <c r="O552" t="inlineStr"/>
      <c r="P552" t="inlineStr">
        <is>
          <t>205143043-A1 , Tow Chipper , Timberwolf , TW150</t>
        </is>
      </c>
      <c r="Q552" t="inlineStr">
        <is>
          <t>UKPN</t>
        </is>
      </c>
      <c r="R552" t="b">
        <v>0</v>
      </c>
    </row>
    <row r="553">
      <c r="A553" t="inlineStr">
        <is>
          <t>18 Jun 2025 / 7800 MAC Tree Surgery and Fencing Ltd</t>
        </is>
      </c>
      <c r="B553" t="inlineStr">
        <is>
          <t>Utilities &amp; Inland Waterways</t>
        </is>
      </c>
      <c r="C553" t="inlineStr">
        <is>
          <t>UKPN</t>
        </is>
      </c>
      <c r="D553" t="inlineStr">
        <is>
          <t>AY68DAA , 4x4 , Izuzu , Dmax</t>
        </is>
      </c>
      <c r="E553" t="inlineStr">
        <is>
          <t>AY68DAA , 4x4 , Izuzu , Dmax</t>
        </is>
      </c>
      <c r="F553" t="inlineStr">
        <is>
          <t>AY68DAA , 4x4 , Izuzu , Dmax</t>
        </is>
      </c>
      <c r="G553" t="inlineStr">
        <is>
          <t xml:space="preserve">Lewis </t>
        </is>
      </c>
      <c r="H553" t="inlineStr">
        <is>
          <t>4x4</t>
        </is>
      </c>
      <c r="I553" t="inlineStr">
        <is>
          <t>Daily/ Weekly Vehicle Inspection</t>
        </is>
      </c>
      <c r="J553" t="inlineStr">
        <is>
          <t>N/A</t>
        </is>
      </c>
      <c r="K553" t="inlineStr">
        <is>
          <t>7800 MAC Tree Surgery and Fencing Ltd</t>
        </is>
      </c>
      <c r="L553" t="inlineStr">
        <is>
          <t>18/06/2025 08:07</t>
        </is>
      </c>
      <c r="M553" t="inlineStr">
        <is>
          <t>None</t>
        </is>
      </c>
      <c r="N553" t="inlineStr">
        <is>
          <t>&lt;p&gt;&lt;/p&gt;</t>
        </is>
      </c>
      <c r="O553" t="inlineStr">
        <is>
          <t>Confirm that you have checked this vehicle as per the guidance document and the vehicle is safe and roadworthy:Slight crack in windscreen but doesn't effect vision
-</t>
        </is>
      </c>
      <c r="P553" t="inlineStr">
        <is>
          <t>AY68DAA , 4x4 , Izuzu , Dmax</t>
        </is>
      </c>
      <c r="Q553" t="inlineStr">
        <is>
          <t>UKPN</t>
        </is>
      </c>
      <c r="R553" t="b">
        <v>0</v>
      </c>
    </row>
    <row r="554">
      <c r="A554" t="inlineStr">
        <is>
          <t>18 Jun 2025 / 7806 Optimum Tree Services Ltd</t>
        </is>
      </c>
      <c r="B554" t="inlineStr">
        <is>
          <t>Utilities &amp; Inland Waterways</t>
        </is>
      </c>
      <c r="C554" t="inlineStr">
        <is>
          <t>UKPN</t>
        </is>
      </c>
      <c r="D554" t="inlineStr">
        <is>
          <t>SA9ST800000283069 , Chipper , Forst , ST 6P</t>
        </is>
      </c>
      <c r="E554" t="inlineStr">
        <is>
          <t>SA9ST800000283069 , Chipper , Forst , ST 6P</t>
        </is>
      </c>
      <c r="F554" t="inlineStr">
        <is>
          <t>SA9ST800000283069 , Chipper , Forst , ST 6P</t>
        </is>
      </c>
      <c r="G554" t="inlineStr">
        <is>
          <t xml:space="preserve">Abraham Davies </t>
        </is>
      </c>
      <c r="H554" t="inlineStr">
        <is>
          <t>Towed Chipper</t>
        </is>
      </c>
      <c r="I554" t="inlineStr">
        <is>
          <t>Daily/ Weekly Vehicle Inspection</t>
        </is>
      </c>
      <c r="J554" t="inlineStr">
        <is>
          <t>N/A</t>
        </is>
      </c>
      <c r="K554" t="inlineStr">
        <is>
          <t>7806 Optimum Tree Services Ltd</t>
        </is>
      </c>
      <c r="L554" t="inlineStr">
        <is>
          <t>18/06/2025 08:08</t>
        </is>
      </c>
      <c r="M554" t="inlineStr">
        <is>
          <t>None</t>
        </is>
      </c>
      <c r="N554" t="inlineStr">
        <is>
          <t>&lt;p&gt;&lt;/p&gt;</t>
        </is>
      </c>
      <c r="O554" t="inlineStr"/>
      <c r="P554" t="inlineStr">
        <is>
          <t>SA9ST800000283069 , Chipper , Forst , ST 6P</t>
        </is>
      </c>
      <c r="Q554" t="inlineStr">
        <is>
          <t>UKPN</t>
        </is>
      </c>
      <c r="R554" t="b">
        <v>0</v>
      </c>
    </row>
    <row r="555">
      <c r="A555" t="inlineStr">
        <is>
          <t>18 Jun 2025 / 7806 Optimum Tree Services Ltd</t>
        </is>
      </c>
      <c r="B555" t="inlineStr">
        <is>
          <t>Utilities &amp; Inland Waterways</t>
        </is>
      </c>
      <c r="C555" t="inlineStr">
        <is>
          <t>UKPN</t>
        </is>
      </c>
      <c r="D555" t="inlineStr">
        <is>
          <t>WD14EVB , MEWP , Land Rover , Defender</t>
        </is>
      </c>
      <c r="E555" t="inlineStr">
        <is>
          <t>WD14EVB , MEWP , Land Rover , Defender</t>
        </is>
      </c>
      <c r="F555" t="inlineStr">
        <is>
          <t>WD14EVB , MEWP , Land Rover , Defender</t>
        </is>
      </c>
      <c r="G555" t="inlineStr">
        <is>
          <t xml:space="preserve">Abraham Davies </t>
        </is>
      </c>
      <c r="H555" t="inlineStr">
        <is>
          <t>4x4</t>
        </is>
      </c>
      <c r="I555" t="inlineStr">
        <is>
          <t>Daily/ Weekly Vehicle Inspection</t>
        </is>
      </c>
      <c r="J555" t="inlineStr">
        <is>
          <t>N/A</t>
        </is>
      </c>
      <c r="K555" t="inlineStr">
        <is>
          <t>7806 Optimum Tree Services Ltd</t>
        </is>
      </c>
      <c r="L555" t="inlineStr">
        <is>
          <t>18/06/2025 08:08</t>
        </is>
      </c>
      <c r="M555" t="inlineStr">
        <is>
          <t>None</t>
        </is>
      </c>
      <c r="N555" t="inlineStr">
        <is>
          <t>&lt;p&gt;&lt;/p&gt;</t>
        </is>
      </c>
      <c r="O555" t="inlineStr"/>
      <c r="P555" t="inlineStr">
        <is>
          <t>WD14EVB , MEWP , Land Rover , Defender</t>
        </is>
      </c>
      <c r="Q555" t="inlineStr">
        <is>
          <t>UKPN</t>
        </is>
      </c>
      <c r="R555" t="b">
        <v>0</v>
      </c>
    </row>
    <row r="556">
      <c r="A556" t="inlineStr">
        <is>
          <t>18 Jun 2025 / 7186 Eastwoodbury Tree Services Ltd</t>
        </is>
      </c>
      <c r="B556" t="inlineStr">
        <is>
          <t>Utilities &amp; Inland Waterways</t>
        </is>
      </c>
      <c r="C556" t="inlineStr">
        <is>
          <t>UKPN</t>
        </is>
      </c>
      <c r="D556" t="inlineStr">
        <is>
          <t>AO57BPF , 4x4 , Santana  , Ps10</t>
        </is>
      </c>
      <c r="E556" t="inlineStr">
        <is>
          <t>AO57BPF , 4x4 , Santana  , Ps10</t>
        </is>
      </c>
      <c r="F556" t="inlineStr">
        <is>
          <t>AO57BPF , 4x4 , Santana  , Ps10</t>
        </is>
      </c>
      <c r="G556" t="inlineStr">
        <is>
          <t xml:space="preserve">Dan Gilbert </t>
        </is>
      </c>
      <c r="H556" t="inlineStr">
        <is>
          <t>4x4</t>
        </is>
      </c>
      <c r="I556" t="inlineStr">
        <is>
          <t>Daily/ Weekly Vehicle Inspection</t>
        </is>
      </c>
      <c r="J556" t="inlineStr">
        <is>
          <t>N/A</t>
        </is>
      </c>
      <c r="K556" t="inlineStr">
        <is>
          <t>7186 Eastwoodbury Tree Services Ltd</t>
        </is>
      </c>
      <c r="L556" t="inlineStr">
        <is>
          <t>18/06/2025 08:09</t>
        </is>
      </c>
      <c r="M556" t="inlineStr">
        <is>
          <t>None</t>
        </is>
      </c>
      <c r="N556" t="inlineStr">
        <is>
          <t>&lt;p&gt;&lt;/p&gt;</t>
        </is>
      </c>
      <c r="O556" t="inlineStr"/>
      <c r="P556" t="inlineStr">
        <is>
          <t>AO57BPF , 4x4 , Santana  , Ps10</t>
        </is>
      </c>
      <c r="Q556" t="inlineStr">
        <is>
          <t>UKPN</t>
        </is>
      </c>
      <c r="R556" t="b">
        <v>0</v>
      </c>
    </row>
    <row r="557">
      <c r="A557" t="inlineStr">
        <is>
          <t>18 Jun 2025 / 6617 Ashdown Tree Limited 1</t>
        </is>
      </c>
      <c r="B557" t="inlineStr">
        <is>
          <t>Utilities &amp; Inland Waterways</t>
        </is>
      </c>
      <c r="C557" t="inlineStr">
        <is>
          <t>UKPN</t>
        </is>
      </c>
      <c r="D557" t="inlineStr">
        <is>
          <t>GU11LKD , 4x4 , Land Rover , Defender</t>
        </is>
      </c>
      <c r="E557" t="inlineStr">
        <is>
          <t>GU11LKD , 4x4 , Land Rover , Defender</t>
        </is>
      </c>
      <c r="F557" t="inlineStr">
        <is>
          <t>GU11LKD , 4x4 , Land Rover , Defender</t>
        </is>
      </c>
      <c r="G557" t="inlineStr">
        <is>
          <t xml:space="preserve">Luke williams </t>
        </is>
      </c>
      <c r="H557" t="inlineStr">
        <is>
          <t>4x4</t>
        </is>
      </c>
      <c r="I557" t="inlineStr">
        <is>
          <t>Daily/ Weekly Vehicle Inspection</t>
        </is>
      </c>
      <c r="J557" t="inlineStr">
        <is>
          <t>N/A</t>
        </is>
      </c>
      <c r="K557" t="inlineStr">
        <is>
          <t>6617 Ashdown Tree Limited 1</t>
        </is>
      </c>
      <c r="L557" t="inlineStr">
        <is>
          <t>18/06/2025 09:04</t>
        </is>
      </c>
      <c r="M557" t="inlineStr">
        <is>
          <t>None</t>
        </is>
      </c>
      <c r="N557" t="inlineStr">
        <is>
          <t>&lt;p&gt;&lt;/p&gt;</t>
        </is>
      </c>
      <c r="O557" t="inlineStr"/>
      <c r="P557" t="inlineStr">
        <is>
          <t>GU11LKD , 4x4 , Land Rover , Defender</t>
        </is>
      </c>
      <c r="Q557" t="inlineStr">
        <is>
          <t>UKPN</t>
        </is>
      </c>
      <c r="R557" t="b">
        <v>0</v>
      </c>
    </row>
    <row r="558">
      <c r="A558" t="inlineStr">
        <is>
          <t>18 Jun 2025 / 6617 Ashdown Tree Limited 1</t>
        </is>
      </c>
      <c r="B558" t="inlineStr">
        <is>
          <t>Utilities &amp; Inland Waterways</t>
        </is>
      </c>
      <c r="C558" t="inlineStr">
        <is>
          <t>UKPN</t>
        </is>
      </c>
      <c r="D558" t="inlineStr">
        <is>
          <t>FE11BUT , Tipper , Ford , Transit</t>
        </is>
      </c>
      <c r="E558" t="inlineStr">
        <is>
          <t>FE11BUT , Tipper , Ford , Transit</t>
        </is>
      </c>
      <c r="F558" t="inlineStr">
        <is>
          <t>FE11BUT , Tipper , Ford , Transit</t>
        </is>
      </c>
      <c r="G558" t="inlineStr">
        <is>
          <t>Dan Watkins 8</t>
        </is>
      </c>
      <c r="H558" t="inlineStr">
        <is>
          <t>Tipper</t>
        </is>
      </c>
      <c r="I558" t="inlineStr">
        <is>
          <t>Daily/ Weekly Vehicle Inspection</t>
        </is>
      </c>
      <c r="J558" t="inlineStr">
        <is>
          <t>N/A</t>
        </is>
      </c>
      <c r="K558" t="inlineStr">
        <is>
          <t>6617 Ashdown Tree Limited 1</t>
        </is>
      </c>
      <c r="L558" t="inlineStr">
        <is>
          <t>18/06/2025 09:04</t>
        </is>
      </c>
      <c r="M558" t="inlineStr">
        <is>
          <t>None</t>
        </is>
      </c>
      <c r="N558" t="inlineStr">
        <is>
          <t>&lt;p&gt;&lt;/p&gt;</t>
        </is>
      </c>
      <c r="O558" t="inlineStr"/>
      <c r="P558" t="inlineStr">
        <is>
          <t>FE11BUT , Tipper , Ford , Transit</t>
        </is>
      </c>
      <c r="Q558" t="inlineStr">
        <is>
          <t>UKPN</t>
        </is>
      </c>
      <c r="R558" t="b">
        <v>0</v>
      </c>
    </row>
    <row r="559">
      <c r="A559" t="inlineStr">
        <is>
          <t>18 Jun 2025 / Thomas Nandi</t>
        </is>
      </c>
      <c r="B559" t="inlineStr">
        <is>
          <t>Utilities &amp; Inland Waterways</t>
        </is>
      </c>
      <c r="C559" t="inlineStr">
        <is>
          <t>SSE</t>
        </is>
      </c>
      <c r="D559" t="inlineStr">
        <is>
          <t>Car - Petrol - Nissan  - Juke - DY25 UZD</t>
        </is>
      </c>
      <c r="E559" t="inlineStr">
        <is>
          <t>Car - Petrol - Nissan  - Juke - DY25 UZD</t>
        </is>
      </c>
      <c r="F559" t="inlineStr">
        <is>
          <t>Car - Petrol - Nissan  - Juke - DY25 UZD</t>
        </is>
      </c>
      <c r="G559" t="inlineStr">
        <is>
          <t xml:space="preserve">Tom Nandi </t>
        </is>
      </c>
      <c r="H559" t="inlineStr">
        <is>
          <t>Car - Petrol</t>
        </is>
      </c>
      <c r="I559" t="inlineStr">
        <is>
          <t>Daily/ Weekly Vehicle Inspection</t>
        </is>
      </c>
      <c r="J559" t="inlineStr">
        <is>
          <t>N/A</t>
        </is>
      </c>
      <c r="K559" t="inlineStr">
        <is>
          <t>Thomas Nandi</t>
        </is>
      </c>
      <c r="L559" t="inlineStr">
        <is>
          <t>18/06/2025 09:05</t>
        </is>
      </c>
      <c r="M559" t="inlineStr">
        <is>
          <t>None</t>
        </is>
      </c>
      <c r="N559" t="inlineStr">
        <is>
          <t>&lt;p&gt;&lt;/p&gt;</t>
        </is>
      </c>
      <c r="O559" t="inlineStr"/>
      <c r="P559" t="inlineStr">
        <is>
          <t>Car - Petrol - Nissan  - Juke - DY25 UZD</t>
        </is>
      </c>
      <c r="Q559" t="inlineStr">
        <is>
          <t>SSE</t>
        </is>
      </c>
      <c r="R559" t="b">
        <v>0</v>
      </c>
    </row>
    <row r="560">
      <c r="A560" t="inlineStr">
        <is>
          <t>18 Jun 2025 / 7535 HJ Tree Services</t>
        </is>
      </c>
      <c r="B560" t="inlineStr">
        <is>
          <t>Utilities &amp; Inland Waterways</t>
        </is>
      </c>
      <c r="C560" t="inlineStr">
        <is>
          <t>SSE</t>
        </is>
      </c>
      <c r="D560" t="inlineStr">
        <is>
          <t>4x4 - Ford - Ranger - Bh19vxz</t>
        </is>
      </c>
      <c r="E560" t="inlineStr">
        <is>
          <t>4x4 - Ford - Ranger - Bh19vxz</t>
        </is>
      </c>
      <c r="F560" t="inlineStr">
        <is>
          <t>4x4 - Ford - Ranger - Bh19vxz</t>
        </is>
      </c>
      <c r="G560" t="inlineStr">
        <is>
          <t>Cory Joy</t>
        </is>
      </c>
      <c r="H560" t="inlineStr">
        <is>
          <t>4x4</t>
        </is>
      </c>
      <c r="I560" t="inlineStr">
        <is>
          <t>Daily/ Weekly Vehicle Inspection</t>
        </is>
      </c>
      <c r="J560" t="inlineStr">
        <is>
          <t>N/A</t>
        </is>
      </c>
      <c r="K560" t="inlineStr">
        <is>
          <t>7535 HJ Tree Services</t>
        </is>
      </c>
      <c r="L560" t="inlineStr">
        <is>
          <t>18/06/2025 09:09</t>
        </is>
      </c>
      <c r="M560" t="inlineStr">
        <is>
          <t>None</t>
        </is>
      </c>
      <c r="N560" t="inlineStr">
        <is>
          <t>&lt;p&gt;&lt;/p&gt;</t>
        </is>
      </c>
      <c r="O560" t="inlineStr"/>
      <c r="P560" t="inlineStr">
        <is>
          <t>4x4 - Ford - Ranger - Bh19vxz</t>
        </is>
      </c>
      <c r="Q560" t="inlineStr">
        <is>
          <t>SSE</t>
        </is>
      </c>
      <c r="R560" t="b">
        <v>0</v>
      </c>
    </row>
    <row r="561">
      <c r="A561" t="inlineStr">
        <is>
          <t>18 Jun 2025 / 3098 D &amp; R Landscapes (PEND Arb Rail)</t>
        </is>
      </c>
      <c r="B561" t="inlineStr">
        <is>
          <t>Utilities &amp; Inland Waterways</t>
        </is>
      </c>
      <c r="C561" t="inlineStr">
        <is>
          <t>UKPN</t>
        </is>
      </c>
      <c r="D561" t="inlineStr">
        <is>
          <t>DE68XHA , Tipper , Isuzu , Grafter</t>
        </is>
      </c>
      <c r="E561" t="inlineStr">
        <is>
          <t>DE68XHA , Tipper , Isuzu , Grafter</t>
        </is>
      </c>
      <c r="F561" t="inlineStr">
        <is>
          <t>DE68XHA , Tipper , Isuzu , Grafter</t>
        </is>
      </c>
      <c r="G561" t="inlineStr">
        <is>
          <t xml:space="preserve">Dylan </t>
        </is>
      </c>
      <c r="H561" t="inlineStr">
        <is>
          <t>Tipper</t>
        </is>
      </c>
      <c r="I561" t="inlineStr">
        <is>
          <t>Daily/ Weekly Vehicle Inspection</t>
        </is>
      </c>
      <c r="J561" t="inlineStr">
        <is>
          <t>N/A</t>
        </is>
      </c>
      <c r="K561" t="inlineStr">
        <is>
          <t>3098 D &amp; R Landscapes (PEND Arb Rail)</t>
        </is>
      </c>
      <c r="L561" t="inlineStr">
        <is>
          <t>18/06/2025 10:03</t>
        </is>
      </c>
      <c r="M561" t="inlineStr">
        <is>
          <t>None</t>
        </is>
      </c>
      <c r="N561" t="inlineStr">
        <is>
          <t>&lt;p&gt;&lt;/p&gt;</t>
        </is>
      </c>
      <c r="O561" t="inlineStr"/>
      <c r="P561" t="inlineStr">
        <is>
          <t>DE68XHA , Tipper , Isuzu , Grafter</t>
        </is>
      </c>
      <c r="Q561" t="inlineStr">
        <is>
          <t>UKPN</t>
        </is>
      </c>
      <c r="R561" t="b">
        <v>0</v>
      </c>
    </row>
    <row r="562">
      <c r="A562" t="inlineStr">
        <is>
          <t>18 Jun 2025 / 3098 D &amp; R Landscapes (PEND Arb Rail)</t>
        </is>
      </c>
      <c r="B562" t="inlineStr">
        <is>
          <t>Utilities &amp; Inland Waterways</t>
        </is>
      </c>
      <c r="C562" t="inlineStr">
        <is>
          <t>UKPN</t>
        </is>
      </c>
      <c r="D562" t="inlineStr">
        <is>
          <t>WA13ZZK , 4x4 , Land Rover  , Defender</t>
        </is>
      </c>
      <c r="E562" t="inlineStr">
        <is>
          <t>WA13ZZK , 4x4 , Land Rover  , Defender</t>
        </is>
      </c>
      <c r="F562" t="inlineStr">
        <is>
          <t>WA13ZZK , 4x4 , Land Rover  , Defender</t>
        </is>
      </c>
      <c r="G562" t="inlineStr">
        <is>
          <t xml:space="preserve">Dylan </t>
        </is>
      </c>
      <c r="H562" t="inlineStr">
        <is>
          <t>4x4</t>
        </is>
      </c>
      <c r="I562" t="inlineStr">
        <is>
          <t>Daily/ Weekly Vehicle Inspection</t>
        </is>
      </c>
      <c r="J562" t="inlineStr">
        <is>
          <t>N/A</t>
        </is>
      </c>
      <c r="K562" t="inlineStr">
        <is>
          <t>3098 D &amp; R Landscapes (PEND Arb Rail)</t>
        </is>
      </c>
      <c r="L562" t="inlineStr">
        <is>
          <t>18/06/2025 10:04</t>
        </is>
      </c>
      <c r="M562" t="inlineStr">
        <is>
          <t>None</t>
        </is>
      </c>
      <c r="N562" t="inlineStr">
        <is>
          <t>&lt;p&gt;&lt;/p&gt;</t>
        </is>
      </c>
      <c r="O562" t="inlineStr"/>
      <c r="P562" t="inlineStr">
        <is>
          <t>WA13ZZK , 4x4 , Land Rover  , Defender</t>
        </is>
      </c>
      <c r="Q562" t="inlineStr">
        <is>
          <t>UKPN</t>
        </is>
      </c>
      <c r="R562" t="b">
        <v>0</v>
      </c>
    </row>
    <row r="563">
      <c r="A563" t="inlineStr">
        <is>
          <t>18 Jun 2025 / Ashley Hill</t>
        </is>
      </c>
      <c r="B563" t="inlineStr">
        <is>
          <t>Utilities &amp; Inland Waterways</t>
        </is>
      </c>
      <c r="C563" t="inlineStr">
        <is>
          <t>NGED</t>
        </is>
      </c>
      <c r="D563" t="inlineStr">
        <is>
          <t>VK24 MVH , Car - Petrol , Peugeot , 2008</t>
        </is>
      </c>
      <c r="E563" t="inlineStr">
        <is>
          <t>VK24 MVH , Car - Petrol , Peugeot , 2008</t>
        </is>
      </c>
      <c r="F563" t="inlineStr">
        <is>
          <t>VK24 MVH , Car - Petrol , Peugeot , 2008</t>
        </is>
      </c>
      <c r="G563" t="inlineStr">
        <is>
          <t>Ashley Hill</t>
        </is>
      </c>
      <c r="H563" t="inlineStr">
        <is>
          <t>Car - Petrol</t>
        </is>
      </c>
      <c r="I563" t="inlineStr">
        <is>
          <t>Daily/ Weekly Vehicle Inspection</t>
        </is>
      </c>
      <c r="J563" t="inlineStr">
        <is>
          <t>N/A</t>
        </is>
      </c>
      <c r="K563" t="inlineStr">
        <is>
          <t>Ashley Hill</t>
        </is>
      </c>
      <c r="L563" t="inlineStr">
        <is>
          <t>18/06/2025 12:04</t>
        </is>
      </c>
      <c r="M563" t="inlineStr">
        <is>
          <t>None</t>
        </is>
      </c>
      <c r="N563" t="inlineStr">
        <is>
          <t>&lt;p&gt;&lt;/p&gt;</t>
        </is>
      </c>
      <c r="O563" t="inlineStr">
        <is>
          <t>Confirm that you have checked this vehicle as per the guidance document and the vehicle is safe and roadworthy:Service overdue
-</t>
        </is>
      </c>
      <c r="P563" t="inlineStr">
        <is>
          <t>VK24 MVH , Car - Petrol , Peugeot , 2008</t>
        </is>
      </c>
      <c r="Q563" t="inlineStr">
        <is>
          <t>NGED</t>
        </is>
      </c>
      <c r="R563" t="b">
        <v>0</v>
      </c>
    </row>
    <row r="564">
      <c r="A564" t="inlineStr">
        <is>
          <t>19 Jun 2025 / 7951 Austin Tree Care LTD</t>
        </is>
      </c>
      <c r="B564" t="inlineStr">
        <is>
          <t>Utilities &amp; Inland Waterways</t>
        </is>
      </c>
      <c r="C564" t="inlineStr">
        <is>
          <t>UKPN</t>
        </is>
      </c>
      <c r="D564" t="inlineStr">
        <is>
          <t>SA9ST6P0001283612 , Tow Chipper , Forst , ST6p</t>
        </is>
      </c>
      <c r="E564" t="inlineStr">
        <is>
          <t>SA9ST6P0001283612 , Tow Chipper , Forst , ST6p</t>
        </is>
      </c>
      <c r="F564" t="inlineStr">
        <is>
          <t>SA9ST6P0001283612 , Tow Chipper , Forst , ST6p</t>
        </is>
      </c>
      <c r="G564" t="inlineStr">
        <is>
          <t xml:space="preserve">Jack Austin </t>
        </is>
      </c>
      <c r="H564" t="inlineStr">
        <is>
          <t>Towed Chipper</t>
        </is>
      </c>
      <c r="I564" t="inlineStr">
        <is>
          <t>Daily/ Weekly Vehicle Inspection</t>
        </is>
      </c>
      <c r="J564" t="inlineStr">
        <is>
          <t>N/A</t>
        </is>
      </c>
      <c r="K564" t="inlineStr">
        <is>
          <t>7951 Austin Tree Care LTD</t>
        </is>
      </c>
      <c r="L564" t="inlineStr">
        <is>
          <t>19/06/2025 08:04</t>
        </is>
      </c>
      <c r="M564" t="inlineStr">
        <is>
          <t>None</t>
        </is>
      </c>
      <c r="N564" t="inlineStr">
        <is>
          <t>&lt;p&gt;&lt;/p&gt;</t>
        </is>
      </c>
      <c r="O564" t="inlineStr"/>
      <c r="P564" t="inlineStr">
        <is>
          <t>SA9ST6P0001283612 , Tow Chipper , Forst , ST6p</t>
        </is>
      </c>
      <c r="Q564" t="inlineStr">
        <is>
          <t>UKPN</t>
        </is>
      </c>
      <c r="R564" t="b">
        <v>0</v>
      </c>
    </row>
    <row r="565">
      <c r="A565" t="inlineStr">
        <is>
          <t>19 Jun 2025 / 7951 Austin Tree Care LTD</t>
        </is>
      </c>
      <c r="B565" t="inlineStr">
        <is>
          <t>Utilities &amp; Inland Waterways</t>
        </is>
      </c>
      <c r="C565" t="inlineStr">
        <is>
          <t>UKPN</t>
        </is>
      </c>
      <c r="D565" t="inlineStr">
        <is>
          <t>WF61 HZV , 4x4 MEWP , Land Rover , Defender</t>
        </is>
      </c>
      <c r="E565" t="inlineStr">
        <is>
          <t>WF61 HZV , 4x4 MEWP , Land Rover , Defender</t>
        </is>
      </c>
      <c r="F565" t="inlineStr">
        <is>
          <t>WF61 HZV , 4x4 MEWP , Land Rover , Defender</t>
        </is>
      </c>
      <c r="G565" t="inlineStr">
        <is>
          <t xml:space="preserve">Jack Austin </t>
        </is>
      </c>
      <c r="H565" t="inlineStr">
        <is>
          <t>4x4</t>
        </is>
      </c>
      <c r="I565" t="inlineStr">
        <is>
          <t>Daily/ Weekly Vehicle Inspection</t>
        </is>
      </c>
      <c r="J565" t="inlineStr">
        <is>
          <t>N/A</t>
        </is>
      </c>
      <c r="K565" t="inlineStr">
        <is>
          <t>7951 Austin Tree Care LTD</t>
        </is>
      </c>
      <c r="L565" t="inlineStr">
        <is>
          <t>19/06/2025 08:04</t>
        </is>
      </c>
      <c r="M565" t="inlineStr">
        <is>
          <t>None</t>
        </is>
      </c>
      <c r="N565" t="inlineStr">
        <is>
          <t>&lt;p&gt;&lt;/p&gt;</t>
        </is>
      </c>
      <c r="O565" t="inlineStr"/>
      <c r="P565" t="inlineStr">
        <is>
          <t>WF61 HZV , 4x4 MEWP , Land Rover , Defender</t>
        </is>
      </c>
      <c r="Q565" t="inlineStr">
        <is>
          <t>UKPN</t>
        </is>
      </c>
      <c r="R565" t="b">
        <v>0</v>
      </c>
    </row>
    <row r="566">
      <c r="A566" t="inlineStr">
        <is>
          <t>19 Jun 2025 / 7996 M G Tree Surgery Ltd</t>
        </is>
      </c>
      <c r="B566" t="inlineStr">
        <is>
          <t>Utilities &amp; Inland Waterways</t>
        </is>
      </c>
      <c r="C566" t="inlineStr">
        <is>
          <t>UKPN</t>
        </is>
      </c>
      <c r="D566" t="inlineStr">
        <is>
          <t>GU13 WNL , MEWP , Land Rover , Defender 130</t>
        </is>
      </c>
      <c r="E566" t="inlineStr">
        <is>
          <t>GU13 WNL , MEWP , Land Rover , Defender 130</t>
        </is>
      </c>
      <c r="F566" t="inlineStr">
        <is>
          <t>GU13 WNL , MEWP , Land Rover , Defender 130</t>
        </is>
      </c>
      <c r="G566" t="inlineStr">
        <is>
          <t>Max gaylor</t>
        </is>
      </c>
      <c r="H566" t="inlineStr">
        <is>
          <t>4x4</t>
        </is>
      </c>
      <c r="I566" t="inlineStr">
        <is>
          <t>Daily/ Weekly Vehicle Inspection</t>
        </is>
      </c>
      <c r="J566" t="inlineStr">
        <is>
          <t>N/A</t>
        </is>
      </c>
      <c r="K566" t="inlineStr">
        <is>
          <t>7996 M G Tree Surgery Ltd</t>
        </is>
      </c>
      <c r="L566" t="inlineStr">
        <is>
          <t>19/06/2025 08:05</t>
        </is>
      </c>
      <c r="M566" t="inlineStr">
        <is>
          <t>None</t>
        </is>
      </c>
      <c r="N566" t="inlineStr">
        <is>
          <t>&lt;p&gt;&lt;/p&gt;</t>
        </is>
      </c>
      <c r="O566" t="inlineStr"/>
      <c r="P566" t="inlineStr">
        <is>
          <t>GU13 WNL , MEWP , Land Rover , Defender 130</t>
        </is>
      </c>
      <c r="Q566" t="inlineStr">
        <is>
          <t>UKPN</t>
        </is>
      </c>
      <c r="R566" t="b">
        <v>0</v>
      </c>
    </row>
    <row r="567">
      <c r="A567" t="inlineStr">
        <is>
          <t>19 Jun 2025 / 7800 MAC Tree Surgery and Fencing Ltd</t>
        </is>
      </c>
      <c r="B567" t="inlineStr">
        <is>
          <t>Utilities &amp; Inland Waterways</t>
        </is>
      </c>
      <c r="C567" t="inlineStr">
        <is>
          <t>UKPN</t>
        </is>
      </c>
      <c r="D567" t="inlineStr">
        <is>
          <t>AY68DAA , 4x4 , Izuzu , Dmax</t>
        </is>
      </c>
      <c r="E567" t="inlineStr">
        <is>
          <t>AY68DAA , 4x4 , Izuzu , Dmax</t>
        </is>
      </c>
      <c r="F567" t="inlineStr">
        <is>
          <t>AY68DAA , 4x4 , Izuzu , Dmax</t>
        </is>
      </c>
      <c r="G567" t="inlineStr">
        <is>
          <t xml:space="preserve">Lewis </t>
        </is>
      </c>
      <c r="H567" t="inlineStr">
        <is>
          <t>4x4</t>
        </is>
      </c>
      <c r="I567" t="inlineStr">
        <is>
          <t>Daily/ Weekly Vehicle Inspection</t>
        </is>
      </c>
      <c r="J567" t="inlineStr">
        <is>
          <t>N/A</t>
        </is>
      </c>
      <c r="K567" t="inlineStr">
        <is>
          <t>7800 MAC Tree Surgery and Fencing Ltd</t>
        </is>
      </c>
      <c r="L567" t="inlineStr">
        <is>
          <t>19/06/2025 08:07</t>
        </is>
      </c>
      <c r="M567" t="inlineStr">
        <is>
          <t>None</t>
        </is>
      </c>
      <c r="N567" t="inlineStr">
        <is>
          <t>&lt;p&gt;&lt;/p&gt;</t>
        </is>
      </c>
      <c r="O567" t="inlineStr">
        <is>
          <t>Confirm that you have checked this vehicle as per the guidance document and the vehicle is safe and roadworthy:Slight crack in windscreen but doesn't effect vision
-</t>
        </is>
      </c>
      <c r="P567" t="inlineStr">
        <is>
          <t>AY68DAA , 4x4 , Izuzu , Dmax</t>
        </is>
      </c>
      <c r="Q567" t="inlineStr">
        <is>
          <t>UKPN</t>
        </is>
      </c>
      <c r="R567" t="b">
        <v>0</v>
      </c>
    </row>
    <row r="568">
      <c r="A568" t="inlineStr">
        <is>
          <t>19 Jun 2025 / 7800 MAC Tree Surgery and Fencing Ltd</t>
        </is>
      </c>
      <c r="B568" t="inlineStr">
        <is>
          <t>Utilities &amp; Inland Waterways</t>
        </is>
      </c>
      <c r="C568" t="inlineStr">
        <is>
          <t>UKPN</t>
        </is>
      </c>
      <c r="D568" t="inlineStr">
        <is>
          <t>205143043-A1 , Tow Chipper , Timberwolf , TW150</t>
        </is>
      </c>
      <c r="E568" t="inlineStr">
        <is>
          <t>205143043-A1 , Tow Chipper , Timberwolf , TW150</t>
        </is>
      </c>
      <c r="F568" t="inlineStr">
        <is>
          <t>205143043-A1 , Tow Chipper , Timberwolf , TW150</t>
        </is>
      </c>
      <c r="G568" t="inlineStr">
        <is>
          <t xml:space="preserve">Lewis mac </t>
        </is>
      </c>
      <c r="H568" t="inlineStr">
        <is>
          <t>Towed Chipper</t>
        </is>
      </c>
      <c r="I568" t="inlineStr">
        <is>
          <t>Daily/ Weekly Vehicle Inspection</t>
        </is>
      </c>
      <c r="J568" t="inlineStr">
        <is>
          <t>N/A</t>
        </is>
      </c>
      <c r="K568" t="inlineStr">
        <is>
          <t>7800 MAC Tree Surgery and Fencing Ltd</t>
        </is>
      </c>
      <c r="L568" t="inlineStr">
        <is>
          <t>19/06/2025 08:07</t>
        </is>
      </c>
      <c r="M568" t="inlineStr">
        <is>
          <t>None</t>
        </is>
      </c>
      <c r="N568" t="inlineStr">
        <is>
          <t>&lt;p&gt;&lt;/p&gt;</t>
        </is>
      </c>
      <c r="O568" t="inlineStr"/>
      <c r="P568" t="inlineStr">
        <is>
          <t>205143043-A1 , Tow Chipper , Timberwolf , TW150</t>
        </is>
      </c>
      <c r="Q568" t="inlineStr">
        <is>
          <t>UKPN</t>
        </is>
      </c>
      <c r="R568" t="b">
        <v>0</v>
      </c>
    </row>
    <row r="569">
      <c r="A569" t="inlineStr">
        <is>
          <t>19 Jun 2025 / Anthony Gale</t>
        </is>
      </c>
      <c r="B569" t="inlineStr">
        <is>
          <t>Utilities &amp; Inland Waterways</t>
        </is>
      </c>
      <c r="C569" t="inlineStr">
        <is>
          <t>UKPN</t>
        </is>
      </c>
      <c r="D569" t="inlineStr">
        <is>
          <t>PE07 HGL , Vehicle , Mitsubishi , L200 K74</t>
        </is>
      </c>
      <c r="E569" t="inlineStr">
        <is>
          <t>PE07 HGL , Vehicle , Mitsubishi , L200 K74</t>
        </is>
      </c>
      <c r="F569" t="inlineStr">
        <is>
          <t>PE07 HGL , Vehicle , Mitsubishi , L200 K74</t>
        </is>
      </c>
      <c r="G569" t="inlineStr">
        <is>
          <t>Anthony Gale</t>
        </is>
      </c>
      <c r="H569" t="inlineStr">
        <is>
          <t>Pickup Truck</t>
        </is>
      </c>
      <c r="I569" t="inlineStr">
        <is>
          <t>Daily/ Weekly Vehicle Inspection</t>
        </is>
      </c>
      <c r="J569" t="inlineStr">
        <is>
          <t>N/A</t>
        </is>
      </c>
      <c r="K569" t="inlineStr">
        <is>
          <t>7996 M G Tree Surgery Ltd 1</t>
        </is>
      </c>
      <c r="L569" t="inlineStr">
        <is>
          <t>19/06/2025 08:08</t>
        </is>
      </c>
      <c r="M569" t="inlineStr">
        <is>
          <t>None</t>
        </is>
      </c>
      <c r="N569" t="inlineStr">
        <is>
          <t>&lt;p&gt;&lt;/p&gt;</t>
        </is>
      </c>
      <c r="O569" t="inlineStr"/>
      <c r="P569" t="inlineStr">
        <is>
          <t>PE07 HGL , Vehicle , Mitsubishi , L200 K74</t>
        </is>
      </c>
      <c r="Q569" t="inlineStr">
        <is>
          <t>UKPN</t>
        </is>
      </c>
      <c r="R569" t="b">
        <v>0</v>
      </c>
    </row>
    <row r="570">
      <c r="A570" t="inlineStr">
        <is>
          <t>19 Jun 2025 / 7806 Optimum Tree Services Ltd</t>
        </is>
      </c>
      <c r="B570" t="inlineStr">
        <is>
          <t>Utilities &amp; Inland Waterways</t>
        </is>
      </c>
      <c r="C570" t="inlineStr">
        <is>
          <t>UKPN</t>
        </is>
      </c>
      <c r="D570" t="inlineStr">
        <is>
          <t>SA9ST800000283069 , Chipper , Forst , ST 6P</t>
        </is>
      </c>
      <c r="E570" t="inlineStr">
        <is>
          <t>SA9ST800000283069 , Chipper , Forst , ST 6P</t>
        </is>
      </c>
      <c r="F570" t="inlineStr">
        <is>
          <t>SA9ST800000283069 , Chipper , Forst , ST 6P</t>
        </is>
      </c>
      <c r="G570" t="inlineStr">
        <is>
          <t xml:space="preserve">Abraham Davies </t>
        </is>
      </c>
      <c r="H570" t="inlineStr">
        <is>
          <t>Towed Chipper</t>
        </is>
      </c>
      <c r="I570" t="inlineStr">
        <is>
          <t>Daily/ Weekly Vehicle Inspection</t>
        </is>
      </c>
      <c r="J570" t="inlineStr">
        <is>
          <t>N/A</t>
        </is>
      </c>
      <c r="K570" t="inlineStr">
        <is>
          <t>7806 Optimum Tree Services Ltd</t>
        </is>
      </c>
      <c r="L570" t="inlineStr">
        <is>
          <t>19/06/2025 08:08</t>
        </is>
      </c>
      <c r="M570" t="inlineStr">
        <is>
          <t>None</t>
        </is>
      </c>
      <c r="N570" t="inlineStr">
        <is>
          <t>&lt;p&gt;&lt;/p&gt;</t>
        </is>
      </c>
      <c r="O570" t="inlineStr"/>
      <c r="P570" t="inlineStr">
        <is>
          <t>SA9ST800000283069 , Chipper , Forst , ST 6P</t>
        </is>
      </c>
      <c r="Q570" t="inlineStr">
        <is>
          <t>UKPN</t>
        </is>
      </c>
      <c r="R570" t="b">
        <v>0</v>
      </c>
    </row>
    <row r="571">
      <c r="A571" t="inlineStr">
        <is>
          <t>19 Jun 2025 / 7806 Optimum Tree Services Ltd</t>
        </is>
      </c>
      <c r="B571" t="inlineStr">
        <is>
          <t>Utilities &amp; Inland Waterways</t>
        </is>
      </c>
      <c r="C571" t="inlineStr">
        <is>
          <t>UKPN</t>
        </is>
      </c>
      <c r="D571" t="inlineStr">
        <is>
          <t>WD14EVB , MEWP , Land Rover , Defender</t>
        </is>
      </c>
      <c r="E571" t="inlineStr">
        <is>
          <t>WD14EVB , MEWP , Land Rover , Defender</t>
        </is>
      </c>
      <c r="F571" t="inlineStr">
        <is>
          <t>WD14EVB , MEWP , Land Rover , Defender</t>
        </is>
      </c>
      <c r="G571" t="inlineStr">
        <is>
          <t xml:space="preserve">Abraham Davies </t>
        </is>
      </c>
      <c r="H571" t="inlineStr">
        <is>
          <t>4x4</t>
        </is>
      </c>
      <c r="I571" t="inlineStr">
        <is>
          <t>Daily/ Weekly Vehicle Inspection</t>
        </is>
      </c>
      <c r="J571" t="inlineStr">
        <is>
          <t>N/A</t>
        </is>
      </c>
      <c r="K571" t="inlineStr">
        <is>
          <t>7806 Optimum Tree Services Ltd</t>
        </is>
      </c>
      <c r="L571" t="inlineStr">
        <is>
          <t>19/06/2025 08:09</t>
        </is>
      </c>
      <c r="M571" t="inlineStr">
        <is>
          <t>None</t>
        </is>
      </c>
      <c r="N571" t="inlineStr">
        <is>
          <t>&lt;p&gt;&lt;/p&gt;</t>
        </is>
      </c>
      <c r="O571" t="inlineStr"/>
      <c r="P571" t="inlineStr">
        <is>
          <t>WD14EVB , MEWP , Land Rover , Defender</t>
        </is>
      </c>
      <c r="Q571" t="inlineStr">
        <is>
          <t>UKPN</t>
        </is>
      </c>
      <c r="R571" t="b">
        <v>0</v>
      </c>
    </row>
    <row r="572">
      <c r="A572" t="inlineStr">
        <is>
          <t>19 Jun 2025 / 7889 Tree Tech Suffolk Ltd</t>
        </is>
      </c>
      <c r="B572" t="inlineStr">
        <is>
          <t>Utilities &amp; Inland Waterways</t>
        </is>
      </c>
      <c r="C572" t="inlineStr">
        <is>
          <t>UKPN</t>
        </is>
      </c>
      <c r="D572" t="inlineStr">
        <is>
          <t>4x4 - Isuzu - D-max - NS03 TTSTow Chipper - Jenson - A530L - 5521063948Tipper - Nissan - Navara - NS02TTS</t>
        </is>
      </c>
      <c r="E572" t="inlineStr">
        <is>
          <t>4x4 - Isuzu - D-max - NS03 TTSTow Chipper - Jenson - A530L - 5521063948Tipper - Nissan - Navara - NS02TTS</t>
        </is>
      </c>
      <c r="F572" t="inlineStr">
        <is>
          <t>4x4 - Isuzu - D-max - NS03 TTSTow Chipper - Jenson - A530L - 5521063948Tipper - Nissan - Navara - NS02TTS</t>
        </is>
      </c>
      <c r="G572" t="inlineStr">
        <is>
          <t xml:space="preserve">Danny Appleby Nikki sparrow Nikki sparrow </t>
        </is>
      </c>
      <c r="H572" t="inlineStr">
        <is>
          <t>4x4Towed ChipperTipper</t>
        </is>
      </c>
      <c r="I572" t="inlineStr">
        <is>
          <t>Daily/ Weekly Vehicle Inspection</t>
        </is>
      </c>
      <c r="J572" t="inlineStr">
        <is>
          <t>N/A</t>
        </is>
      </c>
      <c r="K572" t="inlineStr">
        <is>
          <t>7889 Tree Tech Suffolk Ltd</t>
        </is>
      </c>
      <c r="L572" t="inlineStr">
        <is>
          <t>19/06/2025 08:11</t>
        </is>
      </c>
      <c r="M572" t="inlineStr">
        <is>
          <t>None</t>
        </is>
      </c>
      <c r="N572" t="inlineStr">
        <is>
          <t>&lt;p&gt;&lt;/p&gt;</t>
        </is>
      </c>
      <c r="O572" t="inlineStr"/>
      <c r="P572" t="inlineStr">
        <is>
          <t>4x4 - Isuzu - D-max - NS03 TTSTow Chipper - Jenson - A530L - 5521063948Tipper - Nissan - Navara - NS02TTS</t>
        </is>
      </c>
      <c r="Q572" t="inlineStr">
        <is>
          <t>UKPN</t>
        </is>
      </c>
      <c r="R572" t="b">
        <v>0</v>
      </c>
    </row>
    <row r="573">
      <c r="A573" t="inlineStr">
        <is>
          <t>19 Jun 2025 / 7186 Eastwoodbury Tree Services Ltd</t>
        </is>
      </c>
      <c r="B573" t="inlineStr">
        <is>
          <t>Utilities &amp; Inland Waterways</t>
        </is>
      </c>
      <c r="C573" t="inlineStr">
        <is>
          <t>UKPN</t>
        </is>
      </c>
      <c r="D573" t="inlineStr">
        <is>
          <t>FN600XM , 4x4 , Land Rover  , Defender</t>
        </is>
      </c>
      <c r="E573" t="inlineStr">
        <is>
          <t>FN600XM , 4x4 , Land Rover  , Defender</t>
        </is>
      </c>
      <c r="F573" t="inlineStr">
        <is>
          <t>FN600XM , 4x4 , Land Rover  , Defender</t>
        </is>
      </c>
      <c r="G573" t="inlineStr">
        <is>
          <t xml:space="preserve">Jay Denkmayer </t>
        </is>
      </c>
      <c r="H573" t="inlineStr">
        <is>
          <t>4x4</t>
        </is>
      </c>
      <c r="I573" t="inlineStr">
        <is>
          <t>Daily/ Weekly Vehicle Inspection</t>
        </is>
      </c>
      <c r="J573" t="inlineStr">
        <is>
          <t>N/A</t>
        </is>
      </c>
      <c r="K573" t="inlineStr">
        <is>
          <t>7186 Eastwoodbury Tree Services Ltd</t>
        </is>
      </c>
      <c r="L573" t="inlineStr">
        <is>
          <t>19/06/2025 09:04</t>
        </is>
      </c>
      <c r="M573" t="inlineStr">
        <is>
          <t>None</t>
        </is>
      </c>
      <c r="N573" t="inlineStr">
        <is>
          <t>&lt;p&gt;&lt;/p&gt;</t>
        </is>
      </c>
      <c r="O573" t="inlineStr"/>
      <c r="P573" t="inlineStr">
        <is>
          <t>FN600XM , 4x4 , Land Rover  , Defender</t>
        </is>
      </c>
      <c r="Q573" t="inlineStr">
        <is>
          <t>UKPN</t>
        </is>
      </c>
      <c r="R573" t="b">
        <v>0</v>
      </c>
    </row>
    <row r="574">
      <c r="A574" t="inlineStr">
        <is>
          <t>19 Jun 2025 / 7186 Eastwoodbury Tree Services Ltd</t>
        </is>
      </c>
      <c r="B574" t="inlineStr">
        <is>
          <t>Utilities &amp; Inland Waterways</t>
        </is>
      </c>
      <c r="C574" t="inlineStr">
        <is>
          <t>UKPN</t>
        </is>
      </c>
      <c r="D574" t="inlineStr">
        <is>
          <t>AO57BPF , 4x4 , Santana  , Ps10</t>
        </is>
      </c>
      <c r="E574" t="inlineStr">
        <is>
          <t>AO57BPF , 4x4 , Santana  , Ps10</t>
        </is>
      </c>
      <c r="F574" t="inlineStr">
        <is>
          <t>AO57BPF , 4x4 , Santana  , Ps10</t>
        </is>
      </c>
      <c r="G574" t="inlineStr">
        <is>
          <t xml:space="preserve">Dan Gilbert </t>
        </is>
      </c>
      <c r="H574" t="inlineStr">
        <is>
          <t>4x4</t>
        </is>
      </c>
      <c r="I574" t="inlineStr">
        <is>
          <t>Daily/ Weekly Vehicle Inspection</t>
        </is>
      </c>
      <c r="J574" t="inlineStr">
        <is>
          <t>N/A</t>
        </is>
      </c>
      <c r="K574" t="inlineStr">
        <is>
          <t>7186 Eastwoodbury Tree Services Ltd</t>
        </is>
      </c>
      <c r="L574" t="inlineStr">
        <is>
          <t>19/06/2025 09:05</t>
        </is>
      </c>
      <c r="M574" t="inlineStr">
        <is>
          <t>None</t>
        </is>
      </c>
      <c r="N574" t="inlineStr">
        <is>
          <t>&lt;p&gt;&lt;/p&gt;</t>
        </is>
      </c>
      <c r="O574" t="inlineStr"/>
      <c r="P574" t="inlineStr">
        <is>
          <t>AO57BPF , 4x4 , Santana  , Ps10</t>
        </is>
      </c>
      <c r="Q574" t="inlineStr">
        <is>
          <t>UKPN</t>
        </is>
      </c>
      <c r="R574" t="b">
        <v>0</v>
      </c>
    </row>
    <row r="575">
      <c r="A575" t="inlineStr">
        <is>
          <t>19 Jun 2025 / 6617 Ashdown Tree Limited 1</t>
        </is>
      </c>
      <c r="B575" t="inlineStr">
        <is>
          <t>Utilities &amp; Inland Waterways</t>
        </is>
      </c>
      <c r="C575" t="inlineStr">
        <is>
          <t>UKPN</t>
        </is>
      </c>
      <c r="D575" t="inlineStr">
        <is>
          <t>GU11LKD , 4x4 , Land Rover , Defender</t>
        </is>
      </c>
      <c r="E575" t="inlineStr">
        <is>
          <t>GU11LKD , 4x4 , Land Rover , Defender</t>
        </is>
      </c>
      <c r="F575" t="inlineStr">
        <is>
          <t>GU11LKD , 4x4 , Land Rover , Defender</t>
        </is>
      </c>
      <c r="G575" t="inlineStr">
        <is>
          <t xml:space="preserve">Francislesser </t>
        </is>
      </c>
      <c r="H575" t="inlineStr">
        <is>
          <t>4x4</t>
        </is>
      </c>
      <c r="I575" t="inlineStr">
        <is>
          <t>Daily/ Weekly Vehicle Inspection</t>
        </is>
      </c>
      <c r="J575" t="inlineStr">
        <is>
          <t>N/A</t>
        </is>
      </c>
      <c r="K575" t="inlineStr">
        <is>
          <t>6617 Ashdown Tree Limited 1</t>
        </is>
      </c>
      <c r="L575" t="inlineStr">
        <is>
          <t>19/06/2025 09:05</t>
        </is>
      </c>
      <c r="M575" t="inlineStr">
        <is>
          <t>None</t>
        </is>
      </c>
      <c r="N575" t="inlineStr">
        <is>
          <t>&lt;p&gt;&lt;/p&gt;</t>
        </is>
      </c>
      <c r="O575" t="inlineStr"/>
      <c r="P575" t="inlineStr">
        <is>
          <t>GU11LKD , 4x4 , Land Rover , Defender</t>
        </is>
      </c>
      <c r="Q575" t="inlineStr">
        <is>
          <t>UKPN</t>
        </is>
      </c>
      <c r="R575" t="b">
        <v>0</v>
      </c>
    </row>
    <row r="576">
      <c r="A576" t="inlineStr">
        <is>
          <t>19 Jun 2025 / 7535 HJ Tree Services</t>
        </is>
      </c>
      <c r="B576" t="inlineStr">
        <is>
          <t>Utilities &amp; Inland Waterways</t>
        </is>
      </c>
      <c r="C576" t="inlineStr">
        <is>
          <t>SSE</t>
        </is>
      </c>
      <c r="D576" t="inlineStr">
        <is>
          <t>4x4 - Ford - Ranger - Bh19vxz</t>
        </is>
      </c>
      <c r="E576" t="inlineStr">
        <is>
          <t>4x4 - Ford - Ranger - Bh19vxz</t>
        </is>
      </c>
      <c r="F576" t="inlineStr">
        <is>
          <t>4x4 - Ford - Ranger - Bh19vxz</t>
        </is>
      </c>
      <c r="G576" t="inlineStr">
        <is>
          <t>Cory Joy</t>
        </is>
      </c>
      <c r="H576" t="inlineStr">
        <is>
          <t>4x4</t>
        </is>
      </c>
      <c r="I576" t="inlineStr">
        <is>
          <t>Daily/ Weekly Vehicle Inspection</t>
        </is>
      </c>
      <c r="J576" t="inlineStr">
        <is>
          <t>N/A</t>
        </is>
      </c>
      <c r="K576" t="inlineStr">
        <is>
          <t>7535 HJ Tree Services</t>
        </is>
      </c>
      <c r="L576" t="inlineStr">
        <is>
          <t>19/06/2025 10:04</t>
        </is>
      </c>
      <c r="M576" t="inlineStr">
        <is>
          <t>None</t>
        </is>
      </c>
      <c r="N576" t="inlineStr">
        <is>
          <t>&lt;p&gt;&lt;/p&gt;</t>
        </is>
      </c>
      <c r="O576" t="inlineStr"/>
      <c r="P576" t="inlineStr">
        <is>
          <t>4x4 - Ford - Ranger - Bh19vxz</t>
        </is>
      </c>
      <c r="Q576" t="inlineStr">
        <is>
          <t>SSE</t>
        </is>
      </c>
      <c r="R576" t="b">
        <v>0</v>
      </c>
    </row>
    <row r="577">
      <c r="A577" t="inlineStr">
        <is>
          <t>19 Jun 2025 / Thomas Playford</t>
        </is>
      </c>
      <c r="B577" t="inlineStr">
        <is>
          <t>Utilities &amp; Inland Waterways</t>
        </is>
      </c>
      <c r="C577" t="inlineStr">
        <is>
          <t>UKPN</t>
        </is>
      </c>
      <c r="D577" t="inlineStr">
        <is>
          <t>SA9ST800000283944 , Tow Chipper , Forst , ST8D - Towed</t>
        </is>
      </c>
      <c r="E577" t="inlineStr">
        <is>
          <t>SA9ST800000283944 , Tow Chipper , Forst , ST8D - Towed</t>
        </is>
      </c>
      <c r="F577" t="inlineStr">
        <is>
          <t>SA9ST800000283944 , Tow Chipper , Forst , ST8D - Towed</t>
        </is>
      </c>
      <c r="G577" t="inlineStr">
        <is>
          <t>Jacob Oram</t>
        </is>
      </c>
      <c r="H577" t="inlineStr">
        <is>
          <t>Towed Chipper</t>
        </is>
      </c>
      <c r="I577" t="inlineStr">
        <is>
          <t>Daily/ Weekly Vehicle Inspection</t>
        </is>
      </c>
      <c r="J577" t="inlineStr">
        <is>
          <t>N/A</t>
        </is>
      </c>
      <c r="K577" t="inlineStr">
        <is>
          <t>7995 Contour Landscapes Ltd 2</t>
        </is>
      </c>
      <c r="L577" t="inlineStr">
        <is>
          <t>19/06/2025 10:05</t>
        </is>
      </c>
      <c r="M577" t="inlineStr">
        <is>
          <t>None</t>
        </is>
      </c>
      <c r="N577" t="inlineStr">
        <is>
          <t>&lt;p&gt;&lt;/p&gt;</t>
        </is>
      </c>
      <c r="O577" t="inlineStr"/>
      <c r="P577" t="inlineStr">
        <is>
          <t>SA9ST800000283944 , Tow Chipper , Forst , ST8D - Towed</t>
        </is>
      </c>
      <c r="Q577" t="inlineStr">
        <is>
          <t>UKPN</t>
        </is>
      </c>
      <c r="R577" t="b">
        <v>0</v>
      </c>
    </row>
    <row r="578">
      <c r="A578" t="inlineStr">
        <is>
          <t>19 Jun 2025 / Thomas Playford</t>
        </is>
      </c>
      <c r="B578" t="inlineStr">
        <is>
          <t>Utilities &amp; Inland Waterways</t>
        </is>
      </c>
      <c r="C578" t="inlineStr">
        <is>
          <t>UKPN</t>
        </is>
      </c>
      <c r="D578" t="inlineStr">
        <is>
          <t>YP24 WRD , Vehicle , Ford , Ranger</t>
        </is>
      </c>
      <c r="E578" t="inlineStr">
        <is>
          <t>YP24 WRD , Vehicle , Ford , Ranger</t>
        </is>
      </c>
      <c r="F578" t="inlineStr">
        <is>
          <t>YP24 WRD , Vehicle , Ford , Ranger</t>
        </is>
      </c>
      <c r="G578" t="inlineStr">
        <is>
          <t>Jacob Oram</t>
        </is>
      </c>
      <c r="H578" t="inlineStr">
        <is>
          <t>4x4</t>
        </is>
      </c>
      <c r="I578" t="inlineStr">
        <is>
          <t>Daily/ Weekly Vehicle Inspection</t>
        </is>
      </c>
      <c r="J578" t="inlineStr">
        <is>
          <t>N/A</t>
        </is>
      </c>
      <c r="K578" t="inlineStr">
        <is>
          <t>7995 Contour Landscapes Ltd 2</t>
        </is>
      </c>
      <c r="L578" t="inlineStr">
        <is>
          <t>19/06/2025 10:05</t>
        </is>
      </c>
      <c r="M578" t="inlineStr">
        <is>
          <t>None</t>
        </is>
      </c>
      <c r="N578" t="inlineStr">
        <is>
          <t>&lt;p&gt;&lt;/p&gt;</t>
        </is>
      </c>
      <c r="O578" t="inlineStr"/>
      <c r="P578" t="inlineStr">
        <is>
          <t>YP24 WRD , Vehicle , Ford , Ranger</t>
        </is>
      </c>
      <c r="Q578" t="inlineStr">
        <is>
          <t>UKPN</t>
        </is>
      </c>
      <c r="R578" t="b">
        <v>0</v>
      </c>
    </row>
    <row r="579">
      <c r="A579" t="inlineStr">
        <is>
          <t>20 Jun 2025 / 7951 Austin Tree Care LTD</t>
        </is>
      </c>
      <c r="B579" t="inlineStr">
        <is>
          <t>Utilities &amp; Inland Waterways</t>
        </is>
      </c>
      <c r="C579" t="inlineStr">
        <is>
          <t>UKPN</t>
        </is>
      </c>
      <c r="D579" t="inlineStr">
        <is>
          <t>SA9ST6P0001283612 , Tow Chipper , Forst , ST6p</t>
        </is>
      </c>
      <c r="E579" t="inlineStr">
        <is>
          <t>SA9ST6P0001283612 , Tow Chipper , Forst , ST6p</t>
        </is>
      </c>
      <c r="F579" t="inlineStr">
        <is>
          <t>SA9ST6P0001283612 , Tow Chipper , Forst , ST6p</t>
        </is>
      </c>
      <c r="G579" t="inlineStr">
        <is>
          <t xml:space="preserve">Jack Austin </t>
        </is>
      </c>
      <c r="H579" t="inlineStr">
        <is>
          <t>Towed Chipper</t>
        </is>
      </c>
      <c r="I579" t="inlineStr">
        <is>
          <t>Daily/ Weekly Vehicle Inspection</t>
        </is>
      </c>
      <c r="J579" t="inlineStr">
        <is>
          <t>N/A</t>
        </is>
      </c>
      <c r="K579" t="inlineStr">
        <is>
          <t>7951 Austin Tree Care LTD</t>
        </is>
      </c>
      <c r="L579" t="inlineStr">
        <is>
          <t>20/06/2025 08:06</t>
        </is>
      </c>
      <c r="M579" t="inlineStr">
        <is>
          <t>None</t>
        </is>
      </c>
      <c r="N579" t="inlineStr">
        <is>
          <t>&lt;p&gt;&lt;/p&gt;</t>
        </is>
      </c>
      <c r="O579" t="inlineStr"/>
      <c r="P579" t="inlineStr">
        <is>
          <t>SA9ST6P0001283612 , Tow Chipper , Forst , ST6p</t>
        </is>
      </c>
      <c r="Q579" t="inlineStr">
        <is>
          <t>UKPN</t>
        </is>
      </c>
      <c r="R579" t="b">
        <v>0</v>
      </c>
    </row>
    <row r="580">
      <c r="A580" t="inlineStr">
        <is>
          <t>20 Jun 2025 / 7951 Austin Tree Care LTD</t>
        </is>
      </c>
      <c r="B580" t="inlineStr">
        <is>
          <t>Utilities &amp; Inland Waterways</t>
        </is>
      </c>
      <c r="C580" t="inlineStr">
        <is>
          <t>UKPN</t>
        </is>
      </c>
      <c r="D580" t="inlineStr">
        <is>
          <t>WF61 HZV , 4x4 MEWP , Land Rover , Defender</t>
        </is>
      </c>
      <c r="E580" t="inlineStr">
        <is>
          <t>WF61 HZV , 4x4 MEWP , Land Rover , Defender</t>
        </is>
      </c>
      <c r="F580" t="inlineStr">
        <is>
          <t>WF61 HZV , 4x4 MEWP , Land Rover , Defender</t>
        </is>
      </c>
      <c r="G580" t="inlineStr">
        <is>
          <t>Jack Austin</t>
        </is>
      </c>
      <c r="H580" t="inlineStr">
        <is>
          <t>4x4</t>
        </is>
      </c>
      <c r="I580" t="inlineStr">
        <is>
          <t>Daily/ Weekly Vehicle Inspection</t>
        </is>
      </c>
      <c r="J580" t="inlineStr">
        <is>
          <t>N/A</t>
        </is>
      </c>
      <c r="K580" t="inlineStr">
        <is>
          <t>7951 Austin Tree Care LTD</t>
        </is>
      </c>
      <c r="L580" t="inlineStr">
        <is>
          <t>20/06/2025 08:06</t>
        </is>
      </c>
      <c r="M580" t="inlineStr">
        <is>
          <t>None</t>
        </is>
      </c>
      <c r="N580" t="inlineStr">
        <is>
          <t>&lt;p&gt;&lt;/p&gt;</t>
        </is>
      </c>
      <c r="O580" t="inlineStr"/>
      <c r="P580" t="inlineStr">
        <is>
          <t>WF61 HZV , 4x4 MEWP , Land Rover , Defender</t>
        </is>
      </c>
      <c r="Q580" t="inlineStr">
        <is>
          <t>UKPN</t>
        </is>
      </c>
      <c r="R580" t="b">
        <v>0</v>
      </c>
    </row>
    <row r="581">
      <c r="A581" t="inlineStr">
        <is>
          <t>20 Jun 2025 / 6617 Ashdown Tree Limited 1</t>
        </is>
      </c>
      <c r="B581" t="inlineStr">
        <is>
          <t>Utilities &amp; Inland Waterways</t>
        </is>
      </c>
      <c r="C581" t="inlineStr">
        <is>
          <t>UKPN</t>
        </is>
      </c>
      <c r="D581" t="inlineStr">
        <is>
          <t>GU11LKD , 4x4 , Land Rover , Defender</t>
        </is>
      </c>
      <c r="E581" t="inlineStr">
        <is>
          <t>GU11LKD , 4x4 , Land Rover , Defender</t>
        </is>
      </c>
      <c r="F581" t="inlineStr">
        <is>
          <t>GU11LKD , 4x4 , Land Rover , Defender</t>
        </is>
      </c>
      <c r="G581" t="inlineStr">
        <is>
          <t xml:space="preserve">Francislesser </t>
        </is>
      </c>
      <c r="H581" t="inlineStr">
        <is>
          <t>4x4</t>
        </is>
      </c>
      <c r="I581" t="inlineStr">
        <is>
          <t>Daily/ Weekly Vehicle Inspection</t>
        </is>
      </c>
      <c r="J581" t="inlineStr">
        <is>
          <t>N/A</t>
        </is>
      </c>
      <c r="K581" t="inlineStr">
        <is>
          <t>6617 Ashdown Tree Limited 1</t>
        </is>
      </c>
      <c r="L581" t="inlineStr">
        <is>
          <t>20/06/2025 08:08</t>
        </is>
      </c>
      <c r="M581" t="inlineStr">
        <is>
          <t>None</t>
        </is>
      </c>
      <c r="N581" t="inlineStr">
        <is>
          <t>&lt;p&gt;&lt;/p&gt;</t>
        </is>
      </c>
      <c r="O581" t="inlineStr"/>
      <c r="P581" t="inlineStr">
        <is>
          <t>GU11LKD , 4x4 , Land Rover , Defender</t>
        </is>
      </c>
      <c r="Q581" t="inlineStr">
        <is>
          <t>UKPN</t>
        </is>
      </c>
      <c r="R581" t="b">
        <v>0</v>
      </c>
    </row>
    <row r="582">
      <c r="A582" t="inlineStr">
        <is>
          <t>20 Jun 2025 / Anthony Gale</t>
        </is>
      </c>
      <c r="B582" t="inlineStr">
        <is>
          <t>Utilities &amp; Inland Waterways</t>
        </is>
      </c>
      <c r="C582" t="inlineStr">
        <is>
          <t>UKPN</t>
        </is>
      </c>
      <c r="D582" t="inlineStr">
        <is>
          <t>PE07 HGL , Vehicle , Mitsubishi , L200 K74</t>
        </is>
      </c>
      <c r="E582" t="inlineStr">
        <is>
          <t>PE07 HGL , Vehicle , Mitsubishi , L200 K74</t>
        </is>
      </c>
      <c r="F582" t="inlineStr">
        <is>
          <t>PE07 HGL , Vehicle , Mitsubishi , L200 K74</t>
        </is>
      </c>
      <c r="G582" t="inlineStr">
        <is>
          <t>Anthony Gale</t>
        </is>
      </c>
      <c r="H582" t="inlineStr">
        <is>
          <t>Pickup Truck</t>
        </is>
      </c>
      <c r="I582" t="inlineStr">
        <is>
          <t>Daily/ Weekly Vehicle Inspection</t>
        </is>
      </c>
      <c r="J582" t="inlineStr">
        <is>
          <t>N/A</t>
        </is>
      </c>
      <c r="K582" t="inlineStr">
        <is>
          <t>7996 M G Tree Surgery Ltd 1</t>
        </is>
      </c>
      <c r="L582" t="inlineStr">
        <is>
          <t>20/06/2025 08:09</t>
        </is>
      </c>
      <c r="M582" t="inlineStr">
        <is>
          <t>None</t>
        </is>
      </c>
      <c r="N582" t="inlineStr">
        <is>
          <t>&lt;p&gt;&lt;/p&gt;</t>
        </is>
      </c>
      <c r="O582" t="inlineStr"/>
      <c r="P582" t="inlineStr">
        <is>
          <t>PE07 HGL , Vehicle , Mitsubishi , L200 K74</t>
        </is>
      </c>
      <c r="Q582" t="inlineStr">
        <is>
          <t>UKPN</t>
        </is>
      </c>
      <c r="R582" t="b">
        <v>0</v>
      </c>
    </row>
    <row r="583">
      <c r="A583" t="inlineStr">
        <is>
          <t>20 Jun 2025 / 7186 Eastwoodbury Tree Services Ltd</t>
        </is>
      </c>
      <c r="B583" t="inlineStr">
        <is>
          <t>Utilities &amp; Inland Waterways</t>
        </is>
      </c>
      <c r="C583" t="inlineStr">
        <is>
          <t>UKPN</t>
        </is>
      </c>
      <c r="D583" t="inlineStr">
        <is>
          <t>DE53NKS , 4x4 , Ford , Ranger</t>
        </is>
      </c>
      <c r="E583" t="inlineStr">
        <is>
          <t>DE53NKS , 4x4 , Ford , Ranger</t>
        </is>
      </c>
      <c r="F583" t="inlineStr">
        <is>
          <t>DE53NKS , 4x4 , Ford , Ranger</t>
        </is>
      </c>
      <c r="G583" t="inlineStr">
        <is>
          <t xml:space="preserve">Jay Denkmayer </t>
        </is>
      </c>
      <c r="H583" t="inlineStr">
        <is>
          <t>Pickup Truck</t>
        </is>
      </c>
      <c r="I583" t="inlineStr">
        <is>
          <t>Daily/ Weekly Vehicle Inspection</t>
        </is>
      </c>
      <c r="J583" t="inlineStr">
        <is>
          <t>N/A</t>
        </is>
      </c>
      <c r="K583" t="inlineStr">
        <is>
          <t>7186 Eastwoodbury Tree Services Ltd</t>
        </is>
      </c>
      <c r="L583" t="inlineStr">
        <is>
          <t>20/06/2025 08:10</t>
        </is>
      </c>
      <c r="M583" t="inlineStr">
        <is>
          <t>None</t>
        </is>
      </c>
      <c r="N583" t="inlineStr">
        <is>
          <t>&lt;p&gt;&lt;/p&gt;</t>
        </is>
      </c>
      <c r="O583" t="inlineStr"/>
      <c r="P583" t="inlineStr">
        <is>
          <t>DE53NKS , 4x4 , Ford , Ranger</t>
        </is>
      </c>
      <c r="Q583" t="inlineStr">
        <is>
          <t>UKPN</t>
        </is>
      </c>
      <c r="R583" t="b">
        <v>0</v>
      </c>
    </row>
    <row r="584">
      <c r="A584" t="inlineStr">
        <is>
          <t>20 Jun 2025 / 7186 Eastwoodbury Tree Services Ltd</t>
        </is>
      </c>
      <c r="B584" t="inlineStr">
        <is>
          <t>Utilities &amp; Inland Waterways</t>
        </is>
      </c>
      <c r="C584" t="inlineStr">
        <is>
          <t>UKPN</t>
        </is>
      </c>
      <c r="D584" t="inlineStr">
        <is>
          <t>AO57BPF , 4x4 , Santana  , Ps10</t>
        </is>
      </c>
      <c r="E584" t="inlineStr">
        <is>
          <t>AO57BPF , 4x4 , Santana  , Ps10</t>
        </is>
      </c>
      <c r="F584" t="inlineStr">
        <is>
          <t>AO57BPF , 4x4 , Santana  , Ps10</t>
        </is>
      </c>
      <c r="G584" t="inlineStr">
        <is>
          <t xml:space="preserve">Dan Gilbert </t>
        </is>
      </c>
      <c r="H584" t="inlineStr">
        <is>
          <t>4x4</t>
        </is>
      </c>
      <c r="I584" t="inlineStr">
        <is>
          <t>Daily/ Weekly Vehicle Inspection</t>
        </is>
      </c>
      <c r="J584" t="inlineStr">
        <is>
          <t>N/A</t>
        </is>
      </c>
      <c r="K584" t="inlineStr">
        <is>
          <t>7186 Eastwoodbury Tree Services Ltd</t>
        </is>
      </c>
      <c r="L584" t="inlineStr">
        <is>
          <t>20/06/2025 08:10</t>
        </is>
      </c>
      <c r="M584" t="inlineStr">
        <is>
          <t>None</t>
        </is>
      </c>
      <c r="N584" t="inlineStr">
        <is>
          <t>&lt;p&gt;&lt;/p&gt;</t>
        </is>
      </c>
      <c r="O584" t="inlineStr"/>
      <c r="P584" t="inlineStr">
        <is>
          <t>AO57BPF , 4x4 , Santana  , Ps10</t>
        </is>
      </c>
      <c r="Q584" t="inlineStr">
        <is>
          <t>UKPN</t>
        </is>
      </c>
      <c r="R584" t="b">
        <v>0</v>
      </c>
    </row>
    <row r="585">
      <c r="A585" t="inlineStr">
        <is>
          <t>20 Jun 2025 / Thomas Playford</t>
        </is>
      </c>
      <c r="B585" t="inlineStr">
        <is>
          <t>Utilities &amp; Inland Waterways</t>
        </is>
      </c>
      <c r="C585" t="inlineStr">
        <is>
          <t>UKPN</t>
        </is>
      </c>
      <c r="D585" t="inlineStr">
        <is>
          <t>Equipment Trailer - I For Williams Custom - Chipper Trailer - 47336638</t>
        </is>
      </c>
      <c r="E585" t="inlineStr">
        <is>
          <t>Equipment Trailer - I For Williams Custom - Chipper Trailer - 47336638</t>
        </is>
      </c>
      <c r="F585" t="inlineStr">
        <is>
          <t>Equipment Trailer - I For Williams Custom - Chipper Trailer - 47336638</t>
        </is>
      </c>
      <c r="G585" t="inlineStr">
        <is>
          <t>Jacob Oram</t>
        </is>
      </c>
      <c r="H585" t="inlineStr">
        <is>
          <t>Plant Trailer</t>
        </is>
      </c>
      <c r="I585" t="inlineStr">
        <is>
          <t>Daily/ Weekly Vehicle Inspection</t>
        </is>
      </c>
      <c r="J585" t="inlineStr">
        <is>
          <t>N/A</t>
        </is>
      </c>
      <c r="K585" t="inlineStr">
        <is>
          <t>7995 Contour Landscapes Ltd 2</t>
        </is>
      </c>
      <c r="L585" t="inlineStr">
        <is>
          <t>20/06/2025 10:05</t>
        </is>
      </c>
      <c r="M585" t="inlineStr">
        <is>
          <t>None</t>
        </is>
      </c>
      <c r="N585" t="inlineStr">
        <is>
          <t>&lt;p&gt;&lt;/p&gt;</t>
        </is>
      </c>
      <c r="O585" t="inlineStr"/>
      <c r="P585" t="inlineStr">
        <is>
          <t>Equipment Trailer - I For Williams Custom - Chipper Trailer - 47336638</t>
        </is>
      </c>
      <c r="Q585" t="inlineStr">
        <is>
          <t>UKPN</t>
        </is>
      </c>
      <c r="R585" t="b">
        <v>0</v>
      </c>
    </row>
    <row r="586">
      <c r="A586" t="inlineStr">
        <is>
          <t>20 Jun 2025 / Thomas Playford</t>
        </is>
      </c>
      <c r="B586" t="inlineStr">
        <is>
          <t>Utilities &amp; Inland Waterways</t>
        </is>
      </c>
      <c r="C586" t="inlineStr">
        <is>
          <t>UKPN</t>
        </is>
      </c>
      <c r="D586" t="inlineStr"/>
      <c r="E586" t="inlineStr"/>
      <c r="F586" t="inlineStr"/>
      <c r="G586" t="inlineStr"/>
      <c r="H586" t="inlineStr"/>
      <c r="I586" t="inlineStr">
        <is>
          <t>Add to Vehicle to the GC Vehicle List</t>
        </is>
      </c>
      <c r="J586" t="inlineStr">
        <is>
          <t>N/A</t>
        </is>
      </c>
      <c r="K586" t="inlineStr">
        <is>
          <t>7995 Contour Landscapes Ltd 2</t>
        </is>
      </c>
      <c r="L586" t="inlineStr">
        <is>
          <t>20/06/2025 10:07</t>
        </is>
      </c>
      <c r="M586" t="inlineStr">
        <is>
          <t>None</t>
        </is>
      </c>
      <c r="N586" t="inlineStr">
        <is>
          <t>&lt;p&gt;&lt;/p&gt;</t>
        </is>
      </c>
      <c r="O586" t="inlineStr"/>
      <c r="P586" t="inlineStr"/>
      <c r="Q586" t="inlineStr">
        <is>
          <t>UKPN</t>
        </is>
      </c>
      <c r="R586" t="b">
        <v>0</v>
      </c>
    </row>
    <row r="587">
      <c r="A587" t="inlineStr">
        <is>
          <t>20 Jun 2025 / Thomas Playford</t>
        </is>
      </c>
      <c r="B587" t="inlineStr">
        <is>
          <t>Utilities &amp; Inland Waterways</t>
        </is>
      </c>
      <c r="C587" t="inlineStr">
        <is>
          <t>UKPN</t>
        </is>
      </c>
      <c r="D587" t="inlineStr">
        <is>
          <t>YP24 WRD , Vehicle , Ford , Ranger</t>
        </is>
      </c>
      <c r="E587" t="inlineStr">
        <is>
          <t>YP24 WRD , Vehicle , Ford , Ranger</t>
        </is>
      </c>
      <c r="F587" t="inlineStr">
        <is>
          <t>YP24 WRD , Vehicle , Ford , Ranger</t>
        </is>
      </c>
      <c r="G587" t="inlineStr">
        <is>
          <t>Jacob Oram</t>
        </is>
      </c>
      <c r="H587" t="inlineStr">
        <is>
          <t>4x4</t>
        </is>
      </c>
      <c r="I587" t="inlineStr">
        <is>
          <t>Daily/ Weekly Vehicle Inspection</t>
        </is>
      </c>
      <c r="J587" t="inlineStr">
        <is>
          <t>N/A</t>
        </is>
      </c>
      <c r="K587" t="inlineStr">
        <is>
          <t>7995 Contour Landscapes Ltd 2</t>
        </is>
      </c>
      <c r="L587" t="inlineStr">
        <is>
          <t>20/06/2025 10:08</t>
        </is>
      </c>
      <c r="M587" t="inlineStr">
        <is>
          <t>None</t>
        </is>
      </c>
      <c r="N587" t="inlineStr">
        <is>
          <t>&lt;p&gt;&lt;/p&gt;</t>
        </is>
      </c>
      <c r="O587" t="inlineStr"/>
      <c r="P587" t="inlineStr">
        <is>
          <t>YP24 WRD , Vehicle , Ford , Ranger</t>
        </is>
      </c>
      <c r="Q587" t="inlineStr">
        <is>
          <t>UKPN</t>
        </is>
      </c>
      <c r="R587" t="b">
        <v>0</v>
      </c>
    </row>
    <row r="588">
      <c r="A588" t="inlineStr">
        <is>
          <t>20 Jun 2025 / 3098 D &amp; R Landscapes (PEND Arb Rail)</t>
        </is>
      </c>
      <c r="B588" t="inlineStr">
        <is>
          <t>Utilities &amp; Inland Waterways</t>
        </is>
      </c>
      <c r="C588" t="inlineStr">
        <is>
          <t>UKPN</t>
        </is>
      </c>
      <c r="D588" t="inlineStr">
        <is>
          <t>DE68XHA , Tipper , Isuzu , Grafter</t>
        </is>
      </c>
      <c r="E588" t="inlineStr">
        <is>
          <t>DE68XHA , Tipper , Isuzu , Grafter</t>
        </is>
      </c>
      <c r="F588" t="inlineStr">
        <is>
          <t>DE68XHA , Tipper , Isuzu , Grafter</t>
        </is>
      </c>
      <c r="G588" t="inlineStr">
        <is>
          <t>Jason</t>
        </is>
      </c>
      <c r="H588" t="inlineStr">
        <is>
          <t>Tipper</t>
        </is>
      </c>
      <c r="I588" t="inlineStr">
        <is>
          <t>Daily/ Weekly Vehicle Inspection</t>
        </is>
      </c>
      <c r="J588" t="inlineStr">
        <is>
          <t>N/A</t>
        </is>
      </c>
      <c r="K588" t="inlineStr">
        <is>
          <t>3098 D &amp; R Landscapes (PEND Arb Rail)</t>
        </is>
      </c>
      <c r="L588" t="inlineStr">
        <is>
          <t>20/06/2025 11:04</t>
        </is>
      </c>
      <c r="M588" t="inlineStr">
        <is>
          <t>None</t>
        </is>
      </c>
      <c r="N588" t="inlineStr">
        <is>
          <t>&lt;p&gt;&lt;/p&gt;</t>
        </is>
      </c>
      <c r="O588" t="inlineStr"/>
      <c r="P588" t="inlineStr">
        <is>
          <t>DE68XHA , Tipper , Isuzu , Grafter</t>
        </is>
      </c>
      <c r="Q588" t="inlineStr">
        <is>
          <t>UKPN</t>
        </is>
      </c>
      <c r="R588" t="b">
        <v>0</v>
      </c>
    </row>
    <row r="589">
      <c r="A589" t="inlineStr">
        <is>
          <t>22 Jun 2025 / 7806 Optimum Tree Services Ltd</t>
        </is>
      </c>
      <c r="B589" t="inlineStr">
        <is>
          <t>Utilities &amp; Inland Waterways</t>
        </is>
      </c>
      <c r="C589" t="inlineStr">
        <is>
          <t>UKPN</t>
        </is>
      </c>
      <c r="D589" t="inlineStr">
        <is>
          <t>WD14EVB , MEWP , Land Rover , Defender</t>
        </is>
      </c>
      <c r="E589" t="inlineStr">
        <is>
          <t>WD14EVB , MEWP , Land Rover , Defender</t>
        </is>
      </c>
      <c r="F589" t="inlineStr">
        <is>
          <t>WD14EVB , MEWP , Land Rover , Defender</t>
        </is>
      </c>
      <c r="G589" t="inlineStr">
        <is>
          <t xml:space="preserve">Abraham Davies </t>
        </is>
      </c>
      <c r="H589" t="inlineStr">
        <is>
          <t>4x4</t>
        </is>
      </c>
      <c r="I589" t="inlineStr">
        <is>
          <t>Daily/ Weekly Vehicle Inspection</t>
        </is>
      </c>
      <c r="J589" t="inlineStr">
        <is>
          <t>N/A</t>
        </is>
      </c>
      <c r="K589" t="inlineStr">
        <is>
          <t>7806 Optimum Tree Services Ltd</t>
        </is>
      </c>
      <c r="L589" t="inlineStr">
        <is>
          <t>22/06/2025 07:04</t>
        </is>
      </c>
      <c r="M589" t="inlineStr">
        <is>
          <t>None</t>
        </is>
      </c>
      <c r="N589" t="inlineStr">
        <is>
          <t>&lt;p&gt;&lt;/p&gt;</t>
        </is>
      </c>
      <c r="O589" t="inlineStr"/>
      <c r="P589" t="inlineStr">
        <is>
          <t>WD14EVB , MEWP , Land Rover , Defender</t>
        </is>
      </c>
      <c r="Q589" t="inlineStr">
        <is>
          <t>UKPN</t>
        </is>
      </c>
      <c r="R589" t="b">
        <v>0</v>
      </c>
    </row>
    <row r="590">
      <c r="A590" t="inlineStr">
        <is>
          <t>22 Jun 2025 / 7806 Optimum Tree Services Ltd</t>
        </is>
      </c>
      <c r="B590" t="inlineStr">
        <is>
          <t>Utilities &amp; Inland Waterways</t>
        </is>
      </c>
      <c r="C590" t="inlineStr">
        <is>
          <t>UKPN</t>
        </is>
      </c>
      <c r="D590" t="inlineStr">
        <is>
          <t>SA9ST800000283069 , Chipper , Forst , ST 6P</t>
        </is>
      </c>
      <c r="E590" t="inlineStr">
        <is>
          <t>SA9ST800000283069 , Chipper , Forst , ST 6P</t>
        </is>
      </c>
      <c r="F590" t="inlineStr">
        <is>
          <t>SA9ST800000283069 , Chipper , Forst , ST 6P</t>
        </is>
      </c>
      <c r="G590" t="inlineStr">
        <is>
          <t xml:space="preserve">Abraham Davies </t>
        </is>
      </c>
      <c r="H590" t="inlineStr">
        <is>
          <t>Towed Chipper</t>
        </is>
      </c>
      <c r="I590" t="inlineStr">
        <is>
          <t>Daily/ Weekly Vehicle Inspection</t>
        </is>
      </c>
      <c r="J590" t="inlineStr">
        <is>
          <t>N/A</t>
        </is>
      </c>
      <c r="K590" t="inlineStr">
        <is>
          <t>7806 Optimum Tree Services Ltd</t>
        </is>
      </c>
      <c r="L590" t="inlineStr">
        <is>
          <t>22/06/2025 08:05</t>
        </is>
      </c>
      <c r="M590" t="inlineStr">
        <is>
          <t>None</t>
        </is>
      </c>
      <c r="N590" t="inlineStr">
        <is>
          <t>&lt;p&gt;&lt;/p&gt;</t>
        </is>
      </c>
      <c r="O590" t="inlineStr"/>
      <c r="P590" t="inlineStr">
        <is>
          <t>SA9ST800000283069 , Chipper , Forst , ST 6P</t>
        </is>
      </c>
      <c r="Q590" t="inlineStr">
        <is>
          <t>UKPN</t>
        </is>
      </c>
      <c r="R590" t="b">
        <v>0</v>
      </c>
    </row>
    <row r="591">
      <c r="A591" t="inlineStr">
        <is>
          <t>22 Jun 2025 / 6617 Ashdown Tree Limited 1</t>
        </is>
      </c>
      <c r="B591" t="inlineStr">
        <is>
          <t>Utilities &amp; Inland Waterways</t>
        </is>
      </c>
      <c r="C591" t="inlineStr">
        <is>
          <t>UKPN</t>
        </is>
      </c>
      <c r="D591" t="inlineStr">
        <is>
          <t>FE11BUT , Tipper , Ford , Transit</t>
        </is>
      </c>
      <c r="E591" t="inlineStr">
        <is>
          <t>FE11BUT , Tipper , Ford , Transit</t>
        </is>
      </c>
      <c r="F591" t="inlineStr">
        <is>
          <t>FE11BUT , Tipper , Ford , Transit</t>
        </is>
      </c>
      <c r="G591" t="inlineStr">
        <is>
          <t xml:space="preserve">Francislesser </t>
        </is>
      </c>
      <c r="H591" t="inlineStr">
        <is>
          <t>Tipper</t>
        </is>
      </c>
      <c r="I591" t="inlineStr">
        <is>
          <t>Daily/ Weekly Vehicle Inspection</t>
        </is>
      </c>
      <c r="J591" t="inlineStr">
        <is>
          <t>N/A</t>
        </is>
      </c>
      <c r="K591" t="inlineStr">
        <is>
          <t>6617 Ashdown Tree Limited 1</t>
        </is>
      </c>
      <c r="L591" t="inlineStr">
        <is>
          <t>22/06/2025 10:04</t>
        </is>
      </c>
      <c r="M591" t="inlineStr">
        <is>
          <t>None</t>
        </is>
      </c>
      <c r="N591" t="inlineStr">
        <is>
          <t>&lt;p&gt;&lt;/p&gt;</t>
        </is>
      </c>
      <c r="O591" t="inlineStr"/>
      <c r="P591" t="inlineStr">
        <is>
          <t>FE11BUT , Tipper , Ford , Transit</t>
        </is>
      </c>
      <c r="Q591" t="inlineStr">
        <is>
          <t>UKPN</t>
        </is>
      </c>
      <c r="R591" t="b">
        <v>0</v>
      </c>
    </row>
    <row r="592">
      <c r="A592" t="inlineStr">
        <is>
          <t>22 Jun 2025 / 6617 Ashdown Tree Limited 1</t>
        </is>
      </c>
      <c r="B592" t="inlineStr">
        <is>
          <t>Utilities &amp; Inland Waterways</t>
        </is>
      </c>
      <c r="C592" t="inlineStr">
        <is>
          <t>UKPN</t>
        </is>
      </c>
      <c r="D592" t="inlineStr">
        <is>
          <t>FE11BUT , Tipper , Ford , Transit</t>
        </is>
      </c>
      <c r="E592" t="inlineStr">
        <is>
          <t>FE11BUT , Tipper , Ford , Transit</t>
        </is>
      </c>
      <c r="F592" t="inlineStr">
        <is>
          <t>FE11BUT , Tipper , Ford , Transit</t>
        </is>
      </c>
      <c r="G592" t="inlineStr">
        <is>
          <t xml:space="preserve">Dan Watkins </t>
        </is>
      </c>
      <c r="H592" t="inlineStr">
        <is>
          <t>Tipper</t>
        </is>
      </c>
      <c r="I592" t="inlineStr">
        <is>
          <t>Daily/ Weekly Vehicle Inspection</t>
        </is>
      </c>
      <c r="J592" t="inlineStr">
        <is>
          <t>N/A</t>
        </is>
      </c>
      <c r="K592" t="inlineStr">
        <is>
          <t>6617 Ashdown Tree Limited 1</t>
        </is>
      </c>
      <c r="L592" t="inlineStr">
        <is>
          <t>22/06/2025 10:05</t>
        </is>
      </c>
      <c r="M592" t="inlineStr">
        <is>
          <t>None</t>
        </is>
      </c>
      <c r="N592" t="inlineStr">
        <is>
          <t>&lt;p&gt;&lt;/p&gt;</t>
        </is>
      </c>
      <c r="O592" t="inlineStr">
        <is>
          <t>Select Vehicle:Av69lvr</t>
        </is>
      </c>
      <c r="P592" t="inlineStr">
        <is>
          <t>FE11BUT , Tipper , Ford , Transit</t>
        </is>
      </c>
      <c r="Q592" t="inlineStr">
        <is>
          <t>UKPN</t>
        </is>
      </c>
      <c r="R592" t="b">
        <v>0</v>
      </c>
    </row>
    <row r="593">
      <c r="A593" t="inlineStr">
        <is>
          <t>23 Jun 2025 / 7186 Eastwoodbury Tree Services Ltd</t>
        </is>
      </c>
      <c r="B593" t="inlineStr">
        <is>
          <t>Utilities &amp; Inland Waterways</t>
        </is>
      </c>
      <c r="C593" t="inlineStr">
        <is>
          <t>UKPN</t>
        </is>
      </c>
      <c r="D593" t="inlineStr">
        <is>
          <t>AO57BPF , 4x4 , Santana  , Ps10</t>
        </is>
      </c>
      <c r="E593" t="inlineStr">
        <is>
          <t>AO57BPF , 4x4 , Santana  , Ps10</t>
        </is>
      </c>
      <c r="F593" t="inlineStr">
        <is>
          <t>AO57BPF , 4x4 , Santana  , Ps10</t>
        </is>
      </c>
      <c r="G593" t="inlineStr">
        <is>
          <t xml:space="preserve">Dan Gilbert </t>
        </is>
      </c>
      <c r="H593" t="inlineStr">
        <is>
          <t>4x4</t>
        </is>
      </c>
      <c r="I593" t="inlineStr">
        <is>
          <t>Daily/ Weekly Vehicle Inspection</t>
        </is>
      </c>
      <c r="J593" t="inlineStr">
        <is>
          <t>N/A</t>
        </is>
      </c>
      <c r="K593" t="inlineStr">
        <is>
          <t>7186 Eastwoodbury Tree Services Ltd</t>
        </is>
      </c>
      <c r="L593" t="inlineStr">
        <is>
          <t>23/06/2025 07:06</t>
        </is>
      </c>
      <c r="M593" t="inlineStr">
        <is>
          <t>None</t>
        </is>
      </c>
      <c r="N593" t="inlineStr">
        <is>
          <t>&lt;p&gt;&lt;/p&gt;</t>
        </is>
      </c>
      <c r="O593" t="inlineStr"/>
      <c r="P593" t="inlineStr">
        <is>
          <t>AO57BPF , 4x4 , Santana  , Ps10</t>
        </is>
      </c>
      <c r="Q593" t="inlineStr">
        <is>
          <t>UKPN</t>
        </is>
      </c>
      <c r="R593" t="b">
        <v>0</v>
      </c>
    </row>
    <row r="594">
      <c r="A594" t="inlineStr">
        <is>
          <t>23 Jun 2025 / 7951 Austin Tree Care LTD</t>
        </is>
      </c>
      <c r="B594" t="inlineStr">
        <is>
          <t>Utilities &amp; Inland Waterways</t>
        </is>
      </c>
      <c r="C594" t="inlineStr">
        <is>
          <t>UKPN</t>
        </is>
      </c>
      <c r="D594" t="inlineStr">
        <is>
          <t>Kn58xuy , Tipper , VW  , Crafter</t>
        </is>
      </c>
      <c r="E594" t="inlineStr">
        <is>
          <t>Kn58xuy , Tipper , VW  , Crafter</t>
        </is>
      </c>
      <c r="F594" t="inlineStr">
        <is>
          <t>Kn58xuy , Tipper , VW  , Crafter</t>
        </is>
      </c>
      <c r="G594" t="inlineStr">
        <is>
          <t xml:space="preserve">Jack Austin </t>
        </is>
      </c>
      <c r="H594" t="inlineStr">
        <is>
          <t>Tipper</t>
        </is>
      </c>
      <c r="I594" t="inlineStr">
        <is>
          <t>Daily/ Weekly Vehicle Inspection</t>
        </is>
      </c>
      <c r="J594" t="inlineStr">
        <is>
          <t>N/A</t>
        </is>
      </c>
      <c r="K594" t="inlineStr">
        <is>
          <t>7951 Austin Tree Care LTD</t>
        </is>
      </c>
      <c r="L594" t="inlineStr">
        <is>
          <t>23/06/2025 08:13</t>
        </is>
      </c>
      <c r="M594" t="inlineStr">
        <is>
          <t>None</t>
        </is>
      </c>
      <c r="N594" t="inlineStr">
        <is>
          <t>&lt;p&gt;&lt;/p&gt;</t>
        </is>
      </c>
      <c r="O594" t="inlineStr"/>
      <c r="P594" t="inlineStr">
        <is>
          <t>Kn58xuy , Tipper , VW  , Crafter</t>
        </is>
      </c>
      <c r="Q594" t="inlineStr">
        <is>
          <t>UKPN</t>
        </is>
      </c>
      <c r="R594" t="b">
        <v>0</v>
      </c>
    </row>
    <row r="595">
      <c r="A595" t="inlineStr">
        <is>
          <t>23 Jun 2025 / 6617 Ashdown Tree Limited 1</t>
        </is>
      </c>
      <c r="B595" t="inlineStr">
        <is>
          <t>Utilities &amp; Inland Waterways</t>
        </is>
      </c>
      <c r="C595" t="inlineStr">
        <is>
          <t>UKPN</t>
        </is>
      </c>
      <c r="D595" t="inlineStr">
        <is>
          <t>GU11LKD , 4x4 , Land Rover , Defender</t>
        </is>
      </c>
      <c r="E595" t="inlineStr">
        <is>
          <t>GU11LKD , 4x4 , Land Rover , Defender</t>
        </is>
      </c>
      <c r="F595" t="inlineStr">
        <is>
          <t>GU11LKD , 4x4 , Land Rover , Defender</t>
        </is>
      </c>
      <c r="G595" t="inlineStr">
        <is>
          <t xml:space="preserve">Francislesser </t>
        </is>
      </c>
      <c r="H595" t="inlineStr">
        <is>
          <t>4x4</t>
        </is>
      </c>
      <c r="I595" t="inlineStr">
        <is>
          <t>Daily/ Weekly Vehicle Inspection</t>
        </is>
      </c>
      <c r="J595" t="inlineStr">
        <is>
          <t>N/A</t>
        </is>
      </c>
      <c r="K595" t="inlineStr">
        <is>
          <t>6617 Ashdown Tree Limited 1</t>
        </is>
      </c>
      <c r="L595" t="inlineStr">
        <is>
          <t>23/06/2025 08:14</t>
        </is>
      </c>
      <c r="M595" t="inlineStr">
        <is>
          <t>None</t>
        </is>
      </c>
      <c r="N595" t="inlineStr">
        <is>
          <t>&lt;p&gt;&lt;/p&gt;</t>
        </is>
      </c>
      <c r="O595" t="inlineStr"/>
      <c r="P595" t="inlineStr">
        <is>
          <t>GU11LKD , 4x4 , Land Rover , Defender</t>
        </is>
      </c>
      <c r="Q595" t="inlineStr">
        <is>
          <t>UKPN</t>
        </is>
      </c>
      <c r="R595" t="b">
        <v>0</v>
      </c>
    </row>
    <row r="596">
      <c r="A596" t="inlineStr">
        <is>
          <t>23 Jun 2025 / 3098 D &amp; R Landscapes (PEND Arb Rail)</t>
        </is>
      </c>
      <c r="B596" t="inlineStr">
        <is>
          <t>Utilities &amp; Inland Waterways</t>
        </is>
      </c>
      <c r="C596" t="inlineStr">
        <is>
          <t>UKPN</t>
        </is>
      </c>
      <c r="D596" t="inlineStr">
        <is>
          <t>DE68XHA , Tipper , Isuzu , Grafter</t>
        </is>
      </c>
      <c r="E596" t="inlineStr">
        <is>
          <t>DE68XHA , Tipper , Isuzu , Grafter</t>
        </is>
      </c>
      <c r="F596" t="inlineStr">
        <is>
          <t>DE68XHA , Tipper , Isuzu , Grafter</t>
        </is>
      </c>
      <c r="G596" t="inlineStr">
        <is>
          <t xml:space="preserve">Dylan </t>
        </is>
      </c>
      <c r="H596" t="inlineStr">
        <is>
          <t>Tipper</t>
        </is>
      </c>
      <c r="I596" t="inlineStr">
        <is>
          <t>Daily/ Weekly Vehicle Inspection</t>
        </is>
      </c>
      <c r="J596" t="inlineStr">
        <is>
          <t>N/A</t>
        </is>
      </c>
      <c r="K596" t="inlineStr">
        <is>
          <t>3098 D &amp; R Landscapes (PEND Arb Rail)</t>
        </is>
      </c>
      <c r="L596" t="inlineStr">
        <is>
          <t>23/06/2025 08:15</t>
        </is>
      </c>
      <c r="M596" t="inlineStr">
        <is>
          <t>None</t>
        </is>
      </c>
      <c r="N596" t="inlineStr">
        <is>
          <t>&lt;p&gt;&lt;/p&gt;</t>
        </is>
      </c>
      <c r="O596" t="inlineStr"/>
      <c r="P596" t="inlineStr">
        <is>
          <t>DE68XHA , Tipper , Isuzu , Grafter</t>
        </is>
      </c>
      <c r="Q596" t="inlineStr">
        <is>
          <t>UKPN</t>
        </is>
      </c>
      <c r="R596" t="b">
        <v>0</v>
      </c>
    </row>
    <row r="597">
      <c r="A597" t="inlineStr">
        <is>
          <t>23 Jun 2025 / 7186 Eastwoodbury Tree Services Ltd</t>
        </is>
      </c>
      <c r="B597" t="inlineStr">
        <is>
          <t>Utilities &amp; Inland Waterways</t>
        </is>
      </c>
      <c r="C597" t="inlineStr">
        <is>
          <t>UKPN</t>
        </is>
      </c>
      <c r="D597" t="inlineStr">
        <is>
          <t>FN600XM , 4x4 , Land Rover  , Defender</t>
        </is>
      </c>
      <c r="E597" t="inlineStr">
        <is>
          <t>FN600XM , 4x4 , Land Rover  , Defender</t>
        </is>
      </c>
      <c r="F597" t="inlineStr">
        <is>
          <t>FN600XM , 4x4 , Land Rover  , Defender</t>
        </is>
      </c>
      <c r="G597" t="inlineStr">
        <is>
          <t xml:space="preserve">Jay Denkmayer </t>
        </is>
      </c>
      <c r="H597" t="inlineStr">
        <is>
          <t>4x4</t>
        </is>
      </c>
      <c r="I597" t="inlineStr">
        <is>
          <t>Daily/ Weekly Vehicle Inspection</t>
        </is>
      </c>
      <c r="J597" t="inlineStr">
        <is>
          <t>N/A</t>
        </is>
      </c>
      <c r="K597" t="inlineStr">
        <is>
          <t>7186 Eastwoodbury Tree Services Ltd</t>
        </is>
      </c>
      <c r="L597" t="inlineStr">
        <is>
          <t>23/06/2025 08:17</t>
        </is>
      </c>
      <c r="M597" t="inlineStr">
        <is>
          <t>None</t>
        </is>
      </c>
      <c r="N597" t="inlineStr">
        <is>
          <t>&lt;p&gt;&lt;/p&gt;</t>
        </is>
      </c>
      <c r="O597" t="inlineStr"/>
      <c r="P597" t="inlineStr">
        <is>
          <t>FN600XM , 4x4 , Land Rover  , Defender</t>
        </is>
      </c>
      <c r="Q597" t="inlineStr">
        <is>
          <t>UKPN</t>
        </is>
      </c>
      <c r="R597" t="b">
        <v>0</v>
      </c>
    </row>
    <row r="598">
      <c r="A598" t="inlineStr">
        <is>
          <t>23 Jun 2025 / Thomas Playford</t>
        </is>
      </c>
      <c r="B598" t="inlineStr">
        <is>
          <t>Utilities &amp; Inland Waterways</t>
        </is>
      </c>
      <c r="C598" t="inlineStr">
        <is>
          <t>UKPN</t>
        </is>
      </c>
      <c r="D598" t="inlineStr">
        <is>
          <t>SA9ST800000283944 , Tow Chipper , Forst , ST8D - Towed</t>
        </is>
      </c>
      <c r="E598" t="inlineStr">
        <is>
          <t>SA9ST800000283944 , Tow Chipper , Forst , ST8D - Towed</t>
        </is>
      </c>
      <c r="F598" t="inlineStr">
        <is>
          <t>SA9ST800000283944 , Tow Chipper , Forst , ST8D - Towed</t>
        </is>
      </c>
      <c r="G598" t="inlineStr">
        <is>
          <t>Jacob Oram</t>
        </is>
      </c>
      <c r="H598" t="inlineStr">
        <is>
          <t>Towed Chipper</t>
        </is>
      </c>
      <c r="I598" t="inlineStr">
        <is>
          <t>Daily/ Weekly Vehicle Inspection</t>
        </is>
      </c>
      <c r="J598" t="inlineStr">
        <is>
          <t>N/A</t>
        </is>
      </c>
      <c r="K598" t="inlineStr">
        <is>
          <t>7995 Contour Landscapes Ltd 2</t>
        </is>
      </c>
      <c r="L598" t="inlineStr">
        <is>
          <t>23/06/2025 08:18</t>
        </is>
      </c>
      <c r="M598" t="inlineStr">
        <is>
          <t>None</t>
        </is>
      </c>
      <c r="N598" t="inlineStr">
        <is>
          <t>&lt;p&gt;&lt;/p&gt;</t>
        </is>
      </c>
      <c r="O598" t="inlineStr"/>
      <c r="P598" t="inlineStr">
        <is>
          <t>SA9ST800000283944 , Tow Chipper , Forst , ST8D - Towed</t>
        </is>
      </c>
      <c r="Q598" t="inlineStr">
        <is>
          <t>UKPN</t>
        </is>
      </c>
      <c r="R598" t="b">
        <v>0</v>
      </c>
    </row>
    <row r="599">
      <c r="A599" t="inlineStr">
        <is>
          <t>23 Jun 2025 / 7996 M G Tree Surgery Ltd</t>
        </is>
      </c>
      <c r="B599" t="inlineStr">
        <is>
          <t>Utilities &amp; Inland Waterways</t>
        </is>
      </c>
      <c r="C599" t="inlineStr">
        <is>
          <t>UKPN</t>
        </is>
      </c>
      <c r="D599" t="inlineStr">
        <is>
          <t>GU13 WNL , MEWP , Land Rover , Defender 130</t>
        </is>
      </c>
      <c r="E599" t="inlineStr">
        <is>
          <t>GU13 WNL , MEWP , Land Rover , Defender 130</t>
        </is>
      </c>
      <c r="F599" t="inlineStr">
        <is>
          <t>GU13 WNL , MEWP , Land Rover , Defender 130</t>
        </is>
      </c>
      <c r="G599" t="inlineStr">
        <is>
          <t>Max gaylor</t>
        </is>
      </c>
      <c r="H599" t="inlineStr">
        <is>
          <t>4x4</t>
        </is>
      </c>
      <c r="I599" t="inlineStr">
        <is>
          <t>Daily/ Weekly Vehicle Inspection</t>
        </is>
      </c>
      <c r="J599" t="inlineStr">
        <is>
          <t>N/A</t>
        </is>
      </c>
      <c r="K599" t="inlineStr">
        <is>
          <t>7996 M G Tree Surgery Ltd</t>
        </is>
      </c>
      <c r="L599" t="inlineStr">
        <is>
          <t>23/06/2025 08:18</t>
        </is>
      </c>
      <c r="M599" t="inlineStr">
        <is>
          <t>None</t>
        </is>
      </c>
      <c r="N599" t="inlineStr">
        <is>
          <t>&lt;p&gt;&lt;/p&gt;</t>
        </is>
      </c>
      <c r="O599" t="inlineStr"/>
      <c r="P599" t="inlineStr">
        <is>
          <t>GU13 WNL , MEWP , Land Rover , Defender 130</t>
        </is>
      </c>
      <c r="Q599" t="inlineStr">
        <is>
          <t>UKPN</t>
        </is>
      </c>
      <c r="R599" t="b">
        <v>0</v>
      </c>
    </row>
    <row r="600">
      <c r="A600" t="inlineStr">
        <is>
          <t>23 Jun 2025 / Thomas Playford</t>
        </is>
      </c>
      <c r="B600" t="inlineStr">
        <is>
          <t>Utilities &amp; Inland Waterways</t>
        </is>
      </c>
      <c r="C600" t="inlineStr">
        <is>
          <t>UKPN</t>
        </is>
      </c>
      <c r="D600" t="inlineStr">
        <is>
          <t>YP24 WRD , Vehicle , Ford , Ranger</t>
        </is>
      </c>
      <c r="E600" t="inlineStr">
        <is>
          <t>YP24 WRD , Vehicle , Ford , Ranger</t>
        </is>
      </c>
      <c r="F600" t="inlineStr">
        <is>
          <t>YP24 WRD , Vehicle , Ford , Ranger</t>
        </is>
      </c>
      <c r="G600" t="inlineStr">
        <is>
          <t>Jacob Oram</t>
        </is>
      </c>
      <c r="H600" t="inlineStr">
        <is>
          <t>4x4</t>
        </is>
      </c>
      <c r="I600" t="inlineStr">
        <is>
          <t>Daily/ Weekly Vehicle Inspection</t>
        </is>
      </c>
      <c r="J600" t="inlineStr">
        <is>
          <t>N/A</t>
        </is>
      </c>
      <c r="K600" t="inlineStr">
        <is>
          <t>7995 Contour Landscapes Ltd 2</t>
        </is>
      </c>
      <c r="L600" t="inlineStr">
        <is>
          <t>23/06/2025 08:19</t>
        </is>
      </c>
      <c r="M600" t="inlineStr">
        <is>
          <t>None</t>
        </is>
      </c>
      <c r="N600" t="inlineStr">
        <is>
          <t>&lt;p&gt;&lt;/p&gt;</t>
        </is>
      </c>
      <c r="O600" t="inlineStr"/>
      <c r="P600" t="inlineStr">
        <is>
          <t>YP24 WRD , Vehicle , Ford , Ranger</t>
        </is>
      </c>
      <c r="Q600" t="inlineStr">
        <is>
          <t>UKPN</t>
        </is>
      </c>
      <c r="R600" t="b">
        <v>0</v>
      </c>
    </row>
    <row r="601">
      <c r="A601" t="inlineStr">
        <is>
          <t>23 Jun 2025 / 7806 Optimum Tree Services Ltd</t>
        </is>
      </c>
      <c r="B601" t="inlineStr">
        <is>
          <t>Utilities &amp; Inland Waterways</t>
        </is>
      </c>
      <c r="C601" t="inlineStr">
        <is>
          <t>UKPN</t>
        </is>
      </c>
      <c r="D601" t="inlineStr">
        <is>
          <t>SA9ST800000283069 , Chipper , Forst , ST 6P</t>
        </is>
      </c>
      <c r="E601" t="inlineStr">
        <is>
          <t>SA9ST800000283069 , Chipper , Forst , ST 6P</t>
        </is>
      </c>
      <c r="F601" t="inlineStr">
        <is>
          <t>SA9ST800000283069 , Chipper , Forst , ST 6P</t>
        </is>
      </c>
      <c r="G601" t="inlineStr">
        <is>
          <t xml:space="preserve">Abraham Davies </t>
        </is>
      </c>
      <c r="H601" t="inlineStr">
        <is>
          <t>Towed Chipper</t>
        </is>
      </c>
      <c r="I601" t="inlineStr">
        <is>
          <t>Daily/ Weekly Vehicle Inspection</t>
        </is>
      </c>
      <c r="J601" t="inlineStr">
        <is>
          <t>N/A</t>
        </is>
      </c>
      <c r="K601" t="inlineStr">
        <is>
          <t>7806 Optimum Tree Services Ltd</t>
        </is>
      </c>
      <c r="L601" t="inlineStr">
        <is>
          <t>23/06/2025 08:20</t>
        </is>
      </c>
      <c r="M601" t="inlineStr">
        <is>
          <t>None</t>
        </is>
      </c>
      <c r="N601" t="inlineStr">
        <is>
          <t>&lt;p&gt;&lt;/p&gt;</t>
        </is>
      </c>
      <c r="O601" t="inlineStr"/>
      <c r="P601" t="inlineStr">
        <is>
          <t>SA9ST800000283069 , Chipper , Forst , ST 6P</t>
        </is>
      </c>
      <c r="Q601" t="inlineStr">
        <is>
          <t>UKPN</t>
        </is>
      </c>
      <c r="R601" t="b">
        <v>0</v>
      </c>
    </row>
    <row r="602">
      <c r="A602" t="inlineStr">
        <is>
          <t>23 Jun 2025 / 7806 Optimum Tree Services Ltd</t>
        </is>
      </c>
      <c r="B602" t="inlineStr">
        <is>
          <t>Utilities &amp; Inland Waterways</t>
        </is>
      </c>
      <c r="C602" t="inlineStr">
        <is>
          <t>UKPN</t>
        </is>
      </c>
      <c r="D602" t="inlineStr">
        <is>
          <t>WD14EVB , MEWP , Land Rover , Defender</t>
        </is>
      </c>
      <c r="E602" t="inlineStr">
        <is>
          <t>WD14EVB , MEWP , Land Rover , Defender</t>
        </is>
      </c>
      <c r="F602" t="inlineStr">
        <is>
          <t>WD14EVB , MEWP , Land Rover , Defender</t>
        </is>
      </c>
      <c r="G602" t="inlineStr">
        <is>
          <t xml:space="preserve">Abraham Davies </t>
        </is>
      </c>
      <c r="H602" t="inlineStr">
        <is>
          <t>4x4</t>
        </is>
      </c>
      <c r="I602" t="inlineStr">
        <is>
          <t>Daily/ Weekly Vehicle Inspection</t>
        </is>
      </c>
      <c r="J602" t="inlineStr">
        <is>
          <t>N/A</t>
        </is>
      </c>
      <c r="K602" t="inlineStr">
        <is>
          <t>7806 Optimum Tree Services Ltd</t>
        </is>
      </c>
      <c r="L602" t="inlineStr">
        <is>
          <t>23/06/2025 08:21</t>
        </is>
      </c>
      <c r="M602" t="inlineStr">
        <is>
          <t>None</t>
        </is>
      </c>
      <c r="N602" t="inlineStr">
        <is>
          <t>&lt;p&gt;&lt;/p&gt;</t>
        </is>
      </c>
      <c r="O602" t="inlineStr"/>
      <c r="P602" t="inlineStr">
        <is>
          <t>WD14EVB , MEWP , Land Rover , Defender</t>
        </is>
      </c>
      <c r="Q602" t="inlineStr">
        <is>
          <t>UKPN</t>
        </is>
      </c>
      <c r="R602" t="b">
        <v>0</v>
      </c>
    </row>
    <row r="603">
      <c r="A603" t="inlineStr">
        <is>
          <t>23 Jun 2025 / Anthony Gale</t>
        </is>
      </c>
      <c r="B603" t="inlineStr">
        <is>
          <t>Utilities &amp; Inland Waterways</t>
        </is>
      </c>
      <c r="C603" t="inlineStr">
        <is>
          <t>UKPN</t>
        </is>
      </c>
      <c r="D603" t="inlineStr">
        <is>
          <t>PE07 HGL , Vehicle , Mitsubishi , L200 K74</t>
        </is>
      </c>
      <c r="E603" t="inlineStr">
        <is>
          <t>PE07 HGL , Vehicle , Mitsubishi , L200 K74</t>
        </is>
      </c>
      <c r="F603" t="inlineStr">
        <is>
          <t>PE07 HGL , Vehicle , Mitsubishi , L200 K74</t>
        </is>
      </c>
      <c r="G603" t="inlineStr">
        <is>
          <t>Anthony Gale</t>
        </is>
      </c>
      <c r="H603" t="inlineStr">
        <is>
          <t>Pickup Truck</t>
        </is>
      </c>
      <c r="I603" t="inlineStr">
        <is>
          <t>Daily/ Weekly Vehicle Inspection</t>
        </is>
      </c>
      <c r="J603" t="inlineStr">
        <is>
          <t>N/A</t>
        </is>
      </c>
      <c r="K603" t="inlineStr">
        <is>
          <t>7996 M G Tree Surgery Ltd 1</t>
        </is>
      </c>
      <c r="L603" t="inlineStr">
        <is>
          <t>23/06/2025 08:22</t>
        </is>
      </c>
      <c r="M603" t="inlineStr">
        <is>
          <t>None</t>
        </is>
      </c>
      <c r="N603" t="inlineStr">
        <is>
          <t>&lt;p&gt;&lt;/p&gt;</t>
        </is>
      </c>
      <c r="O603" t="inlineStr"/>
      <c r="P603" t="inlineStr">
        <is>
          <t>PE07 HGL , Vehicle , Mitsubishi , L200 K74</t>
        </is>
      </c>
      <c r="Q603" t="inlineStr">
        <is>
          <t>UKPN</t>
        </is>
      </c>
      <c r="R603" t="b">
        <v>0</v>
      </c>
    </row>
    <row r="604">
      <c r="A604" t="inlineStr">
        <is>
          <t>23 Jun 2025 / Thomas Nandi</t>
        </is>
      </c>
      <c r="B604" t="inlineStr">
        <is>
          <t>Utilities &amp; Inland Waterways</t>
        </is>
      </c>
      <c r="C604" t="inlineStr">
        <is>
          <t>SSE</t>
        </is>
      </c>
      <c r="D604" t="inlineStr">
        <is>
          <t>Car - Petrol - Nissan  - Juke - DY25 UZD</t>
        </is>
      </c>
      <c r="E604" t="inlineStr">
        <is>
          <t>Car - Petrol - Nissan  - Juke - DY25 UZD</t>
        </is>
      </c>
      <c r="F604" t="inlineStr">
        <is>
          <t>Car - Petrol - Nissan  - Juke - DY25 UZD</t>
        </is>
      </c>
      <c r="G604" t="inlineStr">
        <is>
          <t xml:space="preserve">Tom Nandi </t>
        </is>
      </c>
      <c r="H604" t="inlineStr">
        <is>
          <t>Car - Petrol</t>
        </is>
      </c>
      <c r="I604" t="inlineStr">
        <is>
          <t>Daily/ Weekly Vehicle Inspection</t>
        </is>
      </c>
      <c r="J604" t="inlineStr">
        <is>
          <t>N/A</t>
        </is>
      </c>
      <c r="K604" t="inlineStr">
        <is>
          <t>Thomas Nandi</t>
        </is>
      </c>
      <c r="L604" t="inlineStr">
        <is>
          <t>23/06/2025 09:12</t>
        </is>
      </c>
      <c r="M604" t="inlineStr">
        <is>
          <t>None</t>
        </is>
      </c>
      <c r="N604" t="inlineStr">
        <is>
          <t>&lt;p&gt;&lt;/p&gt;</t>
        </is>
      </c>
      <c r="O604" t="inlineStr"/>
      <c r="P604" t="inlineStr">
        <is>
          <t>Car - Petrol - Nissan  - Juke - DY25 UZD</t>
        </is>
      </c>
      <c r="Q604" t="inlineStr">
        <is>
          <t>SSE</t>
        </is>
      </c>
      <c r="R604" t="b">
        <v>0</v>
      </c>
    </row>
    <row r="605">
      <c r="A605" t="inlineStr">
        <is>
          <t>23 Jun 2025 / 6557 DE UA SWales4</t>
        </is>
      </c>
      <c r="B605" t="inlineStr">
        <is>
          <t>Utilities &amp; Inland Waterways</t>
        </is>
      </c>
      <c r="C605" t="inlineStr">
        <is>
          <t>NGED</t>
        </is>
      </c>
      <c r="D605" t="inlineStr">
        <is>
          <t>EX15ZGL , Van , Ford , Transit Courier</t>
        </is>
      </c>
      <c r="E605" t="inlineStr">
        <is>
          <t>EX15ZGL , Van , Ford , Transit Courier</t>
        </is>
      </c>
      <c r="F605" t="inlineStr">
        <is>
          <t>EX15ZGL , Van , Ford , Transit Courier</t>
        </is>
      </c>
      <c r="G605" t="inlineStr">
        <is>
          <t xml:space="preserve">Lee brown </t>
        </is>
      </c>
      <c r="H605" t="inlineStr">
        <is>
          <t>Van</t>
        </is>
      </c>
      <c r="I605" t="inlineStr">
        <is>
          <t>Daily/ Weekly Vehicle Inspection</t>
        </is>
      </c>
      <c r="J605" t="inlineStr">
        <is>
          <t>N/A</t>
        </is>
      </c>
      <c r="K605" t="inlineStr">
        <is>
          <t>6557 DE UA SWales4</t>
        </is>
      </c>
      <c r="L605" t="inlineStr">
        <is>
          <t>23/06/2025 10:07</t>
        </is>
      </c>
      <c r="M605" t="inlineStr">
        <is>
          <t>None</t>
        </is>
      </c>
      <c r="N605" t="inlineStr">
        <is>
          <t>&lt;p&gt;&lt;/p&gt;</t>
        </is>
      </c>
      <c r="O605" t="inlineStr"/>
      <c r="P605" t="inlineStr">
        <is>
          <t>EX15ZGL , Van , Ford , Transit Courier</t>
        </is>
      </c>
      <c r="Q605" t="inlineStr">
        <is>
          <t>NGED</t>
        </is>
      </c>
      <c r="R605" t="b">
        <v>0</v>
      </c>
    </row>
    <row r="606">
      <c r="A606" t="inlineStr">
        <is>
          <t>23 Jun 2025 / 3098 D &amp; R Landscapes (PEND Arb Rail)</t>
        </is>
      </c>
      <c r="B606" t="inlineStr">
        <is>
          <t>Utilities &amp; Inland Waterways</t>
        </is>
      </c>
      <c r="C606" t="inlineStr">
        <is>
          <t>UKPN</t>
        </is>
      </c>
      <c r="D606" t="inlineStr">
        <is>
          <t>FX17YVM , Vehicle , Nissan , Navara</t>
        </is>
      </c>
      <c r="E606" t="inlineStr">
        <is>
          <t>FX17YVM , Vehicle , Nissan , Navara</t>
        </is>
      </c>
      <c r="F606" t="inlineStr">
        <is>
          <t>FX17YVM , Vehicle , Nissan , Navara</t>
        </is>
      </c>
      <c r="G606" t="inlineStr">
        <is>
          <t>Jason</t>
        </is>
      </c>
      <c r="H606" t="inlineStr">
        <is>
          <t>Pickup Truck</t>
        </is>
      </c>
      <c r="I606" t="inlineStr">
        <is>
          <t>Daily/ Weekly Vehicle Inspection</t>
        </is>
      </c>
      <c r="J606" t="inlineStr">
        <is>
          <t>N/A</t>
        </is>
      </c>
      <c r="K606" t="inlineStr">
        <is>
          <t>3098 D &amp; R Landscapes (PEND Arb Rail)</t>
        </is>
      </c>
      <c r="L606" t="inlineStr">
        <is>
          <t>23/06/2025 10:08</t>
        </is>
      </c>
      <c r="M606" t="inlineStr">
        <is>
          <t>None</t>
        </is>
      </c>
      <c r="N606" t="inlineStr">
        <is>
          <t>&lt;p&gt;&lt;/p&gt;</t>
        </is>
      </c>
      <c r="O606" t="inlineStr"/>
      <c r="P606" t="inlineStr">
        <is>
          <t>FX17YVM , Vehicle , Nissan , Navara</t>
        </is>
      </c>
      <c r="Q606" t="inlineStr">
        <is>
          <t>UKPN</t>
        </is>
      </c>
      <c r="R606" t="b">
        <v>0</v>
      </c>
    </row>
    <row r="607">
      <c r="A607" t="inlineStr">
        <is>
          <t>23 Jun 2025 / Jonathan Wisbey</t>
        </is>
      </c>
      <c r="B607" t="inlineStr">
        <is>
          <t>Utilities &amp; Inland Waterways</t>
        </is>
      </c>
      <c r="C607" t="inlineStr">
        <is>
          <t>UKPN</t>
        </is>
      </c>
      <c r="D607" t="inlineStr">
        <is>
          <t>KN25GGK , Car - Petrol , VW , Golf</t>
        </is>
      </c>
      <c r="E607" t="inlineStr">
        <is>
          <t>KN25GGK , Car - Petrol , VW , Golf</t>
        </is>
      </c>
      <c r="F607" t="inlineStr">
        <is>
          <t>KN25GGK , Car - Petrol , VW , Golf</t>
        </is>
      </c>
      <c r="G607" t="inlineStr">
        <is>
          <t xml:space="preserve">Jonathan Wisbey </t>
        </is>
      </c>
      <c r="H607" t="inlineStr">
        <is>
          <t>Car - Petrol</t>
        </is>
      </c>
      <c r="I607" t="inlineStr">
        <is>
          <t>Daily/ Weekly Vehicle Inspection</t>
        </is>
      </c>
      <c r="J607" t="inlineStr">
        <is>
          <t>N/A</t>
        </is>
      </c>
      <c r="K607" t="inlineStr">
        <is>
          <t>Jonathan Wisbey</t>
        </is>
      </c>
      <c r="L607" t="inlineStr">
        <is>
          <t>23/06/2025 10:09</t>
        </is>
      </c>
      <c r="M607" t="inlineStr">
        <is>
          <t>None</t>
        </is>
      </c>
      <c r="N607" t="inlineStr">
        <is>
          <t>&lt;p&gt;&lt;/p&gt;</t>
        </is>
      </c>
      <c r="O607" t="inlineStr"/>
      <c r="P607" t="inlineStr">
        <is>
          <t>KN25GGK , Car - Petrol , VW , Golf</t>
        </is>
      </c>
      <c r="Q607" t="inlineStr">
        <is>
          <t>UKPN</t>
        </is>
      </c>
      <c r="R607" t="b">
        <v>0</v>
      </c>
    </row>
    <row r="608">
      <c r="A608" t="inlineStr">
        <is>
          <t>23 Jun 2025 / Joe Sauvage</t>
        </is>
      </c>
      <c r="B608" t="inlineStr">
        <is>
          <t>Utilities &amp; Inland Waterways</t>
        </is>
      </c>
      <c r="C608" t="inlineStr">
        <is>
          <t>SSE</t>
        </is>
      </c>
      <c r="D608" t="inlineStr">
        <is>
          <t>EO18AEW , Car - Petrol , Ford , Kuga</t>
        </is>
      </c>
      <c r="E608" t="inlineStr">
        <is>
          <t>EO18AEW , Car - Petrol , Ford , Kuga</t>
        </is>
      </c>
      <c r="F608" t="inlineStr">
        <is>
          <t>EO18AEW , Car - Petrol , Ford , Kuga</t>
        </is>
      </c>
      <c r="G608" t="inlineStr">
        <is>
          <t>Joe Sauvage</t>
        </is>
      </c>
      <c r="H608" t="inlineStr">
        <is>
          <t>Car - Diesel</t>
        </is>
      </c>
      <c r="I608" t="inlineStr">
        <is>
          <t>Daily/ Weekly Vehicle Inspection</t>
        </is>
      </c>
      <c r="J608" t="inlineStr">
        <is>
          <t>N/A</t>
        </is>
      </c>
      <c r="K608" t="inlineStr">
        <is>
          <t>Joe Sauvage</t>
        </is>
      </c>
      <c r="L608" t="inlineStr">
        <is>
          <t>23/06/2025 11:05</t>
        </is>
      </c>
      <c r="M608" t="inlineStr">
        <is>
          <t>None</t>
        </is>
      </c>
      <c r="N608" t="inlineStr">
        <is>
          <t>&lt;p&gt;&lt;/p&gt;</t>
        </is>
      </c>
      <c r="O608" t="inlineStr"/>
      <c r="P608" t="inlineStr">
        <is>
          <t>EO18AEW , Car - Petrol , Ford , Kuga</t>
        </is>
      </c>
      <c r="Q608" t="inlineStr">
        <is>
          <t>SSE</t>
        </is>
      </c>
      <c r="R608" t="b">
        <v>0</v>
      </c>
    </row>
    <row r="609">
      <c r="A609" t="inlineStr">
        <is>
          <t>23 Jun 2025 / Christopher Simeoli</t>
        </is>
      </c>
      <c r="B609" t="inlineStr">
        <is>
          <t>Utilities &amp; Inland Waterways</t>
        </is>
      </c>
      <c r="C609" t="inlineStr">
        <is>
          <t>NGED</t>
        </is>
      </c>
      <c r="D609" t="inlineStr">
        <is>
          <t>EO73KVB , Car - Electric , Kia , Niro</t>
        </is>
      </c>
      <c r="E609" t="inlineStr">
        <is>
          <t>EO73KVB , Car - Electric , Kia , Niro</t>
        </is>
      </c>
      <c r="F609" t="inlineStr">
        <is>
          <t>EO73KVB , Car - Electric , Kia , Niro</t>
        </is>
      </c>
      <c r="G609" t="inlineStr">
        <is>
          <t>Chris Simeoli</t>
        </is>
      </c>
      <c r="H609" t="inlineStr">
        <is>
          <t>Car - Electric</t>
        </is>
      </c>
      <c r="I609" t="inlineStr">
        <is>
          <t>Daily/ Weekly Vehicle Inspection</t>
        </is>
      </c>
      <c r="J609" t="inlineStr">
        <is>
          <t>N/A</t>
        </is>
      </c>
      <c r="K609" t="inlineStr">
        <is>
          <t>Christopher Simeoli</t>
        </is>
      </c>
      <c r="L609" t="inlineStr">
        <is>
          <t>23/06/2025 16:05</t>
        </is>
      </c>
      <c r="M609" t="inlineStr">
        <is>
          <t>None</t>
        </is>
      </c>
      <c r="N609" t="inlineStr">
        <is>
          <t>&lt;p&gt;&lt;/p&gt;</t>
        </is>
      </c>
      <c r="O609" t="inlineStr"/>
      <c r="P609" t="inlineStr">
        <is>
          <t>EO73KVB , Car - Electric , Kia , Niro</t>
        </is>
      </c>
      <c r="Q609" t="inlineStr">
        <is>
          <t>NGED</t>
        </is>
      </c>
      <c r="R609" t="b">
        <v>0</v>
      </c>
    </row>
    <row r="610">
      <c r="A610" t="inlineStr">
        <is>
          <t>24 Jun 2025 / 7889 Tree Tech Suffolk Ltd</t>
        </is>
      </c>
      <c r="B610" t="inlineStr">
        <is>
          <t>Utilities &amp; Inland Waterways</t>
        </is>
      </c>
      <c r="C610" t="inlineStr">
        <is>
          <t>UKPN</t>
        </is>
      </c>
      <c r="D610" t="inlineStr">
        <is>
          <t>4x4 - Isuzu - D-max - NS03 TTSTow Chipper - Jenson - A530L - 5521063948Tipper - Nissan - Navara - NS02TTS</t>
        </is>
      </c>
      <c r="E610" t="inlineStr">
        <is>
          <t>4x4 - Isuzu - D-max - NS03 TTSTow Chipper - Jenson - A530L - 5521063948Tipper - Nissan - Navara - NS02TTS</t>
        </is>
      </c>
      <c r="F610" t="inlineStr">
        <is>
          <t>4x4 - Isuzu - D-max - NS03 TTSTow Chipper - Jenson - A530L - 5521063948Tipper - Nissan - Navara - NS02TTS</t>
        </is>
      </c>
      <c r="G610" t="inlineStr">
        <is>
          <t xml:space="preserve">Danny Appleby Nikki sparrow Nikki sparrow </t>
        </is>
      </c>
      <c r="H610" t="inlineStr">
        <is>
          <t>4x4Towed ChipperTipper</t>
        </is>
      </c>
      <c r="I610" t="inlineStr">
        <is>
          <t>Daily/ Weekly Vehicle Inspection</t>
        </is>
      </c>
      <c r="J610" t="inlineStr">
        <is>
          <t>N/A</t>
        </is>
      </c>
      <c r="K610" t="inlineStr">
        <is>
          <t>7889 Tree Tech Suffolk Ltd</t>
        </is>
      </c>
      <c r="L610" t="inlineStr">
        <is>
          <t>24/06/2025 07:05</t>
        </is>
      </c>
      <c r="M610" t="inlineStr">
        <is>
          <t>None</t>
        </is>
      </c>
      <c r="N610" t="inlineStr">
        <is>
          <t>&lt;p&gt;&lt;/p&gt;</t>
        </is>
      </c>
      <c r="O610" t="inlineStr"/>
      <c r="P610" t="inlineStr">
        <is>
          <t>4x4 - Isuzu - D-max - NS03 TTSTow Chipper - Jenson - A530L - 5521063948Tipper - Nissan - Navara - NS02TTS</t>
        </is>
      </c>
      <c r="Q610" t="inlineStr">
        <is>
          <t>UKPN</t>
        </is>
      </c>
      <c r="R610" t="b">
        <v>0</v>
      </c>
    </row>
    <row r="611">
      <c r="A611" t="inlineStr">
        <is>
          <t>24 Jun 2025 / 7800 MAC Tree Surgery and Fencing Ltd</t>
        </is>
      </c>
      <c r="B611" t="inlineStr">
        <is>
          <t>Utilities &amp; Inland Waterways</t>
        </is>
      </c>
      <c r="C611" t="inlineStr">
        <is>
          <t>UKPN</t>
        </is>
      </c>
      <c r="D611" t="inlineStr">
        <is>
          <t>AY68DAA , 4x4 , Izuzu , Dmax</t>
        </is>
      </c>
      <c r="E611" t="inlineStr">
        <is>
          <t>AY68DAA , 4x4 , Izuzu , Dmax</t>
        </is>
      </c>
      <c r="F611" t="inlineStr">
        <is>
          <t>AY68DAA , 4x4 , Izuzu , Dmax</t>
        </is>
      </c>
      <c r="G611" t="inlineStr">
        <is>
          <t xml:space="preserve">Lewis </t>
        </is>
      </c>
      <c r="H611" t="inlineStr">
        <is>
          <t>4x4</t>
        </is>
      </c>
      <c r="I611" t="inlineStr">
        <is>
          <t>Daily/ Weekly Vehicle Inspection</t>
        </is>
      </c>
      <c r="J611" t="inlineStr">
        <is>
          <t>N/A</t>
        </is>
      </c>
      <c r="K611" t="inlineStr">
        <is>
          <t>7800 MAC Tree Surgery and Fencing Ltd</t>
        </is>
      </c>
      <c r="L611" t="inlineStr">
        <is>
          <t>24/06/2025 07:07</t>
        </is>
      </c>
      <c r="M611" t="inlineStr">
        <is>
          <t>None</t>
        </is>
      </c>
      <c r="N611" t="inlineStr">
        <is>
          <t>&lt;p&gt;&lt;/p&gt;</t>
        </is>
      </c>
      <c r="O611" t="inlineStr">
        <is>
          <t>Confirm that you have checked this vehicle as per the guidance document and the vehicle is safe and roadworthy:Slight crack in windscreen but doesn't effect vision
-</t>
        </is>
      </c>
      <c r="P611" t="inlineStr">
        <is>
          <t>AY68DAA , 4x4 , Izuzu , Dmax</t>
        </is>
      </c>
      <c r="Q611" t="inlineStr">
        <is>
          <t>UKPN</t>
        </is>
      </c>
      <c r="R611" t="b">
        <v>0</v>
      </c>
    </row>
    <row r="612">
      <c r="A612" t="inlineStr">
        <is>
          <t>24 Jun 2025 / 7800 MAC Tree Surgery and Fencing Ltd</t>
        </is>
      </c>
      <c r="B612" t="inlineStr">
        <is>
          <t>Utilities &amp; Inland Waterways</t>
        </is>
      </c>
      <c r="C612" t="inlineStr">
        <is>
          <t>UKPN</t>
        </is>
      </c>
      <c r="D612" t="inlineStr">
        <is>
          <t>205143043-A1 , Tow Chipper , Timberwolf , TW150</t>
        </is>
      </c>
      <c r="E612" t="inlineStr">
        <is>
          <t>205143043-A1 , Tow Chipper , Timberwolf , TW150</t>
        </is>
      </c>
      <c r="F612" t="inlineStr">
        <is>
          <t>205143043-A1 , Tow Chipper , Timberwolf , TW150</t>
        </is>
      </c>
      <c r="G612" t="inlineStr">
        <is>
          <t xml:space="preserve">Lewis mac </t>
        </is>
      </c>
      <c r="H612" t="inlineStr">
        <is>
          <t>Towed Chipper</t>
        </is>
      </c>
      <c r="I612" t="inlineStr">
        <is>
          <t>Daily/ Weekly Vehicle Inspection</t>
        </is>
      </c>
      <c r="J612" t="inlineStr">
        <is>
          <t>N/A</t>
        </is>
      </c>
      <c r="K612" t="inlineStr">
        <is>
          <t>7800 MAC Tree Surgery and Fencing Ltd</t>
        </is>
      </c>
      <c r="L612" t="inlineStr">
        <is>
          <t>24/06/2025 07:07</t>
        </is>
      </c>
      <c r="M612" t="inlineStr">
        <is>
          <t>None</t>
        </is>
      </c>
      <c r="N612" t="inlineStr">
        <is>
          <t>&lt;p&gt;&lt;/p&gt;</t>
        </is>
      </c>
      <c r="O612" t="inlineStr"/>
      <c r="P612" t="inlineStr">
        <is>
          <t>205143043-A1 , Tow Chipper , Timberwolf , TW150</t>
        </is>
      </c>
      <c r="Q612" t="inlineStr">
        <is>
          <t>UKPN</t>
        </is>
      </c>
      <c r="R612" t="b">
        <v>0</v>
      </c>
    </row>
    <row r="613">
      <c r="A613" t="inlineStr">
        <is>
          <t>24 Jun 2025 / 7951 Austin Tree Care LTD</t>
        </is>
      </c>
      <c r="B613" t="inlineStr">
        <is>
          <t>Utilities &amp; Inland Waterways</t>
        </is>
      </c>
      <c r="C613" t="inlineStr">
        <is>
          <t>UKPN</t>
        </is>
      </c>
      <c r="D613" t="inlineStr">
        <is>
          <t>SA9ST6P0001283612 , Tow Chipper , Forst , ST6p</t>
        </is>
      </c>
      <c r="E613" t="inlineStr">
        <is>
          <t>SA9ST6P0001283612 , Tow Chipper , Forst , ST6p</t>
        </is>
      </c>
      <c r="F613" t="inlineStr">
        <is>
          <t>SA9ST6P0001283612 , Tow Chipper , Forst , ST6p</t>
        </is>
      </c>
      <c r="G613" t="inlineStr">
        <is>
          <t xml:space="preserve">Jack Austin </t>
        </is>
      </c>
      <c r="H613" t="inlineStr">
        <is>
          <t>Towed Chipper</t>
        </is>
      </c>
      <c r="I613" t="inlineStr">
        <is>
          <t>Daily/ Weekly Vehicle Inspection</t>
        </is>
      </c>
      <c r="J613" t="inlineStr">
        <is>
          <t>N/A</t>
        </is>
      </c>
      <c r="K613" t="inlineStr">
        <is>
          <t>7951 Austin Tree Care LTD</t>
        </is>
      </c>
      <c r="L613" t="inlineStr">
        <is>
          <t>24/06/2025 08:05</t>
        </is>
      </c>
      <c r="M613" t="inlineStr">
        <is>
          <t>None</t>
        </is>
      </c>
      <c r="N613" t="inlineStr">
        <is>
          <t>&lt;p&gt;&lt;/p&gt;</t>
        </is>
      </c>
      <c r="O613" t="inlineStr"/>
      <c r="P613" t="inlineStr">
        <is>
          <t>SA9ST6P0001283612 , Tow Chipper , Forst , ST6p</t>
        </is>
      </c>
      <c r="Q613" t="inlineStr">
        <is>
          <t>UKPN</t>
        </is>
      </c>
      <c r="R613" t="b">
        <v>0</v>
      </c>
    </row>
    <row r="614">
      <c r="A614" t="inlineStr">
        <is>
          <t>24 Jun 2025 / 7951 Austin Tree Care LTD</t>
        </is>
      </c>
      <c r="B614" t="inlineStr">
        <is>
          <t>Utilities &amp; Inland Waterways</t>
        </is>
      </c>
      <c r="C614" t="inlineStr">
        <is>
          <t>UKPN</t>
        </is>
      </c>
      <c r="D614" t="inlineStr">
        <is>
          <t>WF61 HZV , 4x4 MEWP , Land Rover , Defender</t>
        </is>
      </c>
      <c r="E614" t="inlineStr">
        <is>
          <t>WF61 HZV , 4x4 MEWP , Land Rover , Defender</t>
        </is>
      </c>
      <c r="F614" t="inlineStr">
        <is>
          <t>WF61 HZV , 4x4 MEWP , Land Rover , Defender</t>
        </is>
      </c>
      <c r="G614" t="inlineStr">
        <is>
          <t xml:space="preserve">Jack Austin </t>
        </is>
      </c>
      <c r="H614" t="inlineStr">
        <is>
          <t>4x4</t>
        </is>
      </c>
      <c r="I614" t="inlineStr">
        <is>
          <t>Daily/ Weekly Vehicle Inspection</t>
        </is>
      </c>
      <c r="J614" t="inlineStr">
        <is>
          <t>N/A</t>
        </is>
      </c>
      <c r="K614" t="inlineStr">
        <is>
          <t>7951 Austin Tree Care LTD</t>
        </is>
      </c>
      <c r="L614" t="inlineStr">
        <is>
          <t>24/06/2025 08:05</t>
        </is>
      </c>
      <c r="M614" t="inlineStr">
        <is>
          <t>None</t>
        </is>
      </c>
      <c r="N614" t="inlineStr">
        <is>
          <t>&lt;p&gt;&lt;/p&gt;</t>
        </is>
      </c>
      <c r="O614" t="inlineStr"/>
      <c r="P614" t="inlineStr">
        <is>
          <t>WF61 HZV , 4x4 MEWP , Land Rover , Defender</t>
        </is>
      </c>
      <c r="Q614" t="inlineStr">
        <is>
          <t>UKPN</t>
        </is>
      </c>
      <c r="R614" t="b">
        <v>0</v>
      </c>
    </row>
    <row r="615">
      <c r="A615" t="inlineStr">
        <is>
          <t>24 Jun 2025 / 7186 Eastwoodbury Tree Services Ltd</t>
        </is>
      </c>
      <c r="B615" t="inlineStr">
        <is>
          <t>Utilities &amp; Inland Waterways</t>
        </is>
      </c>
      <c r="C615" t="inlineStr">
        <is>
          <t>UKPN</t>
        </is>
      </c>
      <c r="D615" t="inlineStr">
        <is>
          <t>FN600XM , 4x4 , Land Rover  , Defender</t>
        </is>
      </c>
      <c r="E615" t="inlineStr">
        <is>
          <t>FN600XM , 4x4 , Land Rover  , Defender</t>
        </is>
      </c>
      <c r="F615" t="inlineStr">
        <is>
          <t>FN600XM , 4x4 , Land Rover  , Defender</t>
        </is>
      </c>
      <c r="G615" t="inlineStr">
        <is>
          <t xml:space="preserve">Jay Denkmayer </t>
        </is>
      </c>
      <c r="H615" t="inlineStr">
        <is>
          <t>4x4</t>
        </is>
      </c>
      <c r="I615" t="inlineStr">
        <is>
          <t>Daily/ Weekly Vehicle Inspection</t>
        </is>
      </c>
      <c r="J615" t="inlineStr">
        <is>
          <t>N/A</t>
        </is>
      </c>
      <c r="K615" t="inlineStr">
        <is>
          <t>7186 Eastwoodbury Tree Services Ltd</t>
        </is>
      </c>
      <c r="L615" t="inlineStr">
        <is>
          <t>24/06/2025 08:06</t>
        </is>
      </c>
      <c r="M615" t="inlineStr">
        <is>
          <t>None</t>
        </is>
      </c>
      <c r="N615" t="inlineStr">
        <is>
          <t>&lt;p&gt;&lt;/p&gt;</t>
        </is>
      </c>
      <c r="O615" t="inlineStr"/>
      <c r="P615" t="inlineStr">
        <is>
          <t>FN600XM , 4x4 , Land Rover  , Defender</t>
        </is>
      </c>
      <c r="Q615" t="inlineStr">
        <is>
          <t>UKPN</t>
        </is>
      </c>
      <c r="R615" t="b">
        <v>0</v>
      </c>
    </row>
    <row r="616">
      <c r="A616" t="inlineStr">
        <is>
          <t>24 Jun 2025 / 7186 Eastwoodbury Tree Services Ltd</t>
        </is>
      </c>
      <c r="B616" t="inlineStr">
        <is>
          <t>Utilities &amp; Inland Waterways</t>
        </is>
      </c>
      <c r="C616" t="inlineStr">
        <is>
          <t>UKPN</t>
        </is>
      </c>
      <c r="D616" t="inlineStr">
        <is>
          <t>AO57BPF , 4x4 , Santana  , Ps10</t>
        </is>
      </c>
      <c r="E616" t="inlineStr">
        <is>
          <t>AO57BPF , 4x4 , Santana  , Ps10</t>
        </is>
      </c>
      <c r="F616" t="inlineStr">
        <is>
          <t>AO57BPF , 4x4 , Santana  , Ps10</t>
        </is>
      </c>
      <c r="G616" t="inlineStr">
        <is>
          <t xml:space="preserve">Dan Gilbert </t>
        </is>
      </c>
      <c r="H616" t="inlineStr">
        <is>
          <t>4x4</t>
        </is>
      </c>
      <c r="I616" t="inlineStr">
        <is>
          <t>Daily/ Weekly Vehicle Inspection</t>
        </is>
      </c>
      <c r="J616" t="inlineStr">
        <is>
          <t>N/A</t>
        </is>
      </c>
      <c r="K616" t="inlineStr">
        <is>
          <t>7186 Eastwoodbury Tree Services Ltd</t>
        </is>
      </c>
      <c r="L616" t="inlineStr">
        <is>
          <t>24/06/2025 08:07</t>
        </is>
      </c>
      <c r="M616" t="inlineStr">
        <is>
          <t>None</t>
        </is>
      </c>
      <c r="N616" t="inlineStr">
        <is>
          <t>&lt;p&gt;&lt;/p&gt;</t>
        </is>
      </c>
      <c r="O616" t="inlineStr"/>
      <c r="P616" t="inlineStr">
        <is>
          <t>AO57BPF , 4x4 , Santana  , Ps10</t>
        </is>
      </c>
      <c r="Q616" t="inlineStr">
        <is>
          <t>UKPN</t>
        </is>
      </c>
      <c r="R616" t="b">
        <v>0</v>
      </c>
    </row>
    <row r="617">
      <c r="A617" t="inlineStr">
        <is>
          <t>24 Jun 2025 / 7806 Optimum Tree Services Ltd</t>
        </is>
      </c>
      <c r="B617" t="inlineStr">
        <is>
          <t>Utilities &amp; Inland Waterways</t>
        </is>
      </c>
      <c r="C617" t="inlineStr">
        <is>
          <t>UKPN</t>
        </is>
      </c>
      <c r="D617" t="inlineStr">
        <is>
          <t>SA9ST800000283069 , Chipper , Forst , ST 6P</t>
        </is>
      </c>
      <c r="E617" t="inlineStr">
        <is>
          <t>SA9ST800000283069 , Chipper , Forst , ST 6P</t>
        </is>
      </c>
      <c r="F617" t="inlineStr">
        <is>
          <t>SA9ST800000283069 , Chipper , Forst , ST 6P</t>
        </is>
      </c>
      <c r="G617" t="inlineStr">
        <is>
          <t xml:space="preserve">Abraham Davies </t>
        </is>
      </c>
      <c r="H617" t="inlineStr">
        <is>
          <t>Towed Chipper</t>
        </is>
      </c>
      <c r="I617" t="inlineStr">
        <is>
          <t>Daily/ Weekly Vehicle Inspection</t>
        </is>
      </c>
      <c r="J617" t="inlineStr">
        <is>
          <t>N/A</t>
        </is>
      </c>
      <c r="K617" t="inlineStr">
        <is>
          <t>7806 Optimum Tree Services Ltd</t>
        </is>
      </c>
      <c r="L617" t="inlineStr">
        <is>
          <t>24/06/2025 08:07</t>
        </is>
      </c>
      <c r="M617" t="inlineStr">
        <is>
          <t>None</t>
        </is>
      </c>
      <c r="N617" t="inlineStr">
        <is>
          <t>&lt;p&gt;&lt;/p&gt;</t>
        </is>
      </c>
      <c r="O617" t="inlineStr"/>
      <c r="P617" t="inlineStr">
        <is>
          <t>SA9ST800000283069 , Chipper , Forst , ST 6P</t>
        </is>
      </c>
      <c r="Q617" t="inlineStr">
        <is>
          <t>UKPN</t>
        </is>
      </c>
      <c r="R617" t="b">
        <v>0</v>
      </c>
    </row>
    <row r="618">
      <c r="A618" t="inlineStr">
        <is>
          <t>24 Jun 2025 / 7806 Optimum Tree Services Ltd</t>
        </is>
      </c>
      <c r="B618" t="inlineStr">
        <is>
          <t>Utilities &amp; Inland Waterways</t>
        </is>
      </c>
      <c r="C618" t="inlineStr">
        <is>
          <t>UKPN</t>
        </is>
      </c>
      <c r="D618" t="inlineStr">
        <is>
          <t>WD14EVB , MEWP , Land Rover , Defender</t>
        </is>
      </c>
      <c r="E618" t="inlineStr">
        <is>
          <t>WD14EVB , MEWP , Land Rover , Defender</t>
        </is>
      </c>
      <c r="F618" t="inlineStr">
        <is>
          <t>WD14EVB , MEWP , Land Rover , Defender</t>
        </is>
      </c>
      <c r="G618" t="inlineStr">
        <is>
          <t xml:space="preserve">Abraham Davies </t>
        </is>
      </c>
      <c r="H618" t="inlineStr">
        <is>
          <t>4x4</t>
        </is>
      </c>
      <c r="I618" t="inlineStr">
        <is>
          <t>Daily/ Weekly Vehicle Inspection</t>
        </is>
      </c>
      <c r="J618" t="inlineStr">
        <is>
          <t>N/A</t>
        </is>
      </c>
      <c r="K618" t="inlineStr">
        <is>
          <t>7806 Optimum Tree Services Ltd</t>
        </is>
      </c>
      <c r="L618" t="inlineStr">
        <is>
          <t>24/06/2025 08:08</t>
        </is>
      </c>
      <c r="M618" t="inlineStr">
        <is>
          <t>None</t>
        </is>
      </c>
      <c r="N618" t="inlineStr">
        <is>
          <t>&lt;p&gt;&lt;/p&gt;</t>
        </is>
      </c>
      <c r="O618" t="inlineStr"/>
      <c r="P618" t="inlineStr">
        <is>
          <t>WD14EVB , MEWP , Land Rover , Defender</t>
        </is>
      </c>
      <c r="Q618" t="inlineStr">
        <is>
          <t>UKPN</t>
        </is>
      </c>
      <c r="R618" t="b">
        <v>0</v>
      </c>
    </row>
    <row r="619">
      <c r="A619" t="inlineStr">
        <is>
          <t>24 Jun 2025 / Anthony Gale</t>
        </is>
      </c>
      <c r="B619" t="inlineStr">
        <is>
          <t>Utilities &amp; Inland Waterways</t>
        </is>
      </c>
      <c r="C619" t="inlineStr">
        <is>
          <t>UKPN</t>
        </is>
      </c>
      <c r="D619" t="inlineStr">
        <is>
          <t>PE07 HGL , Vehicle , Mitsubishi , L200 K74</t>
        </is>
      </c>
      <c r="E619" t="inlineStr">
        <is>
          <t>PE07 HGL , Vehicle , Mitsubishi , L200 K74</t>
        </is>
      </c>
      <c r="F619" t="inlineStr">
        <is>
          <t>PE07 HGL , Vehicle , Mitsubishi , L200 K74</t>
        </is>
      </c>
      <c r="G619" t="inlineStr">
        <is>
          <t>Anthony Gale</t>
        </is>
      </c>
      <c r="H619" t="inlineStr">
        <is>
          <t>Pickup Truck</t>
        </is>
      </c>
      <c r="I619" t="inlineStr">
        <is>
          <t>Daily/ Weekly Vehicle Inspection</t>
        </is>
      </c>
      <c r="J619" t="inlineStr">
        <is>
          <t>N/A</t>
        </is>
      </c>
      <c r="K619" t="inlineStr">
        <is>
          <t>7996 M G Tree Surgery Ltd 1</t>
        </is>
      </c>
      <c r="L619" t="inlineStr">
        <is>
          <t>24/06/2025 08:11</t>
        </is>
      </c>
      <c r="M619" t="inlineStr">
        <is>
          <t>None</t>
        </is>
      </c>
      <c r="N619" t="inlineStr">
        <is>
          <t>&lt;p&gt;&lt;/p&gt;</t>
        </is>
      </c>
      <c r="O619" t="inlineStr"/>
      <c r="P619" t="inlineStr">
        <is>
          <t>PE07 HGL , Vehicle , Mitsubishi , L200 K74</t>
        </is>
      </c>
      <c r="Q619" t="inlineStr">
        <is>
          <t>UKPN</t>
        </is>
      </c>
      <c r="R619" t="b">
        <v>0</v>
      </c>
    </row>
    <row r="620">
      <c r="A620" t="inlineStr">
        <is>
          <t>24 Jun 2025 / Thomas Playford</t>
        </is>
      </c>
      <c r="B620" t="inlineStr">
        <is>
          <t>Utilities &amp; Inland Waterways</t>
        </is>
      </c>
      <c r="C620" t="inlineStr">
        <is>
          <t>UKPN</t>
        </is>
      </c>
      <c r="D620" t="inlineStr">
        <is>
          <t>YP24 WRD , Vehicle , Ford , Ranger</t>
        </is>
      </c>
      <c r="E620" t="inlineStr">
        <is>
          <t>YP24 WRD , Vehicle , Ford , Ranger</t>
        </is>
      </c>
      <c r="F620" t="inlineStr">
        <is>
          <t>YP24 WRD , Vehicle , Ford , Ranger</t>
        </is>
      </c>
      <c r="G620" t="inlineStr">
        <is>
          <t>Jacob Oram</t>
        </is>
      </c>
      <c r="H620" t="inlineStr">
        <is>
          <t>4x4</t>
        </is>
      </c>
      <c r="I620" t="inlineStr">
        <is>
          <t>Daily/ Weekly Vehicle Inspection</t>
        </is>
      </c>
      <c r="J620" t="inlineStr">
        <is>
          <t>N/A</t>
        </is>
      </c>
      <c r="K620" t="inlineStr">
        <is>
          <t>7995 Contour Landscapes Ltd 2</t>
        </is>
      </c>
      <c r="L620" t="inlineStr">
        <is>
          <t>24/06/2025 08:11</t>
        </is>
      </c>
      <c r="M620" t="inlineStr">
        <is>
          <t>None</t>
        </is>
      </c>
      <c r="N620" t="inlineStr">
        <is>
          <t>&lt;p&gt;&lt;/p&gt;</t>
        </is>
      </c>
      <c r="O620" t="inlineStr"/>
      <c r="P620" t="inlineStr">
        <is>
          <t>YP24 WRD , Vehicle , Ford , Ranger</t>
        </is>
      </c>
      <c r="Q620" t="inlineStr">
        <is>
          <t>UKPN</t>
        </is>
      </c>
      <c r="R620" t="b">
        <v>0</v>
      </c>
    </row>
    <row r="621">
      <c r="A621" t="inlineStr">
        <is>
          <t>24 Jun 2025 / 6617 Ashdown Tree Limited 1</t>
        </is>
      </c>
      <c r="B621" t="inlineStr">
        <is>
          <t>Utilities &amp; Inland Waterways</t>
        </is>
      </c>
      <c r="C621" t="inlineStr">
        <is>
          <t>UKPN</t>
        </is>
      </c>
      <c r="D621" t="inlineStr">
        <is>
          <t>GU11LKD , 4x4 , Land Rover , Defender</t>
        </is>
      </c>
      <c r="E621" t="inlineStr">
        <is>
          <t>GU11LKD , 4x4 , Land Rover , Defender</t>
        </is>
      </c>
      <c r="F621" t="inlineStr">
        <is>
          <t>GU11LKD , 4x4 , Land Rover , Defender</t>
        </is>
      </c>
      <c r="G621" t="inlineStr">
        <is>
          <t xml:space="preserve">Francislesser </t>
        </is>
      </c>
      <c r="H621" t="inlineStr">
        <is>
          <t>4x4</t>
        </is>
      </c>
      <c r="I621" t="inlineStr">
        <is>
          <t>Daily/ Weekly Vehicle Inspection</t>
        </is>
      </c>
      <c r="J621" t="inlineStr">
        <is>
          <t>N/A</t>
        </is>
      </c>
      <c r="K621" t="inlineStr">
        <is>
          <t>6617 Ashdown Tree Limited 1</t>
        </is>
      </c>
      <c r="L621" t="inlineStr">
        <is>
          <t>24/06/2025 08:13</t>
        </is>
      </c>
      <c r="M621" t="inlineStr">
        <is>
          <t>None</t>
        </is>
      </c>
      <c r="N621" t="inlineStr">
        <is>
          <t>&lt;p&gt;&lt;/p&gt;</t>
        </is>
      </c>
      <c r="O621" t="inlineStr"/>
      <c r="P621" t="inlineStr">
        <is>
          <t>GU11LKD , 4x4 , Land Rover , Defender</t>
        </is>
      </c>
      <c r="Q621" t="inlineStr">
        <is>
          <t>UKPN</t>
        </is>
      </c>
      <c r="R621" t="b">
        <v>0</v>
      </c>
    </row>
    <row r="622">
      <c r="A622" t="inlineStr">
        <is>
          <t>24 Jun 2025 / Thomas Playford</t>
        </is>
      </c>
      <c r="B622" t="inlineStr">
        <is>
          <t>Utilities &amp; Inland Waterways</t>
        </is>
      </c>
      <c r="C622" t="inlineStr">
        <is>
          <t>UKPN</t>
        </is>
      </c>
      <c r="D622" t="inlineStr">
        <is>
          <t>SA9ST800000283944 , Tow Chipper , Forst , ST8D - Towed</t>
        </is>
      </c>
      <c r="E622" t="inlineStr">
        <is>
          <t>SA9ST800000283944 , Tow Chipper , Forst , ST8D - Towed</t>
        </is>
      </c>
      <c r="F622" t="inlineStr">
        <is>
          <t>SA9ST800000283944 , Tow Chipper , Forst , ST8D - Towed</t>
        </is>
      </c>
      <c r="G622" t="inlineStr">
        <is>
          <t>Jacob Oram</t>
        </is>
      </c>
      <c r="H622" t="inlineStr">
        <is>
          <t>Towed Chipper</t>
        </is>
      </c>
      <c r="I622" t="inlineStr">
        <is>
          <t>Daily/ Weekly Vehicle Inspection</t>
        </is>
      </c>
      <c r="J622" t="inlineStr">
        <is>
          <t>N/A</t>
        </is>
      </c>
      <c r="K622" t="inlineStr">
        <is>
          <t>7995 Contour Landscapes Ltd 2</t>
        </is>
      </c>
      <c r="L622" t="inlineStr">
        <is>
          <t>24/06/2025 09:09</t>
        </is>
      </c>
      <c r="M622" t="inlineStr">
        <is>
          <t>None</t>
        </is>
      </c>
      <c r="N622" t="inlineStr">
        <is>
          <t>&lt;p&gt;&lt;/p&gt;</t>
        </is>
      </c>
      <c r="O622" t="inlineStr"/>
      <c r="P622" t="inlineStr">
        <is>
          <t>SA9ST800000283944 , Tow Chipper , Forst , ST8D - Towed</t>
        </is>
      </c>
      <c r="Q622" t="inlineStr">
        <is>
          <t>UKPN</t>
        </is>
      </c>
      <c r="R622" t="b">
        <v>0</v>
      </c>
    </row>
    <row r="623">
      <c r="A623" t="inlineStr">
        <is>
          <t>2 Jun 2025 / Oliver Coyle</t>
        </is>
      </c>
      <c r="B623" t="inlineStr">
        <is>
          <t>Utilities &amp; Inland Waterways</t>
        </is>
      </c>
      <c r="C623" t="inlineStr">
        <is>
          <t>NGED</t>
        </is>
      </c>
      <c r="D623" t="inlineStr">
        <is>
          <t>,  ,  ,</t>
        </is>
      </c>
      <c r="E623" t="inlineStr">
        <is>
          <t>,  ,  ,</t>
        </is>
      </c>
      <c r="F623" t="inlineStr">
        <is>
          <t>,  ,  ,</t>
        </is>
      </c>
      <c r="G623" t="inlineStr">
        <is>
          <t>Oliver Coyle</t>
        </is>
      </c>
      <c r="H623" t="inlineStr">
        <is>
          <t>Car - Petrol</t>
        </is>
      </c>
      <c r="I623" t="inlineStr">
        <is>
          <t>Add to Vehicle to the GC Vehicle List</t>
        </is>
      </c>
      <c r="J623" t="inlineStr">
        <is>
          <t>N/A</t>
        </is>
      </c>
      <c r="K623" t="inlineStr">
        <is>
          <t>Oliver Coyle</t>
        </is>
      </c>
      <c r="L623" t="inlineStr">
        <is>
          <t>24/06/2025 09:11</t>
        </is>
      </c>
      <c r="M623" t="inlineStr">
        <is>
          <t>None</t>
        </is>
      </c>
      <c r="N623" t="inlineStr">
        <is>
          <t>&lt;p&gt;&lt;/p&gt;</t>
        </is>
      </c>
      <c r="O623" t="inlineStr"/>
      <c r="P623" t="inlineStr">
        <is>
          <t>,  ,  ,</t>
        </is>
      </c>
      <c r="Q623" t="inlineStr">
        <is>
          <t>NGED</t>
        </is>
      </c>
      <c r="R623" t="b">
        <v>0</v>
      </c>
    </row>
    <row r="624">
      <c r="A624" t="inlineStr">
        <is>
          <t>25 Jun 2025 / 7889 Tree Tech Suffolk Ltd</t>
        </is>
      </c>
      <c r="B624" t="inlineStr">
        <is>
          <t>Utilities &amp; Inland Waterways</t>
        </is>
      </c>
      <c r="C624" t="inlineStr">
        <is>
          <t>UKPN</t>
        </is>
      </c>
      <c r="D624" t="inlineStr">
        <is>
          <t>4x4 - Isuzu - D-max - NS03 TTSTow Chipper - Jenson - A530L - 5521063948Tipper - Nissan - Navara - NS02TTS</t>
        </is>
      </c>
      <c r="E624" t="inlineStr">
        <is>
          <t>4x4 - Isuzu - D-max - NS03 TTSTow Chipper - Jenson - A530L - 5521063948Tipper - Nissan - Navara - NS02TTS</t>
        </is>
      </c>
      <c r="F624" t="inlineStr">
        <is>
          <t>4x4 - Isuzu - D-max - NS03 TTSTow Chipper - Jenson - A530L - 5521063948Tipper - Nissan - Navara - NS02TTS</t>
        </is>
      </c>
      <c r="G624" t="inlineStr">
        <is>
          <t xml:space="preserve">Danny Appleby Nikki sparrow Nikki sparrow </t>
        </is>
      </c>
      <c r="H624" t="inlineStr">
        <is>
          <t>4x4Towed ChipperTipper</t>
        </is>
      </c>
      <c r="I624" t="inlineStr">
        <is>
          <t>Daily/ Weekly Vehicle Inspection</t>
        </is>
      </c>
      <c r="J624" t="inlineStr">
        <is>
          <t>N/A</t>
        </is>
      </c>
      <c r="K624" t="inlineStr">
        <is>
          <t>7889 Tree Tech Suffolk Ltd</t>
        </is>
      </c>
      <c r="L624" t="inlineStr">
        <is>
          <t>25/06/2025 07:05</t>
        </is>
      </c>
      <c r="M624" t="inlineStr">
        <is>
          <t>None</t>
        </is>
      </c>
      <c r="N624" t="inlineStr">
        <is>
          <t>&lt;p&gt;&lt;/p&gt;</t>
        </is>
      </c>
      <c r="O624" t="inlineStr"/>
      <c r="P624" t="inlineStr">
        <is>
          <t>4x4 - Isuzu - D-max - NS03 TTSTow Chipper - Jenson - A530L - 5521063948Tipper - Nissan - Navara - NS02TTS</t>
        </is>
      </c>
      <c r="Q624" t="inlineStr">
        <is>
          <t>UKPN</t>
        </is>
      </c>
      <c r="R624" t="b">
        <v>0</v>
      </c>
    </row>
    <row r="625">
      <c r="A625" t="inlineStr">
        <is>
          <t>25 Jun 2025 / 7940 HRJ Tree Services LTD</t>
        </is>
      </c>
      <c r="B625" t="inlineStr">
        <is>
          <t>Utilities &amp; Inland Waterways</t>
        </is>
      </c>
      <c r="C625" t="inlineStr">
        <is>
          <t>UKPN</t>
        </is>
      </c>
      <c r="D625" t="inlineStr">
        <is>
          <t>283500 , Tow Chipper , Forst ,</t>
        </is>
      </c>
      <c r="E625" t="inlineStr">
        <is>
          <t>283500 , Tow Chipper , Forst ,</t>
        </is>
      </c>
      <c r="F625" t="inlineStr">
        <is>
          <t>283500 , Tow Chipper , Forst ,</t>
        </is>
      </c>
      <c r="G625" t="inlineStr">
        <is>
          <t>Harry Wilson</t>
        </is>
      </c>
      <c r="H625" t="inlineStr">
        <is>
          <t>Towed Chipper</t>
        </is>
      </c>
      <c r="I625" t="inlineStr">
        <is>
          <t>Daily/ Weekly Vehicle Inspection</t>
        </is>
      </c>
      <c r="J625" t="inlineStr">
        <is>
          <t>N/A</t>
        </is>
      </c>
      <c r="K625" t="inlineStr">
        <is>
          <t>7940 HRJ Tree Services LTD</t>
        </is>
      </c>
      <c r="L625" t="inlineStr">
        <is>
          <t>25/06/2025 07:06</t>
        </is>
      </c>
      <c r="M625" t="inlineStr">
        <is>
          <t>None</t>
        </is>
      </c>
      <c r="N625" t="inlineStr">
        <is>
          <t>&lt;p&gt;&lt;/p&gt;</t>
        </is>
      </c>
      <c r="O625" t="inlineStr"/>
      <c r="P625" t="inlineStr">
        <is>
          <t>283500 , Tow Chipper , Forst ,</t>
        </is>
      </c>
      <c r="Q625" t="inlineStr">
        <is>
          <t>UKPN</t>
        </is>
      </c>
      <c r="R625" t="b">
        <v>0</v>
      </c>
    </row>
    <row r="626">
      <c r="A626" t="inlineStr">
        <is>
          <t>25 Jun 2025 / 7940 HRJ Tree Services LTD</t>
        </is>
      </c>
      <c r="B626" t="inlineStr">
        <is>
          <t>Utilities &amp; Inland Waterways</t>
        </is>
      </c>
      <c r="C626" t="inlineStr">
        <is>
          <t>UKPN</t>
        </is>
      </c>
      <c r="D626" t="inlineStr">
        <is>
          <t>4x4 - Toyota  - Hilux - LL70GZP</t>
        </is>
      </c>
      <c r="E626" t="inlineStr">
        <is>
          <t>4x4 - Toyota  - Hilux - LL70GZP</t>
        </is>
      </c>
      <c r="F626" t="inlineStr">
        <is>
          <t>4x4 - Toyota  - Hilux - LL70GZP</t>
        </is>
      </c>
      <c r="G626" t="inlineStr">
        <is>
          <t>Harry Wilson</t>
        </is>
      </c>
      <c r="H626" t="inlineStr">
        <is>
          <t>4x4</t>
        </is>
      </c>
      <c r="I626" t="inlineStr">
        <is>
          <t>Daily/ Weekly Vehicle Inspection</t>
        </is>
      </c>
      <c r="J626" t="inlineStr">
        <is>
          <t>N/A</t>
        </is>
      </c>
      <c r="K626" t="inlineStr">
        <is>
          <t>7940 HRJ Tree Services LTD</t>
        </is>
      </c>
      <c r="L626" t="inlineStr">
        <is>
          <t>25/06/2025 07:07</t>
        </is>
      </c>
      <c r="M626" t="inlineStr">
        <is>
          <t>None</t>
        </is>
      </c>
      <c r="N626" t="inlineStr">
        <is>
          <t>&lt;p&gt;&lt;/p&gt;</t>
        </is>
      </c>
      <c r="O626" t="inlineStr"/>
      <c r="P626" t="inlineStr">
        <is>
          <t>4x4 - Toyota  - Hilux - LL70GZP</t>
        </is>
      </c>
      <c r="Q626" t="inlineStr">
        <is>
          <t>UKPN</t>
        </is>
      </c>
      <c r="R626" t="b">
        <v>0</v>
      </c>
    </row>
    <row r="627">
      <c r="A627" t="inlineStr">
        <is>
          <t>25 Jun 2025 / 7940 HRJ Tree Services LTD</t>
        </is>
      </c>
      <c r="B627" t="inlineStr">
        <is>
          <t>Utilities &amp; Inland Waterways</t>
        </is>
      </c>
      <c r="C627" t="inlineStr">
        <is>
          <t>UKPN</t>
        </is>
      </c>
      <c r="D627" t="inlineStr">
        <is>
          <t>Kx65fcp , 4x4 , Izuzu d max  , D max</t>
        </is>
      </c>
      <c r="E627" t="inlineStr">
        <is>
          <t>Kx65fcp , 4x4 , Izuzu d max  , D max</t>
        </is>
      </c>
      <c r="F627" t="inlineStr">
        <is>
          <t>Kx65fcp , 4x4 , Izuzu d max  , D max</t>
        </is>
      </c>
      <c r="G627" t="inlineStr">
        <is>
          <t>Jack Buchan</t>
        </is>
      </c>
      <c r="H627" t="inlineStr">
        <is>
          <t>4x4</t>
        </is>
      </c>
      <c r="I627" t="inlineStr">
        <is>
          <t>Daily/ Weekly Vehicle Inspection</t>
        </is>
      </c>
      <c r="J627" t="inlineStr">
        <is>
          <t>N/A</t>
        </is>
      </c>
      <c r="K627" t="inlineStr">
        <is>
          <t>7940 HRJ Tree Services LTD</t>
        </is>
      </c>
      <c r="L627" t="inlineStr">
        <is>
          <t>25/06/2025 07:08</t>
        </is>
      </c>
      <c r="M627" t="inlineStr">
        <is>
          <t>None</t>
        </is>
      </c>
      <c r="N627" t="inlineStr">
        <is>
          <t>&lt;p&gt;&lt;/p&gt;</t>
        </is>
      </c>
      <c r="O627" t="inlineStr"/>
      <c r="P627" t="inlineStr">
        <is>
          <t>Kx65fcp , 4x4 , Izuzu d max  , D max</t>
        </is>
      </c>
      <c r="Q627" t="inlineStr">
        <is>
          <t>UKPN</t>
        </is>
      </c>
      <c r="R627" t="b">
        <v>0</v>
      </c>
    </row>
    <row r="628">
      <c r="A628" t="inlineStr">
        <is>
          <t>25 Jun 2025 / Thomas Playford</t>
        </is>
      </c>
      <c r="B628" t="inlineStr">
        <is>
          <t>Utilities &amp; Inland Waterways</t>
        </is>
      </c>
      <c r="C628" t="inlineStr">
        <is>
          <t>UKPN</t>
        </is>
      </c>
      <c r="D628" t="inlineStr">
        <is>
          <t>SA9ST800000283944 , Tow Chipper , Forst , ST8D - Towed</t>
        </is>
      </c>
      <c r="E628" t="inlineStr">
        <is>
          <t>SA9ST800000283944 , Tow Chipper , Forst , ST8D - Towed</t>
        </is>
      </c>
      <c r="F628" t="inlineStr">
        <is>
          <t>SA9ST800000283944 , Tow Chipper , Forst , ST8D - Towed</t>
        </is>
      </c>
      <c r="G628" t="inlineStr">
        <is>
          <t>Jacob Oram</t>
        </is>
      </c>
      <c r="H628" t="inlineStr">
        <is>
          <t>Towed Chipper</t>
        </is>
      </c>
      <c r="I628" t="inlineStr">
        <is>
          <t>Daily/ Weekly Vehicle Inspection</t>
        </is>
      </c>
      <c r="J628" t="inlineStr">
        <is>
          <t>N/A</t>
        </is>
      </c>
      <c r="K628" t="inlineStr">
        <is>
          <t>7995 Contour Landscapes Ltd 2</t>
        </is>
      </c>
      <c r="L628" t="inlineStr">
        <is>
          <t>25/06/2025 08:06</t>
        </is>
      </c>
      <c r="M628" t="inlineStr">
        <is>
          <t>None</t>
        </is>
      </c>
      <c r="N628" t="inlineStr">
        <is>
          <t>&lt;p&gt;&lt;/p&gt;</t>
        </is>
      </c>
      <c r="O628" t="inlineStr"/>
      <c r="P628" t="inlineStr">
        <is>
          <t>SA9ST800000283944 , Tow Chipper , Forst , ST8D - Towed</t>
        </is>
      </c>
      <c r="Q628" t="inlineStr">
        <is>
          <t>UKPN</t>
        </is>
      </c>
      <c r="R628" t="b">
        <v>0</v>
      </c>
    </row>
    <row r="629">
      <c r="A629" t="inlineStr">
        <is>
          <t>25 Jun 2025 / Thomas Playford</t>
        </is>
      </c>
      <c r="B629" t="inlineStr">
        <is>
          <t>Utilities &amp; Inland Waterways</t>
        </is>
      </c>
      <c r="C629" t="inlineStr">
        <is>
          <t>UKPN</t>
        </is>
      </c>
      <c r="D629" t="inlineStr">
        <is>
          <t>YP24 WRD , Vehicle , Ford , Ranger</t>
        </is>
      </c>
      <c r="E629" t="inlineStr">
        <is>
          <t>YP24 WRD , Vehicle , Ford , Ranger</t>
        </is>
      </c>
      <c r="F629" t="inlineStr">
        <is>
          <t>YP24 WRD , Vehicle , Ford , Ranger</t>
        </is>
      </c>
      <c r="G629" t="inlineStr">
        <is>
          <t>Jacob Oram</t>
        </is>
      </c>
      <c r="H629" t="inlineStr">
        <is>
          <t>4x4</t>
        </is>
      </c>
      <c r="I629" t="inlineStr">
        <is>
          <t>Daily/ Weekly Vehicle Inspection</t>
        </is>
      </c>
      <c r="J629" t="inlineStr">
        <is>
          <t>N/A</t>
        </is>
      </c>
      <c r="K629" t="inlineStr">
        <is>
          <t>7995 Contour Landscapes Ltd 2</t>
        </is>
      </c>
      <c r="L629" t="inlineStr">
        <is>
          <t>25/06/2025 08:07</t>
        </is>
      </c>
      <c r="M629" t="inlineStr">
        <is>
          <t>None</t>
        </is>
      </c>
      <c r="N629" t="inlineStr">
        <is>
          <t>&lt;p&gt;&lt;/p&gt;</t>
        </is>
      </c>
      <c r="O629" t="inlineStr"/>
      <c r="P629" t="inlineStr">
        <is>
          <t>YP24 WRD , Vehicle , Ford , Ranger</t>
        </is>
      </c>
      <c r="Q629" t="inlineStr">
        <is>
          <t>UKPN</t>
        </is>
      </c>
      <c r="R629" t="b">
        <v>0</v>
      </c>
    </row>
    <row r="630">
      <c r="A630" t="inlineStr">
        <is>
          <t>24 Jun 2025 / Lee Billingham</t>
        </is>
      </c>
      <c r="B630" t="inlineStr">
        <is>
          <t>Utilities &amp; Inland Waterways</t>
        </is>
      </c>
      <c r="C630" t="inlineStr">
        <is>
          <t>NGED</t>
        </is>
      </c>
      <c r="D630" t="inlineStr">
        <is>
          <t>BT72WYC , N/A , Isuzu , D-Max</t>
        </is>
      </c>
      <c r="E630" t="inlineStr">
        <is>
          <t>BT72WYC , N/A , Isuzu , D-Max</t>
        </is>
      </c>
      <c r="F630" t="inlineStr">
        <is>
          <t>BT72WYC , N/A , Isuzu , D-Max</t>
        </is>
      </c>
      <c r="G630" t="inlineStr">
        <is>
          <t>BECKY Raymond</t>
        </is>
      </c>
      <c r="H630" t="inlineStr">
        <is>
          <t>Van</t>
        </is>
      </c>
      <c r="I630" t="inlineStr">
        <is>
          <t>Daily/ Weekly Vehicle Inspection</t>
        </is>
      </c>
      <c r="J630" t="inlineStr">
        <is>
          <t>N/A</t>
        </is>
      </c>
      <c r="K630" t="inlineStr">
        <is>
          <t>Lee Billingham</t>
        </is>
      </c>
      <c r="L630" t="inlineStr">
        <is>
          <t>25/06/2025 08:07</t>
        </is>
      </c>
      <c r="M630" t="inlineStr">
        <is>
          <t>None</t>
        </is>
      </c>
      <c r="N630" t="inlineStr">
        <is>
          <t>&lt;p&gt;&lt;/p&gt;</t>
        </is>
      </c>
      <c r="O630" t="inlineStr"/>
      <c r="P630" t="inlineStr">
        <is>
          <t>BT72WYC , N/A , Isuzu , D-Max</t>
        </is>
      </c>
      <c r="Q630" t="inlineStr">
        <is>
          <t>NGED</t>
        </is>
      </c>
      <c r="R630" t="b">
        <v>0</v>
      </c>
    </row>
    <row r="631">
      <c r="A631" t="inlineStr">
        <is>
          <t>24 Jun 2025 / Lee Billingham</t>
        </is>
      </c>
      <c r="B631" t="inlineStr">
        <is>
          <t>Utilities &amp; Inland Waterways</t>
        </is>
      </c>
      <c r="C631" t="inlineStr">
        <is>
          <t>NGED</t>
        </is>
      </c>
      <c r="D631" t="inlineStr">
        <is>
          <t>WO23OYK , Van , Ford , Ranger</t>
        </is>
      </c>
      <c r="E631" t="inlineStr">
        <is>
          <t>WO23OYK , Van , Ford , Ranger</t>
        </is>
      </c>
      <c r="F631" t="inlineStr">
        <is>
          <t>WO23OYK , Van , Ford , Ranger</t>
        </is>
      </c>
      <c r="G631" t="inlineStr">
        <is>
          <t>LEE Billingham</t>
        </is>
      </c>
      <c r="H631" t="inlineStr">
        <is>
          <t>Tipper</t>
        </is>
      </c>
      <c r="I631" t="inlineStr">
        <is>
          <t>Daily/ Weekly Vehicle Inspection</t>
        </is>
      </c>
      <c r="J631" t="inlineStr">
        <is>
          <t>N/A</t>
        </is>
      </c>
      <c r="K631" t="inlineStr">
        <is>
          <t>Lee Billingham</t>
        </is>
      </c>
      <c r="L631" t="inlineStr">
        <is>
          <t>25/06/2025 08:08</t>
        </is>
      </c>
      <c r="M631" t="inlineStr">
        <is>
          <t>None</t>
        </is>
      </c>
      <c r="N631" t="inlineStr">
        <is>
          <t>&lt;p&gt;&lt;/p&gt;</t>
        </is>
      </c>
      <c r="O631" t="inlineStr"/>
      <c r="P631" t="inlineStr">
        <is>
          <t>WO23OYK , Van , Ford , Ranger</t>
        </is>
      </c>
      <c r="Q631" t="inlineStr">
        <is>
          <t>NGED</t>
        </is>
      </c>
      <c r="R631" t="b">
        <v>0</v>
      </c>
    </row>
    <row r="632">
      <c r="A632" t="inlineStr">
        <is>
          <t>25 Jun 2025 / 7806 Optimum Tree Services Ltd</t>
        </is>
      </c>
      <c r="B632" t="inlineStr">
        <is>
          <t>Utilities &amp; Inland Waterways</t>
        </is>
      </c>
      <c r="C632" t="inlineStr">
        <is>
          <t>UKPN</t>
        </is>
      </c>
      <c r="D632" t="inlineStr">
        <is>
          <t>SA9ST800000283069 , Chipper , Forst , ST 6P</t>
        </is>
      </c>
      <c r="E632" t="inlineStr">
        <is>
          <t>SA9ST800000283069 , Chipper , Forst , ST 6P</t>
        </is>
      </c>
      <c r="F632" t="inlineStr">
        <is>
          <t>SA9ST800000283069 , Chipper , Forst , ST 6P</t>
        </is>
      </c>
      <c r="G632" t="inlineStr">
        <is>
          <t xml:space="preserve">Abraham Davies </t>
        </is>
      </c>
      <c r="H632" t="inlineStr">
        <is>
          <t>Towed Chipper</t>
        </is>
      </c>
      <c r="I632" t="inlineStr">
        <is>
          <t>Daily/ Weekly Vehicle Inspection</t>
        </is>
      </c>
      <c r="J632" t="inlineStr">
        <is>
          <t>N/A</t>
        </is>
      </c>
      <c r="K632" t="inlineStr">
        <is>
          <t>7806 Optimum Tree Services Ltd</t>
        </is>
      </c>
      <c r="L632" t="inlineStr">
        <is>
          <t>25/06/2025 08:09</t>
        </is>
      </c>
      <c r="M632" t="inlineStr">
        <is>
          <t>None</t>
        </is>
      </c>
      <c r="N632" t="inlineStr">
        <is>
          <t>&lt;p&gt;&lt;/p&gt;</t>
        </is>
      </c>
      <c r="O632" t="inlineStr"/>
      <c r="P632" t="inlineStr">
        <is>
          <t>SA9ST800000283069 , Chipper , Forst , ST 6P</t>
        </is>
      </c>
      <c r="Q632" t="inlineStr">
        <is>
          <t>UKPN</t>
        </is>
      </c>
      <c r="R632" t="b">
        <v>0</v>
      </c>
    </row>
    <row r="633">
      <c r="A633" t="inlineStr">
        <is>
          <t>25 Jun 2025 / 7806 Optimum Tree Services Ltd</t>
        </is>
      </c>
      <c r="B633" t="inlineStr">
        <is>
          <t>Utilities &amp; Inland Waterways</t>
        </is>
      </c>
      <c r="C633" t="inlineStr">
        <is>
          <t>UKPN</t>
        </is>
      </c>
      <c r="D633" t="inlineStr">
        <is>
          <t>WD14EVB , MEWP , Land Rover , Defender</t>
        </is>
      </c>
      <c r="E633" t="inlineStr">
        <is>
          <t>WD14EVB , MEWP , Land Rover , Defender</t>
        </is>
      </c>
      <c r="F633" t="inlineStr">
        <is>
          <t>WD14EVB , MEWP , Land Rover , Defender</t>
        </is>
      </c>
      <c r="G633" t="inlineStr">
        <is>
          <t xml:space="preserve">Abraham Davies </t>
        </is>
      </c>
      <c r="H633" t="inlineStr">
        <is>
          <t>4x4</t>
        </is>
      </c>
      <c r="I633" t="inlineStr">
        <is>
          <t>Daily/ Weekly Vehicle Inspection</t>
        </is>
      </c>
      <c r="J633" t="inlineStr">
        <is>
          <t>N/A</t>
        </is>
      </c>
      <c r="K633" t="inlineStr">
        <is>
          <t>7806 Optimum Tree Services Ltd</t>
        </is>
      </c>
      <c r="L633" t="inlineStr">
        <is>
          <t>25/06/2025 08:09</t>
        </is>
      </c>
      <c r="M633" t="inlineStr">
        <is>
          <t>None</t>
        </is>
      </c>
      <c r="N633" t="inlineStr">
        <is>
          <t>&lt;p&gt;&lt;/p&gt;</t>
        </is>
      </c>
      <c r="O633" t="inlineStr"/>
      <c r="P633" t="inlineStr">
        <is>
          <t>WD14EVB , MEWP , Land Rover , Defender</t>
        </is>
      </c>
      <c r="Q633" t="inlineStr">
        <is>
          <t>UKPN</t>
        </is>
      </c>
      <c r="R633" t="b">
        <v>0</v>
      </c>
    </row>
    <row r="634">
      <c r="A634" t="inlineStr">
        <is>
          <t>25 Jun 2025 / 6617 Ashdown Tree Limited 1</t>
        </is>
      </c>
      <c r="B634" t="inlineStr">
        <is>
          <t>Utilities &amp; Inland Waterways</t>
        </is>
      </c>
      <c r="C634" t="inlineStr">
        <is>
          <t>UKPN</t>
        </is>
      </c>
      <c r="D634" t="inlineStr">
        <is>
          <t>GU11LKD , 4x4 , Land Rover , Defender</t>
        </is>
      </c>
      <c r="E634" t="inlineStr">
        <is>
          <t>GU11LKD , 4x4 , Land Rover , Defender</t>
        </is>
      </c>
      <c r="F634" t="inlineStr">
        <is>
          <t>GU11LKD , 4x4 , Land Rover , Defender</t>
        </is>
      </c>
      <c r="G634" t="inlineStr">
        <is>
          <t xml:space="preserve">Luke williams </t>
        </is>
      </c>
      <c r="H634" t="inlineStr">
        <is>
          <t>4x4</t>
        </is>
      </c>
      <c r="I634" t="inlineStr">
        <is>
          <t>Daily/ Weekly Vehicle Inspection</t>
        </is>
      </c>
      <c r="J634" t="inlineStr">
        <is>
          <t>N/A</t>
        </is>
      </c>
      <c r="K634" t="inlineStr">
        <is>
          <t>6617 Ashdown Tree Limited 1</t>
        </is>
      </c>
      <c r="L634" t="inlineStr">
        <is>
          <t>25/06/2025 08:10</t>
        </is>
      </c>
      <c r="M634" t="inlineStr">
        <is>
          <t>None</t>
        </is>
      </c>
      <c r="N634" t="inlineStr">
        <is>
          <t>&lt;p&gt;&lt;/p&gt;</t>
        </is>
      </c>
      <c r="O634" t="inlineStr"/>
      <c r="P634" t="inlineStr">
        <is>
          <t>GU11LKD , 4x4 , Land Rover , Defender</t>
        </is>
      </c>
      <c r="Q634" t="inlineStr">
        <is>
          <t>UKPN</t>
        </is>
      </c>
      <c r="R634" t="b">
        <v>0</v>
      </c>
    </row>
    <row r="635">
      <c r="A635" t="inlineStr">
        <is>
          <t>25 Jun 2025 / 7800 MAC Tree Surgery and Fencing Ltd</t>
        </is>
      </c>
      <c r="B635" t="inlineStr">
        <is>
          <t>Utilities &amp; Inland Waterways</t>
        </is>
      </c>
      <c r="C635" t="inlineStr">
        <is>
          <t>UKPN</t>
        </is>
      </c>
      <c r="D635" t="inlineStr">
        <is>
          <t>AY68DAA , 4x4 , Izuzu , Dmax</t>
        </is>
      </c>
      <c r="E635" t="inlineStr">
        <is>
          <t>AY68DAA , 4x4 , Izuzu , Dmax</t>
        </is>
      </c>
      <c r="F635" t="inlineStr">
        <is>
          <t>AY68DAA , 4x4 , Izuzu , Dmax</t>
        </is>
      </c>
      <c r="G635" t="inlineStr">
        <is>
          <t xml:space="preserve">Lewis </t>
        </is>
      </c>
      <c r="H635" t="inlineStr">
        <is>
          <t>4x4</t>
        </is>
      </c>
      <c r="I635" t="inlineStr">
        <is>
          <t>Daily/ Weekly Vehicle Inspection</t>
        </is>
      </c>
      <c r="J635" t="inlineStr">
        <is>
          <t>N/A</t>
        </is>
      </c>
      <c r="K635" t="inlineStr">
        <is>
          <t>7800 MAC Tree Surgery and Fencing Ltd</t>
        </is>
      </c>
      <c r="L635" t="inlineStr">
        <is>
          <t>25/06/2025 08:11</t>
        </is>
      </c>
      <c r="M635" t="inlineStr">
        <is>
          <t>None</t>
        </is>
      </c>
      <c r="N635" t="inlineStr">
        <is>
          <t>&lt;p&gt;&lt;/p&gt;</t>
        </is>
      </c>
      <c r="O635" t="inlineStr">
        <is>
          <t>Confirm that you have checked this vehicle as per the guidance document and the vehicle is safe and roadworthy:Slight crack in windscreen but doesn't effect vision
-</t>
        </is>
      </c>
      <c r="P635" t="inlineStr">
        <is>
          <t>AY68DAA , 4x4 , Izuzu , Dmax</t>
        </is>
      </c>
      <c r="Q635" t="inlineStr">
        <is>
          <t>UKPN</t>
        </is>
      </c>
      <c r="R635" t="b">
        <v>0</v>
      </c>
    </row>
    <row r="636">
      <c r="A636" t="inlineStr">
        <is>
          <t>25 Jun 2025 / 7800 MAC Tree Surgery and Fencing Ltd</t>
        </is>
      </c>
      <c r="B636" t="inlineStr">
        <is>
          <t>Utilities &amp; Inland Waterways</t>
        </is>
      </c>
      <c r="C636" t="inlineStr">
        <is>
          <t>UKPN</t>
        </is>
      </c>
      <c r="D636" t="inlineStr">
        <is>
          <t>205143043-A1 , Tow Chipper , Timberwolf , TW150</t>
        </is>
      </c>
      <c r="E636" t="inlineStr">
        <is>
          <t>205143043-A1 , Tow Chipper , Timberwolf , TW150</t>
        </is>
      </c>
      <c r="F636" t="inlineStr">
        <is>
          <t>205143043-A1 , Tow Chipper , Timberwolf , TW150</t>
        </is>
      </c>
      <c r="G636" t="inlineStr">
        <is>
          <t xml:space="preserve">Lewis mac </t>
        </is>
      </c>
      <c r="H636" t="inlineStr">
        <is>
          <t>Towed Chipper</t>
        </is>
      </c>
      <c r="I636" t="inlineStr">
        <is>
          <t>Daily/ Weekly Vehicle Inspection</t>
        </is>
      </c>
      <c r="J636" t="inlineStr">
        <is>
          <t>N/A</t>
        </is>
      </c>
      <c r="K636" t="inlineStr">
        <is>
          <t>7800 MAC Tree Surgery and Fencing Ltd</t>
        </is>
      </c>
      <c r="L636" t="inlineStr">
        <is>
          <t>25/06/2025 08:12</t>
        </is>
      </c>
      <c r="M636" t="inlineStr">
        <is>
          <t>None</t>
        </is>
      </c>
      <c r="N636" t="inlineStr">
        <is>
          <t>&lt;p&gt;&lt;/p&gt;</t>
        </is>
      </c>
      <c r="O636" t="inlineStr"/>
      <c r="P636" t="inlineStr">
        <is>
          <t>205143043-A1 , Tow Chipper , Timberwolf , TW150</t>
        </is>
      </c>
      <c r="Q636" t="inlineStr">
        <is>
          <t>UKPN</t>
        </is>
      </c>
      <c r="R636" t="b">
        <v>0</v>
      </c>
    </row>
    <row r="637">
      <c r="A637" t="inlineStr">
        <is>
          <t>25 Jun 2025 / 7186 Eastwoodbury Tree Services Ltd</t>
        </is>
      </c>
      <c r="B637" t="inlineStr">
        <is>
          <t>Utilities &amp; Inland Waterways</t>
        </is>
      </c>
      <c r="C637" t="inlineStr">
        <is>
          <t>UKPN</t>
        </is>
      </c>
      <c r="D637" t="inlineStr">
        <is>
          <t>DN61XKJ , Tipper , Ford , Transit</t>
        </is>
      </c>
      <c r="E637" t="inlineStr">
        <is>
          <t>DN61XKJ , Tipper , Ford , Transit</t>
        </is>
      </c>
      <c r="F637" t="inlineStr">
        <is>
          <t>DN61XKJ , Tipper , Ford , Transit</t>
        </is>
      </c>
      <c r="G637" t="inlineStr">
        <is>
          <t xml:space="preserve">Dan Gilbert </t>
        </is>
      </c>
      <c r="H637" t="inlineStr">
        <is>
          <t>Tipper</t>
        </is>
      </c>
      <c r="I637" t="inlineStr">
        <is>
          <t>Daily/ Weekly Vehicle Inspection</t>
        </is>
      </c>
      <c r="J637" t="inlineStr">
        <is>
          <t>N/A</t>
        </is>
      </c>
      <c r="K637" t="inlineStr">
        <is>
          <t>7186 Eastwoodbury Tree Services Ltd</t>
        </is>
      </c>
      <c r="L637" t="inlineStr">
        <is>
          <t>25/06/2025 08:14</t>
        </is>
      </c>
      <c r="M637" t="inlineStr">
        <is>
          <t>None</t>
        </is>
      </c>
      <c r="N637" t="inlineStr">
        <is>
          <t>&lt;p&gt;&lt;/p&gt;</t>
        </is>
      </c>
      <c r="O637" t="inlineStr"/>
      <c r="P637" t="inlineStr">
        <is>
          <t>DN61XKJ , Tipper , Ford , Transit</t>
        </is>
      </c>
      <c r="Q637" t="inlineStr">
        <is>
          <t>UKPN</t>
        </is>
      </c>
      <c r="R637" t="b">
        <v>0</v>
      </c>
    </row>
    <row r="638">
      <c r="A638" t="inlineStr">
        <is>
          <t>6 May 2025 / Aaron Billingham</t>
        </is>
      </c>
      <c r="B638" t="inlineStr">
        <is>
          <t>Utilities &amp; Inland Waterways</t>
        </is>
      </c>
      <c r="C638" t="inlineStr">
        <is>
          <t>NGED</t>
        </is>
      </c>
      <c r="D638" t="inlineStr">
        <is>
          <t>EK18ECN , 4x4 , Ford , Ranger</t>
        </is>
      </c>
      <c r="E638" t="inlineStr">
        <is>
          <t>EK18ECN , 4x4 , Ford , Ranger</t>
        </is>
      </c>
      <c r="F638" t="inlineStr">
        <is>
          <t>EK18ECN , 4x4 , Ford , Ranger</t>
        </is>
      </c>
      <c r="G638" t="inlineStr">
        <is>
          <t>Aaron Billingham</t>
        </is>
      </c>
      <c r="H638" t="inlineStr">
        <is>
          <t>4x4</t>
        </is>
      </c>
      <c r="I638" t="inlineStr">
        <is>
          <t>Daily/ Weekly Vehicle Inspection</t>
        </is>
      </c>
      <c r="J638" t="inlineStr">
        <is>
          <t>N/A</t>
        </is>
      </c>
      <c r="K638" t="inlineStr">
        <is>
          <t>Aaron Billingham</t>
        </is>
      </c>
      <c r="L638" t="inlineStr">
        <is>
          <t>25/06/2025 09:05</t>
        </is>
      </c>
      <c r="M638" t="inlineStr">
        <is>
          <t>None</t>
        </is>
      </c>
      <c r="N638" t="inlineStr">
        <is>
          <t>&lt;p&gt;&lt;/p&gt;</t>
        </is>
      </c>
      <c r="O638" t="inlineStr"/>
      <c r="P638" t="inlineStr">
        <is>
          <t>EK18ECN , 4x4 , Ford , Ranger</t>
        </is>
      </c>
      <c r="Q638" t="inlineStr">
        <is>
          <t>NGED</t>
        </is>
      </c>
      <c r="R638" t="b">
        <v>0</v>
      </c>
    </row>
    <row r="639">
      <c r="A639" t="inlineStr">
        <is>
          <t>26 Jun 2025 / 6617 Ashdown Tree Limited 1</t>
        </is>
      </c>
      <c r="B639" t="inlineStr">
        <is>
          <t>Utilities &amp; Inland Waterways</t>
        </is>
      </c>
      <c r="C639" t="inlineStr">
        <is>
          <t>UKPN</t>
        </is>
      </c>
      <c r="D639" t="inlineStr">
        <is>
          <t>GU11LKD , 4x4 , Land Rover , Defender</t>
        </is>
      </c>
      <c r="E639" t="inlineStr">
        <is>
          <t>GU11LKD , 4x4 , Land Rover , Defender</t>
        </is>
      </c>
      <c r="F639" t="inlineStr">
        <is>
          <t>GU11LKD , 4x4 , Land Rover , Defender</t>
        </is>
      </c>
      <c r="G639" t="inlineStr">
        <is>
          <t xml:space="preserve">Francislesser </t>
        </is>
      </c>
      <c r="H639" t="inlineStr">
        <is>
          <t>4x4</t>
        </is>
      </c>
      <c r="I639" t="inlineStr">
        <is>
          <t>Daily/ Weekly Vehicle Inspection</t>
        </is>
      </c>
      <c r="J639" t="inlineStr">
        <is>
          <t>N/A</t>
        </is>
      </c>
      <c r="K639" t="inlineStr">
        <is>
          <t>6617 Ashdown Tree Limited 1</t>
        </is>
      </c>
      <c r="L639" t="inlineStr">
        <is>
          <t>26/06/2025 07:05</t>
        </is>
      </c>
      <c r="M639" t="inlineStr">
        <is>
          <t>None</t>
        </is>
      </c>
      <c r="N639" t="inlineStr">
        <is>
          <t>&lt;p&gt;&lt;/p&gt;</t>
        </is>
      </c>
      <c r="O639" t="inlineStr"/>
      <c r="P639" t="inlineStr">
        <is>
          <t>GU11LKD , 4x4 , Land Rover , Defender</t>
        </is>
      </c>
      <c r="Q639" t="inlineStr">
        <is>
          <t>UKPN</t>
        </is>
      </c>
      <c r="R639" t="b">
        <v>0</v>
      </c>
    </row>
    <row r="640">
      <c r="A640" t="inlineStr">
        <is>
          <t>26 Jun 2025 / Thomas Playford</t>
        </is>
      </c>
      <c r="B640" t="inlineStr">
        <is>
          <t>Utilities &amp; Inland Waterways</t>
        </is>
      </c>
      <c r="C640" t="inlineStr">
        <is>
          <t>UKPN</t>
        </is>
      </c>
      <c r="D640" t="inlineStr">
        <is>
          <t>SA9ST800000283944 , Tow Chipper , Forst , ST8D - Towed</t>
        </is>
      </c>
      <c r="E640" t="inlineStr">
        <is>
          <t>SA9ST800000283944 , Tow Chipper , Forst , ST8D - Towed</t>
        </is>
      </c>
      <c r="F640" t="inlineStr">
        <is>
          <t>SA9ST800000283944 , Tow Chipper , Forst , ST8D - Towed</t>
        </is>
      </c>
      <c r="G640" t="inlineStr">
        <is>
          <t xml:space="preserve">Jacob Oram </t>
        </is>
      </c>
      <c r="H640" t="inlineStr">
        <is>
          <t>Towed Chipper</t>
        </is>
      </c>
      <c r="I640" t="inlineStr">
        <is>
          <t>Daily/ Weekly Vehicle Inspection</t>
        </is>
      </c>
      <c r="J640" t="inlineStr">
        <is>
          <t>N/A</t>
        </is>
      </c>
      <c r="K640" t="inlineStr">
        <is>
          <t>7995 Contour Landscapes Ltd 2</t>
        </is>
      </c>
      <c r="L640" t="inlineStr">
        <is>
          <t>26/06/2025 07:06</t>
        </is>
      </c>
      <c r="M640" t="inlineStr">
        <is>
          <t>None</t>
        </is>
      </c>
      <c r="N640" t="inlineStr">
        <is>
          <t>&lt;p&gt;&lt;/p&gt;</t>
        </is>
      </c>
      <c r="O640" t="inlineStr"/>
      <c r="P640" t="inlineStr">
        <is>
          <t>SA9ST800000283944 , Tow Chipper , Forst , ST8D - Towed</t>
        </is>
      </c>
      <c r="Q640" t="inlineStr">
        <is>
          <t>UKPN</t>
        </is>
      </c>
      <c r="R640" t="b">
        <v>0</v>
      </c>
    </row>
    <row r="641">
      <c r="A641" t="inlineStr">
        <is>
          <t>26 Jun 2025 / Thomas Playford</t>
        </is>
      </c>
      <c r="B641" t="inlineStr">
        <is>
          <t>Utilities &amp; Inland Waterways</t>
        </is>
      </c>
      <c r="C641" t="inlineStr">
        <is>
          <t>UKPN</t>
        </is>
      </c>
      <c r="D641" t="inlineStr">
        <is>
          <t>YP24 WRD , Vehicle , Ford , Ranger</t>
        </is>
      </c>
      <c r="E641" t="inlineStr">
        <is>
          <t>YP24 WRD , Vehicle , Ford , Ranger</t>
        </is>
      </c>
      <c r="F641" t="inlineStr">
        <is>
          <t>YP24 WRD , Vehicle , Ford , Ranger</t>
        </is>
      </c>
      <c r="G641" t="inlineStr">
        <is>
          <t>Jacob Oram</t>
        </is>
      </c>
      <c r="H641" t="inlineStr">
        <is>
          <t>4x4</t>
        </is>
      </c>
      <c r="I641" t="inlineStr">
        <is>
          <t>Daily/ Weekly Vehicle Inspection</t>
        </is>
      </c>
      <c r="J641" t="inlineStr">
        <is>
          <t>N/A</t>
        </is>
      </c>
      <c r="K641" t="inlineStr">
        <is>
          <t>7995 Contour Landscapes Ltd 2</t>
        </is>
      </c>
      <c r="L641" t="inlineStr">
        <is>
          <t>26/06/2025 07:07</t>
        </is>
      </c>
      <c r="M641" t="inlineStr">
        <is>
          <t>None</t>
        </is>
      </c>
      <c r="N641" t="inlineStr">
        <is>
          <t>&lt;p&gt;&lt;/p&gt;</t>
        </is>
      </c>
      <c r="O641" t="inlineStr"/>
      <c r="P641" t="inlineStr">
        <is>
          <t>YP24 WRD , Vehicle , Ford , Ranger</t>
        </is>
      </c>
      <c r="Q641" t="inlineStr">
        <is>
          <t>UKPN</t>
        </is>
      </c>
      <c r="R641" t="b">
        <v>0</v>
      </c>
    </row>
    <row r="642">
      <c r="A642" t="inlineStr">
        <is>
          <t>26 Jun 2025 / 7940 HRJ Tree Services LTD</t>
        </is>
      </c>
      <c r="B642" t="inlineStr">
        <is>
          <t>Utilities &amp; Inland Waterways</t>
        </is>
      </c>
      <c r="C642" t="inlineStr">
        <is>
          <t>UKPN</t>
        </is>
      </c>
      <c r="D642" t="inlineStr">
        <is>
          <t>Tracked Vehicle - Greenmech - Quad trak160 - 6632626</t>
        </is>
      </c>
      <c r="E642" t="inlineStr">
        <is>
          <t>Tracked Vehicle - Greenmech - Quad trak160 - 6632626</t>
        </is>
      </c>
      <c r="F642" t="inlineStr">
        <is>
          <t>Tracked Vehicle - Greenmech - Quad trak160 - 6632626</t>
        </is>
      </c>
      <c r="G642" t="inlineStr">
        <is>
          <t>Harry Wilson</t>
        </is>
      </c>
      <c r="H642" t="inlineStr">
        <is>
          <t>Equipment Trailer</t>
        </is>
      </c>
      <c r="I642" t="inlineStr">
        <is>
          <t>Daily/ Weekly Vehicle Inspection</t>
        </is>
      </c>
      <c r="J642" t="inlineStr">
        <is>
          <t>N/A</t>
        </is>
      </c>
      <c r="K642" t="inlineStr">
        <is>
          <t>7940 HRJ Tree Services LTD</t>
        </is>
      </c>
      <c r="L642" t="inlineStr">
        <is>
          <t>26/06/2025 07:07</t>
        </is>
      </c>
      <c r="M642" t="inlineStr">
        <is>
          <t>None</t>
        </is>
      </c>
      <c r="N642" t="inlineStr">
        <is>
          <t>&lt;p&gt;&lt;/p&gt;</t>
        </is>
      </c>
      <c r="O642" t="inlineStr"/>
      <c r="P642" t="inlineStr">
        <is>
          <t>Tracked Vehicle - Greenmech - Quad trak160 - 6632626</t>
        </is>
      </c>
      <c r="Q642" t="inlineStr">
        <is>
          <t>UKPN</t>
        </is>
      </c>
      <c r="R642" t="b">
        <v>0</v>
      </c>
    </row>
    <row r="643">
      <c r="A643" t="inlineStr">
        <is>
          <t>26 Jun 2025 / 7940 HRJ Tree Services LTD</t>
        </is>
      </c>
      <c r="B643" t="inlineStr">
        <is>
          <t>Utilities &amp; Inland Waterways</t>
        </is>
      </c>
      <c r="C643" t="inlineStr">
        <is>
          <t>UKPN</t>
        </is>
      </c>
      <c r="D643" t="inlineStr">
        <is>
          <t>Kx65fcp , 4x4 , Izuzu d max  , D max</t>
        </is>
      </c>
      <c r="E643" t="inlineStr">
        <is>
          <t>Kx65fcp , 4x4 , Izuzu d max  , D max</t>
        </is>
      </c>
      <c r="F643" t="inlineStr">
        <is>
          <t>Kx65fcp , 4x4 , Izuzu d max  , D max</t>
        </is>
      </c>
      <c r="G643" t="inlineStr">
        <is>
          <t xml:space="preserve">Jack Buchan </t>
        </is>
      </c>
      <c r="H643" t="inlineStr">
        <is>
          <t>4x4</t>
        </is>
      </c>
      <c r="I643" t="inlineStr">
        <is>
          <t>Daily/ Weekly Vehicle Inspection</t>
        </is>
      </c>
      <c r="J643" t="inlineStr">
        <is>
          <t>N/A</t>
        </is>
      </c>
      <c r="K643" t="inlineStr">
        <is>
          <t>7940 HRJ Tree Services LTD</t>
        </is>
      </c>
      <c r="L643" t="inlineStr">
        <is>
          <t>26/06/2025 07:08</t>
        </is>
      </c>
      <c r="M643" t="inlineStr">
        <is>
          <t>None</t>
        </is>
      </c>
      <c r="N643" t="inlineStr">
        <is>
          <t>&lt;p&gt;&lt;/p&gt;</t>
        </is>
      </c>
      <c r="O643" t="inlineStr"/>
      <c r="P643" t="inlineStr">
        <is>
          <t>Kx65fcp , 4x4 , Izuzu d max  , D max</t>
        </is>
      </c>
      <c r="Q643" t="inlineStr">
        <is>
          <t>UKPN</t>
        </is>
      </c>
      <c r="R643" t="b">
        <v>0</v>
      </c>
    </row>
    <row r="644">
      <c r="A644" t="inlineStr">
        <is>
          <t>26 Jun 2025 / 7940 HRJ Tree Services LTD</t>
        </is>
      </c>
      <c r="B644" t="inlineStr">
        <is>
          <t>Utilities &amp; Inland Waterways</t>
        </is>
      </c>
      <c r="C644" t="inlineStr">
        <is>
          <t>UKPN</t>
        </is>
      </c>
      <c r="D644" t="inlineStr">
        <is>
          <t>4x4 - Toyota  - Hilux - LL70GZP</t>
        </is>
      </c>
      <c r="E644" t="inlineStr">
        <is>
          <t>4x4 - Toyota  - Hilux - LL70GZP</t>
        </is>
      </c>
      <c r="F644" t="inlineStr">
        <is>
          <t>4x4 - Toyota  - Hilux - LL70GZP</t>
        </is>
      </c>
      <c r="G644" t="inlineStr">
        <is>
          <t xml:space="preserve">Harry Wilson </t>
        </is>
      </c>
      <c r="H644" t="inlineStr">
        <is>
          <t>4x4</t>
        </is>
      </c>
      <c r="I644" t="inlineStr">
        <is>
          <t>Daily/ Weekly Vehicle Inspection</t>
        </is>
      </c>
      <c r="J644" t="inlineStr">
        <is>
          <t>N/A</t>
        </is>
      </c>
      <c r="K644" t="inlineStr">
        <is>
          <t>7940 HRJ Tree Services LTD</t>
        </is>
      </c>
      <c r="L644" t="inlineStr">
        <is>
          <t>26/06/2025 07:09</t>
        </is>
      </c>
      <c r="M644" t="inlineStr">
        <is>
          <t>None</t>
        </is>
      </c>
      <c r="N644" t="inlineStr">
        <is>
          <t>&lt;p&gt;&lt;/p&gt;</t>
        </is>
      </c>
      <c r="O644" t="inlineStr"/>
      <c r="P644" t="inlineStr">
        <is>
          <t>4x4 - Toyota  - Hilux - LL70GZP</t>
        </is>
      </c>
      <c r="Q644" t="inlineStr">
        <is>
          <t>UKPN</t>
        </is>
      </c>
      <c r="R644" t="b">
        <v>0</v>
      </c>
    </row>
    <row r="645">
      <c r="A645" t="inlineStr">
        <is>
          <t>26 Jun 2025 / 7889 Tree Tech Suffolk Ltd</t>
        </is>
      </c>
      <c r="B645" t="inlineStr">
        <is>
          <t>Utilities &amp; Inland Waterways</t>
        </is>
      </c>
      <c r="C645" t="inlineStr">
        <is>
          <t>UKPN</t>
        </is>
      </c>
      <c r="D645" t="inlineStr">
        <is>
          <t>4x4 - Isuzu - D-max - NS03 TTSTow Chipper - Jenson - A530L - 5521063948Tipper - Nissan - Navara - NS02TTS</t>
        </is>
      </c>
      <c r="E645" t="inlineStr">
        <is>
          <t>4x4 - Isuzu - D-max - NS03 TTSTow Chipper - Jenson - A530L - 5521063948Tipper - Nissan - Navara - NS02TTS</t>
        </is>
      </c>
      <c r="F645" t="inlineStr">
        <is>
          <t>4x4 - Isuzu - D-max - NS03 TTSTow Chipper - Jenson - A530L - 5521063948Tipper - Nissan - Navara - NS02TTS</t>
        </is>
      </c>
      <c r="G645" t="inlineStr">
        <is>
          <t xml:space="preserve">Danny Appleby Nikki sparrow Nikki sparrow </t>
        </is>
      </c>
      <c r="H645" t="inlineStr">
        <is>
          <t>4x4Towed ChipperTipper</t>
        </is>
      </c>
      <c r="I645" t="inlineStr">
        <is>
          <t>Daily/ Weekly Vehicle Inspection</t>
        </is>
      </c>
      <c r="J645" t="inlineStr">
        <is>
          <t>N/A</t>
        </is>
      </c>
      <c r="K645" t="inlineStr">
        <is>
          <t>7889 Tree Tech Suffolk Ltd</t>
        </is>
      </c>
      <c r="L645" t="inlineStr">
        <is>
          <t>26/06/2025 08:06</t>
        </is>
      </c>
      <c r="M645" t="inlineStr">
        <is>
          <t>None</t>
        </is>
      </c>
      <c r="N645" t="inlineStr">
        <is>
          <t>&lt;p&gt;&lt;/p&gt;</t>
        </is>
      </c>
      <c r="O645" t="inlineStr"/>
      <c r="P645" t="inlineStr">
        <is>
          <t>4x4 - Isuzu - D-max - NS03 TTSTow Chipper - Jenson - A530L - 5521063948Tipper - Nissan - Navara - NS02TTS</t>
        </is>
      </c>
      <c r="Q645" t="inlineStr">
        <is>
          <t>UKPN</t>
        </is>
      </c>
      <c r="R645" t="b">
        <v>0</v>
      </c>
    </row>
    <row r="646">
      <c r="A646" t="inlineStr">
        <is>
          <t>26 Jun 2025 / 7996 M G Tree Surgery Ltd</t>
        </is>
      </c>
      <c r="B646" t="inlineStr">
        <is>
          <t>Utilities &amp; Inland Waterways</t>
        </is>
      </c>
      <c r="C646" t="inlineStr">
        <is>
          <t>UKPN</t>
        </is>
      </c>
      <c r="D646" t="inlineStr">
        <is>
          <t>GU13 WNL , MEWP , Land Rover , Defender 130</t>
        </is>
      </c>
      <c r="E646" t="inlineStr">
        <is>
          <t>GU13 WNL , MEWP , Land Rover , Defender 130</t>
        </is>
      </c>
      <c r="F646" t="inlineStr">
        <is>
          <t>GU13 WNL , MEWP , Land Rover , Defender 130</t>
        </is>
      </c>
      <c r="G646" t="inlineStr">
        <is>
          <t>Max gaylor</t>
        </is>
      </c>
      <c r="H646" t="inlineStr">
        <is>
          <t>4x4</t>
        </is>
      </c>
      <c r="I646" t="inlineStr">
        <is>
          <t>Daily/ Weekly Vehicle Inspection</t>
        </is>
      </c>
      <c r="J646" t="inlineStr">
        <is>
          <t>N/A</t>
        </is>
      </c>
      <c r="K646" t="inlineStr">
        <is>
          <t>7996 M G Tree Surgery Ltd</t>
        </is>
      </c>
      <c r="L646" t="inlineStr">
        <is>
          <t>26/06/2025 08:07</t>
        </is>
      </c>
      <c r="M646" t="inlineStr">
        <is>
          <t>None</t>
        </is>
      </c>
      <c r="N646" t="inlineStr">
        <is>
          <t>&lt;p&gt;&lt;/p&gt;</t>
        </is>
      </c>
      <c r="O646" t="inlineStr"/>
      <c r="P646" t="inlineStr">
        <is>
          <t>GU13 WNL , MEWP , Land Rover , Defender 130</t>
        </is>
      </c>
      <c r="Q646" t="inlineStr">
        <is>
          <t>UKPN</t>
        </is>
      </c>
      <c r="R646" t="b">
        <v>0</v>
      </c>
    </row>
    <row r="647">
      <c r="A647" t="inlineStr">
        <is>
          <t>24 Jun 2025 / 7996 M G Tree Surgery Ltd</t>
        </is>
      </c>
      <c r="B647" t="inlineStr">
        <is>
          <t>Utilities &amp; Inland Waterways</t>
        </is>
      </c>
      <c r="C647" t="inlineStr">
        <is>
          <t>UKPN</t>
        </is>
      </c>
      <c r="D647" t="inlineStr">
        <is>
          <t>GU13 WNL , MEWP , Land Rover , Defender 130</t>
        </is>
      </c>
      <c r="E647" t="inlineStr">
        <is>
          <t>GU13 WNL , MEWP , Land Rover , Defender 130</t>
        </is>
      </c>
      <c r="F647" t="inlineStr">
        <is>
          <t>GU13 WNL , MEWP , Land Rover , Defender 130</t>
        </is>
      </c>
      <c r="G647" t="inlineStr">
        <is>
          <t>Max gaylor</t>
        </is>
      </c>
      <c r="H647" t="inlineStr">
        <is>
          <t>4x4</t>
        </is>
      </c>
      <c r="I647" t="inlineStr">
        <is>
          <t>Daily/ Weekly Vehicle Inspection</t>
        </is>
      </c>
      <c r="J647" t="inlineStr">
        <is>
          <t>N/A</t>
        </is>
      </c>
      <c r="K647" t="inlineStr">
        <is>
          <t>7996 M G Tree Surgery Ltd</t>
        </is>
      </c>
      <c r="L647" t="inlineStr">
        <is>
          <t>26/06/2025 08:07</t>
        </is>
      </c>
      <c r="M647" t="inlineStr">
        <is>
          <t>None</t>
        </is>
      </c>
      <c r="N647" t="inlineStr">
        <is>
          <t>&lt;p&gt;&lt;/p&gt;</t>
        </is>
      </c>
      <c r="O647" t="inlineStr"/>
      <c r="P647" t="inlineStr">
        <is>
          <t>GU13 WNL , MEWP , Land Rover , Defender 130</t>
        </is>
      </c>
      <c r="Q647" t="inlineStr">
        <is>
          <t>UKPN</t>
        </is>
      </c>
      <c r="R647" t="b">
        <v>0</v>
      </c>
    </row>
    <row r="648">
      <c r="A648" t="inlineStr">
        <is>
          <t>26 Jun 2025 / 7806 Optimum Tree Services Ltd</t>
        </is>
      </c>
      <c r="B648" t="inlineStr">
        <is>
          <t>Utilities &amp; Inland Waterways</t>
        </is>
      </c>
      <c r="C648" t="inlineStr">
        <is>
          <t>UKPN</t>
        </is>
      </c>
      <c r="D648" t="inlineStr">
        <is>
          <t>4x4 - Toyota - Hilux - Ey64fyu</t>
        </is>
      </c>
      <c r="E648" t="inlineStr">
        <is>
          <t>4x4 - Toyota - Hilux - Ey64fyu</t>
        </is>
      </c>
      <c r="F648" t="inlineStr">
        <is>
          <t>4x4 - Toyota - Hilux - Ey64fyu</t>
        </is>
      </c>
      <c r="G648" t="inlineStr">
        <is>
          <t xml:space="preserve">Lewis Davies </t>
        </is>
      </c>
      <c r="H648" t="inlineStr">
        <is>
          <t>Pickup Truck</t>
        </is>
      </c>
      <c r="I648" t="inlineStr">
        <is>
          <t>Daily/ Weekly Vehicle Inspection</t>
        </is>
      </c>
      <c r="J648" t="inlineStr">
        <is>
          <t>N/A</t>
        </is>
      </c>
      <c r="K648" t="inlineStr">
        <is>
          <t>7806 Optimum Tree Services Ltd</t>
        </is>
      </c>
      <c r="L648" t="inlineStr">
        <is>
          <t>26/06/2025 08:08</t>
        </is>
      </c>
      <c r="M648" t="inlineStr">
        <is>
          <t>None</t>
        </is>
      </c>
      <c r="N648" t="inlineStr">
        <is>
          <t>&lt;p&gt;&lt;/p&gt;</t>
        </is>
      </c>
      <c r="O648" t="inlineStr"/>
      <c r="P648" t="inlineStr">
        <is>
          <t>4x4 - Toyota - Hilux - Ey64fyu</t>
        </is>
      </c>
      <c r="Q648" t="inlineStr">
        <is>
          <t>UKPN</t>
        </is>
      </c>
      <c r="R648" t="b">
        <v>0</v>
      </c>
    </row>
    <row r="649">
      <c r="A649" t="inlineStr">
        <is>
          <t>26 Jun 2025 / 7806 Optimum Tree Services Ltd</t>
        </is>
      </c>
      <c r="B649" t="inlineStr">
        <is>
          <t>Utilities &amp; Inland Waterways</t>
        </is>
      </c>
      <c r="C649" t="inlineStr">
        <is>
          <t>UKPN</t>
        </is>
      </c>
      <c r="D649" t="inlineStr">
        <is>
          <t>SA9TAPLAF27414263 , Trailer , Tow Mate , Plant Trailer</t>
        </is>
      </c>
      <c r="E649" t="inlineStr">
        <is>
          <t>SA9TAPLAF27414263 , Trailer , Tow Mate , Plant Trailer</t>
        </is>
      </c>
      <c r="F649" t="inlineStr">
        <is>
          <t>SA9TAPLAF27414263 , Trailer , Tow Mate , Plant Trailer</t>
        </is>
      </c>
      <c r="G649" t="inlineStr">
        <is>
          <t xml:space="preserve">Abraham Davies </t>
        </is>
      </c>
      <c r="H649" t="inlineStr">
        <is>
          <t>Plant Trailer</t>
        </is>
      </c>
      <c r="I649" t="inlineStr">
        <is>
          <t>Daily/ Weekly Vehicle Inspection</t>
        </is>
      </c>
      <c r="J649" t="inlineStr">
        <is>
          <t>N/A</t>
        </is>
      </c>
      <c r="K649" t="inlineStr">
        <is>
          <t>7806 Optimum Tree Services Ltd</t>
        </is>
      </c>
      <c r="L649" t="inlineStr">
        <is>
          <t>26/06/2025 08:08</t>
        </is>
      </c>
      <c r="M649" t="inlineStr">
        <is>
          <t>None</t>
        </is>
      </c>
      <c r="N649" t="inlineStr">
        <is>
          <t>&lt;p&gt;&lt;/p&gt;</t>
        </is>
      </c>
      <c r="O649" t="inlineStr"/>
      <c r="P649" t="inlineStr">
        <is>
          <t>SA9TAPLAF27414263 , Trailer , Tow Mate , Plant Trailer</t>
        </is>
      </c>
      <c r="Q649" t="inlineStr">
        <is>
          <t>UKPN</t>
        </is>
      </c>
      <c r="R649" t="b">
        <v>0</v>
      </c>
    </row>
    <row r="650">
      <c r="A650" t="inlineStr">
        <is>
          <t>26 Jun 2025 / 7806 Optimum Tree Services Ltd</t>
        </is>
      </c>
      <c r="B650" t="inlineStr">
        <is>
          <t>Utilities &amp; Inland Waterways</t>
        </is>
      </c>
      <c r="C650" t="inlineStr">
        <is>
          <t>UKPN</t>
        </is>
      </c>
      <c r="D650" t="inlineStr">
        <is>
          <t>WD14EVB , MEWP , Land Rover , Defender</t>
        </is>
      </c>
      <c r="E650" t="inlineStr">
        <is>
          <t>WD14EVB , MEWP , Land Rover , Defender</t>
        </is>
      </c>
      <c r="F650" t="inlineStr">
        <is>
          <t>WD14EVB , MEWP , Land Rover , Defender</t>
        </is>
      </c>
      <c r="G650" t="inlineStr">
        <is>
          <t xml:space="preserve">Abraham Davies </t>
        </is>
      </c>
      <c r="H650" t="inlineStr">
        <is>
          <t>4x4</t>
        </is>
      </c>
      <c r="I650" t="inlineStr">
        <is>
          <t>Daily/ Weekly Vehicle Inspection</t>
        </is>
      </c>
      <c r="J650" t="inlineStr">
        <is>
          <t>N/A</t>
        </is>
      </c>
      <c r="K650" t="inlineStr">
        <is>
          <t>7806 Optimum Tree Services Ltd</t>
        </is>
      </c>
      <c r="L650" t="inlineStr">
        <is>
          <t>26/06/2025 08:09</t>
        </is>
      </c>
      <c r="M650" t="inlineStr">
        <is>
          <t>None</t>
        </is>
      </c>
      <c r="N650" t="inlineStr">
        <is>
          <t>&lt;p&gt;&lt;/p&gt;</t>
        </is>
      </c>
      <c r="O650" t="inlineStr"/>
      <c r="P650" t="inlineStr">
        <is>
          <t>WD14EVB , MEWP , Land Rover , Defender</t>
        </is>
      </c>
      <c r="Q650" t="inlineStr">
        <is>
          <t>UKPN</t>
        </is>
      </c>
      <c r="R650" t="b">
        <v>0</v>
      </c>
    </row>
    <row r="651">
      <c r="A651" t="inlineStr">
        <is>
          <t>26 Jun 2025 / 7800 MAC Tree Surgery and Fencing Ltd</t>
        </is>
      </c>
      <c r="B651" t="inlineStr">
        <is>
          <t>Utilities &amp; Inland Waterways</t>
        </is>
      </c>
      <c r="C651" t="inlineStr">
        <is>
          <t>UKPN</t>
        </is>
      </c>
      <c r="D651" t="inlineStr">
        <is>
          <t>AY68DAA , 4x4 , Izuzu , Dmax</t>
        </is>
      </c>
      <c r="E651" t="inlineStr">
        <is>
          <t>AY68DAA , 4x4 , Izuzu , Dmax</t>
        </is>
      </c>
      <c r="F651" t="inlineStr">
        <is>
          <t>AY68DAA , 4x4 , Izuzu , Dmax</t>
        </is>
      </c>
      <c r="G651" t="inlineStr">
        <is>
          <t xml:space="preserve">Lewis </t>
        </is>
      </c>
      <c r="H651" t="inlineStr">
        <is>
          <t>4x4</t>
        </is>
      </c>
      <c r="I651" t="inlineStr">
        <is>
          <t>Daily/ Weekly Vehicle Inspection</t>
        </is>
      </c>
      <c r="J651" t="inlineStr">
        <is>
          <t>N/A</t>
        </is>
      </c>
      <c r="K651" t="inlineStr">
        <is>
          <t>7800 MAC Tree Surgery and Fencing Ltd</t>
        </is>
      </c>
      <c r="L651" t="inlineStr">
        <is>
          <t>26/06/2025 08:10</t>
        </is>
      </c>
      <c r="M651" t="inlineStr">
        <is>
          <t>None</t>
        </is>
      </c>
      <c r="N651" t="inlineStr">
        <is>
          <t>&lt;p&gt;&lt;/p&gt;</t>
        </is>
      </c>
      <c r="O651" t="inlineStr">
        <is>
          <t>Confirm that you have checked this vehicle as per the guidance document and the vehicle is safe and roadworthy:Slight crack in windscreen but doesn't effect vision
-</t>
        </is>
      </c>
      <c r="P651" t="inlineStr">
        <is>
          <t>AY68DAA , 4x4 , Izuzu , Dmax</t>
        </is>
      </c>
      <c r="Q651" t="inlineStr">
        <is>
          <t>UKPN</t>
        </is>
      </c>
      <c r="R651" t="b">
        <v>0</v>
      </c>
    </row>
    <row r="652">
      <c r="A652" t="inlineStr">
        <is>
          <t>26 Jun 2025 / 7800 MAC Tree Surgery and Fencing Ltd</t>
        </is>
      </c>
      <c r="B652" t="inlineStr">
        <is>
          <t>Utilities &amp; Inland Waterways</t>
        </is>
      </c>
      <c r="C652" t="inlineStr">
        <is>
          <t>UKPN</t>
        </is>
      </c>
      <c r="D652" t="inlineStr">
        <is>
          <t>205143043-A1 , Tow Chipper , Timberwolf , TW150</t>
        </is>
      </c>
      <c r="E652" t="inlineStr">
        <is>
          <t>205143043-A1 , Tow Chipper , Timberwolf , TW150</t>
        </is>
      </c>
      <c r="F652" t="inlineStr">
        <is>
          <t>205143043-A1 , Tow Chipper , Timberwolf , TW150</t>
        </is>
      </c>
      <c r="G652" t="inlineStr">
        <is>
          <t xml:space="preserve">Lewis mac </t>
        </is>
      </c>
      <c r="H652" t="inlineStr">
        <is>
          <t>Towed Chipper</t>
        </is>
      </c>
      <c r="I652" t="inlineStr">
        <is>
          <t>Daily/ Weekly Vehicle Inspection</t>
        </is>
      </c>
      <c r="J652" t="inlineStr">
        <is>
          <t>N/A</t>
        </is>
      </c>
      <c r="K652" t="inlineStr">
        <is>
          <t>7800 MAC Tree Surgery and Fencing Ltd</t>
        </is>
      </c>
      <c r="L652" t="inlineStr">
        <is>
          <t>26/06/2025 08:11</t>
        </is>
      </c>
      <c r="M652" t="inlineStr">
        <is>
          <t>None</t>
        </is>
      </c>
      <c r="N652" t="inlineStr">
        <is>
          <t>&lt;p&gt;&lt;/p&gt;</t>
        </is>
      </c>
      <c r="O652" t="inlineStr"/>
      <c r="P652" t="inlineStr">
        <is>
          <t>205143043-A1 , Tow Chipper , Timberwolf , TW150</t>
        </is>
      </c>
      <c r="Q652" t="inlineStr">
        <is>
          <t>UKPN</t>
        </is>
      </c>
      <c r="R652" t="b">
        <v>0</v>
      </c>
    </row>
    <row r="653">
      <c r="A653" t="inlineStr">
        <is>
          <t>26 Jun 2025 / Anthony Gale</t>
        </is>
      </c>
      <c r="B653" t="inlineStr">
        <is>
          <t>Utilities &amp; Inland Waterways</t>
        </is>
      </c>
      <c r="C653" t="inlineStr">
        <is>
          <t>UKPN</t>
        </is>
      </c>
      <c r="D653" t="inlineStr">
        <is>
          <t>PE07 HGL , Vehicle , Mitsubishi , L200 K74</t>
        </is>
      </c>
      <c r="E653" t="inlineStr">
        <is>
          <t>PE07 HGL , Vehicle , Mitsubishi , L200 K74</t>
        </is>
      </c>
      <c r="F653" t="inlineStr">
        <is>
          <t>PE07 HGL , Vehicle , Mitsubishi , L200 K74</t>
        </is>
      </c>
      <c r="G653" t="inlineStr">
        <is>
          <t>Anthony Gale</t>
        </is>
      </c>
      <c r="H653" t="inlineStr">
        <is>
          <t>Pickup Truck</t>
        </is>
      </c>
      <c r="I653" t="inlineStr">
        <is>
          <t>Daily/ Weekly Vehicle Inspection</t>
        </is>
      </c>
      <c r="J653" t="inlineStr">
        <is>
          <t>N/A</t>
        </is>
      </c>
      <c r="K653" t="inlineStr">
        <is>
          <t>7996 M G Tree Surgery Ltd 1</t>
        </is>
      </c>
      <c r="L653" t="inlineStr">
        <is>
          <t>26/06/2025 08:12</t>
        </is>
      </c>
      <c r="M653" t="inlineStr">
        <is>
          <t>None</t>
        </is>
      </c>
      <c r="N653" t="inlineStr">
        <is>
          <t>&lt;p&gt;&lt;/p&gt;</t>
        </is>
      </c>
      <c r="O653" t="inlineStr"/>
      <c r="P653" t="inlineStr">
        <is>
          <t>PE07 HGL , Vehicle , Mitsubishi , L200 K74</t>
        </is>
      </c>
      <c r="Q653" t="inlineStr">
        <is>
          <t>UKPN</t>
        </is>
      </c>
      <c r="R653" t="b">
        <v>0</v>
      </c>
    </row>
    <row r="654">
      <c r="A654" t="inlineStr">
        <is>
          <t>26 Jun 2025 / 7186 Eastwoodbury Tree Services Ltd</t>
        </is>
      </c>
      <c r="B654" t="inlineStr">
        <is>
          <t>Utilities &amp; Inland Waterways</t>
        </is>
      </c>
      <c r="C654" t="inlineStr">
        <is>
          <t>UKPN</t>
        </is>
      </c>
      <c r="D654" t="inlineStr">
        <is>
          <t>FN600XM , 4x4 , Land Rover  , Defender</t>
        </is>
      </c>
      <c r="E654" t="inlineStr">
        <is>
          <t>FN600XM , 4x4 , Land Rover  , Defender</t>
        </is>
      </c>
      <c r="F654" t="inlineStr">
        <is>
          <t>FN600XM , 4x4 , Land Rover  , Defender</t>
        </is>
      </c>
      <c r="G654" t="inlineStr">
        <is>
          <t xml:space="preserve">Jay Denkmayer </t>
        </is>
      </c>
      <c r="H654" t="inlineStr">
        <is>
          <t>4x4</t>
        </is>
      </c>
      <c r="I654" t="inlineStr">
        <is>
          <t>Daily/ Weekly Vehicle Inspection</t>
        </is>
      </c>
      <c r="J654" t="inlineStr">
        <is>
          <t>N/A</t>
        </is>
      </c>
      <c r="K654" t="inlineStr">
        <is>
          <t>7186 Eastwoodbury Tree Services Ltd</t>
        </is>
      </c>
      <c r="L654" t="inlineStr">
        <is>
          <t>26/06/2025 08:14</t>
        </is>
      </c>
      <c r="M654" t="inlineStr">
        <is>
          <t>None</t>
        </is>
      </c>
      <c r="N654" t="inlineStr">
        <is>
          <t>&lt;p&gt;&lt;/p&gt;</t>
        </is>
      </c>
      <c r="O654" t="inlineStr"/>
      <c r="P654" t="inlineStr">
        <is>
          <t>FN600XM , 4x4 , Land Rover  , Defender</t>
        </is>
      </c>
      <c r="Q654" t="inlineStr">
        <is>
          <t>UKPN</t>
        </is>
      </c>
      <c r="R654" t="b">
        <v>0</v>
      </c>
    </row>
    <row r="655">
      <c r="A655" t="inlineStr">
        <is>
          <t>26 Jun 2025 / 7186 Eastwoodbury Tree Services Ltd</t>
        </is>
      </c>
      <c r="B655" t="inlineStr">
        <is>
          <t>Utilities &amp; Inland Waterways</t>
        </is>
      </c>
      <c r="C655" t="inlineStr">
        <is>
          <t>UKPN</t>
        </is>
      </c>
      <c r="D655" t="inlineStr">
        <is>
          <t>AO57BPF , 4x4 , Santana  , Ps10</t>
        </is>
      </c>
      <c r="E655" t="inlineStr">
        <is>
          <t>AO57BPF , 4x4 , Santana  , Ps10</t>
        </is>
      </c>
      <c r="F655" t="inlineStr">
        <is>
          <t>AO57BPF , 4x4 , Santana  , Ps10</t>
        </is>
      </c>
      <c r="G655" t="inlineStr">
        <is>
          <t xml:space="preserve">Dan Gilbert </t>
        </is>
      </c>
      <c r="H655" t="inlineStr">
        <is>
          <t>4x4</t>
        </is>
      </c>
      <c r="I655" t="inlineStr">
        <is>
          <t>Daily/ Weekly Vehicle Inspection</t>
        </is>
      </c>
      <c r="J655" t="inlineStr">
        <is>
          <t>N/A</t>
        </is>
      </c>
      <c r="K655" t="inlineStr">
        <is>
          <t>7186 Eastwoodbury Tree Services Ltd</t>
        </is>
      </c>
      <c r="L655" t="inlineStr">
        <is>
          <t>26/06/2025 08:14</t>
        </is>
      </c>
      <c r="M655" t="inlineStr">
        <is>
          <t>None</t>
        </is>
      </c>
      <c r="N655" t="inlineStr">
        <is>
          <t>&lt;p&gt;&lt;/p&gt;</t>
        </is>
      </c>
      <c r="O655" t="inlineStr"/>
      <c r="P655" t="inlineStr">
        <is>
          <t>AO57BPF , 4x4 , Santana  , Ps10</t>
        </is>
      </c>
      <c r="Q655" t="inlineStr">
        <is>
          <t>UKPN</t>
        </is>
      </c>
      <c r="R655" t="b">
        <v>0</v>
      </c>
    </row>
    <row r="656">
      <c r="A656" t="inlineStr">
        <is>
          <t>26 Jun 2025 / Mathew Dunn</t>
        </is>
      </c>
      <c r="B656" t="inlineStr">
        <is>
          <t>Utilities &amp; Inland Waterways</t>
        </is>
      </c>
      <c r="C656" t="inlineStr">
        <is>
          <t>SSE</t>
        </is>
      </c>
      <c r="D656" t="inlineStr"/>
      <c r="E656" t="inlineStr"/>
      <c r="F656" t="inlineStr"/>
      <c r="G656" t="inlineStr"/>
      <c r="H656" t="inlineStr"/>
      <c r="I656" t="inlineStr">
        <is>
          <t>Add to Vehicle to the GC Vehicle List</t>
        </is>
      </c>
      <c r="J656" t="inlineStr">
        <is>
          <t>N/A</t>
        </is>
      </c>
      <c r="K656" t="inlineStr">
        <is>
          <t>Mathew Dunn</t>
        </is>
      </c>
      <c r="L656" t="inlineStr">
        <is>
          <t>26/06/2025 10:06</t>
        </is>
      </c>
      <c r="M656" t="inlineStr">
        <is>
          <t>None</t>
        </is>
      </c>
      <c r="N656" t="inlineStr">
        <is>
          <t>&lt;p&gt;&lt;/p&gt;</t>
        </is>
      </c>
      <c r="O656" t="inlineStr"/>
      <c r="P656" t="inlineStr"/>
      <c r="Q656" t="inlineStr">
        <is>
          <t>SSE</t>
        </is>
      </c>
      <c r="R656" t="b">
        <v>0</v>
      </c>
    </row>
    <row r="657">
      <c r="A657" t="inlineStr">
        <is>
          <t>26 Jun 2025 / 3098 D &amp; R Landscapes (PEND Arb Rail)</t>
        </is>
      </c>
      <c r="B657" t="inlineStr">
        <is>
          <t>Utilities &amp; Inland Waterways</t>
        </is>
      </c>
      <c r="C657" t="inlineStr">
        <is>
          <t>UKPN</t>
        </is>
      </c>
      <c r="D657" t="inlineStr">
        <is>
          <t>DE68XHA , Tipper , Isuzu , Grafter</t>
        </is>
      </c>
      <c r="E657" t="inlineStr">
        <is>
          <t>DE68XHA , Tipper , Isuzu , Grafter</t>
        </is>
      </c>
      <c r="F657" t="inlineStr">
        <is>
          <t>DE68XHA , Tipper , Isuzu , Grafter</t>
        </is>
      </c>
      <c r="G657" t="inlineStr">
        <is>
          <t>Jason</t>
        </is>
      </c>
      <c r="H657" t="inlineStr">
        <is>
          <t>Tipper</t>
        </is>
      </c>
      <c r="I657" t="inlineStr">
        <is>
          <t>Daily/ Weekly Vehicle Inspection</t>
        </is>
      </c>
      <c r="J657" t="inlineStr">
        <is>
          <t>N/A</t>
        </is>
      </c>
      <c r="K657" t="inlineStr">
        <is>
          <t>3098 D &amp; R Landscapes (PEND Arb Rail)</t>
        </is>
      </c>
      <c r="L657" t="inlineStr">
        <is>
          <t>26/06/2025 10:07</t>
        </is>
      </c>
      <c r="M657" t="inlineStr">
        <is>
          <t>None</t>
        </is>
      </c>
      <c r="N657" t="inlineStr">
        <is>
          <t>&lt;p&gt;&lt;/p&gt;</t>
        </is>
      </c>
      <c r="O657" t="inlineStr"/>
      <c r="P657" t="inlineStr">
        <is>
          <t>DE68XHA , Tipper , Isuzu , Grafter</t>
        </is>
      </c>
      <c r="Q657" t="inlineStr">
        <is>
          <t>UKPN</t>
        </is>
      </c>
      <c r="R657" t="b">
        <v>0</v>
      </c>
    </row>
    <row r="658">
      <c r="A658" t="inlineStr">
        <is>
          <t>26 Jun 2025 / 6617 Ashdown Tree Limited</t>
        </is>
      </c>
      <c r="B658" t="inlineStr">
        <is>
          <t>Utilities &amp; Inland Waterways</t>
        </is>
      </c>
      <c r="C658" t="inlineStr">
        <is>
          <t>UKPN</t>
        </is>
      </c>
      <c r="D658" t="inlineStr">
        <is>
          <t>TR66BOY , Tipper , Ford , Transit</t>
        </is>
      </c>
      <c r="E658" t="inlineStr">
        <is>
          <t>TR66BOY , Tipper , Ford , Transit</t>
        </is>
      </c>
      <c r="F658" t="inlineStr">
        <is>
          <t>TR66BOY , Tipper , Ford , Transit</t>
        </is>
      </c>
      <c r="G658" t="inlineStr">
        <is>
          <t xml:space="preserve">D Watkins </t>
        </is>
      </c>
      <c r="H658" t="inlineStr">
        <is>
          <t>Tipper</t>
        </is>
      </c>
      <c r="I658" t="inlineStr">
        <is>
          <t>Daily/ Weekly Vehicle Inspection</t>
        </is>
      </c>
      <c r="J658" t="inlineStr">
        <is>
          <t>N/A</t>
        </is>
      </c>
      <c r="K658" t="inlineStr">
        <is>
          <t>6617 Ashdown Tree Limited</t>
        </is>
      </c>
      <c r="L658" t="inlineStr">
        <is>
          <t>26/06/2025 11:05</t>
        </is>
      </c>
      <c r="M658" t="inlineStr">
        <is>
          <t>None</t>
        </is>
      </c>
      <c r="N658" t="inlineStr">
        <is>
          <t>&lt;p&gt;&lt;a href="https&amp;#58;//apps.powerapps.com/play/2d567dc9-5d50-4629-a077-f7ccbff3e239?tenantId=3ef9f654-aa07-41b8-88ad-a411c62bd12c&amp;amp;Action=Open&amp;amp;Actionno=6351"&gt;Add service records for av69 lvr&lt;/a&gt;&lt;br&gt;&lt;/p&gt;</t>
        </is>
      </c>
      <c r="O658" t="inlineStr">
        <is>
          <t>Select Vehicle:New tipper av69lvr</t>
        </is>
      </c>
      <c r="P658" t="inlineStr">
        <is>
          <t>TR66BOY , Tipper , Ford , Transit</t>
        </is>
      </c>
      <c r="Q658" t="inlineStr">
        <is>
          <t>UKPN</t>
        </is>
      </c>
      <c r="R658" t="b">
        <v>0</v>
      </c>
    </row>
    <row r="659">
      <c r="A659" t="inlineStr">
        <is>
          <t>26 Jun 2025 / 6617 Ashdown Tree Limited</t>
        </is>
      </c>
      <c r="B659" t="inlineStr">
        <is>
          <t>Utilities &amp; Inland Waterways</t>
        </is>
      </c>
      <c r="C659" t="inlineStr">
        <is>
          <t>UKPN</t>
        </is>
      </c>
      <c r="D659" t="inlineStr"/>
      <c r="E659" t="inlineStr"/>
      <c r="F659" t="inlineStr"/>
      <c r="G659" t="inlineStr"/>
      <c r="H659" t="inlineStr"/>
      <c r="I659" t="inlineStr">
        <is>
          <t>Add to Vehicle to the GC Vehicle List</t>
        </is>
      </c>
      <c r="J659" t="inlineStr">
        <is>
          <t>N/A</t>
        </is>
      </c>
      <c r="K659" t="inlineStr">
        <is>
          <t>6617 Ashdown Tree Limited</t>
        </is>
      </c>
      <c r="L659" t="inlineStr">
        <is>
          <t>26/06/2025 11:06</t>
        </is>
      </c>
      <c r="M659" t="inlineStr">
        <is>
          <t>None</t>
        </is>
      </c>
      <c r="N659" t="inlineStr">
        <is>
          <t>&lt;p&gt;&lt;/p&gt;</t>
        </is>
      </c>
      <c r="O659" t="inlineStr"/>
      <c r="P659" t="inlineStr"/>
      <c r="Q659" t="inlineStr">
        <is>
          <t>UKPN</t>
        </is>
      </c>
      <c r="R659" t="b">
        <v>0</v>
      </c>
    </row>
    <row r="660">
      <c r="A660" t="inlineStr">
        <is>
          <t>26 Jun 2025 / Philip Shaw</t>
        </is>
      </c>
      <c r="B660" t="inlineStr">
        <is>
          <t>Utilities &amp; Inland Waterways</t>
        </is>
      </c>
      <c r="C660" t="inlineStr">
        <is>
          <t>NGED</t>
        </is>
      </c>
      <c r="D660" t="inlineStr">
        <is>
          <t>AF22TZO , Car - Electric , Tesla , Model 3 Long Range AWD</t>
        </is>
      </c>
      <c r="E660" t="inlineStr">
        <is>
          <t>AF22TZO , Car - Electric , Tesla , Model 3 Long Range AWD</t>
        </is>
      </c>
      <c r="F660" t="inlineStr">
        <is>
          <t>AF22TZO , Car - Electric , Tesla , Model 3 Long Range AWD</t>
        </is>
      </c>
      <c r="G660" t="inlineStr">
        <is>
          <t xml:space="preserve">Phil shaw </t>
        </is>
      </c>
      <c r="H660" t="inlineStr">
        <is>
          <t>Car - Electric</t>
        </is>
      </c>
      <c r="I660" t="inlineStr">
        <is>
          <t>Daily/ Weekly Vehicle Inspection</t>
        </is>
      </c>
      <c r="J660" t="inlineStr">
        <is>
          <t>N/A</t>
        </is>
      </c>
      <c r="K660" t="inlineStr">
        <is>
          <t>Philip Shaw</t>
        </is>
      </c>
      <c r="L660" t="inlineStr">
        <is>
          <t>26/06/2025 22:10</t>
        </is>
      </c>
      <c r="M660" t="inlineStr">
        <is>
          <t>None</t>
        </is>
      </c>
      <c r="N660" t="inlineStr">
        <is>
          <t>&lt;p&gt;&lt;/p&gt;</t>
        </is>
      </c>
      <c r="O660" t="inlineStr"/>
      <c r="P660" t="inlineStr">
        <is>
          <t>AF22TZO , Car - Electric , Tesla , Model 3 Long Range AWD</t>
        </is>
      </c>
      <c r="Q660" t="inlineStr">
        <is>
          <t>NGED</t>
        </is>
      </c>
      <c r="R660" t="b">
        <v>0</v>
      </c>
    </row>
    <row r="661">
      <c r="A661" t="inlineStr">
        <is>
          <t>27 Jun 2025 / 7940 HRJ Tree Services LTD</t>
        </is>
      </c>
      <c r="B661" t="inlineStr">
        <is>
          <t>Utilities &amp; Inland Waterways</t>
        </is>
      </c>
      <c r="C661" t="inlineStr">
        <is>
          <t>UKPN</t>
        </is>
      </c>
      <c r="D661" t="inlineStr">
        <is>
          <t>Kx65fcp , 4x4 , Izuzu d max  , D max</t>
        </is>
      </c>
      <c r="E661" t="inlineStr">
        <is>
          <t>Kx65fcp , 4x4 , Izuzu d max  , D max</t>
        </is>
      </c>
      <c r="F661" t="inlineStr">
        <is>
          <t>Kx65fcp , 4x4 , Izuzu d max  , D max</t>
        </is>
      </c>
      <c r="G661" t="inlineStr">
        <is>
          <t xml:space="preserve">Jack Buchan </t>
        </is>
      </c>
      <c r="H661" t="inlineStr">
        <is>
          <t>4x4</t>
        </is>
      </c>
      <c r="I661" t="inlineStr">
        <is>
          <t>Daily/ Weekly Vehicle Inspection</t>
        </is>
      </c>
      <c r="J661" t="inlineStr">
        <is>
          <t>N/A</t>
        </is>
      </c>
      <c r="K661" t="inlineStr">
        <is>
          <t>7940 HRJ Tree Services LTD</t>
        </is>
      </c>
      <c r="L661" t="inlineStr">
        <is>
          <t>27/06/2025 07:06</t>
        </is>
      </c>
      <c r="M661" t="inlineStr">
        <is>
          <t>None</t>
        </is>
      </c>
      <c r="N661" t="inlineStr">
        <is>
          <t>&lt;p&gt;&lt;/p&gt;</t>
        </is>
      </c>
      <c r="O661" t="inlineStr"/>
      <c r="P661" t="inlineStr">
        <is>
          <t>Kx65fcp , 4x4 , Izuzu d max  , D max</t>
        </is>
      </c>
      <c r="Q661" t="inlineStr">
        <is>
          <t>UKPN</t>
        </is>
      </c>
      <c r="R661" t="b">
        <v>0</v>
      </c>
    </row>
    <row r="662">
      <c r="A662" t="inlineStr">
        <is>
          <t>27 Jun 2025 / 7940 HRJ Tree Services LTD</t>
        </is>
      </c>
      <c r="B662" t="inlineStr">
        <is>
          <t>Utilities &amp; Inland Waterways</t>
        </is>
      </c>
      <c r="C662" t="inlineStr">
        <is>
          <t>UKPN</t>
        </is>
      </c>
      <c r="D662" t="inlineStr">
        <is>
          <t>4x4 - Toyota  - Hilux - LL70GZP</t>
        </is>
      </c>
      <c r="E662" t="inlineStr">
        <is>
          <t>4x4 - Toyota  - Hilux - LL70GZP</t>
        </is>
      </c>
      <c r="F662" t="inlineStr">
        <is>
          <t>4x4 - Toyota  - Hilux - LL70GZP</t>
        </is>
      </c>
      <c r="G662" t="inlineStr">
        <is>
          <t>Harry Wilson</t>
        </is>
      </c>
      <c r="H662" t="inlineStr">
        <is>
          <t>4x4</t>
        </is>
      </c>
      <c r="I662" t="inlineStr">
        <is>
          <t>Daily/ Weekly Vehicle Inspection</t>
        </is>
      </c>
      <c r="J662" t="inlineStr">
        <is>
          <t>N/A</t>
        </is>
      </c>
      <c r="K662" t="inlineStr">
        <is>
          <t>7940 HRJ Tree Services LTD</t>
        </is>
      </c>
      <c r="L662" t="inlineStr">
        <is>
          <t>27/06/2025 07:07</t>
        </is>
      </c>
      <c r="M662" t="inlineStr">
        <is>
          <t>None</t>
        </is>
      </c>
      <c r="N662" t="inlineStr">
        <is>
          <t>&lt;p&gt;&lt;/p&gt;</t>
        </is>
      </c>
      <c r="O662" t="inlineStr"/>
      <c r="P662" t="inlineStr">
        <is>
          <t>4x4 - Toyota  - Hilux - LL70GZP</t>
        </is>
      </c>
      <c r="Q662" t="inlineStr">
        <is>
          <t>UKPN</t>
        </is>
      </c>
      <c r="R662" t="b">
        <v>0</v>
      </c>
    </row>
    <row r="663">
      <c r="A663" t="inlineStr">
        <is>
          <t>27 Jun 2025 / 7996 M G Tree Surgery Ltd</t>
        </is>
      </c>
      <c r="B663" t="inlineStr">
        <is>
          <t>Utilities &amp; Inland Waterways</t>
        </is>
      </c>
      <c r="C663" t="inlineStr">
        <is>
          <t>UKPN</t>
        </is>
      </c>
      <c r="D663" t="inlineStr">
        <is>
          <t>GU13 WNL , MEWP , Land Rover , Defender 130</t>
        </is>
      </c>
      <c r="E663" t="inlineStr">
        <is>
          <t>GU13 WNL , MEWP , Land Rover , Defender 130</t>
        </is>
      </c>
      <c r="F663" t="inlineStr">
        <is>
          <t>GU13 WNL , MEWP , Land Rover , Defender 130</t>
        </is>
      </c>
      <c r="G663" t="inlineStr">
        <is>
          <t>Max gaylor</t>
        </is>
      </c>
      <c r="H663" t="inlineStr">
        <is>
          <t>4x4</t>
        </is>
      </c>
      <c r="I663" t="inlineStr">
        <is>
          <t>Daily/ Weekly Vehicle Inspection</t>
        </is>
      </c>
      <c r="J663" t="inlineStr">
        <is>
          <t>N/A</t>
        </is>
      </c>
      <c r="K663" t="inlineStr">
        <is>
          <t>7996 M G Tree Surgery Ltd</t>
        </is>
      </c>
      <c r="L663" t="inlineStr">
        <is>
          <t>27/06/2025 08:06</t>
        </is>
      </c>
      <c r="M663" t="inlineStr">
        <is>
          <t>None</t>
        </is>
      </c>
      <c r="N663" t="inlineStr">
        <is>
          <t>&lt;p&gt;&lt;/p&gt;</t>
        </is>
      </c>
      <c r="O663" t="inlineStr"/>
      <c r="P663" t="inlineStr">
        <is>
          <t>GU13 WNL , MEWP , Land Rover , Defender 130</t>
        </is>
      </c>
      <c r="Q663" t="inlineStr">
        <is>
          <t>UKPN</t>
        </is>
      </c>
      <c r="R663" t="b">
        <v>0</v>
      </c>
    </row>
    <row r="664">
      <c r="A664" t="inlineStr">
        <is>
          <t>27 Jun 2025 / 7889 Tree Tech Suffolk Ltd</t>
        </is>
      </c>
      <c r="B664" t="inlineStr">
        <is>
          <t>Utilities &amp; Inland Waterways</t>
        </is>
      </c>
      <c r="C664" t="inlineStr">
        <is>
          <t>UKPN</t>
        </is>
      </c>
      <c r="D664" t="inlineStr">
        <is>
          <t>4x4 - Isuzu - D-max - NS03 TTSTow Chipper - Jenson - A530L - 5521063948Tipper - Nissan - Navara - NS02TTS</t>
        </is>
      </c>
      <c r="E664" t="inlineStr">
        <is>
          <t>4x4 - Isuzu - D-max - NS03 TTSTow Chipper - Jenson - A530L - 5521063948Tipper - Nissan - Navara - NS02TTS</t>
        </is>
      </c>
      <c r="F664" t="inlineStr">
        <is>
          <t>4x4 - Isuzu - D-max - NS03 TTSTow Chipper - Jenson - A530L - 5521063948Tipper - Nissan - Navara - NS02TTS</t>
        </is>
      </c>
      <c r="G664" t="inlineStr">
        <is>
          <t xml:space="preserve">Danny Appleby Nikki sparrow Nikki sparrow </t>
        </is>
      </c>
      <c r="H664" t="inlineStr">
        <is>
          <t>4x4Towed ChipperTipper</t>
        </is>
      </c>
      <c r="I664" t="inlineStr">
        <is>
          <t>Daily/ Weekly Vehicle Inspection</t>
        </is>
      </c>
      <c r="J664" t="inlineStr">
        <is>
          <t>N/A</t>
        </is>
      </c>
      <c r="K664" t="inlineStr">
        <is>
          <t>7889 Tree Tech Suffolk Ltd</t>
        </is>
      </c>
      <c r="L664" t="inlineStr">
        <is>
          <t>27/06/2025 08:06</t>
        </is>
      </c>
      <c r="M664" t="inlineStr">
        <is>
          <t>None</t>
        </is>
      </c>
      <c r="N664" t="inlineStr">
        <is>
          <t>&lt;p&gt;&lt;/p&gt;</t>
        </is>
      </c>
      <c r="O664" t="inlineStr"/>
      <c r="P664" t="inlineStr">
        <is>
          <t>4x4 - Isuzu - D-max - NS03 TTSTow Chipper - Jenson - A530L - 5521063948Tipper - Nissan - Navara - NS02TTS</t>
        </is>
      </c>
      <c r="Q664" t="inlineStr">
        <is>
          <t>UKPN</t>
        </is>
      </c>
      <c r="R664" t="b">
        <v>0</v>
      </c>
    </row>
    <row r="665">
      <c r="A665" t="inlineStr">
        <is>
          <t>26 Jun 2025 / Mathew Dunn</t>
        </is>
      </c>
      <c r="B665" t="inlineStr">
        <is>
          <t>Utilities &amp; Inland Waterways</t>
        </is>
      </c>
      <c r="C665" t="inlineStr">
        <is>
          <t>SSE</t>
        </is>
      </c>
      <c r="D665" t="inlineStr"/>
      <c r="E665" t="inlineStr"/>
      <c r="F665" t="inlineStr"/>
      <c r="G665" t="inlineStr"/>
      <c r="H665" t="inlineStr"/>
      <c r="I665" t="inlineStr">
        <is>
          <t>Add to Vehicle to the GC Vehicle List</t>
        </is>
      </c>
      <c r="J665" t="inlineStr">
        <is>
          <t>N/A</t>
        </is>
      </c>
      <c r="K665" t="inlineStr">
        <is>
          <t>Mathew Dunn</t>
        </is>
      </c>
      <c r="L665" t="inlineStr">
        <is>
          <t>27/06/2025 08:07</t>
        </is>
      </c>
      <c r="M665" t="inlineStr">
        <is>
          <t>None</t>
        </is>
      </c>
      <c r="N665" t="inlineStr">
        <is>
          <t>&lt;p&gt;&lt;/p&gt;</t>
        </is>
      </c>
      <c r="O665" t="inlineStr"/>
      <c r="P665" t="inlineStr"/>
      <c r="Q665" t="inlineStr">
        <is>
          <t>SSE</t>
        </is>
      </c>
      <c r="R665" t="b">
        <v>0</v>
      </c>
    </row>
    <row r="666">
      <c r="A666" t="inlineStr">
        <is>
          <t>27 Jun 2025 / 7186 Eastwoodbury Tree Services Ltd</t>
        </is>
      </c>
      <c r="B666" t="inlineStr">
        <is>
          <t>Utilities &amp; Inland Waterways</t>
        </is>
      </c>
      <c r="C666" t="inlineStr">
        <is>
          <t>UKPN</t>
        </is>
      </c>
      <c r="D666" t="inlineStr">
        <is>
          <t>FN600XM , 4x4 , Land Rover  , Defender</t>
        </is>
      </c>
      <c r="E666" t="inlineStr">
        <is>
          <t>FN600XM , 4x4 , Land Rover  , Defender</t>
        </is>
      </c>
      <c r="F666" t="inlineStr">
        <is>
          <t>FN600XM , 4x4 , Land Rover  , Defender</t>
        </is>
      </c>
      <c r="G666" t="inlineStr">
        <is>
          <t xml:space="preserve">Dan Gilbert </t>
        </is>
      </c>
      <c r="H666" t="inlineStr">
        <is>
          <t>4x4</t>
        </is>
      </c>
      <c r="I666" t="inlineStr">
        <is>
          <t>Daily/ Weekly Vehicle Inspection</t>
        </is>
      </c>
      <c r="J666" t="inlineStr">
        <is>
          <t>N/A</t>
        </is>
      </c>
      <c r="K666" t="inlineStr">
        <is>
          <t>7186 Eastwoodbury Tree Services Ltd</t>
        </is>
      </c>
      <c r="L666" t="inlineStr">
        <is>
          <t>27/06/2025 08:08</t>
        </is>
      </c>
      <c r="M666" t="inlineStr">
        <is>
          <t>None</t>
        </is>
      </c>
      <c r="N666" t="inlineStr">
        <is>
          <t>&lt;p&gt;&lt;/p&gt;</t>
        </is>
      </c>
      <c r="O666" t="inlineStr"/>
      <c r="P666" t="inlineStr">
        <is>
          <t>FN600XM , 4x4 , Land Rover  , Defender</t>
        </is>
      </c>
      <c r="Q666" t="inlineStr">
        <is>
          <t>UKPN</t>
        </is>
      </c>
      <c r="R666" t="b">
        <v>0</v>
      </c>
    </row>
    <row r="667">
      <c r="A667" t="inlineStr">
        <is>
          <t>27 Jun 2025 / Anthony Gale</t>
        </is>
      </c>
      <c r="B667" t="inlineStr">
        <is>
          <t>Utilities &amp; Inland Waterways</t>
        </is>
      </c>
      <c r="C667" t="inlineStr">
        <is>
          <t>UKPN</t>
        </is>
      </c>
      <c r="D667" t="inlineStr">
        <is>
          <t>PE07 HGL , Vehicle , Mitsubishi , L200 K74</t>
        </is>
      </c>
      <c r="E667" t="inlineStr">
        <is>
          <t>PE07 HGL , Vehicle , Mitsubishi , L200 K74</t>
        </is>
      </c>
      <c r="F667" t="inlineStr">
        <is>
          <t>PE07 HGL , Vehicle , Mitsubishi , L200 K74</t>
        </is>
      </c>
      <c r="G667" t="inlineStr">
        <is>
          <t>Anthony Gale</t>
        </is>
      </c>
      <c r="H667" t="inlineStr">
        <is>
          <t>Pickup Truck</t>
        </is>
      </c>
      <c r="I667" t="inlineStr">
        <is>
          <t>Daily/ Weekly Vehicle Inspection</t>
        </is>
      </c>
      <c r="J667" t="inlineStr">
        <is>
          <t>N/A</t>
        </is>
      </c>
      <c r="K667" t="inlineStr">
        <is>
          <t>7996 M G Tree Surgery Ltd 1</t>
        </is>
      </c>
      <c r="L667" t="inlineStr">
        <is>
          <t>27/06/2025 08:09</t>
        </is>
      </c>
      <c r="M667" t="inlineStr">
        <is>
          <t>None</t>
        </is>
      </c>
      <c r="N667" t="inlineStr">
        <is>
          <t>&lt;p&gt;&lt;/p&gt;</t>
        </is>
      </c>
      <c r="O667" t="inlineStr"/>
      <c r="P667" t="inlineStr">
        <is>
          <t>PE07 HGL , Vehicle , Mitsubishi , L200 K74</t>
        </is>
      </c>
      <c r="Q667" t="inlineStr">
        <is>
          <t>UKPN</t>
        </is>
      </c>
      <c r="R667" t="b">
        <v>0</v>
      </c>
    </row>
    <row r="668">
      <c r="A668" t="inlineStr">
        <is>
          <t>27 Jun 2025 / 7940 HRJ Tree Services LTD</t>
        </is>
      </c>
      <c r="B668" t="inlineStr">
        <is>
          <t>Utilities &amp; Inland Waterways</t>
        </is>
      </c>
      <c r="C668" t="inlineStr">
        <is>
          <t>UKPN</t>
        </is>
      </c>
      <c r="D668" t="inlineStr">
        <is>
          <t>Kx65fcp , 4x4 , Izuzu d max  , D max</t>
        </is>
      </c>
      <c r="E668" t="inlineStr">
        <is>
          <t>Kx65fcp , 4x4 , Izuzu d max  , D max</t>
        </is>
      </c>
      <c r="F668" t="inlineStr">
        <is>
          <t>Kx65fcp , 4x4 , Izuzu d max  , D max</t>
        </is>
      </c>
      <c r="G668" t="inlineStr">
        <is>
          <t xml:space="preserve">Jack Buchan </t>
        </is>
      </c>
      <c r="H668" t="inlineStr">
        <is>
          <t>Equipment Trailer</t>
        </is>
      </c>
      <c r="I668" t="inlineStr">
        <is>
          <t>Daily/ Weekly Vehicle Inspection</t>
        </is>
      </c>
      <c r="J668" t="inlineStr">
        <is>
          <t>N/A</t>
        </is>
      </c>
      <c r="K668" t="inlineStr">
        <is>
          <t>7940 HRJ Tree Services LTD</t>
        </is>
      </c>
      <c r="L668" t="inlineStr">
        <is>
          <t>27/06/2025 08:09</t>
        </is>
      </c>
      <c r="M668" t="inlineStr">
        <is>
          <t>None</t>
        </is>
      </c>
      <c r="N668" t="inlineStr">
        <is>
          <t>&lt;p&gt;&lt;/p&gt;</t>
        </is>
      </c>
      <c r="O668" t="inlineStr"/>
      <c r="P668" t="inlineStr">
        <is>
          <t>Kx65fcp , 4x4 , Izuzu d max  , D max</t>
        </is>
      </c>
      <c r="Q668" t="inlineStr">
        <is>
          <t>UKPN</t>
        </is>
      </c>
      <c r="R668" t="b">
        <v>0</v>
      </c>
    </row>
    <row r="669">
      <c r="A669" t="inlineStr">
        <is>
          <t>27 Jun 2025 / 7800 MAC Tree Surgery and Fencing Ltd</t>
        </is>
      </c>
      <c r="B669" t="inlineStr">
        <is>
          <t>Utilities &amp; Inland Waterways</t>
        </is>
      </c>
      <c r="C669" t="inlineStr">
        <is>
          <t>UKPN</t>
        </is>
      </c>
      <c r="D669" t="inlineStr">
        <is>
          <t>AY68DAA , 4x4 , Izuzu , Dmax</t>
        </is>
      </c>
      <c r="E669" t="inlineStr">
        <is>
          <t>AY68DAA , 4x4 , Izuzu , Dmax</t>
        </is>
      </c>
      <c r="F669" t="inlineStr">
        <is>
          <t>AY68DAA , 4x4 , Izuzu , Dmax</t>
        </is>
      </c>
      <c r="G669" t="inlineStr">
        <is>
          <t xml:space="preserve">Lewis </t>
        </is>
      </c>
      <c r="H669" t="inlineStr">
        <is>
          <t>4x4</t>
        </is>
      </c>
      <c r="I669" t="inlineStr">
        <is>
          <t>Daily/ Weekly Vehicle Inspection</t>
        </is>
      </c>
      <c r="J669" t="inlineStr">
        <is>
          <t>N/A</t>
        </is>
      </c>
      <c r="K669" t="inlineStr">
        <is>
          <t>7800 MAC Tree Surgery and Fencing Ltd</t>
        </is>
      </c>
      <c r="L669" t="inlineStr">
        <is>
          <t>27/06/2025 09:06</t>
        </is>
      </c>
      <c r="M669" t="inlineStr">
        <is>
          <t>None</t>
        </is>
      </c>
      <c r="N669" t="inlineStr">
        <is>
          <t>&lt;p&gt;&lt;/p&gt;</t>
        </is>
      </c>
      <c r="O669" t="inlineStr">
        <is>
          <t>Confirm that you have checked this vehicle as per the guidance document and the vehicle is safe and roadworthy:Slight crack in windscreen but doesn't effect vision
-</t>
        </is>
      </c>
      <c r="P669" t="inlineStr">
        <is>
          <t>AY68DAA , 4x4 , Izuzu , Dmax</t>
        </is>
      </c>
      <c r="Q669" t="inlineStr">
        <is>
          <t>UKPN</t>
        </is>
      </c>
      <c r="R669" t="b">
        <v>0</v>
      </c>
    </row>
    <row r="670">
      <c r="A670" t="inlineStr">
        <is>
          <t>27 Jun 2025 / 7800 MAC Tree Surgery and Fencing Ltd</t>
        </is>
      </c>
      <c r="B670" t="inlineStr">
        <is>
          <t>Utilities &amp; Inland Waterways</t>
        </is>
      </c>
      <c r="C670" t="inlineStr">
        <is>
          <t>UKPN</t>
        </is>
      </c>
      <c r="D670" t="inlineStr">
        <is>
          <t>205143043-A1 , Tow Chipper , Timberwolf , TW150</t>
        </is>
      </c>
      <c r="E670" t="inlineStr">
        <is>
          <t>205143043-A1 , Tow Chipper , Timberwolf , TW150</t>
        </is>
      </c>
      <c r="F670" t="inlineStr">
        <is>
          <t>205143043-A1 , Tow Chipper , Timberwolf , TW150</t>
        </is>
      </c>
      <c r="G670" t="inlineStr">
        <is>
          <t xml:space="preserve">Lewis mac </t>
        </is>
      </c>
      <c r="H670" t="inlineStr">
        <is>
          <t>Towed Chipper</t>
        </is>
      </c>
      <c r="I670" t="inlineStr">
        <is>
          <t>Daily/ Weekly Vehicle Inspection</t>
        </is>
      </c>
      <c r="J670" t="inlineStr">
        <is>
          <t>N/A</t>
        </is>
      </c>
      <c r="K670" t="inlineStr">
        <is>
          <t>7800 MAC Tree Surgery and Fencing Ltd</t>
        </is>
      </c>
      <c r="L670" t="inlineStr">
        <is>
          <t>27/06/2025 09:06</t>
        </is>
      </c>
      <c r="M670" t="inlineStr">
        <is>
          <t>None</t>
        </is>
      </c>
      <c r="N670" t="inlineStr">
        <is>
          <t>&lt;p&gt;&lt;/p&gt;</t>
        </is>
      </c>
      <c r="O670" t="inlineStr"/>
      <c r="P670" t="inlineStr">
        <is>
          <t>205143043-A1 , Tow Chipper , Timberwolf , TW150</t>
        </is>
      </c>
      <c r="Q670" t="inlineStr">
        <is>
          <t>UKPN</t>
        </is>
      </c>
      <c r="R670" t="b">
        <v>0</v>
      </c>
    </row>
    <row r="671">
      <c r="A671" t="inlineStr">
        <is>
          <t>27 Jun 2025 / 3098 D &amp; R Landscapes (PEND Arb Rail)</t>
        </is>
      </c>
      <c r="B671" t="inlineStr">
        <is>
          <t>Utilities &amp; Inland Waterways</t>
        </is>
      </c>
      <c r="C671" t="inlineStr">
        <is>
          <t>UKPN</t>
        </is>
      </c>
      <c r="D671" t="inlineStr">
        <is>
          <t>FX17YVM , Vehicle , Nissan , Navara</t>
        </is>
      </c>
      <c r="E671" t="inlineStr">
        <is>
          <t>FX17YVM , Vehicle , Nissan , Navara</t>
        </is>
      </c>
      <c r="F671" t="inlineStr">
        <is>
          <t>FX17YVM , Vehicle , Nissan , Navara</t>
        </is>
      </c>
      <c r="G671" t="inlineStr">
        <is>
          <t>Rob</t>
        </is>
      </c>
      <c r="H671" t="inlineStr">
        <is>
          <t>4x4</t>
        </is>
      </c>
      <c r="I671" t="inlineStr">
        <is>
          <t>Daily/ Weekly Vehicle Inspection</t>
        </is>
      </c>
      <c r="J671" t="inlineStr">
        <is>
          <t>N/A</t>
        </is>
      </c>
      <c r="K671" t="inlineStr">
        <is>
          <t>3098 D &amp; R Landscapes (PEND Arb Rail)</t>
        </is>
      </c>
      <c r="L671" t="inlineStr">
        <is>
          <t>27/06/2025 09:08</t>
        </is>
      </c>
      <c r="M671" t="inlineStr">
        <is>
          <t>None</t>
        </is>
      </c>
      <c r="N671" t="inlineStr">
        <is>
          <t>&lt;p&gt;&lt;/p&gt;</t>
        </is>
      </c>
      <c r="O671" t="inlineStr"/>
      <c r="P671" t="inlineStr">
        <is>
          <t>FX17YVM , Vehicle , Nissan , Navara</t>
        </is>
      </c>
      <c r="Q671" t="inlineStr">
        <is>
          <t>UKPN</t>
        </is>
      </c>
      <c r="R671" t="b">
        <v>0</v>
      </c>
    </row>
    <row r="672">
      <c r="A672" t="inlineStr">
        <is>
          <t>27 Jun 2025 / 3098 D &amp; R Landscapes (PEND Arb Rail)</t>
        </is>
      </c>
      <c r="B672" t="inlineStr">
        <is>
          <t>Utilities &amp; Inland Waterways</t>
        </is>
      </c>
      <c r="C672" t="inlineStr">
        <is>
          <t>UKPN</t>
        </is>
      </c>
      <c r="D672" t="inlineStr">
        <is>
          <t>DE68XHA , Tipper , Isuzu , Grafter</t>
        </is>
      </c>
      <c r="E672" t="inlineStr">
        <is>
          <t>DE68XHA , Tipper , Isuzu , Grafter</t>
        </is>
      </c>
      <c r="F672" t="inlineStr">
        <is>
          <t>DE68XHA , Tipper , Isuzu , Grafter</t>
        </is>
      </c>
      <c r="G672" t="inlineStr">
        <is>
          <t>Jason</t>
        </is>
      </c>
      <c r="H672" t="inlineStr">
        <is>
          <t>Tipper</t>
        </is>
      </c>
      <c r="I672" t="inlineStr">
        <is>
          <t>Daily/ Weekly Vehicle Inspection</t>
        </is>
      </c>
      <c r="J672" t="inlineStr">
        <is>
          <t>N/A</t>
        </is>
      </c>
      <c r="K672" t="inlineStr">
        <is>
          <t>3098 D &amp; R Landscapes (PEND Arb Rail)</t>
        </is>
      </c>
      <c r="L672" t="inlineStr">
        <is>
          <t>27/06/2025 09:09</t>
        </is>
      </c>
      <c r="M672" t="inlineStr">
        <is>
          <t>None</t>
        </is>
      </c>
      <c r="N672" t="inlineStr">
        <is>
          <t>&lt;p&gt;&lt;/p&gt;</t>
        </is>
      </c>
      <c r="O672" t="inlineStr"/>
      <c r="P672" t="inlineStr">
        <is>
          <t>DE68XHA , Tipper , Isuzu , Grafter</t>
        </is>
      </c>
      <c r="Q672" t="inlineStr">
        <is>
          <t>UKPN</t>
        </is>
      </c>
      <c r="R672" t="b">
        <v>0</v>
      </c>
    </row>
    <row r="673">
      <c r="A673" t="inlineStr">
        <is>
          <t>30 Jun 2025 / 7889 Tree Tech Suffolk Ltd</t>
        </is>
      </c>
      <c r="B673" t="inlineStr">
        <is>
          <t>Utilities &amp; Inland Waterways</t>
        </is>
      </c>
      <c r="C673" t="inlineStr">
        <is>
          <t>UKPN</t>
        </is>
      </c>
      <c r="D673" t="inlineStr">
        <is>
          <t>4x4 - Isuzu - D-max - NS03 TTSTow Chipper - Jenson - A530L - 5521063948</t>
        </is>
      </c>
      <c r="E673" t="inlineStr">
        <is>
          <t>4x4 - Isuzu - D-max - NS03 TTSTow Chipper - Jenson - A530L - 5521063948</t>
        </is>
      </c>
      <c r="F673" t="inlineStr">
        <is>
          <t>4x4 - Isuzu - D-max - NS03 TTSTow Chipper - Jenson - A530L - 5521063948</t>
        </is>
      </c>
      <c r="G673" t="inlineStr">
        <is>
          <t xml:space="preserve">Danny Appleby Danny Appleby </t>
        </is>
      </c>
      <c r="H673" t="inlineStr">
        <is>
          <t>4x4Towed Chipper</t>
        </is>
      </c>
      <c r="I673" t="inlineStr">
        <is>
          <t>Daily/ Weekly Vehicle Inspection</t>
        </is>
      </c>
      <c r="J673" t="inlineStr">
        <is>
          <t>N/A</t>
        </is>
      </c>
      <c r="K673" t="inlineStr">
        <is>
          <t>7889 Tree Tech Suffolk Ltd</t>
        </is>
      </c>
      <c r="L673" t="inlineStr">
        <is>
          <t>30/06/2025 07:07</t>
        </is>
      </c>
      <c r="M673" t="inlineStr">
        <is>
          <t>None</t>
        </is>
      </c>
      <c r="N673" t="inlineStr">
        <is>
          <t>&lt;p&gt;&lt;/p&gt;</t>
        </is>
      </c>
      <c r="O673" t="inlineStr"/>
      <c r="P673" t="inlineStr">
        <is>
          <t>4x4 - Isuzu - D-max - NS03 TTSTow Chipper - Jenson - A530L - 5521063948</t>
        </is>
      </c>
      <c r="Q673" t="inlineStr">
        <is>
          <t>UKPN</t>
        </is>
      </c>
      <c r="R673" t="b">
        <v>0</v>
      </c>
    </row>
    <row r="674">
      <c r="A674" t="inlineStr">
        <is>
          <t>30 Jun 2025 / 7940 HRJ Tree Services LTD</t>
        </is>
      </c>
      <c r="B674" t="inlineStr">
        <is>
          <t>Utilities &amp; Inland Waterways</t>
        </is>
      </c>
      <c r="C674" t="inlineStr">
        <is>
          <t>UKPN</t>
        </is>
      </c>
      <c r="D674" t="inlineStr">
        <is>
          <t>Tracked Vehicle - Greenmech - Quad trak160 - 6632626</t>
        </is>
      </c>
      <c r="E674" t="inlineStr">
        <is>
          <t>Tracked Vehicle - Greenmech - Quad trak160 - 6632626</t>
        </is>
      </c>
      <c r="F674" t="inlineStr">
        <is>
          <t>Tracked Vehicle - Greenmech - Quad trak160 - 6632626</t>
        </is>
      </c>
      <c r="G674" t="inlineStr">
        <is>
          <t xml:space="preserve">Jack Buchan </t>
        </is>
      </c>
      <c r="H674" t="inlineStr">
        <is>
          <t>Equipment Trailer</t>
        </is>
      </c>
      <c r="I674" t="inlineStr">
        <is>
          <t>Daily/ Weekly Vehicle Inspection</t>
        </is>
      </c>
      <c r="J674" t="inlineStr">
        <is>
          <t>N/A</t>
        </is>
      </c>
      <c r="K674" t="inlineStr">
        <is>
          <t>7940 HRJ Tree Services LTD</t>
        </is>
      </c>
      <c r="L674" t="inlineStr">
        <is>
          <t>30/06/2025 07:12</t>
        </is>
      </c>
      <c r="M674" t="inlineStr">
        <is>
          <t>None</t>
        </is>
      </c>
      <c r="N674" t="inlineStr">
        <is>
          <t>&lt;p&gt;&lt;/p&gt;</t>
        </is>
      </c>
      <c r="O674" t="inlineStr"/>
      <c r="P674" t="inlineStr">
        <is>
          <t>Tracked Vehicle - Greenmech - Quad trak160 - 6632626</t>
        </is>
      </c>
      <c r="Q674" t="inlineStr">
        <is>
          <t>UKPN</t>
        </is>
      </c>
      <c r="R674" t="b">
        <v>0</v>
      </c>
    </row>
    <row r="675">
      <c r="A675" t="inlineStr">
        <is>
          <t>30 Jun 2025 / 7940 HRJ Tree Services LTD</t>
        </is>
      </c>
      <c r="B675" t="inlineStr">
        <is>
          <t>Utilities &amp; Inland Waterways</t>
        </is>
      </c>
      <c r="C675" t="inlineStr">
        <is>
          <t>UKPN</t>
        </is>
      </c>
      <c r="D675" t="inlineStr">
        <is>
          <t>4x4 - Toyota  - Hilux - LL70GZP</t>
        </is>
      </c>
      <c r="E675" t="inlineStr">
        <is>
          <t>4x4 - Toyota  - Hilux - LL70GZP</t>
        </is>
      </c>
      <c r="F675" t="inlineStr">
        <is>
          <t>4x4 - Toyota  - Hilux - LL70GZP</t>
        </is>
      </c>
      <c r="G675" t="inlineStr">
        <is>
          <t xml:space="preserve">Harry Wilson </t>
        </is>
      </c>
      <c r="H675" t="inlineStr">
        <is>
          <t>4x4</t>
        </is>
      </c>
      <c r="I675" t="inlineStr">
        <is>
          <t>Daily/ Weekly Vehicle Inspection</t>
        </is>
      </c>
      <c r="J675" t="inlineStr">
        <is>
          <t>N/A</t>
        </is>
      </c>
      <c r="K675" t="inlineStr">
        <is>
          <t>7940 HRJ Tree Services LTD</t>
        </is>
      </c>
      <c r="L675" t="inlineStr">
        <is>
          <t>30/06/2025 07:13</t>
        </is>
      </c>
      <c r="M675" t="inlineStr">
        <is>
          <t>None</t>
        </is>
      </c>
      <c r="N675" t="inlineStr">
        <is>
          <t>&lt;p&gt;&lt;/p&gt;</t>
        </is>
      </c>
      <c r="O675" t="inlineStr"/>
      <c r="P675" t="inlineStr">
        <is>
          <t>4x4 - Toyota  - Hilux - LL70GZP</t>
        </is>
      </c>
      <c r="Q675" t="inlineStr">
        <is>
          <t>UKPN</t>
        </is>
      </c>
      <c r="R675" t="b">
        <v>0</v>
      </c>
    </row>
    <row r="676">
      <c r="A676" t="inlineStr">
        <is>
          <t>30 Jun 2025 / 7940 HRJ Tree Services LTD</t>
        </is>
      </c>
      <c r="B676" t="inlineStr">
        <is>
          <t>Utilities &amp; Inland Waterways</t>
        </is>
      </c>
      <c r="C676" t="inlineStr">
        <is>
          <t>UKPN</t>
        </is>
      </c>
      <c r="D676" t="inlineStr">
        <is>
          <t>Kx65fcp , 4x4 , Izuzu d max  , D max</t>
        </is>
      </c>
      <c r="E676" t="inlineStr">
        <is>
          <t>Kx65fcp , 4x4 , Izuzu d max  , D max</t>
        </is>
      </c>
      <c r="F676" t="inlineStr">
        <is>
          <t>Kx65fcp , 4x4 , Izuzu d max  , D max</t>
        </is>
      </c>
      <c r="G676" t="inlineStr">
        <is>
          <t>Jack Buchan</t>
        </is>
      </c>
      <c r="H676" t="inlineStr">
        <is>
          <t>4x4</t>
        </is>
      </c>
      <c r="I676" t="inlineStr">
        <is>
          <t>Daily/ Weekly Vehicle Inspection</t>
        </is>
      </c>
      <c r="J676" t="inlineStr">
        <is>
          <t>N/A</t>
        </is>
      </c>
      <c r="K676" t="inlineStr">
        <is>
          <t>7940 HRJ Tree Services LTD</t>
        </is>
      </c>
      <c r="L676" t="inlineStr">
        <is>
          <t>30/06/2025 07:13</t>
        </is>
      </c>
      <c r="M676" t="inlineStr">
        <is>
          <t>None</t>
        </is>
      </c>
      <c r="N676" t="inlineStr">
        <is>
          <t>&lt;p&gt;&lt;/p&gt;</t>
        </is>
      </c>
      <c r="O676" t="inlineStr"/>
      <c r="P676" t="inlineStr">
        <is>
          <t>Kx65fcp , 4x4 , Izuzu d max  , D max</t>
        </is>
      </c>
      <c r="Q676" t="inlineStr">
        <is>
          <t>UKPN</t>
        </is>
      </c>
      <c r="R676" t="b">
        <v>0</v>
      </c>
    </row>
    <row r="677">
      <c r="A677" t="inlineStr">
        <is>
          <t>30 Jun 2025 / 6617 Ashdown Tree Limited</t>
        </is>
      </c>
      <c r="B677" t="inlineStr">
        <is>
          <t>Utilities &amp; Inland Waterways</t>
        </is>
      </c>
      <c r="C677" t="inlineStr">
        <is>
          <t>UKPN</t>
        </is>
      </c>
      <c r="D677" t="inlineStr">
        <is>
          <t>WG63OJS , 4x4 , Land rover  , defender</t>
        </is>
      </c>
      <c r="E677" t="inlineStr">
        <is>
          <t>WG63OJS , 4x4 , Land rover  , defender</t>
        </is>
      </c>
      <c r="F677" t="inlineStr">
        <is>
          <t>WG63OJS , 4x4 , Land rover  , defender</t>
        </is>
      </c>
      <c r="G677" t="inlineStr">
        <is>
          <t xml:space="preserve">D Watkins </t>
        </is>
      </c>
      <c r="H677" t="inlineStr">
        <is>
          <t>4x4</t>
        </is>
      </c>
      <c r="I677" t="inlineStr">
        <is>
          <t>Daily/ Weekly Vehicle Inspection</t>
        </is>
      </c>
      <c r="J677" t="inlineStr">
        <is>
          <t>N/A</t>
        </is>
      </c>
      <c r="K677" t="inlineStr">
        <is>
          <t>6617 Ashdown Tree Limited</t>
        </is>
      </c>
      <c r="L677" t="inlineStr">
        <is>
          <t>30/06/2025 08:07</t>
        </is>
      </c>
      <c r="M677" t="inlineStr">
        <is>
          <t>None</t>
        </is>
      </c>
      <c r="N677" t="inlineStr">
        <is>
          <t>&lt;p&gt;&lt;/p&gt;</t>
        </is>
      </c>
      <c r="O677" t="inlineStr"/>
      <c r="P677" t="inlineStr">
        <is>
          <t>WG63OJS , 4x4 , Land rover  , defender</t>
        </is>
      </c>
      <c r="Q677" t="inlineStr">
        <is>
          <t>UKPN</t>
        </is>
      </c>
      <c r="R677" t="b">
        <v>0</v>
      </c>
    </row>
    <row r="678">
      <c r="A678" t="inlineStr">
        <is>
          <t>30 Jun 2025 / 7996 M G Tree Surgery Ltd</t>
        </is>
      </c>
      <c r="B678" t="inlineStr">
        <is>
          <t>Utilities &amp; Inland Waterways</t>
        </is>
      </c>
      <c r="C678" t="inlineStr">
        <is>
          <t>UKPN</t>
        </is>
      </c>
      <c r="D678" t="inlineStr">
        <is>
          <t>GU13 WNL , MEWP , Land Rover , Defender 130</t>
        </is>
      </c>
      <c r="E678" t="inlineStr">
        <is>
          <t>GU13 WNL , MEWP , Land Rover , Defender 130</t>
        </is>
      </c>
      <c r="F678" t="inlineStr">
        <is>
          <t>GU13 WNL , MEWP , Land Rover , Defender 130</t>
        </is>
      </c>
      <c r="G678" t="inlineStr">
        <is>
          <t>Max gaylor</t>
        </is>
      </c>
      <c r="H678" t="inlineStr">
        <is>
          <t>4x4</t>
        </is>
      </c>
      <c r="I678" t="inlineStr">
        <is>
          <t>Daily/ Weekly Vehicle Inspection</t>
        </is>
      </c>
      <c r="J678" t="inlineStr">
        <is>
          <t>N/A</t>
        </is>
      </c>
      <c r="K678" t="inlineStr">
        <is>
          <t>7996 M G Tree Surgery Ltd</t>
        </is>
      </c>
      <c r="L678" t="inlineStr">
        <is>
          <t>30/06/2025 08:07</t>
        </is>
      </c>
      <c r="M678" t="inlineStr">
        <is>
          <t>None</t>
        </is>
      </c>
      <c r="N678" t="inlineStr">
        <is>
          <t>&lt;p&gt;&lt;/p&gt;</t>
        </is>
      </c>
      <c r="O678" t="inlineStr"/>
      <c r="P678" t="inlineStr">
        <is>
          <t>GU13 WNL , MEWP , Land Rover , Defender 130</t>
        </is>
      </c>
      <c r="Q678" t="inlineStr">
        <is>
          <t>UKPN</t>
        </is>
      </c>
      <c r="R678" t="b">
        <v>0</v>
      </c>
    </row>
    <row r="679">
      <c r="A679" t="inlineStr">
        <is>
          <t>30 Jun 2025 / 7800 MAC Tree Surgery and Fencing Ltd</t>
        </is>
      </c>
      <c r="B679" t="inlineStr">
        <is>
          <t>Utilities &amp; Inland Waterways</t>
        </is>
      </c>
      <c r="C679" t="inlineStr">
        <is>
          <t>UKPN</t>
        </is>
      </c>
      <c r="D679" t="inlineStr">
        <is>
          <t>AY68DAA , 4x4 , Izuzu , Dmax</t>
        </is>
      </c>
      <c r="E679" t="inlineStr">
        <is>
          <t>AY68DAA , 4x4 , Izuzu , Dmax</t>
        </is>
      </c>
      <c r="F679" t="inlineStr">
        <is>
          <t>AY68DAA , 4x4 , Izuzu , Dmax</t>
        </is>
      </c>
      <c r="G679" t="inlineStr">
        <is>
          <t xml:space="preserve">Lewis </t>
        </is>
      </c>
      <c r="H679" t="inlineStr">
        <is>
          <t>4x4</t>
        </is>
      </c>
      <c r="I679" t="inlineStr">
        <is>
          <t>Daily/ Weekly Vehicle Inspection</t>
        </is>
      </c>
      <c r="J679" t="inlineStr">
        <is>
          <t>N/A</t>
        </is>
      </c>
      <c r="K679" t="inlineStr">
        <is>
          <t>7800 MAC Tree Surgery and Fencing Ltd</t>
        </is>
      </c>
      <c r="L679" t="inlineStr">
        <is>
          <t>30/06/2025 08:08</t>
        </is>
      </c>
      <c r="M679" t="inlineStr">
        <is>
          <t>None</t>
        </is>
      </c>
      <c r="N679" t="inlineStr">
        <is>
          <t>&lt;p&gt;&lt;/p&gt;</t>
        </is>
      </c>
      <c r="O679" t="inlineStr">
        <is>
          <t>Confirm that you have checked this vehicle as per the guidance document and the vehicle is safe and roadworthy:Slight crack in windscreen but doesn't effect vision
-</t>
        </is>
      </c>
      <c r="P679" t="inlineStr">
        <is>
          <t>AY68DAA , 4x4 , Izuzu , Dmax</t>
        </is>
      </c>
      <c r="Q679" t="inlineStr">
        <is>
          <t>UKPN</t>
        </is>
      </c>
      <c r="R679" t="b">
        <v>0</v>
      </c>
    </row>
    <row r="680">
      <c r="A680" t="inlineStr">
        <is>
          <t>30 Jun 2025 / 7800 MAC Tree Surgery and Fencing Ltd</t>
        </is>
      </c>
      <c r="B680" t="inlineStr">
        <is>
          <t>Utilities &amp; Inland Waterways</t>
        </is>
      </c>
      <c r="C680" t="inlineStr">
        <is>
          <t>UKPN</t>
        </is>
      </c>
      <c r="D680" t="inlineStr">
        <is>
          <t>205143043-A1 , Tow Chipper , Timberwolf , TW150</t>
        </is>
      </c>
      <c r="E680" t="inlineStr">
        <is>
          <t>205143043-A1 , Tow Chipper , Timberwolf , TW150</t>
        </is>
      </c>
      <c r="F680" t="inlineStr">
        <is>
          <t>205143043-A1 , Tow Chipper , Timberwolf , TW150</t>
        </is>
      </c>
      <c r="G680" t="inlineStr">
        <is>
          <t xml:space="preserve">Lewis mac </t>
        </is>
      </c>
      <c r="H680" t="inlineStr">
        <is>
          <t>Towed Chipper</t>
        </is>
      </c>
      <c r="I680" t="inlineStr">
        <is>
          <t>Daily/ Weekly Vehicle Inspection</t>
        </is>
      </c>
      <c r="J680" t="inlineStr">
        <is>
          <t>N/A</t>
        </is>
      </c>
      <c r="K680" t="inlineStr">
        <is>
          <t>7800 MAC Tree Surgery and Fencing Ltd</t>
        </is>
      </c>
      <c r="L680" t="inlineStr">
        <is>
          <t>30/06/2025 08:09</t>
        </is>
      </c>
      <c r="M680" t="inlineStr">
        <is>
          <t>None</t>
        </is>
      </c>
      <c r="N680" t="inlineStr">
        <is>
          <t>&lt;p&gt;&lt;/p&gt;</t>
        </is>
      </c>
      <c r="O680" t="inlineStr"/>
      <c r="P680" t="inlineStr">
        <is>
          <t>205143043-A1 , Tow Chipper , Timberwolf , TW150</t>
        </is>
      </c>
      <c r="Q680" t="inlineStr">
        <is>
          <t>UKPN</t>
        </is>
      </c>
      <c r="R680" t="b">
        <v>0</v>
      </c>
    </row>
    <row r="681">
      <c r="A681" t="inlineStr">
        <is>
          <t>30 Jun 2025 / 7186 Eastwoodbury Tree Services Ltd</t>
        </is>
      </c>
      <c r="B681" t="inlineStr">
        <is>
          <t>Utilities &amp; Inland Waterways</t>
        </is>
      </c>
      <c r="C681" t="inlineStr">
        <is>
          <t>UKPN</t>
        </is>
      </c>
      <c r="D681" t="inlineStr">
        <is>
          <t>AO57BPF , 4x4 , Santana  , Ps10</t>
        </is>
      </c>
      <c r="E681" t="inlineStr">
        <is>
          <t>AO57BPF , 4x4 , Santana  , Ps10</t>
        </is>
      </c>
      <c r="F681" t="inlineStr">
        <is>
          <t>AO57BPF , 4x4 , Santana  , Ps10</t>
        </is>
      </c>
      <c r="G681" t="inlineStr">
        <is>
          <t xml:space="preserve">Dan Gilbert </t>
        </is>
      </c>
      <c r="H681" t="inlineStr">
        <is>
          <t>4x4</t>
        </is>
      </c>
      <c r="I681" t="inlineStr">
        <is>
          <t>Daily/ Weekly Vehicle Inspection</t>
        </is>
      </c>
      <c r="J681" t="inlineStr">
        <is>
          <t>N/A</t>
        </is>
      </c>
      <c r="K681" t="inlineStr">
        <is>
          <t>7186 Eastwoodbury Tree Services Ltd</t>
        </is>
      </c>
      <c r="L681" t="inlineStr">
        <is>
          <t>30/06/2025 08:11</t>
        </is>
      </c>
      <c r="M681" t="inlineStr">
        <is>
          <t>None</t>
        </is>
      </c>
      <c r="N681" t="inlineStr">
        <is>
          <t>&lt;p&gt;&lt;/p&gt;</t>
        </is>
      </c>
      <c r="O681" t="inlineStr"/>
      <c r="P681" t="inlineStr">
        <is>
          <t>AO57BPF , 4x4 , Santana  , Ps10</t>
        </is>
      </c>
      <c r="Q681" t="inlineStr">
        <is>
          <t>UKPN</t>
        </is>
      </c>
      <c r="R681" t="b">
        <v>0</v>
      </c>
    </row>
    <row r="682">
      <c r="A682" t="inlineStr">
        <is>
          <t>30 Jun 2025 / Anthony Gale</t>
        </is>
      </c>
      <c r="B682" t="inlineStr">
        <is>
          <t>Utilities &amp; Inland Waterways</t>
        </is>
      </c>
      <c r="C682" t="inlineStr">
        <is>
          <t>UKPN</t>
        </is>
      </c>
      <c r="D682" t="inlineStr">
        <is>
          <t>PE07 HGL , Vehicle , Mitsubishi , L200 K74</t>
        </is>
      </c>
      <c r="E682" t="inlineStr">
        <is>
          <t>PE07 HGL , Vehicle , Mitsubishi , L200 K74</t>
        </is>
      </c>
      <c r="F682" t="inlineStr">
        <is>
          <t>PE07 HGL , Vehicle , Mitsubishi , L200 K74</t>
        </is>
      </c>
      <c r="G682" t="inlineStr">
        <is>
          <t>Anthony Gale</t>
        </is>
      </c>
      <c r="H682" t="inlineStr">
        <is>
          <t>Pickup Truck</t>
        </is>
      </c>
      <c r="I682" t="inlineStr">
        <is>
          <t>Daily/ Weekly Vehicle Inspection</t>
        </is>
      </c>
      <c r="J682" t="inlineStr">
        <is>
          <t>N/A</t>
        </is>
      </c>
      <c r="K682" t="inlineStr">
        <is>
          <t>7996 M G Tree Surgery Ltd 1</t>
        </is>
      </c>
      <c r="L682" t="inlineStr">
        <is>
          <t>30/06/2025 08:11</t>
        </is>
      </c>
      <c r="M682" t="inlineStr">
        <is>
          <t>None</t>
        </is>
      </c>
      <c r="N682" t="inlineStr">
        <is>
          <t>&lt;p&gt;&lt;/p&gt;</t>
        </is>
      </c>
      <c r="O682" t="inlineStr"/>
      <c r="P682" t="inlineStr">
        <is>
          <t>PE07 HGL , Vehicle , Mitsubishi , L200 K74</t>
        </is>
      </c>
      <c r="Q682" t="inlineStr">
        <is>
          <t>UKPN</t>
        </is>
      </c>
      <c r="R682" t="b">
        <v>0</v>
      </c>
    </row>
    <row r="683">
      <c r="A683" t="inlineStr">
        <is>
          <t>30 Jun 2025 / 6617 Ashdown Tree Limited 1</t>
        </is>
      </c>
      <c r="B683" t="inlineStr">
        <is>
          <t>Utilities &amp; Inland Waterways</t>
        </is>
      </c>
      <c r="C683" t="inlineStr">
        <is>
          <t>UKPN</t>
        </is>
      </c>
      <c r="D683" t="inlineStr">
        <is>
          <t>GU11LKD , 4x4 , Land Rover , Defender</t>
        </is>
      </c>
      <c r="E683" t="inlineStr">
        <is>
          <t>GU11LKD , 4x4 , Land Rover , Defender</t>
        </is>
      </c>
      <c r="F683" t="inlineStr">
        <is>
          <t>GU11LKD , 4x4 , Land Rover , Defender</t>
        </is>
      </c>
      <c r="G683" t="inlineStr">
        <is>
          <t xml:space="preserve">Francislesser </t>
        </is>
      </c>
      <c r="H683" t="inlineStr">
        <is>
          <t>4x4</t>
        </is>
      </c>
      <c r="I683" t="inlineStr">
        <is>
          <t>Daily/ Weekly Vehicle Inspection</t>
        </is>
      </c>
      <c r="J683" t="inlineStr">
        <is>
          <t>N/A</t>
        </is>
      </c>
      <c r="K683" t="inlineStr">
        <is>
          <t>6617 Ashdown Tree Limited 1</t>
        </is>
      </c>
      <c r="L683" t="inlineStr">
        <is>
          <t>30/06/2025 08:12</t>
        </is>
      </c>
      <c r="M683" t="inlineStr">
        <is>
          <t>None</t>
        </is>
      </c>
      <c r="N683" t="inlineStr">
        <is>
          <t>&lt;p&gt;&lt;/p&gt;</t>
        </is>
      </c>
      <c r="O683" t="inlineStr"/>
      <c r="P683" t="inlineStr">
        <is>
          <t>GU11LKD , 4x4 , Land Rover , Defender</t>
        </is>
      </c>
      <c r="Q683" t="inlineStr">
        <is>
          <t>UKPN</t>
        </is>
      </c>
      <c r="R683" t="b">
        <v>0</v>
      </c>
    </row>
    <row r="684">
      <c r="A684" t="inlineStr">
        <is>
          <t>30 Jun 2025 / 7806 Optimum Tree Services Ltd</t>
        </is>
      </c>
      <c r="B684" t="inlineStr">
        <is>
          <t>Utilities &amp; Inland Waterways</t>
        </is>
      </c>
      <c r="C684" t="inlineStr">
        <is>
          <t>UKPN</t>
        </is>
      </c>
      <c r="D684" t="inlineStr">
        <is>
          <t>SA9ST800000283069 , Chipper , Forst , ST 6P</t>
        </is>
      </c>
      <c r="E684" t="inlineStr">
        <is>
          <t>SA9ST800000283069 , Chipper , Forst , ST 6P</t>
        </is>
      </c>
      <c r="F684" t="inlineStr">
        <is>
          <t>SA9ST800000283069 , Chipper , Forst , ST 6P</t>
        </is>
      </c>
      <c r="G684" t="inlineStr">
        <is>
          <t xml:space="preserve">Abraham Davies </t>
        </is>
      </c>
      <c r="H684" t="inlineStr">
        <is>
          <t>Towed Chipper</t>
        </is>
      </c>
      <c r="I684" t="inlineStr">
        <is>
          <t>Daily/ Weekly Vehicle Inspection</t>
        </is>
      </c>
      <c r="J684" t="inlineStr">
        <is>
          <t>N/A</t>
        </is>
      </c>
      <c r="K684" t="inlineStr">
        <is>
          <t>7806 Optimum Tree Services Ltd</t>
        </is>
      </c>
      <c r="L684" t="inlineStr">
        <is>
          <t>30/06/2025 08:13</t>
        </is>
      </c>
      <c r="M684" t="inlineStr">
        <is>
          <t>None</t>
        </is>
      </c>
      <c r="N684" t="inlineStr">
        <is>
          <t>&lt;p&gt;&lt;/p&gt;</t>
        </is>
      </c>
      <c r="O684" t="inlineStr"/>
      <c r="P684" t="inlineStr">
        <is>
          <t>SA9ST800000283069 , Chipper , Forst , ST 6P</t>
        </is>
      </c>
      <c r="Q684" t="inlineStr">
        <is>
          <t>UKPN</t>
        </is>
      </c>
      <c r="R684" t="b">
        <v>0</v>
      </c>
    </row>
    <row r="685">
      <c r="A685" t="inlineStr">
        <is>
          <t>30 Jun 2025 / 7806 Optimum Tree Services Ltd</t>
        </is>
      </c>
      <c r="B685" t="inlineStr">
        <is>
          <t>Utilities &amp; Inland Waterways</t>
        </is>
      </c>
      <c r="C685" t="inlineStr">
        <is>
          <t>UKPN</t>
        </is>
      </c>
      <c r="D685" t="inlineStr">
        <is>
          <t>WD14EVB , MEWP , Land Rover , Defender</t>
        </is>
      </c>
      <c r="E685" t="inlineStr">
        <is>
          <t>WD14EVB , MEWP , Land Rover , Defender</t>
        </is>
      </c>
      <c r="F685" t="inlineStr">
        <is>
          <t>WD14EVB , MEWP , Land Rover , Defender</t>
        </is>
      </c>
      <c r="G685" t="inlineStr">
        <is>
          <t xml:space="preserve">Abraham Davies </t>
        </is>
      </c>
      <c r="H685" t="inlineStr">
        <is>
          <t>4x4</t>
        </is>
      </c>
      <c r="I685" t="inlineStr">
        <is>
          <t>Daily/ Weekly Vehicle Inspection</t>
        </is>
      </c>
      <c r="J685" t="inlineStr">
        <is>
          <t>N/A</t>
        </is>
      </c>
      <c r="K685" t="inlineStr">
        <is>
          <t>7806 Optimum Tree Services Ltd</t>
        </is>
      </c>
      <c r="L685" t="inlineStr">
        <is>
          <t>30/06/2025 08:14</t>
        </is>
      </c>
      <c r="M685" t="inlineStr">
        <is>
          <t>None</t>
        </is>
      </c>
      <c r="N685" t="inlineStr">
        <is>
          <t>&lt;p&gt;&lt;/p&gt;</t>
        </is>
      </c>
      <c r="O685" t="inlineStr"/>
      <c r="P685" t="inlineStr">
        <is>
          <t>WD14EVB , MEWP , Land Rover , Defender</t>
        </is>
      </c>
      <c r="Q685" t="inlineStr">
        <is>
          <t>UKPN</t>
        </is>
      </c>
      <c r="R685" t="b">
        <v>0</v>
      </c>
    </row>
    <row r="686">
      <c r="A686" t="inlineStr">
        <is>
          <t>30 Jun 2025 / 6557 DE UA SWales4</t>
        </is>
      </c>
      <c r="B686" t="inlineStr">
        <is>
          <t>Utilities &amp; Inland Waterways</t>
        </is>
      </c>
      <c r="C686" t="inlineStr">
        <is>
          <t>NGED</t>
        </is>
      </c>
      <c r="D686" t="inlineStr">
        <is>
          <t>EX15ZGL , Van , Ford , Transit Courier</t>
        </is>
      </c>
      <c r="E686" t="inlineStr">
        <is>
          <t>EX15ZGL , Van , Ford , Transit Courier</t>
        </is>
      </c>
      <c r="F686" t="inlineStr">
        <is>
          <t>EX15ZGL , Van , Ford , Transit Courier</t>
        </is>
      </c>
      <c r="G686" t="inlineStr">
        <is>
          <t xml:space="preserve">Lee brown </t>
        </is>
      </c>
      <c r="H686" t="inlineStr">
        <is>
          <t>Van</t>
        </is>
      </c>
      <c r="I686" t="inlineStr">
        <is>
          <t>Daily/ Weekly Vehicle Inspection</t>
        </is>
      </c>
      <c r="J686" t="inlineStr">
        <is>
          <t>N/A</t>
        </is>
      </c>
      <c r="K686" t="inlineStr">
        <is>
          <t>6557 DE UA SWales4</t>
        </is>
      </c>
      <c r="L686" t="inlineStr">
        <is>
          <t>30/06/2025 20:06</t>
        </is>
      </c>
      <c r="M686" t="inlineStr">
        <is>
          <t>None</t>
        </is>
      </c>
      <c r="N686" t="inlineStr">
        <is>
          <t>&lt;p&gt;&lt;/p&gt;</t>
        </is>
      </c>
      <c r="O686" t="inlineStr"/>
      <c r="P686" t="inlineStr">
        <is>
          <t>EX15ZGL , Van , Ford , Transit Courier</t>
        </is>
      </c>
      <c r="Q686" t="inlineStr">
        <is>
          <t>NGED</t>
        </is>
      </c>
      <c r="R686" t="b">
        <v>0</v>
      </c>
    </row>
    <row r="687">
      <c r="A687" t="inlineStr">
        <is>
          <t>1 Jul 2025 / 7806 Optimum Tree Services Ltd</t>
        </is>
      </c>
      <c r="B687" t="inlineStr">
        <is>
          <t>Utilities &amp; Inland Waterways</t>
        </is>
      </c>
      <c r="C687" t="inlineStr">
        <is>
          <t>UKPN</t>
        </is>
      </c>
      <c r="D687" t="inlineStr">
        <is>
          <t>WD14EVB , MEWP , Land Rover , Defender</t>
        </is>
      </c>
      <c r="E687" t="inlineStr">
        <is>
          <t>WD14EVB , MEWP , Land Rover , Defender</t>
        </is>
      </c>
      <c r="F687" t="inlineStr">
        <is>
          <t>WD14EVB , MEWP , Land Rover , Defender</t>
        </is>
      </c>
      <c r="G687" t="inlineStr">
        <is>
          <t xml:space="preserve">Abraham Davies </t>
        </is>
      </c>
      <c r="H687" t="inlineStr">
        <is>
          <t>4x4</t>
        </is>
      </c>
      <c r="I687" t="inlineStr">
        <is>
          <t>Daily/ Weekly Vehicle Inspection</t>
        </is>
      </c>
      <c r="J687" t="inlineStr">
        <is>
          <t>N/A</t>
        </is>
      </c>
      <c r="K687" t="inlineStr">
        <is>
          <t>7806 Optimum Tree Services Ltd</t>
        </is>
      </c>
      <c r="L687" t="inlineStr">
        <is>
          <t>01/07/2025 07:06</t>
        </is>
      </c>
      <c r="M687" t="inlineStr">
        <is>
          <t>None</t>
        </is>
      </c>
      <c r="N687" t="inlineStr">
        <is>
          <t>&lt;p&gt;&lt;/p&gt;</t>
        </is>
      </c>
      <c r="O687" t="inlineStr"/>
      <c r="P687" t="inlineStr">
        <is>
          <t>WD14EVB , MEWP , Land Rover , Defender</t>
        </is>
      </c>
      <c r="Q687" t="inlineStr">
        <is>
          <t>UKPN</t>
        </is>
      </c>
      <c r="R687" t="b">
        <v>0</v>
      </c>
    </row>
    <row r="688">
      <c r="A688" t="inlineStr">
        <is>
          <t>1 Jul 2025 / Thomas Playford</t>
        </is>
      </c>
      <c r="B688" t="inlineStr">
        <is>
          <t>Utilities &amp; Inland Waterways</t>
        </is>
      </c>
      <c r="C688" t="inlineStr">
        <is>
          <t>UKPN</t>
        </is>
      </c>
      <c r="D688" t="inlineStr">
        <is>
          <t>SA9ST800000283944 , Tow Chipper , Forst , ST8D - Towed</t>
        </is>
      </c>
      <c r="E688" t="inlineStr">
        <is>
          <t>SA9ST800000283944 , Tow Chipper , Forst , ST8D - Towed</t>
        </is>
      </c>
      <c r="F688" t="inlineStr">
        <is>
          <t>SA9ST800000283944 , Tow Chipper , Forst , ST8D - Towed</t>
        </is>
      </c>
      <c r="G688" t="inlineStr">
        <is>
          <t>Jacob Oram</t>
        </is>
      </c>
      <c r="H688" t="inlineStr">
        <is>
          <t>Towed Chipper</t>
        </is>
      </c>
      <c r="I688" t="inlineStr">
        <is>
          <t>Daily/ Weekly Vehicle Inspection</t>
        </is>
      </c>
      <c r="J688" t="inlineStr">
        <is>
          <t>N/A</t>
        </is>
      </c>
      <c r="K688" t="inlineStr">
        <is>
          <t>7995 Contour Landscapes Ltd 2</t>
        </is>
      </c>
      <c r="L688" t="inlineStr">
        <is>
          <t>01/07/2025 07:08</t>
        </is>
      </c>
      <c r="M688" t="inlineStr">
        <is>
          <t>None</t>
        </is>
      </c>
      <c r="N688" t="inlineStr">
        <is>
          <t>&lt;p&gt;&lt;/p&gt;</t>
        </is>
      </c>
      <c r="O688" t="inlineStr"/>
      <c r="P688" t="inlineStr">
        <is>
          <t>SA9ST800000283944 , Tow Chipper , Forst , ST8D - Towed</t>
        </is>
      </c>
      <c r="Q688" t="inlineStr">
        <is>
          <t>UKPN</t>
        </is>
      </c>
      <c r="R688" t="b">
        <v>0</v>
      </c>
    </row>
    <row r="689">
      <c r="A689" t="inlineStr">
        <is>
          <t>1 Jul 2025 / Thomas Playford</t>
        </is>
      </c>
      <c r="B689" t="inlineStr">
        <is>
          <t>Utilities &amp; Inland Waterways</t>
        </is>
      </c>
      <c r="C689" t="inlineStr">
        <is>
          <t>UKPN</t>
        </is>
      </c>
      <c r="D689" t="inlineStr">
        <is>
          <t>YP24 WRD , Vehicle , Ford , Ranger</t>
        </is>
      </c>
      <c r="E689" t="inlineStr">
        <is>
          <t>YP24 WRD , Vehicle , Ford , Ranger</t>
        </is>
      </c>
      <c r="F689" t="inlineStr">
        <is>
          <t>YP24 WRD , Vehicle , Ford , Ranger</t>
        </is>
      </c>
      <c r="G689" t="inlineStr">
        <is>
          <t>Jacob Oram</t>
        </is>
      </c>
      <c r="H689" t="inlineStr">
        <is>
          <t>4x4</t>
        </is>
      </c>
      <c r="I689" t="inlineStr">
        <is>
          <t>Daily/ Weekly Vehicle Inspection</t>
        </is>
      </c>
      <c r="J689" t="inlineStr">
        <is>
          <t>N/A</t>
        </is>
      </c>
      <c r="K689" t="inlineStr">
        <is>
          <t>7995 Contour Landscapes Ltd 2</t>
        </is>
      </c>
      <c r="L689" t="inlineStr">
        <is>
          <t>01/07/2025 07:09</t>
        </is>
      </c>
      <c r="M689" t="inlineStr">
        <is>
          <t>None</t>
        </is>
      </c>
      <c r="N689" t="inlineStr">
        <is>
          <t>&lt;p&gt;&lt;/p&gt;</t>
        </is>
      </c>
      <c r="O689" t="inlineStr"/>
      <c r="P689" t="inlineStr">
        <is>
          <t>YP24 WRD , Vehicle , Ford , Ranger</t>
        </is>
      </c>
      <c r="Q689" t="inlineStr">
        <is>
          <t>UKPN</t>
        </is>
      </c>
      <c r="R689" t="b">
        <v>0</v>
      </c>
    </row>
    <row r="690">
      <c r="A690" t="inlineStr">
        <is>
          <t>1 Jul 2025 / Anthony Gale</t>
        </is>
      </c>
      <c r="B690" t="inlineStr">
        <is>
          <t>Utilities &amp; Inland Waterways</t>
        </is>
      </c>
      <c r="C690" t="inlineStr">
        <is>
          <t>UKPN</t>
        </is>
      </c>
      <c r="D690" t="inlineStr">
        <is>
          <t>PE07 HGL , Vehicle , Mitsubishi , L200 K74</t>
        </is>
      </c>
      <c r="E690" t="inlineStr">
        <is>
          <t>PE07 HGL , Vehicle , Mitsubishi , L200 K74</t>
        </is>
      </c>
      <c r="F690" t="inlineStr">
        <is>
          <t>PE07 HGL , Vehicle , Mitsubishi , L200 K74</t>
        </is>
      </c>
      <c r="G690" t="inlineStr">
        <is>
          <t>Anthony Gale</t>
        </is>
      </c>
      <c r="H690" t="inlineStr">
        <is>
          <t>Pickup Truck</t>
        </is>
      </c>
      <c r="I690" t="inlineStr">
        <is>
          <t>Daily/ Weekly Vehicle Inspection</t>
        </is>
      </c>
      <c r="J690" t="inlineStr">
        <is>
          <t>N/A</t>
        </is>
      </c>
      <c r="K690" t="inlineStr">
        <is>
          <t>7996 M G Tree Surgery Ltd 1</t>
        </is>
      </c>
      <c r="L690" t="inlineStr">
        <is>
          <t>01/07/2025 07:11</t>
        </is>
      </c>
      <c r="M690" t="inlineStr">
        <is>
          <t>None</t>
        </is>
      </c>
      <c r="N690" t="inlineStr">
        <is>
          <t>&lt;p&gt;&lt;/p&gt;</t>
        </is>
      </c>
      <c r="O690" t="inlineStr"/>
      <c r="P690" t="inlineStr">
        <is>
          <t>PE07 HGL , Vehicle , Mitsubishi , L200 K74</t>
        </is>
      </c>
      <c r="Q690" t="inlineStr">
        <is>
          <t>UKPN</t>
        </is>
      </c>
      <c r="R690" t="b">
        <v>0</v>
      </c>
    </row>
    <row r="691">
      <c r="A691" t="inlineStr">
        <is>
          <t>1 Jul 2025 / 7940 HRJ Tree Services LTD</t>
        </is>
      </c>
      <c r="B691" t="inlineStr">
        <is>
          <t>Utilities &amp; Inland Waterways</t>
        </is>
      </c>
      <c r="C691" t="inlineStr">
        <is>
          <t>UKPN</t>
        </is>
      </c>
      <c r="D691" t="inlineStr"/>
      <c r="E691" t="inlineStr"/>
      <c r="F691" t="inlineStr"/>
      <c r="G691" t="inlineStr"/>
      <c r="H691" t="inlineStr"/>
      <c r="I691" t="inlineStr">
        <is>
          <t>Add to Vehicle to the GC Vehicle List</t>
        </is>
      </c>
      <c r="J691" t="inlineStr">
        <is>
          <t>N/A</t>
        </is>
      </c>
      <c r="K691" t="inlineStr">
        <is>
          <t>7940 HRJ Tree Services LTD</t>
        </is>
      </c>
      <c r="L691" t="inlineStr">
        <is>
          <t>01/07/2025 07:12</t>
        </is>
      </c>
      <c r="M691" t="inlineStr">
        <is>
          <t>None</t>
        </is>
      </c>
      <c r="N691" t="inlineStr">
        <is>
          <t>&lt;p&gt;&lt;/p&gt;</t>
        </is>
      </c>
      <c r="O691" t="inlineStr"/>
      <c r="P691" t="inlineStr"/>
      <c r="Q691" t="inlineStr">
        <is>
          <t>UKPN</t>
        </is>
      </c>
      <c r="R691" t="b">
        <v>0</v>
      </c>
    </row>
    <row r="692">
      <c r="A692" t="inlineStr">
        <is>
          <t>1 Jul 2025 / 7940 HRJ Tree Services LTD</t>
        </is>
      </c>
      <c r="B692" t="inlineStr">
        <is>
          <t>Utilities &amp; Inland Waterways</t>
        </is>
      </c>
      <c r="C692" t="inlineStr">
        <is>
          <t>UKPN</t>
        </is>
      </c>
      <c r="D692" t="inlineStr">
        <is>
          <t>Kx65fcp , 4x4 , Izuzu d max  , D max</t>
        </is>
      </c>
      <c r="E692" t="inlineStr">
        <is>
          <t>Kx65fcp , 4x4 , Izuzu d max  , D max</t>
        </is>
      </c>
      <c r="F692" t="inlineStr">
        <is>
          <t>Kx65fcp , 4x4 , Izuzu d max  , D max</t>
        </is>
      </c>
      <c r="G692" t="inlineStr">
        <is>
          <t xml:space="preserve">Jack Buchan </t>
        </is>
      </c>
      <c r="H692" t="inlineStr">
        <is>
          <t>4x4</t>
        </is>
      </c>
      <c r="I692" t="inlineStr">
        <is>
          <t>Daily/ Weekly Vehicle Inspection</t>
        </is>
      </c>
      <c r="J692" t="inlineStr">
        <is>
          <t>N/A</t>
        </is>
      </c>
      <c r="K692" t="inlineStr">
        <is>
          <t>7940 HRJ Tree Services LTD</t>
        </is>
      </c>
      <c r="L692" t="inlineStr">
        <is>
          <t>01/07/2025 07:13</t>
        </is>
      </c>
      <c r="M692" t="inlineStr">
        <is>
          <t>None</t>
        </is>
      </c>
      <c r="N692" t="inlineStr">
        <is>
          <t>&lt;p&gt;&lt;/p&gt;</t>
        </is>
      </c>
      <c r="O692" t="inlineStr"/>
      <c r="P692" t="inlineStr">
        <is>
          <t>Kx65fcp , 4x4 , Izuzu d max  , D max</t>
        </is>
      </c>
      <c r="Q692" t="inlineStr">
        <is>
          <t>UKPN</t>
        </is>
      </c>
      <c r="R692" t="b">
        <v>0</v>
      </c>
    </row>
    <row r="693">
      <c r="A693" t="inlineStr">
        <is>
          <t>1 Jul 2025 / 7940 HRJ Tree Services LTD</t>
        </is>
      </c>
      <c r="B693" t="inlineStr">
        <is>
          <t>Utilities &amp; Inland Waterways</t>
        </is>
      </c>
      <c r="C693" t="inlineStr">
        <is>
          <t>UKPN</t>
        </is>
      </c>
      <c r="D693" t="inlineStr">
        <is>
          <t>4x4 - Toyota  - Hilux - LL70GZP</t>
        </is>
      </c>
      <c r="E693" t="inlineStr">
        <is>
          <t>4x4 - Toyota  - Hilux - LL70GZP</t>
        </is>
      </c>
      <c r="F693" t="inlineStr">
        <is>
          <t>4x4 - Toyota  - Hilux - LL70GZP</t>
        </is>
      </c>
      <c r="G693" t="inlineStr">
        <is>
          <t>Harry Wilson</t>
        </is>
      </c>
      <c r="H693" t="inlineStr">
        <is>
          <t>4x4</t>
        </is>
      </c>
      <c r="I693" t="inlineStr">
        <is>
          <t>Daily/ Weekly Vehicle Inspection</t>
        </is>
      </c>
      <c r="J693" t="inlineStr">
        <is>
          <t>N/A</t>
        </is>
      </c>
      <c r="K693" t="inlineStr">
        <is>
          <t>7940 HRJ Tree Services LTD</t>
        </is>
      </c>
      <c r="L693" t="inlineStr">
        <is>
          <t>01/07/2025 07:14</t>
        </is>
      </c>
      <c r="M693" t="inlineStr">
        <is>
          <t>None</t>
        </is>
      </c>
      <c r="N693" t="inlineStr">
        <is>
          <t>&lt;p&gt;&lt;/p&gt;</t>
        </is>
      </c>
      <c r="O693" t="inlineStr"/>
      <c r="P693" t="inlineStr">
        <is>
          <t>4x4 - Toyota  - Hilux - LL70GZP</t>
        </is>
      </c>
      <c r="Q693" t="inlineStr">
        <is>
          <t>UKPN</t>
        </is>
      </c>
      <c r="R693" t="b">
        <v>0</v>
      </c>
    </row>
    <row r="694">
      <c r="A694" t="inlineStr">
        <is>
          <t>1 Jul 2025 / 6617 Ashdown Tree Limited 1</t>
        </is>
      </c>
      <c r="B694" t="inlineStr">
        <is>
          <t>Utilities &amp; Inland Waterways</t>
        </is>
      </c>
      <c r="C694" t="inlineStr">
        <is>
          <t>UKPN</t>
        </is>
      </c>
      <c r="D694" t="inlineStr">
        <is>
          <t>GU11LKD , 4x4 , Land Rover , Defender</t>
        </is>
      </c>
      <c r="E694" t="inlineStr">
        <is>
          <t>GU11LKD , 4x4 , Land Rover , Defender</t>
        </is>
      </c>
      <c r="F694" t="inlineStr">
        <is>
          <t>GU11LKD , 4x4 , Land Rover , Defender</t>
        </is>
      </c>
      <c r="G694" t="inlineStr">
        <is>
          <t xml:space="preserve">Francislesser </t>
        </is>
      </c>
      <c r="H694" t="inlineStr">
        <is>
          <t>4x4</t>
        </is>
      </c>
      <c r="I694" t="inlineStr">
        <is>
          <t>Daily/ Weekly Vehicle Inspection</t>
        </is>
      </c>
      <c r="J694" t="inlineStr">
        <is>
          <t>N/A</t>
        </is>
      </c>
      <c r="K694" t="inlineStr">
        <is>
          <t>6617 Ashdown Tree Limited 1</t>
        </is>
      </c>
      <c r="L694" t="inlineStr">
        <is>
          <t>01/07/2025 08:06</t>
        </is>
      </c>
      <c r="M694" t="inlineStr">
        <is>
          <t>None</t>
        </is>
      </c>
      <c r="N694" t="inlineStr">
        <is>
          <t>&lt;p&gt;&lt;/p&gt;</t>
        </is>
      </c>
      <c r="O694" t="inlineStr"/>
      <c r="P694" t="inlineStr">
        <is>
          <t>GU11LKD , 4x4 , Land Rover , Defender</t>
        </is>
      </c>
      <c r="Q694" t="inlineStr">
        <is>
          <t>UKPN</t>
        </is>
      </c>
      <c r="R694" t="b">
        <v>0</v>
      </c>
    </row>
    <row r="695">
      <c r="A695" t="inlineStr">
        <is>
          <t>1 Jul 2025 / 7996 M G Tree Surgery Ltd</t>
        </is>
      </c>
      <c r="B695" t="inlineStr">
        <is>
          <t>Utilities &amp; Inland Waterways</t>
        </is>
      </c>
      <c r="C695" t="inlineStr">
        <is>
          <t>UKPN</t>
        </is>
      </c>
      <c r="D695" t="inlineStr">
        <is>
          <t>GU13 WNL , MEWP , Land Rover , Defender 130</t>
        </is>
      </c>
      <c r="E695" t="inlineStr">
        <is>
          <t>GU13 WNL , MEWP , Land Rover , Defender 130</t>
        </is>
      </c>
      <c r="F695" t="inlineStr">
        <is>
          <t>GU13 WNL , MEWP , Land Rover , Defender 130</t>
        </is>
      </c>
      <c r="G695" t="inlineStr">
        <is>
          <t>Ax gaylor</t>
        </is>
      </c>
      <c r="H695" t="inlineStr">
        <is>
          <t>4x4</t>
        </is>
      </c>
      <c r="I695" t="inlineStr">
        <is>
          <t>Daily/ Weekly Vehicle Inspection</t>
        </is>
      </c>
      <c r="J695" t="inlineStr">
        <is>
          <t>N/A</t>
        </is>
      </c>
      <c r="K695" t="inlineStr">
        <is>
          <t>7996 M G Tree Surgery Ltd</t>
        </is>
      </c>
      <c r="L695" t="inlineStr">
        <is>
          <t>01/07/2025 08:07</t>
        </is>
      </c>
      <c r="M695" t="inlineStr">
        <is>
          <t>None</t>
        </is>
      </c>
      <c r="N695" t="inlineStr">
        <is>
          <t>&lt;p&gt;&lt;/p&gt;</t>
        </is>
      </c>
      <c r="O695" t="inlineStr"/>
      <c r="P695" t="inlineStr">
        <is>
          <t>GU13 WNL , MEWP , Land Rover , Defender 130</t>
        </is>
      </c>
      <c r="Q695" t="inlineStr">
        <is>
          <t>UKPN</t>
        </is>
      </c>
      <c r="R695" t="b">
        <v>0</v>
      </c>
    </row>
    <row r="696">
      <c r="A696" t="inlineStr">
        <is>
          <t>1 Jul 2025 / 7951 Austin Tree Care LTD</t>
        </is>
      </c>
      <c r="B696" t="inlineStr">
        <is>
          <t>Utilities &amp; Inland Waterways</t>
        </is>
      </c>
      <c r="C696" t="inlineStr">
        <is>
          <t>UKPN</t>
        </is>
      </c>
      <c r="D696" t="inlineStr">
        <is>
          <t>WF61 HZV , 4x4 MEWP , Land Rover , Defender</t>
        </is>
      </c>
      <c r="E696" t="inlineStr">
        <is>
          <t>WF61 HZV , 4x4 MEWP , Land Rover , Defender</t>
        </is>
      </c>
      <c r="F696" t="inlineStr">
        <is>
          <t>WF61 HZV , 4x4 MEWP , Land Rover , Defender</t>
        </is>
      </c>
      <c r="G696" t="inlineStr">
        <is>
          <t>Jack Austin</t>
        </is>
      </c>
      <c r="H696" t="inlineStr">
        <is>
          <t>Towed Chipper</t>
        </is>
      </c>
      <c r="I696" t="inlineStr">
        <is>
          <t>Daily/ Weekly Vehicle Inspection</t>
        </is>
      </c>
      <c r="J696" t="inlineStr">
        <is>
          <t>N/A</t>
        </is>
      </c>
      <c r="K696" t="inlineStr">
        <is>
          <t>7951 Austin Tree Care LTD</t>
        </is>
      </c>
      <c r="L696" t="inlineStr">
        <is>
          <t>01/07/2025 08:08</t>
        </is>
      </c>
      <c r="M696" t="inlineStr">
        <is>
          <t>None</t>
        </is>
      </c>
      <c r="N696" t="inlineStr">
        <is>
          <t>&lt;p&gt;&lt;/p&gt;</t>
        </is>
      </c>
      <c r="O696" t="inlineStr"/>
      <c r="P696" t="inlineStr">
        <is>
          <t>WF61 HZV , 4x4 MEWP , Land Rover , Defender</t>
        </is>
      </c>
      <c r="Q696" t="inlineStr">
        <is>
          <t>UKPN</t>
        </is>
      </c>
      <c r="R696" t="b">
        <v>0</v>
      </c>
    </row>
    <row r="697">
      <c r="A697" t="inlineStr">
        <is>
          <t>1 Jul 2025 / 7951 Austin Tree Care LTD</t>
        </is>
      </c>
      <c r="B697" t="inlineStr">
        <is>
          <t>Utilities &amp; Inland Waterways</t>
        </is>
      </c>
      <c r="C697" t="inlineStr">
        <is>
          <t>UKPN</t>
        </is>
      </c>
      <c r="D697" t="inlineStr">
        <is>
          <t>WF61 HZV , 4x4 MEWP , Land Rover , Defender</t>
        </is>
      </c>
      <c r="E697" t="inlineStr">
        <is>
          <t>WF61 HZV , 4x4 MEWP , Land Rover , Defender</t>
        </is>
      </c>
      <c r="F697" t="inlineStr">
        <is>
          <t>WF61 HZV , 4x4 MEWP , Land Rover , Defender</t>
        </is>
      </c>
      <c r="G697" t="inlineStr">
        <is>
          <t xml:space="preserve">Jack Austin </t>
        </is>
      </c>
      <c r="H697" t="inlineStr">
        <is>
          <t>4x4</t>
        </is>
      </c>
      <c r="I697" t="inlineStr">
        <is>
          <t>Daily/ Weekly Vehicle Inspection</t>
        </is>
      </c>
      <c r="J697" t="inlineStr">
        <is>
          <t>N/A</t>
        </is>
      </c>
      <c r="K697" t="inlineStr">
        <is>
          <t>7951 Austin Tree Care LTD</t>
        </is>
      </c>
      <c r="L697" t="inlineStr">
        <is>
          <t>01/07/2025 08:08</t>
        </is>
      </c>
      <c r="M697" t="inlineStr">
        <is>
          <t>None</t>
        </is>
      </c>
      <c r="N697" t="inlineStr">
        <is>
          <t>&lt;p&gt;&lt;/p&gt;</t>
        </is>
      </c>
      <c r="O697" t="inlineStr"/>
      <c r="P697" t="inlineStr">
        <is>
          <t>WF61 HZV , 4x4 MEWP , Land Rover , Defender</t>
        </is>
      </c>
      <c r="Q697" t="inlineStr">
        <is>
          <t>UKPN</t>
        </is>
      </c>
      <c r="R697" t="b">
        <v>0</v>
      </c>
    </row>
    <row r="698">
      <c r="A698" t="inlineStr">
        <is>
          <t>1 Jul 2025 / 7186 Eastwoodbury Tree Services Ltd</t>
        </is>
      </c>
      <c r="B698" t="inlineStr">
        <is>
          <t>Utilities &amp; Inland Waterways</t>
        </is>
      </c>
      <c r="C698" t="inlineStr">
        <is>
          <t>UKPN</t>
        </is>
      </c>
      <c r="D698" t="inlineStr">
        <is>
          <t>SA9ST6P0001283612 , Tow Chipper , Forst , ST6p</t>
        </is>
      </c>
      <c r="E698" t="inlineStr">
        <is>
          <t>SA9ST6P0001283612 , Tow Chipper , Forst , ST6p</t>
        </is>
      </c>
      <c r="F698" t="inlineStr">
        <is>
          <t>SA9ST6P0001283612 , Tow Chipper , Forst , ST6p</t>
        </is>
      </c>
      <c r="G698" t="inlineStr">
        <is>
          <t xml:space="preserve">Jay Denkmayer </t>
        </is>
      </c>
      <c r="H698" t="inlineStr">
        <is>
          <t>Towed Chipper</t>
        </is>
      </c>
      <c r="I698" t="inlineStr">
        <is>
          <t>Daily/ Weekly Vehicle Inspection</t>
        </is>
      </c>
      <c r="J698" t="inlineStr">
        <is>
          <t>N/A</t>
        </is>
      </c>
      <c r="K698" t="inlineStr">
        <is>
          <t>7186 Eastwoodbury Tree Services Ltd</t>
        </is>
      </c>
      <c r="L698" t="inlineStr">
        <is>
          <t>01/07/2025 08:09</t>
        </is>
      </c>
      <c r="M698" t="inlineStr">
        <is>
          <t>None</t>
        </is>
      </c>
      <c r="N698" t="inlineStr">
        <is>
          <t>&lt;p&gt;&lt;/p&gt;</t>
        </is>
      </c>
      <c r="O698" t="inlineStr"/>
      <c r="P698" t="inlineStr">
        <is>
          <t>SA9ST6P0001283612 , Tow Chipper , Forst , ST6p</t>
        </is>
      </c>
      <c r="Q698" t="inlineStr">
        <is>
          <t>UKPN</t>
        </is>
      </c>
      <c r="R698" t="b">
        <v>0</v>
      </c>
    </row>
    <row r="699">
      <c r="A699" t="inlineStr">
        <is>
          <t>1 Jul 2025 / 7186 Eastwoodbury Tree Services Ltd</t>
        </is>
      </c>
      <c r="B699" t="inlineStr">
        <is>
          <t>Utilities &amp; Inland Waterways</t>
        </is>
      </c>
      <c r="C699" t="inlineStr">
        <is>
          <t>UKPN</t>
        </is>
      </c>
      <c r="D699" t="inlineStr">
        <is>
          <t>AO57BPF , 4x4 , Santana  , Ps10</t>
        </is>
      </c>
      <c r="E699" t="inlineStr">
        <is>
          <t>AO57BPF , 4x4 , Santana  , Ps10</t>
        </is>
      </c>
      <c r="F699" t="inlineStr">
        <is>
          <t>AO57BPF , 4x4 , Santana  , Ps10</t>
        </is>
      </c>
      <c r="G699" t="inlineStr">
        <is>
          <t xml:space="preserve">Jay Denkmayer </t>
        </is>
      </c>
      <c r="H699" t="inlineStr">
        <is>
          <t>4x4</t>
        </is>
      </c>
      <c r="I699" t="inlineStr">
        <is>
          <t>Daily/ Weekly Vehicle Inspection</t>
        </is>
      </c>
      <c r="J699" t="inlineStr">
        <is>
          <t>N/A</t>
        </is>
      </c>
      <c r="K699" t="inlineStr">
        <is>
          <t>7186 Eastwoodbury Tree Services Ltd</t>
        </is>
      </c>
      <c r="L699" t="inlineStr">
        <is>
          <t>01/07/2025 08:10</t>
        </is>
      </c>
      <c r="M699" t="inlineStr">
        <is>
          <t>None</t>
        </is>
      </c>
      <c r="N699" t="inlineStr">
        <is>
          <t>&lt;p&gt;&lt;/p&gt;</t>
        </is>
      </c>
      <c r="O699" t="inlineStr"/>
      <c r="P699" t="inlineStr">
        <is>
          <t>AO57BPF , 4x4 , Santana  , Ps10</t>
        </is>
      </c>
      <c r="Q699" t="inlineStr">
        <is>
          <t>UKPN</t>
        </is>
      </c>
      <c r="R699" t="b">
        <v>0</v>
      </c>
    </row>
    <row r="700">
      <c r="A700" t="inlineStr">
        <is>
          <t>1 Jul 2025 / 7186 Eastwoodbury Tree Services Ltd</t>
        </is>
      </c>
      <c r="B700" t="inlineStr">
        <is>
          <t>Utilities &amp; Inland Waterways</t>
        </is>
      </c>
      <c r="C700" t="inlineStr">
        <is>
          <t>UKPN</t>
        </is>
      </c>
      <c r="D700" t="inlineStr">
        <is>
          <t>210137001-A8 , Tow Chipper , Timberwolf , TW190 DBH</t>
        </is>
      </c>
      <c r="E700" t="inlineStr">
        <is>
          <t>210137001-A8 , Tow Chipper , Timberwolf , TW190 DBH</t>
        </is>
      </c>
      <c r="F700" t="inlineStr">
        <is>
          <t>210137001-A8 , Tow Chipper , Timberwolf , TW190 DBH</t>
        </is>
      </c>
      <c r="G700" t="inlineStr">
        <is>
          <t xml:space="preserve">Dan Gilbert </t>
        </is>
      </c>
      <c r="H700" t="inlineStr">
        <is>
          <t>Towed Chipper</t>
        </is>
      </c>
      <c r="I700" t="inlineStr">
        <is>
          <t>Daily/ Weekly Vehicle Inspection</t>
        </is>
      </c>
      <c r="J700" t="inlineStr">
        <is>
          <t>N/A</t>
        </is>
      </c>
      <c r="K700" t="inlineStr">
        <is>
          <t>7186 Eastwoodbury Tree Services Ltd</t>
        </is>
      </c>
      <c r="L700" t="inlineStr">
        <is>
          <t>01/07/2025 08:11</t>
        </is>
      </c>
      <c r="M700" t="inlineStr">
        <is>
          <t>None</t>
        </is>
      </c>
      <c r="N700" t="inlineStr">
        <is>
          <t>&lt;p&gt;&lt;/p&gt;</t>
        </is>
      </c>
      <c r="O700" t="inlineStr"/>
      <c r="P700" t="inlineStr">
        <is>
          <t>210137001-A8 , Tow Chipper , Timberwolf , TW190 DBH</t>
        </is>
      </c>
      <c r="Q700" t="inlineStr">
        <is>
          <t>UKPN</t>
        </is>
      </c>
      <c r="R700" t="b">
        <v>0</v>
      </c>
    </row>
    <row r="701">
      <c r="A701" t="inlineStr">
        <is>
          <t>1 Jul 2025 / 7186 Eastwoodbury Tree Services Ltd</t>
        </is>
      </c>
      <c r="B701" t="inlineStr">
        <is>
          <t>Utilities &amp; Inland Waterways</t>
        </is>
      </c>
      <c r="C701" t="inlineStr">
        <is>
          <t>UKPN</t>
        </is>
      </c>
      <c r="D701" t="inlineStr">
        <is>
          <t>FN600XM , 4x4 , Land Rover  , Defender</t>
        </is>
      </c>
      <c r="E701" t="inlineStr">
        <is>
          <t>FN600XM , 4x4 , Land Rover  , Defender</t>
        </is>
      </c>
      <c r="F701" t="inlineStr">
        <is>
          <t>FN600XM , 4x4 , Land Rover  , Defender</t>
        </is>
      </c>
      <c r="G701" t="inlineStr">
        <is>
          <t xml:space="preserve">Dan Gilbert </t>
        </is>
      </c>
      <c r="H701" t="inlineStr">
        <is>
          <t>4x4</t>
        </is>
      </c>
      <c r="I701" t="inlineStr">
        <is>
          <t>Daily/ Weekly Vehicle Inspection</t>
        </is>
      </c>
      <c r="J701" t="inlineStr">
        <is>
          <t>N/A</t>
        </is>
      </c>
      <c r="K701" t="inlineStr">
        <is>
          <t>7186 Eastwoodbury Tree Services Ltd</t>
        </is>
      </c>
      <c r="L701" t="inlineStr">
        <is>
          <t>01/07/2025 08:11</t>
        </is>
      </c>
      <c r="M701" t="inlineStr">
        <is>
          <t>None</t>
        </is>
      </c>
      <c r="N701" t="inlineStr">
        <is>
          <t>&lt;p&gt;&lt;/p&gt;</t>
        </is>
      </c>
      <c r="O701" t="inlineStr"/>
      <c r="P701" t="inlineStr">
        <is>
          <t>FN600XM , 4x4 , Land Rover  , Defender</t>
        </is>
      </c>
      <c r="Q701" t="inlineStr">
        <is>
          <t>UKPN</t>
        </is>
      </c>
      <c r="R701" t="b">
        <v>0</v>
      </c>
    </row>
    <row r="702">
      <c r="A702" t="inlineStr">
        <is>
          <t>1 Jul 2025 / 7800 MAC Tree Surgery and Fencing Ltd</t>
        </is>
      </c>
      <c r="B702" t="inlineStr">
        <is>
          <t>Utilities &amp; Inland Waterways</t>
        </is>
      </c>
      <c r="C702" t="inlineStr">
        <is>
          <t>UKPN</t>
        </is>
      </c>
      <c r="D702" t="inlineStr">
        <is>
          <t>AY68DAA , 4x4 , Izuzu , Dmax</t>
        </is>
      </c>
      <c r="E702" t="inlineStr">
        <is>
          <t>AY68DAA , 4x4 , Izuzu , Dmax</t>
        </is>
      </c>
      <c r="F702" t="inlineStr">
        <is>
          <t>AY68DAA , 4x4 , Izuzu , Dmax</t>
        </is>
      </c>
      <c r="G702" t="inlineStr">
        <is>
          <t xml:space="preserve">Lewis </t>
        </is>
      </c>
      <c r="H702" t="inlineStr">
        <is>
          <t>4x4</t>
        </is>
      </c>
      <c r="I702" t="inlineStr">
        <is>
          <t>Daily/ Weekly Vehicle Inspection</t>
        </is>
      </c>
      <c r="J702" t="inlineStr">
        <is>
          <t>N/A</t>
        </is>
      </c>
      <c r="K702" t="inlineStr">
        <is>
          <t>7800 MAC Tree Surgery and Fencing Ltd</t>
        </is>
      </c>
      <c r="L702" t="inlineStr">
        <is>
          <t>01/07/2025 08:12</t>
        </is>
      </c>
      <c r="M702" t="inlineStr">
        <is>
          <t>None</t>
        </is>
      </c>
      <c r="N702" t="inlineStr">
        <is>
          <t>&lt;p&gt;&lt;/p&gt;</t>
        </is>
      </c>
      <c r="O702" t="inlineStr">
        <is>
          <t>Confirm that you have checked this vehicle as per the guidance document and the vehicle is safe and roadworthy:Slight crack in windscreen but doesn't effect vision
-</t>
        </is>
      </c>
      <c r="P702" t="inlineStr">
        <is>
          <t>AY68DAA , 4x4 , Izuzu , Dmax</t>
        </is>
      </c>
      <c r="Q702" t="inlineStr">
        <is>
          <t>UKPN</t>
        </is>
      </c>
      <c r="R702" t="b">
        <v>0</v>
      </c>
    </row>
    <row r="703">
      <c r="A703" t="inlineStr">
        <is>
          <t>1 Jul 2025 / 7800 MAC Tree Surgery and Fencing Ltd</t>
        </is>
      </c>
      <c r="B703" t="inlineStr">
        <is>
          <t>Utilities &amp; Inland Waterways</t>
        </is>
      </c>
      <c r="C703" t="inlineStr">
        <is>
          <t>UKPN</t>
        </is>
      </c>
      <c r="D703" t="inlineStr">
        <is>
          <t>205143043-A1 , Tow Chipper , Timberwolf , TW150</t>
        </is>
      </c>
      <c r="E703" t="inlineStr">
        <is>
          <t>205143043-A1 , Tow Chipper , Timberwolf , TW150</t>
        </is>
      </c>
      <c r="F703" t="inlineStr">
        <is>
          <t>205143043-A1 , Tow Chipper , Timberwolf , TW150</t>
        </is>
      </c>
      <c r="G703" t="inlineStr">
        <is>
          <t xml:space="preserve">Lewis mac </t>
        </is>
      </c>
      <c r="H703" t="inlineStr">
        <is>
          <t>Towed Chipper</t>
        </is>
      </c>
      <c r="I703" t="inlineStr">
        <is>
          <t>Daily/ Weekly Vehicle Inspection</t>
        </is>
      </c>
      <c r="J703" t="inlineStr">
        <is>
          <t>N/A</t>
        </is>
      </c>
      <c r="K703" t="inlineStr">
        <is>
          <t>7800 MAC Tree Surgery and Fencing Ltd</t>
        </is>
      </c>
      <c r="L703" t="inlineStr">
        <is>
          <t>01/07/2025 08:13</t>
        </is>
      </c>
      <c r="M703" t="inlineStr">
        <is>
          <t>None</t>
        </is>
      </c>
      <c r="N703" t="inlineStr">
        <is>
          <t>&lt;p&gt;&lt;/p&gt;</t>
        </is>
      </c>
      <c r="O703" t="inlineStr"/>
      <c r="P703" t="inlineStr">
        <is>
          <t>205143043-A1 , Tow Chipper , Timberwolf , TW150</t>
        </is>
      </c>
      <c r="Q703" t="inlineStr">
        <is>
          <t>UKPN</t>
        </is>
      </c>
      <c r="R703" t="b">
        <v>0</v>
      </c>
    </row>
    <row r="704">
      <c r="A704" t="inlineStr">
        <is>
          <t>1 Jul 2025 / 7806 Optimum Tree Services Ltd</t>
        </is>
      </c>
      <c r="B704" t="inlineStr">
        <is>
          <t>Utilities &amp; Inland Waterways</t>
        </is>
      </c>
      <c r="C704" t="inlineStr">
        <is>
          <t>UKPN</t>
        </is>
      </c>
      <c r="D704" t="inlineStr">
        <is>
          <t>SA9ST800000283069 , Chipper , Forst , ST 6P</t>
        </is>
      </c>
      <c r="E704" t="inlineStr">
        <is>
          <t>SA9ST800000283069 , Chipper , Forst , ST 6P</t>
        </is>
      </c>
      <c r="F704" t="inlineStr">
        <is>
          <t>SA9ST800000283069 , Chipper , Forst , ST 6P</t>
        </is>
      </c>
      <c r="G704" t="inlineStr">
        <is>
          <t xml:space="preserve">Abraham Davies </t>
        </is>
      </c>
      <c r="H704" t="inlineStr">
        <is>
          <t>Towed Chipper</t>
        </is>
      </c>
      <c r="I704" t="inlineStr">
        <is>
          <t>Daily/ Weekly Vehicle Inspection</t>
        </is>
      </c>
      <c r="J704" t="inlineStr">
        <is>
          <t>N/A</t>
        </is>
      </c>
      <c r="K704" t="inlineStr">
        <is>
          <t>7806 Optimum Tree Services Ltd</t>
        </is>
      </c>
      <c r="L704" t="inlineStr">
        <is>
          <t>01/07/2025 08:14</t>
        </is>
      </c>
      <c r="M704" t="inlineStr">
        <is>
          <t>None</t>
        </is>
      </c>
      <c r="N704" t="inlineStr">
        <is>
          <t>&lt;p&gt;&lt;/p&gt;</t>
        </is>
      </c>
      <c r="O704" t="inlineStr"/>
      <c r="P704" t="inlineStr">
        <is>
          <t>SA9ST800000283069 , Chipper , Forst , ST 6P</t>
        </is>
      </c>
      <c r="Q704" t="inlineStr">
        <is>
          <t>UKPN</t>
        </is>
      </c>
      <c r="R704" t="b">
        <v>0</v>
      </c>
    </row>
    <row r="705">
      <c r="A705" t="inlineStr">
        <is>
          <t>1 Jul 2025 / 6617 Ashdown Tree Limited</t>
        </is>
      </c>
      <c r="B705" t="inlineStr">
        <is>
          <t>Utilities &amp; Inland Waterways</t>
        </is>
      </c>
      <c r="C705" t="inlineStr">
        <is>
          <t>UKPN</t>
        </is>
      </c>
      <c r="D705" t="inlineStr"/>
      <c r="E705" t="inlineStr"/>
      <c r="F705" t="inlineStr"/>
      <c r="G705" t="inlineStr"/>
      <c r="H705" t="inlineStr"/>
      <c r="I705" t="inlineStr">
        <is>
          <t>Add to Vehicle to the GC Vehicle List</t>
        </is>
      </c>
      <c r="J705" t="inlineStr">
        <is>
          <t>N/A</t>
        </is>
      </c>
      <c r="K705" t="inlineStr">
        <is>
          <t>6617 Ashdown Tree Limited</t>
        </is>
      </c>
      <c r="L705" t="inlineStr">
        <is>
          <t>01/07/2025 09:08</t>
        </is>
      </c>
      <c r="M705" t="inlineStr">
        <is>
          <t>None</t>
        </is>
      </c>
      <c r="N705" t="inlineStr">
        <is>
          <t>&lt;p&gt;&lt;/p&gt;</t>
        </is>
      </c>
      <c r="O705" t="inlineStr"/>
      <c r="P705" t="inlineStr"/>
      <c r="Q705" t="inlineStr">
        <is>
          <t>UKPN</t>
        </is>
      </c>
      <c r="R705" t="b">
        <v>0</v>
      </c>
    </row>
    <row r="706">
      <c r="A706" t="inlineStr">
        <is>
          <t>1 Jul 2025 / 6617 Ashdown Tree Limited</t>
        </is>
      </c>
      <c r="B706" t="inlineStr">
        <is>
          <t>Utilities &amp; Inland Waterways</t>
        </is>
      </c>
      <c r="C706" t="inlineStr">
        <is>
          <t>UKPN</t>
        </is>
      </c>
      <c r="D706" t="inlineStr"/>
      <c r="E706" t="inlineStr"/>
      <c r="F706" t="inlineStr"/>
      <c r="G706" t="inlineStr"/>
      <c r="H706" t="inlineStr"/>
      <c r="I706" t="inlineStr">
        <is>
          <t>Upload Documents</t>
        </is>
      </c>
      <c r="J706" t="inlineStr">
        <is>
          <t>N/A</t>
        </is>
      </c>
      <c r="K706" t="inlineStr">
        <is>
          <t>6617 Ashdown Tree Limited</t>
        </is>
      </c>
      <c r="L706" t="inlineStr">
        <is>
          <t>01/07/2025 09:09</t>
        </is>
      </c>
      <c r="M706" t="inlineStr">
        <is>
          <t>None</t>
        </is>
      </c>
      <c r="N706" t="inlineStr">
        <is>
          <t>&lt;p&gt;&lt;/p&gt;</t>
        </is>
      </c>
      <c r="O706" t="inlineStr"/>
      <c r="P706" t="inlineStr"/>
      <c r="Q706" t="inlineStr">
        <is>
          <t>UKPN</t>
        </is>
      </c>
      <c r="R706" t="b">
        <v>0</v>
      </c>
    </row>
    <row r="707">
      <c r="A707" t="inlineStr">
        <is>
          <t>1 Jul 2025 / 7535 HJ Tree Services</t>
        </is>
      </c>
      <c r="B707" t="inlineStr">
        <is>
          <t>Utilities &amp; Inland Waterways</t>
        </is>
      </c>
      <c r="C707" t="inlineStr">
        <is>
          <t>SSE</t>
        </is>
      </c>
      <c r="D707" t="inlineStr">
        <is>
          <t>4x4 - Ford - Ranger - Bh19vxz</t>
        </is>
      </c>
      <c r="E707" t="inlineStr">
        <is>
          <t>4x4 - Ford - Ranger - Bh19vxz</t>
        </is>
      </c>
      <c r="F707" t="inlineStr">
        <is>
          <t>4x4 - Ford - Ranger - Bh19vxz</t>
        </is>
      </c>
      <c r="G707" t="inlineStr">
        <is>
          <t>Cory Joy</t>
        </is>
      </c>
      <c r="H707" t="inlineStr">
        <is>
          <t>4x4</t>
        </is>
      </c>
      <c r="I707" t="inlineStr">
        <is>
          <t>Daily/ Weekly Vehicle Inspection</t>
        </is>
      </c>
      <c r="J707" t="inlineStr">
        <is>
          <t>N/A</t>
        </is>
      </c>
      <c r="K707" t="inlineStr">
        <is>
          <t>7535 HJ Tree Services</t>
        </is>
      </c>
      <c r="L707" t="inlineStr">
        <is>
          <t>01/07/2025 09:10</t>
        </is>
      </c>
      <c r="M707" t="inlineStr">
        <is>
          <t>None</t>
        </is>
      </c>
      <c r="N707" t="inlineStr">
        <is>
          <t>&lt;p&gt;&lt;/p&gt;</t>
        </is>
      </c>
      <c r="O707" t="inlineStr"/>
      <c r="P707" t="inlineStr">
        <is>
          <t>4x4 - Ford - Ranger - Bh19vxz</t>
        </is>
      </c>
      <c r="Q707" t="inlineStr">
        <is>
          <t>SSE</t>
        </is>
      </c>
      <c r="R707" t="b">
        <v>0</v>
      </c>
    </row>
    <row r="708">
      <c r="A708" t="inlineStr">
        <is>
          <t>1 Jul 2025 / Aaron Billingham</t>
        </is>
      </c>
      <c r="B708" t="inlineStr">
        <is>
          <t>Utilities &amp; Inland Waterways</t>
        </is>
      </c>
      <c r="C708" t="inlineStr">
        <is>
          <t>NGED</t>
        </is>
      </c>
      <c r="D708" t="inlineStr">
        <is>
          <t>EK18ECN , 4x4 , Ford , Ranger</t>
        </is>
      </c>
      <c r="E708" t="inlineStr">
        <is>
          <t>EK18ECN , 4x4 , Ford , Ranger</t>
        </is>
      </c>
      <c r="F708" t="inlineStr">
        <is>
          <t>EK18ECN , 4x4 , Ford , Ranger</t>
        </is>
      </c>
      <c r="G708" t="inlineStr">
        <is>
          <t>Aaron Billingham</t>
        </is>
      </c>
      <c r="H708" t="inlineStr">
        <is>
          <t>4x4</t>
        </is>
      </c>
      <c r="I708" t="inlineStr">
        <is>
          <t>Daily/ Weekly Vehicle Inspection</t>
        </is>
      </c>
      <c r="J708" t="inlineStr">
        <is>
          <t>N/A</t>
        </is>
      </c>
      <c r="K708" t="inlineStr">
        <is>
          <t>Aaron Billingham</t>
        </is>
      </c>
      <c r="L708" t="inlineStr">
        <is>
          <t>01/07/2025 10:09</t>
        </is>
      </c>
      <c r="M708" t="inlineStr">
        <is>
          <t>None</t>
        </is>
      </c>
      <c r="N708" t="inlineStr">
        <is>
          <t>&lt;p&gt;&lt;/p&gt;</t>
        </is>
      </c>
      <c r="O708" t="inlineStr"/>
      <c r="P708" t="inlineStr">
        <is>
          <t>EK18ECN , 4x4 , Ford , Ranger</t>
        </is>
      </c>
      <c r="Q708" t="inlineStr">
        <is>
          <t>NGED</t>
        </is>
      </c>
      <c r="R708" t="b">
        <v>0</v>
      </c>
    </row>
    <row r="709">
      <c r="A709" t="inlineStr">
        <is>
          <t>1 Jul 2025 / Thomas Nandi</t>
        </is>
      </c>
      <c r="B709" t="inlineStr">
        <is>
          <t>Utilities &amp; Inland Waterways</t>
        </is>
      </c>
      <c r="C709" t="inlineStr">
        <is>
          <t>SSE</t>
        </is>
      </c>
      <c r="D709" t="inlineStr">
        <is>
          <t>Car - Petrol - Nissan  - Juke - DY25 UZD</t>
        </is>
      </c>
      <c r="E709" t="inlineStr">
        <is>
          <t>Car - Petrol - Nissan  - Juke - DY25 UZD</t>
        </is>
      </c>
      <c r="F709" t="inlineStr">
        <is>
          <t>Car - Petrol - Nissan  - Juke - DY25 UZD</t>
        </is>
      </c>
      <c r="G709" t="inlineStr">
        <is>
          <t>Tom Nandi</t>
        </is>
      </c>
      <c r="H709" t="inlineStr">
        <is>
          <t>Car - Petrol</t>
        </is>
      </c>
      <c r="I709" t="inlineStr">
        <is>
          <t>Monthly Vehicle Inspection</t>
        </is>
      </c>
      <c r="J709" t="inlineStr">
        <is>
          <t>1030</t>
        </is>
      </c>
      <c r="K709" t="inlineStr">
        <is>
          <t>Thomas Nandi</t>
        </is>
      </c>
      <c r="L709" t="inlineStr">
        <is>
          <t>01/07/2025 14:07</t>
        </is>
      </c>
      <c r="M709" t="inlineStr">
        <is>
          <t>None</t>
        </is>
      </c>
      <c r="N709" t="inlineStr">
        <is>
          <t>&lt;p&gt;&lt;/p&gt;</t>
        </is>
      </c>
      <c r="O709" t="inlineStr"/>
      <c r="P709" t="inlineStr">
        <is>
          <t>Car - Petrol - Nissan  - Juke - DY25 UZD</t>
        </is>
      </c>
      <c r="Q709" t="inlineStr">
        <is>
          <t>SSE</t>
        </is>
      </c>
      <c r="R709" t="b">
        <v>0</v>
      </c>
    </row>
    <row r="710">
      <c r="A710" t="inlineStr">
        <is>
          <t>2 Jul 2025 / 7806 Optimum Tree Services Ltd</t>
        </is>
      </c>
      <c r="B710" t="inlineStr">
        <is>
          <t>Utilities &amp; Inland Waterways</t>
        </is>
      </c>
      <c r="C710" t="inlineStr">
        <is>
          <t>UKPN</t>
        </is>
      </c>
      <c r="D710" t="inlineStr">
        <is>
          <t>SA9ST800000283069 , Chipper , Forst , ST 6P</t>
        </is>
      </c>
      <c r="E710" t="inlineStr">
        <is>
          <t>SA9ST800000283069 , Chipper , Forst , ST 6P</t>
        </is>
      </c>
      <c r="F710" t="inlineStr">
        <is>
          <t>SA9ST800000283069 , Chipper , Forst , ST 6P</t>
        </is>
      </c>
      <c r="G710" t="inlineStr">
        <is>
          <t xml:space="preserve">Abraham Davies </t>
        </is>
      </c>
      <c r="H710" t="inlineStr">
        <is>
          <t>Towed Chipper</t>
        </is>
      </c>
      <c r="I710" t="inlineStr">
        <is>
          <t>Daily/ Weekly Vehicle Inspection</t>
        </is>
      </c>
      <c r="J710" t="inlineStr">
        <is>
          <t>N/A</t>
        </is>
      </c>
      <c r="K710" t="inlineStr">
        <is>
          <t>7806 Optimum Tree Services Ltd</t>
        </is>
      </c>
      <c r="L710" t="inlineStr">
        <is>
          <t>02/07/2025 07:06</t>
        </is>
      </c>
      <c r="M710" t="inlineStr">
        <is>
          <t>None</t>
        </is>
      </c>
      <c r="N710" t="inlineStr">
        <is>
          <t>&lt;p&gt;&lt;/p&gt;</t>
        </is>
      </c>
      <c r="O710" t="inlineStr"/>
      <c r="P710" t="inlineStr">
        <is>
          <t>SA9ST800000283069 , Chipper , Forst , ST 6P</t>
        </is>
      </c>
      <c r="Q710" t="inlineStr">
        <is>
          <t>UKPN</t>
        </is>
      </c>
      <c r="R710" t="b">
        <v>0</v>
      </c>
    </row>
    <row r="711">
      <c r="A711" t="inlineStr">
        <is>
          <t>2 Jul 2025 / 7806 Optimum Tree Services Ltd</t>
        </is>
      </c>
      <c r="B711" t="inlineStr">
        <is>
          <t>Utilities &amp; Inland Waterways</t>
        </is>
      </c>
      <c r="C711" t="inlineStr">
        <is>
          <t>UKPN</t>
        </is>
      </c>
      <c r="D711" t="inlineStr">
        <is>
          <t>WD14EVB , MEWP , Land Rover , Defender</t>
        </is>
      </c>
      <c r="E711" t="inlineStr">
        <is>
          <t>WD14EVB , MEWP , Land Rover , Defender</t>
        </is>
      </c>
      <c r="F711" t="inlineStr">
        <is>
          <t>WD14EVB , MEWP , Land Rover , Defender</t>
        </is>
      </c>
      <c r="G711" t="inlineStr">
        <is>
          <t xml:space="preserve">Abraham Davies </t>
        </is>
      </c>
      <c r="H711" t="inlineStr">
        <is>
          <t>4x4</t>
        </is>
      </c>
      <c r="I711" t="inlineStr">
        <is>
          <t>Daily/ Weekly Vehicle Inspection</t>
        </is>
      </c>
      <c r="J711" t="inlineStr">
        <is>
          <t>N/A</t>
        </is>
      </c>
      <c r="K711" t="inlineStr">
        <is>
          <t>7806 Optimum Tree Services Ltd</t>
        </is>
      </c>
      <c r="L711" t="inlineStr">
        <is>
          <t>02/07/2025 07:07</t>
        </is>
      </c>
      <c r="M711" t="inlineStr">
        <is>
          <t>None</t>
        </is>
      </c>
      <c r="N711" t="inlineStr">
        <is>
          <t>&lt;p&gt;&lt;/p&gt;</t>
        </is>
      </c>
      <c r="O711" t="inlineStr"/>
      <c r="P711" t="inlineStr">
        <is>
          <t>WD14EVB , MEWP , Land Rover , Defender</t>
        </is>
      </c>
      <c r="Q711" t="inlineStr">
        <is>
          <t>UKPN</t>
        </is>
      </c>
      <c r="R711" t="b">
        <v>0</v>
      </c>
    </row>
    <row r="712">
      <c r="A712" t="inlineStr">
        <is>
          <t>2 Jul 2025 / Thomas Playford</t>
        </is>
      </c>
      <c r="B712" t="inlineStr">
        <is>
          <t>Utilities &amp; Inland Waterways</t>
        </is>
      </c>
      <c r="C712" t="inlineStr">
        <is>
          <t>UKPN</t>
        </is>
      </c>
      <c r="D712" t="inlineStr">
        <is>
          <t>YP24 WRD , Vehicle , Ford , Ranger</t>
        </is>
      </c>
      <c r="E712" t="inlineStr">
        <is>
          <t>YP24 WRD , Vehicle , Ford , Ranger</t>
        </is>
      </c>
      <c r="F712" t="inlineStr">
        <is>
          <t>YP24 WRD , Vehicle , Ford , Ranger</t>
        </is>
      </c>
      <c r="G712" t="inlineStr">
        <is>
          <t>Jacob Oram</t>
        </is>
      </c>
      <c r="H712" t="inlineStr">
        <is>
          <t>4x4</t>
        </is>
      </c>
      <c r="I712" t="inlineStr">
        <is>
          <t>Daily/ Weekly Vehicle Inspection</t>
        </is>
      </c>
      <c r="J712" t="inlineStr">
        <is>
          <t>N/A</t>
        </is>
      </c>
      <c r="K712" t="inlineStr">
        <is>
          <t>7995 Contour Landscapes Ltd 2</t>
        </is>
      </c>
      <c r="L712" t="inlineStr">
        <is>
          <t>02/07/2025 07:07</t>
        </is>
      </c>
      <c r="M712" t="inlineStr">
        <is>
          <t>None</t>
        </is>
      </c>
      <c r="N712" t="inlineStr">
        <is>
          <t>&lt;p&gt;&lt;/p&gt;</t>
        </is>
      </c>
      <c r="O712" t="inlineStr"/>
      <c r="P712" t="inlineStr">
        <is>
          <t>YP24 WRD , Vehicle , Ford , Ranger</t>
        </is>
      </c>
      <c r="Q712" t="inlineStr">
        <is>
          <t>UKPN</t>
        </is>
      </c>
      <c r="R712" t="b">
        <v>0</v>
      </c>
    </row>
    <row r="713">
      <c r="A713" t="inlineStr">
        <is>
          <t>2 Jul 2025 / 6617 Ashdown Tree Limited 1</t>
        </is>
      </c>
      <c r="B713" t="inlineStr">
        <is>
          <t>Utilities &amp; Inland Waterways</t>
        </is>
      </c>
      <c r="C713" t="inlineStr">
        <is>
          <t>UKPN</t>
        </is>
      </c>
      <c r="D713" t="inlineStr">
        <is>
          <t>GU11LKD , 4x4 , Land Rover , Defender</t>
        </is>
      </c>
      <c r="E713" t="inlineStr">
        <is>
          <t>GU11LKD , 4x4 , Land Rover , Defender</t>
        </is>
      </c>
      <c r="F713" t="inlineStr">
        <is>
          <t>GU11LKD , 4x4 , Land Rover , Defender</t>
        </is>
      </c>
      <c r="G713" t="inlineStr">
        <is>
          <t xml:space="preserve">Francislesser </t>
        </is>
      </c>
      <c r="H713" t="inlineStr">
        <is>
          <t>4x4</t>
        </is>
      </c>
      <c r="I713" t="inlineStr">
        <is>
          <t>Daily/ Weekly Vehicle Inspection</t>
        </is>
      </c>
      <c r="J713" t="inlineStr">
        <is>
          <t>N/A</t>
        </is>
      </c>
      <c r="K713" t="inlineStr">
        <is>
          <t>6617 Ashdown Tree Limited 1</t>
        </is>
      </c>
      <c r="L713" t="inlineStr">
        <is>
          <t>02/07/2025 07:09</t>
        </is>
      </c>
      <c r="M713" t="inlineStr">
        <is>
          <t>None</t>
        </is>
      </c>
      <c r="N713" t="inlineStr">
        <is>
          <t>&lt;p&gt;&lt;/p&gt;</t>
        </is>
      </c>
      <c r="O713" t="inlineStr">
        <is>
          <t>Select Vehicle:Wg63ojs with indespension trailer</t>
        </is>
      </c>
      <c r="P713" t="inlineStr">
        <is>
          <t>GU11LKD , 4x4 , Land Rover , Defender</t>
        </is>
      </c>
      <c r="Q713" t="inlineStr">
        <is>
          <t>UKPN</t>
        </is>
      </c>
      <c r="R713" t="b">
        <v>0</v>
      </c>
    </row>
    <row r="714">
      <c r="A714" t="inlineStr">
        <is>
          <t>2 Jul 2025 / 7940 HRJ Tree Services LTD</t>
        </is>
      </c>
      <c r="B714" t="inlineStr">
        <is>
          <t>Utilities &amp; Inland Waterways</t>
        </is>
      </c>
      <c r="C714" t="inlineStr">
        <is>
          <t>UKPN</t>
        </is>
      </c>
      <c r="D714" t="inlineStr">
        <is>
          <t>Plant Trailer - Indespension - 211717 - 211717</t>
        </is>
      </c>
      <c r="E714" t="inlineStr">
        <is>
          <t>Plant Trailer - Indespension - 211717 - 211717</t>
        </is>
      </c>
      <c r="F714" t="inlineStr">
        <is>
          <t>Plant Trailer - Indespension - 211717 - 211717</t>
        </is>
      </c>
      <c r="G714" t="inlineStr">
        <is>
          <t>Jack Buchan</t>
        </is>
      </c>
      <c r="H714" t="inlineStr">
        <is>
          <t>Equipment Trailer</t>
        </is>
      </c>
      <c r="I714" t="inlineStr">
        <is>
          <t>Daily/ Weekly Vehicle Inspection</t>
        </is>
      </c>
      <c r="J714" t="inlineStr">
        <is>
          <t>N/A</t>
        </is>
      </c>
      <c r="K714" t="inlineStr">
        <is>
          <t>7940 HRJ Tree Services LTD</t>
        </is>
      </c>
      <c r="L714" t="inlineStr">
        <is>
          <t>02/07/2025 07:10</t>
        </is>
      </c>
      <c r="M714" t="inlineStr">
        <is>
          <t>None</t>
        </is>
      </c>
      <c r="N714" t="inlineStr">
        <is>
          <t>&lt;p&gt;&lt;/p&gt;</t>
        </is>
      </c>
      <c r="O714" t="inlineStr"/>
      <c r="P714" t="inlineStr">
        <is>
          <t>Plant Trailer - Indespension - 211717 - 211717</t>
        </is>
      </c>
      <c r="Q714" t="inlineStr">
        <is>
          <t>UKPN</t>
        </is>
      </c>
      <c r="R714" t="b">
        <v>0</v>
      </c>
    </row>
    <row r="715">
      <c r="A715" t="inlineStr">
        <is>
          <t>2 Jul 2025 / 7940 HRJ Tree Services LTD</t>
        </is>
      </c>
      <c r="B715" t="inlineStr">
        <is>
          <t>Utilities &amp; Inland Waterways</t>
        </is>
      </c>
      <c r="C715" t="inlineStr">
        <is>
          <t>UKPN</t>
        </is>
      </c>
      <c r="D715" t="inlineStr">
        <is>
          <t>4x4 - Toyota  - Hilux - LL70GZP</t>
        </is>
      </c>
      <c r="E715" t="inlineStr">
        <is>
          <t>4x4 - Toyota  - Hilux - LL70GZP</t>
        </is>
      </c>
      <c r="F715" t="inlineStr">
        <is>
          <t>4x4 - Toyota  - Hilux - LL70GZP</t>
        </is>
      </c>
      <c r="G715" t="inlineStr">
        <is>
          <t xml:space="preserve">Harry Wilson </t>
        </is>
      </c>
      <c r="H715" t="inlineStr">
        <is>
          <t>4x4</t>
        </is>
      </c>
      <c r="I715" t="inlineStr">
        <is>
          <t>Daily/ Weekly Vehicle Inspection</t>
        </is>
      </c>
      <c r="J715" t="inlineStr">
        <is>
          <t>N/A</t>
        </is>
      </c>
      <c r="K715" t="inlineStr">
        <is>
          <t>7940 HRJ Tree Services LTD</t>
        </is>
      </c>
      <c r="L715" t="inlineStr">
        <is>
          <t>02/07/2025 07:10</t>
        </is>
      </c>
      <c r="M715" t="inlineStr">
        <is>
          <t>None</t>
        </is>
      </c>
      <c r="N715" t="inlineStr">
        <is>
          <t>&lt;p&gt;&lt;/p&gt;</t>
        </is>
      </c>
      <c r="O715" t="inlineStr"/>
      <c r="P715" t="inlineStr">
        <is>
          <t>4x4 - Toyota  - Hilux - LL70GZP</t>
        </is>
      </c>
      <c r="Q715" t="inlineStr">
        <is>
          <t>UKPN</t>
        </is>
      </c>
      <c r="R715" t="b">
        <v>0</v>
      </c>
    </row>
    <row r="716">
      <c r="A716" t="inlineStr">
        <is>
          <t>2 Jul 2025 / 7951 Austin Tree Care LTD 1</t>
        </is>
      </c>
      <c r="B716" t="inlineStr">
        <is>
          <t>Utilities &amp; Inland Waterways</t>
        </is>
      </c>
      <c r="C716" t="inlineStr">
        <is>
          <t>UKPN</t>
        </is>
      </c>
      <c r="D716" t="inlineStr">
        <is>
          <t>WF61 HZV , 4x4 MEWP , Land Rover , Defender</t>
        </is>
      </c>
      <c r="E716" t="inlineStr">
        <is>
          <t>WF61 HZV , 4x4 MEWP , Land Rover , Defender</t>
        </is>
      </c>
      <c r="F716" t="inlineStr">
        <is>
          <t>WF61 HZV , 4x4 MEWP , Land Rover , Defender</t>
        </is>
      </c>
      <c r="G716" t="inlineStr">
        <is>
          <t xml:space="preserve">James Tasker </t>
        </is>
      </c>
      <c r="H716" t="inlineStr">
        <is>
          <t>4x4</t>
        </is>
      </c>
      <c r="I716" t="inlineStr">
        <is>
          <t>Daily/ Weekly Vehicle Inspection</t>
        </is>
      </c>
      <c r="J716" t="inlineStr">
        <is>
          <t>N/A</t>
        </is>
      </c>
      <c r="K716" t="inlineStr">
        <is>
          <t>7951 Austin Tree Care LTD 1</t>
        </is>
      </c>
      <c r="L716" t="inlineStr">
        <is>
          <t>02/07/2025 07:11</t>
        </is>
      </c>
      <c r="M716" t="inlineStr">
        <is>
          <t>None</t>
        </is>
      </c>
      <c r="N716" t="inlineStr">
        <is>
          <t>&lt;p&gt;&lt;/p&gt;</t>
        </is>
      </c>
      <c r="O716" t="inlineStr"/>
      <c r="P716" t="inlineStr">
        <is>
          <t>WF61 HZV , 4x4 MEWP , Land Rover , Defender</t>
        </is>
      </c>
      <c r="Q716" t="inlineStr">
        <is>
          <t>UKPN</t>
        </is>
      </c>
      <c r="R716" t="b">
        <v>0</v>
      </c>
    </row>
    <row r="717">
      <c r="A717" t="inlineStr">
        <is>
          <t>2 Jul 2025 / 7951 Austin Tree Care LTD</t>
        </is>
      </c>
      <c r="B717" t="inlineStr">
        <is>
          <t>Utilities &amp; Inland Waterways</t>
        </is>
      </c>
      <c r="C717" t="inlineStr">
        <is>
          <t>UKPN</t>
        </is>
      </c>
      <c r="D717" t="inlineStr">
        <is>
          <t>SA9ST6P0001283612 , Tow Chipper , Forst , ST6p</t>
        </is>
      </c>
      <c r="E717" t="inlineStr">
        <is>
          <t>SA9ST6P0001283612 , Tow Chipper , Forst , ST6p</t>
        </is>
      </c>
      <c r="F717" t="inlineStr">
        <is>
          <t>SA9ST6P0001283612 , Tow Chipper , Forst , ST6p</t>
        </is>
      </c>
      <c r="G717" t="inlineStr">
        <is>
          <t xml:space="preserve">Jack Austin </t>
        </is>
      </c>
      <c r="H717" t="inlineStr">
        <is>
          <t>Towed Chipper</t>
        </is>
      </c>
      <c r="I717" t="inlineStr">
        <is>
          <t>Daily/ Weekly Vehicle Inspection</t>
        </is>
      </c>
      <c r="J717" t="inlineStr">
        <is>
          <t>N/A</t>
        </is>
      </c>
      <c r="K717" t="inlineStr">
        <is>
          <t>7951 Austin Tree Care LTD</t>
        </is>
      </c>
      <c r="L717" t="inlineStr">
        <is>
          <t>02/07/2025 07:11</t>
        </is>
      </c>
      <c r="M717" t="inlineStr">
        <is>
          <t>None</t>
        </is>
      </c>
      <c r="N717" t="inlineStr">
        <is>
          <t>&lt;p&gt;&lt;/p&gt;</t>
        </is>
      </c>
      <c r="O717" t="inlineStr"/>
      <c r="P717" t="inlineStr">
        <is>
          <t>SA9ST6P0001283612 , Tow Chipper , Forst , ST6p</t>
        </is>
      </c>
      <c r="Q717" t="inlineStr">
        <is>
          <t>UKPN</t>
        </is>
      </c>
      <c r="R717" t="b">
        <v>0</v>
      </c>
    </row>
    <row r="718">
      <c r="A718" t="inlineStr">
        <is>
          <t>2 Jul 2025 / 7951 Austin Tree Care LTD</t>
        </is>
      </c>
      <c r="B718" t="inlineStr">
        <is>
          <t>Utilities &amp; Inland Waterways</t>
        </is>
      </c>
      <c r="C718" t="inlineStr">
        <is>
          <t>UKPN</t>
        </is>
      </c>
      <c r="D718" t="inlineStr">
        <is>
          <t>Kn58xuy , Tipper , VW  , Crafter</t>
        </is>
      </c>
      <c r="E718" t="inlineStr">
        <is>
          <t>Kn58xuy , Tipper , VW  , Crafter</t>
        </is>
      </c>
      <c r="F718" t="inlineStr">
        <is>
          <t>Kn58xuy , Tipper , VW  , Crafter</t>
        </is>
      </c>
      <c r="G718" t="inlineStr">
        <is>
          <t xml:space="preserve">Jack Austin </t>
        </is>
      </c>
      <c r="H718" t="inlineStr">
        <is>
          <t>Tipper</t>
        </is>
      </c>
      <c r="I718" t="inlineStr">
        <is>
          <t>Daily/ Weekly Vehicle Inspection</t>
        </is>
      </c>
      <c r="J718" t="inlineStr">
        <is>
          <t>N/A</t>
        </is>
      </c>
      <c r="K718" t="inlineStr">
        <is>
          <t>7951 Austin Tree Care LTD</t>
        </is>
      </c>
      <c r="L718" t="inlineStr">
        <is>
          <t>02/07/2025 07:12</t>
        </is>
      </c>
      <c r="M718" t="inlineStr">
        <is>
          <t>None</t>
        </is>
      </c>
      <c r="N718" t="inlineStr">
        <is>
          <t>&lt;p&gt;&lt;/p&gt;</t>
        </is>
      </c>
      <c r="O718" t="inlineStr"/>
      <c r="P718" t="inlineStr">
        <is>
          <t>Kn58xuy , Tipper , VW  , Crafter</t>
        </is>
      </c>
      <c r="Q718" t="inlineStr">
        <is>
          <t>UKPN</t>
        </is>
      </c>
      <c r="R718" t="b">
        <v>0</v>
      </c>
    </row>
    <row r="719">
      <c r="A719" t="inlineStr">
        <is>
          <t>2 Jul 2025 / 7940 HRJ Tree Services LTD</t>
        </is>
      </c>
      <c r="B719" t="inlineStr">
        <is>
          <t>Utilities &amp; Inland Waterways</t>
        </is>
      </c>
      <c r="C719" t="inlineStr">
        <is>
          <t>UKPN</t>
        </is>
      </c>
      <c r="D719" t="inlineStr">
        <is>
          <t>Kx65fcp , 4x4 , Izuzu d max  , D max</t>
        </is>
      </c>
      <c r="E719" t="inlineStr">
        <is>
          <t>Kx65fcp , 4x4 , Izuzu d max  , D max</t>
        </is>
      </c>
      <c r="F719" t="inlineStr">
        <is>
          <t>Kx65fcp , 4x4 , Izuzu d max  , D max</t>
        </is>
      </c>
      <c r="G719" t="inlineStr">
        <is>
          <t xml:space="preserve">Jack Buchan </t>
        </is>
      </c>
      <c r="H719" t="inlineStr">
        <is>
          <t>4x4</t>
        </is>
      </c>
      <c r="I719" t="inlineStr">
        <is>
          <t>Daily/ Weekly Vehicle Inspection</t>
        </is>
      </c>
      <c r="J719" t="inlineStr">
        <is>
          <t>N/A</t>
        </is>
      </c>
      <c r="K719" t="inlineStr">
        <is>
          <t>7940 HRJ Tree Services LTD</t>
        </is>
      </c>
      <c r="L719" t="inlineStr">
        <is>
          <t>02/07/2025 07:12</t>
        </is>
      </c>
      <c r="M719" t="inlineStr">
        <is>
          <t>None</t>
        </is>
      </c>
      <c r="N719" t="inlineStr">
        <is>
          <t>&lt;p&gt;&lt;/p&gt;</t>
        </is>
      </c>
      <c r="O719" t="inlineStr"/>
      <c r="P719" t="inlineStr">
        <is>
          <t>Kx65fcp , 4x4 , Izuzu d max  , D max</t>
        </is>
      </c>
      <c r="Q719" t="inlineStr">
        <is>
          <t>UKPN</t>
        </is>
      </c>
      <c r="R719" t="b">
        <v>0</v>
      </c>
    </row>
    <row r="720">
      <c r="A720" t="inlineStr">
        <is>
          <t>2 Jul 2025 / 7800 MAC Tree Surgery and Fencing Ltd</t>
        </is>
      </c>
      <c r="B720" t="inlineStr">
        <is>
          <t>Utilities &amp; Inland Waterways</t>
        </is>
      </c>
      <c r="C720" t="inlineStr">
        <is>
          <t>UKPN</t>
        </is>
      </c>
      <c r="D720" t="inlineStr">
        <is>
          <t>AY68DAA , 4x4 , Izuzu , Dmax</t>
        </is>
      </c>
      <c r="E720" t="inlineStr">
        <is>
          <t>AY68DAA , 4x4 , Izuzu , Dmax</t>
        </is>
      </c>
      <c r="F720" t="inlineStr">
        <is>
          <t>AY68DAA , 4x4 , Izuzu , Dmax</t>
        </is>
      </c>
      <c r="G720" t="inlineStr">
        <is>
          <t xml:space="preserve">Lewis </t>
        </is>
      </c>
      <c r="H720" t="inlineStr">
        <is>
          <t>4x4</t>
        </is>
      </c>
      <c r="I720" t="inlineStr">
        <is>
          <t>Daily/ Weekly Vehicle Inspection</t>
        </is>
      </c>
      <c r="J720" t="inlineStr">
        <is>
          <t>N/A</t>
        </is>
      </c>
      <c r="K720" t="inlineStr">
        <is>
          <t>7800 MAC Tree Surgery and Fencing Ltd</t>
        </is>
      </c>
      <c r="L720" t="inlineStr">
        <is>
          <t>02/07/2025 08:08</t>
        </is>
      </c>
      <c r="M720" t="inlineStr">
        <is>
          <t>None</t>
        </is>
      </c>
      <c r="N720" t="inlineStr">
        <is>
          <t>&lt;p&gt;&lt;/p&gt;</t>
        </is>
      </c>
      <c r="O720" t="inlineStr">
        <is>
          <t>Confirm that you have checked this vehicle as per the guidance document and the vehicle is safe and roadworthy:Slight crack in windscreen but doesn't effect vision
-</t>
        </is>
      </c>
      <c r="P720" t="inlineStr">
        <is>
          <t>AY68DAA , 4x4 , Izuzu , Dmax</t>
        </is>
      </c>
      <c r="Q720" t="inlineStr">
        <is>
          <t>UKPN</t>
        </is>
      </c>
      <c r="R720" t="b">
        <v>0</v>
      </c>
    </row>
    <row r="721">
      <c r="A721" t="inlineStr">
        <is>
          <t>2 Jul 2025 / 7800 MAC Tree Surgery and Fencing Ltd</t>
        </is>
      </c>
      <c r="B721" t="inlineStr">
        <is>
          <t>Utilities &amp; Inland Waterways</t>
        </is>
      </c>
      <c r="C721" t="inlineStr">
        <is>
          <t>UKPN</t>
        </is>
      </c>
      <c r="D721" t="inlineStr">
        <is>
          <t>205143043-A1 , Tow Chipper , Timberwolf , TW150</t>
        </is>
      </c>
      <c r="E721" t="inlineStr">
        <is>
          <t>205143043-A1 , Tow Chipper , Timberwolf , TW150</t>
        </is>
      </c>
      <c r="F721" t="inlineStr">
        <is>
          <t>205143043-A1 , Tow Chipper , Timberwolf , TW150</t>
        </is>
      </c>
      <c r="G721" t="inlineStr">
        <is>
          <t xml:space="preserve">Lewis mac </t>
        </is>
      </c>
      <c r="H721" t="inlineStr">
        <is>
          <t>Towed Chipper</t>
        </is>
      </c>
      <c r="I721" t="inlineStr">
        <is>
          <t>Daily/ Weekly Vehicle Inspection</t>
        </is>
      </c>
      <c r="J721" t="inlineStr">
        <is>
          <t>N/A</t>
        </is>
      </c>
      <c r="K721" t="inlineStr">
        <is>
          <t>7800 MAC Tree Surgery and Fencing Ltd</t>
        </is>
      </c>
      <c r="L721" t="inlineStr">
        <is>
          <t>02/07/2025 08:08</t>
        </is>
      </c>
      <c r="M721" t="inlineStr">
        <is>
          <t>None</t>
        </is>
      </c>
      <c r="N721" t="inlineStr">
        <is>
          <t>&lt;p&gt;&lt;/p&gt;</t>
        </is>
      </c>
      <c r="O721" t="inlineStr"/>
      <c r="P721" t="inlineStr">
        <is>
          <t>205143043-A1 , Tow Chipper , Timberwolf , TW150</t>
        </is>
      </c>
      <c r="Q721" t="inlineStr">
        <is>
          <t>UKPN</t>
        </is>
      </c>
      <c r="R721" t="b">
        <v>0</v>
      </c>
    </row>
    <row r="722">
      <c r="A722" t="inlineStr">
        <is>
          <t>2 Jul 2025 / 7186 Eastwoodbury Tree Services Ltd</t>
        </is>
      </c>
      <c r="B722" t="inlineStr">
        <is>
          <t>Utilities &amp; Inland Waterways</t>
        </is>
      </c>
      <c r="C722" t="inlineStr">
        <is>
          <t>UKPN</t>
        </is>
      </c>
      <c r="D722" t="inlineStr">
        <is>
          <t>DE53NKS , 4x4 , Ford , Ranger</t>
        </is>
      </c>
      <c r="E722" t="inlineStr">
        <is>
          <t>DE53NKS , 4x4 , Ford , Ranger</t>
        </is>
      </c>
      <c r="F722" t="inlineStr">
        <is>
          <t>DE53NKS , 4x4 , Ford , Ranger</t>
        </is>
      </c>
      <c r="G722" t="inlineStr">
        <is>
          <t xml:space="preserve">Jay Denkmayer </t>
        </is>
      </c>
      <c r="H722" t="inlineStr">
        <is>
          <t>Pickup Truck</t>
        </is>
      </c>
      <c r="I722" t="inlineStr">
        <is>
          <t>Daily/ Weekly Vehicle Inspection</t>
        </is>
      </c>
      <c r="J722" t="inlineStr">
        <is>
          <t>N/A</t>
        </is>
      </c>
      <c r="K722" t="inlineStr">
        <is>
          <t>7186 Eastwoodbury Tree Services Ltd</t>
        </is>
      </c>
      <c r="L722" t="inlineStr">
        <is>
          <t>02/07/2025 08:11</t>
        </is>
      </c>
      <c r="M722" t="inlineStr">
        <is>
          <t>None</t>
        </is>
      </c>
      <c r="N722" t="inlineStr">
        <is>
          <t>&lt;p&gt;&lt;/p&gt;</t>
        </is>
      </c>
      <c r="O722" t="inlineStr"/>
      <c r="P722" t="inlineStr">
        <is>
          <t>DE53NKS , 4x4 , Ford , Ranger</t>
        </is>
      </c>
      <c r="Q722" t="inlineStr">
        <is>
          <t>UKPN</t>
        </is>
      </c>
      <c r="R722" t="b">
        <v>0</v>
      </c>
    </row>
    <row r="723">
      <c r="A723" t="inlineStr">
        <is>
          <t>2 Jul 2025 / 7186 Eastwoodbury Tree Services Ltd</t>
        </is>
      </c>
      <c r="B723" t="inlineStr">
        <is>
          <t>Utilities &amp; Inland Waterways</t>
        </is>
      </c>
      <c r="C723" t="inlineStr">
        <is>
          <t>UKPN</t>
        </is>
      </c>
      <c r="D723" t="inlineStr">
        <is>
          <t>AO57BPF , 4x4 , Santana  , Ps10</t>
        </is>
      </c>
      <c r="E723" t="inlineStr">
        <is>
          <t>AO57BPF , 4x4 , Santana  , Ps10</t>
        </is>
      </c>
      <c r="F723" t="inlineStr">
        <is>
          <t>AO57BPF , 4x4 , Santana  , Ps10</t>
        </is>
      </c>
      <c r="G723" t="inlineStr">
        <is>
          <t xml:space="preserve">Dan Gilbert </t>
        </is>
      </c>
      <c r="H723" t="inlineStr">
        <is>
          <t>4x4</t>
        </is>
      </c>
      <c r="I723" t="inlineStr">
        <is>
          <t>Daily/ Weekly Vehicle Inspection</t>
        </is>
      </c>
      <c r="J723" t="inlineStr">
        <is>
          <t>N/A</t>
        </is>
      </c>
      <c r="K723" t="inlineStr">
        <is>
          <t>7186 Eastwoodbury Tree Services Ltd</t>
        </is>
      </c>
      <c r="L723" t="inlineStr">
        <is>
          <t>02/07/2025 08:12</t>
        </is>
      </c>
      <c r="M723" t="inlineStr">
        <is>
          <t>None</t>
        </is>
      </c>
      <c r="N723" t="inlineStr">
        <is>
          <t>&lt;p&gt;&lt;/p&gt;</t>
        </is>
      </c>
      <c r="O723" t="inlineStr"/>
      <c r="P723" t="inlineStr">
        <is>
          <t>AO57BPF , 4x4 , Santana  , Ps10</t>
        </is>
      </c>
      <c r="Q723" t="inlineStr">
        <is>
          <t>UKPN</t>
        </is>
      </c>
      <c r="R723" t="b">
        <v>0</v>
      </c>
    </row>
    <row r="724">
      <c r="A724" t="inlineStr">
        <is>
          <t>2 Jul 2025 / 6617 Ashdown Tree Limited</t>
        </is>
      </c>
      <c r="B724" t="inlineStr">
        <is>
          <t>Utilities &amp; Inland Waterways</t>
        </is>
      </c>
      <c r="C724" t="inlineStr">
        <is>
          <t>UKPN</t>
        </is>
      </c>
      <c r="D724" t="inlineStr">
        <is>
          <t>Tipper - Ford  - Transit  - Av21 kww</t>
        </is>
      </c>
      <c r="E724" t="inlineStr">
        <is>
          <t>Tipper - Ford  - Transit  - Av21 kww</t>
        </is>
      </c>
      <c r="F724" t="inlineStr">
        <is>
          <t>Tipper - Ford  - Transit  - Av21 kww</t>
        </is>
      </c>
      <c r="G724" t="inlineStr">
        <is>
          <t>A Horwood</t>
        </is>
      </c>
      <c r="H724" t="inlineStr">
        <is>
          <t>Tipper</t>
        </is>
      </c>
      <c r="I724" t="inlineStr">
        <is>
          <t>Daily/ Weekly Vehicle Inspection</t>
        </is>
      </c>
      <c r="J724" t="inlineStr">
        <is>
          <t>N/A</t>
        </is>
      </c>
      <c r="K724" t="inlineStr">
        <is>
          <t>6617 Ashdown Tree Limited</t>
        </is>
      </c>
      <c r="L724" t="inlineStr">
        <is>
          <t>02/07/2025 10:08</t>
        </is>
      </c>
      <c r="M724" t="inlineStr">
        <is>
          <t>None</t>
        </is>
      </c>
      <c r="N724" t="inlineStr">
        <is>
          <t>&lt;p&gt;&lt;/p&gt;</t>
        </is>
      </c>
      <c r="O724" t="inlineStr"/>
      <c r="P724" t="inlineStr">
        <is>
          <t>Tipper - Ford  - Transit  - Av21 kww</t>
        </is>
      </c>
      <c r="Q724" t="inlineStr">
        <is>
          <t>UKPN</t>
        </is>
      </c>
      <c r="R724" t="b">
        <v>0</v>
      </c>
    </row>
    <row r="725">
      <c r="A725" t="inlineStr">
        <is>
          <t>2 Jul 2025 / Thomas Playford</t>
        </is>
      </c>
      <c r="B725" t="inlineStr">
        <is>
          <t>Utilities &amp; Inland Waterways</t>
        </is>
      </c>
      <c r="C725" t="inlineStr">
        <is>
          <t>UKPN</t>
        </is>
      </c>
      <c r="D725" t="inlineStr">
        <is>
          <t>SA9ST800000283944 , Tow Chipper , Forst , ST8D - Towed</t>
        </is>
      </c>
      <c r="E725" t="inlineStr">
        <is>
          <t>SA9ST800000283944 , Tow Chipper , Forst , ST8D - Towed</t>
        </is>
      </c>
      <c r="F725" t="inlineStr">
        <is>
          <t>SA9ST800000283944 , Tow Chipper , Forst , ST8D - Towed</t>
        </is>
      </c>
      <c r="G725" t="inlineStr">
        <is>
          <t>Jacob Oram</t>
        </is>
      </c>
      <c r="H725" t="inlineStr">
        <is>
          <t>Towed Chipper</t>
        </is>
      </c>
      <c r="I725" t="inlineStr">
        <is>
          <t>Daily/ Weekly Vehicle Inspection</t>
        </is>
      </c>
      <c r="J725" t="inlineStr">
        <is>
          <t>N/A</t>
        </is>
      </c>
      <c r="K725" t="inlineStr">
        <is>
          <t>7995 Contour Landscapes Ltd 2</t>
        </is>
      </c>
      <c r="L725" t="inlineStr">
        <is>
          <t>02/07/2025 23:07</t>
        </is>
      </c>
      <c r="M725" t="inlineStr">
        <is>
          <t>None</t>
        </is>
      </c>
      <c r="N725" t="inlineStr">
        <is>
          <t>&lt;p&gt;&lt;/p&gt;</t>
        </is>
      </c>
      <c r="O725" t="inlineStr"/>
      <c r="P725" t="inlineStr">
        <is>
          <t>SA9ST800000283944 , Tow Chipper , Forst , ST8D - Towed</t>
        </is>
      </c>
      <c r="Q725" t="inlineStr">
        <is>
          <t>UKPN</t>
        </is>
      </c>
      <c r="R725" t="b">
        <v>0</v>
      </c>
    </row>
    <row r="726">
      <c r="A726" t="inlineStr">
        <is>
          <t>1 Jul 2025 / James Gorman</t>
        </is>
      </c>
      <c r="B726" t="inlineStr">
        <is>
          <t>Utilities &amp; Inland Waterways</t>
        </is>
      </c>
      <c r="C726" t="inlineStr">
        <is>
          <t>UKPN</t>
        </is>
      </c>
      <c r="D726" t="inlineStr"/>
      <c r="E726" t="inlineStr"/>
      <c r="F726" t="inlineStr"/>
      <c r="G726" t="inlineStr">
        <is>
          <t>James Gorman</t>
        </is>
      </c>
      <c r="H726" t="inlineStr"/>
      <c r="I726" t="inlineStr">
        <is>
          <t>Add to Vehicle to the GC Vehicle List</t>
        </is>
      </c>
      <c r="J726" t="inlineStr">
        <is>
          <t>N/A</t>
        </is>
      </c>
      <c r="K726" t="inlineStr">
        <is>
          <t>James Gorman</t>
        </is>
      </c>
      <c r="L726" t="inlineStr">
        <is>
          <t>02/07/2025 23:19</t>
        </is>
      </c>
      <c r="M726" t="inlineStr">
        <is>
          <t>None</t>
        </is>
      </c>
      <c r="N726" t="inlineStr">
        <is>
          <t>&lt;p&gt;&lt;/p&gt;</t>
        </is>
      </c>
      <c r="O726" t="inlineStr"/>
      <c r="P726" t="inlineStr"/>
      <c r="Q726" t="inlineStr">
        <is>
          <t>UKPN</t>
        </is>
      </c>
      <c r="R726" t="b">
        <v>0</v>
      </c>
    </row>
    <row r="727">
      <c r="A727" t="inlineStr">
        <is>
          <t>3 Jul 2025 / Thomas Playford</t>
        </is>
      </c>
      <c r="B727" t="inlineStr">
        <is>
          <t>Utilities &amp; Inland Waterways</t>
        </is>
      </c>
      <c r="C727" t="inlineStr">
        <is>
          <t>UKPN</t>
        </is>
      </c>
      <c r="D727" t="inlineStr">
        <is>
          <t>Equipment Trailer - I For Williams Custom - Chipper Trailer - 47336638</t>
        </is>
      </c>
      <c r="E727" t="inlineStr">
        <is>
          <t>Equipment Trailer - I For Williams Custom - Chipper Trailer - 47336638</t>
        </is>
      </c>
      <c r="F727" t="inlineStr">
        <is>
          <t>Equipment Trailer - I For Williams Custom - Chipper Trailer - 47336638</t>
        </is>
      </c>
      <c r="G727" t="inlineStr">
        <is>
          <t>Jacob Oram</t>
        </is>
      </c>
      <c r="H727" t="inlineStr">
        <is>
          <t>Plant Trailer</t>
        </is>
      </c>
      <c r="I727" t="inlineStr">
        <is>
          <t>Daily/ Weekly Vehicle Inspection</t>
        </is>
      </c>
      <c r="J727" t="inlineStr">
        <is>
          <t>N/A</t>
        </is>
      </c>
      <c r="K727" t="inlineStr">
        <is>
          <t>7995 Contour Landscapes Ltd 2</t>
        </is>
      </c>
      <c r="L727" t="inlineStr">
        <is>
          <t>03/07/2025 07:07</t>
        </is>
      </c>
      <c r="M727" t="inlineStr">
        <is>
          <t>None</t>
        </is>
      </c>
      <c r="N727" t="inlineStr">
        <is>
          <t>&lt;p&gt;&lt;/p&gt;</t>
        </is>
      </c>
      <c r="O727" t="inlineStr"/>
      <c r="P727" t="inlineStr">
        <is>
          <t>Equipment Trailer - I For Williams Custom - Chipper Trailer - 47336638</t>
        </is>
      </c>
      <c r="Q727" t="inlineStr">
        <is>
          <t>UKPN</t>
        </is>
      </c>
      <c r="R727" t="b">
        <v>0</v>
      </c>
    </row>
    <row r="728">
      <c r="A728" t="inlineStr">
        <is>
          <t>3 Jul 2025 / Thomas Playford</t>
        </is>
      </c>
      <c r="B728" t="inlineStr">
        <is>
          <t>Utilities &amp; Inland Waterways</t>
        </is>
      </c>
      <c r="C728" t="inlineStr">
        <is>
          <t>UKPN</t>
        </is>
      </c>
      <c r="D728" t="inlineStr">
        <is>
          <t>YP24 WRD , Vehicle , Ford , Ranger</t>
        </is>
      </c>
      <c r="E728" t="inlineStr">
        <is>
          <t>YP24 WRD , Vehicle , Ford , Ranger</t>
        </is>
      </c>
      <c r="F728" t="inlineStr">
        <is>
          <t>YP24 WRD , Vehicle , Ford , Ranger</t>
        </is>
      </c>
      <c r="G728" t="inlineStr">
        <is>
          <t>Jacob Oram</t>
        </is>
      </c>
      <c r="H728" t="inlineStr">
        <is>
          <t>4x4</t>
        </is>
      </c>
      <c r="I728" t="inlineStr">
        <is>
          <t>Daily/ Weekly Vehicle Inspection</t>
        </is>
      </c>
      <c r="J728" t="inlineStr">
        <is>
          <t>N/A</t>
        </is>
      </c>
      <c r="K728" t="inlineStr">
        <is>
          <t>7995 Contour Landscapes Ltd 2</t>
        </is>
      </c>
      <c r="L728" t="inlineStr">
        <is>
          <t>03/07/2025 07:08</t>
        </is>
      </c>
      <c r="M728" t="inlineStr">
        <is>
          <t>None</t>
        </is>
      </c>
      <c r="N728" t="inlineStr">
        <is>
          <t>&lt;p&gt;&lt;/p&gt;</t>
        </is>
      </c>
      <c r="O728" t="inlineStr"/>
      <c r="P728" t="inlineStr">
        <is>
          <t>YP24 WRD , Vehicle , Ford , Ranger</t>
        </is>
      </c>
      <c r="Q728" t="inlineStr">
        <is>
          <t>UKPN</t>
        </is>
      </c>
      <c r="R728" t="b">
        <v>0</v>
      </c>
    </row>
    <row r="729">
      <c r="A729" t="inlineStr">
        <is>
          <t>3 Jul 2025 / 7889 Tree Tech Suffolk Ltd</t>
        </is>
      </c>
      <c r="B729" t="inlineStr">
        <is>
          <t>Utilities &amp; Inland Waterways</t>
        </is>
      </c>
      <c r="C729" t="inlineStr">
        <is>
          <t>UKPN</t>
        </is>
      </c>
      <c r="D729" t="inlineStr">
        <is>
          <t>Tipper - Nissan - Navara - NS02TTS</t>
        </is>
      </c>
      <c r="E729" t="inlineStr">
        <is>
          <t>Tipper - Nissan - Navara - NS02TTS</t>
        </is>
      </c>
      <c r="F729" t="inlineStr">
        <is>
          <t>Tipper - Nissan - Navara - NS02TTS</t>
        </is>
      </c>
      <c r="G729" t="inlineStr">
        <is>
          <t xml:space="preserve">Danny Appleby </t>
        </is>
      </c>
      <c r="H729" t="inlineStr">
        <is>
          <t>Tipper</t>
        </is>
      </c>
      <c r="I729" t="inlineStr">
        <is>
          <t>Daily/ Weekly Vehicle Inspection</t>
        </is>
      </c>
      <c r="J729" t="inlineStr">
        <is>
          <t>N/A</t>
        </is>
      </c>
      <c r="K729" t="inlineStr">
        <is>
          <t>7889 Tree Tech Suffolk Ltd</t>
        </is>
      </c>
      <c r="L729" t="inlineStr">
        <is>
          <t>03/07/2025 07:09</t>
        </is>
      </c>
      <c r="M729" t="inlineStr">
        <is>
          <t>None</t>
        </is>
      </c>
      <c r="N729" t="inlineStr">
        <is>
          <t>&lt;p&gt;&lt;/p&gt;</t>
        </is>
      </c>
      <c r="O729" t="inlineStr"/>
      <c r="P729" t="inlineStr">
        <is>
          <t>Tipper - Nissan - Navara - NS02TTS</t>
        </is>
      </c>
      <c r="Q729" t="inlineStr">
        <is>
          <t>UKPN</t>
        </is>
      </c>
      <c r="R729" t="b">
        <v>0</v>
      </c>
    </row>
    <row r="730">
      <c r="A730" t="inlineStr">
        <is>
          <t>3 Jul 2025 / 7186 Eastwoodbury Tree Services Ltd</t>
        </is>
      </c>
      <c r="B730" t="inlineStr">
        <is>
          <t>Utilities &amp; Inland Waterways</t>
        </is>
      </c>
      <c r="C730" t="inlineStr">
        <is>
          <t>UKPN</t>
        </is>
      </c>
      <c r="D730" t="inlineStr">
        <is>
          <t>FN600XM , 4x4 , Land Rover  , Defender</t>
        </is>
      </c>
      <c r="E730" t="inlineStr">
        <is>
          <t>FN600XM , 4x4 , Land Rover  , Defender</t>
        </is>
      </c>
      <c r="F730" t="inlineStr">
        <is>
          <t>FN600XM , 4x4 , Land Rover  , Defender</t>
        </is>
      </c>
      <c r="G730" t="inlineStr">
        <is>
          <t xml:space="preserve">Jay Denkmayer </t>
        </is>
      </c>
      <c r="H730" t="inlineStr">
        <is>
          <t>4x4</t>
        </is>
      </c>
      <c r="I730" t="inlineStr">
        <is>
          <t>Daily/ Weekly Vehicle Inspection</t>
        </is>
      </c>
      <c r="J730" t="inlineStr">
        <is>
          <t>N/A</t>
        </is>
      </c>
      <c r="K730" t="inlineStr">
        <is>
          <t>7186 Eastwoodbury Tree Services Ltd</t>
        </is>
      </c>
      <c r="L730" t="inlineStr">
        <is>
          <t>03/07/2025 07:10</t>
        </is>
      </c>
      <c r="M730" t="inlineStr">
        <is>
          <t>None</t>
        </is>
      </c>
      <c r="N730" t="inlineStr">
        <is>
          <t>&lt;p&gt;&lt;/p&gt;</t>
        </is>
      </c>
      <c r="O730" t="inlineStr"/>
      <c r="P730" t="inlineStr">
        <is>
          <t>FN600XM , 4x4 , Land Rover  , Defender</t>
        </is>
      </c>
      <c r="Q730" t="inlineStr">
        <is>
          <t>UKPN</t>
        </is>
      </c>
      <c r="R730" t="b">
        <v>0</v>
      </c>
    </row>
    <row r="731">
      <c r="A731" t="inlineStr">
        <is>
          <t>3 Jul 2025 / 7186 Eastwoodbury Tree Services Ltd</t>
        </is>
      </c>
      <c r="B731" t="inlineStr">
        <is>
          <t>Utilities &amp; Inland Waterways</t>
        </is>
      </c>
      <c r="C731" t="inlineStr">
        <is>
          <t>UKPN</t>
        </is>
      </c>
      <c r="D731" t="inlineStr">
        <is>
          <t>AO57BPF , 4x4 , Santana  , Ps10</t>
        </is>
      </c>
      <c r="E731" t="inlineStr">
        <is>
          <t>AO57BPF , 4x4 , Santana  , Ps10</t>
        </is>
      </c>
      <c r="F731" t="inlineStr">
        <is>
          <t>AO57BPF , 4x4 , Santana  , Ps10</t>
        </is>
      </c>
      <c r="G731" t="inlineStr">
        <is>
          <t xml:space="preserve">Dan Gilbert </t>
        </is>
      </c>
      <c r="H731" t="inlineStr">
        <is>
          <t>4x4</t>
        </is>
      </c>
      <c r="I731" t="inlineStr">
        <is>
          <t>Daily/ Weekly Vehicle Inspection</t>
        </is>
      </c>
      <c r="J731" t="inlineStr">
        <is>
          <t>N/A</t>
        </is>
      </c>
      <c r="K731" t="inlineStr">
        <is>
          <t>7186 Eastwoodbury Tree Services Ltd</t>
        </is>
      </c>
      <c r="L731" t="inlineStr">
        <is>
          <t>03/07/2025 07:11</t>
        </is>
      </c>
      <c r="M731" t="inlineStr">
        <is>
          <t>None</t>
        </is>
      </c>
      <c r="N731" t="inlineStr">
        <is>
          <t>&lt;p&gt;&lt;/p&gt;</t>
        </is>
      </c>
      <c r="O731" t="inlineStr"/>
      <c r="P731" t="inlineStr">
        <is>
          <t>AO57BPF , 4x4 , Santana  , Ps10</t>
        </is>
      </c>
      <c r="Q731" t="inlineStr">
        <is>
          <t>UKPN</t>
        </is>
      </c>
      <c r="R731" t="b">
        <v>0</v>
      </c>
    </row>
    <row r="732">
      <c r="A732" t="inlineStr">
        <is>
          <t>3 Jul 2025 / 7940 HRJ Tree Services LTD</t>
        </is>
      </c>
      <c r="B732" t="inlineStr">
        <is>
          <t>Utilities &amp; Inland Waterways</t>
        </is>
      </c>
      <c r="C732" t="inlineStr">
        <is>
          <t>UKPN</t>
        </is>
      </c>
      <c r="D732" t="inlineStr">
        <is>
          <t>4x4 - Toyota  - Hilux - LL70GZP</t>
        </is>
      </c>
      <c r="E732" t="inlineStr">
        <is>
          <t>4x4 - Toyota  - Hilux - LL70GZP</t>
        </is>
      </c>
      <c r="F732" t="inlineStr">
        <is>
          <t>4x4 - Toyota  - Hilux - LL70GZP</t>
        </is>
      </c>
      <c r="G732" t="inlineStr">
        <is>
          <t>Harry Wilson</t>
        </is>
      </c>
      <c r="H732" t="inlineStr">
        <is>
          <t>4x4</t>
        </is>
      </c>
      <c r="I732" t="inlineStr">
        <is>
          <t>Daily/ Weekly Vehicle Inspection</t>
        </is>
      </c>
      <c r="J732" t="inlineStr">
        <is>
          <t>N/A</t>
        </is>
      </c>
      <c r="K732" t="inlineStr">
        <is>
          <t>7940 HRJ Tree Services LTD</t>
        </is>
      </c>
      <c r="L732" t="inlineStr">
        <is>
          <t>03/07/2025 07:11</t>
        </is>
      </c>
      <c r="M732" t="inlineStr">
        <is>
          <t>None</t>
        </is>
      </c>
      <c r="N732" t="inlineStr">
        <is>
          <t>&lt;p&gt;&lt;/p&gt;</t>
        </is>
      </c>
      <c r="O732" t="inlineStr"/>
      <c r="P732" t="inlineStr">
        <is>
          <t>4x4 - Toyota  - Hilux - LL70GZP</t>
        </is>
      </c>
      <c r="Q732" t="inlineStr">
        <is>
          <t>UKPN</t>
        </is>
      </c>
      <c r="R732" t="b">
        <v>0</v>
      </c>
    </row>
    <row r="733">
      <c r="A733" t="inlineStr">
        <is>
          <t>3 Jul 2025 / 7940 HRJ Tree Services LTD</t>
        </is>
      </c>
      <c r="B733" t="inlineStr">
        <is>
          <t>Utilities &amp; Inland Waterways</t>
        </is>
      </c>
      <c r="C733" t="inlineStr">
        <is>
          <t>UKPN</t>
        </is>
      </c>
      <c r="D733" t="inlineStr">
        <is>
          <t>Plant Trailer - Indespension - 211717 - 211717</t>
        </is>
      </c>
      <c r="E733" t="inlineStr">
        <is>
          <t>Plant Trailer - Indespension - 211717 - 211717</t>
        </is>
      </c>
      <c r="F733" t="inlineStr">
        <is>
          <t>Plant Trailer - Indespension - 211717 - 211717</t>
        </is>
      </c>
      <c r="G733" t="inlineStr">
        <is>
          <t xml:space="preserve">Jack Buchan </t>
        </is>
      </c>
      <c r="H733" t="inlineStr">
        <is>
          <t>Equipment Trailer</t>
        </is>
      </c>
      <c r="I733" t="inlineStr">
        <is>
          <t>Daily/ Weekly Vehicle Inspection</t>
        </is>
      </c>
      <c r="J733" t="inlineStr">
        <is>
          <t>N/A</t>
        </is>
      </c>
      <c r="K733" t="inlineStr">
        <is>
          <t>7940 HRJ Tree Services LTD</t>
        </is>
      </c>
      <c r="L733" t="inlineStr">
        <is>
          <t>03/07/2025 07:12</t>
        </is>
      </c>
      <c r="M733" t="inlineStr">
        <is>
          <t>None</t>
        </is>
      </c>
      <c r="N733" t="inlineStr">
        <is>
          <t>&lt;p&gt;&lt;/p&gt;</t>
        </is>
      </c>
      <c r="O733" t="inlineStr"/>
      <c r="P733" t="inlineStr">
        <is>
          <t>Plant Trailer - Indespension - 211717 - 211717</t>
        </is>
      </c>
      <c r="Q733" t="inlineStr">
        <is>
          <t>UKPN</t>
        </is>
      </c>
      <c r="R733" t="b">
        <v>0</v>
      </c>
    </row>
    <row r="734">
      <c r="A734" t="inlineStr">
        <is>
          <t>3 Jul 2025 / 7940 HRJ Tree Services LTD</t>
        </is>
      </c>
      <c r="B734" t="inlineStr">
        <is>
          <t>Utilities &amp; Inland Waterways</t>
        </is>
      </c>
      <c r="C734" t="inlineStr">
        <is>
          <t>UKPN</t>
        </is>
      </c>
      <c r="D734" t="inlineStr">
        <is>
          <t>Kx65fcp , 4x4 , Izuzu d max  , D max</t>
        </is>
      </c>
      <c r="E734" t="inlineStr">
        <is>
          <t>Kx65fcp , 4x4 , Izuzu d max  , D max</t>
        </is>
      </c>
      <c r="F734" t="inlineStr">
        <is>
          <t>Kx65fcp , 4x4 , Izuzu d max  , D max</t>
        </is>
      </c>
      <c r="G734" t="inlineStr">
        <is>
          <t>Jack Buchan</t>
        </is>
      </c>
      <c r="H734" t="inlineStr">
        <is>
          <t>4x4</t>
        </is>
      </c>
      <c r="I734" t="inlineStr">
        <is>
          <t>Daily/ Weekly Vehicle Inspection</t>
        </is>
      </c>
      <c r="J734" t="inlineStr">
        <is>
          <t>N/A</t>
        </is>
      </c>
      <c r="K734" t="inlineStr">
        <is>
          <t>7940 HRJ Tree Services LTD</t>
        </is>
      </c>
      <c r="L734" t="inlineStr">
        <is>
          <t>03/07/2025 07:13</t>
        </is>
      </c>
      <c r="M734" t="inlineStr">
        <is>
          <t>None</t>
        </is>
      </c>
      <c r="N734" t="inlineStr">
        <is>
          <t>&lt;p&gt;&lt;/p&gt;</t>
        </is>
      </c>
      <c r="O734" t="inlineStr"/>
      <c r="P734" t="inlineStr">
        <is>
          <t>Kx65fcp , 4x4 , Izuzu d max  , D max</t>
        </is>
      </c>
      <c r="Q734" t="inlineStr">
        <is>
          <t>UKPN</t>
        </is>
      </c>
      <c r="R734" t="b">
        <v>0</v>
      </c>
    </row>
    <row r="735">
      <c r="A735" t="inlineStr">
        <is>
          <t>3 Jul 2025 / 7800 MAC Tree Surgery and Fencing Ltd</t>
        </is>
      </c>
      <c r="B735" t="inlineStr">
        <is>
          <t>Utilities &amp; Inland Waterways</t>
        </is>
      </c>
      <c r="C735" t="inlineStr">
        <is>
          <t>UKPN</t>
        </is>
      </c>
      <c r="D735" t="inlineStr">
        <is>
          <t>AY68DAA , 4x4 , Izuzu , Dmax</t>
        </is>
      </c>
      <c r="E735" t="inlineStr">
        <is>
          <t>AY68DAA , 4x4 , Izuzu , Dmax</t>
        </is>
      </c>
      <c r="F735" t="inlineStr">
        <is>
          <t>AY68DAA , 4x4 , Izuzu , Dmax</t>
        </is>
      </c>
      <c r="G735" t="inlineStr">
        <is>
          <t xml:space="preserve">Lewis </t>
        </is>
      </c>
      <c r="H735" t="inlineStr">
        <is>
          <t>4x4</t>
        </is>
      </c>
      <c r="I735" t="inlineStr">
        <is>
          <t>Daily/ Weekly Vehicle Inspection</t>
        </is>
      </c>
      <c r="J735" t="inlineStr">
        <is>
          <t>N/A</t>
        </is>
      </c>
      <c r="K735" t="inlineStr">
        <is>
          <t>7800 MAC Tree Surgery and Fencing Ltd</t>
        </is>
      </c>
      <c r="L735" t="inlineStr">
        <is>
          <t>03/07/2025 08:08</t>
        </is>
      </c>
      <c r="M735" t="inlineStr">
        <is>
          <t>None</t>
        </is>
      </c>
      <c r="N735" t="inlineStr">
        <is>
          <t>&lt;p&gt;&lt;/p&gt;</t>
        </is>
      </c>
      <c r="O735" t="inlineStr">
        <is>
          <t>Confirm that you have checked this vehicle as per the guidance document and the vehicle is safe and roadworthy:Slight crack in windscreen but doesn't effect vision
-</t>
        </is>
      </c>
      <c r="P735" t="inlineStr">
        <is>
          <t>AY68DAA , 4x4 , Izuzu , Dmax</t>
        </is>
      </c>
      <c r="Q735" t="inlineStr">
        <is>
          <t>UKPN</t>
        </is>
      </c>
      <c r="R735" t="b">
        <v>0</v>
      </c>
    </row>
    <row r="736">
      <c r="A736" t="inlineStr">
        <is>
          <t>3 Jul 2025 / 7800 MAC Tree Surgery and Fencing Ltd</t>
        </is>
      </c>
      <c r="B736" t="inlineStr">
        <is>
          <t>Utilities &amp; Inland Waterways</t>
        </is>
      </c>
      <c r="C736" t="inlineStr">
        <is>
          <t>UKPN</t>
        </is>
      </c>
      <c r="D736" t="inlineStr">
        <is>
          <t>205143043-A1 , Tow Chipper , Timberwolf , TW150</t>
        </is>
      </c>
      <c r="E736" t="inlineStr">
        <is>
          <t>205143043-A1 , Tow Chipper , Timberwolf , TW150</t>
        </is>
      </c>
      <c r="F736" t="inlineStr">
        <is>
          <t>205143043-A1 , Tow Chipper , Timberwolf , TW150</t>
        </is>
      </c>
      <c r="G736" t="inlineStr">
        <is>
          <t xml:space="preserve">Lewis mac </t>
        </is>
      </c>
      <c r="H736" t="inlineStr">
        <is>
          <t>Towed Chipper</t>
        </is>
      </c>
      <c r="I736" t="inlineStr">
        <is>
          <t>Daily/ Weekly Vehicle Inspection</t>
        </is>
      </c>
      <c r="J736" t="inlineStr">
        <is>
          <t>N/A</t>
        </is>
      </c>
      <c r="K736" t="inlineStr">
        <is>
          <t>7800 MAC Tree Surgery and Fencing Ltd</t>
        </is>
      </c>
      <c r="L736" t="inlineStr">
        <is>
          <t>03/07/2025 08:09</t>
        </is>
      </c>
      <c r="M736" t="inlineStr">
        <is>
          <t>None</t>
        </is>
      </c>
      <c r="N736" t="inlineStr">
        <is>
          <t>&lt;p&gt;&lt;/p&gt;</t>
        </is>
      </c>
      <c r="O736" t="inlineStr"/>
      <c r="P736" t="inlineStr">
        <is>
          <t>205143043-A1 , Tow Chipper , Timberwolf , TW150</t>
        </is>
      </c>
      <c r="Q736" t="inlineStr">
        <is>
          <t>UKPN</t>
        </is>
      </c>
      <c r="R736" t="b">
        <v>0</v>
      </c>
    </row>
    <row r="737">
      <c r="A737" t="inlineStr">
        <is>
          <t>3 Jul 2025 / 7806 Optimum Tree Services Ltd</t>
        </is>
      </c>
      <c r="B737" t="inlineStr">
        <is>
          <t>Utilities &amp; Inland Waterways</t>
        </is>
      </c>
      <c r="C737" t="inlineStr">
        <is>
          <t>UKPN</t>
        </is>
      </c>
      <c r="D737" t="inlineStr">
        <is>
          <t>SA9ST800000283069 , Chipper , Forst , ST 6P</t>
        </is>
      </c>
      <c r="E737" t="inlineStr">
        <is>
          <t>SA9ST800000283069 , Chipper , Forst , ST 6P</t>
        </is>
      </c>
      <c r="F737" t="inlineStr">
        <is>
          <t>SA9ST800000283069 , Chipper , Forst , ST 6P</t>
        </is>
      </c>
      <c r="G737" t="inlineStr">
        <is>
          <t xml:space="preserve">Abraham Davies </t>
        </is>
      </c>
      <c r="H737" t="inlineStr">
        <is>
          <t>Towed Chipper</t>
        </is>
      </c>
      <c r="I737" t="inlineStr">
        <is>
          <t>Daily/ Weekly Vehicle Inspection</t>
        </is>
      </c>
      <c r="J737" t="inlineStr">
        <is>
          <t>N/A</t>
        </is>
      </c>
      <c r="K737" t="inlineStr">
        <is>
          <t>7806 Optimum Tree Services Ltd</t>
        </is>
      </c>
      <c r="L737" t="inlineStr">
        <is>
          <t>03/07/2025 08:09</t>
        </is>
      </c>
      <c r="M737" t="inlineStr">
        <is>
          <t>None</t>
        </is>
      </c>
      <c r="N737" t="inlineStr">
        <is>
          <t>&lt;p&gt;&lt;/p&gt;</t>
        </is>
      </c>
      <c r="O737" t="inlineStr"/>
      <c r="P737" t="inlineStr">
        <is>
          <t>SA9ST800000283069 , Chipper , Forst , ST 6P</t>
        </is>
      </c>
      <c r="Q737" t="inlineStr">
        <is>
          <t>UKPN</t>
        </is>
      </c>
      <c r="R737" t="b">
        <v>0</v>
      </c>
    </row>
    <row r="738">
      <c r="A738" t="inlineStr">
        <is>
          <t>3 Jul 2025 / 7806 Optimum Tree Services Ltd</t>
        </is>
      </c>
      <c r="B738" t="inlineStr">
        <is>
          <t>Utilities &amp; Inland Waterways</t>
        </is>
      </c>
      <c r="C738" t="inlineStr">
        <is>
          <t>UKPN</t>
        </is>
      </c>
      <c r="D738" t="inlineStr">
        <is>
          <t>WD14EVB , MEWP , Land Rover , Defender</t>
        </is>
      </c>
      <c r="E738" t="inlineStr">
        <is>
          <t>WD14EVB , MEWP , Land Rover , Defender</t>
        </is>
      </c>
      <c r="F738" t="inlineStr">
        <is>
          <t>WD14EVB , MEWP , Land Rover , Defender</t>
        </is>
      </c>
      <c r="G738" t="inlineStr">
        <is>
          <t xml:space="preserve">Abraham Davies </t>
        </is>
      </c>
      <c r="H738" t="inlineStr">
        <is>
          <t>4x4</t>
        </is>
      </c>
      <c r="I738" t="inlineStr">
        <is>
          <t>Daily/ Weekly Vehicle Inspection</t>
        </is>
      </c>
      <c r="J738" t="inlineStr">
        <is>
          <t>N/A</t>
        </is>
      </c>
      <c r="K738" t="inlineStr">
        <is>
          <t>7806 Optimum Tree Services Ltd</t>
        </is>
      </c>
      <c r="L738" t="inlineStr">
        <is>
          <t>03/07/2025 08:10</t>
        </is>
      </c>
      <c r="M738" t="inlineStr">
        <is>
          <t>None</t>
        </is>
      </c>
      <c r="N738" t="inlineStr">
        <is>
          <t>&lt;p&gt;&lt;/p&gt;</t>
        </is>
      </c>
      <c r="O738" t="inlineStr"/>
      <c r="P738" t="inlineStr">
        <is>
          <t>WD14EVB , MEWP , Land Rover , Defender</t>
        </is>
      </c>
      <c r="Q738" t="inlineStr">
        <is>
          <t>UKPN</t>
        </is>
      </c>
      <c r="R738" t="b">
        <v>0</v>
      </c>
    </row>
    <row r="739">
      <c r="A739" t="inlineStr">
        <is>
          <t>3 Jul 2025 / 6617 Ashdown Tree Limited 1</t>
        </is>
      </c>
      <c r="B739" t="inlineStr">
        <is>
          <t>Utilities &amp; Inland Waterways</t>
        </is>
      </c>
      <c r="C739" t="inlineStr">
        <is>
          <t>UKPN</t>
        </is>
      </c>
      <c r="D739" t="inlineStr">
        <is>
          <t>GU11LKD , 4x4 , Land Rover , Defender</t>
        </is>
      </c>
      <c r="E739" t="inlineStr">
        <is>
          <t>GU11LKD , 4x4 , Land Rover , Defender</t>
        </is>
      </c>
      <c r="F739" t="inlineStr">
        <is>
          <t>GU11LKD , 4x4 , Land Rover , Defender</t>
        </is>
      </c>
      <c r="G739" t="inlineStr">
        <is>
          <t xml:space="preserve">Francislesser </t>
        </is>
      </c>
      <c r="H739" t="inlineStr">
        <is>
          <t>4x4</t>
        </is>
      </c>
      <c r="I739" t="inlineStr">
        <is>
          <t>Daily/ Weekly Vehicle Inspection</t>
        </is>
      </c>
      <c r="J739" t="inlineStr">
        <is>
          <t>N/A</t>
        </is>
      </c>
      <c r="K739" t="inlineStr">
        <is>
          <t>6617 Ashdown Tree Limited 1</t>
        </is>
      </c>
      <c r="L739" t="inlineStr">
        <is>
          <t>03/07/2025 08:11</t>
        </is>
      </c>
      <c r="M739" t="inlineStr">
        <is>
          <t>None</t>
        </is>
      </c>
      <c r="N739" t="inlineStr">
        <is>
          <t>&lt;p&gt;&lt;/p&gt;</t>
        </is>
      </c>
      <c r="O739" t="inlineStr"/>
      <c r="P739" t="inlineStr">
        <is>
          <t>GU11LKD , 4x4 , Land Rover , Defender</t>
        </is>
      </c>
      <c r="Q739" t="inlineStr">
        <is>
          <t>UKPN</t>
        </is>
      </c>
      <c r="R739" t="b">
        <v>0</v>
      </c>
    </row>
    <row r="740">
      <c r="A740" t="inlineStr">
        <is>
          <t>3 Jul 2025 / Anthony Gale</t>
        </is>
      </c>
      <c r="B740" t="inlineStr">
        <is>
          <t>Utilities &amp; Inland Waterways</t>
        </is>
      </c>
      <c r="C740" t="inlineStr">
        <is>
          <t>UKPN</t>
        </is>
      </c>
      <c r="D740" t="inlineStr">
        <is>
          <t>PE07 HGL , Vehicle , Mitsubishi , L200 K74</t>
        </is>
      </c>
      <c r="E740" t="inlineStr">
        <is>
          <t>PE07 HGL , Vehicle , Mitsubishi , L200 K74</t>
        </is>
      </c>
      <c r="F740" t="inlineStr">
        <is>
          <t>PE07 HGL , Vehicle , Mitsubishi , L200 K74</t>
        </is>
      </c>
      <c r="G740" t="inlineStr">
        <is>
          <t>Anthony Gale</t>
        </is>
      </c>
      <c r="H740" t="inlineStr">
        <is>
          <t>Pickup Truck</t>
        </is>
      </c>
      <c r="I740" t="inlineStr">
        <is>
          <t>Daily/ Weekly Vehicle Inspection</t>
        </is>
      </c>
      <c r="J740" t="inlineStr">
        <is>
          <t>N/A</t>
        </is>
      </c>
      <c r="K740" t="inlineStr">
        <is>
          <t>7996 M G Tree Surgery Ltd 1</t>
        </is>
      </c>
      <c r="L740" t="inlineStr">
        <is>
          <t>03/07/2025 08:11</t>
        </is>
      </c>
      <c r="M740" t="inlineStr">
        <is>
          <t>None</t>
        </is>
      </c>
      <c r="N740" t="inlineStr">
        <is>
          <t>&lt;p&gt;&lt;/p&gt;</t>
        </is>
      </c>
      <c r="O740" t="inlineStr"/>
      <c r="P740" t="inlineStr">
        <is>
          <t>PE07 HGL , Vehicle , Mitsubishi , L200 K74</t>
        </is>
      </c>
      <c r="Q740" t="inlineStr">
        <is>
          <t>UKPN</t>
        </is>
      </c>
      <c r="R740" t="b">
        <v>0</v>
      </c>
    </row>
    <row r="741">
      <c r="A741" t="inlineStr">
        <is>
          <t>3 Jul 2025 / 7951 Austin Tree Care LTD</t>
        </is>
      </c>
      <c r="B741" t="inlineStr">
        <is>
          <t>Utilities &amp; Inland Waterways</t>
        </is>
      </c>
      <c r="C741" t="inlineStr">
        <is>
          <t>UKPN</t>
        </is>
      </c>
      <c r="D741" t="inlineStr">
        <is>
          <t>SA9ST6P0001283612 , Tow Chipper , Forst , ST6p</t>
        </is>
      </c>
      <c r="E741" t="inlineStr">
        <is>
          <t>SA9ST6P0001283612 , Tow Chipper , Forst , ST6p</t>
        </is>
      </c>
      <c r="F741" t="inlineStr">
        <is>
          <t>SA9ST6P0001283612 , Tow Chipper , Forst , ST6p</t>
        </is>
      </c>
      <c r="G741" t="inlineStr">
        <is>
          <t>Jack</t>
        </is>
      </c>
      <c r="H741" t="inlineStr">
        <is>
          <t>Towed Chipper</t>
        </is>
      </c>
      <c r="I741" t="inlineStr">
        <is>
          <t>Daily/ Weekly Vehicle Inspection</t>
        </is>
      </c>
      <c r="J741" t="inlineStr">
        <is>
          <t>N/A</t>
        </is>
      </c>
      <c r="K741" t="inlineStr">
        <is>
          <t>7951 Austin Tree Care LTD</t>
        </is>
      </c>
      <c r="L741" t="inlineStr">
        <is>
          <t>03/07/2025 08:12</t>
        </is>
      </c>
      <c r="M741" t="inlineStr">
        <is>
          <t>None</t>
        </is>
      </c>
      <c r="N741" t="inlineStr">
        <is>
          <t>&lt;p&gt;&lt;/p&gt;</t>
        </is>
      </c>
      <c r="O741" t="inlineStr"/>
      <c r="P741" t="inlineStr">
        <is>
          <t>SA9ST6P0001283612 , Tow Chipper , Forst , ST6p</t>
        </is>
      </c>
      <c r="Q741" t="inlineStr">
        <is>
          <t>UKPN</t>
        </is>
      </c>
      <c r="R741" t="b">
        <v>0</v>
      </c>
    </row>
    <row r="742">
      <c r="A742" t="inlineStr">
        <is>
          <t>3 Jul 2025 / 7951 Austin Tree Care LTD</t>
        </is>
      </c>
      <c r="B742" t="inlineStr">
        <is>
          <t>Utilities &amp; Inland Waterways</t>
        </is>
      </c>
      <c r="C742" t="inlineStr">
        <is>
          <t>UKPN</t>
        </is>
      </c>
      <c r="D742" t="inlineStr">
        <is>
          <t>WF61 HZV , 4x4 MEWP , Land Rover , Defender</t>
        </is>
      </c>
      <c r="E742" t="inlineStr">
        <is>
          <t>WF61 HZV , 4x4 MEWP , Land Rover , Defender</t>
        </is>
      </c>
      <c r="F742" t="inlineStr">
        <is>
          <t>WF61 HZV , 4x4 MEWP , Land Rover , Defender</t>
        </is>
      </c>
      <c r="G742" t="inlineStr">
        <is>
          <t xml:space="preserve">Jack Austin </t>
        </is>
      </c>
      <c r="H742" t="inlineStr">
        <is>
          <t>4x4</t>
        </is>
      </c>
      <c r="I742" t="inlineStr">
        <is>
          <t>Daily/ Weekly Vehicle Inspection</t>
        </is>
      </c>
      <c r="J742" t="inlineStr">
        <is>
          <t>N/A</t>
        </is>
      </c>
      <c r="K742" t="inlineStr">
        <is>
          <t>7951 Austin Tree Care LTD</t>
        </is>
      </c>
      <c r="L742" t="inlineStr">
        <is>
          <t>03/07/2025 08:12</t>
        </is>
      </c>
      <c r="M742" t="inlineStr">
        <is>
          <t>None</t>
        </is>
      </c>
      <c r="N742" t="inlineStr">
        <is>
          <t>&lt;p&gt;&lt;/p&gt;</t>
        </is>
      </c>
      <c r="O742" t="inlineStr"/>
      <c r="P742" t="inlineStr">
        <is>
          <t>WF61 HZV , 4x4 MEWP , Land Rover , Defender</t>
        </is>
      </c>
      <c r="Q742" t="inlineStr">
        <is>
          <t>UKPN</t>
        </is>
      </c>
      <c r="R742" t="b">
        <v>0</v>
      </c>
    </row>
    <row r="743">
      <c r="A743" t="inlineStr">
        <is>
          <t>3 Jul 2025 / 6617 Ashdown Tree Limited</t>
        </is>
      </c>
      <c r="B743" t="inlineStr">
        <is>
          <t>Utilities &amp; Inland Waterways</t>
        </is>
      </c>
      <c r="C743" t="inlineStr">
        <is>
          <t>UKPN</t>
        </is>
      </c>
      <c r="D743" t="inlineStr">
        <is>
          <t>TR55TUB , 4x4 , Land rover  , Defender mewp</t>
        </is>
      </c>
      <c r="E743" t="inlineStr">
        <is>
          <t>TR55TUB , 4x4 , Land rover  , Defender mewp</t>
        </is>
      </c>
      <c r="F743" t="inlineStr">
        <is>
          <t>TR55TUB , 4x4 , Land rover  , Defender mewp</t>
        </is>
      </c>
      <c r="G743" t="inlineStr">
        <is>
          <t>A Horwood</t>
        </is>
      </c>
      <c r="H743" t="inlineStr">
        <is>
          <t>4x4</t>
        </is>
      </c>
      <c r="I743" t="inlineStr">
        <is>
          <t>Daily/ Weekly Vehicle Inspection</t>
        </is>
      </c>
      <c r="J743" t="inlineStr">
        <is>
          <t>N/A</t>
        </is>
      </c>
      <c r="K743" t="inlineStr">
        <is>
          <t>6617 Ashdown Tree Limited</t>
        </is>
      </c>
      <c r="L743" t="inlineStr">
        <is>
          <t>03/07/2025 10:08</t>
        </is>
      </c>
      <c r="M743" t="inlineStr">
        <is>
          <t>None</t>
        </is>
      </c>
      <c r="N743" t="inlineStr">
        <is>
          <t>&lt;p&gt;&lt;/p&gt;</t>
        </is>
      </c>
      <c r="O743" t="inlineStr"/>
      <c r="P743" t="inlineStr">
        <is>
          <t>TR55TUB , 4x4 , Land rover  , Defender mewp</t>
        </is>
      </c>
      <c r="Q743" t="inlineStr">
        <is>
          <t>UKPN</t>
        </is>
      </c>
      <c r="R743" t="b">
        <v>0</v>
      </c>
    </row>
    <row r="744">
      <c r="A744" t="inlineStr">
        <is>
          <t>2 Jul 2025 / 3098 D &amp; R Landscapes (PEND Arb Rail)</t>
        </is>
      </c>
      <c r="B744" t="inlineStr">
        <is>
          <t>Utilities &amp; Inland Waterways</t>
        </is>
      </c>
      <c r="C744" t="inlineStr">
        <is>
          <t>UKPN</t>
        </is>
      </c>
      <c r="D744" t="inlineStr">
        <is>
          <t>FX17YVM , Vehicle , Nissan , Navara</t>
        </is>
      </c>
      <c r="E744" t="inlineStr">
        <is>
          <t>FX17YVM , Vehicle , Nissan , Navara</t>
        </is>
      </c>
      <c r="F744" t="inlineStr">
        <is>
          <t>FX17YVM , Vehicle , Nissan , Navara</t>
        </is>
      </c>
      <c r="G744" t="inlineStr">
        <is>
          <t>Jason</t>
        </is>
      </c>
      <c r="H744" t="inlineStr">
        <is>
          <t>Pickup Truck</t>
        </is>
      </c>
      <c r="I744" t="inlineStr">
        <is>
          <t>Daily/ Weekly Vehicle Inspection</t>
        </is>
      </c>
      <c r="J744" t="inlineStr">
        <is>
          <t>N/A</t>
        </is>
      </c>
      <c r="K744" t="inlineStr">
        <is>
          <t>3098 D &amp; R Landscapes (PEND Arb Rail)</t>
        </is>
      </c>
      <c r="L744" t="inlineStr">
        <is>
          <t>03/07/2025 11:08</t>
        </is>
      </c>
      <c r="M744" t="inlineStr">
        <is>
          <t>None</t>
        </is>
      </c>
      <c r="N744" t="inlineStr">
        <is>
          <t>&lt;p&gt;&lt;/p&gt;</t>
        </is>
      </c>
      <c r="O744" t="inlineStr"/>
      <c r="P744" t="inlineStr">
        <is>
          <t>FX17YVM , Vehicle , Nissan , Navara</t>
        </is>
      </c>
      <c r="Q744" t="inlineStr">
        <is>
          <t>UKPN</t>
        </is>
      </c>
      <c r="R744" t="b">
        <v>0</v>
      </c>
    </row>
    <row r="745">
      <c r="A745" t="inlineStr">
        <is>
          <t>4 Jul 2025 / 7940 HRJ Tree Services LTD</t>
        </is>
      </c>
      <c r="B745" t="inlineStr">
        <is>
          <t>Utilities &amp; Inland Waterways</t>
        </is>
      </c>
      <c r="C745" t="inlineStr">
        <is>
          <t>UKPN</t>
        </is>
      </c>
      <c r="D745" t="inlineStr">
        <is>
          <t>Plant Trailer - Indespension - 211717 - 211717</t>
        </is>
      </c>
      <c r="E745" t="inlineStr">
        <is>
          <t>Plant Trailer - Indespension - 211717 - 211717</t>
        </is>
      </c>
      <c r="F745" t="inlineStr">
        <is>
          <t>Plant Trailer - Indespension - 211717 - 211717</t>
        </is>
      </c>
      <c r="G745" t="inlineStr">
        <is>
          <t xml:space="preserve">Jack Buchan </t>
        </is>
      </c>
      <c r="H745" t="inlineStr">
        <is>
          <t>Equipment Trailer</t>
        </is>
      </c>
      <c r="I745" t="inlineStr">
        <is>
          <t>Daily/ Weekly Vehicle Inspection</t>
        </is>
      </c>
      <c r="J745" t="inlineStr">
        <is>
          <t>N/A</t>
        </is>
      </c>
      <c r="K745" t="inlineStr">
        <is>
          <t>7940 HRJ Tree Services LTD</t>
        </is>
      </c>
      <c r="L745" t="inlineStr">
        <is>
          <t>04/07/2025 07:14</t>
        </is>
      </c>
      <c r="M745" t="inlineStr">
        <is>
          <t>None</t>
        </is>
      </c>
      <c r="N745" t="inlineStr">
        <is>
          <t>&lt;p&gt;&lt;/p&gt;</t>
        </is>
      </c>
      <c r="O745" t="inlineStr"/>
      <c r="P745" t="inlineStr">
        <is>
          <t>Plant Trailer - Indespension - 211717 - 211717</t>
        </is>
      </c>
      <c r="Q745" t="inlineStr">
        <is>
          <t>UKPN</t>
        </is>
      </c>
      <c r="R745" t="b">
        <v>0</v>
      </c>
    </row>
    <row r="746">
      <c r="A746" t="inlineStr">
        <is>
          <t>4 Jul 2025 / 7940 HRJ Tree Services LTD</t>
        </is>
      </c>
      <c r="B746" t="inlineStr">
        <is>
          <t>Utilities &amp; Inland Waterways</t>
        </is>
      </c>
      <c r="C746" t="inlineStr">
        <is>
          <t>UKPN</t>
        </is>
      </c>
      <c r="D746" t="inlineStr">
        <is>
          <t>4x4 - Toyota  - Hilux - LL70GZP</t>
        </is>
      </c>
      <c r="E746" t="inlineStr">
        <is>
          <t>4x4 - Toyota  - Hilux - LL70GZP</t>
        </is>
      </c>
      <c r="F746" t="inlineStr">
        <is>
          <t>4x4 - Toyota  - Hilux - LL70GZP</t>
        </is>
      </c>
      <c r="G746" t="inlineStr">
        <is>
          <t xml:space="preserve">Harry Wilson </t>
        </is>
      </c>
      <c r="H746" t="inlineStr">
        <is>
          <t>4x4</t>
        </is>
      </c>
      <c r="I746" t="inlineStr">
        <is>
          <t>Daily/ Weekly Vehicle Inspection</t>
        </is>
      </c>
      <c r="J746" t="inlineStr">
        <is>
          <t>N/A</t>
        </is>
      </c>
      <c r="K746" t="inlineStr">
        <is>
          <t>7940 HRJ Tree Services LTD</t>
        </is>
      </c>
      <c r="L746" t="inlineStr">
        <is>
          <t>04/07/2025 07:16</t>
        </is>
      </c>
      <c r="M746" t="inlineStr">
        <is>
          <t>None</t>
        </is>
      </c>
      <c r="N746" t="inlineStr">
        <is>
          <t>&lt;p&gt;&lt;/p&gt;</t>
        </is>
      </c>
      <c r="O746" t="inlineStr"/>
      <c r="P746" t="inlineStr">
        <is>
          <t>4x4 - Toyota  - Hilux - LL70GZP</t>
        </is>
      </c>
      <c r="Q746" t="inlineStr">
        <is>
          <t>UKPN</t>
        </is>
      </c>
      <c r="R746" t="b">
        <v>0</v>
      </c>
    </row>
    <row r="747">
      <c r="A747" t="inlineStr">
        <is>
          <t>4 Jul 2025 / 7940 HRJ Tree Services LTD</t>
        </is>
      </c>
      <c r="B747" t="inlineStr">
        <is>
          <t>Utilities &amp; Inland Waterways</t>
        </is>
      </c>
      <c r="C747" t="inlineStr">
        <is>
          <t>UKPN</t>
        </is>
      </c>
      <c r="D747" t="inlineStr">
        <is>
          <t>Kx65fcp , 4x4 , Izuzu d max  , D max</t>
        </is>
      </c>
      <c r="E747" t="inlineStr">
        <is>
          <t>Kx65fcp , 4x4 , Izuzu d max  , D max</t>
        </is>
      </c>
      <c r="F747" t="inlineStr">
        <is>
          <t>Kx65fcp , 4x4 , Izuzu d max  , D max</t>
        </is>
      </c>
      <c r="G747" t="inlineStr">
        <is>
          <t xml:space="preserve">Jack Buchan </t>
        </is>
      </c>
      <c r="H747" t="inlineStr">
        <is>
          <t>4x4</t>
        </is>
      </c>
      <c r="I747" t="inlineStr">
        <is>
          <t>Daily/ Weekly Vehicle Inspection</t>
        </is>
      </c>
      <c r="J747" t="inlineStr">
        <is>
          <t>N/A</t>
        </is>
      </c>
      <c r="K747" t="inlineStr">
        <is>
          <t>7940 HRJ Tree Services LTD</t>
        </is>
      </c>
      <c r="L747" t="inlineStr">
        <is>
          <t>04/07/2025 07:17</t>
        </is>
      </c>
      <c r="M747" t="inlineStr">
        <is>
          <t>None</t>
        </is>
      </c>
      <c r="N747" t="inlineStr">
        <is>
          <t>&lt;p&gt;&lt;/p&gt;</t>
        </is>
      </c>
      <c r="O747" t="inlineStr"/>
      <c r="P747" t="inlineStr">
        <is>
          <t>Kx65fcp , 4x4 , Izuzu d max  , D max</t>
        </is>
      </c>
      <c r="Q747" t="inlineStr">
        <is>
          <t>UKPN</t>
        </is>
      </c>
      <c r="R747" t="b">
        <v>0</v>
      </c>
    </row>
    <row r="748">
      <c r="A748" t="inlineStr">
        <is>
          <t>4 Jul 2025 / 6617 Ashdown Tree Limited 1</t>
        </is>
      </c>
      <c r="B748" t="inlineStr">
        <is>
          <t>Utilities &amp; Inland Waterways</t>
        </is>
      </c>
      <c r="C748" t="inlineStr">
        <is>
          <t>UKPN</t>
        </is>
      </c>
      <c r="D748" t="inlineStr">
        <is>
          <t>GU11LKD , 4x4 , Land Rover , Defender</t>
        </is>
      </c>
      <c r="E748" t="inlineStr">
        <is>
          <t>GU11LKD , 4x4 , Land Rover , Defender</t>
        </is>
      </c>
      <c r="F748" t="inlineStr">
        <is>
          <t>GU11LKD , 4x4 , Land Rover , Defender</t>
        </is>
      </c>
      <c r="G748" t="inlineStr">
        <is>
          <t xml:space="preserve">Francislesser </t>
        </is>
      </c>
      <c r="H748" t="inlineStr">
        <is>
          <t>4x4</t>
        </is>
      </c>
      <c r="I748" t="inlineStr">
        <is>
          <t>Daily/ Weekly Vehicle Inspection</t>
        </is>
      </c>
      <c r="J748" t="inlineStr">
        <is>
          <t>N/A</t>
        </is>
      </c>
      <c r="K748" t="inlineStr">
        <is>
          <t>6617 Ashdown Tree Limited 1</t>
        </is>
      </c>
      <c r="L748" t="inlineStr">
        <is>
          <t>04/07/2025 08:07</t>
        </is>
      </c>
      <c r="M748" t="inlineStr">
        <is>
          <t>None</t>
        </is>
      </c>
      <c r="N748" t="inlineStr">
        <is>
          <t>&lt;p&gt;&lt;/p&gt;</t>
        </is>
      </c>
      <c r="O748" t="inlineStr"/>
      <c r="P748" t="inlineStr">
        <is>
          <t>GU11LKD , 4x4 , Land Rover , Defender</t>
        </is>
      </c>
      <c r="Q748" t="inlineStr">
        <is>
          <t>UKPN</t>
        </is>
      </c>
      <c r="R748" t="b">
        <v>0</v>
      </c>
    </row>
    <row r="749">
      <c r="A749" t="inlineStr">
        <is>
          <t>4 Jul 2025 / 7800 MAC Tree Surgery and Fencing Ltd</t>
        </is>
      </c>
      <c r="B749" t="inlineStr">
        <is>
          <t>Utilities &amp; Inland Waterways</t>
        </is>
      </c>
      <c r="C749" t="inlineStr">
        <is>
          <t>UKPN</t>
        </is>
      </c>
      <c r="D749" t="inlineStr">
        <is>
          <t>AY68DAA , 4x4 , Izuzu , Dmax</t>
        </is>
      </c>
      <c r="E749" t="inlineStr">
        <is>
          <t>AY68DAA , 4x4 , Izuzu , Dmax</t>
        </is>
      </c>
      <c r="F749" t="inlineStr">
        <is>
          <t>AY68DAA , 4x4 , Izuzu , Dmax</t>
        </is>
      </c>
      <c r="G749" t="inlineStr">
        <is>
          <t xml:space="preserve">Lewis </t>
        </is>
      </c>
      <c r="H749" t="inlineStr">
        <is>
          <t>4x4</t>
        </is>
      </c>
      <c r="I749" t="inlineStr">
        <is>
          <t>Daily/ Weekly Vehicle Inspection</t>
        </is>
      </c>
      <c r="J749" t="inlineStr">
        <is>
          <t>N/A</t>
        </is>
      </c>
      <c r="K749" t="inlineStr">
        <is>
          <t>7800 MAC Tree Surgery and Fencing Ltd</t>
        </is>
      </c>
      <c r="L749" t="inlineStr">
        <is>
          <t>04/07/2025 08:08</t>
        </is>
      </c>
      <c r="M749" t="inlineStr">
        <is>
          <t>None</t>
        </is>
      </c>
      <c r="N749" t="inlineStr">
        <is>
          <t>&lt;p&gt;&lt;/p&gt;</t>
        </is>
      </c>
      <c r="O749" t="inlineStr">
        <is>
          <t>Confirm that you have checked this vehicle as per the guidance document and the vehicle is safe and roadworthy:Slight crack in windscreen but doesn't effect vision
-</t>
        </is>
      </c>
      <c r="P749" t="inlineStr">
        <is>
          <t>AY68DAA , 4x4 , Izuzu , Dmax</t>
        </is>
      </c>
      <c r="Q749" t="inlineStr">
        <is>
          <t>UKPN</t>
        </is>
      </c>
      <c r="R749" t="b">
        <v>0</v>
      </c>
    </row>
    <row r="750">
      <c r="A750" t="inlineStr">
        <is>
          <t>4 Jul 2025 / 7800 MAC Tree Surgery and Fencing Ltd</t>
        </is>
      </c>
      <c r="B750" t="inlineStr">
        <is>
          <t>Utilities &amp; Inland Waterways</t>
        </is>
      </c>
      <c r="C750" t="inlineStr">
        <is>
          <t>UKPN</t>
        </is>
      </c>
      <c r="D750" t="inlineStr">
        <is>
          <t>205143043-A1 , Tow Chipper , Timberwolf , TW150</t>
        </is>
      </c>
      <c r="E750" t="inlineStr">
        <is>
          <t>205143043-A1 , Tow Chipper , Timberwolf , TW150</t>
        </is>
      </c>
      <c r="F750" t="inlineStr">
        <is>
          <t>205143043-A1 , Tow Chipper , Timberwolf , TW150</t>
        </is>
      </c>
      <c r="G750" t="inlineStr">
        <is>
          <t xml:space="preserve">Lewis mac </t>
        </is>
      </c>
      <c r="H750" t="inlineStr">
        <is>
          <t>Towed Chipper</t>
        </is>
      </c>
      <c r="I750" t="inlineStr">
        <is>
          <t>Daily/ Weekly Vehicle Inspection</t>
        </is>
      </c>
      <c r="J750" t="inlineStr">
        <is>
          <t>N/A</t>
        </is>
      </c>
      <c r="K750" t="inlineStr">
        <is>
          <t>7800 MAC Tree Surgery and Fencing Ltd</t>
        </is>
      </c>
      <c r="L750" t="inlineStr">
        <is>
          <t>04/07/2025 08:09</t>
        </is>
      </c>
      <c r="M750" t="inlineStr">
        <is>
          <t>None</t>
        </is>
      </c>
      <c r="N750" t="inlineStr">
        <is>
          <t>&lt;p&gt;&lt;/p&gt;</t>
        </is>
      </c>
      <c r="O750" t="inlineStr"/>
      <c r="P750" t="inlineStr">
        <is>
          <t>205143043-A1 , Tow Chipper , Timberwolf , TW150</t>
        </is>
      </c>
      <c r="Q750" t="inlineStr">
        <is>
          <t>UKPN</t>
        </is>
      </c>
      <c r="R750" t="b">
        <v>0</v>
      </c>
    </row>
    <row r="751">
      <c r="A751" t="inlineStr">
        <is>
          <t>4 Jul 2025 / 7951 Austin Tree Care LTD</t>
        </is>
      </c>
      <c r="B751" t="inlineStr">
        <is>
          <t>Utilities &amp; Inland Waterways</t>
        </is>
      </c>
      <c r="C751" t="inlineStr">
        <is>
          <t>UKPN</t>
        </is>
      </c>
      <c r="D751" t="inlineStr">
        <is>
          <t>SA9ST6P0001283612 , Tow Chipper , Forst , ST6p</t>
        </is>
      </c>
      <c r="E751" t="inlineStr">
        <is>
          <t>SA9ST6P0001283612 , Tow Chipper , Forst , ST6p</t>
        </is>
      </c>
      <c r="F751" t="inlineStr">
        <is>
          <t>SA9ST6P0001283612 , Tow Chipper , Forst , ST6p</t>
        </is>
      </c>
      <c r="G751" t="inlineStr">
        <is>
          <t>Jack Austin</t>
        </is>
      </c>
      <c r="H751" t="inlineStr">
        <is>
          <t>Towed Chipper</t>
        </is>
      </c>
      <c r="I751" t="inlineStr">
        <is>
          <t>Daily/ Weekly Vehicle Inspection</t>
        </is>
      </c>
      <c r="J751" t="inlineStr">
        <is>
          <t>N/A</t>
        </is>
      </c>
      <c r="K751" t="inlineStr">
        <is>
          <t>7951 Austin Tree Care LTD</t>
        </is>
      </c>
      <c r="L751" t="inlineStr">
        <is>
          <t>04/07/2025 08:12</t>
        </is>
      </c>
      <c r="M751" t="inlineStr">
        <is>
          <t>None</t>
        </is>
      </c>
      <c r="N751" t="inlineStr">
        <is>
          <t>&lt;p&gt;&lt;/p&gt;</t>
        </is>
      </c>
      <c r="O751" t="inlineStr"/>
      <c r="P751" t="inlineStr">
        <is>
          <t>SA9ST6P0001283612 , Tow Chipper , Forst , ST6p</t>
        </is>
      </c>
      <c r="Q751" t="inlineStr">
        <is>
          <t>UKPN</t>
        </is>
      </c>
      <c r="R751" t="b">
        <v>0</v>
      </c>
    </row>
    <row r="752">
      <c r="A752" t="inlineStr">
        <is>
          <t>4 Jul 2025 / 7951 Austin Tree Care LTD</t>
        </is>
      </c>
      <c r="B752" t="inlineStr">
        <is>
          <t>Utilities &amp; Inland Waterways</t>
        </is>
      </c>
      <c r="C752" t="inlineStr">
        <is>
          <t>UKPN</t>
        </is>
      </c>
      <c r="D752" t="inlineStr">
        <is>
          <t>Kn58xuy , Tipper , VW  , Crafter</t>
        </is>
      </c>
      <c r="E752" t="inlineStr">
        <is>
          <t>Kn58xuy , Tipper , VW  , Crafter</t>
        </is>
      </c>
      <c r="F752" t="inlineStr">
        <is>
          <t>Kn58xuy , Tipper , VW  , Crafter</t>
        </is>
      </c>
      <c r="G752" t="inlineStr">
        <is>
          <t>Jack Austin</t>
        </is>
      </c>
      <c r="H752" t="inlineStr">
        <is>
          <t>Tipper</t>
        </is>
      </c>
      <c r="I752" t="inlineStr">
        <is>
          <t>Daily/ Weekly Vehicle Inspection</t>
        </is>
      </c>
      <c r="J752" t="inlineStr">
        <is>
          <t>N/A</t>
        </is>
      </c>
      <c r="K752" t="inlineStr">
        <is>
          <t>7951 Austin Tree Care LTD</t>
        </is>
      </c>
      <c r="L752" t="inlineStr">
        <is>
          <t>04/07/2025 08:12</t>
        </is>
      </c>
      <c r="M752" t="inlineStr">
        <is>
          <t>None</t>
        </is>
      </c>
      <c r="N752" t="inlineStr">
        <is>
          <t>&lt;p&gt;&lt;/p&gt;</t>
        </is>
      </c>
      <c r="O752" t="inlineStr"/>
      <c r="P752" t="inlineStr">
        <is>
          <t>Kn58xuy , Tipper , VW  , Crafter</t>
        </is>
      </c>
      <c r="Q752" t="inlineStr">
        <is>
          <t>UKPN</t>
        </is>
      </c>
      <c r="R752" t="b">
        <v>0</v>
      </c>
    </row>
    <row r="753">
      <c r="A753" t="inlineStr">
        <is>
          <t>4 Jul 2025 / 7806 Optimum Tree Services Ltd</t>
        </is>
      </c>
      <c r="B753" t="inlineStr">
        <is>
          <t>Utilities &amp; Inland Waterways</t>
        </is>
      </c>
      <c r="C753" t="inlineStr">
        <is>
          <t>UKPN</t>
        </is>
      </c>
      <c r="D753" t="inlineStr">
        <is>
          <t>SA9ST800000283069 , Chipper , Forst , ST 6P</t>
        </is>
      </c>
      <c r="E753" t="inlineStr">
        <is>
          <t>SA9ST800000283069 , Chipper , Forst , ST 6P</t>
        </is>
      </c>
      <c r="F753" t="inlineStr">
        <is>
          <t>SA9ST800000283069 , Chipper , Forst , ST 6P</t>
        </is>
      </c>
      <c r="G753" t="inlineStr">
        <is>
          <t xml:space="preserve">Abraham Davies </t>
        </is>
      </c>
      <c r="H753" t="inlineStr">
        <is>
          <t>Towed Chipper</t>
        </is>
      </c>
      <c r="I753" t="inlineStr">
        <is>
          <t>Daily/ Weekly Vehicle Inspection</t>
        </is>
      </c>
      <c r="J753" t="inlineStr">
        <is>
          <t>N/A</t>
        </is>
      </c>
      <c r="K753" t="inlineStr">
        <is>
          <t>7806 Optimum Tree Services Ltd</t>
        </is>
      </c>
      <c r="L753" t="inlineStr">
        <is>
          <t>04/07/2025 08:13</t>
        </is>
      </c>
      <c r="M753" t="inlineStr">
        <is>
          <t>None</t>
        </is>
      </c>
      <c r="N753" t="inlineStr">
        <is>
          <t>&lt;p&gt;&lt;/p&gt;</t>
        </is>
      </c>
      <c r="O753" t="inlineStr"/>
      <c r="P753" t="inlineStr">
        <is>
          <t>SA9ST800000283069 , Chipper , Forst , ST 6P</t>
        </is>
      </c>
      <c r="Q753" t="inlineStr">
        <is>
          <t>UKPN</t>
        </is>
      </c>
      <c r="R753" t="b">
        <v>0</v>
      </c>
    </row>
    <row r="754">
      <c r="A754" t="inlineStr">
        <is>
          <t>4 Jul 2025 / 7806 Optimum Tree Services Ltd</t>
        </is>
      </c>
      <c r="B754" t="inlineStr">
        <is>
          <t>Utilities &amp; Inland Waterways</t>
        </is>
      </c>
      <c r="C754" t="inlineStr">
        <is>
          <t>UKPN</t>
        </is>
      </c>
      <c r="D754" t="inlineStr">
        <is>
          <t>WD14EVB , MEWP , Land Rover , Defender</t>
        </is>
      </c>
      <c r="E754" t="inlineStr">
        <is>
          <t>WD14EVB , MEWP , Land Rover , Defender</t>
        </is>
      </c>
      <c r="F754" t="inlineStr">
        <is>
          <t>WD14EVB , MEWP , Land Rover , Defender</t>
        </is>
      </c>
      <c r="G754" t="inlineStr">
        <is>
          <t xml:space="preserve">Abraham Davies </t>
        </is>
      </c>
      <c r="H754" t="inlineStr">
        <is>
          <t>4x4</t>
        </is>
      </c>
      <c r="I754" t="inlineStr">
        <is>
          <t>Daily/ Weekly Vehicle Inspection</t>
        </is>
      </c>
      <c r="J754" t="inlineStr">
        <is>
          <t>N/A</t>
        </is>
      </c>
      <c r="K754" t="inlineStr">
        <is>
          <t>7806 Optimum Tree Services Ltd</t>
        </is>
      </c>
      <c r="L754" t="inlineStr">
        <is>
          <t>04/07/2025 08:14</t>
        </is>
      </c>
      <c r="M754" t="inlineStr">
        <is>
          <t>None</t>
        </is>
      </c>
      <c r="N754" t="inlineStr">
        <is>
          <t>&lt;p&gt;&lt;/p&gt;</t>
        </is>
      </c>
      <c r="O754" t="inlineStr"/>
      <c r="P754" t="inlineStr">
        <is>
          <t>WD14EVB , MEWP , Land Rover , Defender</t>
        </is>
      </c>
      <c r="Q754" t="inlineStr">
        <is>
          <t>UKPN</t>
        </is>
      </c>
      <c r="R754" t="b">
        <v>0</v>
      </c>
    </row>
    <row r="755">
      <c r="A755" t="inlineStr">
        <is>
          <t>4 Jul 2025 / 7186 Eastwoodbury Tree Services Ltd</t>
        </is>
      </c>
      <c r="B755" t="inlineStr">
        <is>
          <t>Utilities &amp; Inland Waterways</t>
        </is>
      </c>
      <c r="C755" t="inlineStr">
        <is>
          <t>UKPN</t>
        </is>
      </c>
      <c r="D755" t="inlineStr">
        <is>
          <t>FN600XM , 4x4 , Land Rover  , Defender</t>
        </is>
      </c>
      <c r="E755" t="inlineStr">
        <is>
          <t>FN600XM , 4x4 , Land Rover  , Defender</t>
        </is>
      </c>
      <c r="F755" t="inlineStr">
        <is>
          <t>FN600XM , 4x4 , Land Rover  , Defender</t>
        </is>
      </c>
      <c r="G755" t="inlineStr">
        <is>
          <t xml:space="preserve">Dan </t>
        </is>
      </c>
      <c r="H755" t="inlineStr">
        <is>
          <t>4x4</t>
        </is>
      </c>
      <c r="I755" t="inlineStr">
        <is>
          <t>Daily/ Weekly Vehicle Inspection</t>
        </is>
      </c>
      <c r="J755" t="inlineStr">
        <is>
          <t>N/A</t>
        </is>
      </c>
      <c r="K755" t="inlineStr">
        <is>
          <t>7186 Eastwoodbury Tree Services Ltd</t>
        </is>
      </c>
      <c r="L755" t="inlineStr">
        <is>
          <t>04/07/2025 08:14</t>
        </is>
      </c>
      <c r="M755" t="inlineStr">
        <is>
          <t>None</t>
        </is>
      </c>
      <c r="N755" t="inlineStr">
        <is>
          <t>&lt;p&gt;&lt;/p&gt;</t>
        </is>
      </c>
      <c r="O755" t="inlineStr"/>
      <c r="P755" t="inlineStr">
        <is>
          <t>FN600XM , 4x4 , Land Rover  , Defender</t>
        </is>
      </c>
      <c r="Q755" t="inlineStr">
        <is>
          <t>UKPN</t>
        </is>
      </c>
      <c r="R755" t="b">
        <v>0</v>
      </c>
    </row>
    <row r="756">
      <c r="A756" t="inlineStr">
        <is>
          <t>5 Jul 2025 / 7940 HRJ Tree Services LTD</t>
        </is>
      </c>
      <c r="B756" t="inlineStr">
        <is>
          <t>Utilities &amp; Inland Waterways</t>
        </is>
      </c>
      <c r="C756" t="inlineStr">
        <is>
          <t>UKPN</t>
        </is>
      </c>
      <c r="D756" t="inlineStr">
        <is>
          <t>4x4 - Toyota  - Hilux - LL70GZP</t>
        </is>
      </c>
      <c r="E756" t="inlineStr">
        <is>
          <t>4x4 - Toyota  - Hilux - LL70GZP</t>
        </is>
      </c>
      <c r="F756" t="inlineStr">
        <is>
          <t>4x4 - Toyota  - Hilux - LL70GZP</t>
        </is>
      </c>
      <c r="G756" t="inlineStr">
        <is>
          <t>Harry Wilson</t>
        </is>
      </c>
      <c r="H756" t="inlineStr">
        <is>
          <t>4x4</t>
        </is>
      </c>
      <c r="I756" t="inlineStr">
        <is>
          <t>Daily/ Weekly Vehicle Inspection</t>
        </is>
      </c>
      <c r="J756" t="inlineStr">
        <is>
          <t>N/A</t>
        </is>
      </c>
      <c r="K756" t="inlineStr">
        <is>
          <t>7940 HRJ Tree Services LTD</t>
        </is>
      </c>
      <c r="L756" t="inlineStr">
        <is>
          <t>05/07/2025 19:07</t>
        </is>
      </c>
      <c r="M756" t="inlineStr">
        <is>
          <t>None</t>
        </is>
      </c>
      <c r="N756" t="inlineStr">
        <is>
          <t>&lt;p&gt;&lt;/p&gt;</t>
        </is>
      </c>
      <c r="O756" t="inlineStr"/>
      <c r="P756" t="inlineStr">
        <is>
          <t>4x4 - Toyota  - Hilux - LL70GZP</t>
        </is>
      </c>
      <c r="Q756" t="inlineStr">
        <is>
          <t>UKPN</t>
        </is>
      </c>
      <c r="R756" t="b">
        <v>0</v>
      </c>
    </row>
    <row r="757">
      <c r="A757" t="inlineStr">
        <is>
          <t>5 Jul 2025 / 7940 HRJ Tree Services LTD</t>
        </is>
      </c>
      <c r="B757" t="inlineStr">
        <is>
          <t>Utilities &amp; Inland Waterways</t>
        </is>
      </c>
      <c r="C757" t="inlineStr">
        <is>
          <t>UKPN</t>
        </is>
      </c>
      <c r="D757" t="inlineStr">
        <is>
          <t>Kx65fcp , 4x4 , Izuzu d max  , D max</t>
        </is>
      </c>
      <c r="E757" t="inlineStr">
        <is>
          <t>Kx65fcp , 4x4 , Izuzu d max  , D max</t>
        </is>
      </c>
      <c r="F757" t="inlineStr">
        <is>
          <t>Kx65fcp , 4x4 , Izuzu d max  , D max</t>
        </is>
      </c>
      <c r="G757" t="inlineStr">
        <is>
          <t xml:space="preserve">Jack Buchan </t>
        </is>
      </c>
      <c r="H757" t="inlineStr">
        <is>
          <t>4x4</t>
        </is>
      </c>
      <c r="I757" t="inlineStr">
        <is>
          <t>Daily/ Weekly Vehicle Inspection</t>
        </is>
      </c>
      <c r="J757" t="inlineStr">
        <is>
          <t>N/A</t>
        </is>
      </c>
      <c r="K757" t="inlineStr">
        <is>
          <t>7940 HRJ Tree Services LTD</t>
        </is>
      </c>
      <c r="L757" t="inlineStr">
        <is>
          <t>05/07/2025 19:08</t>
        </is>
      </c>
      <c r="M757" t="inlineStr">
        <is>
          <t>None</t>
        </is>
      </c>
      <c r="N757" t="inlineStr">
        <is>
          <t>&lt;p&gt;&lt;/p&gt;</t>
        </is>
      </c>
      <c r="O757" t="inlineStr"/>
      <c r="P757" t="inlineStr">
        <is>
          <t>Kx65fcp , 4x4 , Izuzu d max  , D max</t>
        </is>
      </c>
      <c r="Q757" t="inlineStr">
        <is>
          <t>UKPN</t>
        </is>
      </c>
      <c r="R757" t="b">
        <v>0</v>
      </c>
    </row>
    <row r="758">
      <c r="A758" t="inlineStr">
        <is>
          <t>7 Jul 2025 / 7800 MAC Tree Surgery and Fencing Ltd</t>
        </is>
      </c>
      <c r="B758" t="inlineStr">
        <is>
          <t>Utilities &amp; Inland Waterways</t>
        </is>
      </c>
      <c r="C758" t="inlineStr">
        <is>
          <t>UKPN</t>
        </is>
      </c>
      <c r="D758" t="inlineStr">
        <is>
          <t>AY68DAA , 4x4 , Izuzu , Dmax</t>
        </is>
      </c>
      <c r="E758" t="inlineStr">
        <is>
          <t>AY68DAA , 4x4 , Izuzu , Dmax</t>
        </is>
      </c>
      <c r="F758" t="inlineStr">
        <is>
          <t>AY68DAA , 4x4 , Izuzu , Dmax</t>
        </is>
      </c>
      <c r="G758" t="inlineStr">
        <is>
          <t xml:space="preserve">Lewis </t>
        </is>
      </c>
      <c r="H758" t="inlineStr">
        <is>
          <t>4x4</t>
        </is>
      </c>
      <c r="I758" t="inlineStr">
        <is>
          <t>Daily/ Weekly Vehicle Inspection</t>
        </is>
      </c>
      <c r="J758" t="inlineStr">
        <is>
          <t>N/A</t>
        </is>
      </c>
      <c r="K758" t="inlineStr">
        <is>
          <t>7800 MAC Tree Surgery and Fencing Ltd</t>
        </is>
      </c>
      <c r="L758" t="inlineStr">
        <is>
          <t>07/07/2025 07:08</t>
        </is>
      </c>
      <c r="M758" t="inlineStr">
        <is>
          <t>None</t>
        </is>
      </c>
      <c r="N758" t="inlineStr">
        <is>
          <t>&lt;p&gt;&lt;/p&gt;</t>
        </is>
      </c>
      <c r="O758" t="inlineStr">
        <is>
          <t>Confirm that you have checked this vehicle as per the guidance document and the vehicle is safe and roadworthy:Slight crack in windscreen but doesn't effect vision
-</t>
        </is>
      </c>
      <c r="P758" t="inlineStr">
        <is>
          <t>AY68DAA , 4x4 , Izuzu , Dmax</t>
        </is>
      </c>
      <c r="Q758" t="inlineStr">
        <is>
          <t>UKPN</t>
        </is>
      </c>
      <c r="R758" t="b">
        <v>0</v>
      </c>
    </row>
    <row r="759">
      <c r="A759" t="inlineStr">
        <is>
          <t>7 Jul 2025 / 7800 MAC Tree Surgery and Fencing Ltd</t>
        </is>
      </c>
      <c r="B759" t="inlineStr">
        <is>
          <t>Utilities &amp; Inland Waterways</t>
        </is>
      </c>
      <c r="C759" t="inlineStr">
        <is>
          <t>UKPN</t>
        </is>
      </c>
      <c r="D759" t="inlineStr">
        <is>
          <t>205143043-A1 , Tow Chipper , Timberwolf , TW150</t>
        </is>
      </c>
      <c r="E759" t="inlineStr">
        <is>
          <t>205143043-A1 , Tow Chipper , Timberwolf , TW150</t>
        </is>
      </c>
      <c r="F759" t="inlineStr">
        <is>
          <t>205143043-A1 , Tow Chipper , Timberwolf , TW150</t>
        </is>
      </c>
      <c r="G759" t="inlineStr">
        <is>
          <t xml:space="preserve">Lewis mac </t>
        </is>
      </c>
      <c r="H759" t="inlineStr">
        <is>
          <t>Towed Chipper</t>
        </is>
      </c>
      <c r="I759" t="inlineStr">
        <is>
          <t>Daily/ Weekly Vehicle Inspection</t>
        </is>
      </c>
      <c r="J759" t="inlineStr">
        <is>
          <t>N/A</t>
        </is>
      </c>
      <c r="K759" t="inlineStr">
        <is>
          <t>7800 MAC Tree Surgery and Fencing Ltd</t>
        </is>
      </c>
      <c r="L759" t="inlineStr">
        <is>
          <t>07/07/2025 07:09</t>
        </is>
      </c>
      <c r="M759" t="inlineStr">
        <is>
          <t>None</t>
        </is>
      </c>
      <c r="N759" t="inlineStr">
        <is>
          <t>&lt;p&gt;&lt;/p&gt;</t>
        </is>
      </c>
      <c r="O759" t="inlineStr"/>
      <c r="P759" t="inlineStr">
        <is>
          <t>205143043-A1 , Tow Chipper , Timberwolf , TW150</t>
        </is>
      </c>
      <c r="Q759" t="inlineStr">
        <is>
          <t>UKPN</t>
        </is>
      </c>
      <c r="R759" t="b">
        <v>0</v>
      </c>
    </row>
    <row r="760">
      <c r="A760" t="inlineStr">
        <is>
          <t>7 Jul 2025 / 7889 Tree Tech Suffolk Ltd</t>
        </is>
      </c>
      <c r="B760" t="inlineStr">
        <is>
          <t>Utilities &amp; Inland Waterways</t>
        </is>
      </c>
      <c r="C760" t="inlineStr">
        <is>
          <t>UKPN</t>
        </is>
      </c>
      <c r="D760" t="inlineStr">
        <is>
          <t>4x4 - Isuzu - D-max - NS03 TTSTow Chipper - Jenson - A530L - 5521063948</t>
        </is>
      </c>
      <c r="E760" t="inlineStr">
        <is>
          <t>4x4 - Isuzu - D-max - NS03 TTSTow Chipper - Jenson - A530L - 5521063948</t>
        </is>
      </c>
      <c r="F760" t="inlineStr">
        <is>
          <t>4x4 - Isuzu - D-max - NS03 TTSTow Chipper - Jenson - A530L - 5521063948</t>
        </is>
      </c>
      <c r="G760" t="inlineStr">
        <is>
          <t xml:space="preserve">Danny Appleby Nikki sparrow </t>
        </is>
      </c>
      <c r="H760" t="inlineStr">
        <is>
          <t>4x4Towed Chipper</t>
        </is>
      </c>
      <c r="I760" t="inlineStr">
        <is>
          <t>Daily/ Weekly Vehicle Inspection</t>
        </is>
      </c>
      <c r="J760" t="inlineStr">
        <is>
          <t>N/A</t>
        </is>
      </c>
      <c r="K760" t="inlineStr">
        <is>
          <t>7889 Tree Tech Suffolk Ltd</t>
        </is>
      </c>
      <c r="L760" t="inlineStr">
        <is>
          <t>07/07/2025 07:10</t>
        </is>
      </c>
      <c r="M760" t="inlineStr">
        <is>
          <t>None</t>
        </is>
      </c>
      <c r="N760" t="inlineStr">
        <is>
          <t>&lt;p&gt;&lt;/p&gt;</t>
        </is>
      </c>
      <c r="O760" t="inlineStr"/>
      <c r="P760" t="inlineStr">
        <is>
          <t>4x4 - Isuzu - D-max - NS03 TTSTow Chipper - Jenson - A530L - 5521063948</t>
        </is>
      </c>
      <c r="Q760" t="inlineStr">
        <is>
          <t>UKPN</t>
        </is>
      </c>
      <c r="R760" t="b">
        <v>0</v>
      </c>
    </row>
    <row r="761">
      <c r="A761" t="inlineStr">
        <is>
          <t>7 Jul 2025 / 7940 HRJ Tree Services LTD</t>
        </is>
      </c>
      <c r="B761" t="inlineStr">
        <is>
          <t>Utilities &amp; Inland Waterways</t>
        </is>
      </c>
      <c r="C761" t="inlineStr">
        <is>
          <t>UKPN</t>
        </is>
      </c>
      <c r="D761" t="inlineStr">
        <is>
          <t>Kx65fcp , 4x4 , Izuzu d max  , D max</t>
        </is>
      </c>
      <c r="E761" t="inlineStr">
        <is>
          <t>Kx65fcp , 4x4 , Izuzu d max  , D max</t>
        </is>
      </c>
      <c r="F761" t="inlineStr">
        <is>
          <t>Kx65fcp , 4x4 , Izuzu d max  , D max</t>
        </is>
      </c>
      <c r="G761" t="inlineStr">
        <is>
          <t xml:space="preserve">Jack Buchan </t>
        </is>
      </c>
      <c r="H761" t="inlineStr">
        <is>
          <t>4x4</t>
        </is>
      </c>
      <c r="I761" t="inlineStr">
        <is>
          <t>Daily/ Weekly Vehicle Inspection</t>
        </is>
      </c>
      <c r="J761" t="inlineStr">
        <is>
          <t>N/A</t>
        </is>
      </c>
      <c r="K761" t="inlineStr">
        <is>
          <t>7940 HRJ Tree Services LTD</t>
        </is>
      </c>
      <c r="L761" t="inlineStr">
        <is>
          <t>07/07/2025 07:14</t>
        </is>
      </c>
      <c r="M761" t="inlineStr">
        <is>
          <t>None</t>
        </is>
      </c>
      <c r="N761" t="inlineStr">
        <is>
          <t>&lt;p&gt;&lt;/p&gt;</t>
        </is>
      </c>
      <c r="O761" t="inlineStr"/>
      <c r="P761" t="inlineStr">
        <is>
          <t>Kx65fcp , 4x4 , Izuzu d max  , D max</t>
        </is>
      </c>
      <c r="Q761" t="inlineStr">
        <is>
          <t>UKPN</t>
        </is>
      </c>
      <c r="R761" t="b">
        <v>0</v>
      </c>
    </row>
    <row r="762">
      <c r="A762" t="inlineStr">
        <is>
          <t>7 Jul 2025 / 7940 HRJ Tree Services LTD</t>
        </is>
      </c>
      <c r="B762" t="inlineStr">
        <is>
          <t>Utilities &amp; Inland Waterways</t>
        </is>
      </c>
      <c r="C762" t="inlineStr">
        <is>
          <t>UKPN</t>
        </is>
      </c>
      <c r="D762" t="inlineStr">
        <is>
          <t>Plant Trailer - Indespension - 211717 - 211717</t>
        </is>
      </c>
      <c r="E762" t="inlineStr">
        <is>
          <t>Plant Trailer - Indespension - 211717 - 211717</t>
        </is>
      </c>
      <c r="F762" t="inlineStr">
        <is>
          <t>Plant Trailer - Indespension - 211717 - 211717</t>
        </is>
      </c>
      <c r="G762" t="inlineStr">
        <is>
          <t>Harry Wilson</t>
        </is>
      </c>
      <c r="H762" t="inlineStr">
        <is>
          <t>Equipment Trailer</t>
        </is>
      </c>
      <c r="I762" t="inlineStr">
        <is>
          <t>Daily/ Weekly Vehicle Inspection</t>
        </is>
      </c>
      <c r="J762" t="inlineStr">
        <is>
          <t>N/A</t>
        </is>
      </c>
      <c r="K762" t="inlineStr">
        <is>
          <t>7940 HRJ Tree Services LTD</t>
        </is>
      </c>
      <c r="L762" t="inlineStr">
        <is>
          <t>07/07/2025 07:15</t>
        </is>
      </c>
      <c r="M762" t="inlineStr">
        <is>
          <t>None</t>
        </is>
      </c>
      <c r="N762" t="inlineStr">
        <is>
          <t>&lt;p&gt;&lt;/p&gt;</t>
        </is>
      </c>
      <c r="O762" t="inlineStr"/>
      <c r="P762" t="inlineStr">
        <is>
          <t>Plant Trailer - Indespension - 211717 - 211717</t>
        </is>
      </c>
      <c r="Q762" t="inlineStr">
        <is>
          <t>UKPN</t>
        </is>
      </c>
      <c r="R762" t="b">
        <v>0</v>
      </c>
    </row>
    <row r="763">
      <c r="A763" t="inlineStr">
        <is>
          <t>7 Jul 2025 / 7940 HRJ Tree Services LTD</t>
        </is>
      </c>
      <c r="B763" t="inlineStr">
        <is>
          <t>Utilities &amp; Inland Waterways</t>
        </is>
      </c>
      <c r="C763" t="inlineStr">
        <is>
          <t>UKPN</t>
        </is>
      </c>
      <c r="D763" t="inlineStr">
        <is>
          <t>4x4 - Toyota  - Hilux - LL70GZP</t>
        </is>
      </c>
      <c r="E763" t="inlineStr">
        <is>
          <t>4x4 - Toyota  - Hilux - LL70GZP</t>
        </is>
      </c>
      <c r="F763" t="inlineStr">
        <is>
          <t>4x4 - Toyota  - Hilux - LL70GZP</t>
        </is>
      </c>
      <c r="G763" t="inlineStr">
        <is>
          <t xml:space="preserve">Harry Wilson </t>
        </is>
      </c>
      <c r="H763" t="inlineStr">
        <is>
          <t>4x4</t>
        </is>
      </c>
      <c r="I763" t="inlineStr">
        <is>
          <t>Daily/ Weekly Vehicle Inspection</t>
        </is>
      </c>
      <c r="J763" t="inlineStr">
        <is>
          <t>N/A</t>
        </is>
      </c>
      <c r="K763" t="inlineStr">
        <is>
          <t>7940 HRJ Tree Services LTD</t>
        </is>
      </c>
      <c r="L763" t="inlineStr">
        <is>
          <t>07/07/2025 07:16</t>
        </is>
      </c>
      <c r="M763" t="inlineStr">
        <is>
          <t>None</t>
        </is>
      </c>
      <c r="N763" t="inlineStr">
        <is>
          <t>&lt;p&gt;&lt;/p&gt;</t>
        </is>
      </c>
      <c r="O763" t="inlineStr"/>
      <c r="P763" t="inlineStr">
        <is>
          <t>4x4 - Toyota  - Hilux - LL70GZP</t>
        </is>
      </c>
      <c r="Q763" t="inlineStr">
        <is>
          <t>UKPN</t>
        </is>
      </c>
      <c r="R763" t="b">
        <v>0</v>
      </c>
    </row>
    <row r="764">
      <c r="A764" t="inlineStr">
        <is>
          <t>7 Jul 2025 / 7186 Eastwoodbury Tree Services Ltd</t>
        </is>
      </c>
      <c r="B764" t="inlineStr">
        <is>
          <t>Utilities &amp; Inland Waterways</t>
        </is>
      </c>
      <c r="C764" t="inlineStr">
        <is>
          <t>UKPN</t>
        </is>
      </c>
      <c r="D764" t="inlineStr">
        <is>
          <t>DE53NKS , 4x4 , Ford , Ranger</t>
        </is>
      </c>
      <c r="E764" t="inlineStr">
        <is>
          <t>DE53NKS , 4x4 , Ford , Ranger</t>
        </is>
      </c>
      <c r="F764" t="inlineStr">
        <is>
          <t>DE53NKS , 4x4 , Ford , Ranger</t>
        </is>
      </c>
      <c r="G764" t="inlineStr">
        <is>
          <t xml:space="preserve">Jay Denkmayer </t>
        </is>
      </c>
      <c r="H764" t="inlineStr">
        <is>
          <t>Pickup Truck</t>
        </is>
      </c>
      <c r="I764" t="inlineStr">
        <is>
          <t>Daily/ Weekly Vehicle Inspection</t>
        </is>
      </c>
      <c r="J764" t="inlineStr">
        <is>
          <t>N/A</t>
        </is>
      </c>
      <c r="K764" t="inlineStr">
        <is>
          <t>7186 Eastwoodbury Tree Services Ltd</t>
        </is>
      </c>
      <c r="L764" t="inlineStr">
        <is>
          <t>07/07/2025 08:09</t>
        </is>
      </c>
      <c r="M764" t="inlineStr">
        <is>
          <t>None</t>
        </is>
      </c>
      <c r="N764" t="inlineStr">
        <is>
          <t>&lt;p&gt;&lt;/p&gt;</t>
        </is>
      </c>
      <c r="O764" t="inlineStr"/>
      <c r="P764" t="inlineStr">
        <is>
          <t>DE53NKS , 4x4 , Ford , Ranger</t>
        </is>
      </c>
      <c r="Q764" t="inlineStr">
        <is>
          <t>UKPN</t>
        </is>
      </c>
      <c r="R764" t="b">
        <v>0</v>
      </c>
    </row>
    <row r="765">
      <c r="A765" t="inlineStr">
        <is>
          <t>7 Jul 2025 / 7186 Eastwoodbury Tree Services Ltd</t>
        </is>
      </c>
      <c r="B765" t="inlineStr">
        <is>
          <t>Utilities &amp; Inland Waterways</t>
        </is>
      </c>
      <c r="C765" t="inlineStr">
        <is>
          <t>UKPN</t>
        </is>
      </c>
      <c r="D765" t="inlineStr">
        <is>
          <t>DN61XKJ , Tipper , Ford , Transit</t>
        </is>
      </c>
      <c r="E765" t="inlineStr">
        <is>
          <t>DN61XKJ , Tipper , Ford , Transit</t>
        </is>
      </c>
      <c r="F765" t="inlineStr">
        <is>
          <t>DN61XKJ , Tipper , Ford , Transit</t>
        </is>
      </c>
      <c r="G765" t="inlineStr">
        <is>
          <t xml:space="preserve">Tom Price </t>
        </is>
      </c>
      <c r="H765" t="inlineStr">
        <is>
          <t>Tipper</t>
        </is>
      </c>
      <c r="I765" t="inlineStr">
        <is>
          <t>Daily/ Weekly Vehicle Inspection</t>
        </is>
      </c>
      <c r="J765" t="inlineStr">
        <is>
          <t>N/A</t>
        </is>
      </c>
      <c r="K765" t="inlineStr">
        <is>
          <t>7186 Eastwoodbury Tree Services Ltd</t>
        </is>
      </c>
      <c r="L765" t="inlineStr">
        <is>
          <t>07/07/2025 08:11</t>
        </is>
      </c>
      <c r="M765" t="inlineStr">
        <is>
          <t>None</t>
        </is>
      </c>
      <c r="N765" t="inlineStr">
        <is>
          <t>&lt;p&gt;&lt;/p&gt;</t>
        </is>
      </c>
      <c r="O765" t="inlineStr"/>
      <c r="P765" t="inlineStr">
        <is>
          <t>DN61XKJ , Tipper , Ford , Transit</t>
        </is>
      </c>
      <c r="Q765" t="inlineStr">
        <is>
          <t>UKPN</t>
        </is>
      </c>
      <c r="R765" t="b">
        <v>0</v>
      </c>
    </row>
    <row r="766">
      <c r="A766" t="inlineStr">
        <is>
          <t>7 Jul 2025 / Alasdair Conlon</t>
        </is>
      </c>
      <c r="B766" t="inlineStr">
        <is>
          <t>Utilities &amp; Inland Waterways</t>
        </is>
      </c>
      <c r="C766" t="inlineStr">
        <is>
          <t>NGED</t>
        </is>
      </c>
      <c r="D766" t="inlineStr">
        <is>
          <t>YX24TXV , Car - Electric , Kia , Niro</t>
        </is>
      </c>
      <c r="E766" t="inlineStr">
        <is>
          <t>YX24TXV , Car - Electric , Kia , Niro</t>
        </is>
      </c>
      <c r="F766" t="inlineStr">
        <is>
          <t>YX24TXV , Car - Electric , Kia , Niro</t>
        </is>
      </c>
      <c r="G766" t="inlineStr">
        <is>
          <t>Alasdair Conlon</t>
        </is>
      </c>
      <c r="H766" t="inlineStr">
        <is>
          <t>Car - Electric</t>
        </is>
      </c>
      <c r="I766" t="inlineStr">
        <is>
          <t>Daily/ Weekly Vehicle Inspection</t>
        </is>
      </c>
      <c r="J766" t="inlineStr">
        <is>
          <t>N/A</t>
        </is>
      </c>
      <c r="K766" t="inlineStr">
        <is>
          <t>Alasdair Conlon</t>
        </is>
      </c>
      <c r="L766" t="inlineStr">
        <is>
          <t>07/07/2025 08:11</t>
        </is>
      </c>
      <c r="M766" t="inlineStr">
        <is>
          <t xml:space="preserve">Confirm that you have checked this vehicle as per the guidance document and the vehicle is safe and roadworthy: Fail
Is this vehicle safe to drive &amp; road legal: Fail
</t>
        </is>
      </c>
      <c r="N766" t="inlineStr">
        <is>
          <t>&lt;p&gt;&lt;a href="https&amp;#58;//apps.powerapps.com/play/2d567dc9-5d50-4629-a077-f7ccbff3e239?tenantId=3ef9f654-aa07-41b8-88ad-a411c62bd12c&amp;amp;Action=Open&amp;amp;Actionno=6405"&gt;Tyre puncture to fix&lt;/a&gt;&lt;br&gt;&lt;a href="https&amp;#58;//apps.powerapps.com/play/2d567dc9-5d50-4629-a077-f7ccbff3e239?tenantId=3ef9f654-aa07-41b8-88ad-a411c62bd12c&amp;amp;Action=Open&amp;amp;Actionno=6406"&gt;tyre puncture to fix&lt;/a&gt;&lt;br&gt;&lt;/p&gt;</t>
        </is>
      </c>
      <c r="O766" t="inlineStr"/>
      <c r="P766" t="inlineStr">
        <is>
          <t>YX24TXV , Car - Electric , Kia , Niro</t>
        </is>
      </c>
      <c r="Q766" t="inlineStr">
        <is>
          <t>NGED</t>
        </is>
      </c>
      <c r="R766" t="b">
        <v>0</v>
      </c>
    </row>
    <row r="767">
      <c r="A767" t="inlineStr">
        <is>
          <t>7 Jul 2025 / 7951 Austin Tree Care LTD</t>
        </is>
      </c>
      <c r="B767" t="inlineStr">
        <is>
          <t>Utilities &amp; Inland Waterways</t>
        </is>
      </c>
      <c r="C767" t="inlineStr">
        <is>
          <t>UKPN</t>
        </is>
      </c>
      <c r="D767" t="inlineStr">
        <is>
          <t>Kn58xuy , Tipper , VW  , Crafter</t>
        </is>
      </c>
      <c r="E767" t="inlineStr">
        <is>
          <t>Kn58xuy , Tipper , VW  , Crafter</t>
        </is>
      </c>
      <c r="F767" t="inlineStr">
        <is>
          <t>Kn58xuy , Tipper , VW  , Crafter</t>
        </is>
      </c>
      <c r="G767" t="inlineStr">
        <is>
          <t>Jack Austin</t>
        </is>
      </c>
      <c r="H767" t="inlineStr">
        <is>
          <t>Tipper</t>
        </is>
      </c>
      <c r="I767" t="inlineStr">
        <is>
          <t>Daily/ Weekly Vehicle Inspection</t>
        </is>
      </c>
      <c r="J767" t="inlineStr">
        <is>
          <t>N/A</t>
        </is>
      </c>
      <c r="K767" t="inlineStr">
        <is>
          <t>7951 Austin Tree Care LTD</t>
        </is>
      </c>
      <c r="L767" t="inlineStr">
        <is>
          <t>07/07/2025 08:13</t>
        </is>
      </c>
      <c r="M767" t="inlineStr">
        <is>
          <t>None</t>
        </is>
      </c>
      <c r="N767" t="inlineStr">
        <is>
          <t>&lt;p&gt;&lt;/p&gt;</t>
        </is>
      </c>
      <c r="O767" t="inlineStr"/>
      <c r="P767" t="inlineStr">
        <is>
          <t>Kn58xuy , Tipper , VW  , Crafter</t>
        </is>
      </c>
      <c r="Q767" t="inlineStr">
        <is>
          <t>UKPN</t>
        </is>
      </c>
      <c r="R767" t="b">
        <v>0</v>
      </c>
    </row>
    <row r="768">
      <c r="A768" t="inlineStr">
        <is>
          <t>7 Jul 2025 / 7806 Optimum Tree Services Ltd</t>
        </is>
      </c>
      <c r="B768" t="inlineStr">
        <is>
          <t>Utilities &amp; Inland Waterways</t>
        </is>
      </c>
      <c r="C768" t="inlineStr">
        <is>
          <t>UKPN</t>
        </is>
      </c>
      <c r="D768" t="inlineStr">
        <is>
          <t>SA9ST800000283069 , Chipper , Forst , ST 6P</t>
        </is>
      </c>
      <c r="E768" t="inlineStr">
        <is>
          <t>SA9ST800000283069 , Chipper , Forst , ST 6P</t>
        </is>
      </c>
      <c r="F768" t="inlineStr">
        <is>
          <t>SA9ST800000283069 , Chipper , Forst , ST 6P</t>
        </is>
      </c>
      <c r="G768" t="inlineStr">
        <is>
          <t xml:space="preserve">Abraham Davies </t>
        </is>
      </c>
      <c r="H768" t="inlineStr">
        <is>
          <t>Towed Chipper</t>
        </is>
      </c>
      <c r="I768" t="inlineStr">
        <is>
          <t>Daily/ Weekly Vehicle Inspection</t>
        </is>
      </c>
      <c r="J768" t="inlineStr">
        <is>
          <t>N/A</t>
        </is>
      </c>
      <c r="K768" t="inlineStr">
        <is>
          <t>7806 Optimum Tree Services Ltd</t>
        </is>
      </c>
      <c r="L768" t="inlineStr">
        <is>
          <t>07/07/2025 08:14</t>
        </is>
      </c>
      <c r="M768" t="inlineStr">
        <is>
          <t>None</t>
        </is>
      </c>
      <c r="N768" t="inlineStr">
        <is>
          <t>&lt;p&gt;&lt;/p&gt;</t>
        </is>
      </c>
      <c r="O768" t="inlineStr"/>
      <c r="P768" t="inlineStr">
        <is>
          <t>SA9ST800000283069 , Chipper , Forst , ST 6P</t>
        </is>
      </c>
      <c r="Q768" t="inlineStr">
        <is>
          <t>UKPN</t>
        </is>
      </c>
      <c r="R768" t="b">
        <v>0</v>
      </c>
    </row>
    <row r="769">
      <c r="A769" t="inlineStr">
        <is>
          <t>7 Jul 2025 / 7806 Optimum Tree Services Ltd</t>
        </is>
      </c>
      <c r="B769" t="inlineStr">
        <is>
          <t>Utilities &amp; Inland Waterways</t>
        </is>
      </c>
      <c r="C769" t="inlineStr">
        <is>
          <t>UKPN</t>
        </is>
      </c>
      <c r="D769" t="inlineStr">
        <is>
          <t>WD14EVB , MEWP , Land Rover , Defender</t>
        </is>
      </c>
      <c r="E769" t="inlineStr">
        <is>
          <t>WD14EVB , MEWP , Land Rover , Defender</t>
        </is>
      </c>
      <c r="F769" t="inlineStr">
        <is>
          <t>WD14EVB , MEWP , Land Rover , Defender</t>
        </is>
      </c>
      <c r="G769" t="inlineStr">
        <is>
          <t xml:space="preserve">Abraham Davies </t>
        </is>
      </c>
      <c r="H769" t="inlineStr">
        <is>
          <t>4x4</t>
        </is>
      </c>
      <c r="I769" t="inlineStr">
        <is>
          <t>Daily/ Weekly Vehicle Inspection</t>
        </is>
      </c>
      <c r="J769" t="inlineStr">
        <is>
          <t>N/A</t>
        </is>
      </c>
      <c r="K769" t="inlineStr">
        <is>
          <t>7806 Optimum Tree Services Ltd</t>
        </is>
      </c>
      <c r="L769" t="inlineStr">
        <is>
          <t>07/07/2025 08:15</t>
        </is>
      </c>
      <c r="M769" t="inlineStr">
        <is>
          <t>None</t>
        </is>
      </c>
      <c r="N769" t="inlineStr">
        <is>
          <t>&lt;p&gt;&lt;/p&gt;</t>
        </is>
      </c>
      <c r="O769" t="inlineStr"/>
      <c r="P769" t="inlineStr">
        <is>
          <t>WD14EVB , MEWP , Land Rover , Defender</t>
        </is>
      </c>
      <c r="Q769" t="inlineStr">
        <is>
          <t>UKPN</t>
        </is>
      </c>
      <c r="R769" t="b">
        <v>0</v>
      </c>
    </row>
    <row r="770">
      <c r="A770" t="inlineStr">
        <is>
          <t>7 Jul 2025 / 6617 Ashdown Tree Limited 1</t>
        </is>
      </c>
      <c r="B770" t="inlineStr">
        <is>
          <t>Utilities &amp; Inland Waterways</t>
        </is>
      </c>
      <c r="C770" t="inlineStr">
        <is>
          <t>UKPN</t>
        </is>
      </c>
      <c r="D770" t="inlineStr">
        <is>
          <t>GU11LKD , 4x4 , Land Rover , Defender</t>
        </is>
      </c>
      <c r="E770" t="inlineStr">
        <is>
          <t>GU11LKD , 4x4 , Land Rover , Defender</t>
        </is>
      </c>
      <c r="F770" t="inlineStr">
        <is>
          <t>GU11LKD , 4x4 , Land Rover , Defender</t>
        </is>
      </c>
      <c r="G770" t="inlineStr">
        <is>
          <t xml:space="preserve">Francislesser </t>
        </is>
      </c>
      <c r="H770" t="inlineStr">
        <is>
          <t>4x4</t>
        </is>
      </c>
      <c r="I770" t="inlineStr">
        <is>
          <t>Daily/ Weekly Vehicle Inspection</t>
        </is>
      </c>
      <c r="J770" t="inlineStr">
        <is>
          <t>N/A</t>
        </is>
      </c>
      <c r="K770" t="inlineStr">
        <is>
          <t>6617 Ashdown Tree Limited 1</t>
        </is>
      </c>
      <c r="L770" t="inlineStr">
        <is>
          <t>07/07/2025 08:15</t>
        </is>
      </c>
      <c r="M770" t="inlineStr">
        <is>
          <t>None</t>
        </is>
      </c>
      <c r="N770" t="inlineStr">
        <is>
          <t>&lt;p&gt;&lt;/p&gt;</t>
        </is>
      </c>
      <c r="O770" t="inlineStr"/>
      <c r="P770" t="inlineStr">
        <is>
          <t>GU11LKD , 4x4 , Land Rover , Defender</t>
        </is>
      </c>
      <c r="Q770" t="inlineStr">
        <is>
          <t>UKPN</t>
        </is>
      </c>
      <c r="R770" t="b">
        <v>0</v>
      </c>
    </row>
    <row r="771">
      <c r="A771" t="inlineStr">
        <is>
          <t>7 Jul 2025 / 3098 D &amp; R Landscapes (PEND Arb Rail)</t>
        </is>
      </c>
      <c r="B771" t="inlineStr">
        <is>
          <t>Utilities &amp; Inland Waterways</t>
        </is>
      </c>
      <c r="C771" t="inlineStr">
        <is>
          <t>UKPN</t>
        </is>
      </c>
      <c r="D771" t="inlineStr">
        <is>
          <t>DE68XHA , Tipper , Isuzu , Grafter</t>
        </is>
      </c>
      <c r="E771" t="inlineStr">
        <is>
          <t>DE68XHA , Tipper , Isuzu , Grafter</t>
        </is>
      </c>
      <c r="F771" t="inlineStr">
        <is>
          <t>DE68XHA , Tipper , Isuzu , Grafter</t>
        </is>
      </c>
      <c r="G771" t="inlineStr">
        <is>
          <t>Rob</t>
        </is>
      </c>
      <c r="H771" t="inlineStr">
        <is>
          <t>Tipper</t>
        </is>
      </c>
      <c r="I771" t="inlineStr">
        <is>
          <t>Daily/ Weekly Vehicle Inspection</t>
        </is>
      </c>
      <c r="J771" t="inlineStr">
        <is>
          <t>N/A</t>
        </is>
      </c>
      <c r="K771" t="inlineStr">
        <is>
          <t>3098 D &amp; R Landscapes (PEND Arb Rail)</t>
        </is>
      </c>
      <c r="L771" t="inlineStr">
        <is>
          <t>07/07/2025 10:09</t>
        </is>
      </c>
      <c r="M771" t="inlineStr">
        <is>
          <t>None</t>
        </is>
      </c>
      <c r="N771" t="inlineStr">
        <is>
          <t>&lt;p&gt;&lt;/p&gt;</t>
        </is>
      </c>
      <c r="O771" t="inlineStr"/>
      <c r="P771" t="inlineStr">
        <is>
          <t>DE68XHA , Tipper , Isuzu , Grafter</t>
        </is>
      </c>
      <c r="Q771" t="inlineStr">
        <is>
          <t>UKPN</t>
        </is>
      </c>
      <c r="R771" t="b">
        <v>0</v>
      </c>
    </row>
    <row r="772">
      <c r="A772" t="inlineStr">
        <is>
          <t>7 Jul 2025 / 3098 D &amp; R Landscapes (PEND Arb Rail)</t>
        </is>
      </c>
      <c r="B772" t="inlineStr">
        <is>
          <t>Utilities &amp; Inland Waterways</t>
        </is>
      </c>
      <c r="C772" t="inlineStr">
        <is>
          <t>UKPN</t>
        </is>
      </c>
      <c r="D772" t="inlineStr">
        <is>
          <t>WA13ZZK , 4x4 , Land Rover  , Defender</t>
        </is>
      </c>
      <c r="E772" t="inlineStr">
        <is>
          <t>WA13ZZK , 4x4 , Land Rover  , Defender</t>
        </is>
      </c>
      <c r="F772" t="inlineStr">
        <is>
          <t>WA13ZZK , 4x4 , Land Rover  , Defender</t>
        </is>
      </c>
      <c r="G772" t="inlineStr">
        <is>
          <t>Jason</t>
        </is>
      </c>
      <c r="H772" t="inlineStr">
        <is>
          <t>Pickup Truck</t>
        </is>
      </c>
      <c r="I772" t="inlineStr">
        <is>
          <t>Daily/ Weekly Vehicle Inspection</t>
        </is>
      </c>
      <c r="J772" t="inlineStr">
        <is>
          <t>N/A</t>
        </is>
      </c>
      <c r="K772" t="inlineStr">
        <is>
          <t>3098 D &amp; R Landscapes (PEND Arb Rail)</t>
        </is>
      </c>
      <c r="L772" t="inlineStr">
        <is>
          <t>07/07/2025 10:09</t>
        </is>
      </c>
      <c r="M772" t="inlineStr">
        <is>
          <t>None</t>
        </is>
      </c>
      <c r="N772" t="inlineStr">
        <is>
          <t>&lt;p&gt;&lt;/p&gt;</t>
        </is>
      </c>
      <c r="O772" t="inlineStr"/>
      <c r="P772" t="inlineStr">
        <is>
          <t>WA13ZZK , 4x4 , Land Rover  , Defender</t>
        </is>
      </c>
      <c r="Q772" t="inlineStr">
        <is>
          <t>UKPN</t>
        </is>
      </c>
      <c r="R772" t="b">
        <v>0</v>
      </c>
    </row>
    <row r="773">
      <c r="A773" t="inlineStr">
        <is>
          <t>7 Jul 2025 / 7951 Austin Tree Care LTD</t>
        </is>
      </c>
      <c r="B773" t="inlineStr">
        <is>
          <t>Utilities &amp; Inland Waterways</t>
        </is>
      </c>
      <c r="C773" t="inlineStr">
        <is>
          <t>UKPN</t>
        </is>
      </c>
      <c r="D773" t="inlineStr">
        <is>
          <t>SA9ST6P0001283612 , Tow Chipper , Forst , ST6p</t>
        </is>
      </c>
      <c r="E773" t="inlineStr">
        <is>
          <t>SA9ST6P0001283612 , Tow Chipper , Forst , ST6p</t>
        </is>
      </c>
      <c r="F773" t="inlineStr">
        <is>
          <t>SA9ST6P0001283612 , Tow Chipper , Forst , ST6p</t>
        </is>
      </c>
      <c r="G773" t="inlineStr">
        <is>
          <t>Jack Austin</t>
        </is>
      </c>
      <c r="H773" t="inlineStr">
        <is>
          <t>Towed Chipper</t>
        </is>
      </c>
      <c r="I773" t="inlineStr">
        <is>
          <t>Daily/ Weekly Vehicle Inspection</t>
        </is>
      </c>
      <c r="J773" t="inlineStr">
        <is>
          <t>N/A</t>
        </is>
      </c>
      <c r="K773" t="inlineStr">
        <is>
          <t>7951 Austin Tree Care LTD</t>
        </is>
      </c>
      <c r="L773" t="inlineStr">
        <is>
          <t>07/07/2025 10:11</t>
        </is>
      </c>
      <c r="M773" t="inlineStr">
        <is>
          <t>None</t>
        </is>
      </c>
      <c r="N773" t="inlineStr">
        <is>
          <t>&lt;p&gt;&lt;/p&gt;</t>
        </is>
      </c>
      <c r="O773" t="inlineStr"/>
      <c r="P773" t="inlineStr">
        <is>
          <t>SA9ST6P0001283612 , Tow Chipper , Forst , ST6p</t>
        </is>
      </c>
      <c r="Q773" t="inlineStr">
        <is>
          <t>UKPN</t>
        </is>
      </c>
      <c r="R773" t="b">
        <v>0</v>
      </c>
    </row>
    <row r="774">
      <c r="A774" t="inlineStr">
        <is>
          <t>7 Jul 2025 / 7951 Austin Tree Care LTD</t>
        </is>
      </c>
      <c r="B774" t="inlineStr">
        <is>
          <t>Utilities &amp; Inland Waterways</t>
        </is>
      </c>
      <c r="C774" t="inlineStr">
        <is>
          <t>UKPN</t>
        </is>
      </c>
      <c r="D774" t="inlineStr">
        <is>
          <t>WF61 HZV , 4x4 MEWP , Land Rover , Defender</t>
        </is>
      </c>
      <c r="E774" t="inlineStr">
        <is>
          <t>WF61 HZV , 4x4 MEWP , Land Rover , Defender</t>
        </is>
      </c>
      <c r="F774" t="inlineStr">
        <is>
          <t>WF61 HZV , 4x4 MEWP , Land Rover , Defender</t>
        </is>
      </c>
      <c r="G774" t="inlineStr">
        <is>
          <t>Jack</t>
        </is>
      </c>
      <c r="H774" t="inlineStr">
        <is>
          <t>4x4</t>
        </is>
      </c>
      <c r="I774" t="inlineStr">
        <is>
          <t>Daily/ Weekly Vehicle Inspection</t>
        </is>
      </c>
      <c r="J774" t="inlineStr">
        <is>
          <t>N/A</t>
        </is>
      </c>
      <c r="K774" t="inlineStr">
        <is>
          <t>7951 Austin Tree Care LTD</t>
        </is>
      </c>
      <c r="L774" t="inlineStr">
        <is>
          <t>07/07/2025 10:12</t>
        </is>
      </c>
      <c r="M774" t="inlineStr">
        <is>
          <t>None</t>
        </is>
      </c>
      <c r="N774" t="inlineStr">
        <is>
          <t>&lt;p&gt;&lt;/p&gt;</t>
        </is>
      </c>
      <c r="O774" t="inlineStr"/>
      <c r="P774" t="inlineStr">
        <is>
          <t>WF61 HZV , 4x4 MEWP , Land Rover , Defender</t>
        </is>
      </c>
      <c r="Q774" t="inlineStr">
        <is>
          <t>UKPN</t>
        </is>
      </c>
      <c r="R774" t="b">
        <v>0</v>
      </c>
    </row>
    <row r="775">
      <c r="A775" t="inlineStr">
        <is>
          <t>7 Jul 2025 / Christopher Simeoli</t>
        </is>
      </c>
      <c r="B775" t="inlineStr">
        <is>
          <t>Utilities &amp; Inland Waterways</t>
        </is>
      </c>
      <c r="C775" t="inlineStr">
        <is>
          <t>NGED</t>
        </is>
      </c>
      <c r="D775" t="inlineStr">
        <is>
          <t>EO73KVB , Car - Electric , Kia , Niro</t>
        </is>
      </c>
      <c r="E775" t="inlineStr">
        <is>
          <t>EO73KVB , Car - Electric , Kia , Niro</t>
        </is>
      </c>
      <c r="F775" t="inlineStr">
        <is>
          <t>EO73KVB , Car - Electric , Kia , Niro</t>
        </is>
      </c>
      <c r="G775" t="inlineStr">
        <is>
          <t>Chris Simeoli</t>
        </is>
      </c>
      <c r="H775" t="inlineStr">
        <is>
          <t>Car - Electric</t>
        </is>
      </c>
      <c r="I775" t="inlineStr">
        <is>
          <t>Daily/ Weekly Vehicle Inspection</t>
        </is>
      </c>
      <c r="J775" t="inlineStr">
        <is>
          <t>N/A</t>
        </is>
      </c>
      <c r="K775" t="inlineStr">
        <is>
          <t>Christopher Simeoli</t>
        </is>
      </c>
      <c r="L775" t="inlineStr">
        <is>
          <t>07/07/2025 11:08</t>
        </is>
      </c>
      <c r="M775" t="inlineStr">
        <is>
          <t>None</t>
        </is>
      </c>
      <c r="N775" t="inlineStr">
        <is>
          <t>&lt;p&gt;&lt;/p&gt;</t>
        </is>
      </c>
      <c r="O775" t="inlineStr"/>
      <c r="P775" t="inlineStr">
        <is>
          <t>EO73KVB , Car - Electric , Kia , Niro</t>
        </is>
      </c>
      <c r="Q775" t="inlineStr">
        <is>
          <t>NGED</t>
        </is>
      </c>
      <c r="R775" t="b">
        <v>0</v>
      </c>
    </row>
    <row r="776">
      <c r="A776" t="inlineStr">
        <is>
          <t>7 Jul 2025 / Aaron Billingham</t>
        </is>
      </c>
      <c r="B776" t="inlineStr">
        <is>
          <t>Utilities &amp; Inland Waterways</t>
        </is>
      </c>
      <c r="C776" t="inlineStr">
        <is>
          <t>NGED</t>
        </is>
      </c>
      <c r="D776" t="inlineStr">
        <is>
          <t>EK18ECN , 4x4 , Ford , Ranger</t>
        </is>
      </c>
      <c r="E776" t="inlineStr">
        <is>
          <t>EK18ECN , 4x4 , Ford , Ranger</t>
        </is>
      </c>
      <c r="F776" t="inlineStr">
        <is>
          <t>EK18ECN , 4x4 , Ford , Ranger</t>
        </is>
      </c>
      <c r="G776" t="inlineStr">
        <is>
          <t>Aaron Billingham</t>
        </is>
      </c>
      <c r="H776" t="inlineStr">
        <is>
          <t>4x4</t>
        </is>
      </c>
      <c r="I776" t="inlineStr">
        <is>
          <t>Daily/ Weekly Vehicle Inspection</t>
        </is>
      </c>
      <c r="J776" t="inlineStr">
        <is>
          <t>N/A</t>
        </is>
      </c>
      <c r="K776" t="inlineStr">
        <is>
          <t>Aaron Billingham</t>
        </is>
      </c>
      <c r="L776" t="inlineStr">
        <is>
          <t>07/07/2025 12:08</t>
        </is>
      </c>
      <c r="M776" t="inlineStr">
        <is>
          <t xml:space="preserve">Confirm that you have checked this vehicle as per the guidance document and the vehicle is safe and roadworthy: Fail
</t>
        </is>
      </c>
      <c r="N776" t="inlineStr">
        <is>
          <t>&lt;p&gt;&lt;/p&gt;</t>
        </is>
      </c>
      <c r="O776" t="inlineStr"/>
      <c r="P776" t="inlineStr">
        <is>
          <t>EK18ECN , 4x4 , Ford , Ranger</t>
        </is>
      </c>
      <c r="Q776" t="inlineStr">
        <is>
          <t>NGED</t>
        </is>
      </c>
      <c r="R776" t="b">
        <v>0</v>
      </c>
    </row>
    <row r="777">
      <c r="A777" t="inlineStr">
        <is>
          <t>7 Jul 2025 / 7889 Tree Tech Suffolk Ltd</t>
        </is>
      </c>
      <c r="B777" t="inlineStr">
        <is>
          <t>Utilities &amp; Inland Waterways</t>
        </is>
      </c>
      <c r="C777" t="inlineStr">
        <is>
          <t>UKPN</t>
        </is>
      </c>
      <c r="D777" t="inlineStr"/>
      <c r="E777" t="inlineStr"/>
      <c r="F777" t="inlineStr"/>
      <c r="G777" t="inlineStr"/>
      <c r="H777" t="inlineStr"/>
      <c r="I777" t="inlineStr">
        <is>
          <t>Add to Vehicle to the GC Vehicle List</t>
        </is>
      </c>
      <c r="J777" t="inlineStr">
        <is>
          <t>N/A</t>
        </is>
      </c>
      <c r="K777" t="inlineStr">
        <is>
          <t>7889 Tree Tech Suffolk Ltd</t>
        </is>
      </c>
      <c r="L777" t="inlineStr">
        <is>
          <t>07/07/2025 13:09</t>
        </is>
      </c>
      <c r="M777" t="inlineStr">
        <is>
          <t>None</t>
        </is>
      </c>
      <c r="N777" t="inlineStr">
        <is>
          <t>&lt;p&gt;&lt;/p&gt;</t>
        </is>
      </c>
      <c r="O777" t="inlineStr"/>
      <c r="P777" t="inlineStr"/>
      <c r="Q777" t="inlineStr">
        <is>
          <t>UKPN</t>
        </is>
      </c>
      <c r="R777" t="b">
        <v>0</v>
      </c>
    </row>
    <row r="778">
      <c r="A778" t="inlineStr">
        <is>
          <t>7 Jul 2025 / Oliver Coyle</t>
        </is>
      </c>
      <c r="B778" t="inlineStr">
        <is>
          <t>Utilities &amp; Inland Waterways</t>
        </is>
      </c>
      <c r="C778" t="inlineStr">
        <is>
          <t>NGED</t>
        </is>
      </c>
      <c r="D778" t="inlineStr">
        <is>
          <t>Car - Petrol - Ford - Puma - WV25 UHC</t>
        </is>
      </c>
      <c r="E778" t="inlineStr">
        <is>
          <t>Car - Petrol - Ford - Puma - WV25 UHC</t>
        </is>
      </c>
      <c r="F778" t="inlineStr">
        <is>
          <t>Car - Petrol - Ford - Puma - WV25 UHC</t>
        </is>
      </c>
      <c r="G778" t="inlineStr">
        <is>
          <t>Oliver Coyle</t>
        </is>
      </c>
      <c r="H778" t="inlineStr">
        <is>
          <t>Car - Petrol</t>
        </is>
      </c>
      <c r="I778" t="inlineStr">
        <is>
          <t>Daily/ Weekly Vehicle Inspection</t>
        </is>
      </c>
      <c r="J778" t="inlineStr">
        <is>
          <t>N/A</t>
        </is>
      </c>
      <c r="K778" t="inlineStr">
        <is>
          <t>Oliver Coyle</t>
        </is>
      </c>
      <c r="L778" t="inlineStr">
        <is>
          <t>07/07/2025 14:08</t>
        </is>
      </c>
      <c r="M778" t="inlineStr">
        <is>
          <t>None</t>
        </is>
      </c>
      <c r="N778" t="inlineStr">
        <is>
          <t>&lt;p&gt;&lt;/p&gt;</t>
        </is>
      </c>
      <c r="O778" t="inlineStr">
        <is>
          <t>Confirm that you have checked this vehicle as per the guidance document and the vehicle is safe and roadworthy:All fine, only damage to drivers rear bumper. Been reported and booked in to get fixed
-</t>
        </is>
      </c>
      <c r="P778" t="inlineStr">
        <is>
          <t>Car - Petrol - Ford - Puma - WV25 UHC</t>
        </is>
      </c>
      <c r="Q778" t="inlineStr">
        <is>
          <t>NGED</t>
        </is>
      </c>
      <c r="R778" t="b">
        <v>0</v>
      </c>
    </row>
    <row r="779">
      <c r="A779" t="inlineStr">
        <is>
          <t>8 Jul 2025 / 7940 HRJ Tree Services LTD</t>
        </is>
      </c>
      <c r="B779" t="inlineStr">
        <is>
          <t>Utilities &amp; Inland Waterways</t>
        </is>
      </c>
      <c r="C779" t="inlineStr">
        <is>
          <t>UKPN</t>
        </is>
      </c>
      <c r="D779" t="inlineStr">
        <is>
          <t>Plant Trailer - Indespension - 211717 - 211717</t>
        </is>
      </c>
      <c r="E779" t="inlineStr">
        <is>
          <t>Plant Trailer - Indespension - 211717 - 211717</t>
        </is>
      </c>
      <c r="F779" t="inlineStr">
        <is>
          <t>Plant Trailer - Indespension - 211717 - 211717</t>
        </is>
      </c>
      <c r="G779" t="inlineStr">
        <is>
          <t>Harry Wilson</t>
        </is>
      </c>
      <c r="H779" t="inlineStr">
        <is>
          <t>Equipment Trailer</t>
        </is>
      </c>
      <c r="I779" t="inlineStr">
        <is>
          <t>Daily/ Weekly Vehicle Inspection</t>
        </is>
      </c>
      <c r="J779" t="inlineStr">
        <is>
          <t>N/A</t>
        </is>
      </c>
      <c r="K779" t="inlineStr">
        <is>
          <t>7940 HRJ Tree Services LTD</t>
        </is>
      </c>
      <c r="L779" t="inlineStr">
        <is>
          <t>08/07/2025 07:10</t>
        </is>
      </c>
      <c r="M779" t="inlineStr">
        <is>
          <t>None</t>
        </is>
      </c>
      <c r="N779" t="inlineStr">
        <is>
          <t>&lt;p&gt;&lt;/p&gt;</t>
        </is>
      </c>
      <c r="O779" t="inlineStr"/>
      <c r="P779" t="inlineStr">
        <is>
          <t>Plant Trailer - Indespension - 211717 - 211717</t>
        </is>
      </c>
      <c r="Q779" t="inlineStr">
        <is>
          <t>UKPN</t>
        </is>
      </c>
      <c r="R779" t="b">
        <v>0</v>
      </c>
    </row>
    <row r="780">
      <c r="A780" t="inlineStr">
        <is>
          <t>8 Jul 2025 / 7940 HRJ Tree Services LTD</t>
        </is>
      </c>
      <c r="B780" t="inlineStr">
        <is>
          <t>Utilities &amp; Inland Waterways</t>
        </is>
      </c>
      <c r="C780" t="inlineStr">
        <is>
          <t>UKPN</t>
        </is>
      </c>
      <c r="D780" t="inlineStr">
        <is>
          <t>4x4 - Toyota  - Hilux - LL70GZP</t>
        </is>
      </c>
      <c r="E780" t="inlineStr">
        <is>
          <t>4x4 - Toyota  - Hilux - LL70GZP</t>
        </is>
      </c>
      <c r="F780" t="inlineStr">
        <is>
          <t>4x4 - Toyota  - Hilux - LL70GZP</t>
        </is>
      </c>
      <c r="G780" t="inlineStr">
        <is>
          <t xml:space="preserve">Harry Wilson </t>
        </is>
      </c>
      <c r="H780" t="inlineStr">
        <is>
          <t>4x4</t>
        </is>
      </c>
      <c r="I780" t="inlineStr">
        <is>
          <t>Daily/ Weekly Vehicle Inspection</t>
        </is>
      </c>
      <c r="J780" t="inlineStr">
        <is>
          <t>N/A</t>
        </is>
      </c>
      <c r="K780" t="inlineStr">
        <is>
          <t>7940 HRJ Tree Services LTD</t>
        </is>
      </c>
      <c r="L780" t="inlineStr">
        <is>
          <t>08/07/2025 07:12</t>
        </is>
      </c>
      <c r="M780" t="inlineStr">
        <is>
          <t>None</t>
        </is>
      </c>
      <c r="N780" t="inlineStr">
        <is>
          <t>&lt;p&gt;&lt;/p&gt;</t>
        </is>
      </c>
      <c r="O780" t="inlineStr"/>
      <c r="P780" t="inlineStr">
        <is>
          <t>4x4 - Toyota  - Hilux - LL70GZP</t>
        </is>
      </c>
      <c r="Q780" t="inlineStr">
        <is>
          <t>UKPN</t>
        </is>
      </c>
      <c r="R780" t="b">
        <v>0</v>
      </c>
    </row>
    <row r="781">
      <c r="A781" t="inlineStr">
        <is>
          <t>8 Jul 2025 / 7806 Optimum Tree Services Ltd</t>
        </is>
      </c>
      <c r="B781" t="inlineStr">
        <is>
          <t>Utilities &amp; Inland Waterways</t>
        </is>
      </c>
      <c r="C781" t="inlineStr">
        <is>
          <t>UKPN</t>
        </is>
      </c>
      <c r="D781" t="inlineStr">
        <is>
          <t>SA9ST800000283069 , Chipper , Forst , ST 6P</t>
        </is>
      </c>
      <c r="E781" t="inlineStr">
        <is>
          <t>SA9ST800000283069 , Chipper , Forst , ST 6P</t>
        </is>
      </c>
      <c r="F781" t="inlineStr">
        <is>
          <t>SA9ST800000283069 , Chipper , Forst , ST 6P</t>
        </is>
      </c>
      <c r="G781" t="inlineStr">
        <is>
          <t xml:space="preserve">Abraham Davies </t>
        </is>
      </c>
      <c r="H781" t="inlineStr">
        <is>
          <t>Towed Chipper</t>
        </is>
      </c>
      <c r="I781" t="inlineStr">
        <is>
          <t>Daily/ Weekly Vehicle Inspection</t>
        </is>
      </c>
      <c r="J781" t="inlineStr">
        <is>
          <t>N/A</t>
        </is>
      </c>
      <c r="K781" t="inlineStr">
        <is>
          <t>7806 Optimum Tree Services Ltd</t>
        </is>
      </c>
      <c r="L781" t="inlineStr">
        <is>
          <t>08/07/2025 08:09</t>
        </is>
      </c>
      <c r="M781" t="inlineStr">
        <is>
          <t>None</t>
        </is>
      </c>
      <c r="N781" t="inlineStr">
        <is>
          <t>&lt;p&gt;&lt;/p&gt;</t>
        </is>
      </c>
      <c r="O781" t="inlineStr"/>
      <c r="P781" t="inlineStr">
        <is>
          <t>SA9ST800000283069 , Chipper , Forst , ST 6P</t>
        </is>
      </c>
      <c r="Q781" t="inlineStr">
        <is>
          <t>UKPN</t>
        </is>
      </c>
      <c r="R781" t="b">
        <v>0</v>
      </c>
    </row>
    <row r="782">
      <c r="A782" t="inlineStr">
        <is>
          <t>8 Jul 2025 / 7800 MAC Tree Surgery and Fencing Ltd</t>
        </is>
      </c>
      <c r="B782" t="inlineStr">
        <is>
          <t>Utilities &amp; Inland Waterways</t>
        </is>
      </c>
      <c r="C782" t="inlineStr">
        <is>
          <t>UKPN</t>
        </is>
      </c>
      <c r="D782" t="inlineStr">
        <is>
          <t>AY68DAA , 4x4 , Izuzu , Dmax</t>
        </is>
      </c>
      <c r="E782" t="inlineStr">
        <is>
          <t>AY68DAA , 4x4 , Izuzu , Dmax</t>
        </is>
      </c>
      <c r="F782" t="inlineStr">
        <is>
          <t>AY68DAA , 4x4 , Izuzu , Dmax</t>
        </is>
      </c>
      <c r="G782" t="inlineStr">
        <is>
          <t xml:space="preserve">Lewis </t>
        </is>
      </c>
      <c r="H782" t="inlineStr">
        <is>
          <t>4x4</t>
        </is>
      </c>
      <c r="I782" t="inlineStr">
        <is>
          <t>Daily/ Weekly Vehicle Inspection</t>
        </is>
      </c>
      <c r="J782" t="inlineStr">
        <is>
          <t>N/A</t>
        </is>
      </c>
      <c r="K782" t="inlineStr">
        <is>
          <t>7800 MAC Tree Surgery and Fencing Ltd</t>
        </is>
      </c>
      <c r="L782" t="inlineStr">
        <is>
          <t>08/07/2025 08:10</t>
        </is>
      </c>
      <c r="M782" t="inlineStr">
        <is>
          <t>None</t>
        </is>
      </c>
      <c r="N782" t="inlineStr">
        <is>
          <t>&lt;p&gt;&lt;/p&gt;</t>
        </is>
      </c>
      <c r="O782" t="inlineStr">
        <is>
          <t>Confirm that you have checked this vehicle as per the guidance document and the vehicle is safe and roadworthy:Slight crack in windscreen but doesn't effect vision booked in for the 19th July first appointment got cancelled on the 5th July
-</t>
        </is>
      </c>
      <c r="P782" t="inlineStr">
        <is>
          <t>AY68DAA , 4x4 , Izuzu , Dmax</t>
        </is>
      </c>
      <c r="Q782" t="inlineStr">
        <is>
          <t>UKPN</t>
        </is>
      </c>
      <c r="R782" t="b">
        <v>0</v>
      </c>
    </row>
    <row r="783">
      <c r="A783" t="inlineStr">
        <is>
          <t>8 Jul 2025 / 7800 MAC Tree Surgery and Fencing Ltd</t>
        </is>
      </c>
      <c r="B783" t="inlineStr">
        <is>
          <t>Utilities &amp; Inland Waterways</t>
        </is>
      </c>
      <c r="C783" t="inlineStr">
        <is>
          <t>UKPN</t>
        </is>
      </c>
      <c r="D783" t="inlineStr">
        <is>
          <t>205143043-A1 , Tow Chipper , Timberwolf , TW150</t>
        </is>
      </c>
      <c r="E783" t="inlineStr">
        <is>
          <t>205143043-A1 , Tow Chipper , Timberwolf , TW150</t>
        </is>
      </c>
      <c r="F783" t="inlineStr">
        <is>
          <t>205143043-A1 , Tow Chipper , Timberwolf , TW150</t>
        </is>
      </c>
      <c r="G783" t="inlineStr">
        <is>
          <t xml:space="preserve">Lewis mac </t>
        </is>
      </c>
      <c r="H783" t="inlineStr">
        <is>
          <t>Towed Chipper</t>
        </is>
      </c>
      <c r="I783" t="inlineStr">
        <is>
          <t>Daily/ Weekly Vehicle Inspection</t>
        </is>
      </c>
      <c r="J783" t="inlineStr">
        <is>
          <t>N/A</t>
        </is>
      </c>
      <c r="K783" t="inlineStr">
        <is>
          <t>7800 MAC Tree Surgery and Fencing Ltd</t>
        </is>
      </c>
      <c r="L783" t="inlineStr">
        <is>
          <t>08/07/2025 08:11</t>
        </is>
      </c>
      <c r="M783" t="inlineStr">
        <is>
          <t>None</t>
        </is>
      </c>
      <c r="N783" t="inlineStr">
        <is>
          <t>&lt;p&gt;&lt;/p&gt;</t>
        </is>
      </c>
      <c r="O783" t="inlineStr"/>
      <c r="P783" t="inlineStr">
        <is>
          <t>205143043-A1 , Tow Chipper , Timberwolf , TW150</t>
        </is>
      </c>
      <c r="Q783" t="inlineStr">
        <is>
          <t>UKPN</t>
        </is>
      </c>
      <c r="R783" t="b">
        <v>0</v>
      </c>
    </row>
    <row r="784">
      <c r="A784" t="inlineStr">
        <is>
          <t>8 Jul 2025 / 7186 Eastwoodbury Tree Services Ltd</t>
        </is>
      </c>
      <c r="B784" t="inlineStr">
        <is>
          <t>Utilities &amp; Inland Waterways</t>
        </is>
      </c>
      <c r="C784" t="inlineStr">
        <is>
          <t>UKPN</t>
        </is>
      </c>
      <c r="D784" t="inlineStr">
        <is>
          <t>FN600XM , 4x4 , Land Rover  , Defender</t>
        </is>
      </c>
      <c r="E784" t="inlineStr">
        <is>
          <t>FN600XM , 4x4 , Land Rover  , Defender</t>
        </is>
      </c>
      <c r="F784" t="inlineStr">
        <is>
          <t>FN600XM , 4x4 , Land Rover  , Defender</t>
        </is>
      </c>
      <c r="G784" t="inlineStr">
        <is>
          <t xml:space="preserve">Jay Denkmayer </t>
        </is>
      </c>
      <c r="H784" t="inlineStr">
        <is>
          <t>4x4</t>
        </is>
      </c>
      <c r="I784" t="inlineStr">
        <is>
          <t>Daily/ Weekly Vehicle Inspection</t>
        </is>
      </c>
      <c r="J784" t="inlineStr">
        <is>
          <t>N/A</t>
        </is>
      </c>
      <c r="K784" t="inlineStr">
        <is>
          <t>7186 Eastwoodbury Tree Services Ltd</t>
        </is>
      </c>
      <c r="L784" t="inlineStr">
        <is>
          <t>08/07/2025 08:12</t>
        </is>
      </c>
      <c r="M784" t="inlineStr">
        <is>
          <t>None</t>
        </is>
      </c>
      <c r="N784" t="inlineStr">
        <is>
          <t>&lt;p&gt;&lt;/p&gt;</t>
        </is>
      </c>
      <c r="O784" t="inlineStr"/>
      <c r="P784" t="inlineStr">
        <is>
          <t>FN600XM , 4x4 , Land Rover  , Defender</t>
        </is>
      </c>
      <c r="Q784" t="inlineStr">
        <is>
          <t>UKPN</t>
        </is>
      </c>
      <c r="R784" t="b">
        <v>0</v>
      </c>
    </row>
    <row r="785">
      <c r="A785" t="inlineStr">
        <is>
          <t>8 Jul 2025 / 7806 Optimum Tree Services Ltd</t>
        </is>
      </c>
      <c r="B785" t="inlineStr">
        <is>
          <t>Utilities &amp; Inland Waterways</t>
        </is>
      </c>
      <c r="C785" t="inlineStr">
        <is>
          <t>UKPN</t>
        </is>
      </c>
      <c r="D785" t="inlineStr">
        <is>
          <t>WD14EVB , MEWP , Land Rover , Defender</t>
        </is>
      </c>
      <c r="E785" t="inlineStr">
        <is>
          <t>WD14EVB , MEWP , Land Rover , Defender</t>
        </is>
      </c>
      <c r="F785" t="inlineStr">
        <is>
          <t>WD14EVB , MEWP , Land Rover , Defender</t>
        </is>
      </c>
      <c r="G785" t="inlineStr">
        <is>
          <t xml:space="preserve">Abraham Davies </t>
        </is>
      </c>
      <c r="H785" t="inlineStr">
        <is>
          <t>4x4</t>
        </is>
      </c>
      <c r="I785" t="inlineStr">
        <is>
          <t>Daily/ Weekly Vehicle Inspection</t>
        </is>
      </c>
      <c r="J785" t="inlineStr">
        <is>
          <t>N/A</t>
        </is>
      </c>
      <c r="K785" t="inlineStr">
        <is>
          <t>7806 Optimum Tree Services Ltd</t>
        </is>
      </c>
      <c r="L785" t="inlineStr">
        <is>
          <t>08/07/2025 08:13</t>
        </is>
      </c>
      <c r="M785" t="inlineStr">
        <is>
          <t>None</t>
        </is>
      </c>
      <c r="N785" t="inlineStr">
        <is>
          <t>&lt;p&gt;&lt;/p&gt;</t>
        </is>
      </c>
      <c r="O785" t="inlineStr"/>
      <c r="P785" t="inlineStr">
        <is>
          <t>WD14EVB , MEWP , Land Rover , Defender</t>
        </is>
      </c>
      <c r="Q785" t="inlineStr">
        <is>
          <t>UKPN</t>
        </is>
      </c>
      <c r="R785" t="b">
        <v>0</v>
      </c>
    </row>
    <row r="786">
      <c r="A786" t="inlineStr">
        <is>
          <t>8 Jul 2025 / 7186 Eastwoodbury Tree Services Ltd</t>
        </is>
      </c>
      <c r="B786" t="inlineStr">
        <is>
          <t>Utilities &amp; Inland Waterways</t>
        </is>
      </c>
      <c r="C786" t="inlineStr">
        <is>
          <t>UKPN</t>
        </is>
      </c>
      <c r="D786" t="inlineStr">
        <is>
          <t>AO57BPF , 4x4 , Santana  , Ps10</t>
        </is>
      </c>
      <c r="E786" t="inlineStr">
        <is>
          <t>AO57BPF , 4x4 , Santana  , Ps10</t>
        </is>
      </c>
      <c r="F786" t="inlineStr">
        <is>
          <t>AO57BPF , 4x4 , Santana  , Ps10</t>
        </is>
      </c>
      <c r="G786" t="inlineStr">
        <is>
          <t xml:space="preserve">Dan Gilbert </t>
        </is>
      </c>
      <c r="H786" t="inlineStr">
        <is>
          <t>4x4</t>
        </is>
      </c>
      <c r="I786" t="inlineStr">
        <is>
          <t>Daily/ Weekly Vehicle Inspection</t>
        </is>
      </c>
      <c r="J786" t="inlineStr">
        <is>
          <t>N/A</t>
        </is>
      </c>
      <c r="K786" t="inlineStr">
        <is>
          <t>7186 Eastwoodbury Tree Services Ltd</t>
        </is>
      </c>
      <c r="L786" t="inlineStr">
        <is>
          <t>08/07/2025 08:14</t>
        </is>
      </c>
      <c r="M786" t="inlineStr">
        <is>
          <t>None</t>
        </is>
      </c>
      <c r="N786" t="inlineStr">
        <is>
          <t>&lt;p&gt;&lt;/p&gt;</t>
        </is>
      </c>
      <c r="O786" t="inlineStr"/>
      <c r="P786" t="inlineStr">
        <is>
          <t>AO57BPF , 4x4 , Santana  , Ps10</t>
        </is>
      </c>
      <c r="Q786" t="inlineStr">
        <is>
          <t>UKPN</t>
        </is>
      </c>
      <c r="R786" t="b">
        <v>0</v>
      </c>
    </row>
    <row r="787">
      <c r="A787" t="inlineStr">
        <is>
          <t>8 Jul 2025 / 7951 Austin Tree Care LTD 1</t>
        </is>
      </c>
      <c r="B787" t="inlineStr">
        <is>
          <t>Utilities &amp; Inland Waterways</t>
        </is>
      </c>
      <c r="C787" t="inlineStr">
        <is>
          <t>UKPN</t>
        </is>
      </c>
      <c r="D787" t="inlineStr">
        <is>
          <t>WF61 HZV , 4x4 MEWP , Land Rover , Defender</t>
        </is>
      </c>
      <c r="E787" t="inlineStr">
        <is>
          <t>WF61 HZV , 4x4 MEWP , Land Rover , Defender</t>
        </is>
      </c>
      <c r="F787" t="inlineStr">
        <is>
          <t>WF61 HZV , 4x4 MEWP , Land Rover , Defender</t>
        </is>
      </c>
      <c r="G787" t="inlineStr">
        <is>
          <t xml:space="preserve">James Tasker </t>
        </is>
      </c>
      <c r="H787" t="inlineStr">
        <is>
          <t>4x4</t>
        </is>
      </c>
      <c r="I787" t="inlineStr">
        <is>
          <t>Daily/ Weekly Vehicle Inspection</t>
        </is>
      </c>
      <c r="J787" t="inlineStr">
        <is>
          <t>N/A</t>
        </is>
      </c>
      <c r="K787" t="inlineStr">
        <is>
          <t>7951 Austin Tree Care LTD 1</t>
        </is>
      </c>
      <c r="L787" t="inlineStr">
        <is>
          <t>08/07/2025 08:15</t>
        </is>
      </c>
      <c r="M787" t="inlineStr">
        <is>
          <t>None</t>
        </is>
      </c>
      <c r="N787" t="inlineStr">
        <is>
          <t>&lt;p&gt;&lt;/p&gt;</t>
        </is>
      </c>
      <c r="O787" t="inlineStr"/>
      <c r="P787" t="inlineStr">
        <is>
          <t>WF61 HZV , 4x4 MEWP , Land Rover , Defender</t>
        </is>
      </c>
      <c r="Q787" t="inlineStr">
        <is>
          <t>UKPN</t>
        </is>
      </c>
      <c r="R787" t="b">
        <v>0</v>
      </c>
    </row>
    <row r="788">
      <c r="A788" t="inlineStr">
        <is>
          <t>8 Jul 2025 / 7951 Austin Tree Care LTD</t>
        </is>
      </c>
      <c r="B788" t="inlineStr">
        <is>
          <t>Utilities &amp; Inland Waterways</t>
        </is>
      </c>
      <c r="C788" t="inlineStr">
        <is>
          <t>UKPN</t>
        </is>
      </c>
      <c r="D788" t="inlineStr">
        <is>
          <t>SA9ST6P0001283612 , Tow Chipper , Forst , ST6p</t>
        </is>
      </c>
      <c r="E788" t="inlineStr">
        <is>
          <t>SA9ST6P0001283612 , Tow Chipper , Forst , ST6p</t>
        </is>
      </c>
      <c r="F788" t="inlineStr">
        <is>
          <t>SA9ST6P0001283612 , Tow Chipper , Forst , ST6p</t>
        </is>
      </c>
      <c r="G788" t="inlineStr">
        <is>
          <t xml:space="preserve">Jack Austin </t>
        </is>
      </c>
      <c r="H788" t="inlineStr">
        <is>
          <t>Towed Chipper</t>
        </is>
      </c>
      <c r="I788" t="inlineStr">
        <is>
          <t>Daily/ Weekly Vehicle Inspection</t>
        </is>
      </c>
      <c r="J788" t="inlineStr">
        <is>
          <t>N/A</t>
        </is>
      </c>
      <c r="K788" t="inlineStr">
        <is>
          <t>7951 Austin Tree Care LTD</t>
        </is>
      </c>
      <c r="L788" t="inlineStr">
        <is>
          <t>08/07/2025 08:17</t>
        </is>
      </c>
      <c r="M788" t="inlineStr">
        <is>
          <t>None</t>
        </is>
      </c>
      <c r="N788" t="inlineStr">
        <is>
          <t>&lt;p&gt;&lt;/p&gt;</t>
        </is>
      </c>
      <c r="O788" t="inlineStr"/>
      <c r="P788" t="inlineStr">
        <is>
          <t>SA9ST6P0001283612 , Tow Chipper , Forst , ST6p</t>
        </is>
      </c>
      <c r="Q788" t="inlineStr">
        <is>
          <t>UKPN</t>
        </is>
      </c>
      <c r="R788" t="b">
        <v>0</v>
      </c>
    </row>
    <row r="789">
      <c r="A789" t="inlineStr">
        <is>
          <t>8 Jul 2025 / 7951 Austin Tree Care LTD</t>
        </is>
      </c>
      <c r="B789" t="inlineStr">
        <is>
          <t>Utilities &amp; Inland Waterways</t>
        </is>
      </c>
      <c r="C789" t="inlineStr">
        <is>
          <t>UKPN</t>
        </is>
      </c>
      <c r="D789" t="inlineStr">
        <is>
          <t>Kn58xuy , Tipper , VW  , Crafter</t>
        </is>
      </c>
      <c r="E789" t="inlineStr">
        <is>
          <t>Kn58xuy , Tipper , VW  , Crafter</t>
        </is>
      </c>
      <c r="F789" t="inlineStr">
        <is>
          <t>Kn58xuy , Tipper , VW  , Crafter</t>
        </is>
      </c>
      <c r="G789" t="inlineStr">
        <is>
          <t xml:space="preserve">Jack Austin </t>
        </is>
      </c>
      <c r="H789" t="inlineStr">
        <is>
          <t>Tipper</t>
        </is>
      </c>
      <c r="I789" t="inlineStr">
        <is>
          <t>Daily/ Weekly Vehicle Inspection</t>
        </is>
      </c>
      <c r="J789" t="inlineStr">
        <is>
          <t>N/A</t>
        </is>
      </c>
      <c r="K789" t="inlineStr">
        <is>
          <t>7951 Austin Tree Care LTD</t>
        </is>
      </c>
      <c r="L789" t="inlineStr">
        <is>
          <t>08/07/2025 08:18</t>
        </is>
      </c>
      <c r="M789" t="inlineStr">
        <is>
          <t>None</t>
        </is>
      </c>
      <c r="N789" t="inlineStr">
        <is>
          <t>&lt;p&gt;&lt;/p&gt;</t>
        </is>
      </c>
      <c r="O789" t="inlineStr"/>
      <c r="P789" t="inlineStr">
        <is>
          <t>Kn58xuy , Tipper , VW  , Crafter</t>
        </is>
      </c>
      <c r="Q789" t="inlineStr">
        <is>
          <t>UKPN</t>
        </is>
      </c>
      <c r="R789" t="b">
        <v>0</v>
      </c>
    </row>
    <row r="790">
      <c r="A790" t="inlineStr">
        <is>
          <t>8 Jul 2025 / 7535 HJ Tree Services</t>
        </is>
      </c>
      <c r="B790" t="inlineStr">
        <is>
          <t>Utilities &amp; Inland Waterways</t>
        </is>
      </c>
      <c r="C790" t="inlineStr">
        <is>
          <t>SSE</t>
        </is>
      </c>
      <c r="D790" t="inlineStr">
        <is>
          <t>4x4 - Ford - Ranger - Bh19vxz</t>
        </is>
      </c>
      <c r="E790" t="inlineStr">
        <is>
          <t>4x4 - Ford - Ranger - Bh19vxz</t>
        </is>
      </c>
      <c r="F790" t="inlineStr">
        <is>
          <t>4x4 - Ford - Ranger - Bh19vxz</t>
        </is>
      </c>
      <c r="G790" t="inlineStr">
        <is>
          <t xml:space="preserve">Cory Joy </t>
        </is>
      </c>
      <c r="H790" t="inlineStr">
        <is>
          <t>4x4</t>
        </is>
      </c>
      <c r="I790" t="inlineStr">
        <is>
          <t>Daily/ Weekly Vehicle Inspection</t>
        </is>
      </c>
      <c r="J790" t="inlineStr">
        <is>
          <t>N/A</t>
        </is>
      </c>
      <c r="K790" t="inlineStr">
        <is>
          <t>7535 HJ Tree Services</t>
        </is>
      </c>
      <c r="L790" t="inlineStr">
        <is>
          <t>08/07/2025 09:08</t>
        </is>
      </c>
      <c r="M790" t="inlineStr">
        <is>
          <t>None</t>
        </is>
      </c>
      <c r="N790" t="inlineStr">
        <is>
          <t>&lt;p&gt;&lt;/p&gt;</t>
        </is>
      </c>
      <c r="O790" t="inlineStr"/>
      <c r="P790" t="inlineStr">
        <is>
          <t>4x4 - Ford - Ranger - Bh19vxz</t>
        </is>
      </c>
      <c r="Q790" t="inlineStr">
        <is>
          <t>SSE</t>
        </is>
      </c>
      <c r="R790" t="b">
        <v>0</v>
      </c>
    </row>
    <row r="791">
      <c r="A791" t="inlineStr">
        <is>
          <t>8 Jul 2025 / 3098 D &amp; R Landscapes (PEND Arb Rail)</t>
        </is>
      </c>
      <c r="B791" t="inlineStr">
        <is>
          <t>Utilities &amp; Inland Waterways</t>
        </is>
      </c>
      <c r="C791" t="inlineStr">
        <is>
          <t>UKPN</t>
        </is>
      </c>
      <c r="D791" t="inlineStr">
        <is>
          <t>DE68XHA , Tipper , Isuzu , Grafter</t>
        </is>
      </c>
      <c r="E791" t="inlineStr">
        <is>
          <t>DE68XHA , Tipper , Isuzu , Grafter</t>
        </is>
      </c>
      <c r="F791" t="inlineStr">
        <is>
          <t>DE68XHA , Tipper , Isuzu , Grafter</t>
        </is>
      </c>
      <c r="G791" t="inlineStr">
        <is>
          <t>Jason</t>
        </is>
      </c>
      <c r="H791" t="inlineStr">
        <is>
          <t>Tipper</t>
        </is>
      </c>
      <c r="I791" t="inlineStr">
        <is>
          <t>Daily/ Weekly Vehicle Inspection</t>
        </is>
      </c>
      <c r="J791" t="inlineStr">
        <is>
          <t>N/A</t>
        </is>
      </c>
      <c r="K791" t="inlineStr">
        <is>
          <t>3098 D &amp; R Landscapes (PEND Arb Rail)</t>
        </is>
      </c>
      <c r="L791" t="inlineStr">
        <is>
          <t>08/07/2025 09:09</t>
        </is>
      </c>
      <c r="M791" t="inlineStr">
        <is>
          <t>None</t>
        </is>
      </c>
      <c r="N791" t="inlineStr">
        <is>
          <t>&lt;p&gt;&lt;/p&gt;</t>
        </is>
      </c>
      <c r="O791" t="inlineStr"/>
      <c r="P791" t="inlineStr">
        <is>
          <t>DE68XHA , Tipper , Isuzu , Grafter</t>
        </is>
      </c>
      <c r="Q791" t="inlineStr">
        <is>
          <t>UKPN</t>
        </is>
      </c>
      <c r="R791" t="b">
        <v>0</v>
      </c>
    </row>
    <row r="792">
      <c r="A792" t="inlineStr">
        <is>
          <t>8 Jul 2025 / 7889 Tree Tech Suffolk Ltd</t>
        </is>
      </c>
      <c r="B792" t="inlineStr">
        <is>
          <t>Utilities &amp; Inland Waterways</t>
        </is>
      </c>
      <c r="C792" t="inlineStr">
        <is>
          <t>UKPN</t>
        </is>
      </c>
      <c r="D792" t="inlineStr">
        <is>
          <t>4x4 - Isuzu - D-max - NS03 TTSTow Chipper - Jenson - A530L - 5521063948</t>
        </is>
      </c>
      <c r="E792" t="inlineStr">
        <is>
          <t>4x4 - Isuzu - D-max - NS03 TTSTow Chipper - Jenson - A530L - 5521063948</t>
        </is>
      </c>
      <c r="F792" t="inlineStr">
        <is>
          <t>4x4 - Isuzu - D-max - NS03 TTSTow Chipper - Jenson - A530L - 5521063948</t>
        </is>
      </c>
      <c r="G792" t="inlineStr">
        <is>
          <t xml:space="preserve">Danny Appleby Nikki sparrow </t>
        </is>
      </c>
      <c r="H792" t="inlineStr">
        <is>
          <t>4x4Towed Chipper</t>
        </is>
      </c>
      <c r="I792" t="inlineStr">
        <is>
          <t>Daily/ Weekly Vehicle Inspection</t>
        </is>
      </c>
      <c r="J792" t="inlineStr">
        <is>
          <t>N/A</t>
        </is>
      </c>
      <c r="K792" t="inlineStr">
        <is>
          <t>7889 Tree Tech Suffolk Ltd</t>
        </is>
      </c>
      <c r="L792" t="inlineStr">
        <is>
          <t>08/07/2025 09:11</t>
        </is>
      </c>
      <c r="M792" t="inlineStr">
        <is>
          <t>None</t>
        </is>
      </c>
      <c r="N792" t="inlineStr">
        <is>
          <t>&lt;p&gt;&lt;/p&gt;</t>
        </is>
      </c>
      <c r="O792" t="inlineStr"/>
      <c r="P792" t="inlineStr">
        <is>
          <t>4x4 - Isuzu - D-max - NS03 TTSTow Chipper - Jenson - A530L - 5521063948</t>
        </is>
      </c>
      <c r="Q792" t="inlineStr">
        <is>
          <t>UKPN</t>
        </is>
      </c>
      <c r="R792" t="b">
        <v>0</v>
      </c>
    </row>
    <row r="793">
      <c r="A793" t="inlineStr">
        <is>
          <t>8 Jul 2025 / Thomas Playford</t>
        </is>
      </c>
      <c r="B793" t="inlineStr">
        <is>
          <t>Utilities &amp; Inland Waterways</t>
        </is>
      </c>
      <c r="C793" t="inlineStr">
        <is>
          <t>UKPN</t>
        </is>
      </c>
      <c r="D793" t="inlineStr">
        <is>
          <t>SA9ST800000283944 , Tow Chipper , Forst , ST8D - Towed</t>
        </is>
      </c>
      <c r="E793" t="inlineStr">
        <is>
          <t>SA9ST800000283944 , Tow Chipper , Forst , ST8D - Towed</t>
        </is>
      </c>
      <c r="F793" t="inlineStr">
        <is>
          <t>SA9ST800000283944 , Tow Chipper , Forst , ST8D - Towed</t>
        </is>
      </c>
      <c r="G793" t="inlineStr">
        <is>
          <t>Jacob Oram</t>
        </is>
      </c>
      <c r="H793" t="inlineStr">
        <is>
          <t>Towed Chipper</t>
        </is>
      </c>
      <c r="I793" t="inlineStr">
        <is>
          <t>Daily/ Weekly Vehicle Inspection</t>
        </is>
      </c>
      <c r="J793" t="inlineStr">
        <is>
          <t>N/A</t>
        </is>
      </c>
      <c r="K793" t="inlineStr">
        <is>
          <t>7995 Contour Landscapes Ltd 2</t>
        </is>
      </c>
      <c r="L793" t="inlineStr">
        <is>
          <t>08/07/2025 10:11</t>
        </is>
      </c>
      <c r="M793" t="inlineStr">
        <is>
          <t>None</t>
        </is>
      </c>
      <c r="N793" t="inlineStr">
        <is>
          <t>&lt;p&gt;&lt;/p&gt;</t>
        </is>
      </c>
      <c r="O793" t="inlineStr"/>
      <c r="P793" t="inlineStr">
        <is>
          <t>SA9ST800000283944 , Tow Chipper , Forst , ST8D - Towed</t>
        </is>
      </c>
      <c r="Q793" t="inlineStr">
        <is>
          <t>UKPN</t>
        </is>
      </c>
      <c r="R793" t="b">
        <v>0</v>
      </c>
    </row>
    <row r="794">
      <c r="A794" t="inlineStr">
        <is>
          <t>8 Jul 2025 / Thomas Playford</t>
        </is>
      </c>
      <c r="B794" t="inlineStr">
        <is>
          <t>Utilities &amp; Inland Waterways</t>
        </is>
      </c>
      <c r="C794" t="inlineStr">
        <is>
          <t>UKPN</t>
        </is>
      </c>
      <c r="D794" t="inlineStr">
        <is>
          <t>YP24 WRD , Vehicle , Ford , Ranger</t>
        </is>
      </c>
      <c r="E794" t="inlineStr">
        <is>
          <t>YP24 WRD , Vehicle , Ford , Ranger</t>
        </is>
      </c>
      <c r="F794" t="inlineStr">
        <is>
          <t>YP24 WRD , Vehicle , Ford , Ranger</t>
        </is>
      </c>
      <c r="G794" t="inlineStr">
        <is>
          <t>Jacob Oram</t>
        </is>
      </c>
      <c r="H794" t="inlineStr">
        <is>
          <t>4x4</t>
        </is>
      </c>
      <c r="I794" t="inlineStr">
        <is>
          <t>Daily/ Weekly Vehicle Inspection</t>
        </is>
      </c>
      <c r="J794" t="inlineStr">
        <is>
          <t>N/A</t>
        </is>
      </c>
      <c r="K794" t="inlineStr">
        <is>
          <t>7995 Contour Landscapes Ltd 2</t>
        </is>
      </c>
      <c r="L794" t="inlineStr">
        <is>
          <t>08/07/2025 10:12</t>
        </is>
      </c>
      <c r="M794" t="inlineStr">
        <is>
          <t>None</t>
        </is>
      </c>
      <c r="N794" t="inlineStr">
        <is>
          <t>&lt;p&gt;&lt;/p&gt;</t>
        </is>
      </c>
      <c r="O794" t="inlineStr"/>
      <c r="P794" t="inlineStr">
        <is>
          <t>YP24 WRD , Vehicle , Ford , Ranger</t>
        </is>
      </c>
      <c r="Q794" t="inlineStr">
        <is>
          <t>UKPN</t>
        </is>
      </c>
      <c r="R794" t="b">
        <v>0</v>
      </c>
    </row>
    <row r="795">
      <c r="A795" t="inlineStr">
        <is>
          <t>8 Jul 2025 / Jonathan Wisbey</t>
        </is>
      </c>
      <c r="B795" t="inlineStr">
        <is>
          <t>Utilities &amp; Inland Waterways</t>
        </is>
      </c>
      <c r="C795" t="inlineStr">
        <is>
          <t>UKPN</t>
        </is>
      </c>
      <c r="D795" t="inlineStr">
        <is>
          <t>KN25GGK , Car - Petrol , vw , Golf</t>
        </is>
      </c>
      <c r="E795" t="inlineStr">
        <is>
          <t>KN25GGK , Car - Petrol , vw , Golf</t>
        </is>
      </c>
      <c r="F795" t="inlineStr">
        <is>
          <t>KN25GGK , Car - Petrol , vw , Golf</t>
        </is>
      </c>
      <c r="G795" t="inlineStr">
        <is>
          <t xml:space="preserve">Jonathan Wisbey </t>
        </is>
      </c>
      <c r="H795" t="inlineStr">
        <is>
          <t>Car - Petrol</t>
        </is>
      </c>
      <c r="I795" t="inlineStr">
        <is>
          <t>Monthly Vehicle Inspection</t>
        </is>
      </c>
      <c r="J795" t="inlineStr">
        <is>
          <t>5737</t>
        </is>
      </c>
      <c r="K795" t="inlineStr">
        <is>
          <t>Jonathan Wisbey</t>
        </is>
      </c>
      <c r="L795" t="inlineStr">
        <is>
          <t>08/07/2025 10:16</t>
        </is>
      </c>
      <c r="M795" t="inlineStr">
        <is>
          <t>None</t>
        </is>
      </c>
      <c r="N795" t="inlineStr">
        <is>
          <t>&lt;p&gt;&lt;/p&gt;</t>
        </is>
      </c>
      <c r="O795" t="inlineStr"/>
      <c r="P795" t="inlineStr">
        <is>
          <t>KN25GGK , Car - Petrol , vw , Golf</t>
        </is>
      </c>
      <c r="Q795" t="inlineStr">
        <is>
          <t>UKPN</t>
        </is>
      </c>
      <c r="R795" t="b">
        <v>0</v>
      </c>
    </row>
    <row r="796">
      <c r="A796" t="inlineStr">
        <is>
          <t>9 Jul 2025 / Jodie Bowen</t>
        </is>
      </c>
      <c r="B796" t="inlineStr">
        <is>
          <t>Utilities &amp; Inland Waterways</t>
        </is>
      </c>
      <c r="C796" t="inlineStr">
        <is>
          <t>UKPN</t>
        </is>
      </c>
      <c r="D796" t="inlineStr">
        <is>
          <t>EK73UOL , Car - Electric , Kia , Niro</t>
        </is>
      </c>
      <c r="E796" t="inlineStr">
        <is>
          <t>EK73UOL , Car - Electric , Kia , Niro</t>
        </is>
      </c>
      <c r="F796" t="inlineStr">
        <is>
          <t>EK73UOL , Car - Electric , Kia , Niro</t>
        </is>
      </c>
      <c r="G796" t="inlineStr">
        <is>
          <t>Jodie Bowen</t>
        </is>
      </c>
      <c r="H796" t="inlineStr">
        <is>
          <t>Car - Electric</t>
        </is>
      </c>
      <c r="I796" t="inlineStr">
        <is>
          <t>Daily/ Weekly Vehicle Inspection</t>
        </is>
      </c>
      <c r="J796" t="inlineStr">
        <is>
          <t>N/A</t>
        </is>
      </c>
      <c r="K796" t="inlineStr">
        <is>
          <t>Jodie Bowen</t>
        </is>
      </c>
      <c r="L796" t="inlineStr">
        <is>
          <t>09/07/2025 06:08</t>
        </is>
      </c>
      <c r="M796" t="inlineStr">
        <is>
          <t>None</t>
        </is>
      </c>
      <c r="N796" t="inlineStr">
        <is>
          <t>&lt;p&gt;&lt;/p&gt;</t>
        </is>
      </c>
      <c r="O796" t="inlineStr"/>
      <c r="P796" t="inlineStr">
        <is>
          <t>EK73UOL , Car - Electric , Kia , Niro</t>
        </is>
      </c>
      <c r="Q796" t="inlineStr">
        <is>
          <t>UKPN</t>
        </is>
      </c>
      <c r="R796" t="b">
        <v>0</v>
      </c>
    </row>
    <row r="797">
      <c r="A797" t="inlineStr">
        <is>
          <t>9 Jul 2025 / 7186 Eastwoodbury Tree Services Ltd</t>
        </is>
      </c>
      <c r="B797" t="inlineStr">
        <is>
          <t>Utilities &amp; Inland Waterways</t>
        </is>
      </c>
      <c r="C797" t="inlineStr">
        <is>
          <t>UKPN</t>
        </is>
      </c>
      <c r="D797" t="inlineStr">
        <is>
          <t>FN600XM , 4x4 , Land Rover  , Defender</t>
        </is>
      </c>
      <c r="E797" t="inlineStr">
        <is>
          <t>FN600XM , 4x4 , Land Rover  , Defender</t>
        </is>
      </c>
      <c r="F797" t="inlineStr">
        <is>
          <t>FN600XM , 4x4 , Land Rover  , Defender</t>
        </is>
      </c>
      <c r="G797" t="inlineStr">
        <is>
          <t xml:space="preserve">Jay Denkmayer </t>
        </is>
      </c>
      <c r="H797" t="inlineStr">
        <is>
          <t>4x4</t>
        </is>
      </c>
      <c r="I797" t="inlineStr">
        <is>
          <t>Daily/ Weekly Vehicle Inspection</t>
        </is>
      </c>
      <c r="J797" t="inlineStr">
        <is>
          <t>N/A</t>
        </is>
      </c>
      <c r="K797" t="inlineStr">
        <is>
          <t>7186 Eastwoodbury Tree Services Ltd</t>
        </is>
      </c>
      <c r="L797" t="inlineStr">
        <is>
          <t>09/07/2025 07:08</t>
        </is>
      </c>
      <c r="M797" t="inlineStr">
        <is>
          <t>None</t>
        </is>
      </c>
      <c r="N797" t="inlineStr">
        <is>
          <t>&lt;p&gt;&lt;/p&gt;</t>
        </is>
      </c>
      <c r="O797" t="inlineStr"/>
      <c r="P797" t="inlineStr">
        <is>
          <t>FN600XM , 4x4 , Land Rover  , Defender</t>
        </is>
      </c>
      <c r="Q797" t="inlineStr">
        <is>
          <t>UKPN</t>
        </is>
      </c>
      <c r="R797" t="b">
        <v>0</v>
      </c>
    </row>
    <row r="798">
      <c r="A798" t="inlineStr">
        <is>
          <t>9 Jul 2025 / 7186 Eastwoodbury Tree Services Ltd</t>
        </is>
      </c>
      <c r="B798" t="inlineStr">
        <is>
          <t>Utilities &amp; Inland Waterways</t>
        </is>
      </c>
      <c r="C798" t="inlineStr">
        <is>
          <t>UKPN</t>
        </is>
      </c>
      <c r="D798" t="inlineStr">
        <is>
          <t>AO57BPF , 4x4 , Santana  , Ps10</t>
        </is>
      </c>
      <c r="E798" t="inlineStr">
        <is>
          <t>AO57BPF , 4x4 , Santana  , Ps10</t>
        </is>
      </c>
      <c r="F798" t="inlineStr">
        <is>
          <t>AO57BPF , 4x4 , Santana  , Ps10</t>
        </is>
      </c>
      <c r="G798" t="inlineStr">
        <is>
          <t xml:space="preserve">Dan Gilbert </t>
        </is>
      </c>
      <c r="H798" t="inlineStr">
        <is>
          <t>4x4</t>
        </is>
      </c>
      <c r="I798" t="inlineStr">
        <is>
          <t>Daily/ Weekly Vehicle Inspection</t>
        </is>
      </c>
      <c r="J798" t="inlineStr">
        <is>
          <t>N/A</t>
        </is>
      </c>
      <c r="K798" t="inlineStr">
        <is>
          <t>7186 Eastwoodbury Tree Services Ltd</t>
        </is>
      </c>
      <c r="L798" t="inlineStr">
        <is>
          <t>09/07/2025 07:09</t>
        </is>
      </c>
      <c r="M798" t="inlineStr">
        <is>
          <t>None</t>
        </is>
      </c>
      <c r="N798" t="inlineStr">
        <is>
          <t>&lt;p&gt;&lt;/p&gt;</t>
        </is>
      </c>
      <c r="O798" t="inlineStr"/>
      <c r="P798" t="inlineStr">
        <is>
          <t>AO57BPF , 4x4 , Santana  , Ps10</t>
        </is>
      </c>
      <c r="Q798" t="inlineStr">
        <is>
          <t>UKPN</t>
        </is>
      </c>
      <c r="R798" t="b">
        <v>0</v>
      </c>
    </row>
    <row r="799">
      <c r="A799" t="inlineStr">
        <is>
          <t>9 Jul 2025 / 7940 HRJ Tree Services LTD</t>
        </is>
      </c>
      <c r="B799" t="inlineStr">
        <is>
          <t>Utilities &amp; Inland Waterways</t>
        </is>
      </c>
      <c r="C799" t="inlineStr">
        <is>
          <t>UKPN</t>
        </is>
      </c>
      <c r="D799" t="inlineStr">
        <is>
          <t>Kx65fcp , 4x4 , Izuzu d max  , D max</t>
        </is>
      </c>
      <c r="E799" t="inlineStr">
        <is>
          <t>Kx65fcp , 4x4 , Izuzu d max  , D max</t>
        </is>
      </c>
      <c r="F799" t="inlineStr">
        <is>
          <t>Kx65fcp , 4x4 , Izuzu d max  , D max</t>
        </is>
      </c>
      <c r="G799" t="inlineStr">
        <is>
          <t xml:space="preserve">Jack Buchan </t>
        </is>
      </c>
      <c r="H799" t="inlineStr">
        <is>
          <t>4x4</t>
        </is>
      </c>
      <c r="I799" t="inlineStr">
        <is>
          <t>Daily/ Weekly Vehicle Inspection</t>
        </is>
      </c>
      <c r="J799" t="inlineStr">
        <is>
          <t>N/A</t>
        </is>
      </c>
      <c r="K799" t="inlineStr">
        <is>
          <t>7940 HRJ Tree Services LTD</t>
        </is>
      </c>
      <c r="L799" t="inlineStr">
        <is>
          <t>09/07/2025 07:10</t>
        </is>
      </c>
      <c r="M799" t="inlineStr">
        <is>
          <t>None</t>
        </is>
      </c>
      <c r="N799" t="inlineStr">
        <is>
          <t>&lt;p&gt;&lt;/p&gt;</t>
        </is>
      </c>
      <c r="O799" t="inlineStr"/>
      <c r="P799" t="inlineStr">
        <is>
          <t>Kx65fcp , 4x4 , Izuzu d max  , D max</t>
        </is>
      </c>
      <c r="Q799" t="inlineStr">
        <is>
          <t>UKPN</t>
        </is>
      </c>
      <c r="R799" t="b">
        <v>0</v>
      </c>
    </row>
    <row r="800">
      <c r="A800" t="inlineStr">
        <is>
          <t>9 Jul 2025 / 7940 HRJ Tree Services LTD</t>
        </is>
      </c>
      <c r="B800" t="inlineStr">
        <is>
          <t>Utilities &amp; Inland Waterways</t>
        </is>
      </c>
      <c r="C800" t="inlineStr">
        <is>
          <t>UKPN</t>
        </is>
      </c>
      <c r="D800" t="inlineStr">
        <is>
          <t>4x4 - Toyota  - Hilux - LL70GZP</t>
        </is>
      </c>
      <c r="E800" t="inlineStr">
        <is>
          <t>4x4 - Toyota  - Hilux - LL70GZP</t>
        </is>
      </c>
      <c r="F800" t="inlineStr">
        <is>
          <t>4x4 - Toyota  - Hilux - LL70GZP</t>
        </is>
      </c>
      <c r="G800" t="inlineStr">
        <is>
          <t>Harry Wilson</t>
        </is>
      </c>
      <c r="H800" t="inlineStr">
        <is>
          <t>4x4</t>
        </is>
      </c>
      <c r="I800" t="inlineStr">
        <is>
          <t>Daily/ Weekly Vehicle Inspection</t>
        </is>
      </c>
      <c r="J800" t="inlineStr">
        <is>
          <t>N/A</t>
        </is>
      </c>
      <c r="K800" t="inlineStr">
        <is>
          <t>7940 HRJ Tree Services LTD</t>
        </is>
      </c>
      <c r="L800" t="inlineStr">
        <is>
          <t>09/07/2025 07:11</t>
        </is>
      </c>
      <c r="M800" t="inlineStr">
        <is>
          <t>None</t>
        </is>
      </c>
      <c r="N800" t="inlineStr">
        <is>
          <t>&lt;p&gt;&lt;/p&gt;</t>
        </is>
      </c>
      <c r="O800" t="inlineStr"/>
      <c r="P800" t="inlineStr">
        <is>
          <t>4x4 - Toyota  - Hilux - LL70GZP</t>
        </is>
      </c>
      <c r="Q800" t="inlineStr">
        <is>
          <t>UKPN</t>
        </is>
      </c>
      <c r="R800" t="b">
        <v>0</v>
      </c>
    </row>
    <row r="801">
      <c r="A801" t="inlineStr">
        <is>
          <t>9 Jul 2025 / 7940 HRJ Tree Services LTD</t>
        </is>
      </c>
      <c r="B801" t="inlineStr">
        <is>
          <t>Utilities &amp; Inland Waterways</t>
        </is>
      </c>
      <c r="C801" t="inlineStr">
        <is>
          <t>UKPN</t>
        </is>
      </c>
      <c r="D801" t="inlineStr">
        <is>
          <t>Plant Trailer - Indespension - 211717 - 211717</t>
        </is>
      </c>
      <c r="E801" t="inlineStr">
        <is>
          <t>Plant Trailer - Indespension - 211717 - 211717</t>
        </is>
      </c>
      <c r="F801" t="inlineStr">
        <is>
          <t>Plant Trailer - Indespension - 211717 - 211717</t>
        </is>
      </c>
      <c r="G801" t="inlineStr">
        <is>
          <t>Harry Wilson</t>
        </is>
      </c>
      <c r="H801" t="inlineStr">
        <is>
          <t>Plant Trailer</t>
        </is>
      </c>
      <c r="I801" t="inlineStr">
        <is>
          <t>Daily/ Weekly Vehicle Inspection</t>
        </is>
      </c>
      <c r="J801" t="inlineStr">
        <is>
          <t>N/A</t>
        </is>
      </c>
      <c r="K801" t="inlineStr">
        <is>
          <t>7940 HRJ Tree Services LTD</t>
        </is>
      </c>
      <c r="L801" t="inlineStr">
        <is>
          <t>09/07/2025 07:12</t>
        </is>
      </c>
      <c r="M801" t="inlineStr">
        <is>
          <t>None</t>
        </is>
      </c>
      <c r="N801" t="inlineStr">
        <is>
          <t>&lt;p&gt;&lt;/p&gt;</t>
        </is>
      </c>
      <c r="O801" t="inlineStr"/>
      <c r="P801" t="inlineStr">
        <is>
          <t>Plant Trailer - Indespension - 211717 - 211717</t>
        </is>
      </c>
      <c r="Q801" t="inlineStr">
        <is>
          <t>UKPN</t>
        </is>
      </c>
      <c r="R801" t="b">
        <v>0</v>
      </c>
    </row>
    <row r="802">
      <c r="A802" t="inlineStr">
        <is>
          <t>9 Jul 2025 / Thomas Playford</t>
        </is>
      </c>
      <c r="B802" t="inlineStr">
        <is>
          <t>Utilities &amp; Inland Waterways</t>
        </is>
      </c>
      <c r="C802" t="inlineStr">
        <is>
          <t>UKPN</t>
        </is>
      </c>
      <c r="D802" t="inlineStr">
        <is>
          <t>YP24 WRD , Vehicle , Ford , Ranger</t>
        </is>
      </c>
      <c r="E802" t="inlineStr">
        <is>
          <t>YP24 WRD , Vehicle , Ford , Ranger</t>
        </is>
      </c>
      <c r="F802" t="inlineStr">
        <is>
          <t>YP24 WRD , Vehicle , Ford , Ranger</t>
        </is>
      </c>
      <c r="G802" t="inlineStr">
        <is>
          <t>Jacob Oram</t>
        </is>
      </c>
      <c r="H802" t="inlineStr">
        <is>
          <t>4x4</t>
        </is>
      </c>
      <c r="I802" t="inlineStr">
        <is>
          <t>Daily/ Weekly Vehicle Inspection</t>
        </is>
      </c>
      <c r="J802" t="inlineStr">
        <is>
          <t>N/A</t>
        </is>
      </c>
      <c r="K802" t="inlineStr">
        <is>
          <t>7995 Contour Landscapes Ltd 2</t>
        </is>
      </c>
      <c r="L802" t="inlineStr">
        <is>
          <t>09/07/2025 08:08</t>
        </is>
      </c>
      <c r="M802" t="inlineStr">
        <is>
          <t>None</t>
        </is>
      </c>
      <c r="N802" t="inlineStr">
        <is>
          <t>&lt;p&gt;&lt;/p&gt;</t>
        </is>
      </c>
      <c r="O802" t="inlineStr"/>
      <c r="P802" t="inlineStr">
        <is>
          <t>YP24 WRD , Vehicle , Ford , Ranger</t>
        </is>
      </c>
      <c r="Q802" t="inlineStr">
        <is>
          <t>UKPN</t>
        </is>
      </c>
      <c r="R802" t="b">
        <v>0</v>
      </c>
    </row>
    <row r="803">
      <c r="A803" t="inlineStr">
        <is>
          <t>9 Jul 2025 / 7951 Austin Tree Care LTD</t>
        </is>
      </c>
      <c r="B803" t="inlineStr">
        <is>
          <t>Utilities &amp; Inland Waterways</t>
        </is>
      </c>
      <c r="C803" t="inlineStr">
        <is>
          <t>UKPN</t>
        </is>
      </c>
      <c r="D803" t="inlineStr">
        <is>
          <t>SA9ST6P0001283612 , Tow Chipper , Forst , ST6p</t>
        </is>
      </c>
      <c r="E803" t="inlineStr">
        <is>
          <t>SA9ST6P0001283612 , Tow Chipper , Forst , ST6p</t>
        </is>
      </c>
      <c r="F803" t="inlineStr">
        <is>
          <t>SA9ST6P0001283612 , Tow Chipper , Forst , ST6p</t>
        </is>
      </c>
      <c r="G803" t="inlineStr">
        <is>
          <t xml:space="preserve">Jack Austin </t>
        </is>
      </c>
      <c r="H803" t="inlineStr">
        <is>
          <t>Towed Chipper</t>
        </is>
      </c>
      <c r="I803" t="inlineStr">
        <is>
          <t>Daily/ Weekly Vehicle Inspection</t>
        </is>
      </c>
      <c r="J803" t="inlineStr">
        <is>
          <t>N/A</t>
        </is>
      </c>
      <c r="K803" t="inlineStr">
        <is>
          <t>7951 Austin Tree Care LTD</t>
        </is>
      </c>
      <c r="L803" t="inlineStr">
        <is>
          <t>09/07/2025 08:09</t>
        </is>
      </c>
      <c r="M803" t="inlineStr">
        <is>
          <t>None</t>
        </is>
      </c>
      <c r="N803" t="inlineStr">
        <is>
          <t>&lt;p&gt;&lt;/p&gt;</t>
        </is>
      </c>
      <c r="O803" t="inlineStr"/>
      <c r="P803" t="inlineStr">
        <is>
          <t>SA9ST6P0001283612 , Tow Chipper , Forst , ST6p</t>
        </is>
      </c>
      <c r="Q803" t="inlineStr">
        <is>
          <t>UKPN</t>
        </is>
      </c>
      <c r="R803" t="b">
        <v>0</v>
      </c>
    </row>
    <row r="804">
      <c r="A804" t="inlineStr">
        <is>
          <t>9 Jul 2025 / 7951 Austin Tree Care LTD</t>
        </is>
      </c>
      <c r="B804" t="inlineStr">
        <is>
          <t>Utilities &amp; Inland Waterways</t>
        </is>
      </c>
      <c r="C804" t="inlineStr">
        <is>
          <t>UKPN</t>
        </is>
      </c>
      <c r="D804" t="inlineStr">
        <is>
          <t>WF61 HZV , 4x4 MEWP , Land Rover , Defender</t>
        </is>
      </c>
      <c r="E804" t="inlineStr">
        <is>
          <t>WF61 HZV , 4x4 MEWP , Land Rover , Defender</t>
        </is>
      </c>
      <c r="F804" t="inlineStr">
        <is>
          <t>WF61 HZV , 4x4 MEWP , Land Rover , Defender</t>
        </is>
      </c>
      <c r="G804" t="inlineStr">
        <is>
          <t xml:space="preserve">Jack Austin </t>
        </is>
      </c>
      <c r="H804" t="inlineStr">
        <is>
          <t>4x4</t>
        </is>
      </c>
      <c r="I804" t="inlineStr">
        <is>
          <t>Daily/ Weekly Vehicle Inspection</t>
        </is>
      </c>
      <c r="J804" t="inlineStr">
        <is>
          <t>N/A</t>
        </is>
      </c>
      <c r="K804" t="inlineStr">
        <is>
          <t>7951 Austin Tree Care LTD</t>
        </is>
      </c>
      <c r="L804" t="inlineStr">
        <is>
          <t>09/07/2025 08:10</t>
        </is>
      </c>
      <c r="M804" t="inlineStr">
        <is>
          <t>None</t>
        </is>
      </c>
      <c r="N804" t="inlineStr">
        <is>
          <t>&lt;p&gt;&lt;/p&gt;</t>
        </is>
      </c>
      <c r="O804" t="inlineStr"/>
      <c r="P804" t="inlineStr">
        <is>
          <t>WF61 HZV , 4x4 MEWP , Land Rover , Defender</t>
        </is>
      </c>
      <c r="Q804" t="inlineStr">
        <is>
          <t>UKPN</t>
        </is>
      </c>
      <c r="R804" t="b">
        <v>0</v>
      </c>
    </row>
    <row r="805">
      <c r="A805" t="inlineStr">
        <is>
          <t>9 Jul 2025 / Thomas Playford</t>
        </is>
      </c>
      <c r="B805" t="inlineStr">
        <is>
          <t>Utilities &amp; Inland Waterways</t>
        </is>
      </c>
      <c r="C805" t="inlineStr">
        <is>
          <t>UKPN</t>
        </is>
      </c>
      <c r="D805" t="inlineStr">
        <is>
          <t>Equipment Trailer - I For Williams Custom - Chipper Trailer - 47336638</t>
        </is>
      </c>
      <c r="E805" t="inlineStr">
        <is>
          <t>Equipment Trailer - I For Williams Custom - Chipper Trailer - 47336638</t>
        </is>
      </c>
      <c r="F805" t="inlineStr">
        <is>
          <t>Equipment Trailer - I For Williams Custom - Chipper Trailer - 47336638</t>
        </is>
      </c>
      <c r="G805" t="inlineStr">
        <is>
          <t>Jacob Oram</t>
        </is>
      </c>
      <c r="H805" t="inlineStr">
        <is>
          <t>Plant Trailer</t>
        </is>
      </c>
      <c r="I805" t="inlineStr">
        <is>
          <t>Daily/ Weekly Vehicle Inspection</t>
        </is>
      </c>
      <c r="J805" t="inlineStr">
        <is>
          <t>N/A</t>
        </is>
      </c>
      <c r="K805" t="inlineStr">
        <is>
          <t>7995 Contour Landscapes Ltd 2</t>
        </is>
      </c>
      <c r="L805" t="inlineStr">
        <is>
          <t>09/07/2025 09:09</t>
        </is>
      </c>
      <c r="M805" t="inlineStr">
        <is>
          <t>None</t>
        </is>
      </c>
      <c r="N805" t="inlineStr">
        <is>
          <t>&lt;p&gt;&lt;/p&gt;</t>
        </is>
      </c>
      <c r="O805" t="inlineStr"/>
      <c r="P805" t="inlineStr">
        <is>
          <t>Equipment Trailer - I For Williams Custom - Chipper Trailer - 47336638</t>
        </is>
      </c>
      <c r="Q805" t="inlineStr">
        <is>
          <t>UKPN</t>
        </is>
      </c>
      <c r="R805" t="b">
        <v>0</v>
      </c>
    </row>
    <row r="806">
      <c r="A806" t="inlineStr">
        <is>
          <t>9 Jul 2025 / 7889 Tree Tech Suffolk Ltd</t>
        </is>
      </c>
      <c r="B806" t="inlineStr">
        <is>
          <t>Utilities &amp; Inland Waterways</t>
        </is>
      </c>
      <c r="C806" t="inlineStr">
        <is>
          <t>UKPN</t>
        </is>
      </c>
      <c r="D806" t="inlineStr">
        <is>
          <t>4x4 - Isuzu - D-max - NS03 TTSTow Chipper - Jenson - A530L - 5521063948</t>
        </is>
      </c>
      <c r="E806" t="inlineStr">
        <is>
          <t>4x4 - Isuzu - D-max - NS03 TTSTow Chipper - Jenson - A530L - 5521063948</t>
        </is>
      </c>
      <c r="F806" t="inlineStr">
        <is>
          <t>4x4 - Isuzu - D-max - NS03 TTSTow Chipper - Jenson - A530L - 5521063948</t>
        </is>
      </c>
      <c r="G806" t="inlineStr">
        <is>
          <t xml:space="preserve">Danny Appleby Nikki sparrow </t>
        </is>
      </c>
      <c r="H806" t="inlineStr">
        <is>
          <t>4x4Towed Chipper</t>
        </is>
      </c>
      <c r="I806" t="inlineStr">
        <is>
          <t>Daily/ Weekly Vehicle Inspection</t>
        </is>
      </c>
      <c r="J806" t="inlineStr">
        <is>
          <t>N/A</t>
        </is>
      </c>
      <c r="K806" t="inlineStr">
        <is>
          <t>7889 Tree Tech Suffolk Ltd</t>
        </is>
      </c>
      <c r="L806" t="inlineStr">
        <is>
          <t>09/07/2025 10:09</t>
        </is>
      </c>
      <c r="M806" t="inlineStr">
        <is>
          <t>None</t>
        </is>
      </c>
      <c r="N806" t="inlineStr">
        <is>
          <t>&lt;p&gt;&lt;/p&gt;</t>
        </is>
      </c>
      <c r="O806" t="inlineStr">
        <is>
          <t>Select Vehicle:KX65 FCZ</t>
        </is>
      </c>
      <c r="P806" t="inlineStr">
        <is>
          <t>4x4 - Isuzu - D-max - NS03 TTSTow Chipper - Jenson - A530L - 5521063948</t>
        </is>
      </c>
      <c r="Q806" t="inlineStr">
        <is>
          <t>UKPN</t>
        </is>
      </c>
      <c r="R806" t="b">
        <v>0</v>
      </c>
    </row>
    <row r="807">
      <c r="A807" t="inlineStr">
        <is>
          <t>9 Jul 2025 / 7806 Optimum Tree Services Ltd</t>
        </is>
      </c>
      <c r="B807" t="inlineStr">
        <is>
          <t>Utilities &amp; Inland Waterways</t>
        </is>
      </c>
      <c r="C807" t="inlineStr">
        <is>
          <t>UKPN</t>
        </is>
      </c>
      <c r="D807" t="inlineStr">
        <is>
          <t>SA9ST800000283069 , Chipper , Forst , ST 6P</t>
        </is>
      </c>
      <c r="E807" t="inlineStr">
        <is>
          <t>SA9ST800000283069 , Chipper , Forst , ST 6P</t>
        </is>
      </c>
      <c r="F807" t="inlineStr">
        <is>
          <t>SA9ST800000283069 , Chipper , Forst , ST 6P</t>
        </is>
      </c>
      <c r="G807" t="inlineStr">
        <is>
          <t xml:space="preserve">Abraham Davies </t>
        </is>
      </c>
      <c r="H807" t="inlineStr">
        <is>
          <t>Towed Chipper</t>
        </is>
      </c>
      <c r="I807" t="inlineStr">
        <is>
          <t>Daily/ Weekly Vehicle Inspection</t>
        </is>
      </c>
      <c r="J807" t="inlineStr">
        <is>
          <t>N/A</t>
        </is>
      </c>
      <c r="K807" t="inlineStr">
        <is>
          <t>7806 Optimum Tree Services Ltd</t>
        </is>
      </c>
      <c r="L807" t="inlineStr">
        <is>
          <t>09/07/2025 10:10</t>
        </is>
      </c>
      <c r="M807" t="inlineStr">
        <is>
          <t>None</t>
        </is>
      </c>
      <c r="N807" t="inlineStr">
        <is>
          <t>&lt;p&gt;&lt;/p&gt;</t>
        </is>
      </c>
      <c r="O807" t="inlineStr"/>
      <c r="P807" t="inlineStr">
        <is>
          <t>SA9ST800000283069 , Chipper , Forst , ST 6P</t>
        </is>
      </c>
      <c r="Q807" t="inlineStr">
        <is>
          <t>UKPN</t>
        </is>
      </c>
      <c r="R807" t="b">
        <v>0</v>
      </c>
    </row>
    <row r="808">
      <c r="A808" t="inlineStr">
        <is>
          <t>9 Jul 2025 / 7806 Optimum Tree Services Ltd</t>
        </is>
      </c>
      <c r="B808" t="inlineStr">
        <is>
          <t>Utilities &amp; Inland Waterways</t>
        </is>
      </c>
      <c r="C808" t="inlineStr">
        <is>
          <t>UKPN</t>
        </is>
      </c>
      <c r="D808" t="inlineStr">
        <is>
          <t>WD14EVB , MEWP , Land Rover , Defender</t>
        </is>
      </c>
      <c r="E808" t="inlineStr">
        <is>
          <t>WD14EVB , MEWP , Land Rover , Defender</t>
        </is>
      </c>
      <c r="F808" t="inlineStr">
        <is>
          <t>WD14EVB , MEWP , Land Rover , Defender</t>
        </is>
      </c>
      <c r="G808" t="inlineStr">
        <is>
          <t xml:space="preserve">Abraham Davies </t>
        </is>
      </c>
      <c r="H808" t="inlineStr">
        <is>
          <t>4x4</t>
        </is>
      </c>
      <c r="I808" t="inlineStr">
        <is>
          <t>Daily/ Weekly Vehicle Inspection</t>
        </is>
      </c>
      <c r="J808" t="inlineStr">
        <is>
          <t>N/A</t>
        </is>
      </c>
      <c r="K808" t="inlineStr">
        <is>
          <t>7806 Optimum Tree Services Ltd</t>
        </is>
      </c>
      <c r="L808" t="inlineStr">
        <is>
          <t>09/07/2025 10:11</t>
        </is>
      </c>
      <c r="M808" t="inlineStr">
        <is>
          <t>None</t>
        </is>
      </c>
      <c r="N808" t="inlineStr">
        <is>
          <t>&lt;p&gt;&lt;/p&gt;</t>
        </is>
      </c>
      <c r="O808" t="inlineStr"/>
      <c r="P808" t="inlineStr">
        <is>
          <t>WD14EVB , MEWP , Land Rover , Defender</t>
        </is>
      </c>
      <c r="Q808" t="inlineStr">
        <is>
          <t>UKPN</t>
        </is>
      </c>
      <c r="R808" t="b">
        <v>0</v>
      </c>
    </row>
    <row r="809">
      <c r="A809" t="inlineStr">
        <is>
          <t>9 Jul 2025 / 7800 MAC Tree Surgery and Fencing Ltd</t>
        </is>
      </c>
      <c r="B809" t="inlineStr">
        <is>
          <t>Utilities &amp; Inland Waterways</t>
        </is>
      </c>
      <c r="C809" t="inlineStr">
        <is>
          <t>UKPN</t>
        </is>
      </c>
      <c r="D809" t="inlineStr">
        <is>
          <t>AY68DAA , 4x4 , Izuzu , Dmax</t>
        </is>
      </c>
      <c r="E809" t="inlineStr">
        <is>
          <t>AY68DAA , 4x4 , Izuzu , Dmax</t>
        </is>
      </c>
      <c r="F809" t="inlineStr">
        <is>
          <t>AY68DAA , 4x4 , Izuzu , Dmax</t>
        </is>
      </c>
      <c r="G809" t="inlineStr">
        <is>
          <t xml:space="preserve">Lewis </t>
        </is>
      </c>
      <c r="H809" t="inlineStr">
        <is>
          <t>4x4</t>
        </is>
      </c>
      <c r="I809" t="inlineStr">
        <is>
          <t>Daily/ Weekly Vehicle Inspection</t>
        </is>
      </c>
      <c r="J809" t="inlineStr">
        <is>
          <t>N/A</t>
        </is>
      </c>
      <c r="K809" t="inlineStr">
        <is>
          <t>7800 MAC Tree Surgery and Fencing Ltd</t>
        </is>
      </c>
      <c r="L809" t="inlineStr">
        <is>
          <t>09/07/2025 10:12</t>
        </is>
      </c>
      <c r="M809" t="inlineStr">
        <is>
          <t>None</t>
        </is>
      </c>
      <c r="N809" t="inlineStr">
        <is>
          <t>&lt;p&gt;&lt;/p&gt;</t>
        </is>
      </c>
      <c r="O809" t="inlineStr">
        <is>
          <t>Confirm that you have checked this vehicle as per the guidance document and the vehicle is safe and roadworthy:Slight crack in windscreen but doesn't effect vision booked in for the 19th July first appointment got cancelled on the 5th July
-</t>
        </is>
      </c>
      <c r="P809" t="inlineStr">
        <is>
          <t>AY68DAA , 4x4 , Izuzu , Dmax</t>
        </is>
      </c>
      <c r="Q809" t="inlineStr">
        <is>
          <t>UKPN</t>
        </is>
      </c>
      <c r="R809" t="b">
        <v>0</v>
      </c>
    </row>
    <row r="810">
      <c r="A810" t="inlineStr">
        <is>
          <t>9 Jul 2025 / 6617 Ashdown Tree Limited</t>
        </is>
      </c>
      <c r="B810" t="inlineStr">
        <is>
          <t>Utilities &amp; Inland Waterways</t>
        </is>
      </c>
      <c r="C810" t="inlineStr">
        <is>
          <t>UKPN</t>
        </is>
      </c>
      <c r="D810" t="inlineStr">
        <is>
          <t>Tipper - Ford transit  - Ford - AV69LVR</t>
        </is>
      </c>
      <c r="E810" t="inlineStr">
        <is>
          <t>Tipper - Ford transit  - Ford - AV69LVR</t>
        </is>
      </c>
      <c r="F810" t="inlineStr">
        <is>
          <t>Tipper - Ford transit  - Ford - AV69LVR</t>
        </is>
      </c>
      <c r="G810" t="inlineStr">
        <is>
          <t>Dan Watkins</t>
        </is>
      </c>
      <c r="H810" t="inlineStr">
        <is>
          <t>Tipper</t>
        </is>
      </c>
      <c r="I810" t="inlineStr">
        <is>
          <t>Daily/ Weekly Vehicle Inspection</t>
        </is>
      </c>
      <c r="J810" t="inlineStr">
        <is>
          <t>N/A</t>
        </is>
      </c>
      <c r="K810" t="inlineStr">
        <is>
          <t>6617 Ashdown Tree Limited</t>
        </is>
      </c>
      <c r="L810" t="inlineStr">
        <is>
          <t>09/07/2025 11:09</t>
        </is>
      </c>
      <c r="M810" t="inlineStr">
        <is>
          <t>None</t>
        </is>
      </c>
      <c r="N810" t="inlineStr">
        <is>
          <t>&lt;p&gt;&lt;/p&gt;</t>
        </is>
      </c>
      <c r="O810" t="inlineStr"/>
      <c r="P810" t="inlineStr">
        <is>
          <t>Tipper - Ford transit  - Ford - AV69LVR</t>
        </is>
      </c>
      <c r="Q810" t="inlineStr">
        <is>
          <t>UKPN</t>
        </is>
      </c>
      <c r="R810" t="b">
        <v>0</v>
      </c>
    </row>
    <row r="811">
      <c r="A811" t="inlineStr">
        <is>
          <t>9 Jul 2025 / 7940 HRJ Tree Services LTD</t>
        </is>
      </c>
      <c r="B811" t="inlineStr">
        <is>
          <t>Utilities &amp; Inland Waterways</t>
        </is>
      </c>
      <c r="C811" t="inlineStr">
        <is>
          <t>UKPN</t>
        </is>
      </c>
      <c r="D811" t="inlineStr">
        <is>
          <t>Kx65fcp , 4x4 , Izuzu d max  , D max</t>
        </is>
      </c>
      <c r="E811" t="inlineStr">
        <is>
          <t>Kx65fcp , 4x4 , Izuzu d max  , D max</t>
        </is>
      </c>
      <c r="F811" t="inlineStr">
        <is>
          <t>Kx65fcp , 4x4 , Izuzu d max  , D max</t>
        </is>
      </c>
      <c r="G811" t="inlineStr">
        <is>
          <t xml:space="preserve">Jack Buchan </t>
        </is>
      </c>
      <c r="H811" t="inlineStr">
        <is>
          <t>4x4</t>
        </is>
      </c>
      <c r="I811" t="inlineStr">
        <is>
          <t>Daily/ Weekly Vehicle Inspection</t>
        </is>
      </c>
      <c r="J811" t="inlineStr">
        <is>
          <t>N/A</t>
        </is>
      </c>
      <c r="K811" t="inlineStr">
        <is>
          <t>7940 HRJ Tree Services LTD</t>
        </is>
      </c>
      <c r="L811" t="inlineStr">
        <is>
          <t>09/07/2025 13:09</t>
        </is>
      </c>
      <c r="M811" t="inlineStr">
        <is>
          <t>None</t>
        </is>
      </c>
      <c r="N811" t="inlineStr">
        <is>
          <t>&lt;p&gt;&lt;/p&gt;</t>
        </is>
      </c>
      <c r="O811" t="inlineStr"/>
      <c r="P811" t="inlineStr">
        <is>
          <t>Kx65fcp , 4x4 , Izuzu d max  , D max</t>
        </is>
      </c>
      <c r="Q811" t="inlineStr">
        <is>
          <t>UKPN</t>
        </is>
      </c>
      <c r="R811" t="b">
        <v>0</v>
      </c>
    </row>
    <row r="812">
      <c r="A812" t="inlineStr">
        <is>
          <t>10 Jul 2025 / 7186 Eastwoodbury Tree Services Ltd</t>
        </is>
      </c>
      <c r="B812" t="inlineStr">
        <is>
          <t>Utilities &amp; Inland Waterways</t>
        </is>
      </c>
      <c r="C812" t="inlineStr">
        <is>
          <t>UKPN</t>
        </is>
      </c>
      <c r="D812" t="inlineStr">
        <is>
          <t>AO57BPF , 4x4 , Santana  , Ps10</t>
        </is>
      </c>
      <c r="E812" t="inlineStr">
        <is>
          <t>AO57BPF , 4x4 , Santana  , Ps10</t>
        </is>
      </c>
      <c r="F812" t="inlineStr">
        <is>
          <t>AO57BPF , 4x4 , Santana  , Ps10</t>
        </is>
      </c>
      <c r="G812" t="inlineStr">
        <is>
          <t xml:space="preserve">Dan Gilbert </t>
        </is>
      </c>
      <c r="H812" t="inlineStr">
        <is>
          <t>4x4</t>
        </is>
      </c>
      <c r="I812" t="inlineStr">
        <is>
          <t>Daily/ Weekly Vehicle Inspection</t>
        </is>
      </c>
      <c r="J812" t="inlineStr">
        <is>
          <t>N/A</t>
        </is>
      </c>
      <c r="K812" t="inlineStr">
        <is>
          <t>7186 Eastwoodbury Tree Services Ltd</t>
        </is>
      </c>
      <c r="L812" t="inlineStr">
        <is>
          <t>10/07/2025 07:08</t>
        </is>
      </c>
      <c r="M812" t="inlineStr">
        <is>
          <t>None</t>
        </is>
      </c>
      <c r="N812" t="inlineStr">
        <is>
          <t>&lt;p&gt;&lt;/p&gt;</t>
        </is>
      </c>
      <c r="O812" t="inlineStr"/>
      <c r="P812" t="inlineStr">
        <is>
          <t>AO57BPF , 4x4 , Santana  , Ps10</t>
        </is>
      </c>
      <c r="Q812" t="inlineStr">
        <is>
          <t>UKPN</t>
        </is>
      </c>
      <c r="R812" t="b">
        <v>0</v>
      </c>
    </row>
    <row r="813">
      <c r="A813" t="inlineStr">
        <is>
          <t>10 Jul 2025 / 7940 HRJ Tree Services LTD</t>
        </is>
      </c>
      <c r="B813" t="inlineStr">
        <is>
          <t>Utilities &amp; Inland Waterways</t>
        </is>
      </c>
      <c r="C813" t="inlineStr">
        <is>
          <t>UKPN</t>
        </is>
      </c>
      <c r="D813" t="inlineStr">
        <is>
          <t>Plant Trailer - Indespension - 211717 - 211717</t>
        </is>
      </c>
      <c r="E813" t="inlineStr">
        <is>
          <t>Plant Trailer - Indespension - 211717 - 211717</t>
        </is>
      </c>
      <c r="F813" t="inlineStr">
        <is>
          <t>Plant Trailer - Indespension - 211717 - 211717</t>
        </is>
      </c>
      <c r="G813" t="inlineStr">
        <is>
          <t xml:space="preserve">Jack Buchan </t>
        </is>
      </c>
      <c r="H813" t="inlineStr">
        <is>
          <t>Equipment Trailer</t>
        </is>
      </c>
      <c r="I813" t="inlineStr">
        <is>
          <t>Daily/ Weekly Vehicle Inspection</t>
        </is>
      </c>
      <c r="J813" t="inlineStr">
        <is>
          <t>N/A</t>
        </is>
      </c>
      <c r="K813" t="inlineStr">
        <is>
          <t>7940 HRJ Tree Services LTD</t>
        </is>
      </c>
      <c r="L813" t="inlineStr">
        <is>
          <t>10/07/2025 07:09</t>
        </is>
      </c>
      <c r="M813" t="inlineStr">
        <is>
          <t>None</t>
        </is>
      </c>
      <c r="N813" t="inlineStr">
        <is>
          <t>&lt;p&gt;&lt;/p&gt;</t>
        </is>
      </c>
      <c r="O813" t="inlineStr"/>
      <c r="P813" t="inlineStr">
        <is>
          <t>Plant Trailer - Indespension - 211717 - 211717</t>
        </is>
      </c>
      <c r="Q813" t="inlineStr">
        <is>
          <t>UKPN</t>
        </is>
      </c>
      <c r="R813" t="b">
        <v>0</v>
      </c>
    </row>
    <row r="814">
      <c r="A814" t="inlineStr">
        <is>
          <t>10 Jul 2025 / 7940 HRJ Tree Services LTD</t>
        </is>
      </c>
      <c r="B814" t="inlineStr">
        <is>
          <t>Utilities &amp; Inland Waterways</t>
        </is>
      </c>
      <c r="C814" t="inlineStr">
        <is>
          <t>UKPN</t>
        </is>
      </c>
      <c r="D814" t="inlineStr">
        <is>
          <t>Kx65fcp , 4x4 , Izuzu d max  , D max</t>
        </is>
      </c>
      <c r="E814" t="inlineStr">
        <is>
          <t>Kx65fcp , 4x4 , Izuzu d max  , D max</t>
        </is>
      </c>
      <c r="F814" t="inlineStr">
        <is>
          <t>Kx65fcp , 4x4 , Izuzu d max  , D max</t>
        </is>
      </c>
      <c r="G814" t="inlineStr">
        <is>
          <t>Jack Buchan</t>
        </is>
      </c>
      <c r="H814" t="inlineStr">
        <is>
          <t>4x4</t>
        </is>
      </c>
      <c r="I814" t="inlineStr">
        <is>
          <t>Daily/ Weekly Vehicle Inspection</t>
        </is>
      </c>
      <c r="J814" t="inlineStr">
        <is>
          <t>N/A</t>
        </is>
      </c>
      <c r="K814" t="inlineStr">
        <is>
          <t>7940 HRJ Tree Services LTD</t>
        </is>
      </c>
      <c r="L814" t="inlineStr">
        <is>
          <t>10/07/2025 07:09</t>
        </is>
      </c>
      <c r="M814" t="inlineStr">
        <is>
          <t>None</t>
        </is>
      </c>
      <c r="N814" t="inlineStr">
        <is>
          <t>&lt;p&gt;&lt;/p&gt;</t>
        </is>
      </c>
      <c r="O814" t="inlineStr"/>
      <c r="P814" t="inlineStr">
        <is>
          <t>Kx65fcp , 4x4 , Izuzu d max  , D max</t>
        </is>
      </c>
      <c r="Q814" t="inlineStr">
        <is>
          <t>UKPN</t>
        </is>
      </c>
      <c r="R814" t="b">
        <v>0</v>
      </c>
    </row>
    <row r="815">
      <c r="A815" t="inlineStr">
        <is>
          <t>10 Jul 2025 / 7940 HRJ Tree Services LTD</t>
        </is>
      </c>
      <c r="B815" t="inlineStr">
        <is>
          <t>Utilities &amp; Inland Waterways</t>
        </is>
      </c>
      <c r="C815" t="inlineStr">
        <is>
          <t>UKPN</t>
        </is>
      </c>
      <c r="D815" t="inlineStr">
        <is>
          <t>4x4 - Toyota  - Hilux - LL70GZP</t>
        </is>
      </c>
      <c r="E815" t="inlineStr">
        <is>
          <t>4x4 - Toyota  - Hilux - LL70GZP</t>
        </is>
      </c>
      <c r="F815" t="inlineStr">
        <is>
          <t>4x4 - Toyota  - Hilux - LL70GZP</t>
        </is>
      </c>
      <c r="G815" t="inlineStr">
        <is>
          <t>Harry Wilson</t>
        </is>
      </c>
      <c r="H815" t="inlineStr">
        <is>
          <t>4x4</t>
        </is>
      </c>
      <c r="I815" t="inlineStr">
        <is>
          <t>Daily/ Weekly Vehicle Inspection</t>
        </is>
      </c>
      <c r="J815" t="inlineStr">
        <is>
          <t>N/A</t>
        </is>
      </c>
      <c r="K815" t="inlineStr">
        <is>
          <t>7940 HRJ Tree Services LTD</t>
        </is>
      </c>
      <c r="L815" t="inlineStr">
        <is>
          <t>10/07/2025 07:10</t>
        </is>
      </c>
      <c r="M815" t="inlineStr">
        <is>
          <t>None</t>
        </is>
      </c>
      <c r="N815" t="inlineStr">
        <is>
          <t>&lt;p&gt;&lt;/p&gt;</t>
        </is>
      </c>
      <c r="O815" t="inlineStr"/>
      <c r="P815" t="inlineStr">
        <is>
          <t>4x4 - Toyota  - Hilux - LL70GZP</t>
        </is>
      </c>
      <c r="Q815" t="inlineStr">
        <is>
          <t>UKPN</t>
        </is>
      </c>
      <c r="R815" t="b">
        <v>0</v>
      </c>
    </row>
    <row r="816">
      <c r="A816" t="inlineStr">
        <is>
          <t>10 Jul 2025 / 7800 MAC Tree Surgery and Fencing Ltd</t>
        </is>
      </c>
      <c r="B816" t="inlineStr">
        <is>
          <t>Utilities &amp; Inland Waterways</t>
        </is>
      </c>
      <c r="C816" t="inlineStr">
        <is>
          <t>UKPN</t>
        </is>
      </c>
      <c r="D816" t="inlineStr">
        <is>
          <t>205143043-A1 , Tow Chipper , Timberwolf , TW150</t>
        </is>
      </c>
      <c r="E816" t="inlineStr">
        <is>
          <t>205143043-A1 , Tow Chipper , Timberwolf , TW150</t>
        </is>
      </c>
      <c r="F816" t="inlineStr">
        <is>
          <t>205143043-A1 , Tow Chipper , Timberwolf , TW150</t>
        </is>
      </c>
      <c r="G816" t="inlineStr">
        <is>
          <t xml:space="preserve">Lewis mac </t>
        </is>
      </c>
      <c r="H816" t="inlineStr">
        <is>
          <t>Towed Chipper</t>
        </is>
      </c>
      <c r="I816" t="inlineStr">
        <is>
          <t>Daily/ Weekly Vehicle Inspection</t>
        </is>
      </c>
      <c r="J816" t="inlineStr">
        <is>
          <t>N/A</t>
        </is>
      </c>
      <c r="K816" t="inlineStr">
        <is>
          <t>7800 MAC Tree Surgery and Fencing Ltd</t>
        </is>
      </c>
      <c r="L816" t="inlineStr">
        <is>
          <t>10/07/2025 08:08</t>
        </is>
      </c>
      <c r="M816" t="inlineStr">
        <is>
          <t>None</t>
        </is>
      </c>
      <c r="N816" t="inlineStr">
        <is>
          <t>&lt;p&gt;&lt;/p&gt;</t>
        </is>
      </c>
      <c r="O816" t="inlineStr"/>
      <c r="P816" t="inlineStr">
        <is>
          <t>205143043-A1 , Tow Chipper , Timberwolf , TW150</t>
        </is>
      </c>
      <c r="Q816" t="inlineStr">
        <is>
          <t>UKPN</t>
        </is>
      </c>
      <c r="R816" t="b">
        <v>0</v>
      </c>
    </row>
    <row r="817">
      <c r="A817" t="inlineStr">
        <is>
          <t>10 Jul 2025 / 6617 Ashdown Tree Limited 1</t>
        </is>
      </c>
      <c r="B817" t="inlineStr">
        <is>
          <t>Utilities &amp; Inland Waterways</t>
        </is>
      </c>
      <c r="C817" t="inlineStr">
        <is>
          <t>UKPN</t>
        </is>
      </c>
      <c r="D817" t="inlineStr">
        <is>
          <t>GU11LKD , 4x4 , Land Rover , Defender</t>
        </is>
      </c>
      <c r="E817" t="inlineStr">
        <is>
          <t>GU11LKD , 4x4 , Land Rover , Defender</t>
        </is>
      </c>
      <c r="F817" t="inlineStr">
        <is>
          <t>GU11LKD , 4x4 , Land Rover , Defender</t>
        </is>
      </c>
      <c r="G817" t="inlineStr">
        <is>
          <t xml:space="preserve">Francislesser </t>
        </is>
      </c>
      <c r="H817" t="inlineStr">
        <is>
          <t>4x4</t>
        </is>
      </c>
      <c r="I817" t="inlineStr">
        <is>
          <t>Daily/ Weekly Vehicle Inspection</t>
        </is>
      </c>
      <c r="J817" t="inlineStr">
        <is>
          <t>N/A</t>
        </is>
      </c>
      <c r="K817" t="inlineStr">
        <is>
          <t>6617 Ashdown Tree Limited 1</t>
        </is>
      </c>
      <c r="L817" t="inlineStr">
        <is>
          <t>10/07/2025 08:09</t>
        </is>
      </c>
      <c r="M817" t="inlineStr">
        <is>
          <t>None</t>
        </is>
      </c>
      <c r="N817" t="inlineStr">
        <is>
          <t>&lt;p&gt;&lt;/p&gt;</t>
        </is>
      </c>
      <c r="O817" t="inlineStr">
        <is>
          <t>Select Vehicle:And chipper</t>
        </is>
      </c>
      <c r="P817" t="inlineStr">
        <is>
          <t>GU11LKD , 4x4 , Land Rover , Defender</t>
        </is>
      </c>
      <c r="Q817" t="inlineStr">
        <is>
          <t>UKPN</t>
        </is>
      </c>
      <c r="R817" t="b">
        <v>0</v>
      </c>
    </row>
    <row r="818">
      <c r="A818" t="inlineStr">
        <is>
          <t>10 Jul 2025 / Anthony Gale</t>
        </is>
      </c>
      <c r="B818" t="inlineStr">
        <is>
          <t>Utilities &amp; Inland Waterways</t>
        </is>
      </c>
      <c r="C818" t="inlineStr">
        <is>
          <t>UKPN</t>
        </is>
      </c>
      <c r="D818" t="inlineStr">
        <is>
          <t>PE07 HGL , Vehicle , Mitsubishi , L200 K74</t>
        </is>
      </c>
      <c r="E818" t="inlineStr">
        <is>
          <t>PE07 HGL , Vehicle , Mitsubishi , L200 K74</t>
        </is>
      </c>
      <c r="F818" t="inlineStr">
        <is>
          <t>PE07 HGL , Vehicle , Mitsubishi , L200 K74</t>
        </is>
      </c>
      <c r="G818" t="inlineStr">
        <is>
          <t>Anthony Gale</t>
        </is>
      </c>
      <c r="H818" t="inlineStr">
        <is>
          <t>Pickup Truck</t>
        </is>
      </c>
      <c r="I818" t="inlineStr">
        <is>
          <t>Daily/ Weekly Vehicle Inspection</t>
        </is>
      </c>
      <c r="J818" t="inlineStr">
        <is>
          <t>N/A</t>
        </is>
      </c>
      <c r="K818" t="inlineStr">
        <is>
          <t>7996 M G Tree Surgery Ltd 1</t>
        </is>
      </c>
      <c r="L818" t="inlineStr">
        <is>
          <t>10/07/2025 08:10</t>
        </is>
      </c>
      <c r="M818" t="inlineStr">
        <is>
          <t>None</t>
        </is>
      </c>
      <c r="N818" t="inlineStr">
        <is>
          <t>&lt;p&gt;&lt;/p&gt;</t>
        </is>
      </c>
      <c r="O818" t="inlineStr"/>
      <c r="P818" t="inlineStr">
        <is>
          <t>PE07 HGL , Vehicle , Mitsubishi , L200 K74</t>
        </is>
      </c>
      <c r="Q818" t="inlineStr">
        <is>
          <t>UKPN</t>
        </is>
      </c>
      <c r="R818" t="b">
        <v>0</v>
      </c>
    </row>
    <row r="819">
      <c r="A819" t="inlineStr">
        <is>
          <t>10 Jul 2025 / 7806 Optimum Tree Services Ltd</t>
        </is>
      </c>
      <c r="B819" t="inlineStr">
        <is>
          <t>Utilities &amp; Inland Waterways</t>
        </is>
      </c>
      <c r="C819" t="inlineStr">
        <is>
          <t>UKPN</t>
        </is>
      </c>
      <c r="D819" t="inlineStr">
        <is>
          <t>Tipper - Ford - Transit - NA10SYZ</t>
        </is>
      </c>
      <c r="E819" t="inlineStr">
        <is>
          <t>Tipper - Ford - Transit - NA10SYZ</t>
        </is>
      </c>
      <c r="F819" t="inlineStr">
        <is>
          <t>Tipper - Ford - Transit - NA10SYZ</t>
        </is>
      </c>
      <c r="G819" t="inlineStr">
        <is>
          <t xml:space="preserve">Abraham Davies </t>
        </is>
      </c>
      <c r="H819" t="inlineStr">
        <is>
          <t>Tipper</t>
        </is>
      </c>
      <c r="I819" t="inlineStr">
        <is>
          <t>Daily/ Weekly Vehicle Inspection</t>
        </is>
      </c>
      <c r="J819" t="inlineStr">
        <is>
          <t>N/A</t>
        </is>
      </c>
      <c r="K819" t="inlineStr">
        <is>
          <t>7806 Optimum Tree Services Ltd</t>
        </is>
      </c>
      <c r="L819" t="inlineStr">
        <is>
          <t>10/07/2025 08:11</t>
        </is>
      </c>
      <c r="M819" t="inlineStr">
        <is>
          <t>None</t>
        </is>
      </c>
      <c r="N819" t="inlineStr">
        <is>
          <t>&lt;p&gt;&lt;/p&gt;</t>
        </is>
      </c>
      <c r="O819" t="inlineStr"/>
      <c r="P819" t="inlineStr">
        <is>
          <t>Tipper - Ford - Transit - NA10SYZ</t>
        </is>
      </c>
      <c r="Q819" t="inlineStr">
        <is>
          <t>UKPN</t>
        </is>
      </c>
      <c r="R819" t="b">
        <v>0</v>
      </c>
    </row>
    <row r="820">
      <c r="A820" t="inlineStr">
        <is>
          <t>10 Jul 2025 / 7996 M G Tree Surgery Ltd</t>
        </is>
      </c>
      <c r="B820" t="inlineStr">
        <is>
          <t>Utilities &amp; Inland Waterways</t>
        </is>
      </c>
      <c r="C820" t="inlineStr">
        <is>
          <t>UKPN</t>
        </is>
      </c>
      <c r="D820" t="inlineStr">
        <is>
          <t>GU13 WNL , MEWP , Land Rover , Defender 130</t>
        </is>
      </c>
      <c r="E820" t="inlineStr">
        <is>
          <t>GU13 WNL , MEWP , Land Rover , Defender 130</t>
        </is>
      </c>
      <c r="F820" t="inlineStr">
        <is>
          <t>GU13 WNL , MEWP , Land Rover , Defender 130</t>
        </is>
      </c>
      <c r="G820" t="inlineStr">
        <is>
          <t xml:space="preserve">Max gaylor </t>
        </is>
      </c>
      <c r="H820" t="inlineStr">
        <is>
          <t>4x4</t>
        </is>
      </c>
      <c r="I820" t="inlineStr">
        <is>
          <t>Daily/ Weekly Vehicle Inspection</t>
        </is>
      </c>
      <c r="J820" t="inlineStr">
        <is>
          <t>N/A</t>
        </is>
      </c>
      <c r="K820" t="inlineStr">
        <is>
          <t>7996 M G Tree Surgery Ltd</t>
        </is>
      </c>
      <c r="L820" t="inlineStr">
        <is>
          <t>10/07/2025 08:12</t>
        </is>
      </c>
      <c r="M820" t="inlineStr">
        <is>
          <t>None</t>
        </is>
      </c>
      <c r="N820" t="inlineStr">
        <is>
          <t>&lt;p&gt;&lt;/p&gt;</t>
        </is>
      </c>
      <c r="O820" t="inlineStr"/>
      <c r="P820" t="inlineStr">
        <is>
          <t>GU13 WNL , MEWP , Land Rover , Defender 130</t>
        </is>
      </c>
      <c r="Q820" t="inlineStr">
        <is>
          <t>UKPN</t>
        </is>
      </c>
      <c r="R820" t="b">
        <v>0</v>
      </c>
    </row>
    <row r="821">
      <c r="A821" t="inlineStr">
        <is>
          <t>10 Jul 2025 / 7806 Optimum Tree Services Ltd</t>
        </is>
      </c>
      <c r="B821" t="inlineStr">
        <is>
          <t>Utilities &amp; Inland Waterways</t>
        </is>
      </c>
      <c r="C821" t="inlineStr">
        <is>
          <t>UKPN</t>
        </is>
      </c>
      <c r="D821" t="inlineStr">
        <is>
          <t>SA9ST800000283069 , Chipper , Forst , ST 6P</t>
        </is>
      </c>
      <c r="E821" t="inlineStr">
        <is>
          <t>SA9ST800000283069 , Chipper , Forst , ST 6P</t>
        </is>
      </c>
      <c r="F821" t="inlineStr">
        <is>
          <t>SA9ST800000283069 , Chipper , Forst , ST 6P</t>
        </is>
      </c>
      <c r="G821" t="inlineStr">
        <is>
          <t xml:space="preserve">Abraham Davies </t>
        </is>
      </c>
      <c r="H821" t="inlineStr">
        <is>
          <t>Towed Chipper</t>
        </is>
      </c>
      <c r="I821" t="inlineStr">
        <is>
          <t>Daily/ Weekly Vehicle Inspection</t>
        </is>
      </c>
      <c r="J821" t="inlineStr">
        <is>
          <t>N/A</t>
        </is>
      </c>
      <c r="K821" t="inlineStr">
        <is>
          <t>7806 Optimum Tree Services Ltd</t>
        </is>
      </c>
      <c r="L821" t="inlineStr">
        <is>
          <t>10/07/2025 08:12</t>
        </is>
      </c>
      <c r="M821" t="inlineStr">
        <is>
          <t>None</t>
        </is>
      </c>
      <c r="N821" t="inlineStr">
        <is>
          <t>&lt;p&gt;&lt;/p&gt;</t>
        </is>
      </c>
      <c r="O821" t="inlineStr"/>
      <c r="P821" t="inlineStr">
        <is>
          <t>SA9ST800000283069 , Chipper , Forst , ST 6P</t>
        </is>
      </c>
      <c r="Q821" t="inlineStr">
        <is>
          <t>UKPN</t>
        </is>
      </c>
      <c r="R821" t="b">
        <v>0</v>
      </c>
    </row>
    <row r="822">
      <c r="A822" t="inlineStr">
        <is>
          <t>10 Jul 2025 / 7806 Optimum Tree Services Ltd</t>
        </is>
      </c>
      <c r="B822" t="inlineStr">
        <is>
          <t>Utilities &amp; Inland Waterways</t>
        </is>
      </c>
      <c r="C822" t="inlineStr">
        <is>
          <t>UKPN</t>
        </is>
      </c>
      <c r="D822" t="inlineStr">
        <is>
          <t>WD14EVB , MEWP , Land Rover , Defender</t>
        </is>
      </c>
      <c r="E822" t="inlineStr">
        <is>
          <t>WD14EVB , MEWP , Land Rover , Defender</t>
        </is>
      </c>
      <c r="F822" t="inlineStr">
        <is>
          <t>WD14EVB , MEWP , Land Rover , Defender</t>
        </is>
      </c>
      <c r="G822" t="inlineStr">
        <is>
          <t xml:space="preserve">Abraham Davies </t>
        </is>
      </c>
      <c r="H822" t="inlineStr">
        <is>
          <t>4x4</t>
        </is>
      </c>
      <c r="I822" t="inlineStr">
        <is>
          <t>Daily/ Weekly Vehicle Inspection</t>
        </is>
      </c>
      <c r="J822" t="inlineStr">
        <is>
          <t>N/A</t>
        </is>
      </c>
      <c r="K822" t="inlineStr">
        <is>
          <t>7806 Optimum Tree Services Ltd</t>
        </is>
      </c>
      <c r="L822" t="inlineStr">
        <is>
          <t>10/07/2025 08:13</t>
        </is>
      </c>
      <c r="M822" t="inlineStr">
        <is>
          <t>None</t>
        </is>
      </c>
      <c r="N822" t="inlineStr">
        <is>
          <t>&lt;p&gt;&lt;/p&gt;</t>
        </is>
      </c>
      <c r="O822" t="inlineStr"/>
      <c r="P822" t="inlineStr">
        <is>
          <t>WD14EVB , MEWP , Land Rover , Defender</t>
        </is>
      </c>
      <c r="Q822" t="inlineStr">
        <is>
          <t>UKPN</t>
        </is>
      </c>
      <c r="R822" t="b">
        <v>0</v>
      </c>
    </row>
    <row r="823">
      <c r="A823" t="inlineStr">
        <is>
          <t>10 Jul 2025 / 7186 Eastwoodbury Tree Services Ltd</t>
        </is>
      </c>
      <c r="B823" t="inlineStr">
        <is>
          <t>Utilities &amp; Inland Waterways</t>
        </is>
      </c>
      <c r="C823" t="inlineStr">
        <is>
          <t>UKPN</t>
        </is>
      </c>
      <c r="D823" t="inlineStr">
        <is>
          <t>FN600XM , 4x4 , Land Rover  , Defender</t>
        </is>
      </c>
      <c r="E823" t="inlineStr">
        <is>
          <t>FN600XM , 4x4 , Land Rover  , Defender</t>
        </is>
      </c>
      <c r="F823" t="inlineStr">
        <is>
          <t>FN600XM , 4x4 , Land Rover  , Defender</t>
        </is>
      </c>
      <c r="G823" t="inlineStr">
        <is>
          <t xml:space="preserve">Jay Denkmayer </t>
        </is>
      </c>
      <c r="H823" t="inlineStr">
        <is>
          <t>4x4</t>
        </is>
      </c>
      <c r="I823" t="inlineStr">
        <is>
          <t>Daily/ Weekly Vehicle Inspection</t>
        </is>
      </c>
      <c r="J823" t="inlineStr">
        <is>
          <t>N/A</t>
        </is>
      </c>
      <c r="K823" t="inlineStr">
        <is>
          <t>7186 Eastwoodbury Tree Services Ltd</t>
        </is>
      </c>
      <c r="L823" t="inlineStr">
        <is>
          <t>10/07/2025 08:14</t>
        </is>
      </c>
      <c r="M823" t="inlineStr">
        <is>
          <t>None</t>
        </is>
      </c>
      <c r="N823" t="inlineStr">
        <is>
          <t>&lt;p&gt;&lt;/p&gt;</t>
        </is>
      </c>
      <c r="O823" t="inlineStr"/>
      <c r="P823" t="inlineStr">
        <is>
          <t>FN600XM , 4x4 , Land Rover  , Defender</t>
        </is>
      </c>
      <c r="Q823" t="inlineStr">
        <is>
          <t>UKPN</t>
        </is>
      </c>
      <c r="R823" t="b">
        <v>0</v>
      </c>
    </row>
    <row r="824">
      <c r="A824" t="inlineStr">
        <is>
          <t>10 Jul 2025 / 6617 Ashdown Tree Limited</t>
        </is>
      </c>
      <c r="B824" t="inlineStr">
        <is>
          <t>Utilities &amp; Inland Waterways</t>
        </is>
      </c>
      <c r="C824" t="inlineStr">
        <is>
          <t>UKPN</t>
        </is>
      </c>
      <c r="D824" t="inlineStr">
        <is>
          <t>TR55TUB , 4x4 , Land rover  , Defender mewp</t>
        </is>
      </c>
      <c r="E824" t="inlineStr">
        <is>
          <t>TR55TUB , 4x4 , Land rover  , Defender mewp</t>
        </is>
      </c>
      <c r="F824" t="inlineStr">
        <is>
          <t>TR55TUB , 4x4 , Land rover  , Defender mewp</t>
        </is>
      </c>
      <c r="G824" t="inlineStr">
        <is>
          <t xml:space="preserve">Ashley </t>
        </is>
      </c>
      <c r="H824" t="inlineStr">
        <is>
          <t>4x4</t>
        </is>
      </c>
      <c r="I824" t="inlineStr">
        <is>
          <t>Daily/ Weekly Vehicle Inspection</t>
        </is>
      </c>
      <c r="J824" t="inlineStr">
        <is>
          <t>N/A</t>
        </is>
      </c>
      <c r="K824" t="inlineStr">
        <is>
          <t>6617 Ashdown Tree Limited</t>
        </is>
      </c>
      <c r="L824" t="inlineStr">
        <is>
          <t>10/07/2025 09:10</t>
        </is>
      </c>
      <c r="M824" t="inlineStr">
        <is>
          <t>None</t>
        </is>
      </c>
      <c r="N824" t="inlineStr">
        <is>
          <t>&lt;p&gt;&lt;/p&gt;</t>
        </is>
      </c>
      <c r="O824" t="inlineStr"/>
      <c r="P824" t="inlineStr">
        <is>
          <t>TR55TUB , 4x4 , Land rover  , Defender mewp</t>
        </is>
      </c>
      <c r="Q824" t="inlineStr">
        <is>
          <t>UKPN</t>
        </is>
      </c>
      <c r="R824" t="b">
        <v>0</v>
      </c>
    </row>
    <row r="825">
      <c r="A825" t="inlineStr">
        <is>
          <t>10 Jul 2025 / 6557 DE UA SWales4</t>
        </is>
      </c>
      <c r="B825" t="inlineStr">
        <is>
          <t>Utilities &amp; Inland Waterways</t>
        </is>
      </c>
      <c r="C825" t="inlineStr">
        <is>
          <t>NGED</t>
        </is>
      </c>
      <c r="D825" t="inlineStr">
        <is>
          <t>EX15ZGL , Van , Ford , Transit Courier</t>
        </is>
      </c>
      <c r="E825" t="inlineStr">
        <is>
          <t>EX15ZGL , Van , Ford , Transit Courier</t>
        </is>
      </c>
      <c r="F825" t="inlineStr">
        <is>
          <t>EX15ZGL , Van , Ford , Transit Courier</t>
        </is>
      </c>
      <c r="G825" t="inlineStr">
        <is>
          <t xml:space="preserve">Lee Brown </t>
        </is>
      </c>
      <c r="H825" t="inlineStr">
        <is>
          <t>Van</t>
        </is>
      </c>
      <c r="I825" t="inlineStr">
        <is>
          <t>Daily/ Weekly Vehicle Inspection</t>
        </is>
      </c>
      <c r="J825" t="inlineStr">
        <is>
          <t>N/A</t>
        </is>
      </c>
      <c r="K825" t="inlineStr">
        <is>
          <t>6557 DE UA SWales4</t>
        </is>
      </c>
      <c r="L825" t="inlineStr">
        <is>
          <t>10/07/2025 09:11</t>
        </is>
      </c>
      <c r="M825" t="inlineStr">
        <is>
          <t>None</t>
        </is>
      </c>
      <c r="N825" t="inlineStr">
        <is>
          <t>&lt;p&gt;&lt;/p&gt;</t>
        </is>
      </c>
      <c r="O825" t="inlineStr"/>
      <c r="P825" t="inlineStr">
        <is>
          <t>EX15ZGL , Van , Ford , Transit Courier</t>
        </is>
      </c>
      <c r="Q825" t="inlineStr">
        <is>
          <t>NGED</t>
        </is>
      </c>
      <c r="R825" t="b">
        <v>0</v>
      </c>
    </row>
    <row r="826">
      <c r="A826" t="inlineStr">
        <is>
          <t>10 Jul 2025 / William Heneage</t>
        </is>
      </c>
      <c r="B826" t="inlineStr">
        <is>
          <t>Utilities &amp; Inland Waterways</t>
        </is>
      </c>
      <c r="C826" t="inlineStr">
        <is>
          <t>SSE</t>
        </is>
      </c>
      <c r="D826" t="inlineStr">
        <is>
          <t>YX24TWV , Car - Electric , Kia , E-Niro</t>
        </is>
      </c>
      <c r="E826" t="inlineStr">
        <is>
          <t>YX24TWV , Car - Electric , Kia , E-Niro</t>
        </is>
      </c>
      <c r="F826" t="inlineStr">
        <is>
          <t>YX24TWV , Car - Electric , Kia , E-Niro</t>
        </is>
      </c>
      <c r="G826" t="inlineStr">
        <is>
          <t>Will Heneage</t>
        </is>
      </c>
      <c r="H826" t="inlineStr">
        <is>
          <t>Car - Electric</t>
        </is>
      </c>
      <c r="I826" t="inlineStr">
        <is>
          <t>Daily/ Weekly Vehicle Inspection</t>
        </is>
      </c>
      <c r="J826" t="inlineStr">
        <is>
          <t>N/A</t>
        </is>
      </c>
      <c r="K826" t="inlineStr">
        <is>
          <t>William Heneage</t>
        </is>
      </c>
      <c r="L826" t="inlineStr">
        <is>
          <t>10/07/2025 11:08</t>
        </is>
      </c>
      <c r="M826" t="inlineStr">
        <is>
          <t>None</t>
        </is>
      </c>
      <c r="N826" t="inlineStr">
        <is>
          <t>&lt;p&gt;&lt;/p&gt;</t>
        </is>
      </c>
      <c r="O826" t="inlineStr"/>
      <c r="P826" t="inlineStr">
        <is>
          <t>YX24TWV , Car - Electric , Kia , E-Niro</t>
        </is>
      </c>
      <c r="Q826" t="inlineStr">
        <is>
          <t>SSE</t>
        </is>
      </c>
      <c r="R826" t="b">
        <v>0</v>
      </c>
    </row>
    <row r="827">
      <c r="A827" t="inlineStr">
        <is>
          <t>10 Jul 2025 / Thomas Simms</t>
        </is>
      </c>
      <c r="B827" t="inlineStr">
        <is>
          <t>Utilities &amp; Inland Waterways</t>
        </is>
      </c>
      <c r="C827" t="inlineStr">
        <is>
          <t>SSE</t>
        </is>
      </c>
      <c r="D827" t="inlineStr">
        <is>
          <t>EO73KUG , Car - Electric , Kia , Niro</t>
        </is>
      </c>
      <c r="E827" t="inlineStr">
        <is>
          <t>EO73KUG , Car - Electric , Kia , Niro</t>
        </is>
      </c>
      <c r="F827" t="inlineStr">
        <is>
          <t>EO73KUG , Car - Electric , Kia , Niro</t>
        </is>
      </c>
      <c r="G827" t="inlineStr">
        <is>
          <t xml:space="preserve">Thomas simms </t>
        </is>
      </c>
      <c r="H827" t="inlineStr">
        <is>
          <t>Car - Electric</t>
        </is>
      </c>
      <c r="I827" t="inlineStr">
        <is>
          <t>Daily/ Weekly Vehicle Inspection</t>
        </is>
      </c>
      <c r="J827" t="inlineStr">
        <is>
          <t>N/A</t>
        </is>
      </c>
      <c r="K827" t="inlineStr">
        <is>
          <t>Thomas Simms</t>
        </is>
      </c>
      <c r="L827" t="inlineStr">
        <is>
          <t>10/07/2025 11:09</t>
        </is>
      </c>
      <c r="M827" t="inlineStr">
        <is>
          <t>None</t>
        </is>
      </c>
      <c r="N827" t="inlineStr">
        <is>
          <t>&lt;p&gt;&lt;/p&gt;</t>
        </is>
      </c>
      <c r="O827" t="inlineStr"/>
      <c r="P827" t="inlineStr">
        <is>
          <t>EO73KUG , Car - Electric , Kia , Niro</t>
        </is>
      </c>
      <c r="Q827" t="inlineStr">
        <is>
          <t>SSE</t>
        </is>
      </c>
      <c r="R827" t="b">
        <v>0</v>
      </c>
    </row>
    <row r="828">
      <c r="A828" t="inlineStr">
        <is>
          <t>10 Jul 2025 / Joe Lemar</t>
        </is>
      </c>
      <c r="B828" t="inlineStr">
        <is>
          <t>Utilities &amp; Inland Waterways</t>
        </is>
      </c>
      <c r="C828" t="inlineStr">
        <is>
          <t>SSE</t>
        </is>
      </c>
      <c r="D828" t="inlineStr">
        <is>
          <t>EO66BDU , 4x4 , Toyota , Hilux</t>
        </is>
      </c>
      <c r="E828" t="inlineStr">
        <is>
          <t>EO66BDU , 4x4 , Toyota , Hilux</t>
        </is>
      </c>
      <c r="F828" t="inlineStr">
        <is>
          <t>EO66BDU , 4x4 , Toyota , Hilux</t>
        </is>
      </c>
      <c r="G828" t="inlineStr">
        <is>
          <t>Joe lemar</t>
        </is>
      </c>
      <c r="H828" t="inlineStr">
        <is>
          <t>4x4</t>
        </is>
      </c>
      <c r="I828" t="inlineStr">
        <is>
          <t>Daily/ Weekly Vehicle Inspection</t>
        </is>
      </c>
      <c r="J828" t="inlineStr">
        <is>
          <t>N/A</t>
        </is>
      </c>
      <c r="K828" t="inlineStr">
        <is>
          <t>Joe Lemar</t>
        </is>
      </c>
      <c r="L828" t="inlineStr">
        <is>
          <t>10/07/2025 11:09</t>
        </is>
      </c>
      <c r="M828" t="inlineStr">
        <is>
          <t>None</t>
        </is>
      </c>
      <c r="N828" t="inlineStr">
        <is>
          <t>&lt;p&gt;&lt;/p&gt;</t>
        </is>
      </c>
      <c r="O828" t="inlineStr"/>
      <c r="P828" t="inlineStr">
        <is>
          <t>EO66BDU , 4x4 , Toyota , Hilux</t>
        </is>
      </c>
      <c r="Q828" t="inlineStr">
        <is>
          <t>SSE</t>
        </is>
      </c>
      <c r="R828" t="b">
        <v>0</v>
      </c>
    </row>
    <row r="829">
      <c r="A829" t="inlineStr">
        <is>
          <t>10 Jul 2025 / Jack Everiss</t>
        </is>
      </c>
      <c r="B829" t="inlineStr">
        <is>
          <t>Utilities &amp; Inland Waterways</t>
        </is>
      </c>
      <c r="C829" t="inlineStr">
        <is>
          <t>SSE</t>
        </is>
      </c>
      <c r="D829" t="inlineStr">
        <is>
          <t>YX24TXD , Car - Electric , Kia , E-Niro</t>
        </is>
      </c>
      <c r="E829" t="inlineStr">
        <is>
          <t>YX24TXD , Car - Electric , Kia , E-Niro</t>
        </is>
      </c>
      <c r="F829" t="inlineStr">
        <is>
          <t>YX24TXD , Car - Electric , Kia , E-Niro</t>
        </is>
      </c>
      <c r="G829" t="inlineStr">
        <is>
          <t>Jack Everiss</t>
        </is>
      </c>
      <c r="H829" t="inlineStr">
        <is>
          <t>Car - Electric</t>
        </is>
      </c>
      <c r="I829" t="inlineStr">
        <is>
          <t>Daily/ Weekly Vehicle Inspection</t>
        </is>
      </c>
      <c r="J829" t="inlineStr">
        <is>
          <t>N/A</t>
        </is>
      </c>
      <c r="K829" t="inlineStr">
        <is>
          <t>Jack Everiss</t>
        </is>
      </c>
      <c r="L829" t="inlineStr">
        <is>
          <t>10/07/2025 11:10</t>
        </is>
      </c>
      <c r="M829" t="inlineStr">
        <is>
          <t>None</t>
        </is>
      </c>
      <c r="N829" t="inlineStr">
        <is>
          <t>&lt;p&gt;&lt;/p&gt;</t>
        </is>
      </c>
      <c r="O829" t="inlineStr"/>
      <c r="P829" t="inlineStr">
        <is>
          <t>YX24TXD , Car - Electric , Kia , E-Niro</t>
        </is>
      </c>
      <c r="Q829" t="inlineStr">
        <is>
          <t>SSE</t>
        </is>
      </c>
      <c r="R829" t="b">
        <v>0</v>
      </c>
    </row>
    <row r="830">
      <c r="A830" t="inlineStr">
        <is>
          <t>10 Jul 2025 / John Herasimtschuk</t>
        </is>
      </c>
      <c r="B830" t="inlineStr">
        <is>
          <t>Utilities &amp; Inland Waterways</t>
        </is>
      </c>
      <c r="C830" t="inlineStr">
        <is>
          <t>SSE</t>
        </is>
      </c>
      <c r="D830" t="inlineStr">
        <is>
          <t>EA66 DJD , Car - Diesel , Ford  , Focus</t>
        </is>
      </c>
      <c r="E830" t="inlineStr">
        <is>
          <t>EA66 DJD , Car - Diesel , Ford  , Focus</t>
        </is>
      </c>
      <c r="F830" t="inlineStr">
        <is>
          <t>EA66 DJD , Car - Diesel , Ford  , Focus</t>
        </is>
      </c>
      <c r="G830" t="inlineStr">
        <is>
          <t xml:space="preserve">John Herasimtschuk </t>
        </is>
      </c>
      <c r="H830" t="inlineStr">
        <is>
          <t>Car - Diesel</t>
        </is>
      </c>
      <c r="I830" t="inlineStr">
        <is>
          <t>Monthly Vehicle Inspection</t>
        </is>
      </c>
      <c r="J830" t="inlineStr">
        <is>
          <t>171025</t>
        </is>
      </c>
      <c r="K830" t="inlineStr">
        <is>
          <t>John Herasimtschuk</t>
        </is>
      </c>
      <c r="L830" t="inlineStr">
        <is>
          <t>10/07/2025 12:10</t>
        </is>
      </c>
      <c r="M830" t="inlineStr">
        <is>
          <t>None</t>
        </is>
      </c>
      <c r="N830" t="inlineStr">
        <is>
          <t>&lt;p&gt;&lt;/p&gt;</t>
        </is>
      </c>
      <c r="O830" t="inlineStr"/>
      <c r="P830" t="inlineStr">
        <is>
          <t>EA66 DJD , Car - Diesel , Ford  , Focus</t>
        </is>
      </c>
      <c r="Q830" t="inlineStr">
        <is>
          <t>SSE</t>
        </is>
      </c>
      <c r="R830" t="b">
        <v>0</v>
      </c>
    </row>
    <row r="831">
      <c r="A831" t="inlineStr">
        <is>
          <t>10 Jul 2025 / Andrew Carr</t>
        </is>
      </c>
      <c r="B831" t="inlineStr">
        <is>
          <t>Utilities &amp; Inland Waterways</t>
        </is>
      </c>
      <c r="C831" t="inlineStr">
        <is>
          <t>SSE</t>
        </is>
      </c>
      <c r="D831" t="inlineStr">
        <is>
          <t>YD23LJA , Car - Petrol , Skoda  , Kamiq</t>
        </is>
      </c>
      <c r="E831" t="inlineStr">
        <is>
          <t>YD23LJA , Car - Petrol , Skoda  , Kamiq</t>
        </is>
      </c>
      <c r="F831" t="inlineStr">
        <is>
          <t>YD23LJA , Car - Petrol , Skoda  , Kamiq</t>
        </is>
      </c>
      <c r="G831" t="inlineStr">
        <is>
          <t xml:space="preserve">Andrew Carr </t>
        </is>
      </c>
      <c r="H831" t="inlineStr">
        <is>
          <t>Car - Petrol</t>
        </is>
      </c>
      <c r="I831" t="inlineStr">
        <is>
          <t>Daily/ Weekly Vehicle Inspection</t>
        </is>
      </c>
      <c r="J831" t="inlineStr">
        <is>
          <t>N/A</t>
        </is>
      </c>
      <c r="K831" t="inlineStr">
        <is>
          <t>Andrew Carr</t>
        </is>
      </c>
      <c r="L831" t="inlineStr">
        <is>
          <t>10/07/2025 12:11</t>
        </is>
      </c>
      <c r="M831" t="inlineStr">
        <is>
          <t>None</t>
        </is>
      </c>
      <c r="N831" t="inlineStr">
        <is>
          <t>&lt;p&gt;&lt;/p&gt;</t>
        </is>
      </c>
      <c r="O831" t="inlineStr"/>
      <c r="P831" t="inlineStr">
        <is>
          <t>YD23LJA , Car - Petrol , Skoda  , Kamiq</t>
        </is>
      </c>
      <c r="Q831" t="inlineStr">
        <is>
          <t>SSE</t>
        </is>
      </c>
      <c r="R831" t="b">
        <v>0</v>
      </c>
    </row>
    <row r="832">
      <c r="A832" t="inlineStr">
        <is>
          <t>10 Jul 2025 / Harry Bellis</t>
        </is>
      </c>
      <c r="B832" t="inlineStr">
        <is>
          <t>Utilities &amp; Inland Waterways</t>
        </is>
      </c>
      <c r="C832" t="inlineStr">
        <is>
          <t>SSE</t>
        </is>
      </c>
      <c r="D832" t="inlineStr"/>
      <c r="E832" t="inlineStr"/>
      <c r="F832" t="inlineStr"/>
      <c r="G832" t="inlineStr"/>
      <c r="H832" t="inlineStr"/>
      <c r="I832" t="inlineStr">
        <is>
          <t>Add to Vehicle to the GC Vehicle List</t>
        </is>
      </c>
      <c r="J832" t="inlineStr">
        <is>
          <t>N/A</t>
        </is>
      </c>
      <c r="K832" t="inlineStr">
        <is>
          <t>Harry Bellis</t>
        </is>
      </c>
      <c r="L832" t="inlineStr">
        <is>
          <t>10/07/2025 12:11</t>
        </is>
      </c>
      <c r="M832" t="inlineStr">
        <is>
          <t>None</t>
        </is>
      </c>
      <c r="N832" t="inlineStr">
        <is>
          <t>&lt;p&gt;&lt;/p&gt;</t>
        </is>
      </c>
      <c r="O832" t="inlineStr"/>
      <c r="P832" t="inlineStr"/>
      <c r="Q832" t="inlineStr">
        <is>
          <t>SSE</t>
        </is>
      </c>
      <c r="R832" t="b">
        <v>0</v>
      </c>
    </row>
    <row r="833">
      <c r="A833" t="inlineStr">
        <is>
          <t>10 Jul 2025 / Mathew Dunn</t>
        </is>
      </c>
      <c r="B833" t="inlineStr">
        <is>
          <t>Utilities &amp; Inland Waterways</t>
        </is>
      </c>
      <c r="C833" t="inlineStr">
        <is>
          <t>SSE</t>
        </is>
      </c>
      <c r="D833" t="inlineStr">
        <is>
          <t>Car - Petrol - Vauxhall  - Mokka - Ds23 pkf</t>
        </is>
      </c>
      <c r="E833" t="inlineStr">
        <is>
          <t>Car - Petrol - Vauxhall  - Mokka - Ds23 pkf</t>
        </is>
      </c>
      <c r="F833" t="inlineStr">
        <is>
          <t>Car - Petrol - Vauxhall  - Mokka - Ds23 pkf</t>
        </is>
      </c>
      <c r="G833" t="inlineStr">
        <is>
          <t>Mathew dunn</t>
        </is>
      </c>
      <c r="H833" t="inlineStr">
        <is>
          <t>Car - Petrol</t>
        </is>
      </c>
      <c r="I833" t="inlineStr">
        <is>
          <t>Monthly Vehicle Inspection</t>
        </is>
      </c>
      <c r="J833" t="inlineStr">
        <is>
          <t>26973</t>
        </is>
      </c>
      <c r="K833" t="inlineStr">
        <is>
          <t>Mathew Dunn</t>
        </is>
      </c>
      <c r="L833" t="inlineStr">
        <is>
          <t>10/07/2025 12:13</t>
        </is>
      </c>
      <c r="M833" t="inlineStr">
        <is>
          <t>None</t>
        </is>
      </c>
      <c r="N833" t="inlineStr">
        <is>
          <t>&lt;p&gt;&lt;/p&gt;</t>
        </is>
      </c>
      <c r="O833" t="inlineStr"/>
      <c r="P833" t="inlineStr">
        <is>
          <t>Car - Petrol - Vauxhall  - Mokka - Ds23 pkf</t>
        </is>
      </c>
      <c r="Q833" t="inlineStr">
        <is>
          <t>SSE</t>
        </is>
      </c>
      <c r="R833" t="b">
        <v>0</v>
      </c>
    </row>
    <row r="834">
      <c r="A834" t="inlineStr">
        <is>
          <t>10 Jul 2025 / Paul Chubb</t>
        </is>
      </c>
      <c r="B834" t="inlineStr">
        <is>
          <t>Utilities &amp; Inland Waterways</t>
        </is>
      </c>
      <c r="C834" t="inlineStr">
        <is>
          <t>SSE</t>
        </is>
      </c>
      <c r="D834" t="inlineStr"/>
      <c r="E834" t="inlineStr"/>
      <c r="F834" t="inlineStr"/>
      <c r="G834" t="inlineStr"/>
      <c r="H834" t="inlineStr"/>
      <c r="I834" t="inlineStr">
        <is>
          <t>Add to Vehicle to the GC Vehicle List</t>
        </is>
      </c>
      <c r="J834" t="inlineStr">
        <is>
          <t>N/A</t>
        </is>
      </c>
      <c r="K834" t="inlineStr">
        <is>
          <t>Paul Chubb</t>
        </is>
      </c>
      <c r="L834" t="inlineStr">
        <is>
          <t>10/07/2025 12:14</t>
        </is>
      </c>
      <c r="M834" t="inlineStr">
        <is>
          <t>None</t>
        </is>
      </c>
      <c r="N834" t="inlineStr">
        <is>
          <t>&lt;p&gt;&lt;/p&gt;</t>
        </is>
      </c>
      <c r="O834" t="inlineStr"/>
      <c r="P834" t="inlineStr"/>
      <c r="Q834" t="inlineStr">
        <is>
          <t>SSE</t>
        </is>
      </c>
      <c r="R834" t="b">
        <v>0</v>
      </c>
    </row>
    <row r="835">
      <c r="A835" t="inlineStr">
        <is>
          <t>10 Jul 2025 / Lyndon Taylor</t>
        </is>
      </c>
      <c r="B835" t="inlineStr">
        <is>
          <t>Utilities &amp; Inland Waterways</t>
        </is>
      </c>
      <c r="C835" t="inlineStr">
        <is>
          <t>SSE</t>
        </is>
      </c>
      <c r="D835" t="inlineStr">
        <is>
          <t>YW73CWV , Car - Electric , Kia , E-Niro</t>
        </is>
      </c>
      <c r="E835" t="inlineStr">
        <is>
          <t>YW73CWV , Car - Electric , Kia , E-Niro</t>
        </is>
      </c>
      <c r="F835" t="inlineStr">
        <is>
          <t>YW73CWV , Car - Electric , Kia , E-Niro</t>
        </is>
      </c>
      <c r="G835" t="inlineStr">
        <is>
          <t xml:space="preserve">Lyndon Taylor </t>
        </is>
      </c>
      <c r="H835" t="inlineStr">
        <is>
          <t>Car - Electric</t>
        </is>
      </c>
      <c r="I835" t="inlineStr">
        <is>
          <t>Daily/ Weekly Vehicle Inspection</t>
        </is>
      </c>
      <c r="J835" t="inlineStr">
        <is>
          <t>N/A</t>
        </is>
      </c>
      <c r="K835" t="inlineStr">
        <is>
          <t>Lyndon Taylor</t>
        </is>
      </c>
      <c r="L835" t="inlineStr">
        <is>
          <t>10/07/2025 12:14</t>
        </is>
      </c>
      <c r="M835" t="inlineStr">
        <is>
          <t>None</t>
        </is>
      </c>
      <c r="N835" t="inlineStr">
        <is>
          <t>&lt;p&gt;&lt;/p&gt;</t>
        </is>
      </c>
      <c r="O835" t="inlineStr"/>
      <c r="P835" t="inlineStr">
        <is>
          <t>YW73CWV , Car - Electric , Kia , E-Niro</t>
        </is>
      </c>
      <c r="Q835" t="inlineStr">
        <is>
          <t>SSE</t>
        </is>
      </c>
      <c r="R835" t="b">
        <v>0</v>
      </c>
    </row>
    <row r="836">
      <c r="A836" t="inlineStr">
        <is>
          <t>10 Jul 2025 / Ashley Taylor</t>
        </is>
      </c>
      <c r="B836" t="inlineStr">
        <is>
          <t>Utilities &amp; Inland Waterways</t>
        </is>
      </c>
      <c r="C836" t="inlineStr">
        <is>
          <t>SSE</t>
        </is>
      </c>
      <c r="D836" t="inlineStr">
        <is>
          <t>AF22XLX , Car - Electric , Tesla , Model 3 Long Range AWD</t>
        </is>
      </c>
      <c r="E836" t="inlineStr">
        <is>
          <t>AF22XLX , Car - Electric , Tesla , Model 3 Long Range AWD</t>
        </is>
      </c>
      <c r="F836" t="inlineStr">
        <is>
          <t>AF22XLX , Car - Electric , Tesla , Model 3 Long Range AWD</t>
        </is>
      </c>
      <c r="G836" t="inlineStr">
        <is>
          <t>Ashley</t>
        </is>
      </c>
      <c r="H836" t="inlineStr">
        <is>
          <t>Car - Electric</t>
        </is>
      </c>
      <c r="I836" t="inlineStr">
        <is>
          <t>Daily/ Weekly Vehicle Inspection</t>
        </is>
      </c>
      <c r="J836" t="inlineStr">
        <is>
          <t>N/A</t>
        </is>
      </c>
      <c r="K836" t="inlineStr">
        <is>
          <t>Ashley Taylor</t>
        </is>
      </c>
      <c r="L836" t="inlineStr">
        <is>
          <t>10/07/2025 12:15</t>
        </is>
      </c>
      <c r="M836" t="inlineStr">
        <is>
          <t>None</t>
        </is>
      </c>
      <c r="N836" t="inlineStr">
        <is>
          <t>&lt;p&gt;&lt;/p&gt;</t>
        </is>
      </c>
      <c r="O836" t="inlineStr"/>
      <c r="P836" t="inlineStr">
        <is>
          <t>AF22XLX , Car - Electric , Tesla , Model 3 Long Range AWD</t>
        </is>
      </c>
      <c r="Q836" t="inlineStr">
        <is>
          <t>SSE</t>
        </is>
      </c>
      <c r="R836" t="b">
        <v>0</v>
      </c>
    </row>
    <row r="837">
      <c r="A837" t="inlineStr">
        <is>
          <t>10 Jul 2025 / Mathew Dunn</t>
        </is>
      </c>
      <c r="B837" t="inlineStr">
        <is>
          <t>Utilities &amp; Inland Waterways</t>
        </is>
      </c>
      <c r="C837" t="inlineStr">
        <is>
          <t>SSE</t>
        </is>
      </c>
      <c r="D837" t="inlineStr"/>
      <c r="E837" t="inlineStr"/>
      <c r="F837" t="inlineStr"/>
      <c r="G837" t="inlineStr"/>
      <c r="H837" t="inlineStr"/>
      <c r="I837" t="inlineStr">
        <is>
          <t>Add to Vehicle to the GC Vehicle List</t>
        </is>
      </c>
      <c r="J837" t="inlineStr">
        <is>
          <t>N/A</t>
        </is>
      </c>
      <c r="K837" t="inlineStr">
        <is>
          <t>Mathew Dunn</t>
        </is>
      </c>
      <c r="L837" t="inlineStr">
        <is>
          <t>10/07/2025 12:16</t>
        </is>
      </c>
      <c r="M837" t="inlineStr">
        <is>
          <t>None</t>
        </is>
      </c>
      <c r="N837" t="inlineStr">
        <is>
          <t>&lt;p&gt;&lt;/p&gt;</t>
        </is>
      </c>
      <c r="O837" t="inlineStr"/>
      <c r="P837" t="inlineStr"/>
      <c r="Q837" t="inlineStr">
        <is>
          <t>SSE</t>
        </is>
      </c>
      <c r="R837" t="b">
        <v>0</v>
      </c>
    </row>
    <row r="838">
      <c r="A838" t="inlineStr">
        <is>
          <t>10 Jul 2025 / Harry Bellis</t>
        </is>
      </c>
      <c r="B838" t="inlineStr">
        <is>
          <t>Utilities &amp; Inland Waterways</t>
        </is>
      </c>
      <c r="C838" t="inlineStr">
        <is>
          <t>SSE</t>
        </is>
      </c>
      <c r="D838" t="inlineStr"/>
      <c r="E838" t="inlineStr"/>
      <c r="F838" t="inlineStr"/>
      <c r="G838" t="inlineStr"/>
      <c r="H838" t="inlineStr"/>
      <c r="I838" t="inlineStr">
        <is>
          <t>Add to Vehicle to the GC Vehicle List</t>
        </is>
      </c>
      <c r="J838" t="inlineStr">
        <is>
          <t>N/A</t>
        </is>
      </c>
      <c r="K838" t="inlineStr">
        <is>
          <t>Harry Bellis</t>
        </is>
      </c>
      <c r="L838" t="inlineStr">
        <is>
          <t>10/07/2025 12:17</t>
        </is>
      </c>
      <c r="M838" t="inlineStr">
        <is>
          <t>None</t>
        </is>
      </c>
      <c r="N838" t="inlineStr">
        <is>
          <t>&lt;p&gt;&lt;/p&gt;</t>
        </is>
      </c>
      <c r="O838" t="inlineStr"/>
      <c r="P838" t="inlineStr"/>
      <c r="Q838" t="inlineStr">
        <is>
          <t>SSE</t>
        </is>
      </c>
      <c r="R838" t="b">
        <v>0</v>
      </c>
    </row>
    <row r="839">
      <c r="A839" t="inlineStr">
        <is>
          <t>10 Jul 2025 / Joshua Stones</t>
        </is>
      </c>
      <c r="B839" t="inlineStr">
        <is>
          <t>Utilities &amp; Inland Waterways</t>
        </is>
      </c>
      <c r="C839" t="inlineStr">
        <is>
          <t>SSE</t>
        </is>
      </c>
      <c r="D839" t="inlineStr"/>
      <c r="E839" t="inlineStr"/>
      <c r="F839" t="inlineStr"/>
      <c r="G839" t="inlineStr"/>
      <c r="H839" t="inlineStr"/>
      <c r="I839" t="inlineStr">
        <is>
          <t>Add to Vehicle to the GC Vehicle List</t>
        </is>
      </c>
      <c r="J839" t="inlineStr">
        <is>
          <t>N/A</t>
        </is>
      </c>
      <c r="K839" t="inlineStr">
        <is>
          <t>Joshua Stones</t>
        </is>
      </c>
      <c r="L839" t="inlineStr">
        <is>
          <t>10/07/2025 12:18</t>
        </is>
      </c>
      <c r="M839" t="inlineStr">
        <is>
          <t>None</t>
        </is>
      </c>
      <c r="N839" t="inlineStr">
        <is>
          <t>&lt;p&gt;&lt;/p&gt;</t>
        </is>
      </c>
      <c r="O839" t="inlineStr"/>
      <c r="P839" t="inlineStr"/>
      <c r="Q839" t="inlineStr">
        <is>
          <t>SSE</t>
        </is>
      </c>
      <c r="R839" t="b">
        <v>0</v>
      </c>
    </row>
    <row r="840">
      <c r="A840" t="inlineStr">
        <is>
          <t>11 Jul 2025 / 7940 HRJ Tree Services LTD</t>
        </is>
      </c>
      <c r="B840" t="inlineStr">
        <is>
          <t>Utilities &amp; Inland Waterways</t>
        </is>
      </c>
      <c r="C840" t="inlineStr">
        <is>
          <t>UKPN</t>
        </is>
      </c>
      <c r="D840" t="inlineStr">
        <is>
          <t>283500 , Tow Chipper , Forst ,</t>
        </is>
      </c>
      <c r="E840" t="inlineStr">
        <is>
          <t>283500 , Tow Chipper , Forst ,</t>
        </is>
      </c>
      <c r="F840" t="inlineStr">
        <is>
          <t>283500 , Tow Chipper , Forst ,</t>
        </is>
      </c>
      <c r="G840" t="inlineStr">
        <is>
          <t>Harry Wilson</t>
        </is>
      </c>
      <c r="H840" t="inlineStr">
        <is>
          <t>Towed Chipper</t>
        </is>
      </c>
      <c r="I840" t="inlineStr">
        <is>
          <t>Daily/ Weekly Vehicle Inspection</t>
        </is>
      </c>
      <c r="J840" t="inlineStr">
        <is>
          <t>N/A</t>
        </is>
      </c>
      <c r="K840" t="inlineStr">
        <is>
          <t>7940 HRJ Tree Services LTD</t>
        </is>
      </c>
      <c r="L840" t="inlineStr">
        <is>
          <t>11/07/2025 07:09</t>
        </is>
      </c>
      <c r="M840" t="inlineStr">
        <is>
          <t>None</t>
        </is>
      </c>
      <c r="N840" t="inlineStr">
        <is>
          <t>&lt;p&gt;&lt;/p&gt;</t>
        </is>
      </c>
      <c r="O840" t="inlineStr"/>
      <c r="P840" t="inlineStr">
        <is>
          <t>283500 , Tow Chipper , Forst ,</t>
        </is>
      </c>
      <c r="Q840" t="inlineStr">
        <is>
          <t>UKPN</t>
        </is>
      </c>
      <c r="R840" t="b">
        <v>0</v>
      </c>
    </row>
    <row r="841">
      <c r="A841" t="inlineStr">
        <is>
          <t>11 Jul 2025 / 7940 HRJ Tree Services LTD</t>
        </is>
      </c>
      <c r="B841" t="inlineStr">
        <is>
          <t>Utilities &amp; Inland Waterways</t>
        </is>
      </c>
      <c r="C841" t="inlineStr">
        <is>
          <t>UKPN</t>
        </is>
      </c>
      <c r="D841" t="inlineStr">
        <is>
          <t>Kx65fcp , 4x4 , Izuzu d max  , D max</t>
        </is>
      </c>
      <c r="E841" t="inlineStr">
        <is>
          <t>Kx65fcp , 4x4 , Izuzu d max  , D max</t>
        </is>
      </c>
      <c r="F841" t="inlineStr">
        <is>
          <t>Kx65fcp , 4x4 , Izuzu d max  , D max</t>
        </is>
      </c>
      <c r="G841" t="inlineStr">
        <is>
          <t xml:space="preserve">Jack Buchan </t>
        </is>
      </c>
      <c r="H841" t="inlineStr">
        <is>
          <t>4x4</t>
        </is>
      </c>
      <c r="I841" t="inlineStr">
        <is>
          <t>Daily/ Weekly Vehicle Inspection</t>
        </is>
      </c>
      <c r="J841" t="inlineStr">
        <is>
          <t>N/A</t>
        </is>
      </c>
      <c r="K841" t="inlineStr">
        <is>
          <t>7940 HRJ Tree Services LTD</t>
        </is>
      </c>
      <c r="L841" t="inlineStr">
        <is>
          <t>11/07/2025 07:09</t>
        </is>
      </c>
      <c r="M841" t="inlineStr">
        <is>
          <t>None</t>
        </is>
      </c>
      <c r="N841" t="inlineStr">
        <is>
          <t>&lt;p&gt;&lt;/p&gt;</t>
        </is>
      </c>
      <c r="O841" t="inlineStr"/>
      <c r="P841" t="inlineStr">
        <is>
          <t>Kx65fcp , 4x4 , Izuzu d max  , D max</t>
        </is>
      </c>
      <c r="Q841" t="inlineStr">
        <is>
          <t>UKPN</t>
        </is>
      </c>
      <c r="R841" t="b">
        <v>0</v>
      </c>
    </row>
    <row r="842">
      <c r="A842" t="inlineStr">
        <is>
          <t>11 Jul 2025 / 7806 Optimum Tree Services Ltd</t>
        </is>
      </c>
      <c r="B842" t="inlineStr">
        <is>
          <t>Utilities &amp; Inland Waterways</t>
        </is>
      </c>
      <c r="C842" t="inlineStr">
        <is>
          <t>UKPN</t>
        </is>
      </c>
      <c r="D842" t="inlineStr">
        <is>
          <t>SA9ST800000283069 , Chipper , Forst , ST 6P</t>
        </is>
      </c>
      <c r="E842" t="inlineStr">
        <is>
          <t>SA9ST800000283069 , Chipper , Forst , ST 6P</t>
        </is>
      </c>
      <c r="F842" t="inlineStr">
        <is>
          <t>SA9ST800000283069 , Chipper , Forst , ST 6P</t>
        </is>
      </c>
      <c r="G842" t="inlineStr">
        <is>
          <t xml:space="preserve">Abraham Davies </t>
        </is>
      </c>
      <c r="H842" t="inlineStr">
        <is>
          <t>Towed Chipper</t>
        </is>
      </c>
      <c r="I842" t="inlineStr">
        <is>
          <t>Daily/ Weekly Vehicle Inspection</t>
        </is>
      </c>
      <c r="J842" t="inlineStr">
        <is>
          <t>N/A</t>
        </is>
      </c>
      <c r="K842" t="inlineStr">
        <is>
          <t>7806 Optimum Tree Services Ltd</t>
        </is>
      </c>
      <c r="L842" t="inlineStr">
        <is>
          <t>11/07/2025 08:11</t>
        </is>
      </c>
      <c r="M842" t="inlineStr">
        <is>
          <t>None</t>
        </is>
      </c>
      <c r="N842" t="inlineStr">
        <is>
          <t>&lt;p&gt;&lt;/p&gt;</t>
        </is>
      </c>
      <c r="O842" t="inlineStr"/>
      <c r="P842" t="inlineStr">
        <is>
          <t>SA9ST800000283069 , Chipper , Forst , ST 6P</t>
        </is>
      </c>
      <c r="Q842" t="inlineStr">
        <is>
          <t>UKPN</t>
        </is>
      </c>
      <c r="R842" t="b">
        <v>0</v>
      </c>
    </row>
    <row r="843">
      <c r="A843" t="inlineStr">
        <is>
          <t>11 Jul 2025 / Anthony Gale</t>
        </is>
      </c>
      <c r="B843" t="inlineStr">
        <is>
          <t>Utilities &amp; Inland Waterways</t>
        </is>
      </c>
      <c r="C843" t="inlineStr">
        <is>
          <t>UKPN</t>
        </is>
      </c>
      <c r="D843" t="inlineStr">
        <is>
          <t>PE07 HGL , Vehicle , Mitsubishi , L200 K74</t>
        </is>
      </c>
      <c r="E843" t="inlineStr">
        <is>
          <t>PE07 HGL , Vehicle , Mitsubishi , L200 K74</t>
        </is>
      </c>
      <c r="F843" t="inlineStr">
        <is>
          <t>PE07 HGL , Vehicle , Mitsubishi , L200 K74</t>
        </is>
      </c>
      <c r="G843" t="inlineStr">
        <is>
          <t>Anthony Gale</t>
        </is>
      </c>
      <c r="H843" t="inlineStr">
        <is>
          <t>Pickup Truck</t>
        </is>
      </c>
      <c r="I843" t="inlineStr">
        <is>
          <t>Daily/ Weekly Vehicle Inspection</t>
        </is>
      </c>
      <c r="J843" t="inlineStr">
        <is>
          <t>N/A</t>
        </is>
      </c>
      <c r="K843" t="inlineStr">
        <is>
          <t>7996 M G Tree Surgery Ltd 1</t>
        </is>
      </c>
      <c r="L843" t="inlineStr">
        <is>
          <t>11/07/2025 08:12</t>
        </is>
      </c>
      <c r="M843" t="inlineStr">
        <is>
          <t>None</t>
        </is>
      </c>
      <c r="N843" t="inlineStr">
        <is>
          <t>&lt;p&gt;&lt;/p&gt;</t>
        </is>
      </c>
      <c r="O843" t="inlineStr"/>
      <c r="P843" t="inlineStr">
        <is>
          <t>PE07 HGL , Vehicle , Mitsubishi , L200 K74</t>
        </is>
      </c>
      <c r="Q843" t="inlineStr">
        <is>
          <t>UKPN</t>
        </is>
      </c>
      <c r="R843" t="b">
        <v>0</v>
      </c>
    </row>
    <row r="844">
      <c r="A844" t="inlineStr">
        <is>
          <t>11 Jul 2025 / 7806 Optimum Tree Services Ltd</t>
        </is>
      </c>
      <c r="B844" t="inlineStr">
        <is>
          <t>Utilities &amp; Inland Waterways</t>
        </is>
      </c>
      <c r="C844" t="inlineStr">
        <is>
          <t>UKPN</t>
        </is>
      </c>
      <c r="D844" t="inlineStr">
        <is>
          <t>WD14EVB , MEWP , Land Rover , Defender</t>
        </is>
      </c>
      <c r="E844" t="inlineStr">
        <is>
          <t>WD14EVB , MEWP , Land Rover , Defender</t>
        </is>
      </c>
      <c r="F844" t="inlineStr">
        <is>
          <t>WD14EVB , MEWP , Land Rover , Defender</t>
        </is>
      </c>
      <c r="G844" t="inlineStr">
        <is>
          <t xml:space="preserve">Abraham Davies </t>
        </is>
      </c>
      <c r="H844" t="inlineStr">
        <is>
          <t>4x4</t>
        </is>
      </c>
      <c r="I844" t="inlineStr">
        <is>
          <t>Daily/ Weekly Vehicle Inspection</t>
        </is>
      </c>
      <c r="J844" t="inlineStr">
        <is>
          <t>N/A</t>
        </is>
      </c>
      <c r="K844" t="inlineStr">
        <is>
          <t>7806 Optimum Tree Services Ltd</t>
        </is>
      </c>
      <c r="L844" t="inlineStr">
        <is>
          <t>11/07/2025 08:13</t>
        </is>
      </c>
      <c r="M844" t="inlineStr">
        <is>
          <t>None</t>
        </is>
      </c>
      <c r="N844" t="inlineStr">
        <is>
          <t>&lt;p&gt;&lt;/p&gt;</t>
        </is>
      </c>
      <c r="O844" t="inlineStr"/>
      <c r="P844" t="inlineStr">
        <is>
          <t>WD14EVB , MEWP , Land Rover , Defender</t>
        </is>
      </c>
      <c r="Q844" t="inlineStr">
        <is>
          <t>UKPN</t>
        </is>
      </c>
      <c r="R844" t="b">
        <v>0</v>
      </c>
    </row>
    <row r="845">
      <c r="A845" t="inlineStr">
        <is>
          <t>11 Jul 2025 / 7996 M G Tree Surgery Ltd</t>
        </is>
      </c>
      <c r="B845" t="inlineStr">
        <is>
          <t>Utilities &amp; Inland Waterways</t>
        </is>
      </c>
      <c r="C845" t="inlineStr">
        <is>
          <t>UKPN</t>
        </is>
      </c>
      <c r="D845" t="inlineStr">
        <is>
          <t>GU13 WNL , MEWP , Land Rover , Defender 130</t>
        </is>
      </c>
      <c r="E845" t="inlineStr">
        <is>
          <t>GU13 WNL , MEWP , Land Rover , Defender 130</t>
        </is>
      </c>
      <c r="F845" t="inlineStr">
        <is>
          <t>GU13 WNL , MEWP , Land Rover , Defender 130</t>
        </is>
      </c>
      <c r="G845" t="inlineStr">
        <is>
          <t xml:space="preserve">Ax Gaylor </t>
        </is>
      </c>
      <c r="H845" t="inlineStr">
        <is>
          <t>4x4</t>
        </is>
      </c>
      <c r="I845" t="inlineStr">
        <is>
          <t>Daily/ Weekly Vehicle Inspection</t>
        </is>
      </c>
      <c r="J845" t="inlineStr">
        <is>
          <t>N/A</t>
        </is>
      </c>
      <c r="K845" t="inlineStr">
        <is>
          <t>7996 M G Tree Surgery Ltd</t>
        </is>
      </c>
      <c r="L845" t="inlineStr">
        <is>
          <t>11/07/2025 08:13</t>
        </is>
      </c>
      <c r="M845" t="inlineStr">
        <is>
          <t>None</t>
        </is>
      </c>
      <c r="N845" t="inlineStr">
        <is>
          <t>&lt;p&gt;&lt;/p&gt;</t>
        </is>
      </c>
      <c r="O845" t="inlineStr"/>
      <c r="P845" t="inlineStr">
        <is>
          <t>GU13 WNL , MEWP , Land Rover , Defender 130</t>
        </is>
      </c>
      <c r="Q845" t="inlineStr">
        <is>
          <t>UKPN</t>
        </is>
      </c>
      <c r="R845" t="b">
        <v>0</v>
      </c>
    </row>
    <row r="846">
      <c r="A846" t="inlineStr">
        <is>
          <t>11 Jul 2025 / 6617 Ashdown Tree Limited</t>
        </is>
      </c>
      <c r="B846" t="inlineStr">
        <is>
          <t>Utilities &amp; Inland Waterways</t>
        </is>
      </c>
      <c r="C846" t="inlineStr">
        <is>
          <t>UKPN</t>
        </is>
      </c>
      <c r="D846" t="inlineStr">
        <is>
          <t>TR55TUB , 4x4 , Land rover  , Defender mewp</t>
        </is>
      </c>
      <c r="E846" t="inlineStr">
        <is>
          <t>TR55TUB , 4x4 , Land rover  , Defender mewp</t>
        </is>
      </c>
      <c r="F846" t="inlineStr">
        <is>
          <t>TR55TUB , 4x4 , Land rover  , Defender mewp</t>
        </is>
      </c>
      <c r="G846" t="inlineStr">
        <is>
          <t>Ashley</t>
        </is>
      </c>
      <c r="H846" t="inlineStr">
        <is>
          <t>4x4</t>
        </is>
      </c>
      <c r="I846" t="inlineStr">
        <is>
          <t>Daily/ Weekly Vehicle Inspection</t>
        </is>
      </c>
      <c r="J846" t="inlineStr">
        <is>
          <t>N/A</t>
        </is>
      </c>
      <c r="K846" t="inlineStr">
        <is>
          <t>6617 Ashdown Tree Limited</t>
        </is>
      </c>
      <c r="L846" t="inlineStr">
        <is>
          <t>11/07/2025 08:14</t>
        </is>
      </c>
      <c r="M846" t="inlineStr">
        <is>
          <t>None</t>
        </is>
      </c>
      <c r="N846" t="inlineStr">
        <is>
          <t>&lt;p&gt;&lt;/p&gt;</t>
        </is>
      </c>
      <c r="O846" t="inlineStr"/>
      <c r="P846" t="inlineStr">
        <is>
          <t>TR55TUB , 4x4 , Land rover  , Defender mewp</t>
        </is>
      </c>
      <c r="Q846" t="inlineStr">
        <is>
          <t>UKPN</t>
        </is>
      </c>
      <c r="R846" t="b">
        <v>0</v>
      </c>
    </row>
    <row r="847">
      <c r="A847" t="inlineStr">
        <is>
          <t>11 Jul 2025 / 7940 HRJ Tree Services LTD</t>
        </is>
      </c>
      <c r="B847" t="inlineStr">
        <is>
          <t>Utilities &amp; Inland Waterways</t>
        </is>
      </c>
      <c r="C847" t="inlineStr">
        <is>
          <t>UKPN</t>
        </is>
      </c>
      <c r="D847" t="inlineStr">
        <is>
          <t>PK72 WOV , Tipper , Izuzu , Grafter</t>
        </is>
      </c>
      <c r="E847" t="inlineStr">
        <is>
          <t>PK72 WOV , Tipper , Izuzu , Grafter</t>
        </is>
      </c>
      <c r="F847" t="inlineStr">
        <is>
          <t>PK72 WOV , Tipper , Izuzu , Grafter</t>
        </is>
      </c>
      <c r="G847" t="inlineStr">
        <is>
          <t>Harry Wilson</t>
        </is>
      </c>
      <c r="H847" t="inlineStr">
        <is>
          <t>Tipper</t>
        </is>
      </c>
      <c r="I847" t="inlineStr">
        <is>
          <t>Daily/ Weekly Vehicle Inspection</t>
        </is>
      </c>
      <c r="J847" t="inlineStr">
        <is>
          <t>N/A</t>
        </is>
      </c>
      <c r="K847" t="inlineStr">
        <is>
          <t>7940 HRJ Tree Services LTD</t>
        </is>
      </c>
      <c r="L847" t="inlineStr">
        <is>
          <t>11/07/2025 08:14</t>
        </is>
      </c>
      <c r="M847" t="inlineStr">
        <is>
          <t>None</t>
        </is>
      </c>
      <c r="N847" t="inlineStr">
        <is>
          <t>&lt;p&gt;&lt;/p&gt;</t>
        </is>
      </c>
      <c r="O847" t="inlineStr"/>
      <c r="P847" t="inlineStr">
        <is>
          <t>PK72 WOV , Tipper , Izuzu , Grafter</t>
        </is>
      </c>
      <c r="Q847" t="inlineStr">
        <is>
          <t>UKPN</t>
        </is>
      </c>
      <c r="R847" t="b">
        <v>0</v>
      </c>
    </row>
    <row r="848">
      <c r="A848" t="inlineStr">
        <is>
          <t>11 Jul 2025 / 7940 HRJ Tree Services LTD</t>
        </is>
      </c>
      <c r="B848" t="inlineStr">
        <is>
          <t>Utilities &amp; Inland Waterways</t>
        </is>
      </c>
      <c r="C848" t="inlineStr">
        <is>
          <t>UKPN</t>
        </is>
      </c>
      <c r="D848" t="inlineStr"/>
      <c r="E848" t="inlineStr"/>
      <c r="F848" t="inlineStr"/>
      <c r="G848" t="inlineStr"/>
      <c r="H848" t="inlineStr"/>
      <c r="I848" t="inlineStr">
        <is>
          <t>Add to Vehicle to the GC Vehicle List</t>
        </is>
      </c>
      <c r="J848" t="inlineStr">
        <is>
          <t>N/A</t>
        </is>
      </c>
      <c r="K848" t="inlineStr">
        <is>
          <t>7940 HRJ Tree Services LTD</t>
        </is>
      </c>
      <c r="L848" t="inlineStr">
        <is>
          <t>11/07/2025 08:15</t>
        </is>
      </c>
      <c r="M848" t="inlineStr">
        <is>
          <t>None</t>
        </is>
      </c>
      <c r="N848" t="inlineStr">
        <is>
          <t>&lt;p&gt;&lt;/p&gt;</t>
        </is>
      </c>
      <c r="O848" t="inlineStr"/>
      <c r="P848" t="inlineStr"/>
      <c r="Q848" t="inlineStr">
        <is>
          <t>UKPN</t>
        </is>
      </c>
      <c r="R848" t="b">
        <v>0</v>
      </c>
    </row>
    <row r="849">
      <c r="A849" t="inlineStr">
        <is>
          <t>11 Jul 2025 / 7186 Eastwoodbury Tree Services Ltd</t>
        </is>
      </c>
      <c r="B849" t="inlineStr">
        <is>
          <t>Utilities &amp; Inland Waterways</t>
        </is>
      </c>
      <c r="C849" t="inlineStr">
        <is>
          <t>UKPN</t>
        </is>
      </c>
      <c r="D849" t="inlineStr">
        <is>
          <t>AO57BPF , 4x4 , Santana  , Ps10</t>
        </is>
      </c>
      <c r="E849" t="inlineStr">
        <is>
          <t>AO57BPF , 4x4 , Santana  , Ps10</t>
        </is>
      </c>
      <c r="F849" t="inlineStr">
        <is>
          <t>AO57BPF , 4x4 , Santana  , Ps10</t>
        </is>
      </c>
      <c r="G849" t="inlineStr">
        <is>
          <t xml:space="preserve">Dan Gilbert </t>
        </is>
      </c>
      <c r="H849" t="inlineStr">
        <is>
          <t>4x4</t>
        </is>
      </c>
      <c r="I849" t="inlineStr">
        <is>
          <t>Daily/ Weekly Vehicle Inspection</t>
        </is>
      </c>
      <c r="J849" t="inlineStr">
        <is>
          <t>N/A</t>
        </is>
      </c>
      <c r="K849" t="inlineStr">
        <is>
          <t>7186 Eastwoodbury Tree Services Ltd</t>
        </is>
      </c>
      <c r="L849" t="inlineStr">
        <is>
          <t>11/07/2025 08:15</t>
        </is>
      </c>
      <c r="M849" t="inlineStr">
        <is>
          <t>None</t>
        </is>
      </c>
      <c r="N849" t="inlineStr">
        <is>
          <t>&lt;p&gt;&lt;/p&gt;</t>
        </is>
      </c>
      <c r="O849" t="inlineStr"/>
      <c r="P849" t="inlineStr">
        <is>
          <t>AO57BPF , 4x4 , Santana  , Ps10</t>
        </is>
      </c>
      <c r="Q849" t="inlineStr">
        <is>
          <t>UKPN</t>
        </is>
      </c>
      <c r="R849" t="b">
        <v>0</v>
      </c>
    </row>
    <row r="850">
      <c r="A850" t="inlineStr">
        <is>
          <t>11 Jul 2025 / 6617 Ashdown Tree Limited 1</t>
        </is>
      </c>
      <c r="B850" t="inlineStr">
        <is>
          <t>Utilities &amp; Inland Waterways</t>
        </is>
      </c>
      <c r="C850" t="inlineStr">
        <is>
          <t>UKPN</t>
        </is>
      </c>
      <c r="D850" t="inlineStr">
        <is>
          <t>GU11LKD , 4x4 , Land Rover , Defender</t>
        </is>
      </c>
      <c r="E850" t="inlineStr">
        <is>
          <t>GU11LKD , 4x4 , Land Rover , Defender</t>
        </is>
      </c>
      <c r="F850" t="inlineStr">
        <is>
          <t>GU11LKD , 4x4 , Land Rover , Defender</t>
        </is>
      </c>
      <c r="G850" t="inlineStr">
        <is>
          <t>Luke Williams</t>
        </is>
      </c>
      <c r="H850" t="inlineStr">
        <is>
          <t>4x4</t>
        </is>
      </c>
      <c r="I850" t="inlineStr">
        <is>
          <t>Daily/ Weekly Vehicle Inspection</t>
        </is>
      </c>
      <c r="J850" t="inlineStr">
        <is>
          <t>N/A</t>
        </is>
      </c>
      <c r="K850" t="inlineStr">
        <is>
          <t>6617 Ashdown Tree Limited 1</t>
        </is>
      </c>
      <c r="L850" t="inlineStr">
        <is>
          <t>11/07/2025 09:09</t>
        </is>
      </c>
      <c r="M850" t="inlineStr">
        <is>
          <t>None</t>
        </is>
      </c>
      <c r="N850" t="inlineStr">
        <is>
          <t>&lt;p&gt;&lt;/p&gt;</t>
        </is>
      </c>
      <c r="O850" t="inlineStr"/>
      <c r="P850" t="inlineStr">
        <is>
          <t>GU11LKD , 4x4 , Land Rover , Defender</t>
        </is>
      </c>
      <c r="Q850" t="inlineStr">
        <is>
          <t>UKPN</t>
        </is>
      </c>
      <c r="R850" t="b">
        <v>0</v>
      </c>
    </row>
    <row r="851">
      <c r="A851" t="inlineStr">
        <is>
          <t>11 Jul 2025 / 7186 Eastwoodbury Tree Services Ltd</t>
        </is>
      </c>
      <c r="B851" t="inlineStr">
        <is>
          <t>Utilities &amp; Inland Waterways</t>
        </is>
      </c>
      <c r="C851" t="inlineStr">
        <is>
          <t>UKPN</t>
        </is>
      </c>
      <c r="D851" t="inlineStr">
        <is>
          <t>FN600XM , 4x4 , Land Rover  , Defender</t>
        </is>
      </c>
      <c r="E851" t="inlineStr">
        <is>
          <t>FN600XM , 4x4 , Land Rover  , Defender</t>
        </is>
      </c>
      <c r="F851" t="inlineStr">
        <is>
          <t>FN600XM , 4x4 , Land Rover  , Defender</t>
        </is>
      </c>
      <c r="G851" t="inlineStr">
        <is>
          <t xml:space="preserve">Jay Denkmayer </t>
        </is>
      </c>
      <c r="H851" t="inlineStr">
        <is>
          <t>4x4</t>
        </is>
      </c>
      <c r="I851" t="inlineStr">
        <is>
          <t>Daily/ Weekly Vehicle Inspection</t>
        </is>
      </c>
      <c r="J851" t="inlineStr">
        <is>
          <t>N/A</t>
        </is>
      </c>
      <c r="K851" t="inlineStr">
        <is>
          <t>7186 Eastwoodbury Tree Services Ltd</t>
        </is>
      </c>
      <c r="L851" t="inlineStr">
        <is>
          <t>11/07/2025 10:08</t>
        </is>
      </c>
      <c r="M851" t="inlineStr">
        <is>
          <t>None</t>
        </is>
      </c>
      <c r="N851" t="inlineStr">
        <is>
          <t>&lt;p&gt;&lt;/p&gt;</t>
        </is>
      </c>
      <c r="O851" t="inlineStr"/>
      <c r="P851" t="inlineStr">
        <is>
          <t>FN600XM , 4x4 , Land Rover  , Defender</t>
        </is>
      </c>
      <c r="Q851" t="inlineStr">
        <is>
          <t>UKPN</t>
        </is>
      </c>
      <c r="R851" t="b">
        <v>0</v>
      </c>
    </row>
    <row r="852">
      <c r="A852" t="inlineStr">
        <is>
          <t>13 Jul 2025 / 7951 Austin Tree Care LTD</t>
        </is>
      </c>
      <c r="B852" t="inlineStr">
        <is>
          <t>Utilities &amp; Inland Waterways</t>
        </is>
      </c>
      <c r="C852" t="inlineStr">
        <is>
          <t>UKPN</t>
        </is>
      </c>
      <c r="D852" t="inlineStr">
        <is>
          <t>SA9ST6P0001283612 , Tow Chipper , Forst , ST6p</t>
        </is>
      </c>
      <c r="E852" t="inlineStr">
        <is>
          <t>SA9ST6P0001283612 , Tow Chipper , Forst , ST6p</t>
        </is>
      </c>
      <c r="F852" t="inlineStr">
        <is>
          <t>SA9ST6P0001283612 , Tow Chipper , Forst , ST6p</t>
        </is>
      </c>
      <c r="G852" t="inlineStr">
        <is>
          <t xml:space="preserve">Jack Austin </t>
        </is>
      </c>
      <c r="H852" t="inlineStr">
        <is>
          <t>Towed Chipper</t>
        </is>
      </c>
      <c r="I852" t="inlineStr">
        <is>
          <t>Daily/ Weekly Vehicle Inspection</t>
        </is>
      </c>
      <c r="J852" t="inlineStr">
        <is>
          <t>N/A</t>
        </is>
      </c>
      <c r="K852" t="inlineStr">
        <is>
          <t>7951 Austin Tree Care LTD</t>
        </is>
      </c>
      <c r="L852" t="inlineStr">
        <is>
          <t>13/07/2025 08:09</t>
        </is>
      </c>
      <c r="M852" t="inlineStr">
        <is>
          <t>None</t>
        </is>
      </c>
      <c r="N852" t="inlineStr">
        <is>
          <t>&lt;p&gt;&lt;/p&gt;</t>
        </is>
      </c>
      <c r="O852" t="inlineStr"/>
      <c r="P852" t="inlineStr">
        <is>
          <t>SA9ST6P0001283612 , Tow Chipper , Forst , ST6p</t>
        </is>
      </c>
      <c r="Q852" t="inlineStr">
        <is>
          <t>UKPN</t>
        </is>
      </c>
      <c r="R852" t="b">
        <v>0</v>
      </c>
    </row>
    <row r="853">
      <c r="A853" t="inlineStr">
        <is>
          <t>13 Jul 2025 / 7951 Austin Tree Care LTD</t>
        </is>
      </c>
      <c r="B853" t="inlineStr">
        <is>
          <t>Utilities &amp; Inland Waterways</t>
        </is>
      </c>
      <c r="C853" t="inlineStr">
        <is>
          <t>UKPN</t>
        </is>
      </c>
      <c r="D853" t="inlineStr">
        <is>
          <t>WF61 HZV , 4x4 MEWP , Land Rover , Defender</t>
        </is>
      </c>
      <c r="E853" t="inlineStr">
        <is>
          <t>WF61 HZV , 4x4 MEWP , Land Rover , Defender</t>
        </is>
      </c>
      <c r="F853" t="inlineStr">
        <is>
          <t>WF61 HZV , 4x4 MEWP , Land Rover , Defender</t>
        </is>
      </c>
      <c r="G853" t="inlineStr">
        <is>
          <t>Jack Austin</t>
        </is>
      </c>
      <c r="H853" t="inlineStr">
        <is>
          <t>4x4</t>
        </is>
      </c>
      <c r="I853" t="inlineStr">
        <is>
          <t>Daily/ Weekly Vehicle Inspection</t>
        </is>
      </c>
      <c r="J853" t="inlineStr">
        <is>
          <t>N/A</t>
        </is>
      </c>
      <c r="K853" t="inlineStr">
        <is>
          <t>7951 Austin Tree Care LTD</t>
        </is>
      </c>
      <c r="L853" t="inlineStr">
        <is>
          <t>13/07/2025 08:09</t>
        </is>
      </c>
      <c r="M853" t="inlineStr">
        <is>
          <t>None</t>
        </is>
      </c>
      <c r="N853" t="inlineStr">
        <is>
          <t>&lt;p&gt;&lt;/p&gt;</t>
        </is>
      </c>
      <c r="O853" t="inlineStr"/>
      <c r="P853" t="inlineStr">
        <is>
          <t>WF61 HZV , 4x4 MEWP , Land Rover , Defender</t>
        </is>
      </c>
      <c r="Q853" t="inlineStr">
        <is>
          <t>UKPN</t>
        </is>
      </c>
      <c r="R853" t="b">
        <v>0</v>
      </c>
    </row>
    <row r="854">
      <c r="A854" t="inlineStr">
        <is>
          <t>14 Jul 2025 / 7940 HRJ Tree Services LTD</t>
        </is>
      </c>
      <c r="B854" t="inlineStr">
        <is>
          <t>Utilities &amp; Inland Waterways</t>
        </is>
      </c>
      <c r="C854" t="inlineStr">
        <is>
          <t>UKPN</t>
        </is>
      </c>
      <c r="D854" t="inlineStr">
        <is>
          <t>Plant Trailer - Indespension - 211717 - 211717</t>
        </is>
      </c>
      <c r="E854" t="inlineStr">
        <is>
          <t>Plant Trailer - Indespension - 211717 - 211717</t>
        </is>
      </c>
      <c r="F854" t="inlineStr">
        <is>
          <t>Plant Trailer - Indespension - 211717 - 211717</t>
        </is>
      </c>
      <c r="G854" t="inlineStr">
        <is>
          <t xml:space="preserve">Harry Wilson </t>
        </is>
      </c>
      <c r="H854" t="inlineStr">
        <is>
          <t>Equipment Trailer</t>
        </is>
      </c>
      <c r="I854" t="inlineStr">
        <is>
          <t>Daily/ Weekly Vehicle Inspection</t>
        </is>
      </c>
      <c r="J854" t="inlineStr">
        <is>
          <t>N/A</t>
        </is>
      </c>
      <c r="K854" t="inlineStr">
        <is>
          <t>7940 HRJ Tree Services LTD</t>
        </is>
      </c>
      <c r="L854" t="inlineStr">
        <is>
          <t>14/07/2025 07:10</t>
        </is>
      </c>
      <c r="M854" t="inlineStr">
        <is>
          <t>None</t>
        </is>
      </c>
      <c r="N854" t="inlineStr">
        <is>
          <t>&lt;p&gt;&lt;/p&gt;</t>
        </is>
      </c>
      <c r="O854" t="inlineStr"/>
      <c r="P854" t="inlineStr">
        <is>
          <t>Plant Trailer - Indespension - 211717 - 211717</t>
        </is>
      </c>
      <c r="Q854" t="inlineStr">
        <is>
          <t>UKPN</t>
        </is>
      </c>
      <c r="R854" t="b">
        <v>0</v>
      </c>
    </row>
    <row r="855">
      <c r="A855" t="inlineStr">
        <is>
          <t>14 Jul 2025 / 7940 HRJ Tree Services LTD</t>
        </is>
      </c>
      <c r="B855" t="inlineStr">
        <is>
          <t>Utilities &amp; Inland Waterways</t>
        </is>
      </c>
      <c r="C855" t="inlineStr">
        <is>
          <t>UKPN</t>
        </is>
      </c>
      <c r="D855" t="inlineStr">
        <is>
          <t>4x4 - Toyota  - Hilux - LL70GZP</t>
        </is>
      </c>
      <c r="E855" t="inlineStr">
        <is>
          <t>4x4 - Toyota  - Hilux - LL70GZP</t>
        </is>
      </c>
      <c r="F855" t="inlineStr">
        <is>
          <t>4x4 - Toyota  - Hilux - LL70GZP</t>
        </is>
      </c>
      <c r="G855" t="inlineStr">
        <is>
          <t xml:space="preserve">Harry Wilson </t>
        </is>
      </c>
      <c r="H855" t="inlineStr">
        <is>
          <t>4x4</t>
        </is>
      </c>
      <c r="I855" t="inlineStr">
        <is>
          <t>Daily/ Weekly Vehicle Inspection</t>
        </is>
      </c>
      <c r="J855" t="inlineStr">
        <is>
          <t>N/A</t>
        </is>
      </c>
      <c r="K855" t="inlineStr">
        <is>
          <t>7940 HRJ Tree Services LTD</t>
        </is>
      </c>
      <c r="L855" t="inlineStr">
        <is>
          <t>14/07/2025 07:11</t>
        </is>
      </c>
      <c r="M855" t="inlineStr">
        <is>
          <t>None</t>
        </is>
      </c>
      <c r="N855" t="inlineStr">
        <is>
          <t>&lt;p&gt;&lt;/p&gt;</t>
        </is>
      </c>
      <c r="O855" t="inlineStr"/>
      <c r="P855" t="inlineStr">
        <is>
          <t>4x4 - Toyota  - Hilux - LL70GZP</t>
        </is>
      </c>
      <c r="Q855" t="inlineStr">
        <is>
          <t>UKPN</t>
        </is>
      </c>
      <c r="R855" t="b">
        <v>0</v>
      </c>
    </row>
    <row r="856">
      <c r="A856" t="inlineStr">
        <is>
          <t>14 Jul 2025 / 7940 HRJ Tree Services LTD</t>
        </is>
      </c>
      <c r="B856" t="inlineStr">
        <is>
          <t>Utilities &amp; Inland Waterways</t>
        </is>
      </c>
      <c r="C856" t="inlineStr">
        <is>
          <t>UKPN</t>
        </is>
      </c>
      <c r="D856" t="inlineStr">
        <is>
          <t>Kx65fcp , 4x4 , Izuzu d max  , D max</t>
        </is>
      </c>
      <c r="E856" t="inlineStr">
        <is>
          <t>Kx65fcp , 4x4 , Izuzu d max  , D max</t>
        </is>
      </c>
      <c r="F856" t="inlineStr">
        <is>
          <t>Kx65fcp , 4x4 , Izuzu d max  , D max</t>
        </is>
      </c>
      <c r="G856" t="inlineStr">
        <is>
          <t xml:space="preserve">Jack Buchan </t>
        </is>
      </c>
      <c r="H856" t="inlineStr">
        <is>
          <t>4x4</t>
        </is>
      </c>
      <c r="I856" t="inlineStr">
        <is>
          <t>Daily/ Weekly Vehicle Inspection</t>
        </is>
      </c>
      <c r="J856" t="inlineStr">
        <is>
          <t>N/A</t>
        </is>
      </c>
      <c r="K856" t="inlineStr">
        <is>
          <t>7940 HRJ Tree Services LTD</t>
        </is>
      </c>
      <c r="L856" t="inlineStr">
        <is>
          <t>14/07/2025 07:12</t>
        </is>
      </c>
      <c r="M856" t="inlineStr">
        <is>
          <t>None</t>
        </is>
      </c>
      <c r="N856" t="inlineStr">
        <is>
          <t>&lt;p&gt;&lt;/p&gt;</t>
        </is>
      </c>
      <c r="O856" t="inlineStr"/>
      <c r="P856" t="inlineStr">
        <is>
          <t>Kx65fcp , 4x4 , Izuzu d max  , D max</t>
        </is>
      </c>
      <c r="Q856" t="inlineStr">
        <is>
          <t>UKPN</t>
        </is>
      </c>
      <c r="R856" t="b">
        <v>0</v>
      </c>
    </row>
    <row r="857">
      <c r="A857" t="inlineStr">
        <is>
          <t>14 Jul 2025 / 7889 Tree Tech Suffolk Ltd</t>
        </is>
      </c>
      <c r="B857" t="inlineStr">
        <is>
          <t>Utilities &amp; Inland Waterways</t>
        </is>
      </c>
      <c r="C857" t="inlineStr">
        <is>
          <t>UKPN</t>
        </is>
      </c>
      <c r="D857" t="inlineStr">
        <is>
          <t>Tow Chipper - Jenson - A530L - 5521063948Tipper - Nissan - Navara - NS02TTS</t>
        </is>
      </c>
      <c r="E857" t="inlineStr">
        <is>
          <t>Tow Chipper - Jenson - A530L - 5521063948Tipper - Nissan - Navara - NS02TTS</t>
        </is>
      </c>
      <c r="F857" t="inlineStr">
        <is>
          <t>Tow Chipper - Jenson - A530L - 5521063948Tipper - Nissan - Navara - NS02TTS</t>
        </is>
      </c>
      <c r="G857" t="inlineStr">
        <is>
          <t xml:space="preserve">Danny Appleby Danny Appleby </t>
        </is>
      </c>
      <c r="H857" t="inlineStr">
        <is>
          <t>Towed ChipperTipper</t>
        </is>
      </c>
      <c r="I857" t="inlineStr">
        <is>
          <t>Daily/ Weekly Vehicle Inspection</t>
        </is>
      </c>
      <c r="J857" t="inlineStr">
        <is>
          <t>N/A</t>
        </is>
      </c>
      <c r="K857" t="inlineStr">
        <is>
          <t>7889 Tree Tech Suffolk Ltd</t>
        </is>
      </c>
      <c r="L857" t="inlineStr">
        <is>
          <t>14/07/2025 08:09</t>
        </is>
      </c>
      <c r="M857" t="inlineStr">
        <is>
          <t>None</t>
        </is>
      </c>
      <c r="N857" t="inlineStr">
        <is>
          <t>&lt;p&gt;&lt;/p&gt;</t>
        </is>
      </c>
      <c r="O857" t="inlineStr"/>
      <c r="P857" t="inlineStr">
        <is>
          <t>Tow Chipper - Jenson - A530L - 5521063948Tipper - Nissan - Navara - NS02TTS</t>
        </is>
      </c>
      <c r="Q857" t="inlineStr">
        <is>
          <t>UKPN</t>
        </is>
      </c>
      <c r="R857" t="b">
        <v>0</v>
      </c>
    </row>
    <row r="858">
      <c r="A858" t="inlineStr">
        <is>
          <t>14 Jul 2025 / Thomas Playford</t>
        </is>
      </c>
      <c r="B858" t="inlineStr">
        <is>
          <t>Utilities &amp; Inland Waterways</t>
        </is>
      </c>
      <c r="C858" t="inlineStr">
        <is>
          <t>UKPN</t>
        </is>
      </c>
      <c r="D858" t="inlineStr">
        <is>
          <t>SA9ST800000283944 , Tow Chipper , Forst , ST8D - Towed</t>
        </is>
      </c>
      <c r="E858" t="inlineStr">
        <is>
          <t>SA9ST800000283944 , Tow Chipper , Forst , ST8D - Towed</t>
        </is>
      </c>
      <c r="F858" t="inlineStr">
        <is>
          <t>SA9ST800000283944 , Tow Chipper , Forst , ST8D - Towed</t>
        </is>
      </c>
      <c r="G858" t="inlineStr">
        <is>
          <t>Jacob Oram</t>
        </is>
      </c>
      <c r="H858" t="inlineStr">
        <is>
          <t>Towed Chipper</t>
        </is>
      </c>
      <c r="I858" t="inlineStr">
        <is>
          <t>Daily/ Weekly Vehicle Inspection</t>
        </is>
      </c>
      <c r="J858" t="inlineStr">
        <is>
          <t>N/A</t>
        </is>
      </c>
      <c r="K858" t="inlineStr">
        <is>
          <t>7995 Contour Landscapes Ltd 2</t>
        </is>
      </c>
      <c r="L858" t="inlineStr">
        <is>
          <t>14/07/2025 08:15</t>
        </is>
      </c>
      <c r="M858" t="inlineStr">
        <is>
          <t>None</t>
        </is>
      </c>
      <c r="N858" t="inlineStr">
        <is>
          <t>&lt;p&gt;&lt;/p&gt;</t>
        </is>
      </c>
      <c r="O858" t="inlineStr"/>
      <c r="P858" t="inlineStr">
        <is>
          <t>SA9ST800000283944 , Tow Chipper , Forst , ST8D - Towed</t>
        </is>
      </c>
      <c r="Q858" t="inlineStr">
        <is>
          <t>UKPN</t>
        </is>
      </c>
      <c r="R858" t="b">
        <v>0</v>
      </c>
    </row>
    <row r="859">
      <c r="A859" t="inlineStr">
        <is>
          <t>14 Jul 2025 / Thomas Playford</t>
        </is>
      </c>
      <c r="B859" t="inlineStr">
        <is>
          <t>Utilities &amp; Inland Waterways</t>
        </is>
      </c>
      <c r="C859" t="inlineStr">
        <is>
          <t>UKPN</t>
        </is>
      </c>
      <c r="D859" t="inlineStr">
        <is>
          <t>YP24 WRD , Vehicle , Ford , Ranger</t>
        </is>
      </c>
      <c r="E859" t="inlineStr">
        <is>
          <t>YP24 WRD , Vehicle , Ford , Ranger</t>
        </is>
      </c>
      <c r="F859" t="inlineStr">
        <is>
          <t>YP24 WRD , Vehicle , Ford , Ranger</t>
        </is>
      </c>
      <c r="G859" t="inlineStr">
        <is>
          <t>Jacob Oram</t>
        </is>
      </c>
      <c r="H859" t="inlineStr">
        <is>
          <t>4x4</t>
        </is>
      </c>
      <c r="I859" t="inlineStr">
        <is>
          <t>Daily/ Weekly Vehicle Inspection</t>
        </is>
      </c>
      <c r="J859" t="inlineStr">
        <is>
          <t>N/A</t>
        </is>
      </c>
      <c r="K859" t="inlineStr">
        <is>
          <t>7995 Contour Landscapes Ltd 2</t>
        </is>
      </c>
      <c r="L859" t="inlineStr">
        <is>
          <t>14/07/2025 08:16</t>
        </is>
      </c>
      <c r="M859" t="inlineStr">
        <is>
          <t>None</t>
        </is>
      </c>
      <c r="N859" t="inlineStr">
        <is>
          <t>&lt;p&gt;&lt;/p&gt;</t>
        </is>
      </c>
      <c r="O859" t="inlineStr"/>
      <c r="P859" t="inlineStr">
        <is>
          <t>YP24 WRD , Vehicle , Ford , Ranger</t>
        </is>
      </c>
      <c r="Q859" t="inlineStr">
        <is>
          <t>UKPN</t>
        </is>
      </c>
      <c r="R859" t="b">
        <v>0</v>
      </c>
    </row>
    <row r="860">
      <c r="A860" t="inlineStr">
        <is>
          <t>14 Jul 2025 / 7186 Eastwoodbury Tree Services Ltd</t>
        </is>
      </c>
      <c r="B860" t="inlineStr">
        <is>
          <t>Utilities &amp; Inland Waterways</t>
        </is>
      </c>
      <c r="C860" t="inlineStr">
        <is>
          <t>UKPN</t>
        </is>
      </c>
      <c r="D860" t="inlineStr">
        <is>
          <t>DE53NKS , 4x4 , Ford , Ranger</t>
        </is>
      </c>
      <c r="E860" t="inlineStr">
        <is>
          <t>DE53NKS , 4x4 , Ford , Ranger</t>
        </is>
      </c>
      <c r="F860" t="inlineStr">
        <is>
          <t>DE53NKS , 4x4 , Ford , Ranger</t>
        </is>
      </c>
      <c r="G860" t="inlineStr">
        <is>
          <t xml:space="preserve">Jay Denkmayer </t>
        </is>
      </c>
      <c r="H860" t="inlineStr">
        <is>
          <t>Pickup Truck</t>
        </is>
      </c>
      <c r="I860" t="inlineStr">
        <is>
          <t>Daily/ Weekly Vehicle Inspection</t>
        </is>
      </c>
      <c r="J860" t="inlineStr">
        <is>
          <t>N/A</t>
        </is>
      </c>
      <c r="K860" t="inlineStr">
        <is>
          <t>7186 Eastwoodbury Tree Services Ltd</t>
        </is>
      </c>
      <c r="L860" t="inlineStr">
        <is>
          <t>14/07/2025 08:21</t>
        </is>
      </c>
      <c r="M860" t="inlineStr">
        <is>
          <t>None</t>
        </is>
      </c>
      <c r="N860" t="inlineStr">
        <is>
          <t>&lt;p&gt;&lt;/p&gt;</t>
        </is>
      </c>
      <c r="O860" t="inlineStr"/>
      <c r="P860" t="inlineStr">
        <is>
          <t>DE53NKS , 4x4 , Ford , Ranger</t>
        </is>
      </c>
      <c r="Q860" t="inlineStr">
        <is>
          <t>UKPN</t>
        </is>
      </c>
      <c r="R860" t="b">
        <v>0</v>
      </c>
    </row>
    <row r="861">
      <c r="A861" t="inlineStr">
        <is>
          <t>14 Jul 2025 / 7186 Eastwoodbury Tree Services Ltd</t>
        </is>
      </c>
      <c r="B861" t="inlineStr">
        <is>
          <t>Utilities &amp; Inland Waterways</t>
        </is>
      </c>
      <c r="C861" t="inlineStr">
        <is>
          <t>UKPN</t>
        </is>
      </c>
      <c r="D861" t="inlineStr">
        <is>
          <t>AO57BPF , 4x4 , Santana  , Ps10</t>
        </is>
      </c>
      <c r="E861" t="inlineStr">
        <is>
          <t>AO57BPF , 4x4 , Santana  , Ps10</t>
        </is>
      </c>
      <c r="F861" t="inlineStr">
        <is>
          <t>AO57BPF , 4x4 , Santana  , Ps10</t>
        </is>
      </c>
      <c r="G861" t="inlineStr">
        <is>
          <t xml:space="preserve">Dan Gilbert </t>
        </is>
      </c>
      <c r="H861" t="inlineStr">
        <is>
          <t>4x4</t>
        </is>
      </c>
      <c r="I861" t="inlineStr">
        <is>
          <t>Daily/ Weekly Vehicle Inspection</t>
        </is>
      </c>
      <c r="J861" t="inlineStr">
        <is>
          <t>N/A</t>
        </is>
      </c>
      <c r="K861" t="inlineStr">
        <is>
          <t>7186 Eastwoodbury Tree Services Ltd</t>
        </is>
      </c>
      <c r="L861" t="inlineStr">
        <is>
          <t>14/07/2025 08:22</t>
        </is>
      </c>
      <c r="M861" t="inlineStr">
        <is>
          <t>None</t>
        </is>
      </c>
      <c r="N861" t="inlineStr">
        <is>
          <t>&lt;p&gt;&lt;/p&gt;</t>
        </is>
      </c>
      <c r="O861" t="inlineStr"/>
      <c r="P861" t="inlineStr">
        <is>
          <t>AO57BPF , 4x4 , Santana  , Ps10</t>
        </is>
      </c>
      <c r="Q861" t="inlineStr">
        <is>
          <t>UKPN</t>
        </is>
      </c>
      <c r="R861" t="b">
        <v>0</v>
      </c>
    </row>
    <row r="862">
      <c r="A862" t="inlineStr">
        <is>
          <t>14 Jul 2025 / 7806 Optimum Tree Services Ltd</t>
        </is>
      </c>
      <c r="B862" t="inlineStr">
        <is>
          <t>Utilities &amp; Inland Waterways</t>
        </is>
      </c>
      <c r="C862" t="inlineStr">
        <is>
          <t>UKPN</t>
        </is>
      </c>
      <c r="D862" t="inlineStr">
        <is>
          <t>SA9ST800000283069 , Chipper , Forst , ST 6P</t>
        </is>
      </c>
      <c r="E862" t="inlineStr">
        <is>
          <t>SA9ST800000283069 , Chipper , Forst , ST 6P</t>
        </is>
      </c>
      <c r="F862" t="inlineStr">
        <is>
          <t>SA9ST800000283069 , Chipper , Forst , ST 6P</t>
        </is>
      </c>
      <c r="G862" t="inlineStr">
        <is>
          <t xml:space="preserve">Abraham Davies </t>
        </is>
      </c>
      <c r="H862" t="inlineStr">
        <is>
          <t>Towed Chipper</t>
        </is>
      </c>
      <c r="I862" t="inlineStr">
        <is>
          <t>Daily/ Weekly Vehicle Inspection</t>
        </is>
      </c>
      <c r="J862" t="inlineStr">
        <is>
          <t>N/A</t>
        </is>
      </c>
      <c r="K862" t="inlineStr">
        <is>
          <t>7806 Optimum Tree Services Ltd</t>
        </is>
      </c>
      <c r="L862" t="inlineStr">
        <is>
          <t>14/07/2025 08:23</t>
        </is>
      </c>
      <c r="M862" t="inlineStr">
        <is>
          <t>None</t>
        </is>
      </c>
      <c r="N862" t="inlineStr">
        <is>
          <t>&lt;p&gt;&lt;/p&gt;</t>
        </is>
      </c>
      <c r="O862" t="inlineStr"/>
      <c r="P862" t="inlineStr">
        <is>
          <t>SA9ST800000283069 , Chipper , Forst , ST 6P</t>
        </is>
      </c>
      <c r="Q862" t="inlineStr">
        <is>
          <t>UKPN</t>
        </is>
      </c>
      <c r="R862" t="b">
        <v>0</v>
      </c>
    </row>
    <row r="863">
      <c r="A863" t="inlineStr">
        <is>
          <t>14 Jul 2025 / 7806 Optimum Tree Services Ltd</t>
        </is>
      </c>
      <c r="B863" t="inlineStr">
        <is>
          <t>Utilities &amp; Inland Waterways</t>
        </is>
      </c>
      <c r="C863" t="inlineStr">
        <is>
          <t>UKPN</t>
        </is>
      </c>
      <c r="D863" t="inlineStr">
        <is>
          <t>WD14EVB , MEWP , Land Rover , Defender</t>
        </is>
      </c>
      <c r="E863" t="inlineStr">
        <is>
          <t>WD14EVB , MEWP , Land Rover , Defender</t>
        </is>
      </c>
      <c r="F863" t="inlineStr">
        <is>
          <t>WD14EVB , MEWP , Land Rover , Defender</t>
        </is>
      </c>
      <c r="G863" t="inlineStr">
        <is>
          <t xml:space="preserve">Abraham Davies </t>
        </is>
      </c>
      <c r="H863" t="inlineStr">
        <is>
          <t>4x4</t>
        </is>
      </c>
      <c r="I863" t="inlineStr">
        <is>
          <t>Daily/ Weekly Vehicle Inspection</t>
        </is>
      </c>
      <c r="J863" t="inlineStr">
        <is>
          <t>N/A</t>
        </is>
      </c>
      <c r="K863" t="inlineStr">
        <is>
          <t>7806 Optimum Tree Services Ltd</t>
        </is>
      </c>
      <c r="L863" t="inlineStr">
        <is>
          <t>14/07/2025 08:24</t>
        </is>
      </c>
      <c r="M863" t="inlineStr">
        <is>
          <t>None</t>
        </is>
      </c>
      <c r="N863" t="inlineStr">
        <is>
          <t>&lt;p&gt;&lt;/p&gt;</t>
        </is>
      </c>
      <c r="O863" t="inlineStr"/>
      <c r="P863" t="inlineStr">
        <is>
          <t>WD14EVB , MEWP , Land Rover , Defender</t>
        </is>
      </c>
      <c r="Q863" t="inlineStr">
        <is>
          <t>UKPN</t>
        </is>
      </c>
      <c r="R863" t="b">
        <v>0</v>
      </c>
    </row>
    <row r="864">
      <c r="A864" t="inlineStr">
        <is>
          <t>14 Jul 2025 / Chris Huntley</t>
        </is>
      </c>
      <c r="B864" t="inlineStr">
        <is>
          <t>Utilities &amp; Inland Waterways</t>
        </is>
      </c>
      <c r="C864" t="inlineStr">
        <is>
          <t>UKPN</t>
        </is>
      </c>
      <c r="D864" t="inlineStr">
        <is>
          <t>EX18DCY , 4x4 , Ford , Ranger</t>
        </is>
      </c>
      <c r="E864" t="inlineStr">
        <is>
          <t>EX18DCY , 4x4 , Ford , Ranger</t>
        </is>
      </c>
      <c r="F864" t="inlineStr">
        <is>
          <t>EX18DCY , 4x4 , Ford , Ranger</t>
        </is>
      </c>
      <c r="G864" t="inlineStr">
        <is>
          <t xml:space="preserve">Chris Huntley </t>
        </is>
      </c>
      <c r="H864" t="inlineStr">
        <is>
          <t>Pickup Truck</t>
        </is>
      </c>
      <c r="I864" t="inlineStr">
        <is>
          <t>Daily/ Weekly Vehicle Inspection</t>
        </is>
      </c>
      <c r="J864" t="inlineStr">
        <is>
          <t>N/A</t>
        </is>
      </c>
      <c r="K864" t="inlineStr">
        <is>
          <t>Chris Huntley</t>
        </is>
      </c>
      <c r="L864" t="inlineStr">
        <is>
          <t>14/07/2025 09:15</t>
        </is>
      </c>
      <c r="M864" t="inlineStr">
        <is>
          <t>None</t>
        </is>
      </c>
      <c r="N864" t="inlineStr">
        <is>
          <t>&lt;p&gt;&lt;/p&gt;</t>
        </is>
      </c>
      <c r="O864" t="inlineStr"/>
      <c r="P864" t="inlineStr">
        <is>
          <t>EX18DCY , 4x4 , Ford , Ranger</t>
        </is>
      </c>
      <c r="Q864" t="inlineStr">
        <is>
          <t>UKPN</t>
        </is>
      </c>
      <c r="R864" t="b">
        <v>0</v>
      </c>
    </row>
    <row r="865">
      <c r="A865" t="inlineStr">
        <is>
          <t>14 Jul 2025 / Jonathan Wisbey</t>
        </is>
      </c>
      <c r="B865" t="inlineStr">
        <is>
          <t>Utilities &amp; Inland Waterways</t>
        </is>
      </c>
      <c r="C865" t="inlineStr">
        <is>
          <t>UKPN</t>
        </is>
      </c>
      <c r="D865" t="inlineStr">
        <is>
          <t>KN25GGK , Car - Petrol , VW , Golf</t>
        </is>
      </c>
      <c r="E865" t="inlineStr">
        <is>
          <t>KN25GGK , Car - Petrol , VW , Golf</t>
        </is>
      </c>
      <c r="F865" t="inlineStr">
        <is>
          <t>KN25GGK , Car - Petrol , VW , Golf</t>
        </is>
      </c>
      <c r="G865" t="inlineStr">
        <is>
          <t xml:space="preserve">Jonathan Wisbey </t>
        </is>
      </c>
      <c r="H865" t="inlineStr">
        <is>
          <t>Car - Petrol</t>
        </is>
      </c>
      <c r="I865" t="inlineStr">
        <is>
          <t>Daily/ Weekly Vehicle Inspection</t>
        </is>
      </c>
      <c r="J865" t="inlineStr">
        <is>
          <t>N/A</t>
        </is>
      </c>
      <c r="K865" t="inlineStr">
        <is>
          <t>Jonathan Wisbey</t>
        </is>
      </c>
      <c r="L865" t="inlineStr">
        <is>
          <t>14/07/2025 10:11</t>
        </is>
      </c>
      <c r="M865" t="inlineStr">
        <is>
          <t>None</t>
        </is>
      </c>
      <c r="N865" t="inlineStr">
        <is>
          <t>&lt;p&gt;&lt;/p&gt;</t>
        </is>
      </c>
      <c r="O865" t="inlineStr"/>
      <c r="P865" t="inlineStr">
        <is>
          <t>KN25GGK , Car - Petrol , VW , Golf</t>
        </is>
      </c>
      <c r="Q865" t="inlineStr">
        <is>
          <t>UKPN</t>
        </is>
      </c>
      <c r="R865" t="b">
        <v>0</v>
      </c>
    </row>
    <row r="866">
      <c r="A866" t="inlineStr">
        <is>
          <t>14 Jul 2025 / 7940 HRJ Tree Services LTD</t>
        </is>
      </c>
      <c r="B866" t="inlineStr">
        <is>
          <t>Utilities &amp; Inland Waterways</t>
        </is>
      </c>
      <c r="C866" t="inlineStr">
        <is>
          <t>UKPN</t>
        </is>
      </c>
      <c r="D866" t="inlineStr">
        <is>
          <t>Plant Trailer - Indespension - 211717 - 211717</t>
        </is>
      </c>
      <c r="E866" t="inlineStr">
        <is>
          <t>Plant Trailer - Indespension - 211717 - 211717</t>
        </is>
      </c>
      <c r="F866" t="inlineStr">
        <is>
          <t>Plant Trailer - Indespension - 211717 - 211717</t>
        </is>
      </c>
      <c r="G866" t="inlineStr">
        <is>
          <t xml:space="preserve">Harry Wilson </t>
        </is>
      </c>
      <c r="H866" t="inlineStr">
        <is>
          <t>Equipment Trailer</t>
        </is>
      </c>
      <c r="I866" t="inlineStr">
        <is>
          <t>Daily/ Weekly Vehicle Inspection</t>
        </is>
      </c>
      <c r="J866" t="inlineStr">
        <is>
          <t>N/A</t>
        </is>
      </c>
      <c r="K866" t="inlineStr">
        <is>
          <t>7940 HRJ Tree Services LTD</t>
        </is>
      </c>
      <c r="L866" t="inlineStr">
        <is>
          <t>14/07/2025 10:12</t>
        </is>
      </c>
      <c r="M866" t="inlineStr">
        <is>
          <t>None</t>
        </is>
      </c>
      <c r="N866" t="inlineStr">
        <is>
          <t>&lt;p&gt;&lt;/p&gt;</t>
        </is>
      </c>
      <c r="O866" t="inlineStr"/>
      <c r="P866" t="inlineStr">
        <is>
          <t>Plant Trailer - Indespension - 211717 - 211717</t>
        </is>
      </c>
      <c r="Q866" t="inlineStr">
        <is>
          <t>UKPN</t>
        </is>
      </c>
      <c r="R866" t="b">
        <v>0</v>
      </c>
    </row>
    <row r="867">
      <c r="A867" t="inlineStr">
        <is>
          <t>14 Jul 2025 / 7951 Austin Tree Care LTD</t>
        </is>
      </c>
      <c r="B867" t="inlineStr">
        <is>
          <t>Utilities &amp; Inland Waterways</t>
        </is>
      </c>
      <c r="C867" t="inlineStr">
        <is>
          <t>UKPN</t>
        </is>
      </c>
      <c r="D867" t="inlineStr">
        <is>
          <t>SV12 YSO , Vehicle , Land Rover , Discovery 4</t>
        </is>
      </c>
      <c r="E867" t="inlineStr">
        <is>
          <t>SV12 YSO , Vehicle , Land Rover , Discovery 4</t>
        </is>
      </c>
      <c r="F867" t="inlineStr">
        <is>
          <t>SV12 YSO , Vehicle , Land Rover , Discovery 4</t>
        </is>
      </c>
      <c r="G867" t="inlineStr">
        <is>
          <t>Jack Austin</t>
        </is>
      </c>
      <c r="H867" t="inlineStr">
        <is>
          <t>4x4</t>
        </is>
      </c>
      <c r="I867" t="inlineStr">
        <is>
          <t>Daily/ Weekly Vehicle Inspection</t>
        </is>
      </c>
      <c r="J867" t="inlineStr">
        <is>
          <t>N/A</t>
        </is>
      </c>
      <c r="K867" t="inlineStr">
        <is>
          <t>7951 Austin Tree Care LTD</t>
        </is>
      </c>
      <c r="L867" t="inlineStr">
        <is>
          <t>14/07/2025 13:09</t>
        </is>
      </c>
      <c r="M867" t="inlineStr">
        <is>
          <t>None</t>
        </is>
      </c>
      <c r="N867" t="inlineStr">
        <is>
          <t>&lt;p&gt;&lt;/p&gt;</t>
        </is>
      </c>
      <c r="O867" t="inlineStr"/>
      <c r="P867" t="inlineStr">
        <is>
          <t>SV12 YSO , Vehicle , Land Rover , Discovery 4</t>
        </is>
      </c>
      <c r="Q867" t="inlineStr">
        <is>
          <t>UKPN</t>
        </is>
      </c>
      <c r="R867" t="b">
        <v>0</v>
      </c>
    </row>
    <row r="868">
      <c r="A868" t="inlineStr">
        <is>
          <t>14 Jul 2025 / James Gorman</t>
        </is>
      </c>
      <c r="B868" t="inlineStr">
        <is>
          <t>Utilities &amp; Inland Waterways</t>
        </is>
      </c>
      <c r="C868" t="inlineStr">
        <is>
          <t>UKPN</t>
        </is>
      </c>
      <c r="D868" t="inlineStr">
        <is>
          <t>AF22XRA , Car - Electric , Tesla , Model 3 Long Range AWD</t>
        </is>
      </c>
      <c r="E868" t="inlineStr">
        <is>
          <t>AF22XRA , Car - Electric , Tesla , Model 3 Long Range AWD</t>
        </is>
      </c>
      <c r="F868" t="inlineStr">
        <is>
          <t>AF22XRA , Car - Electric , Tesla , Model 3 Long Range AWD</t>
        </is>
      </c>
      <c r="G868" t="inlineStr">
        <is>
          <t>James Gorman</t>
        </is>
      </c>
      <c r="H868" t="inlineStr">
        <is>
          <t>Car - Electric (GC Owned)</t>
        </is>
      </c>
      <c r="I868" t="inlineStr">
        <is>
          <t>Daily/ Weekly Vehicle Inspection</t>
        </is>
      </c>
      <c r="J868" t="inlineStr">
        <is>
          <t>N/A</t>
        </is>
      </c>
      <c r="K868" t="inlineStr">
        <is>
          <t>James Gorman</t>
        </is>
      </c>
      <c r="L868" t="inlineStr">
        <is>
          <t>14/07/2025 14:11</t>
        </is>
      </c>
      <c r="M868" t="inlineStr">
        <is>
          <t>None</t>
        </is>
      </c>
      <c r="N868" t="inlineStr">
        <is>
          <t>&lt;p&gt;&lt;/p&gt;</t>
        </is>
      </c>
      <c r="O868" t="inlineStr"/>
      <c r="P868" t="inlineStr">
        <is>
          <t>AF22XRA , Car - Electric , Tesla , Model 3 Long Range AWD</t>
        </is>
      </c>
      <c r="Q868" t="inlineStr">
        <is>
          <t>UKPN</t>
        </is>
      </c>
      <c r="R868" t="b">
        <v>0</v>
      </c>
    </row>
    <row r="869">
      <c r="A869" t="inlineStr">
        <is>
          <t>14 Jul 2025 / 6557 DE UA SWales4</t>
        </is>
      </c>
      <c r="B869" t="inlineStr">
        <is>
          <t>Utilities &amp; Inland Waterways</t>
        </is>
      </c>
      <c r="C869" t="inlineStr">
        <is>
          <t>NGED</t>
        </is>
      </c>
      <c r="D869" t="inlineStr">
        <is>
          <t>EX15ZGL , Van , Ford , Transit Courier</t>
        </is>
      </c>
      <c r="E869" t="inlineStr">
        <is>
          <t>EX15ZGL , Van , Ford , Transit Courier</t>
        </is>
      </c>
      <c r="F869" t="inlineStr">
        <is>
          <t>EX15ZGL , Van , Ford , Transit Courier</t>
        </is>
      </c>
      <c r="G869" t="inlineStr">
        <is>
          <t xml:space="preserve">Lee brown </t>
        </is>
      </c>
      <c r="H869" t="inlineStr">
        <is>
          <t>Van</t>
        </is>
      </c>
      <c r="I869" t="inlineStr">
        <is>
          <t>Daily/ Weekly Vehicle Inspection</t>
        </is>
      </c>
      <c r="J869" t="inlineStr">
        <is>
          <t>N/A</t>
        </is>
      </c>
      <c r="K869" t="inlineStr">
        <is>
          <t>6557 DE UA SWales4</t>
        </is>
      </c>
      <c r="L869" t="inlineStr">
        <is>
          <t>14/07/2025 16:09</t>
        </is>
      </c>
      <c r="M869" t="inlineStr">
        <is>
          <t>None</t>
        </is>
      </c>
      <c r="N869" t="inlineStr">
        <is>
          <t>&lt;p&gt;&lt;/p&gt;</t>
        </is>
      </c>
      <c r="O869" t="inlineStr"/>
      <c r="P869" t="inlineStr">
        <is>
          <t>EX15ZGL , Van , Ford , Transit Courier</t>
        </is>
      </c>
      <c r="Q869" t="inlineStr">
        <is>
          <t>NGED</t>
        </is>
      </c>
      <c r="R869" t="b">
        <v>0</v>
      </c>
    </row>
    <row r="870">
      <c r="A870" t="inlineStr">
        <is>
          <t>15 Jul 2025 / 7806 Optimum Tree Services Ltd</t>
        </is>
      </c>
      <c r="B870" t="inlineStr">
        <is>
          <t>Utilities &amp; Inland Waterways</t>
        </is>
      </c>
      <c r="C870" t="inlineStr">
        <is>
          <t>UKPN</t>
        </is>
      </c>
      <c r="D870" t="inlineStr">
        <is>
          <t>WD14EVB , MEWP , Land Rover , Defender</t>
        </is>
      </c>
      <c r="E870" t="inlineStr">
        <is>
          <t>WD14EVB , MEWP , Land Rover , Defender</t>
        </is>
      </c>
      <c r="F870" t="inlineStr">
        <is>
          <t>WD14EVB , MEWP , Land Rover , Defender</t>
        </is>
      </c>
      <c r="G870" t="inlineStr">
        <is>
          <t xml:space="preserve">Abraham Davies </t>
        </is>
      </c>
      <c r="H870" t="inlineStr">
        <is>
          <t>4x4</t>
        </is>
      </c>
      <c r="I870" t="inlineStr">
        <is>
          <t>Daily/ Weekly Vehicle Inspection</t>
        </is>
      </c>
      <c r="J870" t="inlineStr">
        <is>
          <t>N/A</t>
        </is>
      </c>
      <c r="K870" t="inlineStr">
        <is>
          <t>7806 Optimum Tree Services Ltd</t>
        </is>
      </c>
      <c r="L870" t="inlineStr">
        <is>
          <t>15/07/2025 07:09</t>
        </is>
      </c>
      <c r="M870" t="inlineStr">
        <is>
          <t>None</t>
        </is>
      </c>
      <c r="N870" t="inlineStr">
        <is>
          <t>&lt;p&gt;&lt;/p&gt;</t>
        </is>
      </c>
      <c r="O870" t="inlineStr"/>
      <c r="P870" t="inlineStr">
        <is>
          <t>WD14EVB , MEWP , Land Rover , Defender</t>
        </is>
      </c>
      <c r="Q870" t="inlineStr">
        <is>
          <t>UKPN</t>
        </is>
      </c>
      <c r="R870" t="b">
        <v>0</v>
      </c>
    </row>
    <row r="871">
      <c r="A871" t="inlineStr">
        <is>
          <t>15 Jul 2025 / 7940 HRJ Tree Services LTD</t>
        </is>
      </c>
      <c r="B871" t="inlineStr">
        <is>
          <t>Utilities &amp; Inland Waterways</t>
        </is>
      </c>
      <c r="C871" t="inlineStr">
        <is>
          <t>UKPN</t>
        </is>
      </c>
      <c r="D871" t="inlineStr">
        <is>
          <t>4x4 - Toyota  - Hilux - LL70GZP</t>
        </is>
      </c>
      <c r="E871" t="inlineStr">
        <is>
          <t>4x4 - Toyota  - Hilux - LL70GZP</t>
        </is>
      </c>
      <c r="F871" t="inlineStr">
        <is>
          <t>4x4 - Toyota  - Hilux - LL70GZP</t>
        </is>
      </c>
      <c r="G871" t="inlineStr">
        <is>
          <t>Harry Wilson</t>
        </is>
      </c>
      <c r="H871" t="inlineStr">
        <is>
          <t>4x4</t>
        </is>
      </c>
      <c r="I871" t="inlineStr">
        <is>
          <t>Daily/ Weekly Vehicle Inspection</t>
        </is>
      </c>
      <c r="J871" t="inlineStr">
        <is>
          <t>N/A</t>
        </is>
      </c>
      <c r="K871" t="inlineStr">
        <is>
          <t>7940 HRJ Tree Services LTD</t>
        </is>
      </c>
      <c r="L871" t="inlineStr">
        <is>
          <t>15/07/2025 07:10</t>
        </is>
      </c>
      <c r="M871" t="inlineStr">
        <is>
          <t>None</t>
        </is>
      </c>
      <c r="N871" t="inlineStr">
        <is>
          <t>&lt;p&gt;&lt;/p&gt;</t>
        </is>
      </c>
      <c r="O871" t="inlineStr"/>
      <c r="P871" t="inlineStr">
        <is>
          <t>4x4 - Toyota  - Hilux - LL70GZP</t>
        </is>
      </c>
      <c r="Q871" t="inlineStr">
        <is>
          <t>UKPN</t>
        </is>
      </c>
      <c r="R871" t="b">
        <v>0</v>
      </c>
    </row>
    <row r="872">
      <c r="A872" t="inlineStr">
        <is>
          <t>15 Jul 2025 / 7940 HRJ Tree Services LTD</t>
        </is>
      </c>
      <c r="B872" t="inlineStr">
        <is>
          <t>Utilities &amp; Inland Waterways</t>
        </is>
      </c>
      <c r="C872" t="inlineStr">
        <is>
          <t>UKPN</t>
        </is>
      </c>
      <c r="D872" t="inlineStr">
        <is>
          <t>Plant Trailer - Indespension - 211717 - 211717</t>
        </is>
      </c>
      <c r="E872" t="inlineStr">
        <is>
          <t>Plant Trailer - Indespension - 211717 - 211717</t>
        </is>
      </c>
      <c r="F872" t="inlineStr">
        <is>
          <t>Plant Trailer - Indespension - 211717 - 211717</t>
        </is>
      </c>
      <c r="G872" t="inlineStr">
        <is>
          <t xml:space="preserve">Jack Buchan </t>
        </is>
      </c>
      <c r="H872" t="inlineStr">
        <is>
          <t>Equipment Trailer</t>
        </is>
      </c>
      <c r="I872" t="inlineStr">
        <is>
          <t>Daily/ Weekly Vehicle Inspection</t>
        </is>
      </c>
      <c r="J872" t="inlineStr">
        <is>
          <t>N/A</t>
        </is>
      </c>
      <c r="K872" t="inlineStr">
        <is>
          <t>7940 HRJ Tree Services LTD</t>
        </is>
      </c>
      <c r="L872" t="inlineStr">
        <is>
          <t>15/07/2025 07:10</t>
        </is>
      </c>
      <c r="M872" t="inlineStr">
        <is>
          <t>None</t>
        </is>
      </c>
      <c r="N872" t="inlineStr">
        <is>
          <t>&lt;p&gt;&lt;/p&gt;</t>
        </is>
      </c>
      <c r="O872" t="inlineStr"/>
      <c r="P872" t="inlineStr">
        <is>
          <t>Plant Trailer - Indespension - 211717 - 211717</t>
        </is>
      </c>
      <c r="Q872" t="inlineStr">
        <is>
          <t>UKPN</t>
        </is>
      </c>
      <c r="R872" t="b">
        <v>0</v>
      </c>
    </row>
    <row r="873">
      <c r="A873" t="inlineStr">
        <is>
          <t>15 Jul 2025 / 7940 HRJ Tree Services LTD</t>
        </is>
      </c>
      <c r="B873" t="inlineStr">
        <is>
          <t>Utilities &amp; Inland Waterways</t>
        </is>
      </c>
      <c r="C873" t="inlineStr">
        <is>
          <t>UKPN</t>
        </is>
      </c>
      <c r="D873" t="inlineStr">
        <is>
          <t>Kx65fcp , 4x4 , Izuzu d max  , D max</t>
        </is>
      </c>
      <c r="E873" t="inlineStr">
        <is>
          <t>Kx65fcp , 4x4 , Izuzu d max  , D max</t>
        </is>
      </c>
      <c r="F873" t="inlineStr">
        <is>
          <t>Kx65fcp , 4x4 , Izuzu d max  , D max</t>
        </is>
      </c>
      <c r="G873" t="inlineStr">
        <is>
          <t>Jack Buchan</t>
        </is>
      </c>
      <c r="H873" t="inlineStr">
        <is>
          <t>4x4</t>
        </is>
      </c>
      <c r="I873" t="inlineStr">
        <is>
          <t>Daily/ Weekly Vehicle Inspection</t>
        </is>
      </c>
      <c r="J873" t="inlineStr">
        <is>
          <t>N/A</t>
        </is>
      </c>
      <c r="K873" t="inlineStr">
        <is>
          <t>7940 HRJ Tree Services LTD</t>
        </is>
      </c>
      <c r="L873" t="inlineStr">
        <is>
          <t>15/07/2025 07:11</t>
        </is>
      </c>
      <c r="M873" t="inlineStr">
        <is>
          <t>None</t>
        </is>
      </c>
      <c r="N873" t="inlineStr">
        <is>
          <t>&lt;p&gt;&lt;/p&gt;</t>
        </is>
      </c>
      <c r="O873" t="inlineStr"/>
      <c r="P873" t="inlineStr">
        <is>
          <t>Kx65fcp , 4x4 , Izuzu d max  , D max</t>
        </is>
      </c>
      <c r="Q873" t="inlineStr">
        <is>
          <t>UKPN</t>
        </is>
      </c>
      <c r="R873" t="b">
        <v>0</v>
      </c>
    </row>
    <row r="874">
      <c r="A874" t="inlineStr">
        <is>
          <t>15 Jul 2025 / 7186 Eastwoodbury Tree Services Ltd</t>
        </is>
      </c>
      <c r="B874" t="inlineStr">
        <is>
          <t>Utilities &amp; Inland Waterways</t>
        </is>
      </c>
      <c r="C874" t="inlineStr">
        <is>
          <t>UKPN</t>
        </is>
      </c>
      <c r="D874" t="inlineStr">
        <is>
          <t>FN600XM , 4x4 , Land Rover  , Defender</t>
        </is>
      </c>
      <c r="E874" t="inlineStr">
        <is>
          <t>FN600XM , 4x4 , Land Rover  , Defender</t>
        </is>
      </c>
      <c r="F874" t="inlineStr">
        <is>
          <t>FN600XM , 4x4 , Land Rover  , Defender</t>
        </is>
      </c>
      <c r="G874" t="inlineStr">
        <is>
          <t xml:space="preserve">Jay Denkmayer </t>
        </is>
      </c>
      <c r="H874" t="inlineStr">
        <is>
          <t>4x4</t>
        </is>
      </c>
      <c r="I874" t="inlineStr">
        <is>
          <t>Daily/ Weekly Vehicle Inspection</t>
        </is>
      </c>
      <c r="J874" t="inlineStr">
        <is>
          <t>N/A</t>
        </is>
      </c>
      <c r="K874" t="inlineStr">
        <is>
          <t>7186 Eastwoodbury Tree Services Ltd</t>
        </is>
      </c>
      <c r="L874" t="inlineStr">
        <is>
          <t>15/07/2025 08:09</t>
        </is>
      </c>
      <c r="M874" t="inlineStr">
        <is>
          <t>None</t>
        </is>
      </c>
      <c r="N874" t="inlineStr">
        <is>
          <t>&lt;p&gt;&lt;/p&gt;</t>
        </is>
      </c>
      <c r="O874" t="inlineStr"/>
      <c r="P874" t="inlineStr">
        <is>
          <t>FN600XM , 4x4 , Land Rover  , Defender</t>
        </is>
      </c>
      <c r="Q874" t="inlineStr">
        <is>
          <t>UKPN</t>
        </is>
      </c>
      <c r="R874" t="b">
        <v>0</v>
      </c>
    </row>
    <row r="875">
      <c r="A875" t="inlineStr">
        <is>
          <t>15 Jul 2025 / 7186 Eastwoodbury Tree Services Ltd</t>
        </is>
      </c>
      <c r="B875" t="inlineStr">
        <is>
          <t>Utilities &amp; Inland Waterways</t>
        </is>
      </c>
      <c r="C875" t="inlineStr">
        <is>
          <t>UKPN</t>
        </is>
      </c>
      <c r="D875" t="inlineStr">
        <is>
          <t>AO57BPF , 4x4 , Santana  , Ps10</t>
        </is>
      </c>
      <c r="E875" t="inlineStr">
        <is>
          <t>AO57BPF , 4x4 , Santana  , Ps10</t>
        </is>
      </c>
      <c r="F875" t="inlineStr">
        <is>
          <t>AO57BPF , 4x4 , Santana  , Ps10</t>
        </is>
      </c>
      <c r="G875" t="inlineStr">
        <is>
          <t xml:space="preserve">Dan Gilbert </t>
        </is>
      </c>
      <c r="H875" t="inlineStr">
        <is>
          <t>4x4</t>
        </is>
      </c>
      <c r="I875" t="inlineStr">
        <is>
          <t>Daily/ Weekly Vehicle Inspection</t>
        </is>
      </c>
      <c r="J875" t="inlineStr">
        <is>
          <t>N/A</t>
        </is>
      </c>
      <c r="K875" t="inlineStr">
        <is>
          <t>7186 Eastwoodbury Tree Services Ltd</t>
        </is>
      </c>
      <c r="L875" t="inlineStr">
        <is>
          <t>15/07/2025 08:10</t>
        </is>
      </c>
      <c r="M875" t="inlineStr">
        <is>
          <t>None</t>
        </is>
      </c>
      <c r="N875" t="inlineStr">
        <is>
          <t>&lt;p&gt;&lt;/p&gt;</t>
        </is>
      </c>
      <c r="O875" t="inlineStr"/>
      <c r="P875" t="inlineStr">
        <is>
          <t>AO57BPF , 4x4 , Santana  , Ps10</t>
        </is>
      </c>
      <c r="Q875" t="inlineStr">
        <is>
          <t>UKPN</t>
        </is>
      </c>
      <c r="R875" t="b">
        <v>0</v>
      </c>
    </row>
    <row r="876">
      <c r="A876" t="inlineStr">
        <is>
          <t>15 Jul 2025 / 6617 Ashdown Tree Limited 1</t>
        </is>
      </c>
      <c r="B876" t="inlineStr">
        <is>
          <t>Utilities &amp; Inland Waterways</t>
        </is>
      </c>
      <c r="C876" t="inlineStr">
        <is>
          <t>UKPN</t>
        </is>
      </c>
      <c r="D876" t="inlineStr">
        <is>
          <t>GU11LKD , 4x4 , Land Rover , Defender</t>
        </is>
      </c>
      <c r="E876" t="inlineStr">
        <is>
          <t>GU11LKD , 4x4 , Land Rover , Defender</t>
        </is>
      </c>
      <c r="F876" t="inlineStr">
        <is>
          <t>GU11LKD , 4x4 , Land Rover , Defender</t>
        </is>
      </c>
      <c r="G876" t="inlineStr">
        <is>
          <t xml:space="preserve">Francislesser </t>
        </is>
      </c>
      <c r="H876" t="inlineStr">
        <is>
          <t>4x4</t>
        </is>
      </c>
      <c r="I876" t="inlineStr">
        <is>
          <t>Daily/ Weekly Vehicle Inspection</t>
        </is>
      </c>
      <c r="J876" t="inlineStr">
        <is>
          <t>N/A</t>
        </is>
      </c>
      <c r="K876" t="inlineStr">
        <is>
          <t>6617 Ashdown Tree Limited 1</t>
        </is>
      </c>
      <c r="L876" t="inlineStr">
        <is>
          <t>15/07/2025 08:11</t>
        </is>
      </c>
      <c r="M876" t="inlineStr">
        <is>
          <t>None</t>
        </is>
      </c>
      <c r="N876" t="inlineStr">
        <is>
          <t>&lt;p&gt;&lt;/p&gt;</t>
        </is>
      </c>
      <c r="O876" t="inlineStr"/>
      <c r="P876" t="inlineStr">
        <is>
          <t>GU11LKD , 4x4 , Land Rover , Defender</t>
        </is>
      </c>
      <c r="Q876" t="inlineStr">
        <is>
          <t>UKPN</t>
        </is>
      </c>
      <c r="R876" t="b">
        <v>0</v>
      </c>
    </row>
    <row r="877">
      <c r="A877" t="inlineStr">
        <is>
          <t>15 Jul 2025 / 7951 Austin Tree Care LTD</t>
        </is>
      </c>
      <c r="B877" t="inlineStr">
        <is>
          <t>Utilities &amp; Inland Waterways</t>
        </is>
      </c>
      <c r="C877" t="inlineStr">
        <is>
          <t>UKPN</t>
        </is>
      </c>
      <c r="D877" t="inlineStr">
        <is>
          <t>SA9ST6P0001283612 , Tow Chipper , Forst , ST6p</t>
        </is>
      </c>
      <c r="E877" t="inlineStr">
        <is>
          <t>SA9ST6P0001283612 , Tow Chipper , Forst , ST6p</t>
        </is>
      </c>
      <c r="F877" t="inlineStr">
        <is>
          <t>SA9ST6P0001283612 , Tow Chipper , Forst , ST6p</t>
        </is>
      </c>
      <c r="G877" t="inlineStr">
        <is>
          <t>Jack Austin</t>
        </is>
      </c>
      <c r="H877" t="inlineStr">
        <is>
          <t>Towed Chipper</t>
        </is>
      </c>
      <c r="I877" t="inlineStr">
        <is>
          <t>Daily/ Weekly Vehicle Inspection</t>
        </is>
      </c>
      <c r="J877" t="inlineStr">
        <is>
          <t>N/A</t>
        </is>
      </c>
      <c r="K877" t="inlineStr">
        <is>
          <t>7951 Austin Tree Care LTD</t>
        </is>
      </c>
      <c r="L877" t="inlineStr">
        <is>
          <t>15/07/2025 08:12</t>
        </is>
      </c>
      <c r="M877" t="inlineStr">
        <is>
          <t>None</t>
        </is>
      </c>
      <c r="N877" t="inlineStr">
        <is>
          <t>&lt;p&gt;&lt;/p&gt;</t>
        </is>
      </c>
      <c r="O877" t="inlineStr"/>
      <c r="P877" t="inlineStr">
        <is>
          <t>SA9ST6P0001283612 , Tow Chipper , Forst , ST6p</t>
        </is>
      </c>
      <c r="Q877" t="inlineStr">
        <is>
          <t>UKPN</t>
        </is>
      </c>
      <c r="R877" t="b">
        <v>0</v>
      </c>
    </row>
    <row r="878">
      <c r="A878" t="inlineStr">
        <is>
          <t>15 Jul 2025 / 7951 Austin Tree Care LTD</t>
        </is>
      </c>
      <c r="B878" t="inlineStr">
        <is>
          <t>Utilities &amp; Inland Waterways</t>
        </is>
      </c>
      <c r="C878" t="inlineStr">
        <is>
          <t>UKPN</t>
        </is>
      </c>
      <c r="D878" t="inlineStr">
        <is>
          <t>WF61 HZV , 4x4 MEWP , Land Rover , Defender</t>
        </is>
      </c>
      <c r="E878" t="inlineStr">
        <is>
          <t>WF61 HZV , 4x4 MEWP , Land Rover , Defender</t>
        </is>
      </c>
      <c r="F878" t="inlineStr">
        <is>
          <t>WF61 HZV , 4x4 MEWP , Land Rover , Defender</t>
        </is>
      </c>
      <c r="G878" t="inlineStr">
        <is>
          <t>Jack Austin</t>
        </is>
      </c>
      <c r="H878" t="inlineStr">
        <is>
          <t>4x4</t>
        </is>
      </c>
      <c r="I878" t="inlineStr">
        <is>
          <t>Daily/ Weekly Vehicle Inspection</t>
        </is>
      </c>
      <c r="J878" t="inlineStr">
        <is>
          <t>N/A</t>
        </is>
      </c>
      <c r="K878" t="inlineStr">
        <is>
          <t>7951 Austin Tree Care LTD</t>
        </is>
      </c>
      <c r="L878" t="inlineStr">
        <is>
          <t>15/07/2025 08:13</t>
        </is>
      </c>
      <c r="M878" t="inlineStr">
        <is>
          <t>None</t>
        </is>
      </c>
      <c r="N878" t="inlineStr">
        <is>
          <t>&lt;p&gt;&lt;/p&gt;</t>
        </is>
      </c>
      <c r="O878" t="inlineStr"/>
      <c r="P878" t="inlineStr">
        <is>
          <t>WF61 HZV , 4x4 MEWP , Land Rover , Defender</t>
        </is>
      </c>
      <c r="Q878" t="inlineStr">
        <is>
          <t>UKPN</t>
        </is>
      </c>
      <c r="R878" t="b">
        <v>0</v>
      </c>
    </row>
    <row r="879">
      <c r="A879" t="inlineStr">
        <is>
          <t>15 Jul 2025 / 7806 Optimum Tree Services Ltd</t>
        </is>
      </c>
      <c r="B879" t="inlineStr">
        <is>
          <t>Utilities &amp; Inland Waterways</t>
        </is>
      </c>
      <c r="C879" t="inlineStr">
        <is>
          <t>UKPN</t>
        </is>
      </c>
      <c r="D879" t="inlineStr">
        <is>
          <t>SA9ST800000283069 , Chipper , Forst , ST 6P</t>
        </is>
      </c>
      <c r="E879" t="inlineStr">
        <is>
          <t>SA9ST800000283069 , Chipper , Forst , ST 6P</t>
        </is>
      </c>
      <c r="F879" t="inlineStr">
        <is>
          <t>SA9ST800000283069 , Chipper , Forst , ST 6P</t>
        </is>
      </c>
      <c r="G879" t="inlineStr">
        <is>
          <t xml:space="preserve">Abraham Davies </t>
        </is>
      </c>
      <c r="H879" t="inlineStr">
        <is>
          <t>Towed Chipper</t>
        </is>
      </c>
      <c r="I879" t="inlineStr">
        <is>
          <t>Daily/ Weekly Vehicle Inspection</t>
        </is>
      </c>
      <c r="J879" t="inlineStr">
        <is>
          <t>N/A</t>
        </is>
      </c>
      <c r="K879" t="inlineStr">
        <is>
          <t>7806 Optimum Tree Services Ltd</t>
        </is>
      </c>
      <c r="L879" t="inlineStr">
        <is>
          <t>15/07/2025 08:13</t>
        </is>
      </c>
      <c r="M879" t="inlineStr">
        <is>
          <t>None</t>
        </is>
      </c>
      <c r="N879" t="inlineStr">
        <is>
          <t>&lt;p&gt;&lt;/p&gt;</t>
        </is>
      </c>
      <c r="O879" t="inlineStr"/>
      <c r="P879" t="inlineStr">
        <is>
          <t>SA9ST800000283069 , Chipper , Forst , ST 6P</t>
        </is>
      </c>
      <c r="Q879" t="inlineStr">
        <is>
          <t>UKPN</t>
        </is>
      </c>
      <c r="R879" t="b">
        <v>0</v>
      </c>
    </row>
    <row r="880">
      <c r="A880" t="inlineStr">
        <is>
          <t>15 Jul 2025 / 3098 D &amp; R Landscapes (PEND Arb Rail)</t>
        </is>
      </c>
      <c r="B880" t="inlineStr">
        <is>
          <t>Utilities &amp; Inland Waterways</t>
        </is>
      </c>
      <c r="C880" t="inlineStr">
        <is>
          <t>UKPN</t>
        </is>
      </c>
      <c r="D880" t="inlineStr">
        <is>
          <t>FX17YVM , Vehicle , Nissan , Navara</t>
        </is>
      </c>
      <c r="E880" t="inlineStr">
        <is>
          <t>FX17YVM , Vehicle , Nissan , Navara</t>
        </is>
      </c>
      <c r="F880" t="inlineStr">
        <is>
          <t>FX17YVM , Vehicle , Nissan , Navara</t>
        </is>
      </c>
      <c r="G880" t="inlineStr">
        <is>
          <t>Jason</t>
        </is>
      </c>
      <c r="H880" t="inlineStr">
        <is>
          <t>Pickup Truck</t>
        </is>
      </c>
      <c r="I880" t="inlineStr">
        <is>
          <t>Daily/ Weekly Vehicle Inspection</t>
        </is>
      </c>
      <c r="J880" t="inlineStr">
        <is>
          <t>N/A</t>
        </is>
      </c>
      <c r="K880" t="inlineStr">
        <is>
          <t>3098 D &amp; R Landscapes (PEND Arb Rail)</t>
        </is>
      </c>
      <c r="L880" t="inlineStr">
        <is>
          <t>15/07/2025 09:09</t>
        </is>
      </c>
      <c r="M880" t="inlineStr">
        <is>
          <t>None</t>
        </is>
      </c>
      <c r="N880" t="inlineStr">
        <is>
          <t>&lt;p&gt;&lt;/p&gt;</t>
        </is>
      </c>
      <c r="O880" t="inlineStr"/>
      <c r="P880" t="inlineStr">
        <is>
          <t>FX17YVM , Vehicle , Nissan , Navara</t>
        </is>
      </c>
      <c r="Q880" t="inlineStr">
        <is>
          <t>UKPN</t>
        </is>
      </c>
      <c r="R880" t="b">
        <v>0</v>
      </c>
    </row>
    <row r="881">
      <c r="A881" t="inlineStr">
        <is>
          <t>15 Jul 2025 / 7889 Tree Tech Suffolk Ltd</t>
        </is>
      </c>
      <c r="B881" t="inlineStr">
        <is>
          <t>Utilities &amp; Inland Waterways</t>
        </is>
      </c>
      <c r="C881" t="inlineStr">
        <is>
          <t>UKPN</t>
        </is>
      </c>
      <c r="D881" t="inlineStr">
        <is>
          <t>4x4 - Isuzu - D-max - NS03 TTSTow Chipper - Jenson - A530L - 5521063948Tipper - Nissan - Navara - NS02TTS</t>
        </is>
      </c>
      <c r="E881" t="inlineStr">
        <is>
          <t>4x4 - Isuzu - D-max - NS03 TTSTow Chipper - Jenson - A530L - 5521063948Tipper - Nissan - Navara - NS02TTS</t>
        </is>
      </c>
      <c r="F881" t="inlineStr">
        <is>
          <t>4x4 - Isuzu - D-max - NS03 TTSTow Chipper - Jenson - A530L - 5521063948Tipper - Nissan - Navara - NS02TTS</t>
        </is>
      </c>
      <c r="G881" t="inlineStr">
        <is>
          <t xml:space="preserve">Danny Appleby Nikki sparrow Nikki sparrow </t>
        </is>
      </c>
      <c r="H881" t="inlineStr">
        <is>
          <t>4x4Towed ChipperTipper</t>
        </is>
      </c>
      <c r="I881" t="inlineStr">
        <is>
          <t>Daily/ Weekly Vehicle Inspection</t>
        </is>
      </c>
      <c r="J881" t="inlineStr">
        <is>
          <t>N/A</t>
        </is>
      </c>
      <c r="K881" t="inlineStr">
        <is>
          <t>7889 Tree Tech Suffolk Ltd</t>
        </is>
      </c>
      <c r="L881" t="inlineStr">
        <is>
          <t>15/07/2025 09:12</t>
        </is>
      </c>
      <c r="M881" t="inlineStr">
        <is>
          <t>None</t>
        </is>
      </c>
      <c r="N881" t="inlineStr">
        <is>
          <t>&lt;p&gt;&lt;/p&gt;</t>
        </is>
      </c>
      <c r="O881" t="inlineStr">
        <is>
          <t>Select Vehicle:KX65 FCZ</t>
        </is>
      </c>
      <c r="P881" t="inlineStr">
        <is>
          <t>4x4 - Isuzu - D-max - NS03 TTSTow Chipper - Jenson - A530L - 5521063948Tipper - Nissan - Navara - NS02TTS</t>
        </is>
      </c>
      <c r="Q881" t="inlineStr">
        <is>
          <t>UKPN</t>
        </is>
      </c>
      <c r="R881" t="b">
        <v>0</v>
      </c>
    </row>
    <row r="882">
      <c r="A882" t="inlineStr">
        <is>
          <t>15 Jul 2025 / 7535 HJ Tree Services</t>
        </is>
      </c>
      <c r="B882" t="inlineStr">
        <is>
          <t>Utilities &amp; Inland Waterways</t>
        </is>
      </c>
      <c r="C882" t="inlineStr">
        <is>
          <t>SSE</t>
        </is>
      </c>
      <c r="D882" t="inlineStr">
        <is>
          <t>4x4 - Ford - Ranger - Bh19vxz</t>
        </is>
      </c>
      <c r="E882" t="inlineStr">
        <is>
          <t>4x4 - Ford - Ranger - Bh19vxz</t>
        </is>
      </c>
      <c r="F882" t="inlineStr">
        <is>
          <t>4x4 - Ford - Ranger - Bh19vxz</t>
        </is>
      </c>
      <c r="G882" t="inlineStr">
        <is>
          <t>Cory Joy</t>
        </is>
      </c>
      <c r="H882" t="inlineStr">
        <is>
          <t>4x4</t>
        </is>
      </c>
      <c r="I882" t="inlineStr">
        <is>
          <t>Daily/ Weekly Vehicle Inspection</t>
        </is>
      </c>
      <c r="J882" t="inlineStr">
        <is>
          <t>N/A</t>
        </is>
      </c>
      <c r="K882" t="inlineStr">
        <is>
          <t>7535 HJ Tree Services</t>
        </is>
      </c>
      <c r="L882" t="inlineStr">
        <is>
          <t>15/07/2025 10:10</t>
        </is>
      </c>
      <c r="M882" t="inlineStr">
        <is>
          <t>None</t>
        </is>
      </c>
      <c r="N882" t="inlineStr">
        <is>
          <t>&lt;p&gt;&lt;/p&gt;</t>
        </is>
      </c>
      <c r="O882" t="inlineStr"/>
      <c r="P882" t="inlineStr">
        <is>
          <t>4x4 - Ford - Ranger - Bh19vxz</t>
        </is>
      </c>
      <c r="Q882" t="inlineStr">
        <is>
          <t>SSE</t>
        </is>
      </c>
      <c r="R882" t="b">
        <v>0</v>
      </c>
    </row>
    <row r="883">
      <c r="A883" t="inlineStr">
        <is>
          <t>15 Jul 2025 / Thomas Simms</t>
        </is>
      </c>
      <c r="B883" t="inlineStr">
        <is>
          <t>Utilities &amp; Inland Waterways</t>
        </is>
      </c>
      <c r="C883" t="inlineStr">
        <is>
          <t>SSE</t>
        </is>
      </c>
      <c r="D883" t="inlineStr">
        <is>
          <t>EO73KUG , Car - Electric , Kia , Niro</t>
        </is>
      </c>
      <c r="E883" t="inlineStr">
        <is>
          <t>EO73KUG , Car - Electric , Kia , Niro</t>
        </is>
      </c>
      <c r="F883" t="inlineStr">
        <is>
          <t>EO73KUG , Car - Electric , Kia , Niro</t>
        </is>
      </c>
      <c r="G883" t="inlineStr">
        <is>
          <t>Tom simms</t>
        </is>
      </c>
      <c r="H883" t="inlineStr">
        <is>
          <t>Car - Electric (GC Owned)</t>
        </is>
      </c>
      <c r="I883" t="inlineStr">
        <is>
          <t>Daily/ Weekly Vehicle Inspection</t>
        </is>
      </c>
      <c r="J883" t="inlineStr">
        <is>
          <t>N/A</t>
        </is>
      </c>
      <c r="K883" t="inlineStr">
        <is>
          <t>Thomas Simms</t>
        </is>
      </c>
      <c r="L883" t="inlineStr">
        <is>
          <t>15/07/2025 11:10</t>
        </is>
      </c>
      <c r="M883" t="inlineStr">
        <is>
          <t>None</t>
        </is>
      </c>
      <c r="N883" t="inlineStr">
        <is>
          <t>&lt;p&gt;&lt;/p&gt;</t>
        </is>
      </c>
      <c r="O883" t="inlineStr"/>
      <c r="P883" t="inlineStr">
        <is>
          <t>EO73KUG , Car - Electric , Kia , Niro</t>
        </is>
      </c>
      <c r="Q883" t="inlineStr">
        <is>
          <t>SSE</t>
        </is>
      </c>
      <c r="R883" t="b">
        <v>0</v>
      </c>
    </row>
    <row r="884">
      <c r="A884" t="inlineStr">
        <is>
          <t>16 Jul 2025 / 7940 HRJ Tree Services LTD</t>
        </is>
      </c>
      <c r="B884" t="inlineStr">
        <is>
          <t>Utilities &amp; Inland Waterways</t>
        </is>
      </c>
      <c r="C884" t="inlineStr">
        <is>
          <t>UKPN</t>
        </is>
      </c>
      <c r="D884" t="inlineStr">
        <is>
          <t>Plant Trailer - Indespension - 211717 - 211717</t>
        </is>
      </c>
      <c r="E884" t="inlineStr">
        <is>
          <t>Plant Trailer - Indespension - 211717 - 211717</t>
        </is>
      </c>
      <c r="F884" t="inlineStr">
        <is>
          <t>Plant Trailer - Indespension - 211717 - 211717</t>
        </is>
      </c>
      <c r="G884" t="inlineStr">
        <is>
          <t xml:space="preserve">Jack Buchan </t>
        </is>
      </c>
      <c r="H884" t="inlineStr">
        <is>
          <t>Equipment Trailer</t>
        </is>
      </c>
      <c r="I884" t="inlineStr">
        <is>
          <t>Daily/ Weekly Vehicle Inspection</t>
        </is>
      </c>
      <c r="J884" t="inlineStr">
        <is>
          <t>N/A</t>
        </is>
      </c>
      <c r="K884" t="inlineStr">
        <is>
          <t>7940 HRJ Tree Services LTD</t>
        </is>
      </c>
      <c r="L884" t="inlineStr">
        <is>
          <t>16/07/2025 06:10</t>
        </is>
      </c>
      <c r="M884" t="inlineStr">
        <is>
          <t>None</t>
        </is>
      </c>
      <c r="N884" t="inlineStr">
        <is>
          <t>&lt;p&gt;&lt;/p&gt;</t>
        </is>
      </c>
      <c r="O884" t="inlineStr"/>
      <c r="P884" t="inlineStr">
        <is>
          <t>Plant Trailer - Indespension - 211717 - 211717</t>
        </is>
      </c>
      <c r="Q884" t="inlineStr">
        <is>
          <t>UKPN</t>
        </is>
      </c>
      <c r="R884" t="b">
        <v>0</v>
      </c>
    </row>
    <row r="885">
      <c r="A885" t="inlineStr">
        <is>
          <t>16 Jul 2025 / 7940 HRJ Tree Services LTD</t>
        </is>
      </c>
      <c r="B885" t="inlineStr">
        <is>
          <t>Utilities &amp; Inland Waterways</t>
        </is>
      </c>
      <c r="C885" t="inlineStr">
        <is>
          <t>UKPN</t>
        </is>
      </c>
      <c r="D885" t="inlineStr">
        <is>
          <t>Kx65fcp , 4x4 , Izuzu d max  , D max</t>
        </is>
      </c>
      <c r="E885" t="inlineStr">
        <is>
          <t>Kx65fcp , 4x4 , Izuzu d max  , D max</t>
        </is>
      </c>
      <c r="F885" t="inlineStr">
        <is>
          <t>Kx65fcp , 4x4 , Izuzu d max  , D max</t>
        </is>
      </c>
      <c r="G885" t="inlineStr">
        <is>
          <t>Jack Buchan</t>
        </is>
      </c>
      <c r="H885" t="inlineStr">
        <is>
          <t>4x4</t>
        </is>
      </c>
      <c r="I885" t="inlineStr">
        <is>
          <t>Daily/ Weekly Vehicle Inspection</t>
        </is>
      </c>
      <c r="J885" t="inlineStr">
        <is>
          <t>N/A</t>
        </is>
      </c>
      <c r="K885" t="inlineStr">
        <is>
          <t>7940 HRJ Tree Services LTD</t>
        </is>
      </c>
      <c r="L885" t="inlineStr">
        <is>
          <t>16/07/2025 06:10</t>
        </is>
      </c>
      <c r="M885" t="inlineStr">
        <is>
          <t>None</t>
        </is>
      </c>
      <c r="N885" t="inlineStr">
        <is>
          <t>&lt;p&gt;&lt;/p&gt;</t>
        </is>
      </c>
      <c r="O885" t="inlineStr"/>
      <c r="P885" t="inlineStr">
        <is>
          <t>Kx65fcp , 4x4 , Izuzu d max  , D max</t>
        </is>
      </c>
      <c r="Q885" t="inlineStr">
        <is>
          <t>UKPN</t>
        </is>
      </c>
      <c r="R885" t="b">
        <v>0</v>
      </c>
    </row>
    <row r="886">
      <c r="A886" t="inlineStr">
        <is>
          <t>16 Jul 2025 / 7889 Tree Tech Suffolk Ltd</t>
        </is>
      </c>
      <c r="B886" t="inlineStr">
        <is>
          <t>Utilities &amp; Inland Waterways</t>
        </is>
      </c>
      <c r="C886" t="inlineStr">
        <is>
          <t>UKPN</t>
        </is>
      </c>
      <c r="D886" t="inlineStr">
        <is>
          <t>4x4 - Isuzu - D-max - NS03 TTSTow Chipper - Jenson - A530L - 5521063948Tipper - Nissan - Navara - NS02TTS</t>
        </is>
      </c>
      <c r="E886" t="inlineStr">
        <is>
          <t>4x4 - Isuzu - D-max - NS03 TTSTow Chipper - Jenson - A530L - 5521063948Tipper - Nissan - Navara - NS02TTS</t>
        </is>
      </c>
      <c r="F886" t="inlineStr">
        <is>
          <t>4x4 - Isuzu - D-max - NS03 TTSTow Chipper - Jenson - A530L - 5521063948Tipper - Nissan - Navara - NS02TTS</t>
        </is>
      </c>
      <c r="G886" t="inlineStr">
        <is>
          <t xml:space="preserve">Danny Appleby Nikki sparrow Nikki sparrow </t>
        </is>
      </c>
      <c r="H886" t="inlineStr">
        <is>
          <t>4x4Towed ChipperTipper</t>
        </is>
      </c>
      <c r="I886" t="inlineStr">
        <is>
          <t>Daily/ Weekly Vehicle Inspection</t>
        </is>
      </c>
      <c r="J886" t="inlineStr">
        <is>
          <t>N/A</t>
        </is>
      </c>
      <c r="K886" t="inlineStr">
        <is>
          <t>7889 Tree Tech Suffolk Ltd</t>
        </is>
      </c>
      <c r="L886" t="inlineStr">
        <is>
          <t>16/07/2025 07:10</t>
        </is>
      </c>
      <c r="M886" t="inlineStr">
        <is>
          <t>None</t>
        </is>
      </c>
      <c r="N886" t="inlineStr">
        <is>
          <t>&lt;p&gt;&lt;/p&gt;</t>
        </is>
      </c>
      <c r="O886" t="inlineStr">
        <is>
          <t>Select Vehicle:KX65 FCZ</t>
        </is>
      </c>
      <c r="P886" t="inlineStr">
        <is>
          <t>4x4 - Isuzu - D-max - NS03 TTSTow Chipper - Jenson - A530L - 5521063948Tipper - Nissan - Navara - NS02TTS</t>
        </is>
      </c>
      <c r="Q886" t="inlineStr">
        <is>
          <t>UKPN</t>
        </is>
      </c>
      <c r="R886" t="b">
        <v>0</v>
      </c>
    </row>
    <row r="887">
      <c r="A887" t="inlineStr">
        <is>
          <t>16 Jul 2025 / 7940 HRJ Tree Services LTD</t>
        </is>
      </c>
      <c r="B887" t="inlineStr">
        <is>
          <t>Utilities &amp; Inland Waterways</t>
        </is>
      </c>
      <c r="C887" t="inlineStr">
        <is>
          <t>UKPN</t>
        </is>
      </c>
      <c r="D887" t="inlineStr">
        <is>
          <t>4x4 - Toyota  - Hilux - LL70GZP</t>
        </is>
      </c>
      <c r="E887" t="inlineStr">
        <is>
          <t>4x4 - Toyota  - Hilux - LL70GZP</t>
        </is>
      </c>
      <c r="F887" t="inlineStr">
        <is>
          <t>4x4 - Toyota  - Hilux - LL70GZP</t>
        </is>
      </c>
      <c r="G887" t="inlineStr">
        <is>
          <t xml:space="preserve">Harry Wilson </t>
        </is>
      </c>
      <c r="H887" t="inlineStr">
        <is>
          <t>4x4</t>
        </is>
      </c>
      <c r="I887" t="inlineStr">
        <is>
          <t>Daily/ Weekly Vehicle Inspection</t>
        </is>
      </c>
      <c r="J887" t="inlineStr">
        <is>
          <t>N/A</t>
        </is>
      </c>
      <c r="K887" t="inlineStr">
        <is>
          <t>7940 HRJ Tree Services LTD</t>
        </is>
      </c>
      <c r="L887" t="inlineStr">
        <is>
          <t>16/07/2025 07:12</t>
        </is>
      </c>
      <c r="M887" t="inlineStr">
        <is>
          <t>None</t>
        </is>
      </c>
      <c r="N887" t="inlineStr">
        <is>
          <t>&lt;p&gt;&lt;/p&gt;</t>
        </is>
      </c>
      <c r="O887" t="inlineStr"/>
      <c r="P887" t="inlineStr">
        <is>
          <t>4x4 - Toyota  - Hilux - LL70GZP</t>
        </is>
      </c>
      <c r="Q887" t="inlineStr">
        <is>
          <t>UKPN</t>
        </is>
      </c>
      <c r="R887" t="b">
        <v>0</v>
      </c>
    </row>
    <row r="888">
      <c r="A888" t="inlineStr">
        <is>
          <t>16 Jul 2025 / Thomas Playford</t>
        </is>
      </c>
      <c r="B888" t="inlineStr">
        <is>
          <t>Utilities &amp; Inland Waterways</t>
        </is>
      </c>
      <c r="C888" t="inlineStr">
        <is>
          <t>UKPN</t>
        </is>
      </c>
      <c r="D888" t="inlineStr">
        <is>
          <t>SA9ST800000283944 , Tow Chipper , Forst , ST8D - Towed</t>
        </is>
      </c>
      <c r="E888" t="inlineStr">
        <is>
          <t>SA9ST800000283944 , Tow Chipper , Forst , ST8D - Towed</t>
        </is>
      </c>
      <c r="F888" t="inlineStr">
        <is>
          <t>SA9ST800000283944 , Tow Chipper , Forst , ST8D - Towed</t>
        </is>
      </c>
      <c r="G888" t="inlineStr">
        <is>
          <t>Jacob Oram</t>
        </is>
      </c>
      <c r="H888" t="inlineStr">
        <is>
          <t>Towed Chipper</t>
        </is>
      </c>
      <c r="I888" t="inlineStr">
        <is>
          <t>Daily/ Weekly Vehicle Inspection</t>
        </is>
      </c>
      <c r="J888" t="inlineStr">
        <is>
          <t>N/A</t>
        </is>
      </c>
      <c r="K888" t="inlineStr">
        <is>
          <t>7995 Contour Landscapes Ltd 2</t>
        </is>
      </c>
      <c r="L888" t="inlineStr">
        <is>
          <t>16/07/2025 08:10</t>
        </is>
      </c>
      <c r="M888" t="inlineStr">
        <is>
          <t>None</t>
        </is>
      </c>
      <c r="N888" t="inlineStr">
        <is>
          <t>&lt;p&gt;&lt;/p&gt;</t>
        </is>
      </c>
      <c r="O888" t="inlineStr"/>
      <c r="P888" t="inlineStr">
        <is>
          <t>SA9ST800000283944 , Tow Chipper , Forst , ST8D - Towed</t>
        </is>
      </c>
      <c r="Q888" t="inlineStr">
        <is>
          <t>UKPN</t>
        </is>
      </c>
      <c r="R888" t="b">
        <v>0</v>
      </c>
    </row>
    <row r="889">
      <c r="A889" t="inlineStr">
        <is>
          <t>16 Jul 2025 / Thomas Playford</t>
        </is>
      </c>
      <c r="B889" t="inlineStr">
        <is>
          <t>Utilities &amp; Inland Waterways</t>
        </is>
      </c>
      <c r="C889" t="inlineStr">
        <is>
          <t>UKPN</t>
        </is>
      </c>
      <c r="D889" t="inlineStr">
        <is>
          <t>YP24 WRD , Vehicle , Ford , Ranger</t>
        </is>
      </c>
      <c r="E889" t="inlineStr">
        <is>
          <t>YP24 WRD , Vehicle , Ford , Ranger</t>
        </is>
      </c>
      <c r="F889" t="inlineStr">
        <is>
          <t>YP24 WRD , Vehicle , Ford , Ranger</t>
        </is>
      </c>
      <c r="G889" t="inlineStr">
        <is>
          <t>Jacob Oram</t>
        </is>
      </c>
      <c r="H889" t="inlineStr">
        <is>
          <t>4x4</t>
        </is>
      </c>
      <c r="I889" t="inlineStr">
        <is>
          <t>Daily/ Weekly Vehicle Inspection</t>
        </is>
      </c>
      <c r="J889" t="inlineStr">
        <is>
          <t>N/A</t>
        </is>
      </c>
      <c r="K889" t="inlineStr">
        <is>
          <t>7995 Contour Landscapes Ltd 2</t>
        </is>
      </c>
      <c r="L889" t="inlineStr">
        <is>
          <t>16/07/2025 08:10</t>
        </is>
      </c>
      <c r="M889" t="inlineStr">
        <is>
          <t>None</t>
        </is>
      </c>
      <c r="N889" t="inlineStr">
        <is>
          <t>&lt;p&gt;&lt;/p&gt;</t>
        </is>
      </c>
      <c r="O889" t="inlineStr"/>
      <c r="P889" t="inlineStr">
        <is>
          <t>YP24 WRD , Vehicle , Ford , Ranger</t>
        </is>
      </c>
      <c r="Q889" t="inlineStr">
        <is>
          <t>UKPN</t>
        </is>
      </c>
      <c r="R889" t="b">
        <v>0</v>
      </c>
    </row>
    <row r="890">
      <c r="A890" t="inlineStr">
        <is>
          <t>16 Jul 2025 / Alexander Damar</t>
        </is>
      </c>
      <c r="B890" t="inlineStr">
        <is>
          <t>Utilities &amp; Inland Waterways</t>
        </is>
      </c>
      <c r="C890" t="inlineStr">
        <is>
          <t>UKPN</t>
        </is>
      </c>
      <c r="D890" t="inlineStr">
        <is>
          <t>LB73VHJ , Car - Petrol , Mg , Hs</t>
        </is>
      </c>
      <c r="E890" t="inlineStr">
        <is>
          <t>LB73VHJ , Car - Petrol , Mg , Hs</t>
        </is>
      </c>
      <c r="F890" t="inlineStr">
        <is>
          <t>LB73VHJ , Car - Petrol , Mg , Hs</t>
        </is>
      </c>
      <c r="G890" t="inlineStr">
        <is>
          <t>A damar</t>
        </is>
      </c>
      <c r="H890" t="inlineStr">
        <is>
          <t>Car - Petrol</t>
        </is>
      </c>
      <c r="I890" t="inlineStr">
        <is>
          <t>Daily/ Weekly Vehicle Inspection</t>
        </is>
      </c>
      <c r="J890" t="inlineStr">
        <is>
          <t>N/A</t>
        </is>
      </c>
      <c r="K890" t="inlineStr">
        <is>
          <t>Alexander Damar</t>
        </is>
      </c>
      <c r="L890" t="inlineStr">
        <is>
          <t>16/07/2025 08:12</t>
        </is>
      </c>
      <c r="M890" t="inlineStr">
        <is>
          <t>None</t>
        </is>
      </c>
      <c r="N890" t="inlineStr">
        <is>
          <t>&lt;p&gt;&lt;/p&gt;</t>
        </is>
      </c>
      <c r="O890" t="inlineStr"/>
      <c r="P890" t="inlineStr">
        <is>
          <t>LB73VHJ , Car - Petrol , Mg , Hs</t>
        </is>
      </c>
      <c r="Q890" t="inlineStr">
        <is>
          <t>UKPN</t>
        </is>
      </c>
      <c r="R890" t="b">
        <v>0</v>
      </c>
    </row>
    <row r="891">
      <c r="A891" t="inlineStr">
        <is>
          <t>16 Jul 2025 / 7996 M G Tree Surgery Ltd</t>
        </is>
      </c>
      <c r="B891" t="inlineStr">
        <is>
          <t>Utilities &amp; Inland Waterways</t>
        </is>
      </c>
      <c r="C891" t="inlineStr">
        <is>
          <t>UKPN</t>
        </is>
      </c>
      <c r="D891" t="inlineStr">
        <is>
          <t>GU13 WNL , MEWP , Land Rover , Defender 130</t>
        </is>
      </c>
      <c r="E891" t="inlineStr">
        <is>
          <t>GU13 WNL , MEWP , Land Rover , Defender 130</t>
        </is>
      </c>
      <c r="F891" t="inlineStr">
        <is>
          <t>GU13 WNL , MEWP , Land Rover , Defender 130</t>
        </is>
      </c>
      <c r="G891" t="inlineStr">
        <is>
          <t>Max</t>
        </is>
      </c>
      <c r="H891" t="inlineStr">
        <is>
          <t>4x4</t>
        </is>
      </c>
      <c r="I891" t="inlineStr">
        <is>
          <t>Daily/ Weekly Vehicle Inspection</t>
        </is>
      </c>
      <c r="J891" t="inlineStr">
        <is>
          <t>N/A</t>
        </is>
      </c>
      <c r="K891" t="inlineStr">
        <is>
          <t>7996 M G Tree Surgery Ltd</t>
        </is>
      </c>
      <c r="L891" t="inlineStr">
        <is>
          <t>16/07/2025 08:12</t>
        </is>
      </c>
      <c r="M891" t="inlineStr">
        <is>
          <t>None</t>
        </is>
      </c>
      <c r="N891" t="inlineStr">
        <is>
          <t>&lt;p&gt;&lt;/p&gt;</t>
        </is>
      </c>
      <c r="O891" t="inlineStr"/>
      <c r="P891" t="inlineStr">
        <is>
          <t>GU13 WNL , MEWP , Land Rover , Defender 130</t>
        </is>
      </c>
      <c r="Q891" t="inlineStr">
        <is>
          <t>UKPN</t>
        </is>
      </c>
      <c r="R891" t="b">
        <v>0</v>
      </c>
    </row>
    <row r="892">
      <c r="A892" t="inlineStr">
        <is>
          <t>16 Jul 2025 / Anthony Gale</t>
        </is>
      </c>
      <c r="B892" t="inlineStr">
        <is>
          <t>Utilities &amp; Inland Waterways</t>
        </is>
      </c>
      <c r="C892" t="inlineStr">
        <is>
          <t>UKPN</t>
        </is>
      </c>
      <c r="D892" t="inlineStr">
        <is>
          <t>PE07 HGL , Vehicle , Mitsubishi , L200 K74</t>
        </is>
      </c>
      <c r="E892" t="inlineStr">
        <is>
          <t>PE07 HGL , Vehicle , Mitsubishi , L200 K74</t>
        </is>
      </c>
      <c r="F892" t="inlineStr">
        <is>
          <t>PE07 HGL , Vehicle , Mitsubishi , L200 K74</t>
        </is>
      </c>
      <c r="G892" t="inlineStr">
        <is>
          <t xml:space="preserve">Anthony Gale </t>
        </is>
      </c>
      <c r="H892" t="inlineStr">
        <is>
          <t>Pickup Truck</t>
        </is>
      </c>
      <c r="I892" t="inlineStr">
        <is>
          <t>Daily/ Weekly Vehicle Inspection</t>
        </is>
      </c>
      <c r="J892" t="inlineStr">
        <is>
          <t>N/A</t>
        </is>
      </c>
      <c r="K892" t="inlineStr">
        <is>
          <t>7996 M G Tree Surgery Ltd 1</t>
        </is>
      </c>
      <c r="L892" t="inlineStr">
        <is>
          <t>16/07/2025 08:14</t>
        </is>
      </c>
      <c r="M892" t="inlineStr">
        <is>
          <t>None</t>
        </is>
      </c>
      <c r="N892" t="inlineStr">
        <is>
          <t>&lt;p&gt;&lt;/p&gt;</t>
        </is>
      </c>
      <c r="O892" t="inlineStr"/>
      <c r="P892" t="inlineStr">
        <is>
          <t>PE07 HGL , Vehicle , Mitsubishi , L200 K74</t>
        </is>
      </c>
      <c r="Q892" t="inlineStr">
        <is>
          <t>UKPN</t>
        </is>
      </c>
      <c r="R892" t="b">
        <v>0</v>
      </c>
    </row>
    <row r="893">
      <c r="A893" t="inlineStr">
        <is>
          <t>16 Jul 2025 / 7951 Austin Tree Care LTD</t>
        </is>
      </c>
      <c r="B893" t="inlineStr">
        <is>
          <t>Utilities &amp; Inland Waterways</t>
        </is>
      </c>
      <c r="C893" t="inlineStr">
        <is>
          <t>UKPN</t>
        </is>
      </c>
      <c r="D893" t="inlineStr">
        <is>
          <t>SA9ST6P0001283612 , Tow Chipper , Forst , ST6p</t>
        </is>
      </c>
      <c r="E893" t="inlineStr">
        <is>
          <t>SA9ST6P0001283612 , Tow Chipper , Forst , ST6p</t>
        </is>
      </c>
      <c r="F893" t="inlineStr">
        <is>
          <t>SA9ST6P0001283612 , Tow Chipper , Forst , ST6p</t>
        </is>
      </c>
      <c r="G893" t="inlineStr">
        <is>
          <t xml:space="preserve">Jack Austin </t>
        </is>
      </c>
      <c r="H893" t="inlineStr">
        <is>
          <t>Towed Chipper</t>
        </is>
      </c>
      <c r="I893" t="inlineStr">
        <is>
          <t>Daily/ Weekly Vehicle Inspection</t>
        </is>
      </c>
      <c r="J893" t="inlineStr">
        <is>
          <t>N/A</t>
        </is>
      </c>
      <c r="K893" t="inlineStr">
        <is>
          <t>7951 Austin Tree Care LTD</t>
        </is>
      </c>
      <c r="L893" t="inlineStr">
        <is>
          <t>16/07/2025 08:14</t>
        </is>
      </c>
      <c r="M893" t="inlineStr">
        <is>
          <t>None</t>
        </is>
      </c>
      <c r="N893" t="inlineStr">
        <is>
          <t>&lt;p&gt;&lt;/p&gt;</t>
        </is>
      </c>
      <c r="O893" t="inlineStr"/>
      <c r="P893" t="inlineStr">
        <is>
          <t>SA9ST6P0001283612 , Tow Chipper , Forst , ST6p</t>
        </is>
      </c>
      <c r="Q893" t="inlineStr">
        <is>
          <t>UKPN</t>
        </is>
      </c>
      <c r="R893" t="b">
        <v>0</v>
      </c>
    </row>
    <row r="894">
      <c r="A894" t="inlineStr">
        <is>
          <t>16 Jul 2025 / 7951 Austin Tree Care LTD</t>
        </is>
      </c>
      <c r="B894" t="inlineStr">
        <is>
          <t>Utilities &amp; Inland Waterways</t>
        </is>
      </c>
      <c r="C894" t="inlineStr">
        <is>
          <t>UKPN</t>
        </is>
      </c>
      <c r="D894" t="inlineStr">
        <is>
          <t>WF61 HZV , 4x4 MEWP , Land Rover , Defender</t>
        </is>
      </c>
      <c r="E894" t="inlineStr">
        <is>
          <t>WF61 HZV , 4x4 MEWP , Land Rover , Defender</t>
        </is>
      </c>
      <c r="F894" t="inlineStr">
        <is>
          <t>WF61 HZV , 4x4 MEWP , Land Rover , Defender</t>
        </is>
      </c>
      <c r="G894" t="inlineStr">
        <is>
          <t xml:space="preserve">Jack Austin </t>
        </is>
      </c>
      <c r="H894" t="inlineStr">
        <is>
          <t>4x4</t>
        </is>
      </c>
      <c r="I894" t="inlineStr">
        <is>
          <t>Daily/ Weekly Vehicle Inspection</t>
        </is>
      </c>
      <c r="J894" t="inlineStr">
        <is>
          <t>N/A</t>
        </is>
      </c>
      <c r="K894" t="inlineStr">
        <is>
          <t>7951 Austin Tree Care LTD</t>
        </is>
      </c>
      <c r="L894" t="inlineStr">
        <is>
          <t>16/07/2025 08:15</t>
        </is>
      </c>
      <c r="M894" t="inlineStr">
        <is>
          <t>None</t>
        </is>
      </c>
      <c r="N894" t="inlineStr">
        <is>
          <t>&lt;p&gt;&lt;/p&gt;</t>
        </is>
      </c>
      <c r="O894" t="inlineStr"/>
      <c r="P894" t="inlineStr">
        <is>
          <t>WF61 HZV , 4x4 MEWP , Land Rover , Defender</t>
        </is>
      </c>
      <c r="Q894" t="inlineStr">
        <is>
          <t>UKPN</t>
        </is>
      </c>
      <c r="R894" t="b">
        <v>0</v>
      </c>
    </row>
    <row r="895">
      <c r="A895" t="inlineStr">
        <is>
          <t>16 Jul 2025 / 6617 Ashdown Tree Limited 1</t>
        </is>
      </c>
      <c r="B895" t="inlineStr">
        <is>
          <t>Utilities &amp; Inland Waterways</t>
        </is>
      </c>
      <c r="C895" t="inlineStr">
        <is>
          <t>UKPN</t>
        </is>
      </c>
      <c r="D895" t="inlineStr">
        <is>
          <t>FE11BUT , Tipper , Ford , Transit</t>
        </is>
      </c>
      <c r="E895" t="inlineStr">
        <is>
          <t>FE11BUT , Tipper , Ford , Transit</t>
        </is>
      </c>
      <c r="F895" t="inlineStr">
        <is>
          <t>FE11BUT , Tipper , Ford , Transit</t>
        </is>
      </c>
      <c r="G895" t="inlineStr">
        <is>
          <t xml:space="preserve">Luke williams </t>
        </is>
      </c>
      <c r="H895" t="inlineStr">
        <is>
          <t>Tipper</t>
        </is>
      </c>
      <c r="I895" t="inlineStr">
        <is>
          <t>Daily/ Weekly Vehicle Inspection</t>
        </is>
      </c>
      <c r="J895" t="inlineStr">
        <is>
          <t>N/A</t>
        </is>
      </c>
      <c r="K895" t="inlineStr">
        <is>
          <t>6617 Ashdown Tree Limited 1</t>
        </is>
      </c>
      <c r="L895" t="inlineStr">
        <is>
          <t>16/07/2025 08:16</t>
        </is>
      </c>
      <c r="M895" t="inlineStr">
        <is>
          <t>None</t>
        </is>
      </c>
      <c r="N895" t="inlineStr">
        <is>
          <t>&lt;p&gt;&lt;/p&gt;</t>
        </is>
      </c>
      <c r="O895" t="inlineStr"/>
      <c r="P895" t="inlineStr">
        <is>
          <t>FE11BUT , Tipper , Ford , Transit</t>
        </is>
      </c>
      <c r="Q895" t="inlineStr">
        <is>
          <t>UKPN</t>
        </is>
      </c>
      <c r="R895" t="b">
        <v>0</v>
      </c>
    </row>
    <row r="896">
      <c r="A896" t="inlineStr">
        <is>
          <t>16 Jul 2025 / 6617 Ashdown Tree Limited 1</t>
        </is>
      </c>
      <c r="B896" t="inlineStr">
        <is>
          <t>Utilities &amp; Inland Waterways</t>
        </is>
      </c>
      <c r="C896" t="inlineStr">
        <is>
          <t>UKPN</t>
        </is>
      </c>
      <c r="D896" t="inlineStr">
        <is>
          <t>Tipper - Ford transit  - Ford - AV69LVR</t>
        </is>
      </c>
      <c r="E896" t="inlineStr">
        <is>
          <t>Tipper - Ford transit  - Ford - AV69LVR</t>
        </is>
      </c>
      <c r="F896" t="inlineStr">
        <is>
          <t>Tipper - Ford transit  - Ford - AV69LVR</t>
        </is>
      </c>
      <c r="G896" t="inlineStr">
        <is>
          <t xml:space="preserve">Francislesser </t>
        </is>
      </c>
      <c r="H896" t="inlineStr">
        <is>
          <t>Tipper</t>
        </is>
      </c>
      <c r="I896" t="inlineStr">
        <is>
          <t>Daily/ Weekly Vehicle Inspection</t>
        </is>
      </c>
      <c r="J896" t="inlineStr">
        <is>
          <t>N/A</t>
        </is>
      </c>
      <c r="K896" t="inlineStr">
        <is>
          <t>6617 Ashdown Tree Limited 1</t>
        </is>
      </c>
      <c r="L896" t="inlineStr">
        <is>
          <t>16/07/2025 08:16</t>
        </is>
      </c>
      <c r="M896" t="inlineStr">
        <is>
          <t>None</t>
        </is>
      </c>
      <c r="N896" t="inlineStr">
        <is>
          <t>&lt;p&gt;&lt;/p&gt;</t>
        </is>
      </c>
      <c r="O896" t="inlineStr">
        <is>
          <t>Select Vehicle:Plus trailer</t>
        </is>
      </c>
      <c r="P896" t="inlineStr">
        <is>
          <t>Tipper - Ford transit  - Ford - AV69LVR</t>
        </is>
      </c>
      <c r="Q896" t="inlineStr">
        <is>
          <t>UKPN</t>
        </is>
      </c>
      <c r="R896" t="b">
        <v>0</v>
      </c>
    </row>
    <row r="897">
      <c r="A897" t="inlineStr">
        <is>
          <t>16 Jul 2025 / 7186 Eastwoodbury Tree Services Ltd</t>
        </is>
      </c>
      <c r="B897" t="inlineStr">
        <is>
          <t>Utilities &amp; Inland Waterways</t>
        </is>
      </c>
      <c r="C897" t="inlineStr">
        <is>
          <t>UKPN</t>
        </is>
      </c>
      <c r="D897" t="inlineStr">
        <is>
          <t>FN600XM , 4x4 , Land Rover  , Defender</t>
        </is>
      </c>
      <c r="E897" t="inlineStr">
        <is>
          <t>FN600XM , 4x4 , Land Rover  , Defender</t>
        </is>
      </c>
      <c r="F897" t="inlineStr">
        <is>
          <t>FN600XM , 4x4 , Land Rover  , Defender</t>
        </is>
      </c>
      <c r="G897" t="inlineStr">
        <is>
          <t xml:space="preserve">Jay Denkmayer </t>
        </is>
      </c>
      <c r="H897" t="inlineStr">
        <is>
          <t>4x4</t>
        </is>
      </c>
      <c r="I897" t="inlineStr">
        <is>
          <t>Daily/ Weekly Vehicle Inspection</t>
        </is>
      </c>
      <c r="J897" t="inlineStr">
        <is>
          <t>N/A</t>
        </is>
      </c>
      <c r="K897" t="inlineStr">
        <is>
          <t>7186 Eastwoodbury Tree Services Ltd</t>
        </is>
      </c>
      <c r="L897" t="inlineStr">
        <is>
          <t>16/07/2025 08:17</t>
        </is>
      </c>
      <c r="M897" t="inlineStr">
        <is>
          <t>None</t>
        </is>
      </c>
      <c r="N897" t="inlineStr">
        <is>
          <t>&lt;p&gt;&lt;/p&gt;</t>
        </is>
      </c>
      <c r="O897" t="inlineStr"/>
      <c r="P897" t="inlineStr">
        <is>
          <t>FN600XM , 4x4 , Land Rover  , Defender</t>
        </is>
      </c>
      <c r="Q897" t="inlineStr">
        <is>
          <t>UKPN</t>
        </is>
      </c>
      <c r="R897" t="b">
        <v>0</v>
      </c>
    </row>
    <row r="898">
      <c r="A898" t="inlineStr">
        <is>
          <t>16 Jul 2025 / 7806 Optimum Tree Services Ltd</t>
        </is>
      </c>
      <c r="B898" t="inlineStr">
        <is>
          <t>Utilities &amp; Inland Waterways</t>
        </is>
      </c>
      <c r="C898" t="inlineStr">
        <is>
          <t>UKPN</t>
        </is>
      </c>
      <c r="D898" t="inlineStr">
        <is>
          <t>SA9ST800000283069 , Chipper , Forst , ST 6P</t>
        </is>
      </c>
      <c r="E898" t="inlineStr">
        <is>
          <t>SA9ST800000283069 , Chipper , Forst , ST 6P</t>
        </is>
      </c>
      <c r="F898" t="inlineStr">
        <is>
          <t>SA9ST800000283069 , Chipper , Forst , ST 6P</t>
        </is>
      </c>
      <c r="G898" t="inlineStr">
        <is>
          <t xml:space="preserve">Abraham Davies </t>
        </is>
      </c>
      <c r="H898" t="inlineStr">
        <is>
          <t>Towed Chipper</t>
        </is>
      </c>
      <c r="I898" t="inlineStr">
        <is>
          <t>Daily/ Weekly Vehicle Inspection</t>
        </is>
      </c>
      <c r="J898" t="inlineStr">
        <is>
          <t>N/A</t>
        </is>
      </c>
      <c r="K898" t="inlineStr">
        <is>
          <t>7806 Optimum Tree Services Ltd</t>
        </is>
      </c>
      <c r="L898" t="inlineStr">
        <is>
          <t>16/07/2025 08:18</t>
        </is>
      </c>
      <c r="M898" t="inlineStr">
        <is>
          <t>None</t>
        </is>
      </c>
      <c r="N898" t="inlineStr">
        <is>
          <t>&lt;p&gt;&lt;/p&gt;</t>
        </is>
      </c>
      <c r="O898" t="inlineStr"/>
      <c r="P898" t="inlineStr">
        <is>
          <t>SA9ST800000283069 , Chipper , Forst , ST 6P</t>
        </is>
      </c>
      <c r="Q898" t="inlineStr">
        <is>
          <t>UKPN</t>
        </is>
      </c>
      <c r="R898" t="b">
        <v>0</v>
      </c>
    </row>
    <row r="899">
      <c r="A899" t="inlineStr">
        <is>
          <t>16 Jul 2025 / 7186 Eastwoodbury Tree Services Ltd</t>
        </is>
      </c>
      <c r="B899" t="inlineStr">
        <is>
          <t>Utilities &amp; Inland Waterways</t>
        </is>
      </c>
      <c r="C899" t="inlineStr">
        <is>
          <t>UKPN</t>
        </is>
      </c>
      <c r="D899" t="inlineStr">
        <is>
          <t>AO57BPF , 4x4 , Santana  , Ps10</t>
        </is>
      </c>
      <c r="E899" t="inlineStr">
        <is>
          <t>AO57BPF , 4x4 , Santana  , Ps10</t>
        </is>
      </c>
      <c r="F899" t="inlineStr">
        <is>
          <t>AO57BPF , 4x4 , Santana  , Ps10</t>
        </is>
      </c>
      <c r="G899" t="inlineStr">
        <is>
          <t xml:space="preserve">Dan Gilbert </t>
        </is>
      </c>
      <c r="H899" t="inlineStr">
        <is>
          <t>4x4</t>
        </is>
      </c>
      <c r="I899" t="inlineStr">
        <is>
          <t>Daily/ Weekly Vehicle Inspection</t>
        </is>
      </c>
      <c r="J899" t="inlineStr">
        <is>
          <t>N/A</t>
        </is>
      </c>
      <c r="K899" t="inlineStr">
        <is>
          <t>7186 Eastwoodbury Tree Services Ltd</t>
        </is>
      </c>
      <c r="L899" t="inlineStr">
        <is>
          <t>16/07/2025 08:18</t>
        </is>
      </c>
      <c r="M899" t="inlineStr">
        <is>
          <t>None</t>
        </is>
      </c>
      <c r="N899" t="inlineStr">
        <is>
          <t>&lt;p&gt;&lt;/p&gt;</t>
        </is>
      </c>
      <c r="O899" t="inlineStr"/>
      <c r="P899" t="inlineStr">
        <is>
          <t>AO57BPF , 4x4 , Santana  , Ps10</t>
        </is>
      </c>
      <c r="Q899" t="inlineStr">
        <is>
          <t>UKPN</t>
        </is>
      </c>
      <c r="R899" t="b">
        <v>0</v>
      </c>
    </row>
    <row r="900">
      <c r="A900" t="inlineStr">
        <is>
          <t>16 Jul 2025 / 7806 Optimum Tree Services Ltd</t>
        </is>
      </c>
      <c r="B900" t="inlineStr">
        <is>
          <t>Utilities &amp; Inland Waterways</t>
        </is>
      </c>
      <c r="C900" t="inlineStr">
        <is>
          <t>UKPN</t>
        </is>
      </c>
      <c r="D900" t="inlineStr">
        <is>
          <t>WD14EVB , MEWP , Land Rover , Defender</t>
        </is>
      </c>
      <c r="E900" t="inlineStr">
        <is>
          <t>WD14EVB , MEWP , Land Rover , Defender</t>
        </is>
      </c>
      <c r="F900" t="inlineStr">
        <is>
          <t>WD14EVB , MEWP , Land Rover , Defender</t>
        </is>
      </c>
      <c r="G900" t="inlineStr">
        <is>
          <t xml:space="preserve">Abraham Davies </t>
        </is>
      </c>
      <c r="H900" t="inlineStr">
        <is>
          <t>4x4</t>
        </is>
      </c>
      <c r="I900" t="inlineStr">
        <is>
          <t>Daily/ Weekly Vehicle Inspection</t>
        </is>
      </c>
      <c r="J900" t="inlineStr">
        <is>
          <t>N/A</t>
        </is>
      </c>
      <c r="K900" t="inlineStr">
        <is>
          <t>7806 Optimum Tree Services Ltd</t>
        </is>
      </c>
      <c r="L900" t="inlineStr">
        <is>
          <t>16/07/2025 08:19</t>
        </is>
      </c>
      <c r="M900" t="inlineStr">
        <is>
          <t>None</t>
        </is>
      </c>
      <c r="N900" t="inlineStr">
        <is>
          <t>&lt;p&gt;&lt;/p&gt;</t>
        </is>
      </c>
      <c r="O900" t="inlineStr"/>
      <c r="P900" t="inlineStr">
        <is>
          <t>WD14EVB , MEWP , Land Rover , Defender</t>
        </is>
      </c>
      <c r="Q900" t="inlineStr">
        <is>
          <t>UKPN</t>
        </is>
      </c>
      <c r="R900" t="b">
        <v>0</v>
      </c>
    </row>
    <row r="901">
      <c r="A901" t="inlineStr">
        <is>
          <t>16 Jul 2025 / 3098 D &amp; R Landscapes (PEND Arb Rail)</t>
        </is>
      </c>
      <c r="B901" t="inlineStr">
        <is>
          <t>Utilities &amp; Inland Waterways</t>
        </is>
      </c>
      <c r="C901" t="inlineStr">
        <is>
          <t>UKPN</t>
        </is>
      </c>
      <c r="D901" t="inlineStr">
        <is>
          <t>FX17YVM , Vehicle , Nissan , Navara</t>
        </is>
      </c>
      <c r="E901" t="inlineStr">
        <is>
          <t>FX17YVM , Vehicle , Nissan , Navara</t>
        </is>
      </c>
      <c r="F901" t="inlineStr">
        <is>
          <t>FX17YVM , Vehicle , Nissan , Navara</t>
        </is>
      </c>
      <c r="G901" t="inlineStr">
        <is>
          <t>Jason</t>
        </is>
      </c>
      <c r="H901" t="inlineStr">
        <is>
          <t>Pickup Truck</t>
        </is>
      </c>
      <c r="I901" t="inlineStr">
        <is>
          <t>Daily/ Weekly Vehicle Inspection</t>
        </is>
      </c>
      <c r="J901" t="inlineStr">
        <is>
          <t>N/A</t>
        </is>
      </c>
      <c r="K901" t="inlineStr">
        <is>
          <t>3098 D &amp; R Landscapes (PEND Arb Rail)</t>
        </is>
      </c>
      <c r="L901" t="inlineStr">
        <is>
          <t>16/07/2025 09:11</t>
        </is>
      </c>
      <c r="M901" t="inlineStr">
        <is>
          <t>None</t>
        </is>
      </c>
      <c r="N901" t="inlineStr">
        <is>
          <t>&lt;p&gt;&lt;/p&gt;</t>
        </is>
      </c>
      <c r="O901" t="inlineStr"/>
      <c r="P901" t="inlineStr">
        <is>
          <t>FX17YVM , Vehicle , Nissan , Navara</t>
        </is>
      </c>
      <c r="Q901" t="inlineStr">
        <is>
          <t>UKPN</t>
        </is>
      </c>
      <c r="R901" t="b">
        <v>0</v>
      </c>
    </row>
    <row r="902">
      <c r="A902" t="inlineStr">
        <is>
          <t>16 Jul 2025 / 3098 D &amp; R Landscapes (PEND Arb Rail)</t>
        </is>
      </c>
      <c r="B902" t="inlineStr">
        <is>
          <t>Utilities &amp; Inland Waterways</t>
        </is>
      </c>
      <c r="C902" t="inlineStr">
        <is>
          <t>UKPN</t>
        </is>
      </c>
      <c r="D902" t="inlineStr">
        <is>
          <t>WA13ZZK , 4x4 , Land Rover  , Defender</t>
        </is>
      </c>
      <c r="E902" t="inlineStr">
        <is>
          <t>WA13ZZK , 4x4 , Land Rover  , Defender</t>
        </is>
      </c>
      <c r="F902" t="inlineStr">
        <is>
          <t>WA13ZZK , 4x4 , Land Rover  , Defender</t>
        </is>
      </c>
      <c r="G902" t="inlineStr">
        <is>
          <t xml:space="preserve">Dylan </t>
        </is>
      </c>
      <c r="H902" t="inlineStr">
        <is>
          <t>Pickup Truck</t>
        </is>
      </c>
      <c r="I902" t="inlineStr">
        <is>
          <t>Daily/ Weekly Vehicle Inspection</t>
        </is>
      </c>
      <c r="J902" t="inlineStr">
        <is>
          <t>N/A</t>
        </is>
      </c>
      <c r="K902" t="inlineStr">
        <is>
          <t>3098 D &amp; R Landscapes (PEND Arb Rail)</t>
        </is>
      </c>
      <c r="L902" t="inlineStr">
        <is>
          <t>16/07/2025 09:12</t>
        </is>
      </c>
      <c r="M902" t="inlineStr">
        <is>
          <t>None</t>
        </is>
      </c>
      <c r="N902" t="inlineStr">
        <is>
          <t>&lt;p&gt;&lt;/p&gt;</t>
        </is>
      </c>
      <c r="O902" t="inlineStr"/>
      <c r="P902" t="inlineStr">
        <is>
          <t>WA13ZZK , 4x4 , Land Rover  , Defender</t>
        </is>
      </c>
      <c r="Q902" t="inlineStr">
        <is>
          <t>UKPN</t>
        </is>
      </c>
      <c r="R902" t="b">
        <v>0</v>
      </c>
    </row>
    <row r="903">
      <c r="A903" t="inlineStr">
        <is>
          <t>16 Jul 2025 / Mathew Dunn</t>
        </is>
      </c>
      <c r="B903" t="inlineStr">
        <is>
          <t>Utilities &amp; Inland Waterways</t>
        </is>
      </c>
      <c r="C903" t="inlineStr">
        <is>
          <t>SSE</t>
        </is>
      </c>
      <c r="D903" t="inlineStr">
        <is>
          <t>Car - Petrol - Vauxhall  - Mokka - Ds23 pkf</t>
        </is>
      </c>
      <c r="E903" t="inlineStr">
        <is>
          <t>Car - Petrol - Vauxhall  - Mokka - Ds23 pkf</t>
        </is>
      </c>
      <c r="F903" t="inlineStr">
        <is>
          <t>Car - Petrol - Vauxhall  - Mokka - Ds23 pkf</t>
        </is>
      </c>
      <c r="G903" t="inlineStr">
        <is>
          <t xml:space="preserve">Mathew dunn </t>
        </is>
      </c>
      <c r="H903" t="inlineStr">
        <is>
          <t>Car - Petrol</t>
        </is>
      </c>
      <c r="I903" t="inlineStr">
        <is>
          <t>Daily/ Weekly Vehicle Inspection</t>
        </is>
      </c>
      <c r="J903" t="inlineStr">
        <is>
          <t>N/A</t>
        </is>
      </c>
      <c r="K903" t="inlineStr">
        <is>
          <t>Mathew Dunn</t>
        </is>
      </c>
      <c r="L903" t="inlineStr">
        <is>
          <t>16/07/2025 11:10</t>
        </is>
      </c>
      <c r="M903" t="inlineStr">
        <is>
          <t>None</t>
        </is>
      </c>
      <c r="N903" t="inlineStr">
        <is>
          <t>&lt;p&gt;&lt;/p&gt;</t>
        </is>
      </c>
      <c r="O903" t="inlineStr"/>
      <c r="P903" t="inlineStr">
        <is>
          <t>Car - Petrol - Vauxhall  - Mokka - Ds23 pkf</t>
        </is>
      </c>
      <c r="Q903" t="inlineStr">
        <is>
          <t>SSE</t>
        </is>
      </c>
      <c r="R903" t="b">
        <v>0</v>
      </c>
    </row>
    <row r="904">
      <c r="A904" t="inlineStr">
        <is>
          <t>16 Jul 2025 / Philip Shaw</t>
        </is>
      </c>
      <c r="B904" t="inlineStr">
        <is>
          <t>Utilities &amp; Inland Waterways</t>
        </is>
      </c>
      <c r="C904" t="inlineStr">
        <is>
          <t>NGED</t>
        </is>
      </c>
      <c r="D904" t="inlineStr">
        <is>
          <t>AF22TZO , Car - Electric , Tesla , Model 3 Long Range AWD</t>
        </is>
      </c>
      <c r="E904" t="inlineStr">
        <is>
          <t>AF22TZO , Car - Electric , Tesla , Model 3 Long Range AWD</t>
        </is>
      </c>
      <c r="F904" t="inlineStr">
        <is>
          <t>AF22TZO , Car - Electric , Tesla , Model 3 Long Range AWD</t>
        </is>
      </c>
      <c r="G904" t="inlineStr">
        <is>
          <t xml:space="preserve">Phil shaw </t>
        </is>
      </c>
      <c r="H904" t="inlineStr">
        <is>
          <t>Car - Electric (GC Owned)</t>
        </is>
      </c>
      <c r="I904" t="inlineStr">
        <is>
          <t>Daily/ Weekly Vehicle Inspection</t>
        </is>
      </c>
      <c r="J904" t="inlineStr">
        <is>
          <t>N/A</t>
        </is>
      </c>
      <c r="K904" t="inlineStr">
        <is>
          <t>Philip Shaw</t>
        </is>
      </c>
      <c r="L904" t="inlineStr">
        <is>
          <t>16/07/2025 16:11</t>
        </is>
      </c>
      <c r="M904" t="inlineStr">
        <is>
          <t>None</t>
        </is>
      </c>
      <c r="N904" t="inlineStr">
        <is>
          <t>&lt;p&gt;&lt;/p&gt;</t>
        </is>
      </c>
      <c r="O904" t="inlineStr"/>
      <c r="P904" t="inlineStr">
        <is>
          <t>AF22TZO , Car - Electric , Tesla , Model 3 Long Range AWD</t>
        </is>
      </c>
      <c r="Q904" t="inlineStr">
        <is>
          <t>NGED</t>
        </is>
      </c>
      <c r="R904" t="b">
        <v>0</v>
      </c>
    </row>
    <row r="905">
      <c r="A905" t="inlineStr">
        <is>
          <t>10 Jul 2025 / Paul Chubb</t>
        </is>
      </c>
      <c r="B905" t="inlineStr">
        <is>
          <t>Utilities &amp; Inland Waterways</t>
        </is>
      </c>
      <c r="C905" t="inlineStr">
        <is>
          <t>SSE</t>
        </is>
      </c>
      <c r="D905" t="inlineStr"/>
      <c r="E905" t="inlineStr"/>
      <c r="F905" t="inlineStr"/>
      <c r="G905" t="inlineStr"/>
      <c r="H905" t="inlineStr"/>
      <c r="I905" t="inlineStr">
        <is>
          <t>Add to Vehicle to the GC Vehicle List</t>
        </is>
      </c>
      <c r="J905" t="inlineStr">
        <is>
          <t>N/A</t>
        </is>
      </c>
      <c r="K905" t="inlineStr">
        <is>
          <t>Paul Chubb</t>
        </is>
      </c>
      <c r="L905" t="inlineStr">
        <is>
          <t>16/07/2025 17:11</t>
        </is>
      </c>
      <c r="M905" t="inlineStr">
        <is>
          <t>None</t>
        </is>
      </c>
      <c r="N905" t="inlineStr">
        <is>
          <t>&lt;p&gt;&lt;/p&gt;</t>
        </is>
      </c>
      <c r="O905" t="inlineStr"/>
      <c r="P905" t="inlineStr"/>
      <c r="Q905" t="inlineStr">
        <is>
          <t>SSE</t>
        </is>
      </c>
      <c r="R905" t="b">
        <v>0</v>
      </c>
    </row>
    <row r="906">
      <c r="A906" t="inlineStr">
        <is>
          <t>10 Jul 2025 / Paul Chubb</t>
        </is>
      </c>
      <c r="B906" t="inlineStr">
        <is>
          <t>Utilities &amp; Inland Waterways</t>
        </is>
      </c>
      <c r="C906" t="inlineStr">
        <is>
          <t>SSE</t>
        </is>
      </c>
      <c r="D906" t="inlineStr">
        <is>
          <t>BK63OKB , Van , Ford  , Transit</t>
        </is>
      </c>
      <c r="E906" t="inlineStr">
        <is>
          <t>BK63OKB , Van , Ford  , Transit</t>
        </is>
      </c>
      <c r="F906" t="inlineStr">
        <is>
          <t>BK63OKB , Van , Ford  , Transit</t>
        </is>
      </c>
      <c r="G906" t="inlineStr">
        <is>
          <t>Paul chubb</t>
        </is>
      </c>
      <c r="H906" t="inlineStr">
        <is>
          <t>Van</t>
        </is>
      </c>
      <c r="I906" t="inlineStr">
        <is>
          <t>Daily/ Weekly Vehicle Inspection</t>
        </is>
      </c>
      <c r="J906" t="inlineStr">
        <is>
          <t>N/A</t>
        </is>
      </c>
      <c r="K906" t="inlineStr">
        <is>
          <t>Paul Chubb</t>
        </is>
      </c>
      <c r="L906" t="inlineStr">
        <is>
          <t>16/07/2025 17:12</t>
        </is>
      </c>
      <c r="M906" t="inlineStr">
        <is>
          <t>None</t>
        </is>
      </c>
      <c r="N906" t="inlineStr">
        <is>
          <t>&lt;p&gt;&lt;/p&gt;</t>
        </is>
      </c>
      <c r="O906" t="inlineStr"/>
      <c r="P906" t="inlineStr">
        <is>
          <t>BK63OKB , Van , Ford  , Transit</t>
        </is>
      </c>
      <c r="Q906" t="inlineStr">
        <is>
          <t>SSE</t>
        </is>
      </c>
      <c r="R906" t="b">
        <v>0</v>
      </c>
    </row>
    <row r="907">
      <c r="A907" t="inlineStr">
        <is>
          <t>17 Jul 2025 / 7951 Austin Tree Care LTD</t>
        </is>
      </c>
      <c r="B907" t="inlineStr">
        <is>
          <t>Utilities &amp; Inland Waterways</t>
        </is>
      </c>
      <c r="C907" t="inlineStr">
        <is>
          <t>UKPN</t>
        </is>
      </c>
      <c r="D907" t="inlineStr">
        <is>
          <t>SA9ST6P0001283612 , Tow Chipper , Forst , ST6p</t>
        </is>
      </c>
      <c r="E907" t="inlineStr">
        <is>
          <t>SA9ST6P0001283612 , Tow Chipper , Forst , ST6p</t>
        </is>
      </c>
      <c r="F907" t="inlineStr">
        <is>
          <t>SA9ST6P0001283612 , Tow Chipper , Forst , ST6p</t>
        </is>
      </c>
      <c r="G907" t="inlineStr">
        <is>
          <t>Jack Austin</t>
        </is>
      </c>
      <c r="H907" t="inlineStr">
        <is>
          <t>Towed Chipper</t>
        </is>
      </c>
      <c r="I907" t="inlineStr">
        <is>
          <t>Daily/ Weekly Vehicle Inspection</t>
        </is>
      </c>
      <c r="J907" t="inlineStr">
        <is>
          <t>N/A</t>
        </is>
      </c>
      <c r="K907" t="inlineStr">
        <is>
          <t>7951 Austin Tree Care LTD</t>
        </is>
      </c>
      <c r="L907" t="inlineStr">
        <is>
          <t>17/07/2025 07:10</t>
        </is>
      </c>
      <c r="M907" t="inlineStr">
        <is>
          <t>None</t>
        </is>
      </c>
      <c r="N907" t="inlineStr">
        <is>
          <t>&lt;p&gt;&lt;/p&gt;</t>
        </is>
      </c>
      <c r="O907" t="inlineStr"/>
      <c r="P907" t="inlineStr">
        <is>
          <t>SA9ST6P0001283612 , Tow Chipper , Forst , ST6p</t>
        </is>
      </c>
      <c r="Q907" t="inlineStr">
        <is>
          <t>UKPN</t>
        </is>
      </c>
      <c r="R907" t="b">
        <v>0</v>
      </c>
    </row>
    <row r="908">
      <c r="A908" t="inlineStr">
        <is>
          <t>17 Jul 2025 / 7186 Eastwoodbury Tree Services Ltd</t>
        </is>
      </c>
      <c r="B908" t="inlineStr">
        <is>
          <t>Utilities &amp; Inland Waterways</t>
        </is>
      </c>
      <c r="C908" t="inlineStr">
        <is>
          <t>UKPN</t>
        </is>
      </c>
      <c r="D908" t="inlineStr">
        <is>
          <t>4x4 - Land rover  - Defenders  - WF13 EKM</t>
        </is>
      </c>
      <c r="E908" t="inlineStr">
        <is>
          <t>4x4 - Land rover  - Defenders  - WF13 EKM</t>
        </is>
      </c>
      <c r="F908" t="inlineStr">
        <is>
          <t>4x4 - Land rover  - Defenders  - WF13 EKM</t>
        </is>
      </c>
      <c r="G908" t="inlineStr">
        <is>
          <t xml:space="preserve">Jay Denkmayer </t>
        </is>
      </c>
      <c r="H908" t="inlineStr">
        <is>
          <t>4x4</t>
        </is>
      </c>
      <c r="I908" t="inlineStr">
        <is>
          <t>Daily/ Weekly Vehicle Inspection</t>
        </is>
      </c>
      <c r="J908" t="inlineStr">
        <is>
          <t>N/A</t>
        </is>
      </c>
      <c r="K908" t="inlineStr">
        <is>
          <t>7186 Eastwoodbury Tree Services Ltd</t>
        </is>
      </c>
      <c r="L908" t="inlineStr">
        <is>
          <t>17/07/2025 07:11</t>
        </is>
      </c>
      <c r="M908" t="inlineStr">
        <is>
          <t>None</t>
        </is>
      </c>
      <c r="N908" t="inlineStr">
        <is>
          <t>&lt;p&gt;&lt;/p&gt;</t>
        </is>
      </c>
      <c r="O908" t="inlineStr"/>
      <c r="P908" t="inlineStr">
        <is>
          <t>4x4 - Land rover  - Defenders  - WF13 EKM</t>
        </is>
      </c>
      <c r="Q908" t="inlineStr">
        <is>
          <t>UKPN</t>
        </is>
      </c>
      <c r="R908" t="b">
        <v>0</v>
      </c>
    </row>
    <row r="909">
      <c r="A909" t="inlineStr">
        <is>
          <t>17 Jul 2025 / 7186 Eastwoodbury Tree Services Ltd</t>
        </is>
      </c>
      <c r="B909" t="inlineStr">
        <is>
          <t>Utilities &amp; Inland Waterways</t>
        </is>
      </c>
      <c r="C909" t="inlineStr">
        <is>
          <t>UKPN</t>
        </is>
      </c>
      <c r="D909" t="inlineStr"/>
      <c r="E909" t="inlineStr"/>
      <c r="F909" t="inlineStr"/>
      <c r="G909" t="inlineStr"/>
      <c r="H909" t="inlineStr"/>
      <c r="I909" t="inlineStr">
        <is>
          <t>Add to Vehicle to the GC Vehicle List</t>
        </is>
      </c>
      <c r="J909" t="inlineStr">
        <is>
          <t>N/A</t>
        </is>
      </c>
      <c r="K909" t="inlineStr">
        <is>
          <t>7186 Eastwoodbury Tree Services Ltd</t>
        </is>
      </c>
      <c r="L909" t="inlineStr">
        <is>
          <t>17/07/2025 07:12</t>
        </is>
      </c>
      <c r="M909" t="inlineStr">
        <is>
          <t>None</t>
        </is>
      </c>
      <c r="N909" t="inlineStr">
        <is>
          <t>&lt;p&gt;&lt;/p&gt;</t>
        </is>
      </c>
      <c r="O909" t="inlineStr"/>
      <c r="P909" t="inlineStr"/>
      <c r="Q909" t="inlineStr">
        <is>
          <t>UKPN</t>
        </is>
      </c>
      <c r="R909" t="b">
        <v>0</v>
      </c>
    </row>
    <row r="910">
      <c r="A910" t="inlineStr">
        <is>
          <t>17 Jul 2025 / Anthony Gale</t>
        </is>
      </c>
      <c r="B910" t="inlineStr">
        <is>
          <t>Utilities &amp; Inland Waterways</t>
        </is>
      </c>
      <c r="C910" t="inlineStr">
        <is>
          <t>UKPN</t>
        </is>
      </c>
      <c r="D910" t="inlineStr">
        <is>
          <t>PE07 HGL , Vehicle , Mitsubishi , L200 K74</t>
        </is>
      </c>
      <c r="E910" t="inlineStr">
        <is>
          <t>PE07 HGL , Vehicle , Mitsubishi , L200 K74</t>
        </is>
      </c>
      <c r="F910" t="inlineStr">
        <is>
          <t>PE07 HGL , Vehicle , Mitsubishi , L200 K74</t>
        </is>
      </c>
      <c r="G910" t="inlineStr">
        <is>
          <t>Anthony Gale</t>
        </is>
      </c>
      <c r="H910" t="inlineStr">
        <is>
          <t>Pickup Truck</t>
        </is>
      </c>
      <c r="I910" t="inlineStr">
        <is>
          <t>Daily/ Weekly Vehicle Inspection</t>
        </is>
      </c>
      <c r="J910" t="inlineStr">
        <is>
          <t>N/A</t>
        </is>
      </c>
      <c r="K910" t="inlineStr">
        <is>
          <t>7996 M G Tree Surgery Ltd 1</t>
        </is>
      </c>
      <c r="L910" t="inlineStr">
        <is>
          <t>17/07/2025 07:13</t>
        </is>
      </c>
      <c r="M910" t="inlineStr">
        <is>
          <t>None</t>
        </is>
      </c>
      <c r="N910" t="inlineStr">
        <is>
          <t>&lt;p&gt;&lt;/p&gt;</t>
        </is>
      </c>
      <c r="O910" t="inlineStr"/>
      <c r="P910" t="inlineStr">
        <is>
          <t>PE07 HGL , Vehicle , Mitsubishi , L200 K74</t>
        </is>
      </c>
      <c r="Q910" t="inlineStr">
        <is>
          <t>UKPN</t>
        </is>
      </c>
      <c r="R910" t="b">
        <v>0</v>
      </c>
    </row>
    <row r="911">
      <c r="A911" t="inlineStr">
        <is>
          <t>17 Jul 2025 / 7951 Austin Tree Care LTD 1</t>
        </is>
      </c>
      <c r="B911" t="inlineStr">
        <is>
          <t>Utilities &amp; Inland Waterways</t>
        </is>
      </c>
      <c r="C911" t="inlineStr">
        <is>
          <t>UKPN</t>
        </is>
      </c>
      <c r="D911" t="inlineStr">
        <is>
          <t>Kn58xuy , Tipper , VW  , Crafter</t>
        </is>
      </c>
      <c r="E911" t="inlineStr">
        <is>
          <t>Kn58xuy , Tipper , VW  , Crafter</t>
        </is>
      </c>
      <c r="F911" t="inlineStr">
        <is>
          <t>Kn58xuy , Tipper , VW  , Crafter</t>
        </is>
      </c>
      <c r="G911" t="inlineStr">
        <is>
          <t xml:space="preserve">James Tasker </t>
        </is>
      </c>
      <c r="H911" t="inlineStr">
        <is>
          <t>Tipper</t>
        </is>
      </c>
      <c r="I911" t="inlineStr">
        <is>
          <t>Daily/ Weekly Vehicle Inspection</t>
        </is>
      </c>
      <c r="J911" t="inlineStr">
        <is>
          <t>N/A</t>
        </is>
      </c>
      <c r="K911" t="inlineStr">
        <is>
          <t>7951 Austin Tree Care LTD 1</t>
        </is>
      </c>
      <c r="L911" t="inlineStr">
        <is>
          <t>17/07/2025 07:14</t>
        </is>
      </c>
      <c r="M911" t="inlineStr">
        <is>
          <t>None</t>
        </is>
      </c>
      <c r="N911" t="inlineStr">
        <is>
          <t>&lt;p&gt;&lt;/p&gt;</t>
        </is>
      </c>
      <c r="O911" t="inlineStr"/>
      <c r="P911" t="inlineStr">
        <is>
          <t>Kn58xuy , Tipper , VW  , Crafter</t>
        </is>
      </c>
      <c r="Q911" t="inlineStr">
        <is>
          <t>UKPN</t>
        </is>
      </c>
      <c r="R911" t="b">
        <v>0</v>
      </c>
    </row>
    <row r="912">
      <c r="A912" t="inlineStr">
        <is>
          <t>17 Jul 2025 / 7951 Austin Tree Care LTD</t>
        </is>
      </c>
      <c r="B912" t="inlineStr">
        <is>
          <t>Utilities &amp; Inland Waterways</t>
        </is>
      </c>
      <c r="C912" t="inlineStr">
        <is>
          <t>UKPN</t>
        </is>
      </c>
      <c r="D912" t="inlineStr">
        <is>
          <t>WF61 HZV , 4x4 MEWP , Land Rover , Defender</t>
        </is>
      </c>
      <c r="E912" t="inlineStr">
        <is>
          <t>WF61 HZV , 4x4 MEWP , Land Rover , Defender</t>
        </is>
      </c>
      <c r="F912" t="inlineStr">
        <is>
          <t>WF61 HZV , 4x4 MEWP , Land Rover , Defender</t>
        </is>
      </c>
      <c r="G912" t="inlineStr">
        <is>
          <t xml:space="preserve">Jack Austin </t>
        </is>
      </c>
      <c r="H912" t="inlineStr">
        <is>
          <t>4x4</t>
        </is>
      </c>
      <c r="I912" t="inlineStr">
        <is>
          <t>Daily/ Weekly Vehicle Inspection</t>
        </is>
      </c>
      <c r="J912" t="inlineStr">
        <is>
          <t>N/A</t>
        </is>
      </c>
      <c r="K912" t="inlineStr">
        <is>
          <t>7951 Austin Tree Care LTD</t>
        </is>
      </c>
      <c r="L912" t="inlineStr">
        <is>
          <t>17/07/2025 07:14</t>
        </is>
      </c>
      <c r="M912" t="inlineStr">
        <is>
          <t>None</t>
        </is>
      </c>
      <c r="N912" t="inlineStr">
        <is>
          <t>&lt;p&gt;&lt;/p&gt;</t>
        </is>
      </c>
      <c r="O912" t="inlineStr"/>
      <c r="P912" t="inlineStr">
        <is>
          <t>WF61 HZV , 4x4 MEWP , Land Rover , Defender</t>
        </is>
      </c>
      <c r="Q912" t="inlineStr">
        <is>
          <t>UKPN</t>
        </is>
      </c>
      <c r="R912" t="b">
        <v>0</v>
      </c>
    </row>
    <row r="913">
      <c r="A913" t="inlineStr">
        <is>
          <t>17 Jul 2025 / 7800 MAC Tree Surgery and Fencing Ltd</t>
        </is>
      </c>
      <c r="B913" t="inlineStr">
        <is>
          <t>Utilities &amp; Inland Waterways</t>
        </is>
      </c>
      <c r="C913" t="inlineStr">
        <is>
          <t>UKPN</t>
        </is>
      </c>
      <c r="D913" t="inlineStr">
        <is>
          <t>4x4 - Land rover  - Discovery  - Tr56mac</t>
        </is>
      </c>
      <c r="E913" t="inlineStr">
        <is>
          <t>4x4 - Land rover  - Discovery  - Tr56mac</t>
        </is>
      </c>
      <c r="F913" t="inlineStr">
        <is>
          <t>4x4 - Land rover  - Discovery  - Tr56mac</t>
        </is>
      </c>
      <c r="G913" t="inlineStr">
        <is>
          <t>Lewis mac</t>
        </is>
      </c>
      <c r="H913" t="inlineStr">
        <is>
          <t>4x4</t>
        </is>
      </c>
      <c r="I913" t="inlineStr">
        <is>
          <t>Daily/ Weekly Vehicle Inspection</t>
        </is>
      </c>
      <c r="J913" t="inlineStr">
        <is>
          <t>N/A</t>
        </is>
      </c>
      <c r="K913" t="inlineStr">
        <is>
          <t>7800 MAC Tree Surgery and Fencing Ltd</t>
        </is>
      </c>
      <c r="L913" t="inlineStr">
        <is>
          <t>17/07/2025 07:16</t>
        </is>
      </c>
      <c r="M913" t="inlineStr">
        <is>
          <t>None</t>
        </is>
      </c>
      <c r="N913" t="inlineStr">
        <is>
          <t>&lt;p&gt;&lt;/p&gt;</t>
        </is>
      </c>
      <c r="O913" t="inlineStr"/>
      <c r="P913" t="inlineStr">
        <is>
          <t>4x4 - Land rover  - Discovery  - Tr56mac</t>
        </is>
      </c>
      <c r="Q913" t="inlineStr">
        <is>
          <t>UKPN</t>
        </is>
      </c>
      <c r="R913" t="b">
        <v>0</v>
      </c>
    </row>
    <row r="914">
      <c r="A914" t="inlineStr">
        <is>
          <t>17 Jul 2025 / 7940 HRJ Tree Services LTD</t>
        </is>
      </c>
      <c r="B914" t="inlineStr">
        <is>
          <t>Utilities &amp; Inland Waterways</t>
        </is>
      </c>
      <c r="C914" t="inlineStr">
        <is>
          <t>UKPN</t>
        </is>
      </c>
      <c r="D914" t="inlineStr">
        <is>
          <t>Kx65fcp , 4x4 , Izuzu d max  , D max</t>
        </is>
      </c>
      <c r="E914" t="inlineStr">
        <is>
          <t>Kx65fcp , 4x4 , Izuzu d max  , D max</t>
        </is>
      </c>
      <c r="F914" t="inlineStr">
        <is>
          <t>Kx65fcp , 4x4 , Izuzu d max  , D max</t>
        </is>
      </c>
      <c r="G914" t="inlineStr">
        <is>
          <t xml:space="preserve">Jack Buchan </t>
        </is>
      </c>
      <c r="H914" t="inlineStr">
        <is>
          <t>4x4</t>
        </is>
      </c>
      <c r="I914" t="inlineStr">
        <is>
          <t>Daily/ Weekly Vehicle Inspection</t>
        </is>
      </c>
      <c r="J914" t="inlineStr">
        <is>
          <t>N/A</t>
        </is>
      </c>
      <c r="K914" t="inlineStr">
        <is>
          <t>7940 HRJ Tree Services LTD</t>
        </is>
      </c>
      <c r="L914" t="inlineStr">
        <is>
          <t>17/07/2025 07:16</t>
        </is>
      </c>
      <c r="M914" t="inlineStr">
        <is>
          <t>None</t>
        </is>
      </c>
      <c r="N914" t="inlineStr">
        <is>
          <t>&lt;p&gt;&lt;/p&gt;</t>
        </is>
      </c>
      <c r="O914" t="inlineStr"/>
      <c r="P914" t="inlineStr">
        <is>
          <t>Kx65fcp , 4x4 , Izuzu d max  , D max</t>
        </is>
      </c>
      <c r="Q914" t="inlineStr">
        <is>
          <t>UKPN</t>
        </is>
      </c>
      <c r="R914" t="b">
        <v>0</v>
      </c>
    </row>
    <row r="915">
      <c r="A915" t="inlineStr">
        <is>
          <t>17 Jul 2025 / Thomas Playford</t>
        </is>
      </c>
      <c r="B915" t="inlineStr">
        <is>
          <t>Utilities &amp; Inland Waterways</t>
        </is>
      </c>
      <c r="C915" t="inlineStr">
        <is>
          <t>UKPN</t>
        </is>
      </c>
      <c r="D915" t="inlineStr">
        <is>
          <t>SA9ST800000283944 , Tow Chipper , Forst , ST8D - Towed</t>
        </is>
      </c>
      <c r="E915" t="inlineStr">
        <is>
          <t>SA9ST800000283944 , Tow Chipper , Forst , ST8D - Towed</t>
        </is>
      </c>
      <c r="F915" t="inlineStr">
        <is>
          <t>SA9ST800000283944 , Tow Chipper , Forst , ST8D - Towed</t>
        </is>
      </c>
      <c r="G915" t="inlineStr">
        <is>
          <t xml:space="preserve">Jacob Oram </t>
        </is>
      </c>
      <c r="H915" t="inlineStr">
        <is>
          <t>Towed Chipper</t>
        </is>
      </c>
      <c r="I915" t="inlineStr">
        <is>
          <t>Daily/ Weekly Vehicle Inspection</t>
        </is>
      </c>
      <c r="J915" t="inlineStr">
        <is>
          <t>N/A</t>
        </is>
      </c>
      <c r="K915" t="inlineStr">
        <is>
          <t>7995 Contour Landscapes Ltd 2</t>
        </is>
      </c>
      <c r="L915" t="inlineStr">
        <is>
          <t>17/07/2025 08:10</t>
        </is>
      </c>
      <c r="M915" t="inlineStr">
        <is>
          <t>None</t>
        </is>
      </c>
      <c r="N915" t="inlineStr">
        <is>
          <t>&lt;p&gt;&lt;/p&gt;</t>
        </is>
      </c>
      <c r="O915" t="inlineStr"/>
      <c r="P915" t="inlineStr">
        <is>
          <t>SA9ST800000283944 , Tow Chipper , Forst , ST8D - Towed</t>
        </is>
      </c>
      <c r="Q915" t="inlineStr">
        <is>
          <t>UKPN</t>
        </is>
      </c>
      <c r="R915" t="b">
        <v>0</v>
      </c>
    </row>
    <row r="916">
      <c r="A916" t="inlineStr">
        <is>
          <t>17 Jul 2025 / Thomas Playford</t>
        </is>
      </c>
      <c r="B916" t="inlineStr">
        <is>
          <t>Utilities &amp; Inland Waterways</t>
        </is>
      </c>
      <c r="C916" t="inlineStr">
        <is>
          <t>UKPN</t>
        </is>
      </c>
      <c r="D916" t="inlineStr">
        <is>
          <t>YP24 WRD , Vehicle , Ford , Ranger</t>
        </is>
      </c>
      <c r="E916" t="inlineStr">
        <is>
          <t>YP24 WRD , Vehicle , Ford , Ranger</t>
        </is>
      </c>
      <c r="F916" t="inlineStr">
        <is>
          <t>YP24 WRD , Vehicle , Ford , Ranger</t>
        </is>
      </c>
      <c r="G916" t="inlineStr">
        <is>
          <t>Jacob Oram</t>
        </is>
      </c>
      <c r="H916" t="inlineStr">
        <is>
          <t>4x4</t>
        </is>
      </c>
      <c r="I916" t="inlineStr">
        <is>
          <t>Daily/ Weekly Vehicle Inspection</t>
        </is>
      </c>
      <c r="J916" t="inlineStr">
        <is>
          <t>N/A</t>
        </is>
      </c>
      <c r="K916" t="inlineStr">
        <is>
          <t>7995 Contour Landscapes Ltd 2</t>
        </is>
      </c>
      <c r="L916" t="inlineStr">
        <is>
          <t>17/07/2025 08:11</t>
        </is>
      </c>
      <c r="M916" t="inlineStr">
        <is>
          <t>None</t>
        </is>
      </c>
      <c r="N916" t="inlineStr">
        <is>
          <t>&lt;p&gt;&lt;/p&gt;</t>
        </is>
      </c>
      <c r="O916" t="inlineStr"/>
      <c r="P916" t="inlineStr">
        <is>
          <t>YP24 WRD , Vehicle , Ford , Ranger</t>
        </is>
      </c>
      <c r="Q916" t="inlineStr">
        <is>
          <t>UKPN</t>
        </is>
      </c>
      <c r="R916" t="b">
        <v>0</v>
      </c>
    </row>
    <row r="917">
      <c r="A917" t="inlineStr">
        <is>
          <t>17 Jul 2025 / 7996 M G Tree Surgery Ltd</t>
        </is>
      </c>
      <c r="B917" t="inlineStr">
        <is>
          <t>Utilities &amp; Inland Waterways</t>
        </is>
      </c>
      <c r="C917" t="inlineStr">
        <is>
          <t>UKPN</t>
        </is>
      </c>
      <c r="D917" t="inlineStr">
        <is>
          <t>GU13 WNL , MEWP , Land Rover , Defender 130</t>
        </is>
      </c>
      <c r="E917" t="inlineStr">
        <is>
          <t>GU13 WNL , MEWP , Land Rover , Defender 130</t>
        </is>
      </c>
      <c r="F917" t="inlineStr">
        <is>
          <t>GU13 WNL , MEWP , Land Rover , Defender 130</t>
        </is>
      </c>
      <c r="G917" t="inlineStr">
        <is>
          <t>Max</t>
        </is>
      </c>
      <c r="H917" t="inlineStr">
        <is>
          <t>4x4</t>
        </is>
      </c>
      <c r="I917" t="inlineStr">
        <is>
          <t>Daily/ Weekly Vehicle Inspection</t>
        </is>
      </c>
      <c r="J917" t="inlineStr">
        <is>
          <t>N/A</t>
        </is>
      </c>
      <c r="K917" t="inlineStr">
        <is>
          <t>7996 M G Tree Surgery Ltd</t>
        </is>
      </c>
      <c r="L917" t="inlineStr">
        <is>
          <t>17/07/2025 08:11</t>
        </is>
      </c>
      <c r="M917" t="inlineStr">
        <is>
          <t>None</t>
        </is>
      </c>
      <c r="N917" t="inlineStr">
        <is>
          <t>&lt;p&gt;&lt;/p&gt;</t>
        </is>
      </c>
      <c r="O917" t="inlineStr"/>
      <c r="P917" t="inlineStr">
        <is>
          <t>GU13 WNL , MEWP , Land Rover , Defender 130</t>
        </is>
      </c>
      <c r="Q917" t="inlineStr">
        <is>
          <t>UKPN</t>
        </is>
      </c>
      <c r="R917" t="b">
        <v>0</v>
      </c>
    </row>
    <row r="918">
      <c r="A918" t="inlineStr">
        <is>
          <t>17 Jul 2025 / 7940 HRJ Tree Services LTD</t>
        </is>
      </c>
      <c r="B918" t="inlineStr">
        <is>
          <t>Utilities &amp; Inland Waterways</t>
        </is>
      </c>
      <c r="C918" t="inlineStr">
        <is>
          <t>UKPN</t>
        </is>
      </c>
      <c r="D918" t="inlineStr">
        <is>
          <t>Plant Trailer - Indespension - 211717 - 211717</t>
        </is>
      </c>
      <c r="E918" t="inlineStr">
        <is>
          <t>Plant Trailer - Indespension - 211717 - 211717</t>
        </is>
      </c>
      <c r="F918" t="inlineStr">
        <is>
          <t>Plant Trailer - Indespension - 211717 - 211717</t>
        </is>
      </c>
      <c r="G918" t="inlineStr">
        <is>
          <t xml:space="preserve">Jack Buchan </t>
        </is>
      </c>
      <c r="H918" t="inlineStr">
        <is>
          <t>Equipment Trailer</t>
        </is>
      </c>
      <c r="I918" t="inlineStr">
        <is>
          <t>Daily/ Weekly Vehicle Inspection</t>
        </is>
      </c>
      <c r="J918" t="inlineStr">
        <is>
          <t>N/A</t>
        </is>
      </c>
      <c r="K918" t="inlineStr">
        <is>
          <t>7940 HRJ Tree Services LTD</t>
        </is>
      </c>
      <c r="L918" t="inlineStr">
        <is>
          <t>17/07/2025 08:12</t>
        </is>
      </c>
      <c r="M918" t="inlineStr">
        <is>
          <t>None</t>
        </is>
      </c>
      <c r="N918" t="inlineStr">
        <is>
          <t>&lt;p&gt;&lt;/p&gt;</t>
        </is>
      </c>
      <c r="O918" t="inlineStr"/>
      <c r="P918" t="inlineStr">
        <is>
          <t>Plant Trailer - Indespension - 211717 - 211717</t>
        </is>
      </c>
      <c r="Q918" t="inlineStr">
        <is>
          <t>UKPN</t>
        </is>
      </c>
      <c r="R918" t="b">
        <v>0</v>
      </c>
    </row>
    <row r="919">
      <c r="A919" t="inlineStr">
        <is>
          <t>17 Jul 2025 / 7940 HRJ Tree Services LTD</t>
        </is>
      </c>
      <c r="B919" t="inlineStr">
        <is>
          <t>Utilities &amp; Inland Waterways</t>
        </is>
      </c>
      <c r="C919" t="inlineStr">
        <is>
          <t>UKPN</t>
        </is>
      </c>
      <c r="D919" t="inlineStr">
        <is>
          <t>4x4 - Toyota  - Hilux - LL70GZP</t>
        </is>
      </c>
      <c r="E919" t="inlineStr">
        <is>
          <t>4x4 - Toyota  - Hilux - LL70GZP</t>
        </is>
      </c>
      <c r="F919" t="inlineStr">
        <is>
          <t>4x4 - Toyota  - Hilux - LL70GZP</t>
        </is>
      </c>
      <c r="G919" t="inlineStr">
        <is>
          <t xml:space="preserve">Harry Wilson </t>
        </is>
      </c>
      <c r="H919" t="inlineStr">
        <is>
          <t>4x4</t>
        </is>
      </c>
      <c r="I919" t="inlineStr">
        <is>
          <t>Daily/ Weekly Vehicle Inspection</t>
        </is>
      </c>
      <c r="J919" t="inlineStr">
        <is>
          <t>N/A</t>
        </is>
      </c>
      <c r="K919" t="inlineStr">
        <is>
          <t>7940 HRJ Tree Services LTD</t>
        </is>
      </c>
      <c r="L919" t="inlineStr">
        <is>
          <t>17/07/2025 08:13</t>
        </is>
      </c>
      <c r="M919" t="inlineStr">
        <is>
          <t>None</t>
        </is>
      </c>
      <c r="N919" t="inlineStr">
        <is>
          <t>&lt;p&gt;&lt;/p&gt;</t>
        </is>
      </c>
      <c r="O919" t="inlineStr"/>
      <c r="P919" t="inlineStr">
        <is>
          <t>4x4 - Toyota  - Hilux - LL70GZP</t>
        </is>
      </c>
      <c r="Q919" t="inlineStr">
        <is>
          <t>UKPN</t>
        </is>
      </c>
      <c r="R919" t="b">
        <v>0</v>
      </c>
    </row>
    <row r="920">
      <c r="A920" t="inlineStr">
        <is>
          <t>17 Jul 2025 / 7940 HRJ Tree Services LTD</t>
        </is>
      </c>
      <c r="B920" t="inlineStr">
        <is>
          <t>Utilities &amp; Inland Waterways</t>
        </is>
      </c>
      <c r="C920" t="inlineStr">
        <is>
          <t>UKPN</t>
        </is>
      </c>
      <c r="D920" t="inlineStr">
        <is>
          <t>Kx65fcp , 4x4 , Izuzu d max  , D max</t>
        </is>
      </c>
      <c r="E920" t="inlineStr">
        <is>
          <t>Kx65fcp , 4x4 , Izuzu d max  , D max</t>
        </is>
      </c>
      <c r="F920" t="inlineStr">
        <is>
          <t>Kx65fcp , 4x4 , Izuzu d max  , D max</t>
        </is>
      </c>
      <c r="G920" t="inlineStr">
        <is>
          <t xml:space="preserve">Jack Buchan </t>
        </is>
      </c>
      <c r="H920" t="inlineStr">
        <is>
          <t>4x4</t>
        </is>
      </c>
      <c r="I920" t="inlineStr">
        <is>
          <t>Daily/ Weekly Vehicle Inspection</t>
        </is>
      </c>
      <c r="J920" t="inlineStr">
        <is>
          <t>N/A</t>
        </is>
      </c>
      <c r="K920" t="inlineStr">
        <is>
          <t>7940 HRJ Tree Services LTD</t>
        </is>
      </c>
      <c r="L920" t="inlineStr">
        <is>
          <t>17/07/2025 08:13</t>
        </is>
      </c>
      <c r="M920" t="inlineStr">
        <is>
          <t>None</t>
        </is>
      </c>
      <c r="N920" t="inlineStr">
        <is>
          <t>&lt;p&gt;&lt;/p&gt;</t>
        </is>
      </c>
      <c r="O920" t="inlineStr"/>
      <c r="P920" t="inlineStr">
        <is>
          <t>Kx65fcp , 4x4 , Izuzu d max  , D max</t>
        </is>
      </c>
      <c r="Q920" t="inlineStr">
        <is>
          <t>UKPN</t>
        </is>
      </c>
      <c r="R920" t="b">
        <v>0</v>
      </c>
    </row>
    <row r="921">
      <c r="A921" t="inlineStr">
        <is>
          <t>17 Jul 2025 / 7806 Optimum Tree Services Ltd</t>
        </is>
      </c>
      <c r="B921" t="inlineStr">
        <is>
          <t>Utilities &amp; Inland Waterways</t>
        </is>
      </c>
      <c r="C921" t="inlineStr">
        <is>
          <t>UKPN</t>
        </is>
      </c>
      <c r="D921" t="inlineStr">
        <is>
          <t>SA9ST800000283069 , Chipper , Forst , ST 6P</t>
        </is>
      </c>
      <c r="E921" t="inlineStr">
        <is>
          <t>SA9ST800000283069 , Chipper , Forst , ST 6P</t>
        </is>
      </c>
      <c r="F921" t="inlineStr">
        <is>
          <t>SA9ST800000283069 , Chipper , Forst , ST 6P</t>
        </is>
      </c>
      <c r="G921" t="inlineStr">
        <is>
          <t xml:space="preserve">Abraham Davies </t>
        </is>
      </c>
      <c r="H921" t="inlineStr">
        <is>
          <t>Towed Chipper</t>
        </is>
      </c>
      <c r="I921" t="inlineStr">
        <is>
          <t>Daily/ Weekly Vehicle Inspection</t>
        </is>
      </c>
      <c r="J921" t="inlineStr">
        <is>
          <t>N/A</t>
        </is>
      </c>
      <c r="K921" t="inlineStr">
        <is>
          <t>7806 Optimum Tree Services Ltd</t>
        </is>
      </c>
      <c r="L921" t="inlineStr">
        <is>
          <t>17/07/2025 08:15</t>
        </is>
      </c>
      <c r="M921" t="inlineStr">
        <is>
          <t>None</t>
        </is>
      </c>
      <c r="N921" t="inlineStr">
        <is>
          <t>&lt;p&gt;&lt;/p&gt;</t>
        </is>
      </c>
      <c r="O921" t="inlineStr"/>
      <c r="P921" t="inlineStr">
        <is>
          <t>SA9ST800000283069 , Chipper , Forst , ST 6P</t>
        </is>
      </c>
      <c r="Q921" t="inlineStr">
        <is>
          <t>UKPN</t>
        </is>
      </c>
      <c r="R921" t="b">
        <v>0</v>
      </c>
    </row>
    <row r="922">
      <c r="A922" t="inlineStr">
        <is>
          <t>17 Jul 2025 / 7806 Optimum Tree Services Ltd</t>
        </is>
      </c>
      <c r="B922" t="inlineStr">
        <is>
          <t>Utilities &amp; Inland Waterways</t>
        </is>
      </c>
      <c r="C922" t="inlineStr">
        <is>
          <t>UKPN</t>
        </is>
      </c>
      <c r="D922" t="inlineStr">
        <is>
          <t>WD14EVB , MEWP , Land Rover , Defender</t>
        </is>
      </c>
      <c r="E922" t="inlineStr">
        <is>
          <t>WD14EVB , MEWP , Land Rover , Defender</t>
        </is>
      </c>
      <c r="F922" t="inlineStr">
        <is>
          <t>WD14EVB , MEWP , Land Rover , Defender</t>
        </is>
      </c>
      <c r="G922" t="inlineStr">
        <is>
          <t xml:space="preserve">Abraham Davies </t>
        </is>
      </c>
      <c r="H922" t="inlineStr">
        <is>
          <t>4x4</t>
        </is>
      </c>
      <c r="I922" t="inlineStr">
        <is>
          <t>Daily/ Weekly Vehicle Inspection</t>
        </is>
      </c>
      <c r="J922" t="inlineStr">
        <is>
          <t>N/A</t>
        </is>
      </c>
      <c r="K922" t="inlineStr">
        <is>
          <t>7806 Optimum Tree Services Ltd</t>
        </is>
      </c>
      <c r="L922" t="inlineStr">
        <is>
          <t>17/07/2025 08:16</t>
        </is>
      </c>
      <c r="M922" t="inlineStr">
        <is>
          <t>None</t>
        </is>
      </c>
      <c r="N922" t="inlineStr">
        <is>
          <t>&lt;p&gt;&lt;/p&gt;</t>
        </is>
      </c>
      <c r="O922" t="inlineStr"/>
      <c r="P922" t="inlineStr">
        <is>
          <t>WD14EVB , MEWP , Land Rover , Defender</t>
        </is>
      </c>
      <c r="Q922" t="inlineStr">
        <is>
          <t>UKPN</t>
        </is>
      </c>
      <c r="R922" t="b">
        <v>0</v>
      </c>
    </row>
    <row r="923">
      <c r="A923" t="inlineStr">
        <is>
          <t>17 Jul 2025 / 7186 Eastwoodbury Tree Services Ltd</t>
        </is>
      </c>
      <c r="B923" t="inlineStr">
        <is>
          <t>Utilities &amp; Inland Waterways</t>
        </is>
      </c>
      <c r="C923" t="inlineStr">
        <is>
          <t>UKPN</t>
        </is>
      </c>
      <c r="D923" t="inlineStr">
        <is>
          <t>FN600XM , 4x4 , Land Rover  , Defender</t>
        </is>
      </c>
      <c r="E923" t="inlineStr">
        <is>
          <t>FN600XM , 4x4 , Land Rover  , Defender</t>
        </is>
      </c>
      <c r="F923" t="inlineStr">
        <is>
          <t>FN600XM , 4x4 , Land Rover  , Defender</t>
        </is>
      </c>
      <c r="G923" t="inlineStr">
        <is>
          <t xml:space="preserve">Dan Gilbert </t>
        </is>
      </c>
      <c r="H923" t="inlineStr">
        <is>
          <t>4x4</t>
        </is>
      </c>
      <c r="I923" t="inlineStr">
        <is>
          <t>Daily/ Weekly Vehicle Inspection</t>
        </is>
      </c>
      <c r="J923" t="inlineStr">
        <is>
          <t>N/A</t>
        </is>
      </c>
      <c r="K923" t="inlineStr">
        <is>
          <t>7186 Eastwoodbury Tree Services Ltd</t>
        </is>
      </c>
      <c r="L923" t="inlineStr">
        <is>
          <t>17/07/2025 08:17</t>
        </is>
      </c>
      <c r="M923" t="inlineStr">
        <is>
          <t>None</t>
        </is>
      </c>
      <c r="N923" t="inlineStr">
        <is>
          <t>&lt;p&gt;&lt;/p&gt;</t>
        </is>
      </c>
      <c r="O923" t="inlineStr"/>
      <c r="P923" t="inlineStr">
        <is>
          <t>FN600XM , 4x4 , Land Rover  , Defender</t>
        </is>
      </c>
      <c r="Q923" t="inlineStr">
        <is>
          <t>UKPN</t>
        </is>
      </c>
      <c r="R923" t="b">
        <v>0</v>
      </c>
    </row>
    <row r="924">
      <c r="A924" t="inlineStr">
        <is>
          <t>17 Jul 2025 / 6617 Ashdown Tree Limited 1</t>
        </is>
      </c>
      <c r="B924" t="inlineStr">
        <is>
          <t>Utilities &amp; Inland Waterways</t>
        </is>
      </c>
      <c r="C924" t="inlineStr">
        <is>
          <t>UKPN</t>
        </is>
      </c>
      <c r="D924" t="inlineStr">
        <is>
          <t>GU11LKD , 4x4 , Land Rover , Defender</t>
        </is>
      </c>
      <c r="E924" t="inlineStr">
        <is>
          <t>GU11LKD , 4x4 , Land Rover , Defender</t>
        </is>
      </c>
      <c r="F924" t="inlineStr">
        <is>
          <t>GU11LKD , 4x4 , Land Rover , Defender</t>
        </is>
      </c>
      <c r="G924" t="inlineStr">
        <is>
          <t xml:space="preserve">Francislesser </t>
        </is>
      </c>
      <c r="H924" t="inlineStr">
        <is>
          <t>4x4</t>
        </is>
      </c>
      <c r="I924" t="inlineStr">
        <is>
          <t>Daily/ Weekly Vehicle Inspection</t>
        </is>
      </c>
      <c r="J924" t="inlineStr">
        <is>
          <t>N/A</t>
        </is>
      </c>
      <c r="K924" t="inlineStr">
        <is>
          <t>6617 Ashdown Tree Limited 1</t>
        </is>
      </c>
      <c r="L924" t="inlineStr">
        <is>
          <t>17/07/2025 10:10</t>
        </is>
      </c>
      <c r="M924" t="inlineStr">
        <is>
          <t>None</t>
        </is>
      </c>
      <c r="N924" t="inlineStr">
        <is>
          <t>&lt;p&gt;&lt;/p&gt;</t>
        </is>
      </c>
      <c r="O924" t="inlineStr"/>
      <c r="P924" t="inlineStr">
        <is>
          <t>GU11LKD , 4x4 , Land Rover , Defender</t>
        </is>
      </c>
      <c r="Q924" t="inlineStr">
        <is>
          <t>UKPN</t>
        </is>
      </c>
      <c r="R924" t="b">
        <v>0</v>
      </c>
    </row>
    <row r="925">
      <c r="A925" t="inlineStr">
        <is>
          <t>14 Jul 2025 / Chris Huntley</t>
        </is>
      </c>
      <c r="B925" t="inlineStr">
        <is>
          <t>Utilities &amp; Inland Waterways</t>
        </is>
      </c>
      <c r="C925" t="inlineStr">
        <is>
          <t>UKPN</t>
        </is>
      </c>
      <c r="D925" t="inlineStr">
        <is>
          <t>EX18DCY , 4x4 , Ford , Ranger</t>
        </is>
      </c>
      <c r="E925" t="inlineStr">
        <is>
          <t>EX18DCY , 4x4 , Ford , Ranger</t>
        </is>
      </c>
      <c r="F925" t="inlineStr">
        <is>
          <t>EX18DCY , 4x4 , Ford , Ranger</t>
        </is>
      </c>
      <c r="G925" t="inlineStr">
        <is>
          <t xml:space="preserve">Chris Huntley </t>
        </is>
      </c>
      <c r="H925" t="inlineStr">
        <is>
          <t>Pickup Truck</t>
        </is>
      </c>
      <c r="I925" t="inlineStr">
        <is>
          <t>Daily/ Weekly Vehicle Inspection</t>
        </is>
      </c>
      <c r="J925" t="inlineStr">
        <is>
          <t>N/A</t>
        </is>
      </c>
      <c r="K925" t="inlineStr">
        <is>
          <t>Chris Huntley</t>
        </is>
      </c>
      <c r="L925" t="inlineStr">
        <is>
          <t>17/07/2025 14:10</t>
        </is>
      </c>
      <c r="M925" t="inlineStr">
        <is>
          <t>None</t>
        </is>
      </c>
      <c r="N925" t="inlineStr">
        <is>
          <t>&lt;p&gt;&lt;/p&gt;</t>
        </is>
      </c>
      <c r="O925" t="inlineStr"/>
      <c r="P925" t="inlineStr">
        <is>
          <t>EX18DCY , 4x4 , Ford , Ranger</t>
        </is>
      </c>
      <c r="Q925" t="inlineStr">
        <is>
          <t>UKPN</t>
        </is>
      </c>
      <c r="R925" t="b">
        <v>0</v>
      </c>
    </row>
    <row r="926">
      <c r="A926" t="inlineStr">
        <is>
          <t>18 Jul 2025 / 7940 HRJ Tree Services LTD</t>
        </is>
      </c>
      <c r="B926" t="inlineStr">
        <is>
          <t>Utilities &amp; Inland Waterways</t>
        </is>
      </c>
      <c r="C926" t="inlineStr">
        <is>
          <t>UKPN</t>
        </is>
      </c>
      <c r="D926" t="inlineStr">
        <is>
          <t>4x4 - Toyota  - Hilux - LL70GZP</t>
        </is>
      </c>
      <c r="E926" t="inlineStr">
        <is>
          <t>4x4 - Toyota  - Hilux - LL70GZP</t>
        </is>
      </c>
      <c r="F926" t="inlineStr">
        <is>
          <t>4x4 - Toyota  - Hilux - LL70GZP</t>
        </is>
      </c>
      <c r="G926" t="inlineStr">
        <is>
          <t>Harry Wilson</t>
        </is>
      </c>
      <c r="H926" t="inlineStr">
        <is>
          <t>4x4</t>
        </is>
      </c>
      <c r="I926" t="inlineStr">
        <is>
          <t>Daily/ Weekly Vehicle Inspection</t>
        </is>
      </c>
      <c r="J926" t="inlineStr">
        <is>
          <t>N/A</t>
        </is>
      </c>
      <c r="K926" t="inlineStr">
        <is>
          <t>7940 HRJ Tree Services LTD</t>
        </is>
      </c>
      <c r="L926" t="inlineStr">
        <is>
          <t>18/07/2025 06:10</t>
        </is>
      </c>
      <c r="M926" t="inlineStr">
        <is>
          <t>None</t>
        </is>
      </c>
      <c r="N926" t="inlineStr">
        <is>
          <t>&lt;p&gt;&lt;/p&gt;</t>
        </is>
      </c>
      <c r="O926" t="inlineStr"/>
      <c r="P926" t="inlineStr">
        <is>
          <t>4x4 - Toyota  - Hilux - LL70GZP</t>
        </is>
      </c>
      <c r="Q926" t="inlineStr">
        <is>
          <t>UKPN</t>
        </is>
      </c>
      <c r="R926" t="b">
        <v>0</v>
      </c>
    </row>
    <row r="927">
      <c r="A927" t="inlineStr">
        <is>
          <t>18 Jul 2025 / 7940 HRJ Tree Services LTD</t>
        </is>
      </c>
      <c r="B927" t="inlineStr">
        <is>
          <t>Utilities &amp; Inland Waterways</t>
        </is>
      </c>
      <c r="C927" t="inlineStr">
        <is>
          <t>UKPN</t>
        </is>
      </c>
      <c r="D927" t="inlineStr">
        <is>
          <t>Plant Trailer - Indespension - 211717 - 211717</t>
        </is>
      </c>
      <c r="E927" t="inlineStr">
        <is>
          <t>Plant Trailer - Indespension - 211717 - 211717</t>
        </is>
      </c>
      <c r="F927" t="inlineStr">
        <is>
          <t>Plant Trailer - Indespension - 211717 - 211717</t>
        </is>
      </c>
      <c r="G927" t="inlineStr">
        <is>
          <t xml:space="preserve">Jack Buchan </t>
        </is>
      </c>
      <c r="H927" t="inlineStr">
        <is>
          <t>Equipment Trailer</t>
        </is>
      </c>
      <c r="I927" t="inlineStr">
        <is>
          <t>Daily/ Weekly Vehicle Inspection</t>
        </is>
      </c>
      <c r="J927" t="inlineStr">
        <is>
          <t>N/A</t>
        </is>
      </c>
      <c r="K927" t="inlineStr">
        <is>
          <t>7940 HRJ Tree Services LTD</t>
        </is>
      </c>
      <c r="L927" t="inlineStr">
        <is>
          <t>18/07/2025 06:10</t>
        </is>
      </c>
      <c r="M927" t="inlineStr">
        <is>
          <t>None</t>
        </is>
      </c>
      <c r="N927" t="inlineStr">
        <is>
          <t>&lt;p&gt;&lt;/p&gt;</t>
        </is>
      </c>
      <c r="O927" t="inlineStr"/>
      <c r="P927" t="inlineStr">
        <is>
          <t>Plant Trailer - Indespension - 211717 - 211717</t>
        </is>
      </c>
      <c r="Q927" t="inlineStr">
        <is>
          <t>UKPN</t>
        </is>
      </c>
      <c r="R927" t="b">
        <v>0</v>
      </c>
    </row>
    <row r="928">
      <c r="A928" t="inlineStr">
        <is>
          <t>18 Jul 2025 / 7940 HRJ Tree Services LTD</t>
        </is>
      </c>
      <c r="B928" t="inlineStr">
        <is>
          <t>Utilities &amp; Inland Waterways</t>
        </is>
      </c>
      <c r="C928" t="inlineStr">
        <is>
          <t>UKPN</t>
        </is>
      </c>
      <c r="D928" t="inlineStr">
        <is>
          <t>Kx65fcp , 4x4 , Izuzu d max  , D max</t>
        </is>
      </c>
      <c r="E928" t="inlineStr">
        <is>
          <t>Kx65fcp , 4x4 , Izuzu d max  , D max</t>
        </is>
      </c>
      <c r="F928" t="inlineStr">
        <is>
          <t>Kx65fcp , 4x4 , Izuzu d max  , D max</t>
        </is>
      </c>
      <c r="G928" t="inlineStr">
        <is>
          <t>Jack Buchan</t>
        </is>
      </c>
      <c r="H928" t="inlineStr">
        <is>
          <t>4x4</t>
        </is>
      </c>
      <c r="I928" t="inlineStr">
        <is>
          <t>Daily/ Weekly Vehicle Inspection</t>
        </is>
      </c>
      <c r="J928" t="inlineStr">
        <is>
          <t>N/A</t>
        </is>
      </c>
      <c r="K928" t="inlineStr">
        <is>
          <t>7940 HRJ Tree Services LTD</t>
        </is>
      </c>
      <c r="L928" t="inlineStr">
        <is>
          <t>18/07/2025 06:11</t>
        </is>
      </c>
      <c r="M928" t="inlineStr">
        <is>
          <t>None</t>
        </is>
      </c>
      <c r="N928" t="inlineStr">
        <is>
          <t>&lt;p&gt;&lt;/p&gt;</t>
        </is>
      </c>
      <c r="O928" t="inlineStr"/>
      <c r="P928" t="inlineStr">
        <is>
          <t>Kx65fcp , 4x4 , Izuzu d max  , D max</t>
        </is>
      </c>
      <c r="Q928" t="inlineStr">
        <is>
          <t>UKPN</t>
        </is>
      </c>
      <c r="R928" t="b">
        <v>0</v>
      </c>
    </row>
    <row r="929">
      <c r="A929" t="inlineStr">
        <is>
          <t>18 Jul 2025 / 7806 Optimum Tree Services Ltd</t>
        </is>
      </c>
      <c r="B929" t="inlineStr">
        <is>
          <t>Utilities &amp; Inland Waterways</t>
        </is>
      </c>
      <c r="C929" t="inlineStr">
        <is>
          <t>UKPN</t>
        </is>
      </c>
      <c r="D929" t="inlineStr">
        <is>
          <t>WD14EVB , MEWP , Land Rover , Defender</t>
        </is>
      </c>
      <c r="E929" t="inlineStr">
        <is>
          <t>WD14EVB , MEWP , Land Rover , Defender</t>
        </is>
      </c>
      <c r="F929" t="inlineStr">
        <is>
          <t>WD14EVB , MEWP , Land Rover , Defender</t>
        </is>
      </c>
      <c r="G929" t="inlineStr">
        <is>
          <t xml:space="preserve">Abraham Davies </t>
        </is>
      </c>
      <c r="H929" t="inlineStr">
        <is>
          <t>4x4</t>
        </is>
      </c>
      <c r="I929" t="inlineStr">
        <is>
          <t>Daily/ Weekly Vehicle Inspection</t>
        </is>
      </c>
      <c r="J929" t="inlineStr">
        <is>
          <t>N/A</t>
        </is>
      </c>
      <c r="K929" t="inlineStr">
        <is>
          <t>7806 Optimum Tree Services Ltd</t>
        </is>
      </c>
      <c r="L929" t="inlineStr">
        <is>
          <t>18/07/2025 07:10</t>
        </is>
      </c>
      <c r="M929" t="inlineStr">
        <is>
          <t>None</t>
        </is>
      </c>
      <c r="N929" t="inlineStr">
        <is>
          <t>&lt;p&gt;&lt;/p&gt;</t>
        </is>
      </c>
      <c r="O929" t="inlineStr"/>
      <c r="P929" t="inlineStr">
        <is>
          <t>WD14EVB , MEWP , Land Rover , Defender</t>
        </is>
      </c>
      <c r="Q929" t="inlineStr">
        <is>
          <t>UKPN</t>
        </is>
      </c>
      <c r="R929" t="b">
        <v>0</v>
      </c>
    </row>
    <row r="930">
      <c r="A930" t="inlineStr">
        <is>
          <t>18 Jul 2025 / 7186 Eastwoodbury Tree Services Ltd</t>
        </is>
      </c>
      <c r="B930" t="inlineStr">
        <is>
          <t>Utilities &amp; Inland Waterways</t>
        </is>
      </c>
      <c r="C930" t="inlineStr">
        <is>
          <t>UKPN</t>
        </is>
      </c>
      <c r="D930" t="inlineStr">
        <is>
          <t>FN600XM , 4x4 , Land Rover  , Defender</t>
        </is>
      </c>
      <c r="E930" t="inlineStr">
        <is>
          <t>FN600XM , 4x4 , Land Rover  , Defender</t>
        </is>
      </c>
      <c r="F930" t="inlineStr">
        <is>
          <t>FN600XM , 4x4 , Land Rover  , Defender</t>
        </is>
      </c>
      <c r="G930" t="inlineStr">
        <is>
          <t xml:space="preserve">Dan Gilbert </t>
        </is>
      </c>
      <c r="H930" t="inlineStr">
        <is>
          <t>4x4</t>
        </is>
      </c>
      <c r="I930" t="inlineStr">
        <is>
          <t>Daily/ Weekly Vehicle Inspection</t>
        </is>
      </c>
      <c r="J930" t="inlineStr">
        <is>
          <t>N/A</t>
        </is>
      </c>
      <c r="K930" t="inlineStr">
        <is>
          <t>7186 Eastwoodbury Tree Services Ltd</t>
        </is>
      </c>
      <c r="L930" t="inlineStr">
        <is>
          <t>18/07/2025 07:12</t>
        </is>
      </c>
      <c r="M930" t="inlineStr">
        <is>
          <t>None</t>
        </is>
      </c>
      <c r="N930" t="inlineStr">
        <is>
          <t>&lt;p&gt;&lt;/p&gt;</t>
        </is>
      </c>
      <c r="O930" t="inlineStr"/>
      <c r="P930" t="inlineStr">
        <is>
          <t>FN600XM , 4x4 , Land Rover  , Defender</t>
        </is>
      </c>
      <c r="Q930" t="inlineStr">
        <is>
          <t>UKPN</t>
        </is>
      </c>
      <c r="R930" t="b">
        <v>0</v>
      </c>
    </row>
    <row r="931">
      <c r="A931" t="inlineStr">
        <is>
          <t>18 Jul 2025 / 7186 Eastwoodbury Tree Services Ltd</t>
        </is>
      </c>
      <c r="B931" t="inlineStr">
        <is>
          <t>Utilities &amp; Inland Waterways</t>
        </is>
      </c>
      <c r="C931" t="inlineStr">
        <is>
          <t>UKPN</t>
        </is>
      </c>
      <c r="D931" t="inlineStr">
        <is>
          <t>DE53NKS , 4x4 , Ford , Ranger</t>
        </is>
      </c>
      <c r="E931" t="inlineStr">
        <is>
          <t>DE53NKS , 4x4 , Ford , Ranger</t>
        </is>
      </c>
      <c r="F931" t="inlineStr">
        <is>
          <t>DE53NKS , 4x4 , Ford , Ranger</t>
        </is>
      </c>
      <c r="G931" t="inlineStr">
        <is>
          <t xml:space="preserve">Jay Denkmayer </t>
        </is>
      </c>
      <c r="H931" t="inlineStr">
        <is>
          <t>Pickup Truck</t>
        </is>
      </c>
      <c r="I931" t="inlineStr">
        <is>
          <t>Daily/ Weekly Vehicle Inspection</t>
        </is>
      </c>
      <c r="J931" t="inlineStr">
        <is>
          <t>N/A</t>
        </is>
      </c>
      <c r="K931" t="inlineStr">
        <is>
          <t>7186 Eastwoodbury Tree Services Ltd</t>
        </is>
      </c>
      <c r="L931" t="inlineStr">
        <is>
          <t>18/07/2025 07:12</t>
        </is>
      </c>
      <c r="M931" t="inlineStr">
        <is>
          <t>None</t>
        </is>
      </c>
      <c r="N931" t="inlineStr">
        <is>
          <t>&lt;p&gt;&lt;/p&gt;</t>
        </is>
      </c>
      <c r="O931" t="inlineStr"/>
      <c r="P931" t="inlineStr">
        <is>
          <t>DE53NKS , 4x4 , Ford , Ranger</t>
        </is>
      </c>
      <c r="Q931" t="inlineStr">
        <is>
          <t>UKPN</t>
        </is>
      </c>
      <c r="R931" t="b">
        <v>0</v>
      </c>
    </row>
    <row r="932">
      <c r="A932" t="inlineStr">
        <is>
          <t>18 Jul 2025 / 7800 MAC Tree Surgery and Fencing Ltd</t>
        </is>
      </c>
      <c r="B932" t="inlineStr">
        <is>
          <t>Utilities &amp; Inland Waterways</t>
        </is>
      </c>
      <c r="C932" t="inlineStr">
        <is>
          <t>UKPN</t>
        </is>
      </c>
      <c r="D932" t="inlineStr">
        <is>
          <t>205143043-A1 , Tow Chipper , Timberwolf , TW150</t>
        </is>
      </c>
      <c r="E932" t="inlineStr">
        <is>
          <t>205143043-A1 , Tow Chipper , Timberwolf , TW150</t>
        </is>
      </c>
      <c r="F932" t="inlineStr">
        <is>
          <t>205143043-A1 , Tow Chipper , Timberwolf , TW150</t>
        </is>
      </c>
      <c r="G932" t="inlineStr">
        <is>
          <t xml:space="preserve">Lewis mac </t>
        </is>
      </c>
      <c r="H932" t="inlineStr">
        <is>
          <t>Towed Chipper</t>
        </is>
      </c>
      <c r="I932" t="inlineStr">
        <is>
          <t>Daily/ Weekly Vehicle Inspection</t>
        </is>
      </c>
      <c r="J932" t="inlineStr">
        <is>
          <t>N/A</t>
        </is>
      </c>
      <c r="K932" t="inlineStr">
        <is>
          <t>7800 MAC Tree Surgery and Fencing Ltd</t>
        </is>
      </c>
      <c r="L932" t="inlineStr">
        <is>
          <t>18/07/2025 08:11</t>
        </is>
      </c>
      <c r="M932" t="inlineStr">
        <is>
          <t>None</t>
        </is>
      </c>
      <c r="N932" t="inlineStr">
        <is>
          <t>&lt;p&gt;&lt;/p&gt;</t>
        </is>
      </c>
      <c r="O932" t="inlineStr"/>
      <c r="P932" t="inlineStr">
        <is>
          <t>205143043-A1 , Tow Chipper , Timberwolf , TW150</t>
        </is>
      </c>
      <c r="Q932" t="inlineStr">
        <is>
          <t>UKPN</t>
        </is>
      </c>
      <c r="R932" t="b">
        <v>0</v>
      </c>
    </row>
    <row r="933">
      <c r="A933" t="inlineStr">
        <is>
          <t>18 Jul 2025 / 7800 MAC Tree Surgery and Fencing Ltd</t>
        </is>
      </c>
      <c r="B933" t="inlineStr">
        <is>
          <t>Utilities &amp; Inland Waterways</t>
        </is>
      </c>
      <c r="C933" t="inlineStr">
        <is>
          <t>UKPN</t>
        </is>
      </c>
      <c r="D933" t="inlineStr">
        <is>
          <t>AY68DAA , 4x4 , Izuzu , Dmax</t>
        </is>
      </c>
      <c r="E933" t="inlineStr">
        <is>
          <t>AY68DAA , 4x4 , Izuzu , Dmax</t>
        </is>
      </c>
      <c r="F933" t="inlineStr">
        <is>
          <t>AY68DAA , 4x4 , Izuzu , Dmax</t>
        </is>
      </c>
      <c r="G933" t="inlineStr">
        <is>
          <t xml:space="preserve">Lewis mac </t>
        </is>
      </c>
      <c r="H933" t="inlineStr">
        <is>
          <t>4x4</t>
        </is>
      </c>
      <c r="I933" t="inlineStr">
        <is>
          <t>Daily/ Weekly Vehicle Inspection</t>
        </is>
      </c>
      <c r="J933" t="inlineStr">
        <is>
          <t>N/A</t>
        </is>
      </c>
      <c r="K933" t="inlineStr">
        <is>
          <t>7800 MAC Tree Surgery and Fencing Ltd</t>
        </is>
      </c>
      <c r="L933" t="inlineStr">
        <is>
          <t>18/07/2025 08:12</t>
        </is>
      </c>
      <c r="M933" t="inlineStr">
        <is>
          <t>None</t>
        </is>
      </c>
      <c r="N933" t="inlineStr">
        <is>
          <t>&lt;p&gt;&lt;/p&gt;</t>
        </is>
      </c>
      <c r="O933" t="inlineStr"/>
      <c r="P933" t="inlineStr">
        <is>
          <t>AY68DAA , 4x4 , Izuzu , Dmax</t>
        </is>
      </c>
      <c r="Q933" t="inlineStr">
        <is>
          <t>UKPN</t>
        </is>
      </c>
      <c r="R933" t="b">
        <v>0</v>
      </c>
    </row>
    <row r="934">
      <c r="A934" t="inlineStr">
        <is>
          <t>18 Jul 2025 / 7996 M G Tree Surgery Ltd</t>
        </is>
      </c>
      <c r="B934" t="inlineStr">
        <is>
          <t>Utilities &amp; Inland Waterways</t>
        </is>
      </c>
      <c r="C934" t="inlineStr">
        <is>
          <t>UKPN</t>
        </is>
      </c>
      <c r="D934" t="inlineStr">
        <is>
          <t>GU13 WNL , MEWP , Land Rover , Defender 130</t>
        </is>
      </c>
      <c r="E934" t="inlineStr">
        <is>
          <t>GU13 WNL , MEWP , Land Rover , Defender 130</t>
        </is>
      </c>
      <c r="F934" t="inlineStr">
        <is>
          <t>GU13 WNL , MEWP , Land Rover , Defender 130</t>
        </is>
      </c>
      <c r="G934" t="inlineStr">
        <is>
          <t>Max gaylor</t>
        </is>
      </c>
      <c r="H934" t="inlineStr">
        <is>
          <t>4x4</t>
        </is>
      </c>
      <c r="I934" t="inlineStr">
        <is>
          <t>Daily/ Weekly Vehicle Inspection</t>
        </is>
      </c>
      <c r="J934" t="inlineStr">
        <is>
          <t>N/A</t>
        </is>
      </c>
      <c r="K934" t="inlineStr">
        <is>
          <t>7996 M G Tree Surgery Ltd</t>
        </is>
      </c>
      <c r="L934" t="inlineStr">
        <is>
          <t>18/07/2025 08:13</t>
        </is>
      </c>
      <c r="M934" t="inlineStr">
        <is>
          <t>None</t>
        </is>
      </c>
      <c r="N934" t="inlineStr">
        <is>
          <t>&lt;p&gt;&lt;/p&gt;</t>
        </is>
      </c>
      <c r="O934" t="inlineStr"/>
      <c r="P934" t="inlineStr">
        <is>
          <t>GU13 WNL , MEWP , Land Rover , Defender 130</t>
        </is>
      </c>
      <c r="Q934" t="inlineStr">
        <is>
          <t>UKPN</t>
        </is>
      </c>
      <c r="R934" t="b">
        <v>0</v>
      </c>
    </row>
    <row r="935">
      <c r="A935" t="inlineStr">
        <is>
          <t>18 Jul 2025 / 7951 Austin Tree Care LTD</t>
        </is>
      </c>
      <c r="B935" t="inlineStr">
        <is>
          <t>Utilities &amp; Inland Waterways</t>
        </is>
      </c>
      <c r="C935" t="inlineStr">
        <is>
          <t>UKPN</t>
        </is>
      </c>
      <c r="D935" t="inlineStr">
        <is>
          <t>SA9ST6P0001283612 , Tow Chipper , Forst , ST6p</t>
        </is>
      </c>
      <c r="E935" t="inlineStr">
        <is>
          <t>SA9ST6P0001283612 , Tow Chipper , Forst , ST6p</t>
        </is>
      </c>
      <c r="F935" t="inlineStr">
        <is>
          <t>SA9ST6P0001283612 , Tow Chipper , Forst , ST6p</t>
        </is>
      </c>
      <c r="G935" t="inlineStr">
        <is>
          <t xml:space="preserve">Jack Austin </t>
        </is>
      </c>
      <c r="H935" t="inlineStr">
        <is>
          <t>Towed Chipper</t>
        </is>
      </c>
      <c r="I935" t="inlineStr">
        <is>
          <t>Daily/ Weekly Vehicle Inspection</t>
        </is>
      </c>
      <c r="J935" t="inlineStr">
        <is>
          <t>N/A</t>
        </is>
      </c>
      <c r="K935" t="inlineStr">
        <is>
          <t>7951 Austin Tree Care LTD</t>
        </is>
      </c>
      <c r="L935" t="inlineStr">
        <is>
          <t>18/07/2025 08:14</t>
        </is>
      </c>
      <c r="M935" t="inlineStr">
        <is>
          <t>None</t>
        </is>
      </c>
      <c r="N935" t="inlineStr">
        <is>
          <t>&lt;p&gt;&lt;/p&gt;</t>
        </is>
      </c>
      <c r="O935" t="inlineStr"/>
      <c r="P935" t="inlineStr">
        <is>
          <t>SA9ST6P0001283612 , Tow Chipper , Forst , ST6p</t>
        </is>
      </c>
      <c r="Q935" t="inlineStr">
        <is>
          <t>UKPN</t>
        </is>
      </c>
      <c r="R935" t="b">
        <v>0</v>
      </c>
    </row>
    <row r="936">
      <c r="A936" t="inlineStr">
        <is>
          <t>18 Jul 2025 / 7951 Austin Tree Care LTD</t>
        </is>
      </c>
      <c r="B936" t="inlineStr">
        <is>
          <t>Utilities &amp; Inland Waterways</t>
        </is>
      </c>
      <c r="C936" t="inlineStr">
        <is>
          <t>UKPN</t>
        </is>
      </c>
      <c r="D936" t="inlineStr">
        <is>
          <t>WF61 HZV , 4x4 MEWP , Land Rover , Defender</t>
        </is>
      </c>
      <c r="E936" t="inlineStr">
        <is>
          <t>WF61 HZV , 4x4 MEWP , Land Rover , Defender</t>
        </is>
      </c>
      <c r="F936" t="inlineStr">
        <is>
          <t>WF61 HZV , 4x4 MEWP , Land Rover , Defender</t>
        </is>
      </c>
      <c r="G936" t="inlineStr">
        <is>
          <t xml:space="preserve">Jack Austin </t>
        </is>
      </c>
      <c r="H936" t="inlineStr">
        <is>
          <t>4x4</t>
        </is>
      </c>
      <c r="I936" t="inlineStr">
        <is>
          <t>Daily/ Weekly Vehicle Inspection</t>
        </is>
      </c>
      <c r="J936" t="inlineStr">
        <is>
          <t>N/A</t>
        </is>
      </c>
      <c r="K936" t="inlineStr">
        <is>
          <t>7951 Austin Tree Care LTD</t>
        </is>
      </c>
      <c r="L936" t="inlineStr">
        <is>
          <t>18/07/2025 08:14</t>
        </is>
      </c>
      <c r="M936" t="inlineStr">
        <is>
          <t>None</t>
        </is>
      </c>
      <c r="N936" t="inlineStr">
        <is>
          <t>&lt;p&gt;&lt;/p&gt;</t>
        </is>
      </c>
      <c r="O936" t="inlineStr"/>
      <c r="P936" t="inlineStr">
        <is>
          <t>WF61 HZV , 4x4 MEWP , Land Rover , Defender</t>
        </is>
      </c>
      <c r="Q936" t="inlineStr">
        <is>
          <t>UKPN</t>
        </is>
      </c>
      <c r="R936" t="b">
        <v>0</v>
      </c>
    </row>
    <row r="937">
      <c r="A937" t="inlineStr">
        <is>
          <t>18 Jul 2025 / 6617 Ashdown Tree Limited 1</t>
        </is>
      </c>
      <c r="B937" t="inlineStr">
        <is>
          <t>Utilities &amp; Inland Waterways</t>
        </is>
      </c>
      <c r="C937" t="inlineStr">
        <is>
          <t>UKPN</t>
        </is>
      </c>
      <c r="D937" t="inlineStr">
        <is>
          <t>GU11LKD , 4x4 , Land Rover , Defender</t>
        </is>
      </c>
      <c r="E937" t="inlineStr">
        <is>
          <t>GU11LKD , 4x4 , Land Rover , Defender</t>
        </is>
      </c>
      <c r="F937" t="inlineStr">
        <is>
          <t>GU11LKD , 4x4 , Land Rover , Defender</t>
        </is>
      </c>
      <c r="G937" t="inlineStr">
        <is>
          <t xml:space="preserve">Luke williams </t>
        </is>
      </c>
      <c r="H937" t="inlineStr">
        <is>
          <t>4x4</t>
        </is>
      </c>
      <c r="I937" t="inlineStr">
        <is>
          <t>Daily/ Weekly Vehicle Inspection</t>
        </is>
      </c>
      <c r="J937" t="inlineStr">
        <is>
          <t>N/A</t>
        </is>
      </c>
      <c r="K937" t="inlineStr">
        <is>
          <t>6617 Ashdown Tree Limited 1</t>
        </is>
      </c>
      <c r="L937" t="inlineStr">
        <is>
          <t>18/07/2025 08:15</t>
        </is>
      </c>
      <c r="M937" t="inlineStr">
        <is>
          <t>None</t>
        </is>
      </c>
      <c r="N937" t="inlineStr">
        <is>
          <t>&lt;p&gt;&lt;/p&gt;</t>
        </is>
      </c>
      <c r="O937" t="inlineStr"/>
      <c r="P937" t="inlineStr">
        <is>
          <t>GU11LKD , 4x4 , Land Rover , Defender</t>
        </is>
      </c>
      <c r="Q937" t="inlineStr">
        <is>
          <t>UKPN</t>
        </is>
      </c>
      <c r="R937" t="b">
        <v>0</v>
      </c>
    </row>
    <row r="938">
      <c r="A938" t="inlineStr">
        <is>
          <t>18 Jul 2025 / Thomas Playford</t>
        </is>
      </c>
      <c r="B938" t="inlineStr">
        <is>
          <t>Utilities &amp; Inland Waterways</t>
        </is>
      </c>
      <c r="C938" t="inlineStr">
        <is>
          <t>UKPN</t>
        </is>
      </c>
      <c r="D938" t="inlineStr">
        <is>
          <t>SA9ST800000283944 , Tow Chipper , Forst , ST8D - Towed</t>
        </is>
      </c>
      <c r="E938" t="inlineStr">
        <is>
          <t>SA9ST800000283944 , Tow Chipper , Forst , ST8D - Towed</t>
        </is>
      </c>
      <c r="F938" t="inlineStr">
        <is>
          <t>SA9ST800000283944 , Tow Chipper , Forst , ST8D - Towed</t>
        </is>
      </c>
      <c r="G938" t="inlineStr">
        <is>
          <t>Jacob Oram</t>
        </is>
      </c>
      <c r="H938" t="inlineStr">
        <is>
          <t>Towed Chipper</t>
        </is>
      </c>
      <c r="I938" t="inlineStr">
        <is>
          <t>Daily/ Weekly Vehicle Inspection</t>
        </is>
      </c>
      <c r="J938" t="inlineStr">
        <is>
          <t>N/A</t>
        </is>
      </c>
      <c r="K938" t="inlineStr">
        <is>
          <t>7995 Contour Landscapes Ltd 2</t>
        </is>
      </c>
      <c r="L938" t="inlineStr">
        <is>
          <t>18/07/2025 08:15</t>
        </is>
      </c>
      <c r="M938" t="inlineStr">
        <is>
          <t>None</t>
        </is>
      </c>
      <c r="N938" t="inlineStr">
        <is>
          <t>&lt;p&gt;&lt;/p&gt;</t>
        </is>
      </c>
      <c r="O938" t="inlineStr"/>
      <c r="P938" t="inlineStr">
        <is>
          <t>SA9ST800000283944 , Tow Chipper , Forst , ST8D - Towed</t>
        </is>
      </c>
      <c r="Q938" t="inlineStr">
        <is>
          <t>UKPN</t>
        </is>
      </c>
      <c r="R938" t="b">
        <v>0</v>
      </c>
    </row>
    <row r="939">
      <c r="A939" t="inlineStr">
        <is>
          <t>18 Jul 2025 / 6617 Ashdown Tree Limited 1</t>
        </is>
      </c>
      <c r="B939" t="inlineStr">
        <is>
          <t>Utilities &amp; Inland Waterways</t>
        </is>
      </c>
      <c r="C939" t="inlineStr">
        <is>
          <t>UKPN</t>
        </is>
      </c>
      <c r="D939" t="inlineStr">
        <is>
          <t>Tipper - Ford transit  - Ford - AV69LVR</t>
        </is>
      </c>
      <c r="E939" t="inlineStr">
        <is>
          <t>Tipper - Ford transit  - Ford - AV69LVR</t>
        </is>
      </c>
      <c r="F939" t="inlineStr">
        <is>
          <t>Tipper - Ford transit  - Ford - AV69LVR</t>
        </is>
      </c>
      <c r="G939" t="inlineStr">
        <is>
          <t xml:space="preserve">Francislesser </t>
        </is>
      </c>
      <c r="H939" t="inlineStr">
        <is>
          <t>Tipper</t>
        </is>
      </c>
      <c r="I939" t="inlineStr">
        <is>
          <t>Daily/ Weekly Vehicle Inspection</t>
        </is>
      </c>
      <c r="J939" t="inlineStr">
        <is>
          <t>N/A</t>
        </is>
      </c>
      <c r="K939" t="inlineStr">
        <is>
          <t>6617 Ashdown Tree Limited 1</t>
        </is>
      </c>
      <c r="L939" t="inlineStr">
        <is>
          <t>18/07/2025 08:16</t>
        </is>
      </c>
      <c r="M939" t="inlineStr">
        <is>
          <t>None</t>
        </is>
      </c>
      <c r="N939" t="inlineStr">
        <is>
          <t>&lt;p&gt;&lt;/p&gt;</t>
        </is>
      </c>
      <c r="O939" t="inlineStr">
        <is>
          <t>Type of vehicle:And trailer</t>
        </is>
      </c>
      <c r="P939" t="inlineStr">
        <is>
          <t>Tipper - Ford transit  - Ford - AV69LVR</t>
        </is>
      </c>
      <c r="Q939" t="inlineStr">
        <is>
          <t>UKPN</t>
        </is>
      </c>
      <c r="R939" t="b">
        <v>0</v>
      </c>
    </row>
    <row r="940">
      <c r="A940" t="inlineStr">
        <is>
          <t>18 Jul 2025 / Thomas Playford</t>
        </is>
      </c>
      <c r="B940" t="inlineStr">
        <is>
          <t>Utilities &amp; Inland Waterways</t>
        </is>
      </c>
      <c r="C940" t="inlineStr">
        <is>
          <t>UKPN</t>
        </is>
      </c>
      <c r="D940" t="inlineStr">
        <is>
          <t>YP24 WRD , Vehicle , Ford , Ranger</t>
        </is>
      </c>
      <c r="E940" t="inlineStr">
        <is>
          <t>YP24 WRD , Vehicle , Ford , Ranger</t>
        </is>
      </c>
      <c r="F940" t="inlineStr">
        <is>
          <t>YP24 WRD , Vehicle , Ford , Ranger</t>
        </is>
      </c>
      <c r="G940" t="inlineStr">
        <is>
          <t>Jacob Oram</t>
        </is>
      </c>
      <c r="H940" t="inlineStr">
        <is>
          <t>4x4</t>
        </is>
      </c>
      <c r="I940" t="inlineStr">
        <is>
          <t>Daily/ Weekly Vehicle Inspection</t>
        </is>
      </c>
      <c r="J940" t="inlineStr">
        <is>
          <t>N/A</t>
        </is>
      </c>
      <c r="K940" t="inlineStr">
        <is>
          <t>7995 Contour Landscapes Ltd 2</t>
        </is>
      </c>
      <c r="L940" t="inlineStr">
        <is>
          <t>18/07/2025 08:17</t>
        </is>
      </c>
      <c r="M940" t="inlineStr">
        <is>
          <t>None</t>
        </is>
      </c>
      <c r="N940" t="inlineStr">
        <is>
          <t>&lt;p&gt;&lt;/p&gt;</t>
        </is>
      </c>
      <c r="O940" t="inlineStr"/>
      <c r="P940" t="inlineStr">
        <is>
          <t>YP24 WRD , Vehicle , Ford , Ranger</t>
        </is>
      </c>
      <c r="Q940" t="inlineStr">
        <is>
          <t>UKPN</t>
        </is>
      </c>
      <c r="R940" t="b">
        <v>0</v>
      </c>
    </row>
    <row r="941">
      <c r="A941" t="inlineStr">
        <is>
          <t>18 Jul 2025 / Anthony Gale</t>
        </is>
      </c>
      <c r="B941" t="inlineStr">
        <is>
          <t>Utilities &amp; Inland Waterways</t>
        </is>
      </c>
      <c r="C941" t="inlineStr">
        <is>
          <t>UKPN</t>
        </is>
      </c>
      <c r="D941" t="inlineStr">
        <is>
          <t>PE07HGL , 4x4 , Mitsubishi  , L200</t>
        </is>
      </c>
      <c r="E941" t="inlineStr">
        <is>
          <t>PE07HGL , 4x4 , Mitsubishi  , L200</t>
        </is>
      </c>
      <c r="F941" t="inlineStr">
        <is>
          <t>PE07HGL , 4x4 , Mitsubishi  , L200</t>
        </is>
      </c>
      <c r="G941" t="inlineStr">
        <is>
          <t xml:space="preserve">Anthony Gale </t>
        </is>
      </c>
      <c r="H941" t="inlineStr">
        <is>
          <t>Pickup Truck</t>
        </is>
      </c>
      <c r="I941" t="inlineStr">
        <is>
          <t>Daily/ Weekly Vehicle Inspection</t>
        </is>
      </c>
      <c r="J941" t="inlineStr">
        <is>
          <t>N/A</t>
        </is>
      </c>
      <c r="K941" t="inlineStr">
        <is>
          <t>7996 M G Tree Surgery Ltd 1</t>
        </is>
      </c>
      <c r="L941" t="inlineStr">
        <is>
          <t>18/07/2025 08:17</t>
        </is>
      </c>
      <c r="M941" t="inlineStr">
        <is>
          <t>None</t>
        </is>
      </c>
      <c r="N941" t="inlineStr">
        <is>
          <t>&lt;p&gt;&lt;/p&gt;</t>
        </is>
      </c>
      <c r="O941" t="inlineStr"/>
      <c r="P941" t="inlineStr">
        <is>
          <t>PE07HGL , 4x4 , Mitsubishi  , L200</t>
        </is>
      </c>
      <c r="Q941" t="inlineStr">
        <is>
          <t>UKPN</t>
        </is>
      </c>
      <c r="R941" t="b">
        <v>0</v>
      </c>
    </row>
    <row r="942">
      <c r="A942" t="inlineStr">
        <is>
          <t>18 Jul 2025 / 7889 Tree Tech Suffolk Ltd</t>
        </is>
      </c>
      <c r="B942" t="inlineStr">
        <is>
          <t>Utilities &amp; Inland Waterways</t>
        </is>
      </c>
      <c r="C942" t="inlineStr">
        <is>
          <t>UKPN</t>
        </is>
      </c>
      <c r="D942" t="inlineStr">
        <is>
          <t>Tipper - Nissan - Navara - NS02TTS</t>
        </is>
      </c>
      <c r="E942" t="inlineStr">
        <is>
          <t>Tipper - Nissan - Navara - NS02TTS</t>
        </is>
      </c>
      <c r="F942" t="inlineStr">
        <is>
          <t>Tipper - Nissan - Navara - NS02TTS</t>
        </is>
      </c>
      <c r="G942" t="inlineStr">
        <is>
          <t xml:space="preserve">Danny Appleby </t>
        </is>
      </c>
      <c r="H942" t="inlineStr">
        <is>
          <t>Tipper</t>
        </is>
      </c>
      <c r="I942" t="inlineStr">
        <is>
          <t>Daily/ Weekly Vehicle Inspection</t>
        </is>
      </c>
      <c r="J942" t="inlineStr">
        <is>
          <t>N/A</t>
        </is>
      </c>
      <c r="K942" t="inlineStr">
        <is>
          <t>7889 Tree Tech Suffolk Ltd</t>
        </is>
      </c>
      <c r="L942" t="inlineStr">
        <is>
          <t>18/07/2025 08:18</t>
        </is>
      </c>
      <c r="M942" t="inlineStr">
        <is>
          <t>None</t>
        </is>
      </c>
      <c r="N942" t="inlineStr">
        <is>
          <t>&lt;p&gt;&lt;/p&gt;</t>
        </is>
      </c>
      <c r="O942" t="inlineStr"/>
      <c r="P942" t="inlineStr">
        <is>
          <t>Tipper - Nissan - Navara - NS02TTS</t>
        </is>
      </c>
      <c r="Q942" t="inlineStr">
        <is>
          <t>UKPN</t>
        </is>
      </c>
      <c r="R942" t="b">
        <v>0</v>
      </c>
    </row>
    <row r="943">
      <c r="A943" t="inlineStr">
        <is>
          <t>18 Jul 2025 / 7806 Optimum Tree Services Ltd</t>
        </is>
      </c>
      <c r="B943" t="inlineStr">
        <is>
          <t>Utilities &amp; Inland Waterways</t>
        </is>
      </c>
      <c r="C943" t="inlineStr">
        <is>
          <t>UKPN</t>
        </is>
      </c>
      <c r="D943" t="inlineStr">
        <is>
          <t>SA9ST800000283069 , Chipper , Forst , ST 6P</t>
        </is>
      </c>
      <c r="E943" t="inlineStr">
        <is>
          <t>SA9ST800000283069 , Chipper , Forst , ST 6P</t>
        </is>
      </c>
      <c r="F943" t="inlineStr">
        <is>
          <t>SA9ST800000283069 , Chipper , Forst , ST 6P</t>
        </is>
      </c>
      <c r="G943" t="inlineStr">
        <is>
          <t xml:space="preserve">Abraham Davies </t>
        </is>
      </c>
      <c r="H943" t="inlineStr">
        <is>
          <t>Towed Chipper</t>
        </is>
      </c>
      <c r="I943" t="inlineStr">
        <is>
          <t>Daily/ Weekly Vehicle Inspection</t>
        </is>
      </c>
      <c r="J943" t="inlineStr">
        <is>
          <t>N/A</t>
        </is>
      </c>
      <c r="K943" t="inlineStr">
        <is>
          <t>7806 Optimum Tree Services Ltd</t>
        </is>
      </c>
      <c r="L943" t="inlineStr">
        <is>
          <t>18/07/2025 08:19</t>
        </is>
      </c>
      <c r="M943" t="inlineStr">
        <is>
          <t>None</t>
        </is>
      </c>
      <c r="N943" t="inlineStr">
        <is>
          <t>&lt;p&gt;&lt;/p&gt;</t>
        </is>
      </c>
      <c r="O943" t="inlineStr"/>
      <c r="P943" t="inlineStr">
        <is>
          <t>SA9ST800000283069 , Chipper , Forst , ST 6P</t>
        </is>
      </c>
      <c r="Q943" t="inlineStr">
        <is>
          <t>UKPN</t>
        </is>
      </c>
      <c r="R943" t="b">
        <v>0</v>
      </c>
    </row>
    <row r="944">
      <c r="A944" t="inlineStr">
        <is>
          <t>20 Jul 2025 / 7806 Optimum Tree Services Ltd</t>
        </is>
      </c>
      <c r="B944" t="inlineStr">
        <is>
          <t>Utilities &amp; Inland Waterways</t>
        </is>
      </c>
      <c r="C944" t="inlineStr">
        <is>
          <t>UKPN</t>
        </is>
      </c>
      <c r="D944" t="inlineStr">
        <is>
          <t>SA9ST800000283069 , Chipper , Forst , ST 6P</t>
        </is>
      </c>
      <c r="E944" t="inlineStr">
        <is>
          <t>SA9ST800000283069 , Chipper , Forst , ST 6P</t>
        </is>
      </c>
      <c r="F944" t="inlineStr">
        <is>
          <t>SA9ST800000283069 , Chipper , Forst , ST 6P</t>
        </is>
      </c>
      <c r="G944" t="inlineStr">
        <is>
          <t xml:space="preserve">Abraham Davies </t>
        </is>
      </c>
      <c r="H944" t="inlineStr">
        <is>
          <t>Towed Chipper</t>
        </is>
      </c>
      <c r="I944" t="inlineStr">
        <is>
          <t>Daily/ Weekly Vehicle Inspection</t>
        </is>
      </c>
      <c r="J944" t="inlineStr">
        <is>
          <t>N/A</t>
        </is>
      </c>
      <c r="K944" t="inlineStr">
        <is>
          <t>7806 Optimum Tree Services Ltd</t>
        </is>
      </c>
      <c r="L944" t="inlineStr">
        <is>
          <t>20/07/2025 07:10</t>
        </is>
      </c>
      <c r="M944" t="inlineStr">
        <is>
          <t>None</t>
        </is>
      </c>
      <c r="N944" t="inlineStr">
        <is>
          <t>&lt;p&gt;&lt;/p&gt;</t>
        </is>
      </c>
      <c r="O944" t="inlineStr"/>
      <c r="P944" t="inlineStr">
        <is>
          <t>SA9ST800000283069 , Chipper , Forst , ST 6P</t>
        </is>
      </c>
      <c r="Q944" t="inlineStr">
        <is>
          <t>UKPN</t>
        </is>
      </c>
      <c r="R944" t="b">
        <v>0</v>
      </c>
    </row>
    <row r="945">
      <c r="A945" t="inlineStr">
        <is>
          <t>20 Jul 2025 / 7806 Optimum Tree Services Ltd</t>
        </is>
      </c>
      <c r="B945" t="inlineStr">
        <is>
          <t>Utilities &amp; Inland Waterways</t>
        </is>
      </c>
      <c r="C945" t="inlineStr">
        <is>
          <t>UKPN</t>
        </is>
      </c>
      <c r="D945" t="inlineStr">
        <is>
          <t>WD14EVB , MEWP , Land Rover , Defender</t>
        </is>
      </c>
      <c r="E945" t="inlineStr">
        <is>
          <t>WD14EVB , MEWP , Land Rover , Defender</t>
        </is>
      </c>
      <c r="F945" t="inlineStr">
        <is>
          <t>WD14EVB , MEWP , Land Rover , Defender</t>
        </is>
      </c>
      <c r="G945" t="inlineStr">
        <is>
          <t xml:space="preserve">Abraham Davies </t>
        </is>
      </c>
      <c r="H945" t="inlineStr">
        <is>
          <t>4x4</t>
        </is>
      </c>
      <c r="I945" t="inlineStr">
        <is>
          <t>Daily/ Weekly Vehicle Inspection</t>
        </is>
      </c>
      <c r="J945" t="inlineStr">
        <is>
          <t>N/A</t>
        </is>
      </c>
      <c r="K945" t="inlineStr">
        <is>
          <t>7806 Optimum Tree Services Ltd</t>
        </is>
      </c>
      <c r="L945" t="inlineStr">
        <is>
          <t>20/07/2025 07:11</t>
        </is>
      </c>
      <c r="M945" t="inlineStr">
        <is>
          <t>None</t>
        </is>
      </c>
      <c r="N945" t="inlineStr">
        <is>
          <t>&lt;p&gt;&lt;/p&gt;</t>
        </is>
      </c>
      <c r="O945" t="inlineStr"/>
      <c r="P945" t="inlineStr">
        <is>
          <t>WD14EVB , MEWP , Land Rover , Defender</t>
        </is>
      </c>
      <c r="Q945" t="inlineStr">
        <is>
          <t>UKPN</t>
        </is>
      </c>
      <c r="R945" t="b">
        <v>0</v>
      </c>
    </row>
    <row r="946">
      <c r="A946" t="inlineStr">
        <is>
          <t>20 Jul 2025 / 6617 Ashdown Tree Limited 1</t>
        </is>
      </c>
      <c r="B946" t="inlineStr">
        <is>
          <t>Utilities &amp; Inland Waterways</t>
        </is>
      </c>
      <c r="C946" t="inlineStr">
        <is>
          <t>UKPN</t>
        </is>
      </c>
      <c r="D946" t="inlineStr">
        <is>
          <t>Tipper - Ford transit  - Ford - AV69LVR</t>
        </is>
      </c>
      <c r="E946" t="inlineStr">
        <is>
          <t>Tipper - Ford transit  - Ford - AV69LVR</t>
        </is>
      </c>
      <c r="F946" t="inlineStr">
        <is>
          <t>Tipper - Ford transit  - Ford - AV69LVR</t>
        </is>
      </c>
      <c r="G946" t="inlineStr">
        <is>
          <t xml:space="preserve">Francislesser </t>
        </is>
      </c>
      <c r="H946" t="inlineStr">
        <is>
          <t>Tipper</t>
        </is>
      </c>
      <c r="I946" t="inlineStr">
        <is>
          <t>Daily/ Weekly Vehicle Inspection</t>
        </is>
      </c>
      <c r="J946" t="inlineStr">
        <is>
          <t>N/A</t>
        </is>
      </c>
      <c r="K946" t="inlineStr">
        <is>
          <t>6617 Ashdown Tree Limited 1</t>
        </is>
      </c>
      <c r="L946" t="inlineStr">
        <is>
          <t>20/07/2025 08:10</t>
        </is>
      </c>
      <c r="M946" t="inlineStr">
        <is>
          <t>None</t>
        </is>
      </c>
      <c r="N946" t="inlineStr">
        <is>
          <t>&lt;p&gt;&lt;/p&gt;</t>
        </is>
      </c>
      <c r="O946" t="inlineStr">
        <is>
          <t>Select Vehicle:And trailer</t>
        </is>
      </c>
      <c r="P946" t="inlineStr">
        <is>
          <t>Tipper - Ford transit  - Ford - AV69LVR</t>
        </is>
      </c>
      <c r="Q946" t="inlineStr">
        <is>
          <t>UKPN</t>
        </is>
      </c>
      <c r="R946" t="b">
        <v>0</v>
      </c>
    </row>
    <row r="947">
      <c r="A947" t="inlineStr">
        <is>
          <t>20 Jul 2025 / 7951 Austin Tree Care LTD</t>
        </is>
      </c>
      <c r="B947" t="inlineStr">
        <is>
          <t>Utilities &amp; Inland Waterways</t>
        </is>
      </c>
      <c r="C947" t="inlineStr">
        <is>
          <t>UKPN</t>
        </is>
      </c>
      <c r="D947" t="inlineStr">
        <is>
          <t>SA9ST6P0001283612 , Tow Chipper , Forst , ST6p</t>
        </is>
      </c>
      <c r="E947" t="inlineStr">
        <is>
          <t>SA9ST6P0001283612 , Tow Chipper , Forst , ST6p</t>
        </is>
      </c>
      <c r="F947" t="inlineStr">
        <is>
          <t>SA9ST6P0001283612 , Tow Chipper , Forst , ST6p</t>
        </is>
      </c>
      <c r="G947" t="inlineStr">
        <is>
          <t xml:space="preserve">Jack Austin </t>
        </is>
      </c>
      <c r="H947" t="inlineStr">
        <is>
          <t>Towed Chipper</t>
        </is>
      </c>
      <c r="I947" t="inlineStr">
        <is>
          <t>Daily/ Weekly Vehicle Inspection</t>
        </is>
      </c>
      <c r="J947" t="inlineStr">
        <is>
          <t>N/A</t>
        </is>
      </c>
      <c r="K947" t="inlineStr">
        <is>
          <t>7951 Austin Tree Care LTD</t>
        </is>
      </c>
      <c r="L947" t="inlineStr">
        <is>
          <t>20/07/2025 13:11</t>
        </is>
      </c>
      <c r="M947" t="inlineStr">
        <is>
          <t>None</t>
        </is>
      </c>
      <c r="N947" t="inlineStr">
        <is>
          <t>&lt;p&gt;&lt;/p&gt;</t>
        </is>
      </c>
      <c r="O947" t="inlineStr"/>
      <c r="P947" t="inlineStr">
        <is>
          <t>SA9ST6P0001283612 , Tow Chipper , Forst , ST6p</t>
        </is>
      </c>
      <c r="Q947" t="inlineStr">
        <is>
          <t>UKPN</t>
        </is>
      </c>
      <c r="R947" t="b">
        <v>0</v>
      </c>
    </row>
    <row r="948">
      <c r="A948" t="inlineStr">
        <is>
          <t>20 Jul 2025 / 7951 Austin Tree Care LTD</t>
        </is>
      </c>
      <c r="B948" t="inlineStr">
        <is>
          <t>Utilities &amp; Inland Waterways</t>
        </is>
      </c>
      <c r="C948" t="inlineStr">
        <is>
          <t>UKPN</t>
        </is>
      </c>
      <c r="D948" t="inlineStr">
        <is>
          <t>WF61 HZV , 4x4 MEWP , Land Rover , Defender</t>
        </is>
      </c>
      <c r="E948" t="inlineStr">
        <is>
          <t>WF61 HZV , 4x4 MEWP , Land Rover , Defender</t>
        </is>
      </c>
      <c r="F948" t="inlineStr">
        <is>
          <t>WF61 HZV , 4x4 MEWP , Land Rover , Defender</t>
        </is>
      </c>
      <c r="G948" t="inlineStr">
        <is>
          <t xml:space="preserve">Jack Austin </t>
        </is>
      </c>
      <c r="H948" t="inlineStr">
        <is>
          <t>4x4</t>
        </is>
      </c>
      <c r="I948" t="inlineStr">
        <is>
          <t>Daily/ Weekly Vehicle Inspection</t>
        </is>
      </c>
      <c r="J948" t="inlineStr">
        <is>
          <t>N/A</t>
        </is>
      </c>
      <c r="K948" t="inlineStr">
        <is>
          <t>7951 Austin Tree Care LTD</t>
        </is>
      </c>
      <c r="L948" t="inlineStr">
        <is>
          <t>20/07/2025 13:11</t>
        </is>
      </c>
      <c r="M948" t="inlineStr">
        <is>
          <t>None</t>
        </is>
      </c>
      <c r="N948" t="inlineStr">
        <is>
          <t>&lt;p&gt;&lt;/p&gt;</t>
        </is>
      </c>
      <c r="O948" t="inlineStr"/>
      <c r="P948" t="inlineStr">
        <is>
          <t>WF61 HZV , 4x4 MEWP , Land Rover , Defender</t>
        </is>
      </c>
      <c r="Q948" t="inlineStr">
        <is>
          <t>UKPN</t>
        </is>
      </c>
      <c r="R948" t="b">
        <v>0</v>
      </c>
    </row>
    <row r="949">
      <c r="A949" t="inlineStr">
        <is>
          <t>21 Jul 2025 / 7186 Eastwoodbury Tree Services Ltd 1</t>
        </is>
      </c>
      <c r="B949" t="inlineStr">
        <is>
          <t>Utilities &amp; Inland Waterways</t>
        </is>
      </c>
      <c r="C949" t="inlineStr">
        <is>
          <t>UKPN</t>
        </is>
      </c>
      <c r="D949" t="inlineStr">
        <is>
          <t>FN600XM , 4x4 , Land Rover  , Defender</t>
        </is>
      </c>
      <c r="E949" t="inlineStr">
        <is>
          <t>FN600XM , 4x4 , Land Rover  , Defender</t>
        </is>
      </c>
      <c r="F949" t="inlineStr">
        <is>
          <t>FN600XM , 4x4 , Land Rover  , Defender</t>
        </is>
      </c>
      <c r="G949" t="inlineStr">
        <is>
          <t xml:space="preserve">Dan </t>
        </is>
      </c>
      <c r="H949" t="inlineStr">
        <is>
          <t>4x4</t>
        </is>
      </c>
      <c r="I949" t="inlineStr">
        <is>
          <t>Daily/ Weekly Vehicle Inspection</t>
        </is>
      </c>
      <c r="J949" t="inlineStr">
        <is>
          <t>N/A</t>
        </is>
      </c>
      <c r="K949" t="inlineStr">
        <is>
          <t>7186 Eastwoodbury Tree Services Ltd 1</t>
        </is>
      </c>
      <c r="L949" t="inlineStr">
        <is>
          <t>21/07/2025 07:11</t>
        </is>
      </c>
      <c r="M949" t="inlineStr">
        <is>
          <t>None</t>
        </is>
      </c>
      <c r="N949" t="inlineStr">
        <is>
          <t>&lt;p&gt;&lt;/p&gt;</t>
        </is>
      </c>
      <c r="O949" t="inlineStr"/>
      <c r="P949" t="inlineStr">
        <is>
          <t>FN600XM , 4x4 , Land Rover  , Defender</t>
        </is>
      </c>
      <c r="Q949" t="inlineStr">
        <is>
          <t>UKPN</t>
        </is>
      </c>
      <c r="R949" t="b">
        <v>0</v>
      </c>
    </row>
    <row r="950">
      <c r="A950" t="inlineStr">
        <is>
          <t>21 Jul 2025 / 7940 HRJ Tree Services LTD</t>
        </is>
      </c>
      <c r="B950" t="inlineStr">
        <is>
          <t>Utilities &amp; Inland Waterways</t>
        </is>
      </c>
      <c r="C950" t="inlineStr">
        <is>
          <t>UKPN</t>
        </is>
      </c>
      <c r="D950" t="inlineStr">
        <is>
          <t>Kx65fcp , 4x4 , Izuzu d max  , D max</t>
        </is>
      </c>
      <c r="E950" t="inlineStr">
        <is>
          <t>Kx65fcp , 4x4 , Izuzu d max  , D max</t>
        </is>
      </c>
      <c r="F950" t="inlineStr">
        <is>
          <t>Kx65fcp , 4x4 , Izuzu d max  , D max</t>
        </is>
      </c>
      <c r="G950" t="inlineStr">
        <is>
          <t xml:space="preserve">Jack Buchan </t>
        </is>
      </c>
      <c r="H950" t="inlineStr">
        <is>
          <t>4x4</t>
        </is>
      </c>
      <c r="I950" t="inlineStr">
        <is>
          <t>Daily/ Weekly Vehicle Inspection</t>
        </is>
      </c>
      <c r="J950" t="inlineStr">
        <is>
          <t>N/A</t>
        </is>
      </c>
      <c r="K950" t="inlineStr">
        <is>
          <t>7940 HRJ Tree Services LTD</t>
        </is>
      </c>
      <c r="L950" t="inlineStr">
        <is>
          <t>21/07/2025 07:12</t>
        </is>
      </c>
      <c r="M950" t="inlineStr">
        <is>
          <t>None</t>
        </is>
      </c>
      <c r="N950" t="inlineStr">
        <is>
          <t>&lt;p&gt;&lt;/p&gt;</t>
        </is>
      </c>
      <c r="O950" t="inlineStr"/>
      <c r="P950" t="inlineStr">
        <is>
          <t>Kx65fcp , 4x4 , Izuzu d max  , D max</t>
        </is>
      </c>
      <c r="Q950" t="inlineStr">
        <is>
          <t>UKPN</t>
        </is>
      </c>
      <c r="R950" t="b">
        <v>0</v>
      </c>
    </row>
    <row r="951">
      <c r="A951" t="inlineStr">
        <is>
          <t>21 Jul 2025 / 7889 Tree Tech Suffolk Ltd</t>
        </is>
      </c>
      <c r="B951" t="inlineStr">
        <is>
          <t>Utilities &amp; Inland Waterways</t>
        </is>
      </c>
      <c r="C951" t="inlineStr">
        <is>
          <t>UKPN</t>
        </is>
      </c>
      <c r="D951" t="inlineStr">
        <is>
          <t>4x4 - Isuzu - D-max - NS03 TTSTow Chipper - Jenson - A530L - 5521063948Tipper - Nissan - Navara - NS02TTS</t>
        </is>
      </c>
      <c r="E951" t="inlineStr">
        <is>
          <t>4x4 - Isuzu - D-max - NS03 TTSTow Chipper - Jenson - A530L - 5521063948Tipper - Nissan - Navara - NS02TTS</t>
        </is>
      </c>
      <c r="F951" t="inlineStr">
        <is>
          <t>4x4 - Isuzu - D-max - NS03 TTSTow Chipper - Jenson - A530L - 5521063948Tipper - Nissan - Navara - NS02TTS</t>
        </is>
      </c>
      <c r="G951" t="inlineStr">
        <is>
          <t xml:space="preserve">Danny Appleby Nikki sparrow Nikki sparrow </t>
        </is>
      </c>
      <c r="H951" t="inlineStr">
        <is>
          <t>4x4Towed ChipperTipper</t>
        </is>
      </c>
      <c r="I951" t="inlineStr">
        <is>
          <t>Daily/ Weekly Vehicle Inspection</t>
        </is>
      </c>
      <c r="J951" t="inlineStr">
        <is>
          <t>N/A</t>
        </is>
      </c>
      <c r="K951" t="inlineStr">
        <is>
          <t>7889 Tree Tech Suffolk Ltd</t>
        </is>
      </c>
      <c r="L951" t="inlineStr">
        <is>
          <t>21/07/2025 07:16</t>
        </is>
      </c>
      <c r="M951" t="inlineStr">
        <is>
          <t>None</t>
        </is>
      </c>
      <c r="N951" t="inlineStr">
        <is>
          <t>&lt;p&gt;&lt;/p&gt;</t>
        </is>
      </c>
      <c r="O951" t="inlineStr">
        <is>
          <t>Select Vehicle:KX65 FCZ</t>
        </is>
      </c>
      <c r="P951" t="inlineStr">
        <is>
          <t>4x4 - Isuzu - D-max - NS03 TTSTow Chipper - Jenson - A530L - 5521063948Tipper - Nissan - Navara - NS02TTS</t>
        </is>
      </c>
      <c r="Q951" t="inlineStr">
        <is>
          <t>UKPN</t>
        </is>
      </c>
      <c r="R951" t="b">
        <v>0</v>
      </c>
    </row>
    <row r="952">
      <c r="A952" t="inlineStr">
        <is>
          <t>21 Jul 2025 / 6617 Ashdown Tree Limited 1</t>
        </is>
      </c>
      <c r="B952" t="inlineStr">
        <is>
          <t>Utilities &amp; Inland Waterways</t>
        </is>
      </c>
      <c r="C952" t="inlineStr">
        <is>
          <t>UKPN</t>
        </is>
      </c>
      <c r="D952" t="inlineStr">
        <is>
          <t>Tipper - Ford transit  - Ford - AV69LVR</t>
        </is>
      </c>
      <c r="E952" t="inlineStr">
        <is>
          <t>Tipper - Ford transit  - Ford - AV69LVR</t>
        </is>
      </c>
      <c r="F952" t="inlineStr">
        <is>
          <t>Tipper - Ford transit  - Ford - AV69LVR</t>
        </is>
      </c>
      <c r="G952" t="inlineStr">
        <is>
          <t xml:space="preserve">Francislesser </t>
        </is>
      </c>
      <c r="H952" t="inlineStr">
        <is>
          <t>Tipper</t>
        </is>
      </c>
      <c r="I952" t="inlineStr">
        <is>
          <t>Daily/ Weekly Vehicle Inspection</t>
        </is>
      </c>
      <c r="J952" t="inlineStr">
        <is>
          <t>N/A</t>
        </is>
      </c>
      <c r="K952" t="inlineStr">
        <is>
          <t>6617 Ashdown Tree Limited 1</t>
        </is>
      </c>
      <c r="L952" t="inlineStr">
        <is>
          <t>21/07/2025 07:17</t>
        </is>
      </c>
      <c r="M952" t="inlineStr">
        <is>
          <t>None</t>
        </is>
      </c>
      <c r="N952" t="inlineStr">
        <is>
          <t>&lt;p&gt;&lt;/p&gt;</t>
        </is>
      </c>
      <c r="O952" t="inlineStr">
        <is>
          <t>Select Vehicle:And mewp trailer</t>
        </is>
      </c>
      <c r="P952" t="inlineStr">
        <is>
          <t>Tipper - Ford transit  - Ford - AV69LVR</t>
        </is>
      </c>
      <c r="Q952" t="inlineStr">
        <is>
          <t>UKPN</t>
        </is>
      </c>
      <c r="R952" t="b">
        <v>0</v>
      </c>
    </row>
    <row r="953">
      <c r="A953" t="inlineStr">
        <is>
          <t>21 Jul 2025 / 7996 M G Tree Surgery Ltd</t>
        </is>
      </c>
      <c r="B953" t="inlineStr">
        <is>
          <t>Utilities &amp; Inland Waterways</t>
        </is>
      </c>
      <c r="C953" t="inlineStr">
        <is>
          <t>UKPN</t>
        </is>
      </c>
      <c r="D953" t="inlineStr">
        <is>
          <t>GU13 WNL , MEWP , Land Rover , Defender 130</t>
        </is>
      </c>
      <c r="E953" t="inlineStr">
        <is>
          <t>GU13 WNL , MEWP , Land Rover , Defender 130</t>
        </is>
      </c>
      <c r="F953" t="inlineStr">
        <is>
          <t>GU13 WNL , MEWP , Land Rover , Defender 130</t>
        </is>
      </c>
      <c r="G953" t="inlineStr">
        <is>
          <t>Max gaylor</t>
        </is>
      </c>
      <c r="H953" t="inlineStr">
        <is>
          <t>4x4</t>
        </is>
      </c>
      <c r="I953" t="inlineStr">
        <is>
          <t>Daily/ Weekly Vehicle Inspection</t>
        </is>
      </c>
      <c r="J953" t="inlineStr">
        <is>
          <t>N/A</t>
        </is>
      </c>
      <c r="K953" t="inlineStr">
        <is>
          <t>7996 M G Tree Surgery Ltd</t>
        </is>
      </c>
      <c r="L953" t="inlineStr">
        <is>
          <t>21/07/2025 08:11</t>
        </is>
      </c>
      <c r="M953" t="inlineStr">
        <is>
          <t>None</t>
        </is>
      </c>
      <c r="N953" t="inlineStr">
        <is>
          <t>&lt;p&gt;&lt;/p&gt;</t>
        </is>
      </c>
      <c r="O953" t="inlineStr"/>
      <c r="P953" t="inlineStr">
        <is>
          <t>GU13 WNL , MEWP , Land Rover , Defender 130</t>
        </is>
      </c>
      <c r="Q953" t="inlineStr">
        <is>
          <t>UKPN</t>
        </is>
      </c>
      <c r="R953" t="b">
        <v>0</v>
      </c>
    </row>
    <row r="954">
      <c r="A954" t="inlineStr">
        <is>
          <t>21 Jul 2025 / 7951 Austin Tree Care LTD</t>
        </is>
      </c>
      <c r="B954" t="inlineStr">
        <is>
          <t>Utilities &amp; Inland Waterways</t>
        </is>
      </c>
      <c r="C954" t="inlineStr">
        <is>
          <t>UKPN</t>
        </is>
      </c>
      <c r="D954" t="inlineStr">
        <is>
          <t>SA9ST6P0001283612 , Tow Chipper , Forst , ST6p</t>
        </is>
      </c>
      <c r="E954" t="inlineStr">
        <is>
          <t>SA9ST6P0001283612 , Tow Chipper , Forst , ST6p</t>
        </is>
      </c>
      <c r="F954" t="inlineStr">
        <is>
          <t>SA9ST6P0001283612 , Tow Chipper , Forst , ST6p</t>
        </is>
      </c>
      <c r="G954" t="inlineStr">
        <is>
          <t xml:space="preserve">Jack Austin </t>
        </is>
      </c>
      <c r="H954" t="inlineStr">
        <is>
          <t>Towed Chipper</t>
        </is>
      </c>
      <c r="I954" t="inlineStr">
        <is>
          <t>Daily/ Weekly Vehicle Inspection</t>
        </is>
      </c>
      <c r="J954" t="inlineStr">
        <is>
          <t>N/A</t>
        </is>
      </c>
      <c r="K954" t="inlineStr">
        <is>
          <t>7951 Austin Tree Care LTD</t>
        </is>
      </c>
      <c r="L954" t="inlineStr">
        <is>
          <t>21/07/2025 08:11</t>
        </is>
      </c>
      <c r="M954" t="inlineStr">
        <is>
          <t>None</t>
        </is>
      </c>
      <c r="N954" t="inlineStr">
        <is>
          <t>&lt;p&gt;&lt;/p&gt;</t>
        </is>
      </c>
      <c r="O954" t="inlineStr"/>
      <c r="P954" t="inlineStr">
        <is>
          <t>SA9ST6P0001283612 , Tow Chipper , Forst , ST6p</t>
        </is>
      </c>
      <c r="Q954" t="inlineStr">
        <is>
          <t>UKPN</t>
        </is>
      </c>
      <c r="R954" t="b">
        <v>0</v>
      </c>
    </row>
    <row r="955">
      <c r="A955" t="inlineStr">
        <is>
          <t>21 Jul 2025 / 7951 Austin Tree Care LTD</t>
        </is>
      </c>
      <c r="B955" t="inlineStr">
        <is>
          <t>Utilities &amp; Inland Waterways</t>
        </is>
      </c>
      <c r="C955" t="inlineStr">
        <is>
          <t>UKPN</t>
        </is>
      </c>
      <c r="D955" t="inlineStr">
        <is>
          <t>WF61 HZV , 4x4 MEWP , Land Rover , Defender</t>
        </is>
      </c>
      <c r="E955" t="inlineStr">
        <is>
          <t>WF61 HZV , 4x4 MEWP , Land Rover , Defender</t>
        </is>
      </c>
      <c r="F955" t="inlineStr">
        <is>
          <t>WF61 HZV , 4x4 MEWP , Land Rover , Defender</t>
        </is>
      </c>
      <c r="G955" t="inlineStr">
        <is>
          <t xml:space="preserve">Jack Austin </t>
        </is>
      </c>
      <c r="H955" t="inlineStr">
        <is>
          <t>4x4</t>
        </is>
      </c>
      <c r="I955" t="inlineStr">
        <is>
          <t>Daily/ Weekly Vehicle Inspection</t>
        </is>
      </c>
      <c r="J955" t="inlineStr">
        <is>
          <t>N/A</t>
        </is>
      </c>
      <c r="K955" t="inlineStr">
        <is>
          <t>7951 Austin Tree Care LTD</t>
        </is>
      </c>
      <c r="L955" t="inlineStr">
        <is>
          <t>21/07/2025 08:12</t>
        </is>
      </c>
      <c r="M955" t="inlineStr">
        <is>
          <t>None</t>
        </is>
      </c>
      <c r="N955" t="inlineStr">
        <is>
          <t>&lt;p&gt;&lt;/p&gt;</t>
        </is>
      </c>
      <c r="O955" t="inlineStr"/>
      <c r="P955" t="inlineStr">
        <is>
          <t>WF61 HZV , 4x4 MEWP , Land Rover , Defender</t>
        </is>
      </c>
      <c r="Q955" t="inlineStr">
        <is>
          <t>UKPN</t>
        </is>
      </c>
      <c r="R955" t="b">
        <v>0</v>
      </c>
    </row>
    <row r="956">
      <c r="A956" t="inlineStr">
        <is>
          <t>21 Jul 2025 / Thomas Playford</t>
        </is>
      </c>
      <c r="B956" t="inlineStr">
        <is>
          <t>Utilities &amp; Inland Waterways</t>
        </is>
      </c>
      <c r="C956" t="inlineStr">
        <is>
          <t>UKPN</t>
        </is>
      </c>
      <c r="D956" t="inlineStr">
        <is>
          <t>SA9ST800000283944 , Tow Chipper , Forst , ST8D - Towed</t>
        </is>
      </c>
      <c r="E956" t="inlineStr">
        <is>
          <t>SA9ST800000283944 , Tow Chipper , Forst , ST8D - Towed</t>
        </is>
      </c>
      <c r="F956" t="inlineStr">
        <is>
          <t>SA9ST800000283944 , Tow Chipper , Forst , ST8D - Towed</t>
        </is>
      </c>
      <c r="G956" t="inlineStr">
        <is>
          <t>Jacob Oram</t>
        </is>
      </c>
      <c r="H956" t="inlineStr">
        <is>
          <t>Towed Chipper</t>
        </is>
      </c>
      <c r="I956" t="inlineStr">
        <is>
          <t>Daily/ Weekly Vehicle Inspection</t>
        </is>
      </c>
      <c r="J956" t="inlineStr">
        <is>
          <t>N/A</t>
        </is>
      </c>
      <c r="K956" t="inlineStr">
        <is>
          <t>7995 Contour Landscapes Ltd 2</t>
        </is>
      </c>
      <c r="L956" t="inlineStr">
        <is>
          <t>21/07/2025 08:13</t>
        </is>
      </c>
      <c r="M956" t="inlineStr">
        <is>
          <t>None</t>
        </is>
      </c>
      <c r="N956" t="inlineStr">
        <is>
          <t>&lt;p&gt;&lt;/p&gt;</t>
        </is>
      </c>
      <c r="O956" t="inlineStr"/>
      <c r="P956" t="inlineStr">
        <is>
          <t>SA9ST800000283944 , Tow Chipper , Forst , ST8D - Towed</t>
        </is>
      </c>
      <c r="Q956" t="inlineStr">
        <is>
          <t>UKPN</t>
        </is>
      </c>
      <c r="R956" t="b">
        <v>0</v>
      </c>
    </row>
    <row r="957">
      <c r="A957" t="inlineStr">
        <is>
          <t>21 Jul 2025 / Thomas Playford</t>
        </is>
      </c>
      <c r="B957" t="inlineStr">
        <is>
          <t>Utilities &amp; Inland Waterways</t>
        </is>
      </c>
      <c r="C957" t="inlineStr">
        <is>
          <t>UKPN</t>
        </is>
      </c>
      <c r="D957" t="inlineStr">
        <is>
          <t>YP24 WRD , Vehicle , Ford , Ranger</t>
        </is>
      </c>
      <c r="E957" t="inlineStr">
        <is>
          <t>YP24 WRD , Vehicle , Ford , Ranger</t>
        </is>
      </c>
      <c r="F957" t="inlineStr">
        <is>
          <t>YP24 WRD , Vehicle , Ford , Ranger</t>
        </is>
      </c>
      <c r="G957" t="inlineStr">
        <is>
          <t>Jacob Oram</t>
        </is>
      </c>
      <c r="H957" t="inlineStr">
        <is>
          <t>4x4</t>
        </is>
      </c>
      <c r="I957" t="inlineStr">
        <is>
          <t>Daily/ Weekly Vehicle Inspection</t>
        </is>
      </c>
      <c r="J957" t="inlineStr">
        <is>
          <t>N/A</t>
        </is>
      </c>
      <c r="K957" t="inlineStr">
        <is>
          <t>7995 Contour Landscapes Ltd 2</t>
        </is>
      </c>
      <c r="L957" t="inlineStr">
        <is>
          <t>21/07/2025 08:13</t>
        </is>
      </c>
      <c r="M957" t="inlineStr">
        <is>
          <t>None</t>
        </is>
      </c>
      <c r="N957" t="inlineStr">
        <is>
          <t>&lt;p&gt;&lt;/p&gt;</t>
        </is>
      </c>
      <c r="O957" t="inlineStr"/>
      <c r="P957" t="inlineStr">
        <is>
          <t>YP24 WRD , Vehicle , Ford , Ranger</t>
        </is>
      </c>
      <c r="Q957" t="inlineStr">
        <is>
          <t>UKPN</t>
        </is>
      </c>
      <c r="R957" t="b">
        <v>0</v>
      </c>
    </row>
    <row r="958">
      <c r="A958" t="inlineStr">
        <is>
          <t>21 Jul 2025 / Anthony Gale</t>
        </is>
      </c>
      <c r="B958" t="inlineStr">
        <is>
          <t>Utilities &amp; Inland Waterways</t>
        </is>
      </c>
      <c r="C958" t="inlineStr">
        <is>
          <t>UKPN</t>
        </is>
      </c>
      <c r="D958" t="inlineStr">
        <is>
          <t>PE07 HGL , Vehicle , Mitsubishi , L200 K74</t>
        </is>
      </c>
      <c r="E958" t="inlineStr">
        <is>
          <t>PE07 HGL , Vehicle , Mitsubishi , L200 K74</t>
        </is>
      </c>
      <c r="F958" t="inlineStr">
        <is>
          <t>PE07 HGL , Vehicle , Mitsubishi , L200 K74</t>
        </is>
      </c>
      <c r="G958" t="inlineStr">
        <is>
          <t xml:space="preserve">Anthony Gale </t>
        </is>
      </c>
      <c r="H958" t="inlineStr">
        <is>
          <t>Pickup Truck</t>
        </is>
      </c>
      <c r="I958" t="inlineStr">
        <is>
          <t>Daily/ Weekly Vehicle Inspection</t>
        </is>
      </c>
      <c r="J958" t="inlineStr">
        <is>
          <t>N/A</t>
        </is>
      </c>
      <c r="K958" t="inlineStr">
        <is>
          <t>7996 M G Tree Surgery Ltd 1</t>
        </is>
      </c>
      <c r="L958" t="inlineStr">
        <is>
          <t>21/07/2025 08:16</t>
        </is>
      </c>
      <c r="M958" t="inlineStr">
        <is>
          <t>None</t>
        </is>
      </c>
      <c r="N958" t="inlineStr">
        <is>
          <t>&lt;p&gt;&lt;/p&gt;</t>
        </is>
      </c>
      <c r="O958" t="inlineStr"/>
      <c r="P958" t="inlineStr">
        <is>
          <t>PE07 HGL , Vehicle , Mitsubishi , L200 K74</t>
        </is>
      </c>
      <c r="Q958" t="inlineStr">
        <is>
          <t>UKPN</t>
        </is>
      </c>
      <c r="R958" t="b">
        <v>0</v>
      </c>
    </row>
    <row r="959">
      <c r="A959" t="inlineStr">
        <is>
          <t>21 Jul 2025 / 7806 Optimum Tree Services Ltd</t>
        </is>
      </c>
      <c r="B959" t="inlineStr">
        <is>
          <t>Utilities &amp; Inland Waterways</t>
        </is>
      </c>
      <c r="C959" t="inlineStr">
        <is>
          <t>UKPN</t>
        </is>
      </c>
      <c r="D959" t="inlineStr">
        <is>
          <t>Tipper - Ford - Transit - NA10SYZ</t>
        </is>
      </c>
      <c r="E959" t="inlineStr">
        <is>
          <t>Tipper - Ford - Transit - NA10SYZ</t>
        </is>
      </c>
      <c r="F959" t="inlineStr">
        <is>
          <t>Tipper - Ford - Transit - NA10SYZ</t>
        </is>
      </c>
      <c r="G959" t="inlineStr">
        <is>
          <t xml:space="preserve">Kenny Aldred </t>
        </is>
      </c>
      <c r="H959" t="inlineStr">
        <is>
          <t>Tipper</t>
        </is>
      </c>
      <c r="I959" t="inlineStr">
        <is>
          <t>Daily/ Weekly Vehicle Inspection</t>
        </is>
      </c>
      <c r="J959" t="inlineStr">
        <is>
          <t>N/A</t>
        </is>
      </c>
      <c r="K959" t="inlineStr">
        <is>
          <t>7806 Optimum Tree Services Ltd</t>
        </is>
      </c>
      <c r="L959" t="inlineStr">
        <is>
          <t>21/07/2025 09:11</t>
        </is>
      </c>
      <c r="M959" t="inlineStr">
        <is>
          <t>None</t>
        </is>
      </c>
      <c r="N959" t="inlineStr">
        <is>
          <t>&lt;p&gt;&lt;/p&gt;</t>
        </is>
      </c>
      <c r="O959" t="inlineStr"/>
      <c r="P959" t="inlineStr">
        <is>
          <t>Tipper - Ford - Transit - NA10SYZ</t>
        </is>
      </c>
      <c r="Q959" t="inlineStr">
        <is>
          <t>UKPN</t>
        </is>
      </c>
      <c r="R959" t="b">
        <v>0</v>
      </c>
    </row>
    <row r="960">
      <c r="A960" t="inlineStr">
        <is>
          <t>21 Jul 2025 / 3988 Valiant Arborist Ltd</t>
        </is>
      </c>
      <c r="B960" t="inlineStr">
        <is>
          <t>Utilities &amp; Inland Waterways</t>
        </is>
      </c>
      <c r="C960" t="inlineStr">
        <is>
          <t>UKPN</t>
        </is>
      </c>
      <c r="D960" t="inlineStr">
        <is>
          <t>4x4 - Isuzu  - D Max  - BT24 YEC</t>
        </is>
      </c>
      <c r="E960" t="inlineStr">
        <is>
          <t>4x4 - Isuzu  - D Max  - BT24 YEC</t>
        </is>
      </c>
      <c r="F960" t="inlineStr">
        <is>
          <t>4x4 - Isuzu  - D Max  - BT24 YEC</t>
        </is>
      </c>
      <c r="G960" t="inlineStr">
        <is>
          <t>Sam knight</t>
        </is>
      </c>
      <c r="H960" t="inlineStr">
        <is>
          <t>4x4</t>
        </is>
      </c>
      <c r="I960" t="inlineStr">
        <is>
          <t>Daily/ Weekly Vehicle Inspection</t>
        </is>
      </c>
      <c r="J960" t="inlineStr">
        <is>
          <t>N/A</t>
        </is>
      </c>
      <c r="K960" t="inlineStr">
        <is>
          <t>3988 Valiant Arborist Ltd</t>
        </is>
      </c>
      <c r="L960" t="inlineStr">
        <is>
          <t>21/07/2025 09:14</t>
        </is>
      </c>
      <c r="M960" t="inlineStr">
        <is>
          <t>None</t>
        </is>
      </c>
      <c r="N960" t="inlineStr">
        <is>
          <t>&lt;p&gt;&lt;/p&gt;</t>
        </is>
      </c>
      <c r="O960" t="inlineStr"/>
      <c r="P960" t="inlineStr">
        <is>
          <t>4x4 - Isuzu  - D Max  - BT24 YEC</t>
        </is>
      </c>
      <c r="Q960" t="inlineStr">
        <is>
          <t>UKPN</t>
        </is>
      </c>
      <c r="R960" t="b">
        <v>0</v>
      </c>
    </row>
    <row r="961">
      <c r="A961" t="inlineStr">
        <is>
          <t>21 Jul 2025 / 7806 Optimum Tree Services Ltd</t>
        </is>
      </c>
      <c r="B961" t="inlineStr">
        <is>
          <t>Utilities &amp; Inland Waterways</t>
        </is>
      </c>
      <c r="C961" t="inlineStr">
        <is>
          <t>UKPN</t>
        </is>
      </c>
      <c r="D961" t="inlineStr">
        <is>
          <t>SA9ST800000283069 , Chipper , Forst , ST 6P</t>
        </is>
      </c>
      <c r="E961" t="inlineStr">
        <is>
          <t>SA9ST800000283069 , Chipper , Forst , ST 6P</t>
        </is>
      </c>
      <c r="F961" t="inlineStr">
        <is>
          <t>SA9ST800000283069 , Chipper , Forst , ST 6P</t>
        </is>
      </c>
      <c r="G961" t="inlineStr">
        <is>
          <t xml:space="preserve">Abraham Davies </t>
        </is>
      </c>
      <c r="H961" t="inlineStr">
        <is>
          <t>Towed Chipper</t>
        </is>
      </c>
      <c r="I961" t="inlineStr">
        <is>
          <t>Daily/ Weekly Vehicle Inspection</t>
        </is>
      </c>
      <c r="J961" t="inlineStr">
        <is>
          <t>N/A</t>
        </is>
      </c>
      <c r="K961" t="inlineStr">
        <is>
          <t>7806 Optimum Tree Services Ltd</t>
        </is>
      </c>
      <c r="L961" t="inlineStr">
        <is>
          <t>21/07/2025 09:16</t>
        </is>
      </c>
      <c r="M961" t="inlineStr">
        <is>
          <t>None</t>
        </is>
      </c>
      <c r="N961" t="inlineStr">
        <is>
          <t>&lt;p&gt;&lt;/p&gt;</t>
        </is>
      </c>
      <c r="O961" t="inlineStr"/>
      <c r="P961" t="inlineStr">
        <is>
          <t>SA9ST800000283069 , Chipper , Forst , ST 6P</t>
        </is>
      </c>
      <c r="Q961" t="inlineStr">
        <is>
          <t>UKPN</t>
        </is>
      </c>
      <c r="R961" t="b">
        <v>0</v>
      </c>
    </row>
    <row r="962">
      <c r="A962" t="inlineStr">
        <is>
          <t>21 Jul 2025 / 7806 Optimum Tree Services Ltd</t>
        </is>
      </c>
      <c r="B962" t="inlineStr">
        <is>
          <t>Utilities &amp; Inland Waterways</t>
        </is>
      </c>
      <c r="C962" t="inlineStr">
        <is>
          <t>UKPN</t>
        </is>
      </c>
      <c r="D962" t="inlineStr">
        <is>
          <t>WD14EVB , MEWP , Land Rover , Defender</t>
        </is>
      </c>
      <c r="E962" t="inlineStr">
        <is>
          <t>WD14EVB , MEWP , Land Rover , Defender</t>
        </is>
      </c>
      <c r="F962" t="inlineStr">
        <is>
          <t>WD14EVB , MEWP , Land Rover , Defender</t>
        </is>
      </c>
      <c r="G962" t="inlineStr">
        <is>
          <t xml:space="preserve">Abraham Davies </t>
        </is>
      </c>
      <c r="H962" t="inlineStr">
        <is>
          <t>4x4</t>
        </is>
      </c>
      <c r="I962" t="inlineStr">
        <is>
          <t>Daily/ Weekly Vehicle Inspection</t>
        </is>
      </c>
      <c r="J962" t="inlineStr">
        <is>
          <t>N/A</t>
        </is>
      </c>
      <c r="K962" t="inlineStr">
        <is>
          <t>7806 Optimum Tree Services Ltd</t>
        </is>
      </c>
      <c r="L962" t="inlineStr">
        <is>
          <t>21/07/2025 09:17</t>
        </is>
      </c>
      <c r="M962" t="inlineStr">
        <is>
          <t>None</t>
        </is>
      </c>
      <c r="N962" t="inlineStr">
        <is>
          <t>&lt;p&gt;&lt;/p&gt;</t>
        </is>
      </c>
      <c r="O962" t="inlineStr"/>
      <c r="P962" t="inlineStr">
        <is>
          <t>WD14EVB , MEWP , Land Rover , Defender</t>
        </is>
      </c>
      <c r="Q962" t="inlineStr">
        <is>
          <t>UKPN</t>
        </is>
      </c>
      <c r="R962" t="b">
        <v>0</v>
      </c>
    </row>
    <row r="963">
      <c r="A963" t="inlineStr">
        <is>
          <t>21 Jul 2025 / 6617 Ashdown Tree Limited</t>
        </is>
      </c>
      <c r="B963" t="inlineStr">
        <is>
          <t>Utilities &amp; Inland Waterways</t>
        </is>
      </c>
      <c r="C963" t="inlineStr">
        <is>
          <t>UKPN</t>
        </is>
      </c>
      <c r="D963" t="inlineStr">
        <is>
          <t>Tipper - Ford transit  - Ford  - Av21 Kew</t>
        </is>
      </c>
      <c r="E963" t="inlineStr">
        <is>
          <t>Tipper - Ford transit  - Ford  - Av21 Kew</t>
        </is>
      </c>
      <c r="F963" t="inlineStr">
        <is>
          <t>Tipper - Ford transit  - Ford  - Av21 Kew</t>
        </is>
      </c>
      <c r="G963" t="inlineStr">
        <is>
          <t>Ashley</t>
        </is>
      </c>
      <c r="H963" t="inlineStr">
        <is>
          <t>Tipper</t>
        </is>
      </c>
      <c r="I963" t="inlineStr">
        <is>
          <t>Daily/ Weekly Vehicle Inspection</t>
        </is>
      </c>
      <c r="J963" t="inlineStr">
        <is>
          <t>N/A</t>
        </is>
      </c>
      <c r="K963" t="inlineStr">
        <is>
          <t>6617 Ashdown Tree Limited</t>
        </is>
      </c>
      <c r="L963" t="inlineStr">
        <is>
          <t>21/07/2025 09:18</t>
        </is>
      </c>
      <c r="M963" t="inlineStr">
        <is>
          <t>None</t>
        </is>
      </c>
      <c r="N963" t="inlineStr">
        <is>
          <t>&lt;p&gt;&lt;/p&gt;</t>
        </is>
      </c>
      <c r="O963" t="inlineStr"/>
      <c r="P963" t="inlineStr">
        <is>
          <t>Tipper - Ford transit  - Ford  - Av21 Kew</t>
        </is>
      </c>
      <c r="Q963" t="inlineStr">
        <is>
          <t>UKPN</t>
        </is>
      </c>
      <c r="R963" t="b">
        <v>0</v>
      </c>
    </row>
    <row r="964">
      <c r="A964" t="inlineStr">
        <is>
          <t>21 Jul 2025 / 7940 HRJ Tree Services LTD</t>
        </is>
      </c>
      <c r="B964" t="inlineStr">
        <is>
          <t>Utilities &amp; Inland Waterways</t>
        </is>
      </c>
      <c r="C964" t="inlineStr">
        <is>
          <t>UKPN</t>
        </is>
      </c>
      <c r="D964" t="inlineStr">
        <is>
          <t>Plant Trailer - Indespension - 211717 - 211717</t>
        </is>
      </c>
      <c r="E964" t="inlineStr">
        <is>
          <t>Plant Trailer - Indespension - 211717 - 211717</t>
        </is>
      </c>
      <c r="F964" t="inlineStr">
        <is>
          <t>Plant Trailer - Indespension - 211717 - 211717</t>
        </is>
      </c>
      <c r="G964" t="inlineStr">
        <is>
          <t xml:space="preserve">Harry Wilson </t>
        </is>
      </c>
      <c r="H964" t="inlineStr">
        <is>
          <t>Equipment Trailer</t>
        </is>
      </c>
      <c r="I964" t="inlineStr">
        <is>
          <t>Daily/ Weekly Vehicle Inspection</t>
        </is>
      </c>
      <c r="J964" t="inlineStr">
        <is>
          <t>N/A</t>
        </is>
      </c>
      <c r="K964" t="inlineStr">
        <is>
          <t>7940 HRJ Tree Services LTD</t>
        </is>
      </c>
      <c r="L964" t="inlineStr">
        <is>
          <t>21/07/2025 10:11</t>
        </is>
      </c>
      <c r="M964" t="inlineStr">
        <is>
          <t>None</t>
        </is>
      </c>
      <c r="N964" t="inlineStr">
        <is>
          <t>&lt;p&gt;&lt;/p&gt;</t>
        </is>
      </c>
      <c r="O964" t="inlineStr"/>
      <c r="P964" t="inlineStr">
        <is>
          <t>Plant Trailer - Indespension - 211717 - 211717</t>
        </is>
      </c>
      <c r="Q964" t="inlineStr">
        <is>
          <t>UKPN</t>
        </is>
      </c>
      <c r="R964" t="b">
        <v>0</v>
      </c>
    </row>
    <row r="965">
      <c r="A965" t="inlineStr">
        <is>
          <t>21 Jul 2025 / 7940 HRJ Tree Services LTD</t>
        </is>
      </c>
      <c r="B965" t="inlineStr">
        <is>
          <t>Utilities &amp; Inland Waterways</t>
        </is>
      </c>
      <c r="C965" t="inlineStr">
        <is>
          <t>UKPN</t>
        </is>
      </c>
      <c r="D965" t="inlineStr">
        <is>
          <t>4x4 - Toyota  - Hilux - LL70GZP</t>
        </is>
      </c>
      <c r="E965" t="inlineStr">
        <is>
          <t>4x4 - Toyota  - Hilux - LL70GZP</t>
        </is>
      </c>
      <c r="F965" t="inlineStr">
        <is>
          <t>4x4 - Toyota  - Hilux - LL70GZP</t>
        </is>
      </c>
      <c r="G965" t="inlineStr">
        <is>
          <t>Harry Wilson</t>
        </is>
      </c>
      <c r="H965" t="inlineStr">
        <is>
          <t>4x4</t>
        </is>
      </c>
      <c r="I965" t="inlineStr">
        <is>
          <t>Daily/ Weekly Vehicle Inspection</t>
        </is>
      </c>
      <c r="J965" t="inlineStr">
        <is>
          <t>N/A</t>
        </is>
      </c>
      <c r="K965" t="inlineStr">
        <is>
          <t>7940 HRJ Tree Services LTD</t>
        </is>
      </c>
      <c r="L965" t="inlineStr">
        <is>
          <t>21/07/2025 10:12</t>
        </is>
      </c>
      <c r="M965" t="inlineStr">
        <is>
          <t>None</t>
        </is>
      </c>
      <c r="N965" t="inlineStr">
        <is>
          <t>&lt;p&gt;&lt;/p&gt;</t>
        </is>
      </c>
      <c r="O965" t="inlineStr"/>
      <c r="P965" t="inlineStr">
        <is>
          <t>4x4 - Toyota  - Hilux - LL70GZP</t>
        </is>
      </c>
      <c r="Q965" t="inlineStr">
        <is>
          <t>UKPN</t>
        </is>
      </c>
      <c r="R965" t="b">
        <v>0</v>
      </c>
    </row>
    <row r="966">
      <c r="A966" t="inlineStr">
        <is>
          <t>21 Jul 2025 / Christopher Simeoli</t>
        </is>
      </c>
      <c r="B966" t="inlineStr">
        <is>
          <t>Utilities &amp; Inland Waterways</t>
        </is>
      </c>
      <c r="C966" t="inlineStr">
        <is>
          <t>NGED</t>
        </is>
      </c>
      <c r="D966" t="inlineStr">
        <is>
          <t>EO73KVB , Car - Electric , Kia , Niro</t>
        </is>
      </c>
      <c r="E966" t="inlineStr">
        <is>
          <t>EO73KVB , Car - Electric , Kia , Niro</t>
        </is>
      </c>
      <c r="F966" t="inlineStr">
        <is>
          <t>EO73KVB , Car - Electric , Kia , Niro</t>
        </is>
      </c>
      <c r="G966" t="inlineStr">
        <is>
          <t>Chris Simeoli</t>
        </is>
      </c>
      <c r="H966" t="inlineStr">
        <is>
          <t>Car - Electric (GC Owned)</t>
        </is>
      </c>
      <c r="I966" t="inlineStr">
        <is>
          <t>Daily/ Weekly Vehicle Inspection</t>
        </is>
      </c>
      <c r="J966" t="inlineStr">
        <is>
          <t>N/A</t>
        </is>
      </c>
      <c r="K966" t="inlineStr">
        <is>
          <t>Christopher Simeoli</t>
        </is>
      </c>
      <c r="L966" t="inlineStr">
        <is>
          <t>21/07/2025 10:12</t>
        </is>
      </c>
      <c r="M966" t="inlineStr">
        <is>
          <t>None</t>
        </is>
      </c>
      <c r="N966" t="inlineStr">
        <is>
          <t>&lt;p&gt;&lt;/p&gt;</t>
        </is>
      </c>
      <c r="O966" t="inlineStr"/>
      <c r="P966" t="inlineStr">
        <is>
          <t>EO73KVB , Car - Electric , Kia , Niro</t>
        </is>
      </c>
      <c r="Q966" t="inlineStr">
        <is>
          <t>NGED</t>
        </is>
      </c>
      <c r="R966" t="b">
        <v>0</v>
      </c>
    </row>
    <row r="967">
      <c r="A967" t="inlineStr">
        <is>
          <t>21 Jul 2025 / 6557 DE UA SWales4</t>
        </is>
      </c>
      <c r="B967" t="inlineStr">
        <is>
          <t>Utilities &amp; Inland Waterways</t>
        </is>
      </c>
      <c r="C967" t="inlineStr">
        <is>
          <t>NGED</t>
        </is>
      </c>
      <c r="D967" t="inlineStr">
        <is>
          <t>EX15ZGL , Van , Ford , Transit Courier</t>
        </is>
      </c>
      <c r="E967" t="inlineStr">
        <is>
          <t>EX15ZGL , Van , Ford , Transit Courier</t>
        </is>
      </c>
      <c r="F967" t="inlineStr">
        <is>
          <t>EX15ZGL , Van , Ford , Transit Courier</t>
        </is>
      </c>
      <c r="G967" t="inlineStr">
        <is>
          <t xml:space="preserve">Lee brown </t>
        </is>
      </c>
      <c r="H967" t="inlineStr">
        <is>
          <t>Van</t>
        </is>
      </c>
      <c r="I967" t="inlineStr">
        <is>
          <t>Daily/ Weekly Vehicle Inspection</t>
        </is>
      </c>
      <c r="J967" t="inlineStr">
        <is>
          <t>N/A</t>
        </is>
      </c>
      <c r="K967" t="inlineStr">
        <is>
          <t>6557 DE UA SWales4</t>
        </is>
      </c>
      <c r="L967" t="inlineStr">
        <is>
          <t>21/07/2025 10:14</t>
        </is>
      </c>
      <c r="M967" t="inlineStr">
        <is>
          <t>None</t>
        </is>
      </c>
      <c r="N967" t="inlineStr">
        <is>
          <t>&lt;p&gt;&lt;/p&gt;</t>
        </is>
      </c>
      <c r="O967" t="inlineStr"/>
      <c r="P967" t="inlineStr">
        <is>
          <t>EX15ZGL , Van , Ford , Transit Courier</t>
        </is>
      </c>
      <c r="Q967" t="inlineStr">
        <is>
          <t>NGED</t>
        </is>
      </c>
      <c r="R967" t="b">
        <v>0</v>
      </c>
    </row>
    <row r="968">
      <c r="A968" t="inlineStr">
        <is>
          <t>21 Jul 2025 / 7800 MAC Tree Surgery and Fencing Ltd</t>
        </is>
      </c>
      <c r="B968" t="inlineStr">
        <is>
          <t>Utilities &amp; Inland Waterways</t>
        </is>
      </c>
      <c r="C968" t="inlineStr">
        <is>
          <t>UKPN</t>
        </is>
      </c>
      <c r="D968" t="inlineStr">
        <is>
          <t>AY68DAA , 4x4 , Izuzu , Dmax</t>
        </is>
      </c>
      <c r="E968" t="inlineStr">
        <is>
          <t>AY68DAA , 4x4 , Izuzu , Dmax</t>
        </is>
      </c>
      <c r="F968" t="inlineStr">
        <is>
          <t>AY68DAA , 4x4 , Izuzu , Dmax</t>
        </is>
      </c>
      <c r="G968" t="inlineStr">
        <is>
          <t xml:space="preserve">Lewis mac </t>
        </is>
      </c>
      <c r="H968" t="inlineStr">
        <is>
          <t>4x4</t>
        </is>
      </c>
      <c r="I968" t="inlineStr">
        <is>
          <t>Daily/ Weekly Vehicle Inspection</t>
        </is>
      </c>
      <c r="J968" t="inlineStr">
        <is>
          <t>N/A</t>
        </is>
      </c>
      <c r="K968" t="inlineStr">
        <is>
          <t>7800 MAC Tree Surgery and Fencing Ltd</t>
        </is>
      </c>
      <c r="L968" t="inlineStr">
        <is>
          <t>21/07/2025 11:15</t>
        </is>
      </c>
      <c r="M968" t="inlineStr">
        <is>
          <t>None</t>
        </is>
      </c>
      <c r="N968" t="inlineStr">
        <is>
          <t>&lt;p&gt;&lt;/p&gt;</t>
        </is>
      </c>
      <c r="O968" t="inlineStr"/>
      <c r="P968" t="inlineStr">
        <is>
          <t>AY68DAA , 4x4 , Izuzu , Dmax</t>
        </is>
      </c>
      <c r="Q968" t="inlineStr">
        <is>
          <t>UKPN</t>
        </is>
      </c>
      <c r="R968" t="b">
        <v>0</v>
      </c>
    </row>
    <row r="969">
      <c r="A969" t="inlineStr">
        <is>
          <t>21 Jul 2025 / Jonathan Wisbey</t>
        </is>
      </c>
      <c r="B969" t="inlineStr">
        <is>
          <t>Utilities &amp; Inland Waterways</t>
        </is>
      </c>
      <c r="C969" t="inlineStr">
        <is>
          <t>UKPN</t>
        </is>
      </c>
      <c r="D969" t="inlineStr">
        <is>
          <t>KN25GGK , Car - Petrol , vw , Golf</t>
        </is>
      </c>
      <c r="E969" t="inlineStr">
        <is>
          <t>KN25GGK , Car - Petrol , vw , Golf</t>
        </is>
      </c>
      <c r="F969" t="inlineStr">
        <is>
          <t>KN25GGK , Car - Petrol , vw , Golf</t>
        </is>
      </c>
      <c r="G969" t="inlineStr">
        <is>
          <t xml:space="preserve">Jonathan Wisbey </t>
        </is>
      </c>
      <c r="H969" t="inlineStr">
        <is>
          <t>Car - Petrol</t>
        </is>
      </c>
      <c r="I969" t="inlineStr">
        <is>
          <t>Daily/ Weekly Vehicle Inspection</t>
        </is>
      </c>
      <c r="J969" t="inlineStr">
        <is>
          <t>N/A</t>
        </is>
      </c>
      <c r="K969" t="inlineStr">
        <is>
          <t>Jonathan Wisbey</t>
        </is>
      </c>
      <c r="L969" t="inlineStr">
        <is>
          <t>21/07/2025 12:11</t>
        </is>
      </c>
      <c r="M969" t="inlineStr">
        <is>
          <t>None</t>
        </is>
      </c>
      <c r="N969" t="inlineStr">
        <is>
          <t>&lt;p&gt;&lt;/p&gt;</t>
        </is>
      </c>
      <c r="O969" t="inlineStr"/>
      <c r="P969" t="inlineStr">
        <is>
          <t>KN25GGK , Car - Petrol , vw , Golf</t>
        </is>
      </c>
      <c r="Q969" t="inlineStr">
        <is>
          <t>UKPN</t>
        </is>
      </c>
      <c r="R969" t="b">
        <v>0</v>
      </c>
    </row>
    <row r="970">
      <c r="A970" t="inlineStr">
        <is>
          <t>22 Jul 2025 / 7806 Optimum Tree Services Ltd</t>
        </is>
      </c>
      <c r="B970" t="inlineStr">
        <is>
          <t>Utilities &amp; Inland Waterways</t>
        </is>
      </c>
      <c r="C970" t="inlineStr">
        <is>
          <t>UKPN</t>
        </is>
      </c>
      <c r="D970" t="inlineStr">
        <is>
          <t>WD14EVB , MEWP , Land Rover , Defender</t>
        </is>
      </c>
      <c r="E970" t="inlineStr">
        <is>
          <t>WD14EVB , MEWP , Land Rover , Defender</t>
        </is>
      </c>
      <c r="F970" t="inlineStr">
        <is>
          <t>WD14EVB , MEWP , Land Rover , Defender</t>
        </is>
      </c>
      <c r="G970" t="inlineStr">
        <is>
          <t xml:space="preserve">Abraham Davies </t>
        </is>
      </c>
      <c r="H970" t="inlineStr">
        <is>
          <t>4x4</t>
        </is>
      </c>
      <c r="I970" t="inlineStr">
        <is>
          <t>Daily/ Weekly Vehicle Inspection</t>
        </is>
      </c>
      <c r="J970" t="inlineStr">
        <is>
          <t>N/A</t>
        </is>
      </c>
      <c r="K970" t="inlineStr">
        <is>
          <t>7806 Optimum Tree Services Ltd</t>
        </is>
      </c>
      <c r="L970" t="inlineStr">
        <is>
          <t>22/07/2025 07:11</t>
        </is>
      </c>
      <c r="M970" t="inlineStr">
        <is>
          <t>None</t>
        </is>
      </c>
      <c r="N970" t="inlineStr">
        <is>
          <t>&lt;p&gt;&lt;/p&gt;</t>
        </is>
      </c>
      <c r="O970" t="inlineStr"/>
      <c r="P970" t="inlineStr">
        <is>
          <t>WD14EVB , MEWP , Land Rover , Defender</t>
        </is>
      </c>
      <c r="Q970" t="inlineStr">
        <is>
          <t>UKPN</t>
        </is>
      </c>
      <c r="R970" t="b">
        <v>0</v>
      </c>
    </row>
    <row r="971">
      <c r="A971" t="inlineStr">
        <is>
          <t>22 Jul 2025 / 7951 Austin Tree Care LTD</t>
        </is>
      </c>
      <c r="B971" t="inlineStr">
        <is>
          <t>Utilities &amp; Inland Waterways</t>
        </is>
      </c>
      <c r="C971" t="inlineStr">
        <is>
          <t>UKPN</t>
        </is>
      </c>
      <c r="D971" t="inlineStr">
        <is>
          <t>SA9ST6P0001283612 , Tow Chipper , Forst , ST6p</t>
        </is>
      </c>
      <c r="E971" t="inlineStr">
        <is>
          <t>SA9ST6P0001283612 , Tow Chipper , Forst , ST6p</t>
        </is>
      </c>
      <c r="F971" t="inlineStr">
        <is>
          <t>SA9ST6P0001283612 , Tow Chipper , Forst , ST6p</t>
        </is>
      </c>
      <c r="G971" t="inlineStr">
        <is>
          <t xml:space="preserve">Jack Austin </t>
        </is>
      </c>
      <c r="H971" t="inlineStr">
        <is>
          <t>Towed Chipper</t>
        </is>
      </c>
      <c r="I971" t="inlineStr">
        <is>
          <t>Daily/ Weekly Vehicle Inspection</t>
        </is>
      </c>
      <c r="J971" t="inlineStr">
        <is>
          <t>N/A</t>
        </is>
      </c>
      <c r="K971" t="inlineStr">
        <is>
          <t>7951 Austin Tree Care LTD</t>
        </is>
      </c>
      <c r="L971" t="inlineStr">
        <is>
          <t>22/07/2025 08:12</t>
        </is>
      </c>
      <c r="M971" t="inlineStr">
        <is>
          <t>None</t>
        </is>
      </c>
      <c r="N971" t="inlineStr">
        <is>
          <t>&lt;p&gt;&lt;/p&gt;</t>
        </is>
      </c>
      <c r="O971" t="inlineStr"/>
      <c r="P971" t="inlineStr">
        <is>
          <t>SA9ST6P0001283612 , Tow Chipper , Forst , ST6p</t>
        </is>
      </c>
      <c r="Q971" t="inlineStr">
        <is>
          <t>UKPN</t>
        </is>
      </c>
      <c r="R971" t="b">
        <v>0</v>
      </c>
    </row>
    <row r="972">
      <c r="A972" t="inlineStr">
        <is>
          <t>22 Jul 2025 / 7951 Austin Tree Care LTD</t>
        </is>
      </c>
      <c r="B972" t="inlineStr">
        <is>
          <t>Utilities &amp; Inland Waterways</t>
        </is>
      </c>
      <c r="C972" t="inlineStr">
        <is>
          <t>UKPN</t>
        </is>
      </c>
      <c r="D972" t="inlineStr">
        <is>
          <t>WF61 HZV , 4x4 MEWP , Land Rover , Defender</t>
        </is>
      </c>
      <c r="E972" t="inlineStr">
        <is>
          <t>WF61 HZV , 4x4 MEWP , Land Rover , Defender</t>
        </is>
      </c>
      <c r="F972" t="inlineStr">
        <is>
          <t>WF61 HZV , 4x4 MEWP , Land Rover , Defender</t>
        </is>
      </c>
      <c r="G972" t="inlineStr">
        <is>
          <t xml:space="preserve">Jack Austin </t>
        </is>
      </c>
      <c r="H972" t="inlineStr">
        <is>
          <t>4x4</t>
        </is>
      </c>
      <c r="I972" t="inlineStr">
        <is>
          <t>Daily/ Weekly Vehicle Inspection</t>
        </is>
      </c>
      <c r="J972" t="inlineStr">
        <is>
          <t>N/A</t>
        </is>
      </c>
      <c r="K972" t="inlineStr">
        <is>
          <t>7951 Austin Tree Care LTD</t>
        </is>
      </c>
      <c r="L972" t="inlineStr">
        <is>
          <t>22/07/2025 08:13</t>
        </is>
      </c>
      <c r="M972" t="inlineStr">
        <is>
          <t>None</t>
        </is>
      </c>
      <c r="N972" t="inlineStr">
        <is>
          <t>&lt;p&gt;&lt;/p&gt;</t>
        </is>
      </c>
      <c r="O972" t="inlineStr"/>
      <c r="P972" t="inlineStr">
        <is>
          <t>WF61 HZV , 4x4 MEWP , Land Rover , Defender</t>
        </is>
      </c>
      <c r="Q972" t="inlineStr">
        <is>
          <t>UKPN</t>
        </is>
      </c>
      <c r="R972" t="b">
        <v>0</v>
      </c>
    </row>
    <row r="973">
      <c r="A973" t="inlineStr">
        <is>
          <t>22 Jul 2025 / 6617 Ashdown Tree Limited</t>
        </is>
      </c>
      <c r="B973" t="inlineStr">
        <is>
          <t>Utilities &amp; Inland Waterways</t>
        </is>
      </c>
      <c r="C973" t="inlineStr">
        <is>
          <t>UKPN</t>
        </is>
      </c>
      <c r="D973" t="inlineStr">
        <is>
          <t>TR55TUB , 4x4 , Land rover  , Defender mewp</t>
        </is>
      </c>
      <c r="E973" t="inlineStr">
        <is>
          <t>TR55TUB , 4x4 , Land rover  , Defender mewp</t>
        </is>
      </c>
      <c r="F973" t="inlineStr">
        <is>
          <t>TR55TUB , 4x4 , Land rover  , Defender mewp</t>
        </is>
      </c>
      <c r="G973" t="inlineStr">
        <is>
          <t>A Horwood</t>
        </is>
      </c>
      <c r="H973" t="inlineStr">
        <is>
          <t>4x4</t>
        </is>
      </c>
      <c r="I973" t="inlineStr">
        <is>
          <t>Daily/ Weekly Vehicle Inspection</t>
        </is>
      </c>
      <c r="J973" t="inlineStr">
        <is>
          <t>N/A</t>
        </is>
      </c>
      <c r="K973" t="inlineStr">
        <is>
          <t>6617 Ashdown Tree Limited</t>
        </is>
      </c>
      <c r="L973" t="inlineStr">
        <is>
          <t>22/07/2025 08:15</t>
        </is>
      </c>
      <c r="M973" t="inlineStr">
        <is>
          <t>None</t>
        </is>
      </c>
      <c r="N973" t="inlineStr">
        <is>
          <t>&lt;p&gt;&lt;/p&gt;</t>
        </is>
      </c>
      <c r="O973" t="inlineStr"/>
      <c r="P973" t="inlineStr">
        <is>
          <t>TR55TUB , 4x4 , Land rover  , Defender mewp</t>
        </is>
      </c>
      <c r="Q973" t="inlineStr">
        <is>
          <t>UKPN</t>
        </is>
      </c>
      <c r="R973" t="b">
        <v>0</v>
      </c>
    </row>
    <row r="974">
      <c r="A974" t="inlineStr">
        <is>
          <t>22 Jul 2025 / 7186 Eastwoodbury Tree Services Ltd</t>
        </is>
      </c>
      <c r="B974" t="inlineStr">
        <is>
          <t>Utilities &amp; Inland Waterways</t>
        </is>
      </c>
      <c r="C974" t="inlineStr">
        <is>
          <t>UKPN</t>
        </is>
      </c>
      <c r="D974" t="inlineStr">
        <is>
          <t>FN600XM , 4x4 , Land Rover  , Defender</t>
        </is>
      </c>
      <c r="E974" t="inlineStr">
        <is>
          <t>FN600XM , 4x4 , Land Rover  , Defender</t>
        </is>
      </c>
      <c r="F974" t="inlineStr">
        <is>
          <t>FN600XM , 4x4 , Land Rover  , Defender</t>
        </is>
      </c>
      <c r="G974" t="inlineStr">
        <is>
          <t xml:space="preserve">Dan Gilbert </t>
        </is>
      </c>
      <c r="H974" t="inlineStr">
        <is>
          <t>4x4</t>
        </is>
      </c>
      <c r="I974" t="inlineStr">
        <is>
          <t>Daily/ Weekly Vehicle Inspection</t>
        </is>
      </c>
      <c r="J974" t="inlineStr">
        <is>
          <t>N/A</t>
        </is>
      </c>
      <c r="K974" t="inlineStr">
        <is>
          <t>7186 Eastwoodbury Tree Services Ltd</t>
        </is>
      </c>
      <c r="L974" t="inlineStr">
        <is>
          <t>22/07/2025 08:15</t>
        </is>
      </c>
      <c r="M974" t="inlineStr">
        <is>
          <t>None</t>
        </is>
      </c>
      <c r="N974" t="inlineStr">
        <is>
          <t>&lt;p&gt;&lt;/p&gt;</t>
        </is>
      </c>
      <c r="O974" t="inlineStr"/>
      <c r="P974" t="inlineStr">
        <is>
          <t>FN600XM , 4x4 , Land Rover  , Defender</t>
        </is>
      </c>
      <c r="Q974" t="inlineStr">
        <is>
          <t>UKPN</t>
        </is>
      </c>
      <c r="R974" t="b">
        <v>0</v>
      </c>
    </row>
    <row r="975">
      <c r="A975" t="inlineStr">
        <is>
          <t>22 Jul 2025 / 6617 Ashdown Tree Limited 1</t>
        </is>
      </c>
      <c r="B975" t="inlineStr">
        <is>
          <t>Utilities &amp; Inland Waterways</t>
        </is>
      </c>
      <c r="C975" t="inlineStr">
        <is>
          <t>UKPN</t>
        </is>
      </c>
      <c r="D975" t="inlineStr">
        <is>
          <t>GU11LKD , 4x4 , Land Rover , Defender</t>
        </is>
      </c>
      <c r="E975" t="inlineStr">
        <is>
          <t>GU11LKD , 4x4 , Land Rover , Defender</t>
        </is>
      </c>
      <c r="F975" t="inlineStr">
        <is>
          <t>GU11LKD , 4x4 , Land Rover , Defender</t>
        </is>
      </c>
      <c r="G975" t="inlineStr">
        <is>
          <t xml:space="preserve">Francislesser </t>
        </is>
      </c>
      <c r="H975" t="inlineStr">
        <is>
          <t>4x4</t>
        </is>
      </c>
      <c r="I975" t="inlineStr">
        <is>
          <t>Daily/ Weekly Vehicle Inspection</t>
        </is>
      </c>
      <c r="J975" t="inlineStr">
        <is>
          <t>N/A</t>
        </is>
      </c>
      <c r="K975" t="inlineStr">
        <is>
          <t>6617 Ashdown Tree Limited 1</t>
        </is>
      </c>
      <c r="L975" t="inlineStr">
        <is>
          <t>22/07/2025 08:16</t>
        </is>
      </c>
      <c r="M975" t="inlineStr">
        <is>
          <t>None</t>
        </is>
      </c>
      <c r="N975" t="inlineStr">
        <is>
          <t>&lt;p&gt;&lt;/p&gt;</t>
        </is>
      </c>
      <c r="O975" t="inlineStr"/>
      <c r="P975" t="inlineStr">
        <is>
          <t>GU11LKD , 4x4 , Land Rover , Defender</t>
        </is>
      </c>
      <c r="Q975" t="inlineStr">
        <is>
          <t>UKPN</t>
        </is>
      </c>
      <c r="R975" t="b">
        <v>0</v>
      </c>
    </row>
    <row r="976">
      <c r="A976" t="inlineStr">
        <is>
          <t>22 Jul 2025 / 7806 Optimum Tree Services Ltd</t>
        </is>
      </c>
      <c r="B976" t="inlineStr">
        <is>
          <t>Utilities &amp; Inland Waterways</t>
        </is>
      </c>
      <c r="C976" t="inlineStr">
        <is>
          <t>UKPN</t>
        </is>
      </c>
      <c r="D976" t="inlineStr">
        <is>
          <t>SA9ST800000283069 , Chipper , Forst , ST 6P</t>
        </is>
      </c>
      <c r="E976" t="inlineStr">
        <is>
          <t>SA9ST800000283069 , Chipper , Forst , ST 6P</t>
        </is>
      </c>
      <c r="F976" t="inlineStr">
        <is>
          <t>SA9ST800000283069 , Chipper , Forst , ST 6P</t>
        </is>
      </c>
      <c r="G976" t="inlineStr">
        <is>
          <t xml:space="preserve">Abraham Davies </t>
        </is>
      </c>
      <c r="H976" t="inlineStr">
        <is>
          <t>Towed Chipper</t>
        </is>
      </c>
      <c r="I976" t="inlineStr">
        <is>
          <t>Daily/ Weekly Vehicle Inspection</t>
        </is>
      </c>
      <c r="J976" t="inlineStr">
        <is>
          <t>N/A</t>
        </is>
      </c>
      <c r="K976" t="inlineStr">
        <is>
          <t>7806 Optimum Tree Services Ltd</t>
        </is>
      </c>
      <c r="L976" t="inlineStr">
        <is>
          <t>22/07/2025 08:17</t>
        </is>
      </c>
      <c r="M976" t="inlineStr">
        <is>
          <t>None</t>
        </is>
      </c>
      <c r="N976" t="inlineStr">
        <is>
          <t>&lt;p&gt;&lt;/p&gt;</t>
        </is>
      </c>
      <c r="O976" t="inlineStr"/>
      <c r="P976" t="inlineStr">
        <is>
          <t>SA9ST800000283069 , Chipper , Forst , ST 6P</t>
        </is>
      </c>
      <c r="Q976" t="inlineStr">
        <is>
          <t>UKPN</t>
        </is>
      </c>
      <c r="R976" t="b">
        <v>0</v>
      </c>
    </row>
    <row r="977">
      <c r="A977" t="inlineStr">
        <is>
          <t>22 Jul 2025 / 7806 Optimum Tree Services Ltd</t>
        </is>
      </c>
      <c r="B977" t="inlineStr">
        <is>
          <t>Utilities &amp; Inland Waterways</t>
        </is>
      </c>
      <c r="C977" t="inlineStr">
        <is>
          <t>UKPN</t>
        </is>
      </c>
      <c r="D977" t="inlineStr">
        <is>
          <t>WD14EVB , MEWP , Land Rover , Defender</t>
        </is>
      </c>
      <c r="E977" t="inlineStr">
        <is>
          <t>WD14EVB , MEWP , Land Rover , Defender</t>
        </is>
      </c>
      <c r="F977" t="inlineStr">
        <is>
          <t>WD14EVB , MEWP , Land Rover , Defender</t>
        </is>
      </c>
      <c r="G977" t="inlineStr">
        <is>
          <t xml:space="preserve">Abraham Davies </t>
        </is>
      </c>
      <c r="H977" t="inlineStr">
        <is>
          <t>4x4</t>
        </is>
      </c>
      <c r="I977" t="inlineStr">
        <is>
          <t>Daily/ Weekly Vehicle Inspection</t>
        </is>
      </c>
      <c r="J977" t="inlineStr">
        <is>
          <t>N/A</t>
        </is>
      </c>
      <c r="K977" t="inlineStr">
        <is>
          <t>7806 Optimum Tree Services Ltd</t>
        </is>
      </c>
      <c r="L977" t="inlineStr">
        <is>
          <t>22/07/2025 08:18</t>
        </is>
      </c>
      <c r="M977" t="inlineStr">
        <is>
          <t>None</t>
        </is>
      </c>
      <c r="N977" t="inlineStr">
        <is>
          <t>&lt;p&gt;&lt;/p&gt;</t>
        </is>
      </c>
      <c r="O977" t="inlineStr"/>
      <c r="P977" t="inlineStr">
        <is>
          <t>WD14EVB , MEWP , Land Rover , Defender</t>
        </is>
      </c>
      <c r="Q977" t="inlineStr">
        <is>
          <t>UKPN</t>
        </is>
      </c>
      <c r="R977" t="b">
        <v>0</v>
      </c>
    </row>
    <row r="978">
      <c r="A978" t="inlineStr">
        <is>
          <t>22 Jul 2025 / 3098 D &amp; R Landscapes (PEND Arb Rail)</t>
        </is>
      </c>
      <c r="B978" t="inlineStr">
        <is>
          <t>Utilities &amp; Inland Waterways</t>
        </is>
      </c>
      <c r="C978" t="inlineStr">
        <is>
          <t>UKPN</t>
        </is>
      </c>
      <c r="D978" t="inlineStr">
        <is>
          <t>WA13ZZK , 4x4 , Land Rover  , Defender</t>
        </is>
      </c>
      <c r="E978" t="inlineStr">
        <is>
          <t>WA13ZZK , 4x4 , Land Rover  , Defender</t>
        </is>
      </c>
      <c r="F978" t="inlineStr">
        <is>
          <t>WA13ZZK , 4x4 , Land Rover  , Defender</t>
        </is>
      </c>
      <c r="G978" t="inlineStr">
        <is>
          <t>Jason</t>
        </is>
      </c>
      <c r="H978" t="inlineStr">
        <is>
          <t>Pickup Truck</t>
        </is>
      </c>
      <c r="I978" t="inlineStr">
        <is>
          <t>Daily/ Weekly Vehicle Inspection</t>
        </is>
      </c>
      <c r="J978" t="inlineStr">
        <is>
          <t>N/A</t>
        </is>
      </c>
      <c r="K978" t="inlineStr">
        <is>
          <t>3098 D &amp; R Landscapes (PEND Arb Rail)</t>
        </is>
      </c>
      <c r="L978" t="inlineStr">
        <is>
          <t>22/07/2025 10:11</t>
        </is>
      </c>
      <c r="M978" t="inlineStr">
        <is>
          <t>None</t>
        </is>
      </c>
      <c r="N978" t="inlineStr">
        <is>
          <t>&lt;p&gt;&lt;/p&gt;</t>
        </is>
      </c>
      <c r="O978" t="inlineStr"/>
      <c r="P978" t="inlineStr">
        <is>
          <t>WA13ZZK , 4x4 , Land Rover  , Defender</t>
        </is>
      </c>
      <c r="Q978" t="inlineStr">
        <is>
          <t>UKPN</t>
        </is>
      </c>
      <c r="R978" t="b">
        <v>0</v>
      </c>
    </row>
    <row r="979">
      <c r="A979" t="inlineStr">
        <is>
          <t>22 Jul 2025 / 3098 D &amp; R Landscapes (PEND Arb Rail)</t>
        </is>
      </c>
      <c r="B979" t="inlineStr">
        <is>
          <t>Utilities &amp; Inland Waterways</t>
        </is>
      </c>
      <c r="C979" t="inlineStr">
        <is>
          <t>UKPN</t>
        </is>
      </c>
      <c r="D979" t="inlineStr">
        <is>
          <t>DE68XHA , Tipper , Isuzu , Grafter</t>
        </is>
      </c>
      <c r="E979" t="inlineStr">
        <is>
          <t>DE68XHA , Tipper , Isuzu , Grafter</t>
        </is>
      </c>
      <c r="F979" t="inlineStr">
        <is>
          <t>DE68XHA , Tipper , Isuzu , Grafter</t>
        </is>
      </c>
      <c r="G979" t="inlineStr">
        <is>
          <t>Jason</t>
        </is>
      </c>
      <c r="H979" t="inlineStr">
        <is>
          <t>Tipper</t>
        </is>
      </c>
      <c r="I979" t="inlineStr">
        <is>
          <t>Daily/ Weekly Vehicle Inspection</t>
        </is>
      </c>
      <c r="J979" t="inlineStr">
        <is>
          <t>N/A</t>
        </is>
      </c>
      <c r="K979" t="inlineStr">
        <is>
          <t>3098 D &amp; R Landscapes (PEND Arb Rail)</t>
        </is>
      </c>
      <c r="L979" t="inlineStr">
        <is>
          <t>22/07/2025 10:12</t>
        </is>
      </c>
      <c r="M979" t="inlineStr">
        <is>
          <t>None</t>
        </is>
      </c>
      <c r="N979" t="inlineStr">
        <is>
          <t>&lt;p&gt;&lt;/p&gt;</t>
        </is>
      </c>
      <c r="O979" t="inlineStr"/>
      <c r="P979" t="inlineStr">
        <is>
          <t>DE68XHA , Tipper , Isuzu , Grafter</t>
        </is>
      </c>
      <c r="Q979" t="inlineStr">
        <is>
          <t>UKPN</t>
        </is>
      </c>
      <c r="R979" t="b">
        <v>0</v>
      </c>
    </row>
    <row r="980">
      <c r="A980" t="inlineStr">
        <is>
          <t>22 Jul 2025 / 3988 Valiant Arborist Ltd</t>
        </is>
      </c>
      <c r="B980" t="inlineStr">
        <is>
          <t>Utilities &amp; Inland Waterways</t>
        </is>
      </c>
      <c r="C980" t="inlineStr">
        <is>
          <t>UKPN</t>
        </is>
      </c>
      <c r="D980" t="inlineStr">
        <is>
          <t>4x4 - Isuzu  - D Max  - BT24 YEC</t>
        </is>
      </c>
      <c r="E980" t="inlineStr">
        <is>
          <t>4x4 - Isuzu  - D Max  - BT24 YEC</t>
        </is>
      </c>
      <c r="F980" t="inlineStr">
        <is>
          <t>4x4 - Isuzu  - D Max  - BT24 YEC</t>
        </is>
      </c>
      <c r="G980" t="inlineStr">
        <is>
          <t xml:space="preserve">Sam knight </t>
        </is>
      </c>
      <c r="H980" t="inlineStr">
        <is>
          <t>4x4</t>
        </is>
      </c>
      <c r="I980" t="inlineStr">
        <is>
          <t>Daily/ Weekly Vehicle Inspection</t>
        </is>
      </c>
      <c r="J980" t="inlineStr">
        <is>
          <t>N/A</t>
        </is>
      </c>
      <c r="K980" t="inlineStr">
        <is>
          <t>3988 Valiant Arborist Ltd</t>
        </is>
      </c>
      <c r="L980" t="inlineStr">
        <is>
          <t>22/07/2025 10:12</t>
        </is>
      </c>
      <c r="M980" t="inlineStr">
        <is>
          <t>None</t>
        </is>
      </c>
      <c r="N980" t="inlineStr">
        <is>
          <t>&lt;p&gt;&lt;/p&gt;</t>
        </is>
      </c>
      <c r="O980" t="inlineStr"/>
      <c r="P980" t="inlineStr">
        <is>
          <t>4x4 - Isuzu  - D Max  - BT24 YEC</t>
        </is>
      </c>
      <c r="Q980" t="inlineStr">
        <is>
          <t>UKPN</t>
        </is>
      </c>
      <c r="R980" t="b">
        <v>0</v>
      </c>
    </row>
    <row r="981">
      <c r="A981" t="inlineStr">
        <is>
          <t>23 Jul 2025 / 6617 Ashdown Tree Limited 1</t>
        </is>
      </c>
      <c r="B981" t="inlineStr">
        <is>
          <t>Utilities &amp; Inland Waterways</t>
        </is>
      </c>
      <c r="C981" t="inlineStr">
        <is>
          <t>UKPN</t>
        </is>
      </c>
      <c r="D981" t="inlineStr">
        <is>
          <t>SBXTW35A6LS209184 , Tow Chipper , Timberwolf , TW230DHB</t>
        </is>
      </c>
      <c r="E981" t="inlineStr">
        <is>
          <t>SBXTW35A6LS209184 , Tow Chipper , Timberwolf , TW230DHB</t>
        </is>
      </c>
      <c r="F981" t="inlineStr">
        <is>
          <t>SBXTW35A6LS209184 , Tow Chipper , Timberwolf , TW230DHB</t>
        </is>
      </c>
      <c r="G981" t="inlineStr">
        <is>
          <t xml:space="preserve">Francislesser </t>
        </is>
      </c>
      <c r="H981" t="inlineStr">
        <is>
          <t>Towed Chipper</t>
        </is>
      </c>
      <c r="I981" t="inlineStr">
        <is>
          <t>Daily/ Weekly Vehicle Inspection</t>
        </is>
      </c>
      <c r="J981" t="inlineStr">
        <is>
          <t>N/A</t>
        </is>
      </c>
      <c r="K981" t="inlineStr">
        <is>
          <t>6617 Ashdown Tree Limited 1</t>
        </is>
      </c>
      <c r="L981" t="inlineStr">
        <is>
          <t>23/07/2025 07:11</t>
        </is>
      </c>
      <c r="M981" t="inlineStr">
        <is>
          <t>None</t>
        </is>
      </c>
      <c r="N981" t="inlineStr">
        <is>
          <t>&lt;p&gt;&lt;/p&gt;</t>
        </is>
      </c>
      <c r="O981" t="inlineStr"/>
      <c r="P981" t="inlineStr">
        <is>
          <t>SBXTW35A6LS209184 , Tow Chipper , Timberwolf , TW230DHB</t>
        </is>
      </c>
      <c r="Q981" t="inlineStr">
        <is>
          <t>UKPN</t>
        </is>
      </c>
      <c r="R981" t="b">
        <v>0</v>
      </c>
    </row>
    <row r="982">
      <c r="A982" t="inlineStr">
        <is>
          <t>23 Jul 2025 / 6617 Ashdown Tree Limited 1</t>
        </is>
      </c>
      <c r="B982" t="inlineStr">
        <is>
          <t>Utilities &amp; Inland Waterways</t>
        </is>
      </c>
      <c r="C982" t="inlineStr">
        <is>
          <t>UKPN</t>
        </is>
      </c>
      <c r="D982" t="inlineStr">
        <is>
          <t>GU11LKD , 4x4 , Land Rover , Defender</t>
        </is>
      </c>
      <c r="E982" t="inlineStr">
        <is>
          <t>GU11LKD , 4x4 , Land Rover , Defender</t>
        </is>
      </c>
      <c r="F982" t="inlineStr">
        <is>
          <t>GU11LKD , 4x4 , Land Rover , Defender</t>
        </is>
      </c>
      <c r="G982" t="inlineStr">
        <is>
          <t xml:space="preserve">Francislesser </t>
        </is>
      </c>
      <c r="H982" t="inlineStr">
        <is>
          <t>4x4</t>
        </is>
      </c>
      <c r="I982" t="inlineStr">
        <is>
          <t>Daily/ Weekly Vehicle Inspection</t>
        </is>
      </c>
      <c r="J982" t="inlineStr">
        <is>
          <t>N/A</t>
        </is>
      </c>
      <c r="K982" t="inlineStr">
        <is>
          <t>6617 Ashdown Tree Limited 1</t>
        </is>
      </c>
      <c r="L982" t="inlineStr">
        <is>
          <t>23/07/2025 07:12</t>
        </is>
      </c>
      <c r="M982" t="inlineStr">
        <is>
          <t>None</t>
        </is>
      </c>
      <c r="N982" t="inlineStr">
        <is>
          <t>&lt;p&gt;&lt;/p&gt;</t>
        </is>
      </c>
      <c r="O982" t="inlineStr"/>
      <c r="P982" t="inlineStr">
        <is>
          <t>GU11LKD , 4x4 , Land Rover , Defender</t>
        </is>
      </c>
      <c r="Q982" t="inlineStr">
        <is>
          <t>UKPN</t>
        </is>
      </c>
      <c r="R982" t="b">
        <v>0</v>
      </c>
    </row>
    <row r="983">
      <c r="A983" t="inlineStr">
        <is>
          <t>23 Jul 2025 / 7800 MAC Tree Surgery and Fencing Ltd</t>
        </is>
      </c>
      <c r="B983" t="inlineStr">
        <is>
          <t>Utilities &amp; Inland Waterways</t>
        </is>
      </c>
      <c r="C983" t="inlineStr">
        <is>
          <t>UKPN</t>
        </is>
      </c>
      <c r="D983" t="inlineStr">
        <is>
          <t>205143043-A1 , Tow Chipper , Timberwolf , TW150</t>
        </is>
      </c>
      <c r="E983" t="inlineStr">
        <is>
          <t>205143043-A1 , Tow Chipper , Timberwolf , TW150</t>
        </is>
      </c>
      <c r="F983" t="inlineStr">
        <is>
          <t>205143043-A1 , Tow Chipper , Timberwolf , TW150</t>
        </is>
      </c>
      <c r="G983" t="inlineStr">
        <is>
          <t xml:space="preserve">Lewis mac </t>
        </is>
      </c>
      <c r="H983" t="inlineStr">
        <is>
          <t>Towed Chipper</t>
        </is>
      </c>
      <c r="I983" t="inlineStr">
        <is>
          <t>Daily/ Weekly Vehicle Inspection</t>
        </is>
      </c>
      <c r="J983" t="inlineStr">
        <is>
          <t>N/A</t>
        </is>
      </c>
      <c r="K983" t="inlineStr">
        <is>
          <t>7800 MAC Tree Surgery and Fencing Ltd</t>
        </is>
      </c>
      <c r="L983" t="inlineStr">
        <is>
          <t>23/07/2025 07:12</t>
        </is>
      </c>
      <c r="M983" t="inlineStr">
        <is>
          <t>None</t>
        </is>
      </c>
      <c r="N983" t="inlineStr">
        <is>
          <t>&lt;p&gt;&lt;/p&gt;</t>
        </is>
      </c>
      <c r="O983" t="inlineStr"/>
      <c r="P983" t="inlineStr">
        <is>
          <t>205143043-A1 , Tow Chipper , Timberwolf , TW150</t>
        </is>
      </c>
      <c r="Q983" t="inlineStr">
        <is>
          <t>UKPN</t>
        </is>
      </c>
      <c r="R983" t="b">
        <v>0</v>
      </c>
    </row>
    <row r="984">
      <c r="A984" t="inlineStr">
        <is>
          <t>23 Jul 2025 / 7800 MAC Tree Surgery and Fencing Ltd</t>
        </is>
      </c>
      <c r="B984" t="inlineStr">
        <is>
          <t>Utilities &amp; Inland Waterways</t>
        </is>
      </c>
      <c r="C984" t="inlineStr">
        <is>
          <t>UKPN</t>
        </is>
      </c>
      <c r="D984" t="inlineStr">
        <is>
          <t>AY68DAA , 4x4 , Izuzu , Dmax</t>
        </is>
      </c>
      <c r="E984" t="inlineStr">
        <is>
          <t>AY68DAA , 4x4 , Izuzu , Dmax</t>
        </is>
      </c>
      <c r="F984" t="inlineStr">
        <is>
          <t>AY68DAA , 4x4 , Izuzu , Dmax</t>
        </is>
      </c>
      <c r="G984" t="inlineStr">
        <is>
          <t xml:space="preserve">Lewis mac </t>
        </is>
      </c>
      <c r="H984" t="inlineStr">
        <is>
          <t>4x4</t>
        </is>
      </c>
      <c r="I984" t="inlineStr">
        <is>
          <t>Daily/ Weekly Vehicle Inspection</t>
        </is>
      </c>
      <c r="J984" t="inlineStr">
        <is>
          <t>N/A</t>
        </is>
      </c>
      <c r="K984" t="inlineStr">
        <is>
          <t>7800 MAC Tree Surgery and Fencing Ltd</t>
        </is>
      </c>
      <c r="L984" t="inlineStr">
        <is>
          <t>23/07/2025 07:13</t>
        </is>
      </c>
      <c r="M984" t="inlineStr">
        <is>
          <t>None</t>
        </is>
      </c>
      <c r="N984" t="inlineStr">
        <is>
          <t>&lt;p&gt;&lt;/p&gt;</t>
        </is>
      </c>
      <c r="O984" t="inlineStr"/>
      <c r="P984" t="inlineStr">
        <is>
          <t>AY68DAA , 4x4 , Izuzu , Dmax</t>
        </is>
      </c>
      <c r="Q984" t="inlineStr">
        <is>
          <t>UKPN</t>
        </is>
      </c>
      <c r="R984" t="b">
        <v>0</v>
      </c>
    </row>
    <row r="985">
      <c r="A985" t="inlineStr">
        <is>
          <t>23 Jul 2025 / Anthony Gale</t>
        </is>
      </c>
      <c r="B985" t="inlineStr">
        <is>
          <t>Utilities &amp; Inland Waterways</t>
        </is>
      </c>
      <c r="C985" t="inlineStr">
        <is>
          <t>UKPN</t>
        </is>
      </c>
      <c r="D985" t="inlineStr">
        <is>
          <t>PE07 HGL , Vehicle , Mitsubishi , L200 K74</t>
        </is>
      </c>
      <c r="E985" t="inlineStr">
        <is>
          <t>PE07 HGL , Vehicle , Mitsubishi , L200 K74</t>
        </is>
      </c>
      <c r="F985" t="inlineStr">
        <is>
          <t>PE07 HGL , Vehicle , Mitsubishi , L200 K74</t>
        </is>
      </c>
      <c r="G985" t="inlineStr">
        <is>
          <t>Anthony Gale</t>
        </is>
      </c>
      <c r="H985" t="inlineStr">
        <is>
          <t>Pickup Truck</t>
        </is>
      </c>
      <c r="I985" t="inlineStr">
        <is>
          <t>Daily/ Weekly Vehicle Inspection</t>
        </is>
      </c>
      <c r="J985" t="inlineStr">
        <is>
          <t>N/A</t>
        </is>
      </c>
      <c r="K985" t="inlineStr">
        <is>
          <t>7996 M G Tree Surgery Ltd 1</t>
        </is>
      </c>
      <c r="L985" t="inlineStr">
        <is>
          <t>23/07/2025 07:13</t>
        </is>
      </c>
      <c r="M985" t="inlineStr">
        <is>
          <t>None</t>
        </is>
      </c>
      <c r="N985" t="inlineStr">
        <is>
          <t>&lt;p&gt;&lt;/p&gt;</t>
        </is>
      </c>
      <c r="O985" t="inlineStr"/>
      <c r="P985" t="inlineStr">
        <is>
          <t>PE07 HGL , Vehicle , Mitsubishi , L200 K74</t>
        </is>
      </c>
      <c r="Q985" t="inlineStr">
        <is>
          <t>UKPN</t>
        </is>
      </c>
      <c r="R985" t="b">
        <v>0</v>
      </c>
    </row>
    <row r="986">
      <c r="A986" t="inlineStr">
        <is>
          <t>23 Jul 2025 / 7940 HRJ Tree Services LTD</t>
        </is>
      </c>
      <c r="B986" t="inlineStr">
        <is>
          <t>Utilities &amp; Inland Waterways</t>
        </is>
      </c>
      <c r="C986" t="inlineStr">
        <is>
          <t>UKPN</t>
        </is>
      </c>
      <c r="D986" t="inlineStr">
        <is>
          <t>Kx65fcp , 4x4 , Izuzu d max  , D max</t>
        </is>
      </c>
      <c r="E986" t="inlineStr">
        <is>
          <t>Kx65fcp , 4x4 , Izuzu d max  , D max</t>
        </is>
      </c>
      <c r="F986" t="inlineStr">
        <is>
          <t>Kx65fcp , 4x4 , Izuzu d max  , D max</t>
        </is>
      </c>
      <c r="G986" t="inlineStr">
        <is>
          <t xml:space="preserve">Jack Buchan </t>
        </is>
      </c>
      <c r="H986" t="inlineStr">
        <is>
          <t>4x4</t>
        </is>
      </c>
      <c r="I986" t="inlineStr">
        <is>
          <t>Daily/ Weekly Vehicle Inspection</t>
        </is>
      </c>
      <c r="J986" t="inlineStr">
        <is>
          <t>N/A</t>
        </is>
      </c>
      <c r="K986" t="inlineStr">
        <is>
          <t>7940 HRJ Tree Services LTD</t>
        </is>
      </c>
      <c r="L986" t="inlineStr">
        <is>
          <t>23/07/2025 07:18</t>
        </is>
      </c>
      <c r="M986" t="inlineStr">
        <is>
          <t>None</t>
        </is>
      </c>
      <c r="N986" t="inlineStr">
        <is>
          <t>&lt;p&gt;&lt;/p&gt;</t>
        </is>
      </c>
      <c r="O986" t="inlineStr"/>
      <c r="P986" t="inlineStr">
        <is>
          <t>Kx65fcp , 4x4 , Izuzu d max  , D max</t>
        </is>
      </c>
      <c r="Q986" t="inlineStr">
        <is>
          <t>UKPN</t>
        </is>
      </c>
      <c r="R986" t="b">
        <v>0</v>
      </c>
    </row>
    <row r="987">
      <c r="A987" t="inlineStr">
        <is>
          <t>23 Jul 2025 / 7940 HRJ Tree Services LTD</t>
        </is>
      </c>
      <c r="B987" t="inlineStr">
        <is>
          <t>Utilities &amp; Inland Waterways</t>
        </is>
      </c>
      <c r="C987" t="inlineStr">
        <is>
          <t>UKPN</t>
        </is>
      </c>
      <c r="D987" t="inlineStr">
        <is>
          <t>Plant Trailer - Indespension - 211717 - 211717</t>
        </is>
      </c>
      <c r="E987" t="inlineStr">
        <is>
          <t>Plant Trailer - Indespension - 211717 - 211717</t>
        </is>
      </c>
      <c r="F987" t="inlineStr">
        <is>
          <t>Plant Trailer - Indespension - 211717 - 211717</t>
        </is>
      </c>
      <c r="G987" t="inlineStr">
        <is>
          <t>Harry Wilson</t>
        </is>
      </c>
      <c r="H987" t="inlineStr">
        <is>
          <t>Equipment Trailer</t>
        </is>
      </c>
      <c r="I987" t="inlineStr">
        <is>
          <t>Daily/ Weekly Vehicle Inspection</t>
        </is>
      </c>
      <c r="J987" t="inlineStr">
        <is>
          <t>N/A</t>
        </is>
      </c>
      <c r="K987" t="inlineStr">
        <is>
          <t>7940 HRJ Tree Services LTD</t>
        </is>
      </c>
      <c r="L987" t="inlineStr">
        <is>
          <t>23/07/2025 07:19</t>
        </is>
      </c>
      <c r="M987" t="inlineStr">
        <is>
          <t>None</t>
        </is>
      </c>
      <c r="N987" t="inlineStr">
        <is>
          <t>&lt;p&gt;&lt;/p&gt;</t>
        </is>
      </c>
      <c r="O987" t="inlineStr"/>
      <c r="P987" t="inlineStr">
        <is>
          <t>Plant Trailer - Indespension - 211717 - 211717</t>
        </is>
      </c>
      <c r="Q987" t="inlineStr">
        <is>
          <t>UKPN</t>
        </is>
      </c>
      <c r="R987" t="b">
        <v>0</v>
      </c>
    </row>
    <row r="988">
      <c r="A988" t="inlineStr">
        <is>
          <t>23 Jul 2025 / 7940 HRJ Tree Services LTD</t>
        </is>
      </c>
      <c r="B988" t="inlineStr">
        <is>
          <t>Utilities &amp; Inland Waterways</t>
        </is>
      </c>
      <c r="C988" t="inlineStr">
        <is>
          <t>UKPN</t>
        </is>
      </c>
      <c r="D988" t="inlineStr">
        <is>
          <t>4x4 - Toyota  - Hilux - LL70GZP</t>
        </is>
      </c>
      <c r="E988" t="inlineStr">
        <is>
          <t>4x4 - Toyota  - Hilux - LL70GZP</t>
        </is>
      </c>
      <c r="F988" t="inlineStr">
        <is>
          <t>4x4 - Toyota  - Hilux - LL70GZP</t>
        </is>
      </c>
      <c r="G988" t="inlineStr">
        <is>
          <t>Harry Wilson</t>
        </is>
      </c>
      <c r="H988" t="inlineStr">
        <is>
          <t>4x4</t>
        </is>
      </c>
      <c r="I988" t="inlineStr">
        <is>
          <t>Daily/ Weekly Vehicle Inspection</t>
        </is>
      </c>
      <c r="J988" t="inlineStr">
        <is>
          <t>N/A</t>
        </is>
      </c>
      <c r="K988" t="inlineStr">
        <is>
          <t>7940 HRJ Tree Services LTD</t>
        </is>
      </c>
      <c r="L988" t="inlineStr">
        <is>
          <t>23/07/2025 07:19</t>
        </is>
      </c>
      <c r="M988" t="inlineStr">
        <is>
          <t>None</t>
        </is>
      </c>
      <c r="N988" t="inlineStr">
        <is>
          <t>&lt;p&gt;&lt;/p&gt;</t>
        </is>
      </c>
      <c r="O988" t="inlineStr"/>
      <c r="P988" t="inlineStr">
        <is>
          <t>4x4 - Toyota  - Hilux - LL70GZP</t>
        </is>
      </c>
      <c r="Q988" t="inlineStr">
        <is>
          <t>UKPN</t>
        </is>
      </c>
      <c r="R988" t="b">
        <v>0</v>
      </c>
    </row>
    <row r="989">
      <c r="A989" t="inlineStr">
        <is>
          <t>23 Jul 2025 / 7996 M G Tree Surgery Ltd</t>
        </is>
      </c>
      <c r="B989" t="inlineStr">
        <is>
          <t>Utilities &amp; Inland Waterways</t>
        </is>
      </c>
      <c r="C989" t="inlineStr">
        <is>
          <t>UKPN</t>
        </is>
      </c>
      <c r="D989" t="inlineStr">
        <is>
          <t>GU13 WNL , MEWP , Land Rover , Defender 130</t>
        </is>
      </c>
      <c r="E989" t="inlineStr">
        <is>
          <t>GU13 WNL , MEWP , Land Rover , Defender 130</t>
        </is>
      </c>
      <c r="F989" t="inlineStr">
        <is>
          <t>GU13 WNL , MEWP , Land Rover , Defender 130</t>
        </is>
      </c>
      <c r="G989" t="inlineStr">
        <is>
          <t xml:space="preserve">Max Gaylor </t>
        </is>
      </c>
      <c r="H989" t="inlineStr">
        <is>
          <t>4x4</t>
        </is>
      </c>
      <c r="I989" t="inlineStr">
        <is>
          <t>Daily/ Weekly Vehicle Inspection</t>
        </is>
      </c>
      <c r="J989" t="inlineStr">
        <is>
          <t>N/A</t>
        </is>
      </c>
      <c r="K989" t="inlineStr">
        <is>
          <t>7996 M G Tree Surgery Ltd</t>
        </is>
      </c>
      <c r="L989" t="inlineStr">
        <is>
          <t>23/07/2025 08:12</t>
        </is>
      </c>
      <c r="M989" t="inlineStr">
        <is>
          <t>None</t>
        </is>
      </c>
      <c r="N989" t="inlineStr">
        <is>
          <t>&lt;p&gt;&lt;/p&gt;</t>
        </is>
      </c>
      <c r="O989" t="inlineStr"/>
      <c r="P989" t="inlineStr">
        <is>
          <t>GU13 WNL , MEWP , Land Rover , Defender 130</t>
        </is>
      </c>
      <c r="Q989" t="inlineStr">
        <is>
          <t>UKPN</t>
        </is>
      </c>
      <c r="R989" t="b">
        <v>0</v>
      </c>
    </row>
    <row r="990">
      <c r="A990" t="inlineStr">
        <is>
          <t>23 Jul 2025 / 7186 Eastwoodbury Tree Services Ltd</t>
        </is>
      </c>
      <c r="B990" t="inlineStr">
        <is>
          <t>Utilities &amp; Inland Waterways</t>
        </is>
      </c>
      <c r="C990" t="inlineStr">
        <is>
          <t>UKPN</t>
        </is>
      </c>
      <c r="D990" t="inlineStr">
        <is>
          <t>AO57BPF , 4x4 , Santana  , Ps10</t>
        </is>
      </c>
      <c r="E990" t="inlineStr">
        <is>
          <t>AO57BPF , 4x4 , Santana  , Ps10</t>
        </is>
      </c>
      <c r="F990" t="inlineStr">
        <is>
          <t>AO57BPF , 4x4 , Santana  , Ps10</t>
        </is>
      </c>
      <c r="G990" t="inlineStr">
        <is>
          <t xml:space="preserve">Jay Denkmayer </t>
        </is>
      </c>
      <c r="H990" t="inlineStr">
        <is>
          <t>4x4</t>
        </is>
      </c>
      <c r="I990" t="inlineStr">
        <is>
          <t>Daily/ Weekly Vehicle Inspection</t>
        </is>
      </c>
      <c r="J990" t="inlineStr">
        <is>
          <t>N/A</t>
        </is>
      </c>
      <c r="K990" t="inlineStr">
        <is>
          <t>7186 Eastwoodbury Tree Services Ltd</t>
        </is>
      </c>
      <c r="L990" t="inlineStr">
        <is>
          <t>23/07/2025 08:13</t>
        </is>
      </c>
      <c r="M990" t="inlineStr">
        <is>
          <t>None</t>
        </is>
      </c>
      <c r="N990" t="inlineStr">
        <is>
          <t>&lt;p&gt;&lt;/p&gt;</t>
        </is>
      </c>
      <c r="O990" t="inlineStr"/>
      <c r="P990" t="inlineStr">
        <is>
          <t>AO57BPF , 4x4 , Santana  , Ps10</t>
        </is>
      </c>
      <c r="Q990" t="inlineStr">
        <is>
          <t>UKPN</t>
        </is>
      </c>
      <c r="R990" t="b">
        <v>0</v>
      </c>
    </row>
    <row r="991">
      <c r="A991" t="inlineStr">
        <is>
          <t>23 Jul 2025 / 7186 Eastwoodbury Tree Services Ltd</t>
        </is>
      </c>
      <c r="B991" t="inlineStr">
        <is>
          <t>Utilities &amp; Inland Waterways</t>
        </is>
      </c>
      <c r="C991" t="inlineStr">
        <is>
          <t>UKPN</t>
        </is>
      </c>
      <c r="D991" t="inlineStr">
        <is>
          <t>FN600XM , 4x4 , Land Rover  , Defender</t>
        </is>
      </c>
      <c r="E991" t="inlineStr">
        <is>
          <t>FN600XM , 4x4 , Land Rover  , Defender</t>
        </is>
      </c>
      <c r="F991" t="inlineStr">
        <is>
          <t>FN600XM , 4x4 , Land Rover  , Defender</t>
        </is>
      </c>
      <c r="G991" t="inlineStr">
        <is>
          <t xml:space="preserve">Dan Gilbert </t>
        </is>
      </c>
      <c r="H991" t="inlineStr">
        <is>
          <t>4x4</t>
        </is>
      </c>
      <c r="I991" t="inlineStr">
        <is>
          <t>Daily/ Weekly Vehicle Inspection</t>
        </is>
      </c>
      <c r="J991" t="inlineStr">
        <is>
          <t>N/A</t>
        </is>
      </c>
      <c r="K991" t="inlineStr">
        <is>
          <t>7186 Eastwoodbury Tree Services Ltd</t>
        </is>
      </c>
      <c r="L991" t="inlineStr">
        <is>
          <t>23/07/2025 08:13</t>
        </is>
      </c>
      <c r="M991" t="inlineStr">
        <is>
          <t>None</t>
        </is>
      </c>
      <c r="N991" t="inlineStr">
        <is>
          <t>&lt;p&gt;&lt;/p&gt;</t>
        </is>
      </c>
      <c r="O991" t="inlineStr"/>
      <c r="P991" t="inlineStr">
        <is>
          <t>FN600XM , 4x4 , Land Rover  , Defender</t>
        </is>
      </c>
      <c r="Q991" t="inlineStr">
        <is>
          <t>UKPN</t>
        </is>
      </c>
      <c r="R991" t="b">
        <v>0</v>
      </c>
    </row>
    <row r="992">
      <c r="A992" t="inlineStr">
        <is>
          <t>23 Jul 2025 / 7806 Optimum Tree Services Ltd</t>
        </is>
      </c>
      <c r="B992" t="inlineStr">
        <is>
          <t>Utilities &amp; Inland Waterways</t>
        </is>
      </c>
      <c r="C992" t="inlineStr">
        <is>
          <t>UKPN</t>
        </is>
      </c>
      <c r="D992" t="inlineStr">
        <is>
          <t>SA9ST800000283069 , Chipper , Forst , ST 6P</t>
        </is>
      </c>
      <c r="E992" t="inlineStr">
        <is>
          <t>SA9ST800000283069 , Chipper , Forst , ST 6P</t>
        </is>
      </c>
      <c r="F992" t="inlineStr">
        <is>
          <t>SA9ST800000283069 , Chipper , Forst , ST 6P</t>
        </is>
      </c>
      <c r="G992" t="inlineStr">
        <is>
          <t xml:space="preserve">Abraham Davies </t>
        </is>
      </c>
      <c r="H992" t="inlineStr">
        <is>
          <t>Towed Chipper</t>
        </is>
      </c>
      <c r="I992" t="inlineStr">
        <is>
          <t>Daily/ Weekly Vehicle Inspection</t>
        </is>
      </c>
      <c r="J992" t="inlineStr">
        <is>
          <t>N/A</t>
        </is>
      </c>
      <c r="K992" t="inlineStr">
        <is>
          <t>7806 Optimum Tree Services Ltd</t>
        </is>
      </c>
      <c r="L992" t="inlineStr">
        <is>
          <t>23/07/2025 08:14</t>
        </is>
      </c>
      <c r="M992" t="inlineStr">
        <is>
          <t>None</t>
        </is>
      </c>
      <c r="N992" t="inlineStr">
        <is>
          <t>&lt;p&gt;&lt;/p&gt;</t>
        </is>
      </c>
      <c r="O992" t="inlineStr"/>
      <c r="P992" t="inlineStr">
        <is>
          <t>SA9ST800000283069 , Chipper , Forst , ST 6P</t>
        </is>
      </c>
      <c r="Q992" t="inlineStr">
        <is>
          <t>UKPN</t>
        </is>
      </c>
      <c r="R992" t="b">
        <v>0</v>
      </c>
    </row>
    <row r="993">
      <c r="A993" t="inlineStr">
        <is>
          <t>23 Jul 2025 / 7806 Optimum Tree Services Ltd</t>
        </is>
      </c>
      <c r="B993" t="inlineStr">
        <is>
          <t>Utilities &amp; Inland Waterways</t>
        </is>
      </c>
      <c r="C993" t="inlineStr">
        <is>
          <t>UKPN</t>
        </is>
      </c>
      <c r="D993" t="inlineStr">
        <is>
          <t>WD14EVB , MEWP , Land Rover , Defender</t>
        </is>
      </c>
      <c r="E993" t="inlineStr">
        <is>
          <t>WD14EVB , MEWP , Land Rover , Defender</t>
        </is>
      </c>
      <c r="F993" t="inlineStr">
        <is>
          <t>WD14EVB , MEWP , Land Rover , Defender</t>
        </is>
      </c>
      <c r="G993" t="inlineStr">
        <is>
          <t xml:space="preserve">Abraham Davies </t>
        </is>
      </c>
      <c r="H993" t="inlineStr">
        <is>
          <t>4x4</t>
        </is>
      </c>
      <c r="I993" t="inlineStr">
        <is>
          <t>Daily/ Weekly Vehicle Inspection</t>
        </is>
      </c>
      <c r="J993" t="inlineStr">
        <is>
          <t>N/A</t>
        </is>
      </c>
      <c r="K993" t="inlineStr">
        <is>
          <t>7806 Optimum Tree Services Ltd</t>
        </is>
      </c>
      <c r="L993" t="inlineStr">
        <is>
          <t>23/07/2025 08:15</t>
        </is>
      </c>
      <c r="M993" t="inlineStr">
        <is>
          <t>None</t>
        </is>
      </c>
      <c r="N993" t="inlineStr">
        <is>
          <t>&lt;p&gt;&lt;/p&gt;</t>
        </is>
      </c>
      <c r="O993" t="inlineStr"/>
      <c r="P993" t="inlineStr">
        <is>
          <t>WD14EVB , MEWP , Land Rover , Defender</t>
        </is>
      </c>
      <c r="Q993" t="inlineStr">
        <is>
          <t>UKPN</t>
        </is>
      </c>
      <c r="R993" t="b">
        <v>0</v>
      </c>
    </row>
    <row r="994">
      <c r="A994" t="inlineStr">
        <is>
          <t>23 Jul 2025 / 7889 Tree Tech Suffolk Ltd</t>
        </is>
      </c>
      <c r="B994" t="inlineStr">
        <is>
          <t>Utilities &amp; Inland Waterways</t>
        </is>
      </c>
      <c r="C994" t="inlineStr">
        <is>
          <t>UKPN</t>
        </is>
      </c>
      <c r="D994" t="inlineStr">
        <is>
          <t>Tow Chipper - Jenson - A530L - 5521063948Tipper - Nissan - Navara - NS02TTS4x4 - Isuzu - D-max - NS03 TTS</t>
        </is>
      </c>
      <c r="E994" t="inlineStr">
        <is>
          <t>Tow Chipper - Jenson - A530L - 5521063948Tipper - Nissan - Navara - NS02TTS4x4 - Isuzu - D-max - NS03 TTS</t>
        </is>
      </c>
      <c r="F994" t="inlineStr">
        <is>
          <t>Tow Chipper - Jenson - A530L - 5521063948Tipper - Nissan - Navara - NS02TTS4x4 - Isuzu - D-max - NS03 TTS</t>
        </is>
      </c>
      <c r="G994" t="inlineStr">
        <is>
          <t xml:space="preserve">Danny Appleby Danny Appleby Nikki sparrow </t>
        </is>
      </c>
      <c r="H994" t="inlineStr">
        <is>
          <t>Towed ChipperTipper4x4</t>
        </is>
      </c>
      <c r="I994" t="inlineStr">
        <is>
          <t>Daily/ Weekly Vehicle Inspection</t>
        </is>
      </c>
      <c r="J994" t="inlineStr">
        <is>
          <t>N/A</t>
        </is>
      </c>
      <c r="K994" t="inlineStr">
        <is>
          <t>7889 Tree Tech Suffolk Ltd</t>
        </is>
      </c>
      <c r="L994" t="inlineStr">
        <is>
          <t>23/07/2025 08:16</t>
        </is>
      </c>
      <c r="M994" t="inlineStr">
        <is>
          <t>None</t>
        </is>
      </c>
      <c r="N994" t="inlineStr">
        <is>
          <t>&lt;p&gt;&lt;/p&gt;</t>
        </is>
      </c>
      <c r="O994" t="inlineStr">
        <is>
          <t>Select Vehicle:KX65 FCZ</t>
        </is>
      </c>
      <c r="P994" t="inlineStr">
        <is>
          <t>Tow Chipper - Jenson - A530L - 5521063948Tipper - Nissan - Navara - NS02TTS4x4 - Isuzu - D-max - NS03 TTS</t>
        </is>
      </c>
      <c r="Q994" t="inlineStr">
        <is>
          <t>UKPN</t>
        </is>
      </c>
      <c r="R994" t="b">
        <v>0</v>
      </c>
    </row>
    <row r="995">
      <c r="A995" t="inlineStr">
        <is>
          <t>23 Jul 2025 / 3098 D &amp; R Landscapes (PEND Arb Rail)</t>
        </is>
      </c>
      <c r="B995" t="inlineStr">
        <is>
          <t>Utilities &amp; Inland Waterways</t>
        </is>
      </c>
      <c r="C995" t="inlineStr">
        <is>
          <t>UKPN</t>
        </is>
      </c>
      <c r="D995" t="inlineStr">
        <is>
          <t>FX17YVM , Vehicle , Nissan , Navara</t>
        </is>
      </c>
      <c r="E995" t="inlineStr">
        <is>
          <t>FX17YVM , Vehicle , Nissan , Navara</t>
        </is>
      </c>
      <c r="F995" t="inlineStr">
        <is>
          <t>FX17YVM , Vehicle , Nissan , Navara</t>
        </is>
      </c>
      <c r="G995" t="inlineStr">
        <is>
          <t xml:space="preserve">Jason </t>
        </is>
      </c>
      <c r="H995" t="inlineStr">
        <is>
          <t>Pickup Truck</t>
        </is>
      </c>
      <c r="I995" t="inlineStr">
        <is>
          <t>Daily/ Weekly Vehicle Inspection</t>
        </is>
      </c>
      <c r="J995" t="inlineStr">
        <is>
          <t>N/A</t>
        </is>
      </c>
      <c r="K995" t="inlineStr">
        <is>
          <t>3098 D &amp; R Landscapes (PEND Arb Rail)</t>
        </is>
      </c>
      <c r="L995" t="inlineStr">
        <is>
          <t>23/07/2025 08:16</t>
        </is>
      </c>
      <c r="M995" t="inlineStr">
        <is>
          <t>None</t>
        </is>
      </c>
      <c r="N995" t="inlineStr">
        <is>
          <t>&lt;p&gt;&lt;/p&gt;</t>
        </is>
      </c>
      <c r="O995" t="inlineStr"/>
      <c r="P995" t="inlineStr">
        <is>
          <t>FX17YVM , Vehicle , Nissan , Navara</t>
        </is>
      </c>
      <c r="Q995" t="inlineStr">
        <is>
          <t>UKPN</t>
        </is>
      </c>
      <c r="R995" t="b">
        <v>0</v>
      </c>
    </row>
    <row r="996">
      <c r="A996" t="inlineStr">
        <is>
          <t>23 Jul 2025 / 3098 D &amp; R Landscapes (PEND Arb Rail)</t>
        </is>
      </c>
      <c r="B996" t="inlineStr">
        <is>
          <t>Utilities &amp; Inland Waterways</t>
        </is>
      </c>
      <c r="C996" t="inlineStr">
        <is>
          <t>UKPN</t>
        </is>
      </c>
      <c r="D996" t="inlineStr">
        <is>
          <t>DE68XHA , Tipper , Isuzu , Grafter</t>
        </is>
      </c>
      <c r="E996" t="inlineStr">
        <is>
          <t>DE68XHA , Tipper , Isuzu , Grafter</t>
        </is>
      </c>
      <c r="F996" t="inlineStr">
        <is>
          <t>DE68XHA , Tipper , Isuzu , Grafter</t>
        </is>
      </c>
      <c r="G996" t="inlineStr">
        <is>
          <t xml:space="preserve">Rob </t>
        </is>
      </c>
      <c r="H996" t="inlineStr">
        <is>
          <t>Tipper</t>
        </is>
      </c>
      <c r="I996" t="inlineStr">
        <is>
          <t>Daily/ Weekly Vehicle Inspection</t>
        </is>
      </c>
      <c r="J996" t="inlineStr">
        <is>
          <t>N/A</t>
        </is>
      </c>
      <c r="K996" t="inlineStr">
        <is>
          <t>3098 D &amp; R Landscapes (PEND Arb Rail)</t>
        </is>
      </c>
      <c r="L996" t="inlineStr">
        <is>
          <t>23/07/2025 08:17</t>
        </is>
      </c>
      <c r="M996" t="inlineStr">
        <is>
          <t>None</t>
        </is>
      </c>
      <c r="N996" t="inlineStr">
        <is>
          <t>&lt;p&gt;&lt;/p&gt;</t>
        </is>
      </c>
      <c r="O996" t="inlineStr"/>
      <c r="P996" t="inlineStr">
        <is>
          <t>DE68XHA , Tipper , Isuzu , Grafter</t>
        </is>
      </c>
      <c r="Q996" t="inlineStr">
        <is>
          <t>UKPN</t>
        </is>
      </c>
      <c r="R996" t="b">
        <v>0</v>
      </c>
    </row>
    <row r="997">
      <c r="A997" t="inlineStr">
        <is>
          <t>23 Jul 2025 / 3098 D &amp; R Landscapes (PEND Arb Rail)</t>
        </is>
      </c>
      <c r="B997" t="inlineStr">
        <is>
          <t>Utilities &amp; Inland Waterways</t>
        </is>
      </c>
      <c r="C997" t="inlineStr">
        <is>
          <t>UKPN</t>
        </is>
      </c>
      <c r="D997" t="inlineStr">
        <is>
          <t>WA13ZZK , 4x4 , Land Rover  , Defender</t>
        </is>
      </c>
      <c r="E997" t="inlineStr">
        <is>
          <t>WA13ZZK , 4x4 , Land Rover  , Defender</t>
        </is>
      </c>
      <c r="F997" t="inlineStr">
        <is>
          <t>WA13ZZK , 4x4 , Land Rover  , Defender</t>
        </is>
      </c>
      <c r="G997" t="inlineStr">
        <is>
          <t xml:space="preserve">Dylan </t>
        </is>
      </c>
      <c r="H997" t="inlineStr">
        <is>
          <t>4x4</t>
        </is>
      </c>
      <c r="I997" t="inlineStr">
        <is>
          <t>Daily/ Weekly Vehicle Inspection</t>
        </is>
      </c>
      <c r="J997" t="inlineStr">
        <is>
          <t>N/A</t>
        </is>
      </c>
      <c r="K997" t="inlineStr">
        <is>
          <t>3098 D &amp; R Landscapes (PEND Arb Rail)</t>
        </is>
      </c>
      <c r="L997" t="inlineStr">
        <is>
          <t>23/07/2025 08:17</t>
        </is>
      </c>
      <c r="M997" t="inlineStr">
        <is>
          <t>None</t>
        </is>
      </c>
      <c r="N997" t="inlineStr">
        <is>
          <t>&lt;p&gt;&lt;/p&gt;</t>
        </is>
      </c>
      <c r="O997" t="inlineStr"/>
      <c r="P997" t="inlineStr">
        <is>
          <t>WA13ZZK , 4x4 , Land Rover  , Defender</t>
        </is>
      </c>
      <c r="Q997" t="inlineStr">
        <is>
          <t>UKPN</t>
        </is>
      </c>
      <c r="R997" t="b">
        <v>0</v>
      </c>
    </row>
    <row r="998">
      <c r="A998" t="inlineStr">
        <is>
          <t>23 Jul 2025 / 3988 Valiant Arborist Ltd</t>
        </is>
      </c>
      <c r="B998" t="inlineStr">
        <is>
          <t>Utilities &amp; Inland Waterways</t>
        </is>
      </c>
      <c r="C998" t="inlineStr">
        <is>
          <t>UKPN</t>
        </is>
      </c>
      <c r="D998" t="inlineStr">
        <is>
          <t>4x4 - Isuzu  - D Max  - BT24 YEC</t>
        </is>
      </c>
      <c r="E998" t="inlineStr">
        <is>
          <t>4x4 - Isuzu  - D Max  - BT24 YEC</t>
        </is>
      </c>
      <c r="F998" t="inlineStr">
        <is>
          <t>4x4 - Isuzu  - D Max  - BT24 YEC</t>
        </is>
      </c>
      <c r="G998" t="inlineStr">
        <is>
          <t>Sam knight</t>
        </is>
      </c>
      <c r="H998" t="inlineStr">
        <is>
          <t>4x4</t>
        </is>
      </c>
      <c r="I998" t="inlineStr">
        <is>
          <t>Daily/ Weekly Vehicle Inspection</t>
        </is>
      </c>
      <c r="J998" t="inlineStr">
        <is>
          <t>N/A</t>
        </is>
      </c>
      <c r="K998" t="inlineStr">
        <is>
          <t>3988 Valiant Arborist Ltd</t>
        </is>
      </c>
      <c r="L998" t="inlineStr">
        <is>
          <t>23/07/2025 09:13</t>
        </is>
      </c>
      <c r="M998" t="inlineStr">
        <is>
          <t>None</t>
        </is>
      </c>
      <c r="N998" t="inlineStr">
        <is>
          <t>&lt;p&gt;&lt;/p&gt;</t>
        </is>
      </c>
      <c r="O998" t="inlineStr"/>
      <c r="P998" t="inlineStr">
        <is>
          <t>4x4 - Isuzu  - D Max  - BT24 YEC</t>
        </is>
      </c>
      <c r="Q998" t="inlineStr">
        <is>
          <t>UKPN</t>
        </is>
      </c>
      <c r="R998" t="b">
        <v>0</v>
      </c>
    </row>
    <row r="999">
      <c r="A999" t="inlineStr">
        <is>
          <t>23 Jul 2025 / Thomas Playford</t>
        </is>
      </c>
      <c r="B999" t="inlineStr">
        <is>
          <t>Utilities &amp; Inland Waterways</t>
        </is>
      </c>
      <c r="C999" t="inlineStr">
        <is>
          <t>UKPN</t>
        </is>
      </c>
      <c r="D999" t="inlineStr">
        <is>
          <t>SA9ST800000283944 , Tow Chipper , Forst , ST8D - Towed</t>
        </is>
      </c>
      <c r="E999" t="inlineStr">
        <is>
          <t>SA9ST800000283944 , Tow Chipper , Forst , ST8D - Towed</t>
        </is>
      </c>
      <c r="F999" t="inlineStr">
        <is>
          <t>SA9ST800000283944 , Tow Chipper , Forst , ST8D - Towed</t>
        </is>
      </c>
      <c r="G999" t="inlineStr">
        <is>
          <t>Jacob Oram</t>
        </is>
      </c>
      <c r="H999" t="inlineStr">
        <is>
          <t>Towed Chipper</t>
        </is>
      </c>
      <c r="I999" t="inlineStr">
        <is>
          <t>Daily/ Weekly Vehicle Inspection</t>
        </is>
      </c>
      <c r="J999" t="inlineStr">
        <is>
          <t>N/A</t>
        </is>
      </c>
      <c r="K999" t="inlineStr">
        <is>
          <t>7995 Contour Landscapes Ltd 2</t>
        </is>
      </c>
      <c r="L999" t="inlineStr">
        <is>
          <t>23/07/2025 09:14</t>
        </is>
      </c>
      <c r="M999" t="inlineStr">
        <is>
          <t>None</t>
        </is>
      </c>
      <c r="N999" t="inlineStr">
        <is>
          <t>&lt;p&gt;&lt;/p&gt;</t>
        </is>
      </c>
      <c r="O999" t="inlineStr"/>
      <c r="P999" t="inlineStr">
        <is>
          <t>SA9ST800000283944 , Tow Chipper , Forst , ST8D - Towed</t>
        </is>
      </c>
      <c r="Q999" t="inlineStr">
        <is>
          <t>UKPN</t>
        </is>
      </c>
      <c r="R999" t="b">
        <v>0</v>
      </c>
    </row>
    <row r="1000">
      <c r="A1000" t="inlineStr">
        <is>
          <t>23 Jul 2025 / Thomas Playford</t>
        </is>
      </c>
      <c r="B1000" t="inlineStr">
        <is>
          <t>Utilities &amp; Inland Waterways</t>
        </is>
      </c>
      <c r="C1000" t="inlineStr">
        <is>
          <t>UKPN</t>
        </is>
      </c>
      <c r="D1000" t="inlineStr">
        <is>
          <t>YP24 WRD , Vehicle , Ford , Ranger</t>
        </is>
      </c>
      <c r="E1000" t="inlineStr">
        <is>
          <t>YP24 WRD , Vehicle , Ford , Ranger</t>
        </is>
      </c>
      <c r="F1000" t="inlineStr">
        <is>
          <t>YP24 WRD , Vehicle , Ford , Ranger</t>
        </is>
      </c>
      <c r="G1000" t="inlineStr">
        <is>
          <t>Jacob Oram</t>
        </is>
      </c>
      <c r="H1000" t="inlineStr">
        <is>
          <t>4x4</t>
        </is>
      </c>
      <c r="I1000" t="inlineStr">
        <is>
          <t>Daily/ Weekly Vehicle Inspection</t>
        </is>
      </c>
      <c r="J1000" t="inlineStr">
        <is>
          <t>N/A</t>
        </is>
      </c>
      <c r="K1000" t="inlineStr">
        <is>
          <t>7995 Contour Landscapes Ltd 2</t>
        </is>
      </c>
      <c r="L1000" t="inlineStr">
        <is>
          <t>23/07/2025 09:14</t>
        </is>
      </c>
      <c r="M1000" t="inlineStr">
        <is>
          <t>None</t>
        </is>
      </c>
      <c r="N1000" t="inlineStr">
        <is>
          <t>&lt;p&gt;&lt;/p&gt;</t>
        </is>
      </c>
      <c r="O1000" t="inlineStr"/>
      <c r="P1000" t="inlineStr">
        <is>
          <t>YP24 WRD , Vehicle , Ford , Ranger</t>
        </is>
      </c>
      <c r="Q1000" t="inlineStr">
        <is>
          <t>UKPN</t>
        </is>
      </c>
      <c r="R1000" t="b">
        <v>0</v>
      </c>
    </row>
    <row r="1001">
      <c r="A1001" t="inlineStr">
        <is>
          <t>24 Jul 2025 / 7940 HRJ Tree Services LTD</t>
        </is>
      </c>
      <c r="B1001" t="inlineStr">
        <is>
          <t>Utilities &amp; Inland Waterways</t>
        </is>
      </c>
      <c r="C1001" t="inlineStr">
        <is>
          <t>UKPN</t>
        </is>
      </c>
      <c r="D1001" t="inlineStr">
        <is>
          <t>Plant Trailer - Indespension - 211717 - 211717</t>
        </is>
      </c>
      <c r="E1001" t="inlineStr">
        <is>
          <t>Plant Trailer - Indespension - 211717 - 211717</t>
        </is>
      </c>
      <c r="F1001" t="inlineStr">
        <is>
          <t>Plant Trailer - Indespension - 211717 - 211717</t>
        </is>
      </c>
      <c r="G1001" t="inlineStr">
        <is>
          <t>Jack Buchan</t>
        </is>
      </c>
      <c r="H1001" t="inlineStr">
        <is>
          <t>Equipment Trailer</t>
        </is>
      </c>
      <c r="I1001" t="inlineStr">
        <is>
          <t>Daily/ Weekly Vehicle Inspection</t>
        </is>
      </c>
      <c r="J1001" t="inlineStr">
        <is>
          <t>N/A</t>
        </is>
      </c>
      <c r="K1001" t="inlineStr">
        <is>
          <t>7940 HRJ Tree Services LTD</t>
        </is>
      </c>
      <c r="L1001" t="inlineStr">
        <is>
          <t>24/07/2025 06:11</t>
        </is>
      </c>
      <c r="M1001" t="inlineStr">
        <is>
          <t>None</t>
        </is>
      </c>
      <c r="N1001" t="inlineStr">
        <is>
          <t>&lt;p&gt;&lt;/p&gt;</t>
        </is>
      </c>
      <c r="O1001" t="inlineStr"/>
      <c r="P1001" t="inlineStr">
        <is>
          <t>Plant Trailer - Indespension - 211717 - 211717</t>
        </is>
      </c>
      <c r="Q1001" t="inlineStr">
        <is>
          <t>UKPN</t>
        </is>
      </c>
      <c r="R1001" t="b">
        <v>0</v>
      </c>
    </row>
    <row r="1002">
      <c r="A1002" t="inlineStr">
        <is>
          <t>24 Jul 2025 / 7940 HRJ Tree Services LTD</t>
        </is>
      </c>
      <c r="B1002" t="inlineStr">
        <is>
          <t>Utilities &amp; Inland Waterways</t>
        </is>
      </c>
      <c r="C1002" t="inlineStr">
        <is>
          <t>UKPN</t>
        </is>
      </c>
      <c r="D1002" t="inlineStr">
        <is>
          <t>Kx65fcp , 4x4 , Izuzu d max  , D max</t>
        </is>
      </c>
      <c r="E1002" t="inlineStr">
        <is>
          <t>Kx65fcp , 4x4 , Izuzu d max  , D max</t>
        </is>
      </c>
      <c r="F1002" t="inlineStr">
        <is>
          <t>Kx65fcp , 4x4 , Izuzu d max  , D max</t>
        </is>
      </c>
      <c r="G1002" t="inlineStr">
        <is>
          <t>Jack Buchan</t>
        </is>
      </c>
      <c r="H1002" t="inlineStr">
        <is>
          <t>4x4</t>
        </is>
      </c>
      <c r="I1002" t="inlineStr">
        <is>
          <t>Daily/ Weekly Vehicle Inspection</t>
        </is>
      </c>
      <c r="J1002" t="inlineStr">
        <is>
          <t>N/A</t>
        </is>
      </c>
      <c r="K1002" t="inlineStr">
        <is>
          <t>7940 HRJ Tree Services LTD</t>
        </is>
      </c>
      <c r="L1002" t="inlineStr">
        <is>
          <t>24/07/2025 06:11</t>
        </is>
      </c>
      <c r="M1002" t="inlineStr">
        <is>
          <t>None</t>
        </is>
      </c>
      <c r="N1002" t="inlineStr">
        <is>
          <t>&lt;p&gt;&lt;/p&gt;</t>
        </is>
      </c>
      <c r="O1002" t="inlineStr"/>
      <c r="P1002" t="inlineStr">
        <is>
          <t>Kx65fcp , 4x4 , Izuzu d max  , D max</t>
        </is>
      </c>
      <c r="Q1002" t="inlineStr">
        <is>
          <t>UKPN</t>
        </is>
      </c>
      <c r="R1002" t="b">
        <v>0</v>
      </c>
    </row>
    <row r="1003">
      <c r="A1003" t="inlineStr">
        <is>
          <t>24 Jul 2025 / 7940 HRJ Tree Services LTD</t>
        </is>
      </c>
      <c r="B1003" t="inlineStr">
        <is>
          <t>Utilities &amp; Inland Waterways</t>
        </is>
      </c>
      <c r="C1003" t="inlineStr">
        <is>
          <t>UKPN</t>
        </is>
      </c>
      <c r="D1003" t="inlineStr">
        <is>
          <t>4x4 - Toyota  - Hilux - LL70GZP</t>
        </is>
      </c>
      <c r="E1003" t="inlineStr">
        <is>
          <t>4x4 - Toyota  - Hilux - LL70GZP</t>
        </is>
      </c>
      <c r="F1003" t="inlineStr">
        <is>
          <t>4x4 - Toyota  - Hilux - LL70GZP</t>
        </is>
      </c>
      <c r="G1003" t="inlineStr">
        <is>
          <t xml:space="preserve">Harry Wilson </t>
        </is>
      </c>
      <c r="H1003" t="inlineStr">
        <is>
          <t>4x4</t>
        </is>
      </c>
      <c r="I1003" t="inlineStr">
        <is>
          <t>Daily/ Weekly Vehicle Inspection</t>
        </is>
      </c>
      <c r="J1003" t="inlineStr">
        <is>
          <t>N/A</t>
        </is>
      </c>
      <c r="K1003" t="inlineStr">
        <is>
          <t>7940 HRJ Tree Services LTD</t>
        </is>
      </c>
      <c r="L1003" t="inlineStr">
        <is>
          <t>24/07/2025 06:12</t>
        </is>
      </c>
      <c r="M1003" t="inlineStr">
        <is>
          <t>None</t>
        </is>
      </c>
      <c r="N1003" t="inlineStr">
        <is>
          <t>&lt;p&gt;&lt;/p&gt;</t>
        </is>
      </c>
      <c r="O1003" t="inlineStr"/>
      <c r="P1003" t="inlineStr">
        <is>
          <t>4x4 - Toyota  - Hilux - LL70GZP</t>
        </is>
      </c>
      <c r="Q1003" t="inlineStr">
        <is>
          <t>UKPN</t>
        </is>
      </c>
      <c r="R1003" t="b">
        <v>0</v>
      </c>
    </row>
    <row r="1004">
      <c r="A1004" t="inlineStr">
        <is>
          <t>24 Jul 2025 / 7186 Eastwoodbury Tree Services Ltd</t>
        </is>
      </c>
      <c r="B1004" t="inlineStr">
        <is>
          <t>Utilities &amp; Inland Waterways</t>
        </is>
      </c>
      <c r="C1004" t="inlineStr">
        <is>
          <t>UKPN</t>
        </is>
      </c>
      <c r="D1004" t="inlineStr">
        <is>
          <t>AO57BPF , 4x4 , Santana  , Ps10</t>
        </is>
      </c>
      <c r="E1004" t="inlineStr">
        <is>
          <t>AO57BPF , 4x4 , Santana  , Ps10</t>
        </is>
      </c>
      <c r="F1004" t="inlineStr">
        <is>
          <t>AO57BPF , 4x4 , Santana  , Ps10</t>
        </is>
      </c>
      <c r="G1004" t="inlineStr">
        <is>
          <t xml:space="preserve">Jay Denkmayer </t>
        </is>
      </c>
      <c r="H1004" t="inlineStr">
        <is>
          <t>4x4</t>
        </is>
      </c>
      <c r="I1004" t="inlineStr">
        <is>
          <t>Daily/ Weekly Vehicle Inspection</t>
        </is>
      </c>
      <c r="J1004" t="inlineStr">
        <is>
          <t>N/A</t>
        </is>
      </c>
      <c r="K1004" t="inlineStr">
        <is>
          <t>7186 Eastwoodbury Tree Services Ltd</t>
        </is>
      </c>
      <c r="L1004" t="inlineStr">
        <is>
          <t>24/07/2025 07:11</t>
        </is>
      </c>
      <c r="M1004" t="inlineStr">
        <is>
          <t>None</t>
        </is>
      </c>
      <c r="N1004" t="inlineStr">
        <is>
          <t>&lt;p&gt;&lt;/p&gt;</t>
        </is>
      </c>
      <c r="O1004" t="inlineStr"/>
      <c r="P1004" t="inlineStr">
        <is>
          <t>AO57BPF , 4x4 , Santana  , Ps10</t>
        </is>
      </c>
      <c r="Q1004" t="inlineStr">
        <is>
          <t>UKPN</t>
        </is>
      </c>
      <c r="R1004" t="b">
        <v>0</v>
      </c>
    </row>
    <row r="1005">
      <c r="A1005" t="inlineStr">
        <is>
          <t>24 Jul 2025 / 7889 Tree Tech Suffolk Ltd</t>
        </is>
      </c>
      <c r="B1005" t="inlineStr">
        <is>
          <t>Utilities &amp; Inland Waterways</t>
        </is>
      </c>
      <c r="C1005" t="inlineStr">
        <is>
          <t>UKPN</t>
        </is>
      </c>
      <c r="D1005" t="inlineStr">
        <is>
          <t>Tow Chipper - Jenson - A530L - 5521063948Tipper - Nissan - Navara - NS02TTS4x4 - Isuzu - D-max - NS03 TTS</t>
        </is>
      </c>
      <c r="E1005" t="inlineStr">
        <is>
          <t>Tow Chipper - Jenson - A530L - 5521063948Tipper - Nissan - Navara - NS02TTS4x4 - Isuzu - D-max - NS03 TTS</t>
        </is>
      </c>
      <c r="F1005" t="inlineStr">
        <is>
          <t>Tow Chipper - Jenson - A530L - 5521063948Tipper - Nissan - Navara - NS02TTS4x4 - Isuzu - D-max - NS03 TTS</t>
        </is>
      </c>
      <c r="G1005" t="inlineStr">
        <is>
          <t xml:space="preserve">Danny Appleby Nikki sparrow Danny Appleby </t>
        </is>
      </c>
      <c r="H1005" t="inlineStr">
        <is>
          <t>Towed ChipperTipper4x4</t>
        </is>
      </c>
      <c r="I1005" t="inlineStr">
        <is>
          <t>Daily/ Weekly Vehicle Inspection</t>
        </is>
      </c>
      <c r="J1005" t="inlineStr">
        <is>
          <t>N/A</t>
        </is>
      </c>
      <c r="K1005" t="inlineStr">
        <is>
          <t>7889 Tree Tech Suffolk Ltd</t>
        </is>
      </c>
      <c r="L1005" t="inlineStr">
        <is>
          <t>24/07/2025 07:12</t>
        </is>
      </c>
      <c r="M1005" t="inlineStr">
        <is>
          <t>None</t>
        </is>
      </c>
      <c r="N1005" t="inlineStr">
        <is>
          <t>&lt;p&gt;&lt;/p&gt;</t>
        </is>
      </c>
      <c r="O1005" t="inlineStr">
        <is>
          <t>Confirm that you have checked this vehicle as per the guidance document and the vehicle is safe and roadworthy:Swapped tyres round on rims. Outer edge now worn
-Select Vehicle:KX65 FCZ</t>
        </is>
      </c>
      <c r="P1005" t="inlineStr">
        <is>
          <t>Tow Chipper - Jenson - A530L - 5521063948Tipper - Nissan - Navara - NS02TTS4x4 - Isuzu - D-max - NS03 TTS</t>
        </is>
      </c>
      <c r="Q1005" t="inlineStr">
        <is>
          <t>UKPN</t>
        </is>
      </c>
      <c r="R1005" t="b">
        <v>0</v>
      </c>
    </row>
    <row r="1006">
      <c r="A1006" t="inlineStr">
        <is>
          <t>24 Jul 2025 / 7186 Eastwoodbury Tree Services Ltd</t>
        </is>
      </c>
      <c r="B1006" t="inlineStr">
        <is>
          <t>Utilities &amp; Inland Waterways</t>
        </is>
      </c>
      <c r="C1006" t="inlineStr">
        <is>
          <t>UKPN</t>
        </is>
      </c>
      <c r="D1006" t="inlineStr">
        <is>
          <t>FN600XM , 4x4 , Land Rover  , Defender</t>
        </is>
      </c>
      <c r="E1006" t="inlineStr">
        <is>
          <t>FN600XM , 4x4 , Land Rover  , Defender</t>
        </is>
      </c>
      <c r="F1006" t="inlineStr">
        <is>
          <t>FN600XM , 4x4 , Land Rover  , Defender</t>
        </is>
      </c>
      <c r="G1006" t="inlineStr">
        <is>
          <t xml:space="preserve">Dan Gilbert </t>
        </is>
      </c>
      <c r="H1006" t="inlineStr">
        <is>
          <t>4x4</t>
        </is>
      </c>
      <c r="I1006" t="inlineStr">
        <is>
          <t>Daily/ Weekly Vehicle Inspection</t>
        </is>
      </c>
      <c r="J1006" t="inlineStr">
        <is>
          <t>N/A</t>
        </is>
      </c>
      <c r="K1006" t="inlineStr">
        <is>
          <t>7186 Eastwoodbury Tree Services Ltd</t>
        </is>
      </c>
      <c r="L1006" t="inlineStr">
        <is>
          <t>24/07/2025 07:12</t>
        </is>
      </c>
      <c r="M1006" t="inlineStr">
        <is>
          <t>None</t>
        </is>
      </c>
      <c r="N1006" t="inlineStr">
        <is>
          <t>&lt;p&gt;&lt;/p&gt;</t>
        </is>
      </c>
      <c r="O1006" t="inlineStr"/>
      <c r="P1006" t="inlineStr">
        <is>
          <t>FN600XM , 4x4 , Land Rover  , Defender</t>
        </is>
      </c>
      <c r="Q1006" t="inlineStr">
        <is>
          <t>UKPN</t>
        </is>
      </c>
      <c r="R1006" t="b">
        <v>0</v>
      </c>
    </row>
    <row r="1007">
      <c r="A1007" t="inlineStr">
        <is>
          <t>24 Jul 2025 / 7951 Austin Tree Care LTD</t>
        </is>
      </c>
      <c r="B1007" t="inlineStr">
        <is>
          <t>Utilities &amp; Inland Waterways</t>
        </is>
      </c>
      <c r="C1007" t="inlineStr">
        <is>
          <t>UKPN</t>
        </is>
      </c>
      <c r="D1007" t="inlineStr">
        <is>
          <t>Kn58xuy , Tipper , VW  , Crafter</t>
        </is>
      </c>
      <c r="E1007" t="inlineStr">
        <is>
          <t>Kn58xuy , Tipper , VW  , Crafter</t>
        </is>
      </c>
      <c r="F1007" t="inlineStr">
        <is>
          <t>Kn58xuy , Tipper , VW  , Crafter</t>
        </is>
      </c>
      <c r="G1007" t="inlineStr">
        <is>
          <t>Jack Austin</t>
        </is>
      </c>
      <c r="H1007" t="inlineStr">
        <is>
          <t>Tipper</t>
        </is>
      </c>
      <c r="I1007" t="inlineStr">
        <is>
          <t>Daily/ Weekly Vehicle Inspection</t>
        </is>
      </c>
      <c r="J1007" t="inlineStr">
        <is>
          <t>N/A</t>
        </is>
      </c>
      <c r="K1007" t="inlineStr">
        <is>
          <t>7951 Austin Tree Care LTD</t>
        </is>
      </c>
      <c r="L1007" t="inlineStr">
        <is>
          <t>24/07/2025 08:12</t>
        </is>
      </c>
      <c r="M1007" t="inlineStr">
        <is>
          <t>None</t>
        </is>
      </c>
      <c r="N1007" t="inlineStr">
        <is>
          <t>&lt;p&gt;&lt;/p&gt;</t>
        </is>
      </c>
      <c r="O1007" t="inlineStr"/>
      <c r="P1007" t="inlineStr">
        <is>
          <t>Kn58xuy , Tipper , VW  , Crafter</t>
        </is>
      </c>
      <c r="Q1007" t="inlineStr">
        <is>
          <t>UKPN</t>
        </is>
      </c>
      <c r="R1007" t="b">
        <v>0</v>
      </c>
    </row>
    <row r="1008">
      <c r="A1008" t="inlineStr">
        <is>
          <t>24 Jul 2025 / 6617 Ashdown Tree Limited 1</t>
        </is>
      </c>
      <c r="B1008" t="inlineStr">
        <is>
          <t>Utilities &amp; Inland Waterways</t>
        </is>
      </c>
      <c r="C1008" t="inlineStr">
        <is>
          <t>UKPN</t>
        </is>
      </c>
      <c r="D1008" t="inlineStr">
        <is>
          <t>SBXTW35A6LS209184 , Tow Chipper , Timberwolf , TW230DHB</t>
        </is>
      </c>
      <c r="E1008" t="inlineStr">
        <is>
          <t>SBXTW35A6LS209184 , Tow Chipper , Timberwolf , TW230DHB</t>
        </is>
      </c>
      <c r="F1008" t="inlineStr">
        <is>
          <t>SBXTW35A6LS209184 , Tow Chipper , Timberwolf , TW230DHB</t>
        </is>
      </c>
      <c r="G1008" t="inlineStr">
        <is>
          <t xml:space="preserve">Francislesser </t>
        </is>
      </c>
      <c r="H1008" t="inlineStr">
        <is>
          <t>Towed Chipper</t>
        </is>
      </c>
      <c r="I1008" t="inlineStr">
        <is>
          <t>Daily/ Weekly Vehicle Inspection</t>
        </is>
      </c>
      <c r="J1008" t="inlineStr">
        <is>
          <t>N/A</t>
        </is>
      </c>
      <c r="K1008" t="inlineStr">
        <is>
          <t>6617 Ashdown Tree Limited 1</t>
        </is>
      </c>
      <c r="L1008" t="inlineStr">
        <is>
          <t>24/07/2025 08:13</t>
        </is>
      </c>
      <c r="M1008" t="inlineStr">
        <is>
          <t>None</t>
        </is>
      </c>
      <c r="N1008" t="inlineStr">
        <is>
          <t>&lt;p&gt;&lt;/p&gt;</t>
        </is>
      </c>
      <c r="O1008" t="inlineStr"/>
      <c r="P1008" t="inlineStr">
        <is>
          <t>SBXTW35A6LS209184 , Tow Chipper , Timberwolf , TW230DHB</t>
        </is>
      </c>
      <c r="Q1008" t="inlineStr">
        <is>
          <t>UKPN</t>
        </is>
      </c>
      <c r="R1008" t="b">
        <v>0</v>
      </c>
    </row>
    <row r="1009">
      <c r="A1009" t="inlineStr">
        <is>
          <t>24 Jul 2025 / 6617 Ashdown Tree Limited 1</t>
        </is>
      </c>
      <c r="B1009" t="inlineStr">
        <is>
          <t>Utilities &amp; Inland Waterways</t>
        </is>
      </c>
      <c r="C1009" t="inlineStr">
        <is>
          <t>UKPN</t>
        </is>
      </c>
      <c r="D1009" t="inlineStr">
        <is>
          <t>GU11LKD , 4x4 , Land Rover , Defender</t>
        </is>
      </c>
      <c r="E1009" t="inlineStr">
        <is>
          <t>GU11LKD , 4x4 , Land Rover , Defender</t>
        </is>
      </c>
      <c r="F1009" t="inlineStr">
        <is>
          <t>GU11LKD , 4x4 , Land Rover , Defender</t>
        </is>
      </c>
      <c r="G1009" t="inlineStr">
        <is>
          <t xml:space="preserve">Francislesser </t>
        </is>
      </c>
      <c r="H1009" t="inlineStr">
        <is>
          <t>4x4</t>
        </is>
      </c>
      <c r="I1009" t="inlineStr">
        <is>
          <t>Daily/ Weekly Vehicle Inspection</t>
        </is>
      </c>
      <c r="J1009" t="inlineStr">
        <is>
          <t>N/A</t>
        </is>
      </c>
      <c r="K1009" t="inlineStr">
        <is>
          <t>6617 Ashdown Tree Limited 1</t>
        </is>
      </c>
      <c r="L1009" t="inlineStr">
        <is>
          <t>24/07/2025 08:13</t>
        </is>
      </c>
      <c r="M1009" t="inlineStr">
        <is>
          <t>None</t>
        </is>
      </c>
      <c r="N1009" t="inlineStr">
        <is>
          <t>&lt;p&gt;&lt;/p&gt;</t>
        </is>
      </c>
      <c r="O1009" t="inlineStr"/>
      <c r="P1009" t="inlineStr">
        <is>
          <t>GU11LKD , 4x4 , Land Rover , Defender</t>
        </is>
      </c>
      <c r="Q1009" t="inlineStr">
        <is>
          <t>UKPN</t>
        </is>
      </c>
      <c r="R1009" t="b">
        <v>0</v>
      </c>
    </row>
    <row r="1010">
      <c r="A1010" t="inlineStr">
        <is>
          <t>24 Jul 2025 / 3098 D &amp; R Landscapes (PEND Arb Rail)</t>
        </is>
      </c>
      <c r="B1010" t="inlineStr">
        <is>
          <t>Utilities &amp; Inland Waterways</t>
        </is>
      </c>
      <c r="C1010" t="inlineStr">
        <is>
          <t>UKPN</t>
        </is>
      </c>
      <c r="D1010" t="inlineStr">
        <is>
          <t>DE68XHA , Tipper , Isuzu , Grafter</t>
        </is>
      </c>
      <c r="E1010" t="inlineStr">
        <is>
          <t>DE68XHA , Tipper , Isuzu , Grafter</t>
        </is>
      </c>
      <c r="F1010" t="inlineStr">
        <is>
          <t>DE68XHA , Tipper , Isuzu , Grafter</t>
        </is>
      </c>
      <c r="G1010" t="inlineStr">
        <is>
          <t xml:space="preserve">Rob </t>
        </is>
      </c>
      <c r="H1010" t="inlineStr">
        <is>
          <t>Tipper</t>
        </is>
      </c>
      <c r="I1010" t="inlineStr">
        <is>
          <t>Daily/ Weekly Vehicle Inspection</t>
        </is>
      </c>
      <c r="J1010" t="inlineStr">
        <is>
          <t>N/A</t>
        </is>
      </c>
      <c r="K1010" t="inlineStr">
        <is>
          <t>3098 D &amp; R Landscapes (PEND Arb Rail)</t>
        </is>
      </c>
      <c r="L1010" t="inlineStr">
        <is>
          <t>24/07/2025 08:14</t>
        </is>
      </c>
      <c r="M1010" t="inlineStr">
        <is>
          <t>None</t>
        </is>
      </c>
      <c r="N1010" t="inlineStr">
        <is>
          <t>&lt;p&gt;&lt;/p&gt;</t>
        </is>
      </c>
      <c r="O1010" t="inlineStr"/>
      <c r="P1010" t="inlineStr">
        <is>
          <t>DE68XHA , Tipper , Isuzu , Grafter</t>
        </is>
      </c>
      <c r="Q1010" t="inlineStr">
        <is>
          <t>UKPN</t>
        </is>
      </c>
      <c r="R1010" t="b">
        <v>0</v>
      </c>
    </row>
    <row r="1011">
      <c r="A1011" t="inlineStr">
        <is>
          <t>24 Jul 2025 / 3098 D &amp; R Landscapes (PEND Arb Rail)</t>
        </is>
      </c>
      <c r="B1011" t="inlineStr">
        <is>
          <t>Utilities &amp; Inland Waterways</t>
        </is>
      </c>
      <c r="C1011" t="inlineStr">
        <is>
          <t>UKPN</t>
        </is>
      </c>
      <c r="D1011" t="inlineStr">
        <is>
          <t>WA13ZZK , 4x4 , Land Rover  , Defender</t>
        </is>
      </c>
      <c r="E1011" t="inlineStr">
        <is>
          <t>WA13ZZK , 4x4 , Land Rover  , Defender</t>
        </is>
      </c>
      <c r="F1011" t="inlineStr">
        <is>
          <t>WA13ZZK , 4x4 , Land Rover  , Defender</t>
        </is>
      </c>
      <c r="G1011" t="inlineStr">
        <is>
          <t xml:space="preserve">Dylan </t>
        </is>
      </c>
      <c r="H1011" t="inlineStr">
        <is>
          <t>4x4</t>
        </is>
      </c>
      <c r="I1011" t="inlineStr">
        <is>
          <t>Daily/ Weekly Vehicle Inspection</t>
        </is>
      </c>
      <c r="J1011" t="inlineStr">
        <is>
          <t>N/A</t>
        </is>
      </c>
      <c r="K1011" t="inlineStr">
        <is>
          <t>3098 D &amp; R Landscapes (PEND Arb Rail)</t>
        </is>
      </c>
      <c r="L1011" t="inlineStr">
        <is>
          <t>24/07/2025 08:15</t>
        </is>
      </c>
      <c r="M1011" t="inlineStr">
        <is>
          <t>None</t>
        </is>
      </c>
      <c r="N1011" t="inlineStr">
        <is>
          <t>&lt;p&gt;&lt;/p&gt;</t>
        </is>
      </c>
      <c r="O1011" t="inlineStr"/>
      <c r="P1011" t="inlineStr">
        <is>
          <t>WA13ZZK , 4x4 , Land Rover  , Defender</t>
        </is>
      </c>
      <c r="Q1011" t="inlineStr">
        <is>
          <t>UKPN</t>
        </is>
      </c>
      <c r="R1011" t="b">
        <v>0</v>
      </c>
    </row>
    <row r="1012">
      <c r="A1012" t="inlineStr">
        <is>
          <t>24 Jul 2025 / 7806 Optimum Tree Services Ltd</t>
        </is>
      </c>
      <c r="B1012" t="inlineStr">
        <is>
          <t>Utilities &amp; Inland Waterways</t>
        </is>
      </c>
      <c r="C1012" t="inlineStr">
        <is>
          <t>UKPN</t>
        </is>
      </c>
      <c r="D1012" t="inlineStr">
        <is>
          <t>SA9ST800000283069 , Chipper , Forst , ST 6P</t>
        </is>
      </c>
      <c r="E1012" t="inlineStr">
        <is>
          <t>SA9ST800000283069 , Chipper , Forst , ST 6P</t>
        </is>
      </c>
      <c r="F1012" t="inlineStr">
        <is>
          <t>SA9ST800000283069 , Chipper , Forst , ST 6P</t>
        </is>
      </c>
      <c r="G1012" t="inlineStr">
        <is>
          <t xml:space="preserve">Abraham Davies </t>
        </is>
      </c>
      <c r="H1012" t="inlineStr">
        <is>
          <t>Towed Chipper</t>
        </is>
      </c>
      <c r="I1012" t="inlineStr">
        <is>
          <t>Daily/ Weekly Vehicle Inspection</t>
        </is>
      </c>
      <c r="J1012" t="inlineStr">
        <is>
          <t>N/A</t>
        </is>
      </c>
      <c r="K1012" t="inlineStr">
        <is>
          <t>7806 Optimum Tree Services Ltd</t>
        </is>
      </c>
      <c r="L1012" t="inlineStr">
        <is>
          <t>24/07/2025 08:17</t>
        </is>
      </c>
      <c r="M1012" t="inlineStr">
        <is>
          <t>None</t>
        </is>
      </c>
      <c r="N1012" t="inlineStr">
        <is>
          <t>&lt;p&gt;&lt;/p&gt;</t>
        </is>
      </c>
      <c r="O1012" t="inlineStr"/>
      <c r="P1012" t="inlineStr">
        <is>
          <t>SA9ST800000283069 , Chipper , Forst , ST 6P</t>
        </is>
      </c>
      <c r="Q1012" t="inlineStr">
        <is>
          <t>UKPN</t>
        </is>
      </c>
      <c r="R1012" t="b">
        <v>0</v>
      </c>
    </row>
    <row r="1013">
      <c r="A1013" t="inlineStr">
        <is>
          <t>24 Jul 2025 / 7806 Optimum Tree Services Ltd</t>
        </is>
      </c>
      <c r="B1013" t="inlineStr">
        <is>
          <t>Utilities &amp; Inland Waterways</t>
        </is>
      </c>
      <c r="C1013" t="inlineStr">
        <is>
          <t>UKPN</t>
        </is>
      </c>
      <c r="D1013" t="inlineStr">
        <is>
          <t>WD14EVB , MEWP , Land Rover , Defender</t>
        </is>
      </c>
      <c r="E1013" t="inlineStr">
        <is>
          <t>WD14EVB , MEWP , Land Rover , Defender</t>
        </is>
      </c>
      <c r="F1013" t="inlineStr">
        <is>
          <t>WD14EVB , MEWP , Land Rover , Defender</t>
        </is>
      </c>
      <c r="G1013" t="inlineStr">
        <is>
          <t xml:space="preserve">Abraham Davies </t>
        </is>
      </c>
      <c r="H1013" t="inlineStr">
        <is>
          <t>4x4</t>
        </is>
      </c>
      <c r="I1013" t="inlineStr">
        <is>
          <t>Daily/ Weekly Vehicle Inspection</t>
        </is>
      </c>
      <c r="J1013" t="inlineStr">
        <is>
          <t>N/A</t>
        </is>
      </c>
      <c r="K1013" t="inlineStr">
        <is>
          <t>7806 Optimum Tree Services Ltd</t>
        </is>
      </c>
      <c r="L1013" t="inlineStr">
        <is>
          <t>24/07/2025 08:18</t>
        </is>
      </c>
      <c r="M1013" t="inlineStr">
        <is>
          <t>None</t>
        </is>
      </c>
      <c r="N1013" t="inlineStr">
        <is>
          <t>&lt;p&gt;&lt;/p&gt;</t>
        </is>
      </c>
      <c r="O1013" t="inlineStr"/>
      <c r="P1013" t="inlineStr">
        <is>
          <t>WD14EVB , MEWP , Land Rover , Defender</t>
        </is>
      </c>
      <c r="Q1013" t="inlineStr">
        <is>
          <t>UKPN</t>
        </is>
      </c>
      <c r="R1013" t="b">
        <v>0</v>
      </c>
    </row>
    <row r="1014">
      <c r="A1014" t="inlineStr">
        <is>
          <t>24 Jul 2025 / Thomas Playford</t>
        </is>
      </c>
      <c r="B1014" t="inlineStr">
        <is>
          <t>Utilities &amp; Inland Waterways</t>
        </is>
      </c>
      <c r="C1014" t="inlineStr">
        <is>
          <t>UKPN</t>
        </is>
      </c>
      <c r="D1014" t="inlineStr">
        <is>
          <t>SA9ST800000283944 , Tow Chipper , Forst , ST8D - Towed</t>
        </is>
      </c>
      <c r="E1014" t="inlineStr">
        <is>
          <t>SA9ST800000283944 , Tow Chipper , Forst , ST8D - Towed</t>
        </is>
      </c>
      <c r="F1014" t="inlineStr">
        <is>
          <t>SA9ST800000283944 , Tow Chipper , Forst , ST8D - Towed</t>
        </is>
      </c>
      <c r="G1014" t="inlineStr">
        <is>
          <t>Jacob Oram</t>
        </is>
      </c>
      <c r="H1014" t="inlineStr">
        <is>
          <t>Towed Chipper</t>
        </is>
      </c>
      <c r="I1014" t="inlineStr">
        <is>
          <t>Daily/ Weekly Vehicle Inspection</t>
        </is>
      </c>
      <c r="J1014" t="inlineStr">
        <is>
          <t>N/A</t>
        </is>
      </c>
      <c r="K1014" t="inlineStr">
        <is>
          <t>7995 Contour Landscapes Ltd 2</t>
        </is>
      </c>
      <c r="L1014" t="inlineStr">
        <is>
          <t>24/07/2025 08:18</t>
        </is>
      </c>
      <c r="M1014" t="inlineStr">
        <is>
          <t>None</t>
        </is>
      </c>
      <c r="N1014" t="inlineStr">
        <is>
          <t>&lt;p&gt;&lt;/p&gt;</t>
        </is>
      </c>
      <c r="O1014" t="inlineStr"/>
      <c r="P1014" t="inlineStr">
        <is>
          <t>SA9ST800000283944 , Tow Chipper , Forst , ST8D - Towed</t>
        </is>
      </c>
      <c r="Q1014" t="inlineStr">
        <is>
          <t>UKPN</t>
        </is>
      </c>
      <c r="R1014" t="b">
        <v>0</v>
      </c>
    </row>
    <row r="1015">
      <c r="A1015" t="inlineStr">
        <is>
          <t>24 Jul 2025 / Thomas Playford</t>
        </is>
      </c>
      <c r="B1015" t="inlineStr">
        <is>
          <t>Utilities &amp; Inland Waterways</t>
        </is>
      </c>
      <c r="C1015" t="inlineStr">
        <is>
          <t>UKPN</t>
        </is>
      </c>
      <c r="D1015" t="inlineStr">
        <is>
          <t>YP24 WRD , Vehicle , Ford , Ranger</t>
        </is>
      </c>
      <c r="E1015" t="inlineStr">
        <is>
          <t>YP24 WRD , Vehicle , Ford , Ranger</t>
        </is>
      </c>
      <c r="F1015" t="inlineStr">
        <is>
          <t>YP24 WRD , Vehicle , Ford , Ranger</t>
        </is>
      </c>
      <c r="G1015" t="inlineStr">
        <is>
          <t>Jacob Oram</t>
        </is>
      </c>
      <c r="H1015" t="inlineStr">
        <is>
          <t>4x4</t>
        </is>
      </c>
      <c r="I1015" t="inlineStr">
        <is>
          <t>Daily/ Weekly Vehicle Inspection</t>
        </is>
      </c>
      <c r="J1015" t="inlineStr">
        <is>
          <t>N/A</t>
        </is>
      </c>
      <c r="K1015" t="inlineStr">
        <is>
          <t>7995 Contour Landscapes Ltd 2</t>
        </is>
      </c>
      <c r="L1015" t="inlineStr">
        <is>
          <t>24/07/2025 08:19</t>
        </is>
      </c>
      <c r="M1015" t="inlineStr">
        <is>
          <t>None</t>
        </is>
      </c>
      <c r="N1015" t="inlineStr">
        <is>
          <t>&lt;p&gt;&lt;/p&gt;</t>
        </is>
      </c>
      <c r="O1015" t="inlineStr"/>
      <c r="P1015" t="inlineStr">
        <is>
          <t>YP24 WRD , Vehicle , Ford , Ranger</t>
        </is>
      </c>
      <c r="Q1015" t="inlineStr">
        <is>
          <t>UKPN</t>
        </is>
      </c>
      <c r="R1015" t="b">
        <v>0</v>
      </c>
    </row>
    <row r="1016">
      <c r="A1016" t="inlineStr">
        <is>
          <t>24 Jul 2025 / 7996 M G Tree Surgery Ltd</t>
        </is>
      </c>
      <c r="B1016" t="inlineStr">
        <is>
          <t>Utilities &amp; Inland Waterways</t>
        </is>
      </c>
      <c r="C1016" t="inlineStr">
        <is>
          <t>UKPN</t>
        </is>
      </c>
      <c r="D1016" t="inlineStr">
        <is>
          <t>GU13 WNL , MEWP , Land Rover , Defender 130</t>
        </is>
      </c>
      <c r="E1016" t="inlineStr">
        <is>
          <t>GU13 WNL , MEWP , Land Rover , Defender 130</t>
        </is>
      </c>
      <c r="F1016" t="inlineStr">
        <is>
          <t>GU13 WNL , MEWP , Land Rover , Defender 130</t>
        </is>
      </c>
      <c r="G1016" t="inlineStr">
        <is>
          <t>Max</t>
        </is>
      </c>
      <c r="H1016" t="inlineStr">
        <is>
          <t>4x4</t>
        </is>
      </c>
      <c r="I1016" t="inlineStr">
        <is>
          <t>Daily/ Weekly Vehicle Inspection</t>
        </is>
      </c>
      <c r="J1016" t="inlineStr">
        <is>
          <t>N/A</t>
        </is>
      </c>
      <c r="K1016" t="inlineStr">
        <is>
          <t>7996 M G Tree Surgery Ltd</t>
        </is>
      </c>
      <c r="L1016" t="inlineStr">
        <is>
          <t>24/07/2025 08:20</t>
        </is>
      </c>
      <c r="M1016" t="inlineStr">
        <is>
          <t>None</t>
        </is>
      </c>
      <c r="N1016" t="inlineStr">
        <is>
          <t>&lt;p&gt;&lt;/p&gt;</t>
        </is>
      </c>
      <c r="O1016" t="inlineStr"/>
      <c r="P1016" t="inlineStr">
        <is>
          <t>GU13 WNL , MEWP , Land Rover , Defender 130</t>
        </is>
      </c>
      <c r="Q1016" t="inlineStr">
        <is>
          <t>UKPN</t>
        </is>
      </c>
      <c r="R1016" t="b">
        <v>0</v>
      </c>
    </row>
    <row r="1017">
      <c r="A1017" t="inlineStr">
        <is>
          <t>24 Jul 2025 / Anthony Gale</t>
        </is>
      </c>
      <c r="B1017" t="inlineStr">
        <is>
          <t>Utilities &amp; Inland Waterways</t>
        </is>
      </c>
      <c r="C1017" t="inlineStr">
        <is>
          <t>UKPN</t>
        </is>
      </c>
      <c r="D1017" t="inlineStr">
        <is>
          <t>PE07 HGL , Vehicle , Mitsubishi , L200 K74</t>
        </is>
      </c>
      <c r="E1017" t="inlineStr">
        <is>
          <t>PE07 HGL , Vehicle , Mitsubishi , L200 K74</t>
        </is>
      </c>
      <c r="F1017" t="inlineStr">
        <is>
          <t>PE07 HGL , Vehicle , Mitsubishi , L200 K74</t>
        </is>
      </c>
      <c r="G1017" t="inlineStr">
        <is>
          <t>Anthony Gale</t>
        </is>
      </c>
      <c r="H1017" t="inlineStr">
        <is>
          <t>Pickup Truck</t>
        </is>
      </c>
      <c r="I1017" t="inlineStr">
        <is>
          <t>Daily/ Weekly Vehicle Inspection</t>
        </is>
      </c>
      <c r="J1017" t="inlineStr">
        <is>
          <t>N/A</t>
        </is>
      </c>
      <c r="K1017" t="inlineStr">
        <is>
          <t>7996 M G Tree Surgery Ltd 1</t>
        </is>
      </c>
      <c r="L1017" t="inlineStr">
        <is>
          <t>24/07/2025 08:20</t>
        </is>
      </c>
      <c r="M1017" t="inlineStr">
        <is>
          <t>None</t>
        </is>
      </c>
      <c r="N1017" t="inlineStr">
        <is>
          <t>&lt;p&gt;&lt;/p&gt;</t>
        </is>
      </c>
      <c r="O1017" t="inlineStr"/>
      <c r="P1017" t="inlineStr">
        <is>
          <t>PE07 HGL , Vehicle , Mitsubishi , L200 K74</t>
        </is>
      </c>
      <c r="Q1017" t="inlineStr">
        <is>
          <t>UKPN</t>
        </is>
      </c>
      <c r="R1017" t="b">
        <v>0</v>
      </c>
    </row>
    <row r="1018">
      <c r="A1018" t="inlineStr">
        <is>
          <t>25 Jul 2025 / Anthony Gale</t>
        </is>
      </c>
      <c r="B1018" t="inlineStr">
        <is>
          <t>Utilities &amp; Inland Waterways</t>
        </is>
      </c>
      <c r="C1018" t="inlineStr">
        <is>
          <t>UKPN</t>
        </is>
      </c>
      <c r="D1018" t="inlineStr">
        <is>
          <t>PE07 HGL , Vehicle , Mitsubishi , L200 K74</t>
        </is>
      </c>
      <c r="E1018" t="inlineStr">
        <is>
          <t>PE07 HGL , Vehicle , Mitsubishi , L200 K74</t>
        </is>
      </c>
      <c r="F1018" t="inlineStr">
        <is>
          <t>PE07 HGL , Vehicle , Mitsubishi , L200 K74</t>
        </is>
      </c>
      <c r="G1018" t="inlineStr">
        <is>
          <t>Anthony Gale</t>
        </is>
      </c>
      <c r="H1018" t="inlineStr">
        <is>
          <t>Pickup Truck</t>
        </is>
      </c>
      <c r="I1018" t="inlineStr">
        <is>
          <t>Daily/ Weekly Vehicle Inspection</t>
        </is>
      </c>
      <c r="J1018" t="inlineStr">
        <is>
          <t>N/A</t>
        </is>
      </c>
      <c r="K1018" t="inlineStr">
        <is>
          <t>7996 M G Tree Surgery Ltd 1</t>
        </is>
      </c>
      <c r="L1018" t="inlineStr">
        <is>
          <t>25/07/2025 07:12</t>
        </is>
      </c>
      <c r="M1018" t="inlineStr">
        <is>
          <t>None</t>
        </is>
      </c>
      <c r="N1018" t="inlineStr">
        <is>
          <t>&lt;p&gt;&lt;/p&gt;</t>
        </is>
      </c>
      <c r="O1018" t="inlineStr"/>
      <c r="P1018" t="inlineStr">
        <is>
          <t>PE07 HGL , Vehicle , Mitsubishi , L200 K74</t>
        </is>
      </c>
      <c r="Q1018" t="inlineStr">
        <is>
          <t>UKPN</t>
        </is>
      </c>
      <c r="R1018" t="b">
        <v>0</v>
      </c>
    </row>
    <row r="1019">
      <c r="A1019" t="inlineStr">
        <is>
          <t>25 Jul 2025 / 7186 Eastwoodbury Tree Services Ltd</t>
        </is>
      </c>
      <c r="B1019" t="inlineStr">
        <is>
          <t>Utilities &amp; Inland Waterways</t>
        </is>
      </c>
      <c r="C1019" t="inlineStr">
        <is>
          <t>UKPN</t>
        </is>
      </c>
      <c r="D1019" t="inlineStr">
        <is>
          <t>AO57BPF , 4x4 , Santana  , Ps10</t>
        </is>
      </c>
      <c r="E1019" t="inlineStr">
        <is>
          <t>AO57BPF , 4x4 , Santana  , Ps10</t>
        </is>
      </c>
      <c r="F1019" t="inlineStr">
        <is>
          <t>AO57BPF , 4x4 , Santana  , Ps10</t>
        </is>
      </c>
      <c r="G1019" t="inlineStr">
        <is>
          <t xml:space="preserve">Jay Denkmayer </t>
        </is>
      </c>
      <c r="H1019" t="inlineStr">
        <is>
          <t>4x4</t>
        </is>
      </c>
      <c r="I1019" t="inlineStr">
        <is>
          <t>Daily/ Weekly Vehicle Inspection</t>
        </is>
      </c>
      <c r="J1019" t="inlineStr">
        <is>
          <t>N/A</t>
        </is>
      </c>
      <c r="K1019" t="inlineStr">
        <is>
          <t>7186 Eastwoodbury Tree Services Ltd</t>
        </is>
      </c>
      <c r="L1019" t="inlineStr">
        <is>
          <t>25/07/2025 07:13</t>
        </is>
      </c>
      <c r="M1019" t="inlineStr">
        <is>
          <t>None</t>
        </is>
      </c>
      <c r="N1019" t="inlineStr">
        <is>
          <t>&lt;p&gt;&lt;/p&gt;</t>
        </is>
      </c>
      <c r="O1019" t="inlineStr"/>
      <c r="P1019" t="inlineStr">
        <is>
          <t>AO57BPF , 4x4 , Santana  , Ps10</t>
        </is>
      </c>
      <c r="Q1019" t="inlineStr">
        <is>
          <t>UKPN</t>
        </is>
      </c>
      <c r="R1019" t="b">
        <v>0</v>
      </c>
    </row>
    <row r="1020">
      <c r="A1020" t="inlineStr">
        <is>
          <t>25 Jul 2025 / 7889 Tree Tech Suffolk Ltd</t>
        </is>
      </c>
      <c r="B1020" t="inlineStr">
        <is>
          <t>Utilities &amp; Inland Waterways</t>
        </is>
      </c>
      <c r="C1020" t="inlineStr">
        <is>
          <t>UKPN</t>
        </is>
      </c>
      <c r="D1020" t="inlineStr">
        <is>
          <t>Tow Chipper - Jenson - A530L - 5521063948Tipper - Nissan - Navara - NS02TTS4x4 - Isuzu - D-max - NS03 TTS</t>
        </is>
      </c>
      <c r="E1020" t="inlineStr">
        <is>
          <t>Tow Chipper - Jenson - A530L - 5521063948Tipper - Nissan - Navara - NS02TTS4x4 - Isuzu - D-max - NS03 TTS</t>
        </is>
      </c>
      <c r="F1020" t="inlineStr">
        <is>
          <t>Tow Chipper - Jenson - A530L - 5521063948Tipper - Nissan - Navara - NS02TTS4x4 - Isuzu - D-max - NS03 TTS</t>
        </is>
      </c>
      <c r="G1020" t="inlineStr">
        <is>
          <t xml:space="preserve">Danny Appleby Nikki sparrow Danny Appleby </t>
        </is>
      </c>
      <c r="H1020" t="inlineStr">
        <is>
          <t>Towed ChipperTipper4x4</t>
        </is>
      </c>
      <c r="I1020" t="inlineStr">
        <is>
          <t>Daily/ Weekly Vehicle Inspection</t>
        </is>
      </c>
      <c r="J1020" t="inlineStr">
        <is>
          <t>N/A</t>
        </is>
      </c>
      <c r="K1020" t="inlineStr">
        <is>
          <t>7889 Tree Tech Suffolk Ltd</t>
        </is>
      </c>
      <c r="L1020" t="inlineStr">
        <is>
          <t>25/07/2025 07:14</t>
        </is>
      </c>
      <c r="M1020" t="inlineStr">
        <is>
          <t>None</t>
        </is>
      </c>
      <c r="N1020" t="inlineStr">
        <is>
          <t>&lt;p&gt;&lt;/p&gt;</t>
        </is>
      </c>
      <c r="O1020" t="inlineStr">
        <is>
          <t>Confirm that you have checked this vehicle as per the guidance document and the vehicle is safe and roadworthy:Swapped tyres round on rims. Outer edge now worn
-Select Vehicle:KX65 FCZ</t>
        </is>
      </c>
      <c r="P1020" t="inlineStr">
        <is>
          <t>Tow Chipper - Jenson - A530L - 5521063948Tipper - Nissan - Navara - NS02TTS4x4 - Isuzu - D-max - NS03 TTS</t>
        </is>
      </c>
      <c r="Q1020" t="inlineStr">
        <is>
          <t>UKPN</t>
        </is>
      </c>
      <c r="R1020" t="b">
        <v>0</v>
      </c>
    </row>
    <row r="1021">
      <c r="A1021" t="inlineStr">
        <is>
          <t>25 Jul 2025 / 7186 Eastwoodbury Tree Services Ltd</t>
        </is>
      </c>
      <c r="B1021" t="inlineStr">
        <is>
          <t>Utilities &amp; Inland Waterways</t>
        </is>
      </c>
      <c r="C1021" t="inlineStr">
        <is>
          <t>UKPN</t>
        </is>
      </c>
      <c r="D1021" t="inlineStr">
        <is>
          <t>FN600XM , 4x4 , Land Rover  , Defender</t>
        </is>
      </c>
      <c r="E1021" t="inlineStr">
        <is>
          <t>FN600XM , 4x4 , Land Rover  , Defender</t>
        </is>
      </c>
      <c r="F1021" t="inlineStr">
        <is>
          <t>FN600XM , 4x4 , Land Rover  , Defender</t>
        </is>
      </c>
      <c r="G1021" t="inlineStr">
        <is>
          <t xml:space="preserve">Dan Gilbert </t>
        </is>
      </c>
      <c r="H1021" t="inlineStr">
        <is>
          <t>4x4</t>
        </is>
      </c>
      <c r="I1021" t="inlineStr">
        <is>
          <t>Daily/ Weekly Vehicle Inspection</t>
        </is>
      </c>
      <c r="J1021" t="inlineStr">
        <is>
          <t>N/A</t>
        </is>
      </c>
      <c r="K1021" t="inlineStr">
        <is>
          <t>7186 Eastwoodbury Tree Services Ltd</t>
        </is>
      </c>
      <c r="L1021" t="inlineStr">
        <is>
          <t>25/07/2025 07:15</t>
        </is>
      </c>
      <c r="M1021" t="inlineStr">
        <is>
          <t>None</t>
        </is>
      </c>
      <c r="N1021" t="inlineStr">
        <is>
          <t>&lt;p&gt;&lt;/p&gt;</t>
        </is>
      </c>
      <c r="O1021" t="inlineStr"/>
      <c r="P1021" t="inlineStr">
        <is>
          <t>FN600XM , 4x4 , Land Rover  , Defender</t>
        </is>
      </c>
      <c r="Q1021" t="inlineStr">
        <is>
          <t>UKPN</t>
        </is>
      </c>
      <c r="R1021" t="b">
        <v>0</v>
      </c>
    </row>
    <row r="1022">
      <c r="A1022" t="inlineStr">
        <is>
          <t>25 Jul 2025 / 3098 D &amp; R Landscapes (PEND Arb Rail)</t>
        </is>
      </c>
      <c r="B1022" t="inlineStr">
        <is>
          <t>Utilities &amp; Inland Waterways</t>
        </is>
      </c>
      <c r="C1022" t="inlineStr">
        <is>
          <t>UKPN</t>
        </is>
      </c>
      <c r="D1022" t="inlineStr">
        <is>
          <t>DE68XHA , Tipper , Isuzu , Grafter</t>
        </is>
      </c>
      <c r="E1022" t="inlineStr">
        <is>
          <t>DE68XHA , Tipper , Isuzu , Grafter</t>
        </is>
      </c>
      <c r="F1022" t="inlineStr">
        <is>
          <t>DE68XHA , Tipper , Isuzu , Grafter</t>
        </is>
      </c>
      <c r="G1022" t="inlineStr">
        <is>
          <t xml:space="preserve">Jason </t>
        </is>
      </c>
      <c r="H1022" t="inlineStr">
        <is>
          <t>Tipper</t>
        </is>
      </c>
      <c r="I1022" t="inlineStr">
        <is>
          <t>Daily/ Weekly Vehicle Inspection</t>
        </is>
      </c>
      <c r="J1022" t="inlineStr">
        <is>
          <t>N/A</t>
        </is>
      </c>
      <c r="K1022" t="inlineStr">
        <is>
          <t>3098 D &amp; R Landscapes (PEND Arb Rail)</t>
        </is>
      </c>
      <c r="L1022" t="inlineStr">
        <is>
          <t>25/07/2025 08:12</t>
        </is>
      </c>
      <c r="M1022" t="inlineStr">
        <is>
          <t>None</t>
        </is>
      </c>
      <c r="N1022" t="inlineStr">
        <is>
          <t>&lt;p&gt;&lt;/p&gt;</t>
        </is>
      </c>
      <c r="O1022" t="inlineStr"/>
      <c r="P1022" t="inlineStr">
        <is>
          <t>DE68XHA , Tipper , Isuzu , Grafter</t>
        </is>
      </c>
      <c r="Q1022" t="inlineStr">
        <is>
          <t>UKPN</t>
        </is>
      </c>
      <c r="R1022" t="b">
        <v>0</v>
      </c>
    </row>
    <row r="1023">
      <c r="A1023" t="inlineStr">
        <is>
          <t>25 Jul 2025 / Thomas Playford</t>
        </is>
      </c>
      <c r="B1023" t="inlineStr">
        <is>
          <t>Utilities &amp; Inland Waterways</t>
        </is>
      </c>
      <c r="C1023" t="inlineStr">
        <is>
          <t>UKPN</t>
        </is>
      </c>
      <c r="D1023" t="inlineStr">
        <is>
          <t>SA9ST800000283944 , Tow Chipper , Forst , ST8D - Towed</t>
        </is>
      </c>
      <c r="E1023" t="inlineStr">
        <is>
          <t>SA9ST800000283944 , Tow Chipper , Forst , ST8D - Towed</t>
        </is>
      </c>
      <c r="F1023" t="inlineStr">
        <is>
          <t>SA9ST800000283944 , Tow Chipper , Forst , ST8D - Towed</t>
        </is>
      </c>
      <c r="G1023" t="inlineStr">
        <is>
          <t>Jacob Oram</t>
        </is>
      </c>
      <c r="H1023" t="inlineStr">
        <is>
          <t>Towed Chipper</t>
        </is>
      </c>
      <c r="I1023" t="inlineStr">
        <is>
          <t>Daily/ Weekly Vehicle Inspection</t>
        </is>
      </c>
      <c r="J1023" t="inlineStr">
        <is>
          <t>N/A</t>
        </is>
      </c>
      <c r="K1023" t="inlineStr">
        <is>
          <t>7995 Contour Landscapes Ltd 2</t>
        </is>
      </c>
      <c r="L1023" t="inlineStr">
        <is>
          <t>25/07/2025 08:14</t>
        </is>
      </c>
      <c r="M1023" t="inlineStr">
        <is>
          <t>None</t>
        </is>
      </c>
      <c r="N1023" t="inlineStr">
        <is>
          <t>&lt;p&gt;&lt;/p&gt;</t>
        </is>
      </c>
      <c r="O1023" t="inlineStr"/>
      <c r="P1023" t="inlineStr">
        <is>
          <t>SA9ST800000283944 , Tow Chipper , Forst , ST8D - Towed</t>
        </is>
      </c>
      <c r="Q1023" t="inlineStr">
        <is>
          <t>UKPN</t>
        </is>
      </c>
      <c r="R1023" t="b">
        <v>0</v>
      </c>
    </row>
    <row r="1024">
      <c r="A1024" t="inlineStr">
        <is>
          <t>25 Jul 2025 / Thomas Playford</t>
        </is>
      </c>
      <c r="B1024" t="inlineStr">
        <is>
          <t>Utilities &amp; Inland Waterways</t>
        </is>
      </c>
      <c r="C1024" t="inlineStr">
        <is>
          <t>UKPN</t>
        </is>
      </c>
      <c r="D1024" t="inlineStr">
        <is>
          <t>YP24 WRD , Vehicle , Ford , Ranger</t>
        </is>
      </c>
      <c r="E1024" t="inlineStr">
        <is>
          <t>YP24 WRD , Vehicle , Ford , Ranger</t>
        </is>
      </c>
      <c r="F1024" t="inlineStr">
        <is>
          <t>YP24 WRD , Vehicle , Ford , Ranger</t>
        </is>
      </c>
      <c r="G1024" t="inlineStr">
        <is>
          <t>Jacob Oram</t>
        </is>
      </c>
      <c r="H1024" t="inlineStr">
        <is>
          <t>4x4</t>
        </is>
      </c>
      <c r="I1024" t="inlineStr">
        <is>
          <t>Daily/ Weekly Vehicle Inspection</t>
        </is>
      </c>
      <c r="J1024" t="inlineStr">
        <is>
          <t>N/A</t>
        </is>
      </c>
      <c r="K1024" t="inlineStr">
        <is>
          <t>7995 Contour Landscapes Ltd 2</t>
        </is>
      </c>
      <c r="L1024" t="inlineStr">
        <is>
          <t>25/07/2025 08:14</t>
        </is>
      </c>
      <c r="M1024" t="inlineStr">
        <is>
          <t>None</t>
        </is>
      </c>
      <c r="N1024" t="inlineStr">
        <is>
          <t>&lt;p&gt;&lt;/p&gt;</t>
        </is>
      </c>
      <c r="O1024" t="inlineStr"/>
      <c r="P1024" t="inlineStr">
        <is>
          <t>YP24 WRD , Vehicle , Ford , Ranger</t>
        </is>
      </c>
      <c r="Q1024" t="inlineStr">
        <is>
          <t>UKPN</t>
        </is>
      </c>
      <c r="R1024" t="b">
        <v>0</v>
      </c>
    </row>
    <row r="1025">
      <c r="A1025" t="inlineStr">
        <is>
          <t>25 Jul 2025 / 7806 Optimum Tree Services Ltd</t>
        </is>
      </c>
      <c r="B1025" t="inlineStr">
        <is>
          <t>Utilities &amp; Inland Waterways</t>
        </is>
      </c>
      <c r="C1025" t="inlineStr">
        <is>
          <t>UKPN</t>
        </is>
      </c>
      <c r="D1025" t="inlineStr">
        <is>
          <t>SA9ST800000283069 , Chipper , Forst , ST 6P</t>
        </is>
      </c>
      <c r="E1025" t="inlineStr">
        <is>
          <t>SA9ST800000283069 , Chipper , Forst , ST 6P</t>
        </is>
      </c>
      <c r="F1025" t="inlineStr">
        <is>
          <t>SA9ST800000283069 , Chipper , Forst , ST 6P</t>
        </is>
      </c>
      <c r="G1025" t="inlineStr">
        <is>
          <t xml:space="preserve">Abraham Davies </t>
        </is>
      </c>
      <c r="H1025" t="inlineStr">
        <is>
          <t>Towed Chipper</t>
        </is>
      </c>
      <c r="I1025" t="inlineStr">
        <is>
          <t>Daily/ Weekly Vehicle Inspection</t>
        </is>
      </c>
      <c r="J1025" t="inlineStr">
        <is>
          <t>N/A</t>
        </is>
      </c>
      <c r="K1025" t="inlineStr">
        <is>
          <t>7806 Optimum Tree Services Ltd</t>
        </is>
      </c>
      <c r="L1025" t="inlineStr">
        <is>
          <t>25/07/2025 08:15</t>
        </is>
      </c>
      <c r="M1025" t="inlineStr">
        <is>
          <t>None</t>
        </is>
      </c>
      <c r="N1025" t="inlineStr">
        <is>
          <t>&lt;p&gt;&lt;/p&gt;</t>
        </is>
      </c>
      <c r="O1025" t="inlineStr"/>
      <c r="P1025" t="inlineStr">
        <is>
          <t>SA9ST800000283069 , Chipper , Forst , ST 6P</t>
        </is>
      </c>
      <c r="Q1025" t="inlineStr">
        <is>
          <t>UKPN</t>
        </is>
      </c>
      <c r="R1025" t="b">
        <v>0</v>
      </c>
    </row>
    <row r="1026">
      <c r="A1026" t="inlineStr">
        <is>
          <t>25 Jul 2025 / 7806 Optimum Tree Services Ltd</t>
        </is>
      </c>
      <c r="B1026" t="inlineStr">
        <is>
          <t>Utilities &amp; Inland Waterways</t>
        </is>
      </c>
      <c r="C1026" t="inlineStr">
        <is>
          <t>UKPN</t>
        </is>
      </c>
      <c r="D1026" t="inlineStr">
        <is>
          <t>WD14EVB , MEWP , Land Rover , Defender</t>
        </is>
      </c>
      <c r="E1026" t="inlineStr">
        <is>
          <t>WD14EVB , MEWP , Land Rover , Defender</t>
        </is>
      </c>
      <c r="F1026" t="inlineStr">
        <is>
          <t>WD14EVB , MEWP , Land Rover , Defender</t>
        </is>
      </c>
      <c r="G1026" t="inlineStr">
        <is>
          <t xml:space="preserve">Abraham Davies </t>
        </is>
      </c>
      <c r="H1026" t="inlineStr">
        <is>
          <t>4x4</t>
        </is>
      </c>
      <c r="I1026" t="inlineStr">
        <is>
          <t>Daily/ Weekly Vehicle Inspection</t>
        </is>
      </c>
      <c r="J1026" t="inlineStr">
        <is>
          <t>N/A</t>
        </is>
      </c>
      <c r="K1026" t="inlineStr">
        <is>
          <t>7806 Optimum Tree Services Ltd</t>
        </is>
      </c>
      <c r="L1026" t="inlineStr">
        <is>
          <t>25/07/2025 08:15</t>
        </is>
      </c>
      <c r="M1026" t="inlineStr">
        <is>
          <t>None</t>
        </is>
      </c>
      <c r="N1026" t="inlineStr">
        <is>
          <t>&lt;p&gt;&lt;/p&gt;</t>
        </is>
      </c>
      <c r="O1026" t="inlineStr"/>
      <c r="P1026" t="inlineStr">
        <is>
          <t>WD14EVB , MEWP , Land Rover , Defender</t>
        </is>
      </c>
      <c r="Q1026" t="inlineStr">
        <is>
          <t>UKPN</t>
        </is>
      </c>
      <c r="R1026" t="b">
        <v>0</v>
      </c>
    </row>
    <row r="1027">
      <c r="A1027" t="inlineStr">
        <is>
          <t>25 Jul 2025 / 6617 Ashdown Tree Limited</t>
        </is>
      </c>
      <c r="B1027" t="inlineStr">
        <is>
          <t>Utilities &amp; Inland Waterways</t>
        </is>
      </c>
      <c r="C1027" t="inlineStr">
        <is>
          <t>UKPN</t>
        </is>
      </c>
      <c r="D1027" t="inlineStr">
        <is>
          <t>Tipper - Ford transit  - Ford  - Av21 Kew</t>
        </is>
      </c>
      <c r="E1027" t="inlineStr">
        <is>
          <t>Tipper - Ford transit  - Ford  - Av21 Kew</t>
        </is>
      </c>
      <c r="F1027" t="inlineStr">
        <is>
          <t>Tipper - Ford transit  - Ford  - Av21 Kew</t>
        </is>
      </c>
      <c r="G1027" t="inlineStr">
        <is>
          <t xml:space="preserve">Ashley </t>
        </is>
      </c>
      <c r="H1027" t="inlineStr">
        <is>
          <t>Tipper</t>
        </is>
      </c>
      <c r="I1027" t="inlineStr">
        <is>
          <t>Daily/ Weekly Vehicle Inspection</t>
        </is>
      </c>
      <c r="J1027" t="inlineStr">
        <is>
          <t>N/A</t>
        </is>
      </c>
      <c r="K1027" t="inlineStr">
        <is>
          <t>6617 Ashdown Tree Limited</t>
        </is>
      </c>
      <c r="L1027" t="inlineStr">
        <is>
          <t>25/07/2025 08:16</t>
        </is>
      </c>
      <c r="M1027" t="inlineStr">
        <is>
          <t>None</t>
        </is>
      </c>
      <c r="N1027" t="inlineStr">
        <is>
          <t>&lt;p&gt;&lt;/p&gt;</t>
        </is>
      </c>
      <c r="O1027" t="inlineStr"/>
      <c r="P1027" t="inlineStr">
        <is>
          <t>Tipper - Ford transit  - Ford  - Av21 Kew</t>
        </is>
      </c>
      <c r="Q1027" t="inlineStr">
        <is>
          <t>UKPN</t>
        </is>
      </c>
      <c r="R1027" t="b">
        <v>0</v>
      </c>
    </row>
    <row r="1028">
      <c r="A1028" t="inlineStr">
        <is>
          <t>25 Jul 2025 / 7940 HRJ Tree Services LTD</t>
        </is>
      </c>
      <c r="B1028" t="inlineStr">
        <is>
          <t>Utilities &amp; Inland Waterways</t>
        </is>
      </c>
      <c r="C1028" t="inlineStr">
        <is>
          <t>UKPN</t>
        </is>
      </c>
      <c r="D1028" t="inlineStr">
        <is>
          <t>283500 , Tow Chipper , Forst ,</t>
        </is>
      </c>
      <c r="E1028" t="inlineStr">
        <is>
          <t>283500 , Tow Chipper , Forst ,</t>
        </is>
      </c>
      <c r="F1028" t="inlineStr">
        <is>
          <t>283500 , Tow Chipper , Forst ,</t>
        </is>
      </c>
      <c r="G1028" t="inlineStr">
        <is>
          <t>Harry Wilson</t>
        </is>
      </c>
      <c r="H1028" t="inlineStr">
        <is>
          <t>Towed Chipper</t>
        </is>
      </c>
      <c r="I1028" t="inlineStr">
        <is>
          <t>Daily/ Weekly Vehicle Inspection</t>
        </is>
      </c>
      <c r="J1028" t="inlineStr">
        <is>
          <t>N/A</t>
        </is>
      </c>
      <c r="K1028" t="inlineStr">
        <is>
          <t>7940 HRJ Tree Services LTD</t>
        </is>
      </c>
      <c r="L1028" t="inlineStr">
        <is>
          <t>25/07/2025 08:16</t>
        </is>
      </c>
      <c r="M1028" t="inlineStr">
        <is>
          <t>None</t>
        </is>
      </c>
      <c r="N1028" t="inlineStr">
        <is>
          <t>&lt;p&gt;&lt;/p&gt;</t>
        </is>
      </c>
      <c r="O1028" t="inlineStr"/>
      <c r="P1028" t="inlineStr">
        <is>
          <t>283500 , Tow Chipper , Forst ,</t>
        </is>
      </c>
      <c r="Q1028" t="inlineStr">
        <is>
          <t>UKPN</t>
        </is>
      </c>
      <c r="R1028" t="b">
        <v>0</v>
      </c>
    </row>
    <row r="1029">
      <c r="A1029" t="inlineStr">
        <is>
          <t>25 Jul 2025 / 6617 Ashdown Tree Limited 1</t>
        </is>
      </c>
      <c r="B1029" t="inlineStr">
        <is>
          <t>Utilities &amp; Inland Waterways</t>
        </is>
      </c>
      <c r="C1029" t="inlineStr">
        <is>
          <t>UKPN</t>
        </is>
      </c>
      <c r="D1029" t="inlineStr">
        <is>
          <t>WF11EJJ , Vehicle , Land Rover , Discovery</t>
        </is>
      </c>
      <c r="E1029" t="inlineStr">
        <is>
          <t>WF11EJJ , Vehicle , Land Rover , Discovery</t>
        </is>
      </c>
      <c r="F1029" t="inlineStr">
        <is>
          <t>WF11EJJ , Vehicle , Land Rover , Discovery</t>
        </is>
      </c>
      <c r="G1029" t="inlineStr">
        <is>
          <t xml:space="preserve">Francislesser </t>
        </is>
      </c>
      <c r="H1029" t="inlineStr">
        <is>
          <t>4x4</t>
        </is>
      </c>
      <c r="I1029" t="inlineStr">
        <is>
          <t>Daily/ Weekly Vehicle Inspection</t>
        </is>
      </c>
      <c r="J1029" t="inlineStr">
        <is>
          <t>N/A</t>
        </is>
      </c>
      <c r="K1029" t="inlineStr">
        <is>
          <t>6617 Ashdown Tree Limited 1</t>
        </is>
      </c>
      <c r="L1029" t="inlineStr">
        <is>
          <t>25/07/2025 08:17</t>
        </is>
      </c>
      <c r="M1029" t="inlineStr">
        <is>
          <t>None</t>
        </is>
      </c>
      <c r="N1029" t="inlineStr">
        <is>
          <t>&lt;p&gt;&lt;/p&gt;</t>
        </is>
      </c>
      <c r="O1029" t="inlineStr"/>
      <c r="P1029" t="inlineStr">
        <is>
          <t>WF11EJJ , Vehicle , Land Rover , Discovery</t>
        </is>
      </c>
      <c r="Q1029" t="inlineStr">
        <is>
          <t>UKPN</t>
        </is>
      </c>
      <c r="R1029" t="b">
        <v>0</v>
      </c>
    </row>
    <row r="1030">
      <c r="A1030" t="inlineStr">
        <is>
          <t>25 Jul 2025 / 7940 HRJ Tree Services LTD</t>
        </is>
      </c>
      <c r="B1030" t="inlineStr">
        <is>
          <t>Utilities &amp; Inland Waterways</t>
        </is>
      </c>
      <c r="C1030" t="inlineStr">
        <is>
          <t>UKPN</t>
        </is>
      </c>
      <c r="D1030" t="inlineStr">
        <is>
          <t>PK72 WOV , Tipper , Izuzu , Grafter</t>
        </is>
      </c>
      <c r="E1030" t="inlineStr">
        <is>
          <t>PK72 WOV , Tipper , Izuzu , Grafter</t>
        </is>
      </c>
      <c r="F1030" t="inlineStr">
        <is>
          <t>PK72 WOV , Tipper , Izuzu , Grafter</t>
        </is>
      </c>
      <c r="G1030" t="inlineStr">
        <is>
          <t xml:space="preserve">Harry Wilson </t>
        </is>
      </c>
      <c r="H1030" t="inlineStr">
        <is>
          <t>Tipper</t>
        </is>
      </c>
      <c r="I1030" t="inlineStr">
        <is>
          <t>Daily/ Weekly Vehicle Inspection</t>
        </is>
      </c>
      <c r="J1030" t="inlineStr">
        <is>
          <t>N/A</t>
        </is>
      </c>
      <c r="K1030" t="inlineStr">
        <is>
          <t>7940 HRJ Tree Services LTD</t>
        </is>
      </c>
      <c r="L1030" t="inlineStr">
        <is>
          <t>25/07/2025 08:18</t>
        </is>
      </c>
      <c r="M1030" t="inlineStr">
        <is>
          <t>None</t>
        </is>
      </c>
      <c r="N1030" t="inlineStr">
        <is>
          <t>&lt;p&gt;&lt;/p&gt;</t>
        </is>
      </c>
      <c r="O1030" t="inlineStr"/>
      <c r="P1030" t="inlineStr">
        <is>
          <t>PK72 WOV , Tipper , Izuzu , Grafter</t>
        </is>
      </c>
      <c r="Q1030" t="inlineStr">
        <is>
          <t>UKPN</t>
        </is>
      </c>
      <c r="R1030" t="b">
        <v>0</v>
      </c>
    </row>
    <row r="1031">
      <c r="A1031" t="inlineStr">
        <is>
          <t>25 Jul 2025 / 7940 HRJ Tree Services LTD</t>
        </is>
      </c>
      <c r="B1031" t="inlineStr">
        <is>
          <t>Utilities &amp; Inland Waterways</t>
        </is>
      </c>
      <c r="C1031" t="inlineStr">
        <is>
          <t>UKPN</t>
        </is>
      </c>
      <c r="D1031" t="inlineStr">
        <is>
          <t>Kx65fcp , 4x4 , Izuzu d max  , D max</t>
        </is>
      </c>
      <c r="E1031" t="inlineStr">
        <is>
          <t>Kx65fcp , 4x4 , Izuzu d max  , D max</t>
        </is>
      </c>
      <c r="F1031" t="inlineStr">
        <is>
          <t>Kx65fcp , 4x4 , Izuzu d max  , D max</t>
        </is>
      </c>
      <c r="G1031" t="inlineStr">
        <is>
          <t xml:space="preserve">Jack Buchan </t>
        </is>
      </c>
      <c r="H1031" t="inlineStr">
        <is>
          <t>4x4</t>
        </is>
      </c>
      <c r="I1031" t="inlineStr">
        <is>
          <t>Daily/ Weekly Vehicle Inspection</t>
        </is>
      </c>
      <c r="J1031" t="inlineStr">
        <is>
          <t>N/A</t>
        </is>
      </c>
      <c r="K1031" t="inlineStr">
        <is>
          <t>7940 HRJ Tree Services LTD</t>
        </is>
      </c>
      <c r="L1031" t="inlineStr">
        <is>
          <t>25/07/2025 08:18</t>
        </is>
      </c>
      <c r="M1031" t="inlineStr">
        <is>
          <t>None</t>
        </is>
      </c>
      <c r="N1031" t="inlineStr">
        <is>
          <t>&lt;p&gt;&lt;/p&gt;</t>
        </is>
      </c>
      <c r="O1031" t="inlineStr"/>
      <c r="P1031" t="inlineStr">
        <is>
          <t>Kx65fcp , 4x4 , Izuzu d max  , D max</t>
        </is>
      </c>
      <c r="Q1031" t="inlineStr">
        <is>
          <t>UKPN</t>
        </is>
      </c>
      <c r="R1031" t="b">
        <v>0</v>
      </c>
    </row>
    <row r="1032">
      <c r="A1032" t="inlineStr">
        <is>
          <t>28 Jul 2025 / 7186 Eastwoodbury Tree Services Ltd</t>
        </is>
      </c>
      <c r="B1032" t="inlineStr">
        <is>
          <t>Utilities &amp; Inland Waterways</t>
        </is>
      </c>
      <c r="C1032" t="inlineStr">
        <is>
          <t>UKPN</t>
        </is>
      </c>
      <c r="D1032" t="inlineStr">
        <is>
          <t>AO57BPF , 4x4 , Santana  , Ps10</t>
        </is>
      </c>
      <c r="E1032" t="inlineStr">
        <is>
          <t>AO57BPF , 4x4 , Santana  , Ps10</t>
        </is>
      </c>
      <c r="F1032" t="inlineStr">
        <is>
          <t>AO57BPF , 4x4 , Santana  , Ps10</t>
        </is>
      </c>
      <c r="G1032" t="inlineStr">
        <is>
          <t xml:space="preserve">Jay Denkmayer </t>
        </is>
      </c>
      <c r="H1032" t="inlineStr">
        <is>
          <t>4x4</t>
        </is>
      </c>
      <c r="I1032" t="inlineStr">
        <is>
          <t>Daily/ Weekly Vehicle Inspection</t>
        </is>
      </c>
      <c r="J1032" t="inlineStr">
        <is>
          <t>N/A</t>
        </is>
      </c>
      <c r="K1032" t="inlineStr">
        <is>
          <t>7186 Eastwoodbury Tree Services Ltd</t>
        </is>
      </c>
      <c r="L1032" t="inlineStr">
        <is>
          <t>28/07/2025 07:12</t>
        </is>
      </c>
      <c r="M1032" t="inlineStr">
        <is>
          <t>None</t>
        </is>
      </c>
      <c r="N1032" t="inlineStr">
        <is>
          <t>&lt;p&gt;&lt;/p&gt;</t>
        </is>
      </c>
      <c r="O1032" t="inlineStr"/>
      <c r="P1032" t="inlineStr">
        <is>
          <t>AO57BPF , 4x4 , Santana  , Ps10</t>
        </is>
      </c>
      <c r="Q1032" t="inlineStr">
        <is>
          <t>UKPN</t>
        </is>
      </c>
      <c r="R1032" t="b">
        <v>0</v>
      </c>
    </row>
    <row r="1033">
      <c r="A1033" t="inlineStr">
        <is>
          <t>28 Jul 2025 / Thomas Playford</t>
        </is>
      </c>
      <c r="B1033" t="inlineStr">
        <is>
          <t>Utilities &amp; Inland Waterways</t>
        </is>
      </c>
      <c r="C1033" t="inlineStr">
        <is>
          <t>UKPN</t>
        </is>
      </c>
      <c r="D1033" t="inlineStr">
        <is>
          <t>Equipment Trailer - I For Williams Custom - Chipper Trailer - 47336638</t>
        </is>
      </c>
      <c r="E1033" t="inlineStr">
        <is>
          <t>Equipment Trailer - I For Williams Custom - Chipper Trailer - 47336638</t>
        </is>
      </c>
      <c r="F1033" t="inlineStr">
        <is>
          <t>Equipment Trailer - I For Williams Custom - Chipper Trailer - 47336638</t>
        </is>
      </c>
      <c r="G1033" t="inlineStr">
        <is>
          <t>Jacob Oram</t>
        </is>
      </c>
      <c r="H1033" t="inlineStr">
        <is>
          <t>Plant Trailer</t>
        </is>
      </c>
      <c r="I1033" t="inlineStr">
        <is>
          <t>Daily/ Weekly Vehicle Inspection</t>
        </is>
      </c>
      <c r="J1033" t="inlineStr">
        <is>
          <t>N/A</t>
        </is>
      </c>
      <c r="K1033" t="inlineStr">
        <is>
          <t>7995 Contour Landscapes Ltd 2</t>
        </is>
      </c>
      <c r="L1033" t="inlineStr">
        <is>
          <t>28/07/2025 07:13</t>
        </is>
      </c>
      <c r="M1033" t="inlineStr">
        <is>
          <t>None</t>
        </is>
      </c>
      <c r="N1033" t="inlineStr">
        <is>
          <t>&lt;p&gt;&lt;/p&gt;</t>
        </is>
      </c>
      <c r="O1033" t="inlineStr"/>
      <c r="P1033" t="inlineStr">
        <is>
          <t>Equipment Trailer - I For Williams Custom - Chipper Trailer - 47336638</t>
        </is>
      </c>
      <c r="Q1033" t="inlineStr">
        <is>
          <t>UKPN</t>
        </is>
      </c>
      <c r="R1033" t="b">
        <v>0</v>
      </c>
    </row>
    <row r="1034">
      <c r="A1034" t="inlineStr">
        <is>
          <t>28 Jul 2025 / 7186 Eastwoodbury Tree Services Ltd</t>
        </is>
      </c>
      <c r="B1034" t="inlineStr">
        <is>
          <t>Utilities &amp; Inland Waterways</t>
        </is>
      </c>
      <c r="C1034" t="inlineStr">
        <is>
          <t>UKPN</t>
        </is>
      </c>
      <c r="D1034" t="inlineStr">
        <is>
          <t>FN600XM , 4x4 , Land Rover  , Defender</t>
        </is>
      </c>
      <c r="E1034" t="inlineStr">
        <is>
          <t>FN600XM , 4x4 , Land Rover  , Defender</t>
        </is>
      </c>
      <c r="F1034" t="inlineStr">
        <is>
          <t>FN600XM , 4x4 , Land Rover  , Defender</t>
        </is>
      </c>
      <c r="G1034" t="inlineStr">
        <is>
          <t xml:space="preserve">Dan Gilbert </t>
        </is>
      </c>
      <c r="H1034" t="inlineStr">
        <is>
          <t>4x4</t>
        </is>
      </c>
      <c r="I1034" t="inlineStr">
        <is>
          <t>Daily/ Weekly Vehicle Inspection</t>
        </is>
      </c>
      <c r="J1034" t="inlineStr">
        <is>
          <t>N/A</t>
        </is>
      </c>
      <c r="K1034" t="inlineStr">
        <is>
          <t>7186 Eastwoodbury Tree Services Ltd</t>
        </is>
      </c>
      <c r="L1034" t="inlineStr">
        <is>
          <t>28/07/2025 07:13</t>
        </is>
      </c>
      <c r="M1034" t="inlineStr">
        <is>
          <t>None</t>
        </is>
      </c>
      <c r="N1034" t="inlineStr">
        <is>
          <t>&lt;p&gt;&lt;/p&gt;</t>
        </is>
      </c>
      <c r="O1034" t="inlineStr"/>
      <c r="P1034" t="inlineStr">
        <is>
          <t>FN600XM , 4x4 , Land Rover  , Defender</t>
        </is>
      </c>
      <c r="Q1034" t="inlineStr">
        <is>
          <t>UKPN</t>
        </is>
      </c>
      <c r="R1034" t="b">
        <v>0</v>
      </c>
    </row>
    <row r="1035">
      <c r="A1035" t="inlineStr">
        <is>
          <t>28 Jul 2025 / Thomas Playford</t>
        </is>
      </c>
      <c r="B1035" t="inlineStr">
        <is>
          <t>Utilities &amp; Inland Waterways</t>
        </is>
      </c>
      <c r="C1035" t="inlineStr">
        <is>
          <t>UKPN</t>
        </is>
      </c>
      <c r="D1035" t="inlineStr">
        <is>
          <t>YP24 WRD , Vehicle , Ford , Ranger</t>
        </is>
      </c>
      <c r="E1035" t="inlineStr">
        <is>
          <t>YP24 WRD , Vehicle , Ford , Ranger</t>
        </is>
      </c>
      <c r="F1035" t="inlineStr">
        <is>
          <t>YP24 WRD , Vehicle , Ford , Ranger</t>
        </is>
      </c>
      <c r="G1035" t="inlineStr">
        <is>
          <t>Jacob Oram</t>
        </is>
      </c>
      <c r="H1035" t="inlineStr">
        <is>
          <t>4x4</t>
        </is>
      </c>
      <c r="I1035" t="inlineStr">
        <is>
          <t>Daily/ Weekly Vehicle Inspection</t>
        </is>
      </c>
      <c r="J1035" t="inlineStr">
        <is>
          <t>N/A</t>
        </is>
      </c>
      <c r="K1035" t="inlineStr">
        <is>
          <t>7995 Contour Landscapes Ltd 2</t>
        </is>
      </c>
      <c r="L1035" t="inlineStr">
        <is>
          <t>28/07/2025 07:14</t>
        </is>
      </c>
      <c r="M1035" t="inlineStr">
        <is>
          <t>None</t>
        </is>
      </c>
      <c r="N1035" t="inlineStr">
        <is>
          <t>&lt;p&gt;&lt;/p&gt;</t>
        </is>
      </c>
      <c r="O1035" t="inlineStr"/>
      <c r="P1035" t="inlineStr">
        <is>
          <t>YP24 WRD , Vehicle , Ford , Ranger</t>
        </is>
      </c>
      <c r="Q1035" t="inlineStr">
        <is>
          <t>UKPN</t>
        </is>
      </c>
      <c r="R1035" t="b">
        <v>0</v>
      </c>
    </row>
    <row r="1036">
      <c r="A1036" t="inlineStr">
        <is>
          <t>28 Jul 2025 / 3098 D &amp; R Landscapes (PEND Arb Rail)</t>
        </is>
      </c>
      <c r="B1036" t="inlineStr">
        <is>
          <t>Utilities &amp; Inland Waterways</t>
        </is>
      </c>
      <c r="C1036" t="inlineStr">
        <is>
          <t>UKPN</t>
        </is>
      </c>
      <c r="D1036" t="inlineStr">
        <is>
          <t>FX17YVM , Vehicle , Nissan , Navara</t>
        </is>
      </c>
      <c r="E1036" t="inlineStr">
        <is>
          <t>FX17YVM , Vehicle , Nissan , Navara</t>
        </is>
      </c>
      <c r="F1036" t="inlineStr">
        <is>
          <t>FX17YVM , Vehicle , Nissan , Navara</t>
        </is>
      </c>
      <c r="G1036" t="inlineStr">
        <is>
          <t xml:space="preserve">Jason </t>
        </is>
      </c>
      <c r="H1036" t="inlineStr">
        <is>
          <t>Pickup Truck</t>
        </is>
      </c>
      <c r="I1036" t="inlineStr">
        <is>
          <t>Daily/ Weekly Vehicle Inspection</t>
        </is>
      </c>
      <c r="J1036" t="inlineStr">
        <is>
          <t>N/A</t>
        </is>
      </c>
      <c r="K1036" t="inlineStr">
        <is>
          <t>3098 D &amp; R Landscapes (PEND Arb Rail)</t>
        </is>
      </c>
      <c r="L1036" t="inlineStr">
        <is>
          <t>28/07/2025 08:12</t>
        </is>
      </c>
      <c r="M1036" t="inlineStr">
        <is>
          <t>None</t>
        </is>
      </c>
      <c r="N1036" t="inlineStr">
        <is>
          <t>&lt;p&gt;&lt;/p&gt;</t>
        </is>
      </c>
      <c r="O1036" t="inlineStr"/>
      <c r="P1036" t="inlineStr">
        <is>
          <t>FX17YVM , Vehicle , Nissan , Navara</t>
        </is>
      </c>
      <c r="Q1036" t="inlineStr">
        <is>
          <t>UKPN</t>
        </is>
      </c>
      <c r="R1036" t="b">
        <v>0</v>
      </c>
    </row>
    <row r="1037">
      <c r="A1037" t="inlineStr">
        <is>
          <t>28 Jul 2025 / Anthony Gale</t>
        </is>
      </c>
      <c r="B1037" t="inlineStr">
        <is>
          <t>Utilities &amp; Inland Waterways</t>
        </is>
      </c>
      <c r="C1037" t="inlineStr">
        <is>
          <t>UKPN</t>
        </is>
      </c>
      <c r="D1037" t="inlineStr">
        <is>
          <t>PE07 HGL , Vehicle , Mitsubishi , L200 K74</t>
        </is>
      </c>
      <c r="E1037" t="inlineStr">
        <is>
          <t>PE07 HGL , Vehicle , Mitsubishi , L200 K74</t>
        </is>
      </c>
      <c r="F1037" t="inlineStr">
        <is>
          <t>PE07 HGL , Vehicle , Mitsubishi , L200 K74</t>
        </is>
      </c>
      <c r="G1037" t="inlineStr">
        <is>
          <t>Anthony Gale</t>
        </is>
      </c>
      <c r="H1037" t="inlineStr">
        <is>
          <t>Pickup Truck</t>
        </is>
      </c>
      <c r="I1037" t="inlineStr">
        <is>
          <t>Daily/ Weekly Vehicle Inspection</t>
        </is>
      </c>
      <c r="J1037" t="inlineStr">
        <is>
          <t>N/A</t>
        </is>
      </c>
      <c r="K1037" t="inlineStr">
        <is>
          <t>7996 M G Tree Surgery Ltd 1</t>
        </is>
      </c>
      <c r="L1037" t="inlineStr">
        <is>
          <t>28/07/2025 08:14</t>
        </is>
      </c>
      <c r="M1037" t="inlineStr">
        <is>
          <t>None</t>
        </is>
      </c>
      <c r="N1037" t="inlineStr">
        <is>
          <t>&lt;p&gt;&lt;/p&gt;</t>
        </is>
      </c>
      <c r="O1037" t="inlineStr"/>
      <c r="P1037" t="inlineStr">
        <is>
          <t>PE07 HGL , Vehicle , Mitsubishi , L200 K74</t>
        </is>
      </c>
      <c r="Q1037" t="inlineStr">
        <is>
          <t>UKPN</t>
        </is>
      </c>
      <c r="R1037" t="b">
        <v>0</v>
      </c>
    </row>
    <row r="1038">
      <c r="A1038" t="inlineStr">
        <is>
          <t>28 Jul 2025 / 7806 Optimum Tree Services Ltd</t>
        </is>
      </c>
      <c r="B1038" t="inlineStr">
        <is>
          <t>Utilities &amp; Inland Waterways</t>
        </is>
      </c>
      <c r="C1038" t="inlineStr">
        <is>
          <t>UKPN</t>
        </is>
      </c>
      <c r="D1038" t="inlineStr">
        <is>
          <t>SA9ST800000283069 , Chipper , Forst , ST 6P</t>
        </is>
      </c>
      <c r="E1038" t="inlineStr">
        <is>
          <t>SA9ST800000283069 , Chipper , Forst , ST 6P</t>
        </is>
      </c>
      <c r="F1038" t="inlineStr">
        <is>
          <t>SA9ST800000283069 , Chipper , Forst , ST 6P</t>
        </is>
      </c>
      <c r="G1038" t="inlineStr">
        <is>
          <t>Abraham Davies</t>
        </is>
      </c>
      <c r="H1038" t="inlineStr">
        <is>
          <t>Towed Chipper</t>
        </is>
      </c>
      <c r="I1038" t="inlineStr">
        <is>
          <t>Daily/ Weekly Vehicle Inspection</t>
        </is>
      </c>
      <c r="J1038" t="inlineStr">
        <is>
          <t>N/A</t>
        </is>
      </c>
      <c r="K1038" t="inlineStr">
        <is>
          <t>7806 Optimum Tree Services Ltd</t>
        </is>
      </c>
      <c r="L1038" t="inlineStr">
        <is>
          <t>28/07/2025 08:19</t>
        </is>
      </c>
      <c r="M1038" t="inlineStr">
        <is>
          <t>None</t>
        </is>
      </c>
      <c r="N1038" t="inlineStr">
        <is>
          <t>&lt;p&gt;&lt;/p&gt;</t>
        </is>
      </c>
      <c r="O1038" t="inlineStr"/>
      <c r="P1038" t="inlineStr">
        <is>
          <t>SA9ST800000283069 , Chipper , Forst , ST 6P</t>
        </is>
      </c>
      <c r="Q1038" t="inlineStr">
        <is>
          <t>UKPN</t>
        </is>
      </c>
      <c r="R1038" t="b">
        <v>0</v>
      </c>
    </row>
    <row r="1039">
      <c r="A1039" t="inlineStr">
        <is>
          <t>28 Jul 2025 / 7806 Optimum Tree Services Ltd</t>
        </is>
      </c>
      <c r="B1039" t="inlineStr">
        <is>
          <t>Utilities &amp; Inland Waterways</t>
        </is>
      </c>
      <c r="C1039" t="inlineStr">
        <is>
          <t>UKPN</t>
        </is>
      </c>
      <c r="D1039" t="inlineStr">
        <is>
          <t>WD14EVB , MEWP , Land Rover , Defender</t>
        </is>
      </c>
      <c r="E1039" t="inlineStr">
        <is>
          <t>WD14EVB , MEWP , Land Rover , Defender</t>
        </is>
      </c>
      <c r="F1039" t="inlineStr">
        <is>
          <t>WD14EVB , MEWP , Land Rover , Defender</t>
        </is>
      </c>
      <c r="G1039" t="inlineStr">
        <is>
          <t xml:space="preserve">Abraham Davies </t>
        </is>
      </c>
      <c r="H1039" t="inlineStr">
        <is>
          <t>4x4</t>
        </is>
      </c>
      <c r="I1039" t="inlineStr">
        <is>
          <t>Daily/ Weekly Vehicle Inspection</t>
        </is>
      </c>
      <c r="J1039" t="inlineStr">
        <is>
          <t>N/A</t>
        </is>
      </c>
      <c r="K1039" t="inlineStr">
        <is>
          <t>7806 Optimum Tree Services Ltd</t>
        </is>
      </c>
      <c r="L1039" t="inlineStr">
        <is>
          <t>28/07/2025 08:19</t>
        </is>
      </c>
      <c r="M1039" t="inlineStr">
        <is>
          <t>None</t>
        </is>
      </c>
      <c r="N1039" t="inlineStr">
        <is>
          <t>&lt;p&gt;&lt;/p&gt;</t>
        </is>
      </c>
      <c r="O1039" t="inlineStr"/>
      <c r="P1039" t="inlineStr">
        <is>
          <t>WD14EVB , MEWP , Land Rover , Defender</t>
        </is>
      </c>
      <c r="Q1039" t="inlineStr">
        <is>
          <t>UKPN</t>
        </is>
      </c>
      <c r="R1039" t="b">
        <v>0</v>
      </c>
    </row>
    <row r="1040">
      <c r="A1040" t="inlineStr">
        <is>
          <t>28 Jul 2025 / 6617 Ashdown Tree Limited</t>
        </is>
      </c>
      <c r="B1040" t="inlineStr">
        <is>
          <t>Utilities &amp; Inland Waterways</t>
        </is>
      </c>
      <c r="C1040" t="inlineStr">
        <is>
          <t>UKPN</t>
        </is>
      </c>
      <c r="D1040" t="inlineStr">
        <is>
          <t>WF11EJJ , Vehicle , Land Rover , Discovery</t>
        </is>
      </c>
      <c r="E1040" t="inlineStr">
        <is>
          <t>WF11EJJ , Vehicle , Land Rover , Discovery</t>
        </is>
      </c>
      <c r="F1040" t="inlineStr">
        <is>
          <t>WF11EJJ , Vehicle , Land Rover , Discovery</t>
        </is>
      </c>
      <c r="G1040" t="inlineStr">
        <is>
          <t xml:space="preserve">Ashley </t>
        </is>
      </c>
      <c r="H1040" t="inlineStr">
        <is>
          <t>4x4</t>
        </is>
      </c>
      <c r="I1040" t="inlineStr">
        <is>
          <t>Daily/ Weekly Vehicle Inspection</t>
        </is>
      </c>
      <c r="J1040" t="inlineStr">
        <is>
          <t>N/A</t>
        </is>
      </c>
      <c r="K1040" t="inlineStr">
        <is>
          <t>6617 Ashdown Tree Limited</t>
        </is>
      </c>
      <c r="L1040" t="inlineStr">
        <is>
          <t>28/07/2025 08:22</t>
        </is>
      </c>
      <c r="M1040" t="inlineStr">
        <is>
          <t>None</t>
        </is>
      </c>
      <c r="N1040" t="inlineStr">
        <is>
          <t>&lt;p&gt;&lt;/p&gt;</t>
        </is>
      </c>
      <c r="O1040" t="inlineStr"/>
      <c r="P1040" t="inlineStr">
        <is>
          <t>WF11EJJ , Vehicle , Land Rover , Discovery</t>
        </is>
      </c>
      <c r="Q1040" t="inlineStr">
        <is>
          <t>UKPN</t>
        </is>
      </c>
      <c r="R1040" t="b">
        <v>0</v>
      </c>
    </row>
    <row r="1041">
      <c r="A1041" t="inlineStr">
        <is>
          <t>28 Jul 2025 / 6617 Ashdown Tree Limited 1</t>
        </is>
      </c>
      <c r="B1041" t="inlineStr">
        <is>
          <t>Utilities &amp; Inland Waterways</t>
        </is>
      </c>
      <c r="C1041" t="inlineStr">
        <is>
          <t>UKPN</t>
        </is>
      </c>
      <c r="D1041" t="inlineStr">
        <is>
          <t>GU11LKD , 4x4 , Land Rover , Defender</t>
        </is>
      </c>
      <c r="E1041" t="inlineStr">
        <is>
          <t>GU11LKD , 4x4 , Land Rover , Defender</t>
        </is>
      </c>
      <c r="F1041" t="inlineStr">
        <is>
          <t>GU11LKD , 4x4 , Land Rover , Defender</t>
        </is>
      </c>
      <c r="G1041" t="inlineStr">
        <is>
          <t xml:space="preserve">Francislesser </t>
        </is>
      </c>
      <c r="H1041" t="inlineStr">
        <is>
          <t>4x4</t>
        </is>
      </c>
      <c r="I1041" t="inlineStr">
        <is>
          <t>Daily/ Weekly Vehicle Inspection</t>
        </is>
      </c>
      <c r="J1041" t="inlineStr">
        <is>
          <t>N/A</t>
        </is>
      </c>
      <c r="K1041" t="inlineStr">
        <is>
          <t>6617 Ashdown Tree Limited 1</t>
        </is>
      </c>
      <c r="L1041" t="inlineStr">
        <is>
          <t>28/07/2025 09:12</t>
        </is>
      </c>
      <c r="M1041" t="inlineStr">
        <is>
          <t>None</t>
        </is>
      </c>
      <c r="N1041" t="inlineStr">
        <is>
          <t>&lt;p&gt;&lt;/p&gt;</t>
        </is>
      </c>
      <c r="O1041" t="inlineStr"/>
      <c r="P1041" t="inlineStr">
        <is>
          <t>GU11LKD , 4x4 , Land Rover , Defender</t>
        </is>
      </c>
      <c r="Q1041" t="inlineStr">
        <is>
          <t>UKPN</t>
        </is>
      </c>
      <c r="R1041" t="b">
        <v>0</v>
      </c>
    </row>
    <row r="1042">
      <c r="A1042" t="inlineStr">
        <is>
          <t>28 Jul 2025 / Thomas Nandi</t>
        </is>
      </c>
      <c r="B1042" t="inlineStr">
        <is>
          <t>Utilities &amp; Inland Waterways</t>
        </is>
      </c>
      <c r="C1042" t="inlineStr">
        <is>
          <t>SSE</t>
        </is>
      </c>
      <c r="D1042" t="inlineStr">
        <is>
          <t>Car - Petrol - Nissan  - Juke - DY25 UZD</t>
        </is>
      </c>
      <c r="E1042" t="inlineStr">
        <is>
          <t>Car - Petrol - Nissan  - Juke - DY25 UZD</t>
        </is>
      </c>
      <c r="F1042" t="inlineStr">
        <is>
          <t>Car - Petrol - Nissan  - Juke - DY25 UZD</t>
        </is>
      </c>
      <c r="G1042" t="inlineStr">
        <is>
          <t xml:space="preserve">Tom Nandi </t>
        </is>
      </c>
      <c r="H1042" t="inlineStr">
        <is>
          <t>Car - Petrol</t>
        </is>
      </c>
      <c r="I1042" t="inlineStr">
        <is>
          <t>Monthly Vehicle Inspection</t>
        </is>
      </c>
      <c r="J1042" t="inlineStr">
        <is>
          <t>1086</t>
        </is>
      </c>
      <c r="K1042" t="inlineStr">
        <is>
          <t>Thomas Nandi</t>
        </is>
      </c>
      <c r="L1042" t="inlineStr">
        <is>
          <t>28/07/2025 10:13</t>
        </is>
      </c>
      <c r="M1042" t="inlineStr">
        <is>
          <t>None</t>
        </is>
      </c>
      <c r="N1042" t="inlineStr">
        <is>
          <t>&lt;p&gt;&lt;/p&gt;</t>
        </is>
      </c>
      <c r="O1042" t="inlineStr"/>
      <c r="P1042" t="inlineStr">
        <is>
          <t>Car - Petrol - Nissan  - Juke - DY25 UZD</t>
        </is>
      </c>
      <c r="Q1042" t="inlineStr">
        <is>
          <t>SSE</t>
        </is>
      </c>
      <c r="R1042" t="b">
        <v>0</v>
      </c>
    </row>
    <row r="1043">
      <c r="A1043" t="inlineStr">
        <is>
          <t>28 Jul 2025 / Ben Arnold</t>
        </is>
      </c>
      <c r="B1043" t="inlineStr">
        <is>
          <t>Utilities &amp; Inland Waterways</t>
        </is>
      </c>
      <c r="C1043" t="inlineStr">
        <is>
          <t>UKPN</t>
        </is>
      </c>
      <c r="D1043" t="inlineStr">
        <is>
          <t>YX24TXG , Car - Electric , Kia , Niro</t>
        </is>
      </c>
      <c r="E1043" t="inlineStr">
        <is>
          <t>YX24TXG , Car - Electric , Kia , Niro</t>
        </is>
      </c>
      <c r="F1043" t="inlineStr">
        <is>
          <t>YX24TXG , Car - Electric , Kia , Niro</t>
        </is>
      </c>
      <c r="G1043" t="inlineStr">
        <is>
          <t>Ben arnold</t>
        </is>
      </c>
      <c r="H1043" t="inlineStr">
        <is>
          <t>Car - Electric (GC Owned)</t>
        </is>
      </c>
      <c r="I1043" t="inlineStr">
        <is>
          <t>Daily/ Weekly Vehicle Inspection</t>
        </is>
      </c>
      <c r="J1043" t="inlineStr">
        <is>
          <t>N/A</t>
        </is>
      </c>
      <c r="K1043" t="inlineStr">
        <is>
          <t>Ben Arnold</t>
        </is>
      </c>
      <c r="L1043" t="inlineStr">
        <is>
          <t>28/07/2025 12:13</t>
        </is>
      </c>
      <c r="M1043" t="inlineStr">
        <is>
          <t>None</t>
        </is>
      </c>
      <c r="N1043" t="inlineStr">
        <is>
          <t>&lt;p&gt;&lt;/p&gt;</t>
        </is>
      </c>
      <c r="O1043" t="inlineStr"/>
      <c r="P1043" t="inlineStr">
        <is>
          <t>YX24TXG , Car - Electric , Kia , Niro</t>
        </is>
      </c>
      <c r="Q1043" t="inlineStr">
        <is>
          <t>UKPN</t>
        </is>
      </c>
      <c r="R1043" t="b">
        <v>0</v>
      </c>
    </row>
    <row r="1044">
      <c r="A1044" t="inlineStr">
        <is>
          <t>29 Jul 2025 / 7940 HRJ Tree Services LTD</t>
        </is>
      </c>
      <c r="B1044" t="inlineStr">
        <is>
          <t>Utilities &amp; Inland Waterways</t>
        </is>
      </c>
      <c r="C1044" t="inlineStr">
        <is>
          <t>UKPN</t>
        </is>
      </c>
      <c r="D1044" t="inlineStr">
        <is>
          <t>4x4 - Toyota  - Hilux - LL70GZP</t>
        </is>
      </c>
      <c r="E1044" t="inlineStr">
        <is>
          <t>4x4 - Toyota  - Hilux - LL70GZP</t>
        </is>
      </c>
      <c r="F1044" t="inlineStr">
        <is>
          <t>4x4 - Toyota  - Hilux - LL70GZP</t>
        </is>
      </c>
      <c r="G1044" t="inlineStr">
        <is>
          <t>Harry Wilson</t>
        </is>
      </c>
      <c r="H1044" t="inlineStr">
        <is>
          <t>Tipper</t>
        </is>
      </c>
      <c r="I1044" t="inlineStr">
        <is>
          <t>Daily/ Weekly Vehicle Inspection</t>
        </is>
      </c>
      <c r="J1044" t="inlineStr">
        <is>
          <t>N/A</t>
        </is>
      </c>
      <c r="K1044" t="inlineStr">
        <is>
          <t>7940 HRJ Tree Services LTD</t>
        </is>
      </c>
      <c r="L1044" t="inlineStr">
        <is>
          <t>29/07/2025 07:12</t>
        </is>
      </c>
      <c r="M1044" t="inlineStr">
        <is>
          <t>None</t>
        </is>
      </c>
      <c r="N1044" t="inlineStr">
        <is>
          <t>&lt;p&gt;&lt;/p&gt;</t>
        </is>
      </c>
      <c r="O1044" t="inlineStr"/>
      <c r="P1044" t="inlineStr">
        <is>
          <t>4x4 - Toyota  - Hilux - LL70GZP</t>
        </is>
      </c>
      <c r="Q1044" t="inlineStr">
        <is>
          <t>UKPN</t>
        </is>
      </c>
      <c r="R1044" t="b">
        <v>0</v>
      </c>
    </row>
    <row r="1045">
      <c r="A1045" t="inlineStr">
        <is>
          <t>29 Jul 2025 / 7940 HRJ Tree Services LTD</t>
        </is>
      </c>
      <c r="B1045" t="inlineStr">
        <is>
          <t>Utilities &amp; Inland Waterways</t>
        </is>
      </c>
      <c r="C1045" t="inlineStr">
        <is>
          <t>UKPN</t>
        </is>
      </c>
      <c r="D1045" t="inlineStr">
        <is>
          <t>Kx65fcp , 4x4 , Izuzu d max  , D max</t>
        </is>
      </c>
      <c r="E1045" t="inlineStr">
        <is>
          <t>Kx65fcp , 4x4 , Izuzu d max  , D max</t>
        </is>
      </c>
      <c r="F1045" t="inlineStr">
        <is>
          <t>Kx65fcp , 4x4 , Izuzu d max  , D max</t>
        </is>
      </c>
      <c r="G1045" t="inlineStr">
        <is>
          <t>Jack Buchan</t>
        </is>
      </c>
      <c r="H1045" t="inlineStr">
        <is>
          <t>4x4</t>
        </is>
      </c>
      <c r="I1045" t="inlineStr">
        <is>
          <t>Daily/ Weekly Vehicle Inspection</t>
        </is>
      </c>
      <c r="J1045" t="inlineStr">
        <is>
          <t>N/A</t>
        </is>
      </c>
      <c r="K1045" t="inlineStr">
        <is>
          <t>7940 HRJ Tree Services LTD</t>
        </is>
      </c>
      <c r="L1045" t="inlineStr">
        <is>
          <t>29/07/2025 07:13</t>
        </is>
      </c>
      <c r="M1045" t="inlineStr">
        <is>
          <t>None</t>
        </is>
      </c>
      <c r="N1045" t="inlineStr">
        <is>
          <t>&lt;p&gt;&lt;/p&gt;</t>
        </is>
      </c>
      <c r="O1045" t="inlineStr"/>
      <c r="P1045" t="inlineStr">
        <is>
          <t>Kx65fcp , 4x4 , Izuzu d max  , D max</t>
        </is>
      </c>
      <c r="Q1045" t="inlineStr">
        <is>
          <t>UKPN</t>
        </is>
      </c>
      <c r="R1045" t="b">
        <v>0</v>
      </c>
    </row>
    <row r="1046">
      <c r="A1046" t="inlineStr">
        <is>
          <t>29 Jul 2025 / 7186 Eastwoodbury Tree Services Ltd</t>
        </is>
      </c>
      <c r="B1046" t="inlineStr">
        <is>
          <t>Utilities &amp; Inland Waterways</t>
        </is>
      </c>
      <c r="C1046" t="inlineStr">
        <is>
          <t>UKPN</t>
        </is>
      </c>
      <c r="D1046" t="inlineStr">
        <is>
          <t>DE53NKS , 4x4 , Ford , Ranger</t>
        </is>
      </c>
      <c r="E1046" t="inlineStr">
        <is>
          <t>DE53NKS , 4x4 , Ford , Ranger</t>
        </is>
      </c>
      <c r="F1046" t="inlineStr">
        <is>
          <t>DE53NKS , 4x4 , Ford , Ranger</t>
        </is>
      </c>
      <c r="G1046" t="inlineStr">
        <is>
          <t xml:space="preserve">Jay Denkmayer </t>
        </is>
      </c>
      <c r="H1046" t="inlineStr">
        <is>
          <t>Pickup Truck</t>
        </is>
      </c>
      <c r="I1046" t="inlineStr">
        <is>
          <t>Daily/ Weekly Vehicle Inspection</t>
        </is>
      </c>
      <c r="J1046" t="inlineStr">
        <is>
          <t>N/A</t>
        </is>
      </c>
      <c r="K1046" t="inlineStr">
        <is>
          <t>7186 Eastwoodbury Tree Services Ltd</t>
        </is>
      </c>
      <c r="L1046" t="inlineStr">
        <is>
          <t>29/07/2025 07:13</t>
        </is>
      </c>
      <c r="M1046" t="inlineStr">
        <is>
          <t>None</t>
        </is>
      </c>
      <c r="N1046" t="inlineStr">
        <is>
          <t>&lt;p&gt;&lt;/p&gt;</t>
        </is>
      </c>
      <c r="O1046" t="inlineStr"/>
      <c r="P1046" t="inlineStr">
        <is>
          <t>DE53NKS , 4x4 , Ford , Ranger</t>
        </is>
      </c>
      <c r="Q1046" t="inlineStr">
        <is>
          <t>UKPN</t>
        </is>
      </c>
      <c r="R1046" t="b">
        <v>0</v>
      </c>
    </row>
    <row r="1047">
      <c r="A1047" t="inlineStr">
        <is>
          <t>29 Jul 2025 / 7186 Eastwoodbury Tree Services Ltd</t>
        </is>
      </c>
      <c r="B1047" t="inlineStr">
        <is>
          <t>Utilities &amp; Inland Waterways</t>
        </is>
      </c>
      <c r="C1047" t="inlineStr">
        <is>
          <t>UKPN</t>
        </is>
      </c>
      <c r="D1047" t="inlineStr">
        <is>
          <t>FN600XM , 4x4 , Land Rover  , Defender</t>
        </is>
      </c>
      <c r="E1047" t="inlineStr">
        <is>
          <t>FN600XM , 4x4 , Land Rover  , Defender</t>
        </is>
      </c>
      <c r="F1047" t="inlineStr">
        <is>
          <t>FN600XM , 4x4 , Land Rover  , Defender</t>
        </is>
      </c>
      <c r="G1047" t="inlineStr">
        <is>
          <t xml:space="preserve">Dan Gilbert </t>
        </is>
      </c>
      <c r="H1047" t="inlineStr">
        <is>
          <t>4x4</t>
        </is>
      </c>
      <c r="I1047" t="inlineStr">
        <is>
          <t>Daily/ Weekly Vehicle Inspection</t>
        </is>
      </c>
      <c r="J1047" t="inlineStr">
        <is>
          <t>N/A</t>
        </is>
      </c>
      <c r="K1047" t="inlineStr">
        <is>
          <t>7186 Eastwoodbury Tree Services Ltd</t>
        </is>
      </c>
      <c r="L1047" t="inlineStr">
        <is>
          <t>29/07/2025 07:14</t>
        </is>
      </c>
      <c r="M1047" t="inlineStr">
        <is>
          <t>None</t>
        </is>
      </c>
      <c r="N1047" t="inlineStr">
        <is>
          <t>&lt;p&gt;&lt;/p&gt;</t>
        </is>
      </c>
      <c r="O1047" t="inlineStr"/>
      <c r="P1047" t="inlineStr">
        <is>
          <t>FN600XM , 4x4 , Land Rover  , Defender</t>
        </is>
      </c>
      <c r="Q1047" t="inlineStr">
        <is>
          <t>UKPN</t>
        </is>
      </c>
      <c r="R1047" t="b">
        <v>0</v>
      </c>
    </row>
    <row r="1048">
      <c r="A1048" t="inlineStr">
        <is>
          <t>29 Jul 2025 / 7186 Eastwoodbury Tree Services Ltd</t>
        </is>
      </c>
      <c r="B1048" t="inlineStr">
        <is>
          <t>Utilities &amp; Inland Waterways</t>
        </is>
      </c>
      <c r="C1048" t="inlineStr">
        <is>
          <t>UKPN</t>
        </is>
      </c>
      <c r="D1048" t="inlineStr">
        <is>
          <t>AO57BPF , 4x4 , Santana  , Ps10</t>
        </is>
      </c>
      <c r="E1048" t="inlineStr">
        <is>
          <t>AO57BPF , 4x4 , Santana  , Ps10</t>
        </is>
      </c>
      <c r="F1048" t="inlineStr">
        <is>
          <t>AO57BPF , 4x4 , Santana  , Ps10</t>
        </is>
      </c>
      <c r="G1048" t="inlineStr">
        <is>
          <t xml:space="preserve">Tom Price </t>
        </is>
      </c>
      <c r="H1048" t="inlineStr">
        <is>
          <t>4x4</t>
        </is>
      </c>
      <c r="I1048" t="inlineStr">
        <is>
          <t>Daily/ Weekly Vehicle Inspection</t>
        </is>
      </c>
      <c r="J1048" t="inlineStr">
        <is>
          <t>N/A</t>
        </is>
      </c>
      <c r="K1048" t="inlineStr">
        <is>
          <t>7186 Eastwoodbury Tree Services Ltd</t>
        </is>
      </c>
      <c r="L1048" t="inlineStr">
        <is>
          <t>29/07/2025 07:14</t>
        </is>
      </c>
      <c r="M1048" t="inlineStr">
        <is>
          <t>None</t>
        </is>
      </c>
      <c r="N1048" t="inlineStr">
        <is>
          <t>&lt;p&gt;&lt;/p&gt;</t>
        </is>
      </c>
      <c r="O1048" t="inlineStr"/>
      <c r="P1048" t="inlineStr">
        <is>
          <t>AO57BPF , 4x4 , Santana  , Ps10</t>
        </is>
      </c>
      <c r="Q1048" t="inlineStr">
        <is>
          <t>UKPN</t>
        </is>
      </c>
      <c r="R1048" t="b">
        <v>0</v>
      </c>
    </row>
    <row r="1049">
      <c r="A1049" t="inlineStr">
        <is>
          <t>29 Jul 2025 / 7889 Tree Tech Suffolk Ltd</t>
        </is>
      </c>
      <c r="B1049" t="inlineStr">
        <is>
          <t>Utilities &amp; Inland Waterways</t>
        </is>
      </c>
      <c r="C1049" t="inlineStr">
        <is>
          <t>UKPN</t>
        </is>
      </c>
      <c r="D1049" t="inlineStr">
        <is>
          <t>Tow Chipper - Jenson - A530L - 5521063948Tipper - Nissan - Navara - NS02TTS4x4 - Isuzu - D-max - NS03 TTS</t>
        </is>
      </c>
      <c r="E1049" t="inlineStr">
        <is>
          <t>Tow Chipper - Jenson - A530L - 5521063948Tipper - Nissan - Navara - NS02TTS4x4 - Isuzu - D-max - NS03 TTS</t>
        </is>
      </c>
      <c r="F1049" t="inlineStr">
        <is>
          <t>Tow Chipper - Jenson - A530L - 5521063948Tipper - Nissan - Navara - NS02TTS4x4 - Isuzu - D-max - NS03 TTS</t>
        </is>
      </c>
      <c r="G1049" t="inlineStr">
        <is>
          <t xml:space="preserve">Danny Appleby Nikki sparrow Danny Appleby </t>
        </is>
      </c>
      <c r="H1049" t="inlineStr">
        <is>
          <t>Towed ChipperTipper4x4</t>
        </is>
      </c>
      <c r="I1049" t="inlineStr">
        <is>
          <t>Daily/ Weekly Vehicle Inspection</t>
        </is>
      </c>
      <c r="J1049" t="inlineStr">
        <is>
          <t>N/A</t>
        </is>
      </c>
      <c r="K1049" t="inlineStr">
        <is>
          <t>7889 Tree Tech Suffolk Ltd</t>
        </is>
      </c>
      <c r="L1049" t="inlineStr">
        <is>
          <t>29/07/2025 07:15</t>
        </is>
      </c>
      <c r="M1049" t="inlineStr">
        <is>
          <t>None</t>
        </is>
      </c>
      <c r="N1049" t="inlineStr">
        <is>
          <t>&lt;p&gt;&lt;/p&gt;</t>
        </is>
      </c>
      <c r="O1049" t="inlineStr">
        <is>
          <t>Confirm that you have checked this vehicle as per the guidance document and the vehicle is safe and roadworthy:Swapped tyres round on rims. Outer edge now worn
-Select Vehicle:KX65 FCZ</t>
        </is>
      </c>
      <c r="P1049" t="inlineStr">
        <is>
          <t>Tow Chipper - Jenson - A530L - 5521063948Tipper - Nissan - Navara - NS02TTS4x4 - Isuzu - D-max - NS03 TTS</t>
        </is>
      </c>
      <c r="Q1049" t="inlineStr">
        <is>
          <t>UKPN</t>
        </is>
      </c>
      <c r="R1049" t="b">
        <v>0</v>
      </c>
    </row>
    <row r="1050">
      <c r="A1050" t="inlineStr">
        <is>
          <t>29 Jul 2025 / Thomas Playford</t>
        </is>
      </c>
      <c r="B1050" t="inlineStr">
        <is>
          <t>Utilities &amp; Inland Waterways</t>
        </is>
      </c>
      <c r="C1050" t="inlineStr">
        <is>
          <t>UKPN</t>
        </is>
      </c>
      <c r="D1050" t="inlineStr">
        <is>
          <t>Tipper - Ford - Transit - EA24OZH</t>
        </is>
      </c>
      <c r="E1050" t="inlineStr">
        <is>
          <t>Tipper - Ford - Transit - EA24OZH</t>
        </is>
      </c>
      <c r="F1050" t="inlineStr">
        <is>
          <t>Tipper - Ford - Transit - EA24OZH</t>
        </is>
      </c>
      <c r="G1050" t="inlineStr">
        <is>
          <t>Thomas Playford</t>
        </is>
      </c>
      <c r="H1050" t="inlineStr">
        <is>
          <t>Tipper</t>
        </is>
      </c>
      <c r="I1050" t="inlineStr">
        <is>
          <t>Daily/ Weekly Vehicle Inspection</t>
        </is>
      </c>
      <c r="J1050" t="inlineStr">
        <is>
          <t>N/A</t>
        </is>
      </c>
      <c r="K1050" t="inlineStr">
        <is>
          <t>7995 Contour Landscapes Ltd 2</t>
        </is>
      </c>
      <c r="L1050" t="inlineStr">
        <is>
          <t>29/07/2025 08:13</t>
        </is>
      </c>
      <c r="M1050" t="inlineStr">
        <is>
          <t>None</t>
        </is>
      </c>
      <c r="N1050" t="inlineStr">
        <is>
          <t>&lt;p&gt;&lt;/p&gt;</t>
        </is>
      </c>
      <c r="O1050" t="inlineStr"/>
      <c r="P1050" t="inlineStr">
        <is>
          <t>Tipper - Ford - Transit - EA24OZH</t>
        </is>
      </c>
      <c r="Q1050" t="inlineStr">
        <is>
          <t>UKPN</t>
        </is>
      </c>
      <c r="R1050" t="b">
        <v>0</v>
      </c>
    </row>
    <row r="1051">
      <c r="A1051" t="inlineStr">
        <is>
          <t>29 Jul 2025 / 6617 Ashdown Tree Limited</t>
        </is>
      </c>
      <c r="B1051" t="inlineStr">
        <is>
          <t>Utilities &amp; Inland Waterways</t>
        </is>
      </c>
      <c r="C1051" t="inlineStr">
        <is>
          <t>UKPN</t>
        </is>
      </c>
      <c r="D1051" t="inlineStr">
        <is>
          <t>Tipper - Ford transit  - Ford - AV69LVR</t>
        </is>
      </c>
      <c r="E1051" t="inlineStr">
        <is>
          <t>Tipper - Ford transit  - Ford - AV69LVR</t>
        </is>
      </c>
      <c r="F1051" t="inlineStr">
        <is>
          <t>Tipper - Ford transit  - Ford - AV69LVR</t>
        </is>
      </c>
      <c r="G1051" t="inlineStr">
        <is>
          <t>Luke Williams</t>
        </is>
      </c>
      <c r="H1051" t="inlineStr">
        <is>
          <t>Tipper</t>
        </is>
      </c>
      <c r="I1051" t="inlineStr">
        <is>
          <t>Daily/ Weekly Vehicle Inspection</t>
        </is>
      </c>
      <c r="J1051" t="inlineStr">
        <is>
          <t>N/A</t>
        </is>
      </c>
      <c r="K1051" t="inlineStr">
        <is>
          <t>6617 Ashdown Tree Limited 1</t>
        </is>
      </c>
      <c r="L1051" t="inlineStr">
        <is>
          <t>29/07/2025 09:12</t>
        </is>
      </c>
      <c r="M1051" t="inlineStr">
        <is>
          <t>None</t>
        </is>
      </c>
      <c r="N1051" t="inlineStr">
        <is>
          <t>&lt;p&gt;&lt;/p&gt;</t>
        </is>
      </c>
      <c r="O1051" t="inlineStr"/>
      <c r="P1051" t="inlineStr">
        <is>
          <t>Tipper - Ford transit  - Ford - AV69LVR</t>
        </is>
      </c>
      <c r="Q1051" t="inlineStr">
        <is>
          <t>UKPN</t>
        </is>
      </c>
      <c r="R1051" t="b">
        <v>0</v>
      </c>
    </row>
    <row r="1052">
      <c r="A1052" t="inlineStr">
        <is>
          <t>29 Jul 2025 / 3098 D &amp; R Landscapes (PEND Arb Rail)</t>
        </is>
      </c>
      <c r="B1052" t="inlineStr">
        <is>
          <t>Utilities &amp; Inland Waterways</t>
        </is>
      </c>
      <c r="C1052" t="inlineStr">
        <is>
          <t>UKPN</t>
        </is>
      </c>
      <c r="D1052" t="inlineStr">
        <is>
          <t>FX17YVM , Vehicle , Nissan , Navara</t>
        </is>
      </c>
      <c r="E1052" t="inlineStr">
        <is>
          <t>FX17YVM , Vehicle , Nissan , Navara</t>
        </is>
      </c>
      <c r="F1052" t="inlineStr">
        <is>
          <t>FX17YVM , Vehicle , Nissan , Navara</t>
        </is>
      </c>
      <c r="G1052" t="inlineStr">
        <is>
          <t xml:space="preserve">Jason </t>
        </is>
      </c>
      <c r="H1052" t="inlineStr">
        <is>
          <t>Pickup Truck</t>
        </is>
      </c>
      <c r="I1052" t="inlineStr">
        <is>
          <t>Daily/ Weekly Vehicle Inspection</t>
        </is>
      </c>
      <c r="J1052" t="inlineStr">
        <is>
          <t>N/A</t>
        </is>
      </c>
      <c r="K1052" t="inlineStr">
        <is>
          <t>3098 D &amp; R Landscapes (PEND Arb Rail)</t>
        </is>
      </c>
      <c r="L1052" t="inlineStr">
        <is>
          <t>29/07/2025 09:13</t>
        </is>
      </c>
      <c r="M1052" t="inlineStr">
        <is>
          <t>None</t>
        </is>
      </c>
      <c r="N1052" t="inlineStr">
        <is>
          <t>&lt;p&gt;&lt;/p&gt;</t>
        </is>
      </c>
      <c r="O1052" t="inlineStr"/>
      <c r="P1052" t="inlineStr">
        <is>
          <t>FX17YVM , Vehicle , Nissan , Navara</t>
        </is>
      </c>
      <c r="Q1052" t="inlineStr">
        <is>
          <t>UKPN</t>
        </is>
      </c>
      <c r="R1052" t="b">
        <v>0</v>
      </c>
    </row>
    <row r="1053">
      <c r="A1053" t="inlineStr">
        <is>
          <t>29 Jul 2025 / Jonathan Wisbey</t>
        </is>
      </c>
      <c r="B1053" t="inlineStr">
        <is>
          <t>Utilities &amp; Inland Waterways</t>
        </is>
      </c>
      <c r="C1053" t="inlineStr">
        <is>
          <t>UKPN</t>
        </is>
      </c>
      <c r="D1053" t="inlineStr">
        <is>
          <t>KN25GGK , Car - Petrol , VW , Golf</t>
        </is>
      </c>
      <c r="E1053" t="inlineStr">
        <is>
          <t>KN25GGK , Car - Petrol , VW , Golf</t>
        </is>
      </c>
      <c r="F1053" t="inlineStr">
        <is>
          <t>KN25GGK , Car - Petrol , VW , Golf</t>
        </is>
      </c>
      <c r="G1053" t="inlineStr">
        <is>
          <t xml:space="preserve">Jonathan Wisbey </t>
        </is>
      </c>
      <c r="H1053" t="inlineStr">
        <is>
          <t>Car - Petrol</t>
        </is>
      </c>
      <c r="I1053" t="inlineStr">
        <is>
          <t>Daily/ Weekly Vehicle Inspection</t>
        </is>
      </c>
      <c r="J1053" t="inlineStr">
        <is>
          <t>N/A</t>
        </is>
      </c>
      <c r="K1053" t="inlineStr">
        <is>
          <t>Jonathan Wisbey</t>
        </is>
      </c>
      <c r="L1053" t="inlineStr">
        <is>
          <t>29/07/2025 10:12</t>
        </is>
      </c>
      <c r="M1053" t="inlineStr">
        <is>
          <t>None</t>
        </is>
      </c>
      <c r="N1053" t="inlineStr">
        <is>
          <t>&lt;p&gt;&lt;/p&gt;</t>
        </is>
      </c>
      <c r="O1053" t="inlineStr"/>
      <c r="P1053" t="inlineStr">
        <is>
          <t>KN25GGK , Car - Petrol , VW , Golf</t>
        </is>
      </c>
      <c r="Q1053" t="inlineStr">
        <is>
          <t>UKPN</t>
        </is>
      </c>
      <c r="R1053" t="b">
        <v>0</v>
      </c>
    </row>
    <row r="1054">
      <c r="A1054" t="inlineStr">
        <is>
          <t>29 Jul 2025 / James Gorman</t>
        </is>
      </c>
      <c r="B1054" t="inlineStr">
        <is>
          <t>Utilities &amp; Inland Waterways</t>
        </is>
      </c>
      <c r="C1054" t="inlineStr">
        <is>
          <t>UKPN</t>
        </is>
      </c>
      <c r="D1054" t="inlineStr">
        <is>
          <t>Car - Electric - Tesla - Model 3  - AF22 XRA</t>
        </is>
      </c>
      <c r="E1054" t="inlineStr">
        <is>
          <t>Car - Electric - Tesla - Model 3  - AF22 XRA</t>
        </is>
      </c>
      <c r="F1054" t="inlineStr">
        <is>
          <t>Car - Electric - Tesla - Model 3  - AF22 XRA</t>
        </is>
      </c>
      <c r="G1054" t="inlineStr">
        <is>
          <t>James Gorman</t>
        </is>
      </c>
      <c r="H1054" t="inlineStr">
        <is>
          <t>Car - Electric (GC Owned)</t>
        </is>
      </c>
      <c r="I1054" t="inlineStr">
        <is>
          <t>Daily/ Weekly Vehicle Inspection</t>
        </is>
      </c>
      <c r="J1054" t="inlineStr">
        <is>
          <t>N/A</t>
        </is>
      </c>
      <c r="K1054" t="inlineStr">
        <is>
          <t>James Gorman</t>
        </is>
      </c>
      <c r="L1054" t="inlineStr">
        <is>
          <t>29/07/2025 12:14</t>
        </is>
      </c>
      <c r="M1054" t="inlineStr">
        <is>
          <t>None</t>
        </is>
      </c>
      <c r="N1054" t="inlineStr">
        <is>
          <t>&lt;p&gt;&lt;/p&gt;</t>
        </is>
      </c>
      <c r="O1054" t="inlineStr"/>
      <c r="P1054" t="inlineStr">
        <is>
          <t>Car - Electric - Tesla - Model 3  - AF22 XRA</t>
        </is>
      </c>
      <c r="Q1054" t="inlineStr">
        <is>
          <t>UKPN</t>
        </is>
      </c>
      <c r="R1054" t="b">
        <v>0</v>
      </c>
    </row>
    <row r="1055">
      <c r="A1055" t="inlineStr">
        <is>
          <t>29 Jul 2025 / Mathew Dunn</t>
        </is>
      </c>
      <c r="B1055" t="inlineStr">
        <is>
          <t>Utilities &amp; Inland Waterways</t>
        </is>
      </c>
      <c r="C1055" t="inlineStr">
        <is>
          <t>SSE</t>
        </is>
      </c>
      <c r="D1055" t="inlineStr">
        <is>
          <t>Car - Petrol - Vauxhall  - Mokka  - DS23 PKF</t>
        </is>
      </c>
      <c r="E1055" t="inlineStr">
        <is>
          <t>Car - Petrol - Vauxhall  - Mokka  - DS23 PKF</t>
        </is>
      </c>
      <c r="F1055" t="inlineStr">
        <is>
          <t>Car - Petrol - Vauxhall  - Mokka  - DS23 PKF</t>
        </is>
      </c>
      <c r="G1055" t="inlineStr">
        <is>
          <t>Mathew dunn</t>
        </is>
      </c>
      <c r="H1055" t="inlineStr">
        <is>
          <t>Car - Petrol</t>
        </is>
      </c>
      <c r="I1055" t="inlineStr">
        <is>
          <t>Monthly Vehicle Inspection</t>
        </is>
      </c>
      <c r="J1055" t="inlineStr">
        <is>
          <t>27811</t>
        </is>
      </c>
      <c r="K1055" t="inlineStr">
        <is>
          <t>Mathew Dunn</t>
        </is>
      </c>
      <c r="L1055" t="inlineStr">
        <is>
          <t>29/07/2025 14:12</t>
        </is>
      </c>
      <c r="M1055" t="inlineStr">
        <is>
          <t>None</t>
        </is>
      </c>
      <c r="N1055" t="inlineStr">
        <is>
          <t>&lt;p&gt;&lt;/p&gt;</t>
        </is>
      </c>
      <c r="O1055" t="inlineStr"/>
      <c r="P1055" t="inlineStr">
        <is>
          <t>Car - Petrol - Vauxhall  - Mokka  - DS23 PKF</t>
        </is>
      </c>
      <c r="Q1055" t="inlineStr">
        <is>
          <t>SSE</t>
        </is>
      </c>
      <c r="R1055" t="b">
        <v>0</v>
      </c>
    </row>
    <row r="1056">
      <c r="A1056" t="inlineStr">
        <is>
          <t>29 Jul 2025 / Thomas Playford</t>
        </is>
      </c>
      <c r="B1056" t="inlineStr">
        <is>
          <t>Utilities &amp; Inland Waterways</t>
        </is>
      </c>
      <c r="C1056" t="inlineStr">
        <is>
          <t>UKPN</t>
        </is>
      </c>
      <c r="D1056" t="inlineStr">
        <is>
          <t>SA9ST800000283944 , Tow Chipper , Forst , ST8D - Towed</t>
        </is>
      </c>
      <c r="E1056" t="inlineStr">
        <is>
          <t>SA9ST800000283944 , Tow Chipper , Forst , ST8D - Towed</t>
        </is>
      </c>
      <c r="F1056" t="inlineStr">
        <is>
          <t>SA9ST800000283944 , Tow Chipper , Forst , ST8D - Towed</t>
        </is>
      </c>
      <c r="G1056" t="inlineStr">
        <is>
          <t>Thomas Playford</t>
        </is>
      </c>
      <c r="H1056" t="inlineStr">
        <is>
          <t>Towed Chipper</t>
        </is>
      </c>
      <c r="I1056" t="inlineStr">
        <is>
          <t>Daily/ Weekly Vehicle Inspection</t>
        </is>
      </c>
      <c r="J1056" t="inlineStr">
        <is>
          <t>N/A</t>
        </is>
      </c>
      <c r="K1056" t="inlineStr">
        <is>
          <t>7995 Contour Landscapes Ltd 2</t>
        </is>
      </c>
      <c r="L1056" t="inlineStr">
        <is>
          <t>29/07/2025 18:26</t>
        </is>
      </c>
      <c r="M1056" t="inlineStr">
        <is>
          <t>None</t>
        </is>
      </c>
      <c r="N1056" t="inlineStr">
        <is>
          <t>&lt;p&gt;&lt;/p&gt;</t>
        </is>
      </c>
      <c r="O1056" t="inlineStr"/>
      <c r="P1056" t="inlineStr">
        <is>
          <t>SA9ST800000283944 , Tow Chipper , Forst , ST8D - Towed</t>
        </is>
      </c>
      <c r="Q1056" t="inlineStr">
        <is>
          <t>UKPN</t>
        </is>
      </c>
      <c r="R1056" t="b">
        <v>0</v>
      </c>
    </row>
    <row r="1057">
      <c r="A1057" t="inlineStr">
        <is>
          <t>29 Jul 2025 / 6617 Ashdown Tree Limited</t>
        </is>
      </c>
      <c r="B1057" t="inlineStr">
        <is>
          <t>Utilities &amp; Inland Waterways</t>
        </is>
      </c>
      <c r="C1057" t="inlineStr">
        <is>
          <t>UKPN</t>
        </is>
      </c>
      <c r="D1057" t="inlineStr">
        <is>
          <t>TR55TUB , 4x4 , Land rover  , Defender mewp</t>
        </is>
      </c>
      <c r="E1057" t="inlineStr">
        <is>
          <t>TR55TUB , 4x4 , Land rover  , Defender mewp</t>
        </is>
      </c>
      <c r="F1057" t="inlineStr">
        <is>
          <t>TR55TUB , 4x4 , Land rover  , Defender mewp</t>
        </is>
      </c>
      <c r="G1057" t="inlineStr">
        <is>
          <t xml:space="preserve">Ashley </t>
        </is>
      </c>
      <c r="H1057" t="inlineStr">
        <is>
          <t>4x4</t>
        </is>
      </c>
      <c r="I1057" t="inlineStr">
        <is>
          <t>Daily/ Weekly Vehicle Inspection</t>
        </is>
      </c>
      <c r="J1057" t="inlineStr">
        <is>
          <t>N/A</t>
        </is>
      </c>
      <c r="K1057" t="inlineStr">
        <is>
          <t>6617 Ashdown Tree Limited</t>
        </is>
      </c>
      <c r="L1057" t="inlineStr">
        <is>
          <t>29/07/2025 18:26</t>
        </is>
      </c>
      <c r="M1057" t="inlineStr">
        <is>
          <t>None</t>
        </is>
      </c>
      <c r="N1057" t="inlineStr">
        <is>
          <t>&lt;p&gt;&lt;/p&gt;</t>
        </is>
      </c>
      <c r="O1057" t="inlineStr"/>
      <c r="P1057" t="inlineStr">
        <is>
          <t>TR55TUB , 4x4 , Land rover  , Defender mewp</t>
        </is>
      </c>
      <c r="Q1057" t="inlineStr">
        <is>
          <t>UKPN</t>
        </is>
      </c>
      <c r="R1057" t="b">
        <v>0</v>
      </c>
    </row>
    <row r="1058">
      <c r="A1058" t="inlineStr">
        <is>
          <t>29 Jul 2025 / 6617 Ashdown Tree Limited 1</t>
        </is>
      </c>
      <c r="B1058" t="inlineStr">
        <is>
          <t>Utilities &amp; Inland Waterways</t>
        </is>
      </c>
      <c r="C1058" t="inlineStr">
        <is>
          <t>UKPN</t>
        </is>
      </c>
      <c r="D1058" t="inlineStr">
        <is>
          <t>SBXTW35A6LS209184 , Tow Chipper , Timberwolf , TW230DHB</t>
        </is>
      </c>
      <c r="E1058" t="inlineStr">
        <is>
          <t>SBXTW35A6LS209184 , Tow Chipper , Timberwolf , TW230DHB</t>
        </is>
      </c>
      <c r="F1058" t="inlineStr">
        <is>
          <t>SBXTW35A6LS209184 , Tow Chipper , Timberwolf , TW230DHB</t>
        </is>
      </c>
      <c r="G1058" t="inlineStr">
        <is>
          <t xml:space="preserve">Francislesser </t>
        </is>
      </c>
      <c r="H1058" t="inlineStr">
        <is>
          <t>Towed Chipper</t>
        </is>
      </c>
      <c r="I1058" t="inlineStr">
        <is>
          <t>Daily/ Weekly Vehicle Inspection</t>
        </is>
      </c>
      <c r="J1058" t="inlineStr">
        <is>
          <t>N/A</t>
        </is>
      </c>
      <c r="K1058" t="inlineStr">
        <is>
          <t>6617 Ashdown Tree Limited 1</t>
        </is>
      </c>
      <c r="L1058" t="inlineStr">
        <is>
          <t>29/07/2025 18:27</t>
        </is>
      </c>
      <c r="M1058" t="inlineStr">
        <is>
          <t>None</t>
        </is>
      </c>
      <c r="N1058" t="inlineStr">
        <is>
          <t>&lt;p&gt;&lt;/p&gt;</t>
        </is>
      </c>
      <c r="O1058" t="inlineStr"/>
      <c r="P1058" t="inlineStr">
        <is>
          <t>SBXTW35A6LS209184 , Tow Chipper , Timberwolf , TW230DHB</t>
        </is>
      </c>
      <c r="Q1058" t="inlineStr">
        <is>
          <t>UKPN</t>
        </is>
      </c>
      <c r="R1058" t="b">
        <v>0</v>
      </c>
    </row>
    <row r="1059">
      <c r="A1059" t="inlineStr">
        <is>
          <t>29 Jul 2025 / 6617 Ashdown Tree Limited 1</t>
        </is>
      </c>
      <c r="B1059" t="inlineStr">
        <is>
          <t>Utilities &amp; Inland Waterways</t>
        </is>
      </c>
      <c r="C1059" t="inlineStr">
        <is>
          <t>UKPN</t>
        </is>
      </c>
      <c r="D1059" t="inlineStr">
        <is>
          <t>GU11LKD , 4x4 , Land Rover , Defender</t>
        </is>
      </c>
      <c r="E1059" t="inlineStr">
        <is>
          <t>GU11LKD , 4x4 , Land Rover , Defender</t>
        </is>
      </c>
      <c r="F1059" t="inlineStr">
        <is>
          <t>GU11LKD , 4x4 , Land Rover , Defender</t>
        </is>
      </c>
      <c r="G1059" t="inlineStr">
        <is>
          <t xml:space="preserve">Francislesser </t>
        </is>
      </c>
      <c r="H1059" t="inlineStr">
        <is>
          <t>4x4</t>
        </is>
      </c>
      <c r="I1059" t="inlineStr">
        <is>
          <t>Daily/ Weekly Vehicle Inspection</t>
        </is>
      </c>
      <c r="J1059" t="inlineStr">
        <is>
          <t>N/A</t>
        </is>
      </c>
      <c r="K1059" t="inlineStr">
        <is>
          <t>6617 Ashdown Tree Limited 1</t>
        </is>
      </c>
      <c r="L1059" t="inlineStr">
        <is>
          <t>29/07/2025 18:28</t>
        </is>
      </c>
      <c r="M1059" t="inlineStr">
        <is>
          <t>None</t>
        </is>
      </c>
      <c r="N1059" t="inlineStr">
        <is>
          <t>&lt;p&gt;&lt;/p&gt;</t>
        </is>
      </c>
      <c r="O1059" t="inlineStr"/>
      <c r="P1059" t="inlineStr">
        <is>
          <t>GU11LKD , 4x4 , Land Rover , Defender</t>
        </is>
      </c>
      <c r="Q1059" t="inlineStr">
        <is>
          <t>UKPN</t>
        </is>
      </c>
      <c r="R1059" t="b">
        <v>0</v>
      </c>
    </row>
    <row r="1060">
      <c r="A1060" t="inlineStr">
        <is>
          <t>29 Jul 2025 / 7800 MAC Tree Surgery and Fencing Ltd</t>
        </is>
      </c>
      <c r="B1060" t="inlineStr">
        <is>
          <t>Utilities &amp; Inland Waterways</t>
        </is>
      </c>
      <c r="C1060" t="inlineStr">
        <is>
          <t>UKPN</t>
        </is>
      </c>
      <c r="D1060" t="inlineStr">
        <is>
          <t>AY68DAA , 4x4 , Izuzu , Dmax</t>
        </is>
      </c>
      <c r="E1060" t="inlineStr">
        <is>
          <t>AY68DAA , 4x4 , Izuzu , Dmax</t>
        </is>
      </c>
      <c r="F1060" t="inlineStr">
        <is>
          <t>AY68DAA , 4x4 , Izuzu , Dmax</t>
        </is>
      </c>
      <c r="G1060" t="inlineStr">
        <is>
          <t xml:space="preserve">Lewis mac </t>
        </is>
      </c>
      <c r="H1060" t="inlineStr">
        <is>
          <t>4x4</t>
        </is>
      </c>
      <c r="I1060" t="inlineStr">
        <is>
          <t>Daily/ Weekly Vehicle Inspection</t>
        </is>
      </c>
      <c r="J1060" t="inlineStr">
        <is>
          <t>N/A</t>
        </is>
      </c>
      <c r="K1060" t="inlineStr">
        <is>
          <t>7800 MAC Tree Surgery and Fencing Ltd</t>
        </is>
      </c>
      <c r="L1060" t="inlineStr">
        <is>
          <t>29/07/2025 18:29</t>
        </is>
      </c>
      <c r="M1060" t="inlineStr">
        <is>
          <t>None</t>
        </is>
      </c>
      <c r="N1060" t="inlineStr">
        <is>
          <t>&lt;p&gt;&lt;/p&gt;</t>
        </is>
      </c>
      <c r="O1060" t="inlineStr"/>
      <c r="P1060" t="inlineStr">
        <is>
          <t>AY68DAA , 4x4 , Izuzu , Dmax</t>
        </is>
      </c>
      <c r="Q1060" t="inlineStr">
        <is>
          <t>UKPN</t>
        </is>
      </c>
      <c r="R1060" t="b">
        <v>0</v>
      </c>
    </row>
    <row r="1061">
      <c r="A1061" t="inlineStr">
        <is>
          <t>29 Jul 2025 / 7800 MAC Tree Surgery and Fencing Ltd</t>
        </is>
      </c>
      <c r="B1061" t="inlineStr">
        <is>
          <t>Utilities &amp; Inland Waterways</t>
        </is>
      </c>
      <c r="C1061" t="inlineStr">
        <is>
          <t>UKPN</t>
        </is>
      </c>
      <c r="D1061" t="inlineStr">
        <is>
          <t>205143043-A1 , Tow Chipper , Timberwolf , TW150</t>
        </is>
      </c>
      <c r="E1061" t="inlineStr">
        <is>
          <t>205143043-A1 , Tow Chipper , Timberwolf , TW150</t>
        </is>
      </c>
      <c r="F1061" t="inlineStr">
        <is>
          <t>205143043-A1 , Tow Chipper , Timberwolf , TW150</t>
        </is>
      </c>
      <c r="G1061" t="inlineStr">
        <is>
          <t xml:space="preserve">Lewis mac </t>
        </is>
      </c>
      <c r="H1061" t="inlineStr">
        <is>
          <t>Towed Chipper</t>
        </is>
      </c>
      <c r="I1061" t="inlineStr">
        <is>
          <t>Daily/ Weekly Vehicle Inspection</t>
        </is>
      </c>
      <c r="J1061" t="inlineStr">
        <is>
          <t>N/A</t>
        </is>
      </c>
      <c r="K1061" t="inlineStr">
        <is>
          <t>7800 MAC Tree Surgery and Fencing Ltd</t>
        </is>
      </c>
      <c r="L1061" t="inlineStr">
        <is>
          <t>29/07/2025 18:29</t>
        </is>
      </c>
      <c r="M1061" t="inlineStr">
        <is>
          <t>None</t>
        </is>
      </c>
      <c r="N1061" t="inlineStr">
        <is>
          <t>&lt;p&gt;&lt;/p&gt;</t>
        </is>
      </c>
      <c r="O1061" t="inlineStr"/>
      <c r="P1061" t="inlineStr">
        <is>
          <t>205143043-A1 , Tow Chipper , Timberwolf , TW150</t>
        </is>
      </c>
      <c r="Q1061" t="inlineStr">
        <is>
          <t>UKPN</t>
        </is>
      </c>
      <c r="R1061" t="b">
        <v>0</v>
      </c>
    </row>
    <row r="1062">
      <c r="A1062" t="inlineStr">
        <is>
          <t>29 Jul 2025 / 7806 Optimum Tree Services Ltd</t>
        </is>
      </c>
      <c r="B1062" t="inlineStr">
        <is>
          <t>Utilities &amp; Inland Waterways</t>
        </is>
      </c>
      <c r="C1062" t="inlineStr">
        <is>
          <t>UKPN</t>
        </is>
      </c>
      <c r="D1062" t="inlineStr">
        <is>
          <t>SA9ST800000283069 , Chipper , Forst , ST 6P</t>
        </is>
      </c>
      <c r="E1062" t="inlineStr">
        <is>
          <t>SA9ST800000283069 , Chipper , Forst , ST 6P</t>
        </is>
      </c>
      <c r="F1062" t="inlineStr">
        <is>
          <t>SA9ST800000283069 , Chipper , Forst , ST 6P</t>
        </is>
      </c>
      <c r="G1062" t="inlineStr">
        <is>
          <t xml:space="preserve">Abraham Davies </t>
        </is>
      </c>
      <c r="H1062" t="inlineStr">
        <is>
          <t>Towed Chipper</t>
        </is>
      </c>
      <c r="I1062" t="inlineStr">
        <is>
          <t>Daily/ Weekly Vehicle Inspection</t>
        </is>
      </c>
      <c r="J1062" t="inlineStr">
        <is>
          <t>N/A</t>
        </is>
      </c>
      <c r="K1062" t="inlineStr">
        <is>
          <t>7806 Optimum Tree Services Ltd</t>
        </is>
      </c>
      <c r="L1062" t="inlineStr">
        <is>
          <t>29/07/2025 18:30</t>
        </is>
      </c>
      <c r="M1062" t="inlineStr">
        <is>
          <t>None</t>
        </is>
      </c>
      <c r="N1062" t="inlineStr">
        <is>
          <t>&lt;p&gt;&lt;/p&gt;</t>
        </is>
      </c>
      <c r="O1062" t="inlineStr"/>
      <c r="P1062" t="inlineStr">
        <is>
          <t>SA9ST800000283069 , Chipper , Forst , ST 6P</t>
        </is>
      </c>
      <c r="Q1062" t="inlineStr">
        <is>
          <t>UKPN</t>
        </is>
      </c>
      <c r="R1062" t="b">
        <v>0</v>
      </c>
    </row>
    <row r="1063">
      <c r="A1063" t="inlineStr">
        <is>
          <t>29 Jul 2025 / 7806 Optimum Tree Services Ltd</t>
        </is>
      </c>
      <c r="B1063" t="inlineStr">
        <is>
          <t>Utilities &amp; Inland Waterways</t>
        </is>
      </c>
      <c r="C1063" t="inlineStr">
        <is>
          <t>UKPN</t>
        </is>
      </c>
      <c r="D1063" t="inlineStr">
        <is>
          <t>WD14EVB , MEWP , Land Rover , Defender</t>
        </is>
      </c>
      <c r="E1063" t="inlineStr">
        <is>
          <t>WD14EVB , MEWP , Land Rover , Defender</t>
        </is>
      </c>
      <c r="F1063" t="inlineStr">
        <is>
          <t>WD14EVB , MEWP , Land Rover , Defender</t>
        </is>
      </c>
      <c r="G1063" t="inlineStr">
        <is>
          <t xml:space="preserve">Abraham Davies </t>
        </is>
      </c>
      <c r="H1063" t="inlineStr">
        <is>
          <t>4x4</t>
        </is>
      </c>
      <c r="I1063" t="inlineStr">
        <is>
          <t>Daily/ Weekly Vehicle Inspection</t>
        </is>
      </c>
      <c r="J1063" t="inlineStr">
        <is>
          <t>N/A</t>
        </is>
      </c>
      <c r="K1063" t="inlineStr">
        <is>
          <t>7806 Optimum Tree Services Ltd</t>
        </is>
      </c>
      <c r="L1063" t="inlineStr">
        <is>
          <t>29/07/2025 18:31</t>
        </is>
      </c>
      <c r="M1063" t="inlineStr">
        <is>
          <t>None</t>
        </is>
      </c>
      <c r="N1063" t="inlineStr">
        <is>
          <t>&lt;p&gt;&lt;/p&gt;</t>
        </is>
      </c>
      <c r="O1063" t="inlineStr"/>
      <c r="P1063" t="inlineStr">
        <is>
          <t>WD14EVB , MEWP , Land Rover , Defender</t>
        </is>
      </c>
      <c r="Q1063" t="inlineStr">
        <is>
          <t>UKPN</t>
        </is>
      </c>
      <c r="R1063" t="b">
        <v>0</v>
      </c>
    </row>
    <row r="1064">
      <c r="A1064" t="inlineStr">
        <is>
          <t>29 Jul 2025 / 7940 HRJ Tree Services LTD</t>
        </is>
      </c>
      <c r="B1064" t="inlineStr">
        <is>
          <t>Utilities &amp; Inland Waterways</t>
        </is>
      </c>
      <c r="C1064" t="inlineStr">
        <is>
          <t>UKPN</t>
        </is>
      </c>
      <c r="D1064" t="inlineStr">
        <is>
          <t>Plant Trailer - Indespension - 211717 - 211717</t>
        </is>
      </c>
      <c r="E1064" t="inlineStr">
        <is>
          <t>Plant Trailer - Indespension - 211717 - 211717</t>
        </is>
      </c>
      <c r="F1064" t="inlineStr">
        <is>
          <t>Plant Trailer - Indespension - 211717 - 211717</t>
        </is>
      </c>
      <c r="G1064" t="inlineStr">
        <is>
          <t xml:space="preserve">Jack Buchan </t>
        </is>
      </c>
      <c r="H1064" t="inlineStr">
        <is>
          <t>Equipment Trailer</t>
        </is>
      </c>
      <c r="I1064" t="inlineStr">
        <is>
          <t>Daily/ Weekly Vehicle Inspection</t>
        </is>
      </c>
      <c r="J1064" t="inlineStr">
        <is>
          <t>N/A</t>
        </is>
      </c>
      <c r="K1064" t="inlineStr">
        <is>
          <t>7940 HRJ Tree Services LTD</t>
        </is>
      </c>
      <c r="L1064" t="inlineStr">
        <is>
          <t>29/07/2025 18:31</t>
        </is>
      </c>
      <c r="M1064" t="inlineStr">
        <is>
          <t>None</t>
        </is>
      </c>
      <c r="N1064" t="inlineStr">
        <is>
          <t>&lt;p&gt;&lt;/p&gt;</t>
        </is>
      </c>
      <c r="O1064" t="inlineStr"/>
      <c r="P1064" t="inlineStr">
        <is>
          <t>Plant Trailer - Indespension - 211717 - 211717</t>
        </is>
      </c>
      <c r="Q1064" t="inlineStr">
        <is>
          <t>UKPN</t>
        </is>
      </c>
      <c r="R1064" t="b">
        <v>0</v>
      </c>
    </row>
    <row r="1065">
      <c r="A1065" t="inlineStr">
        <is>
          <t>28 Jul 2025 / 7996 M G Tree Surgery Ltd</t>
        </is>
      </c>
      <c r="B1065" t="inlineStr">
        <is>
          <t>Utilities &amp; Inland Waterways</t>
        </is>
      </c>
      <c r="C1065" t="inlineStr">
        <is>
          <t>UKPN</t>
        </is>
      </c>
      <c r="D1065" t="inlineStr">
        <is>
          <t>Tipper - Ford - Transit 350 - WX68 NLD</t>
        </is>
      </c>
      <c r="E1065" t="inlineStr">
        <is>
          <t>Tipper - Ford - Transit 350 - WX68 NLD</t>
        </is>
      </c>
      <c r="F1065" t="inlineStr">
        <is>
          <t>Tipper - Ford - Transit 350 - WX68 NLD</t>
        </is>
      </c>
      <c r="G1065" t="inlineStr">
        <is>
          <t>Max</t>
        </is>
      </c>
      <c r="H1065" t="inlineStr">
        <is>
          <t>Tipper</t>
        </is>
      </c>
      <c r="I1065" t="inlineStr">
        <is>
          <t>Daily/ Weekly Vehicle Inspection</t>
        </is>
      </c>
      <c r="J1065" t="inlineStr">
        <is>
          <t>N/A</t>
        </is>
      </c>
      <c r="K1065" t="inlineStr">
        <is>
          <t>7996 M G Tree Surgery Ltd</t>
        </is>
      </c>
      <c r="L1065" t="inlineStr">
        <is>
          <t>30/07/2025 02:51</t>
        </is>
      </c>
      <c r="M1065" t="inlineStr">
        <is>
          <t>None</t>
        </is>
      </c>
      <c r="N1065" t="inlineStr">
        <is>
          <t>&lt;p&gt;&lt;/p&gt;</t>
        </is>
      </c>
      <c r="O1065" t="inlineStr"/>
      <c r="P1065" t="inlineStr">
        <is>
          <t>Tipper - Ford - Transit 350 - WX68 NLD</t>
        </is>
      </c>
      <c r="Q1065" t="inlineStr">
        <is>
          <t>UKPN</t>
        </is>
      </c>
      <c r="R1065" t="b">
        <v>0</v>
      </c>
    </row>
    <row r="1066">
      <c r="A1066" t="inlineStr">
        <is>
          <t>30 Jul 2025 / 7889 Tree Tech Suffolk Ltd</t>
        </is>
      </c>
      <c r="B1066" t="inlineStr">
        <is>
          <t>Utilities &amp; Inland Waterways</t>
        </is>
      </c>
      <c r="C1066" t="inlineStr">
        <is>
          <t>UKPN</t>
        </is>
      </c>
      <c r="D1066" t="inlineStr">
        <is>
          <t>Tow Chipper - Jenson - A530L - 5521063948Tipper - Nissan - Navara - NS02TTS4x4 - Isuzu - D-max - NS03 TTS</t>
        </is>
      </c>
      <c r="E1066" t="inlineStr">
        <is>
          <t>Tow Chipper - Jenson - A530L - 5521063948Tipper - Nissan - Navara - NS02TTS4x4 - Isuzu - D-max - NS03 TTS</t>
        </is>
      </c>
      <c r="F1066" t="inlineStr">
        <is>
          <t>Tow Chipper - Jenson - A530L - 5521063948Tipper - Nissan - Navara - NS02TTS4x4 - Isuzu - D-max - NS03 TTS</t>
        </is>
      </c>
      <c r="G1066" t="inlineStr">
        <is>
          <t xml:space="preserve">Danny Appleby Nikki sparrow Danny Appleby </t>
        </is>
      </c>
      <c r="H1066" t="inlineStr">
        <is>
          <t>Towed ChipperTipper4x4</t>
        </is>
      </c>
      <c r="I1066" t="inlineStr">
        <is>
          <t>Daily/ Weekly Vehicle Inspection</t>
        </is>
      </c>
      <c r="J1066" t="inlineStr">
        <is>
          <t>N/A</t>
        </is>
      </c>
      <c r="K1066" t="inlineStr">
        <is>
          <t>7889 Tree Tech Suffolk Ltd</t>
        </is>
      </c>
      <c r="L1066" t="inlineStr">
        <is>
          <t>30/07/2025 07:12</t>
        </is>
      </c>
      <c r="M1066" t="inlineStr">
        <is>
          <t>None</t>
        </is>
      </c>
      <c r="N1066" t="inlineStr">
        <is>
          <t>&lt;p&gt;&lt;/p&gt;</t>
        </is>
      </c>
      <c r="O1066" t="inlineStr">
        <is>
          <t>Confirm that you have checked this vehicle as per the guidance document and the vehicle is safe and roadworthy:Swapped tyres round on rims. Outer edge now worn
-Select Vehicle:KX65 FCZ</t>
        </is>
      </c>
      <c r="P1066" t="inlineStr">
        <is>
          <t>Tow Chipper - Jenson - A530L - 5521063948Tipper - Nissan - Navara - NS02TTS4x4 - Isuzu - D-max - NS03 TTS</t>
        </is>
      </c>
      <c r="Q1066" t="inlineStr">
        <is>
          <t>UKPN</t>
        </is>
      </c>
      <c r="R1066" t="b">
        <v>0</v>
      </c>
    </row>
    <row r="1067">
      <c r="A1067" t="inlineStr">
        <is>
          <t>30 Jul 2025 / 7800 MAC Tree Surgery and Fencing Ltd</t>
        </is>
      </c>
      <c r="B1067" t="inlineStr">
        <is>
          <t>Utilities &amp; Inland Waterways</t>
        </is>
      </c>
      <c r="C1067" t="inlineStr">
        <is>
          <t>UKPN</t>
        </is>
      </c>
      <c r="D1067" t="inlineStr">
        <is>
          <t>205143043-A1 , Tow Chipper , Timberwolf , TW150</t>
        </is>
      </c>
      <c r="E1067" t="inlineStr">
        <is>
          <t>205143043-A1 , Tow Chipper , Timberwolf , TW150</t>
        </is>
      </c>
      <c r="F1067" t="inlineStr">
        <is>
          <t>205143043-A1 , Tow Chipper , Timberwolf , TW150</t>
        </is>
      </c>
      <c r="G1067" t="inlineStr">
        <is>
          <t xml:space="preserve">Lewis mac </t>
        </is>
      </c>
      <c r="H1067" t="inlineStr">
        <is>
          <t>Towed Chipper</t>
        </is>
      </c>
      <c r="I1067" t="inlineStr">
        <is>
          <t>Daily/ Weekly Vehicle Inspection</t>
        </is>
      </c>
      <c r="J1067" t="inlineStr">
        <is>
          <t>N/A</t>
        </is>
      </c>
      <c r="K1067" t="inlineStr">
        <is>
          <t>7800 MAC Tree Surgery and Fencing Ltd</t>
        </is>
      </c>
      <c r="L1067" t="inlineStr">
        <is>
          <t>30/07/2025 07:13</t>
        </is>
      </c>
      <c r="M1067" t="inlineStr">
        <is>
          <t>None</t>
        </is>
      </c>
      <c r="N1067" t="inlineStr">
        <is>
          <t>&lt;p&gt;&lt;/p&gt;</t>
        </is>
      </c>
      <c r="O1067" t="inlineStr"/>
      <c r="P1067" t="inlineStr">
        <is>
          <t>205143043-A1 , Tow Chipper , Timberwolf , TW150</t>
        </is>
      </c>
      <c r="Q1067" t="inlineStr">
        <is>
          <t>UKPN</t>
        </is>
      </c>
      <c r="R1067" t="b">
        <v>0</v>
      </c>
    </row>
    <row r="1068">
      <c r="A1068" t="inlineStr">
        <is>
          <t>30 Jul 2025 / 7800 MAC Tree Surgery and Fencing Ltd</t>
        </is>
      </c>
      <c r="B1068" t="inlineStr">
        <is>
          <t>Utilities &amp; Inland Waterways</t>
        </is>
      </c>
      <c r="C1068" t="inlineStr">
        <is>
          <t>UKPN</t>
        </is>
      </c>
      <c r="D1068" t="inlineStr">
        <is>
          <t>AY68DAA , 4x4 , Izuzu , Dmax</t>
        </is>
      </c>
      <c r="E1068" t="inlineStr">
        <is>
          <t>AY68DAA , 4x4 , Izuzu , Dmax</t>
        </is>
      </c>
      <c r="F1068" t="inlineStr">
        <is>
          <t>AY68DAA , 4x4 , Izuzu , Dmax</t>
        </is>
      </c>
      <c r="G1068" t="inlineStr">
        <is>
          <t xml:space="preserve">Lewis mac </t>
        </is>
      </c>
      <c r="H1068" t="inlineStr">
        <is>
          <t>4x4</t>
        </is>
      </c>
      <c r="I1068" t="inlineStr">
        <is>
          <t>Daily/ Weekly Vehicle Inspection</t>
        </is>
      </c>
      <c r="J1068" t="inlineStr">
        <is>
          <t>N/A</t>
        </is>
      </c>
      <c r="K1068" t="inlineStr">
        <is>
          <t>7800 MAC Tree Surgery and Fencing Ltd</t>
        </is>
      </c>
      <c r="L1068" t="inlineStr">
        <is>
          <t>30/07/2025 07:13</t>
        </is>
      </c>
      <c r="M1068" t="inlineStr">
        <is>
          <t>None</t>
        </is>
      </c>
      <c r="N1068" t="inlineStr">
        <is>
          <t>&lt;p&gt;&lt;/p&gt;</t>
        </is>
      </c>
      <c r="O1068" t="inlineStr"/>
      <c r="P1068" t="inlineStr">
        <is>
          <t>AY68DAA , 4x4 , Izuzu , Dmax</t>
        </is>
      </c>
      <c r="Q1068" t="inlineStr">
        <is>
          <t>UKPN</t>
        </is>
      </c>
      <c r="R1068" t="b">
        <v>0</v>
      </c>
    </row>
    <row r="1069">
      <c r="A1069" t="inlineStr">
        <is>
          <t>30 Jul 2025 / 3098 D &amp; R Landscapes (PEND Arb Rail)</t>
        </is>
      </c>
      <c r="B1069" t="inlineStr">
        <is>
          <t>Utilities &amp; Inland Waterways</t>
        </is>
      </c>
      <c r="C1069" t="inlineStr">
        <is>
          <t>UKPN</t>
        </is>
      </c>
      <c r="D1069" t="inlineStr">
        <is>
          <t>WA13ZZK , 4x4 , Land Rover  , Defender</t>
        </is>
      </c>
      <c r="E1069" t="inlineStr">
        <is>
          <t>WA13ZZK , 4x4 , Land Rover  , Defender</t>
        </is>
      </c>
      <c r="F1069" t="inlineStr">
        <is>
          <t>WA13ZZK , 4x4 , Land Rover  , Defender</t>
        </is>
      </c>
      <c r="G1069" t="inlineStr">
        <is>
          <t xml:space="preserve">Jason </t>
        </is>
      </c>
      <c r="H1069" t="inlineStr">
        <is>
          <t>Pickup Truck</t>
        </is>
      </c>
      <c r="I1069" t="inlineStr">
        <is>
          <t>Daily/ Weekly Vehicle Inspection</t>
        </is>
      </c>
      <c r="J1069" t="inlineStr">
        <is>
          <t>N/A</t>
        </is>
      </c>
      <c r="K1069" t="inlineStr">
        <is>
          <t>3098 D &amp; R Landscapes (PEND Arb Rail)</t>
        </is>
      </c>
      <c r="L1069" t="inlineStr">
        <is>
          <t>30/07/2025 08:13</t>
        </is>
      </c>
      <c r="M1069" t="inlineStr">
        <is>
          <t>None</t>
        </is>
      </c>
      <c r="N1069" t="inlineStr">
        <is>
          <t>&lt;p&gt;&lt;/p&gt;</t>
        </is>
      </c>
      <c r="O1069" t="inlineStr"/>
      <c r="P1069" t="inlineStr">
        <is>
          <t>WA13ZZK , 4x4 , Land Rover  , Defender</t>
        </is>
      </c>
      <c r="Q1069" t="inlineStr">
        <is>
          <t>UKPN</t>
        </is>
      </c>
      <c r="R1069" t="b">
        <v>0</v>
      </c>
    </row>
    <row r="1070">
      <c r="A1070" t="inlineStr">
        <is>
          <t>30 Jul 2025 / 3098 D &amp; R Landscapes (PEND Arb Rail)</t>
        </is>
      </c>
      <c r="B1070" t="inlineStr">
        <is>
          <t>Utilities &amp; Inland Waterways</t>
        </is>
      </c>
      <c r="C1070" t="inlineStr">
        <is>
          <t>UKPN</t>
        </is>
      </c>
      <c r="D1070" t="inlineStr">
        <is>
          <t>DE68XHA , Tipper , Isuzu , Grafter</t>
        </is>
      </c>
      <c r="E1070" t="inlineStr">
        <is>
          <t>DE68XHA , Tipper , Isuzu , Grafter</t>
        </is>
      </c>
      <c r="F1070" t="inlineStr">
        <is>
          <t>DE68XHA , Tipper , Isuzu , Grafter</t>
        </is>
      </c>
      <c r="G1070" t="inlineStr">
        <is>
          <t xml:space="preserve">Jason </t>
        </is>
      </c>
      <c r="H1070" t="inlineStr">
        <is>
          <t>Tipper</t>
        </is>
      </c>
      <c r="I1070" t="inlineStr">
        <is>
          <t>Daily/ Weekly Vehicle Inspection</t>
        </is>
      </c>
      <c r="J1070" t="inlineStr">
        <is>
          <t>N/A</t>
        </is>
      </c>
      <c r="K1070" t="inlineStr">
        <is>
          <t>3098 D &amp; R Landscapes (PEND Arb Rail)</t>
        </is>
      </c>
      <c r="L1070" t="inlineStr">
        <is>
          <t>30/07/2025 08:13</t>
        </is>
      </c>
      <c r="M1070" t="inlineStr">
        <is>
          <t>None</t>
        </is>
      </c>
      <c r="N1070" t="inlineStr">
        <is>
          <t>&lt;p&gt;&lt;/p&gt;</t>
        </is>
      </c>
      <c r="O1070" t="inlineStr"/>
      <c r="P1070" t="inlineStr">
        <is>
          <t>DE68XHA , Tipper , Isuzu , Grafter</t>
        </is>
      </c>
      <c r="Q1070" t="inlineStr">
        <is>
          <t>UKPN</t>
        </is>
      </c>
      <c r="R1070" t="b">
        <v>0</v>
      </c>
    </row>
    <row r="1071">
      <c r="A1071" t="inlineStr">
        <is>
          <t>30 Jul 2025 / 7806 Optimum Tree Services Ltd</t>
        </is>
      </c>
      <c r="B1071" t="inlineStr">
        <is>
          <t>Utilities &amp; Inland Waterways</t>
        </is>
      </c>
      <c r="C1071" t="inlineStr">
        <is>
          <t>UKPN</t>
        </is>
      </c>
      <c r="D1071" t="inlineStr">
        <is>
          <t>SA9TAPLAF27414263 , Trailer , Tow Mate , Plant Trailer</t>
        </is>
      </c>
      <c r="E1071" t="inlineStr">
        <is>
          <t>SA9TAPLAF27414263 , Trailer , Tow Mate , Plant Trailer</t>
        </is>
      </c>
      <c r="F1071" t="inlineStr">
        <is>
          <t>SA9TAPLAF27414263 , Trailer , Tow Mate , Plant Trailer</t>
        </is>
      </c>
      <c r="G1071" t="inlineStr">
        <is>
          <t xml:space="preserve">Abraham Davies </t>
        </is>
      </c>
      <c r="H1071" t="inlineStr">
        <is>
          <t>Plant Trailer</t>
        </is>
      </c>
      <c r="I1071" t="inlineStr">
        <is>
          <t>Daily/ Weekly Vehicle Inspection</t>
        </is>
      </c>
      <c r="J1071" t="inlineStr">
        <is>
          <t>N/A</t>
        </is>
      </c>
      <c r="K1071" t="inlineStr">
        <is>
          <t>7806 Optimum Tree Services Ltd</t>
        </is>
      </c>
      <c r="L1071" t="inlineStr">
        <is>
          <t>30/07/2025 08:14</t>
        </is>
      </c>
      <c r="M1071" t="inlineStr">
        <is>
          <t>None</t>
        </is>
      </c>
      <c r="N1071" t="inlineStr">
        <is>
          <t>&lt;p&gt;&lt;/p&gt;</t>
        </is>
      </c>
      <c r="O1071" t="inlineStr"/>
      <c r="P1071" t="inlineStr">
        <is>
          <t>SA9TAPLAF27414263 , Trailer , Tow Mate , Plant Trailer</t>
        </is>
      </c>
      <c r="Q1071" t="inlineStr">
        <is>
          <t>UKPN</t>
        </is>
      </c>
      <c r="R1071" t="b">
        <v>0</v>
      </c>
    </row>
    <row r="1072">
      <c r="A1072" t="inlineStr">
        <is>
          <t>30 Jul 2025 / 7806 Optimum Tree Services Ltd</t>
        </is>
      </c>
      <c r="B1072" t="inlineStr">
        <is>
          <t>Utilities &amp; Inland Waterways</t>
        </is>
      </c>
      <c r="C1072" t="inlineStr">
        <is>
          <t>UKPN</t>
        </is>
      </c>
      <c r="D1072" t="inlineStr">
        <is>
          <t>WD14EVB , MEWP , Land Rover , Defender</t>
        </is>
      </c>
      <c r="E1072" t="inlineStr">
        <is>
          <t>WD14EVB , MEWP , Land Rover , Defender</t>
        </is>
      </c>
      <c r="F1072" t="inlineStr">
        <is>
          <t>WD14EVB , MEWP , Land Rover , Defender</t>
        </is>
      </c>
      <c r="G1072" t="inlineStr">
        <is>
          <t xml:space="preserve">Abraham Davies </t>
        </is>
      </c>
      <c r="H1072" t="inlineStr">
        <is>
          <t>4x4</t>
        </is>
      </c>
      <c r="I1072" t="inlineStr">
        <is>
          <t>Daily/ Weekly Vehicle Inspection</t>
        </is>
      </c>
      <c r="J1072" t="inlineStr">
        <is>
          <t>N/A</t>
        </is>
      </c>
      <c r="K1072" t="inlineStr">
        <is>
          <t>7806 Optimum Tree Services Ltd</t>
        </is>
      </c>
      <c r="L1072" t="inlineStr">
        <is>
          <t>30/07/2025 08:14</t>
        </is>
      </c>
      <c r="M1072" t="inlineStr">
        <is>
          <t>None</t>
        </is>
      </c>
      <c r="N1072" t="inlineStr">
        <is>
          <t>&lt;p&gt;&lt;/p&gt;</t>
        </is>
      </c>
      <c r="O1072" t="inlineStr"/>
      <c r="P1072" t="inlineStr">
        <is>
          <t>WD14EVB , MEWP , Land Rover , Defender</t>
        </is>
      </c>
      <c r="Q1072" t="inlineStr">
        <is>
          <t>UKPN</t>
        </is>
      </c>
      <c r="R1072" t="b">
        <v>0</v>
      </c>
    </row>
    <row r="1073">
      <c r="A1073" t="inlineStr">
        <is>
          <t>30 Jul 2025 / Patryk Zietarski</t>
        </is>
      </c>
      <c r="B1073" t="inlineStr">
        <is>
          <t>Utilities &amp; Inland Waterways</t>
        </is>
      </c>
      <c r="C1073" t="inlineStr">
        <is>
          <t>UKPN</t>
        </is>
      </c>
      <c r="D1073" t="inlineStr">
        <is>
          <t>YW73CWL , Car - Electric , Kia , E-Niro</t>
        </is>
      </c>
      <c r="E1073" t="inlineStr">
        <is>
          <t>YW73CWL , Car - Electric , Kia , E-Niro</t>
        </is>
      </c>
      <c r="F1073" t="inlineStr">
        <is>
          <t>YW73CWL , Car - Electric , Kia , E-Niro</t>
        </is>
      </c>
      <c r="G1073" t="inlineStr">
        <is>
          <t xml:space="preserve">Patryk Zietarski </t>
        </is>
      </c>
      <c r="H1073" t="inlineStr">
        <is>
          <t>Car - Electric</t>
        </is>
      </c>
      <c r="I1073" t="inlineStr">
        <is>
          <t>Daily/ Weekly Vehicle Inspection</t>
        </is>
      </c>
      <c r="J1073" t="inlineStr">
        <is>
          <t>N/A</t>
        </is>
      </c>
      <c r="K1073" t="inlineStr">
        <is>
          <t>Patryk Zietarski</t>
        </is>
      </c>
      <c r="L1073" t="inlineStr">
        <is>
          <t>30/07/2025 08:15</t>
        </is>
      </c>
      <c r="M1073" t="inlineStr">
        <is>
          <t>None</t>
        </is>
      </c>
      <c r="N1073" t="inlineStr">
        <is>
          <t>&lt;p&gt;&lt;/p&gt;</t>
        </is>
      </c>
      <c r="O1073" t="inlineStr"/>
      <c r="P1073" t="inlineStr">
        <is>
          <t>YW73CWL , Car - Electric , Kia , E-Niro</t>
        </is>
      </c>
      <c r="Q1073" t="inlineStr">
        <is>
          <t>UKPN</t>
        </is>
      </c>
      <c r="R1073" t="b">
        <v>0</v>
      </c>
    </row>
    <row r="1074">
      <c r="A1074" t="inlineStr">
        <is>
          <t>30 Jul 2025 / 7186 Eastwoodbury Tree Services Ltd</t>
        </is>
      </c>
      <c r="B1074" t="inlineStr">
        <is>
          <t>Utilities &amp; Inland Waterways</t>
        </is>
      </c>
      <c r="C1074" t="inlineStr">
        <is>
          <t>UKPN</t>
        </is>
      </c>
      <c r="D1074" t="inlineStr">
        <is>
          <t>DE53NKS , 4x4 , Ford , Ranger</t>
        </is>
      </c>
      <c r="E1074" t="inlineStr">
        <is>
          <t>DE53NKS , 4x4 , Ford , Ranger</t>
        </is>
      </c>
      <c r="F1074" t="inlineStr">
        <is>
          <t>DE53NKS , 4x4 , Ford , Ranger</t>
        </is>
      </c>
      <c r="G1074" t="inlineStr">
        <is>
          <t xml:space="preserve">Jay Denkmayer </t>
        </is>
      </c>
      <c r="H1074" t="inlineStr">
        <is>
          <t>Pickup Truck</t>
        </is>
      </c>
      <c r="I1074" t="inlineStr">
        <is>
          <t>Daily/ Weekly Vehicle Inspection</t>
        </is>
      </c>
      <c r="J1074" t="inlineStr">
        <is>
          <t>N/A</t>
        </is>
      </c>
      <c r="K1074" t="inlineStr">
        <is>
          <t>7186 Eastwoodbury Tree Services Ltd</t>
        </is>
      </c>
      <c r="L1074" t="inlineStr">
        <is>
          <t>30/07/2025 08:16</t>
        </is>
      </c>
      <c r="M1074" t="inlineStr">
        <is>
          <t>None</t>
        </is>
      </c>
      <c r="N1074" t="inlineStr">
        <is>
          <t>&lt;p&gt;&lt;/p&gt;</t>
        </is>
      </c>
      <c r="O1074" t="inlineStr"/>
      <c r="P1074" t="inlineStr">
        <is>
          <t>DE53NKS , 4x4 , Ford , Ranger</t>
        </is>
      </c>
      <c r="Q1074" t="inlineStr">
        <is>
          <t>UKPN</t>
        </is>
      </c>
      <c r="R1074" t="b">
        <v>0</v>
      </c>
    </row>
    <row r="1075">
      <c r="A1075" t="inlineStr">
        <is>
          <t>30 Jul 2025 / 6617 Ashdown Tree Limited</t>
        </is>
      </c>
      <c r="B1075" t="inlineStr">
        <is>
          <t>Utilities &amp; Inland Waterways</t>
        </is>
      </c>
      <c r="C1075" t="inlineStr">
        <is>
          <t>UKPN</t>
        </is>
      </c>
      <c r="D1075" t="inlineStr">
        <is>
          <t>TR55TUB , 4x4 , Land rover  , Defender mewp</t>
        </is>
      </c>
      <c r="E1075" t="inlineStr">
        <is>
          <t>TR55TUB , 4x4 , Land rover  , Defender mewp</t>
        </is>
      </c>
      <c r="F1075" t="inlineStr">
        <is>
          <t>TR55TUB , 4x4 , Land rover  , Defender mewp</t>
        </is>
      </c>
      <c r="G1075" t="inlineStr">
        <is>
          <t>Dan Watkins</t>
        </is>
      </c>
      <c r="H1075" t="inlineStr">
        <is>
          <t>4x4</t>
        </is>
      </c>
      <c r="I1075" t="inlineStr">
        <is>
          <t>Daily/ Weekly Vehicle Inspection</t>
        </is>
      </c>
      <c r="J1075" t="inlineStr">
        <is>
          <t>N/A</t>
        </is>
      </c>
      <c r="K1075" t="inlineStr">
        <is>
          <t>6617 Ashdown Tree Limited</t>
        </is>
      </c>
      <c r="L1075" t="inlineStr">
        <is>
          <t>30/07/2025 08:16</t>
        </is>
      </c>
      <c r="M1075" t="inlineStr">
        <is>
          <t>None</t>
        </is>
      </c>
      <c r="N1075" t="inlineStr">
        <is>
          <t>&lt;p&gt;&lt;/p&gt;</t>
        </is>
      </c>
      <c r="O1075" t="inlineStr"/>
      <c r="P1075" t="inlineStr">
        <is>
          <t>TR55TUB , 4x4 , Land rover  , Defender mewp</t>
        </is>
      </c>
      <c r="Q1075" t="inlineStr">
        <is>
          <t>UKPN</t>
        </is>
      </c>
      <c r="R1075" t="b">
        <v>0</v>
      </c>
    </row>
    <row r="1076">
      <c r="A1076" t="inlineStr">
        <is>
          <t>30 Jul 2025 / 7186 Eastwoodbury Tree Services Ltd</t>
        </is>
      </c>
      <c r="B1076" t="inlineStr">
        <is>
          <t>Utilities &amp; Inland Waterways</t>
        </is>
      </c>
      <c r="C1076" t="inlineStr">
        <is>
          <t>UKPN</t>
        </is>
      </c>
      <c r="D1076" t="inlineStr">
        <is>
          <t>FN600XM , 4x4 , Land Rover  , Defender</t>
        </is>
      </c>
      <c r="E1076" t="inlineStr">
        <is>
          <t>FN600XM , 4x4 , Land Rover  , Defender</t>
        </is>
      </c>
      <c r="F1076" t="inlineStr">
        <is>
          <t>FN600XM , 4x4 , Land Rover  , Defender</t>
        </is>
      </c>
      <c r="G1076" t="inlineStr">
        <is>
          <t xml:space="preserve">Dan Gilbert </t>
        </is>
      </c>
      <c r="H1076" t="inlineStr">
        <is>
          <t>4x4</t>
        </is>
      </c>
      <c r="I1076" t="inlineStr">
        <is>
          <t>Daily/ Weekly Vehicle Inspection</t>
        </is>
      </c>
      <c r="J1076" t="inlineStr">
        <is>
          <t>N/A</t>
        </is>
      </c>
      <c r="K1076" t="inlineStr">
        <is>
          <t>7186 Eastwoodbury Tree Services Ltd</t>
        </is>
      </c>
      <c r="L1076" t="inlineStr">
        <is>
          <t>30/07/2025 08:17</t>
        </is>
      </c>
      <c r="M1076" t="inlineStr">
        <is>
          <t>None</t>
        </is>
      </c>
      <c r="N1076" t="inlineStr">
        <is>
          <t>&lt;p&gt;&lt;/p&gt;</t>
        </is>
      </c>
      <c r="O1076" t="inlineStr"/>
      <c r="P1076" t="inlineStr">
        <is>
          <t>FN600XM , 4x4 , Land Rover  , Defender</t>
        </is>
      </c>
      <c r="Q1076" t="inlineStr">
        <is>
          <t>UKPN</t>
        </is>
      </c>
      <c r="R1076" t="b">
        <v>0</v>
      </c>
    </row>
    <row r="1077">
      <c r="A1077" t="inlineStr">
        <is>
          <t>30 Jul 2025 / 6617 Ashdown Tree Limited 1</t>
        </is>
      </c>
      <c r="B1077" t="inlineStr">
        <is>
          <t>Utilities &amp; Inland Waterways</t>
        </is>
      </c>
      <c r="C1077" t="inlineStr">
        <is>
          <t>UKPN</t>
        </is>
      </c>
      <c r="D1077" t="inlineStr">
        <is>
          <t>SBXTW37A2PS241049 , Tow Chipper , Timberwolf , TW230</t>
        </is>
      </c>
      <c r="E1077" t="inlineStr">
        <is>
          <t>SBXTW37A2PS241049 , Tow Chipper , Timberwolf , TW230</t>
        </is>
      </c>
      <c r="F1077" t="inlineStr">
        <is>
          <t>SBXTW37A2PS241049 , Tow Chipper , Timberwolf , TW230</t>
        </is>
      </c>
      <c r="G1077" t="inlineStr">
        <is>
          <t>Luke.williams</t>
        </is>
      </c>
      <c r="H1077" t="inlineStr">
        <is>
          <t>Towed Chipper</t>
        </is>
      </c>
      <c r="I1077" t="inlineStr">
        <is>
          <t>Daily/ Weekly Vehicle Inspection</t>
        </is>
      </c>
      <c r="J1077" t="inlineStr">
        <is>
          <t>N/A</t>
        </is>
      </c>
      <c r="K1077" t="inlineStr">
        <is>
          <t>6617 Ashdown Tree Limited 1</t>
        </is>
      </c>
      <c r="L1077" t="inlineStr">
        <is>
          <t>30/07/2025 08:17</t>
        </is>
      </c>
      <c r="M1077" t="inlineStr">
        <is>
          <t>None</t>
        </is>
      </c>
      <c r="N1077" t="inlineStr">
        <is>
          <t>&lt;p&gt;&lt;/p&gt;</t>
        </is>
      </c>
      <c r="O1077" t="inlineStr"/>
      <c r="P1077" t="inlineStr">
        <is>
          <t>SBXTW37A2PS241049 , Tow Chipper , Timberwolf , TW230</t>
        </is>
      </c>
      <c r="Q1077" t="inlineStr">
        <is>
          <t>UKPN</t>
        </is>
      </c>
      <c r="R1077" t="b">
        <v>0</v>
      </c>
    </row>
    <row r="1078">
      <c r="A1078" t="inlineStr">
        <is>
          <t>30 Jul 2025 / 6617 Ashdown Tree Limited</t>
        </is>
      </c>
      <c r="B1078" t="inlineStr">
        <is>
          <t>Utilities &amp; Inland Waterways</t>
        </is>
      </c>
      <c r="C1078" t="inlineStr">
        <is>
          <t>UKPN</t>
        </is>
      </c>
      <c r="D1078" t="inlineStr">
        <is>
          <t>Tipper - Ford transit  - Ford  - Av21 Kew</t>
        </is>
      </c>
      <c r="E1078" t="inlineStr">
        <is>
          <t>Tipper - Ford transit  - Ford  - Av21 Kew</t>
        </is>
      </c>
      <c r="F1078" t="inlineStr">
        <is>
          <t>Tipper - Ford transit  - Ford  - Av21 Kew</t>
        </is>
      </c>
      <c r="G1078" t="inlineStr">
        <is>
          <t xml:space="preserve">Ashley </t>
        </is>
      </c>
      <c r="H1078" t="inlineStr">
        <is>
          <t>Tipper</t>
        </is>
      </c>
      <c r="I1078" t="inlineStr">
        <is>
          <t>Daily/ Weekly Vehicle Inspection</t>
        </is>
      </c>
      <c r="J1078" t="inlineStr">
        <is>
          <t>N/A</t>
        </is>
      </c>
      <c r="K1078" t="inlineStr">
        <is>
          <t>6617 Ashdown Tree Limited</t>
        </is>
      </c>
      <c r="L1078" t="inlineStr">
        <is>
          <t>30/07/2025 08:18</t>
        </is>
      </c>
      <c r="M1078" t="inlineStr">
        <is>
          <t>None</t>
        </is>
      </c>
      <c r="N1078" t="inlineStr">
        <is>
          <t>&lt;p&gt;&lt;/p&gt;</t>
        </is>
      </c>
      <c r="O1078" t="inlineStr"/>
      <c r="P1078" t="inlineStr">
        <is>
          <t>Tipper - Ford transit  - Ford  - Av21 Kew</t>
        </is>
      </c>
      <c r="Q1078" t="inlineStr">
        <is>
          <t>UKPN</t>
        </is>
      </c>
      <c r="R1078" t="b">
        <v>0</v>
      </c>
    </row>
    <row r="1079">
      <c r="A1079" t="inlineStr">
        <is>
          <t>30 Jul 2025 / 6617 Ashdown Tree Limited 1</t>
        </is>
      </c>
      <c r="B1079" t="inlineStr">
        <is>
          <t>Utilities &amp; Inland Waterways</t>
        </is>
      </c>
      <c r="C1079" t="inlineStr">
        <is>
          <t>UKPN</t>
        </is>
      </c>
      <c r="D1079" t="inlineStr">
        <is>
          <t>GU11LKD , 4x4 , Land Rover , Defender</t>
        </is>
      </c>
      <c r="E1079" t="inlineStr">
        <is>
          <t>GU11LKD , 4x4 , Land Rover , Defender</t>
        </is>
      </c>
      <c r="F1079" t="inlineStr">
        <is>
          <t>GU11LKD , 4x4 , Land Rover , Defender</t>
        </is>
      </c>
      <c r="G1079" t="inlineStr">
        <is>
          <t xml:space="preserve">Luke williams </t>
        </is>
      </c>
      <c r="H1079" t="inlineStr">
        <is>
          <t>4x4</t>
        </is>
      </c>
      <c r="I1079" t="inlineStr">
        <is>
          <t>Daily/ Weekly Vehicle Inspection</t>
        </is>
      </c>
      <c r="J1079" t="inlineStr">
        <is>
          <t>N/A</t>
        </is>
      </c>
      <c r="K1079" t="inlineStr">
        <is>
          <t>6617 Ashdown Tree Limited 1</t>
        </is>
      </c>
      <c r="L1079" t="inlineStr">
        <is>
          <t>30/07/2025 08:19</t>
        </is>
      </c>
      <c r="M1079" t="inlineStr">
        <is>
          <t>None</t>
        </is>
      </c>
      <c r="N1079" t="inlineStr">
        <is>
          <t>&lt;p&gt;&lt;/p&gt;</t>
        </is>
      </c>
      <c r="O1079" t="inlineStr"/>
      <c r="P1079" t="inlineStr">
        <is>
          <t>GU11LKD , 4x4 , Land Rover , Defender</t>
        </is>
      </c>
      <c r="Q1079" t="inlineStr">
        <is>
          <t>UKPN</t>
        </is>
      </c>
      <c r="R1079" t="b">
        <v>0</v>
      </c>
    </row>
    <row r="1080">
      <c r="A1080" t="inlineStr">
        <is>
          <t>30 Jul 2025 / 6617 Ashdown Tree Limited 1</t>
        </is>
      </c>
      <c r="B1080" t="inlineStr">
        <is>
          <t>Utilities &amp; Inland Waterways</t>
        </is>
      </c>
      <c r="C1080" t="inlineStr">
        <is>
          <t>UKPN</t>
        </is>
      </c>
      <c r="D1080" t="inlineStr">
        <is>
          <t>Equipment Trailer - IFor Williams - GD105 - sckd00000n5214943</t>
        </is>
      </c>
      <c r="E1080" t="inlineStr">
        <is>
          <t>Equipment Trailer - IFor Williams - GD105 - sckd00000n5214943</t>
        </is>
      </c>
      <c r="F1080" t="inlineStr">
        <is>
          <t>Equipment Trailer - IFor Williams - GD105 - sckd00000n5214943</t>
        </is>
      </c>
      <c r="G1080" t="inlineStr">
        <is>
          <t xml:space="preserve">Francislesser </t>
        </is>
      </c>
      <c r="H1080" t="inlineStr">
        <is>
          <t>Plant Trailer</t>
        </is>
      </c>
      <c r="I1080" t="inlineStr">
        <is>
          <t>Daily/ Weekly Vehicle Inspection</t>
        </is>
      </c>
      <c r="J1080" t="inlineStr">
        <is>
          <t>N/A</t>
        </is>
      </c>
      <c r="K1080" t="inlineStr">
        <is>
          <t>6617 Ashdown Tree Limited 1</t>
        </is>
      </c>
      <c r="L1080" t="inlineStr">
        <is>
          <t>30/07/2025 08:19</t>
        </is>
      </c>
      <c r="M1080" t="inlineStr">
        <is>
          <t>None</t>
        </is>
      </c>
      <c r="N1080" t="inlineStr">
        <is>
          <t>&lt;p&gt;&lt;/p&gt;</t>
        </is>
      </c>
      <c r="O1080" t="inlineStr"/>
      <c r="P1080" t="inlineStr">
        <is>
          <t>Equipment Trailer - IFor Williams - GD105 - sckd00000n5214943</t>
        </is>
      </c>
      <c r="Q1080" t="inlineStr">
        <is>
          <t>UKPN</t>
        </is>
      </c>
      <c r="R1080" t="b">
        <v>0</v>
      </c>
    </row>
    <row r="1081">
      <c r="A1081" t="inlineStr">
        <is>
          <t>30 Jul 2025 / 6617 Ashdown Tree Limited 1</t>
        </is>
      </c>
      <c r="B1081" t="inlineStr">
        <is>
          <t>Utilities &amp; Inland Waterways</t>
        </is>
      </c>
      <c r="C1081" t="inlineStr">
        <is>
          <t>UKPN</t>
        </is>
      </c>
      <c r="D1081" t="inlineStr">
        <is>
          <t>WF11EJJ , Vehicle , Land Rover , Discovery</t>
        </is>
      </c>
      <c r="E1081" t="inlineStr">
        <is>
          <t>WF11EJJ , Vehicle , Land Rover , Discovery</t>
        </is>
      </c>
      <c r="F1081" t="inlineStr">
        <is>
          <t>WF11EJJ , Vehicle , Land Rover , Discovery</t>
        </is>
      </c>
      <c r="G1081" t="inlineStr">
        <is>
          <t xml:space="preserve">Francislesser </t>
        </is>
      </c>
      <c r="H1081" t="inlineStr">
        <is>
          <t>4x4</t>
        </is>
      </c>
      <c r="I1081" t="inlineStr">
        <is>
          <t>Daily/ Weekly Vehicle Inspection</t>
        </is>
      </c>
      <c r="J1081" t="inlineStr">
        <is>
          <t>N/A</t>
        </is>
      </c>
      <c r="K1081" t="inlineStr">
        <is>
          <t>6617 Ashdown Tree Limited 1</t>
        </is>
      </c>
      <c r="L1081" t="inlineStr">
        <is>
          <t>30/07/2025 08:20</t>
        </is>
      </c>
      <c r="M1081" t="inlineStr">
        <is>
          <t>None</t>
        </is>
      </c>
      <c r="N1081" t="inlineStr">
        <is>
          <t>&lt;p&gt;&lt;/p&gt;</t>
        </is>
      </c>
      <c r="O1081" t="inlineStr"/>
      <c r="P1081" t="inlineStr">
        <is>
          <t>WF11EJJ , Vehicle , Land Rover , Discovery</t>
        </is>
      </c>
      <c r="Q1081" t="inlineStr">
        <is>
          <t>UKPN</t>
        </is>
      </c>
      <c r="R1081" t="b">
        <v>0</v>
      </c>
    </row>
    <row r="1082">
      <c r="A1082" t="inlineStr">
        <is>
          <t>30 Jul 2025 / 3988 Valiant Arborist Ltd</t>
        </is>
      </c>
      <c r="B1082" t="inlineStr">
        <is>
          <t>Utilities &amp; Inland Waterways</t>
        </is>
      </c>
      <c r="C1082" t="inlineStr">
        <is>
          <t>UKPN</t>
        </is>
      </c>
      <c r="D1082" t="inlineStr">
        <is>
          <t>4x4 - Isuzu  - D Max  - BT24 YEC</t>
        </is>
      </c>
      <c r="E1082" t="inlineStr">
        <is>
          <t>4x4 - Isuzu  - D Max  - BT24 YEC</t>
        </is>
      </c>
      <c r="F1082" t="inlineStr">
        <is>
          <t>4x4 - Isuzu  - D Max  - BT24 YEC</t>
        </is>
      </c>
      <c r="G1082" t="inlineStr">
        <is>
          <t>Sam knight</t>
        </is>
      </c>
      <c r="H1082" t="inlineStr">
        <is>
          <t>4x4</t>
        </is>
      </c>
      <c r="I1082" t="inlineStr">
        <is>
          <t>Daily/ Weekly Vehicle Inspection</t>
        </is>
      </c>
      <c r="J1082" t="inlineStr">
        <is>
          <t>N/A</t>
        </is>
      </c>
      <c r="K1082" t="inlineStr">
        <is>
          <t>3988 Valiant Arborist Ltd</t>
        </is>
      </c>
      <c r="L1082" t="inlineStr">
        <is>
          <t>30/07/2025 09:12</t>
        </is>
      </c>
      <c r="M1082" t="inlineStr">
        <is>
          <t>None</t>
        </is>
      </c>
      <c r="N1082" t="inlineStr">
        <is>
          <t>&lt;p&gt;&lt;/p&gt;</t>
        </is>
      </c>
      <c r="O1082" t="inlineStr"/>
      <c r="P1082" t="inlineStr">
        <is>
          <t>4x4 - Isuzu  - D Max  - BT24 YEC</t>
        </is>
      </c>
      <c r="Q1082" t="inlineStr">
        <is>
          <t>UKPN</t>
        </is>
      </c>
      <c r="R1082" t="b">
        <v>0</v>
      </c>
    </row>
    <row r="1083">
      <c r="A1083" t="inlineStr">
        <is>
          <t>23 Jun 2025 / Philip Cadwgan</t>
        </is>
      </c>
      <c r="B1083" t="inlineStr">
        <is>
          <t>Utilities &amp; Inland Waterways</t>
        </is>
      </c>
      <c r="C1083" t="inlineStr">
        <is>
          <t>NGED</t>
        </is>
      </c>
      <c r="D1083" t="inlineStr">
        <is>
          <t>DY24WJJ , N/A , Vauxhall , Vivaro</t>
        </is>
      </c>
      <c r="E1083" t="inlineStr">
        <is>
          <t>DY24WJJ , N/A , Vauxhall , Vivaro</t>
        </is>
      </c>
      <c r="F1083" t="inlineStr">
        <is>
          <t>DY24WJJ , N/A , Vauxhall , Vivaro</t>
        </is>
      </c>
      <c r="G1083" t="inlineStr">
        <is>
          <t xml:space="preserve">Phill Cadwgan </t>
        </is>
      </c>
      <c r="H1083" t="inlineStr">
        <is>
          <t>Van</t>
        </is>
      </c>
      <c r="I1083" t="inlineStr">
        <is>
          <t>Daily/ Weekly Vehicle Inspection</t>
        </is>
      </c>
      <c r="J1083" t="inlineStr">
        <is>
          <t>N/A</t>
        </is>
      </c>
      <c r="K1083" t="inlineStr">
        <is>
          <t>Philip Cadwgan</t>
        </is>
      </c>
      <c r="L1083" t="inlineStr">
        <is>
          <t>30/07/2025 15:13</t>
        </is>
      </c>
      <c r="M1083" t="inlineStr">
        <is>
          <t>None</t>
        </is>
      </c>
      <c r="N1083" t="inlineStr">
        <is>
          <t>&lt;p&gt;&lt;/p&gt;</t>
        </is>
      </c>
      <c r="O1083" t="inlineStr"/>
      <c r="P1083" t="inlineStr">
        <is>
          <t>DY24WJJ , N/A , Vauxhall , Vivaro</t>
        </is>
      </c>
      <c r="Q1083" t="inlineStr">
        <is>
          <t>NGED</t>
        </is>
      </c>
      <c r="R1083" t="b">
        <v>0</v>
      </c>
    </row>
    <row r="1084">
      <c r="A1084" t="inlineStr">
        <is>
          <t>31 Jul 2025 / Anthony Gale</t>
        </is>
      </c>
      <c r="B1084" t="inlineStr">
        <is>
          <t>Utilities &amp; Inland Waterways</t>
        </is>
      </c>
      <c r="C1084" t="inlineStr">
        <is>
          <t>UKPN</t>
        </is>
      </c>
      <c r="D1084" t="inlineStr">
        <is>
          <t>PE07 HGL , Vehicle , Mitsubishi , L200 K74</t>
        </is>
      </c>
      <c r="E1084" t="inlineStr">
        <is>
          <t>PE07 HGL , Vehicle , Mitsubishi , L200 K74</t>
        </is>
      </c>
      <c r="F1084" t="inlineStr">
        <is>
          <t>PE07 HGL , Vehicle , Mitsubishi , L200 K74</t>
        </is>
      </c>
      <c r="G1084" t="inlineStr">
        <is>
          <t>Anthony Gale</t>
        </is>
      </c>
      <c r="H1084" t="inlineStr">
        <is>
          <t>Pickup Truck</t>
        </is>
      </c>
      <c r="I1084" t="inlineStr">
        <is>
          <t>Daily/ Weekly Vehicle Inspection</t>
        </is>
      </c>
      <c r="J1084" t="inlineStr">
        <is>
          <t>N/A</t>
        </is>
      </c>
      <c r="K1084" t="inlineStr">
        <is>
          <t>7996 M G Tree Surgery Ltd 1</t>
        </is>
      </c>
      <c r="L1084" t="inlineStr">
        <is>
          <t>31/07/2025 07:13</t>
        </is>
      </c>
      <c r="M1084" t="inlineStr">
        <is>
          <t>None</t>
        </is>
      </c>
      <c r="N1084" t="inlineStr">
        <is>
          <t>&lt;p&gt;&lt;/p&gt;</t>
        </is>
      </c>
      <c r="O1084" t="inlineStr"/>
      <c r="P1084" t="inlineStr">
        <is>
          <t>PE07 HGL , Vehicle , Mitsubishi , L200 K74</t>
        </is>
      </c>
      <c r="Q1084" t="inlineStr">
        <is>
          <t>UKPN</t>
        </is>
      </c>
      <c r="R1084" t="b">
        <v>0</v>
      </c>
    </row>
    <row r="1085">
      <c r="A1085" t="inlineStr">
        <is>
          <t>31 Jul 2025 / 7186 Eastwoodbury Tree Services Ltd</t>
        </is>
      </c>
      <c r="B1085" t="inlineStr">
        <is>
          <t>Utilities &amp; Inland Waterways</t>
        </is>
      </c>
      <c r="C1085" t="inlineStr">
        <is>
          <t>UKPN</t>
        </is>
      </c>
      <c r="D1085" t="inlineStr">
        <is>
          <t>4x4 - Land rover  - Defenders  - WF13 EKM</t>
        </is>
      </c>
      <c r="E1085" t="inlineStr">
        <is>
          <t>4x4 - Land rover  - Defenders  - WF13 EKM</t>
        </is>
      </c>
      <c r="F1085" t="inlineStr">
        <is>
          <t>4x4 - Land rover  - Defenders  - WF13 EKM</t>
        </is>
      </c>
      <c r="G1085" t="inlineStr">
        <is>
          <t xml:space="preserve">Jay Denkmayer </t>
        </is>
      </c>
      <c r="H1085" t="inlineStr">
        <is>
          <t>4x4</t>
        </is>
      </c>
      <c r="I1085" t="inlineStr">
        <is>
          <t>Daily/ Weekly Vehicle Inspection</t>
        </is>
      </c>
      <c r="J1085" t="inlineStr">
        <is>
          <t>N/A</t>
        </is>
      </c>
      <c r="K1085" t="inlineStr">
        <is>
          <t>7186 Eastwoodbury Tree Services Ltd</t>
        </is>
      </c>
      <c r="L1085" t="inlineStr">
        <is>
          <t>31/07/2025 07:14</t>
        </is>
      </c>
      <c r="M1085" t="inlineStr">
        <is>
          <t>None</t>
        </is>
      </c>
      <c r="N1085" t="inlineStr">
        <is>
          <t>&lt;p&gt;&lt;/p&gt;</t>
        </is>
      </c>
      <c r="O1085" t="inlineStr"/>
      <c r="P1085" t="inlineStr">
        <is>
          <t>4x4 - Land rover  - Defenders  - WF13 EKM</t>
        </is>
      </c>
      <c r="Q1085" t="inlineStr">
        <is>
          <t>UKPN</t>
        </is>
      </c>
      <c r="R1085" t="b">
        <v>0</v>
      </c>
    </row>
    <row r="1086">
      <c r="A1086" t="inlineStr">
        <is>
          <t>31 Jul 2025 / 6617 Ashdown Tree Limited 1</t>
        </is>
      </c>
      <c r="B1086" t="inlineStr">
        <is>
          <t>Utilities &amp; Inland Waterways</t>
        </is>
      </c>
      <c r="C1086" t="inlineStr">
        <is>
          <t>UKPN</t>
        </is>
      </c>
      <c r="D1086" t="inlineStr">
        <is>
          <t>Equipment Trailer - IFor Williams - GD105 - sckd00000n5214943</t>
        </is>
      </c>
      <c r="E1086" t="inlineStr">
        <is>
          <t>Equipment Trailer - IFor Williams - GD105 - sckd00000n5214943</t>
        </is>
      </c>
      <c r="F1086" t="inlineStr">
        <is>
          <t>Equipment Trailer - IFor Williams - GD105 - sckd00000n5214943</t>
        </is>
      </c>
      <c r="G1086" t="inlineStr">
        <is>
          <t xml:space="preserve">Francislesser </t>
        </is>
      </c>
      <c r="H1086" t="inlineStr">
        <is>
          <t>Plant Trailer</t>
        </is>
      </c>
      <c r="I1086" t="inlineStr">
        <is>
          <t>Daily/ Weekly Vehicle Inspection</t>
        </is>
      </c>
      <c r="J1086" t="inlineStr">
        <is>
          <t>N/A</t>
        </is>
      </c>
      <c r="K1086" t="inlineStr">
        <is>
          <t>6617 Ashdown Tree Limited 1</t>
        </is>
      </c>
      <c r="L1086" t="inlineStr">
        <is>
          <t>31/07/2025 07:14</t>
        </is>
      </c>
      <c r="M1086" t="inlineStr">
        <is>
          <t>None</t>
        </is>
      </c>
      <c r="N1086" t="inlineStr">
        <is>
          <t>&lt;p&gt;&lt;/p&gt;</t>
        </is>
      </c>
      <c r="O1086" t="inlineStr"/>
      <c r="P1086" t="inlineStr">
        <is>
          <t>Equipment Trailer - IFor Williams - GD105 - sckd00000n5214943</t>
        </is>
      </c>
      <c r="Q1086" t="inlineStr">
        <is>
          <t>UKPN</t>
        </is>
      </c>
      <c r="R1086" t="b">
        <v>0</v>
      </c>
    </row>
    <row r="1087">
      <c r="A1087" t="inlineStr">
        <is>
          <t>31 Jul 2025 / 6617 Ashdown Tree Limited 1</t>
        </is>
      </c>
      <c r="B1087" t="inlineStr">
        <is>
          <t>Utilities &amp; Inland Waterways</t>
        </is>
      </c>
      <c r="C1087" t="inlineStr">
        <is>
          <t>UKPN</t>
        </is>
      </c>
      <c r="D1087" t="inlineStr">
        <is>
          <t>WF11EJJ , Vehicle , Land Rover , Discovery</t>
        </is>
      </c>
      <c r="E1087" t="inlineStr">
        <is>
          <t>WF11EJJ , Vehicle , Land Rover , Discovery</t>
        </is>
      </c>
      <c r="F1087" t="inlineStr">
        <is>
          <t>WF11EJJ , Vehicle , Land Rover , Discovery</t>
        </is>
      </c>
      <c r="G1087" t="inlineStr">
        <is>
          <t xml:space="preserve">Francislesser </t>
        </is>
      </c>
      <c r="H1087" t="inlineStr">
        <is>
          <t>4x4</t>
        </is>
      </c>
      <c r="I1087" t="inlineStr">
        <is>
          <t>Daily/ Weekly Vehicle Inspection</t>
        </is>
      </c>
      <c r="J1087" t="inlineStr">
        <is>
          <t>N/A</t>
        </is>
      </c>
      <c r="K1087" t="inlineStr">
        <is>
          <t>6617 Ashdown Tree Limited 1</t>
        </is>
      </c>
      <c r="L1087" t="inlineStr">
        <is>
          <t>31/07/2025 07:15</t>
        </is>
      </c>
      <c r="M1087" t="inlineStr">
        <is>
          <t>None</t>
        </is>
      </c>
      <c r="N1087" t="inlineStr">
        <is>
          <t>&lt;p&gt;&lt;/p&gt;</t>
        </is>
      </c>
      <c r="O1087" t="inlineStr"/>
      <c r="P1087" t="inlineStr">
        <is>
          <t>WF11EJJ , Vehicle , Land Rover , Discovery</t>
        </is>
      </c>
      <c r="Q1087" t="inlineStr">
        <is>
          <t>UKPN</t>
        </is>
      </c>
      <c r="R1087" t="b">
        <v>0</v>
      </c>
    </row>
    <row r="1088">
      <c r="A1088" t="inlineStr">
        <is>
          <t>31 Jul 2025 / 6617 Ashdown Tree Limited 1</t>
        </is>
      </c>
      <c r="B1088" t="inlineStr">
        <is>
          <t>Utilities &amp; Inland Waterways</t>
        </is>
      </c>
      <c r="C1088" t="inlineStr">
        <is>
          <t>UKPN</t>
        </is>
      </c>
      <c r="D1088" t="inlineStr">
        <is>
          <t>SBXTW35A6LS209184 , Tow Chipper , Timberwolf , TW230DHB</t>
        </is>
      </c>
      <c r="E1088" t="inlineStr">
        <is>
          <t>SBXTW35A6LS209184 , Tow Chipper , Timberwolf , TW230DHB</t>
        </is>
      </c>
      <c r="F1088" t="inlineStr">
        <is>
          <t>SBXTW35A6LS209184 , Tow Chipper , Timberwolf , TW230DHB</t>
        </is>
      </c>
      <c r="G1088" t="inlineStr">
        <is>
          <t xml:space="preserve">Luke williams </t>
        </is>
      </c>
      <c r="H1088" t="inlineStr">
        <is>
          <t>Towed Chipper</t>
        </is>
      </c>
      <c r="I1088" t="inlineStr">
        <is>
          <t>Daily/ Weekly Vehicle Inspection</t>
        </is>
      </c>
      <c r="J1088" t="inlineStr">
        <is>
          <t>N/A</t>
        </is>
      </c>
      <c r="K1088" t="inlineStr">
        <is>
          <t>6617 Ashdown Tree Limited 1</t>
        </is>
      </c>
      <c r="L1088" t="inlineStr">
        <is>
          <t>31/07/2025 07:16</t>
        </is>
      </c>
      <c r="M1088" t="inlineStr">
        <is>
          <t>None</t>
        </is>
      </c>
      <c r="N1088" t="inlineStr">
        <is>
          <t>&lt;p&gt;&lt;/p&gt;</t>
        </is>
      </c>
      <c r="O1088" t="inlineStr"/>
      <c r="P1088" t="inlineStr">
        <is>
          <t>SBXTW35A6LS209184 , Tow Chipper , Timberwolf , TW230DHB</t>
        </is>
      </c>
      <c r="Q1088" t="inlineStr">
        <is>
          <t>UKPN</t>
        </is>
      </c>
      <c r="R1088" t="b">
        <v>0</v>
      </c>
    </row>
    <row r="1089">
      <c r="A1089" t="inlineStr">
        <is>
          <t>31 Jul 2025 / 6617 Ashdown Tree Limited</t>
        </is>
      </c>
      <c r="B1089" t="inlineStr">
        <is>
          <t>Utilities &amp; Inland Waterways</t>
        </is>
      </c>
      <c r="C1089" t="inlineStr">
        <is>
          <t>UKPN</t>
        </is>
      </c>
      <c r="D1089" t="inlineStr">
        <is>
          <t>TR55TUB , 4x4 , Land rover  , Defender mewp</t>
        </is>
      </c>
      <c r="E1089" t="inlineStr">
        <is>
          <t>TR55TUB , 4x4 , Land rover  , Defender mewp</t>
        </is>
      </c>
      <c r="F1089" t="inlineStr">
        <is>
          <t>TR55TUB , 4x4 , Land rover  , Defender mewp</t>
        </is>
      </c>
      <c r="G1089" t="inlineStr">
        <is>
          <t>Dan</t>
        </is>
      </c>
      <c r="H1089" t="inlineStr">
        <is>
          <t>4x4</t>
        </is>
      </c>
      <c r="I1089" t="inlineStr">
        <is>
          <t>Daily/ Weekly Vehicle Inspection</t>
        </is>
      </c>
      <c r="J1089" t="inlineStr">
        <is>
          <t>N/A</t>
        </is>
      </c>
      <c r="K1089" t="inlineStr">
        <is>
          <t>6617 Ashdown Tree Limited</t>
        </is>
      </c>
      <c r="L1089" t="inlineStr">
        <is>
          <t>31/07/2025 07:16</t>
        </is>
      </c>
      <c r="M1089" t="inlineStr">
        <is>
          <t>None</t>
        </is>
      </c>
      <c r="N1089" t="inlineStr">
        <is>
          <t>&lt;p&gt;&lt;/p&gt;</t>
        </is>
      </c>
      <c r="O1089" t="inlineStr"/>
      <c r="P1089" t="inlineStr">
        <is>
          <t>TR55TUB , 4x4 , Land rover  , Defender mewp</t>
        </is>
      </c>
      <c r="Q1089" t="inlineStr">
        <is>
          <t>UKPN</t>
        </is>
      </c>
      <c r="R1089" t="b">
        <v>0</v>
      </c>
    </row>
    <row r="1090">
      <c r="A1090" t="inlineStr">
        <is>
          <t>31 Jul 2025 / 6617 Ashdown Tree Limited 1</t>
        </is>
      </c>
      <c r="B1090" t="inlineStr">
        <is>
          <t>Utilities &amp; Inland Waterways</t>
        </is>
      </c>
      <c r="C1090" t="inlineStr">
        <is>
          <t>UKPN</t>
        </is>
      </c>
      <c r="D1090" t="inlineStr">
        <is>
          <t>GU11LKD , 4x4 , Land Rover , Defender</t>
        </is>
      </c>
      <c r="E1090" t="inlineStr">
        <is>
          <t>GU11LKD , 4x4 , Land Rover , Defender</t>
        </is>
      </c>
      <c r="F1090" t="inlineStr">
        <is>
          <t>GU11LKD , 4x4 , Land Rover , Defender</t>
        </is>
      </c>
      <c r="G1090" t="inlineStr">
        <is>
          <t>Luke.williams</t>
        </is>
      </c>
      <c r="H1090" t="inlineStr">
        <is>
          <t>4x4</t>
        </is>
      </c>
      <c r="I1090" t="inlineStr">
        <is>
          <t>Daily/ Weekly Vehicle Inspection</t>
        </is>
      </c>
      <c r="J1090" t="inlineStr">
        <is>
          <t>N/A</t>
        </is>
      </c>
      <c r="K1090" t="inlineStr">
        <is>
          <t>6617 Ashdown Tree Limited 1</t>
        </is>
      </c>
      <c r="L1090" t="inlineStr">
        <is>
          <t>31/07/2025 07:17</t>
        </is>
      </c>
      <c r="M1090" t="inlineStr">
        <is>
          <t>None</t>
        </is>
      </c>
      <c r="N1090" t="inlineStr">
        <is>
          <t>&lt;p&gt;&lt;/p&gt;</t>
        </is>
      </c>
      <c r="O1090" t="inlineStr"/>
      <c r="P1090" t="inlineStr">
        <is>
          <t>GU11LKD , 4x4 , Land Rover , Defender</t>
        </is>
      </c>
      <c r="Q1090" t="inlineStr">
        <is>
          <t>UKPN</t>
        </is>
      </c>
      <c r="R1090" t="b">
        <v>0</v>
      </c>
    </row>
    <row r="1091">
      <c r="A1091" t="inlineStr">
        <is>
          <t>31 Jul 2025 / 6617 Ashdown Tree Limited</t>
        </is>
      </c>
      <c r="B1091" t="inlineStr">
        <is>
          <t>Utilities &amp; Inland Waterways</t>
        </is>
      </c>
      <c r="C1091" t="inlineStr">
        <is>
          <t>UKPN</t>
        </is>
      </c>
      <c r="D1091" t="inlineStr">
        <is>
          <t>Tipper - Ford  - Transit  - Av21 kww</t>
        </is>
      </c>
      <c r="E1091" t="inlineStr">
        <is>
          <t>Tipper - Ford  - Transit  - Av21 kww</t>
        </is>
      </c>
      <c r="F1091" t="inlineStr">
        <is>
          <t>Tipper - Ford  - Transit  - Av21 kww</t>
        </is>
      </c>
      <c r="G1091" t="inlineStr">
        <is>
          <t xml:space="preserve">Ashley </t>
        </is>
      </c>
      <c r="H1091" t="inlineStr">
        <is>
          <t>Tipper</t>
        </is>
      </c>
      <c r="I1091" t="inlineStr">
        <is>
          <t>Daily/ Weekly Vehicle Inspection</t>
        </is>
      </c>
      <c r="J1091" t="inlineStr">
        <is>
          <t>N/A</t>
        </is>
      </c>
      <c r="K1091" t="inlineStr">
        <is>
          <t>6617 Ashdown Tree Limited</t>
        </is>
      </c>
      <c r="L1091" t="inlineStr">
        <is>
          <t>31/07/2025 07:18</t>
        </is>
      </c>
      <c r="M1091" t="inlineStr">
        <is>
          <t>None</t>
        </is>
      </c>
      <c r="N1091" t="inlineStr">
        <is>
          <t>&lt;p&gt;&lt;/p&gt;</t>
        </is>
      </c>
      <c r="O1091" t="inlineStr"/>
      <c r="P1091" t="inlineStr">
        <is>
          <t>Tipper - Ford  - Transit  - Av21 kww</t>
        </is>
      </c>
      <c r="Q1091" t="inlineStr">
        <is>
          <t>UKPN</t>
        </is>
      </c>
      <c r="R1091" t="b">
        <v>0</v>
      </c>
    </row>
    <row r="1092">
      <c r="A1092" t="inlineStr">
        <is>
          <t>31 Jul 2025 / 7186 Eastwoodbury Tree Services Ltd</t>
        </is>
      </c>
      <c r="B1092" t="inlineStr">
        <is>
          <t>Utilities &amp; Inland Waterways</t>
        </is>
      </c>
      <c r="C1092" t="inlineStr">
        <is>
          <t>UKPN</t>
        </is>
      </c>
      <c r="D1092" t="inlineStr">
        <is>
          <t>FN600XM , 4x4 , Land Rover  , Defender</t>
        </is>
      </c>
      <c r="E1092" t="inlineStr">
        <is>
          <t>FN600XM , 4x4 , Land Rover  , Defender</t>
        </is>
      </c>
      <c r="F1092" t="inlineStr">
        <is>
          <t>FN600XM , 4x4 , Land Rover  , Defender</t>
        </is>
      </c>
      <c r="G1092" t="inlineStr">
        <is>
          <t xml:space="preserve">Dan Gilbert </t>
        </is>
      </c>
      <c r="H1092" t="inlineStr">
        <is>
          <t>4x4</t>
        </is>
      </c>
      <c r="I1092" t="inlineStr">
        <is>
          <t>Daily/ Weekly Vehicle Inspection</t>
        </is>
      </c>
      <c r="J1092" t="inlineStr">
        <is>
          <t>N/A</t>
        </is>
      </c>
      <c r="K1092" t="inlineStr">
        <is>
          <t>7186 Eastwoodbury Tree Services Ltd</t>
        </is>
      </c>
      <c r="L1092" t="inlineStr">
        <is>
          <t>31/07/2025 07:19</t>
        </is>
      </c>
      <c r="M1092" t="inlineStr">
        <is>
          <t>None</t>
        </is>
      </c>
      <c r="N1092" t="inlineStr">
        <is>
          <t>&lt;p&gt;&lt;/p&gt;</t>
        </is>
      </c>
      <c r="O1092" t="inlineStr"/>
      <c r="P1092" t="inlineStr">
        <is>
          <t>FN600XM , 4x4 , Land Rover  , Defender</t>
        </is>
      </c>
      <c r="Q1092" t="inlineStr">
        <is>
          <t>UKPN</t>
        </is>
      </c>
      <c r="R1092" t="b">
        <v>0</v>
      </c>
    </row>
    <row r="1093">
      <c r="A1093" t="inlineStr">
        <is>
          <t>31 Jul 2025 / 7889 Tree Tech Suffolk Ltd</t>
        </is>
      </c>
      <c r="B1093" t="inlineStr">
        <is>
          <t>Utilities &amp; Inland Waterways</t>
        </is>
      </c>
      <c r="C1093" t="inlineStr">
        <is>
          <t>UKPN</t>
        </is>
      </c>
      <c r="D1093" t="inlineStr">
        <is>
          <t>Tow Chipper - Jenson - A530L - 5521063948Tipper - Nissan - Navara - NS02TTS4x4 - Isuzu - D-max - NS03 TTS</t>
        </is>
      </c>
      <c r="E1093" t="inlineStr">
        <is>
          <t>Tow Chipper - Jenson - A530L - 5521063948Tipper - Nissan - Navara - NS02TTS4x4 - Isuzu - D-max - NS03 TTS</t>
        </is>
      </c>
      <c r="F1093" t="inlineStr">
        <is>
          <t>Tow Chipper - Jenson - A530L - 5521063948Tipper - Nissan - Navara - NS02TTS4x4 - Isuzu - D-max - NS03 TTS</t>
        </is>
      </c>
      <c r="G1093" t="inlineStr">
        <is>
          <t xml:space="preserve">Danny Appleby Nikki sparrow Danny Appleby </t>
        </is>
      </c>
      <c r="H1093" t="inlineStr">
        <is>
          <t>Towed ChipperTipper4x4</t>
        </is>
      </c>
      <c r="I1093" t="inlineStr">
        <is>
          <t>Daily/ Weekly Vehicle Inspection</t>
        </is>
      </c>
      <c r="J1093" t="inlineStr">
        <is>
          <t>N/A</t>
        </is>
      </c>
      <c r="K1093" t="inlineStr">
        <is>
          <t>7889 Tree Tech Suffolk Ltd</t>
        </is>
      </c>
      <c r="L1093" t="inlineStr">
        <is>
          <t>31/07/2025 07:20</t>
        </is>
      </c>
      <c r="M1093" t="inlineStr">
        <is>
          <t>None</t>
        </is>
      </c>
      <c r="N1093" t="inlineStr">
        <is>
          <t>&lt;p&gt;&lt;/p&gt;</t>
        </is>
      </c>
      <c r="O1093" t="inlineStr">
        <is>
          <t>Confirm that you have checked this vehicle as per the guidance document and the vehicle is safe and roadworthy:Swapped tyres round on rims. Outer edge now worn
-Select Vehicle:KX65 FCZ</t>
        </is>
      </c>
      <c r="P1093" t="inlineStr">
        <is>
          <t>Tow Chipper - Jenson - A530L - 5521063948Tipper - Nissan - Navara - NS02TTS4x4 - Isuzu - D-max - NS03 TTS</t>
        </is>
      </c>
      <c r="Q1093" t="inlineStr">
        <is>
          <t>UKPN</t>
        </is>
      </c>
      <c r="R1093" t="b">
        <v>0</v>
      </c>
    </row>
    <row r="1094">
      <c r="A1094" t="inlineStr">
        <is>
          <t>31 Jul 2025 / 3098 D &amp; R Landscapes (PEND Arb Rail)</t>
        </is>
      </c>
      <c r="B1094" t="inlineStr">
        <is>
          <t>Utilities &amp; Inland Waterways</t>
        </is>
      </c>
      <c r="C1094" t="inlineStr">
        <is>
          <t>UKPN</t>
        </is>
      </c>
      <c r="D1094" t="inlineStr">
        <is>
          <t>FX17YVM , Vehicle , Nissan , Navara</t>
        </is>
      </c>
      <c r="E1094" t="inlineStr">
        <is>
          <t>FX17YVM , Vehicle , Nissan , Navara</t>
        </is>
      </c>
      <c r="F1094" t="inlineStr">
        <is>
          <t>FX17YVM , Vehicle , Nissan , Navara</t>
        </is>
      </c>
      <c r="G1094" t="inlineStr">
        <is>
          <t xml:space="preserve">Jason </t>
        </is>
      </c>
      <c r="H1094" t="inlineStr">
        <is>
          <t>Pickup Truck</t>
        </is>
      </c>
      <c r="I1094" t="inlineStr">
        <is>
          <t>Daily/ Weekly Vehicle Inspection</t>
        </is>
      </c>
      <c r="J1094" t="inlineStr">
        <is>
          <t>N/A</t>
        </is>
      </c>
      <c r="K1094" t="inlineStr">
        <is>
          <t>3098 D &amp; R Landscapes (PEND Arb Rail)</t>
        </is>
      </c>
      <c r="L1094" t="inlineStr">
        <is>
          <t>31/07/2025 07:20</t>
        </is>
      </c>
      <c r="M1094" t="inlineStr">
        <is>
          <t>None</t>
        </is>
      </c>
      <c r="N1094" t="inlineStr">
        <is>
          <t>&lt;p&gt;&lt;/p&gt;</t>
        </is>
      </c>
      <c r="O1094" t="inlineStr"/>
      <c r="P1094" t="inlineStr">
        <is>
          <t>FX17YVM , Vehicle , Nissan , Navara</t>
        </is>
      </c>
      <c r="Q1094" t="inlineStr">
        <is>
          <t>UKPN</t>
        </is>
      </c>
      <c r="R1094" t="b">
        <v>0</v>
      </c>
    </row>
    <row r="1095">
      <c r="A1095" t="inlineStr">
        <is>
          <t>31 Jul 2025 / Thomas Playford</t>
        </is>
      </c>
      <c r="B1095" t="inlineStr">
        <is>
          <t>Utilities &amp; Inland Waterways</t>
        </is>
      </c>
      <c r="C1095" t="inlineStr">
        <is>
          <t>UKPN</t>
        </is>
      </c>
      <c r="D1095" t="inlineStr">
        <is>
          <t>Equipment Trailer - I For Williams Custom - Chipper Trailer - 47336638</t>
        </is>
      </c>
      <c r="E1095" t="inlineStr">
        <is>
          <t>Equipment Trailer - I For Williams Custom - Chipper Trailer - 47336638</t>
        </is>
      </c>
      <c r="F1095" t="inlineStr">
        <is>
          <t>Equipment Trailer - I For Williams Custom - Chipper Trailer - 47336638</t>
        </is>
      </c>
      <c r="G1095" t="inlineStr">
        <is>
          <t>Jacob Oram</t>
        </is>
      </c>
      <c r="H1095" t="inlineStr">
        <is>
          <t>Plant Trailer</t>
        </is>
      </c>
      <c r="I1095" t="inlineStr">
        <is>
          <t>Daily/ Weekly Vehicle Inspection</t>
        </is>
      </c>
      <c r="J1095" t="inlineStr">
        <is>
          <t>N/A</t>
        </is>
      </c>
      <c r="K1095" t="inlineStr">
        <is>
          <t>7995 Contour Landscapes Ltd 2</t>
        </is>
      </c>
      <c r="L1095" t="inlineStr">
        <is>
          <t>31/07/2025 08:12</t>
        </is>
      </c>
      <c r="M1095" t="inlineStr">
        <is>
          <t>None</t>
        </is>
      </c>
      <c r="N1095" t="inlineStr">
        <is>
          <t>&lt;p&gt;&lt;/p&gt;</t>
        </is>
      </c>
      <c r="O1095" t="inlineStr"/>
      <c r="P1095" t="inlineStr">
        <is>
          <t>Equipment Trailer - I For Williams Custom - Chipper Trailer - 47336638</t>
        </is>
      </c>
      <c r="Q1095" t="inlineStr">
        <is>
          <t>UKPN</t>
        </is>
      </c>
      <c r="R1095" t="b">
        <v>0</v>
      </c>
    </row>
    <row r="1096">
      <c r="A1096" t="inlineStr">
        <is>
          <t>31 Jul 2025 / Thomas Playford</t>
        </is>
      </c>
      <c r="B1096" t="inlineStr">
        <is>
          <t>Utilities &amp; Inland Waterways</t>
        </is>
      </c>
      <c r="C1096" t="inlineStr">
        <is>
          <t>UKPN</t>
        </is>
      </c>
      <c r="D1096" t="inlineStr">
        <is>
          <t>YP24 WRD , Vehicle , Ford , Ranger</t>
        </is>
      </c>
      <c r="E1096" t="inlineStr">
        <is>
          <t>YP24 WRD , Vehicle , Ford , Ranger</t>
        </is>
      </c>
      <c r="F1096" t="inlineStr">
        <is>
          <t>YP24 WRD , Vehicle , Ford , Ranger</t>
        </is>
      </c>
      <c r="G1096" t="inlineStr">
        <is>
          <t>Jacob Oram</t>
        </is>
      </c>
      <c r="H1096" t="inlineStr">
        <is>
          <t>4x4</t>
        </is>
      </c>
      <c r="I1096" t="inlineStr">
        <is>
          <t>Daily/ Weekly Vehicle Inspection</t>
        </is>
      </c>
      <c r="J1096" t="inlineStr">
        <is>
          <t>N/A</t>
        </is>
      </c>
      <c r="K1096" t="inlineStr">
        <is>
          <t>7995 Contour Landscapes Ltd 2</t>
        </is>
      </c>
      <c r="L1096" t="inlineStr">
        <is>
          <t>31/07/2025 08:13</t>
        </is>
      </c>
      <c r="M1096" t="inlineStr">
        <is>
          <t>None</t>
        </is>
      </c>
      <c r="N1096" t="inlineStr">
        <is>
          <t>&lt;p&gt;&lt;/p&gt;</t>
        </is>
      </c>
      <c r="O1096" t="inlineStr"/>
      <c r="P1096" t="inlineStr">
        <is>
          <t>YP24 WRD , Vehicle , Ford , Ranger</t>
        </is>
      </c>
      <c r="Q1096" t="inlineStr">
        <is>
          <t>UKPN</t>
        </is>
      </c>
      <c r="R1096" t="b">
        <v>0</v>
      </c>
    </row>
    <row r="1097">
      <c r="A1097" t="inlineStr">
        <is>
          <t>31 Jul 2025 / Anthony Gale</t>
        </is>
      </c>
      <c r="B1097" t="inlineStr">
        <is>
          <t>Utilities &amp; Inland Waterways</t>
        </is>
      </c>
      <c r="C1097" t="inlineStr">
        <is>
          <t>UKPN</t>
        </is>
      </c>
      <c r="D1097" t="inlineStr">
        <is>
          <t>PE07 HGL , Vehicle , Mitsubishi , L200 K74</t>
        </is>
      </c>
      <c r="E1097" t="inlineStr">
        <is>
          <t>PE07 HGL , Vehicle , Mitsubishi , L200 K74</t>
        </is>
      </c>
      <c r="F1097" t="inlineStr">
        <is>
          <t>PE07 HGL , Vehicle , Mitsubishi , L200 K74</t>
        </is>
      </c>
      <c r="G1097" t="inlineStr">
        <is>
          <t>Anthony Gale</t>
        </is>
      </c>
      <c r="H1097" t="inlineStr">
        <is>
          <t>Pickup Truck</t>
        </is>
      </c>
      <c r="I1097" t="inlineStr">
        <is>
          <t>Daily/ Weekly Vehicle Inspection</t>
        </is>
      </c>
      <c r="J1097" t="inlineStr">
        <is>
          <t>N/A</t>
        </is>
      </c>
      <c r="K1097" t="inlineStr">
        <is>
          <t>7996 M G Tree Surgery Ltd 1</t>
        </is>
      </c>
      <c r="L1097" t="inlineStr">
        <is>
          <t>31/07/2025 08:13</t>
        </is>
      </c>
      <c r="M1097" t="inlineStr">
        <is>
          <t>None</t>
        </is>
      </c>
      <c r="N1097" t="inlineStr">
        <is>
          <t>&lt;p&gt;&lt;/p&gt;</t>
        </is>
      </c>
      <c r="O1097" t="inlineStr">
        <is>
          <t>Confirm that you have checked this vehicle as per the guidance document and the vehicle is safe and roadworthy:Tow hitch electrics connection point corroded and  near point of failure, will need replacing soon.
-</t>
        </is>
      </c>
      <c r="P1097" t="inlineStr">
        <is>
          <t>PE07 HGL , Vehicle , Mitsubishi , L200 K74</t>
        </is>
      </c>
      <c r="Q1097" t="inlineStr">
        <is>
          <t>UKPN</t>
        </is>
      </c>
      <c r="R1097" t="b">
        <v>0</v>
      </c>
    </row>
    <row r="1098">
      <c r="A1098" t="inlineStr">
        <is>
          <t>31 Jul 2025 / 7951 Austin Tree Care LTD</t>
        </is>
      </c>
      <c r="B1098" t="inlineStr">
        <is>
          <t>Utilities &amp; Inland Waterways</t>
        </is>
      </c>
      <c r="C1098" t="inlineStr">
        <is>
          <t>UKPN</t>
        </is>
      </c>
      <c r="D1098" t="inlineStr">
        <is>
          <t>SA9ST6P0001283612 , Tow Chipper , Forst , ST6p</t>
        </is>
      </c>
      <c r="E1098" t="inlineStr">
        <is>
          <t>SA9ST6P0001283612 , Tow Chipper , Forst , ST6p</t>
        </is>
      </c>
      <c r="F1098" t="inlineStr">
        <is>
          <t>SA9ST6P0001283612 , Tow Chipper , Forst , ST6p</t>
        </is>
      </c>
      <c r="G1098" t="inlineStr">
        <is>
          <t xml:space="preserve">Jack Austin </t>
        </is>
      </c>
      <c r="H1098" t="inlineStr">
        <is>
          <t>Towed Chipper</t>
        </is>
      </c>
      <c r="I1098" t="inlineStr">
        <is>
          <t>Daily/ Weekly Vehicle Inspection</t>
        </is>
      </c>
      <c r="J1098" t="inlineStr">
        <is>
          <t>N/A</t>
        </is>
      </c>
      <c r="K1098" t="inlineStr">
        <is>
          <t>7951 Austin Tree Care LTD</t>
        </is>
      </c>
      <c r="L1098" t="inlineStr">
        <is>
          <t>31/07/2025 08:15</t>
        </is>
      </c>
      <c r="M1098" t="inlineStr">
        <is>
          <t>None</t>
        </is>
      </c>
      <c r="N1098" t="inlineStr">
        <is>
          <t>&lt;p&gt;&lt;/p&gt;</t>
        </is>
      </c>
      <c r="O1098" t="inlineStr"/>
      <c r="P1098" t="inlineStr">
        <is>
          <t>SA9ST6P0001283612 , Tow Chipper , Forst , ST6p</t>
        </is>
      </c>
      <c r="Q1098" t="inlineStr">
        <is>
          <t>UKPN</t>
        </is>
      </c>
      <c r="R1098" t="b">
        <v>0</v>
      </c>
    </row>
    <row r="1099">
      <c r="A1099" t="inlineStr">
        <is>
          <t>31 Jul 2025 / 7951 Austin Tree Care LTD</t>
        </is>
      </c>
      <c r="B1099" t="inlineStr">
        <is>
          <t>Utilities &amp; Inland Waterways</t>
        </is>
      </c>
      <c r="C1099" t="inlineStr">
        <is>
          <t>UKPN</t>
        </is>
      </c>
      <c r="D1099" t="inlineStr">
        <is>
          <t>Kn58xuy , Tipper , VW  , Crafter</t>
        </is>
      </c>
      <c r="E1099" t="inlineStr">
        <is>
          <t>Kn58xuy , Tipper , VW  , Crafter</t>
        </is>
      </c>
      <c r="F1099" t="inlineStr">
        <is>
          <t>Kn58xuy , Tipper , VW  , Crafter</t>
        </is>
      </c>
      <c r="G1099" t="inlineStr">
        <is>
          <t xml:space="preserve">Jack Austin </t>
        </is>
      </c>
      <c r="H1099" t="inlineStr">
        <is>
          <t>Tipper</t>
        </is>
      </c>
      <c r="I1099" t="inlineStr">
        <is>
          <t>Daily/ Weekly Vehicle Inspection</t>
        </is>
      </c>
      <c r="J1099" t="inlineStr">
        <is>
          <t>N/A</t>
        </is>
      </c>
      <c r="K1099" t="inlineStr">
        <is>
          <t>7951 Austin Tree Care LTD</t>
        </is>
      </c>
      <c r="L1099" t="inlineStr">
        <is>
          <t>31/07/2025 08:15</t>
        </is>
      </c>
      <c r="M1099" t="inlineStr">
        <is>
          <t>None</t>
        </is>
      </c>
      <c r="N1099" t="inlineStr">
        <is>
          <t>&lt;p&gt;&lt;/p&gt;</t>
        </is>
      </c>
      <c r="O1099" t="inlineStr"/>
      <c r="P1099" t="inlineStr">
        <is>
          <t>Kn58xuy , Tipper , VW  , Crafter</t>
        </is>
      </c>
      <c r="Q1099" t="inlineStr">
        <is>
          <t>UKPN</t>
        </is>
      </c>
      <c r="R1099" t="b">
        <v>0</v>
      </c>
    </row>
    <row r="1100">
      <c r="A1100" t="inlineStr">
        <is>
          <t>31 Jul 2025 / 7951 Austin Tree Care LTD 1</t>
        </is>
      </c>
      <c r="B1100" t="inlineStr">
        <is>
          <t>Utilities &amp; Inland Waterways</t>
        </is>
      </c>
      <c r="C1100" t="inlineStr">
        <is>
          <t>UKPN</t>
        </is>
      </c>
      <c r="D1100" t="inlineStr">
        <is>
          <t>WF61 HZV , 4x4 MEWP , Land Rover , Defender</t>
        </is>
      </c>
      <c r="E1100" t="inlineStr">
        <is>
          <t>WF61 HZV , 4x4 MEWP , Land Rover , Defender</t>
        </is>
      </c>
      <c r="F1100" t="inlineStr">
        <is>
          <t>WF61 HZV , 4x4 MEWP , Land Rover , Defender</t>
        </is>
      </c>
      <c r="G1100" t="inlineStr">
        <is>
          <t xml:space="preserve">James Tasker </t>
        </is>
      </c>
      <c r="H1100" t="inlineStr">
        <is>
          <t>4x4</t>
        </is>
      </c>
      <c r="I1100" t="inlineStr">
        <is>
          <t>Daily/ Weekly Vehicle Inspection</t>
        </is>
      </c>
      <c r="J1100" t="inlineStr">
        <is>
          <t>N/A</t>
        </is>
      </c>
      <c r="K1100" t="inlineStr">
        <is>
          <t>7951 Austin Tree Care LTD 1</t>
        </is>
      </c>
      <c r="L1100" t="inlineStr">
        <is>
          <t>31/07/2025 08:16</t>
        </is>
      </c>
      <c r="M1100" t="inlineStr">
        <is>
          <t>None</t>
        </is>
      </c>
      <c r="N1100" t="inlineStr">
        <is>
          <t>&lt;p&gt;&lt;/p&gt;</t>
        </is>
      </c>
      <c r="O1100" t="inlineStr"/>
      <c r="P1100" t="inlineStr">
        <is>
          <t>WF61 HZV , 4x4 MEWP , Land Rover , Defender</t>
        </is>
      </c>
      <c r="Q1100" t="inlineStr">
        <is>
          <t>UKPN</t>
        </is>
      </c>
      <c r="R1100" t="b">
        <v>0</v>
      </c>
    </row>
    <row r="1101">
      <c r="A1101" t="inlineStr">
        <is>
          <t>31 Jul 2025 / 7800 MAC Tree Surgery and Fencing Ltd</t>
        </is>
      </c>
      <c r="B1101" t="inlineStr">
        <is>
          <t>Utilities &amp; Inland Waterways</t>
        </is>
      </c>
      <c r="C1101" t="inlineStr">
        <is>
          <t>UKPN</t>
        </is>
      </c>
      <c r="D1101" t="inlineStr">
        <is>
          <t>AY68DAA , 4x4 , Izuzu , Dmax</t>
        </is>
      </c>
      <c r="E1101" t="inlineStr">
        <is>
          <t>AY68DAA , 4x4 , Izuzu , Dmax</t>
        </is>
      </c>
      <c r="F1101" t="inlineStr">
        <is>
          <t>AY68DAA , 4x4 , Izuzu , Dmax</t>
        </is>
      </c>
      <c r="G1101" t="inlineStr">
        <is>
          <t xml:space="preserve">Lewis mac </t>
        </is>
      </c>
      <c r="H1101" t="inlineStr">
        <is>
          <t>4x4</t>
        </is>
      </c>
      <c r="I1101" t="inlineStr">
        <is>
          <t>Daily/ Weekly Vehicle Inspection</t>
        </is>
      </c>
      <c r="J1101" t="inlineStr">
        <is>
          <t>N/A</t>
        </is>
      </c>
      <c r="K1101" t="inlineStr">
        <is>
          <t>7800 MAC Tree Surgery and Fencing Ltd</t>
        </is>
      </c>
      <c r="L1101" t="inlineStr">
        <is>
          <t>31/07/2025 08:16</t>
        </is>
      </c>
      <c r="M1101" t="inlineStr">
        <is>
          <t>None</t>
        </is>
      </c>
      <c r="N1101" t="inlineStr">
        <is>
          <t>&lt;p&gt;&lt;/p&gt;</t>
        </is>
      </c>
      <c r="O1101" t="inlineStr"/>
      <c r="P1101" t="inlineStr">
        <is>
          <t>AY68DAA , 4x4 , Izuzu , Dmax</t>
        </is>
      </c>
      <c r="Q1101" t="inlineStr">
        <is>
          <t>UKPN</t>
        </is>
      </c>
      <c r="R1101" t="b">
        <v>0</v>
      </c>
    </row>
    <row r="1102">
      <c r="A1102" t="inlineStr">
        <is>
          <t>31 Jul 2025 / 7800 MAC Tree Surgery and Fencing Ltd</t>
        </is>
      </c>
      <c r="B1102" t="inlineStr">
        <is>
          <t>Utilities &amp; Inland Waterways</t>
        </is>
      </c>
      <c r="C1102" t="inlineStr">
        <is>
          <t>UKPN</t>
        </is>
      </c>
      <c r="D1102" t="inlineStr">
        <is>
          <t>205143043-A1 , Tow Chipper , Timberwolf , TW150</t>
        </is>
      </c>
      <c r="E1102" t="inlineStr">
        <is>
          <t>205143043-A1 , Tow Chipper , Timberwolf , TW150</t>
        </is>
      </c>
      <c r="F1102" t="inlineStr">
        <is>
          <t>205143043-A1 , Tow Chipper , Timberwolf , TW150</t>
        </is>
      </c>
      <c r="G1102" t="inlineStr">
        <is>
          <t xml:space="preserve">Lewis mac </t>
        </is>
      </c>
      <c r="H1102" t="inlineStr">
        <is>
          <t>Towed Chipper</t>
        </is>
      </c>
      <c r="I1102" t="inlineStr">
        <is>
          <t>Daily/ Weekly Vehicle Inspection</t>
        </is>
      </c>
      <c r="J1102" t="inlineStr">
        <is>
          <t>N/A</t>
        </is>
      </c>
      <c r="K1102" t="inlineStr">
        <is>
          <t>7800 MAC Tree Surgery and Fencing Ltd</t>
        </is>
      </c>
      <c r="L1102" t="inlineStr">
        <is>
          <t>31/07/2025 08:17</t>
        </is>
      </c>
      <c r="M1102" t="inlineStr">
        <is>
          <t>None</t>
        </is>
      </c>
      <c r="N1102" t="inlineStr">
        <is>
          <t>&lt;p&gt;&lt;/p&gt;</t>
        </is>
      </c>
      <c r="O1102" t="inlineStr"/>
      <c r="P1102" t="inlineStr">
        <is>
          <t>205143043-A1 , Tow Chipper , Timberwolf , TW150</t>
        </is>
      </c>
      <c r="Q1102" t="inlineStr">
        <is>
          <t>UKPN</t>
        </is>
      </c>
      <c r="R1102" t="b">
        <v>0</v>
      </c>
    </row>
    <row r="1103">
      <c r="A1103" t="inlineStr">
        <is>
          <t>31 Jul 2025 / 7806 Optimum Tree Services Ltd</t>
        </is>
      </c>
      <c r="B1103" t="inlineStr">
        <is>
          <t>Utilities &amp; Inland Waterways</t>
        </is>
      </c>
      <c r="C1103" t="inlineStr">
        <is>
          <t>UKPN</t>
        </is>
      </c>
      <c r="D1103" t="inlineStr">
        <is>
          <t>Tipper - Ford - Transit - NA10SYZ</t>
        </is>
      </c>
      <c r="E1103" t="inlineStr">
        <is>
          <t>Tipper - Ford - Transit - NA10SYZ</t>
        </is>
      </c>
      <c r="F1103" t="inlineStr">
        <is>
          <t>Tipper - Ford - Transit - NA10SYZ</t>
        </is>
      </c>
      <c r="G1103" t="inlineStr">
        <is>
          <t xml:space="preserve">Lewis Davies </t>
        </is>
      </c>
      <c r="H1103" t="inlineStr">
        <is>
          <t>Tipper</t>
        </is>
      </c>
      <c r="I1103" t="inlineStr">
        <is>
          <t>Daily/ Weekly Vehicle Inspection</t>
        </is>
      </c>
      <c r="J1103" t="inlineStr">
        <is>
          <t>N/A</t>
        </is>
      </c>
      <c r="K1103" t="inlineStr">
        <is>
          <t>7806 Optimum Tree Services Ltd</t>
        </is>
      </c>
      <c r="L1103" t="inlineStr">
        <is>
          <t>31/07/2025 08:17</t>
        </is>
      </c>
      <c r="M1103" t="inlineStr">
        <is>
          <t>None</t>
        </is>
      </c>
      <c r="N1103" t="inlineStr">
        <is>
          <t>&lt;p&gt;&lt;/p&gt;</t>
        </is>
      </c>
      <c r="O1103" t="inlineStr"/>
      <c r="P1103" t="inlineStr">
        <is>
          <t>Tipper - Ford - Transit - NA10SYZ</t>
        </is>
      </c>
      <c r="Q1103" t="inlineStr">
        <is>
          <t>UKPN</t>
        </is>
      </c>
      <c r="R1103" t="b">
        <v>0</v>
      </c>
    </row>
    <row r="1104">
      <c r="A1104" t="inlineStr">
        <is>
          <t>31 Jul 2025 / 7806 Optimum Tree Services Ltd</t>
        </is>
      </c>
      <c r="B1104" t="inlineStr">
        <is>
          <t>Utilities &amp; Inland Waterways</t>
        </is>
      </c>
      <c r="C1104" t="inlineStr">
        <is>
          <t>UKPN</t>
        </is>
      </c>
      <c r="D1104" t="inlineStr">
        <is>
          <t>SA9ST800000283069 , Chipper , Forst , ST 6P</t>
        </is>
      </c>
      <c r="E1104" t="inlineStr">
        <is>
          <t>SA9ST800000283069 , Chipper , Forst , ST 6P</t>
        </is>
      </c>
      <c r="F1104" t="inlineStr">
        <is>
          <t>SA9ST800000283069 , Chipper , Forst , ST 6P</t>
        </is>
      </c>
      <c r="G1104" t="inlineStr">
        <is>
          <t xml:space="preserve">Abraham Davies </t>
        </is>
      </c>
      <c r="H1104" t="inlineStr">
        <is>
          <t>Towed Chipper</t>
        </is>
      </c>
      <c r="I1104" t="inlineStr">
        <is>
          <t>Daily/ Weekly Vehicle Inspection</t>
        </is>
      </c>
      <c r="J1104" t="inlineStr">
        <is>
          <t>N/A</t>
        </is>
      </c>
      <c r="K1104" t="inlineStr">
        <is>
          <t>7806 Optimum Tree Services Ltd</t>
        </is>
      </c>
      <c r="L1104" t="inlineStr">
        <is>
          <t>31/07/2025 08:18</t>
        </is>
      </c>
      <c r="M1104" t="inlineStr">
        <is>
          <t>None</t>
        </is>
      </c>
      <c r="N1104" t="inlineStr">
        <is>
          <t>&lt;p&gt;&lt;/p&gt;</t>
        </is>
      </c>
      <c r="O1104" t="inlineStr"/>
      <c r="P1104" t="inlineStr">
        <is>
          <t>SA9ST800000283069 , Chipper , Forst , ST 6P</t>
        </is>
      </c>
      <c r="Q1104" t="inlineStr">
        <is>
          <t>UKPN</t>
        </is>
      </c>
      <c r="R1104" t="b">
        <v>0</v>
      </c>
    </row>
    <row r="1105">
      <c r="A1105" t="inlineStr">
        <is>
          <t>31 Jul 2025 / 7806 Optimum Tree Services Ltd</t>
        </is>
      </c>
      <c r="B1105" t="inlineStr">
        <is>
          <t>Utilities &amp; Inland Waterways</t>
        </is>
      </c>
      <c r="C1105" t="inlineStr">
        <is>
          <t>UKPN</t>
        </is>
      </c>
      <c r="D1105" t="inlineStr">
        <is>
          <t>WD14EVB , MEWP , Land Rover , Defender</t>
        </is>
      </c>
      <c r="E1105" t="inlineStr">
        <is>
          <t>WD14EVB , MEWP , Land Rover , Defender</t>
        </is>
      </c>
      <c r="F1105" t="inlineStr">
        <is>
          <t>WD14EVB , MEWP , Land Rover , Defender</t>
        </is>
      </c>
      <c r="G1105" t="inlineStr">
        <is>
          <t xml:space="preserve">Abraham Davies </t>
        </is>
      </c>
      <c r="H1105" t="inlineStr">
        <is>
          <t>4x4</t>
        </is>
      </c>
      <c r="I1105" t="inlineStr">
        <is>
          <t>Daily/ Weekly Vehicle Inspection</t>
        </is>
      </c>
      <c r="J1105" t="inlineStr">
        <is>
          <t>N/A</t>
        </is>
      </c>
      <c r="K1105" t="inlineStr">
        <is>
          <t>7806 Optimum Tree Services Ltd</t>
        </is>
      </c>
      <c r="L1105" t="inlineStr">
        <is>
          <t>31/07/2025 08:18</t>
        </is>
      </c>
      <c r="M1105" t="inlineStr">
        <is>
          <t>None</t>
        </is>
      </c>
      <c r="N1105" t="inlineStr">
        <is>
          <t>&lt;p&gt;&lt;/p&gt;</t>
        </is>
      </c>
      <c r="O1105" t="inlineStr"/>
      <c r="P1105" t="inlineStr">
        <is>
          <t>WD14EVB , MEWP , Land Rover , Defender</t>
        </is>
      </c>
      <c r="Q1105" t="inlineStr">
        <is>
          <t>UKPN</t>
        </is>
      </c>
      <c r="R1105" t="b">
        <v>0</v>
      </c>
    </row>
    <row r="1106">
      <c r="A1106" t="inlineStr">
        <is>
          <t>31 Jul 2025 / 6557 DE UA SWales4</t>
        </is>
      </c>
      <c r="B1106" t="inlineStr">
        <is>
          <t>Utilities &amp; Inland Waterways</t>
        </is>
      </c>
      <c r="C1106" t="inlineStr">
        <is>
          <t>NGED</t>
        </is>
      </c>
      <c r="D1106" t="inlineStr">
        <is>
          <t>EX15ZGL , Van , Ford , Transit Courier</t>
        </is>
      </c>
      <c r="E1106" t="inlineStr">
        <is>
          <t>EX15ZGL , Van , Ford , Transit Courier</t>
        </is>
      </c>
      <c r="F1106" t="inlineStr">
        <is>
          <t>EX15ZGL , Van , Ford , Transit Courier</t>
        </is>
      </c>
      <c r="G1106" t="inlineStr">
        <is>
          <t xml:space="preserve">Lee brown </t>
        </is>
      </c>
      <c r="H1106" t="inlineStr">
        <is>
          <t>Van</t>
        </is>
      </c>
      <c r="I1106" t="inlineStr">
        <is>
          <t>Daily/ Weekly Vehicle Inspection</t>
        </is>
      </c>
      <c r="J1106" t="inlineStr">
        <is>
          <t>N/A</t>
        </is>
      </c>
      <c r="K1106" t="inlineStr">
        <is>
          <t>6557 DE UA SWales4</t>
        </is>
      </c>
      <c r="L1106" t="inlineStr">
        <is>
          <t>31/07/2025 13:13</t>
        </is>
      </c>
      <c r="M1106" t="inlineStr">
        <is>
          <t>None</t>
        </is>
      </c>
      <c r="N1106" t="inlineStr">
        <is>
          <t>&lt;p&gt;&lt;/p&gt;</t>
        </is>
      </c>
      <c r="O1106" t="inlineStr"/>
      <c r="P1106" t="inlineStr">
        <is>
          <t>EX15ZGL , Van , Ford , Transit Courier</t>
        </is>
      </c>
      <c r="Q1106" t="inlineStr">
        <is>
          <t>NGED</t>
        </is>
      </c>
      <c r="R1106" t="b">
        <v>0</v>
      </c>
    </row>
    <row r="1107">
      <c r="A1107" t="inlineStr">
        <is>
          <t>1 Aug 2025 / 7889 Tree Tech Suffolk Ltd</t>
        </is>
      </c>
      <c r="B1107" t="inlineStr">
        <is>
          <t>Utilities &amp; Inland Waterways</t>
        </is>
      </c>
      <c r="C1107" t="inlineStr">
        <is>
          <t>UKPN</t>
        </is>
      </c>
      <c r="D1107" t="inlineStr">
        <is>
          <t>Tow Chipper - Jenson - A530L - 5521063948Tipper - Nissan - Navara - NS02TTS4x4 - Isuzu - D-max - NS03 TTS</t>
        </is>
      </c>
      <c r="E1107" t="inlineStr">
        <is>
          <t>Tow Chipper - Jenson - A530L - 5521063948Tipper - Nissan - Navara - NS02TTS4x4 - Isuzu - D-max - NS03 TTS</t>
        </is>
      </c>
      <c r="F1107" t="inlineStr">
        <is>
          <t>Tow Chipper - Jenson - A530L - 5521063948Tipper - Nissan - Navara - NS02TTS4x4 - Isuzu - D-max - NS03 TTS</t>
        </is>
      </c>
      <c r="G1107" t="inlineStr">
        <is>
          <t xml:space="preserve">Danny Appleby Nikki sparrow Danny Appleby </t>
        </is>
      </c>
      <c r="H1107" t="inlineStr">
        <is>
          <t>Towed ChipperTipper4x4</t>
        </is>
      </c>
      <c r="I1107" t="inlineStr">
        <is>
          <t>Daily/ Weekly Vehicle Inspection</t>
        </is>
      </c>
      <c r="J1107" t="inlineStr">
        <is>
          <t>N/A</t>
        </is>
      </c>
      <c r="K1107" t="inlineStr">
        <is>
          <t>7889 Tree Tech Suffolk Ltd</t>
        </is>
      </c>
      <c r="L1107" t="inlineStr">
        <is>
          <t>01/08/2025 07:16</t>
        </is>
      </c>
      <c r="M1107" t="inlineStr">
        <is>
          <t>None</t>
        </is>
      </c>
      <c r="N1107" t="inlineStr">
        <is>
          <t>&lt;p&gt;&lt;/p&gt;</t>
        </is>
      </c>
      <c r="O1107" t="inlineStr">
        <is>
          <t>Confirm that you have checked this vehicle as per the guidance document and the vehicle is safe and roadworthy:Swapped tyres round on rims. Outer edge now worn
-Select Vehicle:KX65 FCZ</t>
        </is>
      </c>
      <c r="P1107" t="inlineStr">
        <is>
          <t>Tow Chipper - Jenson - A530L - 5521063948Tipper - Nissan - Navara - NS02TTS4x4 - Isuzu - D-max - NS03 TTS</t>
        </is>
      </c>
      <c r="Q1107" t="inlineStr">
        <is>
          <t>UKPN</t>
        </is>
      </c>
      <c r="R1107" t="b">
        <v>0</v>
      </c>
    </row>
    <row r="1108">
      <c r="A1108" t="inlineStr">
        <is>
          <t>1 Aug 2025 / 7800 MAC Tree Surgery and Fencing Ltd</t>
        </is>
      </c>
      <c r="B1108" t="inlineStr">
        <is>
          <t>Utilities &amp; Inland Waterways</t>
        </is>
      </c>
      <c r="C1108" t="inlineStr">
        <is>
          <t>UKPN</t>
        </is>
      </c>
      <c r="D1108" t="inlineStr">
        <is>
          <t>205143043-A1 , Tow Chipper , Timberwolf , TW150</t>
        </is>
      </c>
      <c r="E1108" t="inlineStr">
        <is>
          <t>205143043-A1 , Tow Chipper , Timberwolf , TW150</t>
        </is>
      </c>
      <c r="F1108" t="inlineStr">
        <is>
          <t>205143043-A1 , Tow Chipper , Timberwolf , TW150</t>
        </is>
      </c>
      <c r="G1108" t="inlineStr">
        <is>
          <t xml:space="preserve">Lewis mac </t>
        </is>
      </c>
      <c r="H1108" t="inlineStr">
        <is>
          <t>Towed Chipper</t>
        </is>
      </c>
      <c r="I1108" t="inlineStr">
        <is>
          <t>Daily/ Weekly Vehicle Inspection</t>
        </is>
      </c>
      <c r="J1108" t="inlineStr">
        <is>
          <t>N/A</t>
        </is>
      </c>
      <c r="K1108" t="inlineStr">
        <is>
          <t>7800 MAC Tree Surgery and Fencing Ltd</t>
        </is>
      </c>
      <c r="L1108" t="inlineStr">
        <is>
          <t>01/08/2025 07:17</t>
        </is>
      </c>
      <c r="M1108" t="inlineStr">
        <is>
          <t>None</t>
        </is>
      </c>
      <c r="N1108" t="inlineStr">
        <is>
          <t>&lt;p&gt;&lt;/p&gt;</t>
        </is>
      </c>
      <c r="O1108" t="inlineStr"/>
      <c r="P1108" t="inlineStr">
        <is>
          <t>205143043-A1 , Tow Chipper , Timberwolf , TW150</t>
        </is>
      </c>
      <c r="Q1108" t="inlineStr">
        <is>
          <t>UKPN</t>
        </is>
      </c>
      <c r="R1108" t="b">
        <v>0</v>
      </c>
    </row>
    <row r="1109">
      <c r="A1109" t="inlineStr">
        <is>
          <t>1 Aug 2025 / 7800 MAC Tree Surgery and Fencing Ltd</t>
        </is>
      </c>
      <c r="B1109" t="inlineStr">
        <is>
          <t>Utilities &amp; Inland Waterways</t>
        </is>
      </c>
      <c r="C1109" t="inlineStr">
        <is>
          <t>UKPN</t>
        </is>
      </c>
      <c r="D1109" t="inlineStr">
        <is>
          <t>AY68DAA , 4x4 , Izuzu , Dmax</t>
        </is>
      </c>
      <c r="E1109" t="inlineStr">
        <is>
          <t>AY68DAA , 4x4 , Izuzu , Dmax</t>
        </is>
      </c>
      <c r="F1109" t="inlineStr">
        <is>
          <t>AY68DAA , 4x4 , Izuzu , Dmax</t>
        </is>
      </c>
      <c r="G1109" t="inlineStr">
        <is>
          <t xml:space="preserve">Lewis mac </t>
        </is>
      </c>
      <c r="H1109" t="inlineStr">
        <is>
          <t>4x4</t>
        </is>
      </c>
      <c r="I1109" t="inlineStr">
        <is>
          <t>Daily/ Weekly Vehicle Inspection</t>
        </is>
      </c>
      <c r="J1109" t="inlineStr">
        <is>
          <t>N/A</t>
        </is>
      </c>
      <c r="K1109" t="inlineStr">
        <is>
          <t>7800 MAC Tree Surgery and Fencing Ltd</t>
        </is>
      </c>
      <c r="L1109" t="inlineStr">
        <is>
          <t>01/08/2025 07:17</t>
        </is>
      </c>
      <c r="M1109" t="inlineStr">
        <is>
          <t>None</t>
        </is>
      </c>
      <c r="N1109" t="inlineStr">
        <is>
          <t>&lt;p&gt;&lt;/p&gt;</t>
        </is>
      </c>
      <c r="O1109" t="inlineStr"/>
      <c r="P1109" t="inlineStr">
        <is>
          <t>AY68DAA , 4x4 , Izuzu , Dmax</t>
        </is>
      </c>
      <c r="Q1109" t="inlineStr">
        <is>
          <t>UKPN</t>
        </is>
      </c>
      <c r="R1109" t="b">
        <v>0</v>
      </c>
    </row>
    <row r="1110">
      <c r="A1110" t="inlineStr">
        <is>
          <t>1 Aug 2025 / 6617 Ashdown Tree Limited 1 / Utilities &amp; Inland Waterways / UKPN</t>
        </is>
      </c>
      <c r="B1110" t="inlineStr">
        <is>
          <t>Utilities &amp; Inland Waterways</t>
        </is>
      </c>
      <c r="C1110" t="inlineStr">
        <is>
          <t>UKPN</t>
        </is>
      </c>
      <c r="D1110" t="inlineStr">
        <is>
          <t>GU11LKD , 4x4 , Land Rover , Defender</t>
        </is>
      </c>
      <c r="E1110" t="inlineStr">
        <is>
          <t>GU11LKD , 4x4 , Land Rover , Defender</t>
        </is>
      </c>
      <c r="F1110" t="inlineStr">
        <is>
          <t>GU11LKD , 4x4 , Land Rover , Defender</t>
        </is>
      </c>
      <c r="G1110" t="inlineStr">
        <is>
          <t>Francislesser 7</t>
        </is>
      </c>
      <c r="H1110" t="inlineStr">
        <is>
          <t>4x4</t>
        </is>
      </c>
      <c r="I1110" t="inlineStr">
        <is>
          <t>Daily/ Weekly Vehicle Inspection</t>
        </is>
      </c>
      <c r="J1110" t="inlineStr">
        <is>
          <t>N/A</t>
        </is>
      </c>
      <c r="K1110" t="inlineStr">
        <is>
          <t>6617 Ashdown Tree Limited 1</t>
        </is>
      </c>
      <c r="L1110" t="inlineStr">
        <is>
          <t>01/08/2025 08:13</t>
        </is>
      </c>
      <c r="M1110" t="inlineStr">
        <is>
          <t>None</t>
        </is>
      </c>
      <c r="N1110" t="inlineStr">
        <is>
          <t>&lt;p&gt;&lt;/p&gt;</t>
        </is>
      </c>
      <c r="O1110" t="inlineStr"/>
      <c r="P1110" t="inlineStr">
        <is>
          <t>GU11LKD , 4x4 , Land Rover , Defender</t>
        </is>
      </c>
      <c r="Q1110" t="inlineStr">
        <is>
          <t>UKPN</t>
        </is>
      </c>
      <c r="R1110" t="b">
        <v>0</v>
      </c>
    </row>
    <row r="1111">
      <c r="A1111" t="inlineStr">
        <is>
          <t>1 Aug 2025 / 7951 Austin Tree Care LTD / Utilities &amp; Inland Waterways / UKPN</t>
        </is>
      </c>
      <c r="B1111" t="inlineStr">
        <is>
          <t>Utilities &amp; Inland Waterways</t>
        </is>
      </c>
      <c r="C1111" t="inlineStr">
        <is>
          <t>UKPN</t>
        </is>
      </c>
      <c r="D1111" t="inlineStr">
        <is>
          <t>SA9ST6P0001283612 , Tow Chipper , Forst , ST6p</t>
        </is>
      </c>
      <c r="E1111" t="inlineStr">
        <is>
          <t>SA9ST6P0001283612 , Tow Chipper , Forst , ST6p</t>
        </is>
      </c>
      <c r="F1111" t="inlineStr">
        <is>
          <t>SA9ST6P0001283612 , Tow Chipper , Forst , ST6p</t>
        </is>
      </c>
      <c r="G1111" t="inlineStr">
        <is>
          <t xml:space="preserve">Jack Austin </t>
        </is>
      </c>
      <c r="H1111" t="inlineStr">
        <is>
          <t>Towed Chipper</t>
        </is>
      </c>
      <c r="I1111" t="inlineStr">
        <is>
          <t>Daily/ Weekly Vehicle Inspection</t>
        </is>
      </c>
      <c r="J1111" t="inlineStr">
        <is>
          <t>N/A</t>
        </is>
      </c>
      <c r="K1111" t="inlineStr">
        <is>
          <t>7951 Austin Tree Care LTD</t>
        </is>
      </c>
      <c r="L1111" t="inlineStr">
        <is>
          <t>01/08/2025 08:14</t>
        </is>
      </c>
      <c r="M1111" t="inlineStr">
        <is>
          <t>None</t>
        </is>
      </c>
      <c r="N1111" t="inlineStr">
        <is>
          <t>&lt;p&gt;&lt;/p&gt;</t>
        </is>
      </c>
      <c r="O1111" t="inlineStr"/>
      <c r="P1111" t="inlineStr">
        <is>
          <t>SA9ST6P0001283612 , Tow Chipper , Forst , ST6p</t>
        </is>
      </c>
      <c r="Q1111" t="inlineStr">
        <is>
          <t>UKPN</t>
        </is>
      </c>
      <c r="R1111" t="b">
        <v>0</v>
      </c>
    </row>
    <row r="1112">
      <c r="A1112" t="inlineStr">
        <is>
          <t>1 Aug 2025 / 7806 Optimum Tree Services Ltd / Utilities &amp; Inland Waterways / UKPN</t>
        </is>
      </c>
      <c r="B1112" t="inlineStr">
        <is>
          <t>Utilities &amp; Inland Waterways</t>
        </is>
      </c>
      <c r="C1112" t="inlineStr">
        <is>
          <t>UKPN</t>
        </is>
      </c>
      <c r="D1112" t="inlineStr">
        <is>
          <t>WD14EVB , MEWP , Land Rover , Defender</t>
        </is>
      </c>
      <c r="E1112" t="inlineStr">
        <is>
          <t>WD14EVB , MEWP , Land Rover , Defender</t>
        </is>
      </c>
      <c r="F1112" t="inlineStr">
        <is>
          <t>WD14EVB , MEWP , Land Rover , Defender</t>
        </is>
      </c>
      <c r="G1112" t="inlineStr">
        <is>
          <t xml:space="preserve">Abraham Davies </t>
        </is>
      </c>
      <c r="H1112" t="inlineStr">
        <is>
          <t>4x4</t>
        </is>
      </c>
      <c r="I1112" t="inlineStr">
        <is>
          <t>Daily/ Weekly Vehicle Inspection</t>
        </is>
      </c>
      <c r="J1112" t="inlineStr">
        <is>
          <t>N/A</t>
        </is>
      </c>
      <c r="K1112" t="inlineStr">
        <is>
          <t>7806 Optimum Tree Services Ltd</t>
        </is>
      </c>
      <c r="L1112" t="inlineStr">
        <is>
          <t>01/08/2025 08:15</t>
        </is>
      </c>
      <c r="M1112" t="inlineStr">
        <is>
          <t>None</t>
        </is>
      </c>
      <c r="N1112" t="inlineStr">
        <is>
          <t>&lt;p&gt;&lt;/p&gt;</t>
        </is>
      </c>
      <c r="O1112" t="inlineStr"/>
      <c r="P1112" t="inlineStr">
        <is>
          <t>WD14EVB , MEWP , Land Rover , Defender</t>
        </is>
      </c>
      <c r="Q1112" t="inlineStr">
        <is>
          <t>UKPN</t>
        </is>
      </c>
      <c r="R1112" t="b">
        <v>0</v>
      </c>
    </row>
    <row r="1113">
      <c r="A1113" t="inlineStr">
        <is>
          <t>1 Aug 2025 / 3988 Valiant Arborist Ltd / Utilities &amp; Inland Waterways / UKPN</t>
        </is>
      </c>
      <c r="B1113" t="inlineStr">
        <is>
          <t>Utilities &amp; Inland Waterways</t>
        </is>
      </c>
      <c r="C1113" t="inlineStr">
        <is>
          <t>UKPN</t>
        </is>
      </c>
      <c r="D1113" t="inlineStr">
        <is>
          <t>4x4 - Isuzu  - D Max  - BT24 YEC</t>
        </is>
      </c>
      <c r="E1113" t="inlineStr">
        <is>
          <t>4x4 - Isuzu  - D Max  - BT24 YEC</t>
        </is>
      </c>
      <c r="F1113" t="inlineStr">
        <is>
          <t>4x4 - Isuzu  - D Max  - BT24 YEC</t>
        </is>
      </c>
      <c r="G1113" t="inlineStr">
        <is>
          <t>Sam knight</t>
        </is>
      </c>
      <c r="H1113" t="inlineStr">
        <is>
          <t>4x4</t>
        </is>
      </c>
      <c r="I1113" t="inlineStr">
        <is>
          <t>Daily/ Weekly Vehicle Inspection</t>
        </is>
      </c>
      <c r="J1113" t="inlineStr">
        <is>
          <t>N/A</t>
        </is>
      </c>
      <c r="K1113" t="inlineStr">
        <is>
          <t>3988 Valiant Arborist Ltd</t>
        </is>
      </c>
      <c r="L1113" t="inlineStr">
        <is>
          <t>01/08/2025 09:14</t>
        </is>
      </c>
      <c r="M1113" t="inlineStr">
        <is>
          <t>None</t>
        </is>
      </c>
      <c r="N1113" t="inlineStr">
        <is>
          <t>&lt;p&gt;&lt;/p&gt;</t>
        </is>
      </c>
      <c r="O1113" t="inlineStr"/>
      <c r="P1113" t="inlineStr">
        <is>
          <t>4x4 - Isuzu  - D Max  - BT24 YEC</t>
        </is>
      </c>
      <c r="Q1113" t="inlineStr">
        <is>
          <t>UKPN</t>
        </is>
      </c>
      <c r="R1113" t="b">
        <v>0</v>
      </c>
    </row>
    <row r="1114">
      <c r="A1114" t="inlineStr">
        <is>
          <t>4 Aug 2025 / Thomas Playford / Utilities &amp; Inland Waterways / UKPN</t>
        </is>
      </c>
      <c r="B1114" t="inlineStr">
        <is>
          <t>Utilities &amp; Inland Waterways</t>
        </is>
      </c>
      <c r="C1114" t="inlineStr">
        <is>
          <t>UKPN</t>
        </is>
      </c>
      <c r="D1114" t="inlineStr">
        <is>
          <t>YP24 WRD , Vehicle , Ford , Ranger</t>
        </is>
      </c>
      <c r="E1114" t="inlineStr">
        <is>
          <t>YP24 WRD , Vehicle , Ford , Ranger</t>
        </is>
      </c>
      <c r="F1114" t="inlineStr">
        <is>
          <t>YP24 WRD , Vehicle , Ford , Ranger</t>
        </is>
      </c>
      <c r="G1114" t="inlineStr">
        <is>
          <t>Jacob Oram</t>
        </is>
      </c>
      <c r="H1114" t="inlineStr">
        <is>
          <t>4x4</t>
        </is>
      </c>
      <c r="I1114" t="inlineStr">
        <is>
          <t>Daily/ Weekly Vehicle Inspection</t>
        </is>
      </c>
      <c r="J1114" t="inlineStr">
        <is>
          <t>N/A</t>
        </is>
      </c>
      <c r="K1114" t="inlineStr">
        <is>
          <t>7995 Contour Landscapes Ltd 2</t>
        </is>
      </c>
      <c r="L1114" t="inlineStr">
        <is>
          <t>04/08/2025 07:14</t>
        </is>
      </c>
      <c r="M1114" t="inlineStr">
        <is>
          <t>None</t>
        </is>
      </c>
      <c r="N1114" t="inlineStr">
        <is>
          <t>&lt;p&gt;&lt;/p&gt;</t>
        </is>
      </c>
      <c r="O1114" t="inlineStr"/>
      <c r="P1114" t="inlineStr">
        <is>
          <t>YP24 WRD , Vehicle , Ford , Ranger</t>
        </is>
      </c>
      <c r="Q1114" t="inlineStr">
        <is>
          <t>UKPN</t>
        </is>
      </c>
      <c r="R1114" t="b">
        <v>0</v>
      </c>
    </row>
    <row r="1115">
      <c r="A1115" t="inlineStr">
        <is>
          <t>4 Aug 2025 / 7800 MAC Tree Surgery and Fencing Ltd</t>
        </is>
      </c>
      <c r="B1115" t="inlineStr">
        <is>
          <t>Utilities &amp; Inland Waterways</t>
        </is>
      </c>
      <c r="C1115" t="inlineStr">
        <is>
          <t>UKPN</t>
        </is>
      </c>
      <c r="D1115" t="inlineStr">
        <is>
          <t>AY68DAA , 4x4 , Izuzu , Dmax</t>
        </is>
      </c>
      <c r="E1115" t="inlineStr">
        <is>
          <t>AY68DAA , 4x4 , Izuzu , Dmax</t>
        </is>
      </c>
      <c r="F1115" t="inlineStr">
        <is>
          <t>AY68DAA , 4x4 , Izuzu , Dmax</t>
        </is>
      </c>
      <c r="G1115" t="inlineStr">
        <is>
          <t xml:space="preserve">Lewis mac </t>
        </is>
      </c>
      <c r="H1115" t="inlineStr">
        <is>
          <t>4x4</t>
        </is>
      </c>
      <c r="I1115" t="inlineStr">
        <is>
          <t>Daily/ Weekly Vehicle Inspection</t>
        </is>
      </c>
      <c r="J1115" t="inlineStr">
        <is>
          <t>N/A</t>
        </is>
      </c>
      <c r="K1115" t="inlineStr">
        <is>
          <t>7800 MAC Tree Surgery and Fencing Ltd</t>
        </is>
      </c>
      <c r="L1115" t="inlineStr">
        <is>
          <t>04/08/2025 07:16</t>
        </is>
      </c>
      <c r="M1115" t="inlineStr">
        <is>
          <t>None</t>
        </is>
      </c>
      <c r="N1115" t="inlineStr">
        <is>
          <t>&lt;p&gt;&lt;/p&gt;</t>
        </is>
      </c>
      <c r="O1115" t="inlineStr"/>
      <c r="P1115" t="inlineStr">
        <is>
          <t>AY68DAA , 4x4 , Izuzu , Dmax</t>
        </is>
      </c>
      <c r="Q1115" t="inlineStr">
        <is>
          <t>UKPN</t>
        </is>
      </c>
      <c r="R1115" t="b">
        <v>0</v>
      </c>
    </row>
    <row r="1116">
      <c r="A1116" t="inlineStr">
        <is>
          <t>4 Aug 2025 / 7800 MAC Tree Surgery and Fencing Ltd</t>
        </is>
      </c>
      <c r="B1116" t="inlineStr">
        <is>
          <t>Utilities &amp; Inland Waterways</t>
        </is>
      </c>
      <c r="C1116" t="inlineStr">
        <is>
          <t>UKPN</t>
        </is>
      </c>
      <c r="D1116" t="inlineStr">
        <is>
          <t>205143043-A1 , Tow Chipper , Timberwolf , TW150</t>
        </is>
      </c>
      <c r="E1116" t="inlineStr">
        <is>
          <t>205143043-A1 , Tow Chipper , Timberwolf , TW150</t>
        </is>
      </c>
      <c r="F1116" t="inlineStr">
        <is>
          <t>205143043-A1 , Tow Chipper , Timberwolf , TW150</t>
        </is>
      </c>
      <c r="G1116" t="inlineStr">
        <is>
          <t xml:space="preserve">Lewis mac </t>
        </is>
      </c>
      <c r="H1116" t="inlineStr">
        <is>
          <t>Towed Chipper</t>
        </is>
      </c>
      <c r="I1116" t="inlineStr">
        <is>
          <t>Daily/ Weekly Vehicle Inspection</t>
        </is>
      </c>
      <c r="J1116" t="inlineStr">
        <is>
          <t>N/A</t>
        </is>
      </c>
      <c r="K1116" t="inlineStr">
        <is>
          <t>7800 MAC Tree Surgery and Fencing Ltd</t>
        </is>
      </c>
      <c r="L1116" t="inlineStr">
        <is>
          <t>04/08/2025 07:16</t>
        </is>
      </c>
      <c r="M1116" t="inlineStr">
        <is>
          <t>None</t>
        </is>
      </c>
      <c r="N1116" t="inlineStr">
        <is>
          <t>&lt;p&gt;&lt;/p&gt;</t>
        </is>
      </c>
      <c r="O1116" t="inlineStr"/>
      <c r="P1116" t="inlineStr">
        <is>
          <t>205143043-A1 , Tow Chipper , Timberwolf , TW150</t>
        </is>
      </c>
      <c r="Q1116" t="inlineStr">
        <is>
          <t>UKPN</t>
        </is>
      </c>
      <c r="R1116" t="b">
        <v>0</v>
      </c>
    </row>
    <row r="1117">
      <c r="A1117" t="inlineStr">
        <is>
          <t>30 Jul 2025 / 7806 Optimum Tree Services Ltd</t>
        </is>
      </c>
      <c r="B1117" t="inlineStr">
        <is>
          <t>Utilities &amp; Inland Waterways</t>
        </is>
      </c>
      <c r="C1117" t="inlineStr">
        <is>
          <t>UKPN</t>
        </is>
      </c>
      <c r="D1117" t="inlineStr">
        <is>
          <t>WD14EVB , MEWP , Land Rover , Defender</t>
        </is>
      </c>
      <c r="E1117" t="inlineStr">
        <is>
          <t>WD14EVB , MEWP , Land Rover , Defender</t>
        </is>
      </c>
      <c r="F1117" t="inlineStr">
        <is>
          <t>WD14EVB , MEWP , Land Rover , Defender</t>
        </is>
      </c>
      <c r="G1117" t="inlineStr">
        <is>
          <t xml:space="preserve">Abraham Davies </t>
        </is>
      </c>
      <c r="H1117" t="inlineStr">
        <is>
          <t>4x4</t>
        </is>
      </c>
      <c r="I1117" t="inlineStr">
        <is>
          <t>Daily/ Weekly Vehicle Inspection</t>
        </is>
      </c>
      <c r="J1117" t="inlineStr">
        <is>
          <t>N/A</t>
        </is>
      </c>
      <c r="K1117" t="inlineStr">
        <is>
          <t>7806 Optimum Tree Services Ltd</t>
        </is>
      </c>
      <c r="L1117" t="inlineStr">
        <is>
          <t>04/08/2025 07:20</t>
        </is>
      </c>
      <c r="M1117" t="inlineStr">
        <is>
          <t>None</t>
        </is>
      </c>
      <c r="N1117" t="inlineStr">
        <is>
          <t>&lt;p&gt;&lt;/p&gt;</t>
        </is>
      </c>
      <c r="O1117" t="inlineStr"/>
      <c r="P1117" t="inlineStr">
        <is>
          <t>WD14EVB , MEWP , Land Rover , Defender</t>
        </is>
      </c>
      <c r="Q1117" t="inlineStr">
        <is>
          <t>UKPN</t>
        </is>
      </c>
      <c r="R1117" t="b">
        <v>0</v>
      </c>
    </row>
    <row r="1118">
      <c r="A1118" t="inlineStr">
        <is>
          <t>4 Aug 2025 / Patryk Zietarski</t>
        </is>
      </c>
      <c r="B1118" t="inlineStr">
        <is>
          <t>Utilities &amp; Inland Waterways</t>
        </is>
      </c>
      <c r="C1118" t="inlineStr">
        <is>
          <t>UKPN</t>
        </is>
      </c>
      <c r="D1118" t="inlineStr">
        <is>
          <t>YW73CWL , Car - Electric , Kia , E-Niro</t>
        </is>
      </c>
      <c r="E1118" t="inlineStr">
        <is>
          <t>YW73CWL , Car - Electric , Kia , E-Niro</t>
        </is>
      </c>
      <c r="F1118" t="inlineStr">
        <is>
          <t>YW73CWL , Car - Electric , Kia , E-Niro</t>
        </is>
      </c>
      <c r="G1118" t="inlineStr">
        <is>
          <t xml:space="preserve">Patryk Zietarski </t>
        </is>
      </c>
      <c r="H1118" t="inlineStr">
        <is>
          <t>Car - Electric (GC Owned)</t>
        </is>
      </c>
      <c r="I1118" t="inlineStr">
        <is>
          <t>Daily/ Weekly Vehicle Inspection</t>
        </is>
      </c>
      <c r="J1118" t="inlineStr">
        <is>
          <t>N/A</t>
        </is>
      </c>
      <c r="K1118" t="inlineStr">
        <is>
          <t>Patryk Zietarski</t>
        </is>
      </c>
      <c r="L1118" t="inlineStr">
        <is>
          <t>04/08/2025 08:22</t>
        </is>
      </c>
      <c r="M1118" t="inlineStr">
        <is>
          <t>None</t>
        </is>
      </c>
      <c r="N1118" t="inlineStr">
        <is>
          <t>&lt;p&gt;&lt;/p&gt;</t>
        </is>
      </c>
      <c r="O1118" t="inlineStr"/>
      <c r="P1118" t="inlineStr">
        <is>
          <t>YW73CWL , Car - Electric , Kia , E-Niro</t>
        </is>
      </c>
      <c r="Q1118" t="inlineStr">
        <is>
          <t>UKPN</t>
        </is>
      </c>
      <c r="R1118" t="b">
        <v>0</v>
      </c>
    </row>
    <row r="1119">
      <c r="A1119" t="inlineStr">
        <is>
          <t>4 Aug 2025 / 6617 Ashdown Tree Limited 1 / Utilities &amp; Inland Waterways / UKPN</t>
        </is>
      </c>
      <c r="B1119" t="inlineStr">
        <is>
          <t>Utilities &amp; Inland Waterways</t>
        </is>
      </c>
      <c r="C1119" t="inlineStr">
        <is>
          <t>UKPN</t>
        </is>
      </c>
      <c r="D1119" t="inlineStr">
        <is>
          <t>SBXTW35A6LS209184 , Tow Chipper , Timberwolf , TW230DHB</t>
        </is>
      </c>
      <c r="E1119" t="inlineStr">
        <is>
          <t>SBXTW35A6LS209184 , Tow Chipper , Timberwolf , TW230DHB</t>
        </is>
      </c>
      <c r="F1119" t="inlineStr">
        <is>
          <t>SBXTW35A6LS209184 , Tow Chipper , Timberwolf , TW230DHB</t>
        </is>
      </c>
      <c r="G1119" t="inlineStr">
        <is>
          <t xml:space="preserve">Francislesser </t>
        </is>
      </c>
      <c r="H1119" t="inlineStr">
        <is>
          <t>Towed Chipper</t>
        </is>
      </c>
      <c r="I1119" t="inlineStr">
        <is>
          <t>Daily/ Weekly Vehicle Inspection</t>
        </is>
      </c>
      <c r="J1119" t="inlineStr">
        <is>
          <t>N/A</t>
        </is>
      </c>
      <c r="K1119" t="inlineStr">
        <is>
          <t>6617 Ashdown Tree Limited 1</t>
        </is>
      </c>
      <c r="L1119" t="inlineStr">
        <is>
          <t>04/08/2025 08:23</t>
        </is>
      </c>
      <c r="M1119" t="inlineStr">
        <is>
          <t>None</t>
        </is>
      </c>
      <c r="N1119" t="inlineStr">
        <is>
          <t>&lt;p&gt;&lt;/p&gt;</t>
        </is>
      </c>
      <c r="O1119" t="inlineStr"/>
      <c r="P1119" t="inlineStr">
        <is>
          <t>SBXTW35A6LS209184 , Tow Chipper , Timberwolf , TW230DHB</t>
        </is>
      </c>
      <c r="Q1119" t="inlineStr">
        <is>
          <t>UKPN</t>
        </is>
      </c>
      <c r="R1119" t="b">
        <v>0</v>
      </c>
    </row>
    <row r="1120">
      <c r="A1120" t="inlineStr">
        <is>
          <t>4 Aug 2025 / 7889 Tree Tech Suffolk Ltd / Utilities &amp; Inland Waterways / UKPN</t>
        </is>
      </c>
      <c r="B1120" t="inlineStr">
        <is>
          <t>Utilities &amp; Inland Waterways</t>
        </is>
      </c>
      <c r="C1120" t="inlineStr">
        <is>
          <t>UKPN</t>
        </is>
      </c>
      <c r="D1120" t="inlineStr"/>
      <c r="E1120" t="inlineStr"/>
      <c r="F1120" t="inlineStr"/>
      <c r="G1120" t="inlineStr"/>
      <c r="H1120" t="inlineStr"/>
      <c r="I1120" t="inlineStr">
        <is>
          <t>Add to Vehicle to the GC Vehicle List</t>
        </is>
      </c>
      <c r="J1120" t="inlineStr">
        <is>
          <t>N/A</t>
        </is>
      </c>
      <c r="K1120" t="inlineStr">
        <is>
          <t>7889 Tree Tech Suffolk Ltd</t>
        </is>
      </c>
      <c r="L1120" t="inlineStr">
        <is>
          <t>04/08/2025 08:24</t>
        </is>
      </c>
      <c r="M1120" t="inlineStr">
        <is>
          <t>None</t>
        </is>
      </c>
      <c r="N1120" t="inlineStr">
        <is>
          <t>&lt;p&gt;&lt;/p&gt;</t>
        </is>
      </c>
      <c r="O1120" t="inlineStr"/>
      <c r="P1120" t="inlineStr"/>
      <c r="Q1120" t="inlineStr">
        <is>
          <t>UKPN</t>
        </is>
      </c>
      <c r="R1120" t="b">
        <v>0</v>
      </c>
    </row>
    <row r="1121">
      <c r="A1121" t="inlineStr">
        <is>
          <t>4 Aug 2025 / 6617 Ashdown Tree Limited 1 / Utilities &amp; Inland Waterways / UKPN</t>
        </is>
      </c>
      <c r="B1121" t="inlineStr">
        <is>
          <t>Utilities &amp; Inland Waterways</t>
        </is>
      </c>
      <c r="C1121" t="inlineStr">
        <is>
          <t>UKPN</t>
        </is>
      </c>
      <c r="D1121" t="inlineStr">
        <is>
          <t>GU11LKD , 4x4 , Land Rover , Defender</t>
        </is>
      </c>
      <c r="E1121" t="inlineStr">
        <is>
          <t>GU11LKD , 4x4 , Land Rover , Defender</t>
        </is>
      </c>
      <c r="F1121" t="inlineStr">
        <is>
          <t>GU11LKD , 4x4 , Land Rover , Defender</t>
        </is>
      </c>
      <c r="G1121" t="inlineStr">
        <is>
          <t xml:space="preserve">Francislesser </t>
        </is>
      </c>
      <c r="H1121" t="inlineStr">
        <is>
          <t>4x4</t>
        </is>
      </c>
      <c r="I1121" t="inlineStr">
        <is>
          <t>Daily/ Weekly Vehicle Inspection</t>
        </is>
      </c>
      <c r="J1121" t="inlineStr">
        <is>
          <t>N/A</t>
        </is>
      </c>
      <c r="K1121" t="inlineStr">
        <is>
          <t>6617 Ashdown Tree Limited 1</t>
        </is>
      </c>
      <c r="L1121" t="inlineStr">
        <is>
          <t>04/08/2025 08:25</t>
        </is>
      </c>
      <c r="M1121" t="inlineStr">
        <is>
          <t>None</t>
        </is>
      </c>
      <c r="N1121" t="inlineStr">
        <is>
          <t>&lt;p&gt;&lt;/p&gt;</t>
        </is>
      </c>
      <c r="O1121" t="inlineStr"/>
      <c r="P1121" t="inlineStr">
        <is>
          <t>GU11LKD , 4x4 , Land Rover , Defender</t>
        </is>
      </c>
      <c r="Q1121" t="inlineStr">
        <is>
          <t>UKPN</t>
        </is>
      </c>
      <c r="R1121" t="b">
        <v>0</v>
      </c>
    </row>
    <row r="1122">
      <c r="A1122" t="inlineStr">
        <is>
          <t>4 Aug 2025 / 7889 Tree Tech Suffolk Ltd / Utilities &amp; Inland Waterways / UKPN</t>
        </is>
      </c>
      <c r="B1122" t="inlineStr">
        <is>
          <t>Utilities &amp; Inland Waterways</t>
        </is>
      </c>
      <c r="C1122" t="inlineStr">
        <is>
          <t>UKPN</t>
        </is>
      </c>
      <c r="D1122" t="inlineStr"/>
      <c r="E1122" t="inlineStr"/>
      <c r="F1122" t="inlineStr"/>
      <c r="G1122" t="inlineStr"/>
      <c r="H1122" t="inlineStr"/>
      <c r="I1122" t="inlineStr">
        <is>
          <t>Add to Vehicle to the GC Vehicle List</t>
        </is>
      </c>
      <c r="J1122" t="inlineStr">
        <is>
          <t>N/A</t>
        </is>
      </c>
      <c r="K1122" t="inlineStr">
        <is>
          <t>7889 Tree Tech Suffolk Ltd</t>
        </is>
      </c>
      <c r="L1122" t="inlineStr">
        <is>
          <t>04/08/2025 08:26</t>
        </is>
      </c>
      <c r="M1122" t="inlineStr">
        <is>
          <t>None</t>
        </is>
      </c>
      <c r="N1122" t="inlineStr">
        <is>
          <t>&lt;p&gt;&lt;/p&gt;</t>
        </is>
      </c>
      <c r="O1122" t="inlineStr"/>
      <c r="P1122" t="inlineStr"/>
      <c r="Q1122" t="inlineStr">
        <is>
          <t>UKPN</t>
        </is>
      </c>
      <c r="R1122" t="b">
        <v>0</v>
      </c>
    </row>
    <row r="1123">
      <c r="A1123" t="inlineStr">
        <is>
          <t>4 Aug 2025 / Thomas Playford / Utilities &amp; Inland Waterways / UKPN</t>
        </is>
      </c>
      <c r="B1123" t="inlineStr">
        <is>
          <t>Utilities &amp; Inland Waterways</t>
        </is>
      </c>
      <c r="C1123" t="inlineStr">
        <is>
          <t>UKPN</t>
        </is>
      </c>
      <c r="D1123" t="inlineStr">
        <is>
          <t>SA9ST800000283944 , Tow Chipper , Forst , ST8D - Towed</t>
        </is>
      </c>
      <c r="E1123" t="inlineStr">
        <is>
          <t>SA9ST800000283944 , Tow Chipper , Forst , ST8D - Towed</t>
        </is>
      </c>
      <c r="F1123" t="inlineStr">
        <is>
          <t>SA9ST800000283944 , Tow Chipper , Forst , ST8D - Towed</t>
        </is>
      </c>
      <c r="G1123" t="inlineStr">
        <is>
          <t>Jacob Oram</t>
        </is>
      </c>
      <c r="H1123" t="inlineStr">
        <is>
          <t>Towed Chipper</t>
        </is>
      </c>
      <c r="I1123" t="inlineStr">
        <is>
          <t>Daily/ Weekly Vehicle Inspection</t>
        </is>
      </c>
      <c r="J1123" t="inlineStr">
        <is>
          <t>N/A</t>
        </is>
      </c>
      <c r="K1123" t="inlineStr">
        <is>
          <t>7995 Contour Landscapes Ltd 2</t>
        </is>
      </c>
      <c r="L1123" t="inlineStr">
        <is>
          <t>04/08/2025 08:27</t>
        </is>
      </c>
      <c r="M1123" t="inlineStr">
        <is>
          <t>None</t>
        </is>
      </c>
      <c r="N1123" t="inlineStr">
        <is>
          <t>&lt;p&gt;&lt;/p&gt;</t>
        </is>
      </c>
      <c r="O1123" t="inlineStr"/>
      <c r="P1123" t="inlineStr">
        <is>
          <t>SA9ST800000283944 , Tow Chipper , Forst , ST8D - Towed</t>
        </is>
      </c>
      <c r="Q1123" t="inlineStr">
        <is>
          <t>UKPN</t>
        </is>
      </c>
      <c r="R1123" t="b">
        <v>0</v>
      </c>
    </row>
    <row r="1124">
      <c r="A1124" t="inlineStr">
        <is>
          <t>4 Aug 2025 / Alexander Damar / Utilities &amp; Inland Waterways / UKPN</t>
        </is>
      </c>
      <c r="B1124" t="inlineStr">
        <is>
          <t>Utilities &amp; Inland Waterways</t>
        </is>
      </c>
      <c r="C1124" t="inlineStr">
        <is>
          <t>UKPN</t>
        </is>
      </c>
      <c r="D1124" t="inlineStr">
        <is>
          <t>LB73VHJ , Car - Petrol , Mg , Hs</t>
        </is>
      </c>
      <c r="E1124" t="inlineStr">
        <is>
          <t>LB73VHJ , Car - Petrol , Mg , Hs</t>
        </is>
      </c>
      <c r="F1124" t="inlineStr">
        <is>
          <t>LB73VHJ , Car - Petrol , Mg , Hs</t>
        </is>
      </c>
      <c r="G1124" t="inlineStr">
        <is>
          <t>A damar</t>
        </is>
      </c>
      <c r="H1124" t="inlineStr">
        <is>
          <t>Car - Petrol</t>
        </is>
      </c>
      <c r="I1124" t="inlineStr">
        <is>
          <t>Daily/ Weekly Vehicle Inspection</t>
        </is>
      </c>
      <c r="J1124" t="inlineStr">
        <is>
          <t>N/A</t>
        </is>
      </c>
      <c r="K1124" t="inlineStr">
        <is>
          <t>Alexander Damar</t>
        </is>
      </c>
      <c r="L1124" t="inlineStr">
        <is>
          <t>04/08/2025 11:13</t>
        </is>
      </c>
      <c r="M1124" t="inlineStr">
        <is>
          <t>None</t>
        </is>
      </c>
      <c r="N1124" t="inlineStr">
        <is>
          <t>&lt;p&gt;&lt;/p&gt;</t>
        </is>
      </c>
      <c r="O1124" t="inlineStr"/>
      <c r="P1124" t="inlineStr">
        <is>
          <t>LB73VHJ , Car - Petrol , Mg , Hs</t>
        </is>
      </c>
      <c r="Q1124" t="inlineStr">
        <is>
          <t>UKPN</t>
        </is>
      </c>
      <c r="R1124" t="b">
        <v>0</v>
      </c>
    </row>
    <row r="1125">
      <c r="A1125" t="inlineStr">
        <is>
          <t>4 Aug 2025 / 3988 Valiant Arborist Ltd / Utilities &amp; Inland Waterways / UKPN</t>
        </is>
      </c>
      <c r="B1125" t="inlineStr">
        <is>
          <t>Utilities &amp; Inland Waterways</t>
        </is>
      </c>
      <c r="C1125" t="inlineStr">
        <is>
          <t>UKPN</t>
        </is>
      </c>
      <c r="D1125" t="inlineStr">
        <is>
          <t>4x4 - Isuzu  - D Max  - BT24 YEC</t>
        </is>
      </c>
      <c r="E1125" t="inlineStr">
        <is>
          <t>4x4 - Isuzu  - D Max  - BT24 YEC</t>
        </is>
      </c>
      <c r="F1125" t="inlineStr">
        <is>
          <t>4x4 - Isuzu  - D Max  - BT24 YEC</t>
        </is>
      </c>
      <c r="G1125" t="inlineStr">
        <is>
          <t>Sam knight</t>
        </is>
      </c>
      <c r="H1125" t="inlineStr">
        <is>
          <t>4x4</t>
        </is>
      </c>
      <c r="I1125" t="inlineStr">
        <is>
          <t>Daily/ Weekly Vehicle Inspection</t>
        </is>
      </c>
      <c r="J1125" t="inlineStr">
        <is>
          <t>N/A</t>
        </is>
      </c>
      <c r="K1125" t="inlineStr">
        <is>
          <t>3988 Valiant Arborist Ltd</t>
        </is>
      </c>
      <c r="L1125" t="inlineStr">
        <is>
          <t>04/08/2025 11:14</t>
        </is>
      </c>
      <c r="M1125" t="inlineStr">
        <is>
          <t>None</t>
        </is>
      </c>
      <c r="N1125" t="inlineStr">
        <is>
          <t>&lt;p&gt;&lt;/p&gt;</t>
        </is>
      </c>
      <c r="O1125" t="inlineStr"/>
      <c r="P1125" t="inlineStr">
        <is>
          <t>4x4 - Isuzu  - D Max  - BT24 YEC</t>
        </is>
      </c>
      <c r="Q1125" t="inlineStr">
        <is>
          <t>UKPN</t>
        </is>
      </c>
      <c r="R1125" t="b">
        <v>0</v>
      </c>
    </row>
    <row r="1126">
      <c r="A1126" t="inlineStr">
        <is>
          <t>5 Aug 2025 / 7800 MAC Tree Surgery and Fencing Ltd</t>
        </is>
      </c>
      <c r="B1126" t="inlineStr">
        <is>
          <t>Utilities &amp; Inland Waterways</t>
        </is>
      </c>
      <c r="C1126" t="inlineStr">
        <is>
          <t>UKPN</t>
        </is>
      </c>
      <c r="D1126" t="inlineStr">
        <is>
          <t>205143043-A1 , Tow Chipper , Timberwolf , TW150</t>
        </is>
      </c>
      <c r="E1126" t="inlineStr">
        <is>
          <t>205143043-A1 , Tow Chipper , Timberwolf , TW150</t>
        </is>
      </c>
      <c r="F1126" t="inlineStr">
        <is>
          <t>205143043-A1 , Tow Chipper , Timberwolf , TW150</t>
        </is>
      </c>
      <c r="G1126" t="inlineStr">
        <is>
          <t xml:space="preserve">Lewis mac </t>
        </is>
      </c>
      <c r="H1126" t="inlineStr">
        <is>
          <t>Towed Chipper</t>
        </is>
      </c>
      <c r="I1126" t="inlineStr">
        <is>
          <t>Daily/ Weekly Vehicle Inspection</t>
        </is>
      </c>
      <c r="J1126" t="inlineStr">
        <is>
          <t>N/A</t>
        </is>
      </c>
      <c r="K1126" t="inlineStr">
        <is>
          <t>7800 MAC Tree Surgery and Fencing Ltd</t>
        </is>
      </c>
      <c r="L1126" t="inlineStr">
        <is>
          <t>05/08/2025 07:15</t>
        </is>
      </c>
      <c r="M1126" t="inlineStr">
        <is>
          <t>None</t>
        </is>
      </c>
      <c r="N1126" t="inlineStr">
        <is>
          <t>&lt;p&gt;&lt;/p&gt;</t>
        </is>
      </c>
      <c r="O1126" t="inlineStr"/>
      <c r="P1126" t="inlineStr">
        <is>
          <t>205143043-A1 , Tow Chipper , Timberwolf , TW150</t>
        </is>
      </c>
      <c r="Q1126" t="inlineStr">
        <is>
          <t>UKPN</t>
        </is>
      </c>
      <c r="R1126" t="b">
        <v>0</v>
      </c>
    </row>
    <row r="1127">
      <c r="A1127" t="inlineStr">
        <is>
          <t>5 Aug 2025 / 7800 MAC Tree Surgery and Fencing Ltd</t>
        </is>
      </c>
      <c r="B1127" t="inlineStr">
        <is>
          <t>Utilities &amp; Inland Waterways</t>
        </is>
      </c>
      <c r="C1127" t="inlineStr">
        <is>
          <t>UKPN</t>
        </is>
      </c>
      <c r="D1127" t="inlineStr">
        <is>
          <t>AY68DAA , 4x4 , Izuzu , Dmax</t>
        </is>
      </c>
      <c r="E1127" t="inlineStr">
        <is>
          <t>AY68DAA , 4x4 , Izuzu , Dmax</t>
        </is>
      </c>
      <c r="F1127" t="inlineStr">
        <is>
          <t>AY68DAA , 4x4 , Izuzu , Dmax</t>
        </is>
      </c>
      <c r="G1127" t="inlineStr">
        <is>
          <t xml:space="preserve">Lewis mac </t>
        </is>
      </c>
      <c r="H1127" t="inlineStr">
        <is>
          <t>4x4</t>
        </is>
      </c>
      <c r="I1127" t="inlineStr">
        <is>
          <t>Daily/ Weekly Vehicle Inspection</t>
        </is>
      </c>
      <c r="J1127" t="inlineStr">
        <is>
          <t>N/A</t>
        </is>
      </c>
      <c r="K1127" t="inlineStr">
        <is>
          <t>7800 MAC Tree Surgery and Fencing Ltd</t>
        </is>
      </c>
      <c r="L1127" t="inlineStr">
        <is>
          <t>05/08/2025 07:16</t>
        </is>
      </c>
      <c r="M1127" t="inlineStr">
        <is>
          <t>None</t>
        </is>
      </c>
      <c r="N1127" t="inlineStr">
        <is>
          <t>&lt;p&gt;&lt;/p&gt;</t>
        </is>
      </c>
      <c r="O1127" t="inlineStr"/>
      <c r="P1127" t="inlineStr">
        <is>
          <t>AY68DAA , 4x4 , Izuzu , Dmax</t>
        </is>
      </c>
      <c r="Q1127" t="inlineStr">
        <is>
          <t>UKPN</t>
        </is>
      </c>
      <c r="R1127" t="b">
        <v>0</v>
      </c>
    </row>
    <row r="1128">
      <c r="A1128" t="inlineStr">
        <is>
          <t>5 Aug 2025 / 7951 Austin Tree Care LTD / Utilities / UKPN</t>
        </is>
      </c>
      <c r="B1128" t="inlineStr">
        <is>
          <t>Utilities</t>
        </is>
      </c>
      <c r="C1128" t="inlineStr">
        <is>
          <t>UKPN</t>
        </is>
      </c>
      <c r="D1128" t="inlineStr">
        <is>
          <t>SA9ST6P0001283612 , Tow Chipper , Forst , ST6p</t>
        </is>
      </c>
      <c r="E1128" t="inlineStr">
        <is>
          <t>SA9ST6P0001283612 , Tow Chipper , Forst , ST6p</t>
        </is>
      </c>
      <c r="F1128" t="inlineStr">
        <is>
          <t>SA9ST6P0001283612 , Tow Chipper , Forst , ST6p</t>
        </is>
      </c>
      <c r="G1128" t="inlineStr">
        <is>
          <t xml:space="preserve">Jack Austin </t>
        </is>
      </c>
      <c r="H1128" t="inlineStr">
        <is>
          <t>Towed Chipper</t>
        </is>
      </c>
      <c r="I1128" t="inlineStr">
        <is>
          <t>Daily/ Weekly Vehicle Inspection</t>
        </is>
      </c>
      <c r="J1128" t="inlineStr">
        <is>
          <t>N/A</t>
        </is>
      </c>
      <c r="K1128" t="inlineStr">
        <is>
          <t>7951 Austin Tree Care LTD</t>
        </is>
      </c>
      <c r="L1128" t="inlineStr">
        <is>
          <t>05/08/2025 08:18</t>
        </is>
      </c>
      <c r="M1128" t="inlineStr">
        <is>
          <t>None</t>
        </is>
      </c>
      <c r="N1128" t="inlineStr">
        <is>
          <t>&lt;p&gt;&lt;/p&gt;</t>
        </is>
      </c>
      <c r="O1128" t="inlineStr"/>
      <c r="P1128" t="inlineStr">
        <is>
          <t>SA9ST6P0001283612 , Tow Chipper , Forst , ST6p</t>
        </is>
      </c>
      <c r="Q1128" t="inlineStr">
        <is>
          <t>UKPN</t>
        </is>
      </c>
      <c r="R1128" t="b">
        <v>0</v>
      </c>
    </row>
    <row r="1129">
      <c r="A1129" t="inlineStr">
        <is>
          <t>5 Aug 2025 / 6617 Ashdown Tree Limited 1 / Utilities / UKPN</t>
        </is>
      </c>
      <c r="B1129" t="inlineStr">
        <is>
          <t>Utilities</t>
        </is>
      </c>
      <c r="C1129" t="inlineStr">
        <is>
          <t>UKPN</t>
        </is>
      </c>
      <c r="D1129" t="inlineStr">
        <is>
          <t>Plant Trailer - Indespension - 211717 - 211717</t>
        </is>
      </c>
      <c r="E1129" t="inlineStr">
        <is>
          <t>Plant Trailer - Indespension - 211717 - 211717</t>
        </is>
      </c>
      <c r="F1129" t="inlineStr">
        <is>
          <t>Plant Trailer - Indespension - 211717 - 211717</t>
        </is>
      </c>
      <c r="G1129" t="inlineStr">
        <is>
          <t xml:space="preserve">Francislesser </t>
        </is>
      </c>
      <c r="H1129" t="inlineStr">
        <is>
          <t>Plant Trailer</t>
        </is>
      </c>
      <c r="I1129" t="inlineStr">
        <is>
          <t>Daily/ Weekly Vehicle Inspection</t>
        </is>
      </c>
      <c r="J1129" t="inlineStr">
        <is>
          <t>N/A</t>
        </is>
      </c>
      <c r="K1129" t="inlineStr">
        <is>
          <t>6617 Ashdown Tree Limited 1</t>
        </is>
      </c>
      <c r="L1129" t="inlineStr">
        <is>
          <t>05/08/2025 09:15</t>
        </is>
      </c>
      <c r="M1129" t="inlineStr">
        <is>
          <t>None</t>
        </is>
      </c>
      <c r="N1129" t="inlineStr">
        <is>
          <t>&lt;p&gt;&lt;/p&gt;</t>
        </is>
      </c>
      <c r="O1129" t="inlineStr"/>
      <c r="P1129" t="inlineStr">
        <is>
          <t>Plant Trailer - Indespension - 211717 - 211717</t>
        </is>
      </c>
      <c r="Q1129" t="inlineStr">
        <is>
          <t>UKPN</t>
        </is>
      </c>
      <c r="R1129" t="b">
        <v>0</v>
      </c>
    </row>
    <row r="1130">
      <c r="A1130" t="inlineStr">
        <is>
          <t>5 Aug 2025 / 6617 Ashdown Tree Limited 1 / Utilities / UKPN</t>
        </is>
      </c>
      <c r="B1130" t="inlineStr">
        <is>
          <t>Utilities</t>
        </is>
      </c>
      <c r="C1130" t="inlineStr">
        <is>
          <t>UKPN</t>
        </is>
      </c>
      <c r="D1130" t="inlineStr">
        <is>
          <t>Tipper - Ford transit  - Ford - AV69LVR</t>
        </is>
      </c>
      <c r="E1130" t="inlineStr">
        <is>
          <t>Tipper - Ford transit  - Ford - AV69LVR</t>
        </is>
      </c>
      <c r="F1130" t="inlineStr">
        <is>
          <t>Tipper - Ford transit  - Ford - AV69LVR</t>
        </is>
      </c>
      <c r="G1130" t="inlineStr">
        <is>
          <t xml:space="preserve">Francislesser </t>
        </is>
      </c>
      <c r="H1130" t="inlineStr">
        <is>
          <t>Tipper</t>
        </is>
      </c>
      <c r="I1130" t="inlineStr">
        <is>
          <t>Daily/ Weekly Vehicle Inspection</t>
        </is>
      </c>
      <c r="J1130" t="inlineStr">
        <is>
          <t>N/A</t>
        </is>
      </c>
      <c r="K1130" t="inlineStr">
        <is>
          <t>6617 Ashdown Tree Limited 1</t>
        </is>
      </c>
      <c r="L1130" t="inlineStr">
        <is>
          <t>05/08/2025 09:16</t>
        </is>
      </c>
      <c r="M1130" t="inlineStr">
        <is>
          <t>None</t>
        </is>
      </c>
      <c r="N1130" t="inlineStr">
        <is>
          <t>&lt;p&gt;&lt;/p&gt;</t>
        </is>
      </c>
      <c r="O1130" t="inlineStr"/>
      <c r="P1130" t="inlineStr">
        <is>
          <t>Tipper - Ford transit  - Ford - AV69LVR</t>
        </is>
      </c>
      <c r="Q1130" t="inlineStr">
        <is>
          <t>UKPN</t>
        </is>
      </c>
      <c r="R1130" t="b">
        <v>0</v>
      </c>
    </row>
    <row r="1131">
      <c r="A1131" t="inlineStr">
        <is>
          <t>5 Aug 2025 / 7889 Tree Tech Suffolk Ltd / Utilities / UKPN</t>
        </is>
      </c>
      <c r="B1131" t="inlineStr">
        <is>
          <t>Utilities</t>
        </is>
      </c>
      <c r="C1131" t="inlineStr">
        <is>
          <t>UKPN</t>
        </is>
      </c>
      <c r="D1131" t="inlineStr">
        <is>
          <t>Kx65fcp , 4x4 , Izuzu d max  , D max</t>
        </is>
      </c>
      <c r="E1131" t="inlineStr">
        <is>
          <t>Kx65fcp , 4x4 , Izuzu d max  , D max</t>
        </is>
      </c>
      <c r="F1131" t="inlineStr">
        <is>
          <t>Kx65fcp , 4x4 , Izuzu d max  , D max</t>
        </is>
      </c>
      <c r="G1131" t="inlineStr">
        <is>
          <t>Nick sparrow</t>
        </is>
      </c>
      <c r="H1131" t="inlineStr">
        <is>
          <t>4x4</t>
        </is>
      </c>
      <c r="I1131" t="inlineStr">
        <is>
          <t>Daily/ Weekly Vehicle Inspection</t>
        </is>
      </c>
      <c r="J1131" t="inlineStr">
        <is>
          <t>N/A</t>
        </is>
      </c>
      <c r="K1131" t="inlineStr">
        <is>
          <t>7889 Tree Tech Suffolk Ltd</t>
        </is>
      </c>
      <c r="L1131" t="inlineStr">
        <is>
          <t>05/08/2025 10:18</t>
        </is>
      </c>
      <c r="M1131" t="inlineStr">
        <is>
          <t>None</t>
        </is>
      </c>
      <c r="N1131" t="inlineStr">
        <is>
          <t>&lt;p&gt;&lt;/p&gt;</t>
        </is>
      </c>
      <c r="O1131" t="inlineStr"/>
      <c r="P1131" t="inlineStr">
        <is>
          <t>Kx65fcp , 4x4 , Izuzu d max  , D max</t>
        </is>
      </c>
      <c r="Q1131" t="inlineStr">
        <is>
          <t>UKPN</t>
        </is>
      </c>
      <c r="R1131" t="b">
        <v>0</v>
      </c>
    </row>
    <row r="1132">
      <c r="A1132" t="inlineStr">
        <is>
          <t>4 Aug 2025 / Chris Huntley / Utilities &amp; Inland Waterways / UKPN</t>
        </is>
      </c>
      <c r="B1132" t="inlineStr">
        <is>
          <t>Utilities &amp; Inland Waterways</t>
        </is>
      </c>
      <c r="C1132" t="inlineStr">
        <is>
          <t>UKPN</t>
        </is>
      </c>
      <c r="D1132" t="inlineStr">
        <is>
          <t>EX18DCY , 4x4 , Ford , Ranger</t>
        </is>
      </c>
      <c r="E1132" t="inlineStr">
        <is>
          <t>EX18DCY , 4x4 , Ford , Ranger</t>
        </is>
      </c>
      <c r="F1132" t="inlineStr">
        <is>
          <t>EX18DCY , 4x4 , Ford , Ranger</t>
        </is>
      </c>
      <c r="G1132" t="inlineStr">
        <is>
          <t xml:space="preserve">Chris Huntley </t>
        </is>
      </c>
      <c r="H1132" t="inlineStr">
        <is>
          <t>Pickup Truck</t>
        </is>
      </c>
      <c r="I1132" t="inlineStr">
        <is>
          <t>Daily/ Weekly Vehicle Inspection</t>
        </is>
      </c>
      <c r="J1132" t="inlineStr">
        <is>
          <t>N/A</t>
        </is>
      </c>
      <c r="K1132" t="inlineStr">
        <is>
          <t>Chris Huntley</t>
        </is>
      </c>
      <c r="L1132" t="inlineStr">
        <is>
          <t>06/08/2025 07:08</t>
        </is>
      </c>
      <c r="M1132" t="inlineStr">
        <is>
          <t>None</t>
        </is>
      </c>
      <c r="N1132" t="inlineStr">
        <is>
          <t>&lt;p&gt;&lt;/p&gt;</t>
        </is>
      </c>
      <c r="O1132" t="inlineStr"/>
      <c r="P1132" t="inlineStr">
        <is>
          <t>EX18DCY , 4x4 , Ford , Ranger</t>
        </is>
      </c>
      <c r="Q1132" t="inlineStr">
        <is>
          <t>UKPN</t>
        </is>
      </c>
      <c r="R1132" t="b">
        <v>0</v>
      </c>
    </row>
    <row r="1133">
      <c r="A1133" t="inlineStr">
        <is>
          <t>6 Aug 2025 / 7800 MAC Tree Surgery and Fencing Ltd</t>
        </is>
      </c>
      <c r="B1133" t="inlineStr">
        <is>
          <t>Utilities &amp; Inland Waterways</t>
        </is>
      </c>
      <c r="C1133" t="inlineStr">
        <is>
          <t>UKPN</t>
        </is>
      </c>
      <c r="D1133" t="inlineStr">
        <is>
          <t>205143043-A1 , Tow Chipper , Timberwolf , TW150</t>
        </is>
      </c>
      <c r="E1133" t="inlineStr">
        <is>
          <t>205143043-A1 , Tow Chipper , Timberwolf , TW150</t>
        </is>
      </c>
      <c r="F1133" t="inlineStr">
        <is>
          <t>205143043-A1 , Tow Chipper , Timberwolf , TW150</t>
        </is>
      </c>
      <c r="G1133" t="inlineStr">
        <is>
          <t xml:space="preserve">Lewis mac </t>
        </is>
      </c>
      <c r="H1133" t="inlineStr">
        <is>
          <t>Towed Chipper</t>
        </is>
      </c>
      <c r="I1133" t="inlineStr">
        <is>
          <t>Daily/ Weekly Vehicle Inspection</t>
        </is>
      </c>
      <c r="J1133" t="inlineStr">
        <is>
          <t>N/A</t>
        </is>
      </c>
      <c r="K1133" t="inlineStr">
        <is>
          <t>7800 MAC Tree Surgery and Fencing Ltd</t>
        </is>
      </c>
      <c r="L1133" t="inlineStr">
        <is>
          <t>06/08/2025 07:13</t>
        </is>
      </c>
      <c r="M1133" t="inlineStr">
        <is>
          <t>None</t>
        </is>
      </c>
      <c r="N1133" t="inlineStr">
        <is>
          <t>&lt;p&gt;&lt;/p&gt;</t>
        </is>
      </c>
      <c r="O1133" t="inlineStr"/>
      <c r="P1133" t="inlineStr">
        <is>
          <t>205143043-A1 , Tow Chipper , Timberwolf , TW150</t>
        </is>
      </c>
      <c r="Q1133" t="inlineStr">
        <is>
          <t>UKPN</t>
        </is>
      </c>
      <c r="R1133" t="b">
        <v>0</v>
      </c>
    </row>
    <row r="1134">
      <c r="A1134" t="inlineStr">
        <is>
          <t>6 Aug 2025 / 7800 MAC Tree Surgery and Fencing Ltd</t>
        </is>
      </c>
      <c r="B1134" t="inlineStr">
        <is>
          <t>Utilities &amp; Inland Waterways</t>
        </is>
      </c>
      <c r="C1134" t="inlineStr">
        <is>
          <t>UKPN</t>
        </is>
      </c>
      <c r="D1134" t="inlineStr">
        <is>
          <t>AY68DAA , 4x4 , Izuzu , Dmax</t>
        </is>
      </c>
      <c r="E1134" t="inlineStr">
        <is>
          <t>AY68DAA , 4x4 , Izuzu , Dmax</t>
        </is>
      </c>
      <c r="F1134" t="inlineStr">
        <is>
          <t>AY68DAA , 4x4 , Izuzu , Dmax</t>
        </is>
      </c>
      <c r="G1134" t="inlineStr">
        <is>
          <t xml:space="preserve">Lewis mac </t>
        </is>
      </c>
      <c r="H1134" t="inlineStr">
        <is>
          <t>4x4</t>
        </is>
      </c>
      <c r="I1134" t="inlineStr">
        <is>
          <t>Daily/ Weekly Vehicle Inspection</t>
        </is>
      </c>
      <c r="J1134" t="inlineStr">
        <is>
          <t>N/A</t>
        </is>
      </c>
      <c r="K1134" t="inlineStr">
        <is>
          <t>7800 MAC Tree Surgery and Fencing Ltd</t>
        </is>
      </c>
      <c r="L1134" t="inlineStr">
        <is>
          <t>06/08/2025 07:14</t>
        </is>
      </c>
      <c r="M1134" t="inlineStr">
        <is>
          <t>None</t>
        </is>
      </c>
      <c r="N1134" t="inlineStr">
        <is>
          <t>&lt;p&gt;&lt;/p&gt;</t>
        </is>
      </c>
      <c r="O1134" t="inlineStr"/>
      <c r="P1134" t="inlineStr">
        <is>
          <t>AY68DAA , 4x4 , Izuzu , Dmax</t>
        </is>
      </c>
      <c r="Q1134" t="inlineStr">
        <is>
          <t>UKPN</t>
        </is>
      </c>
      <c r="R1134" t="b">
        <v>0</v>
      </c>
    </row>
    <row r="1135">
      <c r="A1135" t="inlineStr">
        <is>
          <t>6 Aug 2025 / Thomas Playford / Utilities / UKPN</t>
        </is>
      </c>
      <c r="B1135" t="inlineStr">
        <is>
          <t>Utilities</t>
        </is>
      </c>
      <c r="C1135" t="inlineStr">
        <is>
          <t>UKPN</t>
        </is>
      </c>
      <c r="D1135" t="inlineStr">
        <is>
          <t>Equipment Trailer - I For Williams Custom - Chipper Trailer - 47336638</t>
        </is>
      </c>
      <c r="E1135" t="inlineStr">
        <is>
          <t>Equipment Trailer - I For Williams Custom - Chipper Trailer - 47336638</t>
        </is>
      </c>
      <c r="F1135" t="inlineStr">
        <is>
          <t>Equipment Trailer - I For Williams Custom - Chipper Trailer - 47336638</t>
        </is>
      </c>
      <c r="G1135" t="inlineStr">
        <is>
          <t>Jacob Oram</t>
        </is>
      </c>
      <c r="H1135" t="inlineStr">
        <is>
          <t>Plant Trailer</t>
        </is>
      </c>
      <c r="I1135" t="inlineStr">
        <is>
          <t>Daily/ Weekly Vehicle Inspection</t>
        </is>
      </c>
      <c r="J1135" t="inlineStr">
        <is>
          <t>N/A</t>
        </is>
      </c>
      <c r="K1135" t="inlineStr">
        <is>
          <t>7995 Contour Landscapes Ltd 2</t>
        </is>
      </c>
      <c r="L1135" t="inlineStr">
        <is>
          <t>06/08/2025 08:15</t>
        </is>
      </c>
      <c r="M1135" t="inlineStr">
        <is>
          <t>None</t>
        </is>
      </c>
      <c r="N1135" t="inlineStr">
        <is>
          <t>&lt;p&gt;&lt;/p&gt;</t>
        </is>
      </c>
      <c r="O1135" t="inlineStr"/>
      <c r="P1135" t="inlineStr">
        <is>
          <t>Equipment Trailer - I For Williams Custom - Chipper Trailer - 47336638</t>
        </is>
      </c>
      <c r="Q1135" t="inlineStr">
        <is>
          <t>UKPN</t>
        </is>
      </c>
      <c r="R1135" t="b">
        <v>0</v>
      </c>
    </row>
    <row r="1136">
      <c r="A1136" t="inlineStr">
        <is>
          <t>6 Aug 2025 / Thomas Playford / Utilities / UKPN</t>
        </is>
      </c>
      <c r="B1136" t="inlineStr">
        <is>
          <t>Utilities</t>
        </is>
      </c>
      <c r="C1136" t="inlineStr">
        <is>
          <t>UKPN</t>
        </is>
      </c>
      <c r="D1136" t="inlineStr">
        <is>
          <t>YP24 WRD , Vehicle , Ford , Ranger</t>
        </is>
      </c>
      <c r="E1136" t="inlineStr">
        <is>
          <t>YP24 WRD , Vehicle , Ford , Ranger</t>
        </is>
      </c>
      <c r="F1136" t="inlineStr">
        <is>
          <t>YP24 WRD , Vehicle , Ford , Ranger</t>
        </is>
      </c>
      <c r="G1136" t="inlineStr">
        <is>
          <t>Jacob Oram</t>
        </is>
      </c>
      <c r="H1136" t="inlineStr">
        <is>
          <t>4x4</t>
        </is>
      </c>
      <c r="I1136" t="inlineStr">
        <is>
          <t>Daily/ Weekly Vehicle Inspection</t>
        </is>
      </c>
      <c r="J1136" t="inlineStr">
        <is>
          <t>N/A</t>
        </is>
      </c>
      <c r="K1136" t="inlineStr">
        <is>
          <t>7995 Contour Landscapes Ltd 2</t>
        </is>
      </c>
      <c r="L1136" t="inlineStr">
        <is>
          <t>06/08/2025 08:15</t>
        </is>
      </c>
      <c r="M1136" t="inlineStr">
        <is>
          <t>None</t>
        </is>
      </c>
      <c r="N1136" t="inlineStr">
        <is>
          <t>&lt;p&gt;&lt;/p&gt;</t>
        </is>
      </c>
      <c r="O1136" t="inlineStr"/>
      <c r="P1136" t="inlineStr">
        <is>
          <t>YP24 WRD , Vehicle , Ford , Ranger</t>
        </is>
      </c>
      <c r="Q1136" t="inlineStr">
        <is>
          <t>UKPN</t>
        </is>
      </c>
      <c r="R1136" t="b">
        <v>0</v>
      </c>
    </row>
    <row r="1137">
      <c r="A1137" t="inlineStr">
        <is>
          <t>6 Aug 2025 / 7806 Optimum Tree Services Ltd / Utilities / UKPN</t>
        </is>
      </c>
      <c r="B1137" t="inlineStr">
        <is>
          <t>Utilities</t>
        </is>
      </c>
      <c r="C1137" t="inlineStr">
        <is>
          <t>UKPN</t>
        </is>
      </c>
      <c r="D1137" t="inlineStr">
        <is>
          <t>WD14EVB , MEWP , Land Rover , Defender</t>
        </is>
      </c>
      <c r="E1137" t="inlineStr">
        <is>
          <t>WD14EVB , MEWP , Land Rover , Defender</t>
        </is>
      </c>
      <c r="F1137" t="inlineStr">
        <is>
          <t>WD14EVB , MEWP , Land Rover , Defender</t>
        </is>
      </c>
      <c r="G1137" t="inlineStr">
        <is>
          <t xml:space="preserve">Abraham Davies </t>
        </is>
      </c>
      <c r="H1137" t="inlineStr">
        <is>
          <t>4x4</t>
        </is>
      </c>
      <c r="I1137" t="inlineStr">
        <is>
          <t>Daily/ Weekly Vehicle Inspection</t>
        </is>
      </c>
      <c r="J1137" t="inlineStr">
        <is>
          <t>N/A</t>
        </is>
      </c>
      <c r="K1137" t="inlineStr">
        <is>
          <t>7806 Optimum Tree Services Ltd</t>
        </is>
      </c>
      <c r="L1137" t="inlineStr">
        <is>
          <t>06/08/2025 08:18</t>
        </is>
      </c>
      <c r="M1137" t="inlineStr">
        <is>
          <t>None</t>
        </is>
      </c>
      <c r="N1137" t="inlineStr">
        <is>
          <t>&lt;p&gt;&lt;/p&gt;</t>
        </is>
      </c>
      <c r="O1137" t="inlineStr"/>
      <c r="P1137" t="inlineStr">
        <is>
          <t>WD14EVB , MEWP , Land Rover , Defender</t>
        </is>
      </c>
      <c r="Q1137" t="inlineStr">
        <is>
          <t>UKPN</t>
        </is>
      </c>
      <c r="R1137" t="b">
        <v>0</v>
      </c>
    </row>
    <row r="1138">
      <c r="A1138" t="inlineStr">
        <is>
          <t>6 Aug 2025 / 7889 Tree Tech Suffolk Ltd / Utilities / UKPN</t>
        </is>
      </c>
      <c r="B1138" t="inlineStr">
        <is>
          <t>Utilities</t>
        </is>
      </c>
      <c r="C1138" t="inlineStr">
        <is>
          <t>UKPN</t>
        </is>
      </c>
      <c r="D1138" t="inlineStr">
        <is>
          <t>NS02TTS , Tipper , Nissan , Navara</t>
        </is>
      </c>
      <c r="E1138" t="inlineStr">
        <is>
          <t>NS02TTS , Tipper , Nissan , Navara</t>
        </is>
      </c>
      <c r="F1138" t="inlineStr">
        <is>
          <t>NS02TTS , Tipper , Nissan , Navara</t>
        </is>
      </c>
      <c r="G1138" t="inlineStr">
        <is>
          <t>Nikki sparrow</t>
        </is>
      </c>
      <c r="H1138" t="inlineStr">
        <is>
          <t>4x4</t>
        </is>
      </c>
      <c r="I1138" t="inlineStr">
        <is>
          <t>Daily/ Weekly Vehicle Inspection</t>
        </is>
      </c>
      <c r="J1138" t="inlineStr">
        <is>
          <t>N/A</t>
        </is>
      </c>
      <c r="K1138" t="inlineStr">
        <is>
          <t>7889 Tree Tech Suffolk Ltd</t>
        </is>
      </c>
      <c r="L1138" t="inlineStr">
        <is>
          <t>06/08/2025 08:19</t>
        </is>
      </c>
      <c r="M1138" t="inlineStr">
        <is>
          <t>None</t>
        </is>
      </c>
      <c r="N1138" t="inlineStr">
        <is>
          <t>&lt;p&gt;&lt;/p&gt;</t>
        </is>
      </c>
      <c r="O1138" t="inlineStr"/>
      <c r="P1138" t="inlineStr">
        <is>
          <t>NS02TTS , Tipper , Nissan , Navara</t>
        </is>
      </c>
      <c r="Q1138" t="inlineStr">
        <is>
          <t>UKPN</t>
        </is>
      </c>
      <c r="R1138" t="b">
        <v>0</v>
      </c>
    </row>
    <row r="1139">
      <c r="A1139" t="inlineStr">
        <is>
          <t>6 Aug 2025 / 3988 Valiant Arborist Ltd / Utilities &amp; Inland Waterways / UKPN</t>
        </is>
      </c>
      <c r="B1139" t="inlineStr">
        <is>
          <t>Utilities &amp; Inland Waterways</t>
        </is>
      </c>
      <c r="C1139" t="inlineStr">
        <is>
          <t>UKPN</t>
        </is>
      </c>
      <c r="D1139" t="inlineStr">
        <is>
          <t>4x4 - Isuzu  - D Max  - BT24 YEC</t>
        </is>
      </c>
      <c r="E1139" t="inlineStr">
        <is>
          <t>4x4 - Isuzu  - D Max  - BT24 YEC</t>
        </is>
      </c>
      <c r="F1139" t="inlineStr">
        <is>
          <t>4x4 - Isuzu  - D Max  - BT24 YEC</t>
        </is>
      </c>
      <c r="G1139" t="inlineStr">
        <is>
          <t>Sam knight</t>
        </is>
      </c>
      <c r="H1139" t="inlineStr">
        <is>
          <t>4x4</t>
        </is>
      </c>
      <c r="I1139" t="inlineStr">
        <is>
          <t>Daily/ Weekly Vehicle Inspection</t>
        </is>
      </c>
      <c r="J1139" t="inlineStr">
        <is>
          <t>N/A</t>
        </is>
      </c>
      <c r="K1139" t="inlineStr">
        <is>
          <t>3988 Valiant Arborist Ltd</t>
        </is>
      </c>
      <c r="L1139" t="inlineStr">
        <is>
          <t>06/08/2025 09:14</t>
        </is>
      </c>
      <c r="M1139" t="inlineStr">
        <is>
          <t>None</t>
        </is>
      </c>
      <c r="N1139" t="inlineStr">
        <is>
          <t>&lt;p&gt;&lt;/p&gt;</t>
        </is>
      </c>
      <c r="O1139" t="inlineStr"/>
      <c r="P1139" t="inlineStr">
        <is>
          <t>4x4 - Isuzu  - D Max  - BT24 YEC</t>
        </is>
      </c>
      <c r="Q1139" t="inlineStr">
        <is>
          <t>UKPN</t>
        </is>
      </c>
      <c r="R1139" t="b">
        <v>0</v>
      </c>
    </row>
    <row r="1140">
      <c r="A1140" t="inlineStr">
        <is>
          <t>6 Aug 2025 / 6617 Ashdown Tree Limited 1 / Utilities / UKPN</t>
        </is>
      </c>
      <c r="B1140" t="inlineStr">
        <is>
          <t>Utilities</t>
        </is>
      </c>
      <c r="C1140" t="inlineStr">
        <is>
          <t>UKPN</t>
        </is>
      </c>
      <c r="D1140" t="inlineStr">
        <is>
          <t>SBXTW35A6LS209184 , Tow Chipper , Timberwolf , TW230DHB</t>
        </is>
      </c>
      <c r="E1140" t="inlineStr">
        <is>
          <t>SBXTW35A6LS209184 , Tow Chipper , Timberwolf , TW230DHB</t>
        </is>
      </c>
      <c r="F1140" t="inlineStr">
        <is>
          <t>SBXTW35A6LS209184 , Tow Chipper , Timberwolf , TW230DHB</t>
        </is>
      </c>
      <c r="G1140" t="inlineStr">
        <is>
          <t xml:space="preserve">Luke williams </t>
        </is>
      </c>
      <c r="H1140" t="inlineStr">
        <is>
          <t>Towed Chipper</t>
        </is>
      </c>
      <c r="I1140" t="inlineStr">
        <is>
          <t>Daily/ Weekly Vehicle Inspection</t>
        </is>
      </c>
      <c r="J1140" t="inlineStr">
        <is>
          <t>N/A</t>
        </is>
      </c>
      <c r="K1140" t="inlineStr">
        <is>
          <t>6617 Ashdown Tree Limited 1</t>
        </is>
      </c>
      <c r="L1140" t="inlineStr">
        <is>
          <t>06/08/2025 09:15</t>
        </is>
      </c>
      <c r="M1140" t="inlineStr">
        <is>
          <t>None</t>
        </is>
      </c>
      <c r="N1140" t="inlineStr">
        <is>
          <t>&lt;p&gt;&lt;/p&gt;</t>
        </is>
      </c>
      <c r="O1140" t="inlineStr"/>
      <c r="P1140" t="inlineStr">
        <is>
          <t>SBXTW35A6LS209184 , Tow Chipper , Timberwolf , TW230DHB</t>
        </is>
      </c>
      <c r="Q1140" t="inlineStr">
        <is>
          <t>UKPN</t>
        </is>
      </c>
      <c r="R1140" t="b">
        <v>0</v>
      </c>
    </row>
    <row r="1141">
      <c r="A1141" t="inlineStr">
        <is>
          <t>6 Aug 2025 / 6617 Ashdown Tree Limited 1 / Utilities / UKPN</t>
        </is>
      </c>
      <c r="B1141" t="inlineStr">
        <is>
          <t>Utilities</t>
        </is>
      </c>
      <c r="C1141" t="inlineStr">
        <is>
          <t>UKPN</t>
        </is>
      </c>
      <c r="D1141" t="inlineStr">
        <is>
          <t>GU11LKD , 4x4 , Land Rover , Defender</t>
        </is>
      </c>
      <c r="E1141" t="inlineStr">
        <is>
          <t>GU11LKD , 4x4 , Land Rover , Defender</t>
        </is>
      </c>
      <c r="F1141" t="inlineStr">
        <is>
          <t>GU11LKD , 4x4 , Land Rover , Defender</t>
        </is>
      </c>
      <c r="G1141" t="inlineStr">
        <is>
          <t xml:space="preserve">Luke williams </t>
        </is>
      </c>
      <c r="H1141" t="inlineStr">
        <is>
          <t>4x4</t>
        </is>
      </c>
      <c r="I1141" t="inlineStr">
        <is>
          <t>Daily/ Weekly Vehicle Inspection</t>
        </is>
      </c>
      <c r="J1141" t="inlineStr">
        <is>
          <t>N/A</t>
        </is>
      </c>
      <c r="K1141" t="inlineStr">
        <is>
          <t>6617 Ashdown Tree Limited 1</t>
        </is>
      </c>
      <c r="L1141" t="inlineStr">
        <is>
          <t>06/08/2025 09:16</t>
        </is>
      </c>
      <c r="M1141" t="inlineStr">
        <is>
          <t>None</t>
        </is>
      </c>
      <c r="N1141" t="inlineStr">
        <is>
          <t>&lt;p&gt;&lt;/p&gt;</t>
        </is>
      </c>
      <c r="O1141" t="inlineStr"/>
      <c r="P1141" t="inlineStr">
        <is>
          <t>GU11LKD , 4x4 , Land Rover , Defender</t>
        </is>
      </c>
      <c r="Q1141" t="inlineStr">
        <is>
          <t>UKPN</t>
        </is>
      </c>
      <c r="R1141" t="b">
        <v>0</v>
      </c>
    </row>
    <row r="1142">
      <c r="A1142" t="inlineStr">
        <is>
          <t>6 Aug 2025 / Thomas Simms / Utilities / SSE</t>
        </is>
      </c>
      <c r="B1142" t="inlineStr">
        <is>
          <t>Utilities</t>
        </is>
      </c>
      <c r="C1142" t="inlineStr">
        <is>
          <t>SSE</t>
        </is>
      </c>
      <c r="D1142" t="inlineStr">
        <is>
          <t>EO73KUG , Car - Electric , Kia , Niro</t>
        </is>
      </c>
      <c r="E1142" t="inlineStr">
        <is>
          <t>EO73KUG , Car - Electric , Kia , Niro</t>
        </is>
      </c>
      <c r="F1142" t="inlineStr">
        <is>
          <t>EO73KUG , Car - Electric , Kia , Niro</t>
        </is>
      </c>
      <c r="G1142" t="inlineStr">
        <is>
          <t>thomas simms</t>
        </is>
      </c>
      <c r="H1142" t="inlineStr">
        <is>
          <t>Car - Electric (GC Owned)</t>
        </is>
      </c>
      <c r="I1142" t="inlineStr">
        <is>
          <t>Monthly Vehicle Inspection</t>
        </is>
      </c>
      <c r="J1142" t="inlineStr">
        <is>
          <t>24001</t>
        </is>
      </c>
      <c r="K1142" t="inlineStr">
        <is>
          <t>Thomas Simms</t>
        </is>
      </c>
      <c r="L1142" t="inlineStr">
        <is>
          <t>06/08/2025 12:14</t>
        </is>
      </c>
      <c r="M1142" t="inlineStr">
        <is>
          <t xml:space="preserve">EXTERIOR &amp; GLASS
What to Check: 
Is the body of the vehicle in good condition (any dents or scratches)? 
Is the windscreen and all mirrors free of chips or cracks? 
Are the window wipers operational and fit for purpose? 
Is the boot lid &amp; doors secure and operational? 
Is the number plate clean &amp; secure? 
Are charging cables fit for use? 
Are access &amp; egress points safe &amp; secure (e.g., steps &amp; handrails)?
How: Inspect the vehicle's exterior for dents, scratches, or rust spots. Check the windscreen and mirrors for any chips or cracks that could impair visibility. Test the operation of window wipers and ensure they effectively clear the windscreen. Verify the security and functionality of doors, boot lid, and number plate. Check the condition of charging cables and ensure access &amp; egress points are stable and safe.
Why: A well-maintained exterior enhances the vehicle's appearance, ensures driver visibility, and prevents potential safety hazards. Functional wipers, secure doors, and clear visibility contribute to safe driving conditions.: Fail
</t>
        </is>
      </c>
      <c r="N1142" t="inlineStr">
        <is>
          <t>&lt;p&gt;&lt;/p&gt;</t>
        </is>
      </c>
      <c r="O1142" t="inlineStr">
        <is>
          <t>EXTERIOR &amp; GLASS
What to Check: 
Is the body of the vehicle in good condition (any dents or scratches)? 
Is the windscreen and all mirrors free of chips or cracks? 
Are the window wipers operational and fit for purpose? 
Is the boot lid &amp; doors secure and operational? 
Is the number plate clean &amp; secure? 
Are charging cables fit for use? 
Are access &amp; egress points safe &amp; secure (e.g., steps &amp; handrails)?
How: Inspect the vehicle's exterior for dents, scratches, or rust spots. Check the windscreen and mirrors for any chips or cracks that could impair visibility. Test the operation of window wipers and ensure they effectively clear the windscreen. Verify the security and functionality of doors, boot lid, and number plate. Check the condition of charging cables and ensure access &amp; egress points are stable and safe.
Why: A well-maintained exterior enhances the vehicle's appearance, ensures driver visibility, and prevents potential safety hazards. Functional wipers, secure doors, and clear visibility contribute to safe driving conditions.:chip in windscreen passenger side
-</t>
        </is>
      </c>
      <c r="P1142" t="inlineStr">
        <is>
          <t>EO73KUG , Car - Electric , Kia , Niro</t>
        </is>
      </c>
      <c r="Q1142" t="inlineStr">
        <is>
          <t>SSE</t>
        </is>
      </c>
      <c r="R1142" t="b">
        <v>0</v>
      </c>
    </row>
    <row r="1143">
      <c r="A1143" t="inlineStr">
        <is>
          <t>7 Aug 2025 / 6617 Ashdown Tree Limited 1 / Utilities / UKPN</t>
        </is>
      </c>
      <c r="B1143" t="inlineStr">
        <is>
          <t>Utilities</t>
        </is>
      </c>
      <c r="C1143" t="inlineStr">
        <is>
          <t>UKPN</t>
        </is>
      </c>
      <c r="D1143" t="inlineStr">
        <is>
          <t>SBXTW35A6LS209184 , Tow Chipper , Timberwolf , TW230DHB</t>
        </is>
      </c>
      <c r="E1143" t="inlineStr">
        <is>
          <t>SBXTW35A6LS209184 , Tow Chipper , Timberwolf , TW230DHB</t>
        </is>
      </c>
      <c r="F1143" t="inlineStr">
        <is>
          <t>SBXTW35A6LS209184 , Tow Chipper , Timberwolf , TW230DHB</t>
        </is>
      </c>
      <c r="G1143" t="inlineStr">
        <is>
          <t xml:space="preserve">Francislesser </t>
        </is>
      </c>
      <c r="H1143" t="inlineStr">
        <is>
          <t>Towed Chipper</t>
        </is>
      </c>
      <c r="I1143" t="inlineStr">
        <is>
          <t>Daily/ Weekly Vehicle Inspection</t>
        </is>
      </c>
      <c r="J1143" t="inlineStr">
        <is>
          <t>N/A</t>
        </is>
      </c>
      <c r="K1143" t="inlineStr">
        <is>
          <t>6617 Ashdown Tree Limited 1</t>
        </is>
      </c>
      <c r="L1143" t="inlineStr">
        <is>
          <t>07/08/2025 07:14</t>
        </is>
      </c>
      <c r="M1143" t="inlineStr">
        <is>
          <t>None</t>
        </is>
      </c>
      <c r="N1143" t="inlineStr">
        <is>
          <t>&lt;p&gt;&lt;/p&gt;</t>
        </is>
      </c>
      <c r="O1143" t="inlineStr"/>
      <c r="P1143" t="inlineStr">
        <is>
          <t>SBXTW35A6LS209184 , Tow Chipper , Timberwolf , TW230DHB</t>
        </is>
      </c>
      <c r="Q1143" t="inlineStr">
        <is>
          <t>UKPN</t>
        </is>
      </c>
      <c r="R1143" t="b">
        <v>0</v>
      </c>
    </row>
    <row r="1144">
      <c r="A1144" t="inlineStr">
        <is>
          <t>7 Aug 2025 / 7889 Tree Tech Suffolk Ltd / Utilities / UKPN</t>
        </is>
      </c>
      <c r="B1144" t="inlineStr">
        <is>
          <t>Utilities</t>
        </is>
      </c>
      <c r="C1144" t="inlineStr">
        <is>
          <t>UKPN</t>
        </is>
      </c>
      <c r="D1144" t="inlineStr">
        <is>
          <t>4x4 - Isuzu  - D-max  - KX65 FCZ</t>
        </is>
      </c>
      <c r="E1144" t="inlineStr">
        <is>
          <t>4x4 - Isuzu  - D-max  - KX65 FCZ</t>
        </is>
      </c>
      <c r="F1144" t="inlineStr">
        <is>
          <t>4x4 - Isuzu  - D-max  - KX65 FCZ</t>
        </is>
      </c>
      <c r="G1144" t="inlineStr">
        <is>
          <t>Nik sparrow</t>
        </is>
      </c>
      <c r="H1144" t="inlineStr">
        <is>
          <t>4x4</t>
        </is>
      </c>
      <c r="I1144" t="inlineStr">
        <is>
          <t>Daily/ Weekly Vehicle Inspection</t>
        </is>
      </c>
      <c r="J1144" t="inlineStr">
        <is>
          <t>N/A</t>
        </is>
      </c>
      <c r="K1144" t="inlineStr">
        <is>
          <t>7889 Tree Tech Suffolk Ltd</t>
        </is>
      </c>
      <c r="L1144" t="inlineStr">
        <is>
          <t>07/08/2025 07:14</t>
        </is>
      </c>
      <c r="M1144" t="inlineStr">
        <is>
          <t>None</t>
        </is>
      </c>
      <c r="N1144" t="inlineStr">
        <is>
          <t>&lt;p&gt;&lt;/p&gt;</t>
        </is>
      </c>
      <c r="O1144" t="inlineStr"/>
      <c r="P1144" t="inlineStr">
        <is>
          <t>4x4 - Isuzu  - D-max  - KX65 FCZ</t>
        </is>
      </c>
      <c r="Q1144" t="inlineStr">
        <is>
          <t>UKPN</t>
        </is>
      </c>
      <c r="R1144" t="b">
        <v>0</v>
      </c>
    </row>
    <row r="1145">
      <c r="A1145" t="inlineStr">
        <is>
          <t>7 Aug 2025 / 6617 Ashdown Tree Limited 1 / Utilities / UKPN</t>
        </is>
      </c>
      <c r="B1145" t="inlineStr">
        <is>
          <t>Utilities</t>
        </is>
      </c>
      <c r="C1145" t="inlineStr">
        <is>
          <t>UKPN</t>
        </is>
      </c>
      <c r="D1145" t="inlineStr">
        <is>
          <t>GU11LKD , 4x4 , Land Rover , Defender</t>
        </is>
      </c>
      <c r="E1145" t="inlineStr">
        <is>
          <t>GU11LKD , 4x4 , Land Rover , Defender</t>
        </is>
      </c>
      <c r="F1145" t="inlineStr">
        <is>
          <t>GU11LKD , 4x4 , Land Rover , Defender</t>
        </is>
      </c>
      <c r="G1145" t="inlineStr">
        <is>
          <t xml:space="preserve">Francislesser </t>
        </is>
      </c>
      <c r="H1145" t="inlineStr">
        <is>
          <t>4x4</t>
        </is>
      </c>
      <c r="I1145" t="inlineStr">
        <is>
          <t>Daily/ Weekly Vehicle Inspection</t>
        </is>
      </c>
      <c r="J1145" t="inlineStr">
        <is>
          <t>N/A</t>
        </is>
      </c>
      <c r="K1145" t="inlineStr">
        <is>
          <t>6617 Ashdown Tree Limited 1</t>
        </is>
      </c>
      <c r="L1145" t="inlineStr">
        <is>
          <t>07/08/2025 07:15</t>
        </is>
      </c>
      <c r="M1145" t="inlineStr">
        <is>
          <t>None</t>
        </is>
      </c>
      <c r="N1145" t="inlineStr">
        <is>
          <t>&lt;p&gt;&lt;/p&gt;</t>
        </is>
      </c>
      <c r="O1145" t="inlineStr"/>
      <c r="P1145" t="inlineStr">
        <is>
          <t>GU11LKD , 4x4 , Land Rover , Defender</t>
        </is>
      </c>
      <c r="Q1145" t="inlineStr">
        <is>
          <t>UKPN</t>
        </is>
      </c>
      <c r="R1145" t="b">
        <v>0</v>
      </c>
    </row>
    <row r="1146">
      <c r="A1146" t="inlineStr">
        <is>
          <t>7 Aug 2025 / 7800 MAC Tree Surgery and Fencing Ltd</t>
        </is>
      </c>
      <c r="B1146" t="inlineStr">
        <is>
          <t>Utilities &amp; Inland Waterways</t>
        </is>
      </c>
      <c r="C1146" t="inlineStr">
        <is>
          <t>UKPN</t>
        </is>
      </c>
      <c r="D1146" t="inlineStr">
        <is>
          <t>205143043-A1 , Tow Chipper , Timberwolf , TW150</t>
        </is>
      </c>
      <c r="E1146" t="inlineStr">
        <is>
          <t>205143043-A1 , Tow Chipper , Timberwolf , TW150</t>
        </is>
      </c>
      <c r="F1146" t="inlineStr">
        <is>
          <t>205143043-A1 , Tow Chipper , Timberwolf , TW150</t>
        </is>
      </c>
      <c r="G1146" t="inlineStr">
        <is>
          <t xml:space="preserve">Lewis mac </t>
        </is>
      </c>
      <c r="H1146" t="inlineStr">
        <is>
          <t>Towed Chipper</t>
        </is>
      </c>
      <c r="I1146" t="inlineStr">
        <is>
          <t>Daily/ Weekly Vehicle Inspection</t>
        </is>
      </c>
      <c r="J1146" t="inlineStr">
        <is>
          <t>N/A</t>
        </is>
      </c>
      <c r="K1146" t="inlineStr">
        <is>
          <t>7800 MAC Tree Surgery and Fencing Ltd</t>
        </is>
      </c>
      <c r="L1146" t="inlineStr">
        <is>
          <t>07/08/2025 08:14</t>
        </is>
      </c>
      <c r="M1146" t="inlineStr">
        <is>
          <t>None</t>
        </is>
      </c>
      <c r="N1146" t="inlineStr">
        <is>
          <t>&lt;p&gt;&lt;/p&gt;</t>
        </is>
      </c>
      <c r="O1146" t="inlineStr"/>
      <c r="P1146" t="inlineStr">
        <is>
          <t>205143043-A1 , Tow Chipper , Timberwolf , TW150</t>
        </is>
      </c>
      <c r="Q1146" t="inlineStr">
        <is>
          <t>UKPN</t>
        </is>
      </c>
      <c r="R1146" t="b">
        <v>0</v>
      </c>
    </row>
    <row r="1147">
      <c r="A1147" t="inlineStr">
        <is>
          <t>7 Aug 2025 / 7800 MAC Tree Surgery and Fencing Ltd</t>
        </is>
      </c>
      <c r="B1147" t="inlineStr">
        <is>
          <t>Utilities &amp; Inland Waterways</t>
        </is>
      </c>
      <c r="C1147" t="inlineStr">
        <is>
          <t>UKPN</t>
        </is>
      </c>
      <c r="D1147" t="inlineStr">
        <is>
          <t>AY68DAA , 4x4 , Izuzu , Dmax</t>
        </is>
      </c>
      <c r="E1147" t="inlineStr">
        <is>
          <t>AY68DAA , 4x4 , Izuzu , Dmax</t>
        </is>
      </c>
      <c r="F1147" t="inlineStr">
        <is>
          <t>AY68DAA , 4x4 , Izuzu , Dmax</t>
        </is>
      </c>
      <c r="G1147" t="inlineStr">
        <is>
          <t xml:space="preserve">Lewis mac </t>
        </is>
      </c>
      <c r="H1147" t="inlineStr">
        <is>
          <t>4x4</t>
        </is>
      </c>
      <c r="I1147" t="inlineStr">
        <is>
          <t>Daily/ Weekly Vehicle Inspection</t>
        </is>
      </c>
      <c r="J1147" t="inlineStr">
        <is>
          <t>N/A</t>
        </is>
      </c>
      <c r="K1147" t="inlineStr">
        <is>
          <t>7800 MAC Tree Surgery and Fencing Ltd</t>
        </is>
      </c>
      <c r="L1147" t="inlineStr">
        <is>
          <t>07/08/2025 08:14</t>
        </is>
      </c>
      <c r="M1147" t="inlineStr">
        <is>
          <t>None</t>
        </is>
      </c>
      <c r="N1147" t="inlineStr">
        <is>
          <t>&lt;p&gt;&lt;/p&gt;</t>
        </is>
      </c>
      <c r="O1147" t="inlineStr"/>
      <c r="P1147" t="inlineStr">
        <is>
          <t>AY68DAA , 4x4 , Izuzu , Dmax</t>
        </is>
      </c>
      <c r="Q1147" t="inlineStr">
        <is>
          <t>UKPN</t>
        </is>
      </c>
      <c r="R1147" t="b">
        <v>0</v>
      </c>
    </row>
    <row r="1148">
      <c r="A1148" t="inlineStr">
        <is>
          <t>7 Aug 2025 / Thomas Playford / Utilities / UKPN</t>
        </is>
      </c>
      <c r="B1148" t="inlineStr">
        <is>
          <t>Utilities</t>
        </is>
      </c>
      <c r="C1148" t="inlineStr">
        <is>
          <t>UKPN</t>
        </is>
      </c>
      <c r="D1148" t="inlineStr">
        <is>
          <t>SA9ST800000283944 , Tow Chipper , Forst , ST8D - Towed</t>
        </is>
      </c>
      <c r="E1148" t="inlineStr">
        <is>
          <t>SA9ST800000283944 , Tow Chipper , Forst , ST8D - Towed</t>
        </is>
      </c>
      <c r="F1148" t="inlineStr">
        <is>
          <t>SA9ST800000283944 , Tow Chipper , Forst , ST8D - Towed</t>
        </is>
      </c>
      <c r="G1148" t="inlineStr">
        <is>
          <t>Jacob Oram</t>
        </is>
      </c>
      <c r="H1148" t="inlineStr">
        <is>
          <t>Towed Chipper</t>
        </is>
      </c>
      <c r="I1148" t="inlineStr">
        <is>
          <t>Daily/ Weekly Vehicle Inspection</t>
        </is>
      </c>
      <c r="J1148" t="inlineStr">
        <is>
          <t>N/A</t>
        </is>
      </c>
      <c r="K1148" t="inlineStr">
        <is>
          <t>7995 Contour Landscapes Ltd 2</t>
        </is>
      </c>
      <c r="L1148" t="inlineStr">
        <is>
          <t>07/08/2025 08:15</t>
        </is>
      </c>
      <c r="M1148" t="inlineStr">
        <is>
          <t>None</t>
        </is>
      </c>
      <c r="N1148" t="inlineStr">
        <is>
          <t>&lt;p&gt;&lt;/p&gt;</t>
        </is>
      </c>
      <c r="O1148" t="inlineStr"/>
      <c r="P1148" t="inlineStr">
        <is>
          <t>SA9ST800000283944 , Tow Chipper , Forst , ST8D - Towed</t>
        </is>
      </c>
      <c r="Q1148" t="inlineStr">
        <is>
          <t>UKPN</t>
        </is>
      </c>
      <c r="R1148" t="b">
        <v>0</v>
      </c>
    </row>
    <row r="1149">
      <c r="A1149" t="inlineStr">
        <is>
          <t>7 Aug 2025 / Thomas Playford / Utilities / UKPN</t>
        </is>
      </c>
      <c r="B1149" t="inlineStr">
        <is>
          <t>Utilities</t>
        </is>
      </c>
      <c r="C1149" t="inlineStr">
        <is>
          <t>UKPN</t>
        </is>
      </c>
      <c r="D1149" t="inlineStr">
        <is>
          <t>YP24 WRD , Vehicle , Ford , Ranger</t>
        </is>
      </c>
      <c r="E1149" t="inlineStr">
        <is>
          <t>YP24 WRD , Vehicle , Ford , Ranger</t>
        </is>
      </c>
      <c r="F1149" t="inlineStr">
        <is>
          <t>YP24 WRD , Vehicle , Ford , Ranger</t>
        </is>
      </c>
      <c r="G1149" t="inlineStr">
        <is>
          <t>Jacob Oram</t>
        </is>
      </c>
      <c r="H1149" t="inlineStr">
        <is>
          <t>4x4</t>
        </is>
      </c>
      <c r="I1149" t="inlineStr">
        <is>
          <t>Daily/ Weekly Vehicle Inspection</t>
        </is>
      </c>
      <c r="J1149" t="inlineStr">
        <is>
          <t>N/A</t>
        </is>
      </c>
      <c r="K1149" t="inlineStr">
        <is>
          <t>7995 Contour Landscapes Ltd 2</t>
        </is>
      </c>
      <c r="L1149" t="inlineStr">
        <is>
          <t>07/08/2025 08:15</t>
        </is>
      </c>
      <c r="M1149" t="inlineStr">
        <is>
          <t>None</t>
        </is>
      </c>
      <c r="N1149" t="inlineStr">
        <is>
          <t>&lt;p&gt;&lt;/p&gt;</t>
        </is>
      </c>
      <c r="O1149" t="inlineStr"/>
      <c r="P1149" t="inlineStr">
        <is>
          <t>YP24 WRD , Vehicle , Ford , Ranger</t>
        </is>
      </c>
      <c r="Q1149" t="inlineStr">
        <is>
          <t>UKPN</t>
        </is>
      </c>
      <c r="R1149" t="b">
        <v>0</v>
      </c>
    </row>
    <row r="1150">
      <c r="A1150" t="inlineStr">
        <is>
          <t>7 Aug 2025 / 7951 Austin Tree Care LTD / Utilities / UKPN</t>
        </is>
      </c>
      <c r="B1150" t="inlineStr">
        <is>
          <t>Utilities</t>
        </is>
      </c>
      <c r="C1150" t="inlineStr">
        <is>
          <t>UKPN</t>
        </is>
      </c>
      <c r="D1150" t="inlineStr">
        <is>
          <t>SA9ST6P0001283612 , Tow Chipper , Forst , ST6p</t>
        </is>
      </c>
      <c r="E1150" t="inlineStr">
        <is>
          <t>SA9ST6P0001283612 , Tow Chipper , Forst , ST6p</t>
        </is>
      </c>
      <c r="F1150" t="inlineStr">
        <is>
          <t>SA9ST6P0001283612 , Tow Chipper , Forst , ST6p</t>
        </is>
      </c>
      <c r="G1150" t="inlineStr">
        <is>
          <t xml:space="preserve">Jack Austin </t>
        </is>
      </c>
      <c r="H1150" t="inlineStr">
        <is>
          <t>Towed Chipper</t>
        </is>
      </c>
      <c r="I1150" t="inlineStr">
        <is>
          <t>Daily/ Weekly Vehicle Inspection</t>
        </is>
      </c>
      <c r="J1150" t="inlineStr">
        <is>
          <t>N/A</t>
        </is>
      </c>
      <c r="K1150" t="inlineStr">
        <is>
          <t>7951 Austin Tree Care LTD</t>
        </is>
      </c>
      <c r="L1150" t="inlineStr">
        <is>
          <t>07/08/2025 08:17</t>
        </is>
      </c>
      <c r="M1150" t="inlineStr">
        <is>
          <t>None</t>
        </is>
      </c>
      <c r="N1150" t="inlineStr">
        <is>
          <t>&lt;p&gt;&lt;/p&gt;</t>
        </is>
      </c>
      <c r="O1150" t="inlineStr"/>
      <c r="P1150" t="inlineStr">
        <is>
          <t>SA9ST6P0001283612 , Tow Chipper , Forst , ST6p</t>
        </is>
      </c>
      <c r="Q1150" t="inlineStr">
        <is>
          <t>UKPN</t>
        </is>
      </c>
      <c r="R1150" t="b">
        <v>0</v>
      </c>
    </row>
    <row r="1151">
      <c r="A1151" t="inlineStr">
        <is>
          <t>7 Aug 2025 / 7806 Optimum Tree Services Ltd / Utilities / UKPN</t>
        </is>
      </c>
      <c r="B1151" t="inlineStr">
        <is>
          <t>Utilities</t>
        </is>
      </c>
      <c r="C1151" t="inlineStr">
        <is>
          <t>UKPN</t>
        </is>
      </c>
      <c r="D1151" t="inlineStr">
        <is>
          <t>WD14EVB , MEWP , Land Rover , Defender</t>
        </is>
      </c>
      <c r="E1151" t="inlineStr">
        <is>
          <t>WD14EVB , MEWP , Land Rover , Defender</t>
        </is>
      </c>
      <c r="F1151" t="inlineStr">
        <is>
          <t>WD14EVB , MEWP , Land Rover , Defender</t>
        </is>
      </c>
      <c r="G1151" t="inlineStr">
        <is>
          <t xml:space="preserve">Abraham Davies </t>
        </is>
      </c>
      <c r="H1151" t="inlineStr">
        <is>
          <t>4x4</t>
        </is>
      </c>
      <c r="I1151" t="inlineStr">
        <is>
          <t>Daily/ Weekly Vehicle Inspection</t>
        </is>
      </c>
      <c r="J1151" t="inlineStr">
        <is>
          <t>N/A</t>
        </is>
      </c>
      <c r="K1151" t="inlineStr">
        <is>
          <t>7806 Optimum Tree Services Ltd</t>
        </is>
      </c>
      <c r="L1151" t="inlineStr">
        <is>
          <t>07/08/2025 08:19</t>
        </is>
      </c>
      <c r="M1151" t="inlineStr">
        <is>
          <t>None</t>
        </is>
      </c>
      <c r="N1151" t="inlineStr">
        <is>
          <t>&lt;p&gt;&lt;/p&gt;</t>
        </is>
      </c>
      <c r="O1151" t="inlineStr"/>
      <c r="P1151" t="inlineStr">
        <is>
          <t>WD14EVB , MEWP , Land Rover , Defender</t>
        </is>
      </c>
      <c r="Q1151" t="inlineStr">
        <is>
          <t>UKPN</t>
        </is>
      </c>
      <c r="R1151" t="b">
        <v>0</v>
      </c>
    </row>
    <row r="1152">
      <c r="A1152" t="inlineStr">
        <is>
          <t>8 Aug 2025 / Thomas Playford / Utilities / UKPN</t>
        </is>
      </c>
      <c r="B1152" t="inlineStr">
        <is>
          <t>Utilities</t>
        </is>
      </c>
      <c r="C1152" t="inlineStr">
        <is>
          <t>UKPN</t>
        </is>
      </c>
      <c r="D1152" t="inlineStr">
        <is>
          <t>SA9ST800000283944 , Tow Chipper , Forst , ST8D - Towed</t>
        </is>
      </c>
      <c r="E1152" t="inlineStr">
        <is>
          <t>SA9ST800000283944 , Tow Chipper , Forst , ST8D - Towed</t>
        </is>
      </c>
      <c r="F1152" t="inlineStr">
        <is>
          <t>SA9ST800000283944 , Tow Chipper , Forst , ST8D - Towed</t>
        </is>
      </c>
      <c r="G1152" t="inlineStr">
        <is>
          <t>Jacob Oram</t>
        </is>
      </c>
      <c r="H1152" t="inlineStr">
        <is>
          <t>Towed Chipper</t>
        </is>
      </c>
      <c r="I1152" t="inlineStr">
        <is>
          <t>Daily/ Weekly Vehicle Inspection</t>
        </is>
      </c>
      <c r="J1152" t="inlineStr">
        <is>
          <t>N/A</t>
        </is>
      </c>
      <c r="K1152" t="inlineStr">
        <is>
          <t>7995 Contour Landscapes Ltd 2</t>
        </is>
      </c>
      <c r="L1152" t="inlineStr">
        <is>
          <t>08/08/2025 07:14</t>
        </is>
      </c>
      <c r="M1152" t="inlineStr">
        <is>
          <t>None</t>
        </is>
      </c>
      <c r="N1152" t="inlineStr">
        <is>
          <t>&lt;p&gt;&lt;/p&gt;</t>
        </is>
      </c>
      <c r="O1152" t="inlineStr"/>
      <c r="P1152" t="inlineStr">
        <is>
          <t>SA9ST800000283944 , Tow Chipper , Forst , ST8D - Towed</t>
        </is>
      </c>
      <c r="Q1152" t="inlineStr">
        <is>
          <t>UKPN</t>
        </is>
      </c>
      <c r="R1152" t="b">
        <v>0</v>
      </c>
    </row>
    <row r="1153">
      <c r="A1153" t="inlineStr">
        <is>
          <t>8 Aug 2025 / Thomas Playford / Utilities / UKPN</t>
        </is>
      </c>
      <c r="B1153" t="inlineStr">
        <is>
          <t>Utilities</t>
        </is>
      </c>
      <c r="C1153" t="inlineStr">
        <is>
          <t>UKPN</t>
        </is>
      </c>
      <c r="D1153" t="inlineStr">
        <is>
          <t>YP24 WRD , Vehicle , Ford , Ranger</t>
        </is>
      </c>
      <c r="E1153" t="inlineStr">
        <is>
          <t>YP24 WRD , Vehicle , Ford , Ranger</t>
        </is>
      </c>
      <c r="F1153" t="inlineStr">
        <is>
          <t>YP24 WRD , Vehicle , Ford , Ranger</t>
        </is>
      </c>
      <c r="G1153" t="inlineStr">
        <is>
          <t>Jacob Oram</t>
        </is>
      </c>
      <c r="H1153" t="inlineStr">
        <is>
          <t>4x4</t>
        </is>
      </c>
      <c r="I1153" t="inlineStr">
        <is>
          <t>Daily/ Weekly Vehicle Inspection</t>
        </is>
      </c>
      <c r="J1153" t="inlineStr">
        <is>
          <t>N/A</t>
        </is>
      </c>
      <c r="K1153" t="inlineStr">
        <is>
          <t>7995 Contour Landscapes Ltd 2</t>
        </is>
      </c>
      <c r="L1153" t="inlineStr">
        <is>
          <t>08/08/2025 07:14</t>
        </is>
      </c>
      <c r="M1153" t="inlineStr">
        <is>
          <t>None</t>
        </is>
      </c>
      <c r="N1153" t="inlineStr">
        <is>
          <t>&lt;p&gt;&lt;/p&gt;</t>
        </is>
      </c>
      <c r="O1153" t="inlineStr"/>
      <c r="P1153" t="inlineStr">
        <is>
          <t>YP24 WRD , Vehicle , Ford , Ranger</t>
        </is>
      </c>
      <c r="Q1153" t="inlineStr">
        <is>
          <t>UKPN</t>
        </is>
      </c>
      <c r="R1153" t="b">
        <v>0</v>
      </c>
    </row>
    <row r="1154">
      <c r="A1154" t="inlineStr">
        <is>
          <t>8 Aug 2025 / Timbo Franklin M G Tree Surgery Ltd / Utilities &amp; Inland Waterways / UKPN</t>
        </is>
      </c>
      <c r="B1154" t="inlineStr">
        <is>
          <t>Utilities &amp; Inland Waterways</t>
        </is>
      </c>
      <c r="C1154" t="inlineStr">
        <is>
          <t>UKPN</t>
        </is>
      </c>
      <c r="D1154" t="inlineStr">
        <is>
          <t>PE07 HGL , Vehicle , Mitsubishi , L200 K74</t>
        </is>
      </c>
      <c r="E1154" t="inlineStr">
        <is>
          <t>PE07 HGL , Vehicle , Mitsubishi , L200 K74</t>
        </is>
      </c>
      <c r="F1154" t="inlineStr">
        <is>
          <t>PE07 HGL , Vehicle , Mitsubishi , L200 K74</t>
        </is>
      </c>
      <c r="G1154" t="inlineStr">
        <is>
          <t>Tim Franklin</t>
        </is>
      </c>
      <c r="H1154" t="inlineStr">
        <is>
          <t>Pickup Truck</t>
        </is>
      </c>
      <c r="I1154" t="inlineStr">
        <is>
          <t>Daily/ Weekly Vehicle Inspection</t>
        </is>
      </c>
      <c r="J1154" t="inlineStr">
        <is>
          <t>N/A</t>
        </is>
      </c>
      <c r="K1154" t="inlineStr">
        <is>
          <t>7996 M G Tree Surgery Ltd 2</t>
        </is>
      </c>
      <c r="L1154" t="inlineStr">
        <is>
          <t>08/08/2025 08:16</t>
        </is>
      </c>
      <c r="M1154" t="inlineStr">
        <is>
          <t>None</t>
        </is>
      </c>
      <c r="N1154" t="inlineStr">
        <is>
          <t>&lt;p&gt;&lt;/p&gt;</t>
        </is>
      </c>
      <c r="O1154" t="inlineStr"/>
      <c r="P1154" t="inlineStr">
        <is>
          <t>PE07 HGL , Vehicle , Mitsubishi , L200 K74</t>
        </is>
      </c>
      <c r="Q1154" t="inlineStr">
        <is>
          <t>UKPN</t>
        </is>
      </c>
      <c r="R1154" t="b">
        <v>0</v>
      </c>
    </row>
    <row r="1155">
      <c r="A1155" t="inlineStr">
        <is>
          <t>8 Aug 2025 / 7800 MAC Tree Surgery and Fencing Ltd / Utilities / UKPN</t>
        </is>
      </c>
      <c r="B1155" t="inlineStr">
        <is>
          <t>Utilities</t>
        </is>
      </c>
      <c r="C1155" t="inlineStr">
        <is>
          <t>UKPN</t>
        </is>
      </c>
      <c r="D1155" t="inlineStr">
        <is>
          <t>4x4 - Land rover  - Discovery  - Tr56mac</t>
        </is>
      </c>
      <c r="E1155" t="inlineStr">
        <is>
          <t>4x4 - Land rover  - Discovery  - Tr56mac</t>
        </is>
      </c>
      <c r="F1155" t="inlineStr">
        <is>
          <t>4x4 - Land rover  - Discovery  - Tr56mac</t>
        </is>
      </c>
      <c r="G1155" t="inlineStr">
        <is>
          <t xml:space="preserve">Lewis </t>
        </is>
      </c>
      <c r="H1155" t="inlineStr">
        <is>
          <t>4x4</t>
        </is>
      </c>
      <c r="I1155" t="inlineStr">
        <is>
          <t>Daily/ Weekly Vehicle Inspection</t>
        </is>
      </c>
      <c r="J1155" t="inlineStr">
        <is>
          <t>N/A</t>
        </is>
      </c>
      <c r="K1155" t="inlineStr">
        <is>
          <t>7800 MAC Tree Surgery and Fencing Ltd</t>
        </is>
      </c>
      <c r="L1155" t="inlineStr">
        <is>
          <t>08/08/2025 08:17</t>
        </is>
      </c>
      <c r="M1155" t="inlineStr">
        <is>
          <t>None</t>
        </is>
      </c>
      <c r="N1155" t="inlineStr">
        <is>
          <t>&lt;p&gt;&lt;/p&gt;</t>
        </is>
      </c>
      <c r="O1155" t="inlineStr"/>
      <c r="P1155" t="inlineStr">
        <is>
          <t>4x4 - Land rover  - Discovery  - Tr56mac</t>
        </is>
      </c>
      <c r="Q1155" t="inlineStr">
        <is>
          <t>UKPN</t>
        </is>
      </c>
      <c r="R1155" t="b">
        <v>0</v>
      </c>
    </row>
    <row r="1156">
      <c r="A1156" t="inlineStr">
        <is>
          <t>8 Aug 2025 / 7951 Austin Tree Care LTD / Utilities / UKPN</t>
        </is>
      </c>
      <c r="B1156" t="inlineStr">
        <is>
          <t>Utilities</t>
        </is>
      </c>
      <c r="C1156" t="inlineStr">
        <is>
          <t>UKPN</t>
        </is>
      </c>
      <c r="D1156" t="inlineStr">
        <is>
          <t>WF61 HZV , 4x4 MEWP , Land Rover , Defender</t>
        </is>
      </c>
      <c r="E1156" t="inlineStr">
        <is>
          <t>WF61 HZV , 4x4 MEWP , Land Rover , Defender</t>
        </is>
      </c>
      <c r="F1156" t="inlineStr">
        <is>
          <t>WF61 HZV , 4x4 MEWP , Land Rover , Defender</t>
        </is>
      </c>
      <c r="G1156" t="inlineStr">
        <is>
          <t xml:space="preserve">Jack Austin </t>
        </is>
      </c>
      <c r="H1156" t="inlineStr">
        <is>
          <t>4x4</t>
        </is>
      </c>
      <c r="I1156" t="inlineStr">
        <is>
          <t>Daily/ Weekly Vehicle Inspection</t>
        </is>
      </c>
      <c r="J1156" t="inlineStr">
        <is>
          <t>N/A</t>
        </is>
      </c>
      <c r="K1156" t="inlineStr">
        <is>
          <t>7951 Austin Tree Care LTD</t>
        </is>
      </c>
      <c r="L1156" t="inlineStr">
        <is>
          <t>08/08/2025 08:17</t>
        </is>
      </c>
      <c r="M1156" t="inlineStr">
        <is>
          <t>None</t>
        </is>
      </c>
      <c r="N1156" t="inlineStr">
        <is>
          <t>&lt;p&gt;&lt;/p&gt;</t>
        </is>
      </c>
      <c r="O1156" t="inlineStr"/>
      <c r="P1156" t="inlineStr">
        <is>
          <t>WF61 HZV , 4x4 MEWP , Land Rover , Defender</t>
        </is>
      </c>
      <c r="Q1156" t="inlineStr">
        <is>
          <t>UKPN</t>
        </is>
      </c>
      <c r="R1156" t="b">
        <v>0</v>
      </c>
    </row>
    <row r="1157">
      <c r="A1157" t="inlineStr">
        <is>
          <t>8 Aug 2025 / 7800 MAC Tree Surgery and Fencing Ltd</t>
        </is>
      </c>
      <c r="B1157" t="inlineStr">
        <is>
          <t>Utilities &amp; Inland Waterways</t>
        </is>
      </c>
      <c r="C1157" t="inlineStr">
        <is>
          <t>UKPN</t>
        </is>
      </c>
      <c r="D1157" t="inlineStr">
        <is>
          <t>205143043-A1 , Tow Chipper , Timberwolf , TW150</t>
        </is>
      </c>
      <c r="E1157" t="inlineStr">
        <is>
          <t>205143043-A1 , Tow Chipper , Timberwolf , TW150</t>
        </is>
      </c>
      <c r="F1157" t="inlineStr">
        <is>
          <t>205143043-A1 , Tow Chipper , Timberwolf , TW150</t>
        </is>
      </c>
      <c r="G1157" t="inlineStr">
        <is>
          <t xml:space="preserve">Lewis mac </t>
        </is>
      </c>
      <c r="H1157" t="inlineStr">
        <is>
          <t>Towed Chipper</t>
        </is>
      </c>
      <c r="I1157" t="inlineStr">
        <is>
          <t>Daily/ Weekly Vehicle Inspection</t>
        </is>
      </c>
      <c r="J1157" t="inlineStr">
        <is>
          <t>N/A</t>
        </is>
      </c>
      <c r="K1157" t="inlineStr">
        <is>
          <t>7800 MAC Tree Surgery and Fencing Ltd</t>
        </is>
      </c>
      <c r="L1157" t="inlineStr">
        <is>
          <t>08/08/2025 08:18</t>
        </is>
      </c>
      <c r="M1157" t="inlineStr">
        <is>
          <t>None</t>
        </is>
      </c>
      <c r="N1157" t="inlineStr">
        <is>
          <t>&lt;p&gt;&lt;/p&gt;</t>
        </is>
      </c>
      <c r="O1157" t="inlineStr"/>
      <c r="P1157" t="inlineStr">
        <is>
          <t>205143043-A1 , Tow Chipper , Timberwolf , TW150</t>
        </is>
      </c>
      <c r="Q1157" t="inlineStr">
        <is>
          <t>UKPN</t>
        </is>
      </c>
      <c r="R1157" t="b">
        <v>0</v>
      </c>
    </row>
    <row r="1158">
      <c r="A1158" t="inlineStr">
        <is>
          <t>8 Aug 2025 / 7951 Austin Tree Care LTD / Utilities / UKPN</t>
        </is>
      </c>
      <c r="B1158" t="inlineStr">
        <is>
          <t>Utilities</t>
        </is>
      </c>
      <c r="C1158" t="inlineStr">
        <is>
          <t>UKPN</t>
        </is>
      </c>
      <c r="D1158" t="inlineStr">
        <is>
          <t>WF61 HZV , 4x4 MEWP , Land Rover , Defender</t>
        </is>
      </c>
      <c r="E1158" t="inlineStr">
        <is>
          <t>WF61 HZV , 4x4 MEWP , Land Rover , Defender</t>
        </is>
      </c>
      <c r="F1158" t="inlineStr">
        <is>
          <t>WF61 HZV , 4x4 MEWP , Land Rover , Defender</t>
        </is>
      </c>
      <c r="G1158" t="inlineStr">
        <is>
          <t xml:space="preserve">Jack Austin </t>
        </is>
      </c>
      <c r="H1158" t="inlineStr">
        <is>
          <t>4x4</t>
        </is>
      </c>
      <c r="I1158" t="inlineStr">
        <is>
          <t>Daily/ Weekly Vehicle Inspection</t>
        </is>
      </c>
      <c r="J1158" t="inlineStr">
        <is>
          <t>N/A</t>
        </is>
      </c>
      <c r="K1158" t="inlineStr">
        <is>
          <t>7951 Austin Tree Care LTD</t>
        </is>
      </c>
      <c r="L1158" t="inlineStr">
        <is>
          <t>08/08/2025 08:19</t>
        </is>
      </c>
      <c r="M1158" t="inlineStr">
        <is>
          <t>None</t>
        </is>
      </c>
      <c r="N1158" t="inlineStr">
        <is>
          <t>&lt;p&gt;&lt;/p&gt;</t>
        </is>
      </c>
      <c r="O1158" t="inlineStr"/>
      <c r="P1158" t="inlineStr">
        <is>
          <t>WF61 HZV , 4x4 MEWP , Land Rover , Defender</t>
        </is>
      </c>
      <c r="Q1158" t="inlineStr">
        <is>
          <t>UKPN</t>
        </is>
      </c>
      <c r="R1158" t="b">
        <v>0</v>
      </c>
    </row>
    <row r="1159">
      <c r="A1159" t="inlineStr">
        <is>
          <t>8 Aug 2025 / 7800 MAC Tree Surgery and Fencing Ltd</t>
        </is>
      </c>
      <c r="B1159" t="inlineStr">
        <is>
          <t>Utilities &amp; Inland Waterways</t>
        </is>
      </c>
      <c r="C1159" t="inlineStr">
        <is>
          <t>UKPN</t>
        </is>
      </c>
      <c r="D1159" t="inlineStr">
        <is>
          <t>AY68DAA , 4x4 , Izuzu , Dmax</t>
        </is>
      </c>
      <c r="E1159" t="inlineStr">
        <is>
          <t>AY68DAA , 4x4 , Izuzu , Dmax</t>
        </is>
      </c>
      <c r="F1159" t="inlineStr">
        <is>
          <t>AY68DAA , 4x4 , Izuzu , Dmax</t>
        </is>
      </c>
      <c r="G1159" t="inlineStr">
        <is>
          <t xml:space="preserve">Lewis mac </t>
        </is>
      </c>
      <c r="H1159" t="inlineStr">
        <is>
          <t>4x4</t>
        </is>
      </c>
      <c r="I1159" t="inlineStr">
        <is>
          <t>Daily/ Weekly Vehicle Inspection</t>
        </is>
      </c>
      <c r="J1159" t="inlineStr">
        <is>
          <t>N/A</t>
        </is>
      </c>
      <c r="K1159" t="inlineStr">
        <is>
          <t>7800 MAC Tree Surgery and Fencing Ltd</t>
        </is>
      </c>
      <c r="L1159" t="inlineStr">
        <is>
          <t>08/08/2025 08:20</t>
        </is>
      </c>
      <c r="M1159" t="inlineStr">
        <is>
          <t>None</t>
        </is>
      </c>
      <c r="N1159" t="inlineStr">
        <is>
          <t>&lt;p&gt;&lt;/p&gt;</t>
        </is>
      </c>
      <c r="O1159" t="inlineStr"/>
      <c r="P1159" t="inlineStr">
        <is>
          <t>AY68DAA , 4x4 , Izuzu , Dmax</t>
        </is>
      </c>
      <c r="Q1159" t="inlineStr">
        <is>
          <t>UKPN</t>
        </is>
      </c>
      <c r="R1159" t="b">
        <v>0</v>
      </c>
    </row>
    <row r="1160">
      <c r="A1160" t="inlineStr">
        <is>
          <t>10 Aug 2025 / 6617 Ashdown Tree Limited 1 / Utilities / UKPN</t>
        </is>
      </c>
      <c r="B1160" t="inlineStr">
        <is>
          <t>Utilities</t>
        </is>
      </c>
      <c r="C1160" t="inlineStr">
        <is>
          <t>UKPN</t>
        </is>
      </c>
      <c r="D1160" t="inlineStr">
        <is>
          <t>WF11EJJ , Vehicle , Land Rover , Discovery</t>
        </is>
      </c>
      <c r="E1160" t="inlineStr">
        <is>
          <t>WF11EJJ , Vehicle , Land Rover , Discovery</t>
        </is>
      </c>
      <c r="F1160" t="inlineStr">
        <is>
          <t>WF11EJJ , Vehicle , Land Rover , Discovery</t>
        </is>
      </c>
      <c r="G1160" t="inlineStr">
        <is>
          <t xml:space="preserve">Francislesser </t>
        </is>
      </c>
      <c r="H1160" t="inlineStr">
        <is>
          <t>4x4</t>
        </is>
      </c>
      <c r="I1160" t="inlineStr">
        <is>
          <t>Daily/ Weekly Vehicle Inspection</t>
        </is>
      </c>
      <c r="J1160" t="inlineStr">
        <is>
          <t>N/A</t>
        </is>
      </c>
      <c r="K1160" t="inlineStr">
        <is>
          <t>6617 Ashdown Tree Limited 1</t>
        </is>
      </c>
      <c r="L1160" t="inlineStr">
        <is>
          <t>10/08/2025 08:15</t>
        </is>
      </c>
      <c r="M1160" t="inlineStr">
        <is>
          <t>None</t>
        </is>
      </c>
      <c r="N1160" t="inlineStr">
        <is>
          <t>&lt;p&gt;&lt;/p&gt;</t>
        </is>
      </c>
      <c r="O1160" t="inlineStr"/>
      <c r="P1160" t="inlineStr">
        <is>
          <t>WF11EJJ , Vehicle , Land Rover , Discovery</t>
        </is>
      </c>
      <c r="Q1160" t="inlineStr">
        <is>
          <t>UKPN</t>
        </is>
      </c>
      <c r="R1160" t="b">
        <v>0</v>
      </c>
    </row>
    <row r="1161">
      <c r="A1161" t="inlineStr">
        <is>
          <t>11 Aug 2025 / 6617 Ashdown Tree Limited 1 / Utilities / UKPN</t>
        </is>
      </c>
      <c r="B1161" t="inlineStr">
        <is>
          <t>Utilities</t>
        </is>
      </c>
      <c r="C1161" t="inlineStr">
        <is>
          <t>UKPN</t>
        </is>
      </c>
      <c r="D1161" t="inlineStr">
        <is>
          <t>GU11LKD , 4x4 , Land Rover , Defender</t>
        </is>
      </c>
      <c r="E1161" t="inlineStr">
        <is>
          <t>GU11LKD , 4x4 , Land Rover , Defender</t>
        </is>
      </c>
      <c r="F1161" t="inlineStr">
        <is>
          <t>GU11LKD , 4x4 , Land Rover , Defender</t>
        </is>
      </c>
      <c r="G1161" t="inlineStr">
        <is>
          <t xml:space="preserve">Francislesser </t>
        </is>
      </c>
      <c r="H1161" t="inlineStr">
        <is>
          <t>4x4</t>
        </is>
      </c>
      <c r="I1161" t="inlineStr">
        <is>
          <t>Daily/ Weekly Vehicle Inspection</t>
        </is>
      </c>
      <c r="J1161" t="inlineStr">
        <is>
          <t>N/A</t>
        </is>
      </c>
      <c r="K1161" t="inlineStr">
        <is>
          <t>6617 Ashdown Tree Limited 1</t>
        </is>
      </c>
      <c r="L1161" t="inlineStr">
        <is>
          <t>11/08/2025 07:15</t>
        </is>
      </c>
      <c r="M1161" t="inlineStr">
        <is>
          <t>None</t>
        </is>
      </c>
      <c r="N1161" t="inlineStr">
        <is>
          <t>&lt;p&gt;&lt;/p&gt;</t>
        </is>
      </c>
      <c r="O1161" t="inlineStr"/>
      <c r="P1161" t="inlineStr">
        <is>
          <t>GU11LKD , 4x4 , Land Rover , Defender</t>
        </is>
      </c>
      <c r="Q1161" t="inlineStr">
        <is>
          <t>UKPN</t>
        </is>
      </c>
      <c r="R1161" t="b">
        <v>0</v>
      </c>
    </row>
    <row r="1162">
      <c r="A1162" t="inlineStr">
        <is>
          <t>11 Aug 2025 / 7951 Austin Tree Care LTD 1 / Utilities / UKPN</t>
        </is>
      </c>
      <c r="B1162" t="inlineStr">
        <is>
          <t>Utilities</t>
        </is>
      </c>
      <c r="C1162" t="inlineStr">
        <is>
          <t>UKPN</t>
        </is>
      </c>
      <c r="D1162" t="inlineStr">
        <is>
          <t>WF61 HZV , 4x4 MEWP , Land Rover , Defender</t>
        </is>
      </c>
      <c r="E1162" t="inlineStr">
        <is>
          <t>WF61 HZV , 4x4 MEWP , Land Rover , Defender</t>
        </is>
      </c>
      <c r="F1162" t="inlineStr">
        <is>
          <t>WF61 HZV , 4x4 MEWP , Land Rover , Defender</t>
        </is>
      </c>
      <c r="G1162" t="inlineStr">
        <is>
          <t xml:space="preserve">James Tasker </t>
        </is>
      </c>
      <c r="H1162" t="inlineStr">
        <is>
          <t>4x4</t>
        </is>
      </c>
      <c r="I1162" t="inlineStr">
        <is>
          <t>Daily/ Weekly Vehicle Inspection</t>
        </is>
      </c>
      <c r="J1162" t="inlineStr">
        <is>
          <t>N/A</t>
        </is>
      </c>
      <c r="K1162" t="inlineStr">
        <is>
          <t>7951 Austin Tree Care LTD 1</t>
        </is>
      </c>
      <c r="L1162" t="inlineStr">
        <is>
          <t>11/08/2025 08:15</t>
        </is>
      </c>
      <c r="M1162" t="inlineStr">
        <is>
          <t>None</t>
        </is>
      </c>
      <c r="N1162" t="inlineStr">
        <is>
          <t>&lt;p&gt;&lt;/p&gt;</t>
        </is>
      </c>
      <c r="O1162" t="inlineStr"/>
      <c r="P1162" t="inlineStr">
        <is>
          <t>WF61 HZV , 4x4 MEWP , Land Rover , Defender</t>
        </is>
      </c>
      <c r="Q1162" t="inlineStr">
        <is>
          <t>UKPN</t>
        </is>
      </c>
      <c r="R1162" t="b">
        <v>0</v>
      </c>
    </row>
    <row r="1163">
      <c r="A1163" t="inlineStr">
        <is>
          <t>11 Aug 2025 / 6617 Ashdown Tree Limited 1 / Utilities / UKPN</t>
        </is>
      </c>
      <c r="B1163" t="inlineStr">
        <is>
          <t>Utilities</t>
        </is>
      </c>
      <c r="C1163" t="inlineStr">
        <is>
          <t>UKPN</t>
        </is>
      </c>
      <c r="D1163" t="inlineStr">
        <is>
          <t>SBXTW35A6LS209184 , Tow Chipper , Timberwolf , TW230DHB</t>
        </is>
      </c>
      <c r="E1163" t="inlineStr">
        <is>
          <t>SBXTW35A6LS209184 , Tow Chipper , Timberwolf , TW230DHB</t>
        </is>
      </c>
      <c r="F1163" t="inlineStr">
        <is>
          <t>SBXTW35A6LS209184 , Tow Chipper , Timberwolf , TW230DHB</t>
        </is>
      </c>
      <c r="G1163" t="inlineStr">
        <is>
          <t xml:space="preserve">Francislesser </t>
        </is>
      </c>
      <c r="H1163" t="inlineStr">
        <is>
          <t>Towed Chipper</t>
        </is>
      </c>
      <c r="I1163" t="inlineStr">
        <is>
          <t>Daily/ Weekly Vehicle Inspection</t>
        </is>
      </c>
      <c r="J1163" t="inlineStr">
        <is>
          <t>N/A</t>
        </is>
      </c>
      <c r="K1163" t="inlineStr">
        <is>
          <t>6617 Ashdown Tree Limited 1</t>
        </is>
      </c>
      <c r="L1163" t="inlineStr">
        <is>
          <t>11/08/2025 08:16</t>
        </is>
      </c>
      <c r="M1163" t="inlineStr">
        <is>
          <t>None</t>
        </is>
      </c>
      <c r="N1163" t="inlineStr">
        <is>
          <t>&lt;p&gt;&lt;/p&gt;</t>
        </is>
      </c>
      <c r="O1163" t="inlineStr"/>
      <c r="P1163" t="inlineStr">
        <is>
          <t>SBXTW35A6LS209184 , Tow Chipper , Timberwolf , TW230DHB</t>
        </is>
      </c>
      <c r="Q1163" t="inlineStr">
        <is>
          <t>UKPN</t>
        </is>
      </c>
      <c r="R1163" t="b">
        <v>0</v>
      </c>
    </row>
    <row r="1164">
      <c r="A1164" t="inlineStr">
        <is>
          <t>11 Aug 2025 / 7951 Austin Tree Care LTD / Utilities / UKPN</t>
        </is>
      </c>
      <c r="B1164" t="inlineStr">
        <is>
          <t>Utilities</t>
        </is>
      </c>
      <c r="C1164" t="inlineStr">
        <is>
          <t>UKPN</t>
        </is>
      </c>
      <c r="D1164" t="inlineStr">
        <is>
          <t>Kn58xuy , Tipper , VW  , Crafter</t>
        </is>
      </c>
      <c r="E1164" t="inlineStr">
        <is>
          <t>Kn58xuy , Tipper , VW  , Crafter</t>
        </is>
      </c>
      <c r="F1164" t="inlineStr">
        <is>
          <t>Kn58xuy , Tipper , VW  , Crafter</t>
        </is>
      </c>
      <c r="G1164" t="inlineStr">
        <is>
          <t xml:space="preserve">Jack Austin </t>
        </is>
      </c>
      <c r="H1164" t="inlineStr">
        <is>
          <t>Tipper</t>
        </is>
      </c>
      <c r="I1164" t="inlineStr">
        <is>
          <t>Daily/ Weekly Vehicle Inspection</t>
        </is>
      </c>
      <c r="J1164" t="inlineStr">
        <is>
          <t>N/A</t>
        </is>
      </c>
      <c r="K1164" t="inlineStr">
        <is>
          <t>7951 Austin Tree Care LTD</t>
        </is>
      </c>
      <c r="L1164" t="inlineStr">
        <is>
          <t>11/08/2025 08:16</t>
        </is>
      </c>
      <c r="M1164" t="inlineStr">
        <is>
          <t>None</t>
        </is>
      </c>
      <c r="N1164" t="inlineStr">
        <is>
          <t>&lt;p&gt;&lt;/p&gt;</t>
        </is>
      </c>
      <c r="O1164" t="inlineStr"/>
      <c r="P1164" t="inlineStr">
        <is>
          <t>Kn58xuy , Tipper , VW  , Crafter</t>
        </is>
      </c>
      <c r="Q1164" t="inlineStr">
        <is>
          <t>UKPN</t>
        </is>
      </c>
      <c r="R1164" t="b">
        <v>0</v>
      </c>
    </row>
    <row r="1165">
      <c r="A1165" t="inlineStr">
        <is>
          <t>11 Aug 2025 / Thomas Playford / Utilities / UKPN</t>
        </is>
      </c>
      <c r="B1165" t="inlineStr">
        <is>
          <t>Utilities</t>
        </is>
      </c>
      <c r="C1165" t="inlineStr">
        <is>
          <t>UKPN</t>
        </is>
      </c>
      <c r="D1165" t="inlineStr">
        <is>
          <t>YP24 WRD , Vehicle , Ford , Ranger</t>
        </is>
      </c>
      <c r="E1165" t="inlineStr">
        <is>
          <t>YP24 WRD , Vehicle , Ford , Ranger</t>
        </is>
      </c>
      <c r="F1165" t="inlineStr">
        <is>
          <t>YP24 WRD , Vehicle , Ford , Ranger</t>
        </is>
      </c>
      <c r="G1165" t="inlineStr">
        <is>
          <t>Jacob Oram</t>
        </is>
      </c>
      <c r="H1165" t="inlineStr">
        <is>
          <t>4x4</t>
        </is>
      </c>
      <c r="I1165" t="inlineStr">
        <is>
          <t>Daily/ Weekly Vehicle Inspection</t>
        </is>
      </c>
      <c r="J1165" t="inlineStr">
        <is>
          <t>N/A</t>
        </is>
      </c>
      <c r="K1165" t="inlineStr">
        <is>
          <t>7995 Contour Landscapes Ltd 2</t>
        </is>
      </c>
      <c r="L1165" t="inlineStr">
        <is>
          <t>11/08/2025 08:19</t>
        </is>
      </c>
      <c r="M1165" t="inlineStr">
        <is>
          <t>None</t>
        </is>
      </c>
      <c r="N1165" t="inlineStr">
        <is>
          <t>&lt;p&gt;&lt;/p&gt;</t>
        </is>
      </c>
      <c r="O1165" t="inlineStr"/>
      <c r="P1165" t="inlineStr">
        <is>
          <t>YP24 WRD , Vehicle , Ford , Ranger</t>
        </is>
      </c>
      <c r="Q1165" t="inlineStr">
        <is>
          <t>UKPN</t>
        </is>
      </c>
      <c r="R1165" t="b">
        <v>0</v>
      </c>
    </row>
    <row r="1166">
      <c r="A1166" t="inlineStr">
        <is>
          <t>11 Aug 2025 / Thomas Playford / Utilities / UKPN</t>
        </is>
      </c>
      <c r="B1166" t="inlineStr">
        <is>
          <t>Utilities</t>
        </is>
      </c>
      <c r="C1166" t="inlineStr">
        <is>
          <t>UKPN</t>
        </is>
      </c>
      <c r="D1166" t="inlineStr">
        <is>
          <t>SA9ST800000283944 , Tow Chipper , Forst , ST8D - Towed</t>
        </is>
      </c>
      <c r="E1166" t="inlineStr">
        <is>
          <t>SA9ST800000283944 , Tow Chipper , Forst , ST8D - Towed</t>
        </is>
      </c>
      <c r="F1166" t="inlineStr">
        <is>
          <t>SA9ST800000283944 , Tow Chipper , Forst , ST8D - Towed</t>
        </is>
      </c>
      <c r="G1166" t="inlineStr">
        <is>
          <t>Jacob Oram</t>
        </is>
      </c>
      <c r="H1166" t="inlineStr">
        <is>
          <t>Towed Chipper</t>
        </is>
      </c>
      <c r="I1166" t="inlineStr">
        <is>
          <t>Daily/ Weekly Vehicle Inspection</t>
        </is>
      </c>
      <c r="J1166" t="inlineStr">
        <is>
          <t>N/A</t>
        </is>
      </c>
      <c r="K1166" t="inlineStr">
        <is>
          <t>7995 Contour Landscapes Ltd 2</t>
        </is>
      </c>
      <c r="L1166" t="inlineStr">
        <is>
          <t>11/08/2025 08:20</t>
        </is>
      </c>
      <c r="M1166" t="inlineStr">
        <is>
          <t>None</t>
        </is>
      </c>
      <c r="N1166" t="inlineStr">
        <is>
          <t>&lt;p&gt;&lt;/p&gt;</t>
        </is>
      </c>
      <c r="O1166" t="inlineStr"/>
      <c r="P1166" t="inlineStr">
        <is>
          <t>SA9ST800000283944 , Tow Chipper , Forst , ST8D - Towed</t>
        </is>
      </c>
      <c r="Q1166" t="inlineStr">
        <is>
          <t>UKPN</t>
        </is>
      </c>
      <c r="R1166" t="b">
        <v>0</v>
      </c>
    </row>
    <row r="1167">
      <c r="A1167" t="inlineStr">
        <is>
          <t>11 Aug 2025 / 7806 Optimum Tree Services Ltd / Utilities / UKPN</t>
        </is>
      </c>
      <c r="B1167" t="inlineStr">
        <is>
          <t>Utilities</t>
        </is>
      </c>
      <c r="C1167" t="inlineStr">
        <is>
          <t>UKPN</t>
        </is>
      </c>
      <c r="D1167" t="inlineStr">
        <is>
          <t>WD14EVB , MEWP , Land Rover , Defender</t>
        </is>
      </c>
      <c r="E1167" t="inlineStr">
        <is>
          <t>WD14EVB , MEWP , Land Rover , Defender</t>
        </is>
      </c>
      <c r="F1167" t="inlineStr">
        <is>
          <t>WD14EVB , MEWP , Land Rover , Defender</t>
        </is>
      </c>
      <c r="G1167" t="inlineStr">
        <is>
          <t>Tommy</t>
        </is>
      </c>
      <c r="H1167" t="inlineStr">
        <is>
          <t>4x4</t>
        </is>
      </c>
      <c r="I1167" t="inlineStr">
        <is>
          <t>Daily/ Weekly Vehicle Inspection</t>
        </is>
      </c>
      <c r="J1167" t="inlineStr">
        <is>
          <t>N/A</t>
        </is>
      </c>
      <c r="K1167" t="inlineStr">
        <is>
          <t>7806 Optimum Tree Services Ltd</t>
        </is>
      </c>
      <c r="L1167" t="inlineStr">
        <is>
          <t>11/08/2025 08:24</t>
        </is>
      </c>
      <c r="M1167" t="inlineStr">
        <is>
          <t>None</t>
        </is>
      </c>
      <c r="N1167" t="inlineStr">
        <is>
          <t>&lt;p&gt;&lt;/p&gt;</t>
        </is>
      </c>
      <c r="O1167" t="inlineStr"/>
      <c r="P1167" t="inlineStr">
        <is>
          <t>WD14EVB , MEWP , Land Rover , Defender</t>
        </is>
      </c>
      <c r="Q1167" t="inlineStr">
        <is>
          <t>UKPN</t>
        </is>
      </c>
      <c r="R1167" t="b">
        <v>0</v>
      </c>
    </row>
    <row r="1168">
      <c r="A1168" t="inlineStr">
        <is>
          <t>11 Aug 2025 / 3988 Valiant Arborist Ltd / Utilities &amp; Inland Waterways / UKPN</t>
        </is>
      </c>
      <c r="B1168" t="inlineStr">
        <is>
          <t>Utilities &amp; Inland Waterways</t>
        </is>
      </c>
      <c r="C1168" t="inlineStr">
        <is>
          <t>UKPN</t>
        </is>
      </c>
      <c r="D1168" t="inlineStr">
        <is>
          <t>4x4 - Isuzu  - D Max  - BT24 YEC</t>
        </is>
      </c>
      <c r="E1168" t="inlineStr">
        <is>
          <t>4x4 - Isuzu  - D Max  - BT24 YEC</t>
        </is>
      </c>
      <c r="F1168" t="inlineStr">
        <is>
          <t>4x4 - Isuzu  - D Max  - BT24 YEC</t>
        </is>
      </c>
      <c r="G1168" t="inlineStr">
        <is>
          <t>Sam knight</t>
        </is>
      </c>
      <c r="H1168" t="inlineStr">
        <is>
          <t>4x4</t>
        </is>
      </c>
      <c r="I1168" t="inlineStr">
        <is>
          <t>Daily/ Weekly Vehicle Inspection</t>
        </is>
      </c>
      <c r="J1168" t="inlineStr">
        <is>
          <t>N/A</t>
        </is>
      </c>
      <c r="K1168" t="inlineStr">
        <is>
          <t>3988 Valiant Arborist Ltd</t>
        </is>
      </c>
      <c r="L1168" t="inlineStr">
        <is>
          <t>11/08/2025 10:16</t>
        </is>
      </c>
      <c r="M1168" t="inlineStr">
        <is>
          <t>None</t>
        </is>
      </c>
      <c r="N1168" t="inlineStr">
        <is>
          <t>&lt;p&gt;&lt;/p&gt;</t>
        </is>
      </c>
      <c r="O1168" t="inlineStr"/>
      <c r="P1168" t="inlineStr">
        <is>
          <t>4x4 - Isuzu  - D Max  - BT24 YEC</t>
        </is>
      </c>
      <c r="Q1168" t="inlineStr">
        <is>
          <t>UKPN</t>
        </is>
      </c>
      <c r="R1168" t="b">
        <v>0</v>
      </c>
    </row>
    <row r="1169">
      <c r="A1169" t="inlineStr">
        <is>
          <t>11 Aug 2025 / Aaron Billingham / Utilities / NGED</t>
        </is>
      </c>
      <c r="B1169" t="inlineStr">
        <is>
          <t>Utilities</t>
        </is>
      </c>
      <c r="C1169" t="inlineStr">
        <is>
          <t>NGED</t>
        </is>
      </c>
      <c r="D1169" t="inlineStr">
        <is>
          <t>EK18ECN , 4x4 , Ford , Ranger</t>
        </is>
      </c>
      <c r="E1169" t="inlineStr">
        <is>
          <t>EK18ECN , 4x4 , Ford , Ranger</t>
        </is>
      </c>
      <c r="F1169" t="inlineStr">
        <is>
          <t>EK18ECN , 4x4 , Ford , Ranger</t>
        </is>
      </c>
      <c r="G1169" t="inlineStr">
        <is>
          <t>Aaron Billingham</t>
        </is>
      </c>
      <c r="H1169" t="inlineStr">
        <is>
          <t>4x4</t>
        </is>
      </c>
      <c r="I1169" t="inlineStr">
        <is>
          <t>Daily/ Weekly Vehicle Inspection</t>
        </is>
      </c>
      <c r="J1169" t="inlineStr">
        <is>
          <t>N/A</t>
        </is>
      </c>
      <c r="K1169" t="inlineStr">
        <is>
          <t>Aaron Billingham</t>
        </is>
      </c>
      <c r="L1169" t="inlineStr">
        <is>
          <t>11/08/2025 12:16</t>
        </is>
      </c>
      <c r="M1169" t="inlineStr">
        <is>
          <t xml:space="preserve">Confirm that you have checked this vehicle as per the guidance document and the vehicle is safe and roadworthy: Fail
</t>
        </is>
      </c>
      <c r="N1169" t="inlineStr">
        <is>
          <t>&lt;p&gt;&lt;/p&gt;</t>
        </is>
      </c>
      <c r="O1169" t="inlineStr"/>
      <c r="P1169" t="inlineStr">
        <is>
          <t>EK18ECN , 4x4 , Ford , Ranger</t>
        </is>
      </c>
      <c r="Q1169" t="inlineStr">
        <is>
          <t>NGED</t>
        </is>
      </c>
      <c r="R1169" t="b">
        <v>0</v>
      </c>
    </row>
    <row r="1170">
      <c r="A1170" t="inlineStr">
        <is>
          <t>12 Aug 2025 / 7806 Optimum Tree Services Ltd / Utilities / UKPN</t>
        </is>
      </c>
      <c r="B1170" t="inlineStr">
        <is>
          <t>Utilities</t>
        </is>
      </c>
      <c r="C1170" t="inlineStr">
        <is>
          <t>UKPN</t>
        </is>
      </c>
      <c r="D1170" t="inlineStr">
        <is>
          <t>SA9ST800000283069 , Chipper , Forst , ST 6P</t>
        </is>
      </c>
      <c r="E1170" t="inlineStr">
        <is>
          <t>SA9ST800000283069 , Chipper , Forst , ST 6P</t>
        </is>
      </c>
      <c r="F1170" t="inlineStr">
        <is>
          <t>SA9ST800000283069 , Chipper , Forst , ST 6P</t>
        </is>
      </c>
      <c r="G1170" t="inlineStr">
        <is>
          <t xml:space="preserve">Abraham Davies </t>
        </is>
      </c>
      <c r="H1170" t="inlineStr">
        <is>
          <t>Towed Chipper</t>
        </is>
      </c>
      <c r="I1170" t="inlineStr">
        <is>
          <t>Daily/ Weekly Vehicle Inspection</t>
        </is>
      </c>
      <c r="J1170" t="inlineStr">
        <is>
          <t>N/A</t>
        </is>
      </c>
      <c r="K1170" t="inlineStr">
        <is>
          <t>7806 Optimum Tree Services Ltd</t>
        </is>
      </c>
      <c r="L1170" t="inlineStr">
        <is>
          <t>12/08/2025 07:15</t>
        </is>
      </c>
      <c r="M1170" t="inlineStr">
        <is>
          <t>None</t>
        </is>
      </c>
      <c r="N1170" t="inlineStr">
        <is>
          <t>&lt;p&gt;&lt;/p&gt;</t>
        </is>
      </c>
      <c r="O1170" t="inlineStr"/>
      <c r="P1170" t="inlineStr">
        <is>
          <t>SA9ST800000283069 , Chipper , Forst , ST 6P</t>
        </is>
      </c>
      <c r="Q1170" t="inlineStr">
        <is>
          <t>UKPN</t>
        </is>
      </c>
      <c r="R1170" t="b">
        <v>0</v>
      </c>
    </row>
    <row r="1171">
      <c r="A1171" t="inlineStr">
        <is>
          <t>12 Aug 2025 / 7806 Optimum Tree Services Ltd / Utilities / UKPN</t>
        </is>
      </c>
      <c r="B1171" t="inlineStr">
        <is>
          <t>Utilities</t>
        </is>
      </c>
      <c r="C1171" t="inlineStr">
        <is>
          <t>UKPN</t>
        </is>
      </c>
      <c r="D1171" t="inlineStr">
        <is>
          <t>WD14EVB , MEWP , Land Rover , Defender</t>
        </is>
      </c>
      <c r="E1171" t="inlineStr">
        <is>
          <t>WD14EVB , MEWP , Land Rover , Defender</t>
        </is>
      </c>
      <c r="F1171" t="inlineStr">
        <is>
          <t>WD14EVB , MEWP , Land Rover , Defender</t>
        </is>
      </c>
      <c r="G1171" t="inlineStr">
        <is>
          <t xml:space="preserve">Abraham Davies </t>
        </is>
      </c>
      <c r="H1171" t="inlineStr">
        <is>
          <t>4x4</t>
        </is>
      </c>
      <c r="I1171" t="inlineStr">
        <is>
          <t>Daily/ Weekly Vehicle Inspection</t>
        </is>
      </c>
      <c r="J1171" t="inlineStr">
        <is>
          <t>N/A</t>
        </is>
      </c>
      <c r="K1171" t="inlineStr">
        <is>
          <t>7806 Optimum Tree Services Ltd</t>
        </is>
      </c>
      <c r="L1171" t="inlineStr">
        <is>
          <t>12/08/2025 07:16</t>
        </is>
      </c>
      <c r="M1171" t="inlineStr">
        <is>
          <t>None</t>
        </is>
      </c>
      <c r="N1171" t="inlineStr">
        <is>
          <t>&lt;p&gt;&lt;/p&gt;</t>
        </is>
      </c>
      <c r="O1171" t="inlineStr"/>
      <c r="P1171" t="inlineStr">
        <is>
          <t>WD14EVB , MEWP , Land Rover , Defender</t>
        </is>
      </c>
      <c r="Q1171" t="inlineStr">
        <is>
          <t>UKPN</t>
        </is>
      </c>
      <c r="R1171" t="b">
        <v>0</v>
      </c>
    </row>
    <row r="1172">
      <c r="A1172" t="inlineStr">
        <is>
          <t>12 Aug 2025 / Anthony Gale / Utilities / UKPN</t>
        </is>
      </c>
      <c r="B1172" t="inlineStr">
        <is>
          <t>Utilities</t>
        </is>
      </c>
      <c r="C1172" t="inlineStr">
        <is>
          <t>UKPN</t>
        </is>
      </c>
      <c r="D1172" t="inlineStr">
        <is>
          <t>PE07 HGL , Vehicle , Mitsubishi , L200 K74</t>
        </is>
      </c>
      <c r="E1172" t="inlineStr">
        <is>
          <t>PE07 HGL , Vehicle , Mitsubishi , L200 K74</t>
        </is>
      </c>
      <c r="F1172" t="inlineStr">
        <is>
          <t>PE07 HGL , Vehicle , Mitsubishi , L200 K74</t>
        </is>
      </c>
      <c r="G1172" t="inlineStr">
        <is>
          <t>Anthony Gale</t>
        </is>
      </c>
      <c r="H1172" t="inlineStr">
        <is>
          <t>Pickup Truck</t>
        </is>
      </c>
      <c r="I1172" t="inlineStr">
        <is>
          <t>Daily/ Weekly Vehicle Inspection</t>
        </is>
      </c>
      <c r="J1172" t="inlineStr">
        <is>
          <t>N/A</t>
        </is>
      </c>
      <c r="K1172" t="inlineStr">
        <is>
          <t>7996 M G Tree Surgery Ltd 1</t>
        </is>
      </c>
      <c r="L1172" t="inlineStr">
        <is>
          <t>12/08/2025 07:16</t>
        </is>
      </c>
      <c r="M1172" t="inlineStr">
        <is>
          <t>None</t>
        </is>
      </c>
      <c r="N1172" t="inlineStr">
        <is>
          <t>&lt;p&gt;&lt;/p&gt;</t>
        </is>
      </c>
      <c r="O1172" t="inlineStr"/>
      <c r="P1172" t="inlineStr">
        <is>
          <t>PE07 HGL , Vehicle , Mitsubishi , L200 K74</t>
        </is>
      </c>
      <c r="Q1172" t="inlineStr">
        <is>
          <t>UKPN</t>
        </is>
      </c>
      <c r="R1172" t="b">
        <v>0</v>
      </c>
    </row>
    <row r="1173">
      <c r="A1173" t="inlineStr">
        <is>
          <t>12 Aug 2025 / 3098 D &amp; R Landscapes (PEND Arb Rail) / Utilities / UKPN</t>
        </is>
      </c>
      <c r="B1173" t="inlineStr">
        <is>
          <t>Utilities</t>
        </is>
      </c>
      <c r="C1173" t="inlineStr">
        <is>
          <t>UKPN</t>
        </is>
      </c>
      <c r="D1173" t="inlineStr">
        <is>
          <t>Vehicle - Nissan - Navara - BT20 GNZ</t>
        </is>
      </c>
      <c r="E1173" t="inlineStr">
        <is>
          <t>Vehicle - Nissan - Navara - BT20 GNZ</t>
        </is>
      </c>
      <c r="F1173" t="inlineStr">
        <is>
          <t>Vehicle - Nissan - Navara - BT20 GNZ</t>
        </is>
      </c>
      <c r="G1173" t="inlineStr">
        <is>
          <t>Jason</t>
        </is>
      </c>
      <c r="H1173" t="inlineStr">
        <is>
          <t>Pickup Truck</t>
        </is>
      </c>
      <c r="I1173" t="inlineStr">
        <is>
          <t>Daily/ Weekly Vehicle Inspection</t>
        </is>
      </c>
      <c r="J1173" t="inlineStr">
        <is>
          <t>N/A</t>
        </is>
      </c>
      <c r="K1173" t="inlineStr">
        <is>
          <t>3098 D &amp; R Landscapes</t>
        </is>
      </c>
      <c r="L1173" t="inlineStr">
        <is>
          <t>12/08/2025 08:14</t>
        </is>
      </c>
      <c r="M1173" t="inlineStr">
        <is>
          <t>None</t>
        </is>
      </c>
      <c r="N1173" t="inlineStr">
        <is>
          <t>&lt;p&gt;&lt;/p&gt;</t>
        </is>
      </c>
      <c r="O1173" t="inlineStr"/>
      <c r="P1173" t="inlineStr">
        <is>
          <t>Vehicle - Nissan - Navara - BT20 GNZ</t>
        </is>
      </c>
      <c r="Q1173" t="inlineStr">
        <is>
          <t>UKPN</t>
        </is>
      </c>
      <c r="R1173" t="b">
        <v>0</v>
      </c>
    </row>
    <row r="1174">
      <c r="A1174" t="inlineStr">
        <is>
          <t>12 Aug 2025 / 6617 Ashdown Tree Limited 1 / Utilities / UKPN</t>
        </is>
      </c>
      <c r="B1174" t="inlineStr">
        <is>
          <t>Utilities</t>
        </is>
      </c>
      <c r="C1174" t="inlineStr">
        <is>
          <t>UKPN</t>
        </is>
      </c>
      <c r="D1174" t="inlineStr">
        <is>
          <t>SBXTW35A6LS209184 , Tow Chipper , Timberwolf , TW230DHB</t>
        </is>
      </c>
      <c r="E1174" t="inlineStr">
        <is>
          <t>SBXTW35A6LS209184 , Tow Chipper , Timberwolf , TW230DHB</t>
        </is>
      </c>
      <c r="F1174" t="inlineStr">
        <is>
          <t>SBXTW35A6LS209184 , Tow Chipper , Timberwolf , TW230DHB</t>
        </is>
      </c>
      <c r="G1174" t="inlineStr">
        <is>
          <t xml:space="preserve">Francislesser </t>
        </is>
      </c>
      <c r="H1174" t="inlineStr">
        <is>
          <t>Towed Chipper</t>
        </is>
      </c>
      <c r="I1174" t="inlineStr">
        <is>
          <t>Daily/ Weekly Vehicle Inspection</t>
        </is>
      </c>
      <c r="J1174" t="inlineStr">
        <is>
          <t>N/A</t>
        </is>
      </c>
      <c r="K1174" t="inlineStr">
        <is>
          <t>6617 Ashdown Tree Limited 1</t>
        </is>
      </c>
      <c r="L1174" t="inlineStr">
        <is>
          <t>12/08/2025 08:15</t>
        </is>
      </c>
      <c r="M1174" t="inlineStr">
        <is>
          <t>None</t>
        </is>
      </c>
      <c r="N1174" t="inlineStr">
        <is>
          <t>&lt;p&gt;&lt;/p&gt;</t>
        </is>
      </c>
      <c r="O1174" t="inlineStr"/>
      <c r="P1174" t="inlineStr">
        <is>
          <t>SBXTW35A6LS209184 , Tow Chipper , Timberwolf , TW230DHB</t>
        </is>
      </c>
      <c r="Q1174" t="inlineStr">
        <is>
          <t>UKPN</t>
        </is>
      </c>
      <c r="R1174" t="b">
        <v>0</v>
      </c>
    </row>
    <row r="1175">
      <c r="A1175" t="inlineStr">
        <is>
          <t>12 Aug 2025 / 7951 Austin Tree Care LTD / Utilities / UKPN</t>
        </is>
      </c>
      <c r="B1175" t="inlineStr">
        <is>
          <t>Utilities</t>
        </is>
      </c>
      <c r="C1175" t="inlineStr">
        <is>
          <t>UKPN</t>
        </is>
      </c>
      <c r="D1175" t="inlineStr">
        <is>
          <t>SA9ST6P0001283612 , Tow Chipper , Forst , ST6p</t>
        </is>
      </c>
      <c r="E1175" t="inlineStr">
        <is>
          <t>SA9ST6P0001283612 , Tow Chipper , Forst , ST6p</t>
        </is>
      </c>
      <c r="F1175" t="inlineStr">
        <is>
          <t>SA9ST6P0001283612 , Tow Chipper , Forst , ST6p</t>
        </is>
      </c>
      <c r="G1175" t="inlineStr">
        <is>
          <t xml:space="preserve">Jack Austin </t>
        </is>
      </c>
      <c r="H1175" t="inlineStr">
        <is>
          <t>Towed Chipper</t>
        </is>
      </c>
      <c r="I1175" t="inlineStr">
        <is>
          <t>Daily/ Weekly Vehicle Inspection</t>
        </is>
      </c>
      <c r="J1175" t="inlineStr">
        <is>
          <t>N/A</t>
        </is>
      </c>
      <c r="K1175" t="inlineStr">
        <is>
          <t>7951 Austin Tree Care LTD</t>
        </is>
      </c>
      <c r="L1175" t="inlineStr">
        <is>
          <t>12/08/2025 08:16</t>
        </is>
      </c>
      <c r="M1175" t="inlineStr">
        <is>
          <t>None</t>
        </is>
      </c>
      <c r="N1175" t="inlineStr">
        <is>
          <t>&lt;p&gt;&lt;/p&gt;</t>
        </is>
      </c>
      <c r="O1175" t="inlineStr"/>
      <c r="P1175" t="inlineStr">
        <is>
          <t>SA9ST6P0001283612 , Tow Chipper , Forst , ST6p</t>
        </is>
      </c>
      <c r="Q1175" t="inlineStr">
        <is>
          <t>UKPN</t>
        </is>
      </c>
      <c r="R1175" t="b">
        <v>0</v>
      </c>
    </row>
    <row r="1176">
      <c r="A1176" t="inlineStr">
        <is>
          <t>12 Aug 2025 / 7951 Austin Tree Care LTD / Utilities / UKPN</t>
        </is>
      </c>
      <c r="B1176" t="inlineStr">
        <is>
          <t>Utilities</t>
        </is>
      </c>
      <c r="C1176" t="inlineStr">
        <is>
          <t>UKPN</t>
        </is>
      </c>
      <c r="D1176" t="inlineStr">
        <is>
          <t>Kn58xuy , Tipper , VW  , Crafter</t>
        </is>
      </c>
      <c r="E1176" t="inlineStr">
        <is>
          <t>Kn58xuy , Tipper , VW  , Crafter</t>
        </is>
      </c>
      <c r="F1176" t="inlineStr">
        <is>
          <t>Kn58xuy , Tipper , VW  , Crafter</t>
        </is>
      </c>
      <c r="G1176" t="inlineStr">
        <is>
          <t>Jack Austin</t>
        </is>
      </c>
      <c r="H1176" t="inlineStr">
        <is>
          <t>Tipper</t>
        </is>
      </c>
      <c r="I1176" t="inlineStr">
        <is>
          <t>Daily/ Weekly Vehicle Inspection</t>
        </is>
      </c>
      <c r="J1176" t="inlineStr">
        <is>
          <t>N/A</t>
        </is>
      </c>
      <c r="K1176" t="inlineStr">
        <is>
          <t>7951 Austin Tree Care LTD</t>
        </is>
      </c>
      <c r="L1176" t="inlineStr">
        <is>
          <t>12/08/2025 08:17</t>
        </is>
      </c>
      <c r="M1176" t="inlineStr">
        <is>
          <t>None</t>
        </is>
      </c>
      <c r="N1176" t="inlineStr">
        <is>
          <t>&lt;p&gt;&lt;/p&gt;</t>
        </is>
      </c>
      <c r="O1176" t="inlineStr"/>
      <c r="P1176" t="inlineStr">
        <is>
          <t>Kn58xuy , Tipper , VW  , Crafter</t>
        </is>
      </c>
      <c r="Q1176" t="inlineStr">
        <is>
          <t>UKPN</t>
        </is>
      </c>
      <c r="R1176" t="b">
        <v>0</v>
      </c>
    </row>
    <row r="1177">
      <c r="A1177" t="inlineStr">
        <is>
          <t>12 Aug 2025 / 7800 MAC Tree Surgery and Fencing Ltd</t>
        </is>
      </c>
      <c r="B1177" t="inlineStr">
        <is>
          <t>Utilities &amp; Inland Waterways</t>
        </is>
      </c>
      <c r="C1177" t="inlineStr">
        <is>
          <t>UKPN</t>
        </is>
      </c>
      <c r="D1177" t="inlineStr">
        <is>
          <t>AY68DAA , 4x4 , Izuzu , Dmax</t>
        </is>
      </c>
      <c r="E1177" t="inlineStr">
        <is>
          <t>AY68DAA , 4x4 , Izuzu , Dmax</t>
        </is>
      </c>
      <c r="F1177" t="inlineStr">
        <is>
          <t>AY68DAA , 4x4 , Izuzu , Dmax</t>
        </is>
      </c>
      <c r="G1177" t="inlineStr">
        <is>
          <t xml:space="preserve">Lewis mac </t>
        </is>
      </c>
      <c r="H1177" t="inlineStr">
        <is>
          <t>4x4</t>
        </is>
      </c>
      <c r="I1177" t="inlineStr">
        <is>
          <t>Daily/ Weekly Vehicle Inspection</t>
        </is>
      </c>
      <c r="J1177" t="inlineStr">
        <is>
          <t>N/A</t>
        </is>
      </c>
      <c r="K1177" t="inlineStr">
        <is>
          <t>7800 MAC Tree Surgery and Fencing Ltd</t>
        </is>
      </c>
      <c r="L1177" t="inlineStr">
        <is>
          <t>12/08/2025 08:18</t>
        </is>
      </c>
      <c r="M1177" t="inlineStr">
        <is>
          <t>None</t>
        </is>
      </c>
      <c r="N1177" t="inlineStr">
        <is>
          <t>&lt;p&gt;&lt;/p&gt;</t>
        </is>
      </c>
      <c r="O1177" t="inlineStr"/>
      <c r="P1177" t="inlineStr">
        <is>
          <t>AY68DAA , 4x4 , Izuzu , Dmax</t>
        </is>
      </c>
      <c r="Q1177" t="inlineStr">
        <is>
          <t>UKPN</t>
        </is>
      </c>
      <c r="R1177" t="b">
        <v>0</v>
      </c>
    </row>
    <row r="1178">
      <c r="A1178" t="inlineStr">
        <is>
          <t>12 Aug 2025 / 7800 MAC Tree Surgery and Fencing Ltd</t>
        </is>
      </c>
      <c r="B1178" t="inlineStr">
        <is>
          <t>Utilities &amp; Inland Waterways</t>
        </is>
      </c>
      <c r="C1178" t="inlineStr">
        <is>
          <t>UKPN</t>
        </is>
      </c>
      <c r="D1178" t="inlineStr">
        <is>
          <t>205143043-A1 , Tow Chipper , Timberwolf , TW150</t>
        </is>
      </c>
      <c r="E1178" t="inlineStr">
        <is>
          <t>205143043-A1 , Tow Chipper , Timberwolf , TW150</t>
        </is>
      </c>
      <c r="F1178" t="inlineStr">
        <is>
          <t>205143043-A1 , Tow Chipper , Timberwolf , TW150</t>
        </is>
      </c>
      <c r="G1178" t="inlineStr">
        <is>
          <t xml:space="preserve">Lewis mac </t>
        </is>
      </c>
      <c r="H1178" t="inlineStr">
        <is>
          <t>Towed Chipper</t>
        </is>
      </c>
      <c r="I1178" t="inlineStr">
        <is>
          <t>Daily/ Weekly Vehicle Inspection</t>
        </is>
      </c>
      <c r="J1178" t="inlineStr">
        <is>
          <t>N/A</t>
        </is>
      </c>
      <c r="K1178" t="inlineStr">
        <is>
          <t>7800 MAC Tree Surgery and Fencing Ltd</t>
        </is>
      </c>
      <c r="L1178" t="inlineStr">
        <is>
          <t>12/08/2025 08:18</t>
        </is>
      </c>
      <c r="M1178" t="inlineStr">
        <is>
          <t>None</t>
        </is>
      </c>
      <c r="N1178" t="inlineStr">
        <is>
          <t>&lt;p&gt;&lt;/p&gt;</t>
        </is>
      </c>
      <c r="O1178" t="inlineStr"/>
      <c r="P1178" t="inlineStr">
        <is>
          <t>205143043-A1 , Tow Chipper , Timberwolf , TW150</t>
        </is>
      </c>
      <c r="Q1178" t="inlineStr">
        <is>
          <t>UKPN</t>
        </is>
      </c>
      <c r="R1178" t="b">
        <v>0</v>
      </c>
    </row>
    <row r="1179">
      <c r="A1179" t="inlineStr">
        <is>
          <t>11 Aug 2025 / 7800 MAC Tree Surgery and Fencing Ltd</t>
        </is>
      </c>
      <c r="B1179" t="inlineStr">
        <is>
          <t>Utilities &amp; Inland Waterways</t>
        </is>
      </c>
      <c r="C1179" t="inlineStr">
        <is>
          <t>UKPN</t>
        </is>
      </c>
      <c r="D1179" t="inlineStr">
        <is>
          <t>AY68DAA , 4x4 , Izuzu , Dmax</t>
        </is>
      </c>
      <c r="E1179" t="inlineStr">
        <is>
          <t>AY68DAA , 4x4 , Izuzu , Dmax</t>
        </is>
      </c>
      <c r="F1179" t="inlineStr">
        <is>
          <t>AY68DAA , 4x4 , Izuzu , Dmax</t>
        </is>
      </c>
      <c r="G1179" t="inlineStr">
        <is>
          <t xml:space="preserve">Lewis mac </t>
        </is>
      </c>
      <c r="H1179" t="inlineStr">
        <is>
          <t>4x4</t>
        </is>
      </c>
      <c r="I1179" t="inlineStr">
        <is>
          <t>Daily/ Weekly Vehicle Inspection</t>
        </is>
      </c>
      <c r="J1179" t="inlineStr">
        <is>
          <t>N/A</t>
        </is>
      </c>
      <c r="K1179" t="inlineStr">
        <is>
          <t>7800 MAC Tree Surgery and Fencing Ltd</t>
        </is>
      </c>
      <c r="L1179" t="inlineStr">
        <is>
          <t>12/08/2025 08:19</t>
        </is>
      </c>
      <c r="M1179" t="inlineStr">
        <is>
          <t>None</t>
        </is>
      </c>
      <c r="N1179" t="inlineStr">
        <is>
          <t>&lt;p&gt;&lt;/p&gt;</t>
        </is>
      </c>
      <c r="O1179" t="inlineStr"/>
      <c r="P1179" t="inlineStr">
        <is>
          <t>AY68DAA , 4x4 , Izuzu , Dmax</t>
        </is>
      </c>
      <c r="Q1179" t="inlineStr">
        <is>
          <t>UKPN</t>
        </is>
      </c>
      <c r="R1179" t="b">
        <v>0</v>
      </c>
    </row>
    <row r="1180">
      <c r="A1180" t="inlineStr">
        <is>
          <t>12 Aug 2025 / 7951 Austin Tree Care LTD 1 / Utilities / UKPN</t>
        </is>
      </c>
      <c r="B1180" t="inlineStr">
        <is>
          <t>Utilities</t>
        </is>
      </c>
      <c r="C1180" t="inlineStr">
        <is>
          <t>UKPN</t>
        </is>
      </c>
      <c r="D1180" t="inlineStr">
        <is>
          <t>WF61 HZV , 4x4 MEWP , Land Rover , Defender</t>
        </is>
      </c>
      <c r="E1180" t="inlineStr">
        <is>
          <t>WF61 HZV , 4x4 MEWP , Land Rover , Defender</t>
        </is>
      </c>
      <c r="F1180" t="inlineStr">
        <is>
          <t>WF61 HZV , 4x4 MEWP , Land Rover , Defender</t>
        </is>
      </c>
      <c r="G1180" t="inlineStr">
        <is>
          <t xml:space="preserve">James Tasker </t>
        </is>
      </c>
      <c r="H1180" t="inlineStr">
        <is>
          <t>4x4</t>
        </is>
      </c>
      <c r="I1180" t="inlineStr">
        <is>
          <t>Daily/ Weekly Vehicle Inspection</t>
        </is>
      </c>
      <c r="J1180" t="inlineStr">
        <is>
          <t>N/A</t>
        </is>
      </c>
      <c r="K1180" t="inlineStr">
        <is>
          <t>7951 Austin Tree Care LTD 1</t>
        </is>
      </c>
      <c r="L1180" t="inlineStr">
        <is>
          <t>12/08/2025 08:20</t>
        </is>
      </c>
      <c r="M1180" t="inlineStr">
        <is>
          <t>None</t>
        </is>
      </c>
      <c r="N1180" t="inlineStr">
        <is>
          <t>&lt;p&gt;&lt;/p&gt;</t>
        </is>
      </c>
      <c r="O1180" t="inlineStr"/>
      <c r="P1180" t="inlineStr">
        <is>
          <t>WF61 HZV , 4x4 MEWP , Land Rover , Defender</t>
        </is>
      </c>
      <c r="Q1180" t="inlineStr">
        <is>
          <t>UKPN</t>
        </is>
      </c>
      <c r="R1180" t="b">
        <v>0</v>
      </c>
    </row>
    <row r="1181">
      <c r="A1181" t="inlineStr">
        <is>
          <t>12 Aug 2025 / 3988 Valiant Arborist Ltd / Utilities &amp; Inland Waterways / UKPN</t>
        </is>
      </c>
      <c r="B1181" t="inlineStr">
        <is>
          <t>Utilities &amp; Inland Waterways</t>
        </is>
      </c>
      <c r="C1181" t="inlineStr">
        <is>
          <t>UKPN</t>
        </is>
      </c>
      <c r="D1181" t="inlineStr">
        <is>
          <t>4x4 - Isuzu  - D Max  - BT24 YEC</t>
        </is>
      </c>
      <c r="E1181" t="inlineStr">
        <is>
          <t>4x4 - Isuzu  - D Max  - BT24 YEC</t>
        </is>
      </c>
      <c r="F1181" t="inlineStr">
        <is>
          <t>4x4 - Isuzu  - D Max  - BT24 YEC</t>
        </is>
      </c>
      <c r="G1181" t="inlineStr">
        <is>
          <t>Sam knight</t>
        </is>
      </c>
      <c r="H1181" t="inlineStr">
        <is>
          <t>4x4</t>
        </is>
      </c>
      <c r="I1181" t="inlineStr">
        <is>
          <t>Daily/ Weekly Vehicle Inspection</t>
        </is>
      </c>
      <c r="J1181" t="inlineStr">
        <is>
          <t>N/A</t>
        </is>
      </c>
      <c r="K1181" t="inlineStr">
        <is>
          <t>3988 Valiant Arborist Ltd</t>
        </is>
      </c>
      <c r="L1181" t="inlineStr">
        <is>
          <t>12/08/2025 09:15</t>
        </is>
      </c>
      <c r="M1181" t="inlineStr">
        <is>
          <t>None</t>
        </is>
      </c>
      <c r="N1181" t="inlineStr">
        <is>
          <t>&lt;p&gt;&lt;/p&gt;</t>
        </is>
      </c>
      <c r="O1181" t="inlineStr"/>
      <c r="P1181" t="inlineStr">
        <is>
          <t>4x4 - Isuzu  - D Max  - BT24 YEC</t>
        </is>
      </c>
      <c r="Q1181" t="inlineStr">
        <is>
          <t>UKPN</t>
        </is>
      </c>
      <c r="R1181" t="b">
        <v>0</v>
      </c>
    </row>
    <row r="1182">
      <c r="A1182" t="inlineStr">
        <is>
          <t>12 Aug 2025 / Thomas Nandi / Utilities / SSE</t>
        </is>
      </c>
      <c r="B1182" t="inlineStr">
        <is>
          <t>Utilities</t>
        </is>
      </c>
      <c r="C1182" t="inlineStr">
        <is>
          <t>SSE</t>
        </is>
      </c>
      <c r="D1182" t="inlineStr">
        <is>
          <t>Car - Petrol - Nissan  - Juke - DY25 UZD</t>
        </is>
      </c>
      <c r="E1182" t="inlineStr">
        <is>
          <t>Car - Petrol - Nissan  - Juke - DY25 UZD</t>
        </is>
      </c>
      <c r="F1182" t="inlineStr">
        <is>
          <t>Car - Petrol - Nissan  - Juke - DY25 UZD</t>
        </is>
      </c>
      <c r="G1182" t="inlineStr">
        <is>
          <t xml:space="preserve">Tom Nandi </t>
        </is>
      </c>
      <c r="H1182" t="inlineStr">
        <is>
          <t>Car - Petrol</t>
        </is>
      </c>
      <c r="I1182" t="inlineStr">
        <is>
          <t>Daily/ Weekly Vehicle Inspection</t>
        </is>
      </c>
      <c r="J1182" t="inlineStr">
        <is>
          <t>N/A</t>
        </is>
      </c>
      <c r="K1182" t="inlineStr">
        <is>
          <t>Thomas Nandi</t>
        </is>
      </c>
      <c r="L1182" t="inlineStr">
        <is>
          <t>12/08/2025 09:16</t>
        </is>
      </c>
      <c r="M1182" t="inlineStr">
        <is>
          <t>None</t>
        </is>
      </c>
      <c r="N1182" t="inlineStr">
        <is>
          <t>&lt;p&gt;&lt;/p&gt;</t>
        </is>
      </c>
      <c r="O1182" t="inlineStr"/>
      <c r="P1182" t="inlineStr">
        <is>
          <t>Car - Petrol - Nissan  - Juke - DY25 UZD</t>
        </is>
      </c>
      <c r="Q1182" t="inlineStr">
        <is>
          <t>SSE</t>
        </is>
      </c>
      <c r="R1182" t="b">
        <v>0</v>
      </c>
    </row>
    <row r="1183">
      <c r="A1183" t="inlineStr">
        <is>
          <t>12 Aug 2025 / James Gorman / Utilities / UKPN</t>
        </is>
      </c>
      <c r="B1183" t="inlineStr">
        <is>
          <t>Utilities</t>
        </is>
      </c>
      <c r="C1183" t="inlineStr">
        <is>
          <t>UKPN</t>
        </is>
      </c>
      <c r="D1183" t="inlineStr">
        <is>
          <t>Car - Electric - Tesla - Model 3  - AF22 XRA</t>
        </is>
      </c>
      <c r="E1183" t="inlineStr">
        <is>
          <t>Car - Electric - Tesla - Model 3  - AF22 XRA</t>
        </is>
      </c>
      <c r="F1183" t="inlineStr">
        <is>
          <t>Car - Electric - Tesla - Model 3  - AF22 XRA</t>
        </is>
      </c>
      <c r="G1183" t="inlineStr">
        <is>
          <t>James Gorman</t>
        </is>
      </c>
      <c r="H1183" t="inlineStr">
        <is>
          <t>Car - Electric (GC Owned)</t>
        </is>
      </c>
      <c r="I1183" t="inlineStr">
        <is>
          <t>Daily/ Weekly Vehicle Inspection</t>
        </is>
      </c>
      <c r="J1183" t="inlineStr">
        <is>
          <t>N/A</t>
        </is>
      </c>
      <c r="K1183" t="inlineStr">
        <is>
          <t>James Gorman</t>
        </is>
      </c>
      <c r="L1183" t="inlineStr">
        <is>
          <t>12/08/2025 11:16</t>
        </is>
      </c>
      <c r="M1183" t="inlineStr">
        <is>
          <t>None</t>
        </is>
      </c>
      <c r="N1183" t="inlineStr">
        <is>
          <t>&lt;p&gt;&lt;/p&gt;</t>
        </is>
      </c>
      <c r="O1183" t="inlineStr"/>
      <c r="P1183" t="inlineStr">
        <is>
          <t>Car - Electric - Tesla - Model 3  - AF22 XRA</t>
        </is>
      </c>
      <c r="Q1183" t="inlineStr">
        <is>
          <t>UKPN</t>
        </is>
      </c>
      <c r="R1183" t="b">
        <v>0</v>
      </c>
    </row>
    <row r="1184">
      <c r="A1184" t="inlineStr">
        <is>
          <t>13 Aug 2025 / 7889 Tree Tech Suffolk Ltd</t>
        </is>
      </c>
      <c r="B1184" t="inlineStr">
        <is>
          <t>Utilities &amp; Inland Waterways</t>
        </is>
      </c>
      <c r="C1184" t="inlineStr">
        <is>
          <t>UKPN</t>
        </is>
      </c>
      <c r="D1184" t="inlineStr">
        <is>
          <t>Tow Chipper - Jenson - A530L - 5521063948Tipper - Nissan - Navara - NS02TTS4x4 - Isuzu - D-max - NS03 TTS</t>
        </is>
      </c>
      <c r="E1184" t="inlineStr">
        <is>
          <t>Tow Chipper - Jenson - A530L - 5521063948Tipper - Nissan - Navara - NS02TTS4x4 - Isuzu - D-max - NS03 TTS</t>
        </is>
      </c>
      <c r="F1184" t="inlineStr">
        <is>
          <t>Tow Chipper - Jenson - A530L - 5521063948Tipper - Nissan - Navara - NS02TTS4x4 - Isuzu - D-max - NS03 TTS</t>
        </is>
      </c>
      <c r="G1184" t="inlineStr">
        <is>
          <t xml:space="preserve">Danny Appleby Nikki sparrow Danny Appleby </t>
        </is>
      </c>
      <c r="H1184" t="inlineStr">
        <is>
          <t>Towed ChipperTipper4x4</t>
        </is>
      </c>
      <c r="I1184" t="inlineStr">
        <is>
          <t>Daily/ Weekly Vehicle Inspection</t>
        </is>
      </c>
      <c r="J1184" t="inlineStr">
        <is>
          <t>N/A</t>
        </is>
      </c>
      <c r="K1184" t="inlineStr">
        <is>
          <t>7889 Tree Tech Suffolk Ltd</t>
        </is>
      </c>
      <c r="L1184" t="inlineStr">
        <is>
          <t>13/08/2025 07:15</t>
        </is>
      </c>
      <c r="M1184" t="inlineStr">
        <is>
          <t>None</t>
        </is>
      </c>
      <c r="N1184" t="inlineStr">
        <is>
          <t>&lt;p&gt;&lt;/p&gt;</t>
        </is>
      </c>
      <c r="O1184" t="inlineStr">
        <is>
          <t>Select Vehicle:Intermittent fault on chipper lightsConfirm that you have checked this vehicle as per the guidance document and the vehicle is safe and roadworthy:Swapped tyres round on rims. Outer edge now worn
-Select Vehicle:KX65 FCZ. Intermittent fault on side lights.</t>
        </is>
      </c>
      <c r="P1184" t="inlineStr">
        <is>
          <t>Tow Chipper - Jenson - A530L - 5521063948Tipper - Nissan - Navara - NS02TTS4x4 - Isuzu - D-max - NS03 TTS</t>
        </is>
      </c>
      <c r="Q1184" t="inlineStr">
        <is>
          <t>UKPN</t>
        </is>
      </c>
      <c r="R1184" t="b">
        <v>0</v>
      </c>
    </row>
    <row r="1185">
      <c r="A1185" t="inlineStr">
        <is>
          <t>13 Aug 2025 / Thomas Playford / Utilities / UKPN</t>
        </is>
      </c>
      <c r="B1185" t="inlineStr">
        <is>
          <t>Utilities</t>
        </is>
      </c>
      <c r="C1185" t="inlineStr">
        <is>
          <t>UKPN</t>
        </is>
      </c>
      <c r="D1185" t="inlineStr">
        <is>
          <t>SA9ST800000283944 , Tow Chipper , Forst , ST8D - Towed</t>
        </is>
      </c>
      <c r="E1185" t="inlineStr">
        <is>
          <t>SA9ST800000283944 , Tow Chipper , Forst , ST8D - Towed</t>
        </is>
      </c>
      <c r="F1185" t="inlineStr">
        <is>
          <t>SA9ST800000283944 , Tow Chipper , Forst , ST8D - Towed</t>
        </is>
      </c>
      <c r="G1185" t="inlineStr">
        <is>
          <t>Jacob Oram</t>
        </is>
      </c>
      <c r="H1185" t="inlineStr">
        <is>
          <t>Towed Chipper</t>
        </is>
      </c>
      <c r="I1185" t="inlineStr">
        <is>
          <t>Daily/ Weekly Vehicle Inspection</t>
        </is>
      </c>
      <c r="J1185" t="inlineStr">
        <is>
          <t>N/A</t>
        </is>
      </c>
      <c r="K1185" t="inlineStr">
        <is>
          <t>7995 Contour Landscapes Ltd 2</t>
        </is>
      </c>
      <c r="L1185" t="inlineStr">
        <is>
          <t>13/08/2025 08:15</t>
        </is>
      </c>
      <c r="M1185" t="inlineStr">
        <is>
          <t>None</t>
        </is>
      </c>
      <c r="N1185" t="inlineStr">
        <is>
          <t>&lt;p&gt;&lt;/p&gt;</t>
        </is>
      </c>
      <c r="O1185" t="inlineStr"/>
      <c r="P1185" t="inlineStr">
        <is>
          <t>SA9ST800000283944 , Tow Chipper , Forst , ST8D - Towed</t>
        </is>
      </c>
      <c r="Q1185" t="inlineStr">
        <is>
          <t>UKPN</t>
        </is>
      </c>
      <c r="R1185" t="b">
        <v>0</v>
      </c>
    </row>
    <row r="1186">
      <c r="A1186" t="inlineStr">
        <is>
          <t>13 Aug 2025 / Thomas Playford / Utilities / UKPN</t>
        </is>
      </c>
      <c r="B1186" t="inlineStr">
        <is>
          <t>Utilities</t>
        </is>
      </c>
      <c r="C1186" t="inlineStr">
        <is>
          <t>UKPN</t>
        </is>
      </c>
      <c r="D1186" t="inlineStr">
        <is>
          <t>YP24 WRD , Vehicle , Ford , Ranger</t>
        </is>
      </c>
      <c r="E1186" t="inlineStr">
        <is>
          <t>YP24 WRD , Vehicle , Ford , Ranger</t>
        </is>
      </c>
      <c r="F1186" t="inlineStr">
        <is>
          <t>YP24 WRD , Vehicle , Ford , Ranger</t>
        </is>
      </c>
      <c r="G1186" t="inlineStr">
        <is>
          <t>Jacob Oram</t>
        </is>
      </c>
      <c r="H1186" t="inlineStr">
        <is>
          <t>4x4</t>
        </is>
      </c>
      <c r="I1186" t="inlineStr">
        <is>
          <t>Daily/ Weekly Vehicle Inspection</t>
        </is>
      </c>
      <c r="J1186" t="inlineStr">
        <is>
          <t>N/A</t>
        </is>
      </c>
      <c r="K1186" t="inlineStr">
        <is>
          <t>7995 Contour Landscapes Ltd 2</t>
        </is>
      </c>
      <c r="L1186" t="inlineStr">
        <is>
          <t>13/08/2025 08:16</t>
        </is>
      </c>
      <c r="M1186" t="inlineStr">
        <is>
          <t>None</t>
        </is>
      </c>
      <c r="N1186" t="inlineStr">
        <is>
          <t>&lt;p&gt;&lt;/p&gt;</t>
        </is>
      </c>
      <c r="O1186" t="inlineStr"/>
      <c r="P1186" t="inlineStr">
        <is>
          <t>YP24 WRD , Vehicle , Ford , Ranger</t>
        </is>
      </c>
      <c r="Q1186" t="inlineStr">
        <is>
          <t>UKPN</t>
        </is>
      </c>
      <c r="R1186" t="b">
        <v>0</v>
      </c>
    </row>
    <row r="1187">
      <c r="A1187" t="inlineStr">
        <is>
          <t>13 Aug 2025 / 3098 D &amp; R Landscapes (PEND Arb Rail) / Utilities / UKPN</t>
        </is>
      </c>
      <c r="B1187" t="inlineStr">
        <is>
          <t>Utilities</t>
        </is>
      </c>
      <c r="C1187" t="inlineStr">
        <is>
          <t>UKPN</t>
        </is>
      </c>
      <c r="D1187" t="inlineStr">
        <is>
          <t>WA13ZZK , 4x4 , Land Rover  , Defender</t>
        </is>
      </c>
      <c r="E1187" t="inlineStr">
        <is>
          <t>WA13ZZK , 4x4 , Land Rover  , Defender</t>
        </is>
      </c>
      <c r="F1187" t="inlineStr">
        <is>
          <t>WA13ZZK , 4x4 , Land Rover  , Defender</t>
        </is>
      </c>
      <c r="G1187" t="inlineStr">
        <is>
          <t xml:space="preserve">Chris </t>
        </is>
      </c>
      <c r="H1187" t="inlineStr">
        <is>
          <t>Pickup Truck</t>
        </is>
      </c>
      <c r="I1187" t="inlineStr">
        <is>
          <t>Daily/ Weekly Vehicle Inspection</t>
        </is>
      </c>
      <c r="J1187" t="inlineStr">
        <is>
          <t>N/A</t>
        </is>
      </c>
      <c r="K1187" t="inlineStr">
        <is>
          <t>3098 D &amp; R Landscapes</t>
        </is>
      </c>
      <c r="L1187" t="inlineStr">
        <is>
          <t>13/08/2025 08:17</t>
        </is>
      </c>
      <c r="M1187" t="inlineStr">
        <is>
          <t>None</t>
        </is>
      </c>
      <c r="N1187" t="inlineStr">
        <is>
          <t>&lt;p&gt;&lt;/p&gt;</t>
        </is>
      </c>
      <c r="O1187" t="inlineStr"/>
      <c r="P1187" t="inlineStr">
        <is>
          <t>WA13ZZK , 4x4 , Land Rover  , Defender</t>
        </is>
      </c>
      <c r="Q1187" t="inlineStr">
        <is>
          <t>UKPN</t>
        </is>
      </c>
      <c r="R1187" t="b">
        <v>0</v>
      </c>
    </row>
    <row r="1188">
      <c r="A1188" t="inlineStr">
        <is>
          <t>13 Aug 2025 / 7800 MAC Tree Surgery and Fencing Ltd</t>
        </is>
      </c>
      <c r="B1188" t="inlineStr">
        <is>
          <t>Utilities &amp; Inland Waterways</t>
        </is>
      </c>
      <c r="C1188" t="inlineStr">
        <is>
          <t>UKPN</t>
        </is>
      </c>
      <c r="D1188" t="inlineStr">
        <is>
          <t>205143043-A1 , Tow Chipper , Timberwolf , TW150</t>
        </is>
      </c>
      <c r="E1188" t="inlineStr">
        <is>
          <t>205143043-A1 , Tow Chipper , Timberwolf , TW150</t>
        </is>
      </c>
      <c r="F1188" t="inlineStr">
        <is>
          <t>205143043-A1 , Tow Chipper , Timberwolf , TW150</t>
        </is>
      </c>
      <c r="G1188" t="inlineStr">
        <is>
          <t xml:space="preserve">Lewis mac </t>
        </is>
      </c>
      <c r="H1188" t="inlineStr">
        <is>
          <t>Towed Chipper</t>
        </is>
      </c>
      <c r="I1188" t="inlineStr">
        <is>
          <t>Daily/ Weekly Vehicle Inspection</t>
        </is>
      </c>
      <c r="J1188" t="inlineStr">
        <is>
          <t>N/A</t>
        </is>
      </c>
      <c r="K1188" t="inlineStr">
        <is>
          <t>7800 MAC Tree Surgery and Fencing Ltd</t>
        </is>
      </c>
      <c r="L1188" t="inlineStr">
        <is>
          <t>13/08/2025 08:17</t>
        </is>
      </c>
      <c r="M1188" t="inlineStr">
        <is>
          <t>None</t>
        </is>
      </c>
      <c r="N1188" t="inlineStr">
        <is>
          <t>&lt;p&gt;&lt;/p&gt;</t>
        </is>
      </c>
      <c r="O1188" t="inlineStr"/>
      <c r="P1188" t="inlineStr">
        <is>
          <t>205143043-A1 , Tow Chipper , Timberwolf , TW150</t>
        </is>
      </c>
      <c r="Q1188" t="inlineStr">
        <is>
          <t>UKPN</t>
        </is>
      </c>
      <c r="R1188" t="b">
        <v>0</v>
      </c>
    </row>
    <row r="1189">
      <c r="A1189" t="inlineStr">
        <is>
          <t>13 Aug 2025 / 7800 MAC Tree Surgery and Fencing Ltd</t>
        </is>
      </c>
      <c r="B1189" t="inlineStr">
        <is>
          <t>Utilities &amp; Inland Waterways</t>
        </is>
      </c>
      <c r="C1189" t="inlineStr">
        <is>
          <t>UKPN</t>
        </is>
      </c>
      <c r="D1189" t="inlineStr">
        <is>
          <t>AY68DAA , 4x4 , Izuzu , Dmax</t>
        </is>
      </c>
      <c r="E1189" t="inlineStr">
        <is>
          <t>AY68DAA , 4x4 , Izuzu , Dmax</t>
        </is>
      </c>
      <c r="F1189" t="inlineStr">
        <is>
          <t>AY68DAA , 4x4 , Izuzu , Dmax</t>
        </is>
      </c>
      <c r="G1189" t="inlineStr">
        <is>
          <t xml:space="preserve">Lewis mac </t>
        </is>
      </c>
      <c r="H1189" t="inlineStr">
        <is>
          <t>4x4</t>
        </is>
      </c>
      <c r="I1189" t="inlineStr">
        <is>
          <t>Daily/ Weekly Vehicle Inspection</t>
        </is>
      </c>
      <c r="J1189" t="inlineStr">
        <is>
          <t>N/A</t>
        </is>
      </c>
      <c r="K1189" t="inlineStr">
        <is>
          <t>7800 MAC Tree Surgery and Fencing Ltd</t>
        </is>
      </c>
      <c r="L1189" t="inlineStr">
        <is>
          <t>13/08/2025 08:18</t>
        </is>
      </c>
      <c r="M1189" t="inlineStr">
        <is>
          <t>None</t>
        </is>
      </c>
      <c r="N1189" t="inlineStr">
        <is>
          <t>&lt;p&gt;&lt;/p&gt;</t>
        </is>
      </c>
      <c r="O1189" t="inlineStr"/>
      <c r="P1189" t="inlineStr">
        <is>
          <t>AY68DAA , 4x4 , Izuzu , Dmax</t>
        </is>
      </c>
      <c r="Q1189" t="inlineStr">
        <is>
          <t>UKPN</t>
        </is>
      </c>
      <c r="R1189" t="b">
        <v>0</v>
      </c>
    </row>
    <row r="1190">
      <c r="A1190" t="inlineStr">
        <is>
          <t>13 Aug 2025 / 7806 Optimum Tree Services Ltd / Utilities / UKPN</t>
        </is>
      </c>
      <c r="B1190" t="inlineStr">
        <is>
          <t>Utilities</t>
        </is>
      </c>
      <c r="C1190" t="inlineStr">
        <is>
          <t>UKPN</t>
        </is>
      </c>
      <c r="D1190" t="inlineStr">
        <is>
          <t>SA9ST800000283069 , Chipper , Forst , ST 6P</t>
        </is>
      </c>
      <c r="E1190" t="inlineStr">
        <is>
          <t>SA9ST800000283069 , Chipper , Forst , ST 6P</t>
        </is>
      </c>
      <c r="F1190" t="inlineStr">
        <is>
          <t>SA9ST800000283069 , Chipper , Forst , ST 6P</t>
        </is>
      </c>
      <c r="G1190" t="inlineStr">
        <is>
          <t xml:space="preserve">Tommy Frasle </t>
        </is>
      </c>
      <c r="H1190" t="inlineStr">
        <is>
          <t>Towed Chipper</t>
        </is>
      </c>
      <c r="I1190" t="inlineStr">
        <is>
          <t>Daily/ Weekly Vehicle Inspection</t>
        </is>
      </c>
      <c r="J1190" t="inlineStr">
        <is>
          <t>N/A</t>
        </is>
      </c>
      <c r="K1190" t="inlineStr">
        <is>
          <t>7806 Optimum Tree Services Ltd</t>
        </is>
      </c>
      <c r="L1190" t="inlineStr">
        <is>
          <t>13/08/2025 08:18</t>
        </is>
      </c>
      <c r="M1190" t="inlineStr">
        <is>
          <t>None</t>
        </is>
      </c>
      <c r="N1190" t="inlineStr">
        <is>
          <t>&lt;p&gt;&lt;/p&gt;</t>
        </is>
      </c>
      <c r="O1190" t="inlineStr"/>
      <c r="P1190" t="inlineStr">
        <is>
          <t>SA9ST800000283069 , Chipper , Forst , ST 6P</t>
        </is>
      </c>
      <c r="Q1190" t="inlineStr">
        <is>
          <t>UKPN</t>
        </is>
      </c>
      <c r="R1190" t="b">
        <v>0</v>
      </c>
    </row>
    <row r="1191">
      <c r="A1191" t="inlineStr">
        <is>
          <t>13 Aug 2025 / 7806 Optimum Tree Services Ltd / Utilities / UKPN</t>
        </is>
      </c>
      <c r="B1191" t="inlineStr">
        <is>
          <t>Utilities</t>
        </is>
      </c>
      <c r="C1191" t="inlineStr">
        <is>
          <t>UKPN</t>
        </is>
      </c>
      <c r="D1191" t="inlineStr">
        <is>
          <t>WD14EVB , MEWP , Land Rover , Defender</t>
        </is>
      </c>
      <c r="E1191" t="inlineStr">
        <is>
          <t>WD14EVB , MEWP , Land Rover , Defender</t>
        </is>
      </c>
      <c r="F1191" t="inlineStr">
        <is>
          <t>WD14EVB , MEWP , Land Rover , Defender</t>
        </is>
      </c>
      <c r="G1191" t="inlineStr">
        <is>
          <t xml:space="preserve">Tommy Frasle </t>
        </is>
      </c>
      <c r="H1191" t="inlineStr">
        <is>
          <t>4x4</t>
        </is>
      </c>
      <c r="I1191" t="inlineStr">
        <is>
          <t>Daily/ Weekly Vehicle Inspection</t>
        </is>
      </c>
      <c r="J1191" t="inlineStr">
        <is>
          <t>N/A</t>
        </is>
      </c>
      <c r="K1191" t="inlineStr">
        <is>
          <t>7806 Optimum Tree Services Ltd</t>
        </is>
      </c>
      <c r="L1191" t="inlineStr">
        <is>
          <t>13/08/2025 08:19</t>
        </is>
      </c>
      <c r="M1191" t="inlineStr">
        <is>
          <t>None</t>
        </is>
      </c>
      <c r="N1191" t="inlineStr">
        <is>
          <t>&lt;p&gt;&lt;/p&gt;</t>
        </is>
      </c>
      <c r="O1191" t="inlineStr"/>
      <c r="P1191" t="inlineStr">
        <is>
          <t>WD14EVB , MEWP , Land Rover , Defender</t>
        </is>
      </c>
      <c r="Q1191" t="inlineStr">
        <is>
          <t>UKPN</t>
        </is>
      </c>
      <c r="R1191" t="b">
        <v>0</v>
      </c>
    </row>
    <row r="1192">
      <c r="A1192" t="inlineStr">
        <is>
          <t>13 Aug 2025 / Anthony Gale / Utilities / UKPN</t>
        </is>
      </c>
      <c r="B1192" t="inlineStr">
        <is>
          <t>Utilities</t>
        </is>
      </c>
      <c r="C1192" t="inlineStr">
        <is>
          <t>UKPN</t>
        </is>
      </c>
      <c r="D1192" t="inlineStr">
        <is>
          <t>PE07 HGL , Vehicle , Mitsubishi , L200 K74</t>
        </is>
      </c>
      <c r="E1192" t="inlineStr">
        <is>
          <t>PE07 HGL , Vehicle , Mitsubishi , L200 K74</t>
        </is>
      </c>
      <c r="F1192" t="inlineStr">
        <is>
          <t>PE07 HGL , Vehicle , Mitsubishi , L200 K74</t>
        </is>
      </c>
      <c r="G1192" t="inlineStr">
        <is>
          <t>Anthony Gale</t>
        </is>
      </c>
      <c r="H1192" t="inlineStr">
        <is>
          <t>Pickup Truck</t>
        </is>
      </c>
      <c r="I1192" t="inlineStr">
        <is>
          <t>Daily/ Weekly Vehicle Inspection</t>
        </is>
      </c>
      <c r="J1192" t="inlineStr">
        <is>
          <t>N/A</t>
        </is>
      </c>
      <c r="K1192" t="inlineStr">
        <is>
          <t>7996 M G Tree Surgery Ltd 1</t>
        </is>
      </c>
      <c r="L1192" t="inlineStr">
        <is>
          <t>13/08/2025 08:20</t>
        </is>
      </c>
      <c r="M1192" t="inlineStr">
        <is>
          <t>None</t>
        </is>
      </c>
      <c r="N1192" t="inlineStr">
        <is>
          <t>&lt;p&gt;&lt;/p&gt;</t>
        </is>
      </c>
      <c r="O1192" t="inlineStr"/>
      <c r="P1192" t="inlineStr">
        <is>
          <t>PE07 HGL , Vehicle , Mitsubishi , L200 K74</t>
        </is>
      </c>
      <c r="Q1192" t="inlineStr">
        <is>
          <t>UKPN</t>
        </is>
      </c>
      <c r="R1192" t="b">
        <v>0</v>
      </c>
    </row>
    <row r="1193">
      <c r="A1193" t="inlineStr">
        <is>
          <t>13 Aug 2025 / 6617 Ashdown Tree Limited 1 / Utilities / UKPN</t>
        </is>
      </c>
      <c r="B1193" t="inlineStr">
        <is>
          <t>Utilities</t>
        </is>
      </c>
      <c r="C1193" t="inlineStr">
        <is>
          <t>UKPN</t>
        </is>
      </c>
      <c r="D1193" t="inlineStr">
        <is>
          <t>Plant Trailer - Indespension - 211717 - 211717</t>
        </is>
      </c>
      <c r="E1193" t="inlineStr">
        <is>
          <t>Plant Trailer - Indespension - 211717 - 211717</t>
        </is>
      </c>
      <c r="F1193" t="inlineStr">
        <is>
          <t>Plant Trailer - Indespension - 211717 - 211717</t>
        </is>
      </c>
      <c r="G1193" t="inlineStr">
        <is>
          <t xml:space="preserve">Francislesser </t>
        </is>
      </c>
      <c r="H1193" t="inlineStr">
        <is>
          <t>Plant Trailer</t>
        </is>
      </c>
      <c r="I1193" t="inlineStr">
        <is>
          <t>Daily/ Weekly Vehicle Inspection</t>
        </is>
      </c>
      <c r="J1193" t="inlineStr">
        <is>
          <t>N/A</t>
        </is>
      </c>
      <c r="K1193" t="inlineStr">
        <is>
          <t>6617 Ashdown Tree Limited 1</t>
        </is>
      </c>
      <c r="L1193" t="inlineStr">
        <is>
          <t>13/08/2025 08:21</t>
        </is>
      </c>
      <c r="M1193" t="inlineStr">
        <is>
          <t>None</t>
        </is>
      </c>
      <c r="N1193" t="inlineStr">
        <is>
          <t>&lt;p&gt;&lt;/p&gt;</t>
        </is>
      </c>
      <c r="O1193" t="inlineStr"/>
      <c r="P1193" t="inlineStr">
        <is>
          <t>Plant Trailer - Indespension - 211717 - 211717</t>
        </is>
      </c>
      <c r="Q1193" t="inlineStr">
        <is>
          <t>UKPN</t>
        </is>
      </c>
      <c r="R1193" t="b">
        <v>0</v>
      </c>
    </row>
    <row r="1194">
      <c r="A1194" t="inlineStr">
        <is>
          <t>13 Aug 2025 / 7186 Eastwoodbury Tree Services Ltd / Utilities / UKPN</t>
        </is>
      </c>
      <c r="B1194" t="inlineStr">
        <is>
          <t>Utilities</t>
        </is>
      </c>
      <c r="C1194" t="inlineStr">
        <is>
          <t>UKPN</t>
        </is>
      </c>
      <c r="D1194" t="inlineStr">
        <is>
          <t>FN600XM , 4x4 , Land Rover  , Defender</t>
        </is>
      </c>
      <c r="E1194" t="inlineStr">
        <is>
          <t>FN600XM , 4x4 , Land Rover  , Defender</t>
        </is>
      </c>
      <c r="F1194" t="inlineStr">
        <is>
          <t>FN600XM , 4x4 , Land Rover  , Defender</t>
        </is>
      </c>
      <c r="G1194" t="inlineStr">
        <is>
          <t xml:space="preserve">Dan Gilbert </t>
        </is>
      </c>
      <c r="H1194" t="inlineStr">
        <is>
          <t>4x4</t>
        </is>
      </c>
      <c r="I1194" t="inlineStr">
        <is>
          <t>Daily/ Weekly Vehicle Inspection</t>
        </is>
      </c>
      <c r="J1194" t="inlineStr">
        <is>
          <t>N/A</t>
        </is>
      </c>
      <c r="K1194" t="inlineStr">
        <is>
          <t>7186 Eastwoodbury Tree Services Ltd</t>
        </is>
      </c>
      <c r="L1194" t="inlineStr">
        <is>
          <t>13/08/2025 08:22</t>
        </is>
      </c>
      <c r="M1194" t="inlineStr">
        <is>
          <t>None</t>
        </is>
      </c>
      <c r="N1194" t="inlineStr">
        <is>
          <t>&lt;p&gt;&lt;/p&gt;</t>
        </is>
      </c>
      <c r="O1194" t="inlineStr"/>
      <c r="P1194" t="inlineStr">
        <is>
          <t>FN600XM , 4x4 , Land Rover  , Defender</t>
        </is>
      </c>
      <c r="Q1194" t="inlineStr">
        <is>
          <t>UKPN</t>
        </is>
      </c>
      <c r="R1194" t="b">
        <v>0</v>
      </c>
    </row>
    <row r="1195">
      <c r="A1195" t="inlineStr">
        <is>
          <t>13 Aug 2025 / 6617 Ashdown Tree Limited 1 / Utilities / UKPN</t>
        </is>
      </c>
      <c r="B1195" t="inlineStr">
        <is>
          <t>Utilities</t>
        </is>
      </c>
      <c r="C1195" t="inlineStr">
        <is>
          <t>UKPN</t>
        </is>
      </c>
      <c r="D1195" t="inlineStr">
        <is>
          <t>GU11LKD , 4x4 , Land Rover , Defender</t>
        </is>
      </c>
      <c r="E1195" t="inlineStr">
        <is>
          <t>GU11LKD , 4x4 , Land Rover , Defender</t>
        </is>
      </c>
      <c r="F1195" t="inlineStr">
        <is>
          <t>GU11LKD , 4x4 , Land Rover , Defender</t>
        </is>
      </c>
      <c r="G1195" t="inlineStr">
        <is>
          <t xml:space="preserve">Francislesser </t>
        </is>
      </c>
      <c r="H1195" t="inlineStr">
        <is>
          <t>4x4</t>
        </is>
      </c>
      <c r="I1195" t="inlineStr">
        <is>
          <t>Daily/ Weekly Vehicle Inspection</t>
        </is>
      </c>
      <c r="J1195" t="inlineStr">
        <is>
          <t>N/A</t>
        </is>
      </c>
      <c r="K1195" t="inlineStr">
        <is>
          <t>6617 Ashdown Tree Limited 1</t>
        </is>
      </c>
      <c r="L1195" t="inlineStr">
        <is>
          <t>13/08/2025 08:22</t>
        </is>
      </c>
      <c r="M1195" t="inlineStr">
        <is>
          <t>None</t>
        </is>
      </c>
      <c r="N1195" t="inlineStr">
        <is>
          <t>&lt;p&gt;&lt;/p&gt;</t>
        </is>
      </c>
      <c r="O1195" t="inlineStr"/>
      <c r="P1195" t="inlineStr">
        <is>
          <t>GU11LKD , 4x4 , Land Rover , Defender</t>
        </is>
      </c>
      <c r="Q1195" t="inlineStr">
        <is>
          <t>UKPN</t>
        </is>
      </c>
      <c r="R1195" t="b">
        <v>0</v>
      </c>
    </row>
    <row r="1196">
      <c r="A1196" t="inlineStr">
        <is>
          <t>13 Aug 2025 / 7889 Tree Tech Suffolk Ltd</t>
        </is>
      </c>
      <c r="B1196" t="inlineStr">
        <is>
          <t>Utilities &amp; Inland Waterways</t>
        </is>
      </c>
      <c r="C1196" t="inlineStr">
        <is>
          <t>UKPN</t>
        </is>
      </c>
      <c r="D1196" t="inlineStr">
        <is>
          <t>Tow Chipper - Jenson - A530L - 5521063948Tipper - Nissan - Navara - NS02TTS4x4 - Isuzu - D-max - NS03 TTS</t>
        </is>
      </c>
      <c r="E1196" t="inlineStr">
        <is>
          <t>Tow Chipper - Jenson - A530L - 5521063948Tipper - Nissan - Navara - NS02TTS4x4 - Isuzu - D-max - NS03 TTS</t>
        </is>
      </c>
      <c r="F1196" t="inlineStr">
        <is>
          <t>Tow Chipper - Jenson - A530L - 5521063948Tipper - Nissan - Navara - NS02TTS4x4 - Isuzu - D-max - NS03 TTS</t>
        </is>
      </c>
      <c r="G1196" t="inlineStr">
        <is>
          <t xml:space="preserve">Danny Appleby Nikki sparrow Danny Appleby </t>
        </is>
      </c>
      <c r="H1196" t="inlineStr">
        <is>
          <t>Towed ChipperTipper4x4</t>
        </is>
      </c>
      <c r="I1196" t="inlineStr">
        <is>
          <t>Daily/ Weekly Vehicle Inspection</t>
        </is>
      </c>
      <c r="J1196" t="inlineStr">
        <is>
          <t>N/A</t>
        </is>
      </c>
      <c r="K1196" t="inlineStr">
        <is>
          <t>7889 Tree Tech Suffolk Ltd</t>
        </is>
      </c>
      <c r="L1196" t="inlineStr">
        <is>
          <t>13/08/2025 08:23</t>
        </is>
      </c>
      <c r="M1196" t="inlineStr">
        <is>
          <t>None</t>
        </is>
      </c>
      <c r="N1196" t="inlineStr">
        <is>
          <t>&lt;p&gt;&lt;/p&gt;</t>
        </is>
      </c>
      <c r="O1196" t="inlineStr">
        <is>
          <t>Select Vehicle:Intermittent fault on chipper lightsConfirm that you have checked this vehicle as per the guidance document and the vehicle is safe and roadworthy:Swapped tyres round on rims. Outer edge now worn
-Select Vehicle:KX65 FCZ. Intermittent fault on side lights.</t>
        </is>
      </c>
      <c r="P1196" t="inlineStr">
        <is>
          <t>Tow Chipper - Jenson - A530L - 5521063948Tipper - Nissan - Navara - NS02TTS4x4 - Isuzu - D-max - NS03 TTS</t>
        </is>
      </c>
      <c r="Q1196" t="inlineStr">
        <is>
          <t>UKPN</t>
        </is>
      </c>
      <c r="R1196" t="b">
        <v>0</v>
      </c>
    </row>
    <row r="1197">
      <c r="A1197" t="inlineStr">
        <is>
          <t>13 Aug 2025 / 7951 Austin Tree Care LTD 1 / Utilities / UKPN</t>
        </is>
      </c>
      <c r="B1197" t="inlineStr">
        <is>
          <t>Utilities</t>
        </is>
      </c>
      <c r="C1197" t="inlineStr">
        <is>
          <t>UKPN</t>
        </is>
      </c>
      <c r="D1197" t="inlineStr">
        <is>
          <t>Kn58xuy , Tipper , VW  , Crafter</t>
        </is>
      </c>
      <c r="E1197" t="inlineStr">
        <is>
          <t>Kn58xuy , Tipper , VW  , Crafter</t>
        </is>
      </c>
      <c r="F1197" t="inlineStr">
        <is>
          <t>Kn58xuy , Tipper , VW  , Crafter</t>
        </is>
      </c>
      <c r="G1197" t="inlineStr">
        <is>
          <t xml:space="preserve">James Tasker </t>
        </is>
      </c>
      <c r="H1197" t="inlineStr">
        <is>
          <t>Tipper</t>
        </is>
      </c>
      <c r="I1197" t="inlineStr">
        <is>
          <t>Daily/ Weekly Vehicle Inspection</t>
        </is>
      </c>
      <c r="J1197" t="inlineStr">
        <is>
          <t>N/A</t>
        </is>
      </c>
      <c r="K1197" t="inlineStr">
        <is>
          <t>7951 Austin Tree Care LTD 1</t>
        </is>
      </c>
      <c r="L1197" t="inlineStr">
        <is>
          <t>13/08/2025 09:15</t>
        </is>
      </c>
      <c r="M1197" t="inlineStr">
        <is>
          <t>None</t>
        </is>
      </c>
      <c r="N1197" t="inlineStr">
        <is>
          <t>&lt;p&gt;&lt;/p&gt;</t>
        </is>
      </c>
      <c r="O1197" t="inlineStr"/>
      <c r="P1197" t="inlineStr">
        <is>
          <t>Kn58xuy , Tipper , VW  , Crafter</t>
        </is>
      </c>
      <c r="Q1197" t="inlineStr">
        <is>
          <t>UKPN</t>
        </is>
      </c>
      <c r="R1197" t="b">
        <v>0</v>
      </c>
    </row>
    <row r="1198">
      <c r="A1198" t="inlineStr">
        <is>
          <t>13 Aug 2025 / Ian Thompson / Utilities / NGED</t>
        </is>
      </c>
      <c r="B1198" t="inlineStr">
        <is>
          <t>Utilities</t>
        </is>
      </c>
      <c r="C1198" t="inlineStr">
        <is>
          <t>NGED</t>
        </is>
      </c>
      <c r="D1198" t="inlineStr">
        <is>
          <t>WO23PYF , Van , Ford , Ranger</t>
        </is>
      </c>
      <c r="E1198" t="inlineStr">
        <is>
          <t>WO23PYF , Van , Ford , Ranger</t>
        </is>
      </c>
      <c r="F1198" t="inlineStr">
        <is>
          <t>WO23PYF , Van , Ford , Ranger</t>
        </is>
      </c>
      <c r="G1198" t="inlineStr">
        <is>
          <t xml:space="preserve">Ian Thompson </t>
        </is>
      </c>
      <c r="H1198" t="inlineStr">
        <is>
          <t>Tipper</t>
        </is>
      </c>
      <c r="I1198" t="inlineStr">
        <is>
          <t>Daily/ Weekly Vehicle Inspection</t>
        </is>
      </c>
      <c r="J1198" t="inlineStr">
        <is>
          <t>N/A</t>
        </is>
      </c>
      <c r="K1198" t="inlineStr">
        <is>
          <t>Ian Thompson</t>
        </is>
      </c>
      <c r="L1198" t="inlineStr">
        <is>
          <t>13/08/2025 13:18</t>
        </is>
      </c>
      <c r="M1198" t="inlineStr">
        <is>
          <t>None</t>
        </is>
      </c>
      <c r="N1198" t="inlineStr">
        <is>
          <t>&lt;p&gt;&lt;/p&gt;</t>
        </is>
      </c>
      <c r="O1198" t="inlineStr"/>
      <c r="P1198" t="inlineStr">
        <is>
          <t>WO23PYF , Van , Ford , Ranger</t>
        </is>
      </c>
      <c r="Q1198" t="inlineStr">
        <is>
          <t>NGED</t>
        </is>
      </c>
      <c r="R1198" t="b">
        <v>0</v>
      </c>
    </row>
    <row r="1199">
      <c r="A1199" t="inlineStr">
        <is>
          <t>14 Aug 2025 / Anthony Gale / Utilities / UKPN</t>
        </is>
      </c>
      <c r="B1199" t="inlineStr">
        <is>
          <t>Utilities</t>
        </is>
      </c>
      <c r="C1199" t="inlineStr">
        <is>
          <t>UKPN</t>
        </is>
      </c>
      <c r="D1199" t="inlineStr">
        <is>
          <t>PE07 HGL , Vehicle , Mitsubishi , L200 K74</t>
        </is>
      </c>
      <c r="E1199" t="inlineStr">
        <is>
          <t>PE07 HGL , Vehicle , Mitsubishi , L200 K74</t>
        </is>
      </c>
      <c r="F1199" t="inlineStr">
        <is>
          <t>PE07 HGL , Vehicle , Mitsubishi , L200 K74</t>
        </is>
      </c>
      <c r="G1199" t="inlineStr">
        <is>
          <t>Anthony Gale</t>
        </is>
      </c>
      <c r="H1199" t="inlineStr">
        <is>
          <t>Pickup Truck</t>
        </is>
      </c>
      <c r="I1199" t="inlineStr">
        <is>
          <t>Daily/ Weekly Vehicle Inspection</t>
        </is>
      </c>
      <c r="J1199" t="inlineStr">
        <is>
          <t>N/A</t>
        </is>
      </c>
      <c r="K1199" t="inlineStr">
        <is>
          <t>7996 M G Tree Surgery Ltd 1</t>
        </is>
      </c>
      <c r="L1199" t="inlineStr">
        <is>
          <t>14/08/2025 07:15</t>
        </is>
      </c>
      <c r="M1199" t="inlineStr">
        <is>
          <t>None</t>
        </is>
      </c>
      <c r="N1199" t="inlineStr">
        <is>
          <t>&lt;p&gt;&lt;/p&gt;</t>
        </is>
      </c>
      <c r="O1199" t="inlineStr"/>
      <c r="P1199" t="inlineStr">
        <is>
          <t>PE07 HGL , Vehicle , Mitsubishi , L200 K74</t>
        </is>
      </c>
      <c r="Q1199" t="inlineStr">
        <is>
          <t>UKPN</t>
        </is>
      </c>
      <c r="R1199" t="b">
        <v>0</v>
      </c>
    </row>
    <row r="1200">
      <c r="A1200" t="inlineStr">
        <is>
          <t>14 Aug 2025 / 7806 Optimum Tree Services Ltd / Utilities / UKPN</t>
        </is>
      </c>
      <c r="B1200" t="inlineStr">
        <is>
          <t>Utilities</t>
        </is>
      </c>
      <c r="C1200" t="inlineStr">
        <is>
          <t>UKPN</t>
        </is>
      </c>
      <c r="D1200" t="inlineStr">
        <is>
          <t>SA9ST800000283069 , Chipper , Forst , ST 6P</t>
        </is>
      </c>
      <c r="E1200" t="inlineStr">
        <is>
          <t>SA9ST800000283069 , Chipper , Forst , ST 6P</t>
        </is>
      </c>
      <c r="F1200" t="inlineStr">
        <is>
          <t>SA9ST800000283069 , Chipper , Forst , ST 6P</t>
        </is>
      </c>
      <c r="G1200" t="inlineStr">
        <is>
          <t xml:space="preserve">Abraham Davies </t>
        </is>
      </c>
      <c r="H1200" t="inlineStr">
        <is>
          <t>Towed Chipper</t>
        </is>
      </c>
      <c r="I1200" t="inlineStr">
        <is>
          <t>Daily/ Weekly Vehicle Inspection</t>
        </is>
      </c>
      <c r="J1200" t="inlineStr">
        <is>
          <t>N/A</t>
        </is>
      </c>
      <c r="K1200" t="inlineStr">
        <is>
          <t>7806 Optimum Tree Services Ltd</t>
        </is>
      </c>
      <c r="L1200" t="inlineStr">
        <is>
          <t>14/08/2025 07:16</t>
        </is>
      </c>
      <c r="M1200" t="inlineStr">
        <is>
          <t>None</t>
        </is>
      </c>
      <c r="N1200" t="inlineStr">
        <is>
          <t>&lt;p&gt;&lt;/p&gt;</t>
        </is>
      </c>
      <c r="O1200" t="inlineStr"/>
      <c r="P1200" t="inlineStr">
        <is>
          <t>SA9ST800000283069 , Chipper , Forst , ST 6P</t>
        </is>
      </c>
      <c r="Q1200" t="inlineStr">
        <is>
          <t>UKPN</t>
        </is>
      </c>
      <c r="R1200" t="b">
        <v>0</v>
      </c>
    </row>
    <row r="1201">
      <c r="A1201" t="inlineStr">
        <is>
          <t>14 Aug 2025 / 7806 Optimum Tree Services Ltd / Utilities / UKPN</t>
        </is>
      </c>
      <c r="B1201" t="inlineStr">
        <is>
          <t>Utilities</t>
        </is>
      </c>
      <c r="C1201" t="inlineStr">
        <is>
          <t>UKPN</t>
        </is>
      </c>
      <c r="D1201" t="inlineStr">
        <is>
          <t>WD14EVB , MEWP , Land Rover , Defender</t>
        </is>
      </c>
      <c r="E1201" t="inlineStr">
        <is>
          <t>WD14EVB , MEWP , Land Rover , Defender</t>
        </is>
      </c>
      <c r="F1201" t="inlineStr">
        <is>
          <t>WD14EVB , MEWP , Land Rover , Defender</t>
        </is>
      </c>
      <c r="G1201" t="inlineStr">
        <is>
          <t xml:space="preserve">Abraham Davies </t>
        </is>
      </c>
      <c r="H1201" t="inlineStr">
        <is>
          <t>4x4</t>
        </is>
      </c>
      <c r="I1201" t="inlineStr">
        <is>
          <t>Daily/ Weekly Vehicle Inspection</t>
        </is>
      </c>
      <c r="J1201" t="inlineStr">
        <is>
          <t>N/A</t>
        </is>
      </c>
      <c r="K1201" t="inlineStr">
        <is>
          <t>7806 Optimum Tree Services Ltd</t>
        </is>
      </c>
      <c r="L1201" t="inlineStr">
        <is>
          <t>14/08/2025 07:16</t>
        </is>
      </c>
      <c r="M1201" t="inlineStr">
        <is>
          <t>None</t>
        </is>
      </c>
      <c r="N1201" t="inlineStr">
        <is>
          <t>&lt;p&gt;&lt;/p&gt;</t>
        </is>
      </c>
      <c r="O1201" t="inlineStr"/>
      <c r="P1201" t="inlineStr">
        <is>
          <t>WD14EVB , MEWP , Land Rover , Defender</t>
        </is>
      </c>
      <c r="Q1201" t="inlineStr">
        <is>
          <t>UKPN</t>
        </is>
      </c>
      <c r="R1201" t="b">
        <v>0</v>
      </c>
    </row>
    <row r="1202">
      <c r="A1202" t="inlineStr">
        <is>
          <t>14 Aug 2025 / 7889 Tree Tech Suffolk Ltd</t>
        </is>
      </c>
      <c r="B1202" t="inlineStr">
        <is>
          <t>Utilities &amp; Inland Waterways</t>
        </is>
      </c>
      <c r="C1202" t="inlineStr">
        <is>
          <t>UKPN</t>
        </is>
      </c>
      <c r="D1202" t="inlineStr">
        <is>
          <t>Tow Chipper - Jenson - A530L - 5521063948Tipper - Nissan - Navara - NS02TTS4x4 - Isuzu - D-max - NS03 TTS</t>
        </is>
      </c>
      <c r="E1202" t="inlineStr">
        <is>
          <t>Tow Chipper - Jenson - A530L - 5521063948Tipper - Nissan - Navara - NS02TTS4x4 - Isuzu - D-max - NS03 TTS</t>
        </is>
      </c>
      <c r="F1202" t="inlineStr">
        <is>
          <t>Tow Chipper - Jenson - A530L - 5521063948Tipper - Nissan - Navara - NS02TTS4x4 - Isuzu - D-max - NS03 TTS</t>
        </is>
      </c>
      <c r="G1202" t="inlineStr">
        <is>
          <t xml:space="preserve">Danny Appleby Nikki sparrow Danny Appleby </t>
        </is>
      </c>
      <c r="H1202" t="inlineStr">
        <is>
          <t>Towed ChipperTipper4x4</t>
        </is>
      </c>
      <c r="I1202" t="inlineStr">
        <is>
          <t>Daily/ Weekly Vehicle Inspection</t>
        </is>
      </c>
      <c r="J1202" t="inlineStr">
        <is>
          <t>N/A</t>
        </is>
      </c>
      <c r="K1202" t="inlineStr">
        <is>
          <t>7889 Tree Tech Suffolk Ltd</t>
        </is>
      </c>
      <c r="L1202" t="inlineStr">
        <is>
          <t>14/08/2025 07:20</t>
        </is>
      </c>
      <c r="M1202" t="inlineStr">
        <is>
          <t>None</t>
        </is>
      </c>
      <c r="N1202" t="inlineStr">
        <is>
          <t>&lt;p&gt;&lt;/p&gt;</t>
        </is>
      </c>
      <c r="O1202" t="inlineStr">
        <is>
          <t>Select Vehicle:Intermittent fault on chipper lightsConfirm that you have checked this vehicle as per the guidance document and the vehicle is safe and roadworthy:Swapped tyres round on rims. Outer edge now worn
-Select Vehicle:KX65 FCZ. Intermittent fault on side lights.</t>
        </is>
      </c>
      <c r="P1202" t="inlineStr">
        <is>
          <t>Tow Chipper - Jenson - A530L - 5521063948Tipper - Nissan - Navara - NS02TTS4x4 - Isuzu - D-max - NS03 TTS</t>
        </is>
      </c>
      <c r="Q1202" t="inlineStr">
        <is>
          <t>UKPN</t>
        </is>
      </c>
      <c r="R1202" t="b">
        <v>0</v>
      </c>
    </row>
    <row r="1203">
      <c r="A1203" t="inlineStr">
        <is>
          <t>14 Aug 2025 / 6617 Ashdown Tree Limited 1 / Utilities / UKPN</t>
        </is>
      </c>
      <c r="B1203" t="inlineStr">
        <is>
          <t>Utilities</t>
        </is>
      </c>
      <c r="C1203" t="inlineStr">
        <is>
          <t>UKPN</t>
        </is>
      </c>
      <c r="D1203" t="inlineStr">
        <is>
          <t>SBXTW35A6LS209184 , Tow Chipper , Timberwolf , TW230DHB</t>
        </is>
      </c>
      <c r="E1203" t="inlineStr">
        <is>
          <t>SBXTW35A6LS209184 , Tow Chipper , Timberwolf , TW230DHB</t>
        </is>
      </c>
      <c r="F1203" t="inlineStr">
        <is>
          <t>SBXTW35A6LS209184 , Tow Chipper , Timberwolf , TW230DHB</t>
        </is>
      </c>
      <c r="G1203" t="inlineStr">
        <is>
          <t xml:space="preserve">Francislesser </t>
        </is>
      </c>
      <c r="H1203" t="inlineStr">
        <is>
          <t>Towed Chipper</t>
        </is>
      </c>
      <c r="I1203" t="inlineStr">
        <is>
          <t>Daily/ Weekly Vehicle Inspection</t>
        </is>
      </c>
      <c r="J1203" t="inlineStr">
        <is>
          <t>N/A</t>
        </is>
      </c>
      <c r="K1203" t="inlineStr">
        <is>
          <t>6617 Ashdown Tree Limited 1</t>
        </is>
      </c>
      <c r="L1203" t="inlineStr">
        <is>
          <t>14/08/2025 08:15</t>
        </is>
      </c>
      <c r="M1203" t="inlineStr">
        <is>
          <t>None</t>
        </is>
      </c>
      <c r="N1203" t="inlineStr">
        <is>
          <t>&lt;p&gt;&lt;/p&gt;</t>
        </is>
      </c>
      <c r="O1203" t="inlineStr"/>
      <c r="P1203" t="inlineStr">
        <is>
          <t>SBXTW35A6LS209184 , Tow Chipper , Timberwolf , TW230DHB</t>
        </is>
      </c>
      <c r="Q1203" t="inlineStr">
        <is>
          <t>UKPN</t>
        </is>
      </c>
      <c r="R1203" t="b">
        <v>0</v>
      </c>
    </row>
    <row r="1204">
      <c r="A1204" t="inlineStr">
        <is>
          <t>14 Aug 2025 / 6617 Ashdown Tree Limited 1 / Utilities / UKPN</t>
        </is>
      </c>
      <c r="B1204" t="inlineStr">
        <is>
          <t>Utilities</t>
        </is>
      </c>
      <c r="C1204" t="inlineStr">
        <is>
          <t>UKPN</t>
        </is>
      </c>
      <c r="D1204" t="inlineStr">
        <is>
          <t>GU11LKD , 4x4 , Land Rover , Defender</t>
        </is>
      </c>
      <c r="E1204" t="inlineStr">
        <is>
          <t>GU11LKD , 4x4 , Land Rover , Defender</t>
        </is>
      </c>
      <c r="F1204" t="inlineStr">
        <is>
          <t>GU11LKD , 4x4 , Land Rover , Defender</t>
        </is>
      </c>
      <c r="G1204" t="inlineStr">
        <is>
          <t xml:space="preserve">Francislesser </t>
        </is>
      </c>
      <c r="H1204" t="inlineStr">
        <is>
          <t>4x4</t>
        </is>
      </c>
      <c r="I1204" t="inlineStr">
        <is>
          <t>Daily/ Weekly Vehicle Inspection</t>
        </is>
      </c>
      <c r="J1204" t="inlineStr">
        <is>
          <t>N/A</t>
        </is>
      </c>
      <c r="K1204" t="inlineStr">
        <is>
          <t>6617 Ashdown Tree Limited 1</t>
        </is>
      </c>
      <c r="L1204" t="inlineStr">
        <is>
          <t>14/08/2025 08:16</t>
        </is>
      </c>
      <c r="M1204" t="inlineStr">
        <is>
          <t>None</t>
        </is>
      </c>
      <c r="N1204" t="inlineStr">
        <is>
          <t>&lt;p&gt;&lt;/p&gt;</t>
        </is>
      </c>
      <c r="O1204" t="inlineStr"/>
      <c r="P1204" t="inlineStr">
        <is>
          <t>GU11LKD , 4x4 , Land Rover , Defender</t>
        </is>
      </c>
      <c r="Q1204" t="inlineStr">
        <is>
          <t>UKPN</t>
        </is>
      </c>
      <c r="R1204" t="b">
        <v>0</v>
      </c>
    </row>
    <row r="1205">
      <c r="A1205" t="inlineStr">
        <is>
          <t>14 Aug 2025 / 7800 MAC Tree Surgery and Fencing Ltd</t>
        </is>
      </c>
      <c r="B1205" t="inlineStr">
        <is>
          <t>Utilities &amp; Inland Waterways</t>
        </is>
      </c>
      <c r="C1205" t="inlineStr">
        <is>
          <t>UKPN</t>
        </is>
      </c>
      <c r="D1205" t="inlineStr">
        <is>
          <t>205143043-A1 , Tow Chipper , Timberwolf , TW150</t>
        </is>
      </c>
      <c r="E1205" t="inlineStr">
        <is>
          <t>205143043-A1 , Tow Chipper , Timberwolf , TW150</t>
        </is>
      </c>
      <c r="F1205" t="inlineStr">
        <is>
          <t>205143043-A1 , Tow Chipper , Timberwolf , TW150</t>
        </is>
      </c>
      <c r="G1205" t="inlineStr">
        <is>
          <t xml:space="preserve">Lewis mac </t>
        </is>
      </c>
      <c r="H1205" t="inlineStr">
        <is>
          <t>Towed Chipper</t>
        </is>
      </c>
      <c r="I1205" t="inlineStr">
        <is>
          <t>Daily/ Weekly Vehicle Inspection</t>
        </is>
      </c>
      <c r="J1205" t="inlineStr">
        <is>
          <t>N/A</t>
        </is>
      </c>
      <c r="K1205" t="inlineStr">
        <is>
          <t>7800 MAC Tree Surgery and Fencing Ltd</t>
        </is>
      </c>
      <c r="L1205" t="inlineStr">
        <is>
          <t>14/08/2025 08:17</t>
        </is>
      </c>
      <c r="M1205" t="inlineStr">
        <is>
          <t>None</t>
        </is>
      </c>
      <c r="N1205" t="inlineStr">
        <is>
          <t>&lt;p&gt;&lt;/p&gt;</t>
        </is>
      </c>
      <c r="O1205" t="inlineStr"/>
      <c r="P1205" t="inlineStr">
        <is>
          <t>205143043-A1 , Tow Chipper , Timberwolf , TW150</t>
        </is>
      </c>
      <c r="Q1205" t="inlineStr">
        <is>
          <t>UKPN</t>
        </is>
      </c>
      <c r="R1205" t="b">
        <v>0</v>
      </c>
    </row>
    <row r="1206">
      <c r="A1206" t="inlineStr">
        <is>
          <t>14 Aug 2025 / 7800 MAC Tree Surgery and Fencing Ltd</t>
        </is>
      </c>
      <c r="B1206" t="inlineStr">
        <is>
          <t>Utilities &amp; Inland Waterways</t>
        </is>
      </c>
      <c r="C1206" t="inlineStr">
        <is>
          <t>UKPN</t>
        </is>
      </c>
      <c r="D1206" t="inlineStr">
        <is>
          <t>AY68DAA , 4x4 , Izuzu , Dmax</t>
        </is>
      </c>
      <c r="E1206" t="inlineStr">
        <is>
          <t>AY68DAA , 4x4 , Izuzu , Dmax</t>
        </is>
      </c>
      <c r="F1206" t="inlineStr">
        <is>
          <t>AY68DAA , 4x4 , Izuzu , Dmax</t>
        </is>
      </c>
      <c r="G1206" t="inlineStr">
        <is>
          <t xml:space="preserve">Lewis mac </t>
        </is>
      </c>
      <c r="H1206" t="inlineStr">
        <is>
          <t>4x4</t>
        </is>
      </c>
      <c r="I1206" t="inlineStr">
        <is>
          <t>Daily/ Weekly Vehicle Inspection</t>
        </is>
      </c>
      <c r="J1206" t="inlineStr">
        <is>
          <t>N/A</t>
        </is>
      </c>
      <c r="K1206" t="inlineStr">
        <is>
          <t>7800 MAC Tree Surgery and Fencing Ltd</t>
        </is>
      </c>
      <c r="L1206" t="inlineStr">
        <is>
          <t>14/08/2025 08:17</t>
        </is>
      </c>
      <c r="M1206" t="inlineStr">
        <is>
          <t>None</t>
        </is>
      </c>
      <c r="N1206" t="inlineStr">
        <is>
          <t>&lt;p&gt;&lt;/p&gt;</t>
        </is>
      </c>
      <c r="O1206" t="inlineStr"/>
      <c r="P1206" t="inlineStr">
        <is>
          <t>AY68DAA , 4x4 , Izuzu , Dmax</t>
        </is>
      </c>
      <c r="Q1206" t="inlineStr">
        <is>
          <t>UKPN</t>
        </is>
      </c>
      <c r="R1206" t="b">
        <v>0</v>
      </c>
    </row>
    <row r="1207">
      <c r="A1207" t="inlineStr">
        <is>
          <t>14 Aug 2025 / 7951 Austin Tree Care LTD 1 / Utilities / UKPN</t>
        </is>
      </c>
      <c r="B1207" t="inlineStr">
        <is>
          <t>Utilities</t>
        </is>
      </c>
      <c r="C1207" t="inlineStr">
        <is>
          <t>UKPN</t>
        </is>
      </c>
      <c r="D1207" t="inlineStr">
        <is>
          <t>Kn58xuy , Tipper , VW  , Crafter</t>
        </is>
      </c>
      <c r="E1207" t="inlineStr">
        <is>
          <t>Kn58xuy , Tipper , VW  , Crafter</t>
        </is>
      </c>
      <c r="F1207" t="inlineStr">
        <is>
          <t>Kn58xuy , Tipper , VW  , Crafter</t>
        </is>
      </c>
      <c r="G1207" t="inlineStr">
        <is>
          <t xml:space="preserve">James Tasker </t>
        </is>
      </c>
      <c r="H1207" t="inlineStr">
        <is>
          <t>Tipper</t>
        </is>
      </c>
      <c r="I1207" t="inlineStr">
        <is>
          <t>Daily/ Weekly Vehicle Inspection</t>
        </is>
      </c>
      <c r="J1207" t="inlineStr">
        <is>
          <t>N/A</t>
        </is>
      </c>
      <c r="K1207" t="inlineStr">
        <is>
          <t>7951 Austin Tree Care LTD 1</t>
        </is>
      </c>
      <c r="L1207" t="inlineStr">
        <is>
          <t>14/08/2025 08:18</t>
        </is>
      </c>
      <c r="M1207" t="inlineStr">
        <is>
          <t>None</t>
        </is>
      </c>
      <c r="N1207" t="inlineStr">
        <is>
          <t>&lt;p&gt;&lt;/p&gt;</t>
        </is>
      </c>
      <c r="O1207" t="inlineStr"/>
      <c r="P1207" t="inlineStr">
        <is>
          <t>Kn58xuy , Tipper , VW  , Crafter</t>
        </is>
      </c>
      <c r="Q1207" t="inlineStr">
        <is>
          <t>UKPN</t>
        </is>
      </c>
      <c r="R1207" t="b">
        <v>0</v>
      </c>
    </row>
    <row r="1208">
      <c r="A1208" t="inlineStr">
        <is>
          <t>14 Aug 2025 / Thomas Playford / Utilities / UKPN</t>
        </is>
      </c>
      <c r="B1208" t="inlineStr">
        <is>
          <t>Utilities</t>
        </is>
      </c>
      <c r="C1208" t="inlineStr">
        <is>
          <t>UKPN</t>
        </is>
      </c>
      <c r="D1208" t="inlineStr">
        <is>
          <t>SA9ST800000283944 , Tow Chipper , Forst , ST8D - Towed</t>
        </is>
      </c>
      <c r="E1208" t="inlineStr">
        <is>
          <t>SA9ST800000283944 , Tow Chipper , Forst , ST8D - Towed</t>
        </is>
      </c>
      <c r="F1208" t="inlineStr">
        <is>
          <t>SA9ST800000283944 , Tow Chipper , Forst , ST8D - Towed</t>
        </is>
      </c>
      <c r="G1208" t="inlineStr">
        <is>
          <t>Jacob Oram</t>
        </is>
      </c>
      <c r="H1208" t="inlineStr">
        <is>
          <t>Towed Chipper</t>
        </is>
      </c>
      <c r="I1208" t="inlineStr">
        <is>
          <t>Daily/ Weekly Vehicle Inspection</t>
        </is>
      </c>
      <c r="J1208" t="inlineStr">
        <is>
          <t>N/A</t>
        </is>
      </c>
      <c r="K1208" t="inlineStr">
        <is>
          <t>7995 Contour Landscapes Ltd 2</t>
        </is>
      </c>
      <c r="L1208" t="inlineStr">
        <is>
          <t>14/08/2025 09:15</t>
        </is>
      </c>
      <c r="M1208" t="inlineStr">
        <is>
          <t>None</t>
        </is>
      </c>
      <c r="N1208" t="inlineStr">
        <is>
          <t>&lt;p&gt;&lt;/p&gt;</t>
        </is>
      </c>
      <c r="O1208" t="inlineStr"/>
      <c r="P1208" t="inlineStr">
        <is>
          <t>SA9ST800000283944 , Tow Chipper , Forst , ST8D - Towed</t>
        </is>
      </c>
      <c r="Q1208" t="inlineStr">
        <is>
          <t>UKPN</t>
        </is>
      </c>
      <c r="R1208" t="b">
        <v>0</v>
      </c>
    </row>
    <row r="1209">
      <c r="A1209" t="inlineStr">
        <is>
          <t>14 Aug 2025 / 3098 D &amp; R Landscapes (PEND Arb Rail) / Utilities / UKPN</t>
        </is>
      </c>
      <c r="B1209" t="inlineStr">
        <is>
          <t>Utilities</t>
        </is>
      </c>
      <c r="C1209" t="inlineStr">
        <is>
          <t>UKPN</t>
        </is>
      </c>
      <c r="D1209" t="inlineStr">
        <is>
          <t>DE68XHA , Tipper , Isuzu , Grafter</t>
        </is>
      </c>
      <c r="E1209" t="inlineStr">
        <is>
          <t>DE68XHA , Tipper , Isuzu , Grafter</t>
        </is>
      </c>
      <c r="F1209" t="inlineStr">
        <is>
          <t>DE68XHA , Tipper , Isuzu , Grafter</t>
        </is>
      </c>
      <c r="G1209" t="inlineStr">
        <is>
          <t>Chris</t>
        </is>
      </c>
      <c r="H1209" t="inlineStr">
        <is>
          <t>Pickup Truck</t>
        </is>
      </c>
      <c r="I1209" t="inlineStr">
        <is>
          <t>Daily/ Weekly Vehicle Inspection</t>
        </is>
      </c>
      <c r="J1209" t="inlineStr">
        <is>
          <t>N/A</t>
        </is>
      </c>
      <c r="K1209" t="inlineStr">
        <is>
          <t>3098 D &amp; R Landscapes</t>
        </is>
      </c>
      <c r="L1209" t="inlineStr">
        <is>
          <t>14/08/2025 09:16</t>
        </is>
      </c>
      <c r="M1209" t="inlineStr">
        <is>
          <t>None</t>
        </is>
      </c>
      <c r="N1209" t="inlineStr">
        <is>
          <t>&lt;p&gt;&lt;/p&gt;</t>
        </is>
      </c>
      <c r="O1209" t="inlineStr"/>
      <c r="P1209" t="inlineStr">
        <is>
          <t>DE68XHA , Tipper , Isuzu , Grafter</t>
        </is>
      </c>
      <c r="Q1209" t="inlineStr">
        <is>
          <t>UKPN</t>
        </is>
      </c>
      <c r="R1209" t="b">
        <v>0</v>
      </c>
    </row>
    <row r="1210">
      <c r="A1210" t="inlineStr">
        <is>
          <t>14 Aug 2025 / 3098 D &amp; R Landscapes (PEND Arb Rail) / Utilities / UKPN</t>
        </is>
      </c>
      <c r="B1210" t="inlineStr">
        <is>
          <t>Utilities</t>
        </is>
      </c>
      <c r="C1210" t="inlineStr">
        <is>
          <t>UKPN</t>
        </is>
      </c>
      <c r="D1210" t="inlineStr">
        <is>
          <t>WA13ZZK , 4x4 , Land Rover  , Defender</t>
        </is>
      </c>
      <c r="E1210" t="inlineStr">
        <is>
          <t>WA13ZZK , 4x4 , Land Rover  , Defender</t>
        </is>
      </c>
      <c r="F1210" t="inlineStr">
        <is>
          <t>WA13ZZK , 4x4 , Land Rover  , Defender</t>
        </is>
      </c>
      <c r="G1210" t="inlineStr">
        <is>
          <t xml:space="preserve">Dylan </t>
        </is>
      </c>
      <c r="H1210" t="inlineStr">
        <is>
          <t>Pickup Truck</t>
        </is>
      </c>
      <c r="I1210" t="inlineStr">
        <is>
          <t>Daily/ Weekly Vehicle Inspection</t>
        </is>
      </c>
      <c r="J1210" t="inlineStr">
        <is>
          <t>N/A</t>
        </is>
      </c>
      <c r="K1210" t="inlineStr">
        <is>
          <t>3098 D &amp; R Landscapes</t>
        </is>
      </c>
      <c r="L1210" t="inlineStr">
        <is>
          <t>14/08/2025 09:17</t>
        </is>
      </c>
      <c r="M1210" t="inlineStr">
        <is>
          <t>None</t>
        </is>
      </c>
      <c r="N1210" t="inlineStr">
        <is>
          <t>&lt;p&gt;&lt;/p&gt;</t>
        </is>
      </c>
      <c r="O1210" t="inlineStr"/>
      <c r="P1210" t="inlineStr">
        <is>
          <t>WA13ZZK , 4x4 , Land Rover  , Defender</t>
        </is>
      </c>
      <c r="Q1210" t="inlineStr">
        <is>
          <t>UKPN</t>
        </is>
      </c>
      <c r="R1210" t="b">
        <v>0</v>
      </c>
    </row>
    <row r="1211">
      <c r="A1211" t="inlineStr">
        <is>
          <t>14 Aug 2025 / 3098 D &amp; R Landscapes (PEND Arb Rail) / Utilities / UKPN</t>
        </is>
      </c>
      <c r="B1211" t="inlineStr">
        <is>
          <t>Utilities</t>
        </is>
      </c>
      <c r="C1211" t="inlineStr">
        <is>
          <t>UKPN</t>
        </is>
      </c>
      <c r="D1211" t="inlineStr">
        <is>
          <t>Vehicle - Nissan - Navara - BT20 GNZ</t>
        </is>
      </c>
      <c r="E1211" t="inlineStr">
        <is>
          <t>Vehicle - Nissan - Navara - BT20 GNZ</t>
        </is>
      </c>
      <c r="F1211" t="inlineStr">
        <is>
          <t>Vehicle - Nissan - Navara - BT20 GNZ</t>
        </is>
      </c>
      <c r="G1211" t="inlineStr">
        <is>
          <t>Jason</t>
        </is>
      </c>
      <c r="H1211" t="inlineStr">
        <is>
          <t>Pickup Truck</t>
        </is>
      </c>
      <c r="I1211" t="inlineStr">
        <is>
          <t>Daily/ Weekly Vehicle Inspection</t>
        </is>
      </c>
      <c r="J1211" t="inlineStr">
        <is>
          <t>N/A</t>
        </is>
      </c>
      <c r="K1211" t="inlineStr">
        <is>
          <t>3098 D &amp; R Landscapes</t>
        </is>
      </c>
      <c r="L1211" t="inlineStr">
        <is>
          <t>14/08/2025 09:17</t>
        </is>
      </c>
      <c r="M1211" t="inlineStr">
        <is>
          <t>None</t>
        </is>
      </c>
      <c r="N1211" t="inlineStr">
        <is>
          <t>&lt;p&gt;&lt;/p&gt;</t>
        </is>
      </c>
      <c r="O1211" t="inlineStr"/>
      <c r="P1211" t="inlineStr">
        <is>
          <t>Vehicle - Nissan - Navara - BT20 GNZ</t>
        </is>
      </c>
      <c r="Q1211" t="inlineStr">
        <is>
          <t>UKPN</t>
        </is>
      </c>
      <c r="R1211" t="b">
        <v>0</v>
      </c>
    </row>
    <row r="1212">
      <c r="A1212" t="inlineStr">
        <is>
          <t>14 Aug 2025 / Thomas Playford / Utilities / UKPN</t>
        </is>
      </c>
      <c r="B1212" t="inlineStr">
        <is>
          <t>Utilities</t>
        </is>
      </c>
      <c r="C1212" t="inlineStr">
        <is>
          <t>UKPN</t>
        </is>
      </c>
      <c r="D1212" t="inlineStr">
        <is>
          <t>YP24 WRD , Vehicle , Ford , Ranger</t>
        </is>
      </c>
      <c r="E1212" t="inlineStr">
        <is>
          <t>YP24 WRD , Vehicle , Ford , Ranger</t>
        </is>
      </c>
      <c r="F1212" t="inlineStr">
        <is>
          <t>YP24 WRD , Vehicle , Ford , Ranger</t>
        </is>
      </c>
      <c r="G1212" t="inlineStr">
        <is>
          <t>Jacob Oram</t>
        </is>
      </c>
      <c r="H1212" t="inlineStr">
        <is>
          <t>4x4</t>
        </is>
      </c>
      <c r="I1212" t="inlineStr">
        <is>
          <t>Daily/ Weekly Vehicle Inspection</t>
        </is>
      </c>
      <c r="J1212" t="inlineStr">
        <is>
          <t>N/A</t>
        </is>
      </c>
      <c r="K1212" t="inlineStr">
        <is>
          <t>7995 Contour Landscapes Ltd 2</t>
        </is>
      </c>
      <c r="L1212" t="inlineStr">
        <is>
          <t>14/08/2025 09:18</t>
        </is>
      </c>
      <c r="M1212" t="inlineStr">
        <is>
          <t>None</t>
        </is>
      </c>
      <c r="N1212" t="inlineStr">
        <is>
          <t>&lt;p&gt;&lt;/p&gt;</t>
        </is>
      </c>
      <c r="O1212" t="inlineStr"/>
      <c r="P1212" t="inlineStr">
        <is>
          <t>YP24 WRD , Vehicle , Ford , Ranger</t>
        </is>
      </c>
      <c r="Q1212" t="inlineStr">
        <is>
          <t>UKPN</t>
        </is>
      </c>
      <c r="R1212" t="b">
        <v>0</v>
      </c>
    </row>
    <row r="1213">
      <c r="A1213" t="inlineStr">
        <is>
          <t>14 Aug 2025 / 7951 Austin Tree Care LTD / Utilities / UKPN</t>
        </is>
      </c>
      <c r="B1213" t="inlineStr">
        <is>
          <t>Utilities</t>
        </is>
      </c>
      <c r="C1213" t="inlineStr">
        <is>
          <t>UKPN</t>
        </is>
      </c>
      <c r="D1213" t="inlineStr">
        <is>
          <t>SA9ST6P0001283612 , Tow Chipper , Forst , ST6p</t>
        </is>
      </c>
      <c r="E1213" t="inlineStr">
        <is>
          <t>SA9ST6P0001283612 , Tow Chipper , Forst , ST6p</t>
        </is>
      </c>
      <c r="F1213" t="inlineStr">
        <is>
          <t>SA9ST6P0001283612 , Tow Chipper , Forst , ST6p</t>
        </is>
      </c>
      <c r="G1213" t="inlineStr">
        <is>
          <t>Jack Austin</t>
        </is>
      </c>
      <c r="H1213" t="inlineStr">
        <is>
          <t>Towed Chipper</t>
        </is>
      </c>
      <c r="I1213" t="inlineStr">
        <is>
          <t>Daily/ Weekly Vehicle Inspection</t>
        </is>
      </c>
      <c r="J1213" t="inlineStr">
        <is>
          <t>N/A</t>
        </is>
      </c>
      <c r="K1213" t="inlineStr">
        <is>
          <t>7951 Austin Tree Care LTD</t>
        </is>
      </c>
      <c r="L1213" t="inlineStr">
        <is>
          <t>14/08/2025 10:15</t>
        </is>
      </c>
      <c r="M1213" t="inlineStr">
        <is>
          <t>None</t>
        </is>
      </c>
      <c r="N1213" t="inlineStr">
        <is>
          <t>&lt;p&gt;&lt;/p&gt;</t>
        </is>
      </c>
      <c r="O1213" t="inlineStr"/>
      <c r="P1213" t="inlineStr">
        <is>
          <t>SA9ST6P0001283612 , Tow Chipper , Forst , ST6p</t>
        </is>
      </c>
      <c r="Q1213" t="inlineStr">
        <is>
          <t>UKPN</t>
        </is>
      </c>
      <c r="R1213" t="b">
        <v>0</v>
      </c>
    </row>
    <row r="1214">
      <c r="A1214" t="inlineStr">
        <is>
          <t>14 Aug 2025 / 7951 Austin Tree Care LTD / Utilities / UKPN</t>
        </is>
      </c>
      <c r="B1214" t="inlineStr">
        <is>
          <t>Utilities</t>
        </is>
      </c>
      <c r="C1214" t="inlineStr">
        <is>
          <t>UKPN</t>
        </is>
      </c>
      <c r="D1214" t="inlineStr">
        <is>
          <t>WF61 HZV , 4x4 MEWP , Land Rover , Defender</t>
        </is>
      </c>
      <c r="E1214" t="inlineStr">
        <is>
          <t>WF61 HZV , 4x4 MEWP , Land Rover , Defender</t>
        </is>
      </c>
      <c r="F1214" t="inlineStr">
        <is>
          <t>WF61 HZV , 4x4 MEWP , Land Rover , Defender</t>
        </is>
      </c>
      <c r="G1214" t="inlineStr">
        <is>
          <t>Jack Austin</t>
        </is>
      </c>
      <c r="H1214" t="inlineStr">
        <is>
          <t>4x4</t>
        </is>
      </c>
      <c r="I1214" t="inlineStr">
        <is>
          <t>Daily/ Weekly Vehicle Inspection</t>
        </is>
      </c>
      <c r="J1214" t="inlineStr">
        <is>
          <t>N/A</t>
        </is>
      </c>
      <c r="K1214" t="inlineStr">
        <is>
          <t>7951 Austin Tree Care LTD</t>
        </is>
      </c>
      <c r="L1214" t="inlineStr">
        <is>
          <t>14/08/2025 10:15</t>
        </is>
      </c>
      <c r="M1214" t="inlineStr">
        <is>
          <t>None</t>
        </is>
      </c>
      <c r="N1214" t="inlineStr">
        <is>
          <t>&lt;p&gt;&lt;/p&gt;</t>
        </is>
      </c>
      <c r="O1214" t="inlineStr"/>
      <c r="P1214" t="inlineStr">
        <is>
          <t>WF61 HZV , 4x4 MEWP , Land Rover , Defender</t>
        </is>
      </c>
      <c r="Q1214" t="inlineStr">
        <is>
          <t>UKPN</t>
        </is>
      </c>
      <c r="R1214" t="b">
        <v>0</v>
      </c>
    </row>
    <row r="1215">
      <c r="A1215" t="inlineStr">
        <is>
          <t>15 Aug 2025 / 7800 MAC Tree Surgery and Fencing Ltd</t>
        </is>
      </c>
      <c r="B1215" t="inlineStr">
        <is>
          <t>Utilities &amp; Inland Waterways</t>
        </is>
      </c>
      <c r="C1215" t="inlineStr">
        <is>
          <t>UKPN</t>
        </is>
      </c>
      <c r="D1215" t="inlineStr">
        <is>
          <t>205143043-A1 , Tow Chipper , Timberwolf , TW150</t>
        </is>
      </c>
      <c r="E1215" t="inlineStr">
        <is>
          <t>205143043-A1 , Tow Chipper , Timberwolf , TW150</t>
        </is>
      </c>
      <c r="F1215" t="inlineStr">
        <is>
          <t>205143043-A1 , Tow Chipper , Timberwolf , TW150</t>
        </is>
      </c>
      <c r="G1215" t="inlineStr">
        <is>
          <t xml:space="preserve">Lewis mac </t>
        </is>
      </c>
      <c r="H1215" t="inlineStr">
        <is>
          <t>Towed Chipper</t>
        </is>
      </c>
      <c r="I1215" t="inlineStr">
        <is>
          <t>Daily/ Weekly Vehicle Inspection</t>
        </is>
      </c>
      <c r="J1215" t="inlineStr">
        <is>
          <t>N/A</t>
        </is>
      </c>
      <c r="K1215" t="inlineStr">
        <is>
          <t>7800 MAC Tree Surgery and Fencing Ltd</t>
        </is>
      </c>
      <c r="L1215" t="inlineStr">
        <is>
          <t>15/08/2025 07:15</t>
        </is>
      </c>
      <c r="M1215" t="inlineStr">
        <is>
          <t>None</t>
        </is>
      </c>
      <c r="N1215" t="inlineStr">
        <is>
          <t>&lt;p&gt;&lt;/p&gt;</t>
        </is>
      </c>
      <c r="O1215" t="inlineStr"/>
      <c r="P1215" t="inlineStr">
        <is>
          <t>205143043-A1 , Tow Chipper , Timberwolf , TW150</t>
        </is>
      </c>
      <c r="Q1215" t="inlineStr">
        <is>
          <t>UKPN</t>
        </is>
      </c>
      <c r="R1215" t="b">
        <v>0</v>
      </c>
    </row>
    <row r="1216">
      <c r="A1216" t="inlineStr">
        <is>
          <t>15 Aug 2025 / 7800 MAC Tree Surgery and Fencing Ltd</t>
        </is>
      </c>
      <c r="B1216" t="inlineStr">
        <is>
          <t>Utilities &amp; Inland Waterways</t>
        </is>
      </c>
      <c r="C1216" t="inlineStr">
        <is>
          <t>UKPN</t>
        </is>
      </c>
      <c r="D1216" t="inlineStr">
        <is>
          <t>AY68DAA , 4x4 , Izuzu , Dmax</t>
        </is>
      </c>
      <c r="E1216" t="inlineStr">
        <is>
          <t>AY68DAA , 4x4 , Izuzu , Dmax</t>
        </is>
      </c>
      <c r="F1216" t="inlineStr">
        <is>
          <t>AY68DAA , 4x4 , Izuzu , Dmax</t>
        </is>
      </c>
      <c r="G1216" t="inlineStr">
        <is>
          <t xml:space="preserve">Lewis mac </t>
        </is>
      </c>
      <c r="H1216" t="inlineStr">
        <is>
          <t>4x4</t>
        </is>
      </c>
      <c r="I1216" t="inlineStr">
        <is>
          <t>Daily/ Weekly Vehicle Inspection</t>
        </is>
      </c>
      <c r="J1216" t="inlineStr">
        <is>
          <t>N/A</t>
        </is>
      </c>
      <c r="K1216" t="inlineStr">
        <is>
          <t>7800 MAC Tree Surgery and Fencing Ltd</t>
        </is>
      </c>
      <c r="L1216" t="inlineStr">
        <is>
          <t>15/08/2025 07:16</t>
        </is>
      </c>
      <c r="M1216" t="inlineStr">
        <is>
          <t>None</t>
        </is>
      </c>
      <c r="N1216" t="inlineStr">
        <is>
          <t>&lt;p&gt;&lt;/p&gt;</t>
        </is>
      </c>
      <c r="O1216" t="inlineStr"/>
      <c r="P1216" t="inlineStr">
        <is>
          <t>AY68DAA , 4x4 , Izuzu , Dmax</t>
        </is>
      </c>
      <c r="Q1216" t="inlineStr">
        <is>
          <t>UKPN</t>
        </is>
      </c>
      <c r="R1216" t="b">
        <v>0</v>
      </c>
    </row>
    <row r="1217">
      <c r="A1217" t="inlineStr">
        <is>
          <t>15 Aug 2025 / Anthony Gale / Utilities / UKPN</t>
        </is>
      </c>
      <c r="B1217" t="inlineStr">
        <is>
          <t>Utilities</t>
        </is>
      </c>
      <c r="C1217" t="inlineStr">
        <is>
          <t>UKPN</t>
        </is>
      </c>
      <c r="D1217" t="inlineStr">
        <is>
          <t>PE07 HGL , Vehicle , Mitsubishi , L200 K74</t>
        </is>
      </c>
      <c r="E1217" t="inlineStr">
        <is>
          <t>PE07 HGL , Vehicle , Mitsubishi , L200 K74</t>
        </is>
      </c>
      <c r="F1217" t="inlineStr">
        <is>
          <t>PE07 HGL , Vehicle , Mitsubishi , L200 K74</t>
        </is>
      </c>
      <c r="G1217" t="inlineStr">
        <is>
          <t xml:space="preserve">Anthony Gale </t>
        </is>
      </c>
      <c r="H1217" t="inlineStr">
        <is>
          <t>Pickup Truck</t>
        </is>
      </c>
      <c r="I1217" t="inlineStr">
        <is>
          <t>Daily/ Weekly Vehicle Inspection</t>
        </is>
      </c>
      <c r="J1217" t="inlineStr">
        <is>
          <t>N/A</t>
        </is>
      </c>
      <c r="K1217" t="inlineStr">
        <is>
          <t>7996 M G Tree Surgery Ltd 1</t>
        </is>
      </c>
      <c r="L1217" t="inlineStr">
        <is>
          <t>15/08/2025 07:16</t>
        </is>
      </c>
      <c r="M1217" t="inlineStr">
        <is>
          <t>None</t>
        </is>
      </c>
      <c r="N1217" t="inlineStr">
        <is>
          <t>&lt;p&gt;&lt;/p&gt;</t>
        </is>
      </c>
      <c r="O1217" t="inlineStr"/>
      <c r="P1217" t="inlineStr">
        <is>
          <t>PE07 HGL , Vehicle , Mitsubishi , L200 K74</t>
        </is>
      </c>
      <c r="Q1217" t="inlineStr">
        <is>
          <t>UKPN</t>
        </is>
      </c>
      <c r="R1217" t="b">
        <v>0</v>
      </c>
    </row>
    <row r="1218">
      <c r="A1218" t="inlineStr">
        <is>
          <t>15 Aug 2025 / 7806 Optimum Tree Services Ltd / Utilities / UKPN</t>
        </is>
      </c>
      <c r="B1218" t="inlineStr">
        <is>
          <t>Utilities</t>
        </is>
      </c>
      <c r="C1218" t="inlineStr">
        <is>
          <t>UKPN</t>
        </is>
      </c>
      <c r="D1218" t="inlineStr">
        <is>
          <t>SA9ST800000283069 , Chipper , Forst , ST 6P</t>
        </is>
      </c>
      <c r="E1218" t="inlineStr">
        <is>
          <t>SA9ST800000283069 , Chipper , Forst , ST 6P</t>
        </is>
      </c>
      <c r="F1218" t="inlineStr">
        <is>
          <t>SA9ST800000283069 , Chipper , Forst , ST 6P</t>
        </is>
      </c>
      <c r="G1218" t="inlineStr">
        <is>
          <t xml:space="preserve">Abraham Davies </t>
        </is>
      </c>
      <c r="H1218" t="inlineStr">
        <is>
          <t>Towed Chipper</t>
        </is>
      </c>
      <c r="I1218" t="inlineStr">
        <is>
          <t>Daily/ Weekly Vehicle Inspection</t>
        </is>
      </c>
      <c r="J1218" t="inlineStr">
        <is>
          <t>N/A</t>
        </is>
      </c>
      <c r="K1218" t="inlineStr">
        <is>
          <t>7806 Optimum Tree Services Ltd</t>
        </is>
      </c>
      <c r="L1218" t="inlineStr">
        <is>
          <t>15/08/2025 07:17</t>
        </is>
      </c>
      <c r="M1218" t="inlineStr">
        <is>
          <t>None</t>
        </is>
      </c>
      <c r="N1218" t="inlineStr">
        <is>
          <t>&lt;p&gt;&lt;/p&gt;</t>
        </is>
      </c>
      <c r="O1218" t="inlineStr"/>
      <c r="P1218" t="inlineStr">
        <is>
          <t>SA9ST800000283069 , Chipper , Forst , ST 6P</t>
        </is>
      </c>
      <c r="Q1218" t="inlineStr">
        <is>
          <t>UKPN</t>
        </is>
      </c>
      <c r="R1218" t="b">
        <v>0</v>
      </c>
    </row>
    <row r="1219">
      <c r="A1219" t="inlineStr">
        <is>
          <t>15 Aug 2025 / 7806 Optimum Tree Services Ltd / Utilities / UKPN</t>
        </is>
      </c>
      <c r="B1219" t="inlineStr">
        <is>
          <t>Utilities</t>
        </is>
      </c>
      <c r="C1219" t="inlineStr">
        <is>
          <t>UKPN</t>
        </is>
      </c>
      <c r="D1219" t="inlineStr"/>
      <c r="E1219" t="inlineStr"/>
      <c r="F1219" t="inlineStr"/>
      <c r="G1219" t="inlineStr"/>
      <c r="H1219" t="inlineStr"/>
      <c r="I1219" t="inlineStr">
        <is>
          <t>Add to Vehicle to the GC Vehicle List</t>
        </is>
      </c>
      <c r="J1219" t="inlineStr">
        <is>
          <t>N/A</t>
        </is>
      </c>
      <c r="K1219" t="inlineStr">
        <is>
          <t>7806 Optimum Tree Services Ltd</t>
        </is>
      </c>
      <c r="L1219" t="inlineStr">
        <is>
          <t>15/08/2025 07:17</t>
        </is>
      </c>
      <c r="M1219" t="inlineStr">
        <is>
          <t>None</t>
        </is>
      </c>
      <c r="N1219" t="inlineStr">
        <is>
          <t>&lt;p&gt;&lt;/p&gt;</t>
        </is>
      </c>
      <c r="O1219" t="inlineStr"/>
      <c r="P1219" t="inlineStr"/>
      <c r="Q1219" t="inlineStr">
        <is>
          <t>UKPN</t>
        </is>
      </c>
      <c r="R1219" t="b">
        <v>0</v>
      </c>
    </row>
    <row r="1220">
      <c r="A1220" t="inlineStr">
        <is>
          <t>15 Aug 2025 / 7951 Austin Tree Care LTD 1 / Utilities / UKPN</t>
        </is>
      </c>
      <c r="B1220" t="inlineStr">
        <is>
          <t>Utilities</t>
        </is>
      </c>
      <c r="C1220" t="inlineStr">
        <is>
          <t>UKPN</t>
        </is>
      </c>
      <c r="D1220" t="inlineStr">
        <is>
          <t>WF61 HZV , 4x4 MEWP , Land Rover , Defender</t>
        </is>
      </c>
      <c r="E1220" t="inlineStr">
        <is>
          <t>WF61 HZV , 4x4 MEWP , Land Rover , Defender</t>
        </is>
      </c>
      <c r="F1220" t="inlineStr">
        <is>
          <t>WF61 HZV , 4x4 MEWP , Land Rover , Defender</t>
        </is>
      </c>
      <c r="G1220" t="inlineStr">
        <is>
          <t xml:space="preserve">James Tasker </t>
        </is>
      </c>
      <c r="H1220" t="inlineStr">
        <is>
          <t>4x4</t>
        </is>
      </c>
      <c r="I1220" t="inlineStr">
        <is>
          <t>Daily/ Weekly Vehicle Inspection</t>
        </is>
      </c>
      <c r="J1220" t="inlineStr">
        <is>
          <t>N/A</t>
        </is>
      </c>
      <c r="K1220" t="inlineStr">
        <is>
          <t>7951 Austin Tree Care LTD 1</t>
        </is>
      </c>
      <c r="L1220" t="inlineStr">
        <is>
          <t>15/08/2025 08:15</t>
        </is>
      </c>
      <c r="M1220" t="inlineStr">
        <is>
          <t>None</t>
        </is>
      </c>
      <c r="N1220" t="inlineStr">
        <is>
          <t>&lt;p&gt;&lt;/p&gt;</t>
        </is>
      </c>
      <c r="O1220" t="inlineStr"/>
      <c r="P1220" t="inlineStr">
        <is>
          <t>WF61 HZV , 4x4 MEWP , Land Rover , Defender</t>
        </is>
      </c>
      <c r="Q1220" t="inlineStr">
        <is>
          <t>UKPN</t>
        </is>
      </c>
      <c r="R1220" t="b">
        <v>0</v>
      </c>
    </row>
    <row r="1221">
      <c r="A1221" t="inlineStr">
        <is>
          <t>15 Aug 2025 / 7951 Austin Tree Care LTD / Utilities / UKPN</t>
        </is>
      </c>
      <c r="B1221" t="inlineStr">
        <is>
          <t>Utilities</t>
        </is>
      </c>
      <c r="C1221" t="inlineStr">
        <is>
          <t>UKPN</t>
        </is>
      </c>
      <c r="D1221" t="inlineStr">
        <is>
          <t>Kn58xuy , Tipper , VW  , Crafter</t>
        </is>
      </c>
      <c r="E1221" t="inlineStr">
        <is>
          <t>Kn58xuy , Tipper , VW  , Crafter</t>
        </is>
      </c>
      <c r="F1221" t="inlineStr">
        <is>
          <t>Kn58xuy , Tipper , VW  , Crafter</t>
        </is>
      </c>
      <c r="G1221" t="inlineStr">
        <is>
          <t xml:space="preserve">Jack Austin </t>
        </is>
      </c>
      <c r="H1221" t="inlineStr">
        <is>
          <t>Tipper</t>
        </is>
      </c>
      <c r="I1221" t="inlineStr">
        <is>
          <t>Daily/ Weekly Vehicle Inspection</t>
        </is>
      </c>
      <c r="J1221" t="inlineStr">
        <is>
          <t>N/A</t>
        </is>
      </c>
      <c r="K1221" t="inlineStr">
        <is>
          <t>7951 Austin Tree Care LTD</t>
        </is>
      </c>
      <c r="L1221" t="inlineStr">
        <is>
          <t>15/08/2025 08:16</t>
        </is>
      </c>
      <c r="M1221" t="inlineStr">
        <is>
          <t>None</t>
        </is>
      </c>
      <c r="N1221" t="inlineStr">
        <is>
          <t>&lt;p&gt;&lt;/p&gt;</t>
        </is>
      </c>
      <c r="O1221" t="inlineStr"/>
      <c r="P1221" t="inlineStr">
        <is>
          <t>Kn58xuy , Tipper , VW  , Crafter</t>
        </is>
      </c>
      <c r="Q1221" t="inlineStr">
        <is>
          <t>UKPN</t>
        </is>
      </c>
      <c r="R1221" t="b">
        <v>0</v>
      </c>
    </row>
    <row r="1222">
      <c r="A1222" t="inlineStr">
        <is>
          <t>15 Aug 2025 / 7996 M G Tree Surgery Ltd / Utilities / UKPN</t>
        </is>
      </c>
      <c r="B1222" t="inlineStr">
        <is>
          <t>Utilities</t>
        </is>
      </c>
      <c r="C1222" t="inlineStr">
        <is>
          <t>UKPN</t>
        </is>
      </c>
      <c r="D1222" t="inlineStr">
        <is>
          <t>GU13 WNL , MEWP , Land Rover , Defender 130</t>
        </is>
      </c>
      <c r="E1222" t="inlineStr">
        <is>
          <t>GU13 WNL , MEWP , Land Rover , Defender 130</t>
        </is>
      </c>
      <c r="F1222" t="inlineStr">
        <is>
          <t>GU13 WNL , MEWP , Land Rover , Defender 130</t>
        </is>
      </c>
      <c r="G1222" t="inlineStr">
        <is>
          <t>Max</t>
        </is>
      </c>
      <c r="H1222" t="inlineStr">
        <is>
          <t>4x4</t>
        </is>
      </c>
      <c r="I1222" t="inlineStr">
        <is>
          <t>Daily/ Weekly Vehicle Inspection</t>
        </is>
      </c>
      <c r="J1222" t="inlineStr">
        <is>
          <t>N/A</t>
        </is>
      </c>
      <c r="K1222" t="inlineStr">
        <is>
          <t>7996 M G Tree Surgery Ltd</t>
        </is>
      </c>
      <c r="L1222" t="inlineStr">
        <is>
          <t>15/08/2025 08:17</t>
        </is>
      </c>
      <c r="M1222" t="inlineStr">
        <is>
          <t>None</t>
        </is>
      </c>
      <c r="N1222" t="inlineStr">
        <is>
          <t>&lt;p&gt;&lt;/p&gt;</t>
        </is>
      </c>
      <c r="O1222" t="inlineStr"/>
      <c r="P1222" t="inlineStr">
        <is>
          <t>GU13 WNL , MEWP , Land Rover , Defender 130</t>
        </is>
      </c>
      <c r="Q1222" t="inlineStr">
        <is>
          <t>UKPN</t>
        </is>
      </c>
      <c r="R1222" t="b">
        <v>0</v>
      </c>
    </row>
    <row r="1223">
      <c r="A1223" t="inlineStr">
        <is>
          <t>15 Aug 2025 / Thomas Playford / Utilities / UKPN</t>
        </is>
      </c>
      <c r="B1223" t="inlineStr">
        <is>
          <t>Utilities</t>
        </is>
      </c>
      <c r="C1223" t="inlineStr">
        <is>
          <t>UKPN</t>
        </is>
      </c>
      <c r="D1223" t="inlineStr">
        <is>
          <t>Equipment Trailer - I For Williams Custom - Chipper Trailer - 47336638</t>
        </is>
      </c>
      <c r="E1223" t="inlineStr">
        <is>
          <t>Equipment Trailer - I For Williams Custom - Chipper Trailer - 47336638</t>
        </is>
      </c>
      <c r="F1223" t="inlineStr">
        <is>
          <t>Equipment Trailer - I For Williams Custom - Chipper Trailer - 47336638</t>
        </is>
      </c>
      <c r="G1223" t="inlineStr">
        <is>
          <t>Jacob Oram</t>
        </is>
      </c>
      <c r="H1223" t="inlineStr">
        <is>
          <t>Plant Trailer</t>
        </is>
      </c>
      <c r="I1223" t="inlineStr">
        <is>
          <t>Daily/ Weekly Vehicle Inspection</t>
        </is>
      </c>
      <c r="J1223" t="inlineStr">
        <is>
          <t>N/A</t>
        </is>
      </c>
      <c r="K1223" t="inlineStr">
        <is>
          <t>7995 Contour Landscapes Ltd 2</t>
        </is>
      </c>
      <c r="L1223" t="inlineStr">
        <is>
          <t>15/08/2025 08:20</t>
        </is>
      </c>
      <c r="M1223" t="inlineStr">
        <is>
          <t>None</t>
        </is>
      </c>
      <c r="N1223" t="inlineStr">
        <is>
          <t>&lt;p&gt;&lt;/p&gt;</t>
        </is>
      </c>
      <c r="O1223" t="inlineStr"/>
      <c r="P1223" t="inlineStr">
        <is>
          <t>Equipment Trailer - I For Williams Custom - Chipper Trailer - 47336638</t>
        </is>
      </c>
      <c r="Q1223" t="inlineStr">
        <is>
          <t>UKPN</t>
        </is>
      </c>
      <c r="R1223" t="b">
        <v>0</v>
      </c>
    </row>
    <row r="1224">
      <c r="A1224" t="inlineStr">
        <is>
          <t>15 Aug 2025 / Thomas Playford / Utilities / UKPN</t>
        </is>
      </c>
      <c r="B1224" t="inlineStr">
        <is>
          <t>Utilities</t>
        </is>
      </c>
      <c r="C1224" t="inlineStr">
        <is>
          <t>UKPN</t>
        </is>
      </c>
      <c r="D1224" t="inlineStr">
        <is>
          <t>YP24 WRD , Vehicle , Ford , Ranger</t>
        </is>
      </c>
      <c r="E1224" t="inlineStr">
        <is>
          <t>YP24 WRD , Vehicle , Ford , Ranger</t>
        </is>
      </c>
      <c r="F1224" t="inlineStr">
        <is>
          <t>YP24 WRD , Vehicle , Ford , Ranger</t>
        </is>
      </c>
      <c r="G1224" t="inlineStr">
        <is>
          <t>Jacob Oram</t>
        </is>
      </c>
      <c r="H1224" t="inlineStr">
        <is>
          <t>4x4</t>
        </is>
      </c>
      <c r="I1224" t="inlineStr">
        <is>
          <t>Daily/ Weekly Vehicle Inspection</t>
        </is>
      </c>
      <c r="J1224" t="inlineStr">
        <is>
          <t>N/A</t>
        </is>
      </c>
      <c r="K1224" t="inlineStr">
        <is>
          <t>7995 Contour Landscapes Ltd 2</t>
        </is>
      </c>
      <c r="L1224" t="inlineStr">
        <is>
          <t>15/08/2025 08:20</t>
        </is>
      </c>
      <c r="M1224" t="inlineStr">
        <is>
          <t>None</t>
        </is>
      </c>
      <c r="N1224" t="inlineStr">
        <is>
          <t>&lt;p&gt;&lt;/p&gt;</t>
        </is>
      </c>
      <c r="O1224" t="inlineStr"/>
      <c r="P1224" t="inlineStr">
        <is>
          <t>YP24 WRD , Vehicle , Ford , Ranger</t>
        </is>
      </c>
      <c r="Q1224" t="inlineStr">
        <is>
          <t>UKPN</t>
        </is>
      </c>
      <c r="R1224" t="b">
        <v>0</v>
      </c>
    </row>
    <row r="1225">
      <c r="A1225" t="inlineStr">
        <is>
          <t>15 Aug 2025 / 7889 Tree Tech Suffolk Ltd</t>
        </is>
      </c>
      <c r="B1225" t="inlineStr">
        <is>
          <t>Utilities &amp; Inland Waterways</t>
        </is>
      </c>
      <c r="C1225" t="inlineStr">
        <is>
          <t>UKPN</t>
        </is>
      </c>
      <c r="D1225" t="inlineStr">
        <is>
          <t>Tow Chipper - Jenson - A530L - 5521063948Tipper - Nissan - Navara - NS02TTS4x4 - Isuzu - D-max - NS03 TTS</t>
        </is>
      </c>
      <c r="E1225" t="inlineStr">
        <is>
          <t>Tow Chipper - Jenson - A530L - 5521063948Tipper - Nissan - Navara - NS02TTS4x4 - Isuzu - D-max - NS03 TTS</t>
        </is>
      </c>
      <c r="F1225" t="inlineStr">
        <is>
          <t>Tow Chipper - Jenson - A530L - 5521063948Tipper - Nissan - Navara - NS02TTS4x4 - Isuzu - D-max - NS03 TTS</t>
        </is>
      </c>
      <c r="G1225" t="inlineStr">
        <is>
          <t xml:space="preserve">Danny Appleby Nikki sparrow Danny Appleby </t>
        </is>
      </c>
      <c r="H1225" t="inlineStr">
        <is>
          <t>Towed ChipperTipper4x4</t>
        </is>
      </c>
      <c r="I1225" t="inlineStr">
        <is>
          <t>Daily/ Weekly Vehicle Inspection</t>
        </is>
      </c>
      <c r="J1225" t="inlineStr">
        <is>
          <t>N/A</t>
        </is>
      </c>
      <c r="K1225" t="inlineStr">
        <is>
          <t>7889 Tree Tech Suffolk Ltd</t>
        </is>
      </c>
      <c r="L1225" t="inlineStr">
        <is>
          <t>15/08/2025 08:21</t>
        </is>
      </c>
      <c r="M1225" t="inlineStr">
        <is>
          <t>None</t>
        </is>
      </c>
      <c r="N1225" t="inlineStr">
        <is>
          <t>&lt;p&gt;&lt;/p&gt;</t>
        </is>
      </c>
      <c r="O1225" t="inlineStr">
        <is>
          <t>Select Vehicle:Intermittent fault on chipper lightsConfirm that you have checked this vehicle as per the guidance document and the vehicle is safe and roadworthy:Swapped tyres round on rims. Outer edge now worn
-Select Vehicle:KX65 FCZ. Intermittent fault on side lights.</t>
        </is>
      </c>
      <c r="P1225" t="inlineStr">
        <is>
          <t>Tow Chipper - Jenson - A530L - 5521063948Tipper - Nissan - Navara - NS02TTS4x4 - Isuzu - D-max - NS03 TTS</t>
        </is>
      </c>
      <c r="Q1225" t="inlineStr">
        <is>
          <t>UKPN</t>
        </is>
      </c>
      <c r="R1225" t="b">
        <v>0</v>
      </c>
    </row>
    <row r="1226">
      <c r="A1226" t="inlineStr">
        <is>
          <t>15 Aug 2025 / 3988 Valiant Arborist Ltd / Utilities &amp; Inland Waterways / UKPN</t>
        </is>
      </c>
      <c r="B1226" t="inlineStr">
        <is>
          <t>Utilities &amp; Inland Waterways</t>
        </is>
      </c>
      <c r="C1226" t="inlineStr">
        <is>
          <t>UKPN</t>
        </is>
      </c>
      <c r="D1226" t="inlineStr">
        <is>
          <t>4x4 - Isuzu  - D Max  - BT24 YEC</t>
        </is>
      </c>
      <c r="E1226" t="inlineStr">
        <is>
          <t>4x4 - Isuzu  - D Max  - BT24 YEC</t>
        </is>
      </c>
      <c r="F1226" t="inlineStr">
        <is>
          <t>4x4 - Isuzu  - D Max  - BT24 YEC</t>
        </is>
      </c>
      <c r="G1226" t="inlineStr">
        <is>
          <t>Sam knight</t>
        </is>
      </c>
      <c r="H1226" t="inlineStr">
        <is>
          <t>4x4</t>
        </is>
      </c>
      <c r="I1226" t="inlineStr">
        <is>
          <t>Daily/ Weekly Vehicle Inspection</t>
        </is>
      </c>
      <c r="J1226" t="inlineStr">
        <is>
          <t>N/A</t>
        </is>
      </c>
      <c r="K1226" t="inlineStr">
        <is>
          <t>3988 Valiant Arborist Ltd</t>
        </is>
      </c>
      <c r="L1226" t="inlineStr">
        <is>
          <t>15/08/2025 09:16</t>
        </is>
      </c>
      <c r="M1226" t="inlineStr">
        <is>
          <t>None</t>
        </is>
      </c>
      <c r="N1226" t="inlineStr">
        <is>
          <t>&lt;p&gt;&lt;/p&gt;</t>
        </is>
      </c>
      <c r="O1226" t="inlineStr"/>
      <c r="P1226" t="inlineStr">
        <is>
          <t>4x4 - Isuzu  - D Max  - BT24 YEC</t>
        </is>
      </c>
      <c r="Q1226" t="inlineStr">
        <is>
          <t>UKPN</t>
        </is>
      </c>
      <c r="R1226" t="b">
        <v>0</v>
      </c>
    </row>
    <row r="1227">
      <c r="A1227" t="inlineStr">
        <is>
          <t>17 Aug 2025 / 7806 Optimum Tree Services Ltd / Utilities / UKPN</t>
        </is>
      </c>
      <c r="B1227" t="inlineStr">
        <is>
          <t>Utilities</t>
        </is>
      </c>
      <c r="C1227" t="inlineStr">
        <is>
          <t>UKPN</t>
        </is>
      </c>
      <c r="D1227" t="inlineStr">
        <is>
          <t>4x4 - Landrover  - Defender  - Wd14evn</t>
        </is>
      </c>
      <c r="E1227" t="inlineStr">
        <is>
          <t>4x4 - Landrover  - Defender  - Wd14evn</t>
        </is>
      </c>
      <c r="F1227" t="inlineStr">
        <is>
          <t>4x4 - Landrover  - Defender  - Wd14evn</t>
        </is>
      </c>
      <c r="G1227" t="inlineStr">
        <is>
          <t xml:space="preserve">Abraham Davies </t>
        </is>
      </c>
      <c r="H1227" t="inlineStr">
        <is>
          <t>4x4</t>
        </is>
      </c>
      <c r="I1227" t="inlineStr">
        <is>
          <t>Daily/ Weekly Vehicle Inspection</t>
        </is>
      </c>
      <c r="J1227" t="inlineStr">
        <is>
          <t>N/A</t>
        </is>
      </c>
      <c r="K1227" t="inlineStr">
        <is>
          <t>7806 Optimum Tree Services Ltd</t>
        </is>
      </c>
      <c r="L1227" t="inlineStr">
        <is>
          <t>17/08/2025 07:16</t>
        </is>
      </c>
      <c r="M1227" t="inlineStr">
        <is>
          <t>None</t>
        </is>
      </c>
      <c r="N1227" t="inlineStr">
        <is>
          <t>&lt;p&gt;&lt;/p&gt;</t>
        </is>
      </c>
      <c r="O1227" t="inlineStr"/>
      <c r="P1227" t="inlineStr">
        <is>
          <t>4x4 - Landrover  - Defender  - Wd14evn</t>
        </is>
      </c>
      <c r="Q1227" t="inlineStr">
        <is>
          <t>UKPN</t>
        </is>
      </c>
      <c r="R1227" t="b">
        <v>0</v>
      </c>
    </row>
    <row r="1228">
      <c r="A1228" t="inlineStr">
        <is>
          <t>18 Aug 2025 / 7889 Tree Tech Suffolk Ltd</t>
        </is>
      </c>
      <c r="B1228" t="inlineStr">
        <is>
          <t>Utilities &amp; Inland Waterways</t>
        </is>
      </c>
      <c r="C1228" t="inlineStr">
        <is>
          <t>UKPN</t>
        </is>
      </c>
      <c r="D1228" t="inlineStr">
        <is>
          <t>Tow Chipper - Jenson - A530L - 5521063948Tipper - Nissan - Navara - NS02TTS4x4 - Isuzu - D-max - NS03 TTS</t>
        </is>
      </c>
      <c r="E1228" t="inlineStr">
        <is>
          <t>Tow Chipper - Jenson - A530L - 5521063948Tipper - Nissan - Navara - NS02TTS4x4 - Isuzu - D-max - NS03 TTS</t>
        </is>
      </c>
      <c r="F1228" t="inlineStr">
        <is>
          <t>Tow Chipper - Jenson - A530L - 5521063948Tipper - Nissan - Navara - NS02TTS4x4 - Isuzu - D-max - NS03 TTS</t>
        </is>
      </c>
      <c r="G1228" t="inlineStr">
        <is>
          <t xml:space="preserve">Danny Appleby Nikki sparrow Danny Appleby </t>
        </is>
      </c>
      <c r="H1228" t="inlineStr">
        <is>
          <t>Towed ChipperTipper4x4</t>
        </is>
      </c>
      <c r="I1228" t="inlineStr">
        <is>
          <t>Daily/ Weekly Vehicle Inspection</t>
        </is>
      </c>
      <c r="J1228" t="inlineStr">
        <is>
          <t>N/A</t>
        </is>
      </c>
      <c r="K1228" t="inlineStr">
        <is>
          <t>7889 Tree Tech Suffolk Ltd</t>
        </is>
      </c>
      <c r="L1228" t="inlineStr">
        <is>
          <t>18/08/2025 07:16</t>
        </is>
      </c>
      <c r="M1228" t="inlineStr">
        <is>
          <t>None</t>
        </is>
      </c>
      <c r="N1228" t="inlineStr">
        <is>
          <t>&lt;p&gt;&lt;/p&gt;</t>
        </is>
      </c>
      <c r="O1228" t="inlineStr">
        <is>
          <t>Select Vehicle:Intermittent fault on chipper lightsConfirm that you have checked this vehicle as per the guidance document and the vehicle is safe and roadworthy:Swapped tyres round on rims. Outer edge now worn
-Select Vehicle:KX65 FCZ. Intermittent fault on side lights.</t>
        </is>
      </c>
      <c r="P1228" t="inlineStr">
        <is>
          <t>Tow Chipper - Jenson - A530L - 5521063948Tipper - Nissan - Navara - NS02TTS4x4 - Isuzu - D-max - NS03 TTS</t>
        </is>
      </c>
      <c r="Q1228" t="inlineStr">
        <is>
          <t>UKPN</t>
        </is>
      </c>
      <c r="R1228" t="b">
        <v>0</v>
      </c>
    </row>
    <row r="1229">
      <c r="A1229" t="inlineStr">
        <is>
          <t>18 Aug 2025 / 7806 Optimum Tree Services Ltd / Utilities / UKPN</t>
        </is>
      </c>
      <c r="B1229" t="inlineStr">
        <is>
          <t>Utilities</t>
        </is>
      </c>
      <c r="C1229" t="inlineStr">
        <is>
          <t>UKPN</t>
        </is>
      </c>
      <c r="D1229" t="inlineStr">
        <is>
          <t>4x4 - Landrover  - Defender  - Wd14evn</t>
        </is>
      </c>
      <c r="E1229" t="inlineStr">
        <is>
          <t>4x4 - Landrover  - Defender  - Wd14evn</t>
        </is>
      </c>
      <c r="F1229" t="inlineStr">
        <is>
          <t>4x4 - Landrover  - Defender  - Wd14evn</t>
        </is>
      </c>
      <c r="G1229" t="inlineStr">
        <is>
          <t xml:space="preserve">Abraham Davies </t>
        </is>
      </c>
      <c r="H1229" t="inlineStr">
        <is>
          <t>4x4</t>
        </is>
      </c>
      <c r="I1229" t="inlineStr">
        <is>
          <t>Daily/ Weekly Vehicle Inspection</t>
        </is>
      </c>
      <c r="J1229" t="inlineStr">
        <is>
          <t>N/A</t>
        </is>
      </c>
      <c r="K1229" t="inlineStr">
        <is>
          <t>7806 Optimum Tree Services Ltd</t>
        </is>
      </c>
      <c r="L1229" t="inlineStr">
        <is>
          <t>18/08/2025 07:16</t>
        </is>
      </c>
      <c r="M1229" t="inlineStr">
        <is>
          <t>None</t>
        </is>
      </c>
      <c r="N1229" t="inlineStr">
        <is>
          <t>&lt;p&gt;&lt;/p&gt;</t>
        </is>
      </c>
      <c r="O1229" t="inlineStr"/>
      <c r="P1229" t="inlineStr">
        <is>
          <t>4x4 - Landrover  - Defender  - Wd14evn</t>
        </is>
      </c>
      <c r="Q1229" t="inlineStr">
        <is>
          <t>UKPN</t>
        </is>
      </c>
      <c r="R1229" t="b">
        <v>0</v>
      </c>
    </row>
    <row r="1230">
      <c r="A1230" t="inlineStr">
        <is>
          <t>18 Aug 2025 / 7186 Eastwoodbury Tree Services Ltd / Utilities / UKPN</t>
        </is>
      </c>
      <c r="B1230" t="inlineStr">
        <is>
          <t>Utilities</t>
        </is>
      </c>
      <c r="C1230" t="inlineStr">
        <is>
          <t>UKPN</t>
        </is>
      </c>
      <c r="D1230" t="inlineStr">
        <is>
          <t>AO57BPF , 4x4 , Santana  , Ps10</t>
        </is>
      </c>
      <c r="E1230" t="inlineStr">
        <is>
          <t>AO57BPF , 4x4 , Santana  , Ps10</t>
        </is>
      </c>
      <c r="F1230" t="inlineStr">
        <is>
          <t>AO57BPF , 4x4 , Santana  , Ps10</t>
        </is>
      </c>
      <c r="G1230" t="inlineStr">
        <is>
          <t xml:space="preserve">Jay Denkmayer </t>
        </is>
      </c>
      <c r="H1230" t="inlineStr">
        <is>
          <t>4x4</t>
        </is>
      </c>
      <c r="I1230" t="inlineStr">
        <is>
          <t>Daily/ Weekly Vehicle Inspection</t>
        </is>
      </c>
      <c r="J1230" t="inlineStr">
        <is>
          <t>N/A</t>
        </is>
      </c>
      <c r="K1230" t="inlineStr">
        <is>
          <t>7186 Eastwoodbury Tree Services Ltd</t>
        </is>
      </c>
      <c r="L1230" t="inlineStr">
        <is>
          <t>18/08/2025 07:18</t>
        </is>
      </c>
      <c r="M1230" t="inlineStr">
        <is>
          <t>None</t>
        </is>
      </c>
      <c r="N1230" t="inlineStr">
        <is>
          <t>&lt;p&gt;&lt;/p&gt;</t>
        </is>
      </c>
      <c r="O1230" t="inlineStr"/>
      <c r="P1230" t="inlineStr">
        <is>
          <t>AO57BPF , 4x4 , Santana  , Ps10</t>
        </is>
      </c>
      <c r="Q1230" t="inlineStr">
        <is>
          <t>UKPN</t>
        </is>
      </c>
      <c r="R1230" t="b">
        <v>0</v>
      </c>
    </row>
    <row r="1231">
      <c r="A1231" t="inlineStr">
        <is>
          <t>18 Aug 2025 / 7186 Eastwoodbury Tree Services Ltd / Utilities / UKPN</t>
        </is>
      </c>
      <c r="B1231" t="inlineStr">
        <is>
          <t>Utilities</t>
        </is>
      </c>
      <c r="C1231" t="inlineStr">
        <is>
          <t>UKPN</t>
        </is>
      </c>
      <c r="D1231" t="inlineStr">
        <is>
          <t>FN600XM , 4x4 , Land Rover  , Defender</t>
        </is>
      </c>
      <c r="E1231" t="inlineStr">
        <is>
          <t>FN600XM , 4x4 , Land Rover  , Defender</t>
        </is>
      </c>
      <c r="F1231" t="inlineStr">
        <is>
          <t>FN600XM , 4x4 , Land Rover  , Defender</t>
        </is>
      </c>
      <c r="G1231" t="inlineStr">
        <is>
          <t xml:space="preserve">Dan Gilbert </t>
        </is>
      </c>
      <c r="H1231" t="inlineStr">
        <is>
          <t>4x4</t>
        </is>
      </c>
      <c r="I1231" t="inlineStr">
        <is>
          <t>Daily/ Weekly Vehicle Inspection</t>
        </is>
      </c>
      <c r="J1231" t="inlineStr">
        <is>
          <t>N/A</t>
        </is>
      </c>
      <c r="K1231" t="inlineStr">
        <is>
          <t>7186 Eastwoodbury Tree Services Ltd</t>
        </is>
      </c>
      <c r="L1231" t="inlineStr">
        <is>
          <t>18/08/2025 07:19</t>
        </is>
      </c>
      <c r="M1231" t="inlineStr">
        <is>
          <t>None</t>
        </is>
      </c>
      <c r="N1231" t="inlineStr">
        <is>
          <t>&lt;p&gt;&lt;/p&gt;</t>
        </is>
      </c>
      <c r="O1231" t="inlineStr"/>
      <c r="P1231" t="inlineStr">
        <is>
          <t>FN600XM , 4x4 , Land Rover  , Defender</t>
        </is>
      </c>
      <c r="Q1231" t="inlineStr">
        <is>
          <t>UKPN</t>
        </is>
      </c>
      <c r="R1231" t="b">
        <v>0</v>
      </c>
    </row>
    <row r="1232">
      <c r="A1232" t="inlineStr">
        <is>
          <t>18 Aug 2025 / 7951 Austin Tree Care LTD / Utilities / UKPN</t>
        </is>
      </c>
      <c r="B1232" t="inlineStr">
        <is>
          <t>Utilities</t>
        </is>
      </c>
      <c r="C1232" t="inlineStr">
        <is>
          <t>UKPN</t>
        </is>
      </c>
      <c r="D1232" t="inlineStr">
        <is>
          <t>SA9ST6P0001283612 , Tow Chipper , Forst , ST6p</t>
        </is>
      </c>
      <c r="E1232" t="inlineStr">
        <is>
          <t>SA9ST6P0001283612 , Tow Chipper , Forst , ST6p</t>
        </is>
      </c>
      <c r="F1232" t="inlineStr">
        <is>
          <t>SA9ST6P0001283612 , Tow Chipper , Forst , ST6p</t>
        </is>
      </c>
      <c r="G1232" t="inlineStr">
        <is>
          <t xml:space="preserve">Jack Austin </t>
        </is>
      </c>
      <c r="H1232" t="inlineStr">
        <is>
          <t>Towed Chipper</t>
        </is>
      </c>
      <c r="I1232" t="inlineStr">
        <is>
          <t>Daily/ Weekly Vehicle Inspection</t>
        </is>
      </c>
      <c r="J1232" t="inlineStr">
        <is>
          <t>N/A</t>
        </is>
      </c>
      <c r="K1232" t="inlineStr">
        <is>
          <t>7951 Austin Tree Care LTD</t>
        </is>
      </c>
      <c r="L1232" t="inlineStr">
        <is>
          <t>18/08/2025 08:17</t>
        </is>
      </c>
      <c r="M1232" t="inlineStr">
        <is>
          <t>None</t>
        </is>
      </c>
      <c r="N1232" t="inlineStr">
        <is>
          <t>&lt;p&gt;&lt;/p&gt;</t>
        </is>
      </c>
      <c r="O1232" t="inlineStr"/>
      <c r="P1232" t="inlineStr">
        <is>
          <t>SA9ST6P0001283612 , Tow Chipper , Forst , ST6p</t>
        </is>
      </c>
      <c r="Q1232" t="inlineStr">
        <is>
          <t>UKPN</t>
        </is>
      </c>
      <c r="R1232" t="b">
        <v>0</v>
      </c>
    </row>
    <row r="1233">
      <c r="A1233" t="inlineStr">
        <is>
          <t>18 Aug 2025 / 7951 Austin Tree Care LTD / Utilities / UKPN</t>
        </is>
      </c>
      <c r="B1233" t="inlineStr">
        <is>
          <t>Utilities</t>
        </is>
      </c>
      <c r="C1233" t="inlineStr">
        <is>
          <t>UKPN</t>
        </is>
      </c>
      <c r="D1233" t="inlineStr">
        <is>
          <t>Kn58xuy , Tipper , VW  , Crafter</t>
        </is>
      </c>
      <c r="E1233" t="inlineStr">
        <is>
          <t>Kn58xuy , Tipper , VW  , Crafter</t>
        </is>
      </c>
      <c r="F1233" t="inlineStr">
        <is>
          <t>Kn58xuy , Tipper , VW  , Crafter</t>
        </is>
      </c>
      <c r="G1233" t="inlineStr">
        <is>
          <t xml:space="preserve">Jack Austin </t>
        </is>
      </c>
      <c r="H1233" t="inlineStr">
        <is>
          <t>Tipper</t>
        </is>
      </c>
      <c r="I1233" t="inlineStr">
        <is>
          <t>Daily/ Weekly Vehicle Inspection</t>
        </is>
      </c>
      <c r="J1233" t="inlineStr">
        <is>
          <t>N/A</t>
        </is>
      </c>
      <c r="K1233" t="inlineStr">
        <is>
          <t>7951 Austin Tree Care LTD</t>
        </is>
      </c>
      <c r="L1233" t="inlineStr">
        <is>
          <t>18/08/2025 08:17</t>
        </is>
      </c>
      <c r="M1233" t="inlineStr">
        <is>
          <t>None</t>
        </is>
      </c>
      <c r="N1233" t="inlineStr">
        <is>
          <t>&lt;p&gt;&lt;/p&gt;</t>
        </is>
      </c>
      <c r="O1233" t="inlineStr"/>
      <c r="P1233" t="inlineStr">
        <is>
          <t>Kn58xuy , Tipper , VW  , Crafter</t>
        </is>
      </c>
      <c r="Q1233" t="inlineStr">
        <is>
          <t>UKPN</t>
        </is>
      </c>
      <c r="R1233" t="b">
        <v>0</v>
      </c>
    </row>
    <row r="1234">
      <c r="A1234" t="inlineStr">
        <is>
          <t>18 Aug 2025 / 7951 Austin Tree Care LTD 1 / Utilities / UKPN</t>
        </is>
      </c>
      <c r="B1234" t="inlineStr">
        <is>
          <t>Utilities</t>
        </is>
      </c>
      <c r="C1234" t="inlineStr">
        <is>
          <t>UKPN</t>
        </is>
      </c>
      <c r="D1234" t="inlineStr">
        <is>
          <t>WF61 HZV , 4x4 MEWP , Land Rover , Defender</t>
        </is>
      </c>
      <c r="E1234" t="inlineStr">
        <is>
          <t>WF61 HZV , 4x4 MEWP , Land Rover , Defender</t>
        </is>
      </c>
      <c r="F1234" t="inlineStr">
        <is>
          <t>WF61 HZV , 4x4 MEWP , Land Rover , Defender</t>
        </is>
      </c>
      <c r="G1234" t="inlineStr">
        <is>
          <t xml:space="preserve">James Tasker </t>
        </is>
      </c>
      <c r="H1234" t="inlineStr">
        <is>
          <t>4x4</t>
        </is>
      </c>
      <c r="I1234" t="inlineStr">
        <is>
          <t>Daily/ Weekly Vehicle Inspection</t>
        </is>
      </c>
      <c r="J1234" t="inlineStr">
        <is>
          <t>N/A</t>
        </is>
      </c>
      <c r="K1234" t="inlineStr">
        <is>
          <t>7951 Austin Tree Care LTD 1</t>
        </is>
      </c>
      <c r="L1234" t="inlineStr">
        <is>
          <t>18/08/2025 08:18</t>
        </is>
      </c>
      <c r="M1234" t="inlineStr">
        <is>
          <t>None</t>
        </is>
      </c>
      <c r="N1234" t="inlineStr">
        <is>
          <t>&lt;p&gt;&lt;/p&gt;</t>
        </is>
      </c>
      <c r="O1234" t="inlineStr"/>
      <c r="P1234" t="inlineStr">
        <is>
          <t>WF61 HZV , 4x4 MEWP , Land Rover , Defender</t>
        </is>
      </c>
      <c r="Q1234" t="inlineStr">
        <is>
          <t>UKPN</t>
        </is>
      </c>
      <c r="R1234" t="b">
        <v>0</v>
      </c>
    </row>
    <row r="1235">
      <c r="A1235" t="inlineStr">
        <is>
          <t>18 Aug 2025 / Thomas Playford / Utilities / UKPN</t>
        </is>
      </c>
      <c r="B1235" t="inlineStr">
        <is>
          <t>Utilities</t>
        </is>
      </c>
      <c r="C1235" t="inlineStr">
        <is>
          <t>UKPN</t>
        </is>
      </c>
      <c r="D1235" t="inlineStr">
        <is>
          <t>Equipment Trailer - I For Williams Custom - Chipper Trailer - 47336638</t>
        </is>
      </c>
      <c r="E1235" t="inlineStr">
        <is>
          <t>Equipment Trailer - I For Williams Custom - Chipper Trailer - 47336638</t>
        </is>
      </c>
      <c r="F1235" t="inlineStr">
        <is>
          <t>Equipment Trailer - I For Williams Custom - Chipper Trailer - 47336638</t>
        </is>
      </c>
      <c r="G1235" t="inlineStr">
        <is>
          <t>Jacob Oram</t>
        </is>
      </c>
      <c r="H1235" t="inlineStr">
        <is>
          <t>Plant Trailer</t>
        </is>
      </c>
      <c r="I1235" t="inlineStr">
        <is>
          <t>Daily/ Weekly Vehicle Inspection</t>
        </is>
      </c>
      <c r="J1235" t="inlineStr">
        <is>
          <t>N/A</t>
        </is>
      </c>
      <c r="K1235" t="inlineStr">
        <is>
          <t>7995 Contour Landscapes Ltd 2</t>
        </is>
      </c>
      <c r="L1235" t="inlineStr">
        <is>
          <t>18/08/2025 08:21</t>
        </is>
      </c>
      <c r="M1235" t="inlineStr">
        <is>
          <t>None</t>
        </is>
      </c>
      <c r="N1235" t="inlineStr">
        <is>
          <t>&lt;p&gt;&lt;/p&gt;</t>
        </is>
      </c>
      <c r="O1235" t="inlineStr"/>
      <c r="P1235" t="inlineStr">
        <is>
          <t>Equipment Trailer - I For Williams Custom - Chipper Trailer - 47336638</t>
        </is>
      </c>
      <c r="Q1235" t="inlineStr">
        <is>
          <t>UKPN</t>
        </is>
      </c>
      <c r="R1235" t="b">
        <v>0</v>
      </c>
    </row>
    <row r="1236">
      <c r="A1236" t="inlineStr">
        <is>
          <t>18 Aug 2025 / Thomas Playford / Utilities / UKPN</t>
        </is>
      </c>
      <c r="B1236" t="inlineStr">
        <is>
          <t>Utilities</t>
        </is>
      </c>
      <c r="C1236" t="inlineStr">
        <is>
          <t>UKPN</t>
        </is>
      </c>
      <c r="D1236" t="inlineStr">
        <is>
          <t>YP24 WRD , Vehicle , Ford , Ranger</t>
        </is>
      </c>
      <c r="E1236" t="inlineStr">
        <is>
          <t>YP24 WRD , Vehicle , Ford , Ranger</t>
        </is>
      </c>
      <c r="F1236" t="inlineStr">
        <is>
          <t>YP24 WRD , Vehicle , Ford , Ranger</t>
        </is>
      </c>
      <c r="G1236" t="inlineStr">
        <is>
          <t>Jacob Oram</t>
        </is>
      </c>
      <c r="H1236" t="inlineStr">
        <is>
          <t>4x4</t>
        </is>
      </c>
      <c r="I1236" t="inlineStr">
        <is>
          <t>Daily/ Weekly Vehicle Inspection</t>
        </is>
      </c>
      <c r="J1236" t="inlineStr">
        <is>
          <t>N/A</t>
        </is>
      </c>
      <c r="K1236" t="inlineStr">
        <is>
          <t>7995 Contour Landscapes Ltd 2</t>
        </is>
      </c>
      <c r="L1236" t="inlineStr">
        <is>
          <t>18/08/2025 08:22</t>
        </is>
      </c>
      <c r="M1236" t="inlineStr">
        <is>
          <t>None</t>
        </is>
      </c>
      <c r="N1236" t="inlineStr">
        <is>
          <t>&lt;p&gt;&lt;/p&gt;</t>
        </is>
      </c>
      <c r="O1236" t="inlineStr"/>
      <c r="P1236" t="inlineStr">
        <is>
          <t>YP24 WRD , Vehicle , Ford , Ranger</t>
        </is>
      </c>
      <c r="Q1236" t="inlineStr">
        <is>
          <t>UKPN</t>
        </is>
      </c>
      <c r="R1236" t="b">
        <v>0</v>
      </c>
    </row>
    <row r="1237">
      <c r="A1237" t="inlineStr">
        <is>
          <t>18 Aug 2025 / 7996 M G Tree Surgery Ltd / Utilities / UKPN</t>
        </is>
      </c>
      <c r="B1237" t="inlineStr">
        <is>
          <t>Utilities</t>
        </is>
      </c>
      <c r="C1237" t="inlineStr">
        <is>
          <t>UKPN</t>
        </is>
      </c>
      <c r="D1237" t="inlineStr">
        <is>
          <t>GU13 WNL , MEWP , Land Rover , Defender 130</t>
        </is>
      </c>
      <c r="E1237" t="inlineStr">
        <is>
          <t>GU13 WNL , MEWP , Land Rover , Defender 130</t>
        </is>
      </c>
      <c r="F1237" t="inlineStr">
        <is>
          <t>GU13 WNL , MEWP , Land Rover , Defender 130</t>
        </is>
      </c>
      <c r="G1237" t="inlineStr">
        <is>
          <t>Max</t>
        </is>
      </c>
      <c r="H1237" t="inlineStr">
        <is>
          <t>4x4</t>
        </is>
      </c>
      <c r="I1237" t="inlineStr">
        <is>
          <t>Daily/ Weekly Vehicle Inspection</t>
        </is>
      </c>
      <c r="J1237" t="inlineStr">
        <is>
          <t>N/A</t>
        </is>
      </c>
      <c r="K1237" t="inlineStr">
        <is>
          <t>7996 M G Tree Surgery Ltd</t>
        </is>
      </c>
      <c r="L1237" t="inlineStr">
        <is>
          <t>18/08/2025 08:23</t>
        </is>
      </c>
      <c r="M1237" t="inlineStr">
        <is>
          <t>None</t>
        </is>
      </c>
      <c r="N1237" t="inlineStr">
        <is>
          <t>&lt;p&gt;&lt;/p&gt;</t>
        </is>
      </c>
      <c r="O1237" t="inlineStr"/>
      <c r="P1237" t="inlineStr">
        <is>
          <t>GU13 WNL , MEWP , Land Rover , Defender 130</t>
        </is>
      </c>
      <c r="Q1237" t="inlineStr">
        <is>
          <t>UKPN</t>
        </is>
      </c>
      <c r="R1237" t="b">
        <v>0</v>
      </c>
    </row>
    <row r="1238">
      <c r="A1238" t="inlineStr">
        <is>
          <t>18 Aug 2025 / 3098 D &amp; R Landscapes (PEND Arb Rail) / Utilities / UKPN</t>
        </is>
      </c>
      <c r="B1238" t="inlineStr">
        <is>
          <t>Utilities</t>
        </is>
      </c>
      <c r="C1238" t="inlineStr">
        <is>
          <t>UKPN</t>
        </is>
      </c>
      <c r="D1238" t="inlineStr">
        <is>
          <t>WA13ZZK , 4x4 , Land Rover  , Defender</t>
        </is>
      </c>
      <c r="E1238" t="inlineStr">
        <is>
          <t>WA13ZZK , 4x4 , Land Rover  , Defender</t>
        </is>
      </c>
      <c r="F1238" t="inlineStr">
        <is>
          <t>WA13ZZK , 4x4 , Land Rover  , Defender</t>
        </is>
      </c>
      <c r="G1238" t="inlineStr">
        <is>
          <t xml:space="preserve">Dylan </t>
        </is>
      </c>
      <c r="H1238" t="inlineStr">
        <is>
          <t>Pickup Truck</t>
        </is>
      </c>
      <c r="I1238" t="inlineStr">
        <is>
          <t>Daily/ Weekly Vehicle Inspection</t>
        </is>
      </c>
      <c r="J1238" t="inlineStr">
        <is>
          <t>N/A</t>
        </is>
      </c>
      <c r="K1238" t="inlineStr">
        <is>
          <t>3098 D &amp; R Landscapes</t>
        </is>
      </c>
      <c r="L1238" t="inlineStr">
        <is>
          <t>18/08/2025 08:24</t>
        </is>
      </c>
      <c r="M1238" t="inlineStr">
        <is>
          <t>None</t>
        </is>
      </c>
      <c r="N1238" t="inlineStr">
        <is>
          <t>&lt;p&gt;&lt;/p&gt;</t>
        </is>
      </c>
      <c r="O1238" t="inlineStr"/>
      <c r="P1238" t="inlineStr">
        <is>
          <t>WA13ZZK , 4x4 , Land Rover  , Defender</t>
        </is>
      </c>
      <c r="Q1238" t="inlineStr">
        <is>
          <t>UKPN</t>
        </is>
      </c>
      <c r="R1238" t="b">
        <v>0</v>
      </c>
    </row>
    <row r="1239">
      <c r="A1239" t="inlineStr">
        <is>
          <t>18 Aug 2025 / 3098 D &amp; R Landscapes (PEND Arb Rail) / Utilities / UKPN</t>
        </is>
      </c>
      <c r="B1239" t="inlineStr">
        <is>
          <t>Utilities</t>
        </is>
      </c>
      <c r="C1239" t="inlineStr">
        <is>
          <t>UKPN</t>
        </is>
      </c>
      <c r="D1239" t="inlineStr">
        <is>
          <t>Vehicle - Nissan - Navara - BT20 GNZ</t>
        </is>
      </c>
      <c r="E1239" t="inlineStr">
        <is>
          <t>Vehicle - Nissan - Navara - BT20 GNZ</t>
        </is>
      </c>
      <c r="F1239" t="inlineStr">
        <is>
          <t>Vehicle - Nissan - Navara - BT20 GNZ</t>
        </is>
      </c>
      <c r="G1239" t="inlineStr">
        <is>
          <t>Jason</t>
        </is>
      </c>
      <c r="H1239" t="inlineStr">
        <is>
          <t>Pickup Truck</t>
        </is>
      </c>
      <c r="I1239" t="inlineStr">
        <is>
          <t>Daily/ Weekly Vehicle Inspection</t>
        </is>
      </c>
      <c r="J1239" t="inlineStr">
        <is>
          <t>N/A</t>
        </is>
      </c>
      <c r="K1239" t="inlineStr">
        <is>
          <t>3098 D &amp; R Landscapes</t>
        </is>
      </c>
      <c r="L1239" t="inlineStr">
        <is>
          <t>18/08/2025 08:25</t>
        </is>
      </c>
      <c r="M1239" t="inlineStr">
        <is>
          <t>None</t>
        </is>
      </c>
      <c r="N1239" t="inlineStr">
        <is>
          <t>&lt;p&gt;&lt;/p&gt;</t>
        </is>
      </c>
      <c r="O1239" t="inlineStr"/>
      <c r="P1239" t="inlineStr">
        <is>
          <t>Vehicle - Nissan - Navara - BT20 GNZ</t>
        </is>
      </c>
      <c r="Q1239" t="inlineStr">
        <is>
          <t>UKPN</t>
        </is>
      </c>
      <c r="R1239" t="b">
        <v>0</v>
      </c>
    </row>
    <row r="1240">
      <c r="A1240" t="inlineStr">
        <is>
          <t>18 Aug 2025 / 7806 Optimum Tree Services Ltd / Utilities / UKPN</t>
        </is>
      </c>
      <c r="B1240" t="inlineStr">
        <is>
          <t>Utilities</t>
        </is>
      </c>
      <c r="C1240" t="inlineStr">
        <is>
          <t>UKPN</t>
        </is>
      </c>
      <c r="D1240" t="inlineStr">
        <is>
          <t>SA9ST800000283069 , Chipper , Forst , ST 6P</t>
        </is>
      </c>
      <c r="E1240" t="inlineStr">
        <is>
          <t>SA9ST800000283069 , Chipper , Forst , ST 6P</t>
        </is>
      </c>
      <c r="F1240" t="inlineStr">
        <is>
          <t>SA9ST800000283069 , Chipper , Forst , ST 6P</t>
        </is>
      </c>
      <c r="G1240" t="inlineStr">
        <is>
          <t xml:space="preserve">Abraham Davies </t>
        </is>
      </c>
      <c r="H1240" t="inlineStr">
        <is>
          <t>Towed Chipper</t>
        </is>
      </c>
      <c r="I1240" t="inlineStr">
        <is>
          <t>Daily/ Weekly Vehicle Inspection</t>
        </is>
      </c>
      <c r="J1240" t="inlineStr">
        <is>
          <t>N/A</t>
        </is>
      </c>
      <c r="K1240" t="inlineStr">
        <is>
          <t>7806 Optimum Tree Services Ltd</t>
        </is>
      </c>
      <c r="L1240" t="inlineStr">
        <is>
          <t>18/08/2025 08:27</t>
        </is>
      </c>
      <c r="M1240" t="inlineStr">
        <is>
          <t>None</t>
        </is>
      </c>
      <c r="N1240" t="inlineStr">
        <is>
          <t>&lt;p&gt;&lt;/p&gt;</t>
        </is>
      </c>
      <c r="O1240" t="inlineStr"/>
      <c r="P1240" t="inlineStr">
        <is>
          <t>SA9ST800000283069 , Chipper , Forst , ST 6P</t>
        </is>
      </c>
      <c r="Q1240" t="inlineStr">
        <is>
          <t>UKPN</t>
        </is>
      </c>
      <c r="R1240" t="b">
        <v>0</v>
      </c>
    </row>
    <row r="1241">
      <c r="A1241" t="inlineStr">
        <is>
          <t>18 Aug 2025 / Anthony Gale / Utilities / UKPN</t>
        </is>
      </c>
      <c r="B1241" t="inlineStr">
        <is>
          <t>Utilities</t>
        </is>
      </c>
      <c r="C1241" t="inlineStr">
        <is>
          <t>UKPN</t>
        </is>
      </c>
      <c r="D1241" t="inlineStr">
        <is>
          <t>PE07 HGL , Vehicle , Mitsubishi , L200 K74</t>
        </is>
      </c>
      <c r="E1241" t="inlineStr">
        <is>
          <t>PE07 HGL , Vehicle , Mitsubishi , L200 K74</t>
        </is>
      </c>
      <c r="F1241" t="inlineStr">
        <is>
          <t>PE07 HGL , Vehicle , Mitsubishi , L200 K74</t>
        </is>
      </c>
      <c r="G1241" t="inlineStr">
        <is>
          <t>Anthony Gale</t>
        </is>
      </c>
      <c r="H1241" t="inlineStr">
        <is>
          <t>Pickup Truck</t>
        </is>
      </c>
      <c r="I1241" t="inlineStr">
        <is>
          <t>Daily/ Weekly Vehicle Inspection</t>
        </is>
      </c>
      <c r="J1241" t="inlineStr">
        <is>
          <t>N/A</t>
        </is>
      </c>
      <c r="K1241" t="inlineStr">
        <is>
          <t>7996 M G Tree Surgery Ltd 1</t>
        </is>
      </c>
      <c r="L1241" t="inlineStr">
        <is>
          <t>18/08/2025 08:27</t>
        </is>
      </c>
      <c r="M1241" t="inlineStr">
        <is>
          <t>None</t>
        </is>
      </c>
      <c r="N1241" t="inlineStr">
        <is>
          <t>&lt;p&gt;&lt;/p&gt;</t>
        </is>
      </c>
      <c r="O1241" t="inlineStr"/>
      <c r="P1241" t="inlineStr">
        <is>
          <t>PE07 HGL , Vehicle , Mitsubishi , L200 K74</t>
        </is>
      </c>
      <c r="Q1241" t="inlineStr">
        <is>
          <t>UKPN</t>
        </is>
      </c>
      <c r="R1241" t="b">
        <v>0</v>
      </c>
    </row>
    <row r="1242">
      <c r="A1242" t="inlineStr">
        <is>
          <t>18 Aug 2025 / 6617 Ashdown Tree Limited 1 / Utilities / UKPN</t>
        </is>
      </c>
      <c r="B1242" t="inlineStr">
        <is>
          <t>Utilities</t>
        </is>
      </c>
      <c r="C1242" t="inlineStr">
        <is>
          <t>UKPN</t>
        </is>
      </c>
      <c r="D1242" t="inlineStr">
        <is>
          <t>FE11BUT , Tipper , Ford , Transit</t>
        </is>
      </c>
      <c r="E1242" t="inlineStr">
        <is>
          <t>FE11BUT , Tipper , Ford , Transit</t>
        </is>
      </c>
      <c r="F1242" t="inlineStr">
        <is>
          <t>FE11BUT , Tipper , Ford , Transit</t>
        </is>
      </c>
      <c r="G1242" t="inlineStr">
        <is>
          <t xml:space="preserve">Luke williams </t>
        </is>
      </c>
      <c r="H1242" t="inlineStr">
        <is>
          <t>Tipper</t>
        </is>
      </c>
      <c r="I1242" t="inlineStr">
        <is>
          <t>Daily/ Weekly Vehicle Inspection</t>
        </is>
      </c>
      <c r="J1242" t="inlineStr">
        <is>
          <t>N/A</t>
        </is>
      </c>
      <c r="K1242" t="inlineStr">
        <is>
          <t>6617 Ashdown Tree Limited 1</t>
        </is>
      </c>
      <c r="L1242" t="inlineStr">
        <is>
          <t>18/08/2025 10:17</t>
        </is>
      </c>
      <c r="M1242" t="inlineStr">
        <is>
          <t>None</t>
        </is>
      </c>
      <c r="N1242" t="inlineStr">
        <is>
          <t>&lt;p&gt;&lt;/p&gt;</t>
        </is>
      </c>
      <c r="O1242" t="inlineStr"/>
      <c r="P1242" t="inlineStr">
        <is>
          <t>FE11BUT , Tipper , Ford , Transit</t>
        </is>
      </c>
      <c r="Q1242" t="inlineStr">
        <is>
          <t>UKPN</t>
        </is>
      </c>
      <c r="R1242" t="b">
        <v>0</v>
      </c>
    </row>
    <row r="1243">
      <c r="A1243" t="inlineStr">
        <is>
          <t>18 Aug 2025 / 6617 Ashdown Tree Limited 1 / Utilities / UKPN</t>
        </is>
      </c>
      <c r="B1243" t="inlineStr">
        <is>
          <t>Utilities</t>
        </is>
      </c>
      <c r="C1243" t="inlineStr">
        <is>
          <t>UKPN</t>
        </is>
      </c>
      <c r="D1243" t="inlineStr">
        <is>
          <t>WG63OJS , 4x4 , Land rover  , defender</t>
        </is>
      </c>
      <c r="E1243" t="inlineStr">
        <is>
          <t>WG63OJS , 4x4 , Land rover  , defender</t>
        </is>
      </c>
      <c r="F1243" t="inlineStr">
        <is>
          <t>WG63OJS , 4x4 , Land rover  , defender</t>
        </is>
      </c>
      <c r="G1243" t="inlineStr">
        <is>
          <t xml:space="preserve">Francis Lesser </t>
        </is>
      </c>
      <c r="H1243" t="inlineStr">
        <is>
          <t>4x4</t>
        </is>
      </c>
      <c r="I1243" t="inlineStr">
        <is>
          <t>Daily/ Weekly Vehicle Inspection</t>
        </is>
      </c>
      <c r="J1243" t="inlineStr">
        <is>
          <t>N/A</t>
        </is>
      </c>
      <c r="K1243" t="inlineStr">
        <is>
          <t>6617 Ashdown Tree Limited 1</t>
        </is>
      </c>
      <c r="L1243" t="inlineStr">
        <is>
          <t>18/08/2025 10:18</t>
        </is>
      </c>
      <c r="M1243" t="inlineStr">
        <is>
          <t>None</t>
        </is>
      </c>
      <c r="N1243" t="inlineStr">
        <is>
          <t>&lt;p&gt;&lt;/p&gt;</t>
        </is>
      </c>
      <c r="O1243" t="inlineStr"/>
      <c r="P1243" t="inlineStr">
        <is>
          <t>WG63OJS , 4x4 , Land rover  , defender</t>
        </is>
      </c>
      <c r="Q1243" t="inlineStr">
        <is>
          <t>UKPN</t>
        </is>
      </c>
      <c r="R1243" t="b">
        <v>0</v>
      </c>
    </row>
    <row r="1244">
      <c r="A1244" t="inlineStr">
        <is>
          <t>18 Aug 2025 / Joe Sauvage / Utilities / SSE</t>
        </is>
      </c>
      <c r="B1244" t="inlineStr">
        <is>
          <t>Utilities</t>
        </is>
      </c>
      <c r="C1244" t="inlineStr">
        <is>
          <t>SSE</t>
        </is>
      </c>
      <c r="D1244" t="inlineStr">
        <is>
          <t>EO18AEW , Car - Petrol , Ford , Kuga</t>
        </is>
      </c>
      <c r="E1244" t="inlineStr">
        <is>
          <t>EO18AEW , Car - Petrol , Ford , Kuga</t>
        </is>
      </c>
      <c r="F1244" t="inlineStr">
        <is>
          <t>EO18AEW , Car - Petrol , Ford , Kuga</t>
        </is>
      </c>
      <c r="G1244" t="inlineStr">
        <is>
          <t>Joe Sauvage</t>
        </is>
      </c>
      <c r="H1244" t="inlineStr">
        <is>
          <t>Car - Diesel</t>
        </is>
      </c>
      <c r="I1244" t="inlineStr">
        <is>
          <t>Daily/ Weekly Vehicle Inspection</t>
        </is>
      </c>
      <c r="J1244" t="inlineStr">
        <is>
          <t>N/A</t>
        </is>
      </c>
      <c r="K1244" t="inlineStr">
        <is>
          <t>Joe Sauvage</t>
        </is>
      </c>
      <c r="L1244" t="inlineStr">
        <is>
          <t>18/08/2025 11:16</t>
        </is>
      </c>
      <c r="M1244" t="inlineStr">
        <is>
          <t>None</t>
        </is>
      </c>
      <c r="N1244" t="inlineStr">
        <is>
          <t>&lt;p&gt;&lt;/p&gt;</t>
        </is>
      </c>
      <c r="O1244" t="inlineStr"/>
      <c r="P1244" t="inlineStr">
        <is>
          <t>EO18AEW , Car - Petrol , Ford , Kuga</t>
        </is>
      </c>
      <c r="Q1244" t="inlineStr">
        <is>
          <t>SSE</t>
        </is>
      </c>
      <c r="R1244" t="b">
        <v>0</v>
      </c>
    </row>
    <row r="1245">
      <c r="A1245" t="inlineStr">
        <is>
          <t>19 Aug 2025 / 7806 Optimum Tree Services Ltd / Utilities / UKPN</t>
        </is>
      </c>
      <c r="B1245" t="inlineStr">
        <is>
          <t>Utilities</t>
        </is>
      </c>
      <c r="C1245" t="inlineStr">
        <is>
          <t>UKPN</t>
        </is>
      </c>
      <c r="D1245" t="inlineStr">
        <is>
          <t>SA9ST800000283069 , Chipper , Forst , ST 6P</t>
        </is>
      </c>
      <c r="E1245" t="inlineStr">
        <is>
          <t>SA9ST800000283069 , Chipper , Forst , ST 6P</t>
        </is>
      </c>
      <c r="F1245" t="inlineStr">
        <is>
          <t>SA9ST800000283069 , Chipper , Forst , ST 6P</t>
        </is>
      </c>
      <c r="G1245" t="inlineStr">
        <is>
          <t xml:space="preserve">Abraham Davies </t>
        </is>
      </c>
      <c r="H1245" t="inlineStr">
        <is>
          <t>Towed Chipper</t>
        </is>
      </c>
      <c r="I1245" t="inlineStr">
        <is>
          <t>Daily/ Weekly Vehicle Inspection</t>
        </is>
      </c>
      <c r="J1245" t="inlineStr">
        <is>
          <t>N/A</t>
        </is>
      </c>
      <c r="K1245" t="inlineStr">
        <is>
          <t>7806 Optimum Tree Services Ltd</t>
        </is>
      </c>
      <c r="L1245" t="inlineStr">
        <is>
          <t>19/08/2025 07:17</t>
        </is>
      </c>
      <c r="M1245" t="inlineStr">
        <is>
          <t>None</t>
        </is>
      </c>
      <c r="N1245" t="inlineStr">
        <is>
          <t>&lt;p&gt;&lt;/p&gt;</t>
        </is>
      </c>
      <c r="O1245" t="inlineStr"/>
      <c r="P1245" t="inlineStr">
        <is>
          <t>SA9ST800000283069 , Chipper , Forst , ST 6P</t>
        </is>
      </c>
      <c r="Q1245" t="inlineStr">
        <is>
          <t>UKPN</t>
        </is>
      </c>
      <c r="R1245" t="b">
        <v>0</v>
      </c>
    </row>
    <row r="1246">
      <c r="A1246" t="inlineStr">
        <is>
          <t>19 Aug 2025 / 7806 Optimum Tree Services Ltd / Utilities / UKPN</t>
        </is>
      </c>
      <c r="B1246" t="inlineStr">
        <is>
          <t>Utilities</t>
        </is>
      </c>
      <c r="C1246" t="inlineStr">
        <is>
          <t>UKPN</t>
        </is>
      </c>
      <c r="D1246" t="inlineStr">
        <is>
          <t>WD14EVB , MEWP , Land Rover , Defender</t>
        </is>
      </c>
      <c r="E1246" t="inlineStr">
        <is>
          <t>WD14EVB , MEWP , Land Rover , Defender</t>
        </is>
      </c>
      <c r="F1246" t="inlineStr">
        <is>
          <t>WD14EVB , MEWP , Land Rover , Defender</t>
        </is>
      </c>
      <c r="G1246" t="inlineStr">
        <is>
          <t xml:space="preserve">Abraham Davies </t>
        </is>
      </c>
      <c r="H1246" t="inlineStr">
        <is>
          <t>4x4</t>
        </is>
      </c>
      <c r="I1246" t="inlineStr">
        <is>
          <t>Daily/ Weekly Vehicle Inspection</t>
        </is>
      </c>
      <c r="J1246" t="inlineStr">
        <is>
          <t>N/A</t>
        </is>
      </c>
      <c r="K1246" t="inlineStr">
        <is>
          <t>7806 Optimum Tree Services Ltd</t>
        </is>
      </c>
      <c r="L1246" t="inlineStr">
        <is>
          <t>19/08/2025 07:17</t>
        </is>
      </c>
      <c r="M1246" t="inlineStr">
        <is>
          <t>None</t>
        </is>
      </c>
      <c r="N1246" t="inlineStr">
        <is>
          <t>&lt;p&gt;&lt;/p&gt;</t>
        </is>
      </c>
      <c r="O1246" t="inlineStr"/>
      <c r="P1246" t="inlineStr">
        <is>
          <t>WD14EVB , MEWP , Land Rover , Defender</t>
        </is>
      </c>
      <c r="Q1246" t="inlineStr">
        <is>
          <t>UKPN</t>
        </is>
      </c>
      <c r="R1246" t="b">
        <v>0</v>
      </c>
    </row>
    <row r="1247">
      <c r="A1247" t="inlineStr">
        <is>
          <t>19 Aug 2025 / 7889 Tree Tech Suffolk Ltd</t>
        </is>
      </c>
      <c r="B1247" t="inlineStr">
        <is>
          <t>Utilities &amp; Inland Waterways</t>
        </is>
      </c>
      <c r="C1247" t="inlineStr">
        <is>
          <t>UKPN</t>
        </is>
      </c>
      <c r="D1247" t="inlineStr">
        <is>
          <t>Tow Chipper - Jenson - A530L - 5521063948Tipper - Nissan - Navara - NS02TTS4x4 - Isuzu - D-max - NS03 TTS</t>
        </is>
      </c>
      <c r="E1247" t="inlineStr">
        <is>
          <t>Tow Chipper - Jenson - A530L - 5521063948Tipper - Nissan - Navara - NS02TTS4x4 - Isuzu - D-max - NS03 TTS</t>
        </is>
      </c>
      <c r="F1247" t="inlineStr">
        <is>
          <t>Tow Chipper - Jenson - A530L - 5521063948Tipper - Nissan - Navara - NS02TTS4x4 - Isuzu - D-max - NS03 TTS</t>
        </is>
      </c>
      <c r="G1247" t="inlineStr">
        <is>
          <t xml:space="preserve">Danny Appleby Nikki sparrow Danny Appleby </t>
        </is>
      </c>
      <c r="H1247" t="inlineStr">
        <is>
          <t>Towed ChipperTipper4x4</t>
        </is>
      </c>
      <c r="I1247" t="inlineStr">
        <is>
          <t>Daily/ Weekly Vehicle Inspection</t>
        </is>
      </c>
      <c r="J1247" t="inlineStr">
        <is>
          <t>N/A</t>
        </is>
      </c>
      <c r="K1247" t="inlineStr">
        <is>
          <t>7889 Tree Tech Suffolk Ltd</t>
        </is>
      </c>
      <c r="L1247" t="inlineStr">
        <is>
          <t>19/08/2025 07:19</t>
        </is>
      </c>
      <c r="M1247" t="inlineStr">
        <is>
          <t>None</t>
        </is>
      </c>
      <c r="N1247" t="inlineStr">
        <is>
          <t>&lt;p&gt;&lt;/p&gt;</t>
        </is>
      </c>
      <c r="O1247" t="inlineStr">
        <is>
          <t>Select Vehicle:Using another chipper while ours is being fixedSelect Vehicle:KX65 FCZ. Intermittent fault on side lights.</t>
        </is>
      </c>
      <c r="P1247" t="inlineStr">
        <is>
          <t>Tow Chipper - Jenson - A530L - 5521063948Tipper - Nissan - Navara - NS02TTS4x4 - Isuzu - D-max - NS03 TTS</t>
        </is>
      </c>
      <c r="Q1247" t="inlineStr">
        <is>
          <t>UKPN</t>
        </is>
      </c>
      <c r="R1247" t="b">
        <v>0</v>
      </c>
    </row>
    <row r="1248">
      <c r="A1248" t="inlineStr">
        <is>
          <t>19 Aug 2025 / Anthony Gale / Utilities / UKPN</t>
        </is>
      </c>
      <c r="B1248" t="inlineStr">
        <is>
          <t>Utilities</t>
        </is>
      </c>
      <c r="C1248" t="inlineStr">
        <is>
          <t>UKPN</t>
        </is>
      </c>
      <c r="D1248" t="inlineStr">
        <is>
          <t>PE07 HGL , Vehicle , Mitsubishi , L200 K74</t>
        </is>
      </c>
      <c r="E1248" t="inlineStr">
        <is>
          <t>PE07 HGL , Vehicle , Mitsubishi , L200 K74</t>
        </is>
      </c>
      <c r="F1248" t="inlineStr">
        <is>
          <t>PE07 HGL , Vehicle , Mitsubishi , L200 K74</t>
        </is>
      </c>
      <c r="G1248" t="inlineStr">
        <is>
          <t>Anthony Gale</t>
        </is>
      </c>
      <c r="H1248" t="inlineStr">
        <is>
          <t>Pickup Truck</t>
        </is>
      </c>
      <c r="I1248" t="inlineStr">
        <is>
          <t>Daily/ Weekly Vehicle Inspection</t>
        </is>
      </c>
      <c r="J1248" t="inlineStr">
        <is>
          <t>N/A</t>
        </is>
      </c>
      <c r="K1248" t="inlineStr">
        <is>
          <t>7996 M G Tree Surgery Ltd 1</t>
        </is>
      </c>
      <c r="L1248" t="inlineStr">
        <is>
          <t>19/08/2025 07:19</t>
        </is>
      </c>
      <c r="M1248" t="inlineStr">
        <is>
          <t>None</t>
        </is>
      </c>
      <c r="N1248" t="inlineStr">
        <is>
          <t>&lt;p&gt;&lt;/p&gt;</t>
        </is>
      </c>
      <c r="O1248" t="inlineStr"/>
      <c r="P1248" t="inlineStr">
        <is>
          <t>PE07 HGL , Vehicle , Mitsubishi , L200 K74</t>
        </is>
      </c>
      <c r="Q1248" t="inlineStr">
        <is>
          <t>UKPN</t>
        </is>
      </c>
      <c r="R1248" t="b">
        <v>0</v>
      </c>
    </row>
    <row r="1249">
      <c r="A1249" t="inlineStr">
        <is>
          <t>19 Aug 2025 / 7951 Austin Tree Care LTD / Utilities / UKPN</t>
        </is>
      </c>
      <c r="B1249" t="inlineStr">
        <is>
          <t>Utilities</t>
        </is>
      </c>
      <c r="C1249" t="inlineStr">
        <is>
          <t>UKPN</t>
        </is>
      </c>
      <c r="D1249" t="inlineStr">
        <is>
          <t>Kn58xuy , Tipper , VW  , Crafter</t>
        </is>
      </c>
      <c r="E1249" t="inlineStr">
        <is>
          <t>Kn58xuy , Tipper , VW  , Crafter</t>
        </is>
      </c>
      <c r="F1249" t="inlineStr">
        <is>
          <t>Kn58xuy , Tipper , VW  , Crafter</t>
        </is>
      </c>
      <c r="G1249" t="inlineStr">
        <is>
          <t>Jack Austin</t>
        </is>
      </c>
      <c r="H1249" t="inlineStr">
        <is>
          <t>Tipper</t>
        </is>
      </c>
      <c r="I1249" t="inlineStr">
        <is>
          <t>Daily/ Weekly Vehicle Inspection</t>
        </is>
      </c>
      <c r="J1249" t="inlineStr">
        <is>
          <t>N/A</t>
        </is>
      </c>
      <c r="K1249" t="inlineStr">
        <is>
          <t>7951 Austin Tree Care LTD</t>
        </is>
      </c>
      <c r="L1249" t="inlineStr">
        <is>
          <t>19/08/2025 08:17</t>
        </is>
      </c>
      <c r="M1249" t="inlineStr">
        <is>
          <t>None</t>
        </is>
      </c>
      <c r="N1249" t="inlineStr">
        <is>
          <t>&lt;p&gt;&lt;/p&gt;</t>
        </is>
      </c>
      <c r="O1249" t="inlineStr"/>
      <c r="P1249" t="inlineStr">
        <is>
          <t>Kn58xuy , Tipper , VW  , Crafter</t>
        </is>
      </c>
      <c r="Q1249" t="inlineStr">
        <is>
          <t>UKPN</t>
        </is>
      </c>
      <c r="R1249" t="b">
        <v>0</v>
      </c>
    </row>
    <row r="1250">
      <c r="A1250" t="inlineStr">
        <is>
          <t>19 Aug 2025 / Thomas Playford / Utilities / UKPN</t>
        </is>
      </c>
      <c r="B1250" t="inlineStr">
        <is>
          <t>Utilities</t>
        </is>
      </c>
      <c r="C1250" t="inlineStr">
        <is>
          <t>UKPN</t>
        </is>
      </c>
      <c r="D1250" t="inlineStr">
        <is>
          <t>SA9ST800000283944 , Tow Chipper , Forst , ST8D - Towed</t>
        </is>
      </c>
      <c r="E1250" t="inlineStr">
        <is>
          <t>SA9ST800000283944 , Tow Chipper , Forst , ST8D - Towed</t>
        </is>
      </c>
      <c r="F1250" t="inlineStr">
        <is>
          <t>SA9ST800000283944 , Tow Chipper , Forst , ST8D - Towed</t>
        </is>
      </c>
      <c r="G1250" t="inlineStr">
        <is>
          <t>Jacob Oram</t>
        </is>
      </c>
      <c r="H1250" t="inlineStr">
        <is>
          <t>Towed Chipper</t>
        </is>
      </c>
      <c r="I1250" t="inlineStr">
        <is>
          <t>Daily/ Weekly Vehicle Inspection</t>
        </is>
      </c>
      <c r="J1250" t="inlineStr">
        <is>
          <t>N/A</t>
        </is>
      </c>
      <c r="K1250" t="inlineStr">
        <is>
          <t>7995 Contour Landscapes Ltd 2</t>
        </is>
      </c>
      <c r="L1250" t="inlineStr">
        <is>
          <t>19/08/2025 08:17</t>
        </is>
      </c>
      <c r="M1250" t="inlineStr">
        <is>
          <t>None</t>
        </is>
      </c>
      <c r="N1250" t="inlineStr">
        <is>
          <t>&lt;p&gt;&lt;/p&gt;</t>
        </is>
      </c>
      <c r="O1250" t="inlineStr"/>
      <c r="P1250" t="inlineStr">
        <is>
          <t>SA9ST800000283944 , Tow Chipper , Forst , ST8D - Towed</t>
        </is>
      </c>
      <c r="Q1250" t="inlineStr">
        <is>
          <t>UKPN</t>
        </is>
      </c>
      <c r="R1250" t="b">
        <v>0</v>
      </c>
    </row>
    <row r="1251">
      <c r="A1251" t="inlineStr">
        <is>
          <t>19 Aug 2025 / Thomas Playford / Utilities / UKPN</t>
        </is>
      </c>
      <c r="B1251" t="inlineStr">
        <is>
          <t>Utilities</t>
        </is>
      </c>
      <c r="C1251" t="inlineStr">
        <is>
          <t>UKPN</t>
        </is>
      </c>
      <c r="D1251" t="inlineStr">
        <is>
          <t>YP24 WRD , Vehicle , Ford , Ranger</t>
        </is>
      </c>
      <c r="E1251" t="inlineStr">
        <is>
          <t>YP24 WRD , Vehicle , Ford , Ranger</t>
        </is>
      </c>
      <c r="F1251" t="inlineStr">
        <is>
          <t>YP24 WRD , Vehicle , Ford , Ranger</t>
        </is>
      </c>
      <c r="G1251" t="inlineStr">
        <is>
          <t>Jacob Oram</t>
        </is>
      </c>
      <c r="H1251" t="inlineStr">
        <is>
          <t>4x4</t>
        </is>
      </c>
      <c r="I1251" t="inlineStr">
        <is>
          <t>Daily/ Weekly Vehicle Inspection</t>
        </is>
      </c>
      <c r="J1251" t="inlineStr">
        <is>
          <t>N/A</t>
        </is>
      </c>
      <c r="K1251" t="inlineStr">
        <is>
          <t>7995 Contour Landscapes Ltd 2</t>
        </is>
      </c>
      <c r="L1251" t="inlineStr">
        <is>
          <t>19/08/2025 08:18</t>
        </is>
      </c>
      <c r="M1251" t="inlineStr">
        <is>
          <t>None</t>
        </is>
      </c>
      <c r="N1251" t="inlineStr">
        <is>
          <t>&lt;p&gt;&lt;/p&gt;</t>
        </is>
      </c>
      <c r="O1251" t="inlineStr"/>
      <c r="P1251" t="inlineStr">
        <is>
          <t>YP24 WRD , Vehicle , Ford , Ranger</t>
        </is>
      </c>
      <c r="Q1251" t="inlineStr">
        <is>
          <t>UKPN</t>
        </is>
      </c>
      <c r="R1251" t="b">
        <v>0</v>
      </c>
    </row>
    <row r="1252">
      <c r="A1252" t="inlineStr">
        <is>
          <t>19 Aug 2025 / 7951 Austin Tree Care LTD 1 / Utilities / UKPN</t>
        </is>
      </c>
      <c r="B1252" t="inlineStr">
        <is>
          <t>Utilities</t>
        </is>
      </c>
      <c r="C1252" t="inlineStr">
        <is>
          <t>UKPN</t>
        </is>
      </c>
      <c r="D1252" t="inlineStr">
        <is>
          <t>WF61 HZV , 4x4 MEWP , Land Rover , Defender</t>
        </is>
      </c>
      <c r="E1252" t="inlineStr">
        <is>
          <t>WF61 HZV , 4x4 MEWP , Land Rover , Defender</t>
        </is>
      </c>
      <c r="F1252" t="inlineStr">
        <is>
          <t>WF61 HZV , 4x4 MEWP , Land Rover , Defender</t>
        </is>
      </c>
      <c r="G1252" t="inlineStr">
        <is>
          <t xml:space="preserve">James Tasker </t>
        </is>
      </c>
      <c r="H1252" t="inlineStr">
        <is>
          <t>4x4</t>
        </is>
      </c>
      <c r="I1252" t="inlineStr">
        <is>
          <t>Daily/ Weekly Vehicle Inspection</t>
        </is>
      </c>
      <c r="J1252" t="inlineStr">
        <is>
          <t>N/A</t>
        </is>
      </c>
      <c r="K1252" t="inlineStr">
        <is>
          <t>7951 Austin Tree Care LTD 1</t>
        </is>
      </c>
      <c r="L1252" t="inlineStr">
        <is>
          <t>19/08/2025 08:18</t>
        </is>
      </c>
      <c r="M1252" t="inlineStr">
        <is>
          <t>None</t>
        </is>
      </c>
      <c r="N1252" t="inlineStr">
        <is>
          <t>&lt;p&gt;&lt;/p&gt;</t>
        </is>
      </c>
      <c r="O1252" t="inlineStr"/>
      <c r="P1252" t="inlineStr">
        <is>
          <t>WF61 HZV , 4x4 MEWP , Land Rover , Defender</t>
        </is>
      </c>
      <c r="Q1252" t="inlineStr">
        <is>
          <t>UKPN</t>
        </is>
      </c>
      <c r="R1252" t="b">
        <v>0</v>
      </c>
    </row>
    <row r="1253">
      <c r="A1253" t="inlineStr">
        <is>
          <t>19 Aug 2025 / 7800 MAC Tree Surgery and Fencing Ltd</t>
        </is>
      </c>
      <c r="B1253" t="inlineStr">
        <is>
          <t>Utilities &amp; Inland Waterways</t>
        </is>
      </c>
      <c r="C1253" t="inlineStr">
        <is>
          <t>UKPN</t>
        </is>
      </c>
      <c r="D1253" t="inlineStr">
        <is>
          <t>205143043-A1 , Tow Chipper , Timberwolf , TW150</t>
        </is>
      </c>
      <c r="E1253" t="inlineStr">
        <is>
          <t>205143043-A1 , Tow Chipper , Timberwolf , TW150</t>
        </is>
      </c>
      <c r="F1253" t="inlineStr">
        <is>
          <t>205143043-A1 , Tow Chipper , Timberwolf , TW150</t>
        </is>
      </c>
      <c r="G1253" t="inlineStr">
        <is>
          <t xml:space="preserve">Lewis mac </t>
        </is>
      </c>
      <c r="H1253" t="inlineStr">
        <is>
          <t>Towed Chipper</t>
        </is>
      </c>
      <c r="I1253" t="inlineStr">
        <is>
          <t>Daily/ Weekly Vehicle Inspection</t>
        </is>
      </c>
      <c r="J1253" t="inlineStr">
        <is>
          <t>N/A</t>
        </is>
      </c>
      <c r="K1253" t="inlineStr">
        <is>
          <t>7800 MAC Tree Surgery and Fencing Ltd</t>
        </is>
      </c>
      <c r="L1253" t="inlineStr">
        <is>
          <t>19/08/2025 08:19</t>
        </is>
      </c>
      <c r="M1253" t="inlineStr">
        <is>
          <t>None</t>
        </is>
      </c>
      <c r="N1253" t="inlineStr">
        <is>
          <t>&lt;p&gt;&lt;/p&gt;</t>
        </is>
      </c>
      <c r="O1253" t="inlineStr"/>
      <c r="P1253" t="inlineStr">
        <is>
          <t>205143043-A1 , Tow Chipper , Timberwolf , TW150</t>
        </is>
      </c>
      <c r="Q1253" t="inlineStr">
        <is>
          <t>UKPN</t>
        </is>
      </c>
      <c r="R1253" t="b">
        <v>0</v>
      </c>
    </row>
    <row r="1254">
      <c r="A1254" t="inlineStr">
        <is>
          <t>19 Aug 2025 / 7800 MAC Tree Surgery and Fencing Ltd</t>
        </is>
      </c>
      <c r="B1254" t="inlineStr">
        <is>
          <t>Utilities &amp; Inland Waterways</t>
        </is>
      </c>
      <c r="C1254" t="inlineStr">
        <is>
          <t>UKPN</t>
        </is>
      </c>
      <c r="D1254" t="inlineStr">
        <is>
          <t>AY68DAA , 4x4 , Izuzu , Dmax</t>
        </is>
      </c>
      <c r="E1254" t="inlineStr">
        <is>
          <t>AY68DAA , 4x4 , Izuzu , Dmax</t>
        </is>
      </c>
      <c r="F1254" t="inlineStr">
        <is>
          <t>AY68DAA , 4x4 , Izuzu , Dmax</t>
        </is>
      </c>
      <c r="G1254" t="inlineStr">
        <is>
          <t xml:space="preserve">Lewis mac </t>
        </is>
      </c>
      <c r="H1254" t="inlineStr">
        <is>
          <t>4x4</t>
        </is>
      </c>
      <c r="I1254" t="inlineStr">
        <is>
          <t>Daily/ Weekly Vehicle Inspection</t>
        </is>
      </c>
      <c r="J1254" t="inlineStr">
        <is>
          <t>N/A</t>
        </is>
      </c>
      <c r="K1254" t="inlineStr">
        <is>
          <t>7800 MAC Tree Surgery and Fencing Ltd</t>
        </is>
      </c>
      <c r="L1254" t="inlineStr">
        <is>
          <t>19/08/2025 08:20</t>
        </is>
      </c>
      <c r="M1254" t="inlineStr">
        <is>
          <t>None</t>
        </is>
      </c>
      <c r="N1254" t="inlineStr">
        <is>
          <t>&lt;p&gt;&lt;/p&gt;</t>
        </is>
      </c>
      <c r="O1254" t="inlineStr"/>
      <c r="P1254" t="inlineStr">
        <is>
          <t>AY68DAA , 4x4 , Izuzu , Dmax</t>
        </is>
      </c>
      <c r="Q1254" t="inlineStr">
        <is>
          <t>UKPN</t>
        </is>
      </c>
      <c r="R1254" t="b">
        <v>0</v>
      </c>
    </row>
    <row r="1255">
      <c r="A1255" t="inlineStr">
        <is>
          <t>19 Aug 2025 / 7186 Eastwoodbury Tree Services Ltd 1 / Utilities / UKPN</t>
        </is>
      </c>
      <c r="B1255" t="inlineStr">
        <is>
          <t>Utilities</t>
        </is>
      </c>
      <c r="C1255" t="inlineStr">
        <is>
          <t>UKPN</t>
        </is>
      </c>
      <c r="D1255" t="inlineStr">
        <is>
          <t>FN600XM , 4x4 , Land Rover  , Defender</t>
        </is>
      </c>
      <c r="E1255" t="inlineStr">
        <is>
          <t>FN600XM , 4x4 , Land Rover  , Defender</t>
        </is>
      </c>
      <c r="F1255" t="inlineStr">
        <is>
          <t>FN600XM , 4x4 , Land Rover  , Defender</t>
        </is>
      </c>
      <c r="G1255" t="inlineStr">
        <is>
          <t xml:space="preserve">Dan </t>
        </is>
      </c>
      <c r="H1255" t="inlineStr">
        <is>
          <t>4x4</t>
        </is>
      </c>
      <c r="I1255" t="inlineStr">
        <is>
          <t>Daily/ Weekly Vehicle Inspection</t>
        </is>
      </c>
      <c r="J1255" t="inlineStr">
        <is>
          <t>N/A</t>
        </is>
      </c>
      <c r="K1255" t="inlineStr">
        <is>
          <t>7186 Eastwoodbury Tree Services Ltd 1</t>
        </is>
      </c>
      <c r="L1255" t="inlineStr">
        <is>
          <t>19/08/2025 08:21</t>
        </is>
      </c>
      <c r="M1255" t="inlineStr">
        <is>
          <t>None</t>
        </is>
      </c>
      <c r="N1255" t="inlineStr">
        <is>
          <t>&lt;p&gt;&lt;/p&gt;</t>
        </is>
      </c>
      <c r="O1255" t="inlineStr"/>
      <c r="P1255" t="inlineStr">
        <is>
          <t>FN600XM , 4x4 , Land Rover  , Defender</t>
        </is>
      </c>
      <c r="Q1255" t="inlineStr">
        <is>
          <t>UKPN</t>
        </is>
      </c>
      <c r="R1255" t="b">
        <v>0</v>
      </c>
    </row>
    <row r="1256">
      <c r="A1256" t="inlineStr">
        <is>
          <t>19 Aug 2025 / 7996 M G Tree Surgery Ltd / Utilities / UKPN</t>
        </is>
      </c>
      <c r="B1256" t="inlineStr">
        <is>
          <t>Utilities</t>
        </is>
      </c>
      <c r="C1256" t="inlineStr">
        <is>
          <t>UKPN</t>
        </is>
      </c>
      <c r="D1256" t="inlineStr">
        <is>
          <t>GU13 WNL , MEWP , Land Rover , Defender 130</t>
        </is>
      </c>
      <c r="E1256" t="inlineStr">
        <is>
          <t>GU13 WNL , MEWP , Land Rover , Defender 130</t>
        </is>
      </c>
      <c r="F1256" t="inlineStr">
        <is>
          <t>GU13 WNL , MEWP , Land Rover , Defender 130</t>
        </is>
      </c>
      <c r="G1256" t="inlineStr">
        <is>
          <t>Max</t>
        </is>
      </c>
      <c r="H1256" t="inlineStr">
        <is>
          <t>4x4</t>
        </is>
      </c>
      <c r="I1256" t="inlineStr">
        <is>
          <t>Daily/ Weekly Vehicle Inspection</t>
        </is>
      </c>
      <c r="J1256" t="inlineStr">
        <is>
          <t>N/A</t>
        </is>
      </c>
      <c r="K1256" t="inlineStr">
        <is>
          <t>7996 M G Tree Surgery Ltd</t>
        </is>
      </c>
      <c r="L1256" t="inlineStr">
        <is>
          <t>19/08/2025 08:21</t>
        </is>
      </c>
      <c r="M1256" t="inlineStr">
        <is>
          <t>None</t>
        </is>
      </c>
      <c r="N1256" t="inlineStr">
        <is>
          <t>&lt;p&gt;&lt;/p&gt;</t>
        </is>
      </c>
      <c r="O1256" t="inlineStr"/>
      <c r="P1256" t="inlineStr">
        <is>
          <t>GU13 WNL , MEWP , Land Rover , Defender 130</t>
        </is>
      </c>
      <c r="Q1256" t="inlineStr">
        <is>
          <t>UKPN</t>
        </is>
      </c>
      <c r="R1256" t="b">
        <v>0</v>
      </c>
    </row>
    <row r="1257">
      <c r="A1257" t="inlineStr">
        <is>
          <t>19 Aug 2025 / 6617 Ashdown Tree Limited 1 / Utilities / UKPN</t>
        </is>
      </c>
      <c r="B1257" t="inlineStr">
        <is>
          <t>Utilities</t>
        </is>
      </c>
      <c r="C1257" t="inlineStr">
        <is>
          <t>UKPN</t>
        </is>
      </c>
      <c r="D1257" t="inlineStr">
        <is>
          <t>WF11EJJ , Vehicle , Land Rover , Discovery</t>
        </is>
      </c>
      <c r="E1257" t="inlineStr">
        <is>
          <t>WF11EJJ , Vehicle , Land Rover , Discovery</t>
        </is>
      </c>
      <c r="F1257" t="inlineStr">
        <is>
          <t>WF11EJJ , Vehicle , Land Rover , Discovery</t>
        </is>
      </c>
      <c r="G1257" t="inlineStr">
        <is>
          <t xml:space="preserve">Dan mitchell </t>
        </is>
      </c>
      <c r="H1257" t="inlineStr">
        <is>
          <t>4x4</t>
        </is>
      </c>
      <c r="I1257" t="inlineStr">
        <is>
          <t>Daily/ Weekly Vehicle Inspection</t>
        </is>
      </c>
      <c r="J1257" t="inlineStr">
        <is>
          <t>N/A</t>
        </is>
      </c>
      <c r="K1257" t="inlineStr">
        <is>
          <t>6617 Ashdown Tree Limited 1</t>
        </is>
      </c>
      <c r="L1257" t="inlineStr">
        <is>
          <t>19/08/2025 08:22</t>
        </is>
      </c>
      <c r="M1257" t="inlineStr">
        <is>
          <t>None</t>
        </is>
      </c>
      <c r="N1257" t="inlineStr">
        <is>
          <t>&lt;p&gt;&lt;/p&gt;</t>
        </is>
      </c>
      <c r="O1257" t="inlineStr"/>
      <c r="P1257" t="inlineStr">
        <is>
          <t>WF11EJJ , Vehicle , Land Rover , Discovery</t>
        </is>
      </c>
      <c r="Q1257" t="inlineStr">
        <is>
          <t>UKPN</t>
        </is>
      </c>
      <c r="R1257" t="b">
        <v>0</v>
      </c>
    </row>
    <row r="1258">
      <c r="A1258" t="inlineStr">
        <is>
          <t>19 Aug 2025 / 6617 Ashdown Tree Limited 1 / Utilities / UKPN</t>
        </is>
      </c>
      <c r="B1258" t="inlineStr">
        <is>
          <t>Utilities</t>
        </is>
      </c>
      <c r="C1258" t="inlineStr">
        <is>
          <t>UKPN</t>
        </is>
      </c>
      <c r="D1258" t="inlineStr">
        <is>
          <t>SBXTW35A6LS209184 , Tow Chipper , Timberwolf , TW230DHB</t>
        </is>
      </c>
      <c r="E1258" t="inlineStr">
        <is>
          <t>SBXTW35A6LS209184 , Tow Chipper , Timberwolf , TW230DHB</t>
        </is>
      </c>
      <c r="F1258" t="inlineStr">
        <is>
          <t>SBXTW35A6LS209184 , Tow Chipper , Timberwolf , TW230DHB</t>
        </is>
      </c>
      <c r="G1258" t="inlineStr">
        <is>
          <t xml:space="preserve">Francislesser </t>
        </is>
      </c>
      <c r="H1258" t="inlineStr">
        <is>
          <t>Towed Chipper</t>
        </is>
      </c>
      <c r="I1258" t="inlineStr">
        <is>
          <t>Daily/ Weekly Vehicle Inspection</t>
        </is>
      </c>
      <c r="J1258" t="inlineStr">
        <is>
          <t>N/A</t>
        </is>
      </c>
      <c r="K1258" t="inlineStr">
        <is>
          <t>6617 Ashdown Tree Limited 1</t>
        </is>
      </c>
      <c r="L1258" t="inlineStr">
        <is>
          <t>19/08/2025 08:23</t>
        </is>
      </c>
      <c r="M1258" t="inlineStr">
        <is>
          <t>None</t>
        </is>
      </c>
      <c r="N1258" t="inlineStr">
        <is>
          <t>&lt;p&gt;&lt;/p&gt;</t>
        </is>
      </c>
      <c r="O1258" t="inlineStr"/>
      <c r="P1258" t="inlineStr">
        <is>
          <t>SBXTW35A6LS209184 , Tow Chipper , Timberwolf , TW230DHB</t>
        </is>
      </c>
      <c r="Q1258" t="inlineStr">
        <is>
          <t>UKPN</t>
        </is>
      </c>
      <c r="R1258" t="b">
        <v>0</v>
      </c>
    </row>
    <row r="1259">
      <c r="A1259" t="inlineStr">
        <is>
          <t>19 Aug 2025 / 6617 Ashdown Tree Limited 1 / Utilities / UKPN</t>
        </is>
      </c>
      <c r="B1259" t="inlineStr">
        <is>
          <t>Utilities</t>
        </is>
      </c>
      <c r="C1259" t="inlineStr">
        <is>
          <t>UKPN</t>
        </is>
      </c>
      <c r="D1259" t="inlineStr">
        <is>
          <t>WG63OJS , 4x4 , Land rover  , defender</t>
        </is>
      </c>
      <c r="E1259" t="inlineStr">
        <is>
          <t>WG63OJS , 4x4 , Land rover  , defender</t>
        </is>
      </c>
      <c r="F1259" t="inlineStr">
        <is>
          <t>WG63OJS , 4x4 , Land rover  , defender</t>
        </is>
      </c>
      <c r="G1259" t="inlineStr">
        <is>
          <t xml:space="preserve">Francislesser </t>
        </is>
      </c>
      <c r="H1259" t="inlineStr">
        <is>
          <t>4x4</t>
        </is>
      </c>
      <c r="I1259" t="inlineStr">
        <is>
          <t>Daily/ Weekly Vehicle Inspection</t>
        </is>
      </c>
      <c r="J1259" t="inlineStr">
        <is>
          <t>N/A</t>
        </is>
      </c>
      <c r="K1259" t="inlineStr">
        <is>
          <t>6617 Ashdown Tree Limited 1</t>
        </is>
      </c>
      <c r="L1259" t="inlineStr">
        <is>
          <t>19/08/2025 08:23</t>
        </is>
      </c>
      <c r="M1259" t="inlineStr">
        <is>
          <t>None</t>
        </is>
      </c>
      <c r="N1259" t="inlineStr">
        <is>
          <t>&lt;p&gt;&lt;/p&gt;</t>
        </is>
      </c>
      <c r="O1259" t="inlineStr"/>
      <c r="P1259" t="inlineStr">
        <is>
          <t>WG63OJS , 4x4 , Land rover  , defender</t>
        </is>
      </c>
      <c r="Q1259" t="inlineStr">
        <is>
          <t>UKPN</t>
        </is>
      </c>
      <c r="R1259" t="b">
        <v>0</v>
      </c>
    </row>
    <row r="1260">
      <c r="A1260" t="inlineStr">
        <is>
          <t>19 Aug 2025 / 6617 Ashdown Tree Limited 1 / Utilities / UKPN</t>
        </is>
      </c>
      <c r="B1260" t="inlineStr">
        <is>
          <t>Utilities</t>
        </is>
      </c>
      <c r="C1260" t="inlineStr">
        <is>
          <t>UKPN</t>
        </is>
      </c>
      <c r="D1260" t="inlineStr">
        <is>
          <t>Plant Trailer - Indespension - 211717 - 211717</t>
        </is>
      </c>
      <c r="E1260" t="inlineStr">
        <is>
          <t>Plant Trailer - Indespension - 211717 - 211717</t>
        </is>
      </c>
      <c r="F1260" t="inlineStr">
        <is>
          <t>Plant Trailer - Indespension - 211717 - 211717</t>
        </is>
      </c>
      <c r="G1260" t="inlineStr">
        <is>
          <t>Dan mitchell</t>
        </is>
      </c>
      <c r="H1260" t="inlineStr">
        <is>
          <t>Plant Trailer</t>
        </is>
      </c>
      <c r="I1260" t="inlineStr">
        <is>
          <t>Daily/ Weekly Vehicle Inspection</t>
        </is>
      </c>
      <c r="J1260" t="inlineStr">
        <is>
          <t>N/A</t>
        </is>
      </c>
      <c r="K1260" t="inlineStr">
        <is>
          <t>6617 Ashdown Tree Limited 1</t>
        </is>
      </c>
      <c r="L1260" t="inlineStr">
        <is>
          <t>19/08/2025 09:18</t>
        </is>
      </c>
      <c r="M1260" t="inlineStr">
        <is>
          <t>None</t>
        </is>
      </c>
      <c r="N1260" t="inlineStr">
        <is>
          <t>&lt;p&gt;&lt;/p&gt;</t>
        </is>
      </c>
      <c r="O1260" t="inlineStr"/>
      <c r="P1260" t="inlineStr">
        <is>
          <t>Plant Trailer - Indespension - 211717 - 211717</t>
        </is>
      </c>
      <c r="Q1260" t="inlineStr">
        <is>
          <t>UKPN</t>
        </is>
      </c>
      <c r="R1260" t="b">
        <v>0</v>
      </c>
    </row>
    <row r="1261">
      <c r="A1261" t="inlineStr">
        <is>
          <t>19 Aug 2025 / Alexander Damar / Utilities / UKPN</t>
        </is>
      </c>
      <c r="B1261" t="inlineStr">
        <is>
          <t>Utilities</t>
        </is>
      </c>
      <c r="C1261" t="inlineStr">
        <is>
          <t>UKPN</t>
        </is>
      </c>
      <c r="D1261" t="inlineStr"/>
      <c r="E1261" t="inlineStr"/>
      <c r="F1261" t="inlineStr"/>
      <c r="G1261" t="inlineStr">
        <is>
          <t>A damar</t>
        </is>
      </c>
      <c r="H1261" t="inlineStr">
        <is>
          <t>Car - Petrol</t>
        </is>
      </c>
      <c r="I1261" t="inlineStr">
        <is>
          <t>Daily/ Weekly Vehicle Inspection</t>
        </is>
      </c>
      <c r="J1261" t="inlineStr">
        <is>
          <t>N/A</t>
        </is>
      </c>
      <c r="K1261" t="inlineStr">
        <is>
          <t>Alexander Damar</t>
        </is>
      </c>
      <c r="L1261" t="inlineStr">
        <is>
          <t>19/08/2025 14:16</t>
        </is>
      </c>
      <c r="M1261" t="inlineStr">
        <is>
          <t>None</t>
        </is>
      </c>
      <c r="N1261" t="inlineStr">
        <is>
          <t>&lt;p&gt;&lt;/p&gt;</t>
        </is>
      </c>
      <c r="O1261" t="inlineStr"/>
      <c r="P1261" t="inlineStr"/>
      <c r="Q1261" t="inlineStr">
        <is>
          <t>UKPN</t>
        </is>
      </c>
      <c r="R1261" t="b">
        <v>0</v>
      </c>
    </row>
    <row r="1262">
      <c r="A1262" t="inlineStr">
        <is>
          <t>19 Aug 2025 / 7951 Austin Tree Care LTD / Utilities / UKPN</t>
        </is>
      </c>
      <c r="B1262" t="inlineStr">
        <is>
          <t>Utilities</t>
        </is>
      </c>
      <c r="C1262" t="inlineStr">
        <is>
          <t>UKPN</t>
        </is>
      </c>
      <c r="D1262" t="inlineStr">
        <is>
          <t>Kn58xuy , Tipper , VW  , Crafter</t>
        </is>
      </c>
      <c r="E1262" t="inlineStr">
        <is>
          <t>Kn58xuy , Tipper , VW  , Crafter</t>
        </is>
      </c>
      <c r="F1262" t="inlineStr">
        <is>
          <t>Kn58xuy , Tipper , VW  , Crafter</t>
        </is>
      </c>
      <c r="G1262" t="inlineStr">
        <is>
          <t>Jack Austin</t>
        </is>
      </c>
      <c r="H1262" t="inlineStr">
        <is>
          <t>Tipper</t>
        </is>
      </c>
      <c r="I1262" t="inlineStr">
        <is>
          <t>Daily/ Weekly Vehicle Inspection</t>
        </is>
      </c>
      <c r="J1262" t="inlineStr">
        <is>
          <t>N/A</t>
        </is>
      </c>
      <c r="K1262" t="inlineStr">
        <is>
          <t>7951 Austin Tree Care LTD</t>
        </is>
      </c>
      <c r="L1262" t="inlineStr">
        <is>
          <t>19/08/2025 18:16</t>
        </is>
      </c>
      <c r="M1262" t="inlineStr">
        <is>
          <t>None</t>
        </is>
      </c>
      <c r="N1262" t="inlineStr">
        <is>
          <t>&lt;p&gt;&lt;/p&gt;</t>
        </is>
      </c>
      <c r="O1262" t="inlineStr"/>
      <c r="P1262" t="inlineStr">
        <is>
          <t>Kn58xuy , Tipper , VW  , Crafter</t>
        </is>
      </c>
      <c r="Q1262" t="inlineStr">
        <is>
          <t>UKPN</t>
        </is>
      </c>
      <c r="R1262" t="b">
        <v>0</v>
      </c>
    </row>
    <row r="1263">
      <c r="A1263" t="inlineStr">
        <is>
          <t>19 Aug 2025 / 7951 Austin Tree Care LTD / Utilities / UKPN</t>
        </is>
      </c>
      <c r="B1263" t="inlineStr">
        <is>
          <t>Utilities</t>
        </is>
      </c>
      <c r="C1263" t="inlineStr">
        <is>
          <t>UKPN</t>
        </is>
      </c>
      <c r="D1263" t="inlineStr">
        <is>
          <t>SA9ST6P0001283612 , Tow Chipper , Forst , ST6p</t>
        </is>
      </c>
      <c r="E1263" t="inlineStr">
        <is>
          <t>SA9ST6P0001283612 , Tow Chipper , Forst , ST6p</t>
        </is>
      </c>
      <c r="F1263" t="inlineStr">
        <is>
          <t>SA9ST6P0001283612 , Tow Chipper , Forst , ST6p</t>
        </is>
      </c>
      <c r="G1263" t="inlineStr">
        <is>
          <t xml:space="preserve">Jack Austin </t>
        </is>
      </c>
      <c r="H1263" t="inlineStr">
        <is>
          <t>Towed Chipper</t>
        </is>
      </c>
      <c r="I1263" t="inlineStr">
        <is>
          <t>Daily/ Weekly Vehicle Inspection</t>
        </is>
      </c>
      <c r="J1263" t="inlineStr">
        <is>
          <t>N/A</t>
        </is>
      </c>
      <c r="K1263" t="inlineStr">
        <is>
          <t>7951 Austin Tree Care LTD</t>
        </is>
      </c>
      <c r="L1263" t="inlineStr">
        <is>
          <t>20/08/2025 01:16</t>
        </is>
      </c>
      <c r="M1263" t="inlineStr">
        <is>
          <t>None</t>
        </is>
      </c>
      <c r="N1263" t="inlineStr">
        <is>
          <t>&lt;p&gt;&lt;/p&gt;</t>
        </is>
      </c>
      <c r="O1263" t="inlineStr"/>
      <c r="P1263" t="inlineStr">
        <is>
          <t>SA9ST6P0001283612 , Tow Chipper , Forst , ST6p</t>
        </is>
      </c>
      <c r="Q1263" t="inlineStr">
        <is>
          <t>UKPN</t>
        </is>
      </c>
      <c r="R1263" t="b">
        <v>0</v>
      </c>
    </row>
    <row r="1264">
      <c r="A1264" t="inlineStr">
        <is>
          <t>20 Aug 2025 / 7951 Austin Tree Care LTD / Utilities / UKPN</t>
        </is>
      </c>
      <c r="B1264" t="inlineStr">
        <is>
          <t>Utilities</t>
        </is>
      </c>
      <c r="C1264" t="inlineStr">
        <is>
          <t>UKPN</t>
        </is>
      </c>
      <c r="D1264" t="inlineStr">
        <is>
          <t>WF61 HZV , 4x4 MEWP , Land Rover , Defender</t>
        </is>
      </c>
      <c r="E1264" t="inlineStr">
        <is>
          <t>WF61 HZV , 4x4 MEWP , Land Rover , Defender</t>
        </is>
      </c>
      <c r="F1264" t="inlineStr">
        <is>
          <t>WF61 HZV , 4x4 MEWP , Land Rover , Defender</t>
        </is>
      </c>
      <c r="G1264" t="inlineStr">
        <is>
          <t xml:space="preserve">Jack Austin </t>
        </is>
      </c>
      <c r="H1264" t="inlineStr">
        <is>
          <t>4x4</t>
        </is>
      </c>
      <c r="I1264" t="inlineStr">
        <is>
          <t>Daily/ Weekly Vehicle Inspection</t>
        </is>
      </c>
      <c r="J1264" t="inlineStr">
        <is>
          <t>N/A</t>
        </is>
      </c>
      <c r="K1264" t="inlineStr">
        <is>
          <t>7951 Austin Tree Care LTD</t>
        </is>
      </c>
      <c r="L1264" t="inlineStr">
        <is>
          <t>20/08/2025 07:16</t>
        </is>
      </c>
      <c r="M1264" t="inlineStr">
        <is>
          <t>None</t>
        </is>
      </c>
      <c r="N1264" t="inlineStr">
        <is>
          <t>&lt;p&gt;&lt;/p&gt;</t>
        </is>
      </c>
      <c r="O1264" t="inlineStr"/>
      <c r="P1264" t="inlineStr">
        <is>
          <t>WF61 HZV , 4x4 MEWP , Land Rover , Defender</t>
        </is>
      </c>
      <c r="Q1264" t="inlineStr">
        <is>
          <t>UKPN</t>
        </is>
      </c>
      <c r="R1264" t="b">
        <v>0</v>
      </c>
    </row>
    <row r="1265">
      <c r="A1265" t="inlineStr">
        <is>
          <t>20 Aug 2025 / 6617 Ashdown Tree Limited 1 / Utilities / UKPN</t>
        </is>
      </c>
      <c r="B1265" t="inlineStr">
        <is>
          <t>Utilities</t>
        </is>
      </c>
      <c r="C1265" t="inlineStr">
        <is>
          <t>UKPN</t>
        </is>
      </c>
      <c r="D1265" t="inlineStr">
        <is>
          <t>SBXTW35A6LS209184 , Tow Chipper , Timberwolf , TW230DHB</t>
        </is>
      </c>
      <c r="E1265" t="inlineStr">
        <is>
          <t>SBXTW35A6LS209184 , Tow Chipper , Timberwolf , TW230DHB</t>
        </is>
      </c>
      <c r="F1265" t="inlineStr">
        <is>
          <t>SBXTW35A6LS209184 , Tow Chipper , Timberwolf , TW230DHB</t>
        </is>
      </c>
      <c r="G1265" t="inlineStr">
        <is>
          <t>Dan mitchell</t>
        </is>
      </c>
      <c r="H1265" t="inlineStr">
        <is>
          <t>Towed Chipper</t>
        </is>
      </c>
      <c r="I1265" t="inlineStr">
        <is>
          <t>Daily/ Weekly Vehicle Inspection</t>
        </is>
      </c>
      <c r="J1265" t="inlineStr">
        <is>
          <t>N/A</t>
        </is>
      </c>
      <c r="K1265" t="inlineStr">
        <is>
          <t>6617 Ashdown Tree Limited 1</t>
        </is>
      </c>
      <c r="L1265" t="inlineStr">
        <is>
          <t>20/08/2025 07:17</t>
        </is>
      </c>
      <c r="M1265" t="inlineStr">
        <is>
          <t>None</t>
        </is>
      </c>
      <c r="N1265" t="inlineStr">
        <is>
          <t>&lt;p&gt;&lt;/p&gt;</t>
        </is>
      </c>
      <c r="O1265" t="inlineStr"/>
      <c r="P1265" t="inlineStr">
        <is>
          <t>SBXTW35A6LS209184 , Tow Chipper , Timberwolf , TW230DHB</t>
        </is>
      </c>
      <c r="Q1265" t="inlineStr">
        <is>
          <t>UKPN</t>
        </is>
      </c>
      <c r="R1265" t="b">
        <v>0</v>
      </c>
    </row>
    <row r="1266">
      <c r="A1266" t="inlineStr">
        <is>
          <t>20 Aug 2025 / 7951 Austin Tree Care LTD / Utilities / UKPN</t>
        </is>
      </c>
      <c r="B1266" t="inlineStr">
        <is>
          <t>Utilities</t>
        </is>
      </c>
      <c r="C1266" t="inlineStr">
        <is>
          <t>UKPN</t>
        </is>
      </c>
      <c r="D1266" t="inlineStr">
        <is>
          <t>SA9ST6P0001283612 , Tow Chipper , Forst , ST6p</t>
        </is>
      </c>
      <c r="E1266" t="inlineStr">
        <is>
          <t>SA9ST6P0001283612 , Tow Chipper , Forst , ST6p</t>
        </is>
      </c>
      <c r="F1266" t="inlineStr">
        <is>
          <t>SA9ST6P0001283612 , Tow Chipper , Forst , ST6p</t>
        </is>
      </c>
      <c r="G1266" t="inlineStr">
        <is>
          <t xml:space="preserve">Jack Austin </t>
        </is>
      </c>
      <c r="H1266" t="inlineStr">
        <is>
          <t>Towed Chipper</t>
        </is>
      </c>
      <c r="I1266" t="inlineStr">
        <is>
          <t>Daily/ Weekly Vehicle Inspection</t>
        </is>
      </c>
      <c r="J1266" t="inlineStr">
        <is>
          <t>N/A</t>
        </is>
      </c>
      <c r="K1266" t="inlineStr">
        <is>
          <t>7951 Austin Tree Care LTD</t>
        </is>
      </c>
      <c r="L1266" t="inlineStr">
        <is>
          <t>20/08/2025 07:17</t>
        </is>
      </c>
      <c r="M1266" t="inlineStr">
        <is>
          <t>None</t>
        </is>
      </c>
      <c r="N1266" t="inlineStr">
        <is>
          <t>&lt;p&gt;&lt;/p&gt;</t>
        </is>
      </c>
      <c r="O1266" t="inlineStr"/>
      <c r="P1266" t="inlineStr">
        <is>
          <t>SA9ST6P0001283612 , Tow Chipper , Forst , ST6p</t>
        </is>
      </c>
      <c r="Q1266" t="inlineStr">
        <is>
          <t>UKPN</t>
        </is>
      </c>
      <c r="R1266" t="b">
        <v>0</v>
      </c>
    </row>
    <row r="1267">
      <c r="A1267" t="inlineStr">
        <is>
          <t>20 Aug 2025 / 6617 Ashdown Tree Limited 1 / Utilities / UKPN</t>
        </is>
      </c>
      <c r="B1267" t="inlineStr">
        <is>
          <t>Utilities</t>
        </is>
      </c>
      <c r="C1267" t="inlineStr">
        <is>
          <t>UKPN</t>
        </is>
      </c>
      <c r="D1267" t="inlineStr">
        <is>
          <t>FE11BUT , Tipper , Ford , Transit</t>
        </is>
      </c>
      <c r="E1267" t="inlineStr">
        <is>
          <t>FE11BUT , Tipper , Ford , Transit</t>
        </is>
      </c>
      <c r="F1267" t="inlineStr">
        <is>
          <t>FE11BUT , Tipper , Ford , Transit</t>
        </is>
      </c>
      <c r="G1267" t="inlineStr">
        <is>
          <t xml:space="preserve">Dan mitchell </t>
        </is>
      </c>
      <c r="H1267" t="inlineStr">
        <is>
          <t>Tipper</t>
        </is>
      </c>
      <c r="I1267" t="inlineStr">
        <is>
          <t>Daily/ Weekly Vehicle Inspection</t>
        </is>
      </c>
      <c r="J1267" t="inlineStr">
        <is>
          <t>N/A</t>
        </is>
      </c>
      <c r="K1267" t="inlineStr">
        <is>
          <t>6617 Ashdown Tree Limited 1</t>
        </is>
      </c>
      <c r="L1267" t="inlineStr">
        <is>
          <t>20/08/2025 07:18</t>
        </is>
      </c>
      <c r="M1267" t="inlineStr">
        <is>
          <t>None</t>
        </is>
      </c>
      <c r="N1267" t="inlineStr">
        <is>
          <t>&lt;p&gt;&lt;/p&gt;</t>
        </is>
      </c>
      <c r="O1267" t="inlineStr"/>
      <c r="P1267" t="inlineStr">
        <is>
          <t>FE11BUT , Tipper , Ford , Transit</t>
        </is>
      </c>
      <c r="Q1267" t="inlineStr">
        <is>
          <t>UKPN</t>
        </is>
      </c>
      <c r="R1267" t="b">
        <v>0</v>
      </c>
    </row>
    <row r="1268">
      <c r="A1268" t="inlineStr">
        <is>
          <t>20 Aug 2025 / 7186 Eastwoodbury Tree Services Ltd / Utilities / UKPN</t>
        </is>
      </c>
      <c r="B1268" t="inlineStr">
        <is>
          <t>Utilities</t>
        </is>
      </c>
      <c r="C1268" t="inlineStr">
        <is>
          <t>UKPN</t>
        </is>
      </c>
      <c r="D1268" t="inlineStr">
        <is>
          <t>AO57BPF , 4x4 , Santana  , Ps10</t>
        </is>
      </c>
      <c r="E1268" t="inlineStr">
        <is>
          <t>AO57BPF , 4x4 , Santana  , Ps10</t>
        </is>
      </c>
      <c r="F1268" t="inlineStr">
        <is>
          <t>AO57BPF , 4x4 , Santana  , Ps10</t>
        </is>
      </c>
      <c r="G1268" t="inlineStr">
        <is>
          <t xml:space="preserve">Jay Denkmayer </t>
        </is>
      </c>
      <c r="H1268" t="inlineStr">
        <is>
          <t>4x4</t>
        </is>
      </c>
      <c r="I1268" t="inlineStr">
        <is>
          <t>Daily/ Weekly Vehicle Inspection</t>
        </is>
      </c>
      <c r="J1268" t="inlineStr">
        <is>
          <t>N/A</t>
        </is>
      </c>
      <c r="K1268" t="inlineStr">
        <is>
          <t>7186 Eastwoodbury Tree Services Ltd</t>
        </is>
      </c>
      <c r="L1268" t="inlineStr">
        <is>
          <t>20/08/2025 07:19</t>
        </is>
      </c>
      <c r="M1268" t="inlineStr">
        <is>
          <t>None</t>
        </is>
      </c>
      <c r="N1268" t="inlineStr">
        <is>
          <t>&lt;p&gt;&lt;/p&gt;</t>
        </is>
      </c>
      <c r="O1268" t="inlineStr"/>
      <c r="P1268" t="inlineStr">
        <is>
          <t>AO57BPF , 4x4 , Santana  , Ps10</t>
        </is>
      </c>
      <c r="Q1268" t="inlineStr">
        <is>
          <t>UKPN</t>
        </is>
      </c>
      <c r="R1268" t="b">
        <v>0</v>
      </c>
    </row>
    <row r="1269">
      <c r="A1269" t="inlineStr">
        <is>
          <t>20 Aug 2025 / 6617 Ashdown Tree Limited 1 / Utilities / UKPN</t>
        </is>
      </c>
      <c r="B1269" t="inlineStr">
        <is>
          <t>Utilities</t>
        </is>
      </c>
      <c r="C1269" t="inlineStr">
        <is>
          <t>UKPN</t>
        </is>
      </c>
      <c r="D1269" t="inlineStr">
        <is>
          <t>WF11EJJ , Vehicle , Land Rover , Discovery</t>
        </is>
      </c>
      <c r="E1269" t="inlineStr">
        <is>
          <t>WF11EJJ , Vehicle , Land Rover , Discovery</t>
        </is>
      </c>
      <c r="F1269" t="inlineStr">
        <is>
          <t>WF11EJJ , Vehicle , Land Rover , Discovery</t>
        </is>
      </c>
      <c r="G1269" t="inlineStr">
        <is>
          <t xml:space="preserve">Francislesser </t>
        </is>
      </c>
      <c r="H1269" t="inlineStr">
        <is>
          <t>4x4</t>
        </is>
      </c>
      <c r="I1269" t="inlineStr">
        <is>
          <t>Daily/ Weekly Vehicle Inspection</t>
        </is>
      </c>
      <c r="J1269" t="inlineStr">
        <is>
          <t>N/A</t>
        </is>
      </c>
      <c r="K1269" t="inlineStr">
        <is>
          <t>6617 Ashdown Tree Limited 1</t>
        </is>
      </c>
      <c r="L1269" t="inlineStr">
        <is>
          <t>20/08/2025 07:19</t>
        </is>
      </c>
      <c r="M1269" t="inlineStr">
        <is>
          <t>None</t>
        </is>
      </c>
      <c r="N1269" t="inlineStr">
        <is>
          <t>&lt;p&gt;&lt;/p&gt;</t>
        </is>
      </c>
      <c r="O1269" t="inlineStr"/>
      <c r="P1269" t="inlineStr">
        <is>
          <t>WF11EJJ , Vehicle , Land Rover , Discovery</t>
        </is>
      </c>
      <c r="Q1269" t="inlineStr">
        <is>
          <t>UKPN</t>
        </is>
      </c>
      <c r="R1269" t="b">
        <v>0</v>
      </c>
    </row>
    <row r="1270">
      <c r="A1270" t="inlineStr">
        <is>
          <t>20 Aug 2025 / 7186 Eastwoodbury Tree Services Ltd / Utilities / UKPN</t>
        </is>
      </c>
      <c r="B1270" t="inlineStr">
        <is>
          <t>Utilities</t>
        </is>
      </c>
      <c r="C1270" t="inlineStr">
        <is>
          <t>UKPN</t>
        </is>
      </c>
      <c r="D1270" t="inlineStr">
        <is>
          <t>FN600XM , 4x4 , Land Rover  , Defender</t>
        </is>
      </c>
      <c r="E1270" t="inlineStr">
        <is>
          <t>FN600XM , 4x4 , Land Rover  , Defender</t>
        </is>
      </c>
      <c r="F1270" t="inlineStr">
        <is>
          <t>FN600XM , 4x4 , Land Rover  , Defender</t>
        </is>
      </c>
      <c r="G1270" t="inlineStr">
        <is>
          <t xml:space="preserve">Dan Gilbert </t>
        </is>
      </c>
      <c r="H1270" t="inlineStr">
        <is>
          <t>4x4</t>
        </is>
      </c>
      <c r="I1270" t="inlineStr">
        <is>
          <t>Daily/ Weekly Vehicle Inspection</t>
        </is>
      </c>
      <c r="J1270" t="inlineStr">
        <is>
          <t>N/A</t>
        </is>
      </c>
      <c r="K1270" t="inlineStr">
        <is>
          <t>7186 Eastwoodbury Tree Services Ltd</t>
        </is>
      </c>
      <c r="L1270" t="inlineStr">
        <is>
          <t>20/08/2025 07:20</t>
        </is>
      </c>
      <c r="M1270" t="inlineStr">
        <is>
          <t>None</t>
        </is>
      </c>
      <c r="N1270" t="inlineStr">
        <is>
          <t>&lt;p&gt;&lt;/p&gt;</t>
        </is>
      </c>
      <c r="O1270" t="inlineStr"/>
      <c r="P1270" t="inlineStr">
        <is>
          <t>FN600XM , 4x4 , Land Rover  , Defender</t>
        </is>
      </c>
      <c r="Q1270" t="inlineStr">
        <is>
          <t>UKPN</t>
        </is>
      </c>
      <c r="R1270" t="b">
        <v>0</v>
      </c>
    </row>
    <row r="1271">
      <c r="A1271" t="inlineStr">
        <is>
          <t>20 Aug 2025 / 3098 D &amp; R Landscapes (PEND Arb Rail) / Utilities / UKPN</t>
        </is>
      </c>
      <c r="B1271" t="inlineStr">
        <is>
          <t>Utilities</t>
        </is>
      </c>
      <c r="C1271" t="inlineStr">
        <is>
          <t>UKPN</t>
        </is>
      </c>
      <c r="D1271" t="inlineStr">
        <is>
          <t>DE68XHA , Tipper , Isuzu , Grafter</t>
        </is>
      </c>
      <c r="E1271" t="inlineStr">
        <is>
          <t>DE68XHA , Tipper , Isuzu , Grafter</t>
        </is>
      </c>
      <c r="F1271" t="inlineStr">
        <is>
          <t>DE68XHA , Tipper , Isuzu , Grafter</t>
        </is>
      </c>
      <c r="G1271" t="inlineStr">
        <is>
          <t>Rob</t>
        </is>
      </c>
      <c r="H1271" t="inlineStr">
        <is>
          <t>Tipper</t>
        </is>
      </c>
      <c r="I1271" t="inlineStr">
        <is>
          <t>Daily/ Weekly Vehicle Inspection</t>
        </is>
      </c>
      <c r="J1271" t="inlineStr">
        <is>
          <t>N/A</t>
        </is>
      </c>
      <c r="K1271" t="inlineStr">
        <is>
          <t>3098 D &amp; R Landscapes</t>
        </is>
      </c>
      <c r="L1271" t="inlineStr">
        <is>
          <t>20/08/2025 08:17</t>
        </is>
      </c>
      <c r="M1271" t="inlineStr">
        <is>
          <t>None</t>
        </is>
      </c>
      <c r="N1271" t="inlineStr">
        <is>
          <t>&lt;p&gt;&lt;/p&gt;</t>
        </is>
      </c>
      <c r="O1271" t="inlineStr"/>
      <c r="P1271" t="inlineStr">
        <is>
          <t>DE68XHA , Tipper , Isuzu , Grafter</t>
        </is>
      </c>
      <c r="Q1271" t="inlineStr">
        <is>
          <t>UKPN</t>
        </is>
      </c>
      <c r="R1271" t="b">
        <v>0</v>
      </c>
    </row>
    <row r="1272">
      <c r="A1272" t="inlineStr">
        <is>
          <t>20 Aug 2025 / Thomas Playford / Utilities / UKPN</t>
        </is>
      </c>
      <c r="B1272" t="inlineStr">
        <is>
          <t>Utilities</t>
        </is>
      </c>
      <c r="C1272" t="inlineStr">
        <is>
          <t>UKPN</t>
        </is>
      </c>
      <c r="D1272" t="inlineStr">
        <is>
          <t>SA9ST800000283944 , Tow Chipper , Forst , ST8D - Towed</t>
        </is>
      </c>
      <c r="E1272" t="inlineStr">
        <is>
          <t>SA9ST800000283944 , Tow Chipper , Forst , ST8D - Towed</t>
        </is>
      </c>
      <c r="F1272" t="inlineStr">
        <is>
          <t>SA9ST800000283944 , Tow Chipper , Forst , ST8D - Towed</t>
        </is>
      </c>
      <c r="G1272" t="inlineStr">
        <is>
          <t>Jacob Oram</t>
        </is>
      </c>
      <c r="H1272" t="inlineStr">
        <is>
          <t>Towed Chipper</t>
        </is>
      </c>
      <c r="I1272" t="inlineStr">
        <is>
          <t>Daily/ Weekly Vehicle Inspection</t>
        </is>
      </c>
      <c r="J1272" t="inlineStr">
        <is>
          <t>N/A</t>
        </is>
      </c>
      <c r="K1272" t="inlineStr">
        <is>
          <t>7995 Contour Landscapes Ltd 2</t>
        </is>
      </c>
      <c r="L1272" t="inlineStr">
        <is>
          <t>20/08/2025 08:18</t>
        </is>
      </c>
      <c r="M1272" t="inlineStr">
        <is>
          <t>None</t>
        </is>
      </c>
      <c r="N1272" t="inlineStr">
        <is>
          <t>&lt;p&gt;&lt;/p&gt;</t>
        </is>
      </c>
      <c r="O1272" t="inlineStr"/>
      <c r="P1272" t="inlineStr">
        <is>
          <t>SA9ST800000283944 , Tow Chipper , Forst , ST8D - Towed</t>
        </is>
      </c>
      <c r="Q1272" t="inlineStr">
        <is>
          <t>UKPN</t>
        </is>
      </c>
      <c r="R1272" t="b">
        <v>0</v>
      </c>
    </row>
    <row r="1273">
      <c r="A1273" t="inlineStr">
        <is>
          <t>20 Aug 2025 / Thomas Playford / Utilities / UKPN</t>
        </is>
      </c>
      <c r="B1273" t="inlineStr">
        <is>
          <t>Utilities</t>
        </is>
      </c>
      <c r="C1273" t="inlineStr">
        <is>
          <t>UKPN</t>
        </is>
      </c>
      <c r="D1273" t="inlineStr">
        <is>
          <t>YP24 WRD , Vehicle , Ford , Ranger</t>
        </is>
      </c>
      <c r="E1273" t="inlineStr">
        <is>
          <t>YP24 WRD , Vehicle , Ford , Ranger</t>
        </is>
      </c>
      <c r="F1273" t="inlineStr">
        <is>
          <t>YP24 WRD , Vehicle , Ford , Ranger</t>
        </is>
      </c>
      <c r="G1273" t="inlineStr">
        <is>
          <t>Jacob Oram</t>
        </is>
      </c>
      <c r="H1273" t="inlineStr">
        <is>
          <t>4x4</t>
        </is>
      </c>
      <c r="I1273" t="inlineStr">
        <is>
          <t>Daily/ Weekly Vehicle Inspection</t>
        </is>
      </c>
      <c r="J1273" t="inlineStr">
        <is>
          <t>N/A</t>
        </is>
      </c>
      <c r="K1273" t="inlineStr">
        <is>
          <t>7995 Contour Landscapes Ltd 2</t>
        </is>
      </c>
      <c r="L1273" t="inlineStr">
        <is>
          <t>20/08/2025 08:19</t>
        </is>
      </c>
      <c r="M1273" t="inlineStr">
        <is>
          <t>None</t>
        </is>
      </c>
      <c r="N1273" t="inlineStr">
        <is>
          <t>&lt;p&gt;&lt;/p&gt;</t>
        </is>
      </c>
      <c r="O1273" t="inlineStr"/>
      <c r="P1273" t="inlineStr">
        <is>
          <t>YP24 WRD , Vehicle , Ford , Ranger</t>
        </is>
      </c>
      <c r="Q1273" t="inlineStr">
        <is>
          <t>UKPN</t>
        </is>
      </c>
      <c r="R1273" t="b">
        <v>0</v>
      </c>
    </row>
    <row r="1274">
      <c r="A1274" t="inlineStr">
        <is>
          <t>20 Aug 2025 / 7996 M G Tree Surgery Ltd / Utilities / UKPN</t>
        </is>
      </c>
      <c r="B1274" t="inlineStr">
        <is>
          <t>Utilities</t>
        </is>
      </c>
      <c r="C1274" t="inlineStr">
        <is>
          <t>UKPN</t>
        </is>
      </c>
      <c r="D1274" t="inlineStr">
        <is>
          <t>GU13 WNL , MEWP , Land Rover , Defender 130</t>
        </is>
      </c>
      <c r="E1274" t="inlineStr">
        <is>
          <t>GU13 WNL , MEWP , Land Rover , Defender 130</t>
        </is>
      </c>
      <c r="F1274" t="inlineStr">
        <is>
          <t>GU13 WNL , MEWP , Land Rover , Defender 130</t>
        </is>
      </c>
      <c r="G1274" t="inlineStr">
        <is>
          <t>Max</t>
        </is>
      </c>
      <c r="H1274" t="inlineStr">
        <is>
          <t>4x4</t>
        </is>
      </c>
      <c r="I1274" t="inlineStr">
        <is>
          <t>Daily/ Weekly Vehicle Inspection</t>
        </is>
      </c>
      <c r="J1274" t="inlineStr">
        <is>
          <t>N/A</t>
        </is>
      </c>
      <c r="K1274" t="inlineStr">
        <is>
          <t>7996 M G Tree Surgery Ltd</t>
        </is>
      </c>
      <c r="L1274" t="inlineStr">
        <is>
          <t>20/08/2025 08:20</t>
        </is>
      </c>
      <c r="M1274" t="inlineStr">
        <is>
          <t>None</t>
        </is>
      </c>
      <c r="N1274" t="inlineStr">
        <is>
          <t>&lt;p&gt;&lt;/p&gt;</t>
        </is>
      </c>
      <c r="O1274" t="inlineStr"/>
      <c r="P1274" t="inlineStr">
        <is>
          <t>GU13 WNL , MEWP , Land Rover , Defender 130</t>
        </is>
      </c>
      <c r="Q1274" t="inlineStr">
        <is>
          <t>UKPN</t>
        </is>
      </c>
      <c r="R1274" t="b">
        <v>0</v>
      </c>
    </row>
    <row r="1275">
      <c r="A1275" t="inlineStr">
        <is>
          <t>20 Aug 2025 / Anthony Gale / Utilities / UKPN</t>
        </is>
      </c>
      <c r="B1275" t="inlineStr">
        <is>
          <t>Utilities</t>
        </is>
      </c>
      <c r="C1275" t="inlineStr">
        <is>
          <t>UKPN</t>
        </is>
      </c>
      <c r="D1275" t="inlineStr">
        <is>
          <t>PE07 HGL , Vehicle , Mitsubishi , L200 K74</t>
        </is>
      </c>
      <c r="E1275" t="inlineStr">
        <is>
          <t>PE07 HGL , Vehicle , Mitsubishi , L200 K74</t>
        </is>
      </c>
      <c r="F1275" t="inlineStr">
        <is>
          <t>PE07 HGL , Vehicle , Mitsubishi , L200 K74</t>
        </is>
      </c>
      <c r="G1275" t="inlineStr">
        <is>
          <t>Anthony Gale</t>
        </is>
      </c>
      <c r="H1275" t="inlineStr">
        <is>
          <t>Pickup Truck</t>
        </is>
      </c>
      <c r="I1275" t="inlineStr">
        <is>
          <t>Daily/ Weekly Vehicle Inspection</t>
        </is>
      </c>
      <c r="J1275" t="inlineStr">
        <is>
          <t>N/A</t>
        </is>
      </c>
      <c r="K1275" t="inlineStr">
        <is>
          <t>7996 M G Tree Surgery Ltd 1</t>
        </is>
      </c>
      <c r="L1275" t="inlineStr">
        <is>
          <t>20/08/2025 08:20</t>
        </is>
      </c>
      <c r="M1275" t="inlineStr">
        <is>
          <t>None</t>
        </is>
      </c>
      <c r="N1275" t="inlineStr">
        <is>
          <t>&lt;p&gt;&lt;/p&gt;</t>
        </is>
      </c>
      <c r="O1275" t="inlineStr"/>
      <c r="P1275" t="inlineStr">
        <is>
          <t>PE07 HGL , Vehicle , Mitsubishi , L200 K74</t>
        </is>
      </c>
      <c r="Q1275" t="inlineStr">
        <is>
          <t>UKPN</t>
        </is>
      </c>
      <c r="R1275" t="b">
        <v>0</v>
      </c>
    </row>
    <row r="1276">
      <c r="A1276" t="inlineStr">
        <is>
          <t>20 Aug 2025 / 7800 MAC Tree Surgery and Fencing Ltd</t>
        </is>
      </c>
      <c r="B1276" t="inlineStr">
        <is>
          <t>Utilities &amp; Inland Waterways</t>
        </is>
      </c>
      <c r="C1276" t="inlineStr">
        <is>
          <t>UKPN</t>
        </is>
      </c>
      <c r="D1276" t="inlineStr">
        <is>
          <t>205143043-A1 , Tow Chipper , Timberwolf , TW150</t>
        </is>
      </c>
      <c r="E1276" t="inlineStr">
        <is>
          <t>205143043-A1 , Tow Chipper , Timberwolf , TW150</t>
        </is>
      </c>
      <c r="F1276" t="inlineStr">
        <is>
          <t>205143043-A1 , Tow Chipper , Timberwolf , TW150</t>
        </is>
      </c>
      <c r="G1276" t="inlineStr">
        <is>
          <t xml:space="preserve">Lewis mac </t>
        </is>
      </c>
      <c r="H1276" t="inlineStr">
        <is>
          <t>Towed Chipper</t>
        </is>
      </c>
      <c r="I1276" t="inlineStr">
        <is>
          <t>Daily/ Weekly Vehicle Inspection</t>
        </is>
      </c>
      <c r="J1276" t="inlineStr">
        <is>
          <t>N/A</t>
        </is>
      </c>
      <c r="K1276" t="inlineStr">
        <is>
          <t>7800 MAC Tree Surgery and Fencing Ltd</t>
        </is>
      </c>
      <c r="L1276" t="inlineStr">
        <is>
          <t>20/08/2025 08:21</t>
        </is>
      </c>
      <c r="M1276" t="inlineStr">
        <is>
          <t>None</t>
        </is>
      </c>
      <c r="N1276" t="inlineStr">
        <is>
          <t>&lt;p&gt;&lt;/p&gt;</t>
        </is>
      </c>
      <c r="O1276" t="inlineStr"/>
      <c r="P1276" t="inlineStr">
        <is>
          <t>205143043-A1 , Tow Chipper , Timberwolf , TW150</t>
        </is>
      </c>
      <c r="Q1276" t="inlineStr">
        <is>
          <t>UKPN</t>
        </is>
      </c>
      <c r="R1276" t="b">
        <v>0</v>
      </c>
    </row>
    <row r="1277">
      <c r="A1277" t="inlineStr">
        <is>
          <t>20 Aug 2025 / 7800 MAC Tree Surgery and Fencing Ltd</t>
        </is>
      </c>
      <c r="B1277" t="inlineStr">
        <is>
          <t>Utilities &amp; Inland Waterways</t>
        </is>
      </c>
      <c r="C1277" t="inlineStr">
        <is>
          <t>UKPN</t>
        </is>
      </c>
      <c r="D1277" t="inlineStr">
        <is>
          <t>AY68DAA , 4x4 , Izuzu , Dmax</t>
        </is>
      </c>
      <c r="E1277" t="inlineStr">
        <is>
          <t>AY68DAA , 4x4 , Izuzu , Dmax</t>
        </is>
      </c>
      <c r="F1277" t="inlineStr">
        <is>
          <t>AY68DAA , 4x4 , Izuzu , Dmax</t>
        </is>
      </c>
      <c r="G1277" t="inlineStr">
        <is>
          <t xml:space="preserve">Lewis mac </t>
        </is>
      </c>
      <c r="H1277" t="inlineStr">
        <is>
          <t>4x4</t>
        </is>
      </c>
      <c r="I1277" t="inlineStr">
        <is>
          <t>Daily/ Weekly Vehicle Inspection</t>
        </is>
      </c>
      <c r="J1277" t="inlineStr">
        <is>
          <t>N/A</t>
        </is>
      </c>
      <c r="K1277" t="inlineStr">
        <is>
          <t>7800 MAC Tree Surgery and Fencing Ltd</t>
        </is>
      </c>
      <c r="L1277" t="inlineStr">
        <is>
          <t>20/08/2025 08:21</t>
        </is>
      </c>
      <c r="M1277" t="inlineStr">
        <is>
          <t>None</t>
        </is>
      </c>
      <c r="N1277" t="inlineStr">
        <is>
          <t>&lt;p&gt;&lt;/p&gt;</t>
        </is>
      </c>
      <c r="O1277" t="inlineStr"/>
      <c r="P1277" t="inlineStr">
        <is>
          <t>AY68DAA , 4x4 , Izuzu , Dmax</t>
        </is>
      </c>
      <c r="Q1277" t="inlineStr">
        <is>
          <t>UKPN</t>
        </is>
      </c>
      <c r="R1277" t="b">
        <v>0</v>
      </c>
    </row>
    <row r="1278">
      <c r="A1278" t="inlineStr">
        <is>
          <t>20 Aug 2025 / 7806 Optimum Tree Services Ltd / Utilities / UKPN</t>
        </is>
      </c>
      <c r="B1278" t="inlineStr">
        <is>
          <t>Utilities</t>
        </is>
      </c>
      <c r="C1278" t="inlineStr">
        <is>
          <t>UKPN</t>
        </is>
      </c>
      <c r="D1278" t="inlineStr">
        <is>
          <t>SA9ST800000283069 , Chipper , Forst , ST 6P</t>
        </is>
      </c>
      <c r="E1278" t="inlineStr">
        <is>
          <t>SA9ST800000283069 , Chipper , Forst , ST 6P</t>
        </is>
      </c>
      <c r="F1278" t="inlineStr">
        <is>
          <t>SA9ST800000283069 , Chipper , Forst , ST 6P</t>
        </is>
      </c>
      <c r="G1278" t="inlineStr">
        <is>
          <t xml:space="preserve">Abraham Davies </t>
        </is>
      </c>
      <c r="H1278" t="inlineStr">
        <is>
          <t>Towed Chipper</t>
        </is>
      </c>
      <c r="I1278" t="inlineStr">
        <is>
          <t>Daily/ Weekly Vehicle Inspection</t>
        </is>
      </c>
      <c r="J1278" t="inlineStr">
        <is>
          <t>N/A</t>
        </is>
      </c>
      <c r="K1278" t="inlineStr">
        <is>
          <t>7806 Optimum Tree Services Ltd</t>
        </is>
      </c>
      <c r="L1278" t="inlineStr">
        <is>
          <t>20/08/2025 10:16</t>
        </is>
      </c>
      <c r="M1278" t="inlineStr">
        <is>
          <t>None</t>
        </is>
      </c>
      <c r="N1278" t="inlineStr">
        <is>
          <t>&lt;p&gt;&lt;/p&gt;</t>
        </is>
      </c>
      <c r="O1278" t="inlineStr"/>
      <c r="P1278" t="inlineStr">
        <is>
          <t>SA9ST800000283069 , Chipper , Forst , ST 6P</t>
        </is>
      </c>
      <c r="Q1278" t="inlineStr">
        <is>
          <t>UKPN</t>
        </is>
      </c>
      <c r="R1278" t="b">
        <v>0</v>
      </c>
    </row>
    <row r="1279">
      <c r="A1279" t="inlineStr">
        <is>
          <t>20 Aug 2025 / 7806 Optimum Tree Services Ltd / Utilities / UKPN</t>
        </is>
      </c>
      <c r="B1279" t="inlineStr">
        <is>
          <t>Utilities</t>
        </is>
      </c>
      <c r="C1279" t="inlineStr">
        <is>
          <t>UKPN</t>
        </is>
      </c>
      <c r="D1279" t="inlineStr">
        <is>
          <t>WD14EVB , MEWP , Land Rover , Defender</t>
        </is>
      </c>
      <c r="E1279" t="inlineStr">
        <is>
          <t>WD14EVB , MEWP , Land Rover , Defender</t>
        </is>
      </c>
      <c r="F1279" t="inlineStr">
        <is>
          <t>WD14EVB , MEWP , Land Rover , Defender</t>
        </is>
      </c>
      <c r="G1279" t="inlineStr">
        <is>
          <t xml:space="preserve">Abraham Davies </t>
        </is>
      </c>
      <c r="H1279" t="inlineStr">
        <is>
          <t>4x4</t>
        </is>
      </c>
      <c r="I1279" t="inlineStr">
        <is>
          <t>Daily/ Weekly Vehicle Inspection</t>
        </is>
      </c>
      <c r="J1279" t="inlineStr">
        <is>
          <t>N/A</t>
        </is>
      </c>
      <c r="K1279" t="inlineStr">
        <is>
          <t>7806 Optimum Tree Services Ltd</t>
        </is>
      </c>
      <c r="L1279" t="inlineStr">
        <is>
          <t>20/08/2025 10:17</t>
        </is>
      </c>
      <c r="M1279" t="inlineStr">
        <is>
          <t>None</t>
        </is>
      </c>
      <c r="N1279" t="inlineStr">
        <is>
          <t>&lt;p&gt;&lt;/p&gt;</t>
        </is>
      </c>
      <c r="O1279" t="inlineStr"/>
      <c r="P1279" t="inlineStr">
        <is>
          <t>WD14EVB , MEWP , Land Rover , Defender</t>
        </is>
      </c>
      <c r="Q1279" t="inlineStr">
        <is>
          <t>UKPN</t>
        </is>
      </c>
      <c r="R1279" t="b">
        <v>0</v>
      </c>
    </row>
    <row r="1280">
      <c r="A1280" t="inlineStr">
        <is>
          <t>20 Aug 2025 / 7889 Tree Tech Suffolk Ltd</t>
        </is>
      </c>
      <c r="B1280" t="inlineStr">
        <is>
          <t>Utilities &amp; Inland Waterways</t>
        </is>
      </c>
      <c r="C1280" t="inlineStr">
        <is>
          <t>UKPN</t>
        </is>
      </c>
      <c r="D1280" t="inlineStr">
        <is>
          <t>Tow Chipper - Jenson - A530L - 5521063948Tipper - Nissan - Navara - NS02TTS4x4 - Isuzu - D-max - NS03 TTS</t>
        </is>
      </c>
      <c r="E1280" t="inlineStr">
        <is>
          <t>Tow Chipper - Jenson - A530L - 5521063948Tipper - Nissan - Navara - NS02TTS4x4 - Isuzu - D-max - NS03 TTS</t>
        </is>
      </c>
      <c r="F1280" t="inlineStr">
        <is>
          <t>Tow Chipper - Jenson - A530L - 5521063948Tipper - Nissan - Navara - NS02TTS4x4 - Isuzu - D-max - NS03 TTS</t>
        </is>
      </c>
      <c r="G1280" t="inlineStr">
        <is>
          <t xml:space="preserve">Danny Appleby Nikki sparrow Danny Appleby </t>
        </is>
      </c>
      <c r="H1280" t="inlineStr">
        <is>
          <t>Towed ChipperTipper4x4</t>
        </is>
      </c>
      <c r="I1280" t="inlineStr">
        <is>
          <t>Daily/ Weekly Vehicle Inspection</t>
        </is>
      </c>
      <c r="J1280" t="inlineStr">
        <is>
          <t>N/A</t>
        </is>
      </c>
      <c r="K1280" t="inlineStr">
        <is>
          <t>7889 Tree Tech Suffolk Ltd</t>
        </is>
      </c>
      <c r="L1280" t="inlineStr">
        <is>
          <t>20/08/2025 10:18</t>
        </is>
      </c>
      <c r="M1280" t="inlineStr">
        <is>
          <t>None</t>
        </is>
      </c>
      <c r="N1280" t="inlineStr">
        <is>
          <t>&lt;p&gt;&lt;/p&gt;</t>
        </is>
      </c>
      <c r="O1280" t="inlineStr">
        <is>
          <t>Select Vehicle:Using another chipper while ours is being fixedSelect Vehicle:KX65 FCZ. Intermittent fault on side lights.</t>
        </is>
      </c>
      <c r="P1280" t="inlineStr">
        <is>
          <t>Tow Chipper - Jenson - A530L - 5521063948Tipper - Nissan - Navara - NS02TTS4x4 - Isuzu - D-max - NS03 TTS</t>
        </is>
      </c>
      <c r="Q1280" t="inlineStr">
        <is>
          <t>UKPN</t>
        </is>
      </c>
      <c r="R1280" t="b">
        <v>0</v>
      </c>
    </row>
    <row r="1281">
      <c r="A1281" t="inlineStr">
        <is>
          <t>20 Aug 2025 / Mathew Dunn / Utilities / SSE</t>
        </is>
      </c>
      <c r="B1281" t="inlineStr">
        <is>
          <t>Utilities</t>
        </is>
      </c>
      <c r="C1281" t="inlineStr">
        <is>
          <t>SSE</t>
        </is>
      </c>
      <c r="D1281" t="inlineStr"/>
      <c r="E1281" t="inlineStr"/>
      <c r="F1281" t="inlineStr"/>
      <c r="G1281" t="inlineStr">
        <is>
          <t xml:space="preserve">Mathew dunn </t>
        </is>
      </c>
      <c r="H1281" t="inlineStr">
        <is>
          <t>Car - Petrol</t>
        </is>
      </c>
      <c r="I1281" t="inlineStr">
        <is>
          <t>Daily/ Weekly Vehicle Inspection</t>
        </is>
      </c>
      <c r="J1281" t="inlineStr">
        <is>
          <t>N/A</t>
        </is>
      </c>
      <c r="K1281" t="inlineStr">
        <is>
          <t>Mathew Dunn</t>
        </is>
      </c>
      <c r="L1281" t="inlineStr">
        <is>
          <t>20/08/2025 10:19</t>
        </is>
      </c>
      <c r="M1281" t="inlineStr">
        <is>
          <t>None</t>
        </is>
      </c>
      <c r="N1281" t="inlineStr">
        <is>
          <t>&lt;p&gt;&lt;/p&gt;</t>
        </is>
      </c>
      <c r="O1281" t="inlineStr"/>
      <c r="P1281" t="inlineStr"/>
      <c r="Q1281" t="inlineStr">
        <is>
          <t>SSE</t>
        </is>
      </c>
      <c r="R1281" t="b">
        <v>0</v>
      </c>
    </row>
    <row r="1282">
      <c r="A1282" t="inlineStr">
        <is>
          <t>21 Aug 2025 / 7806 Optimum Tree Services Ltd / Utilities / UKPN</t>
        </is>
      </c>
      <c r="B1282" t="inlineStr">
        <is>
          <t>Utilities</t>
        </is>
      </c>
      <c r="C1282" t="inlineStr">
        <is>
          <t>UKPN</t>
        </is>
      </c>
      <c r="D1282" t="inlineStr">
        <is>
          <t>Tipper - Ford - Transit - NA10SYZ</t>
        </is>
      </c>
      <c r="E1282" t="inlineStr">
        <is>
          <t>Tipper - Ford - Transit - NA10SYZ</t>
        </is>
      </c>
      <c r="F1282" t="inlineStr">
        <is>
          <t>Tipper - Ford - Transit - NA10SYZ</t>
        </is>
      </c>
      <c r="G1282" t="inlineStr">
        <is>
          <t xml:space="preserve">Abraham Davies </t>
        </is>
      </c>
      <c r="H1282" t="inlineStr">
        <is>
          <t>Tipper</t>
        </is>
      </c>
      <c r="I1282" t="inlineStr">
        <is>
          <t>Daily/ Weekly Vehicle Inspection</t>
        </is>
      </c>
      <c r="J1282" t="inlineStr">
        <is>
          <t>N/A</t>
        </is>
      </c>
      <c r="K1282" t="inlineStr">
        <is>
          <t>7806 Optimum Tree Services Ltd</t>
        </is>
      </c>
      <c r="L1282" t="inlineStr">
        <is>
          <t>21/08/2025 07:16</t>
        </is>
      </c>
      <c r="M1282" t="inlineStr">
        <is>
          <t>None</t>
        </is>
      </c>
      <c r="N1282" t="inlineStr">
        <is>
          <t>&lt;p&gt;&lt;/p&gt;</t>
        </is>
      </c>
      <c r="O1282" t="inlineStr"/>
      <c r="P1282" t="inlineStr">
        <is>
          <t>Tipper - Ford - Transit - NA10SYZ</t>
        </is>
      </c>
      <c r="Q1282" t="inlineStr">
        <is>
          <t>UKPN</t>
        </is>
      </c>
      <c r="R1282" t="b">
        <v>0</v>
      </c>
    </row>
    <row r="1283">
      <c r="A1283" t="inlineStr">
        <is>
          <t>21 Aug 2025 / Anthony Gale / Utilities / UKPN</t>
        </is>
      </c>
      <c r="B1283" t="inlineStr">
        <is>
          <t>Utilities</t>
        </is>
      </c>
      <c r="C1283" t="inlineStr">
        <is>
          <t>UKPN</t>
        </is>
      </c>
      <c r="D1283" t="inlineStr">
        <is>
          <t>PE07 HGL , Vehicle , Mitsubishi , L200 K74</t>
        </is>
      </c>
      <c r="E1283" t="inlineStr">
        <is>
          <t>PE07 HGL , Vehicle , Mitsubishi , L200 K74</t>
        </is>
      </c>
      <c r="F1283" t="inlineStr">
        <is>
          <t>PE07 HGL , Vehicle , Mitsubishi , L200 K74</t>
        </is>
      </c>
      <c r="G1283" t="inlineStr">
        <is>
          <t>Anthony Gale</t>
        </is>
      </c>
      <c r="H1283" t="inlineStr">
        <is>
          <t>Pickup Truck</t>
        </is>
      </c>
      <c r="I1283" t="inlineStr">
        <is>
          <t>Daily/ Weekly Vehicle Inspection</t>
        </is>
      </c>
      <c r="J1283" t="inlineStr">
        <is>
          <t>N/A</t>
        </is>
      </c>
      <c r="K1283" t="inlineStr">
        <is>
          <t>7996 M G Tree Surgery Ltd 1</t>
        </is>
      </c>
      <c r="L1283" t="inlineStr">
        <is>
          <t>21/08/2025 07:17</t>
        </is>
      </c>
      <c r="M1283" t="inlineStr">
        <is>
          <t>None</t>
        </is>
      </c>
      <c r="N1283" t="inlineStr">
        <is>
          <t>&lt;p&gt;&lt;/p&gt;</t>
        </is>
      </c>
      <c r="O1283" t="inlineStr"/>
      <c r="P1283" t="inlineStr">
        <is>
          <t>PE07 HGL , Vehicle , Mitsubishi , L200 K74</t>
        </is>
      </c>
      <c r="Q1283" t="inlineStr">
        <is>
          <t>UKPN</t>
        </is>
      </c>
      <c r="R1283" t="b">
        <v>0</v>
      </c>
    </row>
    <row r="1284">
      <c r="A1284" t="inlineStr">
        <is>
          <t>21 Aug 2025 / 7806 Optimum Tree Services Ltd / Utilities / UKPN</t>
        </is>
      </c>
      <c r="B1284" t="inlineStr">
        <is>
          <t>Utilities</t>
        </is>
      </c>
      <c r="C1284" t="inlineStr">
        <is>
          <t>UKPN</t>
        </is>
      </c>
      <c r="D1284" t="inlineStr">
        <is>
          <t>WD14EVB , MEWP , Land Rover , Defender</t>
        </is>
      </c>
      <c r="E1284" t="inlineStr">
        <is>
          <t>WD14EVB , MEWP , Land Rover , Defender</t>
        </is>
      </c>
      <c r="F1284" t="inlineStr">
        <is>
          <t>WD14EVB , MEWP , Land Rover , Defender</t>
        </is>
      </c>
      <c r="G1284" t="inlineStr">
        <is>
          <t xml:space="preserve">Abraham Davies </t>
        </is>
      </c>
      <c r="H1284" t="inlineStr">
        <is>
          <t>4x4</t>
        </is>
      </c>
      <c r="I1284" t="inlineStr">
        <is>
          <t>Daily/ Weekly Vehicle Inspection</t>
        </is>
      </c>
      <c r="J1284" t="inlineStr">
        <is>
          <t>N/A</t>
        </is>
      </c>
      <c r="K1284" t="inlineStr">
        <is>
          <t>7806 Optimum Tree Services Ltd</t>
        </is>
      </c>
      <c r="L1284" t="inlineStr">
        <is>
          <t>21/08/2025 07:18</t>
        </is>
      </c>
      <c r="M1284" t="inlineStr">
        <is>
          <t>None</t>
        </is>
      </c>
      <c r="N1284" t="inlineStr">
        <is>
          <t>&lt;p&gt;&lt;/p&gt;</t>
        </is>
      </c>
      <c r="O1284" t="inlineStr"/>
      <c r="P1284" t="inlineStr">
        <is>
          <t>WD14EVB , MEWP , Land Rover , Defender</t>
        </is>
      </c>
      <c r="Q1284" t="inlineStr">
        <is>
          <t>UKPN</t>
        </is>
      </c>
      <c r="R1284" t="b">
        <v>0</v>
      </c>
    </row>
    <row r="1285">
      <c r="A1285" t="inlineStr">
        <is>
          <t>21 Aug 2025 / 7186 Eastwoodbury Tree Services Ltd / Utilities / UKPN</t>
        </is>
      </c>
      <c r="B1285" t="inlineStr">
        <is>
          <t>Utilities</t>
        </is>
      </c>
      <c r="C1285" t="inlineStr">
        <is>
          <t>UKPN</t>
        </is>
      </c>
      <c r="D1285" t="inlineStr">
        <is>
          <t>AO57BPF , 4x4 , Santana  , Ps10</t>
        </is>
      </c>
      <c r="E1285" t="inlineStr">
        <is>
          <t>AO57BPF , 4x4 , Santana  , Ps10</t>
        </is>
      </c>
      <c r="F1285" t="inlineStr">
        <is>
          <t>AO57BPF , 4x4 , Santana  , Ps10</t>
        </is>
      </c>
      <c r="G1285" t="inlineStr">
        <is>
          <t xml:space="preserve">Jay Denkmayer </t>
        </is>
      </c>
      <c r="H1285" t="inlineStr">
        <is>
          <t>4x4</t>
        </is>
      </c>
      <c r="I1285" t="inlineStr">
        <is>
          <t>Daily/ Weekly Vehicle Inspection</t>
        </is>
      </c>
      <c r="J1285" t="inlineStr">
        <is>
          <t>N/A</t>
        </is>
      </c>
      <c r="K1285" t="inlineStr">
        <is>
          <t>7186 Eastwoodbury Tree Services Ltd</t>
        </is>
      </c>
      <c r="L1285" t="inlineStr">
        <is>
          <t>21/08/2025 07:19</t>
        </is>
      </c>
      <c r="M1285" t="inlineStr">
        <is>
          <t>None</t>
        </is>
      </c>
      <c r="N1285" t="inlineStr">
        <is>
          <t>&lt;p&gt;&lt;/p&gt;</t>
        </is>
      </c>
      <c r="O1285" t="inlineStr"/>
      <c r="P1285" t="inlineStr">
        <is>
          <t>AO57BPF , 4x4 , Santana  , Ps10</t>
        </is>
      </c>
      <c r="Q1285" t="inlineStr">
        <is>
          <t>UKPN</t>
        </is>
      </c>
      <c r="R1285" t="b">
        <v>0</v>
      </c>
    </row>
    <row r="1286">
      <c r="A1286" t="inlineStr">
        <is>
          <t>21 Aug 2025 / 7186 Eastwoodbury Tree Services Ltd / Utilities / UKPN</t>
        </is>
      </c>
      <c r="B1286" t="inlineStr">
        <is>
          <t>Utilities</t>
        </is>
      </c>
      <c r="C1286" t="inlineStr">
        <is>
          <t>UKPN</t>
        </is>
      </c>
      <c r="D1286" t="inlineStr">
        <is>
          <t>FN600XM , 4x4 , Land Rover  , Defender</t>
        </is>
      </c>
      <c r="E1286" t="inlineStr">
        <is>
          <t>FN600XM , 4x4 , Land Rover  , Defender</t>
        </is>
      </c>
      <c r="F1286" t="inlineStr">
        <is>
          <t>FN600XM , 4x4 , Land Rover  , Defender</t>
        </is>
      </c>
      <c r="G1286" t="inlineStr">
        <is>
          <t xml:space="preserve">Dan Gilbert </t>
        </is>
      </c>
      <c r="H1286" t="inlineStr">
        <is>
          <t>4x4</t>
        </is>
      </c>
      <c r="I1286" t="inlineStr">
        <is>
          <t>Daily/ Weekly Vehicle Inspection</t>
        </is>
      </c>
      <c r="J1286" t="inlineStr">
        <is>
          <t>N/A</t>
        </is>
      </c>
      <c r="K1286" t="inlineStr">
        <is>
          <t>7186 Eastwoodbury Tree Services Ltd</t>
        </is>
      </c>
      <c r="L1286" t="inlineStr">
        <is>
          <t>21/08/2025 07:20</t>
        </is>
      </c>
      <c r="M1286" t="inlineStr">
        <is>
          <t>None</t>
        </is>
      </c>
      <c r="N1286" t="inlineStr">
        <is>
          <t>&lt;p&gt;&lt;/p&gt;</t>
        </is>
      </c>
      <c r="O1286" t="inlineStr"/>
      <c r="P1286" t="inlineStr">
        <is>
          <t>FN600XM , 4x4 , Land Rover  , Defender</t>
        </is>
      </c>
      <c r="Q1286" t="inlineStr">
        <is>
          <t>UKPN</t>
        </is>
      </c>
      <c r="R1286" t="b">
        <v>0</v>
      </c>
    </row>
    <row r="1287">
      <c r="A1287" t="inlineStr">
        <is>
          <t>21 Aug 2025 / 7996 M G Tree Surgery Ltd / Utilities / UKPN</t>
        </is>
      </c>
      <c r="B1287" t="inlineStr">
        <is>
          <t>Utilities</t>
        </is>
      </c>
      <c r="C1287" t="inlineStr">
        <is>
          <t>UKPN</t>
        </is>
      </c>
      <c r="D1287" t="inlineStr">
        <is>
          <t>GU13 WNL , MEWP , Land Rover , Defender 130</t>
        </is>
      </c>
      <c r="E1287" t="inlineStr">
        <is>
          <t>GU13 WNL , MEWP , Land Rover , Defender 130</t>
        </is>
      </c>
      <c r="F1287" t="inlineStr">
        <is>
          <t>GU13 WNL , MEWP , Land Rover , Defender 130</t>
        </is>
      </c>
      <c r="G1287" t="inlineStr">
        <is>
          <t>Max</t>
        </is>
      </c>
      <c r="H1287" t="inlineStr">
        <is>
          <t>4x4</t>
        </is>
      </c>
      <c r="I1287" t="inlineStr">
        <is>
          <t>Daily/ Weekly Vehicle Inspection</t>
        </is>
      </c>
      <c r="J1287" t="inlineStr">
        <is>
          <t>N/A</t>
        </is>
      </c>
      <c r="K1287" t="inlineStr">
        <is>
          <t>7996 M G Tree Surgery Ltd</t>
        </is>
      </c>
      <c r="L1287" t="inlineStr">
        <is>
          <t>21/08/2025 08:16</t>
        </is>
      </c>
      <c r="M1287" t="inlineStr">
        <is>
          <t>None</t>
        </is>
      </c>
      <c r="N1287" t="inlineStr">
        <is>
          <t>&lt;p&gt;&lt;/p&gt;</t>
        </is>
      </c>
      <c r="O1287" t="inlineStr"/>
      <c r="P1287" t="inlineStr">
        <is>
          <t>GU13 WNL , MEWP , Land Rover , Defender 130</t>
        </is>
      </c>
      <c r="Q1287" t="inlineStr">
        <is>
          <t>UKPN</t>
        </is>
      </c>
      <c r="R1287" t="b">
        <v>0</v>
      </c>
    </row>
    <row r="1288">
      <c r="A1288" t="inlineStr">
        <is>
          <t>21 Aug 2025 / 3098 D &amp; R Landscapes (PEND Arb Rail) / Utilities / UKPN</t>
        </is>
      </c>
      <c r="B1288" t="inlineStr">
        <is>
          <t>Utilities</t>
        </is>
      </c>
      <c r="C1288" t="inlineStr">
        <is>
          <t>UKPN</t>
        </is>
      </c>
      <c r="D1288" t="inlineStr">
        <is>
          <t>DE68XHA , Tipper , Isuzu , Grafter</t>
        </is>
      </c>
      <c r="E1288" t="inlineStr">
        <is>
          <t>DE68XHA , Tipper , Isuzu , Grafter</t>
        </is>
      </c>
      <c r="F1288" t="inlineStr">
        <is>
          <t>DE68XHA , Tipper , Isuzu , Grafter</t>
        </is>
      </c>
      <c r="G1288" t="inlineStr">
        <is>
          <t xml:space="preserve">Rob </t>
        </is>
      </c>
      <c r="H1288" t="inlineStr">
        <is>
          <t>Pickup Truck</t>
        </is>
      </c>
      <c r="I1288" t="inlineStr">
        <is>
          <t>Daily/ Weekly Vehicle Inspection</t>
        </is>
      </c>
      <c r="J1288" t="inlineStr">
        <is>
          <t>N/A</t>
        </is>
      </c>
      <c r="K1288" t="inlineStr">
        <is>
          <t>3098 D &amp; R Landscapes</t>
        </is>
      </c>
      <c r="L1288" t="inlineStr">
        <is>
          <t>21/08/2025 08:18</t>
        </is>
      </c>
      <c r="M1288" t="inlineStr">
        <is>
          <t>None</t>
        </is>
      </c>
      <c r="N1288" t="inlineStr">
        <is>
          <t>&lt;p&gt;&lt;/p&gt;</t>
        </is>
      </c>
      <c r="O1288" t="inlineStr"/>
      <c r="P1288" t="inlineStr">
        <is>
          <t>DE68XHA , Tipper , Isuzu , Grafter</t>
        </is>
      </c>
      <c r="Q1288" t="inlineStr">
        <is>
          <t>UKPN</t>
        </is>
      </c>
      <c r="R1288" t="b">
        <v>0</v>
      </c>
    </row>
    <row r="1289">
      <c r="A1289" t="inlineStr">
        <is>
          <t>21 Aug 2025 / 7951 Austin Tree Care LTD / Utilities / UKPN</t>
        </is>
      </c>
      <c r="B1289" t="inlineStr">
        <is>
          <t>Utilities</t>
        </is>
      </c>
      <c r="C1289" t="inlineStr">
        <is>
          <t>UKPN</t>
        </is>
      </c>
      <c r="D1289" t="inlineStr">
        <is>
          <t>SA9ST6P0001283612 , Tow Chipper , Forst , ST6p</t>
        </is>
      </c>
      <c r="E1289" t="inlineStr">
        <is>
          <t>SA9ST6P0001283612 , Tow Chipper , Forst , ST6p</t>
        </is>
      </c>
      <c r="F1289" t="inlineStr">
        <is>
          <t>SA9ST6P0001283612 , Tow Chipper , Forst , ST6p</t>
        </is>
      </c>
      <c r="G1289" t="inlineStr">
        <is>
          <t>James Tasker</t>
        </is>
      </c>
      <c r="H1289" t="inlineStr">
        <is>
          <t>Towed Chipper</t>
        </is>
      </c>
      <c r="I1289" t="inlineStr">
        <is>
          <t>Daily/ Weekly Vehicle Inspection</t>
        </is>
      </c>
      <c r="J1289" t="inlineStr">
        <is>
          <t>N/A</t>
        </is>
      </c>
      <c r="K1289" t="inlineStr">
        <is>
          <t>7951 Austin Tree Care LTD</t>
        </is>
      </c>
      <c r="L1289" t="inlineStr">
        <is>
          <t>21/08/2025 08:18</t>
        </is>
      </c>
      <c r="M1289" t="inlineStr">
        <is>
          <t>None</t>
        </is>
      </c>
      <c r="N1289" t="inlineStr">
        <is>
          <t>&lt;p&gt;&lt;/p&gt;</t>
        </is>
      </c>
      <c r="O1289" t="inlineStr"/>
      <c r="P1289" t="inlineStr">
        <is>
          <t>SA9ST6P0001283612 , Tow Chipper , Forst , ST6p</t>
        </is>
      </c>
      <c r="Q1289" t="inlineStr">
        <is>
          <t>UKPN</t>
        </is>
      </c>
      <c r="R1289" t="b">
        <v>0</v>
      </c>
    </row>
    <row r="1290">
      <c r="A1290" t="inlineStr">
        <is>
          <t>21 Aug 2025 / 7951 Austin Tree Care LTD / Utilities / UKPN</t>
        </is>
      </c>
      <c r="B1290" t="inlineStr">
        <is>
          <t>Utilities</t>
        </is>
      </c>
      <c r="C1290" t="inlineStr">
        <is>
          <t>UKPN</t>
        </is>
      </c>
      <c r="D1290" t="inlineStr">
        <is>
          <t>WF61 HZV , 4x4 MEWP , Land Rover , Defender</t>
        </is>
      </c>
      <c r="E1290" t="inlineStr">
        <is>
          <t>WF61 HZV , 4x4 MEWP , Land Rover , Defender</t>
        </is>
      </c>
      <c r="F1290" t="inlineStr">
        <is>
          <t>WF61 HZV , 4x4 MEWP , Land Rover , Defender</t>
        </is>
      </c>
      <c r="G1290" t="inlineStr">
        <is>
          <t>James Tasker</t>
        </is>
      </c>
      <c r="H1290" t="inlineStr">
        <is>
          <t>4x4</t>
        </is>
      </c>
      <c r="I1290" t="inlineStr">
        <is>
          <t>Daily/ Weekly Vehicle Inspection</t>
        </is>
      </c>
      <c r="J1290" t="inlineStr">
        <is>
          <t>N/A</t>
        </is>
      </c>
      <c r="K1290" t="inlineStr">
        <is>
          <t>7951 Austin Tree Care LTD</t>
        </is>
      </c>
      <c r="L1290" t="inlineStr">
        <is>
          <t>21/08/2025 08:19</t>
        </is>
      </c>
      <c r="M1290" t="inlineStr">
        <is>
          <t>None</t>
        </is>
      </c>
      <c r="N1290" t="inlineStr">
        <is>
          <t>&lt;p&gt;&lt;/p&gt;</t>
        </is>
      </c>
      <c r="O1290" t="inlineStr"/>
      <c r="P1290" t="inlineStr">
        <is>
          <t>WF61 HZV , 4x4 MEWP , Land Rover , Defender</t>
        </is>
      </c>
      <c r="Q1290" t="inlineStr">
        <is>
          <t>UKPN</t>
        </is>
      </c>
      <c r="R1290" t="b">
        <v>0</v>
      </c>
    </row>
    <row r="1291">
      <c r="A1291" t="inlineStr">
        <is>
          <t>21 Aug 2025 / 7806 Optimum Tree Services Ltd / Utilities / UKPN</t>
        </is>
      </c>
      <c r="B1291" t="inlineStr">
        <is>
          <t>Utilities</t>
        </is>
      </c>
      <c r="C1291" t="inlineStr">
        <is>
          <t>UKPN</t>
        </is>
      </c>
      <c r="D1291" t="inlineStr">
        <is>
          <t>SA9ST800000283069 , Chipper , Forst , ST 6P</t>
        </is>
      </c>
      <c r="E1291" t="inlineStr">
        <is>
          <t>SA9ST800000283069 , Chipper , Forst , ST 6P</t>
        </is>
      </c>
      <c r="F1291" t="inlineStr">
        <is>
          <t>SA9ST800000283069 , Chipper , Forst , ST 6P</t>
        </is>
      </c>
      <c r="G1291" t="inlineStr">
        <is>
          <t xml:space="preserve">Abraham Davies </t>
        </is>
      </c>
      <c r="H1291" t="inlineStr">
        <is>
          <t>Towed Chipper</t>
        </is>
      </c>
      <c r="I1291" t="inlineStr">
        <is>
          <t>Daily/ Weekly Vehicle Inspection</t>
        </is>
      </c>
      <c r="J1291" t="inlineStr">
        <is>
          <t>N/A</t>
        </is>
      </c>
      <c r="K1291" t="inlineStr">
        <is>
          <t>7806 Optimum Tree Services Ltd</t>
        </is>
      </c>
      <c r="L1291" t="inlineStr">
        <is>
          <t>21/08/2025 08:21</t>
        </is>
      </c>
      <c r="M1291" t="inlineStr">
        <is>
          <t>None</t>
        </is>
      </c>
      <c r="N1291" t="inlineStr">
        <is>
          <t>&lt;p&gt;&lt;/p&gt;</t>
        </is>
      </c>
      <c r="O1291" t="inlineStr"/>
      <c r="P1291" t="inlineStr">
        <is>
          <t>SA9ST800000283069 , Chipper , Forst , ST 6P</t>
        </is>
      </c>
      <c r="Q1291" t="inlineStr">
        <is>
          <t>UKPN</t>
        </is>
      </c>
      <c r="R1291" t="b">
        <v>0</v>
      </c>
    </row>
    <row r="1292">
      <c r="A1292" t="inlineStr">
        <is>
          <t>19 Aug 2025 / 6617 Ashdown Tree Limited / Utilities / UKPN</t>
        </is>
      </c>
      <c r="B1292" t="inlineStr">
        <is>
          <t>Utilities</t>
        </is>
      </c>
      <c r="C1292" t="inlineStr">
        <is>
          <t>UKPN</t>
        </is>
      </c>
      <c r="D1292" t="inlineStr">
        <is>
          <t>Tipper - Ford  - Transit  - Av21 kww</t>
        </is>
      </c>
      <c r="E1292" t="inlineStr">
        <is>
          <t>Tipper - Ford  - Transit  - Av21 kww</t>
        </is>
      </c>
      <c r="F1292" t="inlineStr">
        <is>
          <t>Tipper - Ford  - Transit  - Av21 kww</t>
        </is>
      </c>
      <c r="G1292" t="inlineStr">
        <is>
          <t>A Horwood</t>
        </is>
      </c>
      <c r="H1292" t="inlineStr">
        <is>
          <t>Tipper</t>
        </is>
      </c>
      <c r="I1292" t="inlineStr">
        <is>
          <t>Daily/ Weekly Vehicle Inspection</t>
        </is>
      </c>
      <c r="J1292" t="inlineStr">
        <is>
          <t>N/A</t>
        </is>
      </c>
      <c r="K1292" t="inlineStr">
        <is>
          <t>6617 Ashdown Tree Limited</t>
        </is>
      </c>
      <c r="L1292" t="inlineStr">
        <is>
          <t>21/08/2025 12:16</t>
        </is>
      </c>
      <c r="M1292" t="inlineStr">
        <is>
          <t>None</t>
        </is>
      </c>
      <c r="N1292" t="inlineStr">
        <is>
          <t>&lt;p&gt;&lt;/p&gt;</t>
        </is>
      </c>
      <c r="O1292" t="inlineStr"/>
      <c r="P1292" t="inlineStr">
        <is>
          <t>Tipper - Ford  - Transit  - Av21 kww</t>
        </is>
      </c>
      <c r="Q1292" t="inlineStr">
        <is>
          <t>UKPN</t>
        </is>
      </c>
      <c r="R1292" t="b">
        <v>0</v>
      </c>
    </row>
    <row r="1293">
      <c r="A1293" t="inlineStr">
        <is>
          <t>22 Aug 2025 / 7186 Eastwoodbury Tree Services Ltd / Utilities / UKPN</t>
        </is>
      </c>
      <c r="B1293" t="inlineStr">
        <is>
          <t>Utilities</t>
        </is>
      </c>
      <c r="C1293" t="inlineStr">
        <is>
          <t>UKPN</t>
        </is>
      </c>
      <c r="D1293" t="inlineStr">
        <is>
          <t>FN600XM , 4x4 , Land Rover  , Defender</t>
        </is>
      </c>
      <c r="E1293" t="inlineStr">
        <is>
          <t>FN600XM , 4x4 , Land Rover  , Defender</t>
        </is>
      </c>
      <c r="F1293" t="inlineStr">
        <is>
          <t>FN600XM , 4x4 , Land Rover  , Defender</t>
        </is>
      </c>
      <c r="G1293" t="inlineStr">
        <is>
          <t xml:space="preserve">Dan Gilbert </t>
        </is>
      </c>
      <c r="H1293" t="inlineStr">
        <is>
          <t>4x4</t>
        </is>
      </c>
      <c r="I1293" t="inlineStr">
        <is>
          <t>Daily/ Weekly Vehicle Inspection</t>
        </is>
      </c>
      <c r="J1293" t="inlineStr">
        <is>
          <t>N/A</t>
        </is>
      </c>
      <c r="K1293" t="inlineStr">
        <is>
          <t>7186 Eastwoodbury Tree Services Ltd</t>
        </is>
      </c>
      <c r="L1293" t="inlineStr">
        <is>
          <t>22/08/2025 07:16</t>
        </is>
      </c>
      <c r="M1293" t="inlineStr">
        <is>
          <t>None</t>
        </is>
      </c>
      <c r="N1293" t="inlineStr">
        <is>
          <t>&lt;p&gt;&lt;/p&gt;</t>
        </is>
      </c>
      <c r="O1293" t="inlineStr"/>
      <c r="P1293" t="inlineStr">
        <is>
          <t>FN600XM , 4x4 , Land Rover  , Defender</t>
        </is>
      </c>
      <c r="Q1293" t="inlineStr">
        <is>
          <t>UKPN</t>
        </is>
      </c>
      <c r="R1293" t="b">
        <v>0</v>
      </c>
    </row>
    <row r="1294">
      <c r="A1294" t="inlineStr">
        <is>
          <t>22 Aug 2025 / 7186 Eastwoodbury Tree Services Ltd / Utilities / UKPN</t>
        </is>
      </c>
      <c r="B1294" t="inlineStr">
        <is>
          <t>Utilities</t>
        </is>
      </c>
      <c r="C1294" t="inlineStr">
        <is>
          <t>UKPN</t>
        </is>
      </c>
      <c r="D1294" t="inlineStr">
        <is>
          <t>DN61XKJ , Tipper , Ford , Transit</t>
        </is>
      </c>
      <c r="E1294" t="inlineStr">
        <is>
          <t>DN61XKJ , Tipper , Ford , Transit</t>
        </is>
      </c>
      <c r="F1294" t="inlineStr">
        <is>
          <t>DN61XKJ , Tipper , Ford , Transit</t>
        </is>
      </c>
      <c r="G1294" t="inlineStr">
        <is>
          <t xml:space="preserve">Jay Denkmayer </t>
        </is>
      </c>
      <c r="H1294" t="inlineStr">
        <is>
          <t>Tipper</t>
        </is>
      </c>
      <c r="I1294" t="inlineStr">
        <is>
          <t>Daily/ Weekly Vehicle Inspection</t>
        </is>
      </c>
      <c r="J1294" t="inlineStr">
        <is>
          <t>N/A</t>
        </is>
      </c>
      <c r="K1294" t="inlineStr">
        <is>
          <t>7186 Eastwoodbury Tree Services Ltd</t>
        </is>
      </c>
      <c r="L1294" t="inlineStr">
        <is>
          <t>22/08/2025 07:17</t>
        </is>
      </c>
      <c r="M1294" t="inlineStr">
        <is>
          <t>None</t>
        </is>
      </c>
      <c r="N1294" t="inlineStr">
        <is>
          <t>&lt;p&gt;&lt;/p&gt;</t>
        </is>
      </c>
      <c r="O1294" t="inlineStr"/>
      <c r="P1294" t="inlineStr">
        <is>
          <t>DN61XKJ , Tipper , Ford , Transit</t>
        </is>
      </c>
      <c r="Q1294" t="inlineStr">
        <is>
          <t>UKPN</t>
        </is>
      </c>
      <c r="R1294" t="b">
        <v>0</v>
      </c>
    </row>
    <row r="1295">
      <c r="A1295" t="inlineStr">
        <is>
          <t>22 Aug 2025 / 7186 Eastwoodbury Tree Services Ltd / Utilities / UKPN</t>
        </is>
      </c>
      <c r="B1295" t="inlineStr">
        <is>
          <t>Utilities</t>
        </is>
      </c>
      <c r="C1295" t="inlineStr">
        <is>
          <t>UKPN</t>
        </is>
      </c>
      <c r="D1295" t="inlineStr">
        <is>
          <t>AO57BPF , 4x4 , Santana  , Ps10</t>
        </is>
      </c>
      <c r="E1295" t="inlineStr">
        <is>
          <t>AO57BPF , 4x4 , Santana  , Ps10</t>
        </is>
      </c>
      <c r="F1295" t="inlineStr">
        <is>
          <t>AO57BPF , 4x4 , Santana  , Ps10</t>
        </is>
      </c>
      <c r="G1295" t="inlineStr">
        <is>
          <t xml:space="preserve">Tom price </t>
        </is>
      </c>
      <c r="H1295" t="inlineStr">
        <is>
          <t>4x4</t>
        </is>
      </c>
      <c r="I1295" t="inlineStr">
        <is>
          <t>Daily/ Weekly Vehicle Inspection</t>
        </is>
      </c>
      <c r="J1295" t="inlineStr">
        <is>
          <t>N/A</t>
        </is>
      </c>
      <c r="K1295" t="inlineStr">
        <is>
          <t>7186 Eastwoodbury Tree Services Ltd</t>
        </is>
      </c>
      <c r="L1295" t="inlineStr">
        <is>
          <t>22/08/2025 07:18</t>
        </is>
      </c>
      <c r="M1295" t="inlineStr">
        <is>
          <t>None</t>
        </is>
      </c>
      <c r="N1295" t="inlineStr">
        <is>
          <t>&lt;p&gt;&lt;/p&gt;</t>
        </is>
      </c>
      <c r="O1295" t="inlineStr"/>
      <c r="P1295" t="inlineStr">
        <is>
          <t>AO57BPF , 4x4 , Santana  , Ps10</t>
        </is>
      </c>
      <c r="Q1295" t="inlineStr">
        <is>
          <t>UKPN</t>
        </is>
      </c>
      <c r="R1295" t="b">
        <v>0</v>
      </c>
    </row>
    <row r="1296">
      <c r="A1296" t="inlineStr">
        <is>
          <t>22 Aug 2025 / Thomas Playford / Utilities / UKPN</t>
        </is>
      </c>
      <c r="B1296" t="inlineStr">
        <is>
          <t>Utilities</t>
        </is>
      </c>
      <c r="C1296" t="inlineStr">
        <is>
          <t>UKPN</t>
        </is>
      </c>
      <c r="D1296" t="inlineStr">
        <is>
          <t>SA9ST800000283944 , Tow Chipper , Forst , ST8D - Towed</t>
        </is>
      </c>
      <c r="E1296" t="inlineStr">
        <is>
          <t>SA9ST800000283944 , Tow Chipper , Forst , ST8D - Towed</t>
        </is>
      </c>
      <c r="F1296" t="inlineStr">
        <is>
          <t>SA9ST800000283944 , Tow Chipper , Forst , ST8D - Towed</t>
        </is>
      </c>
      <c r="G1296" t="inlineStr">
        <is>
          <t>Jacob Oram</t>
        </is>
      </c>
      <c r="H1296" t="inlineStr">
        <is>
          <t>Towed Chipper</t>
        </is>
      </c>
      <c r="I1296" t="inlineStr">
        <is>
          <t>Daily/ Weekly Vehicle Inspection</t>
        </is>
      </c>
      <c r="J1296" t="inlineStr">
        <is>
          <t>N/A</t>
        </is>
      </c>
      <c r="K1296" t="inlineStr">
        <is>
          <t>7995 Contour Landscapes Ltd 2</t>
        </is>
      </c>
      <c r="L1296" t="inlineStr">
        <is>
          <t>22/08/2025 07:18</t>
        </is>
      </c>
      <c r="M1296" t="inlineStr">
        <is>
          <t>None</t>
        </is>
      </c>
      <c r="N1296" t="inlineStr">
        <is>
          <t>&lt;p&gt;&lt;/p&gt;</t>
        </is>
      </c>
      <c r="O1296" t="inlineStr"/>
      <c r="P1296" t="inlineStr">
        <is>
          <t>SA9ST800000283944 , Tow Chipper , Forst , ST8D - Towed</t>
        </is>
      </c>
      <c r="Q1296" t="inlineStr">
        <is>
          <t>UKPN</t>
        </is>
      </c>
      <c r="R1296" t="b">
        <v>0</v>
      </c>
    </row>
    <row r="1297">
      <c r="A1297" t="inlineStr">
        <is>
          <t>22 Aug 2025 / Thomas Playford / Utilities / UKPN</t>
        </is>
      </c>
      <c r="B1297" t="inlineStr">
        <is>
          <t>Utilities</t>
        </is>
      </c>
      <c r="C1297" t="inlineStr">
        <is>
          <t>UKPN</t>
        </is>
      </c>
      <c r="D1297" t="inlineStr">
        <is>
          <t>YP24 WRD , Vehicle , Ford , Ranger</t>
        </is>
      </c>
      <c r="E1297" t="inlineStr">
        <is>
          <t>YP24 WRD , Vehicle , Ford , Ranger</t>
        </is>
      </c>
      <c r="F1297" t="inlineStr">
        <is>
          <t>YP24 WRD , Vehicle , Ford , Ranger</t>
        </is>
      </c>
      <c r="G1297" t="inlineStr">
        <is>
          <t>Jacob Oram</t>
        </is>
      </c>
      <c r="H1297" t="inlineStr">
        <is>
          <t>4x4</t>
        </is>
      </c>
      <c r="I1297" t="inlineStr">
        <is>
          <t>Daily/ Weekly Vehicle Inspection</t>
        </is>
      </c>
      <c r="J1297" t="inlineStr">
        <is>
          <t>N/A</t>
        </is>
      </c>
      <c r="K1297" t="inlineStr">
        <is>
          <t>7995 Contour Landscapes Ltd 2</t>
        </is>
      </c>
      <c r="L1297" t="inlineStr">
        <is>
          <t>22/08/2025 07:19</t>
        </is>
      </c>
      <c r="M1297" t="inlineStr">
        <is>
          <t>None</t>
        </is>
      </c>
      <c r="N1297" t="inlineStr">
        <is>
          <t>&lt;p&gt;&lt;/p&gt;</t>
        </is>
      </c>
      <c r="O1297" t="inlineStr"/>
      <c r="P1297" t="inlineStr">
        <is>
          <t>YP24 WRD , Vehicle , Ford , Ranger</t>
        </is>
      </c>
      <c r="Q1297" t="inlineStr">
        <is>
          <t>UKPN</t>
        </is>
      </c>
      <c r="R1297" t="b">
        <v>0</v>
      </c>
    </row>
    <row r="1298">
      <c r="A1298" t="inlineStr">
        <is>
          <t>22 Aug 2025 / 7806 Optimum Tree Services Ltd / Utilities / UKPN</t>
        </is>
      </c>
      <c r="B1298" t="inlineStr">
        <is>
          <t>Utilities</t>
        </is>
      </c>
      <c r="C1298" t="inlineStr">
        <is>
          <t>UKPN</t>
        </is>
      </c>
      <c r="D1298" t="inlineStr">
        <is>
          <t>WD14EVB , MEWP , Land Rover , Defender</t>
        </is>
      </c>
      <c r="E1298" t="inlineStr">
        <is>
          <t>WD14EVB , MEWP , Land Rover , Defender</t>
        </is>
      </c>
      <c r="F1298" t="inlineStr">
        <is>
          <t>WD14EVB , MEWP , Land Rover , Defender</t>
        </is>
      </c>
      <c r="G1298" t="inlineStr">
        <is>
          <t xml:space="preserve">Abraham Davies </t>
        </is>
      </c>
      <c r="H1298" t="inlineStr">
        <is>
          <t>4x4</t>
        </is>
      </c>
      <c r="I1298" t="inlineStr">
        <is>
          <t>Daily/ Weekly Vehicle Inspection</t>
        </is>
      </c>
      <c r="J1298" t="inlineStr">
        <is>
          <t>N/A</t>
        </is>
      </c>
      <c r="K1298" t="inlineStr">
        <is>
          <t>7806 Optimum Tree Services Ltd</t>
        </is>
      </c>
      <c r="L1298" t="inlineStr">
        <is>
          <t>22/08/2025 08:18</t>
        </is>
      </c>
      <c r="M1298" t="inlineStr">
        <is>
          <t>None</t>
        </is>
      </c>
      <c r="N1298" t="inlineStr">
        <is>
          <t>&lt;p&gt;&lt;/p&gt;</t>
        </is>
      </c>
      <c r="O1298" t="inlineStr"/>
      <c r="P1298" t="inlineStr">
        <is>
          <t>WD14EVB , MEWP , Land Rover , Defender</t>
        </is>
      </c>
      <c r="Q1298" t="inlineStr">
        <is>
          <t>UKPN</t>
        </is>
      </c>
      <c r="R1298" t="b">
        <v>0</v>
      </c>
    </row>
    <row r="1299">
      <c r="A1299" t="inlineStr">
        <is>
          <t>22 Aug 2025 / Alasdair Conlon / Utilities / NGED</t>
        </is>
      </c>
      <c r="B1299" t="inlineStr">
        <is>
          <t>Utilities</t>
        </is>
      </c>
      <c r="C1299" t="inlineStr">
        <is>
          <t>NGED</t>
        </is>
      </c>
      <c r="D1299" t="inlineStr">
        <is>
          <t>YX24TXV , Car - Electric , Kia , Niro</t>
        </is>
      </c>
      <c r="E1299" t="inlineStr">
        <is>
          <t>YX24TXV , Car - Electric , Kia , Niro</t>
        </is>
      </c>
      <c r="F1299" t="inlineStr">
        <is>
          <t>YX24TXV , Car - Electric , Kia , Niro</t>
        </is>
      </c>
      <c r="G1299" t="inlineStr">
        <is>
          <t>Alasdair Conlon</t>
        </is>
      </c>
      <c r="H1299" t="inlineStr">
        <is>
          <t>Car - Electric (GC Owned)</t>
        </is>
      </c>
      <c r="I1299" t="inlineStr">
        <is>
          <t>Daily/ Weekly Vehicle Inspection</t>
        </is>
      </c>
      <c r="J1299" t="inlineStr">
        <is>
          <t>N/A</t>
        </is>
      </c>
      <c r="K1299" t="inlineStr">
        <is>
          <t>Alasdair Conlon</t>
        </is>
      </c>
      <c r="L1299" t="inlineStr">
        <is>
          <t>22/08/2025 14:16</t>
        </is>
      </c>
      <c r="M1299" t="inlineStr">
        <is>
          <t>None</t>
        </is>
      </c>
      <c r="N1299" t="inlineStr">
        <is>
          <t>&lt;p&gt;&lt;/p&gt;</t>
        </is>
      </c>
      <c r="O1299" t="inlineStr"/>
      <c r="P1299" t="inlineStr">
        <is>
          <t>YX24TXV , Car - Electric , Kia , Niro</t>
        </is>
      </c>
      <c r="Q1299" t="inlineStr">
        <is>
          <t>NGED</t>
        </is>
      </c>
      <c r="R1299" t="b">
        <v>0</v>
      </c>
    </row>
    <row r="1300">
      <c r="A1300" t="inlineStr">
        <is>
          <t>26 Aug 2025 / 7889 Tree Tech Suffolk Ltd</t>
        </is>
      </c>
      <c r="B1300" t="inlineStr">
        <is>
          <t>Utilities &amp; Inland Waterways</t>
        </is>
      </c>
      <c r="C1300" t="inlineStr">
        <is>
          <t>UKPN</t>
        </is>
      </c>
      <c r="D1300" t="inlineStr">
        <is>
          <t>Tow Chipper - Jenson - A530L - 5521063948Tipper - Nissan - Navara - NS02TTS4x4 - Isuzu - D-max - NS03 TTS</t>
        </is>
      </c>
      <c r="E1300" t="inlineStr">
        <is>
          <t>Tow Chipper - Jenson - A530L - 5521063948Tipper - Nissan - Navara - NS02TTS4x4 - Isuzu - D-max - NS03 TTS</t>
        </is>
      </c>
      <c r="F1300" t="inlineStr">
        <is>
          <t>Tow Chipper - Jenson - A530L - 5521063948Tipper - Nissan - Navara - NS02TTS4x4 - Isuzu - D-max - NS03 TTS</t>
        </is>
      </c>
      <c r="G1300" t="inlineStr">
        <is>
          <t xml:space="preserve">Nikki sparrow Nikki sparrow Danny Appleby </t>
        </is>
      </c>
      <c r="H1300" t="inlineStr">
        <is>
          <t>Towed ChipperTipper4x4</t>
        </is>
      </c>
      <c r="I1300" t="inlineStr">
        <is>
          <t>Daily/ Weekly Vehicle Inspection</t>
        </is>
      </c>
      <c r="J1300" t="inlineStr">
        <is>
          <t>N/A</t>
        </is>
      </c>
      <c r="K1300" t="inlineStr">
        <is>
          <t>7889 Tree Tech Suffolk Ltd</t>
        </is>
      </c>
      <c r="L1300" t="inlineStr">
        <is>
          <t>26/08/2025 07:18</t>
        </is>
      </c>
      <c r="M1300" t="inlineStr">
        <is>
          <t>None</t>
        </is>
      </c>
      <c r="N1300" t="inlineStr">
        <is>
          <t>&lt;p&gt;&lt;/p&gt;</t>
        </is>
      </c>
      <c r="O1300" t="inlineStr">
        <is>
          <t>Select Vehicle:Using another chipper while ours is being fixedSelect Vehicle:NS05 TTSSelect Vehicle:KX65 FCZ. Intermittent fault on side lights.</t>
        </is>
      </c>
      <c r="P1300" t="inlineStr">
        <is>
          <t>Tow Chipper - Jenson - A530L - 5521063948Tipper - Nissan - Navara - NS02TTS4x4 - Isuzu - D-max - NS03 TTS</t>
        </is>
      </c>
      <c r="Q1300" t="inlineStr">
        <is>
          <t>UKPN</t>
        </is>
      </c>
      <c r="R1300" t="b">
        <v>0</v>
      </c>
    </row>
    <row r="1301">
      <c r="A1301" t="inlineStr">
        <is>
          <t>26 Aug 2025 / Thomas Playford / Utilities / UKPN</t>
        </is>
      </c>
      <c r="B1301" t="inlineStr">
        <is>
          <t>Utilities</t>
        </is>
      </c>
      <c r="C1301" t="inlineStr">
        <is>
          <t>UKPN</t>
        </is>
      </c>
      <c r="D1301" t="inlineStr">
        <is>
          <t>SA9ST800000283944 , Tow Chipper , Forst , ST8D - Towed</t>
        </is>
      </c>
      <c r="E1301" t="inlineStr">
        <is>
          <t>SA9ST800000283944 , Tow Chipper , Forst , ST8D - Towed</t>
        </is>
      </c>
      <c r="F1301" t="inlineStr">
        <is>
          <t>SA9ST800000283944 , Tow Chipper , Forst , ST8D - Towed</t>
        </is>
      </c>
      <c r="G1301" t="inlineStr">
        <is>
          <t>Jacob Oram</t>
        </is>
      </c>
      <c r="H1301" t="inlineStr">
        <is>
          <t>Towed Chipper</t>
        </is>
      </c>
      <c r="I1301" t="inlineStr">
        <is>
          <t>Daily/ Weekly Vehicle Inspection</t>
        </is>
      </c>
      <c r="J1301" t="inlineStr">
        <is>
          <t>N/A</t>
        </is>
      </c>
      <c r="K1301" t="inlineStr">
        <is>
          <t>7995 Contour Landscapes Ltd 2</t>
        </is>
      </c>
      <c r="L1301" t="inlineStr">
        <is>
          <t>26/08/2025 07:20</t>
        </is>
      </c>
      <c r="M1301" t="inlineStr">
        <is>
          <t>None</t>
        </is>
      </c>
      <c r="N1301" t="inlineStr">
        <is>
          <t>&lt;p&gt;&lt;/p&gt;</t>
        </is>
      </c>
      <c r="O1301" t="inlineStr"/>
      <c r="P1301" t="inlineStr">
        <is>
          <t>SA9ST800000283944 , Tow Chipper , Forst , ST8D - Towed</t>
        </is>
      </c>
      <c r="Q1301" t="inlineStr">
        <is>
          <t>UKPN</t>
        </is>
      </c>
      <c r="R1301" t="b">
        <v>0</v>
      </c>
    </row>
    <row r="1302">
      <c r="A1302" t="inlineStr">
        <is>
          <t>26 Aug 2025 / Thomas Playford / Utilities / UKPN</t>
        </is>
      </c>
      <c r="B1302" t="inlineStr">
        <is>
          <t>Utilities</t>
        </is>
      </c>
      <c r="C1302" t="inlineStr">
        <is>
          <t>UKPN</t>
        </is>
      </c>
      <c r="D1302" t="inlineStr">
        <is>
          <t>YP24 WRD , Vehicle , Ford , Ranger</t>
        </is>
      </c>
      <c r="E1302" t="inlineStr">
        <is>
          <t>YP24 WRD , Vehicle , Ford , Ranger</t>
        </is>
      </c>
      <c r="F1302" t="inlineStr">
        <is>
          <t>YP24 WRD , Vehicle , Ford , Ranger</t>
        </is>
      </c>
      <c r="G1302" t="inlineStr">
        <is>
          <t>Jacob Oram</t>
        </is>
      </c>
      <c r="H1302" t="inlineStr">
        <is>
          <t>4x4</t>
        </is>
      </c>
      <c r="I1302" t="inlineStr">
        <is>
          <t>Daily/ Weekly Vehicle Inspection</t>
        </is>
      </c>
      <c r="J1302" t="inlineStr">
        <is>
          <t>N/A</t>
        </is>
      </c>
      <c r="K1302" t="inlineStr">
        <is>
          <t>7995 Contour Landscapes Ltd 2</t>
        </is>
      </c>
      <c r="L1302" t="inlineStr">
        <is>
          <t>26/08/2025 07:22</t>
        </is>
      </c>
      <c r="M1302" t="inlineStr">
        <is>
          <t>None</t>
        </is>
      </c>
      <c r="N1302" t="inlineStr">
        <is>
          <t>&lt;p&gt;&lt;/p&gt;</t>
        </is>
      </c>
      <c r="O1302" t="inlineStr"/>
      <c r="P1302" t="inlineStr">
        <is>
          <t>YP24 WRD , Vehicle , Ford , Ranger</t>
        </is>
      </c>
      <c r="Q1302" t="inlineStr">
        <is>
          <t>UKPN</t>
        </is>
      </c>
      <c r="R1302" t="b">
        <v>0</v>
      </c>
    </row>
    <row r="1303">
      <c r="A1303" t="inlineStr">
        <is>
          <t>26 Aug 2025 / 7186 Eastwoodbury Tree Services Ltd / Utilities / UKPN</t>
        </is>
      </c>
      <c r="B1303" t="inlineStr">
        <is>
          <t>Utilities</t>
        </is>
      </c>
      <c r="C1303" t="inlineStr">
        <is>
          <t>UKPN</t>
        </is>
      </c>
      <c r="D1303" t="inlineStr">
        <is>
          <t>AO57BPF , 4x4 , Santana  , Ps10</t>
        </is>
      </c>
      <c r="E1303" t="inlineStr">
        <is>
          <t>AO57BPF , 4x4 , Santana  , Ps10</t>
        </is>
      </c>
      <c r="F1303" t="inlineStr">
        <is>
          <t>AO57BPF , 4x4 , Santana  , Ps10</t>
        </is>
      </c>
      <c r="G1303" t="inlineStr">
        <is>
          <t xml:space="preserve">Jay Denkmayer </t>
        </is>
      </c>
      <c r="H1303" t="inlineStr">
        <is>
          <t>4x4</t>
        </is>
      </c>
      <c r="I1303" t="inlineStr">
        <is>
          <t>Daily/ Weekly Vehicle Inspection</t>
        </is>
      </c>
      <c r="J1303" t="inlineStr">
        <is>
          <t>N/A</t>
        </is>
      </c>
      <c r="K1303" t="inlineStr">
        <is>
          <t>7186 Eastwoodbury Tree Services Ltd</t>
        </is>
      </c>
      <c r="L1303" t="inlineStr">
        <is>
          <t>26/08/2025 08:18</t>
        </is>
      </c>
      <c r="M1303" t="inlineStr">
        <is>
          <t>None</t>
        </is>
      </c>
      <c r="N1303" t="inlineStr">
        <is>
          <t>&lt;p&gt;&lt;/p&gt;</t>
        </is>
      </c>
      <c r="O1303" t="inlineStr"/>
      <c r="P1303" t="inlineStr">
        <is>
          <t>AO57BPF , 4x4 , Santana  , Ps10</t>
        </is>
      </c>
      <c r="Q1303" t="inlineStr">
        <is>
          <t>UKPN</t>
        </is>
      </c>
      <c r="R1303" t="b">
        <v>0</v>
      </c>
    </row>
    <row r="1304">
      <c r="A1304" t="inlineStr">
        <is>
          <t>26 Aug 2025 / 7186 Eastwoodbury Tree Services Ltd / Utilities / UKPN</t>
        </is>
      </c>
      <c r="B1304" t="inlineStr">
        <is>
          <t>Utilities</t>
        </is>
      </c>
      <c r="C1304" t="inlineStr">
        <is>
          <t>UKPN</t>
        </is>
      </c>
      <c r="D1304" t="inlineStr">
        <is>
          <t>FN600XM , 4x4 , Land Rover  , Defender</t>
        </is>
      </c>
      <c r="E1304" t="inlineStr">
        <is>
          <t>FN600XM , 4x4 , Land Rover  , Defender</t>
        </is>
      </c>
      <c r="F1304" t="inlineStr">
        <is>
          <t>FN600XM , 4x4 , Land Rover  , Defender</t>
        </is>
      </c>
      <c r="G1304" t="inlineStr">
        <is>
          <t xml:space="preserve">Dan Gilbert </t>
        </is>
      </c>
      <c r="H1304" t="inlineStr">
        <is>
          <t>4x4</t>
        </is>
      </c>
      <c r="I1304" t="inlineStr">
        <is>
          <t>Daily/ Weekly Vehicle Inspection</t>
        </is>
      </c>
      <c r="J1304" t="inlineStr">
        <is>
          <t>N/A</t>
        </is>
      </c>
      <c r="K1304" t="inlineStr">
        <is>
          <t>7186 Eastwoodbury Tree Services Ltd</t>
        </is>
      </c>
      <c r="L1304" t="inlineStr">
        <is>
          <t>26/08/2025 08:19</t>
        </is>
      </c>
      <c r="M1304" t="inlineStr">
        <is>
          <t>None</t>
        </is>
      </c>
      <c r="N1304" t="inlineStr">
        <is>
          <t>&lt;p&gt;&lt;/p&gt;</t>
        </is>
      </c>
      <c r="O1304" t="inlineStr"/>
      <c r="P1304" t="inlineStr">
        <is>
          <t>FN600XM , 4x4 , Land Rover  , Defender</t>
        </is>
      </c>
      <c r="Q1304" t="inlineStr">
        <is>
          <t>UKPN</t>
        </is>
      </c>
      <c r="R1304" t="b">
        <v>0</v>
      </c>
    </row>
    <row r="1305">
      <c r="A1305" t="inlineStr">
        <is>
          <t>26 Aug 2025 / 7951 Austin Tree Care LTD / Utilities / UKPN</t>
        </is>
      </c>
      <c r="B1305" t="inlineStr">
        <is>
          <t>Utilities</t>
        </is>
      </c>
      <c r="C1305" t="inlineStr">
        <is>
          <t>UKPN</t>
        </is>
      </c>
      <c r="D1305" t="inlineStr">
        <is>
          <t>SA9ST6P0001283612 , Tow Chipper , Forst , ST6p</t>
        </is>
      </c>
      <c r="E1305" t="inlineStr">
        <is>
          <t>SA9ST6P0001283612 , Tow Chipper , Forst , ST6p</t>
        </is>
      </c>
      <c r="F1305" t="inlineStr">
        <is>
          <t>SA9ST6P0001283612 , Tow Chipper , Forst , ST6p</t>
        </is>
      </c>
      <c r="G1305" t="inlineStr">
        <is>
          <t xml:space="preserve">Jack Austin </t>
        </is>
      </c>
      <c r="H1305" t="inlineStr">
        <is>
          <t>Towed Chipper</t>
        </is>
      </c>
      <c r="I1305" t="inlineStr">
        <is>
          <t>Daily/ Weekly Vehicle Inspection</t>
        </is>
      </c>
      <c r="J1305" t="inlineStr">
        <is>
          <t>N/A</t>
        </is>
      </c>
      <c r="K1305" t="inlineStr">
        <is>
          <t>7951 Austin Tree Care LTD</t>
        </is>
      </c>
      <c r="L1305" t="inlineStr">
        <is>
          <t>26/08/2025 08:22</t>
        </is>
      </c>
      <c r="M1305" t="inlineStr">
        <is>
          <t>None</t>
        </is>
      </c>
      <c r="N1305" t="inlineStr">
        <is>
          <t>&lt;p&gt;&lt;/p&gt;</t>
        </is>
      </c>
      <c r="O1305" t="inlineStr"/>
      <c r="P1305" t="inlineStr">
        <is>
          <t>SA9ST6P0001283612 , Tow Chipper , Forst , ST6p</t>
        </is>
      </c>
      <c r="Q1305" t="inlineStr">
        <is>
          <t>UKPN</t>
        </is>
      </c>
      <c r="R1305" t="b">
        <v>0</v>
      </c>
    </row>
    <row r="1306">
      <c r="A1306" t="inlineStr">
        <is>
          <t>26 Aug 2025 / 7951 Austin Tree Care LTD / Utilities / UKPN</t>
        </is>
      </c>
      <c r="B1306" t="inlineStr">
        <is>
          <t>Utilities</t>
        </is>
      </c>
      <c r="C1306" t="inlineStr">
        <is>
          <t>UKPN</t>
        </is>
      </c>
      <c r="D1306" t="inlineStr">
        <is>
          <t>WF61 HZV , 4x4 MEWP , Land Rover , Defender</t>
        </is>
      </c>
      <c r="E1306" t="inlineStr">
        <is>
          <t>WF61 HZV , 4x4 MEWP , Land Rover , Defender</t>
        </is>
      </c>
      <c r="F1306" t="inlineStr">
        <is>
          <t>WF61 HZV , 4x4 MEWP , Land Rover , Defender</t>
        </is>
      </c>
      <c r="G1306" t="inlineStr">
        <is>
          <t xml:space="preserve">Jack Austin </t>
        </is>
      </c>
      <c r="H1306" t="inlineStr">
        <is>
          <t>4x4</t>
        </is>
      </c>
      <c r="I1306" t="inlineStr">
        <is>
          <t>Daily/ Weekly Vehicle Inspection</t>
        </is>
      </c>
      <c r="J1306" t="inlineStr">
        <is>
          <t>N/A</t>
        </is>
      </c>
      <c r="K1306" t="inlineStr">
        <is>
          <t>7951 Austin Tree Care LTD</t>
        </is>
      </c>
      <c r="L1306" t="inlineStr">
        <is>
          <t>26/08/2025 08:23</t>
        </is>
      </c>
      <c r="M1306" t="inlineStr">
        <is>
          <t>None</t>
        </is>
      </c>
      <c r="N1306" t="inlineStr">
        <is>
          <t>&lt;p&gt;&lt;/p&gt;</t>
        </is>
      </c>
      <c r="O1306" t="inlineStr"/>
      <c r="P1306" t="inlineStr">
        <is>
          <t>WF61 HZV , 4x4 MEWP , Land Rover , Defender</t>
        </is>
      </c>
      <c r="Q1306" t="inlineStr">
        <is>
          <t>UKPN</t>
        </is>
      </c>
      <c r="R1306" t="b">
        <v>0</v>
      </c>
    </row>
    <row r="1307">
      <c r="A1307" t="inlineStr">
        <is>
          <t>26 Aug 2025 / 7806 Optimum Tree Services Ltd / Utilities / UKPN</t>
        </is>
      </c>
      <c r="B1307" t="inlineStr">
        <is>
          <t>Utilities</t>
        </is>
      </c>
      <c r="C1307" t="inlineStr">
        <is>
          <t>UKPN</t>
        </is>
      </c>
      <c r="D1307" t="inlineStr">
        <is>
          <t>SA9TAPLAF27414263 , Trailer , Tow Mate , Plant Trailer</t>
        </is>
      </c>
      <c r="E1307" t="inlineStr">
        <is>
          <t>SA9TAPLAF27414263 , Trailer , Tow Mate , Plant Trailer</t>
        </is>
      </c>
      <c r="F1307" t="inlineStr">
        <is>
          <t>SA9TAPLAF27414263 , Trailer , Tow Mate , Plant Trailer</t>
        </is>
      </c>
      <c r="G1307" t="inlineStr">
        <is>
          <t xml:space="preserve">Abraham Davies </t>
        </is>
      </c>
      <c r="H1307" t="inlineStr">
        <is>
          <t>Plant Trailer</t>
        </is>
      </c>
      <c r="I1307" t="inlineStr">
        <is>
          <t>Daily/ Weekly Vehicle Inspection</t>
        </is>
      </c>
      <c r="J1307" t="inlineStr">
        <is>
          <t>N/A</t>
        </is>
      </c>
      <c r="K1307" t="inlineStr">
        <is>
          <t>7806 Optimum Tree Services Ltd</t>
        </is>
      </c>
      <c r="L1307" t="inlineStr">
        <is>
          <t>26/08/2025 08:24</t>
        </is>
      </c>
      <c r="M1307" t="inlineStr">
        <is>
          <t>None</t>
        </is>
      </c>
      <c r="N1307" t="inlineStr">
        <is>
          <t>&lt;p&gt;&lt;/p&gt;</t>
        </is>
      </c>
      <c r="O1307" t="inlineStr"/>
      <c r="P1307" t="inlineStr">
        <is>
          <t>SA9TAPLAF27414263 , Trailer , Tow Mate , Plant Trailer</t>
        </is>
      </c>
      <c r="Q1307" t="inlineStr">
        <is>
          <t>UKPN</t>
        </is>
      </c>
      <c r="R1307" t="b">
        <v>0</v>
      </c>
    </row>
    <row r="1308">
      <c r="A1308" t="inlineStr">
        <is>
          <t>26 Aug 2025 / 7800 MAC Tree Surgery and Fencing Ltd</t>
        </is>
      </c>
      <c r="B1308" t="inlineStr">
        <is>
          <t>Utilities &amp; Inland Waterways</t>
        </is>
      </c>
      <c r="C1308" t="inlineStr">
        <is>
          <t>UKPN</t>
        </is>
      </c>
      <c r="D1308" t="inlineStr">
        <is>
          <t>205143043-A1 , Tow Chipper , Timberwolf , TW150</t>
        </is>
      </c>
      <c r="E1308" t="inlineStr">
        <is>
          <t>205143043-A1 , Tow Chipper , Timberwolf , TW150</t>
        </is>
      </c>
      <c r="F1308" t="inlineStr">
        <is>
          <t>205143043-A1 , Tow Chipper , Timberwolf , TW150</t>
        </is>
      </c>
      <c r="G1308" t="inlineStr">
        <is>
          <t xml:space="preserve">Lewis mac </t>
        </is>
      </c>
      <c r="H1308" t="inlineStr">
        <is>
          <t>Towed Chipper</t>
        </is>
      </c>
      <c r="I1308" t="inlineStr">
        <is>
          <t>Daily/ Weekly Vehicle Inspection</t>
        </is>
      </c>
      <c r="J1308" t="inlineStr">
        <is>
          <t>N/A</t>
        </is>
      </c>
      <c r="K1308" t="inlineStr">
        <is>
          <t>7800 MAC Tree Surgery and Fencing Ltd</t>
        </is>
      </c>
      <c r="L1308" t="inlineStr">
        <is>
          <t>26/08/2025 09:19</t>
        </is>
      </c>
      <c r="M1308" t="inlineStr">
        <is>
          <t>None</t>
        </is>
      </c>
      <c r="N1308" t="inlineStr">
        <is>
          <t>&lt;p&gt;&lt;/p&gt;</t>
        </is>
      </c>
      <c r="O1308" t="inlineStr"/>
      <c r="P1308" t="inlineStr">
        <is>
          <t>205143043-A1 , Tow Chipper , Timberwolf , TW150</t>
        </is>
      </c>
      <c r="Q1308" t="inlineStr">
        <is>
          <t>UKPN</t>
        </is>
      </c>
      <c r="R1308" t="b">
        <v>0</v>
      </c>
    </row>
    <row r="1309">
      <c r="A1309" t="inlineStr">
        <is>
          <t>26 Aug 2025 / Aaron Billingham / Utilities / NGED</t>
        </is>
      </c>
      <c r="B1309" t="inlineStr">
        <is>
          <t>Utilities</t>
        </is>
      </c>
      <c r="C1309" t="inlineStr">
        <is>
          <t>NGED</t>
        </is>
      </c>
      <c r="D1309" t="inlineStr"/>
      <c r="E1309" t="inlineStr"/>
      <c r="F1309" t="inlineStr"/>
      <c r="G1309" t="inlineStr">
        <is>
          <t>Aaron Billingham</t>
        </is>
      </c>
      <c r="H1309" t="inlineStr">
        <is>
          <t>4x4</t>
        </is>
      </c>
      <c r="I1309" t="inlineStr">
        <is>
          <t>Daily/ Weekly Vehicle Inspection</t>
        </is>
      </c>
      <c r="J1309" t="inlineStr">
        <is>
          <t>N/A</t>
        </is>
      </c>
      <c r="K1309" t="inlineStr">
        <is>
          <t>Aaron Billingham</t>
        </is>
      </c>
      <c r="L1309" t="inlineStr">
        <is>
          <t>26/08/2025 09:21</t>
        </is>
      </c>
      <c r="M1309" t="inlineStr">
        <is>
          <t xml:space="preserve">Confirm that you have checked this vehicle as per the guidance document and the vehicle is safe and roadworthy: Fail
</t>
        </is>
      </c>
      <c r="N1309" t="inlineStr">
        <is>
          <t>&lt;p&gt;&lt;/p&gt;</t>
        </is>
      </c>
      <c r="O1309" t="inlineStr"/>
      <c r="P1309" t="inlineStr"/>
      <c r="Q1309" t="inlineStr">
        <is>
          <t>NGED</t>
        </is>
      </c>
      <c r="R1309" t="b">
        <v>0</v>
      </c>
    </row>
    <row r="1310">
      <c r="A1310" t="inlineStr">
        <is>
          <t>26 Aug 2025 / 7800 MAC Tree Surgery and Fencing Ltd</t>
        </is>
      </c>
      <c r="B1310" t="inlineStr">
        <is>
          <t>Utilities &amp; Inland Waterways</t>
        </is>
      </c>
      <c r="C1310" t="inlineStr">
        <is>
          <t>UKPN</t>
        </is>
      </c>
      <c r="D1310" t="inlineStr">
        <is>
          <t>AY68DAA , 4x4 , Izuzu , Dmax</t>
        </is>
      </c>
      <c r="E1310" t="inlineStr">
        <is>
          <t>AY68DAA , 4x4 , Izuzu , Dmax</t>
        </is>
      </c>
      <c r="F1310" t="inlineStr">
        <is>
          <t>AY68DAA , 4x4 , Izuzu , Dmax</t>
        </is>
      </c>
      <c r="G1310" t="inlineStr">
        <is>
          <t xml:space="preserve">Lewis mac </t>
        </is>
      </c>
      <c r="H1310" t="inlineStr">
        <is>
          <t>4x4</t>
        </is>
      </c>
      <c r="I1310" t="inlineStr">
        <is>
          <t>Daily/ Weekly Vehicle Inspection</t>
        </is>
      </c>
      <c r="J1310" t="inlineStr">
        <is>
          <t>N/A</t>
        </is>
      </c>
      <c r="K1310" t="inlineStr">
        <is>
          <t>7800 MAC Tree Surgery and Fencing Ltd</t>
        </is>
      </c>
      <c r="L1310" t="inlineStr">
        <is>
          <t>26/08/2025 09:21</t>
        </is>
      </c>
      <c r="M1310" t="inlineStr">
        <is>
          <t>None</t>
        </is>
      </c>
      <c r="N1310" t="inlineStr">
        <is>
          <t>&lt;p&gt;&lt;/p&gt;</t>
        </is>
      </c>
      <c r="O1310" t="inlineStr"/>
      <c r="P1310" t="inlineStr">
        <is>
          <t>AY68DAA , 4x4 , Izuzu , Dmax</t>
        </is>
      </c>
      <c r="Q1310" t="inlineStr">
        <is>
          <t>UKPN</t>
        </is>
      </c>
      <c r="R1310" t="b">
        <v>0</v>
      </c>
    </row>
    <row r="1311">
      <c r="A1311" t="inlineStr">
        <is>
          <t>26 Aug 2025 / 7806 Optimum Tree Services Ltd / Utilities / UKPN</t>
        </is>
      </c>
      <c r="B1311" t="inlineStr">
        <is>
          <t>Utilities</t>
        </is>
      </c>
      <c r="C1311" t="inlineStr">
        <is>
          <t>UKPN</t>
        </is>
      </c>
      <c r="D1311" t="inlineStr">
        <is>
          <t>WD14EVB , MEWP , Land Rover , Defender</t>
        </is>
      </c>
      <c r="E1311" t="inlineStr">
        <is>
          <t>WD14EVB , MEWP , Land Rover , Defender</t>
        </is>
      </c>
      <c r="F1311" t="inlineStr">
        <is>
          <t>WD14EVB , MEWP , Land Rover , Defender</t>
        </is>
      </c>
      <c r="G1311" t="inlineStr">
        <is>
          <t xml:space="preserve">Abraham Davies </t>
        </is>
      </c>
      <c r="H1311" t="inlineStr">
        <is>
          <t>4x4</t>
        </is>
      </c>
      <c r="I1311" t="inlineStr">
        <is>
          <t>Daily/ Weekly Vehicle Inspection</t>
        </is>
      </c>
      <c r="J1311" t="inlineStr">
        <is>
          <t>N/A</t>
        </is>
      </c>
      <c r="K1311" t="inlineStr">
        <is>
          <t>7806 Optimum Tree Services Ltd</t>
        </is>
      </c>
      <c r="L1311" t="inlineStr">
        <is>
          <t>26/08/2025 21:52</t>
        </is>
      </c>
      <c r="M1311" t="inlineStr">
        <is>
          <t>None</t>
        </is>
      </c>
      <c r="N1311" t="inlineStr">
        <is>
          <t>&lt;p&gt;&lt;/p&gt;</t>
        </is>
      </c>
      <c r="O1311" t="inlineStr"/>
      <c r="P1311" t="inlineStr">
        <is>
          <t>WD14EVB , MEWP , Land Rover , Defender</t>
        </is>
      </c>
      <c r="Q1311" t="inlineStr">
        <is>
          <t>UKPN</t>
        </is>
      </c>
      <c r="R1311" t="b">
        <v>0</v>
      </c>
    </row>
    <row r="1312">
      <c r="A1312" t="inlineStr">
        <is>
          <t>27 Aug 2025 / 6617 Ashdown Tree Limited 1 / Utilities / UKPN</t>
        </is>
      </c>
      <c r="B1312" t="inlineStr">
        <is>
          <t>Utilities</t>
        </is>
      </c>
      <c r="C1312" t="inlineStr">
        <is>
          <t>UKPN</t>
        </is>
      </c>
      <c r="D1312" t="inlineStr">
        <is>
          <t>WG63OJS , 4x4 , Land rover  , defender</t>
        </is>
      </c>
      <c r="E1312" t="inlineStr">
        <is>
          <t>WG63OJS , 4x4 , Land rover  , defender</t>
        </is>
      </c>
      <c r="F1312" t="inlineStr">
        <is>
          <t>WG63OJS , 4x4 , Land rover  , defender</t>
        </is>
      </c>
      <c r="G1312" t="inlineStr">
        <is>
          <t xml:space="preserve">Francislesser </t>
        </is>
      </c>
      <c r="H1312" t="inlineStr">
        <is>
          <t>4x4</t>
        </is>
      </c>
      <c r="I1312" t="inlineStr">
        <is>
          <t>Daily/ Weekly Vehicle Inspection</t>
        </is>
      </c>
      <c r="J1312" t="inlineStr">
        <is>
          <t>N/A</t>
        </is>
      </c>
      <c r="K1312" t="inlineStr">
        <is>
          <t>6617 Ashdown Tree Limited 1</t>
        </is>
      </c>
      <c r="L1312" t="inlineStr">
        <is>
          <t>27/08/2025 07:17</t>
        </is>
      </c>
      <c r="M1312" t="inlineStr">
        <is>
          <t>None</t>
        </is>
      </c>
      <c r="N1312" t="inlineStr">
        <is>
          <t>&lt;p&gt;&lt;/p&gt;</t>
        </is>
      </c>
      <c r="O1312" t="inlineStr"/>
      <c r="P1312" t="inlineStr">
        <is>
          <t>WG63OJS , 4x4 , Land rover  , defender</t>
        </is>
      </c>
      <c r="Q1312" t="inlineStr">
        <is>
          <t>UKPN</t>
        </is>
      </c>
      <c r="R1312" t="b">
        <v>0</v>
      </c>
    </row>
    <row r="1313">
      <c r="A1313" t="inlineStr">
        <is>
          <t>27 Aug 2025 / 7186 Eastwoodbury Tree Services Ltd / Utilities / UKPN</t>
        </is>
      </c>
      <c r="B1313" t="inlineStr">
        <is>
          <t>Utilities</t>
        </is>
      </c>
      <c r="C1313" t="inlineStr">
        <is>
          <t>UKPN</t>
        </is>
      </c>
      <c r="D1313" t="inlineStr">
        <is>
          <t>AO57BPF , 4x4 , Santana  , Ps10</t>
        </is>
      </c>
      <c r="E1313" t="inlineStr">
        <is>
          <t>AO57BPF , 4x4 , Santana  , Ps10</t>
        </is>
      </c>
      <c r="F1313" t="inlineStr">
        <is>
          <t>AO57BPF , 4x4 , Santana  , Ps10</t>
        </is>
      </c>
      <c r="G1313" t="inlineStr">
        <is>
          <t xml:space="preserve">Jay Denkmayer </t>
        </is>
      </c>
      <c r="H1313" t="inlineStr">
        <is>
          <t>4x4</t>
        </is>
      </c>
      <c r="I1313" t="inlineStr">
        <is>
          <t>Daily/ Weekly Vehicle Inspection</t>
        </is>
      </c>
      <c r="J1313" t="inlineStr">
        <is>
          <t>N/A</t>
        </is>
      </c>
      <c r="K1313" t="inlineStr">
        <is>
          <t>7186 Eastwoodbury Tree Services Ltd</t>
        </is>
      </c>
      <c r="L1313" t="inlineStr">
        <is>
          <t>27/08/2025 07:18</t>
        </is>
      </c>
      <c r="M1313" t="inlineStr">
        <is>
          <t>None</t>
        </is>
      </c>
      <c r="N1313" t="inlineStr">
        <is>
          <t>&lt;p&gt;&lt;/p&gt;</t>
        </is>
      </c>
      <c r="O1313" t="inlineStr"/>
      <c r="P1313" t="inlineStr">
        <is>
          <t>AO57BPF , 4x4 , Santana  , Ps10</t>
        </is>
      </c>
      <c r="Q1313" t="inlineStr">
        <is>
          <t>UKPN</t>
        </is>
      </c>
      <c r="R1313" t="b">
        <v>0</v>
      </c>
    </row>
    <row r="1314">
      <c r="A1314" t="inlineStr">
        <is>
          <t>27 Aug 2025 / 7186 Eastwoodbury Tree Services Ltd / Utilities / UKPN</t>
        </is>
      </c>
      <c r="B1314" t="inlineStr">
        <is>
          <t>Utilities</t>
        </is>
      </c>
      <c r="C1314" t="inlineStr">
        <is>
          <t>UKPN</t>
        </is>
      </c>
      <c r="D1314" t="inlineStr">
        <is>
          <t>FN600XM , 4x4 , Land Rover  , Defender</t>
        </is>
      </c>
      <c r="E1314" t="inlineStr">
        <is>
          <t>FN600XM , 4x4 , Land Rover  , Defender</t>
        </is>
      </c>
      <c r="F1314" t="inlineStr">
        <is>
          <t>FN600XM , 4x4 , Land Rover  , Defender</t>
        </is>
      </c>
      <c r="G1314" t="inlineStr">
        <is>
          <t xml:space="preserve">Dan Gilbert </t>
        </is>
      </c>
      <c r="H1314" t="inlineStr">
        <is>
          <t>4x4</t>
        </is>
      </c>
      <c r="I1314" t="inlineStr">
        <is>
          <t>Daily/ Weekly Vehicle Inspection</t>
        </is>
      </c>
      <c r="J1314" t="inlineStr">
        <is>
          <t>N/A</t>
        </is>
      </c>
      <c r="K1314" t="inlineStr">
        <is>
          <t>7186 Eastwoodbury Tree Services Ltd</t>
        </is>
      </c>
      <c r="L1314" t="inlineStr">
        <is>
          <t>27/08/2025 07:19</t>
        </is>
      </c>
      <c r="M1314" t="inlineStr">
        <is>
          <t>None</t>
        </is>
      </c>
      <c r="N1314" t="inlineStr">
        <is>
          <t>&lt;p&gt;&lt;/p&gt;</t>
        </is>
      </c>
      <c r="O1314" t="inlineStr"/>
      <c r="P1314" t="inlineStr">
        <is>
          <t>FN600XM , 4x4 , Land Rover  , Defender</t>
        </is>
      </c>
      <c r="Q1314" t="inlineStr">
        <is>
          <t>UKPN</t>
        </is>
      </c>
      <c r="R1314" t="b">
        <v>0</v>
      </c>
    </row>
    <row r="1315">
      <c r="A1315" t="inlineStr">
        <is>
          <t>27 Aug 2025 / 7806 Optimum Tree Services Ltd / Utilities / UKPN</t>
        </is>
      </c>
      <c r="B1315" t="inlineStr">
        <is>
          <t>Utilities</t>
        </is>
      </c>
      <c r="C1315" t="inlineStr">
        <is>
          <t>UKPN</t>
        </is>
      </c>
      <c r="D1315" t="inlineStr">
        <is>
          <t>SA9TAPLAF27414263 , Trailer , Tow Mate , Plant Trailer</t>
        </is>
      </c>
      <c r="E1315" t="inlineStr">
        <is>
          <t>SA9TAPLAF27414263 , Trailer , Tow Mate , Plant Trailer</t>
        </is>
      </c>
      <c r="F1315" t="inlineStr">
        <is>
          <t>SA9TAPLAF27414263 , Trailer , Tow Mate , Plant Trailer</t>
        </is>
      </c>
      <c r="G1315" t="inlineStr">
        <is>
          <t xml:space="preserve">Abraham Davies </t>
        </is>
      </c>
      <c r="H1315" t="inlineStr">
        <is>
          <t>Plant Trailer</t>
        </is>
      </c>
      <c r="I1315" t="inlineStr">
        <is>
          <t>Daily/ Weekly Vehicle Inspection</t>
        </is>
      </c>
      <c r="J1315" t="inlineStr">
        <is>
          <t>N/A</t>
        </is>
      </c>
      <c r="K1315" t="inlineStr">
        <is>
          <t>7806 Optimum Tree Services Ltd</t>
        </is>
      </c>
      <c r="L1315" t="inlineStr">
        <is>
          <t>27/08/2025 08:18</t>
        </is>
      </c>
      <c r="M1315" t="inlineStr">
        <is>
          <t>None</t>
        </is>
      </c>
      <c r="N1315" t="inlineStr">
        <is>
          <t>&lt;p&gt;&lt;/p&gt;</t>
        </is>
      </c>
      <c r="O1315" t="inlineStr"/>
      <c r="P1315" t="inlineStr">
        <is>
          <t>SA9TAPLAF27414263 , Trailer , Tow Mate , Plant Trailer</t>
        </is>
      </c>
      <c r="Q1315" t="inlineStr">
        <is>
          <t>UKPN</t>
        </is>
      </c>
      <c r="R1315" t="b">
        <v>0</v>
      </c>
    </row>
    <row r="1316">
      <c r="A1316" t="inlineStr">
        <is>
          <t>27 Aug 2025 / Thomas Playford / Utilities / UKPN</t>
        </is>
      </c>
      <c r="B1316" t="inlineStr">
        <is>
          <t>Utilities</t>
        </is>
      </c>
      <c r="C1316" t="inlineStr">
        <is>
          <t>UKPN</t>
        </is>
      </c>
      <c r="D1316" t="inlineStr">
        <is>
          <t>SA9ST800000283944 , Tow Chipper , Forst , ST8D - Towed</t>
        </is>
      </c>
      <c r="E1316" t="inlineStr">
        <is>
          <t>SA9ST800000283944 , Tow Chipper , Forst , ST8D - Towed</t>
        </is>
      </c>
      <c r="F1316" t="inlineStr">
        <is>
          <t>SA9ST800000283944 , Tow Chipper , Forst , ST8D - Towed</t>
        </is>
      </c>
      <c r="G1316" t="inlineStr">
        <is>
          <t>Jacob Oram</t>
        </is>
      </c>
      <c r="H1316" t="inlineStr">
        <is>
          <t>Towed Chipper</t>
        </is>
      </c>
      <c r="I1316" t="inlineStr">
        <is>
          <t>Daily/ Weekly Vehicle Inspection</t>
        </is>
      </c>
      <c r="J1316" t="inlineStr">
        <is>
          <t>N/A</t>
        </is>
      </c>
      <c r="K1316" t="inlineStr">
        <is>
          <t>7995 Contour Landscapes Ltd 2</t>
        </is>
      </c>
      <c r="L1316" t="inlineStr">
        <is>
          <t>27/08/2025 08:19</t>
        </is>
      </c>
      <c r="M1316" t="inlineStr">
        <is>
          <t>None</t>
        </is>
      </c>
      <c r="N1316" t="inlineStr">
        <is>
          <t>&lt;p&gt;&lt;/p&gt;</t>
        </is>
      </c>
      <c r="O1316" t="inlineStr"/>
      <c r="P1316" t="inlineStr">
        <is>
          <t>SA9ST800000283944 , Tow Chipper , Forst , ST8D - Towed</t>
        </is>
      </c>
      <c r="Q1316" t="inlineStr">
        <is>
          <t>UKPN</t>
        </is>
      </c>
      <c r="R1316" t="b">
        <v>0</v>
      </c>
    </row>
    <row r="1317">
      <c r="A1317" t="inlineStr">
        <is>
          <t>27 Aug 2025 / 7806 Optimum Tree Services Ltd / Utilities / UKPN</t>
        </is>
      </c>
      <c r="B1317" t="inlineStr">
        <is>
          <t>Utilities</t>
        </is>
      </c>
      <c r="C1317" t="inlineStr">
        <is>
          <t>UKPN</t>
        </is>
      </c>
      <c r="D1317" t="inlineStr">
        <is>
          <t>4x4 - Landrover  - Defender  - Wd14evn</t>
        </is>
      </c>
      <c r="E1317" t="inlineStr">
        <is>
          <t>4x4 - Landrover  - Defender  - Wd14evn</t>
        </is>
      </c>
      <c r="F1317" t="inlineStr">
        <is>
          <t>4x4 - Landrover  - Defender  - Wd14evn</t>
        </is>
      </c>
      <c r="G1317" t="inlineStr">
        <is>
          <t xml:space="preserve">Abraham Davies </t>
        </is>
      </c>
      <c r="H1317" t="inlineStr">
        <is>
          <t>4x4</t>
        </is>
      </c>
      <c r="I1317" t="inlineStr">
        <is>
          <t>Daily/ Weekly Vehicle Inspection</t>
        </is>
      </c>
      <c r="J1317" t="inlineStr">
        <is>
          <t>N/A</t>
        </is>
      </c>
      <c r="K1317" t="inlineStr">
        <is>
          <t>7806 Optimum Tree Services Ltd</t>
        </is>
      </c>
      <c r="L1317" t="inlineStr">
        <is>
          <t>27/08/2025 08:19</t>
        </is>
      </c>
      <c r="M1317" t="inlineStr">
        <is>
          <t>None</t>
        </is>
      </c>
      <c r="N1317" t="inlineStr">
        <is>
          <t>&lt;p&gt;&lt;/p&gt;</t>
        </is>
      </c>
      <c r="O1317" t="inlineStr"/>
      <c r="P1317" t="inlineStr">
        <is>
          <t>4x4 - Landrover  - Defender  - Wd14evn</t>
        </is>
      </c>
      <c r="Q1317" t="inlineStr">
        <is>
          <t>UKPN</t>
        </is>
      </c>
      <c r="R1317" t="b">
        <v>0</v>
      </c>
    </row>
    <row r="1318">
      <c r="A1318" t="inlineStr">
        <is>
          <t>27 Aug 2025 / Thomas Playford / Utilities / UKPN</t>
        </is>
      </c>
      <c r="B1318" t="inlineStr">
        <is>
          <t>Utilities</t>
        </is>
      </c>
      <c r="C1318" t="inlineStr">
        <is>
          <t>UKPN</t>
        </is>
      </c>
      <c r="D1318" t="inlineStr">
        <is>
          <t>YP24 WRD , Vehicle , Ford , Ranger</t>
        </is>
      </c>
      <c r="E1318" t="inlineStr">
        <is>
          <t>YP24 WRD , Vehicle , Ford , Ranger</t>
        </is>
      </c>
      <c r="F1318" t="inlineStr">
        <is>
          <t>YP24 WRD , Vehicle , Ford , Ranger</t>
        </is>
      </c>
      <c r="G1318" t="inlineStr">
        <is>
          <t>Jacob Oram</t>
        </is>
      </c>
      <c r="H1318" t="inlineStr">
        <is>
          <t>4x4</t>
        </is>
      </c>
      <c r="I1318" t="inlineStr">
        <is>
          <t>Daily/ Weekly Vehicle Inspection</t>
        </is>
      </c>
      <c r="J1318" t="inlineStr">
        <is>
          <t>N/A</t>
        </is>
      </c>
      <c r="K1318" t="inlineStr">
        <is>
          <t>7995 Contour Landscapes Ltd 2</t>
        </is>
      </c>
      <c r="L1318" t="inlineStr">
        <is>
          <t>27/08/2025 08:20</t>
        </is>
      </c>
      <c r="M1318" t="inlineStr">
        <is>
          <t>None</t>
        </is>
      </c>
      <c r="N1318" t="inlineStr">
        <is>
          <t>&lt;p&gt;&lt;/p&gt;</t>
        </is>
      </c>
      <c r="O1318" t="inlineStr"/>
      <c r="P1318" t="inlineStr">
        <is>
          <t>YP24 WRD , Vehicle , Ford , Ranger</t>
        </is>
      </c>
      <c r="Q1318" t="inlineStr">
        <is>
          <t>UKPN</t>
        </is>
      </c>
      <c r="R1318" t="b">
        <v>0</v>
      </c>
    </row>
    <row r="1319">
      <c r="A1319" t="inlineStr">
        <is>
          <t>27 Aug 2025 / 7800 MAC Tree Surgery and Fencing Ltd</t>
        </is>
      </c>
      <c r="B1319" t="inlineStr">
        <is>
          <t>Utilities &amp; Inland Waterways</t>
        </is>
      </c>
      <c r="C1319" t="inlineStr">
        <is>
          <t>UKPN</t>
        </is>
      </c>
      <c r="D1319" t="inlineStr">
        <is>
          <t>205143043-A1 , Tow Chipper , Timberwolf , TW150</t>
        </is>
      </c>
      <c r="E1319" t="inlineStr">
        <is>
          <t>205143043-A1 , Tow Chipper , Timberwolf , TW150</t>
        </is>
      </c>
      <c r="F1319" t="inlineStr">
        <is>
          <t>205143043-A1 , Tow Chipper , Timberwolf , TW150</t>
        </is>
      </c>
      <c r="G1319" t="inlineStr">
        <is>
          <t xml:space="preserve">Lewis mac </t>
        </is>
      </c>
      <c r="H1319" t="inlineStr">
        <is>
          <t>Towed Chipper</t>
        </is>
      </c>
      <c r="I1319" t="inlineStr">
        <is>
          <t>Daily/ Weekly Vehicle Inspection</t>
        </is>
      </c>
      <c r="J1319" t="inlineStr">
        <is>
          <t>N/A</t>
        </is>
      </c>
      <c r="K1319" t="inlineStr">
        <is>
          <t>7800 MAC Tree Surgery and Fencing Ltd</t>
        </is>
      </c>
      <c r="L1319" t="inlineStr">
        <is>
          <t>27/08/2025 08:21</t>
        </is>
      </c>
      <c r="M1319" t="inlineStr">
        <is>
          <t>None</t>
        </is>
      </c>
      <c r="N1319" t="inlineStr">
        <is>
          <t>&lt;p&gt;&lt;/p&gt;</t>
        </is>
      </c>
      <c r="O1319" t="inlineStr"/>
      <c r="P1319" t="inlineStr">
        <is>
          <t>205143043-A1 , Tow Chipper , Timberwolf , TW150</t>
        </is>
      </c>
      <c r="Q1319" t="inlineStr">
        <is>
          <t>UKPN</t>
        </is>
      </c>
      <c r="R1319" t="b">
        <v>0</v>
      </c>
    </row>
    <row r="1320">
      <c r="A1320" t="inlineStr">
        <is>
          <t>27 Aug 2025 / 7800 MAC Tree Surgery and Fencing Ltd</t>
        </is>
      </c>
      <c r="B1320" t="inlineStr">
        <is>
          <t>Utilities &amp; Inland Waterways</t>
        </is>
      </c>
      <c r="C1320" t="inlineStr">
        <is>
          <t>UKPN</t>
        </is>
      </c>
      <c r="D1320" t="inlineStr">
        <is>
          <t>AY68DAA , 4x4 , Izuzu , Dmax</t>
        </is>
      </c>
      <c r="E1320" t="inlineStr">
        <is>
          <t>AY68DAA , 4x4 , Izuzu , Dmax</t>
        </is>
      </c>
      <c r="F1320" t="inlineStr">
        <is>
          <t>AY68DAA , 4x4 , Izuzu , Dmax</t>
        </is>
      </c>
      <c r="G1320" t="inlineStr">
        <is>
          <t xml:space="preserve">Lewis mac </t>
        </is>
      </c>
      <c r="H1320" t="inlineStr">
        <is>
          <t>4x4</t>
        </is>
      </c>
      <c r="I1320" t="inlineStr">
        <is>
          <t>Daily/ Weekly Vehicle Inspection</t>
        </is>
      </c>
      <c r="J1320" t="inlineStr">
        <is>
          <t>N/A</t>
        </is>
      </c>
      <c r="K1320" t="inlineStr">
        <is>
          <t>7800 MAC Tree Surgery and Fencing Ltd</t>
        </is>
      </c>
      <c r="L1320" t="inlineStr">
        <is>
          <t>27/08/2025 08:21</t>
        </is>
      </c>
      <c r="M1320" t="inlineStr">
        <is>
          <t>None</t>
        </is>
      </c>
      <c r="N1320" t="inlineStr">
        <is>
          <t>&lt;p&gt;&lt;/p&gt;</t>
        </is>
      </c>
      <c r="O1320" t="inlineStr"/>
      <c r="P1320" t="inlineStr">
        <is>
          <t>AY68DAA , 4x4 , Izuzu , Dmax</t>
        </is>
      </c>
      <c r="Q1320" t="inlineStr">
        <is>
          <t>UKPN</t>
        </is>
      </c>
      <c r="R1320" t="b">
        <v>0</v>
      </c>
    </row>
    <row r="1321">
      <c r="A1321" t="inlineStr">
        <is>
          <t>27 Aug 2025 / 7951 Austin Tree Care LTD / Utilities / UKPN</t>
        </is>
      </c>
      <c r="B1321" t="inlineStr">
        <is>
          <t>Utilities</t>
        </is>
      </c>
      <c r="C1321" t="inlineStr">
        <is>
          <t>UKPN</t>
        </is>
      </c>
      <c r="D1321" t="inlineStr">
        <is>
          <t>WF61 HZV , 4x4 MEWP , Land Rover , Defender</t>
        </is>
      </c>
      <c r="E1321" t="inlineStr">
        <is>
          <t>WF61 HZV , 4x4 MEWP , Land Rover , Defender</t>
        </is>
      </c>
      <c r="F1321" t="inlineStr">
        <is>
          <t>WF61 HZV , 4x4 MEWP , Land Rover , Defender</t>
        </is>
      </c>
      <c r="G1321" t="inlineStr">
        <is>
          <t xml:space="preserve">Jack Austin </t>
        </is>
      </c>
      <c r="H1321" t="inlineStr">
        <is>
          <t>4x4</t>
        </is>
      </c>
      <c r="I1321" t="inlineStr">
        <is>
          <t>Daily/ Weekly Vehicle Inspection</t>
        </is>
      </c>
      <c r="J1321" t="inlineStr">
        <is>
          <t>N/A</t>
        </is>
      </c>
      <c r="K1321" t="inlineStr">
        <is>
          <t>7951 Austin Tree Care LTD</t>
        </is>
      </c>
      <c r="L1321" t="inlineStr">
        <is>
          <t>27/08/2025 08:24</t>
        </is>
      </c>
      <c r="M1321" t="inlineStr">
        <is>
          <t>None</t>
        </is>
      </c>
      <c r="N1321" t="inlineStr">
        <is>
          <t>&lt;p&gt;&lt;/p&gt;</t>
        </is>
      </c>
      <c r="O1321" t="inlineStr"/>
      <c r="P1321" t="inlineStr">
        <is>
          <t>WF61 HZV , 4x4 MEWP , Land Rover , Defender</t>
        </is>
      </c>
      <c r="Q1321" t="inlineStr">
        <is>
          <t>UKPN</t>
        </is>
      </c>
      <c r="R1321" t="b">
        <v>0</v>
      </c>
    </row>
    <row r="1322">
      <c r="A1322" t="inlineStr">
        <is>
          <t>27 Aug 2025 / 7889 Tree Tech Suffolk Ltd</t>
        </is>
      </c>
      <c r="B1322" t="inlineStr">
        <is>
          <t>Utilities &amp; Inland Waterways</t>
        </is>
      </c>
      <c r="C1322" t="inlineStr">
        <is>
          <t>UKPN</t>
        </is>
      </c>
      <c r="D1322" t="inlineStr">
        <is>
          <t>Tow Chipper - Jenson - A530L - 5521063948Tipper - Nissan - Navara - NS02TTS4x4 - Isuzu - D-max - NS03 TTS</t>
        </is>
      </c>
      <c r="E1322" t="inlineStr">
        <is>
          <t>Tow Chipper - Jenson - A530L - 5521063948Tipper - Nissan - Navara - NS02TTS4x4 - Isuzu - D-max - NS03 TTS</t>
        </is>
      </c>
      <c r="F1322" t="inlineStr">
        <is>
          <t>Tow Chipper - Jenson - A530L - 5521063948Tipper - Nissan - Navara - NS02TTS4x4 - Isuzu - D-max - NS03 TTS</t>
        </is>
      </c>
      <c r="G1322" t="inlineStr">
        <is>
          <t xml:space="preserve">Nikki sparrow Nikki sparrow Danny Appleby </t>
        </is>
      </c>
      <c r="H1322" t="inlineStr">
        <is>
          <t>Towed ChipperTipper4x4</t>
        </is>
      </c>
      <c r="I1322" t="inlineStr">
        <is>
          <t>Daily/ Weekly Vehicle Inspection</t>
        </is>
      </c>
      <c r="J1322" t="inlineStr">
        <is>
          <t>N/A</t>
        </is>
      </c>
      <c r="K1322" t="inlineStr">
        <is>
          <t>7889 Tree Tech Suffolk Ltd</t>
        </is>
      </c>
      <c r="L1322" t="inlineStr">
        <is>
          <t>27/08/2025 10:17</t>
        </is>
      </c>
      <c r="M1322" t="inlineStr">
        <is>
          <t>None</t>
        </is>
      </c>
      <c r="N1322" t="inlineStr">
        <is>
          <t>&lt;p&gt;&lt;/p&gt;</t>
        </is>
      </c>
      <c r="O1322" t="inlineStr">
        <is>
          <t>Select Vehicle:Using another chipper while ours is being fixedSelect Vehicle:KX65 FCZ. Intermittent fault on side lights.</t>
        </is>
      </c>
      <c r="P1322" t="inlineStr">
        <is>
          <t>Tow Chipper - Jenson - A530L - 5521063948Tipper - Nissan - Navara - NS02TTS4x4 - Isuzu - D-max - NS03 TTS</t>
        </is>
      </c>
      <c r="Q1322" t="inlineStr">
        <is>
          <t>UKPN</t>
        </is>
      </c>
      <c r="R1322" t="b">
        <v>0</v>
      </c>
    </row>
    <row r="1323">
      <c r="A1323" t="inlineStr">
        <is>
          <t>27 Aug 2025 / Anthony Gale / Utilities / UKPN</t>
        </is>
      </c>
      <c r="B1323" t="inlineStr">
        <is>
          <t>Utilities</t>
        </is>
      </c>
      <c r="C1323" t="inlineStr">
        <is>
          <t>UKPN</t>
        </is>
      </c>
      <c r="D1323" t="inlineStr">
        <is>
          <t>PE07 HGL , Vehicle , Mitsubishi , L200 K74</t>
        </is>
      </c>
      <c r="E1323" t="inlineStr">
        <is>
          <t>PE07 HGL , Vehicle , Mitsubishi , L200 K74</t>
        </is>
      </c>
      <c r="F1323" t="inlineStr">
        <is>
          <t>PE07 HGL , Vehicle , Mitsubishi , L200 K74</t>
        </is>
      </c>
      <c r="G1323" t="inlineStr">
        <is>
          <t>Anthony Gale</t>
        </is>
      </c>
      <c r="H1323" t="inlineStr">
        <is>
          <t>Pickup Truck</t>
        </is>
      </c>
      <c r="I1323" t="inlineStr">
        <is>
          <t>Daily/ Weekly Vehicle Inspection</t>
        </is>
      </c>
      <c r="J1323" t="inlineStr">
        <is>
          <t>N/A</t>
        </is>
      </c>
      <c r="K1323" t="inlineStr">
        <is>
          <t>7996 M G Tree Surgery Ltd 1</t>
        </is>
      </c>
      <c r="L1323" t="inlineStr">
        <is>
          <t>27/08/2025 11:18</t>
        </is>
      </c>
      <c r="M1323" t="inlineStr">
        <is>
          <t>None</t>
        </is>
      </c>
      <c r="N1323" t="inlineStr">
        <is>
          <t>&lt;p&gt;&lt;/p&gt;</t>
        </is>
      </c>
      <c r="O1323" t="inlineStr"/>
      <c r="P1323" t="inlineStr">
        <is>
          <t>PE07 HGL , Vehicle , Mitsubishi , L200 K74</t>
        </is>
      </c>
      <c r="Q1323" t="inlineStr">
        <is>
          <t>UKPN</t>
        </is>
      </c>
      <c r="R1323" t="b">
        <v>0</v>
      </c>
    </row>
    <row r="1324">
      <c r="A1324" t="inlineStr">
        <is>
          <t>27 Aug 2025 / 7996 M G Tree Surgery Ltd / Utilities / UKPN</t>
        </is>
      </c>
      <c r="B1324" t="inlineStr">
        <is>
          <t>Utilities</t>
        </is>
      </c>
      <c r="C1324" t="inlineStr">
        <is>
          <t>UKPN</t>
        </is>
      </c>
      <c r="D1324" t="inlineStr">
        <is>
          <t>GU13 WNL , MEWP , Land Rover , Defender 130</t>
        </is>
      </c>
      <c r="E1324" t="inlineStr">
        <is>
          <t>GU13 WNL , MEWP , Land Rover , Defender 130</t>
        </is>
      </c>
      <c r="F1324" t="inlineStr">
        <is>
          <t>GU13 WNL , MEWP , Land Rover , Defender 130</t>
        </is>
      </c>
      <c r="G1324" t="inlineStr">
        <is>
          <t>Max</t>
        </is>
      </c>
      <c r="H1324" t="inlineStr">
        <is>
          <t>4x4</t>
        </is>
      </c>
      <c r="I1324" t="inlineStr">
        <is>
          <t>Daily/ Weekly Vehicle Inspection</t>
        </is>
      </c>
      <c r="J1324" t="inlineStr">
        <is>
          <t>N/A</t>
        </is>
      </c>
      <c r="K1324" t="inlineStr">
        <is>
          <t>7996 M G Tree Surgery Ltd</t>
        </is>
      </c>
      <c r="L1324" t="inlineStr">
        <is>
          <t>27/08/2025 12:18</t>
        </is>
      </c>
      <c r="M1324" t="inlineStr">
        <is>
          <t>None</t>
        </is>
      </c>
      <c r="N1324" t="inlineStr">
        <is>
          <t>&lt;p&gt;&lt;/p&gt;</t>
        </is>
      </c>
      <c r="O1324" t="inlineStr"/>
      <c r="P1324" t="inlineStr">
        <is>
          <t>GU13 WNL , MEWP , Land Rover , Defender 130</t>
        </is>
      </c>
      <c r="Q1324" t="inlineStr">
        <is>
          <t>UKPN</t>
        </is>
      </c>
      <c r="R1324" t="b">
        <v>0</v>
      </c>
    </row>
    <row r="1325">
      <c r="A1325" t="inlineStr">
        <is>
          <t>28 Aug 2025 / 7951 Austin Tree Care LTD / Utilities / UKPN</t>
        </is>
      </c>
      <c r="B1325" t="inlineStr">
        <is>
          <t>Utilities</t>
        </is>
      </c>
      <c r="C1325" t="inlineStr">
        <is>
          <t>UKPN</t>
        </is>
      </c>
      <c r="D1325" t="inlineStr">
        <is>
          <t>SA9ST6P0001283612 , Tow Chipper , Forst , ST6p</t>
        </is>
      </c>
      <c r="E1325" t="inlineStr">
        <is>
          <t>SA9ST6P0001283612 , Tow Chipper , Forst , ST6p</t>
        </is>
      </c>
      <c r="F1325" t="inlineStr">
        <is>
          <t>SA9ST6P0001283612 , Tow Chipper , Forst , ST6p</t>
        </is>
      </c>
      <c r="G1325" t="inlineStr">
        <is>
          <t xml:space="preserve">James Tasker </t>
        </is>
      </c>
      <c r="H1325" t="inlineStr">
        <is>
          <t>Towed Chipper</t>
        </is>
      </c>
      <c r="I1325" t="inlineStr">
        <is>
          <t>Daily/ Weekly Vehicle Inspection</t>
        </is>
      </c>
      <c r="J1325" t="inlineStr">
        <is>
          <t>N/A</t>
        </is>
      </c>
      <c r="K1325" t="inlineStr">
        <is>
          <t>7951 Austin Tree Care LTD</t>
        </is>
      </c>
      <c r="L1325" t="inlineStr">
        <is>
          <t>28/08/2025 07:18</t>
        </is>
      </c>
      <c r="M1325" t="inlineStr">
        <is>
          <t>None</t>
        </is>
      </c>
      <c r="N1325" t="inlineStr">
        <is>
          <t>&lt;p&gt;&lt;/p&gt;</t>
        </is>
      </c>
      <c r="O1325" t="inlineStr"/>
      <c r="P1325" t="inlineStr">
        <is>
          <t>SA9ST6P0001283612 , Tow Chipper , Forst , ST6p</t>
        </is>
      </c>
      <c r="Q1325" t="inlineStr">
        <is>
          <t>UKPN</t>
        </is>
      </c>
      <c r="R1325" t="b">
        <v>0</v>
      </c>
    </row>
    <row r="1326">
      <c r="A1326" t="inlineStr">
        <is>
          <t>28 Aug 2025 / 7806 Optimum Tree Services Ltd / Utilities / UKPN</t>
        </is>
      </c>
      <c r="B1326" t="inlineStr">
        <is>
          <t>Utilities</t>
        </is>
      </c>
      <c r="C1326" t="inlineStr">
        <is>
          <t>UKPN</t>
        </is>
      </c>
      <c r="D1326" t="inlineStr">
        <is>
          <t>SA9ST800000283069 , Chipper , Forst , ST 6P</t>
        </is>
      </c>
      <c r="E1326" t="inlineStr">
        <is>
          <t>SA9ST800000283069 , Chipper , Forst , ST 6P</t>
        </is>
      </c>
      <c r="F1326" t="inlineStr">
        <is>
          <t>SA9ST800000283069 , Chipper , Forst , ST 6P</t>
        </is>
      </c>
      <c r="G1326" t="inlineStr">
        <is>
          <t xml:space="preserve">Abraham Davies </t>
        </is>
      </c>
      <c r="H1326" t="inlineStr">
        <is>
          <t>Towed Chipper</t>
        </is>
      </c>
      <c r="I1326" t="inlineStr">
        <is>
          <t>Daily/ Weekly Vehicle Inspection</t>
        </is>
      </c>
      <c r="J1326" t="inlineStr">
        <is>
          <t>N/A</t>
        </is>
      </c>
      <c r="K1326" t="inlineStr">
        <is>
          <t>7806 Optimum Tree Services Ltd</t>
        </is>
      </c>
      <c r="L1326" t="inlineStr">
        <is>
          <t>28/08/2025 07:18</t>
        </is>
      </c>
      <c r="M1326" t="inlineStr">
        <is>
          <t>None</t>
        </is>
      </c>
      <c r="N1326" t="inlineStr">
        <is>
          <t>&lt;p&gt;&lt;/p&gt;</t>
        </is>
      </c>
      <c r="O1326" t="inlineStr"/>
      <c r="P1326" t="inlineStr">
        <is>
          <t>SA9ST800000283069 , Chipper , Forst , ST 6P</t>
        </is>
      </c>
      <c r="Q1326" t="inlineStr">
        <is>
          <t>UKPN</t>
        </is>
      </c>
      <c r="R1326" t="b">
        <v>0</v>
      </c>
    </row>
    <row r="1327">
      <c r="A1327" t="inlineStr">
        <is>
          <t>28 Aug 2025 / 7951 Austin Tree Care LTD / Utilities / UKPN</t>
        </is>
      </c>
      <c r="B1327" t="inlineStr">
        <is>
          <t>Utilities</t>
        </is>
      </c>
      <c r="C1327" t="inlineStr">
        <is>
          <t>UKPN</t>
        </is>
      </c>
      <c r="D1327" t="inlineStr">
        <is>
          <t>WF61 HZV , 4x4 MEWP , Land Rover , Defender</t>
        </is>
      </c>
      <c r="E1327" t="inlineStr">
        <is>
          <t>WF61 HZV , 4x4 MEWP , Land Rover , Defender</t>
        </is>
      </c>
      <c r="F1327" t="inlineStr">
        <is>
          <t>WF61 HZV , 4x4 MEWP , Land Rover , Defender</t>
        </is>
      </c>
      <c r="G1327" t="inlineStr">
        <is>
          <t>James Tasker</t>
        </is>
      </c>
      <c r="H1327" t="inlineStr">
        <is>
          <t>4x4</t>
        </is>
      </c>
      <c r="I1327" t="inlineStr">
        <is>
          <t>Daily/ Weekly Vehicle Inspection</t>
        </is>
      </c>
      <c r="J1327" t="inlineStr">
        <is>
          <t>N/A</t>
        </is>
      </c>
      <c r="K1327" t="inlineStr">
        <is>
          <t>7951 Austin Tree Care LTD</t>
        </is>
      </c>
      <c r="L1327" t="inlineStr">
        <is>
          <t>28/08/2025 07:20</t>
        </is>
      </c>
      <c r="M1327" t="inlineStr">
        <is>
          <t>None</t>
        </is>
      </c>
      <c r="N1327" t="inlineStr">
        <is>
          <t>&lt;p&gt;&lt;/p&gt;</t>
        </is>
      </c>
      <c r="O1327" t="inlineStr"/>
      <c r="P1327" t="inlineStr">
        <is>
          <t>WF61 HZV , 4x4 MEWP , Land Rover , Defender</t>
        </is>
      </c>
      <c r="Q1327" t="inlineStr">
        <is>
          <t>UKPN</t>
        </is>
      </c>
      <c r="R1327" t="b">
        <v>0</v>
      </c>
    </row>
    <row r="1328">
      <c r="A1328" t="inlineStr">
        <is>
          <t>28 Aug 2025 / 7800 MAC Tree Surgery and Fencing Ltd</t>
        </is>
      </c>
      <c r="B1328" t="inlineStr">
        <is>
          <t>Utilities &amp; Inland Waterways</t>
        </is>
      </c>
      <c r="C1328" t="inlineStr">
        <is>
          <t>UKPN</t>
        </is>
      </c>
      <c r="D1328" t="inlineStr">
        <is>
          <t>AY68DAA , 4x4 , Izuzu , Dmax</t>
        </is>
      </c>
      <c r="E1328" t="inlineStr">
        <is>
          <t>AY68DAA , 4x4 , Izuzu , Dmax</t>
        </is>
      </c>
      <c r="F1328" t="inlineStr">
        <is>
          <t>AY68DAA , 4x4 , Izuzu , Dmax</t>
        </is>
      </c>
      <c r="G1328" t="inlineStr">
        <is>
          <t xml:space="preserve">Lewis mac </t>
        </is>
      </c>
      <c r="H1328" t="inlineStr">
        <is>
          <t>4x4</t>
        </is>
      </c>
      <c r="I1328" t="inlineStr">
        <is>
          <t>Daily/ Weekly Vehicle Inspection</t>
        </is>
      </c>
      <c r="J1328" t="inlineStr">
        <is>
          <t>N/A</t>
        </is>
      </c>
      <c r="K1328" t="inlineStr">
        <is>
          <t>7800 MAC Tree Surgery and Fencing Ltd</t>
        </is>
      </c>
      <c r="L1328" t="inlineStr">
        <is>
          <t>28/08/2025 08:17</t>
        </is>
      </c>
      <c r="M1328" t="inlineStr">
        <is>
          <t>None</t>
        </is>
      </c>
      <c r="N1328" t="inlineStr">
        <is>
          <t>&lt;p&gt;&lt;/p&gt;</t>
        </is>
      </c>
      <c r="O1328" t="inlineStr"/>
      <c r="P1328" t="inlineStr">
        <is>
          <t>AY68DAA , 4x4 , Izuzu , Dmax</t>
        </is>
      </c>
      <c r="Q1328" t="inlineStr">
        <is>
          <t>UKPN</t>
        </is>
      </c>
      <c r="R1328" t="b">
        <v>0</v>
      </c>
    </row>
    <row r="1329">
      <c r="A1329" t="inlineStr">
        <is>
          <t>28 Aug 2025 / 7800 MAC Tree Surgery and Fencing Ltd</t>
        </is>
      </c>
      <c r="B1329" t="inlineStr">
        <is>
          <t>Utilities &amp; Inland Waterways</t>
        </is>
      </c>
      <c r="C1329" t="inlineStr">
        <is>
          <t>UKPN</t>
        </is>
      </c>
      <c r="D1329" t="inlineStr">
        <is>
          <t>205143043-A1 , Tow Chipper , Timberwolf , TW150</t>
        </is>
      </c>
      <c r="E1329" t="inlineStr">
        <is>
          <t>205143043-A1 , Tow Chipper , Timberwolf , TW150</t>
        </is>
      </c>
      <c r="F1329" t="inlineStr">
        <is>
          <t>205143043-A1 , Tow Chipper , Timberwolf , TW150</t>
        </is>
      </c>
      <c r="G1329" t="inlineStr">
        <is>
          <t xml:space="preserve">Lewis mac </t>
        </is>
      </c>
      <c r="H1329" t="inlineStr">
        <is>
          <t>Towed Chipper</t>
        </is>
      </c>
      <c r="I1329" t="inlineStr">
        <is>
          <t>Daily/ Weekly Vehicle Inspection</t>
        </is>
      </c>
      <c r="J1329" t="inlineStr">
        <is>
          <t>N/A</t>
        </is>
      </c>
      <c r="K1329" t="inlineStr">
        <is>
          <t>7800 MAC Tree Surgery and Fencing Ltd</t>
        </is>
      </c>
      <c r="L1329" t="inlineStr">
        <is>
          <t>28/08/2025 08:18</t>
        </is>
      </c>
      <c r="M1329" t="inlineStr">
        <is>
          <t>None</t>
        </is>
      </c>
      <c r="N1329" t="inlineStr">
        <is>
          <t>&lt;p&gt;&lt;/p&gt;</t>
        </is>
      </c>
      <c r="O1329" t="inlineStr"/>
      <c r="P1329" t="inlineStr">
        <is>
          <t>205143043-A1 , Tow Chipper , Timberwolf , TW150</t>
        </is>
      </c>
      <c r="Q1329" t="inlineStr">
        <is>
          <t>UKPN</t>
        </is>
      </c>
      <c r="R1329" t="b">
        <v>0</v>
      </c>
    </row>
    <row r="1330">
      <c r="A1330" t="inlineStr">
        <is>
          <t>28 Aug 2025 / 7806 Optimum Tree Services Ltd / Utilities / UKPN</t>
        </is>
      </c>
      <c r="B1330" t="inlineStr">
        <is>
          <t>Utilities</t>
        </is>
      </c>
      <c r="C1330" t="inlineStr">
        <is>
          <t>UKPN</t>
        </is>
      </c>
      <c r="D1330" t="inlineStr">
        <is>
          <t>4x4 - Landrover  - Defender  - Wd14evn</t>
        </is>
      </c>
      <c r="E1330" t="inlineStr">
        <is>
          <t>4x4 - Landrover  - Defender  - Wd14evn</t>
        </is>
      </c>
      <c r="F1330" t="inlineStr">
        <is>
          <t>4x4 - Landrover  - Defender  - Wd14evn</t>
        </is>
      </c>
      <c r="G1330" t="inlineStr">
        <is>
          <t xml:space="preserve">Abraham Davies </t>
        </is>
      </c>
      <c r="H1330" t="inlineStr">
        <is>
          <t>4x4</t>
        </is>
      </c>
      <c r="I1330" t="inlineStr">
        <is>
          <t>Daily/ Weekly Vehicle Inspection</t>
        </is>
      </c>
      <c r="J1330" t="inlineStr">
        <is>
          <t>N/A</t>
        </is>
      </c>
      <c r="K1330" t="inlineStr">
        <is>
          <t>7806 Optimum Tree Services Ltd</t>
        </is>
      </c>
      <c r="L1330" t="inlineStr">
        <is>
          <t>28/08/2025 08:19</t>
        </is>
      </c>
      <c r="M1330" t="inlineStr">
        <is>
          <t>None</t>
        </is>
      </c>
      <c r="N1330" t="inlineStr">
        <is>
          <t>&lt;p&gt;&lt;/p&gt;</t>
        </is>
      </c>
      <c r="O1330" t="inlineStr"/>
      <c r="P1330" t="inlineStr">
        <is>
          <t>4x4 - Landrover  - Defender  - Wd14evn</t>
        </is>
      </c>
      <c r="Q1330" t="inlineStr">
        <is>
          <t>UKPN</t>
        </is>
      </c>
      <c r="R1330" t="b">
        <v>0</v>
      </c>
    </row>
    <row r="1331">
      <c r="A1331" t="inlineStr">
        <is>
          <t>28 Aug 2025 / 3098 D &amp; R Landscapes (PEND Arb Rail) / Utilities / UKPN</t>
        </is>
      </c>
      <c r="B1331" t="inlineStr">
        <is>
          <t>Utilities</t>
        </is>
      </c>
      <c r="C1331" t="inlineStr">
        <is>
          <t>UKPN</t>
        </is>
      </c>
      <c r="D1331" t="inlineStr">
        <is>
          <t>DE68XHA , Tipper , Isuzu , Grafter</t>
        </is>
      </c>
      <c r="E1331" t="inlineStr">
        <is>
          <t>DE68XHA , Tipper , Isuzu , Grafter</t>
        </is>
      </c>
      <c r="F1331" t="inlineStr">
        <is>
          <t>DE68XHA , Tipper , Isuzu , Grafter</t>
        </is>
      </c>
      <c r="G1331" t="inlineStr">
        <is>
          <t xml:space="preserve">Chris </t>
        </is>
      </c>
      <c r="H1331" t="inlineStr">
        <is>
          <t>Tipper</t>
        </is>
      </c>
      <c r="I1331" t="inlineStr">
        <is>
          <t>Daily/ Weekly Vehicle Inspection</t>
        </is>
      </c>
      <c r="J1331" t="inlineStr">
        <is>
          <t>N/A</t>
        </is>
      </c>
      <c r="K1331" t="inlineStr">
        <is>
          <t>3098 D &amp; R Landscapes</t>
        </is>
      </c>
      <c r="L1331" t="inlineStr">
        <is>
          <t>28/08/2025 08:20</t>
        </is>
      </c>
      <c r="M1331" t="inlineStr">
        <is>
          <t>None</t>
        </is>
      </c>
      <c r="N1331" t="inlineStr">
        <is>
          <t>&lt;p&gt;&lt;/p&gt;</t>
        </is>
      </c>
      <c r="O1331" t="inlineStr"/>
      <c r="P1331" t="inlineStr">
        <is>
          <t>DE68XHA , Tipper , Isuzu , Grafter</t>
        </is>
      </c>
      <c r="Q1331" t="inlineStr">
        <is>
          <t>UKPN</t>
        </is>
      </c>
      <c r="R1331" t="b">
        <v>0</v>
      </c>
    </row>
    <row r="1332">
      <c r="A1332" t="inlineStr">
        <is>
          <t>28 Aug 2025 / James Gorman / Utilities / UKPN</t>
        </is>
      </c>
      <c r="B1332" t="inlineStr">
        <is>
          <t>Utilities</t>
        </is>
      </c>
      <c r="C1332" t="inlineStr">
        <is>
          <t>UKPN</t>
        </is>
      </c>
      <c r="D1332" t="inlineStr">
        <is>
          <t>Car - Electric - Tesla - Model 3  - AF22 XRA</t>
        </is>
      </c>
      <c r="E1332" t="inlineStr">
        <is>
          <t>Car - Electric - Tesla - Model 3  - AF22 XRA</t>
        </is>
      </c>
      <c r="F1332" t="inlineStr">
        <is>
          <t>Car - Electric - Tesla - Model 3  - AF22 XRA</t>
        </is>
      </c>
      <c r="G1332" t="inlineStr">
        <is>
          <t>James Gorman</t>
        </is>
      </c>
      <c r="H1332" t="inlineStr">
        <is>
          <t>Car - Electric (GC Owned)</t>
        </is>
      </c>
      <c r="I1332" t="inlineStr">
        <is>
          <t>Daily/ Weekly Vehicle Inspection</t>
        </is>
      </c>
      <c r="J1332" t="inlineStr">
        <is>
          <t>N/A</t>
        </is>
      </c>
      <c r="K1332" t="inlineStr">
        <is>
          <t>James Gorman</t>
        </is>
      </c>
      <c r="L1332" t="inlineStr">
        <is>
          <t>28/08/2025 10:18</t>
        </is>
      </c>
      <c r="M1332" t="inlineStr">
        <is>
          <t>None</t>
        </is>
      </c>
      <c r="N1332" t="inlineStr">
        <is>
          <t>&lt;p&gt;&lt;/p&gt;</t>
        </is>
      </c>
      <c r="O1332" t="inlineStr">
        <is>
          <t>Confirm that you have checked this vehicle as per the guidance document and the vehicle is safe and roadworthy:Squeaking noise coning from drivers front wheel, and hub caps are rattling. Will book in to get looked at.
-</t>
        </is>
      </c>
      <c r="P1332" t="inlineStr">
        <is>
          <t>Car - Electric - Tesla - Model 3  - AF22 XRA</t>
        </is>
      </c>
      <c r="Q1332" t="inlineStr">
        <is>
          <t>UKPN</t>
        </is>
      </c>
      <c r="R1332" t="b">
        <v>0</v>
      </c>
    </row>
    <row r="1333">
      <c r="A1333" t="inlineStr">
        <is>
          <t>29 Aug 2025 / 7951 Austin Tree Care LTD / Utilities / UKPN</t>
        </is>
      </c>
      <c r="B1333" t="inlineStr">
        <is>
          <t>Utilities</t>
        </is>
      </c>
      <c r="C1333" t="inlineStr">
        <is>
          <t>UKPN</t>
        </is>
      </c>
      <c r="D1333" t="inlineStr">
        <is>
          <t>SA9ST6P0001283612 , Tow Chipper , Forst , ST6p</t>
        </is>
      </c>
      <c r="E1333" t="inlineStr">
        <is>
          <t>SA9ST6P0001283612 , Tow Chipper , Forst , ST6p</t>
        </is>
      </c>
      <c r="F1333" t="inlineStr">
        <is>
          <t>SA9ST6P0001283612 , Tow Chipper , Forst , ST6p</t>
        </is>
      </c>
      <c r="G1333" t="inlineStr">
        <is>
          <t xml:space="preserve">Jack Austin </t>
        </is>
      </c>
      <c r="H1333" t="inlineStr">
        <is>
          <t>Towed Chipper</t>
        </is>
      </c>
      <c r="I1333" t="inlineStr">
        <is>
          <t>Daily/ Weekly Vehicle Inspection</t>
        </is>
      </c>
      <c r="J1333" t="inlineStr">
        <is>
          <t>N/A</t>
        </is>
      </c>
      <c r="K1333" t="inlineStr">
        <is>
          <t>7951 Austin Tree Care LTD</t>
        </is>
      </c>
      <c r="L1333" t="inlineStr">
        <is>
          <t>29/08/2025 07:19</t>
        </is>
      </c>
      <c r="M1333" t="inlineStr">
        <is>
          <t>None</t>
        </is>
      </c>
      <c r="N1333" t="inlineStr">
        <is>
          <t>&lt;p&gt;&lt;/p&gt;</t>
        </is>
      </c>
      <c r="O1333" t="inlineStr"/>
      <c r="P1333" t="inlineStr">
        <is>
          <t>SA9ST6P0001283612 , Tow Chipper , Forst , ST6p</t>
        </is>
      </c>
      <c r="Q1333" t="inlineStr">
        <is>
          <t>UKPN</t>
        </is>
      </c>
      <c r="R1333" t="b">
        <v>0</v>
      </c>
    </row>
    <row r="1334">
      <c r="A1334" t="inlineStr">
        <is>
          <t>29 Aug 2025 / 7951 Austin Tree Care LTD / Utilities / UKPN</t>
        </is>
      </c>
      <c r="B1334" t="inlineStr">
        <is>
          <t>Utilities</t>
        </is>
      </c>
      <c r="C1334" t="inlineStr">
        <is>
          <t>UKPN</t>
        </is>
      </c>
      <c r="D1334" t="inlineStr">
        <is>
          <t>WF61 HZV , 4x4 MEWP , Land Rover , Defender</t>
        </is>
      </c>
      <c r="E1334" t="inlineStr">
        <is>
          <t>WF61 HZV , 4x4 MEWP , Land Rover , Defender</t>
        </is>
      </c>
      <c r="F1334" t="inlineStr">
        <is>
          <t>WF61 HZV , 4x4 MEWP , Land Rover , Defender</t>
        </is>
      </c>
      <c r="G1334" t="inlineStr">
        <is>
          <t xml:space="preserve">Jack Austin </t>
        </is>
      </c>
      <c r="H1334" t="inlineStr">
        <is>
          <t>4x4</t>
        </is>
      </c>
      <c r="I1334" t="inlineStr">
        <is>
          <t>Daily/ Weekly Vehicle Inspection</t>
        </is>
      </c>
      <c r="J1334" t="inlineStr">
        <is>
          <t>N/A</t>
        </is>
      </c>
      <c r="K1334" t="inlineStr">
        <is>
          <t>7951 Austin Tree Care LTD</t>
        </is>
      </c>
      <c r="L1334" t="inlineStr">
        <is>
          <t>29/08/2025 07:20</t>
        </is>
      </c>
      <c r="M1334" t="inlineStr">
        <is>
          <t>None</t>
        </is>
      </c>
      <c r="N1334" t="inlineStr">
        <is>
          <t>&lt;p&gt;&lt;/p&gt;</t>
        </is>
      </c>
      <c r="O1334" t="inlineStr"/>
      <c r="P1334" t="inlineStr">
        <is>
          <t>WF61 HZV , 4x4 MEWP , Land Rover , Defender</t>
        </is>
      </c>
      <c r="Q1334" t="inlineStr">
        <is>
          <t>UKPN</t>
        </is>
      </c>
      <c r="R1334" t="b">
        <v>0</v>
      </c>
    </row>
    <row r="1335">
      <c r="A1335" t="inlineStr">
        <is>
          <t>29 Aug 2025 / 7806 Optimum Tree Services Ltd / Utilities / UKPN</t>
        </is>
      </c>
      <c r="B1335" t="inlineStr">
        <is>
          <t>Utilities</t>
        </is>
      </c>
      <c r="C1335" t="inlineStr">
        <is>
          <t>UKPN</t>
        </is>
      </c>
      <c r="D1335" t="inlineStr">
        <is>
          <t>SA9ST800000283069 , Chipper , Forst , ST 6P</t>
        </is>
      </c>
      <c r="E1335" t="inlineStr">
        <is>
          <t>SA9ST800000283069 , Chipper , Forst , ST 6P</t>
        </is>
      </c>
      <c r="F1335" t="inlineStr">
        <is>
          <t>SA9ST800000283069 , Chipper , Forst , ST 6P</t>
        </is>
      </c>
      <c r="G1335" t="inlineStr">
        <is>
          <t xml:space="preserve">Abraham Davies </t>
        </is>
      </c>
      <c r="H1335" t="inlineStr">
        <is>
          <t>Towed Chipper</t>
        </is>
      </c>
      <c r="I1335" t="inlineStr">
        <is>
          <t>Daily/ Weekly Vehicle Inspection</t>
        </is>
      </c>
      <c r="J1335" t="inlineStr">
        <is>
          <t>N/A</t>
        </is>
      </c>
      <c r="K1335" t="inlineStr">
        <is>
          <t>7806 Optimum Tree Services Ltd</t>
        </is>
      </c>
      <c r="L1335" t="inlineStr">
        <is>
          <t>29/08/2025 08:21</t>
        </is>
      </c>
      <c r="M1335" t="inlineStr">
        <is>
          <t>None</t>
        </is>
      </c>
      <c r="N1335" t="inlineStr">
        <is>
          <t>&lt;p&gt;&lt;/p&gt;</t>
        </is>
      </c>
      <c r="O1335" t="inlineStr"/>
      <c r="P1335" t="inlineStr">
        <is>
          <t>SA9ST800000283069 , Chipper , Forst , ST 6P</t>
        </is>
      </c>
      <c r="Q1335" t="inlineStr">
        <is>
          <t>UKPN</t>
        </is>
      </c>
      <c r="R1335" t="b">
        <v>0</v>
      </c>
    </row>
    <row r="1336">
      <c r="A1336" t="inlineStr">
        <is>
          <t>29 Aug 2025 / 7186 Eastwoodbury Tree Services Ltd / Utilities / UKPN</t>
        </is>
      </c>
      <c r="B1336" t="inlineStr">
        <is>
          <t>Utilities</t>
        </is>
      </c>
      <c r="C1336" t="inlineStr">
        <is>
          <t>UKPN</t>
        </is>
      </c>
      <c r="D1336" t="inlineStr">
        <is>
          <t>FN600XM , 4x4 , Land Rover  , Defender</t>
        </is>
      </c>
      <c r="E1336" t="inlineStr">
        <is>
          <t>FN600XM , 4x4 , Land Rover  , Defender</t>
        </is>
      </c>
      <c r="F1336" t="inlineStr">
        <is>
          <t>FN600XM , 4x4 , Land Rover  , Defender</t>
        </is>
      </c>
      <c r="G1336" t="inlineStr">
        <is>
          <t xml:space="preserve">Tom Price </t>
        </is>
      </c>
      <c r="H1336" t="inlineStr">
        <is>
          <t>4x4</t>
        </is>
      </c>
      <c r="I1336" t="inlineStr">
        <is>
          <t>Daily/ Weekly Vehicle Inspection</t>
        </is>
      </c>
      <c r="J1336" t="inlineStr">
        <is>
          <t>N/A</t>
        </is>
      </c>
      <c r="K1336" t="inlineStr">
        <is>
          <t>7186 Eastwoodbury Tree Services Ltd</t>
        </is>
      </c>
      <c r="L1336" t="inlineStr">
        <is>
          <t>29/08/2025 08:21</t>
        </is>
      </c>
      <c r="M1336" t="inlineStr">
        <is>
          <t>None</t>
        </is>
      </c>
      <c r="N1336" t="inlineStr">
        <is>
          <t>&lt;p&gt;&lt;/p&gt;</t>
        </is>
      </c>
      <c r="O1336" t="inlineStr"/>
      <c r="P1336" t="inlineStr">
        <is>
          <t>FN600XM , 4x4 , Land Rover  , Defender</t>
        </is>
      </c>
      <c r="Q1336" t="inlineStr">
        <is>
          <t>UKPN</t>
        </is>
      </c>
      <c r="R1336" t="b">
        <v>0</v>
      </c>
    </row>
    <row r="1337">
      <c r="A1337" t="inlineStr">
        <is>
          <t>29 Aug 2025 / 7806 Optimum Tree Services Ltd / Utilities / UKPN</t>
        </is>
      </c>
      <c r="B1337" t="inlineStr">
        <is>
          <t>Utilities</t>
        </is>
      </c>
      <c r="C1337" t="inlineStr">
        <is>
          <t>UKPN</t>
        </is>
      </c>
      <c r="D1337" t="inlineStr">
        <is>
          <t>WD14EVB , MEWP , Land Rover , Defender</t>
        </is>
      </c>
      <c r="E1337" t="inlineStr">
        <is>
          <t>WD14EVB , MEWP , Land Rover , Defender</t>
        </is>
      </c>
      <c r="F1337" t="inlineStr">
        <is>
          <t>WD14EVB , MEWP , Land Rover , Defender</t>
        </is>
      </c>
      <c r="G1337" t="inlineStr">
        <is>
          <t xml:space="preserve">Abraham Davies </t>
        </is>
      </c>
      <c r="H1337" t="inlineStr">
        <is>
          <t>4x4</t>
        </is>
      </c>
      <c r="I1337" t="inlineStr">
        <is>
          <t>Daily/ Weekly Vehicle Inspection</t>
        </is>
      </c>
      <c r="J1337" t="inlineStr">
        <is>
          <t>N/A</t>
        </is>
      </c>
      <c r="K1337" t="inlineStr">
        <is>
          <t>7806 Optimum Tree Services Ltd</t>
        </is>
      </c>
      <c r="L1337" t="inlineStr">
        <is>
          <t>29/08/2025 08:22</t>
        </is>
      </c>
      <c r="M1337" t="inlineStr">
        <is>
          <t>None</t>
        </is>
      </c>
      <c r="N1337" t="inlineStr">
        <is>
          <t>&lt;p&gt;&lt;/p&gt;</t>
        </is>
      </c>
      <c r="O1337" t="inlineStr"/>
      <c r="P1337" t="inlineStr">
        <is>
          <t>WD14EVB , MEWP , Land Rover , Defender</t>
        </is>
      </c>
      <c r="Q1337" t="inlineStr">
        <is>
          <t>UKPN</t>
        </is>
      </c>
      <c r="R1337" t="b">
        <v>0</v>
      </c>
    </row>
    <row r="1338">
      <c r="A1338" t="inlineStr">
        <is>
          <t>29 Aug 2025 / 7186 Eastwoodbury Tree Services Ltd / Utilities / UKPN</t>
        </is>
      </c>
      <c r="B1338" t="inlineStr">
        <is>
          <t>Utilities</t>
        </is>
      </c>
      <c r="C1338" t="inlineStr">
        <is>
          <t>UKPN</t>
        </is>
      </c>
      <c r="D1338" t="inlineStr">
        <is>
          <t>DE53NKS , 4x4 , Ford , Ranger</t>
        </is>
      </c>
      <c r="E1338" t="inlineStr">
        <is>
          <t>DE53NKS , 4x4 , Ford , Ranger</t>
        </is>
      </c>
      <c r="F1338" t="inlineStr">
        <is>
          <t>DE53NKS , 4x4 , Ford , Ranger</t>
        </is>
      </c>
      <c r="G1338" t="inlineStr">
        <is>
          <t xml:space="preserve">Jay Denkmayer </t>
        </is>
      </c>
      <c r="H1338" t="inlineStr">
        <is>
          <t>Pickup Truck</t>
        </is>
      </c>
      <c r="I1338" t="inlineStr">
        <is>
          <t>Daily/ Weekly Vehicle Inspection</t>
        </is>
      </c>
      <c r="J1338" t="inlineStr">
        <is>
          <t>N/A</t>
        </is>
      </c>
      <c r="K1338" t="inlineStr">
        <is>
          <t>7186 Eastwoodbury Tree Services Ltd</t>
        </is>
      </c>
      <c r="L1338" t="inlineStr">
        <is>
          <t>29/08/2025 08:22</t>
        </is>
      </c>
      <c r="M1338" t="inlineStr">
        <is>
          <t>None</t>
        </is>
      </c>
      <c r="N1338" t="inlineStr">
        <is>
          <t>&lt;p&gt;&lt;/p&gt;</t>
        </is>
      </c>
      <c r="O1338" t="inlineStr"/>
      <c r="P1338" t="inlineStr">
        <is>
          <t>DE53NKS , 4x4 , Ford , Ranger</t>
        </is>
      </c>
      <c r="Q1338" t="inlineStr">
        <is>
          <t>UKPN</t>
        </is>
      </c>
      <c r="R1338" t="b">
        <v>0</v>
      </c>
    </row>
    <row r="1339">
      <c r="A1339" t="inlineStr">
        <is>
          <t>29 Aug 2025 / 6490 MJR Tree Works / Utilities / SSE</t>
        </is>
      </c>
      <c r="B1339" t="inlineStr">
        <is>
          <t>Utilities</t>
        </is>
      </c>
      <c r="C1339" t="inlineStr">
        <is>
          <t>SSE</t>
        </is>
      </c>
      <c r="D1339" t="inlineStr">
        <is>
          <t>,  ,  ,</t>
        </is>
      </c>
      <c r="E1339" t="inlineStr">
        <is>
          <t>,  ,  ,</t>
        </is>
      </c>
      <c r="F1339" t="inlineStr">
        <is>
          <t>,  ,  ,</t>
        </is>
      </c>
      <c r="G1339" t="inlineStr">
        <is>
          <t>Joe</t>
        </is>
      </c>
      <c r="H1339" t="inlineStr">
        <is>
          <t>4x4</t>
        </is>
      </c>
      <c r="I1339" t="inlineStr">
        <is>
          <t>Daily/ Weekly Vehicle Inspection</t>
        </is>
      </c>
      <c r="J1339" t="inlineStr">
        <is>
          <t>N/A</t>
        </is>
      </c>
      <c r="K1339" t="inlineStr">
        <is>
          <t>6490 MJR Tree Works</t>
        </is>
      </c>
      <c r="L1339" t="inlineStr">
        <is>
          <t>29/08/2025 09:18</t>
        </is>
      </c>
      <c r="M1339" t="inlineStr">
        <is>
          <t>None</t>
        </is>
      </c>
      <c r="N1339" t="inlineStr">
        <is>
          <t>&lt;p&gt;&lt;/p&gt;</t>
        </is>
      </c>
      <c r="O1339" t="inlineStr">
        <is>
          <t>Select Vehicle:DX65XXS</t>
        </is>
      </c>
      <c r="P1339" t="inlineStr">
        <is>
          <t>,  ,  ,</t>
        </is>
      </c>
      <c r="Q1339" t="inlineStr">
        <is>
          <t>SSE</t>
        </is>
      </c>
      <c r="R1339" t="b">
        <v>0</v>
      </c>
    </row>
    <row r="1340">
      <c r="A1340" t="inlineStr">
        <is>
          <t>29 Aug 2025 / Thomas Simms / Utilities / SSE</t>
        </is>
      </c>
      <c r="B1340" t="inlineStr">
        <is>
          <t>Utilities</t>
        </is>
      </c>
      <c r="C1340" t="inlineStr">
        <is>
          <t>SSE</t>
        </is>
      </c>
      <c r="D1340" t="inlineStr">
        <is>
          <t>EO73KUG , Car - Electric , Kia , Niro</t>
        </is>
      </c>
      <c r="E1340" t="inlineStr">
        <is>
          <t>EO73KUG , Car - Electric , Kia , Niro</t>
        </is>
      </c>
      <c r="F1340" t="inlineStr">
        <is>
          <t>EO73KUG , Car - Electric , Kia , Niro</t>
        </is>
      </c>
      <c r="G1340" t="inlineStr">
        <is>
          <t>thomas simms</t>
        </is>
      </c>
      <c r="H1340" t="inlineStr">
        <is>
          <t>Car - Electric (GC Owned)</t>
        </is>
      </c>
      <c r="I1340" t="inlineStr">
        <is>
          <t>Monthly Vehicle Inspection</t>
        </is>
      </c>
      <c r="J1340" t="inlineStr">
        <is>
          <t>25324</t>
        </is>
      </c>
      <c r="K1340" t="inlineStr">
        <is>
          <t>Thomas Simms</t>
        </is>
      </c>
      <c r="L1340" t="inlineStr">
        <is>
          <t>29/08/2025 09:19</t>
        </is>
      </c>
      <c r="M1340" t="inlineStr">
        <is>
          <t xml:space="preserve">EXTERIOR &amp; GLASS
What to Check: 
Is the body of the vehicle in good condition (any dents or scratches)? 
Is the windscreen and all mirrors free of chips or cracks? 
Are the window wipers operational and fit for purpose? 
Is the boot lid &amp; doors secure and operational? 
Is the number plate clean &amp; secure? 
Are charging cables fit for use? 
Are access &amp; egress points safe &amp; secure (e.g., steps &amp; handrails)?
How: Inspect the vehicle's exterior for dents, scratches, or rust spots. Check the windscreen and mirrors for any chips or cracks that could impair visibility. Test the operation of window wipers and ensure they effectively clear the windscreen. Verify the security and functionality of doors, boot lid, and number plate. Check the condition of charging cables and ensure access &amp; egress points are stable and safe.
Why: A well-maintained exterior enhances the vehicle's appearance, ensures driver visibility, and prevents potential safety hazards. Functional wipers, secure doors, and clear visibility contribute to safe driving conditions.: Fail
</t>
        </is>
      </c>
      <c r="N1340" t="inlineStr">
        <is>
          <t>&lt;p&gt;&lt;/p&gt;</t>
        </is>
      </c>
      <c r="O1340" t="inlineStr">
        <is>
          <t>EXTERIOR &amp; GLASS
What to Check: 
Is the body of the vehicle in good condition (any dents or scratches)? 
Is the windscreen and all mirrors free of chips or cracks? 
Are the window wipers operational and fit for purpose? 
Is the boot lid &amp; doors secure and operational? 
Is the number plate clean &amp; secure? 
Are charging cables fit for use? 
Are access &amp; egress points safe &amp; secure (e.g., steps &amp; handrails)?
How: Inspect the vehicle's exterior for dents, scratches, or rust spots. Check the windscreen and mirrors for any chips or cracks that could impair visibility. Test the operation of window wipers and ensure they effectively clear the windscreen. Verify the security and functionality of doors, boot lid, and number plate. Check the condition of charging cables and ensure access &amp; egress points are stable and safe.
Why: A well-maintained exterior enhances the vehicle's appearance, ensures driver visibility, and prevents potential safety hazards. Functional wipers, secure doors, and clear visibility contribute to safe driving conditions.:windscreen passenger  side chip in screen. bramble marks.
-</t>
        </is>
      </c>
      <c r="P1340" t="inlineStr">
        <is>
          <t>EO73KUG , Car - Electric , Kia , Niro</t>
        </is>
      </c>
      <c r="Q1340" t="inlineStr">
        <is>
          <t>SSE</t>
        </is>
      </c>
      <c r="R1340" t="b">
        <v>0</v>
      </c>
    </row>
    <row r="1341">
      <c r="A1341" t="inlineStr">
        <is>
          <t>28 Aug 2025 / 6490 MJR Tree Works / Utilities / SSE</t>
        </is>
      </c>
      <c r="B1341" t="inlineStr">
        <is>
          <t>Utilities</t>
        </is>
      </c>
      <c r="C1341" t="inlineStr">
        <is>
          <t>SSE</t>
        </is>
      </c>
      <c r="D1341" t="inlineStr">
        <is>
          <t>,  ,  ,</t>
        </is>
      </c>
      <c r="E1341" t="inlineStr">
        <is>
          <t>,  ,  ,</t>
        </is>
      </c>
      <c r="F1341" t="inlineStr">
        <is>
          <t>,  ,  ,</t>
        </is>
      </c>
      <c r="G1341" t="inlineStr">
        <is>
          <t xml:space="preserve">Mike </t>
        </is>
      </c>
      <c r="H1341" t="inlineStr">
        <is>
          <t>4x4</t>
        </is>
      </c>
      <c r="I1341" t="inlineStr">
        <is>
          <t>Daily/ Weekly Vehicle Inspection</t>
        </is>
      </c>
      <c r="J1341" t="inlineStr">
        <is>
          <t>N/A</t>
        </is>
      </c>
      <c r="K1341" t="inlineStr">
        <is>
          <t>6490 MJR Tree Works</t>
        </is>
      </c>
      <c r="L1341" t="inlineStr">
        <is>
          <t>29/08/2025 09:20</t>
        </is>
      </c>
      <c r="M1341" t="inlineStr">
        <is>
          <t>None</t>
        </is>
      </c>
      <c r="N1341" t="inlineStr">
        <is>
          <t>&lt;p&gt;&lt;a href="https&amp;#58;//apps.powerapps.com/play/2d567dc9-5d50-4629-a077-f7ccbff3e239?tenantId=3ef9f654-aa07-41b8-88ad-a411c62bd12c&amp;amp;Action=Open&amp;amp;Actionno=6862"&gt;VX25WHD&lt;/a&gt;&lt;br&gt;&lt;/p&gt;</t>
        </is>
      </c>
      <c r="O1341" t="inlineStr">
        <is>
          <t>Select Vehicle:VX25WHD</t>
        </is>
      </c>
      <c r="P1341" t="inlineStr">
        <is>
          <t>,  ,  ,</t>
        </is>
      </c>
      <c r="Q1341" t="inlineStr">
        <is>
          <t>SSE</t>
        </is>
      </c>
      <c r="R1341" t="b">
        <v>0</v>
      </c>
    </row>
    <row r="1342">
      <c r="A1342" t="inlineStr">
        <is>
          <t>31 Aug 2025 / 6617 Ashdown Tree Limited 1 / Utilities / UKPN</t>
        </is>
      </c>
      <c r="B1342" t="inlineStr">
        <is>
          <t>Utilities</t>
        </is>
      </c>
      <c r="C1342" t="inlineStr">
        <is>
          <t>UKPN</t>
        </is>
      </c>
      <c r="D1342" t="inlineStr">
        <is>
          <t>Equipment Trailer - IFor Williams - GD105 - sckd00000n5214943</t>
        </is>
      </c>
      <c r="E1342" t="inlineStr">
        <is>
          <t>Equipment Trailer - IFor Williams - GD105 - sckd00000n5214943</t>
        </is>
      </c>
      <c r="F1342" t="inlineStr">
        <is>
          <t>Equipment Trailer - IFor Williams - GD105 - sckd00000n5214943</t>
        </is>
      </c>
      <c r="G1342" t="inlineStr">
        <is>
          <t xml:space="preserve">Francislesser </t>
        </is>
      </c>
      <c r="H1342" t="inlineStr">
        <is>
          <t>Flat Bed Trailer</t>
        </is>
      </c>
      <c r="I1342" t="inlineStr">
        <is>
          <t>Daily/ Weekly Vehicle Inspection</t>
        </is>
      </c>
      <c r="J1342" t="inlineStr">
        <is>
          <t>N/A</t>
        </is>
      </c>
      <c r="K1342" t="inlineStr">
        <is>
          <t>6617 Ashdown Tree Limited 1</t>
        </is>
      </c>
      <c r="L1342" t="inlineStr">
        <is>
          <t>31/08/2025 07:18</t>
        </is>
      </c>
      <c r="M1342" t="inlineStr">
        <is>
          <t>None</t>
        </is>
      </c>
      <c r="N1342" t="inlineStr">
        <is>
          <t>&lt;p&gt;&lt;/p&gt;</t>
        </is>
      </c>
      <c r="O1342" t="inlineStr"/>
      <c r="P1342" t="inlineStr">
        <is>
          <t>Equipment Trailer - IFor Williams - GD105 - sckd00000n5214943</t>
        </is>
      </c>
      <c r="Q1342" t="inlineStr">
        <is>
          <t>UKPN</t>
        </is>
      </c>
      <c r="R1342" t="b">
        <v>0</v>
      </c>
    </row>
    <row r="1343">
      <c r="A1343" t="inlineStr">
        <is>
          <t>31 Aug 2025 / 6617 Ashdown Tree Limited 1 / Utilities / UKPN</t>
        </is>
      </c>
      <c r="B1343" t="inlineStr">
        <is>
          <t>Utilities</t>
        </is>
      </c>
      <c r="C1343" t="inlineStr">
        <is>
          <t>UKPN</t>
        </is>
      </c>
      <c r="D1343" t="inlineStr">
        <is>
          <t>Tipper - Ford transit  - Ford - AV69LVR</t>
        </is>
      </c>
      <c r="E1343" t="inlineStr">
        <is>
          <t>Tipper - Ford transit  - Ford - AV69LVR</t>
        </is>
      </c>
      <c r="F1343" t="inlineStr">
        <is>
          <t>Tipper - Ford transit  - Ford - AV69LVR</t>
        </is>
      </c>
      <c r="G1343" t="inlineStr">
        <is>
          <t xml:space="preserve">Francislesser </t>
        </is>
      </c>
      <c r="H1343" t="inlineStr">
        <is>
          <t>Tipper</t>
        </is>
      </c>
      <c r="I1343" t="inlineStr">
        <is>
          <t>Daily/ Weekly Vehicle Inspection</t>
        </is>
      </c>
      <c r="J1343" t="inlineStr">
        <is>
          <t>N/A</t>
        </is>
      </c>
      <c r="K1343" t="inlineStr">
        <is>
          <t>6617 Ashdown Tree Limited 1</t>
        </is>
      </c>
      <c r="L1343" t="inlineStr">
        <is>
          <t>31/08/2025 07:19</t>
        </is>
      </c>
      <c r="M1343" t="inlineStr">
        <is>
          <t>None</t>
        </is>
      </c>
      <c r="N1343" t="inlineStr">
        <is>
          <t>&lt;p&gt;&lt;/p&gt;</t>
        </is>
      </c>
      <c r="O1343" t="inlineStr"/>
      <c r="P1343" t="inlineStr">
        <is>
          <t>Tipper - Ford transit  - Ford - AV69LVR</t>
        </is>
      </c>
      <c r="Q1343" t="inlineStr">
        <is>
          <t>UKPN</t>
        </is>
      </c>
      <c r="R1343" t="b">
        <v>0</v>
      </c>
    </row>
    <row r="1344">
      <c r="A1344" t="inlineStr">
        <is>
          <t>31 Aug 2025 / 7889 Tree Tech Suffolk Ltd</t>
        </is>
      </c>
      <c r="B1344" t="inlineStr">
        <is>
          <t>Utilities &amp; Inland Waterways</t>
        </is>
      </c>
      <c r="C1344" t="inlineStr">
        <is>
          <t>UKPN</t>
        </is>
      </c>
      <c r="D1344" t="inlineStr">
        <is>
          <t>Tow Chipper - Jenson - A530L - 5521063948Tipper - Nissan - Navara - NS02TTS4x4 - Isuzu - D-max - NS03 TTSTipper - Mercedes - Sprinter - NS06TTS</t>
        </is>
      </c>
      <c r="E1344" t="inlineStr">
        <is>
          <t>Tow Chipper - Jenson - A530L - 5521063948Tipper - Nissan - Navara - NS02TTS4x4 - Isuzu - D-max - NS03 TTSTipper - Mercedes - Sprinter - NS06TTS</t>
        </is>
      </c>
      <c r="F1344" t="inlineStr">
        <is>
          <t>Tow Chipper - Jenson - A530L - 5521063948Tipper - Nissan - Navara - NS02TTS4x4 - Isuzu - D-max - NS03 TTSTipper - Mercedes - Sprinter - NS06TTS</t>
        </is>
      </c>
      <c r="G1344" t="inlineStr">
        <is>
          <t xml:space="preserve">Nikki sparrow Nikki sparrow Dan brown Danny Appleby </t>
        </is>
      </c>
      <c r="H1344" t="inlineStr">
        <is>
          <t>Towed ChipperTipper4x4Tipper</t>
        </is>
      </c>
      <c r="I1344" t="inlineStr">
        <is>
          <t>Daily/ Weekly Vehicle Inspection</t>
        </is>
      </c>
      <c r="J1344" t="inlineStr">
        <is>
          <t>N/A</t>
        </is>
      </c>
      <c r="K1344" t="inlineStr">
        <is>
          <t>7889 Tree Tech Suffolk Ltd</t>
        </is>
      </c>
      <c r="L1344" t="inlineStr">
        <is>
          <t>31/08/2025 08:18</t>
        </is>
      </c>
      <c r="M1344" t="inlineStr">
        <is>
          <t>None</t>
        </is>
      </c>
      <c r="N1344" t="inlineStr">
        <is>
          <t>&lt;p&gt;&lt;/p&gt;</t>
        </is>
      </c>
      <c r="O1344" t="inlineStr">
        <is>
          <t>Select Vehicle:Using another chipper while ours is being fixedSelect Vehicle:KX65 FCZ. Intermittent fault on side lights.</t>
        </is>
      </c>
      <c r="P1344" t="inlineStr">
        <is>
          <t>Tow Chipper - Jenson - A530L - 5521063948Tipper - Nissan - Navara - NS02TTS4x4 - Isuzu - D-max - NS03 TTSTipper - Mercedes - Sprinter - NS06TTS</t>
        </is>
      </c>
      <c r="Q1344" t="inlineStr">
        <is>
          <t>UKPN</t>
        </is>
      </c>
      <c r="R1344" t="b">
        <v>0</v>
      </c>
    </row>
    <row r="1345">
      <c r="A1345" t="inlineStr">
        <is>
          <t>31 Aug 2025 / 7996 M G Tree Surgery Ltd / Utilities / UKPN</t>
        </is>
      </c>
      <c r="B1345" t="inlineStr">
        <is>
          <t>Utilities</t>
        </is>
      </c>
      <c r="C1345" t="inlineStr">
        <is>
          <t>UKPN</t>
        </is>
      </c>
      <c r="D1345" t="inlineStr">
        <is>
          <t>GU13 WNL , MEWP , Land Rover , Defender 130</t>
        </is>
      </c>
      <c r="E1345" t="inlineStr">
        <is>
          <t>GU13 WNL , MEWP , Land Rover , Defender 130</t>
        </is>
      </c>
      <c r="F1345" t="inlineStr">
        <is>
          <t>GU13 WNL , MEWP , Land Rover , Defender 130</t>
        </is>
      </c>
      <c r="G1345" t="inlineStr">
        <is>
          <t>Max</t>
        </is>
      </c>
      <c r="H1345" t="inlineStr">
        <is>
          <t>4x4</t>
        </is>
      </c>
      <c r="I1345" t="inlineStr">
        <is>
          <t>Daily/ Weekly Vehicle Inspection</t>
        </is>
      </c>
      <c r="J1345" t="inlineStr">
        <is>
          <t>N/A</t>
        </is>
      </c>
      <c r="K1345" t="inlineStr">
        <is>
          <t>7996 M G Tree Surgery Ltd</t>
        </is>
      </c>
      <c r="L1345" t="inlineStr">
        <is>
          <t>31/08/2025 08:19</t>
        </is>
      </c>
      <c r="M1345" t="inlineStr">
        <is>
          <t>None</t>
        </is>
      </c>
      <c r="N1345" t="inlineStr">
        <is>
          <t>&lt;p&gt;&lt;/p&gt;</t>
        </is>
      </c>
      <c r="O1345" t="inlineStr"/>
      <c r="P1345" t="inlineStr">
        <is>
          <t>GU13 WNL , MEWP , Land Rover , Defender 130</t>
        </is>
      </c>
      <c r="Q1345" t="inlineStr">
        <is>
          <t>UKPN</t>
        </is>
      </c>
      <c r="R1345" t="b">
        <v>0</v>
      </c>
    </row>
    <row r="1346">
      <c r="A1346" t="inlineStr">
        <is>
          <t>31 Aug 2025 / 7806 Optimum Tree Services Ltd / Utilities / UKPN</t>
        </is>
      </c>
      <c r="B1346" t="inlineStr">
        <is>
          <t>Utilities</t>
        </is>
      </c>
      <c r="C1346" t="inlineStr">
        <is>
          <t>UKPN</t>
        </is>
      </c>
      <c r="D1346" t="inlineStr">
        <is>
          <t>Tipper - Ford - Transit - NA10SYZ</t>
        </is>
      </c>
      <c r="E1346" t="inlineStr">
        <is>
          <t>Tipper - Ford - Transit - NA10SYZ</t>
        </is>
      </c>
      <c r="F1346" t="inlineStr">
        <is>
          <t>Tipper - Ford - Transit - NA10SYZ</t>
        </is>
      </c>
      <c r="G1346" t="inlineStr">
        <is>
          <t xml:space="preserve">Tommy frasle </t>
        </is>
      </c>
      <c r="H1346" t="inlineStr">
        <is>
          <t>Tipper</t>
        </is>
      </c>
      <c r="I1346" t="inlineStr">
        <is>
          <t>Daily/ Weekly Vehicle Inspection</t>
        </is>
      </c>
      <c r="J1346" t="inlineStr">
        <is>
          <t>N/A</t>
        </is>
      </c>
      <c r="K1346" t="inlineStr">
        <is>
          <t>7806 Optimum Tree Services Ltd</t>
        </is>
      </c>
      <c r="L1346" t="inlineStr">
        <is>
          <t>31/08/2025 08:19</t>
        </is>
      </c>
      <c r="M1346" t="inlineStr">
        <is>
          <t>None</t>
        </is>
      </c>
      <c r="N1346" t="inlineStr">
        <is>
          <t>&lt;p&gt;&lt;/p&gt;</t>
        </is>
      </c>
      <c r="O1346" t="inlineStr"/>
      <c r="P1346" t="inlineStr">
        <is>
          <t>Tipper - Ford - Transit - NA10SYZ</t>
        </is>
      </c>
      <c r="Q1346" t="inlineStr">
        <is>
          <t>UKPN</t>
        </is>
      </c>
      <c r="R1346" t="b">
        <v>0</v>
      </c>
    </row>
    <row r="1347">
      <c r="A1347" t="inlineStr">
        <is>
          <t>31 Aug 2025 / 7806 Optimum Tree Services Ltd / Utilities / UKPN</t>
        </is>
      </c>
      <c r="B1347" t="inlineStr">
        <is>
          <t>Utilities</t>
        </is>
      </c>
      <c r="C1347" t="inlineStr">
        <is>
          <t>UKPN</t>
        </is>
      </c>
      <c r="D1347" t="inlineStr">
        <is>
          <t>WD14EVB , MEWP , Land Rover , Defender</t>
        </is>
      </c>
      <c r="E1347" t="inlineStr">
        <is>
          <t>WD14EVB , MEWP , Land Rover , Defender</t>
        </is>
      </c>
      <c r="F1347" t="inlineStr">
        <is>
          <t>WD14EVB , MEWP , Land Rover , Defender</t>
        </is>
      </c>
      <c r="G1347" t="inlineStr">
        <is>
          <t xml:space="preserve">Abraham Davies </t>
        </is>
      </c>
      <c r="H1347" t="inlineStr">
        <is>
          <t>4x4</t>
        </is>
      </c>
      <c r="I1347" t="inlineStr">
        <is>
          <t>Daily/ Weekly Vehicle Inspection</t>
        </is>
      </c>
      <c r="J1347" t="inlineStr">
        <is>
          <t>N/A</t>
        </is>
      </c>
      <c r="K1347" t="inlineStr">
        <is>
          <t>7806 Optimum Tree Services Ltd</t>
        </is>
      </c>
      <c r="L1347" t="inlineStr">
        <is>
          <t>31/08/2025 08:20</t>
        </is>
      </c>
      <c r="M1347" t="inlineStr">
        <is>
          <t>None</t>
        </is>
      </c>
      <c r="N1347" t="inlineStr">
        <is>
          <t>&lt;p&gt;&lt;/p&gt;</t>
        </is>
      </c>
      <c r="O1347" t="inlineStr"/>
      <c r="P1347" t="inlineStr">
        <is>
          <t>WD14EVB , MEWP , Land Rover , Defender</t>
        </is>
      </c>
      <c r="Q1347" t="inlineStr">
        <is>
          <t>UKPN</t>
        </is>
      </c>
      <c r="R1347" t="b">
        <v>0</v>
      </c>
    </row>
    <row r="1348">
      <c r="A1348" t="inlineStr">
        <is>
          <t>31 Aug 2025 / Anthony Gale / Utilities / UKPN</t>
        </is>
      </c>
      <c r="B1348" t="inlineStr">
        <is>
          <t>Utilities</t>
        </is>
      </c>
      <c r="C1348" t="inlineStr">
        <is>
          <t>UKPN</t>
        </is>
      </c>
      <c r="D1348" t="inlineStr">
        <is>
          <t>PE07 HGL , Vehicle , Mitsubishi , L200 K74</t>
        </is>
      </c>
      <c r="E1348" t="inlineStr">
        <is>
          <t>PE07 HGL , Vehicle , Mitsubishi , L200 K74</t>
        </is>
      </c>
      <c r="F1348" t="inlineStr">
        <is>
          <t>PE07 HGL , Vehicle , Mitsubishi , L200 K74</t>
        </is>
      </c>
      <c r="G1348" t="inlineStr">
        <is>
          <t>Anthony Gale</t>
        </is>
      </c>
      <c r="H1348" t="inlineStr">
        <is>
          <t>Pickup Truck</t>
        </is>
      </c>
      <c r="I1348" t="inlineStr">
        <is>
          <t>Daily/ Weekly Vehicle Inspection</t>
        </is>
      </c>
      <c r="J1348" t="inlineStr">
        <is>
          <t>N/A</t>
        </is>
      </c>
      <c r="K1348" t="inlineStr">
        <is>
          <t>7996 M G Tree Surgery Ltd 1</t>
        </is>
      </c>
      <c r="L1348" t="inlineStr">
        <is>
          <t>31/08/2025 08:20</t>
        </is>
      </c>
      <c r="M1348" t="inlineStr">
        <is>
          <t>None</t>
        </is>
      </c>
      <c r="N1348" t="inlineStr">
        <is>
          <t>&lt;p&gt;&lt;/p&gt;</t>
        </is>
      </c>
      <c r="O1348" t="inlineStr">
        <is>
          <t>Confirm that you have checked this vehicle as per the guidance document and the vehicle is safe and roadworthy:Drivers side front wheel trim deteriorating, safe for now but requires monitoring.
-</t>
        </is>
      </c>
      <c r="P1348" t="inlineStr">
        <is>
          <t>PE07 HGL , Vehicle , Mitsubishi , L200 K74</t>
        </is>
      </c>
      <c r="Q1348" t="inlineStr">
        <is>
          <t>UKPN</t>
        </is>
      </c>
      <c r="R1348" t="b">
        <v>0</v>
      </c>
    </row>
    <row r="1349">
      <c r="A1349" t="inlineStr">
        <is>
          <t>1 Sep 2025 / 7889 Tree Tech Suffolk Ltd</t>
        </is>
      </c>
      <c r="B1349" t="inlineStr">
        <is>
          <t>Utilities &amp; Inland Waterways</t>
        </is>
      </c>
      <c r="C1349" t="inlineStr">
        <is>
          <t>UKPN</t>
        </is>
      </c>
      <c r="D1349" t="inlineStr">
        <is>
          <t>Tow Chipper - Jenson - A530L - 5521063948Tipper - Nissan - Navara - NS02TTS4x4 - Isuzu - D-max - NS03 TTS</t>
        </is>
      </c>
      <c r="E1349" t="inlineStr">
        <is>
          <t>Tow Chipper - Jenson - A530L - 5521063948Tipper - Nissan - Navara - NS02TTS4x4 - Isuzu - D-max - NS03 TTS</t>
        </is>
      </c>
      <c r="F1349" t="inlineStr">
        <is>
          <t>Tow Chipper - Jenson - A530L - 5521063948Tipper - Nissan - Navara - NS02TTS4x4 - Isuzu - D-max - NS03 TTS</t>
        </is>
      </c>
      <c r="G1349" t="inlineStr">
        <is>
          <t xml:space="preserve">Nikki sparrow Nikki sparrow Danny Appleby </t>
        </is>
      </c>
      <c r="H1349" t="inlineStr">
        <is>
          <t>Towed ChipperTipper4x4</t>
        </is>
      </c>
      <c r="I1349" t="inlineStr">
        <is>
          <t>Daily/ Weekly Vehicle Inspection</t>
        </is>
      </c>
      <c r="J1349" t="inlineStr">
        <is>
          <t>N/A</t>
        </is>
      </c>
      <c r="K1349" t="inlineStr">
        <is>
          <t>7889 Tree Tech Suffolk Ltd</t>
        </is>
      </c>
      <c r="L1349" t="inlineStr">
        <is>
          <t>01/09/2025 07:20</t>
        </is>
      </c>
      <c r="M1349" t="inlineStr">
        <is>
          <t>None</t>
        </is>
      </c>
      <c r="N1349" t="inlineStr">
        <is>
          <t>&lt;p&gt;&lt;/p&gt;</t>
        </is>
      </c>
      <c r="O1349" t="inlineStr">
        <is>
          <t>Select Vehicle:Using another chipper while ours is being fixedSelect Vehicle:KX65 FCZ. Intermittent fault on side lights.</t>
        </is>
      </c>
      <c r="P1349" t="inlineStr">
        <is>
          <t>Tow Chipper - Jenson - A530L - 5521063948Tipper - Nissan - Navara - NS02TTS4x4 - Isuzu - D-max - NS03 TTS</t>
        </is>
      </c>
      <c r="Q1349" t="inlineStr">
        <is>
          <t>UKPN</t>
        </is>
      </c>
      <c r="R1349" t="b">
        <v>0</v>
      </c>
    </row>
    <row r="1350">
      <c r="A1350" t="inlineStr">
        <is>
          <t>1 Sep 2025 / Anthony Gale / Utilities / UKPN</t>
        </is>
      </c>
      <c r="B1350" t="inlineStr">
        <is>
          <t>Utilities</t>
        </is>
      </c>
      <c r="C1350" t="inlineStr">
        <is>
          <t>UKPN</t>
        </is>
      </c>
      <c r="D1350" t="inlineStr">
        <is>
          <t>PE07 HGL , Vehicle , Mitsubishi , L200 K74</t>
        </is>
      </c>
      <c r="E1350" t="inlineStr">
        <is>
          <t>PE07 HGL , Vehicle , Mitsubishi , L200 K74</t>
        </is>
      </c>
      <c r="F1350" t="inlineStr">
        <is>
          <t>PE07 HGL , Vehicle , Mitsubishi , L200 K74</t>
        </is>
      </c>
      <c r="G1350" t="inlineStr">
        <is>
          <t>Anthony Gale</t>
        </is>
      </c>
      <c r="H1350" t="inlineStr">
        <is>
          <t>Pickup Truck</t>
        </is>
      </c>
      <c r="I1350" t="inlineStr">
        <is>
          <t>Daily/ Weekly Vehicle Inspection</t>
        </is>
      </c>
      <c r="J1350" t="inlineStr">
        <is>
          <t>N/A</t>
        </is>
      </c>
      <c r="K1350" t="inlineStr">
        <is>
          <t>7996 M G Tree Surgery Ltd 1</t>
        </is>
      </c>
      <c r="L1350" t="inlineStr">
        <is>
          <t>01/09/2025 07:20</t>
        </is>
      </c>
      <c r="M1350" t="inlineStr">
        <is>
          <t>None</t>
        </is>
      </c>
      <c r="N1350" t="inlineStr">
        <is>
          <t>&lt;p&gt;&lt;/p&gt;</t>
        </is>
      </c>
      <c r="O1350" t="inlineStr">
        <is>
          <t>Confirm that you have checked this vehicle as per the guidance document and the vehicle is safe and roadworthy:Drivers side wheel arch trim deteriorating, monitor.
-</t>
        </is>
      </c>
      <c r="P1350" t="inlineStr">
        <is>
          <t>PE07 HGL , Vehicle , Mitsubishi , L200 K74</t>
        </is>
      </c>
      <c r="Q1350" t="inlineStr">
        <is>
          <t>UKPN</t>
        </is>
      </c>
      <c r="R1350" t="b">
        <v>0</v>
      </c>
    </row>
    <row r="1351">
      <c r="A1351" t="inlineStr">
        <is>
          <t>1 Sep 2025 / 6617 Ashdown Tree Limited 1 / Utilities / UKPN</t>
        </is>
      </c>
      <c r="B1351" t="inlineStr">
        <is>
          <t>Utilities</t>
        </is>
      </c>
      <c r="C1351" t="inlineStr">
        <is>
          <t>UKPN</t>
        </is>
      </c>
      <c r="D1351" t="inlineStr">
        <is>
          <t>SA9TR600000283653 , Track Chipper , Forst , TR6</t>
        </is>
      </c>
      <c r="E1351" t="inlineStr">
        <is>
          <t>SA9TR600000283653 , Track Chipper , Forst , TR6</t>
        </is>
      </c>
      <c r="F1351" t="inlineStr">
        <is>
          <t>SA9TR600000283653 , Track Chipper , Forst , TR6</t>
        </is>
      </c>
      <c r="G1351" t="inlineStr">
        <is>
          <t xml:space="preserve">Ashley Horwood </t>
        </is>
      </c>
      <c r="H1351" t="inlineStr">
        <is>
          <t>Towed Chipper</t>
        </is>
      </c>
      <c r="I1351" t="inlineStr">
        <is>
          <t>Daily/ Weekly Vehicle Inspection</t>
        </is>
      </c>
      <c r="J1351" t="inlineStr">
        <is>
          <t>N/A</t>
        </is>
      </c>
      <c r="K1351" t="inlineStr">
        <is>
          <t>6617 Ashdown Tree Limited 1</t>
        </is>
      </c>
      <c r="L1351" t="inlineStr">
        <is>
          <t>01/09/2025 07:26</t>
        </is>
      </c>
      <c r="M1351" t="inlineStr">
        <is>
          <t>None</t>
        </is>
      </c>
      <c r="N1351" t="inlineStr">
        <is>
          <t>&lt;p&gt;&lt;/p&gt;</t>
        </is>
      </c>
      <c r="O1351" t="inlineStr"/>
      <c r="P1351" t="inlineStr">
        <is>
          <t>SA9TR600000283653 , Track Chipper , Forst , TR6</t>
        </is>
      </c>
      <c r="Q1351" t="inlineStr">
        <is>
          <t>UKPN</t>
        </is>
      </c>
      <c r="R1351" t="b">
        <v>0</v>
      </c>
    </row>
    <row r="1352">
      <c r="A1352" t="inlineStr">
        <is>
          <t>1 Sep 2025 / 6617 Ashdown Tree Limited 1 / Utilities / UKPN</t>
        </is>
      </c>
      <c r="B1352" t="inlineStr">
        <is>
          <t>Utilities</t>
        </is>
      </c>
      <c r="C1352" t="inlineStr">
        <is>
          <t>UKPN</t>
        </is>
      </c>
      <c r="D1352" t="inlineStr">
        <is>
          <t>TR55TUB , 4x4 , Land rover  , Defender mewp</t>
        </is>
      </c>
      <c r="E1352" t="inlineStr">
        <is>
          <t>TR55TUB , 4x4 , Land rover  , Defender mewp</t>
        </is>
      </c>
      <c r="F1352" t="inlineStr">
        <is>
          <t>TR55TUB , 4x4 , Land rover  , Defender mewp</t>
        </is>
      </c>
      <c r="G1352" t="inlineStr">
        <is>
          <t xml:space="preserve">Ashley Horwood </t>
        </is>
      </c>
      <c r="H1352" t="inlineStr">
        <is>
          <t>4x4</t>
        </is>
      </c>
      <c r="I1352" t="inlineStr">
        <is>
          <t>Daily/ Weekly Vehicle Inspection</t>
        </is>
      </c>
      <c r="J1352" t="inlineStr">
        <is>
          <t>N/A</t>
        </is>
      </c>
      <c r="K1352" t="inlineStr">
        <is>
          <t>6617 Ashdown Tree Limited 1</t>
        </is>
      </c>
      <c r="L1352" t="inlineStr">
        <is>
          <t>01/09/2025 07:26</t>
        </is>
      </c>
      <c r="M1352" t="inlineStr">
        <is>
          <t>None</t>
        </is>
      </c>
      <c r="N1352" t="inlineStr">
        <is>
          <t>&lt;p&gt;&lt;/p&gt;</t>
        </is>
      </c>
      <c r="O1352" t="inlineStr"/>
      <c r="P1352" t="inlineStr">
        <is>
          <t>TR55TUB , 4x4 , Land rover  , Defender mewp</t>
        </is>
      </c>
      <c r="Q1352" t="inlineStr">
        <is>
          <t>UKPN</t>
        </is>
      </c>
      <c r="R1352" t="b">
        <v>0</v>
      </c>
    </row>
    <row r="1353">
      <c r="A1353" t="inlineStr">
        <is>
          <t>1 Sep 2025 / 7996 M G Tree Surgery Ltd / Utilities / UKPN</t>
        </is>
      </c>
      <c r="B1353" t="inlineStr">
        <is>
          <t>Utilities</t>
        </is>
      </c>
      <c r="C1353" t="inlineStr">
        <is>
          <t>UKPN</t>
        </is>
      </c>
      <c r="D1353" t="inlineStr">
        <is>
          <t>GU13 WNL , MEWP , Land Rover , Defender 130</t>
        </is>
      </c>
      <c r="E1353" t="inlineStr">
        <is>
          <t>GU13 WNL , MEWP , Land Rover , Defender 130</t>
        </is>
      </c>
      <c r="F1353" t="inlineStr">
        <is>
          <t>GU13 WNL , MEWP , Land Rover , Defender 130</t>
        </is>
      </c>
      <c r="G1353" t="inlineStr">
        <is>
          <t>Max</t>
        </is>
      </c>
      <c r="H1353" t="inlineStr">
        <is>
          <t>4x4</t>
        </is>
      </c>
      <c r="I1353" t="inlineStr">
        <is>
          <t>Daily/ Weekly Vehicle Inspection</t>
        </is>
      </c>
      <c r="J1353" t="inlineStr">
        <is>
          <t>N/A</t>
        </is>
      </c>
      <c r="K1353" t="inlineStr">
        <is>
          <t>7996 M G Tree Surgery Ltd</t>
        </is>
      </c>
      <c r="L1353" t="inlineStr">
        <is>
          <t>01/09/2025 08:22</t>
        </is>
      </c>
      <c r="M1353" t="inlineStr">
        <is>
          <t>None</t>
        </is>
      </c>
      <c r="N1353" t="inlineStr">
        <is>
          <t>&lt;p&gt;&lt;/p&gt;</t>
        </is>
      </c>
      <c r="O1353" t="inlineStr"/>
      <c r="P1353" t="inlineStr">
        <is>
          <t>GU13 WNL , MEWP , Land Rover , Defender 130</t>
        </is>
      </c>
      <c r="Q1353" t="inlineStr">
        <is>
          <t>UKPN</t>
        </is>
      </c>
      <c r="R1353" t="b">
        <v>0</v>
      </c>
    </row>
    <row r="1354">
      <c r="A1354" t="inlineStr">
        <is>
          <t>1 Sep 2025 / Thomas Playford / Utilities / UKPN</t>
        </is>
      </c>
      <c r="B1354" t="inlineStr">
        <is>
          <t>Utilities</t>
        </is>
      </c>
      <c r="C1354" t="inlineStr">
        <is>
          <t>UKPN</t>
        </is>
      </c>
      <c r="D1354" t="inlineStr">
        <is>
          <t>SA9ST800000283944 , Tow Chipper , Forst , ST8D - Towed</t>
        </is>
      </c>
      <c r="E1354" t="inlineStr">
        <is>
          <t>SA9ST800000283944 , Tow Chipper , Forst , ST8D - Towed</t>
        </is>
      </c>
      <c r="F1354" t="inlineStr">
        <is>
          <t>SA9ST800000283944 , Tow Chipper , Forst , ST8D - Towed</t>
        </is>
      </c>
      <c r="G1354" t="inlineStr">
        <is>
          <t>Jacob Oram</t>
        </is>
      </c>
      <c r="H1354" t="inlineStr">
        <is>
          <t>Towed Chipper</t>
        </is>
      </c>
      <c r="I1354" t="inlineStr">
        <is>
          <t>Daily/ Weekly Vehicle Inspection</t>
        </is>
      </c>
      <c r="J1354" t="inlineStr">
        <is>
          <t>N/A</t>
        </is>
      </c>
      <c r="K1354" t="inlineStr">
        <is>
          <t>7995 Contour Landscapes Ltd 2</t>
        </is>
      </c>
      <c r="L1354" t="inlineStr">
        <is>
          <t>01/09/2025 08:26</t>
        </is>
      </c>
      <c r="M1354" t="inlineStr">
        <is>
          <t>None</t>
        </is>
      </c>
      <c r="N1354" t="inlineStr">
        <is>
          <t>&lt;p&gt;&lt;/p&gt;</t>
        </is>
      </c>
      <c r="O1354" t="inlineStr"/>
      <c r="P1354" t="inlineStr">
        <is>
          <t>SA9ST800000283944 , Tow Chipper , Forst , ST8D - Towed</t>
        </is>
      </c>
      <c r="Q1354" t="inlineStr">
        <is>
          <t>UKPN</t>
        </is>
      </c>
      <c r="R1354" t="b">
        <v>0</v>
      </c>
    </row>
    <row r="1355">
      <c r="A1355" t="inlineStr">
        <is>
          <t>1 Sep 2025 / Thomas Playford / Utilities / UKPN</t>
        </is>
      </c>
      <c r="B1355" t="inlineStr">
        <is>
          <t>Utilities</t>
        </is>
      </c>
      <c r="C1355" t="inlineStr">
        <is>
          <t>UKPN</t>
        </is>
      </c>
      <c r="D1355" t="inlineStr">
        <is>
          <t>YP24 WRD , Vehicle , Ford , Ranger</t>
        </is>
      </c>
      <c r="E1355" t="inlineStr">
        <is>
          <t>YP24 WRD , Vehicle , Ford , Ranger</t>
        </is>
      </c>
      <c r="F1355" t="inlineStr">
        <is>
          <t>YP24 WRD , Vehicle , Ford , Ranger</t>
        </is>
      </c>
      <c r="G1355" t="inlineStr">
        <is>
          <t>Jacob Oram</t>
        </is>
      </c>
      <c r="H1355" t="inlineStr">
        <is>
          <t>4x4</t>
        </is>
      </c>
      <c r="I1355" t="inlineStr">
        <is>
          <t>Daily/ Weekly Vehicle Inspection</t>
        </is>
      </c>
      <c r="J1355" t="inlineStr">
        <is>
          <t>N/A</t>
        </is>
      </c>
      <c r="K1355" t="inlineStr">
        <is>
          <t>7995 Contour Landscapes Ltd 2</t>
        </is>
      </c>
      <c r="L1355" t="inlineStr">
        <is>
          <t>01/09/2025 08:27</t>
        </is>
      </c>
      <c r="M1355" t="inlineStr">
        <is>
          <t>None</t>
        </is>
      </c>
      <c r="N1355" t="inlineStr">
        <is>
          <t>&lt;p&gt;&lt;/p&gt;</t>
        </is>
      </c>
      <c r="O1355" t="inlineStr"/>
      <c r="P1355" t="inlineStr">
        <is>
          <t>YP24 WRD , Vehicle , Ford , Ranger</t>
        </is>
      </c>
      <c r="Q1355" t="inlineStr">
        <is>
          <t>UKPN</t>
        </is>
      </c>
      <c r="R1355" t="b">
        <v>0</v>
      </c>
    </row>
    <row r="1356">
      <c r="A1356" t="inlineStr">
        <is>
          <t>1 Sep 2025 / 7951 Austin Tree Care LTD / Utilities / UKPN</t>
        </is>
      </c>
      <c r="B1356" t="inlineStr">
        <is>
          <t>Utilities</t>
        </is>
      </c>
      <c r="C1356" t="inlineStr">
        <is>
          <t>UKPN</t>
        </is>
      </c>
      <c r="D1356" t="inlineStr">
        <is>
          <t>SA9ST6P0001283612 , Tow Chipper , Forst , ST6p</t>
        </is>
      </c>
      <c r="E1356" t="inlineStr">
        <is>
          <t>SA9ST6P0001283612 , Tow Chipper , Forst , ST6p</t>
        </is>
      </c>
      <c r="F1356" t="inlineStr">
        <is>
          <t>SA9ST6P0001283612 , Tow Chipper , Forst , ST6p</t>
        </is>
      </c>
      <c r="G1356" t="inlineStr">
        <is>
          <t xml:space="preserve">Jack Austin </t>
        </is>
      </c>
      <c r="H1356" t="inlineStr">
        <is>
          <t>Towed Chipper</t>
        </is>
      </c>
      <c r="I1356" t="inlineStr">
        <is>
          <t>Daily/ Weekly Vehicle Inspection</t>
        </is>
      </c>
      <c r="J1356" t="inlineStr">
        <is>
          <t>N/A</t>
        </is>
      </c>
      <c r="K1356" t="inlineStr">
        <is>
          <t>7951 Austin Tree Care LTD</t>
        </is>
      </c>
      <c r="L1356" t="inlineStr">
        <is>
          <t>01/09/2025 08:28</t>
        </is>
      </c>
      <c r="M1356" t="inlineStr">
        <is>
          <t>None</t>
        </is>
      </c>
      <c r="N1356" t="inlineStr">
        <is>
          <t>&lt;p&gt;&lt;/p&gt;</t>
        </is>
      </c>
      <c r="O1356" t="inlineStr"/>
      <c r="P1356" t="inlineStr">
        <is>
          <t>SA9ST6P0001283612 , Tow Chipper , Forst , ST6p</t>
        </is>
      </c>
      <c r="Q1356" t="inlineStr">
        <is>
          <t>UKPN</t>
        </is>
      </c>
      <c r="R1356" t="b">
        <v>0</v>
      </c>
    </row>
    <row r="1357">
      <c r="A1357" t="inlineStr">
        <is>
          <t>1 Sep 2025 / 7951 Austin Tree Care LTD / Utilities / UKPN</t>
        </is>
      </c>
      <c r="B1357" t="inlineStr">
        <is>
          <t>Utilities</t>
        </is>
      </c>
      <c r="C1357" t="inlineStr">
        <is>
          <t>UKPN</t>
        </is>
      </c>
      <c r="D1357" t="inlineStr">
        <is>
          <t>Kn58xuy , Tipper , VW  , Crafter</t>
        </is>
      </c>
      <c r="E1357" t="inlineStr">
        <is>
          <t>Kn58xuy , Tipper , VW  , Crafter</t>
        </is>
      </c>
      <c r="F1357" t="inlineStr">
        <is>
          <t>Kn58xuy , Tipper , VW  , Crafter</t>
        </is>
      </c>
      <c r="G1357" t="inlineStr">
        <is>
          <t xml:space="preserve">Jack Austin </t>
        </is>
      </c>
      <c r="H1357" t="inlineStr">
        <is>
          <t>Tipper</t>
        </is>
      </c>
      <c r="I1357" t="inlineStr">
        <is>
          <t>Daily/ Weekly Vehicle Inspection</t>
        </is>
      </c>
      <c r="J1357" t="inlineStr">
        <is>
          <t>N/A</t>
        </is>
      </c>
      <c r="K1357" t="inlineStr">
        <is>
          <t>7951 Austin Tree Care LTD</t>
        </is>
      </c>
      <c r="L1357" t="inlineStr">
        <is>
          <t>01/09/2025 08:28</t>
        </is>
      </c>
      <c r="M1357" t="inlineStr">
        <is>
          <t>None</t>
        </is>
      </c>
      <c r="N1357" t="inlineStr">
        <is>
          <t>&lt;p&gt;&lt;/p&gt;</t>
        </is>
      </c>
      <c r="O1357" t="inlineStr"/>
      <c r="P1357" t="inlineStr">
        <is>
          <t>Kn58xuy , Tipper , VW  , Crafter</t>
        </is>
      </c>
      <c r="Q1357" t="inlineStr">
        <is>
          <t>UKPN</t>
        </is>
      </c>
      <c r="R1357" t="b">
        <v>0</v>
      </c>
    </row>
    <row r="1358">
      <c r="A1358" t="inlineStr">
        <is>
          <t>1 Sep 2025 / 7951 Austin Tree Care LTD 1 / Utilities / UKPN</t>
        </is>
      </c>
      <c r="B1358" t="inlineStr">
        <is>
          <t>Utilities</t>
        </is>
      </c>
      <c r="C1358" t="inlineStr">
        <is>
          <t>UKPN</t>
        </is>
      </c>
      <c r="D1358" t="inlineStr">
        <is>
          <t>WF61 HZV , 4x4 MEWP , Land Rover , Defender</t>
        </is>
      </c>
      <c r="E1358" t="inlineStr">
        <is>
          <t>WF61 HZV , 4x4 MEWP , Land Rover , Defender</t>
        </is>
      </c>
      <c r="F1358" t="inlineStr">
        <is>
          <t>WF61 HZV , 4x4 MEWP , Land Rover , Defender</t>
        </is>
      </c>
      <c r="G1358" t="inlineStr">
        <is>
          <t xml:space="preserve">James Tasker </t>
        </is>
      </c>
      <c r="H1358" t="inlineStr">
        <is>
          <t>4x4</t>
        </is>
      </c>
      <c r="I1358" t="inlineStr">
        <is>
          <t>Daily/ Weekly Vehicle Inspection</t>
        </is>
      </c>
      <c r="J1358" t="inlineStr">
        <is>
          <t>N/A</t>
        </is>
      </c>
      <c r="K1358" t="inlineStr">
        <is>
          <t>7951 Austin Tree Care LTD 1</t>
        </is>
      </c>
      <c r="L1358" t="inlineStr">
        <is>
          <t>01/09/2025 08:29</t>
        </is>
      </c>
      <c r="M1358" t="inlineStr">
        <is>
          <t>None</t>
        </is>
      </c>
      <c r="N1358" t="inlineStr">
        <is>
          <t>&lt;p&gt;&lt;/p&gt;</t>
        </is>
      </c>
      <c r="O1358" t="inlineStr"/>
      <c r="P1358" t="inlineStr">
        <is>
          <t>WF61 HZV , 4x4 MEWP , Land Rover , Defender</t>
        </is>
      </c>
      <c r="Q1358" t="inlineStr">
        <is>
          <t>UKPN</t>
        </is>
      </c>
      <c r="R1358" t="b">
        <v>0</v>
      </c>
    </row>
    <row r="1359">
      <c r="A1359" t="inlineStr">
        <is>
          <t>1 Sep 2025 / 7186 Eastwoodbury Tree Services Ltd / Utilities / UKPN</t>
        </is>
      </c>
      <c r="B1359" t="inlineStr">
        <is>
          <t>Utilities</t>
        </is>
      </c>
      <c r="C1359" t="inlineStr">
        <is>
          <t>UKPN</t>
        </is>
      </c>
      <c r="D1359" t="inlineStr">
        <is>
          <t>FN600XM , 4x4 , Land Rover  , Defender</t>
        </is>
      </c>
      <c r="E1359" t="inlineStr">
        <is>
          <t>FN600XM , 4x4 , Land Rover  , Defender</t>
        </is>
      </c>
      <c r="F1359" t="inlineStr">
        <is>
          <t>FN600XM , 4x4 , Land Rover  , Defender</t>
        </is>
      </c>
      <c r="G1359" t="inlineStr">
        <is>
          <t xml:space="preserve">Dan Gilbert </t>
        </is>
      </c>
      <c r="H1359" t="inlineStr">
        <is>
          <t>4x4</t>
        </is>
      </c>
      <c r="I1359" t="inlineStr">
        <is>
          <t>Daily/ Weekly Vehicle Inspection</t>
        </is>
      </c>
      <c r="J1359" t="inlineStr">
        <is>
          <t>N/A</t>
        </is>
      </c>
      <c r="K1359" t="inlineStr">
        <is>
          <t>7186 Eastwoodbury Tree Services Ltd</t>
        </is>
      </c>
      <c r="L1359" t="inlineStr">
        <is>
          <t>01/09/2025 08:29</t>
        </is>
      </c>
      <c r="M1359" t="inlineStr">
        <is>
          <t>None</t>
        </is>
      </c>
      <c r="N1359" t="inlineStr">
        <is>
          <t>&lt;p&gt;&lt;/p&gt;</t>
        </is>
      </c>
      <c r="O1359" t="inlineStr"/>
      <c r="P1359" t="inlineStr">
        <is>
          <t>FN600XM , 4x4 , Land Rover  , Defender</t>
        </is>
      </c>
      <c r="Q1359" t="inlineStr">
        <is>
          <t>UKPN</t>
        </is>
      </c>
      <c r="R1359" t="b">
        <v>0</v>
      </c>
    </row>
    <row r="1360">
      <c r="A1360" t="inlineStr">
        <is>
          <t>1 Sep 2025 / 7806 Optimum Tree Services Ltd / Utilities / UKPN</t>
        </is>
      </c>
      <c r="B1360" t="inlineStr">
        <is>
          <t>Utilities</t>
        </is>
      </c>
      <c r="C1360" t="inlineStr">
        <is>
          <t>UKPN</t>
        </is>
      </c>
      <c r="D1360" t="inlineStr">
        <is>
          <t>SA9ST800000283069 , Chipper , Forst , ST 6P</t>
        </is>
      </c>
      <c r="E1360" t="inlineStr">
        <is>
          <t>SA9ST800000283069 , Chipper , Forst , ST 6P</t>
        </is>
      </c>
      <c r="F1360" t="inlineStr">
        <is>
          <t>SA9ST800000283069 , Chipper , Forst , ST 6P</t>
        </is>
      </c>
      <c r="G1360" t="inlineStr">
        <is>
          <t xml:space="preserve">Abraham Davies </t>
        </is>
      </c>
      <c r="H1360" t="inlineStr">
        <is>
          <t>Towed Chipper</t>
        </is>
      </c>
      <c r="I1360" t="inlineStr">
        <is>
          <t>Daily/ Weekly Vehicle Inspection</t>
        </is>
      </c>
      <c r="J1360" t="inlineStr">
        <is>
          <t>N/A</t>
        </is>
      </c>
      <c r="K1360" t="inlineStr">
        <is>
          <t>7806 Optimum Tree Services Ltd</t>
        </is>
      </c>
      <c r="L1360" t="inlineStr">
        <is>
          <t>01/09/2025 08:34</t>
        </is>
      </c>
      <c r="M1360" t="inlineStr">
        <is>
          <t>None</t>
        </is>
      </c>
      <c r="N1360" t="inlineStr">
        <is>
          <t>&lt;p&gt;&lt;/p&gt;</t>
        </is>
      </c>
      <c r="O1360" t="inlineStr"/>
      <c r="P1360" t="inlineStr">
        <is>
          <t>SA9ST800000283069 , Chipper , Forst , ST 6P</t>
        </is>
      </c>
      <c r="Q1360" t="inlineStr">
        <is>
          <t>UKPN</t>
        </is>
      </c>
      <c r="R1360" t="b">
        <v>0</v>
      </c>
    </row>
    <row r="1361">
      <c r="A1361" t="inlineStr">
        <is>
          <t>1 Sep 2025 / 7806 Optimum Tree Services Ltd / Utilities / UKPN</t>
        </is>
      </c>
      <c r="B1361" t="inlineStr">
        <is>
          <t>Utilities</t>
        </is>
      </c>
      <c r="C1361" t="inlineStr">
        <is>
          <t>UKPN</t>
        </is>
      </c>
      <c r="D1361" t="inlineStr">
        <is>
          <t>WD14EVB , MEWP , Land Rover , Defender</t>
        </is>
      </c>
      <c r="E1361" t="inlineStr">
        <is>
          <t>WD14EVB , MEWP , Land Rover , Defender</t>
        </is>
      </c>
      <c r="F1361" t="inlineStr">
        <is>
          <t>WD14EVB , MEWP , Land Rover , Defender</t>
        </is>
      </c>
      <c r="G1361" t="inlineStr">
        <is>
          <t xml:space="preserve">Abraham Davies </t>
        </is>
      </c>
      <c r="H1361" t="inlineStr">
        <is>
          <t>4x4</t>
        </is>
      </c>
      <c r="I1361" t="inlineStr">
        <is>
          <t>Daily/ Weekly Vehicle Inspection</t>
        </is>
      </c>
      <c r="J1361" t="inlineStr">
        <is>
          <t>N/A</t>
        </is>
      </c>
      <c r="K1361" t="inlineStr">
        <is>
          <t>7806 Optimum Tree Services Ltd</t>
        </is>
      </c>
      <c r="L1361" t="inlineStr">
        <is>
          <t>01/09/2025 08:35</t>
        </is>
      </c>
      <c r="M1361" t="inlineStr">
        <is>
          <t>None</t>
        </is>
      </c>
      <c r="N1361" t="inlineStr">
        <is>
          <t>&lt;p&gt;&lt;/p&gt;</t>
        </is>
      </c>
      <c r="O1361" t="inlineStr"/>
      <c r="P1361" t="inlineStr">
        <is>
          <t>WD14EVB , MEWP , Land Rover , Defender</t>
        </is>
      </c>
      <c r="Q1361" t="inlineStr">
        <is>
          <t>UKPN</t>
        </is>
      </c>
      <c r="R1361" t="b">
        <v>0</v>
      </c>
    </row>
    <row r="1362">
      <c r="A1362" t="inlineStr">
        <is>
          <t>1 Sep 2025 / Thomas Playford / Utilities / UKPN</t>
        </is>
      </c>
      <c r="B1362" t="inlineStr">
        <is>
          <t>Utilities</t>
        </is>
      </c>
      <c r="C1362" t="inlineStr">
        <is>
          <t>UKPN</t>
        </is>
      </c>
      <c r="D1362" t="inlineStr"/>
      <c r="E1362" t="inlineStr"/>
      <c r="F1362" t="inlineStr"/>
      <c r="G1362" t="inlineStr">
        <is>
          <t>Jacob Oram</t>
        </is>
      </c>
      <c r="H1362" t="inlineStr">
        <is>
          <t>Tracked Vehicle</t>
        </is>
      </c>
      <c r="I1362" t="inlineStr">
        <is>
          <t>Daily/ Weekly Vehicle Inspection</t>
        </is>
      </c>
      <c r="J1362" t="inlineStr">
        <is>
          <t>N/A</t>
        </is>
      </c>
      <c r="K1362" t="inlineStr">
        <is>
          <t>7995 Contour Landscapes Ltd 2</t>
        </is>
      </c>
      <c r="L1362" t="inlineStr">
        <is>
          <t>01/09/2025 10:20</t>
        </is>
      </c>
      <c r="M1362" t="inlineStr">
        <is>
          <t>None</t>
        </is>
      </c>
      <c r="N1362" t="inlineStr">
        <is>
          <t>&lt;p&gt;&lt;/p&gt;</t>
        </is>
      </c>
      <c r="O1362" t="inlineStr"/>
      <c r="P1362" t="inlineStr"/>
      <c r="Q1362" t="inlineStr">
        <is>
          <t>UKPN</t>
        </is>
      </c>
      <c r="R1362" t="b">
        <v>0</v>
      </c>
    </row>
    <row r="1363">
      <c r="A1363" t="inlineStr">
        <is>
          <t>1 Sep 2025 / Thomas Nandi / Utilities / SSE</t>
        </is>
      </c>
      <c r="B1363" t="inlineStr">
        <is>
          <t>Utilities</t>
        </is>
      </c>
      <c r="C1363" t="inlineStr">
        <is>
          <t>SSE</t>
        </is>
      </c>
      <c r="D1363" t="inlineStr"/>
      <c r="E1363" t="inlineStr"/>
      <c r="F1363" t="inlineStr"/>
      <c r="G1363" t="inlineStr">
        <is>
          <t>Tom Nandi</t>
        </is>
      </c>
      <c r="H1363" t="inlineStr">
        <is>
          <t>Car - Petrol</t>
        </is>
      </c>
      <c r="I1363" t="inlineStr">
        <is>
          <t>Monthly Vehicle Inspection</t>
        </is>
      </c>
      <c r="J1363" t="inlineStr">
        <is>
          <t>1510</t>
        </is>
      </c>
      <c r="K1363" t="inlineStr">
        <is>
          <t>Thomas Nandi</t>
        </is>
      </c>
      <c r="L1363" t="inlineStr">
        <is>
          <t>01/09/2025 12:19</t>
        </is>
      </c>
      <c r="M1363" t="inlineStr">
        <is>
          <t>None</t>
        </is>
      </c>
      <c r="N1363" t="inlineStr">
        <is>
          <t>&lt;p&gt;&lt;/p&gt;</t>
        </is>
      </c>
      <c r="O1363" t="inlineStr"/>
      <c r="P1363" t="inlineStr"/>
      <c r="Q1363" t="inlineStr">
        <is>
          <t>SSE</t>
        </is>
      </c>
      <c r="R1363" t="b">
        <v>0</v>
      </c>
    </row>
    <row r="1364">
      <c r="A1364" t="inlineStr">
        <is>
          <t>2 Sep 2025 / 7186 Eastwoodbury Tree Services Ltd / Utilities / UKPN</t>
        </is>
      </c>
      <c r="B1364" t="inlineStr">
        <is>
          <t>Utilities</t>
        </is>
      </c>
      <c r="C1364" t="inlineStr">
        <is>
          <t>UKPN</t>
        </is>
      </c>
      <c r="D1364" t="inlineStr">
        <is>
          <t>DE53NKS , 4x4 , Ford , Ranger</t>
        </is>
      </c>
      <c r="E1364" t="inlineStr">
        <is>
          <t>DE53NKS , 4x4 , Ford , Ranger</t>
        </is>
      </c>
      <c r="F1364" t="inlineStr">
        <is>
          <t>DE53NKS , 4x4 , Ford , Ranger</t>
        </is>
      </c>
      <c r="G1364" t="inlineStr">
        <is>
          <t xml:space="preserve">Jay Denkmayer </t>
        </is>
      </c>
      <c r="H1364" t="inlineStr">
        <is>
          <t>Pickup Truck</t>
        </is>
      </c>
      <c r="I1364" t="inlineStr">
        <is>
          <t>Daily/ Weekly Vehicle Inspection</t>
        </is>
      </c>
      <c r="J1364" t="inlineStr">
        <is>
          <t>N/A</t>
        </is>
      </c>
      <c r="K1364" t="inlineStr">
        <is>
          <t>7186 Eastwoodbury Tree Services Ltd</t>
        </is>
      </c>
      <c r="L1364" t="inlineStr">
        <is>
          <t>02/09/2025 07:18</t>
        </is>
      </c>
      <c r="M1364" t="inlineStr">
        <is>
          <t>None</t>
        </is>
      </c>
      <c r="N1364" t="inlineStr">
        <is>
          <t>&lt;p&gt;&lt;/p&gt;</t>
        </is>
      </c>
      <c r="O1364" t="inlineStr"/>
      <c r="P1364" t="inlineStr">
        <is>
          <t>DE53NKS , 4x4 , Ford , Ranger</t>
        </is>
      </c>
      <c r="Q1364" t="inlineStr">
        <is>
          <t>UKPN</t>
        </is>
      </c>
      <c r="R1364" t="b">
        <v>0</v>
      </c>
    </row>
    <row r="1365">
      <c r="A1365" t="inlineStr">
        <is>
          <t>2 Sep 2025 / 7186 Eastwoodbury Tree Services Ltd / Utilities / UKPN</t>
        </is>
      </c>
      <c r="B1365" t="inlineStr">
        <is>
          <t>Utilities</t>
        </is>
      </c>
      <c r="C1365" t="inlineStr">
        <is>
          <t>UKPN</t>
        </is>
      </c>
      <c r="D1365" t="inlineStr">
        <is>
          <t>FN600XM , 4x4 , Land Rover  , Defender</t>
        </is>
      </c>
      <c r="E1365" t="inlineStr">
        <is>
          <t>FN600XM , 4x4 , Land Rover  , Defender</t>
        </is>
      </c>
      <c r="F1365" t="inlineStr">
        <is>
          <t>FN600XM , 4x4 , Land Rover  , Defender</t>
        </is>
      </c>
      <c r="G1365" t="inlineStr">
        <is>
          <t xml:space="preserve">Dan Gilbert </t>
        </is>
      </c>
      <c r="H1365" t="inlineStr">
        <is>
          <t>4x4</t>
        </is>
      </c>
      <c r="I1365" t="inlineStr">
        <is>
          <t>Daily/ Weekly Vehicle Inspection</t>
        </is>
      </c>
      <c r="J1365" t="inlineStr">
        <is>
          <t>N/A</t>
        </is>
      </c>
      <c r="K1365" t="inlineStr">
        <is>
          <t>7186 Eastwoodbury Tree Services Ltd</t>
        </is>
      </c>
      <c r="L1365" t="inlineStr">
        <is>
          <t>02/09/2025 07:19</t>
        </is>
      </c>
      <c r="M1365" t="inlineStr">
        <is>
          <t>None</t>
        </is>
      </c>
      <c r="N1365" t="inlineStr">
        <is>
          <t>&lt;p&gt;&lt;/p&gt;</t>
        </is>
      </c>
      <c r="O1365" t="inlineStr"/>
      <c r="P1365" t="inlineStr">
        <is>
          <t>FN600XM , 4x4 , Land Rover  , Defender</t>
        </is>
      </c>
      <c r="Q1365" t="inlineStr">
        <is>
          <t>UKPN</t>
        </is>
      </c>
      <c r="R1365" t="b">
        <v>0</v>
      </c>
    </row>
    <row r="1366">
      <c r="A1366" t="inlineStr">
        <is>
          <t>2 Sep 2025 / 7800 MAC Tree Surgery and Fencing Ltd</t>
        </is>
      </c>
      <c r="B1366" t="inlineStr">
        <is>
          <t>Utilities &amp; Inland Waterways</t>
        </is>
      </c>
      <c r="C1366" t="inlineStr">
        <is>
          <t>UKPN</t>
        </is>
      </c>
      <c r="D1366" t="inlineStr">
        <is>
          <t>AY68DAA , 4x4 , Izuzu , Dmax</t>
        </is>
      </c>
      <c r="E1366" t="inlineStr">
        <is>
          <t>AY68DAA , 4x4 , Izuzu , Dmax</t>
        </is>
      </c>
      <c r="F1366" t="inlineStr">
        <is>
          <t>AY68DAA , 4x4 , Izuzu , Dmax</t>
        </is>
      </c>
      <c r="G1366" t="inlineStr">
        <is>
          <t xml:space="preserve">Lewis mac </t>
        </is>
      </c>
      <c r="H1366" t="inlineStr">
        <is>
          <t>4x4</t>
        </is>
      </c>
      <c r="I1366" t="inlineStr">
        <is>
          <t>Daily/ Weekly Vehicle Inspection</t>
        </is>
      </c>
      <c r="J1366" t="inlineStr">
        <is>
          <t>N/A</t>
        </is>
      </c>
      <c r="K1366" t="inlineStr">
        <is>
          <t>7800 MAC Tree Surgery and Fencing Ltd</t>
        </is>
      </c>
      <c r="L1366" t="inlineStr">
        <is>
          <t>02/09/2025 07:21</t>
        </is>
      </c>
      <c r="M1366" t="inlineStr">
        <is>
          <t>None</t>
        </is>
      </c>
      <c r="N1366" t="inlineStr">
        <is>
          <t>&lt;p&gt;&lt;/p&gt;</t>
        </is>
      </c>
      <c r="O1366" t="inlineStr"/>
      <c r="P1366" t="inlineStr">
        <is>
          <t>AY68DAA , 4x4 , Izuzu , Dmax</t>
        </is>
      </c>
      <c r="Q1366" t="inlineStr">
        <is>
          <t>UKPN</t>
        </is>
      </c>
      <c r="R1366" t="b">
        <v>0</v>
      </c>
    </row>
    <row r="1367">
      <c r="A1367" t="inlineStr">
        <is>
          <t>2 Sep 2025 / 7889 Tree Tech Suffolk Ltd</t>
        </is>
      </c>
      <c r="B1367" t="inlineStr">
        <is>
          <t>Utilities &amp; Inland Waterways</t>
        </is>
      </c>
      <c r="C1367" t="inlineStr">
        <is>
          <t>UKPN</t>
        </is>
      </c>
      <c r="D1367" t="inlineStr">
        <is>
          <t>Tow Chipper - Jenson - A530L - 55210639484x4 - Isuzu - D-max - NS03 TTSTipper - Nissan - Navara - NS02TTS</t>
        </is>
      </c>
      <c r="E1367" t="inlineStr">
        <is>
          <t>Tow Chipper - Jenson - A530L - 55210639484x4 - Isuzu - D-max - NS03 TTSTipper - Nissan - Navara - NS02TTS</t>
        </is>
      </c>
      <c r="F1367" t="inlineStr">
        <is>
          <t>Tow Chipper - Jenson - A530L - 55210639484x4 - Isuzu - D-max - NS03 TTSTipper - Nissan - Navara - NS02TTS</t>
        </is>
      </c>
      <c r="G1367" t="inlineStr">
        <is>
          <t xml:space="preserve">Nikki sparrow Danny Appleby Nikki sparrow </t>
        </is>
      </c>
      <c r="H1367" t="inlineStr">
        <is>
          <t>Towed Chipper4x4Tipper</t>
        </is>
      </c>
      <c r="I1367" t="inlineStr">
        <is>
          <t>Daily/ Weekly Vehicle Inspection</t>
        </is>
      </c>
      <c r="J1367" t="inlineStr">
        <is>
          <t>N/A</t>
        </is>
      </c>
      <c r="K1367" t="inlineStr">
        <is>
          <t>7889 Tree Tech Suffolk Ltd</t>
        </is>
      </c>
      <c r="L1367" t="inlineStr">
        <is>
          <t>02/09/2025 07:22</t>
        </is>
      </c>
      <c r="M1367" t="inlineStr">
        <is>
          <t>None</t>
        </is>
      </c>
      <c r="N1367" t="inlineStr">
        <is>
          <t>&lt;p&gt;&lt;/p&gt;</t>
        </is>
      </c>
      <c r="O1367" t="inlineStr">
        <is>
          <t>Select Vehicle:Using another chipper while ours is being fixedSelect Vehicle:KX65 FCZ. Intermittent fault on side lights.Select Vehicle:Ns05 TTS. Land Rover discovery. Tried adding vehicle but not showing up</t>
        </is>
      </c>
      <c r="P1367" t="inlineStr">
        <is>
          <t>Tow Chipper - Jenson - A530L - 55210639484x4 - Isuzu - D-max - NS03 TTSTipper - Nissan - Navara - NS02TTS</t>
        </is>
      </c>
      <c r="Q1367" t="inlineStr">
        <is>
          <t>UKPN</t>
        </is>
      </c>
      <c r="R1367" t="b">
        <v>0</v>
      </c>
    </row>
    <row r="1368">
      <c r="A1368" t="inlineStr">
        <is>
          <t>2 Sep 2025 / 7889 Tree Tech Suffolk Ltd / Utilities / UKPN</t>
        </is>
      </c>
      <c r="B1368" t="inlineStr">
        <is>
          <t>Utilities</t>
        </is>
      </c>
      <c r="C1368" t="inlineStr">
        <is>
          <t>UKPN</t>
        </is>
      </c>
      <c r="D1368" t="inlineStr"/>
      <c r="E1368" t="inlineStr"/>
      <c r="F1368" t="inlineStr"/>
      <c r="G1368" t="inlineStr"/>
      <c r="H1368" t="inlineStr"/>
      <c r="I1368" t="inlineStr">
        <is>
          <t>Add to Vehicle to the GC Vehicle List</t>
        </is>
      </c>
      <c r="J1368" t="inlineStr">
        <is>
          <t>N/A</t>
        </is>
      </c>
      <c r="K1368" t="inlineStr">
        <is>
          <t>7889 Tree Tech Suffolk Ltd</t>
        </is>
      </c>
      <c r="L1368" t="inlineStr">
        <is>
          <t>02/09/2025 07:22</t>
        </is>
      </c>
      <c r="M1368" t="inlineStr">
        <is>
          <t>None</t>
        </is>
      </c>
      <c r="N1368" t="inlineStr">
        <is>
          <t>&lt;p&gt;&lt;/p&gt;</t>
        </is>
      </c>
      <c r="O1368" t="inlineStr"/>
      <c r="P1368" t="inlineStr"/>
      <c r="Q1368" t="inlineStr">
        <is>
          <t>UKPN</t>
        </is>
      </c>
      <c r="R1368" t="b">
        <v>0</v>
      </c>
    </row>
    <row r="1369">
      <c r="A1369" t="inlineStr">
        <is>
          <t>2 Sep 2025 / 7806 Optimum Tree Services Ltd / Utilities / UKPN</t>
        </is>
      </c>
      <c r="B1369" t="inlineStr">
        <is>
          <t>Utilities</t>
        </is>
      </c>
      <c r="C1369" t="inlineStr">
        <is>
          <t>UKPN</t>
        </is>
      </c>
      <c r="D1369" t="inlineStr">
        <is>
          <t>SA9TAPLAF27414263 , Trailer , Tow Mate , Plant Trailer</t>
        </is>
      </c>
      <c r="E1369" t="inlineStr">
        <is>
          <t>SA9TAPLAF27414263 , Trailer , Tow Mate , Plant Trailer</t>
        </is>
      </c>
      <c r="F1369" t="inlineStr">
        <is>
          <t>SA9TAPLAF27414263 , Trailer , Tow Mate , Plant Trailer</t>
        </is>
      </c>
      <c r="G1369" t="inlineStr">
        <is>
          <t xml:space="preserve">Tommy frasle </t>
        </is>
      </c>
      <c r="H1369" t="inlineStr">
        <is>
          <t>Plant Trailer</t>
        </is>
      </c>
      <c r="I1369" t="inlineStr">
        <is>
          <t>Daily/ Weekly Vehicle Inspection</t>
        </is>
      </c>
      <c r="J1369" t="inlineStr">
        <is>
          <t>N/A</t>
        </is>
      </c>
      <c r="K1369" t="inlineStr">
        <is>
          <t>7806 Optimum Tree Services Ltd</t>
        </is>
      </c>
      <c r="L1369" t="inlineStr">
        <is>
          <t>02/09/2025 08:20</t>
        </is>
      </c>
      <c r="M1369" t="inlineStr">
        <is>
          <t>None</t>
        </is>
      </c>
      <c r="N1369" t="inlineStr">
        <is>
          <t>&lt;p&gt;&lt;/p&gt;</t>
        </is>
      </c>
      <c r="O1369" t="inlineStr"/>
      <c r="P1369" t="inlineStr">
        <is>
          <t>SA9TAPLAF27414263 , Trailer , Tow Mate , Plant Trailer</t>
        </is>
      </c>
      <c r="Q1369" t="inlineStr">
        <is>
          <t>UKPN</t>
        </is>
      </c>
      <c r="R1369" t="b">
        <v>0</v>
      </c>
    </row>
    <row r="1370">
      <c r="A1370" t="inlineStr">
        <is>
          <t>2 Sep 2025 / 7806 Optimum Tree Services Ltd / Utilities / UKPN</t>
        </is>
      </c>
      <c r="B1370" t="inlineStr">
        <is>
          <t>Utilities</t>
        </is>
      </c>
      <c r="C1370" t="inlineStr">
        <is>
          <t>UKPN</t>
        </is>
      </c>
      <c r="D1370" t="inlineStr">
        <is>
          <t>4x4 - Landrover  - Defender  - Wd14evn</t>
        </is>
      </c>
      <c r="E1370" t="inlineStr">
        <is>
          <t>4x4 - Landrover  - Defender  - Wd14evn</t>
        </is>
      </c>
      <c r="F1370" t="inlineStr">
        <is>
          <t>4x4 - Landrover  - Defender  - Wd14evn</t>
        </is>
      </c>
      <c r="G1370" t="inlineStr">
        <is>
          <t xml:space="preserve">Tommy frasle </t>
        </is>
      </c>
      <c r="H1370" t="inlineStr">
        <is>
          <t>4x4</t>
        </is>
      </c>
      <c r="I1370" t="inlineStr">
        <is>
          <t>Daily/ Weekly Vehicle Inspection</t>
        </is>
      </c>
      <c r="J1370" t="inlineStr">
        <is>
          <t>N/A</t>
        </is>
      </c>
      <c r="K1370" t="inlineStr">
        <is>
          <t>7806 Optimum Tree Services Ltd</t>
        </is>
      </c>
      <c r="L1370" t="inlineStr">
        <is>
          <t>02/09/2025 08:20</t>
        </is>
      </c>
      <c r="M1370" t="inlineStr">
        <is>
          <t>None</t>
        </is>
      </c>
      <c r="N1370" t="inlineStr">
        <is>
          <t>&lt;p&gt;&lt;/p&gt;</t>
        </is>
      </c>
      <c r="O1370" t="inlineStr"/>
      <c r="P1370" t="inlineStr">
        <is>
          <t>4x4 - Landrover  - Defender  - Wd14evn</t>
        </is>
      </c>
      <c r="Q1370" t="inlineStr">
        <is>
          <t>UKPN</t>
        </is>
      </c>
      <c r="R1370" t="b">
        <v>0</v>
      </c>
    </row>
    <row r="1371">
      <c r="A1371" t="inlineStr">
        <is>
          <t>2 Sep 2025 / 7806 Optimum Tree Services Ltd / Utilities / UKPN</t>
        </is>
      </c>
      <c r="B1371" t="inlineStr">
        <is>
          <t>Utilities</t>
        </is>
      </c>
      <c r="C1371" t="inlineStr">
        <is>
          <t>UKPN</t>
        </is>
      </c>
      <c r="D1371" t="inlineStr">
        <is>
          <t>SA9ST800000283069 , Chipper , Forst , ST 6P</t>
        </is>
      </c>
      <c r="E1371" t="inlineStr">
        <is>
          <t>SA9ST800000283069 , Chipper , Forst , ST 6P</t>
        </is>
      </c>
      <c r="F1371" t="inlineStr">
        <is>
          <t>SA9ST800000283069 , Chipper , Forst , ST 6P</t>
        </is>
      </c>
      <c r="G1371" t="inlineStr">
        <is>
          <t xml:space="preserve">Abraham Davies </t>
        </is>
      </c>
      <c r="H1371" t="inlineStr">
        <is>
          <t>Towed Chipper</t>
        </is>
      </c>
      <c r="I1371" t="inlineStr">
        <is>
          <t>Daily/ Weekly Vehicle Inspection</t>
        </is>
      </c>
      <c r="J1371" t="inlineStr">
        <is>
          <t>N/A</t>
        </is>
      </c>
      <c r="K1371" t="inlineStr">
        <is>
          <t>7806 Optimum Tree Services Ltd</t>
        </is>
      </c>
      <c r="L1371" t="inlineStr">
        <is>
          <t>02/09/2025 08:21</t>
        </is>
      </c>
      <c r="M1371" t="inlineStr">
        <is>
          <t>None</t>
        </is>
      </c>
      <c r="N1371" t="inlineStr">
        <is>
          <t>&lt;p&gt;&lt;/p&gt;</t>
        </is>
      </c>
      <c r="O1371" t="inlineStr"/>
      <c r="P1371" t="inlineStr">
        <is>
          <t>SA9ST800000283069 , Chipper , Forst , ST 6P</t>
        </is>
      </c>
      <c r="Q1371" t="inlineStr">
        <is>
          <t>UKPN</t>
        </is>
      </c>
      <c r="R1371" t="b">
        <v>0</v>
      </c>
    </row>
    <row r="1372">
      <c r="A1372" t="inlineStr">
        <is>
          <t>2 Sep 2025 / 7806 Optimum Tree Services Ltd / Utilities / UKPN</t>
        </is>
      </c>
      <c r="B1372" t="inlineStr">
        <is>
          <t>Utilities</t>
        </is>
      </c>
      <c r="C1372" t="inlineStr">
        <is>
          <t>UKPN</t>
        </is>
      </c>
      <c r="D1372" t="inlineStr">
        <is>
          <t>WD14EVB , MEWP , Land Rover , Defender</t>
        </is>
      </c>
      <c r="E1372" t="inlineStr">
        <is>
          <t>WD14EVB , MEWP , Land Rover , Defender</t>
        </is>
      </c>
      <c r="F1372" t="inlineStr">
        <is>
          <t>WD14EVB , MEWP , Land Rover , Defender</t>
        </is>
      </c>
      <c r="G1372" t="inlineStr">
        <is>
          <t xml:space="preserve">Abraham Davies </t>
        </is>
      </c>
      <c r="H1372" t="inlineStr">
        <is>
          <t>4x4</t>
        </is>
      </c>
      <c r="I1372" t="inlineStr">
        <is>
          <t>Daily/ Weekly Vehicle Inspection</t>
        </is>
      </c>
      <c r="J1372" t="inlineStr">
        <is>
          <t>N/A</t>
        </is>
      </c>
      <c r="K1372" t="inlineStr">
        <is>
          <t>7806 Optimum Tree Services Ltd</t>
        </is>
      </c>
      <c r="L1372" t="inlineStr">
        <is>
          <t>02/09/2025 08:21</t>
        </is>
      </c>
      <c r="M1372" t="inlineStr">
        <is>
          <t>None</t>
        </is>
      </c>
      <c r="N1372" t="inlineStr">
        <is>
          <t>&lt;p&gt;&lt;/p&gt;</t>
        </is>
      </c>
      <c r="O1372" t="inlineStr"/>
      <c r="P1372" t="inlineStr">
        <is>
          <t>WD14EVB , MEWP , Land Rover , Defender</t>
        </is>
      </c>
      <c r="Q1372" t="inlineStr">
        <is>
          <t>UKPN</t>
        </is>
      </c>
      <c r="R1372" t="b">
        <v>0</v>
      </c>
    </row>
    <row r="1373">
      <c r="A1373" t="inlineStr">
        <is>
          <t>2 Sep 2025 / 7889 Tree Tech Suffolk Ltd</t>
        </is>
      </c>
      <c r="B1373" t="inlineStr">
        <is>
          <t>Utilities &amp; Inland Waterways</t>
        </is>
      </c>
      <c r="C1373" t="inlineStr">
        <is>
          <t>UKPN</t>
        </is>
      </c>
      <c r="D1373" t="inlineStr">
        <is>
          <t>Tow Chipper - Jenson - A530L - 55210639484x4 - Isuzu - D-max - NS03 TTSTipper - Nissan - Navara - NS02TTS</t>
        </is>
      </c>
      <c r="E1373" t="inlineStr">
        <is>
          <t>Tow Chipper - Jenson - A530L - 55210639484x4 - Isuzu - D-max - NS03 TTSTipper - Nissan - Navara - NS02TTS</t>
        </is>
      </c>
      <c r="F1373" t="inlineStr">
        <is>
          <t>Tow Chipper - Jenson - A530L - 55210639484x4 - Isuzu - D-max - NS03 TTSTipper - Nissan - Navara - NS02TTS</t>
        </is>
      </c>
      <c r="G1373" t="inlineStr">
        <is>
          <t xml:space="preserve">Nikki sparrow Danny Appleby Nikki sparrow </t>
        </is>
      </c>
      <c r="H1373" t="inlineStr">
        <is>
          <t>Towed Chipper4x4Tipper</t>
        </is>
      </c>
      <c r="I1373" t="inlineStr">
        <is>
          <t>Daily/ Weekly Vehicle Inspection</t>
        </is>
      </c>
      <c r="J1373" t="inlineStr">
        <is>
          <t>N/A</t>
        </is>
      </c>
      <c r="K1373" t="inlineStr">
        <is>
          <t>7889 Tree Tech Suffolk Ltd</t>
        </is>
      </c>
      <c r="L1373" t="inlineStr">
        <is>
          <t>02/09/2025 09:20</t>
        </is>
      </c>
      <c r="M1373" t="inlineStr">
        <is>
          <t>None</t>
        </is>
      </c>
      <c r="N1373" t="inlineStr">
        <is>
          <t>&lt;p&gt;&lt;/p&gt;</t>
        </is>
      </c>
      <c r="O1373" t="inlineStr">
        <is>
          <t>Select Vehicle:Using another chipper while ours is being fixed. Has no wheel nut indicatorsSelect Vehicle:KX65 FCZ. Intermittent fault on side lights.Select Vehicle:Ns05 TTS. Land Rover discovery. Tried adding vehicle but not showing up</t>
        </is>
      </c>
      <c r="P1373" t="inlineStr">
        <is>
          <t>Tow Chipper - Jenson - A530L - 55210639484x4 - Isuzu - D-max - NS03 TTSTipper - Nissan - Navara - NS02TTS</t>
        </is>
      </c>
      <c r="Q1373" t="inlineStr">
        <is>
          <t>UKPN</t>
        </is>
      </c>
      <c r="R1373" t="b">
        <v>0</v>
      </c>
    </row>
    <row r="1374">
      <c r="A1374" t="inlineStr">
        <is>
          <t>2 Sep 2025 / 6556 DE UA SWales3 / Utilities / NGED</t>
        </is>
      </c>
      <c r="B1374" t="inlineStr">
        <is>
          <t>Utilities</t>
        </is>
      </c>
      <c r="C1374" t="inlineStr">
        <is>
          <t>NGED</t>
        </is>
      </c>
      <c r="D1374" t="inlineStr">
        <is>
          <t>WO23RVN , Van , Ford , Ranger</t>
        </is>
      </c>
      <c r="E1374" t="inlineStr">
        <is>
          <t>WO23RVN , Van , Ford , Ranger</t>
        </is>
      </c>
      <c r="F1374" t="inlineStr">
        <is>
          <t>WO23RVN , Van , Ford , Ranger</t>
        </is>
      </c>
      <c r="G1374" t="inlineStr">
        <is>
          <t>Daniel Davies</t>
        </is>
      </c>
      <c r="H1374" t="inlineStr">
        <is>
          <t>Tipper</t>
        </is>
      </c>
      <c r="I1374" t="inlineStr">
        <is>
          <t>Daily/ Weekly Vehicle Inspection</t>
        </is>
      </c>
      <c r="J1374" t="inlineStr">
        <is>
          <t>N/A</t>
        </is>
      </c>
      <c r="K1374" t="inlineStr">
        <is>
          <t>6556 DE UA SWales3</t>
        </is>
      </c>
      <c r="L1374" t="inlineStr">
        <is>
          <t>02/09/2025 11:25</t>
        </is>
      </c>
      <c r="M1374" t="inlineStr">
        <is>
          <t>None</t>
        </is>
      </c>
      <c r="N1374" t="inlineStr">
        <is>
          <t>&lt;p&gt;&lt;/p&gt;</t>
        </is>
      </c>
      <c r="O1374" t="inlineStr"/>
      <c r="P1374" t="inlineStr">
        <is>
          <t>WO23RVN , Van , Ford , Ranger</t>
        </is>
      </c>
      <c r="Q1374" t="inlineStr">
        <is>
          <t>NGED</t>
        </is>
      </c>
      <c r="R1374" t="b">
        <v>0</v>
      </c>
    </row>
    <row r="1375">
      <c r="A1375" t="inlineStr">
        <is>
          <t>2 Sep 2025 / 6617 Ashdown Tree Limited 1 / Utilities / UKPN</t>
        </is>
      </c>
      <c r="B1375" t="inlineStr">
        <is>
          <t>Utilities</t>
        </is>
      </c>
      <c r="C1375" t="inlineStr">
        <is>
          <t>UKPN</t>
        </is>
      </c>
      <c r="D1375" t="inlineStr">
        <is>
          <t>SBXTW35A6LS209184 , Tow Chipper , Timberwolf , TW230DHB</t>
        </is>
      </c>
      <c r="E1375" t="inlineStr">
        <is>
          <t>SBXTW35A6LS209184 , Tow Chipper , Timberwolf , TW230DHB</t>
        </is>
      </c>
      <c r="F1375" t="inlineStr">
        <is>
          <t>SBXTW35A6LS209184 , Tow Chipper , Timberwolf , TW230DHB</t>
        </is>
      </c>
      <c r="G1375" t="inlineStr">
        <is>
          <t xml:space="preserve">Francislesser </t>
        </is>
      </c>
      <c r="H1375" t="inlineStr">
        <is>
          <t>Towed Chipper</t>
        </is>
      </c>
      <c r="I1375" t="inlineStr">
        <is>
          <t>Daily/ Weekly Vehicle Inspection</t>
        </is>
      </c>
      <c r="J1375" t="inlineStr">
        <is>
          <t>N/A</t>
        </is>
      </c>
      <c r="K1375" t="inlineStr">
        <is>
          <t>6617 Ashdown Tree Limited 1</t>
        </is>
      </c>
      <c r="L1375" t="inlineStr">
        <is>
          <t>02/09/2025 12:37</t>
        </is>
      </c>
      <c r="M1375" t="inlineStr">
        <is>
          <t>None</t>
        </is>
      </c>
      <c r="N1375" t="inlineStr">
        <is>
          <t>&lt;p&gt;&lt;/p&gt;</t>
        </is>
      </c>
      <c r="O1375" t="inlineStr"/>
      <c r="P1375" t="inlineStr">
        <is>
          <t>SBXTW35A6LS209184 , Tow Chipper , Timberwolf , TW230DHB</t>
        </is>
      </c>
      <c r="Q1375" t="inlineStr">
        <is>
          <t>UKPN</t>
        </is>
      </c>
      <c r="R1375" t="b">
        <v>0</v>
      </c>
    </row>
    <row r="1376">
      <c r="A1376" t="inlineStr">
        <is>
          <t>2 Sep 2025 / 6617 Ashdown Tree Limited 1 / Utilities / UKPN</t>
        </is>
      </c>
      <c r="B1376" t="inlineStr">
        <is>
          <t>Utilities</t>
        </is>
      </c>
      <c r="C1376" t="inlineStr">
        <is>
          <t>UKPN</t>
        </is>
      </c>
      <c r="D1376" t="inlineStr">
        <is>
          <t>GU11LKD , 4x4 , Land Rover , Defender</t>
        </is>
      </c>
      <c r="E1376" t="inlineStr">
        <is>
          <t>GU11LKD , 4x4 , Land Rover , Defender</t>
        </is>
      </c>
      <c r="F1376" t="inlineStr">
        <is>
          <t>GU11LKD , 4x4 , Land Rover , Defender</t>
        </is>
      </c>
      <c r="G1376" t="inlineStr">
        <is>
          <t xml:space="preserve">Francislesser </t>
        </is>
      </c>
      <c r="H1376" t="inlineStr">
        <is>
          <t>4x4</t>
        </is>
      </c>
      <c r="I1376" t="inlineStr">
        <is>
          <t>Daily/ Weekly Vehicle Inspection</t>
        </is>
      </c>
      <c r="J1376" t="inlineStr">
        <is>
          <t>N/A</t>
        </is>
      </c>
      <c r="K1376" t="inlineStr">
        <is>
          <t>6617 Ashdown Tree Limited 1</t>
        </is>
      </c>
      <c r="L1376" t="inlineStr">
        <is>
          <t>02/09/2025 12:38</t>
        </is>
      </c>
      <c r="M1376" t="inlineStr">
        <is>
          <t>None</t>
        </is>
      </c>
      <c r="N1376" t="inlineStr">
        <is>
          <t>&lt;p&gt;&lt;/p&gt;</t>
        </is>
      </c>
      <c r="O1376" t="inlineStr"/>
      <c r="P1376" t="inlineStr">
        <is>
          <t>GU11LKD , 4x4 , Land Rover , Defender</t>
        </is>
      </c>
      <c r="Q1376" t="inlineStr">
        <is>
          <t>UKPN</t>
        </is>
      </c>
      <c r="R1376" t="b">
        <v>0</v>
      </c>
    </row>
    <row r="1377">
      <c r="A1377" t="inlineStr">
        <is>
          <t>2 Sep 2025 / 7951 Austin Tree Care LTD 1 / Utilities / UKPN</t>
        </is>
      </c>
      <c r="B1377" t="inlineStr">
        <is>
          <t>Utilities</t>
        </is>
      </c>
      <c r="C1377" t="inlineStr">
        <is>
          <t>UKPN</t>
        </is>
      </c>
      <c r="D1377" t="inlineStr">
        <is>
          <t>WF61 HZV , 4x4 MEWP , Land Rover , Defender</t>
        </is>
      </c>
      <c r="E1377" t="inlineStr">
        <is>
          <t>WF61 HZV , 4x4 MEWP , Land Rover , Defender</t>
        </is>
      </c>
      <c r="F1377" t="inlineStr">
        <is>
          <t>WF61 HZV , 4x4 MEWP , Land Rover , Defender</t>
        </is>
      </c>
      <c r="G1377" t="inlineStr">
        <is>
          <t xml:space="preserve">James Tasker </t>
        </is>
      </c>
      <c r="H1377" t="inlineStr">
        <is>
          <t>4x4</t>
        </is>
      </c>
      <c r="I1377" t="inlineStr">
        <is>
          <t>Daily/ Weekly Vehicle Inspection</t>
        </is>
      </c>
      <c r="J1377" t="inlineStr">
        <is>
          <t>N/A</t>
        </is>
      </c>
      <c r="K1377" t="inlineStr">
        <is>
          <t>7951 Austin Tree Care LTD 1</t>
        </is>
      </c>
      <c r="L1377" t="inlineStr">
        <is>
          <t>02/09/2025 12:41</t>
        </is>
      </c>
      <c r="M1377" t="inlineStr">
        <is>
          <t>None</t>
        </is>
      </c>
      <c r="N1377" t="inlineStr">
        <is>
          <t>&lt;p&gt;&lt;/p&gt;</t>
        </is>
      </c>
      <c r="O1377" t="inlineStr"/>
      <c r="P1377" t="inlineStr">
        <is>
          <t>WF61 HZV , 4x4 MEWP , Land Rover , Defender</t>
        </is>
      </c>
      <c r="Q1377" t="inlineStr">
        <is>
          <t>UKPN</t>
        </is>
      </c>
      <c r="R1377" t="b">
        <v>0</v>
      </c>
    </row>
    <row r="1378">
      <c r="A1378" t="inlineStr">
        <is>
          <t>3 Sep 2025 / 7889 Tree Tech Suffolk Ltd</t>
        </is>
      </c>
      <c r="B1378" t="inlineStr">
        <is>
          <t>Utilities &amp; Inland Waterways</t>
        </is>
      </c>
      <c r="C1378" t="inlineStr">
        <is>
          <t>UKPN</t>
        </is>
      </c>
      <c r="D1378" t="inlineStr">
        <is>
          <t>Tow Chipper - Jenson - A530L - 55210639484x4 - Isuzu - D-max - NS03 TTSTipper - Nissan - Navara - NS02TTS</t>
        </is>
      </c>
      <c r="E1378" t="inlineStr">
        <is>
          <t>Tow Chipper - Jenson - A530L - 55210639484x4 - Isuzu - D-max - NS03 TTSTipper - Nissan - Navara - NS02TTS</t>
        </is>
      </c>
      <c r="F1378" t="inlineStr">
        <is>
          <t>Tow Chipper - Jenson - A530L - 55210639484x4 - Isuzu - D-max - NS03 TTSTipper - Nissan - Navara - NS02TTS</t>
        </is>
      </c>
      <c r="G1378" t="inlineStr">
        <is>
          <t xml:space="preserve">Nikki sparrow Danny Appleby Nikki sparrow </t>
        </is>
      </c>
      <c r="H1378" t="inlineStr">
        <is>
          <t>Towed Chipper4x4Tipper</t>
        </is>
      </c>
      <c r="I1378" t="inlineStr">
        <is>
          <t>Daily/ Weekly Vehicle Inspection</t>
        </is>
      </c>
      <c r="J1378" t="inlineStr">
        <is>
          <t>N/A</t>
        </is>
      </c>
      <c r="K1378" t="inlineStr">
        <is>
          <t>7889 Tree Tech Suffolk Ltd</t>
        </is>
      </c>
      <c r="L1378" t="inlineStr">
        <is>
          <t>03/09/2025 07:18</t>
        </is>
      </c>
      <c r="M1378" t="inlineStr">
        <is>
          <t>None</t>
        </is>
      </c>
      <c r="N1378" t="inlineStr">
        <is>
          <t>&lt;p&gt;&lt;/p&gt;</t>
        </is>
      </c>
      <c r="O1378" t="inlineStr">
        <is>
          <t>Select Vehicle:Using another chipper while ours is being fixed. Has no wheel nut indicatorsSelect Vehicle:KX65 FCZ. Tried adding vehicle but not showing up. Intermittent fault on side lights.Select Vehicle:Ns05 TTS. Land Rover discovery. Tried adding vehicle but not showing up</t>
        </is>
      </c>
      <c r="P1378" t="inlineStr">
        <is>
          <t>Tow Chipper - Jenson - A530L - 55210639484x4 - Isuzu - D-max - NS03 TTSTipper - Nissan - Navara - NS02TTS</t>
        </is>
      </c>
      <c r="Q1378" t="inlineStr">
        <is>
          <t>UKPN</t>
        </is>
      </c>
      <c r="R1378" t="b">
        <v>0</v>
      </c>
    </row>
    <row r="1379">
      <c r="A1379" t="inlineStr">
        <is>
          <t>3 Sep 2025 / 7186 Eastwoodbury Tree Services Ltd / Utilities / UKPN</t>
        </is>
      </c>
      <c r="B1379" t="inlineStr">
        <is>
          <t>Utilities</t>
        </is>
      </c>
      <c r="C1379" t="inlineStr">
        <is>
          <t>UKPN</t>
        </is>
      </c>
      <c r="D1379" t="inlineStr">
        <is>
          <t>DE53NKS , 4x4 , Ford , Ranger</t>
        </is>
      </c>
      <c r="E1379" t="inlineStr">
        <is>
          <t>DE53NKS , 4x4 , Ford , Ranger</t>
        </is>
      </c>
      <c r="F1379" t="inlineStr">
        <is>
          <t>DE53NKS , 4x4 , Ford , Ranger</t>
        </is>
      </c>
      <c r="G1379" t="inlineStr">
        <is>
          <t xml:space="preserve">Jay Denkmayer </t>
        </is>
      </c>
      <c r="H1379" t="inlineStr">
        <is>
          <t>Pickup Truck</t>
        </is>
      </c>
      <c r="I1379" t="inlineStr">
        <is>
          <t>Daily/ Weekly Vehicle Inspection</t>
        </is>
      </c>
      <c r="J1379" t="inlineStr">
        <is>
          <t>N/A</t>
        </is>
      </c>
      <c r="K1379" t="inlineStr">
        <is>
          <t>7186 Eastwoodbury Tree Services Ltd</t>
        </is>
      </c>
      <c r="L1379" t="inlineStr">
        <is>
          <t>03/09/2025 07:19</t>
        </is>
      </c>
      <c r="M1379" t="inlineStr">
        <is>
          <t>None</t>
        </is>
      </c>
      <c r="N1379" t="inlineStr">
        <is>
          <t>&lt;p&gt;&lt;/p&gt;</t>
        </is>
      </c>
      <c r="O1379" t="inlineStr"/>
      <c r="P1379" t="inlineStr">
        <is>
          <t>DE53NKS , 4x4 , Ford , Ranger</t>
        </is>
      </c>
      <c r="Q1379" t="inlineStr">
        <is>
          <t>UKPN</t>
        </is>
      </c>
      <c r="R1379" t="b">
        <v>0</v>
      </c>
    </row>
    <row r="1380">
      <c r="A1380" t="inlineStr">
        <is>
          <t>3 Sep 2025 / 7800 MAC Tree Surgery and Fencing Ltd</t>
        </is>
      </c>
      <c r="B1380" t="inlineStr">
        <is>
          <t>Utilities &amp; Inland Waterways</t>
        </is>
      </c>
      <c r="C1380" t="inlineStr">
        <is>
          <t>UKPN</t>
        </is>
      </c>
      <c r="D1380" t="inlineStr">
        <is>
          <t>AY68DAA , 4x4 , Izuzu , Dmax</t>
        </is>
      </c>
      <c r="E1380" t="inlineStr">
        <is>
          <t>AY68DAA , 4x4 , Izuzu , Dmax</t>
        </is>
      </c>
      <c r="F1380" t="inlineStr">
        <is>
          <t>AY68DAA , 4x4 , Izuzu , Dmax</t>
        </is>
      </c>
      <c r="G1380" t="inlineStr">
        <is>
          <t xml:space="preserve">Lewis mac </t>
        </is>
      </c>
      <c r="H1380" t="inlineStr">
        <is>
          <t>4x4</t>
        </is>
      </c>
      <c r="I1380" t="inlineStr">
        <is>
          <t>Daily/ Weekly Vehicle Inspection</t>
        </is>
      </c>
      <c r="J1380" t="inlineStr">
        <is>
          <t>N/A</t>
        </is>
      </c>
      <c r="K1380" t="inlineStr">
        <is>
          <t>7800 MAC Tree Surgery and Fencing Ltd</t>
        </is>
      </c>
      <c r="L1380" t="inlineStr">
        <is>
          <t>03/09/2025 07:20</t>
        </is>
      </c>
      <c r="M1380" t="inlineStr">
        <is>
          <t>None</t>
        </is>
      </c>
      <c r="N1380" t="inlineStr">
        <is>
          <t>&lt;p&gt;&lt;/p&gt;</t>
        </is>
      </c>
      <c r="O1380" t="inlineStr"/>
      <c r="P1380" t="inlineStr">
        <is>
          <t>AY68DAA , 4x4 , Izuzu , Dmax</t>
        </is>
      </c>
      <c r="Q1380" t="inlineStr">
        <is>
          <t>UKPN</t>
        </is>
      </c>
      <c r="R1380" t="b">
        <v>0</v>
      </c>
    </row>
    <row r="1381">
      <c r="A1381" t="inlineStr">
        <is>
          <t>3 Sep 2025 / 7186 Eastwoodbury Tree Services Ltd / Utilities / UKPN</t>
        </is>
      </c>
      <c r="B1381" t="inlineStr">
        <is>
          <t>Utilities</t>
        </is>
      </c>
      <c r="C1381" t="inlineStr">
        <is>
          <t>UKPN</t>
        </is>
      </c>
      <c r="D1381" t="inlineStr">
        <is>
          <t>FN600XM , 4x4 , Land Rover  , Defender</t>
        </is>
      </c>
      <c r="E1381" t="inlineStr">
        <is>
          <t>FN600XM , 4x4 , Land Rover  , Defender</t>
        </is>
      </c>
      <c r="F1381" t="inlineStr">
        <is>
          <t>FN600XM , 4x4 , Land Rover  , Defender</t>
        </is>
      </c>
      <c r="G1381" t="inlineStr">
        <is>
          <t xml:space="preserve">Dan Gilbert </t>
        </is>
      </c>
      <c r="H1381" t="inlineStr">
        <is>
          <t>4x4</t>
        </is>
      </c>
      <c r="I1381" t="inlineStr">
        <is>
          <t>Daily/ Weekly Vehicle Inspection</t>
        </is>
      </c>
      <c r="J1381" t="inlineStr">
        <is>
          <t>N/A</t>
        </is>
      </c>
      <c r="K1381" t="inlineStr">
        <is>
          <t>7186 Eastwoodbury Tree Services Ltd</t>
        </is>
      </c>
      <c r="L1381" t="inlineStr">
        <is>
          <t>03/09/2025 07:20</t>
        </is>
      </c>
      <c r="M1381" t="inlineStr">
        <is>
          <t>None</t>
        </is>
      </c>
      <c r="N1381" t="inlineStr">
        <is>
          <t>&lt;p&gt;&lt;/p&gt;</t>
        </is>
      </c>
      <c r="O1381" t="inlineStr"/>
      <c r="P1381" t="inlineStr">
        <is>
          <t>FN600XM , 4x4 , Land Rover  , Defender</t>
        </is>
      </c>
      <c r="Q1381" t="inlineStr">
        <is>
          <t>UKPN</t>
        </is>
      </c>
      <c r="R1381" t="b">
        <v>0</v>
      </c>
    </row>
    <row r="1382">
      <c r="A1382" t="inlineStr">
        <is>
          <t>3 Sep 2025 / 7186 Eastwoodbury Tree Services Ltd / Utilities / UKPN</t>
        </is>
      </c>
      <c r="B1382" t="inlineStr">
        <is>
          <t>Utilities</t>
        </is>
      </c>
      <c r="C1382" t="inlineStr">
        <is>
          <t>UKPN</t>
        </is>
      </c>
      <c r="D1382" t="inlineStr">
        <is>
          <t>AO57BPF , 4x4 , Santana  , Ps10</t>
        </is>
      </c>
      <c r="E1382" t="inlineStr">
        <is>
          <t>AO57BPF , 4x4 , Santana  , Ps10</t>
        </is>
      </c>
      <c r="F1382" t="inlineStr">
        <is>
          <t>AO57BPF , 4x4 , Santana  , Ps10</t>
        </is>
      </c>
      <c r="G1382" t="inlineStr">
        <is>
          <t xml:space="preserve">Tom Price </t>
        </is>
      </c>
      <c r="H1382" t="inlineStr">
        <is>
          <t>4x4</t>
        </is>
      </c>
      <c r="I1382" t="inlineStr">
        <is>
          <t>Daily/ Weekly Vehicle Inspection</t>
        </is>
      </c>
      <c r="J1382" t="inlineStr">
        <is>
          <t>N/A</t>
        </is>
      </c>
      <c r="K1382" t="inlineStr">
        <is>
          <t>7186 Eastwoodbury Tree Services Ltd</t>
        </is>
      </c>
      <c r="L1382" t="inlineStr">
        <is>
          <t>03/09/2025 07:21</t>
        </is>
      </c>
      <c r="M1382" t="inlineStr">
        <is>
          <t>None</t>
        </is>
      </c>
      <c r="N1382" t="inlineStr">
        <is>
          <t>&lt;p&gt;&lt;/p&gt;</t>
        </is>
      </c>
      <c r="O1382" t="inlineStr"/>
      <c r="P1382" t="inlineStr">
        <is>
          <t>AO57BPF , 4x4 , Santana  , Ps10</t>
        </is>
      </c>
      <c r="Q1382" t="inlineStr">
        <is>
          <t>UKPN</t>
        </is>
      </c>
      <c r="R1382" t="b">
        <v>0</v>
      </c>
    </row>
    <row r="1383">
      <c r="A1383" t="inlineStr">
        <is>
          <t>3 Sep 2025 / Anthony Gale / Utilities / UKPN</t>
        </is>
      </c>
      <c r="B1383" t="inlineStr">
        <is>
          <t>Utilities</t>
        </is>
      </c>
      <c r="C1383" t="inlineStr">
        <is>
          <t>UKPN</t>
        </is>
      </c>
      <c r="D1383" t="inlineStr">
        <is>
          <t>GU13 WNL , MEWP , Land Rover , Defender 130</t>
        </is>
      </c>
      <c r="E1383" t="inlineStr">
        <is>
          <t>GU13 WNL , MEWP , Land Rover , Defender 130</t>
        </is>
      </c>
      <c r="F1383" t="inlineStr">
        <is>
          <t>GU13 WNL , MEWP , Land Rover , Defender 130</t>
        </is>
      </c>
      <c r="G1383" t="inlineStr">
        <is>
          <t>Anthony Gale</t>
        </is>
      </c>
      <c r="H1383" t="inlineStr">
        <is>
          <t>4x4</t>
        </is>
      </c>
      <c r="I1383" t="inlineStr">
        <is>
          <t>Daily/ Weekly Vehicle Inspection</t>
        </is>
      </c>
      <c r="J1383" t="inlineStr">
        <is>
          <t>N/A</t>
        </is>
      </c>
      <c r="K1383" t="inlineStr">
        <is>
          <t>7996 M G Tree Surgery Ltd 1</t>
        </is>
      </c>
      <c r="L1383" t="inlineStr">
        <is>
          <t>03/09/2025 08:18</t>
        </is>
      </c>
      <c r="M1383" t="inlineStr">
        <is>
          <t>None</t>
        </is>
      </c>
      <c r="N1383" t="inlineStr">
        <is>
          <t>&lt;p&gt;&lt;/p&gt;</t>
        </is>
      </c>
      <c r="O1383" t="inlineStr"/>
      <c r="P1383" t="inlineStr">
        <is>
          <t>GU13 WNL , MEWP , Land Rover , Defender 130</t>
        </is>
      </c>
      <c r="Q1383" t="inlineStr">
        <is>
          <t>UKPN</t>
        </is>
      </c>
      <c r="R1383" t="b">
        <v>0</v>
      </c>
    </row>
    <row r="1384">
      <c r="A1384" t="inlineStr">
        <is>
          <t>3 Sep 2025 / 7951 Austin Tree Care LTD / Utilities / UKPN</t>
        </is>
      </c>
      <c r="B1384" t="inlineStr">
        <is>
          <t>Utilities</t>
        </is>
      </c>
      <c r="C1384" t="inlineStr">
        <is>
          <t>UKPN</t>
        </is>
      </c>
      <c r="D1384" t="inlineStr">
        <is>
          <t>WF61 HZV , 4x4 MEWP , Land Rover , Defender</t>
        </is>
      </c>
      <c r="E1384" t="inlineStr">
        <is>
          <t>WF61 HZV , 4x4 MEWP , Land Rover , Defender</t>
        </is>
      </c>
      <c r="F1384" t="inlineStr">
        <is>
          <t>WF61 HZV , 4x4 MEWP , Land Rover , Defender</t>
        </is>
      </c>
      <c r="G1384" t="inlineStr">
        <is>
          <t xml:space="preserve">Jack Austin </t>
        </is>
      </c>
      <c r="H1384" t="inlineStr">
        <is>
          <t>4x4</t>
        </is>
      </c>
      <c r="I1384" t="inlineStr">
        <is>
          <t>Daily/ Weekly Vehicle Inspection</t>
        </is>
      </c>
      <c r="J1384" t="inlineStr">
        <is>
          <t>N/A</t>
        </is>
      </c>
      <c r="K1384" t="inlineStr">
        <is>
          <t>7951 Austin Tree Care LTD</t>
        </is>
      </c>
      <c r="L1384" t="inlineStr">
        <is>
          <t>03/09/2025 08:19</t>
        </is>
      </c>
      <c r="M1384" t="inlineStr">
        <is>
          <t>None</t>
        </is>
      </c>
      <c r="N1384" t="inlineStr">
        <is>
          <t>&lt;p&gt;&lt;/p&gt;</t>
        </is>
      </c>
      <c r="O1384" t="inlineStr"/>
      <c r="P1384" t="inlineStr">
        <is>
          <t>WF61 HZV , 4x4 MEWP , Land Rover , Defender</t>
        </is>
      </c>
      <c r="Q1384" t="inlineStr">
        <is>
          <t>UKPN</t>
        </is>
      </c>
      <c r="R1384" t="b">
        <v>0</v>
      </c>
    </row>
    <row r="1385">
      <c r="A1385" t="inlineStr">
        <is>
          <t>3 Sep 2025 / 7951 Austin Tree Care LTD 1 / Utilities / UKPN</t>
        </is>
      </c>
      <c r="B1385" t="inlineStr">
        <is>
          <t>Utilities</t>
        </is>
      </c>
      <c r="C1385" t="inlineStr">
        <is>
          <t>UKPN</t>
        </is>
      </c>
      <c r="D1385" t="inlineStr">
        <is>
          <t>Kn58xuy , Tipper , VW  , Crafter</t>
        </is>
      </c>
      <c r="E1385" t="inlineStr">
        <is>
          <t>Kn58xuy , Tipper , VW  , Crafter</t>
        </is>
      </c>
      <c r="F1385" t="inlineStr">
        <is>
          <t>Kn58xuy , Tipper , VW  , Crafter</t>
        </is>
      </c>
      <c r="G1385" t="inlineStr">
        <is>
          <t xml:space="preserve">James Tasker </t>
        </is>
      </c>
      <c r="H1385" t="inlineStr">
        <is>
          <t>Tipper</t>
        </is>
      </c>
      <c r="I1385" t="inlineStr">
        <is>
          <t>Daily/ Weekly Vehicle Inspection</t>
        </is>
      </c>
      <c r="J1385" t="inlineStr">
        <is>
          <t>N/A</t>
        </is>
      </c>
      <c r="K1385" t="inlineStr">
        <is>
          <t>7951 Austin Tree Care LTD 1</t>
        </is>
      </c>
      <c r="L1385" t="inlineStr">
        <is>
          <t>03/09/2025 08:20</t>
        </is>
      </c>
      <c r="M1385" t="inlineStr">
        <is>
          <t>None</t>
        </is>
      </c>
      <c r="N1385" t="inlineStr">
        <is>
          <t>&lt;p&gt;&lt;/p&gt;</t>
        </is>
      </c>
      <c r="O1385" t="inlineStr"/>
      <c r="P1385" t="inlineStr">
        <is>
          <t>Kn58xuy , Tipper , VW  , Crafter</t>
        </is>
      </c>
      <c r="Q1385" t="inlineStr">
        <is>
          <t>UKPN</t>
        </is>
      </c>
      <c r="R1385" t="b">
        <v>0</v>
      </c>
    </row>
    <row r="1386">
      <c r="A1386" t="inlineStr">
        <is>
          <t>3 Sep 2025 / Thomas Playford / Utilities / UKPN</t>
        </is>
      </c>
      <c r="B1386" t="inlineStr">
        <is>
          <t>Utilities</t>
        </is>
      </c>
      <c r="C1386" t="inlineStr">
        <is>
          <t>UKPN</t>
        </is>
      </c>
      <c r="D1386" t="inlineStr">
        <is>
          <t>SA9ST800000283944 , Tow Chipper , Forst , ST8D - Towed</t>
        </is>
      </c>
      <c r="E1386" t="inlineStr">
        <is>
          <t>SA9ST800000283944 , Tow Chipper , Forst , ST8D - Towed</t>
        </is>
      </c>
      <c r="F1386" t="inlineStr">
        <is>
          <t>SA9ST800000283944 , Tow Chipper , Forst , ST8D - Towed</t>
        </is>
      </c>
      <c r="G1386" t="inlineStr">
        <is>
          <t>Jacob Oram</t>
        </is>
      </c>
      <c r="H1386" t="inlineStr">
        <is>
          <t>Towed Chipper</t>
        </is>
      </c>
      <c r="I1386" t="inlineStr">
        <is>
          <t>Daily/ Weekly Vehicle Inspection</t>
        </is>
      </c>
      <c r="J1386" t="inlineStr">
        <is>
          <t>N/A</t>
        </is>
      </c>
      <c r="K1386" t="inlineStr">
        <is>
          <t>7995 Contour Landscapes Ltd 2</t>
        </is>
      </c>
      <c r="L1386" t="inlineStr">
        <is>
          <t>03/09/2025 08:21</t>
        </is>
      </c>
      <c r="M1386" t="inlineStr">
        <is>
          <t>None</t>
        </is>
      </c>
      <c r="N1386" t="inlineStr">
        <is>
          <t>&lt;p&gt;&lt;/p&gt;</t>
        </is>
      </c>
      <c r="O1386" t="inlineStr"/>
      <c r="P1386" t="inlineStr">
        <is>
          <t>SA9ST800000283944 , Tow Chipper , Forst , ST8D - Towed</t>
        </is>
      </c>
      <c r="Q1386" t="inlineStr">
        <is>
          <t>UKPN</t>
        </is>
      </c>
      <c r="R1386" t="b">
        <v>0</v>
      </c>
    </row>
    <row r="1387">
      <c r="A1387" t="inlineStr">
        <is>
          <t>3 Sep 2025 / Thomas Playford / Utilities / UKPN</t>
        </is>
      </c>
      <c r="B1387" t="inlineStr">
        <is>
          <t>Utilities</t>
        </is>
      </c>
      <c r="C1387" t="inlineStr">
        <is>
          <t>UKPN</t>
        </is>
      </c>
      <c r="D1387" t="inlineStr">
        <is>
          <t>YP24 WRD , Vehicle , Ford , Ranger</t>
        </is>
      </c>
      <c r="E1387" t="inlineStr">
        <is>
          <t>YP24 WRD , Vehicle , Ford , Ranger</t>
        </is>
      </c>
      <c r="F1387" t="inlineStr">
        <is>
          <t>YP24 WRD , Vehicle , Ford , Ranger</t>
        </is>
      </c>
      <c r="G1387" t="inlineStr">
        <is>
          <t>Jacob Oram</t>
        </is>
      </c>
      <c r="H1387" t="inlineStr">
        <is>
          <t>4x4</t>
        </is>
      </c>
      <c r="I1387" t="inlineStr">
        <is>
          <t>Daily/ Weekly Vehicle Inspection</t>
        </is>
      </c>
      <c r="J1387" t="inlineStr">
        <is>
          <t>N/A</t>
        </is>
      </c>
      <c r="K1387" t="inlineStr">
        <is>
          <t>7995 Contour Landscapes Ltd 2</t>
        </is>
      </c>
      <c r="L1387" t="inlineStr">
        <is>
          <t>03/09/2025 08:21</t>
        </is>
      </c>
      <c r="M1387" t="inlineStr">
        <is>
          <t>None</t>
        </is>
      </c>
      <c r="N1387" t="inlineStr">
        <is>
          <t>&lt;p&gt;&lt;/p&gt;</t>
        </is>
      </c>
      <c r="O1387" t="inlineStr"/>
      <c r="P1387" t="inlineStr">
        <is>
          <t>YP24 WRD , Vehicle , Ford , Ranger</t>
        </is>
      </c>
      <c r="Q1387" t="inlineStr">
        <is>
          <t>UKPN</t>
        </is>
      </c>
      <c r="R1387" t="b">
        <v>0</v>
      </c>
    </row>
    <row r="1388">
      <c r="A1388" t="inlineStr">
        <is>
          <t>3 Sep 2025 / 3098 D &amp; R Landscapes (PEND Arb Rail) / Utilities / UKPN</t>
        </is>
      </c>
      <c r="B1388" t="inlineStr">
        <is>
          <t>Utilities</t>
        </is>
      </c>
      <c r="C1388" t="inlineStr">
        <is>
          <t>UKPN</t>
        </is>
      </c>
      <c r="D1388" t="inlineStr">
        <is>
          <t>WA13ZZK , 4x4 , Land Rover  , Defender</t>
        </is>
      </c>
      <c r="E1388" t="inlineStr">
        <is>
          <t>WA13ZZK , 4x4 , Land Rover  , Defender</t>
        </is>
      </c>
      <c r="F1388" t="inlineStr">
        <is>
          <t>WA13ZZK , 4x4 , Land Rover  , Defender</t>
        </is>
      </c>
      <c r="G1388" t="inlineStr">
        <is>
          <t>Chris</t>
        </is>
      </c>
      <c r="H1388" t="inlineStr">
        <is>
          <t>Pickup Truck</t>
        </is>
      </c>
      <c r="I1388" t="inlineStr">
        <is>
          <t>Daily/ Weekly Vehicle Inspection</t>
        </is>
      </c>
      <c r="J1388" t="inlineStr">
        <is>
          <t>N/A</t>
        </is>
      </c>
      <c r="K1388" t="inlineStr">
        <is>
          <t>3098 D &amp; R Landscapes</t>
        </is>
      </c>
      <c r="L1388" t="inlineStr">
        <is>
          <t>03/09/2025 08:23</t>
        </is>
      </c>
      <c r="M1388" t="inlineStr">
        <is>
          <t>None</t>
        </is>
      </c>
      <c r="N1388" t="inlineStr">
        <is>
          <t>&lt;p&gt;&lt;/p&gt;</t>
        </is>
      </c>
      <c r="O1388" t="inlineStr"/>
      <c r="P1388" t="inlineStr">
        <is>
          <t>WA13ZZK , 4x4 , Land Rover  , Defender</t>
        </is>
      </c>
      <c r="Q1388" t="inlineStr">
        <is>
          <t>UKPN</t>
        </is>
      </c>
      <c r="R1388" t="b">
        <v>0</v>
      </c>
    </row>
    <row r="1389">
      <c r="A1389" t="inlineStr">
        <is>
          <t>3 Sep 2025 / 7806 Optimum Tree Services Ltd / Utilities / UKPN</t>
        </is>
      </c>
      <c r="B1389" t="inlineStr">
        <is>
          <t>Utilities</t>
        </is>
      </c>
      <c r="C1389" t="inlineStr">
        <is>
          <t>UKPN</t>
        </is>
      </c>
      <c r="D1389" t="inlineStr">
        <is>
          <t>SA9TAPLAF27414263 , Trailer , Tow Mate , Plant Trailer</t>
        </is>
      </c>
      <c r="E1389" t="inlineStr">
        <is>
          <t>SA9TAPLAF27414263 , Trailer , Tow Mate , Plant Trailer</t>
        </is>
      </c>
      <c r="F1389" t="inlineStr">
        <is>
          <t>SA9TAPLAF27414263 , Trailer , Tow Mate , Plant Trailer</t>
        </is>
      </c>
      <c r="G1389" t="inlineStr">
        <is>
          <t xml:space="preserve">Kenny Aldred </t>
        </is>
      </c>
      <c r="H1389" t="inlineStr">
        <is>
          <t>Plant Trailer</t>
        </is>
      </c>
      <c r="I1389" t="inlineStr">
        <is>
          <t>Daily/ Weekly Vehicle Inspection</t>
        </is>
      </c>
      <c r="J1389" t="inlineStr">
        <is>
          <t>N/A</t>
        </is>
      </c>
      <c r="K1389" t="inlineStr">
        <is>
          <t>7806 Optimum Tree Services Ltd</t>
        </is>
      </c>
      <c r="L1389" t="inlineStr">
        <is>
          <t>03/09/2025 08:23</t>
        </is>
      </c>
      <c r="M1389" t="inlineStr">
        <is>
          <t>None</t>
        </is>
      </c>
      <c r="N1389" t="inlineStr">
        <is>
          <t>&lt;p&gt;&lt;/p&gt;</t>
        </is>
      </c>
      <c r="O1389" t="inlineStr"/>
      <c r="P1389" t="inlineStr">
        <is>
          <t>SA9TAPLAF27414263 , Trailer , Tow Mate , Plant Trailer</t>
        </is>
      </c>
      <c r="Q1389" t="inlineStr">
        <is>
          <t>UKPN</t>
        </is>
      </c>
      <c r="R1389" t="b">
        <v>0</v>
      </c>
    </row>
    <row r="1390">
      <c r="A1390" t="inlineStr">
        <is>
          <t>3 Sep 2025 / 7806 Optimum Tree Services Ltd / Utilities / UKPN</t>
        </is>
      </c>
      <c r="B1390" t="inlineStr">
        <is>
          <t>Utilities</t>
        </is>
      </c>
      <c r="C1390" t="inlineStr">
        <is>
          <t>UKPN</t>
        </is>
      </c>
      <c r="D1390" t="inlineStr">
        <is>
          <t>SA9ST800000283069 , Chipper , Forst , ST 6P</t>
        </is>
      </c>
      <c r="E1390" t="inlineStr">
        <is>
          <t>SA9ST800000283069 , Chipper , Forst , ST 6P</t>
        </is>
      </c>
      <c r="F1390" t="inlineStr">
        <is>
          <t>SA9ST800000283069 , Chipper , Forst , ST 6P</t>
        </is>
      </c>
      <c r="G1390" t="inlineStr">
        <is>
          <t xml:space="preserve">Abraham Davies </t>
        </is>
      </c>
      <c r="H1390" t="inlineStr">
        <is>
          <t>Towed Chipper</t>
        </is>
      </c>
      <c r="I1390" t="inlineStr">
        <is>
          <t>Daily/ Weekly Vehicle Inspection</t>
        </is>
      </c>
      <c r="J1390" t="inlineStr">
        <is>
          <t>N/A</t>
        </is>
      </c>
      <c r="K1390" t="inlineStr">
        <is>
          <t>7806 Optimum Tree Services Ltd</t>
        </is>
      </c>
      <c r="L1390" t="inlineStr">
        <is>
          <t>03/09/2025 08:27</t>
        </is>
      </c>
      <c r="M1390" t="inlineStr">
        <is>
          <t>None</t>
        </is>
      </c>
      <c r="N1390" t="inlineStr">
        <is>
          <t>&lt;p&gt;&lt;/p&gt;</t>
        </is>
      </c>
      <c r="O1390" t="inlineStr"/>
      <c r="P1390" t="inlineStr">
        <is>
          <t>SA9ST800000283069 , Chipper , Forst , ST 6P</t>
        </is>
      </c>
      <c r="Q1390" t="inlineStr">
        <is>
          <t>UKPN</t>
        </is>
      </c>
      <c r="R1390" t="b">
        <v>0</v>
      </c>
    </row>
    <row r="1391">
      <c r="A1391" t="inlineStr">
        <is>
          <t>3 Sep 2025 / 7806 Optimum Tree Services Ltd / Utilities / UKPN</t>
        </is>
      </c>
      <c r="B1391" t="inlineStr">
        <is>
          <t>Utilities</t>
        </is>
      </c>
      <c r="C1391" t="inlineStr">
        <is>
          <t>UKPN</t>
        </is>
      </c>
      <c r="D1391" t="inlineStr">
        <is>
          <t>WD14EVB , MEWP , Land Rover , Defender</t>
        </is>
      </c>
      <c r="E1391" t="inlineStr">
        <is>
          <t>WD14EVB , MEWP , Land Rover , Defender</t>
        </is>
      </c>
      <c r="F1391" t="inlineStr">
        <is>
          <t>WD14EVB , MEWP , Land Rover , Defender</t>
        </is>
      </c>
      <c r="G1391" t="inlineStr">
        <is>
          <t xml:space="preserve">Abraham Davies </t>
        </is>
      </c>
      <c r="H1391" t="inlineStr">
        <is>
          <t>4x4</t>
        </is>
      </c>
      <c r="I1391" t="inlineStr">
        <is>
          <t>Daily/ Weekly Vehicle Inspection</t>
        </is>
      </c>
      <c r="J1391" t="inlineStr">
        <is>
          <t>N/A</t>
        </is>
      </c>
      <c r="K1391" t="inlineStr">
        <is>
          <t>7806 Optimum Tree Services Ltd</t>
        </is>
      </c>
      <c r="L1391" t="inlineStr">
        <is>
          <t>03/09/2025 08:28</t>
        </is>
      </c>
      <c r="M1391" t="inlineStr">
        <is>
          <t>None</t>
        </is>
      </c>
      <c r="N1391" t="inlineStr">
        <is>
          <t>&lt;p&gt;&lt;/p&gt;</t>
        </is>
      </c>
      <c r="O1391" t="inlineStr"/>
      <c r="P1391" t="inlineStr">
        <is>
          <t>WD14EVB , MEWP , Land Rover , Defender</t>
        </is>
      </c>
      <c r="Q1391" t="inlineStr">
        <is>
          <t>UKPN</t>
        </is>
      </c>
      <c r="R1391" t="b">
        <v>0</v>
      </c>
    </row>
    <row r="1392">
      <c r="A1392" t="inlineStr">
        <is>
          <t>3 Sep 2025 / 7996 M G Tree Surgery Ltd / Utilities / UKPN</t>
        </is>
      </c>
      <c r="B1392" t="inlineStr">
        <is>
          <t>Utilities</t>
        </is>
      </c>
      <c r="C1392" t="inlineStr">
        <is>
          <t>UKPN</t>
        </is>
      </c>
      <c r="D1392" t="inlineStr">
        <is>
          <t>PE07 HGL , Vehicle , Mitsubishi , L200 K74</t>
        </is>
      </c>
      <c r="E1392" t="inlineStr">
        <is>
          <t>PE07 HGL , Vehicle , Mitsubishi , L200 K74</t>
        </is>
      </c>
      <c r="F1392" t="inlineStr">
        <is>
          <t>PE07 HGL , Vehicle , Mitsubishi , L200 K74</t>
        </is>
      </c>
      <c r="G1392" t="inlineStr">
        <is>
          <t>Max</t>
        </is>
      </c>
      <c r="H1392" t="inlineStr">
        <is>
          <t>Pickup Truck</t>
        </is>
      </c>
      <c r="I1392" t="inlineStr">
        <is>
          <t>Daily/ Weekly Vehicle Inspection</t>
        </is>
      </c>
      <c r="J1392" t="inlineStr">
        <is>
          <t>N/A</t>
        </is>
      </c>
      <c r="K1392" t="inlineStr">
        <is>
          <t>7996 M G Tree Surgery Ltd</t>
        </is>
      </c>
      <c r="L1392" t="inlineStr">
        <is>
          <t>03/09/2025 09:20</t>
        </is>
      </c>
      <c r="M1392" t="inlineStr">
        <is>
          <t>None</t>
        </is>
      </c>
      <c r="N1392" t="inlineStr">
        <is>
          <t>&lt;p&gt;&lt;/p&gt;</t>
        </is>
      </c>
      <c r="O1392" t="inlineStr"/>
      <c r="P1392" t="inlineStr">
        <is>
          <t>PE07 HGL , Vehicle , Mitsubishi , L200 K74</t>
        </is>
      </c>
      <c r="Q1392" t="inlineStr">
        <is>
          <t>UKPN</t>
        </is>
      </c>
      <c r="R1392" t="b">
        <v>0</v>
      </c>
    </row>
    <row r="1393">
      <c r="A1393" t="inlineStr">
        <is>
          <t>4 Sep 2025 / 6617 Ashdown Tree Limited 1 / Utilities / UKPN</t>
        </is>
      </c>
      <c r="B1393" t="inlineStr">
        <is>
          <t>Utilities</t>
        </is>
      </c>
      <c r="C1393" t="inlineStr">
        <is>
          <t>UKPN</t>
        </is>
      </c>
      <c r="D1393" t="inlineStr">
        <is>
          <t>Plant Trailer - Indespension - 211717 - 211717</t>
        </is>
      </c>
      <c r="E1393" t="inlineStr">
        <is>
          <t>Plant Trailer - Indespension - 211717 - 211717</t>
        </is>
      </c>
      <c r="F1393" t="inlineStr">
        <is>
          <t>Plant Trailer - Indespension - 211717 - 211717</t>
        </is>
      </c>
      <c r="G1393" t="inlineStr">
        <is>
          <t xml:space="preserve">Francislesser </t>
        </is>
      </c>
      <c r="H1393" t="inlineStr">
        <is>
          <t>Plant Trailer</t>
        </is>
      </c>
      <c r="I1393" t="inlineStr">
        <is>
          <t>Daily/ Weekly Vehicle Inspection</t>
        </is>
      </c>
      <c r="J1393" t="inlineStr">
        <is>
          <t>N/A</t>
        </is>
      </c>
      <c r="K1393" t="inlineStr">
        <is>
          <t>6617 Ashdown Tree Limited 1</t>
        </is>
      </c>
      <c r="L1393" t="inlineStr">
        <is>
          <t>04/09/2025 07:19</t>
        </is>
      </c>
      <c r="M1393" t="inlineStr">
        <is>
          <t>None</t>
        </is>
      </c>
      <c r="N1393" t="inlineStr">
        <is>
          <t>&lt;p&gt;&lt;/p&gt;</t>
        </is>
      </c>
      <c r="O1393" t="inlineStr"/>
      <c r="P1393" t="inlineStr">
        <is>
          <t>Plant Trailer - Indespension - 211717 - 211717</t>
        </is>
      </c>
      <c r="Q1393" t="inlineStr">
        <is>
          <t>UKPN</t>
        </is>
      </c>
      <c r="R1393" t="b">
        <v>0</v>
      </c>
    </row>
    <row r="1394">
      <c r="A1394" t="inlineStr">
        <is>
          <t>4 Sep 2025 / 6617 Ashdown Tree Limited 1 / Utilities / UKPN</t>
        </is>
      </c>
      <c r="B1394" t="inlineStr">
        <is>
          <t>Utilities</t>
        </is>
      </c>
      <c r="C1394" t="inlineStr">
        <is>
          <t>UKPN</t>
        </is>
      </c>
      <c r="D1394" t="inlineStr">
        <is>
          <t>Tipper - Ford transit  - Ford - AV69LVR</t>
        </is>
      </c>
      <c r="E1394" t="inlineStr">
        <is>
          <t>Tipper - Ford transit  - Ford - AV69LVR</t>
        </is>
      </c>
      <c r="F1394" t="inlineStr">
        <is>
          <t>Tipper - Ford transit  - Ford - AV69LVR</t>
        </is>
      </c>
      <c r="G1394" t="inlineStr">
        <is>
          <t xml:space="preserve">Frank </t>
        </is>
      </c>
      <c r="H1394" t="inlineStr">
        <is>
          <t>Tipper</t>
        </is>
      </c>
      <c r="I1394" t="inlineStr">
        <is>
          <t>Daily/ Weekly Vehicle Inspection</t>
        </is>
      </c>
      <c r="J1394" t="inlineStr">
        <is>
          <t>N/A</t>
        </is>
      </c>
      <c r="K1394" t="inlineStr">
        <is>
          <t>6617 Ashdown Tree Limited 1</t>
        </is>
      </c>
      <c r="L1394" t="inlineStr">
        <is>
          <t>04/09/2025 07:19</t>
        </is>
      </c>
      <c r="M1394" t="inlineStr">
        <is>
          <t>None</t>
        </is>
      </c>
      <c r="N1394" t="inlineStr">
        <is>
          <t>&lt;p&gt;&lt;/p&gt;</t>
        </is>
      </c>
      <c r="O1394" t="inlineStr"/>
      <c r="P1394" t="inlineStr">
        <is>
          <t>Tipper - Ford transit  - Ford - AV69LVR</t>
        </is>
      </c>
      <c r="Q1394" t="inlineStr">
        <is>
          <t>UKPN</t>
        </is>
      </c>
      <c r="R1394" t="b">
        <v>0</v>
      </c>
    </row>
    <row r="1395">
      <c r="A1395" t="inlineStr">
        <is>
          <t>4 Sep 2025 / Anthony Gale / Utilities / UKPN</t>
        </is>
      </c>
      <c r="B1395" t="inlineStr">
        <is>
          <t>Utilities</t>
        </is>
      </c>
      <c r="C1395" t="inlineStr">
        <is>
          <t>UKPN</t>
        </is>
      </c>
      <c r="D1395" t="inlineStr">
        <is>
          <t>PE07 HGL , Vehicle , Mitsubishi , L200 K74</t>
        </is>
      </c>
      <c r="E1395" t="inlineStr">
        <is>
          <t>PE07 HGL , Vehicle , Mitsubishi , L200 K74</t>
        </is>
      </c>
      <c r="F1395" t="inlineStr">
        <is>
          <t>PE07 HGL , Vehicle , Mitsubishi , L200 K74</t>
        </is>
      </c>
      <c r="G1395" t="inlineStr">
        <is>
          <t>Anthony Gale</t>
        </is>
      </c>
      <c r="H1395" t="inlineStr">
        <is>
          <t>Pickup Truck</t>
        </is>
      </c>
      <c r="I1395" t="inlineStr">
        <is>
          <t>Daily/ Weekly Vehicle Inspection</t>
        </is>
      </c>
      <c r="J1395" t="inlineStr">
        <is>
          <t>N/A</t>
        </is>
      </c>
      <c r="K1395" t="inlineStr">
        <is>
          <t>7996 M G Tree Surgery Ltd 1</t>
        </is>
      </c>
      <c r="L1395" t="inlineStr">
        <is>
          <t>04/09/2025 07:20</t>
        </is>
      </c>
      <c r="M1395" t="inlineStr">
        <is>
          <t>None</t>
        </is>
      </c>
      <c r="N1395" t="inlineStr">
        <is>
          <t>&lt;p&gt;&lt;/p&gt;</t>
        </is>
      </c>
      <c r="O1395" t="inlineStr"/>
      <c r="P1395" t="inlineStr">
        <is>
          <t>PE07 HGL , Vehicle , Mitsubishi , L200 K74</t>
        </is>
      </c>
      <c r="Q1395" t="inlineStr">
        <is>
          <t>UKPN</t>
        </is>
      </c>
      <c r="R1395" t="b">
        <v>0</v>
      </c>
    </row>
    <row r="1396">
      <c r="A1396" t="inlineStr">
        <is>
          <t>4 Sep 2025 / 7996 M G Tree Surgery Ltd / Utilities / UKPN</t>
        </is>
      </c>
      <c r="B1396" t="inlineStr">
        <is>
          <t>Utilities</t>
        </is>
      </c>
      <c r="C1396" t="inlineStr">
        <is>
          <t>UKPN</t>
        </is>
      </c>
      <c r="D1396" t="inlineStr">
        <is>
          <t>GU13 WNL , MEWP , Land Rover , Defender 130</t>
        </is>
      </c>
      <c r="E1396" t="inlineStr">
        <is>
          <t>GU13 WNL , MEWP , Land Rover , Defender 130</t>
        </is>
      </c>
      <c r="F1396" t="inlineStr">
        <is>
          <t>GU13 WNL , MEWP , Land Rover , Defender 130</t>
        </is>
      </c>
      <c r="G1396" t="inlineStr">
        <is>
          <t>Max</t>
        </is>
      </c>
      <c r="H1396" t="inlineStr">
        <is>
          <t>Pickup Truck</t>
        </is>
      </c>
      <c r="I1396" t="inlineStr">
        <is>
          <t>Daily/ Weekly Vehicle Inspection</t>
        </is>
      </c>
      <c r="J1396" t="inlineStr">
        <is>
          <t>N/A</t>
        </is>
      </c>
      <c r="K1396" t="inlineStr">
        <is>
          <t>7996 M G Tree Surgery Ltd</t>
        </is>
      </c>
      <c r="L1396" t="inlineStr">
        <is>
          <t>04/09/2025 07:21</t>
        </is>
      </c>
      <c r="M1396" t="inlineStr">
        <is>
          <t>None</t>
        </is>
      </c>
      <c r="N1396" t="inlineStr">
        <is>
          <t>&lt;p&gt;&lt;/p&gt;</t>
        </is>
      </c>
      <c r="O1396" t="inlineStr"/>
      <c r="P1396" t="inlineStr">
        <is>
          <t>GU13 WNL , MEWP , Land Rover , Defender 130</t>
        </is>
      </c>
      <c r="Q1396" t="inlineStr">
        <is>
          <t>UKPN</t>
        </is>
      </c>
      <c r="R1396" t="b">
        <v>0</v>
      </c>
    </row>
    <row r="1397">
      <c r="A1397" t="inlineStr">
        <is>
          <t>4 Sep 2025 / 7889 Tree Tech Suffolk Ltd</t>
        </is>
      </c>
      <c r="B1397" t="inlineStr">
        <is>
          <t>Utilities &amp; Inland Waterways</t>
        </is>
      </c>
      <c r="C1397" t="inlineStr">
        <is>
          <t>UKPN</t>
        </is>
      </c>
      <c r="D1397" t="inlineStr">
        <is>
          <t>Tow Chipper - Jenson - A530L - 55210639484x4 - Isuzu - D-max - NS03 TTSTipper - Nissan - Navara - NS02TTS</t>
        </is>
      </c>
      <c r="E1397" t="inlineStr">
        <is>
          <t>Tow Chipper - Jenson - A530L - 55210639484x4 - Isuzu - D-max - NS03 TTSTipper - Nissan - Navara - NS02TTS</t>
        </is>
      </c>
      <c r="F1397" t="inlineStr">
        <is>
          <t>Tow Chipper - Jenson - A530L - 55210639484x4 - Isuzu - D-max - NS03 TTSTipper - Nissan - Navara - NS02TTS</t>
        </is>
      </c>
      <c r="G1397" t="inlineStr">
        <is>
          <t xml:space="preserve">Nikki sparrow Danny Appleby Nikki sparrow </t>
        </is>
      </c>
      <c r="H1397" t="inlineStr">
        <is>
          <t>Towed Chipper4x4Tipper</t>
        </is>
      </c>
      <c r="I1397" t="inlineStr">
        <is>
          <t>Daily/ Weekly Vehicle Inspection</t>
        </is>
      </c>
      <c r="J1397" t="inlineStr">
        <is>
          <t>N/A</t>
        </is>
      </c>
      <c r="K1397" t="inlineStr">
        <is>
          <t>7889 Tree Tech Suffolk Ltd</t>
        </is>
      </c>
      <c r="L1397" t="inlineStr">
        <is>
          <t>04/09/2025 07:22</t>
        </is>
      </c>
      <c r="M1397" t="inlineStr">
        <is>
          <t>None</t>
        </is>
      </c>
      <c r="N1397" t="inlineStr">
        <is>
          <t>&lt;p&gt;&lt;/p&gt;</t>
        </is>
      </c>
      <c r="O1397" t="inlineStr">
        <is>
          <t>Select Vehicle:Using another chipper while ours is being fixed. Has no wheel nut indicatorsSelect Vehicle:KX65 FCZ. Tried adding vehicle but not showing up. Intermittent fault on side lights.Select Vehicle:Ns05 TTS. Land Rover discovery. Tried adding vehicle but not showing up</t>
        </is>
      </c>
      <c r="P1397" t="inlineStr">
        <is>
          <t>Tow Chipper - Jenson - A530L - 55210639484x4 - Isuzu - D-max - NS03 TTSTipper - Nissan - Navara - NS02TTS</t>
        </is>
      </c>
      <c r="Q1397" t="inlineStr">
        <is>
          <t>UKPN</t>
        </is>
      </c>
      <c r="R1397" t="b">
        <v>0</v>
      </c>
    </row>
    <row r="1398">
      <c r="A1398" t="inlineStr">
        <is>
          <t>4 Sep 2025 / 7951 Austin Tree Care LTD / Utilities / UKPN</t>
        </is>
      </c>
      <c r="B1398" t="inlineStr">
        <is>
          <t>Utilities</t>
        </is>
      </c>
      <c r="C1398" t="inlineStr">
        <is>
          <t>UKPN</t>
        </is>
      </c>
      <c r="D1398" t="inlineStr">
        <is>
          <t>SA9ST6P0001283612 , Tow Chipper , Forst , ST6p</t>
        </is>
      </c>
      <c r="E1398" t="inlineStr">
        <is>
          <t>SA9ST6P0001283612 , Tow Chipper , Forst , ST6p</t>
        </is>
      </c>
      <c r="F1398" t="inlineStr">
        <is>
          <t>SA9ST6P0001283612 , Tow Chipper , Forst , ST6p</t>
        </is>
      </c>
      <c r="G1398" t="inlineStr">
        <is>
          <t xml:space="preserve">Jack Austin </t>
        </is>
      </c>
      <c r="H1398" t="inlineStr">
        <is>
          <t>Towed Chipper</t>
        </is>
      </c>
      <c r="I1398" t="inlineStr">
        <is>
          <t>Daily/ Weekly Vehicle Inspection</t>
        </is>
      </c>
      <c r="J1398" t="inlineStr">
        <is>
          <t>N/A</t>
        </is>
      </c>
      <c r="K1398" t="inlineStr">
        <is>
          <t>7951 Austin Tree Care LTD</t>
        </is>
      </c>
      <c r="L1398" t="inlineStr">
        <is>
          <t>04/09/2025 08:19</t>
        </is>
      </c>
      <c r="M1398" t="inlineStr">
        <is>
          <t>None</t>
        </is>
      </c>
      <c r="N1398" t="inlineStr">
        <is>
          <t>&lt;p&gt;&lt;/p&gt;</t>
        </is>
      </c>
      <c r="O1398" t="inlineStr"/>
      <c r="P1398" t="inlineStr">
        <is>
          <t>SA9ST6P0001283612 , Tow Chipper , Forst , ST6p</t>
        </is>
      </c>
      <c r="Q1398" t="inlineStr">
        <is>
          <t>UKPN</t>
        </is>
      </c>
      <c r="R1398" t="b">
        <v>0</v>
      </c>
    </row>
    <row r="1399">
      <c r="A1399" t="inlineStr">
        <is>
          <t>4 Sep 2025 / 7951 Austin Tree Care LTD / Utilities / UKPN</t>
        </is>
      </c>
      <c r="B1399" t="inlineStr">
        <is>
          <t>Utilities</t>
        </is>
      </c>
      <c r="C1399" t="inlineStr">
        <is>
          <t>UKPN</t>
        </is>
      </c>
      <c r="D1399" t="inlineStr">
        <is>
          <t>WF61 HZV , 4x4 MEWP , Land Rover , Defender</t>
        </is>
      </c>
      <c r="E1399" t="inlineStr">
        <is>
          <t>WF61 HZV , 4x4 MEWP , Land Rover , Defender</t>
        </is>
      </c>
      <c r="F1399" t="inlineStr">
        <is>
          <t>WF61 HZV , 4x4 MEWP , Land Rover , Defender</t>
        </is>
      </c>
      <c r="G1399" t="inlineStr">
        <is>
          <t xml:space="preserve">Jack Austin </t>
        </is>
      </c>
      <c r="H1399" t="inlineStr">
        <is>
          <t>4x4</t>
        </is>
      </c>
      <c r="I1399" t="inlineStr">
        <is>
          <t>Daily/ Weekly Vehicle Inspection</t>
        </is>
      </c>
      <c r="J1399" t="inlineStr">
        <is>
          <t>N/A</t>
        </is>
      </c>
      <c r="K1399" t="inlineStr">
        <is>
          <t>7951 Austin Tree Care LTD</t>
        </is>
      </c>
      <c r="L1399" t="inlineStr">
        <is>
          <t>04/09/2025 08:19</t>
        </is>
      </c>
      <c r="M1399" t="inlineStr">
        <is>
          <t>None</t>
        </is>
      </c>
      <c r="N1399" t="inlineStr">
        <is>
          <t>&lt;p&gt;&lt;/p&gt;</t>
        </is>
      </c>
      <c r="O1399" t="inlineStr"/>
      <c r="P1399" t="inlineStr">
        <is>
          <t>WF61 HZV , 4x4 MEWP , Land Rover , Defender</t>
        </is>
      </c>
      <c r="Q1399" t="inlineStr">
        <is>
          <t>UKPN</t>
        </is>
      </c>
      <c r="R1399" t="b">
        <v>0</v>
      </c>
    </row>
    <row r="1400">
      <c r="A1400" t="inlineStr">
        <is>
          <t>4 Sep 2025 / Thomas Playford / Utilities / UKPN</t>
        </is>
      </c>
      <c r="B1400" t="inlineStr">
        <is>
          <t>Utilities</t>
        </is>
      </c>
      <c r="C1400" t="inlineStr">
        <is>
          <t>UKPN</t>
        </is>
      </c>
      <c r="D1400" t="inlineStr">
        <is>
          <t>SA9ST800000283944 , Tow Chipper , Forst , ST8D - Towed</t>
        </is>
      </c>
      <c r="E1400" t="inlineStr">
        <is>
          <t>SA9ST800000283944 , Tow Chipper , Forst , ST8D - Towed</t>
        </is>
      </c>
      <c r="F1400" t="inlineStr">
        <is>
          <t>SA9ST800000283944 , Tow Chipper , Forst , ST8D - Towed</t>
        </is>
      </c>
      <c r="G1400" t="inlineStr">
        <is>
          <t>Jacob Oram</t>
        </is>
      </c>
      <c r="H1400" t="inlineStr">
        <is>
          <t>Towed Chipper</t>
        </is>
      </c>
      <c r="I1400" t="inlineStr">
        <is>
          <t>Daily/ Weekly Vehicle Inspection</t>
        </is>
      </c>
      <c r="J1400" t="inlineStr">
        <is>
          <t>N/A</t>
        </is>
      </c>
      <c r="K1400" t="inlineStr">
        <is>
          <t>7995 Contour Landscapes Ltd 2</t>
        </is>
      </c>
      <c r="L1400" t="inlineStr">
        <is>
          <t>04/09/2025 08:22</t>
        </is>
      </c>
      <c r="M1400" t="inlineStr">
        <is>
          <t>None</t>
        </is>
      </c>
      <c r="N1400" t="inlineStr">
        <is>
          <t>&lt;p&gt;&lt;/p&gt;</t>
        </is>
      </c>
      <c r="O1400" t="inlineStr"/>
      <c r="P1400" t="inlineStr">
        <is>
          <t>SA9ST800000283944 , Tow Chipper , Forst , ST8D - Towed</t>
        </is>
      </c>
      <c r="Q1400" t="inlineStr">
        <is>
          <t>UKPN</t>
        </is>
      </c>
      <c r="R1400" t="b">
        <v>0</v>
      </c>
    </row>
    <row r="1401">
      <c r="A1401" t="inlineStr">
        <is>
          <t>4 Sep 2025 / Thomas Playford / Utilities / UKPN</t>
        </is>
      </c>
      <c r="B1401" t="inlineStr">
        <is>
          <t>Utilities</t>
        </is>
      </c>
      <c r="C1401" t="inlineStr">
        <is>
          <t>UKPN</t>
        </is>
      </c>
      <c r="D1401" t="inlineStr">
        <is>
          <t>YP24 WRD , Vehicle , Ford , Ranger</t>
        </is>
      </c>
      <c r="E1401" t="inlineStr">
        <is>
          <t>YP24 WRD , Vehicle , Ford , Ranger</t>
        </is>
      </c>
      <c r="F1401" t="inlineStr">
        <is>
          <t>YP24 WRD , Vehicle , Ford , Ranger</t>
        </is>
      </c>
      <c r="G1401" t="inlineStr">
        <is>
          <t>Jacob Oram</t>
        </is>
      </c>
      <c r="H1401" t="inlineStr">
        <is>
          <t>4x4</t>
        </is>
      </c>
      <c r="I1401" t="inlineStr">
        <is>
          <t>Daily/ Weekly Vehicle Inspection</t>
        </is>
      </c>
      <c r="J1401" t="inlineStr">
        <is>
          <t>N/A</t>
        </is>
      </c>
      <c r="K1401" t="inlineStr">
        <is>
          <t>7995 Contour Landscapes Ltd 2</t>
        </is>
      </c>
      <c r="L1401" t="inlineStr">
        <is>
          <t>04/09/2025 08:22</t>
        </is>
      </c>
      <c r="M1401" t="inlineStr">
        <is>
          <t>None</t>
        </is>
      </c>
      <c r="N1401" t="inlineStr">
        <is>
          <t>&lt;p&gt;&lt;/p&gt;</t>
        </is>
      </c>
      <c r="O1401" t="inlineStr"/>
      <c r="P1401" t="inlineStr">
        <is>
          <t>YP24 WRD , Vehicle , Ford , Ranger</t>
        </is>
      </c>
      <c r="Q1401" t="inlineStr">
        <is>
          <t>UKPN</t>
        </is>
      </c>
      <c r="R1401" t="b">
        <v>0</v>
      </c>
    </row>
    <row r="1402">
      <c r="A1402" t="inlineStr">
        <is>
          <t>4 Sep 2025 / 7806 Optimum Tree Services Ltd / Utilities / UKPN</t>
        </is>
      </c>
      <c r="B1402" t="inlineStr">
        <is>
          <t>Utilities</t>
        </is>
      </c>
      <c r="C1402" t="inlineStr">
        <is>
          <t>UKPN</t>
        </is>
      </c>
      <c r="D1402" t="inlineStr">
        <is>
          <t>SA9TAPLAF27414263 , Trailer , Tow Mate , Plant Trailer</t>
        </is>
      </c>
      <c r="E1402" t="inlineStr">
        <is>
          <t>SA9TAPLAF27414263 , Trailer , Tow Mate , Plant Trailer</t>
        </is>
      </c>
      <c r="F1402" t="inlineStr">
        <is>
          <t>SA9TAPLAF27414263 , Trailer , Tow Mate , Plant Trailer</t>
        </is>
      </c>
      <c r="G1402" t="inlineStr">
        <is>
          <t xml:space="preserve">Abraham Davies </t>
        </is>
      </c>
      <c r="H1402" t="inlineStr">
        <is>
          <t>Plant Trailer</t>
        </is>
      </c>
      <c r="I1402" t="inlineStr">
        <is>
          <t>Daily/ Weekly Vehicle Inspection</t>
        </is>
      </c>
      <c r="J1402" t="inlineStr">
        <is>
          <t>N/A</t>
        </is>
      </c>
      <c r="K1402" t="inlineStr">
        <is>
          <t>7806 Optimum Tree Services Ltd</t>
        </is>
      </c>
      <c r="L1402" t="inlineStr">
        <is>
          <t>04/09/2025 08:23</t>
        </is>
      </c>
      <c r="M1402" t="inlineStr">
        <is>
          <t>None</t>
        </is>
      </c>
      <c r="N1402" t="inlineStr">
        <is>
          <t>&lt;p&gt;&lt;/p&gt;</t>
        </is>
      </c>
      <c r="O1402" t="inlineStr"/>
      <c r="P1402" t="inlineStr">
        <is>
          <t>SA9TAPLAF27414263 , Trailer , Tow Mate , Plant Trailer</t>
        </is>
      </c>
      <c r="Q1402" t="inlineStr">
        <is>
          <t>UKPN</t>
        </is>
      </c>
      <c r="R1402" t="b">
        <v>0</v>
      </c>
    </row>
    <row r="1403">
      <c r="A1403" t="inlineStr">
        <is>
          <t>4 Sep 2025 / 7806 Optimum Tree Services Ltd / Utilities / UKPN</t>
        </is>
      </c>
      <c r="B1403" t="inlineStr">
        <is>
          <t>Utilities</t>
        </is>
      </c>
      <c r="C1403" t="inlineStr">
        <is>
          <t>UKPN</t>
        </is>
      </c>
      <c r="D1403" t="inlineStr">
        <is>
          <t>WD14EVB , MEWP , Land Rover , Defender</t>
        </is>
      </c>
      <c r="E1403" t="inlineStr">
        <is>
          <t>WD14EVB , MEWP , Land Rover , Defender</t>
        </is>
      </c>
      <c r="F1403" t="inlineStr">
        <is>
          <t>WD14EVB , MEWP , Land Rover , Defender</t>
        </is>
      </c>
      <c r="G1403" t="inlineStr">
        <is>
          <t xml:space="preserve">Abraham Davies </t>
        </is>
      </c>
      <c r="H1403" t="inlineStr">
        <is>
          <t>4x4</t>
        </is>
      </c>
      <c r="I1403" t="inlineStr">
        <is>
          <t>Daily/ Weekly Vehicle Inspection</t>
        </is>
      </c>
      <c r="J1403" t="inlineStr">
        <is>
          <t>N/A</t>
        </is>
      </c>
      <c r="K1403" t="inlineStr">
        <is>
          <t>7806 Optimum Tree Services Ltd</t>
        </is>
      </c>
      <c r="L1403" t="inlineStr">
        <is>
          <t>04/09/2025 08:24</t>
        </is>
      </c>
      <c r="M1403" t="inlineStr">
        <is>
          <t>None</t>
        </is>
      </c>
      <c r="N1403" t="inlineStr">
        <is>
          <t>&lt;p&gt;&lt;/p&gt;</t>
        </is>
      </c>
      <c r="O1403" t="inlineStr"/>
      <c r="P1403" t="inlineStr">
        <is>
          <t>WD14EVB , MEWP , Land Rover , Defender</t>
        </is>
      </c>
      <c r="Q1403" t="inlineStr">
        <is>
          <t>UKPN</t>
        </is>
      </c>
      <c r="R1403" t="b">
        <v>0</v>
      </c>
    </row>
    <row r="1404">
      <c r="A1404" t="inlineStr">
        <is>
          <t>4 Sep 2025 / 7186 Eastwoodbury Tree Services Ltd / Utilities / UKPN</t>
        </is>
      </c>
      <c r="B1404" t="inlineStr">
        <is>
          <t>Utilities</t>
        </is>
      </c>
      <c r="C1404" t="inlineStr">
        <is>
          <t>UKPN</t>
        </is>
      </c>
      <c r="D1404" t="inlineStr">
        <is>
          <t>DE53NKS , 4x4 , Ford , Ranger</t>
        </is>
      </c>
      <c r="E1404" t="inlineStr">
        <is>
          <t>DE53NKS , 4x4 , Ford , Ranger</t>
        </is>
      </c>
      <c r="F1404" t="inlineStr">
        <is>
          <t>DE53NKS , 4x4 , Ford , Ranger</t>
        </is>
      </c>
      <c r="G1404" t="inlineStr">
        <is>
          <t xml:space="preserve">Jay Denkmayer </t>
        </is>
      </c>
      <c r="H1404" t="inlineStr">
        <is>
          <t>Pickup Truck</t>
        </is>
      </c>
      <c r="I1404" t="inlineStr">
        <is>
          <t>Daily/ Weekly Vehicle Inspection</t>
        </is>
      </c>
      <c r="J1404" t="inlineStr">
        <is>
          <t>N/A</t>
        </is>
      </c>
      <c r="K1404" t="inlineStr">
        <is>
          <t>7186 Eastwoodbury Tree Services Ltd</t>
        </is>
      </c>
      <c r="L1404" t="inlineStr">
        <is>
          <t>04/09/2025 08:24</t>
        </is>
      </c>
      <c r="M1404" t="inlineStr">
        <is>
          <t>None</t>
        </is>
      </c>
      <c r="N1404" t="inlineStr">
        <is>
          <t>&lt;p&gt;&lt;/p&gt;</t>
        </is>
      </c>
      <c r="O1404" t="inlineStr"/>
      <c r="P1404" t="inlineStr">
        <is>
          <t>DE53NKS , 4x4 , Ford , Ranger</t>
        </is>
      </c>
      <c r="Q1404" t="inlineStr">
        <is>
          <t>UKPN</t>
        </is>
      </c>
      <c r="R1404" t="b">
        <v>0</v>
      </c>
    </row>
    <row r="1405">
      <c r="A1405" t="inlineStr">
        <is>
          <t>4 Sep 2025 / 7186 Eastwoodbury Tree Services Ltd / Utilities / UKPN</t>
        </is>
      </c>
      <c r="B1405" t="inlineStr">
        <is>
          <t>Utilities</t>
        </is>
      </c>
      <c r="C1405" t="inlineStr">
        <is>
          <t>UKPN</t>
        </is>
      </c>
      <c r="D1405" t="inlineStr">
        <is>
          <t>FN600XM , 4x4 , Land Rover  , Defender</t>
        </is>
      </c>
      <c r="E1405" t="inlineStr">
        <is>
          <t>FN600XM , 4x4 , Land Rover  , Defender</t>
        </is>
      </c>
      <c r="F1405" t="inlineStr">
        <is>
          <t>FN600XM , 4x4 , Land Rover  , Defender</t>
        </is>
      </c>
      <c r="G1405" t="inlineStr">
        <is>
          <t xml:space="preserve">Dan Gilbert </t>
        </is>
      </c>
      <c r="H1405" t="inlineStr">
        <is>
          <t>4x4</t>
        </is>
      </c>
      <c r="I1405" t="inlineStr">
        <is>
          <t>Daily/ Weekly Vehicle Inspection</t>
        </is>
      </c>
      <c r="J1405" t="inlineStr">
        <is>
          <t>N/A</t>
        </is>
      </c>
      <c r="K1405" t="inlineStr">
        <is>
          <t>7186 Eastwoodbury Tree Services Ltd</t>
        </is>
      </c>
      <c r="L1405" t="inlineStr">
        <is>
          <t>04/09/2025 08:25</t>
        </is>
      </c>
      <c r="M1405" t="inlineStr">
        <is>
          <t>None</t>
        </is>
      </c>
      <c r="N1405" t="inlineStr">
        <is>
          <t>&lt;p&gt;&lt;/p&gt;</t>
        </is>
      </c>
      <c r="O1405" t="inlineStr"/>
      <c r="P1405" t="inlineStr">
        <is>
          <t>FN600XM , 4x4 , Land Rover  , Defender</t>
        </is>
      </c>
      <c r="Q1405" t="inlineStr">
        <is>
          <t>UKPN</t>
        </is>
      </c>
      <c r="R1405" t="b">
        <v>0</v>
      </c>
    </row>
    <row r="1406">
      <c r="A1406" t="inlineStr">
        <is>
          <t>4 Sep 2025 / 7186 Eastwoodbury Tree Services Ltd / Utilities / UKPN</t>
        </is>
      </c>
      <c r="B1406" t="inlineStr">
        <is>
          <t>Utilities</t>
        </is>
      </c>
      <c r="C1406" t="inlineStr">
        <is>
          <t>UKPN</t>
        </is>
      </c>
      <c r="D1406" t="inlineStr">
        <is>
          <t>AO57BPF , 4x4 , Santana  , Ps10</t>
        </is>
      </c>
      <c r="E1406" t="inlineStr">
        <is>
          <t>AO57BPF , 4x4 , Santana  , Ps10</t>
        </is>
      </c>
      <c r="F1406" t="inlineStr">
        <is>
          <t>AO57BPF , 4x4 , Santana  , Ps10</t>
        </is>
      </c>
      <c r="G1406" t="inlineStr">
        <is>
          <t xml:space="preserve">Tom Price </t>
        </is>
      </c>
      <c r="H1406" t="inlineStr">
        <is>
          <t>4x4</t>
        </is>
      </c>
      <c r="I1406" t="inlineStr">
        <is>
          <t>Daily/ Weekly Vehicle Inspection</t>
        </is>
      </c>
      <c r="J1406" t="inlineStr">
        <is>
          <t>N/A</t>
        </is>
      </c>
      <c r="K1406" t="inlineStr">
        <is>
          <t>7186 Eastwoodbury Tree Services Ltd</t>
        </is>
      </c>
      <c r="L1406" t="inlineStr">
        <is>
          <t>04/09/2025 08:26</t>
        </is>
      </c>
      <c r="M1406" t="inlineStr">
        <is>
          <t>None</t>
        </is>
      </c>
      <c r="N1406" t="inlineStr">
        <is>
          <t>&lt;p&gt;&lt;/p&gt;</t>
        </is>
      </c>
      <c r="O1406" t="inlineStr"/>
      <c r="P1406" t="inlineStr">
        <is>
          <t>AO57BPF , 4x4 , Santana  , Ps10</t>
        </is>
      </c>
      <c r="Q1406" t="inlineStr">
        <is>
          <t>UKPN</t>
        </is>
      </c>
      <c r="R1406" t="b">
        <v>0</v>
      </c>
    </row>
    <row r="1407">
      <c r="A1407" t="inlineStr">
        <is>
          <t>4 Sep 2025 / 7800 MAC Tree Surgery and Fencing Ltd</t>
        </is>
      </c>
      <c r="B1407" t="inlineStr">
        <is>
          <t>Utilities &amp; Inland Waterways</t>
        </is>
      </c>
      <c r="C1407" t="inlineStr">
        <is>
          <t>UKPN</t>
        </is>
      </c>
      <c r="D1407" t="inlineStr">
        <is>
          <t>AY68DAA , 4x4 , Izuzu , Dmax</t>
        </is>
      </c>
      <c r="E1407" t="inlineStr">
        <is>
          <t>AY68DAA , 4x4 , Izuzu , Dmax</t>
        </is>
      </c>
      <c r="F1407" t="inlineStr">
        <is>
          <t>AY68DAA , 4x4 , Izuzu , Dmax</t>
        </is>
      </c>
      <c r="G1407" t="inlineStr">
        <is>
          <t xml:space="preserve">Lewis mac </t>
        </is>
      </c>
      <c r="H1407" t="inlineStr">
        <is>
          <t>4x4</t>
        </is>
      </c>
      <c r="I1407" t="inlineStr">
        <is>
          <t>Daily/ Weekly Vehicle Inspection</t>
        </is>
      </c>
      <c r="J1407" t="inlineStr">
        <is>
          <t>N/A</t>
        </is>
      </c>
      <c r="K1407" t="inlineStr">
        <is>
          <t>7800 MAC Tree Surgery and Fencing Ltd</t>
        </is>
      </c>
      <c r="L1407" t="inlineStr">
        <is>
          <t>04/09/2025 08:26</t>
        </is>
      </c>
      <c r="M1407" t="inlineStr">
        <is>
          <t>None</t>
        </is>
      </c>
      <c r="N1407" t="inlineStr">
        <is>
          <t>&lt;p&gt;&lt;/p&gt;</t>
        </is>
      </c>
      <c r="O1407" t="inlineStr"/>
      <c r="P1407" t="inlineStr">
        <is>
          <t>AY68DAA , 4x4 , Izuzu , Dmax</t>
        </is>
      </c>
      <c r="Q1407" t="inlineStr">
        <is>
          <t>UKPN</t>
        </is>
      </c>
      <c r="R1407" t="b">
        <v>0</v>
      </c>
    </row>
    <row r="1408">
      <c r="A1408" t="inlineStr">
        <is>
          <t>4 Sep 2025 / 3098 D &amp; R Landscapes / Utilities / UKPN</t>
        </is>
      </c>
      <c r="B1408" t="inlineStr">
        <is>
          <t>Utilities</t>
        </is>
      </c>
      <c r="C1408" t="inlineStr">
        <is>
          <t>UKPN</t>
        </is>
      </c>
      <c r="D1408" t="inlineStr">
        <is>
          <t>WA13ZZK , 4x4 , Land Rover  , Defender</t>
        </is>
      </c>
      <c r="E1408" t="inlineStr">
        <is>
          <t>WA13ZZK , 4x4 , Land Rover  , Defender</t>
        </is>
      </c>
      <c r="F1408" t="inlineStr">
        <is>
          <t>WA13ZZK , 4x4 , Land Rover  , Defender</t>
        </is>
      </c>
      <c r="G1408" t="inlineStr">
        <is>
          <t>Chris</t>
        </is>
      </c>
      <c r="H1408" t="inlineStr">
        <is>
          <t>Pickup Truck</t>
        </is>
      </c>
      <c r="I1408" t="inlineStr">
        <is>
          <t>Daily/ Weekly Vehicle Inspection</t>
        </is>
      </c>
      <c r="J1408" t="inlineStr">
        <is>
          <t>N/A</t>
        </is>
      </c>
      <c r="K1408" t="inlineStr">
        <is>
          <t>3098 D &amp; R Landscapes</t>
        </is>
      </c>
      <c r="L1408" t="inlineStr">
        <is>
          <t>04/09/2025 09:23</t>
        </is>
      </c>
      <c r="M1408" t="inlineStr">
        <is>
          <t>None</t>
        </is>
      </c>
      <c r="N1408" t="inlineStr">
        <is>
          <t>&lt;p&gt;&lt;/p&gt;</t>
        </is>
      </c>
      <c r="O1408" t="inlineStr"/>
      <c r="P1408" t="inlineStr">
        <is>
          <t>WA13ZZK , 4x4 , Land Rover  , Defender</t>
        </is>
      </c>
      <c r="Q1408" t="inlineStr">
        <is>
          <t>UKPN</t>
        </is>
      </c>
      <c r="R1408" t="b">
        <v>0</v>
      </c>
    </row>
    <row r="1409">
      <c r="A1409" t="inlineStr">
        <is>
          <t>5 Sep 2025 / 7806 Optimum Tree Services Ltd / Utilities / UKPN</t>
        </is>
      </c>
      <c r="B1409" t="inlineStr">
        <is>
          <t>Utilities</t>
        </is>
      </c>
      <c r="C1409" t="inlineStr">
        <is>
          <t>UKPN</t>
        </is>
      </c>
      <c r="D1409" t="inlineStr">
        <is>
          <t>SA9TAPLAF27414263 , Trailer , Tow Mate , Plant Trailer</t>
        </is>
      </c>
      <c r="E1409" t="inlineStr">
        <is>
          <t>SA9TAPLAF27414263 , Trailer , Tow Mate , Plant Trailer</t>
        </is>
      </c>
      <c r="F1409" t="inlineStr">
        <is>
          <t>SA9TAPLAF27414263 , Trailer , Tow Mate , Plant Trailer</t>
        </is>
      </c>
      <c r="G1409" t="inlineStr">
        <is>
          <t xml:space="preserve">Tommy frasle </t>
        </is>
      </c>
      <c r="H1409" t="inlineStr">
        <is>
          <t>Plant Trailer</t>
        </is>
      </c>
      <c r="I1409" t="inlineStr">
        <is>
          <t>Daily/ Weekly Vehicle Inspection</t>
        </is>
      </c>
      <c r="J1409" t="inlineStr">
        <is>
          <t>N/A</t>
        </is>
      </c>
      <c r="K1409" t="inlineStr">
        <is>
          <t>7806 Optimum Tree Services Ltd</t>
        </is>
      </c>
      <c r="L1409" t="inlineStr">
        <is>
          <t>05/09/2025 06:19</t>
        </is>
      </c>
      <c r="M1409" t="inlineStr">
        <is>
          <t>None</t>
        </is>
      </c>
      <c r="N1409" t="inlineStr">
        <is>
          <t>&lt;p&gt;&lt;/p&gt;</t>
        </is>
      </c>
      <c r="O1409" t="inlineStr"/>
      <c r="P1409" t="inlineStr">
        <is>
          <t>SA9TAPLAF27414263 , Trailer , Tow Mate , Plant Trailer</t>
        </is>
      </c>
      <c r="Q1409" t="inlineStr">
        <is>
          <t>UKPN</t>
        </is>
      </c>
      <c r="R1409" t="b">
        <v>0</v>
      </c>
    </row>
    <row r="1410">
      <c r="A1410" t="inlineStr">
        <is>
          <t>5 Sep 2025 / 7806 Optimum Tree Services Ltd / Utilities / UKPN</t>
        </is>
      </c>
      <c r="B1410" t="inlineStr">
        <is>
          <t>Utilities</t>
        </is>
      </c>
      <c r="C1410" t="inlineStr">
        <is>
          <t>UKPN</t>
        </is>
      </c>
      <c r="D1410" t="inlineStr">
        <is>
          <t>4x4 - Landrover  - Defender  - Wd14evn</t>
        </is>
      </c>
      <c r="E1410" t="inlineStr">
        <is>
          <t>4x4 - Landrover  - Defender  - Wd14evn</t>
        </is>
      </c>
      <c r="F1410" t="inlineStr">
        <is>
          <t>4x4 - Landrover  - Defender  - Wd14evn</t>
        </is>
      </c>
      <c r="G1410" t="inlineStr">
        <is>
          <t xml:space="preserve">Tommy frasle </t>
        </is>
      </c>
      <c r="H1410" t="inlineStr">
        <is>
          <t>4x4</t>
        </is>
      </c>
      <c r="I1410" t="inlineStr">
        <is>
          <t>Daily/ Weekly Vehicle Inspection</t>
        </is>
      </c>
      <c r="J1410" t="inlineStr">
        <is>
          <t>N/A</t>
        </is>
      </c>
      <c r="K1410" t="inlineStr">
        <is>
          <t>7806 Optimum Tree Services Ltd</t>
        </is>
      </c>
      <c r="L1410" t="inlineStr">
        <is>
          <t>05/09/2025 06:20</t>
        </is>
      </c>
      <c r="M1410" t="inlineStr">
        <is>
          <t>None</t>
        </is>
      </c>
      <c r="N1410" t="inlineStr">
        <is>
          <t>&lt;p&gt;&lt;/p&gt;</t>
        </is>
      </c>
      <c r="O1410" t="inlineStr"/>
      <c r="P1410" t="inlineStr">
        <is>
          <t>4x4 - Landrover  - Defender  - Wd14evn</t>
        </is>
      </c>
      <c r="Q1410" t="inlineStr">
        <is>
          <t>UKPN</t>
        </is>
      </c>
      <c r="R1410" t="b">
        <v>0</v>
      </c>
    </row>
    <row r="1411">
      <c r="A1411" t="inlineStr">
        <is>
          <t>5 Sep 2025 / 7806 Optimum Tree Services Ltd / Utilities / UKPN</t>
        </is>
      </c>
      <c r="B1411" t="inlineStr">
        <is>
          <t>Utilities</t>
        </is>
      </c>
      <c r="C1411" t="inlineStr">
        <is>
          <t>UKPN</t>
        </is>
      </c>
      <c r="D1411" t="inlineStr">
        <is>
          <t>SA9ST800000283069 , Chipper , Forst , ST 6P</t>
        </is>
      </c>
      <c r="E1411" t="inlineStr">
        <is>
          <t>SA9ST800000283069 , Chipper , Forst , ST 6P</t>
        </is>
      </c>
      <c r="F1411" t="inlineStr">
        <is>
          <t>SA9ST800000283069 , Chipper , Forst , ST 6P</t>
        </is>
      </c>
      <c r="G1411" t="inlineStr">
        <is>
          <t xml:space="preserve">Abraham Davies </t>
        </is>
      </c>
      <c r="H1411" t="inlineStr">
        <is>
          <t>Towed Chipper</t>
        </is>
      </c>
      <c r="I1411" t="inlineStr">
        <is>
          <t>Daily/ Weekly Vehicle Inspection</t>
        </is>
      </c>
      <c r="J1411" t="inlineStr">
        <is>
          <t>N/A</t>
        </is>
      </c>
      <c r="K1411" t="inlineStr">
        <is>
          <t>7806 Optimum Tree Services Ltd</t>
        </is>
      </c>
      <c r="L1411" t="inlineStr">
        <is>
          <t>05/09/2025 06:21</t>
        </is>
      </c>
      <c r="M1411" t="inlineStr">
        <is>
          <t>None</t>
        </is>
      </c>
      <c r="N1411" t="inlineStr">
        <is>
          <t>&lt;p&gt;&lt;/p&gt;</t>
        </is>
      </c>
      <c r="O1411" t="inlineStr"/>
      <c r="P1411" t="inlineStr">
        <is>
          <t>SA9ST800000283069 , Chipper , Forst , ST 6P</t>
        </is>
      </c>
      <c r="Q1411" t="inlineStr">
        <is>
          <t>UKPN</t>
        </is>
      </c>
      <c r="R1411" t="b">
        <v>0</v>
      </c>
    </row>
    <row r="1412">
      <c r="A1412" t="inlineStr">
        <is>
          <t>5 Sep 2025 / 7806 Optimum Tree Services Ltd / Utilities / UKPN</t>
        </is>
      </c>
      <c r="B1412" t="inlineStr">
        <is>
          <t>Utilities</t>
        </is>
      </c>
      <c r="C1412" t="inlineStr">
        <is>
          <t>UKPN</t>
        </is>
      </c>
      <c r="D1412" t="inlineStr">
        <is>
          <t>WD14EVB , MEWP , Land Rover , Defender</t>
        </is>
      </c>
      <c r="E1412" t="inlineStr">
        <is>
          <t>WD14EVB , MEWP , Land Rover , Defender</t>
        </is>
      </c>
      <c r="F1412" t="inlineStr">
        <is>
          <t>WD14EVB , MEWP , Land Rover , Defender</t>
        </is>
      </c>
      <c r="G1412" t="inlineStr">
        <is>
          <t xml:space="preserve">Abraham Davies </t>
        </is>
      </c>
      <c r="H1412" t="inlineStr">
        <is>
          <t>4x4</t>
        </is>
      </c>
      <c r="I1412" t="inlineStr">
        <is>
          <t>Daily/ Weekly Vehicle Inspection</t>
        </is>
      </c>
      <c r="J1412" t="inlineStr">
        <is>
          <t>N/A</t>
        </is>
      </c>
      <c r="K1412" t="inlineStr">
        <is>
          <t>7806 Optimum Tree Services Ltd</t>
        </is>
      </c>
      <c r="L1412" t="inlineStr">
        <is>
          <t>05/09/2025 06:21</t>
        </is>
      </c>
      <c r="M1412" t="inlineStr">
        <is>
          <t>None</t>
        </is>
      </c>
      <c r="N1412" t="inlineStr">
        <is>
          <t>&lt;p&gt;&lt;/p&gt;</t>
        </is>
      </c>
      <c r="O1412" t="inlineStr"/>
      <c r="P1412" t="inlineStr">
        <is>
          <t>WD14EVB , MEWP , Land Rover , Defender</t>
        </is>
      </c>
      <c r="Q1412" t="inlineStr">
        <is>
          <t>UKPN</t>
        </is>
      </c>
      <c r="R1412" t="b">
        <v>0</v>
      </c>
    </row>
    <row r="1413">
      <c r="A1413" t="inlineStr">
        <is>
          <t>5 Sep 2025 / 7800 MAC Tree Surgery and Fencing Ltd</t>
        </is>
      </c>
      <c r="B1413" t="inlineStr">
        <is>
          <t>Utilities &amp; Inland Waterways</t>
        </is>
      </c>
      <c r="C1413" t="inlineStr">
        <is>
          <t>UKPN</t>
        </is>
      </c>
      <c r="D1413" t="inlineStr">
        <is>
          <t>AY68DAA , 4x4 , Izuzu , Dmax</t>
        </is>
      </c>
      <c r="E1413" t="inlineStr">
        <is>
          <t>AY68DAA , 4x4 , Izuzu , Dmax</t>
        </is>
      </c>
      <c r="F1413" t="inlineStr">
        <is>
          <t>AY68DAA , 4x4 , Izuzu , Dmax</t>
        </is>
      </c>
      <c r="G1413" t="inlineStr">
        <is>
          <t xml:space="preserve">Lewis mac </t>
        </is>
      </c>
      <c r="H1413" t="inlineStr">
        <is>
          <t>4x4</t>
        </is>
      </c>
      <c r="I1413" t="inlineStr">
        <is>
          <t>Daily/ Weekly Vehicle Inspection</t>
        </is>
      </c>
      <c r="J1413" t="inlineStr">
        <is>
          <t>N/A</t>
        </is>
      </c>
      <c r="K1413" t="inlineStr">
        <is>
          <t>7800 MAC Tree Surgery and Fencing Ltd</t>
        </is>
      </c>
      <c r="L1413" t="inlineStr">
        <is>
          <t>05/09/2025 07:19</t>
        </is>
      </c>
      <c r="M1413" t="inlineStr">
        <is>
          <t>None</t>
        </is>
      </c>
      <c r="N1413" t="inlineStr">
        <is>
          <t>&lt;p&gt;&lt;/p&gt;</t>
        </is>
      </c>
      <c r="O1413" t="inlineStr"/>
      <c r="P1413" t="inlineStr">
        <is>
          <t>AY68DAA , 4x4 , Izuzu , Dmax</t>
        </is>
      </c>
      <c r="Q1413" t="inlineStr">
        <is>
          <t>UKPN</t>
        </is>
      </c>
      <c r="R1413" t="b">
        <v>0</v>
      </c>
    </row>
    <row r="1414">
      <c r="A1414" t="inlineStr">
        <is>
          <t>5 Sep 2025 / 7951 Austin Tree Care LTD / Utilities / UKPN</t>
        </is>
      </c>
      <c r="B1414" t="inlineStr">
        <is>
          <t>Utilities</t>
        </is>
      </c>
      <c r="C1414" t="inlineStr">
        <is>
          <t>UKPN</t>
        </is>
      </c>
      <c r="D1414" t="inlineStr">
        <is>
          <t>SA9ST6P0001283612 , Tow Chipper , Forst , ST6p</t>
        </is>
      </c>
      <c r="E1414" t="inlineStr">
        <is>
          <t>SA9ST6P0001283612 , Tow Chipper , Forst , ST6p</t>
        </is>
      </c>
      <c r="F1414" t="inlineStr">
        <is>
          <t>SA9ST6P0001283612 , Tow Chipper , Forst , ST6p</t>
        </is>
      </c>
      <c r="G1414" t="inlineStr">
        <is>
          <t xml:space="preserve">Jack Austin </t>
        </is>
      </c>
      <c r="H1414" t="inlineStr">
        <is>
          <t>Towed Chipper</t>
        </is>
      </c>
      <c r="I1414" t="inlineStr">
        <is>
          <t>Daily/ Weekly Vehicle Inspection</t>
        </is>
      </c>
      <c r="J1414" t="inlineStr">
        <is>
          <t>N/A</t>
        </is>
      </c>
      <c r="K1414" t="inlineStr">
        <is>
          <t>7951 Austin Tree Care LTD</t>
        </is>
      </c>
      <c r="L1414" t="inlineStr">
        <is>
          <t>05/09/2025 07:19</t>
        </is>
      </c>
      <c r="M1414" t="inlineStr">
        <is>
          <t>None</t>
        </is>
      </c>
      <c r="N1414" t="inlineStr">
        <is>
          <t>&lt;p&gt;&lt;/p&gt;</t>
        </is>
      </c>
      <c r="O1414" t="inlineStr"/>
      <c r="P1414" t="inlineStr">
        <is>
          <t>SA9ST6P0001283612 , Tow Chipper , Forst , ST6p</t>
        </is>
      </c>
      <c r="Q1414" t="inlineStr">
        <is>
          <t>UKPN</t>
        </is>
      </c>
      <c r="R1414" t="b">
        <v>0</v>
      </c>
    </row>
    <row r="1415">
      <c r="A1415" t="inlineStr">
        <is>
          <t>5 Sep 2025 / 7951 Austin Tree Care LTD / Utilities / UKPN</t>
        </is>
      </c>
      <c r="B1415" t="inlineStr">
        <is>
          <t>Utilities</t>
        </is>
      </c>
      <c r="C1415" t="inlineStr">
        <is>
          <t>UKPN</t>
        </is>
      </c>
      <c r="D1415" t="inlineStr">
        <is>
          <t>WF61 HZV , 4x4 MEWP , Land Rover , Defender</t>
        </is>
      </c>
      <c r="E1415" t="inlineStr">
        <is>
          <t>WF61 HZV , 4x4 MEWP , Land Rover , Defender</t>
        </is>
      </c>
      <c r="F1415" t="inlineStr">
        <is>
          <t>WF61 HZV , 4x4 MEWP , Land Rover , Defender</t>
        </is>
      </c>
      <c r="G1415" t="inlineStr">
        <is>
          <t>Jack Austin</t>
        </is>
      </c>
      <c r="H1415" t="inlineStr">
        <is>
          <t>4x4</t>
        </is>
      </c>
      <c r="I1415" t="inlineStr">
        <is>
          <t>Daily/ Weekly Vehicle Inspection</t>
        </is>
      </c>
      <c r="J1415" t="inlineStr">
        <is>
          <t>N/A</t>
        </is>
      </c>
      <c r="K1415" t="inlineStr">
        <is>
          <t>7951 Austin Tree Care LTD</t>
        </is>
      </c>
      <c r="L1415" t="inlineStr">
        <is>
          <t>05/09/2025 07:20</t>
        </is>
      </c>
      <c r="M1415" t="inlineStr">
        <is>
          <t>None</t>
        </is>
      </c>
      <c r="N1415" t="inlineStr">
        <is>
          <t>&lt;p&gt;&lt;/p&gt;</t>
        </is>
      </c>
      <c r="O1415" t="inlineStr"/>
      <c r="P1415" t="inlineStr">
        <is>
          <t>WF61 HZV , 4x4 MEWP , Land Rover , Defender</t>
        </is>
      </c>
      <c r="Q1415" t="inlineStr">
        <is>
          <t>UKPN</t>
        </is>
      </c>
      <c r="R1415" t="b">
        <v>0</v>
      </c>
    </row>
    <row r="1416">
      <c r="A1416" t="inlineStr">
        <is>
          <t>5 Sep 2025 / 7186 Eastwoodbury Tree Services Ltd / Utilities / UKPN</t>
        </is>
      </c>
      <c r="B1416" t="inlineStr">
        <is>
          <t>Utilities</t>
        </is>
      </c>
      <c r="C1416" t="inlineStr">
        <is>
          <t>UKPN</t>
        </is>
      </c>
      <c r="D1416" t="inlineStr">
        <is>
          <t>FN600XM , 4x4 , Land Rover  , Defender</t>
        </is>
      </c>
      <c r="E1416" t="inlineStr">
        <is>
          <t>FN600XM , 4x4 , Land Rover  , Defender</t>
        </is>
      </c>
      <c r="F1416" t="inlineStr">
        <is>
          <t>FN600XM , 4x4 , Land Rover  , Defender</t>
        </is>
      </c>
      <c r="G1416" t="inlineStr">
        <is>
          <t xml:space="preserve">Dan Gilbert </t>
        </is>
      </c>
      <c r="H1416" t="inlineStr">
        <is>
          <t>4x4</t>
        </is>
      </c>
      <c r="I1416" t="inlineStr">
        <is>
          <t>Daily/ Weekly Vehicle Inspection</t>
        </is>
      </c>
      <c r="J1416" t="inlineStr">
        <is>
          <t>N/A</t>
        </is>
      </c>
      <c r="K1416" t="inlineStr">
        <is>
          <t>7186 Eastwoodbury Tree Services Ltd</t>
        </is>
      </c>
      <c r="L1416" t="inlineStr">
        <is>
          <t>05/09/2025 07:21</t>
        </is>
      </c>
      <c r="M1416" t="inlineStr">
        <is>
          <t>None</t>
        </is>
      </c>
      <c r="N1416" t="inlineStr">
        <is>
          <t>&lt;p&gt;&lt;/p&gt;</t>
        </is>
      </c>
      <c r="O1416" t="inlineStr"/>
      <c r="P1416" t="inlineStr">
        <is>
          <t>FN600XM , 4x4 , Land Rover  , Defender</t>
        </is>
      </c>
      <c r="Q1416" t="inlineStr">
        <is>
          <t>UKPN</t>
        </is>
      </c>
      <c r="R1416" t="b">
        <v>0</v>
      </c>
    </row>
    <row r="1417">
      <c r="A1417" t="inlineStr">
        <is>
          <t>5 Sep 2025 / 7186 Eastwoodbury Tree Services Ltd / Utilities / UKPN</t>
        </is>
      </c>
      <c r="B1417" t="inlineStr">
        <is>
          <t>Utilities</t>
        </is>
      </c>
      <c r="C1417" t="inlineStr">
        <is>
          <t>UKPN</t>
        </is>
      </c>
      <c r="D1417" t="inlineStr">
        <is>
          <t>DE53NKS , 4x4 , Ford , Ranger</t>
        </is>
      </c>
      <c r="E1417" t="inlineStr">
        <is>
          <t>DE53NKS , 4x4 , Ford , Ranger</t>
        </is>
      </c>
      <c r="F1417" t="inlineStr">
        <is>
          <t>DE53NKS , 4x4 , Ford , Ranger</t>
        </is>
      </c>
      <c r="G1417" t="inlineStr">
        <is>
          <t xml:space="preserve">Jay Denkmayer </t>
        </is>
      </c>
      <c r="H1417" t="inlineStr">
        <is>
          <t>Pickup Truck</t>
        </is>
      </c>
      <c r="I1417" t="inlineStr">
        <is>
          <t>Daily/ Weekly Vehicle Inspection</t>
        </is>
      </c>
      <c r="J1417" t="inlineStr">
        <is>
          <t>N/A</t>
        </is>
      </c>
      <c r="K1417" t="inlineStr">
        <is>
          <t>7186 Eastwoodbury Tree Services Ltd</t>
        </is>
      </c>
      <c r="L1417" t="inlineStr">
        <is>
          <t>05/09/2025 07:21</t>
        </is>
      </c>
      <c r="M1417" t="inlineStr">
        <is>
          <t>None</t>
        </is>
      </c>
      <c r="N1417" t="inlineStr">
        <is>
          <t>&lt;p&gt;&lt;/p&gt;</t>
        </is>
      </c>
      <c r="O1417" t="inlineStr"/>
      <c r="P1417" t="inlineStr">
        <is>
          <t>DE53NKS , 4x4 , Ford , Ranger</t>
        </is>
      </c>
      <c r="Q1417" t="inlineStr">
        <is>
          <t>UKPN</t>
        </is>
      </c>
      <c r="R1417" t="b">
        <v>0</v>
      </c>
    </row>
    <row r="1418">
      <c r="A1418" t="inlineStr">
        <is>
          <t>5 Sep 2025 / 7186 Eastwoodbury Tree Services Ltd / Utilities / UKPN</t>
        </is>
      </c>
      <c r="B1418" t="inlineStr">
        <is>
          <t>Utilities</t>
        </is>
      </c>
      <c r="C1418" t="inlineStr">
        <is>
          <t>UKPN</t>
        </is>
      </c>
      <c r="D1418" t="inlineStr">
        <is>
          <t>AO57BPF , 4x4 , Santana  , Ps10</t>
        </is>
      </c>
      <c r="E1418" t="inlineStr">
        <is>
          <t>AO57BPF , 4x4 , Santana  , Ps10</t>
        </is>
      </c>
      <c r="F1418" t="inlineStr">
        <is>
          <t>AO57BPF , 4x4 , Santana  , Ps10</t>
        </is>
      </c>
      <c r="G1418" t="inlineStr">
        <is>
          <t xml:space="preserve">Tom Price </t>
        </is>
      </c>
      <c r="H1418" t="inlineStr">
        <is>
          <t>4x4</t>
        </is>
      </c>
      <c r="I1418" t="inlineStr">
        <is>
          <t>Daily/ Weekly Vehicle Inspection</t>
        </is>
      </c>
      <c r="J1418" t="inlineStr">
        <is>
          <t>N/A</t>
        </is>
      </c>
      <c r="K1418" t="inlineStr">
        <is>
          <t>7186 Eastwoodbury Tree Services Ltd</t>
        </is>
      </c>
      <c r="L1418" t="inlineStr">
        <is>
          <t>05/09/2025 07:23</t>
        </is>
      </c>
      <c r="M1418" t="inlineStr">
        <is>
          <t>None</t>
        </is>
      </c>
      <c r="N1418" t="inlineStr">
        <is>
          <t>&lt;p&gt;&lt;/p&gt;</t>
        </is>
      </c>
      <c r="O1418" t="inlineStr"/>
      <c r="P1418" t="inlineStr">
        <is>
          <t>AO57BPF , 4x4 , Santana  , Ps10</t>
        </is>
      </c>
      <c r="Q1418" t="inlineStr">
        <is>
          <t>UKPN</t>
        </is>
      </c>
      <c r="R1418" t="b">
        <v>0</v>
      </c>
    </row>
    <row r="1419">
      <c r="A1419" t="inlineStr">
        <is>
          <t>5 Sep 2025 / Anthony Gale / Utilities / UKPN</t>
        </is>
      </c>
      <c r="B1419" t="inlineStr">
        <is>
          <t>Utilities</t>
        </is>
      </c>
      <c r="C1419" t="inlineStr">
        <is>
          <t>UKPN</t>
        </is>
      </c>
      <c r="D1419" t="inlineStr">
        <is>
          <t>PE07 HGL , Vehicle , Mitsubishi , L200 K74</t>
        </is>
      </c>
      <c r="E1419" t="inlineStr">
        <is>
          <t>PE07 HGL , Vehicle , Mitsubishi , L200 K74</t>
        </is>
      </c>
      <c r="F1419" t="inlineStr">
        <is>
          <t>PE07 HGL , Vehicle , Mitsubishi , L200 K74</t>
        </is>
      </c>
      <c r="G1419" t="inlineStr">
        <is>
          <t>Anthony Gale</t>
        </is>
      </c>
      <c r="H1419" t="inlineStr">
        <is>
          <t>Pickup Truck</t>
        </is>
      </c>
      <c r="I1419" t="inlineStr">
        <is>
          <t>Daily/ Weekly Vehicle Inspection</t>
        </is>
      </c>
      <c r="J1419" t="inlineStr">
        <is>
          <t>N/A</t>
        </is>
      </c>
      <c r="K1419" t="inlineStr">
        <is>
          <t>7996 M G Tree Surgery Ltd 1</t>
        </is>
      </c>
      <c r="L1419" t="inlineStr">
        <is>
          <t>05/09/2025 07:24</t>
        </is>
      </c>
      <c r="M1419" t="inlineStr">
        <is>
          <t>None</t>
        </is>
      </c>
      <c r="N1419" t="inlineStr">
        <is>
          <t>&lt;p&gt;&lt;/p&gt;</t>
        </is>
      </c>
      <c r="O1419" t="inlineStr">
        <is>
          <t>Select Vehicle:Drivers side wheel trim peering but secure for now. Monitor.</t>
        </is>
      </c>
      <c r="P1419" t="inlineStr">
        <is>
          <t>PE07 HGL , Vehicle , Mitsubishi , L200 K74</t>
        </is>
      </c>
      <c r="Q1419" t="inlineStr">
        <is>
          <t>UKPN</t>
        </is>
      </c>
      <c r="R1419" t="b">
        <v>0</v>
      </c>
    </row>
    <row r="1420">
      <c r="A1420" t="inlineStr">
        <is>
          <t>5 Sep 2025 / Christopher Simeoli / Utilities / NGED</t>
        </is>
      </c>
      <c r="B1420" t="inlineStr">
        <is>
          <t>Utilities</t>
        </is>
      </c>
      <c r="C1420" t="inlineStr">
        <is>
          <t>NGED</t>
        </is>
      </c>
      <c r="D1420" t="inlineStr">
        <is>
          <t>EO73KVB , Car - Electric , Kia , Niro</t>
        </is>
      </c>
      <c r="E1420" t="inlineStr">
        <is>
          <t>EO73KVB , Car - Electric , Kia , Niro</t>
        </is>
      </c>
      <c r="F1420" t="inlineStr">
        <is>
          <t>EO73KVB , Car - Electric , Kia , Niro</t>
        </is>
      </c>
      <c r="G1420" t="inlineStr">
        <is>
          <t>Chris Simeoli</t>
        </is>
      </c>
      <c r="H1420" t="inlineStr">
        <is>
          <t>Car - Electric (GC Owned)</t>
        </is>
      </c>
      <c r="I1420" t="inlineStr">
        <is>
          <t>Daily/ Weekly Vehicle Inspection</t>
        </is>
      </c>
      <c r="J1420" t="inlineStr">
        <is>
          <t>N/A</t>
        </is>
      </c>
      <c r="K1420" t="inlineStr">
        <is>
          <t>Christopher Simeoli</t>
        </is>
      </c>
      <c r="L1420" t="inlineStr">
        <is>
          <t>05/09/2025 08:21</t>
        </is>
      </c>
      <c r="M1420" t="inlineStr">
        <is>
          <t xml:space="preserve">Confirm that you have checked this vehicle as per the guidance document and the vehicle is safe and roadworthy: Fail
</t>
        </is>
      </c>
      <c r="N1420" t="inlineStr">
        <is>
          <t>&lt;p&gt;&lt;/p&gt;</t>
        </is>
      </c>
      <c r="O1420" t="inlineStr"/>
      <c r="P1420" t="inlineStr">
        <is>
          <t>EO73KVB , Car - Electric , Kia , Niro</t>
        </is>
      </c>
      <c r="Q1420" t="inlineStr">
        <is>
          <t>NGED</t>
        </is>
      </c>
      <c r="R1420" t="b">
        <v>0</v>
      </c>
    </row>
    <row r="1421">
      <c r="A1421" t="inlineStr">
        <is>
          <t>5 Sep 2025 / 6617 Ashdown Tree Limited 1 / Utilities / UKPN</t>
        </is>
      </c>
      <c r="B1421" t="inlineStr">
        <is>
          <t>Utilities</t>
        </is>
      </c>
      <c r="C1421" t="inlineStr">
        <is>
          <t>UKPN</t>
        </is>
      </c>
      <c r="D1421" t="inlineStr">
        <is>
          <t>Plant Trailer - Indespension - 211717 - 211717</t>
        </is>
      </c>
      <c r="E1421" t="inlineStr">
        <is>
          <t>Plant Trailer - Indespension - 211717 - 211717</t>
        </is>
      </c>
      <c r="F1421" t="inlineStr">
        <is>
          <t>Plant Trailer - Indespension - 211717 - 211717</t>
        </is>
      </c>
      <c r="G1421" t="inlineStr">
        <is>
          <t xml:space="preserve">Francislesser </t>
        </is>
      </c>
      <c r="H1421" t="inlineStr">
        <is>
          <t>Plant Trailer</t>
        </is>
      </c>
      <c r="I1421" t="inlineStr">
        <is>
          <t>Daily/ Weekly Vehicle Inspection</t>
        </is>
      </c>
      <c r="J1421" t="inlineStr">
        <is>
          <t>N/A</t>
        </is>
      </c>
      <c r="K1421" t="inlineStr">
        <is>
          <t>6617 Ashdown Tree Limited 1</t>
        </is>
      </c>
      <c r="L1421" t="inlineStr">
        <is>
          <t>05/09/2025 08:21</t>
        </is>
      </c>
      <c r="M1421" t="inlineStr">
        <is>
          <t>None</t>
        </is>
      </c>
      <c r="N1421" t="inlineStr">
        <is>
          <t>&lt;p&gt;&lt;/p&gt;</t>
        </is>
      </c>
      <c r="O1421" t="inlineStr"/>
      <c r="P1421" t="inlineStr">
        <is>
          <t>Plant Trailer - Indespension - 211717 - 211717</t>
        </is>
      </c>
      <c r="Q1421" t="inlineStr">
        <is>
          <t>UKPN</t>
        </is>
      </c>
      <c r="R1421" t="b">
        <v>0</v>
      </c>
    </row>
    <row r="1422">
      <c r="A1422" t="inlineStr">
        <is>
          <t>5 Sep 2025 / 6617 Ashdown Tree Limited 1 / Utilities / UKPN</t>
        </is>
      </c>
      <c r="B1422" t="inlineStr">
        <is>
          <t>Utilities</t>
        </is>
      </c>
      <c r="C1422" t="inlineStr">
        <is>
          <t>UKPN</t>
        </is>
      </c>
      <c r="D1422" t="inlineStr">
        <is>
          <t>GU11LKD , 4x4 , Land Rover , Defender</t>
        </is>
      </c>
      <c r="E1422" t="inlineStr">
        <is>
          <t>GU11LKD , 4x4 , Land Rover , Defender</t>
        </is>
      </c>
      <c r="F1422" t="inlineStr">
        <is>
          <t>GU11LKD , 4x4 , Land Rover , Defender</t>
        </is>
      </c>
      <c r="G1422" t="inlineStr">
        <is>
          <t xml:space="preserve">Francislesser </t>
        </is>
      </c>
      <c r="H1422" t="inlineStr">
        <is>
          <t>4x4</t>
        </is>
      </c>
      <c r="I1422" t="inlineStr">
        <is>
          <t>Daily/ Weekly Vehicle Inspection</t>
        </is>
      </c>
      <c r="J1422" t="inlineStr">
        <is>
          <t>N/A</t>
        </is>
      </c>
      <c r="K1422" t="inlineStr">
        <is>
          <t>6617 Ashdown Tree Limited 1</t>
        </is>
      </c>
      <c r="L1422" t="inlineStr">
        <is>
          <t>05/09/2025 11:48</t>
        </is>
      </c>
      <c r="M1422" t="inlineStr">
        <is>
          <t>None</t>
        </is>
      </c>
      <c r="N1422" t="inlineStr">
        <is>
          <t>&lt;p&gt;&lt;/p&gt;</t>
        </is>
      </c>
      <c r="O1422" t="inlineStr"/>
      <c r="P1422" t="inlineStr">
        <is>
          <t>GU11LKD , 4x4 , Land Rover , Defender</t>
        </is>
      </c>
      <c r="Q1422" t="inlineStr">
        <is>
          <t>UKPN</t>
        </is>
      </c>
      <c r="R1422" t="b">
        <v>0</v>
      </c>
    </row>
    <row r="1423">
      <c r="A1423" t="inlineStr">
        <is>
          <t>5 Sep 2025 / 7996 M G Tree Surgery Ltd / Utilities / UKPN</t>
        </is>
      </c>
      <c r="B1423" t="inlineStr">
        <is>
          <t>Utilities</t>
        </is>
      </c>
      <c r="C1423" t="inlineStr">
        <is>
          <t>UKPN</t>
        </is>
      </c>
      <c r="D1423" t="inlineStr">
        <is>
          <t>GU13 WNL , MEWP , Land Rover , Defender 130</t>
        </is>
      </c>
      <c r="E1423" t="inlineStr">
        <is>
          <t>GU13 WNL , MEWP , Land Rover , Defender 130</t>
        </is>
      </c>
      <c r="F1423" t="inlineStr">
        <is>
          <t>GU13 WNL , MEWP , Land Rover , Defender 130</t>
        </is>
      </c>
      <c r="G1423" t="inlineStr">
        <is>
          <t>Max</t>
        </is>
      </c>
      <c r="H1423" t="inlineStr">
        <is>
          <t>Pickup Truck</t>
        </is>
      </c>
      <c r="I1423" t="inlineStr">
        <is>
          <t>Daily/ Weekly Vehicle Inspection</t>
        </is>
      </c>
      <c r="J1423" t="inlineStr">
        <is>
          <t>N/A</t>
        </is>
      </c>
      <c r="K1423" t="inlineStr">
        <is>
          <t>7996 M G Tree Surgery Ltd</t>
        </is>
      </c>
      <c r="L1423" t="inlineStr">
        <is>
          <t>05/09/2025 11:50</t>
        </is>
      </c>
      <c r="M1423" t="inlineStr">
        <is>
          <t>None</t>
        </is>
      </c>
      <c r="N1423" t="inlineStr">
        <is>
          <t>&lt;p&gt;&lt;/p&gt;</t>
        </is>
      </c>
      <c r="O1423" t="inlineStr"/>
      <c r="P1423" t="inlineStr">
        <is>
          <t>GU13 WNL , MEWP , Land Rover , Defender 130</t>
        </is>
      </c>
      <c r="Q1423" t="inlineStr">
        <is>
          <t>UKPN</t>
        </is>
      </c>
      <c r="R1423" t="b">
        <v>0</v>
      </c>
    </row>
    <row r="1424">
      <c r="A1424" t="inlineStr">
        <is>
          <t>5 Sep 2025 / Thomas Playford / Utilities / UKPN</t>
        </is>
      </c>
      <c r="B1424" t="inlineStr">
        <is>
          <t>Utilities</t>
        </is>
      </c>
      <c r="C1424" t="inlineStr">
        <is>
          <t>UKPN</t>
        </is>
      </c>
      <c r="D1424" t="inlineStr">
        <is>
          <t>SA9ST800000283944 , Tow Chipper , Forst , ST8D - Towed</t>
        </is>
      </c>
      <c r="E1424" t="inlineStr">
        <is>
          <t>SA9ST800000283944 , Tow Chipper , Forst , ST8D - Towed</t>
        </is>
      </c>
      <c r="F1424" t="inlineStr">
        <is>
          <t>SA9ST800000283944 , Tow Chipper , Forst , ST8D - Towed</t>
        </is>
      </c>
      <c r="G1424" t="inlineStr">
        <is>
          <t>Jacob Oram</t>
        </is>
      </c>
      <c r="H1424" t="inlineStr">
        <is>
          <t>Towed Chipper</t>
        </is>
      </c>
      <c r="I1424" t="inlineStr">
        <is>
          <t>Daily/ Weekly Vehicle Inspection</t>
        </is>
      </c>
      <c r="J1424" t="inlineStr">
        <is>
          <t>N/A</t>
        </is>
      </c>
      <c r="K1424" t="inlineStr">
        <is>
          <t>7995 Contour Landscapes Ltd 2</t>
        </is>
      </c>
      <c r="L1424" t="inlineStr">
        <is>
          <t>05/09/2025 11:50</t>
        </is>
      </c>
      <c r="M1424" t="inlineStr">
        <is>
          <t>None</t>
        </is>
      </c>
      <c r="N1424" t="inlineStr">
        <is>
          <t>&lt;p&gt;&lt;/p&gt;</t>
        </is>
      </c>
      <c r="O1424" t="inlineStr"/>
      <c r="P1424" t="inlineStr">
        <is>
          <t>SA9ST800000283944 , Tow Chipper , Forst , ST8D - Towed</t>
        </is>
      </c>
      <c r="Q1424" t="inlineStr">
        <is>
          <t>UKPN</t>
        </is>
      </c>
      <c r="R1424" t="b">
        <v>0</v>
      </c>
    </row>
    <row r="1425">
      <c r="A1425" t="inlineStr">
        <is>
          <t>5 Sep 2025 / Thomas Playford / Utilities / UKPN</t>
        </is>
      </c>
      <c r="B1425" t="inlineStr">
        <is>
          <t>Utilities</t>
        </is>
      </c>
      <c r="C1425" t="inlineStr">
        <is>
          <t>UKPN</t>
        </is>
      </c>
      <c r="D1425" t="inlineStr">
        <is>
          <t>YP24 WRD , Vehicle , Ford , Ranger</t>
        </is>
      </c>
      <c r="E1425" t="inlineStr">
        <is>
          <t>YP24 WRD , Vehicle , Ford , Ranger</t>
        </is>
      </c>
      <c r="F1425" t="inlineStr">
        <is>
          <t>YP24 WRD , Vehicle , Ford , Ranger</t>
        </is>
      </c>
      <c r="G1425" t="inlineStr">
        <is>
          <t>Jacob Oram</t>
        </is>
      </c>
      <c r="H1425" t="inlineStr">
        <is>
          <t>4x4</t>
        </is>
      </c>
      <c r="I1425" t="inlineStr">
        <is>
          <t>Daily/ Weekly Vehicle Inspection</t>
        </is>
      </c>
      <c r="J1425" t="inlineStr">
        <is>
          <t>N/A</t>
        </is>
      </c>
      <c r="K1425" t="inlineStr">
        <is>
          <t>7995 Contour Landscapes Ltd 2</t>
        </is>
      </c>
      <c r="L1425" t="inlineStr">
        <is>
          <t>05/09/2025 11:51</t>
        </is>
      </c>
      <c r="M1425" t="inlineStr">
        <is>
          <t>None</t>
        </is>
      </c>
      <c r="N1425" t="inlineStr">
        <is>
          <t>&lt;p&gt;&lt;/p&gt;</t>
        </is>
      </c>
      <c r="O1425" t="inlineStr"/>
      <c r="P1425" t="inlineStr">
        <is>
          <t>YP24 WRD , Vehicle , Ford , Ranger</t>
        </is>
      </c>
      <c r="Q1425" t="inlineStr">
        <is>
          <t>UKPN</t>
        </is>
      </c>
      <c r="R1425" t="b">
        <v>0</v>
      </c>
    </row>
    <row r="1426">
      <c r="A1426" t="inlineStr">
        <is>
          <t>5 Sep 2025 / Martin Rawlings / Utilities / NGED</t>
        </is>
      </c>
      <c r="B1426" t="inlineStr">
        <is>
          <t>Utilities</t>
        </is>
      </c>
      <c r="C1426" t="inlineStr">
        <is>
          <t>NGED</t>
        </is>
      </c>
      <c r="D1426" t="inlineStr"/>
      <c r="E1426" t="inlineStr"/>
      <c r="F1426" t="inlineStr"/>
      <c r="G1426" t="inlineStr">
        <is>
          <t>Martin Rawlings</t>
        </is>
      </c>
      <c r="H1426" t="inlineStr">
        <is>
          <t>Car - Petrol</t>
        </is>
      </c>
      <c r="I1426" t="inlineStr">
        <is>
          <t>Daily/ Weekly Vehicle Inspection</t>
        </is>
      </c>
      <c r="J1426" t="inlineStr">
        <is>
          <t>N/A</t>
        </is>
      </c>
      <c r="K1426" t="inlineStr">
        <is>
          <t>Martin Rawlings</t>
        </is>
      </c>
      <c r="L1426" t="inlineStr">
        <is>
          <t>05/09/2025 13:19</t>
        </is>
      </c>
      <c r="M1426" t="inlineStr">
        <is>
          <t>None</t>
        </is>
      </c>
      <c r="N1426" t="inlineStr">
        <is>
          <t>&lt;p&gt;&lt;/p&gt;</t>
        </is>
      </c>
      <c r="O1426" t="inlineStr"/>
      <c r="P1426" t="inlineStr"/>
      <c r="Q1426" t="inlineStr">
        <is>
          <t>NGED</t>
        </is>
      </c>
      <c r="R1426" t="b">
        <v>0</v>
      </c>
    </row>
    <row r="1427">
      <c r="A1427" t="inlineStr">
        <is>
          <t>8 Sep 2025 / 7889 Tree Tech Suffolk Ltd</t>
        </is>
      </c>
      <c r="B1427" t="inlineStr">
        <is>
          <t>Utilities &amp; Inland Waterways</t>
        </is>
      </c>
      <c r="C1427" t="inlineStr">
        <is>
          <t>UKPN</t>
        </is>
      </c>
      <c r="D1427" t="inlineStr">
        <is>
          <t>Tow Chipper - Jenson - A530L - 55210639484x4 - Isuzu - D-max - NS03 TTSTipper - Nissan - Navara - NS02TTS</t>
        </is>
      </c>
      <c r="E1427" t="inlineStr">
        <is>
          <t>Tow Chipper - Jenson - A530L - 55210639484x4 - Isuzu - D-max - NS03 TTSTipper - Nissan - Navara - NS02TTS</t>
        </is>
      </c>
      <c r="F1427" t="inlineStr">
        <is>
          <t>Tow Chipper - Jenson - A530L - 55210639484x4 - Isuzu - D-max - NS03 TTSTipper - Nissan - Navara - NS02TTS</t>
        </is>
      </c>
      <c r="G1427" t="inlineStr">
        <is>
          <t xml:space="preserve">Danny Appleby Danny Appleby Nikki sparrow </t>
        </is>
      </c>
      <c r="H1427" t="inlineStr">
        <is>
          <t>Towed Chipper4x4Tipper</t>
        </is>
      </c>
      <c r="I1427" t="inlineStr">
        <is>
          <t>Daily/ Weekly Vehicle Inspection</t>
        </is>
      </c>
      <c r="J1427" t="inlineStr">
        <is>
          <t>N/A</t>
        </is>
      </c>
      <c r="K1427" t="inlineStr">
        <is>
          <t>7889 Tree Tech Suffolk Ltd</t>
        </is>
      </c>
      <c r="L1427" t="inlineStr">
        <is>
          <t>08/09/2025 07:21</t>
        </is>
      </c>
      <c r="M1427" t="inlineStr">
        <is>
          <t>None</t>
        </is>
      </c>
      <c r="N1427" t="inlineStr">
        <is>
          <t>&lt;p&gt;&lt;/p&gt;</t>
        </is>
      </c>
      <c r="O1427" t="inlineStr">
        <is>
          <t>Select Vehicle:Using another chipper while ours is being fixed. Has no wheel nut indicatorsSelect Vehicle:KX65 FCZ. Tried adding vehicle but not showing up. Intermittent fault on side lights.Select Vehicle:Ns05 TTS. Land Rover discovery. Tried adding vehicle but not showing up</t>
        </is>
      </c>
      <c r="P1427" t="inlineStr">
        <is>
          <t>Tow Chipper - Jenson - A530L - 55210639484x4 - Isuzu - D-max - NS03 TTSTipper - Nissan - Navara - NS02TTS</t>
        </is>
      </c>
      <c r="Q1427" t="inlineStr">
        <is>
          <t>UKPN</t>
        </is>
      </c>
      <c r="R1427" t="b">
        <v>0</v>
      </c>
    </row>
    <row r="1428">
      <c r="A1428" t="inlineStr">
        <is>
          <t>8 Sep 2025 / 7800 MAC Tree Surgery and Fencing Ltd</t>
        </is>
      </c>
      <c r="B1428" t="inlineStr">
        <is>
          <t>Utilities &amp; Inland Waterways</t>
        </is>
      </c>
      <c r="C1428" t="inlineStr">
        <is>
          <t>UKPN</t>
        </is>
      </c>
      <c r="D1428" t="inlineStr">
        <is>
          <t>AY68DAA , 4x4 , Izuzu , Dmax</t>
        </is>
      </c>
      <c r="E1428" t="inlineStr">
        <is>
          <t>AY68DAA , 4x4 , Izuzu , Dmax</t>
        </is>
      </c>
      <c r="F1428" t="inlineStr">
        <is>
          <t>AY68DAA , 4x4 , Izuzu , Dmax</t>
        </is>
      </c>
      <c r="G1428" t="inlineStr">
        <is>
          <t xml:space="preserve">Lewis mac </t>
        </is>
      </c>
      <c r="H1428" t="inlineStr">
        <is>
          <t>4x4</t>
        </is>
      </c>
      <c r="I1428" t="inlineStr">
        <is>
          <t>Daily/ Weekly Vehicle Inspection</t>
        </is>
      </c>
      <c r="J1428" t="inlineStr">
        <is>
          <t>N/A</t>
        </is>
      </c>
      <c r="K1428" t="inlineStr">
        <is>
          <t>7800 MAC Tree Surgery and Fencing Ltd</t>
        </is>
      </c>
      <c r="L1428" t="inlineStr">
        <is>
          <t>08/09/2025 08:19</t>
        </is>
      </c>
      <c r="M1428" t="inlineStr">
        <is>
          <t>None</t>
        </is>
      </c>
      <c r="N1428" t="inlineStr">
        <is>
          <t>&lt;p&gt;&lt;/p&gt;</t>
        </is>
      </c>
      <c r="O1428" t="inlineStr"/>
      <c r="P1428" t="inlineStr">
        <is>
          <t>AY68DAA , 4x4 , Izuzu , Dmax</t>
        </is>
      </c>
      <c r="Q1428" t="inlineStr">
        <is>
          <t>UKPN</t>
        </is>
      </c>
      <c r="R1428" t="b">
        <v>0</v>
      </c>
    </row>
    <row r="1429">
      <c r="A1429" t="inlineStr">
        <is>
          <t>8 Sep 2025 / 7806 Optimum Tree Services Ltd / Utilities / UKPN</t>
        </is>
      </c>
      <c r="B1429" t="inlineStr">
        <is>
          <t>Utilities</t>
        </is>
      </c>
      <c r="C1429" t="inlineStr">
        <is>
          <t>UKPN</t>
        </is>
      </c>
      <c r="D1429" t="inlineStr">
        <is>
          <t>SA9TAPLAF27414263 , Trailer , Tow Mate , Plant Trailer</t>
        </is>
      </c>
      <c r="E1429" t="inlineStr">
        <is>
          <t>SA9TAPLAF27414263 , Trailer , Tow Mate , Plant Trailer</t>
        </is>
      </c>
      <c r="F1429" t="inlineStr">
        <is>
          <t>SA9TAPLAF27414263 , Trailer , Tow Mate , Plant Trailer</t>
        </is>
      </c>
      <c r="G1429" t="inlineStr">
        <is>
          <t xml:space="preserve">Abraham Davies </t>
        </is>
      </c>
      <c r="H1429" t="inlineStr">
        <is>
          <t>Plant Trailer</t>
        </is>
      </c>
      <c r="I1429" t="inlineStr">
        <is>
          <t>Daily/ Weekly Vehicle Inspection</t>
        </is>
      </c>
      <c r="J1429" t="inlineStr">
        <is>
          <t>N/A</t>
        </is>
      </c>
      <c r="K1429" t="inlineStr">
        <is>
          <t>7806 Optimum Tree Services Ltd</t>
        </is>
      </c>
      <c r="L1429" t="inlineStr">
        <is>
          <t>08/09/2025 08:29</t>
        </is>
      </c>
      <c r="M1429" t="inlineStr">
        <is>
          <t>None</t>
        </is>
      </c>
      <c r="N1429" t="inlineStr">
        <is>
          <t>&lt;p&gt;&lt;/p&gt;</t>
        </is>
      </c>
      <c r="O1429" t="inlineStr"/>
      <c r="P1429" t="inlineStr">
        <is>
          <t>SA9TAPLAF27414263 , Trailer , Tow Mate , Plant Trailer</t>
        </is>
      </c>
      <c r="Q1429" t="inlineStr">
        <is>
          <t>UKPN</t>
        </is>
      </c>
      <c r="R1429" t="b">
        <v>0</v>
      </c>
    </row>
    <row r="1430">
      <c r="A1430" t="inlineStr">
        <is>
          <t>8 Sep 2025 / 7806 Optimum Tree Services Ltd / Utilities / UKPN</t>
        </is>
      </c>
      <c r="B1430" t="inlineStr">
        <is>
          <t>Utilities</t>
        </is>
      </c>
      <c r="C1430" t="inlineStr">
        <is>
          <t>UKPN</t>
        </is>
      </c>
      <c r="D1430" t="inlineStr">
        <is>
          <t>WD14EVB , MEWP , Land Rover , Defender</t>
        </is>
      </c>
      <c r="E1430" t="inlineStr">
        <is>
          <t>WD14EVB , MEWP , Land Rover , Defender</t>
        </is>
      </c>
      <c r="F1430" t="inlineStr">
        <is>
          <t>WD14EVB , MEWP , Land Rover , Defender</t>
        </is>
      </c>
      <c r="G1430" t="inlineStr">
        <is>
          <t xml:space="preserve">Abraham Davies </t>
        </is>
      </c>
      <c r="H1430" t="inlineStr">
        <is>
          <t>4x4</t>
        </is>
      </c>
      <c r="I1430" t="inlineStr">
        <is>
          <t>Daily/ Weekly Vehicle Inspection</t>
        </is>
      </c>
      <c r="J1430" t="inlineStr">
        <is>
          <t>N/A</t>
        </is>
      </c>
      <c r="K1430" t="inlineStr">
        <is>
          <t>7806 Optimum Tree Services Ltd</t>
        </is>
      </c>
      <c r="L1430" t="inlineStr">
        <is>
          <t>08/09/2025 08:30</t>
        </is>
      </c>
      <c r="M1430" t="inlineStr">
        <is>
          <t>None</t>
        </is>
      </c>
      <c r="N1430" t="inlineStr">
        <is>
          <t>&lt;p&gt;&lt;/p&gt;</t>
        </is>
      </c>
      <c r="O1430" t="inlineStr"/>
      <c r="P1430" t="inlineStr">
        <is>
          <t>WD14EVB , MEWP , Land Rover , Defender</t>
        </is>
      </c>
      <c r="Q1430" t="inlineStr">
        <is>
          <t>UKPN</t>
        </is>
      </c>
      <c r="R1430" t="b">
        <v>0</v>
      </c>
    </row>
    <row r="1431">
      <c r="A1431" t="inlineStr">
        <is>
          <t>8 Sep 2025 / 7951 Austin Tree Care LTD / Utilities / UKPN</t>
        </is>
      </c>
      <c r="B1431" t="inlineStr">
        <is>
          <t>Utilities</t>
        </is>
      </c>
      <c r="C1431" t="inlineStr">
        <is>
          <t>UKPN</t>
        </is>
      </c>
      <c r="D1431" t="inlineStr">
        <is>
          <t>SA9ST6P0001283612 , Tow Chipper , Forst , ST6p</t>
        </is>
      </c>
      <c r="E1431" t="inlineStr">
        <is>
          <t>SA9ST6P0001283612 , Tow Chipper , Forst , ST6p</t>
        </is>
      </c>
      <c r="F1431" t="inlineStr">
        <is>
          <t>SA9ST6P0001283612 , Tow Chipper , Forst , ST6p</t>
        </is>
      </c>
      <c r="G1431" t="inlineStr">
        <is>
          <t xml:space="preserve">Jack Austin </t>
        </is>
      </c>
      <c r="H1431" t="inlineStr">
        <is>
          <t>Towed Chipper</t>
        </is>
      </c>
      <c r="I1431" t="inlineStr">
        <is>
          <t>Daily/ Weekly Vehicle Inspection</t>
        </is>
      </c>
      <c r="J1431" t="inlineStr">
        <is>
          <t>N/A</t>
        </is>
      </c>
      <c r="K1431" t="inlineStr">
        <is>
          <t>7951 Austin Tree Care LTD</t>
        </is>
      </c>
      <c r="L1431" t="inlineStr">
        <is>
          <t>08/09/2025 08:31</t>
        </is>
      </c>
      <c r="M1431" t="inlineStr">
        <is>
          <t>None</t>
        </is>
      </c>
      <c r="N1431" t="inlineStr">
        <is>
          <t>&lt;p&gt;&lt;/p&gt;</t>
        </is>
      </c>
      <c r="O1431" t="inlineStr"/>
      <c r="P1431" t="inlineStr">
        <is>
          <t>SA9ST6P0001283612 , Tow Chipper , Forst , ST6p</t>
        </is>
      </c>
      <c r="Q1431" t="inlineStr">
        <is>
          <t>UKPN</t>
        </is>
      </c>
      <c r="R1431" t="b">
        <v>0</v>
      </c>
    </row>
    <row r="1432">
      <c r="A1432" t="inlineStr">
        <is>
          <t>8 Sep 2025 / Thomas Playford / Utilities / UKPN</t>
        </is>
      </c>
      <c r="B1432" t="inlineStr">
        <is>
          <t>Utilities</t>
        </is>
      </c>
      <c r="C1432" t="inlineStr">
        <is>
          <t>UKPN</t>
        </is>
      </c>
      <c r="D1432" t="inlineStr">
        <is>
          <t>SA9ST800000283944 , Tow Chipper , Forst , ST8D - Towed</t>
        </is>
      </c>
      <c r="E1432" t="inlineStr">
        <is>
          <t>SA9ST800000283944 , Tow Chipper , Forst , ST8D - Towed</t>
        </is>
      </c>
      <c r="F1432" t="inlineStr">
        <is>
          <t>SA9ST800000283944 , Tow Chipper , Forst , ST8D - Towed</t>
        </is>
      </c>
      <c r="G1432" t="inlineStr">
        <is>
          <t>Jacob Oram</t>
        </is>
      </c>
      <c r="H1432" t="inlineStr">
        <is>
          <t>Towed Chipper</t>
        </is>
      </c>
      <c r="I1432" t="inlineStr">
        <is>
          <t>Daily/ Weekly Vehicle Inspection</t>
        </is>
      </c>
      <c r="J1432" t="inlineStr">
        <is>
          <t>N/A</t>
        </is>
      </c>
      <c r="K1432" t="inlineStr">
        <is>
          <t>7995 Contour Landscapes Ltd 2</t>
        </is>
      </c>
      <c r="L1432" t="inlineStr">
        <is>
          <t>08/09/2025 08:32</t>
        </is>
      </c>
      <c r="M1432" t="inlineStr">
        <is>
          <t>None</t>
        </is>
      </c>
      <c r="N1432" t="inlineStr">
        <is>
          <t>&lt;p&gt;&lt;/p&gt;</t>
        </is>
      </c>
      <c r="O1432" t="inlineStr"/>
      <c r="P1432" t="inlineStr">
        <is>
          <t>SA9ST800000283944 , Tow Chipper , Forst , ST8D - Towed</t>
        </is>
      </c>
      <c r="Q1432" t="inlineStr">
        <is>
          <t>UKPN</t>
        </is>
      </c>
      <c r="R1432" t="b">
        <v>0</v>
      </c>
    </row>
    <row r="1433">
      <c r="A1433" t="inlineStr">
        <is>
          <t>8 Sep 2025 / 7951 Austin Tree Care LTD / Utilities / UKPN</t>
        </is>
      </c>
      <c r="B1433" t="inlineStr">
        <is>
          <t>Utilities</t>
        </is>
      </c>
      <c r="C1433" t="inlineStr">
        <is>
          <t>UKPN</t>
        </is>
      </c>
      <c r="D1433" t="inlineStr">
        <is>
          <t>WF61 HZV , 4x4 MEWP , Land Rover , Defender</t>
        </is>
      </c>
      <c r="E1433" t="inlineStr">
        <is>
          <t>WF61 HZV , 4x4 MEWP , Land Rover , Defender</t>
        </is>
      </c>
      <c r="F1433" t="inlineStr">
        <is>
          <t>WF61 HZV , 4x4 MEWP , Land Rover , Defender</t>
        </is>
      </c>
      <c r="G1433" t="inlineStr">
        <is>
          <t xml:space="preserve">Jack Austin </t>
        </is>
      </c>
      <c r="H1433" t="inlineStr">
        <is>
          <t>4x4</t>
        </is>
      </c>
      <c r="I1433" t="inlineStr">
        <is>
          <t>Daily/ Weekly Vehicle Inspection</t>
        </is>
      </c>
      <c r="J1433" t="inlineStr">
        <is>
          <t>N/A</t>
        </is>
      </c>
      <c r="K1433" t="inlineStr">
        <is>
          <t>7951 Austin Tree Care LTD</t>
        </is>
      </c>
      <c r="L1433" t="inlineStr">
        <is>
          <t>08/09/2025 08:33</t>
        </is>
      </c>
      <c r="M1433" t="inlineStr">
        <is>
          <t>None</t>
        </is>
      </c>
      <c r="N1433" t="inlineStr">
        <is>
          <t>&lt;p&gt;&lt;/p&gt;</t>
        </is>
      </c>
      <c r="O1433" t="inlineStr"/>
      <c r="P1433" t="inlineStr">
        <is>
          <t>WF61 HZV , 4x4 MEWP , Land Rover , Defender</t>
        </is>
      </c>
      <c r="Q1433" t="inlineStr">
        <is>
          <t>UKPN</t>
        </is>
      </c>
      <c r="R1433" t="b">
        <v>0</v>
      </c>
    </row>
    <row r="1434">
      <c r="A1434" t="inlineStr">
        <is>
          <t>8 Sep 2025 / Thomas Playford / Utilities / UKPN</t>
        </is>
      </c>
      <c r="B1434" t="inlineStr">
        <is>
          <t>Utilities</t>
        </is>
      </c>
      <c r="C1434" t="inlineStr">
        <is>
          <t>UKPN</t>
        </is>
      </c>
      <c r="D1434" t="inlineStr">
        <is>
          <t>YP24 WRD , Vehicle , Ford , Ranger</t>
        </is>
      </c>
      <c r="E1434" t="inlineStr">
        <is>
          <t>YP24 WRD , Vehicle , Ford , Ranger</t>
        </is>
      </c>
      <c r="F1434" t="inlineStr">
        <is>
          <t>YP24 WRD , Vehicle , Ford , Ranger</t>
        </is>
      </c>
      <c r="G1434" t="inlineStr">
        <is>
          <t>Jacob Oram</t>
        </is>
      </c>
      <c r="H1434" t="inlineStr">
        <is>
          <t>4x4</t>
        </is>
      </c>
      <c r="I1434" t="inlineStr">
        <is>
          <t>Daily/ Weekly Vehicle Inspection</t>
        </is>
      </c>
      <c r="J1434" t="inlineStr">
        <is>
          <t>N/A</t>
        </is>
      </c>
      <c r="K1434" t="inlineStr">
        <is>
          <t>7995 Contour Landscapes Ltd 2</t>
        </is>
      </c>
      <c r="L1434" t="inlineStr">
        <is>
          <t>08/09/2025 08:34</t>
        </is>
      </c>
      <c r="M1434" t="inlineStr">
        <is>
          <t>None</t>
        </is>
      </c>
      <c r="N1434" t="inlineStr">
        <is>
          <t>&lt;p&gt;&lt;/p&gt;</t>
        </is>
      </c>
      <c r="O1434" t="inlineStr"/>
      <c r="P1434" t="inlineStr">
        <is>
          <t>YP24 WRD , Vehicle , Ford , Ranger</t>
        </is>
      </c>
      <c r="Q1434" t="inlineStr">
        <is>
          <t>UKPN</t>
        </is>
      </c>
      <c r="R1434" t="b">
        <v>0</v>
      </c>
    </row>
    <row r="1435">
      <c r="A1435" t="inlineStr">
        <is>
          <t>8 Sep 2025 / 7186 Eastwoodbury Tree Services Ltd / Utilities / UKPN</t>
        </is>
      </c>
      <c r="B1435" t="inlineStr">
        <is>
          <t>Utilities</t>
        </is>
      </c>
      <c r="C1435" t="inlineStr">
        <is>
          <t>UKPN</t>
        </is>
      </c>
      <c r="D1435" t="inlineStr">
        <is>
          <t>AO57BPF , 4x4 , Santana  , Ps10</t>
        </is>
      </c>
      <c r="E1435" t="inlineStr">
        <is>
          <t>AO57BPF , 4x4 , Santana  , Ps10</t>
        </is>
      </c>
      <c r="F1435" t="inlineStr">
        <is>
          <t>AO57BPF , 4x4 , Santana  , Ps10</t>
        </is>
      </c>
      <c r="G1435" t="inlineStr">
        <is>
          <t xml:space="preserve">Jay Denkmayer </t>
        </is>
      </c>
      <c r="H1435" t="inlineStr">
        <is>
          <t>4x4</t>
        </is>
      </c>
      <c r="I1435" t="inlineStr">
        <is>
          <t>Daily/ Weekly Vehicle Inspection</t>
        </is>
      </c>
      <c r="J1435" t="inlineStr">
        <is>
          <t>N/A</t>
        </is>
      </c>
      <c r="K1435" t="inlineStr">
        <is>
          <t>7186 Eastwoodbury Tree Services Ltd</t>
        </is>
      </c>
      <c r="L1435" t="inlineStr">
        <is>
          <t>08/09/2025 08:37</t>
        </is>
      </c>
      <c r="M1435" t="inlineStr">
        <is>
          <t>None</t>
        </is>
      </c>
      <c r="N1435" t="inlineStr">
        <is>
          <t>&lt;p&gt;&lt;/p&gt;</t>
        </is>
      </c>
      <c r="O1435" t="inlineStr"/>
      <c r="P1435" t="inlineStr">
        <is>
          <t>AO57BPF , 4x4 , Santana  , Ps10</t>
        </is>
      </c>
      <c r="Q1435" t="inlineStr">
        <is>
          <t>UKPN</t>
        </is>
      </c>
      <c r="R1435" t="b">
        <v>0</v>
      </c>
    </row>
    <row r="1436">
      <c r="A1436" t="inlineStr">
        <is>
          <t>8 Sep 2025 / 7186 Eastwoodbury Tree Services Ltd / Utilities / UKPN</t>
        </is>
      </c>
      <c r="B1436" t="inlineStr">
        <is>
          <t>Utilities</t>
        </is>
      </c>
      <c r="C1436" t="inlineStr">
        <is>
          <t>UKPN</t>
        </is>
      </c>
      <c r="D1436" t="inlineStr">
        <is>
          <t>FN600XM , 4x4 , Land Rover  , Defender</t>
        </is>
      </c>
      <c r="E1436" t="inlineStr">
        <is>
          <t>FN600XM , 4x4 , Land Rover  , Defender</t>
        </is>
      </c>
      <c r="F1436" t="inlineStr">
        <is>
          <t>FN600XM , 4x4 , Land Rover  , Defender</t>
        </is>
      </c>
      <c r="G1436" t="inlineStr">
        <is>
          <t xml:space="preserve">Dan Gilbert </t>
        </is>
      </c>
      <c r="H1436" t="inlineStr">
        <is>
          <t>4x4</t>
        </is>
      </c>
      <c r="I1436" t="inlineStr">
        <is>
          <t>Daily/ Weekly Vehicle Inspection</t>
        </is>
      </c>
      <c r="J1436" t="inlineStr">
        <is>
          <t>N/A</t>
        </is>
      </c>
      <c r="K1436" t="inlineStr">
        <is>
          <t>7186 Eastwoodbury Tree Services Ltd</t>
        </is>
      </c>
      <c r="L1436" t="inlineStr">
        <is>
          <t>08/09/2025 08:37</t>
        </is>
      </c>
      <c r="M1436" t="inlineStr">
        <is>
          <t>None</t>
        </is>
      </c>
      <c r="N1436" t="inlineStr">
        <is>
          <t>&lt;p&gt;&lt;/p&gt;</t>
        </is>
      </c>
      <c r="O1436" t="inlineStr"/>
      <c r="P1436" t="inlineStr">
        <is>
          <t>FN600XM , 4x4 , Land Rover  , Defender</t>
        </is>
      </c>
      <c r="Q1436" t="inlineStr">
        <is>
          <t>UKPN</t>
        </is>
      </c>
      <c r="R1436" t="b">
        <v>0</v>
      </c>
    </row>
    <row r="1437">
      <c r="A1437" t="inlineStr">
        <is>
          <t>8 Sep 2025 / 3098 D &amp; R Landscapes (PEND Arb Rail) / Utilities / UKPN</t>
        </is>
      </c>
      <c r="B1437" t="inlineStr">
        <is>
          <t>Utilities</t>
        </is>
      </c>
      <c r="C1437" t="inlineStr">
        <is>
          <t>UKPN</t>
        </is>
      </c>
      <c r="D1437" t="inlineStr">
        <is>
          <t>FX17YVM , Vehicle , Nissan , Navara</t>
        </is>
      </c>
      <c r="E1437" t="inlineStr">
        <is>
          <t>FX17YVM , Vehicle , Nissan , Navara</t>
        </is>
      </c>
      <c r="F1437" t="inlineStr">
        <is>
          <t>FX17YVM , Vehicle , Nissan , Navara</t>
        </is>
      </c>
      <c r="G1437" t="inlineStr">
        <is>
          <t xml:space="preserve">Chris </t>
        </is>
      </c>
      <c r="H1437" t="inlineStr">
        <is>
          <t>Pickup Truck</t>
        </is>
      </c>
      <c r="I1437" t="inlineStr">
        <is>
          <t>Daily/ Weekly Vehicle Inspection</t>
        </is>
      </c>
      <c r="J1437" t="inlineStr">
        <is>
          <t>N/A</t>
        </is>
      </c>
      <c r="K1437" t="inlineStr">
        <is>
          <t>3098 D &amp; R Landscapes</t>
        </is>
      </c>
      <c r="L1437" t="inlineStr">
        <is>
          <t>08/09/2025 09:24</t>
        </is>
      </c>
      <c r="M1437" t="inlineStr">
        <is>
          <t>None</t>
        </is>
      </c>
      <c r="N1437" t="inlineStr">
        <is>
          <t>&lt;p&gt;&lt;/p&gt;</t>
        </is>
      </c>
      <c r="O1437" t="inlineStr"/>
      <c r="P1437" t="inlineStr">
        <is>
          <t>FX17YVM , Vehicle , Nissan , Navara</t>
        </is>
      </c>
      <c r="Q1437" t="inlineStr">
        <is>
          <t>UKPN</t>
        </is>
      </c>
      <c r="R1437" t="b">
        <v>0</v>
      </c>
    </row>
    <row r="1438">
      <c r="A1438" t="inlineStr">
        <is>
          <t>8 Sep 2025 / 3098 D &amp; R Landscapes (PEND Arb Rail) / Utilities / UKPN</t>
        </is>
      </c>
      <c r="B1438" t="inlineStr">
        <is>
          <t>Utilities</t>
        </is>
      </c>
      <c r="C1438" t="inlineStr">
        <is>
          <t>UKPN</t>
        </is>
      </c>
      <c r="D1438" t="inlineStr">
        <is>
          <t>Vehicle - Nissan - Navara - BT20 GNZ</t>
        </is>
      </c>
      <c r="E1438" t="inlineStr">
        <is>
          <t>Vehicle - Nissan - Navara - BT20 GNZ</t>
        </is>
      </c>
      <c r="F1438" t="inlineStr">
        <is>
          <t>Vehicle - Nissan - Navara - BT20 GNZ</t>
        </is>
      </c>
      <c r="G1438" t="inlineStr">
        <is>
          <t xml:space="preserve">Jason </t>
        </is>
      </c>
      <c r="H1438" t="inlineStr">
        <is>
          <t>Pickup Truck</t>
        </is>
      </c>
      <c r="I1438" t="inlineStr">
        <is>
          <t>Daily/ Weekly Vehicle Inspection</t>
        </is>
      </c>
      <c r="J1438" t="inlineStr">
        <is>
          <t>N/A</t>
        </is>
      </c>
      <c r="K1438" t="inlineStr">
        <is>
          <t>3098 D &amp; R Landscapes</t>
        </is>
      </c>
      <c r="L1438" t="inlineStr">
        <is>
          <t>08/09/2025 09:25</t>
        </is>
      </c>
      <c r="M1438" t="inlineStr">
        <is>
          <t>None</t>
        </is>
      </c>
      <c r="N1438" t="inlineStr">
        <is>
          <t>&lt;p&gt;&lt;/p&gt;</t>
        </is>
      </c>
      <c r="O1438" t="inlineStr"/>
      <c r="P1438" t="inlineStr">
        <is>
          <t>Vehicle - Nissan - Navara - BT20 GNZ</t>
        </is>
      </c>
      <c r="Q1438" t="inlineStr">
        <is>
          <t>UKPN</t>
        </is>
      </c>
      <c r="R1438" t="b">
        <v>0</v>
      </c>
    </row>
    <row r="1439">
      <c r="A1439" t="inlineStr">
        <is>
          <t>8 Sep 2025 / 6617 Ashdown Tree Limited 1 / Utilities / UKPN</t>
        </is>
      </c>
      <c r="B1439" t="inlineStr">
        <is>
          <t>Utilities</t>
        </is>
      </c>
      <c r="C1439" t="inlineStr">
        <is>
          <t>UKPN</t>
        </is>
      </c>
      <c r="D1439" t="inlineStr">
        <is>
          <t>Plant Trailer - Indespension - 211717 - 211717</t>
        </is>
      </c>
      <c r="E1439" t="inlineStr">
        <is>
          <t>Plant Trailer - Indespension - 211717 - 211717</t>
        </is>
      </c>
      <c r="F1439" t="inlineStr">
        <is>
          <t>Plant Trailer - Indespension - 211717 - 211717</t>
        </is>
      </c>
      <c r="G1439" t="inlineStr">
        <is>
          <t xml:space="preserve">Francislesser </t>
        </is>
      </c>
      <c r="H1439" t="inlineStr">
        <is>
          <t>Plant Trailer</t>
        </is>
      </c>
      <c r="I1439" t="inlineStr">
        <is>
          <t>Daily/ Weekly Vehicle Inspection</t>
        </is>
      </c>
      <c r="J1439" t="inlineStr">
        <is>
          <t>N/A</t>
        </is>
      </c>
      <c r="K1439" t="inlineStr">
        <is>
          <t>6617 Ashdown Tree Limited 1</t>
        </is>
      </c>
      <c r="L1439" t="inlineStr">
        <is>
          <t>08/09/2025 09:27</t>
        </is>
      </c>
      <c r="M1439" t="inlineStr">
        <is>
          <t>None</t>
        </is>
      </c>
      <c r="N1439" t="inlineStr">
        <is>
          <t>&lt;p&gt;&lt;/p&gt;</t>
        </is>
      </c>
      <c r="O1439" t="inlineStr"/>
      <c r="P1439" t="inlineStr">
        <is>
          <t>Plant Trailer - Indespension - 211717 - 211717</t>
        </is>
      </c>
      <c r="Q1439" t="inlineStr">
        <is>
          <t>UKPN</t>
        </is>
      </c>
      <c r="R1439" t="b">
        <v>0</v>
      </c>
    </row>
    <row r="1440">
      <c r="A1440" t="inlineStr">
        <is>
          <t>8 Sep 2025 / 6617 Ashdown Tree Limited 1 / Utilities / UKPN</t>
        </is>
      </c>
      <c r="B1440" t="inlineStr">
        <is>
          <t>Utilities</t>
        </is>
      </c>
      <c r="C1440" t="inlineStr">
        <is>
          <t>UKPN</t>
        </is>
      </c>
      <c r="D1440" t="inlineStr">
        <is>
          <t>GU11LKD , 4x4 , Land Rover , Defender</t>
        </is>
      </c>
      <c r="E1440" t="inlineStr">
        <is>
          <t>GU11LKD , 4x4 , Land Rover , Defender</t>
        </is>
      </c>
      <c r="F1440" t="inlineStr">
        <is>
          <t>GU11LKD , 4x4 , Land Rover , Defender</t>
        </is>
      </c>
      <c r="G1440" t="inlineStr">
        <is>
          <t xml:space="preserve">Francislesser </t>
        </is>
      </c>
      <c r="H1440" t="inlineStr">
        <is>
          <t>4x4</t>
        </is>
      </c>
      <c r="I1440" t="inlineStr">
        <is>
          <t>Daily/ Weekly Vehicle Inspection</t>
        </is>
      </c>
      <c r="J1440" t="inlineStr">
        <is>
          <t>N/A</t>
        </is>
      </c>
      <c r="K1440" t="inlineStr">
        <is>
          <t>6617 Ashdown Tree Limited 1</t>
        </is>
      </c>
      <c r="L1440" t="inlineStr">
        <is>
          <t>08/09/2025 09:27</t>
        </is>
      </c>
      <c r="M1440" t="inlineStr">
        <is>
          <t>None</t>
        </is>
      </c>
      <c r="N1440" t="inlineStr">
        <is>
          <t>&lt;p&gt;&lt;/p&gt;</t>
        </is>
      </c>
      <c r="O1440" t="inlineStr"/>
      <c r="P1440" t="inlineStr">
        <is>
          <t>GU11LKD , 4x4 , Land Rover , Defender</t>
        </is>
      </c>
      <c r="Q1440" t="inlineStr">
        <is>
          <t>UKPN</t>
        </is>
      </c>
      <c r="R1440" t="b">
        <v>0</v>
      </c>
    </row>
    <row r="1441">
      <c r="A1441" t="inlineStr">
        <is>
          <t>8 Sep 2025 / 6617 Ashdown Tree Limited 1 / Utilities / UKPN</t>
        </is>
      </c>
      <c r="B1441" t="inlineStr">
        <is>
          <t>Utilities</t>
        </is>
      </c>
      <c r="C1441" t="inlineStr">
        <is>
          <t>UKPN</t>
        </is>
      </c>
      <c r="D1441" t="inlineStr">
        <is>
          <t>Equipment Trailer - IFor Williams - GD105 - sckd00000n5214943</t>
        </is>
      </c>
      <c r="E1441" t="inlineStr">
        <is>
          <t>Equipment Trailer - IFor Williams - GD105 - sckd00000n5214943</t>
        </is>
      </c>
      <c r="F1441" t="inlineStr">
        <is>
          <t>Equipment Trailer - IFor Williams - GD105 - sckd00000n5214943</t>
        </is>
      </c>
      <c r="G1441" t="inlineStr">
        <is>
          <t xml:space="preserve">Ashley Horwood </t>
        </is>
      </c>
      <c r="H1441" t="inlineStr">
        <is>
          <t>Plant Trailer</t>
        </is>
      </c>
      <c r="I1441" t="inlineStr">
        <is>
          <t>Daily/ Weekly Vehicle Inspection</t>
        </is>
      </c>
      <c r="J1441" t="inlineStr">
        <is>
          <t>N/A</t>
        </is>
      </c>
      <c r="K1441" t="inlineStr">
        <is>
          <t>6617 Ashdown Tree Limited 1</t>
        </is>
      </c>
      <c r="L1441" t="inlineStr">
        <is>
          <t>08/09/2025 10:22</t>
        </is>
      </c>
      <c r="M1441" t="inlineStr">
        <is>
          <t>None</t>
        </is>
      </c>
      <c r="N1441" t="inlineStr">
        <is>
          <t>&lt;p&gt;&lt;/p&gt;</t>
        </is>
      </c>
      <c r="O1441" t="inlineStr">
        <is>
          <t>Select Vehicle:Tima</t>
        </is>
      </c>
      <c r="P1441" t="inlineStr">
        <is>
          <t>Equipment Trailer - IFor Williams - GD105 - sckd00000n5214943</t>
        </is>
      </c>
      <c r="Q1441" t="inlineStr">
        <is>
          <t>UKPN</t>
        </is>
      </c>
      <c r="R1441" t="b">
        <v>0</v>
      </c>
    </row>
    <row r="1442">
      <c r="A1442" t="inlineStr">
        <is>
          <t>8 Sep 2025 / 6617 Ashdown Tree Limited 1 / Utilities / UKPN</t>
        </is>
      </c>
      <c r="B1442" t="inlineStr">
        <is>
          <t>Utilities</t>
        </is>
      </c>
      <c r="C1442" t="inlineStr">
        <is>
          <t>UKPN</t>
        </is>
      </c>
      <c r="D1442" t="inlineStr">
        <is>
          <t>Tipper - Ford  - Transit  - Av21 kww</t>
        </is>
      </c>
      <c r="E1442" t="inlineStr">
        <is>
          <t>Tipper - Ford  - Transit  - Av21 kww</t>
        </is>
      </c>
      <c r="F1442" t="inlineStr">
        <is>
          <t>Tipper - Ford  - Transit  - Av21 kww</t>
        </is>
      </c>
      <c r="G1442" t="inlineStr">
        <is>
          <t xml:space="preserve">Ashley Horwood </t>
        </is>
      </c>
      <c r="H1442" t="inlineStr">
        <is>
          <t>Tipper</t>
        </is>
      </c>
      <c r="I1442" t="inlineStr">
        <is>
          <t>Daily/ Weekly Vehicle Inspection</t>
        </is>
      </c>
      <c r="J1442" t="inlineStr">
        <is>
          <t>N/A</t>
        </is>
      </c>
      <c r="K1442" t="inlineStr">
        <is>
          <t>6617 Ashdown Tree Limited 1</t>
        </is>
      </c>
      <c r="L1442" t="inlineStr">
        <is>
          <t>08/09/2025 10:23</t>
        </is>
      </c>
      <c r="M1442" t="inlineStr">
        <is>
          <t>None</t>
        </is>
      </c>
      <c r="N1442" t="inlineStr">
        <is>
          <t>&lt;p&gt;&lt;/p&gt;</t>
        </is>
      </c>
      <c r="O1442" t="inlineStr"/>
      <c r="P1442" t="inlineStr">
        <is>
          <t>Tipper - Ford  - Transit  - Av21 kww</t>
        </is>
      </c>
      <c r="Q1442" t="inlineStr">
        <is>
          <t>UKPN</t>
        </is>
      </c>
      <c r="R1442" t="b">
        <v>0</v>
      </c>
    </row>
    <row r="1443">
      <c r="A1443" t="inlineStr">
        <is>
          <t>9 Sep 2025 / 7951 Austin Tree Care LTD 1 / Utilities / UKPN</t>
        </is>
      </c>
      <c r="B1443" t="inlineStr">
        <is>
          <t>Utilities</t>
        </is>
      </c>
      <c r="C1443" t="inlineStr">
        <is>
          <t>UKPN</t>
        </is>
      </c>
      <c r="D1443" t="inlineStr">
        <is>
          <t>Kn58xuy , Tipper , VW  , Crafter</t>
        </is>
      </c>
      <c r="E1443" t="inlineStr">
        <is>
          <t>Kn58xuy , Tipper , VW  , Crafter</t>
        </is>
      </c>
      <c r="F1443" t="inlineStr">
        <is>
          <t>Kn58xuy , Tipper , VW  , Crafter</t>
        </is>
      </c>
      <c r="G1443" t="inlineStr">
        <is>
          <t xml:space="preserve">James Tasker </t>
        </is>
      </c>
      <c r="H1443" t="inlineStr">
        <is>
          <t>Tipper</t>
        </is>
      </c>
      <c r="I1443" t="inlineStr">
        <is>
          <t>Daily/ Weekly Vehicle Inspection</t>
        </is>
      </c>
      <c r="J1443" t="inlineStr">
        <is>
          <t>N/A</t>
        </is>
      </c>
      <c r="K1443" t="inlineStr">
        <is>
          <t>7951 Austin Tree Care LTD 1</t>
        </is>
      </c>
      <c r="L1443" t="inlineStr">
        <is>
          <t>09/09/2025 07:20</t>
        </is>
      </c>
      <c r="M1443" t="inlineStr">
        <is>
          <t>None</t>
        </is>
      </c>
      <c r="N1443" t="inlineStr">
        <is>
          <t>&lt;p&gt;&lt;/p&gt;</t>
        </is>
      </c>
      <c r="O1443" t="inlineStr"/>
      <c r="P1443" t="inlineStr">
        <is>
          <t>Kn58xuy , Tipper , VW  , Crafter</t>
        </is>
      </c>
      <c r="Q1443" t="inlineStr">
        <is>
          <t>UKPN</t>
        </is>
      </c>
      <c r="R1443" t="b">
        <v>0</v>
      </c>
    </row>
    <row r="1444">
      <c r="A1444" t="inlineStr">
        <is>
          <t>9 Sep 2025 / 7186 Eastwoodbury Tree Services Ltd / Utilities / UKPN</t>
        </is>
      </c>
      <c r="B1444" t="inlineStr">
        <is>
          <t>Utilities</t>
        </is>
      </c>
      <c r="C1444" t="inlineStr">
        <is>
          <t>UKPN</t>
        </is>
      </c>
      <c r="D1444" t="inlineStr">
        <is>
          <t>DN61XKJ , Tipper , Ford , Transit</t>
        </is>
      </c>
      <c r="E1444" t="inlineStr">
        <is>
          <t>DN61XKJ , Tipper , Ford , Transit</t>
        </is>
      </c>
      <c r="F1444" t="inlineStr">
        <is>
          <t>DN61XKJ , Tipper , Ford , Transit</t>
        </is>
      </c>
      <c r="G1444" t="inlineStr">
        <is>
          <t xml:space="preserve">Dan Gilbert </t>
        </is>
      </c>
      <c r="H1444" t="inlineStr">
        <is>
          <t>Tipper</t>
        </is>
      </c>
      <c r="I1444" t="inlineStr">
        <is>
          <t>Daily/ Weekly Vehicle Inspection</t>
        </is>
      </c>
      <c r="J1444" t="inlineStr">
        <is>
          <t>N/A</t>
        </is>
      </c>
      <c r="K1444" t="inlineStr">
        <is>
          <t>7186 Eastwoodbury Tree Services Ltd</t>
        </is>
      </c>
      <c r="L1444" t="inlineStr">
        <is>
          <t>09/09/2025 07:20</t>
        </is>
      </c>
      <c r="M1444" t="inlineStr">
        <is>
          <t>None</t>
        </is>
      </c>
      <c r="N1444" t="inlineStr">
        <is>
          <t>&lt;p&gt;&lt;/p&gt;</t>
        </is>
      </c>
      <c r="O1444" t="inlineStr"/>
      <c r="P1444" t="inlineStr">
        <is>
          <t>DN61XKJ , Tipper , Ford , Transit</t>
        </is>
      </c>
      <c r="Q1444" t="inlineStr">
        <is>
          <t>UKPN</t>
        </is>
      </c>
      <c r="R1444" t="b">
        <v>0</v>
      </c>
    </row>
    <row r="1445">
      <c r="A1445" t="inlineStr">
        <is>
          <t>9 Sep 2025 / 7186 Eastwoodbury Tree Services Ltd / Utilities / UKPN</t>
        </is>
      </c>
      <c r="B1445" t="inlineStr">
        <is>
          <t>Utilities</t>
        </is>
      </c>
      <c r="C1445" t="inlineStr">
        <is>
          <t>UKPN</t>
        </is>
      </c>
      <c r="D1445" t="inlineStr">
        <is>
          <t>FN600XM , 4x4 , Land Rover  , Defender</t>
        </is>
      </c>
      <c r="E1445" t="inlineStr">
        <is>
          <t>FN600XM , 4x4 , Land Rover  , Defender</t>
        </is>
      </c>
      <c r="F1445" t="inlineStr">
        <is>
          <t>FN600XM , 4x4 , Land Rover  , Defender</t>
        </is>
      </c>
      <c r="G1445" t="inlineStr">
        <is>
          <t xml:space="preserve">Tom Price </t>
        </is>
      </c>
      <c r="H1445" t="inlineStr">
        <is>
          <t>4x4</t>
        </is>
      </c>
      <c r="I1445" t="inlineStr">
        <is>
          <t>Daily/ Weekly Vehicle Inspection</t>
        </is>
      </c>
      <c r="J1445" t="inlineStr">
        <is>
          <t>N/A</t>
        </is>
      </c>
      <c r="K1445" t="inlineStr">
        <is>
          <t>7186 Eastwoodbury Tree Services Ltd</t>
        </is>
      </c>
      <c r="L1445" t="inlineStr">
        <is>
          <t>09/09/2025 07:21</t>
        </is>
      </c>
      <c r="M1445" t="inlineStr">
        <is>
          <t>None</t>
        </is>
      </c>
      <c r="N1445" t="inlineStr">
        <is>
          <t>&lt;p&gt;&lt;/p&gt;</t>
        </is>
      </c>
      <c r="O1445" t="inlineStr"/>
      <c r="P1445" t="inlineStr">
        <is>
          <t>FN600XM , 4x4 , Land Rover  , Defender</t>
        </is>
      </c>
      <c r="Q1445" t="inlineStr">
        <is>
          <t>UKPN</t>
        </is>
      </c>
      <c r="R1445" t="b">
        <v>0</v>
      </c>
    </row>
    <row r="1446">
      <c r="A1446" t="inlineStr">
        <is>
          <t>9 Sep 2025 / 7800 MAC Tree Surgery and Fencing Ltd</t>
        </is>
      </c>
      <c r="B1446" t="inlineStr">
        <is>
          <t>Utilities &amp; Inland Waterways</t>
        </is>
      </c>
      <c r="C1446" t="inlineStr">
        <is>
          <t>UKPN</t>
        </is>
      </c>
      <c r="D1446" t="inlineStr">
        <is>
          <t>AY68DAA , 4x4 , Izuzu , Dmax</t>
        </is>
      </c>
      <c r="E1446" t="inlineStr">
        <is>
          <t>AY68DAA , 4x4 , Izuzu , Dmax</t>
        </is>
      </c>
      <c r="F1446" t="inlineStr">
        <is>
          <t>AY68DAA , 4x4 , Izuzu , Dmax</t>
        </is>
      </c>
      <c r="G1446" t="inlineStr">
        <is>
          <t xml:space="preserve">Lewis mac </t>
        </is>
      </c>
      <c r="H1446" t="inlineStr">
        <is>
          <t>4x4</t>
        </is>
      </c>
      <c r="I1446" t="inlineStr">
        <is>
          <t>Daily/ Weekly Vehicle Inspection</t>
        </is>
      </c>
      <c r="J1446" t="inlineStr">
        <is>
          <t>N/A</t>
        </is>
      </c>
      <c r="K1446" t="inlineStr">
        <is>
          <t>7800 MAC Tree Surgery and Fencing Ltd</t>
        </is>
      </c>
      <c r="L1446" t="inlineStr">
        <is>
          <t>09/09/2025 07:22</t>
        </is>
      </c>
      <c r="M1446" t="inlineStr">
        <is>
          <t>None</t>
        </is>
      </c>
      <c r="N1446" t="inlineStr">
        <is>
          <t>&lt;p&gt;&lt;/p&gt;</t>
        </is>
      </c>
      <c r="O1446" t="inlineStr"/>
      <c r="P1446" t="inlineStr">
        <is>
          <t>AY68DAA , 4x4 , Izuzu , Dmax</t>
        </is>
      </c>
      <c r="Q1446" t="inlineStr">
        <is>
          <t>UKPN</t>
        </is>
      </c>
      <c r="R1446" t="b">
        <v>0</v>
      </c>
    </row>
    <row r="1447">
      <c r="A1447" t="inlineStr">
        <is>
          <t>9 Sep 2025 / Anthony Gale / Utilities / UKPN</t>
        </is>
      </c>
      <c r="B1447" t="inlineStr">
        <is>
          <t>Utilities</t>
        </is>
      </c>
      <c r="C1447" t="inlineStr">
        <is>
          <t>UKPN</t>
        </is>
      </c>
      <c r="D1447" t="inlineStr">
        <is>
          <t>PE07 HGL , Vehicle , Mitsubishi , L200 K74</t>
        </is>
      </c>
      <c r="E1447" t="inlineStr">
        <is>
          <t>PE07 HGL , Vehicle , Mitsubishi , L200 K74</t>
        </is>
      </c>
      <c r="F1447" t="inlineStr">
        <is>
          <t>PE07 HGL , Vehicle , Mitsubishi , L200 K74</t>
        </is>
      </c>
      <c r="G1447" t="inlineStr">
        <is>
          <t>Anthony Gale</t>
        </is>
      </c>
      <c r="H1447" t="inlineStr">
        <is>
          <t>Pickup Truck</t>
        </is>
      </c>
      <c r="I1447" t="inlineStr">
        <is>
          <t>Daily/ Weekly Vehicle Inspection</t>
        </is>
      </c>
      <c r="J1447" t="inlineStr">
        <is>
          <t>N/A</t>
        </is>
      </c>
      <c r="K1447" t="inlineStr">
        <is>
          <t>7996 M G Tree Surgery Ltd 1</t>
        </is>
      </c>
      <c r="L1447" t="inlineStr">
        <is>
          <t>09/09/2025 07:22</t>
        </is>
      </c>
      <c r="M1447" t="inlineStr">
        <is>
          <t>None</t>
        </is>
      </c>
      <c r="N1447" t="inlineStr">
        <is>
          <t>&lt;p&gt;&lt;/p&gt;</t>
        </is>
      </c>
      <c r="O1447" t="inlineStr">
        <is>
          <t>Confirm that you have checked this vehicle as per the guidance document and the vehicle is safe and roadworthy:Drivers side wheel trim deteriorating, sold enough for now.
-</t>
        </is>
      </c>
      <c r="P1447" t="inlineStr">
        <is>
          <t>PE07 HGL , Vehicle , Mitsubishi , L200 K74</t>
        </is>
      </c>
      <c r="Q1447" t="inlineStr">
        <is>
          <t>UKPN</t>
        </is>
      </c>
      <c r="R1447" t="b">
        <v>0</v>
      </c>
    </row>
    <row r="1448">
      <c r="A1448" t="inlineStr">
        <is>
          <t>9 Sep 2025 / 7806 Optimum Tree Services Ltd / Utilities / UKPN</t>
        </is>
      </c>
      <c r="B1448" t="inlineStr">
        <is>
          <t>Utilities</t>
        </is>
      </c>
      <c r="C1448" t="inlineStr">
        <is>
          <t>UKPN</t>
        </is>
      </c>
      <c r="D1448" t="inlineStr">
        <is>
          <t>SA9TAPLAF27414263 , Trailer , Tow Mate , Plant Trailer</t>
        </is>
      </c>
      <c r="E1448" t="inlineStr">
        <is>
          <t>SA9TAPLAF27414263 , Trailer , Tow Mate , Plant Trailer</t>
        </is>
      </c>
      <c r="F1448" t="inlineStr">
        <is>
          <t>SA9TAPLAF27414263 , Trailer , Tow Mate , Plant Trailer</t>
        </is>
      </c>
      <c r="G1448" t="inlineStr">
        <is>
          <t xml:space="preserve">Abraham Davies </t>
        </is>
      </c>
      <c r="H1448" t="inlineStr">
        <is>
          <t>Plant Trailer</t>
        </is>
      </c>
      <c r="I1448" t="inlineStr">
        <is>
          <t>Daily/ Weekly Vehicle Inspection</t>
        </is>
      </c>
      <c r="J1448" t="inlineStr">
        <is>
          <t>N/A</t>
        </is>
      </c>
      <c r="K1448" t="inlineStr">
        <is>
          <t>7806 Optimum Tree Services Ltd</t>
        </is>
      </c>
      <c r="L1448" t="inlineStr">
        <is>
          <t>09/09/2025 08:20</t>
        </is>
      </c>
      <c r="M1448" t="inlineStr">
        <is>
          <t>None</t>
        </is>
      </c>
      <c r="N1448" t="inlineStr">
        <is>
          <t>&lt;p&gt;&lt;/p&gt;</t>
        </is>
      </c>
      <c r="O1448" t="inlineStr"/>
      <c r="P1448" t="inlineStr">
        <is>
          <t>SA9TAPLAF27414263 , Trailer , Tow Mate , Plant Trailer</t>
        </is>
      </c>
      <c r="Q1448" t="inlineStr">
        <is>
          <t>UKPN</t>
        </is>
      </c>
      <c r="R1448" t="b">
        <v>0</v>
      </c>
    </row>
    <row r="1449">
      <c r="A1449" t="inlineStr">
        <is>
          <t>9 Sep 2025 / 7806 Optimum Tree Services Ltd / Utilities / UKPN</t>
        </is>
      </c>
      <c r="B1449" t="inlineStr">
        <is>
          <t>Utilities</t>
        </is>
      </c>
      <c r="C1449" t="inlineStr">
        <is>
          <t>UKPN</t>
        </is>
      </c>
      <c r="D1449" t="inlineStr">
        <is>
          <t>WD14EVB , MEWP , Land Rover , Defender</t>
        </is>
      </c>
      <c r="E1449" t="inlineStr">
        <is>
          <t>WD14EVB , MEWP , Land Rover , Defender</t>
        </is>
      </c>
      <c r="F1449" t="inlineStr">
        <is>
          <t>WD14EVB , MEWP , Land Rover , Defender</t>
        </is>
      </c>
      <c r="G1449" t="inlineStr">
        <is>
          <t xml:space="preserve">Abraham Davies </t>
        </is>
      </c>
      <c r="H1449" t="inlineStr">
        <is>
          <t>4x4</t>
        </is>
      </c>
      <c r="I1449" t="inlineStr">
        <is>
          <t>Daily/ Weekly Vehicle Inspection</t>
        </is>
      </c>
      <c r="J1449" t="inlineStr">
        <is>
          <t>N/A</t>
        </is>
      </c>
      <c r="K1449" t="inlineStr">
        <is>
          <t>7806 Optimum Tree Services Ltd</t>
        </is>
      </c>
      <c r="L1449" t="inlineStr">
        <is>
          <t>09/09/2025 08:21</t>
        </is>
      </c>
      <c r="M1449" t="inlineStr">
        <is>
          <t>None</t>
        </is>
      </c>
      <c r="N1449" t="inlineStr">
        <is>
          <t>&lt;p&gt;&lt;/p&gt;</t>
        </is>
      </c>
      <c r="O1449" t="inlineStr"/>
      <c r="P1449" t="inlineStr">
        <is>
          <t>WD14EVB , MEWP , Land Rover , Defender</t>
        </is>
      </c>
      <c r="Q1449" t="inlineStr">
        <is>
          <t>UKPN</t>
        </is>
      </c>
      <c r="R1449" t="b">
        <v>0</v>
      </c>
    </row>
    <row r="1450">
      <c r="A1450" t="inlineStr">
        <is>
          <t>9 Sep 2025 / 3098 D &amp; R Landscapes (PEND Arb Rail) / Utilities / UKPN</t>
        </is>
      </c>
      <c r="B1450" t="inlineStr">
        <is>
          <t>Utilities</t>
        </is>
      </c>
      <c r="C1450" t="inlineStr">
        <is>
          <t>UKPN</t>
        </is>
      </c>
      <c r="D1450" t="inlineStr">
        <is>
          <t>Vehicle - Nissan - Navara - BT20 GNZ</t>
        </is>
      </c>
      <c r="E1450" t="inlineStr">
        <is>
          <t>Vehicle - Nissan - Navara - BT20 GNZ</t>
        </is>
      </c>
      <c r="F1450" t="inlineStr">
        <is>
          <t>Vehicle - Nissan - Navara - BT20 GNZ</t>
        </is>
      </c>
      <c r="G1450" t="inlineStr">
        <is>
          <t xml:space="preserve">Richard </t>
        </is>
      </c>
      <c r="H1450" t="inlineStr">
        <is>
          <t>Pickup Truck</t>
        </is>
      </c>
      <c r="I1450" t="inlineStr">
        <is>
          <t>Daily/ Weekly Vehicle Inspection</t>
        </is>
      </c>
      <c r="J1450" t="inlineStr">
        <is>
          <t>N/A</t>
        </is>
      </c>
      <c r="K1450" t="inlineStr">
        <is>
          <t>3098 D &amp; R Landscapes</t>
        </is>
      </c>
      <c r="L1450" t="inlineStr">
        <is>
          <t>09/09/2025 08:21</t>
        </is>
      </c>
      <c r="M1450" t="inlineStr">
        <is>
          <t>None</t>
        </is>
      </c>
      <c r="N1450" t="inlineStr">
        <is>
          <t>&lt;p&gt;&lt;/p&gt;</t>
        </is>
      </c>
      <c r="O1450" t="inlineStr"/>
      <c r="P1450" t="inlineStr">
        <is>
          <t>Vehicle - Nissan - Navara - BT20 GNZ</t>
        </is>
      </c>
      <c r="Q1450" t="inlineStr">
        <is>
          <t>UKPN</t>
        </is>
      </c>
      <c r="R1450" t="b">
        <v>0</v>
      </c>
    </row>
    <row r="1451">
      <c r="A1451" t="inlineStr">
        <is>
          <t>9 Sep 2025 / 7996 M G Tree Surgery Ltd / Utilities / UKPN</t>
        </is>
      </c>
      <c r="B1451" t="inlineStr">
        <is>
          <t>Utilities</t>
        </is>
      </c>
      <c r="C1451" t="inlineStr">
        <is>
          <t>UKPN</t>
        </is>
      </c>
      <c r="D1451" t="inlineStr">
        <is>
          <t>GU13 WNL , MEWP , Land Rover , Defender 130</t>
        </is>
      </c>
      <c r="E1451" t="inlineStr">
        <is>
          <t>GU13 WNL , MEWP , Land Rover , Defender 130</t>
        </is>
      </c>
      <c r="F1451" t="inlineStr">
        <is>
          <t>GU13 WNL , MEWP , Land Rover , Defender 130</t>
        </is>
      </c>
      <c r="G1451" t="inlineStr">
        <is>
          <t>Max</t>
        </is>
      </c>
      <c r="H1451" t="inlineStr">
        <is>
          <t>4x4</t>
        </is>
      </c>
      <c r="I1451" t="inlineStr">
        <is>
          <t>Daily/ Weekly Vehicle Inspection</t>
        </is>
      </c>
      <c r="J1451" t="inlineStr">
        <is>
          <t>N/A</t>
        </is>
      </c>
      <c r="K1451" t="inlineStr">
        <is>
          <t>7996 M G Tree Surgery Ltd</t>
        </is>
      </c>
      <c r="L1451" t="inlineStr">
        <is>
          <t>09/09/2025 08:22</t>
        </is>
      </c>
      <c r="M1451" t="inlineStr">
        <is>
          <t>None</t>
        </is>
      </c>
      <c r="N1451" t="inlineStr">
        <is>
          <t>&lt;p&gt;&lt;/p&gt;</t>
        </is>
      </c>
      <c r="O1451" t="inlineStr"/>
      <c r="P1451" t="inlineStr">
        <is>
          <t>GU13 WNL , MEWP , Land Rover , Defender 130</t>
        </is>
      </c>
      <c r="Q1451" t="inlineStr">
        <is>
          <t>UKPN</t>
        </is>
      </c>
      <c r="R1451" t="b">
        <v>0</v>
      </c>
    </row>
    <row r="1452">
      <c r="A1452" t="inlineStr">
        <is>
          <t>9 Sep 2025 / 7951 Austin Tree Care LTD / Utilities / UKPN</t>
        </is>
      </c>
      <c r="B1452" t="inlineStr">
        <is>
          <t>Utilities</t>
        </is>
      </c>
      <c r="C1452" t="inlineStr">
        <is>
          <t>UKPN</t>
        </is>
      </c>
      <c r="D1452" t="inlineStr">
        <is>
          <t>SA9ST6P0001283612 , Tow Chipper , Forst , ST6p</t>
        </is>
      </c>
      <c r="E1452" t="inlineStr">
        <is>
          <t>SA9ST6P0001283612 , Tow Chipper , Forst , ST6p</t>
        </is>
      </c>
      <c r="F1452" t="inlineStr">
        <is>
          <t>SA9ST6P0001283612 , Tow Chipper , Forst , ST6p</t>
        </is>
      </c>
      <c r="G1452" t="inlineStr">
        <is>
          <t xml:space="preserve">Jack Austin </t>
        </is>
      </c>
      <c r="H1452" t="inlineStr">
        <is>
          <t>Towed Chipper</t>
        </is>
      </c>
      <c r="I1452" t="inlineStr">
        <is>
          <t>Daily/ Weekly Vehicle Inspection</t>
        </is>
      </c>
      <c r="J1452" t="inlineStr">
        <is>
          <t>N/A</t>
        </is>
      </c>
      <c r="K1452" t="inlineStr">
        <is>
          <t>7951 Austin Tree Care LTD</t>
        </is>
      </c>
      <c r="L1452" t="inlineStr">
        <is>
          <t>09/09/2025 08:23</t>
        </is>
      </c>
      <c r="M1452" t="inlineStr">
        <is>
          <t>None</t>
        </is>
      </c>
      <c r="N1452" t="inlineStr">
        <is>
          <t>&lt;p&gt;&lt;/p&gt;</t>
        </is>
      </c>
      <c r="O1452" t="inlineStr"/>
      <c r="P1452" t="inlineStr">
        <is>
          <t>SA9ST6P0001283612 , Tow Chipper , Forst , ST6p</t>
        </is>
      </c>
      <c r="Q1452" t="inlineStr">
        <is>
          <t>UKPN</t>
        </is>
      </c>
      <c r="R1452" t="b">
        <v>0</v>
      </c>
    </row>
    <row r="1453">
      <c r="A1453" t="inlineStr">
        <is>
          <t>9 Sep 2025 / 7951 Austin Tree Care LTD / Utilities / UKPN</t>
        </is>
      </c>
      <c r="B1453" t="inlineStr">
        <is>
          <t>Utilities</t>
        </is>
      </c>
      <c r="C1453" t="inlineStr">
        <is>
          <t>UKPN</t>
        </is>
      </c>
      <c r="D1453" t="inlineStr">
        <is>
          <t>WF61 HZV , 4x4 MEWP , Land Rover , Defender</t>
        </is>
      </c>
      <c r="E1453" t="inlineStr">
        <is>
          <t>WF61 HZV , 4x4 MEWP , Land Rover , Defender</t>
        </is>
      </c>
      <c r="F1453" t="inlineStr">
        <is>
          <t>WF61 HZV , 4x4 MEWP , Land Rover , Defender</t>
        </is>
      </c>
      <c r="G1453" t="inlineStr">
        <is>
          <t xml:space="preserve">Jack Austin </t>
        </is>
      </c>
      <c r="H1453" t="inlineStr">
        <is>
          <t>4x4</t>
        </is>
      </c>
      <c r="I1453" t="inlineStr">
        <is>
          <t>Daily/ Weekly Vehicle Inspection</t>
        </is>
      </c>
      <c r="J1453" t="inlineStr">
        <is>
          <t>N/A</t>
        </is>
      </c>
      <c r="K1453" t="inlineStr">
        <is>
          <t>7951 Austin Tree Care LTD</t>
        </is>
      </c>
      <c r="L1453" t="inlineStr">
        <is>
          <t>09/09/2025 08:23</t>
        </is>
      </c>
      <c r="M1453" t="inlineStr">
        <is>
          <t>None</t>
        </is>
      </c>
      <c r="N1453" t="inlineStr">
        <is>
          <t>&lt;p&gt;&lt;/p&gt;</t>
        </is>
      </c>
      <c r="O1453" t="inlineStr"/>
      <c r="P1453" t="inlineStr">
        <is>
          <t>WF61 HZV , 4x4 MEWP , Land Rover , Defender</t>
        </is>
      </c>
      <c r="Q1453" t="inlineStr">
        <is>
          <t>UKPN</t>
        </is>
      </c>
      <c r="R1453" t="b">
        <v>0</v>
      </c>
    </row>
    <row r="1454">
      <c r="A1454" t="inlineStr">
        <is>
          <t>9 Sep 2025 / 6617 Ashdown Tree Limited 1 / Utilities / UKPN</t>
        </is>
      </c>
      <c r="B1454" t="inlineStr">
        <is>
          <t>Utilities</t>
        </is>
      </c>
      <c r="C1454" t="inlineStr">
        <is>
          <t>UKPN</t>
        </is>
      </c>
      <c r="D1454" t="inlineStr">
        <is>
          <t>SBXTW35A6LS209184 , Tow Chipper , Timberwolf , TW230DHB</t>
        </is>
      </c>
      <c r="E1454" t="inlineStr">
        <is>
          <t>SBXTW35A6LS209184 , Tow Chipper , Timberwolf , TW230DHB</t>
        </is>
      </c>
      <c r="F1454" t="inlineStr">
        <is>
          <t>SBXTW35A6LS209184 , Tow Chipper , Timberwolf , TW230DHB</t>
        </is>
      </c>
      <c r="G1454" t="inlineStr">
        <is>
          <t xml:space="preserve">Francislesser </t>
        </is>
      </c>
      <c r="H1454" t="inlineStr">
        <is>
          <t>Towed Chipper</t>
        </is>
      </c>
      <c r="I1454" t="inlineStr">
        <is>
          <t>Daily/ Weekly Vehicle Inspection</t>
        </is>
      </c>
      <c r="J1454" t="inlineStr">
        <is>
          <t>N/A</t>
        </is>
      </c>
      <c r="K1454" t="inlineStr">
        <is>
          <t>6617 Ashdown Tree Limited 1</t>
        </is>
      </c>
      <c r="L1454" t="inlineStr">
        <is>
          <t>09/09/2025 10:20</t>
        </is>
      </c>
      <c r="M1454" t="inlineStr">
        <is>
          <t>None</t>
        </is>
      </c>
      <c r="N1454" t="inlineStr">
        <is>
          <t>&lt;p&gt;&lt;/p&gt;</t>
        </is>
      </c>
      <c r="O1454" t="inlineStr"/>
      <c r="P1454" t="inlineStr">
        <is>
          <t>SBXTW35A6LS209184 , Tow Chipper , Timberwolf , TW230DHB</t>
        </is>
      </c>
      <c r="Q1454" t="inlineStr">
        <is>
          <t>UKPN</t>
        </is>
      </c>
      <c r="R1454" t="b">
        <v>0</v>
      </c>
    </row>
    <row r="1455">
      <c r="A1455" t="inlineStr">
        <is>
          <t>9 Sep 2025 / 6617 Ashdown Tree Limited 1 / Utilities / UKPN</t>
        </is>
      </c>
      <c r="B1455" t="inlineStr">
        <is>
          <t>Utilities</t>
        </is>
      </c>
      <c r="C1455" t="inlineStr">
        <is>
          <t>UKPN</t>
        </is>
      </c>
      <c r="D1455" t="inlineStr">
        <is>
          <t>GU11LKD , 4x4 , Land Rover , Defender</t>
        </is>
      </c>
      <c r="E1455" t="inlineStr">
        <is>
          <t>GU11LKD , 4x4 , Land Rover , Defender</t>
        </is>
      </c>
      <c r="F1455" t="inlineStr">
        <is>
          <t>GU11LKD , 4x4 , Land Rover , Defender</t>
        </is>
      </c>
      <c r="G1455" t="inlineStr">
        <is>
          <t xml:space="preserve">Francislesser </t>
        </is>
      </c>
      <c r="H1455" t="inlineStr">
        <is>
          <t>4x4</t>
        </is>
      </c>
      <c r="I1455" t="inlineStr">
        <is>
          <t>Daily/ Weekly Vehicle Inspection</t>
        </is>
      </c>
      <c r="J1455" t="inlineStr">
        <is>
          <t>N/A</t>
        </is>
      </c>
      <c r="K1455" t="inlineStr">
        <is>
          <t>6617 Ashdown Tree Limited 1</t>
        </is>
      </c>
      <c r="L1455" t="inlineStr">
        <is>
          <t>09/09/2025 10:21</t>
        </is>
      </c>
      <c r="M1455" t="inlineStr">
        <is>
          <t>None</t>
        </is>
      </c>
      <c r="N1455" t="inlineStr">
        <is>
          <t>&lt;p&gt;&lt;/p&gt;</t>
        </is>
      </c>
      <c r="O1455" t="inlineStr"/>
      <c r="P1455" t="inlineStr">
        <is>
          <t>GU11LKD , 4x4 , Land Rover , Defender</t>
        </is>
      </c>
      <c r="Q1455" t="inlineStr">
        <is>
          <t>UKPN</t>
        </is>
      </c>
      <c r="R1455" t="b">
        <v>0</v>
      </c>
    </row>
    <row r="1456">
      <c r="A1456" t="inlineStr">
        <is>
          <t>10 Sep 2025 / 7889 Tree Tech Suffolk Ltd</t>
        </is>
      </c>
      <c r="B1456" t="inlineStr">
        <is>
          <t>Utilities &amp; Inland Waterways</t>
        </is>
      </c>
      <c r="C1456" t="inlineStr">
        <is>
          <t>UKPN</t>
        </is>
      </c>
      <c r="D1456" t="inlineStr">
        <is>
          <t>Tow Chipper - Jenson - A530L - 55210639484x4 - Isuzu - D-max - NS03 TTSTipper - Nissan - Navara - NS02TTS</t>
        </is>
      </c>
      <c r="E1456" t="inlineStr">
        <is>
          <t>Tow Chipper - Jenson - A530L - 55210639484x4 - Isuzu - D-max - NS03 TTSTipper - Nissan - Navara - NS02TTS</t>
        </is>
      </c>
      <c r="F1456" t="inlineStr">
        <is>
          <t>Tow Chipper - Jenson - A530L - 55210639484x4 - Isuzu - D-max - NS03 TTSTipper - Nissan - Navara - NS02TTS</t>
        </is>
      </c>
      <c r="G1456" t="inlineStr">
        <is>
          <t xml:space="preserve">Danny Appleby Danny Appleby Nikki sparrow </t>
        </is>
      </c>
      <c r="H1456" t="inlineStr">
        <is>
          <t>Towed Chipper4x4Tipper</t>
        </is>
      </c>
      <c r="I1456" t="inlineStr">
        <is>
          <t>Daily/ Weekly Vehicle Inspection</t>
        </is>
      </c>
      <c r="J1456" t="inlineStr">
        <is>
          <t>N/A</t>
        </is>
      </c>
      <c r="K1456" t="inlineStr">
        <is>
          <t>7889 Tree Tech Suffolk Ltd</t>
        </is>
      </c>
      <c r="L1456" t="inlineStr">
        <is>
          <t>10/09/2025 07:21</t>
        </is>
      </c>
      <c r="M1456" t="inlineStr">
        <is>
          <t>None</t>
        </is>
      </c>
      <c r="N1456" t="inlineStr">
        <is>
          <t>&lt;p&gt;&lt;/p&gt;</t>
        </is>
      </c>
      <c r="O1456" t="inlineStr">
        <is>
          <t>Select Vehicle:Using another chipper while ours is being fixed. Has no wheel nut indicatorsSelect Vehicle:KX65 FCZ. Tried adding vehicle but not showing up. Intermittent fault on side lights.Select Vehicle:Ns05 TTS. Land Rover discovery. Tried adding vehicle but not showing up</t>
        </is>
      </c>
      <c r="P1456" t="inlineStr">
        <is>
          <t>Tow Chipper - Jenson - A530L - 55210639484x4 - Isuzu - D-max - NS03 TTSTipper - Nissan - Navara - NS02TTS</t>
        </is>
      </c>
      <c r="Q1456" t="inlineStr">
        <is>
          <t>UKPN</t>
        </is>
      </c>
      <c r="R1456" t="b">
        <v>0</v>
      </c>
    </row>
    <row r="1457">
      <c r="A1457" t="inlineStr">
        <is>
          <t>10 Sep 2025 / Thomas Playford / Utilities / UKPN</t>
        </is>
      </c>
      <c r="B1457" t="inlineStr">
        <is>
          <t>Utilities</t>
        </is>
      </c>
      <c r="C1457" t="inlineStr">
        <is>
          <t>UKPN</t>
        </is>
      </c>
      <c r="D1457" t="inlineStr">
        <is>
          <t>283500 , Tow Chipper , Forst ,</t>
        </is>
      </c>
      <c r="E1457" t="inlineStr">
        <is>
          <t>283500 , Tow Chipper , Forst ,</t>
        </is>
      </c>
      <c r="F1457" t="inlineStr">
        <is>
          <t>283500 , Tow Chipper , Forst ,</t>
        </is>
      </c>
      <c r="G1457" t="inlineStr">
        <is>
          <t>Jacob Oram</t>
        </is>
      </c>
      <c r="H1457" t="inlineStr">
        <is>
          <t>Towed Chipper</t>
        </is>
      </c>
      <c r="I1457" t="inlineStr">
        <is>
          <t>Daily/ Weekly Vehicle Inspection</t>
        </is>
      </c>
      <c r="J1457" t="inlineStr">
        <is>
          <t>N/A</t>
        </is>
      </c>
      <c r="K1457" t="inlineStr">
        <is>
          <t>7995 Contour Landscapes Ltd 2</t>
        </is>
      </c>
      <c r="L1457" t="inlineStr">
        <is>
          <t>10/09/2025 08:20</t>
        </is>
      </c>
      <c r="M1457" t="inlineStr">
        <is>
          <t>None</t>
        </is>
      </c>
      <c r="N1457" t="inlineStr">
        <is>
          <t>&lt;p&gt;&lt;/p&gt;</t>
        </is>
      </c>
      <c r="O1457" t="inlineStr"/>
      <c r="P1457" t="inlineStr">
        <is>
          <t>283500 , Tow Chipper , Forst ,</t>
        </is>
      </c>
      <c r="Q1457" t="inlineStr">
        <is>
          <t>UKPN</t>
        </is>
      </c>
      <c r="R1457" t="b">
        <v>0</v>
      </c>
    </row>
    <row r="1458">
      <c r="A1458" t="inlineStr">
        <is>
          <t>10 Sep 2025 / Thomas Playford / Utilities / UKPN</t>
        </is>
      </c>
      <c r="B1458" t="inlineStr">
        <is>
          <t>Utilities</t>
        </is>
      </c>
      <c r="C1458" t="inlineStr">
        <is>
          <t>UKPN</t>
        </is>
      </c>
      <c r="D1458" t="inlineStr">
        <is>
          <t>YP24 WRD , Vehicle , Ford , Ranger</t>
        </is>
      </c>
      <c r="E1458" t="inlineStr">
        <is>
          <t>YP24 WRD , Vehicle , Ford , Ranger</t>
        </is>
      </c>
      <c r="F1458" t="inlineStr">
        <is>
          <t>YP24 WRD , Vehicle , Ford , Ranger</t>
        </is>
      </c>
      <c r="G1458" t="inlineStr">
        <is>
          <t>Jacob Oram</t>
        </is>
      </c>
      <c r="H1458" t="inlineStr">
        <is>
          <t>4x4</t>
        </is>
      </c>
      <c r="I1458" t="inlineStr">
        <is>
          <t>Daily/ Weekly Vehicle Inspection</t>
        </is>
      </c>
      <c r="J1458" t="inlineStr">
        <is>
          <t>N/A</t>
        </is>
      </c>
      <c r="K1458" t="inlineStr">
        <is>
          <t>7995 Contour Landscapes Ltd 2</t>
        </is>
      </c>
      <c r="L1458" t="inlineStr">
        <is>
          <t>10/09/2025 08:20</t>
        </is>
      </c>
      <c r="M1458" t="inlineStr">
        <is>
          <t>None</t>
        </is>
      </c>
      <c r="N1458" t="inlineStr">
        <is>
          <t>&lt;p&gt;&lt;/p&gt;</t>
        </is>
      </c>
      <c r="O1458" t="inlineStr"/>
      <c r="P1458" t="inlineStr">
        <is>
          <t>YP24 WRD , Vehicle , Ford , Ranger</t>
        </is>
      </c>
      <c r="Q1458" t="inlineStr">
        <is>
          <t>UKPN</t>
        </is>
      </c>
      <c r="R1458" t="b">
        <v>0</v>
      </c>
    </row>
    <row r="1459">
      <c r="A1459" t="inlineStr">
        <is>
          <t>10 Sep 2025 / 6617 Ashdown Tree Limited 1 / Utilities / UKPN</t>
        </is>
      </c>
      <c r="B1459" t="inlineStr">
        <is>
          <t>Utilities</t>
        </is>
      </c>
      <c r="C1459" t="inlineStr">
        <is>
          <t>UKPN</t>
        </is>
      </c>
      <c r="D1459" t="inlineStr">
        <is>
          <t>SBXTW35A6LS209184 , Tow Chipper , Timberwolf , TW230DHB</t>
        </is>
      </c>
      <c r="E1459" t="inlineStr">
        <is>
          <t>SBXTW35A6LS209184 , Tow Chipper , Timberwolf , TW230DHB</t>
        </is>
      </c>
      <c r="F1459" t="inlineStr">
        <is>
          <t>SBXTW35A6LS209184 , Tow Chipper , Timberwolf , TW230DHB</t>
        </is>
      </c>
      <c r="G1459" t="inlineStr">
        <is>
          <t xml:space="preserve">Francislesser </t>
        </is>
      </c>
      <c r="H1459" t="inlineStr">
        <is>
          <t>Towed Chipper</t>
        </is>
      </c>
      <c r="I1459" t="inlineStr">
        <is>
          <t>Daily/ Weekly Vehicle Inspection</t>
        </is>
      </c>
      <c r="J1459" t="inlineStr">
        <is>
          <t>N/A</t>
        </is>
      </c>
      <c r="K1459" t="inlineStr">
        <is>
          <t>6617 Ashdown Tree Limited 1</t>
        </is>
      </c>
      <c r="L1459" t="inlineStr">
        <is>
          <t>10/09/2025 09:20</t>
        </is>
      </c>
      <c r="M1459" t="inlineStr">
        <is>
          <t>None</t>
        </is>
      </c>
      <c r="N1459" t="inlineStr">
        <is>
          <t>&lt;p&gt;&lt;/p&gt;</t>
        </is>
      </c>
      <c r="O1459" t="inlineStr"/>
      <c r="P1459" t="inlineStr">
        <is>
          <t>SBXTW35A6LS209184 , Tow Chipper , Timberwolf , TW230DHB</t>
        </is>
      </c>
      <c r="Q1459" t="inlineStr">
        <is>
          <t>UKPN</t>
        </is>
      </c>
      <c r="R1459" t="b">
        <v>0</v>
      </c>
    </row>
    <row r="1460">
      <c r="A1460" t="inlineStr">
        <is>
          <t>5 Sep 2025 / Martin Rawlings / Utilities / NGED</t>
        </is>
      </c>
      <c r="B1460" t="inlineStr">
        <is>
          <t>Utilities</t>
        </is>
      </c>
      <c r="C1460" t="inlineStr">
        <is>
          <t>NGED</t>
        </is>
      </c>
      <c r="D1460" t="inlineStr"/>
      <c r="E1460" t="inlineStr"/>
      <c r="F1460" t="inlineStr"/>
      <c r="G1460" t="inlineStr">
        <is>
          <t>Martin Rawlings</t>
        </is>
      </c>
      <c r="H1460" t="inlineStr">
        <is>
          <t>Car - Petrol</t>
        </is>
      </c>
      <c r="I1460" t="inlineStr">
        <is>
          <t>Daily/ Weekly Vehicle Inspection</t>
        </is>
      </c>
      <c r="J1460" t="inlineStr">
        <is>
          <t>N/A</t>
        </is>
      </c>
      <c r="K1460" t="inlineStr">
        <is>
          <t>Martin Rawlings</t>
        </is>
      </c>
      <c r="L1460" t="inlineStr">
        <is>
          <t>10/09/2025 10:20</t>
        </is>
      </c>
      <c r="M1460" t="inlineStr">
        <is>
          <t>None</t>
        </is>
      </c>
      <c r="N1460" t="inlineStr">
        <is>
          <t>&lt;p&gt;&lt;/p&gt;</t>
        </is>
      </c>
      <c r="O1460" t="inlineStr"/>
      <c r="P1460" t="inlineStr"/>
      <c r="Q1460" t="inlineStr">
        <is>
          <t>NGED</t>
        </is>
      </c>
      <c r="R1460" t="b">
        <v>0</v>
      </c>
    </row>
    <row r="1461">
      <c r="A1461" t="inlineStr">
        <is>
          <t>10 Sep 2025 / Paul Chubb / Utilities / SSE</t>
        </is>
      </c>
      <c r="B1461" t="inlineStr">
        <is>
          <t>Utilities</t>
        </is>
      </c>
      <c r="C1461" t="inlineStr">
        <is>
          <t>SSE</t>
        </is>
      </c>
      <c r="D1461" t="inlineStr"/>
      <c r="E1461" t="inlineStr"/>
      <c r="F1461" t="inlineStr"/>
      <c r="G1461" t="inlineStr">
        <is>
          <t>Paul chubb</t>
        </is>
      </c>
      <c r="H1461" t="inlineStr">
        <is>
          <t>Van</t>
        </is>
      </c>
      <c r="I1461" t="inlineStr">
        <is>
          <t>Daily/ Weekly Vehicle Inspection</t>
        </is>
      </c>
      <c r="J1461" t="inlineStr">
        <is>
          <t>N/A</t>
        </is>
      </c>
      <c r="K1461" t="inlineStr">
        <is>
          <t>Paul Chubb</t>
        </is>
      </c>
      <c r="L1461" t="inlineStr">
        <is>
          <t>10/09/2025 16:21</t>
        </is>
      </c>
      <c r="M1461" t="inlineStr">
        <is>
          <t>None</t>
        </is>
      </c>
      <c r="N1461" t="inlineStr">
        <is>
          <t>&lt;p&gt;&lt;/p&gt;</t>
        </is>
      </c>
      <c r="O1461" t="inlineStr"/>
      <c r="P1461" t="inlineStr"/>
      <c r="Q1461" t="inlineStr">
        <is>
          <t>SSE</t>
        </is>
      </c>
      <c r="R1461" t="b">
        <v>0</v>
      </c>
    </row>
    <row r="1462">
      <c r="A1462" t="inlineStr">
        <is>
          <t>10 Sep 2025 / William Heneage / Utilities / SSE</t>
        </is>
      </c>
      <c r="B1462" t="inlineStr">
        <is>
          <t>Utilities</t>
        </is>
      </c>
      <c r="C1462" t="inlineStr">
        <is>
          <t>SSE</t>
        </is>
      </c>
      <c r="D1462" t="inlineStr">
        <is>
          <t>YX24TWV , Car - Electric , Kia , E-Niro</t>
        </is>
      </c>
      <c r="E1462" t="inlineStr">
        <is>
          <t>YX24TWV , Car - Electric , Kia , E-Niro</t>
        </is>
      </c>
      <c r="F1462" t="inlineStr">
        <is>
          <t>YX24TWV , Car - Electric , Kia , E-Niro</t>
        </is>
      </c>
      <c r="G1462" t="inlineStr">
        <is>
          <t xml:space="preserve">Will heneage </t>
        </is>
      </c>
      <c r="H1462" t="inlineStr">
        <is>
          <t>Car - Electric (GC Owned)</t>
        </is>
      </c>
      <c r="I1462" t="inlineStr">
        <is>
          <t>Daily/ Weekly Vehicle Inspection</t>
        </is>
      </c>
      <c r="J1462" t="inlineStr">
        <is>
          <t>N/A</t>
        </is>
      </c>
      <c r="K1462" t="inlineStr">
        <is>
          <t>William Heneage</t>
        </is>
      </c>
      <c r="L1462" t="inlineStr">
        <is>
          <t>10/09/2025 16:22</t>
        </is>
      </c>
      <c r="M1462" t="inlineStr">
        <is>
          <t xml:space="preserve">Confirm that you have checked this vehicle as per the guidance document and the vehicle is safe and roadworthy: Fail
</t>
        </is>
      </c>
      <c r="N1462" t="inlineStr">
        <is>
          <t>&lt;p&gt;&lt;/p&gt;</t>
        </is>
      </c>
      <c r="O1462" t="inlineStr"/>
      <c r="P1462" t="inlineStr">
        <is>
          <t>YX24TWV , Car - Electric , Kia , E-Niro</t>
        </is>
      </c>
      <c r="Q1462" t="inlineStr">
        <is>
          <t>SSE</t>
        </is>
      </c>
      <c r="R1462" t="b">
        <v>0</v>
      </c>
    </row>
    <row r="1463">
      <c r="A1463" t="inlineStr">
        <is>
          <t>11 Sep 2025 / 7186 Eastwoodbury Tree Services Ltd / Utilities / UKPN</t>
        </is>
      </c>
      <c r="B1463" t="inlineStr">
        <is>
          <t>Utilities</t>
        </is>
      </c>
      <c r="C1463" t="inlineStr">
        <is>
          <t>UKPN</t>
        </is>
      </c>
      <c r="D1463" t="inlineStr">
        <is>
          <t>4x4 - Land rover  - Defenders  - WF13 EKM</t>
        </is>
      </c>
      <c r="E1463" t="inlineStr">
        <is>
          <t>4x4 - Land rover  - Defenders  - WF13 EKM</t>
        </is>
      </c>
      <c r="F1463" t="inlineStr">
        <is>
          <t>4x4 - Land rover  - Defenders  - WF13 EKM</t>
        </is>
      </c>
      <c r="G1463" t="inlineStr">
        <is>
          <t xml:space="preserve">Jay Denkmayer </t>
        </is>
      </c>
      <c r="H1463" t="inlineStr">
        <is>
          <t>4x4</t>
        </is>
      </c>
      <c r="I1463" t="inlineStr">
        <is>
          <t>Daily/ Weekly Vehicle Inspection</t>
        </is>
      </c>
      <c r="J1463" t="inlineStr">
        <is>
          <t>N/A</t>
        </is>
      </c>
      <c r="K1463" t="inlineStr">
        <is>
          <t>7186 Eastwoodbury Tree Services Ltd</t>
        </is>
      </c>
      <c r="L1463" t="inlineStr">
        <is>
          <t>11/09/2025 07:20</t>
        </is>
      </c>
      <c r="M1463" t="inlineStr">
        <is>
          <t>None</t>
        </is>
      </c>
      <c r="N1463" t="inlineStr">
        <is>
          <t>&lt;p&gt;&lt;/p&gt;</t>
        </is>
      </c>
      <c r="O1463" t="inlineStr"/>
      <c r="P1463" t="inlineStr">
        <is>
          <t>4x4 - Land rover  - Defenders  - WF13 EKM</t>
        </is>
      </c>
      <c r="Q1463" t="inlineStr">
        <is>
          <t>UKPN</t>
        </is>
      </c>
      <c r="R1463" t="b">
        <v>0</v>
      </c>
    </row>
    <row r="1464">
      <c r="A1464" t="inlineStr">
        <is>
          <t>11 Sep 2025 / Anthony Gale / Utilities / UKPN</t>
        </is>
      </c>
      <c r="B1464" t="inlineStr">
        <is>
          <t>Utilities</t>
        </is>
      </c>
      <c r="C1464" t="inlineStr">
        <is>
          <t>UKPN</t>
        </is>
      </c>
      <c r="D1464" t="inlineStr">
        <is>
          <t>PE07 HGL , Vehicle , Mitsubishi , L200 K74</t>
        </is>
      </c>
      <c r="E1464" t="inlineStr">
        <is>
          <t>PE07 HGL , Vehicle , Mitsubishi , L200 K74</t>
        </is>
      </c>
      <c r="F1464" t="inlineStr">
        <is>
          <t>PE07 HGL , Vehicle , Mitsubishi , L200 K74</t>
        </is>
      </c>
      <c r="G1464" t="inlineStr">
        <is>
          <t>Anthony Gale</t>
        </is>
      </c>
      <c r="H1464" t="inlineStr">
        <is>
          <t>Pickup Truck</t>
        </is>
      </c>
      <c r="I1464" t="inlineStr">
        <is>
          <t>Daily/ Weekly Vehicle Inspection</t>
        </is>
      </c>
      <c r="J1464" t="inlineStr">
        <is>
          <t>N/A</t>
        </is>
      </c>
      <c r="K1464" t="inlineStr">
        <is>
          <t>7996 M G Tree Surgery Ltd 1</t>
        </is>
      </c>
      <c r="L1464" t="inlineStr">
        <is>
          <t>11/09/2025 07:20</t>
        </is>
      </c>
      <c r="M1464" t="inlineStr">
        <is>
          <t>None</t>
        </is>
      </c>
      <c r="N1464" t="inlineStr">
        <is>
          <t>&lt;p&gt;&lt;/p&gt;</t>
        </is>
      </c>
      <c r="O1464" t="inlineStr">
        <is>
          <t>Confirm that you have checked this vehicle as per the guidance document and the vehicle is safe and roadworthy:Drivers side wheel trim deteriorating, safe for now.
-</t>
        </is>
      </c>
      <c r="P1464" t="inlineStr">
        <is>
          <t>PE07 HGL , Vehicle , Mitsubishi , L200 K74</t>
        </is>
      </c>
      <c r="Q1464" t="inlineStr">
        <is>
          <t>UKPN</t>
        </is>
      </c>
      <c r="R1464" t="b">
        <v>0</v>
      </c>
    </row>
    <row r="1465">
      <c r="A1465" t="inlineStr">
        <is>
          <t>11 Sep 2025 / 7951 Austin Tree Care LTD / Utilities / UKPN</t>
        </is>
      </c>
      <c r="B1465" t="inlineStr">
        <is>
          <t>Utilities</t>
        </is>
      </c>
      <c r="C1465" t="inlineStr">
        <is>
          <t>UKPN</t>
        </is>
      </c>
      <c r="D1465" t="inlineStr">
        <is>
          <t>SA9ST6P0001283612 , Tow Chipper , Forst , ST6p</t>
        </is>
      </c>
      <c r="E1465" t="inlineStr">
        <is>
          <t>SA9ST6P0001283612 , Tow Chipper , Forst , ST6p</t>
        </is>
      </c>
      <c r="F1465" t="inlineStr">
        <is>
          <t>SA9ST6P0001283612 , Tow Chipper , Forst , ST6p</t>
        </is>
      </c>
      <c r="G1465" t="inlineStr">
        <is>
          <t xml:space="preserve">Jack Austin </t>
        </is>
      </c>
      <c r="H1465" t="inlineStr">
        <is>
          <t>Towed Chipper</t>
        </is>
      </c>
      <c r="I1465" t="inlineStr">
        <is>
          <t>Daily/ Weekly Vehicle Inspection</t>
        </is>
      </c>
      <c r="J1465" t="inlineStr">
        <is>
          <t>N/A</t>
        </is>
      </c>
      <c r="K1465" t="inlineStr">
        <is>
          <t>7951 Austin Tree Care LTD</t>
        </is>
      </c>
      <c r="L1465" t="inlineStr">
        <is>
          <t>11/09/2025 07:21</t>
        </is>
      </c>
      <c r="M1465" t="inlineStr">
        <is>
          <t>None</t>
        </is>
      </c>
      <c r="N1465" t="inlineStr">
        <is>
          <t>&lt;p&gt;&lt;/p&gt;</t>
        </is>
      </c>
      <c r="O1465" t="inlineStr"/>
      <c r="P1465" t="inlineStr">
        <is>
          <t>SA9ST6P0001283612 , Tow Chipper , Forst , ST6p</t>
        </is>
      </c>
      <c r="Q1465" t="inlineStr">
        <is>
          <t>UKPN</t>
        </is>
      </c>
      <c r="R1465" t="b">
        <v>0</v>
      </c>
    </row>
    <row r="1466">
      <c r="A1466" t="inlineStr">
        <is>
          <t>11 Sep 2025 / 7186 Eastwoodbury Tree Services Ltd / Utilities / UKPN</t>
        </is>
      </c>
      <c r="B1466" t="inlineStr">
        <is>
          <t>Utilities</t>
        </is>
      </c>
      <c r="C1466" t="inlineStr">
        <is>
          <t>UKPN</t>
        </is>
      </c>
      <c r="D1466" t="inlineStr">
        <is>
          <t>FN600XM , 4x4 , Land Rover  , Defender</t>
        </is>
      </c>
      <c r="E1466" t="inlineStr">
        <is>
          <t>FN600XM , 4x4 , Land Rover  , Defender</t>
        </is>
      </c>
      <c r="F1466" t="inlineStr">
        <is>
          <t>FN600XM , 4x4 , Land Rover  , Defender</t>
        </is>
      </c>
      <c r="G1466" t="inlineStr">
        <is>
          <t xml:space="preserve">Dan Gilbert </t>
        </is>
      </c>
      <c r="H1466" t="inlineStr">
        <is>
          <t>4x4</t>
        </is>
      </c>
      <c r="I1466" t="inlineStr">
        <is>
          <t>Daily/ Weekly Vehicle Inspection</t>
        </is>
      </c>
      <c r="J1466" t="inlineStr">
        <is>
          <t>N/A</t>
        </is>
      </c>
      <c r="K1466" t="inlineStr">
        <is>
          <t>7186 Eastwoodbury Tree Services Ltd</t>
        </is>
      </c>
      <c r="L1466" t="inlineStr">
        <is>
          <t>11/09/2025 07:22</t>
        </is>
      </c>
      <c r="M1466" t="inlineStr">
        <is>
          <t>None</t>
        </is>
      </c>
      <c r="N1466" t="inlineStr">
        <is>
          <t>&lt;p&gt;&lt;/p&gt;</t>
        </is>
      </c>
      <c r="O1466" t="inlineStr"/>
      <c r="P1466" t="inlineStr">
        <is>
          <t>FN600XM , 4x4 , Land Rover  , Defender</t>
        </is>
      </c>
      <c r="Q1466" t="inlineStr">
        <is>
          <t>UKPN</t>
        </is>
      </c>
      <c r="R1466" t="b">
        <v>0</v>
      </c>
    </row>
    <row r="1467">
      <c r="A1467" t="inlineStr">
        <is>
          <t>11 Sep 2025 / 7951 Austin Tree Care LTD / Utilities / UKPN</t>
        </is>
      </c>
      <c r="B1467" t="inlineStr">
        <is>
          <t>Utilities</t>
        </is>
      </c>
      <c r="C1467" t="inlineStr">
        <is>
          <t>UKPN</t>
        </is>
      </c>
      <c r="D1467" t="inlineStr">
        <is>
          <t>WF61 HZV , 4x4 MEWP , Land Rover , Defender</t>
        </is>
      </c>
      <c r="E1467" t="inlineStr">
        <is>
          <t>WF61 HZV , 4x4 MEWP , Land Rover , Defender</t>
        </is>
      </c>
      <c r="F1467" t="inlineStr">
        <is>
          <t>WF61 HZV , 4x4 MEWP , Land Rover , Defender</t>
        </is>
      </c>
      <c r="G1467" t="inlineStr">
        <is>
          <t xml:space="preserve">Jack Austin </t>
        </is>
      </c>
      <c r="H1467" t="inlineStr">
        <is>
          <t>4x4</t>
        </is>
      </c>
      <c r="I1467" t="inlineStr">
        <is>
          <t>Daily/ Weekly Vehicle Inspection</t>
        </is>
      </c>
      <c r="J1467" t="inlineStr">
        <is>
          <t>N/A</t>
        </is>
      </c>
      <c r="K1467" t="inlineStr">
        <is>
          <t>7951 Austin Tree Care LTD</t>
        </is>
      </c>
      <c r="L1467" t="inlineStr">
        <is>
          <t>11/09/2025 07:22</t>
        </is>
      </c>
      <c r="M1467" t="inlineStr">
        <is>
          <t>None</t>
        </is>
      </c>
      <c r="N1467" t="inlineStr">
        <is>
          <t>&lt;p&gt;&lt;/p&gt;</t>
        </is>
      </c>
      <c r="O1467" t="inlineStr"/>
      <c r="P1467" t="inlineStr">
        <is>
          <t>WF61 HZV , 4x4 MEWP , Land Rover , Defender</t>
        </is>
      </c>
      <c r="Q1467" t="inlineStr">
        <is>
          <t>UKPN</t>
        </is>
      </c>
      <c r="R1467" t="b">
        <v>0</v>
      </c>
    </row>
    <row r="1468">
      <c r="A1468" t="inlineStr">
        <is>
          <t>11 Sep 2025 / 7889 Tree Tech Suffolk Ltd</t>
        </is>
      </c>
      <c r="B1468" t="inlineStr">
        <is>
          <t>Utilities &amp; Inland Waterways</t>
        </is>
      </c>
      <c r="C1468" t="inlineStr">
        <is>
          <t>UKPN</t>
        </is>
      </c>
      <c r="D1468" t="inlineStr">
        <is>
          <t>Tow Chipper - Jenson - A530L - 55210639484x4 - Isuzu - D-max - NS03 TTSTipper - Nissan - Navara - NS02TTS</t>
        </is>
      </c>
      <c r="E1468" t="inlineStr">
        <is>
          <t>Tow Chipper - Jenson - A530L - 55210639484x4 - Isuzu - D-max - NS03 TTSTipper - Nissan - Navara - NS02TTS</t>
        </is>
      </c>
      <c r="F1468" t="inlineStr">
        <is>
          <t>Tow Chipper - Jenson - A530L - 55210639484x4 - Isuzu - D-max - NS03 TTSTipper - Nissan - Navara - NS02TTS</t>
        </is>
      </c>
      <c r="G1468" t="inlineStr">
        <is>
          <t xml:space="preserve">Nikki sparrow Danny Appleby Nikki sparrow </t>
        </is>
      </c>
      <c r="H1468" t="inlineStr">
        <is>
          <t>Towed Chipper4x4Tipper</t>
        </is>
      </c>
      <c r="I1468" t="inlineStr">
        <is>
          <t>Daily/ Weekly Vehicle Inspection</t>
        </is>
      </c>
      <c r="J1468" t="inlineStr">
        <is>
          <t>N/A</t>
        </is>
      </c>
      <c r="K1468" t="inlineStr">
        <is>
          <t>7889 Tree Tech Suffolk Ltd</t>
        </is>
      </c>
      <c r="L1468" t="inlineStr">
        <is>
          <t>11/09/2025 07:25</t>
        </is>
      </c>
      <c r="M1468" t="inlineStr">
        <is>
          <t>None</t>
        </is>
      </c>
      <c r="N1468" t="inlineStr">
        <is>
          <t>&lt;p&gt;&lt;/p&gt;</t>
        </is>
      </c>
      <c r="O1468" t="inlineStr">
        <is>
          <t>Select Vehicle:Using another chipper while ours is being fixed. Has no wheel nut indicatorsSelect Vehicle:KX65 FCZ. Tried adding vehicle but not showing up. Intermittent fault on side lights.Select Vehicle:Ns05 TTS. Land Rover discovery. Tried adding vehicle but not showing up</t>
        </is>
      </c>
      <c r="P1468" t="inlineStr">
        <is>
          <t>Tow Chipper - Jenson - A530L - 55210639484x4 - Isuzu - D-max - NS03 TTSTipper - Nissan - Navara - NS02TTS</t>
        </is>
      </c>
      <c r="Q1468" t="inlineStr">
        <is>
          <t>UKPN</t>
        </is>
      </c>
      <c r="R1468" t="b">
        <v>0</v>
      </c>
    </row>
    <row r="1469">
      <c r="A1469" t="inlineStr">
        <is>
          <t>11 Sep 2025 / 7800 MAC Tree Surgery and Fencing Ltd</t>
        </is>
      </c>
      <c r="B1469" t="inlineStr">
        <is>
          <t>Utilities &amp; Inland Waterways</t>
        </is>
      </c>
      <c r="C1469" t="inlineStr">
        <is>
          <t>UKPN</t>
        </is>
      </c>
      <c r="D1469" t="inlineStr">
        <is>
          <t>AY68DAA , 4x4 , Izuzu , Dmax</t>
        </is>
      </c>
      <c r="E1469" t="inlineStr">
        <is>
          <t>AY68DAA , 4x4 , Izuzu , Dmax</t>
        </is>
      </c>
      <c r="F1469" t="inlineStr">
        <is>
          <t>AY68DAA , 4x4 , Izuzu , Dmax</t>
        </is>
      </c>
      <c r="G1469" t="inlineStr">
        <is>
          <t xml:space="preserve">Lewis mac </t>
        </is>
      </c>
      <c r="H1469" t="inlineStr">
        <is>
          <t>4x4</t>
        </is>
      </c>
      <c r="I1469" t="inlineStr">
        <is>
          <t>Daily/ Weekly Vehicle Inspection</t>
        </is>
      </c>
      <c r="J1469" t="inlineStr">
        <is>
          <t>N/A</t>
        </is>
      </c>
      <c r="K1469" t="inlineStr">
        <is>
          <t>7800 MAC Tree Surgery and Fencing Ltd</t>
        </is>
      </c>
      <c r="L1469" t="inlineStr">
        <is>
          <t>11/09/2025 07:25</t>
        </is>
      </c>
      <c r="M1469" t="inlineStr">
        <is>
          <t>None</t>
        </is>
      </c>
      <c r="N1469" t="inlineStr">
        <is>
          <t>&lt;p&gt;&lt;/p&gt;</t>
        </is>
      </c>
      <c r="O1469" t="inlineStr"/>
      <c r="P1469" t="inlineStr">
        <is>
          <t>AY68DAA , 4x4 , Izuzu , Dmax</t>
        </is>
      </c>
      <c r="Q1469" t="inlineStr">
        <is>
          <t>UKPN</t>
        </is>
      </c>
      <c r="R1469" t="b">
        <v>0</v>
      </c>
    </row>
    <row r="1470">
      <c r="A1470" t="inlineStr">
        <is>
          <t>11 Sep 2025 / 7806 Optimum Tree Services Ltd / Utilities / UKPN</t>
        </is>
      </c>
      <c r="B1470" t="inlineStr">
        <is>
          <t>Utilities</t>
        </is>
      </c>
      <c r="C1470" t="inlineStr">
        <is>
          <t>UKPN</t>
        </is>
      </c>
      <c r="D1470" t="inlineStr">
        <is>
          <t>SA9ST800000283069 , Chipper , Forst , ST 6P</t>
        </is>
      </c>
      <c r="E1470" t="inlineStr">
        <is>
          <t>SA9ST800000283069 , Chipper , Forst , ST 6P</t>
        </is>
      </c>
      <c r="F1470" t="inlineStr">
        <is>
          <t>SA9ST800000283069 , Chipper , Forst , ST 6P</t>
        </is>
      </c>
      <c r="G1470" t="inlineStr">
        <is>
          <t xml:space="preserve">Abraham Davies </t>
        </is>
      </c>
      <c r="H1470" t="inlineStr">
        <is>
          <t>Towed Chipper</t>
        </is>
      </c>
      <c r="I1470" t="inlineStr">
        <is>
          <t>Daily/ Weekly Vehicle Inspection</t>
        </is>
      </c>
      <c r="J1470" t="inlineStr">
        <is>
          <t>N/A</t>
        </is>
      </c>
      <c r="K1470" t="inlineStr">
        <is>
          <t>7806 Optimum Tree Services Ltd</t>
        </is>
      </c>
      <c r="L1470" t="inlineStr">
        <is>
          <t>11/09/2025 08:20</t>
        </is>
      </c>
      <c r="M1470" t="inlineStr">
        <is>
          <t>None</t>
        </is>
      </c>
      <c r="N1470" t="inlineStr">
        <is>
          <t>&lt;p&gt;&lt;/p&gt;</t>
        </is>
      </c>
      <c r="O1470" t="inlineStr"/>
      <c r="P1470" t="inlineStr">
        <is>
          <t>SA9ST800000283069 , Chipper , Forst , ST 6P</t>
        </is>
      </c>
      <c r="Q1470" t="inlineStr">
        <is>
          <t>UKPN</t>
        </is>
      </c>
      <c r="R1470" t="b">
        <v>0</v>
      </c>
    </row>
    <row r="1471">
      <c r="A1471" t="inlineStr">
        <is>
          <t>11 Sep 2025 / 7806 Optimum Tree Services Ltd / Utilities / UKPN</t>
        </is>
      </c>
      <c r="B1471" t="inlineStr">
        <is>
          <t>Utilities</t>
        </is>
      </c>
      <c r="C1471" t="inlineStr">
        <is>
          <t>UKPN</t>
        </is>
      </c>
      <c r="D1471" t="inlineStr">
        <is>
          <t>WD14EVB , MEWP , Land Rover , Defender</t>
        </is>
      </c>
      <c r="E1471" t="inlineStr">
        <is>
          <t>WD14EVB , MEWP , Land Rover , Defender</t>
        </is>
      </c>
      <c r="F1471" t="inlineStr">
        <is>
          <t>WD14EVB , MEWP , Land Rover , Defender</t>
        </is>
      </c>
      <c r="G1471" t="inlineStr">
        <is>
          <t xml:space="preserve">Abraham Davies </t>
        </is>
      </c>
      <c r="H1471" t="inlineStr">
        <is>
          <t>4x4</t>
        </is>
      </c>
      <c r="I1471" t="inlineStr">
        <is>
          <t>Daily/ Weekly Vehicle Inspection</t>
        </is>
      </c>
      <c r="J1471" t="inlineStr">
        <is>
          <t>N/A</t>
        </is>
      </c>
      <c r="K1471" t="inlineStr">
        <is>
          <t>7806 Optimum Tree Services Ltd</t>
        </is>
      </c>
      <c r="L1471" t="inlineStr">
        <is>
          <t>11/09/2025 08:21</t>
        </is>
      </c>
      <c r="M1471" t="inlineStr">
        <is>
          <t>None</t>
        </is>
      </c>
      <c r="N1471" t="inlineStr">
        <is>
          <t>&lt;p&gt;&lt;/p&gt;</t>
        </is>
      </c>
      <c r="O1471" t="inlineStr"/>
      <c r="P1471" t="inlineStr">
        <is>
          <t>WD14EVB , MEWP , Land Rover , Defender</t>
        </is>
      </c>
      <c r="Q1471" t="inlineStr">
        <is>
          <t>UKPN</t>
        </is>
      </c>
      <c r="R1471" t="b">
        <v>0</v>
      </c>
    </row>
    <row r="1472">
      <c r="A1472" t="inlineStr">
        <is>
          <t>11 Sep 2025 / Thomas Playford / Utilities / UKPN</t>
        </is>
      </c>
      <c r="B1472" t="inlineStr">
        <is>
          <t>Utilities</t>
        </is>
      </c>
      <c r="C1472" t="inlineStr">
        <is>
          <t>UKPN</t>
        </is>
      </c>
      <c r="D1472" t="inlineStr">
        <is>
          <t>SA9ST800000283944 , Tow Chipper , Forst , ST8D - Towed</t>
        </is>
      </c>
      <c r="E1472" t="inlineStr">
        <is>
          <t>SA9ST800000283944 , Tow Chipper , Forst , ST8D - Towed</t>
        </is>
      </c>
      <c r="F1472" t="inlineStr">
        <is>
          <t>SA9ST800000283944 , Tow Chipper , Forst , ST8D - Towed</t>
        </is>
      </c>
      <c r="G1472" t="inlineStr">
        <is>
          <t>Jacob Oram</t>
        </is>
      </c>
      <c r="H1472" t="inlineStr">
        <is>
          <t>Towed Chipper</t>
        </is>
      </c>
      <c r="I1472" t="inlineStr">
        <is>
          <t>Daily/ Weekly Vehicle Inspection</t>
        </is>
      </c>
      <c r="J1472" t="inlineStr">
        <is>
          <t>N/A</t>
        </is>
      </c>
      <c r="K1472" t="inlineStr">
        <is>
          <t>7995 Contour Landscapes Ltd 2</t>
        </is>
      </c>
      <c r="L1472" t="inlineStr">
        <is>
          <t>11/09/2025 08:22</t>
        </is>
      </c>
      <c r="M1472" t="inlineStr">
        <is>
          <t>None</t>
        </is>
      </c>
      <c r="N1472" t="inlineStr">
        <is>
          <t>&lt;p&gt;&lt;/p&gt;</t>
        </is>
      </c>
      <c r="O1472" t="inlineStr"/>
      <c r="P1472" t="inlineStr">
        <is>
          <t>SA9ST800000283944 , Tow Chipper , Forst , ST8D - Towed</t>
        </is>
      </c>
      <c r="Q1472" t="inlineStr">
        <is>
          <t>UKPN</t>
        </is>
      </c>
      <c r="R1472" t="b">
        <v>0</v>
      </c>
    </row>
    <row r="1473">
      <c r="A1473" t="inlineStr">
        <is>
          <t>11 Sep 2025 / Thomas Playford / Utilities / UKPN</t>
        </is>
      </c>
      <c r="B1473" t="inlineStr">
        <is>
          <t>Utilities</t>
        </is>
      </c>
      <c r="C1473" t="inlineStr">
        <is>
          <t>UKPN</t>
        </is>
      </c>
      <c r="D1473" t="inlineStr">
        <is>
          <t>YP24 WRD , Vehicle , Ford , Ranger</t>
        </is>
      </c>
      <c r="E1473" t="inlineStr">
        <is>
          <t>YP24 WRD , Vehicle , Ford , Ranger</t>
        </is>
      </c>
      <c r="F1473" t="inlineStr">
        <is>
          <t>YP24 WRD , Vehicle , Ford , Ranger</t>
        </is>
      </c>
      <c r="G1473" t="inlineStr">
        <is>
          <t>Jacob Oram</t>
        </is>
      </c>
      <c r="H1473" t="inlineStr">
        <is>
          <t>4x4</t>
        </is>
      </c>
      <c r="I1473" t="inlineStr">
        <is>
          <t>Daily/ Weekly Vehicle Inspection</t>
        </is>
      </c>
      <c r="J1473" t="inlineStr">
        <is>
          <t>N/A</t>
        </is>
      </c>
      <c r="K1473" t="inlineStr">
        <is>
          <t>7995 Contour Landscapes Ltd 2</t>
        </is>
      </c>
      <c r="L1473" t="inlineStr">
        <is>
          <t>11/09/2025 08:22</t>
        </is>
      </c>
      <c r="M1473" t="inlineStr">
        <is>
          <t>None</t>
        </is>
      </c>
      <c r="N1473" t="inlineStr">
        <is>
          <t>&lt;p&gt;&lt;/p&gt;</t>
        </is>
      </c>
      <c r="O1473" t="inlineStr"/>
      <c r="P1473" t="inlineStr">
        <is>
          <t>YP24 WRD , Vehicle , Ford , Ranger</t>
        </is>
      </c>
      <c r="Q1473" t="inlineStr">
        <is>
          <t>UKPN</t>
        </is>
      </c>
      <c r="R1473" t="b">
        <v>0</v>
      </c>
    </row>
    <row r="1474">
      <c r="A1474" t="inlineStr">
        <is>
          <t>11 Sep 2025 / Thomas Nandi / Utilities / SSE</t>
        </is>
      </c>
      <c r="B1474" t="inlineStr">
        <is>
          <t>Utilities</t>
        </is>
      </c>
      <c r="C1474" t="inlineStr">
        <is>
          <t>SSE</t>
        </is>
      </c>
      <c r="D1474" t="inlineStr"/>
      <c r="E1474" t="inlineStr"/>
      <c r="F1474" t="inlineStr"/>
      <c r="G1474" t="inlineStr">
        <is>
          <t xml:space="preserve">Tom Nandi </t>
        </is>
      </c>
      <c r="H1474" t="inlineStr">
        <is>
          <t>Car - Petrol</t>
        </is>
      </c>
      <c r="I1474" t="inlineStr">
        <is>
          <t>Daily/ Weekly Vehicle Inspection</t>
        </is>
      </c>
      <c r="J1474" t="inlineStr">
        <is>
          <t>N/A</t>
        </is>
      </c>
      <c r="K1474" t="inlineStr">
        <is>
          <t>Thomas Nandi</t>
        </is>
      </c>
      <c r="L1474" t="inlineStr">
        <is>
          <t>11/09/2025 09:20</t>
        </is>
      </c>
      <c r="M1474" t="inlineStr">
        <is>
          <t>None</t>
        </is>
      </c>
      <c r="N1474" t="inlineStr">
        <is>
          <t>&lt;p&gt;&lt;/p&gt;</t>
        </is>
      </c>
      <c r="O1474" t="inlineStr"/>
      <c r="P1474" t="inlineStr"/>
      <c r="Q1474" t="inlineStr">
        <is>
          <t>SSE</t>
        </is>
      </c>
      <c r="R1474" t="b">
        <v>0</v>
      </c>
    </row>
    <row r="1475">
      <c r="A1475" t="inlineStr">
        <is>
          <t>11 Sep 2025 / 6617 Ashdown Tree Limited 1 / Utilities / UKPN</t>
        </is>
      </c>
      <c r="B1475" t="inlineStr">
        <is>
          <t>Utilities</t>
        </is>
      </c>
      <c r="C1475" t="inlineStr">
        <is>
          <t>UKPN</t>
        </is>
      </c>
      <c r="D1475" t="inlineStr">
        <is>
          <t>SBXTW35A6LS209184 , Tow Chipper , Timberwolf , TW230DHB</t>
        </is>
      </c>
      <c r="E1475" t="inlineStr">
        <is>
          <t>SBXTW35A6LS209184 , Tow Chipper , Timberwolf , TW230DHB</t>
        </is>
      </c>
      <c r="F1475" t="inlineStr">
        <is>
          <t>SBXTW35A6LS209184 , Tow Chipper , Timberwolf , TW230DHB</t>
        </is>
      </c>
      <c r="G1475" t="inlineStr">
        <is>
          <t xml:space="preserve">Francislesser </t>
        </is>
      </c>
      <c r="H1475" t="inlineStr">
        <is>
          <t>Towed Chipper</t>
        </is>
      </c>
      <c r="I1475" t="inlineStr">
        <is>
          <t>Daily/ Weekly Vehicle Inspection</t>
        </is>
      </c>
      <c r="J1475" t="inlineStr">
        <is>
          <t>N/A</t>
        </is>
      </c>
      <c r="K1475" t="inlineStr">
        <is>
          <t>6617 Ashdown Tree Limited 1</t>
        </is>
      </c>
      <c r="L1475" t="inlineStr">
        <is>
          <t>11/09/2025 09:22</t>
        </is>
      </c>
      <c r="M1475" t="inlineStr">
        <is>
          <t>None</t>
        </is>
      </c>
      <c r="N1475" t="inlineStr">
        <is>
          <t>&lt;p&gt;&lt;/p&gt;</t>
        </is>
      </c>
      <c r="O1475" t="inlineStr"/>
      <c r="P1475" t="inlineStr">
        <is>
          <t>SBXTW35A6LS209184 , Tow Chipper , Timberwolf , TW230DHB</t>
        </is>
      </c>
      <c r="Q1475" t="inlineStr">
        <is>
          <t>UKPN</t>
        </is>
      </c>
      <c r="R1475" t="b">
        <v>0</v>
      </c>
    </row>
    <row r="1476">
      <c r="A1476" t="inlineStr">
        <is>
          <t>11 Sep 2025 / 6617 Ashdown Tree Limited 1 / Utilities / UKPN</t>
        </is>
      </c>
      <c r="B1476" t="inlineStr">
        <is>
          <t>Utilities</t>
        </is>
      </c>
      <c r="C1476" t="inlineStr">
        <is>
          <t>UKPN</t>
        </is>
      </c>
      <c r="D1476" t="inlineStr">
        <is>
          <t>TR55TUB , 4x4 , Land rover  , Defender mewp</t>
        </is>
      </c>
      <c r="E1476" t="inlineStr">
        <is>
          <t>TR55TUB , 4x4 , Land rover  , Defender mewp</t>
        </is>
      </c>
      <c r="F1476" t="inlineStr">
        <is>
          <t>TR55TUB , 4x4 , Land rover  , Defender mewp</t>
        </is>
      </c>
      <c r="G1476" t="inlineStr">
        <is>
          <t xml:space="preserve">Francislesser </t>
        </is>
      </c>
      <c r="H1476" t="inlineStr">
        <is>
          <t>4x4</t>
        </is>
      </c>
      <c r="I1476" t="inlineStr">
        <is>
          <t>Daily/ Weekly Vehicle Inspection</t>
        </is>
      </c>
      <c r="J1476" t="inlineStr">
        <is>
          <t>N/A</t>
        </is>
      </c>
      <c r="K1476" t="inlineStr">
        <is>
          <t>6617 Ashdown Tree Limited 1</t>
        </is>
      </c>
      <c r="L1476" t="inlineStr">
        <is>
          <t>11/09/2025 09:22</t>
        </is>
      </c>
      <c r="M1476" t="inlineStr">
        <is>
          <t>None</t>
        </is>
      </c>
      <c r="N1476" t="inlineStr">
        <is>
          <t>&lt;p&gt;&lt;/p&gt;</t>
        </is>
      </c>
      <c r="O1476" t="inlineStr"/>
      <c r="P1476" t="inlineStr">
        <is>
          <t>TR55TUB , 4x4 , Land rover  , Defender mewp</t>
        </is>
      </c>
      <c r="Q1476" t="inlineStr">
        <is>
          <t>UKPN</t>
        </is>
      </c>
      <c r="R1476" t="b">
        <v>0</v>
      </c>
    </row>
    <row r="1477">
      <c r="A1477" t="inlineStr">
        <is>
          <t>12 Sep 2025 / 7186 Eastwoodbury Tree Services Ltd / Utilities / UKPN</t>
        </is>
      </c>
      <c r="B1477" t="inlineStr">
        <is>
          <t>Utilities</t>
        </is>
      </c>
      <c r="C1477" t="inlineStr">
        <is>
          <t>UKPN</t>
        </is>
      </c>
      <c r="D1477" t="inlineStr">
        <is>
          <t>4x4 - Land rover  - Defenders  - WF13 EKM</t>
        </is>
      </c>
      <c r="E1477" t="inlineStr">
        <is>
          <t>4x4 - Land rover  - Defenders  - WF13 EKM</t>
        </is>
      </c>
      <c r="F1477" t="inlineStr">
        <is>
          <t>4x4 - Land rover  - Defenders  - WF13 EKM</t>
        </is>
      </c>
      <c r="G1477" t="inlineStr">
        <is>
          <t xml:space="preserve">Jay Denkmayer </t>
        </is>
      </c>
      <c r="H1477" t="inlineStr">
        <is>
          <t>4x4</t>
        </is>
      </c>
      <c r="I1477" t="inlineStr">
        <is>
          <t>Daily/ Weekly Vehicle Inspection</t>
        </is>
      </c>
      <c r="J1477" t="inlineStr">
        <is>
          <t>N/A</t>
        </is>
      </c>
      <c r="K1477" t="inlineStr">
        <is>
          <t>7186 Eastwoodbury Tree Services Ltd</t>
        </is>
      </c>
      <c r="L1477" t="inlineStr">
        <is>
          <t>12/09/2025 07:21</t>
        </is>
      </c>
      <c r="M1477" t="inlineStr">
        <is>
          <t>None</t>
        </is>
      </c>
      <c r="N1477" t="inlineStr">
        <is>
          <t>&lt;p&gt;&lt;/p&gt;</t>
        </is>
      </c>
      <c r="O1477" t="inlineStr"/>
      <c r="P1477" t="inlineStr">
        <is>
          <t>4x4 - Land rover  - Defenders  - WF13 EKM</t>
        </is>
      </c>
      <c r="Q1477" t="inlineStr">
        <is>
          <t>UKPN</t>
        </is>
      </c>
      <c r="R1477" t="b">
        <v>0</v>
      </c>
    </row>
    <row r="1478">
      <c r="A1478" t="inlineStr">
        <is>
          <t>12 Sep 2025 / 7800 MAC Tree Surgery and Fencing Ltd</t>
        </is>
      </c>
      <c r="B1478" t="inlineStr">
        <is>
          <t>Utilities &amp; Inland Waterways</t>
        </is>
      </c>
      <c r="C1478" t="inlineStr">
        <is>
          <t>UKPN</t>
        </is>
      </c>
      <c r="D1478" t="inlineStr">
        <is>
          <t>AY68DAA , 4x4 , Izuzu , Dmax</t>
        </is>
      </c>
      <c r="E1478" t="inlineStr">
        <is>
          <t>AY68DAA , 4x4 , Izuzu , Dmax</t>
        </is>
      </c>
      <c r="F1478" t="inlineStr">
        <is>
          <t>AY68DAA , 4x4 , Izuzu , Dmax</t>
        </is>
      </c>
      <c r="G1478" t="inlineStr">
        <is>
          <t xml:space="preserve">Lewis mac </t>
        </is>
      </c>
      <c r="H1478" t="inlineStr">
        <is>
          <t>4x4</t>
        </is>
      </c>
      <c r="I1478" t="inlineStr">
        <is>
          <t>Daily/ Weekly Vehicle Inspection</t>
        </is>
      </c>
      <c r="J1478" t="inlineStr">
        <is>
          <t>N/A</t>
        </is>
      </c>
      <c r="K1478" t="inlineStr">
        <is>
          <t>7800 MAC Tree Surgery and Fencing Ltd</t>
        </is>
      </c>
      <c r="L1478" t="inlineStr">
        <is>
          <t>12/09/2025 07:22</t>
        </is>
      </c>
      <c r="M1478" t="inlineStr">
        <is>
          <t>None</t>
        </is>
      </c>
      <c r="N1478" t="inlineStr">
        <is>
          <t>&lt;p&gt;&lt;/p&gt;</t>
        </is>
      </c>
      <c r="O1478" t="inlineStr"/>
      <c r="P1478" t="inlineStr">
        <is>
          <t>AY68DAA , 4x4 , Izuzu , Dmax</t>
        </is>
      </c>
      <c r="Q1478" t="inlineStr">
        <is>
          <t>UKPN</t>
        </is>
      </c>
      <c r="R1478" t="b">
        <v>0</v>
      </c>
    </row>
    <row r="1479">
      <c r="A1479" t="inlineStr">
        <is>
          <t>12 Sep 2025 / 7806 Optimum Tree Services Ltd / Utilities / UKPN</t>
        </is>
      </c>
      <c r="B1479" t="inlineStr">
        <is>
          <t>Utilities</t>
        </is>
      </c>
      <c r="C1479" t="inlineStr">
        <is>
          <t>UKPN</t>
        </is>
      </c>
      <c r="D1479" t="inlineStr">
        <is>
          <t>SA9ST800000283069 , Chipper , Forst , ST 6P</t>
        </is>
      </c>
      <c r="E1479" t="inlineStr">
        <is>
          <t>SA9ST800000283069 , Chipper , Forst , ST 6P</t>
        </is>
      </c>
      <c r="F1479" t="inlineStr">
        <is>
          <t>SA9ST800000283069 , Chipper , Forst , ST 6P</t>
        </is>
      </c>
      <c r="G1479" t="inlineStr">
        <is>
          <t xml:space="preserve">Abraham Davies </t>
        </is>
      </c>
      <c r="H1479" t="inlineStr">
        <is>
          <t>Towed Chipper</t>
        </is>
      </c>
      <c r="I1479" t="inlineStr">
        <is>
          <t>Daily/ Weekly Vehicle Inspection</t>
        </is>
      </c>
      <c r="J1479" t="inlineStr">
        <is>
          <t>N/A</t>
        </is>
      </c>
      <c r="K1479" t="inlineStr">
        <is>
          <t>7806 Optimum Tree Services Ltd</t>
        </is>
      </c>
      <c r="L1479" t="inlineStr">
        <is>
          <t>12/09/2025 08:21</t>
        </is>
      </c>
      <c r="M1479" t="inlineStr">
        <is>
          <t>None</t>
        </is>
      </c>
      <c r="N1479" t="inlineStr">
        <is>
          <t>&lt;p&gt;&lt;/p&gt;</t>
        </is>
      </c>
      <c r="O1479" t="inlineStr"/>
      <c r="P1479" t="inlineStr">
        <is>
          <t>SA9ST800000283069 , Chipper , Forst , ST 6P</t>
        </is>
      </c>
      <c r="Q1479" t="inlineStr">
        <is>
          <t>UKPN</t>
        </is>
      </c>
      <c r="R1479" t="b">
        <v>0</v>
      </c>
    </row>
    <row r="1480">
      <c r="A1480" t="inlineStr">
        <is>
          <t>12 Sep 2025 / 7806 Optimum Tree Services Ltd / Utilities / UKPN</t>
        </is>
      </c>
      <c r="B1480" t="inlineStr">
        <is>
          <t>Utilities</t>
        </is>
      </c>
      <c r="C1480" t="inlineStr">
        <is>
          <t>UKPN</t>
        </is>
      </c>
      <c r="D1480" t="inlineStr">
        <is>
          <t>WD14EVB , MEWP , Land Rover , Defender</t>
        </is>
      </c>
      <c r="E1480" t="inlineStr">
        <is>
          <t>WD14EVB , MEWP , Land Rover , Defender</t>
        </is>
      </c>
      <c r="F1480" t="inlineStr">
        <is>
          <t>WD14EVB , MEWP , Land Rover , Defender</t>
        </is>
      </c>
      <c r="G1480" t="inlineStr">
        <is>
          <t xml:space="preserve">Abraham Davies </t>
        </is>
      </c>
      <c r="H1480" t="inlineStr">
        <is>
          <t>4x4</t>
        </is>
      </c>
      <c r="I1480" t="inlineStr">
        <is>
          <t>Daily/ Weekly Vehicle Inspection</t>
        </is>
      </c>
      <c r="J1480" t="inlineStr">
        <is>
          <t>N/A</t>
        </is>
      </c>
      <c r="K1480" t="inlineStr">
        <is>
          <t>7806 Optimum Tree Services Ltd</t>
        </is>
      </c>
      <c r="L1480" t="inlineStr">
        <is>
          <t>12/09/2025 08:22</t>
        </is>
      </c>
      <c r="M1480" t="inlineStr">
        <is>
          <t>None</t>
        </is>
      </c>
      <c r="N1480" t="inlineStr">
        <is>
          <t>&lt;p&gt;&lt;/p&gt;</t>
        </is>
      </c>
      <c r="O1480" t="inlineStr"/>
      <c r="P1480" t="inlineStr">
        <is>
          <t>WD14EVB , MEWP , Land Rover , Defender</t>
        </is>
      </c>
      <c r="Q1480" t="inlineStr">
        <is>
          <t>UKPN</t>
        </is>
      </c>
      <c r="R1480" t="b">
        <v>0</v>
      </c>
    </row>
    <row r="1481">
      <c r="A1481" t="inlineStr">
        <is>
          <t>12 Sep 2025 / 3098 D &amp; R Landscapes (PEND Arb Rail) / Utilities / UKPN</t>
        </is>
      </c>
      <c r="B1481" t="inlineStr">
        <is>
          <t>Utilities</t>
        </is>
      </c>
      <c r="C1481" t="inlineStr">
        <is>
          <t>UKPN</t>
        </is>
      </c>
      <c r="D1481" t="inlineStr">
        <is>
          <t>Vehicle - Nissan - Navara - BT20 GNZ</t>
        </is>
      </c>
      <c r="E1481" t="inlineStr">
        <is>
          <t>Vehicle - Nissan - Navara - BT20 GNZ</t>
        </is>
      </c>
      <c r="F1481" t="inlineStr">
        <is>
          <t>Vehicle - Nissan - Navara - BT20 GNZ</t>
        </is>
      </c>
      <c r="G1481" t="inlineStr">
        <is>
          <t xml:space="preserve">Chris </t>
        </is>
      </c>
      <c r="H1481" t="inlineStr">
        <is>
          <t>Pickup Truck</t>
        </is>
      </c>
      <c r="I1481" t="inlineStr">
        <is>
          <t>Daily/ Weekly Vehicle Inspection</t>
        </is>
      </c>
      <c r="J1481" t="inlineStr">
        <is>
          <t>N/A</t>
        </is>
      </c>
      <c r="K1481" t="inlineStr">
        <is>
          <t>3098 D &amp; R Landscapes</t>
        </is>
      </c>
      <c r="L1481" t="inlineStr">
        <is>
          <t>12/09/2025 08:22</t>
        </is>
      </c>
      <c r="M1481" t="inlineStr">
        <is>
          <t>None</t>
        </is>
      </c>
      <c r="N1481" t="inlineStr">
        <is>
          <t>&lt;p&gt;&lt;/p&gt;</t>
        </is>
      </c>
      <c r="O1481" t="inlineStr"/>
      <c r="P1481" t="inlineStr">
        <is>
          <t>Vehicle - Nissan - Navara - BT20 GNZ</t>
        </is>
      </c>
      <c r="Q1481" t="inlineStr">
        <is>
          <t>UKPN</t>
        </is>
      </c>
      <c r="R1481" t="b">
        <v>0</v>
      </c>
    </row>
    <row r="1482">
      <c r="A1482" t="inlineStr">
        <is>
          <t>12 Sep 2025 / Anthony Gale / Utilities / UKPN</t>
        </is>
      </c>
      <c r="B1482" t="inlineStr">
        <is>
          <t>Utilities</t>
        </is>
      </c>
      <c r="C1482" t="inlineStr">
        <is>
          <t>UKPN</t>
        </is>
      </c>
      <c r="D1482" t="inlineStr">
        <is>
          <t>PE07 HGL , Vehicle , Mitsubishi , L200 K74</t>
        </is>
      </c>
      <c r="E1482" t="inlineStr">
        <is>
          <t>PE07 HGL , Vehicle , Mitsubishi , L200 K74</t>
        </is>
      </c>
      <c r="F1482" t="inlineStr">
        <is>
          <t>PE07 HGL , Vehicle , Mitsubishi , L200 K74</t>
        </is>
      </c>
      <c r="G1482" t="inlineStr">
        <is>
          <t>Anthony Gale</t>
        </is>
      </c>
      <c r="H1482" t="inlineStr">
        <is>
          <t>Pickup Truck</t>
        </is>
      </c>
      <c r="I1482" t="inlineStr">
        <is>
          <t>Daily/ Weekly Vehicle Inspection</t>
        </is>
      </c>
      <c r="J1482" t="inlineStr">
        <is>
          <t>N/A</t>
        </is>
      </c>
      <c r="K1482" t="inlineStr">
        <is>
          <t>7996 M G Tree Surgery Ltd 1</t>
        </is>
      </c>
      <c r="L1482" t="inlineStr">
        <is>
          <t>12/09/2025 08:23</t>
        </is>
      </c>
      <c r="M1482" t="inlineStr">
        <is>
          <t>None</t>
        </is>
      </c>
      <c r="N1482" t="inlineStr">
        <is>
          <t>&lt;p&gt;&lt;/p&gt;</t>
        </is>
      </c>
      <c r="O1482" t="inlineStr">
        <is>
          <t>Confirm that you have checked this vehicle as per the guidance document and the vehicle is safe and roadworthy:Drivers side wheel trim deteriorating, monitor situation.
-</t>
        </is>
      </c>
      <c r="P1482" t="inlineStr">
        <is>
          <t>PE07 HGL , Vehicle , Mitsubishi , L200 K74</t>
        </is>
      </c>
      <c r="Q1482" t="inlineStr">
        <is>
          <t>UKPN</t>
        </is>
      </c>
      <c r="R1482" t="b">
        <v>0</v>
      </c>
    </row>
    <row r="1483">
      <c r="A1483" t="inlineStr">
        <is>
          <t>12 Sep 2025 / Jodie Bowen / Utilities / UKPN</t>
        </is>
      </c>
      <c r="B1483" t="inlineStr">
        <is>
          <t>Utilities</t>
        </is>
      </c>
      <c r="C1483" t="inlineStr">
        <is>
          <t>UKPN</t>
        </is>
      </c>
      <c r="D1483" t="inlineStr">
        <is>
          <t>EK73UOL , Car - Electric , Kia , Niro</t>
        </is>
      </c>
      <c r="E1483" t="inlineStr">
        <is>
          <t>EK73UOL , Car - Electric , Kia , Niro</t>
        </is>
      </c>
      <c r="F1483" t="inlineStr">
        <is>
          <t>EK73UOL , Car - Electric , Kia , Niro</t>
        </is>
      </c>
      <c r="G1483" t="inlineStr">
        <is>
          <t xml:space="preserve">Jodie Bowen </t>
        </is>
      </c>
      <c r="H1483" t="inlineStr">
        <is>
          <t>Car - Electric (GC Owned)</t>
        </is>
      </c>
      <c r="I1483" t="inlineStr">
        <is>
          <t>Daily/ Weekly Vehicle Inspection</t>
        </is>
      </c>
      <c r="J1483" t="inlineStr">
        <is>
          <t>N/A</t>
        </is>
      </c>
      <c r="K1483" t="inlineStr">
        <is>
          <t>Jodie Bowen</t>
        </is>
      </c>
      <c r="L1483" t="inlineStr">
        <is>
          <t>12/09/2025 10:20</t>
        </is>
      </c>
      <c r="M1483" t="inlineStr">
        <is>
          <t>None</t>
        </is>
      </c>
      <c r="N1483" t="inlineStr">
        <is>
          <t>&lt;p&gt;&lt;/p&gt;</t>
        </is>
      </c>
      <c r="O1483" t="inlineStr"/>
      <c r="P1483" t="inlineStr">
        <is>
          <t>EK73UOL , Car - Electric , Kia , Niro</t>
        </is>
      </c>
      <c r="Q1483" t="inlineStr">
        <is>
          <t>UKPN</t>
        </is>
      </c>
      <c r="R1483" t="b">
        <v>0</v>
      </c>
    </row>
    <row r="1484">
      <c r="A1484" t="inlineStr">
        <is>
          <t>12 Sep 2025 / 3098 D &amp; R Landscapes (PEND Arb Rail) / Utilities / UKPN</t>
        </is>
      </c>
      <c r="B1484" t="inlineStr">
        <is>
          <t>Utilities</t>
        </is>
      </c>
      <c r="C1484" t="inlineStr">
        <is>
          <t>UKPN</t>
        </is>
      </c>
      <c r="D1484" t="inlineStr"/>
      <c r="E1484" t="inlineStr"/>
      <c r="F1484" t="inlineStr"/>
      <c r="G1484" t="inlineStr">
        <is>
          <t>Jason</t>
        </is>
      </c>
      <c r="H1484" t="inlineStr">
        <is>
          <t>Pickup Truck</t>
        </is>
      </c>
      <c r="I1484" t="inlineStr">
        <is>
          <t>Daily/ Weekly Vehicle Inspection</t>
        </is>
      </c>
      <c r="J1484" t="inlineStr">
        <is>
          <t>N/A</t>
        </is>
      </c>
      <c r="K1484" t="inlineStr">
        <is>
          <t>3098 D &amp; R Landscapes</t>
        </is>
      </c>
      <c r="L1484" t="inlineStr">
        <is>
          <t>12/09/2025 10:21</t>
        </is>
      </c>
      <c r="M1484" t="inlineStr">
        <is>
          <t>None</t>
        </is>
      </c>
      <c r="N1484" t="inlineStr">
        <is>
          <t>&lt;p&gt;&lt;/p&gt;</t>
        </is>
      </c>
      <c r="O1484" t="inlineStr"/>
      <c r="P1484" t="inlineStr"/>
      <c r="Q1484" t="inlineStr">
        <is>
          <t>UKPN</t>
        </is>
      </c>
      <c r="R1484" t="b">
        <v>0</v>
      </c>
    </row>
    <row r="1485">
      <c r="A1485" t="inlineStr">
        <is>
          <t>12 Sep 2025 / 6617 Ashdown Tree Limited 1 / Utilities / UKPN</t>
        </is>
      </c>
      <c r="B1485" t="inlineStr">
        <is>
          <t>Utilities</t>
        </is>
      </c>
      <c r="C1485" t="inlineStr">
        <is>
          <t>UKPN</t>
        </is>
      </c>
      <c r="D1485" t="inlineStr">
        <is>
          <t>Plant Trailer - Indespension - 211717 - 211717</t>
        </is>
      </c>
      <c r="E1485" t="inlineStr">
        <is>
          <t>Plant Trailer - Indespension - 211717 - 211717</t>
        </is>
      </c>
      <c r="F1485" t="inlineStr">
        <is>
          <t>Plant Trailer - Indespension - 211717 - 211717</t>
        </is>
      </c>
      <c r="G1485" t="inlineStr">
        <is>
          <t xml:space="preserve">Francislesser </t>
        </is>
      </c>
      <c r="H1485" t="inlineStr">
        <is>
          <t>Plant Trailer</t>
        </is>
      </c>
      <c r="I1485" t="inlineStr">
        <is>
          <t>Daily/ Weekly Vehicle Inspection</t>
        </is>
      </c>
      <c r="J1485" t="inlineStr">
        <is>
          <t>N/A</t>
        </is>
      </c>
      <c r="K1485" t="inlineStr">
        <is>
          <t>6617 Ashdown Tree Limited 1</t>
        </is>
      </c>
      <c r="L1485" t="inlineStr">
        <is>
          <t>12/09/2025 10:21</t>
        </is>
      </c>
      <c r="M1485" t="inlineStr">
        <is>
          <t>None</t>
        </is>
      </c>
      <c r="N1485" t="inlineStr">
        <is>
          <t>&lt;p&gt;&lt;/p&gt;</t>
        </is>
      </c>
      <c r="O1485" t="inlineStr"/>
      <c r="P1485" t="inlineStr">
        <is>
          <t>Plant Trailer - Indespension - 211717 - 211717</t>
        </is>
      </c>
      <c r="Q1485" t="inlineStr">
        <is>
          <t>UKPN</t>
        </is>
      </c>
      <c r="R1485" t="b">
        <v>0</v>
      </c>
    </row>
    <row r="1486">
      <c r="A1486" t="inlineStr">
        <is>
          <t>12 Sep 2025 / 6617 Ashdown Tree Limited 1 / Utilities / UKPN</t>
        </is>
      </c>
      <c r="B1486" t="inlineStr">
        <is>
          <t>Utilities</t>
        </is>
      </c>
      <c r="C1486" t="inlineStr">
        <is>
          <t>UKPN</t>
        </is>
      </c>
      <c r="D1486" t="inlineStr">
        <is>
          <t>WG63OJS , 4x4 , Land rover  , defender</t>
        </is>
      </c>
      <c r="E1486" t="inlineStr">
        <is>
          <t>WG63OJS , 4x4 , Land rover  , defender</t>
        </is>
      </c>
      <c r="F1486" t="inlineStr">
        <is>
          <t>WG63OJS , 4x4 , Land rover  , defender</t>
        </is>
      </c>
      <c r="G1486" t="inlineStr">
        <is>
          <t xml:space="preserve">Francislesser </t>
        </is>
      </c>
      <c r="H1486" t="inlineStr">
        <is>
          <t>4x4</t>
        </is>
      </c>
      <c r="I1486" t="inlineStr">
        <is>
          <t>Daily/ Weekly Vehicle Inspection</t>
        </is>
      </c>
      <c r="J1486" t="inlineStr">
        <is>
          <t>N/A</t>
        </is>
      </c>
      <c r="K1486" t="inlineStr">
        <is>
          <t>6617 Ashdown Tree Limited 1</t>
        </is>
      </c>
      <c r="L1486" t="inlineStr">
        <is>
          <t>12/09/2025 10:22</t>
        </is>
      </c>
      <c r="M1486" t="inlineStr">
        <is>
          <t>None</t>
        </is>
      </c>
      <c r="N1486" t="inlineStr">
        <is>
          <t>&lt;p&gt;&lt;/p&gt;</t>
        </is>
      </c>
      <c r="O1486" t="inlineStr"/>
      <c r="P1486" t="inlineStr">
        <is>
          <t>WG63OJS , 4x4 , Land rover  , defender</t>
        </is>
      </c>
      <c r="Q1486" t="inlineStr">
        <is>
          <t>UKPN</t>
        </is>
      </c>
      <c r="R1486" t="b">
        <v>0</v>
      </c>
    </row>
    <row r="1487">
      <c r="A1487" t="inlineStr">
        <is>
          <t>12 Sep 2025 / 7951 Austin Tree Care LTD / Utilities / UKPN</t>
        </is>
      </c>
      <c r="B1487" t="inlineStr">
        <is>
          <t>Utilities</t>
        </is>
      </c>
      <c r="C1487" t="inlineStr">
        <is>
          <t>UKPN</t>
        </is>
      </c>
      <c r="D1487" t="inlineStr">
        <is>
          <t>SA9ST6P0001283612 , Tow Chipper , Forst , ST6p</t>
        </is>
      </c>
      <c r="E1487" t="inlineStr">
        <is>
          <t>SA9ST6P0001283612 , Tow Chipper , Forst , ST6p</t>
        </is>
      </c>
      <c r="F1487" t="inlineStr">
        <is>
          <t>SA9ST6P0001283612 , Tow Chipper , Forst , ST6p</t>
        </is>
      </c>
      <c r="G1487" t="inlineStr">
        <is>
          <t xml:space="preserve">James Tasker </t>
        </is>
      </c>
      <c r="H1487" t="inlineStr">
        <is>
          <t>Towed Chipper</t>
        </is>
      </c>
      <c r="I1487" t="inlineStr">
        <is>
          <t>Daily/ Weekly Vehicle Inspection</t>
        </is>
      </c>
      <c r="J1487" t="inlineStr">
        <is>
          <t>N/A</t>
        </is>
      </c>
      <c r="K1487" t="inlineStr">
        <is>
          <t>7951 Austin Tree Care LTD</t>
        </is>
      </c>
      <c r="L1487" t="inlineStr">
        <is>
          <t>12/09/2025 11:21</t>
        </is>
      </c>
      <c r="M1487" t="inlineStr">
        <is>
          <t>None</t>
        </is>
      </c>
      <c r="N1487" t="inlineStr">
        <is>
          <t>&lt;p&gt;&lt;/p&gt;</t>
        </is>
      </c>
      <c r="O1487" t="inlineStr"/>
      <c r="P1487" t="inlineStr">
        <is>
          <t>SA9ST6P0001283612 , Tow Chipper , Forst , ST6p</t>
        </is>
      </c>
      <c r="Q1487" t="inlineStr">
        <is>
          <t>UKPN</t>
        </is>
      </c>
      <c r="R1487" t="b">
        <v>0</v>
      </c>
    </row>
    <row r="1488">
      <c r="A1488" t="inlineStr">
        <is>
          <t>12 Sep 2025 / 7951 Austin Tree Care LTD / Utilities / UKPN</t>
        </is>
      </c>
      <c r="B1488" t="inlineStr">
        <is>
          <t>Utilities</t>
        </is>
      </c>
      <c r="C1488" t="inlineStr">
        <is>
          <t>UKPN</t>
        </is>
      </c>
      <c r="D1488" t="inlineStr">
        <is>
          <t>WF61 HZV , 4x4 MEWP , Land Rover , Defender</t>
        </is>
      </c>
      <c r="E1488" t="inlineStr">
        <is>
          <t>WF61 HZV , 4x4 MEWP , Land Rover , Defender</t>
        </is>
      </c>
      <c r="F1488" t="inlineStr">
        <is>
          <t>WF61 HZV , 4x4 MEWP , Land Rover , Defender</t>
        </is>
      </c>
      <c r="G1488" t="inlineStr">
        <is>
          <t xml:space="preserve">James Tasker </t>
        </is>
      </c>
      <c r="H1488" t="inlineStr">
        <is>
          <t>4x4</t>
        </is>
      </c>
      <c r="I1488" t="inlineStr">
        <is>
          <t>Daily/ Weekly Vehicle Inspection</t>
        </is>
      </c>
      <c r="J1488" t="inlineStr">
        <is>
          <t>N/A</t>
        </is>
      </c>
      <c r="K1488" t="inlineStr">
        <is>
          <t>7951 Austin Tree Care LTD</t>
        </is>
      </c>
      <c r="L1488" t="inlineStr">
        <is>
          <t>12/09/2025 11:21</t>
        </is>
      </c>
      <c r="M1488" t="inlineStr">
        <is>
          <t>None</t>
        </is>
      </c>
      <c r="N1488" t="inlineStr">
        <is>
          <t>&lt;p&gt;&lt;/p&gt;</t>
        </is>
      </c>
      <c r="O1488" t="inlineStr"/>
      <c r="P1488" t="inlineStr">
        <is>
          <t>WF61 HZV , 4x4 MEWP , Land Rover , Defender</t>
        </is>
      </c>
      <c r="Q1488" t="inlineStr">
        <is>
          <t>UKPN</t>
        </is>
      </c>
      <c r="R1488" t="b">
        <v>0</v>
      </c>
    </row>
    <row r="1489">
      <c r="A1489" t="inlineStr">
        <is>
          <t>14 Sep 2025 / 7951 Austin Tree Care LTD / Utilities / UKPN</t>
        </is>
      </c>
      <c r="B1489" t="inlineStr">
        <is>
          <t>Utilities</t>
        </is>
      </c>
      <c r="C1489" t="inlineStr">
        <is>
          <t>UKPN</t>
        </is>
      </c>
      <c r="D1489" t="inlineStr">
        <is>
          <t>SA9ST6P0001283612 , Tow Chipper , Forst , ST6p</t>
        </is>
      </c>
      <c r="E1489" t="inlineStr">
        <is>
          <t>SA9ST6P0001283612 , Tow Chipper , Forst , ST6p</t>
        </is>
      </c>
      <c r="F1489" t="inlineStr">
        <is>
          <t>SA9ST6P0001283612 , Tow Chipper , Forst , ST6p</t>
        </is>
      </c>
      <c r="G1489" t="inlineStr">
        <is>
          <t xml:space="preserve">Jack Austin </t>
        </is>
      </c>
      <c r="H1489" t="inlineStr">
        <is>
          <t>Towed Chipper</t>
        </is>
      </c>
      <c r="I1489" t="inlineStr">
        <is>
          <t>Daily/ Weekly Vehicle Inspection</t>
        </is>
      </c>
      <c r="J1489" t="inlineStr">
        <is>
          <t>N/A</t>
        </is>
      </c>
      <c r="K1489" t="inlineStr">
        <is>
          <t>7951 Austin Tree Care LTD</t>
        </is>
      </c>
      <c r="L1489" t="inlineStr">
        <is>
          <t>14/09/2025 21:20</t>
        </is>
      </c>
      <c r="M1489" t="inlineStr">
        <is>
          <t>None</t>
        </is>
      </c>
      <c r="N1489" t="inlineStr">
        <is>
          <t>&lt;p&gt;&lt;/p&gt;</t>
        </is>
      </c>
      <c r="O1489" t="inlineStr"/>
      <c r="P1489" t="inlineStr">
        <is>
          <t>SA9ST6P0001283612 , Tow Chipper , Forst , ST6p</t>
        </is>
      </c>
      <c r="Q1489" t="inlineStr">
        <is>
          <t>UKPN</t>
        </is>
      </c>
      <c r="R1489" t="b">
        <v>0</v>
      </c>
    </row>
    <row r="1490">
      <c r="A1490" t="inlineStr">
        <is>
          <t>14 Sep 2025 / 7951 Austin Tree Care LTD / Utilities / UKPN</t>
        </is>
      </c>
      <c r="B1490" t="inlineStr">
        <is>
          <t>Utilities</t>
        </is>
      </c>
      <c r="C1490" t="inlineStr">
        <is>
          <t>UKPN</t>
        </is>
      </c>
      <c r="D1490" t="inlineStr">
        <is>
          <t>Kn58xuy , Tipper , VW  , Crafter</t>
        </is>
      </c>
      <c r="E1490" t="inlineStr">
        <is>
          <t>Kn58xuy , Tipper , VW  , Crafter</t>
        </is>
      </c>
      <c r="F1490" t="inlineStr">
        <is>
          <t>Kn58xuy , Tipper , VW  , Crafter</t>
        </is>
      </c>
      <c r="G1490" t="inlineStr">
        <is>
          <t xml:space="preserve">Jack Austin </t>
        </is>
      </c>
      <c r="H1490" t="inlineStr">
        <is>
          <t>Tipper</t>
        </is>
      </c>
      <c r="I1490" t="inlineStr">
        <is>
          <t>Daily/ Weekly Vehicle Inspection</t>
        </is>
      </c>
      <c r="J1490" t="inlineStr">
        <is>
          <t>N/A</t>
        </is>
      </c>
      <c r="K1490" t="inlineStr">
        <is>
          <t>7951 Austin Tree Care LTD</t>
        </is>
      </c>
      <c r="L1490" t="inlineStr">
        <is>
          <t>14/09/2025 21:21</t>
        </is>
      </c>
      <c r="M1490" t="inlineStr">
        <is>
          <t>None</t>
        </is>
      </c>
      <c r="N1490" t="inlineStr">
        <is>
          <t>&lt;p&gt;&lt;/p&gt;</t>
        </is>
      </c>
      <c r="O1490" t="inlineStr"/>
      <c r="P1490" t="inlineStr">
        <is>
          <t>Kn58xuy , Tipper , VW  , Crafter</t>
        </is>
      </c>
      <c r="Q1490" t="inlineStr">
        <is>
          <t>UKPN</t>
        </is>
      </c>
      <c r="R1490" t="b">
        <v>0</v>
      </c>
    </row>
    <row r="1491">
      <c r="A1491" t="inlineStr">
        <is>
          <t>15 Sep 2025 / 7186 Eastwoodbury Tree Services Ltd / Utilities / UKPN</t>
        </is>
      </c>
      <c r="B1491" t="inlineStr">
        <is>
          <t>Utilities</t>
        </is>
      </c>
      <c r="C1491" t="inlineStr">
        <is>
          <t>UKPN</t>
        </is>
      </c>
      <c r="D1491" t="inlineStr">
        <is>
          <t>4x4 - Land rover  - Defenders  - WF13 EKM</t>
        </is>
      </c>
      <c r="E1491" t="inlineStr">
        <is>
          <t>4x4 - Land rover  - Defenders  - WF13 EKM</t>
        </is>
      </c>
      <c r="F1491" t="inlineStr">
        <is>
          <t>4x4 - Land rover  - Defenders  - WF13 EKM</t>
        </is>
      </c>
      <c r="G1491" t="inlineStr">
        <is>
          <t xml:space="preserve">Jay Denkmayer </t>
        </is>
      </c>
      <c r="H1491" t="inlineStr">
        <is>
          <t>4x4</t>
        </is>
      </c>
      <c r="I1491" t="inlineStr">
        <is>
          <t>Daily/ Weekly Vehicle Inspection</t>
        </is>
      </c>
      <c r="J1491" t="inlineStr">
        <is>
          <t>N/A</t>
        </is>
      </c>
      <c r="K1491" t="inlineStr">
        <is>
          <t>7186 Eastwoodbury Tree Services Ltd</t>
        </is>
      </c>
      <c r="L1491" t="inlineStr">
        <is>
          <t>15/09/2025 07:22</t>
        </is>
      </c>
      <c r="M1491" t="inlineStr">
        <is>
          <t>None</t>
        </is>
      </c>
      <c r="N1491" t="inlineStr">
        <is>
          <t>&lt;p&gt;&lt;/p&gt;</t>
        </is>
      </c>
      <c r="O1491" t="inlineStr"/>
      <c r="P1491" t="inlineStr">
        <is>
          <t>4x4 - Land rover  - Defenders  - WF13 EKM</t>
        </is>
      </c>
      <c r="Q1491" t="inlineStr">
        <is>
          <t>UKPN</t>
        </is>
      </c>
      <c r="R1491" t="b">
        <v>0</v>
      </c>
    </row>
    <row r="1492">
      <c r="A1492" t="inlineStr">
        <is>
          <t>15 Sep 2025 / 7186 Eastwoodbury Tree Services Ltd / Utilities / UKPN</t>
        </is>
      </c>
      <c r="B1492" t="inlineStr">
        <is>
          <t>Utilities</t>
        </is>
      </c>
      <c r="C1492" t="inlineStr">
        <is>
          <t>UKPN</t>
        </is>
      </c>
      <c r="D1492" t="inlineStr">
        <is>
          <t>FN600XM , 4x4 , Land Rover  , Defender</t>
        </is>
      </c>
      <c r="E1492" t="inlineStr">
        <is>
          <t>FN600XM , 4x4 , Land Rover  , Defender</t>
        </is>
      </c>
      <c r="F1492" t="inlineStr">
        <is>
          <t>FN600XM , 4x4 , Land Rover  , Defender</t>
        </is>
      </c>
      <c r="G1492" t="inlineStr">
        <is>
          <t xml:space="preserve">Dan Gilbert </t>
        </is>
      </c>
      <c r="H1492" t="inlineStr">
        <is>
          <t>4x4</t>
        </is>
      </c>
      <c r="I1492" t="inlineStr">
        <is>
          <t>Daily/ Weekly Vehicle Inspection</t>
        </is>
      </c>
      <c r="J1492" t="inlineStr">
        <is>
          <t>N/A</t>
        </is>
      </c>
      <c r="K1492" t="inlineStr">
        <is>
          <t>7186 Eastwoodbury Tree Services Ltd</t>
        </is>
      </c>
      <c r="L1492" t="inlineStr">
        <is>
          <t>15/09/2025 07:23</t>
        </is>
      </c>
      <c r="M1492" t="inlineStr">
        <is>
          <t>None</t>
        </is>
      </c>
      <c r="N1492" t="inlineStr">
        <is>
          <t>&lt;p&gt;&lt;/p&gt;</t>
        </is>
      </c>
      <c r="O1492" t="inlineStr"/>
      <c r="P1492" t="inlineStr">
        <is>
          <t>FN600XM , 4x4 , Land Rover  , Defender</t>
        </is>
      </c>
      <c r="Q1492" t="inlineStr">
        <is>
          <t>UKPN</t>
        </is>
      </c>
      <c r="R1492" t="b">
        <v>0</v>
      </c>
    </row>
    <row r="1493">
      <c r="A1493" t="inlineStr">
        <is>
          <t>15 Sep 2025 / 7806 Optimum Tree Services Ltd / Utilities / UKPN</t>
        </is>
      </c>
      <c r="B1493" t="inlineStr">
        <is>
          <t>Utilities</t>
        </is>
      </c>
      <c r="C1493" t="inlineStr">
        <is>
          <t>UKPN</t>
        </is>
      </c>
      <c r="D1493" t="inlineStr">
        <is>
          <t>WD14EVB , MEWP , Land Rover , Defender</t>
        </is>
      </c>
      <c r="E1493" t="inlineStr">
        <is>
          <t>WD14EVB , MEWP , Land Rover , Defender</t>
        </is>
      </c>
      <c r="F1493" t="inlineStr">
        <is>
          <t>WD14EVB , MEWP , Land Rover , Defender</t>
        </is>
      </c>
      <c r="G1493" t="inlineStr">
        <is>
          <t xml:space="preserve">Abraham Davies </t>
        </is>
      </c>
      <c r="H1493" t="inlineStr">
        <is>
          <t>4x4</t>
        </is>
      </c>
      <c r="I1493" t="inlineStr">
        <is>
          <t>Daily/ Weekly Vehicle Inspection</t>
        </is>
      </c>
      <c r="J1493" t="inlineStr">
        <is>
          <t>N/A</t>
        </is>
      </c>
      <c r="K1493" t="inlineStr">
        <is>
          <t>7806 Optimum Tree Services Ltd</t>
        </is>
      </c>
      <c r="L1493" t="inlineStr">
        <is>
          <t>15/09/2025 07:25</t>
        </is>
      </c>
      <c r="M1493" t="inlineStr">
        <is>
          <t>None</t>
        </is>
      </c>
      <c r="N1493" t="inlineStr">
        <is>
          <t>&lt;p&gt;&lt;/p&gt;</t>
        </is>
      </c>
      <c r="O1493" t="inlineStr"/>
      <c r="P1493" t="inlineStr">
        <is>
          <t>WD14EVB , MEWP , Land Rover , Defender</t>
        </is>
      </c>
      <c r="Q1493" t="inlineStr">
        <is>
          <t>UKPN</t>
        </is>
      </c>
      <c r="R1493" t="b">
        <v>0</v>
      </c>
    </row>
    <row r="1494">
      <c r="A1494" t="inlineStr">
        <is>
          <t>15 Sep 2025 / 7951 Austin Tree Care LTD / Utilities / UKPN</t>
        </is>
      </c>
      <c r="B1494" t="inlineStr">
        <is>
          <t>Utilities</t>
        </is>
      </c>
      <c r="C1494" t="inlineStr">
        <is>
          <t>UKPN</t>
        </is>
      </c>
      <c r="D1494" t="inlineStr">
        <is>
          <t>SA9ST6P0001283612 , Tow Chipper , Forst , ST6p</t>
        </is>
      </c>
      <c r="E1494" t="inlineStr">
        <is>
          <t>SA9ST6P0001283612 , Tow Chipper , Forst , ST6p</t>
        </is>
      </c>
      <c r="F1494" t="inlineStr">
        <is>
          <t>SA9ST6P0001283612 , Tow Chipper , Forst , ST6p</t>
        </is>
      </c>
      <c r="G1494" t="inlineStr">
        <is>
          <t xml:space="preserve">Jack Austin </t>
        </is>
      </c>
      <c r="H1494" t="inlineStr">
        <is>
          <t>Towed Chipper</t>
        </is>
      </c>
      <c r="I1494" t="inlineStr">
        <is>
          <t>Daily/ Weekly Vehicle Inspection</t>
        </is>
      </c>
      <c r="J1494" t="inlineStr">
        <is>
          <t>N/A</t>
        </is>
      </c>
      <c r="K1494" t="inlineStr">
        <is>
          <t>7951 Austin Tree Care LTD</t>
        </is>
      </c>
      <c r="L1494" t="inlineStr">
        <is>
          <t>15/09/2025 08:21</t>
        </is>
      </c>
      <c r="M1494" t="inlineStr">
        <is>
          <t>None</t>
        </is>
      </c>
      <c r="N1494" t="inlineStr">
        <is>
          <t>&lt;p&gt;&lt;/p&gt;</t>
        </is>
      </c>
      <c r="O1494" t="inlineStr"/>
      <c r="P1494" t="inlineStr">
        <is>
          <t>SA9ST6P0001283612 , Tow Chipper , Forst , ST6p</t>
        </is>
      </c>
      <c r="Q1494" t="inlineStr">
        <is>
          <t>UKPN</t>
        </is>
      </c>
      <c r="R1494" t="b">
        <v>0</v>
      </c>
    </row>
    <row r="1495">
      <c r="A1495" t="inlineStr">
        <is>
          <t>15 Sep 2025 / 7951 Austin Tree Care LTD / Utilities / UKPN</t>
        </is>
      </c>
      <c r="B1495" t="inlineStr">
        <is>
          <t>Utilities</t>
        </is>
      </c>
      <c r="C1495" t="inlineStr">
        <is>
          <t>UKPN</t>
        </is>
      </c>
      <c r="D1495" t="inlineStr">
        <is>
          <t>WF61 HZV , 4x4 MEWP , Land Rover , Defender</t>
        </is>
      </c>
      <c r="E1495" t="inlineStr">
        <is>
          <t>WF61 HZV , 4x4 MEWP , Land Rover , Defender</t>
        </is>
      </c>
      <c r="F1495" t="inlineStr">
        <is>
          <t>WF61 HZV , 4x4 MEWP , Land Rover , Defender</t>
        </is>
      </c>
      <c r="G1495" t="inlineStr">
        <is>
          <t>Jack Austin</t>
        </is>
      </c>
      <c r="H1495" t="inlineStr">
        <is>
          <t>4x4</t>
        </is>
      </c>
      <c r="I1495" t="inlineStr">
        <is>
          <t>Daily/ Weekly Vehicle Inspection</t>
        </is>
      </c>
      <c r="J1495" t="inlineStr">
        <is>
          <t>N/A</t>
        </is>
      </c>
      <c r="K1495" t="inlineStr">
        <is>
          <t>7951 Austin Tree Care LTD</t>
        </is>
      </c>
      <c r="L1495" t="inlineStr">
        <is>
          <t>15/09/2025 08:21</t>
        </is>
      </c>
      <c r="M1495" t="inlineStr">
        <is>
          <t>None</t>
        </is>
      </c>
      <c r="N1495" t="inlineStr">
        <is>
          <t>&lt;p&gt;&lt;/p&gt;</t>
        </is>
      </c>
      <c r="O1495" t="inlineStr"/>
      <c r="P1495" t="inlineStr">
        <is>
          <t>WF61 HZV , 4x4 MEWP , Land Rover , Defender</t>
        </is>
      </c>
      <c r="Q1495" t="inlineStr">
        <is>
          <t>UKPN</t>
        </is>
      </c>
      <c r="R1495" t="b">
        <v>0</v>
      </c>
    </row>
    <row r="1496">
      <c r="A1496" t="inlineStr">
        <is>
          <t>15 Sep 2025 / Anthony Gale / Utilities / UKPN</t>
        </is>
      </c>
      <c r="B1496" t="inlineStr">
        <is>
          <t>Utilities</t>
        </is>
      </c>
      <c r="C1496" t="inlineStr">
        <is>
          <t>UKPN</t>
        </is>
      </c>
      <c r="D1496" t="inlineStr">
        <is>
          <t>PE07 HGL , Vehicle , Mitsubishi , L200 K74</t>
        </is>
      </c>
      <c r="E1496" t="inlineStr">
        <is>
          <t>PE07 HGL , Vehicle , Mitsubishi , L200 K74</t>
        </is>
      </c>
      <c r="F1496" t="inlineStr">
        <is>
          <t>PE07 HGL , Vehicle , Mitsubishi , L200 K74</t>
        </is>
      </c>
      <c r="G1496" t="inlineStr">
        <is>
          <t>Anthony Gale</t>
        </is>
      </c>
      <c r="H1496" t="inlineStr">
        <is>
          <t>Pickup Truck</t>
        </is>
      </c>
      <c r="I1496" t="inlineStr">
        <is>
          <t>Daily/ Weekly Vehicle Inspection</t>
        </is>
      </c>
      <c r="J1496" t="inlineStr">
        <is>
          <t>N/A</t>
        </is>
      </c>
      <c r="K1496" t="inlineStr">
        <is>
          <t>7996 M G Tree Surgery Ltd 1</t>
        </is>
      </c>
      <c r="L1496" t="inlineStr">
        <is>
          <t>15/09/2025 08:24</t>
        </is>
      </c>
      <c r="M1496" t="inlineStr">
        <is>
          <t>None</t>
        </is>
      </c>
      <c r="N1496" t="inlineStr">
        <is>
          <t>&lt;p&gt;&lt;/p&gt;</t>
        </is>
      </c>
      <c r="O1496" t="inlineStr">
        <is>
          <t>Confirm that you have checked this vehicle as per the guidance document and the vehicle is safe and roadworthy:Drivers side wheel trim deteriorating.
Safe for now.
Monitor.
-</t>
        </is>
      </c>
      <c r="P1496" t="inlineStr">
        <is>
          <t>PE07 HGL , Vehicle , Mitsubishi , L200 K74</t>
        </is>
      </c>
      <c r="Q1496" t="inlineStr">
        <is>
          <t>UKPN</t>
        </is>
      </c>
      <c r="R1496" t="b">
        <v>0</v>
      </c>
    </row>
    <row r="1497">
      <c r="A1497" t="inlineStr">
        <is>
          <t>15 Sep 2025 / Thomas Playford / Utilities / UKPN</t>
        </is>
      </c>
      <c r="B1497" t="inlineStr">
        <is>
          <t>Utilities</t>
        </is>
      </c>
      <c r="C1497" t="inlineStr">
        <is>
          <t>UKPN</t>
        </is>
      </c>
      <c r="D1497" t="inlineStr">
        <is>
          <t>SA9ST800000283944 , Tow Chipper , Forst , ST8D - Towed</t>
        </is>
      </c>
      <c r="E1497" t="inlineStr">
        <is>
          <t>SA9ST800000283944 , Tow Chipper , Forst , ST8D - Towed</t>
        </is>
      </c>
      <c r="F1497" t="inlineStr">
        <is>
          <t>SA9ST800000283944 , Tow Chipper , Forst , ST8D - Towed</t>
        </is>
      </c>
      <c r="G1497" t="inlineStr">
        <is>
          <t>Jacob Oram</t>
        </is>
      </c>
      <c r="H1497" t="inlineStr">
        <is>
          <t>Towed Chipper</t>
        </is>
      </c>
      <c r="I1497" t="inlineStr">
        <is>
          <t>Daily/ Weekly Vehicle Inspection</t>
        </is>
      </c>
      <c r="J1497" t="inlineStr">
        <is>
          <t>N/A</t>
        </is>
      </c>
      <c r="K1497" t="inlineStr">
        <is>
          <t>7995 Contour Landscapes Ltd 2</t>
        </is>
      </c>
      <c r="L1497" t="inlineStr">
        <is>
          <t>15/09/2025 08:29</t>
        </is>
      </c>
      <c r="M1497" t="inlineStr">
        <is>
          <t>None</t>
        </is>
      </c>
      <c r="N1497" t="inlineStr">
        <is>
          <t>&lt;p&gt;&lt;/p&gt;</t>
        </is>
      </c>
      <c r="O1497" t="inlineStr"/>
      <c r="P1497" t="inlineStr">
        <is>
          <t>SA9ST800000283944 , Tow Chipper , Forst , ST8D - Towed</t>
        </is>
      </c>
      <c r="Q1497" t="inlineStr">
        <is>
          <t>UKPN</t>
        </is>
      </c>
      <c r="R1497" t="b">
        <v>0</v>
      </c>
    </row>
    <row r="1498">
      <c r="A1498" t="inlineStr">
        <is>
          <t>15 Sep 2025 / Thomas Playford / Utilities / UKPN</t>
        </is>
      </c>
      <c r="B1498" t="inlineStr">
        <is>
          <t>Utilities</t>
        </is>
      </c>
      <c r="C1498" t="inlineStr">
        <is>
          <t>UKPN</t>
        </is>
      </c>
      <c r="D1498" t="inlineStr">
        <is>
          <t>YP24 WRD , Vehicle , Ford , Ranger</t>
        </is>
      </c>
      <c r="E1498" t="inlineStr">
        <is>
          <t>YP24 WRD , Vehicle , Ford , Ranger</t>
        </is>
      </c>
      <c r="F1498" t="inlineStr">
        <is>
          <t>YP24 WRD , Vehicle , Ford , Ranger</t>
        </is>
      </c>
      <c r="G1498" t="inlineStr">
        <is>
          <t>Jacob Oram</t>
        </is>
      </c>
      <c r="H1498" t="inlineStr">
        <is>
          <t>4x4</t>
        </is>
      </c>
      <c r="I1498" t="inlineStr">
        <is>
          <t>Daily/ Weekly Vehicle Inspection</t>
        </is>
      </c>
      <c r="J1498" t="inlineStr">
        <is>
          <t>N/A</t>
        </is>
      </c>
      <c r="K1498" t="inlineStr">
        <is>
          <t>7995 Contour Landscapes Ltd 2</t>
        </is>
      </c>
      <c r="L1498" t="inlineStr">
        <is>
          <t>15/09/2025 08:30</t>
        </is>
      </c>
      <c r="M1498" t="inlineStr">
        <is>
          <t>None</t>
        </is>
      </c>
      <c r="N1498" t="inlineStr">
        <is>
          <t>&lt;p&gt;&lt;/p&gt;</t>
        </is>
      </c>
      <c r="O1498" t="inlineStr"/>
      <c r="P1498" t="inlineStr">
        <is>
          <t>YP24 WRD , Vehicle , Ford , Ranger</t>
        </is>
      </c>
      <c r="Q1498" t="inlineStr">
        <is>
          <t>UKPN</t>
        </is>
      </c>
      <c r="R1498" t="b">
        <v>0</v>
      </c>
    </row>
    <row r="1499">
      <c r="A1499" t="inlineStr">
        <is>
          <t>15 Sep 2025 / Thomas Nandi / Utilities / SSE</t>
        </is>
      </c>
      <c r="B1499" t="inlineStr">
        <is>
          <t>Utilities</t>
        </is>
      </c>
      <c r="C1499" t="inlineStr">
        <is>
          <t>SSE</t>
        </is>
      </c>
      <c r="D1499" t="inlineStr"/>
      <c r="E1499" t="inlineStr"/>
      <c r="F1499" t="inlineStr"/>
      <c r="G1499" t="inlineStr">
        <is>
          <t xml:space="preserve">Tom Nandi </t>
        </is>
      </c>
      <c r="H1499" t="inlineStr">
        <is>
          <t>Car - Petrol</t>
        </is>
      </c>
      <c r="I1499" t="inlineStr">
        <is>
          <t>Daily/ Weekly Vehicle Inspection</t>
        </is>
      </c>
      <c r="J1499" t="inlineStr">
        <is>
          <t>N/A</t>
        </is>
      </c>
      <c r="K1499" t="inlineStr">
        <is>
          <t>Thomas Nandi</t>
        </is>
      </c>
      <c r="L1499" t="inlineStr">
        <is>
          <t>15/09/2025 10:23</t>
        </is>
      </c>
      <c r="M1499" t="inlineStr">
        <is>
          <t>None</t>
        </is>
      </c>
      <c r="N1499" t="inlineStr">
        <is>
          <t>&lt;p&gt;&lt;/p&gt;</t>
        </is>
      </c>
      <c r="O1499" t="inlineStr"/>
      <c r="P1499" t="inlineStr"/>
      <c r="Q1499" t="inlineStr">
        <is>
          <t>SSE</t>
        </is>
      </c>
      <c r="R1499" t="b">
        <v>0</v>
      </c>
    </row>
    <row r="1500">
      <c r="A1500" t="inlineStr">
        <is>
          <t>15 Sep 2025 / Joe Sauvage / Utilities / SSE</t>
        </is>
      </c>
      <c r="B1500" t="inlineStr">
        <is>
          <t>Utilities</t>
        </is>
      </c>
      <c r="C1500" t="inlineStr">
        <is>
          <t>SSE</t>
        </is>
      </c>
      <c r="D1500" t="inlineStr">
        <is>
          <t>EO18AEW , Car - Petrol , Ford , Kuga</t>
        </is>
      </c>
      <c r="E1500" t="inlineStr">
        <is>
          <t>EO18AEW , Car - Petrol , Ford , Kuga</t>
        </is>
      </c>
      <c r="F1500" t="inlineStr">
        <is>
          <t>EO18AEW , Car - Petrol , Ford , Kuga</t>
        </is>
      </c>
      <c r="G1500" t="inlineStr">
        <is>
          <t>Joe Sauvage</t>
        </is>
      </c>
      <c r="H1500" t="inlineStr">
        <is>
          <t>Car - Diesel</t>
        </is>
      </c>
      <c r="I1500" t="inlineStr">
        <is>
          <t>Daily/ Weekly Vehicle Inspection</t>
        </is>
      </c>
      <c r="J1500" t="inlineStr">
        <is>
          <t>N/A</t>
        </is>
      </c>
      <c r="K1500" t="inlineStr">
        <is>
          <t>Joe Sauvage</t>
        </is>
      </c>
      <c r="L1500" t="inlineStr">
        <is>
          <t>15/09/2025 11:22</t>
        </is>
      </c>
      <c r="M1500" t="inlineStr">
        <is>
          <t>None</t>
        </is>
      </c>
      <c r="N1500" t="inlineStr">
        <is>
          <t>&lt;p&gt;&lt;/p&gt;</t>
        </is>
      </c>
      <c r="O1500" t="inlineStr"/>
      <c r="P1500" t="inlineStr">
        <is>
          <t>EO18AEW , Car - Petrol , Ford , Kuga</t>
        </is>
      </c>
      <c r="Q1500" t="inlineStr">
        <is>
          <t>SSE</t>
        </is>
      </c>
      <c r="R1500" t="b">
        <v>0</v>
      </c>
    </row>
    <row r="1501">
      <c r="A1501" t="inlineStr">
        <is>
          <t>15 Sep 2025 / Christopher Simeoli / Utilities / NGED</t>
        </is>
      </c>
      <c r="B1501" t="inlineStr">
        <is>
          <t>Utilities</t>
        </is>
      </c>
      <c r="C1501" t="inlineStr">
        <is>
          <t>NGED</t>
        </is>
      </c>
      <c r="D1501" t="inlineStr">
        <is>
          <t>EO73KVB , Car - Electric , Kia , Niro</t>
        </is>
      </c>
      <c r="E1501" t="inlineStr">
        <is>
          <t>EO73KVB , Car - Electric , Kia , Niro</t>
        </is>
      </c>
      <c r="F1501" t="inlineStr">
        <is>
          <t>EO73KVB , Car - Electric , Kia , Niro</t>
        </is>
      </c>
      <c r="G1501" t="inlineStr">
        <is>
          <t>Chris Simeoli</t>
        </is>
      </c>
      <c r="H1501" t="inlineStr">
        <is>
          <t>Car - Electric (GC Owned)</t>
        </is>
      </c>
      <c r="I1501" t="inlineStr">
        <is>
          <t>Daily/ Weekly Vehicle Inspection</t>
        </is>
      </c>
      <c r="J1501" t="inlineStr">
        <is>
          <t>N/A</t>
        </is>
      </c>
      <c r="K1501" t="inlineStr">
        <is>
          <t>Christopher Simeoli</t>
        </is>
      </c>
      <c r="L1501" t="inlineStr">
        <is>
          <t>15/09/2025 14:21</t>
        </is>
      </c>
      <c r="M1501" t="inlineStr">
        <is>
          <t xml:space="preserve">Confirm that you have checked this vehicle as per the guidance document and the vehicle is safe and roadworthy: Fail
</t>
        </is>
      </c>
      <c r="N1501" t="inlineStr">
        <is>
          <t>&lt;p&gt;&lt;/p&gt;</t>
        </is>
      </c>
      <c r="O1501" t="inlineStr"/>
      <c r="P1501" t="inlineStr">
        <is>
          <t>EO73KVB , Car - Electric , Kia , Niro</t>
        </is>
      </c>
      <c r="Q1501" t="inlineStr">
        <is>
          <t>NGED</t>
        </is>
      </c>
      <c r="R1501" t="b">
        <v>0</v>
      </c>
    </row>
    <row r="1502">
      <c r="A1502" t="inlineStr">
        <is>
          <t>15 Sep 2025 / 6557 DE UA SWales4 / Utilities / NGED</t>
        </is>
      </c>
      <c r="B1502" t="inlineStr">
        <is>
          <t>Utilities</t>
        </is>
      </c>
      <c r="C1502" t="inlineStr">
        <is>
          <t>NGED</t>
        </is>
      </c>
      <c r="D1502" t="inlineStr">
        <is>
          <t>EX15ZGL , Van , Ford , Transit Courier</t>
        </is>
      </c>
      <c r="E1502" t="inlineStr">
        <is>
          <t>EX15ZGL , Van , Ford , Transit Courier</t>
        </is>
      </c>
      <c r="F1502" t="inlineStr">
        <is>
          <t>EX15ZGL , Van , Ford , Transit Courier</t>
        </is>
      </c>
      <c r="G1502" t="inlineStr">
        <is>
          <t xml:space="preserve">Lee Brown </t>
        </is>
      </c>
      <c r="H1502" t="inlineStr">
        <is>
          <t>Van</t>
        </is>
      </c>
      <c r="I1502" t="inlineStr">
        <is>
          <t>Daily/ Weekly Vehicle Inspection</t>
        </is>
      </c>
      <c r="J1502" t="inlineStr">
        <is>
          <t>N/A</t>
        </is>
      </c>
      <c r="K1502" t="inlineStr">
        <is>
          <t>6557 DE UA SWales4</t>
        </is>
      </c>
      <c r="L1502" t="inlineStr">
        <is>
          <t>15/09/2025 14:22</t>
        </is>
      </c>
      <c r="M1502" t="inlineStr">
        <is>
          <t>None</t>
        </is>
      </c>
      <c r="N1502" t="inlineStr">
        <is>
          <t>&lt;p&gt;&lt;/p&gt;</t>
        </is>
      </c>
      <c r="O1502" t="inlineStr"/>
      <c r="P1502" t="inlineStr">
        <is>
          <t>EX15ZGL , Van , Ford , Transit Courier</t>
        </is>
      </c>
      <c r="Q1502" t="inlineStr">
        <is>
          <t>NGED</t>
        </is>
      </c>
      <c r="R1502" t="b">
        <v>0</v>
      </c>
    </row>
    <row r="1503">
      <c r="A1503" t="inlineStr">
        <is>
          <t>15 Sep 2025 / 6557 DE UA SWales4 / Utilities / NGED</t>
        </is>
      </c>
      <c r="B1503" t="inlineStr">
        <is>
          <t>Utilities</t>
        </is>
      </c>
      <c r="C1503" t="inlineStr">
        <is>
          <t>NGED</t>
        </is>
      </c>
      <c r="D1503" t="inlineStr">
        <is>
          <t>EY65EUR , 4x4 , Ford , Ranger</t>
        </is>
      </c>
      <c r="E1503" t="inlineStr">
        <is>
          <t>EY65EUR , 4x4 , Ford , Ranger</t>
        </is>
      </c>
      <c r="F1503" t="inlineStr">
        <is>
          <t>EY65EUR , 4x4 , Ford , Ranger</t>
        </is>
      </c>
      <c r="G1503" t="inlineStr">
        <is>
          <t xml:space="preserve">Rhydian Jones </t>
        </is>
      </c>
      <c r="H1503" t="inlineStr">
        <is>
          <t>Pickup Truck</t>
        </is>
      </c>
      <c r="I1503" t="inlineStr">
        <is>
          <t>Daily/ Weekly Vehicle Inspection</t>
        </is>
      </c>
      <c r="J1503" t="inlineStr">
        <is>
          <t>N/A</t>
        </is>
      </c>
      <c r="K1503" t="inlineStr">
        <is>
          <t>6557 DE UA SWales4</t>
        </is>
      </c>
      <c r="L1503" t="inlineStr">
        <is>
          <t>15/09/2025 14:22</t>
        </is>
      </c>
      <c r="M1503" t="inlineStr">
        <is>
          <t>None</t>
        </is>
      </c>
      <c r="N1503" t="inlineStr">
        <is>
          <t>&lt;p&gt;&lt;/p&gt;</t>
        </is>
      </c>
      <c r="O1503" t="inlineStr"/>
      <c r="P1503" t="inlineStr">
        <is>
          <t>EY65EUR , 4x4 , Ford , Ranger</t>
        </is>
      </c>
      <c r="Q1503" t="inlineStr">
        <is>
          <t>NGED</t>
        </is>
      </c>
      <c r="R1503" t="b">
        <v>0</v>
      </c>
    </row>
    <row r="1504">
      <c r="A1504" t="inlineStr">
        <is>
          <t>15 Sep 2025 / 3098 D &amp; R Landscapes (PEND Arb Rail) / Utilities / UKPN</t>
        </is>
      </c>
      <c r="B1504" t="inlineStr">
        <is>
          <t>Utilities</t>
        </is>
      </c>
      <c r="C1504" t="inlineStr">
        <is>
          <t>UKPN</t>
        </is>
      </c>
      <c r="D1504" t="inlineStr">
        <is>
          <t>WA13ZZK , 4x4 , Land Rover  , Defender</t>
        </is>
      </c>
      <c r="E1504" t="inlineStr">
        <is>
          <t>WA13ZZK , 4x4 , Land Rover  , Defender</t>
        </is>
      </c>
      <c r="F1504" t="inlineStr">
        <is>
          <t>WA13ZZK , 4x4 , Land Rover  , Defender</t>
        </is>
      </c>
      <c r="G1504" t="inlineStr">
        <is>
          <t xml:space="preserve">Dylan </t>
        </is>
      </c>
      <c r="H1504" t="inlineStr">
        <is>
          <t>Pickup Truck</t>
        </is>
      </c>
      <c r="I1504" t="inlineStr">
        <is>
          <t>Daily/ Weekly Vehicle Inspection</t>
        </is>
      </c>
      <c r="J1504" t="inlineStr">
        <is>
          <t>N/A</t>
        </is>
      </c>
      <c r="K1504" t="inlineStr">
        <is>
          <t>3098 D &amp; R Landscapes</t>
        </is>
      </c>
      <c r="L1504" t="inlineStr">
        <is>
          <t>15/09/2025 14:23</t>
        </is>
      </c>
      <c r="M1504" t="inlineStr">
        <is>
          <t>None</t>
        </is>
      </c>
      <c r="N1504" t="inlineStr">
        <is>
          <t>&lt;p&gt;&lt;/p&gt;</t>
        </is>
      </c>
      <c r="O1504" t="inlineStr"/>
      <c r="P1504" t="inlineStr">
        <is>
          <t>WA13ZZK , 4x4 , Land Rover  , Defender</t>
        </is>
      </c>
      <c r="Q1504" t="inlineStr">
        <is>
          <t>UKPN</t>
        </is>
      </c>
      <c r="R1504" t="b">
        <v>0</v>
      </c>
    </row>
    <row r="1505">
      <c r="A1505" t="inlineStr">
        <is>
          <t>15 Sep 2025 / Chris Huntley / Utilities / UKPN</t>
        </is>
      </c>
      <c r="B1505" t="inlineStr">
        <is>
          <t>Utilities</t>
        </is>
      </c>
      <c r="C1505" t="inlineStr">
        <is>
          <t>UKPN</t>
        </is>
      </c>
      <c r="D1505" t="inlineStr">
        <is>
          <t>EX18DCY , 4x4 , Ford , Ranger</t>
        </is>
      </c>
      <c r="E1505" t="inlineStr">
        <is>
          <t>EX18DCY , 4x4 , Ford , Ranger</t>
        </is>
      </c>
      <c r="F1505" t="inlineStr">
        <is>
          <t>EX18DCY , 4x4 , Ford , Ranger</t>
        </is>
      </c>
      <c r="G1505" t="inlineStr">
        <is>
          <t xml:space="preserve">Chris Huntley </t>
        </is>
      </c>
      <c r="H1505" t="inlineStr">
        <is>
          <t>Pickup Truck</t>
        </is>
      </c>
      <c r="I1505" t="inlineStr">
        <is>
          <t>Daily/ Weekly Vehicle Inspection</t>
        </is>
      </c>
      <c r="J1505" t="inlineStr">
        <is>
          <t>N/A</t>
        </is>
      </c>
      <c r="K1505" t="inlineStr">
        <is>
          <t>Chris Huntley</t>
        </is>
      </c>
      <c r="L1505" t="inlineStr">
        <is>
          <t>15/09/2025 16:21</t>
        </is>
      </c>
      <c r="M1505" t="inlineStr">
        <is>
          <t>None</t>
        </is>
      </c>
      <c r="N1505" t="inlineStr">
        <is>
          <t>&lt;p&gt;&lt;/p&gt;</t>
        </is>
      </c>
      <c r="O1505" t="inlineStr"/>
      <c r="P1505" t="inlineStr">
        <is>
          <t>EX18DCY , 4x4 , Ford , Ranger</t>
        </is>
      </c>
      <c r="Q1505" t="inlineStr">
        <is>
          <t>UKPN</t>
        </is>
      </c>
      <c r="R1505" t="b">
        <v>0</v>
      </c>
    </row>
    <row r="1506">
      <c r="A1506" t="inlineStr">
        <is>
          <t>16 Sep 2025 / 7951 Austin Tree Care LTD / Utilities / UKPN</t>
        </is>
      </c>
      <c r="B1506" t="inlineStr">
        <is>
          <t>Utilities</t>
        </is>
      </c>
      <c r="C1506" t="inlineStr">
        <is>
          <t>UKPN</t>
        </is>
      </c>
      <c r="D1506" t="inlineStr">
        <is>
          <t>WF61 HZV , 4x4 MEWP , Land Rover , Defender</t>
        </is>
      </c>
      <c r="E1506" t="inlineStr">
        <is>
          <t>WF61 HZV , 4x4 MEWP , Land Rover , Defender</t>
        </is>
      </c>
      <c r="F1506" t="inlineStr">
        <is>
          <t>WF61 HZV , 4x4 MEWP , Land Rover , Defender</t>
        </is>
      </c>
      <c r="G1506" t="inlineStr">
        <is>
          <t xml:space="preserve">Jack Austin </t>
        </is>
      </c>
      <c r="H1506" t="inlineStr">
        <is>
          <t>4x4</t>
        </is>
      </c>
      <c r="I1506" t="inlineStr">
        <is>
          <t>Daily/ Weekly Vehicle Inspection</t>
        </is>
      </c>
      <c r="J1506" t="inlineStr">
        <is>
          <t>N/A</t>
        </is>
      </c>
      <c r="K1506" t="inlineStr">
        <is>
          <t>7951 Austin Tree Care LTD</t>
        </is>
      </c>
      <c r="L1506" t="inlineStr">
        <is>
          <t>16/09/2025 07:21</t>
        </is>
      </c>
      <c r="M1506" t="inlineStr">
        <is>
          <t>None</t>
        </is>
      </c>
      <c r="N1506" t="inlineStr">
        <is>
          <t>&lt;p&gt;&lt;/p&gt;</t>
        </is>
      </c>
      <c r="O1506" t="inlineStr"/>
      <c r="P1506" t="inlineStr">
        <is>
          <t>WF61 HZV , 4x4 MEWP , Land Rover , Defender</t>
        </is>
      </c>
      <c r="Q1506" t="inlineStr">
        <is>
          <t>UKPN</t>
        </is>
      </c>
      <c r="R1506" t="b">
        <v>0</v>
      </c>
    </row>
    <row r="1507">
      <c r="A1507" t="inlineStr">
        <is>
          <t>16 Sep 2025 / Anthony Gale / Utilities / UKPN</t>
        </is>
      </c>
      <c r="B1507" t="inlineStr">
        <is>
          <t>Utilities</t>
        </is>
      </c>
      <c r="C1507" t="inlineStr">
        <is>
          <t>UKPN</t>
        </is>
      </c>
      <c r="D1507" t="inlineStr">
        <is>
          <t>PE07 HGL , Vehicle , Mitsubishi , L200 K74</t>
        </is>
      </c>
      <c r="E1507" t="inlineStr">
        <is>
          <t>PE07 HGL , Vehicle , Mitsubishi , L200 K74</t>
        </is>
      </c>
      <c r="F1507" t="inlineStr">
        <is>
          <t>PE07 HGL , Vehicle , Mitsubishi , L200 K74</t>
        </is>
      </c>
      <c r="G1507" t="inlineStr">
        <is>
          <t xml:space="preserve">Anthony Gale </t>
        </is>
      </c>
      <c r="H1507" t="inlineStr">
        <is>
          <t>Pickup Truck</t>
        </is>
      </c>
      <c r="I1507" t="inlineStr">
        <is>
          <t>Daily/ Weekly Vehicle Inspection</t>
        </is>
      </c>
      <c r="J1507" t="inlineStr">
        <is>
          <t>N/A</t>
        </is>
      </c>
      <c r="K1507" t="inlineStr">
        <is>
          <t>7996 M G Tree Surgery Ltd 1</t>
        </is>
      </c>
      <c r="L1507" t="inlineStr">
        <is>
          <t>16/09/2025 07:24</t>
        </is>
      </c>
      <c r="M1507" t="inlineStr">
        <is>
          <t>None</t>
        </is>
      </c>
      <c r="N1507" t="inlineStr">
        <is>
          <t>&lt;p&gt;&lt;/p&gt;</t>
        </is>
      </c>
      <c r="O1507" t="inlineStr">
        <is>
          <t>Confirm that you have checked this vehicle as per the guidance document and the vehicle is safe and roadworthy:Drivers side wheel trim deteriorating, seems ok for now. Monitor.
-</t>
        </is>
      </c>
      <c r="P1507" t="inlineStr">
        <is>
          <t>PE07 HGL , Vehicle , Mitsubishi , L200 K74</t>
        </is>
      </c>
      <c r="Q1507" t="inlineStr">
        <is>
          <t>UKPN</t>
        </is>
      </c>
      <c r="R1507" t="b">
        <v>0</v>
      </c>
    </row>
    <row r="1508">
      <c r="A1508" t="inlineStr">
        <is>
          <t>16 Sep 2025 / 7889 Tree Tech Suffolk Ltd</t>
        </is>
      </c>
      <c r="B1508" t="inlineStr">
        <is>
          <t>Utilities &amp; Inland Waterways</t>
        </is>
      </c>
      <c r="C1508" t="inlineStr">
        <is>
          <t>UKPN</t>
        </is>
      </c>
      <c r="D1508" t="inlineStr">
        <is>
          <t>Tow Chipper - Jenson - A530L - 55210639484x4 - Isuzu - D-max - NS03 TTSTipper - Nissan - Navara - NS02TTS</t>
        </is>
      </c>
      <c r="E1508" t="inlineStr">
        <is>
          <t>Tow Chipper - Jenson - A530L - 55210639484x4 - Isuzu - D-max - NS03 TTSTipper - Nissan - Navara - NS02TTS</t>
        </is>
      </c>
      <c r="F1508" t="inlineStr">
        <is>
          <t>Tow Chipper - Jenson - A530L - 55210639484x4 - Isuzu - D-max - NS03 TTSTipper - Nissan - Navara - NS02TTS</t>
        </is>
      </c>
      <c r="G1508" t="inlineStr">
        <is>
          <t xml:space="preserve">Nikki sparrow Danny Appleby Nikki sparrow </t>
        </is>
      </c>
      <c r="H1508" t="inlineStr">
        <is>
          <t>Towed Chipper4x4Tipper</t>
        </is>
      </c>
      <c r="I1508" t="inlineStr">
        <is>
          <t>Daily/ Weekly Vehicle Inspection</t>
        </is>
      </c>
      <c r="J1508" t="inlineStr">
        <is>
          <t>N/A</t>
        </is>
      </c>
      <c r="K1508" t="inlineStr">
        <is>
          <t>7889 Tree Tech Suffolk Ltd</t>
        </is>
      </c>
      <c r="L1508" t="inlineStr">
        <is>
          <t>16/09/2025 07:27</t>
        </is>
      </c>
      <c r="M1508" t="inlineStr">
        <is>
          <t>None</t>
        </is>
      </c>
      <c r="N1508" t="inlineStr">
        <is>
          <t>&lt;p&gt;&lt;/p&gt;</t>
        </is>
      </c>
      <c r="O1508" t="inlineStr">
        <is>
          <t>Select Vehicle:Using another chipper while ours is being fixed. Has no wheel nut indicatorsSelect Vehicle:KX65 FCZ. Tried adding vehicle but not showing up. Intermittent fault on side lights.Select Vehicle:Crack in windscreen. Address on next MOT if required</t>
        </is>
      </c>
      <c r="P1508" t="inlineStr">
        <is>
          <t>Tow Chipper - Jenson - A530L - 55210639484x4 - Isuzu - D-max - NS03 TTSTipper - Nissan - Navara - NS02TTS</t>
        </is>
      </c>
      <c r="Q1508" t="inlineStr">
        <is>
          <t>UKPN</t>
        </is>
      </c>
      <c r="R1508" t="b">
        <v>0</v>
      </c>
    </row>
    <row r="1509">
      <c r="A1509" t="inlineStr">
        <is>
          <t>16 Sep 2025 / Thomas Playford / Utilities / UKPN</t>
        </is>
      </c>
      <c r="B1509" t="inlineStr">
        <is>
          <t>Utilities</t>
        </is>
      </c>
      <c r="C1509" t="inlineStr">
        <is>
          <t>UKPN</t>
        </is>
      </c>
      <c r="D1509" t="inlineStr">
        <is>
          <t>YP24 WRD , Vehicle , Ford , Ranger</t>
        </is>
      </c>
      <c r="E1509" t="inlineStr">
        <is>
          <t>YP24 WRD , Vehicle , Ford , Ranger</t>
        </is>
      </c>
      <c r="F1509" t="inlineStr">
        <is>
          <t>YP24 WRD , Vehicle , Ford , Ranger</t>
        </is>
      </c>
      <c r="G1509" t="inlineStr">
        <is>
          <t>Jacob Oram</t>
        </is>
      </c>
      <c r="H1509" t="inlineStr">
        <is>
          <t>4x4</t>
        </is>
      </c>
      <c r="I1509" t="inlineStr">
        <is>
          <t>Daily/ Weekly Vehicle Inspection</t>
        </is>
      </c>
      <c r="J1509" t="inlineStr">
        <is>
          <t>N/A</t>
        </is>
      </c>
      <c r="K1509" t="inlineStr">
        <is>
          <t>7995 Contour Landscapes Ltd 2</t>
        </is>
      </c>
      <c r="L1509" t="inlineStr">
        <is>
          <t>16/09/2025 08:21</t>
        </is>
      </c>
      <c r="M1509" t="inlineStr">
        <is>
          <t xml:space="preserve">Confirm that you have checked this vehicle as per the guidance document and the vehicle is safe and roadworthy: Fail
</t>
        </is>
      </c>
      <c r="N1509" t="inlineStr">
        <is>
          <t>&lt;p&gt;&lt;/p&gt;</t>
        </is>
      </c>
      <c r="O1509" t="inlineStr"/>
      <c r="P1509" t="inlineStr">
        <is>
          <t>YP24 WRD , Vehicle , Ford , Ranger</t>
        </is>
      </c>
      <c r="Q1509" t="inlineStr">
        <is>
          <t>UKPN</t>
        </is>
      </c>
      <c r="R1509" t="b">
        <v>0</v>
      </c>
    </row>
    <row r="1510">
      <c r="A1510" t="inlineStr">
        <is>
          <t>16 Sep 2025 / Thomas Playford / Utilities / UKPN</t>
        </is>
      </c>
      <c r="B1510" t="inlineStr">
        <is>
          <t>Utilities</t>
        </is>
      </c>
      <c r="C1510" t="inlineStr">
        <is>
          <t>UKPN</t>
        </is>
      </c>
      <c r="D1510" t="inlineStr">
        <is>
          <t>SA9ST800000283944 , Tow Chipper , Forst , ST8D - Towed</t>
        </is>
      </c>
      <c r="E1510" t="inlineStr">
        <is>
          <t>SA9ST800000283944 , Tow Chipper , Forst , ST8D - Towed</t>
        </is>
      </c>
      <c r="F1510" t="inlineStr">
        <is>
          <t>SA9ST800000283944 , Tow Chipper , Forst , ST8D - Towed</t>
        </is>
      </c>
      <c r="G1510" t="inlineStr">
        <is>
          <t>Jacob Oram</t>
        </is>
      </c>
      <c r="H1510" t="inlineStr">
        <is>
          <t>Towed Chipper</t>
        </is>
      </c>
      <c r="I1510" t="inlineStr">
        <is>
          <t>Daily/ Weekly Vehicle Inspection</t>
        </is>
      </c>
      <c r="J1510" t="inlineStr">
        <is>
          <t>N/A</t>
        </is>
      </c>
      <c r="K1510" t="inlineStr">
        <is>
          <t>7995 Contour Landscapes Ltd 2</t>
        </is>
      </c>
      <c r="L1510" t="inlineStr">
        <is>
          <t>16/09/2025 08:22</t>
        </is>
      </c>
      <c r="M1510" t="inlineStr">
        <is>
          <t>None</t>
        </is>
      </c>
      <c r="N1510" t="inlineStr">
        <is>
          <t>&lt;p&gt;&lt;/p&gt;</t>
        </is>
      </c>
      <c r="O1510" t="inlineStr"/>
      <c r="P1510" t="inlineStr">
        <is>
          <t>SA9ST800000283944 , Tow Chipper , Forst , ST8D - Towed</t>
        </is>
      </c>
      <c r="Q1510" t="inlineStr">
        <is>
          <t>UKPN</t>
        </is>
      </c>
      <c r="R1510" t="b">
        <v>0</v>
      </c>
    </row>
    <row r="1511">
      <c r="A1511" t="inlineStr">
        <is>
          <t>16 Sep 2025 / 7806 Optimum Tree Services Ltd / Utilities / UKPN</t>
        </is>
      </c>
      <c r="B1511" t="inlineStr">
        <is>
          <t>Utilities</t>
        </is>
      </c>
      <c r="C1511" t="inlineStr">
        <is>
          <t>UKPN</t>
        </is>
      </c>
      <c r="D1511" t="inlineStr">
        <is>
          <t>SA9ST800000283069 , Chipper , Forst , ST 6P</t>
        </is>
      </c>
      <c r="E1511" t="inlineStr">
        <is>
          <t>SA9ST800000283069 , Chipper , Forst , ST 6P</t>
        </is>
      </c>
      <c r="F1511" t="inlineStr">
        <is>
          <t>SA9ST800000283069 , Chipper , Forst , ST 6P</t>
        </is>
      </c>
      <c r="G1511" t="inlineStr">
        <is>
          <t xml:space="preserve">Abraham Davies </t>
        </is>
      </c>
      <c r="H1511" t="inlineStr">
        <is>
          <t>Towed Chipper</t>
        </is>
      </c>
      <c r="I1511" t="inlineStr">
        <is>
          <t>Daily/ Weekly Vehicle Inspection</t>
        </is>
      </c>
      <c r="J1511" t="inlineStr">
        <is>
          <t>N/A</t>
        </is>
      </c>
      <c r="K1511" t="inlineStr">
        <is>
          <t>7806 Optimum Tree Services Ltd</t>
        </is>
      </c>
      <c r="L1511" t="inlineStr">
        <is>
          <t>16/09/2025 08:23</t>
        </is>
      </c>
      <c r="M1511" t="inlineStr">
        <is>
          <t>None</t>
        </is>
      </c>
      <c r="N1511" t="inlineStr">
        <is>
          <t>&lt;p&gt;&lt;/p&gt;</t>
        </is>
      </c>
      <c r="O1511" t="inlineStr"/>
      <c r="P1511" t="inlineStr">
        <is>
          <t>SA9ST800000283069 , Chipper , Forst , ST 6P</t>
        </is>
      </c>
      <c r="Q1511" t="inlineStr">
        <is>
          <t>UKPN</t>
        </is>
      </c>
      <c r="R1511" t="b">
        <v>0</v>
      </c>
    </row>
    <row r="1512">
      <c r="A1512" t="inlineStr">
        <is>
          <t>16 Sep 2025 / 7951 Austin Tree Care LTD / Utilities / UKPN</t>
        </is>
      </c>
      <c r="B1512" t="inlineStr">
        <is>
          <t>Utilities</t>
        </is>
      </c>
      <c r="C1512" t="inlineStr">
        <is>
          <t>UKPN</t>
        </is>
      </c>
      <c r="D1512" t="inlineStr">
        <is>
          <t>SA9ST6P0001283612 , Tow Chipper , Forst , ST6p</t>
        </is>
      </c>
      <c r="E1512" t="inlineStr">
        <is>
          <t>SA9ST6P0001283612 , Tow Chipper , Forst , ST6p</t>
        </is>
      </c>
      <c r="F1512" t="inlineStr">
        <is>
          <t>SA9ST6P0001283612 , Tow Chipper , Forst , ST6p</t>
        </is>
      </c>
      <c r="G1512" t="inlineStr">
        <is>
          <t xml:space="preserve">Jack Austin </t>
        </is>
      </c>
      <c r="H1512" t="inlineStr">
        <is>
          <t>Towed Chipper</t>
        </is>
      </c>
      <c r="I1512" t="inlineStr">
        <is>
          <t>Daily/ Weekly Vehicle Inspection</t>
        </is>
      </c>
      <c r="J1512" t="inlineStr">
        <is>
          <t>N/A</t>
        </is>
      </c>
      <c r="K1512" t="inlineStr">
        <is>
          <t>7951 Austin Tree Care LTD</t>
        </is>
      </c>
      <c r="L1512" t="inlineStr">
        <is>
          <t>16/09/2025 08:23</t>
        </is>
      </c>
      <c r="M1512" t="inlineStr">
        <is>
          <t>None</t>
        </is>
      </c>
      <c r="N1512" t="inlineStr">
        <is>
          <t>&lt;p&gt;&lt;/p&gt;</t>
        </is>
      </c>
      <c r="O1512" t="inlineStr"/>
      <c r="P1512" t="inlineStr">
        <is>
          <t>SA9ST6P0001283612 , Tow Chipper , Forst , ST6p</t>
        </is>
      </c>
      <c r="Q1512" t="inlineStr">
        <is>
          <t>UKPN</t>
        </is>
      </c>
      <c r="R1512" t="b">
        <v>0</v>
      </c>
    </row>
    <row r="1513">
      <c r="A1513" t="inlineStr">
        <is>
          <t>16 Sep 2025 / 7806 Optimum Tree Services Ltd / Utilities / UKPN</t>
        </is>
      </c>
      <c r="B1513" t="inlineStr">
        <is>
          <t>Utilities</t>
        </is>
      </c>
      <c r="C1513" t="inlineStr">
        <is>
          <t>UKPN</t>
        </is>
      </c>
      <c r="D1513" t="inlineStr">
        <is>
          <t>WD14EVB , MEWP , Land Rover , Defender</t>
        </is>
      </c>
      <c r="E1513" t="inlineStr">
        <is>
          <t>WD14EVB , MEWP , Land Rover , Defender</t>
        </is>
      </c>
      <c r="F1513" t="inlineStr">
        <is>
          <t>WD14EVB , MEWP , Land Rover , Defender</t>
        </is>
      </c>
      <c r="G1513" t="inlineStr">
        <is>
          <t xml:space="preserve">Abraham Davies </t>
        </is>
      </c>
      <c r="H1513" t="inlineStr">
        <is>
          <t>4x4</t>
        </is>
      </c>
      <c r="I1513" t="inlineStr">
        <is>
          <t>Daily/ Weekly Vehicle Inspection</t>
        </is>
      </c>
      <c r="J1513" t="inlineStr">
        <is>
          <t>N/A</t>
        </is>
      </c>
      <c r="K1513" t="inlineStr">
        <is>
          <t>7806 Optimum Tree Services Ltd</t>
        </is>
      </c>
      <c r="L1513" t="inlineStr">
        <is>
          <t>16/09/2025 08:24</t>
        </is>
      </c>
      <c r="M1513" t="inlineStr">
        <is>
          <t>None</t>
        </is>
      </c>
      <c r="N1513" t="inlineStr">
        <is>
          <t>&lt;p&gt;&lt;/p&gt;</t>
        </is>
      </c>
      <c r="O1513" t="inlineStr"/>
      <c r="P1513" t="inlineStr">
        <is>
          <t>WD14EVB , MEWP , Land Rover , Defender</t>
        </is>
      </c>
      <c r="Q1513" t="inlineStr">
        <is>
          <t>UKPN</t>
        </is>
      </c>
      <c r="R1513" t="b">
        <v>0</v>
      </c>
    </row>
    <row r="1514">
      <c r="A1514" t="inlineStr">
        <is>
          <t>16 Sep 2025 / 7186 Eastwoodbury Tree Services Ltd / Utilities / UKPN</t>
        </is>
      </c>
      <c r="B1514" t="inlineStr">
        <is>
          <t>Utilities</t>
        </is>
      </c>
      <c r="C1514" t="inlineStr">
        <is>
          <t>UKPN</t>
        </is>
      </c>
      <c r="D1514" t="inlineStr">
        <is>
          <t>FN600XM , 4x4 , Land Rover  , Defender</t>
        </is>
      </c>
      <c r="E1514" t="inlineStr">
        <is>
          <t>FN600XM , 4x4 , Land Rover  , Defender</t>
        </is>
      </c>
      <c r="F1514" t="inlineStr">
        <is>
          <t>FN600XM , 4x4 , Land Rover  , Defender</t>
        </is>
      </c>
      <c r="G1514" t="inlineStr">
        <is>
          <t xml:space="preserve">Dan Gilbert </t>
        </is>
      </c>
      <c r="H1514" t="inlineStr">
        <is>
          <t>4x4</t>
        </is>
      </c>
      <c r="I1514" t="inlineStr">
        <is>
          <t>Daily/ Weekly Vehicle Inspection</t>
        </is>
      </c>
      <c r="J1514" t="inlineStr">
        <is>
          <t>N/A</t>
        </is>
      </c>
      <c r="K1514" t="inlineStr">
        <is>
          <t>7186 Eastwoodbury Tree Services Ltd</t>
        </is>
      </c>
      <c r="L1514" t="inlineStr">
        <is>
          <t>16/09/2025 10:21</t>
        </is>
      </c>
      <c r="M1514" t="inlineStr">
        <is>
          <t>None</t>
        </is>
      </c>
      <c r="N1514" t="inlineStr">
        <is>
          <t>&lt;p&gt;&lt;/p&gt;</t>
        </is>
      </c>
      <c r="O1514" t="inlineStr"/>
      <c r="P1514" t="inlineStr">
        <is>
          <t>FN600XM , 4x4 , Land Rover  , Defender</t>
        </is>
      </c>
      <c r="Q1514" t="inlineStr">
        <is>
          <t>UKPN</t>
        </is>
      </c>
      <c r="R1514" t="b">
        <v>0</v>
      </c>
    </row>
    <row r="1515">
      <c r="A1515" t="inlineStr">
        <is>
          <t>16 Sep 2025 / 7186 Eastwoodbury Tree Services Ltd / Utilities / UKPN</t>
        </is>
      </c>
      <c r="B1515" t="inlineStr">
        <is>
          <t>Utilities</t>
        </is>
      </c>
      <c r="C1515" t="inlineStr">
        <is>
          <t>UKPN</t>
        </is>
      </c>
      <c r="D1515" t="inlineStr">
        <is>
          <t>4x4 - Land rover  - Defenders  - WF13 EKM</t>
        </is>
      </c>
      <c r="E1515" t="inlineStr">
        <is>
          <t>4x4 - Land rover  - Defenders  - WF13 EKM</t>
        </is>
      </c>
      <c r="F1515" t="inlineStr">
        <is>
          <t>4x4 - Land rover  - Defenders  - WF13 EKM</t>
        </is>
      </c>
      <c r="G1515" t="inlineStr">
        <is>
          <t xml:space="preserve">Jay Denkmayer </t>
        </is>
      </c>
      <c r="H1515" t="inlineStr">
        <is>
          <t>4x4</t>
        </is>
      </c>
      <c r="I1515" t="inlineStr">
        <is>
          <t>Daily/ Weekly Vehicle Inspection</t>
        </is>
      </c>
      <c r="J1515" t="inlineStr">
        <is>
          <t>N/A</t>
        </is>
      </c>
      <c r="K1515" t="inlineStr">
        <is>
          <t>7186 Eastwoodbury Tree Services Ltd</t>
        </is>
      </c>
      <c r="L1515" t="inlineStr">
        <is>
          <t>16/09/2025 10:22</t>
        </is>
      </c>
      <c r="M1515" t="inlineStr">
        <is>
          <t>None</t>
        </is>
      </c>
      <c r="N1515" t="inlineStr">
        <is>
          <t>&lt;p&gt;&lt;/p&gt;</t>
        </is>
      </c>
      <c r="O1515" t="inlineStr"/>
      <c r="P1515" t="inlineStr">
        <is>
          <t>4x4 - Land rover  - Defenders  - WF13 EKM</t>
        </is>
      </c>
      <c r="Q1515" t="inlineStr">
        <is>
          <t>UKPN</t>
        </is>
      </c>
      <c r="R1515" t="b">
        <v>0</v>
      </c>
    </row>
    <row r="1516">
      <c r="A1516" t="inlineStr">
        <is>
          <t>15 Sep 2025 / 7800 MAC Tree Surgery and Fencing Ltd</t>
        </is>
      </c>
      <c r="B1516" t="inlineStr">
        <is>
          <t>Utilities &amp; Inland Waterways</t>
        </is>
      </c>
      <c r="C1516" t="inlineStr">
        <is>
          <t>UKPN</t>
        </is>
      </c>
      <c r="D1516" t="inlineStr">
        <is>
          <t>AY68DAA , 4x4 , Izuzu , Dmax</t>
        </is>
      </c>
      <c r="E1516" t="inlineStr">
        <is>
          <t>AY68DAA , 4x4 , Izuzu , Dmax</t>
        </is>
      </c>
      <c r="F1516" t="inlineStr">
        <is>
          <t>AY68DAA , 4x4 , Izuzu , Dmax</t>
        </is>
      </c>
      <c r="G1516" t="inlineStr">
        <is>
          <t xml:space="preserve">Lewis mac </t>
        </is>
      </c>
      <c r="H1516" t="inlineStr">
        <is>
          <t>4x4</t>
        </is>
      </c>
      <c r="I1516" t="inlineStr">
        <is>
          <t>Daily/ Weekly Vehicle Inspection</t>
        </is>
      </c>
      <c r="J1516" t="inlineStr">
        <is>
          <t>N/A</t>
        </is>
      </c>
      <c r="K1516" t="inlineStr">
        <is>
          <t>7800 MAC Tree Surgery and Fencing Ltd</t>
        </is>
      </c>
      <c r="L1516" t="inlineStr">
        <is>
          <t>16/09/2025 11:21</t>
        </is>
      </c>
      <c r="M1516" t="inlineStr">
        <is>
          <t>None</t>
        </is>
      </c>
      <c r="N1516" t="inlineStr">
        <is>
          <t>&lt;p&gt;&lt;/p&gt;</t>
        </is>
      </c>
      <c r="O1516" t="inlineStr"/>
      <c r="P1516" t="inlineStr">
        <is>
          <t>AY68DAA , 4x4 , Izuzu , Dmax</t>
        </is>
      </c>
      <c r="Q1516" t="inlineStr">
        <is>
          <t>UKPN</t>
        </is>
      </c>
      <c r="R1516" t="b">
        <v>0</v>
      </c>
    </row>
    <row r="1517">
      <c r="A1517" t="inlineStr">
        <is>
          <t>15 Sep 2025 / 7800 MAC Tree Surgery and Fencing Ltd</t>
        </is>
      </c>
      <c r="B1517" t="inlineStr">
        <is>
          <t>Utilities &amp; Inland Waterways</t>
        </is>
      </c>
      <c r="C1517" t="inlineStr">
        <is>
          <t>UKPN</t>
        </is>
      </c>
      <c r="D1517" t="inlineStr">
        <is>
          <t>205143043-A1 , Tow Chipper , Timberwolf , TW150</t>
        </is>
      </c>
      <c r="E1517" t="inlineStr">
        <is>
          <t>205143043-A1 , Tow Chipper , Timberwolf , TW150</t>
        </is>
      </c>
      <c r="F1517" t="inlineStr">
        <is>
          <t>205143043-A1 , Tow Chipper , Timberwolf , TW150</t>
        </is>
      </c>
      <c r="G1517" t="inlineStr">
        <is>
          <t xml:space="preserve">Lewis mac </t>
        </is>
      </c>
      <c r="H1517" t="inlineStr">
        <is>
          <t>Towed Chipper</t>
        </is>
      </c>
      <c r="I1517" t="inlineStr">
        <is>
          <t>Daily/ Weekly Vehicle Inspection</t>
        </is>
      </c>
      <c r="J1517" t="inlineStr">
        <is>
          <t>N/A</t>
        </is>
      </c>
      <c r="K1517" t="inlineStr">
        <is>
          <t>7800 MAC Tree Surgery and Fencing Ltd</t>
        </is>
      </c>
      <c r="L1517" t="inlineStr">
        <is>
          <t>16/09/2025 11:21</t>
        </is>
      </c>
      <c r="M1517" t="inlineStr">
        <is>
          <t>None</t>
        </is>
      </c>
      <c r="N1517" t="inlineStr">
        <is>
          <t>&lt;p&gt;&lt;/p&gt;</t>
        </is>
      </c>
      <c r="O1517" t="inlineStr"/>
      <c r="P1517" t="inlineStr">
        <is>
          <t>205143043-A1 , Tow Chipper , Timberwolf , TW150</t>
        </is>
      </c>
      <c r="Q1517" t="inlineStr">
        <is>
          <t>UKPN</t>
        </is>
      </c>
      <c r="R1517" t="b">
        <v>0</v>
      </c>
    </row>
    <row r="1518">
      <c r="A1518" t="inlineStr">
        <is>
          <t>17 Sep 2025 / 7800 MAC Tree Surgery and Fencing Ltd</t>
        </is>
      </c>
      <c r="B1518" t="inlineStr">
        <is>
          <t>Utilities &amp; Inland Waterways</t>
        </is>
      </c>
      <c r="C1518" t="inlineStr">
        <is>
          <t>UKPN</t>
        </is>
      </c>
      <c r="D1518" t="inlineStr">
        <is>
          <t>AY68DAA , 4x4 , Izuzu , Dmax</t>
        </is>
      </c>
      <c r="E1518" t="inlineStr">
        <is>
          <t>AY68DAA , 4x4 , Izuzu , Dmax</t>
        </is>
      </c>
      <c r="F1518" t="inlineStr">
        <is>
          <t>AY68DAA , 4x4 , Izuzu , Dmax</t>
        </is>
      </c>
      <c r="G1518" t="inlineStr">
        <is>
          <t xml:space="preserve">Lewis mac </t>
        </is>
      </c>
      <c r="H1518" t="inlineStr">
        <is>
          <t>4x4</t>
        </is>
      </c>
      <c r="I1518" t="inlineStr">
        <is>
          <t>Daily/ Weekly Vehicle Inspection</t>
        </is>
      </c>
      <c r="J1518" t="inlineStr">
        <is>
          <t>N/A</t>
        </is>
      </c>
      <c r="K1518" t="inlineStr">
        <is>
          <t>7800 MAC Tree Surgery and Fencing Ltd</t>
        </is>
      </c>
      <c r="L1518" t="inlineStr">
        <is>
          <t>17/09/2025 08:21</t>
        </is>
      </c>
      <c r="M1518" t="inlineStr">
        <is>
          <t>None</t>
        </is>
      </c>
      <c r="N1518" t="inlineStr">
        <is>
          <t>&lt;p&gt;&lt;/p&gt;</t>
        </is>
      </c>
      <c r="O1518" t="inlineStr"/>
      <c r="P1518" t="inlineStr">
        <is>
          <t>AY68DAA , 4x4 , Izuzu , Dmax</t>
        </is>
      </c>
      <c r="Q1518" t="inlineStr">
        <is>
          <t>UKPN</t>
        </is>
      </c>
      <c r="R1518" t="b">
        <v>0</v>
      </c>
    </row>
    <row r="1519">
      <c r="A1519" t="inlineStr">
        <is>
          <t>17 Sep 2025 / 7800 MAC Tree Surgery and Fencing Ltd</t>
        </is>
      </c>
      <c r="B1519" t="inlineStr">
        <is>
          <t>Utilities &amp; Inland Waterways</t>
        </is>
      </c>
      <c r="C1519" t="inlineStr">
        <is>
          <t>UKPN</t>
        </is>
      </c>
      <c r="D1519" t="inlineStr">
        <is>
          <t>205143043-A1 , Tow Chipper , Timberwolf , TW150</t>
        </is>
      </c>
      <c r="E1519" t="inlineStr">
        <is>
          <t>205143043-A1 , Tow Chipper , Timberwolf , TW150</t>
        </is>
      </c>
      <c r="F1519" t="inlineStr">
        <is>
          <t>205143043-A1 , Tow Chipper , Timberwolf , TW150</t>
        </is>
      </c>
      <c r="G1519" t="inlineStr">
        <is>
          <t xml:space="preserve">Lewis mac </t>
        </is>
      </c>
      <c r="H1519" t="inlineStr">
        <is>
          <t>Towed Chipper</t>
        </is>
      </c>
      <c r="I1519" t="inlineStr">
        <is>
          <t>Daily/ Weekly Vehicle Inspection</t>
        </is>
      </c>
      <c r="J1519" t="inlineStr">
        <is>
          <t>N/A</t>
        </is>
      </c>
      <c r="K1519" t="inlineStr">
        <is>
          <t>7800 MAC Tree Surgery and Fencing Ltd</t>
        </is>
      </c>
      <c r="L1519" t="inlineStr">
        <is>
          <t>17/09/2025 08:21</t>
        </is>
      </c>
      <c r="M1519" t="inlineStr">
        <is>
          <t>None</t>
        </is>
      </c>
      <c r="N1519" t="inlineStr">
        <is>
          <t>&lt;p&gt;&lt;/p&gt;</t>
        </is>
      </c>
      <c r="O1519" t="inlineStr"/>
      <c r="P1519" t="inlineStr">
        <is>
          <t>205143043-A1 , Tow Chipper , Timberwolf , TW150</t>
        </is>
      </c>
      <c r="Q1519" t="inlineStr">
        <is>
          <t>UKPN</t>
        </is>
      </c>
      <c r="R1519" t="b">
        <v>0</v>
      </c>
    </row>
    <row r="1520">
      <c r="A1520" t="inlineStr">
        <is>
          <t>17 Sep 2025 / Thomas Playford / Utilities / UKPN</t>
        </is>
      </c>
      <c r="B1520" t="inlineStr">
        <is>
          <t>Utilities</t>
        </is>
      </c>
      <c r="C1520" t="inlineStr">
        <is>
          <t>UKPN</t>
        </is>
      </c>
      <c r="D1520" t="inlineStr">
        <is>
          <t>YP24 WRD , Vehicle , Ford , Ranger</t>
        </is>
      </c>
      <c r="E1520" t="inlineStr">
        <is>
          <t>YP24 WRD , Vehicle , Ford , Ranger</t>
        </is>
      </c>
      <c r="F1520" t="inlineStr">
        <is>
          <t>YP24 WRD , Vehicle , Ford , Ranger</t>
        </is>
      </c>
      <c r="G1520" t="inlineStr">
        <is>
          <t>Jacob Oram</t>
        </is>
      </c>
      <c r="H1520" t="inlineStr">
        <is>
          <t>4x4</t>
        </is>
      </c>
      <c r="I1520" t="inlineStr">
        <is>
          <t>Daily/ Weekly Vehicle Inspection</t>
        </is>
      </c>
      <c r="J1520" t="inlineStr">
        <is>
          <t>N/A</t>
        </is>
      </c>
      <c r="K1520" t="inlineStr">
        <is>
          <t>7995 Contour Landscapes Ltd 2</t>
        </is>
      </c>
      <c r="L1520" t="inlineStr">
        <is>
          <t>17/09/2025 08:22</t>
        </is>
      </c>
      <c r="M1520" t="inlineStr">
        <is>
          <t xml:space="preserve">Confirm that you have checked this vehicle as per the guidance document and the vehicle is safe and roadworthy: Fail
</t>
        </is>
      </c>
      <c r="N1520" t="inlineStr">
        <is>
          <t>&lt;p&gt;&lt;/p&gt;</t>
        </is>
      </c>
      <c r="O1520" t="inlineStr">
        <is>
          <t>Confirm that you have checked this vehicle as per the guidance document and the vehicle is safe and roadworthy:Windscreen cracked - safe to drive - booked in for replacement 18/09/25
-</t>
        </is>
      </c>
      <c r="P1520" t="inlineStr">
        <is>
          <t>YP24 WRD , Vehicle , Ford , Ranger</t>
        </is>
      </c>
      <c r="Q1520" t="inlineStr">
        <is>
          <t>UKPN</t>
        </is>
      </c>
      <c r="R1520" t="b">
        <v>0</v>
      </c>
    </row>
    <row r="1521">
      <c r="A1521" t="inlineStr">
        <is>
          <t>17 Sep 2025 / Thomas Playford / Utilities / UKPN</t>
        </is>
      </c>
      <c r="B1521" t="inlineStr">
        <is>
          <t>Utilities</t>
        </is>
      </c>
      <c r="C1521" t="inlineStr">
        <is>
          <t>UKPN</t>
        </is>
      </c>
      <c r="D1521" t="inlineStr">
        <is>
          <t>SA9ST800000283944 , Tow Chipper , Forst , ST8D - Towed</t>
        </is>
      </c>
      <c r="E1521" t="inlineStr">
        <is>
          <t>SA9ST800000283944 , Tow Chipper , Forst , ST8D - Towed</t>
        </is>
      </c>
      <c r="F1521" t="inlineStr">
        <is>
          <t>SA9ST800000283944 , Tow Chipper , Forst , ST8D - Towed</t>
        </is>
      </c>
      <c r="G1521" t="inlineStr">
        <is>
          <t>Jacob Oram</t>
        </is>
      </c>
      <c r="H1521" t="inlineStr">
        <is>
          <t>Towed Chipper</t>
        </is>
      </c>
      <c r="I1521" t="inlineStr">
        <is>
          <t>Daily/ Weekly Vehicle Inspection</t>
        </is>
      </c>
      <c r="J1521" t="inlineStr">
        <is>
          <t>N/A</t>
        </is>
      </c>
      <c r="K1521" t="inlineStr">
        <is>
          <t>7995 Contour Landscapes Ltd 2</t>
        </is>
      </c>
      <c r="L1521" t="inlineStr">
        <is>
          <t>17/09/2025 08:23</t>
        </is>
      </c>
      <c r="M1521" t="inlineStr">
        <is>
          <t>None</t>
        </is>
      </c>
      <c r="N1521" t="inlineStr">
        <is>
          <t>&lt;p&gt;&lt;/p&gt;</t>
        </is>
      </c>
      <c r="O1521" t="inlineStr"/>
      <c r="P1521" t="inlineStr">
        <is>
          <t>SA9ST800000283944 , Tow Chipper , Forst , ST8D - Towed</t>
        </is>
      </c>
      <c r="Q1521" t="inlineStr">
        <is>
          <t>UKPN</t>
        </is>
      </c>
      <c r="R1521" t="b">
        <v>0</v>
      </c>
    </row>
    <row r="1522">
      <c r="A1522" t="inlineStr">
        <is>
          <t>17 Sep 2025 / 7806 Optimum Tree Services Ltd / Utilities / UKPN</t>
        </is>
      </c>
      <c r="B1522" t="inlineStr">
        <is>
          <t>Utilities</t>
        </is>
      </c>
      <c r="C1522" t="inlineStr">
        <is>
          <t>UKPN</t>
        </is>
      </c>
      <c r="D1522" t="inlineStr">
        <is>
          <t>SA9TAPLAF27414263 , Trailer , Tow Mate , Plant Trailer</t>
        </is>
      </c>
      <c r="E1522" t="inlineStr">
        <is>
          <t>SA9TAPLAF27414263 , Trailer , Tow Mate , Plant Trailer</t>
        </is>
      </c>
      <c r="F1522" t="inlineStr">
        <is>
          <t>SA9TAPLAF27414263 , Trailer , Tow Mate , Plant Trailer</t>
        </is>
      </c>
      <c r="G1522" t="inlineStr">
        <is>
          <t xml:space="preserve">Tommy frasle </t>
        </is>
      </c>
      <c r="H1522" t="inlineStr">
        <is>
          <t>Plant Trailer</t>
        </is>
      </c>
      <c r="I1522" t="inlineStr">
        <is>
          <t>Daily/ Weekly Vehicle Inspection</t>
        </is>
      </c>
      <c r="J1522" t="inlineStr">
        <is>
          <t>N/A</t>
        </is>
      </c>
      <c r="K1522" t="inlineStr">
        <is>
          <t>7806 Optimum Tree Services Ltd</t>
        </is>
      </c>
      <c r="L1522" t="inlineStr">
        <is>
          <t>17/09/2025 08:24</t>
        </is>
      </c>
      <c r="M1522" t="inlineStr">
        <is>
          <t>None</t>
        </is>
      </c>
      <c r="N1522" t="inlineStr">
        <is>
          <t>&lt;p&gt;&lt;/p&gt;</t>
        </is>
      </c>
      <c r="O1522" t="inlineStr"/>
      <c r="P1522" t="inlineStr">
        <is>
          <t>SA9TAPLAF27414263 , Trailer , Tow Mate , Plant Trailer</t>
        </is>
      </c>
      <c r="Q1522" t="inlineStr">
        <is>
          <t>UKPN</t>
        </is>
      </c>
      <c r="R1522" t="b">
        <v>0</v>
      </c>
    </row>
    <row r="1523">
      <c r="A1523" t="inlineStr">
        <is>
          <t>17 Sep 2025 / 7806 Optimum Tree Services Ltd / Utilities / UKPN</t>
        </is>
      </c>
      <c r="B1523" t="inlineStr">
        <is>
          <t>Utilities</t>
        </is>
      </c>
      <c r="C1523" t="inlineStr">
        <is>
          <t>UKPN</t>
        </is>
      </c>
      <c r="D1523" t="inlineStr">
        <is>
          <t>4x4 - Landrover  - Defender  - Wd14evn</t>
        </is>
      </c>
      <c r="E1523" t="inlineStr">
        <is>
          <t>4x4 - Landrover  - Defender  - Wd14evn</t>
        </is>
      </c>
      <c r="F1523" t="inlineStr">
        <is>
          <t>4x4 - Landrover  - Defender  - Wd14evn</t>
        </is>
      </c>
      <c r="G1523" t="inlineStr">
        <is>
          <t xml:space="preserve">Tommy frasle </t>
        </is>
      </c>
      <c r="H1523" t="inlineStr">
        <is>
          <t>4x4</t>
        </is>
      </c>
      <c r="I1523" t="inlineStr">
        <is>
          <t>Daily/ Weekly Vehicle Inspection</t>
        </is>
      </c>
      <c r="J1523" t="inlineStr">
        <is>
          <t>N/A</t>
        </is>
      </c>
      <c r="K1523" t="inlineStr">
        <is>
          <t>7806 Optimum Tree Services Ltd</t>
        </is>
      </c>
      <c r="L1523" t="inlineStr">
        <is>
          <t>17/09/2025 08:25</t>
        </is>
      </c>
      <c r="M1523" t="inlineStr">
        <is>
          <t>None</t>
        </is>
      </c>
      <c r="N1523" t="inlineStr">
        <is>
          <t>&lt;p&gt;&lt;/p&gt;</t>
        </is>
      </c>
      <c r="O1523" t="inlineStr"/>
      <c r="P1523" t="inlineStr">
        <is>
          <t>4x4 - Landrover  - Defender  - Wd14evn</t>
        </is>
      </c>
      <c r="Q1523" t="inlineStr">
        <is>
          <t>UKPN</t>
        </is>
      </c>
      <c r="R1523" t="b">
        <v>0</v>
      </c>
    </row>
    <row r="1524">
      <c r="A1524" t="inlineStr">
        <is>
          <t>17 Sep 2025 / 7806 Optimum Tree Services Ltd / Utilities / UKPN</t>
        </is>
      </c>
      <c r="B1524" t="inlineStr">
        <is>
          <t>Utilities</t>
        </is>
      </c>
      <c r="C1524" t="inlineStr">
        <is>
          <t>UKPN</t>
        </is>
      </c>
      <c r="D1524" t="inlineStr">
        <is>
          <t>SA9ST800000283069 , Chipper , Forst , ST 6P</t>
        </is>
      </c>
      <c r="E1524" t="inlineStr">
        <is>
          <t>SA9ST800000283069 , Chipper , Forst , ST 6P</t>
        </is>
      </c>
      <c r="F1524" t="inlineStr">
        <is>
          <t>SA9ST800000283069 , Chipper , Forst , ST 6P</t>
        </is>
      </c>
      <c r="G1524" t="inlineStr">
        <is>
          <t xml:space="preserve">Abraham Davies </t>
        </is>
      </c>
      <c r="H1524" t="inlineStr">
        <is>
          <t>Towed Chipper</t>
        </is>
      </c>
      <c r="I1524" t="inlineStr">
        <is>
          <t>Daily/ Weekly Vehicle Inspection</t>
        </is>
      </c>
      <c r="J1524" t="inlineStr">
        <is>
          <t>N/A</t>
        </is>
      </c>
      <c r="K1524" t="inlineStr">
        <is>
          <t>7806 Optimum Tree Services Ltd</t>
        </is>
      </c>
      <c r="L1524" t="inlineStr">
        <is>
          <t>17/09/2025 08:25</t>
        </is>
      </c>
      <c r="M1524" t="inlineStr">
        <is>
          <t>None</t>
        </is>
      </c>
      <c r="N1524" t="inlineStr">
        <is>
          <t>&lt;p&gt;&lt;/p&gt;</t>
        </is>
      </c>
      <c r="O1524" t="inlineStr"/>
      <c r="P1524" t="inlineStr">
        <is>
          <t>SA9ST800000283069 , Chipper , Forst , ST 6P</t>
        </is>
      </c>
      <c r="Q1524" t="inlineStr">
        <is>
          <t>UKPN</t>
        </is>
      </c>
      <c r="R1524" t="b">
        <v>0</v>
      </c>
    </row>
    <row r="1525">
      <c r="A1525" t="inlineStr">
        <is>
          <t>17 Sep 2025 / 7951 Austin Tree Care LTD / Utilities / UKPN</t>
        </is>
      </c>
      <c r="B1525" t="inlineStr">
        <is>
          <t>Utilities</t>
        </is>
      </c>
      <c r="C1525" t="inlineStr">
        <is>
          <t>UKPN</t>
        </is>
      </c>
      <c r="D1525" t="inlineStr">
        <is>
          <t>WF61 HZV , 4x4 MEWP , Land Rover , Defender</t>
        </is>
      </c>
      <c r="E1525" t="inlineStr">
        <is>
          <t>WF61 HZV , 4x4 MEWP , Land Rover , Defender</t>
        </is>
      </c>
      <c r="F1525" t="inlineStr">
        <is>
          <t>WF61 HZV , 4x4 MEWP , Land Rover , Defender</t>
        </is>
      </c>
      <c r="G1525" t="inlineStr">
        <is>
          <t xml:space="preserve">James Tasker </t>
        </is>
      </c>
      <c r="H1525" t="inlineStr">
        <is>
          <t>4x4</t>
        </is>
      </c>
      <c r="I1525" t="inlineStr">
        <is>
          <t>Daily/ Weekly Vehicle Inspection</t>
        </is>
      </c>
      <c r="J1525" t="inlineStr">
        <is>
          <t>N/A</t>
        </is>
      </c>
      <c r="K1525" t="inlineStr">
        <is>
          <t>7951 Austin Tree Care LTD</t>
        </is>
      </c>
      <c r="L1525" t="inlineStr">
        <is>
          <t>17/09/2025 08:26</t>
        </is>
      </c>
      <c r="M1525" t="inlineStr">
        <is>
          <t>None</t>
        </is>
      </c>
      <c r="N1525" t="inlineStr">
        <is>
          <t>&lt;p&gt;&lt;/p&gt;</t>
        </is>
      </c>
      <c r="O1525" t="inlineStr"/>
      <c r="P1525" t="inlineStr">
        <is>
          <t>WF61 HZV , 4x4 MEWP , Land Rover , Defender</t>
        </is>
      </c>
      <c r="Q1525" t="inlineStr">
        <is>
          <t>UKPN</t>
        </is>
      </c>
      <c r="R1525" t="b">
        <v>0</v>
      </c>
    </row>
    <row r="1526">
      <c r="A1526" t="inlineStr">
        <is>
          <t>17 Sep 2025 / Timbo Franklin M G Tree Surgery Ltd / Utilities / UKPN</t>
        </is>
      </c>
      <c r="B1526" t="inlineStr">
        <is>
          <t>Utilities</t>
        </is>
      </c>
      <c r="C1526" t="inlineStr">
        <is>
          <t>UKPN</t>
        </is>
      </c>
      <c r="D1526" t="inlineStr">
        <is>
          <t>PE07 HGL , Vehicle , Mitsubishi , L200 K74</t>
        </is>
      </c>
      <c r="E1526" t="inlineStr">
        <is>
          <t>PE07 HGL , Vehicle , Mitsubishi , L200 K74</t>
        </is>
      </c>
      <c r="F1526" t="inlineStr">
        <is>
          <t>PE07 HGL , Vehicle , Mitsubishi , L200 K74</t>
        </is>
      </c>
      <c r="G1526" t="inlineStr">
        <is>
          <t>Tim franklin</t>
        </is>
      </c>
      <c r="H1526" t="inlineStr">
        <is>
          <t>Pickup Truck</t>
        </is>
      </c>
      <c r="I1526" t="inlineStr">
        <is>
          <t>Daily/ Weekly Vehicle Inspection</t>
        </is>
      </c>
      <c r="J1526" t="inlineStr">
        <is>
          <t>N/A</t>
        </is>
      </c>
      <c r="K1526" t="inlineStr">
        <is>
          <t>7996 M G Tree Surgery Ltd 2</t>
        </is>
      </c>
      <c r="L1526" t="inlineStr">
        <is>
          <t>17/09/2025 08:27</t>
        </is>
      </c>
      <c r="M1526" t="inlineStr">
        <is>
          <t>None</t>
        </is>
      </c>
      <c r="N1526" t="inlineStr">
        <is>
          <t>&lt;p&gt;&lt;/p&gt;</t>
        </is>
      </c>
      <c r="O1526" t="inlineStr"/>
      <c r="P1526" t="inlineStr">
        <is>
          <t>PE07 HGL , Vehicle , Mitsubishi , L200 K74</t>
        </is>
      </c>
      <c r="Q1526" t="inlineStr">
        <is>
          <t>UKPN</t>
        </is>
      </c>
      <c r="R1526" t="b">
        <v>0</v>
      </c>
    </row>
    <row r="1527">
      <c r="A1527" t="inlineStr">
        <is>
          <t>17 Sep 2025 / 7951 Austin Tree Care LTD / Utilities / UKPN</t>
        </is>
      </c>
      <c r="B1527" t="inlineStr">
        <is>
          <t>Utilities</t>
        </is>
      </c>
      <c r="C1527" t="inlineStr">
        <is>
          <t>UKPN</t>
        </is>
      </c>
      <c r="D1527" t="inlineStr">
        <is>
          <t>SA9ST6P0001283612 , Tow Chipper , Forst , ST6p</t>
        </is>
      </c>
      <c r="E1527" t="inlineStr">
        <is>
          <t>SA9ST6P0001283612 , Tow Chipper , Forst , ST6p</t>
        </is>
      </c>
      <c r="F1527" t="inlineStr">
        <is>
          <t>SA9ST6P0001283612 , Tow Chipper , Forst , ST6p</t>
        </is>
      </c>
      <c r="G1527" t="inlineStr">
        <is>
          <t xml:space="preserve">James Tasker  </t>
        </is>
      </c>
      <c r="H1527" t="inlineStr">
        <is>
          <t>Towed Chipper</t>
        </is>
      </c>
      <c r="I1527" t="inlineStr">
        <is>
          <t>Daily/ Weekly Vehicle Inspection</t>
        </is>
      </c>
      <c r="J1527" t="inlineStr">
        <is>
          <t>N/A</t>
        </is>
      </c>
      <c r="K1527" t="inlineStr">
        <is>
          <t>7951 Austin Tree Care LTD</t>
        </is>
      </c>
      <c r="L1527" t="inlineStr">
        <is>
          <t>17/09/2025 08:28</t>
        </is>
      </c>
      <c r="M1527" t="inlineStr">
        <is>
          <t>None</t>
        </is>
      </c>
      <c r="N1527" t="inlineStr">
        <is>
          <t>&lt;p&gt;&lt;/p&gt;</t>
        </is>
      </c>
      <c r="O1527" t="inlineStr"/>
      <c r="P1527" t="inlineStr">
        <is>
          <t>SA9ST6P0001283612 , Tow Chipper , Forst , ST6p</t>
        </is>
      </c>
      <c r="Q1527" t="inlineStr">
        <is>
          <t>UKPN</t>
        </is>
      </c>
      <c r="R1527" t="b">
        <v>0</v>
      </c>
    </row>
    <row r="1528">
      <c r="A1528" t="inlineStr">
        <is>
          <t>17 Sep 2025 / 7806 Optimum Tree Services Ltd / Utilities / UKPN</t>
        </is>
      </c>
      <c r="B1528" t="inlineStr">
        <is>
          <t>Utilities</t>
        </is>
      </c>
      <c r="C1528" t="inlineStr">
        <is>
          <t>UKPN</t>
        </is>
      </c>
      <c r="D1528" t="inlineStr">
        <is>
          <t>WD14EVB , MEWP , Land Rover , Defender</t>
        </is>
      </c>
      <c r="E1528" t="inlineStr">
        <is>
          <t>WD14EVB , MEWP , Land Rover , Defender</t>
        </is>
      </c>
      <c r="F1528" t="inlineStr">
        <is>
          <t>WD14EVB , MEWP , Land Rover , Defender</t>
        </is>
      </c>
      <c r="G1528" t="inlineStr">
        <is>
          <t xml:space="preserve">Abraham Davies </t>
        </is>
      </c>
      <c r="H1528" t="inlineStr">
        <is>
          <t>4x4</t>
        </is>
      </c>
      <c r="I1528" t="inlineStr">
        <is>
          <t>Daily/ Weekly Vehicle Inspection</t>
        </is>
      </c>
      <c r="J1528" t="inlineStr">
        <is>
          <t>N/A</t>
        </is>
      </c>
      <c r="K1528" t="inlineStr">
        <is>
          <t>7806 Optimum Tree Services Ltd</t>
        </is>
      </c>
      <c r="L1528" t="inlineStr">
        <is>
          <t>17/09/2025 08:28</t>
        </is>
      </c>
      <c r="M1528" t="inlineStr">
        <is>
          <t>None</t>
        </is>
      </c>
      <c r="N1528" t="inlineStr">
        <is>
          <t>&lt;p&gt;&lt;/p&gt;</t>
        </is>
      </c>
      <c r="O1528" t="inlineStr"/>
      <c r="P1528" t="inlineStr">
        <is>
          <t>WD14EVB , MEWP , Land Rover , Defender</t>
        </is>
      </c>
      <c r="Q1528" t="inlineStr">
        <is>
          <t>UKPN</t>
        </is>
      </c>
      <c r="R1528" t="b">
        <v>0</v>
      </c>
    </row>
    <row r="1529">
      <c r="A1529" t="inlineStr">
        <is>
          <t>18 Sep 2025 / 7951 Austin Tree Care LTD / Utilities / UKPN</t>
        </is>
      </c>
      <c r="B1529" t="inlineStr">
        <is>
          <t>Utilities</t>
        </is>
      </c>
      <c r="C1529" t="inlineStr">
        <is>
          <t>UKPN</t>
        </is>
      </c>
      <c r="D1529" t="inlineStr">
        <is>
          <t>WF61 HZV , 4x4 MEWP , Land Rover , Defender</t>
        </is>
      </c>
      <c r="E1529" t="inlineStr">
        <is>
          <t>WF61 HZV , 4x4 MEWP , Land Rover , Defender</t>
        </is>
      </c>
      <c r="F1529" t="inlineStr">
        <is>
          <t>WF61 HZV , 4x4 MEWP , Land Rover , Defender</t>
        </is>
      </c>
      <c r="G1529" t="inlineStr">
        <is>
          <t xml:space="preserve">Jack Austin </t>
        </is>
      </c>
      <c r="H1529" t="inlineStr">
        <is>
          <t>4x4</t>
        </is>
      </c>
      <c r="I1529" t="inlineStr">
        <is>
          <t>Daily/ Weekly Vehicle Inspection</t>
        </is>
      </c>
      <c r="J1529" t="inlineStr">
        <is>
          <t>N/A</t>
        </is>
      </c>
      <c r="K1529" t="inlineStr">
        <is>
          <t>7951 Austin Tree Care LTD</t>
        </is>
      </c>
      <c r="L1529" t="inlineStr">
        <is>
          <t>18/09/2025 07:21</t>
        </is>
      </c>
      <c r="M1529" t="inlineStr">
        <is>
          <t>None</t>
        </is>
      </c>
      <c r="N1529" t="inlineStr">
        <is>
          <t>&lt;p&gt;&lt;/p&gt;</t>
        </is>
      </c>
      <c r="O1529" t="inlineStr"/>
      <c r="P1529" t="inlineStr">
        <is>
          <t>WF61 HZV , 4x4 MEWP , Land Rover , Defender</t>
        </is>
      </c>
      <c r="Q1529" t="inlineStr">
        <is>
          <t>UKPN</t>
        </is>
      </c>
      <c r="R1529" t="b">
        <v>0</v>
      </c>
    </row>
    <row r="1530">
      <c r="A1530" t="inlineStr">
        <is>
          <t>18 Sep 2025 / 7800 MAC Tree Surgery and Fencing Ltd</t>
        </is>
      </c>
      <c r="B1530" t="inlineStr">
        <is>
          <t>Utilities &amp; Inland Waterways</t>
        </is>
      </c>
      <c r="C1530" t="inlineStr">
        <is>
          <t>UKPN</t>
        </is>
      </c>
      <c r="D1530" t="inlineStr">
        <is>
          <t>205143043-A1 , Tow Chipper , Timberwolf , TW150</t>
        </is>
      </c>
      <c r="E1530" t="inlineStr">
        <is>
          <t>205143043-A1 , Tow Chipper , Timberwolf , TW150</t>
        </is>
      </c>
      <c r="F1530" t="inlineStr">
        <is>
          <t>205143043-A1 , Tow Chipper , Timberwolf , TW150</t>
        </is>
      </c>
      <c r="G1530" t="inlineStr">
        <is>
          <t xml:space="preserve">Lewis mac </t>
        </is>
      </c>
      <c r="H1530" t="inlineStr">
        <is>
          <t>Towed Chipper</t>
        </is>
      </c>
      <c r="I1530" t="inlineStr">
        <is>
          <t>Daily/ Weekly Vehicle Inspection</t>
        </is>
      </c>
      <c r="J1530" t="inlineStr">
        <is>
          <t>N/A</t>
        </is>
      </c>
      <c r="K1530" t="inlineStr">
        <is>
          <t>7800 MAC Tree Surgery and Fencing Ltd</t>
        </is>
      </c>
      <c r="L1530" t="inlineStr">
        <is>
          <t>18/09/2025 07:22</t>
        </is>
      </c>
      <c r="M1530" t="inlineStr">
        <is>
          <t>None</t>
        </is>
      </c>
      <c r="N1530" t="inlineStr">
        <is>
          <t>&lt;p&gt;&lt;/p&gt;</t>
        </is>
      </c>
      <c r="O1530" t="inlineStr"/>
      <c r="P1530" t="inlineStr">
        <is>
          <t>205143043-A1 , Tow Chipper , Timberwolf , TW150</t>
        </is>
      </c>
      <c r="Q1530" t="inlineStr">
        <is>
          <t>UKPN</t>
        </is>
      </c>
      <c r="R1530" t="b">
        <v>0</v>
      </c>
    </row>
    <row r="1531">
      <c r="A1531" t="inlineStr">
        <is>
          <t>18 Sep 2025 / 7800 MAC Tree Surgery and Fencing Ltd</t>
        </is>
      </c>
      <c r="B1531" t="inlineStr">
        <is>
          <t>Utilities &amp; Inland Waterways</t>
        </is>
      </c>
      <c r="C1531" t="inlineStr">
        <is>
          <t>UKPN</t>
        </is>
      </c>
      <c r="D1531" t="inlineStr">
        <is>
          <t>AY68DAA , 4x4 , Izuzu , Dmax</t>
        </is>
      </c>
      <c r="E1531" t="inlineStr">
        <is>
          <t>AY68DAA , 4x4 , Izuzu , Dmax</t>
        </is>
      </c>
      <c r="F1531" t="inlineStr">
        <is>
          <t>AY68DAA , 4x4 , Izuzu , Dmax</t>
        </is>
      </c>
      <c r="G1531" t="inlineStr">
        <is>
          <t xml:space="preserve">Lewis mac </t>
        </is>
      </c>
      <c r="H1531" t="inlineStr">
        <is>
          <t>4x4</t>
        </is>
      </c>
      <c r="I1531" t="inlineStr">
        <is>
          <t>Daily/ Weekly Vehicle Inspection</t>
        </is>
      </c>
      <c r="J1531" t="inlineStr">
        <is>
          <t>N/A</t>
        </is>
      </c>
      <c r="K1531" t="inlineStr">
        <is>
          <t>7800 MAC Tree Surgery and Fencing Ltd</t>
        </is>
      </c>
      <c r="L1531" t="inlineStr">
        <is>
          <t>18/09/2025 07:23</t>
        </is>
      </c>
      <c r="M1531" t="inlineStr">
        <is>
          <t>None</t>
        </is>
      </c>
      <c r="N1531" t="inlineStr">
        <is>
          <t>&lt;p&gt;&lt;/p&gt;</t>
        </is>
      </c>
      <c r="O1531" t="inlineStr"/>
      <c r="P1531" t="inlineStr">
        <is>
          <t>AY68DAA , 4x4 , Izuzu , Dmax</t>
        </is>
      </c>
      <c r="Q1531" t="inlineStr">
        <is>
          <t>UKPN</t>
        </is>
      </c>
      <c r="R1531" t="b">
        <v>0</v>
      </c>
    </row>
    <row r="1532">
      <c r="A1532" t="inlineStr">
        <is>
          <t>18 Sep 2025 / 7806 Optimum Tree Services Ltd / Utilities / UKPN</t>
        </is>
      </c>
      <c r="B1532" t="inlineStr">
        <is>
          <t>Utilities</t>
        </is>
      </c>
      <c r="C1532" t="inlineStr">
        <is>
          <t>UKPN</t>
        </is>
      </c>
      <c r="D1532" t="inlineStr">
        <is>
          <t>SA9ST800000283069 , Chipper , Forst , ST 6P</t>
        </is>
      </c>
      <c r="E1532" t="inlineStr">
        <is>
          <t>SA9ST800000283069 , Chipper , Forst , ST 6P</t>
        </is>
      </c>
      <c r="F1532" t="inlineStr">
        <is>
          <t>SA9ST800000283069 , Chipper , Forst , ST 6P</t>
        </is>
      </c>
      <c r="G1532" t="inlineStr">
        <is>
          <t xml:space="preserve">Abraham Davies </t>
        </is>
      </c>
      <c r="H1532" t="inlineStr">
        <is>
          <t>Towed Chipper</t>
        </is>
      </c>
      <c r="I1532" t="inlineStr">
        <is>
          <t>Daily/ Weekly Vehicle Inspection</t>
        </is>
      </c>
      <c r="J1532" t="inlineStr">
        <is>
          <t>N/A</t>
        </is>
      </c>
      <c r="K1532" t="inlineStr">
        <is>
          <t>7806 Optimum Tree Services Ltd</t>
        </is>
      </c>
      <c r="L1532" t="inlineStr">
        <is>
          <t>18/09/2025 07:27</t>
        </is>
      </c>
      <c r="M1532" t="inlineStr">
        <is>
          <t>None</t>
        </is>
      </c>
      <c r="N1532" t="inlineStr">
        <is>
          <t>&lt;p&gt;&lt;/p&gt;</t>
        </is>
      </c>
      <c r="O1532" t="inlineStr"/>
      <c r="P1532" t="inlineStr">
        <is>
          <t>SA9ST800000283069 , Chipper , Forst , ST 6P</t>
        </is>
      </c>
      <c r="Q1532" t="inlineStr">
        <is>
          <t>UKPN</t>
        </is>
      </c>
      <c r="R1532" t="b">
        <v>0</v>
      </c>
    </row>
    <row r="1533">
      <c r="A1533" t="inlineStr">
        <is>
          <t>18 Sep 2025 / 7806 Optimum Tree Services Ltd / Utilities / UKPN</t>
        </is>
      </c>
      <c r="B1533" t="inlineStr">
        <is>
          <t>Utilities</t>
        </is>
      </c>
      <c r="C1533" t="inlineStr">
        <is>
          <t>UKPN</t>
        </is>
      </c>
      <c r="D1533" t="inlineStr">
        <is>
          <t>WD14EVB , MEWP , Land Rover , Defender</t>
        </is>
      </c>
      <c r="E1533" t="inlineStr">
        <is>
          <t>WD14EVB , MEWP , Land Rover , Defender</t>
        </is>
      </c>
      <c r="F1533" t="inlineStr">
        <is>
          <t>WD14EVB , MEWP , Land Rover , Defender</t>
        </is>
      </c>
      <c r="G1533" t="inlineStr">
        <is>
          <t xml:space="preserve">Abraham Davies </t>
        </is>
      </c>
      <c r="H1533" t="inlineStr">
        <is>
          <t>4x4</t>
        </is>
      </c>
      <c r="I1533" t="inlineStr">
        <is>
          <t>Daily/ Weekly Vehicle Inspection</t>
        </is>
      </c>
      <c r="J1533" t="inlineStr">
        <is>
          <t>N/A</t>
        </is>
      </c>
      <c r="K1533" t="inlineStr">
        <is>
          <t>7806 Optimum Tree Services Ltd</t>
        </is>
      </c>
      <c r="L1533" t="inlineStr">
        <is>
          <t>18/09/2025 07:27</t>
        </is>
      </c>
      <c r="M1533" t="inlineStr">
        <is>
          <t>None</t>
        </is>
      </c>
      <c r="N1533" t="inlineStr">
        <is>
          <t>&lt;p&gt;&lt;/p&gt;</t>
        </is>
      </c>
      <c r="O1533" t="inlineStr"/>
      <c r="P1533" t="inlineStr">
        <is>
          <t>WD14EVB , MEWP , Land Rover , Defender</t>
        </is>
      </c>
      <c r="Q1533" t="inlineStr">
        <is>
          <t>UKPN</t>
        </is>
      </c>
      <c r="R1533" t="b">
        <v>0</v>
      </c>
    </row>
    <row r="1534">
      <c r="A1534" t="inlineStr">
        <is>
          <t>18 Sep 2025 / 7186 Eastwoodbury Tree Services Ltd / Utilities / UKPN</t>
        </is>
      </c>
      <c r="B1534" t="inlineStr">
        <is>
          <t>Utilities</t>
        </is>
      </c>
      <c r="C1534" t="inlineStr">
        <is>
          <t>UKPN</t>
        </is>
      </c>
      <c r="D1534" t="inlineStr">
        <is>
          <t>4x4 - Land rover  - Defenders  - WF13 EKM</t>
        </is>
      </c>
      <c r="E1534" t="inlineStr">
        <is>
          <t>4x4 - Land rover  - Defenders  - WF13 EKM</t>
        </is>
      </c>
      <c r="F1534" t="inlineStr">
        <is>
          <t>4x4 - Land rover  - Defenders  - WF13 EKM</t>
        </is>
      </c>
      <c r="G1534" t="inlineStr">
        <is>
          <t xml:space="preserve">Jay Denkmayer </t>
        </is>
      </c>
      <c r="H1534" t="inlineStr">
        <is>
          <t>4x4</t>
        </is>
      </c>
      <c r="I1534" t="inlineStr">
        <is>
          <t>Daily/ Weekly Vehicle Inspection</t>
        </is>
      </c>
      <c r="J1534" t="inlineStr">
        <is>
          <t>N/A</t>
        </is>
      </c>
      <c r="K1534" t="inlineStr">
        <is>
          <t>7186 Eastwoodbury Tree Services Ltd</t>
        </is>
      </c>
      <c r="L1534" t="inlineStr">
        <is>
          <t>18/09/2025 08:23</t>
        </is>
      </c>
      <c r="M1534" t="inlineStr">
        <is>
          <t>None</t>
        </is>
      </c>
      <c r="N1534" t="inlineStr">
        <is>
          <t>&lt;p&gt;&lt;/p&gt;</t>
        </is>
      </c>
      <c r="O1534" t="inlineStr"/>
      <c r="P1534" t="inlineStr">
        <is>
          <t>4x4 - Land rover  - Defenders  - WF13 EKM</t>
        </is>
      </c>
      <c r="Q1534" t="inlineStr">
        <is>
          <t>UKPN</t>
        </is>
      </c>
      <c r="R1534" t="b">
        <v>0</v>
      </c>
    </row>
    <row r="1535">
      <c r="A1535" t="inlineStr">
        <is>
          <t>18 Sep 2025 / 7186 Eastwoodbury Tree Services Ltd / Utilities / UKPN</t>
        </is>
      </c>
      <c r="B1535" t="inlineStr">
        <is>
          <t>Utilities</t>
        </is>
      </c>
      <c r="C1535" t="inlineStr">
        <is>
          <t>UKPN</t>
        </is>
      </c>
      <c r="D1535" t="inlineStr">
        <is>
          <t>FN600XM , 4x4 , Land Rover  , Defender</t>
        </is>
      </c>
      <c r="E1535" t="inlineStr">
        <is>
          <t>FN600XM , 4x4 , Land Rover  , Defender</t>
        </is>
      </c>
      <c r="F1535" t="inlineStr">
        <is>
          <t>FN600XM , 4x4 , Land Rover  , Defender</t>
        </is>
      </c>
      <c r="G1535" t="inlineStr">
        <is>
          <t xml:space="preserve">Dan Gilbert </t>
        </is>
      </c>
      <c r="H1535" t="inlineStr">
        <is>
          <t>4x4</t>
        </is>
      </c>
      <c r="I1535" t="inlineStr">
        <is>
          <t>Daily/ Weekly Vehicle Inspection</t>
        </is>
      </c>
      <c r="J1535" t="inlineStr">
        <is>
          <t>N/A</t>
        </is>
      </c>
      <c r="K1535" t="inlineStr">
        <is>
          <t>7186 Eastwoodbury Tree Services Ltd</t>
        </is>
      </c>
      <c r="L1535" t="inlineStr">
        <is>
          <t>18/09/2025 08:24</t>
        </is>
      </c>
      <c r="M1535" t="inlineStr">
        <is>
          <t>None</t>
        </is>
      </c>
      <c r="N1535" t="inlineStr">
        <is>
          <t>&lt;p&gt;&lt;/p&gt;</t>
        </is>
      </c>
      <c r="O1535" t="inlineStr"/>
      <c r="P1535" t="inlineStr">
        <is>
          <t>FN600XM , 4x4 , Land Rover  , Defender</t>
        </is>
      </c>
      <c r="Q1535" t="inlineStr">
        <is>
          <t>UKPN</t>
        </is>
      </c>
      <c r="R1535" t="b">
        <v>0</v>
      </c>
    </row>
    <row r="1536">
      <c r="A1536" t="inlineStr">
        <is>
          <t>18 Sep 2025 / 7186 Eastwoodbury Tree Services Ltd / Utilities / UKPN</t>
        </is>
      </c>
      <c r="B1536" t="inlineStr">
        <is>
          <t>Utilities</t>
        </is>
      </c>
      <c r="C1536" t="inlineStr">
        <is>
          <t>UKPN</t>
        </is>
      </c>
      <c r="D1536" t="inlineStr">
        <is>
          <t>DN61XKJ , Tipper , Ford , Transit</t>
        </is>
      </c>
      <c r="E1536" t="inlineStr">
        <is>
          <t>DN61XKJ , Tipper , Ford , Transit</t>
        </is>
      </c>
      <c r="F1536" t="inlineStr">
        <is>
          <t>DN61XKJ , Tipper , Ford , Transit</t>
        </is>
      </c>
      <c r="G1536" t="inlineStr">
        <is>
          <t xml:space="preserve">Tom Price </t>
        </is>
      </c>
      <c r="H1536" t="inlineStr">
        <is>
          <t>Tipper</t>
        </is>
      </c>
      <c r="I1536" t="inlineStr">
        <is>
          <t>Daily/ Weekly Vehicle Inspection</t>
        </is>
      </c>
      <c r="J1536" t="inlineStr">
        <is>
          <t>N/A</t>
        </is>
      </c>
      <c r="K1536" t="inlineStr">
        <is>
          <t>7186 Eastwoodbury Tree Services Ltd</t>
        </is>
      </c>
      <c r="L1536" t="inlineStr">
        <is>
          <t>18/09/2025 08:25</t>
        </is>
      </c>
      <c r="M1536" t="inlineStr">
        <is>
          <t>None</t>
        </is>
      </c>
      <c r="N1536" t="inlineStr">
        <is>
          <t>&lt;p&gt;&lt;/p&gt;</t>
        </is>
      </c>
      <c r="O1536" t="inlineStr"/>
      <c r="P1536" t="inlineStr">
        <is>
          <t>DN61XKJ , Tipper , Ford , Transit</t>
        </is>
      </c>
      <c r="Q1536" t="inlineStr">
        <is>
          <t>UKPN</t>
        </is>
      </c>
      <c r="R1536" t="b">
        <v>0</v>
      </c>
    </row>
    <row r="1537">
      <c r="A1537" t="inlineStr">
        <is>
          <t>18 Sep 2025 / 7951 Austin Tree Care LTD 1 / Utilities / UKPN</t>
        </is>
      </c>
      <c r="B1537" t="inlineStr">
        <is>
          <t>Utilities</t>
        </is>
      </c>
      <c r="C1537" t="inlineStr">
        <is>
          <t>UKPN</t>
        </is>
      </c>
      <c r="D1537" t="inlineStr">
        <is>
          <t>Kn58xuy , Tipper , VW  , Crafter</t>
        </is>
      </c>
      <c r="E1537" t="inlineStr">
        <is>
          <t>Kn58xuy , Tipper , VW  , Crafter</t>
        </is>
      </c>
      <c r="F1537" t="inlineStr">
        <is>
          <t>Kn58xuy , Tipper , VW  , Crafter</t>
        </is>
      </c>
      <c r="G1537" t="inlineStr">
        <is>
          <t xml:space="preserve">James Tasker </t>
        </is>
      </c>
      <c r="H1537" t="inlineStr">
        <is>
          <t>Tipper</t>
        </is>
      </c>
      <c r="I1537" t="inlineStr">
        <is>
          <t>Daily/ Weekly Vehicle Inspection</t>
        </is>
      </c>
      <c r="J1537" t="inlineStr">
        <is>
          <t>N/A</t>
        </is>
      </c>
      <c r="K1537" t="inlineStr">
        <is>
          <t>7951 Austin Tree Care LTD 1</t>
        </is>
      </c>
      <c r="L1537" t="inlineStr">
        <is>
          <t>18/09/2025 08:26</t>
        </is>
      </c>
      <c r="M1537" t="inlineStr">
        <is>
          <t>None</t>
        </is>
      </c>
      <c r="N1537" t="inlineStr">
        <is>
          <t>&lt;p&gt;&lt;/p&gt;</t>
        </is>
      </c>
      <c r="O1537" t="inlineStr"/>
      <c r="P1537" t="inlineStr">
        <is>
          <t>Kn58xuy , Tipper , VW  , Crafter</t>
        </is>
      </c>
      <c r="Q1537" t="inlineStr">
        <is>
          <t>UKPN</t>
        </is>
      </c>
      <c r="R1537" t="b">
        <v>0</v>
      </c>
    </row>
    <row r="1538">
      <c r="A1538" t="inlineStr">
        <is>
          <t>18 Sep 2025 / 7951 Austin Tree Care LTD / Utilities / UKPN</t>
        </is>
      </c>
      <c r="B1538" t="inlineStr">
        <is>
          <t>Utilities</t>
        </is>
      </c>
      <c r="C1538" t="inlineStr">
        <is>
          <t>UKPN</t>
        </is>
      </c>
      <c r="D1538" t="inlineStr">
        <is>
          <t>SA9ST6P0001283612 , Tow Chipper , Forst , ST6p</t>
        </is>
      </c>
      <c r="E1538" t="inlineStr">
        <is>
          <t>SA9ST6P0001283612 , Tow Chipper , Forst , ST6p</t>
        </is>
      </c>
      <c r="F1538" t="inlineStr">
        <is>
          <t>SA9ST6P0001283612 , Tow Chipper , Forst , ST6p</t>
        </is>
      </c>
      <c r="G1538" t="inlineStr">
        <is>
          <t xml:space="preserve">Jack Austin </t>
        </is>
      </c>
      <c r="H1538" t="inlineStr">
        <is>
          <t>Towed Chipper</t>
        </is>
      </c>
      <c r="I1538" t="inlineStr">
        <is>
          <t>Daily/ Weekly Vehicle Inspection</t>
        </is>
      </c>
      <c r="J1538" t="inlineStr">
        <is>
          <t>N/A</t>
        </is>
      </c>
      <c r="K1538" t="inlineStr">
        <is>
          <t>7951 Austin Tree Care LTD</t>
        </is>
      </c>
      <c r="L1538" t="inlineStr">
        <is>
          <t>18/09/2025 08:27</t>
        </is>
      </c>
      <c r="M1538" t="inlineStr">
        <is>
          <t>None</t>
        </is>
      </c>
      <c r="N1538" t="inlineStr">
        <is>
          <t>&lt;p&gt;&lt;/p&gt;</t>
        </is>
      </c>
      <c r="O1538" t="inlineStr"/>
      <c r="P1538" t="inlineStr">
        <is>
          <t>SA9ST6P0001283612 , Tow Chipper , Forst , ST6p</t>
        </is>
      </c>
      <c r="Q1538" t="inlineStr">
        <is>
          <t>UKPN</t>
        </is>
      </c>
      <c r="R1538" t="b">
        <v>0</v>
      </c>
    </row>
    <row r="1539">
      <c r="A1539" t="inlineStr">
        <is>
          <t>18 Sep 2025 / Anthony Gale / Utilities / UKPN</t>
        </is>
      </c>
      <c r="B1539" t="inlineStr">
        <is>
          <t>Utilities</t>
        </is>
      </c>
      <c r="C1539" t="inlineStr">
        <is>
          <t>UKPN</t>
        </is>
      </c>
      <c r="D1539" t="inlineStr">
        <is>
          <t>PE07 HGL , Vehicle , Mitsubishi , L200 K74</t>
        </is>
      </c>
      <c r="E1539" t="inlineStr">
        <is>
          <t>PE07 HGL , Vehicle , Mitsubishi , L200 K74</t>
        </is>
      </c>
      <c r="F1539" t="inlineStr">
        <is>
          <t>PE07 HGL , Vehicle , Mitsubishi , L200 K74</t>
        </is>
      </c>
      <c r="G1539" t="inlineStr">
        <is>
          <t>Anthony Gale</t>
        </is>
      </c>
      <c r="H1539" t="inlineStr">
        <is>
          <t>Pickup Truck</t>
        </is>
      </c>
      <c r="I1539" t="inlineStr">
        <is>
          <t>Daily/ Weekly Vehicle Inspection</t>
        </is>
      </c>
      <c r="J1539" t="inlineStr">
        <is>
          <t>N/A</t>
        </is>
      </c>
      <c r="K1539" t="inlineStr">
        <is>
          <t>7996 M G Tree Surgery Ltd 1</t>
        </is>
      </c>
      <c r="L1539" t="inlineStr">
        <is>
          <t>18/09/2025 09:23</t>
        </is>
      </c>
      <c r="M1539" t="inlineStr">
        <is>
          <t>None</t>
        </is>
      </c>
      <c r="N1539" t="inlineStr">
        <is>
          <t>&lt;p&gt;&lt;/p&gt;</t>
        </is>
      </c>
      <c r="O1539" t="inlineStr">
        <is>
          <t>Confirm that you have checked this vehicle as per the guidance document and the vehicle is safe and roadworthy:Drivers side wheel trim deteriorating, seems ok for now.
Monitor.
-</t>
        </is>
      </c>
      <c r="P1539" t="inlineStr">
        <is>
          <t>PE07 HGL , Vehicle , Mitsubishi , L200 K74</t>
        </is>
      </c>
      <c r="Q1539" t="inlineStr">
        <is>
          <t>UKPN</t>
        </is>
      </c>
      <c r="R1539" t="b">
        <v>0</v>
      </c>
    </row>
    <row r="1540">
      <c r="A1540" t="inlineStr">
        <is>
          <t>18 Sep 2025 / Anthony Gale / Utilities / UKPN</t>
        </is>
      </c>
      <c r="B1540" t="inlineStr">
        <is>
          <t>Utilities</t>
        </is>
      </c>
      <c r="C1540" t="inlineStr">
        <is>
          <t>UKPN</t>
        </is>
      </c>
      <c r="D1540" t="inlineStr">
        <is>
          <t>GU13 WNL , MEWP , Land Rover , Defender 130</t>
        </is>
      </c>
      <c r="E1540" t="inlineStr">
        <is>
          <t>GU13 WNL , MEWP , Land Rover , Defender 130</t>
        </is>
      </c>
      <c r="F1540" t="inlineStr">
        <is>
          <t>GU13 WNL , MEWP , Land Rover , Defender 130</t>
        </is>
      </c>
      <c r="G1540" t="inlineStr">
        <is>
          <t>Anthony Gale</t>
        </is>
      </c>
      <c r="H1540" t="inlineStr">
        <is>
          <t>4x4</t>
        </is>
      </c>
      <c r="I1540" t="inlineStr">
        <is>
          <t>Daily/ Weekly Vehicle Inspection</t>
        </is>
      </c>
      <c r="J1540" t="inlineStr">
        <is>
          <t>N/A</t>
        </is>
      </c>
      <c r="K1540" t="inlineStr">
        <is>
          <t>7996 M G Tree Surgery Ltd 1</t>
        </is>
      </c>
      <c r="L1540" t="inlineStr">
        <is>
          <t>18/09/2025 10:22</t>
        </is>
      </c>
      <c r="M1540" t="inlineStr">
        <is>
          <t>None</t>
        </is>
      </c>
      <c r="N1540" t="inlineStr">
        <is>
          <t>&lt;p&gt;&lt;/p&gt;</t>
        </is>
      </c>
      <c r="O1540" t="inlineStr"/>
      <c r="P1540" t="inlineStr">
        <is>
          <t>GU13 WNL , MEWP , Land Rover , Defender 130</t>
        </is>
      </c>
      <c r="Q1540" t="inlineStr">
        <is>
          <t>UKPN</t>
        </is>
      </c>
      <c r="R1540" t="b">
        <v>0</v>
      </c>
    </row>
    <row r="1541">
      <c r="A1541" t="inlineStr">
        <is>
          <t>18 Sep 2025 / Anthony Gale / Utilities / UKPN</t>
        </is>
      </c>
      <c r="B1541" t="inlineStr">
        <is>
          <t>Utilities</t>
        </is>
      </c>
      <c r="C1541" t="inlineStr">
        <is>
          <t>UKPN</t>
        </is>
      </c>
      <c r="D1541" t="inlineStr">
        <is>
          <t>PE07 HGL , Vehicle , Mitsubishi , L200 K74</t>
        </is>
      </c>
      <c r="E1541" t="inlineStr">
        <is>
          <t>PE07 HGL , Vehicle , Mitsubishi , L200 K74</t>
        </is>
      </c>
      <c r="F1541" t="inlineStr">
        <is>
          <t>PE07 HGL , Vehicle , Mitsubishi , L200 K74</t>
        </is>
      </c>
      <c r="G1541" t="inlineStr">
        <is>
          <t>Anthony Gale</t>
        </is>
      </c>
      <c r="H1541" t="inlineStr">
        <is>
          <t>Pickup Truck</t>
        </is>
      </c>
      <c r="I1541" t="inlineStr">
        <is>
          <t>Daily/ Weekly Vehicle Inspection</t>
        </is>
      </c>
      <c r="J1541" t="inlineStr">
        <is>
          <t>N/A</t>
        </is>
      </c>
      <c r="K1541" t="inlineStr">
        <is>
          <t>7996 M G Tree Surgery Ltd 1</t>
        </is>
      </c>
      <c r="L1541" t="inlineStr">
        <is>
          <t>18/09/2025 10:22</t>
        </is>
      </c>
      <c r="M1541" t="inlineStr">
        <is>
          <t>None</t>
        </is>
      </c>
      <c r="N1541" t="inlineStr">
        <is>
          <t>&lt;p&gt;&lt;/p&gt;</t>
        </is>
      </c>
      <c r="O1541" t="inlineStr">
        <is>
          <t>Confirm that you have checked this vehicle as per the guidance document and the vehicle is safe and roadworthy:Drivers side wheel trim deteriorating, seems ok for now.
Monitor.
-</t>
        </is>
      </c>
      <c r="P1541" t="inlineStr">
        <is>
          <t>PE07 HGL , Vehicle , Mitsubishi , L200 K74</t>
        </is>
      </c>
      <c r="Q1541" t="inlineStr">
        <is>
          <t>UKPN</t>
        </is>
      </c>
      <c r="R1541" t="b">
        <v>0</v>
      </c>
    </row>
    <row r="1542">
      <c r="A1542" t="inlineStr">
        <is>
          <t>18 Sep 2025 / 3098 D &amp; R Landscapes (PEND Arb Rail) / Utilities / UKPN</t>
        </is>
      </c>
      <c r="B1542" t="inlineStr">
        <is>
          <t>Utilities</t>
        </is>
      </c>
      <c r="C1542" t="inlineStr">
        <is>
          <t>UKPN</t>
        </is>
      </c>
      <c r="D1542" t="inlineStr">
        <is>
          <t>DE68XHA , Tipper , Isuzu , Grafter</t>
        </is>
      </c>
      <c r="E1542" t="inlineStr">
        <is>
          <t>DE68XHA , Tipper , Isuzu , Grafter</t>
        </is>
      </c>
      <c r="F1542" t="inlineStr">
        <is>
          <t>DE68XHA , Tipper , Isuzu , Grafter</t>
        </is>
      </c>
      <c r="G1542" t="inlineStr">
        <is>
          <t xml:space="preserve">Rob </t>
        </is>
      </c>
      <c r="H1542" t="inlineStr">
        <is>
          <t>Pickup Truck</t>
        </is>
      </c>
      <c r="I1542" t="inlineStr">
        <is>
          <t>Daily/ Weekly Vehicle Inspection</t>
        </is>
      </c>
      <c r="J1542" t="inlineStr">
        <is>
          <t>N/A</t>
        </is>
      </c>
      <c r="K1542" t="inlineStr">
        <is>
          <t>3098 D &amp; R Landscapes</t>
        </is>
      </c>
      <c r="L1542" t="inlineStr">
        <is>
          <t>18/09/2025 17:22</t>
        </is>
      </c>
      <c r="M1542" t="inlineStr">
        <is>
          <t>None</t>
        </is>
      </c>
      <c r="N1542" t="inlineStr">
        <is>
          <t>&lt;p&gt;&lt;/p&gt;</t>
        </is>
      </c>
      <c r="O1542" t="inlineStr"/>
      <c r="P1542" t="inlineStr">
        <is>
          <t>DE68XHA , Tipper , Isuzu , Grafter</t>
        </is>
      </c>
      <c r="Q1542" t="inlineStr">
        <is>
          <t>UKPN</t>
        </is>
      </c>
      <c r="R1542" t="b">
        <v>0</v>
      </c>
    </row>
    <row r="1543">
      <c r="A1543" t="inlineStr">
        <is>
          <t>19 Sep 2025 / 7186 Eastwoodbury Tree Services Ltd / Utilities / UKPN</t>
        </is>
      </c>
      <c r="B1543" t="inlineStr">
        <is>
          <t>Utilities</t>
        </is>
      </c>
      <c r="C1543" t="inlineStr">
        <is>
          <t>UKPN</t>
        </is>
      </c>
      <c r="D1543" t="inlineStr">
        <is>
          <t>DE53NKS , 4x4 , Ford , Ranger</t>
        </is>
      </c>
      <c r="E1543" t="inlineStr">
        <is>
          <t>DE53NKS , 4x4 , Ford , Ranger</t>
        </is>
      </c>
      <c r="F1543" t="inlineStr">
        <is>
          <t>DE53NKS , 4x4 , Ford , Ranger</t>
        </is>
      </c>
      <c r="G1543" t="inlineStr">
        <is>
          <t xml:space="preserve">Jay Denkmayer </t>
        </is>
      </c>
      <c r="H1543" t="inlineStr">
        <is>
          <t>Pickup Truck</t>
        </is>
      </c>
      <c r="I1543" t="inlineStr">
        <is>
          <t>Daily/ Weekly Vehicle Inspection</t>
        </is>
      </c>
      <c r="J1543" t="inlineStr">
        <is>
          <t>N/A</t>
        </is>
      </c>
      <c r="K1543" t="inlineStr">
        <is>
          <t>7186 Eastwoodbury Tree Services Ltd</t>
        </is>
      </c>
      <c r="L1543" t="inlineStr">
        <is>
          <t>19/09/2025 07:21</t>
        </is>
      </c>
      <c r="M1543" t="inlineStr">
        <is>
          <t>None</t>
        </is>
      </c>
      <c r="N1543" t="inlineStr">
        <is>
          <t>&lt;p&gt;&lt;/p&gt;</t>
        </is>
      </c>
      <c r="O1543" t="inlineStr"/>
      <c r="P1543" t="inlineStr">
        <is>
          <t>DE53NKS , 4x4 , Ford , Ranger</t>
        </is>
      </c>
      <c r="Q1543" t="inlineStr">
        <is>
          <t>UKPN</t>
        </is>
      </c>
      <c r="R1543" t="b">
        <v>0</v>
      </c>
    </row>
    <row r="1544">
      <c r="A1544" t="inlineStr">
        <is>
          <t>19 Sep 2025 / Anthony Gale / Utilities / UKPN</t>
        </is>
      </c>
      <c r="B1544" t="inlineStr">
        <is>
          <t>Utilities</t>
        </is>
      </c>
      <c r="C1544" t="inlineStr">
        <is>
          <t>UKPN</t>
        </is>
      </c>
      <c r="D1544" t="inlineStr">
        <is>
          <t>PE07 HGL , Vehicle , Mitsubishi , L200 K74</t>
        </is>
      </c>
      <c r="E1544" t="inlineStr">
        <is>
          <t>PE07 HGL , Vehicle , Mitsubishi , L200 K74</t>
        </is>
      </c>
      <c r="F1544" t="inlineStr">
        <is>
          <t>PE07 HGL , Vehicle , Mitsubishi , L200 K74</t>
        </is>
      </c>
      <c r="G1544" t="inlineStr">
        <is>
          <t>Anthony Gale</t>
        </is>
      </c>
      <c r="H1544" t="inlineStr">
        <is>
          <t>Pickup Truck</t>
        </is>
      </c>
      <c r="I1544" t="inlineStr">
        <is>
          <t>Daily/ Weekly Vehicle Inspection</t>
        </is>
      </c>
      <c r="J1544" t="inlineStr">
        <is>
          <t>N/A</t>
        </is>
      </c>
      <c r="K1544" t="inlineStr">
        <is>
          <t>7996 M G Tree Surgery Ltd 1</t>
        </is>
      </c>
      <c r="L1544" t="inlineStr">
        <is>
          <t>19/09/2025 08:21</t>
        </is>
      </c>
      <c r="M1544" t="inlineStr">
        <is>
          <t>None</t>
        </is>
      </c>
      <c r="N1544" t="inlineStr">
        <is>
          <t>&lt;p&gt;&lt;/p&gt;</t>
        </is>
      </c>
      <c r="O1544" t="inlineStr">
        <is>
          <t>Confirm that you have checked this vehicle as per the guidance document and the vehicle is safe and roadworthy:Drivers side wheel trim deteriorating, seem ok for now. Monitor.
-</t>
        </is>
      </c>
      <c r="P1544" t="inlineStr">
        <is>
          <t>PE07 HGL , Vehicle , Mitsubishi , L200 K74</t>
        </is>
      </c>
      <c r="Q1544" t="inlineStr">
        <is>
          <t>UKPN</t>
        </is>
      </c>
      <c r="R1544" t="b">
        <v>0</v>
      </c>
    </row>
    <row r="1545">
      <c r="A1545" t="inlineStr">
        <is>
          <t>19 Sep 2025 / 6556 DE UA SWales3 / Utilities / NGED</t>
        </is>
      </c>
      <c r="B1545" t="inlineStr">
        <is>
          <t>Utilities</t>
        </is>
      </c>
      <c r="C1545" t="inlineStr">
        <is>
          <t>NGED</t>
        </is>
      </c>
      <c r="D1545" t="inlineStr">
        <is>
          <t>WO23RVN , Van , Ford , Ranger</t>
        </is>
      </c>
      <c r="E1545" t="inlineStr">
        <is>
          <t>WO23RVN , Van , Ford , Ranger</t>
        </is>
      </c>
      <c r="F1545" t="inlineStr">
        <is>
          <t>WO23RVN , Van , Ford , Ranger</t>
        </is>
      </c>
      <c r="G1545" t="inlineStr">
        <is>
          <t xml:space="preserve">Daniel davies </t>
        </is>
      </c>
      <c r="H1545" t="inlineStr">
        <is>
          <t>4x4</t>
        </is>
      </c>
      <c r="I1545" t="inlineStr">
        <is>
          <t>Daily/ Weekly Vehicle Inspection</t>
        </is>
      </c>
      <c r="J1545" t="inlineStr">
        <is>
          <t>N/A</t>
        </is>
      </c>
      <c r="K1545" t="inlineStr">
        <is>
          <t>6556 DE UA SWales3</t>
        </is>
      </c>
      <c r="L1545" t="inlineStr">
        <is>
          <t>19/09/2025 08:22</t>
        </is>
      </c>
      <c r="M1545" t="inlineStr">
        <is>
          <t>None</t>
        </is>
      </c>
      <c r="N1545" t="inlineStr">
        <is>
          <t>&lt;p&gt;&lt;/p&gt;</t>
        </is>
      </c>
      <c r="O1545" t="inlineStr"/>
      <c r="P1545" t="inlineStr">
        <is>
          <t>WO23RVN , Van , Ford , Ranger</t>
        </is>
      </c>
      <c r="Q1545" t="inlineStr">
        <is>
          <t>NGED</t>
        </is>
      </c>
      <c r="R1545" t="b">
        <v>0</v>
      </c>
    </row>
    <row r="1546">
      <c r="A1546" t="inlineStr">
        <is>
          <t>19 Sep 2025 / Thomas Playford / Utilities / UKPN</t>
        </is>
      </c>
      <c r="B1546" t="inlineStr">
        <is>
          <t>Utilities</t>
        </is>
      </c>
      <c r="C1546" t="inlineStr">
        <is>
          <t>UKPN</t>
        </is>
      </c>
      <c r="D1546" t="inlineStr">
        <is>
          <t>SA9ST800000283944 , Tow Chipper , Forst , ST8D - Towed</t>
        </is>
      </c>
      <c r="E1546" t="inlineStr">
        <is>
          <t>SA9ST800000283944 , Tow Chipper , Forst , ST8D - Towed</t>
        </is>
      </c>
      <c r="F1546" t="inlineStr">
        <is>
          <t>SA9ST800000283944 , Tow Chipper , Forst , ST8D - Towed</t>
        </is>
      </c>
      <c r="G1546" t="inlineStr">
        <is>
          <t>Thomas Playford</t>
        </is>
      </c>
      <c r="H1546" t="inlineStr">
        <is>
          <t>Towed Chipper</t>
        </is>
      </c>
      <c r="I1546" t="inlineStr">
        <is>
          <t>Daily/ Weekly Vehicle Inspection</t>
        </is>
      </c>
      <c r="J1546" t="inlineStr">
        <is>
          <t>N/A</t>
        </is>
      </c>
      <c r="K1546" t="inlineStr">
        <is>
          <t>7995 Contour Landscapes Ltd 2</t>
        </is>
      </c>
      <c r="L1546" t="inlineStr">
        <is>
          <t>19/09/2025 08:23</t>
        </is>
      </c>
      <c r="M1546" t="inlineStr">
        <is>
          <t>None</t>
        </is>
      </c>
      <c r="N1546" t="inlineStr">
        <is>
          <t>&lt;p&gt;&lt;/p&gt;</t>
        </is>
      </c>
      <c r="O1546" t="inlineStr"/>
      <c r="P1546" t="inlineStr">
        <is>
          <t>SA9ST800000283944 , Tow Chipper , Forst , ST8D - Towed</t>
        </is>
      </c>
      <c r="Q1546" t="inlineStr">
        <is>
          <t>UKPN</t>
        </is>
      </c>
      <c r="R1546" t="b">
        <v>0</v>
      </c>
    </row>
    <row r="1547">
      <c r="A1547" t="inlineStr">
        <is>
          <t>19 Sep 2025 / Thomas Playford / Utilities / UKPN</t>
        </is>
      </c>
      <c r="B1547" t="inlineStr">
        <is>
          <t>Utilities</t>
        </is>
      </c>
      <c r="C1547" t="inlineStr">
        <is>
          <t>UKPN</t>
        </is>
      </c>
      <c r="D1547" t="inlineStr">
        <is>
          <t>Tipper - Ford - Transit - EA24OZH</t>
        </is>
      </c>
      <c r="E1547" t="inlineStr">
        <is>
          <t>Tipper - Ford - Transit - EA24OZH</t>
        </is>
      </c>
      <c r="F1547" t="inlineStr">
        <is>
          <t>Tipper - Ford - Transit - EA24OZH</t>
        </is>
      </c>
      <c r="G1547" t="inlineStr">
        <is>
          <t>Thomas Playford</t>
        </is>
      </c>
      <c r="H1547" t="inlineStr">
        <is>
          <t>Tipper</t>
        </is>
      </c>
      <c r="I1547" t="inlineStr">
        <is>
          <t>Daily/ Weekly Vehicle Inspection</t>
        </is>
      </c>
      <c r="J1547" t="inlineStr">
        <is>
          <t>N/A</t>
        </is>
      </c>
      <c r="K1547" t="inlineStr">
        <is>
          <t>7995 Contour Landscapes Ltd 2</t>
        </is>
      </c>
      <c r="L1547" t="inlineStr">
        <is>
          <t>19/09/2025 08:23</t>
        </is>
      </c>
      <c r="M1547" t="inlineStr">
        <is>
          <t>None</t>
        </is>
      </c>
      <c r="N1547" t="inlineStr">
        <is>
          <t>&lt;p&gt;&lt;/p&gt;</t>
        </is>
      </c>
      <c r="O1547" t="inlineStr"/>
      <c r="P1547" t="inlineStr">
        <is>
          <t>Tipper - Ford - Transit - EA24OZH</t>
        </is>
      </c>
      <c r="Q1547" t="inlineStr">
        <is>
          <t>UKPN</t>
        </is>
      </c>
      <c r="R1547" t="b">
        <v>0</v>
      </c>
    </row>
    <row r="1548">
      <c r="A1548" t="inlineStr">
        <is>
          <t>19 Sep 2025 / 7806 Optimum Tree Services Ltd / Utilities / UKPN</t>
        </is>
      </c>
      <c r="B1548" t="inlineStr">
        <is>
          <t>Utilities</t>
        </is>
      </c>
      <c r="C1548" t="inlineStr">
        <is>
          <t>UKPN</t>
        </is>
      </c>
      <c r="D1548" t="inlineStr">
        <is>
          <t>SA9ST800000283069 , Chipper , Forst , ST 6P</t>
        </is>
      </c>
      <c r="E1548" t="inlineStr">
        <is>
          <t>SA9ST800000283069 , Chipper , Forst , ST 6P</t>
        </is>
      </c>
      <c r="F1548" t="inlineStr">
        <is>
          <t>SA9ST800000283069 , Chipper , Forst , ST 6P</t>
        </is>
      </c>
      <c r="G1548" t="inlineStr">
        <is>
          <t xml:space="preserve">Abraham Davies </t>
        </is>
      </c>
      <c r="H1548" t="inlineStr">
        <is>
          <t>Towed Chipper</t>
        </is>
      </c>
      <c r="I1548" t="inlineStr">
        <is>
          <t>Daily/ Weekly Vehicle Inspection</t>
        </is>
      </c>
      <c r="J1548" t="inlineStr">
        <is>
          <t>N/A</t>
        </is>
      </c>
      <c r="K1548" t="inlineStr">
        <is>
          <t>7806 Optimum Tree Services Ltd</t>
        </is>
      </c>
      <c r="L1548" t="inlineStr">
        <is>
          <t>19/09/2025 08:24</t>
        </is>
      </c>
      <c r="M1548" t="inlineStr">
        <is>
          <t>None</t>
        </is>
      </c>
      <c r="N1548" t="inlineStr">
        <is>
          <t>&lt;p&gt;&lt;/p&gt;</t>
        </is>
      </c>
      <c r="O1548" t="inlineStr"/>
      <c r="P1548" t="inlineStr">
        <is>
          <t>SA9ST800000283069 , Chipper , Forst , ST 6P</t>
        </is>
      </c>
      <c r="Q1548" t="inlineStr">
        <is>
          <t>UKPN</t>
        </is>
      </c>
      <c r="R1548" t="b">
        <v>0</v>
      </c>
    </row>
    <row r="1549">
      <c r="A1549" t="inlineStr">
        <is>
          <t>19 Sep 2025 / 7806 Optimum Tree Services Ltd / Utilities / UKPN</t>
        </is>
      </c>
      <c r="B1549" t="inlineStr">
        <is>
          <t>Utilities</t>
        </is>
      </c>
      <c r="C1549" t="inlineStr">
        <is>
          <t>UKPN</t>
        </is>
      </c>
      <c r="D1549" t="inlineStr">
        <is>
          <t>WD14EVB , MEWP , Land Rover , Defender</t>
        </is>
      </c>
      <c r="E1549" t="inlineStr">
        <is>
          <t>WD14EVB , MEWP , Land Rover , Defender</t>
        </is>
      </c>
      <c r="F1549" t="inlineStr">
        <is>
          <t>WD14EVB , MEWP , Land Rover , Defender</t>
        </is>
      </c>
      <c r="G1549" t="inlineStr">
        <is>
          <t xml:space="preserve">Abraham Davies </t>
        </is>
      </c>
      <c r="H1549" t="inlineStr">
        <is>
          <t>4x4</t>
        </is>
      </c>
      <c r="I1549" t="inlineStr">
        <is>
          <t>Daily/ Weekly Vehicle Inspection</t>
        </is>
      </c>
      <c r="J1549" t="inlineStr">
        <is>
          <t>N/A</t>
        </is>
      </c>
      <c r="K1549" t="inlineStr">
        <is>
          <t>7806 Optimum Tree Services Ltd</t>
        </is>
      </c>
      <c r="L1549" t="inlineStr">
        <is>
          <t>19/09/2025 08:25</t>
        </is>
      </c>
      <c r="M1549" t="inlineStr">
        <is>
          <t>None</t>
        </is>
      </c>
      <c r="N1549" t="inlineStr">
        <is>
          <t>&lt;p&gt;&lt;/p&gt;</t>
        </is>
      </c>
      <c r="O1549" t="inlineStr"/>
      <c r="P1549" t="inlineStr">
        <is>
          <t>WD14EVB , MEWP , Land Rover , Defender</t>
        </is>
      </c>
      <c r="Q1549" t="inlineStr">
        <is>
          <t>UKPN</t>
        </is>
      </c>
      <c r="R1549" t="b">
        <v>0</v>
      </c>
    </row>
    <row r="1550">
      <c r="A1550" t="inlineStr">
        <is>
          <t>19 Sep 2025 / 3098 D &amp; R Landscapes (PEND Arb Rail) / Utilities / UKPN</t>
        </is>
      </c>
      <c r="B1550" t="inlineStr">
        <is>
          <t>Utilities</t>
        </is>
      </c>
      <c r="C1550" t="inlineStr">
        <is>
          <t>UKPN</t>
        </is>
      </c>
      <c r="D1550" t="inlineStr">
        <is>
          <t>Vehicle - Nissan - Navara - BT20 GNZ</t>
        </is>
      </c>
      <c r="E1550" t="inlineStr">
        <is>
          <t>Vehicle - Nissan - Navara - BT20 GNZ</t>
        </is>
      </c>
      <c r="F1550" t="inlineStr">
        <is>
          <t>Vehicle - Nissan - Navara - BT20 GNZ</t>
        </is>
      </c>
      <c r="G1550" t="inlineStr">
        <is>
          <t xml:space="preserve">Dylan </t>
        </is>
      </c>
      <c r="H1550" t="inlineStr">
        <is>
          <t>Pickup Truck</t>
        </is>
      </c>
      <c r="I1550" t="inlineStr">
        <is>
          <t>Daily/ Weekly Vehicle Inspection</t>
        </is>
      </c>
      <c r="J1550" t="inlineStr">
        <is>
          <t>N/A</t>
        </is>
      </c>
      <c r="K1550" t="inlineStr">
        <is>
          <t>3098 D &amp; R Landscapes</t>
        </is>
      </c>
      <c r="L1550" t="inlineStr">
        <is>
          <t>19/09/2025 08:25</t>
        </is>
      </c>
      <c r="M1550" t="inlineStr">
        <is>
          <t>None</t>
        </is>
      </c>
      <c r="N1550" t="inlineStr">
        <is>
          <t>&lt;p&gt;&lt;/p&gt;</t>
        </is>
      </c>
      <c r="O1550" t="inlineStr"/>
      <c r="P1550" t="inlineStr">
        <is>
          <t>Vehicle - Nissan - Navara - BT20 GNZ</t>
        </is>
      </c>
      <c r="Q1550" t="inlineStr">
        <is>
          <t>UKPN</t>
        </is>
      </c>
      <c r="R1550" t="b">
        <v>0</v>
      </c>
    </row>
    <row r="1551">
      <c r="A1551" t="inlineStr">
        <is>
          <t>19 Sep 2025 / 7186 Eastwoodbury Tree Services Ltd / Utilities / UKPN</t>
        </is>
      </c>
      <c r="B1551" t="inlineStr">
        <is>
          <t>Utilities</t>
        </is>
      </c>
      <c r="C1551" t="inlineStr">
        <is>
          <t>UKPN</t>
        </is>
      </c>
      <c r="D1551" t="inlineStr">
        <is>
          <t>FN600XM , 4x4 , Land Rover  , Defender</t>
        </is>
      </c>
      <c r="E1551" t="inlineStr">
        <is>
          <t>FN600XM , 4x4 , Land Rover  , Defender</t>
        </is>
      </c>
      <c r="F1551" t="inlineStr">
        <is>
          <t>FN600XM , 4x4 , Land Rover  , Defender</t>
        </is>
      </c>
      <c r="G1551" t="inlineStr">
        <is>
          <t xml:space="preserve">Dan Gilbert </t>
        </is>
      </c>
      <c r="H1551" t="inlineStr">
        <is>
          <t>4x4</t>
        </is>
      </c>
      <c r="I1551" t="inlineStr">
        <is>
          <t>Daily/ Weekly Vehicle Inspection</t>
        </is>
      </c>
      <c r="J1551" t="inlineStr">
        <is>
          <t>N/A</t>
        </is>
      </c>
      <c r="K1551" t="inlineStr">
        <is>
          <t>7186 Eastwoodbury Tree Services Ltd</t>
        </is>
      </c>
      <c r="L1551" t="inlineStr">
        <is>
          <t>19/09/2025 08:26</t>
        </is>
      </c>
      <c r="M1551" t="inlineStr">
        <is>
          <t>None</t>
        </is>
      </c>
      <c r="N1551" t="inlineStr">
        <is>
          <t>&lt;p&gt;&lt;/p&gt;</t>
        </is>
      </c>
      <c r="O1551" t="inlineStr"/>
      <c r="P1551" t="inlineStr">
        <is>
          <t>FN600XM , 4x4 , Land Rover  , Defender</t>
        </is>
      </c>
      <c r="Q1551" t="inlineStr">
        <is>
          <t>UKPN</t>
        </is>
      </c>
      <c r="R1551" t="b">
        <v>0</v>
      </c>
    </row>
    <row r="1552">
      <c r="A1552" t="inlineStr">
        <is>
          <t>19 Sep 2025 / Martin Rawlings / Utilities / NGED</t>
        </is>
      </c>
      <c r="B1552" t="inlineStr">
        <is>
          <t>Utilities</t>
        </is>
      </c>
      <c r="C1552" t="inlineStr">
        <is>
          <t>NGED</t>
        </is>
      </c>
      <c r="D1552" t="inlineStr"/>
      <c r="E1552" t="inlineStr"/>
      <c r="F1552" t="inlineStr"/>
      <c r="G1552" t="inlineStr">
        <is>
          <t>Martin Rawlings</t>
        </is>
      </c>
      <c r="H1552" t="inlineStr">
        <is>
          <t>Car - Petrol</t>
        </is>
      </c>
      <c r="I1552" t="inlineStr">
        <is>
          <t>Daily/ Weekly Vehicle Inspection</t>
        </is>
      </c>
      <c r="J1552" t="inlineStr">
        <is>
          <t>N/A</t>
        </is>
      </c>
      <c r="K1552" t="inlineStr">
        <is>
          <t>Martin Rawlings</t>
        </is>
      </c>
      <c r="L1552" t="inlineStr">
        <is>
          <t>19/09/2025 11:21</t>
        </is>
      </c>
      <c r="M1552" t="inlineStr">
        <is>
          <t>None</t>
        </is>
      </c>
      <c r="N1552" t="inlineStr">
        <is>
          <t>&lt;p&gt;&lt;/p&gt;</t>
        </is>
      </c>
      <c r="O1552" t="inlineStr"/>
      <c r="P1552" t="inlineStr"/>
      <c r="Q1552" t="inlineStr">
        <is>
          <t>NGED</t>
        </is>
      </c>
      <c r="R1552" t="b">
        <v>0</v>
      </c>
    </row>
    <row r="1553">
      <c r="A1553" t="inlineStr">
        <is>
          <t>22 Sep 2025 / 7806 Optimum Tree Services Ltd / Utilities / UKPN</t>
        </is>
      </c>
      <c r="B1553" t="inlineStr">
        <is>
          <t>Utilities</t>
        </is>
      </c>
      <c r="C1553" t="inlineStr">
        <is>
          <t>UKPN</t>
        </is>
      </c>
      <c r="D1553" t="inlineStr">
        <is>
          <t>SA9ST800000283069 , Chipper , Forst , ST 6P</t>
        </is>
      </c>
      <c r="E1553" t="inlineStr">
        <is>
          <t>SA9ST800000283069 , Chipper , Forst , ST 6P</t>
        </is>
      </c>
      <c r="F1553" t="inlineStr">
        <is>
          <t>SA9ST800000283069 , Chipper , Forst , ST 6P</t>
        </is>
      </c>
      <c r="G1553" t="inlineStr">
        <is>
          <t xml:space="preserve">Abraham Davies </t>
        </is>
      </c>
      <c r="H1553" t="inlineStr">
        <is>
          <t>Towed Chipper</t>
        </is>
      </c>
      <c r="I1553" t="inlineStr">
        <is>
          <t>Daily/ Weekly Vehicle Inspection</t>
        </is>
      </c>
      <c r="J1553" t="inlineStr">
        <is>
          <t>N/A</t>
        </is>
      </c>
      <c r="K1553" t="inlineStr">
        <is>
          <t>7806 Optimum Tree Services Ltd</t>
        </is>
      </c>
      <c r="L1553" t="inlineStr">
        <is>
          <t>22/09/2025 07:23</t>
        </is>
      </c>
      <c r="M1553" t="inlineStr">
        <is>
          <t>None</t>
        </is>
      </c>
      <c r="N1553" t="inlineStr">
        <is>
          <t>&lt;p&gt;&lt;/p&gt;</t>
        </is>
      </c>
      <c r="O1553" t="inlineStr"/>
      <c r="P1553" t="inlineStr">
        <is>
          <t>SA9ST800000283069 , Chipper , Forst , ST 6P</t>
        </is>
      </c>
      <c r="Q1553" t="inlineStr">
        <is>
          <t>UKPN</t>
        </is>
      </c>
      <c r="R1553" t="b">
        <v>0</v>
      </c>
    </row>
    <row r="1554">
      <c r="A1554" t="inlineStr">
        <is>
          <t>22 Sep 2025 / 7806 Optimum Tree Services Ltd / Utilities / UKPN</t>
        </is>
      </c>
      <c r="B1554" t="inlineStr">
        <is>
          <t>Utilities</t>
        </is>
      </c>
      <c r="C1554" t="inlineStr">
        <is>
          <t>UKPN</t>
        </is>
      </c>
      <c r="D1554" t="inlineStr">
        <is>
          <t>WD14EVB , MEWP , Land Rover , Defender</t>
        </is>
      </c>
      <c r="E1554" t="inlineStr">
        <is>
          <t>WD14EVB , MEWP , Land Rover , Defender</t>
        </is>
      </c>
      <c r="F1554" t="inlineStr">
        <is>
          <t>WD14EVB , MEWP , Land Rover , Defender</t>
        </is>
      </c>
      <c r="G1554" t="inlineStr">
        <is>
          <t xml:space="preserve">Abraham Davies </t>
        </is>
      </c>
      <c r="H1554" t="inlineStr">
        <is>
          <t>4x4</t>
        </is>
      </c>
      <c r="I1554" t="inlineStr">
        <is>
          <t>Daily/ Weekly Vehicle Inspection</t>
        </is>
      </c>
      <c r="J1554" t="inlineStr">
        <is>
          <t>N/A</t>
        </is>
      </c>
      <c r="K1554" t="inlineStr">
        <is>
          <t>7806 Optimum Tree Services Ltd</t>
        </is>
      </c>
      <c r="L1554" t="inlineStr">
        <is>
          <t>22/09/2025 07:24</t>
        </is>
      </c>
      <c r="M1554" t="inlineStr">
        <is>
          <t>None</t>
        </is>
      </c>
      <c r="N1554" t="inlineStr">
        <is>
          <t>&lt;p&gt;&lt;/p&gt;</t>
        </is>
      </c>
      <c r="O1554" t="inlineStr"/>
      <c r="P1554" t="inlineStr">
        <is>
          <t>WD14EVB , MEWP , Land Rover , Defender</t>
        </is>
      </c>
      <c r="Q1554" t="inlineStr">
        <is>
          <t>UKPN</t>
        </is>
      </c>
      <c r="R1554" t="b">
        <v>0</v>
      </c>
    </row>
    <row r="1555">
      <c r="A1555" t="inlineStr">
        <is>
          <t>22 Sep 2025 / 7186 Eastwoodbury Tree Services Ltd / Utilities / UKPN</t>
        </is>
      </c>
      <c r="B1555" t="inlineStr">
        <is>
          <t>Utilities</t>
        </is>
      </c>
      <c r="C1555" t="inlineStr">
        <is>
          <t>UKPN</t>
        </is>
      </c>
      <c r="D1555" t="inlineStr">
        <is>
          <t>Equipment Trailer - IFor Williams - GD105 - sckd00000n5214943</t>
        </is>
      </c>
      <c r="E1555" t="inlineStr">
        <is>
          <t>Equipment Trailer - IFor Williams - GD105 - sckd00000n5214943</t>
        </is>
      </c>
      <c r="F1555" t="inlineStr">
        <is>
          <t>Equipment Trailer - IFor Williams - GD105 - sckd00000n5214943</t>
        </is>
      </c>
      <c r="G1555" t="inlineStr">
        <is>
          <t xml:space="preserve">Jay Denkmayer </t>
        </is>
      </c>
      <c r="H1555" t="inlineStr">
        <is>
          <t>Flat Bed Trailer</t>
        </is>
      </c>
      <c r="I1555" t="inlineStr">
        <is>
          <t>Daily/ Weekly Vehicle Inspection</t>
        </is>
      </c>
      <c r="J1555" t="inlineStr">
        <is>
          <t>N/A</t>
        </is>
      </c>
      <c r="K1555" t="inlineStr">
        <is>
          <t>7186 Eastwoodbury Tree Services Ltd</t>
        </is>
      </c>
      <c r="L1555" t="inlineStr">
        <is>
          <t>22/09/2025 07:27</t>
        </is>
      </c>
      <c r="M1555" t="inlineStr">
        <is>
          <t>None</t>
        </is>
      </c>
      <c r="N1555" t="inlineStr">
        <is>
          <t>&lt;p&gt;&lt;/p&gt;</t>
        </is>
      </c>
      <c r="O1555" t="inlineStr"/>
      <c r="P1555" t="inlineStr">
        <is>
          <t>Equipment Trailer - IFor Williams - GD105 - sckd00000n5214943</t>
        </is>
      </c>
      <c r="Q1555" t="inlineStr">
        <is>
          <t>UKPN</t>
        </is>
      </c>
      <c r="R1555" t="b">
        <v>0</v>
      </c>
    </row>
    <row r="1556">
      <c r="A1556" t="inlineStr">
        <is>
          <t>22 Sep 2025 / 7186 Eastwoodbury Tree Services Ltd / Utilities / UKPN</t>
        </is>
      </c>
      <c r="B1556" t="inlineStr">
        <is>
          <t>Utilities</t>
        </is>
      </c>
      <c r="C1556" t="inlineStr">
        <is>
          <t>UKPN</t>
        </is>
      </c>
      <c r="D1556" t="inlineStr">
        <is>
          <t>DN61XKJ , Tipper , Ford , Transit</t>
        </is>
      </c>
      <c r="E1556" t="inlineStr">
        <is>
          <t>DN61XKJ , Tipper , Ford , Transit</t>
        </is>
      </c>
      <c r="F1556" t="inlineStr">
        <is>
          <t>DN61XKJ , Tipper , Ford , Transit</t>
        </is>
      </c>
      <c r="G1556" t="inlineStr">
        <is>
          <t xml:space="preserve">Jay Denkmayer </t>
        </is>
      </c>
      <c r="H1556" t="inlineStr">
        <is>
          <t>Tipper</t>
        </is>
      </c>
      <c r="I1556" t="inlineStr">
        <is>
          <t>Daily/ Weekly Vehicle Inspection</t>
        </is>
      </c>
      <c r="J1556" t="inlineStr">
        <is>
          <t>N/A</t>
        </is>
      </c>
      <c r="K1556" t="inlineStr">
        <is>
          <t>7186 Eastwoodbury Tree Services Ltd</t>
        </is>
      </c>
      <c r="L1556" t="inlineStr">
        <is>
          <t>22/09/2025 07:28</t>
        </is>
      </c>
      <c r="M1556" t="inlineStr">
        <is>
          <t>None</t>
        </is>
      </c>
      <c r="N1556" t="inlineStr">
        <is>
          <t>&lt;p&gt;&lt;/p&gt;</t>
        </is>
      </c>
      <c r="O1556" t="inlineStr"/>
      <c r="P1556" t="inlineStr">
        <is>
          <t>DN61XKJ , Tipper , Ford , Transit</t>
        </is>
      </c>
      <c r="Q1556" t="inlineStr">
        <is>
          <t>UKPN</t>
        </is>
      </c>
      <c r="R1556" t="b">
        <v>0</v>
      </c>
    </row>
    <row r="1557">
      <c r="A1557" t="inlineStr">
        <is>
          <t>22 Sep 2025 / 7996 M G Tree Surgery Ltd / Utilities / UKPN</t>
        </is>
      </c>
      <c r="B1557" t="inlineStr">
        <is>
          <t>Utilities</t>
        </is>
      </c>
      <c r="C1557" t="inlineStr">
        <is>
          <t>UKPN</t>
        </is>
      </c>
      <c r="D1557" t="inlineStr">
        <is>
          <t>GU13 WNL , MEWP , Land Rover , Defender 130</t>
        </is>
      </c>
      <c r="E1557" t="inlineStr">
        <is>
          <t>GU13 WNL , MEWP , Land Rover , Defender 130</t>
        </is>
      </c>
      <c r="F1557" t="inlineStr">
        <is>
          <t>GU13 WNL , MEWP , Land Rover , Defender 130</t>
        </is>
      </c>
      <c r="G1557" t="inlineStr">
        <is>
          <t>Max</t>
        </is>
      </c>
      <c r="H1557" t="inlineStr">
        <is>
          <t>Pickup Truck</t>
        </is>
      </c>
      <c r="I1557" t="inlineStr">
        <is>
          <t>Daily/ Weekly Vehicle Inspection</t>
        </is>
      </c>
      <c r="J1557" t="inlineStr">
        <is>
          <t>N/A</t>
        </is>
      </c>
      <c r="K1557" t="inlineStr">
        <is>
          <t>7996 M G Tree Surgery Ltd</t>
        </is>
      </c>
      <c r="L1557" t="inlineStr">
        <is>
          <t>22/09/2025 07:28</t>
        </is>
      </c>
      <c r="M1557" t="inlineStr">
        <is>
          <t>None</t>
        </is>
      </c>
      <c r="N1557" t="inlineStr">
        <is>
          <t>&lt;p&gt;&lt;/p&gt;</t>
        </is>
      </c>
      <c r="O1557" t="inlineStr"/>
      <c r="P1557" t="inlineStr">
        <is>
          <t>GU13 WNL , MEWP , Land Rover , Defender 130</t>
        </is>
      </c>
      <c r="Q1557" t="inlineStr">
        <is>
          <t>UKPN</t>
        </is>
      </c>
      <c r="R1557" t="b">
        <v>0</v>
      </c>
    </row>
    <row r="1558">
      <c r="A1558" t="inlineStr">
        <is>
          <t>22 Sep 2025 / 3098 D &amp; R Landscapes (PEND Arb Rail) / Utilities / UKPN</t>
        </is>
      </c>
      <c r="B1558" t="inlineStr">
        <is>
          <t>Utilities</t>
        </is>
      </c>
      <c r="C1558" t="inlineStr">
        <is>
          <t>UKPN</t>
        </is>
      </c>
      <c r="D1558" t="inlineStr">
        <is>
          <t>Vehicle - Nissan - Navara - BT20 GNZ</t>
        </is>
      </c>
      <c r="E1558" t="inlineStr">
        <is>
          <t>Vehicle - Nissan - Navara - BT20 GNZ</t>
        </is>
      </c>
      <c r="F1558" t="inlineStr">
        <is>
          <t>Vehicle - Nissan - Navara - BT20 GNZ</t>
        </is>
      </c>
      <c r="G1558" t="inlineStr">
        <is>
          <t xml:space="preserve">Richard </t>
        </is>
      </c>
      <c r="H1558" t="inlineStr">
        <is>
          <t>Pickup Truck</t>
        </is>
      </c>
      <c r="I1558" t="inlineStr">
        <is>
          <t>Daily/ Weekly Vehicle Inspection</t>
        </is>
      </c>
      <c r="J1558" t="inlineStr">
        <is>
          <t>N/A</t>
        </is>
      </c>
      <c r="K1558" t="inlineStr">
        <is>
          <t>3098 D &amp; R Landscapes</t>
        </is>
      </c>
      <c r="L1558" t="inlineStr">
        <is>
          <t>22/09/2025 07:29</t>
        </is>
      </c>
      <c r="M1558" t="inlineStr">
        <is>
          <t>None</t>
        </is>
      </c>
      <c r="N1558" t="inlineStr">
        <is>
          <t>&lt;p&gt;&lt;/p&gt;</t>
        </is>
      </c>
      <c r="O1558" t="inlineStr"/>
      <c r="P1558" t="inlineStr">
        <is>
          <t>Vehicle - Nissan - Navara - BT20 GNZ</t>
        </is>
      </c>
      <c r="Q1558" t="inlineStr">
        <is>
          <t>UKPN</t>
        </is>
      </c>
      <c r="R1558" t="b">
        <v>0</v>
      </c>
    </row>
    <row r="1559">
      <c r="A1559" t="inlineStr">
        <is>
          <t>22 Sep 2025 / Anthony Gale / Utilities / UKPN</t>
        </is>
      </c>
      <c r="B1559" t="inlineStr">
        <is>
          <t>Utilities</t>
        </is>
      </c>
      <c r="C1559" t="inlineStr">
        <is>
          <t>UKPN</t>
        </is>
      </c>
      <c r="D1559" t="inlineStr">
        <is>
          <t>PE07 HGL , Vehicle , Mitsubishi , L200 K74</t>
        </is>
      </c>
      <c r="E1559" t="inlineStr">
        <is>
          <t>PE07 HGL , Vehicle , Mitsubishi , L200 K74</t>
        </is>
      </c>
      <c r="F1559" t="inlineStr">
        <is>
          <t>PE07 HGL , Vehicle , Mitsubishi , L200 K74</t>
        </is>
      </c>
      <c r="G1559" t="inlineStr">
        <is>
          <t>Anthony Gale</t>
        </is>
      </c>
      <c r="H1559" t="inlineStr">
        <is>
          <t>Pickup Truck</t>
        </is>
      </c>
      <c r="I1559" t="inlineStr">
        <is>
          <t>Daily/ Weekly Vehicle Inspection</t>
        </is>
      </c>
      <c r="J1559" t="inlineStr">
        <is>
          <t>N/A</t>
        </is>
      </c>
      <c r="K1559" t="inlineStr">
        <is>
          <t>7996 M G Tree Surgery Ltd 1</t>
        </is>
      </c>
      <c r="L1559" t="inlineStr">
        <is>
          <t>22/09/2025 08:23</t>
        </is>
      </c>
      <c r="M1559" t="inlineStr">
        <is>
          <t>None</t>
        </is>
      </c>
      <c r="N1559" t="inlineStr">
        <is>
          <t>&lt;p&gt;&lt;/p&gt;</t>
        </is>
      </c>
      <c r="O1559" t="inlineStr">
        <is>
          <t>Select Vehicle:Drivers side wheel trim deteriorating, monitor.</t>
        </is>
      </c>
      <c r="P1559" t="inlineStr">
        <is>
          <t>PE07 HGL , Vehicle , Mitsubishi , L200 K74</t>
        </is>
      </c>
      <c r="Q1559" t="inlineStr">
        <is>
          <t>UKPN</t>
        </is>
      </c>
      <c r="R1559" t="b">
        <v>0</v>
      </c>
    </row>
    <row r="1560">
      <c r="A1560" t="inlineStr">
        <is>
          <t>22 Sep 2025 / 7951 Austin Tree Care LTD 1 / Utilities / UKPN</t>
        </is>
      </c>
      <c r="B1560" t="inlineStr">
        <is>
          <t>Utilities</t>
        </is>
      </c>
      <c r="C1560" t="inlineStr">
        <is>
          <t>UKPN</t>
        </is>
      </c>
      <c r="D1560" t="inlineStr">
        <is>
          <t>WF61 HZV , 4x4 MEWP , Land Rover , Defender</t>
        </is>
      </c>
      <c r="E1560" t="inlineStr">
        <is>
          <t>WF61 HZV , 4x4 MEWP , Land Rover , Defender</t>
        </is>
      </c>
      <c r="F1560" t="inlineStr">
        <is>
          <t>WF61 HZV , 4x4 MEWP , Land Rover , Defender</t>
        </is>
      </c>
      <c r="G1560" t="inlineStr">
        <is>
          <t xml:space="preserve">Jack Austin </t>
        </is>
      </c>
      <c r="H1560" t="inlineStr">
        <is>
          <t>4x4</t>
        </is>
      </c>
      <c r="I1560" t="inlineStr">
        <is>
          <t>Daily/ Weekly Vehicle Inspection</t>
        </is>
      </c>
      <c r="J1560" t="inlineStr">
        <is>
          <t>N/A</t>
        </is>
      </c>
      <c r="K1560" t="inlineStr">
        <is>
          <t>7951 Austin Tree Care LTD 1</t>
        </is>
      </c>
      <c r="L1560" t="inlineStr">
        <is>
          <t>22/09/2025 08:25</t>
        </is>
      </c>
      <c r="M1560" t="inlineStr">
        <is>
          <t>None</t>
        </is>
      </c>
      <c r="N1560" t="inlineStr">
        <is>
          <t>&lt;p&gt;&lt;/p&gt;</t>
        </is>
      </c>
      <c r="O1560" t="inlineStr"/>
      <c r="P1560" t="inlineStr">
        <is>
          <t>WF61 HZV , 4x4 MEWP , Land Rover , Defender</t>
        </is>
      </c>
      <c r="Q1560" t="inlineStr">
        <is>
          <t>UKPN</t>
        </is>
      </c>
      <c r="R1560" t="b">
        <v>0</v>
      </c>
    </row>
    <row r="1561">
      <c r="A1561" t="inlineStr">
        <is>
          <t>22 Sep 2025 / James Gorman / Utilities / UKPN</t>
        </is>
      </c>
      <c r="B1561" t="inlineStr">
        <is>
          <t>Utilities</t>
        </is>
      </c>
      <c r="C1561" t="inlineStr">
        <is>
          <t>UKPN</t>
        </is>
      </c>
      <c r="D1561" t="inlineStr">
        <is>
          <t>Car - Electric - Tesla - Model 3  - AF22 XRA</t>
        </is>
      </c>
      <c r="E1561" t="inlineStr">
        <is>
          <t>Car - Electric - Tesla - Model 3  - AF22 XRA</t>
        </is>
      </c>
      <c r="F1561" t="inlineStr">
        <is>
          <t>Car - Electric - Tesla - Model 3  - AF22 XRA</t>
        </is>
      </c>
      <c r="G1561" t="inlineStr">
        <is>
          <t xml:space="preserve">James Gorman </t>
        </is>
      </c>
      <c r="H1561" t="inlineStr">
        <is>
          <t>Car - Electric (GC Owned)</t>
        </is>
      </c>
      <c r="I1561" t="inlineStr">
        <is>
          <t>Daily/ Weekly Vehicle Inspection</t>
        </is>
      </c>
      <c r="J1561" t="inlineStr">
        <is>
          <t>N/A</t>
        </is>
      </c>
      <c r="K1561" t="inlineStr">
        <is>
          <t>James Gorman</t>
        </is>
      </c>
      <c r="L1561" t="inlineStr">
        <is>
          <t>22/09/2025 08:26</t>
        </is>
      </c>
      <c r="M1561" t="inlineStr">
        <is>
          <t>None</t>
        </is>
      </c>
      <c r="N1561" t="inlineStr">
        <is>
          <t>&lt;p&gt;&lt;/p&gt;</t>
        </is>
      </c>
      <c r="O1561" t="inlineStr"/>
      <c r="P1561" t="inlineStr">
        <is>
          <t>Car - Electric - Tesla - Model 3  - AF22 XRA</t>
        </is>
      </c>
      <c r="Q1561" t="inlineStr">
        <is>
          <t>UKPN</t>
        </is>
      </c>
      <c r="R1561" t="b">
        <v>0</v>
      </c>
    </row>
    <row r="1562">
      <c r="A1562" t="inlineStr">
        <is>
          <t>22 Sep 2025 / 7800 MAC Tree Surgery and Fencing Ltd</t>
        </is>
      </c>
      <c r="B1562" t="inlineStr">
        <is>
          <t>Utilities &amp; Inland Waterways</t>
        </is>
      </c>
      <c r="C1562" t="inlineStr">
        <is>
          <t>UKPN</t>
        </is>
      </c>
      <c r="D1562" t="inlineStr">
        <is>
          <t>AY68DAA , 4x4 , Izuzu , Dmax</t>
        </is>
      </c>
      <c r="E1562" t="inlineStr">
        <is>
          <t>AY68DAA , 4x4 , Izuzu , Dmax</t>
        </is>
      </c>
      <c r="F1562" t="inlineStr">
        <is>
          <t>AY68DAA , 4x4 , Izuzu , Dmax</t>
        </is>
      </c>
      <c r="G1562" t="inlineStr">
        <is>
          <t xml:space="preserve">Lewis mac </t>
        </is>
      </c>
      <c r="H1562" t="inlineStr">
        <is>
          <t>4x4</t>
        </is>
      </c>
      <c r="I1562" t="inlineStr">
        <is>
          <t>Daily/ Weekly Vehicle Inspection</t>
        </is>
      </c>
      <c r="J1562" t="inlineStr">
        <is>
          <t>N/A</t>
        </is>
      </c>
      <c r="K1562" t="inlineStr">
        <is>
          <t>7800 MAC Tree Surgery and Fencing Ltd</t>
        </is>
      </c>
      <c r="L1562" t="inlineStr">
        <is>
          <t>22/09/2025 10:22</t>
        </is>
      </c>
      <c r="M1562" t="inlineStr">
        <is>
          <t>None</t>
        </is>
      </c>
      <c r="N1562" t="inlineStr">
        <is>
          <t>&lt;p&gt;&lt;/p&gt;</t>
        </is>
      </c>
      <c r="O1562" t="inlineStr"/>
      <c r="P1562" t="inlineStr">
        <is>
          <t>AY68DAA , 4x4 , Izuzu , Dmax</t>
        </is>
      </c>
      <c r="Q1562" t="inlineStr">
        <is>
          <t>UKPN</t>
        </is>
      </c>
      <c r="R1562" t="b">
        <v>0</v>
      </c>
    </row>
    <row r="1563">
      <c r="A1563" t="inlineStr">
        <is>
          <t>22 Sep 2025 / 7800 MAC Tree Surgery and Fencing Ltd</t>
        </is>
      </c>
      <c r="B1563" t="inlineStr">
        <is>
          <t>Utilities &amp; Inland Waterways</t>
        </is>
      </c>
      <c r="C1563" t="inlineStr">
        <is>
          <t>UKPN</t>
        </is>
      </c>
      <c r="D1563" t="inlineStr">
        <is>
          <t>205143043-A1 , Tow Chipper , Timberwolf , TW150</t>
        </is>
      </c>
      <c r="E1563" t="inlineStr">
        <is>
          <t>205143043-A1 , Tow Chipper , Timberwolf , TW150</t>
        </is>
      </c>
      <c r="F1563" t="inlineStr">
        <is>
          <t>205143043-A1 , Tow Chipper , Timberwolf , TW150</t>
        </is>
      </c>
      <c r="G1563" t="inlineStr">
        <is>
          <t xml:space="preserve">Lewis mac </t>
        </is>
      </c>
      <c r="H1563" t="inlineStr">
        <is>
          <t>Towed Chipper</t>
        </is>
      </c>
      <c r="I1563" t="inlineStr">
        <is>
          <t>Daily/ Weekly Vehicle Inspection</t>
        </is>
      </c>
      <c r="J1563" t="inlineStr">
        <is>
          <t>N/A</t>
        </is>
      </c>
      <c r="K1563" t="inlineStr">
        <is>
          <t>7800 MAC Tree Surgery and Fencing Ltd</t>
        </is>
      </c>
      <c r="L1563" t="inlineStr">
        <is>
          <t>22/09/2025 10:23</t>
        </is>
      </c>
      <c r="M1563" t="inlineStr">
        <is>
          <t>None</t>
        </is>
      </c>
      <c r="N1563" t="inlineStr">
        <is>
          <t>&lt;p&gt;&lt;/p&gt;</t>
        </is>
      </c>
      <c r="O1563" t="inlineStr"/>
      <c r="P1563" t="inlineStr">
        <is>
          <t>205143043-A1 , Tow Chipper , Timberwolf , TW150</t>
        </is>
      </c>
      <c r="Q1563" t="inlineStr">
        <is>
          <t>UKPN</t>
        </is>
      </c>
      <c r="R1563" t="b">
        <v>0</v>
      </c>
    </row>
    <row r="1564">
      <c r="A1564" t="inlineStr">
        <is>
          <t>22 Sep 2025 / Philip Yearsley / Utilities / NGED</t>
        </is>
      </c>
      <c r="B1564" t="inlineStr">
        <is>
          <t>Utilities</t>
        </is>
      </c>
      <c r="C1564" t="inlineStr">
        <is>
          <t>NGED</t>
        </is>
      </c>
      <c r="D1564" t="inlineStr">
        <is>
          <t>GJ71KBK  , Car - Electric , Tesla  , Long range</t>
        </is>
      </c>
      <c r="E1564" t="inlineStr">
        <is>
          <t>GJ71KBK  , Car - Electric , Tesla  , Long range</t>
        </is>
      </c>
      <c r="F1564" t="inlineStr">
        <is>
          <t>GJ71KBK  , Car - Electric , Tesla  , Long range</t>
        </is>
      </c>
      <c r="G1564" t="inlineStr">
        <is>
          <t xml:space="preserve">Philip Yearsley </t>
        </is>
      </c>
      <c r="H1564" t="inlineStr">
        <is>
          <t>Car - Electric (GC Owned)</t>
        </is>
      </c>
      <c r="I1564" t="inlineStr">
        <is>
          <t>Daily/ Weekly Vehicle Inspection</t>
        </is>
      </c>
      <c r="J1564" t="inlineStr">
        <is>
          <t>N/A</t>
        </is>
      </c>
      <c r="K1564" t="inlineStr">
        <is>
          <t>Philip Yearsley</t>
        </is>
      </c>
      <c r="L1564" t="inlineStr">
        <is>
          <t>22/09/2025 10:30</t>
        </is>
      </c>
      <c r="M1564" t="inlineStr">
        <is>
          <t>None</t>
        </is>
      </c>
      <c r="N1564" t="inlineStr">
        <is>
          <t>&lt;p&gt;&lt;/p&gt;</t>
        </is>
      </c>
      <c r="O1564" t="inlineStr"/>
      <c r="P1564" t="inlineStr">
        <is>
          <t>GJ71KBK  , Car - Electric , Tesla  , Long range</t>
        </is>
      </c>
      <c r="Q1564" t="inlineStr">
        <is>
          <t>NGED</t>
        </is>
      </c>
      <c r="R1564" t="b">
        <v>0</v>
      </c>
    </row>
    <row r="1565">
      <c r="A1565" t="inlineStr">
        <is>
          <t>22 Sep 2025 / Anthony Gale / Utilities / UKPN</t>
        </is>
      </c>
      <c r="B1565" t="inlineStr">
        <is>
          <t>Utilities</t>
        </is>
      </c>
      <c r="C1565" t="inlineStr">
        <is>
          <t>UKPN</t>
        </is>
      </c>
      <c r="D1565" t="inlineStr">
        <is>
          <t>PE07 HGL , Vehicle , Mitsubishi , L200 K74</t>
        </is>
      </c>
      <c r="E1565" t="inlineStr">
        <is>
          <t>PE07 HGL , Vehicle , Mitsubishi , L200 K74</t>
        </is>
      </c>
      <c r="F1565" t="inlineStr">
        <is>
          <t>PE07 HGL , Vehicle , Mitsubishi , L200 K74</t>
        </is>
      </c>
      <c r="G1565" t="inlineStr">
        <is>
          <t>Anthony Gale</t>
        </is>
      </c>
      <c r="H1565" t="inlineStr">
        <is>
          <t>Pickup Truck</t>
        </is>
      </c>
      <c r="I1565" t="inlineStr">
        <is>
          <t>Daily/ Weekly Vehicle Inspection</t>
        </is>
      </c>
      <c r="J1565" t="inlineStr">
        <is>
          <t>N/A</t>
        </is>
      </c>
      <c r="K1565" t="inlineStr">
        <is>
          <t>7996 M G Tree Surgery Ltd 1</t>
        </is>
      </c>
      <c r="L1565" t="inlineStr">
        <is>
          <t>23/09/2025 07:22</t>
        </is>
      </c>
      <c r="M1565" t="inlineStr">
        <is>
          <t>None</t>
        </is>
      </c>
      <c r="N1565" t="inlineStr">
        <is>
          <t>&lt;p&gt;&lt;/p&gt;</t>
        </is>
      </c>
      <c r="O1565" t="inlineStr">
        <is>
          <t>Select Vehicle:Drivers side wheel trim deteriorating, monitor.</t>
        </is>
      </c>
      <c r="P1565" t="inlineStr">
        <is>
          <t>PE07 HGL , Vehicle , Mitsubishi , L200 K74</t>
        </is>
      </c>
      <c r="Q1565" t="inlineStr">
        <is>
          <t>UKPN</t>
        </is>
      </c>
      <c r="R1565" t="b">
        <v>0</v>
      </c>
    </row>
    <row r="1566">
      <c r="A1566" t="inlineStr">
        <is>
          <t>23 Sep 2025 / 7806 Optimum Tree Services Ltd / Utilities / UKPN</t>
        </is>
      </c>
      <c r="B1566" t="inlineStr">
        <is>
          <t>Utilities</t>
        </is>
      </c>
      <c r="C1566" t="inlineStr">
        <is>
          <t>UKPN</t>
        </is>
      </c>
      <c r="D1566" t="inlineStr">
        <is>
          <t>SA9ST800000283069 , Chipper , Forst , ST 6P</t>
        </is>
      </c>
      <c r="E1566" t="inlineStr">
        <is>
          <t>SA9ST800000283069 , Chipper , Forst , ST 6P</t>
        </is>
      </c>
      <c r="F1566" t="inlineStr">
        <is>
          <t>SA9ST800000283069 , Chipper , Forst , ST 6P</t>
        </is>
      </c>
      <c r="G1566" t="inlineStr">
        <is>
          <t xml:space="preserve">Abraham Davies </t>
        </is>
      </c>
      <c r="H1566" t="inlineStr">
        <is>
          <t>Towed Chipper</t>
        </is>
      </c>
      <c r="I1566" t="inlineStr">
        <is>
          <t>Daily/ Weekly Vehicle Inspection</t>
        </is>
      </c>
      <c r="J1566" t="inlineStr">
        <is>
          <t>N/A</t>
        </is>
      </c>
      <c r="K1566" t="inlineStr">
        <is>
          <t>7806 Optimum Tree Services Ltd</t>
        </is>
      </c>
      <c r="L1566" t="inlineStr">
        <is>
          <t>23/09/2025 07:23</t>
        </is>
      </c>
      <c r="M1566" t="inlineStr">
        <is>
          <t>None</t>
        </is>
      </c>
      <c r="N1566" t="inlineStr">
        <is>
          <t>&lt;p&gt;&lt;/p&gt;</t>
        </is>
      </c>
      <c r="O1566" t="inlineStr"/>
      <c r="P1566" t="inlineStr">
        <is>
          <t>SA9ST800000283069 , Chipper , Forst , ST 6P</t>
        </is>
      </c>
      <c r="Q1566" t="inlineStr">
        <is>
          <t>UKPN</t>
        </is>
      </c>
      <c r="R1566" t="b">
        <v>0</v>
      </c>
    </row>
    <row r="1567">
      <c r="A1567" t="inlineStr">
        <is>
          <t>23 Sep 2025 / 7951 Austin Tree Care LTD 1 / Utilities / UKPN</t>
        </is>
      </c>
      <c r="B1567" t="inlineStr">
        <is>
          <t>Utilities</t>
        </is>
      </c>
      <c r="C1567" t="inlineStr">
        <is>
          <t>UKPN</t>
        </is>
      </c>
      <c r="D1567" t="inlineStr">
        <is>
          <t>WF61 HZV , 4x4 MEWP , Land Rover , Defender</t>
        </is>
      </c>
      <c r="E1567" t="inlineStr">
        <is>
          <t>WF61 HZV , 4x4 MEWP , Land Rover , Defender</t>
        </is>
      </c>
      <c r="F1567" t="inlineStr">
        <is>
          <t>WF61 HZV , 4x4 MEWP , Land Rover , Defender</t>
        </is>
      </c>
      <c r="G1567" t="inlineStr">
        <is>
          <t xml:space="preserve">Jack Austin </t>
        </is>
      </c>
      <c r="H1567" t="inlineStr">
        <is>
          <t>4x4</t>
        </is>
      </c>
      <c r="I1567" t="inlineStr">
        <is>
          <t>Daily/ Weekly Vehicle Inspection</t>
        </is>
      </c>
      <c r="J1567" t="inlineStr">
        <is>
          <t>N/A</t>
        </is>
      </c>
      <c r="K1567" t="inlineStr">
        <is>
          <t>7951 Austin Tree Care LTD 1</t>
        </is>
      </c>
      <c r="L1567" t="inlineStr">
        <is>
          <t>23/09/2025 07:23</t>
        </is>
      </c>
      <c r="M1567" t="inlineStr">
        <is>
          <t>None</t>
        </is>
      </c>
      <c r="N1567" t="inlineStr">
        <is>
          <t>&lt;p&gt;&lt;/p&gt;</t>
        </is>
      </c>
      <c r="O1567" t="inlineStr"/>
      <c r="P1567" t="inlineStr">
        <is>
          <t>WF61 HZV , 4x4 MEWP , Land Rover , Defender</t>
        </is>
      </c>
      <c r="Q1567" t="inlineStr">
        <is>
          <t>UKPN</t>
        </is>
      </c>
      <c r="R1567" t="b">
        <v>0</v>
      </c>
    </row>
    <row r="1568">
      <c r="A1568" t="inlineStr">
        <is>
          <t>23 Sep 2025 / 3098 D &amp; R Landscapes / Utilities / UKPN</t>
        </is>
      </c>
      <c r="B1568" t="inlineStr">
        <is>
          <t>Utilities</t>
        </is>
      </c>
      <c r="C1568" t="inlineStr">
        <is>
          <t>UKPN</t>
        </is>
      </c>
      <c r="D1568" t="inlineStr">
        <is>
          <t>FX17YVM , Vehicle , Nissan , Navara</t>
        </is>
      </c>
      <c r="E1568" t="inlineStr">
        <is>
          <t>FX17YVM , Vehicle , Nissan , Navara</t>
        </is>
      </c>
      <c r="F1568" t="inlineStr">
        <is>
          <t>FX17YVM , Vehicle , Nissan , Navara</t>
        </is>
      </c>
      <c r="G1568" t="inlineStr">
        <is>
          <t xml:space="preserve">Jason </t>
        </is>
      </c>
      <c r="H1568" t="inlineStr">
        <is>
          <t>Pickup Truck</t>
        </is>
      </c>
      <c r="I1568" t="inlineStr">
        <is>
          <t>Daily/ Weekly Vehicle Inspection</t>
        </is>
      </c>
      <c r="J1568" t="inlineStr">
        <is>
          <t>N/A</t>
        </is>
      </c>
      <c r="K1568" t="inlineStr">
        <is>
          <t>3098 D &amp; R Landscapes</t>
        </is>
      </c>
      <c r="L1568" t="inlineStr">
        <is>
          <t>23/09/2025 07:24</t>
        </is>
      </c>
      <c r="M1568" t="inlineStr">
        <is>
          <t>None</t>
        </is>
      </c>
      <c r="N1568" t="inlineStr">
        <is>
          <t>&lt;p&gt;&lt;/p&gt;</t>
        </is>
      </c>
      <c r="O1568" t="inlineStr"/>
      <c r="P1568" t="inlineStr">
        <is>
          <t>FX17YVM , Vehicle , Nissan , Navara</t>
        </is>
      </c>
      <c r="Q1568" t="inlineStr">
        <is>
          <t>UKPN</t>
        </is>
      </c>
      <c r="R1568" t="b">
        <v>0</v>
      </c>
    </row>
    <row r="1569">
      <c r="A1569" t="inlineStr">
        <is>
          <t>23 Sep 2025 / 7806 Optimum Tree Services Ltd / Utilities / UKPN</t>
        </is>
      </c>
      <c r="B1569" t="inlineStr">
        <is>
          <t>Utilities</t>
        </is>
      </c>
      <c r="C1569" t="inlineStr">
        <is>
          <t>UKPN</t>
        </is>
      </c>
      <c r="D1569" t="inlineStr">
        <is>
          <t>WD14EVB , MEWP , Land Rover , Defender</t>
        </is>
      </c>
      <c r="E1569" t="inlineStr">
        <is>
          <t>WD14EVB , MEWP , Land Rover , Defender</t>
        </is>
      </c>
      <c r="F1569" t="inlineStr">
        <is>
          <t>WD14EVB , MEWP , Land Rover , Defender</t>
        </is>
      </c>
      <c r="G1569" t="inlineStr">
        <is>
          <t xml:space="preserve">Abraham Davies </t>
        </is>
      </c>
      <c r="H1569" t="inlineStr">
        <is>
          <t>4x4</t>
        </is>
      </c>
      <c r="I1569" t="inlineStr">
        <is>
          <t>Daily/ Weekly Vehicle Inspection</t>
        </is>
      </c>
      <c r="J1569" t="inlineStr">
        <is>
          <t>N/A</t>
        </is>
      </c>
      <c r="K1569" t="inlineStr">
        <is>
          <t>7806 Optimum Tree Services Ltd</t>
        </is>
      </c>
      <c r="L1569" t="inlineStr">
        <is>
          <t>23/09/2025 07:25</t>
        </is>
      </c>
      <c r="M1569" t="inlineStr">
        <is>
          <t>None</t>
        </is>
      </c>
      <c r="N1569" t="inlineStr">
        <is>
          <t>&lt;p&gt;&lt;/p&gt;</t>
        </is>
      </c>
      <c r="O1569" t="inlineStr"/>
      <c r="P1569" t="inlineStr">
        <is>
          <t>WD14EVB , MEWP , Land Rover , Defender</t>
        </is>
      </c>
      <c r="Q1569" t="inlineStr">
        <is>
          <t>UKPN</t>
        </is>
      </c>
      <c r="R1569" t="b">
        <v>0</v>
      </c>
    </row>
    <row r="1570">
      <c r="A1570" t="inlineStr">
        <is>
          <t>23 Sep 2025 / 7186 Eastwoodbury Tree Services Ltd / Utilities / UKPN</t>
        </is>
      </c>
      <c r="B1570" t="inlineStr">
        <is>
          <t>Utilities</t>
        </is>
      </c>
      <c r="C1570" t="inlineStr">
        <is>
          <t>UKPN</t>
        </is>
      </c>
      <c r="D1570" t="inlineStr">
        <is>
          <t>DN61XKJ , Tipper , Ford , Transit</t>
        </is>
      </c>
      <c r="E1570" t="inlineStr">
        <is>
          <t>DN61XKJ , Tipper , Ford , Transit</t>
        </is>
      </c>
      <c r="F1570" t="inlineStr">
        <is>
          <t>DN61XKJ , Tipper , Ford , Transit</t>
        </is>
      </c>
      <c r="G1570" t="inlineStr">
        <is>
          <t xml:space="preserve">Jay Denkmayer </t>
        </is>
      </c>
      <c r="H1570" t="inlineStr">
        <is>
          <t>Tipper</t>
        </is>
      </c>
      <c r="I1570" t="inlineStr">
        <is>
          <t>Daily/ Weekly Vehicle Inspection</t>
        </is>
      </c>
      <c r="J1570" t="inlineStr">
        <is>
          <t>N/A</t>
        </is>
      </c>
      <c r="K1570" t="inlineStr">
        <is>
          <t>7186 Eastwoodbury Tree Services Ltd</t>
        </is>
      </c>
      <c r="L1570" t="inlineStr">
        <is>
          <t>23/09/2025 07:27</t>
        </is>
      </c>
      <c r="M1570" t="inlineStr">
        <is>
          <t>None</t>
        </is>
      </c>
      <c r="N1570" t="inlineStr">
        <is>
          <t>&lt;p&gt;&lt;/p&gt;</t>
        </is>
      </c>
      <c r="O1570" t="inlineStr"/>
      <c r="P1570" t="inlineStr">
        <is>
          <t>DN61XKJ , Tipper , Ford , Transit</t>
        </is>
      </c>
      <c r="Q1570" t="inlineStr">
        <is>
          <t>UKPN</t>
        </is>
      </c>
      <c r="R1570" t="b">
        <v>0</v>
      </c>
    </row>
    <row r="1571">
      <c r="A1571" t="inlineStr">
        <is>
          <t>23 Sep 2025 / Alasdair Conlon / Utilities / NGED</t>
        </is>
      </c>
      <c r="B1571" t="inlineStr">
        <is>
          <t>Utilities</t>
        </is>
      </c>
      <c r="C1571" t="inlineStr">
        <is>
          <t>NGED</t>
        </is>
      </c>
      <c r="D1571" t="inlineStr"/>
      <c r="E1571" t="inlineStr"/>
      <c r="F1571" t="inlineStr"/>
      <c r="G1571" t="inlineStr">
        <is>
          <t>Alasdair Conlon</t>
        </is>
      </c>
      <c r="H1571" t="inlineStr">
        <is>
          <t>Car - Electric (Greyfleet)</t>
        </is>
      </c>
      <c r="I1571" t="inlineStr">
        <is>
          <t>Daily/ Weekly Vehicle Inspection</t>
        </is>
      </c>
      <c r="J1571" t="inlineStr">
        <is>
          <t>N/A</t>
        </is>
      </c>
      <c r="K1571" t="inlineStr">
        <is>
          <t>Alasdair Conlon</t>
        </is>
      </c>
      <c r="L1571" t="inlineStr">
        <is>
          <t>23/09/2025 08:22</t>
        </is>
      </c>
      <c r="M1571" t="inlineStr">
        <is>
          <t>None</t>
        </is>
      </c>
      <c r="N1571" t="inlineStr">
        <is>
          <t>&lt;p&gt;&lt;/p&gt;</t>
        </is>
      </c>
      <c r="O1571" t="inlineStr"/>
      <c r="P1571" t="inlineStr"/>
      <c r="Q1571" t="inlineStr">
        <is>
          <t>NGED</t>
        </is>
      </c>
      <c r="R1571" t="b">
        <v>0</v>
      </c>
    </row>
    <row r="1572">
      <c r="A1572" t="inlineStr">
        <is>
          <t>23 Sep 2025 / 7800 MAC Tree Surgery and Fencing Ltd</t>
        </is>
      </c>
      <c r="B1572" t="inlineStr">
        <is>
          <t>Utilities &amp; Inland Waterways</t>
        </is>
      </c>
      <c r="C1572" t="inlineStr">
        <is>
          <t>UKPN</t>
        </is>
      </c>
      <c r="D1572" t="inlineStr">
        <is>
          <t>AY68DAA , 4x4 , Izuzu , Dmax</t>
        </is>
      </c>
      <c r="E1572" t="inlineStr">
        <is>
          <t>AY68DAA , 4x4 , Izuzu , Dmax</t>
        </is>
      </c>
      <c r="F1572" t="inlineStr">
        <is>
          <t>AY68DAA , 4x4 , Izuzu , Dmax</t>
        </is>
      </c>
      <c r="G1572" t="inlineStr">
        <is>
          <t xml:space="preserve">Lewis mac </t>
        </is>
      </c>
      <c r="H1572" t="inlineStr">
        <is>
          <t>4x4</t>
        </is>
      </c>
      <c r="I1572" t="inlineStr">
        <is>
          <t>Daily/ Weekly Vehicle Inspection</t>
        </is>
      </c>
      <c r="J1572" t="inlineStr">
        <is>
          <t>N/A</t>
        </is>
      </c>
      <c r="K1572" t="inlineStr">
        <is>
          <t>7800 MAC Tree Surgery and Fencing Ltd</t>
        </is>
      </c>
      <c r="L1572" t="inlineStr">
        <is>
          <t>23/09/2025 08:23</t>
        </is>
      </c>
      <c r="M1572" t="inlineStr">
        <is>
          <t>None</t>
        </is>
      </c>
      <c r="N1572" t="inlineStr">
        <is>
          <t>&lt;p&gt;&lt;/p&gt;</t>
        </is>
      </c>
      <c r="O1572" t="inlineStr"/>
      <c r="P1572" t="inlineStr">
        <is>
          <t>AY68DAA , 4x4 , Izuzu , Dmax</t>
        </is>
      </c>
      <c r="Q1572" t="inlineStr">
        <is>
          <t>UKPN</t>
        </is>
      </c>
      <c r="R1572" t="b">
        <v>0</v>
      </c>
    </row>
    <row r="1573">
      <c r="A1573" t="inlineStr">
        <is>
          <t>23 Sep 2025 / 7800 MAC Tree Surgery and Fencing Ltd</t>
        </is>
      </c>
      <c r="B1573" t="inlineStr">
        <is>
          <t>Utilities &amp; Inland Waterways</t>
        </is>
      </c>
      <c r="C1573" t="inlineStr">
        <is>
          <t>UKPN</t>
        </is>
      </c>
      <c r="D1573" t="inlineStr">
        <is>
          <t>205143043-A1 , Tow Chipper , Timberwolf , TW150</t>
        </is>
      </c>
      <c r="E1573" t="inlineStr">
        <is>
          <t>205143043-A1 , Tow Chipper , Timberwolf , TW150</t>
        </is>
      </c>
      <c r="F1573" t="inlineStr">
        <is>
          <t>205143043-A1 , Tow Chipper , Timberwolf , TW150</t>
        </is>
      </c>
      <c r="G1573" t="inlineStr">
        <is>
          <t xml:space="preserve">Lewis mac </t>
        </is>
      </c>
      <c r="H1573" t="inlineStr">
        <is>
          <t>Towed Chipper</t>
        </is>
      </c>
      <c r="I1573" t="inlineStr">
        <is>
          <t>Daily/ Weekly Vehicle Inspection</t>
        </is>
      </c>
      <c r="J1573" t="inlineStr">
        <is>
          <t>N/A</t>
        </is>
      </c>
      <c r="K1573" t="inlineStr">
        <is>
          <t>7800 MAC Tree Surgery and Fencing Ltd</t>
        </is>
      </c>
      <c r="L1573" t="inlineStr">
        <is>
          <t>23/09/2025 08:24</t>
        </is>
      </c>
      <c r="M1573" t="inlineStr">
        <is>
          <t>None</t>
        </is>
      </c>
      <c r="N1573" t="inlineStr">
        <is>
          <t>&lt;p&gt;&lt;/p&gt;</t>
        </is>
      </c>
      <c r="O1573" t="inlineStr"/>
      <c r="P1573" t="inlineStr">
        <is>
          <t>205143043-A1 , Tow Chipper , Timberwolf , TW150</t>
        </is>
      </c>
      <c r="Q1573" t="inlineStr">
        <is>
          <t>UKPN</t>
        </is>
      </c>
      <c r="R1573" t="b">
        <v>0</v>
      </c>
    </row>
    <row r="1574">
      <c r="A1574" t="inlineStr">
        <is>
          <t>23 Sep 2025 / Thomas Playford / Utilities / UKPN</t>
        </is>
      </c>
      <c r="B1574" t="inlineStr">
        <is>
          <t>Utilities</t>
        </is>
      </c>
      <c r="C1574" t="inlineStr">
        <is>
          <t>UKPN</t>
        </is>
      </c>
      <c r="D1574" t="inlineStr">
        <is>
          <t>SA9ST800000283944 , Tow Chipper , Forst , ST8D - Towed</t>
        </is>
      </c>
      <c r="E1574" t="inlineStr">
        <is>
          <t>SA9ST800000283944 , Tow Chipper , Forst , ST8D - Towed</t>
        </is>
      </c>
      <c r="F1574" t="inlineStr">
        <is>
          <t>SA9ST800000283944 , Tow Chipper , Forst , ST8D - Towed</t>
        </is>
      </c>
      <c r="G1574" t="inlineStr">
        <is>
          <t>Jacob Oram</t>
        </is>
      </c>
      <c r="H1574" t="inlineStr">
        <is>
          <t>Towed Chipper</t>
        </is>
      </c>
      <c r="I1574" t="inlineStr">
        <is>
          <t>Daily/ Weekly Vehicle Inspection</t>
        </is>
      </c>
      <c r="J1574" t="inlineStr">
        <is>
          <t>N/A</t>
        </is>
      </c>
      <c r="K1574" t="inlineStr">
        <is>
          <t>7995 Contour Landscapes Ltd 2</t>
        </is>
      </c>
      <c r="L1574" t="inlineStr">
        <is>
          <t>23/09/2025 08:24</t>
        </is>
      </c>
      <c r="M1574" t="inlineStr">
        <is>
          <t>None</t>
        </is>
      </c>
      <c r="N1574" t="inlineStr">
        <is>
          <t>&lt;p&gt;&lt;/p&gt;</t>
        </is>
      </c>
      <c r="O1574" t="inlineStr"/>
      <c r="P1574" t="inlineStr">
        <is>
          <t>SA9ST800000283944 , Tow Chipper , Forst , ST8D - Towed</t>
        </is>
      </c>
      <c r="Q1574" t="inlineStr">
        <is>
          <t>UKPN</t>
        </is>
      </c>
      <c r="R1574" t="b">
        <v>0</v>
      </c>
    </row>
    <row r="1575">
      <c r="A1575" t="inlineStr">
        <is>
          <t>23 Sep 2025 / Thomas Playford / Utilities / UKPN</t>
        </is>
      </c>
      <c r="B1575" t="inlineStr">
        <is>
          <t>Utilities</t>
        </is>
      </c>
      <c r="C1575" t="inlineStr">
        <is>
          <t>UKPN</t>
        </is>
      </c>
      <c r="D1575" t="inlineStr">
        <is>
          <t>YP24 WRD , Vehicle , Ford , Ranger</t>
        </is>
      </c>
      <c r="E1575" t="inlineStr">
        <is>
          <t>YP24 WRD , Vehicle , Ford , Ranger</t>
        </is>
      </c>
      <c r="F1575" t="inlineStr">
        <is>
          <t>YP24 WRD , Vehicle , Ford , Ranger</t>
        </is>
      </c>
      <c r="G1575" t="inlineStr">
        <is>
          <t>Jacob Oram</t>
        </is>
      </c>
      <c r="H1575" t="inlineStr">
        <is>
          <t>4x4</t>
        </is>
      </c>
      <c r="I1575" t="inlineStr">
        <is>
          <t>Daily/ Weekly Vehicle Inspection</t>
        </is>
      </c>
      <c r="J1575" t="inlineStr">
        <is>
          <t>N/A</t>
        </is>
      </c>
      <c r="K1575" t="inlineStr">
        <is>
          <t>7995 Contour Landscapes Ltd 2</t>
        </is>
      </c>
      <c r="L1575" t="inlineStr">
        <is>
          <t>23/09/2025 08:25</t>
        </is>
      </c>
      <c r="M1575" t="inlineStr">
        <is>
          <t>None</t>
        </is>
      </c>
      <c r="N1575" t="inlineStr">
        <is>
          <t>&lt;p&gt;&lt;/p&gt;</t>
        </is>
      </c>
      <c r="O1575" t="inlineStr"/>
      <c r="P1575" t="inlineStr">
        <is>
          <t>YP24 WRD , Vehicle , Ford , Ranger</t>
        </is>
      </c>
      <c r="Q1575" t="inlineStr">
        <is>
          <t>UKPN</t>
        </is>
      </c>
      <c r="R1575" t="b">
        <v>0</v>
      </c>
    </row>
    <row r="1576">
      <c r="A1576" t="inlineStr">
        <is>
          <t>23 Sep 2025 / 7806 Optimum Tree Services Ltd / Utilities / UKPN</t>
        </is>
      </c>
      <c r="B1576" t="inlineStr">
        <is>
          <t>Utilities</t>
        </is>
      </c>
      <c r="C1576" t="inlineStr">
        <is>
          <t>UKPN</t>
        </is>
      </c>
      <c r="D1576" t="inlineStr">
        <is>
          <t>Tipper - Ford - Transit - NA10SYZ</t>
        </is>
      </c>
      <c r="E1576" t="inlineStr">
        <is>
          <t>Tipper - Ford - Transit - NA10SYZ</t>
        </is>
      </c>
      <c r="F1576" t="inlineStr">
        <is>
          <t>Tipper - Ford - Transit - NA10SYZ</t>
        </is>
      </c>
      <c r="G1576" t="inlineStr">
        <is>
          <t xml:space="preserve">Abraham Davies </t>
        </is>
      </c>
      <c r="H1576" t="inlineStr">
        <is>
          <t>Tipper</t>
        </is>
      </c>
      <c r="I1576" t="inlineStr">
        <is>
          <t>Daily/ Weekly Vehicle Inspection</t>
        </is>
      </c>
      <c r="J1576" t="inlineStr">
        <is>
          <t>N/A</t>
        </is>
      </c>
      <c r="K1576" t="inlineStr">
        <is>
          <t>7806 Optimum Tree Services Ltd</t>
        </is>
      </c>
      <c r="L1576" t="inlineStr">
        <is>
          <t>23/09/2025 08:28</t>
        </is>
      </c>
      <c r="M1576" t="inlineStr">
        <is>
          <t>None</t>
        </is>
      </c>
      <c r="N1576" t="inlineStr">
        <is>
          <t>&lt;p&gt;&lt;/p&gt;</t>
        </is>
      </c>
      <c r="O1576" t="inlineStr"/>
      <c r="P1576" t="inlineStr">
        <is>
          <t>Tipper - Ford - Transit - NA10SYZ</t>
        </is>
      </c>
      <c r="Q1576" t="inlineStr">
        <is>
          <t>UKPN</t>
        </is>
      </c>
      <c r="R1576" t="b">
        <v>0</v>
      </c>
    </row>
    <row r="1577">
      <c r="A1577" t="inlineStr">
        <is>
          <t>23 Sep 2025 / Anthony Gale / Utilities / UKPN</t>
        </is>
      </c>
      <c r="B1577" t="inlineStr">
        <is>
          <t>Utilities</t>
        </is>
      </c>
      <c r="C1577" t="inlineStr">
        <is>
          <t>UKPN</t>
        </is>
      </c>
      <c r="D1577" t="inlineStr">
        <is>
          <t>PE07 HGL , Vehicle , Mitsubishi , L200 K74</t>
        </is>
      </c>
      <c r="E1577" t="inlineStr">
        <is>
          <t>PE07 HGL , Vehicle , Mitsubishi , L200 K74</t>
        </is>
      </c>
      <c r="F1577" t="inlineStr">
        <is>
          <t>PE07 HGL , Vehicle , Mitsubishi , L200 K74</t>
        </is>
      </c>
      <c r="G1577" t="inlineStr">
        <is>
          <t>Anthony Gale</t>
        </is>
      </c>
      <c r="H1577" t="inlineStr">
        <is>
          <t>Pickup Truck</t>
        </is>
      </c>
      <c r="I1577" t="inlineStr">
        <is>
          <t>Daily/ Weekly Vehicle Inspection</t>
        </is>
      </c>
      <c r="J1577" t="inlineStr">
        <is>
          <t>N/A</t>
        </is>
      </c>
      <c r="K1577" t="inlineStr">
        <is>
          <t>7996 M G Tree Surgery Ltd 1</t>
        </is>
      </c>
      <c r="L1577" t="inlineStr">
        <is>
          <t>23/09/2025 08:29</t>
        </is>
      </c>
      <c r="M1577" t="inlineStr">
        <is>
          <t>None</t>
        </is>
      </c>
      <c r="N1577" t="inlineStr">
        <is>
          <t>&lt;p&gt;&lt;/p&gt;</t>
        </is>
      </c>
      <c r="O1577" t="inlineStr">
        <is>
          <t>Confirm that you have checked this vehicle as per the guidance document and the vehicle is safe and roadworthy:Drivers side wheel trim deteriorating.
Monitor.
-</t>
        </is>
      </c>
      <c r="P1577" t="inlineStr">
        <is>
          <t>PE07 HGL , Vehicle , Mitsubishi , L200 K74</t>
        </is>
      </c>
      <c r="Q1577" t="inlineStr">
        <is>
          <t>UKPN</t>
        </is>
      </c>
      <c r="R1577" t="b">
        <v>0</v>
      </c>
    </row>
    <row r="1578">
      <c r="A1578" t="inlineStr">
        <is>
          <t>23 Sep 2025 / 6556 DE UA SWales3 / Utilities / NGED</t>
        </is>
      </c>
      <c r="B1578" t="inlineStr">
        <is>
          <t>Utilities</t>
        </is>
      </c>
      <c r="C1578" t="inlineStr">
        <is>
          <t>NGED</t>
        </is>
      </c>
      <c r="D1578" t="inlineStr">
        <is>
          <t>BT72WYC , N/A , Isuzu , D-Max</t>
        </is>
      </c>
      <c r="E1578" t="inlineStr">
        <is>
          <t>BT72WYC , N/A , Isuzu , D-Max</t>
        </is>
      </c>
      <c r="F1578" t="inlineStr">
        <is>
          <t>BT72WYC , N/A , Isuzu , D-Max</t>
        </is>
      </c>
      <c r="G1578" t="inlineStr">
        <is>
          <t>Becky raymond</t>
        </is>
      </c>
      <c r="H1578" t="inlineStr">
        <is>
          <t>4x4</t>
        </is>
      </c>
      <c r="I1578" t="inlineStr">
        <is>
          <t>Daily/ Weekly Vehicle Inspection</t>
        </is>
      </c>
      <c r="J1578" t="inlineStr">
        <is>
          <t>N/A</t>
        </is>
      </c>
      <c r="K1578" t="inlineStr">
        <is>
          <t>6556 DE UA SWales3</t>
        </is>
      </c>
      <c r="L1578" t="inlineStr">
        <is>
          <t>23/09/2025 09:22</t>
        </is>
      </c>
      <c r="M1578" t="inlineStr">
        <is>
          <t>None</t>
        </is>
      </c>
      <c r="N1578" t="inlineStr">
        <is>
          <t>&lt;p&gt;&lt;/p&gt;</t>
        </is>
      </c>
      <c r="O1578" t="inlineStr"/>
      <c r="P1578" t="inlineStr">
        <is>
          <t>BT72WYC , N/A , Isuzu , D-Max</t>
        </is>
      </c>
      <c r="Q1578" t="inlineStr">
        <is>
          <t>NGED</t>
        </is>
      </c>
      <c r="R1578" t="b">
        <v>0</v>
      </c>
    </row>
    <row r="1579">
      <c r="A1579" t="inlineStr">
        <is>
          <t>23 Sep 2025 / 6556 DE UA SWales3 / Utilities / NGED</t>
        </is>
      </c>
      <c r="B1579" t="inlineStr">
        <is>
          <t>Utilities</t>
        </is>
      </c>
      <c r="C1579" t="inlineStr">
        <is>
          <t>NGED</t>
        </is>
      </c>
      <c r="D1579" t="inlineStr">
        <is>
          <t>WO23RVN , Van , Ford , Ranger</t>
        </is>
      </c>
      <c r="E1579" t="inlineStr">
        <is>
          <t>WO23RVN , Van , Ford , Ranger</t>
        </is>
      </c>
      <c r="F1579" t="inlineStr">
        <is>
          <t>WO23RVN , Van , Ford , Ranger</t>
        </is>
      </c>
      <c r="G1579" t="inlineStr">
        <is>
          <t>Daniel Davies</t>
        </is>
      </c>
      <c r="H1579" t="inlineStr">
        <is>
          <t>Tipper</t>
        </is>
      </c>
      <c r="I1579" t="inlineStr">
        <is>
          <t>Daily/ Weekly Vehicle Inspection</t>
        </is>
      </c>
      <c r="J1579" t="inlineStr">
        <is>
          <t>N/A</t>
        </is>
      </c>
      <c r="K1579" t="inlineStr">
        <is>
          <t>6556 DE UA SWales3</t>
        </is>
      </c>
      <c r="L1579" t="inlineStr">
        <is>
          <t>23/09/2025 09:23</t>
        </is>
      </c>
      <c r="M1579" t="inlineStr">
        <is>
          <t>None</t>
        </is>
      </c>
      <c r="N1579" t="inlineStr">
        <is>
          <t>&lt;p&gt;&lt;/p&gt;</t>
        </is>
      </c>
      <c r="O1579" t="inlineStr"/>
      <c r="P1579" t="inlineStr">
        <is>
          <t>WO23RVN , Van , Ford , Ranger</t>
        </is>
      </c>
      <c r="Q1579" t="inlineStr">
        <is>
          <t>NGED</t>
        </is>
      </c>
      <c r="R1579" t="b">
        <v>0</v>
      </c>
    </row>
    <row r="1580">
      <c r="A1580" t="inlineStr">
        <is>
          <t>23 Sep 2025 / Thomas Nandi / Utilities / SSE</t>
        </is>
      </c>
      <c r="B1580" t="inlineStr">
        <is>
          <t>Utilities</t>
        </is>
      </c>
      <c r="C1580" t="inlineStr">
        <is>
          <t>SSE</t>
        </is>
      </c>
      <c r="D1580" t="inlineStr"/>
      <c r="E1580" t="inlineStr"/>
      <c r="F1580" t="inlineStr"/>
      <c r="G1580" t="inlineStr">
        <is>
          <t xml:space="preserve">Tom Nandi </t>
        </is>
      </c>
      <c r="H1580" t="inlineStr">
        <is>
          <t>Car - Petrol</t>
        </is>
      </c>
      <c r="I1580" t="inlineStr">
        <is>
          <t>Daily/ Weekly Vehicle Inspection</t>
        </is>
      </c>
      <c r="J1580" t="inlineStr">
        <is>
          <t>N/A</t>
        </is>
      </c>
      <c r="K1580" t="inlineStr">
        <is>
          <t>Thomas Nandi</t>
        </is>
      </c>
      <c r="L1580" t="inlineStr">
        <is>
          <t>23/09/2025 09:28</t>
        </is>
      </c>
      <c r="M1580" t="inlineStr">
        <is>
          <t>None</t>
        </is>
      </c>
      <c r="N1580" t="inlineStr">
        <is>
          <t>&lt;p&gt;&lt;/p&gt;</t>
        </is>
      </c>
      <c r="O1580" t="inlineStr"/>
      <c r="P1580" t="inlineStr"/>
      <c r="Q1580" t="inlineStr">
        <is>
          <t>SSE</t>
        </is>
      </c>
      <c r="R1580" t="b">
        <v>0</v>
      </c>
    </row>
    <row r="1581">
      <c r="A1581" t="inlineStr">
        <is>
          <t>24 Sep 2025 / 7186 Eastwoodbury Tree Services Ltd / Utilities / UKPN</t>
        </is>
      </c>
      <c r="B1581" t="inlineStr">
        <is>
          <t>Utilities</t>
        </is>
      </c>
      <c r="C1581" t="inlineStr">
        <is>
          <t>UKPN</t>
        </is>
      </c>
      <c r="D1581" t="inlineStr">
        <is>
          <t>4x4 - Land rover  - Defenders  - WF13 EKM</t>
        </is>
      </c>
      <c r="E1581" t="inlineStr">
        <is>
          <t>4x4 - Land rover  - Defenders  - WF13 EKM</t>
        </is>
      </c>
      <c r="F1581" t="inlineStr">
        <is>
          <t>4x4 - Land rover  - Defenders  - WF13 EKM</t>
        </is>
      </c>
      <c r="G1581" t="inlineStr">
        <is>
          <t xml:space="preserve">Jay Denkmayer </t>
        </is>
      </c>
      <c r="H1581" t="inlineStr">
        <is>
          <t>4x4</t>
        </is>
      </c>
      <c r="I1581" t="inlineStr">
        <is>
          <t>Daily/ Weekly Vehicle Inspection</t>
        </is>
      </c>
      <c r="J1581" t="inlineStr">
        <is>
          <t>N/A</t>
        </is>
      </c>
      <c r="K1581" t="inlineStr">
        <is>
          <t>7186 Eastwoodbury Tree Services Ltd</t>
        </is>
      </c>
      <c r="L1581" t="inlineStr">
        <is>
          <t>24/09/2025 07:22</t>
        </is>
      </c>
      <c r="M1581" t="inlineStr">
        <is>
          <t>None</t>
        </is>
      </c>
      <c r="N1581" t="inlineStr">
        <is>
          <t>&lt;p&gt;&lt;/p&gt;</t>
        </is>
      </c>
      <c r="O1581" t="inlineStr"/>
      <c r="P1581" t="inlineStr">
        <is>
          <t>4x4 - Land rover  - Defenders  - WF13 EKM</t>
        </is>
      </c>
      <c r="Q1581" t="inlineStr">
        <is>
          <t>UKPN</t>
        </is>
      </c>
      <c r="R1581" t="b">
        <v>0</v>
      </c>
    </row>
    <row r="1582">
      <c r="A1582" t="inlineStr">
        <is>
          <t>24 Sep 2025 / 7186 Eastwoodbury Tree Services Ltd / Utilities / UKPN</t>
        </is>
      </c>
      <c r="B1582" t="inlineStr">
        <is>
          <t>Utilities</t>
        </is>
      </c>
      <c r="C1582" t="inlineStr">
        <is>
          <t>UKPN</t>
        </is>
      </c>
      <c r="D1582" t="inlineStr">
        <is>
          <t>DN61XKJ , Tipper , Ford , Transit</t>
        </is>
      </c>
      <c r="E1582" t="inlineStr">
        <is>
          <t>DN61XKJ , Tipper , Ford , Transit</t>
        </is>
      </c>
      <c r="F1582" t="inlineStr">
        <is>
          <t>DN61XKJ , Tipper , Ford , Transit</t>
        </is>
      </c>
      <c r="G1582" t="inlineStr">
        <is>
          <t xml:space="preserve">Tom price </t>
        </is>
      </c>
      <c r="H1582" t="inlineStr">
        <is>
          <t>Tipper</t>
        </is>
      </c>
      <c r="I1582" t="inlineStr">
        <is>
          <t>Daily/ Weekly Vehicle Inspection</t>
        </is>
      </c>
      <c r="J1582" t="inlineStr">
        <is>
          <t>N/A</t>
        </is>
      </c>
      <c r="K1582" t="inlineStr">
        <is>
          <t>7186 Eastwoodbury Tree Services Ltd</t>
        </is>
      </c>
      <c r="L1582" t="inlineStr">
        <is>
          <t>24/09/2025 07:23</t>
        </is>
      </c>
      <c r="M1582" t="inlineStr">
        <is>
          <t>None</t>
        </is>
      </c>
      <c r="N1582" t="inlineStr">
        <is>
          <t>&lt;p&gt;&lt;/p&gt;</t>
        </is>
      </c>
      <c r="O1582" t="inlineStr"/>
      <c r="P1582" t="inlineStr">
        <is>
          <t>DN61XKJ , Tipper , Ford , Transit</t>
        </is>
      </c>
      <c r="Q1582" t="inlineStr">
        <is>
          <t>UKPN</t>
        </is>
      </c>
      <c r="R1582" t="b">
        <v>0</v>
      </c>
    </row>
    <row r="1583">
      <c r="A1583" t="inlineStr">
        <is>
          <t>24 Sep 2025 / 7800 MAC Tree Surgery and Fencing Ltd</t>
        </is>
      </c>
      <c r="B1583" t="inlineStr">
        <is>
          <t>Utilities &amp; Inland Waterways</t>
        </is>
      </c>
      <c r="C1583" t="inlineStr">
        <is>
          <t>UKPN</t>
        </is>
      </c>
      <c r="D1583" t="inlineStr">
        <is>
          <t>205143043-A1 , Tow Chipper , Timberwolf , TW150</t>
        </is>
      </c>
      <c r="E1583" t="inlineStr">
        <is>
          <t>205143043-A1 , Tow Chipper , Timberwolf , TW150</t>
        </is>
      </c>
      <c r="F1583" t="inlineStr">
        <is>
          <t>205143043-A1 , Tow Chipper , Timberwolf , TW150</t>
        </is>
      </c>
      <c r="G1583" t="inlineStr">
        <is>
          <t xml:space="preserve">Lewis mac </t>
        </is>
      </c>
      <c r="H1583" t="inlineStr">
        <is>
          <t>Towed Chipper</t>
        </is>
      </c>
      <c r="I1583" t="inlineStr">
        <is>
          <t>Daily/ Weekly Vehicle Inspection</t>
        </is>
      </c>
      <c r="J1583" t="inlineStr">
        <is>
          <t>N/A</t>
        </is>
      </c>
      <c r="K1583" t="inlineStr">
        <is>
          <t>7800 MAC Tree Surgery and Fencing Ltd</t>
        </is>
      </c>
      <c r="L1583" t="inlineStr">
        <is>
          <t>24/09/2025 07:24</t>
        </is>
      </c>
      <c r="M1583" t="inlineStr">
        <is>
          <t>None</t>
        </is>
      </c>
      <c r="N1583" t="inlineStr">
        <is>
          <t>&lt;p&gt;&lt;/p&gt;</t>
        </is>
      </c>
      <c r="O1583" t="inlineStr"/>
      <c r="P1583" t="inlineStr">
        <is>
          <t>205143043-A1 , Tow Chipper , Timberwolf , TW150</t>
        </is>
      </c>
      <c r="Q1583" t="inlineStr">
        <is>
          <t>UKPN</t>
        </is>
      </c>
      <c r="R1583" t="b">
        <v>0</v>
      </c>
    </row>
    <row r="1584">
      <c r="A1584" t="inlineStr">
        <is>
          <t>24 Sep 2025 / 7800 MAC Tree Surgery and Fencing Ltd</t>
        </is>
      </c>
      <c r="B1584" t="inlineStr">
        <is>
          <t>Utilities &amp; Inland Waterways</t>
        </is>
      </c>
      <c r="C1584" t="inlineStr">
        <is>
          <t>UKPN</t>
        </is>
      </c>
      <c r="D1584" t="inlineStr">
        <is>
          <t>AY68DAA , 4x4 , Izuzu , Dmax</t>
        </is>
      </c>
      <c r="E1584" t="inlineStr">
        <is>
          <t>AY68DAA , 4x4 , Izuzu , Dmax</t>
        </is>
      </c>
      <c r="F1584" t="inlineStr">
        <is>
          <t>AY68DAA , 4x4 , Izuzu , Dmax</t>
        </is>
      </c>
      <c r="G1584" t="inlineStr">
        <is>
          <t xml:space="preserve">Lewis mac </t>
        </is>
      </c>
      <c r="H1584" t="inlineStr">
        <is>
          <t>4x4</t>
        </is>
      </c>
      <c r="I1584" t="inlineStr">
        <is>
          <t>Daily/ Weekly Vehicle Inspection</t>
        </is>
      </c>
      <c r="J1584" t="inlineStr">
        <is>
          <t>N/A</t>
        </is>
      </c>
      <c r="K1584" t="inlineStr">
        <is>
          <t>7800 MAC Tree Surgery and Fencing Ltd</t>
        </is>
      </c>
      <c r="L1584" t="inlineStr">
        <is>
          <t>24/09/2025 07:25</t>
        </is>
      </c>
      <c r="M1584" t="inlineStr">
        <is>
          <t>None</t>
        </is>
      </c>
      <c r="N1584" t="inlineStr">
        <is>
          <t>&lt;p&gt;&lt;/p&gt;</t>
        </is>
      </c>
      <c r="O1584" t="inlineStr"/>
      <c r="P1584" t="inlineStr">
        <is>
          <t>AY68DAA , 4x4 , Izuzu , Dmax</t>
        </is>
      </c>
      <c r="Q1584" t="inlineStr">
        <is>
          <t>UKPN</t>
        </is>
      </c>
      <c r="R1584" t="b">
        <v>0</v>
      </c>
    </row>
    <row r="1585">
      <c r="A1585" t="inlineStr">
        <is>
          <t>24 Sep 2025 / Anthony Gale / Utilities / UKPN</t>
        </is>
      </c>
      <c r="B1585" t="inlineStr">
        <is>
          <t>Utilities</t>
        </is>
      </c>
      <c r="C1585" t="inlineStr">
        <is>
          <t>UKPN</t>
        </is>
      </c>
      <c r="D1585" t="inlineStr">
        <is>
          <t>PE07 HGL , Vehicle , Mitsubishi , L200 K74</t>
        </is>
      </c>
      <c r="E1585" t="inlineStr">
        <is>
          <t>PE07 HGL , Vehicle , Mitsubishi , L200 K74</t>
        </is>
      </c>
      <c r="F1585" t="inlineStr">
        <is>
          <t>PE07 HGL , Vehicle , Mitsubishi , L200 K74</t>
        </is>
      </c>
      <c r="G1585" t="inlineStr">
        <is>
          <t>Anthony Gale</t>
        </is>
      </c>
      <c r="H1585" t="inlineStr">
        <is>
          <t>Pickup Truck</t>
        </is>
      </c>
      <c r="I1585" t="inlineStr">
        <is>
          <t>Daily/ Weekly Vehicle Inspection</t>
        </is>
      </c>
      <c r="J1585" t="inlineStr">
        <is>
          <t>N/A</t>
        </is>
      </c>
      <c r="K1585" t="inlineStr">
        <is>
          <t>7996 M G Tree Surgery Ltd 1</t>
        </is>
      </c>
      <c r="L1585" t="inlineStr">
        <is>
          <t>24/09/2025 07:26</t>
        </is>
      </c>
      <c r="M1585" t="inlineStr">
        <is>
          <t>None</t>
        </is>
      </c>
      <c r="N1585" t="inlineStr">
        <is>
          <t>&lt;p&gt;&lt;/p&gt;</t>
        </is>
      </c>
      <c r="O1585" t="inlineStr">
        <is>
          <t>Confirm that you have checked this vehicle as per the guidance document and the vehicle is safe and roadworthy:Drivers side wheel trim deteriorating.
Safe enough for now.
Monitor.
-</t>
        </is>
      </c>
      <c r="P1585" t="inlineStr">
        <is>
          <t>PE07 HGL , Vehicle , Mitsubishi , L200 K74</t>
        </is>
      </c>
      <c r="Q1585" t="inlineStr">
        <is>
          <t>UKPN</t>
        </is>
      </c>
      <c r="R1585" t="b">
        <v>0</v>
      </c>
    </row>
    <row r="1586">
      <c r="A1586" t="inlineStr">
        <is>
          <t>24 Sep 2025 / Thomas Playford / Utilities / UKPN</t>
        </is>
      </c>
      <c r="B1586" t="inlineStr">
        <is>
          <t>Utilities</t>
        </is>
      </c>
      <c r="C1586" t="inlineStr">
        <is>
          <t>UKPN</t>
        </is>
      </c>
      <c r="D1586" t="inlineStr">
        <is>
          <t>YP24 WRD , Vehicle , Ford , Ranger</t>
        </is>
      </c>
      <c r="E1586" t="inlineStr">
        <is>
          <t>YP24 WRD , Vehicle , Ford , Ranger</t>
        </is>
      </c>
      <c r="F1586" t="inlineStr">
        <is>
          <t>YP24 WRD , Vehicle , Ford , Ranger</t>
        </is>
      </c>
      <c r="G1586" t="inlineStr">
        <is>
          <t>Jacob Oram</t>
        </is>
      </c>
      <c r="H1586" t="inlineStr">
        <is>
          <t>4x4</t>
        </is>
      </c>
      <c r="I1586" t="inlineStr">
        <is>
          <t>Daily/ Weekly Vehicle Inspection</t>
        </is>
      </c>
      <c r="J1586" t="inlineStr">
        <is>
          <t>N/A</t>
        </is>
      </c>
      <c r="K1586" t="inlineStr">
        <is>
          <t>7995 Contour Landscapes Ltd 2</t>
        </is>
      </c>
      <c r="L1586" t="inlineStr">
        <is>
          <t>24/09/2025 07:31</t>
        </is>
      </c>
      <c r="M1586" t="inlineStr">
        <is>
          <t>None</t>
        </is>
      </c>
      <c r="N1586" t="inlineStr">
        <is>
          <t>&lt;p&gt;&lt;/p&gt;</t>
        </is>
      </c>
      <c r="O1586" t="inlineStr"/>
      <c r="P1586" t="inlineStr">
        <is>
          <t>YP24 WRD , Vehicle , Ford , Ranger</t>
        </is>
      </c>
      <c r="Q1586" t="inlineStr">
        <is>
          <t>UKPN</t>
        </is>
      </c>
      <c r="R1586" t="b">
        <v>0</v>
      </c>
    </row>
    <row r="1587">
      <c r="A1587" t="inlineStr">
        <is>
          <t>24 Sep 2025 / 3098 D &amp; R Landscapes (PEND Arb Rail) / Utilities / UKPN</t>
        </is>
      </c>
      <c r="B1587" t="inlineStr">
        <is>
          <t>Utilities</t>
        </is>
      </c>
      <c r="C1587" t="inlineStr">
        <is>
          <t>UKPN</t>
        </is>
      </c>
      <c r="D1587" t="inlineStr">
        <is>
          <t>WA13ZZK , 4x4 , Land Rover  , Defender</t>
        </is>
      </c>
      <c r="E1587" t="inlineStr">
        <is>
          <t>WA13ZZK , 4x4 , Land Rover  , Defender</t>
        </is>
      </c>
      <c r="F1587" t="inlineStr">
        <is>
          <t>WA13ZZK , 4x4 , Land Rover  , Defender</t>
        </is>
      </c>
      <c r="G1587" t="inlineStr">
        <is>
          <t xml:space="preserve">Dylan </t>
        </is>
      </c>
      <c r="H1587" t="inlineStr">
        <is>
          <t>Pickup Truck</t>
        </is>
      </c>
      <c r="I1587" t="inlineStr">
        <is>
          <t>Daily/ Weekly Vehicle Inspection</t>
        </is>
      </c>
      <c r="J1587" t="inlineStr">
        <is>
          <t>N/A</t>
        </is>
      </c>
      <c r="K1587" t="inlineStr">
        <is>
          <t>3098 D &amp; R Landscapes</t>
        </is>
      </c>
      <c r="L1587" t="inlineStr">
        <is>
          <t>24/09/2025 10:25</t>
        </is>
      </c>
      <c r="M1587" t="inlineStr">
        <is>
          <t>None</t>
        </is>
      </c>
      <c r="N1587" t="inlineStr">
        <is>
          <t>&lt;p&gt;&lt;/p&gt;</t>
        </is>
      </c>
      <c r="O1587" t="inlineStr"/>
      <c r="P1587" t="inlineStr">
        <is>
          <t>WA13ZZK , 4x4 , Land Rover  , Defender</t>
        </is>
      </c>
      <c r="Q1587" t="inlineStr">
        <is>
          <t>UKPN</t>
        </is>
      </c>
      <c r="R1587" t="b">
        <v>0</v>
      </c>
    </row>
    <row r="1588">
      <c r="A1588" t="inlineStr">
        <is>
          <t>24 Sep 2025 / 7951 Austin Tree Care LTD / Utilities / UKPN</t>
        </is>
      </c>
      <c r="B1588" t="inlineStr">
        <is>
          <t>Utilities</t>
        </is>
      </c>
      <c r="C1588" t="inlineStr">
        <is>
          <t>UKPN</t>
        </is>
      </c>
      <c r="D1588" t="inlineStr">
        <is>
          <t>WF61 HZV , 4x4 MEWP , Land Rover , Defender</t>
        </is>
      </c>
      <c r="E1588" t="inlineStr">
        <is>
          <t>WF61 HZV , 4x4 MEWP , Land Rover , Defender</t>
        </is>
      </c>
      <c r="F1588" t="inlineStr">
        <is>
          <t>WF61 HZV , 4x4 MEWP , Land Rover , Defender</t>
        </is>
      </c>
      <c r="G1588" t="inlineStr">
        <is>
          <t xml:space="preserve">Jack Austin </t>
        </is>
      </c>
      <c r="H1588" t="inlineStr">
        <is>
          <t>4x4</t>
        </is>
      </c>
      <c r="I1588" t="inlineStr">
        <is>
          <t>Daily/ Weekly Vehicle Inspection</t>
        </is>
      </c>
      <c r="J1588" t="inlineStr">
        <is>
          <t>N/A</t>
        </is>
      </c>
      <c r="K1588" t="inlineStr">
        <is>
          <t>7951 Austin Tree Care LTD</t>
        </is>
      </c>
      <c r="L1588" t="inlineStr">
        <is>
          <t>24/09/2025 11:56</t>
        </is>
      </c>
      <c r="M1588" t="inlineStr">
        <is>
          <t>None</t>
        </is>
      </c>
      <c r="N1588" t="inlineStr">
        <is>
          <t>&lt;p&gt;&lt;/p&gt;</t>
        </is>
      </c>
      <c r="O1588" t="inlineStr"/>
      <c r="P1588" t="inlineStr">
        <is>
          <t>WF61 HZV , 4x4 MEWP , Land Rover , Defender</t>
        </is>
      </c>
      <c r="Q1588" t="inlineStr">
        <is>
          <t>UKPN</t>
        </is>
      </c>
      <c r="R1588" t="b">
        <v>0</v>
      </c>
    </row>
    <row r="1589">
      <c r="A1589" t="inlineStr">
        <is>
          <t>24 Sep 2025 / 7951 Austin Tree Care LTD / Utilities / UKPN</t>
        </is>
      </c>
      <c r="B1589" t="inlineStr">
        <is>
          <t>Utilities</t>
        </is>
      </c>
      <c r="C1589" t="inlineStr">
        <is>
          <t>UKPN</t>
        </is>
      </c>
      <c r="D1589" t="inlineStr">
        <is>
          <t>SA9ST6P0001283612 , Tow Chipper , Forst , ST6p</t>
        </is>
      </c>
      <c r="E1589" t="inlineStr">
        <is>
          <t>SA9ST6P0001283612 , Tow Chipper , Forst , ST6p</t>
        </is>
      </c>
      <c r="F1589" t="inlineStr">
        <is>
          <t>SA9ST6P0001283612 , Tow Chipper , Forst , ST6p</t>
        </is>
      </c>
      <c r="G1589" t="inlineStr">
        <is>
          <t xml:space="preserve">Jack Austin </t>
        </is>
      </c>
      <c r="H1589" t="inlineStr">
        <is>
          <t>Towed Chipper</t>
        </is>
      </c>
      <c r="I1589" t="inlineStr">
        <is>
          <t>Daily/ Weekly Vehicle Inspection</t>
        </is>
      </c>
      <c r="J1589" t="inlineStr">
        <is>
          <t>N/A</t>
        </is>
      </c>
      <c r="K1589" t="inlineStr">
        <is>
          <t>7951 Austin Tree Care LTD</t>
        </is>
      </c>
      <c r="L1589" t="inlineStr">
        <is>
          <t>24/09/2025 11:57</t>
        </is>
      </c>
      <c r="M1589" t="inlineStr">
        <is>
          <t>None</t>
        </is>
      </c>
      <c r="N1589" t="inlineStr">
        <is>
          <t>&lt;p&gt;&lt;/p&gt;</t>
        </is>
      </c>
      <c r="O1589" t="inlineStr"/>
      <c r="P1589" t="inlineStr">
        <is>
          <t>SA9ST6P0001283612 , Tow Chipper , Forst , ST6p</t>
        </is>
      </c>
      <c r="Q1589" t="inlineStr">
        <is>
          <t>UKPN</t>
        </is>
      </c>
      <c r="R1589" t="b">
        <v>0</v>
      </c>
    </row>
    <row r="1590">
      <c r="A1590" t="inlineStr">
        <is>
          <t>24 Sep 2025 / 7806 Optimum Tree Services Ltd / Utilities / UKPN</t>
        </is>
      </c>
      <c r="B1590" t="inlineStr">
        <is>
          <t>Utilities</t>
        </is>
      </c>
      <c r="C1590" t="inlineStr">
        <is>
          <t>UKPN</t>
        </is>
      </c>
      <c r="D1590" t="inlineStr">
        <is>
          <t>SA9ST800000283069 , Chipper , Forst , ST 6P</t>
        </is>
      </c>
      <c r="E1590" t="inlineStr">
        <is>
          <t>SA9ST800000283069 , Chipper , Forst , ST 6P</t>
        </is>
      </c>
      <c r="F1590" t="inlineStr">
        <is>
          <t>SA9ST800000283069 , Chipper , Forst , ST 6P</t>
        </is>
      </c>
      <c r="G1590" t="inlineStr">
        <is>
          <t xml:space="preserve">Abraham Davies </t>
        </is>
      </c>
      <c r="H1590" t="inlineStr">
        <is>
          <t>Towed Chipper</t>
        </is>
      </c>
      <c r="I1590" t="inlineStr">
        <is>
          <t>Daily/ Weekly Vehicle Inspection</t>
        </is>
      </c>
      <c r="J1590" t="inlineStr">
        <is>
          <t>N/A</t>
        </is>
      </c>
      <c r="K1590" t="inlineStr">
        <is>
          <t>7806 Optimum Tree Services Ltd</t>
        </is>
      </c>
      <c r="L1590" t="inlineStr">
        <is>
          <t>24/09/2025 12:01</t>
        </is>
      </c>
      <c r="M1590" t="inlineStr">
        <is>
          <t>None</t>
        </is>
      </c>
      <c r="N1590" t="inlineStr">
        <is>
          <t>&lt;p&gt;&lt;/p&gt;</t>
        </is>
      </c>
      <c r="O1590" t="inlineStr"/>
      <c r="P1590" t="inlineStr">
        <is>
          <t>SA9ST800000283069 , Chipper , Forst , ST 6P</t>
        </is>
      </c>
      <c r="Q1590" t="inlineStr">
        <is>
          <t>UKPN</t>
        </is>
      </c>
      <c r="R1590" t="b">
        <v>0</v>
      </c>
    </row>
    <row r="1591">
      <c r="A1591" t="inlineStr">
        <is>
          <t>24 Sep 2025 / 7806 Optimum Tree Services Ltd / Utilities / UKPN</t>
        </is>
      </c>
      <c r="B1591" t="inlineStr">
        <is>
          <t>Utilities</t>
        </is>
      </c>
      <c r="C1591" t="inlineStr">
        <is>
          <t>UKPN</t>
        </is>
      </c>
      <c r="D1591" t="inlineStr">
        <is>
          <t>WD14EVB , MEWP , Land Rover , Defender</t>
        </is>
      </c>
      <c r="E1591" t="inlineStr">
        <is>
          <t>WD14EVB , MEWP , Land Rover , Defender</t>
        </is>
      </c>
      <c r="F1591" t="inlineStr">
        <is>
          <t>WD14EVB , MEWP , Land Rover , Defender</t>
        </is>
      </c>
      <c r="G1591" t="inlineStr">
        <is>
          <t xml:space="preserve">Abraham Davies </t>
        </is>
      </c>
      <c r="H1591" t="inlineStr">
        <is>
          <t>4x4</t>
        </is>
      </c>
      <c r="I1591" t="inlineStr">
        <is>
          <t>Daily/ Weekly Vehicle Inspection</t>
        </is>
      </c>
      <c r="J1591" t="inlineStr">
        <is>
          <t>N/A</t>
        </is>
      </c>
      <c r="K1591" t="inlineStr">
        <is>
          <t>7806 Optimum Tree Services Ltd</t>
        </is>
      </c>
      <c r="L1591" t="inlineStr">
        <is>
          <t>24/09/2025 12:02</t>
        </is>
      </c>
      <c r="M1591" t="inlineStr">
        <is>
          <t>None</t>
        </is>
      </c>
      <c r="N1591" t="inlineStr">
        <is>
          <t>&lt;p&gt;&lt;/p&gt;</t>
        </is>
      </c>
      <c r="O1591" t="inlineStr"/>
      <c r="P1591" t="inlineStr">
        <is>
          <t>WD14EVB , MEWP , Land Rover , Defender</t>
        </is>
      </c>
      <c r="Q1591" t="inlineStr">
        <is>
          <t>UKPN</t>
        </is>
      </c>
      <c r="R1591" t="b">
        <v>0</v>
      </c>
    </row>
    <row r="1592">
      <c r="A1592" t="inlineStr">
        <is>
          <t>24 Sep 2025 / Thomas Playford / Utilities / UKPN</t>
        </is>
      </c>
      <c r="B1592" t="inlineStr">
        <is>
          <t>Utilities</t>
        </is>
      </c>
      <c r="C1592" t="inlineStr">
        <is>
          <t>UKPN</t>
        </is>
      </c>
      <c r="D1592" t="inlineStr"/>
      <c r="E1592" t="inlineStr"/>
      <c r="F1592" t="inlineStr"/>
      <c r="G1592" t="inlineStr">
        <is>
          <t>Jacob Oram</t>
        </is>
      </c>
      <c r="H1592" t="inlineStr"/>
      <c r="I1592" t="inlineStr">
        <is>
          <t>Add to Vehicle to the GC Vehicle List</t>
        </is>
      </c>
      <c r="J1592" t="inlineStr">
        <is>
          <t>N/A</t>
        </is>
      </c>
      <c r="K1592" t="inlineStr">
        <is>
          <t>7995 Contour Landscapes Ltd 2</t>
        </is>
      </c>
      <c r="L1592" t="inlineStr">
        <is>
          <t>24/09/2025 12:02</t>
        </is>
      </c>
      <c r="M1592" t="inlineStr">
        <is>
          <t>None</t>
        </is>
      </c>
      <c r="N1592" t="inlineStr">
        <is>
          <t>&lt;p&gt;&lt;/p&gt;</t>
        </is>
      </c>
      <c r="O1592" t="inlineStr"/>
      <c r="P1592" t="inlineStr"/>
      <c r="Q1592" t="inlineStr">
        <is>
          <t>UKPN</t>
        </is>
      </c>
      <c r="R1592" t="b">
        <v>0</v>
      </c>
    </row>
    <row r="1593">
      <c r="A1593" t="inlineStr">
        <is>
          <t>24 Sep 2025 / 7996 M G Tree Surgery Ltd / Utilities / UKPN</t>
        </is>
      </c>
      <c r="B1593" t="inlineStr">
        <is>
          <t>Utilities</t>
        </is>
      </c>
      <c r="C1593" t="inlineStr">
        <is>
          <t>UKPN</t>
        </is>
      </c>
      <c r="D1593" t="inlineStr">
        <is>
          <t>GU13 WNL , MEWP , Land Rover , Defender 130</t>
        </is>
      </c>
      <c r="E1593" t="inlineStr">
        <is>
          <t>GU13 WNL , MEWP , Land Rover , Defender 130</t>
        </is>
      </c>
      <c r="F1593" t="inlineStr">
        <is>
          <t>GU13 WNL , MEWP , Land Rover , Defender 130</t>
        </is>
      </c>
      <c r="G1593" t="inlineStr">
        <is>
          <t>Max</t>
        </is>
      </c>
      <c r="H1593" t="inlineStr">
        <is>
          <t>Pickup Truck</t>
        </is>
      </c>
      <c r="I1593" t="inlineStr">
        <is>
          <t>Daily/ Weekly Vehicle Inspection</t>
        </is>
      </c>
      <c r="J1593" t="inlineStr">
        <is>
          <t>N/A</t>
        </is>
      </c>
      <c r="K1593" t="inlineStr">
        <is>
          <t>7996 M G Tree Surgery Ltd</t>
        </is>
      </c>
      <c r="L1593" t="inlineStr">
        <is>
          <t>24/09/2025 12:03</t>
        </is>
      </c>
      <c r="M1593" t="inlineStr">
        <is>
          <t>None</t>
        </is>
      </c>
      <c r="N1593" t="inlineStr">
        <is>
          <t>&lt;p&gt;&lt;/p&gt;</t>
        </is>
      </c>
      <c r="O1593" t="inlineStr"/>
      <c r="P1593" t="inlineStr">
        <is>
          <t>GU13 WNL , MEWP , Land Rover , Defender 130</t>
        </is>
      </c>
      <c r="Q1593" t="inlineStr">
        <is>
          <t>UKPN</t>
        </is>
      </c>
      <c r="R1593" t="b">
        <v>0</v>
      </c>
    </row>
    <row r="1594">
      <c r="A1594" t="inlineStr">
        <is>
          <t>24 Sep 2025 / Christopher Simeoli / Utilities / NGED</t>
        </is>
      </c>
      <c r="B1594" t="inlineStr">
        <is>
          <t>Utilities</t>
        </is>
      </c>
      <c r="C1594" t="inlineStr">
        <is>
          <t>NGED</t>
        </is>
      </c>
      <c r="D1594" t="inlineStr">
        <is>
          <t>EO73KVB , Car - Electric , Kia , Niro</t>
        </is>
      </c>
      <c r="E1594" t="inlineStr">
        <is>
          <t>EO73KVB , Car - Electric , Kia , Niro</t>
        </is>
      </c>
      <c r="F1594" t="inlineStr">
        <is>
          <t>EO73KVB , Car - Electric , Kia , Niro</t>
        </is>
      </c>
      <c r="G1594" t="inlineStr">
        <is>
          <t>Chris Simeoli</t>
        </is>
      </c>
      <c r="H1594" t="inlineStr">
        <is>
          <t>Car - Electric (GC Owned)</t>
        </is>
      </c>
      <c r="I1594" t="inlineStr">
        <is>
          <t>Daily/ Weekly Vehicle Inspection</t>
        </is>
      </c>
      <c r="J1594" t="inlineStr">
        <is>
          <t>N/A</t>
        </is>
      </c>
      <c r="K1594" t="inlineStr">
        <is>
          <t>Christopher Simeoli</t>
        </is>
      </c>
      <c r="L1594" t="inlineStr">
        <is>
          <t>24/09/2025 14:23</t>
        </is>
      </c>
      <c r="M1594" t="inlineStr">
        <is>
          <t>None</t>
        </is>
      </c>
      <c r="N1594" t="inlineStr">
        <is>
          <t>&lt;p&gt;&lt;/p&gt;</t>
        </is>
      </c>
      <c r="O1594" t="inlineStr"/>
      <c r="P1594" t="inlineStr">
        <is>
          <t>EO73KVB , Car - Electric , Kia , Niro</t>
        </is>
      </c>
      <c r="Q1594" t="inlineStr">
        <is>
          <t>NGED</t>
        </is>
      </c>
      <c r="R1594" t="b">
        <v>0</v>
      </c>
    </row>
    <row r="1595">
      <c r="A1595" t="inlineStr">
        <is>
          <t>24 Sep 2025 / Philip Shaw / Utilities / NGED</t>
        </is>
      </c>
      <c r="B1595" t="inlineStr">
        <is>
          <t>Utilities</t>
        </is>
      </c>
      <c r="C1595" t="inlineStr">
        <is>
          <t>NGED</t>
        </is>
      </c>
      <c r="D1595" t="inlineStr">
        <is>
          <t>AF22TZO , Car - Electric , Tesla , Model 3 Long Range AWD</t>
        </is>
      </c>
      <c r="E1595" t="inlineStr">
        <is>
          <t>AF22TZO , Car - Electric , Tesla , Model 3 Long Range AWD</t>
        </is>
      </c>
      <c r="F1595" t="inlineStr">
        <is>
          <t>AF22TZO , Car - Electric , Tesla , Model 3 Long Range AWD</t>
        </is>
      </c>
      <c r="G1595" t="inlineStr">
        <is>
          <t xml:space="preserve">Phil shaw </t>
        </is>
      </c>
      <c r="H1595" t="inlineStr">
        <is>
          <t>Car - Electric (GC Owned)</t>
        </is>
      </c>
      <c r="I1595" t="inlineStr">
        <is>
          <t>Daily/ Weekly Vehicle Inspection</t>
        </is>
      </c>
      <c r="J1595" t="inlineStr">
        <is>
          <t>N/A</t>
        </is>
      </c>
      <c r="K1595" t="inlineStr">
        <is>
          <t>Philip Shaw</t>
        </is>
      </c>
      <c r="L1595" t="inlineStr">
        <is>
          <t>24/09/2025 15:22</t>
        </is>
      </c>
      <c r="M1595" t="inlineStr">
        <is>
          <t>None</t>
        </is>
      </c>
      <c r="N1595" t="inlineStr">
        <is>
          <t>&lt;p&gt;&lt;/p&gt;</t>
        </is>
      </c>
      <c r="O1595" t="inlineStr"/>
      <c r="P1595" t="inlineStr">
        <is>
          <t>AF22TZO , Car - Electric , Tesla , Model 3 Long Range AWD</t>
        </is>
      </c>
      <c r="Q1595" t="inlineStr">
        <is>
          <t>NGED</t>
        </is>
      </c>
      <c r="R1595" t="b">
        <v>0</v>
      </c>
    </row>
    <row r="1596">
      <c r="A1596" t="inlineStr">
        <is>
          <t>25 Sep 2025 / Anthony Gale / Utilities / UKPN</t>
        </is>
      </c>
      <c r="B1596" t="inlineStr">
        <is>
          <t>Utilities</t>
        </is>
      </c>
      <c r="C1596" t="inlineStr">
        <is>
          <t>UKPN</t>
        </is>
      </c>
      <c r="D1596" t="inlineStr">
        <is>
          <t>PE07 HGL , Vehicle , Mitsubishi , L200 K74</t>
        </is>
      </c>
      <c r="E1596" t="inlineStr">
        <is>
          <t>PE07 HGL , Vehicle , Mitsubishi , L200 K74</t>
        </is>
      </c>
      <c r="F1596" t="inlineStr">
        <is>
          <t>PE07 HGL , Vehicle , Mitsubishi , L200 K74</t>
        </is>
      </c>
      <c r="G1596" t="inlineStr">
        <is>
          <t>Anthony Gale</t>
        </is>
      </c>
      <c r="H1596" t="inlineStr">
        <is>
          <t>Pickup Truck</t>
        </is>
      </c>
      <c r="I1596" t="inlineStr">
        <is>
          <t>Daily/ Weekly Vehicle Inspection</t>
        </is>
      </c>
      <c r="J1596" t="inlineStr">
        <is>
          <t>N/A</t>
        </is>
      </c>
      <c r="K1596" t="inlineStr">
        <is>
          <t>7996 M G Tree Surgery Ltd 1</t>
        </is>
      </c>
      <c r="L1596" t="inlineStr">
        <is>
          <t>25/09/2025 07:22</t>
        </is>
      </c>
      <c r="M1596" t="inlineStr">
        <is>
          <t>None</t>
        </is>
      </c>
      <c r="N1596" t="inlineStr">
        <is>
          <t>&lt;p&gt;&lt;/p&gt;</t>
        </is>
      </c>
      <c r="O1596" t="inlineStr">
        <is>
          <t>Confirm that you have checked this vehicle as per the guidance document and the vehicle is safe and roadworthy:Drivers side wheel trim deteriorating, seems sold enough for now.
Monitor.
-</t>
        </is>
      </c>
      <c r="P1596" t="inlineStr">
        <is>
          <t>PE07 HGL , Vehicle , Mitsubishi , L200 K74</t>
        </is>
      </c>
      <c r="Q1596" t="inlineStr">
        <is>
          <t>UKPN</t>
        </is>
      </c>
      <c r="R1596" t="b">
        <v>0</v>
      </c>
    </row>
    <row r="1597">
      <c r="A1597" t="inlineStr">
        <is>
          <t>25 Sep 2025 / 7186 Eastwoodbury Tree Services Ltd / Utilities / UKPN</t>
        </is>
      </c>
      <c r="B1597" t="inlineStr">
        <is>
          <t>Utilities</t>
        </is>
      </c>
      <c r="C1597" t="inlineStr">
        <is>
          <t>UKPN</t>
        </is>
      </c>
      <c r="D1597" t="inlineStr">
        <is>
          <t>DN61XKJ , Tipper , Ford , Transit</t>
        </is>
      </c>
      <c r="E1597" t="inlineStr">
        <is>
          <t>DN61XKJ , Tipper , Ford , Transit</t>
        </is>
      </c>
      <c r="F1597" t="inlineStr">
        <is>
          <t>DN61XKJ , Tipper , Ford , Transit</t>
        </is>
      </c>
      <c r="G1597" t="inlineStr">
        <is>
          <t xml:space="preserve">Jay Denkmayer </t>
        </is>
      </c>
      <c r="H1597" t="inlineStr">
        <is>
          <t>Tipper</t>
        </is>
      </c>
      <c r="I1597" t="inlineStr">
        <is>
          <t>Daily/ Weekly Vehicle Inspection</t>
        </is>
      </c>
      <c r="J1597" t="inlineStr">
        <is>
          <t>N/A</t>
        </is>
      </c>
      <c r="K1597" t="inlineStr">
        <is>
          <t>7186 Eastwoodbury Tree Services Ltd</t>
        </is>
      </c>
      <c r="L1597" t="inlineStr">
        <is>
          <t>25/09/2025 07:24</t>
        </is>
      </c>
      <c r="M1597" t="inlineStr">
        <is>
          <t>None</t>
        </is>
      </c>
      <c r="N1597" t="inlineStr">
        <is>
          <t>&lt;p&gt;&lt;/p&gt;</t>
        </is>
      </c>
      <c r="O1597" t="inlineStr"/>
      <c r="P1597" t="inlineStr">
        <is>
          <t>DN61XKJ , Tipper , Ford , Transit</t>
        </is>
      </c>
      <c r="Q1597" t="inlineStr">
        <is>
          <t>UKPN</t>
        </is>
      </c>
      <c r="R1597" t="b">
        <v>0</v>
      </c>
    </row>
    <row r="1598">
      <c r="A1598" t="inlineStr">
        <is>
          <t>25 Sep 2025 / 7186 Eastwoodbury Tree Services Ltd / Utilities / UKPN</t>
        </is>
      </c>
      <c r="B1598" t="inlineStr">
        <is>
          <t>Utilities</t>
        </is>
      </c>
      <c r="C1598" t="inlineStr">
        <is>
          <t>UKPN</t>
        </is>
      </c>
      <c r="D1598" t="inlineStr">
        <is>
          <t>FN600XM , 4x4 , Land Rover  , Defender</t>
        </is>
      </c>
      <c r="E1598" t="inlineStr">
        <is>
          <t>FN600XM , 4x4 , Land Rover  , Defender</t>
        </is>
      </c>
      <c r="F1598" t="inlineStr">
        <is>
          <t>FN600XM , 4x4 , Land Rover  , Defender</t>
        </is>
      </c>
      <c r="G1598" t="inlineStr">
        <is>
          <t xml:space="preserve">Dan Gilbert </t>
        </is>
      </c>
      <c r="H1598" t="inlineStr">
        <is>
          <t>4x4</t>
        </is>
      </c>
      <c r="I1598" t="inlineStr">
        <is>
          <t>Daily/ Weekly Vehicle Inspection</t>
        </is>
      </c>
      <c r="J1598" t="inlineStr">
        <is>
          <t>N/A</t>
        </is>
      </c>
      <c r="K1598" t="inlineStr">
        <is>
          <t>7186 Eastwoodbury Tree Services Ltd</t>
        </is>
      </c>
      <c r="L1598" t="inlineStr">
        <is>
          <t>25/09/2025 07:25</t>
        </is>
      </c>
      <c r="M1598" t="inlineStr">
        <is>
          <t>None</t>
        </is>
      </c>
      <c r="N1598" t="inlineStr">
        <is>
          <t>&lt;p&gt;&lt;/p&gt;</t>
        </is>
      </c>
      <c r="O1598" t="inlineStr"/>
      <c r="P1598" t="inlineStr">
        <is>
          <t>FN600XM , 4x4 , Land Rover  , Defender</t>
        </is>
      </c>
      <c r="Q1598" t="inlineStr">
        <is>
          <t>UKPN</t>
        </is>
      </c>
      <c r="R1598" t="b">
        <v>0</v>
      </c>
    </row>
    <row r="1599">
      <c r="A1599" t="inlineStr">
        <is>
          <t>25 Sep 2025 / 7806 Optimum Tree Services Ltd / Utilities / UKPN</t>
        </is>
      </c>
      <c r="B1599" t="inlineStr">
        <is>
          <t>Utilities</t>
        </is>
      </c>
      <c r="C1599" t="inlineStr">
        <is>
          <t>UKPN</t>
        </is>
      </c>
      <c r="D1599" t="inlineStr">
        <is>
          <t>SA9ST800000283069 , Chipper , Forst , ST 6P</t>
        </is>
      </c>
      <c r="E1599" t="inlineStr">
        <is>
          <t>SA9ST800000283069 , Chipper , Forst , ST 6P</t>
        </is>
      </c>
      <c r="F1599" t="inlineStr">
        <is>
          <t>SA9ST800000283069 , Chipper , Forst , ST 6P</t>
        </is>
      </c>
      <c r="G1599" t="inlineStr">
        <is>
          <t xml:space="preserve">Abraham Davies </t>
        </is>
      </c>
      <c r="H1599" t="inlineStr">
        <is>
          <t>Towed Chipper</t>
        </is>
      </c>
      <c r="I1599" t="inlineStr">
        <is>
          <t>Daily/ Weekly Vehicle Inspection</t>
        </is>
      </c>
      <c r="J1599" t="inlineStr">
        <is>
          <t>N/A</t>
        </is>
      </c>
      <c r="K1599" t="inlineStr">
        <is>
          <t>7806 Optimum Tree Services Ltd</t>
        </is>
      </c>
      <c r="L1599" t="inlineStr">
        <is>
          <t>25/09/2025 07:25</t>
        </is>
      </c>
      <c r="M1599" t="inlineStr">
        <is>
          <t>None</t>
        </is>
      </c>
      <c r="N1599" t="inlineStr">
        <is>
          <t>&lt;p&gt;&lt;/p&gt;</t>
        </is>
      </c>
      <c r="O1599" t="inlineStr"/>
      <c r="P1599" t="inlineStr">
        <is>
          <t>SA9ST800000283069 , Chipper , Forst , ST 6P</t>
        </is>
      </c>
      <c r="Q1599" t="inlineStr">
        <is>
          <t>UKPN</t>
        </is>
      </c>
      <c r="R1599" t="b">
        <v>0</v>
      </c>
    </row>
    <row r="1600">
      <c r="A1600" t="inlineStr">
        <is>
          <t>25 Sep 2025 / 7806 Optimum Tree Services Ltd / Utilities / UKPN</t>
        </is>
      </c>
      <c r="B1600" t="inlineStr">
        <is>
          <t>Utilities</t>
        </is>
      </c>
      <c r="C1600" t="inlineStr">
        <is>
          <t>UKPN</t>
        </is>
      </c>
      <c r="D1600" t="inlineStr">
        <is>
          <t>WD14EVB , MEWP , Land Rover , Defender</t>
        </is>
      </c>
      <c r="E1600" t="inlineStr">
        <is>
          <t>WD14EVB , MEWP , Land Rover , Defender</t>
        </is>
      </c>
      <c r="F1600" t="inlineStr">
        <is>
          <t>WD14EVB , MEWP , Land Rover , Defender</t>
        </is>
      </c>
      <c r="G1600" t="inlineStr">
        <is>
          <t xml:space="preserve">Abraham Davies </t>
        </is>
      </c>
      <c r="H1600" t="inlineStr">
        <is>
          <t>4x4</t>
        </is>
      </c>
      <c r="I1600" t="inlineStr">
        <is>
          <t>Daily/ Weekly Vehicle Inspection</t>
        </is>
      </c>
      <c r="J1600" t="inlineStr">
        <is>
          <t>N/A</t>
        </is>
      </c>
      <c r="K1600" t="inlineStr">
        <is>
          <t>7806 Optimum Tree Services Ltd</t>
        </is>
      </c>
      <c r="L1600" t="inlineStr">
        <is>
          <t>25/09/2025 07:27</t>
        </is>
      </c>
      <c r="M1600" t="inlineStr">
        <is>
          <t>None</t>
        </is>
      </c>
      <c r="N1600" t="inlineStr">
        <is>
          <t>&lt;p&gt;&lt;/p&gt;</t>
        </is>
      </c>
      <c r="O1600" t="inlineStr"/>
      <c r="P1600" t="inlineStr">
        <is>
          <t>WD14EVB , MEWP , Land Rover , Defender</t>
        </is>
      </c>
      <c r="Q1600" t="inlineStr">
        <is>
          <t>UKPN</t>
        </is>
      </c>
      <c r="R1600" t="b">
        <v>0</v>
      </c>
    </row>
    <row r="1601">
      <c r="A1601" t="inlineStr">
        <is>
          <t>25 Sep 2025 / 7996 M G Tree Surgery Ltd / Utilities / UKPN</t>
        </is>
      </c>
      <c r="B1601" t="inlineStr">
        <is>
          <t>Utilities</t>
        </is>
      </c>
      <c r="C1601" t="inlineStr">
        <is>
          <t>UKPN</t>
        </is>
      </c>
      <c r="D1601" t="inlineStr">
        <is>
          <t>GU13 WNL , MEWP , Land Rover , Defender 130</t>
        </is>
      </c>
      <c r="E1601" t="inlineStr">
        <is>
          <t>GU13 WNL , MEWP , Land Rover , Defender 130</t>
        </is>
      </c>
      <c r="F1601" t="inlineStr">
        <is>
          <t>GU13 WNL , MEWP , Land Rover , Defender 130</t>
        </is>
      </c>
      <c r="G1601" t="inlineStr">
        <is>
          <t>Max</t>
        </is>
      </c>
      <c r="H1601" t="inlineStr">
        <is>
          <t>Pickup Truck</t>
        </is>
      </c>
      <c r="I1601" t="inlineStr">
        <is>
          <t>Daily/ Weekly Vehicle Inspection</t>
        </is>
      </c>
      <c r="J1601" t="inlineStr">
        <is>
          <t>N/A</t>
        </is>
      </c>
      <c r="K1601" t="inlineStr">
        <is>
          <t>7996 M G Tree Surgery Ltd</t>
        </is>
      </c>
      <c r="L1601" t="inlineStr">
        <is>
          <t>25/09/2025 07:29</t>
        </is>
      </c>
      <c r="M1601" t="inlineStr">
        <is>
          <t>None</t>
        </is>
      </c>
      <c r="N1601" t="inlineStr">
        <is>
          <t>&lt;p&gt;&lt;/p&gt;</t>
        </is>
      </c>
      <c r="O1601" t="inlineStr"/>
      <c r="P1601" t="inlineStr">
        <is>
          <t>GU13 WNL , MEWP , Land Rover , Defender 130</t>
        </is>
      </c>
      <c r="Q1601" t="inlineStr">
        <is>
          <t>UKPN</t>
        </is>
      </c>
      <c r="R1601" t="b">
        <v>0</v>
      </c>
    </row>
    <row r="1602">
      <c r="A1602" t="inlineStr">
        <is>
          <t>25 Sep 2025 / 7889 Tree Tech Suffolk Ltd</t>
        </is>
      </c>
      <c r="B1602" t="inlineStr">
        <is>
          <t>Utilities &amp; Inland Waterways</t>
        </is>
      </c>
      <c r="C1602" t="inlineStr">
        <is>
          <t>UKPN</t>
        </is>
      </c>
      <c r="D1602" t="inlineStr">
        <is>
          <t>Tow Chipper - Jenson - A530L - 55210639484x4 - Isuzu - D-max - NS03 TTSTipper - Nissan - Navara - NS02TTS</t>
        </is>
      </c>
      <c r="E1602" t="inlineStr">
        <is>
          <t>Tow Chipper - Jenson - A530L - 55210639484x4 - Isuzu - D-max - NS03 TTSTipper - Nissan - Navara - NS02TTS</t>
        </is>
      </c>
      <c r="F1602" t="inlineStr">
        <is>
          <t>Tow Chipper - Jenson - A530L - 55210639484x4 - Isuzu - D-max - NS03 TTSTipper - Nissan - Navara - NS02TTS</t>
        </is>
      </c>
      <c r="G1602" t="inlineStr">
        <is>
          <t xml:space="preserve">Nikki sparrow Danny Appleby Nikki sparrow </t>
        </is>
      </c>
      <c r="H1602" t="inlineStr">
        <is>
          <t>Towed Chipper4x4Tipper</t>
        </is>
      </c>
      <c r="I1602" t="inlineStr">
        <is>
          <t>Daily/ Weekly Vehicle Inspection</t>
        </is>
      </c>
      <c r="J1602" t="inlineStr">
        <is>
          <t>N/A</t>
        </is>
      </c>
      <c r="K1602" t="inlineStr">
        <is>
          <t>7889 Tree Tech Suffolk Ltd</t>
        </is>
      </c>
      <c r="L1602" t="inlineStr">
        <is>
          <t>25/09/2025 07:30</t>
        </is>
      </c>
      <c r="M1602" t="inlineStr">
        <is>
          <t>None</t>
        </is>
      </c>
      <c r="N1602" t="inlineStr">
        <is>
          <t>&lt;p&gt;&lt;/p&gt;</t>
        </is>
      </c>
      <c r="O1602" t="inlineStr">
        <is>
          <t>Select Vehicle:Using another chipper while ours is being fixed. Has no wheel nut indicatorsSelect Vehicle:KX65 FCZ. Tried adding vehicle but not showing up. Intermittent fault on side lights.Select Vehicle:Crack in windscreen. Address on next MOT if required</t>
        </is>
      </c>
      <c r="P1602" t="inlineStr">
        <is>
          <t>Tow Chipper - Jenson - A530L - 55210639484x4 - Isuzu - D-max - NS03 TTSTipper - Nissan - Navara - NS02TTS</t>
        </is>
      </c>
      <c r="Q1602" t="inlineStr">
        <is>
          <t>UKPN</t>
        </is>
      </c>
      <c r="R1602" t="b">
        <v>0</v>
      </c>
    </row>
    <row r="1603">
      <c r="A1603" t="inlineStr">
        <is>
          <t>25 Sep 2025 / Thomas Playford / Utilities / UKPN</t>
        </is>
      </c>
      <c r="B1603" t="inlineStr">
        <is>
          <t>Utilities</t>
        </is>
      </c>
      <c r="C1603" t="inlineStr">
        <is>
          <t>UKPN</t>
        </is>
      </c>
      <c r="D1603" t="inlineStr">
        <is>
          <t>Flat Bed Trailer - IFOR Williams - LM187G3 - SCK80000075030058</t>
        </is>
      </c>
      <c r="E1603" t="inlineStr">
        <is>
          <t>Flat Bed Trailer - IFOR Williams - LM187G3 - SCK80000075030058</t>
        </is>
      </c>
      <c r="F1603" t="inlineStr">
        <is>
          <t>Flat Bed Trailer - IFOR Williams - LM187G3 - SCK80000075030058</t>
        </is>
      </c>
      <c r="G1603" t="inlineStr">
        <is>
          <t>Jacob Oram</t>
        </is>
      </c>
      <c r="H1603" t="inlineStr">
        <is>
          <t>Flat Bed Trailer</t>
        </is>
      </c>
      <c r="I1603" t="inlineStr">
        <is>
          <t>Daily/ Weekly Vehicle Inspection</t>
        </is>
      </c>
      <c r="J1603" t="inlineStr">
        <is>
          <t>N/A</t>
        </is>
      </c>
      <c r="K1603" t="inlineStr">
        <is>
          <t>7995 Contour Landscapes Ltd 2</t>
        </is>
      </c>
      <c r="L1603" t="inlineStr">
        <is>
          <t>25/09/2025 07:32</t>
        </is>
      </c>
      <c r="M1603" t="inlineStr">
        <is>
          <t>None</t>
        </is>
      </c>
      <c r="N1603" t="inlineStr">
        <is>
          <t>&lt;p&gt;&lt;/p&gt;</t>
        </is>
      </c>
      <c r="O1603" t="inlineStr"/>
      <c r="P1603" t="inlineStr">
        <is>
          <t>Flat Bed Trailer - IFOR Williams - LM187G3 - SCK80000075030058</t>
        </is>
      </c>
      <c r="Q1603" t="inlineStr">
        <is>
          <t>UKPN</t>
        </is>
      </c>
      <c r="R1603" t="b">
        <v>0</v>
      </c>
    </row>
    <row r="1604">
      <c r="A1604" t="inlineStr">
        <is>
          <t>25 Sep 2025 / Thomas Playford / Utilities / UKPN</t>
        </is>
      </c>
      <c r="B1604" t="inlineStr">
        <is>
          <t>Utilities</t>
        </is>
      </c>
      <c r="C1604" t="inlineStr">
        <is>
          <t>UKPN</t>
        </is>
      </c>
      <c r="D1604" t="inlineStr">
        <is>
          <t>YP24 WRD , Vehicle , Ford , Ranger</t>
        </is>
      </c>
      <c r="E1604" t="inlineStr">
        <is>
          <t>YP24 WRD , Vehicle , Ford , Ranger</t>
        </is>
      </c>
      <c r="F1604" t="inlineStr">
        <is>
          <t>YP24 WRD , Vehicle , Ford , Ranger</t>
        </is>
      </c>
      <c r="G1604" t="inlineStr">
        <is>
          <t>Jacob Oram</t>
        </is>
      </c>
      <c r="H1604" t="inlineStr">
        <is>
          <t>4x4</t>
        </is>
      </c>
      <c r="I1604" t="inlineStr">
        <is>
          <t>Daily/ Weekly Vehicle Inspection</t>
        </is>
      </c>
      <c r="J1604" t="inlineStr">
        <is>
          <t>N/A</t>
        </is>
      </c>
      <c r="K1604" t="inlineStr">
        <is>
          <t>7995 Contour Landscapes Ltd 2</t>
        </is>
      </c>
      <c r="L1604" t="inlineStr">
        <is>
          <t>25/09/2025 07:33</t>
        </is>
      </c>
      <c r="M1604" t="inlineStr">
        <is>
          <t>None</t>
        </is>
      </c>
      <c r="N1604" t="inlineStr">
        <is>
          <t>&lt;p&gt;&lt;/p&gt;</t>
        </is>
      </c>
      <c r="O1604" t="inlineStr"/>
      <c r="P1604" t="inlineStr">
        <is>
          <t>YP24 WRD , Vehicle , Ford , Ranger</t>
        </is>
      </c>
      <c r="Q1604" t="inlineStr">
        <is>
          <t>UKPN</t>
        </is>
      </c>
      <c r="R1604" t="b">
        <v>0</v>
      </c>
    </row>
    <row r="1605">
      <c r="A1605" t="inlineStr">
        <is>
          <t>25 Sep 2025 / 7951 Austin Tree Care LTD 1 / Utilities / UKPN</t>
        </is>
      </c>
      <c r="B1605" t="inlineStr">
        <is>
          <t>Utilities</t>
        </is>
      </c>
      <c r="C1605" t="inlineStr">
        <is>
          <t>UKPN</t>
        </is>
      </c>
      <c r="D1605" t="inlineStr">
        <is>
          <t>WF61 HZV , 4x4 MEWP , Land Rover , Defender</t>
        </is>
      </c>
      <c r="E1605" t="inlineStr">
        <is>
          <t>WF61 HZV , 4x4 MEWP , Land Rover , Defender</t>
        </is>
      </c>
      <c r="F1605" t="inlineStr">
        <is>
          <t>WF61 HZV , 4x4 MEWP , Land Rover , Defender</t>
        </is>
      </c>
      <c r="G1605" t="inlineStr">
        <is>
          <t xml:space="preserve">Jack Austin </t>
        </is>
      </c>
      <c r="H1605" t="inlineStr">
        <is>
          <t>4x4</t>
        </is>
      </c>
      <c r="I1605" t="inlineStr">
        <is>
          <t>Daily/ Weekly Vehicle Inspection</t>
        </is>
      </c>
      <c r="J1605" t="inlineStr">
        <is>
          <t>N/A</t>
        </is>
      </c>
      <c r="K1605" t="inlineStr">
        <is>
          <t>7951 Austin Tree Care LTD 1</t>
        </is>
      </c>
      <c r="L1605" t="inlineStr">
        <is>
          <t>25/09/2025 08:26</t>
        </is>
      </c>
      <c r="M1605" t="inlineStr">
        <is>
          <t>None</t>
        </is>
      </c>
      <c r="N1605" t="inlineStr">
        <is>
          <t>&lt;p&gt;&lt;/p&gt;</t>
        </is>
      </c>
      <c r="O1605" t="inlineStr"/>
      <c r="P1605" t="inlineStr">
        <is>
          <t>WF61 HZV , 4x4 MEWP , Land Rover , Defender</t>
        </is>
      </c>
      <c r="Q1605" t="inlineStr">
        <is>
          <t>UKPN</t>
        </is>
      </c>
      <c r="R1605" t="b">
        <v>0</v>
      </c>
    </row>
    <row r="1606">
      <c r="A1606" t="inlineStr">
        <is>
          <t>25 Sep 2025 / 7800 MAC Tree Surgery and Fencing Ltd</t>
        </is>
      </c>
      <c r="B1606" t="inlineStr">
        <is>
          <t>Utilities &amp; Inland Waterways</t>
        </is>
      </c>
      <c r="C1606" t="inlineStr">
        <is>
          <t>UKPN</t>
        </is>
      </c>
      <c r="D1606" t="inlineStr">
        <is>
          <t>205143043-A1 , Tow Chipper , Timberwolf , TW150</t>
        </is>
      </c>
      <c r="E1606" t="inlineStr">
        <is>
          <t>205143043-A1 , Tow Chipper , Timberwolf , TW150</t>
        </is>
      </c>
      <c r="F1606" t="inlineStr">
        <is>
          <t>205143043-A1 , Tow Chipper , Timberwolf , TW150</t>
        </is>
      </c>
      <c r="G1606" t="inlineStr">
        <is>
          <t xml:space="preserve">Lewis mac </t>
        </is>
      </c>
      <c r="H1606" t="inlineStr">
        <is>
          <t>Towed Chipper</t>
        </is>
      </c>
      <c r="I1606" t="inlineStr">
        <is>
          <t>Daily/ Weekly Vehicle Inspection</t>
        </is>
      </c>
      <c r="J1606" t="inlineStr">
        <is>
          <t>N/A</t>
        </is>
      </c>
      <c r="K1606" t="inlineStr">
        <is>
          <t>7800 MAC Tree Surgery and Fencing Ltd</t>
        </is>
      </c>
      <c r="L1606" t="inlineStr">
        <is>
          <t>25/09/2025 09:22</t>
        </is>
      </c>
      <c r="M1606" t="inlineStr">
        <is>
          <t>None</t>
        </is>
      </c>
      <c r="N1606" t="inlineStr">
        <is>
          <t>&lt;p&gt;&lt;/p&gt;</t>
        </is>
      </c>
      <c r="O1606" t="inlineStr"/>
      <c r="P1606" t="inlineStr">
        <is>
          <t>205143043-A1 , Tow Chipper , Timberwolf , TW150</t>
        </is>
      </c>
      <c r="Q1606" t="inlineStr">
        <is>
          <t>UKPN</t>
        </is>
      </c>
      <c r="R1606" t="b">
        <v>0</v>
      </c>
    </row>
    <row r="1607">
      <c r="A1607" t="inlineStr">
        <is>
          <t>25 Sep 2025 / 7800 MAC Tree Surgery and Fencing Ltd</t>
        </is>
      </c>
      <c r="B1607" t="inlineStr">
        <is>
          <t>Utilities &amp; Inland Waterways</t>
        </is>
      </c>
      <c r="C1607" t="inlineStr">
        <is>
          <t>UKPN</t>
        </is>
      </c>
      <c r="D1607" t="inlineStr">
        <is>
          <t>AY68DAA , 4x4 , Izuzu , Dmax</t>
        </is>
      </c>
      <c r="E1607" t="inlineStr">
        <is>
          <t>AY68DAA , 4x4 , Izuzu , Dmax</t>
        </is>
      </c>
      <c r="F1607" t="inlineStr">
        <is>
          <t>AY68DAA , 4x4 , Izuzu , Dmax</t>
        </is>
      </c>
      <c r="G1607" t="inlineStr">
        <is>
          <t xml:space="preserve">Lewis mac </t>
        </is>
      </c>
      <c r="H1607" t="inlineStr">
        <is>
          <t>4x4</t>
        </is>
      </c>
      <c r="I1607" t="inlineStr">
        <is>
          <t>Daily/ Weekly Vehicle Inspection</t>
        </is>
      </c>
      <c r="J1607" t="inlineStr">
        <is>
          <t>N/A</t>
        </is>
      </c>
      <c r="K1607" t="inlineStr">
        <is>
          <t>7800 MAC Tree Surgery and Fencing Ltd</t>
        </is>
      </c>
      <c r="L1607" t="inlineStr">
        <is>
          <t>25/09/2025 09:23</t>
        </is>
      </c>
      <c r="M1607" t="inlineStr">
        <is>
          <t>None</t>
        </is>
      </c>
      <c r="N1607" t="inlineStr">
        <is>
          <t>&lt;p&gt;&lt;/p&gt;</t>
        </is>
      </c>
      <c r="O1607" t="inlineStr"/>
      <c r="P1607" t="inlineStr">
        <is>
          <t>AY68DAA , 4x4 , Izuzu , Dmax</t>
        </is>
      </c>
      <c r="Q1607" t="inlineStr">
        <is>
          <t>UKPN</t>
        </is>
      </c>
      <c r="R1607" t="b">
        <v>0</v>
      </c>
    </row>
    <row r="1608">
      <c r="A1608" t="inlineStr">
        <is>
          <t>25 Sep 2025 / Jodie Bowen / Utilities / UKPN</t>
        </is>
      </c>
      <c r="B1608" t="inlineStr">
        <is>
          <t>Utilities</t>
        </is>
      </c>
      <c r="C1608" t="inlineStr">
        <is>
          <t>UKPN</t>
        </is>
      </c>
      <c r="D1608" t="inlineStr">
        <is>
          <t>EK73UOL , Car - Electric , Kia , Niro</t>
        </is>
      </c>
      <c r="E1608" t="inlineStr">
        <is>
          <t>EK73UOL , Car - Electric , Kia , Niro</t>
        </is>
      </c>
      <c r="F1608" t="inlineStr">
        <is>
          <t>EK73UOL , Car - Electric , Kia , Niro</t>
        </is>
      </c>
      <c r="G1608" t="inlineStr">
        <is>
          <t>Jodie Bowen</t>
        </is>
      </c>
      <c r="H1608" t="inlineStr">
        <is>
          <t>Car - Electric (GC Owned)</t>
        </is>
      </c>
      <c r="I1608" t="inlineStr">
        <is>
          <t>Daily/ Weekly Vehicle Inspection</t>
        </is>
      </c>
      <c r="J1608" t="inlineStr">
        <is>
          <t>N/A</t>
        </is>
      </c>
      <c r="K1608" t="inlineStr">
        <is>
          <t>Jodie Bowen</t>
        </is>
      </c>
      <c r="L1608" t="inlineStr">
        <is>
          <t>25/09/2025 10:22</t>
        </is>
      </c>
      <c r="M1608" t="inlineStr">
        <is>
          <t>None</t>
        </is>
      </c>
      <c r="N1608" t="inlineStr">
        <is>
          <t>&lt;p&gt;&lt;/p&gt;</t>
        </is>
      </c>
      <c r="O1608" t="inlineStr"/>
      <c r="P1608" t="inlineStr">
        <is>
          <t>EK73UOL , Car - Electric , Kia , Niro</t>
        </is>
      </c>
      <c r="Q1608" t="inlineStr">
        <is>
          <t>UKPN</t>
        </is>
      </c>
      <c r="R1608" t="b">
        <v>0</v>
      </c>
    </row>
    <row r="1609">
      <c r="A1609" t="inlineStr">
        <is>
          <t>25 Sep 2025 / Anthony Gale / Utilities / UKPN</t>
        </is>
      </c>
      <c r="B1609" t="inlineStr">
        <is>
          <t>Utilities</t>
        </is>
      </c>
      <c r="C1609" t="inlineStr">
        <is>
          <t>UKPN</t>
        </is>
      </c>
      <c r="D1609" t="inlineStr">
        <is>
          <t>PE07 HGL , Vehicle , Mitsubishi , L200 K74</t>
        </is>
      </c>
      <c r="E1609" t="inlineStr">
        <is>
          <t>PE07 HGL , Vehicle , Mitsubishi , L200 K74</t>
        </is>
      </c>
      <c r="F1609" t="inlineStr">
        <is>
          <t>PE07 HGL , Vehicle , Mitsubishi , L200 K74</t>
        </is>
      </c>
      <c r="G1609" t="inlineStr">
        <is>
          <t>Anthony Gale</t>
        </is>
      </c>
      <c r="H1609" t="inlineStr">
        <is>
          <t>Pickup Truck</t>
        </is>
      </c>
      <c r="I1609" t="inlineStr">
        <is>
          <t>Daily/ Weekly Vehicle Inspection</t>
        </is>
      </c>
      <c r="J1609" t="inlineStr">
        <is>
          <t>N/A</t>
        </is>
      </c>
      <c r="K1609" t="inlineStr">
        <is>
          <t>7996 M G Tree Surgery Ltd 1</t>
        </is>
      </c>
      <c r="L1609" t="inlineStr">
        <is>
          <t>25/09/2025 13:23</t>
        </is>
      </c>
      <c r="M1609" t="inlineStr">
        <is>
          <t>None</t>
        </is>
      </c>
      <c r="N1609" t="inlineStr">
        <is>
          <t>&lt;p&gt;&lt;/p&gt;</t>
        </is>
      </c>
      <c r="O1609" t="inlineStr">
        <is>
          <t>Confirm that you have checked this vehicle as per the guidance document and the vehicle is safe and roadworthy:Drivers side wheel trim deteriorating, seems sold enough for now.
Monitor.
-</t>
        </is>
      </c>
      <c r="P1609" t="inlineStr">
        <is>
          <t>PE07 HGL , Vehicle , Mitsubishi , L200 K74</t>
        </is>
      </c>
      <c r="Q1609" t="inlineStr">
        <is>
          <t>UKPN</t>
        </is>
      </c>
      <c r="R1609" t="b">
        <v>0</v>
      </c>
    </row>
    <row r="1610">
      <c r="A1610" t="inlineStr">
        <is>
          <t>26 Sep 2025 / 3098 D &amp; R Landscapes (PEND Arb Rail) / Utilities / UKPN</t>
        </is>
      </c>
      <c r="B1610" t="inlineStr">
        <is>
          <t>Utilities</t>
        </is>
      </c>
      <c r="C1610" t="inlineStr">
        <is>
          <t>UKPN</t>
        </is>
      </c>
      <c r="D1610" t="inlineStr"/>
      <c r="E1610" t="inlineStr"/>
      <c r="F1610" t="inlineStr"/>
      <c r="G1610" t="inlineStr">
        <is>
          <t>Rob</t>
        </is>
      </c>
      <c r="H1610" t="inlineStr">
        <is>
          <t>Pickup Truck</t>
        </is>
      </c>
      <c r="I1610" t="inlineStr">
        <is>
          <t>Daily/ Weekly Vehicle Inspection</t>
        </is>
      </c>
      <c r="J1610" t="inlineStr">
        <is>
          <t>N/A</t>
        </is>
      </c>
      <c r="K1610" t="inlineStr">
        <is>
          <t>3098 D &amp; R Landscapes</t>
        </is>
      </c>
      <c r="L1610" t="inlineStr">
        <is>
          <t>26/09/2025 06:25</t>
        </is>
      </c>
      <c r="M1610" t="inlineStr">
        <is>
          <t>None</t>
        </is>
      </c>
      <c r="N1610" t="inlineStr">
        <is>
          <t>&lt;p&gt;&lt;/p&gt;</t>
        </is>
      </c>
      <c r="O1610" t="inlineStr"/>
      <c r="P1610" t="inlineStr"/>
      <c r="Q1610" t="inlineStr">
        <is>
          <t>UKPN</t>
        </is>
      </c>
      <c r="R1610" t="b">
        <v>0</v>
      </c>
    </row>
    <row r="1611">
      <c r="A1611" t="inlineStr">
        <is>
          <t>26 Sep 2025 / 3098 D &amp; R Landscapes (PEND Arb Rail) / Utilities / UKPN</t>
        </is>
      </c>
      <c r="B1611" t="inlineStr">
        <is>
          <t>Utilities</t>
        </is>
      </c>
      <c r="C1611" t="inlineStr">
        <is>
          <t>UKPN</t>
        </is>
      </c>
      <c r="D1611" t="inlineStr">
        <is>
          <t>DE68XHA , Tipper , Isuzu , Grafter</t>
        </is>
      </c>
      <c r="E1611" t="inlineStr">
        <is>
          <t>DE68XHA , Tipper , Isuzu , Grafter</t>
        </is>
      </c>
      <c r="F1611" t="inlineStr">
        <is>
          <t>DE68XHA , Tipper , Isuzu , Grafter</t>
        </is>
      </c>
      <c r="G1611" t="inlineStr">
        <is>
          <t xml:space="preserve">Dylan </t>
        </is>
      </c>
      <c r="H1611" t="inlineStr">
        <is>
          <t>Tipper</t>
        </is>
      </c>
      <c r="I1611" t="inlineStr">
        <is>
          <t>Daily/ Weekly Vehicle Inspection</t>
        </is>
      </c>
      <c r="J1611" t="inlineStr">
        <is>
          <t>N/A</t>
        </is>
      </c>
      <c r="K1611" t="inlineStr">
        <is>
          <t>3098 D &amp; R Landscapes</t>
        </is>
      </c>
      <c r="L1611" t="inlineStr">
        <is>
          <t>26/09/2025 06:26</t>
        </is>
      </c>
      <c r="M1611" t="inlineStr">
        <is>
          <t>None</t>
        </is>
      </c>
      <c r="N1611" t="inlineStr">
        <is>
          <t>&lt;p&gt;&lt;/p&gt;</t>
        </is>
      </c>
      <c r="O1611" t="inlineStr"/>
      <c r="P1611" t="inlineStr">
        <is>
          <t>DE68XHA , Tipper , Isuzu , Grafter</t>
        </is>
      </c>
      <c r="Q1611" t="inlineStr">
        <is>
          <t>UKPN</t>
        </is>
      </c>
      <c r="R1611" t="b">
        <v>0</v>
      </c>
    </row>
    <row r="1612">
      <c r="A1612" t="inlineStr">
        <is>
          <t>26 Sep 2025 / 3098 D &amp; R Landscapes (PEND Arb Rail) / Utilities / UKPN</t>
        </is>
      </c>
      <c r="B1612" t="inlineStr">
        <is>
          <t>Utilities</t>
        </is>
      </c>
      <c r="C1612" t="inlineStr">
        <is>
          <t>UKPN</t>
        </is>
      </c>
      <c r="D1612" t="inlineStr">
        <is>
          <t>WA13ZZK , 4x4 , Land Rover  , Defender</t>
        </is>
      </c>
      <c r="E1612" t="inlineStr">
        <is>
          <t>WA13ZZK , 4x4 , Land Rover  , Defender</t>
        </is>
      </c>
      <c r="F1612" t="inlineStr">
        <is>
          <t>WA13ZZK , 4x4 , Land Rover  , Defender</t>
        </is>
      </c>
      <c r="G1612" t="inlineStr">
        <is>
          <t>Jason</t>
        </is>
      </c>
      <c r="H1612" t="inlineStr">
        <is>
          <t>Pickup Truck</t>
        </is>
      </c>
      <c r="I1612" t="inlineStr">
        <is>
          <t>Daily/ Weekly Vehicle Inspection</t>
        </is>
      </c>
      <c r="J1612" t="inlineStr">
        <is>
          <t>N/A</t>
        </is>
      </c>
      <c r="K1612" t="inlineStr">
        <is>
          <t>3098 D &amp; R Landscapes</t>
        </is>
      </c>
      <c r="L1612" t="inlineStr">
        <is>
          <t>26/09/2025 06:27</t>
        </is>
      </c>
      <c r="M1612" t="inlineStr">
        <is>
          <t>None</t>
        </is>
      </c>
      <c r="N1612" t="inlineStr">
        <is>
          <t>&lt;p&gt;&lt;/p&gt;</t>
        </is>
      </c>
      <c r="O1612" t="inlineStr"/>
      <c r="P1612" t="inlineStr">
        <is>
          <t>WA13ZZK , 4x4 , Land Rover  , Defender</t>
        </is>
      </c>
      <c r="Q1612" t="inlineStr">
        <is>
          <t>UKPN</t>
        </is>
      </c>
      <c r="R1612" t="b">
        <v>0</v>
      </c>
    </row>
    <row r="1613">
      <c r="A1613" t="inlineStr">
        <is>
          <t>26 Sep 2025 / 7806 Optimum Tree Services Ltd / Utilities / UKPN</t>
        </is>
      </c>
      <c r="B1613" t="inlineStr">
        <is>
          <t>Utilities</t>
        </is>
      </c>
      <c r="C1613" t="inlineStr">
        <is>
          <t>UKPN</t>
        </is>
      </c>
      <c r="D1613" t="inlineStr">
        <is>
          <t>Tipper - Ford - Transit - NA10SYZ</t>
        </is>
      </c>
      <c r="E1613" t="inlineStr">
        <is>
          <t>Tipper - Ford - Transit - NA10SYZ</t>
        </is>
      </c>
      <c r="F1613" t="inlineStr">
        <is>
          <t>Tipper - Ford - Transit - NA10SYZ</t>
        </is>
      </c>
      <c r="G1613" t="inlineStr">
        <is>
          <t xml:space="preserve">Abraham Davies </t>
        </is>
      </c>
      <c r="H1613" t="inlineStr">
        <is>
          <t>Tipper</t>
        </is>
      </c>
      <c r="I1613" t="inlineStr">
        <is>
          <t>Daily/ Weekly Vehicle Inspection</t>
        </is>
      </c>
      <c r="J1613" t="inlineStr">
        <is>
          <t>N/A</t>
        </is>
      </c>
      <c r="K1613" t="inlineStr">
        <is>
          <t>7806 Optimum Tree Services Ltd</t>
        </is>
      </c>
      <c r="L1613" t="inlineStr">
        <is>
          <t>26/09/2025 07:23</t>
        </is>
      </c>
      <c r="M1613" t="inlineStr">
        <is>
          <t>None</t>
        </is>
      </c>
      <c r="N1613" t="inlineStr">
        <is>
          <t>&lt;p&gt;&lt;/p&gt;</t>
        </is>
      </c>
      <c r="O1613" t="inlineStr"/>
      <c r="P1613" t="inlineStr">
        <is>
          <t>Tipper - Ford - Transit - NA10SYZ</t>
        </is>
      </c>
      <c r="Q1613" t="inlineStr">
        <is>
          <t>UKPN</t>
        </is>
      </c>
      <c r="R1613" t="b">
        <v>0</v>
      </c>
    </row>
    <row r="1614">
      <c r="A1614" t="inlineStr">
        <is>
          <t>26 Sep 2025 / 7951 Austin Tree Care LTD / Utilities / UKPN</t>
        </is>
      </c>
      <c r="B1614" t="inlineStr">
        <is>
          <t>Utilities</t>
        </is>
      </c>
      <c r="C1614" t="inlineStr">
        <is>
          <t>UKPN</t>
        </is>
      </c>
      <c r="D1614" t="inlineStr">
        <is>
          <t>WF61 HZV , 4x4 MEWP , Land Rover , Defender</t>
        </is>
      </c>
      <c r="E1614" t="inlineStr">
        <is>
          <t>WF61 HZV , 4x4 MEWP , Land Rover , Defender</t>
        </is>
      </c>
      <c r="F1614" t="inlineStr">
        <is>
          <t>WF61 HZV , 4x4 MEWP , Land Rover , Defender</t>
        </is>
      </c>
      <c r="G1614" t="inlineStr">
        <is>
          <t xml:space="preserve">Jack Austin </t>
        </is>
      </c>
      <c r="H1614" t="inlineStr">
        <is>
          <t>4x4</t>
        </is>
      </c>
      <c r="I1614" t="inlineStr">
        <is>
          <t>Daily/ Weekly Vehicle Inspection</t>
        </is>
      </c>
      <c r="J1614" t="inlineStr">
        <is>
          <t>N/A</t>
        </is>
      </c>
      <c r="K1614" t="inlineStr">
        <is>
          <t>7951 Austin Tree Care LTD</t>
        </is>
      </c>
      <c r="L1614" t="inlineStr">
        <is>
          <t>26/09/2025 07:24</t>
        </is>
      </c>
      <c r="M1614" t="inlineStr">
        <is>
          <t>None</t>
        </is>
      </c>
      <c r="N1614" t="inlineStr">
        <is>
          <t>&lt;p&gt;&lt;/p&gt;</t>
        </is>
      </c>
      <c r="O1614" t="inlineStr"/>
      <c r="P1614" t="inlineStr">
        <is>
          <t>WF61 HZV , 4x4 MEWP , Land Rover , Defender</t>
        </is>
      </c>
      <c r="Q1614" t="inlineStr">
        <is>
          <t>UKPN</t>
        </is>
      </c>
      <c r="R1614" t="b">
        <v>0</v>
      </c>
    </row>
    <row r="1615">
      <c r="A1615" t="inlineStr">
        <is>
          <t>26 Sep 2025 / 7800 MAC Tree Surgery and Fencing Ltd</t>
        </is>
      </c>
      <c r="B1615" t="inlineStr">
        <is>
          <t>Utilities &amp; Inland Waterways</t>
        </is>
      </c>
      <c r="C1615" t="inlineStr">
        <is>
          <t>UKPN</t>
        </is>
      </c>
      <c r="D1615" t="inlineStr">
        <is>
          <t>205143043-A1 , Tow Chipper , Timberwolf , TW150</t>
        </is>
      </c>
      <c r="E1615" t="inlineStr">
        <is>
          <t>205143043-A1 , Tow Chipper , Timberwolf , TW150</t>
        </is>
      </c>
      <c r="F1615" t="inlineStr">
        <is>
          <t>205143043-A1 , Tow Chipper , Timberwolf , TW150</t>
        </is>
      </c>
      <c r="G1615" t="inlineStr">
        <is>
          <t xml:space="preserve">Lewis mac </t>
        </is>
      </c>
      <c r="H1615" t="inlineStr">
        <is>
          <t>Towed Chipper</t>
        </is>
      </c>
      <c r="I1615" t="inlineStr">
        <is>
          <t>Daily/ Weekly Vehicle Inspection</t>
        </is>
      </c>
      <c r="J1615" t="inlineStr">
        <is>
          <t>N/A</t>
        </is>
      </c>
      <c r="K1615" t="inlineStr">
        <is>
          <t>7800 MAC Tree Surgery and Fencing Ltd</t>
        </is>
      </c>
      <c r="L1615" t="inlineStr">
        <is>
          <t>26/09/2025 07:24</t>
        </is>
      </c>
      <c r="M1615" t="inlineStr">
        <is>
          <t>None</t>
        </is>
      </c>
      <c r="N1615" t="inlineStr">
        <is>
          <t>&lt;p&gt;&lt;/p&gt;</t>
        </is>
      </c>
      <c r="O1615" t="inlineStr"/>
      <c r="P1615" t="inlineStr">
        <is>
          <t>205143043-A1 , Tow Chipper , Timberwolf , TW150</t>
        </is>
      </c>
      <c r="Q1615" t="inlineStr">
        <is>
          <t>UKPN</t>
        </is>
      </c>
      <c r="R1615" t="b">
        <v>0</v>
      </c>
    </row>
    <row r="1616">
      <c r="A1616" t="inlineStr">
        <is>
          <t>26 Sep 2025 / 7951 Austin Tree Care LTD / Utilities / UKPN</t>
        </is>
      </c>
      <c r="B1616" t="inlineStr">
        <is>
          <t>Utilities</t>
        </is>
      </c>
      <c r="C1616" t="inlineStr">
        <is>
          <t>UKPN</t>
        </is>
      </c>
      <c r="D1616" t="inlineStr">
        <is>
          <t>SA9ST6P0001283612 , Tow Chipper , Forst , ST6p</t>
        </is>
      </c>
      <c r="E1616" t="inlineStr">
        <is>
          <t>SA9ST6P0001283612 , Tow Chipper , Forst , ST6p</t>
        </is>
      </c>
      <c r="F1616" t="inlineStr">
        <is>
          <t>SA9ST6P0001283612 , Tow Chipper , Forst , ST6p</t>
        </is>
      </c>
      <c r="G1616" t="inlineStr">
        <is>
          <t>Jack Austin</t>
        </is>
      </c>
      <c r="H1616" t="inlineStr">
        <is>
          <t>Towed Chipper</t>
        </is>
      </c>
      <c r="I1616" t="inlineStr">
        <is>
          <t>Daily/ Weekly Vehicle Inspection</t>
        </is>
      </c>
      <c r="J1616" t="inlineStr">
        <is>
          <t>N/A</t>
        </is>
      </c>
      <c r="K1616" t="inlineStr">
        <is>
          <t>7951 Austin Tree Care LTD</t>
        </is>
      </c>
      <c r="L1616" t="inlineStr">
        <is>
          <t>26/09/2025 07:25</t>
        </is>
      </c>
      <c r="M1616" t="inlineStr">
        <is>
          <t>None</t>
        </is>
      </c>
      <c r="N1616" t="inlineStr">
        <is>
          <t>&lt;p&gt;&lt;/p&gt;</t>
        </is>
      </c>
      <c r="O1616" t="inlineStr"/>
      <c r="P1616" t="inlineStr">
        <is>
          <t>SA9ST6P0001283612 , Tow Chipper , Forst , ST6p</t>
        </is>
      </c>
      <c r="Q1616" t="inlineStr">
        <is>
          <t>UKPN</t>
        </is>
      </c>
      <c r="R1616" t="b">
        <v>0</v>
      </c>
    </row>
    <row r="1617">
      <c r="A1617" t="inlineStr">
        <is>
          <t>26 Sep 2025 / 7806 Optimum Tree Services Ltd / Utilities / UKPN</t>
        </is>
      </c>
      <c r="B1617" t="inlineStr">
        <is>
          <t>Utilities</t>
        </is>
      </c>
      <c r="C1617" t="inlineStr">
        <is>
          <t>UKPN</t>
        </is>
      </c>
      <c r="D1617" t="inlineStr">
        <is>
          <t>SA9ST800000283069 , Chipper , Forst , ST 6P</t>
        </is>
      </c>
      <c r="E1617" t="inlineStr">
        <is>
          <t>SA9ST800000283069 , Chipper , Forst , ST 6P</t>
        </is>
      </c>
      <c r="F1617" t="inlineStr">
        <is>
          <t>SA9ST800000283069 , Chipper , Forst , ST 6P</t>
        </is>
      </c>
      <c r="G1617" t="inlineStr">
        <is>
          <t xml:space="preserve">Abraham </t>
        </is>
      </c>
      <c r="H1617" t="inlineStr">
        <is>
          <t>Towed Chipper</t>
        </is>
      </c>
      <c r="I1617" t="inlineStr">
        <is>
          <t>Daily/ Weekly Vehicle Inspection</t>
        </is>
      </c>
      <c r="J1617" t="inlineStr">
        <is>
          <t>N/A</t>
        </is>
      </c>
      <c r="K1617" t="inlineStr">
        <is>
          <t>7806 Optimum Tree Services Ltd</t>
        </is>
      </c>
      <c r="L1617" t="inlineStr">
        <is>
          <t>26/09/2025 07:26</t>
        </is>
      </c>
      <c r="M1617" t="inlineStr">
        <is>
          <t>None</t>
        </is>
      </c>
      <c r="N1617" t="inlineStr">
        <is>
          <t>&lt;p&gt;&lt;/p&gt;</t>
        </is>
      </c>
      <c r="O1617" t="inlineStr"/>
      <c r="P1617" t="inlineStr">
        <is>
          <t>SA9ST800000283069 , Chipper , Forst , ST 6P</t>
        </is>
      </c>
      <c r="Q1617" t="inlineStr">
        <is>
          <t>UKPN</t>
        </is>
      </c>
      <c r="R1617" t="b">
        <v>0</v>
      </c>
    </row>
    <row r="1618">
      <c r="A1618" t="inlineStr">
        <is>
          <t>26 Sep 2025 / 7800 MAC Tree Surgery and Fencing Ltd</t>
        </is>
      </c>
      <c r="B1618" t="inlineStr">
        <is>
          <t>Utilities &amp; Inland Waterways</t>
        </is>
      </c>
      <c r="C1618" t="inlineStr">
        <is>
          <t>UKPN</t>
        </is>
      </c>
      <c r="D1618" t="inlineStr">
        <is>
          <t>AY68DAA , 4x4 , Izuzu , Dmax</t>
        </is>
      </c>
      <c r="E1618" t="inlineStr">
        <is>
          <t>AY68DAA , 4x4 , Izuzu , Dmax</t>
        </is>
      </c>
      <c r="F1618" t="inlineStr">
        <is>
          <t>AY68DAA , 4x4 , Izuzu , Dmax</t>
        </is>
      </c>
      <c r="G1618" t="inlineStr">
        <is>
          <t xml:space="preserve">Lewis mac </t>
        </is>
      </c>
      <c r="H1618" t="inlineStr">
        <is>
          <t>4x4</t>
        </is>
      </c>
      <c r="I1618" t="inlineStr">
        <is>
          <t>Daily/ Weekly Vehicle Inspection</t>
        </is>
      </c>
      <c r="J1618" t="inlineStr">
        <is>
          <t>N/A</t>
        </is>
      </c>
      <c r="K1618" t="inlineStr">
        <is>
          <t>7800 MAC Tree Surgery and Fencing Ltd</t>
        </is>
      </c>
      <c r="L1618" t="inlineStr">
        <is>
          <t>26/09/2025 07:26</t>
        </is>
      </c>
      <c r="M1618" t="inlineStr">
        <is>
          <t>None</t>
        </is>
      </c>
      <c r="N1618" t="inlineStr">
        <is>
          <t>&lt;p&gt;&lt;/p&gt;</t>
        </is>
      </c>
      <c r="O1618" t="inlineStr"/>
      <c r="P1618" t="inlineStr">
        <is>
          <t>AY68DAA , 4x4 , Izuzu , Dmax</t>
        </is>
      </c>
      <c r="Q1618" t="inlineStr">
        <is>
          <t>UKPN</t>
        </is>
      </c>
      <c r="R1618" t="b">
        <v>0</v>
      </c>
    </row>
    <row r="1619">
      <c r="A1619" t="inlineStr">
        <is>
          <t>26 Sep 2025 / 7806 Optimum Tree Services Ltd / Utilities / UKPN</t>
        </is>
      </c>
      <c r="B1619" t="inlineStr">
        <is>
          <t>Utilities</t>
        </is>
      </c>
      <c r="C1619" t="inlineStr">
        <is>
          <t>UKPN</t>
        </is>
      </c>
      <c r="D1619" t="inlineStr">
        <is>
          <t>WD14EVB , MEWP , Land Rover , Defender</t>
        </is>
      </c>
      <c r="E1619" t="inlineStr">
        <is>
          <t>WD14EVB , MEWP , Land Rover , Defender</t>
        </is>
      </c>
      <c r="F1619" t="inlineStr">
        <is>
          <t>WD14EVB , MEWP , Land Rover , Defender</t>
        </is>
      </c>
      <c r="G1619" t="inlineStr">
        <is>
          <t xml:space="preserve">Abraham Davies </t>
        </is>
      </c>
      <c r="H1619" t="inlineStr">
        <is>
          <t>4x4</t>
        </is>
      </c>
      <c r="I1619" t="inlineStr">
        <is>
          <t>Daily/ Weekly Vehicle Inspection</t>
        </is>
      </c>
      <c r="J1619" t="inlineStr">
        <is>
          <t>N/A</t>
        </is>
      </c>
      <c r="K1619" t="inlineStr">
        <is>
          <t>7806 Optimum Tree Services Ltd</t>
        </is>
      </c>
      <c r="L1619" t="inlineStr">
        <is>
          <t>26/09/2025 07:27</t>
        </is>
      </c>
      <c r="M1619" t="inlineStr">
        <is>
          <t>None</t>
        </is>
      </c>
      <c r="N1619" t="inlineStr">
        <is>
          <t>&lt;p&gt;&lt;/p&gt;</t>
        </is>
      </c>
      <c r="O1619" t="inlineStr"/>
      <c r="P1619" t="inlineStr">
        <is>
          <t>WD14EVB , MEWP , Land Rover , Defender</t>
        </is>
      </c>
      <c r="Q1619" t="inlineStr">
        <is>
          <t>UKPN</t>
        </is>
      </c>
      <c r="R1619" t="b">
        <v>0</v>
      </c>
    </row>
    <row r="1620">
      <c r="A1620" t="inlineStr">
        <is>
          <t>26 Sep 2025 / Thomas Playford / Utilities / UKPN</t>
        </is>
      </c>
      <c r="B1620" t="inlineStr">
        <is>
          <t>Utilities</t>
        </is>
      </c>
      <c r="C1620" t="inlineStr">
        <is>
          <t>UKPN</t>
        </is>
      </c>
      <c r="D1620" t="inlineStr">
        <is>
          <t>Flat Bed Trailer - IFOR Williams - LM187G3 - SCK80000075030058</t>
        </is>
      </c>
      <c r="E1620" t="inlineStr">
        <is>
          <t>Flat Bed Trailer - IFOR Williams - LM187G3 - SCK80000075030058</t>
        </is>
      </c>
      <c r="F1620" t="inlineStr">
        <is>
          <t>Flat Bed Trailer - IFOR Williams - LM187G3 - SCK80000075030058</t>
        </is>
      </c>
      <c r="G1620" t="inlineStr">
        <is>
          <t xml:space="preserve">Jacob Oram </t>
        </is>
      </c>
      <c r="H1620" t="inlineStr">
        <is>
          <t>Flat Bed Trailer</t>
        </is>
      </c>
      <c r="I1620" t="inlineStr">
        <is>
          <t>Daily/ Weekly Vehicle Inspection</t>
        </is>
      </c>
      <c r="J1620" t="inlineStr">
        <is>
          <t>N/A</t>
        </is>
      </c>
      <c r="K1620" t="inlineStr">
        <is>
          <t>7995 Contour Landscapes Ltd 2</t>
        </is>
      </c>
      <c r="L1620" t="inlineStr">
        <is>
          <t>26/09/2025 07:29</t>
        </is>
      </c>
      <c r="M1620" t="inlineStr">
        <is>
          <t>None</t>
        </is>
      </c>
      <c r="N1620" t="inlineStr">
        <is>
          <t>&lt;p&gt;&lt;/p&gt;</t>
        </is>
      </c>
      <c r="O1620" t="inlineStr"/>
      <c r="P1620" t="inlineStr">
        <is>
          <t>Flat Bed Trailer - IFOR Williams - LM187G3 - SCK80000075030058</t>
        </is>
      </c>
      <c r="Q1620" t="inlineStr">
        <is>
          <t>UKPN</t>
        </is>
      </c>
      <c r="R1620" t="b">
        <v>0</v>
      </c>
    </row>
    <row r="1621">
      <c r="A1621" t="inlineStr">
        <is>
          <t>26 Sep 2025 / Thomas Playford / Utilities / UKPN</t>
        </is>
      </c>
      <c r="B1621" t="inlineStr">
        <is>
          <t>Utilities</t>
        </is>
      </c>
      <c r="C1621" t="inlineStr">
        <is>
          <t>UKPN</t>
        </is>
      </c>
      <c r="D1621" t="inlineStr">
        <is>
          <t>YP24 WRD , Vehicle , Ford , Ranger</t>
        </is>
      </c>
      <c r="E1621" t="inlineStr">
        <is>
          <t>YP24 WRD , Vehicle , Ford , Ranger</t>
        </is>
      </c>
      <c r="F1621" t="inlineStr">
        <is>
          <t>YP24 WRD , Vehicle , Ford , Ranger</t>
        </is>
      </c>
      <c r="G1621" t="inlineStr">
        <is>
          <t>Jacob Oram</t>
        </is>
      </c>
      <c r="H1621" t="inlineStr">
        <is>
          <t>4x4</t>
        </is>
      </c>
      <c r="I1621" t="inlineStr">
        <is>
          <t>Daily/ Weekly Vehicle Inspection</t>
        </is>
      </c>
      <c r="J1621" t="inlineStr">
        <is>
          <t>N/A</t>
        </is>
      </c>
      <c r="K1621" t="inlineStr">
        <is>
          <t>7995 Contour Landscapes Ltd 2</t>
        </is>
      </c>
      <c r="L1621" t="inlineStr">
        <is>
          <t>26/09/2025 07:30</t>
        </is>
      </c>
      <c r="M1621" t="inlineStr">
        <is>
          <t>None</t>
        </is>
      </c>
      <c r="N1621" t="inlineStr">
        <is>
          <t>&lt;p&gt;&lt;/p&gt;</t>
        </is>
      </c>
      <c r="O1621" t="inlineStr"/>
      <c r="P1621" t="inlineStr">
        <is>
          <t>YP24 WRD , Vehicle , Ford , Ranger</t>
        </is>
      </c>
      <c r="Q1621" t="inlineStr">
        <is>
          <t>UKPN</t>
        </is>
      </c>
      <c r="R1621" t="b">
        <v>0</v>
      </c>
    </row>
    <row r="1622">
      <c r="A1622" t="inlineStr">
        <is>
          <t>26 Sep 2025 / 7889 Tree Tech Suffolk Ltd</t>
        </is>
      </c>
      <c r="B1622" t="inlineStr">
        <is>
          <t>Utilities &amp; Inland Waterways</t>
        </is>
      </c>
      <c r="C1622" t="inlineStr">
        <is>
          <t>UKPN</t>
        </is>
      </c>
      <c r="D1622" t="inlineStr">
        <is>
          <t>Tow Chipper - Jenson - A530L - 55210639484x4 - Isuzu - D-max - NS03 TTSTipper - Mercedes - Sprinter - NS06TTS</t>
        </is>
      </c>
      <c r="E1622" t="inlineStr">
        <is>
          <t>Tow Chipper - Jenson - A530L - 55210639484x4 - Isuzu - D-max - NS03 TTSTipper - Mercedes - Sprinter - NS06TTS</t>
        </is>
      </c>
      <c r="F1622" t="inlineStr">
        <is>
          <t>Tow Chipper - Jenson - A530L - 55210639484x4 - Isuzu - D-max - NS03 TTSTipper - Mercedes - Sprinter - NS06TTS</t>
        </is>
      </c>
      <c r="G1622" t="inlineStr">
        <is>
          <t xml:space="preserve">Danny Appleby Dan brown Danny Appleby </t>
        </is>
      </c>
      <c r="H1622" t="inlineStr">
        <is>
          <t>Towed Chipper4x4Tipper</t>
        </is>
      </c>
      <c r="I1622" t="inlineStr">
        <is>
          <t>Daily/ Weekly Vehicle Inspection</t>
        </is>
      </c>
      <c r="J1622" t="inlineStr">
        <is>
          <t>N/A</t>
        </is>
      </c>
      <c r="K1622" t="inlineStr">
        <is>
          <t>7889 Tree Tech Suffolk Ltd</t>
        </is>
      </c>
      <c r="L1622" t="inlineStr">
        <is>
          <t>26/09/2025 07:31</t>
        </is>
      </c>
      <c r="M1622" t="inlineStr">
        <is>
          <t>None</t>
        </is>
      </c>
      <c r="N1622" t="inlineStr">
        <is>
          <t>&lt;p&gt;&lt;/p&gt;</t>
        </is>
      </c>
      <c r="O1622" t="inlineStr">
        <is>
          <t>Select Vehicle:Using another chipper while ours is being fixed. Has no wheel nut indicatorsSelect Vehicle:KX65 FCZ. Tried adding vehicle but not showing up. Intermittent fault on side lights.Select Vehicle:No wheel nut indicators</t>
        </is>
      </c>
      <c r="P1622" t="inlineStr">
        <is>
          <t>Tow Chipper - Jenson - A530L - 55210639484x4 - Isuzu - D-max - NS03 TTSTipper - Mercedes - Sprinter - NS06TTS</t>
        </is>
      </c>
      <c r="Q1622" t="inlineStr">
        <is>
          <t>UKPN</t>
        </is>
      </c>
      <c r="R1622" t="b">
        <v>0</v>
      </c>
    </row>
    <row r="1623">
      <c r="A1623" t="inlineStr">
        <is>
          <t>26 Sep 2025 / 7186 Eastwoodbury Tree Services Ltd / Utilities / UKPN</t>
        </is>
      </c>
      <c r="B1623" t="inlineStr">
        <is>
          <t>Utilities</t>
        </is>
      </c>
      <c r="C1623" t="inlineStr">
        <is>
          <t>UKPN</t>
        </is>
      </c>
      <c r="D1623" t="inlineStr">
        <is>
          <t>FN600XM , 4x4 , Land Rover  , Defender</t>
        </is>
      </c>
      <c r="E1623" t="inlineStr">
        <is>
          <t>FN600XM , 4x4 , Land Rover  , Defender</t>
        </is>
      </c>
      <c r="F1623" t="inlineStr">
        <is>
          <t>FN600XM , 4x4 , Land Rover  , Defender</t>
        </is>
      </c>
      <c r="G1623" t="inlineStr">
        <is>
          <t xml:space="preserve">Dan Gilbert </t>
        </is>
      </c>
      <c r="H1623" t="inlineStr">
        <is>
          <t>4x4</t>
        </is>
      </c>
      <c r="I1623" t="inlineStr">
        <is>
          <t>Daily/ Weekly Vehicle Inspection</t>
        </is>
      </c>
      <c r="J1623" t="inlineStr">
        <is>
          <t>N/A</t>
        </is>
      </c>
      <c r="K1623" t="inlineStr">
        <is>
          <t>7186 Eastwoodbury Tree Services Ltd</t>
        </is>
      </c>
      <c r="L1623" t="inlineStr">
        <is>
          <t>26/09/2025 07:32</t>
        </is>
      </c>
      <c r="M1623" t="inlineStr">
        <is>
          <t>None</t>
        </is>
      </c>
      <c r="N1623" t="inlineStr">
        <is>
          <t>&lt;p&gt;&lt;/p&gt;</t>
        </is>
      </c>
      <c r="O1623" t="inlineStr"/>
      <c r="P1623" t="inlineStr">
        <is>
          <t>FN600XM , 4x4 , Land Rover  , Defender</t>
        </is>
      </c>
      <c r="Q1623" t="inlineStr">
        <is>
          <t>UKPN</t>
        </is>
      </c>
      <c r="R1623" t="b">
        <v>0</v>
      </c>
    </row>
    <row r="1624">
      <c r="A1624" t="inlineStr">
        <is>
          <t>26 Sep 2025 / 7186 Eastwoodbury Tree Services Ltd / Utilities / UKPN</t>
        </is>
      </c>
      <c r="B1624" t="inlineStr">
        <is>
          <t>Utilities</t>
        </is>
      </c>
      <c r="C1624" t="inlineStr">
        <is>
          <t>UKPN</t>
        </is>
      </c>
      <c r="D1624" t="inlineStr">
        <is>
          <t>4x4 - Land rover  - Defenders  - WF13 EKM</t>
        </is>
      </c>
      <c r="E1624" t="inlineStr">
        <is>
          <t>4x4 - Land rover  - Defenders  - WF13 EKM</t>
        </is>
      </c>
      <c r="F1624" t="inlineStr">
        <is>
          <t>4x4 - Land rover  - Defenders  - WF13 EKM</t>
        </is>
      </c>
      <c r="G1624" t="inlineStr">
        <is>
          <t xml:space="preserve">Jay Denkmayer </t>
        </is>
      </c>
      <c r="H1624" t="inlineStr">
        <is>
          <t>4x4</t>
        </is>
      </c>
      <c r="I1624" t="inlineStr">
        <is>
          <t>Daily/ Weekly Vehicle Inspection</t>
        </is>
      </c>
      <c r="J1624" t="inlineStr">
        <is>
          <t>N/A</t>
        </is>
      </c>
      <c r="K1624" t="inlineStr">
        <is>
          <t>7186 Eastwoodbury Tree Services Ltd</t>
        </is>
      </c>
      <c r="L1624" t="inlineStr">
        <is>
          <t>26/09/2025 07:34</t>
        </is>
      </c>
      <c r="M1624" t="inlineStr">
        <is>
          <t>None</t>
        </is>
      </c>
      <c r="N1624" t="inlineStr">
        <is>
          <t>&lt;p&gt;&lt;/p&gt;</t>
        </is>
      </c>
      <c r="O1624" t="inlineStr"/>
      <c r="P1624" t="inlineStr">
        <is>
          <t>4x4 - Land rover  - Defenders  - WF13 EKM</t>
        </is>
      </c>
      <c r="Q1624" t="inlineStr">
        <is>
          <t>UKPN</t>
        </is>
      </c>
      <c r="R1624" t="b">
        <v>0</v>
      </c>
    </row>
    <row r="1625">
      <c r="A1625" t="inlineStr">
        <is>
          <t>26 Sep 2025 / Anthony Gale / Utilities / UKPN</t>
        </is>
      </c>
      <c r="B1625" t="inlineStr">
        <is>
          <t>Utilities</t>
        </is>
      </c>
      <c r="C1625" t="inlineStr">
        <is>
          <t>UKPN</t>
        </is>
      </c>
      <c r="D1625" t="inlineStr">
        <is>
          <t>PE07 HGL , Vehicle , Mitsubishi , L200 K74</t>
        </is>
      </c>
      <c r="E1625" t="inlineStr">
        <is>
          <t>PE07 HGL , Vehicle , Mitsubishi , L200 K74</t>
        </is>
      </c>
      <c r="F1625" t="inlineStr">
        <is>
          <t>PE07 HGL , Vehicle , Mitsubishi , L200 K74</t>
        </is>
      </c>
      <c r="G1625" t="inlineStr">
        <is>
          <t>Anthony Gale</t>
        </is>
      </c>
      <c r="H1625" t="inlineStr">
        <is>
          <t>Pickup Truck</t>
        </is>
      </c>
      <c r="I1625" t="inlineStr">
        <is>
          <t>Daily/ Weekly Vehicle Inspection</t>
        </is>
      </c>
      <c r="J1625" t="inlineStr">
        <is>
          <t>N/A</t>
        </is>
      </c>
      <c r="K1625" t="inlineStr">
        <is>
          <t>7996 M G Tree Surgery Ltd 1</t>
        </is>
      </c>
      <c r="L1625" t="inlineStr">
        <is>
          <t>26/09/2025 08:28</t>
        </is>
      </c>
      <c r="M1625" t="inlineStr">
        <is>
          <t>None</t>
        </is>
      </c>
      <c r="N1625" t="inlineStr">
        <is>
          <t>&lt;p&gt;&lt;/p&gt;</t>
        </is>
      </c>
      <c r="O1625" t="inlineStr">
        <is>
          <t>Confirm that you have checked this vehicle as per the guidance document and the vehicle is safe and roadworthy:Drivers side wheel trim deteriorating, safe for now.
Monitor.
-</t>
        </is>
      </c>
      <c r="P1625" t="inlineStr">
        <is>
          <t>PE07 HGL , Vehicle , Mitsubishi , L200 K74</t>
        </is>
      </c>
      <c r="Q1625" t="inlineStr">
        <is>
          <t>UKPN</t>
        </is>
      </c>
      <c r="R1625" t="b">
        <v>0</v>
      </c>
    </row>
    <row r="1626">
      <c r="A1626" t="inlineStr">
        <is>
          <t>26 Sep 2025 / 7996 M G Tree Surgery Ltd / Utilities / UKPN</t>
        </is>
      </c>
      <c r="B1626" t="inlineStr">
        <is>
          <t>Utilities</t>
        </is>
      </c>
      <c r="C1626" t="inlineStr">
        <is>
          <t>UKPN</t>
        </is>
      </c>
      <c r="D1626" t="inlineStr"/>
      <c r="E1626" t="inlineStr"/>
      <c r="F1626" t="inlineStr"/>
      <c r="G1626" t="inlineStr">
        <is>
          <t>Max</t>
        </is>
      </c>
      <c r="H1626" t="inlineStr">
        <is>
          <t>Tracked Vehicle</t>
        </is>
      </c>
      <c r="I1626" t="inlineStr">
        <is>
          <t>Daily/ Weekly Vehicle Inspection</t>
        </is>
      </c>
      <c r="J1626" t="inlineStr">
        <is>
          <t>N/A</t>
        </is>
      </c>
      <c r="K1626" t="inlineStr">
        <is>
          <t>7996 M G Tree Surgery Ltd</t>
        </is>
      </c>
      <c r="L1626" t="inlineStr">
        <is>
          <t>26/09/2025 10:25</t>
        </is>
      </c>
      <c r="M1626" t="inlineStr">
        <is>
          <t>None</t>
        </is>
      </c>
      <c r="N1626" t="inlineStr">
        <is>
          <t>&lt;p&gt;&lt;/p&gt;</t>
        </is>
      </c>
      <c r="O1626" t="inlineStr"/>
      <c r="P1626" t="inlineStr"/>
      <c r="Q1626" t="inlineStr">
        <is>
          <t>UKPN</t>
        </is>
      </c>
      <c r="R1626" t="b">
        <v>0</v>
      </c>
    </row>
    <row r="1627">
      <c r="A1627" t="inlineStr">
        <is>
          <t>28 Sep 2025 / 7806 Optimum Tree Services Ltd / Utilities / UKPN</t>
        </is>
      </c>
      <c r="B1627" t="inlineStr">
        <is>
          <t>Utilities</t>
        </is>
      </c>
      <c r="C1627" t="inlineStr">
        <is>
          <t>UKPN</t>
        </is>
      </c>
      <c r="D1627" t="inlineStr">
        <is>
          <t>SA9ST800000283069 , Chipper , Forst , ST 6P</t>
        </is>
      </c>
      <c r="E1627" t="inlineStr">
        <is>
          <t>SA9ST800000283069 , Chipper , Forst , ST 6P</t>
        </is>
      </c>
      <c r="F1627" t="inlineStr">
        <is>
          <t>SA9ST800000283069 , Chipper , Forst , ST 6P</t>
        </is>
      </c>
      <c r="G1627" t="inlineStr">
        <is>
          <t xml:space="preserve">Tommy frasle </t>
        </is>
      </c>
      <c r="H1627" t="inlineStr">
        <is>
          <t>Towed Chipper</t>
        </is>
      </c>
      <c r="I1627" t="inlineStr">
        <is>
          <t>Daily/ Weekly Vehicle Inspection</t>
        </is>
      </c>
      <c r="J1627" t="inlineStr">
        <is>
          <t>N/A</t>
        </is>
      </c>
      <c r="K1627" t="inlineStr">
        <is>
          <t>7806 Optimum Tree Services Ltd</t>
        </is>
      </c>
      <c r="L1627" t="inlineStr">
        <is>
          <t>28/09/2025 08:23</t>
        </is>
      </c>
      <c r="M1627" t="inlineStr">
        <is>
          <t>None</t>
        </is>
      </c>
      <c r="N1627" t="inlineStr">
        <is>
          <t>&lt;p&gt;&lt;/p&gt;</t>
        </is>
      </c>
      <c r="O1627" t="inlineStr"/>
      <c r="P1627" t="inlineStr">
        <is>
          <t>SA9ST800000283069 , Chipper , Forst , ST 6P</t>
        </is>
      </c>
      <c r="Q1627" t="inlineStr">
        <is>
          <t>UKPN</t>
        </is>
      </c>
      <c r="R1627" t="b">
        <v>0</v>
      </c>
    </row>
    <row r="1628">
      <c r="A1628" t="inlineStr">
        <is>
          <t>28 Sep 2025 / 7806 Optimum Tree Services Ltd / Utilities / UKPN</t>
        </is>
      </c>
      <c r="B1628" t="inlineStr">
        <is>
          <t>Utilities</t>
        </is>
      </c>
      <c r="C1628" t="inlineStr">
        <is>
          <t>UKPN</t>
        </is>
      </c>
      <c r="D1628" t="inlineStr">
        <is>
          <t>4x4 - Landrover  - Defender  - Wd14evn</t>
        </is>
      </c>
      <c r="E1628" t="inlineStr">
        <is>
          <t>4x4 - Landrover  - Defender  - Wd14evn</t>
        </is>
      </c>
      <c r="F1628" t="inlineStr">
        <is>
          <t>4x4 - Landrover  - Defender  - Wd14evn</t>
        </is>
      </c>
      <c r="G1628" t="inlineStr">
        <is>
          <t xml:space="preserve">Tommy frasle </t>
        </is>
      </c>
      <c r="H1628" t="inlineStr">
        <is>
          <t>4x4</t>
        </is>
      </c>
      <c r="I1628" t="inlineStr">
        <is>
          <t>Daily/ Weekly Vehicle Inspection</t>
        </is>
      </c>
      <c r="J1628" t="inlineStr">
        <is>
          <t>N/A</t>
        </is>
      </c>
      <c r="K1628" t="inlineStr">
        <is>
          <t>7806 Optimum Tree Services Ltd</t>
        </is>
      </c>
      <c r="L1628" t="inlineStr">
        <is>
          <t>28/09/2025 08:24</t>
        </is>
      </c>
      <c r="M1628" t="inlineStr">
        <is>
          <t>None</t>
        </is>
      </c>
      <c r="N1628" t="inlineStr">
        <is>
          <t>&lt;p&gt;&lt;/p&gt;</t>
        </is>
      </c>
      <c r="O1628" t="inlineStr"/>
      <c r="P1628" t="inlineStr">
        <is>
          <t>4x4 - Landrover  - Defender  - Wd14evn</t>
        </is>
      </c>
      <c r="Q1628" t="inlineStr">
        <is>
          <t>UKPN</t>
        </is>
      </c>
      <c r="R1628" t="b">
        <v>0</v>
      </c>
    </row>
    <row r="1629">
      <c r="A1629" t="inlineStr">
        <is>
          <t>28 Sep 2025 / 7806 Optimum Tree Services Ltd / Utilities / UKPN</t>
        </is>
      </c>
      <c r="B1629" t="inlineStr">
        <is>
          <t>Utilities</t>
        </is>
      </c>
      <c r="C1629" t="inlineStr">
        <is>
          <t>UKPN</t>
        </is>
      </c>
      <c r="D1629" t="inlineStr">
        <is>
          <t>WD14EVB , MEWP , Land Rover , Defender</t>
        </is>
      </c>
      <c r="E1629" t="inlineStr">
        <is>
          <t>WD14EVB , MEWP , Land Rover , Defender</t>
        </is>
      </c>
      <c r="F1629" t="inlineStr">
        <is>
          <t>WD14EVB , MEWP , Land Rover , Defender</t>
        </is>
      </c>
      <c r="G1629" t="inlineStr">
        <is>
          <t xml:space="preserve">Abraham Davies </t>
        </is>
      </c>
      <c r="H1629" t="inlineStr">
        <is>
          <t>4x4</t>
        </is>
      </c>
      <c r="I1629" t="inlineStr">
        <is>
          <t>Daily/ Weekly Vehicle Inspection</t>
        </is>
      </c>
      <c r="J1629" t="inlineStr">
        <is>
          <t>N/A</t>
        </is>
      </c>
      <c r="K1629" t="inlineStr">
        <is>
          <t>7806 Optimum Tree Services Ltd</t>
        </is>
      </c>
      <c r="L1629" t="inlineStr">
        <is>
          <t>28/09/2025 08:24</t>
        </is>
      </c>
      <c r="M1629" t="inlineStr">
        <is>
          <t>None</t>
        </is>
      </c>
      <c r="N1629" t="inlineStr">
        <is>
          <t>&lt;p&gt;&lt;/p&gt;</t>
        </is>
      </c>
      <c r="O1629" t="inlineStr"/>
      <c r="P1629" t="inlineStr">
        <is>
          <t>WD14EVB , MEWP , Land Rover , Defender</t>
        </is>
      </c>
      <c r="Q1629" t="inlineStr">
        <is>
          <t>UKPN</t>
        </is>
      </c>
      <c r="R1629" t="b">
        <v>0</v>
      </c>
    </row>
    <row r="1630">
      <c r="A1630" t="inlineStr">
        <is>
          <t>29 Sep 2025 / 3098 D &amp; R Landscapes (PEND Arb Rail) / Utilities / UKPN</t>
        </is>
      </c>
      <c r="B1630" t="inlineStr">
        <is>
          <t>Utilities</t>
        </is>
      </c>
      <c r="C1630" t="inlineStr">
        <is>
          <t>UKPN</t>
        </is>
      </c>
      <c r="D1630" t="inlineStr">
        <is>
          <t>DE68XHA , Tipper , Isuzu , Grafter</t>
        </is>
      </c>
      <c r="E1630" t="inlineStr">
        <is>
          <t>DE68XHA , Tipper , Isuzu , Grafter</t>
        </is>
      </c>
      <c r="F1630" t="inlineStr">
        <is>
          <t>DE68XHA , Tipper , Isuzu , Grafter</t>
        </is>
      </c>
      <c r="G1630" t="inlineStr">
        <is>
          <t>Rob</t>
        </is>
      </c>
      <c r="H1630" t="inlineStr">
        <is>
          <t>Tipper</t>
        </is>
      </c>
      <c r="I1630" t="inlineStr">
        <is>
          <t>Daily/ Weekly Vehicle Inspection</t>
        </is>
      </c>
      <c r="J1630" t="inlineStr">
        <is>
          <t>N/A</t>
        </is>
      </c>
      <c r="K1630" t="inlineStr">
        <is>
          <t>3098 D &amp; R Landscapes</t>
        </is>
      </c>
      <c r="L1630" t="inlineStr">
        <is>
          <t>29/09/2025 06:24</t>
        </is>
      </c>
      <c r="M1630" t="inlineStr">
        <is>
          <t>None</t>
        </is>
      </c>
      <c r="N1630" t="inlineStr">
        <is>
          <t>&lt;p&gt;&lt;/p&gt;</t>
        </is>
      </c>
      <c r="O1630" t="inlineStr"/>
      <c r="P1630" t="inlineStr">
        <is>
          <t>DE68XHA , Tipper , Isuzu , Grafter</t>
        </is>
      </c>
      <c r="Q1630" t="inlineStr">
        <is>
          <t>UKPN</t>
        </is>
      </c>
      <c r="R1630" t="b">
        <v>0</v>
      </c>
    </row>
    <row r="1631">
      <c r="A1631" t="inlineStr">
        <is>
          <t>29 Sep 2025 / 3098 D &amp; R Landscapes (PEND Arb Rail) / Utilities / UKPN</t>
        </is>
      </c>
      <c r="B1631" t="inlineStr">
        <is>
          <t>Utilities</t>
        </is>
      </c>
      <c r="C1631" t="inlineStr">
        <is>
          <t>UKPN</t>
        </is>
      </c>
      <c r="D1631" t="inlineStr">
        <is>
          <t>WA13ZZK , 4x4 , Land Rover  , Defender</t>
        </is>
      </c>
      <c r="E1631" t="inlineStr">
        <is>
          <t>WA13ZZK , 4x4 , Land Rover  , Defender</t>
        </is>
      </c>
      <c r="F1631" t="inlineStr">
        <is>
          <t>WA13ZZK , 4x4 , Land Rover  , Defender</t>
        </is>
      </c>
      <c r="G1631" t="inlineStr">
        <is>
          <t>Jason</t>
        </is>
      </c>
      <c r="H1631" t="inlineStr">
        <is>
          <t>Pickup Truck</t>
        </is>
      </c>
      <c r="I1631" t="inlineStr">
        <is>
          <t>Daily/ Weekly Vehicle Inspection</t>
        </is>
      </c>
      <c r="J1631" t="inlineStr">
        <is>
          <t>N/A</t>
        </is>
      </c>
      <c r="K1631" t="inlineStr">
        <is>
          <t>3098 D &amp; R Landscapes</t>
        </is>
      </c>
      <c r="L1631" t="inlineStr">
        <is>
          <t>29/09/2025 06:24</t>
        </is>
      </c>
      <c r="M1631" t="inlineStr">
        <is>
          <t>None</t>
        </is>
      </c>
      <c r="N1631" t="inlineStr">
        <is>
          <t>&lt;p&gt;&lt;/p&gt;</t>
        </is>
      </c>
      <c r="O1631" t="inlineStr"/>
      <c r="P1631" t="inlineStr">
        <is>
          <t>WA13ZZK , 4x4 , Land Rover  , Defender</t>
        </is>
      </c>
      <c r="Q1631" t="inlineStr">
        <is>
          <t>UKPN</t>
        </is>
      </c>
      <c r="R1631" t="b">
        <v>0</v>
      </c>
    </row>
    <row r="1632">
      <c r="A1632" t="inlineStr">
        <is>
          <t>26 Sep 2025 / Anthony Gale / Utilities / UKPN</t>
        </is>
      </c>
      <c r="B1632" t="inlineStr">
        <is>
          <t>Utilities</t>
        </is>
      </c>
      <c r="C1632" t="inlineStr">
        <is>
          <t>UKPN</t>
        </is>
      </c>
      <c r="D1632" t="inlineStr">
        <is>
          <t>PE07 HGL , Vehicle , Mitsubishi , L200 K74</t>
        </is>
      </c>
      <c r="E1632" t="inlineStr">
        <is>
          <t>PE07 HGL , Vehicle , Mitsubishi , L200 K74</t>
        </is>
      </c>
      <c r="F1632" t="inlineStr">
        <is>
          <t>PE07 HGL , Vehicle , Mitsubishi , L200 K74</t>
        </is>
      </c>
      <c r="G1632" t="inlineStr">
        <is>
          <t>Anthony Gale</t>
        </is>
      </c>
      <c r="H1632" t="inlineStr">
        <is>
          <t>Pickup Truck</t>
        </is>
      </c>
      <c r="I1632" t="inlineStr">
        <is>
          <t>Daily/ Weekly Vehicle Inspection</t>
        </is>
      </c>
      <c r="J1632" t="inlineStr">
        <is>
          <t>N/A</t>
        </is>
      </c>
      <c r="K1632" t="inlineStr">
        <is>
          <t>7996 M G Tree Surgery Ltd 1</t>
        </is>
      </c>
      <c r="L1632" t="inlineStr">
        <is>
          <t>29/09/2025 06:25</t>
        </is>
      </c>
      <c r="M1632" t="inlineStr">
        <is>
          <t>None</t>
        </is>
      </c>
      <c r="N1632" t="inlineStr">
        <is>
          <t>&lt;p&gt;&lt;/p&gt;</t>
        </is>
      </c>
      <c r="O1632" t="inlineStr">
        <is>
          <t>Confirm that you have checked this vehicle as per the guidance document and the vehicle is safe and roadworthy:Drivers side wheel trim deteriorating, safe for now.
Monitor.
-</t>
        </is>
      </c>
      <c r="P1632" t="inlineStr">
        <is>
          <t>PE07 HGL , Vehicle , Mitsubishi , L200 K74</t>
        </is>
      </c>
      <c r="Q1632" t="inlineStr">
        <is>
          <t>UKPN</t>
        </is>
      </c>
      <c r="R1632" t="b">
        <v>0</v>
      </c>
    </row>
    <row r="1633">
      <c r="A1633" t="inlineStr">
        <is>
          <t>29 Sep 2025 / 7186 Eastwoodbury Tree Services Ltd / Utilities / UKPN</t>
        </is>
      </c>
      <c r="B1633" t="inlineStr">
        <is>
          <t>Utilities</t>
        </is>
      </c>
      <c r="C1633" t="inlineStr">
        <is>
          <t>UKPN</t>
        </is>
      </c>
      <c r="D1633" t="inlineStr">
        <is>
          <t>AO57BPF , 4x4 , Santana  , Ps10</t>
        </is>
      </c>
      <c r="E1633" t="inlineStr">
        <is>
          <t>AO57BPF , 4x4 , Santana  , Ps10</t>
        </is>
      </c>
      <c r="F1633" t="inlineStr">
        <is>
          <t>AO57BPF , 4x4 , Santana  , Ps10</t>
        </is>
      </c>
      <c r="G1633" t="inlineStr">
        <is>
          <t xml:space="preserve">Tom Price </t>
        </is>
      </c>
      <c r="H1633" t="inlineStr">
        <is>
          <t>4x4</t>
        </is>
      </c>
      <c r="I1633" t="inlineStr">
        <is>
          <t>Daily/ Weekly Vehicle Inspection</t>
        </is>
      </c>
      <c r="J1633" t="inlineStr">
        <is>
          <t>N/A</t>
        </is>
      </c>
      <c r="K1633" t="inlineStr">
        <is>
          <t>7186 Eastwoodbury Tree Services Ltd</t>
        </is>
      </c>
      <c r="L1633" t="inlineStr">
        <is>
          <t>29/09/2025 07:26</t>
        </is>
      </c>
      <c r="M1633" t="inlineStr">
        <is>
          <t>None</t>
        </is>
      </c>
      <c r="N1633" t="inlineStr">
        <is>
          <t>&lt;p&gt;&lt;/p&gt;</t>
        </is>
      </c>
      <c r="O1633" t="inlineStr"/>
      <c r="P1633" t="inlineStr">
        <is>
          <t>AO57BPF , 4x4 , Santana  , Ps10</t>
        </is>
      </c>
      <c r="Q1633" t="inlineStr">
        <is>
          <t>UKPN</t>
        </is>
      </c>
      <c r="R1633" t="b">
        <v>0</v>
      </c>
    </row>
    <row r="1634">
      <c r="A1634" t="inlineStr">
        <is>
          <t>29 Sep 2025 / 7186 Eastwoodbury Tree Services Ltd / Utilities / UKPN</t>
        </is>
      </c>
      <c r="B1634" t="inlineStr">
        <is>
          <t>Utilities</t>
        </is>
      </c>
      <c r="C1634" t="inlineStr">
        <is>
          <t>UKPN</t>
        </is>
      </c>
      <c r="D1634" t="inlineStr">
        <is>
          <t>4x4 - Land rover  - Defenders  - WF13 EKM</t>
        </is>
      </c>
      <c r="E1634" t="inlineStr">
        <is>
          <t>4x4 - Land rover  - Defenders  - WF13 EKM</t>
        </is>
      </c>
      <c r="F1634" t="inlineStr">
        <is>
          <t>4x4 - Land rover  - Defenders  - WF13 EKM</t>
        </is>
      </c>
      <c r="G1634" t="inlineStr">
        <is>
          <t xml:space="preserve">Jay Denkmayer </t>
        </is>
      </c>
      <c r="H1634" t="inlineStr">
        <is>
          <t>4x4</t>
        </is>
      </c>
      <c r="I1634" t="inlineStr">
        <is>
          <t>Daily/ Weekly Vehicle Inspection</t>
        </is>
      </c>
      <c r="J1634" t="inlineStr">
        <is>
          <t>N/A</t>
        </is>
      </c>
      <c r="K1634" t="inlineStr">
        <is>
          <t>7186 Eastwoodbury Tree Services Ltd</t>
        </is>
      </c>
      <c r="L1634" t="inlineStr">
        <is>
          <t>29/09/2025 07:27</t>
        </is>
      </c>
      <c r="M1634" t="inlineStr">
        <is>
          <t>None</t>
        </is>
      </c>
      <c r="N1634" t="inlineStr">
        <is>
          <t>&lt;p&gt;&lt;/p&gt;</t>
        </is>
      </c>
      <c r="O1634" t="inlineStr"/>
      <c r="P1634" t="inlineStr">
        <is>
          <t>4x4 - Land rover  - Defenders  - WF13 EKM</t>
        </is>
      </c>
      <c r="Q1634" t="inlineStr">
        <is>
          <t>UKPN</t>
        </is>
      </c>
      <c r="R1634" t="b">
        <v>0</v>
      </c>
    </row>
    <row r="1635">
      <c r="A1635" t="inlineStr">
        <is>
          <t>29 Sep 2025 / 7889 Tree Tech Suffolk Ltd</t>
        </is>
      </c>
      <c r="B1635" t="inlineStr">
        <is>
          <t>Utilities &amp; Inland Waterways</t>
        </is>
      </c>
      <c r="C1635" t="inlineStr">
        <is>
          <t>UKPN</t>
        </is>
      </c>
      <c r="D1635" t="inlineStr">
        <is>
          <t>Tow Chipper - Jenson - A530L - 55210639484x4 - Isuzu - D-max - NS03 TTSTipper - Mercedes - Sprinter - NS06TTS</t>
        </is>
      </c>
      <c r="E1635" t="inlineStr">
        <is>
          <t>Tow Chipper - Jenson - A530L - 55210639484x4 - Isuzu - D-max - NS03 TTSTipper - Mercedes - Sprinter - NS06TTS</t>
        </is>
      </c>
      <c r="F1635" t="inlineStr">
        <is>
          <t>Tow Chipper - Jenson - A530L - 55210639484x4 - Isuzu - D-max - NS03 TTSTipper - Mercedes - Sprinter - NS06TTS</t>
        </is>
      </c>
      <c r="G1635" t="inlineStr">
        <is>
          <t xml:space="preserve">Nikki sparrow Danny Appleby Nikki sparrow </t>
        </is>
      </c>
      <c r="H1635" t="inlineStr">
        <is>
          <t>Towed Chipper4x4Tipper</t>
        </is>
      </c>
      <c r="I1635" t="inlineStr">
        <is>
          <t>Daily/ Weekly Vehicle Inspection</t>
        </is>
      </c>
      <c r="J1635" t="inlineStr">
        <is>
          <t>N/A</t>
        </is>
      </c>
      <c r="K1635" t="inlineStr">
        <is>
          <t>7889 Tree Tech Suffolk Ltd</t>
        </is>
      </c>
      <c r="L1635" t="inlineStr">
        <is>
          <t>29/09/2025 07:28</t>
        </is>
      </c>
      <c r="M1635" t="inlineStr">
        <is>
          <t>None</t>
        </is>
      </c>
      <c r="N1635" t="inlineStr">
        <is>
          <t>&lt;p&gt;&lt;/p&gt;</t>
        </is>
      </c>
      <c r="O1635" t="inlineStr">
        <is>
          <t>Select Vehicle:Using another chipper while ours is being fixed. Has no wheel nut indicatorsSelect Vehicle:KX65 FCZ. Tried adding vehicle but not showing up. Intermittent fault on side lights.Select Vehicle:Crack in windscreen. Address on next MOT if required</t>
        </is>
      </c>
      <c r="P1635" t="inlineStr">
        <is>
          <t>Tow Chipper - Jenson - A530L - 55210639484x4 - Isuzu - D-max - NS03 TTSTipper - Mercedes - Sprinter - NS06TTS</t>
        </is>
      </c>
      <c r="Q1635" t="inlineStr">
        <is>
          <t>UKPN</t>
        </is>
      </c>
      <c r="R1635" t="b">
        <v>0</v>
      </c>
    </row>
    <row r="1636">
      <c r="A1636" t="inlineStr">
        <is>
          <t>29 Sep 2025 / Anthony Gale / Utilities / UKPN</t>
        </is>
      </c>
      <c r="B1636" t="inlineStr">
        <is>
          <t>Utilities</t>
        </is>
      </c>
      <c r="C1636" t="inlineStr">
        <is>
          <t>UKPN</t>
        </is>
      </c>
      <c r="D1636" t="inlineStr">
        <is>
          <t>PE07 HGL , Vehicle , Mitsubishi , L200 K74</t>
        </is>
      </c>
      <c r="E1636" t="inlineStr">
        <is>
          <t>PE07 HGL , Vehicle , Mitsubishi , L200 K74</t>
        </is>
      </c>
      <c r="F1636" t="inlineStr">
        <is>
          <t>PE07 HGL , Vehicle , Mitsubishi , L200 K74</t>
        </is>
      </c>
      <c r="G1636" t="inlineStr">
        <is>
          <t>Anthony Gale</t>
        </is>
      </c>
      <c r="H1636" t="inlineStr">
        <is>
          <t>Pickup Truck</t>
        </is>
      </c>
      <c r="I1636" t="inlineStr">
        <is>
          <t>Daily/ Weekly Vehicle Inspection</t>
        </is>
      </c>
      <c r="J1636" t="inlineStr">
        <is>
          <t>N/A</t>
        </is>
      </c>
      <c r="K1636" t="inlineStr">
        <is>
          <t>7996 M G Tree Surgery Ltd 1</t>
        </is>
      </c>
      <c r="L1636" t="inlineStr">
        <is>
          <t>29/09/2025 07:30</t>
        </is>
      </c>
      <c r="M1636" t="inlineStr">
        <is>
          <t>None</t>
        </is>
      </c>
      <c r="N1636" t="inlineStr">
        <is>
          <t>&lt;p&gt;&lt;/p&gt;</t>
        </is>
      </c>
      <c r="O1636" t="inlineStr">
        <is>
          <t>Confirm that you have checked this vehicle as per the guidance document and the vehicle is safe and roadworthy:Drivers side wheel trim deteriorating, seems ok for now.
-</t>
        </is>
      </c>
      <c r="P1636" t="inlineStr">
        <is>
          <t>PE07 HGL , Vehicle , Mitsubishi , L200 K74</t>
        </is>
      </c>
      <c r="Q1636" t="inlineStr">
        <is>
          <t>UKPN</t>
        </is>
      </c>
      <c r="R1636" t="b">
        <v>0</v>
      </c>
    </row>
    <row r="1637">
      <c r="A1637" t="inlineStr">
        <is>
          <t>29 Sep 2025 / 3098 D &amp; R Landscapes (PEND Arb Rail) / Utilities / UKPN</t>
        </is>
      </c>
      <c r="B1637" t="inlineStr">
        <is>
          <t>Utilities</t>
        </is>
      </c>
      <c r="C1637" t="inlineStr">
        <is>
          <t>UKPN</t>
        </is>
      </c>
      <c r="D1637" t="inlineStr"/>
      <c r="E1637" t="inlineStr"/>
      <c r="F1637" t="inlineStr"/>
      <c r="G1637" t="inlineStr">
        <is>
          <t>Josh</t>
        </is>
      </c>
      <c r="H1637" t="inlineStr">
        <is>
          <t>4x4</t>
        </is>
      </c>
      <c r="I1637" t="inlineStr">
        <is>
          <t>Daily/ Weekly Vehicle Inspection</t>
        </is>
      </c>
      <c r="J1637" t="inlineStr">
        <is>
          <t>N/A</t>
        </is>
      </c>
      <c r="K1637" t="inlineStr">
        <is>
          <t>3098 D &amp; R Landscapes</t>
        </is>
      </c>
      <c r="L1637" t="inlineStr">
        <is>
          <t>29/09/2025 07:31</t>
        </is>
      </c>
      <c r="M1637" t="inlineStr">
        <is>
          <t>None</t>
        </is>
      </c>
      <c r="N1637" t="inlineStr">
        <is>
          <t>&lt;p&gt;&lt;/p&gt;</t>
        </is>
      </c>
      <c r="O1637" t="inlineStr"/>
      <c r="P1637" t="inlineStr"/>
      <c r="Q1637" t="inlineStr">
        <is>
          <t>UKPN</t>
        </is>
      </c>
      <c r="R1637" t="b">
        <v>0</v>
      </c>
    </row>
    <row r="1638">
      <c r="A1638" t="inlineStr">
        <is>
          <t>29 Sep 2025 / Anthony Gale / Utilities / UKPN</t>
        </is>
      </c>
      <c r="B1638" t="inlineStr">
        <is>
          <t>Utilities</t>
        </is>
      </c>
      <c r="C1638" t="inlineStr">
        <is>
          <t>UKPN</t>
        </is>
      </c>
      <c r="D1638" t="inlineStr">
        <is>
          <t>GU13 WNL , MEWP , Land Rover , Defender 130</t>
        </is>
      </c>
      <c r="E1638" t="inlineStr">
        <is>
          <t>GU13 WNL , MEWP , Land Rover , Defender 130</t>
        </is>
      </c>
      <c r="F1638" t="inlineStr">
        <is>
          <t>GU13 WNL , MEWP , Land Rover , Defender 130</t>
        </is>
      </c>
      <c r="G1638" t="inlineStr">
        <is>
          <t>Anthony Gale</t>
        </is>
      </c>
      <c r="H1638" t="inlineStr">
        <is>
          <t>4x4</t>
        </is>
      </c>
      <c r="I1638" t="inlineStr">
        <is>
          <t>Daily/ Weekly Vehicle Inspection</t>
        </is>
      </c>
      <c r="J1638" t="inlineStr">
        <is>
          <t>N/A</t>
        </is>
      </c>
      <c r="K1638" t="inlineStr">
        <is>
          <t>7996 M G Tree Surgery Ltd 1</t>
        </is>
      </c>
      <c r="L1638" t="inlineStr">
        <is>
          <t>29/09/2025 08:29</t>
        </is>
      </c>
      <c r="M1638" t="inlineStr">
        <is>
          <t>None</t>
        </is>
      </c>
      <c r="N1638" t="inlineStr">
        <is>
          <t>&lt;p&gt;&lt;/p&gt;</t>
        </is>
      </c>
      <c r="O1638" t="inlineStr"/>
      <c r="P1638" t="inlineStr">
        <is>
          <t>GU13 WNL , MEWP , Land Rover , Defender 130</t>
        </is>
      </c>
      <c r="Q1638" t="inlineStr">
        <is>
          <t>UKPN</t>
        </is>
      </c>
      <c r="R1638" t="b">
        <v>0</v>
      </c>
    </row>
    <row r="1639">
      <c r="A1639" t="inlineStr">
        <is>
          <t>29 Sep 2025 / 7996 M G Tree Surgery Ltd / Utilities / UKPN</t>
        </is>
      </c>
      <c r="B1639" t="inlineStr">
        <is>
          <t>Utilities</t>
        </is>
      </c>
      <c r="C1639" t="inlineStr">
        <is>
          <t>UKPN</t>
        </is>
      </c>
      <c r="D1639" t="inlineStr">
        <is>
          <t>Tipper - Ford - Transit 350 - WX68 NLD</t>
        </is>
      </c>
      <c r="E1639" t="inlineStr">
        <is>
          <t>Tipper - Ford - Transit 350 - WX68 NLD</t>
        </is>
      </c>
      <c r="F1639" t="inlineStr">
        <is>
          <t>Tipper - Ford - Transit 350 - WX68 NLD</t>
        </is>
      </c>
      <c r="G1639" t="inlineStr">
        <is>
          <t>Max</t>
        </is>
      </c>
      <c r="H1639" t="inlineStr">
        <is>
          <t>Tipper</t>
        </is>
      </c>
      <c r="I1639" t="inlineStr">
        <is>
          <t>Daily/ Weekly Vehicle Inspection</t>
        </is>
      </c>
      <c r="J1639" t="inlineStr">
        <is>
          <t>N/A</t>
        </is>
      </c>
      <c r="K1639" t="inlineStr">
        <is>
          <t>7996 M G Tree Surgery Ltd</t>
        </is>
      </c>
      <c r="L1639" t="inlineStr">
        <is>
          <t>29/09/2025 08:30</t>
        </is>
      </c>
      <c r="M1639" t="inlineStr">
        <is>
          <t>None</t>
        </is>
      </c>
      <c r="N1639" t="inlineStr">
        <is>
          <t>&lt;p&gt;&lt;/p&gt;</t>
        </is>
      </c>
      <c r="O1639" t="inlineStr"/>
      <c r="P1639" t="inlineStr">
        <is>
          <t>Tipper - Ford - Transit 350 - WX68 NLD</t>
        </is>
      </c>
      <c r="Q1639" t="inlineStr">
        <is>
          <t>UKPN</t>
        </is>
      </c>
      <c r="R1639" t="b">
        <v>0</v>
      </c>
    </row>
    <row r="1640">
      <c r="A1640" t="inlineStr">
        <is>
          <t>29 Sep 2025 / 7951 Austin Tree Care LTD / Utilities / UKPN</t>
        </is>
      </c>
      <c r="B1640" t="inlineStr">
        <is>
          <t>Utilities</t>
        </is>
      </c>
      <c r="C1640" t="inlineStr">
        <is>
          <t>UKPN</t>
        </is>
      </c>
      <c r="D1640" t="inlineStr">
        <is>
          <t>SA9ST6P0001283612 , Tow Chipper , Forst , ST6p</t>
        </is>
      </c>
      <c r="E1640" t="inlineStr">
        <is>
          <t>SA9ST6P0001283612 , Tow Chipper , Forst , ST6p</t>
        </is>
      </c>
      <c r="F1640" t="inlineStr">
        <is>
          <t>SA9ST6P0001283612 , Tow Chipper , Forst , ST6p</t>
        </is>
      </c>
      <c r="G1640" t="inlineStr">
        <is>
          <t xml:space="preserve">Jack Austin </t>
        </is>
      </c>
      <c r="H1640" t="inlineStr">
        <is>
          <t>Towed Chipper</t>
        </is>
      </c>
      <c r="I1640" t="inlineStr">
        <is>
          <t>Daily/ Weekly Vehicle Inspection</t>
        </is>
      </c>
      <c r="J1640" t="inlineStr">
        <is>
          <t>N/A</t>
        </is>
      </c>
      <c r="K1640" t="inlineStr">
        <is>
          <t>7951 Austin Tree Care LTD</t>
        </is>
      </c>
      <c r="L1640" t="inlineStr">
        <is>
          <t>29/09/2025 08:37</t>
        </is>
      </c>
      <c r="M1640" t="inlineStr">
        <is>
          <t>None</t>
        </is>
      </c>
      <c r="N1640" t="inlineStr">
        <is>
          <t>&lt;p&gt;&lt;/p&gt;</t>
        </is>
      </c>
      <c r="O1640" t="inlineStr"/>
      <c r="P1640" t="inlineStr">
        <is>
          <t>SA9ST6P0001283612 , Tow Chipper , Forst , ST6p</t>
        </is>
      </c>
      <c r="Q1640" t="inlineStr">
        <is>
          <t>UKPN</t>
        </is>
      </c>
      <c r="R1640" t="b">
        <v>0</v>
      </c>
    </row>
    <row r="1641">
      <c r="A1641" t="inlineStr">
        <is>
          <t>29 Sep 2025 / 7951 Austin Tree Care LTD / Utilities / UKPN</t>
        </is>
      </c>
      <c r="B1641" t="inlineStr">
        <is>
          <t>Utilities</t>
        </is>
      </c>
      <c r="C1641" t="inlineStr">
        <is>
          <t>UKPN</t>
        </is>
      </c>
      <c r="D1641" t="inlineStr">
        <is>
          <t>WF61 HZV , 4x4 MEWP , Land Rover , Defender</t>
        </is>
      </c>
      <c r="E1641" t="inlineStr">
        <is>
          <t>WF61 HZV , 4x4 MEWP , Land Rover , Defender</t>
        </is>
      </c>
      <c r="F1641" t="inlineStr">
        <is>
          <t>WF61 HZV , 4x4 MEWP , Land Rover , Defender</t>
        </is>
      </c>
      <c r="G1641" t="inlineStr">
        <is>
          <t xml:space="preserve">Jack Austin </t>
        </is>
      </c>
      <c r="H1641" t="inlineStr">
        <is>
          <t>4x4</t>
        </is>
      </c>
      <c r="I1641" t="inlineStr">
        <is>
          <t>Daily/ Weekly Vehicle Inspection</t>
        </is>
      </c>
      <c r="J1641" t="inlineStr">
        <is>
          <t>N/A</t>
        </is>
      </c>
      <c r="K1641" t="inlineStr">
        <is>
          <t>7951 Austin Tree Care LTD</t>
        </is>
      </c>
      <c r="L1641" t="inlineStr">
        <is>
          <t>29/09/2025 08:39</t>
        </is>
      </c>
      <c r="M1641" t="inlineStr">
        <is>
          <t>None</t>
        </is>
      </c>
      <c r="N1641" t="inlineStr">
        <is>
          <t>&lt;p&gt;&lt;/p&gt;</t>
        </is>
      </c>
      <c r="O1641" t="inlineStr"/>
      <c r="P1641" t="inlineStr">
        <is>
          <t>WF61 HZV , 4x4 MEWP , Land Rover , Defender</t>
        </is>
      </c>
      <c r="Q1641" t="inlineStr">
        <is>
          <t>UKPN</t>
        </is>
      </c>
      <c r="R1641" t="b">
        <v>0</v>
      </c>
    </row>
    <row r="1642">
      <c r="A1642" t="inlineStr">
        <is>
          <t>29 Sep 2025 / 7806 Optimum Tree Services Ltd / Utilities / UKPN</t>
        </is>
      </c>
      <c r="B1642" t="inlineStr">
        <is>
          <t>Utilities</t>
        </is>
      </c>
      <c r="C1642" t="inlineStr">
        <is>
          <t>UKPN</t>
        </is>
      </c>
      <c r="D1642" t="inlineStr">
        <is>
          <t>SA9ST800000283069 , Chipper , Forst , ST 6P</t>
        </is>
      </c>
      <c r="E1642" t="inlineStr">
        <is>
          <t>SA9ST800000283069 , Chipper , Forst , ST 6P</t>
        </is>
      </c>
      <c r="F1642" t="inlineStr">
        <is>
          <t>SA9ST800000283069 , Chipper , Forst , ST 6P</t>
        </is>
      </c>
      <c r="G1642" t="inlineStr">
        <is>
          <t xml:space="preserve">Tommy frasle </t>
        </is>
      </c>
      <c r="H1642" t="inlineStr">
        <is>
          <t>Towed Chipper</t>
        </is>
      </c>
      <c r="I1642" t="inlineStr">
        <is>
          <t>Daily/ Weekly Vehicle Inspection</t>
        </is>
      </c>
      <c r="J1642" t="inlineStr">
        <is>
          <t>N/A</t>
        </is>
      </c>
      <c r="K1642" t="inlineStr">
        <is>
          <t>7806 Optimum Tree Services Ltd</t>
        </is>
      </c>
      <c r="L1642" t="inlineStr">
        <is>
          <t>29/09/2025 08:39</t>
        </is>
      </c>
      <c r="M1642" t="inlineStr">
        <is>
          <t>None</t>
        </is>
      </c>
      <c r="N1642" t="inlineStr">
        <is>
          <t>&lt;p&gt;&lt;/p&gt;</t>
        </is>
      </c>
      <c r="O1642" t="inlineStr"/>
      <c r="P1642" t="inlineStr">
        <is>
          <t>SA9ST800000283069 , Chipper , Forst , ST 6P</t>
        </is>
      </c>
      <c r="Q1642" t="inlineStr">
        <is>
          <t>UKPN</t>
        </is>
      </c>
      <c r="R1642" t="b">
        <v>0</v>
      </c>
    </row>
    <row r="1643">
      <c r="A1643" t="inlineStr">
        <is>
          <t>29 Sep 2025 / 7806 Optimum Tree Services Ltd / Utilities / UKPN</t>
        </is>
      </c>
      <c r="B1643" t="inlineStr">
        <is>
          <t>Utilities</t>
        </is>
      </c>
      <c r="C1643" t="inlineStr">
        <is>
          <t>UKPN</t>
        </is>
      </c>
      <c r="D1643" t="inlineStr">
        <is>
          <t>4x4 - Landrover  - Defender  - Wd14evn</t>
        </is>
      </c>
      <c r="E1643" t="inlineStr">
        <is>
          <t>4x4 - Landrover  - Defender  - Wd14evn</t>
        </is>
      </c>
      <c r="F1643" t="inlineStr">
        <is>
          <t>4x4 - Landrover  - Defender  - Wd14evn</t>
        </is>
      </c>
      <c r="G1643" t="inlineStr">
        <is>
          <t xml:space="preserve">Tommy frasle </t>
        </is>
      </c>
      <c r="H1643" t="inlineStr">
        <is>
          <t>4x4</t>
        </is>
      </c>
      <c r="I1643" t="inlineStr">
        <is>
          <t>Daily/ Weekly Vehicle Inspection</t>
        </is>
      </c>
      <c r="J1643" t="inlineStr">
        <is>
          <t>N/A</t>
        </is>
      </c>
      <c r="K1643" t="inlineStr">
        <is>
          <t>7806 Optimum Tree Services Ltd</t>
        </is>
      </c>
      <c r="L1643" t="inlineStr">
        <is>
          <t>29/09/2025 08:40</t>
        </is>
      </c>
      <c r="M1643" t="inlineStr">
        <is>
          <t>None</t>
        </is>
      </c>
      <c r="N1643" t="inlineStr">
        <is>
          <t>&lt;p&gt;&lt;/p&gt;</t>
        </is>
      </c>
      <c r="O1643" t="inlineStr"/>
      <c r="P1643" t="inlineStr">
        <is>
          <t>4x4 - Landrover  - Defender  - Wd14evn</t>
        </is>
      </c>
      <c r="Q1643" t="inlineStr">
        <is>
          <t>UKPN</t>
        </is>
      </c>
      <c r="R1643" t="b">
        <v>0</v>
      </c>
    </row>
    <row r="1644">
      <c r="A1644" t="inlineStr">
        <is>
          <t>29 Sep 2025 / 7806 Optimum Tree Services Ltd / Utilities / UKPN</t>
        </is>
      </c>
      <c r="B1644" t="inlineStr">
        <is>
          <t>Utilities</t>
        </is>
      </c>
      <c r="C1644" t="inlineStr">
        <is>
          <t>UKPN</t>
        </is>
      </c>
      <c r="D1644" t="inlineStr">
        <is>
          <t>SA9ST800000283069 , Chipper , Forst , ST 6P</t>
        </is>
      </c>
      <c r="E1644" t="inlineStr">
        <is>
          <t>SA9ST800000283069 , Chipper , Forst , ST 6P</t>
        </is>
      </c>
      <c r="F1644" t="inlineStr">
        <is>
          <t>SA9ST800000283069 , Chipper , Forst , ST 6P</t>
        </is>
      </c>
      <c r="G1644" t="inlineStr">
        <is>
          <t xml:space="preserve">Abraham Davies </t>
        </is>
      </c>
      <c r="H1644" t="inlineStr">
        <is>
          <t>Towed Chipper</t>
        </is>
      </c>
      <c r="I1644" t="inlineStr">
        <is>
          <t>Daily/ Weekly Vehicle Inspection</t>
        </is>
      </c>
      <c r="J1644" t="inlineStr">
        <is>
          <t>N/A</t>
        </is>
      </c>
      <c r="K1644" t="inlineStr">
        <is>
          <t>7806 Optimum Tree Services Ltd</t>
        </is>
      </c>
      <c r="L1644" t="inlineStr">
        <is>
          <t>29/09/2025 08:41</t>
        </is>
      </c>
      <c r="M1644" t="inlineStr">
        <is>
          <t>None</t>
        </is>
      </c>
      <c r="N1644" t="inlineStr">
        <is>
          <t>&lt;p&gt;&lt;/p&gt;</t>
        </is>
      </c>
      <c r="O1644" t="inlineStr"/>
      <c r="P1644" t="inlineStr">
        <is>
          <t>SA9ST800000283069 , Chipper , Forst , ST 6P</t>
        </is>
      </c>
      <c r="Q1644" t="inlineStr">
        <is>
          <t>UKPN</t>
        </is>
      </c>
      <c r="R1644" t="b">
        <v>0</v>
      </c>
    </row>
    <row r="1645">
      <c r="A1645" t="inlineStr">
        <is>
          <t>29 Sep 2025 / 7806 Optimum Tree Services Ltd / Utilities / UKPN</t>
        </is>
      </c>
      <c r="B1645" t="inlineStr">
        <is>
          <t>Utilities</t>
        </is>
      </c>
      <c r="C1645" t="inlineStr">
        <is>
          <t>UKPN</t>
        </is>
      </c>
      <c r="D1645" t="inlineStr">
        <is>
          <t>WD14EVB , MEWP , Land Rover , Defender</t>
        </is>
      </c>
      <c r="E1645" t="inlineStr">
        <is>
          <t>WD14EVB , MEWP , Land Rover , Defender</t>
        </is>
      </c>
      <c r="F1645" t="inlineStr">
        <is>
          <t>WD14EVB , MEWP , Land Rover , Defender</t>
        </is>
      </c>
      <c r="G1645" t="inlineStr">
        <is>
          <t xml:space="preserve">Abraham Davies </t>
        </is>
      </c>
      <c r="H1645" t="inlineStr">
        <is>
          <t>4x4</t>
        </is>
      </c>
      <c r="I1645" t="inlineStr">
        <is>
          <t>Daily/ Weekly Vehicle Inspection</t>
        </is>
      </c>
      <c r="J1645" t="inlineStr">
        <is>
          <t>N/A</t>
        </is>
      </c>
      <c r="K1645" t="inlineStr">
        <is>
          <t>7806 Optimum Tree Services Ltd</t>
        </is>
      </c>
      <c r="L1645" t="inlineStr">
        <is>
          <t>29/09/2025 08:41</t>
        </is>
      </c>
      <c r="M1645" t="inlineStr">
        <is>
          <t>None</t>
        </is>
      </c>
      <c r="N1645" t="inlineStr">
        <is>
          <t>&lt;p&gt;&lt;/p&gt;</t>
        </is>
      </c>
      <c r="O1645" t="inlineStr"/>
      <c r="P1645" t="inlineStr">
        <is>
          <t>WD14EVB , MEWP , Land Rover , Defender</t>
        </is>
      </c>
      <c r="Q1645" t="inlineStr">
        <is>
          <t>UKPN</t>
        </is>
      </c>
      <c r="R1645" t="b">
        <v>0</v>
      </c>
    </row>
    <row r="1646">
      <c r="A1646" t="inlineStr">
        <is>
          <t>29 Sep 2025 / Mathew Dunn / Utilities / SSE</t>
        </is>
      </c>
      <c r="B1646" t="inlineStr">
        <is>
          <t>Utilities</t>
        </is>
      </c>
      <c r="C1646" t="inlineStr">
        <is>
          <t>SSE</t>
        </is>
      </c>
      <c r="D1646" t="inlineStr"/>
      <c r="E1646" t="inlineStr"/>
      <c r="F1646" t="inlineStr"/>
      <c r="G1646" t="inlineStr"/>
      <c r="H1646" t="inlineStr"/>
      <c r="I1646" t="inlineStr">
        <is>
          <t>Add to Vehicle to the GC Vehicle List</t>
        </is>
      </c>
      <c r="J1646" t="inlineStr">
        <is>
          <t>N/A</t>
        </is>
      </c>
      <c r="K1646" t="inlineStr">
        <is>
          <t>Mathew Dunn</t>
        </is>
      </c>
      <c r="L1646" t="inlineStr">
        <is>
          <t>29/09/2025 09:27</t>
        </is>
      </c>
      <c r="M1646" t="inlineStr">
        <is>
          <t>None</t>
        </is>
      </c>
      <c r="N1646" t="inlineStr">
        <is>
          <t>&lt;p&gt;&lt;/p&gt;</t>
        </is>
      </c>
      <c r="O1646" t="inlineStr"/>
      <c r="P1646" t="inlineStr"/>
      <c r="Q1646" t="inlineStr">
        <is>
          <t>SSE</t>
        </is>
      </c>
      <c r="R1646" t="b">
        <v>0</v>
      </c>
    </row>
    <row r="1647">
      <c r="A1647" t="inlineStr">
        <is>
          <t>29 Sep 2025 / Paul Chubb / Utilities / SSE</t>
        </is>
      </c>
      <c r="B1647" t="inlineStr">
        <is>
          <t>Utilities</t>
        </is>
      </c>
      <c r="C1647" t="inlineStr">
        <is>
          <t>SSE</t>
        </is>
      </c>
      <c r="D1647" t="inlineStr"/>
      <c r="E1647" t="inlineStr"/>
      <c r="F1647" t="inlineStr"/>
      <c r="G1647" t="inlineStr">
        <is>
          <t>Paul chubb</t>
        </is>
      </c>
      <c r="H1647" t="inlineStr">
        <is>
          <t>Van</t>
        </is>
      </c>
      <c r="I1647" t="inlineStr">
        <is>
          <t>Daily/ Weekly Vehicle Inspection</t>
        </is>
      </c>
      <c r="J1647" t="inlineStr">
        <is>
          <t>N/A</t>
        </is>
      </c>
      <c r="K1647" t="inlineStr">
        <is>
          <t>Paul Chubb</t>
        </is>
      </c>
      <c r="L1647" t="inlineStr">
        <is>
          <t>29/09/2025 10:26</t>
        </is>
      </c>
      <c r="M1647" t="inlineStr">
        <is>
          <t>None</t>
        </is>
      </c>
      <c r="N1647" t="inlineStr">
        <is>
          <t>&lt;p&gt;&lt;/p&gt;</t>
        </is>
      </c>
      <c r="O1647" t="inlineStr"/>
      <c r="P1647" t="inlineStr"/>
      <c r="Q1647" t="inlineStr">
        <is>
          <t>SSE</t>
        </is>
      </c>
      <c r="R1647" t="b">
        <v>0</v>
      </c>
    </row>
    <row r="1648">
      <c r="A1648" t="inlineStr">
        <is>
          <t>29 Sep 2025 / Paul Chubb / Utilities / SSE</t>
        </is>
      </c>
      <c r="B1648" t="inlineStr">
        <is>
          <t>Utilities</t>
        </is>
      </c>
      <c r="C1648" t="inlineStr">
        <is>
          <t>SSE</t>
        </is>
      </c>
      <c r="D1648" t="inlineStr"/>
      <c r="E1648" t="inlineStr"/>
      <c r="F1648" t="inlineStr"/>
      <c r="G1648" t="inlineStr"/>
      <c r="H1648" t="inlineStr"/>
      <c r="I1648" t="inlineStr">
        <is>
          <t>Add to Vehicle to the GC Vehicle List</t>
        </is>
      </c>
      <c r="J1648" t="inlineStr">
        <is>
          <t>N/A</t>
        </is>
      </c>
      <c r="K1648" t="inlineStr">
        <is>
          <t>Paul Chubb</t>
        </is>
      </c>
      <c r="L1648" t="inlineStr">
        <is>
          <t>29/09/2025 10:27</t>
        </is>
      </c>
      <c r="M1648" t="inlineStr">
        <is>
          <t>None</t>
        </is>
      </c>
      <c r="N1648" t="inlineStr">
        <is>
          <t>&lt;p&gt;&lt;/p&gt;</t>
        </is>
      </c>
      <c r="O1648" t="inlineStr"/>
      <c r="P1648" t="inlineStr"/>
      <c r="Q1648" t="inlineStr">
        <is>
          <t>SSE</t>
        </is>
      </c>
      <c r="R1648" t="b">
        <v>0</v>
      </c>
    </row>
    <row r="1649">
      <c r="A1649" t="inlineStr">
        <is>
          <t>30 Sep 2025 / 3098 D &amp; R Landscapes (PEND Arb Rail) / Utilities / UKPN</t>
        </is>
      </c>
      <c r="B1649" t="inlineStr">
        <is>
          <t>Utilities</t>
        </is>
      </c>
      <c r="C1649" t="inlineStr">
        <is>
          <t>UKPN</t>
        </is>
      </c>
      <c r="D1649" t="inlineStr"/>
      <c r="E1649" t="inlineStr"/>
      <c r="F1649" t="inlineStr"/>
      <c r="G1649" t="inlineStr">
        <is>
          <t>Josh</t>
        </is>
      </c>
      <c r="H1649" t="inlineStr">
        <is>
          <t>Pickup Truck</t>
        </is>
      </c>
      <c r="I1649" t="inlineStr">
        <is>
          <t>Daily/ Weekly Vehicle Inspection</t>
        </is>
      </c>
      <c r="J1649" t="inlineStr">
        <is>
          <t>N/A</t>
        </is>
      </c>
      <c r="K1649" t="inlineStr">
        <is>
          <t>3098 D &amp; R Landscapes</t>
        </is>
      </c>
      <c r="L1649" t="inlineStr">
        <is>
          <t>30/09/2025 07:24</t>
        </is>
      </c>
      <c r="M1649" t="inlineStr">
        <is>
          <t>None</t>
        </is>
      </c>
      <c r="N1649" t="inlineStr">
        <is>
          <t>&lt;p&gt;&lt;/p&gt;</t>
        </is>
      </c>
      <c r="O1649" t="inlineStr"/>
      <c r="P1649" t="inlineStr"/>
      <c r="Q1649" t="inlineStr">
        <is>
          <t>UKPN</t>
        </is>
      </c>
      <c r="R1649" t="b">
        <v>0</v>
      </c>
    </row>
    <row r="1650">
      <c r="A1650" t="inlineStr">
        <is>
          <t>30 Sep 2025 / 3098 D &amp; R Landscapes (PEND Arb Rail) / Utilities / UKPN</t>
        </is>
      </c>
      <c r="B1650" t="inlineStr">
        <is>
          <t>Utilities</t>
        </is>
      </c>
      <c r="C1650" t="inlineStr">
        <is>
          <t>UKPN</t>
        </is>
      </c>
      <c r="D1650" t="inlineStr">
        <is>
          <t>WA13ZZK , 4x4 , Land Rover  , Defender</t>
        </is>
      </c>
      <c r="E1650" t="inlineStr">
        <is>
          <t>WA13ZZK , 4x4 , Land Rover  , Defender</t>
        </is>
      </c>
      <c r="F1650" t="inlineStr">
        <is>
          <t>WA13ZZK , 4x4 , Land Rover  , Defender</t>
        </is>
      </c>
      <c r="G1650" t="inlineStr">
        <is>
          <t>Jason</t>
        </is>
      </c>
      <c r="H1650" t="inlineStr">
        <is>
          <t>Pickup Truck</t>
        </is>
      </c>
      <c r="I1650" t="inlineStr">
        <is>
          <t>Daily/ Weekly Vehicle Inspection</t>
        </is>
      </c>
      <c r="J1650" t="inlineStr">
        <is>
          <t>N/A</t>
        </is>
      </c>
      <c r="K1650" t="inlineStr">
        <is>
          <t>3098 D &amp; R Landscapes</t>
        </is>
      </c>
      <c r="L1650" t="inlineStr">
        <is>
          <t>30/09/2025 07:25</t>
        </is>
      </c>
      <c r="M1650" t="inlineStr">
        <is>
          <t>None</t>
        </is>
      </c>
      <c r="N1650" t="inlineStr">
        <is>
          <t>&lt;p&gt;&lt;/p&gt;</t>
        </is>
      </c>
      <c r="O1650" t="inlineStr"/>
      <c r="P1650" t="inlineStr">
        <is>
          <t>WA13ZZK , 4x4 , Land Rover  , Defender</t>
        </is>
      </c>
      <c r="Q1650" t="inlineStr">
        <is>
          <t>UKPN</t>
        </is>
      </c>
      <c r="R1650" t="b">
        <v>0</v>
      </c>
    </row>
    <row r="1651">
      <c r="A1651" t="inlineStr">
        <is>
          <t>30 Sep 2025 / 3098 D &amp; R Landscapes (PEND Arb Rail) / Utilities / UKPN</t>
        </is>
      </c>
      <c r="B1651" t="inlineStr">
        <is>
          <t>Utilities</t>
        </is>
      </c>
      <c r="C1651" t="inlineStr">
        <is>
          <t>UKPN</t>
        </is>
      </c>
      <c r="D1651" t="inlineStr">
        <is>
          <t>DE68XHA , Tipper , Isuzu , Grafter</t>
        </is>
      </c>
      <c r="E1651" t="inlineStr">
        <is>
          <t>DE68XHA , Tipper , Isuzu , Grafter</t>
        </is>
      </c>
      <c r="F1651" t="inlineStr">
        <is>
          <t>DE68XHA , Tipper , Isuzu , Grafter</t>
        </is>
      </c>
      <c r="G1651" t="inlineStr">
        <is>
          <t>Jason</t>
        </is>
      </c>
      <c r="H1651" t="inlineStr">
        <is>
          <t>Tipper</t>
        </is>
      </c>
      <c r="I1651" t="inlineStr">
        <is>
          <t>Daily/ Weekly Vehicle Inspection</t>
        </is>
      </c>
      <c r="J1651" t="inlineStr">
        <is>
          <t>N/A</t>
        </is>
      </c>
      <c r="K1651" t="inlineStr">
        <is>
          <t>3098 D &amp; R Landscapes</t>
        </is>
      </c>
      <c r="L1651" t="inlineStr">
        <is>
          <t>30/09/2025 07:26</t>
        </is>
      </c>
      <c r="M1651" t="inlineStr">
        <is>
          <t>None</t>
        </is>
      </c>
      <c r="N1651" t="inlineStr">
        <is>
          <t>&lt;p&gt;&lt;/p&gt;</t>
        </is>
      </c>
      <c r="O1651" t="inlineStr"/>
      <c r="P1651" t="inlineStr">
        <is>
          <t>DE68XHA , Tipper , Isuzu , Grafter</t>
        </is>
      </c>
      <c r="Q1651" t="inlineStr">
        <is>
          <t>UKPN</t>
        </is>
      </c>
      <c r="R1651" t="b">
        <v>0</v>
      </c>
    </row>
    <row r="1652">
      <c r="A1652" t="inlineStr">
        <is>
          <t>30 Sep 2025 / 7889 Tree Tech Suffolk Ltd</t>
        </is>
      </c>
      <c r="B1652" t="inlineStr">
        <is>
          <t>Utilities &amp; Inland Waterways</t>
        </is>
      </c>
      <c r="C1652" t="inlineStr">
        <is>
          <t>UKPN</t>
        </is>
      </c>
      <c r="D1652" t="inlineStr">
        <is>
          <t>Tow Chipper - Jenson - A530L - 55210639484x4 - Isuzu - D-max - NS03 TTSTipper - Mercedes - Sprinter - NS06TTS</t>
        </is>
      </c>
      <c r="E1652" t="inlineStr">
        <is>
          <t>Tow Chipper - Jenson - A530L - 55210639484x4 - Isuzu - D-max - NS03 TTSTipper - Mercedes - Sprinter - NS06TTS</t>
        </is>
      </c>
      <c r="F1652" t="inlineStr">
        <is>
          <t>Tow Chipper - Jenson - A530L - 55210639484x4 - Isuzu - D-max - NS03 TTSTipper - Mercedes - Sprinter - NS06TTS</t>
        </is>
      </c>
      <c r="G1652" t="inlineStr">
        <is>
          <t xml:space="preserve">Danny Appleby Dan brown Danny Appleby </t>
        </is>
      </c>
      <c r="H1652" t="inlineStr">
        <is>
          <t>Towed Chipper4x4Tipper</t>
        </is>
      </c>
      <c r="I1652" t="inlineStr">
        <is>
          <t>Daily/ Weekly Vehicle Inspection</t>
        </is>
      </c>
      <c r="J1652" t="inlineStr">
        <is>
          <t>N/A</t>
        </is>
      </c>
      <c r="K1652" t="inlineStr">
        <is>
          <t>7889 Tree Tech Suffolk Ltd</t>
        </is>
      </c>
      <c r="L1652" t="inlineStr">
        <is>
          <t>30/09/2025 07:27</t>
        </is>
      </c>
      <c r="M1652" t="inlineStr">
        <is>
          <t>None</t>
        </is>
      </c>
      <c r="N1652" t="inlineStr">
        <is>
          <t>&lt;p&gt;&lt;/p&gt;</t>
        </is>
      </c>
      <c r="O1652" t="inlineStr">
        <is>
          <t>Select Vehicle:Using another chipper while ours is being fixed. Has no wheel nut indicatorsSelect Vehicle:KX65 FCZ. Tried adding vehicle but not showing up. Intermittent fault on side lights.Select Vehicle:Crack in windscreen. Address on next MOT if required</t>
        </is>
      </c>
      <c r="P1652" t="inlineStr">
        <is>
          <t>Tow Chipper - Jenson - A530L - 55210639484x4 - Isuzu - D-max - NS03 TTSTipper - Mercedes - Sprinter - NS06TTS</t>
        </is>
      </c>
      <c r="Q1652" t="inlineStr">
        <is>
          <t>UKPN</t>
        </is>
      </c>
      <c r="R1652" t="b">
        <v>0</v>
      </c>
    </row>
    <row r="1653">
      <c r="A1653" t="inlineStr">
        <is>
          <t>30 Sep 2025 / 7186 Eastwoodbury Tree Services Ltd / Utilities / UKPN</t>
        </is>
      </c>
      <c r="B1653" t="inlineStr">
        <is>
          <t>Utilities</t>
        </is>
      </c>
      <c r="C1653" t="inlineStr">
        <is>
          <t>UKPN</t>
        </is>
      </c>
      <c r="D1653" t="inlineStr">
        <is>
          <t>4x4 - Land rover  - Defenders  - WF13 EKM</t>
        </is>
      </c>
      <c r="E1653" t="inlineStr">
        <is>
          <t>4x4 - Land rover  - Defenders  - WF13 EKM</t>
        </is>
      </c>
      <c r="F1653" t="inlineStr">
        <is>
          <t>4x4 - Land rover  - Defenders  - WF13 EKM</t>
        </is>
      </c>
      <c r="G1653" t="inlineStr">
        <is>
          <t xml:space="preserve">Jay Denkmayer </t>
        </is>
      </c>
      <c r="H1653" t="inlineStr">
        <is>
          <t>4x4</t>
        </is>
      </c>
      <c r="I1653" t="inlineStr">
        <is>
          <t>Daily/ Weekly Vehicle Inspection</t>
        </is>
      </c>
      <c r="J1653" t="inlineStr">
        <is>
          <t>N/A</t>
        </is>
      </c>
      <c r="K1653" t="inlineStr">
        <is>
          <t>7186 Eastwoodbury Tree Services Ltd</t>
        </is>
      </c>
      <c r="L1653" t="inlineStr">
        <is>
          <t>30/09/2025 07:28</t>
        </is>
      </c>
      <c r="M1653" t="inlineStr">
        <is>
          <t>None</t>
        </is>
      </c>
      <c r="N1653" t="inlineStr">
        <is>
          <t>&lt;p&gt;&lt;/p&gt;</t>
        </is>
      </c>
      <c r="O1653" t="inlineStr"/>
      <c r="P1653" t="inlineStr">
        <is>
          <t>4x4 - Land rover  - Defenders  - WF13 EKM</t>
        </is>
      </c>
      <c r="Q1653" t="inlineStr">
        <is>
          <t>UKPN</t>
        </is>
      </c>
      <c r="R1653" t="b">
        <v>0</v>
      </c>
    </row>
    <row r="1654">
      <c r="A1654" t="inlineStr">
        <is>
          <t>30 Sep 2025 / 7186 Eastwoodbury Tree Services Ltd / Utilities / UKPN</t>
        </is>
      </c>
      <c r="B1654" t="inlineStr">
        <is>
          <t>Utilities</t>
        </is>
      </c>
      <c r="C1654" t="inlineStr">
        <is>
          <t>UKPN</t>
        </is>
      </c>
      <c r="D1654" t="inlineStr">
        <is>
          <t>AO57BPF , 4x4 , Santana  , Ps10</t>
        </is>
      </c>
      <c r="E1654" t="inlineStr">
        <is>
          <t>AO57BPF , 4x4 , Santana  , Ps10</t>
        </is>
      </c>
      <c r="F1654" t="inlineStr">
        <is>
          <t>AO57BPF , 4x4 , Santana  , Ps10</t>
        </is>
      </c>
      <c r="G1654" t="inlineStr">
        <is>
          <t xml:space="preserve">Tom Price </t>
        </is>
      </c>
      <c r="H1654" t="inlineStr">
        <is>
          <t>4x4</t>
        </is>
      </c>
      <c r="I1654" t="inlineStr">
        <is>
          <t>Daily/ Weekly Vehicle Inspection</t>
        </is>
      </c>
      <c r="J1654" t="inlineStr">
        <is>
          <t>N/A</t>
        </is>
      </c>
      <c r="K1654" t="inlineStr">
        <is>
          <t>7186 Eastwoodbury Tree Services Ltd</t>
        </is>
      </c>
      <c r="L1654" t="inlineStr">
        <is>
          <t>30/09/2025 07:30</t>
        </is>
      </c>
      <c r="M1654" t="inlineStr">
        <is>
          <t>None</t>
        </is>
      </c>
      <c r="N1654" t="inlineStr">
        <is>
          <t>&lt;p&gt;&lt;/p&gt;</t>
        </is>
      </c>
      <c r="O1654" t="inlineStr"/>
      <c r="P1654" t="inlineStr">
        <is>
          <t>AO57BPF , 4x4 , Santana  , Ps10</t>
        </is>
      </c>
      <c r="Q1654" t="inlineStr">
        <is>
          <t>UKPN</t>
        </is>
      </c>
      <c r="R1654" t="b">
        <v>0</v>
      </c>
    </row>
    <row r="1655">
      <c r="A1655" t="inlineStr">
        <is>
          <t>30 Sep 2025 / 7806 Optimum Tree Services Ltd / Utilities / UKPN</t>
        </is>
      </c>
      <c r="B1655" t="inlineStr">
        <is>
          <t>Utilities</t>
        </is>
      </c>
      <c r="C1655" t="inlineStr">
        <is>
          <t>UKPN</t>
        </is>
      </c>
      <c r="D1655" t="inlineStr">
        <is>
          <t>SA9TAPLAF27414263 , Trailer , Tow Mate , Plant Trailer</t>
        </is>
      </c>
      <c r="E1655" t="inlineStr">
        <is>
          <t>SA9TAPLAF27414263 , Trailer , Tow Mate , Plant Trailer</t>
        </is>
      </c>
      <c r="F1655" t="inlineStr">
        <is>
          <t>SA9TAPLAF27414263 , Trailer , Tow Mate , Plant Trailer</t>
        </is>
      </c>
      <c r="G1655" t="inlineStr">
        <is>
          <t xml:space="preserve">Tommy frasle </t>
        </is>
      </c>
      <c r="H1655" t="inlineStr">
        <is>
          <t>Plant Trailer</t>
        </is>
      </c>
      <c r="I1655" t="inlineStr">
        <is>
          <t>Daily/ Weekly Vehicle Inspection</t>
        </is>
      </c>
      <c r="J1655" t="inlineStr">
        <is>
          <t>N/A</t>
        </is>
      </c>
      <c r="K1655" t="inlineStr">
        <is>
          <t>7806 Optimum Tree Services Ltd</t>
        </is>
      </c>
      <c r="L1655" t="inlineStr">
        <is>
          <t>30/09/2025 08:28</t>
        </is>
      </c>
      <c r="M1655" t="inlineStr">
        <is>
          <t>None</t>
        </is>
      </c>
      <c r="N1655" t="inlineStr">
        <is>
          <t>&lt;p&gt;&lt;/p&gt;</t>
        </is>
      </c>
      <c r="O1655" t="inlineStr"/>
      <c r="P1655" t="inlineStr">
        <is>
          <t>SA9TAPLAF27414263 , Trailer , Tow Mate , Plant Trailer</t>
        </is>
      </c>
      <c r="Q1655" t="inlineStr">
        <is>
          <t>UKPN</t>
        </is>
      </c>
      <c r="R1655" t="b">
        <v>0</v>
      </c>
    </row>
    <row r="1656">
      <c r="A1656" t="inlineStr">
        <is>
          <t>30 Sep 2025 / 7806 Optimum Tree Services Ltd / Utilities / UKPN</t>
        </is>
      </c>
      <c r="B1656" t="inlineStr">
        <is>
          <t>Utilities</t>
        </is>
      </c>
      <c r="C1656" t="inlineStr">
        <is>
          <t>UKPN</t>
        </is>
      </c>
      <c r="D1656" t="inlineStr">
        <is>
          <t>SA9ST800000283069 , Chipper , Forst , ST 6P</t>
        </is>
      </c>
      <c r="E1656" t="inlineStr">
        <is>
          <t>SA9ST800000283069 , Chipper , Forst , ST 6P</t>
        </is>
      </c>
      <c r="F1656" t="inlineStr">
        <is>
          <t>SA9ST800000283069 , Chipper , Forst , ST 6P</t>
        </is>
      </c>
      <c r="G1656" t="inlineStr">
        <is>
          <t xml:space="preserve">Abraham Davies </t>
        </is>
      </c>
      <c r="H1656" t="inlineStr">
        <is>
          <t>Towed Chipper</t>
        </is>
      </c>
      <c r="I1656" t="inlineStr">
        <is>
          <t>Daily/ Weekly Vehicle Inspection</t>
        </is>
      </c>
      <c r="J1656" t="inlineStr">
        <is>
          <t>N/A</t>
        </is>
      </c>
      <c r="K1656" t="inlineStr">
        <is>
          <t>7806 Optimum Tree Services Ltd</t>
        </is>
      </c>
      <c r="L1656" t="inlineStr">
        <is>
          <t>30/09/2025 08:31</t>
        </is>
      </c>
      <c r="M1656" t="inlineStr">
        <is>
          <t>None</t>
        </is>
      </c>
      <c r="N1656" t="inlineStr">
        <is>
          <t>&lt;p&gt;&lt;/p&gt;</t>
        </is>
      </c>
      <c r="O1656" t="inlineStr"/>
      <c r="P1656" t="inlineStr">
        <is>
          <t>SA9ST800000283069 , Chipper , Forst , ST 6P</t>
        </is>
      </c>
      <c r="Q1656" t="inlineStr">
        <is>
          <t>UKPN</t>
        </is>
      </c>
      <c r="R1656" t="b">
        <v>0</v>
      </c>
    </row>
    <row r="1657">
      <c r="A1657" t="inlineStr">
        <is>
          <t>30 Sep 2025 / 7806 Optimum Tree Services Ltd / Utilities / UKPN</t>
        </is>
      </c>
      <c r="B1657" t="inlineStr">
        <is>
          <t>Utilities</t>
        </is>
      </c>
      <c r="C1657" t="inlineStr">
        <is>
          <t>UKPN</t>
        </is>
      </c>
      <c r="D1657" t="inlineStr">
        <is>
          <t>4x4 - Landrover  - Defender  - Wd14evn</t>
        </is>
      </c>
      <c r="E1657" t="inlineStr">
        <is>
          <t>4x4 - Landrover  - Defender  - Wd14evn</t>
        </is>
      </c>
      <c r="F1657" t="inlineStr">
        <is>
          <t>4x4 - Landrover  - Defender  - Wd14evn</t>
        </is>
      </c>
      <c r="G1657" t="inlineStr">
        <is>
          <t xml:space="preserve">Tommy frasle </t>
        </is>
      </c>
      <c r="H1657" t="inlineStr">
        <is>
          <t>4x4</t>
        </is>
      </c>
      <c r="I1657" t="inlineStr">
        <is>
          <t>Daily/ Weekly Vehicle Inspection</t>
        </is>
      </c>
      <c r="J1657" t="inlineStr">
        <is>
          <t>N/A</t>
        </is>
      </c>
      <c r="K1657" t="inlineStr">
        <is>
          <t>7806 Optimum Tree Services Ltd</t>
        </is>
      </c>
      <c r="L1657" t="inlineStr">
        <is>
          <t>30/09/2025 08:31</t>
        </is>
      </c>
      <c r="M1657" t="inlineStr">
        <is>
          <t>None</t>
        </is>
      </c>
      <c r="N1657" t="inlineStr">
        <is>
          <t>&lt;p&gt;&lt;/p&gt;</t>
        </is>
      </c>
      <c r="O1657" t="inlineStr"/>
      <c r="P1657" t="inlineStr">
        <is>
          <t>4x4 - Landrover  - Defender  - Wd14evn</t>
        </is>
      </c>
      <c r="Q1657" t="inlineStr">
        <is>
          <t>UKPN</t>
        </is>
      </c>
      <c r="R1657" t="b">
        <v>0</v>
      </c>
    </row>
    <row r="1658">
      <c r="A1658" t="inlineStr">
        <is>
          <t>30 Sep 2025 / 7951 Austin Tree Care LTD / Utilities / UKPN</t>
        </is>
      </c>
      <c r="B1658" t="inlineStr">
        <is>
          <t>Utilities</t>
        </is>
      </c>
      <c r="C1658" t="inlineStr">
        <is>
          <t>UKPN</t>
        </is>
      </c>
      <c r="D1658" t="inlineStr">
        <is>
          <t>SA9ST6P0001283612 , Tow Chipper , Forst , ST6p</t>
        </is>
      </c>
      <c r="E1658" t="inlineStr">
        <is>
          <t>SA9ST6P0001283612 , Tow Chipper , Forst , ST6p</t>
        </is>
      </c>
      <c r="F1658" t="inlineStr">
        <is>
          <t>SA9ST6P0001283612 , Tow Chipper , Forst , ST6p</t>
        </is>
      </c>
      <c r="G1658" t="inlineStr">
        <is>
          <t xml:space="preserve">Jack Austin </t>
        </is>
      </c>
      <c r="H1658" t="inlineStr">
        <is>
          <t>Towed Chipper</t>
        </is>
      </c>
      <c r="I1658" t="inlineStr">
        <is>
          <t>Daily/ Weekly Vehicle Inspection</t>
        </is>
      </c>
      <c r="J1658" t="inlineStr">
        <is>
          <t>N/A</t>
        </is>
      </c>
      <c r="K1658" t="inlineStr">
        <is>
          <t>7951 Austin Tree Care LTD</t>
        </is>
      </c>
      <c r="L1658" t="inlineStr">
        <is>
          <t>30/09/2025 08:32</t>
        </is>
      </c>
      <c r="M1658" t="inlineStr">
        <is>
          <t>None</t>
        </is>
      </c>
      <c r="N1658" t="inlineStr">
        <is>
          <t>&lt;p&gt;&lt;/p&gt;</t>
        </is>
      </c>
      <c r="O1658" t="inlineStr"/>
      <c r="P1658" t="inlineStr">
        <is>
          <t>SA9ST6P0001283612 , Tow Chipper , Forst , ST6p</t>
        </is>
      </c>
      <c r="Q1658" t="inlineStr">
        <is>
          <t>UKPN</t>
        </is>
      </c>
      <c r="R1658" t="b">
        <v>0</v>
      </c>
    </row>
    <row r="1659">
      <c r="A1659" t="inlineStr">
        <is>
          <t>30 Sep 2025 / 7806 Optimum Tree Services Ltd / Utilities / UKPN</t>
        </is>
      </c>
      <c r="B1659" t="inlineStr">
        <is>
          <t>Utilities</t>
        </is>
      </c>
      <c r="C1659" t="inlineStr">
        <is>
          <t>UKPN</t>
        </is>
      </c>
      <c r="D1659" t="inlineStr">
        <is>
          <t>WD14EVB , MEWP , Land Rover , Defender</t>
        </is>
      </c>
      <c r="E1659" t="inlineStr">
        <is>
          <t>WD14EVB , MEWP , Land Rover , Defender</t>
        </is>
      </c>
      <c r="F1659" t="inlineStr">
        <is>
          <t>WD14EVB , MEWP , Land Rover , Defender</t>
        </is>
      </c>
      <c r="G1659" t="inlineStr">
        <is>
          <t xml:space="preserve">Abraham Davies </t>
        </is>
      </c>
      <c r="H1659" t="inlineStr">
        <is>
          <t>4x4</t>
        </is>
      </c>
      <c r="I1659" t="inlineStr">
        <is>
          <t>Daily/ Weekly Vehicle Inspection</t>
        </is>
      </c>
      <c r="J1659" t="inlineStr">
        <is>
          <t>N/A</t>
        </is>
      </c>
      <c r="K1659" t="inlineStr">
        <is>
          <t>7806 Optimum Tree Services Ltd</t>
        </is>
      </c>
      <c r="L1659" t="inlineStr">
        <is>
          <t>30/09/2025 08:33</t>
        </is>
      </c>
      <c r="M1659" t="inlineStr">
        <is>
          <t>None</t>
        </is>
      </c>
      <c r="N1659" t="inlineStr">
        <is>
          <t>&lt;p&gt;&lt;/p&gt;</t>
        </is>
      </c>
      <c r="O1659" t="inlineStr"/>
      <c r="P1659" t="inlineStr">
        <is>
          <t>WD14EVB , MEWP , Land Rover , Defender</t>
        </is>
      </c>
      <c r="Q1659" t="inlineStr">
        <is>
          <t>UKPN</t>
        </is>
      </c>
      <c r="R1659" t="b">
        <v>0</v>
      </c>
    </row>
    <row r="1660">
      <c r="A1660" t="inlineStr">
        <is>
          <t>30 Sep 2025 / Thomas Nandi / Utilities / SSE</t>
        </is>
      </c>
      <c r="B1660" t="inlineStr">
        <is>
          <t>Utilities</t>
        </is>
      </c>
      <c r="C1660" t="inlineStr">
        <is>
          <t>SSE</t>
        </is>
      </c>
      <c r="D1660" t="inlineStr"/>
      <c r="E1660" t="inlineStr"/>
      <c r="F1660" t="inlineStr"/>
      <c r="G1660" t="inlineStr">
        <is>
          <t xml:space="preserve">Tom Nandi </t>
        </is>
      </c>
      <c r="H1660" t="inlineStr">
        <is>
          <t>Car - Petrol</t>
        </is>
      </c>
      <c r="I1660" t="inlineStr">
        <is>
          <t>Daily/ Weekly Vehicle Inspection</t>
        </is>
      </c>
      <c r="J1660" t="inlineStr">
        <is>
          <t>N/A</t>
        </is>
      </c>
      <c r="K1660" t="inlineStr">
        <is>
          <t>Thomas Nandi</t>
        </is>
      </c>
      <c r="L1660" t="inlineStr">
        <is>
          <t>30/09/2025 09:24</t>
        </is>
      </c>
      <c r="M1660" t="inlineStr">
        <is>
          <t>None</t>
        </is>
      </c>
      <c r="N1660" t="inlineStr">
        <is>
          <t>&lt;p&gt;&lt;/p&gt;</t>
        </is>
      </c>
      <c r="O1660" t="inlineStr"/>
      <c r="P1660" t="inlineStr"/>
      <c r="Q1660" t="inlineStr">
        <is>
          <t>SSE</t>
        </is>
      </c>
      <c r="R1660" t="b">
        <v>0</v>
      </c>
    </row>
    <row r="1661">
      <c r="A1661" t="inlineStr">
        <is>
          <t>1 Oct 2025 / Thomas Playford / Utilities / UKPN</t>
        </is>
      </c>
      <c r="B1661" t="inlineStr">
        <is>
          <t>Utilities</t>
        </is>
      </c>
      <c r="C1661" t="inlineStr">
        <is>
          <t>UKPN</t>
        </is>
      </c>
      <c r="D1661" t="inlineStr">
        <is>
          <t>Flat Bed Trailer - IFOR Williams - LM187G3 - SCK80000075030058</t>
        </is>
      </c>
      <c r="E1661" t="inlineStr">
        <is>
          <t>Flat Bed Trailer - IFOR Williams - LM187G3 - SCK80000075030058</t>
        </is>
      </c>
      <c r="F1661" t="inlineStr">
        <is>
          <t>Flat Bed Trailer - IFOR Williams - LM187G3 - SCK80000075030058</t>
        </is>
      </c>
      <c r="G1661" t="inlineStr">
        <is>
          <t>Jacob Oram</t>
        </is>
      </c>
      <c r="H1661" t="inlineStr">
        <is>
          <t>Flat Bed Trailer</t>
        </is>
      </c>
      <c r="I1661" t="inlineStr">
        <is>
          <t>Daily/ Weekly Vehicle Inspection</t>
        </is>
      </c>
      <c r="J1661" t="inlineStr">
        <is>
          <t>N/A</t>
        </is>
      </c>
      <c r="K1661" t="inlineStr">
        <is>
          <t>7995 Contour Landscapes Ltd 2</t>
        </is>
      </c>
      <c r="L1661" t="inlineStr">
        <is>
          <t>01/10/2025 07:24</t>
        </is>
      </c>
      <c r="M1661" t="inlineStr">
        <is>
          <t>None</t>
        </is>
      </c>
      <c r="N1661" t="inlineStr">
        <is>
          <t>&lt;p&gt;&lt;/p&gt;</t>
        </is>
      </c>
      <c r="O1661" t="inlineStr"/>
      <c r="P1661" t="inlineStr">
        <is>
          <t>Flat Bed Trailer - IFOR Williams - LM187G3 - SCK80000075030058</t>
        </is>
      </c>
      <c r="Q1661" t="inlineStr">
        <is>
          <t>UKPN</t>
        </is>
      </c>
      <c r="R1661" t="b">
        <v>0</v>
      </c>
    </row>
    <row r="1662">
      <c r="A1662" t="inlineStr">
        <is>
          <t>1 Oct 2025 / Thomas Playford / Utilities / UKPN</t>
        </is>
      </c>
      <c r="B1662" t="inlineStr">
        <is>
          <t>Utilities</t>
        </is>
      </c>
      <c r="C1662" t="inlineStr">
        <is>
          <t>UKPN</t>
        </is>
      </c>
      <c r="D1662" t="inlineStr">
        <is>
          <t>YP24 WRD , Vehicle , Ford , Ranger</t>
        </is>
      </c>
      <c r="E1662" t="inlineStr">
        <is>
          <t>YP24 WRD , Vehicle , Ford , Ranger</t>
        </is>
      </c>
      <c r="F1662" t="inlineStr">
        <is>
          <t>YP24 WRD , Vehicle , Ford , Ranger</t>
        </is>
      </c>
      <c r="G1662" t="inlineStr">
        <is>
          <t>Jacob Oram</t>
        </is>
      </c>
      <c r="H1662" t="inlineStr">
        <is>
          <t>4x4</t>
        </is>
      </c>
      <c r="I1662" t="inlineStr">
        <is>
          <t>Daily/ Weekly Vehicle Inspection</t>
        </is>
      </c>
      <c r="J1662" t="inlineStr">
        <is>
          <t>N/A</t>
        </is>
      </c>
      <c r="K1662" t="inlineStr">
        <is>
          <t>7995 Contour Landscapes Ltd 2</t>
        </is>
      </c>
      <c r="L1662" t="inlineStr">
        <is>
          <t>01/10/2025 07:25</t>
        </is>
      </c>
      <c r="M1662" t="inlineStr">
        <is>
          <t>None</t>
        </is>
      </c>
      <c r="N1662" t="inlineStr">
        <is>
          <t>&lt;p&gt;&lt;/p&gt;</t>
        </is>
      </c>
      <c r="O1662" t="inlineStr"/>
      <c r="P1662" t="inlineStr">
        <is>
          <t>YP24 WRD , Vehicle , Ford , Ranger</t>
        </is>
      </c>
      <c r="Q1662" t="inlineStr">
        <is>
          <t>UKPN</t>
        </is>
      </c>
      <c r="R1662" t="b">
        <v>0</v>
      </c>
    </row>
    <row r="1663">
      <c r="A1663" t="inlineStr">
        <is>
          <t>1 Oct 2025 / 7996 M G Tree Surgery Ltd / Utilities / UKPN</t>
        </is>
      </c>
      <c r="B1663" t="inlineStr">
        <is>
          <t>Utilities</t>
        </is>
      </c>
      <c r="C1663" t="inlineStr">
        <is>
          <t>UKPN</t>
        </is>
      </c>
      <c r="D1663" t="inlineStr">
        <is>
          <t>GU13 WNL , MEWP , Land Rover , Defender 130</t>
        </is>
      </c>
      <c r="E1663" t="inlineStr">
        <is>
          <t>GU13 WNL , MEWP , Land Rover , Defender 130</t>
        </is>
      </c>
      <c r="F1663" t="inlineStr">
        <is>
          <t>GU13 WNL , MEWP , Land Rover , Defender 130</t>
        </is>
      </c>
      <c r="G1663" t="inlineStr">
        <is>
          <t>Max</t>
        </is>
      </c>
      <c r="H1663" t="inlineStr">
        <is>
          <t>4x4</t>
        </is>
      </c>
      <c r="I1663" t="inlineStr">
        <is>
          <t>Daily/ Weekly Vehicle Inspection</t>
        </is>
      </c>
      <c r="J1663" t="inlineStr">
        <is>
          <t>N/A</t>
        </is>
      </c>
      <c r="K1663" t="inlineStr">
        <is>
          <t>7996 M G Tree Surgery Ltd</t>
        </is>
      </c>
      <c r="L1663" t="inlineStr">
        <is>
          <t>01/10/2025 08:24</t>
        </is>
      </c>
      <c r="M1663" t="inlineStr">
        <is>
          <t>None</t>
        </is>
      </c>
      <c r="N1663" t="inlineStr">
        <is>
          <t>&lt;p&gt;&lt;/p&gt;</t>
        </is>
      </c>
      <c r="O1663" t="inlineStr"/>
      <c r="P1663" t="inlineStr">
        <is>
          <t>GU13 WNL , MEWP , Land Rover , Defender 130</t>
        </is>
      </c>
      <c r="Q1663" t="inlineStr">
        <is>
          <t>UKPN</t>
        </is>
      </c>
      <c r="R1663" t="b">
        <v>0</v>
      </c>
    </row>
    <row r="1664">
      <c r="A1664" t="inlineStr">
        <is>
          <t>1 Oct 2025 / Anthony Gale / Utilities / UKPN</t>
        </is>
      </c>
      <c r="B1664" t="inlineStr">
        <is>
          <t>Utilities</t>
        </is>
      </c>
      <c r="C1664" t="inlineStr">
        <is>
          <t>UKPN</t>
        </is>
      </c>
      <c r="D1664" t="inlineStr">
        <is>
          <t>PE07 HGL , Vehicle , Mitsubishi , L200 K74</t>
        </is>
      </c>
      <c r="E1664" t="inlineStr">
        <is>
          <t>PE07 HGL , Vehicle , Mitsubishi , L200 K74</t>
        </is>
      </c>
      <c r="F1664" t="inlineStr">
        <is>
          <t>PE07 HGL , Vehicle , Mitsubishi , L200 K74</t>
        </is>
      </c>
      <c r="G1664" t="inlineStr">
        <is>
          <t>Anthony Gale</t>
        </is>
      </c>
      <c r="H1664" t="inlineStr">
        <is>
          <t>Pickup Truck</t>
        </is>
      </c>
      <c r="I1664" t="inlineStr">
        <is>
          <t>Daily/ Weekly Vehicle Inspection</t>
        </is>
      </c>
      <c r="J1664" t="inlineStr">
        <is>
          <t>N/A</t>
        </is>
      </c>
      <c r="K1664" t="inlineStr">
        <is>
          <t>7996 M G Tree Surgery Ltd 1</t>
        </is>
      </c>
      <c r="L1664" t="inlineStr">
        <is>
          <t>01/10/2025 08:29</t>
        </is>
      </c>
      <c r="M1664" t="inlineStr">
        <is>
          <t>None</t>
        </is>
      </c>
      <c r="N1664" t="inlineStr">
        <is>
          <t>&lt;p&gt;&lt;/p&gt;</t>
        </is>
      </c>
      <c r="O1664" t="inlineStr">
        <is>
          <t>Confirm that you have checked this vehicle as per the guidance document and the vehicle is safe and roadworthy:Drivers side wheel trim deteriorating, safe for now.
Monitor.
-</t>
        </is>
      </c>
      <c r="P1664" t="inlineStr">
        <is>
          <t>PE07 HGL , Vehicle , Mitsubishi , L200 K74</t>
        </is>
      </c>
      <c r="Q1664" t="inlineStr">
        <is>
          <t>UKPN</t>
        </is>
      </c>
      <c r="R1664" t="b">
        <v>0</v>
      </c>
    </row>
    <row r="1665">
      <c r="A1665" t="inlineStr">
        <is>
          <t>1 Oct 2025 / 7951 Austin Tree Care LTD 1 / Utilities / UKPN</t>
        </is>
      </c>
      <c r="B1665" t="inlineStr">
        <is>
          <t>Utilities</t>
        </is>
      </c>
      <c r="C1665" t="inlineStr">
        <is>
          <t>UKPN</t>
        </is>
      </c>
      <c r="D1665" t="inlineStr">
        <is>
          <t>WF61 HZV , 4x4 MEWP , Land Rover , Defender</t>
        </is>
      </c>
      <c r="E1665" t="inlineStr">
        <is>
          <t>WF61 HZV , 4x4 MEWP , Land Rover , Defender</t>
        </is>
      </c>
      <c r="F1665" t="inlineStr">
        <is>
          <t>WF61 HZV , 4x4 MEWP , Land Rover , Defender</t>
        </is>
      </c>
      <c r="G1665" t="inlineStr">
        <is>
          <t xml:space="preserve">James Tasker </t>
        </is>
      </c>
      <c r="H1665" t="inlineStr">
        <is>
          <t>4x4</t>
        </is>
      </c>
      <c r="I1665" t="inlineStr">
        <is>
          <t>Daily/ Weekly Vehicle Inspection</t>
        </is>
      </c>
      <c r="J1665" t="inlineStr">
        <is>
          <t>N/A</t>
        </is>
      </c>
      <c r="K1665" t="inlineStr">
        <is>
          <t>7951 Austin Tree Care LTD 1</t>
        </is>
      </c>
      <c r="L1665" t="inlineStr">
        <is>
          <t>01/10/2025 08:30</t>
        </is>
      </c>
      <c r="M1665" t="inlineStr">
        <is>
          <t>None</t>
        </is>
      </c>
      <c r="N1665" t="inlineStr">
        <is>
          <t>&lt;p&gt;&lt;/p&gt;</t>
        </is>
      </c>
      <c r="O1665" t="inlineStr"/>
      <c r="P1665" t="inlineStr">
        <is>
          <t>WF61 HZV , 4x4 MEWP , Land Rover , Defender</t>
        </is>
      </c>
      <c r="Q1665" t="inlineStr">
        <is>
          <t>UKPN</t>
        </is>
      </c>
      <c r="R1665" t="b">
        <v>0</v>
      </c>
    </row>
    <row r="1666">
      <c r="A1666" t="inlineStr">
        <is>
          <t>1 Oct 2025 / 7951 Austin Tree Care LTD / Utilities / UKPN</t>
        </is>
      </c>
      <c r="B1666" t="inlineStr">
        <is>
          <t>Utilities</t>
        </is>
      </c>
      <c r="C1666" t="inlineStr">
        <is>
          <t>UKPN</t>
        </is>
      </c>
      <c r="D1666" t="inlineStr">
        <is>
          <t>SA9ST6P0001283612 , Tow Chipper , Forst , ST6p</t>
        </is>
      </c>
      <c r="E1666" t="inlineStr">
        <is>
          <t>SA9ST6P0001283612 , Tow Chipper , Forst , ST6p</t>
        </is>
      </c>
      <c r="F1666" t="inlineStr">
        <is>
          <t>SA9ST6P0001283612 , Tow Chipper , Forst , ST6p</t>
        </is>
      </c>
      <c r="G1666" t="inlineStr">
        <is>
          <t xml:space="preserve">Jack Austin </t>
        </is>
      </c>
      <c r="H1666" t="inlineStr">
        <is>
          <t>Towed Chipper</t>
        </is>
      </c>
      <c r="I1666" t="inlineStr">
        <is>
          <t>Daily/ Weekly Vehicle Inspection</t>
        </is>
      </c>
      <c r="J1666" t="inlineStr">
        <is>
          <t>N/A</t>
        </is>
      </c>
      <c r="K1666" t="inlineStr">
        <is>
          <t>7951 Austin Tree Care LTD</t>
        </is>
      </c>
      <c r="L1666" t="inlineStr">
        <is>
          <t>01/10/2025 08:31</t>
        </is>
      </c>
      <c r="M1666" t="inlineStr">
        <is>
          <t>None</t>
        </is>
      </c>
      <c r="N1666" t="inlineStr">
        <is>
          <t>&lt;p&gt;&lt;/p&gt;</t>
        </is>
      </c>
      <c r="O1666" t="inlineStr"/>
      <c r="P1666" t="inlineStr">
        <is>
          <t>SA9ST6P0001283612 , Tow Chipper , Forst , ST6p</t>
        </is>
      </c>
      <c r="Q1666" t="inlineStr">
        <is>
          <t>UKPN</t>
        </is>
      </c>
      <c r="R1666" t="b">
        <v>0</v>
      </c>
    </row>
    <row r="1667">
      <c r="A1667" t="inlineStr">
        <is>
          <t>1 Oct 2025 / 7951 Austin Tree Care LTD / Utilities / UKPN</t>
        </is>
      </c>
      <c r="B1667" t="inlineStr">
        <is>
          <t>Utilities</t>
        </is>
      </c>
      <c r="C1667" t="inlineStr">
        <is>
          <t>UKPN</t>
        </is>
      </c>
      <c r="D1667" t="inlineStr">
        <is>
          <t>Kn58xuy , Tipper , VW  , Crafter</t>
        </is>
      </c>
      <c r="E1667" t="inlineStr">
        <is>
          <t>Kn58xuy , Tipper , VW  , Crafter</t>
        </is>
      </c>
      <c r="F1667" t="inlineStr">
        <is>
          <t>Kn58xuy , Tipper , VW  , Crafter</t>
        </is>
      </c>
      <c r="G1667" t="inlineStr">
        <is>
          <t xml:space="preserve">Jack Austin </t>
        </is>
      </c>
      <c r="H1667" t="inlineStr">
        <is>
          <t>Tipper</t>
        </is>
      </c>
      <c r="I1667" t="inlineStr">
        <is>
          <t>Daily/ Weekly Vehicle Inspection</t>
        </is>
      </c>
      <c r="J1667" t="inlineStr">
        <is>
          <t>N/A</t>
        </is>
      </c>
      <c r="K1667" t="inlineStr">
        <is>
          <t>7951 Austin Tree Care LTD</t>
        </is>
      </c>
      <c r="L1667" t="inlineStr">
        <is>
          <t>01/10/2025 08:32</t>
        </is>
      </c>
      <c r="M1667" t="inlineStr">
        <is>
          <t>None</t>
        </is>
      </c>
      <c r="N1667" t="inlineStr">
        <is>
          <t>&lt;p&gt;&lt;/p&gt;</t>
        </is>
      </c>
      <c r="O1667" t="inlineStr"/>
      <c r="P1667" t="inlineStr">
        <is>
          <t>Kn58xuy , Tipper , VW  , Crafter</t>
        </is>
      </c>
      <c r="Q1667" t="inlineStr">
        <is>
          <t>UKPN</t>
        </is>
      </c>
      <c r="R1667" t="b">
        <v>0</v>
      </c>
    </row>
    <row r="1668">
      <c r="A1668" t="inlineStr">
        <is>
          <t>1 Oct 2025 / Jonathan Wisbey / Utilities / UKPN</t>
        </is>
      </c>
      <c r="B1668" t="inlineStr">
        <is>
          <t>Utilities</t>
        </is>
      </c>
      <c r="C1668" t="inlineStr">
        <is>
          <t>UKPN</t>
        </is>
      </c>
      <c r="D1668" t="inlineStr"/>
      <c r="E1668" t="inlineStr"/>
      <c r="F1668" t="inlineStr"/>
      <c r="G1668" t="inlineStr">
        <is>
          <t xml:space="preserve">Jonathan Wisbey </t>
        </is>
      </c>
      <c r="H1668" t="inlineStr">
        <is>
          <t>Car - Petrol</t>
        </is>
      </c>
      <c r="I1668" t="inlineStr">
        <is>
          <t>Monthly Vehicle Inspection</t>
        </is>
      </c>
      <c r="J1668" t="inlineStr">
        <is>
          <t>10323</t>
        </is>
      </c>
      <c r="K1668" t="inlineStr">
        <is>
          <t>Jonathan Wisbey</t>
        </is>
      </c>
      <c r="L1668" t="inlineStr">
        <is>
          <t>01/10/2025 10:25</t>
        </is>
      </c>
      <c r="M1668" t="inlineStr">
        <is>
          <t>None</t>
        </is>
      </c>
      <c r="N1668" t="inlineStr">
        <is>
          <t>&lt;p&gt;&lt;/p&gt;</t>
        </is>
      </c>
      <c r="O1668" t="inlineStr"/>
      <c r="P1668" t="inlineStr"/>
      <c r="Q1668" t="inlineStr">
        <is>
          <t>UKPN</t>
        </is>
      </c>
      <c r="R1668" t="b">
        <v>0</v>
      </c>
    </row>
    <row r="1669">
      <c r="A1669" t="inlineStr">
        <is>
          <t>2 Oct 2025 / 7996 M G Tree Surgery Ltd / Utilities / UKPN</t>
        </is>
      </c>
      <c r="B1669" t="inlineStr">
        <is>
          <t>Utilities</t>
        </is>
      </c>
      <c r="C1669" t="inlineStr">
        <is>
          <t>UKPN</t>
        </is>
      </c>
      <c r="D1669" t="inlineStr">
        <is>
          <t>GU13 WNL , MEWP , Land Rover , Defender 130</t>
        </is>
      </c>
      <c r="E1669" t="inlineStr">
        <is>
          <t>GU13 WNL , MEWP , Land Rover , Defender 130</t>
        </is>
      </c>
      <c r="F1669" t="inlineStr">
        <is>
          <t>GU13 WNL , MEWP , Land Rover , Defender 130</t>
        </is>
      </c>
      <c r="G1669" t="inlineStr">
        <is>
          <t xml:space="preserve">Max </t>
        </is>
      </c>
      <c r="H1669" t="inlineStr">
        <is>
          <t>4x4</t>
        </is>
      </c>
      <c r="I1669" t="inlineStr">
        <is>
          <t>Daily/ Weekly Vehicle Inspection</t>
        </is>
      </c>
      <c r="J1669" t="inlineStr">
        <is>
          <t>N/A</t>
        </is>
      </c>
      <c r="K1669" t="inlineStr">
        <is>
          <t>7996 M G Tree Surgery Ltd</t>
        </is>
      </c>
      <c r="L1669" t="inlineStr">
        <is>
          <t>02/10/2025 08:28</t>
        </is>
      </c>
      <c r="M1669" t="inlineStr">
        <is>
          <t>None</t>
        </is>
      </c>
      <c r="N1669" t="inlineStr">
        <is>
          <t>&lt;p&gt;&lt;/p&gt;</t>
        </is>
      </c>
      <c r="O1669" t="inlineStr"/>
      <c r="P1669" t="inlineStr">
        <is>
          <t>GU13 WNL , MEWP , Land Rover , Defender 130</t>
        </is>
      </c>
      <c r="Q1669" t="inlineStr">
        <is>
          <t>UKPN</t>
        </is>
      </c>
      <c r="R1669" t="b">
        <v>0</v>
      </c>
    </row>
    <row r="1670">
      <c r="A1670" t="inlineStr">
        <is>
          <t>2 Oct 2025 / 7186 Eastwoodbury Tree Services Ltd / Utilities / UKPN</t>
        </is>
      </c>
      <c r="B1670" t="inlineStr">
        <is>
          <t>Utilities</t>
        </is>
      </c>
      <c r="C1670" t="inlineStr">
        <is>
          <t>UKPN</t>
        </is>
      </c>
      <c r="D1670" t="inlineStr">
        <is>
          <t>FN600XM , 4x4 , Land Rover  , Defender</t>
        </is>
      </c>
      <c r="E1670" t="inlineStr">
        <is>
          <t>FN600XM , 4x4 , Land Rover  , Defender</t>
        </is>
      </c>
      <c r="F1670" t="inlineStr">
        <is>
          <t>FN600XM , 4x4 , Land Rover  , Defender</t>
        </is>
      </c>
      <c r="G1670" t="inlineStr">
        <is>
          <t xml:space="preserve">Jay Denkmayer </t>
        </is>
      </c>
      <c r="H1670" t="inlineStr">
        <is>
          <t>4x4</t>
        </is>
      </c>
      <c r="I1670" t="inlineStr">
        <is>
          <t>Daily/ Weekly Vehicle Inspection</t>
        </is>
      </c>
      <c r="J1670" t="inlineStr">
        <is>
          <t>N/A</t>
        </is>
      </c>
      <c r="K1670" t="inlineStr">
        <is>
          <t>7186 Eastwoodbury Tree Services Ltd</t>
        </is>
      </c>
      <c r="L1670" t="inlineStr">
        <is>
          <t>02/10/2025 08:29</t>
        </is>
      </c>
      <c r="M1670" t="inlineStr">
        <is>
          <t>None</t>
        </is>
      </c>
      <c r="N1670" t="inlineStr">
        <is>
          <t>&lt;p&gt;&lt;/p&gt;</t>
        </is>
      </c>
      <c r="O1670" t="inlineStr"/>
      <c r="P1670" t="inlineStr">
        <is>
          <t>FN600XM , 4x4 , Land Rover  , Defender</t>
        </is>
      </c>
      <c r="Q1670" t="inlineStr">
        <is>
          <t>UKPN</t>
        </is>
      </c>
      <c r="R1670" t="b">
        <v>0</v>
      </c>
    </row>
    <row r="1671">
      <c r="A1671" t="inlineStr">
        <is>
          <t>2 Oct 2025 / 7806 Optimum Tree Services Ltd / Utilities / UKPN</t>
        </is>
      </c>
      <c r="B1671" t="inlineStr">
        <is>
          <t>Utilities</t>
        </is>
      </c>
      <c r="C1671" t="inlineStr">
        <is>
          <t>UKPN</t>
        </is>
      </c>
      <c r="D1671" t="inlineStr">
        <is>
          <t>SA9ST800000283069 , Chipper , Forst , ST 6P</t>
        </is>
      </c>
      <c r="E1671" t="inlineStr">
        <is>
          <t>SA9ST800000283069 , Chipper , Forst , ST 6P</t>
        </is>
      </c>
      <c r="F1671" t="inlineStr">
        <is>
          <t>SA9ST800000283069 , Chipper , Forst , ST 6P</t>
        </is>
      </c>
      <c r="G1671" t="inlineStr">
        <is>
          <t xml:space="preserve">Abraham Davies </t>
        </is>
      </c>
      <c r="H1671" t="inlineStr">
        <is>
          <t>Towed Chipper</t>
        </is>
      </c>
      <c r="I1671" t="inlineStr">
        <is>
          <t>Daily/ Weekly Vehicle Inspection</t>
        </is>
      </c>
      <c r="J1671" t="inlineStr">
        <is>
          <t>N/A</t>
        </is>
      </c>
      <c r="K1671" t="inlineStr">
        <is>
          <t>7806 Optimum Tree Services Ltd</t>
        </is>
      </c>
      <c r="L1671" t="inlineStr">
        <is>
          <t>02/10/2025 08:29</t>
        </is>
      </c>
      <c r="M1671" t="inlineStr">
        <is>
          <t>None</t>
        </is>
      </c>
      <c r="N1671" t="inlineStr">
        <is>
          <t>&lt;p&gt;&lt;/p&gt;</t>
        </is>
      </c>
      <c r="O1671" t="inlineStr"/>
      <c r="P1671" t="inlineStr">
        <is>
          <t>SA9ST800000283069 , Chipper , Forst , ST 6P</t>
        </is>
      </c>
      <c r="Q1671" t="inlineStr">
        <is>
          <t>UKPN</t>
        </is>
      </c>
      <c r="R1671" t="b">
        <v>0</v>
      </c>
    </row>
    <row r="1672">
      <c r="A1672" t="inlineStr">
        <is>
          <t>2 Oct 2025 / 7806 Optimum Tree Services Ltd / Utilities / UKPN</t>
        </is>
      </c>
      <c r="B1672" t="inlineStr">
        <is>
          <t>Utilities</t>
        </is>
      </c>
      <c r="C1672" t="inlineStr">
        <is>
          <t>UKPN</t>
        </is>
      </c>
      <c r="D1672" t="inlineStr">
        <is>
          <t>WD14EVB , MEWP , Land Rover , Defender</t>
        </is>
      </c>
      <c r="E1672" t="inlineStr">
        <is>
          <t>WD14EVB , MEWP , Land Rover , Defender</t>
        </is>
      </c>
      <c r="F1672" t="inlineStr">
        <is>
          <t>WD14EVB , MEWP , Land Rover , Defender</t>
        </is>
      </c>
      <c r="G1672" t="inlineStr">
        <is>
          <t xml:space="preserve">Abraham Davies </t>
        </is>
      </c>
      <c r="H1672" t="inlineStr">
        <is>
          <t>4x4</t>
        </is>
      </c>
      <c r="I1672" t="inlineStr">
        <is>
          <t>Daily/ Weekly Vehicle Inspection</t>
        </is>
      </c>
      <c r="J1672" t="inlineStr">
        <is>
          <t>N/A</t>
        </is>
      </c>
      <c r="K1672" t="inlineStr">
        <is>
          <t>7806 Optimum Tree Services Ltd</t>
        </is>
      </c>
      <c r="L1672" t="inlineStr">
        <is>
          <t>02/10/2025 08:30</t>
        </is>
      </c>
      <c r="M1672" t="inlineStr">
        <is>
          <t>None</t>
        </is>
      </c>
      <c r="N1672" t="inlineStr">
        <is>
          <t>&lt;p&gt;&lt;/p&gt;</t>
        </is>
      </c>
      <c r="O1672" t="inlineStr"/>
      <c r="P1672" t="inlineStr">
        <is>
          <t>WD14EVB , MEWP , Land Rover , Defender</t>
        </is>
      </c>
      <c r="Q1672" t="inlineStr">
        <is>
          <t>UKPN</t>
        </is>
      </c>
      <c r="R1672" t="b">
        <v>0</v>
      </c>
    </row>
    <row r="1673">
      <c r="A1673" t="inlineStr">
        <is>
          <t>2 Oct 2025 / 7951 Austin Tree Care LTD / Utilities / UKPN</t>
        </is>
      </c>
      <c r="B1673" t="inlineStr">
        <is>
          <t>Utilities</t>
        </is>
      </c>
      <c r="C1673" t="inlineStr">
        <is>
          <t>UKPN</t>
        </is>
      </c>
      <c r="D1673" t="inlineStr">
        <is>
          <t>SA9ST6P0001283612 , Tow Chipper , Forst , ST6p</t>
        </is>
      </c>
      <c r="E1673" t="inlineStr">
        <is>
          <t>SA9ST6P0001283612 , Tow Chipper , Forst , ST6p</t>
        </is>
      </c>
      <c r="F1673" t="inlineStr">
        <is>
          <t>SA9ST6P0001283612 , Tow Chipper , Forst , ST6p</t>
        </is>
      </c>
      <c r="G1673" t="inlineStr">
        <is>
          <t xml:space="preserve">Jack Austin </t>
        </is>
      </c>
      <c r="H1673" t="inlineStr">
        <is>
          <t>Towed Chipper</t>
        </is>
      </c>
      <c r="I1673" t="inlineStr">
        <is>
          <t>Daily/ Weekly Vehicle Inspection</t>
        </is>
      </c>
      <c r="J1673" t="inlineStr">
        <is>
          <t>N/A</t>
        </is>
      </c>
      <c r="K1673" t="inlineStr">
        <is>
          <t>7951 Austin Tree Care LTD</t>
        </is>
      </c>
      <c r="L1673" t="inlineStr">
        <is>
          <t>02/10/2025 10:24</t>
        </is>
      </c>
      <c r="M1673" t="inlineStr">
        <is>
          <t>None</t>
        </is>
      </c>
      <c r="N1673" t="inlineStr">
        <is>
          <t>&lt;p&gt;&lt;/p&gt;</t>
        </is>
      </c>
      <c r="O1673" t="inlineStr"/>
      <c r="P1673" t="inlineStr">
        <is>
          <t>SA9ST6P0001283612 , Tow Chipper , Forst , ST6p</t>
        </is>
      </c>
      <c r="Q1673" t="inlineStr">
        <is>
          <t>UKPN</t>
        </is>
      </c>
      <c r="R1673" t="b">
        <v>0</v>
      </c>
    </row>
    <row r="1674">
      <c r="A1674" t="inlineStr">
        <is>
          <t>2 Oct 2025 / 7951 Austin Tree Care LTD / Utilities / UKPN</t>
        </is>
      </c>
      <c r="B1674" t="inlineStr">
        <is>
          <t>Utilities</t>
        </is>
      </c>
      <c r="C1674" t="inlineStr">
        <is>
          <t>UKPN</t>
        </is>
      </c>
      <c r="D1674" t="inlineStr">
        <is>
          <t>WF61 HZV , 4x4 MEWP , Land Rover , Defender</t>
        </is>
      </c>
      <c r="E1674" t="inlineStr">
        <is>
          <t>WF61 HZV , 4x4 MEWP , Land Rover , Defender</t>
        </is>
      </c>
      <c r="F1674" t="inlineStr">
        <is>
          <t>WF61 HZV , 4x4 MEWP , Land Rover , Defender</t>
        </is>
      </c>
      <c r="G1674" t="inlineStr">
        <is>
          <t xml:space="preserve">Jack Austin </t>
        </is>
      </c>
      <c r="H1674" t="inlineStr">
        <is>
          <t>4x4</t>
        </is>
      </c>
      <c r="I1674" t="inlineStr">
        <is>
          <t>Daily/ Weekly Vehicle Inspection</t>
        </is>
      </c>
      <c r="J1674" t="inlineStr">
        <is>
          <t>N/A</t>
        </is>
      </c>
      <c r="K1674" t="inlineStr">
        <is>
          <t>7951 Austin Tree Care LTD</t>
        </is>
      </c>
      <c r="L1674" t="inlineStr">
        <is>
          <t>02/10/2025 10:25</t>
        </is>
      </c>
      <c r="M1674" t="inlineStr">
        <is>
          <t>None</t>
        </is>
      </c>
      <c r="N1674" t="inlineStr">
        <is>
          <t>&lt;p&gt;&lt;/p&gt;</t>
        </is>
      </c>
      <c r="O1674" t="inlineStr"/>
      <c r="P1674" t="inlineStr">
        <is>
          <t>WF61 HZV , 4x4 MEWP , Land Rover , Defender</t>
        </is>
      </c>
      <c r="Q1674" t="inlineStr">
        <is>
          <t>UKPN</t>
        </is>
      </c>
      <c r="R1674" t="b">
        <v>0</v>
      </c>
    </row>
    <row r="1675">
      <c r="A1675" t="inlineStr">
        <is>
          <t>2 Oct 2025 / 3098 D &amp; R Landscapes (PEND Arb Rail) / Utilities / UKPN</t>
        </is>
      </c>
      <c r="B1675" t="inlineStr">
        <is>
          <t>Utilities</t>
        </is>
      </c>
      <c r="C1675" t="inlineStr">
        <is>
          <t>UKPN</t>
        </is>
      </c>
      <c r="D1675" t="inlineStr">
        <is>
          <t>Vehicle - Nissan - Navara - BT20 GNZ</t>
        </is>
      </c>
      <c r="E1675" t="inlineStr">
        <is>
          <t>Vehicle - Nissan - Navara - BT20 GNZ</t>
        </is>
      </c>
      <c r="F1675" t="inlineStr">
        <is>
          <t>Vehicle - Nissan - Navara - BT20 GNZ</t>
        </is>
      </c>
      <c r="G1675" t="inlineStr">
        <is>
          <t>Jason</t>
        </is>
      </c>
      <c r="H1675" t="inlineStr">
        <is>
          <t>Pickup Truck</t>
        </is>
      </c>
      <c r="I1675" t="inlineStr">
        <is>
          <t>Daily/ Weekly Vehicle Inspection</t>
        </is>
      </c>
      <c r="J1675" t="inlineStr">
        <is>
          <t>N/A</t>
        </is>
      </c>
      <c r="K1675" t="inlineStr">
        <is>
          <t>3098 D &amp; R Landscapes</t>
        </is>
      </c>
      <c r="L1675" t="inlineStr">
        <is>
          <t>02/10/2025 10:57</t>
        </is>
      </c>
      <c r="M1675" t="inlineStr">
        <is>
          <t>None</t>
        </is>
      </c>
      <c r="N1675" t="inlineStr">
        <is>
          <t>&lt;p&gt;&lt;/p&gt;</t>
        </is>
      </c>
      <c r="O1675" t="inlineStr"/>
      <c r="P1675" t="inlineStr">
        <is>
          <t>Vehicle - Nissan - Navara - BT20 GNZ</t>
        </is>
      </c>
      <c r="Q1675" t="inlineStr">
        <is>
          <t>UKPN</t>
        </is>
      </c>
      <c r="R1675" t="b">
        <v>0</v>
      </c>
    </row>
    <row r="1676">
      <c r="A1676" t="inlineStr">
        <is>
          <t>2 Oct 2025 / Thomas Playford / Utilities / UKPN</t>
        </is>
      </c>
      <c r="B1676" t="inlineStr">
        <is>
          <t>Utilities</t>
        </is>
      </c>
      <c r="C1676" t="inlineStr">
        <is>
          <t>UKPN</t>
        </is>
      </c>
      <c r="D1676" t="inlineStr">
        <is>
          <t>Flat Bed Trailer - IFOR Williams - LM187G3 - SCK80000075030058</t>
        </is>
      </c>
      <c r="E1676" t="inlineStr">
        <is>
          <t>Flat Bed Trailer - IFOR Williams - LM187G3 - SCK80000075030058</t>
        </is>
      </c>
      <c r="F1676" t="inlineStr">
        <is>
          <t>Flat Bed Trailer - IFOR Williams - LM187G3 - SCK80000075030058</t>
        </is>
      </c>
      <c r="G1676" t="inlineStr">
        <is>
          <t>Jacob Oram</t>
        </is>
      </c>
      <c r="H1676" t="inlineStr">
        <is>
          <t>Flat Bed Trailer</t>
        </is>
      </c>
      <c r="I1676" t="inlineStr">
        <is>
          <t>Daily/ Weekly Vehicle Inspection</t>
        </is>
      </c>
      <c r="J1676" t="inlineStr">
        <is>
          <t>N/A</t>
        </is>
      </c>
      <c r="K1676" t="inlineStr">
        <is>
          <t>7995 Contour Landscapes Ltd 2</t>
        </is>
      </c>
      <c r="L1676" t="inlineStr">
        <is>
          <t>02/10/2025 10:58</t>
        </is>
      </c>
      <c r="M1676" t="inlineStr">
        <is>
          <t>None</t>
        </is>
      </c>
      <c r="N1676" t="inlineStr">
        <is>
          <t>&lt;p&gt;&lt;/p&gt;</t>
        </is>
      </c>
      <c r="O1676" t="inlineStr"/>
      <c r="P1676" t="inlineStr">
        <is>
          <t>Flat Bed Trailer - IFOR Williams - LM187G3 - SCK80000075030058</t>
        </is>
      </c>
      <c r="Q1676" t="inlineStr">
        <is>
          <t>UKPN</t>
        </is>
      </c>
      <c r="R1676" t="b">
        <v>0</v>
      </c>
    </row>
    <row r="1677">
      <c r="A1677" t="inlineStr">
        <is>
          <t>2 Oct 2025 / Anthony Gale / Utilities / UKPN</t>
        </is>
      </c>
      <c r="B1677" t="inlineStr">
        <is>
          <t>Utilities</t>
        </is>
      </c>
      <c r="C1677" t="inlineStr">
        <is>
          <t>UKPN</t>
        </is>
      </c>
      <c r="D1677" t="inlineStr">
        <is>
          <t>PE07 HGL , Vehicle , Mitsubishi , L200 K74</t>
        </is>
      </c>
      <c r="E1677" t="inlineStr">
        <is>
          <t>PE07 HGL , Vehicle , Mitsubishi , L200 K74</t>
        </is>
      </c>
      <c r="F1677" t="inlineStr">
        <is>
          <t>PE07 HGL , Vehicle , Mitsubishi , L200 K74</t>
        </is>
      </c>
      <c r="G1677" t="inlineStr">
        <is>
          <t>Anthony Gale</t>
        </is>
      </c>
      <c r="H1677" t="inlineStr">
        <is>
          <t>Pickup Truck</t>
        </is>
      </c>
      <c r="I1677" t="inlineStr">
        <is>
          <t>Daily/ Weekly Vehicle Inspection</t>
        </is>
      </c>
      <c r="J1677" t="inlineStr">
        <is>
          <t>N/A</t>
        </is>
      </c>
      <c r="K1677" t="inlineStr">
        <is>
          <t>7996 M G Tree Surgery Ltd 1</t>
        </is>
      </c>
      <c r="L1677" t="inlineStr">
        <is>
          <t>02/10/2025 10:59</t>
        </is>
      </c>
      <c r="M1677" t="inlineStr">
        <is>
          <t>None</t>
        </is>
      </c>
      <c r="N1677" t="inlineStr">
        <is>
          <t>&lt;p&gt;&lt;/p&gt;</t>
        </is>
      </c>
      <c r="O1677" t="inlineStr">
        <is>
          <t>Confirm that you have checked this vehicle as per the guidance document and the vehicle is safe and roadworthy:Drivers side wheel trim deteriorating, safe for now.
Monitor
-</t>
        </is>
      </c>
      <c r="P1677" t="inlineStr">
        <is>
          <t>PE07 HGL , Vehicle , Mitsubishi , L200 K74</t>
        </is>
      </c>
      <c r="Q1677" t="inlineStr">
        <is>
          <t>UKPN</t>
        </is>
      </c>
      <c r="R1677" t="b">
        <v>0</v>
      </c>
    </row>
    <row r="1678">
      <c r="A1678" t="inlineStr">
        <is>
          <t>2 Oct 2025 / Thomas Playford / Utilities / UKPN</t>
        </is>
      </c>
      <c r="B1678" t="inlineStr">
        <is>
          <t>Utilities</t>
        </is>
      </c>
      <c r="C1678" t="inlineStr">
        <is>
          <t>UKPN</t>
        </is>
      </c>
      <c r="D1678" t="inlineStr">
        <is>
          <t>YP24 WRD , Vehicle , Ford , Ranger</t>
        </is>
      </c>
      <c r="E1678" t="inlineStr">
        <is>
          <t>YP24 WRD , Vehicle , Ford , Ranger</t>
        </is>
      </c>
      <c r="F1678" t="inlineStr">
        <is>
          <t>YP24 WRD , Vehicle , Ford , Ranger</t>
        </is>
      </c>
      <c r="G1678" t="inlineStr">
        <is>
          <t>Jacob Oram</t>
        </is>
      </c>
      <c r="H1678" t="inlineStr">
        <is>
          <t>4x4</t>
        </is>
      </c>
      <c r="I1678" t="inlineStr">
        <is>
          <t>Daily/ Weekly Vehicle Inspection</t>
        </is>
      </c>
      <c r="J1678" t="inlineStr">
        <is>
          <t>N/A</t>
        </is>
      </c>
      <c r="K1678" t="inlineStr">
        <is>
          <t>7995 Contour Landscapes Ltd 2</t>
        </is>
      </c>
      <c r="L1678" t="inlineStr">
        <is>
          <t>02/10/2025 10:59</t>
        </is>
      </c>
      <c r="M1678" t="inlineStr">
        <is>
          <t>None</t>
        </is>
      </c>
      <c r="N1678" t="inlineStr">
        <is>
          <t>&lt;p&gt;&lt;/p&gt;</t>
        </is>
      </c>
      <c r="O1678" t="inlineStr"/>
      <c r="P1678" t="inlineStr">
        <is>
          <t>YP24 WRD , Vehicle , Ford , Ranger</t>
        </is>
      </c>
      <c r="Q1678" t="inlineStr">
        <is>
          <t>UKPN</t>
        </is>
      </c>
      <c r="R1678" t="b">
        <v>0</v>
      </c>
    </row>
    <row r="1679">
      <c r="A1679" t="inlineStr">
        <is>
          <t>2 Oct 2025 / Alexander Damar / Utilities / UKPN</t>
        </is>
      </c>
      <c r="B1679" t="inlineStr">
        <is>
          <t>Utilities</t>
        </is>
      </c>
      <c r="C1679" t="inlineStr">
        <is>
          <t>UKPN</t>
        </is>
      </c>
      <c r="D1679" t="inlineStr"/>
      <c r="E1679" t="inlineStr"/>
      <c r="F1679" t="inlineStr"/>
      <c r="G1679" t="inlineStr">
        <is>
          <t>A damar</t>
        </is>
      </c>
      <c r="H1679" t="inlineStr">
        <is>
          <t>Car - Petrol</t>
        </is>
      </c>
      <c r="I1679" t="inlineStr">
        <is>
          <t>Daily/ Weekly Vehicle Inspection</t>
        </is>
      </c>
      <c r="J1679" t="inlineStr">
        <is>
          <t>N/A</t>
        </is>
      </c>
      <c r="K1679" t="inlineStr">
        <is>
          <t>Alexander Damar</t>
        </is>
      </c>
      <c r="L1679" t="inlineStr">
        <is>
          <t>02/10/2025 14:24</t>
        </is>
      </c>
      <c r="M1679" t="inlineStr">
        <is>
          <t>None</t>
        </is>
      </c>
      <c r="N1679" t="inlineStr">
        <is>
          <t>&lt;p&gt;&lt;/p&gt;</t>
        </is>
      </c>
      <c r="O1679" t="inlineStr"/>
      <c r="P1679" t="inlineStr"/>
      <c r="Q1679" t="inlineStr">
        <is>
          <t>UKPN</t>
        </is>
      </c>
      <c r="R1679" t="b">
        <v>0</v>
      </c>
    </row>
    <row r="1680">
      <c r="A1680" t="inlineStr">
        <is>
          <t>3 Oct 2025 / 7951 Austin Tree Care LTD / Utilities / UKPN</t>
        </is>
      </c>
      <c r="B1680" t="inlineStr">
        <is>
          <t>Utilities</t>
        </is>
      </c>
      <c r="C1680" t="inlineStr">
        <is>
          <t>UKPN</t>
        </is>
      </c>
      <c r="D1680" t="inlineStr">
        <is>
          <t>WF61 HZV , 4x4 MEWP , Land Rover , Defender</t>
        </is>
      </c>
      <c r="E1680" t="inlineStr">
        <is>
          <t>WF61 HZV , 4x4 MEWP , Land Rover , Defender</t>
        </is>
      </c>
      <c r="F1680" t="inlineStr">
        <is>
          <t>WF61 HZV , 4x4 MEWP , Land Rover , Defender</t>
        </is>
      </c>
      <c r="G1680" t="inlineStr">
        <is>
          <t xml:space="preserve">Jack Austin </t>
        </is>
      </c>
      <c r="H1680" t="inlineStr">
        <is>
          <t>4x4</t>
        </is>
      </c>
      <c r="I1680" t="inlineStr">
        <is>
          <t>Daily/ Weekly Vehicle Inspection</t>
        </is>
      </c>
      <c r="J1680" t="inlineStr">
        <is>
          <t>N/A</t>
        </is>
      </c>
      <c r="K1680" t="inlineStr">
        <is>
          <t>7951 Austin Tree Care LTD</t>
        </is>
      </c>
      <c r="L1680" t="inlineStr">
        <is>
          <t>03/10/2025 07:25</t>
        </is>
      </c>
      <c r="M1680" t="inlineStr">
        <is>
          <t>None</t>
        </is>
      </c>
      <c r="N1680" t="inlineStr">
        <is>
          <t>&lt;p&gt;&lt;/p&gt;</t>
        </is>
      </c>
      <c r="O1680" t="inlineStr"/>
      <c r="P1680" t="inlineStr">
        <is>
          <t>WF61 HZV , 4x4 MEWP , Land Rover , Defender</t>
        </is>
      </c>
      <c r="Q1680" t="inlineStr">
        <is>
          <t>UKPN</t>
        </is>
      </c>
      <c r="R1680" t="b">
        <v>0</v>
      </c>
    </row>
    <row r="1681">
      <c r="A1681" t="inlineStr">
        <is>
          <t>3 Oct 2025 / 7951 Austin Tree Care LTD / Utilities / UKPN</t>
        </is>
      </c>
      <c r="B1681" t="inlineStr">
        <is>
          <t>Utilities</t>
        </is>
      </c>
      <c r="C1681" t="inlineStr">
        <is>
          <t>UKPN</t>
        </is>
      </c>
      <c r="D1681" t="inlineStr">
        <is>
          <t>SA9ST6P0001283612 , Tow Chipper , Forst , ST6p</t>
        </is>
      </c>
      <c r="E1681" t="inlineStr">
        <is>
          <t>SA9ST6P0001283612 , Tow Chipper , Forst , ST6p</t>
        </is>
      </c>
      <c r="F1681" t="inlineStr">
        <is>
          <t>SA9ST6P0001283612 , Tow Chipper , Forst , ST6p</t>
        </is>
      </c>
      <c r="G1681" t="inlineStr">
        <is>
          <t xml:space="preserve">Jack Austin </t>
        </is>
      </c>
      <c r="H1681" t="inlineStr">
        <is>
          <t>Towed Chipper</t>
        </is>
      </c>
      <c r="I1681" t="inlineStr">
        <is>
          <t>Daily/ Weekly Vehicle Inspection</t>
        </is>
      </c>
      <c r="J1681" t="inlineStr">
        <is>
          <t>N/A</t>
        </is>
      </c>
      <c r="K1681" t="inlineStr">
        <is>
          <t>7951 Austin Tree Care LTD</t>
        </is>
      </c>
      <c r="L1681" t="inlineStr">
        <is>
          <t>03/10/2025 07:26</t>
        </is>
      </c>
      <c r="M1681" t="inlineStr">
        <is>
          <t>None</t>
        </is>
      </c>
      <c r="N1681" t="inlineStr">
        <is>
          <t>&lt;p&gt;&lt;/p&gt;</t>
        </is>
      </c>
      <c r="O1681" t="inlineStr"/>
      <c r="P1681" t="inlineStr">
        <is>
          <t>SA9ST6P0001283612 , Tow Chipper , Forst , ST6p</t>
        </is>
      </c>
      <c r="Q1681" t="inlineStr">
        <is>
          <t>UKPN</t>
        </is>
      </c>
      <c r="R1681" t="b">
        <v>0</v>
      </c>
    </row>
    <row r="1682">
      <c r="A1682" t="inlineStr">
        <is>
          <t>3 Oct 2025 / Anthony Gale / Utilities / UKPN</t>
        </is>
      </c>
      <c r="B1682" t="inlineStr">
        <is>
          <t>Utilities</t>
        </is>
      </c>
      <c r="C1682" t="inlineStr">
        <is>
          <t>UKPN</t>
        </is>
      </c>
      <c r="D1682" t="inlineStr">
        <is>
          <t>PE07 HGL , Vehicle , Mitsubishi , L200 K74</t>
        </is>
      </c>
      <c r="E1682" t="inlineStr">
        <is>
          <t>PE07 HGL , Vehicle , Mitsubishi , L200 K74</t>
        </is>
      </c>
      <c r="F1682" t="inlineStr">
        <is>
          <t>PE07 HGL , Vehicle , Mitsubishi , L200 K74</t>
        </is>
      </c>
      <c r="G1682" t="inlineStr">
        <is>
          <t>Anthony Gale</t>
        </is>
      </c>
      <c r="H1682" t="inlineStr">
        <is>
          <t>Pickup Truck</t>
        </is>
      </c>
      <c r="I1682" t="inlineStr">
        <is>
          <t>Daily/ Weekly Vehicle Inspection</t>
        </is>
      </c>
      <c r="J1682" t="inlineStr">
        <is>
          <t>N/A</t>
        </is>
      </c>
      <c r="K1682" t="inlineStr">
        <is>
          <t>7996 M G Tree Surgery Ltd 1</t>
        </is>
      </c>
      <c r="L1682" t="inlineStr">
        <is>
          <t>03/10/2025 07:30</t>
        </is>
      </c>
      <c r="M1682" t="inlineStr">
        <is>
          <t>None</t>
        </is>
      </c>
      <c r="N1682" t="inlineStr">
        <is>
          <t>&lt;p&gt;&lt;/p&gt;</t>
        </is>
      </c>
      <c r="O1682" t="inlineStr">
        <is>
          <t>Confirm that you have checked this vehicle as per the guidance document and the vehicle is safe and roadworthy:Drivers side wheel trim deteriorating, ok for now.
Monitor.
-</t>
        </is>
      </c>
      <c r="P1682" t="inlineStr">
        <is>
          <t>PE07 HGL , Vehicle , Mitsubishi , L200 K74</t>
        </is>
      </c>
      <c r="Q1682" t="inlineStr">
        <is>
          <t>UKPN</t>
        </is>
      </c>
      <c r="R1682" t="b">
        <v>0</v>
      </c>
    </row>
    <row r="1683">
      <c r="A1683" t="inlineStr">
        <is>
          <t>3 Oct 2025 / 3098 D &amp; R Landscapes (PEND Arb Rail) / Utilities / UKPN</t>
        </is>
      </c>
      <c r="B1683" t="inlineStr">
        <is>
          <t>Utilities</t>
        </is>
      </c>
      <c r="C1683" t="inlineStr">
        <is>
          <t>UKPN</t>
        </is>
      </c>
      <c r="D1683" t="inlineStr">
        <is>
          <t>Vehicle - Nissan - Navara - BT20 GNZ</t>
        </is>
      </c>
      <c r="E1683" t="inlineStr">
        <is>
          <t>Vehicle - Nissan - Navara - BT20 GNZ</t>
        </is>
      </c>
      <c r="F1683" t="inlineStr">
        <is>
          <t>Vehicle - Nissan - Navara - BT20 GNZ</t>
        </is>
      </c>
      <c r="G1683" t="inlineStr">
        <is>
          <t>Jason</t>
        </is>
      </c>
      <c r="H1683" t="inlineStr">
        <is>
          <t>Pickup Truck</t>
        </is>
      </c>
      <c r="I1683" t="inlineStr">
        <is>
          <t>Daily/ Weekly Vehicle Inspection</t>
        </is>
      </c>
      <c r="J1683" t="inlineStr">
        <is>
          <t>N/A</t>
        </is>
      </c>
      <c r="K1683" t="inlineStr">
        <is>
          <t>3098 D &amp; R Landscapes</t>
        </is>
      </c>
      <c r="L1683" t="inlineStr">
        <is>
          <t>03/10/2025 08:24</t>
        </is>
      </c>
      <c r="M1683" t="inlineStr">
        <is>
          <t>None</t>
        </is>
      </c>
      <c r="N1683" t="inlineStr">
        <is>
          <t>&lt;p&gt;&lt;/p&gt;</t>
        </is>
      </c>
      <c r="O1683" t="inlineStr"/>
      <c r="P1683" t="inlineStr">
        <is>
          <t>Vehicle - Nissan - Navara - BT20 GNZ</t>
        </is>
      </c>
      <c r="Q1683" t="inlineStr">
        <is>
          <t>UKPN</t>
        </is>
      </c>
      <c r="R1683" t="b">
        <v>0</v>
      </c>
    </row>
    <row r="1684">
      <c r="A1684" t="inlineStr">
        <is>
          <t>3 Oct 2025 / 7806 Optimum Tree Services Ltd / Utilities / UKPN</t>
        </is>
      </c>
      <c r="B1684" t="inlineStr">
        <is>
          <t>Utilities</t>
        </is>
      </c>
      <c r="C1684" t="inlineStr">
        <is>
          <t>UKPN</t>
        </is>
      </c>
      <c r="D1684" t="inlineStr">
        <is>
          <t>Tipper - Ford - Transit - NA10SYZ</t>
        </is>
      </c>
      <c r="E1684" t="inlineStr">
        <is>
          <t>Tipper - Ford - Transit - NA10SYZ</t>
        </is>
      </c>
      <c r="F1684" t="inlineStr">
        <is>
          <t>Tipper - Ford - Transit - NA10SYZ</t>
        </is>
      </c>
      <c r="G1684" t="inlineStr">
        <is>
          <t xml:space="preserve">Lewis Davies </t>
        </is>
      </c>
      <c r="H1684" t="inlineStr">
        <is>
          <t>Tipper</t>
        </is>
      </c>
      <c r="I1684" t="inlineStr">
        <is>
          <t>Daily/ Weekly Vehicle Inspection</t>
        </is>
      </c>
      <c r="J1684" t="inlineStr">
        <is>
          <t>N/A</t>
        </is>
      </c>
      <c r="K1684" t="inlineStr">
        <is>
          <t>7806 Optimum Tree Services Ltd</t>
        </is>
      </c>
      <c r="L1684" t="inlineStr">
        <is>
          <t>03/10/2025 08:28</t>
        </is>
      </c>
      <c r="M1684" t="inlineStr">
        <is>
          <t>None</t>
        </is>
      </c>
      <c r="N1684" t="inlineStr">
        <is>
          <t>&lt;p&gt;&lt;/p&gt;</t>
        </is>
      </c>
      <c r="O1684" t="inlineStr"/>
      <c r="P1684" t="inlineStr">
        <is>
          <t>Tipper - Ford - Transit - NA10SYZ</t>
        </is>
      </c>
      <c r="Q1684" t="inlineStr">
        <is>
          <t>UKPN</t>
        </is>
      </c>
      <c r="R1684" t="b">
        <v>0</v>
      </c>
    </row>
    <row r="1685">
      <c r="A1685" t="inlineStr">
        <is>
          <t>3 Oct 2025 / Thomas Playford / Utilities / UKPN</t>
        </is>
      </c>
      <c r="B1685" t="inlineStr">
        <is>
          <t>Utilities</t>
        </is>
      </c>
      <c r="C1685" t="inlineStr">
        <is>
          <t>UKPN</t>
        </is>
      </c>
      <c r="D1685" t="inlineStr">
        <is>
          <t>SA9ST800000283944 , Tow Chipper , Forst , ST8D - Towed</t>
        </is>
      </c>
      <c r="E1685" t="inlineStr">
        <is>
          <t>SA9ST800000283944 , Tow Chipper , Forst , ST8D - Towed</t>
        </is>
      </c>
      <c r="F1685" t="inlineStr">
        <is>
          <t>SA9ST800000283944 , Tow Chipper , Forst , ST8D - Towed</t>
        </is>
      </c>
      <c r="G1685" t="inlineStr">
        <is>
          <t>Jacob Oram</t>
        </is>
      </c>
      <c r="H1685" t="inlineStr">
        <is>
          <t>Towed Chipper</t>
        </is>
      </c>
      <c r="I1685" t="inlineStr">
        <is>
          <t>Daily/ Weekly Vehicle Inspection</t>
        </is>
      </c>
      <c r="J1685" t="inlineStr">
        <is>
          <t>N/A</t>
        </is>
      </c>
      <c r="K1685" t="inlineStr">
        <is>
          <t>7995 Contour Landscapes Ltd 2</t>
        </is>
      </c>
      <c r="L1685" t="inlineStr">
        <is>
          <t>03/10/2025 08:29</t>
        </is>
      </c>
      <c r="M1685" t="inlineStr">
        <is>
          <t>None</t>
        </is>
      </c>
      <c r="N1685" t="inlineStr">
        <is>
          <t>&lt;p&gt;&lt;/p&gt;</t>
        </is>
      </c>
      <c r="O1685" t="inlineStr"/>
      <c r="P1685" t="inlineStr">
        <is>
          <t>SA9ST800000283944 , Tow Chipper , Forst , ST8D - Towed</t>
        </is>
      </c>
      <c r="Q1685" t="inlineStr">
        <is>
          <t>UKPN</t>
        </is>
      </c>
      <c r="R1685" t="b">
        <v>0</v>
      </c>
    </row>
    <row r="1686">
      <c r="A1686" t="inlineStr">
        <is>
          <t>3 Oct 2025 / 7806 Optimum Tree Services Ltd / Utilities / UKPN</t>
        </is>
      </c>
      <c r="B1686" t="inlineStr">
        <is>
          <t>Utilities</t>
        </is>
      </c>
      <c r="C1686" t="inlineStr">
        <is>
          <t>UKPN</t>
        </is>
      </c>
      <c r="D1686" t="inlineStr">
        <is>
          <t>SA9ST800000283069 , Chipper , Forst , ST 6P</t>
        </is>
      </c>
      <c r="E1686" t="inlineStr">
        <is>
          <t>SA9ST800000283069 , Chipper , Forst , ST 6P</t>
        </is>
      </c>
      <c r="F1686" t="inlineStr">
        <is>
          <t>SA9ST800000283069 , Chipper , Forst , ST 6P</t>
        </is>
      </c>
      <c r="G1686" t="inlineStr">
        <is>
          <t xml:space="preserve">Abraham Davies </t>
        </is>
      </c>
      <c r="H1686" t="inlineStr">
        <is>
          <t>Towed Chipper</t>
        </is>
      </c>
      <c r="I1686" t="inlineStr">
        <is>
          <t>Daily/ Weekly Vehicle Inspection</t>
        </is>
      </c>
      <c r="J1686" t="inlineStr">
        <is>
          <t>N/A</t>
        </is>
      </c>
      <c r="K1686" t="inlineStr">
        <is>
          <t>7806 Optimum Tree Services Ltd</t>
        </is>
      </c>
      <c r="L1686" t="inlineStr">
        <is>
          <t>03/10/2025 08:30</t>
        </is>
      </c>
      <c r="M1686" t="inlineStr">
        <is>
          <t>None</t>
        </is>
      </c>
      <c r="N1686" t="inlineStr">
        <is>
          <t>&lt;p&gt;&lt;/p&gt;</t>
        </is>
      </c>
      <c r="O1686" t="inlineStr"/>
      <c r="P1686" t="inlineStr">
        <is>
          <t>SA9ST800000283069 , Chipper , Forst , ST 6P</t>
        </is>
      </c>
      <c r="Q1686" t="inlineStr">
        <is>
          <t>UKPN</t>
        </is>
      </c>
      <c r="R1686" t="b">
        <v>0</v>
      </c>
    </row>
    <row r="1687">
      <c r="A1687" t="inlineStr">
        <is>
          <t>3 Oct 2025 / Thomas Playford / Utilities / UKPN</t>
        </is>
      </c>
      <c r="B1687" t="inlineStr">
        <is>
          <t>Utilities</t>
        </is>
      </c>
      <c r="C1687" t="inlineStr">
        <is>
          <t>UKPN</t>
        </is>
      </c>
      <c r="D1687" t="inlineStr">
        <is>
          <t>YP24 WRD , Vehicle , Ford , Ranger</t>
        </is>
      </c>
      <c r="E1687" t="inlineStr">
        <is>
          <t>YP24 WRD , Vehicle , Ford , Ranger</t>
        </is>
      </c>
      <c r="F1687" t="inlineStr">
        <is>
          <t>YP24 WRD , Vehicle , Ford , Ranger</t>
        </is>
      </c>
      <c r="G1687" t="inlineStr">
        <is>
          <t>Jacob Oram</t>
        </is>
      </c>
      <c r="H1687" t="inlineStr">
        <is>
          <t>4x4</t>
        </is>
      </c>
      <c r="I1687" t="inlineStr">
        <is>
          <t>Daily/ Weekly Vehicle Inspection</t>
        </is>
      </c>
      <c r="J1687" t="inlineStr">
        <is>
          <t>N/A</t>
        </is>
      </c>
      <c r="K1687" t="inlineStr">
        <is>
          <t>7995 Contour Landscapes Ltd 2</t>
        </is>
      </c>
      <c r="L1687" t="inlineStr">
        <is>
          <t>03/10/2025 08:31</t>
        </is>
      </c>
      <c r="M1687" t="inlineStr">
        <is>
          <t>None</t>
        </is>
      </c>
      <c r="N1687" t="inlineStr">
        <is>
          <t>&lt;p&gt;&lt;/p&gt;</t>
        </is>
      </c>
      <c r="O1687" t="inlineStr"/>
      <c r="P1687" t="inlineStr">
        <is>
          <t>YP24 WRD , Vehicle , Ford , Ranger</t>
        </is>
      </c>
      <c r="Q1687" t="inlineStr">
        <is>
          <t>UKPN</t>
        </is>
      </c>
      <c r="R1687" t="b">
        <v>0</v>
      </c>
    </row>
    <row r="1688">
      <c r="A1688" t="inlineStr">
        <is>
          <t>3 Oct 2025 / 7806 Optimum Tree Services Ltd / Utilities / UKPN</t>
        </is>
      </c>
      <c r="B1688" t="inlineStr">
        <is>
          <t>Utilities</t>
        </is>
      </c>
      <c r="C1688" t="inlineStr">
        <is>
          <t>UKPN</t>
        </is>
      </c>
      <c r="D1688" t="inlineStr">
        <is>
          <t>WD14EVB , MEWP , Land Rover , Defender</t>
        </is>
      </c>
      <c r="E1688" t="inlineStr">
        <is>
          <t>WD14EVB , MEWP , Land Rover , Defender</t>
        </is>
      </c>
      <c r="F1688" t="inlineStr">
        <is>
          <t>WD14EVB , MEWP , Land Rover , Defender</t>
        </is>
      </c>
      <c r="G1688" t="inlineStr">
        <is>
          <t xml:space="preserve">Abraham Davies </t>
        </is>
      </c>
      <c r="H1688" t="inlineStr">
        <is>
          <t>4x4</t>
        </is>
      </c>
      <c r="I1688" t="inlineStr">
        <is>
          <t>Daily/ Weekly Vehicle Inspection</t>
        </is>
      </c>
      <c r="J1688" t="inlineStr">
        <is>
          <t>N/A</t>
        </is>
      </c>
      <c r="K1688" t="inlineStr">
        <is>
          <t>7806 Optimum Tree Services Ltd</t>
        </is>
      </c>
      <c r="L1688" t="inlineStr">
        <is>
          <t>03/10/2025 08:31</t>
        </is>
      </c>
      <c r="M1688" t="inlineStr">
        <is>
          <t>None</t>
        </is>
      </c>
      <c r="N1688" t="inlineStr">
        <is>
          <t>&lt;p&gt;&lt;/p&gt;</t>
        </is>
      </c>
      <c r="O1688" t="inlineStr"/>
      <c r="P1688" t="inlineStr">
        <is>
          <t>WD14EVB , MEWP , Land Rover , Defender</t>
        </is>
      </c>
      <c r="Q1688" t="inlineStr">
        <is>
          <t>UKPN</t>
        </is>
      </c>
      <c r="R1688" t="b">
        <v>0</v>
      </c>
    </row>
    <row r="1689">
      <c r="A1689" t="inlineStr">
        <is>
          <t>3 Oct 2025 / 7186 Eastwoodbury Tree Services Ltd / Utilities / UKPN</t>
        </is>
      </c>
      <c r="B1689" t="inlineStr">
        <is>
          <t>Utilities</t>
        </is>
      </c>
      <c r="C1689" t="inlineStr">
        <is>
          <t>UKPN</t>
        </is>
      </c>
      <c r="D1689" t="inlineStr">
        <is>
          <t>FN600XM , 4x4 , Land Rover  , Defender</t>
        </is>
      </c>
      <c r="E1689" t="inlineStr">
        <is>
          <t>FN600XM , 4x4 , Land Rover  , Defender</t>
        </is>
      </c>
      <c r="F1689" t="inlineStr">
        <is>
          <t>FN600XM , 4x4 , Land Rover  , Defender</t>
        </is>
      </c>
      <c r="G1689" t="inlineStr">
        <is>
          <t xml:space="preserve">Tom Price </t>
        </is>
      </c>
      <c r="H1689" t="inlineStr">
        <is>
          <t>4x4</t>
        </is>
      </c>
      <c r="I1689" t="inlineStr">
        <is>
          <t>Daily/ Weekly Vehicle Inspection</t>
        </is>
      </c>
      <c r="J1689" t="inlineStr">
        <is>
          <t>N/A</t>
        </is>
      </c>
      <c r="K1689" t="inlineStr">
        <is>
          <t>7186 Eastwoodbury Tree Services Ltd</t>
        </is>
      </c>
      <c r="L1689" t="inlineStr">
        <is>
          <t>03/10/2025 08:34</t>
        </is>
      </c>
      <c r="M1689" t="inlineStr">
        <is>
          <t>None</t>
        </is>
      </c>
      <c r="N1689" t="inlineStr">
        <is>
          <t>&lt;p&gt;&lt;/p&gt;</t>
        </is>
      </c>
      <c r="O1689" t="inlineStr"/>
      <c r="P1689" t="inlineStr">
        <is>
          <t>FN600XM , 4x4 , Land Rover  , Defender</t>
        </is>
      </c>
      <c r="Q1689" t="inlineStr">
        <is>
          <t>UKPN</t>
        </is>
      </c>
      <c r="R1689" t="b">
        <v>0</v>
      </c>
    </row>
    <row r="1690">
      <c r="A1690" t="inlineStr">
        <is>
          <t>3 Oct 2025 / Anthony Gale / Utilities / UKPN</t>
        </is>
      </c>
      <c r="B1690" t="inlineStr">
        <is>
          <t>Utilities</t>
        </is>
      </c>
      <c r="C1690" t="inlineStr">
        <is>
          <t>UKPN</t>
        </is>
      </c>
      <c r="D1690" t="inlineStr"/>
      <c r="E1690" t="inlineStr"/>
      <c r="F1690" t="inlineStr"/>
      <c r="G1690" t="inlineStr">
        <is>
          <t>Anthony Gale</t>
        </is>
      </c>
      <c r="H1690" t="inlineStr">
        <is>
          <t>Tracked Vehicle</t>
        </is>
      </c>
      <c r="I1690" t="inlineStr">
        <is>
          <t>Daily/ Weekly Vehicle Inspection</t>
        </is>
      </c>
      <c r="J1690" t="inlineStr">
        <is>
          <t>N/A</t>
        </is>
      </c>
      <c r="K1690" t="inlineStr">
        <is>
          <t>7996 M G Tree Surgery Ltd 1</t>
        </is>
      </c>
      <c r="L1690" t="inlineStr">
        <is>
          <t>03/10/2025 10:25</t>
        </is>
      </c>
      <c r="M1690" t="inlineStr">
        <is>
          <t>None</t>
        </is>
      </c>
      <c r="N1690" t="inlineStr">
        <is>
          <t>&lt;p&gt;&lt;/p&gt;</t>
        </is>
      </c>
      <c r="O1690" t="inlineStr"/>
      <c r="P1690" t="inlineStr"/>
      <c r="Q1690" t="inlineStr">
        <is>
          <t>UKPN</t>
        </is>
      </c>
      <c r="R1690" t="b">
        <v>0</v>
      </c>
    </row>
    <row r="1691">
      <c r="A1691" t="inlineStr">
        <is>
          <t>3 Oct 2025 / Anthony Gale / Utilities / UKPN</t>
        </is>
      </c>
      <c r="B1691" t="inlineStr">
        <is>
          <t>Utilities</t>
        </is>
      </c>
      <c r="C1691" t="inlineStr">
        <is>
          <t>UKPN</t>
        </is>
      </c>
      <c r="D1691" t="inlineStr">
        <is>
          <t>PE07 HGL , Vehicle , Mitsubishi , L200 K74</t>
        </is>
      </c>
      <c r="E1691" t="inlineStr">
        <is>
          <t>PE07 HGL , Vehicle , Mitsubishi , L200 K74</t>
        </is>
      </c>
      <c r="F1691" t="inlineStr">
        <is>
          <t>PE07 HGL , Vehicle , Mitsubishi , L200 K74</t>
        </is>
      </c>
      <c r="G1691" t="inlineStr">
        <is>
          <t>Anthony Gale</t>
        </is>
      </c>
      <c r="H1691" t="inlineStr">
        <is>
          <t>Pickup Truck</t>
        </is>
      </c>
      <c r="I1691" t="inlineStr">
        <is>
          <t>Daily/ Weekly Vehicle Inspection</t>
        </is>
      </c>
      <c r="J1691" t="inlineStr">
        <is>
          <t>N/A</t>
        </is>
      </c>
      <c r="K1691" t="inlineStr">
        <is>
          <t>7996 M G Tree Surgery Ltd 1</t>
        </is>
      </c>
      <c r="L1691" t="inlineStr">
        <is>
          <t>03/10/2025 10:26</t>
        </is>
      </c>
      <c r="M1691" t="inlineStr">
        <is>
          <t>None</t>
        </is>
      </c>
      <c r="N1691" t="inlineStr">
        <is>
          <t>&lt;p&gt;&lt;/p&gt;</t>
        </is>
      </c>
      <c r="O1691" t="inlineStr">
        <is>
          <t>Confirm that you have checked this vehicle as per the guidance document and the vehicle is safe and roadworthy:Drivers side wheel trim deteriorating, ok for now.
Monitor.
-</t>
        </is>
      </c>
      <c r="P1691" t="inlineStr">
        <is>
          <t>PE07 HGL , Vehicle , Mitsubishi , L200 K74</t>
        </is>
      </c>
      <c r="Q1691" t="inlineStr">
        <is>
          <t>UKPN</t>
        </is>
      </c>
      <c r="R1691" t="b">
        <v>0</v>
      </c>
    </row>
    <row r="1692">
      <c r="A1692" t="inlineStr">
        <is>
          <t>3 Oct 2025 / 7951 Austin Tree Care LTD / Utilities / UKPN</t>
        </is>
      </c>
      <c r="B1692" t="inlineStr">
        <is>
          <t>Utilities</t>
        </is>
      </c>
      <c r="C1692" t="inlineStr">
        <is>
          <t>UKPN</t>
        </is>
      </c>
      <c r="D1692" t="inlineStr">
        <is>
          <t>WF61 HZV , 4x4 MEWP , Land Rover , Defender</t>
        </is>
      </c>
      <c r="E1692" t="inlineStr">
        <is>
          <t>WF61 HZV , 4x4 MEWP , Land Rover , Defender</t>
        </is>
      </c>
      <c r="F1692" t="inlineStr">
        <is>
          <t>WF61 HZV , 4x4 MEWP , Land Rover , Defender</t>
        </is>
      </c>
      <c r="G1692" t="inlineStr">
        <is>
          <t xml:space="preserve">Jack Austin </t>
        </is>
      </c>
      <c r="H1692" t="inlineStr">
        <is>
          <t>4x4</t>
        </is>
      </c>
      <c r="I1692" t="inlineStr">
        <is>
          <t>Daily/ Weekly Vehicle Inspection</t>
        </is>
      </c>
      <c r="J1692" t="inlineStr">
        <is>
          <t>N/A</t>
        </is>
      </c>
      <c r="K1692" t="inlineStr">
        <is>
          <t>7951 Austin Tree Care LTD</t>
        </is>
      </c>
      <c r="L1692" t="inlineStr">
        <is>
          <t>06/10/2025 02:25</t>
        </is>
      </c>
      <c r="M1692" t="inlineStr">
        <is>
          <t>None</t>
        </is>
      </c>
      <c r="N1692" t="inlineStr">
        <is>
          <t>&lt;p&gt;&lt;/p&gt;</t>
        </is>
      </c>
      <c r="O1692" t="inlineStr"/>
      <c r="P1692" t="inlineStr">
        <is>
          <t>WF61 HZV , 4x4 MEWP , Land Rover , Defender</t>
        </is>
      </c>
      <c r="Q1692" t="inlineStr">
        <is>
          <t>UKPN</t>
        </is>
      </c>
      <c r="R1692" t="b">
        <v>0</v>
      </c>
    </row>
    <row r="1693">
      <c r="A1693" t="inlineStr">
        <is>
          <t>6 Oct 2025 / 7951 Austin Tree Care LTD / Utilities / UKPN</t>
        </is>
      </c>
      <c r="B1693" t="inlineStr">
        <is>
          <t>Utilities</t>
        </is>
      </c>
      <c r="C1693" t="inlineStr">
        <is>
          <t>UKPN</t>
        </is>
      </c>
      <c r="D1693" t="inlineStr">
        <is>
          <t>SA9ST6P0001283612 , Tow Chipper , Forst , ST6p</t>
        </is>
      </c>
      <c r="E1693" t="inlineStr">
        <is>
          <t>SA9ST6P0001283612 , Tow Chipper , Forst , ST6p</t>
        </is>
      </c>
      <c r="F1693" t="inlineStr">
        <is>
          <t>SA9ST6P0001283612 , Tow Chipper , Forst , ST6p</t>
        </is>
      </c>
      <c r="G1693" t="inlineStr">
        <is>
          <t xml:space="preserve">Jack Austin </t>
        </is>
      </c>
      <c r="H1693" t="inlineStr">
        <is>
          <t>Towed Chipper</t>
        </is>
      </c>
      <c r="I1693" t="inlineStr">
        <is>
          <t>Daily/ Weekly Vehicle Inspection</t>
        </is>
      </c>
      <c r="J1693" t="inlineStr">
        <is>
          <t>N/A</t>
        </is>
      </c>
      <c r="K1693" t="inlineStr">
        <is>
          <t>7951 Austin Tree Care LTD</t>
        </is>
      </c>
      <c r="L1693" t="inlineStr">
        <is>
          <t>06/10/2025 07:28</t>
        </is>
      </c>
      <c r="M1693" t="inlineStr">
        <is>
          <t>None</t>
        </is>
      </c>
      <c r="N1693" t="inlineStr">
        <is>
          <t>&lt;p&gt;&lt;/p&gt;</t>
        </is>
      </c>
      <c r="O1693" t="inlineStr"/>
      <c r="P1693" t="inlineStr">
        <is>
          <t>SA9ST6P0001283612 , Tow Chipper , Forst , ST6p</t>
        </is>
      </c>
      <c r="Q1693" t="inlineStr">
        <is>
          <t>UKPN</t>
        </is>
      </c>
      <c r="R1693" t="b">
        <v>0</v>
      </c>
    </row>
    <row r="1694">
      <c r="A1694" t="inlineStr">
        <is>
          <t>6 Oct 2025 / 7951 Austin Tree Care LTD / Utilities / UKPN</t>
        </is>
      </c>
      <c r="B1694" t="inlineStr">
        <is>
          <t>Utilities</t>
        </is>
      </c>
      <c r="C1694" t="inlineStr">
        <is>
          <t>UKPN</t>
        </is>
      </c>
      <c r="D1694" t="inlineStr">
        <is>
          <t>WF61 HZV , 4x4 MEWP , Land Rover , Defender</t>
        </is>
      </c>
      <c r="E1694" t="inlineStr">
        <is>
          <t>WF61 HZV , 4x4 MEWP , Land Rover , Defender</t>
        </is>
      </c>
      <c r="F1694" t="inlineStr">
        <is>
          <t>WF61 HZV , 4x4 MEWP , Land Rover , Defender</t>
        </is>
      </c>
      <c r="G1694" t="inlineStr">
        <is>
          <t>Jack Austin</t>
        </is>
      </c>
      <c r="H1694" t="inlineStr">
        <is>
          <t>4x4</t>
        </is>
      </c>
      <c r="I1694" t="inlineStr">
        <is>
          <t>Daily/ Weekly Vehicle Inspection</t>
        </is>
      </c>
      <c r="J1694" t="inlineStr">
        <is>
          <t>N/A</t>
        </is>
      </c>
      <c r="K1694" t="inlineStr">
        <is>
          <t>7951 Austin Tree Care LTD</t>
        </is>
      </c>
      <c r="L1694" t="inlineStr">
        <is>
          <t>06/10/2025 07:29</t>
        </is>
      </c>
      <c r="M1694" t="inlineStr">
        <is>
          <t>None</t>
        </is>
      </c>
      <c r="N1694" t="inlineStr">
        <is>
          <t>&lt;p&gt;&lt;/p&gt;</t>
        </is>
      </c>
      <c r="O1694" t="inlineStr"/>
      <c r="P1694" t="inlineStr">
        <is>
          <t>WF61 HZV , 4x4 MEWP , Land Rover , Defender</t>
        </is>
      </c>
      <c r="Q1694" t="inlineStr">
        <is>
          <t>UKPN</t>
        </is>
      </c>
      <c r="R1694" t="b">
        <v>0</v>
      </c>
    </row>
    <row r="1695">
      <c r="A1695" t="inlineStr">
        <is>
          <t>6 Oct 2025 / 3098 D &amp; R Landscapes (PEND Arb Rail) / Utilities / UKPN</t>
        </is>
      </c>
      <c r="B1695" t="inlineStr">
        <is>
          <t>Utilities</t>
        </is>
      </c>
      <c r="C1695" t="inlineStr">
        <is>
          <t>UKPN</t>
        </is>
      </c>
      <c r="D1695" t="inlineStr">
        <is>
          <t>Vehicle - Nissan - Navara - BT20 GNZ</t>
        </is>
      </c>
      <c r="E1695" t="inlineStr">
        <is>
          <t>Vehicle - Nissan - Navara - BT20 GNZ</t>
        </is>
      </c>
      <c r="F1695" t="inlineStr">
        <is>
          <t>Vehicle - Nissan - Navara - BT20 GNZ</t>
        </is>
      </c>
      <c r="G1695" t="inlineStr">
        <is>
          <t>Jason</t>
        </is>
      </c>
      <c r="H1695" t="inlineStr">
        <is>
          <t>Pickup Truck</t>
        </is>
      </c>
      <c r="I1695" t="inlineStr">
        <is>
          <t>Daily/ Weekly Vehicle Inspection</t>
        </is>
      </c>
      <c r="J1695" t="inlineStr">
        <is>
          <t>N/A</t>
        </is>
      </c>
      <c r="K1695" t="inlineStr">
        <is>
          <t>3098 D &amp; R Landscapes</t>
        </is>
      </c>
      <c r="L1695" t="inlineStr">
        <is>
          <t>06/10/2025 07:30</t>
        </is>
      </c>
      <c r="M1695" t="inlineStr">
        <is>
          <t>None</t>
        </is>
      </c>
      <c r="N1695" t="inlineStr">
        <is>
          <t>&lt;p&gt;&lt;/p&gt;</t>
        </is>
      </c>
      <c r="O1695" t="inlineStr"/>
      <c r="P1695" t="inlineStr">
        <is>
          <t>Vehicle - Nissan - Navara - BT20 GNZ</t>
        </is>
      </c>
      <c r="Q1695" t="inlineStr">
        <is>
          <t>UKPN</t>
        </is>
      </c>
      <c r="R1695" t="b">
        <v>0</v>
      </c>
    </row>
    <row r="1696">
      <c r="A1696" t="inlineStr">
        <is>
          <t>6 Oct 2025 / 7889 Tree Tech Suffolk Ltd</t>
        </is>
      </c>
      <c r="B1696" t="inlineStr">
        <is>
          <t>Utilities &amp; Inland Waterways</t>
        </is>
      </c>
      <c r="C1696" t="inlineStr">
        <is>
          <t>UKPN</t>
        </is>
      </c>
      <c r="D1696" t="inlineStr">
        <is>
          <t>Tow Chipper - Jenson - A530L - 55210639484x4 - Isuzu - D-max - NS03 TTSTipper - Nissan - Navara - NS02TTS</t>
        </is>
      </c>
      <c r="E1696" t="inlineStr">
        <is>
          <t>Tow Chipper - Jenson - A530L - 55210639484x4 - Isuzu - D-max - NS03 TTSTipper - Nissan - Navara - NS02TTS</t>
        </is>
      </c>
      <c r="F1696" t="inlineStr">
        <is>
          <t>Tow Chipper - Jenson - A530L - 55210639484x4 - Isuzu - D-max - NS03 TTSTipper - Nissan - Navara - NS02TTS</t>
        </is>
      </c>
      <c r="G1696" t="inlineStr">
        <is>
          <t xml:space="preserve">Nikki sparrow Danny Appleby Nikki sparrow </t>
        </is>
      </c>
      <c r="H1696" t="inlineStr">
        <is>
          <t>Towed Chipper4x4Tipper</t>
        </is>
      </c>
      <c r="I1696" t="inlineStr">
        <is>
          <t>Daily/ Weekly Vehicle Inspection</t>
        </is>
      </c>
      <c r="J1696" t="inlineStr">
        <is>
          <t>N/A</t>
        </is>
      </c>
      <c r="K1696" t="inlineStr">
        <is>
          <t>7889 Tree Tech Suffolk Ltd</t>
        </is>
      </c>
      <c r="L1696" t="inlineStr">
        <is>
          <t>06/10/2025 08:27</t>
        </is>
      </c>
      <c r="M1696" t="inlineStr">
        <is>
          <t>None</t>
        </is>
      </c>
      <c r="N1696" t="inlineStr">
        <is>
          <t>&lt;p&gt;&lt;/p&gt;</t>
        </is>
      </c>
      <c r="O1696" t="inlineStr">
        <is>
          <t>Select Vehicle:KX65 FCZ. Tried adding vehicle but not showing up. Intermittent fault on side lights.Select Vehicle:Crack in windscreen. Address on next MOT if required</t>
        </is>
      </c>
      <c r="P1696" t="inlineStr">
        <is>
          <t>Tow Chipper - Jenson - A530L - 55210639484x4 - Isuzu - D-max - NS03 TTSTipper - Nissan - Navara - NS02TTS</t>
        </is>
      </c>
      <c r="Q1696" t="inlineStr">
        <is>
          <t>UKPN</t>
        </is>
      </c>
      <c r="R1696" t="b">
        <v>0</v>
      </c>
    </row>
    <row r="1697">
      <c r="A1697" t="inlineStr">
        <is>
          <t>6 Oct 2025 / Thomas Playford / Utilities / UKPN</t>
        </is>
      </c>
      <c r="B1697" t="inlineStr">
        <is>
          <t>Utilities</t>
        </is>
      </c>
      <c r="C1697" t="inlineStr">
        <is>
          <t>UKPN</t>
        </is>
      </c>
      <c r="D1697" t="inlineStr">
        <is>
          <t>Flat Bed Trailer - IFOR Williams - LM187G3 - SCK80000075030058</t>
        </is>
      </c>
      <c r="E1697" t="inlineStr">
        <is>
          <t>Flat Bed Trailer - IFOR Williams - LM187G3 - SCK80000075030058</t>
        </is>
      </c>
      <c r="F1697" t="inlineStr">
        <is>
          <t>Flat Bed Trailer - IFOR Williams - LM187G3 - SCK80000075030058</t>
        </is>
      </c>
      <c r="G1697" t="inlineStr">
        <is>
          <t>Jacob Oram</t>
        </is>
      </c>
      <c r="H1697" t="inlineStr">
        <is>
          <t>Flat Bed Trailer</t>
        </is>
      </c>
      <c r="I1697" t="inlineStr">
        <is>
          <t>Daily/ Weekly Vehicle Inspection</t>
        </is>
      </c>
      <c r="J1697" t="inlineStr">
        <is>
          <t>N/A</t>
        </is>
      </c>
      <c r="K1697" t="inlineStr">
        <is>
          <t>7995 Contour Landscapes Ltd 2</t>
        </is>
      </c>
      <c r="L1697" t="inlineStr">
        <is>
          <t>06/10/2025 08:30</t>
        </is>
      </c>
      <c r="M1697" t="inlineStr">
        <is>
          <t>None</t>
        </is>
      </c>
      <c r="N1697" t="inlineStr">
        <is>
          <t>&lt;p&gt;&lt;/p&gt;</t>
        </is>
      </c>
      <c r="O1697" t="inlineStr"/>
      <c r="P1697" t="inlineStr">
        <is>
          <t>Flat Bed Trailer - IFOR Williams - LM187G3 - SCK80000075030058</t>
        </is>
      </c>
      <c r="Q1697" t="inlineStr">
        <is>
          <t>UKPN</t>
        </is>
      </c>
      <c r="R1697" t="b">
        <v>0</v>
      </c>
    </row>
    <row r="1698">
      <c r="A1698" t="inlineStr">
        <is>
          <t>6 Oct 2025 / Thomas Playford / Utilities / UKPN</t>
        </is>
      </c>
      <c r="B1698" t="inlineStr">
        <is>
          <t>Utilities</t>
        </is>
      </c>
      <c r="C1698" t="inlineStr">
        <is>
          <t>UKPN</t>
        </is>
      </c>
      <c r="D1698" t="inlineStr">
        <is>
          <t>YP24 WRD , Vehicle , Ford , Ranger</t>
        </is>
      </c>
      <c r="E1698" t="inlineStr">
        <is>
          <t>YP24 WRD , Vehicle , Ford , Ranger</t>
        </is>
      </c>
      <c r="F1698" t="inlineStr">
        <is>
          <t>YP24 WRD , Vehicle , Ford , Ranger</t>
        </is>
      </c>
      <c r="G1698" t="inlineStr">
        <is>
          <t>Jacob Oram</t>
        </is>
      </c>
      <c r="H1698" t="inlineStr">
        <is>
          <t>4x4</t>
        </is>
      </c>
      <c r="I1698" t="inlineStr">
        <is>
          <t>Daily/ Weekly Vehicle Inspection</t>
        </is>
      </c>
      <c r="J1698" t="inlineStr">
        <is>
          <t>N/A</t>
        </is>
      </c>
      <c r="K1698" t="inlineStr">
        <is>
          <t>7995 Contour Landscapes Ltd 2</t>
        </is>
      </c>
      <c r="L1698" t="inlineStr">
        <is>
          <t>06/10/2025 08:31</t>
        </is>
      </c>
      <c r="M1698" t="inlineStr">
        <is>
          <t>None</t>
        </is>
      </c>
      <c r="N1698" t="inlineStr">
        <is>
          <t>&lt;p&gt;&lt;/p&gt;</t>
        </is>
      </c>
      <c r="O1698" t="inlineStr"/>
      <c r="P1698" t="inlineStr">
        <is>
          <t>YP24 WRD , Vehicle , Ford , Ranger</t>
        </is>
      </c>
      <c r="Q1698" t="inlineStr">
        <is>
          <t>UKPN</t>
        </is>
      </c>
      <c r="R1698" t="b">
        <v>0</v>
      </c>
    </row>
    <row r="1699">
      <c r="A1699" t="inlineStr">
        <is>
          <t>6 Oct 2025 / 7186 Eastwoodbury Tree Services Ltd / Utilities / UKPN</t>
        </is>
      </c>
      <c r="B1699" t="inlineStr">
        <is>
          <t>Utilities</t>
        </is>
      </c>
      <c r="C1699" t="inlineStr">
        <is>
          <t>UKPN</t>
        </is>
      </c>
      <c r="D1699" t="inlineStr">
        <is>
          <t>4x4 - Land rover  - Defenders  - WF13 EKM</t>
        </is>
      </c>
      <c r="E1699" t="inlineStr">
        <is>
          <t>4x4 - Land rover  - Defenders  - WF13 EKM</t>
        </is>
      </c>
      <c r="F1699" t="inlineStr">
        <is>
          <t>4x4 - Land rover  - Defenders  - WF13 EKM</t>
        </is>
      </c>
      <c r="G1699" t="inlineStr">
        <is>
          <t xml:space="preserve">Jay Denkmayer </t>
        </is>
      </c>
      <c r="H1699" t="inlineStr">
        <is>
          <t>4x4</t>
        </is>
      </c>
      <c r="I1699" t="inlineStr">
        <is>
          <t>Daily/ Weekly Vehicle Inspection</t>
        </is>
      </c>
      <c r="J1699" t="inlineStr">
        <is>
          <t>N/A</t>
        </is>
      </c>
      <c r="K1699" t="inlineStr">
        <is>
          <t>7186 Eastwoodbury Tree Services Ltd</t>
        </is>
      </c>
      <c r="L1699" t="inlineStr">
        <is>
          <t>06/10/2025 08:32</t>
        </is>
      </c>
      <c r="M1699" t="inlineStr">
        <is>
          <t>None</t>
        </is>
      </c>
      <c r="N1699" t="inlineStr">
        <is>
          <t>&lt;p&gt;&lt;/p&gt;</t>
        </is>
      </c>
      <c r="O1699" t="inlineStr"/>
      <c r="P1699" t="inlineStr">
        <is>
          <t>4x4 - Land rover  - Defenders  - WF13 EKM</t>
        </is>
      </c>
      <c r="Q1699" t="inlineStr">
        <is>
          <t>UKPN</t>
        </is>
      </c>
      <c r="R1699" t="b">
        <v>0</v>
      </c>
    </row>
    <row r="1700">
      <c r="A1700" t="inlineStr">
        <is>
          <t>6 Oct 2025 / 7186 Eastwoodbury Tree Services Ltd / Utilities / UKPN</t>
        </is>
      </c>
      <c r="B1700" t="inlineStr">
        <is>
          <t>Utilities</t>
        </is>
      </c>
      <c r="C1700" t="inlineStr">
        <is>
          <t>UKPN</t>
        </is>
      </c>
      <c r="D1700" t="inlineStr">
        <is>
          <t>FN600XM , 4x4 , Land Rover  , Defender</t>
        </is>
      </c>
      <c r="E1700" t="inlineStr">
        <is>
          <t>FN600XM , 4x4 , Land Rover  , Defender</t>
        </is>
      </c>
      <c r="F1700" t="inlineStr">
        <is>
          <t>FN600XM , 4x4 , Land Rover  , Defender</t>
        </is>
      </c>
      <c r="G1700" t="inlineStr">
        <is>
          <t xml:space="preserve">Dan Gilbert </t>
        </is>
      </c>
      <c r="H1700" t="inlineStr">
        <is>
          <t>4x4</t>
        </is>
      </c>
      <c r="I1700" t="inlineStr">
        <is>
          <t>Daily/ Weekly Vehicle Inspection</t>
        </is>
      </c>
      <c r="J1700" t="inlineStr">
        <is>
          <t>N/A</t>
        </is>
      </c>
      <c r="K1700" t="inlineStr">
        <is>
          <t>7186 Eastwoodbury Tree Services Ltd</t>
        </is>
      </c>
      <c r="L1700" t="inlineStr">
        <is>
          <t>06/10/2025 08:33</t>
        </is>
      </c>
      <c r="M1700" t="inlineStr">
        <is>
          <t>None</t>
        </is>
      </c>
      <c r="N1700" t="inlineStr">
        <is>
          <t>&lt;p&gt;&lt;/p&gt;</t>
        </is>
      </c>
      <c r="O1700" t="inlineStr"/>
      <c r="P1700" t="inlineStr">
        <is>
          <t>FN600XM , 4x4 , Land Rover  , Defender</t>
        </is>
      </c>
      <c r="Q1700" t="inlineStr">
        <is>
          <t>UKPN</t>
        </is>
      </c>
      <c r="R1700" t="b">
        <v>0</v>
      </c>
    </row>
    <row r="1701">
      <c r="A1701" t="inlineStr">
        <is>
          <t>6 Oct 2025 / Thomas Nandi / Utilities / SSE</t>
        </is>
      </c>
      <c r="B1701" t="inlineStr">
        <is>
          <t>Utilities</t>
        </is>
      </c>
      <c r="C1701" t="inlineStr">
        <is>
          <t>SSE</t>
        </is>
      </c>
      <c r="D1701" t="inlineStr"/>
      <c r="E1701" t="inlineStr"/>
      <c r="F1701" t="inlineStr"/>
      <c r="G1701" t="inlineStr">
        <is>
          <t xml:space="preserve">Tom Nandi </t>
        </is>
      </c>
      <c r="H1701" t="inlineStr">
        <is>
          <t>Car - Petrol</t>
        </is>
      </c>
      <c r="I1701" t="inlineStr">
        <is>
          <t>Monthly Vehicle Inspection</t>
        </is>
      </c>
      <c r="J1701" t="inlineStr">
        <is>
          <t>2120</t>
        </is>
      </c>
      <c r="K1701" t="inlineStr">
        <is>
          <t>Thomas Nandi</t>
        </is>
      </c>
      <c r="L1701" t="inlineStr">
        <is>
          <t>06/10/2025 09:27</t>
        </is>
      </c>
      <c r="M1701" t="inlineStr">
        <is>
          <t>None</t>
        </is>
      </c>
      <c r="N1701" t="inlineStr">
        <is>
          <t>&lt;p&gt;&lt;/p&gt;</t>
        </is>
      </c>
      <c r="O1701" t="inlineStr"/>
      <c r="P1701" t="inlineStr"/>
      <c r="Q1701" t="inlineStr">
        <is>
          <t>SSE</t>
        </is>
      </c>
      <c r="R1701" t="b">
        <v>0</v>
      </c>
    </row>
    <row r="1702">
      <c r="A1702" t="inlineStr">
        <is>
          <t>6 Oct 2025 / Anthony Gale / Utilities / UKPN</t>
        </is>
      </c>
      <c r="B1702" t="inlineStr">
        <is>
          <t>Utilities</t>
        </is>
      </c>
      <c r="C1702" t="inlineStr">
        <is>
          <t>UKPN</t>
        </is>
      </c>
      <c r="D1702" t="inlineStr">
        <is>
          <t>PE07 HGL , Vehicle , Mitsubishi , L200 K74</t>
        </is>
      </c>
      <c r="E1702" t="inlineStr">
        <is>
          <t>PE07 HGL , Vehicle , Mitsubishi , L200 K74</t>
        </is>
      </c>
      <c r="F1702" t="inlineStr">
        <is>
          <t>PE07 HGL , Vehicle , Mitsubishi , L200 K74</t>
        </is>
      </c>
      <c r="G1702" t="inlineStr">
        <is>
          <t>Anthony Gale</t>
        </is>
      </c>
      <c r="H1702" t="inlineStr">
        <is>
          <t>Pickup Truck</t>
        </is>
      </c>
      <c r="I1702" t="inlineStr">
        <is>
          <t>Daily/ Weekly Vehicle Inspection</t>
        </is>
      </c>
      <c r="J1702" t="inlineStr">
        <is>
          <t>N/A</t>
        </is>
      </c>
      <c r="K1702" t="inlineStr">
        <is>
          <t>7996 M G Tree Surgery Ltd 1</t>
        </is>
      </c>
      <c r="L1702" t="inlineStr">
        <is>
          <t>06/10/2025 10:25</t>
        </is>
      </c>
      <c r="M1702" t="inlineStr">
        <is>
          <t>None</t>
        </is>
      </c>
      <c r="N1702" t="inlineStr">
        <is>
          <t>&lt;p&gt;&lt;/p&gt;</t>
        </is>
      </c>
      <c r="O1702" t="inlineStr"/>
      <c r="P1702" t="inlineStr">
        <is>
          <t>PE07 HGL , Vehicle , Mitsubishi , L200 K74</t>
        </is>
      </c>
      <c r="Q1702" t="inlineStr">
        <is>
          <t>UKPN</t>
        </is>
      </c>
      <c r="R1702" t="b">
        <v>0</v>
      </c>
    </row>
    <row r="1703">
      <c r="A1703" t="inlineStr">
        <is>
          <t>6 Oct 2025 / Joe Sauvage / Utilities / SSE</t>
        </is>
      </c>
      <c r="B1703" t="inlineStr">
        <is>
          <t>Utilities</t>
        </is>
      </c>
      <c r="C1703" t="inlineStr">
        <is>
          <t>SSE</t>
        </is>
      </c>
      <c r="D1703" t="inlineStr">
        <is>
          <t>EO18AEW , Car - Petrol , Ford , Kuga</t>
        </is>
      </c>
      <c r="E1703" t="inlineStr">
        <is>
          <t>EO18AEW , Car - Petrol , Ford , Kuga</t>
        </is>
      </c>
      <c r="F1703" t="inlineStr">
        <is>
          <t>EO18AEW , Car - Petrol , Ford , Kuga</t>
        </is>
      </c>
      <c r="G1703" t="inlineStr">
        <is>
          <t>Joe Sauvage</t>
        </is>
      </c>
      <c r="H1703" t="inlineStr">
        <is>
          <t>Car - Diesel</t>
        </is>
      </c>
      <c r="I1703" t="inlineStr">
        <is>
          <t>Daily/ Weekly Vehicle Inspection</t>
        </is>
      </c>
      <c r="J1703" t="inlineStr">
        <is>
          <t>N/A</t>
        </is>
      </c>
      <c r="K1703" t="inlineStr">
        <is>
          <t>Joe Sauvage</t>
        </is>
      </c>
      <c r="L1703" t="inlineStr">
        <is>
          <t>06/10/2025 11:31</t>
        </is>
      </c>
      <c r="M1703" t="inlineStr">
        <is>
          <t>None</t>
        </is>
      </c>
      <c r="N1703" t="inlineStr">
        <is>
          <t>&lt;p&gt;&lt;/p&gt;</t>
        </is>
      </c>
      <c r="O1703" t="inlineStr"/>
      <c r="P1703" t="inlineStr">
        <is>
          <t>EO18AEW , Car - Petrol , Ford , Kuga</t>
        </is>
      </c>
      <c r="Q1703" t="inlineStr">
        <is>
          <t>SSE</t>
        </is>
      </c>
      <c r="R1703" t="b">
        <v>0</v>
      </c>
    </row>
    <row r="1704">
      <c r="A1704" t="inlineStr">
        <is>
          <t>6 Oct 2025 / Alexander Damar / Utilities / UKPN</t>
        </is>
      </c>
      <c r="B1704" t="inlineStr">
        <is>
          <t>Utilities</t>
        </is>
      </c>
      <c r="C1704" t="inlineStr">
        <is>
          <t>UKPN</t>
        </is>
      </c>
      <c r="D1704" t="inlineStr"/>
      <c r="E1704" t="inlineStr"/>
      <c r="F1704" t="inlineStr"/>
      <c r="G1704" t="inlineStr">
        <is>
          <t>A damar</t>
        </is>
      </c>
      <c r="H1704" t="inlineStr">
        <is>
          <t>Car - Petrol</t>
        </is>
      </c>
      <c r="I1704" t="inlineStr">
        <is>
          <t>Daily/ Weekly Vehicle Inspection</t>
        </is>
      </c>
      <c r="J1704" t="inlineStr">
        <is>
          <t>N/A</t>
        </is>
      </c>
      <c r="K1704" t="inlineStr">
        <is>
          <t>Alexander Damar</t>
        </is>
      </c>
      <c r="L1704" t="inlineStr">
        <is>
          <t>06/10/2025 20:25</t>
        </is>
      </c>
      <c r="M1704" t="inlineStr">
        <is>
          <t>None</t>
        </is>
      </c>
      <c r="N1704" t="inlineStr">
        <is>
          <t>&lt;p&gt;&lt;/p&gt;</t>
        </is>
      </c>
      <c r="O1704" t="inlineStr"/>
      <c r="P1704" t="inlineStr"/>
      <c r="Q1704" t="inlineStr">
        <is>
          <t>UKPN</t>
        </is>
      </c>
      <c r="R1704" t="b">
        <v>0</v>
      </c>
    </row>
    <row r="1705">
      <c r="A1705" t="inlineStr">
        <is>
          <t>7 Oct 2025 / 6556 DE UA SWales3 / Utilities / NGED</t>
        </is>
      </c>
      <c r="B1705" t="inlineStr">
        <is>
          <t>Utilities</t>
        </is>
      </c>
      <c r="C1705" t="inlineStr">
        <is>
          <t>NGED</t>
        </is>
      </c>
      <c r="D1705" t="inlineStr">
        <is>
          <t>BK72ZPG , N/A , Isuzu , D-Max</t>
        </is>
      </c>
      <c r="E1705" t="inlineStr">
        <is>
          <t>BK72ZPG , N/A , Isuzu , D-Max</t>
        </is>
      </c>
      <c r="F1705" t="inlineStr">
        <is>
          <t>BK72ZPG , N/A , Isuzu , D-Max</t>
        </is>
      </c>
      <c r="G1705" t="inlineStr">
        <is>
          <t xml:space="preserve">Adrian Evans </t>
        </is>
      </c>
      <c r="H1705" t="inlineStr">
        <is>
          <t>4x4</t>
        </is>
      </c>
      <c r="I1705" t="inlineStr">
        <is>
          <t>Daily/ Weekly Vehicle Inspection</t>
        </is>
      </c>
      <c r="J1705" t="inlineStr">
        <is>
          <t>N/A</t>
        </is>
      </c>
      <c r="K1705" t="inlineStr">
        <is>
          <t>6556 DE UA SWales3</t>
        </is>
      </c>
      <c r="L1705" t="inlineStr">
        <is>
          <t>07/10/2025 12:25</t>
        </is>
      </c>
      <c r="M1705" t="inlineStr">
        <is>
          <t>None</t>
        </is>
      </c>
      <c r="N1705" t="inlineStr">
        <is>
          <t>&lt;p&gt;&lt;/p&gt;</t>
        </is>
      </c>
      <c r="O1705" t="inlineStr"/>
      <c r="P1705" t="inlineStr">
        <is>
          <t>BK72ZPG , N/A , Isuzu , D-Max</t>
        </is>
      </c>
      <c r="Q1705" t="inlineStr">
        <is>
          <t>NGED</t>
        </is>
      </c>
      <c r="R1705" t="b">
        <v>0</v>
      </c>
    </row>
    <row r="1706">
      <c r="A1706" t="inlineStr">
        <is>
          <t>7 Oct 2025 / Anthony Gale / Utilities / UKPN</t>
        </is>
      </c>
      <c r="B1706" t="inlineStr">
        <is>
          <t>Utilities</t>
        </is>
      </c>
      <c r="C1706" t="inlineStr">
        <is>
          <t>UKPN</t>
        </is>
      </c>
      <c r="D1706" t="inlineStr">
        <is>
          <t>PE07 HGL , Vehicle , Mitsubishi , L200 K74</t>
        </is>
      </c>
      <c r="E1706" t="inlineStr">
        <is>
          <t>PE07 HGL , Vehicle , Mitsubishi , L200 K74</t>
        </is>
      </c>
      <c r="F1706" t="inlineStr">
        <is>
          <t>PE07 HGL , Vehicle , Mitsubishi , L200 K74</t>
        </is>
      </c>
      <c r="G1706" t="inlineStr">
        <is>
          <t>Anthony Gale</t>
        </is>
      </c>
      <c r="H1706" t="inlineStr">
        <is>
          <t>Pickup Truck</t>
        </is>
      </c>
      <c r="I1706" t="inlineStr">
        <is>
          <t>Daily/ Weekly Vehicle Inspection</t>
        </is>
      </c>
      <c r="J1706" t="inlineStr">
        <is>
          <t>N/A</t>
        </is>
      </c>
      <c r="K1706" t="inlineStr">
        <is>
          <t>7996 M G Tree Surgery Ltd 1</t>
        </is>
      </c>
      <c r="L1706" t="inlineStr">
        <is>
          <t>07/10/2025 16:26</t>
        </is>
      </c>
      <c r="M1706" t="inlineStr">
        <is>
          <t>None</t>
        </is>
      </c>
      <c r="N1706" t="inlineStr">
        <is>
          <t>&lt;p&gt;&lt;/p&gt;</t>
        </is>
      </c>
      <c r="O1706" t="inlineStr">
        <is>
          <t>Confirm that you have checked this vehicle as per the guidance document and the vehicle is safe and roadworthy:Drivers side wheel trim deteriorating.
Ok for now.
Monitor
-</t>
        </is>
      </c>
      <c r="P1706" t="inlineStr">
        <is>
          <t>PE07 HGL , Vehicle , Mitsubishi , L200 K74</t>
        </is>
      </c>
      <c r="Q1706" t="inlineStr">
        <is>
          <t>UKPN</t>
        </is>
      </c>
      <c r="R1706" t="b">
        <v>0</v>
      </c>
    </row>
    <row r="1707">
      <c r="A1707" t="inlineStr">
        <is>
          <t>8 Oct 2025 / 7951 Austin Tree Care LTD / Utilities / UKPN</t>
        </is>
      </c>
      <c r="B1707" t="inlineStr">
        <is>
          <t>Utilities</t>
        </is>
      </c>
      <c r="C1707" t="inlineStr">
        <is>
          <t>UKPN</t>
        </is>
      </c>
      <c r="D1707" t="inlineStr">
        <is>
          <t>SA9ST6P0001283612 , Tow Chipper , Forst , ST6p</t>
        </is>
      </c>
      <c r="E1707" t="inlineStr">
        <is>
          <t>SA9ST6P0001283612 , Tow Chipper , Forst , ST6p</t>
        </is>
      </c>
      <c r="F1707" t="inlineStr">
        <is>
          <t>SA9ST6P0001283612 , Tow Chipper , Forst , ST6p</t>
        </is>
      </c>
      <c r="G1707" t="inlineStr">
        <is>
          <t xml:space="preserve">Jack Austin </t>
        </is>
      </c>
      <c r="H1707" t="inlineStr">
        <is>
          <t>Towed Chipper</t>
        </is>
      </c>
      <c r="I1707" t="inlineStr">
        <is>
          <t>Daily/ Weekly Vehicle Inspection</t>
        </is>
      </c>
      <c r="J1707" t="inlineStr">
        <is>
          <t>N/A</t>
        </is>
      </c>
      <c r="K1707" t="inlineStr">
        <is>
          <t>7951 Austin Tree Care LTD</t>
        </is>
      </c>
      <c r="L1707" t="inlineStr">
        <is>
          <t>08/10/2025 07:25</t>
        </is>
      </c>
      <c r="M1707" t="inlineStr">
        <is>
          <t>None</t>
        </is>
      </c>
      <c r="N1707" t="inlineStr">
        <is>
          <t>&lt;p&gt;&lt;/p&gt;</t>
        </is>
      </c>
      <c r="O1707" t="inlineStr"/>
      <c r="P1707" t="inlineStr">
        <is>
          <t>SA9ST6P0001283612 , Tow Chipper , Forst , ST6p</t>
        </is>
      </c>
      <c r="Q1707" t="inlineStr">
        <is>
          <t>UKPN</t>
        </is>
      </c>
      <c r="R1707" t="b">
        <v>0</v>
      </c>
    </row>
    <row r="1708">
      <c r="A1708" t="inlineStr">
        <is>
          <t>8 Oct 2025 / 7806 Optimum Tree Services Ltd / Utilities / UKPN</t>
        </is>
      </c>
      <c r="B1708" t="inlineStr">
        <is>
          <t>Utilities</t>
        </is>
      </c>
      <c r="C1708" t="inlineStr">
        <is>
          <t>UKPN</t>
        </is>
      </c>
      <c r="D1708" t="inlineStr">
        <is>
          <t>SA9TAPLAF27414263 , Trailer , Tow Mate , Plant Trailer</t>
        </is>
      </c>
      <c r="E1708" t="inlineStr">
        <is>
          <t>SA9TAPLAF27414263 , Trailer , Tow Mate , Plant Trailer</t>
        </is>
      </c>
      <c r="F1708" t="inlineStr">
        <is>
          <t>SA9TAPLAF27414263 , Trailer , Tow Mate , Plant Trailer</t>
        </is>
      </c>
      <c r="G1708" t="inlineStr">
        <is>
          <t xml:space="preserve">Abraham Davies </t>
        </is>
      </c>
      <c r="H1708" t="inlineStr">
        <is>
          <t>Plant Trailer</t>
        </is>
      </c>
      <c r="I1708" t="inlineStr">
        <is>
          <t>Daily/ Weekly Vehicle Inspection</t>
        </is>
      </c>
      <c r="J1708" t="inlineStr">
        <is>
          <t>N/A</t>
        </is>
      </c>
      <c r="K1708" t="inlineStr">
        <is>
          <t>7806 Optimum Tree Services Ltd</t>
        </is>
      </c>
      <c r="L1708" t="inlineStr">
        <is>
          <t>08/10/2025 07:26</t>
        </is>
      </c>
      <c r="M1708" t="inlineStr">
        <is>
          <t>None</t>
        </is>
      </c>
      <c r="N1708" t="inlineStr">
        <is>
          <t>&lt;p&gt;&lt;/p&gt;</t>
        </is>
      </c>
      <c r="O1708" t="inlineStr"/>
      <c r="P1708" t="inlineStr">
        <is>
          <t>SA9TAPLAF27414263 , Trailer , Tow Mate , Plant Trailer</t>
        </is>
      </c>
      <c r="Q1708" t="inlineStr">
        <is>
          <t>UKPN</t>
        </is>
      </c>
      <c r="R1708" t="b">
        <v>0</v>
      </c>
    </row>
    <row r="1709">
      <c r="A1709" t="inlineStr">
        <is>
          <t>8 Oct 2025 / 7806 Optimum Tree Services Ltd / Utilities / UKPN</t>
        </is>
      </c>
      <c r="B1709" t="inlineStr">
        <is>
          <t>Utilities</t>
        </is>
      </c>
      <c r="C1709" t="inlineStr">
        <is>
          <t>UKPN</t>
        </is>
      </c>
      <c r="D1709" t="inlineStr">
        <is>
          <t>WD14EVB , MEWP , Land Rover , Defender</t>
        </is>
      </c>
      <c r="E1709" t="inlineStr">
        <is>
          <t>WD14EVB , MEWP , Land Rover , Defender</t>
        </is>
      </c>
      <c r="F1709" t="inlineStr">
        <is>
          <t>WD14EVB , MEWP , Land Rover , Defender</t>
        </is>
      </c>
      <c r="G1709" t="inlineStr">
        <is>
          <t xml:space="preserve">Abraham Davies </t>
        </is>
      </c>
      <c r="H1709" t="inlineStr">
        <is>
          <t>4x4</t>
        </is>
      </c>
      <c r="I1709" t="inlineStr">
        <is>
          <t>Daily/ Weekly Vehicle Inspection</t>
        </is>
      </c>
      <c r="J1709" t="inlineStr">
        <is>
          <t>N/A</t>
        </is>
      </c>
      <c r="K1709" t="inlineStr">
        <is>
          <t>7806 Optimum Tree Services Ltd</t>
        </is>
      </c>
      <c r="L1709" t="inlineStr">
        <is>
          <t>08/10/2025 07:26</t>
        </is>
      </c>
      <c r="M1709" t="inlineStr">
        <is>
          <t>None</t>
        </is>
      </c>
      <c r="N1709" t="inlineStr">
        <is>
          <t>&lt;p&gt;&lt;/p&gt;</t>
        </is>
      </c>
      <c r="O1709" t="inlineStr"/>
      <c r="P1709" t="inlineStr">
        <is>
          <t>WD14EVB , MEWP , Land Rover , Defender</t>
        </is>
      </c>
      <c r="Q1709" t="inlineStr">
        <is>
          <t>UKPN</t>
        </is>
      </c>
      <c r="R1709" t="b">
        <v>0</v>
      </c>
    </row>
    <row r="1710">
      <c r="A1710" t="inlineStr">
        <is>
          <t>8 Oct 2025 / 7889 Tree Tech Suffolk Ltd</t>
        </is>
      </c>
      <c r="B1710" t="inlineStr">
        <is>
          <t>Utilities &amp; Inland Waterways</t>
        </is>
      </c>
      <c r="C1710" t="inlineStr">
        <is>
          <t>UKPN</t>
        </is>
      </c>
      <c r="D1710" t="inlineStr">
        <is>
          <t>Tow Chipper - Jenson - A530L - 55210639484x4 - Isuzu - D-max - NS03 TTSTipper - Nissan - Navara - NS02TTS</t>
        </is>
      </c>
      <c r="E1710" t="inlineStr">
        <is>
          <t>Tow Chipper - Jenson - A530L - 55210639484x4 - Isuzu - D-max - NS03 TTSTipper - Nissan - Navara - NS02TTS</t>
        </is>
      </c>
      <c r="F1710" t="inlineStr">
        <is>
          <t>Tow Chipper - Jenson - A530L - 55210639484x4 - Isuzu - D-max - NS03 TTSTipper - Nissan - Navara - NS02TTS</t>
        </is>
      </c>
      <c r="G1710" t="inlineStr">
        <is>
          <t xml:space="preserve">Nikki sparrow Danny Appleby Nikki sparrow </t>
        </is>
      </c>
      <c r="H1710" t="inlineStr">
        <is>
          <t>Towed Chipper4x4Tipper</t>
        </is>
      </c>
      <c r="I1710" t="inlineStr">
        <is>
          <t>Daily/ Weekly Vehicle Inspection</t>
        </is>
      </c>
      <c r="J1710" t="inlineStr">
        <is>
          <t>N/A</t>
        </is>
      </c>
      <c r="K1710" t="inlineStr">
        <is>
          <t>7889 Tree Tech Suffolk Ltd</t>
        </is>
      </c>
      <c r="L1710" t="inlineStr">
        <is>
          <t>08/10/2025 07:28</t>
        </is>
      </c>
      <c r="M1710" t="inlineStr">
        <is>
          <t>None</t>
        </is>
      </c>
      <c r="N1710" t="inlineStr">
        <is>
          <t>&lt;p&gt;&lt;/p&gt;</t>
        </is>
      </c>
      <c r="O1710" t="inlineStr">
        <is>
          <t>Select Vehicle:KX65 FCZ. Tried adding vehicle but not showing up. Intermittent fault on side lights.Select Vehicle:Crack in windscreen. Address on next MOT if required</t>
        </is>
      </c>
      <c r="P1710" t="inlineStr">
        <is>
          <t>Tow Chipper - Jenson - A530L - 55210639484x4 - Isuzu - D-max - NS03 TTSTipper - Nissan - Navara - NS02TTS</t>
        </is>
      </c>
      <c r="Q1710" t="inlineStr">
        <is>
          <t>UKPN</t>
        </is>
      </c>
      <c r="R1710" t="b">
        <v>0</v>
      </c>
    </row>
    <row r="1711">
      <c r="A1711" t="inlineStr">
        <is>
          <t>8 Oct 2025 / 7186 Eastwoodbury Tree Services Ltd / Utilities / UKPN</t>
        </is>
      </c>
      <c r="B1711" t="inlineStr">
        <is>
          <t>Utilities</t>
        </is>
      </c>
      <c r="C1711" t="inlineStr">
        <is>
          <t>UKPN</t>
        </is>
      </c>
      <c r="D1711" t="inlineStr">
        <is>
          <t>4x4 - Land rover  - Defenders  - WF13 EKM</t>
        </is>
      </c>
      <c r="E1711" t="inlineStr">
        <is>
          <t>4x4 - Land rover  - Defenders  - WF13 EKM</t>
        </is>
      </c>
      <c r="F1711" t="inlineStr">
        <is>
          <t>4x4 - Land rover  - Defenders  - WF13 EKM</t>
        </is>
      </c>
      <c r="G1711" t="inlineStr">
        <is>
          <t xml:space="preserve">Jay Denkmayer </t>
        </is>
      </c>
      <c r="H1711" t="inlineStr">
        <is>
          <t>4x4</t>
        </is>
      </c>
      <c r="I1711" t="inlineStr">
        <is>
          <t>Daily/ Weekly Vehicle Inspection</t>
        </is>
      </c>
      <c r="J1711" t="inlineStr">
        <is>
          <t>N/A</t>
        </is>
      </c>
      <c r="K1711" t="inlineStr">
        <is>
          <t>7186 Eastwoodbury Tree Services Ltd</t>
        </is>
      </c>
      <c r="L1711" t="inlineStr">
        <is>
          <t>08/10/2025 08:27</t>
        </is>
      </c>
      <c r="M1711" t="inlineStr">
        <is>
          <t>None</t>
        </is>
      </c>
      <c r="N1711" t="inlineStr">
        <is>
          <t>&lt;p&gt;&lt;/p&gt;</t>
        </is>
      </c>
      <c r="O1711" t="inlineStr"/>
      <c r="P1711" t="inlineStr">
        <is>
          <t>4x4 - Land rover  - Defenders  - WF13 EKM</t>
        </is>
      </c>
      <c r="Q1711" t="inlineStr">
        <is>
          <t>UKPN</t>
        </is>
      </c>
      <c r="R1711" t="b">
        <v>0</v>
      </c>
    </row>
    <row r="1712">
      <c r="A1712" t="inlineStr">
        <is>
          <t>8 Oct 2025 / 7186 Eastwoodbury Tree Services Ltd / Utilities / UKPN</t>
        </is>
      </c>
      <c r="B1712" t="inlineStr">
        <is>
          <t>Utilities</t>
        </is>
      </c>
      <c r="C1712" t="inlineStr">
        <is>
          <t>UKPN</t>
        </is>
      </c>
      <c r="D1712" t="inlineStr">
        <is>
          <t>FN600XM , 4x4 , Land Rover  , Defender</t>
        </is>
      </c>
      <c r="E1712" t="inlineStr">
        <is>
          <t>FN600XM , 4x4 , Land Rover  , Defender</t>
        </is>
      </c>
      <c r="F1712" t="inlineStr">
        <is>
          <t>FN600XM , 4x4 , Land Rover  , Defender</t>
        </is>
      </c>
      <c r="G1712" t="inlineStr">
        <is>
          <t xml:space="preserve">Dan Gilbert </t>
        </is>
      </c>
      <c r="H1712" t="inlineStr">
        <is>
          <t>4x4</t>
        </is>
      </c>
      <c r="I1712" t="inlineStr">
        <is>
          <t>Daily/ Weekly Vehicle Inspection</t>
        </is>
      </c>
      <c r="J1712" t="inlineStr">
        <is>
          <t>N/A</t>
        </is>
      </c>
      <c r="K1712" t="inlineStr">
        <is>
          <t>7186 Eastwoodbury Tree Services Ltd</t>
        </is>
      </c>
      <c r="L1712" t="inlineStr">
        <is>
          <t>08/10/2025 08:27</t>
        </is>
      </c>
      <c r="M1712" t="inlineStr">
        <is>
          <t>None</t>
        </is>
      </c>
      <c r="N1712" t="inlineStr">
        <is>
          <t>&lt;p&gt;&lt;/p&gt;</t>
        </is>
      </c>
      <c r="O1712" t="inlineStr"/>
      <c r="P1712" t="inlineStr">
        <is>
          <t>FN600XM , 4x4 , Land Rover  , Defender</t>
        </is>
      </c>
      <c r="Q1712" t="inlineStr">
        <is>
          <t>UKPN</t>
        </is>
      </c>
      <c r="R1712" t="b">
        <v>0</v>
      </c>
    </row>
    <row r="1713">
      <c r="A1713" t="inlineStr">
        <is>
          <t>8 Oct 2025 / 7951 Austin Tree Care LTD / Utilities / UKPN</t>
        </is>
      </c>
      <c r="B1713" t="inlineStr">
        <is>
          <t>Utilities</t>
        </is>
      </c>
      <c r="C1713" t="inlineStr">
        <is>
          <t>UKPN</t>
        </is>
      </c>
      <c r="D1713" t="inlineStr">
        <is>
          <t>WF61 HZV , 4x4 MEWP , Land Rover , Defender</t>
        </is>
      </c>
      <c r="E1713" t="inlineStr">
        <is>
          <t>WF61 HZV , 4x4 MEWP , Land Rover , Defender</t>
        </is>
      </c>
      <c r="F1713" t="inlineStr">
        <is>
          <t>WF61 HZV , 4x4 MEWP , Land Rover , Defender</t>
        </is>
      </c>
      <c r="G1713" t="inlineStr">
        <is>
          <t xml:space="preserve">Jack Austin </t>
        </is>
      </c>
      <c r="H1713" t="inlineStr">
        <is>
          <t>4x4</t>
        </is>
      </c>
      <c r="I1713" t="inlineStr">
        <is>
          <t>Daily/ Weekly Vehicle Inspection</t>
        </is>
      </c>
      <c r="J1713" t="inlineStr">
        <is>
          <t>N/A</t>
        </is>
      </c>
      <c r="K1713" t="inlineStr">
        <is>
          <t>7951 Austin Tree Care LTD</t>
        </is>
      </c>
      <c r="L1713" t="inlineStr">
        <is>
          <t>08/10/2025 08:29</t>
        </is>
      </c>
      <c r="M1713" t="inlineStr">
        <is>
          <t>None</t>
        </is>
      </c>
      <c r="N1713" t="inlineStr">
        <is>
          <t>&lt;p&gt;&lt;/p&gt;</t>
        </is>
      </c>
      <c r="O1713" t="inlineStr"/>
      <c r="P1713" t="inlineStr">
        <is>
          <t>WF61 HZV , 4x4 MEWP , Land Rover , Defender</t>
        </is>
      </c>
      <c r="Q1713" t="inlineStr">
        <is>
          <t>UKPN</t>
        </is>
      </c>
      <c r="R1713" t="b">
        <v>0</v>
      </c>
    </row>
    <row r="1714">
      <c r="A1714" t="inlineStr">
        <is>
          <t>8 Oct 2025 / Thomas Playford / Utilities / UKPN</t>
        </is>
      </c>
      <c r="B1714" t="inlineStr">
        <is>
          <t>Utilities</t>
        </is>
      </c>
      <c r="C1714" t="inlineStr">
        <is>
          <t>UKPN</t>
        </is>
      </c>
      <c r="D1714" t="inlineStr">
        <is>
          <t>SA9ST800000283944 , Tow Chipper , Forst , ST8D - Towed</t>
        </is>
      </c>
      <c r="E1714" t="inlineStr">
        <is>
          <t>SA9ST800000283944 , Tow Chipper , Forst , ST8D - Towed</t>
        </is>
      </c>
      <c r="F1714" t="inlineStr">
        <is>
          <t>SA9ST800000283944 , Tow Chipper , Forst , ST8D - Towed</t>
        </is>
      </c>
      <c r="G1714" t="inlineStr">
        <is>
          <t>Jacob Oram</t>
        </is>
      </c>
      <c r="H1714" t="inlineStr">
        <is>
          <t>Towed Chipper</t>
        </is>
      </c>
      <c r="I1714" t="inlineStr">
        <is>
          <t>Daily/ Weekly Vehicle Inspection</t>
        </is>
      </c>
      <c r="J1714" t="inlineStr">
        <is>
          <t>N/A</t>
        </is>
      </c>
      <c r="K1714" t="inlineStr">
        <is>
          <t>7995 Contour Landscapes Ltd 2</t>
        </is>
      </c>
      <c r="L1714" t="inlineStr">
        <is>
          <t>08/10/2025 09:25</t>
        </is>
      </c>
      <c r="M1714" t="inlineStr">
        <is>
          <t>None</t>
        </is>
      </c>
      <c r="N1714" t="inlineStr">
        <is>
          <t>&lt;p&gt;&lt;/p&gt;</t>
        </is>
      </c>
      <c r="O1714" t="inlineStr"/>
      <c r="P1714" t="inlineStr">
        <is>
          <t>SA9ST800000283944 , Tow Chipper , Forst , ST8D - Towed</t>
        </is>
      </c>
      <c r="Q1714" t="inlineStr">
        <is>
          <t>UKPN</t>
        </is>
      </c>
      <c r="R1714" t="b">
        <v>0</v>
      </c>
    </row>
    <row r="1715">
      <c r="A1715" t="inlineStr">
        <is>
          <t>8 Oct 2025 / Thomas Playford / Utilities / UKPN</t>
        </is>
      </c>
      <c r="B1715" t="inlineStr">
        <is>
          <t>Utilities</t>
        </is>
      </c>
      <c r="C1715" t="inlineStr">
        <is>
          <t>UKPN</t>
        </is>
      </c>
      <c r="D1715" t="inlineStr">
        <is>
          <t>YP24 WRD , Vehicle , Ford , Ranger</t>
        </is>
      </c>
      <c r="E1715" t="inlineStr">
        <is>
          <t>YP24 WRD , Vehicle , Ford , Ranger</t>
        </is>
      </c>
      <c r="F1715" t="inlineStr">
        <is>
          <t>YP24 WRD , Vehicle , Ford , Ranger</t>
        </is>
      </c>
      <c r="G1715" t="inlineStr">
        <is>
          <t>Jacob Oram</t>
        </is>
      </c>
      <c r="H1715" t="inlineStr">
        <is>
          <t>4x4</t>
        </is>
      </c>
      <c r="I1715" t="inlineStr">
        <is>
          <t>Daily/ Weekly Vehicle Inspection</t>
        </is>
      </c>
      <c r="J1715" t="inlineStr">
        <is>
          <t>N/A</t>
        </is>
      </c>
      <c r="K1715" t="inlineStr">
        <is>
          <t>7995 Contour Landscapes Ltd 2</t>
        </is>
      </c>
      <c r="L1715" t="inlineStr">
        <is>
          <t>08/10/2025 22:25</t>
        </is>
      </c>
      <c r="M1715" t="inlineStr">
        <is>
          <t>None</t>
        </is>
      </c>
      <c r="N1715" t="inlineStr">
        <is>
          <t>&lt;p&gt;&lt;/p&gt;</t>
        </is>
      </c>
      <c r="O1715" t="inlineStr"/>
      <c r="P1715" t="inlineStr">
        <is>
          <t>YP24 WRD , Vehicle , Ford , Ranger</t>
        </is>
      </c>
      <c r="Q1715" t="inlineStr">
        <is>
          <t>UKPN</t>
        </is>
      </c>
      <c r="R1715" t="b">
        <v>0</v>
      </c>
    </row>
    <row r="1716">
      <c r="A1716" t="inlineStr">
        <is>
          <t>9 Oct 2025 / 3098 D &amp; R Landscapes (PEND Arb Rail) / Utilities / UKPN</t>
        </is>
      </c>
      <c r="B1716" t="inlineStr">
        <is>
          <t>Utilities</t>
        </is>
      </c>
      <c r="C1716" t="inlineStr">
        <is>
          <t>UKPN</t>
        </is>
      </c>
      <c r="D1716" t="inlineStr">
        <is>
          <t>DE68XHA , Tipper , Isuzu , Grafter</t>
        </is>
      </c>
      <c r="E1716" t="inlineStr">
        <is>
          <t>DE68XHA , Tipper , Isuzu , Grafter</t>
        </is>
      </c>
      <c r="F1716" t="inlineStr">
        <is>
          <t>DE68XHA , Tipper , Isuzu , Grafter</t>
        </is>
      </c>
      <c r="G1716" t="inlineStr">
        <is>
          <t xml:space="preserve">Rob </t>
        </is>
      </c>
      <c r="H1716" t="inlineStr">
        <is>
          <t>Tipper</t>
        </is>
      </c>
      <c r="I1716" t="inlineStr">
        <is>
          <t>Daily/ Weekly Vehicle Inspection</t>
        </is>
      </c>
      <c r="J1716" t="inlineStr">
        <is>
          <t>N/A</t>
        </is>
      </c>
      <c r="K1716" t="inlineStr">
        <is>
          <t>3098 D &amp; R Landscapes</t>
        </is>
      </c>
      <c r="L1716" t="inlineStr">
        <is>
          <t>09/10/2025 07:25</t>
        </is>
      </c>
      <c r="M1716" t="inlineStr">
        <is>
          <t>None</t>
        </is>
      </c>
      <c r="N1716" t="inlineStr">
        <is>
          <t>&lt;p&gt;&lt;/p&gt;</t>
        </is>
      </c>
      <c r="O1716" t="inlineStr"/>
      <c r="P1716" t="inlineStr">
        <is>
          <t>DE68XHA , Tipper , Isuzu , Grafter</t>
        </is>
      </c>
      <c r="Q1716" t="inlineStr">
        <is>
          <t>UKPN</t>
        </is>
      </c>
      <c r="R1716" t="b">
        <v>0</v>
      </c>
    </row>
    <row r="1717">
      <c r="A1717" t="inlineStr">
        <is>
          <t>9 Oct 2025 / 3098 D &amp; R Landscapes (PEND Arb Rail) / Utilities / UKPN</t>
        </is>
      </c>
      <c r="B1717" t="inlineStr">
        <is>
          <t>Utilities</t>
        </is>
      </c>
      <c r="C1717" t="inlineStr">
        <is>
          <t>UKPN</t>
        </is>
      </c>
      <c r="D1717" t="inlineStr">
        <is>
          <t>WA13ZZK , 4x4 , Land Rover  , Defender</t>
        </is>
      </c>
      <c r="E1717" t="inlineStr">
        <is>
          <t>WA13ZZK , 4x4 , Land Rover  , Defender</t>
        </is>
      </c>
      <c r="F1717" t="inlineStr">
        <is>
          <t>WA13ZZK , 4x4 , Land Rover  , Defender</t>
        </is>
      </c>
      <c r="G1717" t="inlineStr">
        <is>
          <t xml:space="preserve">Chris </t>
        </is>
      </c>
      <c r="H1717" t="inlineStr">
        <is>
          <t>4x4</t>
        </is>
      </c>
      <c r="I1717" t="inlineStr">
        <is>
          <t>Daily/ Weekly Vehicle Inspection</t>
        </is>
      </c>
      <c r="J1717" t="inlineStr">
        <is>
          <t>N/A</t>
        </is>
      </c>
      <c r="K1717" t="inlineStr">
        <is>
          <t>3098 D &amp; R Landscapes</t>
        </is>
      </c>
      <c r="L1717" t="inlineStr">
        <is>
          <t>09/10/2025 07:26</t>
        </is>
      </c>
      <c r="M1717" t="inlineStr">
        <is>
          <t>None</t>
        </is>
      </c>
      <c r="N1717" t="inlineStr">
        <is>
          <t>&lt;p&gt;&lt;/p&gt;</t>
        </is>
      </c>
      <c r="O1717" t="inlineStr"/>
      <c r="P1717" t="inlineStr">
        <is>
          <t>WA13ZZK , 4x4 , Land Rover  , Defender</t>
        </is>
      </c>
      <c r="Q1717" t="inlineStr">
        <is>
          <t>UKPN</t>
        </is>
      </c>
      <c r="R1717" t="b">
        <v>0</v>
      </c>
    </row>
    <row r="1718">
      <c r="A1718" t="inlineStr">
        <is>
          <t>9 Oct 2025 / 3098 D &amp; R Landscapes (PEND Arb Rail) / Utilities / UKPN</t>
        </is>
      </c>
      <c r="B1718" t="inlineStr">
        <is>
          <t>Utilities</t>
        </is>
      </c>
      <c r="C1718" t="inlineStr">
        <is>
          <t>UKPN</t>
        </is>
      </c>
      <c r="D1718" t="inlineStr">
        <is>
          <t>Vehicle - Nissan - Navara - BT20 GNZ</t>
        </is>
      </c>
      <c r="E1718" t="inlineStr">
        <is>
          <t>Vehicle - Nissan - Navara - BT20 GNZ</t>
        </is>
      </c>
      <c r="F1718" t="inlineStr">
        <is>
          <t>Vehicle - Nissan - Navara - BT20 GNZ</t>
        </is>
      </c>
      <c r="G1718" t="inlineStr">
        <is>
          <t>Jason</t>
        </is>
      </c>
      <c r="H1718" t="inlineStr">
        <is>
          <t>Pickup Truck</t>
        </is>
      </c>
      <c r="I1718" t="inlineStr">
        <is>
          <t>Daily/ Weekly Vehicle Inspection</t>
        </is>
      </c>
      <c r="J1718" t="inlineStr">
        <is>
          <t>N/A</t>
        </is>
      </c>
      <c r="K1718" t="inlineStr">
        <is>
          <t>3098 D &amp; R Landscapes</t>
        </is>
      </c>
      <c r="L1718" t="inlineStr">
        <is>
          <t>09/10/2025 07:27</t>
        </is>
      </c>
      <c r="M1718" t="inlineStr">
        <is>
          <t>None</t>
        </is>
      </c>
      <c r="N1718" t="inlineStr">
        <is>
          <t>&lt;p&gt;&lt;/p&gt;</t>
        </is>
      </c>
      <c r="O1718" t="inlineStr"/>
      <c r="P1718" t="inlineStr">
        <is>
          <t>Vehicle - Nissan - Navara - BT20 GNZ</t>
        </is>
      </c>
      <c r="Q1718" t="inlineStr">
        <is>
          <t>UKPN</t>
        </is>
      </c>
      <c r="R1718" t="b">
        <v>0</v>
      </c>
    </row>
    <row r="1719">
      <c r="A1719" t="inlineStr">
        <is>
          <t>9 Oct 2025 / 7186 Eastwoodbury Tree Services Ltd / Utilities / UKPN</t>
        </is>
      </c>
      <c r="B1719" t="inlineStr">
        <is>
          <t>Utilities</t>
        </is>
      </c>
      <c r="C1719" t="inlineStr">
        <is>
          <t>UKPN</t>
        </is>
      </c>
      <c r="D1719" t="inlineStr">
        <is>
          <t>DE53NKS , 4x4 , Ford , Ranger</t>
        </is>
      </c>
      <c r="E1719" t="inlineStr">
        <is>
          <t>DE53NKS , 4x4 , Ford , Ranger</t>
        </is>
      </c>
      <c r="F1719" t="inlineStr">
        <is>
          <t>DE53NKS , 4x4 , Ford , Ranger</t>
        </is>
      </c>
      <c r="G1719" t="inlineStr">
        <is>
          <t xml:space="preserve">Jay Denkmayer </t>
        </is>
      </c>
      <c r="H1719" t="inlineStr">
        <is>
          <t>Pickup Truck</t>
        </is>
      </c>
      <c r="I1719" t="inlineStr">
        <is>
          <t>Daily/ Weekly Vehicle Inspection</t>
        </is>
      </c>
      <c r="J1719" t="inlineStr">
        <is>
          <t>N/A</t>
        </is>
      </c>
      <c r="K1719" t="inlineStr">
        <is>
          <t>7186 Eastwoodbury Tree Services Ltd</t>
        </is>
      </c>
      <c r="L1719" t="inlineStr">
        <is>
          <t>09/10/2025 07:27</t>
        </is>
      </c>
      <c r="M1719" t="inlineStr">
        <is>
          <t>None</t>
        </is>
      </c>
      <c r="N1719" t="inlineStr">
        <is>
          <t>&lt;p&gt;&lt;/p&gt;</t>
        </is>
      </c>
      <c r="O1719" t="inlineStr"/>
      <c r="P1719" t="inlineStr">
        <is>
          <t>DE53NKS , 4x4 , Ford , Ranger</t>
        </is>
      </c>
      <c r="Q1719" t="inlineStr">
        <is>
          <t>UKPN</t>
        </is>
      </c>
      <c r="R1719" t="b">
        <v>0</v>
      </c>
    </row>
    <row r="1720">
      <c r="A1720" t="inlineStr">
        <is>
          <t>9 Oct 2025 / 7186 Eastwoodbury Tree Services Ltd / Utilities / UKPN</t>
        </is>
      </c>
      <c r="B1720" t="inlineStr">
        <is>
          <t>Utilities</t>
        </is>
      </c>
      <c r="C1720" t="inlineStr">
        <is>
          <t>UKPN</t>
        </is>
      </c>
      <c r="D1720" t="inlineStr">
        <is>
          <t>FN600XM , 4x4 , Land Rover  , Defender</t>
        </is>
      </c>
      <c r="E1720" t="inlineStr">
        <is>
          <t>FN600XM , 4x4 , Land Rover  , Defender</t>
        </is>
      </c>
      <c r="F1720" t="inlineStr">
        <is>
          <t>FN600XM , 4x4 , Land Rover  , Defender</t>
        </is>
      </c>
      <c r="G1720" t="inlineStr">
        <is>
          <t xml:space="preserve">Dan Gilbert </t>
        </is>
      </c>
      <c r="H1720" t="inlineStr">
        <is>
          <t>4x4</t>
        </is>
      </c>
      <c r="I1720" t="inlineStr">
        <is>
          <t>Daily/ Weekly Vehicle Inspection</t>
        </is>
      </c>
      <c r="J1720" t="inlineStr">
        <is>
          <t>N/A</t>
        </is>
      </c>
      <c r="K1720" t="inlineStr">
        <is>
          <t>7186 Eastwoodbury Tree Services Ltd</t>
        </is>
      </c>
      <c r="L1720" t="inlineStr">
        <is>
          <t>09/10/2025 07:28</t>
        </is>
      </c>
      <c r="M1720" t="inlineStr">
        <is>
          <t>None</t>
        </is>
      </c>
      <c r="N1720" t="inlineStr">
        <is>
          <t>&lt;p&gt;&lt;/p&gt;</t>
        </is>
      </c>
      <c r="O1720" t="inlineStr"/>
      <c r="P1720" t="inlineStr">
        <is>
          <t>FN600XM , 4x4 , Land Rover  , Defender</t>
        </is>
      </c>
      <c r="Q1720" t="inlineStr">
        <is>
          <t>UKPN</t>
        </is>
      </c>
      <c r="R1720" t="b">
        <v>0</v>
      </c>
    </row>
    <row r="1721">
      <c r="A1721" t="inlineStr">
        <is>
          <t>9 Oct 2025 / Anthony Gale / Utilities / UKPN</t>
        </is>
      </c>
      <c r="B1721" t="inlineStr">
        <is>
          <t>Utilities</t>
        </is>
      </c>
      <c r="C1721" t="inlineStr">
        <is>
          <t>UKPN</t>
        </is>
      </c>
      <c r="D1721" t="inlineStr">
        <is>
          <t>PE07 HGL , Vehicle , Mitsubishi , L200 K74</t>
        </is>
      </c>
      <c r="E1721" t="inlineStr">
        <is>
          <t>PE07 HGL , Vehicle , Mitsubishi , L200 K74</t>
        </is>
      </c>
      <c r="F1721" t="inlineStr">
        <is>
          <t>PE07 HGL , Vehicle , Mitsubishi , L200 K74</t>
        </is>
      </c>
      <c r="G1721" t="inlineStr">
        <is>
          <t>Anthony Gale</t>
        </is>
      </c>
      <c r="H1721" t="inlineStr">
        <is>
          <t>Pickup Truck</t>
        </is>
      </c>
      <c r="I1721" t="inlineStr">
        <is>
          <t>Daily/ Weekly Vehicle Inspection</t>
        </is>
      </c>
      <c r="J1721" t="inlineStr">
        <is>
          <t>N/A</t>
        </is>
      </c>
      <c r="K1721" t="inlineStr">
        <is>
          <t>7996 M G Tree Surgery Ltd 1</t>
        </is>
      </c>
      <c r="L1721" t="inlineStr">
        <is>
          <t>09/10/2025 07:28</t>
        </is>
      </c>
      <c r="M1721" t="inlineStr">
        <is>
          <t>None</t>
        </is>
      </c>
      <c r="N1721" t="inlineStr">
        <is>
          <t>&lt;p&gt;&lt;/p&gt;</t>
        </is>
      </c>
      <c r="O1721" t="inlineStr">
        <is>
          <t>Type of vehicle:Drivers side wheel trim deteriorating.
Safe for now.
Monitor.</t>
        </is>
      </c>
      <c r="P1721" t="inlineStr">
        <is>
          <t>PE07 HGL , Vehicle , Mitsubishi , L200 K74</t>
        </is>
      </c>
      <c r="Q1721" t="inlineStr">
        <is>
          <t>UKPN</t>
        </is>
      </c>
      <c r="R1721" t="b">
        <v>0</v>
      </c>
    </row>
    <row r="1722">
      <c r="A1722" t="inlineStr">
        <is>
          <t>9 Oct 2025 / 7889 Tree Tech Suffolk Ltd</t>
        </is>
      </c>
      <c r="B1722" t="inlineStr">
        <is>
          <t>Utilities &amp; Inland Waterways</t>
        </is>
      </c>
      <c r="C1722" t="inlineStr">
        <is>
          <t>UKPN</t>
        </is>
      </c>
      <c r="D1722" t="inlineStr">
        <is>
          <t>Tow Chipper - Jenson - A530L - 55210639484x4 - Isuzu - D-max - NS03 TTSTipper - Nissan - Navara - NS02TTS</t>
        </is>
      </c>
      <c r="E1722" t="inlineStr">
        <is>
          <t>Tow Chipper - Jenson - A530L - 55210639484x4 - Isuzu - D-max - NS03 TTSTipper - Nissan - Navara - NS02TTS</t>
        </is>
      </c>
      <c r="F1722" t="inlineStr">
        <is>
          <t>Tow Chipper - Jenson - A530L - 55210639484x4 - Isuzu - D-max - NS03 TTSTipper - Nissan - Navara - NS02TTS</t>
        </is>
      </c>
      <c r="G1722" t="inlineStr">
        <is>
          <t xml:space="preserve">Nikki sparrow Danny Appleby Nikki sparrow </t>
        </is>
      </c>
      <c r="H1722" t="inlineStr">
        <is>
          <t>Towed Chipper4x4Tipper</t>
        </is>
      </c>
      <c r="I1722" t="inlineStr">
        <is>
          <t>Daily/ Weekly Vehicle Inspection</t>
        </is>
      </c>
      <c r="J1722" t="inlineStr">
        <is>
          <t>N/A</t>
        </is>
      </c>
      <c r="K1722" t="inlineStr">
        <is>
          <t>7889 Tree Tech Suffolk Ltd</t>
        </is>
      </c>
      <c r="L1722" t="inlineStr">
        <is>
          <t>09/10/2025 07:32</t>
        </is>
      </c>
      <c r="M1722" t="inlineStr">
        <is>
          <t>None</t>
        </is>
      </c>
      <c r="N1722" t="inlineStr">
        <is>
          <t>&lt;p&gt;&lt;/p&gt;</t>
        </is>
      </c>
      <c r="O1722" t="inlineStr">
        <is>
          <t>Select Vehicle:KX65 FCZ. Tried adding vehicle but not showing up. Intermittent fault on side lights.Select Vehicle:Crack in windscreen. Address on next MOT if required</t>
        </is>
      </c>
      <c r="P1722" t="inlineStr">
        <is>
          <t>Tow Chipper - Jenson - A530L - 55210639484x4 - Isuzu - D-max - NS03 TTSTipper - Nissan - Navara - NS02TTS</t>
        </is>
      </c>
      <c r="Q1722" t="inlineStr">
        <is>
          <t>UKPN</t>
        </is>
      </c>
      <c r="R1722" t="b">
        <v>0</v>
      </c>
    </row>
    <row r="1723">
      <c r="A1723" t="inlineStr">
        <is>
          <t>9 Oct 2025 / 7800 MAC Tree Surgery and Fencing Ltd / Utilities / UKPN</t>
        </is>
      </c>
      <c r="B1723" t="inlineStr">
        <is>
          <t>Utilities</t>
        </is>
      </c>
      <c r="C1723" t="inlineStr">
        <is>
          <t>UKPN</t>
        </is>
      </c>
      <c r="D1723" t="inlineStr">
        <is>
          <t>4x4 - Land rover  - Discovery  - Tr56mac</t>
        </is>
      </c>
      <c r="E1723" t="inlineStr">
        <is>
          <t>4x4 - Land rover  - Discovery  - Tr56mac</t>
        </is>
      </c>
      <c r="F1723" t="inlineStr">
        <is>
          <t>4x4 - Land rover  - Discovery  - Tr56mac</t>
        </is>
      </c>
      <c r="G1723" t="inlineStr">
        <is>
          <t xml:space="preserve">Lewis </t>
        </is>
      </c>
      <c r="H1723" t="inlineStr">
        <is>
          <t>4x4</t>
        </is>
      </c>
      <c r="I1723" t="inlineStr">
        <is>
          <t>Daily/ Weekly Vehicle Inspection</t>
        </is>
      </c>
      <c r="J1723" t="inlineStr">
        <is>
          <t>N/A</t>
        </is>
      </c>
      <c r="K1723" t="inlineStr">
        <is>
          <t>7800 MAC Tree Surgery and Fencing Ltd</t>
        </is>
      </c>
      <c r="L1723" t="inlineStr">
        <is>
          <t>09/10/2025 08:25</t>
        </is>
      </c>
      <c r="M1723" t="inlineStr">
        <is>
          <t>None</t>
        </is>
      </c>
      <c r="N1723" t="inlineStr">
        <is>
          <t>&lt;p&gt;&lt;/p&gt;</t>
        </is>
      </c>
      <c r="O1723" t="inlineStr"/>
      <c r="P1723" t="inlineStr">
        <is>
          <t>4x4 - Land rover  - Discovery  - Tr56mac</t>
        </is>
      </c>
      <c r="Q1723" t="inlineStr">
        <is>
          <t>UKPN</t>
        </is>
      </c>
      <c r="R1723" t="b">
        <v>0</v>
      </c>
    </row>
    <row r="1724">
      <c r="A1724" t="inlineStr">
        <is>
          <t>9 Oct 2025 / 7996 M G Tree Surgery Ltd / Utilities / UKPN</t>
        </is>
      </c>
      <c r="B1724" t="inlineStr">
        <is>
          <t>Utilities</t>
        </is>
      </c>
      <c r="C1724" t="inlineStr">
        <is>
          <t>UKPN</t>
        </is>
      </c>
      <c r="D1724" t="inlineStr">
        <is>
          <t>GU13 WNL , MEWP , Land Rover , Defender 130</t>
        </is>
      </c>
      <c r="E1724" t="inlineStr">
        <is>
          <t>GU13 WNL , MEWP , Land Rover , Defender 130</t>
        </is>
      </c>
      <c r="F1724" t="inlineStr">
        <is>
          <t>GU13 WNL , MEWP , Land Rover , Defender 130</t>
        </is>
      </c>
      <c r="G1724" t="inlineStr">
        <is>
          <t>Max</t>
        </is>
      </c>
      <c r="H1724" t="inlineStr">
        <is>
          <t>Pickup Truck</t>
        </is>
      </c>
      <c r="I1724" t="inlineStr">
        <is>
          <t>Daily/ Weekly Vehicle Inspection</t>
        </is>
      </c>
      <c r="J1724" t="inlineStr">
        <is>
          <t>N/A</t>
        </is>
      </c>
      <c r="K1724" t="inlineStr">
        <is>
          <t>7996 M G Tree Surgery Ltd</t>
        </is>
      </c>
      <c r="L1724" t="inlineStr">
        <is>
          <t>09/10/2025 08:28</t>
        </is>
      </c>
      <c r="M1724" t="inlineStr">
        <is>
          <t>None</t>
        </is>
      </c>
      <c r="N1724" t="inlineStr">
        <is>
          <t>&lt;p&gt;&lt;/p&gt;</t>
        </is>
      </c>
      <c r="O1724" t="inlineStr"/>
      <c r="P1724" t="inlineStr">
        <is>
          <t>GU13 WNL , MEWP , Land Rover , Defender 130</t>
        </is>
      </c>
      <c r="Q1724" t="inlineStr">
        <is>
          <t>UKPN</t>
        </is>
      </c>
      <c r="R1724" t="b">
        <v>0</v>
      </c>
    </row>
    <row r="1725">
      <c r="A1725" t="inlineStr">
        <is>
          <t>9 Oct 2025 / 7951 Austin Tree Care LTD 1 / Utilities / UKPN</t>
        </is>
      </c>
      <c r="B1725" t="inlineStr">
        <is>
          <t>Utilities</t>
        </is>
      </c>
      <c r="C1725" t="inlineStr">
        <is>
          <t>UKPN</t>
        </is>
      </c>
      <c r="D1725" t="inlineStr">
        <is>
          <t>WF61 HZV , 4x4 MEWP , Land Rover , Defender</t>
        </is>
      </c>
      <c r="E1725" t="inlineStr">
        <is>
          <t>WF61 HZV , 4x4 MEWP , Land Rover , Defender</t>
        </is>
      </c>
      <c r="F1725" t="inlineStr">
        <is>
          <t>WF61 HZV , 4x4 MEWP , Land Rover , Defender</t>
        </is>
      </c>
      <c r="G1725" t="inlineStr">
        <is>
          <t xml:space="preserve">Jack Austin </t>
        </is>
      </c>
      <c r="H1725" t="inlineStr">
        <is>
          <t>4x4</t>
        </is>
      </c>
      <c r="I1725" t="inlineStr">
        <is>
          <t>Daily/ Weekly Vehicle Inspection</t>
        </is>
      </c>
      <c r="J1725" t="inlineStr">
        <is>
          <t>N/A</t>
        </is>
      </c>
      <c r="K1725" t="inlineStr">
        <is>
          <t>7951 Austin Tree Care LTD 1</t>
        </is>
      </c>
      <c r="L1725" t="inlineStr">
        <is>
          <t>09/10/2025 08:29</t>
        </is>
      </c>
      <c r="M1725" t="inlineStr">
        <is>
          <t>None</t>
        </is>
      </c>
      <c r="N1725" t="inlineStr">
        <is>
          <t>&lt;p&gt;&lt;/p&gt;</t>
        </is>
      </c>
      <c r="O1725" t="inlineStr"/>
      <c r="P1725" t="inlineStr">
        <is>
          <t>WF61 HZV , 4x4 MEWP , Land Rover , Defender</t>
        </is>
      </c>
      <c r="Q1725" t="inlineStr">
        <is>
          <t>UKPN</t>
        </is>
      </c>
      <c r="R1725" t="b">
        <v>0</v>
      </c>
    </row>
    <row r="1726">
      <c r="A1726" t="inlineStr">
        <is>
          <t>9 Oct 2025 / Anthony Gale / Utilities / UKPN</t>
        </is>
      </c>
      <c r="B1726" t="inlineStr">
        <is>
          <t>Utilities</t>
        </is>
      </c>
      <c r="C1726" t="inlineStr">
        <is>
          <t>UKPN</t>
        </is>
      </c>
      <c r="D1726" t="inlineStr">
        <is>
          <t>PE07 HGL , Vehicle , Mitsubishi , L200 K74</t>
        </is>
      </c>
      <c r="E1726" t="inlineStr">
        <is>
          <t>PE07 HGL , Vehicle , Mitsubishi , L200 K74</t>
        </is>
      </c>
      <c r="F1726" t="inlineStr">
        <is>
          <t>PE07 HGL , Vehicle , Mitsubishi , L200 K74</t>
        </is>
      </c>
      <c r="G1726" t="inlineStr">
        <is>
          <t>Anthony Gale</t>
        </is>
      </c>
      <c r="H1726" t="inlineStr">
        <is>
          <t>Pickup Truck</t>
        </is>
      </c>
      <c r="I1726" t="inlineStr">
        <is>
          <t>Daily/ Weekly Vehicle Inspection</t>
        </is>
      </c>
      <c r="J1726" t="inlineStr">
        <is>
          <t>N/A</t>
        </is>
      </c>
      <c r="K1726" t="inlineStr">
        <is>
          <t>7996 M G Tree Surgery Ltd 1</t>
        </is>
      </c>
      <c r="L1726" t="inlineStr">
        <is>
          <t>09/10/2025 12:26</t>
        </is>
      </c>
      <c r="M1726" t="inlineStr">
        <is>
          <t>None</t>
        </is>
      </c>
      <c r="N1726" t="inlineStr">
        <is>
          <t>&lt;p&gt;&lt;/p&gt;</t>
        </is>
      </c>
      <c r="O1726" t="inlineStr">
        <is>
          <t>Type of vehicle:Drivers side wheel trim deteriorating.
Safe for now.
Monitor.</t>
        </is>
      </c>
      <c r="P1726" t="inlineStr">
        <is>
          <t>PE07 HGL , Vehicle , Mitsubishi , L200 K74</t>
        </is>
      </c>
      <c r="Q1726" t="inlineStr">
        <is>
          <t>UKPN</t>
        </is>
      </c>
      <c r="R1726" t="b">
        <v>0</v>
      </c>
    </row>
    <row r="1727">
      <c r="A1727" t="inlineStr">
        <is>
          <t>10 Oct 2025 / Anthony Gale / Utilities / UKPN</t>
        </is>
      </c>
      <c r="B1727" t="inlineStr">
        <is>
          <t>Utilities</t>
        </is>
      </c>
      <c r="C1727" t="inlineStr">
        <is>
          <t>UKPN</t>
        </is>
      </c>
      <c r="D1727" t="inlineStr">
        <is>
          <t>PE07 HGL , Vehicle , Mitsubishi , L200 K74</t>
        </is>
      </c>
      <c r="E1727" t="inlineStr">
        <is>
          <t>PE07 HGL , Vehicle , Mitsubishi , L200 K74</t>
        </is>
      </c>
      <c r="F1727" t="inlineStr">
        <is>
          <t>PE07 HGL , Vehicle , Mitsubishi , L200 K74</t>
        </is>
      </c>
      <c r="G1727" t="inlineStr">
        <is>
          <t>Anthony Gale</t>
        </is>
      </c>
      <c r="H1727" t="inlineStr">
        <is>
          <t>Pickup Truck</t>
        </is>
      </c>
      <c r="I1727" t="inlineStr">
        <is>
          <t>Daily/ Weekly Vehicle Inspection</t>
        </is>
      </c>
      <c r="J1727" t="inlineStr">
        <is>
          <t>N/A</t>
        </is>
      </c>
      <c r="K1727" t="inlineStr">
        <is>
          <t>7996 M G Tree Surgery Ltd 1</t>
        </is>
      </c>
      <c r="L1727" t="inlineStr">
        <is>
          <t>10/10/2025 07:25</t>
        </is>
      </c>
      <c r="M1727" t="inlineStr">
        <is>
          <t>None</t>
        </is>
      </c>
      <c r="N1727" t="inlineStr">
        <is>
          <t>&lt;p&gt;&lt;/p&gt;</t>
        </is>
      </c>
      <c r="O1727" t="inlineStr">
        <is>
          <t>Confirm that you have checked this vehicle as per the guidance document and the vehicle is safe and roadworthy:Drivers side wheel trim deteriorating, safe for now.
Monitor.
-</t>
        </is>
      </c>
      <c r="P1727" t="inlineStr">
        <is>
          <t>PE07 HGL , Vehicle , Mitsubishi , L200 K74</t>
        </is>
      </c>
      <c r="Q1727" t="inlineStr">
        <is>
          <t>UKPN</t>
        </is>
      </c>
      <c r="R1727" t="b">
        <v>0</v>
      </c>
    </row>
    <row r="1728">
      <c r="A1728" t="inlineStr">
        <is>
          <t>10 Oct 2025 / 7951 Austin Tree Care LTD 1 / Utilities / UKPN</t>
        </is>
      </c>
      <c r="B1728" t="inlineStr">
        <is>
          <t>Utilities</t>
        </is>
      </c>
      <c r="C1728" t="inlineStr">
        <is>
          <t>UKPN</t>
        </is>
      </c>
      <c r="D1728" t="inlineStr">
        <is>
          <t>WF61 HZV , 4x4 MEWP , Land Rover , Defender</t>
        </is>
      </c>
      <c r="E1728" t="inlineStr">
        <is>
          <t>WF61 HZV , 4x4 MEWP , Land Rover , Defender</t>
        </is>
      </c>
      <c r="F1728" t="inlineStr">
        <is>
          <t>WF61 HZV , 4x4 MEWP , Land Rover , Defender</t>
        </is>
      </c>
      <c r="G1728" t="inlineStr">
        <is>
          <t xml:space="preserve">Jack Austin </t>
        </is>
      </c>
      <c r="H1728" t="inlineStr">
        <is>
          <t>4x4</t>
        </is>
      </c>
      <c r="I1728" t="inlineStr">
        <is>
          <t>Daily/ Weekly Vehicle Inspection</t>
        </is>
      </c>
      <c r="J1728" t="inlineStr">
        <is>
          <t>N/A</t>
        </is>
      </c>
      <c r="K1728" t="inlineStr">
        <is>
          <t>7951 Austin Tree Care LTD 1</t>
        </is>
      </c>
      <c r="L1728" t="inlineStr">
        <is>
          <t>10/10/2025 07:26</t>
        </is>
      </c>
      <c r="M1728" t="inlineStr">
        <is>
          <t>None</t>
        </is>
      </c>
      <c r="N1728" t="inlineStr">
        <is>
          <t>&lt;p&gt;&lt;/p&gt;</t>
        </is>
      </c>
      <c r="O1728" t="inlineStr"/>
      <c r="P1728" t="inlineStr">
        <is>
          <t>WF61 HZV , 4x4 MEWP , Land Rover , Defender</t>
        </is>
      </c>
      <c r="Q1728" t="inlineStr">
        <is>
          <t>UKPN</t>
        </is>
      </c>
      <c r="R1728" t="b">
        <v>0</v>
      </c>
    </row>
    <row r="1729">
      <c r="A1729" t="inlineStr">
        <is>
          <t>10 Oct 2025 / 7186 Eastwoodbury Tree Services Ltd / Utilities / UKPN</t>
        </is>
      </c>
      <c r="B1729" t="inlineStr">
        <is>
          <t>Utilities</t>
        </is>
      </c>
      <c r="C1729" t="inlineStr">
        <is>
          <t>UKPN</t>
        </is>
      </c>
      <c r="D1729" t="inlineStr">
        <is>
          <t>DE53NKS , 4x4 , Ford , Ranger</t>
        </is>
      </c>
      <c r="E1729" t="inlineStr">
        <is>
          <t>DE53NKS , 4x4 , Ford , Ranger</t>
        </is>
      </c>
      <c r="F1729" t="inlineStr">
        <is>
          <t>DE53NKS , 4x4 , Ford , Ranger</t>
        </is>
      </c>
      <c r="G1729" t="inlineStr">
        <is>
          <t xml:space="preserve">Jay Denkmayer </t>
        </is>
      </c>
      <c r="H1729" t="inlineStr">
        <is>
          <t>Pickup Truck</t>
        </is>
      </c>
      <c r="I1729" t="inlineStr">
        <is>
          <t>Daily/ Weekly Vehicle Inspection</t>
        </is>
      </c>
      <c r="J1729" t="inlineStr">
        <is>
          <t>N/A</t>
        </is>
      </c>
      <c r="K1729" t="inlineStr">
        <is>
          <t>7186 Eastwoodbury Tree Services Ltd</t>
        </is>
      </c>
      <c r="L1729" t="inlineStr">
        <is>
          <t>10/10/2025 07:28</t>
        </is>
      </c>
      <c r="M1729" t="inlineStr">
        <is>
          <t>None</t>
        </is>
      </c>
      <c r="N1729" t="inlineStr">
        <is>
          <t>&lt;p&gt;&lt;/p&gt;</t>
        </is>
      </c>
      <c r="O1729" t="inlineStr"/>
      <c r="P1729" t="inlineStr">
        <is>
          <t>DE53NKS , 4x4 , Ford , Ranger</t>
        </is>
      </c>
      <c r="Q1729" t="inlineStr">
        <is>
          <t>UKPN</t>
        </is>
      </c>
      <c r="R1729" t="b">
        <v>0</v>
      </c>
    </row>
    <row r="1730">
      <c r="A1730" t="inlineStr">
        <is>
          <t>10 Oct 2025 / 7186 Eastwoodbury Tree Services Ltd / Utilities / UKPN</t>
        </is>
      </c>
      <c r="B1730" t="inlineStr">
        <is>
          <t>Utilities</t>
        </is>
      </c>
      <c r="C1730" t="inlineStr">
        <is>
          <t>UKPN</t>
        </is>
      </c>
      <c r="D1730" t="inlineStr">
        <is>
          <t>FN600XM , 4x4 , Land Rover  , Defender</t>
        </is>
      </c>
      <c r="E1730" t="inlineStr">
        <is>
          <t>FN600XM , 4x4 , Land Rover  , Defender</t>
        </is>
      </c>
      <c r="F1730" t="inlineStr">
        <is>
          <t>FN600XM , 4x4 , Land Rover  , Defender</t>
        </is>
      </c>
      <c r="G1730" t="inlineStr">
        <is>
          <t xml:space="preserve">Dan Gilbert </t>
        </is>
      </c>
      <c r="H1730" t="inlineStr">
        <is>
          <t>4x4</t>
        </is>
      </c>
      <c r="I1730" t="inlineStr">
        <is>
          <t>Daily/ Weekly Vehicle Inspection</t>
        </is>
      </c>
      <c r="J1730" t="inlineStr">
        <is>
          <t>N/A</t>
        </is>
      </c>
      <c r="K1730" t="inlineStr">
        <is>
          <t>7186 Eastwoodbury Tree Services Ltd</t>
        </is>
      </c>
      <c r="L1730" t="inlineStr">
        <is>
          <t>10/10/2025 07:29</t>
        </is>
      </c>
      <c r="M1730" t="inlineStr">
        <is>
          <t>None</t>
        </is>
      </c>
      <c r="N1730" t="inlineStr">
        <is>
          <t>&lt;p&gt;&lt;/p&gt;</t>
        </is>
      </c>
      <c r="O1730" t="inlineStr"/>
      <c r="P1730" t="inlineStr">
        <is>
          <t>FN600XM , 4x4 , Land Rover  , Defender</t>
        </is>
      </c>
      <c r="Q1730" t="inlineStr">
        <is>
          <t>UKPN</t>
        </is>
      </c>
      <c r="R1730" t="b">
        <v>0</v>
      </c>
    </row>
    <row r="1731">
      <c r="A1731" t="inlineStr">
        <is>
          <t>10 Oct 2025 / 7951 Austin Tree Care LTD / Utilities / UKPN</t>
        </is>
      </c>
      <c r="B1731" t="inlineStr">
        <is>
          <t>Utilities</t>
        </is>
      </c>
      <c r="C1731" t="inlineStr">
        <is>
          <t>UKPN</t>
        </is>
      </c>
      <c r="D1731" t="inlineStr">
        <is>
          <t>SA9ST6P0001283612 , Tow Chipper , Forst , ST6p</t>
        </is>
      </c>
      <c r="E1731" t="inlineStr">
        <is>
          <t>SA9ST6P0001283612 , Tow Chipper , Forst , ST6p</t>
        </is>
      </c>
      <c r="F1731" t="inlineStr">
        <is>
          <t>SA9ST6P0001283612 , Tow Chipper , Forst , ST6p</t>
        </is>
      </c>
      <c r="G1731" t="inlineStr">
        <is>
          <t xml:space="preserve">Jack Austin </t>
        </is>
      </c>
      <c r="H1731" t="inlineStr">
        <is>
          <t>Towed Chipper</t>
        </is>
      </c>
      <c r="I1731" t="inlineStr">
        <is>
          <t>Daily/ Weekly Vehicle Inspection</t>
        </is>
      </c>
      <c r="J1731" t="inlineStr">
        <is>
          <t>N/A</t>
        </is>
      </c>
      <c r="K1731" t="inlineStr">
        <is>
          <t>7951 Austin Tree Care LTD</t>
        </is>
      </c>
      <c r="L1731" t="inlineStr">
        <is>
          <t>10/10/2025 07:29</t>
        </is>
      </c>
      <c r="M1731" t="inlineStr">
        <is>
          <t>None</t>
        </is>
      </c>
      <c r="N1731" t="inlineStr">
        <is>
          <t>&lt;p&gt;&lt;/p&gt;</t>
        </is>
      </c>
      <c r="O1731" t="inlineStr"/>
      <c r="P1731" t="inlineStr">
        <is>
          <t>SA9ST6P0001283612 , Tow Chipper , Forst , ST6p</t>
        </is>
      </c>
      <c r="Q1731" t="inlineStr">
        <is>
          <t>UKPN</t>
        </is>
      </c>
      <c r="R1731" t="b">
        <v>0</v>
      </c>
    </row>
    <row r="1732">
      <c r="A1732" t="inlineStr">
        <is>
          <t>10 Oct 2025 / 7951 Austin Tree Care LTD / Utilities / UKPN</t>
        </is>
      </c>
      <c r="B1732" t="inlineStr">
        <is>
          <t>Utilities</t>
        </is>
      </c>
      <c r="C1732" t="inlineStr">
        <is>
          <t>UKPN</t>
        </is>
      </c>
      <c r="D1732" t="inlineStr">
        <is>
          <t>WF61 HZV , 4x4 MEWP , Land Rover , Defender</t>
        </is>
      </c>
      <c r="E1732" t="inlineStr">
        <is>
          <t>WF61 HZV , 4x4 MEWP , Land Rover , Defender</t>
        </is>
      </c>
      <c r="F1732" t="inlineStr">
        <is>
          <t>WF61 HZV , 4x4 MEWP , Land Rover , Defender</t>
        </is>
      </c>
      <c r="G1732" t="inlineStr">
        <is>
          <t xml:space="preserve">Jack Austin </t>
        </is>
      </c>
      <c r="H1732" t="inlineStr">
        <is>
          <t>4x4</t>
        </is>
      </c>
      <c r="I1732" t="inlineStr">
        <is>
          <t>Daily/ Weekly Vehicle Inspection</t>
        </is>
      </c>
      <c r="J1732" t="inlineStr">
        <is>
          <t>N/A</t>
        </is>
      </c>
      <c r="K1732" t="inlineStr">
        <is>
          <t>7951 Austin Tree Care LTD</t>
        </is>
      </c>
      <c r="L1732" t="inlineStr">
        <is>
          <t>10/10/2025 07:30</t>
        </is>
      </c>
      <c r="M1732" t="inlineStr">
        <is>
          <t>None</t>
        </is>
      </c>
      <c r="N1732" t="inlineStr">
        <is>
          <t>&lt;p&gt;&lt;/p&gt;</t>
        </is>
      </c>
      <c r="O1732" t="inlineStr"/>
      <c r="P1732" t="inlineStr">
        <is>
          <t>WF61 HZV , 4x4 MEWP , Land Rover , Defender</t>
        </is>
      </c>
      <c r="Q1732" t="inlineStr">
        <is>
          <t>UKPN</t>
        </is>
      </c>
      <c r="R1732" t="b">
        <v>0</v>
      </c>
    </row>
    <row r="1733">
      <c r="A1733" t="inlineStr">
        <is>
          <t>10 Oct 2025 / 7800 MAC Tree Surgery and Fencing Ltd / Utilities / UKPN</t>
        </is>
      </c>
      <c r="B1733" t="inlineStr">
        <is>
          <t>Utilities</t>
        </is>
      </c>
      <c r="C1733" t="inlineStr">
        <is>
          <t>UKPN</t>
        </is>
      </c>
      <c r="D1733" t="inlineStr"/>
      <c r="E1733" t="inlineStr"/>
      <c r="F1733" t="inlineStr"/>
      <c r="G1733" t="inlineStr"/>
      <c r="H1733" t="inlineStr"/>
      <c r="I1733" t="inlineStr">
        <is>
          <t>Add to Vehicle to the GC Vehicle List</t>
        </is>
      </c>
      <c r="J1733" t="inlineStr">
        <is>
          <t>N/A</t>
        </is>
      </c>
      <c r="K1733" t="inlineStr">
        <is>
          <t>7800 MAC Tree Surgery and Fencing Ltd</t>
        </is>
      </c>
      <c r="L1733" t="inlineStr">
        <is>
          <t>10/10/2025 07:31</t>
        </is>
      </c>
      <c r="M1733" t="inlineStr">
        <is>
          <t>None</t>
        </is>
      </c>
      <c r="N1733" t="inlineStr">
        <is>
          <t>&lt;p&gt;&lt;/p&gt;</t>
        </is>
      </c>
      <c r="O1733" t="inlineStr"/>
      <c r="P1733" t="inlineStr"/>
      <c r="Q1733" t="inlineStr">
        <is>
          <t>UKPN</t>
        </is>
      </c>
      <c r="R1733" t="b">
        <v>0</v>
      </c>
    </row>
    <row r="1734">
      <c r="A1734" t="inlineStr">
        <is>
          <t>10 Oct 2025 / 7996 M G Tree Surgery Ltd / Utilities / UKPN</t>
        </is>
      </c>
      <c r="B1734" t="inlineStr">
        <is>
          <t>Utilities</t>
        </is>
      </c>
      <c r="C1734" t="inlineStr">
        <is>
          <t>UKPN</t>
        </is>
      </c>
      <c r="D1734" t="inlineStr">
        <is>
          <t>GU13 WNL , MEWP , Land Rover , Defender 130</t>
        </is>
      </c>
      <c r="E1734" t="inlineStr">
        <is>
          <t>GU13 WNL , MEWP , Land Rover , Defender 130</t>
        </is>
      </c>
      <c r="F1734" t="inlineStr">
        <is>
          <t>GU13 WNL , MEWP , Land Rover , Defender 130</t>
        </is>
      </c>
      <c r="G1734" t="inlineStr">
        <is>
          <t>Max</t>
        </is>
      </c>
      <c r="H1734" t="inlineStr">
        <is>
          <t>4x4</t>
        </is>
      </c>
      <c r="I1734" t="inlineStr">
        <is>
          <t>Daily/ Weekly Vehicle Inspection</t>
        </is>
      </c>
      <c r="J1734" t="inlineStr">
        <is>
          <t>N/A</t>
        </is>
      </c>
      <c r="K1734" t="inlineStr">
        <is>
          <t>7996 M G Tree Surgery Ltd</t>
        </is>
      </c>
      <c r="L1734" t="inlineStr">
        <is>
          <t>10/10/2025 08:29</t>
        </is>
      </c>
      <c r="M1734" t="inlineStr">
        <is>
          <t>None</t>
        </is>
      </c>
      <c r="N1734" t="inlineStr">
        <is>
          <t>&lt;p&gt;&lt;/p&gt;</t>
        </is>
      </c>
      <c r="O1734" t="inlineStr"/>
      <c r="P1734" t="inlineStr">
        <is>
          <t>GU13 WNL , MEWP , Land Rover , Defender 130</t>
        </is>
      </c>
      <c r="Q1734" t="inlineStr">
        <is>
          <t>UKPN</t>
        </is>
      </c>
      <c r="R1734" t="b">
        <v>0</v>
      </c>
    </row>
    <row r="1735">
      <c r="A1735" t="inlineStr">
        <is>
          <t>10 Oct 2025 / 3098 D &amp; R Landscapes 1 / Utilities / UKPN</t>
        </is>
      </c>
      <c r="B1735" t="inlineStr">
        <is>
          <t>Utilities</t>
        </is>
      </c>
      <c r="C1735" t="inlineStr">
        <is>
          <t>UKPN</t>
        </is>
      </c>
      <c r="D1735" t="inlineStr">
        <is>
          <t>Vehicle - Nissan - Navara - BT20 GNZ</t>
        </is>
      </c>
      <c r="E1735" t="inlineStr">
        <is>
          <t>Vehicle - Nissan - Navara - BT20 GNZ</t>
        </is>
      </c>
      <c r="F1735" t="inlineStr">
        <is>
          <t>Vehicle - Nissan - Navara - BT20 GNZ</t>
        </is>
      </c>
      <c r="G1735" t="inlineStr">
        <is>
          <t>Chris Robinson</t>
        </is>
      </c>
      <c r="H1735" t="inlineStr">
        <is>
          <t>Flatbed Truck</t>
        </is>
      </c>
      <c r="I1735" t="inlineStr">
        <is>
          <t>Daily/ Weekly Vehicle Inspection</t>
        </is>
      </c>
      <c r="J1735" t="inlineStr">
        <is>
          <t>N/A</t>
        </is>
      </c>
      <c r="K1735" t="inlineStr">
        <is>
          <t>3098 D &amp; R Landscapes 1</t>
        </is>
      </c>
      <c r="L1735" t="inlineStr">
        <is>
          <t>10/10/2025 08:29</t>
        </is>
      </c>
      <c r="M1735" t="inlineStr">
        <is>
          <t>None</t>
        </is>
      </c>
      <c r="N1735" t="inlineStr">
        <is>
          <t>&lt;p&gt;&lt;/p&gt;</t>
        </is>
      </c>
      <c r="O1735" t="inlineStr"/>
      <c r="P1735" t="inlineStr">
        <is>
          <t>Vehicle - Nissan - Navara - BT20 GNZ</t>
        </is>
      </c>
      <c r="Q1735" t="inlineStr">
        <is>
          <t>UKPN</t>
        </is>
      </c>
      <c r="R1735" t="b">
        <v>0</v>
      </c>
    </row>
    <row r="1736">
      <c r="A1736" t="inlineStr">
        <is>
          <t>10 Oct 2025 / Anthony Gale / Utilities / UKPN</t>
        </is>
      </c>
      <c r="B1736" t="inlineStr">
        <is>
          <t>Utilities</t>
        </is>
      </c>
      <c r="C1736" t="inlineStr">
        <is>
          <t>UKPN</t>
        </is>
      </c>
      <c r="D1736" t="inlineStr">
        <is>
          <t>PE07 HGL , Vehicle , Mitsubishi , L200 K74</t>
        </is>
      </c>
      <c r="E1736" t="inlineStr">
        <is>
          <t>PE07 HGL , Vehicle , Mitsubishi , L200 K74</t>
        </is>
      </c>
      <c r="F1736" t="inlineStr">
        <is>
          <t>PE07 HGL , Vehicle , Mitsubishi , L200 K74</t>
        </is>
      </c>
      <c r="G1736" t="inlineStr">
        <is>
          <t>Anthony Gale</t>
        </is>
      </c>
      <c r="H1736" t="inlineStr">
        <is>
          <t>Pickup Truck</t>
        </is>
      </c>
      <c r="I1736" t="inlineStr">
        <is>
          <t>Daily/ Weekly Vehicle Inspection</t>
        </is>
      </c>
      <c r="J1736" t="inlineStr">
        <is>
          <t>N/A</t>
        </is>
      </c>
      <c r="K1736" t="inlineStr">
        <is>
          <t>7996 M G Tree Surgery Ltd 1</t>
        </is>
      </c>
      <c r="L1736" t="inlineStr">
        <is>
          <t>10/10/2025 09:27</t>
        </is>
      </c>
      <c r="M1736" t="inlineStr">
        <is>
          <t>None</t>
        </is>
      </c>
      <c r="N1736" t="inlineStr">
        <is>
          <t>&lt;p&gt;&lt;/p&gt;</t>
        </is>
      </c>
      <c r="O1736" t="inlineStr">
        <is>
          <t>Confirm that you have checked this vehicle as per the guidance document and the vehicle is safe and roadworthy:Drivers side wheel trim deteriorating, safe for now.
Monitor.
-</t>
        </is>
      </c>
      <c r="P1736" t="inlineStr">
        <is>
          <t>PE07 HGL , Vehicle , Mitsubishi , L200 K74</t>
        </is>
      </c>
      <c r="Q1736" t="inlineStr">
        <is>
          <t>UKPN</t>
        </is>
      </c>
      <c r="R1736" t="b">
        <v>0</v>
      </c>
    </row>
    <row r="1737">
      <c r="A1737" t="inlineStr">
        <is>
          <t>13 Oct 2025 / 7996 M G Tree Surgery Ltd / Utilities / UKPN</t>
        </is>
      </c>
      <c r="B1737" t="inlineStr">
        <is>
          <t>Utilities</t>
        </is>
      </c>
      <c r="C1737" t="inlineStr">
        <is>
          <t>UKPN</t>
        </is>
      </c>
      <c r="D1737" t="inlineStr">
        <is>
          <t>GU13 WNL , MEWP , Land Rover , Defender 130</t>
        </is>
      </c>
      <c r="E1737" t="inlineStr">
        <is>
          <t>GU13 WNL , MEWP , Land Rover , Defender 130</t>
        </is>
      </c>
      <c r="F1737" t="inlineStr">
        <is>
          <t>GU13 WNL , MEWP , Land Rover , Defender 130</t>
        </is>
      </c>
      <c r="G1737" t="inlineStr">
        <is>
          <t>Max</t>
        </is>
      </c>
      <c r="H1737" t="inlineStr">
        <is>
          <t>4x4</t>
        </is>
      </c>
      <c r="I1737" t="inlineStr">
        <is>
          <t>Daily/ Weekly Vehicle Inspection</t>
        </is>
      </c>
      <c r="J1737" t="inlineStr">
        <is>
          <t>N/A</t>
        </is>
      </c>
      <c r="K1737" t="inlineStr">
        <is>
          <t>7996 M G Tree Surgery Ltd</t>
        </is>
      </c>
      <c r="L1737" t="inlineStr">
        <is>
          <t>13/10/2025 07:27</t>
        </is>
      </c>
      <c r="M1737" t="inlineStr">
        <is>
          <t>None</t>
        </is>
      </c>
      <c r="N1737" t="inlineStr">
        <is>
          <t>&lt;p&gt;&lt;/p&gt;</t>
        </is>
      </c>
      <c r="O1737" t="inlineStr"/>
      <c r="P1737" t="inlineStr">
        <is>
          <t>GU13 WNL , MEWP , Land Rover , Defender 130</t>
        </is>
      </c>
      <c r="Q1737" t="inlineStr">
        <is>
          <t>UKPN</t>
        </is>
      </c>
      <c r="R1737" t="b">
        <v>0</v>
      </c>
    </row>
    <row r="1738">
      <c r="A1738" t="inlineStr">
        <is>
          <t>13 Oct 2025 / Anthony Gale / Utilities / UKPN</t>
        </is>
      </c>
      <c r="B1738" t="inlineStr">
        <is>
          <t>Utilities</t>
        </is>
      </c>
      <c r="C1738" t="inlineStr">
        <is>
          <t>UKPN</t>
        </is>
      </c>
      <c r="D1738" t="inlineStr">
        <is>
          <t>PE07 HGL , Vehicle , Mitsubishi , L200 K74</t>
        </is>
      </c>
      <c r="E1738" t="inlineStr">
        <is>
          <t>PE07 HGL , Vehicle , Mitsubishi , L200 K74</t>
        </is>
      </c>
      <c r="F1738" t="inlineStr">
        <is>
          <t>PE07 HGL , Vehicle , Mitsubishi , L200 K74</t>
        </is>
      </c>
      <c r="G1738" t="inlineStr">
        <is>
          <t>Anthony Gale</t>
        </is>
      </c>
      <c r="H1738" t="inlineStr">
        <is>
          <t>Pickup Truck</t>
        </is>
      </c>
      <c r="I1738" t="inlineStr">
        <is>
          <t>Daily/ Weekly Vehicle Inspection</t>
        </is>
      </c>
      <c r="J1738" t="inlineStr">
        <is>
          <t>N/A</t>
        </is>
      </c>
      <c r="K1738" t="inlineStr">
        <is>
          <t>7996 M G Tree Surgery Ltd 1</t>
        </is>
      </c>
      <c r="L1738" t="inlineStr">
        <is>
          <t>13/10/2025 07:28</t>
        </is>
      </c>
      <c r="M1738" t="inlineStr">
        <is>
          <t>None</t>
        </is>
      </c>
      <c r="N1738" t="inlineStr">
        <is>
          <t>&lt;p&gt;&lt;/p&gt;</t>
        </is>
      </c>
      <c r="O1738" t="inlineStr">
        <is>
          <t>Confirm that you have checked this vehicle as per the guidance document and the vehicle is safe and roadworthy:Drivers side wheel trim deteriorating.
Ok for now.
Monitor.
-</t>
        </is>
      </c>
      <c r="P1738" t="inlineStr">
        <is>
          <t>PE07 HGL , Vehicle , Mitsubishi , L200 K74</t>
        </is>
      </c>
      <c r="Q1738" t="inlineStr">
        <is>
          <t>UKPN</t>
        </is>
      </c>
      <c r="R1738" t="b">
        <v>0</v>
      </c>
    </row>
    <row r="1739">
      <c r="A1739" t="inlineStr">
        <is>
          <t>13 Oct 2025 / 7889 Tree Tech Suffolk Ltd</t>
        </is>
      </c>
      <c r="B1739" t="inlineStr">
        <is>
          <t>Utilities &amp; Inland Waterways</t>
        </is>
      </c>
      <c r="C1739" t="inlineStr">
        <is>
          <t>UKPN</t>
        </is>
      </c>
      <c r="D1739" t="inlineStr">
        <is>
          <t>Tow Chipper - Jenson - A530L - 5521063948Tipper - Mercedes - Sprinter - NS06TTSTipper - Nissan - Navara - NS02TTS</t>
        </is>
      </c>
      <c r="E1739" t="inlineStr">
        <is>
          <t>Tow Chipper - Jenson - A530L - 5521063948Tipper - Mercedes - Sprinter - NS06TTSTipper - Nissan - Navara - NS02TTS</t>
        </is>
      </c>
      <c r="F1739" t="inlineStr">
        <is>
          <t>Tow Chipper - Jenson - A530L - 5521063948Tipper - Mercedes - Sprinter - NS06TTSTipper - Nissan - Navara - NS02TTS</t>
        </is>
      </c>
      <c r="G1739" t="inlineStr">
        <is>
          <t xml:space="preserve">Nikki sparrow Danny Appleby Nikki sparrow </t>
        </is>
      </c>
      <c r="H1739" t="inlineStr">
        <is>
          <t>Towed Chipper4x4Tipper</t>
        </is>
      </c>
      <c r="I1739" t="inlineStr">
        <is>
          <t>Daily/ Weekly Vehicle Inspection</t>
        </is>
      </c>
      <c r="J1739" t="inlineStr">
        <is>
          <t>N/A</t>
        </is>
      </c>
      <c r="K1739" t="inlineStr">
        <is>
          <t>7889 Tree Tech Suffolk Ltd</t>
        </is>
      </c>
      <c r="L1739" t="inlineStr">
        <is>
          <t>13/10/2025 08:32</t>
        </is>
      </c>
      <c r="M1739" t="inlineStr">
        <is>
          <t>None</t>
        </is>
      </c>
      <c r="N1739" t="inlineStr">
        <is>
          <t>&lt;p&gt;&lt;/p&gt;</t>
        </is>
      </c>
      <c r="O1739" t="inlineStr">
        <is>
          <t>Select Vehicle:No wheel nut indicatorsSelect Vehicle:Crack in windscreen. Address on next MOT if required</t>
        </is>
      </c>
      <c r="P1739" t="inlineStr">
        <is>
          <t>Tow Chipper - Jenson - A530L - 5521063948Tipper - Mercedes - Sprinter - NS06TTSTipper - Nissan - Navara - NS02TTS</t>
        </is>
      </c>
      <c r="Q1739" t="inlineStr">
        <is>
          <t>UKPN</t>
        </is>
      </c>
      <c r="R1739" t="b">
        <v>0</v>
      </c>
    </row>
    <row r="1740">
      <c r="A1740" t="inlineStr">
        <is>
          <t>13 Oct 2025 / 7806 Optimum Tree Services Ltd / Utilities / UKPN</t>
        </is>
      </c>
      <c r="B1740" t="inlineStr">
        <is>
          <t>Utilities</t>
        </is>
      </c>
      <c r="C1740" t="inlineStr">
        <is>
          <t>UKPN</t>
        </is>
      </c>
      <c r="D1740" t="inlineStr">
        <is>
          <t>SA9ST800000283069 , Chipper , Forst , ST 6P</t>
        </is>
      </c>
      <c r="E1740" t="inlineStr">
        <is>
          <t>SA9ST800000283069 , Chipper , Forst , ST 6P</t>
        </is>
      </c>
      <c r="F1740" t="inlineStr">
        <is>
          <t>SA9ST800000283069 , Chipper , Forst , ST 6P</t>
        </is>
      </c>
      <c r="G1740" t="inlineStr">
        <is>
          <t xml:space="preserve">Abraham Davies </t>
        </is>
      </c>
      <c r="H1740" t="inlineStr">
        <is>
          <t>Towed Chipper</t>
        </is>
      </c>
      <c r="I1740" t="inlineStr">
        <is>
          <t>Daily/ Weekly Vehicle Inspection</t>
        </is>
      </c>
      <c r="J1740" t="inlineStr">
        <is>
          <t>N/A</t>
        </is>
      </c>
      <c r="K1740" t="inlineStr">
        <is>
          <t>7806 Optimum Tree Services Ltd</t>
        </is>
      </c>
      <c r="L1740" t="inlineStr">
        <is>
          <t>13/10/2025 08:34</t>
        </is>
      </c>
      <c r="M1740" t="inlineStr">
        <is>
          <t>None</t>
        </is>
      </c>
      <c r="N1740" t="inlineStr">
        <is>
          <t>&lt;p&gt;&lt;/p&gt;</t>
        </is>
      </c>
      <c r="O1740" t="inlineStr"/>
      <c r="P1740" t="inlineStr">
        <is>
          <t>SA9ST800000283069 , Chipper , Forst , ST 6P</t>
        </is>
      </c>
      <c r="Q1740" t="inlineStr">
        <is>
          <t>UKPN</t>
        </is>
      </c>
      <c r="R1740" t="b">
        <v>0</v>
      </c>
    </row>
    <row r="1741">
      <c r="A1741" t="inlineStr">
        <is>
          <t>13 Oct 2025 / 7806 Optimum Tree Services Ltd / Utilities / UKPN</t>
        </is>
      </c>
      <c r="B1741" t="inlineStr">
        <is>
          <t>Utilities</t>
        </is>
      </c>
      <c r="C1741" t="inlineStr">
        <is>
          <t>UKPN</t>
        </is>
      </c>
      <c r="D1741" t="inlineStr">
        <is>
          <t>Tipper - Ford - Transit - NA10SYZ</t>
        </is>
      </c>
      <c r="E1741" t="inlineStr">
        <is>
          <t>Tipper - Ford - Transit - NA10SYZ</t>
        </is>
      </c>
      <c r="F1741" t="inlineStr">
        <is>
          <t>Tipper - Ford - Transit - NA10SYZ</t>
        </is>
      </c>
      <c r="G1741" t="inlineStr">
        <is>
          <t xml:space="preserve">Abraham Davies </t>
        </is>
      </c>
      <c r="H1741" t="inlineStr">
        <is>
          <t>Tipper</t>
        </is>
      </c>
      <c r="I1741" t="inlineStr">
        <is>
          <t>Daily/ Weekly Vehicle Inspection</t>
        </is>
      </c>
      <c r="J1741" t="inlineStr">
        <is>
          <t>N/A</t>
        </is>
      </c>
      <c r="K1741" t="inlineStr">
        <is>
          <t>7806 Optimum Tree Services Ltd</t>
        </is>
      </c>
      <c r="L1741" t="inlineStr">
        <is>
          <t>13/10/2025 08:35</t>
        </is>
      </c>
      <c r="M1741" t="inlineStr">
        <is>
          <t>None</t>
        </is>
      </c>
      <c r="N1741" t="inlineStr">
        <is>
          <t>&lt;p&gt;&lt;/p&gt;</t>
        </is>
      </c>
      <c r="O1741" t="inlineStr"/>
      <c r="P1741" t="inlineStr">
        <is>
          <t>Tipper - Ford - Transit - NA10SYZ</t>
        </is>
      </c>
      <c r="Q1741" t="inlineStr">
        <is>
          <t>UKPN</t>
        </is>
      </c>
      <c r="R1741" t="b">
        <v>0</v>
      </c>
    </row>
    <row r="1742">
      <c r="A1742" t="inlineStr">
        <is>
          <t>13 Oct 2025 / 3098 D &amp; R Landscapes 1 / Utilities / UKPN</t>
        </is>
      </c>
      <c r="B1742" t="inlineStr">
        <is>
          <t>Utilities</t>
        </is>
      </c>
      <c r="C1742" t="inlineStr">
        <is>
          <t>UKPN</t>
        </is>
      </c>
      <c r="D1742" t="inlineStr">
        <is>
          <t>DE68XHA , Tipper , Isuzu , Grafter</t>
        </is>
      </c>
      <c r="E1742" t="inlineStr">
        <is>
          <t>DE68XHA , Tipper , Isuzu , Grafter</t>
        </is>
      </c>
      <c r="F1742" t="inlineStr">
        <is>
          <t>DE68XHA , Tipper , Isuzu , Grafter</t>
        </is>
      </c>
      <c r="G1742" t="inlineStr">
        <is>
          <t>Rob Beeches</t>
        </is>
      </c>
      <c r="H1742" t="inlineStr">
        <is>
          <t>Tipper</t>
        </is>
      </c>
      <c r="I1742" t="inlineStr">
        <is>
          <t>Daily/ Weekly Vehicle Inspection</t>
        </is>
      </c>
      <c r="J1742" t="inlineStr">
        <is>
          <t>N/A</t>
        </is>
      </c>
      <c r="K1742" t="inlineStr">
        <is>
          <t>3098 D &amp; R Landscapes 1</t>
        </is>
      </c>
      <c r="L1742" t="inlineStr">
        <is>
          <t>13/10/2025 08:36</t>
        </is>
      </c>
      <c r="M1742" t="inlineStr">
        <is>
          <t>None</t>
        </is>
      </c>
      <c r="N1742" t="inlineStr">
        <is>
          <t>&lt;p&gt;&lt;/p&gt;</t>
        </is>
      </c>
      <c r="O1742" t="inlineStr"/>
      <c r="P1742" t="inlineStr">
        <is>
          <t>DE68XHA , Tipper , Isuzu , Grafter</t>
        </is>
      </c>
      <c r="Q1742" t="inlineStr">
        <is>
          <t>UKPN</t>
        </is>
      </c>
      <c r="R1742" t="b">
        <v>0</v>
      </c>
    </row>
    <row r="1743">
      <c r="A1743" t="inlineStr">
        <is>
          <t>13 Oct 2025 / 7186 Eastwoodbury Tree Services Ltd / Utilities / UKPN</t>
        </is>
      </c>
      <c r="B1743" t="inlineStr">
        <is>
          <t>Utilities</t>
        </is>
      </c>
      <c r="C1743" t="inlineStr">
        <is>
          <t>UKPN</t>
        </is>
      </c>
      <c r="D1743" t="inlineStr">
        <is>
          <t>DN61XKJ , Tipper , Ford , Transit</t>
        </is>
      </c>
      <c r="E1743" t="inlineStr">
        <is>
          <t>DN61XKJ , Tipper , Ford , Transit</t>
        </is>
      </c>
      <c r="F1743" t="inlineStr">
        <is>
          <t>DN61XKJ , Tipper , Ford , Transit</t>
        </is>
      </c>
      <c r="G1743" t="inlineStr">
        <is>
          <t xml:space="preserve">Jay Denkmayer </t>
        </is>
      </c>
      <c r="H1743" t="inlineStr">
        <is>
          <t>Tipper</t>
        </is>
      </c>
      <c r="I1743" t="inlineStr">
        <is>
          <t>Daily/ Weekly Vehicle Inspection</t>
        </is>
      </c>
      <c r="J1743" t="inlineStr">
        <is>
          <t>N/A</t>
        </is>
      </c>
      <c r="K1743" t="inlineStr">
        <is>
          <t>7186 Eastwoodbury Tree Services Ltd</t>
        </is>
      </c>
      <c r="L1743" t="inlineStr">
        <is>
          <t>13/10/2025 08:37</t>
        </is>
      </c>
      <c r="M1743" t="inlineStr">
        <is>
          <t>None</t>
        </is>
      </c>
      <c r="N1743" t="inlineStr">
        <is>
          <t>&lt;p&gt;&lt;/p&gt;</t>
        </is>
      </c>
      <c r="O1743" t="inlineStr"/>
      <c r="P1743" t="inlineStr">
        <is>
          <t>DN61XKJ , Tipper , Ford , Transit</t>
        </is>
      </c>
      <c r="Q1743" t="inlineStr">
        <is>
          <t>UKPN</t>
        </is>
      </c>
      <c r="R1743" t="b">
        <v>0</v>
      </c>
    </row>
    <row r="1744">
      <c r="A1744" t="inlineStr">
        <is>
          <t>13 Oct 2025 / 3098 D &amp; R Landscapes 1 / Utilities / UKPN</t>
        </is>
      </c>
      <c r="B1744" t="inlineStr">
        <is>
          <t>Utilities</t>
        </is>
      </c>
      <c r="C1744" t="inlineStr">
        <is>
          <t>UKPN</t>
        </is>
      </c>
      <c r="D1744" t="inlineStr"/>
      <c r="E1744" t="inlineStr"/>
      <c r="F1744" t="inlineStr"/>
      <c r="G1744" t="inlineStr">
        <is>
          <t>Chris Robinsomn</t>
        </is>
      </c>
      <c r="H1744" t="inlineStr">
        <is>
          <t>4x4</t>
        </is>
      </c>
      <c r="I1744" t="inlineStr">
        <is>
          <t>Daily/ Weekly Vehicle Inspection</t>
        </is>
      </c>
      <c r="J1744" t="inlineStr">
        <is>
          <t>N/A</t>
        </is>
      </c>
      <c r="K1744" t="inlineStr">
        <is>
          <t>3098 D &amp; R Landscapes 1</t>
        </is>
      </c>
      <c r="L1744" t="inlineStr">
        <is>
          <t>13/10/2025 08:38</t>
        </is>
      </c>
      <c r="M1744" t="inlineStr">
        <is>
          <t>None</t>
        </is>
      </c>
      <c r="N1744" t="inlineStr">
        <is>
          <t>&lt;p&gt;&lt;/p&gt;</t>
        </is>
      </c>
      <c r="O1744" t="inlineStr"/>
      <c r="P1744" t="inlineStr"/>
      <c r="Q1744" t="inlineStr">
        <is>
          <t>UKPN</t>
        </is>
      </c>
      <c r="R1744" t="b">
        <v>0</v>
      </c>
    </row>
    <row r="1745">
      <c r="A1745" t="inlineStr">
        <is>
          <t>13 Oct 2025 / 3098 D &amp; R Landscapes 1 / Utilities / UKPN</t>
        </is>
      </c>
      <c r="B1745" t="inlineStr">
        <is>
          <t>Utilities</t>
        </is>
      </c>
      <c r="C1745" t="inlineStr">
        <is>
          <t>UKPN</t>
        </is>
      </c>
      <c r="D1745" t="inlineStr">
        <is>
          <t>WA13ZZK , 4x4 , Land Rover  , Defender</t>
        </is>
      </c>
      <c r="E1745" t="inlineStr">
        <is>
          <t>WA13ZZK , 4x4 , Land Rover  , Defender</t>
        </is>
      </c>
      <c r="F1745" t="inlineStr">
        <is>
          <t>WA13ZZK , 4x4 , Land Rover  , Defender</t>
        </is>
      </c>
      <c r="G1745" t="inlineStr">
        <is>
          <t>Jason Mccloy</t>
        </is>
      </c>
      <c r="H1745" t="inlineStr">
        <is>
          <t>4x4</t>
        </is>
      </c>
      <c r="I1745" t="inlineStr">
        <is>
          <t>Daily/ Weekly Vehicle Inspection</t>
        </is>
      </c>
      <c r="J1745" t="inlineStr">
        <is>
          <t>N/A</t>
        </is>
      </c>
      <c r="K1745" t="inlineStr">
        <is>
          <t>3098 D &amp; R Landscapes 1</t>
        </is>
      </c>
      <c r="L1745" t="inlineStr">
        <is>
          <t>13/10/2025 08:38</t>
        </is>
      </c>
      <c r="M1745" t="inlineStr">
        <is>
          <t>None</t>
        </is>
      </c>
      <c r="N1745" t="inlineStr">
        <is>
          <t>&lt;p&gt;&lt;/p&gt;</t>
        </is>
      </c>
      <c r="O1745" t="inlineStr"/>
      <c r="P1745" t="inlineStr">
        <is>
          <t>WA13ZZK , 4x4 , Land Rover  , Defender</t>
        </is>
      </c>
      <c r="Q1745" t="inlineStr">
        <is>
          <t>UKPN</t>
        </is>
      </c>
      <c r="R1745" t="b">
        <v>0</v>
      </c>
    </row>
    <row r="1746">
      <c r="A1746" t="inlineStr">
        <is>
          <t>13 Oct 2025 / Joe Sauvage / Utilities / SSE</t>
        </is>
      </c>
      <c r="B1746" t="inlineStr">
        <is>
          <t>Utilities</t>
        </is>
      </c>
      <c r="C1746" t="inlineStr">
        <is>
          <t>SSE</t>
        </is>
      </c>
      <c r="D1746" t="inlineStr">
        <is>
          <t>EO18AEW , Car - Petrol , Ford , Kuga</t>
        </is>
      </c>
      <c r="E1746" t="inlineStr">
        <is>
          <t>EO18AEW , Car - Petrol , Ford , Kuga</t>
        </is>
      </c>
      <c r="F1746" t="inlineStr">
        <is>
          <t>EO18AEW , Car - Petrol , Ford , Kuga</t>
        </is>
      </c>
      <c r="G1746" t="inlineStr">
        <is>
          <t>Joe Sauvage</t>
        </is>
      </c>
      <c r="H1746" t="inlineStr">
        <is>
          <t>Car - Diesel</t>
        </is>
      </c>
      <c r="I1746" t="inlineStr">
        <is>
          <t>Daily/ Weekly Vehicle Inspection</t>
        </is>
      </c>
      <c r="J1746" t="inlineStr">
        <is>
          <t>N/A</t>
        </is>
      </c>
      <c r="K1746" t="inlineStr">
        <is>
          <t>Joe Sauvage</t>
        </is>
      </c>
      <c r="L1746" t="inlineStr">
        <is>
          <t>13/10/2025 12:28</t>
        </is>
      </c>
      <c r="M1746" t="inlineStr">
        <is>
          <t>None</t>
        </is>
      </c>
      <c r="N1746" t="inlineStr">
        <is>
          <t>&lt;p&gt;&lt;/p&gt;</t>
        </is>
      </c>
      <c r="O1746" t="inlineStr"/>
      <c r="P1746" t="inlineStr">
        <is>
          <t>EO18AEW , Car - Petrol , Ford , Kuga</t>
        </is>
      </c>
      <c r="Q1746" t="inlineStr">
        <is>
          <t>SSE</t>
        </is>
      </c>
      <c r="R1746" t="b">
        <v>0</v>
      </c>
    </row>
    <row r="1747">
      <c r="A1747" t="inlineStr">
        <is>
          <t>14 Oct 2025 / 7806 Optimum Tree Services Ltd / Utilities / UKPN</t>
        </is>
      </c>
      <c r="B1747" t="inlineStr">
        <is>
          <t>Utilities</t>
        </is>
      </c>
      <c r="C1747" t="inlineStr">
        <is>
          <t>UKPN</t>
        </is>
      </c>
      <c r="D1747" t="inlineStr">
        <is>
          <t>SA9ST800000283069 , Chipper , Forst , ST 6P</t>
        </is>
      </c>
      <c r="E1747" t="inlineStr">
        <is>
          <t>SA9ST800000283069 , Chipper , Forst , ST 6P</t>
        </is>
      </c>
      <c r="F1747" t="inlineStr">
        <is>
          <t>SA9ST800000283069 , Chipper , Forst , ST 6P</t>
        </is>
      </c>
      <c r="G1747" t="inlineStr">
        <is>
          <t xml:space="preserve">Abraham Davies </t>
        </is>
      </c>
      <c r="H1747" t="inlineStr">
        <is>
          <t>Towed Chipper</t>
        </is>
      </c>
      <c r="I1747" t="inlineStr">
        <is>
          <t>Daily/ Weekly Vehicle Inspection</t>
        </is>
      </c>
      <c r="J1747" t="inlineStr">
        <is>
          <t>N/A</t>
        </is>
      </c>
      <c r="K1747" t="inlineStr">
        <is>
          <t>7806 Optimum Tree Services Ltd</t>
        </is>
      </c>
      <c r="L1747" t="inlineStr">
        <is>
          <t>14/10/2025 07:26</t>
        </is>
      </c>
      <c r="M1747" t="inlineStr">
        <is>
          <t>None</t>
        </is>
      </c>
      <c r="N1747" t="inlineStr">
        <is>
          <t>&lt;p&gt;&lt;/p&gt;</t>
        </is>
      </c>
      <c r="O1747" t="inlineStr"/>
      <c r="P1747" t="inlineStr">
        <is>
          <t>SA9ST800000283069 , Chipper , Forst , ST 6P</t>
        </is>
      </c>
      <c r="Q1747" t="inlineStr">
        <is>
          <t>UKPN</t>
        </is>
      </c>
      <c r="R1747" t="b">
        <v>0</v>
      </c>
    </row>
    <row r="1748">
      <c r="A1748" t="inlineStr">
        <is>
          <t>14 Oct 2025 / 7806 Optimum Tree Services Ltd / Utilities / UKPN</t>
        </is>
      </c>
      <c r="B1748" t="inlineStr">
        <is>
          <t>Utilities</t>
        </is>
      </c>
      <c r="C1748" t="inlineStr">
        <is>
          <t>UKPN</t>
        </is>
      </c>
      <c r="D1748" t="inlineStr">
        <is>
          <t>WD14EVB , MEWP , Land Rover , Defender</t>
        </is>
      </c>
      <c r="E1748" t="inlineStr">
        <is>
          <t>WD14EVB , MEWP , Land Rover , Defender</t>
        </is>
      </c>
      <c r="F1748" t="inlineStr">
        <is>
          <t>WD14EVB , MEWP , Land Rover , Defender</t>
        </is>
      </c>
      <c r="G1748" t="inlineStr">
        <is>
          <t xml:space="preserve">Abraham Davies </t>
        </is>
      </c>
      <c r="H1748" t="inlineStr">
        <is>
          <t>4x4</t>
        </is>
      </c>
      <c r="I1748" t="inlineStr">
        <is>
          <t>Daily/ Weekly Vehicle Inspection</t>
        </is>
      </c>
      <c r="J1748" t="inlineStr">
        <is>
          <t>N/A</t>
        </is>
      </c>
      <c r="K1748" t="inlineStr">
        <is>
          <t>7806 Optimum Tree Services Ltd</t>
        </is>
      </c>
      <c r="L1748" t="inlineStr">
        <is>
          <t>14/10/2025 07:27</t>
        </is>
      </c>
      <c r="M1748" t="inlineStr">
        <is>
          <t>None</t>
        </is>
      </c>
      <c r="N1748" t="inlineStr">
        <is>
          <t>&lt;p&gt;&lt;/p&gt;</t>
        </is>
      </c>
      <c r="O1748" t="inlineStr"/>
      <c r="P1748" t="inlineStr">
        <is>
          <t>WD14EVB , MEWP , Land Rover , Defender</t>
        </is>
      </c>
      <c r="Q1748" t="inlineStr">
        <is>
          <t>UKPN</t>
        </is>
      </c>
      <c r="R1748" t="b">
        <v>0</v>
      </c>
    </row>
    <row r="1749">
      <c r="A1749" t="inlineStr">
        <is>
          <t>14 Oct 2025 / 7186 Eastwoodbury Tree Services Ltd / Utilities / UKPN</t>
        </is>
      </c>
      <c r="B1749" t="inlineStr">
        <is>
          <t>Utilities</t>
        </is>
      </c>
      <c r="C1749" t="inlineStr">
        <is>
          <t>UKPN</t>
        </is>
      </c>
      <c r="D1749" t="inlineStr">
        <is>
          <t>DN61XKJ , Tipper , Ford , Transit</t>
        </is>
      </c>
      <c r="E1749" t="inlineStr">
        <is>
          <t>DN61XKJ , Tipper , Ford , Transit</t>
        </is>
      </c>
      <c r="F1749" t="inlineStr">
        <is>
          <t>DN61XKJ , Tipper , Ford , Transit</t>
        </is>
      </c>
      <c r="G1749" t="inlineStr">
        <is>
          <t xml:space="preserve">Jay Denkmayer </t>
        </is>
      </c>
      <c r="H1749" t="inlineStr">
        <is>
          <t>Tipper</t>
        </is>
      </c>
      <c r="I1749" t="inlineStr">
        <is>
          <t>Daily/ Weekly Vehicle Inspection</t>
        </is>
      </c>
      <c r="J1749" t="inlineStr">
        <is>
          <t>N/A</t>
        </is>
      </c>
      <c r="K1749" t="inlineStr">
        <is>
          <t>7186 Eastwoodbury Tree Services Ltd</t>
        </is>
      </c>
      <c r="L1749" t="inlineStr">
        <is>
          <t>14/10/2025 07:29</t>
        </is>
      </c>
      <c r="M1749" t="inlineStr">
        <is>
          <t>None</t>
        </is>
      </c>
      <c r="N1749" t="inlineStr">
        <is>
          <t>&lt;p&gt;&lt;/p&gt;</t>
        </is>
      </c>
      <c r="O1749" t="inlineStr"/>
      <c r="P1749" t="inlineStr">
        <is>
          <t>DN61XKJ , Tipper , Ford , Transit</t>
        </is>
      </c>
      <c r="Q1749" t="inlineStr">
        <is>
          <t>UKPN</t>
        </is>
      </c>
      <c r="R1749" t="b">
        <v>0</v>
      </c>
    </row>
    <row r="1750">
      <c r="A1750" t="inlineStr">
        <is>
          <t>14 Oct 2025 / 7186 Eastwoodbury Tree Services Ltd / Utilities / UKPN</t>
        </is>
      </c>
      <c r="B1750" t="inlineStr">
        <is>
          <t>Utilities</t>
        </is>
      </c>
      <c r="C1750" t="inlineStr">
        <is>
          <t>UKPN</t>
        </is>
      </c>
      <c r="D1750" t="inlineStr">
        <is>
          <t>FN600XM , 4x4 , Land Rover  , Defender</t>
        </is>
      </c>
      <c r="E1750" t="inlineStr">
        <is>
          <t>FN600XM , 4x4 , Land Rover  , Defender</t>
        </is>
      </c>
      <c r="F1750" t="inlineStr">
        <is>
          <t>FN600XM , 4x4 , Land Rover  , Defender</t>
        </is>
      </c>
      <c r="G1750" t="inlineStr">
        <is>
          <t xml:space="preserve">Dan Gilbert </t>
        </is>
      </c>
      <c r="H1750" t="inlineStr">
        <is>
          <t>4x4</t>
        </is>
      </c>
      <c r="I1750" t="inlineStr">
        <is>
          <t>Daily/ Weekly Vehicle Inspection</t>
        </is>
      </c>
      <c r="J1750" t="inlineStr">
        <is>
          <t>N/A</t>
        </is>
      </c>
      <c r="K1750" t="inlineStr">
        <is>
          <t>7186 Eastwoodbury Tree Services Ltd</t>
        </is>
      </c>
      <c r="L1750" t="inlineStr">
        <is>
          <t>14/10/2025 07:29</t>
        </is>
      </c>
      <c r="M1750" t="inlineStr">
        <is>
          <t>None</t>
        </is>
      </c>
      <c r="N1750" t="inlineStr">
        <is>
          <t>&lt;p&gt;&lt;/p&gt;</t>
        </is>
      </c>
      <c r="O1750" t="inlineStr"/>
      <c r="P1750" t="inlineStr">
        <is>
          <t>FN600XM , 4x4 , Land Rover  , Defender</t>
        </is>
      </c>
      <c r="Q1750" t="inlineStr">
        <is>
          <t>UKPN</t>
        </is>
      </c>
      <c r="R1750" t="b">
        <v>0</v>
      </c>
    </row>
    <row r="1751">
      <c r="A1751" t="inlineStr">
        <is>
          <t>14 Oct 2025 / 7951 Austin Tree Care LTD / Utilities / UKPN</t>
        </is>
      </c>
      <c r="B1751" t="inlineStr">
        <is>
          <t>Utilities</t>
        </is>
      </c>
      <c r="C1751" t="inlineStr">
        <is>
          <t>UKPN</t>
        </is>
      </c>
      <c r="D1751" t="inlineStr">
        <is>
          <t>SA9ST6P0001283612 , Tow Chipper , Forst , ST6p</t>
        </is>
      </c>
      <c r="E1751" t="inlineStr">
        <is>
          <t>SA9ST6P0001283612 , Tow Chipper , Forst , ST6p</t>
        </is>
      </c>
      <c r="F1751" t="inlineStr">
        <is>
          <t>SA9ST6P0001283612 , Tow Chipper , Forst , ST6p</t>
        </is>
      </c>
      <c r="G1751" t="inlineStr">
        <is>
          <t xml:space="preserve">Jack Austin </t>
        </is>
      </c>
      <c r="H1751" t="inlineStr">
        <is>
          <t>Towed Chipper</t>
        </is>
      </c>
      <c r="I1751" t="inlineStr">
        <is>
          <t>Daily/ Weekly Vehicle Inspection</t>
        </is>
      </c>
      <c r="J1751" t="inlineStr">
        <is>
          <t>N/A</t>
        </is>
      </c>
      <c r="K1751" t="inlineStr">
        <is>
          <t>7951 Austin Tree Care LTD</t>
        </is>
      </c>
      <c r="L1751" t="inlineStr">
        <is>
          <t>14/10/2025 07:30</t>
        </is>
      </c>
      <c r="M1751" t="inlineStr">
        <is>
          <t>None</t>
        </is>
      </c>
      <c r="N1751" t="inlineStr">
        <is>
          <t>&lt;p&gt;&lt;/p&gt;</t>
        </is>
      </c>
      <c r="O1751" t="inlineStr"/>
      <c r="P1751" t="inlineStr">
        <is>
          <t>SA9ST6P0001283612 , Tow Chipper , Forst , ST6p</t>
        </is>
      </c>
      <c r="Q1751" t="inlineStr">
        <is>
          <t>UKPN</t>
        </is>
      </c>
      <c r="R1751" t="b">
        <v>0</v>
      </c>
    </row>
    <row r="1752">
      <c r="A1752" t="inlineStr">
        <is>
          <t>14 Oct 2025 / 7951 Austin Tree Care LTD / Utilities / UKPN</t>
        </is>
      </c>
      <c r="B1752" t="inlineStr">
        <is>
          <t>Utilities</t>
        </is>
      </c>
      <c r="C1752" t="inlineStr">
        <is>
          <t>UKPN</t>
        </is>
      </c>
      <c r="D1752" t="inlineStr">
        <is>
          <t>WF61 HZV , 4x4 MEWP , Land Rover , Defender</t>
        </is>
      </c>
      <c r="E1752" t="inlineStr">
        <is>
          <t>WF61 HZV , 4x4 MEWP , Land Rover , Defender</t>
        </is>
      </c>
      <c r="F1752" t="inlineStr">
        <is>
          <t>WF61 HZV , 4x4 MEWP , Land Rover , Defender</t>
        </is>
      </c>
      <c r="G1752" t="inlineStr">
        <is>
          <t xml:space="preserve">Jack Austin </t>
        </is>
      </c>
      <c r="H1752" t="inlineStr">
        <is>
          <t>4x4</t>
        </is>
      </c>
      <c r="I1752" t="inlineStr">
        <is>
          <t>Daily/ Weekly Vehicle Inspection</t>
        </is>
      </c>
      <c r="J1752" t="inlineStr">
        <is>
          <t>N/A</t>
        </is>
      </c>
      <c r="K1752" t="inlineStr">
        <is>
          <t>7951 Austin Tree Care LTD</t>
        </is>
      </c>
      <c r="L1752" t="inlineStr">
        <is>
          <t>14/10/2025 07:31</t>
        </is>
      </c>
      <c r="M1752" t="inlineStr">
        <is>
          <t>None</t>
        </is>
      </c>
      <c r="N1752" t="inlineStr">
        <is>
          <t>&lt;p&gt;&lt;/p&gt;</t>
        </is>
      </c>
      <c r="O1752" t="inlineStr"/>
      <c r="P1752" t="inlineStr">
        <is>
          <t>WF61 HZV , 4x4 MEWP , Land Rover , Defender</t>
        </is>
      </c>
      <c r="Q1752" t="inlineStr">
        <is>
          <t>UKPN</t>
        </is>
      </c>
      <c r="R1752" t="b">
        <v>0</v>
      </c>
    </row>
    <row r="1753">
      <c r="A1753" t="inlineStr">
        <is>
          <t>14 Oct 2025 / 3098 D &amp; R Landscapes (PEND Arb Rail) / Utilities / UKPN</t>
        </is>
      </c>
      <c r="B1753" t="inlineStr">
        <is>
          <t>Utilities</t>
        </is>
      </c>
      <c r="C1753" t="inlineStr">
        <is>
          <t>UKPN</t>
        </is>
      </c>
      <c r="D1753" t="inlineStr"/>
      <c r="E1753" t="inlineStr"/>
      <c r="F1753" t="inlineStr"/>
      <c r="G1753" t="inlineStr">
        <is>
          <t>Chris</t>
        </is>
      </c>
      <c r="H1753" t="inlineStr">
        <is>
          <t>Pickup Truck</t>
        </is>
      </c>
      <c r="I1753" t="inlineStr">
        <is>
          <t>Daily/ Weekly Vehicle Inspection</t>
        </is>
      </c>
      <c r="J1753" t="inlineStr">
        <is>
          <t>N/A</t>
        </is>
      </c>
      <c r="K1753" t="inlineStr">
        <is>
          <t>3098 D &amp; R Landscapes</t>
        </is>
      </c>
      <c r="L1753" t="inlineStr">
        <is>
          <t>14/10/2025 07:33</t>
        </is>
      </c>
      <c r="M1753" t="inlineStr">
        <is>
          <t>None</t>
        </is>
      </c>
      <c r="N1753" t="inlineStr">
        <is>
          <t>&lt;p&gt;&lt;/p&gt;</t>
        </is>
      </c>
      <c r="O1753" t="inlineStr"/>
      <c r="P1753" t="inlineStr"/>
      <c r="Q1753" t="inlineStr">
        <is>
          <t>UKPN</t>
        </is>
      </c>
      <c r="R1753" t="b">
        <v>0</v>
      </c>
    </row>
    <row r="1754">
      <c r="A1754" t="inlineStr">
        <is>
          <t>14 Oct 2025 / 3098 D &amp; R Landscapes (PEND Arb Rail) / Utilities / UKPN</t>
        </is>
      </c>
      <c r="B1754" t="inlineStr">
        <is>
          <t>Utilities</t>
        </is>
      </c>
      <c r="C1754" t="inlineStr">
        <is>
          <t>UKPN</t>
        </is>
      </c>
      <c r="D1754" t="inlineStr">
        <is>
          <t>DE68XHA , Tipper , Isuzu , Grafter</t>
        </is>
      </c>
      <c r="E1754" t="inlineStr">
        <is>
          <t>DE68XHA , Tipper , Isuzu , Grafter</t>
        </is>
      </c>
      <c r="F1754" t="inlineStr">
        <is>
          <t>DE68XHA , Tipper , Isuzu , Grafter</t>
        </is>
      </c>
      <c r="G1754" t="inlineStr">
        <is>
          <t>Rob</t>
        </is>
      </c>
      <c r="H1754" t="inlineStr">
        <is>
          <t>Tipper</t>
        </is>
      </c>
      <c r="I1754" t="inlineStr">
        <is>
          <t>Daily/ Weekly Vehicle Inspection</t>
        </is>
      </c>
      <c r="J1754" t="inlineStr">
        <is>
          <t>N/A</t>
        </is>
      </c>
      <c r="K1754" t="inlineStr">
        <is>
          <t>3098 D &amp; R Landscapes</t>
        </is>
      </c>
      <c r="L1754" t="inlineStr">
        <is>
          <t>14/10/2025 07:34</t>
        </is>
      </c>
      <c r="M1754" t="inlineStr">
        <is>
          <t>None</t>
        </is>
      </c>
      <c r="N1754" t="inlineStr">
        <is>
          <t>&lt;p&gt;&lt;/p&gt;</t>
        </is>
      </c>
      <c r="O1754" t="inlineStr"/>
      <c r="P1754" t="inlineStr">
        <is>
          <t>DE68XHA , Tipper , Isuzu , Grafter</t>
        </is>
      </c>
      <c r="Q1754" t="inlineStr">
        <is>
          <t>UKPN</t>
        </is>
      </c>
      <c r="R1754" t="b">
        <v>0</v>
      </c>
    </row>
    <row r="1755">
      <c r="A1755" t="inlineStr">
        <is>
          <t>14 Oct 2025 / 3098 D &amp; R Landscapes (PEND Arb Rail) / Utilities / UKPN</t>
        </is>
      </c>
      <c r="B1755" t="inlineStr">
        <is>
          <t>Utilities</t>
        </is>
      </c>
      <c r="C1755" t="inlineStr">
        <is>
          <t>UKPN</t>
        </is>
      </c>
      <c r="D1755" t="inlineStr">
        <is>
          <t>WA13ZZK , 4x4 , Land Rover  , Defender</t>
        </is>
      </c>
      <c r="E1755" t="inlineStr">
        <is>
          <t>WA13ZZK , 4x4 , Land Rover  , Defender</t>
        </is>
      </c>
      <c r="F1755" t="inlineStr">
        <is>
          <t>WA13ZZK , 4x4 , Land Rover  , Defender</t>
        </is>
      </c>
      <c r="G1755" t="inlineStr">
        <is>
          <t>Jason</t>
        </is>
      </c>
      <c r="H1755" t="inlineStr">
        <is>
          <t>4x4</t>
        </is>
      </c>
      <c r="I1755" t="inlineStr">
        <is>
          <t>Daily/ Weekly Vehicle Inspection</t>
        </is>
      </c>
      <c r="J1755" t="inlineStr">
        <is>
          <t>N/A</t>
        </is>
      </c>
      <c r="K1755" t="inlineStr">
        <is>
          <t>3098 D &amp; R Landscapes</t>
        </is>
      </c>
      <c r="L1755" t="inlineStr">
        <is>
          <t>14/10/2025 07:34</t>
        </is>
      </c>
      <c r="M1755" t="inlineStr">
        <is>
          <t>None</t>
        </is>
      </c>
      <c r="N1755" t="inlineStr">
        <is>
          <t>&lt;p&gt;&lt;/p&gt;</t>
        </is>
      </c>
      <c r="O1755" t="inlineStr"/>
      <c r="P1755" t="inlineStr">
        <is>
          <t>WA13ZZK , 4x4 , Land Rover  , Defender</t>
        </is>
      </c>
      <c r="Q1755" t="inlineStr">
        <is>
          <t>UKPN</t>
        </is>
      </c>
      <c r="R1755" t="b">
        <v>0</v>
      </c>
    </row>
    <row r="1756">
      <c r="A1756" t="inlineStr">
        <is>
          <t>14 Oct 2025 / Thomas Nandi / Utilities / SSE</t>
        </is>
      </c>
      <c r="B1756" t="inlineStr">
        <is>
          <t>Utilities</t>
        </is>
      </c>
      <c r="C1756" t="inlineStr">
        <is>
          <t>SSE</t>
        </is>
      </c>
      <c r="D1756" t="inlineStr"/>
      <c r="E1756" t="inlineStr"/>
      <c r="F1756" t="inlineStr"/>
      <c r="G1756" t="inlineStr">
        <is>
          <t xml:space="preserve">Tom Nandi </t>
        </is>
      </c>
      <c r="H1756" t="inlineStr">
        <is>
          <t>Car - Petrol</t>
        </is>
      </c>
      <c r="I1756" t="inlineStr">
        <is>
          <t>Daily/ Weekly Vehicle Inspection</t>
        </is>
      </c>
      <c r="J1756" t="inlineStr">
        <is>
          <t>N/A</t>
        </is>
      </c>
      <c r="K1756" t="inlineStr">
        <is>
          <t>Thomas Nandi</t>
        </is>
      </c>
      <c r="L1756" t="inlineStr">
        <is>
          <t>14/10/2025 08:26</t>
        </is>
      </c>
      <c r="M1756" t="inlineStr">
        <is>
          <t>None</t>
        </is>
      </c>
      <c r="N1756" t="inlineStr">
        <is>
          <t>&lt;p&gt;&lt;/p&gt;</t>
        </is>
      </c>
      <c r="O1756" t="inlineStr"/>
      <c r="P1756" t="inlineStr"/>
      <c r="Q1756" t="inlineStr">
        <is>
          <t>SSE</t>
        </is>
      </c>
      <c r="R1756" t="b">
        <v>0</v>
      </c>
    </row>
    <row r="1757">
      <c r="A1757" t="inlineStr">
        <is>
          <t>14 Oct 2025 / Anthony Gale / Utilities / UKPN</t>
        </is>
      </c>
      <c r="B1757" t="inlineStr">
        <is>
          <t>Utilities</t>
        </is>
      </c>
      <c r="C1757" t="inlineStr">
        <is>
          <t>UKPN</t>
        </is>
      </c>
      <c r="D1757" t="inlineStr">
        <is>
          <t>PE07 HGL , Vehicle , Mitsubishi , L200 K74</t>
        </is>
      </c>
      <c r="E1757" t="inlineStr">
        <is>
          <t>PE07 HGL , Vehicle , Mitsubishi , L200 K74</t>
        </is>
      </c>
      <c r="F1757" t="inlineStr">
        <is>
          <t>PE07 HGL , Vehicle , Mitsubishi , L200 K74</t>
        </is>
      </c>
      <c r="G1757" t="inlineStr">
        <is>
          <t>Anthony Gale</t>
        </is>
      </c>
      <c r="H1757" t="inlineStr">
        <is>
          <t>Pickup Truck</t>
        </is>
      </c>
      <c r="I1757" t="inlineStr">
        <is>
          <t>Daily/ Weekly Vehicle Inspection</t>
        </is>
      </c>
      <c r="J1757" t="inlineStr">
        <is>
          <t>N/A</t>
        </is>
      </c>
      <c r="K1757" t="inlineStr">
        <is>
          <t>7996 M G Tree Surgery Ltd 1</t>
        </is>
      </c>
      <c r="L1757" t="inlineStr">
        <is>
          <t>14/10/2025 08:28</t>
        </is>
      </c>
      <c r="M1757" t="inlineStr">
        <is>
          <t>None</t>
        </is>
      </c>
      <c r="N1757" t="inlineStr">
        <is>
          <t>&lt;p&gt;&lt;/p&gt;</t>
        </is>
      </c>
      <c r="O1757" t="inlineStr">
        <is>
          <t>Confirm that you have checked this vehicle as per the guidance document and the vehicle is safe and roadworthy:Drivers side wheel trim deteriorating, safe for now.
Monitor.
-</t>
        </is>
      </c>
      <c r="P1757" t="inlineStr">
        <is>
          <t>PE07 HGL , Vehicle , Mitsubishi , L200 K74</t>
        </is>
      </c>
      <c r="Q1757" t="inlineStr">
        <is>
          <t>UKPN</t>
        </is>
      </c>
      <c r="R1757" t="b">
        <v>0</v>
      </c>
    </row>
    <row r="1758">
      <c r="A1758" t="inlineStr">
        <is>
          <t>13 Oct 2025 / Anthony Gale / Utilities / UKPN</t>
        </is>
      </c>
      <c r="B1758" t="inlineStr">
        <is>
          <t>Utilities</t>
        </is>
      </c>
      <c r="C1758" t="inlineStr">
        <is>
          <t>UKPN</t>
        </is>
      </c>
      <c r="D1758" t="inlineStr">
        <is>
          <t>PE07 HGL , Vehicle , Mitsubishi , L200 K74</t>
        </is>
      </c>
      <c r="E1758" t="inlineStr">
        <is>
          <t>PE07 HGL , Vehicle , Mitsubishi , L200 K74</t>
        </is>
      </c>
      <c r="F1758" t="inlineStr">
        <is>
          <t>PE07 HGL , Vehicle , Mitsubishi , L200 K74</t>
        </is>
      </c>
      <c r="G1758" t="inlineStr">
        <is>
          <t>Anthony Gale</t>
        </is>
      </c>
      <c r="H1758" t="inlineStr">
        <is>
          <t>Pickup Truck</t>
        </is>
      </c>
      <c r="I1758" t="inlineStr">
        <is>
          <t>Daily/ Weekly Vehicle Inspection</t>
        </is>
      </c>
      <c r="J1758" t="inlineStr">
        <is>
          <t>N/A</t>
        </is>
      </c>
      <c r="K1758" t="inlineStr">
        <is>
          <t>7996 M G Tree Surgery Ltd 1</t>
        </is>
      </c>
      <c r="L1758" t="inlineStr">
        <is>
          <t>14/10/2025 08:28</t>
        </is>
      </c>
      <c r="M1758" t="inlineStr">
        <is>
          <t>None</t>
        </is>
      </c>
      <c r="N1758" t="inlineStr">
        <is>
          <t>&lt;p&gt;&lt;/p&gt;</t>
        </is>
      </c>
      <c r="O1758" t="inlineStr">
        <is>
          <t>Confirm that you have checked this vehicle as per the guidance document and the vehicle is safe and roadworthy:Drivers side wheel trim deteriorating.
Ok for now.
Monitor.
-</t>
        </is>
      </c>
      <c r="P1758" t="inlineStr">
        <is>
          <t>PE07 HGL , Vehicle , Mitsubishi , L200 K74</t>
        </is>
      </c>
      <c r="Q1758" t="inlineStr">
        <is>
          <t>UKPN</t>
        </is>
      </c>
      <c r="R1758" t="b">
        <v>0</v>
      </c>
    </row>
    <row r="1759">
      <c r="A1759" t="inlineStr">
        <is>
          <t>14 Oct 2025 / 7996 M G Tree Surgery Ltd / Utilities / UKPN</t>
        </is>
      </c>
      <c r="B1759" t="inlineStr">
        <is>
          <t>Utilities</t>
        </is>
      </c>
      <c r="C1759" t="inlineStr">
        <is>
          <t>UKPN</t>
        </is>
      </c>
      <c r="D1759" t="inlineStr">
        <is>
          <t>GU13 WNL , MEWP , Land Rover , Defender 130</t>
        </is>
      </c>
      <c r="E1759" t="inlineStr">
        <is>
          <t>GU13 WNL , MEWP , Land Rover , Defender 130</t>
        </is>
      </c>
      <c r="F1759" t="inlineStr">
        <is>
          <t>GU13 WNL , MEWP , Land Rover , Defender 130</t>
        </is>
      </c>
      <c r="G1759" t="inlineStr">
        <is>
          <t>Max</t>
        </is>
      </c>
      <c r="H1759" t="inlineStr">
        <is>
          <t>4x4</t>
        </is>
      </c>
      <c r="I1759" t="inlineStr">
        <is>
          <t>Daily/ Weekly Vehicle Inspection</t>
        </is>
      </c>
      <c r="J1759" t="inlineStr">
        <is>
          <t>N/A</t>
        </is>
      </c>
      <c r="K1759" t="inlineStr">
        <is>
          <t>7996 M G Tree Surgery Ltd</t>
        </is>
      </c>
      <c r="L1759" t="inlineStr">
        <is>
          <t>14/10/2025 08:29</t>
        </is>
      </c>
      <c r="M1759" t="inlineStr">
        <is>
          <t>None</t>
        </is>
      </c>
      <c r="N1759" t="inlineStr">
        <is>
          <t>&lt;p&gt;&lt;/p&gt;</t>
        </is>
      </c>
      <c r="O1759" t="inlineStr"/>
      <c r="P1759" t="inlineStr">
        <is>
          <t>GU13 WNL , MEWP , Land Rover , Defender 130</t>
        </is>
      </c>
      <c r="Q1759" t="inlineStr">
        <is>
          <t>UKPN</t>
        </is>
      </c>
      <c r="R1759" t="b">
        <v>0</v>
      </c>
    </row>
    <row r="1760">
      <c r="A1760" t="inlineStr">
        <is>
          <t>14 Oct 2025 / Jane Moore / Utilities / NGED</t>
        </is>
      </c>
      <c r="B1760" t="inlineStr">
        <is>
          <t>Utilities</t>
        </is>
      </c>
      <c r="C1760" t="inlineStr">
        <is>
          <t>NGED</t>
        </is>
      </c>
      <c r="D1760" t="inlineStr"/>
      <c r="E1760" t="inlineStr"/>
      <c r="F1760" t="inlineStr"/>
      <c r="G1760" t="inlineStr">
        <is>
          <t xml:space="preserve">Jane Moore </t>
        </is>
      </c>
      <c r="H1760" t="inlineStr">
        <is>
          <t>Car - Petrol</t>
        </is>
      </c>
      <c r="I1760" t="inlineStr">
        <is>
          <t>Monthly Vehicle Inspection</t>
        </is>
      </c>
      <c r="J1760" t="inlineStr">
        <is>
          <t>15941</t>
        </is>
      </c>
      <c r="K1760" t="inlineStr">
        <is>
          <t>Jane Moore</t>
        </is>
      </c>
      <c r="L1760" t="inlineStr">
        <is>
          <t>14/10/2025 11:29</t>
        </is>
      </c>
      <c r="M1760" t="inlineStr">
        <is>
          <t>None</t>
        </is>
      </c>
      <c r="N1760" t="inlineStr">
        <is>
          <t>&lt;p&gt;&lt;/p&gt;</t>
        </is>
      </c>
      <c r="O1760" t="inlineStr">
        <is>
          <t>EXTERIOR &amp; GLASS
What to Check: 
Is the body of the vehicle in good condition (any dents or scratches)? 
Is the windscreen and all mirrors free of chips or cracks? 
Are the window wipers operational and fit for purpose? 
Is the boot lid &amp; doors secure &amp; operational? 
Is the number plate clean &amp; secure? 
Are access &amp; egress points safe &amp; secure (e.g., steps &amp; handrails)?
How: Inspect the vehicle's exterior for dents, scratches, or rust spots. Check the windscreen and mirrors for any chips or cracks that could impair visibility. Test the operation of window wipers and ensure they effectively clear the windscreen. Verify the security and functionality of doors, boot lid, and number plate. Check the condition of charging cables and ensure access &amp; egress points are stable and safe.
Why: A well-maintained exterior enhances the vehicle's appearance, ensures driver visibility, and prevents potential safety hazards. Functional wipers, secure doors, and clear visibility contribute to safe driving conditions.:Broken grill on front passenger side
-</t>
        </is>
      </c>
      <c r="P1760" t="inlineStr"/>
      <c r="Q1760" t="inlineStr">
        <is>
          <t>NGED</t>
        </is>
      </c>
      <c r="R1760" t="b">
        <v>0</v>
      </c>
    </row>
    <row r="1761">
      <c r="A1761" t="inlineStr">
        <is>
          <t>14 Oct 2025 / Jane Moore / Utilities / NGED</t>
        </is>
      </c>
      <c r="B1761" t="inlineStr">
        <is>
          <t>Utilities</t>
        </is>
      </c>
      <c r="C1761" t="inlineStr">
        <is>
          <t>NGED</t>
        </is>
      </c>
      <c r="D1761" t="inlineStr"/>
      <c r="E1761" t="inlineStr"/>
      <c r="F1761" t="inlineStr"/>
      <c r="G1761" t="inlineStr">
        <is>
          <t xml:space="preserve">Jane Moore </t>
        </is>
      </c>
      <c r="H1761" t="inlineStr">
        <is>
          <t>Car - Petrol</t>
        </is>
      </c>
      <c r="I1761" t="inlineStr">
        <is>
          <t>Daily/ Weekly Vehicle Inspection</t>
        </is>
      </c>
      <c r="J1761" t="inlineStr">
        <is>
          <t>N/A</t>
        </is>
      </c>
      <c r="K1761" t="inlineStr">
        <is>
          <t>Jane Moore</t>
        </is>
      </c>
      <c r="L1761" t="inlineStr">
        <is>
          <t>14/10/2025 14:26</t>
        </is>
      </c>
      <c r="M1761" t="inlineStr">
        <is>
          <t>None</t>
        </is>
      </c>
      <c r="N1761" t="inlineStr">
        <is>
          <t>&lt;p&gt;&lt;a href="https&amp;#58;//apps.powerapps.com/play/2d567dc9-5d50-4629-a077-f7ccbff3e239?tenantId=3ef9f654-aa07-41b8-88ad-a411c62bd12c&amp;amp;Action=Open&amp;amp;Actionno=7145"&gt;needs oil service&lt;/a&gt;&lt;br&gt;&lt;a href="https&amp;#58;//apps.powerapps.com/play/2d567dc9-5d50-4629-a077-f7ccbff3e239?tenantId=3ef9f654-aa07-41b8-88ad-a411c62bd12c&amp;amp;Action=Open&amp;amp;Actionno=7146"&gt;broken front passenger grill&lt;/a&gt;&lt;br&gt;&lt;/p&gt;</t>
        </is>
      </c>
      <c r="O1761" t="inlineStr"/>
      <c r="P1761" t="inlineStr"/>
      <c r="Q1761" t="inlineStr">
        <is>
          <t>NGED</t>
        </is>
      </c>
      <c r="R1761" t="b">
        <v>0</v>
      </c>
    </row>
    <row r="1762">
      <c r="A1762" t="inlineStr">
        <is>
          <t>15 Oct 2025 / 7951 Austin Tree Care LTD 1 / Utilities / UKPN</t>
        </is>
      </c>
      <c r="B1762" t="inlineStr">
        <is>
          <t>Utilities</t>
        </is>
      </c>
      <c r="C1762" t="inlineStr">
        <is>
          <t>UKPN</t>
        </is>
      </c>
      <c r="D1762" t="inlineStr">
        <is>
          <t>WF61 HZV , 4x4 MEWP , Land Rover , Defender</t>
        </is>
      </c>
      <c r="E1762" t="inlineStr">
        <is>
          <t>WF61 HZV , 4x4 MEWP , Land Rover , Defender</t>
        </is>
      </c>
      <c r="F1762" t="inlineStr">
        <is>
          <t>WF61 HZV , 4x4 MEWP , Land Rover , Defender</t>
        </is>
      </c>
      <c r="G1762" t="inlineStr">
        <is>
          <t xml:space="preserve">James Tasker </t>
        </is>
      </c>
      <c r="H1762" t="inlineStr">
        <is>
          <t>4x4</t>
        </is>
      </c>
      <c r="I1762" t="inlineStr">
        <is>
          <t>Daily/ Weekly Vehicle Inspection</t>
        </is>
      </c>
      <c r="J1762" t="inlineStr">
        <is>
          <t>N/A</t>
        </is>
      </c>
      <c r="K1762" t="inlineStr">
        <is>
          <t>7951 Austin Tree Care LTD 1</t>
        </is>
      </c>
      <c r="L1762" t="inlineStr">
        <is>
          <t>15/10/2025 07:26</t>
        </is>
      </c>
      <c r="M1762" t="inlineStr">
        <is>
          <t>None</t>
        </is>
      </c>
      <c r="N1762" t="inlineStr">
        <is>
          <t>&lt;p&gt;&lt;/p&gt;</t>
        </is>
      </c>
      <c r="O1762" t="inlineStr"/>
      <c r="P1762" t="inlineStr">
        <is>
          <t>WF61 HZV , 4x4 MEWP , Land Rover , Defender</t>
        </is>
      </c>
      <c r="Q1762" t="inlineStr">
        <is>
          <t>UKPN</t>
        </is>
      </c>
      <c r="R1762" t="b">
        <v>0</v>
      </c>
    </row>
    <row r="1763">
      <c r="A1763" t="inlineStr">
        <is>
          <t>15 Oct 2025 / 7186 Eastwoodbury Tree Services Ltd 1 / Utilities / UKPN</t>
        </is>
      </c>
      <c r="B1763" t="inlineStr">
        <is>
          <t>Utilities</t>
        </is>
      </c>
      <c r="C1763" t="inlineStr">
        <is>
          <t>UKPN</t>
        </is>
      </c>
      <c r="D1763" t="inlineStr">
        <is>
          <t>DN61XKJ , Tipper , Ford , Transit</t>
        </is>
      </c>
      <c r="E1763" t="inlineStr">
        <is>
          <t>DN61XKJ , Tipper , Ford , Transit</t>
        </is>
      </c>
      <c r="F1763" t="inlineStr">
        <is>
          <t>DN61XKJ , Tipper , Ford , Transit</t>
        </is>
      </c>
      <c r="G1763" t="inlineStr">
        <is>
          <t>Jay denkmayer</t>
        </is>
      </c>
      <c r="H1763" t="inlineStr">
        <is>
          <t>Tipper</t>
        </is>
      </c>
      <c r="I1763" t="inlineStr">
        <is>
          <t>Daily/ Weekly Vehicle Inspection</t>
        </is>
      </c>
      <c r="J1763" t="inlineStr">
        <is>
          <t>N/A</t>
        </is>
      </c>
      <c r="K1763" t="inlineStr">
        <is>
          <t>7186 Eastwoodbury Tree Services Ltd 1</t>
        </is>
      </c>
      <c r="L1763" t="inlineStr">
        <is>
          <t>15/10/2025 07:29</t>
        </is>
      </c>
      <c r="M1763" t="inlineStr">
        <is>
          <t>None</t>
        </is>
      </c>
      <c r="N1763" t="inlineStr">
        <is>
          <t>&lt;p&gt;&lt;/p&gt;</t>
        </is>
      </c>
      <c r="O1763" t="inlineStr"/>
      <c r="P1763" t="inlineStr">
        <is>
          <t>DN61XKJ , Tipper , Ford , Transit</t>
        </is>
      </c>
      <c r="Q1763" t="inlineStr">
        <is>
          <t>UKPN</t>
        </is>
      </c>
      <c r="R1763" t="b">
        <v>0</v>
      </c>
    </row>
    <row r="1764">
      <c r="A1764" t="inlineStr">
        <is>
          <t>15 Oct 2025 / 7186 Eastwoodbury Tree Services Ltd 1 / Utilities / UKPN</t>
        </is>
      </c>
      <c r="B1764" t="inlineStr">
        <is>
          <t>Utilities</t>
        </is>
      </c>
      <c r="C1764" t="inlineStr">
        <is>
          <t>UKPN</t>
        </is>
      </c>
      <c r="D1764" t="inlineStr">
        <is>
          <t>FN600XM , 4x4 , Land Rover  , Defender</t>
        </is>
      </c>
      <c r="E1764" t="inlineStr">
        <is>
          <t>FN600XM , 4x4 , Land Rover  , Defender</t>
        </is>
      </c>
      <c r="F1764" t="inlineStr">
        <is>
          <t>FN600XM , 4x4 , Land Rover  , Defender</t>
        </is>
      </c>
      <c r="G1764" t="inlineStr">
        <is>
          <t>Dan Gilbert</t>
        </is>
      </c>
      <c r="H1764" t="inlineStr">
        <is>
          <t>4x4</t>
        </is>
      </c>
      <c r="I1764" t="inlineStr">
        <is>
          <t>Daily/ Weekly Vehicle Inspection</t>
        </is>
      </c>
      <c r="J1764" t="inlineStr">
        <is>
          <t>N/A</t>
        </is>
      </c>
      <c r="K1764" t="inlineStr">
        <is>
          <t>7186 Eastwoodbury Tree Services Ltd 1</t>
        </is>
      </c>
      <c r="L1764" t="inlineStr">
        <is>
          <t>15/10/2025 07:30</t>
        </is>
      </c>
      <c r="M1764" t="inlineStr">
        <is>
          <t>None</t>
        </is>
      </c>
      <c r="N1764" t="inlineStr">
        <is>
          <t>&lt;p&gt;&lt;/p&gt;</t>
        </is>
      </c>
      <c r="O1764" t="inlineStr"/>
      <c r="P1764" t="inlineStr">
        <is>
          <t>FN600XM , 4x4 , Land Rover  , Defender</t>
        </is>
      </c>
      <c r="Q1764" t="inlineStr">
        <is>
          <t>UKPN</t>
        </is>
      </c>
      <c r="R1764" t="b">
        <v>0</v>
      </c>
    </row>
    <row r="1765">
      <c r="A1765" t="inlineStr">
        <is>
          <t>15 Oct 2025 / 7186 Eastwoodbury Tree Services Ltd 1 / Utilities / UKPN</t>
        </is>
      </c>
      <c r="B1765" t="inlineStr">
        <is>
          <t>Utilities</t>
        </is>
      </c>
      <c r="C1765" t="inlineStr">
        <is>
          <t>UKPN</t>
        </is>
      </c>
      <c r="D1765" t="inlineStr">
        <is>
          <t>4x4 - Land rover  - Defenders  - WF13 EKM</t>
        </is>
      </c>
      <c r="E1765" t="inlineStr">
        <is>
          <t>4x4 - Land rover  - Defenders  - WF13 EKM</t>
        </is>
      </c>
      <c r="F1765" t="inlineStr">
        <is>
          <t>4x4 - Land rover  - Defenders  - WF13 EKM</t>
        </is>
      </c>
      <c r="G1765" t="inlineStr">
        <is>
          <t xml:space="preserve">Tom price </t>
        </is>
      </c>
      <c r="H1765" t="inlineStr">
        <is>
          <t>4x4</t>
        </is>
      </c>
      <c r="I1765" t="inlineStr">
        <is>
          <t>Daily/ Weekly Vehicle Inspection</t>
        </is>
      </c>
      <c r="J1765" t="inlineStr">
        <is>
          <t>N/A</t>
        </is>
      </c>
      <c r="K1765" t="inlineStr">
        <is>
          <t>7186 Eastwoodbury Tree Services Ltd 1</t>
        </is>
      </c>
      <c r="L1765" t="inlineStr">
        <is>
          <t>15/10/2025 07:30</t>
        </is>
      </c>
      <c r="M1765" t="inlineStr">
        <is>
          <t>None</t>
        </is>
      </c>
      <c r="N1765" t="inlineStr">
        <is>
          <t>&lt;p&gt;&lt;/p&gt;</t>
        </is>
      </c>
      <c r="O1765" t="inlineStr"/>
      <c r="P1765" t="inlineStr">
        <is>
          <t>4x4 - Land rover  - Defenders  - WF13 EKM</t>
        </is>
      </c>
      <c r="Q1765" t="inlineStr">
        <is>
          <t>UKPN</t>
        </is>
      </c>
      <c r="R1765" t="b">
        <v>0</v>
      </c>
    </row>
    <row r="1766">
      <c r="A1766" t="inlineStr">
        <is>
          <t>15 Oct 2025 / Anthony Gale / Utilities / UKPN</t>
        </is>
      </c>
      <c r="B1766" t="inlineStr">
        <is>
          <t>Utilities</t>
        </is>
      </c>
      <c r="C1766" t="inlineStr">
        <is>
          <t>UKPN</t>
        </is>
      </c>
      <c r="D1766" t="inlineStr">
        <is>
          <t>PE07 HGL , Vehicle , Mitsubishi , L200 K74</t>
        </is>
      </c>
      <c r="E1766" t="inlineStr">
        <is>
          <t>PE07 HGL , Vehicle , Mitsubishi , L200 K74</t>
        </is>
      </c>
      <c r="F1766" t="inlineStr">
        <is>
          <t>PE07 HGL , Vehicle , Mitsubishi , L200 K74</t>
        </is>
      </c>
      <c r="G1766" t="inlineStr">
        <is>
          <t>Anthony Gale</t>
        </is>
      </c>
      <c r="H1766" t="inlineStr">
        <is>
          <t>Pickup Truck</t>
        </is>
      </c>
      <c r="I1766" t="inlineStr">
        <is>
          <t>Daily/ Weekly Vehicle Inspection</t>
        </is>
      </c>
      <c r="J1766" t="inlineStr">
        <is>
          <t>N/A</t>
        </is>
      </c>
      <c r="K1766" t="inlineStr">
        <is>
          <t>7996 M G Tree Surgery Ltd 1</t>
        </is>
      </c>
      <c r="L1766" t="inlineStr">
        <is>
          <t>15/10/2025 07:31</t>
        </is>
      </c>
      <c r="M1766" t="inlineStr">
        <is>
          <t>None</t>
        </is>
      </c>
      <c r="N1766" t="inlineStr">
        <is>
          <t>&lt;p&gt;&lt;/p&gt;</t>
        </is>
      </c>
      <c r="O1766" t="inlineStr">
        <is>
          <t>Confirm that you have checked this vehicle as per the guidance document and the vehicle is safe and roadworthy:Drivers side wheel trim deteriorating, safe for now.
Monitor.
-</t>
        </is>
      </c>
      <c r="P1766" t="inlineStr">
        <is>
          <t>PE07 HGL , Vehicle , Mitsubishi , L200 K74</t>
        </is>
      </c>
      <c r="Q1766" t="inlineStr">
        <is>
          <t>UKPN</t>
        </is>
      </c>
      <c r="R1766" t="b">
        <v>0</v>
      </c>
    </row>
    <row r="1767">
      <c r="A1767" t="inlineStr">
        <is>
          <t>14 Oct 2025 / Anthony Gale / Utilities / UKPN</t>
        </is>
      </c>
      <c r="B1767" t="inlineStr">
        <is>
          <t>Utilities</t>
        </is>
      </c>
      <c r="C1767" t="inlineStr">
        <is>
          <t>UKPN</t>
        </is>
      </c>
      <c r="D1767" t="inlineStr">
        <is>
          <t>PE07 HGL , Vehicle , Mitsubishi , L200 K74</t>
        </is>
      </c>
      <c r="E1767" t="inlineStr">
        <is>
          <t>PE07 HGL , Vehicle , Mitsubishi , L200 K74</t>
        </is>
      </c>
      <c r="F1767" t="inlineStr">
        <is>
          <t>PE07 HGL , Vehicle , Mitsubishi , L200 K74</t>
        </is>
      </c>
      <c r="G1767" t="inlineStr">
        <is>
          <t>Anthony Gale</t>
        </is>
      </c>
      <c r="H1767" t="inlineStr">
        <is>
          <t>Pickup Truck</t>
        </is>
      </c>
      <c r="I1767" t="inlineStr">
        <is>
          <t>Daily/ Weekly Vehicle Inspection</t>
        </is>
      </c>
      <c r="J1767" t="inlineStr">
        <is>
          <t>N/A</t>
        </is>
      </c>
      <c r="K1767" t="inlineStr">
        <is>
          <t>7996 M G Tree Surgery Ltd 1</t>
        </is>
      </c>
      <c r="L1767" t="inlineStr">
        <is>
          <t>15/10/2025 07:31</t>
        </is>
      </c>
      <c r="M1767" t="inlineStr">
        <is>
          <t>None</t>
        </is>
      </c>
      <c r="N1767" t="inlineStr">
        <is>
          <t>&lt;p&gt;&lt;/p&gt;</t>
        </is>
      </c>
      <c r="O1767" t="inlineStr">
        <is>
          <t>Confirm that you have checked this vehicle as per the guidance document and the vehicle is safe and roadworthy:Drivers side wheel trim deteriorating, safe for now.
Monitor.
-</t>
        </is>
      </c>
      <c r="P1767" t="inlineStr">
        <is>
          <t>PE07 HGL , Vehicle , Mitsubishi , L200 K74</t>
        </is>
      </c>
      <c r="Q1767" t="inlineStr">
        <is>
          <t>UKPN</t>
        </is>
      </c>
      <c r="R1767" t="b">
        <v>0</v>
      </c>
    </row>
    <row r="1768">
      <c r="A1768" t="inlineStr">
        <is>
          <t>15 Oct 2025 / 7889 Tree Tech Suffolk Ltd</t>
        </is>
      </c>
      <c r="B1768" t="inlineStr">
        <is>
          <t>Utilities &amp; Inland Waterways</t>
        </is>
      </c>
      <c r="C1768" t="inlineStr">
        <is>
          <t>UKPN</t>
        </is>
      </c>
      <c r="D1768" t="inlineStr">
        <is>
          <t>Tow Chipper - Jenson - A530L - 55210639484x4 - Isuzu - D-max - NS03 TTSTipper - Nissan - Navara - NS02TTS</t>
        </is>
      </c>
      <c r="E1768" t="inlineStr">
        <is>
          <t>Tow Chipper - Jenson - A530L - 55210639484x4 - Isuzu - D-max - NS03 TTSTipper - Nissan - Navara - NS02TTS</t>
        </is>
      </c>
      <c r="F1768" t="inlineStr">
        <is>
          <t>Tow Chipper - Jenson - A530L - 55210639484x4 - Isuzu - D-max - NS03 TTSTipper - Nissan - Navara - NS02TTS</t>
        </is>
      </c>
      <c r="G1768" t="inlineStr">
        <is>
          <t xml:space="preserve">Nikki sparrow Danny Appleby Nikki sparrow </t>
        </is>
      </c>
      <c r="H1768" t="inlineStr">
        <is>
          <t>Towed Chipper4x4Tipper</t>
        </is>
      </c>
      <c r="I1768" t="inlineStr">
        <is>
          <t>Daily/ Weekly Vehicle Inspection</t>
        </is>
      </c>
      <c r="J1768" t="inlineStr">
        <is>
          <t>N/A</t>
        </is>
      </c>
      <c r="K1768" t="inlineStr">
        <is>
          <t>7889 Tree Tech Suffolk Ltd</t>
        </is>
      </c>
      <c r="L1768" t="inlineStr">
        <is>
          <t>15/10/2025 07:32</t>
        </is>
      </c>
      <c r="M1768" t="inlineStr">
        <is>
          <t>None</t>
        </is>
      </c>
      <c r="N1768" t="inlineStr">
        <is>
          <t>&lt;p&gt;&lt;/p&gt;</t>
        </is>
      </c>
      <c r="O1768" t="inlineStr">
        <is>
          <t>Select Vehicle:Kx65 fczSelect Vehicle:Crack in windscreen. Address on next MOT if required</t>
        </is>
      </c>
      <c r="P1768" t="inlineStr">
        <is>
          <t>Tow Chipper - Jenson - A530L - 55210639484x4 - Isuzu - D-max - NS03 TTSTipper - Nissan - Navara - NS02TTS</t>
        </is>
      </c>
      <c r="Q1768" t="inlineStr">
        <is>
          <t>UKPN</t>
        </is>
      </c>
      <c r="R1768" t="b">
        <v>0</v>
      </c>
    </row>
    <row r="1769">
      <c r="A1769" t="inlineStr">
        <is>
          <t>14 Oct 2025 / 7889 Tree Tech Suffolk Ltd</t>
        </is>
      </c>
      <c r="B1769" t="inlineStr">
        <is>
          <t>Utilities &amp; Inland Waterways</t>
        </is>
      </c>
      <c r="C1769" t="inlineStr">
        <is>
          <t>UKPN</t>
        </is>
      </c>
      <c r="D1769" t="inlineStr">
        <is>
          <t>Tow Chipper - Jenson - A530L - 55210639484x4 - Isuzu - D-max - NS03 TTSTipper - Nissan - Navara - NS02TTS</t>
        </is>
      </c>
      <c r="E1769" t="inlineStr">
        <is>
          <t>Tow Chipper - Jenson - A530L - 55210639484x4 - Isuzu - D-max - NS03 TTSTipper - Nissan - Navara - NS02TTS</t>
        </is>
      </c>
      <c r="F1769" t="inlineStr">
        <is>
          <t>Tow Chipper - Jenson - A530L - 55210639484x4 - Isuzu - D-max - NS03 TTSTipper - Nissan - Navara - NS02TTS</t>
        </is>
      </c>
      <c r="G1769" t="inlineStr">
        <is>
          <t xml:space="preserve">Nikki sparrow Danny Appleby Nikki sparrow </t>
        </is>
      </c>
      <c r="H1769" t="inlineStr">
        <is>
          <t>Towed Chipper4x4Tipper</t>
        </is>
      </c>
      <c r="I1769" t="inlineStr">
        <is>
          <t>Daily/ Weekly Vehicle Inspection</t>
        </is>
      </c>
      <c r="J1769" t="inlineStr">
        <is>
          <t>N/A</t>
        </is>
      </c>
      <c r="K1769" t="inlineStr">
        <is>
          <t>7889 Tree Tech Suffolk Ltd</t>
        </is>
      </c>
      <c r="L1769" t="inlineStr">
        <is>
          <t>15/10/2025 07:33</t>
        </is>
      </c>
      <c r="M1769" t="inlineStr">
        <is>
          <t>None</t>
        </is>
      </c>
      <c r="N1769" t="inlineStr">
        <is>
          <t>&lt;p&gt;&lt;/p&gt;</t>
        </is>
      </c>
      <c r="O1769" t="inlineStr">
        <is>
          <t>Select Vehicle:Kx65 fczSelect Vehicle:Crack in windscreen. Address on next MOT if required</t>
        </is>
      </c>
      <c r="P1769" t="inlineStr">
        <is>
          <t>Tow Chipper - Jenson - A530L - 55210639484x4 - Isuzu - D-max - NS03 TTSTipper - Nissan - Navara - NS02TTS</t>
        </is>
      </c>
      <c r="Q1769" t="inlineStr">
        <is>
          <t>UKPN</t>
        </is>
      </c>
      <c r="R1769" t="b">
        <v>0</v>
      </c>
    </row>
    <row r="1770">
      <c r="A1770" t="inlineStr">
        <is>
          <t>15 Oct 2025 / 3098 D &amp; R Landscapes / Utilities / UKPN</t>
        </is>
      </c>
      <c r="B1770" t="inlineStr">
        <is>
          <t>Utilities</t>
        </is>
      </c>
      <c r="C1770" t="inlineStr">
        <is>
          <t>UKPN</t>
        </is>
      </c>
      <c r="D1770" t="inlineStr">
        <is>
          <t>DE68XHA , Tipper , Isuzu , Grafter</t>
        </is>
      </c>
      <c r="E1770" t="inlineStr">
        <is>
          <t>DE68XHA , Tipper , Isuzu , Grafter</t>
        </is>
      </c>
      <c r="F1770" t="inlineStr">
        <is>
          <t>DE68XHA , Tipper , Isuzu , Grafter</t>
        </is>
      </c>
      <c r="G1770" t="inlineStr">
        <is>
          <t>Rob</t>
        </is>
      </c>
      <c r="H1770" t="inlineStr">
        <is>
          <t>Tipper</t>
        </is>
      </c>
      <c r="I1770" t="inlineStr">
        <is>
          <t>Daily/ Weekly Vehicle Inspection</t>
        </is>
      </c>
      <c r="J1770" t="inlineStr">
        <is>
          <t>N/A</t>
        </is>
      </c>
      <c r="K1770" t="inlineStr">
        <is>
          <t>3098 D &amp; R Landscapes</t>
        </is>
      </c>
      <c r="L1770" t="inlineStr">
        <is>
          <t>15/10/2025 08:28</t>
        </is>
      </c>
      <c r="M1770" t="inlineStr">
        <is>
          <t>None</t>
        </is>
      </c>
      <c r="N1770" t="inlineStr">
        <is>
          <t>&lt;p&gt;&lt;/p&gt;</t>
        </is>
      </c>
      <c r="O1770" t="inlineStr"/>
      <c r="P1770" t="inlineStr">
        <is>
          <t>DE68XHA , Tipper , Isuzu , Grafter</t>
        </is>
      </c>
      <c r="Q1770" t="inlineStr">
        <is>
          <t>UKPN</t>
        </is>
      </c>
      <c r="R1770" t="b">
        <v>0</v>
      </c>
    </row>
    <row r="1771">
      <c r="A1771" t="inlineStr">
        <is>
          <t>15 Oct 2025 / 3098 D &amp; R Landscapes (PEND Arb Rail) / Utilities / UKPN</t>
        </is>
      </c>
      <c r="B1771" t="inlineStr">
        <is>
          <t>Utilities</t>
        </is>
      </c>
      <c r="C1771" t="inlineStr">
        <is>
          <t>UKPN</t>
        </is>
      </c>
      <c r="D1771" t="inlineStr">
        <is>
          <t>Vehicle - Nissan - Navara - BT20 GNZ</t>
        </is>
      </c>
      <c r="E1771" t="inlineStr">
        <is>
          <t>Vehicle - Nissan - Navara - BT20 GNZ</t>
        </is>
      </c>
      <c r="F1771" t="inlineStr">
        <is>
          <t>Vehicle - Nissan - Navara - BT20 GNZ</t>
        </is>
      </c>
      <c r="G1771" t="inlineStr">
        <is>
          <t>Jason</t>
        </is>
      </c>
      <c r="H1771" t="inlineStr">
        <is>
          <t>4x4</t>
        </is>
      </c>
      <c r="I1771" t="inlineStr">
        <is>
          <t>Daily/ Weekly Vehicle Inspection</t>
        </is>
      </c>
      <c r="J1771" t="inlineStr">
        <is>
          <t>N/A</t>
        </is>
      </c>
      <c r="K1771" t="inlineStr">
        <is>
          <t>3098 D &amp; R Landscapes</t>
        </is>
      </c>
      <c r="L1771" t="inlineStr">
        <is>
          <t>15/10/2025 08:28</t>
        </is>
      </c>
      <c r="M1771" t="inlineStr">
        <is>
          <t>None</t>
        </is>
      </c>
      <c r="N1771" t="inlineStr">
        <is>
          <t>&lt;p&gt;&lt;/p&gt;</t>
        </is>
      </c>
      <c r="O1771" t="inlineStr"/>
      <c r="P1771" t="inlineStr">
        <is>
          <t>Vehicle - Nissan - Navara - BT20 GNZ</t>
        </is>
      </c>
      <c r="Q1771" t="inlineStr">
        <is>
          <t>UKPN</t>
        </is>
      </c>
      <c r="R1771" t="b">
        <v>0</v>
      </c>
    </row>
    <row r="1772">
      <c r="A1772" t="inlineStr">
        <is>
          <t>15 Oct 2025 / 7951 Austin Tree Care LTD 1 / Utilities / UKPN</t>
        </is>
      </c>
      <c r="B1772" t="inlineStr">
        <is>
          <t>Utilities</t>
        </is>
      </c>
      <c r="C1772" t="inlineStr">
        <is>
          <t>UKPN</t>
        </is>
      </c>
      <c r="D1772" t="inlineStr">
        <is>
          <t>Kn58xuy , Tipper , VW  , Crafter</t>
        </is>
      </c>
      <c r="E1772" t="inlineStr">
        <is>
          <t>Kn58xuy , Tipper , VW  , Crafter</t>
        </is>
      </c>
      <c r="F1772" t="inlineStr">
        <is>
          <t>Kn58xuy , Tipper , VW  , Crafter</t>
        </is>
      </c>
      <c r="G1772" t="inlineStr">
        <is>
          <t xml:space="preserve">Jack Austin </t>
        </is>
      </c>
      <c r="H1772" t="inlineStr">
        <is>
          <t>Tipper</t>
        </is>
      </c>
      <c r="I1772" t="inlineStr">
        <is>
          <t>Daily/ Weekly Vehicle Inspection</t>
        </is>
      </c>
      <c r="J1772" t="inlineStr">
        <is>
          <t>N/A</t>
        </is>
      </c>
      <c r="K1772" t="inlineStr">
        <is>
          <t>7951 Austin Tree Care LTD 1</t>
        </is>
      </c>
      <c r="L1772" t="inlineStr">
        <is>
          <t>15/10/2025 08:30</t>
        </is>
      </c>
      <c r="M1772" t="inlineStr">
        <is>
          <t>None</t>
        </is>
      </c>
      <c r="N1772" t="inlineStr">
        <is>
          <t>&lt;p&gt;&lt;/p&gt;</t>
        </is>
      </c>
      <c r="O1772" t="inlineStr"/>
      <c r="P1772" t="inlineStr">
        <is>
          <t>Kn58xuy , Tipper , VW  , Crafter</t>
        </is>
      </c>
      <c r="Q1772" t="inlineStr">
        <is>
          <t>UKPN</t>
        </is>
      </c>
      <c r="R1772" t="b">
        <v>0</v>
      </c>
    </row>
    <row r="1773">
      <c r="A1773" t="inlineStr">
        <is>
          <t>15 Oct 2025 / 7996 M G Tree Surgery Ltd / Utilities / UKPN</t>
        </is>
      </c>
      <c r="B1773" t="inlineStr">
        <is>
          <t>Utilities</t>
        </is>
      </c>
      <c r="C1773" t="inlineStr">
        <is>
          <t>UKPN</t>
        </is>
      </c>
      <c r="D1773" t="inlineStr">
        <is>
          <t>GU13 WNL , MEWP , Land Rover , Defender 130</t>
        </is>
      </c>
      <c r="E1773" t="inlineStr">
        <is>
          <t>GU13 WNL , MEWP , Land Rover , Defender 130</t>
        </is>
      </c>
      <c r="F1773" t="inlineStr">
        <is>
          <t>GU13 WNL , MEWP , Land Rover , Defender 130</t>
        </is>
      </c>
      <c r="G1773" t="inlineStr">
        <is>
          <t>Max</t>
        </is>
      </c>
      <c r="H1773" t="inlineStr">
        <is>
          <t>4x4</t>
        </is>
      </c>
      <c r="I1773" t="inlineStr">
        <is>
          <t>Daily/ Weekly Vehicle Inspection</t>
        </is>
      </c>
      <c r="J1773" t="inlineStr">
        <is>
          <t>N/A</t>
        </is>
      </c>
      <c r="K1773" t="inlineStr">
        <is>
          <t>7996 M G Tree Surgery Ltd</t>
        </is>
      </c>
      <c r="L1773" t="inlineStr">
        <is>
          <t>15/10/2025 09:26</t>
        </is>
      </c>
      <c r="M1773" t="inlineStr">
        <is>
          <t>None</t>
        </is>
      </c>
      <c r="N1773" t="inlineStr">
        <is>
          <t>&lt;p&gt;&lt;/p&gt;</t>
        </is>
      </c>
      <c r="O1773" t="inlineStr"/>
      <c r="P1773" t="inlineStr">
        <is>
          <t>GU13 WNL , MEWP , Land Rover , Defender 130</t>
        </is>
      </c>
      <c r="Q1773" t="inlineStr">
        <is>
          <t>UKPN</t>
        </is>
      </c>
      <c r="R1773" t="b">
        <v>0</v>
      </c>
    </row>
    <row r="1774">
      <c r="A1774" t="inlineStr">
        <is>
          <t>15 Oct 2025 / 3098 D &amp; R Landscapes / Utilities / UKPN</t>
        </is>
      </c>
      <c r="B1774" t="inlineStr">
        <is>
          <t>Utilities</t>
        </is>
      </c>
      <c r="C1774" t="inlineStr">
        <is>
          <t>UKPN</t>
        </is>
      </c>
      <c r="D1774" t="inlineStr">
        <is>
          <t>WA13ZZK , 4x4 , Land Rover  , Defender</t>
        </is>
      </c>
      <c r="E1774" t="inlineStr">
        <is>
          <t>WA13ZZK , 4x4 , Land Rover  , Defender</t>
        </is>
      </c>
      <c r="F1774" t="inlineStr">
        <is>
          <t>WA13ZZK , 4x4 , Land Rover  , Defender</t>
        </is>
      </c>
      <c r="G1774" t="inlineStr">
        <is>
          <t xml:space="preserve">Chris </t>
        </is>
      </c>
      <c r="H1774" t="inlineStr">
        <is>
          <t>4x4</t>
        </is>
      </c>
      <c r="I1774" t="inlineStr">
        <is>
          <t>Daily/ Weekly Vehicle Inspection</t>
        </is>
      </c>
      <c r="J1774" t="inlineStr">
        <is>
          <t>N/A</t>
        </is>
      </c>
      <c r="K1774" t="inlineStr">
        <is>
          <t>3098 D &amp; R Landscapes</t>
        </is>
      </c>
      <c r="L1774" t="inlineStr">
        <is>
          <t>15/10/2025 09:27</t>
        </is>
      </c>
      <c r="M1774" t="inlineStr">
        <is>
          <t>None</t>
        </is>
      </c>
      <c r="N1774" t="inlineStr">
        <is>
          <t>&lt;p&gt;&lt;/p&gt;</t>
        </is>
      </c>
      <c r="O1774" t="inlineStr"/>
      <c r="P1774" t="inlineStr">
        <is>
          <t>WA13ZZK , 4x4 , Land Rover  , Defender</t>
        </is>
      </c>
      <c r="Q1774" t="inlineStr">
        <is>
          <t>UKPN</t>
        </is>
      </c>
      <c r="R1774" t="b">
        <v>0</v>
      </c>
    </row>
    <row r="1775">
      <c r="A1775" t="inlineStr">
        <is>
          <t>15 Oct 2025 / 7806 Optimum Tree Services Ltd / Utilities / UKPN</t>
        </is>
      </c>
      <c r="B1775" t="inlineStr">
        <is>
          <t>Utilities</t>
        </is>
      </c>
      <c r="C1775" t="inlineStr">
        <is>
          <t>UKPN</t>
        </is>
      </c>
      <c r="D1775" t="inlineStr">
        <is>
          <t>SA9ST800000283069 , Chipper , Forst , ST 6P</t>
        </is>
      </c>
      <c r="E1775" t="inlineStr">
        <is>
          <t>SA9ST800000283069 , Chipper , Forst , ST 6P</t>
        </is>
      </c>
      <c r="F1775" t="inlineStr">
        <is>
          <t>SA9ST800000283069 , Chipper , Forst , ST 6P</t>
        </is>
      </c>
      <c r="G1775" t="inlineStr">
        <is>
          <t xml:space="preserve">Abraham Davies </t>
        </is>
      </c>
      <c r="H1775" t="inlineStr">
        <is>
          <t>Towed Chipper</t>
        </is>
      </c>
      <c r="I1775" t="inlineStr">
        <is>
          <t>Daily/ Weekly Vehicle Inspection</t>
        </is>
      </c>
      <c r="J1775" t="inlineStr">
        <is>
          <t>N/A</t>
        </is>
      </c>
      <c r="K1775" t="inlineStr">
        <is>
          <t>7806 Optimum Tree Services Ltd</t>
        </is>
      </c>
      <c r="L1775" t="inlineStr">
        <is>
          <t>15/10/2025 09:28</t>
        </is>
      </c>
      <c r="M1775" t="inlineStr">
        <is>
          <t>None</t>
        </is>
      </c>
      <c r="N1775" t="inlineStr">
        <is>
          <t>&lt;p&gt;&lt;/p&gt;</t>
        </is>
      </c>
      <c r="O1775" t="inlineStr"/>
      <c r="P1775" t="inlineStr">
        <is>
          <t>SA9ST800000283069 , Chipper , Forst , ST 6P</t>
        </is>
      </c>
      <c r="Q1775" t="inlineStr">
        <is>
          <t>UKPN</t>
        </is>
      </c>
      <c r="R1775" t="b">
        <v>0</v>
      </c>
    </row>
    <row r="1776">
      <c r="A1776" t="inlineStr">
        <is>
          <t>15 Oct 2025 / 7806 Optimum Tree Services Ltd / Utilities / UKPN</t>
        </is>
      </c>
      <c r="B1776" t="inlineStr">
        <is>
          <t>Utilities</t>
        </is>
      </c>
      <c r="C1776" t="inlineStr">
        <is>
          <t>UKPN</t>
        </is>
      </c>
      <c r="D1776" t="inlineStr">
        <is>
          <t>Tipper - Ford - Transit - NA10SYZ</t>
        </is>
      </c>
      <c r="E1776" t="inlineStr">
        <is>
          <t>Tipper - Ford - Transit - NA10SYZ</t>
        </is>
      </c>
      <c r="F1776" t="inlineStr">
        <is>
          <t>Tipper - Ford - Transit - NA10SYZ</t>
        </is>
      </c>
      <c r="G1776" t="inlineStr">
        <is>
          <t xml:space="preserve">Abraham Davies </t>
        </is>
      </c>
      <c r="H1776" t="inlineStr">
        <is>
          <t>Tipper</t>
        </is>
      </c>
      <c r="I1776" t="inlineStr">
        <is>
          <t>Daily/ Weekly Vehicle Inspection</t>
        </is>
      </c>
      <c r="J1776" t="inlineStr">
        <is>
          <t>N/A</t>
        </is>
      </c>
      <c r="K1776" t="inlineStr">
        <is>
          <t>7806 Optimum Tree Services Ltd</t>
        </is>
      </c>
      <c r="L1776" t="inlineStr">
        <is>
          <t>15/10/2025 09:29</t>
        </is>
      </c>
      <c r="M1776" t="inlineStr">
        <is>
          <t>None</t>
        </is>
      </c>
      <c r="N1776" t="inlineStr">
        <is>
          <t>&lt;p&gt;&lt;/p&gt;</t>
        </is>
      </c>
      <c r="O1776" t="inlineStr"/>
      <c r="P1776" t="inlineStr">
        <is>
          <t>Tipper - Ford - Transit - NA10SYZ</t>
        </is>
      </c>
      <c r="Q1776" t="inlineStr">
        <is>
          <t>UKPN</t>
        </is>
      </c>
      <c r="R1776" t="b">
        <v>0</v>
      </c>
    </row>
    <row r="1777">
      <c r="A1777" t="inlineStr">
        <is>
          <t>15 Oct 2025 / Paul Chubb / Utilities / SSE</t>
        </is>
      </c>
      <c r="B1777" t="inlineStr">
        <is>
          <t>Utilities</t>
        </is>
      </c>
      <c r="C1777" t="inlineStr">
        <is>
          <t>SSE</t>
        </is>
      </c>
      <c r="D1777" t="inlineStr"/>
      <c r="E1777" t="inlineStr"/>
      <c r="F1777" t="inlineStr"/>
      <c r="G1777" t="inlineStr">
        <is>
          <t>Paul chubb</t>
        </is>
      </c>
      <c r="H1777" t="inlineStr">
        <is>
          <t>Van</t>
        </is>
      </c>
      <c r="I1777" t="inlineStr">
        <is>
          <t>Daily/ Weekly Vehicle Inspection</t>
        </is>
      </c>
      <c r="J1777" t="inlineStr">
        <is>
          <t>N/A</t>
        </is>
      </c>
      <c r="K1777" t="inlineStr">
        <is>
          <t>Paul Chubb</t>
        </is>
      </c>
      <c r="L1777" t="inlineStr">
        <is>
          <t>15/10/2025 13:26</t>
        </is>
      </c>
      <c r="M1777" t="inlineStr">
        <is>
          <t>None</t>
        </is>
      </c>
      <c r="N1777" t="inlineStr">
        <is>
          <t>&lt;p&gt;&lt;/p&gt;</t>
        </is>
      </c>
      <c r="O1777" t="inlineStr"/>
      <c r="P1777" t="inlineStr"/>
      <c r="Q1777" t="inlineStr">
        <is>
          <t>SSE</t>
        </is>
      </c>
      <c r="R1777" t="b">
        <v>0</v>
      </c>
    </row>
    <row r="1778">
      <c r="A1778" t="inlineStr">
        <is>
          <t>15 Oct 2025 / Paul Chubb / Utilities / SSE</t>
        </is>
      </c>
      <c r="B1778" t="inlineStr">
        <is>
          <t>Utilities</t>
        </is>
      </c>
      <c r="C1778" t="inlineStr">
        <is>
          <t>SSE</t>
        </is>
      </c>
      <c r="D1778" t="inlineStr"/>
      <c r="E1778" t="inlineStr"/>
      <c r="F1778" t="inlineStr"/>
      <c r="G1778" t="inlineStr"/>
      <c r="H1778" t="inlineStr"/>
      <c r="I1778" t="inlineStr">
        <is>
          <t>Add to Vehicle to the GC Vehicle List</t>
        </is>
      </c>
      <c r="J1778" t="inlineStr">
        <is>
          <t>N/A</t>
        </is>
      </c>
      <c r="K1778" t="inlineStr">
        <is>
          <t>Paul Chubb</t>
        </is>
      </c>
      <c r="L1778" t="inlineStr">
        <is>
          <t>15/10/2025 13:27</t>
        </is>
      </c>
      <c r="M1778" t="inlineStr">
        <is>
          <t>None</t>
        </is>
      </c>
      <c r="N1778" t="inlineStr">
        <is>
          <t>&lt;p&gt;&lt;/p&gt;</t>
        </is>
      </c>
      <c r="O1778" t="inlineStr"/>
      <c r="P1778" t="inlineStr"/>
      <c r="Q1778" t="inlineStr">
        <is>
          <t>SSE</t>
        </is>
      </c>
      <c r="R1778" t="b">
        <v>0</v>
      </c>
    </row>
    <row r="1779">
      <c r="A1779" t="inlineStr">
        <is>
          <t>16 Oct 2025 / 7806 Optimum Tree Services Ltd / Utilities / UKPN</t>
        </is>
      </c>
      <c r="B1779" t="inlineStr">
        <is>
          <t>Utilities</t>
        </is>
      </c>
      <c r="C1779" t="inlineStr">
        <is>
          <t>UKPN</t>
        </is>
      </c>
      <c r="D1779" t="inlineStr">
        <is>
          <t>Tipper - Ford - Transit - NA10SYZ</t>
        </is>
      </c>
      <c r="E1779" t="inlineStr">
        <is>
          <t>Tipper - Ford - Transit - NA10SYZ</t>
        </is>
      </c>
      <c r="F1779" t="inlineStr">
        <is>
          <t>Tipper - Ford - Transit - NA10SYZ</t>
        </is>
      </c>
      <c r="G1779" t="inlineStr">
        <is>
          <t xml:space="preserve">Tommy frasle </t>
        </is>
      </c>
      <c r="H1779" t="inlineStr">
        <is>
          <t>Tipper</t>
        </is>
      </c>
      <c r="I1779" t="inlineStr">
        <is>
          <t>Daily/ Weekly Vehicle Inspection</t>
        </is>
      </c>
      <c r="J1779" t="inlineStr">
        <is>
          <t>N/A</t>
        </is>
      </c>
      <c r="K1779" t="inlineStr">
        <is>
          <t>7806 Optimum Tree Services Ltd</t>
        </is>
      </c>
      <c r="L1779" t="inlineStr">
        <is>
          <t>16/10/2025 07:28</t>
        </is>
      </c>
      <c r="M1779" t="inlineStr">
        <is>
          <t>None</t>
        </is>
      </c>
      <c r="N1779" t="inlineStr">
        <is>
          <t>&lt;p&gt;&lt;/p&gt;</t>
        </is>
      </c>
      <c r="O1779" t="inlineStr"/>
      <c r="P1779" t="inlineStr">
        <is>
          <t>Tipper - Ford - Transit - NA10SYZ</t>
        </is>
      </c>
      <c r="Q1779" t="inlineStr">
        <is>
          <t>UKPN</t>
        </is>
      </c>
      <c r="R1779" t="b">
        <v>0</v>
      </c>
    </row>
    <row r="1780">
      <c r="A1780" t="inlineStr">
        <is>
          <t>16 Oct 2025 / 7889 Tree Tech Suffolk Ltd</t>
        </is>
      </c>
      <c r="B1780" t="inlineStr">
        <is>
          <t>Utilities &amp; Inland Waterways</t>
        </is>
      </c>
      <c r="C1780" t="inlineStr">
        <is>
          <t>UKPN</t>
        </is>
      </c>
      <c r="D1780" t="inlineStr">
        <is>
          <t>Tow Chipper - Jenson - A530L - 55210639484x4 - Isuzu - D-max - NS03 TTSTipper - Nissan - Navara - NS02TTS</t>
        </is>
      </c>
      <c r="E1780" t="inlineStr">
        <is>
          <t>Tow Chipper - Jenson - A530L - 55210639484x4 - Isuzu - D-max - NS03 TTSTipper - Nissan - Navara - NS02TTS</t>
        </is>
      </c>
      <c r="F1780" t="inlineStr">
        <is>
          <t>Tow Chipper - Jenson - A530L - 55210639484x4 - Isuzu - D-max - NS03 TTSTipper - Nissan - Navara - NS02TTS</t>
        </is>
      </c>
      <c r="G1780" t="inlineStr">
        <is>
          <t xml:space="preserve">Nikki sparrow Danny Appleby Nikki sparrow </t>
        </is>
      </c>
      <c r="H1780" t="inlineStr">
        <is>
          <t>Towed Chipper4x4Tipper</t>
        </is>
      </c>
      <c r="I1780" t="inlineStr">
        <is>
          <t>Daily/ Weekly Vehicle Inspection</t>
        </is>
      </c>
      <c r="J1780" t="inlineStr">
        <is>
          <t>N/A</t>
        </is>
      </c>
      <c r="K1780" t="inlineStr">
        <is>
          <t>7889 Tree Tech Suffolk Ltd</t>
        </is>
      </c>
      <c r="L1780" t="inlineStr">
        <is>
          <t>16/10/2025 07:29</t>
        </is>
      </c>
      <c r="M1780" t="inlineStr">
        <is>
          <t>None</t>
        </is>
      </c>
      <c r="N1780" t="inlineStr">
        <is>
          <t>&lt;p&gt;&lt;/p&gt;</t>
        </is>
      </c>
      <c r="O1780" t="inlineStr">
        <is>
          <t>Select Vehicle:Kx65 fczSelect Vehicle:Crack in windscreen. Address on next MOT if required</t>
        </is>
      </c>
      <c r="P1780" t="inlineStr">
        <is>
          <t>Tow Chipper - Jenson - A530L - 55210639484x4 - Isuzu - D-max - NS03 TTSTipper - Nissan - Navara - NS02TTS</t>
        </is>
      </c>
      <c r="Q1780" t="inlineStr">
        <is>
          <t>UKPN</t>
        </is>
      </c>
      <c r="R1780" t="b">
        <v>0</v>
      </c>
    </row>
    <row r="1781">
      <c r="A1781" t="inlineStr">
        <is>
          <t>16 Oct 2025 / 7806 Optimum Tree Services Ltd / Utilities / UKPN</t>
        </is>
      </c>
      <c r="B1781" t="inlineStr">
        <is>
          <t>Utilities</t>
        </is>
      </c>
      <c r="C1781" t="inlineStr">
        <is>
          <t>UKPN</t>
        </is>
      </c>
      <c r="D1781" t="inlineStr">
        <is>
          <t>SA9ST800000283069 , Chipper , Forst , ST 6P</t>
        </is>
      </c>
      <c r="E1781" t="inlineStr">
        <is>
          <t>SA9ST800000283069 , Chipper , Forst , ST 6P</t>
        </is>
      </c>
      <c r="F1781" t="inlineStr">
        <is>
          <t>SA9ST800000283069 , Chipper , Forst , ST 6P</t>
        </is>
      </c>
      <c r="G1781" t="inlineStr">
        <is>
          <t xml:space="preserve">Lewis Davies </t>
        </is>
      </c>
      <c r="H1781" t="inlineStr">
        <is>
          <t>Towed Chipper</t>
        </is>
      </c>
      <c r="I1781" t="inlineStr">
        <is>
          <t>Daily/ Weekly Vehicle Inspection</t>
        </is>
      </c>
      <c r="J1781" t="inlineStr">
        <is>
          <t>N/A</t>
        </is>
      </c>
      <c r="K1781" t="inlineStr">
        <is>
          <t>7806 Optimum Tree Services Ltd</t>
        </is>
      </c>
      <c r="L1781" t="inlineStr">
        <is>
          <t>16/10/2025 07:30</t>
        </is>
      </c>
      <c r="M1781" t="inlineStr">
        <is>
          <t>None</t>
        </is>
      </c>
      <c r="N1781" t="inlineStr">
        <is>
          <t>&lt;p&gt;&lt;/p&gt;</t>
        </is>
      </c>
      <c r="O1781" t="inlineStr"/>
      <c r="P1781" t="inlineStr">
        <is>
          <t>SA9ST800000283069 , Chipper , Forst , ST 6P</t>
        </is>
      </c>
      <c r="Q1781" t="inlineStr">
        <is>
          <t>UKPN</t>
        </is>
      </c>
      <c r="R1781" t="b">
        <v>0</v>
      </c>
    </row>
    <row r="1782">
      <c r="A1782" t="inlineStr">
        <is>
          <t>16 Oct 2025 / 7186 Eastwoodbury Tree Services Ltd / Utilities / UKPN</t>
        </is>
      </c>
      <c r="B1782" t="inlineStr">
        <is>
          <t>Utilities</t>
        </is>
      </c>
      <c r="C1782" t="inlineStr">
        <is>
          <t>UKPN</t>
        </is>
      </c>
      <c r="D1782" t="inlineStr">
        <is>
          <t>DN61XKJ , Tipper , Ford , Transit</t>
        </is>
      </c>
      <c r="E1782" t="inlineStr">
        <is>
          <t>DN61XKJ , Tipper , Ford , Transit</t>
        </is>
      </c>
      <c r="F1782" t="inlineStr">
        <is>
          <t>DN61XKJ , Tipper , Ford , Transit</t>
        </is>
      </c>
      <c r="G1782" t="inlineStr">
        <is>
          <t xml:space="preserve">Jay Denkmayer </t>
        </is>
      </c>
      <c r="H1782" t="inlineStr">
        <is>
          <t>Tipper</t>
        </is>
      </c>
      <c r="I1782" t="inlineStr">
        <is>
          <t>Daily/ Weekly Vehicle Inspection</t>
        </is>
      </c>
      <c r="J1782" t="inlineStr">
        <is>
          <t>N/A</t>
        </is>
      </c>
      <c r="K1782" t="inlineStr">
        <is>
          <t>7186 Eastwoodbury Tree Services Ltd</t>
        </is>
      </c>
      <c r="L1782" t="inlineStr">
        <is>
          <t>16/10/2025 07:31</t>
        </is>
      </c>
      <c r="M1782" t="inlineStr">
        <is>
          <t>None</t>
        </is>
      </c>
      <c r="N1782" t="inlineStr">
        <is>
          <t>&lt;p&gt;&lt;/p&gt;</t>
        </is>
      </c>
      <c r="O1782" t="inlineStr"/>
      <c r="P1782" t="inlineStr">
        <is>
          <t>DN61XKJ , Tipper , Ford , Transit</t>
        </is>
      </c>
      <c r="Q1782" t="inlineStr">
        <is>
          <t>UKPN</t>
        </is>
      </c>
      <c r="R1782" t="b">
        <v>0</v>
      </c>
    </row>
    <row r="1783">
      <c r="A1783" t="inlineStr">
        <is>
          <t>16 Oct 2025 / 7186 Eastwoodbury Tree Services Ltd / Utilities / UKPN</t>
        </is>
      </c>
      <c r="B1783" t="inlineStr">
        <is>
          <t>Utilities</t>
        </is>
      </c>
      <c r="C1783" t="inlineStr">
        <is>
          <t>UKPN</t>
        </is>
      </c>
      <c r="D1783" t="inlineStr">
        <is>
          <t>FN600XM , 4x4 , Land Rover  , Defender</t>
        </is>
      </c>
      <c r="E1783" t="inlineStr">
        <is>
          <t>FN600XM , 4x4 , Land Rover  , Defender</t>
        </is>
      </c>
      <c r="F1783" t="inlineStr">
        <is>
          <t>FN600XM , 4x4 , Land Rover  , Defender</t>
        </is>
      </c>
      <c r="G1783" t="inlineStr">
        <is>
          <t xml:space="preserve">Dan Gilbert </t>
        </is>
      </c>
      <c r="H1783" t="inlineStr">
        <is>
          <t>4x4</t>
        </is>
      </c>
      <c r="I1783" t="inlineStr">
        <is>
          <t>Daily/ Weekly Vehicle Inspection</t>
        </is>
      </c>
      <c r="J1783" t="inlineStr">
        <is>
          <t>N/A</t>
        </is>
      </c>
      <c r="K1783" t="inlineStr">
        <is>
          <t>7186 Eastwoodbury Tree Services Ltd</t>
        </is>
      </c>
      <c r="L1783" t="inlineStr">
        <is>
          <t>16/10/2025 07:32</t>
        </is>
      </c>
      <c r="M1783" t="inlineStr">
        <is>
          <t>None</t>
        </is>
      </c>
      <c r="N1783" t="inlineStr">
        <is>
          <t>&lt;p&gt;&lt;/p&gt;</t>
        </is>
      </c>
      <c r="O1783" t="inlineStr"/>
      <c r="P1783" t="inlineStr">
        <is>
          <t>FN600XM , 4x4 , Land Rover  , Defender</t>
        </is>
      </c>
      <c r="Q1783" t="inlineStr">
        <is>
          <t>UKPN</t>
        </is>
      </c>
      <c r="R1783" t="b">
        <v>0</v>
      </c>
    </row>
    <row r="1784">
      <c r="A1784" t="inlineStr">
        <is>
          <t>16 Oct 2025 / 7951 Austin Tree Care LTD / Utilities / UKPN</t>
        </is>
      </c>
      <c r="B1784" t="inlineStr">
        <is>
          <t>Utilities</t>
        </is>
      </c>
      <c r="C1784" t="inlineStr">
        <is>
          <t>UKPN</t>
        </is>
      </c>
      <c r="D1784" t="inlineStr">
        <is>
          <t>SA9ST6P0001283612 , Tow Chipper , Forst , ST6p</t>
        </is>
      </c>
      <c r="E1784" t="inlineStr">
        <is>
          <t>SA9ST6P0001283612 , Tow Chipper , Forst , ST6p</t>
        </is>
      </c>
      <c r="F1784" t="inlineStr">
        <is>
          <t>SA9ST6P0001283612 , Tow Chipper , Forst , ST6p</t>
        </is>
      </c>
      <c r="G1784" t="inlineStr">
        <is>
          <t xml:space="preserve">Jack Austin </t>
        </is>
      </c>
      <c r="H1784" t="inlineStr">
        <is>
          <t>Towed Chipper</t>
        </is>
      </c>
      <c r="I1784" t="inlineStr">
        <is>
          <t>Daily/ Weekly Vehicle Inspection</t>
        </is>
      </c>
      <c r="J1784" t="inlineStr">
        <is>
          <t>N/A</t>
        </is>
      </c>
      <c r="K1784" t="inlineStr">
        <is>
          <t>7951 Austin Tree Care LTD</t>
        </is>
      </c>
      <c r="L1784" t="inlineStr">
        <is>
          <t>16/10/2025 07:33</t>
        </is>
      </c>
      <c r="M1784" t="inlineStr">
        <is>
          <t>None</t>
        </is>
      </c>
      <c r="N1784" t="inlineStr">
        <is>
          <t>&lt;p&gt;&lt;/p&gt;</t>
        </is>
      </c>
      <c r="O1784" t="inlineStr"/>
      <c r="P1784" t="inlineStr">
        <is>
          <t>SA9ST6P0001283612 , Tow Chipper , Forst , ST6p</t>
        </is>
      </c>
      <c r="Q1784" t="inlineStr">
        <is>
          <t>UKPN</t>
        </is>
      </c>
      <c r="R1784" t="b">
        <v>0</v>
      </c>
    </row>
    <row r="1785">
      <c r="A1785" t="inlineStr">
        <is>
          <t>16 Oct 2025 / 7806 Optimum Tree Services Ltd / Utilities / UKPN</t>
        </is>
      </c>
      <c r="B1785" t="inlineStr">
        <is>
          <t>Utilities</t>
        </is>
      </c>
      <c r="C1785" t="inlineStr">
        <is>
          <t>UKPN</t>
        </is>
      </c>
      <c r="D1785" t="inlineStr">
        <is>
          <t>4x4 - Landrover  - Defender  - Wd14evn</t>
        </is>
      </c>
      <c r="E1785" t="inlineStr">
        <is>
          <t>4x4 - Landrover  - Defender  - Wd14evn</t>
        </is>
      </c>
      <c r="F1785" t="inlineStr">
        <is>
          <t>4x4 - Landrover  - Defender  - Wd14evn</t>
        </is>
      </c>
      <c r="G1785" t="inlineStr">
        <is>
          <t xml:space="preserve">Lewis Davies </t>
        </is>
      </c>
      <c r="H1785" t="inlineStr">
        <is>
          <t>4x4</t>
        </is>
      </c>
      <c r="I1785" t="inlineStr">
        <is>
          <t>Daily/ Weekly Vehicle Inspection</t>
        </is>
      </c>
      <c r="J1785" t="inlineStr">
        <is>
          <t>N/A</t>
        </is>
      </c>
      <c r="K1785" t="inlineStr">
        <is>
          <t>7806 Optimum Tree Services Ltd</t>
        </is>
      </c>
      <c r="L1785" t="inlineStr">
        <is>
          <t>16/10/2025 07:34</t>
        </is>
      </c>
      <c r="M1785" t="inlineStr">
        <is>
          <t>None</t>
        </is>
      </c>
      <c r="N1785" t="inlineStr">
        <is>
          <t>&lt;p&gt;&lt;/p&gt;</t>
        </is>
      </c>
      <c r="O1785" t="inlineStr"/>
      <c r="P1785" t="inlineStr">
        <is>
          <t>4x4 - Landrover  - Defender  - Wd14evn</t>
        </is>
      </c>
      <c r="Q1785" t="inlineStr">
        <is>
          <t>UKPN</t>
        </is>
      </c>
      <c r="R1785" t="b">
        <v>0</v>
      </c>
    </row>
    <row r="1786">
      <c r="A1786" t="inlineStr">
        <is>
          <t>16 Oct 2025 / 7806 Optimum Tree Services Ltd / Utilities / UKPN</t>
        </is>
      </c>
      <c r="B1786" t="inlineStr">
        <is>
          <t>Utilities</t>
        </is>
      </c>
      <c r="C1786" t="inlineStr">
        <is>
          <t>UKPN</t>
        </is>
      </c>
      <c r="D1786" t="inlineStr">
        <is>
          <t>SA9ST800000283069 , Chipper , Forst , ST 6P</t>
        </is>
      </c>
      <c r="E1786" t="inlineStr">
        <is>
          <t>SA9ST800000283069 , Chipper , Forst , ST 6P</t>
        </is>
      </c>
      <c r="F1786" t="inlineStr">
        <is>
          <t>SA9ST800000283069 , Chipper , Forst , ST 6P</t>
        </is>
      </c>
      <c r="G1786" t="inlineStr">
        <is>
          <t xml:space="preserve">Abraham Davies </t>
        </is>
      </c>
      <c r="H1786" t="inlineStr">
        <is>
          <t>Towed Chipper</t>
        </is>
      </c>
      <c r="I1786" t="inlineStr">
        <is>
          <t>Daily/ Weekly Vehicle Inspection</t>
        </is>
      </c>
      <c r="J1786" t="inlineStr">
        <is>
          <t>N/A</t>
        </is>
      </c>
      <c r="K1786" t="inlineStr">
        <is>
          <t>7806 Optimum Tree Services Ltd</t>
        </is>
      </c>
      <c r="L1786" t="inlineStr">
        <is>
          <t>16/10/2025 07:36</t>
        </is>
      </c>
      <c r="M1786" t="inlineStr">
        <is>
          <t>None</t>
        </is>
      </c>
      <c r="N1786" t="inlineStr">
        <is>
          <t>&lt;p&gt;&lt;/p&gt;</t>
        </is>
      </c>
      <c r="O1786" t="inlineStr"/>
      <c r="P1786" t="inlineStr">
        <is>
          <t>SA9ST800000283069 , Chipper , Forst , ST 6P</t>
        </is>
      </c>
      <c r="Q1786" t="inlineStr">
        <is>
          <t>UKPN</t>
        </is>
      </c>
      <c r="R1786" t="b">
        <v>0</v>
      </c>
    </row>
    <row r="1787">
      <c r="A1787" t="inlineStr">
        <is>
          <t>16 Oct 2025 / 7186 Eastwoodbury Tree Services Ltd / Utilities / UKPN</t>
        </is>
      </c>
      <c r="B1787" t="inlineStr">
        <is>
          <t>Utilities</t>
        </is>
      </c>
      <c r="C1787" t="inlineStr">
        <is>
          <t>UKPN</t>
        </is>
      </c>
      <c r="D1787" t="inlineStr">
        <is>
          <t>4x4 - Land rover  - Defenders  - WF13 EKM</t>
        </is>
      </c>
      <c r="E1787" t="inlineStr">
        <is>
          <t>4x4 - Land rover  - Defenders  - WF13 EKM</t>
        </is>
      </c>
      <c r="F1787" t="inlineStr">
        <is>
          <t>4x4 - Land rover  - Defenders  - WF13 EKM</t>
        </is>
      </c>
      <c r="G1787" t="inlineStr">
        <is>
          <t xml:space="preserve">Tom Price </t>
        </is>
      </c>
      <c r="H1787" t="inlineStr">
        <is>
          <t>4x4</t>
        </is>
      </c>
      <c r="I1787" t="inlineStr">
        <is>
          <t>Daily/ Weekly Vehicle Inspection</t>
        </is>
      </c>
      <c r="J1787" t="inlineStr">
        <is>
          <t>N/A</t>
        </is>
      </c>
      <c r="K1787" t="inlineStr">
        <is>
          <t>7186 Eastwoodbury Tree Services Ltd</t>
        </is>
      </c>
      <c r="L1787" t="inlineStr">
        <is>
          <t>16/10/2025 07:36</t>
        </is>
      </c>
      <c r="M1787" t="inlineStr">
        <is>
          <t>None</t>
        </is>
      </c>
      <c r="N1787" t="inlineStr">
        <is>
          <t>&lt;p&gt;&lt;/p&gt;</t>
        </is>
      </c>
      <c r="O1787" t="inlineStr"/>
      <c r="P1787" t="inlineStr">
        <is>
          <t>4x4 - Land rover  - Defenders  - WF13 EKM</t>
        </is>
      </c>
      <c r="Q1787" t="inlineStr">
        <is>
          <t>UKPN</t>
        </is>
      </c>
      <c r="R1787" t="b">
        <v>0</v>
      </c>
    </row>
    <row r="1788">
      <c r="A1788" t="inlineStr">
        <is>
          <t>16 Oct 2025 / 7806 Optimum Tree Services Ltd / Utilities / UKPN</t>
        </is>
      </c>
      <c r="B1788" t="inlineStr">
        <is>
          <t>Utilities</t>
        </is>
      </c>
      <c r="C1788" t="inlineStr">
        <is>
          <t>UKPN</t>
        </is>
      </c>
      <c r="D1788" t="inlineStr">
        <is>
          <t>WD14EVB , MEWP , Land Rover , Defender</t>
        </is>
      </c>
      <c r="E1788" t="inlineStr">
        <is>
          <t>WD14EVB , MEWP , Land Rover , Defender</t>
        </is>
      </c>
      <c r="F1788" t="inlineStr">
        <is>
          <t>WD14EVB , MEWP , Land Rover , Defender</t>
        </is>
      </c>
      <c r="G1788" t="inlineStr">
        <is>
          <t xml:space="preserve">Abraham Davies </t>
        </is>
      </c>
      <c r="H1788" t="inlineStr">
        <is>
          <t>4x4</t>
        </is>
      </c>
      <c r="I1788" t="inlineStr">
        <is>
          <t>Daily/ Weekly Vehicle Inspection</t>
        </is>
      </c>
      <c r="J1788" t="inlineStr">
        <is>
          <t>N/A</t>
        </is>
      </c>
      <c r="K1788" t="inlineStr">
        <is>
          <t>7806 Optimum Tree Services Ltd</t>
        </is>
      </c>
      <c r="L1788" t="inlineStr">
        <is>
          <t>16/10/2025 07:38</t>
        </is>
      </c>
      <c r="M1788" t="inlineStr">
        <is>
          <t>None</t>
        </is>
      </c>
      <c r="N1788" t="inlineStr">
        <is>
          <t>&lt;p&gt;&lt;/p&gt;</t>
        </is>
      </c>
      <c r="O1788" t="inlineStr"/>
      <c r="P1788" t="inlineStr">
        <is>
          <t>WD14EVB , MEWP , Land Rover , Defender</t>
        </is>
      </c>
      <c r="Q1788" t="inlineStr">
        <is>
          <t>UKPN</t>
        </is>
      </c>
      <c r="R1788" t="b">
        <v>0</v>
      </c>
    </row>
    <row r="1789">
      <c r="A1789" t="inlineStr">
        <is>
          <t>16 Oct 2025 / Anthony Gale / Utilities / UKPN</t>
        </is>
      </c>
      <c r="B1789" t="inlineStr">
        <is>
          <t>Utilities</t>
        </is>
      </c>
      <c r="C1789" t="inlineStr">
        <is>
          <t>UKPN</t>
        </is>
      </c>
      <c r="D1789" t="inlineStr">
        <is>
          <t>PE07 HGL , Vehicle , Mitsubishi , L200 K74</t>
        </is>
      </c>
      <c r="E1789" t="inlineStr">
        <is>
          <t>PE07 HGL , Vehicle , Mitsubishi , L200 K74</t>
        </is>
      </c>
      <c r="F1789" t="inlineStr">
        <is>
          <t>PE07 HGL , Vehicle , Mitsubishi , L200 K74</t>
        </is>
      </c>
      <c r="G1789" t="inlineStr">
        <is>
          <t>Anthony Gale</t>
        </is>
      </c>
      <c r="H1789" t="inlineStr">
        <is>
          <t>Pickup Truck</t>
        </is>
      </c>
      <c r="I1789" t="inlineStr">
        <is>
          <t>Daily/ Weekly Vehicle Inspection</t>
        </is>
      </c>
      <c r="J1789" t="inlineStr">
        <is>
          <t>N/A</t>
        </is>
      </c>
      <c r="K1789" t="inlineStr">
        <is>
          <t>7996 M G Tree Surgery Ltd 1</t>
        </is>
      </c>
      <c r="L1789" t="inlineStr">
        <is>
          <t>16/10/2025 07:38</t>
        </is>
      </c>
      <c r="M1789" t="inlineStr">
        <is>
          <t>None</t>
        </is>
      </c>
      <c r="N1789" t="inlineStr">
        <is>
          <t>&lt;p&gt;&lt;/p&gt;</t>
        </is>
      </c>
      <c r="O1789" t="inlineStr">
        <is>
          <t>Confirm that you have checked this vehicle as per the guidance document and the vehicle is safe and roadworthy:Drivers side wheel trim deteriorating, safe for now. Monitor.
-</t>
        </is>
      </c>
      <c r="P1789" t="inlineStr">
        <is>
          <t>PE07 HGL , Vehicle , Mitsubishi , L200 K74</t>
        </is>
      </c>
      <c r="Q1789" t="inlineStr">
        <is>
          <t>UKPN</t>
        </is>
      </c>
      <c r="R1789" t="b">
        <v>0</v>
      </c>
    </row>
    <row r="1790">
      <c r="A1790" t="inlineStr">
        <is>
          <t>16 Oct 2025 / 7951 Austin Tree Care LTD / Utilities / UKPN</t>
        </is>
      </c>
      <c r="B1790" t="inlineStr">
        <is>
          <t>Utilities</t>
        </is>
      </c>
      <c r="C1790" t="inlineStr">
        <is>
          <t>UKPN</t>
        </is>
      </c>
      <c r="D1790" t="inlineStr">
        <is>
          <t>WF61 HZV , 4x4 MEWP , Land Rover , Defender</t>
        </is>
      </c>
      <c r="E1790" t="inlineStr">
        <is>
          <t>WF61 HZV , 4x4 MEWP , Land Rover , Defender</t>
        </is>
      </c>
      <c r="F1790" t="inlineStr">
        <is>
          <t>WF61 HZV , 4x4 MEWP , Land Rover , Defender</t>
        </is>
      </c>
      <c r="G1790" t="inlineStr">
        <is>
          <t xml:space="preserve">Jack Austin </t>
        </is>
      </c>
      <c r="H1790" t="inlineStr">
        <is>
          <t>4x4</t>
        </is>
      </c>
      <c r="I1790" t="inlineStr">
        <is>
          <t>Daily/ Weekly Vehicle Inspection</t>
        </is>
      </c>
      <c r="J1790" t="inlineStr">
        <is>
          <t>N/A</t>
        </is>
      </c>
      <c r="K1790" t="inlineStr">
        <is>
          <t>7951 Austin Tree Care LTD</t>
        </is>
      </c>
      <c r="L1790" t="inlineStr">
        <is>
          <t>16/10/2025 07:39</t>
        </is>
      </c>
      <c r="M1790" t="inlineStr">
        <is>
          <t>None</t>
        </is>
      </c>
      <c r="N1790" t="inlineStr">
        <is>
          <t>&lt;p&gt;&lt;/p&gt;</t>
        </is>
      </c>
      <c r="O1790" t="inlineStr"/>
      <c r="P1790" t="inlineStr">
        <is>
          <t>WF61 HZV , 4x4 MEWP , Land Rover , Defender</t>
        </is>
      </c>
      <c r="Q1790" t="inlineStr">
        <is>
          <t>UKPN</t>
        </is>
      </c>
      <c r="R1790" t="b">
        <v>0</v>
      </c>
    </row>
    <row r="1791">
      <c r="A1791" t="inlineStr">
        <is>
          <t>15 Oct 2025 / Anthony Gale / Utilities / UKPN</t>
        </is>
      </c>
      <c r="B1791" t="inlineStr">
        <is>
          <t>Utilities</t>
        </is>
      </c>
      <c r="C1791" t="inlineStr">
        <is>
          <t>UKPN</t>
        </is>
      </c>
      <c r="D1791" t="inlineStr">
        <is>
          <t>PE07 HGL , Vehicle , Mitsubishi , L200 K74</t>
        </is>
      </c>
      <c r="E1791" t="inlineStr">
        <is>
          <t>PE07 HGL , Vehicle , Mitsubishi , L200 K74</t>
        </is>
      </c>
      <c r="F1791" t="inlineStr">
        <is>
          <t>PE07 HGL , Vehicle , Mitsubishi , L200 K74</t>
        </is>
      </c>
      <c r="G1791" t="inlineStr">
        <is>
          <t>Anthony Gale</t>
        </is>
      </c>
      <c r="H1791" t="inlineStr">
        <is>
          <t>Pickup Truck</t>
        </is>
      </c>
      <c r="I1791" t="inlineStr">
        <is>
          <t>Daily/ Weekly Vehicle Inspection</t>
        </is>
      </c>
      <c r="J1791" t="inlineStr">
        <is>
          <t>N/A</t>
        </is>
      </c>
      <c r="K1791" t="inlineStr">
        <is>
          <t>7996 M G Tree Surgery Ltd 1</t>
        </is>
      </c>
      <c r="L1791" t="inlineStr">
        <is>
          <t>16/10/2025 07:40</t>
        </is>
      </c>
      <c r="M1791" t="inlineStr">
        <is>
          <t>None</t>
        </is>
      </c>
      <c r="N1791" t="inlineStr">
        <is>
          <t>&lt;p&gt;&lt;/p&gt;</t>
        </is>
      </c>
      <c r="O1791" t="inlineStr">
        <is>
          <t>Confirm that you have checked this vehicle as per the guidance document and the vehicle is safe and roadworthy:Drivers side wheel trim deteriorating, safe for now.
Monitor.
-</t>
        </is>
      </c>
      <c r="P1791" t="inlineStr">
        <is>
          <t>PE07 HGL , Vehicle , Mitsubishi , L200 K74</t>
        </is>
      </c>
      <c r="Q1791" t="inlineStr">
        <is>
          <t>UKPN</t>
        </is>
      </c>
      <c r="R1791" t="b">
        <v>0</v>
      </c>
    </row>
    <row r="1792">
      <c r="A1792" t="inlineStr">
        <is>
          <t>16 Oct 2025 / 7800 MAC Tree Surgery and Fencing Ltd / Utilities / UKPN</t>
        </is>
      </c>
      <c r="B1792" t="inlineStr">
        <is>
          <t>Utilities</t>
        </is>
      </c>
      <c r="C1792" t="inlineStr">
        <is>
          <t>UKPN</t>
        </is>
      </c>
      <c r="D1792" t="inlineStr"/>
      <c r="E1792" t="inlineStr"/>
      <c r="F1792" t="inlineStr"/>
      <c r="G1792" t="inlineStr"/>
      <c r="H1792" t="inlineStr"/>
      <c r="I1792" t="inlineStr">
        <is>
          <t>Add to Vehicle to the GC Vehicle List</t>
        </is>
      </c>
      <c r="J1792" t="inlineStr">
        <is>
          <t>N/A</t>
        </is>
      </c>
      <c r="K1792" t="inlineStr">
        <is>
          <t>7800 MAC Tree Surgery and Fencing Ltd</t>
        </is>
      </c>
      <c r="L1792" t="inlineStr">
        <is>
          <t>16/10/2025 07:43</t>
        </is>
      </c>
      <c r="M1792" t="inlineStr">
        <is>
          <t>None</t>
        </is>
      </c>
      <c r="N1792" t="inlineStr">
        <is>
          <t>&lt;p&gt;&lt;/p&gt;</t>
        </is>
      </c>
      <c r="O1792" t="inlineStr"/>
      <c r="P1792" t="inlineStr"/>
      <c r="Q1792" t="inlineStr">
        <is>
          <t>UKPN</t>
        </is>
      </c>
      <c r="R1792" t="b">
        <v>0</v>
      </c>
    </row>
    <row r="1793">
      <c r="A1793" t="inlineStr">
        <is>
          <t>16 Oct 2025 / 7996 M G Tree Surgery Ltd / Utilities / UKPN</t>
        </is>
      </c>
      <c r="B1793" t="inlineStr">
        <is>
          <t>Utilities</t>
        </is>
      </c>
      <c r="C1793" t="inlineStr">
        <is>
          <t>UKPN</t>
        </is>
      </c>
      <c r="D1793" t="inlineStr">
        <is>
          <t>GU13 WNL , MEWP , Land Rover , Defender 130</t>
        </is>
      </c>
      <c r="E1793" t="inlineStr">
        <is>
          <t>GU13 WNL , MEWP , Land Rover , Defender 130</t>
        </is>
      </c>
      <c r="F1793" t="inlineStr">
        <is>
          <t>GU13 WNL , MEWP , Land Rover , Defender 130</t>
        </is>
      </c>
      <c r="G1793" t="inlineStr">
        <is>
          <t>Max</t>
        </is>
      </c>
      <c r="H1793" t="inlineStr">
        <is>
          <t>4x4</t>
        </is>
      </c>
      <c r="I1793" t="inlineStr">
        <is>
          <t>Daily/ Weekly Vehicle Inspection</t>
        </is>
      </c>
      <c r="J1793" t="inlineStr">
        <is>
          <t>N/A</t>
        </is>
      </c>
      <c r="K1793" t="inlineStr">
        <is>
          <t>7996 M G Tree Surgery Ltd</t>
        </is>
      </c>
      <c r="L1793" t="inlineStr">
        <is>
          <t>16/10/2025 08:29</t>
        </is>
      </c>
      <c r="M1793" t="inlineStr">
        <is>
          <t>None</t>
        </is>
      </c>
      <c r="N1793" t="inlineStr">
        <is>
          <t>&lt;p&gt;&lt;/p&gt;</t>
        </is>
      </c>
      <c r="O1793" t="inlineStr"/>
      <c r="P1793" t="inlineStr">
        <is>
          <t>GU13 WNL , MEWP , Land Rover , Defender 130</t>
        </is>
      </c>
      <c r="Q1793" t="inlineStr">
        <is>
          <t>UKPN</t>
        </is>
      </c>
      <c r="R1793" t="b">
        <v>0</v>
      </c>
    </row>
    <row r="1794">
      <c r="A1794" t="inlineStr">
        <is>
          <t>16 Oct 2025 / Thomas Playford / Utilities / UKPN</t>
        </is>
      </c>
      <c r="B1794" t="inlineStr">
        <is>
          <t>Utilities</t>
        </is>
      </c>
      <c r="C1794" t="inlineStr">
        <is>
          <t>UKPN</t>
        </is>
      </c>
      <c r="D1794" t="inlineStr">
        <is>
          <t>SA9ST800000283944 , Tow Chipper , Forst , ST8D - Towed</t>
        </is>
      </c>
      <c r="E1794" t="inlineStr">
        <is>
          <t>SA9ST800000283944 , Tow Chipper , Forst , ST8D - Towed</t>
        </is>
      </c>
      <c r="F1794" t="inlineStr">
        <is>
          <t>SA9ST800000283944 , Tow Chipper , Forst , ST8D - Towed</t>
        </is>
      </c>
      <c r="G1794" t="inlineStr">
        <is>
          <t>Jacob Oram</t>
        </is>
      </c>
      <c r="H1794" t="inlineStr">
        <is>
          <t>Towed Chipper</t>
        </is>
      </c>
      <c r="I1794" t="inlineStr">
        <is>
          <t>Daily/ Weekly Vehicle Inspection</t>
        </is>
      </c>
      <c r="J1794" t="inlineStr">
        <is>
          <t>N/A</t>
        </is>
      </c>
      <c r="K1794" t="inlineStr">
        <is>
          <t>7995 Contour Landscapes Ltd 2</t>
        </is>
      </c>
      <c r="L1794" t="inlineStr">
        <is>
          <t>16/10/2025 08:29</t>
        </is>
      </c>
      <c r="M1794" t="inlineStr">
        <is>
          <t>None</t>
        </is>
      </c>
      <c r="N1794" t="inlineStr">
        <is>
          <t>&lt;p&gt;&lt;/p&gt;</t>
        </is>
      </c>
      <c r="O1794" t="inlineStr"/>
      <c r="P1794" t="inlineStr">
        <is>
          <t>SA9ST800000283944 , Tow Chipper , Forst , ST8D - Towed</t>
        </is>
      </c>
      <c r="Q1794" t="inlineStr">
        <is>
          <t>UKPN</t>
        </is>
      </c>
      <c r="R1794" t="b">
        <v>0</v>
      </c>
    </row>
    <row r="1795">
      <c r="A1795" t="inlineStr">
        <is>
          <t>16 Oct 2025 / Thomas Playford / Utilities / UKPN</t>
        </is>
      </c>
      <c r="B1795" t="inlineStr">
        <is>
          <t>Utilities</t>
        </is>
      </c>
      <c r="C1795" t="inlineStr">
        <is>
          <t>UKPN</t>
        </is>
      </c>
      <c r="D1795" t="inlineStr">
        <is>
          <t>YP24 WRD , Vehicle , Ford , Ranger</t>
        </is>
      </c>
      <c r="E1795" t="inlineStr">
        <is>
          <t>YP24 WRD , Vehicle , Ford , Ranger</t>
        </is>
      </c>
      <c r="F1795" t="inlineStr">
        <is>
          <t>YP24 WRD , Vehicle , Ford , Ranger</t>
        </is>
      </c>
      <c r="G1795" t="inlineStr">
        <is>
          <t>Jacob Oram</t>
        </is>
      </c>
      <c r="H1795" t="inlineStr">
        <is>
          <t>4x4</t>
        </is>
      </c>
      <c r="I1795" t="inlineStr">
        <is>
          <t>Daily/ Weekly Vehicle Inspection</t>
        </is>
      </c>
      <c r="J1795" t="inlineStr">
        <is>
          <t>N/A</t>
        </is>
      </c>
      <c r="K1795" t="inlineStr">
        <is>
          <t>7995 Contour Landscapes Ltd 2</t>
        </is>
      </c>
      <c r="L1795" t="inlineStr">
        <is>
          <t>16/10/2025 08:30</t>
        </is>
      </c>
      <c r="M1795" t="inlineStr">
        <is>
          <t>None</t>
        </is>
      </c>
      <c r="N1795" t="inlineStr">
        <is>
          <t>&lt;p&gt;&lt;/p&gt;</t>
        </is>
      </c>
      <c r="O1795" t="inlineStr"/>
      <c r="P1795" t="inlineStr">
        <is>
          <t>YP24 WRD , Vehicle , Ford , Ranger</t>
        </is>
      </c>
      <c r="Q1795" t="inlineStr">
        <is>
          <t>UKPN</t>
        </is>
      </c>
      <c r="R1795" t="b">
        <v>0</v>
      </c>
    </row>
    <row r="1796">
      <c r="A1796" t="inlineStr">
        <is>
          <t>16 Oct 2025 / 7800 MAC Tree Surgery and Fencing Ltd / Utilities / UKPN</t>
        </is>
      </c>
      <c r="B1796" t="inlineStr">
        <is>
          <t>Utilities</t>
        </is>
      </c>
      <c r="C1796" t="inlineStr">
        <is>
          <t>UKPN</t>
        </is>
      </c>
      <c r="D1796" t="inlineStr">
        <is>
          <t>AY68DAA , 4x4 , Izuzu , Dmax</t>
        </is>
      </c>
      <c r="E1796" t="inlineStr">
        <is>
          <t>AY68DAA , 4x4 , Izuzu , Dmax</t>
        </is>
      </c>
      <c r="F1796" t="inlineStr">
        <is>
          <t>AY68DAA , 4x4 , Izuzu , Dmax</t>
        </is>
      </c>
      <c r="G1796" t="inlineStr">
        <is>
          <t xml:space="preserve">Lewis Mac </t>
        </is>
      </c>
      <c r="H1796" t="inlineStr">
        <is>
          <t>4x4</t>
        </is>
      </c>
      <c r="I1796" t="inlineStr">
        <is>
          <t>Daily/ Weekly Vehicle Inspection</t>
        </is>
      </c>
      <c r="J1796" t="inlineStr">
        <is>
          <t>N/A</t>
        </is>
      </c>
      <c r="K1796" t="inlineStr">
        <is>
          <t>7800 MAC Tree Surgery and Fencing Ltd</t>
        </is>
      </c>
      <c r="L1796" t="inlineStr">
        <is>
          <t>16/10/2025 08:32</t>
        </is>
      </c>
      <c r="M1796" t="inlineStr">
        <is>
          <t>None</t>
        </is>
      </c>
      <c r="N1796" t="inlineStr">
        <is>
          <t>&lt;p&gt;&lt;/p&gt;</t>
        </is>
      </c>
      <c r="O1796" t="inlineStr"/>
      <c r="P1796" t="inlineStr">
        <is>
          <t>AY68DAA , 4x4 , Izuzu , Dmax</t>
        </is>
      </c>
      <c r="Q1796" t="inlineStr">
        <is>
          <t>UKPN</t>
        </is>
      </c>
      <c r="R1796" t="b">
        <v>0</v>
      </c>
    </row>
    <row r="1797">
      <c r="A1797" t="inlineStr">
        <is>
          <t>16 Oct 2025 / 7800 MAC Tree Surgery and Fencing Ltd / Utilities / UKPN</t>
        </is>
      </c>
      <c r="B1797" t="inlineStr">
        <is>
          <t>Utilities</t>
        </is>
      </c>
      <c r="C1797" t="inlineStr">
        <is>
          <t>UKPN</t>
        </is>
      </c>
      <c r="D1797" t="inlineStr">
        <is>
          <t>Towed Chipper - Forst  - ST6 p - N/a</t>
        </is>
      </c>
      <c r="E1797" t="inlineStr">
        <is>
          <t>Towed Chipper - Forst  - ST6 p - N/a</t>
        </is>
      </c>
      <c r="F1797" t="inlineStr">
        <is>
          <t>Towed Chipper - Forst  - ST6 p - N/a</t>
        </is>
      </c>
      <c r="G1797" t="inlineStr">
        <is>
          <t xml:space="preserve">Lewis </t>
        </is>
      </c>
      <c r="H1797" t="inlineStr">
        <is>
          <t>Towed Chipper</t>
        </is>
      </c>
      <c r="I1797" t="inlineStr">
        <is>
          <t>Daily/ Weekly Vehicle Inspection</t>
        </is>
      </c>
      <c r="J1797" t="inlineStr">
        <is>
          <t>N/A</t>
        </is>
      </c>
      <c r="K1797" t="inlineStr">
        <is>
          <t>7800 MAC Tree Surgery and Fencing Ltd</t>
        </is>
      </c>
      <c r="L1797" t="inlineStr">
        <is>
          <t>16/10/2025 08:32</t>
        </is>
      </c>
      <c r="M1797" t="inlineStr">
        <is>
          <t>None</t>
        </is>
      </c>
      <c r="N1797" t="inlineStr">
        <is>
          <t>&lt;p&gt;&lt;/p&gt;</t>
        </is>
      </c>
      <c r="O1797" t="inlineStr"/>
      <c r="P1797" t="inlineStr">
        <is>
          <t>Towed Chipper - Forst  - ST6 p - N/a</t>
        </is>
      </c>
      <c r="Q1797" t="inlineStr">
        <is>
          <t>UKPN</t>
        </is>
      </c>
      <c r="R1797" t="b">
        <v>0</v>
      </c>
    </row>
    <row r="1798">
      <c r="A1798" t="inlineStr">
        <is>
          <t>16 Oct 2025 / 7806 Optimum Tree Services Ltd / Utilities / UKPN</t>
        </is>
      </c>
      <c r="B1798" t="inlineStr">
        <is>
          <t>Utilities</t>
        </is>
      </c>
      <c r="C1798" t="inlineStr">
        <is>
          <t>UKPN</t>
        </is>
      </c>
      <c r="D1798" t="inlineStr"/>
      <c r="E1798" t="inlineStr"/>
      <c r="F1798" t="inlineStr"/>
      <c r="G1798" t="inlineStr"/>
      <c r="H1798" t="inlineStr"/>
      <c r="I1798" t="inlineStr">
        <is>
          <t>Add to Vehicle to the GC Vehicle List</t>
        </is>
      </c>
      <c r="J1798" t="inlineStr">
        <is>
          <t>N/A</t>
        </is>
      </c>
      <c r="K1798" t="inlineStr">
        <is>
          <t>7806 Optimum Tree Services Ltd</t>
        </is>
      </c>
      <c r="L1798" t="inlineStr">
        <is>
          <t>16/10/2025 09:28</t>
        </is>
      </c>
      <c r="M1798" t="inlineStr">
        <is>
          <t>None</t>
        </is>
      </c>
      <c r="N1798" t="inlineStr">
        <is>
          <t>&lt;p&gt;&lt;/p&gt;</t>
        </is>
      </c>
      <c r="O1798" t="inlineStr"/>
      <c r="P1798" t="inlineStr"/>
      <c r="Q1798" t="inlineStr">
        <is>
          <t>UKPN</t>
        </is>
      </c>
      <c r="R1798" t="b">
        <v>0</v>
      </c>
    </row>
    <row r="1799">
      <c r="A1799" t="inlineStr">
        <is>
          <t>16 Oct 2025 / 3098 D &amp; R Landscapes / Utilities / UKPN</t>
        </is>
      </c>
      <c r="B1799" t="inlineStr">
        <is>
          <t>Utilities</t>
        </is>
      </c>
      <c r="C1799" t="inlineStr">
        <is>
          <t>UKPN</t>
        </is>
      </c>
      <c r="D1799" t="inlineStr">
        <is>
          <t>Vehicle - Nissan - Navara - BT20 GNZ</t>
        </is>
      </c>
      <c r="E1799" t="inlineStr">
        <is>
          <t>Vehicle - Nissan - Navara - BT20 GNZ</t>
        </is>
      </c>
      <c r="F1799" t="inlineStr">
        <is>
          <t>Vehicle - Nissan - Navara - BT20 GNZ</t>
        </is>
      </c>
      <c r="G1799" t="inlineStr">
        <is>
          <t>Jason</t>
        </is>
      </c>
      <c r="H1799" t="inlineStr">
        <is>
          <t>4x4</t>
        </is>
      </c>
      <c r="I1799" t="inlineStr">
        <is>
          <t>Daily/ Weekly Vehicle Inspection</t>
        </is>
      </c>
      <c r="J1799" t="inlineStr">
        <is>
          <t>N/A</t>
        </is>
      </c>
      <c r="K1799" t="inlineStr">
        <is>
          <t>3098 D &amp; R Landscapes</t>
        </is>
      </c>
      <c r="L1799" t="inlineStr">
        <is>
          <t>16/10/2025 09:29</t>
        </is>
      </c>
      <c r="M1799" t="inlineStr">
        <is>
          <t>None</t>
        </is>
      </c>
      <c r="N1799" t="inlineStr">
        <is>
          <t>&lt;p&gt;&lt;/p&gt;</t>
        </is>
      </c>
      <c r="O1799" t="inlineStr"/>
      <c r="P1799" t="inlineStr">
        <is>
          <t>Vehicle - Nissan - Navara - BT20 GNZ</t>
        </is>
      </c>
      <c r="Q1799" t="inlineStr">
        <is>
          <t>UKPN</t>
        </is>
      </c>
      <c r="R1799" t="b">
        <v>0</v>
      </c>
    </row>
    <row r="1800">
      <c r="A1800" t="inlineStr">
        <is>
          <t>16 Oct 2025 / 3098 D &amp; R Landscapes / Utilities / UKPN</t>
        </is>
      </c>
      <c r="B1800" t="inlineStr">
        <is>
          <t>Utilities</t>
        </is>
      </c>
      <c r="C1800" t="inlineStr">
        <is>
          <t>UKPN</t>
        </is>
      </c>
      <c r="D1800" t="inlineStr">
        <is>
          <t>DE68XHA , Tipper , Isuzu , Grafter</t>
        </is>
      </c>
      <c r="E1800" t="inlineStr">
        <is>
          <t>DE68XHA , Tipper , Isuzu , Grafter</t>
        </is>
      </c>
      <c r="F1800" t="inlineStr">
        <is>
          <t>DE68XHA , Tipper , Isuzu , Grafter</t>
        </is>
      </c>
      <c r="G1800" t="inlineStr">
        <is>
          <t xml:space="preserve">Chris </t>
        </is>
      </c>
      <c r="H1800" t="inlineStr">
        <is>
          <t>Tipper</t>
        </is>
      </c>
      <c r="I1800" t="inlineStr">
        <is>
          <t>Daily/ Weekly Vehicle Inspection</t>
        </is>
      </c>
      <c r="J1800" t="inlineStr">
        <is>
          <t>N/A</t>
        </is>
      </c>
      <c r="K1800" t="inlineStr">
        <is>
          <t>3098 D &amp; R Landscapes</t>
        </is>
      </c>
      <c r="L1800" t="inlineStr">
        <is>
          <t>16/10/2025 09:30</t>
        </is>
      </c>
      <c r="M1800" t="inlineStr">
        <is>
          <t>None</t>
        </is>
      </c>
      <c r="N1800" t="inlineStr">
        <is>
          <t>&lt;p&gt;&lt;/p&gt;</t>
        </is>
      </c>
      <c r="O1800" t="inlineStr"/>
      <c r="P1800" t="inlineStr">
        <is>
          <t>DE68XHA , Tipper , Isuzu , Grafter</t>
        </is>
      </c>
      <c r="Q1800" t="inlineStr">
        <is>
          <t>UKPN</t>
        </is>
      </c>
      <c r="R1800" t="b">
        <v>0</v>
      </c>
    </row>
    <row r="1801">
      <c r="A1801" t="inlineStr">
        <is>
          <t>16 Oct 2025 / 3098 D &amp; R Landscapes / Utilities / UKPN</t>
        </is>
      </c>
      <c r="B1801" t="inlineStr">
        <is>
          <t>Utilities</t>
        </is>
      </c>
      <c r="C1801" t="inlineStr">
        <is>
          <t>UKPN</t>
        </is>
      </c>
      <c r="D1801" t="inlineStr">
        <is>
          <t>WA13ZZK , 4x4 , Land Rover  , Defender</t>
        </is>
      </c>
      <c r="E1801" t="inlineStr">
        <is>
          <t>WA13ZZK , 4x4 , Land Rover  , Defender</t>
        </is>
      </c>
      <c r="F1801" t="inlineStr">
        <is>
          <t>WA13ZZK , 4x4 , Land Rover  , Defender</t>
        </is>
      </c>
      <c r="G1801" t="inlineStr">
        <is>
          <t xml:space="preserve">Chris </t>
        </is>
      </c>
      <c r="H1801" t="inlineStr">
        <is>
          <t>4x4</t>
        </is>
      </c>
      <c r="I1801" t="inlineStr">
        <is>
          <t>Daily/ Weekly Vehicle Inspection</t>
        </is>
      </c>
      <c r="J1801" t="inlineStr">
        <is>
          <t>N/A</t>
        </is>
      </c>
      <c r="K1801" t="inlineStr">
        <is>
          <t>3098 D &amp; R Landscapes</t>
        </is>
      </c>
      <c r="L1801" t="inlineStr">
        <is>
          <t>16/10/2025 09:31</t>
        </is>
      </c>
      <c r="M1801" t="inlineStr">
        <is>
          <t>None</t>
        </is>
      </c>
      <c r="N1801" t="inlineStr">
        <is>
          <t>&lt;p&gt;&lt;/p&gt;</t>
        </is>
      </c>
      <c r="O1801" t="inlineStr"/>
      <c r="P1801" t="inlineStr">
        <is>
          <t>WA13ZZK , 4x4 , Land Rover  , Defender</t>
        </is>
      </c>
      <c r="Q1801" t="inlineStr">
        <is>
          <t>UKPN</t>
        </is>
      </c>
      <c r="R1801" t="b">
        <v>0</v>
      </c>
    </row>
    <row r="1802">
      <c r="A1802" t="inlineStr">
        <is>
          <t>15 Oct 2025 / 3098 D &amp; R Landscapes / Utilities / UKPN</t>
        </is>
      </c>
      <c r="B1802" t="inlineStr">
        <is>
          <t>Utilities</t>
        </is>
      </c>
      <c r="C1802" t="inlineStr">
        <is>
          <t>UKPN</t>
        </is>
      </c>
      <c r="D1802" t="inlineStr">
        <is>
          <t>WA13ZZK , 4x4 , Land Rover  , Defender</t>
        </is>
      </c>
      <c r="E1802" t="inlineStr">
        <is>
          <t>WA13ZZK , 4x4 , Land Rover  , Defender</t>
        </is>
      </c>
      <c r="F1802" t="inlineStr">
        <is>
          <t>WA13ZZK , 4x4 , Land Rover  , Defender</t>
        </is>
      </c>
      <c r="G1802" t="inlineStr">
        <is>
          <t xml:space="preserve">Chris </t>
        </is>
      </c>
      <c r="H1802" t="inlineStr">
        <is>
          <t>4x4</t>
        </is>
      </c>
      <c r="I1802" t="inlineStr">
        <is>
          <t>Daily/ Weekly Vehicle Inspection</t>
        </is>
      </c>
      <c r="J1802" t="inlineStr">
        <is>
          <t>N/A</t>
        </is>
      </c>
      <c r="K1802" t="inlineStr">
        <is>
          <t>3098 D &amp; R Landscapes</t>
        </is>
      </c>
      <c r="L1802" t="inlineStr">
        <is>
          <t>16/10/2025 09:32</t>
        </is>
      </c>
      <c r="M1802" t="inlineStr">
        <is>
          <t>None</t>
        </is>
      </c>
      <c r="N1802" t="inlineStr">
        <is>
          <t>&lt;p&gt;&lt;/p&gt;</t>
        </is>
      </c>
      <c r="O1802" t="inlineStr"/>
      <c r="P1802" t="inlineStr">
        <is>
          <t>WA13ZZK , 4x4 , Land Rover  , Defender</t>
        </is>
      </c>
      <c r="Q1802" t="inlineStr">
        <is>
          <t>UKPN</t>
        </is>
      </c>
      <c r="R1802" t="b">
        <v>0</v>
      </c>
    </row>
    <row r="1803">
      <c r="A1803" t="inlineStr">
        <is>
          <t>16 Oct 2025 / 7806 Optimum Tree Services Ltd / Utilities / UKPN</t>
        </is>
      </c>
      <c r="B1803" t="inlineStr">
        <is>
          <t>Utilities</t>
        </is>
      </c>
      <c r="C1803" t="inlineStr">
        <is>
          <t>UKPN</t>
        </is>
      </c>
      <c r="D1803" t="inlineStr">
        <is>
          <t>Tipper - Ford  - Transit - Xt12ees</t>
        </is>
      </c>
      <c r="E1803" t="inlineStr">
        <is>
          <t>Tipper - Ford  - Transit - Xt12ees</t>
        </is>
      </c>
      <c r="F1803" t="inlineStr">
        <is>
          <t>Tipper - Ford  - Transit - Xt12ees</t>
        </is>
      </c>
      <c r="G1803" t="inlineStr">
        <is>
          <t xml:space="preserve">Abraham Davies </t>
        </is>
      </c>
      <c r="H1803" t="inlineStr">
        <is>
          <t>Tipper</t>
        </is>
      </c>
      <c r="I1803" t="inlineStr">
        <is>
          <t>Daily/ Weekly Vehicle Inspection</t>
        </is>
      </c>
      <c r="J1803" t="inlineStr">
        <is>
          <t>N/A</t>
        </is>
      </c>
      <c r="K1803" t="inlineStr">
        <is>
          <t>7806 Optimum Tree Services Ltd</t>
        </is>
      </c>
      <c r="L1803" t="inlineStr">
        <is>
          <t>16/10/2025 10:30</t>
        </is>
      </c>
      <c r="M1803" t="inlineStr">
        <is>
          <t>None</t>
        </is>
      </c>
      <c r="N1803" t="inlineStr">
        <is>
          <t>&lt;p&gt;&lt;/p&gt;</t>
        </is>
      </c>
      <c r="O1803" t="inlineStr"/>
      <c r="P1803" t="inlineStr">
        <is>
          <t>Tipper - Ford  - Transit - Xt12ees</t>
        </is>
      </c>
      <c r="Q1803" t="inlineStr">
        <is>
          <t>UKPN</t>
        </is>
      </c>
      <c r="R1803" t="b">
        <v>0</v>
      </c>
    </row>
    <row r="1804">
      <c r="A1804" t="inlineStr">
        <is>
          <t>16 Oct 2025 / Philip Shaw / Utilities / NGED</t>
        </is>
      </c>
      <c r="B1804" t="inlineStr">
        <is>
          <t>Utilities</t>
        </is>
      </c>
      <c r="C1804" t="inlineStr">
        <is>
          <t>NGED</t>
        </is>
      </c>
      <c r="D1804" t="inlineStr">
        <is>
          <t>AF22TZO , Car - Electric , Tesla , Model 3 Long Range AWD</t>
        </is>
      </c>
      <c r="E1804" t="inlineStr">
        <is>
          <t>AF22TZO , Car - Electric , Tesla , Model 3 Long Range AWD</t>
        </is>
      </c>
      <c r="F1804" t="inlineStr">
        <is>
          <t>AF22TZO , Car - Electric , Tesla , Model 3 Long Range AWD</t>
        </is>
      </c>
      <c r="G1804" t="inlineStr">
        <is>
          <t xml:space="preserve">Phil shaw </t>
        </is>
      </c>
      <c r="H1804" t="inlineStr">
        <is>
          <t>Car - Electric (GC Owned)</t>
        </is>
      </c>
      <c r="I1804" t="inlineStr">
        <is>
          <t>Daily/ Weekly Vehicle Inspection</t>
        </is>
      </c>
      <c r="J1804" t="inlineStr">
        <is>
          <t>N/A</t>
        </is>
      </c>
      <c r="K1804" t="inlineStr">
        <is>
          <t>Philip Shaw</t>
        </is>
      </c>
      <c r="L1804" t="inlineStr">
        <is>
          <t>16/10/2025 15:29</t>
        </is>
      </c>
      <c r="M1804" t="inlineStr">
        <is>
          <t>None</t>
        </is>
      </c>
      <c r="N1804" t="inlineStr">
        <is>
          <t>&lt;p&gt;&lt;/p&gt;</t>
        </is>
      </c>
      <c r="O1804" t="inlineStr"/>
      <c r="P1804" t="inlineStr">
        <is>
          <t>AF22TZO , Car - Electric , Tesla , Model 3 Long Range AWD</t>
        </is>
      </c>
      <c r="Q1804" t="inlineStr">
        <is>
          <t>NGED</t>
        </is>
      </c>
      <c r="R1804" t="b">
        <v>0</v>
      </c>
    </row>
    <row r="1805">
      <c r="A1805" t="inlineStr">
        <is>
          <t>15 Oct 2025 / Jane Moore / Utilities / NGED</t>
        </is>
      </c>
      <c r="B1805" t="inlineStr">
        <is>
          <t>Utilities</t>
        </is>
      </c>
      <c r="C1805" t="inlineStr">
        <is>
          <t>NGED</t>
        </is>
      </c>
      <c r="D1805" t="inlineStr">
        <is>
          <t>GL20TGZ , Car - Electric , Tesla , Model 3 Long Range AWD</t>
        </is>
      </c>
      <c r="E1805" t="inlineStr">
        <is>
          <t>GL20TGZ , Car - Electric , Tesla , Model 3 Long Range AWD</t>
        </is>
      </c>
      <c r="F1805" t="inlineStr">
        <is>
          <t>GL20TGZ , Car - Electric , Tesla , Model 3 Long Range AWD</t>
        </is>
      </c>
      <c r="G1805" t="inlineStr">
        <is>
          <t xml:space="preserve">Jane Moore </t>
        </is>
      </c>
      <c r="H1805" t="inlineStr">
        <is>
          <t>Car - Electric (GC Owned)</t>
        </is>
      </c>
      <c r="I1805" t="inlineStr">
        <is>
          <t>Daily/ Weekly Vehicle Inspection</t>
        </is>
      </c>
      <c r="J1805" t="inlineStr">
        <is>
          <t>N/A</t>
        </is>
      </c>
      <c r="K1805" t="inlineStr">
        <is>
          <t>Jane Moore</t>
        </is>
      </c>
      <c r="L1805" t="inlineStr">
        <is>
          <t>16/10/2025 19:28</t>
        </is>
      </c>
      <c r="M1805" t="inlineStr">
        <is>
          <t>None</t>
        </is>
      </c>
      <c r="N1805" t="inlineStr">
        <is>
          <t>&lt;p&gt;&lt;/p&gt;</t>
        </is>
      </c>
      <c r="O1805" t="inlineStr">
        <is>
          <t>Confirm that you have checked this vehicle as per the guidance document and the vehicle is safe and roadworthy:Stone chip marks on bonnet. Alloys scuffed. Black marks on internal roof, and area between roof and windscreen.
-</t>
        </is>
      </c>
      <c r="P1805" t="inlineStr">
        <is>
          <t>GL20TGZ , Car - Electric , Tesla , Model 3 Long Range AWD</t>
        </is>
      </c>
      <c r="Q1805" t="inlineStr">
        <is>
          <t>NGED</t>
        </is>
      </c>
      <c r="R1805" t="b">
        <v>0</v>
      </c>
    </row>
    <row r="1806">
      <c r="A1806" t="inlineStr">
        <is>
          <t>17 Oct 2025 / 7806 Optimum Tree Services Ltd / Utilities / UKPN</t>
        </is>
      </c>
      <c r="B1806" t="inlineStr">
        <is>
          <t>Utilities</t>
        </is>
      </c>
      <c r="C1806" t="inlineStr">
        <is>
          <t>UKPN</t>
        </is>
      </c>
      <c r="D1806" t="inlineStr">
        <is>
          <t>SA9TAPLAF27414263 , Trailer , Tow Mate , Plant Trailer</t>
        </is>
      </c>
      <c r="E1806" t="inlineStr">
        <is>
          <t>SA9TAPLAF27414263 , Trailer , Tow Mate , Plant Trailer</t>
        </is>
      </c>
      <c r="F1806" t="inlineStr">
        <is>
          <t>SA9TAPLAF27414263 , Trailer , Tow Mate , Plant Trailer</t>
        </is>
      </c>
      <c r="G1806" t="inlineStr">
        <is>
          <t xml:space="preserve">Abraham Davies </t>
        </is>
      </c>
      <c r="H1806" t="inlineStr">
        <is>
          <t>Plant Trailer</t>
        </is>
      </c>
      <c r="I1806" t="inlineStr">
        <is>
          <t>Daily/ Weekly Vehicle Inspection</t>
        </is>
      </c>
      <c r="J1806" t="inlineStr">
        <is>
          <t>N/A</t>
        </is>
      </c>
      <c r="K1806" t="inlineStr">
        <is>
          <t>7806 Optimum Tree Services Ltd</t>
        </is>
      </c>
      <c r="L1806" t="inlineStr">
        <is>
          <t>17/10/2025 07:29</t>
        </is>
      </c>
      <c r="M1806" t="inlineStr">
        <is>
          <t>None</t>
        </is>
      </c>
      <c r="N1806" t="inlineStr">
        <is>
          <t>&lt;p&gt;&lt;/p&gt;</t>
        </is>
      </c>
      <c r="O1806" t="inlineStr"/>
      <c r="P1806" t="inlineStr">
        <is>
          <t>SA9TAPLAF27414263 , Trailer , Tow Mate , Plant Trailer</t>
        </is>
      </c>
      <c r="Q1806" t="inlineStr">
        <is>
          <t>UKPN</t>
        </is>
      </c>
      <c r="R1806" t="b">
        <v>0</v>
      </c>
    </row>
    <row r="1807">
      <c r="A1807" t="inlineStr">
        <is>
          <t>17 Oct 2025 / 7951 Austin Tree Care LTD / Utilities / UKPN</t>
        </is>
      </c>
      <c r="B1807" t="inlineStr">
        <is>
          <t>Utilities</t>
        </is>
      </c>
      <c r="C1807" t="inlineStr">
        <is>
          <t>UKPN</t>
        </is>
      </c>
      <c r="D1807" t="inlineStr">
        <is>
          <t>SA9ST6P0001283612 , Tow Chipper , Forst , ST6p</t>
        </is>
      </c>
      <c r="E1807" t="inlineStr">
        <is>
          <t>SA9ST6P0001283612 , Tow Chipper , Forst , ST6p</t>
        </is>
      </c>
      <c r="F1807" t="inlineStr">
        <is>
          <t>SA9ST6P0001283612 , Tow Chipper , Forst , ST6p</t>
        </is>
      </c>
      <c r="G1807" t="inlineStr">
        <is>
          <t xml:space="preserve">Jack Austin </t>
        </is>
      </c>
      <c r="H1807" t="inlineStr">
        <is>
          <t>Towed Chipper</t>
        </is>
      </c>
      <c r="I1807" t="inlineStr">
        <is>
          <t>Daily/ Weekly Vehicle Inspection</t>
        </is>
      </c>
      <c r="J1807" t="inlineStr">
        <is>
          <t>N/A</t>
        </is>
      </c>
      <c r="K1807" t="inlineStr">
        <is>
          <t>7951 Austin Tree Care LTD</t>
        </is>
      </c>
      <c r="L1807" t="inlineStr">
        <is>
          <t>17/10/2025 07:29</t>
        </is>
      </c>
      <c r="M1807" t="inlineStr">
        <is>
          <t>None</t>
        </is>
      </c>
      <c r="N1807" t="inlineStr">
        <is>
          <t>&lt;p&gt;&lt;/p&gt;</t>
        </is>
      </c>
      <c r="O1807" t="inlineStr"/>
      <c r="P1807" t="inlineStr">
        <is>
          <t>SA9ST6P0001283612 , Tow Chipper , Forst , ST6p</t>
        </is>
      </c>
      <c r="Q1807" t="inlineStr">
        <is>
          <t>UKPN</t>
        </is>
      </c>
      <c r="R1807" t="b">
        <v>0</v>
      </c>
    </row>
    <row r="1808">
      <c r="A1808" t="inlineStr">
        <is>
          <t>17 Oct 2025 / 7806 Optimum Tree Services Ltd / Utilities / UKPN</t>
        </is>
      </c>
      <c r="B1808" t="inlineStr">
        <is>
          <t>Utilities</t>
        </is>
      </c>
      <c r="C1808" t="inlineStr">
        <is>
          <t>UKPN</t>
        </is>
      </c>
      <c r="D1808" t="inlineStr">
        <is>
          <t>WD14EVB , MEWP , Land Rover , Defender</t>
        </is>
      </c>
      <c r="E1808" t="inlineStr">
        <is>
          <t>WD14EVB , MEWP , Land Rover , Defender</t>
        </is>
      </c>
      <c r="F1808" t="inlineStr">
        <is>
          <t>WD14EVB , MEWP , Land Rover , Defender</t>
        </is>
      </c>
      <c r="G1808" t="inlineStr">
        <is>
          <t xml:space="preserve">Abraham Davies </t>
        </is>
      </c>
      <c r="H1808" t="inlineStr">
        <is>
          <t>4x4</t>
        </is>
      </c>
      <c r="I1808" t="inlineStr">
        <is>
          <t>Daily/ Weekly Vehicle Inspection</t>
        </is>
      </c>
      <c r="J1808" t="inlineStr">
        <is>
          <t>N/A</t>
        </is>
      </c>
      <c r="K1808" t="inlineStr">
        <is>
          <t>7806 Optimum Tree Services Ltd</t>
        </is>
      </c>
      <c r="L1808" t="inlineStr">
        <is>
          <t>17/10/2025 07:30</t>
        </is>
      </c>
      <c r="M1808" t="inlineStr">
        <is>
          <t>None</t>
        </is>
      </c>
      <c r="N1808" t="inlineStr">
        <is>
          <t>&lt;p&gt;&lt;/p&gt;</t>
        </is>
      </c>
      <c r="O1808" t="inlineStr"/>
      <c r="P1808" t="inlineStr">
        <is>
          <t>WD14EVB , MEWP , Land Rover , Defender</t>
        </is>
      </c>
      <c r="Q1808" t="inlineStr">
        <is>
          <t>UKPN</t>
        </is>
      </c>
      <c r="R1808" t="b">
        <v>0</v>
      </c>
    </row>
    <row r="1809">
      <c r="A1809" t="inlineStr">
        <is>
          <t>17 Oct 2025 / 7951 Austin Tree Care LTD / Utilities / UKPN</t>
        </is>
      </c>
      <c r="B1809" t="inlineStr">
        <is>
          <t>Utilities</t>
        </is>
      </c>
      <c r="C1809" t="inlineStr">
        <is>
          <t>UKPN</t>
        </is>
      </c>
      <c r="D1809" t="inlineStr">
        <is>
          <t>WF61 HZV , 4x4 MEWP , Land Rover , Defender</t>
        </is>
      </c>
      <c r="E1809" t="inlineStr">
        <is>
          <t>WF61 HZV , 4x4 MEWP , Land Rover , Defender</t>
        </is>
      </c>
      <c r="F1809" t="inlineStr">
        <is>
          <t>WF61 HZV , 4x4 MEWP , Land Rover , Defender</t>
        </is>
      </c>
      <c r="G1809" t="inlineStr">
        <is>
          <t xml:space="preserve">Jack Austin </t>
        </is>
      </c>
      <c r="H1809" t="inlineStr">
        <is>
          <t>4x4</t>
        </is>
      </c>
      <c r="I1809" t="inlineStr">
        <is>
          <t>Daily/ Weekly Vehicle Inspection</t>
        </is>
      </c>
      <c r="J1809" t="inlineStr">
        <is>
          <t>N/A</t>
        </is>
      </c>
      <c r="K1809" t="inlineStr">
        <is>
          <t>7951 Austin Tree Care LTD</t>
        </is>
      </c>
      <c r="L1809" t="inlineStr">
        <is>
          <t>17/10/2025 07:32</t>
        </is>
      </c>
      <c r="M1809" t="inlineStr">
        <is>
          <t>None</t>
        </is>
      </c>
      <c r="N1809" t="inlineStr">
        <is>
          <t>&lt;p&gt;&lt;/p&gt;</t>
        </is>
      </c>
      <c r="O1809" t="inlineStr"/>
      <c r="P1809" t="inlineStr">
        <is>
          <t>WF61 HZV , 4x4 MEWP , Land Rover , Defender</t>
        </is>
      </c>
      <c r="Q1809" t="inlineStr">
        <is>
          <t>UKPN</t>
        </is>
      </c>
      <c r="R1809" t="b">
        <v>0</v>
      </c>
    </row>
    <row r="1810">
      <c r="A1810" t="inlineStr">
        <is>
          <t>17 Oct 2025 / Thomas Playford / Utilities / UKPN</t>
        </is>
      </c>
      <c r="B1810" t="inlineStr">
        <is>
          <t>Utilities</t>
        </is>
      </c>
      <c r="C1810" t="inlineStr">
        <is>
          <t>UKPN</t>
        </is>
      </c>
      <c r="D1810" t="inlineStr">
        <is>
          <t>YP24 WRD , Vehicle , Ford , Ranger</t>
        </is>
      </c>
      <c r="E1810" t="inlineStr">
        <is>
          <t>YP24 WRD , Vehicle , Ford , Ranger</t>
        </is>
      </c>
      <c r="F1810" t="inlineStr">
        <is>
          <t>YP24 WRD , Vehicle , Ford , Ranger</t>
        </is>
      </c>
      <c r="G1810" t="inlineStr">
        <is>
          <t>Jacob Oram</t>
        </is>
      </c>
      <c r="H1810" t="inlineStr">
        <is>
          <t>4x4</t>
        </is>
      </c>
      <c r="I1810" t="inlineStr">
        <is>
          <t>Daily/ Weekly Vehicle Inspection</t>
        </is>
      </c>
      <c r="J1810" t="inlineStr">
        <is>
          <t>N/A</t>
        </is>
      </c>
      <c r="K1810" t="inlineStr">
        <is>
          <t>7995 Contour Landscapes Ltd 2</t>
        </is>
      </c>
      <c r="L1810" t="inlineStr">
        <is>
          <t>17/10/2025 07:33</t>
        </is>
      </c>
      <c r="M1810" t="inlineStr">
        <is>
          <t>None</t>
        </is>
      </c>
      <c r="N1810" t="inlineStr">
        <is>
          <t>&lt;p&gt;&lt;/p&gt;</t>
        </is>
      </c>
      <c r="O1810" t="inlineStr"/>
      <c r="P1810" t="inlineStr">
        <is>
          <t>YP24 WRD , Vehicle , Ford , Ranger</t>
        </is>
      </c>
      <c r="Q1810" t="inlineStr">
        <is>
          <t>UKPN</t>
        </is>
      </c>
      <c r="R1810" t="b">
        <v>0</v>
      </c>
    </row>
    <row r="1811">
      <c r="A1811" t="inlineStr">
        <is>
          <t>17 Oct 2025 / 7800 MAC Tree Surgery and Fencing Ltd / Utilities / UKPN</t>
        </is>
      </c>
      <c r="B1811" t="inlineStr">
        <is>
          <t>Utilities</t>
        </is>
      </c>
      <c r="C1811" t="inlineStr">
        <is>
          <t>UKPN</t>
        </is>
      </c>
      <c r="D1811" t="inlineStr">
        <is>
          <t>AY68DAA , 4x4 , Izuzu , Dmax</t>
        </is>
      </c>
      <c r="E1811" t="inlineStr">
        <is>
          <t>AY68DAA , 4x4 , Izuzu , Dmax</t>
        </is>
      </c>
      <c r="F1811" t="inlineStr">
        <is>
          <t>AY68DAA , 4x4 , Izuzu , Dmax</t>
        </is>
      </c>
      <c r="G1811" t="inlineStr">
        <is>
          <t xml:space="preserve">Lewis Mac </t>
        </is>
      </c>
      <c r="H1811" t="inlineStr">
        <is>
          <t>4x4</t>
        </is>
      </c>
      <c r="I1811" t="inlineStr">
        <is>
          <t>Daily/ Weekly Vehicle Inspection</t>
        </is>
      </c>
      <c r="J1811" t="inlineStr">
        <is>
          <t>N/A</t>
        </is>
      </c>
      <c r="K1811" t="inlineStr">
        <is>
          <t>7800 MAC Tree Surgery and Fencing Ltd</t>
        </is>
      </c>
      <c r="L1811" t="inlineStr">
        <is>
          <t>17/10/2025 07:34</t>
        </is>
      </c>
      <c r="M1811" t="inlineStr">
        <is>
          <t>None</t>
        </is>
      </c>
      <c r="N1811" t="inlineStr">
        <is>
          <t>&lt;p&gt;&lt;/p&gt;</t>
        </is>
      </c>
      <c r="O1811" t="inlineStr"/>
      <c r="P1811" t="inlineStr">
        <is>
          <t>AY68DAA , 4x4 , Izuzu , Dmax</t>
        </is>
      </c>
      <c r="Q1811" t="inlineStr">
        <is>
          <t>UKPN</t>
        </is>
      </c>
      <c r="R1811" t="b">
        <v>0</v>
      </c>
    </row>
    <row r="1812">
      <c r="A1812" t="inlineStr">
        <is>
          <t>17 Oct 2025 / 7800 MAC Tree Surgery and Fencing Ltd / Utilities / UKPN</t>
        </is>
      </c>
      <c r="B1812" t="inlineStr">
        <is>
          <t>Utilities</t>
        </is>
      </c>
      <c r="C1812" t="inlineStr">
        <is>
          <t>UKPN</t>
        </is>
      </c>
      <c r="D1812" t="inlineStr">
        <is>
          <t>Towed Chipper - Forst  - ST6 p - N/a</t>
        </is>
      </c>
      <c r="E1812" t="inlineStr">
        <is>
          <t>Towed Chipper - Forst  - ST6 p - N/a</t>
        </is>
      </c>
      <c r="F1812" t="inlineStr">
        <is>
          <t>Towed Chipper - Forst  - ST6 p - N/a</t>
        </is>
      </c>
      <c r="G1812" t="inlineStr">
        <is>
          <t xml:space="preserve">Lewis </t>
        </is>
      </c>
      <c r="H1812" t="inlineStr">
        <is>
          <t>Towed Chipper</t>
        </is>
      </c>
      <c r="I1812" t="inlineStr">
        <is>
          <t>Daily/ Weekly Vehicle Inspection</t>
        </is>
      </c>
      <c r="J1812" t="inlineStr">
        <is>
          <t>N/A</t>
        </is>
      </c>
      <c r="K1812" t="inlineStr">
        <is>
          <t>7800 MAC Tree Surgery and Fencing Ltd</t>
        </is>
      </c>
      <c r="L1812" t="inlineStr">
        <is>
          <t>17/10/2025 07:35</t>
        </is>
      </c>
      <c r="M1812" t="inlineStr">
        <is>
          <t>None</t>
        </is>
      </c>
      <c r="N1812" t="inlineStr">
        <is>
          <t>&lt;p&gt;&lt;/p&gt;</t>
        </is>
      </c>
      <c r="O1812" t="inlineStr"/>
      <c r="P1812" t="inlineStr">
        <is>
          <t>Towed Chipper - Forst  - ST6 p - N/a</t>
        </is>
      </c>
      <c r="Q1812" t="inlineStr">
        <is>
          <t>UKPN</t>
        </is>
      </c>
      <c r="R1812" t="b">
        <v>0</v>
      </c>
    </row>
    <row r="1813">
      <c r="A1813" t="inlineStr">
        <is>
          <t>17 Oct 2025 / Anthony Gale / Utilities / UKPN</t>
        </is>
      </c>
      <c r="B1813" t="inlineStr">
        <is>
          <t>Utilities</t>
        </is>
      </c>
      <c r="C1813" t="inlineStr">
        <is>
          <t>UKPN</t>
        </is>
      </c>
      <c r="D1813" t="inlineStr">
        <is>
          <t>GU13 WNL , MEWP , Land Rover , Defender 130</t>
        </is>
      </c>
      <c r="E1813" t="inlineStr">
        <is>
          <t>GU13 WNL , MEWP , Land Rover , Defender 130</t>
        </is>
      </c>
      <c r="F1813" t="inlineStr">
        <is>
          <t>GU13 WNL , MEWP , Land Rover , Defender 130</t>
        </is>
      </c>
      <c r="G1813" t="inlineStr">
        <is>
          <t>Anthony Gale</t>
        </is>
      </c>
      <c r="H1813" t="inlineStr">
        <is>
          <t>4x4</t>
        </is>
      </c>
      <c r="I1813" t="inlineStr">
        <is>
          <t>Daily/ Weekly Vehicle Inspection</t>
        </is>
      </c>
      <c r="J1813" t="inlineStr">
        <is>
          <t>N/A</t>
        </is>
      </c>
      <c r="K1813" t="inlineStr">
        <is>
          <t>7996 M G Tree Surgery Ltd 1</t>
        </is>
      </c>
      <c r="L1813" t="inlineStr">
        <is>
          <t>17/10/2025 07:38</t>
        </is>
      </c>
      <c r="M1813" t="inlineStr">
        <is>
          <t>None</t>
        </is>
      </c>
      <c r="N1813" t="inlineStr">
        <is>
          <t>&lt;p&gt;&lt;/p&gt;</t>
        </is>
      </c>
      <c r="O1813" t="inlineStr"/>
      <c r="P1813" t="inlineStr">
        <is>
          <t>GU13 WNL , MEWP , Land Rover , Defender 130</t>
        </is>
      </c>
      <c r="Q1813" t="inlineStr">
        <is>
          <t>UKPN</t>
        </is>
      </c>
      <c r="R1813" t="b">
        <v>0</v>
      </c>
    </row>
    <row r="1814">
      <c r="A1814" t="inlineStr">
        <is>
          <t>16 Oct 2025 / Anthony Gale / Utilities / UKPN</t>
        </is>
      </c>
      <c r="B1814" t="inlineStr">
        <is>
          <t>Utilities</t>
        </is>
      </c>
      <c r="C1814" t="inlineStr">
        <is>
          <t>UKPN</t>
        </is>
      </c>
      <c r="D1814" t="inlineStr">
        <is>
          <t>PE07 HGL , Vehicle , Mitsubishi , L200 K74</t>
        </is>
      </c>
      <c r="E1814" t="inlineStr">
        <is>
          <t>PE07 HGL , Vehicle , Mitsubishi , L200 K74</t>
        </is>
      </c>
      <c r="F1814" t="inlineStr">
        <is>
          <t>PE07 HGL , Vehicle , Mitsubishi , L200 K74</t>
        </is>
      </c>
      <c r="G1814" t="inlineStr">
        <is>
          <t>Anthony Gale</t>
        </is>
      </c>
      <c r="H1814" t="inlineStr">
        <is>
          <t>Pickup Truck</t>
        </is>
      </c>
      <c r="I1814" t="inlineStr">
        <is>
          <t>Daily/ Weekly Vehicle Inspection</t>
        </is>
      </c>
      <c r="J1814" t="inlineStr">
        <is>
          <t>N/A</t>
        </is>
      </c>
      <c r="K1814" t="inlineStr">
        <is>
          <t>7996 M G Tree Surgery Ltd 1</t>
        </is>
      </c>
      <c r="L1814" t="inlineStr">
        <is>
          <t>17/10/2025 07:38</t>
        </is>
      </c>
      <c r="M1814" t="inlineStr">
        <is>
          <t>None</t>
        </is>
      </c>
      <c r="N1814" t="inlineStr">
        <is>
          <t>&lt;p&gt;&lt;/p&gt;</t>
        </is>
      </c>
      <c r="O1814" t="inlineStr">
        <is>
          <t>Confirm that you have checked this vehicle as per the guidance document and the vehicle is safe and roadworthy:Drivers side wheel trim deteriorating, safe for now. Monitor.
-</t>
        </is>
      </c>
      <c r="P1814" t="inlineStr">
        <is>
          <t>PE07 HGL , Vehicle , Mitsubishi , L200 K74</t>
        </is>
      </c>
      <c r="Q1814" t="inlineStr">
        <is>
          <t>UKPN</t>
        </is>
      </c>
      <c r="R1814" t="b">
        <v>0</v>
      </c>
    </row>
    <row r="1815">
      <c r="A1815" t="inlineStr">
        <is>
          <t>17 Oct 2025 / 7889 Tree Tech Suffolk Ltd</t>
        </is>
      </c>
      <c r="B1815" t="inlineStr">
        <is>
          <t>Utilities &amp; Inland Waterways</t>
        </is>
      </c>
      <c r="C1815" t="inlineStr">
        <is>
          <t>UKPN</t>
        </is>
      </c>
      <c r="D1815" t="inlineStr">
        <is>
          <t>Tow Chipper - Jenson - A530L - 55210639484x4 - Isuzu - D-max - NS03 TTSTipper - Mercedes - Sprinter - NS06TTS</t>
        </is>
      </c>
      <c r="E1815" t="inlineStr">
        <is>
          <t>Tow Chipper - Jenson - A530L - 55210639484x4 - Isuzu - D-max - NS03 TTSTipper - Mercedes - Sprinter - NS06TTS</t>
        </is>
      </c>
      <c r="F1815" t="inlineStr">
        <is>
          <t>Tow Chipper - Jenson - A530L - 55210639484x4 - Isuzu - D-max - NS03 TTSTipper - Mercedes - Sprinter - NS06TTS</t>
        </is>
      </c>
      <c r="G1815" t="inlineStr">
        <is>
          <t xml:space="preserve">Nikki sparrow Danny Appleby Nikki sparrow </t>
        </is>
      </c>
      <c r="H1815" t="inlineStr">
        <is>
          <t>Towed Chipper4x4Tipper</t>
        </is>
      </c>
      <c r="I1815" t="inlineStr">
        <is>
          <t>Daily/ Weekly Vehicle Inspection</t>
        </is>
      </c>
      <c r="J1815" t="inlineStr">
        <is>
          <t>N/A</t>
        </is>
      </c>
      <c r="K1815" t="inlineStr">
        <is>
          <t>7889 Tree Tech Suffolk Ltd</t>
        </is>
      </c>
      <c r="L1815" t="inlineStr">
        <is>
          <t>17/10/2025 08:29</t>
        </is>
      </c>
      <c r="M1815" t="inlineStr">
        <is>
          <t>None</t>
        </is>
      </c>
      <c r="N1815" t="inlineStr">
        <is>
          <t>&lt;p&gt;&lt;/p&gt;</t>
        </is>
      </c>
      <c r="O1815" t="inlineStr">
        <is>
          <t>Select Vehicle:Kx65 fcz</t>
        </is>
      </c>
      <c r="P1815" t="inlineStr">
        <is>
          <t>Tow Chipper - Jenson - A530L - 55210639484x4 - Isuzu - D-max - NS03 TTSTipper - Mercedes - Sprinter - NS06TTS</t>
        </is>
      </c>
      <c r="Q1815" t="inlineStr">
        <is>
          <t>UKPN</t>
        </is>
      </c>
      <c r="R1815" t="b">
        <v>0</v>
      </c>
    </row>
    <row r="1816">
      <c r="A1816" t="inlineStr">
        <is>
          <t>17 Oct 2025 / Gregory Mapfumo / Utilities / UKPN</t>
        </is>
      </c>
      <c r="B1816" t="inlineStr">
        <is>
          <t>Utilities</t>
        </is>
      </c>
      <c r="C1816" t="inlineStr">
        <is>
          <t>UKPN</t>
        </is>
      </c>
      <c r="D1816" t="inlineStr"/>
      <c r="E1816" t="inlineStr"/>
      <c r="F1816" t="inlineStr"/>
      <c r="G1816" t="inlineStr">
        <is>
          <t>GREG MAPFUMO</t>
        </is>
      </c>
      <c r="H1816" t="inlineStr">
        <is>
          <t>Car - Petrol</t>
        </is>
      </c>
      <c r="I1816" t="inlineStr">
        <is>
          <t>Daily/ Weekly Vehicle Inspection</t>
        </is>
      </c>
      <c r="J1816" t="inlineStr">
        <is>
          <t>N/A</t>
        </is>
      </c>
      <c r="K1816" t="inlineStr">
        <is>
          <t>Gregory Mapfumo</t>
        </is>
      </c>
      <c r="L1816" t="inlineStr">
        <is>
          <t>17/10/2025 09:28</t>
        </is>
      </c>
      <c r="M1816" t="inlineStr">
        <is>
          <t>None</t>
        </is>
      </c>
      <c r="N1816" t="inlineStr">
        <is>
          <t>&lt;p&gt;&lt;/p&gt;</t>
        </is>
      </c>
      <c r="O1816" t="inlineStr"/>
      <c r="P1816" t="inlineStr"/>
      <c r="Q1816" t="inlineStr">
        <is>
          <t>UKPN</t>
        </is>
      </c>
      <c r="R1816" t="b">
        <v>0</v>
      </c>
    </row>
    <row r="1817">
      <c r="A1817" t="inlineStr">
        <is>
          <t>17 Oct 2025 / Thomas Playford / Utilities / UKPN</t>
        </is>
      </c>
      <c r="B1817" t="inlineStr">
        <is>
          <t>Utilities</t>
        </is>
      </c>
      <c r="C1817" t="inlineStr">
        <is>
          <t>UKPN</t>
        </is>
      </c>
      <c r="D1817" t="inlineStr"/>
      <c r="E1817" t="inlineStr"/>
      <c r="F1817" t="inlineStr"/>
      <c r="G1817" t="inlineStr">
        <is>
          <t>Thomas Playford</t>
        </is>
      </c>
      <c r="H1817" t="inlineStr">
        <is>
          <t>Tracked Vehicle</t>
        </is>
      </c>
      <c r="I1817" t="inlineStr">
        <is>
          <t>Daily/ Weekly Vehicle Inspection</t>
        </is>
      </c>
      <c r="J1817" t="inlineStr">
        <is>
          <t>N/A</t>
        </is>
      </c>
      <c r="K1817" t="inlineStr">
        <is>
          <t>7995 Contour Landscapes Ltd 2</t>
        </is>
      </c>
      <c r="L1817" t="inlineStr">
        <is>
          <t>17/10/2025 09:29</t>
        </is>
      </c>
      <c r="M1817" t="inlineStr">
        <is>
          <t>None</t>
        </is>
      </c>
      <c r="N1817" t="inlineStr">
        <is>
          <t>&lt;p&gt;&lt;/p&gt;</t>
        </is>
      </c>
      <c r="O1817" t="inlineStr"/>
      <c r="P1817" t="inlineStr"/>
      <c r="Q1817" t="inlineStr">
        <is>
          <t>UKPN</t>
        </is>
      </c>
      <c r="R1817" t="b">
        <v>0</v>
      </c>
    </row>
    <row r="1818">
      <c r="A1818" t="inlineStr">
        <is>
          <t>15 Oct 2025 / Jane Moore / Utilities / NGED</t>
        </is>
      </c>
      <c r="B1818" t="inlineStr">
        <is>
          <t>Utilities</t>
        </is>
      </c>
      <c r="C1818" t="inlineStr">
        <is>
          <t>NGED</t>
        </is>
      </c>
      <c r="D1818" t="inlineStr">
        <is>
          <t>GL20TGZ , Car - Electric , Tesla , Model 3 Long Range AWD</t>
        </is>
      </c>
      <c r="E1818" t="inlineStr">
        <is>
          <t>GL20TGZ , Car - Electric , Tesla , Model 3 Long Range AWD</t>
        </is>
      </c>
      <c r="F1818" t="inlineStr">
        <is>
          <t>GL20TGZ , Car - Electric , Tesla , Model 3 Long Range AWD</t>
        </is>
      </c>
      <c r="G1818" t="inlineStr">
        <is>
          <t xml:space="preserve">Jane Moore </t>
        </is>
      </c>
      <c r="H1818" t="inlineStr">
        <is>
          <t>Car - Electric (GC Owned)</t>
        </is>
      </c>
      <c r="I1818" t="inlineStr">
        <is>
          <t>Daily/ Weekly Vehicle Inspection</t>
        </is>
      </c>
      <c r="J1818" t="inlineStr">
        <is>
          <t>N/A</t>
        </is>
      </c>
      <c r="K1818" t="inlineStr">
        <is>
          <t>Jane Moore</t>
        </is>
      </c>
      <c r="L1818" t="inlineStr">
        <is>
          <t>17/10/2025 10:28</t>
        </is>
      </c>
      <c r="M1818" t="inlineStr">
        <is>
          <t>None</t>
        </is>
      </c>
      <c r="N1818" t="inlineStr">
        <is>
          <t>&lt;p&gt;&lt;/p&gt;</t>
        </is>
      </c>
      <c r="O1818" t="inlineStr">
        <is>
          <t>Confirm that you have checked this vehicle as per the guidance document and the vehicle is safe and roadworthy:Stone chip marks on bonnet. Alloys scuffed. Black marks on internal roof, and area between roof and windscreen. The windscreen has 3 chips on the passenger side. The sunroof has a chipper above driver head.
-</t>
        </is>
      </c>
      <c r="P1818" t="inlineStr">
        <is>
          <t>GL20TGZ , Car - Electric , Tesla , Model 3 Long Range AWD</t>
        </is>
      </c>
      <c r="Q1818" t="inlineStr">
        <is>
          <t>NGED</t>
        </is>
      </c>
      <c r="R1818" t="b">
        <v>0</v>
      </c>
    </row>
    <row r="1819">
      <c r="A1819" t="inlineStr">
        <is>
          <t>15 Oct 2025 / Jane Moore / Utilities / NGED</t>
        </is>
      </c>
      <c r="B1819" t="inlineStr">
        <is>
          <t>Utilities</t>
        </is>
      </c>
      <c r="C1819" t="inlineStr">
        <is>
          <t>NGED</t>
        </is>
      </c>
      <c r="D1819" t="inlineStr">
        <is>
          <t>GL20TGZ , Car - Electric , Tesla , Model 3 Long Range AWD</t>
        </is>
      </c>
      <c r="E1819" t="inlineStr">
        <is>
          <t>GL20TGZ , Car - Electric , Tesla , Model 3 Long Range AWD</t>
        </is>
      </c>
      <c r="F1819" t="inlineStr">
        <is>
          <t>GL20TGZ , Car - Electric , Tesla , Model 3 Long Range AWD</t>
        </is>
      </c>
      <c r="G1819" t="inlineStr">
        <is>
          <t xml:space="preserve">Jane Moore </t>
        </is>
      </c>
      <c r="H1819" t="inlineStr">
        <is>
          <t>Car - Electric (GC Owned)</t>
        </is>
      </c>
      <c r="I1819" t="inlineStr">
        <is>
          <t>Daily/ Weekly Vehicle Inspection</t>
        </is>
      </c>
      <c r="J1819" t="inlineStr">
        <is>
          <t>N/A</t>
        </is>
      </c>
      <c r="K1819" t="inlineStr">
        <is>
          <t>Jane Moore</t>
        </is>
      </c>
      <c r="L1819" t="inlineStr">
        <is>
          <t>17/10/2025 12:28</t>
        </is>
      </c>
      <c r="M1819" t="inlineStr">
        <is>
          <t>None</t>
        </is>
      </c>
      <c r="N1819" t="inlineStr">
        <is>
          <t>&lt;p&gt;&lt;/p&gt;</t>
        </is>
      </c>
      <c r="O1819" t="inlineStr">
        <is>
          <t>Confirm that you have checked this vehicle as per the guidance document and the vehicle is safe and roadworthy:Stone chip marks on bonnet. Alloys scuffed. Black marks on internal roof, and area between roof and windscreen. The windscreen has 3 chips on the passenger side. The sunroof has a chipper above driver head. Wear on drivers seat LHS.
-</t>
        </is>
      </c>
      <c r="P1819" t="inlineStr">
        <is>
          <t>GL20TGZ , Car - Electric , Tesla , Model 3 Long Range AWD</t>
        </is>
      </c>
      <c r="Q1819" t="inlineStr">
        <is>
          <t>NGED</t>
        </is>
      </c>
      <c r="R1819" t="b">
        <v>0</v>
      </c>
    </row>
    <row r="1820">
      <c r="A1820" t="inlineStr">
        <is>
          <t>17 Oct 2025 / 7806 Optimum Tree Services Ltd / Utilities / UKPN</t>
        </is>
      </c>
      <c r="B1820" t="inlineStr">
        <is>
          <t>Utilities</t>
        </is>
      </c>
      <c r="C1820" t="inlineStr">
        <is>
          <t>UKPN</t>
        </is>
      </c>
      <c r="D1820" t="inlineStr"/>
      <c r="E1820" t="inlineStr"/>
      <c r="F1820" t="inlineStr"/>
      <c r="G1820" t="inlineStr"/>
      <c r="H1820" t="inlineStr"/>
      <c r="I1820" t="inlineStr">
        <is>
          <t>Add to Vehicle to the GC Vehicle List</t>
        </is>
      </c>
      <c r="J1820" t="inlineStr">
        <is>
          <t>N/A</t>
        </is>
      </c>
      <c r="K1820" t="inlineStr">
        <is>
          <t>7806 Optimum Tree Services Ltd</t>
        </is>
      </c>
      <c r="L1820" t="inlineStr">
        <is>
          <t>17/10/2025 20:08</t>
        </is>
      </c>
      <c r="M1820" t="inlineStr">
        <is>
          <t>None</t>
        </is>
      </c>
      <c r="N1820" t="inlineStr">
        <is>
          <t>&lt;p&gt;&lt;/p&gt;</t>
        </is>
      </c>
      <c r="O1820" t="inlineStr"/>
      <c r="P1820" t="inlineStr"/>
      <c r="Q1820" t="inlineStr">
        <is>
          <t>UKPN</t>
        </is>
      </c>
      <c r="R1820" t="b">
        <v>0</v>
      </c>
    </row>
    <row r="1821">
      <c r="A1821" t="inlineStr">
        <is>
          <t>17 Oct 2025 / Thomas Playford / Utilities / UKPN</t>
        </is>
      </c>
      <c r="B1821" t="inlineStr">
        <is>
          <t>Utilities</t>
        </is>
      </c>
      <c r="C1821" t="inlineStr">
        <is>
          <t>UKPN</t>
        </is>
      </c>
      <c r="D1821" t="inlineStr"/>
      <c r="E1821" t="inlineStr"/>
      <c r="F1821" t="inlineStr"/>
      <c r="G1821" t="inlineStr">
        <is>
          <t>Jacob Oram</t>
        </is>
      </c>
      <c r="H1821" t="inlineStr">
        <is>
          <t>Tracked Vehicle</t>
        </is>
      </c>
      <c r="I1821" t="inlineStr">
        <is>
          <t>Daily/ Weekly Vehicle Inspection</t>
        </is>
      </c>
      <c r="J1821" t="inlineStr">
        <is>
          <t>N/A</t>
        </is>
      </c>
      <c r="K1821" t="inlineStr">
        <is>
          <t>7995 Contour Landscapes Ltd 2</t>
        </is>
      </c>
      <c r="L1821" t="inlineStr">
        <is>
          <t>17/10/2025 20:09</t>
        </is>
      </c>
      <c r="M1821" t="inlineStr">
        <is>
          <t>None</t>
        </is>
      </c>
      <c r="N1821" t="inlineStr">
        <is>
          <t>&lt;p&gt;&lt;/p&gt;</t>
        </is>
      </c>
      <c r="O1821" t="inlineStr"/>
      <c r="P1821" t="inlineStr"/>
      <c r="Q1821" t="inlineStr">
        <is>
          <t>UKPN</t>
        </is>
      </c>
      <c r="R1821" t="b">
        <v>0</v>
      </c>
    </row>
    <row r="1822">
      <c r="A1822" t="inlineStr">
        <is>
          <t>17 Oct 2025 / 7186 Eastwoodbury Tree Services Ltd / Utilities / UKPN</t>
        </is>
      </c>
      <c r="B1822" t="inlineStr">
        <is>
          <t>Utilities</t>
        </is>
      </c>
      <c r="C1822" t="inlineStr">
        <is>
          <t>UKPN</t>
        </is>
      </c>
      <c r="D1822" t="inlineStr">
        <is>
          <t>FN600XM , 4x4 , Land Rover  , Defender</t>
        </is>
      </c>
      <c r="E1822" t="inlineStr">
        <is>
          <t>FN600XM , 4x4 , Land Rover  , Defender</t>
        </is>
      </c>
      <c r="F1822" t="inlineStr">
        <is>
          <t>FN600XM , 4x4 , Land Rover  , Defender</t>
        </is>
      </c>
      <c r="G1822" t="inlineStr">
        <is>
          <t xml:space="preserve">Dan Gilbert </t>
        </is>
      </c>
      <c r="H1822" t="inlineStr">
        <is>
          <t>4x4</t>
        </is>
      </c>
      <c r="I1822" t="inlineStr">
        <is>
          <t>Daily/ Weekly Vehicle Inspection</t>
        </is>
      </c>
      <c r="J1822" t="inlineStr">
        <is>
          <t>N/A</t>
        </is>
      </c>
      <c r="K1822" t="inlineStr">
        <is>
          <t>7186 Eastwoodbury Tree Services Ltd</t>
        </is>
      </c>
      <c r="L1822" t="inlineStr">
        <is>
          <t>17/10/2025 20:09</t>
        </is>
      </c>
      <c r="M1822" t="inlineStr">
        <is>
          <t>None</t>
        </is>
      </c>
      <c r="N1822" t="inlineStr">
        <is>
          <t>&lt;p&gt;&lt;/p&gt;</t>
        </is>
      </c>
      <c r="O1822" t="inlineStr"/>
      <c r="P1822" t="inlineStr">
        <is>
          <t>FN600XM , 4x4 , Land Rover  , Defender</t>
        </is>
      </c>
      <c r="Q1822" t="inlineStr">
        <is>
          <t>UKPN</t>
        </is>
      </c>
      <c r="R1822" t="b">
        <v>0</v>
      </c>
    </row>
    <row r="1823">
      <c r="A1823" t="inlineStr">
        <is>
          <t>17 Oct 2025 / 7186 Eastwoodbury Tree Services Ltd / Utilities / UKPN</t>
        </is>
      </c>
      <c r="B1823" t="inlineStr">
        <is>
          <t>Utilities</t>
        </is>
      </c>
      <c r="C1823" t="inlineStr">
        <is>
          <t>UKPN</t>
        </is>
      </c>
      <c r="D1823" t="inlineStr">
        <is>
          <t>4x4 - Land rover  - Defenders  - WF13 EKM</t>
        </is>
      </c>
      <c r="E1823" t="inlineStr">
        <is>
          <t>4x4 - Land rover  - Defenders  - WF13 EKM</t>
        </is>
      </c>
      <c r="F1823" t="inlineStr">
        <is>
          <t>4x4 - Land rover  - Defenders  - WF13 EKM</t>
        </is>
      </c>
      <c r="G1823" t="inlineStr">
        <is>
          <t xml:space="preserve">Jay Denkmayer </t>
        </is>
      </c>
      <c r="H1823" t="inlineStr">
        <is>
          <t>4x4</t>
        </is>
      </c>
      <c r="I1823" t="inlineStr">
        <is>
          <t>Daily/ Weekly Vehicle Inspection</t>
        </is>
      </c>
      <c r="J1823" t="inlineStr">
        <is>
          <t>N/A</t>
        </is>
      </c>
      <c r="K1823" t="inlineStr">
        <is>
          <t>7186 Eastwoodbury Tree Services Ltd</t>
        </is>
      </c>
      <c r="L1823" t="inlineStr">
        <is>
          <t>17/10/2025 20:10</t>
        </is>
      </c>
      <c r="M1823" t="inlineStr">
        <is>
          <t>None</t>
        </is>
      </c>
      <c r="N1823" t="inlineStr">
        <is>
          <t>&lt;p&gt;&lt;/p&gt;</t>
        </is>
      </c>
      <c r="O1823" t="inlineStr"/>
      <c r="P1823" t="inlineStr">
        <is>
          <t>4x4 - Land rover  - Defenders  - WF13 EKM</t>
        </is>
      </c>
      <c r="Q1823" t="inlineStr">
        <is>
          <t>UKPN</t>
        </is>
      </c>
      <c r="R1823" t="b">
        <v>0</v>
      </c>
    </row>
    <row r="1824">
      <c r="A1824" t="inlineStr">
        <is>
          <t>19 Oct 2025 / 7996 M G Tree Surgery Ltd / Utilities / UKPN</t>
        </is>
      </c>
      <c r="B1824" t="inlineStr">
        <is>
          <t>Utilities</t>
        </is>
      </c>
      <c r="C1824" t="inlineStr">
        <is>
          <t>UKPN</t>
        </is>
      </c>
      <c r="D1824" t="inlineStr">
        <is>
          <t>PE07 HGL , Vehicle , Mitsubishi , L200 K74</t>
        </is>
      </c>
      <c r="E1824" t="inlineStr">
        <is>
          <t>PE07 HGL , Vehicle , Mitsubishi , L200 K74</t>
        </is>
      </c>
      <c r="F1824" t="inlineStr">
        <is>
          <t>PE07 HGL , Vehicle , Mitsubishi , L200 K74</t>
        </is>
      </c>
      <c r="G1824" t="inlineStr">
        <is>
          <t>Max</t>
        </is>
      </c>
      <c r="H1824" t="inlineStr">
        <is>
          <t>Pickup Truck</t>
        </is>
      </c>
      <c r="I1824" t="inlineStr">
        <is>
          <t>Daily/ Weekly Vehicle Inspection</t>
        </is>
      </c>
      <c r="J1824" t="inlineStr">
        <is>
          <t>N/A</t>
        </is>
      </c>
      <c r="K1824" t="inlineStr">
        <is>
          <t>7996 M G Tree Surgery Ltd</t>
        </is>
      </c>
      <c r="L1824" t="inlineStr">
        <is>
          <t>19/10/2025 07:28</t>
        </is>
      </c>
      <c r="M1824" t="inlineStr">
        <is>
          <t>None</t>
        </is>
      </c>
      <c r="N1824" t="inlineStr">
        <is>
          <t>&lt;p&gt;&lt;/p&gt;</t>
        </is>
      </c>
      <c r="O1824" t="inlineStr"/>
      <c r="P1824" t="inlineStr">
        <is>
          <t>PE07 HGL , Vehicle , Mitsubishi , L200 K74</t>
        </is>
      </c>
      <c r="Q1824" t="inlineStr">
        <is>
          <t>UKPN</t>
        </is>
      </c>
      <c r="R1824" t="b">
        <v>0</v>
      </c>
    </row>
    <row r="1825">
      <c r="A1825" t="inlineStr">
        <is>
          <t>19 Oct 2025 / Anthony Gale / Utilities / UKPN</t>
        </is>
      </c>
      <c r="B1825" t="inlineStr">
        <is>
          <t>Utilities</t>
        </is>
      </c>
      <c r="C1825" t="inlineStr">
        <is>
          <t>UKPN</t>
        </is>
      </c>
      <c r="D1825" t="inlineStr">
        <is>
          <t>GU13 WNL , MEWP , Land Rover , Defender 130</t>
        </is>
      </c>
      <c r="E1825" t="inlineStr">
        <is>
          <t>GU13 WNL , MEWP , Land Rover , Defender 130</t>
        </is>
      </c>
      <c r="F1825" t="inlineStr">
        <is>
          <t>GU13 WNL , MEWP , Land Rover , Defender 130</t>
        </is>
      </c>
      <c r="G1825" t="inlineStr">
        <is>
          <t xml:space="preserve">Anthony Gale </t>
        </is>
      </c>
      <c r="H1825" t="inlineStr">
        <is>
          <t>4x4</t>
        </is>
      </c>
      <c r="I1825" t="inlineStr">
        <is>
          <t>Daily/ Weekly Vehicle Inspection</t>
        </is>
      </c>
      <c r="J1825" t="inlineStr">
        <is>
          <t>N/A</t>
        </is>
      </c>
      <c r="K1825" t="inlineStr">
        <is>
          <t>7996 M G Tree Surgery Ltd 1</t>
        </is>
      </c>
      <c r="L1825" t="inlineStr">
        <is>
          <t>19/10/2025 07:29</t>
        </is>
      </c>
      <c r="M1825" t="inlineStr">
        <is>
          <t>None</t>
        </is>
      </c>
      <c r="N1825" t="inlineStr">
        <is>
          <t>&lt;p&gt;&lt;/p&gt;</t>
        </is>
      </c>
      <c r="O1825" t="inlineStr"/>
      <c r="P1825" t="inlineStr">
        <is>
          <t>GU13 WNL , MEWP , Land Rover , Defender 130</t>
        </is>
      </c>
      <c r="Q1825" t="inlineStr">
        <is>
          <t>UKPN</t>
        </is>
      </c>
      <c r="R1825" t="b">
        <v>0</v>
      </c>
    </row>
    <row r="1826">
      <c r="A1826" t="inlineStr">
        <is>
          <t>19 Oct 2025 / 7806 Optimum Tree Services Ltd / Utilities / UKPN</t>
        </is>
      </c>
      <c r="B1826" t="inlineStr">
        <is>
          <t>Utilities</t>
        </is>
      </c>
      <c r="C1826" t="inlineStr">
        <is>
          <t>UKPN</t>
        </is>
      </c>
      <c r="D1826" t="inlineStr">
        <is>
          <t>SA9ST800000283069 , Chipper , Forst , ST 6P</t>
        </is>
      </c>
      <c r="E1826" t="inlineStr">
        <is>
          <t>SA9ST800000283069 , Chipper , Forst , ST 6P</t>
        </is>
      </c>
      <c r="F1826" t="inlineStr">
        <is>
          <t>SA9ST800000283069 , Chipper , Forst , ST 6P</t>
        </is>
      </c>
      <c r="G1826" t="inlineStr">
        <is>
          <t xml:space="preserve">Tommy frasle </t>
        </is>
      </c>
      <c r="H1826" t="inlineStr">
        <is>
          <t>Towed Chipper</t>
        </is>
      </c>
      <c r="I1826" t="inlineStr">
        <is>
          <t>Daily/ Weekly Vehicle Inspection</t>
        </is>
      </c>
      <c r="J1826" t="inlineStr">
        <is>
          <t>N/A</t>
        </is>
      </c>
      <c r="K1826" t="inlineStr">
        <is>
          <t>7806 Optimum Tree Services Ltd</t>
        </is>
      </c>
      <c r="L1826" t="inlineStr">
        <is>
          <t>19/10/2025 08:28</t>
        </is>
      </c>
      <c r="M1826" t="inlineStr">
        <is>
          <t>None</t>
        </is>
      </c>
      <c r="N1826" t="inlineStr">
        <is>
          <t>&lt;p&gt;&lt;/p&gt;</t>
        </is>
      </c>
      <c r="O1826" t="inlineStr"/>
      <c r="P1826" t="inlineStr">
        <is>
          <t>SA9ST800000283069 , Chipper , Forst , ST 6P</t>
        </is>
      </c>
      <c r="Q1826" t="inlineStr">
        <is>
          <t>UKPN</t>
        </is>
      </c>
      <c r="R1826" t="b">
        <v>0</v>
      </c>
    </row>
    <row r="1827">
      <c r="A1827" t="inlineStr">
        <is>
          <t>19 Oct 2025 / 7806 Optimum Tree Services Ltd / Utilities / UKPN</t>
        </is>
      </c>
      <c r="B1827" t="inlineStr">
        <is>
          <t>Utilities</t>
        </is>
      </c>
      <c r="C1827" t="inlineStr">
        <is>
          <t>UKPN</t>
        </is>
      </c>
      <c r="D1827" t="inlineStr">
        <is>
          <t>Tipper - Ford  - Transit - Xt12ees</t>
        </is>
      </c>
      <c r="E1827" t="inlineStr">
        <is>
          <t>Tipper - Ford  - Transit - Xt12ees</t>
        </is>
      </c>
      <c r="F1827" t="inlineStr">
        <is>
          <t>Tipper - Ford  - Transit - Xt12ees</t>
        </is>
      </c>
      <c r="G1827" t="inlineStr">
        <is>
          <t xml:space="preserve">Tommy frasle </t>
        </is>
      </c>
      <c r="H1827" t="inlineStr">
        <is>
          <t>Tipper</t>
        </is>
      </c>
      <c r="I1827" t="inlineStr">
        <is>
          <t>Daily/ Weekly Vehicle Inspection</t>
        </is>
      </c>
      <c r="J1827" t="inlineStr">
        <is>
          <t>N/A</t>
        </is>
      </c>
      <c r="K1827" t="inlineStr">
        <is>
          <t>7806 Optimum Tree Services Ltd</t>
        </is>
      </c>
      <c r="L1827" t="inlineStr">
        <is>
          <t>19/10/2025 08:29</t>
        </is>
      </c>
      <c r="M1827" t="inlineStr">
        <is>
          <t>None</t>
        </is>
      </c>
      <c r="N1827" t="inlineStr">
        <is>
          <t>&lt;p&gt;&lt;/p&gt;</t>
        </is>
      </c>
      <c r="O1827" t="inlineStr"/>
      <c r="P1827" t="inlineStr">
        <is>
          <t>Tipper - Ford  - Transit - Xt12ees</t>
        </is>
      </c>
      <c r="Q1827" t="inlineStr">
        <is>
          <t>UKPN</t>
        </is>
      </c>
      <c r="R1827" t="b">
        <v>0</v>
      </c>
    </row>
    <row r="1828">
      <c r="A1828" t="inlineStr">
        <is>
          <t>19 Oct 2025 / 7806 Optimum Tree Services Ltd / Utilities / UKPN</t>
        </is>
      </c>
      <c r="B1828" t="inlineStr">
        <is>
          <t>Utilities</t>
        </is>
      </c>
      <c r="C1828" t="inlineStr">
        <is>
          <t>UKPN</t>
        </is>
      </c>
      <c r="D1828" t="inlineStr">
        <is>
          <t>4x4 - Landrover  - Defender  - Wd14evn</t>
        </is>
      </c>
      <c r="E1828" t="inlineStr">
        <is>
          <t>4x4 - Landrover  - Defender  - Wd14evn</t>
        </is>
      </c>
      <c r="F1828" t="inlineStr">
        <is>
          <t>4x4 - Landrover  - Defender  - Wd14evn</t>
        </is>
      </c>
      <c r="G1828" t="inlineStr">
        <is>
          <t xml:space="preserve">Abraham Davies </t>
        </is>
      </c>
      <c r="H1828" t="inlineStr">
        <is>
          <t>4x4</t>
        </is>
      </c>
      <c r="I1828" t="inlineStr">
        <is>
          <t>Daily/ Weekly Vehicle Inspection</t>
        </is>
      </c>
      <c r="J1828" t="inlineStr">
        <is>
          <t>N/A</t>
        </is>
      </c>
      <c r="K1828" t="inlineStr">
        <is>
          <t>7806 Optimum Tree Services Ltd</t>
        </is>
      </c>
      <c r="L1828" t="inlineStr">
        <is>
          <t>19/10/2025 08:30</t>
        </is>
      </c>
      <c r="M1828" t="inlineStr">
        <is>
          <t>None</t>
        </is>
      </c>
      <c r="N1828" t="inlineStr">
        <is>
          <t>&lt;p&gt;&lt;/p&gt;</t>
        </is>
      </c>
      <c r="O1828" t="inlineStr"/>
      <c r="P1828" t="inlineStr">
        <is>
          <t>4x4 - Landrover  - Defender  - Wd14evn</t>
        </is>
      </c>
      <c r="Q1828" t="inlineStr">
        <is>
          <t>UKPN</t>
        </is>
      </c>
      <c r="R1828" t="b">
        <v>0</v>
      </c>
    </row>
    <row r="1829">
      <c r="A1829" t="inlineStr">
        <is>
          <t>19 Oct 2025 / 7806 Optimum Tree Services Ltd / Utilities / UKPN</t>
        </is>
      </c>
      <c r="B1829" t="inlineStr">
        <is>
          <t>Utilities</t>
        </is>
      </c>
      <c r="C1829" t="inlineStr">
        <is>
          <t>UKPN</t>
        </is>
      </c>
      <c r="D1829" t="inlineStr">
        <is>
          <t>WD14EVB , MEWP , Land Rover , Defender</t>
        </is>
      </c>
      <c r="E1829" t="inlineStr">
        <is>
          <t>WD14EVB , MEWP , Land Rover , Defender</t>
        </is>
      </c>
      <c r="F1829" t="inlineStr">
        <is>
          <t>WD14EVB , MEWP , Land Rover , Defender</t>
        </is>
      </c>
      <c r="G1829" t="inlineStr">
        <is>
          <t xml:space="preserve">Abraham Davies </t>
        </is>
      </c>
      <c r="H1829" t="inlineStr">
        <is>
          <t>4x4</t>
        </is>
      </c>
      <c r="I1829" t="inlineStr">
        <is>
          <t>Daily/ Weekly Vehicle Inspection</t>
        </is>
      </c>
      <c r="J1829" t="inlineStr">
        <is>
          <t>N/A</t>
        </is>
      </c>
      <c r="K1829" t="inlineStr">
        <is>
          <t>7806 Optimum Tree Services Ltd</t>
        </is>
      </c>
      <c r="L1829" t="inlineStr">
        <is>
          <t>19/10/2025 08:30</t>
        </is>
      </c>
      <c r="M1829" t="inlineStr">
        <is>
          <t>None</t>
        </is>
      </c>
      <c r="N1829" t="inlineStr">
        <is>
          <t>&lt;p&gt;&lt;/p&gt;</t>
        </is>
      </c>
      <c r="O1829" t="inlineStr"/>
      <c r="P1829" t="inlineStr">
        <is>
          <t>WD14EVB , MEWP , Land Rover , Defender</t>
        </is>
      </c>
      <c r="Q1829" t="inlineStr">
        <is>
          <t>UKPN</t>
        </is>
      </c>
      <c r="R1829" t="b">
        <v>0</v>
      </c>
    </row>
    <row r="1830">
      <c r="A1830" t="inlineStr">
        <is>
          <t>17 Oct 2025 / Joshua Atkins / Utilities / UKPN</t>
        </is>
      </c>
      <c r="B1830" t="inlineStr">
        <is>
          <t>Utilities</t>
        </is>
      </c>
      <c r="C1830" t="inlineStr">
        <is>
          <t>UKPN</t>
        </is>
      </c>
      <c r="D1830" t="inlineStr"/>
      <c r="E1830" t="inlineStr"/>
      <c r="F1830" t="inlineStr"/>
      <c r="G1830" t="inlineStr">
        <is>
          <t>Joshua Atkins</t>
        </is>
      </c>
      <c r="H1830" t="inlineStr">
        <is>
          <t>Car - Petrol</t>
        </is>
      </c>
      <c r="I1830" t="inlineStr">
        <is>
          <t>Monthly Vehicle Inspection</t>
        </is>
      </c>
      <c r="J1830" t="inlineStr">
        <is>
          <t>5561</t>
        </is>
      </c>
      <c r="K1830" t="inlineStr">
        <is>
          <t>Joshua Atkins</t>
        </is>
      </c>
      <c r="L1830" t="inlineStr">
        <is>
          <t>19/10/2025 10:48</t>
        </is>
      </c>
      <c r="M1830" t="inlineStr">
        <is>
          <t>None</t>
        </is>
      </c>
      <c r="N1830" t="inlineStr">
        <is>
          <t>&lt;p&gt;&lt;/p&gt;</t>
        </is>
      </c>
      <c r="O1830" t="inlineStr"/>
      <c r="P1830" t="inlineStr"/>
      <c r="Q1830" t="inlineStr">
        <is>
          <t>UKPN</t>
        </is>
      </c>
      <c r="R1830" t="b">
        <v>0</v>
      </c>
    </row>
    <row r="1831">
      <c r="A1831" t="inlineStr">
        <is>
          <t>20 Oct 2025 / Thomas Nandi / Utilities / SSE</t>
        </is>
      </c>
      <c r="B1831" t="inlineStr">
        <is>
          <t>Utilities</t>
        </is>
      </c>
      <c r="C1831" t="inlineStr">
        <is>
          <t>SSE</t>
        </is>
      </c>
      <c r="D1831" t="inlineStr"/>
      <c r="E1831" t="inlineStr"/>
      <c r="F1831" t="inlineStr"/>
      <c r="G1831" t="inlineStr">
        <is>
          <t xml:space="preserve">Tom Nandi </t>
        </is>
      </c>
      <c r="H1831" t="inlineStr">
        <is>
          <t>Car - Petrol</t>
        </is>
      </c>
      <c r="I1831" t="inlineStr">
        <is>
          <t>Daily/ Weekly Vehicle Inspection</t>
        </is>
      </c>
      <c r="J1831" t="inlineStr">
        <is>
          <t>N/A</t>
        </is>
      </c>
      <c r="K1831" t="inlineStr">
        <is>
          <t>Thomas Nandi</t>
        </is>
      </c>
      <c r="L1831" t="inlineStr">
        <is>
          <t>20/10/2025 07:29</t>
        </is>
      </c>
      <c r="M1831" t="inlineStr">
        <is>
          <t>None</t>
        </is>
      </c>
      <c r="N1831" t="inlineStr">
        <is>
          <t>&lt;p&gt;&lt;/p&gt;</t>
        </is>
      </c>
      <c r="O1831" t="inlineStr"/>
      <c r="P1831" t="inlineStr"/>
      <c r="Q1831" t="inlineStr">
        <is>
          <t>SSE</t>
        </is>
      </c>
      <c r="R1831" t="b">
        <v>0</v>
      </c>
    </row>
    <row r="1832">
      <c r="A1832" t="inlineStr">
        <is>
          <t>20 Oct 2025 / 7806 Optimum Tree Services Ltd / Utilities / UKPN</t>
        </is>
      </c>
      <c r="B1832" t="inlineStr">
        <is>
          <t>Utilities</t>
        </is>
      </c>
      <c r="C1832" t="inlineStr">
        <is>
          <t>UKPN</t>
        </is>
      </c>
      <c r="D1832" t="inlineStr">
        <is>
          <t>SA9ST800000283069 , Chipper , Forst , ST 6P</t>
        </is>
      </c>
      <c r="E1832" t="inlineStr">
        <is>
          <t>SA9ST800000283069 , Chipper , Forst , ST 6P</t>
        </is>
      </c>
      <c r="F1832" t="inlineStr">
        <is>
          <t>SA9ST800000283069 , Chipper , Forst , ST 6P</t>
        </is>
      </c>
      <c r="G1832" t="inlineStr">
        <is>
          <t xml:space="preserve">Tommy frasle </t>
        </is>
      </c>
      <c r="H1832" t="inlineStr">
        <is>
          <t>Towed Chipper</t>
        </is>
      </c>
      <c r="I1832" t="inlineStr">
        <is>
          <t>Daily/ Weekly Vehicle Inspection</t>
        </is>
      </c>
      <c r="J1832" t="inlineStr">
        <is>
          <t>N/A</t>
        </is>
      </c>
      <c r="K1832" t="inlineStr">
        <is>
          <t>7806 Optimum Tree Services Ltd</t>
        </is>
      </c>
      <c r="L1832" t="inlineStr">
        <is>
          <t>20/10/2025 07:29</t>
        </is>
      </c>
      <c r="M1832" t="inlineStr">
        <is>
          <t>None</t>
        </is>
      </c>
      <c r="N1832" t="inlineStr">
        <is>
          <t>&lt;p&gt;&lt;/p&gt;</t>
        </is>
      </c>
      <c r="O1832" t="inlineStr"/>
      <c r="P1832" t="inlineStr">
        <is>
          <t>SA9ST800000283069 , Chipper , Forst , ST 6P</t>
        </is>
      </c>
      <c r="Q1832" t="inlineStr">
        <is>
          <t>UKPN</t>
        </is>
      </c>
      <c r="R1832" t="b">
        <v>0</v>
      </c>
    </row>
    <row r="1833">
      <c r="A1833" t="inlineStr">
        <is>
          <t>20 Oct 2025 / 7806 Optimum Tree Services Ltd / Utilities / UKPN</t>
        </is>
      </c>
      <c r="B1833" t="inlineStr">
        <is>
          <t>Utilities</t>
        </is>
      </c>
      <c r="C1833" t="inlineStr">
        <is>
          <t>UKPN</t>
        </is>
      </c>
      <c r="D1833" t="inlineStr">
        <is>
          <t>Tipper - Ford  - Transit - Xt12ees</t>
        </is>
      </c>
      <c r="E1833" t="inlineStr">
        <is>
          <t>Tipper - Ford  - Transit - Xt12ees</t>
        </is>
      </c>
      <c r="F1833" t="inlineStr">
        <is>
          <t>Tipper - Ford  - Transit - Xt12ees</t>
        </is>
      </c>
      <c r="G1833" t="inlineStr">
        <is>
          <t xml:space="preserve">Tommy frasle </t>
        </is>
      </c>
      <c r="H1833" t="inlineStr">
        <is>
          <t>Tipper</t>
        </is>
      </c>
      <c r="I1833" t="inlineStr">
        <is>
          <t>Daily/ Weekly Vehicle Inspection</t>
        </is>
      </c>
      <c r="J1833" t="inlineStr">
        <is>
          <t>N/A</t>
        </is>
      </c>
      <c r="K1833" t="inlineStr">
        <is>
          <t>7806 Optimum Tree Services Ltd</t>
        </is>
      </c>
      <c r="L1833" t="inlineStr">
        <is>
          <t>20/10/2025 07:30</t>
        </is>
      </c>
      <c r="M1833" t="inlineStr">
        <is>
          <t>None</t>
        </is>
      </c>
      <c r="N1833" t="inlineStr">
        <is>
          <t>&lt;p&gt;&lt;/p&gt;</t>
        </is>
      </c>
      <c r="O1833" t="inlineStr"/>
      <c r="P1833" t="inlineStr">
        <is>
          <t>Tipper - Ford  - Transit - Xt12ees</t>
        </is>
      </c>
      <c r="Q1833" t="inlineStr">
        <is>
          <t>UKPN</t>
        </is>
      </c>
      <c r="R1833" t="b">
        <v>0</v>
      </c>
    </row>
    <row r="1834">
      <c r="A1834" t="inlineStr">
        <is>
          <t>20 Oct 2025 / 7806 Optimum Tree Services Ltd / Utilities / UKPN</t>
        </is>
      </c>
      <c r="B1834" t="inlineStr">
        <is>
          <t>Utilities</t>
        </is>
      </c>
      <c r="C1834" t="inlineStr">
        <is>
          <t>UKPN</t>
        </is>
      </c>
      <c r="D1834" t="inlineStr">
        <is>
          <t>4x4 - Landrover  - Defender  - Wd14evn</t>
        </is>
      </c>
      <c r="E1834" t="inlineStr">
        <is>
          <t>4x4 - Landrover  - Defender  - Wd14evn</t>
        </is>
      </c>
      <c r="F1834" t="inlineStr">
        <is>
          <t>4x4 - Landrover  - Defender  - Wd14evn</t>
        </is>
      </c>
      <c r="G1834" t="inlineStr">
        <is>
          <t xml:space="preserve">Abraham Davies </t>
        </is>
      </c>
      <c r="H1834" t="inlineStr">
        <is>
          <t>4x4</t>
        </is>
      </c>
      <c r="I1834" t="inlineStr">
        <is>
          <t>Daily/ Weekly Vehicle Inspection</t>
        </is>
      </c>
      <c r="J1834" t="inlineStr">
        <is>
          <t>N/A</t>
        </is>
      </c>
      <c r="K1834" t="inlineStr">
        <is>
          <t>7806 Optimum Tree Services Ltd</t>
        </is>
      </c>
      <c r="L1834" t="inlineStr">
        <is>
          <t>20/10/2025 07:31</t>
        </is>
      </c>
      <c r="M1834" t="inlineStr">
        <is>
          <t>None</t>
        </is>
      </c>
      <c r="N1834" t="inlineStr">
        <is>
          <t>&lt;p&gt;&lt;/p&gt;</t>
        </is>
      </c>
      <c r="O1834" t="inlineStr"/>
      <c r="P1834" t="inlineStr">
        <is>
          <t>4x4 - Landrover  - Defender  - Wd14evn</t>
        </is>
      </c>
      <c r="Q1834" t="inlineStr">
        <is>
          <t>UKPN</t>
        </is>
      </c>
      <c r="R1834" t="b">
        <v>0</v>
      </c>
    </row>
    <row r="1835">
      <c r="A1835" t="inlineStr">
        <is>
          <t>20 Oct 2025 / 7806 Optimum Tree Services Ltd / Utilities / UKPN</t>
        </is>
      </c>
      <c r="B1835" t="inlineStr">
        <is>
          <t>Utilities</t>
        </is>
      </c>
      <c r="C1835" t="inlineStr">
        <is>
          <t>UKPN</t>
        </is>
      </c>
      <c r="D1835" t="inlineStr">
        <is>
          <t>WD14EVB , MEWP , Land Rover , Defender</t>
        </is>
      </c>
      <c r="E1835" t="inlineStr">
        <is>
          <t>WD14EVB , MEWP , Land Rover , Defender</t>
        </is>
      </c>
      <c r="F1835" t="inlineStr">
        <is>
          <t>WD14EVB , MEWP , Land Rover , Defender</t>
        </is>
      </c>
      <c r="G1835" t="inlineStr">
        <is>
          <t xml:space="preserve">Abraham Davies </t>
        </is>
      </c>
      <c r="H1835" t="inlineStr">
        <is>
          <t>4x4</t>
        </is>
      </c>
      <c r="I1835" t="inlineStr">
        <is>
          <t>Daily/ Weekly Vehicle Inspection</t>
        </is>
      </c>
      <c r="J1835" t="inlineStr">
        <is>
          <t>N/A</t>
        </is>
      </c>
      <c r="K1835" t="inlineStr">
        <is>
          <t>7806 Optimum Tree Services Ltd</t>
        </is>
      </c>
      <c r="L1835" t="inlineStr">
        <is>
          <t>20/10/2025 07:31</t>
        </is>
      </c>
      <c r="M1835" t="inlineStr">
        <is>
          <t>None</t>
        </is>
      </c>
      <c r="N1835" t="inlineStr">
        <is>
          <t>&lt;p&gt;&lt;/p&gt;</t>
        </is>
      </c>
      <c r="O1835" t="inlineStr"/>
      <c r="P1835" t="inlineStr">
        <is>
          <t>WD14EVB , MEWP , Land Rover , Defender</t>
        </is>
      </c>
      <c r="Q1835" t="inlineStr">
        <is>
          <t>UKPN</t>
        </is>
      </c>
      <c r="R1835" t="b">
        <v>0</v>
      </c>
    </row>
    <row r="1836">
      <c r="A1836" t="inlineStr">
        <is>
          <t>20 Oct 2025 / Anthony Gale / Utilities / UKPN</t>
        </is>
      </c>
      <c r="B1836" t="inlineStr">
        <is>
          <t>Utilities</t>
        </is>
      </c>
      <c r="C1836" t="inlineStr">
        <is>
          <t>UKPN</t>
        </is>
      </c>
      <c r="D1836" t="inlineStr">
        <is>
          <t>GU13 WNL , MEWP , Land Rover , Defender 130</t>
        </is>
      </c>
      <c r="E1836" t="inlineStr">
        <is>
          <t>GU13 WNL , MEWP , Land Rover , Defender 130</t>
        </is>
      </c>
      <c r="F1836" t="inlineStr">
        <is>
          <t>GU13 WNL , MEWP , Land Rover , Defender 130</t>
        </is>
      </c>
      <c r="G1836" t="inlineStr">
        <is>
          <t xml:space="preserve">Anthony Gale </t>
        </is>
      </c>
      <c r="H1836" t="inlineStr">
        <is>
          <t>4x4</t>
        </is>
      </c>
      <c r="I1836" t="inlineStr">
        <is>
          <t>Daily/ Weekly Vehicle Inspection</t>
        </is>
      </c>
      <c r="J1836" t="inlineStr">
        <is>
          <t>N/A</t>
        </is>
      </c>
      <c r="K1836" t="inlineStr">
        <is>
          <t>7996 M G Tree Surgery Ltd 1</t>
        </is>
      </c>
      <c r="L1836" t="inlineStr">
        <is>
          <t>20/10/2025 07:32</t>
        </is>
      </c>
      <c r="M1836" t="inlineStr">
        <is>
          <t>None</t>
        </is>
      </c>
      <c r="N1836" t="inlineStr">
        <is>
          <t>&lt;p&gt;&lt;/p&gt;</t>
        </is>
      </c>
      <c r="O1836" t="inlineStr"/>
      <c r="P1836" t="inlineStr">
        <is>
          <t>GU13 WNL , MEWP , Land Rover , Defender 130</t>
        </is>
      </c>
      <c r="Q1836" t="inlineStr">
        <is>
          <t>UKPN</t>
        </is>
      </c>
      <c r="R1836" t="b">
        <v>0</v>
      </c>
    </row>
    <row r="1837">
      <c r="A1837" t="inlineStr">
        <is>
          <t>20 Oct 2025 / Anthony Gale / Utilities / UKPN</t>
        </is>
      </c>
      <c r="B1837" t="inlineStr">
        <is>
          <t>Utilities</t>
        </is>
      </c>
      <c r="C1837" t="inlineStr">
        <is>
          <t>UKPN</t>
        </is>
      </c>
      <c r="D1837" t="inlineStr"/>
      <c r="E1837" t="inlineStr"/>
      <c r="F1837" t="inlineStr"/>
      <c r="G1837" t="inlineStr"/>
      <c r="H1837" t="inlineStr"/>
      <c r="I1837" t="inlineStr"/>
      <c r="J1837" t="inlineStr">
        <is>
          <t>N/A</t>
        </is>
      </c>
      <c r="K1837" t="inlineStr">
        <is>
          <t>7996 M G Tree Surgery Ltd 1</t>
        </is>
      </c>
      <c r="L1837" t="inlineStr">
        <is>
          <t>20/10/2025 07:32</t>
        </is>
      </c>
      <c r="M1837" t="inlineStr">
        <is>
          <t>None</t>
        </is>
      </c>
      <c r="N1837" t="inlineStr">
        <is>
          <t>&lt;p&gt;&lt;/p&gt;</t>
        </is>
      </c>
      <c r="O1837" t="inlineStr"/>
      <c r="P1837" t="inlineStr"/>
      <c r="Q1837" t="inlineStr">
        <is>
          <t>UKPN</t>
        </is>
      </c>
      <c r="R1837" t="b">
        <v>0</v>
      </c>
    </row>
    <row r="1838">
      <c r="A1838" t="inlineStr">
        <is>
          <t>20 Oct 2025 / Thomas Playford / Utilities / UKPN</t>
        </is>
      </c>
      <c r="B1838" t="inlineStr">
        <is>
          <t>Utilities</t>
        </is>
      </c>
      <c r="C1838" t="inlineStr">
        <is>
          <t>UKPN</t>
        </is>
      </c>
      <c r="D1838" t="inlineStr">
        <is>
          <t>Equipment Trailer - I For Williams Custom - Chipper Trailer - 47336638</t>
        </is>
      </c>
      <c r="E1838" t="inlineStr">
        <is>
          <t>Equipment Trailer - I For Williams Custom - Chipper Trailer - 47336638</t>
        </is>
      </c>
      <c r="F1838" t="inlineStr">
        <is>
          <t>Equipment Trailer - I For Williams Custom - Chipper Trailer - 47336638</t>
        </is>
      </c>
      <c r="G1838" t="inlineStr">
        <is>
          <t>Jacob Oram</t>
        </is>
      </c>
      <c r="H1838" t="inlineStr">
        <is>
          <t>Plant Trailer</t>
        </is>
      </c>
      <c r="I1838" t="inlineStr">
        <is>
          <t>Daily/ Weekly Vehicle Inspection</t>
        </is>
      </c>
      <c r="J1838" t="inlineStr">
        <is>
          <t>N/A</t>
        </is>
      </c>
      <c r="K1838" t="inlineStr">
        <is>
          <t>7995 Contour Landscapes Ltd 2</t>
        </is>
      </c>
      <c r="L1838" t="inlineStr">
        <is>
          <t>20/10/2025 07:34</t>
        </is>
      </c>
      <c r="M1838" t="inlineStr">
        <is>
          <t>None</t>
        </is>
      </c>
      <c r="N1838" t="inlineStr">
        <is>
          <t>&lt;p&gt;&lt;/p&gt;</t>
        </is>
      </c>
      <c r="O1838" t="inlineStr"/>
      <c r="P1838" t="inlineStr">
        <is>
          <t>Equipment Trailer - I For Williams Custom - Chipper Trailer - 47336638</t>
        </is>
      </c>
      <c r="Q1838" t="inlineStr">
        <is>
          <t>UKPN</t>
        </is>
      </c>
      <c r="R1838" t="b">
        <v>0</v>
      </c>
    </row>
    <row r="1839">
      <c r="A1839" t="inlineStr">
        <is>
          <t>20 Oct 2025 / Thomas Playford / Utilities / UKPN</t>
        </is>
      </c>
      <c r="B1839" t="inlineStr">
        <is>
          <t>Utilities</t>
        </is>
      </c>
      <c r="C1839" t="inlineStr">
        <is>
          <t>UKPN</t>
        </is>
      </c>
      <c r="D1839" t="inlineStr">
        <is>
          <t>YP24 WRD , Vehicle , Ford , Ranger</t>
        </is>
      </c>
      <c r="E1839" t="inlineStr">
        <is>
          <t>YP24 WRD , Vehicle , Ford , Ranger</t>
        </is>
      </c>
      <c r="F1839" t="inlineStr">
        <is>
          <t>YP24 WRD , Vehicle , Ford , Ranger</t>
        </is>
      </c>
      <c r="G1839" t="inlineStr">
        <is>
          <t>Jacob Oram</t>
        </is>
      </c>
      <c r="H1839" t="inlineStr">
        <is>
          <t>4x4</t>
        </is>
      </c>
      <c r="I1839" t="inlineStr">
        <is>
          <t>Daily/ Weekly Vehicle Inspection</t>
        </is>
      </c>
      <c r="J1839" t="inlineStr">
        <is>
          <t>N/A</t>
        </is>
      </c>
      <c r="K1839" t="inlineStr">
        <is>
          <t>7995 Contour Landscapes Ltd 2</t>
        </is>
      </c>
      <c r="L1839" t="inlineStr">
        <is>
          <t>20/10/2025 07:35</t>
        </is>
      </c>
      <c r="M1839" t="inlineStr">
        <is>
          <t>None</t>
        </is>
      </c>
      <c r="N1839" t="inlineStr">
        <is>
          <t>&lt;p&gt;&lt;/p&gt;</t>
        </is>
      </c>
      <c r="O1839" t="inlineStr"/>
      <c r="P1839" t="inlineStr">
        <is>
          <t>YP24 WRD , Vehicle , Ford , Ranger</t>
        </is>
      </c>
      <c r="Q1839" t="inlineStr">
        <is>
          <t>UKPN</t>
        </is>
      </c>
      <c r="R1839" t="b">
        <v>0</v>
      </c>
    </row>
    <row r="1840">
      <c r="A1840" t="inlineStr">
        <is>
          <t>20 Oct 2025 / 7800 MAC Tree Surgery and Fencing Ltd / Utilities / UKPN</t>
        </is>
      </c>
      <c r="B1840" t="inlineStr">
        <is>
          <t>Utilities</t>
        </is>
      </c>
      <c r="C1840" t="inlineStr">
        <is>
          <t>UKPN</t>
        </is>
      </c>
      <c r="D1840" t="inlineStr">
        <is>
          <t>Towed Chipper - Forst  - ST6 p - N/a</t>
        </is>
      </c>
      <c r="E1840" t="inlineStr">
        <is>
          <t>Towed Chipper - Forst  - ST6 p - N/a</t>
        </is>
      </c>
      <c r="F1840" t="inlineStr">
        <is>
          <t>Towed Chipper - Forst  - ST6 p - N/a</t>
        </is>
      </c>
      <c r="G1840" t="inlineStr">
        <is>
          <t xml:space="preserve">Lewis </t>
        </is>
      </c>
      <c r="H1840" t="inlineStr">
        <is>
          <t>Towed Chipper</t>
        </is>
      </c>
      <c r="I1840" t="inlineStr">
        <is>
          <t>Daily/ Weekly Vehicle Inspection</t>
        </is>
      </c>
      <c r="J1840" t="inlineStr">
        <is>
          <t>N/A</t>
        </is>
      </c>
      <c r="K1840" t="inlineStr">
        <is>
          <t>7800 MAC Tree Surgery and Fencing Ltd</t>
        </is>
      </c>
      <c r="L1840" t="inlineStr">
        <is>
          <t>20/10/2025 07:37</t>
        </is>
      </c>
      <c r="M1840" t="inlineStr">
        <is>
          <t>None</t>
        </is>
      </c>
      <c r="N1840" t="inlineStr">
        <is>
          <t>&lt;p&gt;&lt;/p&gt;</t>
        </is>
      </c>
      <c r="O1840" t="inlineStr"/>
      <c r="P1840" t="inlineStr">
        <is>
          <t>Towed Chipper - Forst  - ST6 p - N/a</t>
        </is>
      </c>
      <c r="Q1840" t="inlineStr">
        <is>
          <t>UKPN</t>
        </is>
      </c>
      <c r="R1840" t="b">
        <v>0</v>
      </c>
    </row>
    <row r="1841">
      <c r="A1841" t="inlineStr">
        <is>
          <t>20 Oct 2025 / 7800 MAC Tree Surgery and Fencing Ltd / Utilities / UKPN</t>
        </is>
      </c>
      <c r="B1841" t="inlineStr">
        <is>
          <t>Utilities</t>
        </is>
      </c>
      <c r="C1841" t="inlineStr">
        <is>
          <t>UKPN</t>
        </is>
      </c>
      <c r="D1841" t="inlineStr">
        <is>
          <t>AY68DAA , 4x4 , Izuzu , Dmax</t>
        </is>
      </c>
      <c r="E1841" t="inlineStr">
        <is>
          <t>AY68DAA , 4x4 , Izuzu , Dmax</t>
        </is>
      </c>
      <c r="F1841" t="inlineStr">
        <is>
          <t>AY68DAA , 4x4 , Izuzu , Dmax</t>
        </is>
      </c>
      <c r="G1841" t="inlineStr">
        <is>
          <t xml:space="preserve">Lewis Mac </t>
        </is>
      </c>
      <c r="H1841" t="inlineStr">
        <is>
          <t>4x4</t>
        </is>
      </c>
      <c r="I1841" t="inlineStr">
        <is>
          <t>Daily/ Weekly Vehicle Inspection</t>
        </is>
      </c>
      <c r="J1841" t="inlineStr">
        <is>
          <t>N/A</t>
        </is>
      </c>
      <c r="K1841" t="inlineStr">
        <is>
          <t>7800 MAC Tree Surgery and Fencing Ltd</t>
        </is>
      </c>
      <c r="L1841" t="inlineStr">
        <is>
          <t>20/10/2025 07:38</t>
        </is>
      </c>
      <c r="M1841" t="inlineStr">
        <is>
          <t>None</t>
        </is>
      </c>
      <c r="N1841" t="inlineStr">
        <is>
          <t>&lt;p&gt;&lt;/p&gt;</t>
        </is>
      </c>
      <c r="O1841" t="inlineStr"/>
      <c r="P1841" t="inlineStr">
        <is>
          <t>AY68DAA , 4x4 , Izuzu , Dmax</t>
        </is>
      </c>
      <c r="Q1841" t="inlineStr">
        <is>
          <t>UKPN</t>
        </is>
      </c>
      <c r="R1841" t="b">
        <v>0</v>
      </c>
    </row>
    <row r="1842">
      <c r="A1842" t="inlineStr">
        <is>
          <t>20 Oct 2025 / 7889 Tree Tech Suffolk Ltd</t>
        </is>
      </c>
      <c r="B1842" t="inlineStr">
        <is>
          <t>Utilities &amp; Inland Waterways</t>
        </is>
      </c>
      <c r="C1842" t="inlineStr">
        <is>
          <t>UKPN</t>
        </is>
      </c>
      <c r="D1842" t="inlineStr">
        <is>
          <t>Tow Chipper - Jenson - A530L - 55210639484x4 - Isuzu - D-max - NS03 TTSTipper - Mercedes - Sprinter - NS06TTS</t>
        </is>
      </c>
      <c r="E1842" t="inlineStr">
        <is>
          <t>Tow Chipper - Jenson - A530L - 55210639484x4 - Isuzu - D-max - NS03 TTSTipper - Mercedes - Sprinter - NS06TTS</t>
        </is>
      </c>
      <c r="F1842" t="inlineStr">
        <is>
          <t>Tow Chipper - Jenson - A530L - 55210639484x4 - Isuzu - D-max - NS03 TTSTipper - Mercedes - Sprinter - NS06TTS</t>
        </is>
      </c>
      <c r="G1842" t="inlineStr">
        <is>
          <t xml:space="preserve">Nikki sparrow Danny Appleby Nikki sparrow </t>
        </is>
      </c>
      <c r="H1842" t="inlineStr">
        <is>
          <t>Towed Chipper4x4Tipper</t>
        </is>
      </c>
      <c r="I1842" t="inlineStr">
        <is>
          <t>Daily/ Weekly Vehicle Inspection</t>
        </is>
      </c>
      <c r="J1842" t="inlineStr">
        <is>
          <t>N/A</t>
        </is>
      </c>
      <c r="K1842" t="inlineStr">
        <is>
          <t>7889 Tree Tech Suffolk Ltd</t>
        </is>
      </c>
      <c r="L1842" t="inlineStr">
        <is>
          <t>20/10/2025 07:39</t>
        </is>
      </c>
      <c r="M1842" t="inlineStr">
        <is>
          <t>None</t>
        </is>
      </c>
      <c r="N1842" t="inlineStr">
        <is>
          <t>&lt;p&gt;&lt;/p&gt;</t>
        </is>
      </c>
      <c r="O1842" t="inlineStr">
        <is>
          <t>Select Vehicle:Kx65 fcz</t>
        </is>
      </c>
      <c r="P1842" t="inlineStr">
        <is>
          <t>Tow Chipper - Jenson - A530L - 55210639484x4 - Isuzu - D-max - NS03 TTSTipper - Mercedes - Sprinter - NS06TTS</t>
        </is>
      </c>
      <c r="Q1842" t="inlineStr">
        <is>
          <t>UKPN</t>
        </is>
      </c>
      <c r="R1842" t="b">
        <v>0</v>
      </c>
    </row>
    <row r="1843">
      <c r="A1843" t="inlineStr">
        <is>
          <t>20 Oct 2025 / Jane Moore / Utilities / NGED</t>
        </is>
      </c>
      <c r="B1843" t="inlineStr">
        <is>
          <t>Utilities</t>
        </is>
      </c>
      <c r="C1843" t="inlineStr">
        <is>
          <t>NGED</t>
        </is>
      </c>
      <c r="D1843" t="inlineStr">
        <is>
          <t>GL20TGZ , Car - Electric , Tesla , Model 3 Long Range AWD</t>
        </is>
      </c>
      <c r="E1843" t="inlineStr">
        <is>
          <t>GL20TGZ , Car - Electric , Tesla , Model 3 Long Range AWD</t>
        </is>
      </c>
      <c r="F1843" t="inlineStr">
        <is>
          <t>GL20TGZ , Car - Electric , Tesla , Model 3 Long Range AWD</t>
        </is>
      </c>
      <c r="G1843" t="inlineStr">
        <is>
          <t xml:space="preserve">Jane Moore </t>
        </is>
      </c>
      <c r="H1843" t="inlineStr">
        <is>
          <t>Car - Electric (GC Owned)</t>
        </is>
      </c>
      <c r="I1843" t="inlineStr">
        <is>
          <t>Daily/ Weekly Vehicle Inspection</t>
        </is>
      </c>
      <c r="J1843" t="inlineStr">
        <is>
          <t>N/A</t>
        </is>
      </c>
      <c r="K1843" t="inlineStr">
        <is>
          <t>Jane Moore</t>
        </is>
      </c>
      <c r="L1843" t="inlineStr">
        <is>
          <t>20/10/2025 10:55</t>
        </is>
      </c>
      <c r="M1843" t="inlineStr">
        <is>
          <t>None</t>
        </is>
      </c>
      <c r="N1843" t="inlineStr">
        <is>
          <t>&lt;p&gt;&lt;/p&gt;</t>
        </is>
      </c>
      <c r="O1843" t="inlineStr"/>
      <c r="P1843" t="inlineStr">
        <is>
          <t>GL20TGZ , Car - Electric , Tesla , Model 3 Long Range AWD</t>
        </is>
      </c>
      <c r="Q1843" t="inlineStr">
        <is>
          <t>NGED</t>
        </is>
      </c>
      <c r="R1843" t="b">
        <v>0</v>
      </c>
    </row>
    <row r="1844">
      <c r="A1844" t="inlineStr">
        <is>
          <t>20 Oct 2025 / Jane Moore / Utilities / NGED</t>
        </is>
      </c>
      <c r="B1844" t="inlineStr">
        <is>
          <t>Utilities</t>
        </is>
      </c>
      <c r="C1844" t="inlineStr">
        <is>
          <t>NGED</t>
        </is>
      </c>
      <c r="D1844" t="inlineStr">
        <is>
          <t>GL20TGZ , Car - Electric , Tesla , Model 3 Long Range AWD</t>
        </is>
      </c>
      <c r="E1844" t="inlineStr">
        <is>
          <t>GL20TGZ , Car - Electric , Tesla , Model 3 Long Range AWD</t>
        </is>
      </c>
      <c r="F1844" t="inlineStr">
        <is>
          <t>GL20TGZ , Car - Electric , Tesla , Model 3 Long Range AWD</t>
        </is>
      </c>
      <c r="G1844" t="inlineStr">
        <is>
          <t xml:space="preserve">Jane Moore </t>
        </is>
      </c>
      <c r="H1844" t="inlineStr">
        <is>
          <t>Car - Electric (GC Owned)</t>
        </is>
      </c>
      <c r="I1844" t="inlineStr">
        <is>
          <t>Daily/ Weekly Vehicle Inspection</t>
        </is>
      </c>
      <c r="J1844" t="inlineStr">
        <is>
          <t>N/A</t>
        </is>
      </c>
      <c r="K1844" t="inlineStr">
        <is>
          <t>Jane Moore</t>
        </is>
      </c>
      <c r="L1844" t="inlineStr">
        <is>
          <t>20/10/2025 10:57</t>
        </is>
      </c>
      <c r="M1844" t="inlineStr">
        <is>
          <t>None</t>
        </is>
      </c>
      <c r="N1844" t="inlineStr">
        <is>
          <t>&lt;p&gt;&lt;/p&gt;</t>
        </is>
      </c>
      <c r="O1844" t="inlineStr"/>
      <c r="P1844" t="inlineStr">
        <is>
          <t>GL20TGZ , Car - Electric , Tesla , Model 3 Long Range AWD</t>
        </is>
      </c>
      <c r="Q1844" t="inlineStr">
        <is>
          <t>NGED</t>
        </is>
      </c>
      <c r="R1844" t="b">
        <v>0</v>
      </c>
    </row>
    <row r="1845">
      <c r="A1845" t="inlineStr">
        <is>
          <t>20 Oct 2025 / 3098 D &amp; R Landscapes (PEND Arb Rail) / Utilities / UKPN</t>
        </is>
      </c>
      <c r="B1845" t="inlineStr">
        <is>
          <t>Utilities</t>
        </is>
      </c>
      <c r="C1845" t="inlineStr">
        <is>
          <t>UKPN</t>
        </is>
      </c>
      <c r="D1845" t="inlineStr">
        <is>
          <t>Vehicle - Nissan - Navara - BT20 GNZ</t>
        </is>
      </c>
      <c r="E1845" t="inlineStr">
        <is>
          <t>Vehicle - Nissan - Navara - BT20 GNZ</t>
        </is>
      </c>
      <c r="F1845" t="inlineStr">
        <is>
          <t>Vehicle - Nissan - Navara - BT20 GNZ</t>
        </is>
      </c>
      <c r="G1845" t="inlineStr">
        <is>
          <t>Jason</t>
        </is>
      </c>
      <c r="H1845" t="inlineStr">
        <is>
          <t>4x4</t>
        </is>
      </c>
      <c r="I1845" t="inlineStr">
        <is>
          <t>Daily/ Weekly Vehicle Inspection</t>
        </is>
      </c>
      <c r="J1845" t="inlineStr">
        <is>
          <t>N/A</t>
        </is>
      </c>
      <c r="K1845" t="inlineStr">
        <is>
          <t>3098 D &amp; R Landscapes</t>
        </is>
      </c>
      <c r="L1845" t="inlineStr">
        <is>
          <t>20/10/2025 11:01</t>
        </is>
      </c>
      <c r="M1845" t="inlineStr">
        <is>
          <t>None</t>
        </is>
      </c>
      <c r="N1845" t="inlineStr">
        <is>
          <t>&lt;p&gt;&lt;/p&gt;</t>
        </is>
      </c>
      <c r="O1845" t="inlineStr"/>
      <c r="P1845" t="inlineStr">
        <is>
          <t>Vehicle - Nissan - Navara - BT20 GNZ</t>
        </is>
      </c>
      <c r="Q1845" t="inlineStr">
        <is>
          <t>UKPN</t>
        </is>
      </c>
      <c r="R1845" t="b">
        <v>0</v>
      </c>
    </row>
    <row r="1846">
      <c r="A1846" t="inlineStr">
        <is>
          <t>20 Oct 2025 / 3098 D &amp; R Landscapes (PEND Arb Rail) / Utilities / UKPN</t>
        </is>
      </c>
      <c r="B1846" t="inlineStr">
        <is>
          <t>Utilities</t>
        </is>
      </c>
      <c r="C1846" t="inlineStr">
        <is>
          <t>UKPN</t>
        </is>
      </c>
      <c r="D1846" t="inlineStr">
        <is>
          <t>WA13ZZK , 4x4 , Land Rover  , Defender</t>
        </is>
      </c>
      <c r="E1846" t="inlineStr">
        <is>
          <t>WA13ZZK , 4x4 , Land Rover  , Defender</t>
        </is>
      </c>
      <c r="F1846" t="inlineStr">
        <is>
          <t>WA13ZZK , 4x4 , Land Rover  , Defender</t>
        </is>
      </c>
      <c r="G1846" t="inlineStr">
        <is>
          <t xml:space="preserve">Rob </t>
        </is>
      </c>
      <c r="H1846" t="inlineStr">
        <is>
          <t>4x4</t>
        </is>
      </c>
      <c r="I1846" t="inlineStr">
        <is>
          <t>Daily/ Weekly Vehicle Inspection</t>
        </is>
      </c>
      <c r="J1846" t="inlineStr">
        <is>
          <t>N/A</t>
        </is>
      </c>
      <c r="K1846" t="inlineStr">
        <is>
          <t>3098 D &amp; R Landscapes</t>
        </is>
      </c>
      <c r="L1846" t="inlineStr">
        <is>
          <t>20/10/2025 11:03</t>
        </is>
      </c>
      <c r="M1846" t="inlineStr">
        <is>
          <t>None</t>
        </is>
      </c>
      <c r="N1846" t="inlineStr">
        <is>
          <t>&lt;p&gt;&lt;/p&gt;</t>
        </is>
      </c>
      <c r="O1846" t="inlineStr"/>
      <c r="P1846" t="inlineStr">
        <is>
          <t>WA13ZZK , 4x4 , Land Rover  , Defender</t>
        </is>
      </c>
      <c r="Q1846" t="inlineStr">
        <is>
          <t>UKPN</t>
        </is>
      </c>
      <c r="R1846" t="b">
        <v>0</v>
      </c>
    </row>
    <row r="1847">
      <c r="A1847" t="inlineStr">
        <is>
          <t>20 Oct 2025 / 7800 MAC Tree Surgery and Fencing Ltd / Utilities / UKPN</t>
        </is>
      </c>
      <c r="B1847" t="inlineStr">
        <is>
          <t>Utilities</t>
        </is>
      </c>
      <c r="C1847" t="inlineStr">
        <is>
          <t>UKPN</t>
        </is>
      </c>
      <c r="D1847" t="inlineStr">
        <is>
          <t>FG16LNT , Tipper , Ford transit  , Transit tipper</t>
        </is>
      </c>
      <c r="E1847" t="inlineStr">
        <is>
          <t>FG16LNT , Tipper , Ford transit  , Transit tipper</t>
        </is>
      </c>
      <c r="F1847" t="inlineStr">
        <is>
          <t>FG16LNT , Tipper , Ford transit  , Transit tipper</t>
        </is>
      </c>
      <c r="G1847" t="inlineStr">
        <is>
          <t>Patrick</t>
        </is>
      </c>
      <c r="H1847" t="inlineStr">
        <is>
          <t>Tipper</t>
        </is>
      </c>
      <c r="I1847" t="inlineStr">
        <is>
          <t>Daily/ Weekly Vehicle Inspection</t>
        </is>
      </c>
      <c r="J1847" t="inlineStr">
        <is>
          <t>N/A</t>
        </is>
      </c>
      <c r="K1847" t="inlineStr">
        <is>
          <t>7800 MAC Tree Surgery and Fencing Ltd</t>
        </is>
      </c>
      <c r="L1847" t="inlineStr">
        <is>
          <t>20/10/2025 11:06</t>
        </is>
      </c>
      <c r="M1847" t="inlineStr">
        <is>
          <t>None</t>
        </is>
      </c>
      <c r="N1847" t="inlineStr">
        <is>
          <t>&lt;p&gt;&lt;/p&gt;</t>
        </is>
      </c>
      <c r="O1847" t="inlineStr"/>
      <c r="P1847" t="inlineStr">
        <is>
          <t>FG16LNT , Tipper , Ford transit  , Transit tipper</t>
        </is>
      </c>
      <c r="Q1847" t="inlineStr">
        <is>
          <t>UKPN</t>
        </is>
      </c>
      <c r="R1847" t="b">
        <v>0</v>
      </c>
    </row>
    <row r="1848">
      <c r="A1848" t="inlineStr">
        <is>
          <t>20 Oct 2025 / Joe Sauvage / Utilities / SSE</t>
        </is>
      </c>
      <c r="B1848" t="inlineStr">
        <is>
          <t>Utilities</t>
        </is>
      </c>
      <c r="C1848" t="inlineStr">
        <is>
          <t>SSE</t>
        </is>
      </c>
      <c r="D1848" t="inlineStr">
        <is>
          <t>EO18AEW , Car - Petrol , Ford , Kuga</t>
        </is>
      </c>
      <c r="E1848" t="inlineStr">
        <is>
          <t>EO18AEW , Car - Petrol , Ford , Kuga</t>
        </is>
      </c>
      <c r="F1848" t="inlineStr">
        <is>
          <t>EO18AEW , Car - Petrol , Ford , Kuga</t>
        </is>
      </c>
      <c r="G1848" t="inlineStr">
        <is>
          <t xml:space="preserve">Joe Sauvage </t>
        </is>
      </c>
      <c r="H1848" t="inlineStr">
        <is>
          <t>Car - Diesel</t>
        </is>
      </c>
      <c r="I1848" t="inlineStr">
        <is>
          <t>Daily/ Weekly Vehicle Inspection</t>
        </is>
      </c>
      <c r="J1848" t="inlineStr">
        <is>
          <t>N/A</t>
        </is>
      </c>
      <c r="K1848" t="inlineStr">
        <is>
          <t>Joe Sauvage</t>
        </is>
      </c>
      <c r="L1848" t="inlineStr">
        <is>
          <t>20/10/2025 11:33</t>
        </is>
      </c>
      <c r="M1848" t="inlineStr">
        <is>
          <t>None</t>
        </is>
      </c>
      <c r="N1848" t="inlineStr">
        <is>
          <t>&lt;p&gt;&lt;/p&gt;</t>
        </is>
      </c>
      <c r="O1848" t="inlineStr"/>
      <c r="P1848" t="inlineStr">
        <is>
          <t>EO18AEW , Car - Petrol , Ford , Kuga</t>
        </is>
      </c>
      <c r="Q1848" t="inlineStr">
        <is>
          <t>SSE</t>
        </is>
      </c>
      <c r="R1848" t="b">
        <v>0</v>
      </c>
    </row>
    <row r="1849">
      <c r="A1849" t="inlineStr">
        <is>
          <t>20 Oct 2025 / Jane Moore / Utilities / NGED</t>
        </is>
      </c>
      <c r="B1849" t="inlineStr">
        <is>
          <t>Utilities</t>
        </is>
      </c>
      <c r="C1849" t="inlineStr">
        <is>
          <t>NGED</t>
        </is>
      </c>
      <c r="D1849" t="inlineStr">
        <is>
          <t>GL20TGZ , Car - Electric , Tesla , Model 3 Long Range AWD</t>
        </is>
      </c>
      <c r="E1849" t="inlineStr">
        <is>
          <t>GL20TGZ , Car - Electric , Tesla , Model 3 Long Range AWD</t>
        </is>
      </c>
      <c r="F1849" t="inlineStr">
        <is>
          <t>GL20TGZ , Car - Electric , Tesla , Model 3 Long Range AWD</t>
        </is>
      </c>
      <c r="G1849" t="inlineStr">
        <is>
          <t xml:space="preserve">Jane Moore </t>
        </is>
      </c>
      <c r="H1849" t="inlineStr">
        <is>
          <t>Car - Electric (GC Owned)</t>
        </is>
      </c>
      <c r="I1849" t="inlineStr">
        <is>
          <t>Daily/ Weekly Vehicle Inspection</t>
        </is>
      </c>
      <c r="J1849" t="inlineStr">
        <is>
          <t>N/A</t>
        </is>
      </c>
      <c r="K1849" t="inlineStr">
        <is>
          <t>Jane Moore</t>
        </is>
      </c>
      <c r="L1849" t="inlineStr">
        <is>
          <t>20/10/2025 11:36</t>
        </is>
      </c>
      <c r="M1849" t="inlineStr">
        <is>
          <t>None</t>
        </is>
      </c>
      <c r="N1849" t="inlineStr">
        <is>
          <t>&lt;p&gt;&lt;/p&gt;</t>
        </is>
      </c>
      <c r="O1849" t="inlineStr"/>
      <c r="P1849" t="inlineStr">
        <is>
          <t>GL20TGZ , Car - Electric , Tesla , Model 3 Long Range AWD</t>
        </is>
      </c>
      <c r="Q1849" t="inlineStr">
        <is>
          <t>NGED</t>
        </is>
      </c>
      <c r="R1849" t="b">
        <v>0</v>
      </c>
    </row>
    <row r="1850">
      <c r="A1850" t="inlineStr">
        <is>
          <t>20 Oct 2025 / Philip Cadwgan / Utilities / NGED</t>
        </is>
      </c>
      <c r="B1850" t="inlineStr">
        <is>
          <t>Utilities</t>
        </is>
      </c>
      <c r="C1850" t="inlineStr">
        <is>
          <t>NGED</t>
        </is>
      </c>
      <c r="D1850" t="inlineStr"/>
      <c r="E1850" t="inlineStr"/>
      <c r="F1850" t="inlineStr"/>
      <c r="G1850" t="inlineStr">
        <is>
          <t xml:space="preserve">Phill Cadwgan </t>
        </is>
      </c>
      <c r="H1850" t="inlineStr">
        <is>
          <t>Van</t>
        </is>
      </c>
      <c r="I1850" t="inlineStr">
        <is>
          <t>Daily/ Weekly Vehicle Inspection</t>
        </is>
      </c>
      <c r="J1850" t="inlineStr">
        <is>
          <t>N/A</t>
        </is>
      </c>
      <c r="K1850" t="inlineStr">
        <is>
          <t>Philip Cadwgan</t>
        </is>
      </c>
      <c r="L1850" t="inlineStr">
        <is>
          <t>20/10/2025 17:29</t>
        </is>
      </c>
      <c r="M1850" t="inlineStr">
        <is>
          <t>None</t>
        </is>
      </c>
      <c r="N1850" t="inlineStr">
        <is>
          <t>&lt;p&gt;&lt;/p&gt;</t>
        </is>
      </c>
      <c r="O1850" t="inlineStr"/>
      <c r="P1850" t="inlineStr"/>
      <c r="Q1850" t="inlineStr">
        <is>
          <t>NGED</t>
        </is>
      </c>
      <c r="R1850" t="b">
        <v>0</v>
      </c>
    </row>
    <row r="1851">
      <c r="A1851" t="inlineStr">
        <is>
          <t>21 Oct 2025 / 7806 Optimum Tree Services Ltd / Utilities / UKPN</t>
        </is>
      </c>
      <c r="B1851" t="inlineStr">
        <is>
          <t>Utilities</t>
        </is>
      </c>
      <c r="C1851" t="inlineStr">
        <is>
          <t>UKPN</t>
        </is>
      </c>
      <c r="D1851" t="inlineStr">
        <is>
          <t>SA9TAPLAF27414263 , Trailer , Tow Mate , Plant Trailer</t>
        </is>
      </c>
      <c r="E1851" t="inlineStr">
        <is>
          <t>SA9TAPLAF27414263 , Trailer , Tow Mate , Plant Trailer</t>
        </is>
      </c>
      <c r="F1851" t="inlineStr">
        <is>
          <t>SA9TAPLAF27414263 , Trailer , Tow Mate , Plant Trailer</t>
        </is>
      </c>
      <c r="G1851" t="inlineStr">
        <is>
          <t xml:space="preserve">Abraham Davies </t>
        </is>
      </c>
      <c r="H1851" t="inlineStr">
        <is>
          <t>Plant Trailer</t>
        </is>
      </c>
      <c r="I1851" t="inlineStr">
        <is>
          <t>Daily/ Weekly Vehicle Inspection</t>
        </is>
      </c>
      <c r="J1851" t="inlineStr">
        <is>
          <t>N/A</t>
        </is>
      </c>
      <c r="K1851" t="inlineStr">
        <is>
          <t>7806 Optimum Tree Services Ltd</t>
        </is>
      </c>
      <c r="L1851" t="inlineStr">
        <is>
          <t>21/10/2025 07:29</t>
        </is>
      </c>
      <c r="M1851" t="inlineStr">
        <is>
          <t>None</t>
        </is>
      </c>
      <c r="N1851" t="inlineStr">
        <is>
          <t>&lt;p&gt;&lt;/p&gt;</t>
        </is>
      </c>
      <c r="O1851" t="inlineStr"/>
      <c r="P1851" t="inlineStr">
        <is>
          <t>SA9TAPLAF27414263 , Trailer , Tow Mate , Plant Trailer</t>
        </is>
      </c>
      <c r="Q1851" t="inlineStr">
        <is>
          <t>UKPN</t>
        </is>
      </c>
      <c r="R1851" t="b">
        <v>0</v>
      </c>
    </row>
    <row r="1852">
      <c r="A1852" t="inlineStr">
        <is>
          <t>21 Oct 2025 / 7806 Optimum Tree Services Ltd / Utilities / UKPN</t>
        </is>
      </c>
      <c r="B1852" t="inlineStr">
        <is>
          <t>Utilities</t>
        </is>
      </c>
      <c r="C1852" t="inlineStr">
        <is>
          <t>UKPN</t>
        </is>
      </c>
      <c r="D1852" t="inlineStr">
        <is>
          <t>WD14EVB , MEWP , Land Rover , Defender</t>
        </is>
      </c>
      <c r="E1852" t="inlineStr">
        <is>
          <t>WD14EVB , MEWP , Land Rover , Defender</t>
        </is>
      </c>
      <c r="F1852" t="inlineStr">
        <is>
          <t>WD14EVB , MEWP , Land Rover , Defender</t>
        </is>
      </c>
      <c r="G1852" t="inlineStr">
        <is>
          <t xml:space="preserve">Abraham Davies </t>
        </is>
      </c>
      <c r="H1852" t="inlineStr">
        <is>
          <t>4x4</t>
        </is>
      </c>
      <c r="I1852" t="inlineStr">
        <is>
          <t>Daily/ Weekly Vehicle Inspection</t>
        </is>
      </c>
      <c r="J1852" t="inlineStr">
        <is>
          <t>N/A</t>
        </is>
      </c>
      <c r="K1852" t="inlineStr">
        <is>
          <t>7806 Optimum Tree Services Ltd</t>
        </is>
      </c>
      <c r="L1852" t="inlineStr">
        <is>
          <t>21/10/2025 07:30</t>
        </is>
      </c>
      <c r="M1852" t="inlineStr">
        <is>
          <t>None</t>
        </is>
      </c>
      <c r="N1852" t="inlineStr">
        <is>
          <t>&lt;p&gt;&lt;/p&gt;</t>
        </is>
      </c>
      <c r="O1852" t="inlineStr"/>
      <c r="P1852" t="inlineStr">
        <is>
          <t>WD14EVB , MEWP , Land Rover , Defender</t>
        </is>
      </c>
      <c r="Q1852" t="inlineStr">
        <is>
          <t>UKPN</t>
        </is>
      </c>
      <c r="R1852" t="b">
        <v>0</v>
      </c>
    </row>
    <row r="1853">
      <c r="A1853" t="inlineStr">
        <is>
          <t>21 Oct 2025 / 7889 Tree Tech Suffolk Ltd</t>
        </is>
      </c>
      <c r="B1853" t="inlineStr">
        <is>
          <t>Utilities &amp; Inland Waterways</t>
        </is>
      </c>
      <c r="C1853" t="inlineStr">
        <is>
          <t>UKPN</t>
        </is>
      </c>
      <c r="D1853" t="inlineStr">
        <is>
          <t>Tow Chipper - Jenson - A530L - 55210639484x4 - Isuzu - D-max - NS03 TTSTipper - Nissan - Navara - NS02TTS</t>
        </is>
      </c>
      <c r="E1853" t="inlineStr">
        <is>
          <t>Tow Chipper - Jenson - A530L - 55210639484x4 - Isuzu - D-max - NS03 TTSTipper - Nissan - Navara - NS02TTS</t>
        </is>
      </c>
      <c r="F1853" t="inlineStr">
        <is>
          <t>Tow Chipper - Jenson - A530L - 55210639484x4 - Isuzu - D-max - NS03 TTSTipper - Nissan - Navara - NS02TTS</t>
        </is>
      </c>
      <c r="G1853" t="inlineStr">
        <is>
          <t xml:space="preserve">Nikki sparrow Danny Appleby Nikki sparrow </t>
        </is>
      </c>
      <c r="H1853" t="inlineStr">
        <is>
          <t>Towed Chipper4x4Tipper</t>
        </is>
      </c>
      <c r="I1853" t="inlineStr">
        <is>
          <t>Daily/ Weekly Vehicle Inspection</t>
        </is>
      </c>
      <c r="J1853" t="inlineStr">
        <is>
          <t>N/A</t>
        </is>
      </c>
      <c r="K1853" t="inlineStr">
        <is>
          <t>7889 Tree Tech Suffolk Ltd</t>
        </is>
      </c>
      <c r="L1853" t="inlineStr">
        <is>
          <t>21/10/2025 07:31</t>
        </is>
      </c>
      <c r="M1853" t="inlineStr">
        <is>
          <t>None</t>
        </is>
      </c>
      <c r="N1853" t="inlineStr">
        <is>
          <t>&lt;p&gt;&lt;/p&gt;</t>
        </is>
      </c>
      <c r="O1853" t="inlineStr">
        <is>
          <t>Select Vehicle:Kx65 fcz</t>
        </is>
      </c>
      <c r="P1853" t="inlineStr">
        <is>
          <t>Tow Chipper - Jenson - A530L - 55210639484x4 - Isuzu - D-max - NS03 TTSTipper - Nissan - Navara - NS02TTS</t>
        </is>
      </c>
      <c r="Q1853" t="inlineStr">
        <is>
          <t>UKPN</t>
        </is>
      </c>
      <c r="R1853" t="b">
        <v>0</v>
      </c>
    </row>
    <row r="1854">
      <c r="A1854" t="inlineStr">
        <is>
          <t>21 Oct 2025 / 7186 Eastwoodbury Tree Services Ltd / Utilities / UKPN</t>
        </is>
      </c>
      <c r="B1854" t="inlineStr">
        <is>
          <t>Utilities</t>
        </is>
      </c>
      <c r="C1854" t="inlineStr">
        <is>
          <t>UKPN</t>
        </is>
      </c>
      <c r="D1854" t="inlineStr">
        <is>
          <t>DE53NKS , 4x4 , Ford , Ranger</t>
        </is>
      </c>
      <c r="E1854" t="inlineStr">
        <is>
          <t>DE53NKS , 4x4 , Ford , Ranger</t>
        </is>
      </c>
      <c r="F1854" t="inlineStr">
        <is>
          <t>DE53NKS , 4x4 , Ford , Ranger</t>
        </is>
      </c>
      <c r="G1854" t="inlineStr">
        <is>
          <t xml:space="preserve">Jay Denkmayer </t>
        </is>
      </c>
      <c r="H1854" t="inlineStr">
        <is>
          <t>Pickup Truck</t>
        </is>
      </c>
      <c r="I1854" t="inlineStr">
        <is>
          <t>Daily/ Weekly Vehicle Inspection</t>
        </is>
      </c>
      <c r="J1854" t="inlineStr">
        <is>
          <t>N/A</t>
        </is>
      </c>
      <c r="K1854" t="inlineStr">
        <is>
          <t>7186 Eastwoodbury Tree Services Ltd</t>
        </is>
      </c>
      <c r="L1854" t="inlineStr">
        <is>
          <t>21/10/2025 07:34</t>
        </is>
      </c>
      <c r="M1854" t="inlineStr">
        <is>
          <t>None</t>
        </is>
      </c>
      <c r="N1854" t="inlineStr">
        <is>
          <t>&lt;p&gt;&lt;/p&gt;</t>
        </is>
      </c>
      <c r="O1854" t="inlineStr"/>
      <c r="P1854" t="inlineStr">
        <is>
          <t>DE53NKS , 4x4 , Ford , Ranger</t>
        </is>
      </c>
      <c r="Q1854" t="inlineStr">
        <is>
          <t>UKPN</t>
        </is>
      </c>
      <c r="R1854" t="b">
        <v>0</v>
      </c>
    </row>
    <row r="1855">
      <c r="A1855" t="inlineStr">
        <is>
          <t>21 Oct 2025 / 7186 Eastwoodbury Tree Services Ltd / Utilities / UKPN</t>
        </is>
      </c>
      <c r="B1855" t="inlineStr">
        <is>
          <t>Utilities</t>
        </is>
      </c>
      <c r="C1855" t="inlineStr">
        <is>
          <t>UKPN</t>
        </is>
      </c>
      <c r="D1855" t="inlineStr">
        <is>
          <t>FN600XM , 4x4 , Land Rover  , Defender</t>
        </is>
      </c>
      <c r="E1855" t="inlineStr">
        <is>
          <t>FN600XM , 4x4 , Land Rover  , Defender</t>
        </is>
      </c>
      <c r="F1855" t="inlineStr">
        <is>
          <t>FN600XM , 4x4 , Land Rover  , Defender</t>
        </is>
      </c>
      <c r="G1855" t="inlineStr">
        <is>
          <t xml:space="preserve">Dan Gilbert </t>
        </is>
      </c>
      <c r="H1855" t="inlineStr">
        <is>
          <t>4x4</t>
        </is>
      </c>
      <c r="I1855" t="inlineStr">
        <is>
          <t>Daily/ Weekly Vehicle Inspection</t>
        </is>
      </c>
      <c r="J1855" t="inlineStr">
        <is>
          <t>N/A</t>
        </is>
      </c>
      <c r="K1855" t="inlineStr">
        <is>
          <t>7186 Eastwoodbury Tree Services Ltd</t>
        </is>
      </c>
      <c r="L1855" t="inlineStr">
        <is>
          <t>21/10/2025 07:35</t>
        </is>
      </c>
      <c r="M1855" t="inlineStr">
        <is>
          <t>None</t>
        </is>
      </c>
      <c r="N1855" t="inlineStr">
        <is>
          <t>&lt;p&gt;&lt;/p&gt;</t>
        </is>
      </c>
      <c r="O1855" t="inlineStr"/>
      <c r="P1855" t="inlineStr">
        <is>
          <t>FN600XM , 4x4 , Land Rover  , Defender</t>
        </is>
      </c>
      <c r="Q1855" t="inlineStr">
        <is>
          <t>UKPN</t>
        </is>
      </c>
      <c r="R1855" t="b">
        <v>0</v>
      </c>
    </row>
    <row r="1856">
      <c r="A1856" t="inlineStr">
        <is>
          <t>21 Oct 2025 / 3098 D &amp; R Landscapes (PEND Arb Rail) / Utilities / UKPN</t>
        </is>
      </c>
      <c r="B1856" t="inlineStr">
        <is>
          <t>Utilities</t>
        </is>
      </c>
      <c r="C1856" t="inlineStr">
        <is>
          <t>UKPN</t>
        </is>
      </c>
      <c r="D1856" t="inlineStr">
        <is>
          <t>WA13ZZK , 4x4 , Land Rover  , Defender</t>
        </is>
      </c>
      <c r="E1856" t="inlineStr">
        <is>
          <t>WA13ZZK , 4x4 , Land Rover  , Defender</t>
        </is>
      </c>
      <c r="F1856" t="inlineStr">
        <is>
          <t>WA13ZZK , 4x4 , Land Rover  , Defender</t>
        </is>
      </c>
      <c r="G1856" t="inlineStr">
        <is>
          <t xml:space="preserve">Chris </t>
        </is>
      </c>
      <c r="H1856" t="inlineStr">
        <is>
          <t>Pickup Truck</t>
        </is>
      </c>
      <c r="I1856" t="inlineStr">
        <is>
          <t>Daily/ Weekly Vehicle Inspection</t>
        </is>
      </c>
      <c r="J1856" t="inlineStr">
        <is>
          <t>N/A</t>
        </is>
      </c>
      <c r="K1856" t="inlineStr">
        <is>
          <t>3098 D &amp; R Landscapes</t>
        </is>
      </c>
      <c r="L1856" t="inlineStr">
        <is>
          <t>21/10/2025 07:38</t>
        </is>
      </c>
      <c r="M1856" t="inlineStr">
        <is>
          <t>None</t>
        </is>
      </c>
      <c r="N1856" t="inlineStr">
        <is>
          <t>&lt;p&gt;&lt;/p&gt;</t>
        </is>
      </c>
      <c r="O1856" t="inlineStr"/>
      <c r="P1856" t="inlineStr">
        <is>
          <t>WA13ZZK , 4x4 , Land Rover  , Defender</t>
        </is>
      </c>
      <c r="Q1856" t="inlineStr">
        <is>
          <t>UKPN</t>
        </is>
      </c>
      <c r="R1856" t="b">
        <v>0</v>
      </c>
    </row>
    <row r="1857">
      <c r="A1857" t="inlineStr">
        <is>
          <t>21 Oct 2025 / 3098 D &amp; R Landscapes (PEND Arb Rail) / Utilities / UKPN</t>
        </is>
      </c>
      <c r="B1857" t="inlineStr">
        <is>
          <t>Utilities</t>
        </is>
      </c>
      <c r="C1857" t="inlineStr">
        <is>
          <t>UKPN</t>
        </is>
      </c>
      <c r="D1857" t="inlineStr">
        <is>
          <t>FX17YVM , Vehicle , Nissan , Navara</t>
        </is>
      </c>
      <c r="E1857" t="inlineStr">
        <is>
          <t>FX17YVM , Vehicle , Nissan , Navara</t>
        </is>
      </c>
      <c r="F1857" t="inlineStr">
        <is>
          <t>FX17YVM , Vehicle , Nissan , Navara</t>
        </is>
      </c>
      <c r="G1857" t="inlineStr">
        <is>
          <t>Rob</t>
        </is>
      </c>
      <c r="H1857" t="inlineStr">
        <is>
          <t>Pickup Truck</t>
        </is>
      </c>
      <c r="I1857" t="inlineStr">
        <is>
          <t>Daily/ Weekly Vehicle Inspection</t>
        </is>
      </c>
      <c r="J1857" t="inlineStr">
        <is>
          <t>N/A</t>
        </is>
      </c>
      <c r="K1857" t="inlineStr">
        <is>
          <t>3098 D &amp; R Landscapes</t>
        </is>
      </c>
      <c r="L1857" t="inlineStr">
        <is>
          <t>21/10/2025 07:39</t>
        </is>
      </c>
      <c r="M1857" t="inlineStr">
        <is>
          <t>None</t>
        </is>
      </c>
      <c r="N1857" t="inlineStr">
        <is>
          <t>&lt;p&gt;&lt;/p&gt;</t>
        </is>
      </c>
      <c r="O1857" t="inlineStr"/>
      <c r="P1857" t="inlineStr">
        <is>
          <t>FX17YVM , Vehicle , Nissan , Navara</t>
        </is>
      </c>
      <c r="Q1857" t="inlineStr">
        <is>
          <t>UKPN</t>
        </is>
      </c>
      <c r="R1857" t="b">
        <v>0</v>
      </c>
    </row>
    <row r="1858">
      <c r="A1858" t="inlineStr">
        <is>
          <t>21 Oct 2025 / 3098 D &amp; R Landscapes (PEND Arb Rail) / Utilities / UKPN</t>
        </is>
      </c>
      <c r="B1858" t="inlineStr">
        <is>
          <t>Utilities</t>
        </is>
      </c>
      <c r="C1858" t="inlineStr">
        <is>
          <t>UKPN</t>
        </is>
      </c>
      <c r="D1858" t="inlineStr">
        <is>
          <t>Vehicle - Nissan - Navara - BT20 GNZ</t>
        </is>
      </c>
      <c r="E1858" t="inlineStr">
        <is>
          <t>Vehicle - Nissan - Navara - BT20 GNZ</t>
        </is>
      </c>
      <c r="F1858" t="inlineStr">
        <is>
          <t>Vehicle - Nissan - Navara - BT20 GNZ</t>
        </is>
      </c>
      <c r="G1858" t="inlineStr">
        <is>
          <t>Jason</t>
        </is>
      </c>
      <c r="H1858" t="inlineStr">
        <is>
          <t>Pickup Truck</t>
        </is>
      </c>
      <c r="I1858" t="inlineStr">
        <is>
          <t>Daily/ Weekly Vehicle Inspection</t>
        </is>
      </c>
      <c r="J1858" t="inlineStr">
        <is>
          <t>N/A</t>
        </is>
      </c>
      <c r="K1858" t="inlineStr">
        <is>
          <t>3098 D &amp; R Landscapes</t>
        </is>
      </c>
      <c r="L1858" t="inlineStr">
        <is>
          <t>21/10/2025 07:39</t>
        </is>
      </c>
      <c r="M1858" t="inlineStr">
        <is>
          <t>None</t>
        </is>
      </c>
      <c r="N1858" t="inlineStr">
        <is>
          <t>&lt;p&gt;&lt;/p&gt;</t>
        </is>
      </c>
      <c r="O1858" t="inlineStr"/>
      <c r="P1858" t="inlineStr">
        <is>
          <t>Vehicle - Nissan - Navara - BT20 GNZ</t>
        </is>
      </c>
      <c r="Q1858" t="inlineStr">
        <is>
          <t>UKPN</t>
        </is>
      </c>
      <c r="R1858" t="b">
        <v>0</v>
      </c>
    </row>
    <row r="1859">
      <c r="A1859" t="inlineStr">
        <is>
          <t>20 Oct 2025 / 3098 D &amp; R Landscapes (PEND Arb Rail) / Utilities / UKPN</t>
        </is>
      </c>
      <c r="B1859" t="inlineStr">
        <is>
          <t>Utilities</t>
        </is>
      </c>
      <c r="C1859" t="inlineStr">
        <is>
          <t>UKPN</t>
        </is>
      </c>
      <c r="D1859" t="inlineStr"/>
      <c r="E1859" t="inlineStr"/>
      <c r="F1859" t="inlineStr"/>
      <c r="G1859" t="inlineStr">
        <is>
          <t>Chris</t>
        </is>
      </c>
      <c r="H1859" t="inlineStr">
        <is>
          <t>4x4</t>
        </is>
      </c>
      <c r="I1859" t="inlineStr">
        <is>
          <t>Daily/ Weekly Vehicle Inspection</t>
        </is>
      </c>
      <c r="J1859" t="inlineStr">
        <is>
          <t>N/A</t>
        </is>
      </c>
      <c r="K1859" t="inlineStr">
        <is>
          <t>3098 D &amp; R Landscapes</t>
        </is>
      </c>
      <c r="L1859" t="inlineStr">
        <is>
          <t>21/10/2025 07:42</t>
        </is>
      </c>
      <c r="M1859" t="inlineStr">
        <is>
          <t>None</t>
        </is>
      </c>
      <c r="N1859" t="inlineStr">
        <is>
          <t>&lt;p&gt;&lt;/p&gt;</t>
        </is>
      </c>
      <c r="O1859" t="inlineStr"/>
      <c r="P1859" t="inlineStr"/>
      <c r="Q1859" t="inlineStr">
        <is>
          <t>UKPN</t>
        </is>
      </c>
      <c r="R1859" t="b">
        <v>0</v>
      </c>
    </row>
    <row r="1860">
      <c r="A1860" t="inlineStr">
        <is>
          <t>21 Oct 2025 / 7800 MAC Tree Surgery and Fencing Ltd / Utilities / UKPN</t>
        </is>
      </c>
      <c r="B1860" t="inlineStr">
        <is>
          <t>Utilities</t>
        </is>
      </c>
      <c r="C1860" t="inlineStr">
        <is>
          <t>UKPN</t>
        </is>
      </c>
      <c r="D1860" t="inlineStr">
        <is>
          <t>Towed Chipper - Forst  - ST6 p - N/a</t>
        </is>
      </c>
      <c r="E1860" t="inlineStr">
        <is>
          <t>Towed Chipper - Forst  - ST6 p - N/a</t>
        </is>
      </c>
      <c r="F1860" t="inlineStr">
        <is>
          <t>Towed Chipper - Forst  - ST6 p - N/a</t>
        </is>
      </c>
      <c r="G1860" t="inlineStr">
        <is>
          <t xml:space="preserve">Lewis </t>
        </is>
      </c>
      <c r="H1860" t="inlineStr">
        <is>
          <t>Towed Chipper</t>
        </is>
      </c>
      <c r="I1860" t="inlineStr">
        <is>
          <t>Daily/ Weekly Vehicle Inspection</t>
        </is>
      </c>
      <c r="J1860" t="inlineStr">
        <is>
          <t>N/A</t>
        </is>
      </c>
      <c r="K1860" t="inlineStr">
        <is>
          <t>7800 MAC Tree Surgery and Fencing Ltd</t>
        </is>
      </c>
      <c r="L1860" t="inlineStr">
        <is>
          <t>21/10/2025 08:30</t>
        </is>
      </c>
      <c r="M1860" t="inlineStr">
        <is>
          <t>None</t>
        </is>
      </c>
      <c r="N1860" t="inlineStr">
        <is>
          <t>&lt;p&gt;&lt;/p&gt;</t>
        </is>
      </c>
      <c r="O1860" t="inlineStr"/>
      <c r="P1860" t="inlineStr">
        <is>
          <t>Towed Chipper - Forst  - ST6 p - N/a</t>
        </is>
      </c>
      <c r="Q1860" t="inlineStr">
        <is>
          <t>UKPN</t>
        </is>
      </c>
      <c r="R1860" t="b">
        <v>0</v>
      </c>
    </row>
    <row r="1861">
      <c r="A1861" t="inlineStr">
        <is>
          <t>21 Oct 2025 / 7800 MAC Tree Surgery and Fencing Ltd / Utilities / UKPN</t>
        </is>
      </c>
      <c r="B1861" t="inlineStr">
        <is>
          <t>Utilities</t>
        </is>
      </c>
      <c r="C1861" t="inlineStr">
        <is>
          <t>UKPN</t>
        </is>
      </c>
      <c r="D1861" t="inlineStr">
        <is>
          <t>AY68DAA , 4x4 , Izuzu , Dmax</t>
        </is>
      </c>
      <c r="E1861" t="inlineStr">
        <is>
          <t>AY68DAA , 4x4 , Izuzu , Dmax</t>
        </is>
      </c>
      <c r="F1861" t="inlineStr">
        <is>
          <t>AY68DAA , 4x4 , Izuzu , Dmax</t>
        </is>
      </c>
      <c r="G1861" t="inlineStr">
        <is>
          <t xml:space="preserve">Lewis Mac </t>
        </is>
      </c>
      <c r="H1861" t="inlineStr">
        <is>
          <t>4x4</t>
        </is>
      </c>
      <c r="I1861" t="inlineStr">
        <is>
          <t>Daily/ Weekly Vehicle Inspection</t>
        </is>
      </c>
      <c r="J1861" t="inlineStr">
        <is>
          <t>N/A</t>
        </is>
      </c>
      <c r="K1861" t="inlineStr">
        <is>
          <t>7800 MAC Tree Surgery and Fencing Ltd</t>
        </is>
      </c>
      <c r="L1861" t="inlineStr">
        <is>
          <t>21/10/2025 08:31</t>
        </is>
      </c>
      <c r="M1861" t="inlineStr">
        <is>
          <t>None</t>
        </is>
      </c>
      <c r="N1861" t="inlineStr">
        <is>
          <t>&lt;p&gt;&lt;/p&gt;</t>
        </is>
      </c>
      <c r="O1861" t="inlineStr"/>
      <c r="P1861" t="inlineStr">
        <is>
          <t>AY68DAA , 4x4 , Izuzu , Dmax</t>
        </is>
      </c>
      <c r="Q1861" t="inlineStr">
        <is>
          <t>UKPN</t>
        </is>
      </c>
      <c r="R1861" t="b">
        <v>0</v>
      </c>
    </row>
    <row r="1862">
      <c r="A1862" t="inlineStr">
        <is>
          <t>21 Oct 2025 / Thomas Playford / Utilities / UKPN</t>
        </is>
      </c>
      <c r="B1862" t="inlineStr">
        <is>
          <t>Utilities</t>
        </is>
      </c>
      <c r="C1862" t="inlineStr">
        <is>
          <t>UKPN</t>
        </is>
      </c>
      <c r="D1862" t="inlineStr">
        <is>
          <t>SA9ST800000283944 , Tow Chipper , Forst , ST8D - Towed</t>
        </is>
      </c>
      <c r="E1862" t="inlineStr">
        <is>
          <t>SA9ST800000283944 , Tow Chipper , Forst , ST8D - Towed</t>
        </is>
      </c>
      <c r="F1862" t="inlineStr">
        <is>
          <t>SA9ST800000283944 , Tow Chipper , Forst , ST8D - Towed</t>
        </is>
      </c>
      <c r="G1862" t="inlineStr">
        <is>
          <t>Jacob Oram</t>
        </is>
      </c>
      <c r="H1862" t="inlineStr">
        <is>
          <t>Towed Chipper</t>
        </is>
      </c>
      <c r="I1862" t="inlineStr">
        <is>
          <t>Daily/ Weekly Vehicle Inspection</t>
        </is>
      </c>
      <c r="J1862" t="inlineStr">
        <is>
          <t>N/A</t>
        </is>
      </c>
      <c r="K1862" t="inlineStr">
        <is>
          <t>7995 Contour Landscapes Ltd 2</t>
        </is>
      </c>
      <c r="L1862" t="inlineStr">
        <is>
          <t>21/10/2025 10:29</t>
        </is>
      </c>
      <c r="M1862" t="inlineStr">
        <is>
          <t>None</t>
        </is>
      </c>
      <c r="N1862" t="inlineStr">
        <is>
          <t>&lt;p&gt;&lt;/p&gt;</t>
        </is>
      </c>
      <c r="O1862" t="inlineStr"/>
      <c r="P1862" t="inlineStr">
        <is>
          <t>SA9ST800000283944 , Tow Chipper , Forst , ST8D - Towed</t>
        </is>
      </c>
      <c r="Q1862" t="inlineStr">
        <is>
          <t>UKPN</t>
        </is>
      </c>
      <c r="R1862" t="b">
        <v>0</v>
      </c>
    </row>
    <row r="1863">
      <c r="A1863" t="inlineStr">
        <is>
          <t>21 Oct 2025 / Thomas Playford / Utilities / UKPN</t>
        </is>
      </c>
      <c r="B1863" t="inlineStr">
        <is>
          <t>Utilities</t>
        </is>
      </c>
      <c r="C1863" t="inlineStr">
        <is>
          <t>UKPN</t>
        </is>
      </c>
      <c r="D1863" t="inlineStr">
        <is>
          <t>YP24 WRD , Vehicle , Ford , Ranger</t>
        </is>
      </c>
      <c r="E1863" t="inlineStr">
        <is>
          <t>YP24 WRD , Vehicle , Ford , Ranger</t>
        </is>
      </c>
      <c r="F1863" t="inlineStr">
        <is>
          <t>YP24 WRD , Vehicle , Ford , Ranger</t>
        </is>
      </c>
      <c r="G1863" t="inlineStr">
        <is>
          <t xml:space="preserve">Jacob Oram </t>
        </is>
      </c>
      <c r="H1863" t="inlineStr">
        <is>
          <t>4x4</t>
        </is>
      </c>
      <c r="I1863" t="inlineStr">
        <is>
          <t>Daily/ Weekly Vehicle Inspection</t>
        </is>
      </c>
      <c r="J1863" t="inlineStr">
        <is>
          <t>N/A</t>
        </is>
      </c>
      <c r="K1863" t="inlineStr">
        <is>
          <t>7995 Contour Landscapes Ltd 2</t>
        </is>
      </c>
      <c r="L1863" t="inlineStr">
        <is>
          <t>21/10/2025 10:29</t>
        </is>
      </c>
      <c r="M1863" t="inlineStr">
        <is>
          <t>None</t>
        </is>
      </c>
      <c r="N1863" t="inlineStr">
        <is>
          <t>&lt;p&gt;&lt;/p&gt;</t>
        </is>
      </c>
      <c r="O1863" t="inlineStr"/>
      <c r="P1863" t="inlineStr">
        <is>
          <t>YP24 WRD , Vehicle , Ford , Ranger</t>
        </is>
      </c>
      <c r="Q1863" t="inlineStr">
        <is>
          <t>UKPN</t>
        </is>
      </c>
      <c r="R1863" t="b">
        <v>0</v>
      </c>
    </row>
    <row r="1864">
      <c r="A1864" t="inlineStr">
        <is>
          <t>21 Oct 2025 / Chris Huntley / Utilities / UKPN</t>
        </is>
      </c>
      <c r="B1864" t="inlineStr">
        <is>
          <t>Utilities</t>
        </is>
      </c>
      <c r="C1864" t="inlineStr">
        <is>
          <t>UKPN</t>
        </is>
      </c>
      <c r="D1864" t="inlineStr">
        <is>
          <t>EX18DCY , 4x4 , Ford , Ranger</t>
        </is>
      </c>
      <c r="E1864" t="inlineStr">
        <is>
          <t>EX18DCY , 4x4 , Ford , Ranger</t>
        </is>
      </c>
      <c r="F1864" t="inlineStr">
        <is>
          <t>EX18DCY , 4x4 , Ford , Ranger</t>
        </is>
      </c>
      <c r="G1864" t="inlineStr">
        <is>
          <t xml:space="preserve">Chris Huntley </t>
        </is>
      </c>
      <c r="H1864" t="inlineStr">
        <is>
          <t>Pickup Truck</t>
        </is>
      </c>
      <c r="I1864" t="inlineStr">
        <is>
          <t>Daily/ Weekly Vehicle Inspection</t>
        </is>
      </c>
      <c r="J1864" t="inlineStr">
        <is>
          <t>N/A</t>
        </is>
      </c>
      <c r="K1864" t="inlineStr">
        <is>
          <t>Chris Huntley</t>
        </is>
      </c>
      <c r="L1864" t="inlineStr">
        <is>
          <t>21/10/2025 14:29</t>
        </is>
      </c>
      <c r="M1864" t="inlineStr">
        <is>
          <t>None</t>
        </is>
      </c>
      <c r="N1864" t="inlineStr">
        <is>
          <t>&lt;p&gt;&lt;/p&gt;</t>
        </is>
      </c>
      <c r="O1864" t="inlineStr"/>
      <c r="P1864" t="inlineStr">
        <is>
          <t>EX18DCY , 4x4 , Ford , Ranger</t>
        </is>
      </c>
      <c r="Q1864" t="inlineStr">
        <is>
          <t>UKPN</t>
        </is>
      </c>
      <c r="R1864" t="b">
        <v>0</v>
      </c>
    </row>
    <row r="1865">
      <c r="A1865" t="inlineStr">
        <is>
          <t>21 Oct 2025 / Joshua Atkins / Utilities / UKPN</t>
        </is>
      </c>
      <c r="B1865" t="inlineStr">
        <is>
          <t>Utilities</t>
        </is>
      </c>
      <c r="C1865" t="inlineStr">
        <is>
          <t>UKPN</t>
        </is>
      </c>
      <c r="D1865" t="inlineStr"/>
      <c r="E1865" t="inlineStr"/>
      <c r="F1865" t="inlineStr"/>
      <c r="G1865" t="inlineStr">
        <is>
          <t>Josh Atkins</t>
        </is>
      </c>
      <c r="H1865" t="inlineStr">
        <is>
          <t>Car - Petrol</t>
        </is>
      </c>
      <c r="I1865" t="inlineStr">
        <is>
          <t>Daily/ Weekly Vehicle Inspection</t>
        </is>
      </c>
      <c r="J1865" t="inlineStr">
        <is>
          <t>N/A</t>
        </is>
      </c>
      <c r="K1865" t="inlineStr">
        <is>
          <t>Joshua Atkins</t>
        </is>
      </c>
      <c r="L1865" t="inlineStr">
        <is>
          <t>21/10/2025 15:29</t>
        </is>
      </c>
      <c r="M1865" t="inlineStr">
        <is>
          <t>None</t>
        </is>
      </c>
      <c r="N1865" t="inlineStr">
        <is>
          <t>&lt;p&gt;&lt;/p&gt;</t>
        </is>
      </c>
      <c r="O1865" t="inlineStr"/>
      <c r="P1865" t="inlineStr"/>
      <c r="Q1865" t="inlineStr">
        <is>
          <t>UKPN</t>
        </is>
      </c>
      <c r="R1865" t="b">
        <v>0</v>
      </c>
    </row>
    <row r="1866">
      <c r="A1866" t="inlineStr">
        <is>
          <t>21 Oct 2025 / Philip Shaw / Utilities / NGED</t>
        </is>
      </c>
      <c r="B1866" t="inlineStr">
        <is>
          <t>Utilities</t>
        </is>
      </c>
      <c r="C1866" t="inlineStr">
        <is>
          <t>NGED</t>
        </is>
      </c>
      <c r="D1866" t="inlineStr">
        <is>
          <t>AF22TZO , Car - Electric , Tesla , Model 3 Long Range AWD</t>
        </is>
      </c>
      <c r="E1866" t="inlineStr">
        <is>
          <t>AF22TZO , Car - Electric , Tesla , Model 3 Long Range AWD</t>
        </is>
      </c>
      <c r="F1866" t="inlineStr">
        <is>
          <t>AF22TZO , Car - Electric , Tesla , Model 3 Long Range AWD</t>
        </is>
      </c>
      <c r="G1866" t="inlineStr">
        <is>
          <t>Philip</t>
        </is>
      </c>
      <c r="H1866" t="inlineStr">
        <is>
          <t>Car - Electric (GC Owned)</t>
        </is>
      </c>
      <c r="I1866" t="inlineStr">
        <is>
          <t>Daily/ Weekly Vehicle Inspection</t>
        </is>
      </c>
      <c r="J1866" t="inlineStr">
        <is>
          <t>N/A</t>
        </is>
      </c>
      <c r="K1866" t="inlineStr">
        <is>
          <t>Philip Shaw</t>
        </is>
      </c>
      <c r="L1866" t="inlineStr">
        <is>
          <t>21/10/2025 19:29</t>
        </is>
      </c>
      <c r="M1866" t="inlineStr">
        <is>
          <t>None</t>
        </is>
      </c>
      <c r="N1866" t="inlineStr">
        <is>
          <t>&lt;p&gt;&lt;/p&gt;</t>
        </is>
      </c>
      <c r="O1866" t="inlineStr"/>
      <c r="P1866" t="inlineStr">
        <is>
          <t>AF22TZO , Car - Electric , Tesla , Model 3 Long Range AWD</t>
        </is>
      </c>
      <c r="Q1866" t="inlineStr">
        <is>
          <t>NGED</t>
        </is>
      </c>
      <c r="R1866" t="b">
        <v>0</v>
      </c>
    </row>
    <row r="1867">
      <c r="A1867" t="inlineStr">
        <is>
          <t>22 Oct 2025 / 7806 Optimum Tree Services Ltd / Utilities / UKPN</t>
        </is>
      </c>
      <c r="B1867" t="inlineStr">
        <is>
          <t>Utilities</t>
        </is>
      </c>
      <c r="C1867" t="inlineStr">
        <is>
          <t>UKPN</t>
        </is>
      </c>
      <c r="D1867" t="inlineStr">
        <is>
          <t>SA9ST800000283069 , Chipper , Forst , ST 6P</t>
        </is>
      </c>
      <c r="E1867" t="inlineStr">
        <is>
          <t>SA9ST800000283069 , Chipper , Forst , ST 6P</t>
        </is>
      </c>
      <c r="F1867" t="inlineStr">
        <is>
          <t>SA9ST800000283069 , Chipper , Forst , ST 6P</t>
        </is>
      </c>
      <c r="G1867" t="inlineStr">
        <is>
          <t xml:space="preserve">Abraham Davies </t>
        </is>
      </c>
      <c r="H1867" t="inlineStr">
        <is>
          <t>Towed Chipper</t>
        </is>
      </c>
      <c r="I1867" t="inlineStr">
        <is>
          <t>Daily/ Weekly Vehicle Inspection</t>
        </is>
      </c>
      <c r="J1867" t="inlineStr">
        <is>
          <t>N/A</t>
        </is>
      </c>
      <c r="K1867" t="inlineStr">
        <is>
          <t>7806 Optimum Tree Services Ltd</t>
        </is>
      </c>
      <c r="L1867" t="inlineStr">
        <is>
          <t>22/10/2025 06:30</t>
        </is>
      </c>
      <c r="M1867" t="inlineStr">
        <is>
          <t>None</t>
        </is>
      </c>
      <c r="N1867" t="inlineStr">
        <is>
          <t>&lt;p&gt;&lt;/p&gt;</t>
        </is>
      </c>
      <c r="O1867" t="inlineStr"/>
      <c r="P1867" t="inlineStr">
        <is>
          <t>SA9ST800000283069 , Chipper , Forst , ST 6P</t>
        </is>
      </c>
      <c r="Q1867" t="inlineStr">
        <is>
          <t>UKPN</t>
        </is>
      </c>
      <c r="R1867" t="b">
        <v>0</v>
      </c>
    </row>
    <row r="1868">
      <c r="A1868" t="inlineStr">
        <is>
          <t>22 Oct 2025 / 7806 Optimum Tree Services Ltd / Utilities / UKPN</t>
        </is>
      </c>
      <c r="B1868" t="inlineStr">
        <is>
          <t>Utilities</t>
        </is>
      </c>
      <c r="C1868" t="inlineStr">
        <is>
          <t>UKPN</t>
        </is>
      </c>
      <c r="D1868" t="inlineStr">
        <is>
          <t>WD14EVB , MEWP , Land Rover , Defender</t>
        </is>
      </c>
      <c r="E1868" t="inlineStr">
        <is>
          <t>WD14EVB , MEWP , Land Rover , Defender</t>
        </is>
      </c>
      <c r="F1868" t="inlineStr">
        <is>
          <t>WD14EVB , MEWP , Land Rover , Defender</t>
        </is>
      </c>
      <c r="G1868" t="inlineStr">
        <is>
          <t xml:space="preserve">Abraham Davies </t>
        </is>
      </c>
      <c r="H1868" t="inlineStr">
        <is>
          <t>4x4</t>
        </is>
      </c>
      <c r="I1868" t="inlineStr">
        <is>
          <t>Daily/ Weekly Vehicle Inspection</t>
        </is>
      </c>
      <c r="J1868" t="inlineStr">
        <is>
          <t>N/A</t>
        </is>
      </c>
      <c r="K1868" t="inlineStr">
        <is>
          <t>7806 Optimum Tree Services Ltd</t>
        </is>
      </c>
      <c r="L1868" t="inlineStr">
        <is>
          <t>22/10/2025 06:31</t>
        </is>
      </c>
      <c r="M1868" t="inlineStr">
        <is>
          <t>None</t>
        </is>
      </c>
      <c r="N1868" t="inlineStr">
        <is>
          <t>&lt;p&gt;&lt;/p&gt;</t>
        </is>
      </c>
      <c r="O1868" t="inlineStr"/>
      <c r="P1868" t="inlineStr">
        <is>
          <t>WD14EVB , MEWP , Land Rover , Defender</t>
        </is>
      </c>
      <c r="Q1868" t="inlineStr">
        <is>
          <t>UKPN</t>
        </is>
      </c>
      <c r="R1868" t="b">
        <v>0</v>
      </c>
    </row>
    <row r="1869">
      <c r="A1869" t="inlineStr">
        <is>
          <t>22 Oct 2025 / 7889 Tree Tech Suffolk Ltd</t>
        </is>
      </c>
      <c r="B1869" t="inlineStr">
        <is>
          <t>Utilities &amp; Inland Waterways</t>
        </is>
      </c>
      <c r="C1869" t="inlineStr">
        <is>
          <t>UKPN</t>
        </is>
      </c>
      <c r="D1869" t="inlineStr">
        <is>
          <t>Tow Chipper - Jenson - A530L - 55210639484x4 - Isuzu - D-max - NS03 TTSTipper - Nissan - Navara - NS02TTS</t>
        </is>
      </c>
      <c r="E1869" t="inlineStr">
        <is>
          <t>Tow Chipper - Jenson - A530L - 55210639484x4 - Isuzu - D-max - NS03 TTSTipper - Nissan - Navara - NS02TTS</t>
        </is>
      </c>
      <c r="F1869" t="inlineStr">
        <is>
          <t>Tow Chipper - Jenson - A530L - 55210639484x4 - Isuzu - D-max - NS03 TTSTipper - Nissan - Navara - NS02TTS</t>
        </is>
      </c>
      <c r="G1869" t="inlineStr">
        <is>
          <t xml:space="preserve">Nikki sparrow Danny Appleby Nikki sparrow </t>
        </is>
      </c>
      <c r="H1869" t="inlineStr">
        <is>
          <t>Towed Chipper4x4Tipper</t>
        </is>
      </c>
      <c r="I1869" t="inlineStr">
        <is>
          <t>Daily/ Weekly Vehicle Inspection</t>
        </is>
      </c>
      <c r="J1869" t="inlineStr">
        <is>
          <t>N/A</t>
        </is>
      </c>
      <c r="K1869" t="inlineStr">
        <is>
          <t>7889 Tree Tech Suffolk Ltd</t>
        </is>
      </c>
      <c r="L1869" t="inlineStr">
        <is>
          <t>22/10/2025 07:29</t>
        </is>
      </c>
      <c r="M1869" t="inlineStr">
        <is>
          <t>None</t>
        </is>
      </c>
      <c r="N1869" t="inlineStr">
        <is>
          <t>&lt;p&gt;&lt;/p&gt;</t>
        </is>
      </c>
      <c r="O1869" t="inlineStr"/>
      <c r="P1869" t="inlineStr">
        <is>
          <t>Tow Chipper - Jenson - A530L - 55210639484x4 - Isuzu - D-max - NS03 TTSTipper - Nissan - Navara - NS02TTS</t>
        </is>
      </c>
      <c r="Q1869" t="inlineStr">
        <is>
          <t>UKPN</t>
        </is>
      </c>
      <c r="R1869" t="b">
        <v>0</v>
      </c>
    </row>
    <row r="1870">
      <c r="A1870" t="inlineStr">
        <is>
          <t>22 Oct 2025 / Anthony Gale / Utilities / UKPN</t>
        </is>
      </c>
      <c r="B1870" t="inlineStr">
        <is>
          <t>Utilities</t>
        </is>
      </c>
      <c r="C1870" t="inlineStr">
        <is>
          <t>UKPN</t>
        </is>
      </c>
      <c r="D1870" t="inlineStr">
        <is>
          <t>PE07 HGL , Vehicle , Mitsubishi , L200 K74</t>
        </is>
      </c>
      <c r="E1870" t="inlineStr">
        <is>
          <t>PE07 HGL , Vehicle , Mitsubishi , L200 K74</t>
        </is>
      </c>
      <c r="F1870" t="inlineStr">
        <is>
          <t>PE07 HGL , Vehicle , Mitsubishi , L200 K74</t>
        </is>
      </c>
      <c r="G1870" t="inlineStr">
        <is>
          <t>Anthony Gale</t>
        </is>
      </c>
      <c r="H1870" t="inlineStr">
        <is>
          <t>Pickup Truck</t>
        </is>
      </c>
      <c r="I1870" t="inlineStr">
        <is>
          <t>Daily/ Weekly Vehicle Inspection</t>
        </is>
      </c>
      <c r="J1870" t="inlineStr">
        <is>
          <t>N/A</t>
        </is>
      </c>
      <c r="K1870" t="inlineStr">
        <is>
          <t>7996 M G Tree Surgery Ltd 1</t>
        </is>
      </c>
      <c r="L1870" t="inlineStr">
        <is>
          <t>22/10/2025 07:30</t>
        </is>
      </c>
      <c r="M1870" t="inlineStr">
        <is>
          <t>None</t>
        </is>
      </c>
      <c r="N1870" t="inlineStr">
        <is>
          <t>&lt;p&gt;&lt;/p&gt;</t>
        </is>
      </c>
      <c r="O1870" t="inlineStr">
        <is>
          <t>Confirm that you have checked this vehicle as per the guidance document and the vehicle is safe and roadworthy:Drivers side wheel trim deteriorating, safe for now.
Monitor.
-</t>
        </is>
      </c>
      <c r="P1870" t="inlineStr">
        <is>
          <t>PE07 HGL , Vehicle , Mitsubishi , L200 K74</t>
        </is>
      </c>
      <c r="Q1870" t="inlineStr">
        <is>
          <t>UKPN</t>
        </is>
      </c>
      <c r="R1870" t="b">
        <v>0</v>
      </c>
    </row>
    <row r="1871">
      <c r="A1871" t="inlineStr">
        <is>
          <t>22 Oct 2025 / 3098 D &amp; R Landscapes (PEND Arb Rail) / Utilities / UKPN</t>
        </is>
      </c>
      <c r="B1871" t="inlineStr">
        <is>
          <t>Utilities</t>
        </is>
      </c>
      <c r="C1871" t="inlineStr">
        <is>
          <t>UKPN</t>
        </is>
      </c>
      <c r="D1871" t="inlineStr">
        <is>
          <t>DE68XHA , Tipper , Isuzu , Grafter</t>
        </is>
      </c>
      <c r="E1871" t="inlineStr">
        <is>
          <t>DE68XHA , Tipper , Isuzu , Grafter</t>
        </is>
      </c>
      <c r="F1871" t="inlineStr">
        <is>
          <t>DE68XHA , Tipper , Isuzu , Grafter</t>
        </is>
      </c>
      <c r="G1871" t="inlineStr">
        <is>
          <t>Chris</t>
        </is>
      </c>
      <c r="H1871" t="inlineStr">
        <is>
          <t>Tipper</t>
        </is>
      </c>
      <c r="I1871" t="inlineStr">
        <is>
          <t>Daily/ Weekly Vehicle Inspection</t>
        </is>
      </c>
      <c r="J1871" t="inlineStr">
        <is>
          <t>N/A</t>
        </is>
      </c>
      <c r="K1871" t="inlineStr">
        <is>
          <t>3098 D &amp; R Landscapes</t>
        </is>
      </c>
      <c r="L1871" t="inlineStr">
        <is>
          <t>22/10/2025 07:35</t>
        </is>
      </c>
      <c r="M1871" t="inlineStr">
        <is>
          <t>None</t>
        </is>
      </c>
      <c r="N1871" t="inlineStr">
        <is>
          <t>&lt;p&gt;&lt;/p&gt;</t>
        </is>
      </c>
      <c r="O1871" t="inlineStr"/>
      <c r="P1871" t="inlineStr">
        <is>
          <t>DE68XHA , Tipper , Isuzu , Grafter</t>
        </is>
      </c>
      <c r="Q1871" t="inlineStr">
        <is>
          <t>UKPN</t>
        </is>
      </c>
      <c r="R1871" t="b">
        <v>0</v>
      </c>
    </row>
    <row r="1872">
      <c r="A1872" t="inlineStr">
        <is>
          <t>22 Oct 2025 / 3098 D &amp; R Landscapes (PEND Arb Rail) / Utilities / UKPN</t>
        </is>
      </c>
      <c r="B1872" t="inlineStr">
        <is>
          <t>Utilities</t>
        </is>
      </c>
      <c r="C1872" t="inlineStr">
        <is>
          <t>UKPN</t>
        </is>
      </c>
      <c r="D1872" t="inlineStr">
        <is>
          <t>WA13ZZK , 4x4 , Land Rover  , Defender</t>
        </is>
      </c>
      <c r="E1872" t="inlineStr">
        <is>
          <t>WA13ZZK , 4x4 , Land Rover  , Defender</t>
        </is>
      </c>
      <c r="F1872" t="inlineStr">
        <is>
          <t>WA13ZZK , 4x4 , Land Rover  , Defender</t>
        </is>
      </c>
      <c r="G1872" t="inlineStr">
        <is>
          <t>Jason</t>
        </is>
      </c>
      <c r="H1872" t="inlineStr">
        <is>
          <t>4x4</t>
        </is>
      </c>
      <c r="I1872" t="inlineStr">
        <is>
          <t>Daily/ Weekly Vehicle Inspection</t>
        </is>
      </c>
      <c r="J1872" t="inlineStr">
        <is>
          <t>N/A</t>
        </is>
      </c>
      <c r="K1872" t="inlineStr">
        <is>
          <t>3098 D &amp; R Landscapes</t>
        </is>
      </c>
      <c r="L1872" t="inlineStr">
        <is>
          <t>22/10/2025 07:36</t>
        </is>
      </c>
      <c r="M1872" t="inlineStr">
        <is>
          <t>None</t>
        </is>
      </c>
      <c r="N1872" t="inlineStr">
        <is>
          <t>&lt;p&gt;&lt;/p&gt;</t>
        </is>
      </c>
      <c r="O1872" t="inlineStr"/>
      <c r="P1872" t="inlineStr">
        <is>
          <t>WA13ZZK , 4x4 , Land Rover  , Defender</t>
        </is>
      </c>
      <c r="Q1872" t="inlineStr">
        <is>
          <t>UKPN</t>
        </is>
      </c>
      <c r="R1872" t="b">
        <v>0</v>
      </c>
    </row>
    <row r="1873">
      <c r="A1873" t="inlineStr">
        <is>
          <t>22 Oct 2025 / Thomas Playford / Utilities / UKPN</t>
        </is>
      </c>
      <c r="B1873" t="inlineStr">
        <is>
          <t>Utilities</t>
        </is>
      </c>
      <c r="C1873" t="inlineStr">
        <is>
          <t>UKPN</t>
        </is>
      </c>
      <c r="D1873" t="inlineStr">
        <is>
          <t>SA9ST800000283944 , Tow Chipper , Forst , ST8D - Towed</t>
        </is>
      </c>
      <c r="E1873" t="inlineStr">
        <is>
          <t>SA9ST800000283944 , Tow Chipper , Forst , ST8D - Towed</t>
        </is>
      </c>
      <c r="F1873" t="inlineStr">
        <is>
          <t>SA9ST800000283944 , Tow Chipper , Forst , ST8D - Towed</t>
        </is>
      </c>
      <c r="G1873" t="inlineStr">
        <is>
          <t>Jacob Oram</t>
        </is>
      </c>
      <c r="H1873" t="inlineStr">
        <is>
          <t>Towed Chipper</t>
        </is>
      </c>
      <c r="I1873" t="inlineStr">
        <is>
          <t>Daily/ Weekly Vehicle Inspection</t>
        </is>
      </c>
      <c r="J1873" t="inlineStr">
        <is>
          <t>N/A</t>
        </is>
      </c>
      <c r="K1873" t="inlineStr">
        <is>
          <t>7995 Contour Landscapes Ltd 2</t>
        </is>
      </c>
      <c r="L1873" t="inlineStr">
        <is>
          <t>22/10/2025 08:29</t>
        </is>
      </c>
      <c r="M1873" t="inlineStr">
        <is>
          <t>None</t>
        </is>
      </c>
      <c r="N1873" t="inlineStr">
        <is>
          <t>&lt;p&gt;&lt;/p&gt;</t>
        </is>
      </c>
      <c r="O1873" t="inlineStr"/>
      <c r="P1873" t="inlineStr">
        <is>
          <t>SA9ST800000283944 , Tow Chipper , Forst , ST8D - Towed</t>
        </is>
      </c>
      <c r="Q1873" t="inlineStr">
        <is>
          <t>UKPN</t>
        </is>
      </c>
      <c r="R1873" t="b">
        <v>0</v>
      </c>
    </row>
    <row r="1874">
      <c r="A1874" t="inlineStr">
        <is>
          <t>22 Oct 2025 / Thomas Playford / Utilities / UKPN</t>
        </is>
      </c>
      <c r="B1874" t="inlineStr">
        <is>
          <t>Utilities</t>
        </is>
      </c>
      <c r="C1874" t="inlineStr">
        <is>
          <t>UKPN</t>
        </is>
      </c>
      <c r="D1874" t="inlineStr">
        <is>
          <t>YP24 WRD , Vehicle , Ford , Ranger</t>
        </is>
      </c>
      <c r="E1874" t="inlineStr">
        <is>
          <t>YP24 WRD , Vehicle , Ford , Ranger</t>
        </is>
      </c>
      <c r="F1874" t="inlineStr">
        <is>
          <t>YP24 WRD , Vehicle , Ford , Ranger</t>
        </is>
      </c>
      <c r="G1874" t="inlineStr">
        <is>
          <t>Jacob Oram</t>
        </is>
      </c>
      <c r="H1874" t="inlineStr">
        <is>
          <t>4x4</t>
        </is>
      </c>
      <c r="I1874" t="inlineStr">
        <is>
          <t>Daily/ Weekly Vehicle Inspection</t>
        </is>
      </c>
      <c r="J1874" t="inlineStr">
        <is>
          <t>N/A</t>
        </is>
      </c>
      <c r="K1874" t="inlineStr">
        <is>
          <t>7995 Contour Landscapes Ltd 2</t>
        </is>
      </c>
      <c r="L1874" t="inlineStr">
        <is>
          <t>22/10/2025 08:29</t>
        </is>
      </c>
      <c r="M1874" t="inlineStr">
        <is>
          <t>None</t>
        </is>
      </c>
      <c r="N1874" t="inlineStr">
        <is>
          <t>&lt;p&gt;&lt;/p&gt;</t>
        </is>
      </c>
      <c r="O1874" t="inlineStr"/>
      <c r="P1874" t="inlineStr">
        <is>
          <t>YP24 WRD , Vehicle , Ford , Ranger</t>
        </is>
      </c>
      <c r="Q1874" t="inlineStr">
        <is>
          <t>UKPN</t>
        </is>
      </c>
      <c r="R1874" t="b">
        <v>0</v>
      </c>
    </row>
    <row r="1875">
      <c r="A1875" t="inlineStr">
        <is>
          <t>22 Oct 2025 / 7186 Eastwoodbury Tree Services Ltd / Utilities / UKPN</t>
        </is>
      </c>
      <c r="B1875" t="inlineStr">
        <is>
          <t>Utilities</t>
        </is>
      </c>
      <c r="C1875" t="inlineStr">
        <is>
          <t>UKPN</t>
        </is>
      </c>
      <c r="D1875" t="inlineStr">
        <is>
          <t>FN600XM , 4x4 , Land Rover  , Defender</t>
        </is>
      </c>
      <c r="E1875" t="inlineStr">
        <is>
          <t>FN600XM , 4x4 , Land Rover  , Defender</t>
        </is>
      </c>
      <c r="F1875" t="inlineStr">
        <is>
          <t>FN600XM , 4x4 , Land Rover  , Defender</t>
        </is>
      </c>
      <c r="G1875" t="inlineStr">
        <is>
          <t xml:space="preserve">Dan Gilbert </t>
        </is>
      </c>
      <c r="H1875" t="inlineStr">
        <is>
          <t>4x4</t>
        </is>
      </c>
      <c r="I1875" t="inlineStr">
        <is>
          <t>Daily/ Weekly Vehicle Inspection</t>
        </is>
      </c>
      <c r="J1875" t="inlineStr">
        <is>
          <t>N/A</t>
        </is>
      </c>
      <c r="K1875" t="inlineStr">
        <is>
          <t>7186 Eastwoodbury Tree Services Ltd</t>
        </is>
      </c>
      <c r="L1875" t="inlineStr">
        <is>
          <t>22/10/2025 08:31</t>
        </is>
      </c>
      <c r="M1875" t="inlineStr">
        <is>
          <t>None</t>
        </is>
      </c>
      <c r="N1875" t="inlineStr">
        <is>
          <t>&lt;p&gt;&lt;/p&gt;</t>
        </is>
      </c>
      <c r="O1875" t="inlineStr"/>
      <c r="P1875" t="inlineStr">
        <is>
          <t>FN600XM , 4x4 , Land Rover  , Defender</t>
        </is>
      </c>
      <c r="Q1875" t="inlineStr">
        <is>
          <t>UKPN</t>
        </is>
      </c>
      <c r="R1875" t="b">
        <v>0</v>
      </c>
    </row>
    <row r="1876">
      <c r="A1876" t="inlineStr">
        <is>
          <t>22 Oct 2025 / 7186 Eastwoodbury Tree Services Ltd / Utilities / UKPN</t>
        </is>
      </c>
      <c r="B1876" t="inlineStr">
        <is>
          <t>Utilities</t>
        </is>
      </c>
      <c r="C1876" t="inlineStr">
        <is>
          <t>UKPN</t>
        </is>
      </c>
      <c r="D1876" t="inlineStr">
        <is>
          <t>DN61XKJ , Tipper , Ford , Transit</t>
        </is>
      </c>
      <c r="E1876" t="inlineStr">
        <is>
          <t>DN61XKJ , Tipper , Ford , Transit</t>
        </is>
      </c>
      <c r="F1876" t="inlineStr">
        <is>
          <t>DN61XKJ , Tipper , Ford , Transit</t>
        </is>
      </c>
      <c r="G1876" t="inlineStr">
        <is>
          <t xml:space="preserve">Jay Denkmayer </t>
        </is>
      </c>
      <c r="H1876" t="inlineStr">
        <is>
          <t>Tipper</t>
        </is>
      </c>
      <c r="I1876" t="inlineStr">
        <is>
          <t>Daily/ Weekly Vehicle Inspection</t>
        </is>
      </c>
      <c r="J1876" t="inlineStr">
        <is>
          <t>N/A</t>
        </is>
      </c>
      <c r="K1876" t="inlineStr">
        <is>
          <t>7186 Eastwoodbury Tree Services Ltd</t>
        </is>
      </c>
      <c r="L1876" t="inlineStr">
        <is>
          <t>22/10/2025 08:31</t>
        </is>
      </c>
      <c r="M1876" t="inlineStr">
        <is>
          <t>None</t>
        </is>
      </c>
      <c r="N1876" t="inlineStr">
        <is>
          <t>&lt;p&gt;&lt;/p&gt;</t>
        </is>
      </c>
      <c r="O1876" t="inlineStr"/>
      <c r="P1876" t="inlineStr">
        <is>
          <t>DN61XKJ , Tipper , Ford , Transit</t>
        </is>
      </c>
      <c r="Q1876" t="inlineStr">
        <is>
          <t>UKPN</t>
        </is>
      </c>
      <c r="R1876" t="b">
        <v>0</v>
      </c>
    </row>
    <row r="1877">
      <c r="A1877" t="inlineStr">
        <is>
          <t>22 Oct 2025 / 7186 Eastwoodbury Tree Services Ltd / Utilities / UKPN</t>
        </is>
      </c>
      <c r="B1877" t="inlineStr">
        <is>
          <t>Utilities</t>
        </is>
      </c>
      <c r="C1877" t="inlineStr">
        <is>
          <t>UKPN</t>
        </is>
      </c>
      <c r="D1877" t="inlineStr">
        <is>
          <t>4x4 - Land rover  - Defenders  - WF13 EKM</t>
        </is>
      </c>
      <c r="E1877" t="inlineStr">
        <is>
          <t>4x4 - Land rover  - Defenders  - WF13 EKM</t>
        </is>
      </c>
      <c r="F1877" t="inlineStr">
        <is>
          <t>4x4 - Land rover  - Defenders  - WF13 EKM</t>
        </is>
      </c>
      <c r="G1877" t="inlineStr">
        <is>
          <t xml:space="preserve">Tom Price </t>
        </is>
      </c>
      <c r="H1877" t="inlineStr">
        <is>
          <t>4x4</t>
        </is>
      </c>
      <c r="I1877" t="inlineStr">
        <is>
          <t>Daily/ Weekly Vehicle Inspection</t>
        </is>
      </c>
      <c r="J1877" t="inlineStr">
        <is>
          <t>N/A</t>
        </is>
      </c>
      <c r="K1877" t="inlineStr">
        <is>
          <t>7186 Eastwoodbury Tree Services Ltd</t>
        </is>
      </c>
      <c r="L1877" t="inlineStr">
        <is>
          <t>22/10/2025 08:32</t>
        </is>
      </c>
      <c r="M1877" t="inlineStr">
        <is>
          <t>None</t>
        </is>
      </c>
      <c r="N1877" t="inlineStr">
        <is>
          <t>&lt;p&gt;&lt;/p&gt;</t>
        </is>
      </c>
      <c r="O1877" t="inlineStr"/>
      <c r="P1877" t="inlineStr">
        <is>
          <t>4x4 - Land rover  - Defenders  - WF13 EKM</t>
        </is>
      </c>
      <c r="Q1877" t="inlineStr">
        <is>
          <t>UKPN</t>
        </is>
      </c>
      <c r="R1877" t="b">
        <v>0</v>
      </c>
    </row>
    <row r="1878">
      <c r="A1878" t="inlineStr">
        <is>
          <t>22 Oct 2025 / Anthony Gale / Utilities / UKPN</t>
        </is>
      </c>
      <c r="B1878" t="inlineStr">
        <is>
          <t>Utilities</t>
        </is>
      </c>
      <c r="C1878" t="inlineStr">
        <is>
          <t>UKPN</t>
        </is>
      </c>
      <c r="D1878" t="inlineStr">
        <is>
          <t>PE07 HGL , Vehicle , Mitsubishi , L200 K74</t>
        </is>
      </c>
      <c r="E1878" t="inlineStr">
        <is>
          <t>PE07 HGL , Vehicle , Mitsubishi , L200 K74</t>
        </is>
      </c>
      <c r="F1878" t="inlineStr">
        <is>
          <t>PE07 HGL , Vehicle , Mitsubishi , L200 K74</t>
        </is>
      </c>
      <c r="G1878" t="inlineStr">
        <is>
          <t>Anthony Gale</t>
        </is>
      </c>
      <c r="H1878" t="inlineStr">
        <is>
          <t>Pickup Truck</t>
        </is>
      </c>
      <c r="I1878" t="inlineStr">
        <is>
          <t>Daily/ Weekly Vehicle Inspection</t>
        </is>
      </c>
      <c r="J1878" t="inlineStr">
        <is>
          <t>N/A</t>
        </is>
      </c>
      <c r="K1878" t="inlineStr">
        <is>
          <t>7996 M G Tree Surgery Ltd 1</t>
        </is>
      </c>
      <c r="L1878" t="inlineStr">
        <is>
          <t>22/10/2025 10:30</t>
        </is>
      </c>
      <c r="M1878" t="inlineStr">
        <is>
          <t>None</t>
        </is>
      </c>
      <c r="N1878" t="inlineStr">
        <is>
          <t>&lt;p&gt;&lt;/p&gt;</t>
        </is>
      </c>
      <c r="O1878" t="inlineStr">
        <is>
          <t>Confirm that you have checked this vehicle as per the guidance document and the vehicle is safe and roadworthy:Drivers side wheel trim deteriorating, safe for now.
Monitor.
-</t>
        </is>
      </c>
      <c r="P1878" t="inlineStr">
        <is>
          <t>PE07 HGL , Vehicle , Mitsubishi , L200 K74</t>
        </is>
      </c>
      <c r="Q1878" t="inlineStr">
        <is>
          <t>UKPN</t>
        </is>
      </c>
      <c r="R1878" t="b">
        <v>0</v>
      </c>
    </row>
    <row r="1879">
      <c r="A1879" t="inlineStr">
        <is>
          <t>22 Oct 2025 / James Gorman / Utilities / UKPN</t>
        </is>
      </c>
      <c r="B1879" t="inlineStr">
        <is>
          <t>Utilities</t>
        </is>
      </c>
      <c r="C1879" t="inlineStr">
        <is>
          <t>UKPN</t>
        </is>
      </c>
      <c r="D1879" t="inlineStr">
        <is>
          <t>Car - Electric - Tesla - Model 3  - AF22 XRA</t>
        </is>
      </c>
      <c r="E1879" t="inlineStr">
        <is>
          <t>Car - Electric - Tesla - Model 3  - AF22 XRA</t>
        </is>
      </c>
      <c r="F1879" t="inlineStr">
        <is>
          <t>Car - Electric - Tesla - Model 3  - AF22 XRA</t>
        </is>
      </c>
      <c r="G1879" t="inlineStr">
        <is>
          <t xml:space="preserve">James Gorman </t>
        </is>
      </c>
      <c r="H1879" t="inlineStr">
        <is>
          <t>Car - Electric (GC Owned)</t>
        </is>
      </c>
      <c r="I1879" t="inlineStr">
        <is>
          <t>Daily/ Weekly Vehicle Inspection</t>
        </is>
      </c>
      <c r="J1879" t="inlineStr">
        <is>
          <t>N/A</t>
        </is>
      </c>
      <c r="K1879" t="inlineStr">
        <is>
          <t>James Gorman</t>
        </is>
      </c>
      <c r="L1879" t="inlineStr">
        <is>
          <t>22/10/2025 10:31</t>
        </is>
      </c>
      <c r="M1879" t="inlineStr">
        <is>
          <t>None</t>
        </is>
      </c>
      <c r="N1879" t="inlineStr">
        <is>
          <t>&lt;p&gt;&lt;/p&gt;</t>
        </is>
      </c>
      <c r="O1879" t="inlineStr">
        <is>
          <t>Confirm that you have checked this vehicle as per the guidance document and the vehicle is safe and roadworthy:Rattling hub caps
-</t>
        </is>
      </c>
      <c r="P1879" t="inlineStr">
        <is>
          <t>Car - Electric - Tesla - Model 3  - AF22 XRA</t>
        </is>
      </c>
      <c r="Q1879" t="inlineStr">
        <is>
          <t>UKPN</t>
        </is>
      </c>
      <c r="R1879" t="b">
        <v>0</v>
      </c>
    </row>
    <row r="1880">
      <c r="A1880" t="inlineStr">
        <is>
          <t>22 Oct 2025 / Jodie Bowen / Utilities / UKPN</t>
        </is>
      </c>
      <c r="B1880" t="inlineStr">
        <is>
          <t>Utilities</t>
        </is>
      </c>
      <c r="C1880" t="inlineStr">
        <is>
          <t>UKPN</t>
        </is>
      </c>
      <c r="D1880" t="inlineStr">
        <is>
          <t>EK73UOL , Car - Electric , Kia , Niro</t>
        </is>
      </c>
      <c r="E1880" t="inlineStr">
        <is>
          <t>EK73UOL , Car - Electric , Kia , Niro</t>
        </is>
      </c>
      <c r="F1880" t="inlineStr">
        <is>
          <t>EK73UOL , Car - Electric , Kia , Niro</t>
        </is>
      </c>
      <c r="G1880" t="inlineStr">
        <is>
          <t>Jodie Bowen</t>
        </is>
      </c>
      <c r="H1880" t="inlineStr">
        <is>
          <t>Car - Electric (GC Owned)</t>
        </is>
      </c>
      <c r="I1880" t="inlineStr">
        <is>
          <t>Daily/ Weekly Vehicle Inspection</t>
        </is>
      </c>
      <c r="J1880" t="inlineStr">
        <is>
          <t>N/A</t>
        </is>
      </c>
      <c r="K1880" t="inlineStr">
        <is>
          <t>Jodie Bowen</t>
        </is>
      </c>
      <c r="L1880" t="inlineStr">
        <is>
          <t>22/10/2025 12:29</t>
        </is>
      </c>
      <c r="M1880" t="inlineStr">
        <is>
          <t>None</t>
        </is>
      </c>
      <c r="N1880" t="inlineStr">
        <is>
          <t>&lt;p&gt;&lt;/p&gt;</t>
        </is>
      </c>
      <c r="O1880" t="inlineStr"/>
      <c r="P1880" t="inlineStr">
        <is>
          <t>EK73UOL , Car - Electric , Kia , Niro</t>
        </is>
      </c>
      <c r="Q1880" t="inlineStr">
        <is>
          <t>UKPN</t>
        </is>
      </c>
      <c r="R1880" t="b">
        <v>0</v>
      </c>
    </row>
    <row r="1881">
      <c r="A1881" t="inlineStr">
        <is>
          <t>22 Oct 2025 / 7996 M G Tree Surgery Ltd / Utilities / UKPN</t>
        </is>
      </c>
      <c r="B1881" t="inlineStr">
        <is>
          <t>Utilities</t>
        </is>
      </c>
      <c r="C1881" t="inlineStr">
        <is>
          <t>UKPN</t>
        </is>
      </c>
      <c r="D1881" t="inlineStr"/>
      <c r="E1881" t="inlineStr"/>
      <c r="F1881" t="inlineStr"/>
      <c r="G1881" t="inlineStr"/>
      <c r="H1881" t="inlineStr"/>
      <c r="I1881" t="inlineStr">
        <is>
          <t>Add to Vehicle to the GC Vehicle List</t>
        </is>
      </c>
      <c r="J1881" t="inlineStr">
        <is>
          <t>N/A</t>
        </is>
      </c>
      <c r="K1881" t="inlineStr">
        <is>
          <t>7996 M G Tree Surgery Ltd</t>
        </is>
      </c>
      <c r="L1881" t="inlineStr">
        <is>
          <t>22/10/2025 14:29</t>
        </is>
      </c>
      <c r="M1881" t="inlineStr">
        <is>
          <t>None</t>
        </is>
      </c>
      <c r="N1881" t="inlineStr">
        <is>
          <t>&lt;p&gt;&lt;/p&gt;</t>
        </is>
      </c>
      <c r="O1881" t="inlineStr"/>
      <c r="P1881" t="inlineStr"/>
      <c r="Q1881" t="inlineStr">
        <is>
          <t>UKPN</t>
        </is>
      </c>
      <c r="R1881" t="b">
        <v>0</v>
      </c>
    </row>
    <row r="1882">
      <c r="A1882" t="inlineStr">
        <is>
          <t>22 Oct 2025 / 7806 Optimum Tree Services Ltd / Utilities / UKPN</t>
        </is>
      </c>
      <c r="B1882" t="inlineStr">
        <is>
          <t>Utilities</t>
        </is>
      </c>
      <c r="C1882" t="inlineStr">
        <is>
          <t>UKPN</t>
        </is>
      </c>
      <c r="D1882" t="inlineStr"/>
      <c r="E1882" t="inlineStr"/>
      <c r="F1882" t="inlineStr"/>
      <c r="G1882" t="inlineStr"/>
      <c r="H1882" t="inlineStr"/>
      <c r="I1882" t="inlineStr">
        <is>
          <t>Add to Vehicle to the GC Vehicle List</t>
        </is>
      </c>
      <c r="J1882" t="inlineStr">
        <is>
          <t>N/A</t>
        </is>
      </c>
      <c r="K1882" t="inlineStr">
        <is>
          <t>7806 Optimum Tree Services Ltd</t>
        </is>
      </c>
      <c r="L1882" t="inlineStr">
        <is>
          <t>22/10/2025 15:29</t>
        </is>
      </c>
      <c r="M1882" t="inlineStr">
        <is>
          <t>None</t>
        </is>
      </c>
      <c r="N1882" t="inlineStr">
        <is>
          <t>&lt;p&gt;&lt;/p&gt;</t>
        </is>
      </c>
      <c r="O1882" t="inlineStr"/>
      <c r="P1882" t="inlineStr"/>
      <c r="Q1882" t="inlineStr">
        <is>
          <t>UKPN</t>
        </is>
      </c>
      <c r="R1882" t="b">
        <v>0</v>
      </c>
    </row>
    <row r="1883">
      <c r="A1883" t="inlineStr">
        <is>
          <t>23 Oct 2025 / Aaron Billingham / Utilities / NGED</t>
        </is>
      </c>
      <c r="B1883" t="inlineStr">
        <is>
          <t>Utilities</t>
        </is>
      </c>
      <c r="C1883" t="inlineStr">
        <is>
          <t>NGED</t>
        </is>
      </c>
      <c r="D1883" t="inlineStr">
        <is>
          <t>EK18ECN , 4x4 , Ford , Ranger</t>
        </is>
      </c>
      <c r="E1883" t="inlineStr">
        <is>
          <t>EK18ECN , 4x4 , Ford , Ranger</t>
        </is>
      </c>
      <c r="F1883" t="inlineStr">
        <is>
          <t>EK18ECN , 4x4 , Ford , Ranger</t>
        </is>
      </c>
      <c r="G1883" t="inlineStr">
        <is>
          <t>Aaron Billingham</t>
        </is>
      </c>
      <c r="H1883" t="inlineStr">
        <is>
          <t>4x4</t>
        </is>
      </c>
      <c r="I1883" t="inlineStr">
        <is>
          <t>Daily/ Weekly Vehicle Inspection</t>
        </is>
      </c>
      <c r="J1883" t="inlineStr">
        <is>
          <t>N/A</t>
        </is>
      </c>
      <c r="K1883" t="inlineStr">
        <is>
          <t>Aaron Billingham</t>
        </is>
      </c>
      <c r="L1883" t="inlineStr">
        <is>
          <t>23/10/2025 14:30</t>
        </is>
      </c>
      <c r="M1883" t="inlineStr">
        <is>
          <t>None</t>
        </is>
      </c>
      <c r="N1883" t="inlineStr">
        <is>
          <t>&lt;p&gt;&lt;/p&gt;</t>
        </is>
      </c>
      <c r="O1883" t="inlineStr"/>
      <c r="P1883" t="inlineStr">
        <is>
          <t>EK18ECN , 4x4 , Ford , Ranger</t>
        </is>
      </c>
      <c r="Q1883" t="inlineStr">
        <is>
          <t>NGED</t>
        </is>
      </c>
      <c r="R1883" t="b">
        <v>0</v>
      </c>
    </row>
    <row r="1884">
      <c r="A1884" t="inlineStr">
        <is>
          <t>24 Oct 2025 / 7889 Tree Tech Suffolk Ltd</t>
        </is>
      </c>
      <c r="B1884" t="inlineStr">
        <is>
          <t>Utilities &amp; Inland Waterways</t>
        </is>
      </c>
      <c r="C1884" t="inlineStr">
        <is>
          <t>UKPN</t>
        </is>
      </c>
      <c r="D1884" t="inlineStr">
        <is>
          <t>Tow Chipper - Jenson - A530L - 55210639484x4 - Isuzu - D-max - NS03 TTSTipper - Nissan - Navara - NS02TTS</t>
        </is>
      </c>
      <c r="E1884" t="inlineStr">
        <is>
          <t>Tow Chipper - Jenson - A530L - 55210639484x4 - Isuzu - D-max - NS03 TTSTipper - Nissan - Navara - NS02TTS</t>
        </is>
      </c>
      <c r="F1884" t="inlineStr">
        <is>
          <t>Tow Chipper - Jenson - A530L - 55210639484x4 - Isuzu - D-max - NS03 TTSTipper - Nissan - Navara - NS02TTS</t>
        </is>
      </c>
      <c r="G1884" t="inlineStr">
        <is>
          <t xml:space="preserve">Nikki sparrow Danny Appleby Nikki sparrow </t>
        </is>
      </c>
      <c r="H1884" t="inlineStr">
        <is>
          <t>Towed Chipper4x4Tipper</t>
        </is>
      </c>
      <c r="I1884" t="inlineStr">
        <is>
          <t>Daily/ Weekly Vehicle Inspection</t>
        </is>
      </c>
      <c r="J1884" t="inlineStr">
        <is>
          <t>N/A</t>
        </is>
      </c>
      <c r="K1884" t="inlineStr">
        <is>
          <t>7889 Tree Tech Suffolk Ltd</t>
        </is>
      </c>
      <c r="L1884" t="inlineStr">
        <is>
          <t>24/10/2025 07:33</t>
        </is>
      </c>
      <c r="M1884" t="inlineStr">
        <is>
          <t>None</t>
        </is>
      </c>
      <c r="N1884" t="inlineStr">
        <is>
          <t>&lt;p&gt;&lt;/p&gt;</t>
        </is>
      </c>
      <c r="O1884" t="inlineStr"/>
      <c r="P1884" t="inlineStr">
        <is>
          <t>Tow Chipper - Jenson - A530L - 55210639484x4 - Isuzu - D-max - NS03 TTSTipper - Nissan - Navara - NS02TTS</t>
        </is>
      </c>
      <c r="Q1884" t="inlineStr">
        <is>
          <t>UKPN</t>
        </is>
      </c>
      <c r="R1884" t="b">
        <v>0</v>
      </c>
    </row>
    <row r="1885">
      <c r="A1885" t="inlineStr">
        <is>
          <t>24 Oct 2025 / Thomas Playford / Utilities / UKPN</t>
        </is>
      </c>
      <c r="B1885" t="inlineStr">
        <is>
          <t>Utilities</t>
        </is>
      </c>
      <c r="C1885" t="inlineStr">
        <is>
          <t>UKPN</t>
        </is>
      </c>
      <c r="D1885" t="inlineStr">
        <is>
          <t>SA9ST800000283944 , Tow Chipper , Forst , ST8D - Towed</t>
        </is>
      </c>
      <c r="E1885" t="inlineStr">
        <is>
          <t>SA9ST800000283944 , Tow Chipper , Forst , ST8D - Towed</t>
        </is>
      </c>
      <c r="F1885" t="inlineStr">
        <is>
          <t>SA9ST800000283944 , Tow Chipper , Forst , ST8D - Towed</t>
        </is>
      </c>
      <c r="G1885" t="inlineStr">
        <is>
          <t>Jacob Oram</t>
        </is>
      </c>
      <c r="H1885" t="inlineStr">
        <is>
          <t>Towed Chipper</t>
        </is>
      </c>
      <c r="I1885" t="inlineStr">
        <is>
          <t>Daily/ Weekly Vehicle Inspection</t>
        </is>
      </c>
      <c r="J1885" t="inlineStr">
        <is>
          <t>N/A</t>
        </is>
      </c>
      <c r="K1885" t="inlineStr">
        <is>
          <t>7995 Contour Landscapes Ltd 2</t>
        </is>
      </c>
      <c r="L1885" t="inlineStr">
        <is>
          <t>24/10/2025 08:30</t>
        </is>
      </c>
      <c r="M1885" t="inlineStr">
        <is>
          <t>None</t>
        </is>
      </c>
      <c r="N1885" t="inlineStr">
        <is>
          <t>&lt;p&gt;&lt;/p&gt;</t>
        </is>
      </c>
      <c r="O1885" t="inlineStr"/>
      <c r="P1885" t="inlineStr">
        <is>
          <t>SA9ST800000283944 , Tow Chipper , Forst , ST8D - Towed</t>
        </is>
      </c>
      <c r="Q1885" t="inlineStr">
        <is>
          <t>UKPN</t>
        </is>
      </c>
      <c r="R1885" t="b">
        <v>0</v>
      </c>
    </row>
    <row r="1886">
      <c r="A1886" t="inlineStr">
        <is>
          <t>24 Oct 2025 / Thomas Playford / Utilities / UKPN</t>
        </is>
      </c>
      <c r="B1886" t="inlineStr">
        <is>
          <t>Utilities</t>
        </is>
      </c>
      <c r="C1886" t="inlineStr">
        <is>
          <t>UKPN</t>
        </is>
      </c>
      <c r="D1886" t="inlineStr">
        <is>
          <t>YP24 WRD , Vehicle , Ford , Ranger</t>
        </is>
      </c>
      <c r="E1886" t="inlineStr">
        <is>
          <t>YP24 WRD , Vehicle , Ford , Ranger</t>
        </is>
      </c>
      <c r="F1886" t="inlineStr">
        <is>
          <t>YP24 WRD , Vehicle , Ford , Ranger</t>
        </is>
      </c>
      <c r="G1886" t="inlineStr">
        <is>
          <t>Jacob Oram</t>
        </is>
      </c>
      <c r="H1886" t="inlineStr">
        <is>
          <t>4x4</t>
        </is>
      </c>
      <c r="I1886" t="inlineStr">
        <is>
          <t>Daily/ Weekly Vehicle Inspection</t>
        </is>
      </c>
      <c r="J1886" t="inlineStr">
        <is>
          <t>N/A</t>
        </is>
      </c>
      <c r="K1886" t="inlineStr">
        <is>
          <t>7995 Contour Landscapes Ltd 2</t>
        </is>
      </c>
      <c r="L1886" t="inlineStr">
        <is>
          <t>24/10/2025 08:31</t>
        </is>
      </c>
      <c r="M1886" t="inlineStr">
        <is>
          <t>None</t>
        </is>
      </c>
      <c r="N1886" t="inlineStr">
        <is>
          <t>&lt;p&gt;&lt;/p&gt;</t>
        </is>
      </c>
      <c r="O1886" t="inlineStr"/>
      <c r="P1886" t="inlineStr">
        <is>
          <t>YP24 WRD , Vehicle , Ford , Ranger</t>
        </is>
      </c>
      <c r="Q1886" t="inlineStr">
        <is>
          <t>UKPN</t>
        </is>
      </c>
      <c r="R1886" t="b">
        <v>0</v>
      </c>
    </row>
    <row r="1887">
      <c r="A1887" t="inlineStr">
        <is>
          <t>24 Oct 2025 / 7186 Eastwoodbury Tree Services Ltd / Utilities / UKPN</t>
        </is>
      </c>
      <c r="B1887" t="inlineStr">
        <is>
          <t>Utilities</t>
        </is>
      </c>
      <c r="C1887" t="inlineStr">
        <is>
          <t>UKPN</t>
        </is>
      </c>
      <c r="D1887" t="inlineStr">
        <is>
          <t>DE53NKS , 4x4 , Ford , Ranger</t>
        </is>
      </c>
      <c r="E1887" t="inlineStr">
        <is>
          <t>DE53NKS , 4x4 , Ford , Ranger</t>
        </is>
      </c>
      <c r="F1887" t="inlineStr">
        <is>
          <t>DE53NKS , 4x4 , Ford , Ranger</t>
        </is>
      </c>
      <c r="G1887" t="inlineStr">
        <is>
          <t xml:space="preserve">Jay Denkmayer </t>
        </is>
      </c>
      <c r="H1887" t="inlineStr">
        <is>
          <t>Pickup Truck</t>
        </is>
      </c>
      <c r="I1887" t="inlineStr">
        <is>
          <t>Daily/ Weekly Vehicle Inspection</t>
        </is>
      </c>
      <c r="J1887" t="inlineStr">
        <is>
          <t>N/A</t>
        </is>
      </c>
      <c r="K1887" t="inlineStr">
        <is>
          <t>7186 Eastwoodbury Tree Services Ltd</t>
        </is>
      </c>
      <c r="L1887" t="inlineStr">
        <is>
          <t>24/10/2025 08:31</t>
        </is>
      </c>
      <c r="M1887" t="inlineStr">
        <is>
          <t>None</t>
        </is>
      </c>
      <c r="N1887" t="inlineStr">
        <is>
          <t>&lt;p&gt;&lt;/p&gt;</t>
        </is>
      </c>
      <c r="O1887" t="inlineStr"/>
      <c r="P1887" t="inlineStr">
        <is>
          <t>DE53NKS , 4x4 , Ford , Ranger</t>
        </is>
      </c>
      <c r="Q1887" t="inlineStr">
        <is>
          <t>UKPN</t>
        </is>
      </c>
      <c r="R1887" t="b">
        <v>0</v>
      </c>
    </row>
    <row r="1888">
      <c r="A1888" t="inlineStr">
        <is>
          <t>24 Oct 2025 / 7186 Eastwoodbury Tree Services Ltd / Utilities / UKPN</t>
        </is>
      </c>
      <c r="B1888" t="inlineStr">
        <is>
          <t>Utilities</t>
        </is>
      </c>
      <c r="C1888" t="inlineStr">
        <is>
          <t>UKPN</t>
        </is>
      </c>
      <c r="D1888" t="inlineStr">
        <is>
          <t>FN600XM , 4x4 , Land Rover  , Defender</t>
        </is>
      </c>
      <c r="E1888" t="inlineStr">
        <is>
          <t>FN600XM , 4x4 , Land Rover  , Defender</t>
        </is>
      </c>
      <c r="F1888" t="inlineStr">
        <is>
          <t>FN600XM , 4x4 , Land Rover  , Defender</t>
        </is>
      </c>
      <c r="G1888" t="inlineStr">
        <is>
          <t xml:space="preserve">Dan Gilbert </t>
        </is>
      </c>
      <c r="H1888" t="inlineStr">
        <is>
          <t>4x4</t>
        </is>
      </c>
      <c r="I1888" t="inlineStr">
        <is>
          <t>Daily/ Weekly Vehicle Inspection</t>
        </is>
      </c>
      <c r="J1888" t="inlineStr">
        <is>
          <t>N/A</t>
        </is>
      </c>
      <c r="K1888" t="inlineStr">
        <is>
          <t>7186 Eastwoodbury Tree Services Ltd</t>
        </is>
      </c>
      <c r="L1888" t="inlineStr">
        <is>
          <t>24/10/2025 08:32</t>
        </is>
      </c>
      <c r="M1888" t="inlineStr">
        <is>
          <t>None</t>
        </is>
      </c>
      <c r="N1888" t="inlineStr">
        <is>
          <t>&lt;p&gt;&lt;/p&gt;</t>
        </is>
      </c>
      <c r="O1888" t="inlineStr"/>
      <c r="P1888" t="inlineStr">
        <is>
          <t>FN600XM , 4x4 , Land Rover  , Defender</t>
        </is>
      </c>
      <c r="Q1888" t="inlineStr">
        <is>
          <t>UKPN</t>
        </is>
      </c>
      <c r="R1888" t="b">
        <v>0</v>
      </c>
    </row>
    <row r="1889">
      <c r="A1889" t="inlineStr">
        <is>
          <t>24 Oct 2025 / 7186 Eastwoodbury Tree Services Ltd / Utilities / UKPN</t>
        </is>
      </c>
      <c r="B1889" t="inlineStr">
        <is>
          <t>Utilities</t>
        </is>
      </c>
      <c r="C1889" t="inlineStr">
        <is>
          <t>UKPN</t>
        </is>
      </c>
      <c r="D1889" t="inlineStr">
        <is>
          <t>4x4 - Land rover  - Defenders  - WF13 EKM</t>
        </is>
      </c>
      <c r="E1889" t="inlineStr">
        <is>
          <t>4x4 - Land rover  - Defenders  - WF13 EKM</t>
        </is>
      </c>
      <c r="F1889" t="inlineStr">
        <is>
          <t>4x4 - Land rover  - Defenders  - WF13 EKM</t>
        </is>
      </c>
      <c r="G1889" t="inlineStr">
        <is>
          <t xml:space="preserve">Tom Price </t>
        </is>
      </c>
      <c r="H1889" t="inlineStr">
        <is>
          <t>4x4</t>
        </is>
      </c>
      <c r="I1889" t="inlineStr">
        <is>
          <t>Daily/ Weekly Vehicle Inspection</t>
        </is>
      </c>
      <c r="J1889" t="inlineStr">
        <is>
          <t>N/A</t>
        </is>
      </c>
      <c r="K1889" t="inlineStr">
        <is>
          <t>7186 Eastwoodbury Tree Services Ltd</t>
        </is>
      </c>
      <c r="L1889" t="inlineStr">
        <is>
          <t>24/10/2025 08:33</t>
        </is>
      </c>
      <c r="M1889" t="inlineStr">
        <is>
          <t>None</t>
        </is>
      </c>
      <c r="N1889" t="inlineStr">
        <is>
          <t>&lt;p&gt;&lt;/p&gt;</t>
        </is>
      </c>
      <c r="O1889" t="inlineStr"/>
      <c r="P1889" t="inlineStr">
        <is>
          <t>4x4 - Land rover  - Defenders  - WF13 EKM</t>
        </is>
      </c>
      <c r="Q1889" t="inlineStr">
        <is>
          <t>UKPN</t>
        </is>
      </c>
      <c r="R1889" t="b">
        <v>0</v>
      </c>
    </row>
    <row r="1890">
      <c r="A1890" t="inlineStr">
        <is>
          <t>24 Oct 2025 / 7806 Optimum Tree Services Ltd / Utilities / UKPN</t>
        </is>
      </c>
      <c r="B1890" t="inlineStr">
        <is>
          <t>Utilities</t>
        </is>
      </c>
      <c r="C1890" t="inlineStr">
        <is>
          <t>UKPN</t>
        </is>
      </c>
      <c r="D1890" t="inlineStr">
        <is>
          <t>4x4 - Landrover  - Defender  - Wd14evn</t>
        </is>
      </c>
      <c r="E1890" t="inlineStr">
        <is>
          <t>4x4 - Landrover  - Defender  - Wd14evn</t>
        </is>
      </c>
      <c r="F1890" t="inlineStr">
        <is>
          <t>4x4 - Landrover  - Defender  - Wd14evn</t>
        </is>
      </c>
      <c r="G1890" t="inlineStr">
        <is>
          <t xml:space="preserve">Abraham Davies </t>
        </is>
      </c>
      <c r="H1890" t="inlineStr">
        <is>
          <t>4x4</t>
        </is>
      </c>
      <c r="I1890" t="inlineStr">
        <is>
          <t>Daily/ Weekly Vehicle Inspection</t>
        </is>
      </c>
      <c r="J1890" t="inlineStr">
        <is>
          <t>N/A</t>
        </is>
      </c>
      <c r="K1890" t="inlineStr">
        <is>
          <t>7806 Optimum Tree Services Ltd</t>
        </is>
      </c>
      <c r="L1890" t="inlineStr">
        <is>
          <t>24/10/2025 08:33</t>
        </is>
      </c>
      <c r="M1890" t="inlineStr">
        <is>
          <t>None</t>
        </is>
      </c>
      <c r="N1890" t="inlineStr">
        <is>
          <t>&lt;p&gt;&lt;/p&gt;</t>
        </is>
      </c>
      <c r="O1890" t="inlineStr"/>
      <c r="P1890" t="inlineStr">
        <is>
          <t>4x4 - Landrover  - Defender  - Wd14evn</t>
        </is>
      </c>
      <c r="Q1890" t="inlineStr">
        <is>
          <t>UKPN</t>
        </is>
      </c>
      <c r="R1890" t="b">
        <v>0</v>
      </c>
    </row>
    <row r="1891">
      <c r="A1891" t="inlineStr">
        <is>
          <t>24 Oct 2025 / 7806 Optimum Tree Services Ltd / Utilities / UKPN</t>
        </is>
      </c>
      <c r="B1891" t="inlineStr">
        <is>
          <t>Utilities</t>
        </is>
      </c>
      <c r="C1891" t="inlineStr">
        <is>
          <t>UKPN</t>
        </is>
      </c>
      <c r="D1891" t="inlineStr">
        <is>
          <t>SA9ST800000283069 , Chipper , Forst , ST 6P</t>
        </is>
      </c>
      <c r="E1891" t="inlineStr">
        <is>
          <t>SA9ST800000283069 , Chipper , Forst , ST 6P</t>
        </is>
      </c>
      <c r="F1891" t="inlineStr">
        <is>
          <t>SA9ST800000283069 , Chipper , Forst , ST 6P</t>
        </is>
      </c>
      <c r="G1891" t="inlineStr">
        <is>
          <t xml:space="preserve">Abraham Davies </t>
        </is>
      </c>
      <c r="H1891" t="inlineStr">
        <is>
          <t>Towed Chipper</t>
        </is>
      </c>
      <c r="I1891" t="inlineStr">
        <is>
          <t>Daily/ Weekly Vehicle Inspection</t>
        </is>
      </c>
      <c r="J1891" t="inlineStr">
        <is>
          <t>N/A</t>
        </is>
      </c>
      <c r="K1891" t="inlineStr">
        <is>
          <t>7806 Optimum Tree Services Ltd</t>
        </is>
      </c>
      <c r="L1891" t="inlineStr">
        <is>
          <t>24/10/2025 08:34</t>
        </is>
      </c>
      <c r="M1891" t="inlineStr">
        <is>
          <t>None</t>
        </is>
      </c>
      <c r="N1891" t="inlineStr">
        <is>
          <t>&lt;p&gt;&lt;/p&gt;</t>
        </is>
      </c>
      <c r="O1891" t="inlineStr"/>
      <c r="P1891" t="inlineStr">
        <is>
          <t>SA9ST800000283069 , Chipper , Forst , ST 6P</t>
        </is>
      </c>
      <c r="Q1891" t="inlineStr">
        <is>
          <t>UKPN</t>
        </is>
      </c>
      <c r="R1891" t="b">
        <v>0</v>
      </c>
    </row>
    <row r="1892">
      <c r="A1892" t="inlineStr">
        <is>
          <t>24 Oct 2025 / 3098 D &amp; R Landscapes 1 / Utilities / UKPN</t>
        </is>
      </c>
      <c r="B1892" t="inlineStr">
        <is>
          <t>Utilities</t>
        </is>
      </c>
      <c r="C1892" t="inlineStr">
        <is>
          <t>UKPN</t>
        </is>
      </c>
      <c r="D1892" t="inlineStr">
        <is>
          <t>WA13ZZK , 4x4 , Land Rover  , Defender</t>
        </is>
      </c>
      <c r="E1892" t="inlineStr">
        <is>
          <t>WA13ZZK , 4x4 , Land Rover  , Defender</t>
        </is>
      </c>
      <c r="F1892" t="inlineStr">
        <is>
          <t>WA13ZZK , 4x4 , Land Rover  , Defender</t>
        </is>
      </c>
      <c r="G1892" t="inlineStr">
        <is>
          <t xml:space="preserve">Rob Beeches </t>
        </is>
      </c>
      <c r="H1892" t="inlineStr">
        <is>
          <t>4x4</t>
        </is>
      </c>
      <c r="I1892" t="inlineStr">
        <is>
          <t>Daily/ Weekly Vehicle Inspection</t>
        </is>
      </c>
      <c r="J1892" t="inlineStr">
        <is>
          <t>N/A</t>
        </is>
      </c>
      <c r="K1892" t="inlineStr">
        <is>
          <t>3098 D &amp; R Landscapes 1</t>
        </is>
      </c>
      <c r="L1892" t="inlineStr">
        <is>
          <t>24/10/2025 08:34</t>
        </is>
      </c>
      <c r="M1892" t="inlineStr">
        <is>
          <t>None</t>
        </is>
      </c>
      <c r="N1892" t="inlineStr">
        <is>
          <t>&lt;p&gt;&lt;/p&gt;</t>
        </is>
      </c>
      <c r="O1892" t="inlineStr"/>
      <c r="P1892" t="inlineStr">
        <is>
          <t>WA13ZZK , 4x4 , Land Rover  , Defender</t>
        </is>
      </c>
      <c r="Q1892" t="inlineStr">
        <is>
          <t>UKPN</t>
        </is>
      </c>
      <c r="R1892" t="b">
        <v>0</v>
      </c>
    </row>
    <row r="1893">
      <c r="A1893" t="inlineStr">
        <is>
          <t>24 Oct 2025 / 3098 D &amp; R Landscapes / Utilities / UKPN</t>
        </is>
      </c>
      <c r="B1893" t="inlineStr">
        <is>
          <t>Utilities</t>
        </is>
      </c>
      <c r="C1893" t="inlineStr">
        <is>
          <t>UKPN</t>
        </is>
      </c>
      <c r="D1893" t="inlineStr">
        <is>
          <t>DE68XHA , Tipper , Isuzu , Grafter</t>
        </is>
      </c>
      <c r="E1893" t="inlineStr">
        <is>
          <t>DE68XHA , Tipper , Isuzu , Grafter</t>
        </is>
      </c>
      <c r="F1893" t="inlineStr">
        <is>
          <t>DE68XHA , Tipper , Isuzu , Grafter</t>
        </is>
      </c>
      <c r="G1893" t="inlineStr">
        <is>
          <t>Jason</t>
        </is>
      </c>
      <c r="H1893" t="inlineStr">
        <is>
          <t>Tipper</t>
        </is>
      </c>
      <c r="I1893" t="inlineStr">
        <is>
          <t>Daily/ Weekly Vehicle Inspection</t>
        </is>
      </c>
      <c r="J1893" t="inlineStr">
        <is>
          <t>N/A</t>
        </is>
      </c>
      <c r="K1893" t="inlineStr">
        <is>
          <t>3098 D &amp; R Landscapes</t>
        </is>
      </c>
      <c r="L1893" t="inlineStr">
        <is>
          <t>24/10/2025 10:31</t>
        </is>
      </c>
      <c r="M1893" t="inlineStr">
        <is>
          <t>None</t>
        </is>
      </c>
      <c r="N1893" t="inlineStr">
        <is>
          <t>&lt;p&gt;&lt;/p&gt;</t>
        </is>
      </c>
      <c r="O1893" t="inlineStr"/>
      <c r="P1893" t="inlineStr">
        <is>
          <t>DE68XHA , Tipper , Isuzu , Grafter</t>
        </is>
      </c>
      <c r="Q1893" t="inlineStr">
        <is>
          <t>UKPN</t>
        </is>
      </c>
      <c r="R1893" t="b">
        <v>0</v>
      </c>
    </row>
    <row r="1894">
      <c r="A1894" t="inlineStr">
        <is>
          <t>26 Oct 2025 / 7889 Tree Tech Suffolk Ltd</t>
        </is>
      </c>
      <c r="B1894" t="inlineStr">
        <is>
          <t>Utilities &amp; Inland Waterways</t>
        </is>
      </c>
      <c r="C1894" t="inlineStr">
        <is>
          <t>UKPN</t>
        </is>
      </c>
      <c r="D1894" t="inlineStr">
        <is>
          <t>Tow Chipper - Jenson - A530L - 55210639484x4 - Isuzu - D-max - NS03 TTSTipper - Nissan - Navara - NS02TTS</t>
        </is>
      </c>
      <c r="E1894" t="inlineStr">
        <is>
          <t>Tow Chipper - Jenson - A530L - 55210639484x4 - Isuzu - D-max - NS03 TTSTipper - Nissan - Navara - NS02TTS</t>
        </is>
      </c>
      <c r="F1894" t="inlineStr">
        <is>
          <t>Tow Chipper - Jenson - A530L - 55210639484x4 - Isuzu - D-max - NS03 TTSTipper - Nissan - Navara - NS02TTS</t>
        </is>
      </c>
      <c r="G1894" t="inlineStr">
        <is>
          <t xml:space="preserve">Nikki sparrow Danny Appleby Nikki sparrow </t>
        </is>
      </c>
      <c r="H1894" t="inlineStr">
        <is>
          <t>Towed Chipper4x4Tipper</t>
        </is>
      </c>
      <c r="I1894" t="inlineStr">
        <is>
          <t>Daily/ Weekly Vehicle Inspection</t>
        </is>
      </c>
      <c r="J1894" t="inlineStr">
        <is>
          <t>N/A</t>
        </is>
      </c>
      <c r="K1894" t="inlineStr">
        <is>
          <t>7889 Tree Tech Suffolk Ltd</t>
        </is>
      </c>
      <c r="L1894" t="inlineStr">
        <is>
          <t>26/10/2025 07:29</t>
        </is>
      </c>
      <c r="M1894" t="inlineStr">
        <is>
          <t>None</t>
        </is>
      </c>
      <c r="N1894" t="inlineStr">
        <is>
          <t>&lt;p&gt;&lt;/p&gt;</t>
        </is>
      </c>
      <c r="O1894" t="inlineStr"/>
      <c r="P1894" t="inlineStr">
        <is>
          <t>Tow Chipper - Jenson - A530L - 55210639484x4 - Isuzu - D-max - NS03 TTSTipper - Nissan - Navara - NS02TTS</t>
        </is>
      </c>
      <c r="Q1894" t="inlineStr">
        <is>
          <t>UKPN</t>
        </is>
      </c>
      <c r="R1894" t="b">
        <v>0</v>
      </c>
    </row>
    <row r="1895">
      <c r="A1895" t="inlineStr">
        <is>
          <t>26 Oct 2025 / Thomas Playford / Utilities / UKPN</t>
        </is>
      </c>
      <c r="B1895" t="inlineStr">
        <is>
          <t>Utilities</t>
        </is>
      </c>
      <c r="C1895" t="inlineStr">
        <is>
          <t>UKPN</t>
        </is>
      </c>
      <c r="D1895" t="inlineStr">
        <is>
          <t>Equipment Trailer - I For Williams Custom - Chipper Trailer - 47336638</t>
        </is>
      </c>
      <c r="E1895" t="inlineStr">
        <is>
          <t>Equipment Trailer - I For Williams Custom - Chipper Trailer - 47336638</t>
        </is>
      </c>
      <c r="F1895" t="inlineStr">
        <is>
          <t>Equipment Trailer - I For Williams Custom - Chipper Trailer - 47336638</t>
        </is>
      </c>
      <c r="G1895" t="inlineStr">
        <is>
          <t>Jacob Oram</t>
        </is>
      </c>
      <c r="H1895" t="inlineStr">
        <is>
          <t>Plant Trailer</t>
        </is>
      </c>
      <c r="I1895" t="inlineStr">
        <is>
          <t>Daily/ Weekly Vehicle Inspection</t>
        </is>
      </c>
      <c r="J1895" t="inlineStr">
        <is>
          <t>N/A</t>
        </is>
      </c>
      <c r="K1895" t="inlineStr">
        <is>
          <t>7995 Contour Landscapes Ltd 2</t>
        </is>
      </c>
      <c r="L1895" t="inlineStr">
        <is>
          <t>26/10/2025 08:29</t>
        </is>
      </c>
      <c r="M1895" t="inlineStr">
        <is>
          <t>None</t>
        </is>
      </c>
      <c r="N1895" t="inlineStr">
        <is>
          <t>&lt;p&gt;&lt;/p&gt;</t>
        </is>
      </c>
      <c r="O1895" t="inlineStr"/>
      <c r="P1895" t="inlineStr">
        <is>
          <t>Equipment Trailer - I For Williams Custom - Chipper Trailer - 47336638</t>
        </is>
      </c>
      <c r="Q1895" t="inlineStr">
        <is>
          <t>UKPN</t>
        </is>
      </c>
      <c r="R1895" t="b">
        <v>0</v>
      </c>
    </row>
    <row r="1896">
      <c r="A1896" t="inlineStr">
        <is>
          <t>26 Oct 2025 / Thomas Playford / Utilities / UKPN</t>
        </is>
      </c>
      <c r="B1896" t="inlineStr">
        <is>
          <t>Utilities</t>
        </is>
      </c>
      <c r="C1896" t="inlineStr">
        <is>
          <t>UKPN</t>
        </is>
      </c>
      <c r="D1896" t="inlineStr">
        <is>
          <t>YP24 WRD , Vehicle , Ford , Ranger</t>
        </is>
      </c>
      <c r="E1896" t="inlineStr">
        <is>
          <t>YP24 WRD , Vehicle , Ford , Ranger</t>
        </is>
      </c>
      <c r="F1896" t="inlineStr">
        <is>
          <t>YP24 WRD , Vehicle , Ford , Ranger</t>
        </is>
      </c>
      <c r="G1896" t="inlineStr">
        <is>
          <t>Jacob Oram</t>
        </is>
      </c>
      <c r="H1896" t="inlineStr">
        <is>
          <t>4x4</t>
        </is>
      </c>
      <c r="I1896" t="inlineStr">
        <is>
          <t>Daily/ Weekly Vehicle Inspection</t>
        </is>
      </c>
      <c r="J1896" t="inlineStr">
        <is>
          <t>N/A</t>
        </is>
      </c>
      <c r="K1896" t="inlineStr">
        <is>
          <t>7995 Contour Landscapes Ltd 2</t>
        </is>
      </c>
      <c r="L1896" t="inlineStr">
        <is>
          <t>26/10/2025 08:30</t>
        </is>
      </c>
      <c r="M1896" t="inlineStr">
        <is>
          <t>None</t>
        </is>
      </c>
      <c r="N1896" t="inlineStr">
        <is>
          <t>&lt;p&gt;&lt;/p&gt;</t>
        </is>
      </c>
      <c r="O1896" t="inlineStr"/>
      <c r="P1896" t="inlineStr">
        <is>
          <t>YP24 WRD , Vehicle , Ford , Ranger</t>
        </is>
      </c>
      <c r="Q1896" t="inlineStr">
        <is>
          <t>UKPN</t>
        </is>
      </c>
      <c r="R1896" t="b">
        <v>0</v>
      </c>
    </row>
    <row r="1897">
      <c r="A1897" t="inlineStr">
        <is>
          <t>26 Oct 2025 / 7806 Optimum Tree Services Ltd / Utilities / UKPN</t>
        </is>
      </c>
      <c r="B1897" t="inlineStr">
        <is>
          <t>Utilities</t>
        </is>
      </c>
      <c r="C1897" t="inlineStr">
        <is>
          <t>UKPN</t>
        </is>
      </c>
      <c r="D1897" t="inlineStr">
        <is>
          <t>SA9TAPLAF27414263 , Trailer , Tow Mate , Plant Trailer</t>
        </is>
      </c>
      <c r="E1897" t="inlineStr">
        <is>
          <t>SA9TAPLAF27414263 , Trailer , Tow Mate , Plant Trailer</t>
        </is>
      </c>
      <c r="F1897" t="inlineStr">
        <is>
          <t>SA9TAPLAF27414263 , Trailer , Tow Mate , Plant Trailer</t>
        </is>
      </c>
      <c r="G1897" t="inlineStr">
        <is>
          <t xml:space="preserve">Lewis Davies </t>
        </is>
      </c>
      <c r="H1897" t="inlineStr">
        <is>
          <t>Plant Trailer</t>
        </is>
      </c>
      <c r="I1897" t="inlineStr">
        <is>
          <t>Daily/ Weekly Vehicle Inspection</t>
        </is>
      </c>
      <c r="J1897" t="inlineStr">
        <is>
          <t>N/A</t>
        </is>
      </c>
      <c r="K1897" t="inlineStr">
        <is>
          <t>7806 Optimum Tree Services Ltd</t>
        </is>
      </c>
      <c r="L1897" t="inlineStr">
        <is>
          <t>26/10/2025 08:31</t>
        </is>
      </c>
      <c r="M1897" t="inlineStr">
        <is>
          <t>None</t>
        </is>
      </c>
      <c r="N1897" t="inlineStr">
        <is>
          <t>&lt;p&gt;&lt;/p&gt;</t>
        </is>
      </c>
      <c r="O1897" t="inlineStr"/>
      <c r="P1897" t="inlineStr">
        <is>
          <t>SA9TAPLAF27414263 , Trailer , Tow Mate , Plant Trailer</t>
        </is>
      </c>
      <c r="Q1897" t="inlineStr">
        <is>
          <t>UKPN</t>
        </is>
      </c>
      <c r="R1897" t="b">
        <v>0</v>
      </c>
    </row>
    <row r="1898">
      <c r="A1898" t="inlineStr">
        <is>
          <t>26 Oct 2025 / 7806 Optimum Tree Services Ltd / Utilities / UKPN</t>
        </is>
      </c>
      <c r="B1898" t="inlineStr">
        <is>
          <t>Utilities</t>
        </is>
      </c>
      <c r="C1898" t="inlineStr">
        <is>
          <t>UKPN</t>
        </is>
      </c>
      <c r="D1898" t="inlineStr">
        <is>
          <t>Tipper - Ford  - Transit - Xt12ees</t>
        </is>
      </c>
      <c r="E1898" t="inlineStr">
        <is>
          <t>Tipper - Ford  - Transit - Xt12ees</t>
        </is>
      </c>
      <c r="F1898" t="inlineStr">
        <is>
          <t>Tipper - Ford  - Transit - Xt12ees</t>
        </is>
      </c>
      <c r="G1898" t="inlineStr">
        <is>
          <t xml:space="preserve">Kenny Aldred </t>
        </is>
      </c>
      <c r="H1898" t="inlineStr">
        <is>
          <t>Tipper</t>
        </is>
      </c>
      <c r="I1898" t="inlineStr">
        <is>
          <t>Daily/ Weekly Vehicle Inspection</t>
        </is>
      </c>
      <c r="J1898" t="inlineStr">
        <is>
          <t>N/A</t>
        </is>
      </c>
      <c r="K1898" t="inlineStr">
        <is>
          <t>7806 Optimum Tree Services Ltd</t>
        </is>
      </c>
      <c r="L1898" t="inlineStr">
        <is>
          <t>26/10/2025 08:33</t>
        </is>
      </c>
      <c r="M1898" t="inlineStr">
        <is>
          <t>None</t>
        </is>
      </c>
      <c r="N1898" t="inlineStr">
        <is>
          <t>&lt;p&gt;&lt;/p&gt;</t>
        </is>
      </c>
      <c r="O1898" t="inlineStr"/>
      <c r="P1898" t="inlineStr">
        <is>
          <t>Tipper - Ford  - Transit - Xt12ees</t>
        </is>
      </c>
      <c r="Q1898" t="inlineStr">
        <is>
          <t>UKPN</t>
        </is>
      </c>
      <c r="R1898" t="b">
        <v>0</v>
      </c>
    </row>
    <row r="1899">
      <c r="A1899" t="inlineStr">
        <is>
          <t>26 Oct 2025 / 7806 Optimum Tree Services Ltd / Utilities / UKPN</t>
        </is>
      </c>
      <c r="B1899" t="inlineStr">
        <is>
          <t>Utilities</t>
        </is>
      </c>
      <c r="C1899" t="inlineStr">
        <is>
          <t>UKPN</t>
        </is>
      </c>
      <c r="D1899" t="inlineStr">
        <is>
          <t>4x4 - Landrover  - Defender  - Wd14evn</t>
        </is>
      </c>
      <c r="E1899" t="inlineStr">
        <is>
          <t>4x4 - Landrover  - Defender  - Wd14evn</t>
        </is>
      </c>
      <c r="F1899" t="inlineStr">
        <is>
          <t>4x4 - Landrover  - Defender  - Wd14evn</t>
        </is>
      </c>
      <c r="G1899" t="inlineStr">
        <is>
          <t xml:space="preserve">Tommy frasle </t>
        </is>
      </c>
      <c r="H1899" t="inlineStr">
        <is>
          <t>4x4</t>
        </is>
      </c>
      <c r="I1899" t="inlineStr">
        <is>
          <t>Daily/ Weekly Vehicle Inspection</t>
        </is>
      </c>
      <c r="J1899" t="inlineStr">
        <is>
          <t>N/A</t>
        </is>
      </c>
      <c r="K1899" t="inlineStr">
        <is>
          <t>7806 Optimum Tree Services Ltd</t>
        </is>
      </c>
      <c r="L1899" t="inlineStr">
        <is>
          <t>26/10/2025 08:33</t>
        </is>
      </c>
      <c r="M1899" t="inlineStr">
        <is>
          <t>None</t>
        </is>
      </c>
      <c r="N1899" t="inlineStr">
        <is>
          <t>&lt;p&gt;&lt;/p&gt;</t>
        </is>
      </c>
      <c r="O1899" t="inlineStr"/>
      <c r="P1899" t="inlineStr">
        <is>
          <t>4x4 - Landrover  - Defender  - Wd14evn</t>
        </is>
      </c>
      <c r="Q1899" t="inlineStr">
        <is>
          <t>UKPN</t>
        </is>
      </c>
      <c r="R1899" t="b">
        <v>0</v>
      </c>
    </row>
    <row r="1900">
      <c r="A1900" t="inlineStr">
        <is>
          <t>26 Oct 2025 / 7806 Optimum Tree Services Ltd / Utilities / UKPN</t>
        </is>
      </c>
      <c r="B1900" t="inlineStr">
        <is>
          <t>Utilities</t>
        </is>
      </c>
      <c r="C1900" t="inlineStr">
        <is>
          <t>UKPN</t>
        </is>
      </c>
      <c r="D1900" t="inlineStr">
        <is>
          <t>WD14EVB , MEWP , Land Rover , Defender</t>
        </is>
      </c>
      <c r="E1900" t="inlineStr">
        <is>
          <t>WD14EVB , MEWP , Land Rover , Defender</t>
        </is>
      </c>
      <c r="F1900" t="inlineStr">
        <is>
          <t>WD14EVB , MEWP , Land Rover , Defender</t>
        </is>
      </c>
      <c r="G1900" t="inlineStr">
        <is>
          <t xml:space="preserve">Lewis Davies </t>
        </is>
      </c>
      <c r="H1900" t="inlineStr">
        <is>
          <t>4x4</t>
        </is>
      </c>
      <c r="I1900" t="inlineStr">
        <is>
          <t>Daily/ Weekly Vehicle Inspection</t>
        </is>
      </c>
      <c r="J1900" t="inlineStr">
        <is>
          <t>N/A</t>
        </is>
      </c>
      <c r="K1900" t="inlineStr">
        <is>
          <t>7806 Optimum Tree Services Ltd</t>
        </is>
      </c>
      <c r="L1900" t="inlineStr">
        <is>
          <t>26/10/2025 08:34</t>
        </is>
      </c>
      <c r="M1900" t="inlineStr">
        <is>
          <t>None</t>
        </is>
      </c>
      <c r="N1900" t="inlineStr">
        <is>
          <t>&lt;p&gt;&lt;/p&gt;</t>
        </is>
      </c>
      <c r="O1900" t="inlineStr"/>
      <c r="P1900" t="inlineStr">
        <is>
          <t>WD14EVB , MEWP , Land Rover , Defender</t>
        </is>
      </c>
      <c r="Q1900" t="inlineStr">
        <is>
          <t>UKPN</t>
        </is>
      </c>
      <c r="R1900" t="b">
        <v>0</v>
      </c>
    </row>
    <row r="1901">
      <c r="A1901" t="inlineStr">
        <is>
          <t>26 Oct 2025 / 7186 Eastwoodbury Tree Services Ltd 1 / Utilities / UKPN</t>
        </is>
      </c>
      <c r="B1901" t="inlineStr">
        <is>
          <t>Utilities</t>
        </is>
      </c>
      <c r="C1901" t="inlineStr">
        <is>
          <t>UKPN</t>
        </is>
      </c>
      <c r="D1901" t="inlineStr">
        <is>
          <t>DE53NKS , 4x4 , Ford , Ranger</t>
        </is>
      </c>
      <c r="E1901" t="inlineStr">
        <is>
          <t>DE53NKS , 4x4 , Ford , Ranger</t>
        </is>
      </c>
      <c r="F1901" t="inlineStr">
        <is>
          <t>DE53NKS , 4x4 , Ford , Ranger</t>
        </is>
      </c>
      <c r="G1901" t="inlineStr">
        <is>
          <t xml:space="preserve">Jay </t>
        </is>
      </c>
      <c r="H1901" t="inlineStr">
        <is>
          <t>4x4</t>
        </is>
      </c>
      <c r="I1901" t="inlineStr">
        <is>
          <t>Daily/ Weekly Vehicle Inspection</t>
        </is>
      </c>
      <c r="J1901" t="inlineStr">
        <is>
          <t>N/A</t>
        </is>
      </c>
      <c r="K1901" t="inlineStr">
        <is>
          <t>7186 Eastwoodbury Tree Services Ltd 1</t>
        </is>
      </c>
      <c r="L1901" t="inlineStr">
        <is>
          <t>26/10/2025 09:29</t>
        </is>
      </c>
      <c r="M1901" t="inlineStr">
        <is>
          <t>None</t>
        </is>
      </c>
      <c r="N1901" t="inlineStr">
        <is>
          <t>&lt;p&gt;&lt;/p&gt;</t>
        </is>
      </c>
      <c r="O1901" t="inlineStr"/>
      <c r="P1901" t="inlineStr">
        <is>
          <t>DE53NKS , 4x4 , Ford , Ranger</t>
        </is>
      </c>
      <c r="Q1901" t="inlineStr">
        <is>
          <t>UKPN</t>
        </is>
      </c>
      <c r="R1901" t="b">
        <v>0</v>
      </c>
    </row>
    <row r="1902">
      <c r="A1902" t="inlineStr">
        <is>
          <t>26 Oct 2025 / 7186 Eastwoodbury Tree Services Ltd 1 / Utilities / UKPN</t>
        </is>
      </c>
      <c r="B1902" t="inlineStr">
        <is>
          <t>Utilities</t>
        </is>
      </c>
      <c r="C1902" t="inlineStr">
        <is>
          <t>UKPN</t>
        </is>
      </c>
      <c r="D1902" t="inlineStr">
        <is>
          <t>DE53NKS , 4x4 , Ford , Ranger</t>
        </is>
      </c>
      <c r="E1902" t="inlineStr">
        <is>
          <t>DE53NKS , 4x4 , Ford , Ranger</t>
        </is>
      </c>
      <c r="F1902" t="inlineStr">
        <is>
          <t>DE53NKS , 4x4 , Ford , Ranger</t>
        </is>
      </c>
      <c r="G1902" t="inlineStr">
        <is>
          <t xml:space="preserve">Jay </t>
        </is>
      </c>
      <c r="H1902" t="inlineStr">
        <is>
          <t>4x4</t>
        </is>
      </c>
      <c r="I1902" t="inlineStr">
        <is>
          <t>Daily/ Weekly Vehicle Inspection</t>
        </is>
      </c>
      <c r="J1902" t="inlineStr">
        <is>
          <t>N/A</t>
        </is>
      </c>
      <c r="K1902" t="inlineStr">
        <is>
          <t>7186 Eastwoodbury Tree Services Ltd 1</t>
        </is>
      </c>
      <c r="L1902" t="inlineStr">
        <is>
          <t>26/10/2025 10:29</t>
        </is>
      </c>
      <c r="M1902" t="inlineStr">
        <is>
          <t>None</t>
        </is>
      </c>
      <c r="N1902" t="inlineStr">
        <is>
          <t>&lt;p&gt;&lt;/p&gt;</t>
        </is>
      </c>
      <c r="O1902" t="inlineStr"/>
      <c r="P1902" t="inlineStr">
        <is>
          <t>DE53NKS , 4x4 , Ford , Ranger</t>
        </is>
      </c>
      <c r="Q1902" t="inlineStr">
        <is>
          <t>UKPN</t>
        </is>
      </c>
      <c r="R1902" t="b">
        <v>0</v>
      </c>
    </row>
    <row r="1903">
      <c r="A1903" t="inlineStr">
        <is>
          <t>27 Oct 2025 / 7889 Tree Tech Suffolk Ltd</t>
        </is>
      </c>
      <c r="B1903" t="inlineStr">
        <is>
          <t>Utilities &amp; Inland Waterways</t>
        </is>
      </c>
      <c r="C1903" t="inlineStr">
        <is>
          <t>UKPN</t>
        </is>
      </c>
      <c r="D1903" t="inlineStr">
        <is>
          <t>Tow Chipper - Jenson - A530L - 55210639484x4 - Isuzu - D-max - NS03 TTSTipper - Nissan - Navara - NS02TTS</t>
        </is>
      </c>
      <c r="E1903" t="inlineStr">
        <is>
          <t>Tow Chipper - Jenson - A530L - 55210639484x4 - Isuzu - D-max - NS03 TTSTipper - Nissan - Navara - NS02TTS</t>
        </is>
      </c>
      <c r="F1903" t="inlineStr">
        <is>
          <t>Tow Chipper - Jenson - A530L - 55210639484x4 - Isuzu - D-max - NS03 TTSTipper - Nissan - Navara - NS02TTS</t>
        </is>
      </c>
      <c r="G1903" t="inlineStr">
        <is>
          <t xml:space="preserve">Danny Appleby Danny Appleby Nikki sparrow </t>
        </is>
      </c>
      <c r="H1903" t="inlineStr">
        <is>
          <t>Towed Chipper4x4Tipper</t>
        </is>
      </c>
      <c r="I1903" t="inlineStr">
        <is>
          <t>Daily/ Weekly Vehicle Inspection</t>
        </is>
      </c>
      <c r="J1903" t="inlineStr">
        <is>
          <t>N/A</t>
        </is>
      </c>
      <c r="K1903" t="inlineStr">
        <is>
          <t>7889 Tree Tech Suffolk Ltd</t>
        </is>
      </c>
      <c r="L1903" t="inlineStr">
        <is>
          <t>27/10/2025 07:31</t>
        </is>
      </c>
      <c r="M1903" t="inlineStr">
        <is>
          <t>None</t>
        </is>
      </c>
      <c r="N1903" t="inlineStr">
        <is>
          <t>&lt;p&gt;&lt;/p&gt;</t>
        </is>
      </c>
      <c r="O1903" t="inlineStr"/>
      <c r="P1903" t="inlineStr">
        <is>
          <t>Tow Chipper - Jenson - A530L - 55210639484x4 - Isuzu - D-max - NS03 TTSTipper - Nissan - Navara - NS02TTS</t>
        </is>
      </c>
      <c r="Q1903" t="inlineStr">
        <is>
          <t>UKPN</t>
        </is>
      </c>
      <c r="R1903" t="b">
        <v>0</v>
      </c>
    </row>
    <row r="1904">
      <c r="A1904" t="inlineStr">
        <is>
          <t>27 Oct 2025 / 7806 Optimum Tree Services Ltd / Utilities / UKPN</t>
        </is>
      </c>
      <c r="B1904" t="inlineStr">
        <is>
          <t>Utilities</t>
        </is>
      </c>
      <c r="C1904" t="inlineStr">
        <is>
          <t>UKPN</t>
        </is>
      </c>
      <c r="D1904" t="inlineStr">
        <is>
          <t>4x4 - Landrover  - Defender  - Wd14evn</t>
        </is>
      </c>
      <c r="E1904" t="inlineStr">
        <is>
          <t>4x4 - Landrover  - Defender  - Wd14evn</t>
        </is>
      </c>
      <c r="F1904" t="inlineStr">
        <is>
          <t>4x4 - Landrover  - Defender  - Wd14evn</t>
        </is>
      </c>
      <c r="G1904" t="inlineStr">
        <is>
          <t>Kenny Aldred</t>
        </is>
      </c>
      <c r="H1904" t="inlineStr">
        <is>
          <t>4x4</t>
        </is>
      </c>
      <c r="I1904" t="inlineStr">
        <is>
          <t>Daily/ Weekly Vehicle Inspection</t>
        </is>
      </c>
      <c r="J1904" t="inlineStr">
        <is>
          <t>N/A</t>
        </is>
      </c>
      <c r="K1904" t="inlineStr">
        <is>
          <t>7806 Optimum Tree Services Ltd</t>
        </is>
      </c>
      <c r="L1904" t="inlineStr">
        <is>
          <t>27/10/2025 07:33</t>
        </is>
      </c>
      <c r="M1904" t="inlineStr">
        <is>
          <t>None</t>
        </is>
      </c>
      <c r="N1904" t="inlineStr">
        <is>
          <t>&lt;p&gt;&lt;/p&gt;</t>
        </is>
      </c>
      <c r="O1904" t="inlineStr"/>
      <c r="P1904" t="inlineStr">
        <is>
          <t>4x4 - Landrover  - Defender  - Wd14evn</t>
        </is>
      </c>
      <c r="Q1904" t="inlineStr">
        <is>
          <t>UKPN</t>
        </is>
      </c>
      <c r="R1904" t="b">
        <v>0</v>
      </c>
    </row>
    <row r="1905">
      <c r="A1905" t="inlineStr">
        <is>
          <t>27 Oct 2025 / 7806 Optimum Tree Services Ltd / Utilities / UKPN</t>
        </is>
      </c>
      <c r="B1905" t="inlineStr">
        <is>
          <t>Utilities</t>
        </is>
      </c>
      <c r="C1905" t="inlineStr">
        <is>
          <t>UKPN</t>
        </is>
      </c>
      <c r="D1905" t="inlineStr">
        <is>
          <t>Towed Chipper - Forst  - St6pHD - SA9st6p0001283093</t>
        </is>
      </c>
      <c r="E1905" t="inlineStr">
        <is>
          <t>Towed Chipper - Forst  - St6pHD - SA9st6p0001283093</t>
        </is>
      </c>
      <c r="F1905" t="inlineStr">
        <is>
          <t>Towed Chipper - Forst  - St6pHD - SA9st6p0001283093</t>
        </is>
      </c>
      <c r="G1905" t="inlineStr">
        <is>
          <t xml:space="preserve">Kenny Aldred </t>
        </is>
      </c>
      <c r="H1905" t="inlineStr">
        <is>
          <t>Towed Chipper</t>
        </is>
      </c>
      <c r="I1905" t="inlineStr">
        <is>
          <t>Daily/ Weekly Vehicle Inspection</t>
        </is>
      </c>
      <c r="J1905" t="inlineStr">
        <is>
          <t>N/A</t>
        </is>
      </c>
      <c r="K1905" t="inlineStr">
        <is>
          <t>7806 Optimum Tree Services Ltd</t>
        </is>
      </c>
      <c r="L1905" t="inlineStr">
        <is>
          <t>27/10/2025 07:33</t>
        </is>
      </c>
      <c r="M1905" t="inlineStr">
        <is>
          <t>None</t>
        </is>
      </c>
      <c r="N1905" t="inlineStr">
        <is>
          <t>&lt;p&gt;&lt;/p&gt;</t>
        </is>
      </c>
      <c r="O1905" t="inlineStr"/>
      <c r="P1905" t="inlineStr">
        <is>
          <t>Towed Chipper - Forst  - St6pHD - SA9st6p0001283093</t>
        </is>
      </c>
      <c r="Q1905" t="inlineStr">
        <is>
          <t>UKPN</t>
        </is>
      </c>
      <c r="R1905" t="b">
        <v>0</v>
      </c>
    </row>
    <row r="1906">
      <c r="A1906" t="inlineStr">
        <is>
          <t>27 Oct 2025 / 7186 Eastwoodbury Tree Services Ltd / Utilities / UKPN</t>
        </is>
      </c>
      <c r="B1906" t="inlineStr">
        <is>
          <t>Utilities</t>
        </is>
      </c>
      <c r="C1906" t="inlineStr">
        <is>
          <t>UKPN</t>
        </is>
      </c>
      <c r="D1906" t="inlineStr">
        <is>
          <t>FN600XM , 4x4 , Land Rover  , Defender</t>
        </is>
      </c>
      <c r="E1906" t="inlineStr">
        <is>
          <t>FN600XM , 4x4 , Land Rover  , Defender</t>
        </is>
      </c>
      <c r="F1906" t="inlineStr">
        <is>
          <t>FN600XM , 4x4 , Land Rover  , Defender</t>
        </is>
      </c>
      <c r="G1906" t="inlineStr">
        <is>
          <t xml:space="preserve">Dan Gilbert </t>
        </is>
      </c>
      <c r="H1906" t="inlineStr">
        <is>
          <t>4x4</t>
        </is>
      </c>
      <c r="I1906" t="inlineStr">
        <is>
          <t>Daily/ Weekly Vehicle Inspection</t>
        </is>
      </c>
      <c r="J1906" t="inlineStr">
        <is>
          <t>N/A</t>
        </is>
      </c>
      <c r="K1906" t="inlineStr">
        <is>
          <t>7186 Eastwoodbury Tree Services Ltd</t>
        </is>
      </c>
      <c r="L1906" t="inlineStr">
        <is>
          <t>27/10/2025 07:34</t>
        </is>
      </c>
      <c r="M1906" t="inlineStr">
        <is>
          <t>None</t>
        </is>
      </c>
      <c r="N1906" t="inlineStr">
        <is>
          <t>&lt;p&gt;&lt;/p&gt;</t>
        </is>
      </c>
      <c r="O1906" t="inlineStr"/>
      <c r="P1906" t="inlineStr">
        <is>
          <t>FN600XM , 4x4 , Land Rover  , Defender</t>
        </is>
      </c>
      <c r="Q1906" t="inlineStr">
        <is>
          <t>UKPN</t>
        </is>
      </c>
      <c r="R1906" t="b">
        <v>0</v>
      </c>
    </row>
    <row r="1907">
      <c r="A1907" t="inlineStr">
        <is>
          <t>27 Oct 2025 / 7806 Optimum Tree Services Ltd / Utilities / UKPN</t>
        </is>
      </c>
      <c r="B1907" t="inlineStr">
        <is>
          <t>Utilities</t>
        </is>
      </c>
      <c r="C1907" t="inlineStr">
        <is>
          <t>UKPN</t>
        </is>
      </c>
      <c r="D1907" t="inlineStr">
        <is>
          <t>SA9ST800000283069 , Chipper , Forst , ST 6P</t>
        </is>
      </c>
      <c r="E1907" t="inlineStr">
        <is>
          <t>SA9ST800000283069 , Chipper , Forst , ST 6P</t>
        </is>
      </c>
      <c r="F1907" t="inlineStr">
        <is>
          <t>SA9ST800000283069 , Chipper , Forst , ST 6P</t>
        </is>
      </c>
      <c r="G1907" t="inlineStr">
        <is>
          <t xml:space="preserve">Abraham Davies. </t>
        </is>
      </c>
      <c r="H1907" t="inlineStr">
        <is>
          <t>Towed Chipper</t>
        </is>
      </c>
      <c r="I1907" t="inlineStr">
        <is>
          <t>Daily/ Weekly Vehicle Inspection</t>
        </is>
      </c>
      <c r="J1907" t="inlineStr">
        <is>
          <t>N/A</t>
        </is>
      </c>
      <c r="K1907" t="inlineStr">
        <is>
          <t>7806 Optimum Tree Services Ltd</t>
        </is>
      </c>
      <c r="L1907" t="inlineStr">
        <is>
          <t>27/10/2025 07:34</t>
        </is>
      </c>
      <c r="M1907" t="inlineStr">
        <is>
          <t>None</t>
        </is>
      </c>
      <c r="N1907" t="inlineStr">
        <is>
          <t>&lt;p&gt;&lt;/p&gt;</t>
        </is>
      </c>
      <c r="O1907" t="inlineStr"/>
      <c r="P1907" t="inlineStr">
        <is>
          <t>SA9ST800000283069 , Chipper , Forst , ST 6P</t>
        </is>
      </c>
      <c r="Q1907" t="inlineStr">
        <is>
          <t>UKPN</t>
        </is>
      </c>
      <c r="R1907" t="b">
        <v>0</v>
      </c>
    </row>
    <row r="1908">
      <c r="A1908" t="inlineStr">
        <is>
          <t>27 Oct 2025 / 7186 Eastwoodbury Tree Services Ltd / Utilities / UKPN</t>
        </is>
      </c>
      <c r="B1908" t="inlineStr">
        <is>
          <t>Utilities</t>
        </is>
      </c>
      <c r="C1908" t="inlineStr">
        <is>
          <t>UKPN</t>
        </is>
      </c>
      <c r="D1908" t="inlineStr">
        <is>
          <t>4x4 - Land rover  - Defenders  - WF13 EKM</t>
        </is>
      </c>
      <c r="E1908" t="inlineStr">
        <is>
          <t>4x4 - Land rover  - Defenders  - WF13 EKM</t>
        </is>
      </c>
      <c r="F1908" t="inlineStr">
        <is>
          <t>4x4 - Land rover  - Defenders  - WF13 EKM</t>
        </is>
      </c>
      <c r="G1908" t="inlineStr">
        <is>
          <t xml:space="preserve">Jay Denkmayer </t>
        </is>
      </c>
      <c r="H1908" t="inlineStr">
        <is>
          <t>4x4</t>
        </is>
      </c>
      <c r="I1908" t="inlineStr">
        <is>
          <t>Daily/ Weekly Vehicle Inspection</t>
        </is>
      </c>
      <c r="J1908" t="inlineStr">
        <is>
          <t>N/A</t>
        </is>
      </c>
      <c r="K1908" t="inlineStr">
        <is>
          <t>7186 Eastwoodbury Tree Services Ltd</t>
        </is>
      </c>
      <c r="L1908" t="inlineStr">
        <is>
          <t>27/10/2025 07:35</t>
        </is>
      </c>
      <c r="M1908" t="inlineStr">
        <is>
          <t>None</t>
        </is>
      </c>
      <c r="N1908" t="inlineStr">
        <is>
          <t>&lt;p&gt;&lt;/p&gt;</t>
        </is>
      </c>
      <c r="O1908" t="inlineStr"/>
      <c r="P1908" t="inlineStr">
        <is>
          <t>4x4 - Land rover  - Defenders  - WF13 EKM</t>
        </is>
      </c>
      <c r="Q1908" t="inlineStr">
        <is>
          <t>UKPN</t>
        </is>
      </c>
      <c r="R1908" t="b">
        <v>0</v>
      </c>
    </row>
    <row r="1909">
      <c r="A1909" t="inlineStr">
        <is>
          <t>27 Oct 2025 / 7806 Optimum Tree Services Ltd / Utilities / UKPN</t>
        </is>
      </c>
      <c r="B1909" t="inlineStr">
        <is>
          <t>Utilities</t>
        </is>
      </c>
      <c r="C1909" t="inlineStr">
        <is>
          <t>UKPN</t>
        </is>
      </c>
      <c r="D1909" t="inlineStr">
        <is>
          <t>WD14EVB , MEWP , Land Rover , Defender</t>
        </is>
      </c>
      <c r="E1909" t="inlineStr">
        <is>
          <t>WD14EVB , MEWP , Land Rover , Defender</t>
        </is>
      </c>
      <c r="F1909" t="inlineStr">
        <is>
          <t>WD14EVB , MEWP , Land Rover , Defender</t>
        </is>
      </c>
      <c r="G1909" t="inlineStr">
        <is>
          <t xml:space="preserve">Abraham davies </t>
        </is>
      </c>
      <c r="H1909" t="inlineStr">
        <is>
          <t>4x4</t>
        </is>
      </c>
      <c r="I1909" t="inlineStr">
        <is>
          <t>Daily/ Weekly Vehicle Inspection</t>
        </is>
      </c>
      <c r="J1909" t="inlineStr">
        <is>
          <t>N/A</t>
        </is>
      </c>
      <c r="K1909" t="inlineStr">
        <is>
          <t>7806 Optimum Tree Services Ltd</t>
        </is>
      </c>
      <c r="L1909" t="inlineStr">
        <is>
          <t>27/10/2025 07:36</t>
        </is>
      </c>
      <c r="M1909" t="inlineStr">
        <is>
          <t>None</t>
        </is>
      </c>
      <c r="N1909" t="inlineStr">
        <is>
          <t>&lt;p&gt;&lt;/p&gt;</t>
        </is>
      </c>
      <c r="O1909" t="inlineStr"/>
      <c r="P1909" t="inlineStr">
        <is>
          <t>WD14EVB , MEWP , Land Rover , Defender</t>
        </is>
      </c>
      <c r="Q1909" t="inlineStr">
        <is>
          <t>UKPN</t>
        </is>
      </c>
      <c r="R1909" t="b">
        <v>0</v>
      </c>
    </row>
    <row r="1910">
      <c r="A1910" t="inlineStr">
        <is>
          <t>27 Oct 2025 / 3098 D &amp; R Landscapes / Utilities / UKPN</t>
        </is>
      </c>
      <c r="B1910" t="inlineStr">
        <is>
          <t>Utilities</t>
        </is>
      </c>
      <c r="C1910" t="inlineStr">
        <is>
          <t>UKPN</t>
        </is>
      </c>
      <c r="D1910" t="inlineStr">
        <is>
          <t>Vehicle - Nissan - Navara - BT20 GNZ</t>
        </is>
      </c>
      <c r="E1910" t="inlineStr">
        <is>
          <t>Vehicle - Nissan - Navara - BT20 GNZ</t>
        </is>
      </c>
      <c r="F1910" t="inlineStr">
        <is>
          <t>Vehicle - Nissan - Navara - BT20 GNZ</t>
        </is>
      </c>
      <c r="G1910" t="inlineStr">
        <is>
          <t xml:space="preserve">Chris </t>
        </is>
      </c>
      <c r="H1910" t="inlineStr">
        <is>
          <t>Pickup Truck</t>
        </is>
      </c>
      <c r="I1910" t="inlineStr">
        <is>
          <t>Daily/ Weekly Vehicle Inspection</t>
        </is>
      </c>
      <c r="J1910" t="inlineStr">
        <is>
          <t>N/A</t>
        </is>
      </c>
      <c r="K1910" t="inlineStr">
        <is>
          <t>3098 D &amp; R Landscapes</t>
        </is>
      </c>
      <c r="L1910" t="inlineStr">
        <is>
          <t>27/10/2025 07:37</t>
        </is>
      </c>
      <c r="M1910" t="inlineStr">
        <is>
          <t>None</t>
        </is>
      </c>
      <c r="N1910" t="inlineStr">
        <is>
          <t>&lt;p&gt;&lt;/p&gt;</t>
        </is>
      </c>
      <c r="O1910" t="inlineStr"/>
      <c r="P1910" t="inlineStr">
        <is>
          <t>Vehicle - Nissan - Navara - BT20 GNZ</t>
        </is>
      </c>
      <c r="Q1910" t="inlineStr">
        <is>
          <t>UKPN</t>
        </is>
      </c>
      <c r="R1910" t="b">
        <v>0</v>
      </c>
    </row>
    <row r="1911">
      <c r="A1911" t="inlineStr">
        <is>
          <t>27 Oct 2025 / 3098 D &amp; R Landscapes / Utilities / UKPN</t>
        </is>
      </c>
      <c r="B1911" t="inlineStr">
        <is>
          <t>Utilities</t>
        </is>
      </c>
      <c r="C1911" t="inlineStr">
        <is>
          <t>UKPN</t>
        </is>
      </c>
      <c r="D1911" t="inlineStr">
        <is>
          <t>DE68XHA , Tipper , Isuzu , Grafter</t>
        </is>
      </c>
      <c r="E1911" t="inlineStr">
        <is>
          <t>DE68XHA , Tipper , Isuzu , Grafter</t>
        </is>
      </c>
      <c r="F1911" t="inlineStr">
        <is>
          <t>DE68XHA , Tipper , Isuzu , Grafter</t>
        </is>
      </c>
      <c r="G1911" t="inlineStr">
        <is>
          <t>Rob</t>
        </is>
      </c>
      <c r="H1911" t="inlineStr">
        <is>
          <t>Tipper</t>
        </is>
      </c>
      <c r="I1911" t="inlineStr">
        <is>
          <t>Daily/ Weekly Vehicle Inspection</t>
        </is>
      </c>
      <c r="J1911" t="inlineStr">
        <is>
          <t>N/A</t>
        </is>
      </c>
      <c r="K1911" t="inlineStr">
        <is>
          <t>3098 D &amp; R Landscapes</t>
        </is>
      </c>
      <c r="L1911" t="inlineStr">
        <is>
          <t>27/10/2025 07:38</t>
        </is>
      </c>
      <c r="M1911" t="inlineStr">
        <is>
          <t>None</t>
        </is>
      </c>
      <c r="N1911" t="inlineStr">
        <is>
          <t>&lt;p&gt;&lt;/p&gt;</t>
        </is>
      </c>
      <c r="O1911" t="inlineStr"/>
      <c r="P1911" t="inlineStr">
        <is>
          <t>DE68XHA , Tipper , Isuzu , Grafter</t>
        </is>
      </c>
      <c r="Q1911" t="inlineStr">
        <is>
          <t>UKPN</t>
        </is>
      </c>
      <c r="R1911" t="b">
        <v>0</v>
      </c>
    </row>
    <row r="1912">
      <c r="A1912" t="inlineStr">
        <is>
          <t>26 Oct 2025 / 7186 Eastwoodbury Tree Services Ltd 1 / Utilities / UKPN</t>
        </is>
      </c>
      <c r="B1912" t="inlineStr">
        <is>
          <t>Utilities</t>
        </is>
      </c>
      <c r="C1912" t="inlineStr">
        <is>
          <t>UKPN</t>
        </is>
      </c>
      <c r="D1912" t="inlineStr">
        <is>
          <t>DE53NKS , 4x4 , Ford , Ranger</t>
        </is>
      </c>
      <c r="E1912" t="inlineStr">
        <is>
          <t>DE53NKS , 4x4 , Ford , Ranger</t>
        </is>
      </c>
      <c r="F1912" t="inlineStr">
        <is>
          <t>DE53NKS , 4x4 , Ford , Ranger</t>
        </is>
      </c>
      <c r="G1912" t="inlineStr">
        <is>
          <t xml:space="preserve">Jay </t>
        </is>
      </c>
      <c r="H1912" t="inlineStr">
        <is>
          <t>4x4</t>
        </is>
      </c>
      <c r="I1912" t="inlineStr">
        <is>
          <t>Daily/ Weekly Vehicle Inspection</t>
        </is>
      </c>
      <c r="J1912" t="inlineStr">
        <is>
          <t>N/A</t>
        </is>
      </c>
      <c r="K1912" t="inlineStr">
        <is>
          <t>7186 Eastwoodbury Tree Services Ltd 1</t>
        </is>
      </c>
      <c r="L1912" t="inlineStr">
        <is>
          <t>27/10/2025 07:39</t>
        </is>
      </c>
      <c r="M1912" t="inlineStr">
        <is>
          <t>None</t>
        </is>
      </c>
      <c r="N1912" t="inlineStr">
        <is>
          <t>&lt;p&gt;&lt;/p&gt;</t>
        </is>
      </c>
      <c r="O1912" t="inlineStr"/>
      <c r="P1912" t="inlineStr">
        <is>
          <t>DE53NKS , 4x4 , Ford , Ranger</t>
        </is>
      </c>
      <c r="Q1912" t="inlineStr">
        <is>
          <t>UKPN</t>
        </is>
      </c>
      <c r="R1912" t="b">
        <v>0</v>
      </c>
    </row>
    <row r="1913">
      <c r="A1913" t="inlineStr">
        <is>
          <t>27 Oct 2025 / Jodie Bowen / Utilities / UKPN</t>
        </is>
      </c>
      <c r="B1913" t="inlineStr">
        <is>
          <t>Utilities</t>
        </is>
      </c>
      <c r="C1913" t="inlineStr">
        <is>
          <t>UKPN</t>
        </is>
      </c>
      <c r="D1913" t="inlineStr">
        <is>
          <t>EK73UOL , Car - Electric , Kia , Niro</t>
        </is>
      </c>
      <c r="E1913" t="inlineStr">
        <is>
          <t>EK73UOL , Car - Electric , Kia , Niro</t>
        </is>
      </c>
      <c r="F1913" t="inlineStr">
        <is>
          <t>EK73UOL , Car - Electric , Kia , Niro</t>
        </is>
      </c>
      <c r="G1913" t="inlineStr">
        <is>
          <t>Jodie Bowen</t>
        </is>
      </c>
      <c r="H1913" t="inlineStr">
        <is>
          <t>Car - Electric (GC Owned)</t>
        </is>
      </c>
      <c r="I1913" t="inlineStr">
        <is>
          <t>Daily/ Weekly Vehicle Inspection</t>
        </is>
      </c>
      <c r="J1913" t="inlineStr">
        <is>
          <t>N/A</t>
        </is>
      </c>
      <c r="K1913" t="inlineStr">
        <is>
          <t>Jodie Bowen</t>
        </is>
      </c>
      <c r="L1913" t="inlineStr">
        <is>
          <t>27/10/2025 07:40</t>
        </is>
      </c>
      <c r="M1913" t="inlineStr">
        <is>
          <t>None</t>
        </is>
      </c>
      <c r="N1913" t="inlineStr">
        <is>
          <t>&lt;p&gt;&lt;/p&gt;</t>
        </is>
      </c>
      <c r="O1913" t="inlineStr"/>
      <c r="P1913" t="inlineStr">
        <is>
          <t>EK73UOL , Car - Electric , Kia , Niro</t>
        </is>
      </c>
      <c r="Q1913" t="inlineStr">
        <is>
          <t>UKPN</t>
        </is>
      </c>
      <c r="R1913" t="b">
        <v>0</v>
      </c>
    </row>
    <row r="1914">
      <c r="A1914" t="inlineStr">
        <is>
          <t>27 Oct 2025 / 7800 MAC Tree Surgery and Fencing Ltd / Utilities / UKPN</t>
        </is>
      </c>
      <c r="B1914" t="inlineStr">
        <is>
          <t>Utilities</t>
        </is>
      </c>
      <c r="C1914" t="inlineStr">
        <is>
          <t>UKPN</t>
        </is>
      </c>
      <c r="D1914" t="inlineStr">
        <is>
          <t>AY68DAA , 4x4 , Izuzu , Dmax</t>
        </is>
      </c>
      <c r="E1914" t="inlineStr">
        <is>
          <t>AY68DAA , 4x4 , Izuzu , Dmax</t>
        </is>
      </c>
      <c r="F1914" t="inlineStr">
        <is>
          <t>AY68DAA , 4x4 , Izuzu , Dmax</t>
        </is>
      </c>
      <c r="G1914" t="inlineStr">
        <is>
          <t xml:space="preserve">Patrick O'Shea </t>
        </is>
      </c>
      <c r="H1914" t="inlineStr">
        <is>
          <t>4x4</t>
        </is>
      </c>
      <c r="I1914" t="inlineStr">
        <is>
          <t>Daily/ Weekly Vehicle Inspection</t>
        </is>
      </c>
      <c r="J1914" t="inlineStr">
        <is>
          <t>N/A</t>
        </is>
      </c>
      <c r="K1914" t="inlineStr">
        <is>
          <t>7800 MAC Tree Surgery and Fencing Ltd</t>
        </is>
      </c>
      <c r="L1914" t="inlineStr">
        <is>
          <t>27/10/2025 08:32</t>
        </is>
      </c>
      <c r="M1914" t="inlineStr">
        <is>
          <t>None</t>
        </is>
      </c>
      <c r="N1914" t="inlineStr">
        <is>
          <t>&lt;p&gt;&lt;/p&gt;</t>
        </is>
      </c>
      <c r="O1914" t="inlineStr"/>
      <c r="P1914" t="inlineStr">
        <is>
          <t>AY68DAA , 4x4 , Izuzu , Dmax</t>
        </is>
      </c>
      <c r="Q1914" t="inlineStr">
        <is>
          <t>UKPN</t>
        </is>
      </c>
      <c r="R1914" t="b">
        <v>0</v>
      </c>
    </row>
    <row r="1915">
      <c r="A1915" t="inlineStr">
        <is>
          <t>27 Oct 2025 / 7800 MAC Tree Surgery and Fencing Ltd / Utilities / UKPN</t>
        </is>
      </c>
      <c r="B1915" t="inlineStr">
        <is>
          <t>Utilities</t>
        </is>
      </c>
      <c r="C1915" t="inlineStr">
        <is>
          <t>UKPN</t>
        </is>
      </c>
      <c r="D1915" t="inlineStr">
        <is>
          <t>Plant Trailer - Towmate - 2.8t - 0</t>
        </is>
      </c>
      <c r="E1915" t="inlineStr">
        <is>
          <t>Plant Trailer - Towmate - 2.8t - 0</t>
        </is>
      </c>
      <c r="F1915" t="inlineStr">
        <is>
          <t>Plant Trailer - Towmate - 2.8t - 0</t>
        </is>
      </c>
      <c r="G1915" t="inlineStr">
        <is>
          <t xml:space="preserve">Patrick O'Shea </t>
        </is>
      </c>
      <c r="H1915" t="inlineStr">
        <is>
          <t>Plant Trailer</t>
        </is>
      </c>
      <c r="I1915" t="inlineStr">
        <is>
          <t>Daily/ Weekly Vehicle Inspection</t>
        </is>
      </c>
      <c r="J1915" t="inlineStr">
        <is>
          <t>N/A</t>
        </is>
      </c>
      <c r="K1915" t="inlineStr">
        <is>
          <t>7800 MAC Tree Surgery and Fencing Ltd</t>
        </is>
      </c>
      <c r="L1915" t="inlineStr">
        <is>
          <t>27/10/2025 08:33</t>
        </is>
      </c>
      <c r="M1915" t="inlineStr">
        <is>
          <t>None</t>
        </is>
      </c>
      <c r="N1915" t="inlineStr">
        <is>
          <t>&lt;p&gt;&lt;/p&gt;</t>
        </is>
      </c>
      <c r="O1915" t="inlineStr"/>
      <c r="P1915" t="inlineStr">
        <is>
          <t>Plant Trailer - Towmate - 2.8t - 0</t>
        </is>
      </c>
      <c r="Q1915" t="inlineStr">
        <is>
          <t>UKPN</t>
        </is>
      </c>
      <c r="R1915" t="b">
        <v>0</v>
      </c>
    </row>
    <row r="1916">
      <c r="A1916" t="inlineStr">
        <is>
          <t>22 Oct 2025 / 7800 MAC Tree Surgery and Fencing Ltd / Utilities / UKPN</t>
        </is>
      </c>
      <c r="B1916" t="inlineStr">
        <is>
          <t>Utilities</t>
        </is>
      </c>
      <c r="C1916" t="inlineStr">
        <is>
          <t>UKPN</t>
        </is>
      </c>
      <c r="D1916" t="inlineStr">
        <is>
          <t>AY68DAA , 4x4 , Izuzu , Dmax</t>
        </is>
      </c>
      <c r="E1916" t="inlineStr">
        <is>
          <t>AY68DAA , 4x4 , Izuzu , Dmax</t>
        </is>
      </c>
      <c r="F1916" t="inlineStr">
        <is>
          <t>AY68DAA , 4x4 , Izuzu , Dmax</t>
        </is>
      </c>
      <c r="G1916" t="inlineStr">
        <is>
          <t xml:space="preserve">Lewis Mac </t>
        </is>
      </c>
      <c r="H1916" t="inlineStr">
        <is>
          <t>4x4</t>
        </is>
      </c>
      <c r="I1916" t="inlineStr">
        <is>
          <t>Daily/ Weekly Vehicle Inspection</t>
        </is>
      </c>
      <c r="J1916" t="inlineStr">
        <is>
          <t>N/A</t>
        </is>
      </c>
      <c r="K1916" t="inlineStr">
        <is>
          <t>7800 MAC Tree Surgery and Fencing Ltd</t>
        </is>
      </c>
      <c r="L1916" t="inlineStr">
        <is>
          <t>27/10/2025 08:35</t>
        </is>
      </c>
      <c r="M1916" t="inlineStr">
        <is>
          <t>None</t>
        </is>
      </c>
      <c r="N1916" t="inlineStr">
        <is>
          <t>&lt;p&gt;&lt;/p&gt;</t>
        </is>
      </c>
      <c r="O1916" t="inlineStr"/>
      <c r="P1916" t="inlineStr">
        <is>
          <t>AY68DAA , 4x4 , Izuzu , Dmax</t>
        </is>
      </c>
      <c r="Q1916" t="inlineStr">
        <is>
          <t>UKPN</t>
        </is>
      </c>
      <c r="R1916" t="b">
        <v>0</v>
      </c>
    </row>
    <row r="1917">
      <c r="A1917" t="inlineStr">
        <is>
          <t>27 Oct 2025 / 7800 MAC Tree Surgery and Fencing Ltd / Utilities / UKPN</t>
        </is>
      </c>
      <c r="B1917" t="inlineStr">
        <is>
          <t>Utilities</t>
        </is>
      </c>
      <c r="C1917" t="inlineStr">
        <is>
          <t>UKPN</t>
        </is>
      </c>
      <c r="D1917" t="inlineStr">
        <is>
          <t>Plant Trailer - Towmate - 2.8t - 0</t>
        </is>
      </c>
      <c r="E1917" t="inlineStr">
        <is>
          <t>Plant Trailer - Towmate - 2.8t - 0</t>
        </is>
      </c>
      <c r="F1917" t="inlineStr">
        <is>
          <t>Plant Trailer - Towmate - 2.8t - 0</t>
        </is>
      </c>
      <c r="G1917" t="inlineStr">
        <is>
          <t xml:space="preserve">Patrick O'Shea </t>
        </is>
      </c>
      <c r="H1917" t="inlineStr">
        <is>
          <t>Plant Trailer</t>
        </is>
      </c>
      <c r="I1917" t="inlineStr">
        <is>
          <t>Daily/ Weekly Vehicle Inspection</t>
        </is>
      </c>
      <c r="J1917" t="inlineStr">
        <is>
          <t>N/A</t>
        </is>
      </c>
      <c r="K1917" t="inlineStr">
        <is>
          <t>7800 MAC Tree Surgery and Fencing Ltd</t>
        </is>
      </c>
      <c r="L1917" t="inlineStr">
        <is>
          <t>27/10/2025 09:36</t>
        </is>
      </c>
      <c r="M1917" t="inlineStr">
        <is>
          <t>None</t>
        </is>
      </c>
      <c r="N1917" t="inlineStr">
        <is>
          <t>&lt;p&gt;&lt;/p&gt;</t>
        </is>
      </c>
      <c r="O1917" t="inlineStr"/>
      <c r="P1917" t="inlineStr">
        <is>
          <t>Plant Trailer - Towmate - 2.8t - 0</t>
        </is>
      </c>
      <c r="Q1917" t="inlineStr">
        <is>
          <t>UKPN</t>
        </is>
      </c>
      <c r="R1917" t="b">
        <v>0</v>
      </c>
    </row>
    <row r="1918">
      <c r="A1918" t="inlineStr">
        <is>
          <t>27 Oct 2025 / Jonathan Wisbey / Utilities / UKPN</t>
        </is>
      </c>
      <c r="B1918" t="inlineStr">
        <is>
          <t>Utilities</t>
        </is>
      </c>
      <c r="C1918" t="inlineStr">
        <is>
          <t>UKPN</t>
        </is>
      </c>
      <c r="D1918" t="inlineStr"/>
      <c r="E1918" t="inlineStr"/>
      <c r="F1918" t="inlineStr"/>
      <c r="G1918" t="inlineStr">
        <is>
          <t xml:space="preserve">Jonathan Wisbey </t>
        </is>
      </c>
      <c r="H1918" t="inlineStr">
        <is>
          <t>Car - Petrol</t>
        </is>
      </c>
      <c r="I1918" t="inlineStr">
        <is>
          <t>Daily/ Weekly Vehicle Inspection</t>
        </is>
      </c>
      <c r="J1918" t="inlineStr">
        <is>
          <t>N/A</t>
        </is>
      </c>
      <c r="K1918" t="inlineStr">
        <is>
          <t>Jonathan Wisbey</t>
        </is>
      </c>
      <c r="L1918" t="inlineStr">
        <is>
          <t>27/10/2025 11:30</t>
        </is>
      </c>
      <c r="M1918" t="inlineStr">
        <is>
          <t>None</t>
        </is>
      </c>
      <c r="N1918" t="inlineStr">
        <is>
          <t>&lt;p&gt;&lt;/p&gt;</t>
        </is>
      </c>
      <c r="O1918" t="inlineStr"/>
      <c r="P1918" t="inlineStr"/>
      <c r="Q1918" t="inlineStr">
        <is>
          <t>UKPN</t>
        </is>
      </c>
      <c r="R1918" t="b">
        <v>0</v>
      </c>
    </row>
    <row r="1919">
      <c r="A1919" t="inlineStr">
        <is>
          <t>27 Oct 2025 / Thomas Nandi / Utilities / SSE</t>
        </is>
      </c>
      <c r="B1919" t="inlineStr">
        <is>
          <t>Utilities</t>
        </is>
      </c>
      <c r="C1919" t="inlineStr">
        <is>
          <t>SSE</t>
        </is>
      </c>
      <c r="D1919" t="inlineStr"/>
      <c r="E1919" t="inlineStr"/>
      <c r="F1919" t="inlineStr"/>
      <c r="G1919" t="inlineStr">
        <is>
          <t xml:space="preserve">Tom Nandi </t>
        </is>
      </c>
      <c r="H1919" t="inlineStr">
        <is>
          <t>Car - Petrol</t>
        </is>
      </c>
      <c r="I1919" t="inlineStr">
        <is>
          <t>Daily/ Weekly Vehicle Inspection</t>
        </is>
      </c>
      <c r="J1919" t="inlineStr">
        <is>
          <t>N/A</t>
        </is>
      </c>
      <c r="K1919" t="inlineStr">
        <is>
          <t>Thomas Nandi</t>
        </is>
      </c>
      <c r="L1919" t="inlineStr">
        <is>
          <t>27/10/2025 13:30</t>
        </is>
      </c>
      <c r="M1919" t="inlineStr">
        <is>
          <t>None</t>
        </is>
      </c>
      <c r="N1919" t="inlineStr">
        <is>
          <t>&lt;p&gt;&lt;/p&gt;</t>
        </is>
      </c>
      <c r="O1919" t="inlineStr"/>
      <c r="P1919" t="inlineStr"/>
      <c r="Q1919" t="inlineStr">
        <is>
          <t>SSE</t>
        </is>
      </c>
      <c r="R1919" t="b">
        <v>0</v>
      </c>
    </row>
    <row r="1920">
      <c r="A1920" t="inlineStr">
        <is>
          <t>27 Oct 2025 / Christopher Simeoli / Utilities / NGED</t>
        </is>
      </c>
      <c r="B1920" t="inlineStr">
        <is>
          <t>Utilities</t>
        </is>
      </c>
      <c r="C1920" t="inlineStr">
        <is>
          <t>NGED</t>
        </is>
      </c>
      <c r="D1920" t="inlineStr">
        <is>
          <t>EO73KVB , Car - Electric , Kia , Niro</t>
        </is>
      </c>
      <c r="E1920" t="inlineStr">
        <is>
          <t>EO73KVB , Car - Electric , Kia , Niro</t>
        </is>
      </c>
      <c r="F1920" t="inlineStr">
        <is>
          <t>EO73KVB , Car - Electric , Kia , Niro</t>
        </is>
      </c>
      <c r="G1920" t="inlineStr">
        <is>
          <t>Chris Simeoli</t>
        </is>
      </c>
      <c r="H1920" t="inlineStr">
        <is>
          <t>Car - Electric (GC Owned)</t>
        </is>
      </c>
      <c r="I1920" t="inlineStr">
        <is>
          <t>Daily/ Weekly Vehicle Inspection</t>
        </is>
      </c>
      <c r="J1920" t="inlineStr">
        <is>
          <t>N/A</t>
        </is>
      </c>
      <c r="K1920" t="inlineStr">
        <is>
          <t>Christopher Simeoli</t>
        </is>
      </c>
      <c r="L1920" t="inlineStr">
        <is>
          <t>27/10/2025 16:30</t>
        </is>
      </c>
      <c r="M1920" t="inlineStr">
        <is>
          <t>None</t>
        </is>
      </c>
      <c r="N1920" t="inlineStr">
        <is>
          <t>&lt;p&gt;&lt;/p&gt;</t>
        </is>
      </c>
      <c r="O1920" t="inlineStr"/>
      <c r="P1920" t="inlineStr">
        <is>
          <t>EO73KVB , Car - Electric , Kia , Niro</t>
        </is>
      </c>
      <c r="Q1920" t="inlineStr">
        <is>
          <t>NGED</t>
        </is>
      </c>
      <c r="R1920" t="b">
        <v>0</v>
      </c>
    </row>
    <row r="1921">
      <c r="A1921" t="inlineStr">
        <is>
          <t>28 Oct 2025 / 7806 Optimum Tree Services Ltd / Utilities / UKPN</t>
        </is>
      </c>
      <c r="B1921" t="inlineStr">
        <is>
          <t>Utilities</t>
        </is>
      </c>
      <c r="C1921" t="inlineStr">
        <is>
          <t>UKPN</t>
        </is>
      </c>
      <c r="D1921" t="inlineStr">
        <is>
          <t>Towed Chipper - Forst  - St6pHD - SA9st6p0001283093</t>
        </is>
      </c>
      <c r="E1921" t="inlineStr">
        <is>
          <t>Towed Chipper - Forst  - St6pHD - SA9st6p0001283093</t>
        </is>
      </c>
      <c r="F1921" t="inlineStr">
        <is>
          <t>Towed Chipper - Forst  - St6pHD - SA9st6p0001283093</t>
        </is>
      </c>
      <c r="G1921" t="inlineStr">
        <is>
          <t xml:space="preserve">Abraham Davies </t>
        </is>
      </c>
      <c r="H1921" t="inlineStr">
        <is>
          <t>Towed Chipper</t>
        </is>
      </c>
      <c r="I1921" t="inlineStr">
        <is>
          <t>Daily/ Weekly Vehicle Inspection</t>
        </is>
      </c>
      <c r="J1921" t="inlineStr">
        <is>
          <t>N/A</t>
        </is>
      </c>
      <c r="K1921" t="inlineStr">
        <is>
          <t>7806 Optimum Tree Services Ltd</t>
        </is>
      </c>
      <c r="L1921" t="inlineStr">
        <is>
          <t>28/10/2025 07:30</t>
        </is>
      </c>
      <c r="M1921" t="inlineStr">
        <is>
          <t>None</t>
        </is>
      </c>
      <c r="N1921" t="inlineStr">
        <is>
          <t>&lt;p&gt;&lt;/p&gt;</t>
        </is>
      </c>
      <c r="O1921" t="inlineStr"/>
      <c r="P1921" t="inlineStr">
        <is>
          <t>Towed Chipper - Forst  - St6pHD - SA9st6p0001283093</t>
        </is>
      </c>
      <c r="Q1921" t="inlineStr">
        <is>
          <t>UKPN</t>
        </is>
      </c>
      <c r="R1921" t="b">
        <v>0</v>
      </c>
    </row>
    <row r="1922">
      <c r="A1922" t="inlineStr">
        <is>
          <t>28 Oct 2025 / 7806 Optimum Tree Services Ltd / Utilities / UKPN</t>
        </is>
      </c>
      <c r="B1922" t="inlineStr">
        <is>
          <t>Utilities</t>
        </is>
      </c>
      <c r="C1922" t="inlineStr">
        <is>
          <t>UKPN</t>
        </is>
      </c>
      <c r="D1922" t="inlineStr">
        <is>
          <t>WD14EVB , MEWP , Land Rover , Defender</t>
        </is>
      </c>
      <c r="E1922" t="inlineStr">
        <is>
          <t>WD14EVB , MEWP , Land Rover , Defender</t>
        </is>
      </c>
      <c r="F1922" t="inlineStr">
        <is>
          <t>WD14EVB , MEWP , Land Rover , Defender</t>
        </is>
      </c>
      <c r="G1922" t="inlineStr">
        <is>
          <t xml:space="preserve">Abraham Davies </t>
        </is>
      </c>
      <c r="H1922" t="inlineStr">
        <is>
          <t>4x4</t>
        </is>
      </c>
      <c r="I1922" t="inlineStr">
        <is>
          <t>Daily/ Weekly Vehicle Inspection</t>
        </is>
      </c>
      <c r="J1922" t="inlineStr">
        <is>
          <t>N/A</t>
        </is>
      </c>
      <c r="K1922" t="inlineStr">
        <is>
          <t>7806 Optimum Tree Services Ltd</t>
        </is>
      </c>
      <c r="L1922" t="inlineStr">
        <is>
          <t>28/10/2025 07:31</t>
        </is>
      </c>
      <c r="M1922" t="inlineStr">
        <is>
          <t>None</t>
        </is>
      </c>
      <c r="N1922" t="inlineStr">
        <is>
          <t>&lt;p&gt;&lt;/p&gt;</t>
        </is>
      </c>
      <c r="O1922" t="inlineStr"/>
      <c r="P1922" t="inlineStr">
        <is>
          <t>WD14EVB , MEWP , Land Rover , Defender</t>
        </is>
      </c>
      <c r="Q1922" t="inlineStr">
        <is>
          <t>UKPN</t>
        </is>
      </c>
      <c r="R1922" t="b">
        <v>0</v>
      </c>
    </row>
    <row r="1923">
      <c r="A1923" t="inlineStr">
        <is>
          <t>28 Oct 2025 / 7186 Eastwoodbury Tree Services Ltd / Utilities / UKPN</t>
        </is>
      </c>
      <c r="B1923" t="inlineStr">
        <is>
          <t>Utilities</t>
        </is>
      </c>
      <c r="C1923" t="inlineStr">
        <is>
          <t>UKPN</t>
        </is>
      </c>
      <c r="D1923" t="inlineStr">
        <is>
          <t>FN600XM , 4x4 , Land Rover  , Defender</t>
        </is>
      </c>
      <c r="E1923" t="inlineStr">
        <is>
          <t>FN600XM , 4x4 , Land Rover  , Defender</t>
        </is>
      </c>
      <c r="F1923" t="inlineStr">
        <is>
          <t>FN600XM , 4x4 , Land Rover  , Defender</t>
        </is>
      </c>
      <c r="G1923" t="inlineStr">
        <is>
          <t xml:space="preserve">Tom Price </t>
        </is>
      </c>
      <c r="H1923" t="inlineStr">
        <is>
          <t>4x4</t>
        </is>
      </c>
      <c r="I1923" t="inlineStr">
        <is>
          <t>Daily/ Weekly Vehicle Inspection</t>
        </is>
      </c>
      <c r="J1923" t="inlineStr">
        <is>
          <t>N/A</t>
        </is>
      </c>
      <c r="K1923" t="inlineStr">
        <is>
          <t>7186 Eastwoodbury Tree Services Ltd</t>
        </is>
      </c>
      <c r="L1923" t="inlineStr">
        <is>
          <t>28/10/2025 07:32</t>
        </is>
      </c>
      <c r="M1923" t="inlineStr">
        <is>
          <t>None</t>
        </is>
      </c>
      <c r="N1923" t="inlineStr">
        <is>
          <t>&lt;p&gt;&lt;/p&gt;</t>
        </is>
      </c>
      <c r="O1923" t="inlineStr"/>
      <c r="P1923" t="inlineStr">
        <is>
          <t>FN600XM , 4x4 , Land Rover  , Defender</t>
        </is>
      </c>
      <c r="Q1923" t="inlineStr">
        <is>
          <t>UKPN</t>
        </is>
      </c>
      <c r="R1923" t="b">
        <v>0</v>
      </c>
    </row>
    <row r="1924">
      <c r="A1924" t="inlineStr">
        <is>
          <t>28 Oct 2025 / 7889 Tree Tech Suffolk Ltd</t>
        </is>
      </c>
      <c r="B1924" t="inlineStr">
        <is>
          <t>Utilities &amp; Inland Waterways</t>
        </is>
      </c>
      <c r="C1924" t="inlineStr">
        <is>
          <t>UKPN</t>
        </is>
      </c>
      <c r="D1924" t="inlineStr">
        <is>
          <t>Tow Chipper - Jenson - A530L - 55210639484x4 - Isuzu - D-max - NS03 TTSTipper - Nissan - Navara - NS02TTS</t>
        </is>
      </c>
      <c r="E1924" t="inlineStr">
        <is>
          <t>Tow Chipper - Jenson - A530L - 55210639484x4 - Isuzu - D-max - NS03 TTSTipper - Nissan - Navara - NS02TTS</t>
        </is>
      </c>
      <c r="F1924" t="inlineStr">
        <is>
          <t>Tow Chipper - Jenson - A530L - 55210639484x4 - Isuzu - D-max - NS03 TTSTipper - Nissan - Navara - NS02TTS</t>
        </is>
      </c>
      <c r="G1924" t="inlineStr">
        <is>
          <t xml:space="preserve">Nikki sparrow Danny Appleby Nikki sparrow </t>
        </is>
      </c>
      <c r="H1924" t="inlineStr">
        <is>
          <t>Towed Chipper4x4Tipper</t>
        </is>
      </c>
      <c r="I1924" t="inlineStr">
        <is>
          <t>Daily/ Weekly Vehicle Inspection</t>
        </is>
      </c>
      <c r="J1924" t="inlineStr">
        <is>
          <t>N/A</t>
        </is>
      </c>
      <c r="K1924" t="inlineStr">
        <is>
          <t>7889 Tree Tech Suffolk Ltd</t>
        </is>
      </c>
      <c r="L1924" t="inlineStr">
        <is>
          <t>28/10/2025 07:35</t>
        </is>
      </c>
      <c r="M1924" t="inlineStr">
        <is>
          <t>None</t>
        </is>
      </c>
      <c r="N1924" t="inlineStr">
        <is>
          <t>&lt;p&gt;&lt;/p&gt;</t>
        </is>
      </c>
      <c r="O1924" t="inlineStr"/>
      <c r="P1924" t="inlineStr">
        <is>
          <t>Tow Chipper - Jenson - A530L - 55210639484x4 - Isuzu - D-max - NS03 TTSTipper - Nissan - Navara - NS02TTS</t>
        </is>
      </c>
      <c r="Q1924" t="inlineStr">
        <is>
          <t>UKPN</t>
        </is>
      </c>
      <c r="R1924" t="b">
        <v>0</v>
      </c>
    </row>
    <row r="1925">
      <c r="A1925" t="inlineStr">
        <is>
          <t>28 Oct 2025 / 3098 D &amp; R Landscapes / Utilities / UKPN</t>
        </is>
      </c>
      <c r="B1925" t="inlineStr">
        <is>
          <t>Utilities</t>
        </is>
      </c>
      <c r="C1925" t="inlineStr">
        <is>
          <t>UKPN</t>
        </is>
      </c>
      <c r="D1925" t="inlineStr">
        <is>
          <t>EJ12TWE , Vehicle , Isuzu , DMAX</t>
        </is>
      </c>
      <c r="E1925" t="inlineStr">
        <is>
          <t>EJ12TWE , Vehicle , Isuzu , DMAX</t>
        </is>
      </c>
      <c r="F1925" t="inlineStr">
        <is>
          <t>EJ12TWE , Vehicle , Isuzu , DMAX</t>
        </is>
      </c>
      <c r="G1925" t="inlineStr">
        <is>
          <t>Chris</t>
        </is>
      </c>
      <c r="H1925" t="inlineStr">
        <is>
          <t>Pickup Truck</t>
        </is>
      </c>
      <c r="I1925" t="inlineStr">
        <is>
          <t>Daily/ Weekly Vehicle Inspection</t>
        </is>
      </c>
      <c r="J1925" t="inlineStr">
        <is>
          <t>N/A</t>
        </is>
      </c>
      <c r="K1925" t="inlineStr">
        <is>
          <t>3098 D &amp; R Landscapes</t>
        </is>
      </c>
      <c r="L1925" t="inlineStr">
        <is>
          <t>28/10/2025 07:35</t>
        </is>
      </c>
      <c r="M1925" t="inlineStr">
        <is>
          <t>None</t>
        </is>
      </c>
      <c r="N1925" t="inlineStr">
        <is>
          <t>&lt;p&gt;&lt;/p&gt;</t>
        </is>
      </c>
      <c r="O1925" t="inlineStr"/>
      <c r="P1925" t="inlineStr">
        <is>
          <t>EJ12TWE , Vehicle , Isuzu , DMAX</t>
        </is>
      </c>
      <c r="Q1925" t="inlineStr">
        <is>
          <t>UKPN</t>
        </is>
      </c>
      <c r="R1925" t="b">
        <v>0</v>
      </c>
    </row>
    <row r="1926">
      <c r="A1926" t="inlineStr">
        <is>
          <t>28 Oct 2025 / 3098 D &amp; R Landscapes / Utilities / UKPN</t>
        </is>
      </c>
      <c r="B1926" t="inlineStr">
        <is>
          <t>Utilities</t>
        </is>
      </c>
      <c r="C1926" t="inlineStr">
        <is>
          <t>UKPN</t>
        </is>
      </c>
      <c r="D1926" t="inlineStr">
        <is>
          <t>FX17YVM , Vehicle , Nissan , Navara</t>
        </is>
      </c>
      <c r="E1926" t="inlineStr">
        <is>
          <t>FX17YVM , Vehicle , Nissan , Navara</t>
        </is>
      </c>
      <c r="F1926" t="inlineStr">
        <is>
          <t>FX17YVM , Vehicle , Nissan , Navara</t>
        </is>
      </c>
      <c r="G1926" t="inlineStr">
        <is>
          <t>Rob</t>
        </is>
      </c>
      <c r="H1926" t="inlineStr">
        <is>
          <t>Pickup Truck</t>
        </is>
      </c>
      <c r="I1926" t="inlineStr">
        <is>
          <t>Daily/ Weekly Vehicle Inspection</t>
        </is>
      </c>
      <c r="J1926" t="inlineStr">
        <is>
          <t>N/A</t>
        </is>
      </c>
      <c r="K1926" t="inlineStr">
        <is>
          <t>3098 D &amp; R Landscapes</t>
        </is>
      </c>
      <c r="L1926" t="inlineStr">
        <is>
          <t>28/10/2025 07:36</t>
        </is>
      </c>
      <c r="M1926" t="inlineStr">
        <is>
          <t>None</t>
        </is>
      </c>
      <c r="N1926" t="inlineStr">
        <is>
          <t>&lt;p&gt;&lt;/p&gt;</t>
        </is>
      </c>
      <c r="O1926" t="inlineStr"/>
      <c r="P1926" t="inlineStr">
        <is>
          <t>FX17YVM , Vehicle , Nissan , Navara</t>
        </is>
      </c>
      <c r="Q1926" t="inlineStr">
        <is>
          <t>UKPN</t>
        </is>
      </c>
      <c r="R1926" t="b">
        <v>0</v>
      </c>
    </row>
    <row r="1927">
      <c r="A1927" t="inlineStr">
        <is>
          <t>28 Oct 2025 / 3098 D &amp; R Landscapes / Utilities / UKPN</t>
        </is>
      </c>
      <c r="B1927" t="inlineStr">
        <is>
          <t>Utilities</t>
        </is>
      </c>
      <c r="C1927" t="inlineStr">
        <is>
          <t>UKPN</t>
        </is>
      </c>
      <c r="D1927" t="inlineStr">
        <is>
          <t>Vehicle - Nissan - Navara - BT20 GNZ</t>
        </is>
      </c>
      <c r="E1927" t="inlineStr">
        <is>
          <t>Vehicle - Nissan - Navara - BT20 GNZ</t>
        </is>
      </c>
      <c r="F1927" t="inlineStr">
        <is>
          <t>Vehicle - Nissan - Navara - BT20 GNZ</t>
        </is>
      </c>
      <c r="G1927" t="inlineStr">
        <is>
          <t>Jason</t>
        </is>
      </c>
      <c r="H1927" t="inlineStr">
        <is>
          <t>Pickup Truck</t>
        </is>
      </c>
      <c r="I1927" t="inlineStr">
        <is>
          <t>Daily/ Weekly Vehicle Inspection</t>
        </is>
      </c>
      <c r="J1927" t="inlineStr">
        <is>
          <t>N/A</t>
        </is>
      </c>
      <c r="K1927" t="inlineStr">
        <is>
          <t>3098 D &amp; R Landscapes</t>
        </is>
      </c>
      <c r="L1927" t="inlineStr">
        <is>
          <t>28/10/2025 07:37</t>
        </is>
      </c>
      <c r="M1927" t="inlineStr">
        <is>
          <t>None</t>
        </is>
      </c>
      <c r="N1927" t="inlineStr">
        <is>
          <t>&lt;p&gt;&lt;/p&gt;</t>
        </is>
      </c>
      <c r="O1927" t="inlineStr"/>
      <c r="P1927" t="inlineStr">
        <is>
          <t>Vehicle - Nissan - Navara - BT20 GNZ</t>
        </is>
      </c>
      <c r="Q1927" t="inlineStr">
        <is>
          <t>UKPN</t>
        </is>
      </c>
      <c r="R1927" t="b">
        <v>0</v>
      </c>
    </row>
    <row r="1928">
      <c r="A1928" t="inlineStr">
        <is>
          <t>28 Oct 2025 / Thomas Playford / Utilities / UKPN</t>
        </is>
      </c>
      <c r="B1928" t="inlineStr">
        <is>
          <t>Utilities</t>
        </is>
      </c>
      <c r="C1928" t="inlineStr">
        <is>
          <t>UKPN</t>
        </is>
      </c>
      <c r="D1928" t="inlineStr">
        <is>
          <t>YP24 WRD , Vehicle , Ford , Ranger</t>
        </is>
      </c>
      <c r="E1928" t="inlineStr">
        <is>
          <t>YP24 WRD , Vehicle , Ford , Ranger</t>
        </is>
      </c>
      <c r="F1928" t="inlineStr">
        <is>
          <t>YP24 WRD , Vehicle , Ford , Ranger</t>
        </is>
      </c>
      <c r="G1928" t="inlineStr">
        <is>
          <t>Jacob Oram</t>
        </is>
      </c>
      <c r="H1928" t="inlineStr">
        <is>
          <t>4x4</t>
        </is>
      </c>
      <c r="I1928" t="inlineStr">
        <is>
          <t>Daily/ Weekly Vehicle Inspection</t>
        </is>
      </c>
      <c r="J1928" t="inlineStr">
        <is>
          <t>N/A</t>
        </is>
      </c>
      <c r="K1928" t="inlineStr">
        <is>
          <t>7995 Contour Landscapes Ltd 2</t>
        </is>
      </c>
      <c r="L1928" t="inlineStr">
        <is>
          <t>28/10/2025 08:36</t>
        </is>
      </c>
      <c r="M1928" t="inlineStr">
        <is>
          <t>None</t>
        </is>
      </c>
      <c r="N1928" t="inlineStr">
        <is>
          <t>&lt;p&gt;&lt;/p&gt;</t>
        </is>
      </c>
      <c r="O1928" t="inlineStr"/>
      <c r="P1928" t="inlineStr">
        <is>
          <t>YP24 WRD , Vehicle , Ford , Ranger</t>
        </is>
      </c>
      <c r="Q1928" t="inlineStr">
        <is>
          <t>UKPN</t>
        </is>
      </c>
      <c r="R1928" t="b">
        <v>0</v>
      </c>
    </row>
    <row r="1929">
      <c r="A1929" t="inlineStr">
        <is>
          <t>28 Oct 2025 / Chris Huntley / Utilities / UKPN</t>
        </is>
      </c>
      <c r="B1929" t="inlineStr">
        <is>
          <t>Utilities</t>
        </is>
      </c>
      <c r="C1929" t="inlineStr">
        <is>
          <t>UKPN</t>
        </is>
      </c>
      <c r="D1929" t="inlineStr">
        <is>
          <t>EX18DCY , 4x4 , Ford , Ranger</t>
        </is>
      </c>
      <c r="E1929" t="inlineStr">
        <is>
          <t>EX18DCY , 4x4 , Ford , Ranger</t>
        </is>
      </c>
      <c r="F1929" t="inlineStr">
        <is>
          <t>EX18DCY , 4x4 , Ford , Ranger</t>
        </is>
      </c>
      <c r="G1929" t="inlineStr">
        <is>
          <t xml:space="preserve">Chris Huntley </t>
        </is>
      </c>
      <c r="H1929" t="inlineStr">
        <is>
          <t>Pickup Truck</t>
        </is>
      </c>
      <c r="I1929" t="inlineStr">
        <is>
          <t>Daily/ Weekly Vehicle Inspection</t>
        </is>
      </c>
      <c r="J1929" t="inlineStr">
        <is>
          <t>N/A</t>
        </is>
      </c>
      <c r="K1929" t="inlineStr">
        <is>
          <t>Chris Huntley</t>
        </is>
      </c>
      <c r="L1929" t="inlineStr">
        <is>
          <t>28/10/2025 10:32</t>
        </is>
      </c>
      <c r="M1929" t="inlineStr">
        <is>
          <t>None</t>
        </is>
      </c>
      <c r="N1929" t="inlineStr">
        <is>
          <t>&lt;p&gt;&lt;/p&gt;</t>
        </is>
      </c>
      <c r="O1929" t="inlineStr"/>
      <c r="P1929" t="inlineStr">
        <is>
          <t>EX18DCY , 4x4 , Ford , Ranger</t>
        </is>
      </c>
      <c r="Q1929" t="inlineStr">
        <is>
          <t>UKPN</t>
        </is>
      </c>
      <c r="R1929" t="b">
        <v>0</v>
      </c>
    </row>
    <row r="1930">
      <c r="A1930" t="inlineStr">
        <is>
          <t>28 Oct 2025 / Paul Chubb / Utilities / SSE</t>
        </is>
      </c>
      <c r="B1930" t="inlineStr">
        <is>
          <t>Utilities</t>
        </is>
      </c>
      <c r="C1930" t="inlineStr">
        <is>
          <t>SSE</t>
        </is>
      </c>
      <c r="D1930" t="inlineStr"/>
      <c r="E1930" t="inlineStr"/>
      <c r="F1930" t="inlineStr"/>
      <c r="G1930" t="inlineStr">
        <is>
          <t>Paul chubb</t>
        </is>
      </c>
      <c r="H1930" t="inlineStr">
        <is>
          <t>Van</t>
        </is>
      </c>
      <c r="I1930" t="inlineStr">
        <is>
          <t>Daily/ Weekly Vehicle Inspection</t>
        </is>
      </c>
      <c r="J1930" t="inlineStr">
        <is>
          <t>N/A</t>
        </is>
      </c>
      <c r="K1930" t="inlineStr">
        <is>
          <t>Paul Chubb</t>
        </is>
      </c>
      <c r="L1930" t="inlineStr">
        <is>
          <t>28/10/2025 16:30</t>
        </is>
      </c>
      <c r="M1930" t="inlineStr">
        <is>
          <t>None</t>
        </is>
      </c>
      <c r="N1930" t="inlineStr">
        <is>
          <t>&lt;p&gt;&lt;/p&gt;</t>
        </is>
      </c>
      <c r="O1930" t="inlineStr"/>
      <c r="P1930" t="inlineStr"/>
      <c r="Q1930" t="inlineStr">
        <is>
          <t>SSE</t>
        </is>
      </c>
      <c r="R1930" t="b">
        <v>0</v>
      </c>
    </row>
    <row r="1931">
      <c r="A1931" t="inlineStr">
        <is>
          <t>28 Oct 2025 / Christopher Phillips / Utilities / NGED</t>
        </is>
      </c>
      <c r="B1931" t="inlineStr">
        <is>
          <t>Utilities</t>
        </is>
      </c>
      <c r="C1931" t="inlineStr">
        <is>
          <t>NGED</t>
        </is>
      </c>
      <c r="D1931" t="inlineStr">
        <is>
          <t>SK69 XHC , Car - Electric , Tesla , Model 3</t>
        </is>
      </c>
      <c r="E1931" t="inlineStr">
        <is>
          <t>SK69 XHC , Car - Electric , Tesla , Model 3</t>
        </is>
      </c>
      <c r="F1931" t="inlineStr">
        <is>
          <t>SK69 XHC , Car - Electric , Tesla , Model 3</t>
        </is>
      </c>
      <c r="G1931" t="inlineStr">
        <is>
          <t>Chris Phillips</t>
        </is>
      </c>
      <c r="H1931" t="inlineStr">
        <is>
          <t>Car - Electric (GC Owned)</t>
        </is>
      </c>
      <c r="I1931" t="inlineStr">
        <is>
          <t>Monthly Vehicle Inspection</t>
        </is>
      </c>
      <c r="J1931" t="inlineStr">
        <is>
          <t>71471</t>
        </is>
      </c>
      <c r="K1931" t="inlineStr">
        <is>
          <t>Christopher Phillips</t>
        </is>
      </c>
      <c r="L1931" t="inlineStr">
        <is>
          <t>28/10/2025 17:31</t>
        </is>
      </c>
      <c r="M1931" t="inlineStr">
        <is>
          <t xml:space="preserve">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 Fail
</t>
        </is>
      </c>
      <c r="N1931" t="inlineStr">
        <is>
          <t>&lt;p&gt;&lt;/p&gt;</t>
        </is>
      </c>
      <c r="O1931" t="inlineStr">
        <is>
          <t>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hours.:I live in a first floor flat and cannot have a home charger installed.
-</t>
        </is>
      </c>
      <c r="P1931" t="inlineStr">
        <is>
          <t>SK69 XHC , Car - Electric , Tesla , Model 3</t>
        </is>
      </c>
      <c r="Q1931" t="inlineStr">
        <is>
          <t>NGED</t>
        </is>
      </c>
      <c r="R1931" t="b">
        <v>0</v>
      </c>
    </row>
    <row r="1932">
      <c r="A1932" t="inlineStr">
        <is>
          <t>29 Oct 2025 / 7186 Eastwoodbury Tree Services Ltd / Utilities / UKPN</t>
        </is>
      </c>
      <c r="B1932" t="inlineStr">
        <is>
          <t>Utilities</t>
        </is>
      </c>
      <c r="C1932" t="inlineStr">
        <is>
          <t>UKPN</t>
        </is>
      </c>
      <c r="D1932" t="inlineStr">
        <is>
          <t>4x4 - Land rover  - Defenders  - WF13 EKM</t>
        </is>
      </c>
      <c r="E1932" t="inlineStr">
        <is>
          <t>4x4 - Land rover  - Defenders  - WF13 EKM</t>
        </is>
      </c>
      <c r="F1932" t="inlineStr">
        <is>
          <t>4x4 - Land rover  - Defenders  - WF13 EKM</t>
        </is>
      </c>
      <c r="G1932" t="inlineStr">
        <is>
          <t xml:space="preserve">Dan Gilbert </t>
        </is>
      </c>
      <c r="H1932" t="inlineStr">
        <is>
          <t>4x4</t>
        </is>
      </c>
      <c r="I1932" t="inlineStr">
        <is>
          <t>Daily/ Weekly Vehicle Inspection</t>
        </is>
      </c>
      <c r="J1932" t="inlineStr">
        <is>
          <t>N/A</t>
        </is>
      </c>
      <c r="K1932" t="inlineStr">
        <is>
          <t>7186 Eastwoodbury Tree Services Ltd</t>
        </is>
      </c>
      <c r="L1932" t="inlineStr">
        <is>
          <t>29/10/2025 07:31</t>
        </is>
      </c>
      <c r="M1932" t="inlineStr">
        <is>
          <t>None</t>
        </is>
      </c>
      <c r="N1932" t="inlineStr">
        <is>
          <t>&lt;p&gt;&lt;/p&gt;</t>
        </is>
      </c>
      <c r="O1932" t="inlineStr"/>
      <c r="P1932" t="inlineStr">
        <is>
          <t>4x4 - Land rover  - Defenders  - WF13 EKM</t>
        </is>
      </c>
      <c r="Q1932" t="inlineStr">
        <is>
          <t>UKPN</t>
        </is>
      </c>
      <c r="R1932" t="b">
        <v>0</v>
      </c>
    </row>
    <row r="1933">
      <c r="A1933" t="inlineStr">
        <is>
          <t>29 Oct 2025 / Thomas Playford / Utilities / UKPN</t>
        </is>
      </c>
      <c r="B1933" t="inlineStr">
        <is>
          <t>Utilities</t>
        </is>
      </c>
      <c r="C1933" t="inlineStr">
        <is>
          <t>UKPN</t>
        </is>
      </c>
      <c r="D1933" t="inlineStr">
        <is>
          <t>YP24 WRD , Vehicle , Ford , Ranger</t>
        </is>
      </c>
      <c r="E1933" t="inlineStr">
        <is>
          <t>YP24 WRD , Vehicle , Ford , Ranger</t>
        </is>
      </c>
      <c r="F1933" t="inlineStr">
        <is>
          <t>YP24 WRD , Vehicle , Ford , Ranger</t>
        </is>
      </c>
      <c r="G1933" t="inlineStr">
        <is>
          <t>Jacob Oram</t>
        </is>
      </c>
      <c r="H1933" t="inlineStr">
        <is>
          <t>4x4</t>
        </is>
      </c>
      <c r="I1933" t="inlineStr">
        <is>
          <t>Daily/ Weekly Vehicle Inspection</t>
        </is>
      </c>
      <c r="J1933" t="inlineStr">
        <is>
          <t>N/A</t>
        </is>
      </c>
      <c r="K1933" t="inlineStr">
        <is>
          <t>7995 Contour Landscapes Ltd 2</t>
        </is>
      </c>
      <c r="L1933" t="inlineStr">
        <is>
          <t>29/10/2025 07:32</t>
        </is>
      </c>
      <c r="M1933" t="inlineStr">
        <is>
          <t>None</t>
        </is>
      </c>
      <c r="N1933" t="inlineStr">
        <is>
          <t>&lt;p&gt;&lt;/p&gt;</t>
        </is>
      </c>
      <c r="O1933" t="inlineStr"/>
      <c r="P1933" t="inlineStr">
        <is>
          <t>YP24 WRD , Vehicle , Ford , Ranger</t>
        </is>
      </c>
      <c r="Q1933" t="inlineStr">
        <is>
          <t>UKPN</t>
        </is>
      </c>
      <c r="R1933" t="b">
        <v>0</v>
      </c>
    </row>
    <row r="1934">
      <c r="A1934" t="inlineStr">
        <is>
          <t>29 Oct 2025 / 7889 Tree Tech Suffolk Ltd</t>
        </is>
      </c>
      <c r="B1934" t="inlineStr">
        <is>
          <t>Utilities &amp; Inland Waterways</t>
        </is>
      </c>
      <c r="C1934" t="inlineStr">
        <is>
          <t>UKPN</t>
        </is>
      </c>
      <c r="D1934" t="inlineStr">
        <is>
          <t>Tow Chipper - Jenson - A530L - 55210639484x4 - Isuzu - D-max - NS03 TTSTipper - Nissan - Navara - NS02TTS</t>
        </is>
      </c>
      <c r="E1934" t="inlineStr">
        <is>
          <t>Tow Chipper - Jenson - A530L - 55210639484x4 - Isuzu - D-max - NS03 TTSTipper - Nissan - Navara - NS02TTS</t>
        </is>
      </c>
      <c r="F1934" t="inlineStr">
        <is>
          <t>Tow Chipper - Jenson - A530L - 55210639484x4 - Isuzu - D-max - NS03 TTSTipper - Nissan - Navara - NS02TTS</t>
        </is>
      </c>
      <c r="G1934" t="inlineStr">
        <is>
          <t xml:space="preserve">Nikki sparrow Danny Appleby Nikki sparrow </t>
        </is>
      </c>
      <c r="H1934" t="inlineStr">
        <is>
          <t>Towed Chipper4x4Tipper</t>
        </is>
      </c>
      <c r="I1934" t="inlineStr">
        <is>
          <t>Daily/ Weekly Vehicle Inspection</t>
        </is>
      </c>
      <c r="J1934" t="inlineStr">
        <is>
          <t>N/A</t>
        </is>
      </c>
      <c r="K1934" t="inlineStr">
        <is>
          <t>7889 Tree Tech Suffolk Ltd</t>
        </is>
      </c>
      <c r="L1934" t="inlineStr">
        <is>
          <t>29/10/2025 07:34</t>
        </is>
      </c>
      <c r="M1934" t="inlineStr">
        <is>
          <t>None</t>
        </is>
      </c>
      <c r="N1934" t="inlineStr">
        <is>
          <t>&lt;p&gt;&lt;/p&gt;</t>
        </is>
      </c>
      <c r="O1934" t="inlineStr"/>
      <c r="P1934" t="inlineStr">
        <is>
          <t>Tow Chipper - Jenson - A530L - 55210639484x4 - Isuzu - D-max - NS03 TTSTipper - Nissan - Navara - NS02TTS</t>
        </is>
      </c>
      <c r="Q1934" t="inlineStr">
        <is>
          <t>UKPN</t>
        </is>
      </c>
      <c r="R1934" t="b">
        <v>0</v>
      </c>
    </row>
    <row r="1935">
      <c r="A1935" t="inlineStr">
        <is>
          <t>29 Oct 2025 / 3098 D &amp; R Landscapes / Utilities / UKPN</t>
        </is>
      </c>
      <c r="B1935" t="inlineStr">
        <is>
          <t>Utilities</t>
        </is>
      </c>
      <c r="C1935" t="inlineStr">
        <is>
          <t>UKPN</t>
        </is>
      </c>
      <c r="D1935" t="inlineStr">
        <is>
          <t>FX17YVM , Vehicle , Nissan , Navara</t>
        </is>
      </c>
      <c r="E1935" t="inlineStr">
        <is>
          <t>FX17YVM , Vehicle , Nissan , Navara</t>
        </is>
      </c>
      <c r="F1935" t="inlineStr">
        <is>
          <t>FX17YVM , Vehicle , Nissan , Navara</t>
        </is>
      </c>
      <c r="G1935" t="inlineStr">
        <is>
          <t>Chris</t>
        </is>
      </c>
      <c r="H1935" t="inlineStr">
        <is>
          <t>Pickup Truck</t>
        </is>
      </c>
      <c r="I1935" t="inlineStr">
        <is>
          <t>Daily/ Weekly Vehicle Inspection</t>
        </is>
      </c>
      <c r="J1935" t="inlineStr">
        <is>
          <t>N/A</t>
        </is>
      </c>
      <c r="K1935" t="inlineStr">
        <is>
          <t>3098 D &amp; R Landscapes</t>
        </is>
      </c>
      <c r="L1935" t="inlineStr">
        <is>
          <t>29/10/2025 07:37</t>
        </is>
      </c>
      <c r="M1935" t="inlineStr">
        <is>
          <t>None</t>
        </is>
      </c>
      <c r="N1935" t="inlineStr">
        <is>
          <t>&lt;p&gt;&lt;/p&gt;</t>
        </is>
      </c>
      <c r="O1935" t="inlineStr"/>
      <c r="P1935" t="inlineStr">
        <is>
          <t>FX17YVM , Vehicle , Nissan , Navara</t>
        </is>
      </c>
      <c r="Q1935" t="inlineStr">
        <is>
          <t>UKPN</t>
        </is>
      </c>
      <c r="R1935" t="b">
        <v>0</v>
      </c>
    </row>
    <row r="1936">
      <c r="A1936" t="inlineStr">
        <is>
          <t>29 Oct 2025 / 3098 D &amp; R Landscapes / Utilities / UKPN</t>
        </is>
      </c>
      <c r="B1936" t="inlineStr">
        <is>
          <t>Utilities</t>
        </is>
      </c>
      <c r="C1936" t="inlineStr">
        <is>
          <t>UKPN</t>
        </is>
      </c>
      <c r="D1936" t="inlineStr">
        <is>
          <t>Vehicle - Nissan - Navara - BT20 GNZ</t>
        </is>
      </c>
      <c r="E1936" t="inlineStr">
        <is>
          <t>Vehicle - Nissan - Navara - BT20 GNZ</t>
        </is>
      </c>
      <c r="F1936" t="inlineStr">
        <is>
          <t>Vehicle - Nissan - Navara - BT20 GNZ</t>
        </is>
      </c>
      <c r="G1936" t="inlineStr">
        <is>
          <t>Jason</t>
        </is>
      </c>
      <c r="H1936" t="inlineStr">
        <is>
          <t>Pickup Truck</t>
        </is>
      </c>
      <c r="I1936" t="inlineStr">
        <is>
          <t>Daily/ Weekly Vehicle Inspection</t>
        </is>
      </c>
      <c r="J1936" t="inlineStr">
        <is>
          <t>N/A</t>
        </is>
      </c>
      <c r="K1936" t="inlineStr">
        <is>
          <t>3098 D &amp; R Landscapes</t>
        </is>
      </c>
      <c r="L1936" t="inlineStr">
        <is>
          <t>29/10/2025 07:37</t>
        </is>
      </c>
      <c r="M1936" t="inlineStr">
        <is>
          <t>None</t>
        </is>
      </c>
      <c r="N1936" t="inlineStr">
        <is>
          <t>&lt;p&gt;&lt;/p&gt;</t>
        </is>
      </c>
      <c r="O1936" t="inlineStr"/>
      <c r="P1936" t="inlineStr">
        <is>
          <t>Vehicle - Nissan - Navara - BT20 GNZ</t>
        </is>
      </c>
      <c r="Q1936" t="inlineStr">
        <is>
          <t>UKPN</t>
        </is>
      </c>
      <c r="R1936" t="b">
        <v>0</v>
      </c>
    </row>
    <row r="1937">
      <c r="A1937" t="inlineStr">
        <is>
          <t>29 Oct 2025 / Philip Cadwgan / Utilities / NGED</t>
        </is>
      </c>
      <c r="B1937" t="inlineStr">
        <is>
          <t>Utilities</t>
        </is>
      </c>
      <c r="C1937" t="inlineStr">
        <is>
          <t>NGED</t>
        </is>
      </c>
      <c r="D1937" t="inlineStr"/>
      <c r="E1937" t="inlineStr"/>
      <c r="F1937" t="inlineStr"/>
      <c r="G1937" t="inlineStr">
        <is>
          <t xml:space="preserve">Phill Cadwgan </t>
        </is>
      </c>
      <c r="H1937" t="inlineStr">
        <is>
          <t>Van</t>
        </is>
      </c>
      <c r="I1937" t="inlineStr">
        <is>
          <t>Daily/ Weekly Vehicle Inspection</t>
        </is>
      </c>
      <c r="J1937" t="inlineStr">
        <is>
          <t>N/A</t>
        </is>
      </c>
      <c r="K1937" t="inlineStr">
        <is>
          <t>Philip Cadwgan</t>
        </is>
      </c>
      <c r="L1937" t="inlineStr">
        <is>
          <t>29/10/2025 07:38</t>
        </is>
      </c>
      <c r="M1937" t="inlineStr">
        <is>
          <t>None</t>
        </is>
      </c>
      <c r="N1937" t="inlineStr">
        <is>
          <t>&lt;p&gt;&lt;/p&gt;</t>
        </is>
      </c>
      <c r="O1937" t="inlineStr"/>
      <c r="P1937" t="inlineStr"/>
      <c r="Q1937" t="inlineStr">
        <is>
          <t>NGED</t>
        </is>
      </c>
      <c r="R1937" t="b">
        <v>0</v>
      </c>
    </row>
    <row r="1938">
      <c r="A1938" t="inlineStr">
        <is>
          <t>29 Oct 2025 / 7806 Optimum Tree Services Ltd / Utilities / UKPN</t>
        </is>
      </c>
      <c r="B1938" t="inlineStr">
        <is>
          <t>Utilities</t>
        </is>
      </c>
      <c r="C1938" t="inlineStr">
        <is>
          <t>UKPN</t>
        </is>
      </c>
      <c r="D1938" t="inlineStr">
        <is>
          <t>SA9ST800000283069 , Chipper , Forst , ST 6P</t>
        </is>
      </c>
      <c r="E1938" t="inlineStr">
        <is>
          <t>SA9ST800000283069 , Chipper , Forst , ST 6P</t>
        </is>
      </c>
      <c r="F1938" t="inlineStr">
        <is>
          <t>SA9ST800000283069 , Chipper , Forst , ST 6P</t>
        </is>
      </c>
      <c r="G1938" t="inlineStr">
        <is>
          <t xml:space="preserve">Kenny Aldred </t>
        </is>
      </c>
      <c r="H1938" t="inlineStr">
        <is>
          <t>Towed Chipper</t>
        </is>
      </c>
      <c r="I1938" t="inlineStr">
        <is>
          <t>Daily/ Weekly Vehicle Inspection</t>
        </is>
      </c>
      <c r="J1938" t="inlineStr">
        <is>
          <t>N/A</t>
        </is>
      </c>
      <c r="K1938" t="inlineStr">
        <is>
          <t>7806 Optimum Tree Services Ltd</t>
        </is>
      </c>
      <c r="L1938" t="inlineStr">
        <is>
          <t>29/10/2025 08:31</t>
        </is>
      </c>
      <c r="M1938" t="inlineStr">
        <is>
          <t>None</t>
        </is>
      </c>
      <c r="N1938" t="inlineStr">
        <is>
          <t>&lt;p&gt;&lt;/p&gt;</t>
        </is>
      </c>
      <c r="O1938" t="inlineStr"/>
      <c r="P1938" t="inlineStr">
        <is>
          <t>SA9ST800000283069 , Chipper , Forst , ST 6P</t>
        </is>
      </c>
      <c r="Q1938" t="inlineStr">
        <is>
          <t>UKPN</t>
        </is>
      </c>
      <c r="R1938" t="b">
        <v>0</v>
      </c>
    </row>
    <row r="1939">
      <c r="A1939" t="inlineStr">
        <is>
          <t>29 Oct 2025 / 7806 Optimum Tree Services Ltd / Utilities / UKPN</t>
        </is>
      </c>
      <c r="B1939" t="inlineStr">
        <is>
          <t>Utilities</t>
        </is>
      </c>
      <c r="C1939" t="inlineStr">
        <is>
          <t>UKPN</t>
        </is>
      </c>
      <c r="D1939" t="inlineStr">
        <is>
          <t>Tipper - Ford - Transit - NA10SYZ</t>
        </is>
      </c>
      <c r="E1939" t="inlineStr">
        <is>
          <t>Tipper - Ford - Transit - NA10SYZ</t>
        </is>
      </c>
      <c r="F1939" t="inlineStr">
        <is>
          <t>Tipper - Ford - Transit - NA10SYZ</t>
        </is>
      </c>
      <c r="G1939" t="inlineStr">
        <is>
          <t xml:space="preserve">Kenny Aldred </t>
        </is>
      </c>
      <c r="H1939" t="inlineStr">
        <is>
          <t>Tipper</t>
        </is>
      </c>
      <c r="I1939" t="inlineStr">
        <is>
          <t>Daily/ Weekly Vehicle Inspection</t>
        </is>
      </c>
      <c r="J1939" t="inlineStr">
        <is>
          <t>N/A</t>
        </is>
      </c>
      <c r="K1939" t="inlineStr">
        <is>
          <t>7806 Optimum Tree Services Ltd</t>
        </is>
      </c>
      <c r="L1939" t="inlineStr">
        <is>
          <t>29/10/2025 08:31</t>
        </is>
      </c>
      <c r="M1939" t="inlineStr">
        <is>
          <t>None</t>
        </is>
      </c>
      <c r="N1939" t="inlineStr">
        <is>
          <t>&lt;p&gt;&lt;/p&gt;</t>
        </is>
      </c>
      <c r="O1939" t="inlineStr"/>
      <c r="P1939" t="inlineStr">
        <is>
          <t>Tipper - Ford - Transit - NA10SYZ</t>
        </is>
      </c>
      <c r="Q1939" t="inlineStr">
        <is>
          <t>UKPN</t>
        </is>
      </c>
      <c r="R1939" t="b">
        <v>0</v>
      </c>
    </row>
    <row r="1940">
      <c r="A1940" t="inlineStr">
        <is>
          <t>29 Oct 2025 / 7806 Optimum Tree Services Ltd / Utilities / UKPN</t>
        </is>
      </c>
      <c r="B1940" t="inlineStr">
        <is>
          <t>Utilities</t>
        </is>
      </c>
      <c r="C1940" t="inlineStr">
        <is>
          <t>UKPN</t>
        </is>
      </c>
      <c r="D1940" t="inlineStr">
        <is>
          <t>SA9TAPLAF27414263 , Trailer , Tow Mate , Plant Trailer</t>
        </is>
      </c>
      <c r="E1940" t="inlineStr">
        <is>
          <t>SA9TAPLAF27414263 , Trailer , Tow Mate , Plant Trailer</t>
        </is>
      </c>
      <c r="F1940" t="inlineStr">
        <is>
          <t>SA9TAPLAF27414263 , Trailer , Tow Mate , Plant Trailer</t>
        </is>
      </c>
      <c r="G1940" t="inlineStr">
        <is>
          <t xml:space="preserve">Abraham Davies </t>
        </is>
      </c>
      <c r="H1940" t="inlineStr">
        <is>
          <t>Plant Trailer</t>
        </is>
      </c>
      <c r="I1940" t="inlineStr">
        <is>
          <t>Daily/ Weekly Vehicle Inspection</t>
        </is>
      </c>
      <c r="J1940" t="inlineStr">
        <is>
          <t>N/A</t>
        </is>
      </c>
      <c r="K1940" t="inlineStr">
        <is>
          <t>7806 Optimum Tree Services Ltd</t>
        </is>
      </c>
      <c r="L1940" t="inlineStr">
        <is>
          <t>29/10/2025 08:32</t>
        </is>
      </c>
      <c r="M1940" t="inlineStr">
        <is>
          <t>None</t>
        </is>
      </c>
      <c r="N1940" t="inlineStr">
        <is>
          <t>&lt;p&gt;&lt;/p&gt;</t>
        </is>
      </c>
      <c r="O1940" t="inlineStr"/>
      <c r="P1940" t="inlineStr">
        <is>
          <t>SA9TAPLAF27414263 , Trailer , Tow Mate , Plant Trailer</t>
        </is>
      </c>
      <c r="Q1940" t="inlineStr">
        <is>
          <t>UKPN</t>
        </is>
      </c>
      <c r="R1940" t="b">
        <v>0</v>
      </c>
    </row>
    <row r="1941">
      <c r="A1941" t="inlineStr">
        <is>
          <t>29 Oct 2025 / 7806 Optimum Tree Services Ltd / Utilities / UKPN</t>
        </is>
      </c>
      <c r="B1941" t="inlineStr">
        <is>
          <t>Utilities</t>
        </is>
      </c>
      <c r="C1941" t="inlineStr">
        <is>
          <t>UKPN</t>
        </is>
      </c>
      <c r="D1941" t="inlineStr">
        <is>
          <t>WD14EVB , MEWP , Land Rover , Defender</t>
        </is>
      </c>
      <c r="E1941" t="inlineStr">
        <is>
          <t>WD14EVB , MEWP , Land Rover , Defender</t>
        </is>
      </c>
      <c r="F1941" t="inlineStr">
        <is>
          <t>WD14EVB , MEWP , Land Rover , Defender</t>
        </is>
      </c>
      <c r="G1941" t="inlineStr">
        <is>
          <t xml:space="preserve">Abraham Davies </t>
        </is>
      </c>
      <c r="H1941" t="inlineStr">
        <is>
          <t>4x4</t>
        </is>
      </c>
      <c r="I1941" t="inlineStr">
        <is>
          <t>Daily/ Weekly Vehicle Inspection</t>
        </is>
      </c>
      <c r="J1941" t="inlineStr">
        <is>
          <t>N/A</t>
        </is>
      </c>
      <c r="K1941" t="inlineStr">
        <is>
          <t>7806 Optimum Tree Services Ltd</t>
        </is>
      </c>
      <c r="L1941" t="inlineStr">
        <is>
          <t>29/10/2025 08:33</t>
        </is>
      </c>
      <c r="M1941" t="inlineStr">
        <is>
          <t>None</t>
        </is>
      </c>
      <c r="N1941" t="inlineStr">
        <is>
          <t>&lt;p&gt;&lt;/p&gt;</t>
        </is>
      </c>
      <c r="O1941" t="inlineStr"/>
      <c r="P1941" t="inlineStr">
        <is>
          <t>WD14EVB , MEWP , Land Rover , Defender</t>
        </is>
      </c>
      <c r="Q1941" t="inlineStr">
        <is>
          <t>UKPN</t>
        </is>
      </c>
      <c r="R1941" t="b">
        <v>0</v>
      </c>
    </row>
    <row r="1942">
      <c r="A1942" t="inlineStr">
        <is>
          <t>29 Oct 2025 / 6490 MJR Tree Works / Utilities / SSE</t>
        </is>
      </c>
      <c r="B1942" t="inlineStr">
        <is>
          <t>Utilities</t>
        </is>
      </c>
      <c r="C1942" t="inlineStr">
        <is>
          <t>SSE</t>
        </is>
      </c>
      <c r="D1942" t="inlineStr">
        <is>
          <t>DX65XXS , Pickup Truck , Nissan  , NavaraVX25WHD , Pickup Truck , Isuzu , D Max</t>
        </is>
      </c>
      <c r="E1942" t="inlineStr">
        <is>
          <t>DX65XXS , Pickup Truck , Nissan  , NavaraVX25WHD , Pickup Truck , Isuzu , D Max</t>
        </is>
      </c>
      <c r="F1942" t="inlineStr">
        <is>
          <t>DX65XXS , Pickup Truck , Nissan  , NavaraVX25WHD , Pickup Truck , Isuzu , D Max</t>
        </is>
      </c>
      <c r="G1942" t="inlineStr">
        <is>
          <t>JoeMike</t>
        </is>
      </c>
      <c r="H1942" t="inlineStr">
        <is>
          <t>4x4Pickup Truck</t>
        </is>
      </c>
      <c r="I1942" t="inlineStr">
        <is>
          <t>Monthly Vehicle Inspection</t>
        </is>
      </c>
      <c r="J1942" t="inlineStr">
        <is>
          <t>10105015800</t>
        </is>
      </c>
      <c r="K1942" t="inlineStr">
        <is>
          <t>6490 MJR Tree Works</t>
        </is>
      </c>
      <c r="L1942" t="inlineStr">
        <is>
          <t>29/10/2025 09:32</t>
        </is>
      </c>
      <c r="M1942" t="inlineStr">
        <is>
          <t>None</t>
        </is>
      </c>
      <c r="N1942" t="inlineStr">
        <is>
          <t>&lt;p&gt;&lt;/p&gt;</t>
        </is>
      </c>
      <c r="O1942" t="inlineStr"/>
      <c r="P1942" t="inlineStr">
        <is>
          <t>DX65XXS , Pickup Truck , Nissan  , NavaraVX25WHD , Pickup Truck , Isuzu , D Max</t>
        </is>
      </c>
      <c r="Q1942" t="inlineStr">
        <is>
          <t>SSE</t>
        </is>
      </c>
      <c r="R1942" t="b">
        <v>0</v>
      </c>
    </row>
    <row r="1943">
      <c r="A1943" t="inlineStr">
        <is>
          <t>29 Oct 2025 / Christopher Simeoli / Utilities / NGED</t>
        </is>
      </c>
      <c r="B1943" t="inlineStr">
        <is>
          <t>Utilities</t>
        </is>
      </c>
      <c r="C1943" t="inlineStr">
        <is>
          <t>NGED</t>
        </is>
      </c>
      <c r="D1943" t="inlineStr">
        <is>
          <t>EO73KVB , Car - Electric , Kia , Niro</t>
        </is>
      </c>
      <c r="E1943" t="inlineStr">
        <is>
          <t>EO73KVB , Car - Electric , Kia , Niro</t>
        </is>
      </c>
      <c r="F1943" t="inlineStr">
        <is>
          <t>EO73KVB , Car - Electric , Kia , Niro</t>
        </is>
      </c>
      <c r="G1943" t="inlineStr">
        <is>
          <t>Chris Simeoli</t>
        </is>
      </c>
      <c r="H1943" t="inlineStr">
        <is>
          <t>Car - Electric (GC Owned)</t>
        </is>
      </c>
      <c r="I1943" t="inlineStr">
        <is>
          <t>Daily/ Weekly Vehicle Inspection</t>
        </is>
      </c>
      <c r="J1943" t="inlineStr">
        <is>
          <t>N/A</t>
        </is>
      </c>
      <c r="K1943" t="inlineStr">
        <is>
          <t>Christopher Simeoli</t>
        </is>
      </c>
      <c r="L1943" t="inlineStr">
        <is>
          <t>29/10/2025 11:30</t>
        </is>
      </c>
      <c r="M1943" t="inlineStr">
        <is>
          <t>None</t>
        </is>
      </c>
      <c r="N1943" t="inlineStr">
        <is>
          <t>&lt;p&gt;&lt;/p&gt;</t>
        </is>
      </c>
      <c r="O1943" t="inlineStr"/>
      <c r="P1943" t="inlineStr">
        <is>
          <t>EO73KVB , Car - Electric , Kia , Niro</t>
        </is>
      </c>
      <c r="Q1943" t="inlineStr">
        <is>
          <t>NGED</t>
        </is>
      </c>
      <c r="R1943" t="b">
        <v>0</v>
      </c>
    </row>
    <row r="1944">
      <c r="A1944" t="inlineStr">
        <is>
          <t>30 Oct 2025 / 7186 Eastwoodbury Tree Services Ltd / Utilities / UKPN</t>
        </is>
      </c>
      <c r="B1944" t="inlineStr">
        <is>
          <t>Utilities</t>
        </is>
      </c>
      <c r="C1944" t="inlineStr">
        <is>
          <t>UKPN</t>
        </is>
      </c>
      <c r="D1944" t="inlineStr">
        <is>
          <t>4x4 - Land rover  - Defenders  - WF13 EKM</t>
        </is>
      </c>
      <c r="E1944" t="inlineStr">
        <is>
          <t>4x4 - Land rover  - Defenders  - WF13 EKM</t>
        </is>
      </c>
      <c r="F1944" t="inlineStr">
        <is>
          <t>4x4 - Land rover  - Defenders  - WF13 EKM</t>
        </is>
      </c>
      <c r="G1944" t="inlineStr">
        <is>
          <t xml:space="preserve">Dan Gilbert </t>
        </is>
      </c>
      <c r="H1944" t="inlineStr">
        <is>
          <t>4x4</t>
        </is>
      </c>
      <c r="I1944" t="inlineStr">
        <is>
          <t>Daily/ Weekly Vehicle Inspection</t>
        </is>
      </c>
      <c r="J1944" t="inlineStr">
        <is>
          <t>N/A</t>
        </is>
      </c>
      <c r="K1944" t="inlineStr">
        <is>
          <t>7186 Eastwoodbury Tree Services Ltd</t>
        </is>
      </c>
      <c r="L1944" t="inlineStr">
        <is>
          <t>30/10/2025 07:30</t>
        </is>
      </c>
      <c r="M1944" t="inlineStr">
        <is>
          <t>None</t>
        </is>
      </c>
      <c r="N1944" t="inlineStr">
        <is>
          <t>&lt;p&gt;&lt;/p&gt;</t>
        </is>
      </c>
      <c r="O1944" t="inlineStr"/>
      <c r="P1944" t="inlineStr">
        <is>
          <t>4x4 - Land rover  - Defenders  - WF13 EKM</t>
        </is>
      </c>
      <c r="Q1944" t="inlineStr">
        <is>
          <t>UKPN</t>
        </is>
      </c>
      <c r="R1944" t="b">
        <v>0</v>
      </c>
    </row>
    <row r="1945">
      <c r="A1945" t="inlineStr">
        <is>
          <t>30 Oct 2025 / 7889 Tree Tech Suffolk Ltd</t>
        </is>
      </c>
      <c r="B1945" t="inlineStr">
        <is>
          <t>Utilities &amp; Inland Waterways</t>
        </is>
      </c>
      <c r="C1945" t="inlineStr">
        <is>
          <t>UKPN</t>
        </is>
      </c>
      <c r="D1945" t="inlineStr">
        <is>
          <t>Tow Chipper - Jenson - A530L - 55210639484x4 - Isuzu - D-max - NS03 TTSTipper - Nissan - Navara - NS02TTS</t>
        </is>
      </c>
      <c r="E1945" t="inlineStr">
        <is>
          <t>Tow Chipper - Jenson - A530L - 55210639484x4 - Isuzu - D-max - NS03 TTSTipper - Nissan - Navara - NS02TTS</t>
        </is>
      </c>
      <c r="F1945" t="inlineStr">
        <is>
          <t>Tow Chipper - Jenson - A530L - 55210639484x4 - Isuzu - D-max - NS03 TTSTipper - Nissan - Navara - NS02TTS</t>
        </is>
      </c>
      <c r="G1945" t="inlineStr">
        <is>
          <t xml:space="preserve">Nikki sparrow Danny Appleby Nikki sparrow </t>
        </is>
      </c>
      <c r="H1945" t="inlineStr">
        <is>
          <t>Towed Chipper4x4Tipper</t>
        </is>
      </c>
      <c r="I1945" t="inlineStr">
        <is>
          <t>Daily/ Weekly Vehicle Inspection</t>
        </is>
      </c>
      <c r="J1945" t="inlineStr">
        <is>
          <t>N/A</t>
        </is>
      </c>
      <c r="K1945" t="inlineStr">
        <is>
          <t>7889 Tree Tech Suffolk Ltd</t>
        </is>
      </c>
      <c r="L1945" t="inlineStr">
        <is>
          <t>30/10/2025 07:33</t>
        </is>
      </c>
      <c r="M1945" t="inlineStr">
        <is>
          <t>None</t>
        </is>
      </c>
      <c r="N1945" t="inlineStr">
        <is>
          <t>&lt;p&gt;&lt;/p&gt;</t>
        </is>
      </c>
      <c r="O1945" t="inlineStr"/>
      <c r="P1945" t="inlineStr">
        <is>
          <t>Tow Chipper - Jenson - A530L - 55210639484x4 - Isuzu - D-max - NS03 TTSTipper - Nissan - Navara - NS02TTS</t>
        </is>
      </c>
      <c r="Q1945" t="inlineStr">
        <is>
          <t>UKPN</t>
        </is>
      </c>
      <c r="R1945" t="b">
        <v>0</v>
      </c>
    </row>
    <row r="1946">
      <c r="A1946" t="inlineStr">
        <is>
          <t>30 Oct 2025 / 3098 D &amp; R Landscapes / Utilities / UKPN</t>
        </is>
      </c>
      <c r="B1946" t="inlineStr">
        <is>
          <t>Utilities</t>
        </is>
      </c>
      <c r="C1946" t="inlineStr">
        <is>
          <t>UKPN</t>
        </is>
      </c>
      <c r="D1946" t="inlineStr">
        <is>
          <t>DE68XHA , Tipper , Isuzu , Grafter</t>
        </is>
      </c>
      <c r="E1946" t="inlineStr">
        <is>
          <t>DE68XHA , Tipper , Isuzu , Grafter</t>
        </is>
      </c>
      <c r="F1946" t="inlineStr">
        <is>
          <t>DE68XHA , Tipper , Isuzu , Grafter</t>
        </is>
      </c>
      <c r="G1946" t="inlineStr">
        <is>
          <t xml:space="preserve">Josh </t>
        </is>
      </c>
      <c r="H1946" t="inlineStr">
        <is>
          <t>Tipper</t>
        </is>
      </c>
      <c r="I1946" t="inlineStr">
        <is>
          <t>Daily/ Weekly Vehicle Inspection</t>
        </is>
      </c>
      <c r="J1946" t="inlineStr">
        <is>
          <t>N/A</t>
        </is>
      </c>
      <c r="K1946" t="inlineStr">
        <is>
          <t>3098 D &amp; R Landscapes</t>
        </is>
      </c>
      <c r="L1946" t="inlineStr">
        <is>
          <t>30/10/2025 07:34</t>
        </is>
      </c>
      <c r="M1946" t="inlineStr">
        <is>
          <t>None</t>
        </is>
      </c>
      <c r="N1946" t="inlineStr">
        <is>
          <t>&lt;p&gt;&lt;/p&gt;</t>
        </is>
      </c>
      <c r="O1946" t="inlineStr"/>
      <c r="P1946" t="inlineStr">
        <is>
          <t>DE68XHA , Tipper , Isuzu , Grafter</t>
        </is>
      </c>
      <c r="Q1946" t="inlineStr">
        <is>
          <t>UKPN</t>
        </is>
      </c>
      <c r="R1946" t="b">
        <v>0</v>
      </c>
    </row>
    <row r="1947">
      <c r="A1947" t="inlineStr">
        <is>
          <t>30 Oct 2025 / 3098 D &amp; R Landscapes / Utilities / UKPN</t>
        </is>
      </c>
      <c r="B1947" t="inlineStr">
        <is>
          <t>Utilities</t>
        </is>
      </c>
      <c r="C1947" t="inlineStr">
        <is>
          <t>UKPN</t>
        </is>
      </c>
      <c r="D1947" t="inlineStr">
        <is>
          <t>WA13ZZK , 4x4 , Land Rover  , Defender</t>
        </is>
      </c>
      <c r="E1947" t="inlineStr">
        <is>
          <t>WA13ZZK , 4x4 , Land Rover  , Defender</t>
        </is>
      </c>
      <c r="F1947" t="inlineStr">
        <is>
          <t>WA13ZZK , 4x4 , Land Rover  , Defender</t>
        </is>
      </c>
      <c r="G1947" t="inlineStr">
        <is>
          <t>Chris</t>
        </is>
      </c>
      <c r="H1947" t="inlineStr">
        <is>
          <t>Pickup Truck</t>
        </is>
      </c>
      <c r="I1947" t="inlineStr">
        <is>
          <t>Daily/ Weekly Vehicle Inspection</t>
        </is>
      </c>
      <c r="J1947" t="inlineStr">
        <is>
          <t>N/A</t>
        </is>
      </c>
      <c r="K1947" t="inlineStr">
        <is>
          <t>3098 D &amp; R Landscapes</t>
        </is>
      </c>
      <c r="L1947" t="inlineStr">
        <is>
          <t>30/10/2025 07:35</t>
        </is>
      </c>
      <c r="M1947" t="inlineStr">
        <is>
          <t>None</t>
        </is>
      </c>
      <c r="N1947" t="inlineStr">
        <is>
          <t>&lt;p&gt;&lt;/p&gt;</t>
        </is>
      </c>
      <c r="O1947" t="inlineStr"/>
      <c r="P1947" t="inlineStr">
        <is>
          <t>WA13ZZK , 4x4 , Land Rover  , Defender</t>
        </is>
      </c>
      <c r="Q1947" t="inlineStr">
        <is>
          <t>UKPN</t>
        </is>
      </c>
      <c r="R1947" t="b">
        <v>0</v>
      </c>
    </row>
    <row r="1948">
      <c r="A1948" t="inlineStr">
        <is>
          <t>30 Oct 2025 / 3098 D &amp; R Landscapes / Utilities / UKPN</t>
        </is>
      </c>
      <c r="B1948" t="inlineStr">
        <is>
          <t>Utilities</t>
        </is>
      </c>
      <c r="C1948" t="inlineStr">
        <is>
          <t>UKPN</t>
        </is>
      </c>
      <c r="D1948" t="inlineStr">
        <is>
          <t>Vehicle - Nissan - Navara - BT20 GNZ</t>
        </is>
      </c>
      <c r="E1948" t="inlineStr">
        <is>
          <t>Vehicle - Nissan - Navara - BT20 GNZ</t>
        </is>
      </c>
      <c r="F1948" t="inlineStr">
        <is>
          <t>Vehicle - Nissan - Navara - BT20 GNZ</t>
        </is>
      </c>
      <c r="G1948" t="inlineStr">
        <is>
          <t>Jason</t>
        </is>
      </c>
      <c r="H1948" t="inlineStr">
        <is>
          <t>Pickup Truck</t>
        </is>
      </c>
      <c r="I1948" t="inlineStr">
        <is>
          <t>Daily/ Weekly Vehicle Inspection</t>
        </is>
      </c>
      <c r="J1948" t="inlineStr">
        <is>
          <t>N/A</t>
        </is>
      </c>
      <c r="K1948" t="inlineStr">
        <is>
          <t>3098 D &amp; R Landscapes</t>
        </is>
      </c>
      <c r="L1948" t="inlineStr">
        <is>
          <t>30/10/2025 07:35</t>
        </is>
      </c>
      <c r="M1948" t="inlineStr">
        <is>
          <t>None</t>
        </is>
      </c>
      <c r="N1948" t="inlineStr">
        <is>
          <t>&lt;p&gt;&lt;/p&gt;</t>
        </is>
      </c>
      <c r="O1948" t="inlineStr"/>
      <c r="P1948" t="inlineStr">
        <is>
          <t>Vehicle - Nissan - Navara - BT20 GNZ</t>
        </is>
      </c>
      <c r="Q1948" t="inlineStr">
        <is>
          <t>UKPN</t>
        </is>
      </c>
      <c r="R1948" t="b">
        <v>0</v>
      </c>
    </row>
    <row r="1949">
      <c r="A1949" t="inlineStr">
        <is>
          <t>30 Oct 2025 / 7996 M G Tree Surgery Ltd / Utilities / UKPN</t>
        </is>
      </c>
      <c r="B1949" t="inlineStr">
        <is>
          <t>Utilities</t>
        </is>
      </c>
      <c r="C1949" t="inlineStr">
        <is>
          <t>UKPN</t>
        </is>
      </c>
      <c r="D1949" t="inlineStr">
        <is>
          <t>GU13 WNL , MEWP , Land Rover , Defender 130</t>
        </is>
      </c>
      <c r="E1949" t="inlineStr">
        <is>
          <t>GU13 WNL , MEWP , Land Rover , Defender 130</t>
        </is>
      </c>
      <c r="F1949" t="inlineStr">
        <is>
          <t>GU13 WNL , MEWP , Land Rover , Defender 130</t>
        </is>
      </c>
      <c r="G1949" t="inlineStr">
        <is>
          <t>Max</t>
        </is>
      </c>
      <c r="H1949" t="inlineStr">
        <is>
          <t>4x4</t>
        </is>
      </c>
      <c r="I1949" t="inlineStr">
        <is>
          <t>Daily/ Weekly Vehicle Inspection</t>
        </is>
      </c>
      <c r="J1949" t="inlineStr">
        <is>
          <t>N/A</t>
        </is>
      </c>
      <c r="K1949" t="inlineStr">
        <is>
          <t>7996 M G Tree Surgery Ltd</t>
        </is>
      </c>
      <c r="L1949" t="inlineStr">
        <is>
          <t>30/10/2025 08:31</t>
        </is>
      </c>
      <c r="M1949" t="inlineStr">
        <is>
          <t>None</t>
        </is>
      </c>
      <c r="N1949" t="inlineStr">
        <is>
          <t>&lt;p&gt;&lt;/p&gt;</t>
        </is>
      </c>
      <c r="O1949" t="inlineStr"/>
      <c r="P1949" t="inlineStr">
        <is>
          <t>GU13 WNL , MEWP , Land Rover , Defender 130</t>
        </is>
      </c>
      <c r="Q1949" t="inlineStr">
        <is>
          <t>UKPN</t>
        </is>
      </c>
      <c r="R1949" t="b">
        <v>0</v>
      </c>
    </row>
    <row r="1950">
      <c r="A1950" t="inlineStr">
        <is>
          <t>30 Oct 2025 / 7806 Optimum Tree Services Ltd / Utilities / UKPN</t>
        </is>
      </c>
      <c r="B1950" t="inlineStr">
        <is>
          <t>Utilities</t>
        </is>
      </c>
      <c r="C1950" t="inlineStr">
        <is>
          <t>UKPN</t>
        </is>
      </c>
      <c r="D1950" t="inlineStr">
        <is>
          <t>Towed Chipper - Forst  - St6pHD - SA9st6p0001283093</t>
        </is>
      </c>
      <c r="E1950" t="inlineStr">
        <is>
          <t>Towed Chipper - Forst  - St6pHD - SA9st6p0001283093</t>
        </is>
      </c>
      <c r="F1950" t="inlineStr">
        <is>
          <t>Towed Chipper - Forst  - St6pHD - SA9st6p0001283093</t>
        </is>
      </c>
      <c r="G1950" t="inlineStr">
        <is>
          <t xml:space="preserve">Abraham Davies </t>
        </is>
      </c>
      <c r="H1950" t="inlineStr">
        <is>
          <t>Towed Chipper</t>
        </is>
      </c>
      <c r="I1950" t="inlineStr">
        <is>
          <t>Daily/ Weekly Vehicle Inspection</t>
        </is>
      </c>
      <c r="J1950" t="inlineStr">
        <is>
          <t>N/A</t>
        </is>
      </c>
      <c r="K1950" t="inlineStr">
        <is>
          <t>7806 Optimum Tree Services Ltd</t>
        </is>
      </c>
      <c r="L1950" t="inlineStr">
        <is>
          <t>30/10/2025 08:34</t>
        </is>
      </c>
      <c r="M1950" t="inlineStr">
        <is>
          <t>None</t>
        </is>
      </c>
      <c r="N1950" t="inlineStr">
        <is>
          <t>&lt;p&gt;&lt;/p&gt;</t>
        </is>
      </c>
      <c r="O1950" t="inlineStr"/>
      <c r="P1950" t="inlineStr">
        <is>
          <t>Towed Chipper - Forst  - St6pHD - SA9st6p0001283093</t>
        </is>
      </c>
      <c r="Q1950" t="inlineStr">
        <is>
          <t>UKPN</t>
        </is>
      </c>
      <c r="R1950" t="b">
        <v>0</v>
      </c>
    </row>
    <row r="1951">
      <c r="A1951" t="inlineStr">
        <is>
          <t>30 Oct 2025 / Anthony Gale / Utilities / UKPN</t>
        </is>
      </c>
      <c r="B1951" t="inlineStr">
        <is>
          <t>Utilities</t>
        </is>
      </c>
      <c r="C1951" t="inlineStr">
        <is>
          <t>UKPN</t>
        </is>
      </c>
      <c r="D1951" t="inlineStr">
        <is>
          <t>PE07 HGL , Vehicle , Mitsubishi , L200 K74</t>
        </is>
      </c>
      <c r="E1951" t="inlineStr">
        <is>
          <t>PE07 HGL , Vehicle , Mitsubishi , L200 K74</t>
        </is>
      </c>
      <c r="F1951" t="inlineStr">
        <is>
          <t>PE07 HGL , Vehicle , Mitsubishi , L200 K74</t>
        </is>
      </c>
      <c r="G1951" t="inlineStr">
        <is>
          <t>Anthony Gale</t>
        </is>
      </c>
      <c r="H1951" t="inlineStr">
        <is>
          <t>Plant Trailer</t>
        </is>
      </c>
      <c r="I1951" t="inlineStr">
        <is>
          <t>Daily/ Weekly Vehicle Inspection</t>
        </is>
      </c>
      <c r="J1951" t="inlineStr">
        <is>
          <t>N/A</t>
        </is>
      </c>
      <c r="K1951" t="inlineStr">
        <is>
          <t>7996 M G Tree Surgery Ltd 1</t>
        </is>
      </c>
      <c r="L1951" t="inlineStr">
        <is>
          <t>30/10/2025 08:35</t>
        </is>
      </c>
      <c r="M1951" t="inlineStr">
        <is>
          <t>None</t>
        </is>
      </c>
      <c r="N1951" t="inlineStr">
        <is>
          <t>&lt;p&gt;&lt;/p&gt;</t>
        </is>
      </c>
      <c r="O1951" t="inlineStr"/>
      <c r="P1951" t="inlineStr">
        <is>
          <t>PE07 HGL , Vehicle , Mitsubishi , L200 K74</t>
        </is>
      </c>
      <c r="Q1951" t="inlineStr">
        <is>
          <t>UKPN</t>
        </is>
      </c>
      <c r="R1951" t="b">
        <v>0</v>
      </c>
    </row>
    <row r="1952">
      <c r="A1952" t="inlineStr">
        <is>
          <t>30 Oct 2025 / 7806 Optimum Tree Services Ltd / Utilities / UKPN</t>
        </is>
      </c>
      <c r="B1952" t="inlineStr">
        <is>
          <t>Utilities</t>
        </is>
      </c>
      <c r="C1952" t="inlineStr">
        <is>
          <t>UKPN</t>
        </is>
      </c>
      <c r="D1952" t="inlineStr">
        <is>
          <t>WD14EVB , MEWP , Land Rover , Defender</t>
        </is>
      </c>
      <c r="E1952" t="inlineStr">
        <is>
          <t>WD14EVB , MEWP , Land Rover , Defender</t>
        </is>
      </c>
      <c r="F1952" t="inlineStr">
        <is>
          <t>WD14EVB , MEWP , Land Rover , Defender</t>
        </is>
      </c>
      <c r="G1952" t="inlineStr">
        <is>
          <t xml:space="preserve">Abraham Davies </t>
        </is>
      </c>
      <c r="H1952" t="inlineStr">
        <is>
          <t>4x4</t>
        </is>
      </c>
      <c r="I1952" t="inlineStr">
        <is>
          <t>Daily/ Weekly Vehicle Inspection</t>
        </is>
      </c>
      <c r="J1952" t="inlineStr">
        <is>
          <t>N/A</t>
        </is>
      </c>
      <c r="K1952" t="inlineStr">
        <is>
          <t>7806 Optimum Tree Services Ltd</t>
        </is>
      </c>
      <c r="L1952" t="inlineStr">
        <is>
          <t>30/10/2025 08:36</t>
        </is>
      </c>
      <c r="M1952" t="inlineStr">
        <is>
          <t>None</t>
        </is>
      </c>
      <c r="N1952" t="inlineStr">
        <is>
          <t>&lt;p&gt;&lt;/p&gt;</t>
        </is>
      </c>
      <c r="O1952" t="inlineStr"/>
      <c r="P1952" t="inlineStr">
        <is>
          <t>WD14EVB , MEWP , Land Rover , Defender</t>
        </is>
      </c>
      <c r="Q1952" t="inlineStr">
        <is>
          <t>UKPN</t>
        </is>
      </c>
      <c r="R1952" t="b">
        <v>0</v>
      </c>
    </row>
    <row r="1953">
      <c r="A1953" t="inlineStr">
        <is>
          <t>30 Oct 2025 / Anthony Gale / Utilities / UKPN</t>
        </is>
      </c>
      <c r="B1953" t="inlineStr">
        <is>
          <t>Utilities</t>
        </is>
      </c>
      <c r="C1953" t="inlineStr">
        <is>
          <t>UKPN</t>
        </is>
      </c>
      <c r="D1953" t="inlineStr">
        <is>
          <t>PE07 HGL , Vehicle , Mitsubishi , L200 K74</t>
        </is>
      </c>
      <c r="E1953" t="inlineStr">
        <is>
          <t>PE07 HGL , Vehicle , Mitsubishi , L200 K74</t>
        </is>
      </c>
      <c r="F1953" t="inlineStr">
        <is>
          <t>PE07 HGL , Vehicle , Mitsubishi , L200 K74</t>
        </is>
      </c>
      <c r="G1953" t="inlineStr">
        <is>
          <t>Anthony Gale</t>
        </is>
      </c>
      <c r="H1953" t="inlineStr">
        <is>
          <t>Pickup Truck</t>
        </is>
      </c>
      <c r="I1953" t="inlineStr">
        <is>
          <t>Daily/ Weekly Vehicle Inspection</t>
        </is>
      </c>
      <c r="J1953" t="inlineStr">
        <is>
          <t>N/A</t>
        </is>
      </c>
      <c r="K1953" t="inlineStr">
        <is>
          <t>7996 M G Tree Surgery Ltd 1</t>
        </is>
      </c>
      <c r="L1953" t="inlineStr">
        <is>
          <t>30/10/2025 08:36</t>
        </is>
      </c>
      <c r="M1953" t="inlineStr">
        <is>
          <t>None</t>
        </is>
      </c>
      <c r="N1953" t="inlineStr">
        <is>
          <t>&lt;p&gt;&lt;/p&gt;</t>
        </is>
      </c>
      <c r="O1953" t="inlineStr">
        <is>
          <t>Confirm that you have checked this vehicle as per the guidance document and the vehicle is safe and roadworthy:Drivers side wheel trim deteriorating.
Monitor. Safe for now.
-</t>
        </is>
      </c>
      <c r="P1953" t="inlineStr">
        <is>
          <t>PE07 HGL , Vehicle , Mitsubishi , L200 K74</t>
        </is>
      </c>
      <c r="Q1953" t="inlineStr">
        <is>
          <t>UKPN</t>
        </is>
      </c>
      <c r="R1953" t="b">
        <v>0</v>
      </c>
    </row>
    <row r="1954">
      <c r="A1954" t="inlineStr">
        <is>
          <t>30 Oct 2025 / Thomas Playford / Utilities / UKPN</t>
        </is>
      </c>
      <c r="B1954" t="inlineStr">
        <is>
          <t>Utilities</t>
        </is>
      </c>
      <c r="C1954" t="inlineStr">
        <is>
          <t>UKPN</t>
        </is>
      </c>
      <c r="D1954" t="inlineStr">
        <is>
          <t>Equipment Trailer - I For Williams Custom - Chipper Trailer - 47336638</t>
        </is>
      </c>
      <c r="E1954" t="inlineStr">
        <is>
          <t>Equipment Trailer - I For Williams Custom - Chipper Trailer - 47336638</t>
        </is>
      </c>
      <c r="F1954" t="inlineStr">
        <is>
          <t>Equipment Trailer - I For Williams Custom - Chipper Trailer - 47336638</t>
        </is>
      </c>
      <c r="G1954" t="inlineStr">
        <is>
          <t>Jacob Oram</t>
        </is>
      </c>
      <c r="H1954" t="inlineStr">
        <is>
          <t>Plant Trailer</t>
        </is>
      </c>
      <c r="I1954" t="inlineStr">
        <is>
          <t>Daily/ Weekly Vehicle Inspection</t>
        </is>
      </c>
      <c r="J1954" t="inlineStr">
        <is>
          <t>N/A</t>
        </is>
      </c>
      <c r="K1954" t="inlineStr">
        <is>
          <t>7995 Contour Landscapes Ltd 2</t>
        </is>
      </c>
      <c r="L1954" t="inlineStr">
        <is>
          <t>30/10/2025 10:30</t>
        </is>
      </c>
      <c r="M1954" t="inlineStr">
        <is>
          <t>None</t>
        </is>
      </c>
      <c r="N1954" t="inlineStr">
        <is>
          <t>&lt;p&gt;&lt;/p&gt;</t>
        </is>
      </c>
      <c r="O1954" t="inlineStr"/>
      <c r="P1954" t="inlineStr">
        <is>
          <t>Equipment Trailer - I For Williams Custom - Chipper Trailer - 47336638</t>
        </is>
      </c>
      <c r="Q1954" t="inlineStr">
        <is>
          <t>UKPN</t>
        </is>
      </c>
      <c r="R1954" t="b">
        <v>0</v>
      </c>
    </row>
    <row r="1955">
      <c r="A1955" t="inlineStr">
        <is>
          <t>30 Oct 2025 / Thomas Playford / Utilities / UKPN</t>
        </is>
      </c>
      <c r="B1955" t="inlineStr">
        <is>
          <t>Utilities</t>
        </is>
      </c>
      <c r="C1955" t="inlineStr">
        <is>
          <t>UKPN</t>
        </is>
      </c>
      <c r="D1955" t="inlineStr">
        <is>
          <t>YP24 WRD , Vehicle , Ford , Ranger</t>
        </is>
      </c>
      <c r="E1955" t="inlineStr">
        <is>
          <t>YP24 WRD , Vehicle , Ford , Ranger</t>
        </is>
      </c>
      <c r="F1955" t="inlineStr">
        <is>
          <t>YP24 WRD , Vehicle , Ford , Ranger</t>
        </is>
      </c>
      <c r="G1955" t="inlineStr">
        <is>
          <t>Jacob Oram</t>
        </is>
      </c>
      <c r="H1955" t="inlineStr">
        <is>
          <t>4x4</t>
        </is>
      </c>
      <c r="I1955" t="inlineStr">
        <is>
          <t>Daily/ Weekly Vehicle Inspection</t>
        </is>
      </c>
      <c r="J1955" t="inlineStr">
        <is>
          <t>N/A</t>
        </is>
      </c>
      <c r="K1955" t="inlineStr">
        <is>
          <t>7995 Contour Landscapes Ltd 2</t>
        </is>
      </c>
      <c r="L1955" t="inlineStr">
        <is>
          <t>30/10/2025 10:32</t>
        </is>
      </c>
      <c r="M1955" t="inlineStr">
        <is>
          <t>None</t>
        </is>
      </c>
      <c r="N1955" t="inlineStr">
        <is>
          <t>&lt;p&gt;&lt;/p&gt;</t>
        </is>
      </c>
      <c r="O1955" t="inlineStr"/>
      <c r="P1955" t="inlineStr">
        <is>
          <t>YP24 WRD , Vehicle , Ford , Ranger</t>
        </is>
      </c>
      <c r="Q1955" t="inlineStr">
        <is>
          <t>UKPN</t>
        </is>
      </c>
      <c r="R1955" t="b">
        <v>0</v>
      </c>
    </row>
    <row r="1956">
      <c r="A1956" t="inlineStr">
        <is>
          <t>31 Oct 2025 / 7806 Optimum Tree Services Ltd / Utilities / UKPN</t>
        </is>
      </c>
      <c r="B1956" t="inlineStr">
        <is>
          <t>Utilities</t>
        </is>
      </c>
      <c r="C1956" t="inlineStr">
        <is>
          <t>UKPN</t>
        </is>
      </c>
      <c r="D1956" t="inlineStr">
        <is>
          <t>WD14EVB , MEWP , Land Rover , Defender</t>
        </is>
      </c>
      <c r="E1956" t="inlineStr">
        <is>
          <t>WD14EVB , MEWP , Land Rover , Defender</t>
        </is>
      </c>
      <c r="F1956" t="inlineStr">
        <is>
          <t>WD14EVB , MEWP , Land Rover , Defender</t>
        </is>
      </c>
      <c r="G1956" t="inlineStr">
        <is>
          <t xml:space="preserve">Abraham Davies </t>
        </is>
      </c>
      <c r="H1956" t="inlineStr">
        <is>
          <t>4x4</t>
        </is>
      </c>
      <c r="I1956" t="inlineStr">
        <is>
          <t>Daily/ Weekly Vehicle Inspection</t>
        </is>
      </c>
      <c r="J1956" t="inlineStr">
        <is>
          <t>N/A</t>
        </is>
      </c>
      <c r="K1956" t="inlineStr">
        <is>
          <t>7806 Optimum Tree Services Ltd</t>
        </is>
      </c>
      <c r="L1956" t="inlineStr">
        <is>
          <t>31/10/2025 07:30</t>
        </is>
      </c>
      <c r="M1956" t="inlineStr">
        <is>
          <t>None</t>
        </is>
      </c>
      <c r="N1956" t="inlineStr">
        <is>
          <t>&lt;p&gt;&lt;/p&gt;</t>
        </is>
      </c>
      <c r="O1956" t="inlineStr"/>
      <c r="P1956" t="inlineStr">
        <is>
          <t>WD14EVB , MEWP , Land Rover , Defender</t>
        </is>
      </c>
      <c r="Q1956" t="inlineStr">
        <is>
          <t>UKPN</t>
        </is>
      </c>
      <c r="R1956" t="b">
        <v>0</v>
      </c>
    </row>
    <row r="1957">
      <c r="A1957" t="inlineStr">
        <is>
          <t>31 Oct 2025 / Anthony Gale / Utilities / UKPN</t>
        </is>
      </c>
      <c r="B1957" t="inlineStr">
        <is>
          <t>Utilities</t>
        </is>
      </c>
      <c r="C1957" t="inlineStr">
        <is>
          <t>UKPN</t>
        </is>
      </c>
      <c r="D1957" t="inlineStr">
        <is>
          <t>PE07 HGL , Vehicle , Mitsubishi , L200 K74</t>
        </is>
      </c>
      <c r="E1957" t="inlineStr">
        <is>
          <t>PE07 HGL , Vehicle , Mitsubishi , L200 K74</t>
        </is>
      </c>
      <c r="F1957" t="inlineStr">
        <is>
          <t>PE07 HGL , Vehicle , Mitsubishi , L200 K74</t>
        </is>
      </c>
      <c r="G1957" t="inlineStr">
        <is>
          <t>Anthony Gale</t>
        </is>
      </c>
      <c r="H1957" t="inlineStr">
        <is>
          <t>Equipment Trailer</t>
        </is>
      </c>
      <c r="I1957" t="inlineStr">
        <is>
          <t>Daily/ Weekly Vehicle Inspection</t>
        </is>
      </c>
      <c r="J1957" t="inlineStr">
        <is>
          <t>N/A</t>
        </is>
      </c>
      <c r="K1957" t="inlineStr">
        <is>
          <t>7996 M G Tree Surgery Ltd 1</t>
        </is>
      </c>
      <c r="L1957" t="inlineStr">
        <is>
          <t>31/10/2025 07:32</t>
        </is>
      </c>
      <c r="M1957" t="inlineStr">
        <is>
          <t>None</t>
        </is>
      </c>
      <c r="N1957" t="inlineStr">
        <is>
          <t>&lt;p&gt;&lt;/p&gt;</t>
        </is>
      </c>
      <c r="O1957" t="inlineStr"/>
      <c r="P1957" t="inlineStr">
        <is>
          <t>PE07 HGL , Vehicle , Mitsubishi , L200 K74</t>
        </is>
      </c>
      <c r="Q1957" t="inlineStr">
        <is>
          <t>UKPN</t>
        </is>
      </c>
      <c r="R1957" t="b">
        <v>0</v>
      </c>
    </row>
    <row r="1958">
      <c r="A1958" t="inlineStr">
        <is>
          <t>31 Oct 2025 / Anthony Gale / Utilities / UKPN</t>
        </is>
      </c>
      <c r="B1958" t="inlineStr">
        <is>
          <t>Utilities</t>
        </is>
      </c>
      <c r="C1958" t="inlineStr">
        <is>
          <t>UKPN</t>
        </is>
      </c>
      <c r="D1958" t="inlineStr">
        <is>
          <t>PE07 HGL , Vehicle , Mitsubishi , L200 K74</t>
        </is>
      </c>
      <c r="E1958" t="inlineStr">
        <is>
          <t>PE07 HGL , Vehicle , Mitsubishi , L200 K74</t>
        </is>
      </c>
      <c r="F1958" t="inlineStr">
        <is>
          <t>PE07 HGL , Vehicle , Mitsubishi , L200 K74</t>
        </is>
      </c>
      <c r="G1958" t="inlineStr">
        <is>
          <t>Anthony Gale</t>
        </is>
      </c>
      <c r="H1958" t="inlineStr">
        <is>
          <t>Pickup Truck</t>
        </is>
      </c>
      <c r="I1958" t="inlineStr">
        <is>
          <t>Daily/ Weekly Vehicle Inspection</t>
        </is>
      </c>
      <c r="J1958" t="inlineStr">
        <is>
          <t>N/A</t>
        </is>
      </c>
      <c r="K1958" t="inlineStr">
        <is>
          <t>7996 M G Tree Surgery Ltd 1</t>
        </is>
      </c>
      <c r="L1958" t="inlineStr">
        <is>
          <t>31/10/2025 07:33</t>
        </is>
      </c>
      <c r="M1958" t="inlineStr">
        <is>
          <t>None</t>
        </is>
      </c>
      <c r="N1958" t="inlineStr">
        <is>
          <t>&lt;p&gt;&lt;/p&gt;</t>
        </is>
      </c>
      <c r="O1958" t="inlineStr">
        <is>
          <t>Confirm that you have checked this vehicle as per the guidance document and the vehicle is safe and roadworthy:Drivers side wheel trim deteriorating. Safe for now. Monitor.
-</t>
        </is>
      </c>
      <c r="P1958" t="inlineStr">
        <is>
          <t>PE07 HGL , Vehicle , Mitsubishi , L200 K74</t>
        </is>
      </c>
      <c r="Q1958" t="inlineStr">
        <is>
          <t>UKPN</t>
        </is>
      </c>
      <c r="R1958" t="b">
        <v>0</v>
      </c>
    </row>
    <row r="1959">
      <c r="A1959" t="inlineStr">
        <is>
          <t>31 Oct 2025 / 7186 Eastwoodbury Tree Services Ltd / Utilities / UKPN</t>
        </is>
      </c>
      <c r="B1959" t="inlineStr">
        <is>
          <t>Utilities</t>
        </is>
      </c>
      <c r="C1959" t="inlineStr">
        <is>
          <t>UKPN</t>
        </is>
      </c>
      <c r="D1959" t="inlineStr">
        <is>
          <t>4x4 - Land rover  - Defenders  - WF13 EKM</t>
        </is>
      </c>
      <c r="E1959" t="inlineStr">
        <is>
          <t>4x4 - Land rover  - Defenders  - WF13 EKM</t>
        </is>
      </c>
      <c r="F1959" t="inlineStr">
        <is>
          <t>4x4 - Land rover  - Defenders  - WF13 EKM</t>
        </is>
      </c>
      <c r="G1959" t="inlineStr">
        <is>
          <t xml:space="preserve">Dan Gilbert </t>
        </is>
      </c>
      <c r="H1959" t="inlineStr">
        <is>
          <t>4x4</t>
        </is>
      </c>
      <c r="I1959" t="inlineStr">
        <is>
          <t>Daily/ Weekly Vehicle Inspection</t>
        </is>
      </c>
      <c r="J1959" t="inlineStr">
        <is>
          <t>N/A</t>
        </is>
      </c>
      <c r="K1959" t="inlineStr">
        <is>
          <t>7186 Eastwoodbury Tree Services Ltd</t>
        </is>
      </c>
      <c r="L1959" t="inlineStr">
        <is>
          <t>31/10/2025 07:33</t>
        </is>
      </c>
      <c r="M1959" t="inlineStr">
        <is>
          <t>None</t>
        </is>
      </c>
      <c r="N1959" t="inlineStr">
        <is>
          <t>&lt;p&gt;&lt;/p&gt;</t>
        </is>
      </c>
      <c r="O1959" t="inlineStr"/>
      <c r="P1959" t="inlineStr">
        <is>
          <t>4x4 - Land rover  - Defenders  - WF13 EKM</t>
        </is>
      </c>
      <c r="Q1959" t="inlineStr">
        <is>
          <t>UKPN</t>
        </is>
      </c>
      <c r="R1959" t="b">
        <v>0</v>
      </c>
    </row>
    <row r="1960">
      <c r="A1960" t="inlineStr">
        <is>
          <t>31 Oct 2025 / 7889 Tree Tech Suffolk Ltd</t>
        </is>
      </c>
      <c r="B1960" t="inlineStr">
        <is>
          <t>Utilities &amp; Inland Waterways</t>
        </is>
      </c>
      <c r="C1960" t="inlineStr">
        <is>
          <t>UKPN</t>
        </is>
      </c>
      <c r="D1960" t="inlineStr">
        <is>
          <t>Tow Chipper - Jenson - A530L - 55210639484x4 - Isuzu - D-max - NS03 TTSTipper - Nissan - Navara - NS02TTS</t>
        </is>
      </c>
      <c r="E1960" t="inlineStr">
        <is>
          <t>Tow Chipper - Jenson - A530L - 55210639484x4 - Isuzu - D-max - NS03 TTSTipper - Nissan - Navara - NS02TTS</t>
        </is>
      </c>
      <c r="F1960" t="inlineStr">
        <is>
          <t>Tow Chipper - Jenson - A530L - 55210639484x4 - Isuzu - D-max - NS03 TTSTipper - Nissan - Navara - NS02TTS</t>
        </is>
      </c>
      <c r="G1960" t="inlineStr">
        <is>
          <t xml:space="preserve">Nikki sparrow Danny Appleby Nikki sparrow </t>
        </is>
      </c>
      <c r="H1960" t="inlineStr">
        <is>
          <t>Towed Chipper4x4Tipper</t>
        </is>
      </c>
      <c r="I1960" t="inlineStr">
        <is>
          <t>Daily/ Weekly Vehicle Inspection</t>
        </is>
      </c>
      <c r="J1960" t="inlineStr">
        <is>
          <t>N/A</t>
        </is>
      </c>
      <c r="K1960" t="inlineStr">
        <is>
          <t>7889 Tree Tech Suffolk Ltd</t>
        </is>
      </c>
      <c r="L1960" t="inlineStr">
        <is>
          <t>31/10/2025 07:35</t>
        </is>
      </c>
      <c r="M1960" t="inlineStr">
        <is>
          <t>None</t>
        </is>
      </c>
      <c r="N1960" t="inlineStr">
        <is>
          <t>&lt;p&gt;&lt;/p&gt;</t>
        </is>
      </c>
      <c r="O1960" t="inlineStr"/>
      <c r="P1960" t="inlineStr">
        <is>
          <t>Tow Chipper - Jenson - A530L - 55210639484x4 - Isuzu - D-max - NS03 TTSTipper - Nissan - Navara - NS02TTS</t>
        </is>
      </c>
      <c r="Q1960" t="inlineStr">
        <is>
          <t>UKPN</t>
        </is>
      </c>
      <c r="R1960" t="b">
        <v>0</v>
      </c>
    </row>
    <row r="1961">
      <c r="A1961" t="inlineStr">
        <is>
          <t>31 Oct 2025 / 3098 D &amp; R Landscapes / Utilities / UKPN</t>
        </is>
      </c>
      <c r="B1961" t="inlineStr">
        <is>
          <t>Utilities</t>
        </is>
      </c>
      <c r="C1961" t="inlineStr">
        <is>
          <t>UKPN</t>
        </is>
      </c>
      <c r="D1961" t="inlineStr">
        <is>
          <t>Vehicle - Nissan - Navara - BT20 GNZ</t>
        </is>
      </c>
      <c r="E1961" t="inlineStr">
        <is>
          <t>Vehicle - Nissan - Navara - BT20 GNZ</t>
        </is>
      </c>
      <c r="F1961" t="inlineStr">
        <is>
          <t>Vehicle - Nissan - Navara - BT20 GNZ</t>
        </is>
      </c>
      <c r="G1961" t="inlineStr">
        <is>
          <t>Jason</t>
        </is>
      </c>
      <c r="H1961" t="inlineStr">
        <is>
          <t>Pickup Truck</t>
        </is>
      </c>
      <c r="I1961" t="inlineStr">
        <is>
          <t>Daily/ Weekly Vehicle Inspection</t>
        </is>
      </c>
      <c r="J1961" t="inlineStr">
        <is>
          <t>N/A</t>
        </is>
      </c>
      <c r="K1961" t="inlineStr">
        <is>
          <t>3098 D &amp; R Landscapes</t>
        </is>
      </c>
      <c r="L1961" t="inlineStr">
        <is>
          <t>31/10/2025 07:37</t>
        </is>
      </c>
      <c r="M1961" t="inlineStr">
        <is>
          <t>None</t>
        </is>
      </c>
      <c r="N1961" t="inlineStr">
        <is>
          <t>&lt;p&gt;&lt;/p&gt;</t>
        </is>
      </c>
      <c r="O1961" t="inlineStr"/>
      <c r="P1961" t="inlineStr">
        <is>
          <t>Vehicle - Nissan - Navara - BT20 GNZ</t>
        </is>
      </c>
      <c r="Q1961" t="inlineStr">
        <is>
          <t>UKPN</t>
        </is>
      </c>
      <c r="R1961" t="b">
        <v>0</v>
      </c>
    </row>
    <row r="1962">
      <c r="A1962" t="inlineStr">
        <is>
          <t>31 Oct 2025 / 7996 M G Tree Surgery Ltd / Utilities / UKPN</t>
        </is>
      </c>
      <c r="B1962" t="inlineStr">
        <is>
          <t>Utilities</t>
        </is>
      </c>
      <c r="C1962" t="inlineStr">
        <is>
          <t>UKPN</t>
        </is>
      </c>
      <c r="D1962" t="inlineStr">
        <is>
          <t>GU13 WNL , MEWP , Land Rover , Defender 130</t>
        </is>
      </c>
      <c r="E1962" t="inlineStr">
        <is>
          <t>GU13 WNL , MEWP , Land Rover , Defender 130</t>
        </is>
      </c>
      <c r="F1962" t="inlineStr">
        <is>
          <t>GU13 WNL , MEWP , Land Rover , Defender 130</t>
        </is>
      </c>
      <c r="G1962" t="inlineStr">
        <is>
          <t>Max</t>
        </is>
      </c>
      <c r="H1962" t="inlineStr">
        <is>
          <t>4x4</t>
        </is>
      </c>
      <c r="I1962" t="inlineStr">
        <is>
          <t>Daily/ Weekly Vehicle Inspection</t>
        </is>
      </c>
      <c r="J1962" t="inlineStr">
        <is>
          <t>N/A</t>
        </is>
      </c>
      <c r="K1962" t="inlineStr">
        <is>
          <t>7996 M G Tree Surgery Ltd</t>
        </is>
      </c>
      <c r="L1962" t="inlineStr">
        <is>
          <t>31/10/2025 08:31</t>
        </is>
      </c>
      <c r="M1962" t="inlineStr">
        <is>
          <t>None</t>
        </is>
      </c>
      <c r="N1962" t="inlineStr">
        <is>
          <t>&lt;p&gt;&lt;/p&gt;</t>
        </is>
      </c>
      <c r="O1962" t="inlineStr"/>
      <c r="P1962" t="inlineStr">
        <is>
          <t>GU13 WNL , MEWP , Land Rover , Defender 130</t>
        </is>
      </c>
      <c r="Q1962" t="inlineStr">
        <is>
          <t>UKPN</t>
        </is>
      </c>
      <c r="R1962" t="b">
        <v>0</v>
      </c>
    </row>
    <row r="1963">
      <c r="A1963" t="inlineStr">
        <is>
          <t>31 Oct 2025 / 7806 Optimum Tree Services Ltd / Utilities / UKPN</t>
        </is>
      </c>
      <c r="B1963" t="inlineStr">
        <is>
          <t>Utilities</t>
        </is>
      </c>
      <c r="C1963" t="inlineStr">
        <is>
          <t>UKPN</t>
        </is>
      </c>
      <c r="D1963" t="inlineStr">
        <is>
          <t>Towed Chipper - Forst  - St6pHD - SA9st6p0001283093</t>
        </is>
      </c>
      <c r="E1963" t="inlineStr">
        <is>
          <t>Towed Chipper - Forst  - St6pHD - SA9st6p0001283093</t>
        </is>
      </c>
      <c r="F1963" t="inlineStr">
        <is>
          <t>Towed Chipper - Forst  - St6pHD - SA9st6p0001283093</t>
        </is>
      </c>
      <c r="G1963" t="inlineStr">
        <is>
          <t xml:space="preserve">Abraham Davies </t>
        </is>
      </c>
      <c r="H1963" t="inlineStr">
        <is>
          <t>Towed Chipper</t>
        </is>
      </c>
      <c r="I1963" t="inlineStr">
        <is>
          <t>Daily/ Weekly Vehicle Inspection</t>
        </is>
      </c>
      <c r="J1963" t="inlineStr">
        <is>
          <t>N/A</t>
        </is>
      </c>
      <c r="K1963" t="inlineStr">
        <is>
          <t>7806 Optimum Tree Services Ltd</t>
        </is>
      </c>
      <c r="L1963" t="inlineStr">
        <is>
          <t>31/10/2025 08:33</t>
        </is>
      </c>
      <c r="M1963" t="inlineStr">
        <is>
          <t>None</t>
        </is>
      </c>
      <c r="N1963" t="inlineStr">
        <is>
          <t>&lt;p&gt;&lt;/p&gt;</t>
        </is>
      </c>
      <c r="O1963" t="inlineStr"/>
      <c r="P1963" t="inlineStr">
        <is>
          <t>Towed Chipper - Forst  - St6pHD - SA9st6p0001283093</t>
        </is>
      </c>
      <c r="Q1963" t="inlineStr">
        <is>
          <t>UKPN</t>
        </is>
      </c>
      <c r="R1963" t="b">
        <v>0</v>
      </c>
    </row>
    <row r="1964">
      <c r="A1964" t="inlineStr">
        <is>
          <t>3 Nov 2025 / Anthony Gale / Utilities / UKPN</t>
        </is>
      </c>
      <c r="B1964" t="inlineStr">
        <is>
          <t>Utilities</t>
        </is>
      </c>
      <c r="C1964" t="inlineStr">
        <is>
          <t>UKPN</t>
        </is>
      </c>
      <c r="D1964" t="inlineStr">
        <is>
          <t>PE07 HGL , Vehicle , Mitsubishi , L200 K74</t>
        </is>
      </c>
      <c r="E1964" t="inlineStr">
        <is>
          <t>PE07 HGL , Vehicle , Mitsubishi , L200 K74</t>
        </is>
      </c>
      <c r="F1964" t="inlineStr">
        <is>
          <t>PE07 HGL , Vehicle , Mitsubishi , L200 K74</t>
        </is>
      </c>
      <c r="G1964" t="inlineStr">
        <is>
          <t>Anthony Gale</t>
        </is>
      </c>
      <c r="H1964" t="inlineStr">
        <is>
          <t>Pickup Truck</t>
        </is>
      </c>
      <c r="I1964" t="inlineStr">
        <is>
          <t>Daily/ Weekly Vehicle Inspection</t>
        </is>
      </c>
      <c r="J1964" t="inlineStr">
        <is>
          <t>N/A</t>
        </is>
      </c>
      <c r="K1964" t="inlineStr">
        <is>
          <t>7996 M G Tree Surgery Ltd 1</t>
        </is>
      </c>
      <c r="L1964" t="inlineStr">
        <is>
          <t>03/11/2025 07:31</t>
        </is>
      </c>
      <c r="M1964" t="inlineStr">
        <is>
          <t>None</t>
        </is>
      </c>
      <c r="N1964" t="inlineStr">
        <is>
          <t>&lt;p&gt;&lt;/p&gt;</t>
        </is>
      </c>
      <c r="O1964" t="inlineStr">
        <is>
          <t>Confirm that you have checked this vehicle as per the guidance document and the vehicle is safe and roadworthy:Drivers side wheel trim deteriorating, safe for now.
Monitor.
-</t>
        </is>
      </c>
      <c r="P1964" t="inlineStr">
        <is>
          <t>PE07 HGL , Vehicle , Mitsubishi , L200 K74</t>
        </is>
      </c>
      <c r="Q1964" t="inlineStr">
        <is>
          <t>UKPN</t>
        </is>
      </c>
      <c r="R1964" t="b">
        <v>0</v>
      </c>
    </row>
    <row r="1965">
      <c r="A1965" t="inlineStr">
        <is>
          <t>3 Nov 2025 / 7186 Eastwoodbury Tree Services Ltd / Utilities / UKPN</t>
        </is>
      </c>
      <c r="B1965" t="inlineStr">
        <is>
          <t>Utilities</t>
        </is>
      </c>
      <c r="C1965" t="inlineStr">
        <is>
          <t>UKPN</t>
        </is>
      </c>
      <c r="D1965" t="inlineStr">
        <is>
          <t>4x4 - Land rover  - Defenders  - WF13 EKM</t>
        </is>
      </c>
      <c r="E1965" t="inlineStr">
        <is>
          <t>4x4 - Land rover  - Defenders  - WF13 EKM</t>
        </is>
      </c>
      <c r="F1965" t="inlineStr">
        <is>
          <t>4x4 - Land rover  - Defenders  - WF13 EKM</t>
        </is>
      </c>
      <c r="G1965" t="inlineStr">
        <is>
          <t xml:space="preserve">Tom price </t>
        </is>
      </c>
      <c r="H1965" t="inlineStr">
        <is>
          <t>4x4</t>
        </is>
      </c>
      <c r="I1965" t="inlineStr">
        <is>
          <t>Daily/ Weekly Vehicle Inspection</t>
        </is>
      </c>
      <c r="J1965" t="inlineStr">
        <is>
          <t>N/A</t>
        </is>
      </c>
      <c r="K1965" t="inlineStr">
        <is>
          <t>7186 Eastwoodbury Tree Services Ltd</t>
        </is>
      </c>
      <c r="L1965" t="inlineStr">
        <is>
          <t>03/11/2025 07:31</t>
        </is>
      </c>
      <c r="M1965" t="inlineStr">
        <is>
          <t>None</t>
        </is>
      </c>
      <c r="N1965" t="inlineStr">
        <is>
          <t>&lt;p&gt;&lt;/p&gt;</t>
        </is>
      </c>
      <c r="O1965" t="inlineStr"/>
      <c r="P1965" t="inlineStr">
        <is>
          <t>4x4 - Land rover  - Defenders  - WF13 EKM</t>
        </is>
      </c>
      <c r="Q1965" t="inlineStr">
        <is>
          <t>UKPN</t>
        </is>
      </c>
      <c r="R1965" t="b">
        <v>0</v>
      </c>
    </row>
    <row r="1966">
      <c r="A1966" t="inlineStr">
        <is>
          <t>3 Nov 2025 / 7889 Tree Tech Suffolk Ltd</t>
        </is>
      </c>
      <c r="B1966" t="inlineStr">
        <is>
          <t>Utilities &amp; Inland Waterways</t>
        </is>
      </c>
      <c r="C1966" t="inlineStr">
        <is>
          <t>UKPN</t>
        </is>
      </c>
      <c r="D1966" t="inlineStr">
        <is>
          <t>Tow Chipper - Jenson - A530L - 55210639484x4 - Isuzu - D-max - NS03 TTSTipper - Mercedes - Sprinter - NS06TTS</t>
        </is>
      </c>
      <c r="E1966" t="inlineStr">
        <is>
          <t>Tow Chipper - Jenson - A530L - 55210639484x4 - Isuzu - D-max - NS03 TTSTipper - Mercedes - Sprinter - NS06TTS</t>
        </is>
      </c>
      <c r="F1966" t="inlineStr">
        <is>
          <t>Tow Chipper - Jenson - A530L - 55210639484x4 - Isuzu - D-max - NS03 TTSTipper - Mercedes - Sprinter - NS06TTS</t>
        </is>
      </c>
      <c r="G1966" t="inlineStr">
        <is>
          <t xml:space="preserve">Nikki sparrow Danny Appleby Nikki sparrow </t>
        </is>
      </c>
      <c r="H1966" t="inlineStr">
        <is>
          <t>Towed Chipper4x4Tipper</t>
        </is>
      </c>
      <c r="I1966" t="inlineStr">
        <is>
          <t>Daily/ Weekly Vehicle Inspection</t>
        </is>
      </c>
      <c r="J1966" t="inlineStr">
        <is>
          <t>N/A</t>
        </is>
      </c>
      <c r="K1966" t="inlineStr">
        <is>
          <t>7889 Tree Tech Suffolk Ltd</t>
        </is>
      </c>
      <c r="L1966" t="inlineStr">
        <is>
          <t>03/11/2025 07:37</t>
        </is>
      </c>
      <c r="M1966" t="inlineStr">
        <is>
          <t>None</t>
        </is>
      </c>
      <c r="N1966" t="inlineStr">
        <is>
          <t>&lt;p&gt;&lt;/p&gt;</t>
        </is>
      </c>
      <c r="O1966" t="inlineStr"/>
      <c r="P1966" t="inlineStr">
        <is>
          <t>Tow Chipper - Jenson - A530L - 55210639484x4 - Isuzu - D-max - NS03 TTSTipper - Mercedes - Sprinter - NS06TTS</t>
        </is>
      </c>
      <c r="Q1966" t="inlineStr">
        <is>
          <t>UKPN</t>
        </is>
      </c>
      <c r="R1966" t="b">
        <v>0</v>
      </c>
    </row>
    <row r="1967">
      <c r="A1967" t="inlineStr">
        <is>
          <t>3 Nov 2025 / 7800 MAC Tree Surgery and Fencing Ltd / Utilities / UKPN</t>
        </is>
      </c>
      <c r="B1967" t="inlineStr">
        <is>
          <t>Utilities</t>
        </is>
      </c>
      <c r="C1967" t="inlineStr">
        <is>
          <t>UKPN</t>
        </is>
      </c>
      <c r="D1967" t="inlineStr">
        <is>
          <t>AY68DAA , 4x4 , Izuzu , Dmax</t>
        </is>
      </c>
      <c r="E1967" t="inlineStr">
        <is>
          <t>AY68DAA , 4x4 , Izuzu , Dmax</t>
        </is>
      </c>
      <c r="F1967" t="inlineStr">
        <is>
          <t>AY68DAA , 4x4 , Izuzu , Dmax</t>
        </is>
      </c>
      <c r="G1967" t="inlineStr">
        <is>
          <t xml:space="preserve">Patrick O'Shea </t>
        </is>
      </c>
      <c r="H1967" t="inlineStr">
        <is>
          <t>4x4</t>
        </is>
      </c>
      <c r="I1967" t="inlineStr">
        <is>
          <t>Daily/ Weekly Vehicle Inspection</t>
        </is>
      </c>
      <c r="J1967" t="inlineStr">
        <is>
          <t>N/A</t>
        </is>
      </c>
      <c r="K1967" t="inlineStr">
        <is>
          <t>7800 MAC Tree Surgery and Fencing Ltd</t>
        </is>
      </c>
      <c r="L1967" t="inlineStr">
        <is>
          <t>03/11/2025 07:47</t>
        </is>
      </c>
      <c r="M1967" t="inlineStr">
        <is>
          <t>None</t>
        </is>
      </c>
      <c r="N1967" t="inlineStr">
        <is>
          <t>&lt;p&gt;&lt;/p&gt;</t>
        </is>
      </c>
      <c r="O1967" t="inlineStr"/>
      <c r="P1967" t="inlineStr">
        <is>
          <t>AY68DAA , 4x4 , Izuzu , Dmax</t>
        </is>
      </c>
      <c r="Q1967" t="inlineStr">
        <is>
          <t>UKPN</t>
        </is>
      </c>
      <c r="R1967" t="b">
        <v>0</v>
      </c>
    </row>
    <row r="1968">
      <c r="A1968" t="inlineStr">
        <is>
          <t>3 Nov 2025 / 7806 Optimum Tree Services Ltd / Utilities / UKPN</t>
        </is>
      </c>
      <c r="B1968" t="inlineStr">
        <is>
          <t>Utilities</t>
        </is>
      </c>
      <c r="C1968" t="inlineStr">
        <is>
          <t>UKPN</t>
        </is>
      </c>
      <c r="D1968" t="inlineStr">
        <is>
          <t>SA9TAPLAF27414263 , Trailer , Tow Mate , Plant Trailer</t>
        </is>
      </c>
      <c r="E1968" t="inlineStr">
        <is>
          <t>SA9TAPLAF27414263 , Trailer , Tow Mate , Plant Trailer</t>
        </is>
      </c>
      <c r="F1968" t="inlineStr">
        <is>
          <t>SA9TAPLAF27414263 , Trailer , Tow Mate , Plant Trailer</t>
        </is>
      </c>
      <c r="G1968" t="inlineStr">
        <is>
          <t xml:space="preserve">Abraham Davies </t>
        </is>
      </c>
      <c r="H1968" t="inlineStr">
        <is>
          <t>Plant Trailer</t>
        </is>
      </c>
      <c r="I1968" t="inlineStr">
        <is>
          <t>Daily/ Weekly Vehicle Inspection</t>
        </is>
      </c>
      <c r="J1968" t="inlineStr">
        <is>
          <t>N/A</t>
        </is>
      </c>
      <c r="K1968" t="inlineStr">
        <is>
          <t>7806 Optimum Tree Services Ltd</t>
        </is>
      </c>
      <c r="L1968" t="inlineStr">
        <is>
          <t>03/11/2025 08:39</t>
        </is>
      </c>
      <c r="M1968" t="inlineStr">
        <is>
          <t>None</t>
        </is>
      </c>
      <c r="N1968" t="inlineStr">
        <is>
          <t>&lt;p&gt;&lt;/p&gt;</t>
        </is>
      </c>
      <c r="O1968" t="inlineStr"/>
      <c r="P1968" t="inlineStr">
        <is>
          <t>SA9TAPLAF27414263 , Trailer , Tow Mate , Plant Trailer</t>
        </is>
      </c>
      <c r="Q1968" t="inlineStr">
        <is>
          <t>UKPN</t>
        </is>
      </c>
      <c r="R1968" t="b">
        <v>0</v>
      </c>
    </row>
    <row r="1969">
      <c r="A1969" t="inlineStr">
        <is>
          <t>3 Nov 2025 / 7806 Optimum Tree Services Ltd / Utilities / UKPN</t>
        </is>
      </c>
      <c r="B1969" t="inlineStr">
        <is>
          <t>Utilities</t>
        </is>
      </c>
      <c r="C1969" t="inlineStr">
        <is>
          <t>UKPN</t>
        </is>
      </c>
      <c r="D1969" t="inlineStr">
        <is>
          <t>4x4 - Landrover  - Defender  - Wd14evn</t>
        </is>
      </c>
      <c r="E1969" t="inlineStr">
        <is>
          <t>4x4 - Landrover  - Defender  - Wd14evn</t>
        </is>
      </c>
      <c r="F1969" t="inlineStr">
        <is>
          <t>4x4 - Landrover  - Defender  - Wd14evn</t>
        </is>
      </c>
      <c r="G1969" t="inlineStr">
        <is>
          <t xml:space="preserve">Abraham Davies </t>
        </is>
      </c>
      <c r="H1969" t="inlineStr">
        <is>
          <t>4x4</t>
        </is>
      </c>
      <c r="I1969" t="inlineStr">
        <is>
          <t>Daily/ Weekly Vehicle Inspection</t>
        </is>
      </c>
      <c r="J1969" t="inlineStr">
        <is>
          <t>N/A</t>
        </is>
      </c>
      <c r="K1969" t="inlineStr">
        <is>
          <t>7806 Optimum Tree Services Ltd</t>
        </is>
      </c>
      <c r="L1969" t="inlineStr">
        <is>
          <t>03/11/2025 08:40</t>
        </is>
      </c>
      <c r="M1969" t="inlineStr">
        <is>
          <t>None</t>
        </is>
      </c>
      <c r="N1969" t="inlineStr">
        <is>
          <t>&lt;p&gt;&lt;/p&gt;</t>
        </is>
      </c>
      <c r="O1969" t="inlineStr"/>
      <c r="P1969" t="inlineStr">
        <is>
          <t>4x4 - Landrover  - Defender  - Wd14evn</t>
        </is>
      </c>
      <c r="Q1969" t="inlineStr">
        <is>
          <t>UKPN</t>
        </is>
      </c>
      <c r="R1969" t="b">
        <v>0</v>
      </c>
    </row>
    <row r="1970">
      <c r="A1970" t="inlineStr">
        <is>
          <t>3 Nov 2025 / 3098 D &amp; R Landscapes / Utilities / UKPN</t>
        </is>
      </c>
      <c r="B1970" t="inlineStr">
        <is>
          <t>Utilities</t>
        </is>
      </c>
      <c r="C1970" t="inlineStr">
        <is>
          <t>UKPN</t>
        </is>
      </c>
      <c r="D1970" t="inlineStr">
        <is>
          <t>Vehicle - Nissan - Navara - BT20 GNZ</t>
        </is>
      </c>
      <c r="E1970" t="inlineStr">
        <is>
          <t>Vehicle - Nissan - Navara - BT20 GNZ</t>
        </is>
      </c>
      <c r="F1970" t="inlineStr">
        <is>
          <t>Vehicle - Nissan - Navara - BT20 GNZ</t>
        </is>
      </c>
      <c r="G1970" t="inlineStr">
        <is>
          <t>Jason</t>
        </is>
      </c>
      <c r="H1970" t="inlineStr">
        <is>
          <t>4x4</t>
        </is>
      </c>
      <c r="I1970" t="inlineStr">
        <is>
          <t>Daily/ Weekly Vehicle Inspection</t>
        </is>
      </c>
      <c r="J1970" t="inlineStr">
        <is>
          <t>N/A</t>
        </is>
      </c>
      <c r="K1970" t="inlineStr">
        <is>
          <t>3098 D &amp; R Landscapes</t>
        </is>
      </c>
      <c r="L1970" t="inlineStr">
        <is>
          <t>03/11/2025 08:40</t>
        </is>
      </c>
      <c r="M1970" t="inlineStr">
        <is>
          <t>None</t>
        </is>
      </c>
      <c r="N1970" t="inlineStr">
        <is>
          <t>&lt;p&gt;&lt;/p&gt;</t>
        </is>
      </c>
      <c r="O1970" t="inlineStr"/>
      <c r="P1970" t="inlineStr">
        <is>
          <t>Vehicle - Nissan - Navara - BT20 GNZ</t>
        </is>
      </c>
      <c r="Q1970" t="inlineStr">
        <is>
          <t>UKPN</t>
        </is>
      </c>
      <c r="R1970" t="b">
        <v>0</v>
      </c>
    </row>
    <row r="1971">
      <c r="A1971" t="inlineStr">
        <is>
          <t>3 Nov 2025 / 7996 M G Tree Surgery Ltd / Utilities / UKPN</t>
        </is>
      </c>
      <c r="B1971" t="inlineStr">
        <is>
          <t>Utilities</t>
        </is>
      </c>
      <c r="C1971" t="inlineStr">
        <is>
          <t>UKPN</t>
        </is>
      </c>
      <c r="D1971" t="inlineStr">
        <is>
          <t>GU13 WNL , MEWP , Land Rover , Defender 130</t>
        </is>
      </c>
      <c r="E1971" t="inlineStr">
        <is>
          <t>GU13 WNL , MEWP , Land Rover , Defender 130</t>
        </is>
      </c>
      <c r="F1971" t="inlineStr">
        <is>
          <t>GU13 WNL , MEWP , Land Rover , Defender 130</t>
        </is>
      </c>
      <c r="G1971" t="inlineStr">
        <is>
          <t>Max</t>
        </is>
      </c>
      <c r="H1971" t="inlineStr">
        <is>
          <t>4x4</t>
        </is>
      </c>
      <c r="I1971" t="inlineStr">
        <is>
          <t>Daily/ Weekly Vehicle Inspection</t>
        </is>
      </c>
      <c r="J1971" t="inlineStr">
        <is>
          <t>N/A</t>
        </is>
      </c>
      <c r="K1971" t="inlineStr">
        <is>
          <t>7996 M G Tree Surgery Ltd</t>
        </is>
      </c>
      <c r="L1971" t="inlineStr">
        <is>
          <t>03/11/2025 08:43</t>
        </is>
      </c>
      <c r="M1971" t="inlineStr">
        <is>
          <t>None</t>
        </is>
      </c>
      <c r="N1971" t="inlineStr">
        <is>
          <t>&lt;p&gt;&lt;/p&gt;</t>
        </is>
      </c>
      <c r="O1971" t="inlineStr"/>
      <c r="P1971" t="inlineStr">
        <is>
          <t>GU13 WNL , MEWP , Land Rover , Defender 130</t>
        </is>
      </c>
      <c r="Q1971" t="inlineStr">
        <is>
          <t>UKPN</t>
        </is>
      </c>
      <c r="R1971" t="b">
        <v>0</v>
      </c>
    </row>
    <row r="1972">
      <c r="A1972" t="inlineStr">
        <is>
          <t>3 Nov 2025 / James Gorman / Utilities / UKPN</t>
        </is>
      </c>
      <c r="B1972" t="inlineStr">
        <is>
          <t>Utilities</t>
        </is>
      </c>
      <c r="C1972" t="inlineStr">
        <is>
          <t>UKPN</t>
        </is>
      </c>
      <c r="D1972" t="inlineStr">
        <is>
          <t>Car - Electric - Tesla - Model 3  - AF22 XRA</t>
        </is>
      </c>
      <c r="E1972" t="inlineStr">
        <is>
          <t>Car - Electric - Tesla - Model 3  - AF22 XRA</t>
        </is>
      </c>
      <c r="F1972" t="inlineStr">
        <is>
          <t>Car - Electric - Tesla - Model 3  - AF22 XRA</t>
        </is>
      </c>
      <c r="G1972" t="inlineStr">
        <is>
          <t>James Gorman</t>
        </is>
      </c>
      <c r="H1972" t="inlineStr">
        <is>
          <t>Car - Electric (GC Owned)</t>
        </is>
      </c>
      <c r="I1972" t="inlineStr">
        <is>
          <t>Daily/ Weekly Vehicle Inspection</t>
        </is>
      </c>
      <c r="J1972" t="inlineStr">
        <is>
          <t>N/A</t>
        </is>
      </c>
      <c r="K1972" t="inlineStr">
        <is>
          <t>James Gorman</t>
        </is>
      </c>
      <c r="L1972" t="inlineStr">
        <is>
          <t>03/11/2025 09:39</t>
        </is>
      </c>
      <c r="M1972" t="inlineStr">
        <is>
          <t>None</t>
        </is>
      </c>
      <c r="N1972" t="inlineStr">
        <is>
          <t>&lt;p&gt;&lt;/p&gt;</t>
        </is>
      </c>
      <c r="O1972" t="inlineStr">
        <is>
          <t>Confirm that you have checked this vehicle as per the guidance document and the vehicle is safe and roadworthy:Rattle in wheel hub caps, 
Tyre pressure dropped 2psi, 40psi on all tyres.
-</t>
        </is>
      </c>
      <c r="P1972" t="inlineStr">
        <is>
          <t>Car - Electric - Tesla - Model 3  - AF22 XRA</t>
        </is>
      </c>
      <c r="Q1972" t="inlineStr">
        <is>
          <t>UKPN</t>
        </is>
      </c>
      <c r="R1972" t="b">
        <v>0</v>
      </c>
    </row>
    <row r="1973">
      <c r="A1973" t="inlineStr">
        <is>
          <t>3 Nov 2025 / Alexander Damar / Utilities / UKPN</t>
        </is>
      </c>
      <c r="B1973" t="inlineStr">
        <is>
          <t>Utilities</t>
        </is>
      </c>
      <c r="C1973" t="inlineStr">
        <is>
          <t>UKPN</t>
        </is>
      </c>
      <c r="D1973" t="inlineStr"/>
      <c r="E1973" t="inlineStr"/>
      <c r="F1973" t="inlineStr"/>
      <c r="G1973" t="inlineStr">
        <is>
          <t>A Damar</t>
        </is>
      </c>
      <c r="H1973" t="inlineStr">
        <is>
          <t>Car - Petrol</t>
        </is>
      </c>
      <c r="I1973" t="inlineStr">
        <is>
          <t>Daily/ Weekly Vehicle Inspection</t>
        </is>
      </c>
      <c r="J1973" t="inlineStr">
        <is>
          <t>N/A</t>
        </is>
      </c>
      <c r="K1973" t="inlineStr">
        <is>
          <t>Alexander Damar</t>
        </is>
      </c>
      <c r="L1973" t="inlineStr">
        <is>
          <t>03/11/2025 10:32</t>
        </is>
      </c>
      <c r="M1973" t="inlineStr">
        <is>
          <t>None</t>
        </is>
      </c>
      <c r="N1973" t="inlineStr">
        <is>
          <t>&lt;p&gt;&lt;/p&gt;</t>
        </is>
      </c>
      <c r="O1973" t="inlineStr"/>
      <c r="P1973" t="inlineStr"/>
      <c r="Q1973" t="inlineStr">
        <is>
          <t>UKPN</t>
        </is>
      </c>
      <c r="R1973" t="b">
        <v>0</v>
      </c>
    </row>
    <row r="1974">
      <c r="A1974" t="inlineStr">
        <is>
          <t>3 Nov 2025 / Alasdair Conlon / Utilities / NGED</t>
        </is>
      </c>
      <c r="B1974" t="inlineStr">
        <is>
          <t>Utilities</t>
        </is>
      </c>
      <c r="C1974" t="inlineStr">
        <is>
          <t>NGED</t>
        </is>
      </c>
      <c r="D1974" t="inlineStr">
        <is>
          <t>YX24TXV , Car - Electric , Kia , E-Niro</t>
        </is>
      </c>
      <c r="E1974" t="inlineStr">
        <is>
          <t>YX24TXV , Car - Electric , Kia , E-Niro</t>
        </is>
      </c>
      <c r="F1974" t="inlineStr">
        <is>
          <t>YX24TXV , Car - Electric , Kia , E-Niro</t>
        </is>
      </c>
      <c r="G1974" t="inlineStr">
        <is>
          <t xml:space="preserve">Alasdair Conlon </t>
        </is>
      </c>
      <c r="H1974" t="inlineStr">
        <is>
          <t>Car - Electric (GC Owned)</t>
        </is>
      </c>
      <c r="I1974" t="inlineStr">
        <is>
          <t>Daily/ Weekly Vehicle Inspection</t>
        </is>
      </c>
      <c r="J1974" t="inlineStr">
        <is>
          <t>N/A</t>
        </is>
      </c>
      <c r="K1974" t="inlineStr">
        <is>
          <t>Alasdair Conlon</t>
        </is>
      </c>
      <c r="L1974" t="inlineStr">
        <is>
          <t>03/11/2025 10:33</t>
        </is>
      </c>
      <c r="M1974" t="inlineStr">
        <is>
          <t>None</t>
        </is>
      </c>
      <c r="N1974" t="inlineStr">
        <is>
          <t>&lt;p&gt;&lt;/p&gt;</t>
        </is>
      </c>
      <c r="O1974" t="inlineStr"/>
      <c r="P1974" t="inlineStr">
        <is>
          <t>YX24TXV , Car - Electric , Kia , E-Niro</t>
        </is>
      </c>
      <c r="Q1974" t="inlineStr">
        <is>
          <t>NGED</t>
        </is>
      </c>
      <c r="R1974" t="b">
        <v>0</v>
      </c>
    </row>
    <row r="1975">
      <c r="A1975" t="inlineStr">
        <is>
          <t>3 Nov 2025 / Ben Arnold / Utilities / UKPN</t>
        </is>
      </c>
      <c r="B1975" t="inlineStr">
        <is>
          <t>Utilities</t>
        </is>
      </c>
      <c r="C1975" t="inlineStr">
        <is>
          <t>UKPN</t>
        </is>
      </c>
      <c r="D1975" t="inlineStr">
        <is>
          <t>YX24TXG , Car - Electric , Kia , Niro</t>
        </is>
      </c>
      <c r="E1975" t="inlineStr">
        <is>
          <t>YX24TXG , Car - Electric , Kia , Niro</t>
        </is>
      </c>
      <c r="F1975" t="inlineStr">
        <is>
          <t>YX24TXG , Car - Electric , Kia , Niro</t>
        </is>
      </c>
      <c r="G1975" t="inlineStr">
        <is>
          <t>Ben Arnold</t>
        </is>
      </c>
      <c r="H1975" t="inlineStr">
        <is>
          <t>Car - Electric (GC Owned)</t>
        </is>
      </c>
      <c r="I1975" t="inlineStr">
        <is>
          <t>Daily/ Weekly Vehicle Inspection</t>
        </is>
      </c>
      <c r="J1975" t="inlineStr">
        <is>
          <t>N/A</t>
        </is>
      </c>
      <c r="K1975" t="inlineStr">
        <is>
          <t>Ben Arnold</t>
        </is>
      </c>
      <c r="L1975" t="inlineStr">
        <is>
          <t>03/11/2025 11:31</t>
        </is>
      </c>
      <c r="M1975" t="inlineStr">
        <is>
          <t>None</t>
        </is>
      </c>
      <c r="N1975" t="inlineStr">
        <is>
          <t>&lt;p&gt;&lt;/p&gt;</t>
        </is>
      </c>
      <c r="O1975" t="inlineStr"/>
      <c r="P1975" t="inlineStr">
        <is>
          <t>YX24TXG , Car - Electric , Kia , Niro</t>
        </is>
      </c>
      <c r="Q1975" t="inlineStr">
        <is>
          <t>UKPN</t>
        </is>
      </c>
      <c r="R1975" t="b">
        <v>0</v>
      </c>
    </row>
    <row r="1976">
      <c r="A1976" t="inlineStr">
        <is>
          <t>3 Nov 2025 / Jonathan Wisbey / Utilities / UKPN</t>
        </is>
      </c>
      <c r="B1976" t="inlineStr">
        <is>
          <t>Utilities</t>
        </is>
      </c>
      <c r="C1976" t="inlineStr">
        <is>
          <t>UKPN</t>
        </is>
      </c>
      <c r="D1976" t="inlineStr"/>
      <c r="E1976" t="inlineStr"/>
      <c r="F1976" t="inlineStr"/>
      <c r="G1976" t="inlineStr">
        <is>
          <t xml:space="preserve">Jonathan Wisbey Jonathan Wisbey </t>
        </is>
      </c>
      <c r="H1976" t="inlineStr">
        <is>
          <t>Car - Petrol</t>
        </is>
      </c>
      <c r="I1976" t="inlineStr">
        <is>
          <t>Monthly Vehicle Inspection</t>
        </is>
      </c>
      <c r="J1976" t="inlineStr">
        <is>
          <t>487</t>
        </is>
      </c>
      <c r="K1976" t="inlineStr">
        <is>
          <t>Jonathan Wisbey</t>
        </is>
      </c>
      <c r="L1976" t="inlineStr">
        <is>
          <t>03/11/2025 11:32</t>
        </is>
      </c>
      <c r="M1976" t="inlineStr">
        <is>
          <t>None</t>
        </is>
      </c>
      <c r="N1976" t="inlineStr">
        <is>
          <t>&lt;p&gt;&lt;/p&gt;</t>
        </is>
      </c>
      <c r="O1976" t="inlineStr">
        <is>
          <t>Estimated mileage on behalf of GC in the last month:This is for the new vechile</t>
        </is>
      </c>
      <c r="P1976" t="inlineStr"/>
      <c r="Q1976" t="inlineStr">
        <is>
          <t>UKPN</t>
        </is>
      </c>
      <c r="R1976" t="b">
        <v>0</v>
      </c>
    </row>
    <row r="1977">
      <c r="A1977" t="inlineStr">
        <is>
          <t>4 Nov 2025 / 3098 D &amp; R Landscapes / Utilities / UKPN</t>
        </is>
      </c>
      <c r="B1977" t="inlineStr">
        <is>
          <t>Utilities</t>
        </is>
      </c>
      <c r="C1977" t="inlineStr">
        <is>
          <t>UKPN</t>
        </is>
      </c>
      <c r="D1977" t="inlineStr">
        <is>
          <t>Vehicle - Nissan - Navara - BT20 GNZ</t>
        </is>
      </c>
      <c r="E1977" t="inlineStr">
        <is>
          <t>Vehicle - Nissan - Navara - BT20 GNZ</t>
        </is>
      </c>
      <c r="F1977" t="inlineStr">
        <is>
          <t>Vehicle - Nissan - Navara - BT20 GNZ</t>
        </is>
      </c>
      <c r="G1977" t="inlineStr">
        <is>
          <t>Jason</t>
        </is>
      </c>
      <c r="H1977" t="inlineStr">
        <is>
          <t>Pickup Truck</t>
        </is>
      </c>
      <c r="I1977" t="inlineStr">
        <is>
          <t>Daily/ Weekly Vehicle Inspection</t>
        </is>
      </c>
      <c r="J1977" t="inlineStr">
        <is>
          <t>N/A</t>
        </is>
      </c>
      <c r="K1977" t="inlineStr">
        <is>
          <t>3098 D &amp; R Landscapes</t>
        </is>
      </c>
      <c r="L1977" t="inlineStr">
        <is>
          <t>04/11/2025 07:31</t>
        </is>
      </c>
      <c r="M1977" t="inlineStr">
        <is>
          <t>None</t>
        </is>
      </c>
      <c r="N1977" t="inlineStr">
        <is>
          <t>&lt;p&gt;&lt;/p&gt;</t>
        </is>
      </c>
      <c r="O1977" t="inlineStr"/>
      <c r="P1977" t="inlineStr">
        <is>
          <t>Vehicle - Nissan - Navara - BT20 GNZ</t>
        </is>
      </c>
      <c r="Q1977" t="inlineStr">
        <is>
          <t>UKPN</t>
        </is>
      </c>
      <c r="R1977" t="b">
        <v>0</v>
      </c>
    </row>
    <row r="1978">
      <c r="A1978" t="inlineStr">
        <is>
          <t>4 Nov 2025 / 7186 Eastwoodbury Tree Services Ltd / Utilities / UKPN</t>
        </is>
      </c>
      <c r="B1978" t="inlineStr">
        <is>
          <t>Utilities</t>
        </is>
      </c>
      <c r="C1978" t="inlineStr">
        <is>
          <t>UKPN</t>
        </is>
      </c>
      <c r="D1978" t="inlineStr">
        <is>
          <t>DE53NKS , 4x4 , Ford , Ranger</t>
        </is>
      </c>
      <c r="E1978" t="inlineStr">
        <is>
          <t>DE53NKS , 4x4 , Ford , Ranger</t>
        </is>
      </c>
      <c r="F1978" t="inlineStr">
        <is>
          <t>DE53NKS , 4x4 , Ford , Ranger</t>
        </is>
      </c>
      <c r="G1978" t="inlineStr">
        <is>
          <t xml:space="preserve">Jay Denkmayer </t>
        </is>
      </c>
      <c r="H1978" t="inlineStr">
        <is>
          <t>Pickup Truck</t>
        </is>
      </c>
      <c r="I1978" t="inlineStr">
        <is>
          <t>Daily/ Weekly Vehicle Inspection</t>
        </is>
      </c>
      <c r="J1978" t="inlineStr">
        <is>
          <t>N/A</t>
        </is>
      </c>
      <c r="K1978" t="inlineStr">
        <is>
          <t>7186 Eastwoodbury Tree Services Ltd</t>
        </is>
      </c>
      <c r="L1978" t="inlineStr">
        <is>
          <t>04/11/2025 07:33</t>
        </is>
      </c>
      <c r="M1978" t="inlineStr">
        <is>
          <t>None</t>
        </is>
      </c>
      <c r="N1978" t="inlineStr">
        <is>
          <t>&lt;p&gt;&lt;/p&gt;</t>
        </is>
      </c>
      <c r="O1978" t="inlineStr"/>
      <c r="P1978" t="inlineStr">
        <is>
          <t>DE53NKS , 4x4 , Ford , Ranger</t>
        </is>
      </c>
      <c r="Q1978" t="inlineStr">
        <is>
          <t>UKPN</t>
        </is>
      </c>
      <c r="R1978" t="b">
        <v>0</v>
      </c>
    </row>
    <row r="1979">
      <c r="A1979" t="inlineStr">
        <is>
          <t>4 Nov 2025 / 7186 Eastwoodbury Tree Services Ltd / Utilities / UKPN</t>
        </is>
      </c>
      <c r="B1979" t="inlineStr">
        <is>
          <t>Utilities</t>
        </is>
      </c>
      <c r="C1979" t="inlineStr">
        <is>
          <t>UKPN</t>
        </is>
      </c>
      <c r="D1979" t="inlineStr">
        <is>
          <t>4x4 - Land rover  - Defenders  - WF13 EKM</t>
        </is>
      </c>
      <c r="E1979" t="inlineStr">
        <is>
          <t>4x4 - Land rover  - Defenders  - WF13 EKM</t>
        </is>
      </c>
      <c r="F1979" t="inlineStr">
        <is>
          <t>4x4 - Land rover  - Defenders  - WF13 EKM</t>
        </is>
      </c>
      <c r="G1979" t="inlineStr">
        <is>
          <t xml:space="preserve">Dan Gilbert </t>
        </is>
      </c>
      <c r="H1979" t="inlineStr">
        <is>
          <t>4x4</t>
        </is>
      </c>
      <c r="I1979" t="inlineStr">
        <is>
          <t>Daily/ Weekly Vehicle Inspection</t>
        </is>
      </c>
      <c r="J1979" t="inlineStr">
        <is>
          <t>N/A</t>
        </is>
      </c>
      <c r="K1979" t="inlineStr">
        <is>
          <t>7186 Eastwoodbury Tree Services Ltd</t>
        </is>
      </c>
      <c r="L1979" t="inlineStr">
        <is>
          <t>04/11/2025 07:34</t>
        </is>
      </c>
      <c r="M1979" t="inlineStr">
        <is>
          <t>None</t>
        </is>
      </c>
      <c r="N1979" t="inlineStr">
        <is>
          <t>&lt;p&gt;&lt;/p&gt;</t>
        </is>
      </c>
      <c r="O1979" t="inlineStr"/>
      <c r="P1979" t="inlineStr">
        <is>
          <t>4x4 - Land rover  - Defenders  - WF13 EKM</t>
        </is>
      </c>
      <c r="Q1979" t="inlineStr">
        <is>
          <t>UKPN</t>
        </is>
      </c>
      <c r="R1979" t="b">
        <v>0</v>
      </c>
    </row>
    <row r="1980">
      <c r="A1980" t="inlineStr">
        <is>
          <t>4 Nov 2025 / Anthony Gale / Utilities / UKPN</t>
        </is>
      </c>
      <c r="B1980" t="inlineStr">
        <is>
          <t>Utilities</t>
        </is>
      </c>
      <c r="C1980" t="inlineStr">
        <is>
          <t>UKPN</t>
        </is>
      </c>
      <c r="D1980" t="inlineStr">
        <is>
          <t>PE07 HGL , Vehicle , Mitsubishi , L200 K74</t>
        </is>
      </c>
      <c r="E1980" t="inlineStr">
        <is>
          <t>PE07 HGL , Vehicle , Mitsubishi , L200 K74</t>
        </is>
      </c>
      <c r="F1980" t="inlineStr">
        <is>
          <t>PE07 HGL , Vehicle , Mitsubishi , L200 K74</t>
        </is>
      </c>
      <c r="G1980" t="inlineStr">
        <is>
          <t>Anthony Gale</t>
        </is>
      </c>
      <c r="H1980" t="inlineStr">
        <is>
          <t>Pickup Truck</t>
        </is>
      </c>
      <c r="I1980" t="inlineStr">
        <is>
          <t>Daily/ Weekly Vehicle Inspection</t>
        </is>
      </c>
      <c r="J1980" t="inlineStr">
        <is>
          <t>N/A</t>
        </is>
      </c>
      <c r="K1980" t="inlineStr">
        <is>
          <t>7996 M G Tree Surgery Ltd 1</t>
        </is>
      </c>
      <c r="L1980" t="inlineStr">
        <is>
          <t>04/11/2025 07:36</t>
        </is>
      </c>
      <c r="M1980" t="inlineStr">
        <is>
          <t>None</t>
        </is>
      </c>
      <c r="N1980" t="inlineStr">
        <is>
          <t>&lt;p&gt;&lt;/p&gt;</t>
        </is>
      </c>
      <c r="O1980" t="inlineStr">
        <is>
          <t>Confirm that you have checked this vehicle as per the guidance document and the vehicle is safe and roadworthy:Drivers side wheel trim deteriorating, safe for now.
Monitor.
-</t>
        </is>
      </c>
      <c r="P1980" t="inlineStr">
        <is>
          <t>PE07 HGL , Vehicle , Mitsubishi , L200 K74</t>
        </is>
      </c>
      <c r="Q1980" t="inlineStr">
        <is>
          <t>UKPN</t>
        </is>
      </c>
      <c r="R1980" t="b">
        <v>0</v>
      </c>
    </row>
    <row r="1981">
      <c r="A1981" t="inlineStr">
        <is>
          <t>4 Nov 2025 / 7889 Tree Tech Suffolk Ltd</t>
        </is>
      </c>
      <c r="B1981" t="inlineStr">
        <is>
          <t>Utilities &amp; Inland Waterways</t>
        </is>
      </c>
      <c r="C1981" t="inlineStr">
        <is>
          <t>UKPN</t>
        </is>
      </c>
      <c r="D1981" t="inlineStr">
        <is>
          <t>Tow Chipper - Jenson - A530L - 55210639484x4 - Isuzu - D-max - NS03 TTSTipper - Nissan - Navara - NS02TTS</t>
        </is>
      </c>
      <c r="E1981" t="inlineStr">
        <is>
          <t>Tow Chipper - Jenson - A530L - 55210639484x4 - Isuzu - D-max - NS03 TTSTipper - Nissan - Navara - NS02TTS</t>
        </is>
      </c>
      <c r="F1981" t="inlineStr">
        <is>
          <t>Tow Chipper - Jenson - A530L - 55210639484x4 - Isuzu - D-max - NS03 TTSTipper - Nissan - Navara - NS02TTS</t>
        </is>
      </c>
      <c r="G1981" t="inlineStr">
        <is>
          <t xml:space="preserve">Nikki sparrow Danny Appleby Nikki sparrow </t>
        </is>
      </c>
      <c r="H1981" t="inlineStr">
        <is>
          <t>Towed Chipper4x4Tipper</t>
        </is>
      </c>
      <c r="I1981" t="inlineStr">
        <is>
          <t>Daily/ Weekly Vehicle Inspection</t>
        </is>
      </c>
      <c r="J1981" t="inlineStr">
        <is>
          <t>N/A</t>
        </is>
      </c>
      <c r="K1981" t="inlineStr">
        <is>
          <t>7889 Tree Tech Suffolk Ltd</t>
        </is>
      </c>
      <c r="L1981" t="inlineStr">
        <is>
          <t>04/11/2025 07:37</t>
        </is>
      </c>
      <c r="M1981" t="inlineStr">
        <is>
          <t>None</t>
        </is>
      </c>
      <c r="N1981" t="inlineStr">
        <is>
          <t>&lt;p&gt;&lt;/p&gt;</t>
        </is>
      </c>
      <c r="O1981" t="inlineStr"/>
      <c r="P1981" t="inlineStr">
        <is>
          <t>Tow Chipper - Jenson - A530L - 55210639484x4 - Isuzu - D-max - NS03 TTSTipper - Nissan - Navara - NS02TTS</t>
        </is>
      </c>
      <c r="Q1981" t="inlineStr">
        <is>
          <t>UKPN</t>
        </is>
      </c>
      <c r="R1981" t="b">
        <v>0</v>
      </c>
    </row>
    <row r="1982">
      <c r="A1982" t="inlineStr">
        <is>
          <t>4 Nov 2025 / 7996 M G Tree Surgery Ltd / Utilities / UKPN</t>
        </is>
      </c>
      <c r="B1982" t="inlineStr">
        <is>
          <t>Utilities</t>
        </is>
      </c>
      <c r="C1982" t="inlineStr">
        <is>
          <t>UKPN</t>
        </is>
      </c>
      <c r="D1982" t="inlineStr">
        <is>
          <t>GU13 WNL , MEWP , Land Rover , Defender 130</t>
        </is>
      </c>
      <c r="E1982" t="inlineStr">
        <is>
          <t>GU13 WNL , MEWP , Land Rover , Defender 130</t>
        </is>
      </c>
      <c r="F1982" t="inlineStr">
        <is>
          <t>GU13 WNL , MEWP , Land Rover , Defender 130</t>
        </is>
      </c>
      <c r="G1982" t="inlineStr">
        <is>
          <t>Max</t>
        </is>
      </c>
      <c r="H1982" t="inlineStr">
        <is>
          <t>4x4</t>
        </is>
      </c>
      <c r="I1982" t="inlineStr">
        <is>
          <t>Daily/ Weekly Vehicle Inspection</t>
        </is>
      </c>
      <c r="J1982" t="inlineStr">
        <is>
          <t>N/A</t>
        </is>
      </c>
      <c r="K1982" t="inlineStr">
        <is>
          <t>7996 M G Tree Surgery Ltd</t>
        </is>
      </c>
      <c r="L1982" t="inlineStr">
        <is>
          <t>04/11/2025 07:40</t>
        </is>
      </c>
      <c r="M1982" t="inlineStr">
        <is>
          <t>None</t>
        </is>
      </c>
      <c r="N1982" t="inlineStr">
        <is>
          <t>&lt;p&gt;&lt;/p&gt;</t>
        </is>
      </c>
      <c r="O1982" t="inlineStr"/>
      <c r="P1982" t="inlineStr">
        <is>
          <t>GU13 WNL , MEWP , Land Rover , Defender 130</t>
        </is>
      </c>
      <c r="Q1982" t="inlineStr">
        <is>
          <t>UKPN</t>
        </is>
      </c>
      <c r="R1982" t="b">
        <v>0</v>
      </c>
    </row>
    <row r="1983">
      <c r="A1983" t="inlineStr">
        <is>
          <t>4 Nov 2025 / 7806 Optimum Tree Services Ltd / Utilities / UKPN</t>
        </is>
      </c>
      <c r="B1983" t="inlineStr">
        <is>
          <t>Utilities</t>
        </is>
      </c>
      <c r="C1983" t="inlineStr">
        <is>
          <t>UKPN</t>
        </is>
      </c>
      <c r="D1983" t="inlineStr">
        <is>
          <t>SA9ST800000283069 , Chipper , Forst , ST 6P</t>
        </is>
      </c>
      <c r="E1983" t="inlineStr">
        <is>
          <t>SA9ST800000283069 , Chipper , Forst , ST 6P</t>
        </is>
      </c>
      <c r="F1983" t="inlineStr">
        <is>
          <t>SA9ST800000283069 , Chipper , Forst , ST 6P</t>
        </is>
      </c>
      <c r="G1983" t="inlineStr">
        <is>
          <t xml:space="preserve">Abraham Davies </t>
        </is>
      </c>
      <c r="H1983" t="inlineStr">
        <is>
          <t>Towed Chipper</t>
        </is>
      </c>
      <c r="I1983" t="inlineStr">
        <is>
          <t>Daily/ Weekly Vehicle Inspection</t>
        </is>
      </c>
      <c r="J1983" t="inlineStr">
        <is>
          <t>N/A</t>
        </is>
      </c>
      <c r="K1983" t="inlineStr">
        <is>
          <t>7806 Optimum Tree Services Ltd</t>
        </is>
      </c>
      <c r="L1983" t="inlineStr">
        <is>
          <t>04/11/2025 08:34</t>
        </is>
      </c>
      <c r="M1983" t="inlineStr">
        <is>
          <t>None</t>
        </is>
      </c>
      <c r="N1983" t="inlineStr">
        <is>
          <t>&lt;p&gt;&lt;/p&gt;</t>
        </is>
      </c>
      <c r="O1983" t="inlineStr"/>
      <c r="P1983" t="inlineStr">
        <is>
          <t>SA9ST800000283069 , Chipper , Forst , ST 6P</t>
        </is>
      </c>
      <c r="Q1983" t="inlineStr">
        <is>
          <t>UKPN</t>
        </is>
      </c>
      <c r="R1983" t="b">
        <v>0</v>
      </c>
    </row>
    <row r="1984">
      <c r="A1984" t="inlineStr">
        <is>
          <t>4 Nov 2025 / 7806 Optimum Tree Services Ltd / Utilities / UKPN</t>
        </is>
      </c>
      <c r="B1984" t="inlineStr">
        <is>
          <t>Utilities</t>
        </is>
      </c>
      <c r="C1984" t="inlineStr">
        <is>
          <t>UKPN</t>
        </is>
      </c>
      <c r="D1984" t="inlineStr">
        <is>
          <t>WD14EVB , MEWP , Land Rover , Defender</t>
        </is>
      </c>
      <c r="E1984" t="inlineStr">
        <is>
          <t>WD14EVB , MEWP , Land Rover , Defender</t>
        </is>
      </c>
      <c r="F1984" t="inlineStr">
        <is>
          <t>WD14EVB , MEWP , Land Rover , Defender</t>
        </is>
      </c>
      <c r="G1984" t="inlineStr">
        <is>
          <t xml:space="preserve">Abraham Davies </t>
        </is>
      </c>
      <c r="H1984" t="inlineStr">
        <is>
          <t>4x4</t>
        </is>
      </c>
      <c r="I1984" t="inlineStr">
        <is>
          <t>Daily/ Weekly Vehicle Inspection</t>
        </is>
      </c>
      <c r="J1984" t="inlineStr">
        <is>
          <t>N/A</t>
        </is>
      </c>
      <c r="K1984" t="inlineStr">
        <is>
          <t>7806 Optimum Tree Services Ltd</t>
        </is>
      </c>
      <c r="L1984" t="inlineStr">
        <is>
          <t>04/11/2025 08:35</t>
        </is>
      </c>
      <c r="M1984" t="inlineStr">
        <is>
          <t>None</t>
        </is>
      </c>
      <c r="N1984" t="inlineStr">
        <is>
          <t>&lt;p&gt;&lt;/p&gt;</t>
        </is>
      </c>
      <c r="O1984" t="inlineStr"/>
      <c r="P1984" t="inlineStr">
        <is>
          <t>WD14EVB , MEWP , Land Rover , Defender</t>
        </is>
      </c>
      <c r="Q1984" t="inlineStr">
        <is>
          <t>UKPN</t>
        </is>
      </c>
      <c r="R1984" t="b">
        <v>0</v>
      </c>
    </row>
    <row r="1985">
      <c r="A1985" t="inlineStr">
        <is>
          <t>4 Nov 2025 / Christopher Simeoli / Utilities / NGED</t>
        </is>
      </c>
      <c r="B1985" t="inlineStr">
        <is>
          <t>Utilities</t>
        </is>
      </c>
      <c r="C1985" t="inlineStr">
        <is>
          <t>NGED</t>
        </is>
      </c>
      <c r="D1985" t="inlineStr">
        <is>
          <t>EO73KVB , Car - Electric , Kia , Niro</t>
        </is>
      </c>
      <c r="E1985" t="inlineStr">
        <is>
          <t>EO73KVB , Car - Electric , Kia , Niro</t>
        </is>
      </c>
      <c r="F1985" t="inlineStr">
        <is>
          <t>EO73KVB , Car - Electric , Kia , Niro</t>
        </is>
      </c>
      <c r="G1985" t="inlineStr">
        <is>
          <t>Chris Simeoli</t>
        </is>
      </c>
      <c r="H1985" t="inlineStr">
        <is>
          <t>Car - Electric (GC Owned)</t>
        </is>
      </c>
      <c r="I1985" t="inlineStr">
        <is>
          <t>Daily/ Weekly Vehicle Inspection</t>
        </is>
      </c>
      <c r="J1985" t="inlineStr">
        <is>
          <t>N/A</t>
        </is>
      </c>
      <c r="K1985" t="inlineStr">
        <is>
          <t>Christopher Simeoli</t>
        </is>
      </c>
      <c r="L1985" t="inlineStr">
        <is>
          <t>04/11/2025 10:33</t>
        </is>
      </c>
      <c r="M1985" t="inlineStr">
        <is>
          <t>None</t>
        </is>
      </c>
      <c r="N1985" t="inlineStr">
        <is>
          <t>&lt;p&gt;&lt;/p&gt;</t>
        </is>
      </c>
      <c r="O1985" t="inlineStr"/>
      <c r="P1985" t="inlineStr">
        <is>
          <t>EO73KVB , Car - Electric , Kia , Niro</t>
        </is>
      </c>
      <c r="Q1985" t="inlineStr">
        <is>
          <t>NGED</t>
        </is>
      </c>
      <c r="R1985" t="b">
        <v>0</v>
      </c>
    </row>
    <row r="1986">
      <c r="A1986" t="inlineStr">
        <is>
          <t>4 Nov 2025 / Philip Cadwgan / Utilities / NGED</t>
        </is>
      </c>
      <c r="B1986" t="inlineStr">
        <is>
          <t>Utilities</t>
        </is>
      </c>
      <c r="C1986" t="inlineStr">
        <is>
          <t>NGED</t>
        </is>
      </c>
      <c r="D1986" t="inlineStr"/>
      <c r="E1986" t="inlineStr"/>
      <c r="F1986" t="inlineStr"/>
      <c r="G1986" t="inlineStr">
        <is>
          <t xml:space="preserve">Phill Cadwgan </t>
        </is>
      </c>
      <c r="H1986" t="inlineStr">
        <is>
          <t>Van</t>
        </is>
      </c>
      <c r="I1986" t="inlineStr">
        <is>
          <t>Daily/ Weekly Vehicle Inspection</t>
        </is>
      </c>
      <c r="J1986" t="inlineStr">
        <is>
          <t>N/A</t>
        </is>
      </c>
      <c r="K1986" t="inlineStr">
        <is>
          <t>Philip Cadwgan</t>
        </is>
      </c>
      <c r="L1986" t="inlineStr">
        <is>
          <t>04/11/2025 13:31</t>
        </is>
      </c>
      <c r="M1986" t="inlineStr">
        <is>
          <t>None</t>
        </is>
      </c>
      <c r="N1986" t="inlineStr">
        <is>
          <t>&lt;p&gt;&lt;/p&gt;</t>
        </is>
      </c>
      <c r="O1986" t="inlineStr"/>
      <c r="P1986" t="inlineStr"/>
      <c r="Q1986" t="inlineStr">
        <is>
          <t>NGED</t>
        </is>
      </c>
      <c r="R1986" t="b">
        <v>0</v>
      </c>
    </row>
    <row r="1987">
      <c r="A1987" t="inlineStr">
        <is>
          <t>4 Nov 2025 / Paul Chubb / Utilities / SSE</t>
        </is>
      </c>
      <c r="B1987" t="inlineStr">
        <is>
          <t>Utilities</t>
        </is>
      </c>
      <c r="C1987" t="inlineStr">
        <is>
          <t>SSE</t>
        </is>
      </c>
      <c r="D1987" t="inlineStr"/>
      <c r="E1987" t="inlineStr"/>
      <c r="F1987" t="inlineStr"/>
      <c r="G1987" t="inlineStr">
        <is>
          <t>Paul chubb</t>
        </is>
      </c>
      <c r="H1987" t="inlineStr">
        <is>
          <t>Van</t>
        </is>
      </c>
      <c r="I1987" t="inlineStr">
        <is>
          <t>Daily/ Weekly Vehicle Inspection</t>
        </is>
      </c>
      <c r="J1987" t="inlineStr">
        <is>
          <t>N/A</t>
        </is>
      </c>
      <c r="K1987" t="inlineStr">
        <is>
          <t>Paul Chubb</t>
        </is>
      </c>
      <c r="L1987" t="inlineStr">
        <is>
          <t>04/11/2025 14:31</t>
        </is>
      </c>
      <c r="M1987" t="inlineStr">
        <is>
          <t>None</t>
        </is>
      </c>
      <c r="N1987" t="inlineStr">
        <is>
          <t>&lt;p&gt;&lt;/p&gt;</t>
        </is>
      </c>
      <c r="O1987" t="inlineStr"/>
      <c r="P1987" t="inlineStr"/>
      <c r="Q1987" t="inlineStr">
        <is>
          <t>SSE</t>
        </is>
      </c>
      <c r="R1987" t="b">
        <v>0</v>
      </c>
    </row>
    <row r="1988">
      <c r="A1988" t="inlineStr">
        <is>
          <t>4 Nov 2025 / Chris Huntley / Utilities / UKPN</t>
        </is>
      </c>
      <c r="B1988" t="inlineStr">
        <is>
          <t>Utilities</t>
        </is>
      </c>
      <c r="C1988" t="inlineStr">
        <is>
          <t>UKPN</t>
        </is>
      </c>
      <c r="D1988" t="inlineStr">
        <is>
          <t>EX18DCY , 4x4 , Ford , Ranger</t>
        </is>
      </c>
      <c r="E1988" t="inlineStr">
        <is>
          <t>EX18DCY , 4x4 , Ford , Ranger</t>
        </is>
      </c>
      <c r="F1988" t="inlineStr">
        <is>
          <t>EX18DCY , 4x4 , Ford , Ranger</t>
        </is>
      </c>
      <c r="G1988" t="inlineStr">
        <is>
          <t xml:space="preserve">Chris Huntley </t>
        </is>
      </c>
      <c r="H1988" t="inlineStr">
        <is>
          <t>4x4</t>
        </is>
      </c>
      <c r="I1988" t="inlineStr">
        <is>
          <t>Daily/ Weekly Vehicle Inspection</t>
        </is>
      </c>
      <c r="J1988" t="inlineStr">
        <is>
          <t>N/A</t>
        </is>
      </c>
      <c r="K1988" t="inlineStr">
        <is>
          <t>Chris Huntley</t>
        </is>
      </c>
      <c r="L1988" t="inlineStr">
        <is>
          <t>04/11/2025 15:31</t>
        </is>
      </c>
      <c r="M1988" t="inlineStr">
        <is>
          <t>None</t>
        </is>
      </c>
      <c r="N1988" t="inlineStr">
        <is>
          <t>&lt;p&gt;&lt;/p&gt;</t>
        </is>
      </c>
      <c r="O1988" t="inlineStr"/>
      <c r="P1988" t="inlineStr">
        <is>
          <t>EX18DCY , 4x4 , Ford , Ranger</t>
        </is>
      </c>
      <c r="Q1988" t="inlineStr">
        <is>
          <t>UKPN</t>
        </is>
      </c>
      <c r="R1988" t="b">
        <v>0</v>
      </c>
    </row>
    <row r="1989">
      <c r="A1989" t="inlineStr">
        <is>
          <t>3 Nov 2025 / Anthony Gale / Utilities / UKPN</t>
        </is>
      </c>
      <c r="B1989" t="inlineStr">
        <is>
          <t>Utilities</t>
        </is>
      </c>
      <c r="C1989" t="inlineStr">
        <is>
          <t>UKPN</t>
        </is>
      </c>
      <c r="D1989" t="inlineStr">
        <is>
          <t>PE07 HGL , Vehicle , Mitsubishi , L200 K74</t>
        </is>
      </c>
      <c r="E1989" t="inlineStr">
        <is>
          <t>PE07 HGL , Vehicle , Mitsubishi , L200 K74</t>
        </is>
      </c>
      <c r="F1989" t="inlineStr">
        <is>
          <t>PE07 HGL , Vehicle , Mitsubishi , L200 K74</t>
        </is>
      </c>
      <c r="G1989" t="inlineStr">
        <is>
          <t>Anthony Gale</t>
        </is>
      </c>
      <c r="H1989" t="inlineStr">
        <is>
          <t>Pickup Truck</t>
        </is>
      </c>
      <c r="I1989" t="inlineStr">
        <is>
          <t>Daily/ Weekly Vehicle Inspection</t>
        </is>
      </c>
      <c r="J1989" t="inlineStr">
        <is>
          <t>N/A</t>
        </is>
      </c>
      <c r="K1989" t="inlineStr">
        <is>
          <t>7996 M G Tree Surgery Ltd 1</t>
        </is>
      </c>
      <c r="L1989" t="inlineStr">
        <is>
          <t>04/11/2025 19:27</t>
        </is>
      </c>
      <c r="M1989" t="inlineStr">
        <is>
          <t>None</t>
        </is>
      </c>
      <c r="N1989" t="inlineStr">
        <is>
          <t>&lt;p&gt;&lt;/p&gt;</t>
        </is>
      </c>
      <c r="O1989" t="inlineStr">
        <is>
          <t>Confirm that you have checked this vehicle as per the guidance document and the vehicle is safe and roadworthy:Drivers side wheel trim deteriorating, safe for now.
Monitor.
-</t>
        </is>
      </c>
      <c r="P1989" t="inlineStr">
        <is>
          <t>PE07 HGL , Vehicle , Mitsubishi , L200 K74</t>
        </is>
      </c>
      <c r="Q1989" t="inlineStr">
        <is>
          <t>UKPN</t>
        </is>
      </c>
      <c r="R1989" t="b">
        <v>0</v>
      </c>
    </row>
    <row r="1990">
      <c r="A1990" t="inlineStr">
        <is>
          <t>3 Nov 2025 / Anthony Gale / Utilities / UKPN</t>
        </is>
      </c>
      <c r="B1990" t="inlineStr">
        <is>
          <t>Utilities</t>
        </is>
      </c>
      <c r="C1990" t="inlineStr">
        <is>
          <t>UKPN</t>
        </is>
      </c>
      <c r="D1990" t="inlineStr"/>
      <c r="E1990" t="inlineStr"/>
      <c r="F1990" t="inlineStr"/>
      <c r="G1990" t="inlineStr">
        <is>
          <t>Anthony Gale</t>
        </is>
      </c>
      <c r="H1990" t="inlineStr">
        <is>
          <t>Equipment Trailer</t>
        </is>
      </c>
      <c r="I1990" t="inlineStr">
        <is>
          <t>Daily/ Weekly Vehicle Inspection</t>
        </is>
      </c>
      <c r="J1990" t="inlineStr">
        <is>
          <t>N/A</t>
        </is>
      </c>
      <c r="K1990" t="inlineStr">
        <is>
          <t>7996 M G Tree Surgery Ltd 1</t>
        </is>
      </c>
      <c r="L1990" t="inlineStr">
        <is>
          <t>04/11/2025 19:28</t>
        </is>
      </c>
      <c r="M1990" t="inlineStr">
        <is>
          <t>None</t>
        </is>
      </c>
      <c r="N1990" t="inlineStr">
        <is>
          <t>&lt;p&gt;&lt;/p&gt;</t>
        </is>
      </c>
      <c r="O1990" t="inlineStr"/>
      <c r="P1990" t="inlineStr"/>
      <c r="Q1990" t="inlineStr">
        <is>
          <t>UKPN</t>
        </is>
      </c>
      <c r="R1990" t="b">
        <v>0</v>
      </c>
    </row>
    <row r="1991">
      <c r="A1991" t="inlineStr">
        <is>
          <t>5 Nov 2025 / 3098 D &amp; R Landscapes / Utilities / UKPN</t>
        </is>
      </c>
      <c r="B1991" t="inlineStr">
        <is>
          <t>Utilities</t>
        </is>
      </c>
      <c r="C1991" t="inlineStr">
        <is>
          <t>UKPN</t>
        </is>
      </c>
      <c r="D1991" t="inlineStr">
        <is>
          <t>Vehicle - Nissan - Navara - BT20 GNZ</t>
        </is>
      </c>
      <c r="E1991" t="inlineStr">
        <is>
          <t>Vehicle - Nissan - Navara - BT20 GNZ</t>
        </is>
      </c>
      <c r="F1991" t="inlineStr">
        <is>
          <t>Vehicle - Nissan - Navara - BT20 GNZ</t>
        </is>
      </c>
      <c r="G1991" t="inlineStr">
        <is>
          <t>Jason</t>
        </is>
      </c>
      <c r="H1991" t="inlineStr">
        <is>
          <t>Pickup Truck</t>
        </is>
      </c>
      <c r="I1991" t="inlineStr">
        <is>
          <t>Daily/ Weekly Vehicle Inspection</t>
        </is>
      </c>
      <c r="J1991" t="inlineStr">
        <is>
          <t>N/A</t>
        </is>
      </c>
      <c r="K1991" t="inlineStr">
        <is>
          <t>3098 D &amp; R Landscapes</t>
        </is>
      </c>
      <c r="L1991" t="inlineStr">
        <is>
          <t>05/11/2025 07:31</t>
        </is>
      </c>
      <c r="M1991" t="inlineStr">
        <is>
          <t>None</t>
        </is>
      </c>
      <c r="N1991" t="inlineStr">
        <is>
          <t>&lt;p&gt;&lt;/p&gt;</t>
        </is>
      </c>
      <c r="O1991" t="inlineStr"/>
      <c r="P1991" t="inlineStr">
        <is>
          <t>Vehicle - Nissan - Navara - BT20 GNZ</t>
        </is>
      </c>
      <c r="Q1991" t="inlineStr">
        <is>
          <t>UKPN</t>
        </is>
      </c>
      <c r="R1991" t="b">
        <v>0</v>
      </c>
    </row>
    <row r="1992">
      <c r="A1992" t="inlineStr">
        <is>
          <t>5 Nov 2025 / 7186 Eastwoodbury Tree Services Ltd / Utilities / UKPN</t>
        </is>
      </c>
      <c r="B1992" t="inlineStr">
        <is>
          <t>Utilities</t>
        </is>
      </c>
      <c r="C1992" t="inlineStr">
        <is>
          <t>UKPN</t>
        </is>
      </c>
      <c r="D1992" t="inlineStr">
        <is>
          <t>4x4 - Land rover  - Defender  - WF13 EKT</t>
        </is>
      </c>
      <c r="E1992" t="inlineStr">
        <is>
          <t>4x4 - Land rover  - Defender  - WF13 EKT</t>
        </is>
      </c>
      <c r="F1992" t="inlineStr">
        <is>
          <t>4x4 - Land rover  - Defender  - WF13 EKT</t>
        </is>
      </c>
      <c r="G1992" t="inlineStr">
        <is>
          <t xml:space="preserve">Tom price </t>
        </is>
      </c>
      <c r="H1992" t="inlineStr">
        <is>
          <t>4x4</t>
        </is>
      </c>
      <c r="I1992" t="inlineStr">
        <is>
          <t>Daily/ Weekly Vehicle Inspection</t>
        </is>
      </c>
      <c r="J1992" t="inlineStr">
        <is>
          <t>N/A</t>
        </is>
      </c>
      <c r="K1992" t="inlineStr">
        <is>
          <t>7186 Eastwoodbury Tree Services Ltd</t>
        </is>
      </c>
      <c r="L1992" t="inlineStr">
        <is>
          <t>05/11/2025 07:32</t>
        </is>
      </c>
      <c r="M1992" t="inlineStr">
        <is>
          <t>None</t>
        </is>
      </c>
      <c r="N1992" t="inlineStr">
        <is>
          <t>&lt;p&gt;&lt;/p&gt;</t>
        </is>
      </c>
      <c r="O1992" t="inlineStr"/>
      <c r="P1992" t="inlineStr">
        <is>
          <t>4x4 - Land rover  - Defender  - WF13 EKT</t>
        </is>
      </c>
      <c r="Q1992" t="inlineStr">
        <is>
          <t>UKPN</t>
        </is>
      </c>
      <c r="R1992" t="b">
        <v>0</v>
      </c>
    </row>
    <row r="1993">
      <c r="A1993" t="inlineStr">
        <is>
          <t>5 Nov 2025 / 7186 Eastwoodbury Tree Services Ltd / Utilities / UKPN</t>
        </is>
      </c>
      <c r="B1993" t="inlineStr">
        <is>
          <t>Utilities</t>
        </is>
      </c>
      <c r="C1993" t="inlineStr">
        <is>
          <t>UKPN</t>
        </is>
      </c>
      <c r="D1993" t="inlineStr">
        <is>
          <t>DN61XKJ , Tipper , Ford , Transit</t>
        </is>
      </c>
      <c r="E1993" t="inlineStr">
        <is>
          <t>DN61XKJ , Tipper , Ford , Transit</t>
        </is>
      </c>
      <c r="F1993" t="inlineStr">
        <is>
          <t>DN61XKJ , Tipper , Ford , Transit</t>
        </is>
      </c>
      <c r="G1993" t="inlineStr">
        <is>
          <t xml:space="preserve">Jay Denkmayer </t>
        </is>
      </c>
      <c r="H1993" t="inlineStr">
        <is>
          <t>Tipper</t>
        </is>
      </c>
      <c r="I1993" t="inlineStr">
        <is>
          <t>Daily/ Weekly Vehicle Inspection</t>
        </is>
      </c>
      <c r="J1993" t="inlineStr">
        <is>
          <t>N/A</t>
        </is>
      </c>
      <c r="K1993" t="inlineStr">
        <is>
          <t>7186 Eastwoodbury Tree Services Ltd</t>
        </is>
      </c>
      <c r="L1993" t="inlineStr">
        <is>
          <t>05/11/2025 07:33</t>
        </is>
      </c>
      <c r="M1993" t="inlineStr">
        <is>
          <t>None</t>
        </is>
      </c>
      <c r="N1993" t="inlineStr">
        <is>
          <t>&lt;p&gt;&lt;/p&gt;</t>
        </is>
      </c>
      <c r="O1993" t="inlineStr"/>
      <c r="P1993" t="inlineStr">
        <is>
          <t>DN61XKJ , Tipper , Ford , Transit</t>
        </is>
      </c>
      <c r="Q1993" t="inlineStr">
        <is>
          <t>UKPN</t>
        </is>
      </c>
      <c r="R1993" t="b">
        <v>0</v>
      </c>
    </row>
    <row r="1994">
      <c r="A1994" t="inlineStr">
        <is>
          <t>5 Nov 2025 / 7806 Optimum Tree Services Ltd / Utilities / UKPN</t>
        </is>
      </c>
      <c r="B1994" t="inlineStr">
        <is>
          <t>Utilities</t>
        </is>
      </c>
      <c r="C1994" t="inlineStr">
        <is>
          <t>UKPN</t>
        </is>
      </c>
      <c r="D1994" t="inlineStr">
        <is>
          <t>SA9TAPLAF27414263 , Trailer , Tow Mate , Plant Trailer</t>
        </is>
      </c>
      <c r="E1994" t="inlineStr">
        <is>
          <t>SA9TAPLAF27414263 , Trailer , Tow Mate , Plant Trailer</t>
        </is>
      </c>
      <c r="F1994" t="inlineStr">
        <is>
          <t>SA9TAPLAF27414263 , Trailer , Tow Mate , Plant Trailer</t>
        </is>
      </c>
      <c r="G1994" t="inlineStr">
        <is>
          <t xml:space="preserve">Abraham Davies </t>
        </is>
      </c>
      <c r="H1994" t="inlineStr">
        <is>
          <t>Plant Trailer</t>
        </is>
      </c>
      <c r="I1994" t="inlineStr">
        <is>
          <t>Daily/ Weekly Vehicle Inspection</t>
        </is>
      </c>
      <c r="J1994" t="inlineStr">
        <is>
          <t>N/A</t>
        </is>
      </c>
      <c r="K1994" t="inlineStr">
        <is>
          <t>7806 Optimum Tree Services Ltd</t>
        </is>
      </c>
      <c r="L1994" t="inlineStr">
        <is>
          <t>05/11/2025 07:33</t>
        </is>
      </c>
      <c r="M1994" t="inlineStr">
        <is>
          <t>None</t>
        </is>
      </c>
      <c r="N1994" t="inlineStr">
        <is>
          <t>&lt;p&gt;&lt;/p&gt;</t>
        </is>
      </c>
      <c r="O1994" t="inlineStr"/>
      <c r="P1994" t="inlineStr">
        <is>
          <t>SA9TAPLAF27414263 , Trailer , Tow Mate , Plant Trailer</t>
        </is>
      </c>
      <c r="Q1994" t="inlineStr">
        <is>
          <t>UKPN</t>
        </is>
      </c>
      <c r="R1994" t="b">
        <v>0</v>
      </c>
    </row>
    <row r="1995">
      <c r="A1995" t="inlineStr">
        <is>
          <t>5 Nov 2025 / 7186 Eastwoodbury Tree Services Ltd / Utilities / UKPN</t>
        </is>
      </c>
      <c r="B1995" t="inlineStr">
        <is>
          <t>Utilities</t>
        </is>
      </c>
      <c r="C1995" t="inlineStr">
        <is>
          <t>UKPN</t>
        </is>
      </c>
      <c r="D1995" t="inlineStr">
        <is>
          <t>4x4 - Land rover  - Defenders  - WF13 EKM</t>
        </is>
      </c>
      <c r="E1995" t="inlineStr">
        <is>
          <t>4x4 - Land rover  - Defenders  - WF13 EKM</t>
        </is>
      </c>
      <c r="F1995" t="inlineStr">
        <is>
          <t>4x4 - Land rover  - Defenders  - WF13 EKM</t>
        </is>
      </c>
      <c r="G1995" t="inlineStr">
        <is>
          <t xml:space="preserve">Dan Gilbert </t>
        </is>
      </c>
      <c r="H1995" t="inlineStr">
        <is>
          <t>4x4</t>
        </is>
      </c>
      <c r="I1995" t="inlineStr">
        <is>
          <t>Daily/ Weekly Vehicle Inspection</t>
        </is>
      </c>
      <c r="J1995" t="inlineStr">
        <is>
          <t>N/A</t>
        </is>
      </c>
      <c r="K1995" t="inlineStr">
        <is>
          <t>7186 Eastwoodbury Tree Services Ltd</t>
        </is>
      </c>
      <c r="L1995" t="inlineStr">
        <is>
          <t>05/11/2025 07:34</t>
        </is>
      </c>
      <c r="M1995" t="inlineStr">
        <is>
          <t>None</t>
        </is>
      </c>
      <c r="N1995" t="inlineStr">
        <is>
          <t>&lt;p&gt;&lt;/p&gt;</t>
        </is>
      </c>
      <c r="O1995" t="inlineStr"/>
      <c r="P1995" t="inlineStr">
        <is>
          <t>4x4 - Land rover  - Defenders  - WF13 EKM</t>
        </is>
      </c>
      <c r="Q1995" t="inlineStr">
        <is>
          <t>UKPN</t>
        </is>
      </c>
      <c r="R1995" t="b">
        <v>0</v>
      </c>
    </row>
    <row r="1996">
      <c r="A1996" t="inlineStr">
        <is>
          <t>5 Nov 2025 / 7806 Optimum Tree Services Ltd / Utilities / UKPN</t>
        </is>
      </c>
      <c r="B1996" t="inlineStr">
        <is>
          <t>Utilities</t>
        </is>
      </c>
      <c r="C1996" t="inlineStr">
        <is>
          <t>UKPN</t>
        </is>
      </c>
      <c r="D1996" t="inlineStr">
        <is>
          <t>4x4 - Landrover  - Defender  - Wd14evn</t>
        </is>
      </c>
      <c r="E1996" t="inlineStr">
        <is>
          <t>4x4 - Landrover  - Defender  - Wd14evn</t>
        </is>
      </c>
      <c r="F1996" t="inlineStr">
        <is>
          <t>4x4 - Landrover  - Defender  - Wd14evn</t>
        </is>
      </c>
      <c r="G1996" t="inlineStr">
        <is>
          <t xml:space="preserve">Abraham Davies </t>
        </is>
      </c>
      <c r="H1996" t="inlineStr">
        <is>
          <t>4x4</t>
        </is>
      </c>
      <c r="I1996" t="inlineStr">
        <is>
          <t>Daily/ Weekly Vehicle Inspection</t>
        </is>
      </c>
      <c r="J1996" t="inlineStr">
        <is>
          <t>N/A</t>
        </is>
      </c>
      <c r="K1996" t="inlineStr">
        <is>
          <t>7806 Optimum Tree Services Ltd</t>
        </is>
      </c>
      <c r="L1996" t="inlineStr">
        <is>
          <t>05/11/2025 07:35</t>
        </is>
      </c>
      <c r="M1996" t="inlineStr">
        <is>
          <t>None</t>
        </is>
      </c>
      <c r="N1996" t="inlineStr">
        <is>
          <t>&lt;p&gt;&lt;/p&gt;</t>
        </is>
      </c>
      <c r="O1996" t="inlineStr"/>
      <c r="P1996" t="inlineStr">
        <is>
          <t>4x4 - Landrover  - Defender  - Wd14evn</t>
        </is>
      </c>
      <c r="Q1996" t="inlineStr">
        <is>
          <t>UKPN</t>
        </is>
      </c>
      <c r="R1996" t="b">
        <v>0</v>
      </c>
    </row>
    <row r="1997">
      <c r="A1997" t="inlineStr">
        <is>
          <t>5 Nov 2025 / 7186 Eastwoodbury Tree Services Ltd / Utilities / UKPN</t>
        </is>
      </c>
      <c r="B1997" t="inlineStr">
        <is>
          <t>Utilities</t>
        </is>
      </c>
      <c r="C1997" t="inlineStr">
        <is>
          <t>UKPN</t>
        </is>
      </c>
      <c r="D1997" t="inlineStr"/>
      <c r="E1997" t="inlineStr"/>
      <c r="F1997" t="inlineStr"/>
      <c r="G1997" t="inlineStr"/>
      <c r="H1997" t="inlineStr"/>
      <c r="I1997" t="inlineStr">
        <is>
          <t>Add to Vehicle to the GC Vehicle List</t>
        </is>
      </c>
      <c r="J1997" t="inlineStr">
        <is>
          <t>N/A</t>
        </is>
      </c>
      <c r="K1997" t="inlineStr">
        <is>
          <t>7186 Eastwoodbury Tree Services Ltd</t>
        </is>
      </c>
      <c r="L1997" t="inlineStr">
        <is>
          <t>05/11/2025 07:36</t>
        </is>
      </c>
      <c r="M1997" t="inlineStr">
        <is>
          <t>None</t>
        </is>
      </c>
      <c r="N1997" t="inlineStr">
        <is>
          <t>&lt;p&gt;&lt;/p&gt;</t>
        </is>
      </c>
      <c r="O1997" t="inlineStr"/>
      <c r="P1997" t="inlineStr"/>
      <c r="Q1997" t="inlineStr">
        <is>
          <t>UKPN</t>
        </is>
      </c>
      <c r="R1997" t="b">
        <v>0</v>
      </c>
    </row>
    <row r="1998">
      <c r="A1998" t="inlineStr">
        <is>
          <t>5 Nov 2025 / Anthony Gale / Utilities / UKPN</t>
        </is>
      </c>
      <c r="B1998" t="inlineStr">
        <is>
          <t>Utilities</t>
        </is>
      </c>
      <c r="C1998" t="inlineStr">
        <is>
          <t>UKPN</t>
        </is>
      </c>
      <c r="D1998" t="inlineStr">
        <is>
          <t>PE07 HGL , Vehicle , Mitsubishi , L200 K74</t>
        </is>
      </c>
      <c r="E1998" t="inlineStr">
        <is>
          <t>PE07 HGL , Vehicle , Mitsubishi , L200 K74</t>
        </is>
      </c>
      <c r="F1998" t="inlineStr">
        <is>
          <t>PE07 HGL , Vehicle , Mitsubishi , L200 K74</t>
        </is>
      </c>
      <c r="G1998" t="inlineStr">
        <is>
          <t>Anthony Gale</t>
        </is>
      </c>
      <c r="H1998" t="inlineStr">
        <is>
          <t>Pickup Truck</t>
        </is>
      </c>
      <c r="I1998" t="inlineStr">
        <is>
          <t>Daily/ Weekly Vehicle Inspection</t>
        </is>
      </c>
      <c r="J1998" t="inlineStr">
        <is>
          <t>N/A</t>
        </is>
      </c>
      <c r="K1998" t="inlineStr">
        <is>
          <t>7996 M G Tree Surgery Ltd 1</t>
        </is>
      </c>
      <c r="L1998" t="inlineStr">
        <is>
          <t>05/11/2025 07:38</t>
        </is>
      </c>
      <c r="M1998" t="inlineStr">
        <is>
          <t>None</t>
        </is>
      </c>
      <c r="N1998" t="inlineStr">
        <is>
          <t>&lt;p&gt;&lt;/p&gt;</t>
        </is>
      </c>
      <c r="O1998" t="inlineStr">
        <is>
          <t>Type of vehicle:Drivers side wheel trim deteriorating.
Safe for now.
Monitor.</t>
        </is>
      </c>
      <c r="P1998" t="inlineStr">
        <is>
          <t>PE07 HGL , Vehicle , Mitsubishi , L200 K74</t>
        </is>
      </c>
      <c r="Q1998" t="inlineStr">
        <is>
          <t>UKPN</t>
        </is>
      </c>
      <c r="R1998" t="b">
        <v>0</v>
      </c>
    </row>
    <row r="1999">
      <c r="A1999" t="inlineStr">
        <is>
          <t>5 Nov 2025 / Anthony Gale / Utilities / UKPN</t>
        </is>
      </c>
      <c r="B1999" t="inlineStr">
        <is>
          <t>Utilities</t>
        </is>
      </c>
      <c r="C1999" t="inlineStr">
        <is>
          <t>UKPN</t>
        </is>
      </c>
      <c r="D1999" t="inlineStr"/>
      <c r="E1999" t="inlineStr"/>
      <c r="F1999" t="inlineStr"/>
      <c r="G1999" t="inlineStr">
        <is>
          <t>Anthony Gale</t>
        </is>
      </c>
      <c r="H1999" t="inlineStr">
        <is>
          <t>Towed Chipper</t>
        </is>
      </c>
      <c r="I1999" t="inlineStr">
        <is>
          <t>Daily/ Weekly Vehicle Inspection</t>
        </is>
      </c>
      <c r="J1999" t="inlineStr">
        <is>
          <t>N/A</t>
        </is>
      </c>
      <c r="K1999" t="inlineStr">
        <is>
          <t>7996 M G Tree Surgery Ltd 1</t>
        </is>
      </c>
      <c r="L1999" t="inlineStr">
        <is>
          <t>05/11/2025 07:38</t>
        </is>
      </c>
      <c r="M1999" t="inlineStr">
        <is>
          <t>None</t>
        </is>
      </c>
      <c r="N1999" t="inlineStr">
        <is>
          <t>&lt;p&gt;&lt;/p&gt;</t>
        </is>
      </c>
      <c r="O1999" t="inlineStr"/>
      <c r="P1999" t="inlineStr"/>
      <c r="Q1999" t="inlineStr">
        <is>
          <t>UKPN</t>
        </is>
      </c>
      <c r="R1999" t="b">
        <v>0</v>
      </c>
    </row>
    <row r="2000">
      <c r="A2000" t="inlineStr">
        <is>
          <t>5 Nov 2025 / 7800 MAC Tree Surgery and Fencing Ltd / Utilities / UKPN</t>
        </is>
      </c>
      <c r="B2000" t="inlineStr">
        <is>
          <t>Utilities</t>
        </is>
      </c>
      <c r="C2000" t="inlineStr">
        <is>
          <t>UKPN</t>
        </is>
      </c>
      <c r="D2000" t="inlineStr">
        <is>
          <t>Plant Trailer - Towmate - 2.8t - 0</t>
        </is>
      </c>
      <c r="E2000" t="inlineStr">
        <is>
          <t>Plant Trailer - Towmate - 2.8t - 0</t>
        </is>
      </c>
      <c r="F2000" t="inlineStr">
        <is>
          <t>Plant Trailer - Towmate - 2.8t - 0</t>
        </is>
      </c>
      <c r="G2000" t="inlineStr">
        <is>
          <t xml:space="preserve">Patrick O'Shea </t>
        </is>
      </c>
      <c r="H2000" t="inlineStr">
        <is>
          <t>Plant Trailer</t>
        </is>
      </c>
      <c r="I2000" t="inlineStr">
        <is>
          <t>Daily/ Weekly Vehicle Inspection</t>
        </is>
      </c>
      <c r="J2000" t="inlineStr">
        <is>
          <t>N/A</t>
        </is>
      </c>
      <c r="K2000" t="inlineStr">
        <is>
          <t>7800 MAC Tree Surgery and Fencing Ltd</t>
        </is>
      </c>
      <c r="L2000" t="inlineStr">
        <is>
          <t>05/11/2025 07:39</t>
        </is>
      </c>
      <c r="M2000" t="inlineStr">
        <is>
          <t>None</t>
        </is>
      </c>
      <c r="N2000" t="inlineStr">
        <is>
          <t>&lt;p&gt;&lt;/p&gt;</t>
        </is>
      </c>
      <c r="O2000" t="inlineStr"/>
      <c r="P2000" t="inlineStr">
        <is>
          <t>Plant Trailer - Towmate - 2.8t - 0</t>
        </is>
      </c>
      <c r="Q2000" t="inlineStr">
        <is>
          <t>UKPN</t>
        </is>
      </c>
      <c r="R2000" t="b">
        <v>0</v>
      </c>
    </row>
    <row r="2001">
      <c r="A2001" t="inlineStr">
        <is>
          <t>5 Nov 2025 / 7800 MAC Tree Surgery and Fencing Ltd / Utilities / UKPN</t>
        </is>
      </c>
      <c r="B2001" t="inlineStr">
        <is>
          <t>Utilities</t>
        </is>
      </c>
      <c r="C2001" t="inlineStr">
        <is>
          <t>UKPN</t>
        </is>
      </c>
      <c r="D2001" t="inlineStr">
        <is>
          <t>AY68DAA , 4x4 , Izuzu , Dmax</t>
        </is>
      </c>
      <c r="E2001" t="inlineStr">
        <is>
          <t>AY68DAA , 4x4 , Izuzu , Dmax</t>
        </is>
      </c>
      <c r="F2001" t="inlineStr">
        <is>
          <t>AY68DAA , 4x4 , Izuzu , Dmax</t>
        </is>
      </c>
      <c r="G2001" t="inlineStr">
        <is>
          <t xml:space="preserve">Patrick O'Shea </t>
        </is>
      </c>
      <c r="H2001" t="inlineStr">
        <is>
          <t>4x4</t>
        </is>
      </c>
      <c r="I2001" t="inlineStr">
        <is>
          <t>Daily/ Weekly Vehicle Inspection</t>
        </is>
      </c>
      <c r="J2001" t="inlineStr">
        <is>
          <t>N/A</t>
        </is>
      </c>
      <c r="K2001" t="inlineStr">
        <is>
          <t>7800 MAC Tree Surgery and Fencing Ltd</t>
        </is>
      </c>
      <c r="L2001" t="inlineStr">
        <is>
          <t>05/11/2025 07:40</t>
        </is>
      </c>
      <c r="M2001" t="inlineStr">
        <is>
          <t>None</t>
        </is>
      </c>
      <c r="N2001" t="inlineStr">
        <is>
          <t>&lt;p&gt;&lt;/p&gt;</t>
        </is>
      </c>
      <c r="O2001" t="inlineStr"/>
      <c r="P2001" t="inlineStr">
        <is>
          <t>AY68DAA , 4x4 , Izuzu , Dmax</t>
        </is>
      </c>
      <c r="Q2001" t="inlineStr">
        <is>
          <t>UKPN</t>
        </is>
      </c>
      <c r="R2001" t="b">
        <v>0</v>
      </c>
    </row>
    <row r="2002">
      <c r="A2002" t="inlineStr">
        <is>
          <t>5 Nov 2025 / Thomas Playford / Utilities / UKPN</t>
        </is>
      </c>
      <c r="B2002" t="inlineStr">
        <is>
          <t>Utilities</t>
        </is>
      </c>
      <c r="C2002" t="inlineStr">
        <is>
          <t>UKPN</t>
        </is>
      </c>
      <c r="D2002" t="inlineStr">
        <is>
          <t>Equipment Trailer - I For Williams Custom - Chipper Trailer - 47336638</t>
        </is>
      </c>
      <c r="E2002" t="inlineStr">
        <is>
          <t>Equipment Trailer - I For Williams Custom - Chipper Trailer - 47336638</t>
        </is>
      </c>
      <c r="F2002" t="inlineStr">
        <is>
          <t>Equipment Trailer - I For Williams Custom - Chipper Trailer - 47336638</t>
        </is>
      </c>
      <c r="G2002" t="inlineStr">
        <is>
          <t>Jacob Oram</t>
        </is>
      </c>
      <c r="H2002" t="inlineStr">
        <is>
          <t>Plant Trailer</t>
        </is>
      </c>
      <c r="I2002" t="inlineStr">
        <is>
          <t>Daily/ Weekly Vehicle Inspection</t>
        </is>
      </c>
      <c r="J2002" t="inlineStr">
        <is>
          <t>N/A</t>
        </is>
      </c>
      <c r="K2002" t="inlineStr">
        <is>
          <t>7995 Contour Landscapes Ltd 2</t>
        </is>
      </c>
      <c r="L2002" t="inlineStr">
        <is>
          <t>05/11/2025 08:36</t>
        </is>
      </c>
      <c r="M2002" t="inlineStr">
        <is>
          <t>None</t>
        </is>
      </c>
      <c r="N2002" t="inlineStr">
        <is>
          <t>&lt;p&gt;&lt;/p&gt;</t>
        </is>
      </c>
      <c r="O2002" t="inlineStr"/>
      <c r="P2002" t="inlineStr">
        <is>
          <t>Equipment Trailer - I For Williams Custom - Chipper Trailer - 47336638</t>
        </is>
      </c>
      <c r="Q2002" t="inlineStr">
        <is>
          <t>UKPN</t>
        </is>
      </c>
      <c r="R2002" t="b">
        <v>0</v>
      </c>
    </row>
    <row r="2003">
      <c r="A2003" t="inlineStr">
        <is>
          <t>5 Nov 2025 / Thomas Playford / Utilities / UKPN</t>
        </is>
      </c>
      <c r="B2003" t="inlineStr">
        <is>
          <t>Utilities</t>
        </is>
      </c>
      <c r="C2003" t="inlineStr">
        <is>
          <t>UKPN</t>
        </is>
      </c>
      <c r="D2003" t="inlineStr">
        <is>
          <t>YP24 WRD , Vehicle , Ford , Ranger</t>
        </is>
      </c>
      <c r="E2003" t="inlineStr">
        <is>
          <t>YP24 WRD , Vehicle , Ford , Ranger</t>
        </is>
      </c>
      <c r="F2003" t="inlineStr">
        <is>
          <t>YP24 WRD , Vehicle , Ford , Ranger</t>
        </is>
      </c>
      <c r="G2003" t="inlineStr">
        <is>
          <t>Jacob Oram</t>
        </is>
      </c>
      <c r="H2003" t="inlineStr">
        <is>
          <t>4x4</t>
        </is>
      </c>
      <c r="I2003" t="inlineStr">
        <is>
          <t>Daily/ Weekly Vehicle Inspection</t>
        </is>
      </c>
      <c r="J2003" t="inlineStr">
        <is>
          <t>N/A</t>
        </is>
      </c>
      <c r="K2003" t="inlineStr">
        <is>
          <t>7995 Contour Landscapes Ltd 2</t>
        </is>
      </c>
      <c r="L2003" t="inlineStr">
        <is>
          <t>05/11/2025 08:36</t>
        </is>
      </c>
      <c r="M2003" t="inlineStr">
        <is>
          <t>None</t>
        </is>
      </c>
      <c r="N2003" t="inlineStr">
        <is>
          <t>&lt;p&gt;&lt;/p&gt;</t>
        </is>
      </c>
      <c r="O2003" t="inlineStr"/>
      <c r="P2003" t="inlineStr">
        <is>
          <t>YP24 WRD , Vehicle , Ford , Ranger</t>
        </is>
      </c>
      <c r="Q2003" t="inlineStr">
        <is>
          <t>UKPN</t>
        </is>
      </c>
      <c r="R2003" t="b">
        <v>0</v>
      </c>
    </row>
    <row r="2004">
      <c r="A2004" t="inlineStr">
        <is>
          <t>5 Nov 2025 / 7889 Tree Tech Suffolk Ltd</t>
        </is>
      </c>
      <c r="B2004" t="inlineStr">
        <is>
          <t>Utilities &amp; Inland Waterways</t>
        </is>
      </c>
      <c r="C2004" t="inlineStr">
        <is>
          <t>UKPN</t>
        </is>
      </c>
      <c r="D2004" t="inlineStr">
        <is>
          <t>Tow Chipper - Jenson - A530L - 55210639484x4 - Isuzu - D-max - NS03 TTSTipper - Nissan - Navara - NS02TTS</t>
        </is>
      </c>
      <c r="E2004" t="inlineStr">
        <is>
          <t>Tow Chipper - Jenson - A530L - 55210639484x4 - Isuzu - D-max - NS03 TTSTipper - Nissan - Navara - NS02TTS</t>
        </is>
      </c>
      <c r="F2004" t="inlineStr">
        <is>
          <t>Tow Chipper - Jenson - A530L - 55210639484x4 - Isuzu - D-max - NS03 TTSTipper - Nissan - Navara - NS02TTS</t>
        </is>
      </c>
      <c r="G2004" t="inlineStr">
        <is>
          <t xml:space="preserve">Nikki sparrow Danny Appleby Nikki sparrow </t>
        </is>
      </c>
      <c r="H2004" t="inlineStr">
        <is>
          <t>Towed Chipper4x4Tipper</t>
        </is>
      </c>
      <c r="I2004" t="inlineStr">
        <is>
          <t>Daily/ Weekly Vehicle Inspection</t>
        </is>
      </c>
      <c r="J2004" t="inlineStr">
        <is>
          <t>N/A</t>
        </is>
      </c>
      <c r="K2004" t="inlineStr">
        <is>
          <t>7889 Tree Tech Suffolk Ltd</t>
        </is>
      </c>
      <c r="L2004" t="inlineStr">
        <is>
          <t>05/11/2025 08:38</t>
        </is>
      </c>
      <c r="M2004" t="inlineStr">
        <is>
          <t>None</t>
        </is>
      </c>
      <c r="N2004" t="inlineStr">
        <is>
          <t>&lt;p&gt;&lt;/p&gt;</t>
        </is>
      </c>
      <c r="O2004" t="inlineStr"/>
      <c r="P2004" t="inlineStr">
        <is>
          <t>Tow Chipper - Jenson - A530L - 55210639484x4 - Isuzu - D-max - NS03 TTSTipper - Nissan - Navara - NS02TTS</t>
        </is>
      </c>
      <c r="Q2004" t="inlineStr">
        <is>
          <t>UKPN</t>
        </is>
      </c>
      <c r="R2004" t="b">
        <v>0</v>
      </c>
    </row>
    <row r="2005">
      <c r="A2005" t="inlineStr">
        <is>
          <t>6 Nov 2025 / 7800 MAC Tree Surgery and Fencing Ltd / Utilities / UKPN</t>
        </is>
      </c>
      <c r="B2005" t="inlineStr">
        <is>
          <t>Utilities</t>
        </is>
      </c>
      <c r="C2005" t="inlineStr">
        <is>
          <t>UKPN</t>
        </is>
      </c>
      <c r="D2005" t="inlineStr">
        <is>
          <t>Plant Trailer - Towmate - 2.8t - 0</t>
        </is>
      </c>
      <c r="E2005" t="inlineStr">
        <is>
          <t>Plant Trailer - Towmate - 2.8t - 0</t>
        </is>
      </c>
      <c r="F2005" t="inlineStr">
        <is>
          <t>Plant Trailer - Towmate - 2.8t - 0</t>
        </is>
      </c>
      <c r="G2005" t="inlineStr">
        <is>
          <t xml:space="preserve">Patrick O'Shea </t>
        </is>
      </c>
      <c r="H2005" t="inlineStr">
        <is>
          <t>Plant Trailer</t>
        </is>
      </c>
      <c r="I2005" t="inlineStr">
        <is>
          <t>Daily/ Weekly Vehicle Inspection</t>
        </is>
      </c>
      <c r="J2005" t="inlineStr">
        <is>
          <t>N/A</t>
        </is>
      </c>
      <c r="K2005" t="inlineStr">
        <is>
          <t>7800 MAC Tree Surgery and Fencing Ltd</t>
        </is>
      </c>
      <c r="L2005" t="inlineStr">
        <is>
          <t>06/11/2025 07:31</t>
        </is>
      </c>
      <c r="M2005" t="inlineStr">
        <is>
          <t>None</t>
        </is>
      </c>
      <c r="N2005" t="inlineStr">
        <is>
          <t>&lt;p&gt;&lt;/p&gt;</t>
        </is>
      </c>
      <c r="O2005" t="inlineStr"/>
      <c r="P2005" t="inlineStr">
        <is>
          <t>Plant Trailer - Towmate - 2.8t - 0</t>
        </is>
      </c>
      <c r="Q2005" t="inlineStr">
        <is>
          <t>UKPN</t>
        </is>
      </c>
      <c r="R2005" t="b">
        <v>0</v>
      </c>
    </row>
    <row r="2006">
      <c r="A2006" t="inlineStr">
        <is>
          <t>6 Nov 2025 / 7800 MAC Tree Surgery and Fencing Ltd / Utilities / UKPN</t>
        </is>
      </c>
      <c r="B2006" t="inlineStr">
        <is>
          <t>Utilities</t>
        </is>
      </c>
      <c r="C2006" t="inlineStr">
        <is>
          <t>UKPN</t>
        </is>
      </c>
      <c r="D2006" t="inlineStr">
        <is>
          <t>AY68DAA , 4x4 , Izuzu , Dmax</t>
        </is>
      </c>
      <c r="E2006" t="inlineStr">
        <is>
          <t>AY68DAA , 4x4 , Izuzu , Dmax</t>
        </is>
      </c>
      <c r="F2006" t="inlineStr">
        <is>
          <t>AY68DAA , 4x4 , Izuzu , Dmax</t>
        </is>
      </c>
      <c r="G2006" t="inlineStr">
        <is>
          <t xml:space="preserve">Patrick O'Shea </t>
        </is>
      </c>
      <c r="H2006" t="inlineStr">
        <is>
          <t>4x4</t>
        </is>
      </c>
      <c r="I2006" t="inlineStr">
        <is>
          <t>Daily/ Weekly Vehicle Inspection</t>
        </is>
      </c>
      <c r="J2006" t="inlineStr">
        <is>
          <t>N/A</t>
        </is>
      </c>
      <c r="K2006" t="inlineStr">
        <is>
          <t>7800 MAC Tree Surgery and Fencing Ltd</t>
        </is>
      </c>
      <c r="L2006" t="inlineStr">
        <is>
          <t>06/11/2025 07:32</t>
        </is>
      </c>
      <c r="M2006" t="inlineStr">
        <is>
          <t>None</t>
        </is>
      </c>
      <c r="N2006" t="inlineStr">
        <is>
          <t>&lt;p&gt;&lt;/p&gt;</t>
        </is>
      </c>
      <c r="O2006" t="inlineStr"/>
      <c r="P2006" t="inlineStr">
        <is>
          <t>AY68DAA , 4x4 , Izuzu , Dmax</t>
        </is>
      </c>
      <c r="Q2006" t="inlineStr">
        <is>
          <t>UKPN</t>
        </is>
      </c>
      <c r="R2006" t="b">
        <v>0</v>
      </c>
    </row>
    <row r="2007">
      <c r="A2007" t="inlineStr">
        <is>
          <t>6 Nov 2025 / Anthony Gale / Utilities / UKPN</t>
        </is>
      </c>
      <c r="B2007" t="inlineStr">
        <is>
          <t>Utilities</t>
        </is>
      </c>
      <c r="C2007" t="inlineStr">
        <is>
          <t>UKPN</t>
        </is>
      </c>
      <c r="D2007" t="inlineStr">
        <is>
          <t>PE07 HGL , Vehicle , Mitsubishi , L200 K74</t>
        </is>
      </c>
      <c r="E2007" t="inlineStr">
        <is>
          <t>PE07 HGL , Vehicle , Mitsubishi , L200 K74</t>
        </is>
      </c>
      <c r="F2007" t="inlineStr">
        <is>
          <t>PE07 HGL , Vehicle , Mitsubishi , L200 K74</t>
        </is>
      </c>
      <c r="G2007" t="inlineStr">
        <is>
          <t>Anthony Gale</t>
        </is>
      </c>
      <c r="H2007" t="inlineStr">
        <is>
          <t>Pickup Truck</t>
        </is>
      </c>
      <c r="I2007" t="inlineStr">
        <is>
          <t>Daily/ Weekly Vehicle Inspection</t>
        </is>
      </c>
      <c r="J2007" t="inlineStr">
        <is>
          <t>N/A</t>
        </is>
      </c>
      <c r="K2007" t="inlineStr">
        <is>
          <t>7996 M G Tree Surgery Ltd 1</t>
        </is>
      </c>
      <c r="L2007" t="inlineStr">
        <is>
          <t>06/11/2025 07:33</t>
        </is>
      </c>
      <c r="M2007" t="inlineStr">
        <is>
          <t>None</t>
        </is>
      </c>
      <c r="N2007" t="inlineStr">
        <is>
          <t>&lt;p&gt;&lt;/p&gt;</t>
        </is>
      </c>
      <c r="O2007" t="inlineStr">
        <is>
          <t>Type of vehicle:Drivers side wheel trim deteriorating, safe for now.
Monitor.</t>
        </is>
      </c>
      <c r="P2007" t="inlineStr">
        <is>
          <t>PE07 HGL , Vehicle , Mitsubishi , L200 K74</t>
        </is>
      </c>
      <c r="Q2007" t="inlineStr">
        <is>
          <t>UKPN</t>
        </is>
      </c>
      <c r="R2007" t="b">
        <v>0</v>
      </c>
    </row>
    <row r="2008">
      <c r="A2008" t="inlineStr">
        <is>
          <t>6 Nov 2025 / Anthony Gale / Utilities / UKPN</t>
        </is>
      </c>
      <c r="B2008" t="inlineStr">
        <is>
          <t>Utilities</t>
        </is>
      </c>
      <c r="C2008" t="inlineStr">
        <is>
          <t>UKPN</t>
        </is>
      </c>
      <c r="D2008" t="inlineStr"/>
      <c r="E2008" t="inlineStr"/>
      <c r="F2008" t="inlineStr"/>
      <c r="G2008" t="inlineStr">
        <is>
          <t xml:space="preserve">Anthony Gale </t>
        </is>
      </c>
      <c r="H2008" t="inlineStr">
        <is>
          <t>Towed Chipper</t>
        </is>
      </c>
      <c r="I2008" t="inlineStr">
        <is>
          <t>Daily/ Weekly Vehicle Inspection</t>
        </is>
      </c>
      <c r="J2008" t="inlineStr">
        <is>
          <t>N/A</t>
        </is>
      </c>
      <c r="K2008" t="inlineStr">
        <is>
          <t>7996 M G Tree Surgery Ltd 1</t>
        </is>
      </c>
      <c r="L2008" t="inlineStr">
        <is>
          <t>06/11/2025 07:34</t>
        </is>
      </c>
      <c r="M2008" t="inlineStr">
        <is>
          <t>None</t>
        </is>
      </c>
      <c r="N2008" t="inlineStr">
        <is>
          <t>&lt;p&gt;&lt;/p&gt;</t>
        </is>
      </c>
      <c r="O2008" t="inlineStr"/>
      <c r="P2008" t="inlineStr"/>
      <c r="Q2008" t="inlineStr">
        <is>
          <t>UKPN</t>
        </is>
      </c>
      <c r="R2008" t="b">
        <v>0</v>
      </c>
    </row>
    <row r="2009">
      <c r="A2009" t="inlineStr">
        <is>
          <t>6 Nov 2025 / 7806 Optimum Tree Services Ltd / Utilities / UKPN</t>
        </is>
      </c>
      <c r="B2009" t="inlineStr">
        <is>
          <t>Utilities</t>
        </is>
      </c>
      <c r="C2009" t="inlineStr">
        <is>
          <t>UKPN</t>
        </is>
      </c>
      <c r="D2009" t="inlineStr">
        <is>
          <t>Tipper - Ford  - Transit - Xt12ees</t>
        </is>
      </c>
      <c r="E2009" t="inlineStr">
        <is>
          <t>Tipper - Ford  - Transit - Xt12ees</t>
        </is>
      </c>
      <c r="F2009" t="inlineStr">
        <is>
          <t>Tipper - Ford  - Transit - Xt12ees</t>
        </is>
      </c>
      <c r="G2009" t="inlineStr">
        <is>
          <t xml:space="preserve">Lewis Davies </t>
        </is>
      </c>
      <c r="H2009" t="inlineStr">
        <is>
          <t>Tipper</t>
        </is>
      </c>
      <c r="I2009" t="inlineStr">
        <is>
          <t>Daily/ Weekly Vehicle Inspection</t>
        </is>
      </c>
      <c r="J2009" t="inlineStr">
        <is>
          <t>N/A</t>
        </is>
      </c>
      <c r="K2009" t="inlineStr">
        <is>
          <t>7806 Optimum Tree Services Ltd</t>
        </is>
      </c>
      <c r="L2009" t="inlineStr">
        <is>
          <t>06/11/2025 07:35</t>
        </is>
      </c>
      <c r="M2009" t="inlineStr">
        <is>
          <t>None</t>
        </is>
      </c>
      <c r="N2009" t="inlineStr">
        <is>
          <t>&lt;p&gt;&lt;/p&gt;</t>
        </is>
      </c>
      <c r="O2009" t="inlineStr"/>
      <c r="P2009" t="inlineStr">
        <is>
          <t>Tipper - Ford  - Transit - Xt12ees</t>
        </is>
      </c>
      <c r="Q2009" t="inlineStr">
        <is>
          <t>UKPN</t>
        </is>
      </c>
      <c r="R2009" t="b">
        <v>0</v>
      </c>
    </row>
    <row r="2010">
      <c r="A2010" t="inlineStr">
        <is>
          <t>6 Nov 2025 / 7806 Optimum Tree Services Ltd / Utilities / UKPN</t>
        </is>
      </c>
      <c r="B2010" t="inlineStr">
        <is>
          <t>Utilities</t>
        </is>
      </c>
      <c r="C2010" t="inlineStr">
        <is>
          <t>UKPN</t>
        </is>
      </c>
      <c r="D2010" t="inlineStr">
        <is>
          <t>SA9ST800000283069 , Chipper , Forst , ST 6P</t>
        </is>
      </c>
      <c r="E2010" t="inlineStr">
        <is>
          <t>SA9ST800000283069 , Chipper , Forst , ST 6P</t>
        </is>
      </c>
      <c r="F2010" t="inlineStr">
        <is>
          <t>SA9ST800000283069 , Chipper , Forst , ST 6P</t>
        </is>
      </c>
      <c r="G2010" t="inlineStr">
        <is>
          <t xml:space="preserve">Abraham Davies </t>
        </is>
      </c>
      <c r="H2010" t="inlineStr">
        <is>
          <t>Towed Chipper</t>
        </is>
      </c>
      <c r="I2010" t="inlineStr">
        <is>
          <t>Daily/ Weekly Vehicle Inspection</t>
        </is>
      </c>
      <c r="J2010" t="inlineStr">
        <is>
          <t>N/A</t>
        </is>
      </c>
      <c r="K2010" t="inlineStr">
        <is>
          <t>7806 Optimum Tree Services Ltd</t>
        </is>
      </c>
      <c r="L2010" t="inlineStr">
        <is>
          <t>06/11/2025 07:35</t>
        </is>
      </c>
      <c r="M2010" t="inlineStr">
        <is>
          <t>None</t>
        </is>
      </c>
      <c r="N2010" t="inlineStr">
        <is>
          <t>&lt;p&gt;&lt;/p&gt;</t>
        </is>
      </c>
      <c r="O2010" t="inlineStr"/>
      <c r="P2010" t="inlineStr">
        <is>
          <t>SA9ST800000283069 , Chipper , Forst , ST 6P</t>
        </is>
      </c>
      <c r="Q2010" t="inlineStr">
        <is>
          <t>UKPN</t>
        </is>
      </c>
      <c r="R2010" t="b">
        <v>0</v>
      </c>
    </row>
    <row r="2011">
      <c r="A2011" t="inlineStr">
        <is>
          <t>6 Nov 2025 / 7806 Optimum Tree Services Ltd / Utilities / UKPN</t>
        </is>
      </c>
      <c r="B2011" t="inlineStr">
        <is>
          <t>Utilities</t>
        </is>
      </c>
      <c r="C2011" t="inlineStr">
        <is>
          <t>UKPN</t>
        </is>
      </c>
      <c r="D2011" t="inlineStr">
        <is>
          <t>WD14EVB , MEWP , Land Rover , Defender</t>
        </is>
      </c>
      <c r="E2011" t="inlineStr">
        <is>
          <t>WD14EVB , MEWP , Land Rover , Defender</t>
        </is>
      </c>
      <c r="F2011" t="inlineStr">
        <is>
          <t>WD14EVB , MEWP , Land Rover , Defender</t>
        </is>
      </c>
      <c r="G2011" t="inlineStr">
        <is>
          <t xml:space="preserve">Abraham Davies </t>
        </is>
      </c>
      <c r="H2011" t="inlineStr">
        <is>
          <t>4x4</t>
        </is>
      </c>
      <c r="I2011" t="inlineStr">
        <is>
          <t>Daily/ Weekly Vehicle Inspection</t>
        </is>
      </c>
      <c r="J2011" t="inlineStr">
        <is>
          <t>N/A</t>
        </is>
      </c>
      <c r="K2011" t="inlineStr">
        <is>
          <t>7806 Optimum Tree Services Ltd</t>
        </is>
      </c>
      <c r="L2011" t="inlineStr">
        <is>
          <t>06/11/2025 07:37</t>
        </is>
      </c>
      <c r="M2011" t="inlineStr">
        <is>
          <t>None</t>
        </is>
      </c>
      <c r="N2011" t="inlineStr">
        <is>
          <t>&lt;p&gt;&lt;/p&gt;</t>
        </is>
      </c>
      <c r="O2011" t="inlineStr"/>
      <c r="P2011" t="inlineStr">
        <is>
          <t>WD14EVB , MEWP , Land Rover , Defender</t>
        </is>
      </c>
      <c r="Q2011" t="inlineStr">
        <is>
          <t>UKPN</t>
        </is>
      </c>
      <c r="R2011" t="b">
        <v>0</v>
      </c>
    </row>
    <row r="2012">
      <c r="A2012" t="inlineStr">
        <is>
          <t>6 Nov 2025 / 7186 Eastwoodbury Tree Services Ltd / Utilities / UKPN</t>
        </is>
      </c>
      <c r="B2012" t="inlineStr">
        <is>
          <t>Utilities</t>
        </is>
      </c>
      <c r="C2012" t="inlineStr">
        <is>
          <t>UKPN</t>
        </is>
      </c>
      <c r="D2012" t="inlineStr">
        <is>
          <t>4x4 - Land rover  - Defender  - WF13 EKT</t>
        </is>
      </c>
      <c r="E2012" t="inlineStr">
        <is>
          <t>4x4 - Land rover  - Defender  - WF13 EKT</t>
        </is>
      </c>
      <c r="F2012" t="inlineStr">
        <is>
          <t>4x4 - Land rover  - Defender  - WF13 EKT</t>
        </is>
      </c>
      <c r="G2012" t="inlineStr">
        <is>
          <t xml:space="preserve">Tom price </t>
        </is>
      </c>
      <c r="H2012" t="inlineStr">
        <is>
          <t>4x4</t>
        </is>
      </c>
      <c r="I2012" t="inlineStr">
        <is>
          <t>Daily/ Weekly Vehicle Inspection</t>
        </is>
      </c>
      <c r="J2012" t="inlineStr">
        <is>
          <t>N/A</t>
        </is>
      </c>
      <c r="K2012" t="inlineStr">
        <is>
          <t>7186 Eastwoodbury Tree Services Ltd</t>
        </is>
      </c>
      <c r="L2012" t="inlineStr">
        <is>
          <t>06/11/2025 07:37</t>
        </is>
      </c>
      <c r="M2012" t="inlineStr">
        <is>
          <t>None</t>
        </is>
      </c>
      <c r="N2012" t="inlineStr">
        <is>
          <t>&lt;p&gt;&lt;/p&gt;</t>
        </is>
      </c>
      <c r="O2012" t="inlineStr"/>
      <c r="P2012" t="inlineStr">
        <is>
          <t>4x4 - Land rover  - Defender  - WF13 EKT</t>
        </is>
      </c>
      <c r="Q2012" t="inlineStr">
        <is>
          <t>UKPN</t>
        </is>
      </c>
      <c r="R2012" t="b">
        <v>0</v>
      </c>
    </row>
    <row r="2013">
      <c r="A2013" t="inlineStr">
        <is>
          <t>6 Nov 2025 / 7186 Eastwoodbury Tree Services Ltd / Utilities / UKPN</t>
        </is>
      </c>
      <c r="B2013" t="inlineStr">
        <is>
          <t>Utilities</t>
        </is>
      </c>
      <c r="C2013" t="inlineStr">
        <is>
          <t>UKPN</t>
        </is>
      </c>
      <c r="D2013" t="inlineStr">
        <is>
          <t>DN61XKJ , Tipper , Ford , Transit</t>
        </is>
      </c>
      <c r="E2013" t="inlineStr">
        <is>
          <t>DN61XKJ , Tipper , Ford , Transit</t>
        </is>
      </c>
      <c r="F2013" t="inlineStr">
        <is>
          <t>DN61XKJ , Tipper , Ford , Transit</t>
        </is>
      </c>
      <c r="G2013" t="inlineStr">
        <is>
          <t xml:space="preserve">Jay Denkmayer </t>
        </is>
      </c>
      <c r="H2013" t="inlineStr">
        <is>
          <t>Tipper</t>
        </is>
      </c>
      <c r="I2013" t="inlineStr">
        <is>
          <t>Daily/ Weekly Vehicle Inspection</t>
        </is>
      </c>
      <c r="J2013" t="inlineStr">
        <is>
          <t>N/A</t>
        </is>
      </c>
      <c r="K2013" t="inlineStr">
        <is>
          <t>7186 Eastwoodbury Tree Services Ltd</t>
        </is>
      </c>
      <c r="L2013" t="inlineStr">
        <is>
          <t>06/11/2025 07:39</t>
        </is>
      </c>
      <c r="M2013" t="inlineStr">
        <is>
          <t>None</t>
        </is>
      </c>
      <c r="N2013" t="inlineStr">
        <is>
          <t>&lt;p&gt;&lt;/p&gt;</t>
        </is>
      </c>
      <c r="O2013" t="inlineStr"/>
      <c r="P2013" t="inlineStr">
        <is>
          <t>DN61XKJ , Tipper , Ford , Transit</t>
        </is>
      </c>
      <c r="Q2013" t="inlineStr">
        <is>
          <t>UKPN</t>
        </is>
      </c>
      <c r="R2013" t="b">
        <v>0</v>
      </c>
    </row>
    <row r="2014">
      <c r="A2014" t="inlineStr">
        <is>
          <t>6 Nov 2025 / 7186 Eastwoodbury Tree Services Ltd / Utilities / UKPN</t>
        </is>
      </c>
      <c r="B2014" t="inlineStr">
        <is>
          <t>Utilities</t>
        </is>
      </c>
      <c r="C2014" t="inlineStr">
        <is>
          <t>UKPN</t>
        </is>
      </c>
      <c r="D2014" t="inlineStr">
        <is>
          <t>4x4 - Land rover  - Defenders  - WF13 EKM</t>
        </is>
      </c>
      <c r="E2014" t="inlineStr">
        <is>
          <t>4x4 - Land rover  - Defenders  - WF13 EKM</t>
        </is>
      </c>
      <c r="F2014" t="inlineStr">
        <is>
          <t>4x4 - Land rover  - Defenders  - WF13 EKM</t>
        </is>
      </c>
      <c r="G2014" t="inlineStr">
        <is>
          <t xml:space="preserve">Dan Gilbert </t>
        </is>
      </c>
      <c r="H2014" t="inlineStr">
        <is>
          <t>4x4</t>
        </is>
      </c>
      <c r="I2014" t="inlineStr">
        <is>
          <t>Daily/ Weekly Vehicle Inspection</t>
        </is>
      </c>
      <c r="J2014" t="inlineStr">
        <is>
          <t>N/A</t>
        </is>
      </c>
      <c r="K2014" t="inlineStr">
        <is>
          <t>7186 Eastwoodbury Tree Services Ltd</t>
        </is>
      </c>
      <c r="L2014" t="inlineStr">
        <is>
          <t>06/11/2025 07:41</t>
        </is>
      </c>
      <c r="M2014" t="inlineStr">
        <is>
          <t>None</t>
        </is>
      </c>
      <c r="N2014" t="inlineStr">
        <is>
          <t>&lt;p&gt;&lt;/p&gt;</t>
        </is>
      </c>
      <c r="O2014" t="inlineStr"/>
      <c r="P2014" t="inlineStr">
        <is>
          <t>4x4 - Land rover  - Defenders  - WF13 EKM</t>
        </is>
      </c>
      <c r="Q2014" t="inlineStr">
        <is>
          <t>UKPN</t>
        </is>
      </c>
      <c r="R2014" t="b">
        <v>0</v>
      </c>
    </row>
    <row r="2015">
      <c r="A2015" t="inlineStr">
        <is>
          <t>6 Nov 2025 / 3098 D &amp; R Landscapes / Utilities / UKPN</t>
        </is>
      </c>
      <c r="B2015" t="inlineStr">
        <is>
          <t>Utilities</t>
        </is>
      </c>
      <c r="C2015" t="inlineStr">
        <is>
          <t>UKPN</t>
        </is>
      </c>
      <c r="D2015" t="inlineStr">
        <is>
          <t>WA13ZZK , 4x4 , Land Rover  , Defender</t>
        </is>
      </c>
      <c r="E2015" t="inlineStr">
        <is>
          <t>WA13ZZK , 4x4 , Land Rover  , Defender</t>
        </is>
      </c>
      <c r="F2015" t="inlineStr">
        <is>
          <t>WA13ZZK , 4x4 , Land Rover  , Defender</t>
        </is>
      </c>
      <c r="G2015" t="inlineStr">
        <is>
          <t>Chris</t>
        </is>
      </c>
      <c r="H2015" t="inlineStr">
        <is>
          <t>Pickup Truck</t>
        </is>
      </c>
      <c r="I2015" t="inlineStr">
        <is>
          <t>Daily/ Weekly Vehicle Inspection</t>
        </is>
      </c>
      <c r="J2015" t="inlineStr">
        <is>
          <t>N/A</t>
        </is>
      </c>
      <c r="K2015" t="inlineStr">
        <is>
          <t>3098 D &amp; R Landscapes</t>
        </is>
      </c>
      <c r="L2015" t="inlineStr">
        <is>
          <t>06/11/2025 07:43</t>
        </is>
      </c>
      <c r="M2015" t="inlineStr">
        <is>
          <t>None</t>
        </is>
      </c>
      <c r="N2015" t="inlineStr">
        <is>
          <t>&lt;p&gt;&lt;/p&gt;</t>
        </is>
      </c>
      <c r="O2015" t="inlineStr"/>
      <c r="P2015" t="inlineStr">
        <is>
          <t>WA13ZZK , 4x4 , Land Rover  , Defender</t>
        </is>
      </c>
      <c r="Q2015" t="inlineStr">
        <is>
          <t>UKPN</t>
        </is>
      </c>
      <c r="R2015" t="b">
        <v>0</v>
      </c>
    </row>
    <row r="2016">
      <c r="A2016" t="inlineStr">
        <is>
          <t>6 Nov 2025 / 3098 D &amp; R Landscapes / Utilities / UKPN</t>
        </is>
      </c>
      <c r="B2016" t="inlineStr">
        <is>
          <t>Utilities</t>
        </is>
      </c>
      <c r="C2016" t="inlineStr">
        <is>
          <t>UKPN</t>
        </is>
      </c>
      <c r="D2016" t="inlineStr">
        <is>
          <t>DE68XHA , Tipper , Isuzu , Grafter</t>
        </is>
      </c>
      <c r="E2016" t="inlineStr">
        <is>
          <t>DE68XHA , Tipper , Isuzu , Grafter</t>
        </is>
      </c>
      <c r="F2016" t="inlineStr">
        <is>
          <t>DE68XHA , Tipper , Isuzu , Grafter</t>
        </is>
      </c>
      <c r="G2016" t="inlineStr">
        <is>
          <t>Jason</t>
        </is>
      </c>
      <c r="H2016" t="inlineStr">
        <is>
          <t>Tipper</t>
        </is>
      </c>
      <c r="I2016" t="inlineStr">
        <is>
          <t>Daily/ Weekly Vehicle Inspection</t>
        </is>
      </c>
      <c r="J2016" t="inlineStr">
        <is>
          <t>N/A</t>
        </is>
      </c>
      <c r="K2016" t="inlineStr">
        <is>
          <t>3098 D &amp; R Landscapes</t>
        </is>
      </c>
      <c r="L2016" t="inlineStr">
        <is>
          <t>06/11/2025 07:44</t>
        </is>
      </c>
      <c r="M2016" t="inlineStr">
        <is>
          <t>None</t>
        </is>
      </c>
      <c r="N2016" t="inlineStr">
        <is>
          <t>&lt;p&gt;&lt;/p&gt;</t>
        </is>
      </c>
      <c r="O2016" t="inlineStr"/>
      <c r="P2016" t="inlineStr">
        <is>
          <t>DE68XHA , Tipper , Isuzu , Grafter</t>
        </is>
      </c>
      <c r="Q2016" t="inlineStr">
        <is>
          <t>UKPN</t>
        </is>
      </c>
      <c r="R2016" t="b">
        <v>0</v>
      </c>
    </row>
    <row r="2017">
      <c r="A2017" t="inlineStr">
        <is>
          <t>6 Nov 2025 / 7889 Tree Tech Suffolk Ltd</t>
        </is>
      </c>
      <c r="B2017" t="inlineStr">
        <is>
          <t>Utilities &amp; Inland Waterways</t>
        </is>
      </c>
      <c r="C2017" t="inlineStr">
        <is>
          <t>UKPN</t>
        </is>
      </c>
      <c r="D2017" t="inlineStr">
        <is>
          <t>Tow Chipper - Jenson - A530L - 55210639484x4 - Isuzu - D-max - NS03 TTSTipper - Nissan - Navara - NS02TTS</t>
        </is>
      </c>
      <c r="E2017" t="inlineStr">
        <is>
          <t>Tow Chipper - Jenson - A530L - 55210639484x4 - Isuzu - D-max - NS03 TTSTipper - Nissan - Navara - NS02TTS</t>
        </is>
      </c>
      <c r="F2017" t="inlineStr">
        <is>
          <t>Tow Chipper - Jenson - A530L - 55210639484x4 - Isuzu - D-max - NS03 TTSTipper - Nissan - Navara - NS02TTS</t>
        </is>
      </c>
      <c r="G2017" t="inlineStr">
        <is>
          <t xml:space="preserve">Nikki sparrow Danny Appleby Nikki sparrow </t>
        </is>
      </c>
      <c r="H2017" t="inlineStr">
        <is>
          <t>Towed Chipper4x4Tipper</t>
        </is>
      </c>
      <c r="I2017" t="inlineStr">
        <is>
          <t>Daily/ Weekly Vehicle Inspection</t>
        </is>
      </c>
      <c r="J2017" t="inlineStr">
        <is>
          <t>N/A</t>
        </is>
      </c>
      <c r="K2017" t="inlineStr">
        <is>
          <t>7889 Tree Tech Suffolk Ltd</t>
        </is>
      </c>
      <c r="L2017" t="inlineStr">
        <is>
          <t>06/11/2025 07:45</t>
        </is>
      </c>
      <c r="M2017" t="inlineStr">
        <is>
          <t>None</t>
        </is>
      </c>
      <c r="N2017" t="inlineStr">
        <is>
          <t>&lt;p&gt;&lt;/p&gt;</t>
        </is>
      </c>
      <c r="O2017" t="inlineStr"/>
      <c r="P2017" t="inlineStr">
        <is>
          <t>Tow Chipper - Jenson - A530L - 55210639484x4 - Isuzu - D-max - NS03 TTSTipper - Nissan - Navara - NS02TTS</t>
        </is>
      </c>
      <c r="Q2017" t="inlineStr">
        <is>
          <t>UKPN</t>
        </is>
      </c>
      <c r="R2017" t="b">
        <v>0</v>
      </c>
    </row>
    <row r="2018">
      <c r="A2018" t="inlineStr">
        <is>
          <t>6 Nov 2025 / Thomas Playford / Utilities / UKPN</t>
        </is>
      </c>
      <c r="B2018" t="inlineStr">
        <is>
          <t>Utilities</t>
        </is>
      </c>
      <c r="C2018" t="inlineStr">
        <is>
          <t>UKPN</t>
        </is>
      </c>
      <c r="D2018" t="inlineStr">
        <is>
          <t>Equipment Trailer - I For Williams Custom - Chipper Trailer - 47336638</t>
        </is>
      </c>
      <c r="E2018" t="inlineStr">
        <is>
          <t>Equipment Trailer - I For Williams Custom - Chipper Trailer - 47336638</t>
        </is>
      </c>
      <c r="F2018" t="inlineStr">
        <is>
          <t>Equipment Trailer - I For Williams Custom - Chipper Trailer - 47336638</t>
        </is>
      </c>
      <c r="G2018" t="inlineStr">
        <is>
          <t>Thomas Playford</t>
        </is>
      </c>
      <c r="H2018" t="inlineStr">
        <is>
          <t>Plant Trailer</t>
        </is>
      </c>
      <c r="I2018" t="inlineStr">
        <is>
          <t>Daily/ Weekly Vehicle Inspection</t>
        </is>
      </c>
      <c r="J2018" t="inlineStr">
        <is>
          <t>N/A</t>
        </is>
      </c>
      <c r="K2018" t="inlineStr">
        <is>
          <t>7995 Contour Landscapes Ltd 2</t>
        </is>
      </c>
      <c r="L2018" t="inlineStr">
        <is>
          <t>06/11/2025 09:31</t>
        </is>
      </c>
      <c r="M2018" t="inlineStr">
        <is>
          <t>None</t>
        </is>
      </c>
      <c r="N2018" t="inlineStr">
        <is>
          <t>&lt;p&gt;&lt;/p&gt;</t>
        </is>
      </c>
      <c r="O2018" t="inlineStr"/>
      <c r="P2018" t="inlineStr">
        <is>
          <t>Equipment Trailer - I For Williams Custom - Chipper Trailer - 47336638</t>
        </is>
      </c>
      <c r="Q2018" t="inlineStr">
        <is>
          <t>UKPN</t>
        </is>
      </c>
      <c r="R2018" t="b">
        <v>0</v>
      </c>
    </row>
    <row r="2019">
      <c r="A2019" t="inlineStr">
        <is>
          <t>6 Nov 2025 / Thomas Playford / Utilities / UKPN</t>
        </is>
      </c>
      <c r="B2019" t="inlineStr">
        <is>
          <t>Utilities</t>
        </is>
      </c>
      <c r="C2019" t="inlineStr">
        <is>
          <t>UKPN</t>
        </is>
      </c>
      <c r="D2019" t="inlineStr">
        <is>
          <t>4x4 - Toyota - Hilux - X21TNP</t>
        </is>
      </c>
      <c r="E2019" t="inlineStr">
        <is>
          <t>4x4 - Toyota - Hilux - X21TNP</t>
        </is>
      </c>
      <c r="F2019" t="inlineStr">
        <is>
          <t>4x4 - Toyota - Hilux - X21TNP</t>
        </is>
      </c>
      <c r="G2019" t="inlineStr">
        <is>
          <t>Thomas Playford</t>
        </is>
      </c>
      <c r="H2019" t="inlineStr">
        <is>
          <t>4x4</t>
        </is>
      </c>
      <c r="I2019" t="inlineStr">
        <is>
          <t>Daily/ Weekly Vehicle Inspection</t>
        </is>
      </c>
      <c r="J2019" t="inlineStr">
        <is>
          <t>N/A</t>
        </is>
      </c>
      <c r="K2019" t="inlineStr">
        <is>
          <t>7995 Contour Landscapes Ltd 2</t>
        </is>
      </c>
      <c r="L2019" t="inlineStr">
        <is>
          <t>06/11/2025 09:32</t>
        </is>
      </c>
      <c r="M2019" t="inlineStr">
        <is>
          <t>None</t>
        </is>
      </c>
      <c r="N2019" t="inlineStr">
        <is>
          <t>&lt;p&gt;&lt;/p&gt;</t>
        </is>
      </c>
      <c r="O2019" t="inlineStr"/>
      <c r="P2019" t="inlineStr">
        <is>
          <t>4x4 - Toyota - Hilux - X21TNP</t>
        </is>
      </c>
      <c r="Q2019" t="inlineStr">
        <is>
          <t>UKPN</t>
        </is>
      </c>
      <c r="R2019" t="b">
        <v>0</v>
      </c>
    </row>
    <row r="2020">
      <c r="A2020" t="inlineStr">
        <is>
          <t>6 Nov 2025 / Thomas Nandi / Utilities / SSE</t>
        </is>
      </c>
      <c r="B2020" t="inlineStr">
        <is>
          <t>Utilities</t>
        </is>
      </c>
      <c r="C2020" t="inlineStr">
        <is>
          <t>SSE</t>
        </is>
      </c>
      <c r="D2020" t="inlineStr"/>
      <c r="E2020" t="inlineStr"/>
      <c r="F2020" t="inlineStr"/>
      <c r="G2020" t="inlineStr">
        <is>
          <t xml:space="preserve">Tom Nandi </t>
        </is>
      </c>
      <c r="H2020" t="inlineStr">
        <is>
          <t>Car - Petrol</t>
        </is>
      </c>
      <c r="I2020" t="inlineStr">
        <is>
          <t>Monthly Vehicle Inspection</t>
        </is>
      </c>
      <c r="J2020" t="inlineStr">
        <is>
          <t>2655</t>
        </is>
      </c>
      <c r="K2020" t="inlineStr">
        <is>
          <t>Thomas Nandi</t>
        </is>
      </c>
      <c r="L2020" t="inlineStr">
        <is>
          <t>06/11/2025 09:34</t>
        </is>
      </c>
      <c r="M2020" t="inlineStr">
        <is>
          <t>None</t>
        </is>
      </c>
      <c r="N2020" t="inlineStr">
        <is>
          <t>&lt;p&gt;&lt;/p&gt;</t>
        </is>
      </c>
      <c r="O2020" t="inlineStr"/>
      <c r="P2020" t="inlineStr"/>
      <c r="Q2020" t="inlineStr">
        <is>
          <t>SSE</t>
        </is>
      </c>
      <c r="R2020" t="b">
        <v>0</v>
      </c>
    </row>
    <row r="2021">
      <c r="A2021" t="inlineStr">
        <is>
          <t>6 Nov 2025 / 7996 M G Tree Surgery Ltd / Utilities / UKPN</t>
        </is>
      </c>
      <c r="B2021" t="inlineStr">
        <is>
          <t>Utilities</t>
        </is>
      </c>
      <c r="C2021" t="inlineStr">
        <is>
          <t>UKPN</t>
        </is>
      </c>
      <c r="D2021" t="inlineStr">
        <is>
          <t>GU13 WNL , MEWP , Land Rover , Defender 130</t>
        </is>
      </c>
      <c r="E2021" t="inlineStr">
        <is>
          <t>GU13 WNL , MEWP , Land Rover , Defender 130</t>
        </is>
      </c>
      <c r="F2021" t="inlineStr">
        <is>
          <t>GU13 WNL , MEWP , Land Rover , Defender 130</t>
        </is>
      </c>
      <c r="G2021" t="inlineStr">
        <is>
          <t>Max</t>
        </is>
      </c>
      <c r="H2021" t="inlineStr">
        <is>
          <t>Pickup Truck</t>
        </is>
      </c>
      <c r="I2021" t="inlineStr">
        <is>
          <t>Daily/ Weekly Vehicle Inspection</t>
        </is>
      </c>
      <c r="J2021" t="inlineStr">
        <is>
          <t>N/A</t>
        </is>
      </c>
      <c r="K2021" t="inlineStr">
        <is>
          <t>7996 M G Tree Surgery Ltd</t>
        </is>
      </c>
      <c r="L2021" t="inlineStr">
        <is>
          <t>06/11/2025 09:34</t>
        </is>
      </c>
      <c r="M2021" t="inlineStr">
        <is>
          <t>None</t>
        </is>
      </c>
      <c r="N2021" t="inlineStr">
        <is>
          <t>&lt;p&gt;&lt;/p&gt;</t>
        </is>
      </c>
      <c r="O2021" t="inlineStr"/>
      <c r="P2021" t="inlineStr">
        <is>
          <t>GU13 WNL , MEWP , Land Rover , Defender 130</t>
        </is>
      </c>
      <c r="Q2021" t="inlineStr">
        <is>
          <t>UKPN</t>
        </is>
      </c>
      <c r="R2021" t="b">
        <v>0</v>
      </c>
    </row>
    <row r="2022">
      <c r="A2022" t="inlineStr">
        <is>
          <t>6 Nov 2025 / Thomas Playford / Utilities / UKPN</t>
        </is>
      </c>
      <c r="B2022" t="inlineStr">
        <is>
          <t>Utilities</t>
        </is>
      </c>
      <c r="C2022" t="inlineStr">
        <is>
          <t>UKPN</t>
        </is>
      </c>
      <c r="D2022" t="inlineStr">
        <is>
          <t>4x4 - Landrover - Defender  - LK15KRZ</t>
        </is>
      </c>
      <c r="E2022" t="inlineStr">
        <is>
          <t>4x4 - Landrover - Defender  - LK15KRZ</t>
        </is>
      </c>
      <c r="F2022" t="inlineStr">
        <is>
          <t>4x4 - Landrover - Defender  - LK15KRZ</t>
        </is>
      </c>
      <c r="G2022" t="inlineStr">
        <is>
          <t>Jacob Oram</t>
        </is>
      </c>
      <c r="H2022" t="inlineStr">
        <is>
          <t>4x4</t>
        </is>
      </c>
      <c r="I2022" t="inlineStr">
        <is>
          <t>Daily/ Weekly Vehicle Inspection</t>
        </is>
      </c>
      <c r="J2022" t="inlineStr">
        <is>
          <t>N/A</t>
        </is>
      </c>
      <c r="K2022" t="inlineStr">
        <is>
          <t>7995 Contour Landscapes Ltd 2</t>
        </is>
      </c>
      <c r="L2022" t="inlineStr">
        <is>
          <t>06/11/2025 10:31</t>
        </is>
      </c>
      <c r="M2022" t="inlineStr">
        <is>
          <t>None</t>
        </is>
      </c>
      <c r="N2022" t="inlineStr">
        <is>
          <t>&lt;p&gt;&lt;/p&gt;</t>
        </is>
      </c>
      <c r="O2022" t="inlineStr"/>
      <c r="P2022" t="inlineStr">
        <is>
          <t>4x4 - Landrover - Defender  - LK15KRZ</t>
        </is>
      </c>
      <c r="Q2022" t="inlineStr">
        <is>
          <t>UKPN</t>
        </is>
      </c>
      <c r="R2022" t="b">
        <v>0</v>
      </c>
    </row>
    <row r="2023">
      <c r="A2023" t="inlineStr">
        <is>
          <t>6 Nov 2025 / Thomas Playford / Utilities / UKPN</t>
        </is>
      </c>
      <c r="B2023" t="inlineStr">
        <is>
          <t>Utilities</t>
        </is>
      </c>
      <c r="C2023" t="inlineStr">
        <is>
          <t>UKPN</t>
        </is>
      </c>
      <c r="D2023" t="inlineStr"/>
      <c r="E2023" t="inlineStr"/>
      <c r="F2023" t="inlineStr"/>
      <c r="G2023" t="inlineStr"/>
      <c r="H2023" t="inlineStr"/>
      <c r="I2023" t="inlineStr">
        <is>
          <t>Add to Vehicle to the GC Vehicle List</t>
        </is>
      </c>
      <c r="J2023" t="inlineStr">
        <is>
          <t>N/A</t>
        </is>
      </c>
      <c r="K2023" t="inlineStr">
        <is>
          <t>7995 Contour Landscapes Ltd 2</t>
        </is>
      </c>
      <c r="L2023" t="inlineStr">
        <is>
          <t>06/11/2025 10:33</t>
        </is>
      </c>
      <c r="M2023" t="inlineStr">
        <is>
          <t>None</t>
        </is>
      </c>
      <c r="N2023" t="inlineStr">
        <is>
          <t>&lt;p&gt;&lt;/p&gt;</t>
        </is>
      </c>
      <c r="O2023" t="inlineStr"/>
      <c r="P2023" t="inlineStr"/>
      <c r="Q2023" t="inlineStr">
        <is>
          <t>UKPN</t>
        </is>
      </c>
      <c r="R2023" t="b">
        <v>0</v>
      </c>
    </row>
    <row r="2024">
      <c r="A2024" t="inlineStr">
        <is>
          <t>6 Nov 2025 / Patryk Zietarski / Utilities / UKPN</t>
        </is>
      </c>
      <c r="B2024" t="inlineStr">
        <is>
          <t>Utilities</t>
        </is>
      </c>
      <c r="C2024" t="inlineStr">
        <is>
          <t>UKPN</t>
        </is>
      </c>
      <c r="D2024" t="inlineStr">
        <is>
          <t>YW73CWL , Car - Electric , Kia , E-Niro</t>
        </is>
      </c>
      <c r="E2024" t="inlineStr">
        <is>
          <t>YW73CWL , Car - Electric , Kia , E-Niro</t>
        </is>
      </c>
      <c r="F2024" t="inlineStr">
        <is>
          <t>YW73CWL , Car - Electric , Kia , E-Niro</t>
        </is>
      </c>
      <c r="G2024" t="inlineStr">
        <is>
          <t xml:space="preserve">Patryk Zietarski </t>
        </is>
      </c>
      <c r="H2024" t="inlineStr">
        <is>
          <t>Car - Electric (GC Owned)</t>
        </is>
      </c>
      <c r="I2024" t="inlineStr">
        <is>
          <t>Daily/ Weekly Vehicle Inspection</t>
        </is>
      </c>
      <c r="J2024" t="inlineStr">
        <is>
          <t>N/A</t>
        </is>
      </c>
      <c r="K2024" t="inlineStr">
        <is>
          <t>Patryk Zietarski</t>
        </is>
      </c>
      <c r="L2024" t="inlineStr">
        <is>
          <t>06/11/2025 10:33</t>
        </is>
      </c>
      <c r="M2024" t="inlineStr">
        <is>
          <t>None</t>
        </is>
      </c>
      <c r="N2024" t="inlineStr">
        <is>
          <t>&lt;p&gt;&lt;/p&gt;</t>
        </is>
      </c>
      <c r="O2024" t="inlineStr"/>
      <c r="P2024" t="inlineStr">
        <is>
          <t>YW73CWL , Car - Electric , Kia , E-Niro</t>
        </is>
      </c>
      <c r="Q2024" t="inlineStr">
        <is>
          <t>UKPN</t>
        </is>
      </c>
      <c r="R2024" t="b">
        <v>0</v>
      </c>
    </row>
    <row r="2025">
      <c r="A2025" t="inlineStr">
        <is>
          <t>6 Nov 2025 / 6490 MJR Tree Works / Utilities / SSE</t>
        </is>
      </c>
      <c r="B2025" t="inlineStr">
        <is>
          <t>Utilities</t>
        </is>
      </c>
      <c r="C2025" t="inlineStr">
        <is>
          <t>SSE</t>
        </is>
      </c>
      <c r="D2025" t="inlineStr">
        <is>
          <t>VX25WHD , Pickup Truck , Isuzu , D Max</t>
        </is>
      </c>
      <c r="E2025" t="inlineStr">
        <is>
          <t>VX25WHD , Pickup Truck , Isuzu , D Max</t>
        </is>
      </c>
      <c r="F2025" t="inlineStr">
        <is>
          <t>VX25WHD , Pickup Truck , Isuzu , D Max</t>
        </is>
      </c>
      <c r="G2025" t="inlineStr">
        <is>
          <t>Joe</t>
        </is>
      </c>
      <c r="H2025" t="inlineStr">
        <is>
          <t>4x4</t>
        </is>
      </c>
      <c r="I2025" t="inlineStr">
        <is>
          <t>Daily/ Weekly Vehicle Inspection</t>
        </is>
      </c>
      <c r="J2025" t="inlineStr">
        <is>
          <t>N/A</t>
        </is>
      </c>
      <c r="K2025" t="inlineStr">
        <is>
          <t>6490 MJR Tree Works</t>
        </is>
      </c>
      <c r="L2025" t="inlineStr">
        <is>
          <t>06/11/2025 17:31</t>
        </is>
      </c>
      <c r="M2025" t="inlineStr">
        <is>
          <t>None</t>
        </is>
      </c>
      <c r="N2025" t="inlineStr">
        <is>
          <t>&lt;p&gt;&lt;/p&gt;</t>
        </is>
      </c>
      <c r="O2025" t="inlineStr"/>
      <c r="P2025" t="inlineStr">
        <is>
          <t>VX25WHD , Pickup Truck , Isuzu , D Max</t>
        </is>
      </c>
      <c r="Q2025" t="inlineStr">
        <is>
          <t>SSE</t>
        </is>
      </c>
      <c r="R2025" t="b">
        <v>0</v>
      </c>
    </row>
    <row r="2026">
      <c r="A2026" t="inlineStr">
        <is>
          <t>29 Oct 2025 / 6490 MJR Tree Works / Utilities / SSE</t>
        </is>
      </c>
      <c r="B2026" t="inlineStr">
        <is>
          <t>Utilities</t>
        </is>
      </c>
      <c r="C2026" t="inlineStr">
        <is>
          <t>SSE</t>
        </is>
      </c>
      <c r="D2026" t="inlineStr">
        <is>
          <t>VX25WHD , Pickup Truck , Isuzu , D Max</t>
        </is>
      </c>
      <c r="E2026" t="inlineStr">
        <is>
          <t>VX25WHD , Pickup Truck , Isuzu , D Max</t>
        </is>
      </c>
      <c r="F2026" t="inlineStr">
        <is>
          <t>VX25WHD , Pickup Truck , Isuzu , D Max</t>
        </is>
      </c>
      <c r="G2026" t="inlineStr">
        <is>
          <t>Mike</t>
        </is>
      </c>
      <c r="H2026" t="inlineStr">
        <is>
          <t>4x4</t>
        </is>
      </c>
      <c r="I2026" t="inlineStr">
        <is>
          <t>Daily/ Weekly Vehicle Inspection</t>
        </is>
      </c>
      <c r="J2026" t="inlineStr">
        <is>
          <t>N/A</t>
        </is>
      </c>
      <c r="K2026" t="inlineStr">
        <is>
          <t>6490 MJR Tree Works</t>
        </is>
      </c>
      <c r="L2026" t="inlineStr">
        <is>
          <t>06/11/2025 17:32</t>
        </is>
      </c>
      <c r="M2026" t="inlineStr">
        <is>
          <t>None</t>
        </is>
      </c>
      <c r="N2026" t="inlineStr">
        <is>
          <t>&lt;p&gt;&lt;/p&gt;</t>
        </is>
      </c>
      <c r="O2026" t="inlineStr"/>
      <c r="P2026" t="inlineStr">
        <is>
          <t>VX25WHD , Pickup Truck , Isuzu , D Max</t>
        </is>
      </c>
      <c r="Q2026" t="inlineStr">
        <is>
          <t>SSE</t>
        </is>
      </c>
      <c r="R2026" t="b">
        <v>0</v>
      </c>
    </row>
    <row r="2027">
      <c r="A2027" t="inlineStr">
        <is>
          <t>6 Nov 2025 / Anthony Gale / Utilities / UKPN</t>
        </is>
      </c>
      <c r="B2027" t="inlineStr">
        <is>
          <t>Utilities</t>
        </is>
      </c>
      <c r="C2027" t="inlineStr">
        <is>
          <t>UKPN</t>
        </is>
      </c>
      <c r="D2027" t="inlineStr">
        <is>
          <t>PE07 HGL , Vehicle , Mitsubishi , L200 K74</t>
        </is>
      </c>
      <c r="E2027" t="inlineStr">
        <is>
          <t>PE07 HGL , Vehicle , Mitsubishi , L200 K74</t>
        </is>
      </c>
      <c r="F2027" t="inlineStr">
        <is>
          <t>PE07 HGL , Vehicle , Mitsubishi , L200 K74</t>
        </is>
      </c>
      <c r="G2027" t="inlineStr">
        <is>
          <t>Anthony Gale</t>
        </is>
      </c>
      <c r="H2027" t="inlineStr">
        <is>
          <t>Pickup Truck</t>
        </is>
      </c>
      <c r="I2027" t="inlineStr">
        <is>
          <t>Daily/ Weekly Vehicle Inspection</t>
        </is>
      </c>
      <c r="J2027" t="inlineStr">
        <is>
          <t>N/A</t>
        </is>
      </c>
      <c r="K2027" t="inlineStr">
        <is>
          <t>7996 M G Tree Surgery Ltd 1</t>
        </is>
      </c>
      <c r="L2027" t="inlineStr">
        <is>
          <t>06/11/2025 18:31</t>
        </is>
      </c>
      <c r="M2027" t="inlineStr">
        <is>
          <t>None</t>
        </is>
      </c>
      <c r="N2027" t="inlineStr">
        <is>
          <t>&lt;p&gt;&lt;/p&gt;</t>
        </is>
      </c>
      <c r="O2027" t="inlineStr">
        <is>
          <t>Type of vehicle:Drivers side wheel trim deteriorating, safe for now.
Monitor.</t>
        </is>
      </c>
      <c r="P2027" t="inlineStr">
        <is>
          <t>PE07 HGL , Vehicle , Mitsubishi , L200 K74</t>
        </is>
      </c>
      <c r="Q2027" t="inlineStr">
        <is>
          <t>UKPN</t>
        </is>
      </c>
      <c r="R2027" t="b">
        <v>0</v>
      </c>
    </row>
    <row r="2028">
      <c r="A2028" t="inlineStr">
        <is>
          <t>7 Nov 2025 / 7186 Eastwoodbury Tree Services Ltd / Utilities / UKPN</t>
        </is>
      </c>
      <c r="B2028" t="inlineStr">
        <is>
          <t>Utilities</t>
        </is>
      </c>
      <c r="C2028" t="inlineStr">
        <is>
          <t>UKPN</t>
        </is>
      </c>
      <c r="D2028" t="inlineStr">
        <is>
          <t>DN61XKJ , Tipper , Ford , Transit</t>
        </is>
      </c>
      <c r="E2028" t="inlineStr">
        <is>
          <t>DN61XKJ , Tipper , Ford , Transit</t>
        </is>
      </c>
      <c r="F2028" t="inlineStr">
        <is>
          <t>DN61XKJ , Tipper , Ford , Transit</t>
        </is>
      </c>
      <c r="G2028" t="inlineStr">
        <is>
          <t xml:space="preserve">Jay Denkmayer </t>
        </is>
      </c>
      <c r="H2028" t="inlineStr">
        <is>
          <t>Tipper</t>
        </is>
      </c>
      <c r="I2028" t="inlineStr">
        <is>
          <t>Daily/ Weekly Vehicle Inspection</t>
        </is>
      </c>
      <c r="J2028" t="inlineStr">
        <is>
          <t>N/A</t>
        </is>
      </c>
      <c r="K2028" t="inlineStr">
        <is>
          <t>7186 Eastwoodbury Tree Services Ltd</t>
        </is>
      </c>
      <c r="L2028" t="inlineStr">
        <is>
          <t>07/11/2025 07:31</t>
        </is>
      </c>
      <c r="M2028" t="inlineStr">
        <is>
          <t>None</t>
        </is>
      </c>
      <c r="N2028" t="inlineStr">
        <is>
          <t>&lt;p&gt;&lt;/p&gt;</t>
        </is>
      </c>
      <c r="O2028" t="inlineStr"/>
      <c r="P2028" t="inlineStr">
        <is>
          <t>DN61XKJ , Tipper , Ford , Transit</t>
        </is>
      </c>
      <c r="Q2028" t="inlineStr">
        <is>
          <t>UKPN</t>
        </is>
      </c>
      <c r="R2028" t="b">
        <v>0</v>
      </c>
    </row>
    <row r="2029">
      <c r="A2029" t="inlineStr">
        <is>
          <t>7 Nov 2025 / 7996 M G Tree Surgery Ltd / Utilities / UKPN</t>
        </is>
      </c>
      <c r="B2029" t="inlineStr">
        <is>
          <t>Utilities</t>
        </is>
      </c>
      <c r="C2029" t="inlineStr">
        <is>
          <t>UKPN</t>
        </is>
      </c>
      <c r="D2029" t="inlineStr">
        <is>
          <t>GU13 WNL , MEWP , Land Rover , Defender 130</t>
        </is>
      </c>
      <c r="E2029" t="inlineStr">
        <is>
          <t>GU13 WNL , MEWP , Land Rover , Defender 130</t>
        </is>
      </c>
      <c r="F2029" t="inlineStr">
        <is>
          <t>GU13 WNL , MEWP , Land Rover , Defender 130</t>
        </is>
      </c>
      <c r="G2029" t="inlineStr">
        <is>
          <t>Max</t>
        </is>
      </c>
      <c r="H2029" t="inlineStr">
        <is>
          <t>4x4</t>
        </is>
      </c>
      <c r="I2029" t="inlineStr">
        <is>
          <t>Daily/ Weekly Vehicle Inspection</t>
        </is>
      </c>
      <c r="J2029" t="inlineStr">
        <is>
          <t>N/A</t>
        </is>
      </c>
      <c r="K2029" t="inlineStr">
        <is>
          <t>7996 M G Tree Surgery Ltd</t>
        </is>
      </c>
      <c r="L2029" t="inlineStr">
        <is>
          <t>07/11/2025 07:32</t>
        </is>
      </c>
      <c r="M2029" t="inlineStr">
        <is>
          <t>None</t>
        </is>
      </c>
      <c r="N2029" t="inlineStr">
        <is>
          <t>&lt;p&gt;&lt;/p&gt;</t>
        </is>
      </c>
      <c r="O2029" t="inlineStr"/>
      <c r="P2029" t="inlineStr">
        <is>
          <t>GU13 WNL , MEWP , Land Rover , Defender 130</t>
        </is>
      </c>
      <c r="Q2029" t="inlineStr">
        <is>
          <t>UKPN</t>
        </is>
      </c>
      <c r="R2029" t="b">
        <v>0</v>
      </c>
    </row>
    <row r="2030">
      <c r="A2030" t="inlineStr">
        <is>
          <t>7 Nov 2025 / 7186 Eastwoodbury Tree Services Ltd / Utilities / UKPN</t>
        </is>
      </c>
      <c r="B2030" t="inlineStr">
        <is>
          <t>Utilities</t>
        </is>
      </c>
      <c r="C2030" t="inlineStr">
        <is>
          <t>UKPN</t>
        </is>
      </c>
      <c r="D2030" t="inlineStr">
        <is>
          <t>4x4 - Land rover  - Defenders  - WF13 EKM</t>
        </is>
      </c>
      <c r="E2030" t="inlineStr">
        <is>
          <t>4x4 - Land rover  - Defenders  - WF13 EKM</t>
        </is>
      </c>
      <c r="F2030" t="inlineStr">
        <is>
          <t>4x4 - Land rover  - Defenders  - WF13 EKM</t>
        </is>
      </c>
      <c r="G2030" t="inlineStr">
        <is>
          <t xml:space="preserve">Dan Gilbert </t>
        </is>
      </c>
      <c r="H2030" t="inlineStr">
        <is>
          <t>4x4</t>
        </is>
      </c>
      <c r="I2030" t="inlineStr">
        <is>
          <t>Daily/ Weekly Vehicle Inspection</t>
        </is>
      </c>
      <c r="J2030" t="inlineStr">
        <is>
          <t>N/A</t>
        </is>
      </c>
      <c r="K2030" t="inlineStr">
        <is>
          <t>7186 Eastwoodbury Tree Services Ltd</t>
        </is>
      </c>
      <c r="L2030" t="inlineStr">
        <is>
          <t>07/11/2025 07:33</t>
        </is>
      </c>
      <c r="M2030" t="inlineStr">
        <is>
          <t>None</t>
        </is>
      </c>
      <c r="N2030" t="inlineStr">
        <is>
          <t>&lt;p&gt;&lt;/p&gt;</t>
        </is>
      </c>
      <c r="O2030" t="inlineStr"/>
      <c r="P2030" t="inlineStr">
        <is>
          <t>4x4 - Land rover  - Defenders  - WF13 EKM</t>
        </is>
      </c>
      <c r="Q2030" t="inlineStr">
        <is>
          <t>UKPN</t>
        </is>
      </c>
      <c r="R2030" t="b">
        <v>0</v>
      </c>
    </row>
    <row r="2031">
      <c r="A2031" t="inlineStr">
        <is>
          <t>7 Nov 2025 / 7186 Eastwoodbury Tree Services Ltd / Utilities / UKPN</t>
        </is>
      </c>
      <c r="B2031" t="inlineStr">
        <is>
          <t>Utilities</t>
        </is>
      </c>
      <c r="C2031" t="inlineStr">
        <is>
          <t>UKPN</t>
        </is>
      </c>
      <c r="D2031" t="inlineStr">
        <is>
          <t>4x4 - Land rover  - Defender  - WF13 EKT</t>
        </is>
      </c>
      <c r="E2031" t="inlineStr">
        <is>
          <t>4x4 - Land rover  - Defender  - WF13 EKT</t>
        </is>
      </c>
      <c r="F2031" t="inlineStr">
        <is>
          <t>4x4 - Land rover  - Defender  - WF13 EKT</t>
        </is>
      </c>
      <c r="G2031" t="inlineStr">
        <is>
          <t xml:space="preserve">Tom Price </t>
        </is>
      </c>
      <c r="H2031" t="inlineStr">
        <is>
          <t>4x4</t>
        </is>
      </c>
      <c r="I2031" t="inlineStr">
        <is>
          <t>Daily/ Weekly Vehicle Inspection</t>
        </is>
      </c>
      <c r="J2031" t="inlineStr">
        <is>
          <t>N/A</t>
        </is>
      </c>
      <c r="K2031" t="inlineStr">
        <is>
          <t>7186 Eastwoodbury Tree Services Ltd</t>
        </is>
      </c>
      <c r="L2031" t="inlineStr">
        <is>
          <t>07/11/2025 07:33</t>
        </is>
      </c>
      <c r="M2031" t="inlineStr">
        <is>
          <t>None</t>
        </is>
      </c>
      <c r="N2031" t="inlineStr">
        <is>
          <t>&lt;p&gt;&lt;/p&gt;</t>
        </is>
      </c>
      <c r="O2031" t="inlineStr"/>
      <c r="P2031" t="inlineStr">
        <is>
          <t>4x4 - Land rover  - Defender  - WF13 EKT</t>
        </is>
      </c>
      <c r="Q2031" t="inlineStr">
        <is>
          <t>UKPN</t>
        </is>
      </c>
      <c r="R2031" t="b">
        <v>0</v>
      </c>
    </row>
    <row r="2032">
      <c r="A2032" t="inlineStr">
        <is>
          <t>7 Nov 2025 / 3098 D &amp; R Landscapes / Utilities / UKPN</t>
        </is>
      </c>
      <c r="B2032" t="inlineStr">
        <is>
          <t>Utilities</t>
        </is>
      </c>
      <c r="C2032" t="inlineStr">
        <is>
          <t>UKPN</t>
        </is>
      </c>
      <c r="D2032" t="inlineStr">
        <is>
          <t>Vehicle - Nissan - Navara - BT20 GNZ</t>
        </is>
      </c>
      <c r="E2032" t="inlineStr">
        <is>
          <t>Vehicle - Nissan - Navara - BT20 GNZ</t>
        </is>
      </c>
      <c r="F2032" t="inlineStr">
        <is>
          <t>Vehicle - Nissan - Navara - BT20 GNZ</t>
        </is>
      </c>
      <c r="G2032" t="inlineStr">
        <is>
          <t>Jason</t>
        </is>
      </c>
      <c r="H2032" t="inlineStr">
        <is>
          <t>Pickup Truck</t>
        </is>
      </c>
      <c r="I2032" t="inlineStr">
        <is>
          <t>Daily/ Weekly Vehicle Inspection</t>
        </is>
      </c>
      <c r="J2032" t="inlineStr">
        <is>
          <t>N/A</t>
        </is>
      </c>
      <c r="K2032" t="inlineStr">
        <is>
          <t>3098 D &amp; R Landscapes</t>
        </is>
      </c>
      <c r="L2032" t="inlineStr">
        <is>
          <t>07/11/2025 07:34</t>
        </is>
      </c>
      <c r="M2032" t="inlineStr">
        <is>
          <t>None</t>
        </is>
      </c>
      <c r="N2032" t="inlineStr">
        <is>
          <t>&lt;p&gt;&lt;/p&gt;</t>
        </is>
      </c>
      <c r="O2032" t="inlineStr"/>
      <c r="P2032" t="inlineStr">
        <is>
          <t>Vehicle - Nissan - Navara - BT20 GNZ</t>
        </is>
      </c>
      <c r="Q2032" t="inlineStr">
        <is>
          <t>UKPN</t>
        </is>
      </c>
      <c r="R2032" t="b">
        <v>0</v>
      </c>
    </row>
    <row r="2033">
      <c r="A2033" t="inlineStr">
        <is>
          <t>7 Nov 2025 / 7806 Optimum Tree Services Ltd / Utilities / UKPN</t>
        </is>
      </c>
      <c r="B2033" t="inlineStr">
        <is>
          <t>Utilities</t>
        </is>
      </c>
      <c r="C2033" t="inlineStr">
        <is>
          <t>UKPN</t>
        </is>
      </c>
      <c r="D2033" t="inlineStr">
        <is>
          <t>Tipper - Ford - Transit - NA10SYZ</t>
        </is>
      </c>
      <c r="E2033" t="inlineStr">
        <is>
          <t>Tipper - Ford - Transit - NA10SYZ</t>
        </is>
      </c>
      <c r="F2033" t="inlineStr">
        <is>
          <t>Tipper - Ford - Transit - NA10SYZ</t>
        </is>
      </c>
      <c r="G2033" t="inlineStr">
        <is>
          <t xml:space="preserve">Lewis Davies </t>
        </is>
      </c>
      <c r="H2033" t="inlineStr">
        <is>
          <t>Tipper</t>
        </is>
      </c>
      <c r="I2033" t="inlineStr">
        <is>
          <t>Daily/ Weekly Vehicle Inspection</t>
        </is>
      </c>
      <c r="J2033" t="inlineStr">
        <is>
          <t>N/A</t>
        </is>
      </c>
      <c r="K2033" t="inlineStr">
        <is>
          <t>7806 Optimum Tree Services Ltd</t>
        </is>
      </c>
      <c r="L2033" t="inlineStr">
        <is>
          <t>07/11/2025 07:35</t>
        </is>
      </c>
      <c r="M2033" t="inlineStr">
        <is>
          <t>None</t>
        </is>
      </c>
      <c r="N2033" t="inlineStr">
        <is>
          <t>&lt;p&gt;&lt;/p&gt;</t>
        </is>
      </c>
      <c r="O2033" t="inlineStr"/>
      <c r="P2033" t="inlineStr">
        <is>
          <t>Tipper - Ford - Transit - NA10SYZ</t>
        </is>
      </c>
      <c r="Q2033" t="inlineStr">
        <is>
          <t>UKPN</t>
        </is>
      </c>
      <c r="R2033" t="b">
        <v>0</v>
      </c>
    </row>
    <row r="2034">
      <c r="A2034" t="inlineStr">
        <is>
          <t>7 Nov 2025 / 7806 Optimum Tree Services Ltd / Utilities / UKPN</t>
        </is>
      </c>
      <c r="B2034" t="inlineStr">
        <is>
          <t>Utilities</t>
        </is>
      </c>
      <c r="C2034" t="inlineStr">
        <is>
          <t>UKPN</t>
        </is>
      </c>
      <c r="D2034" t="inlineStr">
        <is>
          <t>SA9ST800000283069 , Chipper , Forst , ST 6P</t>
        </is>
      </c>
      <c r="E2034" t="inlineStr">
        <is>
          <t>SA9ST800000283069 , Chipper , Forst , ST 6P</t>
        </is>
      </c>
      <c r="F2034" t="inlineStr">
        <is>
          <t>SA9ST800000283069 , Chipper , Forst , ST 6P</t>
        </is>
      </c>
      <c r="G2034" t="inlineStr">
        <is>
          <t xml:space="preserve">Abraham Davies </t>
        </is>
      </c>
      <c r="H2034" t="inlineStr">
        <is>
          <t>Towed Chipper</t>
        </is>
      </c>
      <c r="I2034" t="inlineStr">
        <is>
          <t>Daily/ Weekly Vehicle Inspection</t>
        </is>
      </c>
      <c r="J2034" t="inlineStr">
        <is>
          <t>N/A</t>
        </is>
      </c>
      <c r="K2034" t="inlineStr">
        <is>
          <t>7806 Optimum Tree Services Ltd</t>
        </is>
      </c>
      <c r="L2034" t="inlineStr">
        <is>
          <t>07/11/2025 07:35</t>
        </is>
      </c>
      <c r="M2034" t="inlineStr">
        <is>
          <t>None</t>
        </is>
      </c>
      <c r="N2034" t="inlineStr">
        <is>
          <t>&lt;p&gt;&lt;/p&gt;</t>
        </is>
      </c>
      <c r="O2034" t="inlineStr"/>
      <c r="P2034" t="inlineStr">
        <is>
          <t>SA9ST800000283069 , Chipper , Forst , ST 6P</t>
        </is>
      </c>
      <c r="Q2034" t="inlineStr">
        <is>
          <t>UKPN</t>
        </is>
      </c>
      <c r="R2034" t="b">
        <v>0</v>
      </c>
    </row>
    <row r="2035">
      <c r="A2035" t="inlineStr">
        <is>
          <t>7 Nov 2025 / 7806 Optimum Tree Services Ltd / Utilities / UKPN</t>
        </is>
      </c>
      <c r="B2035" t="inlineStr">
        <is>
          <t>Utilities</t>
        </is>
      </c>
      <c r="C2035" t="inlineStr">
        <is>
          <t>UKPN</t>
        </is>
      </c>
      <c r="D2035" t="inlineStr">
        <is>
          <t>WD14EVB , MEWP , Land Rover , Defender</t>
        </is>
      </c>
      <c r="E2035" t="inlineStr">
        <is>
          <t>WD14EVB , MEWP , Land Rover , Defender</t>
        </is>
      </c>
      <c r="F2035" t="inlineStr">
        <is>
          <t>WD14EVB , MEWP , Land Rover , Defender</t>
        </is>
      </c>
      <c r="G2035" t="inlineStr">
        <is>
          <t xml:space="preserve">Abraham Davies </t>
        </is>
      </c>
      <c r="H2035" t="inlineStr">
        <is>
          <t>4x4</t>
        </is>
      </c>
      <c r="I2035" t="inlineStr">
        <is>
          <t>Daily/ Weekly Vehicle Inspection</t>
        </is>
      </c>
      <c r="J2035" t="inlineStr">
        <is>
          <t>N/A</t>
        </is>
      </c>
      <c r="K2035" t="inlineStr">
        <is>
          <t>7806 Optimum Tree Services Ltd</t>
        </is>
      </c>
      <c r="L2035" t="inlineStr">
        <is>
          <t>07/11/2025 07:37</t>
        </is>
      </c>
      <c r="M2035" t="inlineStr">
        <is>
          <t>None</t>
        </is>
      </c>
      <c r="N2035" t="inlineStr">
        <is>
          <t>&lt;p&gt;&lt;/p&gt;</t>
        </is>
      </c>
      <c r="O2035" t="inlineStr"/>
      <c r="P2035" t="inlineStr">
        <is>
          <t>WD14EVB , MEWP , Land Rover , Defender</t>
        </is>
      </c>
      <c r="Q2035" t="inlineStr">
        <is>
          <t>UKPN</t>
        </is>
      </c>
      <c r="R2035" t="b">
        <v>0</v>
      </c>
    </row>
    <row r="2036">
      <c r="A2036" t="inlineStr">
        <is>
          <t>7 Nov 2025 / Anthony Gale / Utilities / UKPN</t>
        </is>
      </c>
      <c r="B2036" t="inlineStr">
        <is>
          <t>Utilities</t>
        </is>
      </c>
      <c r="C2036" t="inlineStr">
        <is>
          <t>UKPN</t>
        </is>
      </c>
      <c r="D2036" t="inlineStr">
        <is>
          <t>PE07 HGL , Vehicle , Mitsubishi , L200 K74</t>
        </is>
      </c>
      <c r="E2036" t="inlineStr">
        <is>
          <t>PE07 HGL , Vehicle , Mitsubishi , L200 K74</t>
        </is>
      </c>
      <c r="F2036" t="inlineStr">
        <is>
          <t>PE07 HGL , Vehicle , Mitsubishi , L200 K74</t>
        </is>
      </c>
      <c r="G2036" t="inlineStr">
        <is>
          <t>Anthony Gale</t>
        </is>
      </c>
      <c r="H2036" t="inlineStr">
        <is>
          <t>Pickup Truck</t>
        </is>
      </c>
      <c r="I2036" t="inlineStr">
        <is>
          <t>Daily/ Weekly Vehicle Inspection</t>
        </is>
      </c>
      <c r="J2036" t="inlineStr">
        <is>
          <t>N/A</t>
        </is>
      </c>
      <c r="K2036" t="inlineStr">
        <is>
          <t>7996 M G Tree Surgery Ltd 1</t>
        </is>
      </c>
      <c r="L2036" t="inlineStr">
        <is>
          <t>07/11/2025 07:38</t>
        </is>
      </c>
      <c r="M2036" t="inlineStr">
        <is>
          <t>None</t>
        </is>
      </c>
      <c r="N2036" t="inlineStr">
        <is>
          <t>&lt;p&gt;&lt;/p&gt;</t>
        </is>
      </c>
      <c r="O2036" t="inlineStr">
        <is>
          <t>Type of vehicle:Drivers side wheel trim deteriorating,
Safe for now.
Monitor.</t>
        </is>
      </c>
      <c r="P2036" t="inlineStr">
        <is>
          <t>PE07 HGL , Vehicle , Mitsubishi , L200 K74</t>
        </is>
      </c>
      <c r="Q2036" t="inlineStr">
        <is>
          <t>UKPN</t>
        </is>
      </c>
      <c r="R2036" t="b">
        <v>0</v>
      </c>
    </row>
    <row r="2037">
      <c r="A2037" t="inlineStr">
        <is>
          <t>7 Nov 2025 / Anthony Gale / Utilities / UKPN</t>
        </is>
      </c>
      <c r="B2037" t="inlineStr">
        <is>
          <t>Utilities</t>
        </is>
      </c>
      <c r="C2037" t="inlineStr">
        <is>
          <t>UKPN</t>
        </is>
      </c>
      <c r="D2037" t="inlineStr"/>
      <c r="E2037" t="inlineStr"/>
      <c r="F2037" t="inlineStr"/>
      <c r="G2037" t="inlineStr">
        <is>
          <t>Anthony Gale</t>
        </is>
      </c>
      <c r="H2037" t="inlineStr">
        <is>
          <t>Towed Chipper</t>
        </is>
      </c>
      <c r="I2037" t="inlineStr">
        <is>
          <t>Daily/ Weekly Vehicle Inspection</t>
        </is>
      </c>
      <c r="J2037" t="inlineStr">
        <is>
          <t>N/A</t>
        </is>
      </c>
      <c r="K2037" t="inlineStr">
        <is>
          <t>7996 M G Tree Surgery Ltd 1</t>
        </is>
      </c>
      <c r="L2037" t="inlineStr">
        <is>
          <t>07/11/2025 07:39</t>
        </is>
      </c>
      <c r="M2037" t="inlineStr">
        <is>
          <t>None</t>
        </is>
      </c>
      <c r="N2037" t="inlineStr">
        <is>
          <t>&lt;p&gt;&lt;/p&gt;</t>
        </is>
      </c>
      <c r="O2037" t="inlineStr"/>
      <c r="P2037" t="inlineStr"/>
      <c r="Q2037" t="inlineStr">
        <is>
          <t>UKPN</t>
        </is>
      </c>
      <c r="R2037" t="b">
        <v>0</v>
      </c>
    </row>
    <row r="2038">
      <c r="A2038" t="inlineStr">
        <is>
          <t>7 Nov 2025 / 6617 Ashdown Tree Limited / Utilities / UKPN</t>
        </is>
      </c>
      <c r="B2038" t="inlineStr">
        <is>
          <t>Utilities</t>
        </is>
      </c>
      <c r="C2038" t="inlineStr">
        <is>
          <t>UKPN</t>
        </is>
      </c>
      <c r="D2038" t="inlineStr">
        <is>
          <t>TR55TUB , 4x4 , Land rover  , Defender mewp</t>
        </is>
      </c>
      <c r="E2038" t="inlineStr">
        <is>
          <t>TR55TUB , 4x4 , Land rover  , Defender mewp</t>
        </is>
      </c>
      <c r="F2038" t="inlineStr">
        <is>
          <t>TR55TUB , 4x4 , Land rover  , Defender mewp</t>
        </is>
      </c>
      <c r="G2038" t="inlineStr">
        <is>
          <t xml:space="preserve">A Horwood </t>
        </is>
      </c>
      <c r="H2038" t="inlineStr">
        <is>
          <t>4x4</t>
        </is>
      </c>
      <c r="I2038" t="inlineStr">
        <is>
          <t>Daily/ Weekly Vehicle Inspection</t>
        </is>
      </c>
      <c r="J2038" t="inlineStr">
        <is>
          <t>N/A</t>
        </is>
      </c>
      <c r="K2038" t="inlineStr">
        <is>
          <t>6617 Ashdown Tree Limited</t>
        </is>
      </c>
      <c r="L2038" t="inlineStr">
        <is>
          <t>07/11/2025 07:41</t>
        </is>
      </c>
      <c r="M2038" t="inlineStr">
        <is>
          <t>None</t>
        </is>
      </c>
      <c r="N2038" t="inlineStr">
        <is>
          <t>&lt;p&gt;&lt;/p&gt;</t>
        </is>
      </c>
      <c r="O2038" t="inlineStr"/>
      <c r="P2038" t="inlineStr">
        <is>
          <t>TR55TUB , 4x4 , Land rover  , Defender mewp</t>
        </is>
      </c>
      <c r="Q2038" t="inlineStr">
        <is>
          <t>UKPN</t>
        </is>
      </c>
      <c r="R2038" t="b">
        <v>0</v>
      </c>
    </row>
    <row r="2039">
      <c r="A2039" t="inlineStr">
        <is>
          <t>7 Nov 2025 / 7800 MAC Tree Surgery and Fencing Ltd / Utilities / UKPN</t>
        </is>
      </c>
      <c r="B2039" t="inlineStr">
        <is>
          <t>Utilities</t>
        </is>
      </c>
      <c r="C2039" t="inlineStr">
        <is>
          <t>UKPN</t>
        </is>
      </c>
      <c r="D2039" t="inlineStr">
        <is>
          <t>Plant Trailer - Towmate - 2.8t - 0</t>
        </is>
      </c>
      <c r="E2039" t="inlineStr">
        <is>
          <t>Plant Trailer - Towmate - 2.8t - 0</t>
        </is>
      </c>
      <c r="F2039" t="inlineStr">
        <is>
          <t>Plant Trailer - Towmate - 2.8t - 0</t>
        </is>
      </c>
      <c r="G2039" t="inlineStr">
        <is>
          <t xml:space="preserve">Patrick O'Shea </t>
        </is>
      </c>
      <c r="H2039" t="inlineStr">
        <is>
          <t>Plant Trailer</t>
        </is>
      </c>
      <c r="I2039" t="inlineStr">
        <is>
          <t>Daily/ Weekly Vehicle Inspection</t>
        </is>
      </c>
      <c r="J2039" t="inlineStr">
        <is>
          <t>N/A</t>
        </is>
      </c>
      <c r="K2039" t="inlineStr">
        <is>
          <t>7800 MAC Tree Surgery and Fencing Ltd</t>
        </is>
      </c>
      <c r="L2039" t="inlineStr">
        <is>
          <t>07/11/2025 08:32</t>
        </is>
      </c>
      <c r="M2039" t="inlineStr">
        <is>
          <t>None</t>
        </is>
      </c>
      <c r="N2039" t="inlineStr">
        <is>
          <t>&lt;p&gt;&lt;/p&gt;</t>
        </is>
      </c>
      <c r="O2039" t="inlineStr"/>
      <c r="P2039" t="inlineStr">
        <is>
          <t>Plant Trailer - Towmate - 2.8t - 0</t>
        </is>
      </c>
      <c r="Q2039" t="inlineStr">
        <is>
          <t>UKPN</t>
        </is>
      </c>
      <c r="R2039" t="b">
        <v>0</v>
      </c>
    </row>
    <row r="2040">
      <c r="A2040" t="inlineStr">
        <is>
          <t>7 Nov 2025 / 7800 MAC Tree Surgery and Fencing Ltd / Utilities / UKPN</t>
        </is>
      </c>
      <c r="B2040" t="inlineStr">
        <is>
          <t>Utilities</t>
        </is>
      </c>
      <c r="C2040" t="inlineStr">
        <is>
          <t>UKPN</t>
        </is>
      </c>
      <c r="D2040" t="inlineStr">
        <is>
          <t>AY68DAA , 4x4 , Izuzu , Dmax</t>
        </is>
      </c>
      <c r="E2040" t="inlineStr">
        <is>
          <t>AY68DAA , 4x4 , Izuzu , Dmax</t>
        </is>
      </c>
      <c r="F2040" t="inlineStr">
        <is>
          <t>AY68DAA , 4x4 , Izuzu , Dmax</t>
        </is>
      </c>
      <c r="G2040" t="inlineStr">
        <is>
          <t xml:space="preserve">Patrick O'Shea </t>
        </is>
      </c>
      <c r="H2040" t="inlineStr">
        <is>
          <t>4x4</t>
        </is>
      </c>
      <c r="I2040" t="inlineStr">
        <is>
          <t>Daily/ Weekly Vehicle Inspection</t>
        </is>
      </c>
      <c r="J2040" t="inlineStr">
        <is>
          <t>N/A</t>
        </is>
      </c>
      <c r="K2040" t="inlineStr">
        <is>
          <t>7800 MAC Tree Surgery and Fencing Ltd</t>
        </is>
      </c>
      <c r="L2040" t="inlineStr">
        <is>
          <t>07/11/2025 08:33</t>
        </is>
      </c>
      <c r="M2040" t="inlineStr">
        <is>
          <t>None</t>
        </is>
      </c>
      <c r="N2040" t="inlineStr">
        <is>
          <t>&lt;p&gt;&lt;/p&gt;</t>
        </is>
      </c>
      <c r="O2040" t="inlineStr"/>
      <c r="P2040" t="inlineStr">
        <is>
          <t>AY68DAA , 4x4 , Izuzu , Dmax</t>
        </is>
      </c>
      <c r="Q2040" t="inlineStr">
        <is>
          <t>UKPN</t>
        </is>
      </c>
      <c r="R2040" t="b">
        <v>0</v>
      </c>
    </row>
    <row r="2041">
      <c r="A2041" t="inlineStr">
        <is>
          <t>7 Nov 2025 / Andrew Carr / Utilities / SSE</t>
        </is>
      </c>
      <c r="B2041" t="inlineStr">
        <is>
          <t>Utilities</t>
        </is>
      </c>
      <c r="C2041" t="inlineStr">
        <is>
          <t>SSE</t>
        </is>
      </c>
      <c r="D2041" t="inlineStr"/>
      <c r="E2041" t="inlineStr"/>
      <c r="F2041" t="inlineStr"/>
      <c r="G2041" t="inlineStr">
        <is>
          <t xml:space="preserve">Andrew Carr </t>
        </is>
      </c>
      <c r="H2041" t="inlineStr">
        <is>
          <t>Car - Petrol</t>
        </is>
      </c>
      <c r="I2041" t="inlineStr">
        <is>
          <t>Daily/ Weekly Vehicle Inspection</t>
        </is>
      </c>
      <c r="J2041" t="inlineStr">
        <is>
          <t>N/A</t>
        </is>
      </c>
      <c r="K2041" t="inlineStr">
        <is>
          <t>Andrew Carr</t>
        </is>
      </c>
      <c r="L2041" t="inlineStr">
        <is>
          <t>07/11/2025 12:32</t>
        </is>
      </c>
      <c r="M2041" t="inlineStr">
        <is>
          <t xml:space="preserve">Confirm that you have checked this vehicle as per the guidance document and the vehicle is safe and roadworthy: Fail
Is this vehicle safe to drive &amp; road legal: Fail
</t>
        </is>
      </c>
      <c r="N2041" t="inlineStr">
        <is>
          <t>&lt;p&gt;&lt;a href="https&amp;#58;//apps.powerapps.com/play/2d567dc9-5d50-4629-a077-f7ccbff3e239?tenantId=3ef9f654-aa07-41b8-88ad-a411c62bd12c&amp;amp;Action=Open&amp;amp;Actionno=7301"&gt;vehicle tyres&lt;/a&gt;&lt;br&gt;&lt;a href="https&amp;#58;//apps.powerapps.com/play/2d567dc9-5d50-4629-a077-f7ccbff3e239?tenantId=3ef9f654-aa07-41b8-88ad-a411c62bd12c&amp;amp;Action=Open&amp;amp;Actionno=7302"&gt;vehicle screenwash&lt;/a&gt;&lt;br&gt;&lt;/p&gt;</t>
        </is>
      </c>
      <c r="O2041" t="inlineStr"/>
      <c r="P2041" t="inlineStr"/>
      <c r="Q2041" t="inlineStr">
        <is>
          <t>SSE</t>
        </is>
      </c>
      <c r="R2041" t="b">
        <v>0</v>
      </c>
    </row>
    <row r="2042">
      <c r="A2042" t="inlineStr">
        <is>
          <t>9 Nov 2025 / 7806 Optimum Tree Services Ltd / Utilities / UKPN</t>
        </is>
      </c>
      <c r="B2042" t="inlineStr">
        <is>
          <t>Utilities</t>
        </is>
      </c>
      <c r="C2042" t="inlineStr">
        <is>
          <t>UKPN</t>
        </is>
      </c>
      <c r="D2042" t="inlineStr">
        <is>
          <t>SA9TAPLAF27414263 , Trailer , Tow Mate , Plant Trailer</t>
        </is>
      </c>
      <c r="E2042" t="inlineStr">
        <is>
          <t>SA9TAPLAF27414263 , Trailer , Tow Mate , Plant Trailer</t>
        </is>
      </c>
      <c r="F2042" t="inlineStr">
        <is>
          <t>SA9TAPLAF27414263 , Trailer , Tow Mate , Plant Trailer</t>
        </is>
      </c>
      <c r="G2042" t="inlineStr">
        <is>
          <t xml:space="preserve">Abraham Davies </t>
        </is>
      </c>
      <c r="H2042" t="inlineStr">
        <is>
          <t>Plant Trailer</t>
        </is>
      </c>
      <c r="I2042" t="inlineStr">
        <is>
          <t>Daily/ Weekly Vehicle Inspection</t>
        </is>
      </c>
      <c r="J2042" t="inlineStr">
        <is>
          <t>N/A</t>
        </is>
      </c>
      <c r="K2042" t="inlineStr">
        <is>
          <t>7806 Optimum Tree Services Ltd</t>
        </is>
      </c>
      <c r="L2042" t="inlineStr">
        <is>
          <t>09/11/2025 09:32</t>
        </is>
      </c>
      <c r="M2042" t="inlineStr">
        <is>
          <t>None</t>
        </is>
      </c>
      <c r="N2042" t="inlineStr">
        <is>
          <t>&lt;p&gt;&lt;/p&gt;</t>
        </is>
      </c>
      <c r="O2042" t="inlineStr"/>
      <c r="P2042" t="inlineStr">
        <is>
          <t>SA9TAPLAF27414263 , Trailer , Tow Mate , Plant Trailer</t>
        </is>
      </c>
      <c r="Q2042" t="inlineStr">
        <is>
          <t>UKPN</t>
        </is>
      </c>
      <c r="R2042" t="b">
        <v>0</v>
      </c>
    </row>
    <row r="2043">
      <c r="A2043" t="inlineStr">
        <is>
          <t>9 Nov 2025 / 7806 Optimum Tree Services Ltd / Utilities / UKPN</t>
        </is>
      </c>
      <c r="B2043" t="inlineStr">
        <is>
          <t>Utilities</t>
        </is>
      </c>
      <c r="C2043" t="inlineStr">
        <is>
          <t>UKPN</t>
        </is>
      </c>
      <c r="D2043" t="inlineStr">
        <is>
          <t>4x4 - Landrover  - Defender  - Wd14evn</t>
        </is>
      </c>
      <c r="E2043" t="inlineStr">
        <is>
          <t>4x4 - Landrover  - Defender  - Wd14evn</t>
        </is>
      </c>
      <c r="F2043" t="inlineStr">
        <is>
          <t>4x4 - Landrover  - Defender  - Wd14evn</t>
        </is>
      </c>
      <c r="G2043" t="inlineStr">
        <is>
          <t xml:space="preserve">Abraham Davies </t>
        </is>
      </c>
      <c r="H2043" t="inlineStr">
        <is>
          <t>4x4</t>
        </is>
      </c>
      <c r="I2043" t="inlineStr">
        <is>
          <t>Daily/ Weekly Vehicle Inspection</t>
        </is>
      </c>
      <c r="J2043" t="inlineStr">
        <is>
          <t>N/A</t>
        </is>
      </c>
      <c r="K2043" t="inlineStr">
        <is>
          <t>7806 Optimum Tree Services Ltd</t>
        </is>
      </c>
      <c r="L2043" t="inlineStr">
        <is>
          <t>09/11/2025 09:32</t>
        </is>
      </c>
      <c r="M2043" t="inlineStr">
        <is>
          <t>None</t>
        </is>
      </c>
      <c r="N2043" t="inlineStr">
        <is>
          <t>&lt;p&gt;&lt;/p&gt;</t>
        </is>
      </c>
      <c r="O2043" t="inlineStr"/>
      <c r="P2043" t="inlineStr">
        <is>
          <t>4x4 - Landrover  - Defender  - Wd14evn</t>
        </is>
      </c>
      <c r="Q2043" t="inlineStr">
        <is>
          <t>UKPN</t>
        </is>
      </c>
      <c r="R2043" t="b">
        <v>0</v>
      </c>
    </row>
    <row r="2044">
      <c r="A2044" t="inlineStr">
        <is>
          <t>9 Nov 2025 / 7806 Optimum Tree Services Ltd / Utilities / UKPN</t>
        </is>
      </c>
      <c r="B2044" t="inlineStr">
        <is>
          <t>Utilities</t>
        </is>
      </c>
      <c r="C2044" t="inlineStr">
        <is>
          <t>UKPN</t>
        </is>
      </c>
      <c r="D2044" t="inlineStr">
        <is>
          <t>WD14EVB , MEWP , Land Rover , Defender</t>
        </is>
      </c>
      <c r="E2044" t="inlineStr">
        <is>
          <t>WD14EVB , MEWP , Land Rover , Defender</t>
        </is>
      </c>
      <c r="F2044" t="inlineStr">
        <is>
          <t>WD14EVB , MEWP , Land Rover , Defender</t>
        </is>
      </c>
      <c r="G2044" t="inlineStr">
        <is>
          <t xml:space="preserve">Lewis Davies </t>
        </is>
      </c>
      <c r="H2044" t="inlineStr">
        <is>
          <t>4x4</t>
        </is>
      </c>
      <c r="I2044" t="inlineStr">
        <is>
          <t>Daily/ Weekly Vehicle Inspection</t>
        </is>
      </c>
      <c r="J2044" t="inlineStr">
        <is>
          <t>N/A</t>
        </is>
      </c>
      <c r="K2044" t="inlineStr">
        <is>
          <t>7806 Optimum Tree Services Ltd</t>
        </is>
      </c>
      <c r="L2044" t="inlineStr">
        <is>
          <t>09/11/2025 09:33</t>
        </is>
      </c>
      <c r="M2044" t="inlineStr">
        <is>
          <t>None</t>
        </is>
      </c>
      <c r="N2044" t="inlineStr">
        <is>
          <t>&lt;p&gt;&lt;/p&gt;</t>
        </is>
      </c>
      <c r="O2044" t="inlineStr"/>
      <c r="P2044" t="inlineStr">
        <is>
          <t>WD14EVB , MEWP , Land Rover , Defender</t>
        </is>
      </c>
      <c r="Q2044" t="inlineStr">
        <is>
          <t>UKPN</t>
        </is>
      </c>
      <c r="R2044" t="b">
        <v>0</v>
      </c>
    </row>
    <row r="2045">
      <c r="A2045" t="inlineStr">
        <is>
          <t>9 Nov 2025 / 7800 MAC Tree Surgery and Fencing Ltd / Utilities / UKPN</t>
        </is>
      </c>
      <c r="B2045" t="inlineStr">
        <is>
          <t>Utilities</t>
        </is>
      </c>
      <c r="C2045" t="inlineStr">
        <is>
          <t>UKPN</t>
        </is>
      </c>
      <c r="D2045" t="inlineStr">
        <is>
          <t>Plant Trailer - Towmate - 2.8t - 0</t>
        </is>
      </c>
      <c r="E2045" t="inlineStr">
        <is>
          <t>Plant Trailer - Towmate - 2.8t - 0</t>
        </is>
      </c>
      <c r="F2045" t="inlineStr">
        <is>
          <t>Plant Trailer - Towmate - 2.8t - 0</t>
        </is>
      </c>
      <c r="G2045" t="inlineStr">
        <is>
          <t xml:space="preserve">Patrick O'Shea </t>
        </is>
      </c>
      <c r="H2045" t="inlineStr">
        <is>
          <t>Plant Trailer</t>
        </is>
      </c>
      <c r="I2045" t="inlineStr">
        <is>
          <t>Daily/ Weekly Vehicle Inspection</t>
        </is>
      </c>
      <c r="J2045" t="inlineStr">
        <is>
          <t>N/A</t>
        </is>
      </c>
      <c r="K2045" t="inlineStr">
        <is>
          <t>7800 MAC Tree Surgery and Fencing Ltd</t>
        </is>
      </c>
      <c r="L2045" t="inlineStr">
        <is>
          <t>09/11/2025 10:32</t>
        </is>
      </c>
      <c r="M2045" t="inlineStr">
        <is>
          <t>None</t>
        </is>
      </c>
      <c r="N2045" t="inlineStr">
        <is>
          <t>&lt;p&gt;&lt;/p&gt;</t>
        </is>
      </c>
      <c r="O2045" t="inlineStr"/>
      <c r="P2045" t="inlineStr">
        <is>
          <t>Plant Trailer - Towmate - 2.8t - 0</t>
        </is>
      </c>
      <c r="Q2045" t="inlineStr">
        <is>
          <t>UKPN</t>
        </is>
      </c>
      <c r="R2045" t="b">
        <v>0</v>
      </c>
    </row>
    <row r="2046">
      <c r="A2046" t="inlineStr">
        <is>
          <t>9 Nov 2025 / 7800 MAC Tree Surgery and Fencing Ltd / Utilities / UKPN</t>
        </is>
      </c>
      <c r="B2046" t="inlineStr">
        <is>
          <t>Utilities</t>
        </is>
      </c>
      <c r="C2046" t="inlineStr">
        <is>
          <t>UKPN</t>
        </is>
      </c>
      <c r="D2046" t="inlineStr">
        <is>
          <t>AY68DAA , 4x4 , Izuzu , Dmax</t>
        </is>
      </c>
      <c r="E2046" t="inlineStr">
        <is>
          <t>AY68DAA , 4x4 , Izuzu , Dmax</t>
        </is>
      </c>
      <c r="F2046" t="inlineStr">
        <is>
          <t>AY68DAA , 4x4 , Izuzu , Dmax</t>
        </is>
      </c>
      <c r="G2046" t="inlineStr">
        <is>
          <t xml:space="preserve">Patrick O'Shea </t>
        </is>
      </c>
      <c r="H2046" t="inlineStr">
        <is>
          <t>4x4</t>
        </is>
      </c>
      <c r="I2046" t="inlineStr">
        <is>
          <t>Daily/ Weekly Vehicle Inspection</t>
        </is>
      </c>
      <c r="J2046" t="inlineStr">
        <is>
          <t>N/A</t>
        </is>
      </c>
      <c r="K2046" t="inlineStr">
        <is>
          <t>7800 MAC Tree Surgery and Fencing Ltd</t>
        </is>
      </c>
      <c r="L2046" t="inlineStr">
        <is>
          <t>09/11/2025 10:32</t>
        </is>
      </c>
      <c r="M2046" t="inlineStr">
        <is>
          <t>None</t>
        </is>
      </c>
      <c r="N2046" t="inlineStr">
        <is>
          <t>&lt;p&gt;&lt;/p&gt;</t>
        </is>
      </c>
      <c r="O2046" t="inlineStr"/>
      <c r="P2046" t="inlineStr">
        <is>
          <t>AY68DAA , 4x4 , Izuzu , Dmax</t>
        </is>
      </c>
      <c r="Q2046" t="inlineStr">
        <is>
          <t>UKPN</t>
        </is>
      </c>
      <c r="R2046" t="b">
        <v>0</v>
      </c>
    </row>
    <row r="2047">
      <c r="A2047" t="inlineStr">
        <is>
          <t>10 Nov 2025 / 7806 Optimum Tree Services Ltd / Utilities / UKPN</t>
        </is>
      </c>
      <c r="B2047" t="inlineStr">
        <is>
          <t>Utilities</t>
        </is>
      </c>
      <c r="C2047" t="inlineStr">
        <is>
          <t>UKPN</t>
        </is>
      </c>
      <c r="D2047" t="inlineStr">
        <is>
          <t>SA9TAPLAF27414263 , Trailer , Tow Mate , Plant Trailer</t>
        </is>
      </c>
      <c r="E2047" t="inlineStr">
        <is>
          <t>SA9TAPLAF27414263 , Trailer , Tow Mate , Plant Trailer</t>
        </is>
      </c>
      <c r="F2047" t="inlineStr">
        <is>
          <t>SA9TAPLAF27414263 , Trailer , Tow Mate , Plant Trailer</t>
        </is>
      </c>
      <c r="G2047" t="inlineStr">
        <is>
          <t xml:space="preserve">Abraham Davies </t>
        </is>
      </c>
      <c r="H2047" t="inlineStr">
        <is>
          <t>Plant Trailer</t>
        </is>
      </c>
      <c r="I2047" t="inlineStr">
        <is>
          <t>Daily/ Weekly Vehicle Inspection</t>
        </is>
      </c>
      <c r="J2047" t="inlineStr">
        <is>
          <t>N/A</t>
        </is>
      </c>
      <c r="K2047" t="inlineStr">
        <is>
          <t>7806 Optimum Tree Services Ltd</t>
        </is>
      </c>
      <c r="L2047" t="inlineStr">
        <is>
          <t>10/11/2025 07:32</t>
        </is>
      </c>
      <c r="M2047" t="inlineStr">
        <is>
          <t>None</t>
        </is>
      </c>
      <c r="N2047" t="inlineStr">
        <is>
          <t>&lt;p&gt;&lt;/p&gt;</t>
        </is>
      </c>
      <c r="O2047" t="inlineStr"/>
      <c r="P2047" t="inlineStr">
        <is>
          <t>SA9TAPLAF27414263 , Trailer , Tow Mate , Plant Trailer</t>
        </is>
      </c>
      <c r="Q2047" t="inlineStr">
        <is>
          <t>UKPN</t>
        </is>
      </c>
      <c r="R2047" t="b">
        <v>0</v>
      </c>
    </row>
    <row r="2048">
      <c r="A2048" t="inlineStr">
        <is>
          <t>10 Nov 2025 / 7806 Optimum Tree Services Ltd / Utilities / UKPN</t>
        </is>
      </c>
      <c r="B2048" t="inlineStr">
        <is>
          <t>Utilities</t>
        </is>
      </c>
      <c r="C2048" t="inlineStr">
        <is>
          <t>UKPN</t>
        </is>
      </c>
      <c r="D2048" t="inlineStr">
        <is>
          <t>WD14EVB , MEWP , Land Rover , Defender</t>
        </is>
      </c>
      <c r="E2048" t="inlineStr">
        <is>
          <t>WD14EVB , MEWP , Land Rover , Defender</t>
        </is>
      </c>
      <c r="F2048" t="inlineStr">
        <is>
          <t>WD14EVB , MEWP , Land Rover , Defender</t>
        </is>
      </c>
      <c r="G2048" t="inlineStr">
        <is>
          <t xml:space="preserve">Abraham Davies </t>
        </is>
      </c>
      <c r="H2048" t="inlineStr">
        <is>
          <t>4x4</t>
        </is>
      </c>
      <c r="I2048" t="inlineStr">
        <is>
          <t>Daily/ Weekly Vehicle Inspection</t>
        </is>
      </c>
      <c r="J2048" t="inlineStr">
        <is>
          <t>N/A</t>
        </is>
      </c>
      <c r="K2048" t="inlineStr">
        <is>
          <t>7806 Optimum Tree Services Ltd</t>
        </is>
      </c>
      <c r="L2048" t="inlineStr">
        <is>
          <t>10/11/2025 07:34</t>
        </is>
      </c>
      <c r="M2048" t="inlineStr">
        <is>
          <t>None</t>
        </is>
      </c>
      <c r="N2048" t="inlineStr">
        <is>
          <t>&lt;p&gt;&lt;/p&gt;</t>
        </is>
      </c>
      <c r="O2048" t="inlineStr"/>
      <c r="P2048" t="inlineStr">
        <is>
          <t>WD14EVB , MEWP , Land Rover , Defender</t>
        </is>
      </c>
      <c r="Q2048" t="inlineStr">
        <is>
          <t>UKPN</t>
        </is>
      </c>
      <c r="R2048" t="b">
        <v>0</v>
      </c>
    </row>
    <row r="2049">
      <c r="A2049" t="inlineStr">
        <is>
          <t>10 Nov 2025 / 7186 Eastwoodbury Tree Services Ltd / Utilities / UKPN</t>
        </is>
      </c>
      <c r="B2049" t="inlineStr">
        <is>
          <t>Utilities</t>
        </is>
      </c>
      <c r="C2049" t="inlineStr">
        <is>
          <t>UKPN</t>
        </is>
      </c>
      <c r="D2049" t="inlineStr">
        <is>
          <t>4x4 - Land rover  - Defenders  - WF13 EKM</t>
        </is>
      </c>
      <c r="E2049" t="inlineStr">
        <is>
          <t>4x4 - Land rover  - Defenders  - WF13 EKM</t>
        </is>
      </c>
      <c r="F2049" t="inlineStr">
        <is>
          <t>4x4 - Land rover  - Defenders  - WF13 EKM</t>
        </is>
      </c>
      <c r="G2049" t="inlineStr">
        <is>
          <t xml:space="preserve">Dan Gilbert </t>
        </is>
      </c>
      <c r="H2049" t="inlineStr">
        <is>
          <t>4x4</t>
        </is>
      </c>
      <c r="I2049" t="inlineStr">
        <is>
          <t>Daily/ Weekly Vehicle Inspection</t>
        </is>
      </c>
      <c r="J2049" t="inlineStr">
        <is>
          <t>N/A</t>
        </is>
      </c>
      <c r="K2049" t="inlineStr">
        <is>
          <t>7186 Eastwoodbury Tree Services Ltd</t>
        </is>
      </c>
      <c r="L2049" t="inlineStr">
        <is>
          <t>10/11/2025 07:34</t>
        </is>
      </c>
      <c r="M2049" t="inlineStr">
        <is>
          <t>None</t>
        </is>
      </c>
      <c r="N2049" t="inlineStr">
        <is>
          <t>&lt;p&gt;&lt;/p&gt;</t>
        </is>
      </c>
      <c r="O2049" t="inlineStr"/>
      <c r="P2049" t="inlineStr">
        <is>
          <t>4x4 - Land rover  - Defenders  - WF13 EKM</t>
        </is>
      </c>
      <c r="Q2049" t="inlineStr">
        <is>
          <t>UKPN</t>
        </is>
      </c>
      <c r="R2049" t="b">
        <v>0</v>
      </c>
    </row>
    <row r="2050">
      <c r="A2050" t="inlineStr">
        <is>
          <t>10 Nov 2025 / 7186 Eastwoodbury Tree Services Ltd / Utilities / UKPN</t>
        </is>
      </c>
      <c r="B2050" t="inlineStr">
        <is>
          <t>Utilities</t>
        </is>
      </c>
      <c r="C2050" t="inlineStr">
        <is>
          <t>UKPN</t>
        </is>
      </c>
      <c r="D2050" t="inlineStr">
        <is>
          <t>4x4 - Land rover  - Defender  - WF13 EKT</t>
        </is>
      </c>
      <c r="E2050" t="inlineStr">
        <is>
          <t>4x4 - Land rover  - Defender  - WF13 EKT</t>
        </is>
      </c>
      <c r="F2050" t="inlineStr">
        <is>
          <t>4x4 - Land rover  - Defender  - WF13 EKT</t>
        </is>
      </c>
      <c r="G2050" t="inlineStr">
        <is>
          <t xml:space="preserve">Tom price </t>
        </is>
      </c>
      <c r="H2050" t="inlineStr">
        <is>
          <t>4x4</t>
        </is>
      </c>
      <c r="I2050" t="inlineStr">
        <is>
          <t>Daily/ Weekly Vehicle Inspection</t>
        </is>
      </c>
      <c r="J2050" t="inlineStr">
        <is>
          <t>N/A</t>
        </is>
      </c>
      <c r="K2050" t="inlineStr">
        <is>
          <t>7186 Eastwoodbury Tree Services Ltd</t>
        </is>
      </c>
      <c r="L2050" t="inlineStr">
        <is>
          <t>10/11/2025 07:35</t>
        </is>
      </c>
      <c r="M2050" t="inlineStr">
        <is>
          <t>None</t>
        </is>
      </c>
      <c r="N2050" t="inlineStr">
        <is>
          <t>&lt;p&gt;&lt;/p&gt;</t>
        </is>
      </c>
      <c r="O2050" t="inlineStr"/>
      <c r="P2050" t="inlineStr">
        <is>
          <t>4x4 - Land rover  - Defender  - WF13 EKT</t>
        </is>
      </c>
      <c r="Q2050" t="inlineStr">
        <is>
          <t>UKPN</t>
        </is>
      </c>
      <c r="R2050" t="b">
        <v>0</v>
      </c>
    </row>
    <row r="2051">
      <c r="A2051" t="inlineStr">
        <is>
          <t>10 Nov 2025 / 7186 Eastwoodbury Tree Services Ltd / Utilities / UKPN</t>
        </is>
      </c>
      <c r="B2051" t="inlineStr">
        <is>
          <t>Utilities</t>
        </is>
      </c>
      <c r="C2051" t="inlineStr">
        <is>
          <t>UKPN</t>
        </is>
      </c>
      <c r="D2051" t="inlineStr">
        <is>
          <t>DN61XKJ , Tipper , Ford , Transit</t>
        </is>
      </c>
      <c r="E2051" t="inlineStr">
        <is>
          <t>DN61XKJ , Tipper , Ford , Transit</t>
        </is>
      </c>
      <c r="F2051" t="inlineStr">
        <is>
          <t>DN61XKJ , Tipper , Ford , Transit</t>
        </is>
      </c>
      <c r="G2051" t="inlineStr">
        <is>
          <t xml:space="preserve">Jay Denkmayer </t>
        </is>
      </c>
      <c r="H2051" t="inlineStr">
        <is>
          <t>Tipper</t>
        </is>
      </c>
      <c r="I2051" t="inlineStr">
        <is>
          <t>Daily/ Weekly Vehicle Inspection</t>
        </is>
      </c>
      <c r="J2051" t="inlineStr">
        <is>
          <t>N/A</t>
        </is>
      </c>
      <c r="K2051" t="inlineStr">
        <is>
          <t>7186 Eastwoodbury Tree Services Ltd</t>
        </is>
      </c>
      <c r="L2051" t="inlineStr">
        <is>
          <t>10/11/2025 07:35</t>
        </is>
      </c>
      <c r="M2051" t="inlineStr">
        <is>
          <t>None</t>
        </is>
      </c>
      <c r="N2051" t="inlineStr">
        <is>
          <t>&lt;p&gt;&lt;/p&gt;</t>
        </is>
      </c>
      <c r="O2051" t="inlineStr"/>
      <c r="P2051" t="inlineStr">
        <is>
          <t>DN61XKJ , Tipper , Ford , Transit</t>
        </is>
      </c>
      <c r="Q2051" t="inlineStr">
        <is>
          <t>UKPN</t>
        </is>
      </c>
      <c r="R2051" t="b">
        <v>0</v>
      </c>
    </row>
    <row r="2052">
      <c r="A2052" t="inlineStr">
        <is>
          <t>10 Nov 2025 / Anthony Gale / Utilities / UKPN</t>
        </is>
      </c>
      <c r="B2052" t="inlineStr">
        <is>
          <t>Utilities</t>
        </is>
      </c>
      <c r="C2052" t="inlineStr">
        <is>
          <t>UKPN</t>
        </is>
      </c>
      <c r="D2052" t="inlineStr">
        <is>
          <t>PE07 HGL , Vehicle , Mitsubishi , L200 K74</t>
        </is>
      </c>
      <c r="E2052" t="inlineStr">
        <is>
          <t>PE07 HGL , Vehicle , Mitsubishi , L200 K74</t>
        </is>
      </c>
      <c r="F2052" t="inlineStr">
        <is>
          <t>PE07 HGL , Vehicle , Mitsubishi , L200 K74</t>
        </is>
      </c>
      <c r="G2052" t="inlineStr">
        <is>
          <t xml:space="preserve">Anthony Gale </t>
        </is>
      </c>
      <c r="H2052" t="inlineStr">
        <is>
          <t>Pickup Truck</t>
        </is>
      </c>
      <c r="I2052" t="inlineStr">
        <is>
          <t>Daily/ Weekly Vehicle Inspection</t>
        </is>
      </c>
      <c r="J2052" t="inlineStr">
        <is>
          <t>N/A</t>
        </is>
      </c>
      <c r="K2052" t="inlineStr">
        <is>
          <t>7996 M G Tree Surgery Ltd 1</t>
        </is>
      </c>
      <c r="L2052" t="inlineStr">
        <is>
          <t>10/11/2025 07:38</t>
        </is>
      </c>
      <c r="M2052" t="inlineStr">
        <is>
          <t>None</t>
        </is>
      </c>
      <c r="N2052" t="inlineStr">
        <is>
          <t>&lt;p&gt;&lt;/p&gt;</t>
        </is>
      </c>
      <c r="O2052" t="inlineStr">
        <is>
          <t>Confirm that you have checked this vehicle as per the guidance document and the vehicle is safe and roadworthy:Drivers side wheel trim deteriorating.
Safe for now.
Monitor.
-</t>
        </is>
      </c>
      <c r="P2052" t="inlineStr">
        <is>
          <t>PE07 HGL , Vehicle , Mitsubishi , L200 K74</t>
        </is>
      </c>
      <c r="Q2052" t="inlineStr">
        <is>
          <t>UKPN</t>
        </is>
      </c>
      <c r="R2052" t="b">
        <v>0</v>
      </c>
    </row>
    <row r="2053">
      <c r="A2053" t="inlineStr">
        <is>
          <t>10 Nov 2025 / Anthony Gale / Utilities / UKPN</t>
        </is>
      </c>
      <c r="B2053" t="inlineStr">
        <is>
          <t>Utilities</t>
        </is>
      </c>
      <c r="C2053" t="inlineStr">
        <is>
          <t>UKPN</t>
        </is>
      </c>
      <c r="D2053" t="inlineStr"/>
      <c r="E2053" t="inlineStr"/>
      <c r="F2053" t="inlineStr"/>
      <c r="G2053" t="inlineStr">
        <is>
          <t xml:space="preserve">Anthony Gale </t>
        </is>
      </c>
      <c r="H2053" t="inlineStr">
        <is>
          <t>Towed Chipper</t>
        </is>
      </c>
      <c r="I2053" t="inlineStr">
        <is>
          <t>Daily/ Weekly Vehicle Inspection</t>
        </is>
      </c>
      <c r="J2053" t="inlineStr">
        <is>
          <t>N/A</t>
        </is>
      </c>
      <c r="K2053" t="inlineStr">
        <is>
          <t>7996 M G Tree Surgery Ltd 1</t>
        </is>
      </c>
      <c r="L2053" t="inlineStr">
        <is>
          <t>10/11/2025 07:39</t>
        </is>
      </c>
      <c r="M2053" t="inlineStr">
        <is>
          <t>None</t>
        </is>
      </c>
      <c r="N2053" t="inlineStr">
        <is>
          <t>&lt;p&gt;&lt;/p&gt;</t>
        </is>
      </c>
      <c r="O2053" t="inlineStr"/>
      <c r="P2053" t="inlineStr"/>
      <c r="Q2053" t="inlineStr">
        <is>
          <t>UKPN</t>
        </is>
      </c>
      <c r="R2053" t="b">
        <v>0</v>
      </c>
    </row>
    <row r="2054">
      <c r="A2054" t="inlineStr">
        <is>
          <t>10 Nov 2025 / 7800 MAC Tree Surgery and Fencing Ltd / Utilities / UKPN</t>
        </is>
      </c>
      <c r="B2054" t="inlineStr">
        <is>
          <t>Utilities</t>
        </is>
      </c>
      <c r="C2054" t="inlineStr">
        <is>
          <t>UKPN</t>
        </is>
      </c>
      <c r="D2054" t="inlineStr">
        <is>
          <t>Plant Trailer - Towmate - 2.8t - 0</t>
        </is>
      </c>
      <c r="E2054" t="inlineStr">
        <is>
          <t>Plant Trailer - Towmate - 2.8t - 0</t>
        </is>
      </c>
      <c r="F2054" t="inlineStr">
        <is>
          <t>Plant Trailer - Towmate - 2.8t - 0</t>
        </is>
      </c>
      <c r="G2054" t="inlineStr">
        <is>
          <t xml:space="preserve">Patrick O'Shea </t>
        </is>
      </c>
      <c r="H2054" t="inlineStr">
        <is>
          <t>Plant Trailer</t>
        </is>
      </c>
      <c r="I2054" t="inlineStr">
        <is>
          <t>Daily/ Weekly Vehicle Inspection</t>
        </is>
      </c>
      <c r="J2054" t="inlineStr">
        <is>
          <t>N/A</t>
        </is>
      </c>
      <c r="K2054" t="inlineStr">
        <is>
          <t>7800 MAC Tree Surgery and Fencing Ltd</t>
        </is>
      </c>
      <c r="L2054" t="inlineStr">
        <is>
          <t>10/11/2025 07:40</t>
        </is>
      </c>
      <c r="M2054" t="inlineStr">
        <is>
          <t>None</t>
        </is>
      </c>
      <c r="N2054" t="inlineStr">
        <is>
          <t>&lt;p&gt;&lt;/p&gt;</t>
        </is>
      </c>
      <c r="O2054" t="inlineStr"/>
      <c r="P2054" t="inlineStr">
        <is>
          <t>Plant Trailer - Towmate - 2.8t - 0</t>
        </is>
      </c>
      <c r="Q2054" t="inlineStr">
        <is>
          <t>UKPN</t>
        </is>
      </c>
      <c r="R2054" t="b">
        <v>0</v>
      </c>
    </row>
    <row r="2055">
      <c r="A2055" t="inlineStr">
        <is>
          <t>10 Nov 2025 / 7800 MAC Tree Surgery and Fencing Ltd / Utilities / UKPN</t>
        </is>
      </c>
      <c r="B2055" t="inlineStr">
        <is>
          <t>Utilities</t>
        </is>
      </c>
      <c r="C2055" t="inlineStr">
        <is>
          <t>UKPN</t>
        </is>
      </c>
      <c r="D2055" t="inlineStr">
        <is>
          <t>AY68DAA , 4x4 , Izuzu , Dmax</t>
        </is>
      </c>
      <c r="E2055" t="inlineStr">
        <is>
          <t>AY68DAA , 4x4 , Izuzu , Dmax</t>
        </is>
      </c>
      <c r="F2055" t="inlineStr">
        <is>
          <t>AY68DAA , 4x4 , Izuzu , Dmax</t>
        </is>
      </c>
      <c r="G2055" t="inlineStr">
        <is>
          <t xml:space="preserve">Patrick O'Shea </t>
        </is>
      </c>
      <c r="H2055" t="inlineStr">
        <is>
          <t>4x4</t>
        </is>
      </c>
      <c r="I2055" t="inlineStr">
        <is>
          <t>Daily/ Weekly Vehicle Inspection</t>
        </is>
      </c>
      <c r="J2055" t="inlineStr">
        <is>
          <t>N/A</t>
        </is>
      </c>
      <c r="K2055" t="inlineStr">
        <is>
          <t>7800 MAC Tree Surgery and Fencing Ltd</t>
        </is>
      </c>
      <c r="L2055" t="inlineStr">
        <is>
          <t>10/11/2025 07:40</t>
        </is>
      </c>
      <c r="M2055" t="inlineStr">
        <is>
          <t>None</t>
        </is>
      </c>
      <c r="N2055" t="inlineStr">
        <is>
          <t>&lt;p&gt;&lt;/p&gt;</t>
        </is>
      </c>
      <c r="O2055" t="inlineStr"/>
      <c r="P2055" t="inlineStr">
        <is>
          <t>AY68DAA , 4x4 , Izuzu , Dmax</t>
        </is>
      </c>
      <c r="Q2055" t="inlineStr">
        <is>
          <t>UKPN</t>
        </is>
      </c>
      <c r="R2055" t="b">
        <v>0</v>
      </c>
    </row>
    <row r="2056">
      <c r="A2056" t="inlineStr">
        <is>
          <t>10 Nov 2025 / 7889 Tree Tech Suffolk Ltd</t>
        </is>
      </c>
      <c r="B2056" t="inlineStr">
        <is>
          <t>Utilities &amp; Inland Waterways</t>
        </is>
      </c>
      <c r="C2056" t="inlineStr">
        <is>
          <t>UKPN</t>
        </is>
      </c>
      <c r="D2056" t="inlineStr">
        <is>
          <t>Tow Chipper - Jenson - A530L - 55210639484x4 - Isuzu - D-max - NS03 TTSTipper - Nissan - Navara - NS02TTS</t>
        </is>
      </c>
      <c r="E2056" t="inlineStr">
        <is>
          <t>Tow Chipper - Jenson - A530L - 55210639484x4 - Isuzu - D-max - NS03 TTSTipper - Nissan - Navara - NS02TTS</t>
        </is>
      </c>
      <c r="F2056" t="inlineStr">
        <is>
          <t>Tow Chipper - Jenson - A530L - 55210639484x4 - Isuzu - D-max - NS03 TTSTipper - Nissan - Navara - NS02TTS</t>
        </is>
      </c>
      <c r="G2056" t="inlineStr">
        <is>
          <t xml:space="preserve">Nikki sparrow Danny Appleby Nikki sparrow </t>
        </is>
      </c>
      <c r="H2056" t="inlineStr">
        <is>
          <t>Towed Chipper4x4Tipper</t>
        </is>
      </c>
      <c r="I2056" t="inlineStr">
        <is>
          <t>Daily/ Weekly Vehicle Inspection</t>
        </is>
      </c>
      <c r="J2056" t="inlineStr">
        <is>
          <t>N/A</t>
        </is>
      </c>
      <c r="K2056" t="inlineStr">
        <is>
          <t>7889 Tree Tech Suffolk Ltd</t>
        </is>
      </c>
      <c r="L2056" t="inlineStr">
        <is>
          <t>10/11/2025 07:42</t>
        </is>
      </c>
      <c r="M2056" t="inlineStr">
        <is>
          <t>None</t>
        </is>
      </c>
      <c r="N2056" t="inlineStr">
        <is>
          <t>&lt;p&gt;&lt;/p&gt;</t>
        </is>
      </c>
      <c r="O2056" t="inlineStr"/>
      <c r="P2056" t="inlineStr">
        <is>
          <t>Tow Chipper - Jenson - A530L - 55210639484x4 - Isuzu - D-max - NS03 TTSTipper - Nissan - Navara - NS02TTS</t>
        </is>
      </c>
      <c r="Q2056" t="inlineStr">
        <is>
          <t>UKPN</t>
        </is>
      </c>
      <c r="R2056" t="b">
        <v>0</v>
      </c>
    </row>
    <row r="2057">
      <c r="A2057" t="inlineStr">
        <is>
          <t>10 Nov 2025 / Thomas Playford / Utilities / UKPN</t>
        </is>
      </c>
      <c r="B2057" t="inlineStr">
        <is>
          <t>Utilities</t>
        </is>
      </c>
      <c r="C2057" t="inlineStr">
        <is>
          <t>UKPN</t>
        </is>
      </c>
      <c r="D2057" t="inlineStr">
        <is>
          <t>SA9ST800000283944 , Tow Chipper , Forst , ST8D - Towed</t>
        </is>
      </c>
      <c r="E2057" t="inlineStr">
        <is>
          <t>SA9ST800000283944 , Tow Chipper , Forst , ST8D - Towed</t>
        </is>
      </c>
      <c r="F2057" t="inlineStr">
        <is>
          <t>SA9ST800000283944 , Tow Chipper , Forst , ST8D - Towed</t>
        </is>
      </c>
      <c r="G2057" t="inlineStr">
        <is>
          <t>Jacob Oram</t>
        </is>
      </c>
      <c r="H2057" t="inlineStr">
        <is>
          <t>Towed Chipper</t>
        </is>
      </c>
      <c r="I2057" t="inlineStr">
        <is>
          <t>Daily/ Weekly Vehicle Inspection</t>
        </is>
      </c>
      <c r="J2057" t="inlineStr">
        <is>
          <t>N/A</t>
        </is>
      </c>
      <c r="K2057" t="inlineStr">
        <is>
          <t>7995 Green Net Eco Ltd 2</t>
        </is>
      </c>
      <c r="L2057" t="inlineStr">
        <is>
          <t>10/11/2025 08:32</t>
        </is>
      </c>
      <c r="M2057" t="inlineStr">
        <is>
          <t>None</t>
        </is>
      </c>
      <c r="N2057" t="inlineStr">
        <is>
          <t>&lt;p&gt;&lt;/p&gt;</t>
        </is>
      </c>
      <c r="O2057" t="inlineStr"/>
      <c r="P2057" t="inlineStr">
        <is>
          <t>SA9ST800000283944 , Tow Chipper , Forst , ST8D - Towed</t>
        </is>
      </c>
      <c r="Q2057" t="inlineStr">
        <is>
          <t>UKPN</t>
        </is>
      </c>
      <c r="R2057" t="b">
        <v>0</v>
      </c>
    </row>
    <row r="2058">
      <c r="A2058" t="inlineStr">
        <is>
          <t>10 Nov 2025 / Thomas Playford / Utilities / UKPN</t>
        </is>
      </c>
      <c r="B2058" t="inlineStr">
        <is>
          <t>Utilities</t>
        </is>
      </c>
      <c r="C2058" t="inlineStr">
        <is>
          <t>UKPN</t>
        </is>
      </c>
      <c r="D2058" t="inlineStr">
        <is>
          <t>4x4 - Landrover - Defender  - LK15KRZ</t>
        </is>
      </c>
      <c r="E2058" t="inlineStr">
        <is>
          <t>4x4 - Landrover - Defender  - LK15KRZ</t>
        </is>
      </c>
      <c r="F2058" t="inlineStr">
        <is>
          <t>4x4 - Landrover - Defender  - LK15KRZ</t>
        </is>
      </c>
      <c r="G2058" t="inlineStr">
        <is>
          <t>Jacob Oram</t>
        </is>
      </c>
      <c r="H2058" t="inlineStr">
        <is>
          <t>4x4</t>
        </is>
      </c>
      <c r="I2058" t="inlineStr">
        <is>
          <t>Daily/ Weekly Vehicle Inspection</t>
        </is>
      </c>
      <c r="J2058" t="inlineStr">
        <is>
          <t>N/A</t>
        </is>
      </c>
      <c r="K2058" t="inlineStr">
        <is>
          <t>7995 Green Net Eco Ltd 2</t>
        </is>
      </c>
      <c r="L2058" t="inlineStr">
        <is>
          <t>10/11/2025 08:33</t>
        </is>
      </c>
      <c r="M2058" t="inlineStr">
        <is>
          <t>None</t>
        </is>
      </c>
      <c r="N2058" t="inlineStr">
        <is>
          <t>&lt;p&gt;&lt;/p&gt;</t>
        </is>
      </c>
      <c r="O2058" t="inlineStr"/>
      <c r="P2058" t="inlineStr">
        <is>
          <t>4x4 - Landrover - Defender  - LK15KRZ</t>
        </is>
      </c>
      <c r="Q2058" t="inlineStr">
        <is>
          <t>UKPN</t>
        </is>
      </c>
      <c r="R2058" t="b">
        <v>0</v>
      </c>
    </row>
    <row r="2059">
      <c r="A2059" t="inlineStr">
        <is>
          <t>10 Nov 2025 / 7996 M G Tree Surgery Ltd / Utilities / UKPN</t>
        </is>
      </c>
      <c r="B2059" t="inlineStr">
        <is>
          <t>Utilities</t>
        </is>
      </c>
      <c r="C2059" t="inlineStr">
        <is>
          <t>UKPN</t>
        </is>
      </c>
      <c r="D2059" t="inlineStr">
        <is>
          <t>GU13 WNL , MEWP , Land Rover , Defender 130</t>
        </is>
      </c>
      <c r="E2059" t="inlineStr">
        <is>
          <t>GU13 WNL , MEWP , Land Rover , Defender 130</t>
        </is>
      </c>
      <c r="F2059" t="inlineStr">
        <is>
          <t>GU13 WNL , MEWP , Land Rover , Defender 130</t>
        </is>
      </c>
      <c r="G2059" t="inlineStr">
        <is>
          <t>Max</t>
        </is>
      </c>
      <c r="H2059" t="inlineStr">
        <is>
          <t>4x4</t>
        </is>
      </c>
      <c r="I2059" t="inlineStr">
        <is>
          <t>Daily/ Weekly Vehicle Inspection</t>
        </is>
      </c>
      <c r="J2059" t="inlineStr">
        <is>
          <t>N/A</t>
        </is>
      </c>
      <c r="K2059" t="inlineStr">
        <is>
          <t>7996 M G Tree Surgery Ltd</t>
        </is>
      </c>
      <c r="L2059" t="inlineStr">
        <is>
          <t>10/11/2025 08:34</t>
        </is>
      </c>
      <c r="M2059" t="inlineStr">
        <is>
          <t>None</t>
        </is>
      </c>
      <c r="N2059" t="inlineStr">
        <is>
          <t>&lt;p&gt;&lt;/p&gt;</t>
        </is>
      </c>
      <c r="O2059" t="inlineStr"/>
      <c r="P2059" t="inlineStr">
        <is>
          <t>GU13 WNL , MEWP , Land Rover , Defender 130</t>
        </is>
      </c>
      <c r="Q2059" t="inlineStr">
        <is>
          <t>UKPN</t>
        </is>
      </c>
      <c r="R2059" t="b">
        <v>0</v>
      </c>
    </row>
    <row r="2060">
      <c r="A2060" t="inlineStr">
        <is>
          <t>10 Nov 2025 / 3098 D &amp; R Landscapes / Utilities / UKPN</t>
        </is>
      </c>
      <c r="B2060" t="inlineStr">
        <is>
          <t>Utilities</t>
        </is>
      </c>
      <c r="C2060" t="inlineStr">
        <is>
          <t>UKPN</t>
        </is>
      </c>
      <c r="D2060" t="inlineStr"/>
      <c r="E2060" t="inlineStr"/>
      <c r="F2060" t="inlineStr"/>
      <c r="G2060" t="inlineStr">
        <is>
          <t>Josh pegrum</t>
        </is>
      </c>
      <c r="H2060" t="inlineStr">
        <is>
          <t>4x4</t>
        </is>
      </c>
      <c r="I2060" t="inlineStr">
        <is>
          <t>Daily/ Weekly Vehicle Inspection</t>
        </is>
      </c>
      <c r="J2060" t="inlineStr">
        <is>
          <t>N/A</t>
        </is>
      </c>
      <c r="K2060" t="inlineStr">
        <is>
          <t>3098 D &amp; R Landscapes</t>
        </is>
      </c>
      <c r="L2060" t="inlineStr">
        <is>
          <t>10/11/2025 08:39</t>
        </is>
      </c>
      <c r="M2060" t="inlineStr">
        <is>
          <t>None</t>
        </is>
      </c>
      <c r="N2060" t="inlineStr">
        <is>
          <t>&lt;p&gt;&lt;/p&gt;</t>
        </is>
      </c>
      <c r="O2060" t="inlineStr"/>
      <c r="P2060" t="inlineStr"/>
      <c r="Q2060" t="inlineStr">
        <is>
          <t>UKPN</t>
        </is>
      </c>
      <c r="R2060" t="b">
        <v>0</v>
      </c>
    </row>
    <row r="2061">
      <c r="A2061" t="inlineStr">
        <is>
          <t>10 Nov 2025 / 3098 D &amp; R Landscapes / Utilities / UKPN</t>
        </is>
      </c>
      <c r="B2061" t="inlineStr">
        <is>
          <t>Utilities</t>
        </is>
      </c>
      <c r="C2061" t="inlineStr">
        <is>
          <t>UKPN</t>
        </is>
      </c>
      <c r="D2061" t="inlineStr">
        <is>
          <t>WA13ZZK , 4x4 , Land Rover  , Defender</t>
        </is>
      </c>
      <c r="E2061" t="inlineStr">
        <is>
          <t>WA13ZZK , 4x4 , Land Rover  , Defender</t>
        </is>
      </c>
      <c r="F2061" t="inlineStr">
        <is>
          <t>WA13ZZK , 4x4 , Land Rover  , Defender</t>
        </is>
      </c>
      <c r="G2061" t="inlineStr">
        <is>
          <t>Chris Robinson</t>
        </is>
      </c>
      <c r="H2061" t="inlineStr">
        <is>
          <t>4x4</t>
        </is>
      </c>
      <c r="I2061" t="inlineStr">
        <is>
          <t>Daily/ Weekly Vehicle Inspection</t>
        </is>
      </c>
      <c r="J2061" t="inlineStr">
        <is>
          <t>N/A</t>
        </is>
      </c>
      <c r="K2061" t="inlineStr">
        <is>
          <t>3098 D &amp; R Landscapes</t>
        </is>
      </c>
      <c r="L2061" t="inlineStr">
        <is>
          <t>10/11/2025 08:41</t>
        </is>
      </c>
      <c r="M2061" t="inlineStr">
        <is>
          <t>None</t>
        </is>
      </c>
      <c r="N2061" t="inlineStr">
        <is>
          <t>&lt;p&gt;&lt;/p&gt;</t>
        </is>
      </c>
      <c r="O2061" t="inlineStr"/>
      <c r="P2061" t="inlineStr">
        <is>
          <t>WA13ZZK , 4x4 , Land Rover  , Defender</t>
        </is>
      </c>
      <c r="Q2061" t="inlineStr">
        <is>
          <t>UKPN</t>
        </is>
      </c>
      <c r="R2061" t="b">
        <v>0</v>
      </c>
    </row>
    <row r="2062">
      <c r="A2062" t="inlineStr">
        <is>
          <t>10 Nov 2025 / 3098 D &amp; R Landscapes / Utilities / UKPN</t>
        </is>
      </c>
      <c r="B2062" t="inlineStr">
        <is>
          <t>Utilities</t>
        </is>
      </c>
      <c r="C2062" t="inlineStr">
        <is>
          <t>UKPN</t>
        </is>
      </c>
      <c r="D2062" t="inlineStr">
        <is>
          <t>Vehicle - Nissan - Navara - BT20 GNZ</t>
        </is>
      </c>
      <c r="E2062" t="inlineStr">
        <is>
          <t>Vehicle - Nissan - Navara - BT20 GNZ</t>
        </is>
      </c>
      <c r="F2062" t="inlineStr">
        <is>
          <t>Vehicle - Nissan - Navara - BT20 GNZ</t>
        </is>
      </c>
      <c r="G2062" t="inlineStr">
        <is>
          <t xml:space="preserve">Jason MCCLOY </t>
        </is>
      </c>
      <c r="H2062" t="inlineStr">
        <is>
          <t>4x4</t>
        </is>
      </c>
      <c r="I2062" t="inlineStr">
        <is>
          <t>Daily/ Weekly Vehicle Inspection</t>
        </is>
      </c>
      <c r="J2062" t="inlineStr">
        <is>
          <t>N/A</t>
        </is>
      </c>
      <c r="K2062" t="inlineStr">
        <is>
          <t>3098 D &amp; R Landscapes</t>
        </is>
      </c>
      <c r="L2062" t="inlineStr">
        <is>
          <t>10/11/2025 08:42</t>
        </is>
      </c>
      <c r="M2062" t="inlineStr">
        <is>
          <t>None</t>
        </is>
      </c>
      <c r="N2062" t="inlineStr">
        <is>
          <t>&lt;p&gt;&lt;/p&gt;</t>
        </is>
      </c>
      <c r="O2062" t="inlineStr"/>
      <c r="P2062" t="inlineStr">
        <is>
          <t>Vehicle - Nissan - Navara - BT20 GNZ</t>
        </is>
      </c>
      <c r="Q2062" t="inlineStr">
        <is>
          <t>UKPN</t>
        </is>
      </c>
      <c r="R2062" t="b">
        <v>0</v>
      </c>
    </row>
    <row r="2063">
      <c r="A2063" t="inlineStr">
        <is>
          <t>10 Nov 2025 / Joshua Stones / Utilities / SSE</t>
        </is>
      </c>
      <c r="B2063" t="inlineStr">
        <is>
          <t>Utilities</t>
        </is>
      </c>
      <c r="C2063" t="inlineStr">
        <is>
          <t>SSE</t>
        </is>
      </c>
      <c r="D2063" t="inlineStr"/>
      <c r="E2063" t="inlineStr"/>
      <c r="F2063" t="inlineStr"/>
      <c r="G2063" t="inlineStr">
        <is>
          <t>Joshua stones</t>
        </is>
      </c>
      <c r="H2063" t="inlineStr">
        <is>
          <t>Van</t>
        </is>
      </c>
      <c r="I2063" t="inlineStr">
        <is>
          <t>Daily/ Weekly Vehicle Inspection</t>
        </is>
      </c>
      <c r="J2063" t="inlineStr">
        <is>
          <t>N/A</t>
        </is>
      </c>
      <c r="K2063" t="inlineStr">
        <is>
          <t>Joshua Stones</t>
        </is>
      </c>
      <c r="L2063" t="inlineStr">
        <is>
          <t>10/11/2025 10:35</t>
        </is>
      </c>
      <c r="M2063" t="inlineStr">
        <is>
          <t>None</t>
        </is>
      </c>
      <c r="N2063" t="inlineStr">
        <is>
          <t>&lt;p&gt;&lt;/p&gt;</t>
        </is>
      </c>
      <c r="O2063" t="inlineStr"/>
      <c r="P2063" t="inlineStr"/>
      <c r="Q2063" t="inlineStr">
        <is>
          <t>SSE</t>
        </is>
      </c>
      <c r="R2063" t="b">
        <v>0</v>
      </c>
    </row>
    <row r="2064">
      <c r="A2064" t="inlineStr">
        <is>
          <t>10 Nov 2025 / Paul Chubb / Utilities / SSE</t>
        </is>
      </c>
      <c r="B2064" t="inlineStr">
        <is>
          <t>Utilities</t>
        </is>
      </c>
      <c r="C2064" t="inlineStr">
        <is>
          <t>SSE</t>
        </is>
      </c>
      <c r="D2064" t="inlineStr"/>
      <c r="E2064" t="inlineStr"/>
      <c r="F2064" t="inlineStr"/>
      <c r="G2064" t="inlineStr">
        <is>
          <t>Paul chubb</t>
        </is>
      </c>
      <c r="H2064" t="inlineStr">
        <is>
          <t>Van</t>
        </is>
      </c>
      <c r="I2064" t="inlineStr">
        <is>
          <t>Daily/ Weekly Vehicle Inspection</t>
        </is>
      </c>
      <c r="J2064" t="inlineStr">
        <is>
          <t>N/A</t>
        </is>
      </c>
      <c r="K2064" t="inlineStr">
        <is>
          <t>Paul Chubb</t>
        </is>
      </c>
      <c r="L2064" t="inlineStr">
        <is>
          <t>10/11/2025 10:37</t>
        </is>
      </c>
      <c r="M2064" t="inlineStr">
        <is>
          <t>None</t>
        </is>
      </c>
      <c r="N2064" t="inlineStr">
        <is>
          <t>&lt;p&gt;&lt;/p&gt;</t>
        </is>
      </c>
      <c r="O2064" t="inlineStr"/>
      <c r="P2064" t="inlineStr"/>
      <c r="Q2064" t="inlineStr">
        <is>
          <t>SSE</t>
        </is>
      </c>
      <c r="R2064" t="b">
        <v>0</v>
      </c>
    </row>
    <row r="2065">
      <c r="A2065" t="inlineStr">
        <is>
          <t>10 Nov 2025 / Christopher Simeoli / Utilities / NGED</t>
        </is>
      </c>
      <c r="B2065" t="inlineStr">
        <is>
          <t>Utilities</t>
        </is>
      </c>
      <c r="C2065" t="inlineStr">
        <is>
          <t>NGED</t>
        </is>
      </c>
      <c r="D2065" t="inlineStr">
        <is>
          <t>EO73KVB , Car - Electric , Kia , Niro</t>
        </is>
      </c>
      <c r="E2065" t="inlineStr">
        <is>
          <t>EO73KVB , Car - Electric , Kia , Niro</t>
        </is>
      </c>
      <c r="F2065" t="inlineStr">
        <is>
          <t>EO73KVB , Car - Electric , Kia , Niro</t>
        </is>
      </c>
      <c r="G2065" t="inlineStr">
        <is>
          <t>Chris Simeoli</t>
        </is>
      </c>
      <c r="H2065" t="inlineStr">
        <is>
          <t>Car - Electric (GC Owned)</t>
        </is>
      </c>
      <c r="I2065" t="inlineStr">
        <is>
          <t>Daily/ Weekly Vehicle Inspection</t>
        </is>
      </c>
      <c r="J2065" t="inlineStr">
        <is>
          <t>N/A</t>
        </is>
      </c>
      <c r="K2065" t="inlineStr">
        <is>
          <t>Christopher Simeoli</t>
        </is>
      </c>
      <c r="L2065" t="inlineStr">
        <is>
          <t>10/11/2025 13:32</t>
        </is>
      </c>
      <c r="M2065" t="inlineStr">
        <is>
          <t>None</t>
        </is>
      </c>
      <c r="N2065" t="inlineStr">
        <is>
          <t>&lt;p&gt;&lt;/p&gt;</t>
        </is>
      </c>
      <c r="O2065" t="inlineStr"/>
      <c r="P2065" t="inlineStr">
        <is>
          <t>EO73KVB , Car - Electric , Kia , Niro</t>
        </is>
      </c>
      <c r="Q2065" t="inlineStr">
        <is>
          <t>NGED</t>
        </is>
      </c>
      <c r="R2065" t="b">
        <v>0</v>
      </c>
    </row>
    <row r="2066">
      <c r="A2066" t="inlineStr">
        <is>
          <t>10 Nov 2025 / Chris Huntley / Utilities / UKPN</t>
        </is>
      </c>
      <c r="B2066" t="inlineStr">
        <is>
          <t>Utilities</t>
        </is>
      </c>
      <c r="C2066" t="inlineStr">
        <is>
          <t>UKPN</t>
        </is>
      </c>
      <c r="D2066" t="inlineStr">
        <is>
          <t>EX18DCY , 4x4 , Ford , Ranger</t>
        </is>
      </c>
      <c r="E2066" t="inlineStr">
        <is>
          <t>EX18DCY , 4x4 , Ford , Ranger</t>
        </is>
      </c>
      <c r="F2066" t="inlineStr">
        <is>
          <t>EX18DCY , 4x4 , Ford , Ranger</t>
        </is>
      </c>
      <c r="G2066" t="inlineStr">
        <is>
          <t xml:space="preserve">Chris Huntley </t>
        </is>
      </c>
      <c r="H2066" t="inlineStr">
        <is>
          <t>Pickup Truck</t>
        </is>
      </c>
      <c r="I2066" t="inlineStr">
        <is>
          <t>Daily/ Weekly Vehicle Inspection</t>
        </is>
      </c>
      <c r="J2066" t="inlineStr">
        <is>
          <t>N/A</t>
        </is>
      </c>
      <c r="K2066" t="inlineStr">
        <is>
          <t>Chris Huntley</t>
        </is>
      </c>
      <c r="L2066" t="inlineStr">
        <is>
          <t>10/11/2025 16:32</t>
        </is>
      </c>
      <c r="M2066" t="inlineStr">
        <is>
          <t>None</t>
        </is>
      </c>
      <c r="N2066" t="inlineStr">
        <is>
          <t>&lt;p&gt;&lt;/p&gt;</t>
        </is>
      </c>
      <c r="O2066" t="inlineStr"/>
      <c r="P2066" t="inlineStr">
        <is>
          <t>EX18DCY , 4x4 , Ford , Ranger</t>
        </is>
      </c>
      <c r="Q2066" t="inlineStr">
        <is>
          <t>UKPN</t>
        </is>
      </c>
      <c r="R2066" t="b">
        <v>0</v>
      </c>
    </row>
    <row r="2067">
      <c r="A2067" t="inlineStr">
        <is>
          <t>11 Nov 2025 / 7186 Eastwoodbury Tree Services Ltd / Utilities / UKPN</t>
        </is>
      </c>
      <c r="B2067" t="inlineStr">
        <is>
          <t>Utilities</t>
        </is>
      </c>
      <c r="C2067" t="inlineStr">
        <is>
          <t>UKPN</t>
        </is>
      </c>
      <c r="D2067" t="inlineStr">
        <is>
          <t>4x4 - Land rover  - Defenders  - WF13 EKM</t>
        </is>
      </c>
      <c r="E2067" t="inlineStr">
        <is>
          <t>4x4 - Land rover  - Defenders  - WF13 EKM</t>
        </is>
      </c>
      <c r="F2067" t="inlineStr">
        <is>
          <t>4x4 - Land rover  - Defenders  - WF13 EKM</t>
        </is>
      </c>
      <c r="G2067" t="inlineStr">
        <is>
          <t xml:space="preserve">Dan Gilbert </t>
        </is>
      </c>
      <c r="H2067" t="inlineStr">
        <is>
          <t>4x4</t>
        </is>
      </c>
      <c r="I2067" t="inlineStr">
        <is>
          <t>Daily/ Weekly Vehicle Inspection</t>
        </is>
      </c>
      <c r="J2067" t="inlineStr">
        <is>
          <t>N/A</t>
        </is>
      </c>
      <c r="K2067" t="inlineStr">
        <is>
          <t>7186 Eastwoodbury Tree Services Ltd</t>
        </is>
      </c>
      <c r="L2067" t="inlineStr">
        <is>
          <t>11/11/2025 07:32</t>
        </is>
      </c>
      <c r="M2067" t="inlineStr">
        <is>
          <t>None</t>
        </is>
      </c>
      <c r="N2067" t="inlineStr">
        <is>
          <t>&lt;p&gt;&lt;/p&gt;</t>
        </is>
      </c>
      <c r="O2067" t="inlineStr"/>
      <c r="P2067" t="inlineStr">
        <is>
          <t>4x4 - Land rover  - Defenders  - WF13 EKM</t>
        </is>
      </c>
      <c r="Q2067" t="inlineStr">
        <is>
          <t>UKPN</t>
        </is>
      </c>
      <c r="R2067" t="b">
        <v>0</v>
      </c>
    </row>
    <row r="2068">
      <c r="A2068" t="inlineStr">
        <is>
          <t>11 Nov 2025 / 7186 Eastwoodbury Tree Services Ltd / Utilities / UKPN</t>
        </is>
      </c>
      <c r="B2068" t="inlineStr">
        <is>
          <t>Utilities</t>
        </is>
      </c>
      <c r="C2068" t="inlineStr">
        <is>
          <t>UKPN</t>
        </is>
      </c>
      <c r="D2068" t="inlineStr">
        <is>
          <t>4x4 - Land rover  - Defender  - WF13 EKT</t>
        </is>
      </c>
      <c r="E2068" t="inlineStr">
        <is>
          <t>4x4 - Land rover  - Defender  - WF13 EKT</t>
        </is>
      </c>
      <c r="F2068" t="inlineStr">
        <is>
          <t>4x4 - Land rover  - Defender  - WF13 EKT</t>
        </is>
      </c>
      <c r="G2068" t="inlineStr">
        <is>
          <t xml:space="preserve">Tom Price </t>
        </is>
      </c>
      <c r="H2068" t="inlineStr">
        <is>
          <t>4x4</t>
        </is>
      </c>
      <c r="I2068" t="inlineStr">
        <is>
          <t>Daily/ Weekly Vehicle Inspection</t>
        </is>
      </c>
      <c r="J2068" t="inlineStr">
        <is>
          <t>N/A</t>
        </is>
      </c>
      <c r="K2068" t="inlineStr">
        <is>
          <t>7186 Eastwoodbury Tree Services Ltd</t>
        </is>
      </c>
      <c r="L2068" t="inlineStr">
        <is>
          <t>11/11/2025 07:32</t>
        </is>
      </c>
      <c r="M2068" t="inlineStr">
        <is>
          <t>None</t>
        </is>
      </c>
      <c r="N2068" t="inlineStr">
        <is>
          <t>&lt;p&gt;&lt;/p&gt;</t>
        </is>
      </c>
      <c r="O2068" t="inlineStr"/>
      <c r="P2068" t="inlineStr">
        <is>
          <t>4x4 - Land rover  - Defender  - WF13 EKT</t>
        </is>
      </c>
      <c r="Q2068" t="inlineStr">
        <is>
          <t>UKPN</t>
        </is>
      </c>
      <c r="R2068" t="b">
        <v>0</v>
      </c>
    </row>
    <row r="2069">
      <c r="A2069" t="inlineStr">
        <is>
          <t>11 Nov 2025 / 3098 D &amp; R Landscapes / Utilities / UKPN</t>
        </is>
      </c>
      <c r="B2069" t="inlineStr">
        <is>
          <t>Utilities</t>
        </is>
      </c>
      <c r="C2069" t="inlineStr">
        <is>
          <t>UKPN</t>
        </is>
      </c>
      <c r="D2069" t="inlineStr">
        <is>
          <t>Vehicle - Nissan - Navara - BT20 GNZ</t>
        </is>
      </c>
      <c r="E2069" t="inlineStr">
        <is>
          <t>Vehicle - Nissan - Navara - BT20 GNZ</t>
        </is>
      </c>
      <c r="F2069" t="inlineStr">
        <is>
          <t>Vehicle - Nissan - Navara - BT20 GNZ</t>
        </is>
      </c>
      <c r="G2069" t="inlineStr">
        <is>
          <t>Chris</t>
        </is>
      </c>
      <c r="H2069" t="inlineStr">
        <is>
          <t>Pickup Truck</t>
        </is>
      </c>
      <c r="I2069" t="inlineStr">
        <is>
          <t>Daily/ Weekly Vehicle Inspection</t>
        </is>
      </c>
      <c r="J2069" t="inlineStr">
        <is>
          <t>N/A</t>
        </is>
      </c>
      <c r="K2069" t="inlineStr">
        <is>
          <t>3098 D &amp; R Landscapes</t>
        </is>
      </c>
      <c r="L2069" t="inlineStr">
        <is>
          <t>11/11/2025 07:33</t>
        </is>
      </c>
      <c r="M2069" t="inlineStr">
        <is>
          <t>None</t>
        </is>
      </c>
      <c r="N2069" t="inlineStr">
        <is>
          <t>&lt;p&gt;&lt;/p&gt;</t>
        </is>
      </c>
      <c r="O2069" t="inlineStr"/>
      <c r="P2069" t="inlineStr">
        <is>
          <t>Vehicle - Nissan - Navara - BT20 GNZ</t>
        </is>
      </c>
      <c r="Q2069" t="inlineStr">
        <is>
          <t>UKPN</t>
        </is>
      </c>
      <c r="R2069" t="b">
        <v>0</v>
      </c>
    </row>
    <row r="2070">
      <c r="A2070" t="inlineStr">
        <is>
          <t>11 Nov 2025 / 3098 D &amp; R Landscapes / Utilities / UKPN</t>
        </is>
      </c>
      <c r="B2070" t="inlineStr">
        <is>
          <t>Utilities</t>
        </is>
      </c>
      <c r="C2070" t="inlineStr">
        <is>
          <t>UKPN</t>
        </is>
      </c>
      <c r="D2070" t="inlineStr">
        <is>
          <t>WA13ZZK , 4x4 , Land Rover  , Defender</t>
        </is>
      </c>
      <c r="E2070" t="inlineStr">
        <is>
          <t>WA13ZZK , 4x4 , Land Rover  , Defender</t>
        </is>
      </c>
      <c r="F2070" t="inlineStr">
        <is>
          <t>WA13ZZK , 4x4 , Land Rover  , Defender</t>
        </is>
      </c>
      <c r="G2070" t="inlineStr">
        <is>
          <t>Jason</t>
        </is>
      </c>
      <c r="H2070" t="inlineStr">
        <is>
          <t>Pickup Truck</t>
        </is>
      </c>
      <c r="I2070" t="inlineStr">
        <is>
          <t>Daily/ Weekly Vehicle Inspection</t>
        </is>
      </c>
      <c r="J2070" t="inlineStr">
        <is>
          <t>N/A</t>
        </is>
      </c>
      <c r="K2070" t="inlineStr">
        <is>
          <t>3098 D &amp; R Landscapes</t>
        </is>
      </c>
      <c r="L2070" t="inlineStr">
        <is>
          <t>11/11/2025 07:34</t>
        </is>
      </c>
      <c r="M2070" t="inlineStr">
        <is>
          <t>None</t>
        </is>
      </c>
      <c r="N2070" t="inlineStr">
        <is>
          <t>&lt;p&gt;&lt;/p&gt;</t>
        </is>
      </c>
      <c r="O2070" t="inlineStr"/>
      <c r="P2070" t="inlineStr">
        <is>
          <t>WA13ZZK , 4x4 , Land Rover  , Defender</t>
        </is>
      </c>
      <c r="Q2070" t="inlineStr">
        <is>
          <t>UKPN</t>
        </is>
      </c>
      <c r="R2070" t="b">
        <v>0</v>
      </c>
    </row>
    <row r="2071">
      <c r="A2071" t="inlineStr">
        <is>
          <t>11 Nov 2025 / 7806 Optimum Tree Services Ltd / Utilities / UKPN</t>
        </is>
      </c>
      <c r="B2071" t="inlineStr">
        <is>
          <t>Utilities</t>
        </is>
      </c>
      <c r="C2071" t="inlineStr">
        <is>
          <t>UKPN</t>
        </is>
      </c>
      <c r="D2071" t="inlineStr">
        <is>
          <t>Tipper - Ford - Transit - NA10SYZ</t>
        </is>
      </c>
      <c r="E2071" t="inlineStr">
        <is>
          <t>Tipper - Ford - Transit - NA10SYZ</t>
        </is>
      </c>
      <c r="F2071" t="inlineStr">
        <is>
          <t>Tipper - Ford - Transit - NA10SYZ</t>
        </is>
      </c>
      <c r="G2071" t="inlineStr">
        <is>
          <t xml:space="preserve">Kenney Aldred </t>
        </is>
      </c>
      <c r="H2071" t="inlineStr">
        <is>
          <t>Tipper</t>
        </is>
      </c>
      <c r="I2071" t="inlineStr">
        <is>
          <t>Daily/ Weekly Vehicle Inspection</t>
        </is>
      </c>
      <c r="J2071" t="inlineStr">
        <is>
          <t>N/A</t>
        </is>
      </c>
      <c r="K2071" t="inlineStr">
        <is>
          <t>7806 Optimum Tree Services Ltd</t>
        </is>
      </c>
      <c r="L2071" t="inlineStr">
        <is>
          <t>11/11/2025 07:35</t>
        </is>
      </c>
      <c r="M2071" t="inlineStr">
        <is>
          <t>None</t>
        </is>
      </c>
      <c r="N2071" t="inlineStr">
        <is>
          <t>&lt;p&gt;&lt;/p&gt;</t>
        </is>
      </c>
      <c r="O2071" t="inlineStr"/>
      <c r="P2071" t="inlineStr">
        <is>
          <t>Tipper - Ford - Transit - NA10SYZ</t>
        </is>
      </c>
      <c r="Q2071" t="inlineStr">
        <is>
          <t>UKPN</t>
        </is>
      </c>
      <c r="R2071" t="b">
        <v>0</v>
      </c>
    </row>
    <row r="2072">
      <c r="A2072" t="inlineStr">
        <is>
          <t>11 Nov 2025 / 7806 Optimum Tree Services Ltd / Utilities / UKPN</t>
        </is>
      </c>
      <c r="B2072" t="inlineStr">
        <is>
          <t>Utilities</t>
        </is>
      </c>
      <c r="C2072" t="inlineStr">
        <is>
          <t>UKPN</t>
        </is>
      </c>
      <c r="D2072" t="inlineStr">
        <is>
          <t>4x4 - Landrover  - Defender  - Wd14evn</t>
        </is>
      </c>
      <c r="E2072" t="inlineStr">
        <is>
          <t>4x4 - Landrover  - Defender  - Wd14evn</t>
        </is>
      </c>
      <c r="F2072" t="inlineStr">
        <is>
          <t>4x4 - Landrover  - Defender  - Wd14evn</t>
        </is>
      </c>
      <c r="G2072" t="inlineStr">
        <is>
          <t xml:space="preserve">Lewis Davies </t>
        </is>
      </c>
      <c r="H2072" t="inlineStr">
        <is>
          <t>4x4</t>
        </is>
      </c>
      <c r="I2072" t="inlineStr">
        <is>
          <t>Daily/ Weekly Vehicle Inspection</t>
        </is>
      </c>
      <c r="J2072" t="inlineStr">
        <is>
          <t>N/A</t>
        </is>
      </c>
      <c r="K2072" t="inlineStr">
        <is>
          <t>7806 Optimum Tree Services Ltd</t>
        </is>
      </c>
      <c r="L2072" t="inlineStr">
        <is>
          <t>11/11/2025 07:37</t>
        </is>
      </c>
      <c r="M2072" t="inlineStr">
        <is>
          <t>None</t>
        </is>
      </c>
      <c r="N2072" t="inlineStr">
        <is>
          <t>&lt;p&gt;&lt;/p&gt;</t>
        </is>
      </c>
      <c r="O2072" t="inlineStr"/>
      <c r="P2072" t="inlineStr">
        <is>
          <t>4x4 - Landrover  - Defender  - Wd14evn</t>
        </is>
      </c>
      <c r="Q2072" t="inlineStr">
        <is>
          <t>UKPN</t>
        </is>
      </c>
      <c r="R2072" t="b">
        <v>0</v>
      </c>
    </row>
    <row r="2073">
      <c r="A2073" t="inlineStr">
        <is>
          <t>11 Nov 2025 / 7889 Tree Tech Suffolk Ltd</t>
        </is>
      </c>
      <c r="B2073" t="inlineStr">
        <is>
          <t>Utilities &amp; Inland Waterways</t>
        </is>
      </c>
      <c r="C2073" t="inlineStr">
        <is>
          <t>UKPN</t>
        </is>
      </c>
      <c r="D2073" t="inlineStr">
        <is>
          <t>Tow Chipper - Jenson - A530L - 55210639484x4 - Isuzu - D-max - NS03 TTSTipper - Nissan - Navara - NS02TTS</t>
        </is>
      </c>
      <c r="E2073" t="inlineStr">
        <is>
          <t>Tow Chipper - Jenson - A530L - 55210639484x4 - Isuzu - D-max - NS03 TTSTipper - Nissan - Navara - NS02TTS</t>
        </is>
      </c>
      <c r="F2073" t="inlineStr">
        <is>
          <t>Tow Chipper - Jenson - A530L - 55210639484x4 - Isuzu - D-max - NS03 TTSTipper - Nissan - Navara - NS02TTS</t>
        </is>
      </c>
      <c r="G2073" t="inlineStr">
        <is>
          <t xml:space="preserve">Danny Appleby Danny Appleby Nikki sparrow </t>
        </is>
      </c>
      <c r="H2073" t="inlineStr">
        <is>
          <t>Towed Chipper4x4Tipper</t>
        </is>
      </c>
      <c r="I2073" t="inlineStr">
        <is>
          <t>Daily/ Weekly Vehicle Inspection</t>
        </is>
      </c>
      <c r="J2073" t="inlineStr">
        <is>
          <t>N/A</t>
        </is>
      </c>
      <c r="K2073" t="inlineStr">
        <is>
          <t>7889 Tree Tech Suffolk Ltd</t>
        </is>
      </c>
      <c r="L2073" t="inlineStr">
        <is>
          <t>11/11/2025 07:38</t>
        </is>
      </c>
      <c r="M2073" t="inlineStr">
        <is>
          <t>None</t>
        </is>
      </c>
      <c r="N2073" t="inlineStr">
        <is>
          <t>&lt;p&gt;&lt;/p&gt;</t>
        </is>
      </c>
      <c r="O2073" t="inlineStr">
        <is>
          <t>Select Vehicle:NS08 TTS</t>
        </is>
      </c>
      <c r="P2073" t="inlineStr">
        <is>
          <t>Tow Chipper - Jenson - A530L - 55210639484x4 - Isuzu - D-max - NS03 TTSTipper - Nissan - Navara - NS02TTS</t>
        </is>
      </c>
      <c r="Q2073" t="inlineStr">
        <is>
          <t>UKPN</t>
        </is>
      </c>
      <c r="R2073" t="b">
        <v>0</v>
      </c>
    </row>
    <row r="2074">
      <c r="A2074" t="inlineStr">
        <is>
          <t>11 Nov 2025 / 7806 Optimum Tree Services Ltd / Utilities / UKPN</t>
        </is>
      </c>
      <c r="B2074" t="inlineStr">
        <is>
          <t>Utilities</t>
        </is>
      </c>
      <c r="C2074" t="inlineStr">
        <is>
          <t>UKPN</t>
        </is>
      </c>
      <c r="D2074" t="inlineStr">
        <is>
          <t>SA9TAPLAF27414263 , Trailer , Tow Mate , Plant Trailer</t>
        </is>
      </c>
      <c r="E2074" t="inlineStr">
        <is>
          <t>SA9TAPLAF27414263 , Trailer , Tow Mate , Plant Trailer</t>
        </is>
      </c>
      <c r="F2074" t="inlineStr">
        <is>
          <t>SA9TAPLAF27414263 , Trailer , Tow Mate , Plant Trailer</t>
        </is>
      </c>
      <c r="G2074" t="inlineStr">
        <is>
          <t xml:space="preserve">Abraham Davies </t>
        </is>
      </c>
      <c r="H2074" t="inlineStr">
        <is>
          <t>Plant Trailer</t>
        </is>
      </c>
      <c r="I2074" t="inlineStr">
        <is>
          <t>Daily/ Weekly Vehicle Inspection</t>
        </is>
      </c>
      <c r="J2074" t="inlineStr">
        <is>
          <t>N/A</t>
        </is>
      </c>
      <c r="K2074" t="inlineStr">
        <is>
          <t>7806 Optimum Tree Services Ltd</t>
        </is>
      </c>
      <c r="L2074" t="inlineStr">
        <is>
          <t>11/11/2025 07:39</t>
        </is>
      </c>
      <c r="M2074" t="inlineStr">
        <is>
          <t>None</t>
        </is>
      </c>
      <c r="N2074" t="inlineStr">
        <is>
          <t>&lt;p&gt;&lt;/p&gt;</t>
        </is>
      </c>
      <c r="O2074" t="inlineStr"/>
      <c r="P2074" t="inlineStr">
        <is>
          <t>SA9TAPLAF27414263 , Trailer , Tow Mate , Plant Trailer</t>
        </is>
      </c>
      <c r="Q2074" t="inlineStr">
        <is>
          <t>UKPN</t>
        </is>
      </c>
      <c r="R2074" t="b">
        <v>0</v>
      </c>
    </row>
    <row r="2075">
      <c r="A2075" t="inlineStr">
        <is>
          <t>11 Nov 2025 / 7806 Optimum Tree Services Ltd / Utilities / UKPN</t>
        </is>
      </c>
      <c r="B2075" t="inlineStr">
        <is>
          <t>Utilities</t>
        </is>
      </c>
      <c r="C2075" t="inlineStr">
        <is>
          <t>UKPN</t>
        </is>
      </c>
      <c r="D2075" t="inlineStr">
        <is>
          <t>WD14EVB , MEWP , Land Rover , Defender</t>
        </is>
      </c>
      <c r="E2075" t="inlineStr">
        <is>
          <t>WD14EVB , MEWP , Land Rover , Defender</t>
        </is>
      </c>
      <c r="F2075" t="inlineStr">
        <is>
          <t>WD14EVB , MEWP , Land Rover , Defender</t>
        </is>
      </c>
      <c r="G2075" t="inlineStr">
        <is>
          <t xml:space="preserve">Abraham Davies </t>
        </is>
      </c>
      <c r="H2075" t="inlineStr">
        <is>
          <t>4x4</t>
        </is>
      </c>
      <c r="I2075" t="inlineStr">
        <is>
          <t>Daily/ Weekly Vehicle Inspection</t>
        </is>
      </c>
      <c r="J2075" t="inlineStr">
        <is>
          <t>N/A</t>
        </is>
      </c>
      <c r="K2075" t="inlineStr">
        <is>
          <t>7806 Optimum Tree Services Ltd</t>
        </is>
      </c>
      <c r="L2075" t="inlineStr">
        <is>
          <t>11/11/2025 07:39</t>
        </is>
      </c>
      <c r="M2075" t="inlineStr">
        <is>
          <t>None</t>
        </is>
      </c>
      <c r="N2075" t="inlineStr">
        <is>
          <t>&lt;p&gt;&lt;/p&gt;</t>
        </is>
      </c>
      <c r="O2075" t="inlineStr"/>
      <c r="P2075" t="inlineStr">
        <is>
          <t>WD14EVB , MEWP , Land Rover , Defender</t>
        </is>
      </c>
      <c r="Q2075" t="inlineStr">
        <is>
          <t>UKPN</t>
        </is>
      </c>
      <c r="R2075" t="b">
        <v>0</v>
      </c>
    </row>
    <row r="2076">
      <c r="A2076" t="inlineStr">
        <is>
          <t>11 Nov 2025 / 7800 MAC Tree Surgery and Fencing Ltd / Utilities / UKPN</t>
        </is>
      </c>
      <c r="B2076" t="inlineStr">
        <is>
          <t>Utilities</t>
        </is>
      </c>
      <c r="C2076" t="inlineStr">
        <is>
          <t>UKPN</t>
        </is>
      </c>
      <c r="D2076" t="inlineStr">
        <is>
          <t>Plant Trailer - Towmate - 2.8t - 0</t>
        </is>
      </c>
      <c r="E2076" t="inlineStr">
        <is>
          <t>Plant Trailer - Towmate - 2.8t - 0</t>
        </is>
      </c>
      <c r="F2076" t="inlineStr">
        <is>
          <t>Plant Trailer - Towmate - 2.8t - 0</t>
        </is>
      </c>
      <c r="G2076" t="inlineStr">
        <is>
          <t xml:space="preserve">Patrick O'Shea </t>
        </is>
      </c>
      <c r="H2076" t="inlineStr">
        <is>
          <t>Plant Trailer</t>
        </is>
      </c>
      <c r="I2076" t="inlineStr">
        <is>
          <t>Daily/ Weekly Vehicle Inspection</t>
        </is>
      </c>
      <c r="J2076" t="inlineStr">
        <is>
          <t>N/A</t>
        </is>
      </c>
      <c r="K2076" t="inlineStr">
        <is>
          <t>7800 MAC Tree Surgery and Fencing Ltd</t>
        </is>
      </c>
      <c r="L2076" t="inlineStr">
        <is>
          <t>11/11/2025 07:40</t>
        </is>
      </c>
      <c r="M2076" t="inlineStr">
        <is>
          <t>None</t>
        </is>
      </c>
      <c r="N2076" t="inlineStr">
        <is>
          <t>&lt;p&gt;&lt;/p&gt;</t>
        </is>
      </c>
      <c r="O2076" t="inlineStr"/>
      <c r="P2076" t="inlineStr">
        <is>
          <t>Plant Trailer - Towmate - 2.8t - 0</t>
        </is>
      </c>
      <c r="Q2076" t="inlineStr">
        <is>
          <t>UKPN</t>
        </is>
      </c>
      <c r="R2076" t="b">
        <v>0</v>
      </c>
    </row>
    <row r="2077">
      <c r="A2077" t="inlineStr">
        <is>
          <t>11 Nov 2025 / 7800 MAC Tree Surgery and Fencing Ltd / Utilities / UKPN</t>
        </is>
      </c>
      <c r="B2077" t="inlineStr">
        <is>
          <t>Utilities</t>
        </is>
      </c>
      <c r="C2077" t="inlineStr">
        <is>
          <t>UKPN</t>
        </is>
      </c>
      <c r="D2077" t="inlineStr">
        <is>
          <t>AY68DAA , 4x4 , Izuzu , Dmax</t>
        </is>
      </c>
      <c r="E2077" t="inlineStr">
        <is>
          <t>AY68DAA , 4x4 , Izuzu , Dmax</t>
        </is>
      </c>
      <c r="F2077" t="inlineStr">
        <is>
          <t>AY68DAA , 4x4 , Izuzu , Dmax</t>
        </is>
      </c>
      <c r="G2077" t="inlineStr">
        <is>
          <t xml:space="preserve">Patrick O'Shea </t>
        </is>
      </c>
      <c r="H2077" t="inlineStr">
        <is>
          <t>4x4</t>
        </is>
      </c>
      <c r="I2077" t="inlineStr">
        <is>
          <t>Daily/ Weekly Vehicle Inspection</t>
        </is>
      </c>
      <c r="J2077" t="inlineStr">
        <is>
          <t>N/A</t>
        </is>
      </c>
      <c r="K2077" t="inlineStr">
        <is>
          <t>7800 MAC Tree Surgery and Fencing Ltd</t>
        </is>
      </c>
      <c r="L2077" t="inlineStr">
        <is>
          <t>11/11/2025 07:41</t>
        </is>
      </c>
      <c r="M2077" t="inlineStr">
        <is>
          <t>None</t>
        </is>
      </c>
      <c r="N2077" t="inlineStr">
        <is>
          <t>&lt;p&gt;&lt;/p&gt;</t>
        </is>
      </c>
      <c r="O2077" t="inlineStr"/>
      <c r="P2077" t="inlineStr">
        <is>
          <t>AY68DAA , 4x4 , Izuzu , Dmax</t>
        </is>
      </c>
      <c r="Q2077" t="inlineStr">
        <is>
          <t>UKPN</t>
        </is>
      </c>
      <c r="R2077" t="b">
        <v>0</v>
      </c>
    </row>
    <row r="2078">
      <c r="A2078" t="inlineStr">
        <is>
          <t>11 Nov 2025 / Thomas Playford / Utilities / UKPN</t>
        </is>
      </c>
      <c r="B2078" t="inlineStr">
        <is>
          <t>Utilities</t>
        </is>
      </c>
      <c r="C2078" t="inlineStr">
        <is>
          <t>UKPN</t>
        </is>
      </c>
      <c r="D2078" t="inlineStr">
        <is>
          <t>Equipment Trailer - I For Williams Custom - Chipper Trailer - 47336638</t>
        </is>
      </c>
      <c r="E2078" t="inlineStr">
        <is>
          <t>Equipment Trailer - I For Williams Custom - Chipper Trailer - 47336638</t>
        </is>
      </c>
      <c r="F2078" t="inlineStr">
        <is>
          <t>Equipment Trailer - I For Williams Custom - Chipper Trailer - 47336638</t>
        </is>
      </c>
      <c r="G2078" t="inlineStr">
        <is>
          <t>Jacob Oram</t>
        </is>
      </c>
      <c r="H2078" t="inlineStr">
        <is>
          <t>Plant Trailer</t>
        </is>
      </c>
      <c r="I2078" t="inlineStr">
        <is>
          <t>Daily/ Weekly Vehicle Inspection</t>
        </is>
      </c>
      <c r="J2078" t="inlineStr">
        <is>
          <t>N/A</t>
        </is>
      </c>
      <c r="K2078" t="inlineStr">
        <is>
          <t>7995 Green Net Eco Ltd 2</t>
        </is>
      </c>
      <c r="L2078" t="inlineStr">
        <is>
          <t>11/11/2025 08:34</t>
        </is>
      </c>
      <c r="M2078" t="inlineStr">
        <is>
          <t>None</t>
        </is>
      </c>
      <c r="N2078" t="inlineStr">
        <is>
          <t>&lt;p&gt;&lt;/p&gt;</t>
        </is>
      </c>
      <c r="O2078" t="inlineStr"/>
      <c r="P2078" t="inlineStr">
        <is>
          <t>Equipment Trailer - I For Williams Custom - Chipper Trailer - 47336638</t>
        </is>
      </c>
      <c r="Q2078" t="inlineStr">
        <is>
          <t>UKPN</t>
        </is>
      </c>
      <c r="R2078" t="b">
        <v>0</v>
      </c>
    </row>
    <row r="2079">
      <c r="A2079" t="inlineStr">
        <is>
          <t>11 Nov 2025 / Thomas Playford / Utilities / UKPN</t>
        </is>
      </c>
      <c r="B2079" t="inlineStr">
        <is>
          <t>Utilities</t>
        </is>
      </c>
      <c r="C2079" t="inlineStr">
        <is>
          <t>UKPN</t>
        </is>
      </c>
      <c r="D2079" t="inlineStr">
        <is>
          <t>4x4 - Landrover - Defender  - LK15KRZ</t>
        </is>
      </c>
      <c r="E2079" t="inlineStr">
        <is>
          <t>4x4 - Landrover - Defender  - LK15KRZ</t>
        </is>
      </c>
      <c r="F2079" t="inlineStr">
        <is>
          <t>4x4 - Landrover - Defender  - LK15KRZ</t>
        </is>
      </c>
      <c r="G2079" t="inlineStr">
        <is>
          <t>Jacob Oram</t>
        </is>
      </c>
      <c r="H2079" t="inlineStr">
        <is>
          <t>4x4</t>
        </is>
      </c>
      <c r="I2079" t="inlineStr">
        <is>
          <t>Daily/ Weekly Vehicle Inspection</t>
        </is>
      </c>
      <c r="J2079" t="inlineStr">
        <is>
          <t>N/A</t>
        </is>
      </c>
      <c r="K2079" t="inlineStr">
        <is>
          <t>7995 Green Net Eco Ltd 2</t>
        </is>
      </c>
      <c r="L2079" t="inlineStr">
        <is>
          <t>11/11/2025 08:36</t>
        </is>
      </c>
      <c r="M2079" t="inlineStr">
        <is>
          <t>None</t>
        </is>
      </c>
      <c r="N2079" t="inlineStr">
        <is>
          <t>&lt;p&gt;&lt;/p&gt;</t>
        </is>
      </c>
      <c r="O2079" t="inlineStr"/>
      <c r="P2079" t="inlineStr">
        <is>
          <t>4x4 - Landrover - Defender  - LK15KRZ</t>
        </is>
      </c>
      <c r="Q2079" t="inlineStr">
        <is>
          <t>UKPN</t>
        </is>
      </c>
      <c r="R2079" t="b">
        <v>0</v>
      </c>
    </row>
    <row r="2080">
      <c r="A2080" t="inlineStr">
        <is>
          <t>11 Nov 2025 / 7951 Austin Tree Care LTD / Utilities / UKPN</t>
        </is>
      </c>
      <c r="B2080" t="inlineStr">
        <is>
          <t>Utilities</t>
        </is>
      </c>
      <c r="C2080" t="inlineStr">
        <is>
          <t>UKPN</t>
        </is>
      </c>
      <c r="D2080" t="inlineStr">
        <is>
          <t>WF61 HZV , 4x4 MEWP , Land Rover , Defender</t>
        </is>
      </c>
      <c r="E2080" t="inlineStr">
        <is>
          <t>WF61 HZV , 4x4 MEWP , Land Rover , Defender</t>
        </is>
      </c>
      <c r="F2080" t="inlineStr">
        <is>
          <t>WF61 HZV , 4x4 MEWP , Land Rover , Defender</t>
        </is>
      </c>
      <c r="G2080" t="inlineStr">
        <is>
          <t xml:space="preserve">Jack Austin </t>
        </is>
      </c>
      <c r="H2080" t="inlineStr">
        <is>
          <t>4x4</t>
        </is>
      </c>
      <c r="I2080" t="inlineStr">
        <is>
          <t>Daily/ Weekly Vehicle Inspection</t>
        </is>
      </c>
      <c r="J2080" t="inlineStr">
        <is>
          <t>N/A</t>
        </is>
      </c>
      <c r="K2080" t="inlineStr">
        <is>
          <t>7951 Austin Tree Care LTD</t>
        </is>
      </c>
      <c r="L2080" t="inlineStr">
        <is>
          <t>11/11/2025 08:37</t>
        </is>
      </c>
      <c r="M2080" t="inlineStr">
        <is>
          <t>None</t>
        </is>
      </c>
      <c r="N2080" t="inlineStr">
        <is>
          <t>&lt;p&gt;&lt;/p&gt;</t>
        </is>
      </c>
      <c r="O2080" t="inlineStr"/>
      <c r="P2080" t="inlineStr">
        <is>
          <t>WF61 HZV , 4x4 MEWP , Land Rover , Defender</t>
        </is>
      </c>
      <c r="Q2080" t="inlineStr">
        <is>
          <t>UKPN</t>
        </is>
      </c>
      <c r="R2080" t="b">
        <v>0</v>
      </c>
    </row>
    <row r="2081">
      <c r="A2081" t="inlineStr">
        <is>
          <t>11 Nov 2025 / 7186 Eastwoodbury Tree Services Ltd / Utilities / UKPN</t>
        </is>
      </c>
      <c r="B2081" t="inlineStr">
        <is>
          <t>Utilities</t>
        </is>
      </c>
      <c r="C2081" t="inlineStr">
        <is>
          <t>UKPN</t>
        </is>
      </c>
      <c r="D2081" t="inlineStr">
        <is>
          <t>DN61XKJ , Tipper , Ford , Transit</t>
        </is>
      </c>
      <c r="E2081" t="inlineStr">
        <is>
          <t>DN61XKJ , Tipper , Ford , Transit</t>
        </is>
      </c>
      <c r="F2081" t="inlineStr">
        <is>
          <t>DN61XKJ , Tipper , Ford , Transit</t>
        </is>
      </c>
      <c r="G2081" t="inlineStr">
        <is>
          <t xml:space="preserve">Jay Denkmayer </t>
        </is>
      </c>
      <c r="H2081" t="inlineStr">
        <is>
          <t>Tipper</t>
        </is>
      </c>
      <c r="I2081" t="inlineStr">
        <is>
          <t>Daily/ Weekly Vehicle Inspection</t>
        </is>
      </c>
      <c r="J2081" t="inlineStr">
        <is>
          <t>N/A</t>
        </is>
      </c>
      <c r="K2081" t="inlineStr">
        <is>
          <t>7186 Eastwoodbury Tree Services Ltd</t>
        </is>
      </c>
      <c r="L2081" t="inlineStr">
        <is>
          <t>11/11/2025 08:37</t>
        </is>
      </c>
      <c r="M2081" t="inlineStr">
        <is>
          <t>None</t>
        </is>
      </c>
      <c r="N2081" t="inlineStr">
        <is>
          <t>&lt;p&gt;&lt;/p&gt;</t>
        </is>
      </c>
      <c r="O2081" t="inlineStr"/>
      <c r="P2081" t="inlineStr">
        <is>
          <t>DN61XKJ , Tipper , Ford , Transit</t>
        </is>
      </c>
      <c r="Q2081" t="inlineStr">
        <is>
          <t>UKPN</t>
        </is>
      </c>
      <c r="R2081" t="b">
        <v>0</v>
      </c>
    </row>
    <row r="2082">
      <c r="A2082" t="inlineStr">
        <is>
          <t>11 Nov 2025 / Kevin Miller / Utilities / UKPN</t>
        </is>
      </c>
      <c r="B2082" t="inlineStr">
        <is>
          <t>Utilities</t>
        </is>
      </c>
      <c r="C2082" t="inlineStr">
        <is>
          <t>UKPN</t>
        </is>
      </c>
      <c r="D2082" t="inlineStr"/>
      <c r="E2082" t="inlineStr"/>
      <c r="F2082" t="inlineStr"/>
      <c r="G2082" t="inlineStr">
        <is>
          <t>Kevin miller</t>
        </is>
      </c>
      <c r="H2082" t="inlineStr">
        <is>
          <t>Car - Petrol</t>
        </is>
      </c>
      <c r="I2082" t="inlineStr">
        <is>
          <t>Daily/ Weekly Vehicle Inspection</t>
        </is>
      </c>
      <c r="J2082" t="inlineStr">
        <is>
          <t>N/A</t>
        </is>
      </c>
      <c r="K2082" t="inlineStr">
        <is>
          <t>Kevin Miller</t>
        </is>
      </c>
      <c r="L2082" t="inlineStr">
        <is>
          <t>11/11/2025 09:33</t>
        </is>
      </c>
      <c r="M2082" t="inlineStr">
        <is>
          <t>None</t>
        </is>
      </c>
      <c r="N2082" t="inlineStr">
        <is>
          <t>&lt;p&gt;&lt;/p&gt;</t>
        </is>
      </c>
      <c r="O2082" t="inlineStr"/>
      <c r="P2082" t="inlineStr"/>
      <c r="Q2082" t="inlineStr">
        <is>
          <t>UKPN</t>
        </is>
      </c>
      <c r="R2082" t="b">
        <v>0</v>
      </c>
    </row>
    <row r="2083">
      <c r="A2083" t="inlineStr">
        <is>
          <t>11 Nov 2025 / Harry Bellis / Utilities / SSE</t>
        </is>
      </c>
      <c r="B2083" t="inlineStr">
        <is>
          <t>Utilities</t>
        </is>
      </c>
      <c r="C2083" t="inlineStr">
        <is>
          <t>SSE</t>
        </is>
      </c>
      <c r="D2083" t="inlineStr"/>
      <c r="E2083" t="inlineStr"/>
      <c r="F2083" t="inlineStr"/>
      <c r="G2083" t="inlineStr">
        <is>
          <t>Harry Bellis</t>
        </is>
      </c>
      <c r="H2083" t="inlineStr">
        <is>
          <t>Van</t>
        </is>
      </c>
      <c r="I2083" t="inlineStr">
        <is>
          <t>Daily/ Weekly Vehicle Inspection</t>
        </is>
      </c>
      <c r="J2083" t="inlineStr">
        <is>
          <t>N/A</t>
        </is>
      </c>
      <c r="K2083" t="inlineStr">
        <is>
          <t>Harry Bellis</t>
        </is>
      </c>
      <c r="L2083" t="inlineStr">
        <is>
          <t>11/11/2025 12:34</t>
        </is>
      </c>
      <c r="M2083" t="inlineStr">
        <is>
          <t>None</t>
        </is>
      </c>
      <c r="N2083" t="inlineStr">
        <is>
          <t>&lt;p&gt;&lt;/p&gt;</t>
        </is>
      </c>
      <c r="O2083" t="inlineStr"/>
      <c r="P2083" t="inlineStr"/>
      <c r="Q2083" t="inlineStr">
        <is>
          <t>SSE</t>
        </is>
      </c>
      <c r="R2083" t="b">
        <v>0</v>
      </c>
    </row>
    <row r="2084">
      <c r="A2084" t="inlineStr">
        <is>
          <t>12 Nov 2025 / 7186 Eastwoodbury Tree Services Ltd / Utilities / UKPN</t>
        </is>
      </c>
      <c r="B2084" t="inlineStr">
        <is>
          <t>Utilities</t>
        </is>
      </c>
      <c r="C2084" t="inlineStr">
        <is>
          <t>UKPN</t>
        </is>
      </c>
      <c r="D2084" t="inlineStr">
        <is>
          <t>4x4 - Land rover  - Defenders  - WF13 EKM</t>
        </is>
      </c>
      <c r="E2084" t="inlineStr">
        <is>
          <t>4x4 - Land rover  - Defenders  - WF13 EKM</t>
        </is>
      </c>
      <c r="F2084" t="inlineStr">
        <is>
          <t>4x4 - Land rover  - Defenders  - WF13 EKM</t>
        </is>
      </c>
      <c r="G2084" t="inlineStr">
        <is>
          <t xml:space="preserve">Dan Gilbert </t>
        </is>
      </c>
      <c r="H2084" t="inlineStr">
        <is>
          <t>4x4</t>
        </is>
      </c>
      <c r="I2084" t="inlineStr">
        <is>
          <t>Daily/ Weekly Vehicle Inspection</t>
        </is>
      </c>
      <c r="J2084" t="inlineStr">
        <is>
          <t>N/A</t>
        </is>
      </c>
      <c r="K2084" t="inlineStr">
        <is>
          <t>7186 Eastwoodbury Tree Services Ltd</t>
        </is>
      </c>
      <c r="L2084" t="inlineStr">
        <is>
          <t>12/11/2025 07:33</t>
        </is>
      </c>
      <c r="M2084" t="inlineStr">
        <is>
          <t>None</t>
        </is>
      </c>
      <c r="N2084" t="inlineStr">
        <is>
          <t>&lt;p&gt;&lt;/p&gt;</t>
        </is>
      </c>
      <c r="O2084" t="inlineStr"/>
      <c r="P2084" t="inlineStr">
        <is>
          <t>4x4 - Land rover  - Defenders  - WF13 EKM</t>
        </is>
      </c>
      <c r="Q2084" t="inlineStr">
        <is>
          <t>UKPN</t>
        </is>
      </c>
      <c r="R2084" t="b">
        <v>0</v>
      </c>
    </row>
    <row r="2085">
      <c r="A2085" t="inlineStr">
        <is>
          <t>12 Nov 2025 / 7186 Eastwoodbury Tree Services Ltd / Utilities / UKPN</t>
        </is>
      </c>
      <c r="B2085" t="inlineStr">
        <is>
          <t>Utilities</t>
        </is>
      </c>
      <c r="C2085" t="inlineStr">
        <is>
          <t>UKPN</t>
        </is>
      </c>
      <c r="D2085" t="inlineStr">
        <is>
          <t>4x4 - Land rover  - Defender  - WF13 EKT</t>
        </is>
      </c>
      <c r="E2085" t="inlineStr">
        <is>
          <t>4x4 - Land rover  - Defender  - WF13 EKT</t>
        </is>
      </c>
      <c r="F2085" t="inlineStr">
        <is>
          <t>4x4 - Land rover  - Defender  - WF13 EKT</t>
        </is>
      </c>
      <c r="G2085" t="inlineStr">
        <is>
          <t xml:space="preserve">Tom Price </t>
        </is>
      </c>
      <c r="H2085" t="inlineStr">
        <is>
          <t>4x4</t>
        </is>
      </c>
      <c r="I2085" t="inlineStr">
        <is>
          <t>Daily/ Weekly Vehicle Inspection</t>
        </is>
      </c>
      <c r="J2085" t="inlineStr">
        <is>
          <t>N/A</t>
        </is>
      </c>
      <c r="K2085" t="inlineStr">
        <is>
          <t>7186 Eastwoodbury Tree Services Ltd</t>
        </is>
      </c>
      <c r="L2085" t="inlineStr">
        <is>
          <t>12/11/2025 07:34</t>
        </is>
      </c>
      <c r="M2085" t="inlineStr">
        <is>
          <t>None</t>
        </is>
      </c>
      <c r="N2085" t="inlineStr">
        <is>
          <t>&lt;p&gt;&lt;/p&gt;</t>
        </is>
      </c>
      <c r="O2085" t="inlineStr"/>
      <c r="P2085" t="inlineStr">
        <is>
          <t>4x4 - Land rover  - Defender  - WF13 EKT</t>
        </is>
      </c>
      <c r="Q2085" t="inlineStr">
        <is>
          <t>UKPN</t>
        </is>
      </c>
      <c r="R2085" t="b">
        <v>0</v>
      </c>
    </row>
    <row r="2086">
      <c r="A2086" t="inlineStr">
        <is>
          <t>12 Nov 2025 / 7806 Optimum Tree Services Ltd / Utilities / UKPN</t>
        </is>
      </c>
      <c r="B2086" t="inlineStr">
        <is>
          <t>Utilities</t>
        </is>
      </c>
      <c r="C2086" t="inlineStr">
        <is>
          <t>UKPN</t>
        </is>
      </c>
      <c r="D2086" t="inlineStr">
        <is>
          <t>4x4 - Landrover  - Defender  - Wd14evn</t>
        </is>
      </c>
      <c r="E2086" t="inlineStr">
        <is>
          <t>4x4 - Landrover  - Defender  - Wd14evn</t>
        </is>
      </c>
      <c r="F2086" t="inlineStr">
        <is>
          <t>4x4 - Landrover  - Defender  - Wd14evn</t>
        </is>
      </c>
      <c r="G2086" t="inlineStr">
        <is>
          <t xml:space="preserve">Lewis Davies </t>
        </is>
      </c>
      <c r="H2086" t="inlineStr">
        <is>
          <t>4x4</t>
        </is>
      </c>
      <c r="I2086" t="inlineStr">
        <is>
          <t>Daily/ Weekly Vehicle Inspection</t>
        </is>
      </c>
      <c r="J2086" t="inlineStr">
        <is>
          <t>N/A</t>
        </is>
      </c>
      <c r="K2086" t="inlineStr">
        <is>
          <t>7806 Optimum Tree Services Ltd</t>
        </is>
      </c>
      <c r="L2086" t="inlineStr">
        <is>
          <t>12/11/2025 07:34</t>
        </is>
      </c>
      <c r="M2086" t="inlineStr">
        <is>
          <t>None</t>
        </is>
      </c>
      <c r="N2086" t="inlineStr">
        <is>
          <t>&lt;p&gt;&lt;/p&gt;</t>
        </is>
      </c>
      <c r="O2086" t="inlineStr"/>
      <c r="P2086" t="inlineStr">
        <is>
          <t>4x4 - Landrover  - Defender  - Wd14evn</t>
        </is>
      </c>
      <c r="Q2086" t="inlineStr">
        <is>
          <t>UKPN</t>
        </is>
      </c>
      <c r="R2086" t="b">
        <v>0</v>
      </c>
    </row>
    <row r="2087">
      <c r="A2087" t="inlineStr">
        <is>
          <t>12 Nov 2025 / 7186 Eastwoodbury Tree Services Ltd / Utilities / UKPN</t>
        </is>
      </c>
      <c r="B2087" t="inlineStr">
        <is>
          <t>Utilities</t>
        </is>
      </c>
      <c r="C2087" t="inlineStr">
        <is>
          <t>UKPN</t>
        </is>
      </c>
      <c r="D2087" t="inlineStr">
        <is>
          <t>DN61XKJ , Tipper , Ford , Transit</t>
        </is>
      </c>
      <c r="E2087" t="inlineStr">
        <is>
          <t>DN61XKJ , Tipper , Ford , Transit</t>
        </is>
      </c>
      <c r="F2087" t="inlineStr">
        <is>
          <t>DN61XKJ , Tipper , Ford , Transit</t>
        </is>
      </c>
      <c r="G2087" t="inlineStr">
        <is>
          <t xml:space="preserve">Jay Denkmayer </t>
        </is>
      </c>
      <c r="H2087" t="inlineStr">
        <is>
          <t>Tipper</t>
        </is>
      </c>
      <c r="I2087" t="inlineStr">
        <is>
          <t>Daily/ Weekly Vehicle Inspection</t>
        </is>
      </c>
      <c r="J2087" t="inlineStr">
        <is>
          <t>N/A</t>
        </is>
      </c>
      <c r="K2087" t="inlineStr">
        <is>
          <t>7186 Eastwoodbury Tree Services Ltd</t>
        </is>
      </c>
      <c r="L2087" t="inlineStr">
        <is>
          <t>12/11/2025 07:35</t>
        </is>
      </c>
      <c r="M2087" t="inlineStr">
        <is>
          <t>None</t>
        </is>
      </c>
      <c r="N2087" t="inlineStr">
        <is>
          <t>&lt;p&gt;&lt;/p&gt;</t>
        </is>
      </c>
      <c r="O2087" t="inlineStr"/>
      <c r="P2087" t="inlineStr">
        <is>
          <t>DN61XKJ , Tipper , Ford , Transit</t>
        </is>
      </c>
      <c r="Q2087" t="inlineStr">
        <is>
          <t>UKPN</t>
        </is>
      </c>
      <c r="R2087" t="b">
        <v>0</v>
      </c>
    </row>
    <row r="2088">
      <c r="A2088" t="inlineStr">
        <is>
          <t>12 Nov 2025 / 7889 Tree Tech Suffolk Ltd</t>
        </is>
      </c>
      <c r="B2088" t="inlineStr">
        <is>
          <t>Utilities &amp; Inland Waterways</t>
        </is>
      </c>
      <c r="C2088" t="inlineStr">
        <is>
          <t>UKPN</t>
        </is>
      </c>
      <c r="D2088" t="inlineStr">
        <is>
          <t>Tow Chipper - Jenson - A530L - 55210639484x4 - Isuzu - D-max - NS03 TTSTipper - Nissan - Navara - NS02TTS</t>
        </is>
      </c>
      <c r="E2088" t="inlineStr">
        <is>
          <t>Tow Chipper - Jenson - A530L - 55210639484x4 - Isuzu - D-max - NS03 TTSTipper - Nissan - Navara - NS02TTS</t>
        </is>
      </c>
      <c r="F2088" t="inlineStr">
        <is>
          <t>Tow Chipper - Jenson - A530L - 55210639484x4 - Isuzu - D-max - NS03 TTSTipper - Nissan - Navara - NS02TTS</t>
        </is>
      </c>
      <c r="G2088" t="inlineStr">
        <is>
          <t xml:space="preserve">Danny Appleby Danny Appleby Nikki sparrow </t>
        </is>
      </c>
      <c r="H2088" t="inlineStr">
        <is>
          <t>Towed Chipper4x4Tipper</t>
        </is>
      </c>
      <c r="I2088" t="inlineStr">
        <is>
          <t>Daily/ Weekly Vehicle Inspection</t>
        </is>
      </c>
      <c r="J2088" t="inlineStr">
        <is>
          <t>N/A</t>
        </is>
      </c>
      <c r="K2088" t="inlineStr">
        <is>
          <t>7889 Tree Tech Suffolk Ltd</t>
        </is>
      </c>
      <c r="L2088" t="inlineStr">
        <is>
          <t>12/11/2025 07:36</t>
        </is>
      </c>
      <c r="M2088" t="inlineStr">
        <is>
          <t>None</t>
        </is>
      </c>
      <c r="N2088" t="inlineStr">
        <is>
          <t>&lt;p&gt;&lt;/p&gt;</t>
        </is>
      </c>
      <c r="O2088" t="inlineStr"/>
      <c r="P2088" t="inlineStr">
        <is>
          <t>Tow Chipper - Jenson - A530L - 55210639484x4 - Isuzu - D-max - NS03 TTSTipper - Nissan - Navara - NS02TTS</t>
        </is>
      </c>
      <c r="Q2088" t="inlineStr">
        <is>
          <t>UKPN</t>
        </is>
      </c>
      <c r="R2088" t="b">
        <v>0</v>
      </c>
    </row>
    <row r="2089">
      <c r="A2089" t="inlineStr">
        <is>
          <t>12 Nov 2025 / 7951 Austin Tree Care LTD / Utilities / UKPN</t>
        </is>
      </c>
      <c r="B2089" t="inlineStr">
        <is>
          <t>Utilities</t>
        </is>
      </c>
      <c r="C2089" t="inlineStr">
        <is>
          <t>UKPN</t>
        </is>
      </c>
      <c r="D2089" t="inlineStr">
        <is>
          <t>WF61 HZV , 4x4 MEWP , Land Rover , Defender</t>
        </is>
      </c>
      <c r="E2089" t="inlineStr">
        <is>
          <t>WF61 HZV , 4x4 MEWP , Land Rover , Defender</t>
        </is>
      </c>
      <c r="F2089" t="inlineStr">
        <is>
          <t>WF61 HZV , 4x4 MEWP , Land Rover , Defender</t>
        </is>
      </c>
      <c r="G2089" t="inlineStr">
        <is>
          <t>James Tasker</t>
        </is>
      </c>
      <c r="H2089" t="inlineStr">
        <is>
          <t>4x4</t>
        </is>
      </c>
      <c r="I2089" t="inlineStr">
        <is>
          <t>Daily/ Weekly Vehicle Inspection</t>
        </is>
      </c>
      <c r="J2089" t="inlineStr">
        <is>
          <t>N/A</t>
        </is>
      </c>
      <c r="K2089" t="inlineStr">
        <is>
          <t>7951 Austin Tree Care LTD</t>
        </is>
      </c>
      <c r="L2089" t="inlineStr">
        <is>
          <t>12/11/2025 07:37</t>
        </is>
      </c>
      <c r="M2089" t="inlineStr">
        <is>
          <t>None</t>
        </is>
      </c>
      <c r="N2089" t="inlineStr">
        <is>
          <t>&lt;p&gt;&lt;/p&gt;</t>
        </is>
      </c>
      <c r="O2089" t="inlineStr"/>
      <c r="P2089" t="inlineStr">
        <is>
          <t>WF61 HZV , 4x4 MEWP , Land Rover , Defender</t>
        </is>
      </c>
      <c r="Q2089" t="inlineStr">
        <is>
          <t>UKPN</t>
        </is>
      </c>
      <c r="R2089" t="b">
        <v>0</v>
      </c>
    </row>
    <row r="2090">
      <c r="A2090" t="inlineStr">
        <is>
          <t>12 Nov 2025 / 7806 Optimum Tree Services Ltd / Utilities / UKPN</t>
        </is>
      </c>
      <c r="B2090" t="inlineStr">
        <is>
          <t>Utilities</t>
        </is>
      </c>
      <c r="C2090" t="inlineStr">
        <is>
          <t>UKPN</t>
        </is>
      </c>
      <c r="D2090" t="inlineStr">
        <is>
          <t>SA9TAPLAF27414263 , Trailer , Tow Mate , Plant Trailer</t>
        </is>
      </c>
      <c r="E2090" t="inlineStr">
        <is>
          <t>SA9TAPLAF27414263 , Trailer , Tow Mate , Plant Trailer</t>
        </is>
      </c>
      <c r="F2090" t="inlineStr">
        <is>
          <t>SA9TAPLAF27414263 , Trailer , Tow Mate , Plant Trailer</t>
        </is>
      </c>
      <c r="G2090" t="inlineStr">
        <is>
          <t xml:space="preserve">Abraham Davies </t>
        </is>
      </c>
      <c r="H2090" t="inlineStr">
        <is>
          <t>Plant Trailer</t>
        </is>
      </c>
      <c r="I2090" t="inlineStr">
        <is>
          <t>Daily/ Weekly Vehicle Inspection</t>
        </is>
      </c>
      <c r="J2090" t="inlineStr">
        <is>
          <t>N/A</t>
        </is>
      </c>
      <c r="K2090" t="inlineStr">
        <is>
          <t>7806 Optimum Tree Services Ltd</t>
        </is>
      </c>
      <c r="L2090" t="inlineStr">
        <is>
          <t>12/11/2025 07:38</t>
        </is>
      </c>
      <c r="M2090" t="inlineStr">
        <is>
          <t>None</t>
        </is>
      </c>
      <c r="N2090" t="inlineStr">
        <is>
          <t>&lt;p&gt;&lt;/p&gt;</t>
        </is>
      </c>
      <c r="O2090" t="inlineStr"/>
      <c r="P2090" t="inlineStr">
        <is>
          <t>SA9TAPLAF27414263 , Trailer , Tow Mate , Plant Trailer</t>
        </is>
      </c>
      <c r="Q2090" t="inlineStr">
        <is>
          <t>UKPN</t>
        </is>
      </c>
      <c r="R2090" t="b">
        <v>0</v>
      </c>
    </row>
    <row r="2091">
      <c r="A2091" t="inlineStr">
        <is>
          <t>12 Nov 2025 / 7951 Austin Tree Care LTD / Utilities / UKPN</t>
        </is>
      </c>
      <c r="B2091" t="inlineStr">
        <is>
          <t>Utilities</t>
        </is>
      </c>
      <c r="C2091" t="inlineStr">
        <is>
          <t>UKPN</t>
        </is>
      </c>
      <c r="D2091" t="inlineStr">
        <is>
          <t>Kn58xuy , Tipper , VW  , Crafter</t>
        </is>
      </c>
      <c r="E2091" t="inlineStr">
        <is>
          <t>Kn58xuy , Tipper , VW  , Crafter</t>
        </is>
      </c>
      <c r="F2091" t="inlineStr">
        <is>
          <t>Kn58xuy , Tipper , VW  , Crafter</t>
        </is>
      </c>
      <c r="G2091" t="inlineStr">
        <is>
          <t xml:space="preserve">Jack Austin </t>
        </is>
      </c>
      <c r="H2091" t="inlineStr">
        <is>
          <t>Tipper</t>
        </is>
      </c>
      <c r="I2091" t="inlineStr">
        <is>
          <t>Daily/ Weekly Vehicle Inspection</t>
        </is>
      </c>
      <c r="J2091" t="inlineStr">
        <is>
          <t>N/A</t>
        </is>
      </c>
      <c r="K2091" t="inlineStr">
        <is>
          <t>7951 Austin Tree Care LTD</t>
        </is>
      </c>
      <c r="L2091" t="inlineStr">
        <is>
          <t>12/11/2025 07:38</t>
        </is>
      </c>
      <c r="M2091" t="inlineStr">
        <is>
          <t>None</t>
        </is>
      </c>
      <c r="N2091" t="inlineStr">
        <is>
          <t>&lt;p&gt;&lt;/p&gt;</t>
        </is>
      </c>
      <c r="O2091" t="inlineStr"/>
      <c r="P2091" t="inlineStr">
        <is>
          <t>Kn58xuy , Tipper , VW  , Crafter</t>
        </is>
      </c>
      <c r="Q2091" t="inlineStr">
        <is>
          <t>UKPN</t>
        </is>
      </c>
      <c r="R2091" t="b">
        <v>0</v>
      </c>
    </row>
    <row r="2092">
      <c r="A2092" t="inlineStr">
        <is>
          <t>12 Nov 2025 / 7806 Optimum Tree Services Ltd / Utilities / UKPN</t>
        </is>
      </c>
      <c r="B2092" t="inlineStr">
        <is>
          <t>Utilities</t>
        </is>
      </c>
      <c r="C2092" t="inlineStr">
        <is>
          <t>UKPN</t>
        </is>
      </c>
      <c r="D2092" t="inlineStr">
        <is>
          <t>WD14EVB , MEWP , Land Rover , Defender</t>
        </is>
      </c>
      <c r="E2092" t="inlineStr">
        <is>
          <t>WD14EVB , MEWP , Land Rover , Defender</t>
        </is>
      </c>
      <c r="F2092" t="inlineStr">
        <is>
          <t>WD14EVB , MEWP , Land Rover , Defender</t>
        </is>
      </c>
      <c r="G2092" t="inlineStr">
        <is>
          <t>Abraham Davies</t>
        </is>
      </c>
      <c r="H2092" t="inlineStr">
        <is>
          <t>4x4</t>
        </is>
      </c>
      <c r="I2092" t="inlineStr">
        <is>
          <t>Daily/ Weekly Vehicle Inspection</t>
        </is>
      </c>
      <c r="J2092" t="inlineStr">
        <is>
          <t>N/A</t>
        </is>
      </c>
      <c r="K2092" t="inlineStr">
        <is>
          <t>7806 Optimum Tree Services Ltd</t>
        </is>
      </c>
      <c r="L2092" t="inlineStr">
        <is>
          <t>12/11/2025 07:40</t>
        </is>
      </c>
      <c r="M2092" t="inlineStr">
        <is>
          <t>None</t>
        </is>
      </c>
      <c r="N2092" t="inlineStr">
        <is>
          <t>&lt;p&gt;&lt;/p&gt;</t>
        </is>
      </c>
      <c r="O2092" t="inlineStr"/>
      <c r="P2092" t="inlineStr">
        <is>
          <t>WD14EVB , MEWP , Land Rover , Defender</t>
        </is>
      </c>
      <c r="Q2092" t="inlineStr">
        <is>
          <t>UKPN</t>
        </is>
      </c>
      <c r="R2092" t="b">
        <v>0</v>
      </c>
    </row>
    <row r="2093">
      <c r="A2093" t="inlineStr">
        <is>
          <t>12 Nov 2025 / 3098 D &amp; R Landscapes / Utilities / UKPN</t>
        </is>
      </c>
      <c r="B2093" t="inlineStr">
        <is>
          <t>Utilities</t>
        </is>
      </c>
      <c r="C2093" t="inlineStr">
        <is>
          <t>UKPN</t>
        </is>
      </c>
      <c r="D2093" t="inlineStr">
        <is>
          <t>WA13ZZK , 4x4 , Land Rover  , Defender</t>
        </is>
      </c>
      <c r="E2093" t="inlineStr">
        <is>
          <t>WA13ZZK , 4x4 , Land Rover  , Defender</t>
        </is>
      </c>
      <c r="F2093" t="inlineStr">
        <is>
          <t>WA13ZZK , 4x4 , Land Rover  , Defender</t>
        </is>
      </c>
      <c r="G2093" t="inlineStr">
        <is>
          <t>Chris</t>
        </is>
      </c>
      <c r="H2093" t="inlineStr">
        <is>
          <t>Pickup Truck</t>
        </is>
      </c>
      <c r="I2093" t="inlineStr">
        <is>
          <t>Daily/ Weekly Vehicle Inspection</t>
        </is>
      </c>
      <c r="J2093" t="inlineStr">
        <is>
          <t>N/A</t>
        </is>
      </c>
      <c r="K2093" t="inlineStr">
        <is>
          <t>3098 D &amp; R Landscapes</t>
        </is>
      </c>
      <c r="L2093" t="inlineStr">
        <is>
          <t>12/11/2025 07:42</t>
        </is>
      </c>
      <c r="M2093" t="inlineStr">
        <is>
          <t>None</t>
        </is>
      </c>
      <c r="N2093" t="inlineStr">
        <is>
          <t>&lt;p&gt;&lt;/p&gt;</t>
        </is>
      </c>
      <c r="O2093" t="inlineStr"/>
      <c r="P2093" t="inlineStr">
        <is>
          <t>WA13ZZK , 4x4 , Land Rover  , Defender</t>
        </is>
      </c>
      <c r="Q2093" t="inlineStr">
        <is>
          <t>UKPN</t>
        </is>
      </c>
      <c r="R2093" t="b">
        <v>0</v>
      </c>
    </row>
    <row r="2094">
      <c r="A2094" t="inlineStr">
        <is>
          <t>12 Nov 2025 / 3098 D &amp; R Landscapes / Utilities / UKPN</t>
        </is>
      </c>
      <c r="B2094" t="inlineStr">
        <is>
          <t>Utilities</t>
        </is>
      </c>
      <c r="C2094" t="inlineStr">
        <is>
          <t>UKPN</t>
        </is>
      </c>
      <c r="D2094" t="inlineStr">
        <is>
          <t>Vehicle - Nissan - Navara - BT20 GNZ</t>
        </is>
      </c>
      <c r="E2094" t="inlineStr">
        <is>
          <t>Vehicle - Nissan - Navara - BT20 GNZ</t>
        </is>
      </c>
      <c r="F2094" t="inlineStr">
        <is>
          <t>Vehicle - Nissan - Navara - BT20 GNZ</t>
        </is>
      </c>
      <c r="G2094" t="inlineStr">
        <is>
          <t>Jason</t>
        </is>
      </c>
      <c r="H2094" t="inlineStr">
        <is>
          <t>Pickup Truck</t>
        </is>
      </c>
      <c r="I2094" t="inlineStr">
        <is>
          <t>Daily/ Weekly Vehicle Inspection</t>
        </is>
      </c>
      <c r="J2094" t="inlineStr">
        <is>
          <t>N/A</t>
        </is>
      </c>
      <c r="K2094" t="inlineStr">
        <is>
          <t>3098 D &amp; R Landscapes</t>
        </is>
      </c>
      <c r="L2094" t="inlineStr">
        <is>
          <t>12/11/2025 07:43</t>
        </is>
      </c>
      <c r="M2094" t="inlineStr">
        <is>
          <t>None</t>
        </is>
      </c>
      <c r="N2094" t="inlineStr">
        <is>
          <t>&lt;p&gt;&lt;/p&gt;</t>
        </is>
      </c>
      <c r="O2094" t="inlineStr"/>
      <c r="P2094" t="inlineStr">
        <is>
          <t>Vehicle - Nissan - Navara - BT20 GNZ</t>
        </is>
      </c>
      <c r="Q2094" t="inlineStr">
        <is>
          <t>UKPN</t>
        </is>
      </c>
      <c r="R2094" t="b">
        <v>0</v>
      </c>
    </row>
    <row r="2095">
      <c r="A2095" t="inlineStr">
        <is>
          <t>12 Nov 2025 / 3098 D &amp; R Landscapes 1 / Utilities / UKPN</t>
        </is>
      </c>
      <c r="B2095" t="inlineStr">
        <is>
          <t>Utilities</t>
        </is>
      </c>
      <c r="C2095" t="inlineStr">
        <is>
          <t>UKPN</t>
        </is>
      </c>
      <c r="D2095" t="inlineStr">
        <is>
          <t>WA13ZZK , 4x4 , Land Rover  , Defender</t>
        </is>
      </c>
      <c r="E2095" t="inlineStr">
        <is>
          <t>WA13ZZK , 4x4 , Land Rover  , Defender</t>
        </is>
      </c>
      <c r="F2095" t="inlineStr">
        <is>
          <t>WA13ZZK , 4x4 , Land Rover  , Defender</t>
        </is>
      </c>
      <c r="G2095" t="inlineStr">
        <is>
          <t xml:space="preserve">Chris Robinson </t>
        </is>
      </c>
      <c r="H2095" t="inlineStr">
        <is>
          <t>4x4</t>
        </is>
      </c>
      <c r="I2095" t="inlineStr">
        <is>
          <t>Daily/ Weekly Vehicle Inspection</t>
        </is>
      </c>
      <c r="J2095" t="inlineStr">
        <is>
          <t>N/A</t>
        </is>
      </c>
      <c r="K2095" t="inlineStr">
        <is>
          <t>3098 D &amp; R Landscapes 1</t>
        </is>
      </c>
      <c r="L2095" t="inlineStr">
        <is>
          <t>12/11/2025 08:36</t>
        </is>
      </c>
      <c r="M2095" t="inlineStr">
        <is>
          <t>None</t>
        </is>
      </c>
      <c r="N2095" t="inlineStr">
        <is>
          <t>&lt;p&gt;&lt;/p&gt;</t>
        </is>
      </c>
      <c r="O2095" t="inlineStr"/>
      <c r="P2095" t="inlineStr">
        <is>
          <t>WA13ZZK , 4x4 , Land Rover  , Defender</t>
        </is>
      </c>
      <c r="Q2095" t="inlineStr">
        <is>
          <t>UKPN</t>
        </is>
      </c>
      <c r="R2095" t="b">
        <v>0</v>
      </c>
    </row>
    <row r="2096">
      <c r="A2096" t="inlineStr">
        <is>
          <t>12 Nov 2025 / Thomas Playford / Utilities / UKPN</t>
        </is>
      </c>
      <c r="B2096" t="inlineStr">
        <is>
          <t>Utilities</t>
        </is>
      </c>
      <c r="C2096" t="inlineStr">
        <is>
          <t>UKPN</t>
        </is>
      </c>
      <c r="D2096" t="inlineStr">
        <is>
          <t>SA9ST800000283944 , Tow Chipper , Forst , ST8D - Towed</t>
        </is>
      </c>
      <c r="E2096" t="inlineStr">
        <is>
          <t>SA9ST800000283944 , Tow Chipper , Forst , ST8D - Towed</t>
        </is>
      </c>
      <c r="F2096" t="inlineStr">
        <is>
          <t>SA9ST800000283944 , Tow Chipper , Forst , ST8D - Towed</t>
        </is>
      </c>
      <c r="G2096" t="inlineStr">
        <is>
          <t>Jacob Oram</t>
        </is>
      </c>
      <c r="H2096" t="inlineStr">
        <is>
          <t>Towed Chipper</t>
        </is>
      </c>
      <c r="I2096" t="inlineStr">
        <is>
          <t>Daily/ Weekly Vehicle Inspection</t>
        </is>
      </c>
      <c r="J2096" t="inlineStr">
        <is>
          <t>N/A</t>
        </is>
      </c>
      <c r="K2096" t="inlineStr">
        <is>
          <t>7995 Green Net Eco Ltd 2</t>
        </is>
      </c>
      <c r="L2096" t="inlineStr">
        <is>
          <t>12/11/2025 08:37</t>
        </is>
      </c>
      <c r="M2096" t="inlineStr">
        <is>
          <t>None</t>
        </is>
      </c>
      <c r="N2096" t="inlineStr">
        <is>
          <t>&lt;p&gt;&lt;/p&gt;</t>
        </is>
      </c>
      <c r="O2096" t="inlineStr"/>
      <c r="P2096" t="inlineStr">
        <is>
          <t>SA9ST800000283944 , Tow Chipper , Forst , ST8D - Towed</t>
        </is>
      </c>
      <c r="Q2096" t="inlineStr">
        <is>
          <t>UKPN</t>
        </is>
      </c>
      <c r="R2096" t="b">
        <v>0</v>
      </c>
    </row>
    <row r="2097">
      <c r="A2097" t="inlineStr">
        <is>
          <t>12 Nov 2025 / Thomas Playford / Utilities / UKPN</t>
        </is>
      </c>
      <c r="B2097" t="inlineStr">
        <is>
          <t>Utilities</t>
        </is>
      </c>
      <c r="C2097" t="inlineStr">
        <is>
          <t>UKPN</t>
        </is>
      </c>
      <c r="D2097" t="inlineStr">
        <is>
          <t>4x4 - Landrover - Defender  - LK15KRZ</t>
        </is>
      </c>
      <c r="E2097" t="inlineStr">
        <is>
          <t>4x4 - Landrover - Defender  - LK15KRZ</t>
        </is>
      </c>
      <c r="F2097" t="inlineStr">
        <is>
          <t>4x4 - Landrover - Defender  - LK15KRZ</t>
        </is>
      </c>
      <c r="G2097" t="inlineStr">
        <is>
          <t>Jacob Oram</t>
        </is>
      </c>
      <c r="H2097" t="inlineStr">
        <is>
          <t>4x4</t>
        </is>
      </c>
      <c r="I2097" t="inlineStr">
        <is>
          <t>Daily/ Weekly Vehicle Inspection</t>
        </is>
      </c>
      <c r="J2097" t="inlineStr">
        <is>
          <t>N/A</t>
        </is>
      </c>
      <c r="K2097" t="inlineStr">
        <is>
          <t>7995 Green Net Eco Ltd 2</t>
        </is>
      </c>
      <c r="L2097" t="inlineStr">
        <is>
          <t>12/11/2025 08:38</t>
        </is>
      </c>
      <c r="M2097" t="inlineStr">
        <is>
          <t>None</t>
        </is>
      </c>
      <c r="N2097" t="inlineStr">
        <is>
          <t>&lt;p&gt;&lt;/p&gt;</t>
        </is>
      </c>
      <c r="O2097" t="inlineStr"/>
      <c r="P2097" t="inlineStr">
        <is>
          <t>4x4 - Landrover - Defender  - LK15KRZ</t>
        </is>
      </c>
      <c r="Q2097" t="inlineStr">
        <is>
          <t>UKPN</t>
        </is>
      </c>
      <c r="R2097" t="b">
        <v>0</v>
      </c>
    </row>
    <row r="2098">
      <c r="A2098" t="inlineStr">
        <is>
          <t>12 Nov 2025 / 7800 MAC Tree Surgery and Fencing Ltd / Utilities / UKPN</t>
        </is>
      </c>
      <c r="B2098" t="inlineStr">
        <is>
          <t>Utilities</t>
        </is>
      </c>
      <c r="C2098" t="inlineStr">
        <is>
          <t>UKPN</t>
        </is>
      </c>
      <c r="D2098" t="inlineStr">
        <is>
          <t>Plant Trailer - Towmate - 2.8t - 0</t>
        </is>
      </c>
      <c r="E2098" t="inlineStr">
        <is>
          <t>Plant Trailer - Towmate - 2.8t - 0</t>
        </is>
      </c>
      <c r="F2098" t="inlineStr">
        <is>
          <t>Plant Trailer - Towmate - 2.8t - 0</t>
        </is>
      </c>
      <c r="G2098" t="inlineStr">
        <is>
          <t xml:space="preserve">Patrick O'Shea </t>
        </is>
      </c>
      <c r="H2098" t="inlineStr">
        <is>
          <t>Plant Trailer</t>
        </is>
      </c>
      <c r="I2098" t="inlineStr">
        <is>
          <t>Daily/ Weekly Vehicle Inspection</t>
        </is>
      </c>
      <c r="J2098" t="inlineStr">
        <is>
          <t>N/A</t>
        </is>
      </c>
      <c r="K2098" t="inlineStr">
        <is>
          <t>7800 MAC Tree Surgery and Fencing Ltd</t>
        </is>
      </c>
      <c r="L2098" t="inlineStr">
        <is>
          <t>12/11/2025 09:34</t>
        </is>
      </c>
      <c r="M2098" t="inlineStr">
        <is>
          <t>None</t>
        </is>
      </c>
      <c r="N2098" t="inlineStr">
        <is>
          <t>&lt;p&gt;&lt;/p&gt;</t>
        </is>
      </c>
      <c r="O2098" t="inlineStr"/>
      <c r="P2098" t="inlineStr">
        <is>
          <t>Plant Trailer - Towmate - 2.8t - 0</t>
        </is>
      </c>
      <c r="Q2098" t="inlineStr">
        <is>
          <t>UKPN</t>
        </is>
      </c>
      <c r="R2098" t="b">
        <v>0</v>
      </c>
    </row>
    <row r="2099">
      <c r="A2099" t="inlineStr">
        <is>
          <t>12 Nov 2025 / 7800 MAC Tree Surgery and Fencing Ltd / Utilities / UKPN</t>
        </is>
      </c>
      <c r="B2099" t="inlineStr">
        <is>
          <t>Utilities</t>
        </is>
      </c>
      <c r="C2099" t="inlineStr">
        <is>
          <t>UKPN</t>
        </is>
      </c>
      <c r="D2099" t="inlineStr">
        <is>
          <t>AY68DAA , 4x4 , Izuzu , Dmax</t>
        </is>
      </c>
      <c r="E2099" t="inlineStr">
        <is>
          <t>AY68DAA , 4x4 , Izuzu , Dmax</t>
        </is>
      </c>
      <c r="F2099" t="inlineStr">
        <is>
          <t>AY68DAA , 4x4 , Izuzu , Dmax</t>
        </is>
      </c>
      <c r="G2099" t="inlineStr">
        <is>
          <t xml:space="preserve">Patrick O'Shea </t>
        </is>
      </c>
      <c r="H2099" t="inlineStr">
        <is>
          <t>4x4</t>
        </is>
      </c>
      <c r="I2099" t="inlineStr">
        <is>
          <t>Daily/ Weekly Vehicle Inspection</t>
        </is>
      </c>
      <c r="J2099" t="inlineStr">
        <is>
          <t>N/A</t>
        </is>
      </c>
      <c r="K2099" t="inlineStr">
        <is>
          <t>7800 MAC Tree Surgery and Fencing Ltd</t>
        </is>
      </c>
      <c r="L2099" t="inlineStr">
        <is>
          <t>12/11/2025 09:35</t>
        </is>
      </c>
      <c r="M2099" t="inlineStr">
        <is>
          <t>None</t>
        </is>
      </c>
      <c r="N2099" t="inlineStr">
        <is>
          <t>&lt;p&gt;&lt;/p&gt;</t>
        </is>
      </c>
      <c r="O2099" t="inlineStr"/>
      <c r="P2099" t="inlineStr">
        <is>
          <t>AY68DAA , 4x4 , Izuzu , Dmax</t>
        </is>
      </c>
      <c r="Q2099" t="inlineStr">
        <is>
          <t>UKPN</t>
        </is>
      </c>
      <c r="R2099" t="b">
        <v>0</v>
      </c>
    </row>
    <row r="2100">
      <c r="A2100" t="inlineStr">
        <is>
          <t>13 Nov 2025 / 3098 D &amp; R Landscapes 1 / Utilities / UKPN</t>
        </is>
      </c>
      <c r="B2100" t="inlineStr">
        <is>
          <t>Utilities</t>
        </is>
      </c>
      <c r="C2100" t="inlineStr">
        <is>
          <t>UKPN</t>
        </is>
      </c>
      <c r="D2100" t="inlineStr">
        <is>
          <t>Vehicle - Nissan - Navara - BT20 GNZ</t>
        </is>
      </c>
      <c r="E2100" t="inlineStr">
        <is>
          <t>Vehicle - Nissan - Navara - BT20 GNZ</t>
        </is>
      </c>
      <c r="F2100" t="inlineStr">
        <is>
          <t>Vehicle - Nissan - Navara - BT20 GNZ</t>
        </is>
      </c>
      <c r="G2100" t="inlineStr">
        <is>
          <t xml:space="preserve">Jason Mccloy </t>
        </is>
      </c>
      <c r="H2100" t="inlineStr">
        <is>
          <t>4x4</t>
        </is>
      </c>
      <c r="I2100" t="inlineStr">
        <is>
          <t>Daily/ Weekly Vehicle Inspection</t>
        </is>
      </c>
      <c r="J2100" t="inlineStr">
        <is>
          <t>N/A</t>
        </is>
      </c>
      <c r="K2100" t="inlineStr">
        <is>
          <t>3098 D &amp; R Landscapes 1</t>
        </is>
      </c>
      <c r="L2100" t="inlineStr">
        <is>
          <t>13/11/2025 07:32</t>
        </is>
      </c>
      <c r="M2100" t="inlineStr">
        <is>
          <t>None</t>
        </is>
      </c>
      <c r="N2100" t="inlineStr">
        <is>
          <t>&lt;p&gt;&lt;/p&gt;</t>
        </is>
      </c>
      <c r="O2100" t="inlineStr"/>
      <c r="P2100" t="inlineStr">
        <is>
          <t>Vehicle - Nissan - Navara - BT20 GNZ</t>
        </is>
      </c>
      <c r="Q2100" t="inlineStr">
        <is>
          <t>UKPN</t>
        </is>
      </c>
      <c r="R2100" t="b">
        <v>0</v>
      </c>
    </row>
    <row r="2101">
      <c r="A2101" t="inlineStr">
        <is>
          <t>17 Oct 2025 / 7951 Austin Tree Care LTD 1 / Utilities / UKPN</t>
        </is>
      </c>
      <c r="B2101" t="inlineStr">
        <is>
          <t>Utilities</t>
        </is>
      </c>
      <c r="C2101" t="inlineStr">
        <is>
          <t>UKPN</t>
        </is>
      </c>
      <c r="D2101" t="inlineStr">
        <is>
          <t>WF61 HZV , 4x4 MEWP , Land Rover , Defender</t>
        </is>
      </c>
      <c r="E2101" t="inlineStr">
        <is>
          <t>WF61 HZV , 4x4 MEWP , Land Rover , Defender</t>
        </is>
      </c>
      <c r="F2101" t="inlineStr">
        <is>
          <t>WF61 HZV , 4x4 MEWP , Land Rover , Defender</t>
        </is>
      </c>
      <c r="G2101" t="inlineStr">
        <is>
          <t xml:space="preserve">Jack Austin </t>
        </is>
      </c>
      <c r="H2101" t="inlineStr">
        <is>
          <t>4x4</t>
        </is>
      </c>
      <c r="I2101" t="inlineStr">
        <is>
          <t>Daily/ Weekly Vehicle Inspection</t>
        </is>
      </c>
      <c r="J2101" t="inlineStr">
        <is>
          <t>N/A</t>
        </is>
      </c>
      <c r="K2101" t="inlineStr">
        <is>
          <t>7951 Austin Tree Care LTD 1</t>
        </is>
      </c>
      <c r="L2101" t="inlineStr">
        <is>
          <t>13/11/2025 07:33</t>
        </is>
      </c>
      <c r="M2101" t="inlineStr">
        <is>
          <t>None</t>
        </is>
      </c>
      <c r="N2101" t="inlineStr">
        <is>
          <t>&lt;p&gt;&lt;/p&gt;</t>
        </is>
      </c>
      <c r="O2101" t="inlineStr"/>
      <c r="P2101" t="inlineStr">
        <is>
          <t>WF61 HZV , 4x4 MEWP , Land Rover , Defender</t>
        </is>
      </c>
      <c r="Q2101" t="inlineStr">
        <is>
          <t>UKPN</t>
        </is>
      </c>
      <c r="R2101" t="b">
        <v>0</v>
      </c>
    </row>
    <row r="2102">
      <c r="A2102" t="inlineStr">
        <is>
          <t>13 Nov 2025 / 7186 Eastwoodbury Tree Services Ltd / Utilities / UKPN</t>
        </is>
      </c>
      <c r="B2102" t="inlineStr">
        <is>
          <t>Utilities</t>
        </is>
      </c>
      <c r="C2102" t="inlineStr">
        <is>
          <t>UKPN</t>
        </is>
      </c>
      <c r="D2102" t="inlineStr">
        <is>
          <t>4x4 - Land rover  - Defenders  - WF13 EKM</t>
        </is>
      </c>
      <c r="E2102" t="inlineStr">
        <is>
          <t>4x4 - Land rover  - Defenders  - WF13 EKM</t>
        </is>
      </c>
      <c r="F2102" t="inlineStr">
        <is>
          <t>4x4 - Land rover  - Defenders  - WF13 EKM</t>
        </is>
      </c>
      <c r="G2102" t="inlineStr">
        <is>
          <t xml:space="preserve">Dan Gilbert </t>
        </is>
      </c>
      <c r="H2102" t="inlineStr">
        <is>
          <t>4x4</t>
        </is>
      </c>
      <c r="I2102" t="inlineStr">
        <is>
          <t>Daily/ Weekly Vehicle Inspection</t>
        </is>
      </c>
      <c r="J2102" t="inlineStr">
        <is>
          <t>N/A</t>
        </is>
      </c>
      <c r="K2102" t="inlineStr">
        <is>
          <t>7186 Eastwoodbury Tree Services Ltd</t>
        </is>
      </c>
      <c r="L2102" t="inlineStr">
        <is>
          <t>13/11/2025 07:33</t>
        </is>
      </c>
      <c r="M2102" t="inlineStr">
        <is>
          <t>None</t>
        </is>
      </c>
      <c r="N2102" t="inlineStr">
        <is>
          <t>&lt;p&gt;&lt;/p&gt;</t>
        </is>
      </c>
      <c r="O2102" t="inlineStr"/>
      <c r="P2102" t="inlineStr">
        <is>
          <t>4x4 - Land rover  - Defenders  - WF13 EKM</t>
        </is>
      </c>
      <c r="Q2102" t="inlineStr">
        <is>
          <t>UKPN</t>
        </is>
      </c>
      <c r="R2102" t="b">
        <v>0</v>
      </c>
    </row>
    <row r="2103">
      <c r="A2103" t="inlineStr">
        <is>
          <t>13 Nov 2025 / 7806 Optimum Tree Services Ltd / Utilities / UKPN</t>
        </is>
      </c>
      <c r="B2103" t="inlineStr">
        <is>
          <t>Utilities</t>
        </is>
      </c>
      <c r="C2103" t="inlineStr">
        <is>
          <t>UKPN</t>
        </is>
      </c>
      <c r="D2103" t="inlineStr">
        <is>
          <t>4x4 - Landrover  - Defender  - Wd14evn</t>
        </is>
      </c>
      <c r="E2103" t="inlineStr">
        <is>
          <t>4x4 - Landrover  - Defender  - Wd14evn</t>
        </is>
      </c>
      <c r="F2103" t="inlineStr">
        <is>
          <t>4x4 - Landrover  - Defender  - Wd14evn</t>
        </is>
      </c>
      <c r="G2103" t="inlineStr">
        <is>
          <t xml:space="preserve">Kenney Aldred </t>
        </is>
      </c>
      <c r="H2103" t="inlineStr">
        <is>
          <t>4x4</t>
        </is>
      </c>
      <c r="I2103" t="inlineStr">
        <is>
          <t>Daily/ Weekly Vehicle Inspection</t>
        </is>
      </c>
      <c r="J2103" t="inlineStr">
        <is>
          <t>N/A</t>
        </is>
      </c>
      <c r="K2103" t="inlineStr">
        <is>
          <t>7806 Optimum Tree Services Ltd</t>
        </is>
      </c>
      <c r="L2103" t="inlineStr">
        <is>
          <t>13/11/2025 07:34</t>
        </is>
      </c>
      <c r="M2103" t="inlineStr">
        <is>
          <t>None</t>
        </is>
      </c>
      <c r="N2103" t="inlineStr">
        <is>
          <t>&lt;p&gt;&lt;/p&gt;</t>
        </is>
      </c>
      <c r="O2103" t="inlineStr"/>
      <c r="P2103" t="inlineStr">
        <is>
          <t>4x4 - Landrover  - Defender  - Wd14evn</t>
        </is>
      </c>
      <c r="Q2103" t="inlineStr">
        <is>
          <t>UKPN</t>
        </is>
      </c>
      <c r="R2103" t="b">
        <v>0</v>
      </c>
    </row>
    <row r="2104">
      <c r="A2104" t="inlineStr">
        <is>
          <t>13 Nov 2025 / 7889 Tree Tech Suffolk Ltd</t>
        </is>
      </c>
      <c r="B2104" t="inlineStr">
        <is>
          <t>Utilities &amp; Inland Waterways</t>
        </is>
      </c>
      <c r="C2104" t="inlineStr">
        <is>
          <t>UKPN</t>
        </is>
      </c>
      <c r="D2104" t="inlineStr">
        <is>
          <t>Tow Chipper - Jenson - A530L - 55210639484x4 - Isuzu - D-max - NS03 TTSTipper - Mercedes - Sprinter - NS06TTS</t>
        </is>
      </c>
      <c r="E2104" t="inlineStr">
        <is>
          <t>Tow Chipper - Jenson - A530L - 55210639484x4 - Isuzu - D-max - NS03 TTSTipper - Mercedes - Sprinter - NS06TTS</t>
        </is>
      </c>
      <c r="F2104" t="inlineStr">
        <is>
          <t>Tow Chipper - Jenson - A530L - 55210639484x4 - Isuzu - D-max - NS03 TTSTipper - Mercedes - Sprinter - NS06TTS</t>
        </is>
      </c>
      <c r="G2104" t="inlineStr">
        <is>
          <t xml:space="preserve">Danny Appleby Danny Appleby Nikki sparrow </t>
        </is>
      </c>
      <c r="H2104" t="inlineStr">
        <is>
          <t>Towed Chipper4x4Tipper</t>
        </is>
      </c>
      <c r="I2104" t="inlineStr">
        <is>
          <t>Daily/ Weekly Vehicle Inspection</t>
        </is>
      </c>
      <c r="J2104" t="inlineStr">
        <is>
          <t>N/A</t>
        </is>
      </c>
      <c r="K2104" t="inlineStr">
        <is>
          <t>7889 Tree Tech Suffolk Ltd</t>
        </is>
      </c>
      <c r="L2104" t="inlineStr">
        <is>
          <t>13/11/2025 07:35</t>
        </is>
      </c>
      <c r="M2104" t="inlineStr">
        <is>
          <t>None</t>
        </is>
      </c>
      <c r="N2104" t="inlineStr">
        <is>
          <t>&lt;p&gt;&lt;/p&gt;</t>
        </is>
      </c>
      <c r="O2104" t="inlineStr"/>
      <c r="P2104" t="inlineStr">
        <is>
          <t>Tow Chipper - Jenson - A530L - 55210639484x4 - Isuzu - D-max - NS03 TTSTipper - Mercedes - Sprinter - NS06TTS</t>
        </is>
      </c>
      <c r="Q2104" t="inlineStr">
        <is>
          <t>UKPN</t>
        </is>
      </c>
      <c r="R2104" t="b">
        <v>0</v>
      </c>
    </row>
    <row r="2105">
      <c r="A2105" t="inlineStr">
        <is>
          <t>13 Nov 2025 / 7186 Eastwoodbury Tree Services Ltd / Utilities / UKPN</t>
        </is>
      </c>
      <c r="B2105" t="inlineStr">
        <is>
          <t>Utilities</t>
        </is>
      </c>
      <c r="C2105" t="inlineStr">
        <is>
          <t>UKPN</t>
        </is>
      </c>
      <c r="D2105" t="inlineStr">
        <is>
          <t>DN61XKJ , Tipper , Ford , Transit</t>
        </is>
      </c>
      <c r="E2105" t="inlineStr">
        <is>
          <t>DN61XKJ , Tipper , Ford , Transit</t>
        </is>
      </c>
      <c r="F2105" t="inlineStr">
        <is>
          <t>DN61XKJ , Tipper , Ford , Transit</t>
        </is>
      </c>
      <c r="G2105" t="inlineStr">
        <is>
          <t xml:space="preserve">Jay Denkmayer </t>
        </is>
      </c>
      <c r="H2105" t="inlineStr">
        <is>
          <t>Tipper</t>
        </is>
      </c>
      <c r="I2105" t="inlineStr">
        <is>
          <t>Daily/ Weekly Vehicle Inspection</t>
        </is>
      </c>
      <c r="J2105" t="inlineStr">
        <is>
          <t>N/A</t>
        </is>
      </c>
      <c r="K2105" t="inlineStr">
        <is>
          <t>7186 Eastwoodbury Tree Services Ltd</t>
        </is>
      </c>
      <c r="L2105" t="inlineStr">
        <is>
          <t>13/11/2025 07:35</t>
        </is>
      </c>
      <c r="M2105" t="inlineStr">
        <is>
          <t>None</t>
        </is>
      </c>
      <c r="N2105" t="inlineStr">
        <is>
          <t>&lt;p&gt;&lt;/p&gt;</t>
        </is>
      </c>
      <c r="O2105" t="inlineStr"/>
      <c r="P2105" t="inlineStr">
        <is>
          <t>DN61XKJ , Tipper , Ford , Transit</t>
        </is>
      </c>
      <c r="Q2105" t="inlineStr">
        <is>
          <t>UKPN</t>
        </is>
      </c>
      <c r="R2105" t="b">
        <v>0</v>
      </c>
    </row>
    <row r="2106">
      <c r="A2106" t="inlineStr">
        <is>
          <t>13 Nov 2025 / 7186 Eastwoodbury Tree Services Ltd / Utilities / UKPN</t>
        </is>
      </c>
      <c r="B2106" t="inlineStr">
        <is>
          <t>Utilities</t>
        </is>
      </c>
      <c r="C2106" t="inlineStr">
        <is>
          <t>UKPN</t>
        </is>
      </c>
      <c r="D2106" t="inlineStr">
        <is>
          <t>4x4 - Land rover  - Defender  - WF13 EKT</t>
        </is>
      </c>
      <c r="E2106" t="inlineStr">
        <is>
          <t>4x4 - Land rover  - Defender  - WF13 EKT</t>
        </is>
      </c>
      <c r="F2106" t="inlineStr">
        <is>
          <t>4x4 - Land rover  - Defender  - WF13 EKT</t>
        </is>
      </c>
      <c r="G2106" t="inlineStr">
        <is>
          <t xml:space="preserve">Tom Price </t>
        </is>
      </c>
      <c r="H2106" t="inlineStr">
        <is>
          <t>4x4</t>
        </is>
      </c>
      <c r="I2106" t="inlineStr">
        <is>
          <t>Daily/ Weekly Vehicle Inspection</t>
        </is>
      </c>
      <c r="J2106" t="inlineStr">
        <is>
          <t>N/A</t>
        </is>
      </c>
      <c r="K2106" t="inlineStr">
        <is>
          <t>7186 Eastwoodbury Tree Services Ltd</t>
        </is>
      </c>
      <c r="L2106" t="inlineStr">
        <is>
          <t>13/11/2025 07:36</t>
        </is>
      </c>
      <c r="M2106" t="inlineStr">
        <is>
          <t>None</t>
        </is>
      </c>
      <c r="N2106" t="inlineStr">
        <is>
          <t>&lt;p&gt;&lt;/p&gt;</t>
        </is>
      </c>
      <c r="O2106" t="inlineStr"/>
      <c r="P2106" t="inlineStr">
        <is>
          <t>4x4 - Land rover  - Defender  - WF13 EKT</t>
        </is>
      </c>
      <c r="Q2106" t="inlineStr">
        <is>
          <t>UKPN</t>
        </is>
      </c>
      <c r="R2106" t="b">
        <v>0</v>
      </c>
    </row>
    <row r="2107">
      <c r="A2107" t="inlineStr">
        <is>
          <t>13 Nov 2025 / 7806 Optimum Tree Services Ltd / Utilities / UKPN</t>
        </is>
      </c>
      <c r="B2107" t="inlineStr">
        <is>
          <t>Utilities</t>
        </is>
      </c>
      <c r="C2107" t="inlineStr">
        <is>
          <t>UKPN</t>
        </is>
      </c>
      <c r="D2107" t="inlineStr">
        <is>
          <t>SA9TAPLAF27414263 , Trailer , Tow Mate , Plant Trailer</t>
        </is>
      </c>
      <c r="E2107" t="inlineStr">
        <is>
          <t>SA9TAPLAF27414263 , Trailer , Tow Mate , Plant Trailer</t>
        </is>
      </c>
      <c r="F2107" t="inlineStr">
        <is>
          <t>SA9TAPLAF27414263 , Trailer , Tow Mate , Plant Trailer</t>
        </is>
      </c>
      <c r="G2107" t="inlineStr">
        <is>
          <t xml:space="preserve">Abraham Davies </t>
        </is>
      </c>
      <c r="H2107" t="inlineStr">
        <is>
          <t>Plant Trailer</t>
        </is>
      </c>
      <c r="I2107" t="inlineStr">
        <is>
          <t>Daily/ Weekly Vehicle Inspection</t>
        </is>
      </c>
      <c r="J2107" t="inlineStr">
        <is>
          <t>N/A</t>
        </is>
      </c>
      <c r="K2107" t="inlineStr">
        <is>
          <t>7806 Optimum Tree Services Ltd</t>
        </is>
      </c>
      <c r="L2107" t="inlineStr">
        <is>
          <t>13/11/2025 07:36</t>
        </is>
      </c>
      <c r="M2107" t="inlineStr">
        <is>
          <t>None</t>
        </is>
      </c>
      <c r="N2107" t="inlineStr">
        <is>
          <t>&lt;p&gt;&lt;/p&gt;</t>
        </is>
      </c>
      <c r="O2107" t="inlineStr"/>
      <c r="P2107" t="inlineStr">
        <is>
          <t>SA9TAPLAF27414263 , Trailer , Tow Mate , Plant Trailer</t>
        </is>
      </c>
      <c r="Q2107" t="inlineStr">
        <is>
          <t>UKPN</t>
        </is>
      </c>
      <c r="R2107" t="b">
        <v>0</v>
      </c>
    </row>
    <row r="2108">
      <c r="A2108" t="inlineStr">
        <is>
          <t>13 Nov 2025 / 7806 Optimum Tree Services Ltd / Utilities / UKPN</t>
        </is>
      </c>
      <c r="B2108" t="inlineStr">
        <is>
          <t>Utilities</t>
        </is>
      </c>
      <c r="C2108" t="inlineStr">
        <is>
          <t>UKPN</t>
        </is>
      </c>
      <c r="D2108" t="inlineStr">
        <is>
          <t>WD14EVB , MEWP , Land Rover , Defender</t>
        </is>
      </c>
      <c r="E2108" t="inlineStr">
        <is>
          <t>WD14EVB , MEWP , Land Rover , Defender</t>
        </is>
      </c>
      <c r="F2108" t="inlineStr">
        <is>
          <t>WD14EVB , MEWP , Land Rover , Defender</t>
        </is>
      </c>
      <c r="G2108" t="inlineStr">
        <is>
          <t xml:space="preserve">Abraham Davies </t>
        </is>
      </c>
      <c r="H2108" t="inlineStr">
        <is>
          <t>4x4</t>
        </is>
      </c>
      <c r="I2108" t="inlineStr">
        <is>
          <t>Daily/ Weekly Vehicle Inspection</t>
        </is>
      </c>
      <c r="J2108" t="inlineStr">
        <is>
          <t>N/A</t>
        </is>
      </c>
      <c r="K2108" t="inlineStr">
        <is>
          <t>7806 Optimum Tree Services Ltd</t>
        </is>
      </c>
      <c r="L2108" t="inlineStr">
        <is>
          <t>13/11/2025 07:39</t>
        </is>
      </c>
      <c r="M2108" t="inlineStr">
        <is>
          <t>None</t>
        </is>
      </c>
      <c r="N2108" t="inlineStr">
        <is>
          <t>&lt;p&gt;&lt;/p&gt;</t>
        </is>
      </c>
      <c r="O2108" t="inlineStr"/>
      <c r="P2108" t="inlineStr">
        <is>
          <t>WD14EVB , MEWP , Land Rover , Defender</t>
        </is>
      </c>
      <c r="Q2108" t="inlineStr">
        <is>
          <t>UKPN</t>
        </is>
      </c>
      <c r="R2108" t="b">
        <v>0</v>
      </c>
    </row>
    <row r="2109">
      <c r="A2109" t="inlineStr">
        <is>
          <t>13 Nov 2025 / Thomas Playford / Utilities / UKPN</t>
        </is>
      </c>
      <c r="B2109" t="inlineStr">
        <is>
          <t>Utilities</t>
        </is>
      </c>
      <c r="C2109" t="inlineStr">
        <is>
          <t>UKPN</t>
        </is>
      </c>
      <c r="D2109" t="inlineStr">
        <is>
          <t>SA9ST800000283944 , Tow Chipper , Forst , ST8D - Towed</t>
        </is>
      </c>
      <c r="E2109" t="inlineStr">
        <is>
          <t>SA9ST800000283944 , Tow Chipper , Forst , ST8D - Towed</t>
        </is>
      </c>
      <c r="F2109" t="inlineStr">
        <is>
          <t>SA9ST800000283944 , Tow Chipper , Forst , ST8D - Towed</t>
        </is>
      </c>
      <c r="G2109" t="inlineStr">
        <is>
          <t>Jacob Oram</t>
        </is>
      </c>
      <c r="H2109" t="inlineStr">
        <is>
          <t>Towed Chipper</t>
        </is>
      </c>
      <c r="I2109" t="inlineStr">
        <is>
          <t>Daily/ Weekly Vehicle Inspection</t>
        </is>
      </c>
      <c r="J2109" t="inlineStr">
        <is>
          <t>N/A</t>
        </is>
      </c>
      <c r="K2109" t="inlineStr">
        <is>
          <t>7995 Green Net Eco Ltd 2</t>
        </is>
      </c>
      <c r="L2109" t="inlineStr">
        <is>
          <t>13/11/2025 08:34</t>
        </is>
      </c>
      <c r="M2109" t="inlineStr">
        <is>
          <t>None</t>
        </is>
      </c>
      <c r="N2109" t="inlineStr">
        <is>
          <t>&lt;p&gt;&lt;/p&gt;</t>
        </is>
      </c>
      <c r="O2109" t="inlineStr"/>
      <c r="P2109" t="inlineStr">
        <is>
          <t>SA9ST800000283944 , Tow Chipper , Forst , ST8D - Towed</t>
        </is>
      </c>
      <c r="Q2109" t="inlineStr">
        <is>
          <t>UKPN</t>
        </is>
      </c>
      <c r="R2109" t="b">
        <v>0</v>
      </c>
    </row>
    <row r="2110">
      <c r="A2110" t="inlineStr">
        <is>
          <t>13 Nov 2025 / Thomas Playford / Utilities / UKPN</t>
        </is>
      </c>
      <c r="B2110" t="inlineStr">
        <is>
          <t>Utilities</t>
        </is>
      </c>
      <c r="C2110" t="inlineStr">
        <is>
          <t>UKPN</t>
        </is>
      </c>
      <c r="D2110" t="inlineStr">
        <is>
          <t>4x4 - Landrover - Defender  - LK15KRZ</t>
        </is>
      </c>
      <c r="E2110" t="inlineStr">
        <is>
          <t>4x4 - Landrover - Defender  - LK15KRZ</t>
        </is>
      </c>
      <c r="F2110" t="inlineStr">
        <is>
          <t>4x4 - Landrover - Defender  - LK15KRZ</t>
        </is>
      </c>
      <c r="G2110" t="inlineStr">
        <is>
          <t>Jacob Oram</t>
        </is>
      </c>
      <c r="H2110" t="inlineStr">
        <is>
          <t>4x4</t>
        </is>
      </c>
      <c r="I2110" t="inlineStr">
        <is>
          <t>Daily/ Weekly Vehicle Inspection</t>
        </is>
      </c>
      <c r="J2110" t="inlineStr">
        <is>
          <t>N/A</t>
        </is>
      </c>
      <c r="K2110" t="inlineStr">
        <is>
          <t>7995 Green Net Eco Ltd 2</t>
        </is>
      </c>
      <c r="L2110" t="inlineStr">
        <is>
          <t>13/11/2025 08:35</t>
        </is>
      </c>
      <c r="M2110" t="inlineStr">
        <is>
          <t>None</t>
        </is>
      </c>
      <c r="N2110" t="inlineStr">
        <is>
          <t>&lt;p&gt;&lt;/p&gt;</t>
        </is>
      </c>
      <c r="O2110" t="inlineStr"/>
      <c r="P2110" t="inlineStr">
        <is>
          <t>4x4 - Landrover - Defender  - LK15KRZ</t>
        </is>
      </c>
      <c r="Q2110" t="inlineStr">
        <is>
          <t>UKPN</t>
        </is>
      </c>
      <c r="R2110" t="b">
        <v>0</v>
      </c>
    </row>
    <row r="2111">
      <c r="A2111" t="inlineStr">
        <is>
          <t>13 Nov 2025 / 3098 D &amp; R Landscapes 1 / Utilities / UKPN</t>
        </is>
      </c>
      <c r="B2111" t="inlineStr">
        <is>
          <t>Utilities</t>
        </is>
      </c>
      <c r="C2111" t="inlineStr">
        <is>
          <t>UKPN</t>
        </is>
      </c>
      <c r="D2111" t="inlineStr">
        <is>
          <t>WA13ZZK , 4x4 , Land Rover  , Defender</t>
        </is>
      </c>
      <c r="E2111" t="inlineStr">
        <is>
          <t>WA13ZZK , 4x4 , Land Rover  , Defender</t>
        </is>
      </c>
      <c r="F2111" t="inlineStr">
        <is>
          <t>WA13ZZK , 4x4 , Land Rover  , Defender</t>
        </is>
      </c>
      <c r="G2111" t="inlineStr">
        <is>
          <t>Josh Pegrum</t>
        </is>
      </c>
      <c r="H2111" t="inlineStr">
        <is>
          <t>4x4</t>
        </is>
      </c>
      <c r="I2111" t="inlineStr">
        <is>
          <t>Daily/ Weekly Vehicle Inspection</t>
        </is>
      </c>
      <c r="J2111" t="inlineStr">
        <is>
          <t>N/A</t>
        </is>
      </c>
      <c r="K2111" t="inlineStr">
        <is>
          <t>3098 D &amp; R Landscapes 1</t>
        </is>
      </c>
      <c r="L2111" t="inlineStr">
        <is>
          <t>13/11/2025 08:35</t>
        </is>
      </c>
      <c r="M2111" t="inlineStr">
        <is>
          <t>None</t>
        </is>
      </c>
      <c r="N2111" t="inlineStr">
        <is>
          <t>&lt;p&gt;&lt;/p&gt;</t>
        </is>
      </c>
      <c r="O2111" t="inlineStr"/>
      <c r="P2111" t="inlineStr">
        <is>
          <t>WA13ZZK , 4x4 , Land Rover  , Defender</t>
        </is>
      </c>
      <c r="Q2111" t="inlineStr">
        <is>
          <t>UKPN</t>
        </is>
      </c>
      <c r="R2111" t="b">
        <v>0</v>
      </c>
    </row>
    <row r="2112">
      <c r="A2112" t="inlineStr">
        <is>
          <t>13 Nov 2025 / 7800 MAC Tree Surgery and Fencing Ltd / Utilities / UKPN</t>
        </is>
      </c>
      <c r="B2112" t="inlineStr">
        <is>
          <t>Utilities</t>
        </is>
      </c>
      <c r="C2112" t="inlineStr">
        <is>
          <t>UKPN</t>
        </is>
      </c>
      <c r="D2112" t="inlineStr">
        <is>
          <t>Plant Trailer - Towmate - 2.8t - 0</t>
        </is>
      </c>
      <c r="E2112" t="inlineStr">
        <is>
          <t>Plant Trailer - Towmate - 2.8t - 0</t>
        </is>
      </c>
      <c r="F2112" t="inlineStr">
        <is>
          <t>Plant Trailer - Towmate - 2.8t - 0</t>
        </is>
      </c>
      <c r="G2112" t="inlineStr">
        <is>
          <t xml:space="preserve">Patrick O'Shea </t>
        </is>
      </c>
      <c r="H2112" t="inlineStr">
        <is>
          <t>Plant Trailer</t>
        </is>
      </c>
      <c r="I2112" t="inlineStr">
        <is>
          <t>Daily/ Weekly Vehicle Inspection</t>
        </is>
      </c>
      <c r="J2112" t="inlineStr">
        <is>
          <t>N/A</t>
        </is>
      </c>
      <c r="K2112" t="inlineStr">
        <is>
          <t>7800 MAC Tree Surgery and Fencing Ltd</t>
        </is>
      </c>
      <c r="L2112" t="inlineStr">
        <is>
          <t>13/11/2025 10:34</t>
        </is>
      </c>
      <c r="M2112" t="inlineStr">
        <is>
          <t>None</t>
        </is>
      </c>
      <c r="N2112" t="inlineStr">
        <is>
          <t>&lt;p&gt;&lt;/p&gt;</t>
        </is>
      </c>
      <c r="O2112" t="inlineStr"/>
      <c r="P2112" t="inlineStr">
        <is>
          <t>Plant Trailer - Towmate - 2.8t - 0</t>
        </is>
      </c>
      <c r="Q2112" t="inlineStr">
        <is>
          <t>UKPN</t>
        </is>
      </c>
      <c r="R2112" t="b">
        <v>0</v>
      </c>
    </row>
    <row r="2113">
      <c r="A2113" t="inlineStr">
        <is>
          <t>13 Nov 2025 / 7800 MAC Tree Surgery and Fencing Ltd / Utilities / UKPN</t>
        </is>
      </c>
      <c r="B2113" t="inlineStr">
        <is>
          <t>Utilities</t>
        </is>
      </c>
      <c r="C2113" t="inlineStr">
        <is>
          <t>UKPN</t>
        </is>
      </c>
      <c r="D2113" t="inlineStr">
        <is>
          <t>AY68DAA , 4x4 , Izuzu , Dmax</t>
        </is>
      </c>
      <c r="E2113" t="inlineStr">
        <is>
          <t>AY68DAA , 4x4 , Izuzu , Dmax</t>
        </is>
      </c>
      <c r="F2113" t="inlineStr">
        <is>
          <t>AY68DAA , 4x4 , Izuzu , Dmax</t>
        </is>
      </c>
      <c r="G2113" t="inlineStr">
        <is>
          <t xml:space="preserve">Patrick O'Shea </t>
        </is>
      </c>
      <c r="H2113" t="inlineStr">
        <is>
          <t>4x4</t>
        </is>
      </c>
      <c r="I2113" t="inlineStr">
        <is>
          <t>Daily/ Weekly Vehicle Inspection</t>
        </is>
      </c>
      <c r="J2113" t="inlineStr">
        <is>
          <t>N/A</t>
        </is>
      </c>
      <c r="K2113" t="inlineStr">
        <is>
          <t>7800 MAC Tree Surgery and Fencing Ltd</t>
        </is>
      </c>
      <c r="L2113" t="inlineStr">
        <is>
          <t>13/11/2025 10:34</t>
        </is>
      </c>
      <c r="M2113" t="inlineStr">
        <is>
          <t>None</t>
        </is>
      </c>
      <c r="N2113" t="inlineStr">
        <is>
          <t>&lt;p&gt;&lt;/p&gt;</t>
        </is>
      </c>
      <c r="O2113" t="inlineStr"/>
      <c r="P2113" t="inlineStr">
        <is>
          <t>AY68DAA , 4x4 , Izuzu , Dmax</t>
        </is>
      </c>
      <c r="Q2113" t="inlineStr">
        <is>
          <t>UKPN</t>
        </is>
      </c>
      <c r="R2113" t="b">
        <v>0</v>
      </c>
    </row>
    <row r="2114">
      <c r="A2114" t="inlineStr">
        <is>
          <t>13 Nov 2025 / 6556 DE UA SWales3 / Utilities / NGED</t>
        </is>
      </c>
      <c r="B2114" t="inlineStr">
        <is>
          <t>Utilities</t>
        </is>
      </c>
      <c r="C2114" t="inlineStr">
        <is>
          <t>NGED</t>
        </is>
      </c>
      <c r="D2114" t="inlineStr">
        <is>
          <t>BT72WYC , N/A , Isuzu , D-Max</t>
        </is>
      </c>
      <c r="E2114" t="inlineStr">
        <is>
          <t>BT72WYC , N/A , Isuzu , D-Max</t>
        </is>
      </c>
      <c r="F2114" t="inlineStr">
        <is>
          <t>BT72WYC , N/A , Isuzu , D-Max</t>
        </is>
      </c>
      <c r="G2114" t="inlineStr">
        <is>
          <t xml:space="preserve">Becky raymond </t>
        </is>
      </c>
      <c r="H2114" t="inlineStr">
        <is>
          <t>4x4</t>
        </is>
      </c>
      <c r="I2114" t="inlineStr">
        <is>
          <t>Daily/ Weekly Vehicle Inspection</t>
        </is>
      </c>
      <c r="J2114" t="inlineStr">
        <is>
          <t>N/A</t>
        </is>
      </c>
      <c r="K2114" t="inlineStr">
        <is>
          <t>6556 DE UA SWales3</t>
        </is>
      </c>
      <c r="L2114" t="inlineStr">
        <is>
          <t>13/11/2025 11:33</t>
        </is>
      </c>
      <c r="M2114" t="inlineStr">
        <is>
          <t>None</t>
        </is>
      </c>
      <c r="N2114" t="inlineStr">
        <is>
          <t>&lt;p&gt;&lt;/p&gt;</t>
        </is>
      </c>
      <c r="O2114" t="inlineStr"/>
      <c r="P2114" t="inlineStr">
        <is>
          <t>BT72WYC , N/A , Isuzu , D-Max</t>
        </is>
      </c>
      <c r="Q2114" t="inlineStr">
        <is>
          <t>NGED</t>
        </is>
      </c>
      <c r="R2114" t="b">
        <v>0</v>
      </c>
    </row>
    <row r="2115">
      <c r="A2115" t="inlineStr">
        <is>
          <t>13 Nov 2025 / 6556 DE UA SWales3 / Utilities / NGED</t>
        </is>
      </c>
      <c r="B2115" t="inlineStr">
        <is>
          <t>Utilities</t>
        </is>
      </c>
      <c r="C2115" t="inlineStr">
        <is>
          <t>NGED</t>
        </is>
      </c>
      <c r="D2115" t="inlineStr">
        <is>
          <t>WO23RVN , Van , Ford , Ranger</t>
        </is>
      </c>
      <c r="E2115" t="inlineStr">
        <is>
          <t>WO23RVN , Van , Ford , Ranger</t>
        </is>
      </c>
      <c r="F2115" t="inlineStr">
        <is>
          <t>WO23RVN , Van , Ford , Ranger</t>
        </is>
      </c>
      <c r="G2115" t="inlineStr">
        <is>
          <t>Daniel Davies</t>
        </is>
      </c>
      <c r="H2115" t="inlineStr">
        <is>
          <t>Tipper</t>
        </is>
      </c>
      <c r="I2115" t="inlineStr">
        <is>
          <t>Daily/ Weekly Vehicle Inspection</t>
        </is>
      </c>
      <c r="J2115" t="inlineStr">
        <is>
          <t>N/A</t>
        </is>
      </c>
      <c r="K2115" t="inlineStr">
        <is>
          <t>6556 DE UA SWales3</t>
        </is>
      </c>
      <c r="L2115" t="inlineStr">
        <is>
          <t>13/11/2025 11:34</t>
        </is>
      </c>
      <c r="M2115" t="inlineStr">
        <is>
          <t>None</t>
        </is>
      </c>
      <c r="N2115" t="inlineStr">
        <is>
          <t>&lt;p&gt;&lt;/p&gt;</t>
        </is>
      </c>
      <c r="O2115" t="inlineStr"/>
      <c r="P2115" t="inlineStr">
        <is>
          <t>WO23RVN , Van , Ford , Ranger</t>
        </is>
      </c>
      <c r="Q2115" t="inlineStr">
        <is>
          <t>NGED</t>
        </is>
      </c>
      <c r="R2115" t="b">
        <v>0</v>
      </c>
    </row>
    <row r="2116">
      <c r="A2116" t="inlineStr">
        <is>
          <t>13 Nov 2025 / 6556 DE UA SWales3 / Utilities / NGED</t>
        </is>
      </c>
      <c r="B2116" t="inlineStr">
        <is>
          <t>Utilities</t>
        </is>
      </c>
      <c r="C2116" t="inlineStr">
        <is>
          <t>NGED</t>
        </is>
      </c>
      <c r="D2116" t="inlineStr">
        <is>
          <t>BK72ZPG , N/A , Isuzu , D-Max</t>
        </is>
      </c>
      <c r="E2116" t="inlineStr">
        <is>
          <t>BK72ZPG , N/A , Isuzu , D-Max</t>
        </is>
      </c>
      <c r="F2116" t="inlineStr">
        <is>
          <t>BK72ZPG , N/A , Isuzu , D-Max</t>
        </is>
      </c>
      <c r="G2116" t="inlineStr">
        <is>
          <t xml:space="preserve">Adrian Evans </t>
        </is>
      </c>
      <c r="H2116" t="inlineStr">
        <is>
          <t>4x4</t>
        </is>
      </c>
      <c r="I2116" t="inlineStr">
        <is>
          <t>Daily/ Weekly Vehicle Inspection</t>
        </is>
      </c>
      <c r="J2116" t="inlineStr">
        <is>
          <t>N/A</t>
        </is>
      </c>
      <c r="K2116" t="inlineStr">
        <is>
          <t>6556 DE UA SWales3</t>
        </is>
      </c>
      <c r="L2116" t="inlineStr">
        <is>
          <t>13/11/2025 11:34</t>
        </is>
      </c>
      <c r="M2116" t="inlineStr">
        <is>
          <t>None</t>
        </is>
      </c>
      <c r="N2116" t="inlineStr">
        <is>
          <t>&lt;p&gt;&lt;/p&gt;</t>
        </is>
      </c>
      <c r="O2116" t="inlineStr"/>
      <c r="P2116" t="inlineStr">
        <is>
          <t>BK72ZPG , N/A , Isuzu , D-Max</t>
        </is>
      </c>
      <c r="Q2116" t="inlineStr">
        <is>
          <t>NGED</t>
        </is>
      </c>
      <c r="R2116" t="b">
        <v>0</v>
      </c>
    </row>
    <row r="2117">
      <c r="A2117" t="inlineStr">
        <is>
          <t>13 Nov 2025 / Philip Shaw / Utilities / NGED</t>
        </is>
      </c>
      <c r="B2117" t="inlineStr">
        <is>
          <t>Utilities</t>
        </is>
      </c>
      <c r="C2117" t="inlineStr">
        <is>
          <t>NGED</t>
        </is>
      </c>
      <c r="D2117" t="inlineStr">
        <is>
          <t>AF22TZO , Car - Electric , Tesla , Model 3 Long Range AWD</t>
        </is>
      </c>
      <c r="E2117" t="inlineStr">
        <is>
          <t>AF22TZO , Car - Electric , Tesla , Model 3 Long Range AWD</t>
        </is>
      </c>
      <c r="F2117" t="inlineStr">
        <is>
          <t>AF22TZO , Car - Electric , Tesla , Model 3 Long Range AWD</t>
        </is>
      </c>
      <c r="G2117" t="inlineStr">
        <is>
          <t xml:space="preserve">Phil shaw </t>
        </is>
      </c>
      <c r="H2117" t="inlineStr">
        <is>
          <t>Car - Electric (GC Owned)</t>
        </is>
      </c>
      <c r="I2117" t="inlineStr">
        <is>
          <t>Daily/ Weekly Vehicle Inspection</t>
        </is>
      </c>
      <c r="J2117" t="inlineStr">
        <is>
          <t>N/A</t>
        </is>
      </c>
      <c r="K2117" t="inlineStr">
        <is>
          <t>Philip Shaw</t>
        </is>
      </c>
      <c r="L2117" t="inlineStr">
        <is>
          <t>13/11/2025 15:32</t>
        </is>
      </c>
      <c r="M2117" t="inlineStr">
        <is>
          <t>None</t>
        </is>
      </c>
      <c r="N2117" t="inlineStr">
        <is>
          <t>&lt;p&gt;&lt;/p&gt;</t>
        </is>
      </c>
      <c r="O2117" t="inlineStr"/>
      <c r="P2117" t="inlineStr">
        <is>
          <t>AF22TZO , Car - Electric , Tesla , Model 3 Long Range AWD</t>
        </is>
      </c>
      <c r="Q2117" t="inlineStr">
        <is>
          <t>NGED</t>
        </is>
      </c>
      <c r="R2117" t="b">
        <v>0</v>
      </c>
    </row>
    <row r="2118">
      <c r="A2118" t="inlineStr">
        <is>
          <t>13 Nov 2025 / Christopher Simeoli / Utilities / NGED</t>
        </is>
      </c>
      <c r="B2118" t="inlineStr">
        <is>
          <t>Utilities</t>
        </is>
      </c>
      <c r="C2118" t="inlineStr">
        <is>
          <t>NGED</t>
        </is>
      </c>
      <c r="D2118" t="inlineStr">
        <is>
          <t>EO73KVB , Car - Electric , Kia , Niro</t>
        </is>
      </c>
      <c r="E2118" t="inlineStr">
        <is>
          <t>EO73KVB , Car - Electric , Kia , Niro</t>
        </is>
      </c>
      <c r="F2118" t="inlineStr">
        <is>
          <t>EO73KVB , Car - Electric , Kia , Niro</t>
        </is>
      </c>
      <c r="G2118" t="inlineStr">
        <is>
          <t>Chris Simeoli</t>
        </is>
      </c>
      <c r="H2118" t="inlineStr">
        <is>
          <t>Car - Electric (GC Owned)</t>
        </is>
      </c>
      <c r="I2118" t="inlineStr">
        <is>
          <t>Daily/ Weekly Vehicle Inspection</t>
        </is>
      </c>
      <c r="J2118" t="inlineStr">
        <is>
          <t>N/A</t>
        </is>
      </c>
      <c r="K2118" t="inlineStr">
        <is>
          <t>Christopher Simeoli</t>
        </is>
      </c>
      <c r="L2118" t="inlineStr">
        <is>
          <t>13/11/2025 16:32</t>
        </is>
      </c>
      <c r="M2118" t="inlineStr">
        <is>
          <t>None</t>
        </is>
      </c>
      <c r="N2118" t="inlineStr">
        <is>
          <t>&lt;p&gt;&lt;/p&gt;</t>
        </is>
      </c>
      <c r="O2118" t="inlineStr"/>
      <c r="P2118" t="inlineStr">
        <is>
          <t>EO73KVB , Car - Electric , Kia , Niro</t>
        </is>
      </c>
      <c r="Q2118" t="inlineStr">
        <is>
          <t>NGED</t>
        </is>
      </c>
      <c r="R2118" t="b">
        <v>0</v>
      </c>
    </row>
    <row r="2119">
      <c r="A2119" t="inlineStr">
        <is>
          <t>14 Nov 2025 / 7800 MAC Tree Surgery and Fencing Ltd / Utilities / UKPN</t>
        </is>
      </c>
      <c r="B2119" t="inlineStr">
        <is>
          <t>Utilities</t>
        </is>
      </c>
      <c r="C2119" t="inlineStr">
        <is>
          <t>UKPN</t>
        </is>
      </c>
      <c r="D2119" t="inlineStr">
        <is>
          <t>Plant Trailer - Towmate - 2.8t - 0</t>
        </is>
      </c>
      <c r="E2119" t="inlineStr">
        <is>
          <t>Plant Trailer - Towmate - 2.8t - 0</t>
        </is>
      </c>
      <c r="F2119" t="inlineStr">
        <is>
          <t>Plant Trailer - Towmate - 2.8t - 0</t>
        </is>
      </c>
      <c r="G2119" t="inlineStr">
        <is>
          <t xml:space="preserve">Patrick O'Shea </t>
        </is>
      </c>
      <c r="H2119" t="inlineStr">
        <is>
          <t>Plant Trailer</t>
        </is>
      </c>
      <c r="I2119" t="inlineStr">
        <is>
          <t>Daily/ Weekly Vehicle Inspection</t>
        </is>
      </c>
      <c r="J2119" t="inlineStr">
        <is>
          <t>N/A</t>
        </is>
      </c>
      <c r="K2119" t="inlineStr">
        <is>
          <t>7800 MAC Tree Surgery and Fencing Ltd</t>
        </is>
      </c>
      <c r="L2119" t="inlineStr">
        <is>
          <t>14/11/2025 07:32</t>
        </is>
      </c>
      <c r="M2119" t="inlineStr">
        <is>
          <t>None</t>
        </is>
      </c>
      <c r="N2119" t="inlineStr">
        <is>
          <t>&lt;p&gt;&lt;/p&gt;</t>
        </is>
      </c>
      <c r="O2119" t="inlineStr"/>
      <c r="P2119" t="inlineStr">
        <is>
          <t>Plant Trailer - Towmate - 2.8t - 0</t>
        </is>
      </c>
      <c r="Q2119" t="inlineStr">
        <is>
          <t>UKPN</t>
        </is>
      </c>
      <c r="R2119" t="b">
        <v>0</v>
      </c>
    </row>
    <row r="2120">
      <c r="A2120" t="inlineStr">
        <is>
          <t>14 Nov 2025 / 7800 MAC Tree Surgery and Fencing Ltd / Utilities / UKPN</t>
        </is>
      </c>
      <c r="B2120" t="inlineStr">
        <is>
          <t>Utilities</t>
        </is>
      </c>
      <c r="C2120" t="inlineStr">
        <is>
          <t>UKPN</t>
        </is>
      </c>
      <c r="D2120" t="inlineStr">
        <is>
          <t>AY68DAA , 4x4 , Izuzu , Dmax</t>
        </is>
      </c>
      <c r="E2120" t="inlineStr">
        <is>
          <t>AY68DAA , 4x4 , Izuzu , Dmax</t>
        </is>
      </c>
      <c r="F2120" t="inlineStr">
        <is>
          <t>AY68DAA , 4x4 , Izuzu , Dmax</t>
        </is>
      </c>
      <c r="G2120" t="inlineStr">
        <is>
          <t xml:space="preserve">Patrick O'Shea </t>
        </is>
      </c>
      <c r="H2120" t="inlineStr">
        <is>
          <t>4x4</t>
        </is>
      </c>
      <c r="I2120" t="inlineStr">
        <is>
          <t>Daily/ Weekly Vehicle Inspection</t>
        </is>
      </c>
      <c r="J2120" t="inlineStr">
        <is>
          <t>N/A</t>
        </is>
      </c>
      <c r="K2120" t="inlineStr">
        <is>
          <t>7800 MAC Tree Surgery and Fencing Ltd</t>
        </is>
      </c>
      <c r="L2120" t="inlineStr">
        <is>
          <t>14/11/2025 07:33</t>
        </is>
      </c>
      <c r="M2120" t="inlineStr">
        <is>
          <t>None</t>
        </is>
      </c>
      <c r="N2120" t="inlineStr">
        <is>
          <t>&lt;p&gt;&lt;/p&gt;</t>
        </is>
      </c>
      <c r="O2120" t="inlineStr"/>
      <c r="P2120" t="inlineStr">
        <is>
          <t>AY68DAA , 4x4 , Izuzu , Dmax</t>
        </is>
      </c>
      <c r="Q2120" t="inlineStr">
        <is>
          <t>UKPN</t>
        </is>
      </c>
      <c r="R2120" t="b">
        <v>0</v>
      </c>
    </row>
    <row r="2121">
      <c r="A2121" t="inlineStr">
        <is>
          <t>14 Nov 2025 / 7806 Optimum Tree Services Ltd / Utilities / UKPN</t>
        </is>
      </c>
      <c r="B2121" t="inlineStr">
        <is>
          <t>Utilities</t>
        </is>
      </c>
      <c r="C2121" t="inlineStr">
        <is>
          <t>UKPN</t>
        </is>
      </c>
      <c r="D2121" t="inlineStr">
        <is>
          <t>SA9TAPLAF27414263 , Trailer , Tow Mate , Plant Trailer</t>
        </is>
      </c>
      <c r="E2121" t="inlineStr">
        <is>
          <t>SA9TAPLAF27414263 , Trailer , Tow Mate , Plant Trailer</t>
        </is>
      </c>
      <c r="F2121" t="inlineStr">
        <is>
          <t>SA9TAPLAF27414263 , Trailer , Tow Mate , Plant Trailer</t>
        </is>
      </c>
      <c r="G2121" t="inlineStr">
        <is>
          <t xml:space="preserve">Abraham Davies </t>
        </is>
      </c>
      <c r="H2121" t="inlineStr">
        <is>
          <t>Plant Trailer</t>
        </is>
      </c>
      <c r="I2121" t="inlineStr">
        <is>
          <t>Daily/ Weekly Vehicle Inspection</t>
        </is>
      </c>
      <c r="J2121" t="inlineStr">
        <is>
          <t>N/A</t>
        </is>
      </c>
      <c r="K2121" t="inlineStr">
        <is>
          <t>7806 Optimum Tree Services Ltd</t>
        </is>
      </c>
      <c r="L2121" t="inlineStr">
        <is>
          <t>14/11/2025 07:34</t>
        </is>
      </c>
      <c r="M2121" t="inlineStr">
        <is>
          <t>None</t>
        </is>
      </c>
      <c r="N2121" t="inlineStr">
        <is>
          <t>&lt;p&gt;&lt;/p&gt;</t>
        </is>
      </c>
      <c r="O2121" t="inlineStr"/>
      <c r="P2121" t="inlineStr">
        <is>
          <t>SA9TAPLAF27414263 , Trailer , Tow Mate , Plant Trailer</t>
        </is>
      </c>
      <c r="Q2121" t="inlineStr">
        <is>
          <t>UKPN</t>
        </is>
      </c>
      <c r="R2121" t="b">
        <v>0</v>
      </c>
    </row>
    <row r="2122">
      <c r="A2122" t="inlineStr">
        <is>
          <t>14 Nov 2025 / 7806 Optimum Tree Services Ltd / Utilities / UKPN</t>
        </is>
      </c>
      <c r="B2122" t="inlineStr">
        <is>
          <t>Utilities</t>
        </is>
      </c>
      <c r="C2122" t="inlineStr">
        <is>
          <t>UKPN</t>
        </is>
      </c>
      <c r="D2122" t="inlineStr">
        <is>
          <t>WD14EVB , MEWP , Land Rover , Defender</t>
        </is>
      </c>
      <c r="E2122" t="inlineStr">
        <is>
          <t>WD14EVB , MEWP , Land Rover , Defender</t>
        </is>
      </c>
      <c r="F2122" t="inlineStr">
        <is>
          <t>WD14EVB , MEWP , Land Rover , Defender</t>
        </is>
      </c>
      <c r="G2122" t="inlineStr">
        <is>
          <t xml:space="preserve">Abraham Davies </t>
        </is>
      </c>
      <c r="H2122" t="inlineStr">
        <is>
          <t>4x4</t>
        </is>
      </c>
      <c r="I2122" t="inlineStr">
        <is>
          <t>Daily/ Weekly Vehicle Inspection</t>
        </is>
      </c>
      <c r="J2122" t="inlineStr">
        <is>
          <t>N/A</t>
        </is>
      </c>
      <c r="K2122" t="inlineStr">
        <is>
          <t>7806 Optimum Tree Services Ltd</t>
        </is>
      </c>
      <c r="L2122" t="inlineStr">
        <is>
          <t>14/11/2025 07:34</t>
        </is>
      </c>
      <c r="M2122" t="inlineStr">
        <is>
          <t>None</t>
        </is>
      </c>
      <c r="N2122" t="inlineStr">
        <is>
          <t>&lt;p&gt;&lt;/p&gt;</t>
        </is>
      </c>
      <c r="O2122" t="inlineStr"/>
      <c r="P2122" t="inlineStr">
        <is>
          <t>WD14EVB , MEWP , Land Rover , Defender</t>
        </is>
      </c>
      <c r="Q2122" t="inlineStr">
        <is>
          <t>UKPN</t>
        </is>
      </c>
      <c r="R2122" t="b">
        <v>0</v>
      </c>
    </row>
    <row r="2123">
      <c r="A2123" t="inlineStr">
        <is>
          <t>14 Nov 2025 / Thomas Playford / Utilities / UKPN</t>
        </is>
      </c>
      <c r="B2123" t="inlineStr">
        <is>
          <t>Utilities</t>
        </is>
      </c>
      <c r="C2123" t="inlineStr">
        <is>
          <t>UKPN</t>
        </is>
      </c>
      <c r="D2123" t="inlineStr">
        <is>
          <t>SA9ST800000283944 , Tow Chipper , Forst , ST8D - Towed</t>
        </is>
      </c>
      <c r="E2123" t="inlineStr">
        <is>
          <t>SA9ST800000283944 , Tow Chipper , Forst , ST8D - Towed</t>
        </is>
      </c>
      <c r="F2123" t="inlineStr">
        <is>
          <t>SA9ST800000283944 , Tow Chipper , Forst , ST8D - Towed</t>
        </is>
      </c>
      <c r="G2123" t="inlineStr">
        <is>
          <t>Jacob Oram</t>
        </is>
      </c>
      <c r="H2123" t="inlineStr">
        <is>
          <t>Towed Chipper</t>
        </is>
      </c>
      <c r="I2123" t="inlineStr">
        <is>
          <t>Daily/ Weekly Vehicle Inspection</t>
        </is>
      </c>
      <c r="J2123" t="inlineStr">
        <is>
          <t>N/A</t>
        </is>
      </c>
      <c r="K2123" t="inlineStr">
        <is>
          <t>7995 Green Net Eco Ltd 2</t>
        </is>
      </c>
      <c r="L2123" t="inlineStr">
        <is>
          <t>14/11/2025 07:36</t>
        </is>
      </c>
      <c r="M2123" t="inlineStr">
        <is>
          <t>None</t>
        </is>
      </c>
      <c r="N2123" t="inlineStr">
        <is>
          <t>&lt;p&gt;&lt;/p&gt;</t>
        </is>
      </c>
      <c r="O2123" t="inlineStr"/>
      <c r="P2123" t="inlineStr">
        <is>
          <t>SA9ST800000283944 , Tow Chipper , Forst , ST8D - Towed</t>
        </is>
      </c>
      <c r="Q2123" t="inlineStr">
        <is>
          <t>UKPN</t>
        </is>
      </c>
      <c r="R2123" t="b">
        <v>0</v>
      </c>
    </row>
    <row r="2124">
      <c r="A2124" t="inlineStr">
        <is>
          <t>14 Nov 2025 / Thomas Playford / Utilities / UKPN</t>
        </is>
      </c>
      <c r="B2124" t="inlineStr">
        <is>
          <t>Utilities</t>
        </is>
      </c>
      <c r="C2124" t="inlineStr">
        <is>
          <t>UKPN</t>
        </is>
      </c>
      <c r="D2124" t="inlineStr">
        <is>
          <t>4x4 - Landrover - Defender  - LK15KRZ</t>
        </is>
      </c>
      <c r="E2124" t="inlineStr">
        <is>
          <t>4x4 - Landrover - Defender  - LK15KRZ</t>
        </is>
      </c>
      <c r="F2124" t="inlineStr">
        <is>
          <t>4x4 - Landrover - Defender  - LK15KRZ</t>
        </is>
      </c>
      <c r="G2124" t="inlineStr">
        <is>
          <t>Jacob Oram</t>
        </is>
      </c>
      <c r="H2124" t="inlineStr">
        <is>
          <t>4x4</t>
        </is>
      </c>
      <c r="I2124" t="inlineStr">
        <is>
          <t>Daily/ Weekly Vehicle Inspection</t>
        </is>
      </c>
      <c r="J2124" t="inlineStr">
        <is>
          <t>N/A</t>
        </is>
      </c>
      <c r="K2124" t="inlineStr">
        <is>
          <t>7995 Green Net Eco Ltd 2</t>
        </is>
      </c>
      <c r="L2124" t="inlineStr">
        <is>
          <t>14/11/2025 07:37</t>
        </is>
      </c>
      <c r="M2124" t="inlineStr">
        <is>
          <t>None</t>
        </is>
      </c>
      <c r="N2124" t="inlineStr">
        <is>
          <t>&lt;p&gt;&lt;/p&gt;</t>
        </is>
      </c>
      <c r="O2124" t="inlineStr"/>
      <c r="P2124" t="inlineStr">
        <is>
          <t>4x4 - Landrover - Defender  - LK15KRZ</t>
        </is>
      </c>
      <c r="Q2124" t="inlineStr">
        <is>
          <t>UKPN</t>
        </is>
      </c>
      <c r="R2124" t="b">
        <v>0</v>
      </c>
    </row>
    <row r="2125">
      <c r="A2125" t="inlineStr">
        <is>
          <t>14 Nov 2025 / 3098 D &amp; R Landscapes / Utilities / UKPN</t>
        </is>
      </c>
      <c r="B2125" t="inlineStr">
        <is>
          <t>Utilities</t>
        </is>
      </c>
      <c r="C2125" t="inlineStr">
        <is>
          <t>UKPN</t>
        </is>
      </c>
      <c r="D2125" t="inlineStr">
        <is>
          <t>Vehicle - Nissan - Navara - BT20 GNZ</t>
        </is>
      </c>
      <c r="E2125" t="inlineStr">
        <is>
          <t>Vehicle - Nissan - Navara - BT20 GNZ</t>
        </is>
      </c>
      <c r="F2125" t="inlineStr">
        <is>
          <t>Vehicle - Nissan - Navara - BT20 GNZ</t>
        </is>
      </c>
      <c r="G2125" t="inlineStr">
        <is>
          <t>Jason</t>
        </is>
      </c>
      <c r="H2125" t="inlineStr">
        <is>
          <t>Pickup Truck</t>
        </is>
      </c>
      <c r="I2125" t="inlineStr">
        <is>
          <t>Daily/ Weekly Vehicle Inspection</t>
        </is>
      </c>
      <c r="J2125" t="inlineStr">
        <is>
          <t>N/A</t>
        </is>
      </c>
      <c r="K2125" t="inlineStr">
        <is>
          <t>3098 D &amp; R Landscapes</t>
        </is>
      </c>
      <c r="L2125" t="inlineStr">
        <is>
          <t>14/11/2025 07:37</t>
        </is>
      </c>
      <c r="M2125" t="inlineStr">
        <is>
          <t>None</t>
        </is>
      </c>
      <c r="N2125" t="inlineStr">
        <is>
          <t>&lt;p&gt;&lt;/p&gt;</t>
        </is>
      </c>
      <c r="O2125" t="inlineStr"/>
      <c r="P2125" t="inlineStr">
        <is>
          <t>Vehicle - Nissan - Navara - BT20 GNZ</t>
        </is>
      </c>
      <c r="Q2125" t="inlineStr">
        <is>
          <t>UKPN</t>
        </is>
      </c>
      <c r="R2125" t="b">
        <v>0</v>
      </c>
    </row>
    <row r="2126">
      <c r="A2126" t="inlineStr">
        <is>
          <t>14 Nov 2025 / 7951 Austin Tree Care LTD / Utilities / UKPN</t>
        </is>
      </c>
      <c r="B2126" t="inlineStr">
        <is>
          <t>Utilities</t>
        </is>
      </c>
      <c r="C2126" t="inlineStr">
        <is>
          <t>UKPN</t>
        </is>
      </c>
      <c r="D2126" t="inlineStr">
        <is>
          <t>SA9ST6P0001283612 , Tow Chipper , Forst , ST6p</t>
        </is>
      </c>
      <c r="E2126" t="inlineStr">
        <is>
          <t>SA9ST6P0001283612 , Tow Chipper , Forst , ST6p</t>
        </is>
      </c>
      <c r="F2126" t="inlineStr">
        <is>
          <t>SA9ST6P0001283612 , Tow Chipper , Forst , ST6p</t>
        </is>
      </c>
      <c r="G2126" t="inlineStr">
        <is>
          <t xml:space="preserve">Jack Austin </t>
        </is>
      </c>
      <c r="H2126" t="inlineStr">
        <is>
          <t>Towed Chipper</t>
        </is>
      </c>
      <c r="I2126" t="inlineStr">
        <is>
          <t>Daily/ Weekly Vehicle Inspection</t>
        </is>
      </c>
      <c r="J2126" t="inlineStr">
        <is>
          <t>N/A</t>
        </is>
      </c>
      <c r="K2126" t="inlineStr">
        <is>
          <t>7951 Austin Tree Care LTD</t>
        </is>
      </c>
      <c r="L2126" t="inlineStr">
        <is>
          <t>14/11/2025 08:32</t>
        </is>
      </c>
      <c r="M2126" t="inlineStr">
        <is>
          <t>None</t>
        </is>
      </c>
      <c r="N2126" t="inlineStr">
        <is>
          <t>&lt;p&gt;&lt;/p&gt;</t>
        </is>
      </c>
      <c r="O2126" t="inlineStr"/>
      <c r="P2126" t="inlineStr">
        <is>
          <t>SA9ST6P0001283612 , Tow Chipper , Forst , ST6p</t>
        </is>
      </c>
      <c r="Q2126" t="inlineStr">
        <is>
          <t>UKPN</t>
        </is>
      </c>
      <c r="R2126" t="b">
        <v>0</v>
      </c>
    </row>
    <row r="2127">
      <c r="A2127" t="inlineStr">
        <is>
          <t>14 Nov 2025 / 7951 Austin Tree Care LTD / Utilities / UKPN</t>
        </is>
      </c>
      <c r="B2127" t="inlineStr">
        <is>
          <t>Utilities</t>
        </is>
      </c>
      <c r="C2127" t="inlineStr">
        <is>
          <t>UKPN</t>
        </is>
      </c>
      <c r="D2127" t="inlineStr">
        <is>
          <t>WF61 HZV , 4x4 MEWP , Land Rover , Defender</t>
        </is>
      </c>
      <c r="E2127" t="inlineStr">
        <is>
          <t>WF61 HZV , 4x4 MEWP , Land Rover , Defender</t>
        </is>
      </c>
      <c r="F2127" t="inlineStr">
        <is>
          <t>WF61 HZV , 4x4 MEWP , Land Rover , Defender</t>
        </is>
      </c>
      <c r="G2127" t="inlineStr">
        <is>
          <t xml:space="preserve">Jack Austin </t>
        </is>
      </c>
      <c r="H2127" t="inlineStr">
        <is>
          <t>4x4</t>
        </is>
      </c>
      <c r="I2127" t="inlineStr">
        <is>
          <t>Daily/ Weekly Vehicle Inspection</t>
        </is>
      </c>
      <c r="J2127" t="inlineStr">
        <is>
          <t>N/A</t>
        </is>
      </c>
      <c r="K2127" t="inlineStr">
        <is>
          <t>7951 Austin Tree Care LTD</t>
        </is>
      </c>
      <c r="L2127" t="inlineStr">
        <is>
          <t>14/11/2025 08:33</t>
        </is>
      </c>
      <c r="M2127" t="inlineStr">
        <is>
          <t>None</t>
        </is>
      </c>
      <c r="N2127" t="inlineStr">
        <is>
          <t>&lt;p&gt;&lt;/p&gt;</t>
        </is>
      </c>
      <c r="O2127" t="inlineStr"/>
      <c r="P2127" t="inlineStr">
        <is>
          <t>WF61 HZV , 4x4 MEWP , Land Rover , Defender</t>
        </is>
      </c>
      <c r="Q2127" t="inlineStr">
        <is>
          <t>UKPN</t>
        </is>
      </c>
      <c r="R2127" t="b">
        <v>0</v>
      </c>
    </row>
    <row r="2128">
      <c r="A2128" t="inlineStr">
        <is>
          <t>17 Nov 2025 / 7806 Optimum Tree Services Ltd / Utilities / UKPN</t>
        </is>
      </c>
      <c r="B2128" t="inlineStr">
        <is>
          <t>Utilities</t>
        </is>
      </c>
      <c r="C2128" t="inlineStr">
        <is>
          <t>UKPN</t>
        </is>
      </c>
      <c r="D2128" t="inlineStr">
        <is>
          <t>Tipper - Ford - Transit - NA10SYZ</t>
        </is>
      </c>
      <c r="E2128" t="inlineStr">
        <is>
          <t>Tipper - Ford - Transit - NA10SYZ</t>
        </is>
      </c>
      <c r="F2128" t="inlineStr">
        <is>
          <t>Tipper - Ford - Transit - NA10SYZ</t>
        </is>
      </c>
      <c r="G2128" t="inlineStr">
        <is>
          <t xml:space="preserve">Kenny Aldred </t>
        </is>
      </c>
      <c r="H2128" t="inlineStr">
        <is>
          <t>Tipper</t>
        </is>
      </c>
      <c r="I2128" t="inlineStr">
        <is>
          <t>Daily/ Weekly Vehicle Inspection</t>
        </is>
      </c>
      <c r="J2128" t="inlineStr">
        <is>
          <t>N/A</t>
        </is>
      </c>
      <c r="K2128" t="inlineStr">
        <is>
          <t>7806 Optimum Tree Services Ltd</t>
        </is>
      </c>
      <c r="L2128" t="inlineStr">
        <is>
          <t>17/11/2025 07:34</t>
        </is>
      </c>
      <c r="M2128" t="inlineStr">
        <is>
          <t>None</t>
        </is>
      </c>
      <c r="N2128" t="inlineStr">
        <is>
          <t>&lt;p&gt;&lt;/p&gt;</t>
        </is>
      </c>
      <c r="O2128" t="inlineStr"/>
      <c r="P2128" t="inlineStr">
        <is>
          <t>Tipper - Ford - Transit - NA10SYZ</t>
        </is>
      </c>
      <c r="Q2128" t="inlineStr">
        <is>
          <t>UKPN</t>
        </is>
      </c>
      <c r="R2128" t="b">
        <v>0</v>
      </c>
    </row>
    <row r="2129">
      <c r="A2129" t="inlineStr">
        <is>
          <t>17 Nov 2025 / 7951 Austin Tree Care LTD 1 / Utilities / UKPN</t>
        </is>
      </c>
      <c r="B2129" t="inlineStr">
        <is>
          <t>Utilities</t>
        </is>
      </c>
      <c r="C2129" t="inlineStr">
        <is>
          <t>UKPN</t>
        </is>
      </c>
      <c r="D2129" t="inlineStr">
        <is>
          <t>WF61 HZV , 4x4 MEWP , Land Rover , Defender</t>
        </is>
      </c>
      <c r="E2129" t="inlineStr">
        <is>
          <t>WF61 HZV , 4x4 MEWP , Land Rover , Defender</t>
        </is>
      </c>
      <c r="F2129" t="inlineStr">
        <is>
          <t>WF61 HZV , 4x4 MEWP , Land Rover , Defender</t>
        </is>
      </c>
      <c r="G2129" t="inlineStr">
        <is>
          <t xml:space="preserve">James Tasker </t>
        </is>
      </c>
      <c r="H2129" t="inlineStr">
        <is>
          <t>4x4</t>
        </is>
      </c>
      <c r="I2129" t="inlineStr">
        <is>
          <t>Daily/ Weekly Vehicle Inspection</t>
        </is>
      </c>
      <c r="J2129" t="inlineStr">
        <is>
          <t>N/A</t>
        </is>
      </c>
      <c r="K2129" t="inlineStr">
        <is>
          <t>7951 Austin Tree Care LTD 1</t>
        </is>
      </c>
      <c r="L2129" t="inlineStr">
        <is>
          <t>17/11/2025 07:34</t>
        </is>
      </c>
      <c r="M2129" t="inlineStr">
        <is>
          <t>None</t>
        </is>
      </c>
      <c r="N2129" t="inlineStr">
        <is>
          <t>&lt;p&gt;&lt;/p&gt;</t>
        </is>
      </c>
      <c r="O2129" t="inlineStr"/>
      <c r="P2129" t="inlineStr">
        <is>
          <t>WF61 HZV , 4x4 MEWP , Land Rover , Defender</t>
        </is>
      </c>
      <c r="Q2129" t="inlineStr">
        <is>
          <t>UKPN</t>
        </is>
      </c>
      <c r="R2129" t="b">
        <v>0</v>
      </c>
    </row>
    <row r="2130">
      <c r="A2130" t="inlineStr">
        <is>
          <t>17 Nov 2025 / Andrew Carr / Utilities / SSE</t>
        </is>
      </c>
      <c r="B2130" t="inlineStr">
        <is>
          <t>Utilities</t>
        </is>
      </c>
      <c r="C2130" t="inlineStr">
        <is>
          <t>SSE</t>
        </is>
      </c>
      <c r="D2130" t="inlineStr"/>
      <c r="E2130" t="inlineStr"/>
      <c r="F2130" t="inlineStr"/>
      <c r="G2130" t="inlineStr">
        <is>
          <t xml:space="preserve">Andrew Carr </t>
        </is>
      </c>
      <c r="H2130" t="inlineStr">
        <is>
          <t>Car - Petrol</t>
        </is>
      </c>
      <c r="I2130" t="inlineStr">
        <is>
          <t>Daily/ Weekly Vehicle Inspection</t>
        </is>
      </c>
      <c r="J2130" t="inlineStr">
        <is>
          <t>N/A</t>
        </is>
      </c>
      <c r="K2130" t="inlineStr">
        <is>
          <t>Andrew Carr</t>
        </is>
      </c>
      <c r="L2130" t="inlineStr">
        <is>
          <t>17/11/2025 07:35</t>
        </is>
      </c>
      <c r="M2130" t="inlineStr">
        <is>
          <t>None</t>
        </is>
      </c>
      <c r="N2130" t="inlineStr">
        <is>
          <t>&lt;p&gt;&lt;/p&gt;</t>
        </is>
      </c>
      <c r="O2130" t="inlineStr"/>
      <c r="P2130" t="inlineStr"/>
      <c r="Q2130" t="inlineStr">
        <is>
          <t>SSE</t>
        </is>
      </c>
      <c r="R2130" t="b">
        <v>0</v>
      </c>
    </row>
    <row r="2131">
      <c r="A2131" t="inlineStr">
        <is>
          <t>17 Nov 2025 / 7806 Optimum Tree Services Ltd / Utilities / UKPN</t>
        </is>
      </c>
      <c r="B2131" t="inlineStr">
        <is>
          <t>Utilities</t>
        </is>
      </c>
      <c r="C2131" t="inlineStr">
        <is>
          <t>UKPN</t>
        </is>
      </c>
      <c r="D2131" t="inlineStr">
        <is>
          <t>SA9ST800000283069 , Chipper , Forst , ST 6P</t>
        </is>
      </c>
      <c r="E2131" t="inlineStr">
        <is>
          <t>SA9ST800000283069 , Chipper , Forst , ST 6P</t>
        </is>
      </c>
      <c r="F2131" t="inlineStr">
        <is>
          <t>SA9ST800000283069 , Chipper , Forst , ST 6P</t>
        </is>
      </c>
      <c r="G2131" t="inlineStr">
        <is>
          <t xml:space="preserve">Abraham Davies </t>
        </is>
      </c>
      <c r="H2131" t="inlineStr">
        <is>
          <t>Towed Chipper</t>
        </is>
      </c>
      <c r="I2131" t="inlineStr">
        <is>
          <t>Daily/ Weekly Vehicle Inspection</t>
        </is>
      </c>
      <c r="J2131" t="inlineStr">
        <is>
          <t>N/A</t>
        </is>
      </c>
      <c r="K2131" t="inlineStr">
        <is>
          <t>7806 Optimum Tree Services Ltd</t>
        </is>
      </c>
      <c r="L2131" t="inlineStr">
        <is>
          <t>17/11/2025 07:35</t>
        </is>
      </c>
      <c r="M2131" t="inlineStr">
        <is>
          <t>None</t>
        </is>
      </c>
      <c r="N2131" t="inlineStr">
        <is>
          <t>&lt;p&gt;&lt;/p&gt;</t>
        </is>
      </c>
      <c r="O2131" t="inlineStr"/>
      <c r="P2131" t="inlineStr">
        <is>
          <t>SA9ST800000283069 , Chipper , Forst , ST 6P</t>
        </is>
      </c>
      <c r="Q2131" t="inlineStr">
        <is>
          <t>UKPN</t>
        </is>
      </c>
      <c r="R2131" t="b">
        <v>0</v>
      </c>
    </row>
    <row r="2132">
      <c r="A2132" t="inlineStr">
        <is>
          <t>17 Nov 2025 / 7806 Optimum Tree Services Ltd / Utilities / UKPN</t>
        </is>
      </c>
      <c r="B2132" t="inlineStr">
        <is>
          <t>Utilities</t>
        </is>
      </c>
      <c r="C2132" t="inlineStr">
        <is>
          <t>UKPN</t>
        </is>
      </c>
      <c r="D2132" t="inlineStr">
        <is>
          <t>WD14EVB , MEWP , Land Rover , Defender</t>
        </is>
      </c>
      <c r="E2132" t="inlineStr">
        <is>
          <t>WD14EVB , MEWP , Land Rover , Defender</t>
        </is>
      </c>
      <c r="F2132" t="inlineStr">
        <is>
          <t>WD14EVB , MEWP , Land Rover , Defender</t>
        </is>
      </c>
      <c r="G2132" t="inlineStr">
        <is>
          <t xml:space="preserve">Abraham Davies </t>
        </is>
      </c>
      <c r="H2132" t="inlineStr">
        <is>
          <t>4x4</t>
        </is>
      </c>
      <c r="I2132" t="inlineStr">
        <is>
          <t>Daily/ Weekly Vehicle Inspection</t>
        </is>
      </c>
      <c r="J2132" t="inlineStr">
        <is>
          <t>N/A</t>
        </is>
      </c>
      <c r="K2132" t="inlineStr">
        <is>
          <t>7806 Optimum Tree Services Ltd</t>
        </is>
      </c>
      <c r="L2132" t="inlineStr">
        <is>
          <t>17/11/2025 07:37</t>
        </is>
      </c>
      <c r="M2132" t="inlineStr">
        <is>
          <t>None</t>
        </is>
      </c>
      <c r="N2132" t="inlineStr">
        <is>
          <t>&lt;p&gt;&lt;/p&gt;</t>
        </is>
      </c>
      <c r="O2132" t="inlineStr"/>
      <c r="P2132" t="inlineStr">
        <is>
          <t>WD14EVB , MEWP , Land Rover , Defender</t>
        </is>
      </c>
      <c r="Q2132" t="inlineStr">
        <is>
          <t>UKPN</t>
        </is>
      </c>
      <c r="R2132" t="b">
        <v>0</v>
      </c>
    </row>
    <row r="2133">
      <c r="A2133" t="inlineStr">
        <is>
          <t>17 Nov 2025 / 7186 Eastwoodbury Tree Services Ltd / Utilities / UKPN</t>
        </is>
      </c>
      <c r="B2133" t="inlineStr">
        <is>
          <t>Utilities</t>
        </is>
      </c>
      <c r="C2133" t="inlineStr">
        <is>
          <t>UKPN</t>
        </is>
      </c>
      <c r="D2133" t="inlineStr">
        <is>
          <t>DN61XKJ , Tipper , Ford , Transit</t>
        </is>
      </c>
      <c r="E2133" t="inlineStr">
        <is>
          <t>DN61XKJ , Tipper , Ford , Transit</t>
        </is>
      </c>
      <c r="F2133" t="inlineStr">
        <is>
          <t>DN61XKJ , Tipper , Ford , Transit</t>
        </is>
      </c>
      <c r="G2133" t="inlineStr">
        <is>
          <t xml:space="preserve">Jay Denkmayer </t>
        </is>
      </c>
      <c r="H2133" t="inlineStr">
        <is>
          <t>Pickup Truck</t>
        </is>
      </c>
      <c r="I2133" t="inlineStr">
        <is>
          <t>Daily/ Weekly Vehicle Inspection</t>
        </is>
      </c>
      <c r="J2133" t="inlineStr">
        <is>
          <t>N/A</t>
        </is>
      </c>
      <c r="K2133" t="inlineStr">
        <is>
          <t>7186 Eastwoodbury Tree Services Ltd</t>
        </is>
      </c>
      <c r="L2133" t="inlineStr">
        <is>
          <t>17/11/2025 07:38</t>
        </is>
      </c>
      <c r="M2133" t="inlineStr">
        <is>
          <t>None</t>
        </is>
      </c>
      <c r="N2133" t="inlineStr">
        <is>
          <t>&lt;p&gt;&lt;/p&gt;</t>
        </is>
      </c>
      <c r="O2133" t="inlineStr"/>
      <c r="P2133" t="inlineStr">
        <is>
          <t>DN61XKJ , Tipper , Ford , Transit</t>
        </is>
      </c>
      <c r="Q2133" t="inlineStr">
        <is>
          <t>UKPN</t>
        </is>
      </c>
      <c r="R2133" t="b">
        <v>0</v>
      </c>
    </row>
    <row r="2134">
      <c r="A2134" t="inlineStr">
        <is>
          <t>17 Nov 2025 / 7889 Tree Tech Suffolk Ltd</t>
        </is>
      </c>
      <c r="B2134" t="inlineStr">
        <is>
          <t>Utilities &amp; Inland Waterways</t>
        </is>
      </c>
      <c r="C2134" t="inlineStr">
        <is>
          <t>UKPN</t>
        </is>
      </c>
      <c r="D2134" t="inlineStr">
        <is>
          <t>Tow Chipper - Jenson - A530L - 55210639484x4 - Isuzu - D-max - NS03 TTSTipper - Mercedes - Sprinter - NS06TTS</t>
        </is>
      </c>
      <c r="E2134" t="inlineStr">
        <is>
          <t>Tow Chipper - Jenson - A530L - 55210639484x4 - Isuzu - D-max - NS03 TTSTipper - Mercedes - Sprinter - NS06TTS</t>
        </is>
      </c>
      <c r="F2134" t="inlineStr">
        <is>
          <t>Tow Chipper - Jenson - A530L - 55210639484x4 - Isuzu - D-max - NS03 TTSTipper - Mercedes - Sprinter - NS06TTS</t>
        </is>
      </c>
      <c r="G2134" t="inlineStr">
        <is>
          <t xml:space="preserve">Danny Appleby Danny Appleby Nikki sparrow </t>
        </is>
      </c>
      <c r="H2134" t="inlineStr">
        <is>
          <t>Towed Chipper4x4Tipper</t>
        </is>
      </c>
      <c r="I2134" t="inlineStr">
        <is>
          <t>Daily/ Weekly Vehicle Inspection</t>
        </is>
      </c>
      <c r="J2134" t="inlineStr">
        <is>
          <t>N/A</t>
        </is>
      </c>
      <c r="K2134" t="inlineStr">
        <is>
          <t>7889 Tree Tech Suffolk Ltd</t>
        </is>
      </c>
      <c r="L2134" t="inlineStr">
        <is>
          <t>17/11/2025 07:39</t>
        </is>
      </c>
      <c r="M2134" t="inlineStr">
        <is>
          <t>None</t>
        </is>
      </c>
      <c r="N2134" t="inlineStr">
        <is>
          <t>&lt;p&gt;&lt;/p&gt;</t>
        </is>
      </c>
      <c r="O2134" t="inlineStr"/>
      <c r="P2134" t="inlineStr">
        <is>
          <t>Tow Chipper - Jenson - A530L - 55210639484x4 - Isuzu - D-max - NS03 TTSTipper - Mercedes - Sprinter - NS06TTS</t>
        </is>
      </c>
      <c r="Q2134" t="inlineStr">
        <is>
          <t>UKPN</t>
        </is>
      </c>
      <c r="R2134" t="b">
        <v>0</v>
      </c>
    </row>
    <row r="2135">
      <c r="A2135" t="inlineStr">
        <is>
          <t>17 Nov 2025 / 3098 D &amp; R Landscapes / Utilities / UKPN</t>
        </is>
      </c>
      <c r="B2135" t="inlineStr">
        <is>
          <t>Utilities</t>
        </is>
      </c>
      <c r="C2135" t="inlineStr">
        <is>
          <t>UKPN</t>
        </is>
      </c>
      <c r="D2135" t="inlineStr">
        <is>
          <t>WA13ZZK , 4x4 , Land Rover  , Defender</t>
        </is>
      </c>
      <c r="E2135" t="inlineStr">
        <is>
          <t>WA13ZZK , 4x4 , Land Rover  , Defender</t>
        </is>
      </c>
      <c r="F2135" t="inlineStr">
        <is>
          <t>WA13ZZK , 4x4 , Land Rover  , Defender</t>
        </is>
      </c>
      <c r="G2135" t="inlineStr">
        <is>
          <t>Chris</t>
        </is>
      </c>
      <c r="H2135" t="inlineStr">
        <is>
          <t>Pickup Truck</t>
        </is>
      </c>
      <c r="I2135" t="inlineStr">
        <is>
          <t>Daily/ Weekly Vehicle Inspection</t>
        </is>
      </c>
      <c r="J2135" t="inlineStr">
        <is>
          <t>N/A</t>
        </is>
      </c>
      <c r="K2135" t="inlineStr">
        <is>
          <t>3098 D &amp; R Landscapes</t>
        </is>
      </c>
      <c r="L2135" t="inlineStr">
        <is>
          <t>17/11/2025 07:42</t>
        </is>
      </c>
      <c r="M2135" t="inlineStr">
        <is>
          <t>None</t>
        </is>
      </c>
      <c r="N2135" t="inlineStr">
        <is>
          <t>&lt;p&gt;&lt;/p&gt;</t>
        </is>
      </c>
      <c r="O2135" t="inlineStr"/>
      <c r="P2135" t="inlineStr">
        <is>
          <t>WA13ZZK , 4x4 , Land Rover  , Defender</t>
        </is>
      </c>
      <c r="Q2135" t="inlineStr">
        <is>
          <t>UKPN</t>
        </is>
      </c>
      <c r="R2135" t="b">
        <v>0</v>
      </c>
    </row>
    <row r="2136">
      <c r="A2136" t="inlineStr">
        <is>
          <t>17 Nov 2025 / 3098 D &amp; R Landscapes / Utilities / UKPN</t>
        </is>
      </c>
      <c r="B2136" t="inlineStr">
        <is>
          <t>Utilities</t>
        </is>
      </c>
      <c r="C2136" t="inlineStr">
        <is>
          <t>UKPN</t>
        </is>
      </c>
      <c r="D2136" t="inlineStr">
        <is>
          <t>DE68XHA , Tipper , Isuzu , Grafter</t>
        </is>
      </c>
      <c r="E2136" t="inlineStr">
        <is>
          <t>DE68XHA , Tipper , Isuzu , Grafter</t>
        </is>
      </c>
      <c r="F2136" t="inlineStr">
        <is>
          <t>DE68XHA , Tipper , Isuzu , Grafter</t>
        </is>
      </c>
      <c r="G2136" t="inlineStr">
        <is>
          <t>Jason</t>
        </is>
      </c>
      <c r="H2136" t="inlineStr">
        <is>
          <t>Tipper</t>
        </is>
      </c>
      <c r="I2136" t="inlineStr">
        <is>
          <t>Daily/ Weekly Vehicle Inspection</t>
        </is>
      </c>
      <c r="J2136" t="inlineStr">
        <is>
          <t>N/A</t>
        </is>
      </c>
      <c r="K2136" t="inlineStr">
        <is>
          <t>3098 D &amp; R Landscapes</t>
        </is>
      </c>
      <c r="L2136" t="inlineStr">
        <is>
          <t>17/11/2025 07:42</t>
        </is>
      </c>
      <c r="M2136" t="inlineStr">
        <is>
          <t>None</t>
        </is>
      </c>
      <c r="N2136" t="inlineStr">
        <is>
          <t>&lt;p&gt;&lt;/p&gt;</t>
        </is>
      </c>
      <c r="O2136" t="inlineStr"/>
      <c r="P2136" t="inlineStr">
        <is>
          <t>DE68XHA , Tipper , Isuzu , Grafter</t>
        </is>
      </c>
      <c r="Q2136" t="inlineStr">
        <is>
          <t>UKPN</t>
        </is>
      </c>
      <c r="R2136" t="b">
        <v>0</v>
      </c>
    </row>
    <row r="2137">
      <c r="A2137" t="inlineStr">
        <is>
          <t>17 Nov 2025 / Philip Shaw / Utilities / NGED</t>
        </is>
      </c>
      <c r="B2137" t="inlineStr">
        <is>
          <t>Utilities</t>
        </is>
      </c>
      <c r="C2137" t="inlineStr">
        <is>
          <t>NGED</t>
        </is>
      </c>
      <c r="D2137" t="inlineStr">
        <is>
          <t>AF22TZO , Car - Electric , Tesla , Model 3 Long Range AWD</t>
        </is>
      </c>
      <c r="E2137" t="inlineStr">
        <is>
          <t>AF22TZO , Car - Electric , Tesla , Model 3 Long Range AWD</t>
        </is>
      </c>
      <c r="F2137" t="inlineStr">
        <is>
          <t>AF22TZO , Car - Electric , Tesla , Model 3 Long Range AWD</t>
        </is>
      </c>
      <c r="G2137" t="inlineStr">
        <is>
          <t xml:space="preserve">Phil shaw </t>
        </is>
      </c>
      <c r="H2137" t="inlineStr">
        <is>
          <t>Car - Electric (GC Owned)</t>
        </is>
      </c>
      <c r="I2137" t="inlineStr">
        <is>
          <t>Daily/ Weekly Vehicle Inspection</t>
        </is>
      </c>
      <c r="J2137" t="inlineStr">
        <is>
          <t>N/A</t>
        </is>
      </c>
      <c r="K2137" t="inlineStr">
        <is>
          <t>Philip Shaw</t>
        </is>
      </c>
      <c r="L2137" t="inlineStr">
        <is>
          <t>17/11/2025 10:36</t>
        </is>
      </c>
      <c r="M2137" t="inlineStr">
        <is>
          <t>None</t>
        </is>
      </c>
      <c r="N2137" t="inlineStr">
        <is>
          <t>&lt;p&gt;&lt;/p&gt;</t>
        </is>
      </c>
      <c r="O2137" t="inlineStr"/>
      <c r="P2137" t="inlineStr">
        <is>
          <t>AF22TZO , Car - Electric , Tesla , Model 3 Long Range AWD</t>
        </is>
      </c>
      <c r="Q2137" t="inlineStr">
        <is>
          <t>NGED</t>
        </is>
      </c>
      <c r="R2137" t="b">
        <v>0</v>
      </c>
    </row>
    <row r="2138">
      <c r="A2138" t="inlineStr">
        <is>
          <t>17 Nov 2025 / Jonathan Wisbey / Utilities / UKPN</t>
        </is>
      </c>
      <c r="B2138" t="inlineStr">
        <is>
          <t>Utilities</t>
        </is>
      </c>
      <c r="C2138" t="inlineStr">
        <is>
          <t>UKPN</t>
        </is>
      </c>
      <c r="D2138" t="inlineStr"/>
      <c r="E2138" t="inlineStr"/>
      <c r="F2138" t="inlineStr"/>
      <c r="G2138" t="inlineStr">
        <is>
          <t xml:space="preserve">Jonathan Wisbey </t>
        </is>
      </c>
      <c r="H2138" t="inlineStr">
        <is>
          <t>Car - Petrol</t>
        </is>
      </c>
      <c r="I2138" t="inlineStr">
        <is>
          <t>Daily/ Weekly Vehicle Inspection</t>
        </is>
      </c>
      <c r="J2138" t="inlineStr">
        <is>
          <t>N/A</t>
        </is>
      </c>
      <c r="K2138" t="inlineStr">
        <is>
          <t>Jonathan Wisbey</t>
        </is>
      </c>
      <c r="L2138" t="inlineStr">
        <is>
          <t>17/11/2025 10:38</t>
        </is>
      </c>
      <c r="M2138" t="inlineStr">
        <is>
          <t>None</t>
        </is>
      </c>
      <c r="N2138" t="inlineStr">
        <is>
          <t>&lt;p&gt;&lt;/p&gt;</t>
        </is>
      </c>
      <c r="O2138" t="inlineStr"/>
      <c r="P2138" t="inlineStr"/>
      <c r="Q2138" t="inlineStr">
        <is>
          <t>UKPN</t>
        </is>
      </c>
      <c r="R2138" t="b">
        <v>0</v>
      </c>
    </row>
    <row r="2139">
      <c r="A2139" t="inlineStr">
        <is>
          <t>17 Nov 2025 / Thomas Playford / Utilities / UKPN</t>
        </is>
      </c>
      <c r="B2139" t="inlineStr">
        <is>
          <t>Utilities</t>
        </is>
      </c>
      <c r="C2139" t="inlineStr">
        <is>
          <t>UKPN</t>
        </is>
      </c>
      <c r="D2139" t="inlineStr">
        <is>
          <t>SA9ST800000283944 , Tow Chipper , Forst , ST8D - Towed</t>
        </is>
      </c>
      <c r="E2139" t="inlineStr">
        <is>
          <t>SA9ST800000283944 , Tow Chipper , Forst , ST8D - Towed</t>
        </is>
      </c>
      <c r="F2139" t="inlineStr">
        <is>
          <t>SA9ST800000283944 , Tow Chipper , Forst , ST8D - Towed</t>
        </is>
      </c>
      <c r="G2139" t="inlineStr">
        <is>
          <t>Jacob Oram</t>
        </is>
      </c>
      <c r="H2139" t="inlineStr">
        <is>
          <t>Towed Chipper</t>
        </is>
      </c>
      <c r="I2139" t="inlineStr">
        <is>
          <t>Daily/ Weekly Vehicle Inspection</t>
        </is>
      </c>
      <c r="J2139" t="inlineStr">
        <is>
          <t>N/A</t>
        </is>
      </c>
      <c r="K2139" t="inlineStr">
        <is>
          <t>7995 Green Net Eco Ltd 2</t>
        </is>
      </c>
      <c r="L2139" t="inlineStr">
        <is>
          <t>17/11/2025 11:33</t>
        </is>
      </c>
      <c r="M2139" t="inlineStr">
        <is>
          <t>None</t>
        </is>
      </c>
      <c r="N2139" t="inlineStr">
        <is>
          <t>&lt;p&gt;&lt;/p&gt;</t>
        </is>
      </c>
      <c r="O2139" t="inlineStr"/>
      <c r="P2139" t="inlineStr">
        <is>
          <t>SA9ST800000283944 , Tow Chipper , Forst , ST8D - Towed</t>
        </is>
      </c>
      <c r="Q2139" t="inlineStr">
        <is>
          <t>UKPN</t>
        </is>
      </c>
      <c r="R2139" t="b">
        <v>0</v>
      </c>
    </row>
    <row r="2140">
      <c r="A2140" t="inlineStr">
        <is>
          <t>17 Nov 2025 / Thomas Playford / Utilities / UKPN</t>
        </is>
      </c>
      <c r="B2140" t="inlineStr">
        <is>
          <t>Utilities</t>
        </is>
      </c>
      <c r="C2140" t="inlineStr">
        <is>
          <t>UKPN</t>
        </is>
      </c>
      <c r="D2140" t="inlineStr">
        <is>
          <t>4x4 - Landrover - Defender  - LK15KRZ</t>
        </is>
      </c>
      <c r="E2140" t="inlineStr">
        <is>
          <t>4x4 - Landrover - Defender  - LK15KRZ</t>
        </is>
      </c>
      <c r="F2140" t="inlineStr">
        <is>
          <t>4x4 - Landrover - Defender  - LK15KRZ</t>
        </is>
      </c>
      <c r="G2140" t="inlineStr">
        <is>
          <t>Jacob Oram</t>
        </is>
      </c>
      <c r="H2140" t="inlineStr">
        <is>
          <t>4x4</t>
        </is>
      </c>
      <c r="I2140" t="inlineStr">
        <is>
          <t>Daily/ Weekly Vehicle Inspection</t>
        </is>
      </c>
      <c r="J2140" t="inlineStr">
        <is>
          <t>N/A</t>
        </is>
      </c>
      <c r="K2140" t="inlineStr">
        <is>
          <t>7995 Green Net Eco Ltd 2</t>
        </is>
      </c>
      <c r="L2140" t="inlineStr">
        <is>
          <t>17/11/2025 11:34</t>
        </is>
      </c>
      <c r="M2140" t="inlineStr">
        <is>
          <t>None</t>
        </is>
      </c>
      <c r="N2140" t="inlineStr">
        <is>
          <t>&lt;p&gt;&lt;/p&gt;</t>
        </is>
      </c>
      <c r="O2140" t="inlineStr"/>
      <c r="P2140" t="inlineStr">
        <is>
          <t>4x4 - Landrover - Defender  - LK15KRZ</t>
        </is>
      </c>
      <c r="Q2140" t="inlineStr">
        <is>
          <t>UKPN</t>
        </is>
      </c>
      <c r="R2140" t="b">
        <v>0</v>
      </c>
    </row>
    <row r="2141">
      <c r="A2141" t="inlineStr">
        <is>
          <t>17 Nov 2025 / 7800 MAC Tree Surgery and Fencing Ltd / Utilities / UKPN</t>
        </is>
      </c>
      <c r="B2141" t="inlineStr">
        <is>
          <t>Utilities</t>
        </is>
      </c>
      <c r="C2141" t="inlineStr">
        <is>
          <t>UKPN</t>
        </is>
      </c>
      <c r="D2141" t="inlineStr">
        <is>
          <t>Plant Trailer - Towmate - 2.8t - 0</t>
        </is>
      </c>
      <c r="E2141" t="inlineStr">
        <is>
          <t>Plant Trailer - Towmate - 2.8t - 0</t>
        </is>
      </c>
      <c r="F2141" t="inlineStr">
        <is>
          <t>Plant Trailer - Towmate - 2.8t - 0</t>
        </is>
      </c>
      <c r="G2141" t="inlineStr">
        <is>
          <t xml:space="preserve">Patrick O'Shea </t>
        </is>
      </c>
      <c r="H2141" t="inlineStr">
        <is>
          <t>Plant Trailer</t>
        </is>
      </c>
      <c r="I2141" t="inlineStr">
        <is>
          <t>Daily/ Weekly Vehicle Inspection</t>
        </is>
      </c>
      <c r="J2141" t="inlineStr">
        <is>
          <t>N/A</t>
        </is>
      </c>
      <c r="K2141" t="inlineStr">
        <is>
          <t>7800 MAC Tree Surgery and Fencing Ltd</t>
        </is>
      </c>
      <c r="L2141" t="inlineStr">
        <is>
          <t>17/11/2025 11:36</t>
        </is>
      </c>
      <c r="M2141" t="inlineStr">
        <is>
          <t>None</t>
        </is>
      </c>
      <c r="N2141" t="inlineStr">
        <is>
          <t>&lt;p&gt;&lt;/p&gt;</t>
        </is>
      </c>
      <c r="O2141" t="inlineStr"/>
      <c r="P2141" t="inlineStr">
        <is>
          <t>Plant Trailer - Towmate - 2.8t - 0</t>
        </is>
      </c>
      <c r="Q2141" t="inlineStr">
        <is>
          <t>UKPN</t>
        </is>
      </c>
      <c r="R2141" t="b">
        <v>0</v>
      </c>
    </row>
    <row r="2142">
      <c r="A2142" t="inlineStr">
        <is>
          <t>17 Nov 2025 / 7800 MAC Tree Surgery and Fencing Ltd / Utilities / UKPN</t>
        </is>
      </c>
      <c r="B2142" t="inlineStr">
        <is>
          <t>Utilities</t>
        </is>
      </c>
      <c r="C2142" t="inlineStr">
        <is>
          <t>UKPN</t>
        </is>
      </c>
      <c r="D2142" t="inlineStr">
        <is>
          <t>AY68DAA , 4x4 , Izuzu , Dmax</t>
        </is>
      </c>
      <c r="E2142" t="inlineStr">
        <is>
          <t>AY68DAA , 4x4 , Izuzu , Dmax</t>
        </is>
      </c>
      <c r="F2142" t="inlineStr">
        <is>
          <t>AY68DAA , 4x4 , Izuzu , Dmax</t>
        </is>
      </c>
      <c r="G2142" t="inlineStr">
        <is>
          <t xml:space="preserve">Patrick O'Shea </t>
        </is>
      </c>
      <c r="H2142" t="inlineStr">
        <is>
          <t>4x4</t>
        </is>
      </c>
      <c r="I2142" t="inlineStr">
        <is>
          <t>Daily/ Weekly Vehicle Inspection</t>
        </is>
      </c>
      <c r="J2142" t="inlineStr">
        <is>
          <t>N/A</t>
        </is>
      </c>
      <c r="K2142" t="inlineStr">
        <is>
          <t>7800 MAC Tree Surgery and Fencing Ltd</t>
        </is>
      </c>
      <c r="L2142" t="inlineStr">
        <is>
          <t>17/11/2025 11:37</t>
        </is>
      </c>
      <c r="M2142" t="inlineStr">
        <is>
          <t>None</t>
        </is>
      </c>
      <c r="N2142" t="inlineStr">
        <is>
          <t>&lt;p&gt;&lt;/p&gt;</t>
        </is>
      </c>
      <c r="O2142" t="inlineStr"/>
      <c r="P2142" t="inlineStr">
        <is>
          <t>AY68DAA , 4x4 , Izuzu , Dmax</t>
        </is>
      </c>
      <c r="Q2142" t="inlineStr">
        <is>
          <t>UKPN</t>
        </is>
      </c>
      <c r="R2142" t="b">
        <v>0</v>
      </c>
    </row>
    <row r="2143">
      <c r="A2143" t="inlineStr">
        <is>
          <t>17 Nov 2025 / Mark Davies / Utilities / NGED</t>
        </is>
      </c>
      <c r="B2143" t="inlineStr">
        <is>
          <t>Utilities</t>
        </is>
      </c>
      <c r="C2143" t="inlineStr">
        <is>
          <t>NGED</t>
        </is>
      </c>
      <c r="D2143" t="inlineStr">
        <is>
          <t>GJ20USE , Car - Electric , Tesla , Model 3 Long Range AWD</t>
        </is>
      </c>
      <c r="E2143" t="inlineStr">
        <is>
          <t>GJ20USE , Car - Electric , Tesla , Model 3 Long Range AWD</t>
        </is>
      </c>
      <c r="F2143" t="inlineStr">
        <is>
          <t>GJ20USE , Car - Electric , Tesla , Model 3 Long Range AWD</t>
        </is>
      </c>
      <c r="G2143" t="inlineStr">
        <is>
          <t xml:space="preserve">Mark Davies </t>
        </is>
      </c>
      <c r="H2143" t="inlineStr">
        <is>
          <t>Car - Electric (GC Owned)</t>
        </is>
      </c>
      <c r="I2143" t="inlineStr">
        <is>
          <t>Daily/ Weekly Vehicle Inspection</t>
        </is>
      </c>
      <c r="J2143" t="inlineStr">
        <is>
          <t>N/A</t>
        </is>
      </c>
      <c r="K2143" t="inlineStr">
        <is>
          <t>Mark Davies</t>
        </is>
      </c>
      <c r="L2143" t="inlineStr">
        <is>
          <t>17/11/2025 12:33</t>
        </is>
      </c>
      <c r="M2143" t="inlineStr">
        <is>
          <t>None</t>
        </is>
      </c>
      <c r="N2143" t="inlineStr">
        <is>
          <t>&lt;p&gt;&lt;/p&gt;</t>
        </is>
      </c>
      <c r="O2143" t="inlineStr">
        <is>
          <t>Confirm that you have checked this vehicle as per the guidance document and the vehicle is safe and roadworthy:Vehicle fully serviced at Tesla depot 31/10
-</t>
        </is>
      </c>
      <c r="P2143" t="inlineStr">
        <is>
          <t>GJ20USE , Car - Electric , Tesla , Model 3 Long Range AWD</t>
        </is>
      </c>
      <c r="Q2143" t="inlineStr">
        <is>
          <t>NGED</t>
        </is>
      </c>
      <c r="R2143" t="b">
        <v>0</v>
      </c>
    </row>
    <row r="2144">
      <c r="A2144" t="inlineStr">
        <is>
          <t>17 Nov 2025 / Joshua Atkins / Utilities / UKPN</t>
        </is>
      </c>
      <c r="B2144" t="inlineStr">
        <is>
          <t>Utilities</t>
        </is>
      </c>
      <c r="C2144" t="inlineStr">
        <is>
          <t>UKPN</t>
        </is>
      </c>
      <c r="D2144" t="inlineStr"/>
      <c r="E2144" t="inlineStr"/>
      <c r="F2144" t="inlineStr"/>
      <c r="G2144" t="inlineStr">
        <is>
          <t>Josh Atkins</t>
        </is>
      </c>
      <c r="H2144" t="inlineStr">
        <is>
          <t>Car - Petrol</t>
        </is>
      </c>
      <c r="I2144" t="inlineStr">
        <is>
          <t>Daily/ Weekly Vehicle Inspection</t>
        </is>
      </c>
      <c r="J2144" t="inlineStr">
        <is>
          <t>N/A</t>
        </is>
      </c>
      <c r="K2144" t="inlineStr">
        <is>
          <t>Joshua Atkins</t>
        </is>
      </c>
      <c r="L2144" t="inlineStr">
        <is>
          <t>17/11/2025 14:35</t>
        </is>
      </c>
      <c r="M2144" t="inlineStr">
        <is>
          <t>None</t>
        </is>
      </c>
      <c r="N2144" t="inlineStr">
        <is>
          <t>&lt;p&gt;&lt;/p&gt;</t>
        </is>
      </c>
      <c r="O2144" t="inlineStr"/>
      <c r="P2144" t="inlineStr"/>
      <c r="Q2144" t="inlineStr">
        <is>
          <t>UKPN</t>
        </is>
      </c>
      <c r="R2144" t="b">
        <v>0</v>
      </c>
    </row>
    <row r="2145">
      <c r="A2145" t="inlineStr">
        <is>
          <t>17 Nov 2025 / Paul Chubb / Utilities / SSE</t>
        </is>
      </c>
      <c r="B2145" t="inlineStr">
        <is>
          <t>Utilities</t>
        </is>
      </c>
      <c r="C2145" t="inlineStr">
        <is>
          <t>SSE</t>
        </is>
      </c>
      <c r="D2145" t="inlineStr"/>
      <c r="E2145" t="inlineStr"/>
      <c r="F2145" t="inlineStr"/>
      <c r="G2145" t="inlineStr">
        <is>
          <t>Paul chubb</t>
        </is>
      </c>
      <c r="H2145" t="inlineStr">
        <is>
          <t>Van</t>
        </is>
      </c>
      <c r="I2145" t="inlineStr">
        <is>
          <t>Daily/ Weekly Vehicle Inspection</t>
        </is>
      </c>
      <c r="J2145" t="inlineStr">
        <is>
          <t>N/A</t>
        </is>
      </c>
      <c r="K2145" t="inlineStr">
        <is>
          <t>Paul Chubb</t>
        </is>
      </c>
      <c r="L2145" t="inlineStr">
        <is>
          <t>17/11/2025 14:36</t>
        </is>
      </c>
      <c r="M2145" t="inlineStr">
        <is>
          <t>None</t>
        </is>
      </c>
      <c r="N2145" t="inlineStr">
        <is>
          <t>&lt;p&gt;&lt;/p&gt;</t>
        </is>
      </c>
      <c r="O2145" t="inlineStr"/>
      <c r="P2145" t="inlineStr"/>
      <c r="Q2145" t="inlineStr">
        <is>
          <t>SSE</t>
        </is>
      </c>
      <c r="R2145" t="b">
        <v>0</v>
      </c>
    </row>
    <row r="2146">
      <c r="A2146" t="inlineStr">
        <is>
          <t>17 Nov 2025 / Paul Chubb / Utilities / SSE</t>
        </is>
      </c>
      <c r="B2146" t="inlineStr">
        <is>
          <t>Utilities</t>
        </is>
      </c>
      <c r="C2146" t="inlineStr">
        <is>
          <t>SSE</t>
        </is>
      </c>
      <c r="D2146" t="inlineStr"/>
      <c r="E2146" t="inlineStr"/>
      <c r="F2146" t="inlineStr"/>
      <c r="G2146" t="inlineStr">
        <is>
          <t>Paul chubb</t>
        </is>
      </c>
      <c r="H2146" t="inlineStr">
        <is>
          <t>Van</t>
        </is>
      </c>
      <c r="I2146" t="inlineStr">
        <is>
          <t>Daily/ Weekly Vehicle Inspection</t>
        </is>
      </c>
      <c r="J2146" t="inlineStr">
        <is>
          <t>N/A</t>
        </is>
      </c>
      <c r="K2146" t="inlineStr">
        <is>
          <t>Paul Chubb</t>
        </is>
      </c>
      <c r="L2146" t="inlineStr">
        <is>
          <t>17/11/2025 14:37</t>
        </is>
      </c>
      <c r="M2146" t="inlineStr">
        <is>
          <t>None</t>
        </is>
      </c>
      <c r="N2146" t="inlineStr">
        <is>
          <t>&lt;p&gt;&lt;/p&gt;</t>
        </is>
      </c>
      <c r="O2146" t="inlineStr"/>
      <c r="P2146" t="inlineStr"/>
      <c r="Q2146" t="inlineStr">
        <is>
          <t>SSE</t>
        </is>
      </c>
      <c r="R2146" t="b">
        <v>0</v>
      </c>
    </row>
    <row r="2147">
      <c r="A2147" t="inlineStr">
        <is>
          <t>17 Nov 2025 / James Gorman / Utilities / UKPN</t>
        </is>
      </c>
      <c r="B2147" t="inlineStr">
        <is>
          <t>Utilities</t>
        </is>
      </c>
      <c r="C2147" t="inlineStr">
        <is>
          <t>UKPN</t>
        </is>
      </c>
      <c r="D2147" t="inlineStr">
        <is>
          <t>Car - Electric - Tesla - Model 3  - AF22 XRA</t>
        </is>
      </c>
      <c r="E2147" t="inlineStr">
        <is>
          <t>Car - Electric - Tesla - Model 3  - AF22 XRA</t>
        </is>
      </c>
      <c r="F2147" t="inlineStr">
        <is>
          <t>Car - Electric - Tesla - Model 3  - AF22 XRA</t>
        </is>
      </c>
      <c r="G2147" t="inlineStr">
        <is>
          <t>James Gorman</t>
        </is>
      </c>
      <c r="H2147" t="inlineStr">
        <is>
          <t>Car - Electric (GC Owned)</t>
        </is>
      </c>
      <c r="I2147" t="inlineStr">
        <is>
          <t>Daily/ Weekly Vehicle Inspection</t>
        </is>
      </c>
      <c r="J2147" t="inlineStr">
        <is>
          <t>N/A</t>
        </is>
      </c>
      <c r="K2147" t="inlineStr">
        <is>
          <t>James Gorman</t>
        </is>
      </c>
      <c r="L2147" t="inlineStr">
        <is>
          <t>17/11/2025 15:33</t>
        </is>
      </c>
      <c r="M2147" t="inlineStr">
        <is>
          <t>None</t>
        </is>
      </c>
      <c r="N2147" t="inlineStr">
        <is>
          <t>&lt;p&gt;&lt;/p&gt;</t>
        </is>
      </c>
      <c r="O2147" t="inlineStr"/>
      <c r="P2147" t="inlineStr">
        <is>
          <t>Car - Electric - Tesla - Model 3  - AF22 XRA</t>
        </is>
      </c>
      <c r="Q2147" t="inlineStr">
        <is>
          <t>UKPN</t>
        </is>
      </c>
      <c r="R2147" t="b">
        <v>0</v>
      </c>
    </row>
    <row r="2148">
      <c r="A2148" t="inlineStr">
        <is>
          <t>10 Nov 2025 / James Gorman / Utilities / UKPN</t>
        </is>
      </c>
      <c r="B2148" t="inlineStr">
        <is>
          <t>Utilities</t>
        </is>
      </c>
      <c r="C2148" t="inlineStr">
        <is>
          <t>UKPN</t>
        </is>
      </c>
      <c r="D2148" t="inlineStr">
        <is>
          <t>Car - Electric - Tesla - Model 3  - AF22 XRA</t>
        </is>
      </c>
      <c r="E2148" t="inlineStr">
        <is>
          <t>Car - Electric - Tesla - Model 3  - AF22 XRA</t>
        </is>
      </c>
      <c r="F2148" t="inlineStr">
        <is>
          <t>Car - Electric - Tesla - Model 3  - AF22 XRA</t>
        </is>
      </c>
      <c r="G2148" t="inlineStr">
        <is>
          <t>James Gorman</t>
        </is>
      </c>
      <c r="H2148" t="inlineStr">
        <is>
          <t>Car - Electric (GC Owned)</t>
        </is>
      </c>
      <c r="I2148" t="inlineStr">
        <is>
          <t>Daily/ Weekly Vehicle Inspection</t>
        </is>
      </c>
      <c r="J2148" t="inlineStr">
        <is>
          <t>N/A</t>
        </is>
      </c>
      <c r="K2148" t="inlineStr">
        <is>
          <t>James Gorman</t>
        </is>
      </c>
      <c r="L2148" t="inlineStr">
        <is>
          <t>17/11/2025 15:33</t>
        </is>
      </c>
      <c r="M2148" t="inlineStr">
        <is>
          <t>None</t>
        </is>
      </c>
      <c r="N2148" t="inlineStr">
        <is>
          <t>&lt;p&gt;&lt;/p&gt;</t>
        </is>
      </c>
      <c r="O2148" t="inlineStr"/>
      <c r="P2148" t="inlineStr">
        <is>
          <t>Car - Electric - Tesla - Model 3  - AF22 XRA</t>
        </is>
      </c>
      <c r="Q2148" t="inlineStr">
        <is>
          <t>UKPN</t>
        </is>
      </c>
      <c r="R2148" t="b">
        <v>0</v>
      </c>
    </row>
    <row r="2149">
      <c r="A2149" t="inlineStr">
        <is>
          <t>17 Nov 2025 / Christopher Simeoli / Utilities / NGED</t>
        </is>
      </c>
      <c r="B2149" t="inlineStr">
        <is>
          <t>Utilities</t>
        </is>
      </c>
      <c r="C2149" t="inlineStr">
        <is>
          <t>NGED</t>
        </is>
      </c>
      <c r="D2149" t="inlineStr">
        <is>
          <t>EO73KVB , Car - Electric , Kia , Niro</t>
        </is>
      </c>
      <c r="E2149" t="inlineStr">
        <is>
          <t>EO73KVB , Car - Electric , Kia , Niro</t>
        </is>
      </c>
      <c r="F2149" t="inlineStr">
        <is>
          <t>EO73KVB , Car - Electric , Kia , Niro</t>
        </is>
      </c>
      <c r="G2149" t="inlineStr">
        <is>
          <t>Chris Simeoli</t>
        </is>
      </c>
      <c r="H2149" t="inlineStr">
        <is>
          <t>Car - Electric (GC Owned)</t>
        </is>
      </c>
      <c r="I2149" t="inlineStr">
        <is>
          <t>Daily/ Weekly Vehicle Inspection</t>
        </is>
      </c>
      <c r="J2149" t="inlineStr">
        <is>
          <t>N/A</t>
        </is>
      </c>
      <c r="K2149" t="inlineStr">
        <is>
          <t>Christopher Simeoli</t>
        </is>
      </c>
      <c r="L2149" t="inlineStr">
        <is>
          <t>17/11/2025 15:34</t>
        </is>
      </c>
      <c r="M2149" t="inlineStr">
        <is>
          <t>None</t>
        </is>
      </c>
      <c r="N2149" t="inlineStr">
        <is>
          <t>&lt;p&gt;&lt;/p&gt;</t>
        </is>
      </c>
      <c r="O2149" t="inlineStr"/>
      <c r="P2149" t="inlineStr">
        <is>
          <t>EO73KVB , Car - Electric , Kia , Niro</t>
        </is>
      </c>
      <c r="Q2149" t="inlineStr">
        <is>
          <t>NGED</t>
        </is>
      </c>
      <c r="R2149" t="b">
        <v>0</v>
      </c>
    </row>
    <row r="2150">
      <c r="A2150" t="inlineStr">
        <is>
          <t>17 Nov 2025 / Chris Huntley / Utilities / UKPN</t>
        </is>
      </c>
      <c r="B2150" t="inlineStr">
        <is>
          <t>Utilities</t>
        </is>
      </c>
      <c r="C2150" t="inlineStr">
        <is>
          <t>UKPN</t>
        </is>
      </c>
      <c r="D2150" t="inlineStr">
        <is>
          <t>EX18DCY , 4x4 , Ford , Ranger</t>
        </is>
      </c>
      <c r="E2150" t="inlineStr">
        <is>
          <t>EX18DCY , 4x4 , Ford , Ranger</t>
        </is>
      </c>
      <c r="F2150" t="inlineStr">
        <is>
          <t>EX18DCY , 4x4 , Ford , Ranger</t>
        </is>
      </c>
      <c r="G2150" t="inlineStr">
        <is>
          <t xml:space="preserve">Chris Huntley </t>
        </is>
      </c>
      <c r="H2150" t="inlineStr">
        <is>
          <t>4x4</t>
        </is>
      </c>
      <c r="I2150" t="inlineStr">
        <is>
          <t>Daily/ Weekly Vehicle Inspection</t>
        </is>
      </c>
      <c r="J2150" t="inlineStr">
        <is>
          <t>N/A</t>
        </is>
      </c>
      <c r="K2150" t="inlineStr">
        <is>
          <t>Chris Huntley</t>
        </is>
      </c>
      <c r="L2150" t="inlineStr">
        <is>
          <t>17/11/2025 15:35</t>
        </is>
      </c>
      <c r="M2150" t="inlineStr">
        <is>
          <t>None</t>
        </is>
      </c>
      <c r="N2150" t="inlineStr">
        <is>
          <t>&lt;p&gt;&lt;/p&gt;</t>
        </is>
      </c>
      <c r="O2150" t="inlineStr"/>
      <c r="P2150" t="inlineStr">
        <is>
          <t>EX18DCY , 4x4 , Ford , Ranger</t>
        </is>
      </c>
      <c r="Q2150" t="inlineStr">
        <is>
          <t>UKPN</t>
        </is>
      </c>
      <c r="R2150" t="b">
        <v>0</v>
      </c>
    </row>
    <row r="2151">
      <c r="A2151" t="inlineStr">
        <is>
          <t>18 Nov 2025 / 7806 Optimum Tree Services Ltd / Utilities / UKPN</t>
        </is>
      </c>
      <c r="B2151" t="inlineStr">
        <is>
          <t>Utilities</t>
        </is>
      </c>
      <c r="C2151" t="inlineStr">
        <is>
          <t>UKPN</t>
        </is>
      </c>
      <c r="D2151" t="inlineStr">
        <is>
          <t>SA9ST800000283069 , Chipper , Forst , ST 6P</t>
        </is>
      </c>
      <c r="E2151" t="inlineStr">
        <is>
          <t>SA9ST800000283069 , Chipper , Forst , ST 6P</t>
        </is>
      </c>
      <c r="F2151" t="inlineStr">
        <is>
          <t>SA9ST800000283069 , Chipper , Forst , ST 6P</t>
        </is>
      </c>
      <c r="G2151" t="inlineStr">
        <is>
          <t xml:space="preserve">Abraham Davies </t>
        </is>
      </c>
      <c r="H2151" t="inlineStr">
        <is>
          <t>Towed Chipper</t>
        </is>
      </c>
      <c r="I2151" t="inlineStr">
        <is>
          <t>Daily/ Weekly Vehicle Inspection</t>
        </is>
      </c>
      <c r="J2151" t="inlineStr">
        <is>
          <t>N/A</t>
        </is>
      </c>
      <c r="K2151" t="inlineStr">
        <is>
          <t>7806 Optimum Tree Services Ltd</t>
        </is>
      </c>
      <c r="L2151" t="inlineStr">
        <is>
          <t>18/11/2025 07:33</t>
        </is>
      </c>
      <c r="M2151" t="inlineStr">
        <is>
          <t>None</t>
        </is>
      </c>
      <c r="N2151" t="inlineStr">
        <is>
          <t>&lt;p&gt;&lt;/p&gt;</t>
        </is>
      </c>
      <c r="O2151" t="inlineStr"/>
      <c r="P2151" t="inlineStr">
        <is>
          <t>SA9ST800000283069 , Chipper , Forst , ST 6P</t>
        </is>
      </c>
      <c r="Q2151" t="inlineStr">
        <is>
          <t>UKPN</t>
        </is>
      </c>
      <c r="R2151" t="b">
        <v>0</v>
      </c>
    </row>
    <row r="2152">
      <c r="A2152" t="inlineStr">
        <is>
          <t>18 Nov 2025 / 7806 Optimum Tree Services Ltd / Utilities / UKPN</t>
        </is>
      </c>
      <c r="B2152" t="inlineStr">
        <is>
          <t>Utilities</t>
        </is>
      </c>
      <c r="C2152" t="inlineStr">
        <is>
          <t>UKPN</t>
        </is>
      </c>
      <c r="D2152" t="inlineStr">
        <is>
          <t>WD14EVB , MEWP , Land Rover , Defender</t>
        </is>
      </c>
      <c r="E2152" t="inlineStr">
        <is>
          <t>WD14EVB , MEWP , Land Rover , Defender</t>
        </is>
      </c>
      <c r="F2152" t="inlineStr">
        <is>
          <t>WD14EVB , MEWP , Land Rover , Defender</t>
        </is>
      </c>
      <c r="G2152" t="inlineStr">
        <is>
          <t xml:space="preserve">Abraham Davies </t>
        </is>
      </c>
      <c r="H2152" t="inlineStr">
        <is>
          <t>4x4</t>
        </is>
      </c>
      <c r="I2152" t="inlineStr">
        <is>
          <t>Daily/ Weekly Vehicle Inspection</t>
        </is>
      </c>
      <c r="J2152" t="inlineStr">
        <is>
          <t>N/A</t>
        </is>
      </c>
      <c r="K2152" t="inlineStr">
        <is>
          <t>7806 Optimum Tree Services Ltd</t>
        </is>
      </c>
      <c r="L2152" t="inlineStr">
        <is>
          <t>18/11/2025 07:34</t>
        </is>
      </c>
      <c r="M2152" t="inlineStr">
        <is>
          <t>None</t>
        </is>
      </c>
      <c r="N2152" t="inlineStr">
        <is>
          <t>&lt;p&gt;&lt;/p&gt;</t>
        </is>
      </c>
      <c r="O2152" t="inlineStr"/>
      <c r="P2152" t="inlineStr">
        <is>
          <t>WD14EVB , MEWP , Land Rover , Defender</t>
        </is>
      </c>
      <c r="Q2152" t="inlineStr">
        <is>
          <t>UKPN</t>
        </is>
      </c>
      <c r="R2152" t="b">
        <v>0</v>
      </c>
    </row>
    <row r="2153">
      <c r="A2153" t="inlineStr">
        <is>
          <t>18 Nov 2025 / 7889 Tree Tech Suffolk Ltd</t>
        </is>
      </c>
      <c r="B2153" t="inlineStr">
        <is>
          <t>Utilities &amp; Inland Waterways</t>
        </is>
      </c>
      <c r="C2153" t="inlineStr">
        <is>
          <t>UKPN</t>
        </is>
      </c>
      <c r="D2153" t="inlineStr">
        <is>
          <t>Tow Chipper - Jenson - A530L - 55210639484x4 - Isuzu - D-max - NS03 TTSTipper - Mercedes - Sprinter - NS06TTS</t>
        </is>
      </c>
      <c r="E2153" t="inlineStr">
        <is>
          <t>Tow Chipper - Jenson - A530L - 55210639484x4 - Isuzu - D-max - NS03 TTSTipper - Mercedes - Sprinter - NS06TTS</t>
        </is>
      </c>
      <c r="F2153" t="inlineStr">
        <is>
          <t>Tow Chipper - Jenson - A530L - 55210639484x4 - Isuzu - D-max - NS03 TTSTipper - Mercedes - Sprinter - NS06TTS</t>
        </is>
      </c>
      <c r="G2153" t="inlineStr">
        <is>
          <t xml:space="preserve">Danny Appleby Danny Appleby Nikki sparrow </t>
        </is>
      </c>
      <c r="H2153" t="inlineStr">
        <is>
          <t>Towed Chipper4x4Tipper</t>
        </is>
      </c>
      <c r="I2153" t="inlineStr">
        <is>
          <t>Daily/ Weekly Vehicle Inspection</t>
        </is>
      </c>
      <c r="J2153" t="inlineStr">
        <is>
          <t>N/A</t>
        </is>
      </c>
      <c r="K2153" t="inlineStr">
        <is>
          <t>7889 Tree Tech Suffolk Ltd</t>
        </is>
      </c>
      <c r="L2153" t="inlineStr">
        <is>
          <t>18/11/2025 07:35</t>
        </is>
      </c>
      <c r="M2153" t="inlineStr">
        <is>
          <t>None</t>
        </is>
      </c>
      <c r="N2153" t="inlineStr">
        <is>
          <t>&lt;p&gt;&lt;/p&gt;</t>
        </is>
      </c>
      <c r="O2153" t="inlineStr"/>
      <c r="P2153" t="inlineStr">
        <is>
          <t>Tow Chipper - Jenson - A530L - 55210639484x4 - Isuzu - D-max - NS03 TTSTipper - Mercedes - Sprinter - NS06TTS</t>
        </is>
      </c>
      <c r="Q2153" t="inlineStr">
        <is>
          <t>UKPN</t>
        </is>
      </c>
      <c r="R2153" t="b">
        <v>0</v>
      </c>
    </row>
    <row r="2154">
      <c r="A2154" t="inlineStr">
        <is>
          <t>18 Nov 2025 / 7951 Austin Tree Care LTD / Utilities / UKPN</t>
        </is>
      </c>
      <c r="B2154" t="inlineStr">
        <is>
          <t>Utilities</t>
        </is>
      </c>
      <c r="C2154" t="inlineStr">
        <is>
          <t>UKPN</t>
        </is>
      </c>
      <c r="D2154" t="inlineStr">
        <is>
          <t>SA9ST6P0001283612 , Tow Chipper , Forst , ST6p</t>
        </is>
      </c>
      <c r="E2154" t="inlineStr">
        <is>
          <t>SA9ST6P0001283612 , Tow Chipper , Forst , ST6p</t>
        </is>
      </c>
      <c r="F2154" t="inlineStr">
        <is>
          <t>SA9ST6P0001283612 , Tow Chipper , Forst , ST6p</t>
        </is>
      </c>
      <c r="G2154" t="inlineStr">
        <is>
          <t xml:space="preserve">Jack Austin </t>
        </is>
      </c>
      <c r="H2154" t="inlineStr">
        <is>
          <t>Towed Chipper</t>
        </is>
      </c>
      <c r="I2154" t="inlineStr">
        <is>
          <t>Daily/ Weekly Vehicle Inspection</t>
        </is>
      </c>
      <c r="J2154" t="inlineStr">
        <is>
          <t>N/A</t>
        </is>
      </c>
      <c r="K2154" t="inlineStr">
        <is>
          <t>7951 Austin Tree Care LTD</t>
        </is>
      </c>
      <c r="L2154" t="inlineStr">
        <is>
          <t>18/11/2025 07:36</t>
        </is>
      </c>
      <c r="M2154" t="inlineStr">
        <is>
          <t>None</t>
        </is>
      </c>
      <c r="N2154" t="inlineStr">
        <is>
          <t>&lt;p&gt;&lt;/p&gt;</t>
        </is>
      </c>
      <c r="O2154" t="inlineStr"/>
      <c r="P2154" t="inlineStr">
        <is>
          <t>SA9ST6P0001283612 , Tow Chipper , Forst , ST6p</t>
        </is>
      </c>
      <c r="Q2154" t="inlineStr">
        <is>
          <t>UKPN</t>
        </is>
      </c>
      <c r="R2154" t="b">
        <v>0</v>
      </c>
    </row>
    <row r="2155">
      <c r="A2155" t="inlineStr">
        <is>
          <t>18 Nov 2025 / 7951 Austin Tree Care LTD / Utilities / UKPN</t>
        </is>
      </c>
      <c r="B2155" t="inlineStr">
        <is>
          <t>Utilities</t>
        </is>
      </c>
      <c r="C2155" t="inlineStr">
        <is>
          <t>UKPN</t>
        </is>
      </c>
      <c r="D2155" t="inlineStr">
        <is>
          <t>WF61 HZV , 4x4 MEWP , Land Rover , Defender</t>
        </is>
      </c>
      <c r="E2155" t="inlineStr">
        <is>
          <t>WF61 HZV , 4x4 MEWP , Land Rover , Defender</t>
        </is>
      </c>
      <c r="F2155" t="inlineStr">
        <is>
          <t>WF61 HZV , 4x4 MEWP , Land Rover , Defender</t>
        </is>
      </c>
      <c r="G2155" t="inlineStr">
        <is>
          <t xml:space="preserve">Jack Austin </t>
        </is>
      </c>
      <c r="H2155" t="inlineStr">
        <is>
          <t>4x4</t>
        </is>
      </c>
      <c r="I2155" t="inlineStr">
        <is>
          <t>Daily/ Weekly Vehicle Inspection</t>
        </is>
      </c>
      <c r="J2155" t="inlineStr">
        <is>
          <t>N/A</t>
        </is>
      </c>
      <c r="K2155" t="inlineStr">
        <is>
          <t>7951 Austin Tree Care LTD</t>
        </is>
      </c>
      <c r="L2155" t="inlineStr">
        <is>
          <t>18/11/2025 07:36</t>
        </is>
      </c>
      <c r="M2155" t="inlineStr">
        <is>
          <t>None</t>
        </is>
      </c>
      <c r="N2155" t="inlineStr">
        <is>
          <t>&lt;p&gt;&lt;/p&gt;</t>
        </is>
      </c>
      <c r="O2155" t="inlineStr"/>
      <c r="P2155" t="inlineStr">
        <is>
          <t>WF61 HZV , 4x4 MEWP , Land Rover , Defender</t>
        </is>
      </c>
      <c r="Q2155" t="inlineStr">
        <is>
          <t>UKPN</t>
        </is>
      </c>
      <c r="R2155" t="b">
        <v>0</v>
      </c>
    </row>
    <row r="2156">
      <c r="A2156" t="inlineStr">
        <is>
          <t>18 Nov 2025 / 3098 D &amp; R Landscapes / Utilities / UKPN</t>
        </is>
      </c>
      <c r="B2156" t="inlineStr">
        <is>
          <t>Utilities</t>
        </is>
      </c>
      <c r="C2156" t="inlineStr">
        <is>
          <t>UKPN</t>
        </is>
      </c>
      <c r="D2156" t="inlineStr">
        <is>
          <t>Pickup Truck - Land Rover  - Defender  - Wa13zzk</t>
        </is>
      </c>
      <c r="E2156" t="inlineStr">
        <is>
          <t>Pickup Truck - Land Rover  - Defender  - Wa13zzk</t>
        </is>
      </c>
      <c r="F2156" t="inlineStr">
        <is>
          <t>Pickup Truck - Land Rover  - Defender  - Wa13zzk</t>
        </is>
      </c>
      <c r="G2156" t="inlineStr">
        <is>
          <t>Chris</t>
        </is>
      </c>
      <c r="H2156" t="inlineStr">
        <is>
          <t>Pickup Truck</t>
        </is>
      </c>
      <c r="I2156" t="inlineStr">
        <is>
          <t>Daily/ Weekly Vehicle Inspection</t>
        </is>
      </c>
      <c r="J2156" t="inlineStr">
        <is>
          <t>N/A</t>
        </is>
      </c>
      <c r="K2156" t="inlineStr">
        <is>
          <t>3098 D &amp; R Landscapes</t>
        </is>
      </c>
      <c r="L2156" t="inlineStr">
        <is>
          <t>18/11/2025 07:38</t>
        </is>
      </c>
      <c r="M2156" t="inlineStr">
        <is>
          <t>None</t>
        </is>
      </c>
      <c r="N2156" t="inlineStr">
        <is>
          <t>&lt;p&gt;&lt;/p&gt;</t>
        </is>
      </c>
      <c r="O2156" t="inlineStr"/>
      <c r="P2156" t="inlineStr">
        <is>
          <t>Pickup Truck - Land Rover  - Defender  - Wa13zzk</t>
        </is>
      </c>
      <c r="Q2156" t="inlineStr">
        <is>
          <t>UKPN</t>
        </is>
      </c>
      <c r="R2156" t="b">
        <v>0</v>
      </c>
    </row>
    <row r="2157">
      <c r="A2157" t="inlineStr">
        <is>
          <t>18 Nov 2025 / 3098 D &amp; R Landscapes / Utilities / UKPN</t>
        </is>
      </c>
      <c r="B2157" t="inlineStr">
        <is>
          <t>Utilities</t>
        </is>
      </c>
      <c r="C2157" t="inlineStr">
        <is>
          <t>UKPN</t>
        </is>
      </c>
      <c r="D2157" t="inlineStr">
        <is>
          <t>DE68XHA , Tipper , Isuzu , Grafter</t>
        </is>
      </c>
      <c r="E2157" t="inlineStr">
        <is>
          <t>DE68XHA , Tipper , Isuzu , Grafter</t>
        </is>
      </c>
      <c r="F2157" t="inlineStr">
        <is>
          <t>DE68XHA , Tipper , Isuzu , Grafter</t>
        </is>
      </c>
      <c r="G2157" t="inlineStr">
        <is>
          <t>Jason</t>
        </is>
      </c>
      <c r="H2157" t="inlineStr">
        <is>
          <t>Tipper</t>
        </is>
      </c>
      <c r="I2157" t="inlineStr">
        <is>
          <t>Daily/ Weekly Vehicle Inspection</t>
        </is>
      </c>
      <c r="J2157" t="inlineStr">
        <is>
          <t>N/A</t>
        </is>
      </c>
      <c r="K2157" t="inlineStr">
        <is>
          <t>3098 D &amp; R Landscapes</t>
        </is>
      </c>
      <c r="L2157" t="inlineStr">
        <is>
          <t>18/11/2025 07:39</t>
        </is>
      </c>
      <c r="M2157" t="inlineStr">
        <is>
          <t>None</t>
        </is>
      </c>
      <c r="N2157" t="inlineStr">
        <is>
          <t>&lt;p&gt;&lt;/p&gt;</t>
        </is>
      </c>
      <c r="O2157" t="inlineStr"/>
      <c r="P2157" t="inlineStr">
        <is>
          <t>DE68XHA , Tipper , Isuzu , Grafter</t>
        </is>
      </c>
      <c r="Q2157" t="inlineStr">
        <is>
          <t>UKPN</t>
        </is>
      </c>
      <c r="R2157" t="b">
        <v>0</v>
      </c>
    </row>
    <row r="2158">
      <c r="A2158" t="inlineStr">
        <is>
          <t>18 Nov 2025 / Anthony Gale / Utilities / UKPN</t>
        </is>
      </c>
      <c r="B2158" t="inlineStr">
        <is>
          <t>Utilities</t>
        </is>
      </c>
      <c r="C2158" t="inlineStr">
        <is>
          <t>UKPN</t>
        </is>
      </c>
      <c r="D2158" t="inlineStr"/>
      <c r="E2158" t="inlineStr"/>
      <c r="F2158" t="inlineStr"/>
      <c r="G2158" t="inlineStr">
        <is>
          <t>Anthony Gale</t>
        </is>
      </c>
      <c r="H2158" t="inlineStr">
        <is>
          <t>Towed Chipper</t>
        </is>
      </c>
      <c r="I2158" t="inlineStr">
        <is>
          <t>Daily/ Weekly Vehicle Inspection</t>
        </is>
      </c>
      <c r="J2158" t="inlineStr">
        <is>
          <t>N/A</t>
        </is>
      </c>
      <c r="K2158" t="inlineStr">
        <is>
          <t>7996 M G Tree Surgery Ltd 1</t>
        </is>
      </c>
      <c r="L2158" t="inlineStr">
        <is>
          <t>18/11/2025 07:40</t>
        </is>
      </c>
      <c r="M2158" t="inlineStr">
        <is>
          <t>None</t>
        </is>
      </c>
      <c r="N2158" t="inlineStr">
        <is>
          <t>&lt;p&gt;&lt;/p&gt;</t>
        </is>
      </c>
      <c r="O2158" t="inlineStr"/>
      <c r="P2158" t="inlineStr"/>
      <c r="Q2158" t="inlineStr">
        <is>
          <t>UKPN</t>
        </is>
      </c>
      <c r="R2158" t="b">
        <v>0</v>
      </c>
    </row>
    <row r="2159">
      <c r="A2159" t="inlineStr">
        <is>
          <t>18 Nov 2025 / Thomas Nandi / Utilities / SSE</t>
        </is>
      </c>
      <c r="B2159" t="inlineStr">
        <is>
          <t>Utilities</t>
        </is>
      </c>
      <c r="C2159" t="inlineStr">
        <is>
          <t>SSE</t>
        </is>
      </c>
      <c r="D2159" t="inlineStr"/>
      <c r="E2159" t="inlineStr"/>
      <c r="F2159" t="inlineStr"/>
      <c r="G2159" t="inlineStr">
        <is>
          <t xml:space="preserve">Tom Nandi </t>
        </is>
      </c>
      <c r="H2159" t="inlineStr">
        <is>
          <t>Car - Petrol</t>
        </is>
      </c>
      <c r="I2159" t="inlineStr">
        <is>
          <t>Daily/ Weekly Vehicle Inspection</t>
        </is>
      </c>
      <c r="J2159" t="inlineStr">
        <is>
          <t>N/A</t>
        </is>
      </c>
      <c r="K2159" t="inlineStr">
        <is>
          <t>Thomas Nandi</t>
        </is>
      </c>
      <c r="L2159" t="inlineStr">
        <is>
          <t>18/11/2025 08:33</t>
        </is>
      </c>
      <c r="M2159" t="inlineStr">
        <is>
          <t>None</t>
        </is>
      </c>
      <c r="N2159" t="inlineStr">
        <is>
          <t>&lt;p&gt;&lt;/p&gt;</t>
        </is>
      </c>
      <c r="O2159" t="inlineStr">
        <is>
          <t>Confirm that you have checked this vehicle as per the guidance document and the vehicle is safe and roadworthy:Scratch noticed on front driver side wing
-</t>
        </is>
      </c>
      <c r="P2159" t="inlineStr"/>
      <c r="Q2159" t="inlineStr">
        <is>
          <t>SSE</t>
        </is>
      </c>
      <c r="R2159" t="b">
        <v>0</v>
      </c>
    </row>
    <row r="2160">
      <c r="A2160" t="inlineStr">
        <is>
          <t>18 Nov 2025 / Thomas Playford / Utilities / UKPN</t>
        </is>
      </c>
      <c r="B2160" t="inlineStr">
        <is>
          <t>Utilities</t>
        </is>
      </c>
      <c r="C2160" t="inlineStr">
        <is>
          <t>UKPN</t>
        </is>
      </c>
      <c r="D2160" t="inlineStr">
        <is>
          <t>SA9ST800000283944 , Tow Chipper , Forst , ST8D - Towed</t>
        </is>
      </c>
      <c r="E2160" t="inlineStr">
        <is>
          <t>SA9ST800000283944 , Tow Chipper , Forst , ST8D - Towed</t>
        </is>
      </c>
      <c r="F2160" t="inlineStr">
        <is>
          <t>SA9ST800000283944 , Tow Chipper , Forst , ST8D - Towed</t>
        </is>
      </c>
      <c r="G2160" t="inlineStr">
        <is>
          <t>Jacob Oram</t>
        </is>
      </c>
      <c r="H2160" t="inlineStr">
        <is>
          <t>Towed Chipper</t>
        </is>
      </c>
      <c r="I2160" t="inlineStr">
        <is>
          <t>Daily/ Weekly Vehicle Inspection</t>
        </is>
      </c>
      <c r="J2160" t="inlineStr">
        <is>
          <t>N/A</t>
        </is>
      </c>
      <c r="K2160" t="inlineStr">
        <is>
          <t>7995 Green Net Eco Ltd 2</t>
        </is>
      </c>
      <c r="L2160" t="inlineStr">
        <is>
          <t>18/11/2025 08:35</t>
        </is>
      </c>
      <c r="M2160" t="inlineStr">
        <is>
          <t>None</t>
        </is>
      </c>
      <c r="N2160" t="inlineStr">
        <is>
          <t>&lt;p&gt;&lt;/p&gt;</t>
        </is>
      </c>
      <c r="O2160" t="inlineStr"/>
      <c r="P2160" t="inlineStr">
        <is>
          <t>SA9ST800000283944 , Tow Chipper , Forst , ST8D - Towed</t>
        </is>
      </c>
      <c r="Q2160" t="inlineStr">
        <is>
          <t>UKPN</t>
        </is>
      </c>
      <c r="R2160" t="b">
        <v>0</v>
      </c>
    </row>
    <row r="2161">
      <c r="A2161" t="inlineStr">
        <is>
          <t>18 Nov 2025 / Thomas Playford / Utilities / UKPN</t>
        </is>
      </c>
      <c r="B2161" t="inlineStr">
        <is>
          <t>Utilities</t>
        </is>
      </c>
      <c r="C2161" t="inlineStr">
        <is>
          <t>UKPN</t>
        </is>
      </c>
      <c r="D2161" t="inlineStr">
        <is>
          <t>4x4 - Landrover - Defender  - LK15KRZ</t>
        </is>
      </c>
      <c r="E2161" t="inlineStr">
        <is>
          <t>4x4 - Landrover - Defender  - LK15KRZ</t>
        </is>
      </c>
      <c r="F2161" t="inlineStr">
        <is>
          <t>4x4 - Landrover - Defender  - LK15KRZ</t>
        </is>
      </c>
      <c r="G2161" t="inlineStr">
        <is>
          <t>Jacob Oram</t>
        </is>
      </c>
      <c r="H2161" t="inlineStr">
        <is>
          <t>4x4</t>
        </is>
      </c>
      <c r="I2161" t="inlineStr">
        <is>
          <t>Daily/ Weekly Vehicle Inspection</t>
        </is>
      </c>
      <c r="J2161" t="inlineStr">
        <is>
          <t>N/A</t>
        </is>
      </c>
      <c r="K2161" t="inlineStr">
        <is>
          <t>7995 Green Net Eco Ltd 2</t>
        </is>
      </c>
      <c r="L2161" t="inlineStr">
        <is>
          <t>18/11/2025 08:36</t>
        </is>
      </c>
      <c r="M2161" t="inlineStr">
        <is>
          <t>None</t>
        </is>
      </c>
      <c r="N2161" t="inlineStr">
        <is>
          <t>&lt;p&gt;&lt;/p&gt;</t>
        </is>
      </c>
      <c r="O2161" t="inlineStr"/>
      <c r="P2161" t="inlineStr">
        <is>
          <t>4x4 - Landrover - Defender  - LK15KRZ</t>
        </is>
      </c>
      <c r="Q2161" t="inlineStr">
        <is>
          <t>UKPN</t>
        </is>
      </c>
      <c r="R2161" t="b">
        <v>0</v>
      </c>
    </row>
    <row r="2162">
      <c r="A2162" t="inlineStr">
        <is>
          <t>18 Nov 2025 / 7800 MAC Tree Surgery and Fencing Ltd / Utilities / UKPN</t>
        </is>
      </c>
      <c r="B2162" t="inlineStr">
        <is>
          <t>Utilities</t>
        </is>
      </c>
      <c r="C2162" t="inlineStr">
        <is>
          <t>UKPN</t>
        </is>
      </c>
      <c r="D2162" t="inlineStr">
        <is>
          <t>Plant Trailer - Towmate - 2.8t - 0</t>
        </is>
      </c>
      <c r="E2162" t="inlineStr">
        <is>
          <t>Plant Trailer - Towmate - 2.8t - 0</t>
        </is>
      </c>
      <c r="F2162" t="inlineStr">
        <is>
          <t>Plant Trailer - Towmate - 2.8t - 0</t>
        </is>
      </c>
      <c r="G2162" t="inlineStr">
        <is>
          <t xml:space="preserve">Patrick O'Shea </t>
        </is>
      </c>
      <c r="H2162" t="inlineStr">
        <is>
          <t>Plant Trailer</t>
        </is>
      </c>
      <c r="I2162" t="inlineStr">
        <is>
          <t>Daily/ Weekly Vehicle Inspection</t>
        </is>
      </c>
      <c r="J2162" t="inlineStr">
        <is>
          <t>N/A</t>
        </is>
      </c>
      <c r="K2162" t="inlineStr">
        <is>
          <t>7800 MAC Tree Surgery and Fencing Ltd</t>
        </is>
      </c>
      <c r="L2162" t="inlineStr">
        <is>
          <t>18/11/2025 08:37</t>
        </is>
      </c>
      <c r="M2162" t="inlineStr">
        <is>
          <t>None</t>
        </is>
      </c>
      <c r="N2162" t="inlineStr">
        <is>
          <t>&lt;p&gt;&lt;/p&gt;</t>
        </is>
      </c>
      <c r="O2162" t="inlineStr"/>
      <c r="P2162" t="inlineStr">
        <is>
          <t>Plant Trailer - Towmate - 2.8t - 0</t>
        </is>
      </c>
      <c r="Q2162" t="inlineStr">
        <is>
          <t>UKPN</t>
        </is>
      </c>
      <c r="R2162" t="b">
        <v>0</v>
      </c>
    </row>
    <row r="2163">
      <c r="A2163" t="inlineStr">
        <is>
          <t>18 Nov 2025 / 7800 MAC Tree Surgery and Fencing Ltd / Utilities / UKPN</t>
        </is>
      </c>
      <c r="B2163" t="inlineStr">
        <is>
          <t>Utilities</t>
        </is>
      </c>
      <c r="C2163" t="inlineStr">
        <is>
          <t>UKPN</t>
        </is>
      </c>
      <c r="D2163" t="inlineStr">
        <is>
          <t>AY68DAA , 4x4 , Izuzu , Dmax</t>
        </is>
      </c>
      <c r="E2163" t="inlineStr">
        <is>
          <t>AY68DAA , 4x4 , Izuzu , Dmax</t>
        </is>
      </c>
      <c r="F2163" t="inlineStr">
        <is>
          <t>AY68DAA , 4x4 , Izuzu , Dmax</t>
        </is>
      </c>
      <c r="G2163" t="inlineStr">
        <is>
          <t xml:space="preserve">Patrick O'Shea </t>
        </is>
      </c>
      <c r="H2163" t="inlineStr">
        <is>
          <t>4x4</t>
        </is>
      </c>
      <c r="I2163" t="inlineStr">
        <is>
          <t>Daily/ Weekly Vehicle Inspection</t>
        </is>
      </c>
      <c r="J2163" t="inlineStr">
        <is>
          <t>N/A</t>
        </is>
      </c>
      <c r="K2163" t="inlineStr">
        <is>
          <t>7800 MAC Tree Surgery and Fencing Ltd</t>
        </is>
      </c>
      <c r="L2163" t="inlineStr">
        <is>
          <t>18/11/2025 08:38</t>
        </is>
      </c>
      <c r="M2163" t="inlineStr">
        <is>
          <t>None</t>
        </is>
      </c>
      <c r="N2163" t="inlineStr">
        <is>
          <t>&lt;p&gt;&lt;/p&gt;</t>
        </is>
      </c>
      <c r="O2163" t="inlineStr"/>
      <c r="P2163" t="inlineStr">
        <is>
          <t>AY68DAA , 4x4 , Izuzu , Dmax</t>
        </is>
      </c>
      <c r="Q2163" t="inlineStr">
        <is>
          <t>UKPN</t>
        </is>
      </c>
      <c r="R2163" t="b">
        <v>0</v>
      </c>
    </row>
    <row r="2164">
      <c r="A2164" t="inlineStr">
        <is>
          <t>18 Nov 2025 / Joshua Stones / Utilities / SSE</t>
        </is>
      </c>
      <c r="B2164" t="inlineStr">
        <is>
          <t>Utilities</t>
        </is>
      </c>
      <c r="C2164" t="inlineStr">
        <is>
          <t>SSE</t>
        </is>
      </c>
      <c r="D2164" t="inlineStr"/>
      <c r="E2164" t="inlineStr"/>
      <c r="F2164" t="inlineStr"/>
      <c r="G2164" t="inlineStr">
        <is>
          <t>Joshua stones</t>
        </is>
      </c>
      <c r="H2164" t="inlineStr">
        <is>
          <t>Van</t>
        </is>
      </c>
      <c r="I2164" t="inlineStr">
        <is>
          <t>Daily/ Weekly Vehicle Inspection</t>
        </is>
      </c>
      <c r="J2164" t="inlineStr">
        <is>
          <t>N/A</t>
        </is>
      </c>
      <c r="K2164" t="inlineStr">
        <is>
          <t>Joshua Stones</t>
        </is>
      </c>
      <c r="L2164" t="inlineStr">
        <is>
          <t>18/11/2025 09:33</t>
        </is>
      </c>
      <c r="M2164" t="inlineStr">
        <is>
          <t>None</t>
        </is>
      </c>
      <c r="N2164" t="inlineStr">
        <is>
          <t>&lt;p&gt;&lt;/p&gt;</t>
        </is>
      </c>
      <c r="O2164" t="inlineStr"/>
      <c r="P2164" t="inlineStr"/>
      <c r="Q2164" t="inlineStr">
        <is>
          <t>SSE</t>
        </is>
      </c>
      <c r="R2164" t="b">
        <v>0</v>
      </c>
    </row>
    <row r="2165">
      <c r="A2165" t="inlineStr">
        <is>
          <t>18 Nov 2025 / 7996 M G Tree Surgery Ltd / Utilities / UKPN</t>
        </is>
      </c>
      <c r="B2165" t="inlineStr">
        <is>
          <t>Utilities</t>
        </is>
      </c>
      <c r="C2165" t="inlineStr">
        <is>
          <t>UKPN</t>
        </is>
      </c>
      <c r="D2165" t="inlineStr"/>
      <c r="E2165" t="inlineStr"/>
      <c r="F2165" t="inlineStr"/>
      <c r="G2165" t="inlineStr"/>
      <c r="H2165" t="inlineStr"/>
      <c r="I2165" t="inlineStr">
        <is>
          <t>Add to Vehicle to the GC Vehicle List</t>
        </is>
      </c>
      <c r="J2165" t="inlineStr">
        <is>
          <t>N/A</t>
        </is>
      </c>
      <c r="K2165" t="inlineStr">
        <is>
          <t>7996 M G Tree Surgery Ltd</t>
        </is>
      </c>
      <c r="L2165" t="inlineStr">
        <is>
          <t>18/11/2025 09:35</t>
        </is>
      </c>
      <c r="M2165" t="inlineStr">
        <is>
          <t>None</t>
        </is>
      </c>
      <c r="N2165" t="inlineStr">
        <is>
          <t>&lt;p&gt;&lt;/p&gt;</t>
        </is>
      </c>
      <c r="O2165" t="inlineStr"/>
      <c r="P2165" t="inlineStr"/>
      <c r="Q2165" t="inlineStr">
        <is>
          <t>UKPN</t>
        </is>
      </c>
      <c r="R2165" t="b">
        <v>0</v>
      </c>
    </row>
    <row r="2166">
      <c r="A2166" t="inlineStr">
        <is>
          <t>18 Nov 2025 / 7996 M G Tree Surgery Ltd / Utilities / UKPN</t>
        </is>
      </c>
      <c r="B2166" t="inlineStr">
        <is>
          <t>Utilities</t>
        </is>
      </c>
      <c r="C2166" t="inlineStr">
        <is>
          <t>UKPN</t>
        </is>
      </c>
      <c r="D2166" t="inlineStr">
        <is>
          <t>GU13 WNL , MEWP , Land Rover , Defender 130</t>
        </is>
      </c>
      <c r="E2166" t="inlineStr">
        <is>
          <t>GU13 WNL , MEWP , Land Rover , Defender 130</t>
        </is>
      </c>
      <c r="F2166" t="inlineStr">
        <is>
          <t>GU13 WNL , MEWP , Land Rover , Defender 130</t>
        </is>
      </c>
      <c r="G2166" t="inlineStr">
        <is>
          <t>Max</t>
        </is>
      </c>
      <c r="H2166" t="inlineStr">
        <is>
          <t>4x4</t>
        </is>
      </c>
      <c r="I2166" t="inlineStr">
        <is>
          <t>Daily/ Weekly Vehicle Inspection</t>
        </is>
      </c>
      <c r="J2166" t="inlineStr">
        <is>
          <t>N/A</t>
        </is>
      </c>
      <c r="K2166" t="inlineStr">
        <is>
          <t>7996 M G Tree Surgery Ltd</t>
        </is>
      </c>
      <c r="L2166" t="inlineStr">
        <is>
          <t>18/11/2025 09:35</t>
        </is>
      </c>
      <c r="M2166" t="inlineStr">
        <is>
          <t>None</t>
        </is>
      </c>
      <c r="N2166" t="inlineStr">
        <is>
          <t>&lt;p&gt;&lt;/p&gt;</t>
        </is>
      </c>
      <c r="O2166" t="inlineStr"/>
      <c r="P2166" t="inlineStr">
        <is>
          <t>GU13 WNL , MEWP , Land Rover , Defender 130</t>
        </is>
      </c>
      <c r="Q2166" t="inlineStr">
        <is>
          <t>UKPN</t>
        </is>
      </c>
      <c r="R2166" t="b">
        <v>0</v>
      </c>
    </row>
    <row r="2167">
      <c r="A2167" t="inlineStr">
        <is>
          <t>18 Nov 2025 / Ben Arnold / Utilities / UKPN</t>
        </is>
      </c>
      <c r="B2167" t="inlineStr">
        <is>
          <t>Utilities</t>
        </is>
      </c>
      <c r="C2167" t="inlineStr">
        <is>
          <t>UKPN</t>
        </is>
      </c>
      <c r="D2167" t="inlineStr">
        <is>
          <t>YX24TXG , Car - Electric , Kia , Niro</t>
        </is>
      </c>
      <c r="E2167" t="inlineStr">
        <is>
          <t>YX24TXG , Car - Electric , Kia , Niro</t>
        </is>
      </c>
      <c r="F2167" t="inlineStr">
        <is>
          <t>YX24TXG , Car - Electric , Kia , Niro</t>
        </is>
      </c>
      <c r="G2167" t="inlineStr">
        <is>
          <t>B Arnold</t>
        </is>
      </c>
      <c r="H2167" t="inlineStr">
        <is>
          <t>Car - Electric (GC Owned)</t>
        </is>
      </c>
      <c r="I2167" t="inlineStr">
        <is>
          <t>Daily/ Weekly Vehicle Inspection</t>
        </is>
      </c>
      <c r="J2167" t="inlineStr">
        <is>
          <t>N/A</t>
        </is>
      </c>
      <c r="K2167" t="inlineStr">
        <is>
          <t>Ben Arnold</t>
        </is>
      </c>
      <c r="L2167" t="inlineStr">
        <is>
          <t>18/11/2025 11:33</t>
        </is>
      </c>
      <c r="M2167" t="inlineStr">
        <is>
          <t>None</t>
        </is>
      </c>
      <c r="N2167" t="inlineStr">
        <is>
          <t>&lt;p&gt;&lt;/p&gt;</t>
        </is>
      </c>
      <c r="O2167" t="inlineStr"/>
      <c r="P2167" t="inlineStr">
        <is>
          <t>YX24TXG , Car - Electric , Kia , Niro</t>
        </is>
      </c>
      <c r="Q2167" t="inlineStr">
        <is>
          <t>UKPN</t>
        </is>
      </c>
      <c r="R2167" t="b">
        <v>0</v>
      </c>
    </row>
    <row r="2168">
      <c r="A2168" t="inlineStr">
        <is>
          <t>19 Nov 2025 / 7951 Austin Tree Care LTD 1 / Utilities / UKPN</t>
        </is>
      </c>
      <c r="B2168" t="inlineStr">
        <is>
          <t>Utilities</t>
        </is>
      </c>
      <c r="C2168" t="inlineStr">
        <is>
          <t>UKPN</t>
        </is>
      </c>
      <c r="D2168" t="inlineStr">
        <is>
          <t>WF61 HZV , 4x4 MEWP , Land Rover , Defender</t>
        </is>
      </c>
      <c r="E2168" t="inlineStr">
        <is>
          <t>WF61 HZV , 4x4 MEWP , Land Rover , Defender</t>
        </is>
      </c>
      <c r="F2168" t="inlineStr">
        <is>
          <t>WF61 HZV , 4x4 MEWP , Land Rover , Defender</t>
        </is>
      </c>
      <c r="G2168" t="inlineStr">
        <is>
          <t xml:space="preserve">Jack Austin </t>
        </is>
      </c>
      <c r="H2168" t="inlineStr">
        <is>
          <t>4x4</t>
        </is>
      </c>
      <c r="I2168" t="inlineStr">
        <is>
          <t>Daily/ Weekly Vehicle Inspection</t>
        </is>
      </c>
      <c r="J2168" t="inlineStr">
        <is>
          <t>N/A</t>
        </is>
      </c>
      <c r="K2168" t="inlineStr">
        <is>
          <t>7951 Austin Tree Care LTD 1</t>
        </is>
      </c>
      <c r="L2168" t="inlineStr">
        <is>
          <t>19/11/2025 07:33</t>
        </is>
      </c>
      <c r="M2168" t="inlineStr">
        <is>
          <t>None</t>
        </is>
      </c>
      <c r="N2168" t="inlineStr">
        <is>
          <t>&lt;p&gt;&lt;/p&gt;</t>
        </is>
      </c>
      <c r="O2168" t="inlineStr"/>
      <c r="P2168" t="inlineStr">
        <is>
          <t>WF61 HZV , 4x4 MEWP , Land Rover , Defender</t>
        </is>
      </c>
      <c r="Q2168" t="inlineStr">
        <is>
          <t>UKPN</t>
        </is>
      </c>
      <c r="R2168" t="b">
        <v>0</v>
      </c>
    </row>
    <row r="2169">
      <c r="A2169" t="inlineStr">
        <is>
          <t>19 Nov 2025 / 7889 Tree Tech Suffolk Ltd</t>
        </is>
      </c>
      <c r="B2169" t="inlineStr">
        <is>
          <t>Utilities &amp; Inland Waterways</t>
        </is>
      </c>
      <c r="C2169" t="inlineStr">
        <is>
          <t>UKPN</t>
        </is>
      </c>
      <c r="D2169" t="inlineStr">
        <is>
          <t>Tow Chipper - Jenson - A530L - 55210639484x4 - Isuzu - D-max - NS03 TTSTipper - Mercedes - Sprinter - NS06TTS</t>
        </is>
      </c>
      <c r="E2169" t="inlineStr">
        <is>
          <t>Tow Chipper - Jenson - A530L - 55210639484x4 - Isuzu - D-max - NS03 TTSTipper - Mercedes - Sprinter - NS06TTS</t>
        </is>
      </c>
      <c r="F2169" t="inlineStr">
        <is>
          <t>Tow Chipper - Jenson - A530L - 55210639484x4 - Isuzu - D-max - NS03 TTSTipper - Mercedes - Sprinter - NS06TTS</t>
        </is>
      </c>
      <c r="G2169" t="inlineStr">
        <is>
          <t xml:space="preserve">Danny Appleby Danny Appleby Nikki sparrow </t>
        </is>
      </c>
      <c r="H2169" t="inlineStr">
        <is>
          <t>Towed Chipper4x4Tipper</t>
        </is>
      </c>
      <c r="I2169" t="inlineStr">
        <is>
          <t>Daily/ Weekly Vehicle Inspection</t>
        </is>
      </c>
      <c r="J2169" t="inlineStr">
        <is>
          <t>N/A</t>
        </is>
      </c>
      <c r="K2169" t="inlineStr">
        <is>
          <t>7889 Tree Tech Suffolk Ltd</t>
        </is>
      </c>
      <c r="L2169" t="inlineStr">
        <is>
          <t>19/11/2025 07:34</t>
        </is>
      </c>
      <c r="M2169" t="inlineStr">
        <is>
          <t>None</t>
        </is>
      </c>
      <c r="N2169" t="inlineStr">
        <is>
          <t>&lt;p&gt;&lt;/p&gt;</t>
        </is>
      </c>
      <c r="O2169" t="inlineStr">
        <is>
          <t>Select Vehicle:Ns08 TTS</t>
        </is>
      </c>
      <c r="P2169" t="inlineStr">
        <is>
          <t>Tow Chipper - Jenson - A530L - 55210639484x4 - Isuzu - D-max - NS03 TTSTipper - Mercedes - Sprinter - NS06TTS</t>
        </is>
      </c>
      <c r="Q2169" t="inlineStr">
        <is>
          <t>UKPN</t>
        </is>
      </c>
      <c r="R2169" t="b">
        <v>0</v>
      </c>
    </row>
    <row r="2170">
      <c r="A2170" t="inlineStr">
        <is>
          <t>19 Nov 2025 / 3098 D &amp; R Landscapes / Utilities / UKPN</t>
        </is>
      </c>
      <c r="B2170" t="inlineStr">
        <is>
          <t>Utilities</t>
        </is>
      </c>
      <c r="C2170" t="inlineStr">
        <is>
          <t>UKPN</t>
        </is>
      </c>
      <c r="D2170" t="inlineStr">
        <is>
          <t>FX17YVM , Vehicle , Nissan , Navara</t>
        </is>
      </c>
      <c r="E2170" t="inlineStr">
        <is>
          <t>FX17YVM , Vehicle , Nissan , Navara</t>
        </is>
      </c>
      <c r="F2170" t="inlineStr">
        <is>
          <t>FX17YVM , Vehicle , Nissan , Navara</t>
        </is>
      </c>
      <c r="G2170" t="inlineStr">
        <is>
          <t>Josh</t>
        </is>
      </c>
      <c r="H2170" t="inlineStr">
        <is>
          <t>Pickup Truck</t>
        </is>
      </c>
      <c r="I2170" t="inlineStr">
        <is>
          <t>Daily/ Weekly Vehicle Inspection</t>
        </is>
      </c>
      <c r="J2170" t="inlineStr">
        <is>
          <t>N/A</t>
        </is>
      </c>
      <c r="K2170" t="inlineStr">
        <is>
          <t>3098 D &amp; R Landscapes</t>
        </is>
      </c>
      <c r="L2170" t="inlineStr">
        <is>
          <t>19/11/2025 07:37</t>
        </is>
      </c>
      <c r="M2170" t="inlineStr">
        <is>
          <t>None</t>
        </is>
      </c>
      <c r="N2170" t="inlineStr">
        <is>
          <t>&lt;p&gt;&lt;/p&gt;</t>
        </is>
      </c>
      <c r="O2170" t="inlineStr"/>
      <c r="P2170" t="inlineStr">
        <is>
          <t>FX17YVM , Vehicle , Nissan , Navara</t>
        </is>
      </c>
      <c r="Q2170" t="inlineStr">
        <is>
          <t>UKPN</t>
        </is>
      </c>
      <c r="R2170" t="b">
        <v>0</v>
      </c>
    </row>
    <row r="2171">
      <c r="A2171" t="inlineStr">
        <is>
          <t>19 Nov 2025 / 3098 D &amp; R Landscapes / Utilities / UKPN</t>
        </is>
      </c>
      <c r="B2171" t="inlineStr">
        <is>
          <t>Utilities</t>
        </is>
      </c>
      <c r="C2171" t="inlineStr">
        <is>
          <t>UKPN</t>
        </is>
      </c>
      <c r="D2171" t="inlineStr">
        <is>
          <t>BT20 GNZ , Vehicle , Nissan , Navara</t>
        </is>
      </c>
      <c r="E2171" t="inlineStr">
        <is>
          <t>BT20 GNZ , Vehicle , Nissan , Navara</t>
        </is>
      </c>
      <c r="F2171" t="inlineStr">
        <is>
          <t>BT20 GNZ , Vehicle , Nissan , Navara</t>
        </is>
      </c>
      <c r="G2171" t="inlineStr">
        <is>
          <t>Jason</t>
        </is>
      </c>
      <c r="H2171" t="inlineStr">
        <is>
          <t>Pickup Truck</t>
        </is>
      </c>
      <c r="I2171" t="inlineStr">
        <is>
          <t>Daily/ Weekly Vehicle Inspection</t>
        </is>
      </c>
      <c r="J2171" t="inlineStr">
        <is>
          <t>N/A</t>
        </is>
      </c>
      <c r="K2171" t="inlineStr">
        <is>
          <t>3098 D &amp; R Landscapes</t>
        </is>
      </c>
      <c r="L2171" t="inlineStr">
        <is>
          <t>19/11/2025 07:37</t>
        </is>
      </c>
      <c r="M2171" t="inlineStr">
        <is>
          <t>None</t>
        </is>
      </c>
      <c r="N2171" t="inlineStr">
        <is>
          <t>&lt;p&gt;&lt;/p&gt;</t>
        </is>
      </c>
      <c r="O2171" t="inlineStr"/>
      <c r="P2171" t="inlineStr">
        <is>
          <t>BT20 GNZ , Vehicle , Nissan , Navara</t>
        </is>
      </c>
      <c r="Q2171" t="inlineStr">
        <is>
          <t>UKPN</t>
        </is>
      </c>
      <c r="R2171" t="b">
        <v>0</v>
      </c>
    </row>
    <row r="2172">
      <c r="A2172" t="inlineStr">
        <is>
          <t>19 Nov 2025 / Anthony Gale / Utilities / UKPN</t>
        </is>
      </c>
      <c r="B2172" t="inlineStr">
        <is>
          <t>Utilities</t>
        </is>
      </c>
      <c r="C2172" t="inlineStr">
        <is>
          <t>UKPN</t>
        </is>
      </c>
      <c r="D2172" t="inlineStr"/>
      <c r="E2172" t="inlineStr"/>
      <c r="F2172" t="inlineStr"/>
      <c r="G2172" t="inlineStr">
        <is>
          <t xml:space="preserve">Anthony Gale </t>
        </is>
      </c>
      <c r="H2172" t="inlineStr">
        <is>
          <t>Towed Chipper</t>
        </is>
      </c>
      <c r="I2172" t="inlineStr">
        <is>
          <t>Daily/ Weekly Vehicle Inspection</t>
        </is>
      </c>
      <c r="J2172" t="inlineStr">
        <is>
          <t>N/A</t>
        </is>
      </c>
      <c r="K2172" t="inlineStr">
        <is>
          <t>7996 M G Tree Surgery Ltd 1</t>
        </is>
      </c>
      <c r="L2172" t="inlineStr">
        <is>
          <t>19/11/2025 07:38</t>
        </is>
      </c>
      <c r="M2172" t="inlineStr">
        <is>
          <t>None</t>
        </is>
      </c>
      <c r="N2172" t="inlineStr">
        <is>
          <t>&lt;p&gt;&lt;/p&gt;</t>
        </is>
      </c>
      <c r="O2172" t="inlineStr">
        <is>
          <t>Confirm that you have checked this vehicle as per the guidance document and the vehicle is safe and roadworthy:Jockey wheel release bolt has snapped.
I’d locked in tight wouldn’t fall out anyway.
But have supported it with a bungee, just in case.
The clamp will need replacing soon.
-</t>
        </is>
      </c>
      <c r="P2172" t="inlineStr"/>
      <c r="Q2172" t="inlineStr">
        <is>
          <t>UKPN</t>
        </is>
      </c>
      <c r="R2172" t="b">
        <v>0</v>
      </c>
    </row>
    <row r="2173">
      <c r="A2173" t="inlineStr">
        <is>
          <t>19 Nov 2025 / Anthony Gale / Utilities / UKPN</t>
        </is>
      </c>
      <c r="B2173" t="inlineStr">
        <is>
          <t>Utilities</t>
        </is>
      </c>
      <c r="C2173" t="inlineStr">
        <is>
          <t>UKPN</t>
        </is>
      </c>
      <c r="D2173" t="inlineStr"/>
      <c r="E2173" t="inlineStr"/>
      <c r="F2173" t="inlineStr"/>
      <c r="G2173" t="inlineStr">
        <is>
          <t>Anthony Gale</t>
        </is>
      </c>
      <c r="H2173" t="inlineStr">
        <is>
          <t>Pickup Truck</t>
        </is>
      </c>
      <c r="I2173" t="inlineStr">
        <is>
          <t>Daily/ Weekly Vehicle Inspection</t>
        </is>
      </c>
      <c r="J2173" t="inlineStr">
        <is>
          <t>N/A</t>
        </is>
      </c>
      <c r="K2173" t="inlineStr">
        <is>
          <t>7996 M G Tree Surgery Ltd 1</t>
        </is>
      </c>
      <c r="L2173" t="inlineStr">
        <is>
          <t>19/11/2025 07:39</t>
        </is>
      </c>
      <c r="M2173" t="inlineStr">
        <is>
          <t>None</t>
        </is>
      </c>
      <c r="N2173" t="inlineStr">
        <is>
          <t>&lt;p&gt;&lt;/p&gt;</t>
        </is>
      </c>
      <c r="O2173" t="inlineStr"/>
      <c r="P2173" t="inlineStr"/>
      <c r="Q2173" t="inlineStr">
        <is>
          <t>UKPN</t>
        </is>
      </c>
      <c r="R2173" t="b">
        <v>0</v>
      </c>
    </row>
    <row r="2174">
      <c r="A2174" t="inlineStr">
        <is>
          <t>19 Nov 2025 / 7996 M G Tree Surgery Ltd / Utilities / UKPN</t>
        </is>
      </c>
      <c r="B2174" t="inlineStr">
        <is>
          <t>Utilities</t>
        </is>
      </c>
      <c r="C2174" t="inlineStr">
        <is>
          <t>UKPN</t>
        </is>
      </c>
      <c r="D2174" t="inlineStr">
        <is>
          <t>GU13 WNL , MEWP , Land Rover , Defender 130</t>
        </is>
      </c>
      <c r="E2174" t="inlineStr">
        <is>
          <t>GU13 WNL , MEWP , Land Rover , Defender 130</t>
        </is>
      </c>
      <c r="F2174" t="inlineStr">
        <is>
          <t>GU13 WNL , MEWP , Land Rover , Defender 130</t>
        </is>
      </c>
      <c r="G2174" t="inlineStr">
        <is>
          <t>Max</t>
        </is>
      </c>
      <c r="H2174" t="inlineStr">
        <is>
          <t>4x4</t>
        </is>
      </c>
      <c r="I2174" t="inlineStr">
        <is>
          <t>Daily/ Weekly Vehicle Inspection</t>
        </is>
      </c>
      <c r="J2174" t="inlineStr">
        <is>
          <t>N/A</t>
        </is>
      </c>
      <c r="K2174" t="inlineStr">
        <is>
          <t>7996 M G Tree Surgery Ltd</t>
        </is>
      </c>
      <c r="L2174" t="inlineStr">
        <is>
          <t>19/11/2025 08:33</t>
        </is>
      </c>
      <c r="M2174" t="inlineStr">
        <is>
          <t>None</t>
        </is>
      </c>
      <c r="N2174" t="inlineStr">
        <is>
          <t>&lt;p&gt;&lt;/p&gt;</t>
        </is>
      </c>
      <c r="O2174" t="inlineStr"/>
      <c r="P2174" t="inlineStr">
        <is>
          <t>GU13 WNL , MEWP , Land Rover , Defender 130</t>
        </is>
      </c>
      <c r="Q2174" t="inlineStr">
        <is>
          <t>UKPN</t>
        </is>
      </c>
      <c r="R2174" t="b">
        <v>0</v>
      </c>
    </row>
    <row r="2175">
      <c r="A2175" t="inlineStr">
        <is>
          <t>19 Nov 2025 / 7951 Austin Tree Care LTD / Utilities / UKPN</t>
        </is>
      </c>
      <c r="B2175" t="inlineStr">
        <is>
          <t>Utilities</t>
        </is>
      </c>
      <c r="C2175" t="inlineStr">
        <is>
          <t>UKPN</t>
        </is>
      </c>
      <c r="D2175" t="inlineStr">
        <is>
          <t>Kn58xuy , Tipper , VW  , Crafter</t>
        </is>
      </c>
      <c r="E2175" t="inlineStr">
        <is>
          <t>Kn58xuy , Tipper , VW  , Crafter</t>
        </is>
      </c>
      <c r="F2175" t="inlineStr">
        <is>
          <t>Kn58xuy , Tipper , VW  , Crafter</t>
        </is>
      </c>
      <c r="G2175" t="inlineStr">
        <is>
          <t xml:space="preserve">Jack Austin </t>
        </is>
      </c>
      <c r="H2175" t="inlineStr">
        <is>
          <t>Tipper</t>
        </is>
      </c>
      <c r="I2175" t="inlineStr">
        <is>
          <t>Daily/ Weekly Vehicle Inspection</t>
        </is>
      </c>
      <c r="J2175" t="inlineStr">
        <is>
          <t>N/A</t>
        </is>
      </c>
      <c r="K2175" t="inlineStr">
        <is>
          <t>7951 Austin Tree Care LTD</t>
        </is>
      </c>
      <c r="L2175" t="inlineStr">
        <is>
          <t>19/11/2025 08:34</t>
        </is>
      </c>
      <c r="M2175" t="inlineStr">
        <is>
          <t>None</t>
        </is>
      </c>
      <c r="N2175" t="inlineStr">
        <is>
          <t>&lt;p&gt;&lt;/p&gt;</t>
        </is>
      </c>
      <c r="O2175" t="inlineStr"/>
      <c r="P2175" t="inlineStr">
        <is>
          <t>Kn58xuy , Tipper , VW  , Crafter</t>
        </is>
      </c>
      <c r="Q2175" t="inlineStr">
        <is>
          <t>UKPN</t>
        </is>
      </c>
      <c r="R2175" t="b">
        <v>0</v>
      </c>
    </row>
    <row r="2176">
      <c r="A2176" t="inlineStr">
        <is>
          <t>19 Nov 2025 / 7186 Eastwoodbury Tree Services Ltd / Utilities / UKPN</t>
        </is>
      </c>
      <c r="B2176" t="inlineStr">
        <is>
          <t>Utilities</t>
        </is>
      </c>
      <c r="C2176" t="inlineStr">
        <is>
          <t>UKPN</t>
        </is>
      </c>
      <c r="D2176" t="inlineStr">
        <is>
          <t>WF13 EKM , 4x4 , Land rover  , Defenders</t>
        </is>
      </c>
      <c r="E2176" t="inlineStr">
        <is>
          <t>WF13 EKM , 4x4 , Land rover  , Defenders</t>
        </is>
      </c>
      <c r="F2176" t="inlineStr">
        <is>
          <t>WF13 EKM , 4x4 , Land rover  , Defenders</t>
        </is>
      </c>
      <c r="G2176" t="inlineStr">
        <is>
          <t xml:space="preserve">Dan Gilbert </t>
        </is>
      </c>
      <c r="H2176" t="inlineStr">
        <is>
          <t>4x4</t>
        </is>
      </c>
      <c r="I2176" t="inlineStr">
        <is>
          <t>Daily/ Weekly Vehicle Inspection</t>
        </is>
      </c>
      <c r="J2176" t="inlineStr">
        <is>
          <t>N/A</t>
        </is>
      </c>
      <c r="K2176" t="inlineStr">
        <is>
          <t>7186 Eastwoodbury Tree Services Ltd</t>
        </is>
      </c>
      <c r="L2176" t="inlineStr">
        <is>
          <t>19/11/2025 08:35</t>
        </is>
      </c>
      <c r="M2176" t="inlineStr">
        <is>
          <t>None</t>
        </is>
      </c>
      <c r="N2176" t="inlineStr">
        <is>
          <t>&lt;p&gt;&lt;/p&gt;</t>
        </is>
      </c>
      <c r="O2176" t="inlineStr"/>
      <c r="P2176" t="inlineStr">
        <is>
          <t>WF13 EKM , 4x4 , Land rover  , Defenders</t>
        </is>
      </c>
      <c r="Q2176" t="inlineStr">
        <is>
          <t>UKPN</t>
        </is>
      </c>
      <c r="R2176" t="b">
        <v>0</v>
      </c>
    </row>
    <row r="2177">
      <c r="A2177" t="inlineStr">
        <is>
          <t>19 Nov 2025 / 7186 Eastwoodbury Tree Services Ltd / Utilities / UKPN</t>
        </is>
      </c>
      <c r="B2177" t="inlineStr">
        <is>
          <t>Utilities</t>
        </is>
      </c>
      <c r="C2177" t="inlineStr">
        <is>
          <t>UKPN</t>
        </is>
      </c>
      <c r="D2177" t="inlineStr">
        <is>
          <t>WF13 EKT , 4x4 , Land rover  , Defender</t>
        </is>
      </c>
      <c r="E2177" t="inlineStr">
        <is>
          <t>WF13 EKT , 4x4 , Land rover  , Defender</t>
        </is>
      </c>
      <c r="F2177" t="inlineStr">
        <is>
          <t>WF13 EKT , 4x4 , Land rover  , Defender</t>
        </is>
      </c>
      <c r="G2177" t="inlineStr">
        <is>
          <t xml:space="preserve">Jay Denkmayer </t>
        </is>
      </c>
      <c r="H2177" t="inlineStr">
        <is>
          <t>4x4</t>
        </is>
      </c>
      <c r="I2177" t="inlineStr">
        <is>
          <t>Daily/ Weekly Vehicle Inspection</t>
        </is>
      </c>
      <c r="J2177" t="inlineStr">
        <is>
          <t>N/A</t>
        </is>
      </c>
      <c r="K2177" t="inlineStr">
        <is>
          <t>7186 Eastwoodbury Tree Services Ltd</t>
        </is>
      </c>
      <c r="L2177" t="inlineStr">
        <is>
          <t>19/11/2025 08:35</t>
        </is>
      </c>
      <c r="M2177" t="inlineStr">
        <is>
          <t>None</t>
        </is>
      </c>
      <c r="N2177" t="inlineStr">
        <is>
          <t>&lt;p&gt;&lt;/p&gt;</t>
        </is>
      </c>
      <c r="O2177" t="inlineStr"/>
      <c r="P2177" t="inlineStr">
        <is>
          <t>WF13 EKT , 4x4 , Land rover  , Defender</t>
        </is>
      </c>
      <c r="Q2177" t="inlineStr">
        <is>
          <t>UKPN</t>
        </is>
      </c>
      <c r="R2177" t="b">
        <v>0</v>
      </c>
    </row>
    <row r="2178">
      <c r="A2178" t="inlineStr">
        <is>
          <t>19 Nov 2025 / 7806 Optimum Tree Services Ltd / Utilities / UKPN</t>
        </is>
      </c>
      <c r="B2178" t="inlineStr">
        <is>
          <t>Utilities</t>
        </is>
      </c>
      <c r="C2178" t="inlineStr">
        <is>
          <t>UKPN</t>
        </is>
      </c>
      <c r="D2178" t="inlineStr">
        <is>
          <t>SA9ST800000283069 , Chipper , Forst , ST 6P</t>
        </is>
      </c>
      <c r="E2178" t="inlineStr">
        <is>
          <t>SA9ST800000283069 , Chipper , Forst , ST 6P</t>
        </is>
      </c>
      <c r="F2178" t="inlineStr">
        <is>
          <t>SA9ST800000283069 , Chipper , Forst , ST 6P</t>
        </is>
      </c>
      <c r="G2178" t="inlineStr">
        <is>
          <t xml:space="preserve">Abraham Davies </t>
        </is>
      </c>
      <c r="H2178" t="inlineStr">
        <is>
          <t>Towed Chipper</t>
        </is>
      </c>
      <c r="I2178" t="inlineStr">
        <is>
          <t>Daily/ Weekly Vehicle Inspection</t>
        </is>
      </c>
      <c r="J2178" t="inlineStr">
        <is>
          <t>N/A</t>
        </is>
      </c>
      <c r="K2178" t="inlineStr">
        <is>
          <t>7806 Optimum Tree Services Ltd</t>
        </is>
      </c>
      <c r="L2178" t="inlineStr">
        <is>
          <t>19/11/2025 08:36</t>
        </is>
      </c>
      <c r="M2178" t="inlineStr">
        <is>
          <t>None</t>
        </is>
      </c>
      <c r="N2178" t="inlineStr">
        <is>
          <t>&lt;p&gt;&lt;/p&gt;</t>
        </is>
      </c>
      <c r="O2178" t="inlineStr"/>
      <c r="P2178" t="inlineStr">
        <is>
          <t>SA9ST800000283069 , Chipper , Forst , ST 6P</t>
        </is>
      </c>
      <c r="Q2178" t="inlineStr">
        <is>
          <t>UKPN</t>
        </is>
      </c>
      <c r="R2178" t="b">
        <v>0</v>
      </c>
    </row>
    <row r="2179">
      <c r="A2179" t="inlineStr">
        <is>
          <t>19 Nov 2025 / 7806 Optimum Tree Services Ltd / Utilities / UKPN</t>
        </is>
      </c>
      <c r="B2179" t="inlineStr">
        <is>
          <t>Utilities</t>
        </is>
      </c>
      <c r="C2179" t="inlineStr">
        <is>
          <t>UKPN</t>
        </is>
      </c>
      <c r="D2179" t="inlineStr">
        <is>
          <t>WD14EVB , MEWP , Land Rover , Defender</t>
        </is>
      </c>
      <c r="E2179" t="inlineStr">
        <is>
          <t>WD14EVB , MEWP , Land Rover , Defender</t>
        </is>
      </c>
      <c r="F2179" t="inlineStr">
        <is>
          <t>WD14EVB , MEWP , Land Rover , Defender</t>
        </is>
      </c>
      <c r="G2179" t="inlineStr">
        <is>
          <t xml:space="preserve">Abraham Davies </t>
        </is>
      </c>
      <c r="H2179" t="inlineStr">
        <is>
          <t>4x4</t>
        </is>
      </c>
      <c r="I2179" t="inlineStr">
        <is>
          <t>Daily/ Weekly Vehicle Inspection</t>
        </is>
      </c>
      <c r="J2179" t="inlineStr">
        <is>
          <t>N/A</t>
        </is>
      </c>
      <c r="K2179" t="inlineStr">
        <is>
          <t>7806 Optimum Tree Services Ltd</t>
        </is>
      </c>
      <c r="L2179" t="inlineStr">
        <is>
          <t>19/11/2025 08:37</t>
        </is>
      </c>
      <c r="M2179" t="inlineStr">
        <is>
          <t>None</t>
        </is>
      </c>
      <c r="N2179" t="inlineStr">
        <is>
          <t>&lt;p&gt;&lt;/p&gt;</t>
        </is>
      </c>
      <c r="O2179" t="inlineStr"/>
      <c r="P2179" t="inlineStr">
        <is>
          <t>WD14EVB , MEWP , Land Rover , Defender</t>
        </is>
      </c>
      <c r="Q2179" t="inlineStr">
        <is>
          <t>UKPN</t>
        </is>
      </c>
      <c r="R2179" t="b">
        <v>0</v>
      </c>
    </row>
    <row r="2180">
      <c r="A2180" t="inlineStr">
        <is>
          <t>18 Nov 2025 / Harry Bellis / Utilities / SSE</t>
        </is>
      </c>
      <c r="B2180" t="inlineStr">
        <is>
          <t>Utilities</t>
        </is>
      </c>
      <c r="C2180" t="inlineStr">
        <is>
          <t>SSE</t>
        </is>
      </c>
      <c r="D2180" t="inlineStr"/>
      <c r="E2180" t="inlineStr"/>
      <c r="F2180" t="inlineStr"/>
      <c r="G2180" t="inlineStr">
        <is>
          <t>Harry Bellis</t>
        </is>
      </c>
      <c r="H2180" t="inlineStr">
        <is>
          <t>Van</t>
        </is>
      </c>
      <c r="I2180" t="inlineStr">
        <is>
          <t>Daily/ Weekly Vehicle Inspection</t>
        </is>
      </c>
      <c r="J2180" t="inlineStr">
        <is>
          <t>N/A</t>
        </is>
      </c>
      <c r="K2180" t="inlineStr">
        <is>
          <t>Harry Bellis</t>
        </is>
      </c>
      <c r="L2180" t="inlineStr">
        <is>
          <t>19/11/2025 09:34</t>
        </is>
      </c>
      <c r="M2180" t="inlineStr">
        <is>
          <t>None</t>
        </is>
      </c>
      <c r="N2180" t="inlineStr">
        <is>
          <t>&lt;p&gt;&lt;/p&gt;</t>
        </is>
      </c>
      <c r="O2180" t="inlineStr"/>
      <c r="P2180" t="inlineStr"/>
      <c r="Q2180" t="inlineStr">
        <is>
          <t>SSE</t>
        </is>
      </c>
      <c r="R2180" t="b">
        <v>0</v>
      </c>
    </row>
    <row r="2181">
      <c r="A2181" t="inlineStr">
        <is>
          <t>19 Nov 2025 / Thomas Playford / Utilities / UKPN</t>
        </is>
      </c>
      <c r="B2181" t="inlineStr">
        <is>
          <t>Utilities</t>
        </is>
      </c>
      <c r="C2181" t="inlineStr">
        <is>
          <t>UKPN</t>
        </is>
      </c>
      <c r="D2181" t="inlineStr">
        <is>
          <t>SA9ST800000283944 , Tow Chipper , Forst , ST8D - Towed</t>
        </is>
      </c>
      <c r="E2181" t="inlineStr">
        <is>
          <t>SA9ST800000283944 , Tow Chipper , Forst , ST8D - Towed</t>
        </is>
      </c>
      <c r="F2181" t="inlineStr">
        <is>
          <t>SA9ST800000283944 , Tow Chipper , Forst , ST8D - Towed</t>
        </is>
      </c>
      <c r="G2181" t="inlineStr">
        <is>
          <t xml:space="preserve">Thomas Playford </t>
        </is>
      </c>
      <c r="H2181" t="inlineStr">
        <is>
          <t>Towed Chipper</t>
        </is>
      </c>
      <c r="I2181" t="inlineStr">
        <is>
          <t>Daily/ Weekly Vehicle Inspection</t>
        </is>
      </c>
      <c r="J2181" t="inlineStr">
        <is>
          <t>N/A</t>
        </is>
      </c>
      <c r="K2181" t="inlineStr">
        <is>
          <t>7995 Green Net Eco Ltd 2</t>
        </is>
      </c>
      <c r="L2181" t="inlineStr">
        <is>
          <t>19/11/2025 09:35</t>
        </is>
      </c>
      <c r="M2181" t="inlineStr">
        <is>
          <t>None</t>
        </is>
      </c>
      <c r="N2181" t="inlineStr">
        <is>
          <t>&lt;p&gt;&lt;/p&gt;</t>
        </is>
      </c>
      <c r="O2181" t="inlineStr"/>
      <c r="P2181" t="inlineStr">
        <is>
          <t>SA9ST800000283944 , Tow Chipper , Forst , ST8D - Towed</t>
        </is>
      </c>
      <c r="Q2181" t="inlineStr">
        <is>
          <t>UKPN</t>
        </is>
      </c>
      <c r="R2181" t="b">
        <v>0</v>
      </c>
    </row>
    <row r="2182">
      <c r="A2182" t="inlineStr">
        <is>
          <t>19 Nov 2025 / Thomas Playford / Utilities / UKPN</t>
        </is>
      </c>
      <c r="B2182" t="inlineStr">
        <is>
          <t>Utilities</t>
        </is>
      </c>
      <c r="C2182" t="inlineStr">
        <is>
          <t>UKPN</t>
        </is>
      </c>
      <c r="D2182" t="inlineStr">
        <is>
          <t>X21TNP , 4x4 , Toyota , Hilux</t>
        </is>
      </c>
      <c r="E2182" t="inlineStr">
        <is>
          <t>X21TNP , 4x4 , Toyota , Hilux</t>
        </is>
      </c>
      <c r="F2182" t="inlineStr">
        <is>
          <t>X21TNP , 4x4 , Toyota , Hilux</t>
        </is>
      </c>
      <c r="G2182" t="inlineStr">
        <is>
          <t>Thomas Playford</t>
        </is>
      </c>
      <c r="H2182" t="inlineStr">
        <is>
          <t>4x4</t>
        </is>
      </c>
      <c r="I2182" t="inlineStr">
        <is>
          <t>Daily/ Weekly Vehicle Inspection</t>
        </is>
      </c>
      <c r="J2182" t="inlineStr">
        <is>
          <t>N/A</t>
        </is>
      </c>
      <c r="K2182" t="inlineStr">
        <is>
          <t>7995 Green Net Eco Ltd 2</t>
        </is>
      </c>
      <c r="L2182" t="inlineStr">
        <is>
          <t>19/11/2025 09:35</t>
        </is>
      </c>
      <c r="M2182" t="inlineStr">
        <is>
          <t>None</t>
        </is>
      </c>
      <c r="N2182" t="inlineStr">
        <is>
          <t>&lt;p&gt;&lt;/p&gt;</t>
        </is>
      </c>
      <c r="O2182" t="inlineStr"/>
      <c r="P2182" t="inlineStr">
        <is>
          <t>X21TNP , 4x4 , Toyota , Hilux</t>
        </is>
      </c>
      <c r="Q2182" t="inlineStr">
        <is>
          <t>UKPN</t>
        </is>
      </c>
      <c r="R2182" t="b">
        <v>0</v>
      </c>
    </row>
    <row r="2183">
      <c r="A2183" t="inlineStr">
        <is>
          <t>19 Nov 2025 / 7800 MAC Tree Surgery and Fencing Ltd / Utilities / UKPN</t>
        </is>
      </c>
      <c r="B2183" t="inlineStr">
        <is>
          <t>Utilities</t>
        </is>
      </c>
      <c r="C2183" t="inlineStr">
        <is>
          <t>UKPN</t>
        </is>
      </c>
      <c r="D2183" t="inlineStr">
        <is>
          <t>Plant Trailer - Towmate - 2.8t - 0</t>
        </is>
      </c>
      <c r="E2183" t="inlineStr">
        <is>
          <t>Plant Trailer - Towmate - 2.8t - 0</t>
        </is>
      </c>
      <c r="F2183" t="inlineStr">
        <is>
          <t>Plant Trailer - Towmate - 2.8t - 0</t>
        </is>
      </c>
      <c r="G2183" t="inlineStr">
        <is>
          <t xml:space="preserve">Patrick O'Shea </t>
        </is>
      </c>
      <c r="H2183" t="inlineStr">
        <is>
          <t>Plant Trailer</t>
        </is>
      </c>
      <c r="I2183" t="inlineStr">
        <is>
          <t>Daily/ Weekly Vehicle Inspection</t>
        </is>
      </c>
      <c r="J2183" t="inlineStr">
        <is>
          <t>N/A</t>
        </is>
      </c>
      <c r="K2183" t="inlineStr">
        <is>
          <t>7800 MAC Tree Surgery and Fencing Ltd</t>
        </is>
      </c>
      <c r="L2183" t="inlineStr">
        <is>
          <t>19/11/2025 10:33</t>
        </is>
      </c>
      <c r="M2183" t="inlineStr">
        <is>
          <t>None</t>
        </is>
      </c>
      <c r="N2183" t="inlineStr">
        <is>
          <t>&lt;p&gt;&lt;/p&gt;</t>
        </is>
      </c>
      <c r="O2183" t="inlineStr"/>
      <c r="P2183" t="inlineStr">
        <is>
          <t>Plant Trailer - Towmate - 2.8t - 0</t>
        </is>
      </c>
      <c r="Q2183" t="inlineStr">
        <is>
          <t>UKPN</t>
        </is>
      </c>
      <c r="R2183" t="b">
        <v>0</v>
      </c>
    </row>
    <row r="2184">
      <c r="A2184" t="inlineStr">
        <is>
          <t>19 Nov 2025 / 7800 MAC Tree Surgery and Fencing Ltd / Utilities / UKPN</t>
        </is>
      </c>
      <c r="B2184" t="inlineStr">
        <is>
          <t>Utilities</t>
        </is>
      </c>
      <c r="C2184" t="inlineStr">
        <is>
          <t>UKPN</t>
        </is>
      </c>
      <c r="D2184" t="inlineStr">
        <is>
          <t>AY68DAA , 4x4 , Izuzu , Dmax</t>
        </is>
      </c>
      <c r="E2184" t="inlineStr">
        <is>
          <t>AY68DAA , 4x4 , Izuzu , Dmax</t>
        </is>
      </c>
      <c r="F2184" t="inlineStr">
        <is>
          <t>AY68DAA , 4x4 , Izuzu , Dmax</t>
        </is>
      </c>
      <c r="G2184" t="inlineStr">
        <is>
          <t xml:space="preserve">Patrick O'Shea </t>
        </is>
      </c>
      <c r="H2184" t="inlineStr">
        <is>
          <t>4x4</t>
        </is>
      </c>
      <c r="I2184" t="inlineStr">
        <is>
          <t>Daily/ Weekly Vehicle Inspection</t>
        </is>
      </c>
      <c r="J2184" t="inlineStr">
        <is>
          <t>N/A</t>
        </is>
      </c>
      <c r="K2184" t="inlineStr">
        <is>
          <t>7800 MAC Tree Surgery and Fencing Ltd</t>
        </is>
      </c>
      <c r="L2184" t="inlineStr">
        <is>
          <t>19/11/2025 10:34</t>
        </is>
      </c>
      <c r="M2184" t="inlineStr">
        <is>
          <t>None</t>
        </is>
      </c>
      <c r="N2184" t="inlineStr">
        <is>
          <t>&lt;p&gt;&lt;/p&gt;</t>
        </is>
      </c>
      <c r="O2184" t="inlineStr"/>
      <c r="P2184" t="inlineStr">
        <is>
          <t>AY68DAA , 4x4 , Izuzu , Dmax</t>
        </is>
      </c>
      <c r="Q2184" t="inlineStr">
        <is>
          <t>UKPN</t>
        </is>
      </c>
      <c r="R2184" t="b">
        <v>0</v>
      </c>
    </row>
    <row r="2185">
      <c r="A2185" t="inlineStr">
        <is>
          <t>19 Nov 2025 / 6490 MJR Tree Works / Utilities / SSE</t>
        </is>
      </c>
      <c r="B2185" t="inlineStr">
        <is>
          <t>Utilities</t>
        </is>
      </c>
      <c r="C2185" t="inlineStr">
        <is>
          <t>SSE</t>
        </is>
      </c>
      <c r="D2185" t="inlineStr">
        <is>
          <t>VX25WHD , Pickup Truck , Isuzu , D MaxDX65XXS , Pickup Truck , Nissan  , Navara</t>
        </is>
      </c>
      <c r="E2185" t="inlineStr">
        <is>
          <t>VX25WHD , Pickup Truck , Isuzu , D MaxDX65XXS , Pickup Truck , Nissan  , Navara</t>
        </is>
      </c>
      <c r="F2185" t="inlineStr">
        <is>
          <t>VX25WHD , Pickup Truck , Isuzu , D MaxDX65XXS , Pickup Truck , Nissan  , Navara</t>
        </is>
      </c>
      <c r="G2185" t="inlineStr">
        <is>
          <t>MikeJoe</t>
        </is>
      </c>
      <c r="H2185" t="inlineStr">
        <is>
          <t>Pickup TruckPickup Truck</t>
        </is>
      </c>
      <c r="I2185" t="inlineStr">
        <is>
          <t>Monthly Vehicle Inspection</t>
        </is>
      </c>
      <c r="J2185" t="inlineStr">
        <is>
          <t>17000101000</t>
        </is>
      </c>
      <c r="K2185" t="inlineStr">
        <is>
          <t>6490 MJR Tree Works</t>
        </is>
      </c>
      <c r="L2185" t="inlineStr">
        <is>
          <t>19/11/2025 17:34</t>
        </is>
      </c>
      <c r="M2185" t="inlineStr">
        <is>
          <t>None</t>
        </is>
      </c>
      <c r="N2185" t="inlineStr">
        <is>
          <t>&lt;p&gt;&lt;/p&gt;</t>
        </is>
      </c>
      <c r="O2185" t="inlineStr"/>
      <c r="P2185" t="inlineStr">
        <is>
          <t>VX25WHD , Pickup Truck , Isuzu , D MaxDX65XXS , Pickup Truck , Nissan  , Navara</t>
        </is>
      </c>
      <c r="Q2185" t="inlineStr">
        <is>
          <t>SSE</t>
        </is>
      </c>
      <c r="R2185" t="b">
        <v>0</v>
      </c>
    </row>
    <row r="2186">
      <c r="A2186" t="inlineStr">
        <is>
          <t>20 Nov 2025 / 7186 Eastwoodbury Tree Services Ltd / Utilities / UKPN</t>
        </is>
      </c>
      <c r="B2186" t="inlineStr">
        <is>
          <t>Utilities</t>
        </is>
      </c>
      <c r="C2186" t="inlineStr">
        <is>
          <t>UKPN</t>
        </is>
      </c>
      <c r="D2186" t="inlineStr">
        <is>
          <t>DE53NKS , 4x4 , Ford , Ranger</t>
        </is>
      </c>
      <c r="E2186" t="inlineStr">
        <is>
          <t>DE53NKS , 4x4 , Ford , Ranger</t>
        </is>
      </c>
      <c r="F2186" t="inlineStr">
        <is>
          <t>DE53NKS , 4x4 , Ford , Ranger</t>
        </is>
      </c>
      <c r="G2186" t="inlineStr">
        <is>
          <t xml:space="preserve">Jay Denkmayer </t>
        </is>
      </c>
      <c r="H2186" t="inlineStr">
        <is>
          <t>Pickup Truck</t>
        </is>
      </c>
      <c r="I2186" t="inlineStr">
        <is>
          <t>Daily/ Weekly Vehicle Inspection</t>
        </is>
      </c>
      <c r="J2186" t="inlineStr">
        <is>
          <t>N/A</t>
        </is>
      </c>
      <c r="K2186" t="inlineStr">
        <is>
          <t>7186 Eastwoodbury Tree Services Ltd</t>
        </is>
      </c>
      <c r="L2186" t="inlineStr">
        <is>
          <t>20/11/2025 07:33</t>
        </is>
      </c>
      <c r="M2186" t="inlineStr">
        <is>
          <t>None</t>
        </is>
      </c>
      <c r="N2186" t="inlineStr">
        <is>
          <t>&lt;p&gt;&lt;/p&gt;</t>
        </is>
      </c>
      <c r="O2186" t="inlineStr"/>
      <c r="P2186" t="inlineStr">
        <is>
          <t>DE53NKS , 4x4 , Ford , Ranger</t>
        </is>
      </c>
      <c r="Q2186" t="inlineStr">
        <is>
          <t>UKPN</t>
        </is>
      </c>
      <c r="R2186" t="b">
        <v>0</v>
      </c>
    </row>
    <row r="2187">
      <c r="A2187" t="inlineStr">
        <is>
          <t>20 Nov 2025 / 7806 Optimum Tree Services Ltd / Utilities / UKPN</t>
        </is>
      </c>
      <c r="B2187" t="inlineStr">
        <is>
          <t>Utilities</t>
        </is>
      </c>
      <c r="C2187" t="inlineStr">
        <is>
          <t>UKPN</t>
        </is>
      </c>
      <c r="D2187" t="inlineStr">
        <is>
          <t>Wd14evn , 4x4 , Landrover  , Defender</t>
        </is>
      </c>
      <c r="E2187" t="inlineStr">
        <is>
          <t>Wd14evn , 4x4 , Landrover  , Defender</t>
        </is>
      </c>
      <c r="F2187" t="inlineStr">
        <is>
          <t>Wd14evn , 4x4 , Landrover  , Defender</t>
        </is>
      </c>
      <c r="G2187" t="inlineStr">
        <is>
          <t xml:space="preserve">Kenny Aldred </t>
        </is>
      </c>
      <c r="H2187" t="inlineStr">
        <is>
          <t>4x4</t>
        </is>
      </c>
      <c r="I2187" t="inlineStr">
        <is>
          <t>Daily/ Weekly Vehicle Inspection</t>
        </is>
      </c>
      <c r="J2187" t="inlineStr">
        <is>
          <t>N/A</t>
        </is>
      </c>
      <c r="K2187" t="inlineStr">
        <is>
          <t>7806 Optimum Tree Services Ltd</t>
        </is>
      </c>
      <c r="L2187" t="inlineStr">
        <is>
          <t>20/11/2025 07:34</t>
        </is>
      </c>
      <c r="M2187" t="inlineStr">
        <is>
          <t>None</t>
        </is>
      </c>
      <c r="N2187" t="inlineStr">
        <is>
          <t>&lt;p&gt;&lt;/p&gt;</t>
        </is>
      </c>
      <c r="O2187" t="inlineStr"/>
      <c r="P2187" t="inlineStr">
        <is>
          <t>Wd14evn , 4x4 , Landrover  , Defender</t>
        </is>
      </c>
      <c r="Q2187" t="inlineStr">
        <is>
          <t>UKPN</t>
        </is>
      </c>
      <c r="R2187" t="b">
        <v>0</v>
      </c>
    </row>
    <row r="2188">
      <c r="A2188" t="inlineStr">
        <is>
          <t>20 Nov 2025 / Anthony Gale / Utilities / UKPN</t>
        </is>
      </c>
      <c r="B2188" t="inlineStr">
        <is>
          <t>Utilities</t>
        </is>
      </c>
      <c r="C2188" t="inlineStr">
        <is>
          <t>UKPN</t>
        </is>
      </c>
      <c r="D2188" t="inlineStr"/>
      <c r="E2188" t="inlineStr"/>
      <c r="F2188" t="inlineStr"/>
      <c r="G2188" t="inlineStr">
        <is>
          <t xml:space="preserve">Anthony Gale </t>
        </is>
      </c>
      <c r="H2188" t="inlineStr">
        <is>
          <t>Towed Chipper</t>
        </is>
      </c>
      <c r="I2188" t="inlineStr">
        <is>
          <t>Daily/ Weekly Vehicle Inspection</t>
        </is>
      </c>
      <c r="J2188" t="inlineStr">
        <is>
          <t>N/A</t>
        </is>
      </c>
      <c r="K2188" t="inlineStr">
        <is>
          <t>7996 M G Tree Surgery Ltd 1</t>
        </is>
      </c>
      <c r="L2188" t="inlineStr">
        <is>
          <t>20/11/2025 07:35</t>
        </is>
      </c>
      <c r="M2188" t="inlineStr">
        <is>
          <t>None</t>
        </is>
      </c>
      <c r="N2188" t="inlineStr">
        <is>
          <t>&lt;p&gt;&lt;/p&gt;</t>
        </is>
      </c>
      <c r="O2188" t="inlineStr">
        <is>
          <t>Confirm that you have checked this vehicle as per the guidance document and the vehicle is safe and roadworthy:Jockey wheel stuck up because bolt has snapped.
Still safe to use, needs sorting ASAP though.
-</t>
        </is>
      </c>
      <c r="P2188" t="inlineStr"/>
      <c r="Q2188" t="inlineStr">
        <is>
          <t>UKPN</t>
        </is>
      </c>
      <c r="R2188" t="b">
        <v>0</v>
      </c>
    </row>
    <row r="2189">
      <c r="A2189" t="inlineStr">
        <is>
          <t>20 Nov 2025 / 7806 Optimum Tree Services Ltd / Utilities / UKPN</t>
        </is>
      </c>
      <c r="B2189" t="inlineStr">
        <is>
          <t>Utilities</t>
        </is>
      </c>
      <c r="C2189" t="inlineStr">
        <is>
          <t>UKPN</t>
        </is>
      </c>
      <c r="D2189" t="inlineStr">
        <is>
          <t>SA9TAPLAF27414263 , Trailer , Tow Mate , Plant Trailer</t>
        </is>
      </c>
      <c r="E2189" t="inlineStr">
        <is>
          <t>SA9TAPLAF27414263 , Trailer , Tow Mate , Plant Trailer</t>
        </is>
      </c>
      <c r="F2189" t="inlineStr">
        <is>
          <t>SA9TAPLAF27414263 , Trailer , Tow Mate , Plant Trailer</t>
        </is>
      </c>
      <c r="G2189" t="inlineStr">
        <is>
          <t xml:space="preserve">Abraham Davies </t>
        </is>
      </c>
      <c r="H2189" t="inlineStr">
        <is>
          <t>Plant Trailer</t>
        </is>
      </c>
      <c r="I2189" t="inlineStr">
        <is>
          <t>Daily/ Weekly Vehicle Inspection</t>
        </is>
      </c>
      <c r="J2189" t="inlineStr">
        <is>
          <t>N/A</t>
        </is>
      </c>
      <c r="K2189" t="inlineStr">
        <is>
          <t>7806 Optimum Tree Services Ltd</t>
        </is>
      </c>
      <c r="L2189" t="inlineStr">
        <is>
          <t>20/11/2025 07:35</t>
        </is>
      </c>
      <c r="M2189" t="inlineStr">
        <is>
          <t>None</t>
        </is>
      </c>
      <c r="N2189" t="inlineStr">
        <is>
          <t>&lt;p&gt;&lt;/p&gt;</t>
        </is>
      </c>
      <c r="O2189" t="inlineStr"/>
      <c r="P2189" t="inlineStr">
        <is>
          <t>SA9TAPLAF27414263 , Trailer , Tow Mate , Plant Trailer</t>
        </is>
      </c>
      <c r="Q2189" t="inlineStr">
        <is>
          <t>UKPN</t>
        </is>
      </c>
      <c r="R2189" t="b">
        <v>0</v>
      </c>
    </row>
    <row r="2190">
      <c r="A2190" t="inlineStr">
        <is>
          <t>20 Nov 2025 / 7889 Tree Tech Suffolk Ltd</t>
        </is>
      </c>
      <c r="B2190" t="inlineStr">
        <is>
          <t>Utilities &amp; Inland Waterways</t>
        </is>
      </c>
      <c r="C2190" t="inlineStr">
        <is>
          <t>UKPN</t>
        </is>
      </c>
      <c r="D2190" t="inlineStr">
        <is>
          <t>Tow Chipper - Jenson - A530L - 55210639484x4 - Isuzu - D-max - NS03 TTSTipper - Nissan - Navara - NS02TTS</t>
        </is>
      </c>
      <c r="E2190" t="inlineStr">
        <is>
          <t>Tow Chipper - Jenson - A530L - 55210639484x4 - Isuzu - D-max - NS03 TTSTipper - Nissan - Navara - NS02TTS</t>
        </is>
      </c>
      <c r="F2190" t="inlineStr">
        <is>
          <t>Tow Chipper - Jenson - A530L - 55210639484x4 - Isuzu - D-max - NS03 TTSTipper - Nissan - Navara - NS02TTS</t>
        </is>
      </c>
      <c r="G2190" t="inlineStr">
        <is>
          <t xml:space="preserve">Danny Appleby Danny Appleby Nikki sparrow </t>
        </is>
      </c>
      <c r="H2190" t="inlineStr">
        <is>
          <t>Towed Chipper4x4Tipper</t>
        </is>
      </c>
      <c r="I2190" t="inlineStr">
        <is>
          <t>Daily/ Weekly Vehicle Inspection</t>
        </is>
      </c>
      <c r="J2190" t="inlineStr">
        <is>
          <t>N/A</t>
        </is>
      </c>
      <c r="K2190" t="inlineStr">
        <is>
          <t>7889 Tree Tech Suffolk Ltd</t>
        </is>
      </c>
      <c r="L2190" t="inlineStr">
        <is>
          <t>20/11/2025 07:36</t>
        </is>
      </c>
      <c r="M2190" t="inlineStr">
        <is>
          <t>None</t>
        </is>
      </c>
      <c r="N2190" t="inlineStr">
        <is>
          <t>&lt;p&gt;&lt;/p&gt;</t>
        </is>
      </c>
      <c r="O2190" t="inlineStr">
        <is>
          <t>Select Vehicle:Ns08 tts</t>
        </is>
      </c>
      <c r="P2190" t="inlineStr">
        <is>
          <t>Tow Chipper - Jenson - A530L - 55210639484x4 - Isuzu - D-max - NS03 TTSTipper - Nissan - Navara - NS02TTS</t>
        </is>
      </c>
      <c r="Q2190" t="inlineStr">
        <is>
          <t>UKPN</t>
        </is>
      </c>
      <c r="R2190" t="b">
        <v>0</v>
      </c>
    </row>
    <row r="2191">
      <c r="A2191" t="inlineStr">
        <is>
          <t>20 Nov 2025 / Anthony Gale / Utilities / UKPN</t>
        </is>
      </c>
      <c r="B2191" t="inlineStr">
        <is>
          <t>Utilities</t>
        </is>
      </c>
      <c r="C2191" t="inlineStr">
        <is>
          <t>UKPN</t>
        </is>
      </c>
      <c r="D2191" t="inlineStr"/>
      <c r="E2191" t="inlineStr"/>
      <c r="F2191" t="inlineStr"/>
      <c r="G2191" t="inlineStr">
        <is>
          <t>Anthony Gale</t>
        </is>
      </c>
      <c r="H2191" t="inlineStr">
        <is>
          <t>Pickup Truck</t>
        </is>
      </c>
      <c r="I2191" t="inlineStr">
        <is>
          <t>Daily/ Weekly Vehicle Inspection</t>
        </is>
      </c>
      <c r="J2191" t="inlineStr">
        <is>
          <t>N/A</t>
        </is>
      </c>
      <c r="K2191" t="inlineStr">
        <is>
          <t>7996 M G Tree Surgery Ltd 1</t>
        </is>
      </c>
      <c r="L2191" t="inlineStr">
        <is>
          <t>20/11/2025 07:37</t>
        </is>
      </c>
      <c r="M2191" t="inlineStr">
        <is>
          <t>None</t>
        </is>
      </c>
      <c r="N2191" t="inlineStr">
        <is>
          <t>&lt;p&gt;&lt;/p&gt;</t>
        </is>
      </c>
      <c r="O2191" t="inlineStr"/>
      <c r="P2191" t="inlineStr"/>
      <c r="Q2191" t="inlineStr">
        <is>
          <t>UKPN</t>
        </is>
      </c>
      <c r="R2191" t="b">
        <v>0</v>
      </c>
    </row>
    <row r="2192">
      <c r="A2192" t="inlineStr">
        <is>
          <t>20 Nov 2025 / 7806 Optimum Tree Services Ltd / Utilities / UKPN</t>
        </is>
      </c>
      <c r="B2192" t="inlineStr">
        <is>
          <t>Utilities</t>
        </is>
      </c>
      <c r="C2192" t="inlineStr">
        <is>
          <t>UKPN</t>
        </is>
      </c>
      <c r="D2192" t="inlineStr">
        <is>
          <t>WD14EVB , MEWP , Land Rover , Defender</t>
        </is>
      </c>
      <c r="E2192" t="inlineStr">
        <is>
          <t>WD14EVB , MEWP , Land Rover , Defender</t>
        </is>
      </c>
      <c r="F2192" t="inlineStr">
        <is>
          <t>WD14EVB , MEWP , Land Rover , Defender</t>
        </is>
      </c>
      <c r="G2192" t="inlineStr">
        <is>
          <t xml:space="preserve">Abraham Davies </t>
        </is>
      </c>
      <c r="H2192" t="inlineStr">
        <is>
          <t>4x4</t>
        </is>
      </c>
      <c r="I2192" t="inlineStr">
        <is>
          <t>Daily/ Weekly Vehicle Inspection</t>
        </is>
      </c>
      <c r="J2192" t="inlineStr">
        <is>
          <t>N/A</t>
        </is>
      </c>
      <c r="K2192" t="inlineStr">
        <is>
          <t>7806 Optimum Tree Services Ltd</t>
        </is>
      </c>
      <c r="L2192" t="inlineStr">
        <is>
          <t>20/11/2025 07:38</t>
        </is>
      </c>
      <c r="M2192" t="inlineStr">
        <is>
          <t>None</t>
        </is>
      </c>
      <c r="N2192" t="inlineStr">
        <is>
          <t>&lt;p&gt;&lt;/p&gt;</t>
        </is>
      </c>
      <c r="O2192" t="inlineStr"/>
      <c r="P2192" t="inlineStr">
        <is>
          <t>WD14EVB , MEWP , Land Rover , Defender</t>
        </is>
      </c>
      <c r="Q2192" t="inlineStr">
        <is>
          <t>UKPN</t>
        </is>
      </c>
      <c r="R2192" t="b">
        <v>0</v>
      </c>
    </row>
    <row r="2193">
      <c r="A2193" t="inlineStr">
        <is>
          <t>20 Nov 2025 / 7951 Austin Tree Care LTD 1 / Utilities / UKPN</t>
        </is>
      </c>
      <c r="B2193" t="inlineStr">
        <is>
          <t>Utilities</t>
        </is>
      </c>
      <c r="C2193" t="inlineStr">
        <is>
          <t>UKPN</t>
        </is>
      </c>
      <c r="D2193" t="inlineStr">
        <is>
          <t>Wf61hzv , 4x4 , Land Rover , Defender</t>
        </is>
      </c>
      <c r="E2193" t="inlineStr">
        <is>
          <t>Wf61hzv , 4x4 , Land Rover , Defender</t>
        </is>
      </c>
      <c r="F2193" t="inlineStr">
        <is>
          <t>Wf61hzv , 4x4 , Land Rover , Defender</t>
        </is>
      </c>
      <c r="G2193" t="inlineStr">
        <is>
          <t xml:space="preserve">James Tasker </t>
        </is>
      </c>
      <c r="H2193" t="inlineStr">
        <is>
          <t>4x4</t>
        </is>
      </c>
      <c r="I2193" t="inlineStr">
        <is>
          <t>Daily/ Weekly Vehicle Inspection</t>
        </is>
      </c>
      <c r="J2193" t="inlineStr">
        <is>
          <t>N/A</t>
        </is>
      </c>
      <c r="K2193" t="inlineStr">
        <is>
          <t>7951 Austin Tree Care LTD 1</t>
        </is>
      </c>
      <c r="L2193" t="inlineStr">
        <is>
          <t>20/11/2025 08:34</t>
        </is>
      </c>
      <c r="M2193" t="inlineStr">
        <is>
          <t>None</t>
        </is>
      </c>
      <c r="N2193" t="inlineStr">
        <is>
          <t>&lt;p&gt;&lt;/p&gt;</t>
        </is>
      </c>
      <c r="O2193" t="inlineStr"/>
      <c r="P2193" t="inlineStr">
        <is>
          <t>Wf61hzv , 4x4 , Land Rover , Defender</t>
        </is>
      </c>
      <c r="Q2193" t="inlineStr">
        <is>
          <t>UKPN</t>
        </is>
      </c>
      <c r="R2193" t="b">
        <v>0</v>
      </c>
    </row>
    <row r="2194">
      <c r="A2194" t="inlineStr">
        <is>
          <t>20 Nov 2025 / Thomas Playford / Utilities / UKPN</t>
        </is>
      </c>
      <c r="B2194" t="inlineStr">
        <is>
          <t>Utilities</t>
        </is>
      </c>
      <c r="C2194" t="inlineStr">
        <is>
          <t>UKPN</t>
        </is>
      </c>
      <c r="D2194" t="inlineStr">
        <is>
          <t>X21TNP , 4x4 , Toyota , Hilux</t>
        </is>
      </c>
      <c r="E2194" t="inlineStr">
        <is>
          <t>X21TNP , 4x4 , Toyota , Hilux</t>
        </is>
      </c>
      <c r="F2194" t="inlineStr">
        <is>
          <t>X21TNP , 4x4 , Toyota , Hilux</t>
        </is>
      </c>
      <c r="G2194" t="inlineStr">
        <is>
          <t xml:space="preserve">Thomas Playford </t>
        </is>
      </c>
      <c r="H2194" t="inlineStr">
        <is>
          <t>4x4</t>
        </is>
      </c>
      <c r="I2194" t="inlineStr">
        <is>
          <t>Daily/ Weekly Vehicle Inspection</t>
        </is>
      </c>
      <c r="J2194" t="inlineStr">
        <is>
          <t>N/A</t>
        </is>
      </c>
      <c r="K2194" t="inlineStr">
        <is>
          <t>7995 Green Net Eco Ltd 2</t>
        </is>
      </c>
      <c r="L2194" t="inlineStr">
        <is>
          <t>20/11/2025 08:35</t>
        </is>
      </c>
      <c r="M2194" t="inlineStr">
        <is>
          <t>None</t>
        </is>
      </c>
      <c r="N2194" t="inlineStr">
        <is>
          <t>&lt;p&gt;&lt;/p&gt;</t>
        </is>
      </c>
      <c r="O2194" t="inlineStr"/>
      <c r="P2194" t="inlineStr">
        <is>
          <t>X21TNP , 4x4 , Toyota , Hilux</t>
        </is>
      </c>
      <c r="Q2194" t="inlineStr">
        <is>
          <t>UKPN</t>
        </is>
      </c>
      <c r="R2194" t="b">
        <v>0</v>
      </c>
    </row>
    <row r="2195">
      <c r="A2195" t="inlineStr">
        <is>
          <t>20 Nov 2025 / 7186 Eastwoodbury Tree Services Ltd / Utilities / UKPN</t>
        </is>
      </c>
      <c r="B2195" t="inlineStr">
        <is>
          <t>Utilities</t>
        </is>
      </c>
      <c r="C2195" t="inlineStr">
        <is>
          <t>UKPN</t>
        </is>
      </c>
      <c r="D2195" t="inlineStr">
        <is>
          <t>WF13 EKM , 4x4 , Land rover  , Defenders</t>
        </is>
      </c>
      <c r="E2195" t="inlineStr">
        <is>
          <t>WF13 EKM , 4x4 , Land rover  , Defenders</t>
        </is>
      </c>
      <c r="F2195" t="inlineStr">
        <is>
          <t>WF13 EKM , 4x4 , Land rover  , Defenders</t>
        </is>
      </c>
      <c r="G2195" t="inlineStr">
        <is>
          <t xml:space="preserve">Dan Gilbert </t>
        </is>
      </c>
      <c r="H2195" t="inlineStr">
        <is>
          <t>4x4</t>
        </is>
      </c>
      <c r="I2195" t="inlineStr">
        <is>
          <t>Daily/ Weekly Vehicle Inspection</t>
        </is>
      </c>
      <c r="J2195" t="inlineStr">
        <is>
          <t>N/A</t>
        </is>
      </c>
      <c r="K2195" t="inlineStr">
        <is>
          <t>7186 Eastwoodbury Tree Services Ltd</t>
        </is>
      </c>
      <c r="L2195" t="inlineStr">
        <is>
          <t>20/11/2025 08:36</t>
        </is>
      </c>
      <c r="M2195" t="inlineStr">
        <is>
          <t>None</t>
        </is>
      </c>
      <c r="N2195" t="inlineStr">
        <is>
          <t>&lt;p&gt;&lt;/p&gt;</t>
        </is>
      </c>
      <c r="O2195" t="inlineStr"/>
      <c r="P2195" t="inlineStr">
        <is>
          <t>WF13 EKM , 4x4 , Land rover  , Defenders</t>
        </is>
      </c>
      <c r="Q2195" t="inlineStr">
        <is>
          <t>UKPN</t>
        </is>
      </c>
      <c r="R2195" t="b">
        <v>0</v>
      </c>
    </row>
    <row r="2196">
      <c r="A2196" t="inlineStr">
        <is>
          <t>20 Nov 2025 / 3098 D &amp; R Landscapes / Utilities / UKPN</t>
        </is>
      </c>
      <c r="B2196" t="inlineStr">
        <is>
          <t>Utilities</t>
        </is>
      </c>
      <c r="C2196" t="inlineStr">
        <is>
          <t>UKPN</t>
        </is>
      </c>
      <c r="D2196" t="inlineStr">
        <is>
          <t>WA13ZZK , 4x4 , Land Rover  , Defender</t>
        </is>
      </c>
      <c r="E2196" t="inlineStr">
        <is>
          <t>WA13ZZK , 4x4 , Land Rover  , Defender</t>
        </is>
      </c>
      <c r="F2196" t="inlineStr">
        <is>
          <t>WA13ZZK , 4x4 , Land Rover  , Defender</t>
        </is>
      </c>
      <c r="G2196" t="inlineStr">
        <is>
          <t xml:space="preserve">Chris </t>
        </is>
      </c>
      <c r="H2196" t="inlineStr">
        <is>
          <t>Pickup Truck</t>
        </is>
      </c>
      <c r="I2196" t="inlineStr">
        <is>
          <t>Daily/ Weekly Vehicle Inspection</t>
        </is>
      </c>
      <c r="J2196" t="inlineStr">
        <is>
          <t>N/A</t>
        </is>
      </c>
      <c r="K2196" t="inlineStr">
        <is>
          <t>3098 D &amp; R Landscapes</t>
        </is>
      </c>
      <c r="L2196" t="inlineStr">
        <is>
          <t>20/11/2025 09:34</t>
        </is>
      </c>
      <c r="M2196" t="inlineStr">
        <is>
          <t>None</t>
        </is>
      </c>
      <c r="N2196" t="inlineStr">
        <is>
          <t>&lt;p&gt;&lt;/p&gt;</t>
        </is>
      </c>
      <c r="O2196" t="inlineStr"/>
      <c r="P2196" t="inlineStr">
        <is>
          <t>WA13ZZK , 4x4 , Land Rover  , Defender</t>
        </is>
      </c>
      <c r="Q2196" t="inlineStr">
        <is>
          <t>UKPN</t>
        </is>
      </c>
      <c r="R2196" t="b">
        <v>0</v>
      </c>
    </row>
    <row r="2197">
      <c r="A2197" t="inlineStr">
        <is>
          <t>20 Nov 2025 / Christopher Phillips / Utilities / NGED</t>
        </is>
      </c>
      <c r="B2197" t="inlineStr">
        <is>
          <t>Utilities</t>
        </is>
      </c>
      <c r="C2197" t="inlineStr">
        <is>
          <t>NGED</t>
        </is>
      </c>
      <c r="D2197" t="inlineStr">
        <is>
          <t>SK69XHC , Car - Electric , Tesla , Model 3 Performance AWD</t>
        </is>
      </c>
      <c r="E2197" t="inlineStr">
        <is>
          <t>SK69XHC , Car - Electric , Tesla , Model 3 Performance AWD</t>
        </is>
      </c>
      <c r="F2197" t="inlineStr">
        <is>
          <t>SK69XHC , Car - Electric , Tesla , Model 3 Performance AWD</t>
        </is>
      </c>
      <c r="G2197" t="inlineStr">
        <is>
          <t xml:space="preserve">Chris Phillips </t>
        </is>
      </c>
      <c r="H2197" t="inlineStr">
        <is>
          <t>Car - Electric (GC Owned)</t>
        </is>
      </c>
      <c r="I2197" t="inlineStr">
        <is>
          <t>Daily/ Weekly Vehicle Inspection</t>
        </is>
      </c>
      <c r="J2197" t="inlineStr">
        <is>
          <t>N/A</t>
        </is>
      </c>
      <c r="K2197" t="inlineStr">
        <is>
          <t>Christopher Phillips</t>
        </is>
      </c>
      <c r="L2197" t="inlineStr">
        <is>
          <t>20/11/2025 09:34</t>
        </is>
      </c>
      <c r="M2197" t="inlineStr">
        <is>
          <t>None</t>
        </is>
      </c>
      <c r="N2197" t="inlineStr">
        <is>
          <t>&lt;p&gt;&lt;/p&gt;</t>
        </is>
      </c>
      <c r="O2197" t="inlineStr"/>
      <c r="P2197" t="inlineStr">
        <is>
          <t>SK69XHC , Car - Electric , Tesla , Model 3 Performance AWD</t>
        </is>
      </c>
      <c r="Q2197" t="inlineStr">
        <is>
          <t>NGED</t>
        </is>
      </c>
      <c r="R2197" t="b">
        <v>0</v>
      </c>
    </row>
    <row r="2198">
      <c r="A2198" t="inlineStr">
        <is>
          <t>20 Nov 2025 / 3098 D &amp; R Landscapes / Utilities / UKPN</t>
        </is>
      </c>
      <c r="B2198" t="inlineStr">
        <is>
          <t>Utilities</t>
        </is>
      </c>
      <c r="C2198" t="inlineStr">
        <is>
          <t>UKPN</t>
        </is>
      </c>
      <c r="D2198" t="inlineStr">
        <is>
          <t>DE68XHA , Tipper , Isuzu , Grafter</t>
        </is>
      </c>
      <c r="E2198" t="inlineStr">
        <is>
          <t>DE68XHA , Tipper , Isuzu , Grafter</t>
        </is>
      </c>
      <c r="F2198" t="inlineStr">
        <is>
          <t>DE68XHA , Tipper , Isuzu , Grafter</t>
        </is>
      </c>
      <c r="G2198" t="inlineStr">
        <is>
          <t>Jason</t>
        </is>
      </c>
      <c r="H2198" t="inlineStr">
        <is>
          <t>Tipper</t>
        </is>
      </c>
      <c r="I2198" t="inlineStr">
        <is>
          <t>Daily/ Weekly Vehicle Inspection</t>
        </is>
      </c>
      <c r="J2198" t="inlineStr">
        <is>
          <t>N/A</t>
        </is>
      </c>
      <c r="K2198" t="inlineStr">
        <is>
          <t>3098 D &amp; R Landscapes</t>
        </is>
      </c>
      <c r="L2198" t="inlineStr">
        <is>
          <t>20/11/2025 09:35</t>
        </is>
      </c>
      <c r="M2198" t="inlineStr">
        <is>
          <t>None</t>
        </is>
      </c>
      <c r="N2198" t="inlineStr">
        <is>
          <t>&lt;p&gt;&lt;/p&gt;</t>
        </is>
      </c>
      <c r="O2198" t="inlineStr"/>
      <c r="P2198" t="inlineStr">
        <is>
          <t>DE68XHA , Tipper , Isuzu , Grafter</t>
        </is>
      </c>
      <c r="Q2198" t="inlineStr">
        <is>
          <t>UKPN</t>
        </is>
      </c>
      <c r="R2198" t="b">
        <v>0</v>
      </c>
    </row>
    <row r="2199">
      <c r="A2199" t="inlineStr">
        <is>
          <t>20 Nov 2025 / Jack Everiss / Utilities / SSE</t>
        </is>
      </c>
      <c r="B2199" t="inlineStr">
        <is>
          <t>Utilities</t>
        </is>
      </c>
      <c r="C2199" t="inlineStr">
        <is>
          <t>SSE</t>
        </is>
      </c>
      <c r="D2199" t="inlineStr">
        <is>
          <t>YX24TXD , Car - Electric , Kia , E-Niro</t>
        </is>
      </c>
      <c r="E2199" t="inlineStr">
        <is>
          <t>YX24TXD , Car - Electric , Kia , E-Niro</t>
        </is>
      </c>
      <c r="F2199" t="inlineStr">
        <is>
          <t>YX24TXD , Car - Electric , Kia , E-Niro</t>
        </is>
      </c>
      <c r="G2199" t="inlineStr">
        <is>
          <t>Jack Everiss</t>
        </is>
      </c>
      <c r="H2199" t="inlineStr">
        <is>
          <t>Car - Electric (GC Owned)</t>
        </is>
      </c>
      <c r="I2199" t="inlineStr">
        <is>
          <t>Daily/ Weekly Vehicle Inspection</t>
        </is>
      </c>
      <c r="J2199" t="inlineStr">
        <is>
          <t>N/A</t>
        </is>
      </c>
      <c r="K2199" t="inlineStr">
        <is>
          <t>Jack Everiss</t>
        </is>
      </c>
      <c r="L2199" t="inlineStr">
        <is>
          <t>20/11/2025 09:36</t>
        </is>
      </c>
      <c r="M2199" t="inlineStr">
        <is>
          <t>None</t>
        </is>
      </c>
      <c r="N2199" t="inlineStr">
        <is>
          <t>&lt;p&gt;&lt;/p&gt;</t>
        </is>
      </c>
      <c r="O2199" t="inlineStr"/>
      <c r="P2199" t="inlineStr">
        <is>
          <t>YX24TXD , Car - Electric , Kia , E-Niro</t>
        </is>
      </c>
      <c r="Q2199" t="inlineStr">
        <is>
          <t>SSE</t>
        </is>
      </c>
      <c r="R2199" t="b">
        <v>0</v>
      </c>
    </row>
    <row r="2200">
      <c r="A2200" t="inlineStr">
        <is>
          <t>20 Nov 2025 / Mathew Dunn / Utilities / SSE</t>
        </is>
      </c>
      <c r="B2200" t="inlineStr">
        <is>
          <t>Utilities</t>
        </is>
      </c>
      <c r="C2200" t="inlineStr">
        <is>
          <t>SSE</t>
        </is>
      </c>
      <c r="D2200" t="inlineStr"/>
      <c r="E2200" t="inlineStr"/>
      <c r="F2200" t="inlineStr"/>
      <c r="G2200" t="inlineStr">
        <is>
          <t xml:space="preserve">Mathew dunn </t>
        </is>
      </c>
      <c r="H2200" t="inlineStr">
        <is>
          <t>Car - Electric (GC Owned)</t>
        </is>
      </c>
      <c r="I2200" t="inlineStr">
        <is>
          <t>Daily/ Weekly Vehicle Inspection</t>
        </is>
      </c>
      <c r="J2200" t="inlineStr">
        <is>
          <t>N/A</t>
        </is>
      </c>
      <c r="K2200" t="inlineStr">
        <is>
          <t>Mathew Dunn</t>
        </is>
      </c>
      <c r="L2200" t="inlineStr">
        <is>
          <t>20/11/2025 09:36</t>
        </is>
      </c>
      <c r="M2200" t="inlineStr">
        <is>
          <t>None</t>
        </is>
      </c>
      <c r="N2200" t="inlineStr">
        <is>
          <t>&lt;p&gt;&lt;/p&gt;</t>
        </is>
      </c>
      <c r="O2200" t="inlineStr"/>
      <c r="P2200" t="inlineStr"/>
      <c r="Q2200" t="inlineStr">
        <is>
          <t>SSE</t>
        </is>
      </c>
      <c r="R2200" t="b">
        <v>0</v>
      </c>
    </row>
    <row r="2201">
      <c r="A2201" t="inlineStr">
        <is>
          <t>28 Oct 2025 / Mathew Dunn / Utilities / SSE</t>
        </is>
      </c>
      <c r="B2201" t="inlineStr">
        <is>
          <t>Utilities</t>
        </is>
      </c>
      <c r="C2201" t="inlineStr">
        <is>
          <t>SSE</t>
        </is>
      </c>
      <c r="D2201" t="inlineStr">
        <is>
          <t>GN70XAS , Car - Electric , Tesla , Model 3 Long Range AWD</t>
        </is>
      </c>
      <c r="E2201" t="inlineStr">
        <is>
          <t>GN70XAS , Car - Electric , Tesla , Model 3 Long Range AWD</t>
        </is>
      </c>
      <c r="F2201" t="inlineStr">
        <is>
          <t>GN70XAS , Car - Electric , Tesla , Model 3 Long Range AWD</t>
        </is>
      </c>
      <c r="G2201" t="inlineStr">
        <is>
          <t xml:space="preserve">Mathew dunn </t>
        </is>
      </c>
      <c r="H2201" t="inlineStr">
        <is>
          <t>Car - Electric (GC Owned)</t>
        </is>
      </c>
      <c r="I2201" t="inlineStr">
        <is>
          <t>Daily/ Weekly Vehicle Inspection</t>
        </is>
      </c>
      <c r="J2201" t="inlineStr">
        <is>
          <t>N/A</t>
        </is>
      </c>
      <c r="K2201" t="inlineStr">
        <is>
          <t>Mathew Dunn</t>
        </is>
      </c>
      <c r="L2201" t="inlineStr">
        <is>
          <t>20/11/2025 09:37</t>
        </is>
      </c>
      <c r="M2201" t="inlineStr">
        <is>
          <t>None</t>
        </is>
      </c>
      <c r="N2201" t="inlineStr">
        <is>
          <t>&lt;p&gt;&lt;/p&gt;</t>
        </is>
      </c>
      <c r="O2201" t="inlineStr"/>
      <c r="P2201" t="inlineStr">
        <is>
          <t>GN70XAS , Car - Electric , Tesla , Model 3 Long Range AWD</t>
        </is>
      </c>
      <c r="Q2201" t="inlineStr">
        <is>
          <t>SSE</t>
        </is>
      </c>
      <c r="R2201" t="b">
        <v>0</v>
      </c>
    </row>
    <row r="2202">
      <c r="A2202" t="inlineStr">
        <is>
          <t>20 Nov 2025 / 7800 MAC Tree Surgery and Fencing Ltd / Utilities / UKPN</t>
        </is>
      </c>
      <c r="B2202" t="inlineStr">
        <is>
          <t>Utilities</t>
        </is>
      </c>
      <c r="C2202" t="inlineStr">
        <is>
          <t>UKPN</t>
        </is>
      </c>
      <c r="D2202" t="inlineStr">
        <is>
          <t>AY68DAA , 4x4 , Izuzu , Dmax</t>
        </is>
      </c>
      <c r="E2202" t="inlineStr">
        <is>
          <t>AY68DAA , 4x4 , Izuzu , Dmax</t>
        </is>
      </c>
      <c r="F2202" t="inlineStr">
        <is>
          <t>AY68DAA , 4x4 , Izuzu , Dmax</t>
        </is>
      </c>
      <c r="G2202" t="inlineStr">
        <is>
          <t xml:space="preserve">Patrick O'Shea </t>
        </is>
      </c>
      <c r="H2202" t="inlineStr">
        <is>
          <t>4x4</t>
        </is>
      </c>
      <c r="I2202" t="inlineStr">
        <is>
          <t>Daily/ Weekly Vehicle Inspection</t>
        </is>
      </c>
      <c r="J2202" t="inlineStr">
        <is>
          <t>N/A</t>
        </is>
      </c>
      <c r="K2202" t="inlineStr">
        <is>
          <t>7800 MAC Tree Surgery and Fencing Ltd</t>
        </is>
      </c>
      <c r="L2202" t="inlineStr">
        <is>
          <t>20/11/2025 09:37</t>
        </is>
      </c>
      <c r="M2202" t="inlineStr">
        <is>
          <t>None</t>
        </is>
      </c>
      <c r="N2202" t="inlineStr">
        <is>
          <t>&lt;p&gt;&lt;/p&gt;</t>
        </is>
      </c>
      <c r="O2202" t="inlineStr"/>
      <c r="P2202" t="inlineStr">
        <is>
          <t>AY68DAA , 4x4 , Izuzu , Dmax</t>
        </is>
      </c>
      <c r="Q2202" t="inlineStr">
        <is>
          <t>UKPN</t>
        </is>
      </c>
      <c r="R2202" t="b">
        <v>0</v>
      </c>
    </row>
    <row r="2203">
      <c r="A2203" t="inlineStr">
        <is>
          <t>20 Nov 2025 / 7800 MAC Tree Surgery and Fencing Ltd / Utilities / UKPN</t>
        </is>
      </c>
      <c r="B2203" t="inlineStr">
        <is>
          <t>Utilities</t>
        </is>
      </c>
      <c r="C2203" t="inlineStr">
        <is>
          <t>UKPN</t>
        </is>
      </c>
      <c r="D2203" t="inlineStr">
        <is>
          <t>Plant Trailer - Towmate - 2.8t - 0</t>
        </is>
      </c>
      <c r="E2203" t="inlineStr">
        <is>
          <t>Plant Trailer - Towmate - 2.8t - 0</t>
        </is>
      </c>
      <c r="F2203" t="inlineStr">
        <is>
          <t>Plant Trailer - Towmate - 2.8t - 0</t>
        </is>
      </c>
      <c r="G2203" t="inlineStr">
        <is>
          <t xml:space="preserve">Patrick O'Shea </t>
        </is>
      </c>
      <c r="H2203" t="inlineStr">
        <is>
          <t>Plant Trailer</t>
        </is>
      </c>
      <c r="I2203" t="inlineStr">
        <is>
          <t>Daily/ Weekly Vehicle Inspection</t>
        </is>
      </c>
      <c r="J2203" t="inlineStr">
        <is>
          <t>N/A</t>
        </is>
      </c>
      <c r="K2203" t="inlineStr">
        <is>
          <t>7800 MAC Tree Surgery and Fencing Ltd</t>
        </is>
      </c>
      <c r="L2203" t="inlineStr">
        <is>
          <t>20/11/2025 09:38</t>
        </is>
      </c>
      <c r="M2203" t="inlineStr">
        <is>
          <t>None</t>
        </is>
      </c>
      <c r="N2203" t="inlineStr">
        <is>
          <t>&lt;p&gt;&lt;/p&gt;</t>
        </is>
      </c>
      <c r="O2203" t="inlineStr"/>
      <c r="P2203" t="inlineStr">
        <is>
          <t>Plant Trailer - Towmate - 2.8t - 0</t>
        </is>
      </c>
      <c r="Q2203" t="inlineStr">
        <is>
          <t>UKPN</t>
        </is>
      </c>
      <c r="R2203" t="b">
        <v>0</v>
      </c>
    </row>
    <row r="2204">
      <c r="A2204" t="inlineStr">
        <is>
          <t>20 Nov 2025 / 6556 DE UA SWales3 / Utilities / NGED</t>
        </is>
      </c>
      <c r="B2204" t="inlineStr">
        <is>
          <t>Utilities</t>
        </is>
      </c>
      <c r="C2204" t="inlineStr">
        <is>
          <t>NGED</t>
        </is>
      </c>
      <c r="D2204" t="inlineStr">
        <is>
          <t>WO23RVN , Van , Ford , Ranger</t>
        </is>
      </c>
      <c r="E2204" t="inlineStr">
        <is>
          <t>WO23RVN , Van , Ford , Ranger</t>
        </is>
      </c>
      <c r="F2204" t="inlineStr">
        <is>
          <t>WO23RVN , Van , Ford , Ranger</t>
        </is>
      </c>
      <c r="G2204" t="inlineStr">
        <is>
          <t>Daniel Davies</t>
        </is>
      </c>
      <c r="H2204" t="inlineStr">
        <is>
          <t>Tipper</t>
        </is>
      </c>
      <c r="I2204" t="inlineStr">
        <is>
          <t>Daily/ Weekly Vehicle Inspection</t>
        </is>
      </c>
      <c r="J2204" t="inlineStr">
        <is>
          <t>N/A</t>
        </is>
      </c>
      <c r="K2204" t="inlineStr">
        <is>
          <t>6556 DE UA SWales3</t>
        </is>
      </c>
      <c r="L2204" t="inlineStr">
        <is>
          <t>20/11/2025 10:35</t>
        </is>
      </c>
      <c r="M2204" t="inlineStr">
        <is>
          <t>None</t>
        </is>
      </c>
      <c r="N2204" t="inlineStr">
        <is>
          <t>&lt;p&gt;&lt;/p&gt;</t>
        </is>
      </c>
      <c r="O2204" t="inlineStr"/>
      <c r="P2204" t="inlineStr">
        <is>
          <t>WO23RVN , Van , Ford , Ranger</t>
        </is>
      </c>
      <c r="Q2204" t="inlineStr">
        <is>
          <t>NGED</t>
        </is>
      </c>
      <c r="R2204" t="b">
        <v>0</v>
      </c>
    </row>
    <row r="2205">
      <c r="A2205" t="inlineStr">
        <is>
          <t>20 Nov 2025 / 6556 DE UA SWales3 / Utilities / NGED</t>
        </is>
      </c>
      <c r="B2205" t="inlineStr">
        <is>
          <t>Utilities</t>
        </is>
      </c>
      <c r="C2205" t="inlineStr">
        <is>
          <t>NGED</t>
        </is>
      </c>
      <c r="D2205" t="inlineStr">
        <is>
          <t>BK72ZPG , N/A , Isuzu , D-Max</t>
        </is>
      </c>
      <c r="E2205" t="inlineStr">
        <is>
          <t>BK72ZPG , N/A , Isuzu , D-Max</t>
        </is>
      </c>
      <c r="F2205" t="inlineStr">
        <is>
          <t>BK72ZPG , N/A , Isuzu , D-Max</t>
        </is>
      </c>
      <c r="G2205" t="inlineStr">
        <is>
          <t xml:space="preserve">Adrian Evans </t>
        </is>
      </c>
      <c r="H2205" t="inlineStr">
        <is>
          <t>4x4</t>
        </is>
      </c>
      <c r="I2205" t="inlineStr">
        <is>
          <t>Daily/ Weekly Vehicle Inspection</t>
        </is>
      </c>
      <c r="J2205" t="inlineStr">
        <is>
          <t>N/A</t>
        </is>
      </c>
      <c r="K2205" t="inlineStr">
        <is>
          <t>6556 DE UA SWales3</t>
        </is>
      </c>
      <c r="L2205" t="inlineStr">
        <is>
          <t>20/11/2025 10:36</t>
        </is>
      </c>
      <c r="M2205" t="inlineStr">
        <is>
          <t>None</t>
        </is>
      </c>
      <c r="N2205" t="inlineStr">
        <is>
          <t>&lt;p&gt;&lt;/p&gt;</t>
        </is>
      </c>
      <c r="O2205" t="inlineStr"/>
      <c r="P2205" t="inlineStr">
        <is>
          <t>BK72ZPG , N/A , Isuzu , D-Max</t>
        </is>
      </c>
      <c r="Q2205" t="inlineStr">
        <is>
          <t>NGED</t>
        </is>
      </c>
      <c r="R2205" t="b">
        <v>0</v>
      </c>
    </row>
    <row r="2206">
      <c r="A2206" t="inlineStr">
        <is>
          <t>20 Nov 2025 / Harry Bellis / Utilities / SSE</t>
        </is>
      </c>
      <c r="B2206" t="inlineStr">
        <is>
          <t>Utilities</t>
        </is>
      </c>
      <c r="C2206" t="inlineStr">
        <is>
          <t>SSE</t>
        </is>
      </c>
      <c r="D2206" t="inlineStr"/>
      <c r="E2206" t="inlineStr"/>
      <c r="F2206" t="inlineStr"/>
      <c r="G2206" t="inlineStr">
        <is>
          <t>Harry Bellis</t>
        </is>
      </c>
      <c r="H2206" t="inlineStr">
        <is>
          <t>Van</t>
        </is>
      </c>
      <c r="I2206" t="inlineStr">
        <is>
          <t>Monthly Vehicle Inspection</t>
        </is>
      </c>
      <c r="J2206" t="inlineStr">
        <is>
          <t>027211</t>
        </is>
      </c>
      <c r="K2206" t="inlineStr">
        <is>
          <t>Harry Bellis</t>
        </is>
      </c>
      <c r="L2206" t="inlineStr">
        <is>
          <t>20/11/2025 10:36</t>
        </is>
      </c>
      <c r="M2206" t="inlineStr">
        <is>
          <t>None</t>
        </is>
      </c>
      <c r="N2206" t="inlineStr">
        <is>
          <t>&lt;p&gt;&lt;/p&gt;</t>
        </is>
      </c>
      <c r="O2206" t="inlineStr"/>
      <c r="P2206" t="inlineStr"/>
      <c r="Q2206" t="inlineStr">
        <is>
          <t>SSE</t>
        </is>
      </c>
      <c r="R2206" t="b">
        <v>0</v>
      </c>
    </row>
    <row r="2207">
      <c r="A2207" t="inlineStr">
        <is>
          <t>20 Nov 2025 / 7951 Austin Tree Care LTD / Utilities / UKPN</t>
        </is>
      </c>
      <c r="B2207" t="inlineStr">
        <is>
          <t>Utilities</t>
        </is>
      </c>
      <c r="C2207" t="inlineStr">
        <is>
          <t>UKPN</t>
        </is>
      </c>
      <c r="D2207" t="inlineStr">
        <is>
          <t>KN58 FUY , Tipper , Volkswagan , Crafter</t>
        </is>
      </c>
      <c r="E2207" t="inlineStr">
        <is>
          <t>KN58 FUY , Tipper , Volkswagan , Crafter</t>
        </is>
      </c>
      <c r="F2207" t="inlineStr">
        <is>
          <t>KN58 FUY , Tipper , Volkswagan , Crafter</t>
        </is>
      </c>
      <c r="G2207" t="inlineStr">
        <is>
          <t xml:space="preserve">Jack Austin </t>
        </is>
      </c>
      <c r="H2207" t="inlineStr">
        <is>
          <t>Tipper</t>
        </is>
      </c>
      <c r="I2207" t="inlineStr">
        <is>
          <t>Daily/ Weekly Vehicle Inspection</t>
        </is>
      </c>
      <c r="J2207" t="inlineStr">
        <is>
          <t>N/A</t>
        </is>
      </c>
      <c r="K2207" t="inlineStr">
        <is>
          <t>7951 Austin Tree Care LTD</t>
        </is>
      </c>
      <c r="L2207" t="inlineStr">
        <is>
          <t>20/11/2025 10:37</t>
        </is>
      </c>
      <c r="M2207" t="inlineStr">
        <is>
          <t>None</t>
        </is>
      </c>
      <c r="N2207" t="inlineStr">
        <is>
          <t>&lt;p&gt;&lt;/p&gt;</t>
        </is>
      </c>
      <c r="O2207" t="inlineStr"/>
      <c r="P2207" t="inlineStr">
        <is>
          <t>KN58 FUY , Tipper , Volkswagan , Crafter</t>
        </is>
      </c>
      <c r="Q2207" t="inlineStr">
        <is>
          <t>UKPN</t>
        </is>
      </c>
      <c r="R2207" t="b">
        <v>0</v>
      </c>
    </row>
    <row r="2208">
      <c r="A2208" t="inlineStr">
        <is>
          <t>20 Nov 2025 / Andrew Carr / Utilities / SSE</t>
        </is>
      </c>
      <c r="B2208" t="inlineStr">
        <is>
          <t>Utilities</t>
        </is>
      </c>
      <c r="C2208" t="inlineStr">
        <is>
          <t>SSE</t>
        </is>
      </c>
      <c r="D2208" t="inlineStr"/>
      <c r="E2208" t="inlineStr"/>
      <c r="F2208" t="inlineStr"/>
      <c r="G2208" t="inlineStr">
        <is>
          <t xml:space="preserve">Andrew Carr </t>
        </is>
      </c>
      <c r="H2208" t="inlineStr">
        <is>
          <t>Car - Petrol</t>
        </is>
      </c>
      <c r="I2208" t="inlineStr">
        <is>
          <t>Daily/ Weekly Vehicle Inspection</t>
        </is>
      </c>
      <c r="J2208" t="inlineStr">
        <is>
          <t>N/A</t>
        </is>
      </c>
      <c r="K2208" t="inlineStr">
        <is>
          <t>Andrew Carr</t>
        </is>
      </c>
      <c r="L2208" t="inlineStr">
        <is>
          <t>20/11/2025 10:38</t>
        </is>
      </c>
      <c r="M2208" t="inlineStr">
        <is>
          <t>None</t>
        </is>
      </c>
      <c r="N2208" t="inlineStr">
        <is>
          <t>&lt;p&gt;&lt;/p&gt;</t>
        </is>
      </c>
      <c r="O2208" t="inlineStr"/>
      <c r="P2208" t="inlineStr"/>
      <c r="Q2208" t="inlineStr">
        <is>
          <t>SSE</t>
        </is>
      </c>
      <c r="R2208" t="b">
        <v>0</v>
      </c>
    </row>
    <row r="2209">
      <c r="A2209" t="inlineStr">
        <is>
          <t>20 Nov 2025 / Harry Bellis / Utilities / SSE</t>
        </is>
      </c>
      <c r="B2209" t="inlineStr">
        <is>
          <t>Utilities</t>
        </is>
      </c>
      <c r="C2209" t="inlineStr">
        <is>
          <t>SSE</t>
        </is>
      </c>
      <c r="D2209" t="inlineStr"/>
      <c r="E2209" t="inlineStr"/>
      <c r="F2209" t="inlineStr"/>
      <c r="G2209" t="inlineStr">
        <is>
          <t>Harry Bellis</t>
        </is>
      </c>
      <c r="H2209" t="inlineStr">
        <is>
          <t>Van</t>
        </is>
      </c>
      <c r="I2209" t="inlineStr">
        <is>
          <t>Monthly Vehicle Inspection</t>
        </is>
      </c>
      <c r="J2209" t="inlineStr">
        <is>
          <t>027211</t>
        </is>
      </c>
      <c r="K2209" t="inlineStr">
        <is>
          <t>Harry Bellis</t>
        </is>
      </c>
      <c r="L2209" t="inlineStr">
        <is>
          <t>20/11/2025 11:33</t>
        </is>
      </c>
      <c r="M2209" t="inlineStr">
        <is>
          <t>None</t>
        </is>
      </c>
      <c r="N2209" t="inlineStr">
        <is>
          <t>&lt;p&gt;&lt;/p&gt;</t>
        </is>
      </c>
      <c r="O2209" t="inlineStr"/>
      <c r="P2209" t="inlineStr"/>
      <c r="Q2209" t="inlineStr">
        <is>
          <t>SSE</t>
        </is>
      </c>
      <c r="R2209" t="b">
        <v>0</v>
      </c>
    </row>
    <row r="2210">
      <c r="A2210" t="inlineStr">
        <is>
          <t>20 Nov 2025 / 7996 M G Tree Surgery Ltd / Utilities / UKPN</t>
        </is>
      </c>
      <c r="B2210" t="inlineStr">
        <is>
          <t>Utilities</t>
        </is>
      </c>
      <c r="C2210" t="inlineStr">
        <is>
          <t>UKPN</t>
        </is>
      </c>
      <c r="D2210" t="inlineStr">
        <is>
          <t>GU13 WNL , MEWP , Land Rover , Defender 130</t>
        </is>
      </c>
      <c r="E2210" t="inlineStr">
        <is>
          <t>GU13 WNL , MEWP , Land Rover , Defender 130</t>
        </is>
      </c>
      <c r="F2210" t="inlineStr">
        <is>
          <t>GU13 WNL , MEWP , Land Rover , Defender 130</t>
        </is>
      </c>
      <c r="G2210" t="inlineStr">
        <is>
          <t>Max</t>
        </is>
      </c>
      <c r="H2210" t="inlineStr">
        <is>
          <t>4x4</t>
        </is>
      </c>
      <c r="I2210" t="inlineStr">
        <is>
          <t>Daily/ Weekly Vehicle Inspection</t>
        </is>
      </c>
      <c r="J2210" t="inlineStr">
        <is>
          <t>N/A</t>
        </is>
      </c>
      <c r="K2210" t="inlineStr">
        <is>
          <t>7996 M G Tree Surgery Ltd</t>
        </is>
      </c>
      <c r="L2210" t="inlineStr">
        <is>
          <t>20/11/2025 11:34</t>
        </is>
      </c>
      <c r="M2210" t="inlineStr">
        <is>
          <t>None</t>
        </is>
      </c>
      <c r="N2210" t="inlineStr">
        <is>
          <t>&lt;p&gt;&lt;/p&gt;</t>
        </is>
      </c>
      <c r="O2210" t="inlineStr"/>
      <c r="P2210" t="inlineStr">
        <is>
          <t>GU13 WNL , MEWP , Land Rover , Defender 130</t>
        </is>
      </c>
      <c r="Q2210" t="inlineStr">
        <is>
          <t>UKPN</t>
        </is>
      </c>
      <c r="R2210" t="b">
        <v>0</v>
      </c>
    </row>
    <row r="2211">
      <c r="A2211" t="inlineStr">
        <is>
          <t>21 Nov 2025 / 7806 Optimum Tree Services Ltd / Utilities / UKPN</t>
        </is>
      </c>
      <c r="B2211" t="inlineStr">
        <is>
          <t>Utilities</t>
        </is>
      </c>
      <c r="C2211" t="inlineStr">
        <is>
          <t>UKPN</t>
        </is>
      </c>
      <c r="D2211" t="inlineStr">
        <is>
          <t>SA9TAPLAF27414263 , Trailer , Tow Mate , Plant Trailer</t>
        </is>
      </c>
      <c r="E2211" t="inlineStr">
        <is>
          <t>SA9TAPLAF27414263 , Trailer , Tow Mate , Plant Trailer</t>
        </is>
      </c>
      <c r="F2211" t="inlineStr">
        <is>
          <t>SA9TAPLAF27414263 , Trailer , Tow Mate , Plant Trailer</t>
        </is>
      </c>
      <c r="G2211" t="inlineStr">
        <is>
          <t xml:space="preserve">Abraham Davies </t>
        </is>
      </c>
      <c r="H2211" t="inlineStr">
        <is>
          <t>Plant Trailer</t>
        </is>
      </c>
      <c r="I2211" t="inlineStr">
        <is>
          <t>Daily/ Weekly Vehicle Inspection</t>
        </is>
      </c>
      <c r="J2211" t="inlineStr">
        <is>
          <t>N/A</t>
        </is>
      </c>
      <c r="K2211" t="inlineStr">
        <is>
          <t>7806 Optimum Tree Services Ltd</t>
        </is>
      </c>
      <c r="L2211" t="inlineStr">
        <is>
          <t>21/11/2025 07:33</t>
        </is>
      </c>
      <c r="M2211" t="inlineStr">
        <is>
          <t>None</t>
        </is>
      </c>
      <c r="N2211" t="inlineStr">
        <is>
          <t>&lt;p&gt;&lt;/p&gt;</t>
        </is>
      </c>
      <c r="O2211" t="inlineStr"/>
      <c r="P2211" t="inlineStr">
        <is>
          <t>SA9TAPLAF27414263 , Trailer , Tow Mate , Plant Trailer</t>
        </is>
      </c>
      <c r="Q2211" t="inlineStr">
        <is>
          <t>UKPN</t>
        </is>
      </c>
      <c r="R2211" t="b">
        <v>0</v>
      </c>
    </row>
    <row r="2212">
      <c r="A2212" t="inlineStr">
        <is>
          <t>21 Nov 2025 / 7806 Optimum Tree Services Ltd / Utilities / UKPN</t>
        </is>
      </c>
      <c r="B2212" t="inlineStr">
        <is>
          <t>Utilities</t>
        </is>
      </c>
      <c r="C2212" t="inlineStr">
        <is>
          <t>UKPN</t>
        </is>
      </c>
      <c r="D2212" t="inlineStr">
        <is>
          <t>Wd14evn , 4x4 , Landrover  , Defender</t>
        </is>
      </c>
      <c r="E2212" t="inlineStr">
        <is>
          <t>Wd14evn , 4x4 , Landrover  , Defender</t>
        </is>
      </c>
      <c r="F2212" t="inlineStr">
        <is>
          <t>Wd14evn , 4x4 , Landrover  , Defender</t>
        </is>
      </c>
      <c r="G2212" t="inlineStr">
        <is>
          <t xml:space="preserve">Abraham Davies </t>
        </is>
      </c>
      <c r="H2212" t="inlineStr">
        <is>
          <t>4x4</t>
        </is>
      </c>
      <c r="I2212" t="inlineStr">
        <is>
          <t>Daily/ Weekly Vehicle Inspection</t>
        </is>
      </c>
      <c r="J2212" t="inlineStr">
        <is>
          <t>N/A</t>
        </is>
      </c>
      <c r="K2212" t="inlineStr">
        <is>
          <t>7806 Optimum Tree Services Ltd</t>
        </is>
      </c>
      <c r="L2212" t="inlineStr">
        <is>
          <t>21/11/2025 07:34</t>
        </is>
      </c>
      <c r="M2212" t="inlineStr">
        <is>
          <t>None</t>
        </is>
      </c>
      <c r="N2212" t="inlineStr">
        <is>
          <t>&lt;p&gt;&lt;/p&gt;</t>
        </is>
      </c>
      <c r="O2212" t="inlineStr"/>
      <c r="P2212" t="inlineStr">
        <is>
          <t>Wd14evn , 4x4 , Landrover  , Defender</t>
        </is>
      </c>
      <c r="Q2212" t="inlineStr">
        <is>
          <t>UKPN</t>
        </is>
      </c>
      <c r="R2212" t="b">
        <v>0</v>
      </c>
    </row>
    <row r="2213">
      <c r="A2213" t="inlineStr">
        <is>
          <t>21 Nov 2025 / 7800 MAC Tree Surgery and Fencing Ltd / Utilities / UKPN</t>
        </is>
      </c>
      <c r="B2213" t="inlineStr">
        <is>
          <t>Utilities</t>
        </is>
      </c>
      <c r="C2213" t="inlineStr">
        <is>
          <t>UKPN</t>
        </is>
      </c>
      <c r="D2213" t="inlineStr">
        <is>
          <t>Plant Trailer - Towmate - 2.8t - 0</t>
        </is>
      </c>
      <c r="E2213" t="inlineStr">
        <is>
          <t>Plant Trailer - Towmate - 2.8t - 0</t>
        </is>
      </c>
      <c r="F2213" t="inlineStr">
        <is>
          <t>Plant Trailer - Towmate - 2.8t - 0</t>
        </is>
      </c>
      <c r="G2213" t="inlineStr">
        <is>
          <t xml:space="preserve">Patrick O'Shea </t>
        </is>
      </c>
      <c r="H2213" t="inlineStr">
        <is>
          <t>Plant Trailer</t>
        </is>
      </c>
      <c r="I2213" t="inlineStr">
        <is>
          <t>Daily/ Weekly Vehicle Inspection</t>
        </is>
      </c>
      <c r="J2213" t="inlineStr">
        <is>
          <t>N/A</t>
        </is>
      </c>
      <c r="K2213" t="inlineStr">
        <is>
          <t>7800 MAC Tree Surgery and Fencing Ltd</t>
        </is>
      </c>
      <c r="L2213" t="inlineStr">
        <is>
          <t>21/11/2025 08:35</t>
        </is>
      </c>
      <c r="M2213" t="inlineStr">
        <is>
          <t>None</t>
        </is>
      </c>
      <c r="N2213" t="inlineStr">
        <is>
          <t>&lt;p&gt;&lt;/p&gt;</t>
        </is>
      </c>
      <c r="O2213" t="inlineStr"/>
      <c r="P2213" t="inlineStr">
        <is>
          <t>Plant Trailer - Towmate - 2.8t - 0</t>
        </is>
      </c>
      <c r="Q2213" t="inlineStr">
        <is>
          <t>UKPN</t>
        </is>
      </c>
      <c r="R2213" t="b">
        <v>0</v>
      </c>
    </row>
    <row r="2214">
      <c r="A2214" t="inlineStr">
        <is>
          <t>21 Nov 2025 / 7800 MAC Tree Surgery and Fencing Ltd / Utilities / UKPN</t>
        </is>
      </c>
      <c r="B2214" t="inlineStr">
        <is>
          <t>Utilities</t>
        </is>
      </c>
      <c r="C2214" t="inlineStr">
        <is>
          <t>UKPN</t>
        </is>
      </c>
      <c r="D2214" t="inlineStr">
        <is>
          <t>AY68DAA , 4x4 , Izuzu , Dmax</t>
        </is>
      </c>
      <c r="E2214" t="inlineStr">
        <is>
          <t>AY68DAA , 4x4 , Izuzu , Dmax</t>
        </is>
      </c>
      <c r="F2214" t="inlineStr">
        <is>
          <t>AY68DAA , 4x4 , Izuzu , Dmax</t>
        </is>
      </c>
      <c r="G2214" t="inlineStr">
        <is>
          <t xml:space="preserve">Patrick O'Shea </t>
        </is>
      </c>
      <c r="H2214" t="inlineStr">
        <is>
          <t>4x4</t>
        </is>
      </c>
      <c r="I2214" t="inlineStr">
        <is>
          <t>Daily/ Weekly Vehicle Inspection</t>
        </is>
      </c>
      <c r="J2214" t="inlineStr">
        <is>
          <t>N/A</t>
        </is>
      </c>
      <c r="K2214" t="inlineStr">
        <is>
          <t>7800 MAC Tree Surgery and Fencing Ltd</t>
        </is>
      </c>
      <c r="L2214" t="inlineStr">
        <is>
          <t>21/11/2025 08:35</t>
        </is>
      </c>
      <c r="M2214" t="inlineStr">
        <is>
          <t>None</t>
        </is>
      </c>
      <c r="N2214" t="inlineStr">
        <is>
          <t>&lt;p&gt;&lt;/p&gt;</t>
        </is>
      </c>
      <c r="O2214" t="inlineStr"/>
      <c r="P2214" t="inlineStr">
        <is>
          <t>AY68DAA , 4x4 , Izuzu , Dmax</t>
        </is>
      </c>
      <c r="Q2214" t="inlineStr">
        <is>
          <t>UKPN</t>
        </is>
      </c>
      <c r="R2214" t="b">
        <v>0</v>
      </c>
    </row>
    <row r="2215">
      <c r="A2215" t="inlineStr">
        <is>
          <t>21 Nov 2025 / 7951 Austin Tree Care LTD / Utilities / UKPN</t>
        </is>
      </c>
      <c r="B2215" t="inlineStr">
        <is>
          <t>Utilities</t>
        </is>
      </c>
      <c r="C2215" t="inlineStr">
        <is>
          <t>UKPN</t>
        </is>
      </c>
      <c r="D2215" t="inlineStr">
        <is>
          <t>SA9ST6P0001283612 , Tow Chipper , Forst , ST6p</t>
        </is>
      </c>
      <c r="E2215" t="inlineStr">
        <is>
          <t>SA9ST6P0001283612 , Tow Chipper , Forst , ST6p</t>
        </is>
      </c>
      <c r="F2215" t="inlineStr">
        <is>
          <t>SA9ST6P0001283612 , Tow Chipper , Forst , ST6p</t>
        </is>
      </c>
      <c r="G2215" t="inlineStr">
        <is>
          <t xml:space="preserve">Jack Austin </t>
        </is>
      </c>
      <c r="H2215" t="inlineStr">
        <is>
          <t>Towed Chipper</t>
        </is>
      </c>
      <c r="I2215" t="inlineStr">
        <is>
          <t>Daily/ Weekly Vehicle Inspection</t>
        </is>
      </c>
      <c r="J2215" t="inlineStr">
        <is>
          <t>N/A</t>
        </is>
      </c>
      <c r="K2215" t="inlineStr">
        <is>
          <t>7951 Austin Tree Care LTD</t>
        </is>
      </c>
      <c r="L2215" t="inlineStr">
        <is>
          <t>21/11/2025 08:36</t>
        </is>
      </c>
      <c r="M2215" t="inlineStr">
        <is>
          <t>None</t>
        </is>
      </c>
      <c r="N2215" t="inlineStr">
        <is>
          <t>&lt;p&gt;&lt;/p&gt;</t>
        </is>
      </c>
      <c r="O2215" t="inlineStr"/>
      <c r="P2215" t="inlineStr">
        <is>
          <t>SA9ST6P0001283612 , Tow Chipper , Forst , ST6p</t>
        </is>
      </c>
      <c r="Q2215" t="inlineStr">
        <is>
          <t>UKPN</t>
        </is>
      </c>
      <c r="R2215" t="b">
        <v>0</v>
      </c>
    </row>
    <row r="2216">
      <c r="A2216" t="inlineStr">
        <is>
          <t>21 Nov 2025 / 7951 Austin Tree Care LTD / Utilities / UKPN</t>
        </is>
      </c>
      <c r="B2216" t="inlineStr">
        <is>
          <t>Utilities</t>
        </is>
      </c>
      <c r="C2216" t="inlineStr">
        <is>
          <t>UKPN</t>
        </is>
      </c>
      <c r="D2216" t="inlineStr">
        <is>
          <t>WF61 HZV , 4x4 MEWP , Land Rover , Defender</t>
        </is>
      </c>
      <c r="E2216" t="inlineStr">
        <is>
          <t>WF61 HZV , 4x4 MEWP , Land Rover , Defender</t>
        </is>
      </c>
      <c r="F2216" t="inlineStr">
        <is>
          <t>WF61 HZV , 4x4 MEWP , Land Rover , Defender</t>
        </is>
      </c>
      <c r="G2216" t="inlineStr">
        <is>
          <t xml:space="preserve">Jack Austin </t>
        </is>
      </c>
      <c r="H2216" t="inlineStr">
        <is>
          <t>4x4</t>
        </is>
      </c>
      <c r="I2216" t="inlineStr">
        <is>
          <t>Daily/ Weekly Vehicle Inspection</t>
        </is>
      </c>
      <c r="J2216" t="inlineStr">
        <is>
          <t>N/A</t>
        </is>
      </c>
      <c r="K2216" t="inlineStr">
        <is>
          <t>7951 Austin Tree Care LTD</t>
        </is>
      </c>
      <c r="L2216" t="inlineStr">
        <is>
          <t>21/11/2025 08:37</t>
        </is>
      </c>
      <c r="M2216" t="inlineStr">
        <is>
          <t>None</t>
        </is>
      </c>
      <c r="N2216" t="inlineStr">
        <is>
          <t>&lt;p&gt;&lt;/p&gt;</t>
        </is>
      </c>
      <c r="O2216" t="inlineStr"/>
      <c r="P2216" t="inlineStr">
        <is>
          <t>WF61 HZV , 4x4 MEWP , Land Rover , Defender</t>
        </is>
      </c>
      <c r="Q2216" t="inlineStr">
        <is>
          <t>UKPN</t>
        </is>
      </c>
      <c r="R2216" t="b">
        <v>0</v>
      </c>
    </row>
    <row r="2217">
      <c r="A2217" t="inlineStr">
        <is>
          <t>21 Nov 2025 / Anthony Gale / Utilities / UKPN</t>
        </is>
      </c>
      <c r="B2217" t="inlineStr">
        <is>
          <t>Utilities</t>
        </is>
      </c>
      <c r="C2217" t="inlineStr">
        <is>
          <t>UKPN</t>
        </is>
      </c>
      <c r="D2217" t="inlineStr"/>
      <c r="E2217" t="inlineStr"/>
      <c r="F2217" t="inlineStr"/>
      <c r="G2217" t="inlineStr">
        <is>
          <t>Anthony Gale</t>
        </is>
      </c>
      <c r="H2217" t="inlineStr">
        <is>
          <t>Towed Chipper</t>
        </is>
      </c>
      <c r="I2217" t="inlineStr">
        <is>
          <t>Daily/ Weekly Vehicle Inspection</t>
        </is>
      </c>
      <c r="J2217" t="inlineStr">
        <is>
          <t>N/A</t>
        </is>
      </c>
      <c r="K2217" t="inlineStr">
        <is>
          <t>7996 M G Tree Surgery Ltd 1</t>
        </is>
      </c>
      <c r="L2217" t="inlineStr">
        <is>
          <t>21/11/2025 09:34</t>
        </is>
      </c>
      <c r="M2217" t="inlineStr">
        <is>
          <t>None</t>
        </is>
      </c>
      <c r="N2217" t="inlineStr">
        <is>
          <t>&lt;p&gt;&lt;/p&gt;</t>
        </is>
      </c>
      <c r="O2217" t="inlineStr"/>
      <c r="P2217" t="inlineStr"/>
      <c r="Q2217" t="inlineStr">
        <is>
          <t>UKPN</t>
        </is>
      </c>
      <c r="R2217" t="b">
        <v>0</v>
      </c>
    </row>
    <row r="2218">
      <c r="A2218" t="inlineStr">
        <is>
          <t>21 Nov 2025 / Anthony Gale / Utilities / UKPN</t>
        </is>
      </c>
      <c r="B2218" t="inlineStr">
        <is>
          <t>Utilities</t>
        </is>
      </c>
      <c r="C2218" t="inlineStr">
        <is>
          <t>UKPN</t>
        </is>
      </c>
      <c r="D2218" t="inlineStr">
        <is>
          <t>KX20 BCE , Tipper , Isuzu , D-Max</t>
        </is>
      </c>
      <c r="E2218" t="inlineStr">
        <is>
          <t>KX20 BCE , Tipper , Isuzu , D-Max</t>
        </is>
      </c>
      <c r="F2218" t="inlineStr">
        <is>
          <t>KX20 BCE , Tipper , Isuzu , D-Max</t>
        </is>
      </c>
      <c r="G2218" t="inlineStr">
        <is>
          <t>Anthony Gale</t>
        </is>
      </c>
      <c r="H2218" t="inlineStr">
        <is>
          <t>Pickup Truck</t>
        </is>
      </c>
      <c r="I2218" t="inlineStr">
        <is>
          <t>Daily/ Weekly Vehicle Inspection</t>
        </is>
      </c>
      <c r="J2218" t="inlineStr">
        <is>
          <t>N/A</t>
        </is>
      </c>
      <c r="K2218" t="inlineStr">
        <is>
          <t>7996 M G Tree Surgery Ltd 1</t>
        </is>
      </c>
      <c r="L2218" t="inlineStr">
        <is>
          <t>21/11/2025 09:34</t>
        </is>
      </c>
      <c r="M2218" t="inlineStr">
        <is>
          <t>None</t>
        </is>
      </c>
      <c r="N2218" t="inlineStr">
        <is>
          <t>&lt;p&gt;&lt;/p&gt;</t>
        </is>
      </c>
      <c r="O2218" t="inlineStr"/>
      <c r="P2218" t="inlineStr">
        <is>
          <t>KX20 BCE , Tipper , Isuzu , D-Max</t>
        </is>
      </c>
      <c r="Q2218" t="inlineStr">
        <is>
          <t>UKPN</t>
        </is>
      </c>
      <c r="R2218" t="b">
        <v>0</v>
      </c>
    </row>
    <row r="2219">
      <c r="A2219" t="inlineStr">
        <is>
          <t>21 Nov 2025 / Daniel Hackett / Utilities / NGED</t>
        </is>
      </c>
      <c r="B2219" t="inlineStr">
        <is>
          <t>Utilities</t>
        </is>
      </c>
      <c r="C2219" t="inlineStr">
        <is>
          <t>NGED</t>
        </is>
      </c>
      <c r="D2219" t="inlineStr">
        <is>
          <t>AK70TKJ , Car - Electric , Tesla , Model 3 Long Range AWD</t>
        </is>
      </c>
      <c r="E2219" t="inlineStr">
        <is>
          <t>AK70TKJ , Car - Electric , Tesla , Model 3 Long Range AWD</t>
        </is>
      </c>
      <c r="F2219" t="inlineStr">
        <is>
          <t>AK70TKJ , Car - Electric , Tesla , Model 3 Long Range AWD</t>
        </is>
      </c>
      <c r="G2219" t="inlineStr">
        <is>
          <t xml:space="preserve">Daniel Hackett </t>
        </is>
      </c>
      <c r="H2219" t="inlineStr">
        <is>
          <t>Car - Electric (GC Owned)</t>
        </is>
      </c>
      <c r="I2219" t="inlineStr">
        <is>
          <t>Daily/ Weekly Vehicle Inspection</t>
        </is>
      </c>
      <c r="J2219" t="inlineStr">
        <is>
          <t>N/A</t>
        </is>
      </c>
      <c r="K2219" t="inlineStr">
        <is>
          <t>Daniel Hackett</t>
        </is>
      </c>
      <c r="L2219" t="inlineStr">
        <is>
          <t>21/11/2025 12:34</t>
        </is>
      </c>
      <c r="M2219" t="inlineStr">
        <is>
          <t xml:space="preserve">Confirm that you have checked this vehicle as per the guidance document and the vehicle is safe and roadworthy: Fail
Is this vehicle safe to drive &amp; road legal: Fail
</t>
        </is>
      </c>
      <c r="N2219" t="inlineStr">
        <is>
          <t>&lt;p&gt;&lt;/p&gt;</t>
        </is>
      </c>
      <c r="O2219" t="inlineStr">
        <is>
          <t>Is this vehicle safe to drive &amp; road legal:Will be OK to drive to have tyre repair.
-</t>
        </is>
      </c>
      <c r="P2219" t="inlineStr">
        <is>
          <t>AK70TKJ , Car - Electric , Tesla , Model 3 Long Range AWD</t>
        </is>
      </c>
      <c r="Q2219" t="inlineStr">
        <is>
          <t>NGED</t>
        </is>
      </c>
      <c r="R2219" t="b">
        <v>0</v>
      </c>
    </row>
    <row r="2220">
      <c r="A2220" t="inlineStr">
        <is>
          <t>21 Nov 2025 / Martin Rawlings / Utilities / NGED</t>
        </is>
      </c>
      <c r="B2220" t="inlineStr">
        <is>
          <t>Utilities</t>
        </is>
      </c>
      <c r="C2220" t="inlineStr">
        <is>
          <t>NGED</t>
        </is>
      </c>
      <c r="D2220" t="inlineStr">
        <is>
          <t>GJ20XKT , Car - Electric , Tesla , Model 3 Long Range AWD</t>
        </is>
      </c>
      <c r="E2220" t="inlineStr">
        <is>
          <t>GJ20XKT , Car - Electric , Tesla , Model 3 Long Range AWD</t>
        </is>
      </c>
      <c r="F2220" t="inlineStr">
        <is>
          <t>GJ20XKT , Car - Electric , Tesla , Model 3 Long Range AWD</t>
        </is>
      </c>
      <c r="G2220" t="inlineStr">
        <is>
          <t>Martin Rawlings</t>
        </is>
      </c>
      <c r="H2220" t="inlineStr">
        <is>
          <t>Car - Electric (GC Owned)</t>
        </is>
      </c>
      <c r="I2220" t="inlineStr">
        <is>
          <t>Daily/ Weekly Vehicle Inspection</t>
        </is>
      </c>
      <c r="J2220" t="inlineStr">
        <is>
          <t>N/A</t>
        </is>
      </c>
      <c r="K2220" t="inlineStr">
        <is>
          <t>Martin Rawlings</t>
        </is>
      </c>
      <c r="L2220" t="inlineStr">
        <is>
          <t>21/11/2025 13:33</t>
        </is>
      </c>
      <c r="M2220" t="inlineStr">
        <is>
          <t>None</t>
        </is>
      </c>
      <c r="N2220" t="inlineStr">
        <is>
          <t>&lt;p&gt;&lt;/p&gt;</t>
        </is>
      </c>
      <c r="O2220" t="inlineStr"/>
      <c r="P2220" t="inlineStr">
        <is>
          <t>GJ20XKT , Car - Electric , Tesla , Model 3 Long Range AWD</t>
        </is>
      </c>
      <c r="Q2220" t="inlineStr">
        <is>
          <t>NGED</t>
        </is>
      </c>
      <c r="R2220" t="b">
        <v>0</v>
      </c>
    </row>
    <row r="2221">
      <c r="A2221" t="inlineStr">
        <is>
          <t>21 Nov 2025 / 7928 High Branch 1 / Utilities / SSE</t>
        </is>
      </c>
      <c r="B2221" t="inlineStr">
        <is>
          <t>Utilities</t>
        </is>
      </c>
      <c r="C2221" t="inlineStr">
        <is>
          <t>SSE</t>
        </is>
      </c>
      <c r="D2221" t="inlineStr"/>
      <c r="E2221" t="inlineStr"/>
      <c r="F2221" t="inlineStr"/>
      <c r="G2221" t="inlineStr">
        <is>
          <t>Sam belcher</t>
        </is>
      </c>
      <c r="H2221" t="inlineStr">
        <is>
          <t>4x4</t>
        </is>
      </c>
      <c r="I2221" t="inlineStr">
        <is>
          <t>Daily/ Weekly Vehicle Inspection</t>
        </is>
      </c>
      <c r="J2221" t="inlineStr">
        <is>
          <t>N/A</t>
        </is>
      </c>
      <c r="K2221" t="inlineStr">
        <is>
          <t>7928 High Branch 1</t>
        </is>
      </c>
      <c r="L2221" t="inlineStr">
        <is>
          <t>21/11/2025 13:34</t>
        </is>
      </c>
      <c r="M2221" t="inlineStr">
        <is>
          <t>None</t>
        </is>
      </c>
      <c r="N2221" t="inlineStr">
        <is>
          <t>&lt;p&gt;&lt;/p&gt;</t>
        </is>
      </c>
      <c r="O2221" t="inlineStr"/>
      <c r="P2221" t="inlineStr"/>
      <c r="Q2221" t="inlineStr">
        <is>
          <t>SSE</t>
        </is>
      </c>
      <c r="R2221" t="b">
        <v>0</v>
      </c>
    </row>
    <row r="2222">
      <c r="A2222" t="inlineStr">
        <is>
          <t>23 Nov 2025 / 3098 D &amp; R Landscapes / Utilities / UKPN</t>
        </is>
      </c>
      <c r="B2222" t="inlineStr">
        <is>
          <t>Utilities</t>
        </is>
      </c>
      <c r="C2222" t="inlineStr">
        <is>
          <t>UKPN</t>
        </is>
      </c>
      <c r="D2222" t="inlineStr">
        <is>
          <t>WA13ZZK , 4x4 , Land Rover  , Defender</t>
        </is>
      </c>
      <c r="E2222" t="inlineStr">
        <is>
          <t>WA13ZZK , 4x4 , Land Rover  , Defender</t>
        </is>
      </c>
      <c r="F2222" t="inlineStr">
        <is>
          <t>WA13ZZK , 4x4 , Land Rover  , Defender</t>
        </is>
      </c>
      <c r="G2222" t="inlineStr">
        <is>
          <t>Jason</t>
        </is>
      </c>
      <c r="H2222" t="inlineStr">
        <is>
          <t>Pickup Truck</t>
        </is>
      </c>
      <c r="I2222" t="inlineStr">
        <is>
          <t>Daily/ Weekly Vehicle Inspection</t>
        </is>
      </c>
      <c r="J2222" t="inlineStr">
        <is>
          <t>N/A</t>
        </is>
      </c>
      <c r="K2222" t="inlineStr">
        <is>
          <t>3098 D &amp; R Landscapes</t>
        </is>
      </c>
      <c r="L2222" t="inlineStr">
        <is>
          <t>23/11/2025 09:33</t>
        </is>
      </c>
      <c r="M2222" t="inlineStr">
        <is>
          <t>None</t>
        </is>
      </c>
      <c r="N2222" t="inlineStr">
        <is>
          <t>&lt;p&gt;&lt;/p&gt;</t>
        </is>
      </c>
      <c r="O2222" t="inlineStr"/>
      <c r="P2222" t="inlineStr">
        <is>
          <t>WA13ZZK , 4x4 , Land Rover  , Defender</t>
        </is>
      </c>
      <c r="Q2222" t="inlineStr">
        <is>
          <t>UKPN</t>
        </is>
      </c>
      <c r="R2222" t="b">
        <v>0</v>
      </c>
    </row>
    <row r="2223">
      <c r="A2223" t="inlineStr">
        <is>
          <t>24 Nov 2025 / Thomas Nandi / Utilities / SSE</t>
        </is>
      </c>
      <c r="B2223" t="inlineStr">
        <is>
          <t>Utilities</t>
        </is>
      </c>
      <c r="C2223" t="inlineStr">
        <is>
          <t>SSE</t>
        </is>
      </c>
      <c r="D2223" t="inlineStr"/>
      <c r="E2223" t="inlineStr"/>
      <c r="F2223" t="inlineStr"/>
      <c r="G2223" t="inlineStr">
        <is>
          <t xml:space="preserve">Tom Nandi </t>
        </is>
      </c>
      <c r="H2223" t="inlineStr">
        <is>
          <t>Car - Petrol</t>
        </is>
      </c>
      <c r="I2223" t="inlineStr">
        <is>
          <t>Daily/ Weekly Vehicle Inspection</t>
        </is>
      </c>
      <c r="J2223" t="inlineStr">
        <is>
          <t>N/A</t>
        </is>
      </c>
      <c r="K2223" t="inlineStr">
        <is>
          <t>Thomas Nandi</t>
        </is>
      </c>
      <c r="L2223" t="inlineStr">
        <is>
          <t>24/11/2025 07:35</t>
        </is>
      </c>
      <c r="M2223" t="inlineStr">
        <is>
          <t>None</t>
        </is>
      </c>
      <c r="N2223" t="inlineStr">
        <is>
          <t>&lt;p&gt;&lt;/p&gt;</t>
        </is>
      </c>
      <c r="O2223" t="inlineStr"/>
      <c r="P2223" t="inlineStr"/>
      <c r="Q2223" t="inlineStr">
        <is>
          <t>SSE</t>
        </is>
      </c>
      <c r="R2223" t="b">
        <v>0</v>
      </c>
    </row>
    <row r="2224">
      <c r="A2224" t="inlineStr">
        <is>
          <t>24 Nov 2025 / 7951 Austin Tree Care LTD / Utilities / UKPN</t>
        </is>
      </c>
      <c r="B2224" t="inlineStr">
        <is>
          <t>Utilities</t>
        </is>
      </c>
      <c r="C2224" t="inlineStr">
        <is>
          <t>UKPN</t>
        </is>
      </c>
      <c r="D2224" t="inlineStr">
        <is>
          <t>SA9ST6P0001283612 , Tow Chipper , Forst , ST6p</t>
        </is>
      </c>
      <c r="E2224" t="inlineStr">
        <is>
          <t>SA9ST6P0001283612 , Tow Chipper , Forst , ST6p</t>
        </is>
      </c>
      <c r="F2224" t="inlineStr">
        <is>
          <t>SA9ST6P0001283612 , Tow Chipper , Forst , ST6p</t>
        </is>
      </c>
      <c r="G2224" t="inlineStr">
        <is>
          <t xml:space="preserve">Jack Austin </t>
        </is>
      </c>
      <c r="H2224" t="inlineStr">
        <is>
          <t>Towed Chipper</t>
        </is>
      </c>
      <c r="I2224" t="inlineStr">
        <is>
          <t>Daily/ Weekly Vehicle Inspection</t>
        </is>
      </c>
      <c r="J2224" t="inlineStr">
        <is>
          <t>N/A</t>
        </is>
      </c>
      <c r="K2224" t="inlineStr">
        <is>
          <t>7951 Austin Tree Care LTD</t>
        </is>
      </c>
      <c r="L2224" t="inlineStr">
        <is>
          <t>24/11/2025 07:37</t>
        </is>
      </c>
      <c r="M2224" t="inlineStr">
        <is>
          <t>None</t>
        </is>
      </c>
      <c r="N2224" t="inlineStr">
        <is>
          <t>&lt;p&gt;&lt;/p&gt;</t>
        </is>
      </c>
      <c r="O2224" t="inlineStr"/>
      <c r="P2224" t="inlineStr">
        <is>
          <t>SA9ST6P0001283612 , Tow Chipper , Forst , ST6p</t>
        </is>
      </c>
      <c r="Q2224" t="inlineStr">
        <is>
          <t>UKPN</t>
        </is>
      </c>
      <c r="R2224" t="b">
        <v>0</v>
      </c>
    </row>
    <row r="2225">
      <c r="A2225" t="inlineStr">
        <is>
          <t>24 Nov 2025 / 7951 Austin Tree Care LTD / Utilities / UKPN</t>
        </is>
      </c>
      <c r="B2225" t="inlineStr">
        <is>
          <t>Utilities</t>
        </is>
      </c>
      <c r="C2225" t="inlineStr">
        <is>
          <t>UKPN</t>
        </is>
      </c>
      <c r="D2225" t="inlineStr">
        <is>
          <t>WF61 HZV , 4x4 MEWP , Land Rover , Defender</t>
        </is>
      </c>
      <c r="E2225" t="inlineStr">
        <is>
          <t>WF61 HZV , 4x4 MEWP , Land Rover , Defender</t>
        </is>
      </c>
      <c r="F2225" t="inlineStr">
        <is>
          <t>WF61 HZV , 4x4 MEWP , Land Rover , Defender</t>
        </is>
      </c>
      <c r="G2225" t="inlineStr">
        <is>
          <t xml:space="preserve">Jack Austin </t>
        </is>
      </c>
      <c r="H2225" t="inlineStr">
        <is>
          <t>4x4</t>
        </is>
      </c>
      <c r="I2225" t="inlineStr">
        <is>
          <t>Daily/ Weekly Vehicle Inspection</t>
        </is>
      </c>
      <c r="J2225" t="inlineStr">
        <is>
          <t>N/A</t>
        </is>
      </c>
      <c r="K2225" t="inlineStr">
        <is>
          <t>7951 Austin Tree Care LTD</t>
        </is>
      </c>
      <c r="L2225" t="inlineStr">
        <is>
          <t>24/11/2025 07:37</t>
        </is>
      </c>
      <c r="M2225" t="inlineStr">
        <is>
          <t>None</t>
        </is>
      </c>
      <c r="N2225" t="inlineStr">
        <is>
          <t>&lt;p&gt;&lt;/p&gt;</t>
        </is>
      </c>
      <c r="O2225" t="inlineStr"/>
      <c r="P2225" t="inlineStr">
        <is>
          <t>WF61 HZV , 4x4 MEWP , Land Rover , Defender</t>
        </is>
      </c>
      <c r="Q2225" t="inlineStr">
        <is>
          <t>UKPN</t>
        </is>
      </c>
      <c r="R2225" t="b">
        <v>0</v>
      </c>
    </row>
    <row r="2226">
      <c r="A2226" t="inlineStr">
        <is>
          <t>24 Nov 2025 / 7889 Tree Tech Suffolk Ltd</t>
        </is>
      </c>
      <c r="B2226" t="inlineStr">
        <is>
          <t>Utilities &amp; Inland Waterways</t>
        </is>
      </c>
      <c r="C2226" t="inlineStr">
        <is>
          <t>UKPN</t>
        </is>
      </c>
      <c r="D2226" t="inlineStr">
        <is>
          <t>Tow Chipper - Jenson - A530L - 55210639484x4 - Isuzu - D-max - NS03 TTSTipper - Nissan - Navara - NS02TTS</t>
        </is>
      </c>
      <c r="E2226" t="inlineStr">
        <is>
          <t>Tow Chipper - Jenson - A530L - 55210639484x4 - Isuzu - D-max - NS03 TTSTipper - Nissan - Navara - NS02TTS</t>
        </is>
      </c>
      <c r="F2226" t="inlineStr">
        <is>
          <t>Tow Chipper - Jenson - A530L - 55210639484x4 - Isuzu - D-max - NS03 TTSTipper - Nissan - Navara - NS02TTS</t>
        </is>
      </c>
      <c r="G2226" t="inlineStr">
        <is>
          <t xml:space="preserve">Danny Appleby Danny Appleby Nikki sparrow </t>
        </is>
      </c>
      <c r="H2226" t="inlineStr">
        <is>
          <t>Towed Chipper4x4Tipper</t>
        </is>
      </c>
      <c r="I2226" t="inlineStr">
        <is>
          <t>Daily/ Weekly Vehicle Inspection</t>
        </is>
      </c>
      <c r="J2226" t="inlineStr">
        <is>
          <t>N/A</t>
        </is>
      </c>
      <c r="K2226" t="inlineStr">
        <is>
          <t>7889 Tree Tech Suffolk Ltd</t>
        </is>
      </c>
      <c r="L2226" t="inlineStr">
        <is>
          <t>24/11/2025 07:39</t>
        </is>
      </c>
      <c r="M2226" t="inlineStr">
        <is>
          <t>None</t>
        </is>
      </c>
      <c r="N2226" t="inlineStr">
        <is>
          <t>&lt;p&gt;&lt;/p&gt;</t>
        </is>
      </c>
      <c r="O2226" t="inlineStr">
        <is>
          <t>Select Vehicle:Ns08 tts</t>
        </is>
      </c>
      <c r="P2226" t="inlineStr">
        <is>
          <t>Tow Chipper - Jenson - A530L - 55210639484x4 - Isuzu - D-max - NS03 TTSTipper - Nissan - Navara - NS02TTS</t>
        </is>
      </c>
      <c r="Q2226" t="inlineStr">
        <is>
          <t>UKPN</t>
        </is>
      </c>
      <c r="R2226" t="b">
        <v>0</v>
      </c>
    </row>
    <row r="2227">
      <c r="A2227" t="inlineStr">
        <is>
          <t>20 Nov 2025 / 7889 Tree Tech Suffolk Ltd</t>
        </is>
      </c>
      <c r="B2227" t="inlineStr">
        <is>
          <t>Utilities &amp; Inland Waterways</t>
        </is>
      </c>
      <c r="C2227" t="inlineStr">
        <is>
          <t>UKPN</t>
        </is>
      </c>
      <c r="D2227" t="inlineStr">
        <is>
          <t>Tow Chipper - Jenson - A530L - 55210639484x4 - Isuzu - D-max - NS03 TTSTipper - Nissan - Navara - NS02TTS</t>
        </is>
      </c>
      <c r="E2227" t="inlineStr">
        <is>
          <t>Tow Chipper - Jenson - A530L - 55210639484x4 - Isuzu - D-max - NS03 TTSTipper - Nissan - Navara - NS02TTS</t>
        </is>
      </c>
      <c r="F2227" t="inlineStr">
        <is>
          <t>Tow Chipper - Jenson - A530L - 55210639484x4 - Isuzu - D-max - NS03 TTSTipper - Nissan - Navara - NS02TTS</t>
        </is>
      </c>
      <c r="G2227" t="inlineStr">
        <is>
          <t xml:space="preserve">Danny Appleby Danny Appleby Nikki sparrow </t>
        </is>
      </c>
      <c r="H2227" t="inlineStr">
        <is>
          <t>Towed Chipper4x4Tipper</t>
        </is>
      </c>
      <c r="I2227" t="inlineStr">
        <is>
          <t>Daily/ Weekly Vehicle Inspection</t>
        </is>
      </c>
      <c r="J2227" t="inlineStr">
        <is>
          <t>N/A</t>
        </is>
      </c>
      <c r="K2227" t="inlineStr">
        <is>
          <t>7889 Tree Tech Suffolk Ltd</t>
        </is>
      </c>
      <c r="L2227" t="inlineStr">
        <is>
          <t>24/11/2025 07:39</t>
        </is>
      </c>
      <c r="M2227" t="inlineStr">
        <is>
          <t>None</t>
        </is>
      </c>
      <c r="N2227" t="inlineStr">
        <is>
          <t>&lt;p&gt;&lt;/p&gt;</t>
        </is>
      </c>
      <c r="O2227" t="inlineStr">
        <is>
          <t>Select Vehicle:Ns08 tts</t>
        </is>
      </c>
      <c r="P2227" t="inlineStr">
        <is>
          <t>Tow Chipper - Jenson - A530L - 55210639484x4 - Isuzu - D-max - NS03 TTSTipper - Nissan - Navara - NS02TTS</t>
        </is>
      </c>
      <c r="Q2227" t="inlineStr">
        <is>
          <t>UKPN</t>
        </is>
      </c>
      <c r="R2227" t="b">
        <v>0</v>
      </c>
    </row>
    <row r="2228">
      <c r="A2228" t="inlineStr">
        <is>
          <t>24 Nov 2025 / Anthony Gale / Utilities / UKPN</t>
        </is>
      </c>
      <c r="B2228" t="inlineStr">
        <is>
          <t>Utilities</t>
        </is>
      </c>
      <c r="C2228" t="inlineStr">
        <is>
          <t>UKPN</t>
        </is>
      </c>
      <c r="D2228" t="inlineStr">
        <is>
          <t>KX20 BCE , Tipper , Isuzu , D-Max</t>
        </is>
      </c>
      <c r="E2228" t="inlineStr">
        <is>
          <t>KX20 BCE , Tipper , Isuzu , D-Max</t>
        </is>
      </c>
      <c r="F2228" t="inlineStr">
        <is>
          <t>KX20 BCE , Tipper , Isuzu , D-Max</t>
        </is>
      </c>
      <c r="G2228" t="inlineStr">
        <is>
          <t>Anthony Gale</t>
        </is>
      </c>
      <c r="H2228" t="inlineStr">
        <is>
          <t>Pickup Truck</t>
        </is>
      </c>
      <c r="I2228" t="inlineStr">
        <is>
          <t>Daily/ Weekly Vehicle Inspection</t>
        </is>
      </c>
      <c r="J2228" t="inlineStr">
        <is>
          <t>N/A</t>
        </is>
      </c>
      <c r="K2228" t="inlineStr">
        <is>
          <t>7996 M G Tree Surgery Ltd 1</t>
        </is>
      </c>
      <c r="L2228" t="inlineStr">
        <is>
          <t>24/11/2025 07:43</t>
        </is>
      </c>
      <c r="M2228" t="inlineStr">
        <is>
          <t>None</t>
        </is>
      </c>
      <c r="N2228" t="inlineStr">
        <is>
          <t>&lt;p&gt;&lt;/p&gt;</t>
        </is>
      </c>
      <c r="O2228" t="inlineStr"/>
      <c r="P2228" t="inlineStr">
        <is>
          <t>KX20 BCE , Tipper , Isuzu , D-Max</t>
        </is>
      </c>
      <c r="Q2228" t="inlineStr">
        <is>
          <t>UKPN</t>
        </is>
      </c>
      <c r="R2228" t="b">
        <v>0</v>
      </c>
    </row>
    <row r="2229">
      <c r="A2229" t="inlineStr">
        <is>
          <t>21 Nov 2025 / 7951 Austin Tree Care LTD 1 / Utilities / UKPN</t>
        </is>
      </c>
      <c r="B2229" t="inlineStr">
        <is>
          <t>Utilities</t>
        </is>
      </c>
      <c r="C2229" t="inlineStr">
        <is>
          <t>UKPN</t>
        </is>
      </c>
      <c r="D2229" t="inlineStr">
        <is>
          <t>KN58 FUY , Tipper , Volkswagan , Crafter</t>
        </is>
      </c>
      <c r="E2229" t="inlineStr">
        <is>
          <t>KN58 FUY , Tipper , Volkswagan , Crafter</t>
        </is>
      </c>
      <c r="F2229" t="inlineStr">
        <is>
          <t>KN58 FUY , Tipper , Volkswagan , Crafter</t>
        </is>
      </c>
      <c r="G2229" t="inlineStr">
        <is>
          <t xml:space="preserve">James Tasker </t>
        </is>
      </c>
      <c r="H2229" t="inlineStr">
        <is>
          <t>Tipper</t>
        </is>
      </c>
      <c r="I2229" t="inlineStr">
        <is>
          <t>Daily/ Weekly Vehicle Inspection</t>
        </is>
      </c>
      <c r="J2229" t="inlineStr">
        <is>
          <t>N/A</t>
        </is>
      </c>
      <c r="K2229" t="inlineStr">
        <is>
          <t>7951 Austin Tree Care LTD 1</t>
        </is>
      </c>
      <c r="L2229" t="inlineStr">
        <is>
          <t>24/11/2025 09:37</t>
        </is>
      </c>
      <c r="M2229" t="inlineStr">
        <is>
          <t>None</t>
        </is>
      </c>
      <c r="N2229" t="inlineStr">
        <is>
          <t>&lt;p&gt;&lt;/p&gt;</t>
        </is>
      </c>
      <c r="O2229" t="inlineStr"/>
      <c r="P2229" t="inlineStr">
        <is>
          <t>KN58 FUY , Tipper , Volkswagan , Crafter</t>
        </is>
      </c>
      <c r="Q2229" t="inlineStr">
        <is>
          <t>UKPN</t>
        </is>
      </c>
      <c r="R2229" t="b">
        <v>0</v>
      </c>
    </row>
    <row r="2230">
      <c r="A2230" t="inlineStr">
        <is>
          <t>24 Nov 2025 / 3098 D &amp; R Landscapes / Utilities / UKPN</t>
        </is>
      </c>
      <c r="B2230" t="inlineStr">
        <is>
          <t>Utilities</t>
        </is>
      </c>
      <c r="C2230" t="inlineStr">
        <is>
          <t>UKPN</t>
        </is>
      </c>
      <c r="D2230" t="inlineStr">
        <is>
          <t>DE68XHA , Tipper , Isuzu , Grafter</t>
        </is>
      </c>
      <c r="E2230" t="inlineStr">
        <is>
          <t>DE68XHA , Tipper , Isuzu , Grafter</t>
        </is>
      </c>
      <c r="F2230" t="inlineStr">
        <is>
          <t>DE68XHA , Tipper , Isuzu , Grafter</t>
        </is>
      </c>
      <c r="G2230" t="inlineStr">
        <is>
          <t xml:space="preserve">Chris </t>
        </is>
      </c>
      <c r="H2230" t="inlineStr">
        <is>
          <t>Tipper</t>
        </is>
      </c>
      <c r="I2230" t="inlineStr">
        <is>
          <t>Daily/ Weekly Vehicle Inspection</t>
        </is>
      </c>
      <c r="J2230" t="inlineStr">
        <is>
          <t>N/A</t>
        </is>
      </c>
      <c r="K2230" t="inlineStr">
        <is>
          <t>3098 D &amp; R Landscapes</t>
        </is>
      </c>
      <c r="L2230" t="inlineStr">
        <is>
          <t>24/11/2025 09:39</t>
        </is>
      </c>
      <c r="M2230" t="inlineStr">
        <is>
          <t>None</t>
        </is>
      </c>
      <c r="N2230" t="inlineStr">
        <is>
          <t>&lt;p&gt;&lt;/p&gt;</t>
        </is>
      </c>
      <c r="O2230" t="inlineStr"/>
      <c r="P2230" t="inlineStr">
        <is>
          <t>DE68XHA , Tipper , Isuzu , Grafter</t>
        </is>
      </c>
      <c r="Q2230" t="inlineStr">
        <is>
          <t>UKPN</t>
        </is>
      </c>
      <c r="R2230" t="b">
        <v>0</v>
      </c>
    </row>
    <row r="2231">
      <c r="A2231" t="inlineStr">
        <is>
          <t>24 Nov 2025 / 3098 D &amp; R Landscapes / Utilities / UKPN</t>
        </is>
      </c>
      <c r="B2231" t="inlineStr">
        <is>
          <t>Utilities</t>
        </is>
      </c>
      <c r="C2231" t="inlineStr">
        <is>
          <t>UKPN</t>
        </is>
      </c>
      <c r="D2231" t="inlineStr">
        <is>
          <t>BT20 GNZ , Vehicle , Nissan , Navara</t>
        </is>
      </c>
      <c r="E2231" t="inlineStr">
        <is>
          <t>BT20 GNZ , Vehicle , Nissan , Navara</t>
        </is>
      </c>
      <c r="F2231" t="inlineStr">
        <is>
          <t>BT20 GNZ , Vehicle , Nissan , Navara</t>
        </is>
      </c>
      <c r="G2231" t="inlineStr">
        <is>
          <t>Jason</t>
        </is>
      </c>
      <c r="H2231" t="inlineStr">
        <is>
          <t>Pickup Truck</t>
        </is>
      </c>
      <c r="I2231" t="inlineStr">
        <is>
          <t>Daily/ Weekly Vehicle Inspection</t>
        </is>
      </c>
      <c r="J2231" t="inlineStr">
        <is>
          <t>N/A</t>
        </is>
      </c>
      <c r="K2231" t="inlineStr">
        <is>
          <t>3098 D &amp; R Landscapes</t>
        </is>
      </c>
      <c r="L2231" t="inlineStr">
        <is>
          <t>24/11/2025 09:41</t>
        </is>
      </c>
      <c r="M2231" t="inlineStr">
        <is>
          <t>None</t>
        </is>
      </c>
      <c r="N2231" t="inlineStr">
        <is>
          <t>&lt;p&gt;&lt;/p&gt;</t>
        </is>
      </c>
      <c r="O2231" t="inlineStr"/>
      <c r="P2231" t="inlineStr">
        <is>
          <t>BT20 GNZ , Vehicle , Nissan , Navara</t>
        </is>
      </c>
      <c r="Q2231" t="inlineStr">
        <is>
          <t>UKPN</t>
        </is>
      </c>
      <c r="R2231" t="b">
        <v>0</v>
      </c>
    </row>
    <row r="2232">
      <c r="A2232" t="inlineStr">
        <is>
          <t>24 Nov 2025 / Jonathan Wisbey / Utilities / UKPN</t>
        </is>
      </c>
      <c r="B2232" t="inlineStr">
        <is>
          <t>Utilities</t>
        </is>
      </c>
      <c r="C2232" t="inlineStr">
        <is>
          <t>UKPN</t>
        </is>
      </c>
      <c r="D2232" t="inlineStr"/>
      <c r="E2232" t="inlineStr"/>
      <c r="F2232" t="inlineStr"/>
      <c r="G2232" t="inlineStr">
        <is>
          <t xml:space="preserve">Jonathan Wisbey </t>
        </is>
      </c>
      <c r="H2232" t="inlineStr">
        <is>
          <t>Car - Petrol</t>
        </is>
      </c>
      <c r="I2232" t="inlineStr">
        <is>
          <t>Daily/ Weekly Vehicle Inspection</t>
        </is>
      </c>
      <c r="J2232" t="inlineStr">
        <is>
          <t>N/A</t>
        </is>
      </c>
      <c r="K2232" t="inlineStr">
        <is>
          <t>Jonathan Wisbey</t>
        </is>
      </c>
      <c r="L2232" t="inlineStr">
        <is>
          <t>24/11/2025 10:36</t>
        </is>
      </c>
      <c r="M2232" t="inlineStr">
        <is>
          <t>None</t>
        </is>
      </c>
      <c r="N2232" t="inlineStr">
        <is>
          <t>&lt;p&gt;&lt;/p&gt;</t>
        </is>
      </c>
      <c r="O2232" t="inlineStr"/>
      <c r="P2232" t="inlineStr"/>
      <c r="Q2232" t="inlineStr">
        <is>
          <t>UKPN</t>
        </is>
      </c>
      <c r="R2232" t="b">
        <v>0</v>
      </c>
    </row>
    <row r="2233">
      <c r="A2233" t="inlineStr">
        <is>
          <t>24 Nov 2025 / Joe Sauvage / Utilities / SSE</t>
        </is>
      </c>
      <c r="B2233" t="inlineStr">
        <is>
          <t>Utilities</t>
        </is>
      </c>
      <c r="C2233" t="inlineStr">
        <is>
          <t>SSE</t>
        </is>
      </c>
      <c r="D2233" t="inlineStr">
        <is>
          <t>EO18AEW , Car - Petrol , Ford , Kuga</t>
        </is>
      </c>
      <c r="E2233" t="inlineStr">
        <is>
          <t>EO18AEW , Car - Petrol , Ford , Kuga</t>
        </is>
      </c>
      <c r="F2233" t="inlineStr">
        <is>
          <t>EO18AEW , Car - Petrol , Ford , Kuga</t>
        </is>
      </c>
      <c r="G2233" t="inlineStr">
        <is>
          <t xml:space="preserve">Joe Sauvage </t>
        </is>
      </c>
      <c r="H2233" t="inlineStr">
        <is>
          <t>Car - Diesel</t>
        </is>
      </c>
      <c r="I2233" t="inlineStr">
        <is>
          <t>Daily/ Weekly Vehicle Inspection</t>
        </is>
      </c>
      <c r="J2233" t="inlineStr">
        <is>
          <t>N/A</t>
        </is>
      </c>
      <c r="K2233" t="inlineStr">
        <is>
          <t>Joe Sauvage</t>
        </is>
      </c>
      <c r="L2233" t="inlineStr">
        <is>
          <t>24/11/2025 10:38</t>
        </is>
      </c>
      <c r="M2233" t="inlineStr">
        <is>
          <t>None</t>
        </is>
      </c>
      <c r="N2233" t="inlineStr">
        <is>
          <t>&lt;p&gt;&lt;/p&gt;</t>
        </is>
      </c>
      <c r="O2233" t="inlineStr"/>
      <c r="P2233" t="inlineStr">
        <is>
          <t>EO18AEW , Car - Petrol , Ford , Kuga</t>
        </is>
      </c>
      <c r="Q2233" t="inlineStr">
        <is>
          <t>SSE</t>
        </is>
      </c>
      <c r="R2233" t="b">
        <v>0</v>
      </c>
    </row>
    <row r="2234">
      <c r="A2234" t="inlineStr">
        <is>
          <t>24 Nov 2025 / Donovan Gosher / Utilities / NGED</t>
        </is>
      </c>
      <c r="B2234" t="inlineStr">
        <is>
          <t>Utilities</t>
        </is>
      </c>
      <c r="C2234" t="inlineStr">
        <is>
          <t>NGED</t>
        </is>
      </c>
      <c r="D2234" t="inlineStr">
        <is>
          <t>AJ72EWU , Car - Electric , Tesla , Model Y Long Range</t>
        </is>
      </c>
      <c r="E2234" t="inlineStr">
        <is>
          <t>AJ72EWU , Car - Electric , Tesla , Model Y Long Range</t>
        </is>
      </c>
      <c r="F2234" t="inlineStr">
        <is>
          <t>AJ72EWU , Car - Electric , Tesla , Model Y Long Range</t>
        </is>
      </c>
      <c r="G2234" t="inlineStr">
        <is>
          <t>Donovan Gosher</t>
        </is>
      </c>
      <c r="H2234" t="inlineStr">
        <is>
          <t>Car - Electric (GC Owned)</t>
        </is>
      </c>
      <c r="I2234" t="inlineStr">
        <is>
          <t>Daily/ Weekly Vehicle Inspection</t>
        </is>
      </c>
      <c r="J2234" t="inlineStr">
        <is>
          <t>N/A</t>
        </is>
      </c>
      <c r="K2234" t="inlineStr">
        <is>
          <t>Donovan Gosher</t>
        </is>
      </c>
      <c r="L2234" t="inlineStr">
        <is>
          <t>24/11/2025 17:35</t>
        </is>
      </c>
      <c r="M2234" t="inlineStr">
        <is>
          <t>None</t>
        </is>
      </c>
      <c r="N2234" t="inlineStr">
        <is>
          <t>&lt;p&gt;&lt;/p&gt;</t>
        </is>
      </c>
      <c r="O2234" t="inlineStr"/>
      <c r="P2234" t="inlineStr">
        <is>
          <t>AJ72EWU , Car - Electric , Tesla , Model Y Long Range</t>
        </is>
      </c>
      <c r="Q2234" t="inlineStr">
        <is>
          <t>NGED</t>
        </is>
      </c>
      <c r="R2234" t="b">
        <v>0</v>
      </c>
    </row>
    <row r="2235">
      <c r="A2235" t="inlineStr">
        <is>
          <t>25 Nov 2025 / 7806 Optimum Tree Services Ltd / Utilities / UKPN</t>
        </is>
      </c>
      <c r="B2235" t="inlineStr">
        <is>
          <t>Utilities</t>
        </is>
      </c>
      <c r="C2235" t="inlineStr">
        <is>
          <t>UKPN</t>
        </is>
      </c>
      <c r="D2235" t="inlineStr">
        <is>
          <t>WD14EVB , MEWP , Land Rover , Defender</t>
        </is>
      </c>
      <c r="E2235" t="inlineStr">
        <is>
          <t>WD14EVB , MEWP , Land Rover , Defender</t>
        </is>
      </c>
      <c r="F2235" t="inlineStr">
        <is>
          <t>WD14EVB , MEWP , Land Rover , Defender</t>
        </is>
      </c>
      <c r="G2235" t="inlineStr">
        <is>
          <t xml:space="preserve">Abraham Davies </t>
        </is>
      </c>
      <c r="H2235" t="inlineStr">
        <is>
          <t>4x4</t>
        </is>
      </c>
      <c r="I2235" t="inlineStr">
        <is>
          <t>Daily/ Weekly Vehicle Inspection</t>
        </is>
      </c>
      <c r="J2235" t="inlineStr">
        <is>
          <t>N/A</t>
        </is>
      </c>
      <c r="K2235" t="inlineStr">
        <is>
          <t>7806 Optimum Tree Services Ltd</t>
        </is>
      </c>
      <c r="L2235" t="inlineStr">
        <is>
          <t>25/11/2025 07:34</t>
        </is>
      </c>
      <c r="M2235" t="inlineStr">
        <is>
          <t>None</t>
        </is>
      </c>
      <c r="N2235" t="inlineStr">
        <is>
          <t>&lt;p&gt;&lt;/p&gt;</t>
        </is>
      </c>
      <c r="O2235" t="inlineStr"/>
      <c r="P2235" t="inlineStr">
        <is>
          <t>WD14EVB , MEWP , Land Rover , Defender</t>
        </is>
      </c>
      <c r="Q2235" t="inlineStr">
        <is>
          <t>UKPN</t>
        </is>
      </c>
      <c r="R2235" t="b">
        <v>0</v>
      </c>
    </row>
    <row r="2236">
      <c r="A2236" t="inlineStr">
        <is>
          <t>25 Nov 2025 / 7889 Tree Tech Suffolk Ltd</t>
        </is>
      </c>
      <c r="B2236" t="inlineStr">
        <is>
          <t>Utilities &amp; Inland Waterways</t>
        </is>
      </c>
      <c r="C2236" t="inlineStr">
        <is>
          <t>UKPN</t>
        </is>
      </c>
      <c r="D2236" t="inlineStr">
        <is>
          <t>Tow Chipper - Jenson - A530L - 55210639484x4 - Isuzu - D-max - NS03 TTSTipper - Mercedes - Sprinter - NS06TTS</t>
        </is>
      </c>
      <c r="E2236" t="inlineStr">
        <is>
          <t>Tow Chipper - Jenson - A530L - 55210639484x4 - Isuzu - D-max - NS03 TTSTipper - Mercedes - Sprinter - NS06TTS</t>
        </is>
      </c>
      <c r="F2236" t="inlineStr">
        <is>
          <t>Tow Chipper - Jenson - A530L - 55210639484x4 - Isuzu - D-max - NS03 TTSTipper - Mercedes - Sprinter - NS06TTS</t>
        </is>
      </c>
      <c r="G2236" t="inlineStr">
        <is>
          <t xml:space="preserve">Danny Appleby Danny Appleby Nikki sparrow </t>
        </is>
      </c>
      <c r="H2236" t="inlineStr">
        <is>
          <t>Towed Chipper4x4Tipper</t>
        </is>
      </c>
      <c r="I2236" t="inlineStr">
        <is>
          <t>Daily/ Weekly Vehicle Inspection</t>
        </is>
      </c>
      <c r="J2236" t="inlineStr">
        <is>
          <t>N/A</t>
        </is>
      </c>
      <c r="K2236" t="inlineStr">
        <is>
          <t>7889 Tree Tech Suffolk Ltd</t>
        </is>
      </c>
      <c r="L2236" t="inlineStr">
        <is>
          <t>25/11/2025 07:35</t>
        </is>
      </c>
      <c r="M2236" t="inlineStr">
        <is>
          <t>None</t>
        </is>
      </c>
      <c r="N2236" t="inlineStr">
        <is>
          <t>&lt;p&gt;&lt;/p&gt;</t>
        </is>
      </c>
      <c r="O2236" t="inlineStr">
        <is>
          <t>Select Vehicle:Ns08 tts</t>
        </is>
      </c>
      <c r="P2236" t="inlineStr">
        <is>
          <t>Tow Chipper - Jenson - A530L - 55210639484x4 - Isuzu - D-max - NS03 TTSTipper - Mercedes - Sprinter - NS06TTS</t>
        </is>
      </c>
      <c r="Q2236" t="inlineStr">
        <is>
          <t>UKPN</t>
        </is>
      </c>
      <c r="R2236" t="b">
        <v>0</v>
      </c>
    </row>
    <row r="2237">
      <c r="A2237" t="inlineStr">
        <is>
          <t>25 Nov 2025 / Anthony Gale / Utilities / UKPN</t>
        </is>
      </c>
      <c r="B2237" t="inlineStr">
        <is>
          <t>Utilities</t>
        </is>
      </c>
      <c r="C2237" t="inlineStr">
        <is>
          <t>UKPN</t>
        </is>
      </c>
      <c r="D2237" t="inlineStr"/>
      <c r="E2237" t="inlineStr"/>
      <c r="F2237" t="inlineStr"/>
      <c r="G2237" t="inlineStr">
        <is>
          <t>Anthony Gale</t>
        </is>
      </c>
      <c r="H2237" t="inlineStr">
        <is>
          <t>Towed Chipper</t>
        </is>
      </c>
      <c r="I2237" t="inlineStr">
        <is>
          <t>Daily/ Weekly Vehicle Inspection</t>
        </is>
      </c>
      <c r="J2237" t="inlineStr">
        <is>
          <t>N/A</t>
        </is>
      </c>
      <c r="K2237" t="inlineStr">
        <is>
          <t>7996 M G Tree Surgery Ltd 1</t>
        </is>
      </c>
      <c r="L2237" t="inlineStr">
        <is>
          <t>25/11/2025 07:36</t>
        </is>
      </c>
      <c r="M2237" t="inlineStr">
        <is>
          <t>None</t>
        </is>
      </c>
      <c r="N2237" t="inlineStr">
        <is>
          <t>&lt;p&gt;&lt;/p&gt;</t>
        </is>
      </c>
      <c r="O2237" t="inlineStr">
        <is>
          <t>Confirm that you have checked this vehicle as per the guidance document and the vehicle is safe and roadworthy:Jockey wheel missing, should be replaced today.
Clock not working on chipper
-</t>
        </is>
      </c>
      <c r="P2237" t="inlineStr"/>
      <c r="Q2237" t="inlineStr">
        <is>
          <t>UKPN</t>
        </is>
      </c>
      <c r="R2237" t="b">
        <v>0</v>
      </c>
    </row>
    <row r="2238">
      <c r="A2238" t="inlineStr">
        <is>
          <t>25 Nov 2025 / Anthony Gale / Utilities / UKPN</t>
        </is>
      </c>
      <c r="B2238" t="inlineStr">
        <is>
          <t>Utilities</t>
        </is>
      </c>
      <c r="C2238" t="inlineStr">
        <is>
          <t>UKPN</t>
        </is>
      </c>
      <c r="D2238" t="inlineStr">
        <is>
          <t>KX20 BCE , Tipper , Isuzu , D-Max</t>
        </is>
      </c>
      <c r="E2238" t="inlineStr">
        <is>
          <t>KX20 BCE , Tipper , Isuzu , D-Max</t>
        </is>
      </c>
      <c r="F2238" t="inlineStr">
        <is>
          <t>KX20 BCE , Tipper , Isuzu , D-Max</t>
        </is>
      </c>
      <c r="G2238" t="inlineStr">
        <is>
          <t>Anthony Gale</t>
        </is>
      </c>
      <c r="H2238" t="inlineStr">
        <is>
          <t>Pickup Truck</t>
        </is>
      </c>
      <c r="I2238" t="inlineStr">
        <is>
          <t>Daily/ Weekly Vehicle Inspection</t>
        </is>
      </c>
      <c r="J2238" t="inlineStr">
        <is>
          <t>N/A</t>
        </is>
      </c>
      <c r="K2238" t="inlineStr">
        <is>
          <t>7996 M G Tree Surgery Ltd 1</t>
        </is>
      </c>
      <c r="L2238" t="inlineStr">
        <is>
          <t>25/11/2025 07:37</t>
        </is>
      </c>
      <c r="M2238" t="inlineStr">
        <is>
          <t>None</t>
        </is>
      </c>
      <c r="N2238" t="inlineStr">
        <is>
          <t>&lt;p&gt;&lt;/p&gt;</t>
        </is>
      </c>
      <c r="O2238" t="inlineStr"/>
      <c r="P2238" t="inlineStr">
        <is>
          <t>KX20 BCE , Tipper , Isuzu , D-Max</t>
        </is>
      </c>
      <c r="Q2238" t="inlineStr">
        <is>
          <t>UKPN</t>
        </is>
      </c>
      <c r="R2238" t="b">
        <v>0</v>
      </c>
    </row>
    <row r="2239">
      <c r="A2239" t="inlineStr">
        <is>
          <t>25 Nov 2025 / 7951 Austin Tree Care LTD / Utilities / UKPN</t>
        </is>
      </c>
      <c r="B2239" t="inlineStr">
        <is>
          <t>Utilities</t>
        </is>
      </c>
      <c r="C2239" t="inlineStr">
        <is>
          <t>UKPN</t>
        </is>
      </c>
      <c r="D2239" t="inlineStr">
        <is>
          <t>SA9ST6P0001283612 , Tow Chipper , Forst , ST6p</t>
        </is>
      </c>
      <c r="E2239" t="inlineStr">
        <is>
          <t>SA9ST6P0001283612 , Tow Chipper , Forst , ST6p</t>
        </is>
      </c>
      <c r="F2239" t="inlineStr">
        <is>
          <t>SA9ST6P0001283612 , Tow Chipper , Forst , ST6p</t>
        </is>
      </c>
      <c r="G2239" t="inlineStr">
        <is>
          <t xml:space="preserve">Jack Austin </t>
        </is>
      </c>
      <c r="H2239" t="inlineStr">
        <is>
          <t>Towed Chipper</t>
        </is>
      </c>
      <c r="I2239" t="inlineStr">
        <is>
          <t>Daily/ Weekly Vehicle Inspection</t>
        </is>
      </c>
      <c r="J2239" t="inlineStr">
        <is>
          <t>N/A</t>
        </is>
      </c>
      <c r="K2239" t="inlineStr">
        <is>
          <t>7951 Austin Tree Care LTD</t>
        </is>
      </c>
      <c r="L2239" t="inlineStr">
        <is>
          <t>25/11/2025 07:38</t>
        </is>
      </c>
      <c r="M2239" t="inlineStr">
        <is>
          <t>None</t>
        </is>
      </c>
      <c r="N2239" t="inlineStr">
        <is>
          <t>&lt;p&gt;&lt;/p&gt;</t>
        </is>
      </c>
      <c r="O2239" t="inlineStr"/>
      <c r="P2239" t="inlineStr">
        <is>
          <t>SA9ST6P0001283612 , Tow Chipper , Forst , ST6p</t>
        </is>
      </c>
      <c r="Q2239" t="inlineStr">
        <is>
          <t>UKPN</t>
        </is>
      </c>
      <c r="R2239" t="b">
        <v>0</v>
      </c>
    </row>
    <row r="2240">
      <c r="A2240" t="inlineStr">
        <is>
          <t>25 Nov 2025 / 7951 Austin Tree Care LTD / Utilities / UKPN</t>
        </is>
      </c>
      <c r="B2240" t="inlineStr">
        <is>
          <t>Utilities</t>
        </is>
      </c>
      <c r="C2240" t="inlineStr">
        <is>
          <t>UKPN</t>
        </is>
      </c>
      <c r="D2240" t="inlineStr">
        <is>
          <t>WF61 HZV , 4x4 MEWP , Land Rover , Defender</t>
        </is>
      </c>
      <c r="E2240" t="inlineStr">
        <is>
          <t>WF61 HZV , 4x4 MEWP , Land Rover , Defender</t>
        </is>
      </c>
      <c r="F2240" t="inlineStr">
        <is>
          <t>WF61 HZV , 4x4 MEWP , Land Rover , Defender</t>
        </is>
      </c>
      <c r="G2240" t="inlineStr">
        <is>
          <t xml:space="preserve">Jack Austin </t>
        </is>
      </c>
      <c r="H2240" t="inlineStr">
        <is>
          <t>4x4</t>
        </is>
      </c>
      <c r="I2240" t="inlineStr">
        <is>
          <t>Daily/ Weekly Vehicle Inspection</t>
        </is>
      </c>
      <c r="J2240" t="inlineStr">
        <is>
          <t>N/A</t>
        </is>
      </c>
      <c r="K2240" t="inlineStr">
        <is>
          <t>7951 Austin Tree Care LTD</t>
        </is>
      </c>
      <c r="L2240" t="inlineStr">
        <is>
          <t>25/11/2025 07:39</t>
        </is>
      </c>
      <c r="M2240" t="inlineStr">
        <is>
          <t>None</t>
        </is>
      </c>
      <c r="N2240" t="inlineStr">
        <is>
          <t>&lt;p&gt;&lt;/p&gt;</t>
        </is>
      </c>
      <c r="O2240" t="inlineStr"/>
      <c r="P2240" t="inlineStr">
        <is>
          <t>WF61 HZV , 4x4 MEWP , Land Rover , Defender</t>
        </is>
      </c>
      <c r="Q2240" t="inlineStr">
        <is>
          <t>UKPN</t>
        </is>
      </c>
      <c r="R2240" t="b">
        <v>0</v>
      </c>
    </row>
    <row r="2241">
      <c r="A2241" t="inlineStr">
        <is>
          <t>25 Nov 2025 / 7800 MAC Tree Surgery and Fencing Ltd / Utilities / UKPN</t>
        </is>
      </c>
      <c r="B2241" t="inlineStr">
        <is>
          <t>Utilities</t>
        </is>
      </c>
      <c r="C2241" t="inlineStr">
        <is>
          <t>UKPN</t>
        </is>
      </c>
      <c r="D2241" t="inlineStr">
        <is>
          <t>Plant Trailer - Towmate - 2.8t - 0</t>
        </is>
      </c>
      <c r="E2241" t="inlineStr">
        <is>
          <t>Plant Trailer - Towmate - 2.8t - 0</t>
        </is>
      </c>
      <c r="F2241" t="inlineStr">
        <is>
          <t>Plant Trailer - Towmate - 2.8t - 0</t>
        </is>
      </c>
      <c r="G2241" t="inlineStr">
        <is>
          <t xml:space="preserve">Patrick O'Shea </t>
        </is>
      </c>
      <c r="H2241" t="inlineStr">
        <is>
          <t>Plant Trailer</t>
        </is>
      </c>
      <c r="I2241" t="inlineStr">
        <is>
          <t>Daily/ Weekly Vehicle Inspection</t>
        </is>
      </c>
      <c r="J2241" t="inlineStr">
        <is>
          <t>N/A</t>
        </is>
      </c>
      <c r="K2241" t="inlineStr">
        <is>
          <t>7800 MAC Tree Surgery and Fencing Ltd</t>
        </is>
      </c>
      <c r="L2241" t="inlineStr">
        <is>
          <t>25/11/2025 12:13</t>
        </is>
      </c>
      <c r="M2241" t="inlineStr">
        <is>
          <t>None</t>
        </is>
      </c>
      <c r="N2241" t="inlineStr">
        <is>
          <t>&lt;p&gt;&lt;/p&gt;</t>
        </is>
      </c>
      <c r="O2241" t="inlineStr"/>
      <c r="P2241" t="inlineStr">
        <is>
          <t>Plant Trailer - Towmate - 2.8t - 0</t>
        </is>
      </c>
      <c r="Q2241" t="inlineStr">
        <is>
          <t>UKPN</t>
        </is>
      </c>
      <c r="R2241" t="b">
        <v>0</v>
      </c>
    </row>
    <row r="2242">
      <c r="A2242" t="inlineStr">
        <is>
          <t>25 Nov 2025 / 7800 MAC Tree Surgery and Fencing Ltd / Utilities / UKPN</t>
        </is>
      </c>
      <c r="B2242" t="inlineStr">
        <is>
          <t>Utilities</t>
        </is>
      </c>
      <c r="C2242" t="inlineStr">
        <is>
          <t>UKPN</t>
        </is>
      </c>
      <c r="D2242" t="inlineStr">
        <is>
          <t>AY68DAA , 4x4 , Izuzu , Dmax</t>
        </is>
      </c>
      <c r="E2242" t="inlineStr">
        <is>
          <t>AY68DAA , 4x4 , Izuzu , Dmax</t>
        </is>
      </c>
      <c r="F2242" t="inlineStr">
        <is>
          <t>AY68DAA , 4x4 , Izuzu , Dmax</t>
        </is>
      </c>
      <c r="G2242" t="inlineStr">
        <is>
          <t xml:space="preserve">Patrick O'Shea </t>
        </is>
      </c>
      <c r="H2242" t="inlineStr">
        <is>
          <t>4x4</t>
        </is>
      </c>
      <c r="I2242" t="inlineStr">
        <is>
          <t>Daily/ Weekly Vehicle Inspection</t>
        </is>
      </c>
      <c r="J2242" t="inlineStr">
        <is>
          <t>N/A</t>
        </is>
      </c>
      <c r="K2242" t="inlineStr">
        <is>
          <t>7800 MAC Tree Surgery and Fencing Ltd</t>
        </is>
      </c>
      <c r="L2242" t="inlineStr">
        <is>
          <t>25/11/2025 12:13</t>
        </is>
      </c>
      <c r="M2242" t="inlineStr">
        <is>
          <t>None</t>
        </is>
      </c>
      <c r="N2242" t="inlineStr">
        <is>
          <t>&lt;p&gt;&lt;/p&gt;</t>
        </is>
      </c>
      <c r="O2242" t="inlineStr"/>
      <c r="P2242" t="inlineStr">
        <is>
          <t>AY68DAA , 4x4 , Izuzu , Dmax</t>
        </is>
      </c>
      <c r="Q2242" t="inlineStr">
        <is>
          <t>UKPN</t>
        </is>
      </c>
      <c r="R2242" t="b">
        <v>0</v>
      </c>
    </row>
    <row r="2243">
      <c r="A2243" t="inlineStr">
        <is>
          <t>25 Nov 2025 / 7806 Optimum Tree Services Ltd / Utilities / UKPN</t>
        </is>
      </c>
      <c r="B2243" t="inlineStr">
        <is>
          <t>Utilities</t>
        </is>
      </c>
      <c r="C2243" t="inlineStr">
        <is>
          <t>UKPN</t>
        </is>
      </c>
      <c r="D2243" t="inlineStr">
        <is>
          <t>NA10SYZ , Tipper , Ford , Transit</t>
        </is>
      </c>
      <c r="E2243" t="inlineStr">
        <is>
          <t>NA10SYZ , Tipper , Ford , Transit</t>
        </is>
      </c>
      <c r="F2243" t="inlineStr">
        <is>
          <t>NA10SYZ , Tipper , Ford , Transit</t>
        </is>
      </c>
      <c r="G2243" t="inlineStr">
        <is>
          <t xml:space="preserve">Kenny Aldred </t>
        </is>
      </c>
      <c r="H2243" t="inlineStr">
        <is>
          <t>Tipper</t>
        </is>
      </c>
      <c r="I2243" t="inlineStr">
        <is>
          <t>Daily/ Weekly Vehicle Inspection</t>
        </is>
      </c>
      <c r="J2243" t="inlineStr">
        <is>
          <t>N/A</t>
        </is>
      </c>
      <c r="K2243" t="inlineStr">
        <is>
          <t>7806 Optimum Tree Services Ltd</t>
        </is>
      </c>
      <c r="L2243" t="inlineStr">
        <is>
          <t>25/11/2025 12:14</t>
        </is>
      </c>
      <c r="M2243" t="inlineStr">
        <is>
          <t>None</t>
        </is>
      </c>
      <c r="N2243" t="inlineStr">
        <is>
          <t>&lt;p&gt;&lt;/p&gt;</t>
        </is>
      </c>
      <c r="O2243" t="inlineStr"/>
      <c r="P2243" t="inlineStr">
        <is>
          <t>NA10SYZ , Tipper , Ford , Transit</t>
        </is>
      </c>
      <c r="Q2243" t="inlineStr">
        <is>
          <t>UKPN</t>
        </is>
      </c>
      <c r="R2243" t="b">
        <v>0</v>
      </c>
    </row>
    <row r="2244">
      <c r="A2244" t="inlineStr">
        <is>
          <t>25 Nov 2025 / 7806 Optimum Tree Services Ltd / Utilities / UKPN</t>
        </is>
      </c>
      <c r="B2244" t="inlineStr">
        <is>
          <t>Utilities</t>
        </is>
      </c>
      <c r="C2244" t="inlineStr">
        <is>
          <t>UKPN</t>
        </is>
      </c>
      <c r="D2244" t="inlineStr">
        <is>
          <t>SA9ST800000283069 , Chipper , Forst , ST 6P</t>
        </is>
      </c>
      <c r="E2244" t="inlineStr">
        <is>
          <t>SA9ST800000283069 , Chipper , Forst , ST 6P</t>
        </is>
      </c>
      <c r="F2244" t="inlineStr">
        <is>
          <t>SA9ST800000283069 , Chipper , Forst , ST 6P</t>
        </is>
      </c>
      <c r="G2244" t="inlineStr">
        <is>
          <t xml:space="preserve">Abraham Davies </t>
        </is>
      </c>
      <c r="H2244" t="inlineStr">
        <is>
          <t>Towed Chipper</t>
        </is>
      </c>
      <c r="I2244" t="inlineStr">
        <is>
          <t>Daily/ Weekly Vehicle Inspection</t>
        </is>
      </c>
      <c r="J2244" t="inlineStr">
        <is>
          <t>N/A</t>
        </is>
      </c>
      <c r="K2244" t="inlineStr">
        <is>
          <t>7806 Optimum Tree Services Ltd</t>
        </is>
      </c>
      <c r="L2244" t="inlineStr">
        <is>
          <t>25/11/2025 12:14</t>
        </is>
      </c>
      <c r="M2244" t="inlineStr">
        <is>
          <t>None</t>
        </is>
      </c>
      <c r="N2244" t="inlineStr">
        <is>
          <t>&lt;p&gt;&lt;/p&gt;</t>
        </is>
      </c>
      <c r="O2244" t="inlineStr"/>
      <c r="P2244" t="inlineStr">
        <is>
          <t>SA9ST800000283069 , Chipper , Forst , ST 6P</t>
        </is>
      </c>
      <c r="Q2244" t="inlineStr">
        <is>
          <t>UKPN</t>
        </is>
      </c>
      <c r="R2244" t="b">
        <v>0</v>
      </c>
    </row>
    <row r="2245">
      <c r="A2245" t="inlineStr">
        <is>
          <t>25 Nov 2025 / Joshua Atkins / Utilities / UKPN</t>
        </is>
      </c>
      <c r="B2245" t="inlineStr">
        <is>
          <t>Utilities</t>
        </is>
      </c>
      <c r="C2245" t="inlineStr">
        <is>
          <t>UKPN</t>
        </is>
      </c>
      <c r="D2245" t="inlineStr"/>
      <c r="E2245" t="inlineStr"/>
      <c r="F2245" t="inlineStr"/>
      <c r="G2245" t="inlineStr">
        <is>
          <t>Josh Atkins</t>
        </is>
      </c>
      <c r="H2245" t="inlineStr">
        <is>
          <t>Car - Petrol</t>
        </is>
      </c>
      <c r="I2245" t="inlineStr">
        <is>
          <t>Daily/ Weekly Vehicle Inspection</t>
        </is>
      </c>
      <c r="J2245" t="inlineStr">
        <is>
          <t>N/A</t>
        </is>
      </c>
      <c r="K2245" t="inlineStr">
        <is>
          <t>Joshua Atkins</t>
        </is>
      </c>
      <c r="L2245" t="inlineStr">
        <is>
          <t>25/11/2025 13:36</t>
        </is>
      </c>
      <c r="M2245" t="inlineStr">
        <is>
          <t>None</t>
        </is>
      </c>
      <c r="N2245" t="inlineStr">
        <is>
          <t>&lt;p&gt;&lt;/p&gt;</t>
        </is>
      </c>
      <c r="O2245" t="inlineStr"/>
      <c r="P2245" t="inlineStr"/>
      <c r="Q2245" t="inlineStr">
        <is>
          <t>UKPN</t>
        </is>
      </c>
      <c r="R2245" t="b">
        <v>0</v>
      </c>
    </row>
    <row r="2246">
      <c r="A2246" t="inlineStr">
        <is>
          <t>25 Nov 2025 / Chris Huntley / Utilities / UKPN</t>
        </is>
      </c>
      <c r="B2246" t="inlineStr">
        <is>
          <t>Utilities</t>
        </is>
      </c>
      <c r="C2246" t="inlineStr">
        <is>
          <t>UKPN</t>
        </is>
      </c>
      <c r="D2246" t="inlineStr">
        <is>
          <t>EX18DCY , 4x4 , Ford , Ranger</t>
        </is>
      </c>
      <c r="E2246" t="inlineStr">
        <is>
          <t>EX18DCY , 4x4 , Ford , Ranger</t>
        </is>
      </c>
      <c r="F2246" t="inlineStr">
        <is>
          <t>EX18DCY , 4x4 , Ford , Ranger</t>
        </is>
      </c>
      <c r="G2246" t="inlineStr">
        <is>
          <t xml:space="preserve">Chris Huntley </t>
        </is>
      </c>
      <c r="H2246" t="inlineStr">
        <is>
          <t>Pickup Truck</t>
        </is>
      </c>
      <c r="I2246" t="inlineStr">
        <is>
          <t>Daily/ Weekly Vehicle Inspection</t>
        </is>
      </c>
      <c r="J2246" t="inlineStr">
        <is>
          <t>N/A</t>
        </is>
      </c>
      <c r="K2246" t="inlineStr">
        <is>
          <t>Chris Huntley</t>
        </is>
      </c>
      <c r="L2246" t="inlineStr">
        <is>
          <t>25/11/2025 17:34</t>
        </is>
      </c>
      <c r="M2246" t="inlineStr">
        <is>
          <t>None</t>
        </is>
      </c>
      <c r="N2246" t="inlineStr">
        <is>
          <t>&lt;p&gt;&lt;/p&gt;</t>
        </is>
      </c>
      <c r="O2246" t="inlineStr"/>
      <c r="P2246" t="inlineStr">
        <is>
          <t>EX18DCY , 4x4 , Ford , Ranger</t>
        </is>
      </c>
      <c r="Q2246" t="inlineStr">
        <is>
          <t>UKPN</t>
        </is>
      </c>
      <c r="R2246" t="b">
        <v>0</v>
      </c>
    </row>
    <row r="2247">
      <c r="A2247" t="inlineStr">
        <is>
          <t>24 Nov 2025 / Thomas Playford / Utilities / UKPN</t>
        </is>
      </c>
      <c r="B2247" t="inlineStr">
        <is>
          <t>Utilities</t>
        </is>
      </c>
      <c r="C2247" t="inlineStr">
        <is>
          <t>UKPN</t>
        </is>
      </c>
      <c r="D2247" t="inlineStr">
        <is>
          <t>X21TNP , 4x4 , Toyota , Hilux</t>
        </is>
      </c>
      <c r="E2247" t="inlineStr">
        <is>
          <t>X21TNP , 4x4 , Toyota , Hilux</t>
        </is>
      </c>
      <c r="F2247" t="inlineStr">
        <is>
          <t>X21TNP , 4x4 , Toyota , Hilux</t>
        </is>
      </c>
      <c r="G2247" t="inlineStr">
        <is>
          <t xml:space="preserve">Thomas Playford </t>
        </is>
      </c>
      <c r="H2247" t="inlineStr">
        <is>
          <t>4x4</t>
        </is>
      </c>
      <c r="I2247" t="inlineStr">
        <is>
          <t>Daily/ Weekly Vehicle Inspection</t>
        </is>
      </c>
      <c r="J2247" t="inlineStr">
        <is>
          <t>N/A</t>
        </is>
      </c>
      <c r="K2247" t="inlineStr">
        <is>
          <t>7995 Green Net Eco Ltd 2</t>
        </is>
      </c>
      <c r="L2247" t="inlineStr">
        <is>
          <t>26/11/2025 05:15</t>
        </is>
      </c>
      <c r="M2247" t="inlineStr">
        <is>
          <t>None</t>
        </is>
      </c>
      <c r="N2247" t="inlineStr">
        <is>
          <t>&lt;p&gt;&lt;/p&gt;</t>
        </is>
      </c>
      <c r="O2247" t="inlineStr"/>
      <c r="P2247" t="inlineStr">
        <is>
          <t>X21TNP , 4x4 , Toyota , Hilux</t>
        </is>
      </c>
      <c r="Q2247" t="inlineStr">
        <is>
          <t>UKPN</t>
        </is>
      </c>
      <c r="R2247" t="b">
        <v>0</v>
      </c>
    </row>
    <row r="2248">
      <c r="A2248" t="inlineStr">
        <is>
          <t>24 Nov 2025 / 7806 Optimum Tree Services Ltd / Utilities / UKPN</t>
        </is>
      </c>
      <c r="B2248" t="inlineStr">
        <is>
          <t>Utilities</t>
        </is>
      </c>
      <c r="C2248" t="inlineStr">
        <is>
          <t>UKPN</t>
        </is>
      </c>
      <c r="D2248" t="inlineStr">
        <is>
          <t>NA10SYZ , Tipper , Ford , Transit</t>
        </is>
      </c>
      <c r="E2248" t="inlineStr">
        <is>
          <t>NA10SYZ , Tipper , Ford , Transit</t>
        </is>
      </c>
      <c r="F2248" t="inlineStr">
        <is>
          <t>NA10SYZ , Tipper , Ford , Transit</t>
        </is>
      </c>
      <c r="G2248" t="inlineStr">
        <is>
          <t xml:space="preserve">Abraham Davies </t>
        </is>
      </c>
      <c r="H2248" t="inlineStr">
        <is>
          <t>Tipper</t>
        </is>
      </c>
      <c r="I2248" t="inlineStr">
        <is>
          <t>Daily/ Weekly Vehicle Inspection</t>
        </is>
      </c>
      <c r="J2248" t="inlineStr">
        <is>
          <t>N/A</t>
        </is>
      </c>
      <c r="K2248" t="inlineStr">
        <is>
          <t>7806 Optimum Tree Services Ltd</t>
        </is>
      </c>
      <c r="L2248" t="inlineStr">
        <is>
          <t>26/11/2025 05:22</t>
        </is>
      </c>
      <c r="M2248" t="inlineStr">
        <is>
          <t>None</t>
        </is>
      </c>
      <c r="N2248" t="inlineStr">
        <is>
          <t>&lt;p&gt;&lt;/p&gt;</t>
        </is>
      </c>
      <c r="O2248" t="inlineStr"/>
      <c r="P2248" t="inlineStr">
        <is>
          <t>NA10SYZ , Tipper , Ford , Transit</t>
        </is>
      </c>
      <c r="Q2248" t="inlineStr">
        <is>
          <t>UKPN</t>
        </is>
      </c>
      <c r="R2248" t="b">
        <v>0</v>
      </c>
    </row>
    <row r="2249">
      <c r="A2249" t="inlineStr">
        <is>
          <t>24 Nov 2025 / 7800 MAC Tree Surgery and Fencing Ltd / Utilities / UKPN</t>
        </is>
      </c>
      <c r="B2249" t="inlineStr">
        <is>
          <t>Utilities</t>
        </is>
      </c>
      <c r="C2249" t="inlineStr">
        <is>
          <t>UKPN</t>
        </is>
      </c>
      <c r="D2249" t="inlineStr">
        <is>
          <t>Plant Trailer - Towmate - 2.8t - 0</t>
        </is>
      </c>
      <c r="E2249" t="inlineStr">
        <is>
          <t>Plant Trailer - Towmate - 2.8t - 0</t>
        </is>
      </c>
      <c r="F2249" t="inlineStr">
        <is>
          <t>Plant Trailer - Towmate - 2.8t - 0</t>
        </is>
      </c>
      <c r="G2249" t="inlineStr">
        <is>
          <t xml:space="preserve">Patrick O'Shea </t>
        </is>
      </c>
      <c r="H2249" t="inlineStr">
        <is>
          <t>Plant Trailer</t>
        </is>
      </c>
      <c r="I2249" t="inlineStr">
        <is>
          <t>Daily/ Weekly Vehicle Inspection</t>
        </is>
      </c>
      <c r="J2249" t="inlineStr">
        <is>
          <t>N/A</t>
        </is>
      </c>
      <c r="K2249" t="inlineStr">
        <is>
          <t>7800 MAC Tree Surgery and Fencing Ltd</t>
        </is>
      </c>
      <c r="L2249" t="inlineStr">
        <is>
          <t>26/11/2025 05:24</t>
        </is>
      </c>
      <c r="M2249" t="inlineStr">
        <is>
          <t>None</t>
        </is>
      </c>
      <c r="N2249" t="inlineStr">
        <is>
          <t>&lt;p&gt;&lt;/p&gt;</t>
        </is>
      </c>
      <c r="O2249" t="inlineStr"/>
      <c r="P2249" t="inlineStr">
        <is>
          <t>Plant Trailer - Towmate - 2.8t - 0</t>
        </is>
      </c>
      <c r="Q2249" t="inlineStr">
        <is>
          <t>UKPN</t>
        </is>
      </c>
      <c r="R2249" t="b">
        <v>0</v>
      </c>
    </row>
    <row r="2250">
      <c r="A2250" t="inlineStr">
        <is>
          <t>24 Nov 2025 / 7800 MAC Tree Surgery and Fencing Ltd / Utilities / UKPN</t>
        </is>
      </c>
      <c r="B2250" t="inlineStr">
        <is>
          <t>Utilities</t>
        </is>
      </c>
      <c r="C2250" t="inlineStr">
        <is>
          <t>UKPN</t>
        </is>
      </c>
      <c r="D2250" t="inlineStr">
        <is>
          <t>AY68DAA , 4x4 , Izuzu , Dmax</t>
        </is>
      </c>
      <c r="E2250" t="inlineStr">
        <is>
          <t>AY68DAA , 4x4 , Izuzu , Dmax</t>
        </is>
      </c>
      <c r="F2250" t="inlineStr">
        <is>
          <t>AY68DAA , 4x4 , Izuzu , Dmax</t>
        </is>
      </c>
      <c r="G2250" t="inlineStr">
        <is>
          <t xml:space="preserve">Patrick O'Shea </t>
        </is>
      </c>
      <c r="H2250" t="inlineStr">
        <is>
          <t>4x4</t>
        </is>
      </c>
      <c r="I2250" t="inlineStr">
        <is>
          <t>Daily/ Weekly Vehicle Inspection</t>
        </is>
      </c>
      <c r="J2250" t="inlineStr">
        <is>
          <t>N/A</t>
        </is>
      </c>
      <c r="K2250" t="inlineStr">
        <is>
          <t>7800 MAC Tree Surgery and Fencing Ltd</t>
        </is>
      </c>
      <c r="L2250" t="inlineStr">
        <is>
          <t>26/11/2025 05:24</t>
        </is>
      </c>
      <c r="M2250" t="inlineStr">
        <is>
          <t>None</t>
        </is>
      </c>
      <c r="N2250" t="inlineStr">
        <is>
          <t>&lt;p&gt;&lt;/p&gt;</t>
        </is>
      </c>
      <c r="O2250" t="inlineStr"/>
      <c r="P2250" t="inlineStr">
        <is>
          <t>AY68DAA , 4x4 , Izuzu , Dmax</t>
        </is>
      </c>
      <c r="Q2250" t="inlineStr">
        <is>
          <t>UKPN</t>
        </is>
      </c>
      <c r="R2250" t="b">
        <v>0</v>
      </c>
    </row>
    <row r="2251">
      <c r="A2251" t="inlineStr">
        <is>
          <t>24 Nov 2025 / Christopher Simeoli / Utilities / NGED</t>
        </is>
      </c>
      <c r="B2251" t="inlineStr">
        <is>
          <t>Utilities</t>
        </is>
      </c>
      <c r="C2251" t="inlineStr">
        <is>
          <t>NGED</t>
        </is>
      </c>
      <c r="D2251" t="inlineStr">
        <is>
          <t>EO73KVB , Car - Electric , Kia , Niro</t>
        </is>
      </c>
      <c r="E2251" t="inlineStr">
        <is>
          <t>EO73KVB , Car - Electric , Kia , Niro</t>
        </is>
      </c>
      <c r="F2251" t="inlineStr">
        <is>
          <t>EO73KVB , Car - Electric , Kia , Niro</t>
        </is>
      </c>
      <c r="G2251" t="inlineStr">
        <is>
          <t>Chris Simeoli</t>
        </is>
      </c>
      <c r="H2251" t="inlineStr">
        <is>
          <t>Car - Electric (GC Owned)</t>
        </is>
      </c>
      <c r="I2251" t="inlineStr">
        <is>
          <t>Daily/ Weekly Vehicle Inspection</t>
        </is>
      </c>
      <c r="J2251" t="inlineStr">
        <is>
          <t>N/A</t>
        </is>
      </c>
      <c r="K2251" t="inlineStr">
        <is>
          <t>Christopher Simeoli</t>
        </is>
      </c>
      <c r="L2251" t="inlineStr">
        <is>
          <t>26/11/2025 05:25</t>
        </is>
      </c>
      <c r="M2251" t="inlineStr">
        <is>
          <t>None</t>
        </is>
      </c>
      <c r="N2251" t="inlineStr">
        <is>
          <t>&lt;p&gt;&lt;/p&gt;</t>
        </is>
      </c>
      <c r="O2251" t="inlineStr"/>
      <c r="P2251" t="inlineStr">
        <is>
          <t>EO73KVB , Car - Electric , Kia , Niro</t>
        </is>
      </c>
      <c r="Q2251" t="inlineStr">
        <is>
          <t>NGED</t>
        </is>
      </c>
      <c r="R2251" t="b">
        <v>0</v>
      </c>
    </row>
    <row r="2252">
      <c r="A2252" t="inlineStr">
        <is>
          <t>26 Nov 2025 / 7806 Optimum Tree Services Ltd / Utilities / UKPN</t>
        </is>
      </c>
      <c r="B2252" t="inlineStr">
        <is>
          <t>Utilities</t>
        </is>
      </c>
      <c r="C2252" t="inlineStr">
        <is>
          <t>UKPN</t>
        </is>
      </c>
      <c r="D2252" t="inlineStr">
        <is>
          <t>WD14EVB , MEWP , Land Rover , Defender</t>
        </is>
      </c>
      <c r="E2252" t="inlineStr">
        <is>
          <t>WD14EVB , MEWP , Land Rover , Defender</t>
        </is>
      </c>
      <c r="F2252" t="inlineStr">
        <is>
          <t>WD14EVB , MEWP , Land Rover , Defender</t>
        </is>
      </c>
      <c r="G2252" t="inlineStr">
        <is>
          <t xml:space="preserve">Abraham Davies </t>
        </is>
      </c>
      <c r="H2252" t="inlineStr">
        <is>
          <t>4x4</t>
        </is>
      </c>
      <c r="I2252" t="inlineStr">
        <is>
          <t>Daily/ Weekly Vehicle Inspection</t>
        </is>
      </c>
      <c r="J2252" t="inlineStr">
        <is>
          <t>N/A</t>
        </is>
      </c>
      <c r="K2252" t="inlineStr">
        <is>
          <t>7806 Optimum Tree Services Ltd</t>
        </is>
      </c>
      <c r="L2252" t="inlineStr">
        <is>
          <t>26/11/2025 07:34</t>
        </is>
      </c>
      <c r="M2252" t="inlineStr">
        <is>
          <t>None</t>
        </is>
      </c>
      <c r="N2252" t="inlineStr">
        <is>
          <t>&lt;p&gt;&lt;/p&gt;</t>
        </is>
      </c>
      <c r="O2252" t="inlineStr"/>
      <c r="P2252" t="inlineStr">
        <is>
          <t>WD14EVB , MEWP , Land Rover , Defender</t>
        </is>
      </c>
      <c r="Q2252" t="inlineStr">
        <is>
          <t>UKPN</t>
        </is>
      </c>
      <c r="R2252" t="b">
        <v>0</v>
      </c>
    </row>
    <row r="2253">
      <c r="A2253" t="inlineStr">
        <is>
          <t>26 Nov 2025 / 7951 Austin Tree Care LTD / Utilities / UKPN</t>
        </is>
      </c>
      <c r="B2253" t="inlineStr">
        <is>
          <t>Utilities</t>
        </is>
      </c>
      <c r="C2253" t="inlineStr">
        <is>
          <t>UKPN</t>
        </is>
      </c>
      <c r="D2253" t="inlineStr">
        <is>
          <t>SA9ST6P0001283612 , Tow Chipper , Forst , ST6p</t>
        </is>
      </c>
      <c r="E2253" t="inlineStr">
        <is>
          <t>SA9ST6P0001283612 , Tow Chipper , Forst , ST6p</t>
        </is>
      </c>
      <c r="F2253" t="inlineStr">
        <is>
          <t>SA9ST6P0001283612 , Tow Chipper , Forst , ST6p</t>
        </is>
      </c>
      <c r="G2253" t="inlineStr">
        <is>
          <t xml:space="preserve">Jack Austin </t>
        </is>
      </c>
      <c r="H2253" t="inlineStr">
        <is>
          <t>Towed Chipper</t>
        </is>
      </c>
      <c r="I2253" t="inlineStr">
        <is>
          <t>Daily/ Weekly Vehicle Inspection</t>
        </is>
      </c>
      <c r="J2253" t="inlineStr">
        <is>
          <t>N/A</t>
        </is>
      </c>
      <c r="K2253" t="inlineStr">
        <is>
          <t>7951 Austin Tree Care LTD</t>
        </is>
      </c>
      <c r="L2253" t="inlineStr">
        <is>
          <t>26/11/2025 07:34</t>
        </is>
      </c>
      <c r="M2253" t="inlineStr">
        <is>
          <t>None</t>
        </is>
      </c>
      <c r="N2253" t="inlineStr">
        <is>
          <t>&lt;p&gt;&lt;/p&gt;</t>
        </is>
      </c>
      <c r="O2253" t="inlineStr"/>
      <c r="P2253" t="inlineStr">
        <is>
          <t>SA9ST6P0001283612 , Tow Chipper , Forst , ST6p</t>
        </is>
      </c>
      <c r="Q2253" t="inlineStr">
        <is>
          <t>UKPN</t>
        </is>
      </c>
      <c r="R2253" t="b">
        <v>0</v>
      </c>
    </row>
    <row r="2254">
      <c r="A2254" t="inlineStr">
        <is>
          <t>26 Nov 2025 / 7951 Austin Tree Care LTD / Utilities / UKPN</t>
        </is>
      </c>
      <c r="B2254" t="inlineStr">
        <is>
          <t>Utilities</t>
        </is>
      </c>
      <c r="C2254" t="inlineStr">
        <is>
          <t>UKPN</t>
        </is>
      </c>
      <c r="D2254" t="inlineStr">
        <is>
          <t>WF61 HZV , 4x4 MEWP , Land Rover , Defender</t>
        </is>
      </c>
      <c r="E2254" t="inlineStr">
        <is>
          <t>WF61 HZV , 4x4 MEWP , Land Rover , Defender</t>
        </is>
      </c>
      <c r="F2254" t="inlineStr">
        <is>
          <t>WF61 HZV , 4x4 MEWP , Land Rover , Defender</t>
        </is>
      </c>
      <c r="G2254" t="inlineStr">
        <is>
          <t xml:space="preserve">Jack Austin </t>
        </is>
      </c>
      <c r="H2254" t="inlineStr">
        <is>
          <t>4x4</t>
        </is>
      </c>
      <c r="I2254" t="inlineStr">
        <is>
          <t>Daily/ Weekly Vehicle Inspection</t>
        </is>
      </c>
      <c r="J2254" t="inlineStr">
        <is>
          <t>N/A</t>
        </is>
      </c>
      <c r="K2254" t="inlineStr">
        <is>
          <t>7951 Austin Tree Care LTD</t>
        </is>
      </c>
      <c r="L2254" t="inlineStr">
        <is>
          <t>26/11/2025 07:35</t>
        </is>
      </c>
      <c r="M2254" t="inlineStr">
        <is>
          <t>None</t>
        </is>
      </c>
      <c r="N2254" t="inlineStr">
        <is>
          <t>&lt;p&gt;&lt;/p&gt;</t>
        </is>
      </c>
      <c r="O2254" t="inlineStr"/>
      <c r="P2254" t="inlineStr">
        <is>
          <t>WF61 HZV , 4x4 MEWP , Land Rover , Defender</t>
        </is>
      </c>
      <c r="Q2254" t="inlineStr">
        <is>
          <t>UKPN</t>
        </is>
      </c>
      <c r="R2254" t="b">
        <v>0</v>
      </c>
    </row>
    <row r="2255">
      <c r="A2255" t="inlineStr">
        <is>
          <t>26 Nov 2025 / Anthony Gale / Utilities / UKPN</t>
        </is>
      </c>
      <c r="B2255" t="inlineStr">
        <is>
          <t>Utilities</t>
        </is>
      </c>
      <c r="C2255" t="inlineStr">
        <is>
          <t>UKPN</t>
        </is>
      </c>
      <c r="D2255" t="inlineStr">
        <is>
          <t>KX20 BCE , Tipper , Isuzu , D-Max</t>
        </is>
      </c>
      <c r="E2255" t="inlineStr">
        <is>
          <t>KX20 BCE , Tipper , Isuzu , D-Max</t>
        </is>
      </c>
      <c r="F2255" t="inlineStr">
        <is>
          <t>KX20 BCE , Tipper , Isuzu , D-Max</t>
        </is>
      </c>
      <c r="G2255" t="inlineStr">
        <is>
          <t>Anthony Gale</t>
        </is>
      </c>
      <c r="H2255" t="inlineStr">
        <is>
          <t>Pickup Truck</t>
        </is>
      </c>
      <c r="I2255" t="inlineStr">
        <is>
          <t>Daily/ Weekly Vehicle Inspection</t>
        </is>
      </c>
      <c r="J2255" t="inlineStr">
        <is>
          <t>N/A</t>
        </is>
      </c>
      <c r="K2255" t="inlineStr">
        <is>
          <t>7996 M G Tree Surgery Ltd 1</t>
        </is>
      </c>
      <c r="L2255" t="inlineStr">
        <is>
          <t>26/11/2025 07:38</t>
        </is>
      </c>
      <c r="M2255" t="inlineStr">
        <is>
          <t>None</t>
        </is>
      </c>
      <c r="N2255" t="inlineStr">
        <is>
          <t>&lt;p&gt;&lt;/p&gt;</t>
        </is>
      </c>
      <c r="O2255" t="inlineStr"/>
      <c r="P2255" t="inlineStr">
        <is>
          <t>KX20 BCE , Tipper , Isuzu , D-Max</t>
        </is>
      </c>
      <c r="Q2255" t="inlineStr">
        <is>
          <t>UKPN</t>
        </is>
      </c>
      <c r="R2255" t="b">
        <v>0</v>
      </c>
    </row>
    <row r="2256">
      <c r="A2256" t="inlineStr">
        <is>
          <t>26 Nov 2025 / 7186 Eastwoodbury Tree Services Ltd / Utilities / UKPN</t>
        </is>
      </c>
      <c r="B2256" t="inlineStr">
        <is>
          <t>Utilities</t>
        </is>
      </c>
      <c r="C2256" t="inlineStr">
        <is>
          <t>UKPN</t>
        </is>
      </c>
      <c r="D2256" t="inlineStr">
        <is>
          <t>DN61XKJ , Tipper , Ford , Transit</t>
        </is>
      </c>
      <c r="E2256" t="inlineStr">
        <is>
          <t>DN61XKJ , Tipper , Ford , Transit</t>
        </is>
      </c>
      <c r="F2256" t="inlineStr">
        <is>
          <t>DN61XKJ , Tipper , Ford , Transit</t>
        </is>
      </c>
      <c r="G2256" t="inlineStr">
        <is>
          <t xml:space="preserve">Jay Denkmayer </t>
        </is>
      </c>
      <c r="H2256" t="inlineStr">
        <is>
          <t>Tipper</t>
        </is>
      </c>
      <c r="I2256" t="inlineStr">
        <is>
          <t>Daily/ Weekly Vehicle Inspection</t>
        </is>
      </c>
      <c r="J2256" t="inlineStr">
        <is>
          <t>N/A</t>
        </is>
      </c>
      <c r="K2256" t="inlineStr">
        <is>
          <t>7186 Eastwoodbury Tree Services Ltd</t>
        </is>
      </c>
      <c r="L2256" t="inlineStr">
        <is>
          <t>26/11/2025 08:34</t>
        </is>
      </c>
      <c r="M2256" t="inlineStr">
        <is>
          <t>None</t>
        </is>
      </c>
      <c r="N2256" t="inlineStr">
        <is>
          <t>&lt;p&gt;&lt;/p&gt;</t>
        </is>
      </c>
      <c r="O2256" t="inlineStr"/>
      <c r="P2256" t="inlineStr">
        <is>
          <t>DN61XKJ , Tipper , Ford , Transit</t>
        </is>
      </c>
      <c r="Q2256" t="inlineStr">
        <is>
          <t>UKPN</t>
        </is>
      </c>
      <c r="R2256" t="b">
        <v>0</v>
      </c>
    </row>
    <row r="2257">
      <c r="A2257" t="inlineStr">
        <is>
          <t>26 Nov 2025 / 7186 Eastwoodbury Tree Services Ltd / Utilities / UKPN</t>
        </is>
      </c>
      <c r="B2257" t="inlineStr">
        <is>
          <t>Utilities</t>
        </is>
      </c>
      <c r="C2257" t="inlineStr">
        <is>
          <t>UKPN</t>
        </is>
      </c>
      <c r="D2257" t="inlineStr">
        <is>
          <t>WF13 EKM , 4x4 , Land rover  , Defenders</t>
        </is>
      </c>
      <c r="E2257" t="inlineStr">
        <is>
          <t>WF13 EKM , 4x4 , Land rover  , Defenders</t>
        </is>
      </c>
      <c r="F2257" t="inlineStr">
        <is>
          <t>WF13 EKM , 4x4 , Land rover  , Defenders</t>
        </is>
      </c>
      <c r="G2257" t="inlineStr">
        <is>
          <t xml:space="preserve">Dan Gilbert </t>
        </is>
      </c>
      <c r="H2257" t="inlineStr">
        <is>
          <t>4x4</t>
        </is>
      </c>
      <c r="I2257" t="inlineStr">
        <is>
          <t>Daily/ Weekly Vehicle Inspection</t>
        </is>
      </c>
      <c r="J2257" t="inlineStr">
        <is>
          <t>N/A</t>
        </is>
      </c>
      <c r="K2257" t="inlineStr">
        <is>
          <t>7186 Eastwoodbury Tree Services Ltd</t>
        </is>
      </c>
      <c r="L2257" t="inlineStr">
        <is>
          <t>26/11/2025 08:34</t>
        </is>
      </c>
      <c r="M2257" t="inlineStr">
        <is>
          <t>None</t>
        </is>
      </c>
      <c r="N2257" t="inlineStr">
        <is>
          <t>&lt;p&gt;&lt;/p&gt;</t>
        </is>
      </c>
      <c r="O2257" t="inlineStr"/>
      <c r="P2257" t="inlineStr">
        <is>
          <t>WF13 EKM , 4x4 , Land rover  , Defenders</t>
        </is>
      </c>
      <c r="Q2257" t="inlineStr">
        <is>
          <t>UKPN</t>
        </is>
      </c>
      <c r="R2257" t="b">
        <v>0</v>
      </c>
    </row>
    <row r="2258">
      <c r="A2258" t="inlineStr">
        <is>
          <t>26 Nov 2025 / 7186 Eastwoodbury Tree Services Ltd / Utilities / UKPN</t>
        </is>
      </c>
      <c r="B2258" t="inlineStr">
        <is>
          <t>Utilities</t>
        </is>
      </c>
      <c r="C2258" t="inlineStr">
        <is>
          <t>UKPN</t>
        </is>
      </c>
      <c r="D2258" t="inlineStr">
        <is>
          <t>WF13 EKT , 4x4 , Land rover  , Defender</t>
        </is>
      </c>
      <c r="E2258" t="inlineStr">
        <is>
          <t>WF13 EKT , 4x4 , Land rover  , Defender</t>
        </is>
      </c>
      <c r="F2258" t="inlineStr">
        <is>
          <t>WF13 EKT , 4x4 , Land rover  , Defender</t>
        </is>
      </c>
      <c r="G2258" t="inlineStr">
        <is>
          <t xml:space="preserve">Tom Price </t>
        </is>
      </c>
      <c r="H2258" t="inlineStr">
        <is>
          <t>4x4</t>
        </is>
      </c>
      <c r="I2258" t="inlineStr">
        <is>
          <t>Daily/ Weekly Vehicle Inspection</t>
        </is>
      </c>
      <c r="J2258" t="inlineStr">
        <is>
          <t>N/A</t>
        </is>
      </c>
      <c r="K2258" t="inlineStr">
        <is>
          <t>7186 Eastwoodbury Tree Services Ltd</t>
        </is>
      </c>
      <c r="L2258" t="inlineStr">
        <is>
          <t>26/11/2025 08:35</t>
        </is>
      </c>
      <c r="M2258" t="inlineStr">
        <is>
          <t>None</t>
        </is>
      </c>
      <c r="N2258" t="inlineStr">
        <is>
          <t>&lt;p&gt;&lt;/p&gt;</t>
        </is>
      </c>
      <c r="O2258" t="inlineStr"/>
      <c r="P2258" t="inlineStr">
        <is>
          <t>WF13 EKT , 4x4 , Land rover  , Defender</t>
        </is>
      </c>
      <c r="Q2258" t="inlineStr">
        <is>
          <t>UKPN</t>
        </is>
      </c>
      <c r="R2258" t="b">
        <v>0</v>
      </c>
    </row>
    <row r="2259">
      <c r="A2259" t="inlineStr">
        <is>
          <t>26 Nov 2025 / 7996 M G Tree Surgery Ltd / Utilities / UKPN</t>
        </is>
      </c>
      <c r="B2259" t="inlineStr">
        <is>
          <t>Utilities</t>
        </is>
      </c>
      <c r="C2259" t="inlineStr">
        <is>
          <t>UKPN</t>
        </is>
      </c>
      <c r="D2259" t="inlineStr">
        <is>
          <t>GU13 WNL , MEWP , Land Rover , Defender 130</t>
        </is>
      </c>
      <c r="E2259" t="inlineStr">
        <is>
          <t>GU13 WNL , MEWP , Land Rover , Defender 130</t>
        </is>
      </c>
      <c r="F2259" t="inlineStr">
        <is>
          <t>GU13 WNL , MEWP , Land Rover , Defender 130</t>
        </is>
      </c>
      <c r="G2259" t="inlineStr">
        <is>
          <t>Max</t>
        </is>
      </c>
      <c r="H2259" t="inlineStr">
        <is>
          <t>4x4</t>
        </is>
      </c>
      <c r="I2259" t="inlineStr">
        <is>
          <t>Daily/ Weekly Vehicle Inspection</t>
        </is>
      </c>
      <c r="J2259" t="inlineStr">
        <is>
          <t>N/A</t>
        </is>
      </c>
      <c r="K2259" t="inlineStr">
        <is>
          <t>7996 M G Tree Surgery Ltd</t>
        </is>
      </c>
      <c r="L2259" t="inlineStr">
        <is>
          <t>26/11/2025 08:36</t>
        </is>
      </c>
      <c r="M2259" t="inlineStr">
        <is>
          <t>None</t>
        </is>
      </c>
      <c r="N2259" t="inlineStr">
        <is>
          <t>&lt;p&gt;&lt;/p&gt;</t>
        </is>
      </c>
      <c r="O2259" t="inlineStr"/>
      <c r="P2259" t="inlineStr">
        <is>
          <t>GU13 WNL , MEWP , Land Rover , Defender 130</t>
        </is>
      </c>
      <c r="Q2259" t="inlineStr">
        <is>
          <t>UKPN</t>
        </is>
      </c>
      <c r="R2259" t="b">
        <v>0</v>
      </c>
    </row>
    <row r="2260">
      <c r="A2260" t="inlineStr">
        <is>
          <t>26 Nov 2025 / Anthony Gale / Utilities / UKPN</t>
        </is>
      </c>
      <c r="B2260" t="inlineStr">
        <is>
          <t>Utilities</t>
        </is>
      </c>
      <c r="C2260" t="inlineStr">
        <is>
          <t>UKPN</t>
        </is>
      </c>
      <c r="D2260" t="inlineStr"/>
      <c r="E2260" t="inlineStr"/>
      <c r="F2260" t="inlineStr"/>
      <c r="G2260" t="inlineStr">
        <is>
          <t xml:space="preserve">Anthony Gale </t>
        </is>
      </c>
      <c r="H2260" t="inlineStr">
        <is>
          <t>Plant Trailer</t>
        </is>
      </c>
      <c r="I2260" t="inlineStr">
        <is>
          <t>Daily/ Weekly Vehicle Inspection</t>
        </is>
      </c>
      <c r="J2260" t="inlineStr">
        <is>
          <t>N/A</t>
        </is>
      </c>
      <c r="K2260" t="inlineStr">
        <is>
          <t>7996 M G Tree Surgery Ltd 1</t>
        </is>
      </c>
      <c r="L2260" t="inlineStr">
        <is>
          <t>26/11/2025 08:36</t>
        </is>
      </c>
      <c r="M2260" t="inlineStr">
        <is>
          <t>None</t>
        </is>
      </c>
      <c r="N2260" t="inlineStr">
        <is>
          <t>&lt;p&gt;&lt;/p&gt;</t>
        </is>
      </c>
      <c r="O2260" t="inlineStr"/>
      <c r="P2260" t="inlineStr"/>
      <c r="Q2260" t="inlineStr">
        <is>
          <t>UKPN</t>
        </is>
      </c>
      <c r="R2260" t="b">
        <v>0</v>
      </c>
    </row>
    <row r="2261">
      <c r="A2261" t="inlineStr">
        <is>
          <t>26 Nov 2025 / 7806 Optimum Tree Services Ltd / Utilities / UKPN</t>
        </is>
      </c>
      <c r="B2261" t="inlineStr">
        <is>
          <t>Utilities</t>
        </is>
      </c>
      <c r="C2261" t="inlineStr">
        <is>
          <t>UKPN</t>
        </is>
      </c>
      <c r="D2261" t="inlineStr">
        <is>
          <t>NA10SYZ , Tipper , Ford , Transit</t>
        </is>
      </c>
      <c r="E2261" t="inlineStr">
        <is>
          <t>NA10SYZ , Tipper , Ford , Transit</t>
        </is>
      </c>
      <c r="F2261" t="inlineStr">
        <is>
          <t>NA10SYZ , Tipper , Ford , Transit</t>
        </is>
      </c>
      <c r="G2261" t="inlineStr">
        <is>
          <t xml:space="preserve">Kenny Aldred </t>
        </is>
      </c>
      <c r="H2261" t="inlineStr">
        <is>
          <t>Tipper</t>
        </is>
      </c>
      <c r="I2261" t="inlineStr">
        <is>
          <t>Daily/ Weekly Vehicle Inspection</t>
        </is>
      </c>
      <c r="J2261" t="inlineStr">
        <is>
          <t>N/A</t>
        </is>
      </c>
      <c r="K2261" t="inlineStr">
        <is>
          <t>7806 Optimum Tree Services Ltd</t>
        </is>
      </c>
      <c r="L2261" t="inlineStr">
        <is>
          <t>26/11/2025 08:37</t>
        </is>
      </c>
      <c r="M2261" t="inlineStr">
        <is>
          <t>None</t>
        </is>
      </c>
      <c r="N2261" t="inlineStr">
        <is>
          <t>&lt;p&gt;&lt;/p&gt;</t>
        </is>
      </c>
      <c r="O2261" t="inlineStr"/>
      <c r="P2261" t="inlineStr">
        <is>
          <t>NA10SYZ , Tipper , Ford , Transit</t>
        </is>
      </c>
      <c r="Q2261" t="inlineStr">
        <is>
          <t>UKPN</t>
        </is>
      </c>
      <c r="R2261" t="b">
        <v>0</v>
      </c>
    </row>
    <row r="2262">
      <c r="A2262" t="inlineStr">
        <is>
          <t>26 Nov 2025 / 7806 Optimum Tree Services Ltd / Utilities / UKPN</t>
        </is>
      </c>
      <c r="B2262" t="inlineStr">
        <is>
          <t>Utilities</t>
        </is>
      </c>
      <c r="C2262" t="inlineStr">
        <is>
          <t>UKPN</t>
        </is>
      </c>
      <c r="D2262" t="inlineStr">
        <is>
          <t>SA9st6p0001283093 , Towed Chipper , Forst  , St6pHD</t>
        </is>
      </c>
      <c r="E2262" t="inlineStr">
        <is>
          <t>SA9st6p0001283093 , Towed Chipper , Forst  , St6pHD</t>
        </is>
      </c>
      <c r="F2262" t="inlineStr">
        <is>
          <t>SA9st6p0001283093 , Towed Chipper , Forst  , St6pHD</t>
        </is>
      </c>
      <c r="G2262" t="inlineStr">
        <is>
          <t xml:space="preserve">Kenny Aldred </t>
        </is>
      </c>
      <c r="H2262" t="inlineStr">
        <is>
          <t>Towed Chipper</t>
        </is>
      </c>
      <c r="I2262" t="inlineStr">
        <is>
          <t>Daily/ Weekly Vehicle Inspection</t>
        </is>
      </c>
      <c r="J2262" t="inlineStr">
        <is>
          <t>N/A</t>
        </is>
      </c>
      <c r="K2262" t="inlineStr">
        <is>
          <t>7806 Optimum Tree Services Ltd</t>
        </is>
      </c>
      <c r="L2262" t="inlineStr">
        <is>
          <t>26/11/2025 08:37</t>
        </is>
      </c>
      <c r="M2262" t="inlineStr">
        <is>
          <t>None</t>
        </is>
      </c>
      <c r="N2262" t="inlineStr">
        <is>
          <t>&lt;p&gt;&lt;/p&gt;</t>
        </is>
      </c>
      <c r="O2262" t="inlineStr"/>
      <c r="P2262" t="inlineStr">
        <is>
          <t>SA9st6p0001283093 , Towed Chipper , Forst  , St6pHD</t>
        </is>
      </c>
      <c r="Q2262" t="inlineStr">
        <is>
          <t>UKPN</t>
        </is>
      </c>
      <c r="R2262" t="b">
        <v>0</v>
      </c>
    </row>
    <row r="2263">
      <c r="A2263" t="inlineStr">
        <is>
          <t>26 Nov 2025 / 7806 Optimum Tree Services Ltd / Utilities / UKPN</t>
        </is>
      </c>
      <c r="B2263" t="inlineStr">
        <is>
          <t>Utilities</t>
        </is>
      </c>
      <c r="C2263" t="inlineStr">
        <is>
          <t>UKPN</t>
        </is>
      </c>
      <c r="D2263" t="inlineStr">
        <is>
          <t>SA9ST800000283069 , Chipper , Forst , ST 6P</t>
        </is>
      </c>
      <c r="E2263" t="inlineStr">
        <is>
          <t>SA9ST800000283069 , Chipper , Forst , ST 6P</t>
        </is>
      </c>
      <c r="F2263" t="inlineStr">
        <is>
          <t>SA9ST800000283069 , Chipper , Forst , ST 6P</t>
        </is>
      </c>
      <c r="G2263" t="inlineStr">
        <is>
          <t xml:space="preserve">Abraham Davies </t>
        </is>
      </c>
      <c r="H2263" t="inlineStr">
        <is>
          <t>Towed Chipper</t>
        </is>
      </c>
      <c r="I2263" t="inlineStr">
        <is>
          <t>Daily/ Weekly Vehicle Inspection</t>
        </is>
      </c>
      <c r="J2263" t="inlineStr">
        <is>
          <t>N/A</t>
        </is>
      </c>
      <c r="K2263" t="inlineStr">
        <is>
          <t>7806 Optimum Tree Services Ltd</t>
        </is>
      </c>
      <c r="L2263" t="inlineStr">
        <is>
          <t>26/11/2025 08:38</t>
        </is>
      </c>
      <c r="M2263" t="inlineStr">
        <is>
          <t>None</t>
        </is>
      </c>
      <c r="N2263" t="inlineStr">
        <is>
          <t>&lt;p&gt;&lt;/p&gt;</t>
        </is>
      </c>
      <c r="O2263" t="inlineStr"/>
      <c r="P2263" t="inlineStr">
        <is>
          <t>SA9ST800000283069 , Chipper , Forst , ST 6P</t>
        </is>
      </c>
      <c r="Q2263" t="inlineStr">
        <is>
          <t>UKPN</t>
        </is>
      </c>
      <c r="R2263" t="b">
        <v>0</v>
      </c>
    </row>
    <row r="2264">
      <c r="A2264" t="inlineStr">
        <is>
          <t>26 Nov 2025 / 3098 D &amp; R Landscapes / Utilities / UKPN</t>
        </is>
      </c>
      <c r="B2264" t="inlineStr">
        <is>
          <t>Utilities</t>
        </is>
      </c>
      <c r="C2264" t="inlineStr">
        <is>
          <t>UKPN</t>
        </is>
      </c>
      <c r="D2264" t="inlineStr">
        <is>
          <t>WA13ZZK , 4x4 , Land Rover  , Defender</t>
        </is>
      </c>
      <c r="E2264" t="inlineStr">
        <is>
          <t>WA13ZZK , 4x4 , Land Rover  , Defender</t>
        </is>
      </c>
      <c r="F2264" t="inlineStr">
        <is>
          <t>WA13ZZK , 4x4 , Land Rover  , Defender</t>
        </is>
      </c>
      <c r="G2264" t="inlineStr">
        <is>
          <t>Josh</t>
        </is>
      </c>
      <c r="H2264" t="inlineStr">
        <is>
          <t>Pickup Truck</t>
        </is>
      </c>
      <c r="I2264" t="inlineStr">
        <is>
          <t>Daily/ Weekly Vehicle Inspection</t>
        </is>
      </c>
      <c r="J2264" t="inlineStr">
        <is>
          <t>N/A</t>
        </is>
      </c>
      <c r="K2264" t="inlineStr">
        <is>
          <t>3098 D &amp; R Landscapes</t>
        </is>
      </c>
      <c r="L2264" t="inlineStr">
        <is>
          <t>26/11/2025 09:35</t>
        </is>
      </c>
      <c r="M2264" t="inlineStr">
        <is>
          <t>None</t>
        </is>
      </c>
      <c r="N2264" t="inlineStr">
        <is>
          <t>&lt;p&gt;&lt;/p&gt;</t>
        </is>
      </c>
      <c r="O2264" t="inlineStr"/>
      <c r="P2264" t="inlineStr">
        <is>
          <t>WA13ZZK , 4x4 , Land Rover  , Defender</t>
        </is>
      </c>
      <c r="Q2264" t="inlineStr">
        <is>
          <t>UKPN</t>
        </is>
      </c>
      <c r="R2264" t="b">
        <v>0</v>
      </c>
    </row>
    <row r="2265">
      <c r="A2265" t="inlineStr">
        <is>
          <t>26 Nov 2025 / 3098 D &amp; R Landscapes / Utilities / UKPN</t>
        </is>
      </c>
      <c r="B2265" t="inlineStr">
        <is>
          <t>Utilities</t>
        </is>
      </c>
      <c r="C2265" t="inlineStr">
        <is>
          <t>UKPN</t>
        </is>
      </c>
      <c r="D2265" t="inlineStr">
        <is>
          <t>BT20 GNZ , Vehicle , Nissan , Navara</t>
        </is>
      </c>
      <c r="E2265" t="inlineStr">
        <is>
          <t>BT20 GNZ , Vehicle , Nissan , Navara</t>
        </is>
      </c>
      <c r="F2265" t="inlineStr">
        <is>
          <t>BT20 GNZ , Vehicle , Nissan , Navara</t>
        </is>
      </c>
      <c r="G2265" t="inlineStr">
        <is>
          <t>Jason</t>
        </is>
      </c>
      <c r="H2265" t="inlineStr">
        <is>
          <t>4x4</t>
        </is>
      </c>
      <c r="I2265" t="inlineStr">
        <is>
          <t>Daily/ Weekly Vehicle Inspection</t>
        </is>
      </c>
      <c r="J2265" t="inlineStr">
        <is>
          <t>N/A</t>
        </is>
      </c>
      <c r="K2265" t="inlineStr">
        <is>
          <t>3098 D &amp; R Landscapes</t>
        </is>
      </c>
      <c r="L2265" t="inlineStr">
        <is>
          <t>26/11/2025 09:35</t>
        </is>
      </c>
      <c r="M2265" t="inlineStr">
        <is>
          <t>None</t>
        </is>
      </c>
      <c r="N2265" t="inlineStr">
        <is>
          <t>&lt;p&gt;&lt;/p&gt;</t>
        </is>
      </c>
      <c r="O2265" t="inlineStr"/>
      <c r="P2265" t="inlineStr">
        <is>
          <t>BT20 GNZ , Vehicle , Nissan , Navara</t>
        </is>
      </c>
      <c r="Q2265" t="inlineStr">
        <is>
          <t>UKPN</t>
        </is>
      </c>
      <c r="R2265" t="b">
        <v>0</v>
      </c>
    </row>
    <row r="2266">
      <c r="A2266" t="inlineStr">
        <is>
          <t>26 Nov 2025 / 7800 MAC Tree Surgery and Fencing Ltd / Utilities / UKPN</t>
        </is>
      </c>
      <c r="B2266" t="inlineStr">
        <is>
          <t>Utilities</t>
        </is>
      </c>
      <c r="C2266" t="inlineStr">
        <is>
          <t>UKPN</t>
        </is>
      </c>
      <c r="D2266" t="inlineStr">
        <is>
          <t>Plant Trailer - Towmate - 2.8t - 0</t>
        </is>
      </c>
      <c r="E2266" t="inlineStr">
        <is>
          <t>Plant Trailer - Towmate - 2.8t - 0</t>
        </is>
      </c>
      <c r="F2266" t="inlineStr">
        <is>
          <t>Plant Trailer - Towmate - 2.8t - 0</t>
        </is>
      </c>
      <c r="G2266" t="inlineStr">
        <is>
          <t xml:space="preserve">Patrick O'Shea </t>
        </is>
      </c>
      <c r="H2266" t="inlineStr">
        <is>
          <t>Plant Trailer</t>
        </is>
      </c>
      <c r="I2266" t="inlineStr">
        <is>
          <t>Daily/ Weekly Vehicle Inspection</t>
        </is>
      </c>
      <c r="J2266" t="inlineStr">
        <is>
          <t>N/A</t>
        </is>
      </c>
      <c r="K2266" t="inlineStr">
        <is>
          <t>7800 MAC Tree Surgery and Fencing Ltd</t>
        </is>
      </c>
      <c r="L2266" t="inlineStr">
        <is>
          <t>26/11/2025 09:36</t>
        </is>
      </c>
      <c r="M2266" t="inlineStr">
        <is>
          <t>None</t>
        </is>
      </c>
      <c r="N2266" t="inlineStr">
        <is>
          <t>&lt;p&gt;&lt;/p&gt;</t>
        </is>
      </c>
      <c r="O2266" t="inlineStr"/>
      <c r="P2266" t="inlineStr">
        <is>
          <t>Plant Trailer - Towmate - 2.8t - 0</t>
        </is>
      </c>
      <c r="Q2266" t="inlineStr">
        <is>
          <t>UKPN</t>
        </is>
      </c>
      <c r="R2266" t="b">
        <v>0</v>
      </c>
    </row>
    <row r="2267">
      <c r="A2267" t="inlineStr">
        <is>
          <t>26 Nov 2025 / 7800 MAC Tree Surgery and Fencing Ltd / Utilities / UKPN</t>
        </is>
      </c>
      <c r="B2267" t="inlineStr">
        <is>
          <t>Utilities</t>
        </is>
      </c>
      <c r="C2267" t="inlineStr">
        <is>
          <t>UKPN</t>
        </is>
      </c>
      <c r="D2267" t="inlineStr">
        <is>
          <t>AY68DAA , 4x4 , Izuzu , Dmax</t>
        </is>
      </c>
      <c r="E2267" t="inlineStr">
        <is>
          <t>AY68DAA , 4x4 , Izuzu , Dmax</t>
        </is>
      </c>
      <c r="F2267" t="inlineStr">
        <is>
          <t>AY68DAA , 4x4 , Izuzu , Dmax</t>
        </is>
      </c>
      <c r="G2267" t="inlineStr">
        <is>
          <t xml:space="preserve">Patrick O'Shea </t>
        </is>
      </c>
      <c r="H2267" t="inlineStr">
        <is>
          <t>4x4</t>
        </is>
      </c>
      <c r="I2267" t="inlineStr">
        <is>
          <t>Daily/ Weekly Vehicle Inspection</t>
        </is>
      </c>
      <c r="J2267" t="inlineStr">
        <is>
          <t>N/A</t>
        </is>
      </c>
      <c r="K2267" t="inlineStr">
        <is>
          <t>7800 MAC Tree Surgery and Fencing Ltd</t>
        </is>
      </c>
      <c r="L2267" t="inlineStr">
        <is>
          <t>26/11/2025 09:37</t>
        </is>
      </c>
      <c r="M2267" t="inlineStr">
        <is>
          <t>None</t>
        </is>
      </c>
      <c r="N2267" t="inlineStr">
        <is>
          <t>&lt;p&gt;&lt;/p&gt;</t>
        </is>
      </c>
      <c r="O2267" t="inlineStr"/>
      <c r="P2267" t="inlineStr">
        <is>
          <t>AY68DAA , 4x4 , Izuzu , Dmax</t>
        </is>
      </c>
      <c r="Q2267" t="inlineStr">
        <is>
          <t>UKPN</t>
        </is>
      </c>
      <c r="R2267" t="b">
        <v>0</v>
      </c>
    </row>
    <row r="2268">
      <c r="A2268" t="inlineStr">
        <is>
          <t>26 Nov 2025 / Paul Chubb / Utilities / SSE</t>
        </is>
      </c>
      <c r="B2268" t="inlineStr">
        <is>
          <t>Utilities</t>
        </is>
      </c>
      <c r="C2268" t="inlineStr">
        <is>
          <t>SSE</t>
        </is>
      </c>
      <c r="D2268" t="inlineStr"/>
      <c r="E2268" t="inlineStr"/>
      <c r="F2268" t="inlineStr"/>
      <c r="G2268" t="inlineStr">
        <is>
          <t>Paul chubb</t>
        </is>
      </c>
      <c r="H2268" t="inlineStr">
        <is>
          <t>Van</t>
        </is>
      </c>
      <c r="I2268" t="inlineStr">
        <is>
          <t>Daily/ Weekly Vehicle Inspection</t>
        </is>
      </c>
      <c r="J2268" t="inlineStr">
        <is>
          <t>N/A</t>
        </is>
      </c>
      <c r="K2268" t="inlineStr">
        <is>
          <t>Paul Chubb</t>
        </is>
      </c>
      <c r="L2268" t="inlineStr">
        <is>
          <t>26/11/2025 10:34</t>
        </is>
      </c>
      <c r="M2268" t="inlineStr">
        <is>
          <t>None</t>
        </is>
      </c>
      <c r="N2268" t="inlineStr">
        <is>
          <t>&lt;p&gt;&lt;/p&gt;</t>
        </is>
      </c>
      <c r="O2268" t="inlineStr"/>
      <c r="P2268" t="inlineStr"/>
      <c r="Q2268" t="inlineStr">
        <is>
          <t>SSE</t>
        </is>
      </c>
      <c r="R2268" t="b">
        <v>0</v>
      </c>
    </row>
    <row r="2269">
      <c r="A2269" t="inlineStr">
        <is>
          <t>26 Nov 2025 / Mathew Dunn / Utilities / SSE</t>
        </is>
      </c>
      <c r="B2269" t="inlineStr">
        <is>
          <t>Utilities</t>
        </is>
      </c>
      <c r="C2269" t="inlineStr">
        <is>
          <t>SSE</t>
        </is>
      </c>
      <c r="D2269" t="inlineStr">
        <is>
          <t>GN70XAU , Car - Electric , Tesla , Model 3 Long Range AWD</t>
        </is>
      </c>
      <c r="E2269" t="inlineStr">
        <is>
          <t>GN70XAU , Car - Electric , Tesla , Model 3 Long Range AWD</t>
        </is>
      </c>
      <c r="F2269" t="inlineStr">
        <is>
          <t>GN70XAU , Car - Electric , Tesla , Model 3 Long Range AWD</t>
        </is>
      </c>
      <c r="G2269" t="inlineStr">
        <is>
          <t xml:space="preserve">Mathew dunn </t>
        </is>
      </c>
      <c r="H2269" t="inlineStr">
        <is>
          <t>Car - Electric (GC Owned)</t>
        </is>
      </c>
      <c r="I2269" t="inlineStr">
        <is>
          <t>Daily/ Weekly Vehicle Inspection</t>
        </is>
      </c>
      <c r="J2269" t="inlineStr">
        <is>
          <t>N/A</t>
        </is>
      </c>
      <c r="K2269" t="inlineStr">
        <is>
          <t>Mathew Dunn</t>
        </is>
      </c>
      <c r="L2269" t="inlineStr">
        <is>
          <t>26/11/2025 12:35</t>
        </is>
      </c>
      <c r="M2269" t="inlineStr">
        <is>
          <t>None</t>
        </is>
      </c>
      <c r="N2269" t="inlineStr">
        <is>
          <t>&lt;p&gt;&lt;/p&gt;</t>
        </is>
      </c>
      <c r="O2269" t="inlineStr"/>
      <c r="P2269" t="inlineStr">
        <is>
          <t>GN70XAU , Car - Electric , Tesla , Model 3 Long Range AWD</t>
        </is>
      </c>
      <c r="Q2269" t="inlineStr">
        <is>
          <t>SSE</t>
        </is>
      </c>
      <c r="R2269" t="b">
        <v>0</v>
      </c>
    </row>
    <row r="2270">
      <c r="A2270" t="inlineStr">
        <is>
          <t>26 Nov 2025 / Christopher Simeoli / Utilities / NGED</t>
        </is>
      </c>
      <c r="B2270" t="inlineStr">
        <is>
          <t>Utilities</t>
        </is>
      </c>
      <c r="C2270" t="inlineStr">
        <is>
          <t>NGED</t>
        </is>
      </c>
      <c r="D2270" t="inlineStr">
        <is>
          <t>EO73KVB , Car - Electric , Kia , Niro</t>
        </is>
      </c>
      <c r="E2270" t="inlineStr">
        <is>
          <t>EO73KVB , Car - Electric , Kia , Niro</t>
        </is>
      </c>
      <c r="F2270" t="inlineStr">
        <is>
          <t>EO73KVB , Car - Electric , Kia , Niro</t>
        </is>
      </c>
      <c r="G2270" t="inlineStr">
        <is>
          <t>Chris Simeoli</t>
        </is>
      </c>
      <c r="H2270" t="inlineStr">
        <is>
          <t>Car - Electric (GC Owned)</t>
        </is>
      </c>
      <c r="I2270" t="inlineStr">
        <is>
          <t>Daily/ Weekly Vehicle Inspection</t>
        </is>
      </c>
      <c r="J2270" t="inlineStr">
        <is>
          <t>N/A</t>
        </is>
      </c>
      <c r="K2270" t="inlineStr">
        <is>
          <t>Christopher Simeoli</t>
        </is>
      </c>
      <c r="L2270" t="inlineStr">
        <is>
          <t>26/11/2025 12:36</t>
        </is>
      </c>
      <c r="M2270" t="inlineStr">
        <is>
          <t xml:space="preserve">Confirm that you have checked this vehicle as per the guidance document and the vehicle is safe and roadworthy: Fail
</t>
        </is>
      </c>
      <c r="N2270" t="inlineStr">
        <is>
          <t>&lt;p&gt;&lt;/p&gt;</t>
        </is>
      </c>
      <c r="O2270" t="inlineStr"/>
      <c r="P2270" t="inlineStr">
        <is>
          <t>EO73KVB , Car - Electric , Kia , Niro</t>
        </is>
      </c>
      <c r="Q2270" t="inlineStr">
        <is>
          <t>NGED</t>
        </is>
      </c>
      <c r="R2270" t="b">
        <v>0</v>
      </c>
    </row>
    <row r="2271">
      <c r="A2271" t="inlineStr">
        <is>
          <t>26 Nov 2025 / Alexander Damar / Utilities / UKPN</t>
        </is>
      </c>
      <c r="B2271" t="inlineStr">
        <is>
          <t>Utilities</t>
        </is>
      </c>
      <c r="C2271" t="inlineStr">
        <is>
          <t>UKPN</t>
        </is>
      </c>
      <c r="D2271" t="inlineStr"/>
      <c r="E2271" t="inlineStr"/>
      <c r="F2271" t="inlineStr"/>
      <c r="G2271" t="inlineStr">
        <is>
          <t>A damar</t>
        </is>
      </c>
      <c r="H2271" t="inlineStr">
        <is>
          <t>Car - Petrol</t>
        </is>
      </c>
      <c r="I2271" t="inlineStr">
        <is>
          <t>Daily/ Weekly Vehicle Inspection</t>
        </is>
      </c>
      <c r="J2271" t="inlineStr">
        <is>
          <t>N/A</t>
        </is>
      </c>
      <c r="K2271" t="inlineStr">
        <is>
          <t>Alexander Damar</t>
        </is>
      </c>
      <c r="L2271" t="inlineStr">
        <is>
          <t>26/11/2025 13:36</t>
        </is>
      </c>
      <c r="M2271" t="inlineStr">
        <is>
          <t>None</t>
        </is>
      </c>
      <c r="N2271" t="inlineStr">
        <is>
          <t>&lt;p&gt;&lt;/p&gt;</t>
        </is>
      </c>
      <c r="O2271" t="inlineStr"/>
      <c r="P2271" t="inlineStr"/>
      <c r="Q2271" t="inlineStr">
        <is>
          <t>UKPN</t>
        </is>
      </c>
      <c r="R2271" t="b">
        <v>0</v>
      </c>
    </row>
    <row r="2272">
      <c r="A2272" t="inlineStr">
        <is>
          <t>27 Nov 2025 / 7951 Austin Tree Care LTD / Utilities / UKPN</t>
        </is>
      </c>
      <c r="B2272" t="inlineStr">
        <is>
          <t>Utilities</t>
        </is>
      </c>
      <c r="C2272" t="inlineStr">
        <is>
          <t>UKPN</t>
        </is>
      </c>
      <c r="D2272" t="inlineStr">
        <is>
          <t>KN58 FUY , Tipper , Volkswagan , Crafter</t>
        </is>
      </c>
      <c r="E2272" t="inlineStr">
        <is>
          <t>KN58 FUY , Tipper , Volkswagan , Crafter</t>
        </is>
      </c>
      <c r="F2272" t="inlineStr">
        <is>
          <t>KN58 FUY , Tipper , Volkswagan , Crafter</t>
        </is>
      </c>
      <c r="G2272" t="inlineStr">
        <is>
          <t xml:space="preserve">Jack Austin </t>
        </is>
      </c>
      <c r="H2272" t="inlineStr">
        <is>
          <t>Tipper</t>
        </is>
      </c>
      <c r="I2272" t="inlineStr">
        <is>
          <t>Daily/ Weekly Vehicle Inspection</t>
        </is>
      </c>
      <c r="J2272" t="inlineStr">
        <is>
          <t>N/A</t>
        </is>
      </c>
      <c r="K2272" t="inlineStr">
        <is>
          <t>7951 Austin Tree Care LTD</t>
        </is>
      </c>
      <c r="L2272" t="inlineStr">
        <is>
          <t>27/11/2025 06:34</t>
        </is>
      </c>
      <c r="M2272" t="inlineStr">
        <is>
          <t>None</t>
        </is>
      </c>
      <c r="N2272" t="inlineStr">
        <is>
          <t>&lt;p&gt;&lt;/p&gt;</t>
        </is>
      </c>
      <c r="O2272" t="inlineStr"/>
      <c r="P2272" t="inlineStr">
        <is>
          <t>KN58 FUY , Tipper , Volkswagan , Crafter</t>
        </is>
      </c>
      <c r="Q2272" t="inlineStr">
        <is>
          <t>UKPN</t>
        </is>
      </c>
      <c r="R2272" t="b">
        <v>0</v>
      </c>
    </row>
    <row r="2273">
      <c r="A2273" t="inlineStr">
        <is>
          <t>27 Nov 2025 / Anthony Gale / Utilities / UKPN</t>
        </is>
      </c>
      <c r="B2273" t="inlineStr">
        <is>
          <t>Utilities</t>
        </is>
      </c>
      <c r="C2273" t="inlineStr">
        <is>
          <t>UKPN</t>
        </is>
      </c>
      <c r="D2273" t="inlineStr">
        <is>
          <t>KX20 BCE , Tipper , Isuzu , D-Max</t>
        </is>
      </c>
      <c r="E2273" t="inlineStr">
        <is>
          <t>KX20 BCE , Tipper , Isuzu , D-Max</t>
        </is>
      </c>
      <c r="F2273" t="inlineStr">
        <is>
          <t>KX20 BCE , Tipper , Isuzu , D-Max</t>
        </is>
      </c>
      <c r="G2273" t="inlineStr">
        <is>
          <t xml:space="preserve">Anthony Gale </t>
        </is>
      </c>
      <c r="H2273" t="inlineStr">
        <is>
          <t>Pickup Truck</t>
        </is>
      </c>
      <c r="I2273" t="inlineStr">
        <is>
          <t>Daily/ Weekly Vehicle Inspection</t>
        </is>
      </c>
      <c r="J2273" t="inlineStr">
        <is>
          <t>N/A</t>
        </is>
      </c>
      <c r="K2273" t="inlineStr">
        <is>
          <t>7996 M G Tree Surgery Ltd 1</t>
        </is>
      </c>
      <c r="L2273" t="inlineStr">
        <is>
          <t>27/11/2025 06:36</t>
        </is>
      </c>
      <c r="M2273" t="inlineStr">
        <is>
          <t>None</t>
        </is>
      </c>
      <c r="N2273" t="inlineStr">
        <is>
          <t>&lt;p&gt;&lt;/p&gt;</t>
        </is>
      </c>
      <c r="O2273" t="inlineStr"/>
      <c r="P2273" t="inlineStr">
        <is>
          <t>KX20 BCE , Tipper , Isuzu , D-Max</t>
        </is>
      </c>
      <c r="Q2273" t="inlineStr">
        <is>
          <t>UKPN</t>
        </is>
      </c>
      <c r="R2273" t="b">
        <v>0</v>
      </c>
    </row>
    <row r="2274">
      <c r="A2274" t="inlineStr">
        <is>
          <t>26 Nov 2025 / Anthony Gale / Utilities / UKPN</t>
        </is>
      </c>
      <c r="B2274" t="inlineStr">
        <is>
          <t>Utilities</t>
        </is>
      </c>
      <c r="C2274" t="inlineStr">
        <is>
          <t>UKPN</t>
        </is>
      </c>
      <c r="D2274" t="inlineStr"/>
      <c r="E2274" t="inlineStr"/>
      <c r="F2274" t="inlineStr"/>
      <c r="G2274" t="inlineStr">
        <is>
          <t xml:space="preserve">Anthony Gale </t>
        </is>
      </c>
      <c r="H2274" t="inlineStr">
        <is>
          <t>Plant Trailer</t>
        </is>
      </c>
      <c r="I2274" t="inlineStr">
        <is>
          <t>Daily/ Weekly Vehicle Inspection</t>
        </is>
      </c>
      <c r="J2274" t="inlineStr">
        <is>
          <t>N/A</t>
        </is>
      </c>
      <c r="K2274" t="inlineStr">
        <is>
          <t>7996 M G Tree Surgery Ltd 1</t>
        </is>
      </c>
      <c r="L2274" t="inlineStr">
        <is>
          <t>27/11/2025 06:36</t>
        </is>
      </c>
      <c r="M2274" t="inlineStr">
        <is>
          <t>None</t>
        </is>
      </c>
      <c r="N2274" t="inlineStr">
        <is>
          <t>&lt;p&gt;&lt;/p&gt;</t>
        </is>
      </c>
      <c r="O2274" t="inlineStr"/>
      <c r="P2274" t="inlineStr"/>
      <c r="Q2274" t="inlineStr">
        <is>
          <t>UKPN</t>
        </is>
      </c>
      <c r="R2274" t="b">
        <v>0</v>
      </c>
    </row>
    <row r="2275">
      <c r="A2275" t="inlineStr">
        <is>
          <t>27 Nov 2025 / 7186 Eastwoodbury Tree Services Ltd / Utilities / UKPN</t>
        </is>
      </c>
      <c r="B2275" t="inlineStr">
        <is>
          <t>Utilities</t>
        </is>
      </c>
      <c r="C2275" t="inlineStr">
        <is>
          <t>UKPN</t>
        </is>
      </c>
      <c r="D2275" t="inlineStr">
        <is>
          <t>DE53NKS , 4x4 , Ford , Ranger</t>
        </is>
      </c>
      <c r="E2275" t="inlineStr">
        <is>
          <t>DE53NKS , 4x4 , Ford , Ranger</t>
        </is>
      </c>
      <c r="F2275" t="inlineStr">
        <is>
          <t>DE53NKS , 4x4 , Ford , Ranger</t>
        </is>
      </c>
      <c r="G2275" t="inlineStr">
        <is>
          <t xml:space="preserve">Jay Denkmayer </t>
        </is>
      </c>
      <c r="H2275" t="inlineStr">
        <is>
          <t>Pickup Truck</t>
        </is>
      </c>
      <c r="I2275" t="inlineStr">
        <is>
          <t>Daily/ Weekly Vehicle Inspection</t>
        </is>
      </c>
      <c r="J2275" t="inlineStr">
        <is>
          <t>N/A</t>
        </is>
      </c>
      <c r="K2275" t="inlineStr">
        <is>
          <t>7186 Eastwoodbury Tree Services Ltd</t>
        </is>
      </c>
      <c r="L2275" t="inlineStr">
        <is>
          <t>27/11/2025 07:34</t>
        </is>
      </c>
      <c r="M2275" t="inlineStr">
        <is>
          <t>None</t>
        </is>
      </c>
      <c r="N2275" t="inlineStr">
        <is>
          <t>&lt;p&gt;&lt;/p&gt;</t>
        </is>
      </c>
      <c r="O2275" t="inlineStr"/>
      <c r="P2275" t="inlineStr">
        <is>
          <t>DE53NKS , 4x4 , Ford , Ranger</t>
        </is>
      </c>
      <c r="Q2275" t="inlineStr">
        <is>
          <t>UKPN</t>
        </is>
      </c>
      <c r="R2275" t="b">
        <v>0</v>
      </c>
    </row>
    <row r="2276">
      <c r="A2276" t="inlineStr">
        <is>
          <t>27 Nov 2025 / 7186 Eastwoodbury Tree Services Ltd / Utilities / UKPN</t>
        </is>
      </c>
      <c r="B2276" t="inlineStr">
        <is>
          <t>Utilities</t>
        </is>
      </c>
      <c r="C2276" t="inlineStr">
        <is>
          <t>UKPN</t>
        </is>
      </c>
      <c r="D2276" t="inlineStr">
        <is>
          <t>DN61XKJ , Tipper , Ford , Transit</t>
        </is>
      </c>
      <c r="E2276" t="inlineStr">
        <is>
          <t>DN61XKJ , Tipper , Ford , Transit</t>
        </is>
      </c>
      <c r="F2276" t="inlineStr">
        <is>
          <t>DN61XKJ , Tipper , Ford , Transit</t>
        </is>
      </c>
      <c r="G2276" t="inlineStr">
        <is>
          <t xml:space="preserve">Dan Gilbert </t>
        </is>
      </c>
      <c r="H2276" t="inlineStr">
        <is>
          <t>Tipper</t>
        </is>
      </c>
      <c r="I2276" t="inlineStr">
        <is>
          <t>Daily/ Weekly Vehicle Inspection</t>
        </is>
      </c>
      <c r="J2276" t="inlineStr">
        <is>
          <t>N/A</t>
        </is>
      </c>
      <c r="K2276" t="inlineStr">
        <is>
          <t>7186 Eastwoodbury Tree Services Ltd</t>
        </is>
      </c>
      <c r="L2276" t="inlineStr">
        <is>
          <t>27/11/2025 07:35</t>
        </is>
      </c>
      <c r="M2276" t="inlineStr">
        <is>
          <t>None</t>
        </is>
      </c>
      <c r="N2276" t="inlineStr">
        <is>
          <t>&lt;p&gt;&lt;/p&gt;</t>
        </is>
      </c>
      <c r="O2276" t="inlineStr"/>
      <c r="P2276" t="inlineStr">
        <is>
          <t>DN61XKJ , Tipper , Ford , Transit</t>
        </is>
      </c>
      <c r="Q2276" t="inlineStr">
        <is>
          <t>UKPN</t>
        </is>
      </c>
      <c r="R2276" t="b">
        <v>0</v>
      </c>
    </row>
    <row r="2277">
      <c r="A2277" t="inlineStr">
        <is>
          <t>27 Nov 2025 / 7889 Tree Tech Suffolk Ltd</t>
        </is>
      </c>
      <c r="B2277" t="inlineStr">
        <is>
          <t>Utilities &amp; Inland Waterways</t>
        </is>
      </c>
      <c r="C2277" t="inlineStr">
        <is>
          <t>UKPN</t>
        </is>
      </c>
      <c r="D2277" t="inlineStr">
        <is>
          <t>Tow Chipper - Jenson - A530L - 55210639484x4 - Isuzu - D-max - NS03 TTSTipper - Mercedes - Sprinter - NS06TTS</t>
        </is>
      </c>
      <c r="E2277" t="inlineStr">
        <is>
          <t>Tow Chipper - Jenson - A530L - 55210639484x4 - Isuzu - D-max - NS03 TTSTipper - Mercedes - Sprinter - NS06TTS</t>
        </is>
      </c>
      <c r="F2277" t="inlineStr">
        <is>
          <t>Tow Chipper - Jenson - A530L - 55210639484x4 - Isuzu - D-max - NS03 TTSTipper - Mercedes - Sprinter - NS06TTS</t>
        </is>
      </c>
      <c r="G2277" t="inlineStr">
        <is>
          <t xml:space="preserve">Danny Appleby Danny Appleby Nikki sparrow </t>
        </is>
      </c>
      <c r="H2277" t="inlineStr">
        <is>
          <t>Towed Chipper4x4Tipper</t>
        </is>
      </c>
      <c r="I2277" t="inlineStr">
        <is>
          <t>Daily/ Weekly Vehicle Inspection</t>
        </is>
      </c>
      <c r="J2277" t="inlineStr">
        <is>
          <t>N/A</t>
        </is>
      </c>
      <c r="K2277" t="inlineStr">
        <is>
          <t>7889 Tree Tech Suffolk Ltd</t>
        </is>
      </c>
      <c r="L2277" t="inlineStr">
        <is>
          <t>27/11/2025 07:36</t>
        </is>
      </c>
      <c r="M2277" t="inlineStr">
        <is>
          <t>None</t>
        </is>
      </c>
      <c r="N2277" t="inlineStr">
        <is>
          <t>&lt;p&gt;&lt;/p&gt;</t>
        </is>
      </c>
      <c r="O2277" t="inlineStr">
        <is>
          <t>Select Vehicle:Ns08 tts</t>
        </is>
      </c>
      <c r="P2277" t="inlineStr">
        <is>
          <t>Tow Chipper - Jenson - A530L - 55210639484x4 - Isuzu - D-max - NS03 TTSTipper - Mercedes - Sprinter - NS06TTS</t>
        </is>
      </c>
      <c r="Q2277" t="inlineStr">
        <is>
          <t>UKPN</t>
        </is>
      </c>
      <c r="R2277" t="b">
        <v>0</v>
      </c>
    </row>
    <row r="2278">
      <c r="A2278" t="inlineStr">
        <is>
          <t>27 Nov 2025 / 7186 Eastwoodbury Tree Services Ltd / Utilities / UKPN</t>
        </is>
      </c>
      <c r="B2278" t="inlineStr">
        <is>
          <t>Utilities</t>
        </is>
      </c>
      <c r="C2278" t="inlineStr">
        <is>
          <t>UKPN</t>
        </is>
      </c>
      <c r="D2278" t="inlineStr">
        <is>
          <t>WF13 EKT , 4x4 , Land rover  , Defender</t>
        </is>
      </c>
      <c r="E2278" t="inlineStr">
        <is>
          <t>WF13 EKT , 4x4 , Land rover  , Defender</t>
        </is>
      </c>
      <c r="F2278" t="inlineStr">
        <is>
          <t>WF13 EKT , 4x4 , Land rover  , Defender</t>
        </is>
      </c>
      <c r="G2278" t="inlineStr">
        <is>
          <t xml:space="preserve">Tom Price </t>
        </is>
      </c>
      <c r="H2278" t="inlineStr">
        <is>
          <t>4x4</t>
        </is>
      </c>
      <c r="I2278" t="inlineStr">
        <is>
          <t>Daily/ Weekly Vehicle Inspection</t>
        </is>
      </c>
      <c r="J2278" t="inlineStr">
        <is>
          <t>N/A</t>
        </is>
      </c>
      <c r="K2278" t="inlineStr">
        <is>
          <t>7186 Eastwoodbury Tree Services Ltd</t>
        </is>
      </c>
      <c r="L2278" t="inlineStr">
        <is>
          <t>27/11/2025 07:37</t>
        </is>
      </c>
      <c r="M2278" t="inlineStr">
        <is>
          <t>None</t>
        </is>
      </c>
      <c r="N2278" t="inlineStr">
        <is>
          <t>&lt;p&gt;&lt;/p&gt;</t>
        </is>
      </c>
      <c r="O2278" t="inlineStr"/>
      <c r="P2278" t="inlineStr">
        <is>
          <t>WF13 EKT , 4x4 , Land rover  , Defender</t>
        </is>
      </c>
      <c r="Q2278" t="inlineStr">
        <is>
          <t>UKPN</t>
        </is>
      </c>
      <c r="R2278" t="b">
        <v>0</v>
      </c>
    </row>
    <row r="2279">
      <c r="A2279" t="inlineStr">
        <is>
          <t>27 Nov 2025 / 7806 Optimum Tree Services Ltd / Utilities / UKPN</t>
        </is>
      </c>
      <c r="B2279" t="inlineStr">
        <is>
          <t>Utilities</t>
        </is>
      </c>
      <c r="C2279" t="inlineStr">
        <is>
          <t>UKPN</t>
        </is>
      </c>
      <c r="D2279" t="inlineStr">
        <is>
          <t>WD14EVB , MEWP , Land Rover , Defender</t>
        </is>
      </c>
      <c r="E2279" t="inlineStr">
        <is>
          <t>WD14EVB , MEWP , Land Rover , Defender</t>
        </is>
      </c>
      <c r="F2279" t="inlineStr">
        <is>
          <t>WD14EVB , MEWP , Land Rover , Defender</t>
        </is>
      </c>
      <c r="G2279" t="inlineStr">
        <is>
          <t xml:space="preserve">Abraham Davies </t>
        </is>
      </c>
      <c r="H2279" t="inlineStr">
        <is>
          <t>4x4</t>
        </is>
      </c>
      <c r="I2279" t="inlineStr">
        <is>
          <t>Daily/ Weekly Vehicle Inspection</t>
        </is>
      </c>
      <c r="J2279" t="inlineStr">
        <is>
          <t>N/A</t>
        </is>
      </c>
      <c r="K2279" t="inlineStr">
        <is>
          <t>7806 Optimum Tree Services Ltd</t>
        </is>
      </c>
      <c r="L2279" t="inlineStr">
        <is>
          <t>27/11/2025 07:37</t>
        </is>
      </c>
      <c r="M2279" t="inlineStr">
        <is>
          <t>None</t>
        </is>
      </c>
      <c r="N2279" t="inlineStr">
        <is>
          <t>&lt;p&gt;&lt;/p&gt;</t>
        </is>
      </c>
      <c r="O2279" t="inlineStr"/>
      <c r="P2279" t="inlineStr">
        <is>
          <t>WD14EVB , MEWP , Land Rover , Defender</t>
        </is>
      </c>
      <c r="Q2279" t="inlineStr">
        <is>
          <t>UKPN</t>
        </is>
      </c>
      <c r="R2279" t="b">
        <v>0</v>
      </c>
    </row>
    <row r="2280">
      <c r="A2280" t="inlineStr">
        <is>
          <t>27 Nov 2025 / 7800 MAC Tree Surgery and Fencing Ltd / Utilities / UKPN</t>
        </is>
      </c>
      <c r="B2280" t="inlineStr">
        <is>
          <t>Utilities</t>
        </is>
      </c>
      <c r="C2280" t="inlineStr">
        <is>
          <t>UKPN</t>
        </is>
      </c>
      <c r="D2280" t="inlineStr">
        <is>
          <t>Plant Trailer - Towmate - 2.8t - 0</t>
        </is>
      </c>
      <c r="E2280" t="inlineStr">
        <is>
          <t>Plant Trailer - Towmate - 2.8t - 0</t>
        </is>
      </c>
      <c r="F2280" t="inlineStr">
        <is>
          <t>Plant Trailer - Towmate - 2.8t - 0</t>
        </is>
      </c>
      <c r="G2280" t="inlineStr">
        <is>
          <t xml:space="preserve">Patrick O'Shea </t>
        </is>
      </c>
      <c r="H2280" t="inlineStr">
        <is>
          <t>Plant Trailer</t>
        </is>
      </c>
      <c r="I2280" t="inlineStr">
        <is>
          <t>Daily/ Weekly Vehicle Inspection</t>
        </is>
      </c>
      <c r="J2280" t="inlineStr">
        <is>
          <t>N/A</t>
        </is>
      </c>
      <c r="K2280" t="inlineStr">
        <is>
          <t>7800 MAC Tree Surgery and Fencing Ltd</t>
        </is>
      </c>
      <c r="L2280" t="inlineStr">
        <is>
          <t>27/11/2025 08:35</t>
        </is>
      </c>
      <c r="M2280" t="inlineStr">
        <is>
          <t>None</t>
        </is>
      </c>
      <c r="N2280" t="inlineStr">
        <is>
          <t>&lt;p&gt;&lt;/p&gt;</t>
        </is>
      </c>
      <c r="O2280" t="inlineStr"/>
      <c r="P2280" t="inlineStr">
        <is>
          <t>Plant Trailer - Towmate - 2.8t - 0</t>
        </is>
      </c>
      <c r="Q2280" t="inlineStr">
        <is>
          <t>UKPN</t>
        </is>
      </c>
      <c r="R2280" t="b">
        <v>0</v>
      </c>
    </row>
    <row r="2281">
      <c r="A2281" t="inlineStr">
        <is>
          <t>27 Nov 2025 / 7800 MAC Tree Surgery and Fencing Ltd / Utilities / UKPN</t>
        </is>
      </c>
      <c r="B2281" t="inlineStr">
        <is>
          <t>Utilities</t>
        </is>
      </c>
      <c r="C2281" t="inlineStr">
        <is>
          <t>UKPN</t>
        </is>
      </c>
      <c r="D2281" t="inlineStr">
        <is>
          <t>AY68DAA , 4x4 , Izuzu , Dmax</t>
        </is>
      </c>
      <c r="E2281" t="inlineStr">
        <is>
          <t>AY68DAA , 4x4 , Izuzu , Dmax</t>
        </is>
      </c>
      <c r="F2281" t="inlineStr">
        <is>
          <t>AY68DAA , 4x4 , Izuzu , Dmax</t>
        </is>
      </c>
      <c r="G2281" t="inlineStr">
        <is>
          <t xml:space="preserve">Patrick O'Shea </t>
        </is>
      </c>
      <c r="H2281" t="inlineStr">
        <is>
          <t>4x4</t>
        </is>
      </c>
      <c r="I2281" t="inlineStr">
        <is>
          <t>Daily/ Weekly Vehicle Inspection</t>
        </is>
      </c>
      <c r="J2281" t="inlineStr">
        <is>
          <t>N/A</t>
        </is>
      </c>
      <c r="K2281" t="inlineStr">
        <is>
          <t>7800 MAC Tree Surgery and Fencing Ltd</t>
        </is>
      </c>
      <c r="L2281" t="inlineStr">
        <is>
          <t>27/11/2025 08:35</t>
        </is>
      </c>
      <c r="M2281" t="inlineStr">
        <is>
          <t>None</t>
        </is>
      </c>
      <c r="N2281" t="inlineStr">
        <is>
          <t>&lt;p&gt;&lt;/p&gt;</t>
        </is>
      </c>
      <c r="O2281" t="inlineStr"/>
      <c r="P2281" t="inlineStr">
        <is>
          <t>AY68DAA , 4x4 , Izuzu , Dmax</t>
        </is>
      </c>
      <c r="Q2281" t="inlineStr">
        <is>
          <t>UKPN</t>
        </is>
      </c>
      <c r="R2281" t="b">
        <v>0</v>
      </c>
    </row>
    <row r="2282">
      <c r="A2282" t="inlineStr">
        <is>
          <t>27 Nov 2025 / Thomas Playford / Utilities / UKPN</t>
        </is>
      </c>
      <c r="B2282" t="inlineStr">
        <is>
          <t>Utilities</t>
        </is>
      </c>
      <c r="C2282" t="inlineStr">
        <is>
          <t>UKPN</t>
        </is>
      </c>
      <c r="D2282" t="inlineStr">
        <is>
          <t>LK15KRZ , 4x4 , Landrover , Defender</t>
        </is>
      </c>
      <c r="E2282" t="inlineStr">
        <is>
          <t>LK15KRZ , 4x4 , Landrover , Defender</t>
        </is>
      </c>
      <c r="F2282" t="inlineStr">
        <is>
          <t>LK15KRZ , 4x4 , Landrover , Defender</t>
        </is>
      </c>
      <c r="G2282" t="inlineStr">
        <is>
          <t>Thomas Playford</t>
        </is>
      </c>
      <c r="H2282" t="inlineStr">
        <is>
          <t>4x4</t>
        </is>
      </c>
      <c r="I2282" t="inlineStr">
        <is>
          <t>Daily/ Weekly Vehicle Inspection</t>
        </is>
      </c>
      <c r="J2282" t="inlineStr">
        <is>
          <t>N/A</t>
        </is>
      </c>
      <c r="K2282" t="inlineStr">
        <is>
          <t>7995 Green Net Eco Ltd 2</t>
        </is>
      </c>
      <c r="L2282" t="inlineStr">
        <is>
          <t>27/11/2025 08:36</t>
        </is>
      </c>
      <c r="M2282" t="inlineStr">
        <is>
          <t>None</t>
        </is>
      </c>
      <c r="N2282" t="inlineStr">
        <is>
          <t>&lt;p&gt;&lt;/p&gt;</t>
        </is>
      </c>
      <c r="O2282" t="inlineStr"/>
      <c r="P2282" t="inlineStr">
        <is>
          <t>LK15KRZ , 4x4 , Landrover , Defender</t>
        </is>
      </c>
      <c r="Q2282" t="inlineStr">
        <is>
          <t>UKPN</t>
        </is>
      </c>
      <c r="R2282" t="b">
        <v>0</v>
      </c>
    </row>
    <row r="2283">
      <c r="A2283" t="inlineStr">
        <is>
          <t>27 Nov 2025 / 7806 Optimum Tree Services Ltd / Utilities / UKPN</t>
        </is>
      </c>
      <c r="B2283" t="inlineStr">
        <is>
          <t>Utilities</t>
        </is>
      </c>
      <c r="C2283" t="inlineStr">
        <is>
          <t>UKPN</t>
        </is>
      </c>
      <c r="D2283" t="inlineStr">
        <is>
          <t>SA9st6p0001283093 , Towed Chipper , Forst  , St6pHD</t>
        </is>
      </c>
      <c r="E2283" t="inlineStr">
        <is>
          <t>SA9st6p0001283093 , Towed Chipper , Forst  , St6pHD</t>
        </is>
      </c>
      <c r="F2283" t="inlineStr">
        <is>
          <t>SA9st6p0001283093 , Towed Chipper , Forst  , St6pHD</t>
        </is>
      </c>
      <c r="G2283" t="inlineStr">
        <is>
          <t xml:space="preserve">Abraham Davies </t>
        </is>
      </c>
      <c r="H2283" t="inlineStr">
        <is>
          <t>Towed Chipper</t>
        </is>
      </c>
      <c r="I2283" t="inlineStr">
        <is>
          <t>Daily/ Weekly Vehicle Inspection</t>
        </is>
      </c>
      <c r="J2283" t="inlineStr">
        <is>
          <t>N/A</t>
        </is>
      </c>
      <c r="K2283" t="inlineStr">
        <is>
          <t>7806 Optimum Tree Services Ltd</t>
        </is>
      </c>
      <c r="L2283" t="inlineStr">
        <is>
          <t>27/11/2025 08:36</t>
        </is>
      </c>
      <c r="M2283" t="inlineStr">
        <is>
          <t>None</t>
        </is>
      </c>
      <c r="N2283" t="inlineStr">
        <is>
          <t>&lt;p&gt;&lt;/p&gt;</t>
        </is>
      </c>
      <c r="O2283" t="inlineStr"/>
      <c r="P2283" t="inlineStr">
        <is>
          <t>SA9st6p0001283093 , Towed Chipper , Forst  , St6pHD</t>
        </is>
      </c>
      <c r="Q2283" t="inlineStr">
        <is>
          <t>UKPN</t>
        </is>
      </c>
      <c r="R2283" t="b">
        <v>0</v>
      </c>
    </row>
    <row r="2284">
      <c r="A2284" t="inlineStr">
        <is>
          <t>27 Nov 2025 / Patryk Zietarski / Utilities / UKPN</t>
        </is>
      </c>
      <c r="B2284" t="inlineStr">
        <is>
          <t>Utilities</t>
        </is>
      </c>
      <c r="C2284" t="inlineStr">
        <is>
          <t>UKPN</t>
        </is>
      </c>
      <c r="D2284" t="inlineStr">
        <is>
          <t>YW73 CWT , Car - Electric , Kia , Niro</t>
        </is>
      </c>
      <c r="E2284" t="inlineStr">
        <is>
          <t>YW73 CWT , Car - Electric , Kia , Niro</t>
        </is>
      </c>
      <c r="F2284" t="inlineStr">
        <is>
          <t>YW73 CWT , Car - Electric , Kia , Niro</t>
        </is>
      </c>
      <c r="G2284" t="inlineStr">
        <is>
          <t xml:space="preserve">Patryk Zietarski </t>
        </is>
      </c>
      <c r="H2284" t="inlineStr">
        <is>
          <t>Car - Electric (GC Owned)</t>
        </is>
      </c>
      <c r="I2284" t="inlineStr">
        <is>
          <t>Daily/ Weekly Vehicle Inspection</t>
        </is>
      </c>
      <c r="J2284" t="inlineStr">
        <is>
          <t>N/A</t>
        </is>
      </c>
      <c r="K2284" t="inlineStr">
        <is>
          <t>Patryk Zietarski</t>
        </is>
      </c>
      <c r="L2284" t="inlineStr">
        <is>
          <t>27/11/2025 08:37</t>
        </is>
      </c>
      <c r="M2284" t="inlineStr">
        <is>
          <t>None</t>
        </is>
      </c>
      <c r="N2284" t="inlineStr">
        <is>
          <t>&lt;p&gt;&lt;/p&gt;</t>
        </is>
      </c>
      <c r="O2284" t="inlineStr"/>
      <c r="P2284" t="inlineStr">
        <is>
          <t>YW73 CWT , Car - Electric , Kia , Niro</t>
        </is>
      </c>
      <c r="Q2284" t="inlineStr">
        <is>
          <t>UKPN</t>
        </is>
      </c>
      <c r="R2284" t="b">
        <v>0</v>
      </c>
    </row>
    <row r="2285">
      <c r="A2285" t="inlineStr">
        <is>
          <t>27 Nov 2025 / 7996 M G Tree Surgery Ltd / Utilities / UKPN</t>
        </is>
      </c>
      <c r="B2285" t="inlineStr">
        <is>
          <t>Utilities</t>
        </is>
      </c>
      <c r="C2285" t="inlineStr">
        <is>
          <t>UKPN</t>
        </is>
      </c>
      <c r="D2285" t="inlineStr">
        <is>
          <t>GU13 WNL , MEWP , Land Rover , Defender 130</t>
        </is>
      </c>
      <c r="E2285" t="inlineStr">
        <is>
          <t>GU13 WNL , MEWP , Land Rover , Defender 130</t>
        </is>
      </c>
      <c r="F2285" t="inlineStr">
        <is>
          <t>GU13 WNL , MEWP , Land Rover , Defender 130</t>
        </is>
      </c>
      <c r="G2285" t="inlineStr">
        <is>
          <t>Max</t>
        </is>
      </c>
      <c r="H2285" t="inlineStr">
        <is>
          <t>4x4</t>
        </is>
      </c>
      <c r="I2285" t="inlineStr">
        <is>
          <t>Daily/ Weekly Vehicle Inspection</t>
        </is>
      </c>
      <c r="J2285" t="inlineStr">
        <is>
          <t>N/A</t>
        </is>
      </c>
      <c r="K2285" t="inlineStr">
        <is>
          <t>7996 M G Tree Surgery Ltd</t>
        </is>
      </c>
      <c r="L2285" t="inlineStr">
        <is>
          <t>27/11/2025 11:34</t>
        </is>
      </c>
      <c r="M2285" t="inlineStr">
        <is>
          <t>None</t>
        </is>
      </c>
      <c r="N2285" t="inlineStr">
        <is>
          <t>&lt;p&gt;&lt;/p&gt;</t>
        </is>
      </c>
      <c r="O2285" t="inlineStr"/>
      <c r="P2285" t="inlineStr">
        <is>
          <t>GU13 WNL , MEWP , Land Rover , Defender 130</t>
        </is>
      </c>
      <c r="Q2285" t="inlineStr">
        <is>
          <t>UKPN</t>
        </is>
      </c>
      <c r="R2285" t="b">
        <v>0</v>
      </c>
    </row>
    <row r="2286">
      <c r="A2286" t="inlineStr">
        <is>
          <t>27 Nov 2025 / Andrew Carr / Utilities / SSE</t>
        </is>
      </c>
      <c r="B2286" t="inlineStr">
        <is>
          <t>Utilities</t>
        </is>
      </c>
      <c r="C2286" t="inlineStr">
        <is>
          <t>SSE</t>
        </is>
      </c>
      <c r="D2286" t="inlineStr"/>
      <c r="E2286" t="inlineStr"/>
      <c r="F2286" t="inlineStr"/>
      <c r="G2286" t="inlineStr">
        <is>
          <t xml:space="preserve">Andrew Carr </t>
        </is>
      </c>
      <c r="H2286" t="inlineStr">
        <is>
          <t>Car - Petrol</t>
        </is>
      </c>
      <c r="I2286" t="inlineStr">
        <is>
          <t>Daily/ Weekly Vehicle Inspection</t>
        </is>
      </c>
      <c r="J2286" t="inlineStr">
        <is>
          <t>N/A</t>
        </is>
      </c>
      <c r="K2286" t="inlineStr">
        <is>
          <t>Andrew Carr</t>
        </is>
      </c>
      <c r="L2286" t="inlineStr">
        <is>
          <t>27/11/2025 14:34</t>
        </is>
      </c>
      <c r="M2286" t="inlineStr">
        <is>
          <t>None</t>
        </is>
      </c>
      <c r="N2286" t="inlineStr">
        <is>
          <t>&lt;p&gt;&lt;/p&gt;</t>
        </is>
      </c>
      <c r="O2286" t="inlineStr">
        <is>
          <t>Confirm that you have checked this vehicle as per the guidance document and the vehicle is safe and roadworthy:Front tyres close to wear limit, booked 4/12/25 at kwik fit for inspection/replacement 
Windscreen washer malfunction booked for repair 3/12/25 at Skoda
-</t>
        </is>
      </c>
      <c r="P2286" t="inlineStr"/>
      <c r="Q2286" t="inlineStr">
        <is>
          <t>SSE</t>
        </is>
      </c>
      <c r="R2286" t="b">
        <v>0</v>
      </c>
    </row>
    <row r="2287">
      <c r="A2287" t="inlineStr">
        <is>
          <t>28 Nov 2025 / 7951 Austin Tree Care LTD / Utilities / UKPN</t>
        </is>
      </c>
      <c r="B2287" t="inlineStr">
        <is>
          <t>Utilities</t>
        </is>
      </c>
      <c r="C2287" t="inlineStr">
        <is>
          <t>UKPN</t>
        </is>
      </c>
      <c r="D2287" t="inlineStr">
        <is>
          <t>SA9ST6P0001283612 , Tow Chipper , Forst , ST6p</t>
        </is>
      </c>
      <c r="E2287" t="inlineStr">
        <is>
          <t>SA9ST6P0001283612 , Tow Chipper , Forst , ST6p</t>
        </is>
      </c>
      <c r="F2287" t="inlineStr">
        <is>
          <t>SA9ST6P0001283612 , Tow Chipper , Forst , ST6p</t>
        </is>
      </c>
      <c r="G2287" t="inlineStr">
        <is>
          <t xml:space="preserve">Jack Austin </t>
        </is>
      </c>
      <c r="H2287" t="inlineStr">
        <is>
          <t>Tipper</t>
        </is>
      </c>
      <c r="I2287" t="inlineStr">
        <is>
          <t>Daily/ Weekly Vehicle Inspection</t>
        </is>
      </c>
      <c r="J2287" t="inlineStr">
        <is>
          <t>N/A</t>
        </is>
      </c>
      <c r="K2287" t="inlineStr">
        <is>
          <t>7951 Austin Tree Care LTD</t>
        </is>
      </c>
      <c r="L2287" t="inlineStr">
        <is>
          <t>28/11/2025 07:34</t>
        </is>
      </c>
      <c r="M2287" t="inlineStr">
        <is>
          <t>None</t>
        </is>
      </c>
      <c r="N2287" t="inlineStr">
        <is>
          <t>&lt;p&gt;&lt;/p&gt;</t>
        </is>
      </c>
      <c r="O2287" t="inlineStr"/>
      <c r="P2287" t="inlineStr">
        <is>
          <t>SA9ST6P0001283612 , Tow Chipper , Forst , ST6p</t>
        </is>
      </c>
      <c r="Q2287" t="inlineStr">
        <is>
          <t>UKPN</t>
        </is>
      </c>
      <c r="R2287" t="b">
        <v>0</v>
      </c>
    </row>
    <row r="2288">
      <c r="A2288" t="inlineStr">
        <is>
          <t>28 Nov 2025 / 7951 Austin Tree Care LTD / Utilities / UKPN</t>
        </is>
      </c>
      <c r="B2288" t="inlineStr">
        <is>
          <t>Utilities</t>
        </is>
      </c>
      <c r="C2288" t="inlineStr">
        <is>
          <t>UKPN</t>
        </is>
      </c>
      <c r="D2288" t="inlineStr">
        <is>
          <t>KN58 FUY , Tipper , Volkswagan , Crafter</t>
        </is>
      </c>
      <c r="E2288" t="inlineStr">
        <is>
          <t>KN58 FUY , Tipper , Volkswagan , Crafter</t>
        </is>
      </c>
      <c r="F2288" t="inlineStr">
        <is>
          <t>KN58 FUY , Tipper , Volkswagan , Crafter</t>
        </is>
      </c>
      <c r="G2288" t="inlineStr">
        <is>
          <t xml:space="preserve">Jack Austin </t>
        </is>
      </c>
      <c r="H2288" t="inlineStr">
        <is>
          <t>Tipper</t>
        </is>
      </c>
      <c r="I2288" t="inlineStr">
        <is>
          <t>Daily/ Weekly Vehicle Inspection</t>
        </is>
      </c>
      <c r="J2288" t="inlineStr">
        <is>
          <t>N/A</t>
        </is>
      </c>
      <c r="K2288" t="inlineStr">
        <is>
          <t>7951 Austin Tree Care LTD</t>
        </is>
      </c>
      <c r="L2288" t="inlineStr">
        <is>
          <t>28/11/2025 07:35</t>
        </is>
      </c>
      <c r="M2288" t="inlineStr">
        <is>
          <t>None</t>
        </is>
      </c>
      <c r="N2288" t="inlineStr">
        <is>
          <t>&lt;p&gt;&lt;/p&gt;</t>
        </is>
      </c>
      <c r="O2288" t="inlineStr"/>
      <c r="P2288" t="inlineStr">
        <is>
          <t>KN58 FUY , Tipper , Volkswagan , Crafter</t>
        </is>
      </c>
      <c r="Q2288" t="inlineStr">
        <is>
          <t>UKPN</t>
        </is>
      </c>
      <c r="R2288" t="b">
        <v>0</v>
      </c>
    </row>
    <row r="2289">
      <c r="A2289" t="inlineStr">
        <is>
          <t>28 Nov 2025 / 7806 Optimum Tree Services Ltd / Utilities / UKPN</t>
        </is>
      </c>
      <c r="B2289" t="inlineStr">
        <is>
          <t>Utilities</t>
        </is>
      </c>
      <c r="C2289" t="inlineStr">
        <is>
          <t>UKPN</t>
        </is>
      </c>
      <c r="D2289" t="inlineStr">
        <is>
          <t>WD14EVB , MEWP , Land Rover , Defender</t>
        </is>
      </c>
      <c r="E2289" t="inlineStr">
        <is>
          <t>WD14EVB , MEWP , Land Rover , Defender</t>
        </is>
      </c>
      <c r="F2289" t="inlineStr">
        <is>
          <t>WD14EVB , MEWP , Land Rover , Defender</t>
        </is>
      </c>
      <c r="G2289" t="inlineStr">
        <is>
          <t xml:space="preserve">Abraham Davies </t>
        </is>
      </c>
      <c r="H2289" t="inlineStr">
        <is>
          <t>4x4</t>
        </is>
      </c>
      <c r="I2289" t="inlineStr">
        <is>
          <t>Daily/ Weekly Vehicle Inspection</t>
        </is>
      </c>
      <c r="J2289" t="inlineStr">
        <is>
          <t>N/A</t>
        </is>
      </c>
      <c r="K2289" t="inlineStr">
        <is>
          <t>7806 Optimum Tree Services Ltd</t>
        </is>
      </c>
      <c r="L2289" t="inlineStr">
        <is>
          <t>28/11/2025 07:35</t>
        </is>
      </c>
      <c r="M2289" t="inlineStr">
        <is>
          <t>None</t>
        </is>
      </c>
      <c r="N2289" t="inlineStr">
        <is>
          <t>&lt;p&gt;&lt;/p&gt;</t>
        </is>
      </c>
      <c r="O2289" t="inlineStr"/>
      <c r="P2289" t="inlineStr">
        <is>
          <t>WD14EVB , MEWP , Land Rover , Defender</t>
        </is>
      </c>
      <c r="Q2289" t="inlineStr">
        <is>
          <t>UKPN</t>
        </is>
      </c>
      <c r="R2289" t="b">
        <v>0</v>
      </c>
    </row>
    <row r="2290">
      <c r="A2290" t="inlineStr">
        <is>
          <t>28 Nov 2025 / 7186 Eastwoodbury Tree Services Ltd / Utilities / UKPN</t>
        </is>
      </c>
      <c r="B2290" t="inlineStr">
        <is>
          <t>Utilities</t>
        </is>
      </c>
      <c r="C2290" t="inlineStr">
        <is>
          <t>UKPN</t>
        </is>
      </c>
      <c r="D2290" t="inlineStr">
        <is>
          <t>DE53NKS , 4x4 , Ford , Ranger</t>
        </is>
      </c>
      <c r="E2290" t="inlineStr">
        <is>
          <t>DE53NKS , 4x4 , Ford , Ranger</t>
        </is>
      </c>
      <c r="F2290" t="inlineStr">
        <is>
          <t>DE53NKS , 4x4 , Ford , Ranger</t>
        </is>
      </c>
      <c r="G2290" t="inlineStr">
        <is>
          <t xml:space="preserve">Jay Denkmayer </t>
        </is>
      </c>
      <c r="H2290" t="inlineStr">
        <is>
          <t>Pickup Truck</t>
        </is>
      </c>
      <c r="I2290" t="inlineStr">
        <is>
          <t>Daily/ Weekly Vehicle Inspection</t>
        </is>
      </c>
      <c r="J2290" t="inlineStr">
        <is>
          <t>N/A</t>
        </is>
      </c>
      <c r="K2290" t="inlineStr">
        <is>
          <t>7186 Eastwoodbury Tree Services Ltd</t>
        </is>
      </c>
      <c r="L2290" t="inlineStr">
        <is>
          <t>28/11/2025 07:36</t>
        </is>
      </c>
      <c r="M2290" t="inlineStr">
        <is>
          <t>None</t>
        </is>
      </c>
      <c r="N2290" t="inlineStr">
        <is>
          <t>&lt;p&gt;&lt;/p&gt;</t>
        </is>
      </c>
      <c r="O2290" t="inlineStr"/>
      <c r="P2290" t="inlineStr">
        <is>
          <t>DE53NKS , 4x4 , Ford , Ranger</t>
        </is>
      </c>
      <c r="Q2290" t="inlineStr">
        <is>
          <t>UKPN</t>
        </is>
      </c>
      <c r="R2290" t="b">
        <v>0</v>
      </c>
    </row>
    <row r="2291">
      <c r="A2291" t="inlineStr">
        <is>
          <t>28 Nov 2025 / 7186 Eastwoodbury Tree Services Ltd / Utilities / UKPN</t>
        </is>
      </c>
      <c r="B2291" t="inlineStr">
        <is>
          <t>Utilities</t>
        </is>
      </c>
      <c r="C2291" t="inlineStr">
        <is>
          <t>UKPN</t>
        </is>
      </c>
      <c r="D2291" t="inlineStr">
        <is>
          <t>WF13 EKM , 4x4 , Land rover  , Defenders</t>
        </is>
      </c>
      <c r="E2291" t="inlineStr">
        <is>
          <t>WF13 EKM , 4x4 , Land rover  , Defenders</t>
        </is>
      </c>
      <c r="F2291" t="inlineStr">
        <is>
          <t>WF13 EKM , 4x4 , Land rover  , Defenders</t>
        </is>
      </c>
      <c r="G2291" t="inlineStr">
        <is>
          <t xml:space="preserve">Dan Gilbert </t>
        </is>
      </c>
      <c r="H2291" t="inlineStr">
        <is>
          <t>4x4</t>
        </is>
      </c>
      <c r="I2291" t="inlineStr">
        <is>
          <t>Daily/ Weekly Vehicle Inspection</t>
        </is>
      </c>
      <c r="J2291" t="inlineStr">
        <is>
          <t>N/A</t>
        </is>
      </c>
      <c r="K2291" t="inlineStr">
        <is>
          <t>7186 Eastwoodbury Tree Services Ltd</t>
        </is>
      </c>
      <c r="L2291" t="inlineStr">
        <is>
          <t>28/11/2025 07:36</t>
        </is>
      </c>
      <c r="M2291" t="inlineStr">
        <is>
          <t>None</t>
        </is>
      </c>
      <c r="N2291" t="inlineStr">
        <is>
          <t>&lt;p&gt;&lt;/p&gt;</t>
        </is>
      </c>
      <c r="O2291" t="inlineStr"/>
      <c r="P2291" t="inlineStr">
        <is>
          <t>WF13 EKM , 4x4 , Land rover  , Defenders</t>
        </is>
      </c>
      <c r="Q2291" t="inlineStr">
        <is>
          <t>UKPN</t>
        </is>
      </c>
      <c r="R2291" t="b">
        <v>0</v>
      </c>
    </row>
    <row r="2292">
      <c r="A2292" t="inlineStr">
        <is>
          <t>20 Nov 2025 / 7186 Eastwoodbury Tree Services Ltd / Utilities / UKPN</t>
        </is>
      </c>
      <c r="B2292" t="inlineStr">
        <is>
          <t>Utilities</t>
        </is>
      </c>
      <c r="C2292" t="inlineStr">
        <is>
          <t>UKPN</t>
        </is>
      </c>
      <c r="D2292" t="inlineStr">
        <is>
          <t>DE53NKS , 4x4 , Ford , Ranger</t>
        </is>
      </c>
      <c r="E2292" t="inlineStr">
        <is>
          <t>DE53NKS , 4x4 , Ford , Ranger</t>
        </is>
      </c>
      <c r="F2292" t="inlineStr">
        <is>
          <t>DE53NKS , 4x4 , Ford , Ranger</t>
        </is>
      </c>
      <c r="G2292" t="inlineStr">
        <is>
          <t xml:space="preserve">Jay Denkmayer </t>
        </is>
      </c>
      <c r="H2292" t="inlineStr">
        <is>
          <t>Pickup Truck</t>
        </is>
      </c>
      <c r="I2292" t="inlineStr">
        <is>
          <t>Daily/ Weekly Vehicle Inspection</t>
        </is>
      </c>
      <c r="J2292" t="inlineStr">
        <is>
          <t>N/A</t>
        </is>
      </c>
      <c r="K2292" t="inlineStr">
        <is>
          <t>7186 Eastwoodbury Tree Services Ltd</t>
        </is>
      </c>
      <c r="L2292" t="inlineStr">
        <is>
          <t>28/11/2025 07:38</t>
        </is>
      </c>
      <c r="M2292" t="inlineStr">
        <is>
          <t>None</t>
        </is>
      </c>
      <c r="N2292" t="inlineStr">
        <is>
          <t>&lt;p&gt;&lt;/p&gt;</t>
        </is>
      </c>
      <c r="O2292" t="inlineStr"/>
      <c r="P2292" t="inlineStr">
        <is>
          <t>DE53NKS , 4x4 , Ford , Ranger</t>
        </is>
      </c>
      <c r="Q2292" t="inlineStr">
        <is>
          <t>UKPN</t>
        </is>
      </c>
      <c r="R2292" t="b">
        <v>0</v>
      </c>
    </row>
    <row r="2293">
      <c r="A2293" t="inlineStr">
        <is>
          <t>28 Nov 2025 / 7186 Eastwoodbury Tree Services Ltd / Utilities / UKPN</t>
        </is>
      </c>
      <c r="B2293" t="inlineStr">
        <is>
          <t>Utilities</t>
        </is>
      </c>
      <c r="C2293" t="inlineStr">
        <is>
          <t>UKPN</t>
        </is>
      </c>
      <c r="D2293" t="inlineStr">
        <is>
          <t>WF13 EKT , 4x4 , Land rover  , Defender</t>
        </is>
      </c>
      <c r="E2293" t="inlineStr">
        <is>
          <t>WF13 EKT , 4x4 , Land rover  , Defender</t>
        </is>
      </c>
      <c r="F2293" t="inlineStr">
        <is>
          <t>WF13 EKT , 4x4 , Land rover  , Defender</t>
        </is>
      </c>
      <c r="G2293" t="inlineStr">
        <is>
          <t xml:space="preserve">Tom Price </t>
        </is>
      </c>
      <c r="H2293" t="inlineStr">
        <is>
          <t>4x4</t>
        </is>
      </c>
      <c r="I2293" t="inlineStr">
        <is>
          <t>Daily/ Weekly Vehicle Inspection</t>
        </is>
      </c>
      <c r="J2293" t="inlineStr">
        <is>
          <t>N/A</t>
        </is>
      </c>
      <c r="K2293" t="inlineStr">
        <is>
          <t>7186 Eastwoodbury Tree Services Ltd</t>
        </is>
      </c>
      <c r="L2293" t="inlineStr">
        <is>
          <t>28/11/2025 07:38</t>
        </is>
      </c>
      <c r="M2293" t="inlineStr">
        <is>
          <t>None</t>
        </is>
      </c>
      <c r="N2293" t="inlineStr">
        <is>
          <t>&lt;p&gt;&lt;/p&gt;</t>
        </is>
      </c>
      <c r="O2293" t="inlineStr"/>
      <c r="P2293" t="inlineStr">
        <is>
          <t>WF13 EKT , 4x4 , Land rover  , Defender</t>
        </is>
      </c>
      <c r="Q2293" t="inlineStr">
        <is>
          <t>UKPN</t>
        </is>
      </c>
      <c r="R2293" t="b">
        <v>0</v>
      </c>
    </row>
    <row r="2294">
      <c r="A2294" t="inlineStr">
        <is>
          <t>28 Nov 2025 / 3098 D &amp; R Landscapes / Utilities / UKPN</t>
        </is>
      </c>
      <c r="B2294" t="inlineStr">
        <is>
          <t>Utilities</t>
        </is>
      </c>
      <c r="C2294" t="inlineStr">
        <is>
          <t>UKPN</t>
        </is>
      </c>
      <c r="D2294" t="inlineStr">
        <is>
          <t>BT20 GNZ , Vehicle , Nissan , Navara</t>
        </is>
      </c>
      <c r="E2294" t="inlineStr">
        <is>
          <t>BT20 GNZ , Vehicle , Nissan , Navara</t>
        </is>
      </c>
      <c r="F2294" t="inlineStr">
        <is>
          <t>BT20 GNZ , Vehicle , Nissan , Navara</t>
        </is>
      </c>
      <c r="G2294" t="inlineStr">
        <is>
          <t>Jason</t>
        </is>
      </c>
      <c r="H2294" t="inlineStr">
        <is>
          <t>Pickup Truck</t>
        </is>
      </c>
      <c r="I2294" t="inlineStr">
        <is>
          <t>Daily/ Weekly Vehicle Inspection</t>
        </is>
      </c>
      <c r="J2294" t="inlineStr">
        <is>
          <t>N/A</t>
        </is>
      </c>
      <c r="K2294" t="inlineStr">
        <is>
          <t>3098 D &amp; R Landscapes</t>
        </is>
      </c>
      <c r="L2294" t="inlineStr">
        <is>
          <t>28/11/2025 07:39</t>
        </is>
      </c>
      <c r="M2294" t="inlineStr">
        <is>
          <t>None</t>
        </is>
      </c>
      <c r="N2294" t="inlineStr">
        <is>
          <t>&lt;p&gt;&lt;/p&gt;</t>
        </is>
      </c>
      <c r="O2294" t="inlineStr"/>
      <c r="P2294" t="inlineStr">
        <is>
          <t>BT20 GNZ , Vehicle , Nissan , Navara</t>
        </is>
      </c>
      <c r="Q2294" t="inlineStr">
        <is>
          <t>UKPN</t>
        </is>
      </c>
      <c r="R2294" t="b">
        <v>0</v>
      </c>
    </row>
    <row r="2295">
      <c r="A2295" t="inlineStr">
        <is>
          <t>28 Nov 2025 / Anthony Gale / Utilities / UKPN</t>
        </is>
      </c>
      <c r="B2295" t="inlineStr">
        <is>
          <t>Utilities</t>
        </is>
      </c>
      <c r="C2295" t="inlineStr">
        <is>
          <t>UKPN</t>
        </is>
      </c>
      <c r="D2295" t="inlineStr">
        <is>
          <t>KX20 BCE , Tipper , Isuzu , D-Max</t>
        </is>
      </c>
      <c r="E2295" t="inlineStr">
        <is>
          <t>KX20 BCE , Tipper , Isuzu , D-Max</t>
        </is>
      </c>
      <c r="F2295" t="inlineStr">
        <is>
          <t>KX20 BCE , Tipper , Isuzu , D-Max</t>
        </is>
      </c>
      <c r="G2295" t="inlineStr">
        <is>
          <t>Anthony Gale</t>
        </is>
      </c>
      <c r="H2295" t="inlineStr">
        <is>
          <t>Towed Chipper</t>
        </is>
      </c>
      <c r="I2295" t="inlineStr">
        <is>
          <t>Daily/ Weekly Vehicle Inspection</t>
        </is>
      </c>
      <c r="J2295" t="inlineStr">
        <is>
          <t>N/A</t>
        </is>
      </c>
      <c r="K2295" t="inlineStr">
        <is>
          <t>7996 M G Tree Surgery Ltd 1</t>
        </is>
      </c>
      <c r="L2295" t="inlineStr">
        <is>
          <t>28/11/2025 07:40</t>
        </is>
      </c>
      <c r="M2295" t="inlineStr">
        <is>
          <t>None</t>
        </is>
      </c>
      <c r="N2295" t="inlineStr">
        <is>
          <t>&lt;p&gt;&lt;/p&gt;</t>
        </is>
      </c>
      <c r="O2295" t="inlineStr"/>
      <c r="P2295" t="inlineStr">
        <is>
          <t>KX20 BCE , Tipper , Isuzu , D-Max</t>
        </is>
      </c>
      <c r="Q2295" t="inlineStr">
        <is>
          <t>UKPN</t>
        </is>
      </c>
      <c r="R2295" t="b">
        <v>0</v>
      </c>
    </row>
    <row r="2296">
      <c r="A2296" t="inlineStr">
        <is>
          <t>28 Nov 2025 / Anthony Gale / Utilities / UKPN</t>
        </is>
      </c>
      <c r="B2296" t="inlineStr">
        <is>
          <t>Utilities</t>
        </is>
      </c>
      <c r="C2296" t="inlineStr">
        <is>
          <t>UKPN</t>
        </is>
      </c>
      <c r="D2296" t="inlineStr">
        <is>
          <t>KX20 BCE , Tipper , Isuzu , D-Max</t>
        </is>
      </c>
      <c r="E2296" t="inlineStr">
        <is>
          <t>KX20 BCE , Tipper , Isuzu , D-Max</t>
        </is>
      </c>
      <c r="F2296" t="inlineStr">
        <is>
          <t>KX20 BCE , Tipper , Isuzu , D-Max</t>
        </is>
      </c>
      <c r="G2296" t="inlineStr">
        <is>
          <t xml:space="preserve">Anthony Gale </t>
        </is>
      </c>
      <c r="H2296" t="inlineStr">
        <is>
          <t>Pickup Truck</t>
        </is>
      </c>
      <c r="I2296" t="inlineStr">
        <is>
          <t>Daily/ Weekly Vehicle Inspection</t>
        </is>
      </c>
      <c r="J2296" t="inlineStr">
        <is>
          <t>N/A</t>
        </is>
      </c>
      <c r="K2296" t="inlineStr">
        <is>
          <t>7996 M G Tree Surgery Ltd 1</t>
        </is>
      </c>
      <c r="L2296" t="inlineStr">
        <is>
          <t>28/11/2025 07:41</t>
        </is>
      </c>
      <c r="M2296" t="inlineStr">
        <is>
          <t>None</t>
        </is>
      </c>
      <c r="N2296" t="inlineStr">
        <is>
          <t>&lt;p&gt;&lt;/p&gt;</t>
        </is>
      </c>
      <c r="O2296" t="inlineStr"/>
      <c r="P2296" t="inlineStr">
        <is>
          <t>KX20 BCE , Tipper , Isuzu , D-Max</t>
        </is>
      </c>
      <c r="Q2296" t="inlineStr">
        <is>
          <t>UKPN</t>
        </is>
      </c>
      <c r="R2296" t="b">
        <v>0</v>
      </c>
    </row>
    <row r="2297">
      <c r="A2297" t="inlineStr">
        <is>
          <t>28 Nov 2025 / 7996 M G Tree Surgery Ltd / Utilities / UKPN</t>
        </is>
      </c>
      <c r="B2297" t="inlineStr">
        <is>
          <t>Utilities</t>
        </is>
      </c>
      <c r="C2297" t="inlineStr">
        <is>
          <t>UKPN</t>
        </is>
      </c>
      <c r="D2297" t="inlineStr">
        <is>
          <t>GU13 WNL , MEWP , Land Rover , Defender 130</t>
        </is>
      </c>
      <c r="E2297" t="inlineStr">
        <is>
          <t>GU13 WNL , MEWP , Land Rover , Defender 130</t>
        </is>
      </c>
      <c r="F2297" t="inlineStr">
        <is>
          <t>GU13 WNL , MEWP , Land Rover , Defender 130</t>
        </is>
      </c>
      <c r="G2297" t="inlineStr">
        <is>
          <t>Max</t>
        </is>
      </c>
      <c r="H2297" t="inlineStr">
        <is>
          <t>4x4</t>
        </is>
      </c>
      <c r="I2297" t="inlineStr">
        <is>
          <t>Daily/ Weekly Vehicle Inspection</t>
        </is>
      </c>
      <c r="J2297" t="inlineStr">
        <is>
          <t>N/A</t>
        </is>
      </c>
      <c r="K2297" t="inlineStr">
        <is>
          <t>7996 M G Tree Surgery Ltd</t>
        </is>
      </c>
      <c r="L2297" t="inlineStr">
        <is>
          <t>28/11/2025 08:34</t>
        </is>
      </c>
      <c r="M2297" t="inlineStr">
        <is>
          <t>None</t>
        </is>
      </c>
      <c r="N2297" t="inlineStr">
        <is>
          <t>&lt;p&gt;&lt;/p&gt;</t>
        </is>
      </c>
      <c r="O2297" t="inlineStr"/>
      <c r="P2297" t="inlineStr">
        <is>
          <t>GU13 WNL , MEWP , Land Rover , Defender 130</t>
        </is>
      </c>
      <c r="Q2297" t="inlineStr">
        <is>
          <t>UKPN</t>
        </is>
      </c>
      <c r="R2297" t="b">
        <v>0</v>
      </c>
    </row>
    <row r="2298">
      <c r="A2298" t="inlineStr">
        <is>
          <t>28 Nov 2025 / 7806 Optimum Tree Services Ltd / Utilities / UKPN</t>
        </is>
      </c>
      <c r="B2298" t="inlineStr">
        <is>
          <t>Utilities</t>
        </is>
      </c>
      <c r="C2298" t="inlineStr">
        <is>
          <t>UKPN</t>
        </is>
      </c>
      <c r="D2298" t="inlineStr">
        <is>
          <t>SA9TAPLAF27414263 , Trailer , Tow Mate , Plant Trailer</t>
        </is>
      </c>
      <c r="E2298" t="inlineStr">
        <is>
          <t>SA9TAPLAF27414263 , Trailer , Tow Mate , Plant Trailer</t>
        </is>
      </c>
      <c r="F2298" t="inlineStr">
        <is>
          <t>SA9TAPLAF27414263 , Trailer , Tow Mate , Plant Trailer</t>
        </is>
      </c>
      <c r="G2298" t="inlineStr">
        <is>
          <t xml:space="preserve">Abraham Davies </t>
        </is>
      </c>
      <c r="H2298" t="inlineStr">
        <is>
          <t>Plant Trailer</t>
        </is>
      </c>
      <c r="I2298" t="inlineStr">
        <is>
          <t>Daily/ Weekly Vehicle Inspection</t>
        </is>
      </c>
      <c r="J2298" t="inlineStr">
        <is>
          <t>N/A</t>
        </is>
      </c>
      <c r="K2298" t="inlineStr">
        <is>
          <t>7806 Optimum Tree Services Ltd</t>
        </is>
      </c>
      <c r="L2298" t="inlineStr">
        <is>
          <t>28/11/2025 08:35</t>
        </is>
      </c>
      <c r="M2298" t="inlineStr">
        <is>
          <t>None</t>
        </is>
      </c>
      <c r="N2298" t="inlineStr">
        <is>
          <t>&lt;p&gt;&lt;/p&gt;</t>
        </is>
      </c>
      <c r="O2298" t="inlineStr"/>
      <c r="P2298" t="inlineStr">
        <is>
          <t>SA9TAPLAF27414263 , Trailer , Tow Mate , Plant Trailer</t>
        </is>
      </c>
      <c r="Q2298" t="inlineStr">
        <is>
          <t>UKPN</t>
        </is>
      </c>
      <c r="R2298" t="b">
        <v>0</v>
      </c>
    </row>
    <row r="2299">
      <c r="A2299" t="inlineStr">
        <is>
          <t>28 Nov 2025 / James Gorman / Utilities / UKPN</t>
        </is>
      </c>
      <c r="B2299" t="inlineStr">
        <is>
          <t>Utilities</t>
        </is>
      </c>
      <c r="C2299" t="inlineStr">
        <is>
          <t>UKPN</t>
        </is>
      </c>
      <c r="D2299" t="inlineStr">
        <is>
          <t>AF22 XRA , Car - Electric , Tesla , Model 3</t>
        </is>
      </c>
      <c r="E2299" t="inlineStr">
        <is>
          <t>AF22 XRA , Car - Electric , Tesla , Model 3</t>
        </is>
      </c>
      <c r="F2299" t="inlineStr">
        <is>
          <t>AF22 XRA , Car - Electric , Tesla , Model 3</t>
        </is>
      </c>
      <c r="G2299" t="inlineStr">
        <is>
          <t>James Gorman</t>
        </is>
      </c>
      <c r="H2299" t="inlineStr">
        <is>
          <t>Car - Electric (GC Owned)</t>
        </is>
      </c>
      <c r="I2299" t="inlineStr">
        <is>
          <t>Daily/ Weekly Vehicle Inspection</t>
        </is>
      </c>
      <c r="J2299" t="inlineStr">
        <is>
          <t>N/A</t>
        </is>
      </c>
      <c r="K2299" t="inlineStr">
        <is>
          <t>James Gorman</t>
        </is>
      </c>
      <c r="L2299" t="inlineStr">
        <is>
          <t>28/11/2025 11:36</t>
        </is>
      </c>
      <c r="M2299" t="inlineStr">
        <is>
          <t>None</t>
        </is>
      </c>
      <c r="N2299" t="inlineStr">
        <is>
          <t>&lt;p&gt;&lt;/p&gt;</t>
        </is>
      </c>
      <c r="O2299" t="inlineStr"/>
      <c r="P2299" t="inlineStr">
        <is>
          <t>AF22 XRA , Car - Electric , Tesla , Model 3</t>
        </is>
      </c>
      <c r="Q2299" t="inlineStr">
        <is>
          <t>UKPN</t>
        </is>
      </c>
      <c r="R2299" t="b">
        <v>0</v>
      </c>
    </row>
    <row r="2300">
      <c r="A2300" t="inlineStr">
        <is>
          <t>28 Nov 2025 / 6556 DE UA SWales3 / Utilities / NGED</t>
        </is>
      </c>
      <c r="B2300" t="inlineStr">
        <is>
          <t>Utilities</t>
        </is>
      </c>
      <c r="C2300" t="inlineStr">
        <is>
          <t>NGED</t>
        </is>
      </c>
      <c r="D2300" t="inlineStr">
        <is>
          <t>WO23RVN , Van , Ford , Ranger</t>
        </is>
      </c>
      <c r="E2300" t="inlineStr">
        <is>
          <t>WO23RVN , Van , Ford , Ranger</t>
        </is>
      </c>
      <c r="F2300" t="inlineStr">
        <is>
          <t>WO23RVN , Van , Ford , Ranger</t>
        </is>
      </c>
      <c r="G2300" t="inlineStr">
        <is>
          <t>Daniel Davies</t>
        </is>
      </c>
      <c r="H2300" t="inlineStr">
        <is>
          <t>Tipper</t>
        </is>
      </c>
      <c r="I2300" t="inlineStr">
        <is>
          <t>Daily/ Weekly Vehicle Inspection</t>
        </is>
      </c>
      <c r="J2300" t="inlineStr">
        <is>
          <t>N/A</t>
        </is>
      </c>
      <c r="K2300" t="inlineStr">
        <is>
          <t>6556 DE UA SWales3</t>
        </is>
      </c>
      <c r="L2300" t="inlineStr">
        <is>
          <t>28/11/2025 14:36</t>
        </is>
      </c>
      <c r="M2300" t="inlineStr">
        <is>
          <t>None</t>
        </is>
      </c>
      <c r="N2300" t="inlineStr">
        <is>
          <t>&lt;p&gt;&lt;/p&gt;</t>
        </is>
      </c>
      <c r="O2300" t="inlineStr"/>
      <c r="P2300" t="inlineStr">
        <is>
          <t>WO23RVN , Van , Ford , Ranger</t>
        </is>
      </c>
      <c r="Q2300" t="inlineStr">
        <is>
          <t>NGED</t>
        </is>
      </c>
      <c r="R2300" t="b">
        <v>0</v>
      </c>
    </row>
    <row r="2301">
      <c r="A2301" t="inlineStr">
        <is>
          <t>28 Nov 2025 / 6556 DE UA SWales3 / Utilities / NGED</t>
        </is>
      </c>
      <c r="B2301" t="inlineStr">
        <is>
          <t>Utilities</t>
        </is>
      </c>
      <c r="C2301" t="inlineStr">
        <is>
          <t>NGED</t>
        </is>
      </c>
      <c r="D2301" t="inlineStr">
        <is>
          <t>BK72ZPG , N/A , Isuzu , D-Max</t>
        </is>
      </c>
      <c r="E2301" t="inlineStr">
        <is>
          <t>BK72ZPG , N/A , Isuzu , D-Max</t>
        </is>
      </c>
      <c r="F2301" t="inlineStr">
        <is>
          <t>BK72ZPG , N/A , Isuzu , D-Max</t>
        </is>
      </c>
      <c r="G2301" t="inlineStr">
        <is>
          <t xml:space="preserve">Adrian Evans </t>
        </is>
      </c>
      <c r="H2301" t="inlineStr">
        <is>
          <t>4x4</t>
        </is>
      </c>
      <c r="I2301" t="inlineStr">
        <is>
          <t>Daily/ Weekly Vehicle Inspection</t>
        </is>
      </c>
      <c r="J2301" t="inlineStr">
        <is>
          <t>N/A</t>
        </is>
      </c>
      <c r="K2301" t="inlineStr">
        <is>
          <t>6556 DE UA SWales3</t>
        </is>
      </c>
      <c r="L2301" t="inlineStr">
        <is>
          <t>28/11/2025 14:37</t>
        </is>
      </c>
      <c r="M2301" t="inlineStr">
        <is>
          <t>None</t>
        </is>
      </c>
      <c r="N2301" t="inlineStr">
        <is>
          <t>&lt;p&gt;&lt;/p&gt;</t>
        </is>
      </c>
      <c r="O2301" t="inlineStr"/>
      <c r="P2301" t="inlineStr">
        <is>
          <t>BK72ZPG , N/A , Isuzu , D-Max</t>
        </is>
      </c>
      <c r="Q2301" t="inlineStr">
        <is>
          <t>NGED</t>
        </is>
      </c>
      <c r="R2301" t="b">
        <v>0</v>
      </c>
    </row>
    <row r="2302">
      <c r="A2302" t="inlineStr">
        <is>
          <t>28 Nov 2025 / Christopher Phillips / Utilities / NGED</t>
        </is>
      </c>
      <c r="B2302" t="inlineStr">
        <is>
          <t>Utilities</t>
        </is>
      </c>
      <c r="C2302" t="inlineStr">
        <is>
          <t>NGED</t>
        </is>
      </c>
      <c r="D2302" t="inlineStr">
        <is>
          <t>SK69XHC , Car - Electric , Tesla , Model 3 Performance AWD</t>
        </is>
      </c>
      <c r="E2302" t="inlineStr">
        <is>
          <t>SK69XHC , Car - Electric , Tesla , Model 3 Performance AWD</t>
        </is>
      </c>
      <c r="F2302" t="inlineStr">
        <is>
          <t>SK69XHC , Car - Electric , Tesla , Model 3 Performance AWD</t>
        </is>
      </c>
      <c r="G2302" t="inlineStr">
        <is>
          <t xml:space="preserve">Chris Phillips </t>
        </is>
      </c>
      <c r="H2302" t="inlineStr">
        <is>
          <t>Car - Electric (GC Owned)</t>
        </is>
      </c>
      <c r="I2302" t="inlineStr">
        <is>
          <t>Monthly Vehicle Inspection</t>
        </is>
      </c>
      <c r="J2302" t="inlineStr">
        <is>
          <t>72598</t>
        </is>
      </c>
      <c r="K2302" t="inlineStr">
        <is>
          <t>Christopher Phillips</t>
        </is>
      </c>
      <c r="L2302" t="inlineStr">
        <is>
          <t>28/11/2025 15:36</t>
        </is>
      </c>
      <c r="M2302" t="inlineStr">
        <is>
          <t xml:space="preserve">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 Fail
</t>
        </is>
      </c>
      <c r="N2302" t="inlineStr">
        <is>
          <t>&lt;p&gt;&lt;/p&gt;</t>
        </is>
      </c>
      <c r="O2302" t="inlineStr"/>
      <c r="P2302" t="inlineStr">
        <is>
          <t>SK69XHC , Car - Electric , Tesla , Model 3 Performance AWD</t>
        </is>
      </c>
      <c r="Q2302" t="inlineStr">
        <is>
          <t>NGED</t>
        </is>
      </c>
      <c r="R2302" t="b">
        <v>0</v>
      </c>
    </row>
    <row r="2303">
      <c r="A2303" t="inlineStr">
        <is>
          <t>28 Nov 2025 / Jane Moore / Utilities / NGED</t>
        </is>
      </c>
      <c r="B2303" t="inlineStr">
        <is>
          <t>Utilities</t>
        </is>
      </c>
      <c r="C2303" t="inlineStr">
        <is>
          <t>NGED</t>
        </is>
      </c>
      <c r="D2303" t="inlineStr">
        <is>
          <t>GL20TGZ , Car - Electric , Tesla , Model 3 Long Range AWD</t>
        </is>
      </c>
      <c r="E2303" t="inlineStr">
        <is>
          <t>GL20TGZ , Car - Electric , Tesla , Model 3 Long Range AWD</t>
        </is>
      </c>
      <c r="F2303" t="inlineStr">
        <is>
          <t>GL20TGZ , Car - Electric , Tesla , Model 3 Long Range AWD</t>
        </is>
      </c>
      <c r="G2303" t="inlineStr">
        <is>
          <t xml:space="preserve">Jane Moore </t>
        </is>
      </c>
      <c r="H2303" t="inlineStr">
        <is>
          <t>Car - Electric (GC Owned)</t>
        </is>
      </c>
      <c r="I2303" t="inlineStr">
        <is>
          <t>Daily/ Weekly Vehicle Inspection</t>
        </is>
      </c>
      <c r="J2303" t="inlineStr">
        <is>
          <t>N/A</t>
        </is>
      </c>
      <c r="K2303" t="inlineStr">
        <is>
          <t>Jane Moore</t>
        </is>
      </c>
      <c r="L2303" t="inlineStr">
        <is>
          <t>28/11/2025 15:37</t>
        </is>
      </c>
      <c r="M2303" t="inlineStr">
        <is>
          <t>None</t>
        </is>
      </c>
      <c r="N2303" t="inlineStr">
        <is>
          <t>&lt;p&gt;&lt;/p&gt;</t>
        </is>
      </c>
      <c r="O2303" t="inlineStr"/>
      <c r="P2303" t="inlineStr">
        <is>
          <t>GL20TGZ , Car - Electric , Tesla , Model 3 Long Range AWD</t>
        </is>
      </c>
      <c r="Q2303" t="inlineStr">
        <is>
          <t>NGED</t>
        </is>
      </c>
      <c r="R2303" t="b">
        <v>0</v>
      </c>
    </row>
    <row r="2304">
      <c r="A2304" t="inlineStr">
        <is>
          <t>29 Nov 2025 / Keil Cheung / Utilities / NGED</t>
        </is>
      </c>
      <c r="B2304" t="inlineStr">
        <is>
          <t>Utilities</t>
        </is>
      </c>
      <c r="C2304" t="inlineStr">
        <is>
          <t>NGED</t>
        </is>
      </c>
      <c r="D2304" t="inlineStr"/>
      <c r="E2304" t="inlineStr"/>
      <c r="F2304" t="inlineStr"/>
      <c r="G2304" t="inlineStr">
        <is>
          <t>Keil cheung</t>
        </is>
      </c>
      <c r="H2304" t="inlineStr">
        <is>
          <t>Car - Petrol</t>
        </is>
      </c>
      <c r="I2304" t="inlineStr">
        <is>
          <t>Daily/ Weekly Vehicle Inspection</t>
        </is>
      </c>
      <c r="J2304" t="inlineStr">
        <is>
          <t>N/A</t>
        </is>
      </c>
      <c r="K2304" t="inlineStr">
        <is>
          <t>Keil Cheung</t>
        </is>
      </c>
      <c r="L2304" t="inlineStr">
        <is>
          <t>29/11/2025 20:34</t>
        </is>
      </c>
      <c r="M2304" t="inlineStr">
        <is>
          <t>None</t>
        </is>
      </c>
      <c r="N2304" t="inlineStr">
        <is>
          <t>&lt;p&gt;&lt;/p&gt;</t>
        </is>
      </c>
      <c r="O2304" t="inlineStr"/>
      <c r="P2304" t="inlineStr"/>
      <c r="Q2304" t="inlineStr">
        <is>
          <t>NGED</t>
        </is>
      </c>
      <c r="R2304" t="b">
        <v>0</v>
      </c>
    </row>
    <row r="2305">
      <c r="A2305" t="inlineStr">
        <is>
          <t>30 Nov 2025 / 3098 D &amp; R Landscapes / Utilities / UKPN</t>
        </is>
      </c>
      <c r="B2305" t="inlineStr">
        <is>
          <t>Utilities</t>
        </is>
      </c>
      <c r="C2305" t="inlineStr">
        <is>
          <t>UKPN</t>
        </is>
      </c>
      <c r="D2305" t="inlineStr"/>
      <c r="E2305" t="inlineStr"/>
      <c r="F2305" t="inlineStr"/>
      <c r="G2305" t="inlineStr">
        <is>
          <t xml:space="preserve">Josh </t>
        </is>
      </c>
      <c r="H2305" t="inlineStr">
        <is>
          <t>Pickup Truck</t>
        </is>
      </c>
      <c r="I2305" t="inlineStr">
        <is>
          <t>Daily/ Weekly Vehicle Inspection</t>
        </is>
      </c>
      <c r="J2305" t="inlineStr">
        <is>
          <t>N/A</t>
        </is>
      </c>
      <c r="K2305" t="inlineStr">
        <is>
          <t>3098 D &amp; R Landscapes</t>
        </is>
      </c>
      <c r="L2305" t="inlineStr">
        <is>
          <t>30/11/2025 08:34</t>
        </is>
      </c>
      <c r="M2305" t="inlineStr">
        <is>
          <t>None</t>
        </is>
      </c>
      <c r="N2305" t="inlineStr">
        <is>
          <t>&lt;p&gt;&lt;/p&gt;</t>
        </is>
      </c>
      <c r="O2305" t="inlineStr"/>
      <c r="P2305" t="inlineStr"/>
      <c r="Q2305" t="inlineStr">
        <is>
          <t>UKPN</t>
        </is>
      </c>
      <c r="R2305" t="b">
        <v>0</v>
      </c>
    </row>
    <row r="2306">
      <c r="A2306" t="inlineStr">
        <is>
          <t>30 Nov 2025 / 3098 D &amp; R Landscapes / Utilities / UKPN</t>
        </is>
      </c>
      <c r="B2306" t="inlineStr">
        <is>
          <t>Utilities</t>
        </is>
      </c>
      <c r="C2306" t="inlineStr">
        <is>
          <t>UKPN</t>
        </is>
      </c>
      <c r="D2306" t="inlineStr">
        <is>
          <t>DE68XHA , Tipper , Isuzu , Grafter</t>
        </is>
      </c>
      <c r="E2306" t="inlineStr">
        <is>
          <t>DE68XHA , Tipper , Isuzu , Grafter</t>
        </is>
      </c>
      <c r="F2306" t="inlineStr">
        <is>
          <t>DE68XHA , Tipper , Isuzu , Grafter</t>
        </is>
      </c>
      <c r="G2306" t="inlineStr">
        <is>
          <t xml:space="preserve">Richard </t>
        </is>
      </c>
      <c r="H2306" t="inlineStr">
        <is>
          <t>Tipper</t>
        </is>
      </c>
      <c r="I2306" t="inlineStr">
        <is>
          <t>Daily/ Weekly Vehicle Inspection</t>
        </is>
      </c>
      <c r="J2306" t="inlineStr">
        <is>
          <t>N/A</t>
        </is>
      </c>
      <c r="K2306" t="inlineStr">
        <is>
          <t>3098 D &amp; R Landscapes</t>
        </is>
      </c>
      <c r="L2306" t="inlineStr">
        <is>
          <t>30/11/2025 08:35</t>
        </is>
      </c>
      <c r="M2306" t="inlineStr">
        <is>
          <t>None</t>
        </is>
      </c>
      <c r="N2306" t="inlineStr">
        <is>
          <t>&lt;p&gt;&lt;/p&gt;</t>
        </is>
      </c>
      <c r="O2306" t="inlineStr"/>
      <c r="P2306" t="inlineStr">
        <is>
          <t>DE68XHA , Tipper , Isuzu , Grafter</t>
        </is>
      </c>
      <c r="Q2306" t="inlineStr">
        <is>
          <t>UKPN</t>
        </is>
      </c>
      <c r="R2306" t="b">
        <v>0</v>
      </c>
    </row>
    <row r="2307">
      <c r="A2307" t="inlineStr">
        <is>
          <t>30 Nov 2025 / 3098 D &amp; R Landscapes / Utilities / UKPN</t>
        </is>
      </c>
      <c r="B2307" t="inlineStr">
        <is>
          <t>Utilities</t>
        </is>
      </c>
      <c r="C2307" t="inlineStr">
        <is>
          <t>UKPN</t>
        </is>
      </c>
      <c r="D2307" t="inlineStr">
        <is>
          <t>WA13ZZK , 4x4 , Land Rover  , Defender</t>
        </is>
      </c>
      <c r="E2307" t="inlineStr">
        <is>
          <t>WA13ZZK , 4x4 , Land Rover  , Defender</t>
        </is>
      </c>
      <c r="F2307" t="inlineStr">
        <is>
          <t>WA13ZZK , 4x4 , Land Rover  , Defender</t>
        </is>
      </c>
      <c r="G2307" t="inlineStr">
        <is>
          <t>Jason</t>
        </is>
      </c>
      <c r="H2307" t="inlineStr">
        <is>
          <t>Pickup Truck</t>
        </is>
      </c>
      <c r="I2307" t="inlineStr">
        <is>
          <t>Daily/ Weekly Vehicle Inspection</t>
        </is>
      </c>
      <c r="J2307" t="inlineStr">
        <is>
          <t>N/A</t>
        </is>
      </c>
      <c r="K2307" t="inlineStr">
        <is>
          <t>3098 D &amp; R Landscapes</t>
        </is>
      </c>
      <c r="L2307" t="inlineStr">
        <is>
          <t>30/11/2025 08:35</t>
        </is>
      </c>
      <c r="M2307" t="inlineStr">
        <is>
          <t>None</t>
        </is>
      </c>
      <c r="N2307" t="inlineStr">
        <is>
          <t>&lt;p&gt;&lt;/p&gt;</t>
        </is>
      </c>
      <c r="O2307" t="inlineStr"/>
      <c r="P2307" t="inlineStr">
        <is>
          <t>WA13ZZK , 4x4 , Land Rover  , Defender</t>
        </is>
      </c>
      <c r="Q2307" t="inlineStr">
        <is>
          <t>UKPN</t>
        </is>
      </c>
      <c r="R2307" t="b">
        <v>0</v>
      </c>
    </row>
    <row r="2308">
      <c r="A2308" t="inlineStr">
        <is>
          <t>1 Dec 2025 / 6617 Ashdown Tree Limited / Utilities / UKPN</t>
        </is>
      </c>
      <c r="B2308" t="inlineStr">
        <is>
          <t>Utilities</t>
        </is>
      </c>
      <c r="C2308" t="inlineStr">
        <is>
          <t>UKPN</t>
        </is>
      </c>
      <c r="D2308" t="inlineStr">
        <is>
          <t>WF11EJJ , Vehicle , Land Rover , Discovery</t>
        </is>
      </c>
      <c r="E2308" t="inlineStr">
        <is>
          <t>WF11EJJ , Vehicle , Land Rover , Discovery</t>
        </is>
      </c>
      <c r="F2308" t="inlineStr">
        <is>
          <t>WF11EJJ , Vehicle , Land Rover , Discovery</t>
        </is>
      </c>
      <c r="G2308" t="inlineStr">
        <is>
          <t>A Horwood</t>
        </is>
      </c>
      <c r="H2308" t="inlineStr">
        <is>
          <t>4x4</t>
        </is>
      </c>
      <c r="I2308" t="inlineStr">
        <is>
          <t>Daily/ Weekly Vehicle Inspection</t>
        </is>
      </c>
      <c r="J2308" t="inlineStr">
        <is>
          <t>N/A</t>
        </is>
      </c>
      <c r="K2308" t="inlineStr">
        <is>
          <t>6617 Ashdown Tree Limited</t>
        </is>
      </c>
      <c r="L2308" t="inlineStr">
        <is>
          <t>01/12/2025 07:35</t>
        </is>
      </c>
      <c r="M2308" t="inlineStr">
        <is>
          <t>None</t>
        </is>
      </c>
      <c r="N2308" t="inlineStr">
        <is>
          <t>&lt;p&gt;&lt;/p&gt;</t>
        </is>
      </c>
      <c r="O2308" t="inlineStr"/>
      <c r="P2308" t="inlineStr">
        <is>
          <t>WF11EJJ , Vehicle , Land Rover , Discovery</t>
        </is>
      </c>
      <c r="Q2308" t="inlineStr">
        <is>
          <t>UKPN</t>
        </is>
      </c>
      <c r="R2308" t="b">
        <v>0</v>
      </c>
    </row>
    <row r="2309">
      <c r="A2309" t="inlineStr">
        <is>
          <t>1 Dec 2025 / 7186 Eastwoodbury Tree Services Ltd / Utilities / UKPN</t>
        </is>
      </c>
      <c r="B2309" t="inlineStr">
        <is>
          <t>Utilities</t>
        </is>
      </c>
      <c r="C2309" t="inlineStr">
        <is>
          <t>UKPN</t>
        </is>
      </c>
      <c r="D2309" t="inlineStr">
        <is>
          <t>DE53NKS , 4x4 , Ford , Ranger</t>
        </is>
      </c>
      <c r="E2309" t="inlineStr">
        <is>
          <t>DE53NKS , 4x4 , Ford , Ranger</t>
        </is>
      </c>
      <c r="F2309" t="inlineStr">
        <is>
          <t>DE53NKS , 4x4 , Ford , Ranger</t>
        </is>
      </c>
      <c r="G2309" t="inlineStr">
        <is>
          <t xml:space="preserve">Jay Denkmayer </t>
        </is>
      </c>
      <c r="H2309" t="inlineStr">
        <is>
          <t>Pickup Truck</t>
        </is>
      </c>
      <c r="I2309" t="inlineStr">
        <is>
          <t>Daily/ Weekly Vehicle Inspection</t>
        </is>
      </c>
      <c r="J2309" t="inlineStr">
        <is>
          <t>N/A</t>
        </is>
      </c>
      <c r="K2309" t="inlineStr">
        <is>
          <t>7186 Eastwoodbury Tree Services Ltd</t>
        </is>
      </c>
      <c r="L2309" t="inlineStr">
        <is>
          <t>01/12/2025 07:36</t>
        </is>
      </c>
      <c r="M2309" t="inlineStr">
        <is>
          <t>None</t>
        </is>
      </c>
      <c r="N2309" t="inlineStr">
        <is>
          <t>&lt;p&gt;&lt;/p&gt;</t>
        </is>
      </c>
      <c r="O2309" t="inlineStr"/>
      <c r="P2309" t="inlineStr">
        <is>
          <t>DE53NKS , 4x4 , Ford , Ranger</t>
        </is>
      </c>
      <c r="Q2309" t="inlineStr">
        <is>
          <t>UKPN</t>
        </is>
      </c>
      <c r="R2309" t="b">
        <v>0</v>
      </c>
    </row>
    <row r="2310">
      <c r="A2310" t="inlineStr">
        <is>
          <t>1 Dec 2025 / 7186 Eastwoodbury Tree Services Ltd / Utilities / UKPN</t>
        </is>
      </c>
      <c r="B2310" t="inlineStr">
        <is>
          <t>Utilities</t>
        </is>
      </c>
      <c r="C2310" t="inlineStr">
        <is>
          <t>UKPN</t>
        </is>
      </c>
      <c r="D2310" t="inlineStr">
        <is>
          <t>WF13 EKT , 4x4 , Land rover  , Defender</t>
        </is>
      </c>
      <c r="E2310" t="inlineStr">
        <is>
          <t>WF13 EKT , 4x4 , Land rover  , Defender</t>
        </is>
      </c>
      <c r="F2310" t="inlineStr">
        <is>
          <t>WF13 EKT , 4x4 , Land rover  , Defender</t>
        </is>
      </c>
      <c r="G2310" t="inlineStr">
        <is>
          <t xml:space="preserve">Tom Price </t>
        </is>
      </c>
      <c r="H2310" t="inlineStr">
        <is>
          <t>4x4</t>
        </is>
      </c>
      <c r="I2310" t="inlineStr">
        <is>
          <t>Daily/ Weekly Vehicle Inspection</t>
        </is>
      </c>
      <c r="J2310" t="inlineStr">
        <is>
          <t>N/A</t>
        </is>
      </c>
      <c r="K2310" t="inlineStr">
        <is>
          <t>7186 Eastwoodbury Tree Services Ltd</t>
        </is>
      </c>
      <c r="L2310" t="inlineStr">
        <is>
          <t>01/12/2025 07:36</t>
        </is>
      </c>
      <c r="M2310" t="inlineStr">
        <is>
          <t>None</t>
        </is>
      </c>
      <c r="N2310" t="inlineStr">
        <is>
          <t>&lt;p&gt;&lt;/p&gt;</t>
        </is>
      </c>
      <c r="O2310" t="inlineStr"/>
      <c r="P2310" t="inlineStr">
        <is>
          <t>WF13 EKT , 4x4 , Land rover  , Defender</t>
        </is>
      </c>
      <c r="Q2310" t="inlineStr">
        <is>
          <t>UKPN</t>
        </is>
      </c>
      <c r="R2310" t="b">
        <v>0</v>
      </c>
    </row>
    <row r="2311">
      <c r="A2311" t="inlineStr">
        <is>
          <t>1 Dec 2025 / 7186 Eastwoodbury Tree Services Ltd / Utilities / UKPN</t>
        </is>
      </c>
      <c r="B2311" t="inlineStr">
        <is>
          <t>Utilities</t>
        </is>
      </c>
      <c r="C2311" t="inlineStr">
        <is>
          <t>UKPN</t>
        </is>
      </c>
      <c r="D2311" t="inlineStr">
        <is>
          <t>WF13 EKM , 4x4 , Land rover  , Defenders</t>
        </is>
      </c>
      <c r="E2311" t="inlineStr">
        <is>
          <t>WF13 EKM , 4x4 , Land rover  , Defenders</t>
        </is>
      </c>
      <c r="F2311" t="inlineStr">
        <is>
          <t>WF13 EKM , 4x4 , Land rover  , Defenders</t>
        </is>
      </c>
      <c r="G2311" t="inlineStr">
        <is>
          <t xml:space="preserve">Dan Gilbert </t>
        </is>
      </c>
      <c r="H2311" t="inlineStr">
        <is>
          <t>4x4</t>
        </is>
      </c>
      <c r="I2311" t="inlineStr">
        <is>
          <t>Daily/ Weekly Vehicle Inspection</t>
        </is>
      </c>
      <c r="J2311" t="inlineStr">
        <is>
          <t>N/A</t>
        </is>
      </c>
      <c r="K2311" t="inlineStr">
        <is>
          <t>7186 Eastwoodbury Tree Services Ltd</t>
        </is>
      </c>
      <c r="L2311" t="inlineStr">
        <is>
          <t>01/12/2025 07:37</t>
        </is>
      </c>
      <c r="M2311" t="inlineStr">
        <is>
          <t>None</t>
        </is>
      </c>
      <c r="N2311" t="inlineStr">
        <is>
          <t>&lt;p&gt;&lt;/p&gt;</t>
        </is>
      </c>
      <c r="O2311" t="inlineStr"/>
      <c r="P2311" t="inlineStr">
        <is>
          <t>WF13 EKM , 4x4 , Land rover  , Defenders</t>
        </is>
      </c>
      <c r="Q2311" t="inlineStr">
        <is>
          <t>UKPN</t>
        </is>
      </c>
      <c r="R2311" t="b">
        <v>0</v>
      </c>
    </row>
    <row r="2312">
      <c r="A2312" t="inlineStr">
        <is>
          <t>1 Dec 2025 / Anthony Gale / Utilities / UKPN</t>
        </is>
      </c>
      <c r="B2312" t="inlineStr">
        <is>
          <t>Utilities</t>
        </is>
      </c>
      <c r="C2312" t="inlineStr">
        <is>
          <t>UKPN</t>
        </is>
      </c>
      <c r="D2312" t="inlineStr">
        <is>
          <t>KX20 BCE , Tipper , Isuzu , D-Max</t>
        </is>
      </c>
      <c r="E2312" t="inlineStr">
        <is>
          <t>KX20 BCE , Tipper , Isuzu , D-Max</t>
        </is>
      </c>
      <c r="F2312" t="inlineStr">
        <is>
          <t>KX20 BCE , Tipper , Isuzu , D-Max</t>
        </is>
      </c>
      <c r="G2312" t="inlineStr">
        <is>
          <t>Anthony Gale</t>
        </is>
      </c>
      <c r="H2312" t="inlineStr">
        <is>
          <t>Pickup Truck</t>
        </is>
      </c>
      <c r="I2312" t="inlineStr">
        <is>
          <t>Daily/ Weekly Vehicle Inspection</t>
        </is>
      </c>
      <c r="J2312" t="inlineStr">
        <is>
          <t>N/A</t>
        </is>
      </c>
      <c r="K2312" t="inlineStr">
        <is>
          <t>7996 M G Tree Surgery Ltd 1</t>
        </is>
      </c>
      <c r="L2312" t="inlineStr">
        <is>
          <t>01/12/2025 07:43</t>
        </is>
      </c>
      <c r="M2312" t="inlineStr">
        <is>
          <t>None</t>
        </is>
      </c>
      <c r="N2312" t="inlineStr">
        <is>
          <t>&lt;p&gt;&lt;/p&gt;</t>
        </is>
      </c>
      <c r="O2312" t="inlineStr"/>
      <c r="P2312" t="inlineStr">
        <is>
          <t>KX20 BCE , Tipper , Isuzu , D-Max</t>
        </is>
      </c>
      <c r="Q2312" t="inlineStr">
        <is>
          <t>UKPN</t>
        </is>
      </c>
      <c r="R2312" t="b">
        <v>0</v>
      </c>
    </row>
    <row r="2313">
      <c r="A2313" t="inlineStr">
        <is>
          <t>1 Dec 2025 / Anthony Gale / Utilities / UKPN</t>
        </is>
      </c>
      <c r="B2313" t="inlineStr">
        <is>
          <t>Utilities</t>
        </is>
      </c>
      <c r="C2313" t="inlineStr">
        <is>
          <t>UKPN</t>
        </is>
      </c>
      <c r="D2313" t="inlineStr"/>
      <c r="E2313" t="inlineStr"/>
      <c r="F2313" t="inlineStr"/>
      <c r="G2313" t="inlineStr">
        <is>
          <t>Anthony Gale</t>
        </is>
      </c>
      <c r="H2313" t="inlineStr">
        <is>
          <t>Towed Chipper</t>
        </is>
      </c>
      <c r="I2313" t="inlineStr">
        <is>
          <t>Daily/ Weekly Vehicle Inspection</t>
        </is>
      </c>
      <c r="J2313" t="inlineStr">
        <is>
          <t>N/A</t>
        </is>
      </c>
      <c r="K2313" t="inlineStr">
        <is>
          <t>7996 M G Tree Surgery Ltd 1</t>
        </is>
      </c>
      <c r="L2313" t="inlineStr">
        <is>
          <t>01/12/2025 07:44</t>
        </is>
      </c>
      <c r="M2313" t="inlineStr">
        <is>
          <t>None</t>
        </is>
      </c>
      <c r="N2313" t="inlineStr">
        <is>
          <t>&lt;p&gt;&lt;/p&gt;</t>
        </is>
      </c>
      <c r="O2313" t="inlineStr">
        <is>
          <t>Confirm that you have checked this vehicle as per the guidance document and the vehicle is safe and roadworthy:Jockey wheel in the process of being replaced.
Safe to use machine.
Clock stopped working.
-</t>
        </is>
      </c>
      <c r="P2313" t="inlineStr"/>
      <c r="Q2313" t="inlineStr">
        <is>
          <t>UKPN</t>
        </is>
      </c>
      <c r="R2313" t="b">
        <v>0</v>
      </c>
    </row>
    <row r="2314">
      <c r="A2314" t="inlineStr">
        <is>
          <t>1 Dec 2025 / Philip Shaw / Utilities / NGED</t>
        </is>
      </c>
      <c r="B2314" t="inlineStr">
        <is>
          <t>Utilities</t>
        </is>
      </c>
      <c r="C2314" t="inlineStr">
        <is>
          <t>NGED</t>
        </is>
      </c>
      <c r="D2314" t="inlineStr">
        <is>
          <t>AF22TZO , Car - Electric , Tesla , Model 3 Long Range AWD</t>
        </is>
      </c>
      <c r="E2314" t="inlineStr">
        <is>
          <t>AF22TZO , Car - Electric , Tesla , Model 3 Long Range AWD</t>
        </is>
      </c>
      <c r="F2314" t="inlineStr">
        <is>
          <t>AF22TZO , Car - Electric , Tesla , Model 3 Long Range AWD</t>
        </is>
      </c>
      <c r="G2314" t="inlineStr">
        <is>
          <t xml:space="preserve">Phil shaw </t>
        </is>
      </c>
      <c r="H2314" t="inlineStr">
        <is>
          <t>Car - Electric (GC Owned)</t>
        </is>
      </c>
      <c r="I2314" t="inlineStr">
        <is>
          <t>Daily/ Weekly Vehicle Inspection</t>
        </is>
      </c>
      <c r="J2314" t="inlineStr">
        <is>
          <t>N/A</t>
        </is>
      </c>
      <c r="K2314" t="inlineStr">
        <is>
          <t>Philip Shaw</t>
        </is>
      </c>
      <c r="L2314" t="inlineStr">
        <is>
          <t>01/12/2025 08:36</t>
        </is>
      </c>
      <c r="M2314" t="inlineStr">
        <is>
          <t>None</t>
        </is>
      </c>
      <c r="N2314" t="inlineStr">
        <is>
          <t>&lt;p&gt;&lt;/p&gt;</t>
        </is>
      </c>
      <c r="O2314" t="inlineStr"/>
      <c r="P2314" t="inlineStr">
        <is>
          <t>AF22TZO , Car - Electric , Tesla , Model 3 Long Range AWD</t>
        </is>
      </c>
      <c r="Q2314" t="inlineStr">
        <is>
          <t>NGED</t>
        </is>
      </c>
      <c r="R2314" t="b">
        <v>0</v>
      </c>
    </row>
    <row r="2315">
      <c r="A2315" t="inlineStr">
        <is>
          <t>1 Dec 2025 / 7951 Austin Tree Care LTD 1 / Utilities / UKPN</t>
        </is>
      </c>
      <c r="B2315" t="inlineStr">
        <is>
          <t>Utilities</t>
        </is>
      </c>
      <c r="C2315" t="inlineStr">
        <is>
          <t>UKPN</t>
        </is>
      </c>
      <c r="D2315" t="inlineStr">
        <is>
          <t>Kn58fuy , Tipper , Volkswagen  , Crafter</t>
        </is>
      </c>
      <c r="E2315" t="inlineStr">
        <is>
          <t>Kn58fuy , Tipper , Volkswagen  , Crafter</t>
        </is>
      </c>
      <c r="F2315" t="inlineStr">
        <is>
          <t>Kn58fuy , Tipper , Volkswagen  , Crafter</t>
        </is>
      </c>
      <c r="G2315" t="inlineStr">
        <is>
          <t xml:space="preserve">Jack Austin </t>
        </is>
      </c>
      <c r="H2315" t="inlineStr">
        <is>
          <t>Tipper</t>
        </is>
      </c>
      <c r="I2315" t="inlineStr">
        <is>
          <t>Daily/ Weekly Vehicle Inspection</t>
        </is>
      </c>
      <c r="J2315" t="inlineStr">
        <is>
          <t>N/A</t>
        </is>
      </c>
      <c r="K2315" t="inlineStr">
        <is>
          <t>7951 Austin Tree Care LTD 1</t>
        </is>
      </c>
      <c r="L2315" t="inlineStr">
        <is>
          <t>01/12/2025 08:40</t>
        </is>
      </c>
      <c r="M2315" t="inlineStr">
        <is>
          <t>None</t>
        </is>
      </c>
      <c r="N2315" t="inlineStr">
        <is>
          <t>&lt;p&gt;&lt;/p&gt;</t>
        </is>
      </c>
      <c r="O2315" t="inlineStr"/>
      <c r="P2315" t="inlineStr">
        <is>
          <t>Kn58fuy , Tipper , Volkswagen  , Crafter</t>
        </is>
      </c>
      <c r="Q2315" t="inlineStr">
        <is>
          <t>UKPN</t>
        </is>
      </c>
      <c r="R2315" t="b">
        <v>0</v>
      </c>
    </row>
    <row r="2316">
      <c r="A2316" t="inlineStr">
        <is>
          <t>1 Dec 2025 / 7996 M G Tree Surgery Ltd / Utilities / UKPN</t>
        </is>
      </c>
      <c r="B2316" t="inlineStr">
        <is>
          <t>Utilities</t>
        </is>
      </c>
      <c r="C2316" t="inlineStr">
        <is>
          <t>UKPN</t>
        </is>
      </c>
      <c r="D2316" t="inlineStr">
        <is>
          <t>GU13 WNL , MEWP , Land Rover , Defender 130</t>
        </is>
      </c>
      <c r="E2316" t="inlineStr">
        <is>
          <t>GU13 WNL , MEWP , Land Rover , Defender 130</t>
        </is>
      </c>
      <c r="F2316" t="inlineStr">
        <is>
          <t>GU13 WNL , MEWP , Land Rover , Defender 130</t>
        </is>
      </c>
      <c r="G2316" t="inlineStr">
        <is>
          <t>Max</t>
        </is>
      </c>
      <c r="H2316" t="inlineStr">
        <is>
          <t>4x4</t>
        </is>
      </c>
      <c r="I2316" t="inlineStr">
        <is>
          <t>Daily/ Weekly Vehicle Inspection</t>
        </is>
      </c>
      <c r="J2316" t="inlineStr">
        <is>
          <t>N/A</t>
        </is>
      </c>
      <c r="K2316" t="inlineStr">
        <is>
          <t>7996 M G Tree Surgery Ltd</t>
        </is>
      </c>
      <c r="L2316" t="inlineStr">
        <is>
          <t>01/12/2025 08:41</t>
        </is>
      </c>
      <c r="M2316" t="inlineStr">
        <is>
          <t>None</t>
        </is>
      </c>
      <c r="N2316" t="inlineStr">
        <is>
          <t>&lt;p&gt;&lt;/p&gt;</t>
        </is>
      </c>
      <c r="O2316" t="inlineStr"/>
      <c r="P2316" t="inlineStr">
        <is>
          <t>GU13 WNL , MEWP , Land Rover , Defender 130</t>
        </is>
      </c>
      <c r="Q2316" t="inlineStr">
        <is>
          <t>UKPN</t>
        </is>
      </c>
      <c r="R2316" t="b">
        <v>0</v>
      </c>
    </row>
    <row r="2317">
      <c r="A2317" t="inlineStr">
        <is>
          <t>1 Dec 2025 / 7806 Optimum Tree Services Ltd / Utilities / UKPN</t>
        </is>
      </c>
      <c r="B2317" t="inlineStr">
        <is>
          <t>Utilities</t>
        </is>
      </c>
      <c r="C2317" t="inlineStr">
        <is>
          <t>UKPN</t>
        </is>
      </c>
      <c r="D2317" t="inlineStr">
        <is>
          <t>SA9ST800000283069 , Chipper , Forst , ST 6P</t>
        </is>
      </c>
      <c r="E2317" t="inlineStr">
        <is>
          <t>SA9ST800000283069 , Chipper , Forst , ST 6P</t>
        </is>
      </c>
      <c r="F2317" t="inlineStr">
        <is>
          <t>SA9ST800000283069 , Chipper , Forst , ST 6P</t>
        </is>
      </c>
      <c r="G2317" t="inlineStr">
        <is>
          <t xml:space="preserve">Kenny Aldred </t>
        </is>
      </c>
      <c r="H2317" t="inlineStr">
        <is>
          <t>Towed Chipper</t>
        </is>
      </c>
      <c r="I2317" t="inlineStr">
        <is>
          <t>Daily/ Weekly Vehicle Inspection</t>
        </is>
      </c>
      <c r="J2317" t="inlineStr">
        <is>
          <t>N/A</t>
        </is>
      </c>
      <c r="K2317" t="inlineStr">
        <is>
          <t>7806 Optimum Tree Services Ltd</t>
        </is>
      </c>
      <c r="L2317" t="inlineStr">
        <is>
          <t>01/12/2025 08:44</t>
        </is>
      </c>
      <c r="M2317" t="inlineStr">
        <is>
          <t>None</t>
        </is>
      </c>
      <c r="N2317" t="inlineStr">
        <is>
          <t>&lt;p&gt;&lt;/p&gt;</t>
        </is>
      </c>
      <c r="O2317" t="inlineStr"/>
      <c r="P2317" t="inlineStr">
        <is>
          <t>SA9ST800000283069 , Chipper , Forst , ST 6P</t>
        </is>
      </c>
      <c r="Q2317" t="inlineStr">
        <is>
          <t>UKPN</t>
        </is>
      </c>
      <c r="R2317" t="b">
        <v>0</v>
      </c>
    </row>
    <row r="2318">
      <c r="A2318" t="inlineStr">
        <is>
          <t>1 Dec 2025 / 7806 Optimum Tree Services Ltd / Utilities / UKPN</t>
        </is>
      </c>
      <c r="B2318" t="inlineStr">
        <is>
          <t>Utilities</t>
        </is>
      </c>
      <c r="C2318" t="inlineStr">
        <is>
          <t>UKPN</t>
        </is>
      </c>
      <c r="D2318" t="inlineStr">
        <is>
          <t>Wd14evn , 4x4 , Landrover  , Defender</t>
        </is>
      </c>
      <c r="E2318" t="inlineStr">
        <is>
          <t>Wd14evn , 4x4 , Landrover  , Defender</t>
        </is>
      </c>
      <c r="F2318" t="inlineStr">
        <is>
          <t>Wd14evn , 4x4 , Landrover  , Defender</t>
        </is>
      </c>
      <c r="G2318" t="inlineStr">
        <is>
          <t xml:space="preserve">Kenny Aldred </t>
        </is>
      </c>
      <c r="H2318" t="inlineStr">
        <is>
          <t>4x4</t>
        </is>
      </c>
      <c r="I2318" t="inlineStr">
        <is>
          <t>Daily/ Weekly Vehicle Inspection</t>
        </is>
      </c>
      <c r="J2318" t="inlineStr">
        <is>
          <t>N/A</t>
        </is>
      </c>
      <c r="K2318" t="inlineStr">
        <is>
          <t>7806 Optimum Tree Services Ltd</t>
        </is>
      </c>
      <c r="L2318" t="inlineStr">
        <is>
          <t>01/12/2025 08:45</t>
        </is>
      </c>
      <c r="M2318" t="inlineStr">
        <is>
          <t>None</t>
        </is>
      </c>
      <c r="N2318" t="inlineStr">
        <is>
          <t>&lt;p&gt;&lt;/p&gt;</t>
        </is>
      </c>
      <c r="O2318" t="inlineStr"/>
      <c r="P2318" t="inlineStr">
        <is>
          <t>Wd14evn , 4x4 , Landrover  , Defender</t>
        </is>
      </c>
      <c r="Q2318" t="inlineStr">
        <is>
          <t>UKPN</t>
        </is>
      </c>
      <c r="R2318" t="b">
        <v>0</v>
      </c>
    </row>
    <row r="2319">
      <c r="A2319" t="inlineStr">
        <is>
          <t>1 Dec 2025 / 7889 Tree Tech Suffolk Ltd</t>
        </is>
      </c>
      <c r="B2319" t="inlineStr">
        <is>
          <t>Utilities &amp; Inland Waterways</t>
        </is>
      </c>
      <c r="C2319" t="inlineStr">
        <is>
          <t>UKPN</t>
        </is>
      </c>
      <c r="D2319" t="inlineStr">
        <is>
          <t>Tow Chipper - Jenson - A530L - 55210639484x4 - Isuzu - D-max - NS03 TTSTipper - Mercedes - Sprinter - NS06TTS</t>
        </is>
      </c>
      <c r="E2319" t="inlineStr">
        <is>
          <t>Tow Chipper - Jenson - A530L - 55210639484x4 - Isuzu - D-max - NS03 TTSTipper - Mercedes - Sprinter - NS06TTS</t>
        </is>
      </c>
      <c r="F2319" t="inlineStr">
        <is>
          <t>Tow Chipper - Jenson - A530L - 55210639484x4 - Isuzu - D-max - NS03 TTSTipper - Mercedes - Sprinter - NS06TTS</t>
        </is>
      </c>
      <c r="G2319" t="inlineStr">
        <is>
          <t xml:space="preserve">Danny Appleby Danny Appleby Nikki sparrow </t>
        </is>
      </c>
      <c r="H2319" t="inlineStr">
        <is>
          <t>Towed Chipper4x4Tipper</t>
        </is>
      </c>
      <c r="I2319" t="inlineStr">
        <is>
          <t>Daily/ Weekly Vehicle Inspection</t>
        </is>
      </c>
      <c r="J2319" t="inlineStr">
        <is>
          <t>N/A</t>
        </is>
      </c>
      <c r="K2319" t="inlineStr">
        <is>
          <t>7889 Tree Tech Suffolk Ltd</t>
        </is>
      </c>
      <c r="L2319" t="inlineStr">
        <is>
          <t>01/12/2025 08:46</t>
        </is>
      </c>
      <c r="M2319" t="inlineStr">
        <is>
          <t>None</t>
        </is>
      </c>
      <c r="N2319" t="inlineStr">
        <is>
          <t>&lt;p&gt;&lt;/p&gt;</t>
        </is>
      </c>
      <c r="O2319" t="inlineStr">
        <is>
          <t>Select Vehicle:Ns08 tts</t>
        </is>
      </c>
      <c r="P2319" t="inlineStr">
        <is>
          <t>Tow Chipper - Jenson - A530L - 55210639484x4 - Isuzu - D-max - NS03 TTSTipper - Mercedes - Sprinter - NS06TTS</t>
        </is>
      </c>
      <c r="Q2319" t="inlineStr">
        <is>
          <t>UKPN</t>
        </is>
      </c>
      <c r="R2319" t="b">
        <v>0</v>
      </c>
    </row>
    <row r="2320">
      <c r="A2320" t="inlineStr">
        <is>
          <t>1 Dec 2025 / 7806 Optimum Tree Services Ltd / Utilities / UKPN</t>
        </is>
      </c>
      <c r="B2320" t="inlineStr">
        <is>
          <t>Utilities</t>
        </is>
      </c>
      <c r="C2320" t="inlineStr">
        <is>
          <t>UKPN</t>
        </is>
      </c>
      <c r="D2320" t="inlineStr">
        <is>
          <t>WD14EVB , MEWP , Land Rover , Defender</t>
        </is>
      </c>
      <c r="E2320" t="inlineStr">
        <is>
          <t>WD14EVB , MEWP , Land Rover , Defender</t>
        </is>
      </c>
      <c r="F2320" t="inlineStr">
        <is>
          <t>WD14EVB , MEWP , Land Rover , Defender</t>
        </is>
      </c>
      <c r="G2320" t="inlineStr">
        <is>
          <t xml:space="preserve">Abraham Davies </t>
        </is>
      </c>
      <c r="H2320" t="inlineStr">
        <is>
          <t>4x4</t>
        </is>
      </c>
      <c r="I2320" t="inlineStr">
        <is>
          <t>Daily/ Weekly Vehicle Inspection</t>
        </is>
      </c>
      <c r="J2320" t="inlineStr">
        <is>
          <t>N/A</t>
        </is>
      </c>
      <c r="K2320" t="inlineStr">
        <is>
          <t>7806 Optimum Tree Services Ltd</t>
        </is>
      </c>
      <c r="L2320" t="inlineStr">
        <is>
          <t>01/12/2025 08:48</t>
        </is>
      </c>
      <c r="M2320" t="inlineStr">
        <is>
          <t>None</t>
        </is>
      </c>
      <c r="N2320" t="inlineStr">
        <is>
          <t>&lt;p&gt;&lt;/p&gt;</t>
        </is>
      </c>
      <c r="O2320" t="inlineStr"/>
      <c r="P2320" t="inlineStr">
        <is>
          <t>WD14EVB , MEWP , Land Rover , Defender</t>
        </is>
      </c>
      <c r="Q2320" t="inlineStr">
        <is>
          <t>UKPN</t>
        </is>
      </c>
      <c r="R2320" t="b">
        <v>0</v>
      </c>
    </row>
    <row r="2321">
      <c r="A2321" t="inlineStr">
        <is>
          <t>1 Dec 2025 / Thomas Playford / Utilities / UKPN</t>
        </is>
      </c>
      <c r="B2321" t="inlineStr">
        <is>
          <t>Utilities</t>
        </is>
      </c>
      <c r="C2321" t="inlineStr">
        <is>
          <t>UKPN</t>
        </is>
      </c>
      <c r="D2321" t="inlineStr">
        <is>
          <t>SA9ST800000283944 , Tow Chipper , Forst , ST8D - Towed</t>
        </is>
      </c>
      <c r="E2321" t="inlineStr">
        <is>
          <t>SA9ST800000283944 , Tow Chipper , Forst , ST8D - Towed</t>
        </is>
      </c>
      <c r="F2321" t="inlineStr">
        <is>
          <t>SA9ST800000283944 , Tow Chipper , Forst , ST8D - Towed</t>
        </is>
      </c>
      <c r="G2321" t="inlineStr">
        <is>
          <t>Thomas Playford</t>
        </is>
      </c>
      <c r="H2321" t="inlineStr">
        <is>
          <t>Towed Chipper</t>
        </is>
      </c>
      <c r="I2321" t="inlineStr">
        <is>
          <t>Daily/ Weekly Vehicle Inspection</t>
        </is>
      </c>
      <c r="J2321" t="inlineStr">
        <is>
          <t>N/A</t>
        </is>
      </c>
      <c r="K2321" t="inlineStr">
        <is>
          <t>7995 Green Net Eco Ltd 2</t>
        </is>
      </c>
      <c r="L2321" t="inlineStr">
        <is>
          <t>01/12/2025 10:36</t>
        </is>
      </c>
      <c r="M2321" t="inlineStr">
        <is>
          <t>None</t>
        </is>
      </c>
      <c r="N2321" t="inlineStr">
        <is>
          <t>&lt;p&gt;&lt;/p&gt;</t>
        </is>
      </c>
      <c r="O2321" t="inlineStr"/>
      <c r="P2321" t="inlineStr">
        <is>
          <t>SA9ST800000283944 , Tow Chipper , Forst , ST8D - Towed</t>
        </is>
      </c>
      <c r="Q2321" t="inlineStr">
        <is>
          <t>UKPN</t>
        </is>
      </c>
      <c r="R2321" t="b">
        <v>0</v>
      </c>
    </row>
    <row r="2322">
      <c r="A2322" t="inlineStr">
        <is>
          <t>1 Dec 2025 / Thomas Playford / Utilities / UKPN</t>
        </is>
      </c>
      <c r="B2322" t="inlineStr">
        <is>
          <t>Utilities</t>
        </is>
      </c>
      <c r="C2322" t="inlineStr">
        <is>
          <t>UKPN</t>
        </is>
      </c>
      <c r="D2322" t="inlineStr">
        <is>
          <t>LK15KRZ , 4x4 , Landrover , Defender</t>
        </is>
      </c>
      <c r="E2322" t="inlineStr">
        <is>
          <t>LK15KRZ , 4x4 , Landrover , Defender</t>
        </is>
      </c>
      <c r="F2322" t="inlineStr">
        <is>
          <t>LK15KRZ , 4x4 , Landrover , Defender</t>
        </is>
      </c>
      <c r="G2322" t="inlineStr">
        <is>
          <t>Thomas Playford</t>
        </is>
      </c>
      <c r="H2322" t="inlineStr">
        <is>
          <t>4x4</t>
        </is>
      </c>
      <c r="I2322" t="inlineStr">
        <is>
          <t>Daily/ Weekly Vehicle Inspection</t>
        </is>
      </c>
      <c r="J2322" t="inlineStr">
        <is>
          <t>N/A</t>
        </is>
      </c>
      <c r="K2322" t="inlineStr">
        <is>
          <t>7995 Green Net Eco Ltd 2</t>
        </is>
      </c>
      <c r="L2322" t="inlineStr">
        <is>
          <t>01/12/2025 10:37</t>
        </is>
      </c>
      <c r="M2322" t="inlineStr">
        <is>
          <t>None</t>
        </is>
      </c>
      <c r="N2322" t="inlineStr">
        <is>
          <t>&lt;p&gt;&lt;/p&gt;</t>
        </is>
      </c>
      <c r="O2322" t="inlineStr"/>
      <c r="P2322" t="inlineStr">
        <is>
          <t>LK15KRZ , 4x4 , Landrover , Defender</t>
        </is>
      </c>
      <c r="Q2322" t="inlineStr">
        <is>
          <t>UKPN</t>
        </is>
      </c>
      <c r="R2322" t="b">
        <v>0</v>
      </c>
    </row>
    <row r="2323">
      <c r="A2323" t="inlineStr">
        <is>
          <t>1 Dec 2025 / Alexander Damar / Utilities / UKPN</t>
        </is>
      </c>
      <c r="B2323" t="inlineStr">
        <is>
          <t>Utilities</t>
        </is>
      </c>
      <c r="C2323" t="inlineStr">
        <is>
          <t>UKPN</t>
        </is>
      </c>
      <c r="D2323" t="inlineStr"/>
      <c r="E2323" t="inlineStr"/>
      <c r="F2323" t="inlineStr"/>
      <c r="G2323" t="inlineStr">
        <is>
          <t>A Damar</t>
        </is>
      </c>
      <c r="H2323" t="inlineStr">
        <is>
          <t>Car - Petrol</t>
        </is>
      </c>
      <c r="I2323" t="inlineStr">
        <is>
          <t>Daily/ Weekly Vehicle Inspection</t>
        </is>
      </c>
      <c r="J2323" t="inlineStr">
        <is>
          <t>N/A</t>
        </is>
      </c>
      <c r="K2323" t="inlineStr">
        <is>
          <t>Alexander Damar</t>
        </is>
      </c>
      <c r="L2323" t="inlineStr">
        <is>
          <t>01/12/2025 10:37</t>
        </is>
      </c>
      <c r="M2323" t="inlineStr">
        <is>
          <t>None</t>
        </is>
      </c>
      <c r="N2323" t="inlineStr">
        <is>
          <t>&lt;p&gt;&lt;/p&gt;</t>
        </is>
      </c>
      <c r="O2323" t="inlineStr"/>
      <c r="P2323" t="inlineStr"/>
      <c r="Q2323" t="inlineStr">
        <is>
          <t>UKPN</t>
        </is>
      </c>
      <c r="R2323" t="b">
        <v>0</v>
      </c>
    </row>
    <row r="2324">
      <c r="A2324" t="inlineStr">
        <is>
          <t>1 Dec 2025 / 6556 DE UA SWales3 / Utilities / NGED</t>
        </is>
      </c>
      <c r="B2324" t="inlineStr">
        <is>
          <t>Utilities</t>
        </is>
      </c>
      <c r="C2324" t="inlineStr">
        <is>
          <t>NGED</t>
        </is>
      </c>
      <c r="D2324" t="inlineStr">
        <is>
          <t>WO23RVN , Van , Ford , Ranger</t>
        </is>
      </c>
      <c r="E2324" t="inlineStr">
        <is>
          <t>WO23RVN , Van , Ford , Ranger</t>
        </is>
      </c>
      <c r="F2324" t="inlineStr">
        <is>
          <t>WO23RVN , Van , Ford , Ranger</t>
        </is>
      </c>
      <c r="G2324" t="inlineStr">
        <is>
          <t xml:space="preserve">Daniel davies </t>
        </is>
      </c>
      <c r="H2324" t="inlineStr">
        <is>
          <t>4x4</t>
        </is>
      </c>
      <c r="I2324" t="inlineStr">
        <is>
          <t>Daily/ Weekly Vehicle Inspection</t>
        </is>
      </c>
      <c r="J2324" t="inlineStr">
        <is>
          <t>N/A</t>
        </is>
      </c>
      <c r="K2324" t="inlineStr">
        <is>
          <t>6556 DE UA SWales3</t>
        </is>
      </c>
      <c r="L2324" t="inlineStr">
        <is>
          <t>01/12/2025 10:38</t>
        </is>
      </c>
      <c r="M2324" t="inlineStr">
        <is>
          <t>None</t>
        </is>
      </c>
      <c r="N2324" t="inlineStr">
        <is>
          <t>&lt;p&gt;&lt;/p&gt;</t>
        </is>
      </c>
      <c r="O2324" t="inlineStr"/>
      <c r="P2324" t="inlineStr">
        <is>
          <t>WO23RVN , Van , Ford , Ranger</t>
        </is>
      </c>
      <c r="Q2324" t="inlineStr">
        <is>
          <t>NGED</t>
        </is>
      </c>
      <c r="R2324" t="b">
        <v>0</v>
      </c>
    </row>
    <row r="2325">
      <c r="A2325" t="inlineStr">
        <is>
          <t>1 Dec 2025 / Joe Sauvage / Utilities / SSE</t>
        </is>
      </c>
      <c r="B2325" t="inlineStr">
        <is>
          <t>Utilities</t>
        </is>
      </c>
      <c r="C2325" t="inlineStr">
        <is>
          <t>SSE</t>
        </is>
      </c>
      <c r="D2325" t="inlineStr">
        <is>
          <t>EO18AEW , Car - Petrol , Ford , Kuga</t>
        </is>
      </c>
      <c r="E2325" t="inlineStr">
        <is>
          <t>EO18AEW , Car - Petrol , Ford , Kuga</t>
        </is>
      </c>
      <c r="F2325" t="inlineStr">
        <is>
          <t>EO18AEW , Car - Petrol , Ford , Kuga</t>
        </is>
      </c>
      <c r="G2325" t="inlineStr">
        <is>
          <t xml:space="preserve">Joe Sauvage </t>
        </is>
      </c>
      <c r="H2325" t="inlineStr">
        <is>
          <t>Car - Diesel</t>
        </is>
      </c>
      <c r="I2325" t="inlineStr">
        <is>
          <t>Daily/ Weekly Vehicle Inspection</t>
        </is>
      </c>
      <c r="J2325" t="inlineStr">
        <is>
          <t>N/A</t>
        </is>
      </c>
      <c r="K2325" t="inlineStr">
        <is>
          <t>Joe Sauvage</t>
        </is>
      </c>
      <c r="L2325" t="inlineStr">
        <is>
          <t>01/12/2025 10:39</t>
        </is>
      </c>
      <c r="M2325" t="inlineStr">
        <is>
          <t>None</t>
        </is>
      </c>
      <c r="N2325" t="inlineStr">
        <is>
          <t>&lt;p&gt;&lt;/p&gt;</t>
        </is>
      </c>
      <c r="O2325" t="inlineStr"/>
      <c r="P2325" t="inlineStr">
        <is>
          <t>EO18AEW , Car - Petrol , Ford , Kuga</t>
        </is>
      </c>
      <c r="Q2325" t="inlineStr">
        <is>
          <t>SSE</t>
        </is>
      </c>
      <c r="R2325" t="b">
        <v>0</v>
      </c>
    </row>
    <row r="2326">
      <c r="A2326" t="inlineStr">
        <is>
          <t>1 Dec 2025 / 6556 DE UA SWales3 / Utilities / NGED</t>
        </is>
      </c>
      <c r="B2326" t="inlineStr">
        <is>
          <t>Utilities</t>
        </is>
      </c>
      <c r="C2326" t="inlineStr">
        <is>
          <t>NGED</t>
        </is>
      </c>
      <c r="D2326" t="inlineStr">
        <is>
          <t>BK72ZPG , N/A , Isuzu , D-Max</t>
        </is>
      </c>
      <c r="E2326" t="inlineStr">
        <is>
          <t>BK72ZPG , N/A , Isuzu , D-Max</t>
        </is>
      </c>
      <c r="F2326" t="inlineStr">
        <is>
          <t>BK72ZPG , N/A , Isuzu , D-Max</t>
        </is>
      </c>
      <c r="G2326" t="inlineStr">
        <is>
          <t xml:space="preserve">Adrian Evans </t>
        </is>
      </c>
      <c r="H2326" t="inlineStr">
        <is>
          <t>4x4</t>
        </is>
      </c>
      <c r="I2326" t="inlineStr">
        <is>
          <t>Daily/ Weekly Vehicle Inspection</t>
        </is>
      </c>
      <c r="J2326" t="inlineStr">
        <is>
          <t>N/A</t>
        </is>
      </c>
      <c r="K2326" t="inlineStr">
        <is>
          <t>6556 DE UA SWales3</t>
        </is>
      </c>
      <c r="L2326" t="inlineStr">
        <is>
          <t>01/12/2025 10:40</t>
        </is>
      </c>
      <c r="M2326" t="inlineStr">
        <is>
          <t>None</t>
        </is>
      </c>
      <c r="N2326" t="inlineStr">
        <is>
          <t>&lt;p&gt;&lt;/p&gt;</t>
        </is>
      </c>
      <c r="O2326" t="inlineStr"/>
      <c r="P2326" t="inlineStr">
        <is>
          <t>BK72ZPG , N/A , Isuzu , D-Max</t>
        </is>
      </c>
      <c r="Q2326" t="inlineStr">
        <is>
          <t>NGED</t>
        </is>
      </c>
      <c r="R2326" t="b">
        <v>0</v>
      </c>
    </row>
    <row r="2327">
      <c r="A2327" t="inlineStr">
        <is>
          <t>1 Dec 2025 / Jonathan Wisbey / Utilities / UKPN</t>
        </is>
      </c>
      <c r="B2327" t="inlineStr">
        <is>
          <t>Utilities</t>
        </is>
      </c>
      <c r="C2327" t="inlineStr">
        <is>
          <t>UKPN</t>
        </is>
      </c>
      <c r="D2327" t="inlineStr"/>
      <c r="E2327" t="inlineStr"/>
      <c r="F2327" t="inlineStr"/>
      <c r="G2327" t="inlineStr">
        <is>
          <t xml:space="preserve">Jonathan Wisbey </t>
        </is>
      </c>
      <c r="H2327" t="inlineStr">
        <is>
          <t>Car - Petrol</t>
        </is>
      </c>
      <c r="I2327" t="inlineStr">
        <is>
          <t>Monthly Vehicle Inspection</t>
        </is>
      </c>
      <c r="J2327" t="inlineStr">
        <is>
          <t>2368</t>
        </is>
      </c>
      <c r="K2327" t="inlineStr">
        <is>
          <t>Jonathan Wisbey</t>
        </is>
      </c>
      <c r="L2327" t="inlineStr">
        <is>
          <t>01/12/2025 10:41</t>
        </is>
      </c>
      <c r="M2327" t="inlineStr">
        <is>
          <t>None</t>
        </is>
      </c>
      <c r="N2327" t="inlineStr">
        <is>
          <t>&lt;p&gt;&lt;/p&gt;</t>
        </is>
      </c>
      <c r="O2327" t="inlineStr"/>
      <c r="P2327" t="inlineStr"/>
      <c r="Q2327" t="inlineStr">
        <is>
          <t>UKPN</t>
        </is>
      </c>
      <c r="R2327" t="b">
        <v>0</v>
      </c>
    </row>
    <row r="2328">
      <c r="A2328" t="inlineStr">
        <is>
          <t>1 Dec 2025 / Christopher Simeoli / Utilities / NGED</t>
        </is>
      </c>
      <c r="B2328" t="inlineStr">
        <is>
          <t>Utilities</t>
        </is>
      </c>
      <c r="C2328" t="inlineStr">
        <is>
          <t>NGED</t>
        </is>
      </c>
      <c r="D2328" t="inlineStr">
        <is>
          <t>EO73KVB , Car - Electric , Kia , Niro</t>
        </is>
      </c>
      <c r="E2328" t="inlineStr">
        <is>
          <t>EO73KVB , Car - Electric , Kia , Niro</t>
        </is>
      </c>
      <c r="F2328" t="inlineStr">
        <is>
          <t>EO73KVB , Car - Electric , Kia , Niro</t>
        </is>
      </c>
      <c r="G2328" t="inlineStr">
        <is>
          <t>Chris Simeoli</t>
        </is>
      </c>
      <c r="H2328" t="inlineStr">
        <is>
          <t>Car - Electric (GC Owned)</t>
        </is>
      </c>
      <c r="I2328" t="inlineStr">
        <is>
          <t>Daily/ Weekly Vehicle Inspection</t>
        </is>
      </c>
      <c r="J2328" t="inlineStr">
        <is>
          <t>N/A</t>
        </is>
      </c>
      <c r="K2328" t="inlineStr">
        <is>
          <t>Christopher Simeoli</t>
        </is>
      </c>
      <c r="L2328" t="inlineStr">
        <is>
          <t>01/12/2025 10:44</t>
        </is>
      </c>
      <c r="M2328" t="inlineStr">
        <is>
          <t>None</t>
        </is>
      </c>
      <c r="N2328" t="inlineStr">
        <is>
          <t>&lt;p&gt;&lt;/p&gt;</t>
        </is>
      </c>
      <c r="O2328" t="inlineStr"/>
      <c r="P2328" t="inlineStr">
        <is>
          <t>EO73KVB , Car - Electric , Kia , Niro</t>
        </is>
      </c>
      <c r="Q2328" t="inlineStr">
        <is>
          <t>NGED</t>
        </is>
      </c>
      <c r="R2328" t="b">
        <v>0</v>
      </c>
    </row>
    <row r="2329">
      <c r="A2329" t="inlineStr">
        <is>
          <t>1 Dec 2025 / Mark Davies / Utilities / NGED</t>
        </is>
      </c>
      <c r="B2329" t="inlineStr">
        <is>
          <t>Utilities</t>
        </is>
      </c>
      <c r="C2329" t="inlineStr">
        <is>
          <t>NGED</t>
        </is>
      </c>
      <c r="D2329" t="inlineStr">
        <is>
          <t>GJ20USE , Car - Electric , Tesla , Model 3 Long Range AWD</t>
        </is>
      </c>
      <c r="E2329" t="inlineStr">
        <is>
          <t>GJ20USE , Car - Electric , Tesla , Model 3 Long Range AWD</t>
        </is>
      </c>
      <c r="F2329" t="inlineStr">
        <is>
          <t>GJ20USE , Car - Electric , Tesla , Model 3 Long Range AWD</t>
        </is>
      </c>
      <c r="G2329" t="inlineStr">
        <is>
          <t xml:space="preserve">Mark Davies </t>
        </is>
      </c>
      <c r="H2329" t="inlineStr">
        <is>
          <t>Car - Electric (GC Owned)</t>
        </is>
      </c>
      <c r="I2329" t="inlineStr">
        <is>
          <t>Daily/ Weekly Vehicle Inspection</t>
        </is>
      </c>
      <c r="J2329" t="inlineStr">
        <is>
          <t>N/A</t>
        </is>
      </c>
      <c r="K2329" t="inlineStr">
        <is>
          <t>Mark Davies</t>
        </is>
      </c>
      <c r="L2329" t="inlineStr">
        <is>
          <t>01/12/2025 12:36</t>
        </is>
      </c>
      <c r="M2329" t="inlineStr">
        <is>
          <t>None</t>
        </is>
      </c>
      <c r="N2329" t="inlineStr">
        <is>
          <t>&lt;p&gt;&lt;/p&gt;</t>
        </is>
      </c>
      <c r="O2329" t="inlineStr"/>
      <c r="P2329" t="inlineStr">
        <is>
          <t>GJ20USE , Car - Electric , Tesla , Model 3 Long Range AWD</t>
        </is>
      </c>
      <c r="Q2329" t="inlineStr">
        <is>
          <t>NGED</t>
        </is>
      </c>
      <c r="R2329" t="b">
        <v>0</v>
      </c>
    </row>
    <row r="2330">
      <c r="A2330" t="inlineStr">
        <is>
          <t>1 Dec 2025 / Chris Huntley / Utilities / UKPN</t>
        </is>
      </c>
      <c r="B2330" t="inlineStr">
        <is>
          <t>Utilities</t>
        </is>
      </c>
      <c r="C2330" t="inlineStr">
        <is>
          <t>UKPN</t>
        </is>
      </c>
      <c r="D2330" t="inlineStr">
        <is>
          <t>EX18DCY , 4x4 , Ford , Ranger</t>
        </is>
      </c>
      <c r="E2330" t="inlineStr">
        <is>
          <t>EX18DCY , 4x4 , Ford , Ranger</t>
        </is>
      </c>
      <c r="F2330" t="inlineStr">
        <is>
          <t>EX18DCY , 4x4 , Ford , Ranger</t>
        </is>
      </c>
      <c r="G2330" t="inlineStr">
        <is>
          <t xml:space="preserve">Chris Huntley </t>
        </is>
      </c>
      <c r="H2330" t="inlineStr">
        <is>
          <t>Pickup Truck</t>
        </is>
      </c>
      <c r="I2330" t="inlineStr">
        <is>
          <t>Daily/ Weekly Vehicle Inspection</t>
        </is>
      </c>
      <c r="J2330" t="inlineStr">
        <is>
          <t>N/A</t>
        </is>
      </c>
      <c r="K2330" t="inlineStr">
        <is>
          <t>Chris Huntley</t>
        </is>
      </c>
      <c r="L2330" t="inlineStr">
        <is>
          <t>01/12/2025 13:35</t>
        </is>
      </c>
      <c r="M2330" t="inlineStr">
        <is>
          <t>None</t>
        </is>
      </c>
      <c r="N2330" t="inlineStr">
        <is>
          <t>&lt;p&gt;&lt;/p&gt;</t>
        </is>
      </c>
      <c r="O2330" t="inlineStr"/>
      <c r="P2330" t="inlineStr">
        <is>
          <t>EX18DCY , 4x4 , Ford , Ranger</t>
        </is>
      </c>
      <c r="Q2330" t="inlineStr">
        <is>
          <t>UKPN</t>
        </is>
      </c>
      <c r="R2330" t="b">
        <v>0</v>
      </c>
    </row>
    <row r="2331">
      <c r="A2331" t="inlineStr">
        <is>
          <t>1 Dec 2025 / Ben Arnold / Utilities / UKPN</t>
        </is>
      </c>
      <c r="B2331" t="inlineStr">
        <is>
          <t>Utilities</t>
        </is>
      </c>
      <c r="C2331" t="inlineStr">
        <is>
          <t>UKPN</t>
        </is>
      </c>
      <c r="D2331" t="inlineStr">
        <is>
          <t>YX24TXG , Car - Electric , Kia , Niro</t>
        </is>
      </c>
      <c r="E2331" t="inlineStr">
        <is>
          <t>YX24TXG , Car - Electric , Kia , Niro</t>
        </is>
      </c>
      <c r="F2331" t="inlineStr">
        <is>
          <t>YX24TXG , Car - Electric , Kia , Niro</t>
        </is>
      </c>
      <c r="G2331" t="inlineStr">
        <is>
          <t>B Arnold</t>
        </is>
      </c>
      <c r="H2331" t="inlineStr">
        <is>
          <t>Car - Electric (GC Owned)</t>
        </is>
      </c>
      <c r="I2331" t="inlineStr">
        <is>
          <t>Daily/ Weekly Vehicle Inspection</t>
        </is>
      </c>
      <c r="J2331" t="inlineStr">
        <is>
          <t>N/A</t>
        </is>
      </c>
      <c r="K2331" t="inlineStr">
        <is>
          <t>Ben Arnold</t>
        </is>
      </c>
      <c r="L2331" t="inlineStr">
        <is>
          <t>01/12/2025 21:35</t>
        </is>
      </c>
      <c r="M2331" t="inlineStr">
        <is>
          <t>None</t>
        </is>
      </c>
      <c r="N2331" t="inlineStr">
        <is>
          <t>&lt;p&gt;&lt;/p&gt;</t>
        </is>
      </c>
      <c r="O2331" t="inlineStr"/>
      <c r="P2331" t="inlineStr">
        <is>
          <t>YX24TXG , Car - Electric , Kia , Niro</t>
        </is>
      </c>
      <c r="Q2331" t="inlineStr">
        <is>
          <t>UKPN</t>
        </is>
      </c>
      <c r="R2331" t="b">
        <v>0</v>
      </c>
    </row>
    <row r="2332">
      <c r="A2332" t="inlineStr">
        <is>
          <t>2 Dec 2025 / Anthony Gale / Utilities / UKPN</t>
        </is>
      </c>
      <c r="B2332" t="inlineStr">
        <is>
          <t>Utilities</t>
        </is>
      </c>
      <c r="C2332" t="inlineStr">
        <is>
          <t>UKPN</t>
        </is>
      </c>
      <c r="D2332" t="inlineStr">
        <is>
          <t>KX20 BCE , Tipper , Isuzu , D-Max</t>
        </is>
      </c>
      <c r="E2332" t="inlineStr">
        <is>
          <t>KX20 BCE , Tipper , Isuzu , D-Max</t>
        </is>
      </c>
      <c r="F2332" t="inlineStr">
        <is>
          <t>KX20 BCE , Tipper , Isuzu , D-Max</t>
        </is>
      </c>
      <c r="G2332" t="inlineStr">
        <is>
          <t xml:space="preserve">Anthony Gale </t>
        </is>
      </c>
      <c r="H2332" t="inlineStr">
        <is>
          <t>Pickup Truck</t>
        </is>
      </c>
      <c r="I2332" t="inlineStr">
        <is>
          <t>Daily/ Weekly Vehicle Inspection</t>
        </is>
      </c>
      <c r="J2332" t="inlineStr">
        <is>
          <t>N/A</t>
        </is>
      </c>
      <c r="K2332" t="inlineStr">
        <is>
          <t>7996 M G Tree Surgery Ltd 1</t>
        </is>
      </c>
      <c r="L2332" t="inlineStr">
        <is>
          <t>02/12/2025 06:35</t>
        </is>
      </c>
      <c r="M2332" t="inlineStr">
        <is>
          <t>None</t>
        </is>
      </c>
      <c r="N2332" t="inlineStr">
        <is>
          <t>&lt;p&gt;&lt;/p&gt;</t>
        </is>
      </c>
      <c r="O2332" t="inlineStr"/>
      <c r="P2332" t="inlineStr">
        <is>
          <t>KX20 BCE , Tipper , Isuzu , D-Max</t>
        </is>
      </c>
      <c r="Q2332" t="inlineStr">
        <is>
          <t>UKPN</t>
        </is>
      </c>
      <c r="R2332" t="b">
        <v>0</v>
      </c>
    </row>
    <row r="2333">
      <c r="A2333" t="inlineStr">
        <is>
          <t>2 Dec 2025 / 7806 Optimum Tree Services Ltd / Utilities / UKPN</t>
        </is>
      </c>
      <c r="B2333" t="inlineStr">
        <is>
          <t>Utilities</t>
        </is>
      </c>
      <c r="C2333" t="inlineStr">
        <is>
          <t>UKPN</t>
        </is>
      </c>
      <c r="D2333" t="inlineStr">
        <is>
          <t>SA9ST800000283069 , Chipper , Forst , ST 6P</t>
        </is>
      </c>
      <c r="E2333" t="inlineStr">
        <is>
          <t>SA9ST800000283069 , Chipper , Forst , ST 6P</t>
        </is>
      </c>
      <c r="F2333" t="inlineStr">
        <is>
          <t>SA9ST800000283069 , Chipper , Forst , ST 6P</t>
        </is>
      </c>
      <c r="G2333" t="inlineStr">
        <is>
          <t xml:space="preserve">Kenny Aldred </t>
        </is>
      </c>
      <c r="H2333" t="inlineStr">
        <is>
          <t>Towed Chipper</t>
        </is>
      </c>
      <c r="I2333" t="inlineStr">
        <is>
          <t>Daily/ Weekly Vehicle Inspection</t>
        </is>
      </c>
      <c r="J2333" t="inlineStr">
        <is>
          <t>N/A</t>
        </is>
      </c>
      <c r="K2333" t="inlineStr">
        <is>
          <t>7806 Optimum Tree Services Ltd</t>
        </is>
      </c>
      <c r="L2333" t="inlineStr">
        <is>
          <t>02/12/2025 07:36</t>
        </is>
      </c>
      <c r="M2333" t="inlineStr">
        <is>
          <t>None</t>
        </is>
      </c>
      <c r="N2333" t="inlineStr">
        <is>
          <t>&lt;p&gt;&lt;/p&gt;</t>
        </is>
      </c>
      <c r="O2333" t="inlineStr"/>
      <c r="P2333" t="inlineStr">
        <is>
          <t>SA9ST800000283069 , Chipper , Forst , ST 6P</t>
        </is>
      </c>
      <c r="Q2333" t="inlineStr">
        <is>
          <t>UKPN</t>
        </is>
      </c>
      <c r="R2333" t="b">
        <v>0</v>
      </c>
    </row>
    <row r="2334">
      <c r="A2334" t="inlineStr">
        <is>
          <t>2 Dec 2025 / 7806 Optimum Tree Services Ltd / Utilities / UKPN</t>
        </is>
      </c>
      <c r="B2334" t="inlineStr">
        <is>
          <t>Utilities</t>
        </is>
      </c>
      <c r="C2334" t="inlineStr">
        <is>
          <t>UKPN</t>
        </is>
      </c>
      <c r="D2334" t="inlineStr">
        <is>
          <t>Wd14evn , 4x4 , Landrover  , Defender</t>
        </is>
      </c>
      <c r="E2334" t="inlineStr">
        <is>
          <t>Wd14evn , 4x4 , Landrover  , Defender</t>
        </is>
      </c>
      <c r="F2334" t="inlineStr">
        <is>
          <t>Wd14evn , 4x4 , Landrover  , Defender</t>
        </is>
      </c>
      <c r="G2334" t="inlineStr">
        <is>
          <t xml:space="preserve">Kenny Aldred </t>
        </is>
      </c>
      <c r="H2334" t="inlineStr">
        <is>
          <t>4x4</t>
        </is>
      </c>
      <c r="I2334" t="inlineStr">
        <is>
          <t>Daily/ Weekly Vehicle Inspection</t>
        </is>
      </c>
      <c r="J2334" t="inlineStr">
        <is>
          <t>N/A</t>
        </is>
      </c>
      <c r="K2334" t="inlineStr">
        <is>
          <t>7806 Optimum Tree Services Ltd</t>
        </is>
      </c>
      <c r="L2334" t="inlineStr">
        <is>
          <t>02/12/2025 07:37</t>
        </is>
      </c>
      <c r="M2334" t="inlineStr">
        <is>
          <t>None</t>
        </is>
      </c>
      <c r="N2334" t="inlineStr">
        <is>
          <t>&lt;p&gt;&lt;/p&gt;</t>
        </is>
      </c>
      <c r="O2334" t="inlineStr"/>
      <c r="P2334" t="inlineStr">
        <is>
          <t>Wd14evn , 4x4 , Landrover  , Defender</t>
        </is>
      </c>
      <c r="Q2334" t="inlineStr">
        <is>
          <t>UKPN</t>
        </is>
      </c>
      <c r="R2334" t="b">
        <v>0</v>
      </c>
    </row>
    <row r="2335">
      <c r="A2335" t="inlineStr">
        <is>
          <t>2 Dec 2025 / 7806 Optimum Tree Services Ltd / Utilities / UKPN</t>
        </is>
      </c>
      <c r="B2335" t="inlineStr">
        <is>
          <t>Utilities</t>
        </is>
      </c>
      <c r="C2335" t="inlineStr">
        <is>
          <t>UKPN</t>
        </is>
      </c>
      <c r="D2335" t="inlineStr">
        <is>
          <t>SA9TAPLAF27414263 , Trailer , Tow Mate , Plant Trailer</t>
        </is>
      </c>
      <c r="E2335" t="inlineStr">
        <is>
          <t>SA9TAPLAF27414263 , Trailer , Tow Mate , Plant Trailer</t>
        </is>
      </c>
      <c r="F2335" t="inlineStr">
        <is>
          <t>SA9TAPLAF27414263 , Trailer , Tow Mate , Plant Trailer</t>
        </is>
      </c>
      <c r="G2335" t="inlineStr">
        <is>
          <t xml:space="preserve">Abraham Davies </t>
        </is>
      </c>
      <c r="H2335" t="inlineStr">
        <is>
          <t>Plant Trailer</t>
        </is>
      </c>
      <c r="I2335" t="inlineStr">
        <is>
          <t>Daily/ Weekly Vehicle Inspection</t>
        </is>
      </c>
      <c r="J2335" t="inlineStr">
        <is>
          <t>N/A</t>
        </is>
      </c>
      <c r="K2335" t="inlineStr">
        <is>
          <t>7806 Optimum Tree Services Ltd</t>
        </is>
      </c>
      <c r="L2335" t="inlineStr">
        <is>
          <t>02/12/2025 07:38</t>
        </is>
      </c>
      <c r="M2335" t="inlineStr">
        <is>
          <t>None</t>
        </is>
      </c>
      <c r="N2335" t="inlineStr">
        <is>
          <t>&lt;p&gt;&lt;/p&gt;</t>
        </is>
      </c>
      <c r="O2335" t="inlineStr"/>
      <c r="P2335" t="inlineStr">
        <is>
          <t>SA9TAPLAF27414263 , Trailer , Tow Mate , Plant Trailer</t>
        </is>
      </c>
      <c r="Q2335" t="inlineStr">
        <is>
          <t>UKPN</t>
        </is>
      </c>
      <c r="R2335" t="b">
        <v>0</v>
      </c>
    </row>
    <row r="2336">
      <c r="A2336" t="inlineStr">
        <is>
          <t>2 Dec 2025 / 7806 Optimum Tree Services Ltd / Utilities / UKPN</t>
        </is>
      </c>
      <c r="B2336" t="inlineStr">
        <is>
          <t>Utilities</t>
        </is>
      </c>
      <c r="C2336" t="inlineStr">
        <is>
          <t>UKPN</t>
        </is>
      </c>
      <c r="D2336" t="inlineStr">
        <is>
          <t>WD14EVB , MEWP , Land Rover , Defender</t>
        </is>
      </c>
      <c r="E2336" t="inlineStr">
        <is>
          <t>WD14EVB , MEWP , Land Rover , Defender</t>
        </is>
      </c>
      <c r="F2336" t="inlineStr">
        <is>
          <t>WD14EVB , MEWP , Land Rover , Defender</t>
        </is>
      </c>
      <c r="G2336" t="inlineStr">
        <is>
          <t xml:space="preserve">Abraham Davies </t>
        </is>
      </c>
      <c r="H2336" t="inlineStr">
        <is>
          <t>4x4</t>
        </is>
      </c>
      <c r="I2336" t="inlineStr">
        <is>
          <t>Daily/ Weekly Vehicle Inspection</t>
        </is>
      </c>
      <c r="J2336" t="inlineStr">
        <is>
          <t>N/A</t>
        </is>
      </c>
      <c r="K2336" t="inlineStr">
        <is>
          <t>7806 Optimum Tree Services Ltd</t>
        </is>
      </c>
      <c r="L2336" t="inlineStr">
        <is>
          <t>02/12/2025 07:38</t>
        </is>
      </c>
      <c r="M2336" t="inlineStr">
        <is>
          <t>None</t>
        </is>
      </c>
      <c r="N2336" t="inlineStr">
        <is>
          <t>&lt;p&gt;&lt;/p&gt;</t>
        </is>
      </c>
      <c r="O2336" t="inlineStr"/>
      <c r="P2336" t="inlineStr">
        <is>
          <t>WD14EVB , MEWP , Land Rover , Defender</t>
        </is>
      </c>
      <c r="Q2336" t="inlineStr">
        <is>
          <t>UKPN</t>
        </is>
      </c>
      <c r="R2336" t="b">
        <v>0</v>
      </c>
    </row>
    <row r="2337">
      <c r="A2337" t="inlineStr">
        <is>
          <t>2 Dec 2025 / 7186 Eastwoodbury Tree Services Ltd / Utilities / UKPN</t>
        </is>
      </c>
      <c r="B2337" t="inlineStr">
        <is>
          <t>Utilities</t>
        </is>
      </c>
      <c r="C2337" t="inlineStr">
        <is>
          <t>UKPN</t>
        </is>
      </c>
      <c r="D2337" t="inlineStr">
        <is>
          <t>DE53NKS , 4x4 , Ford , Ranger</t>
        </is>
      </c>
      <c r="E2337" t="inlineStr">
        <is>
          <t>DE53NKS , 4x4 , Ford , Ranger</t>
        </is>
      </c>
      <c r="F2337" t="inlineStr">
        <is>
          <t>DE53NKS , 4x4 , Ford , Ranger</t>
        </is>
      </c>
      <c r="G2337" t="inlineStr">
        <is>
          <t xml:space="preserve">Jay Denkmayer </t>
        </is>
      </c>
      <c r="H2337" t="inlineStr">
        <is>
          <t>Pickup Truck</t>
        </is>
      </c>
      <c r="I2337" t="inlineStr">
        <is>
          <t>Daily/ Weekly Vehicle Inspection</t>
        </is>
      </c>
      <c r="J2337" t="inlineStr">
        <is>
          <t>N/A</t>
        </is>
      </c>
      <c r="K2337" t="inlineStr">
        <is>
          <t>7186 Eastwoodbury Tree Services Ltd</t>
        </is>
      </c>
      <c r="L2337" t="inlineStr">
        <is>
          <t>02/12/2025 07:39</t>
        </is>
      </c>
      <c r="M2337" t="inlineStr">
        <is>
          <t>None</t>
        </is>
      </c>
      <c r="N2337" t="inlineStr">
        <is>
          <t>&lt;p&gt;&lt;/p&gt;</t>
        </is>
      </c>
      <c r="O2337" t="inlineStr"/>
      <c r="P2337" t="inlineStr">
        <is>
          <t>DE53NKS , 4x4 , Ford , Ranger</t>
        </is>
      </c>
      <c r="Q2337" t="inlineStr">
        <is>
          <t>UKPN</t>
        </is>
      </c>
      <c r="R2337" t="b">
        <v>0</v>
      </c>
    </row>
    <row r="2338">
      <c r="A2338" t="inlineStr">
        <is>
          <t>2 Dec 2025 / 7186 Eastwoodbury Tree Services Ltd / Utilities / UKPN</t>
        </is>
      </c>
      <c r="B2338" t="inlineStr">
        <is>
          <t>Utilities</t>
        </is>
      </c>
      <c r="C2338" t="inlineStr">
        <is>
          <t>UKPN</t>
        </is>
      </c>
      <c r="D2338" t="inlineStr">
        <is>
          <t>WF13 EKM , 4x4 , Land rover  , Defenders</t>
        </is>
      </c>
      <c r="E2338" t="inlineStr">
        <is>
          <t>WF13 EKM , 4x4 , Land rover  , Defenders</t>
        </is>
      </c>
      <c r="F2338" t="inlineStr">
        <is>
          <t>WF13 EKM , 4x4 , Land rover  , Defenders</t>
        </is>
      </c>
      <c r="G2338" t="inlineStr">
        <is>
          <t xml:space="preserve">Dan Gilbert </t>
        </is>
      </c>
      <c r="H2338" t="inlineStr">
        <is>
          <t>4x4</t>
        </is>
      </c>
      <c r="I2338" t="inlineStr">
        <is>
          <t>Daily/ Weekly Vehicle Inspection</t>
        </is>
      </c>
      <c r="J2338" t="inlineStr">
        <is>
          <t>N/A</t>
        </is>
      </c>
      <c r="K2338" t="inlineStr">
        <is>
          <t>7186 Eastwoodbury Tree Services Ltd</t>
        </is>
      </c>
      <c r="L2338" t="inlineStr">
        <is>
          <t>02/12/2025 07:39</t>
        </is>
      </c>
      <c r="M2338" t="inlineStr">
        <is>
          <t>None</t>
        </is>
      </c>
      <c r="N2338" t="inlineStr">
        <is>
          <t>&lt;p&gt;&lt;/p&gt;</t>
        </is>
      </c>
      <c r="O2338" t="inlineStr"/>
      <c r="P2338" t="inlineStr">
        <is>
          <t>WF13 EKM , 4x4 , Land rover  , Defenders</t>
        </is>
      </c>
      <c r="Q2338" t="inlineStr">
        <is>
          <t>UKPN</t>
        </is>
      </c>
      <c r="R2338" t="b">
        <v>0</v>
      </c>
    </row>
    <row r="2339">
      <c r="A2339" t="inlineStr">
        <is>
          <t>2 Dec 2025 / 7889 Tree Tech Suffolk Ltd</t>
        </is>
      </c>
      <c r="B2339" t="inlineStr">
        <is>
          <t>Utilities &amp; Inland Waterways</t>
        </is>
      </c>
      <c r="C2339" t="inlineStr">
        <is>
          <t>UKPN</t>
        </is>
      </c>
      <c r="D2339" t="inlineStr">
        <is>
          <t>Tow Chipper - Jenson - A530L - 55210639484x4 - Isuzu - D-max - NS03 TTSTipper - Mercedes - Sprinter - NS06TTS</t>
        </is>
      </c>
      <c r="E2339" t="inlineStr">
        <is>
          <t>Tow Chipper - Jenson - A530L - 55210639484x4 - Isuzu - D-max - NS03 TTSTipper - Mercedes - Sprinter - NS06TTS</t>
        </is>
      </c>
      <c r="F2339" t="inlineStr">
        <is>
          <t>Tow Chipper - Jenson - A530L - 55210639484x4 - Isuzu - D-max - NS03 TTSTipper - Mercedes - Sprinter - NS06TTS</t>
        </is>
      </c>
      <c r="G2339" t="inlineStr">
        <is>
          <t xml:space="preserve">Nikki sparrow Danny Appleby Nikki sparrow </t>
        </is>
      </c>
      <c r="H2339" t="inlineStr">
        <is>
          <t>Towed Chipper4x4Tipper</t>
        </is>
      </c>
      <c r="I2339" t="inlineStr">
        <is>
          <t>Daily/ Weekly Vehicle Inspection</t>
        </is>
      </c>
      <c r="J2339" t="inlineStr">
        <is>
          <t>N/A</t>
        </is>
      </c>
      <c r="K2339" t="inlineStr">
        <is>
          <t>7889 Tree Tech Suffolk Ltd</t>
        </is>
      </c>
      <c r="L2339" t="inlineStr">
        <is>
          <t>02/12/2025 07:40</t>
        </is>
      </c>
      <c r="M2339" t="inlineStr">
        <is>
          <t>None</t>
        </is>
      </c>
      <c r="N2339" t="inlineStr">
        <is>
          <t>&lt;p&gt;&lt;/p&gt;</t>
        </is>
      </c>
      <c r="O2339" t="inlineStr">
        <is>
          <t>Select Vehicle:Ns08 tts</t>
        </is>
      </c>
      <c r="P2339" t="inlineStr">
        <is>
          <t>Tow Chipper - Jenson - A530L - 55210639484x4 - Isuzu - D-max - NS03 TTSTipper - Mercedes - Sprinter - NS06TTS</t>
        </is>
      </c>
      <c r="Q2339" t="inlineStr">
        <is>
          <t>UKPN</t>
        </is>
      </c>
      <c r="R2339" t="b">
        <v>0</v>
      </c>
    </row>
    <row r="2340">
      <c r="A2340" t="inlineStr">
        <is>
          <t>2 Dec 2025 / 7186 Eastwoodbury Tree Services Ltd / Utilities / UKPN</t>
        </is>
      </c>
      <c r="B2340" t="inlineStr">
        <is>
          <t>Utilities</t>
        </is>
      </c>
      <c r="C2340" t="inlineStr">
        <is>
          <t>UKPN</t>
        </is>
      </c>
      <c r="D2340" t="inlineStr">
        <is>
          <t>WF13 EKT , 4x4 , Land rover  , Defender</t>
        </is>
      </c>
      <c r="E2340" t="inlineStr">
        <is>
          <t>WF13 EKT , 4x4 , Land rover  , Defender</t>
        </is>
      </c>
      <c r="F2340" t="inlineStr">
        <is>
          <t>WF13 EKT , 4x4 , Land rover  , Defender</t>
        </is>
      </c>
      <c r="G2340" t="inlineStr">
        <is>
          <t xml:space="preserve">Tom Price </t>
        </is>
      </c>
      <c r="H2340" t="inlineStr">
        <is>
          <t>4x4</t>
        </is>
      </c>
      <c r="I2340" t="inlineStr">
        <is>
          <t>Daily/ Weekly Vehicle Inspection</t>
        </is>
      </c>
      <c r="J2340" t="inlineStr">
        <is>
          <t>N/A</t>
        </is>
      </c>
      <c r="K2340" t="inlineStr">
        <is>
          <t>7186 Eastwoodbury Tree Services Ltd</t>
        </is>
      </c>
      <c r="L2340" t="inlineStr">
        <is>
          <t>02/12/2025 07:41</t>
        </is>
      </c>
      <c r="M2340" t="inlineStr">
        <is>
          <t>None</t>
        </is>
      </c>
      <c r="N2340" t="inlineStr">
        <is>
          <t>&lt;p&gt;&lt;/p&gt;</t>
        </is>
      </c>
      <c r="O2340" t="inlineStr"/>
      <c r="P2340" t="inlineStr">
        <is>
          <t>WF13 EKT , 4x4 , Land rover  , Defender</t>
        </is>
      </c>
      <c r="Q2340" t="inlineStr">
        <is>
          <t>UKPN</t>
        </is>
      </c>
      <c r="R2340" t="b">
        <v>0</v>
      </c>
    </row>
    <row r="2341">
      <c r="A2341" t="inlineStr">
        <is>
          <t>2 Dec 2025 / Anthony Gale / Utilities / UKPN</t>
        </is>
      </c>
      <c r="B2341" t="inlineStr">
        <is>
          <t>Utilities</t>
        </is>
      </c>
      <c r="C2341" t="inlineStr">
        <is>
          <t>UKPN</t>
        </is>
      </c>
      <c r="D2341" t="inlineStr"/>
      <c r="E2341" t="inlineStr"/>
      <c r="F2341" t="inlineStr"/>
      <c r="G2341" t="inlineStr">
        <is>
          <t>Anthony Gale</t>
        </is>
      </c>
      <c r="H2341" t="inlineStr">
        <is>
          <t>Towed Chipper</t>
        </is>
      </c>
      <c r="I2341" t="inlineStr">
        <is>
          <t>Daily/ Weekly Vehicle Inspection</t>
        </is>
      </c>
      <c r="J2341" t="inlineStr">
        <is>
          <t>N/A</t>
        </is>
      </c>
      <c r="K2341" t="inlineStr">
        <is>
          <t>7996 M G Tree Surgery Ltd 1</t>
        </is>
      </c>
      <c r="L2341" t="inlineStr">
        <is>
          <t>02/12/2025 07:42</t>
        </is>
      </c>
      <c r="M2341" t="inlineStr">
        <is>
          <t>None</t>
        </is>
      </c>
      <c r="N2341" t="inlineStr">
        <is>
          <t>&lt;p&gt;&lt;/p&gt;</t>
        </is>
      </c>
      <c r="O2341" t="inlineStr">
        <is>
          <t>Type of vehicle:Jockey wheel not present, in the process of being fixed.
Still safe to use.
Click not working.</t>
        </is>
      </c>
      <c r="P2341" t="inlineStr"/>
      <c r="Q2341" t="inlineStr">
        <is>
          <t>UKPN</t>
        </is>
      </c>
      <c r="R2341" t="b">
        <v>0</v>
      </c>
    </row>
    <row r="2342">
      <c r="A2342" t="inlineStr">
        <is>
          <t>28 Nov 2025 / Jane Moore / Utilities / NGED</t>
        </is>
      </c>
      <c r="B2342" t="inlineStr">
        <is>
          <t>Utilities</t>
        </is>
      </c>
      <c r="C2342" t="inlineStr">
        <is>
          <t>NGED</t>
        </is>
      </c>
      <c r="D2342" t="inlineStr">
        <is>
          <t>GL20TGZ , Car - Electric , Tesla , Model 3 Long Range AWD</t>
        </is>
      </c>
      <c r="E2342" t="inlineStr">
        <is>
          <t>GL20TGZ , Car - Electric , Tesla , Model 3 Long Range AWD</t>
        </is>
      </c>
      <c r="F2342" t="inlineStr">
        <is>
          <t>GL20TGZ , Car - Electric , Tesla , Model 3 Long Range AWD</t>
        </is>
      </c>
      <c r="G2342" t="inlineStr">
        <is>
          <t xml:space="preserve">Jane Moore </t>
        </is>
      </c>
      <c r="H2342" t="inlineStr">
        <is>
          <t>Car - Electric (GC Owned)</t>
        </is>
      </c>
      <c r="I2342" t="inlineStr">
        <is>
          <t>Daily/ Weekly Vehicle Inspection</t>
        </is>
      </c>
      <c r="J2342" t="inlineStr">
        <is>
          <t>N/A</t>
        </is>
      </c>
      <c r="K2342" t="inlineStr">
        <is>
          <t>Jane Moore</t>
        </is>
      </c>
      <c r="L2342" t="inlineStr">
        <is>
          <t>02/12/2025 08:37</t>
        </is>
      </c>
      <c r="M2342" t="inlineStr">
        <is>
          <t>None</t>
        </is>
      </c>
      <c r="N2342" t="inlineStr">
        <is>
          <t>&lt;p&gt;&lt;/p&gt;</t>
        </is>
      </c>
      <c r="O2342" t="inlineStr">
        <is>
          <t>Confirm that you have checked this vehicle as per the guidance document and the vehicle is safe and roadworthy:Defects previoulsy noted in vehicle audits remain from when collected car from Billericay
-</t>
        </is>
      </c>
      <c r="P2342" t="inlineStr">
        <is>
          <t>GL20TGZ , Car - Electric , Tesla , Model 3 Long Range AWD</t>
        </is>
      </c>
      <c r="Q2342" t="inlineStr">
        <is>
          <t>NGED</t>
        </is>
      </c>
      <c r="R2342" t="b">
        <v>0</v>
      </c>
    </row>
    <row r="2343">
      <c r="A2343" t="inlineStr">
        <is>
          <t>2 Dec 2025 / 7951 Austin Tree Care LTD 1 / Utilities / UKPN</t>
        </is>
      </c>
      <c r="B2343" t="inlineStr">
        <is>
          <t>Utilities</t>
        </is>
      </c>
      <c r="C2343" t="inlineStr">
        <is>
          <t>UKPN</t>
        </is>
      </c>
      <c r="D2343" t="inlineStr">
        <is>
          <t>WF61 HZV , 4x4 MEWP , Land Rover , Defender</t>
        </is>
      </c>
      <c r="E2343" t="inlineStr">
        <is>
          <t>WF61 HZV , 4x4 MEWP , Land Rover , Defender</t>
        </is>
      </c>
      <c r="F2343" t="inlineStr">
        <is>
          <t>WF61 HZV , 4x4 MEWP , Land Rover , Defender</t>
        </is>
      </c>
      <c r="G2343" t="inlineStr">
        <is>
          <t xml:space="preserve">Jack Austin </t>
        </is>
      </c>
      <c r="H2343" t="inlineStr">
        <is>
          <t>4x4</t>
        </is>
      </c>
      <c r="I2343" t="inlineStr">
        <is>
          <t>Daily/ Weekly Vehicle Inspection</t>
        </is>
      </c>
      <c r="J2343" t="inlineStr">
        <is>
          <t>N/A</t>
        </is>
      </c>
      <c r="K2343" t="inlineStr">
        <is>
          <t>7951 Austin Tree Care LTD 1</t>
        </is>
      </c>
      <c r="L2343" t="inlineStr">
        <is>
          <t>02/12/2025 08:43</t>
        </is>
      </c>
      <c r="M2343" t="inlineStr">
        <is>
          <t>None</t>
        </is>
      </c>
      <c r="N2343" t="inlineStr">
        <is>
          <t>&lt;p&gt;&lt;/p&gt;</t>
        </is>
      </c>
      <c r="O2343" t="inlineStr"/>
      <c r="P2343" t="inlineStr">
        <is>
          <t>WF61 HZV , 4x4 MEWP , Land Rover , Defender</t>
        </is>
      </c>
      <c r="Q2343" t="inlineStr">
        <is>
          <t>UKPN</t>
        </is>
      </c>
      <c r="R2343" t="b">
        <v>0</v>
      </c>
    </row>
    <row r="2344">
      <c r="A2344" t="inlineStr">
        <is>
          <t>2 Dec 2025 / Anthony Gale / Utilities / UKPN</t>
        </is>
      </c>
      <c r="B2344" t="inlineStr">
        <is>
          <t>Utilities</t>
        </is>
      </c>
      <c r="C2344" t="inlineStr">
        <is>
          <t>UKPN</t>
        </is>
      </c>
      <c r="D2344" t="inlineStr"/>
      <c r="E2344" t="inlineStr"/>
      <c r="F2344" t="inlineStr"/>
      <c r="G2344" t="inlineStr">
        <is>
          <t>Anthony Gale</t>
        </is>
      </c>
      <c r="H2344" t="inlineStr">
        <is>
          <t>Towed Chipper</t>
        </is>
      </c>
      <c r="I2344" t="inlineStr">
        <is>
          <t>Daily/ Weekly Vehicle Inspection</t>
        </is>
      </c>
      <c r="J2344" t="inlineStr">
        <is>
          <t>N/A</t>
        </is>
      </c>
      <c r="K2344" t="inlineStr">
        <is>
          <t>7996 M G Tree Surgery Ltd 1</t>
        </is>
      </c>
      <c r="L2344" t="inlineStr">
        <is>
          <t>02/12/2025 09:36</t>
        </is>
      </c>
      <c r="M2344" t="inlineStr">
        <is>
          <t>None</t>
        </is>
      </c>
      <c r="N2344" t="inlineStr">
        <is>
          <t>&lt;p&gt;&lt;/p&gt;</t>
        </is>
      </c>
      <c r="O2344" t="inlineStr">
        <is>
          <t>Type of vehicle:Jockey wheel not present, in the process of being fixed.
Still safe to use.
Click not working.</t>
        </is>
      </c>
      <c r="P2344" t="inlineStr"/>
      <c r="Q2344" t="inlineStr">
        <is>
          <t>UKPN</t>
        </is>
      </c>
      <c r="R2344" t="b">
        <v>0</v>
      </c>
    </row>
    <row r="2345">
      <c r="A2345" t="inlineStr">
        <is>
          <t>2 Dec 2025 / 7800 MAC Tree Surgery and Fencing Ltd / Utilities / UKPN</t>
        </is>
      </c>
      <c r="B2345" t="inlineStr">
        <is>
          <t>Utilities</t>
        </is>
      </c>
      <c r="C2345" t="inlineStr">
        <is>
          <t>UKPN</t>
        </is>
      </c>
      <c r="D2345" t="inlineStr">
        <is>
          <t>Plant Trailer - Towmate - 2.8t - 0</t>
        </is>
      </c>
      <c r="E2345" t="inlineStr">
        <is>
          <t>Plant Trailer - Towmate - 2.8t - 0</t>
        </is>
      </c>
      <c r="F2345" t="inlineStr">
        <is>
          <t>Plant Trailer - Towmate - 2.8t - 0</t>
        </is>
      </c>
      <c r="G2345" t="inlineStr">
        <is>
          <t xml:space="preserve">Patrick O'Shea </t>
        </is>
      </c>
      <c r="H2345" t="inlineStr">
        <is>
          <t>Plant Trailer</t>
        </is>
      </c>
      <c r="I2345" t="inlineStr">
        <is>
          <t>Daily/ Weekly Vehicle Inspection</t>
        </is>
      </c>
      <c r="J2345" t="inlineStr">
        <is>
          <t>N/A</t>
        </is>
      </c>
      <c r="K2345" t="inlineStr">
        <is>
          <t>7800 MAC Tree Surgery and Fencing Ltd</t>
        </is>
      </c>
      <c r="L2345" t="inlineStr">
        <is>
          <t>02/12/2025 09:37</t>
        </is>
      </c>
      <c r="M2345" t="inlineStr">
        <is>
          <t>None</t>
        </is>
      </c>
      <c r="N2345" t="inlineStr">
        <is>
          <t>&lt;p&gt;&lt;/p&gt;</t>
        </is>
      </c>
      <c r="O2345" t="inlineStr"/>
      <c r="P2345" t="inlineStr">
        <is>
          <t>Plant Trailer - Towmate - 2.8t - 0</t>
        </is>
      </c>
      <c r="Q2345" t="inlineStr">
        <is>
          <t>UKPN</t>
        </is>
      </c>
      <c r="R2345" t="b">
        <v>0</v>
      </c>
    </row>
    <row r="2346">
      <c r="A2346" t="inlineStr">
        <is>
          <t>2 Dec 2025 / 7800 MAC Tree Surgery and Fencing Ltd / Utilities / UKPN</t>
        </is>
      </c>
      <c r="B2346" t="inlineStr">
        <is>
          <t>Utilities</t>
        </is>
      </c>
      <c r="C2346" t="inlineStr">
        <is>
          <t>UKPN</t>
        </is>
      </c>
      <c r="D2346" t="inlineStr">
        <is>
          <t>AY68DAA , 4x4 , Izuzu , Dmax</t>
        </is>
      </c>
      <c r="E2346" t="inlineStr">
        <is>
          <t>AY68DAA , 4x4 , Izuzu , Dmax</t>
        </is>
      </c>
      <c r="F2346" t="inlineStr">
        <is>
          <t>AY68DAA , 4x4 , Izuzu , Dmax</t>
        </is>
      </c>
      <c r="G2346" t="inlineStr">
        <is>
          <t xml:space="preserve">Patrick O'Shea </t>
        </is>
      </c>
      <c r="H2346" t="inlineStr">
        <is>
          <t>4x4</t>
        </is>
      </c>
      <c r="I2346" t="inlineStr">
        <is>
          <t>Daily/ Weekly Vehicle Inspection</t>
        </is>
      </c>
      <c r="J2346" t="inlineStr">
        <is>
          <t>N/A</t>
        </is>
      </c>
      <c r="K2346" t="inlineStr">
        <is>
          <t>7800 MAC Tree Surgery and Fencing Ltd</t>
        </is>
      </c>
      <c r="L2346" t="inlineStr">
        <is>
          <t>02/12/2025 09:38</t>
        </is>
      </c>
      <c r="M2346" t="inlineStr">
        <is>
          <t>None</t>
        </is>
      </c>
      <c r="N2346" t="inlineStr">
        <is>
          <t>&lt;p&gt;&lt;/p&gt;</t>
        </is>
      </c>
      <c r="O2346" t="inlineStr"/>
      <c r="P2346" t="inlineStr">
        <is>
          <t>AY68DAA , 4x4 , Izuzu , Dmax</t>
        </is>
      </c>
      <c r="Q2346" t="inlineStr">
        <is>
          <t>UKPN</t>
        </is>
      </c>
      <c r="R2346" t="b">
        <v>0</v>
      </c>
    </row>
    <row r="2347">
      <c r="A2347" t="inlineStr">
        <is>
          <t>2 Dec 2025 / Thomas Nandi / Utilities / SSE</t>
        </is>
      </c>
      <c r="B2347" t="inlineStr">
        <is>
          <t>Utilities</t>
        </is>
      </c>
      <c r="C2347" t="inlineStr">
        <is>
          <t>SSE</t>
        </is>
      </c>
      <c r="D2347" t="inlineStr"/>
      <c r="E2347" t="inlineStr"/>
      <c r="F2347" t="inlineStr"/>
      <c r="G2347" t="inlineStr">
        <is>
          <t xml:space="preserve">Tom Nandi </t>
        </is>
      </c>
      <c r="H2347" t="inlineStr">
        <is>
          <t>Car - Petrol</t>
        </is>
      </c>
      <c r="I2347" t="inlineStr">
        <is>
          <t>Monthly Vehicle Inspection</t>
        </is>
      </c>
      <c r="J2347" t="inlineStr">
        <is>
          <t>2934</t>
        </is>
      </c>
      <c r="K2347" t="inlineStr">
        <is>
          <t>Thomas Nandi</t>
        </is>
      </c>
      <c r="L2347" t="inlineStr">
        <is>
          <t>02/12/2025 09:39</t>
        </is>
      </c>
      <c r="M2347" t="inlineStr">
        <is>
          <t>None</t>
        </is>
      </c>
      <c r="N2347" t="inlineStr">
        <is>
          <t>&lt;p&gt;&lt;a href="https&amp;#58;//apps.powerapps.com/play/2d567dc9-5d50-4629-a077-f7ccbff3e239?tenantId=3ef9f654-aa07-41b8-88ad-a411c62bd12c&amp;amp;Action=Open&amp;amp;Actionno=7473"&gt;Top up washer fluid&lt;/a&gt;&lt;br&gt;&lt;/p&gt;</t>
        </is>
      </c>
      <c r="O2347" t="inlineStr">
        <is>
          <t>FLUIDS
What to Check:
Is the brake fluid level correct?
Is the hydraulics level correct?
Is the coolant level correct?
Is the engine oil level correct?
Is the windscreen wiper fluid correct?
Are there any apparent leaks?
How: Open the respective fluid reservoirs and visually check fluid levels. Use dipsticks or level indicators where applicable. Inspect for any signs of leaks under the vehicle or around engine components.
Why: Proper fluid levels ensure optimal vehicle performance and longevity of mechanical components. Low fluid levels can lead to engine overheating, brake failure, or compromised visibility. Checking for leaks prevents potential damage and maintains environmental safety.:Top up washer fluid
-</t>
        </is>
      </c>
      <c r="P2347" t="inlineStr"/>
      <c r="Q2347" t="inlineStr">
        <is>
          <t>SSE</t>
        </is>
      </c>
      <c r="R2347" t="b">
        <v>0</v>
      </c>
    </row>
    <row r="2348">
      <c r="A2348" t="inlineStr">
        <is>
          <t>2 Dec 2025 / 7996 M G Tree Surgery Ltd / Utilities / UKPN</t>
        </is>
      </c>
      <c r="B2348" t="inlineStr">
        <is>
          <t>Utilities</t>
        </is>
      </c>
      <c r="C2348" t="inlineStr">
        <is>
          <t>UKPN</t>
        </is>
      </c>
      <c r="D2348" t="inlineStr">
        <is>
          <t>GU13 WNL , MEWP , Land Rover , Defender 130</t>
        </is>
      </c>
      <c r="E2348" t="inlineStr">
        <is>
          <t>GU13 WNL , MEWP , Land Rover , Defender 130</t>
        </is>
      </c>
      <c r="F2348" t="inlineStr">
        <is>
          <t>GU13 WNL , MEWP , Land Rover , Defender 130</t>
        </is>
      </c>
      <c r="G2348" t="inlineStr">
        <is>
          <t>Max</t>
        </is>
      </c>
      <c r="H2348" t="inlineStr">
        <is>
          <t>4x4</t>
        </is>
      </c>
      <c r="I2348" t="inlineStr">
        <is>
          <t>Daily/ Weekly Vehicle Inspection</t>
        </is>
      </c>
      <c r="J2348" t="inlineStr">
        <is>
          <t>N/A</t>
        </is>
      </c>
      <c r="K2348" t="inlineStr">
        <is>
          <t>7996 M G Tree Surgery Ltd</t>
        </is>
      </c>
      <c r="L2348" t="inlineStr">
        <is>
          <t>02/12/2025 09:41</t>
        </is>
      </c>
      <c r="M2348" t="inlineStr">
        <is>
          <t>None</t>
        </is>
      </c>
      <c r="N2348" t="inlineStr">
        <is>
          <t>&lt;p&gt;&lt;/p&gt;</t>
        </is>
      </c>
      <c r="O2348" t="inlineStr"/>
      <c r="P2348" t="inlineStr">
        <is>
          <t>GU13 WNL , MEWP , Land Rover , Defender 130</t>
        </is>
      </c>
      <c r="Q2348" t="inlineStr">
        <is>
          <t>UKPN</t>
        </is>
      </c>
      <c r="R2348" t="b">
        <v>0</v>
      </c>
    </row>
    <row r="2349">
      <c r="A2349" t="inlineStr">
        <is>
          <t>2 Dec 2025 / Thomas Playford / Utilities / UKPN</t>
        </is>
      </c>
      <c r="B2349" t="inlineStr">
        <is>
          <t>Utilities</t>
        </is>
      </c>
      <c r="C2349" t="inlineStr">
        <is>
          <t>UKPN</t>
        </is>
      </c>
      <c r="D2349" t="inlineStr">
        <is>
          <t>SA9ST800000283944 , Tow Chipper , Forst , ST8D - Towed</t>
        </is>
      </c>
      <c r="E2349" t="inlineStr">
        <is>
          <t>SA9ST800000283944 , Tow Chipper , Forst , ST8D - Towed</t>
        </is>
      </c>
      <c r="F2349" t="inlineStr">
        <is>
          <t>SA9ST800000283944 , Tow Chipper , Forst , ST8D - Towed</t>
        </is>
      </c>
      <c r="G2349" t="inlineStr">
        <is>
          <t>Thomas Playford</t>
        </is>
      </c>
      <c r="H2349" t="inlineStr">
        <is>
          <t>Towed Chipper</t>
        </is>
      </c>
      <c r="I2349" t="inlineStr">
        <is>
          <t>Daily/ Weekly Vehicle Inspection</t>
        </is>
      </c>
      <c r="J2349" t="inlineStr">
        <is>
          <t>N/A</t>
        </is>
      </c>
      <c r="K2349" t="inlineStr">
        <is>
          <t>7995 Green Net Eco Ltd 2</t>
        </is>
      </c>
      <c r="L2349" t="inlineStr">
        <is>
          <t>02/12/2025 10:35</t>
        </is>
      </c>
      <c r="M2349" t="inlineStr">
        <is>
          <t>None</t>
        </is>
      </c>
      <c r="N2349" t="inlineStr">
        <is>
          <t>&lt;p&gt;&lt;/p&gt;</t>
        </is>
      </c>
      <c r="O2349" t="inlineStr"/>
      <c r="P2349" t="inlineStr">
        <is>
          <t>SA9ST800000283944 , Tow Chipper , Forst , ST8D - Towed</t>
        </is>
      </c>
      <c r="Q2349" t="inlineStr">
        <is>
          <t>UKPN</t>
        </is>
      </c>
      <c r="R2349" t="b">
        <v>0</v>
      </c>
    </row>
    <row r="2350">
      <c r="A2350" t="inlineStr">
        <is>
          <t>2 Dec 2025 / Thomas Playford / Utilities / UKPN</t>
        </is>
      </c>
      <c r="B2350" t="inlineStr">
        <is>
          <t>Utilities</t>
        </is>
      </c>
      <c r="C2350" t="inlineStr">
        <is>
          <t>UKPN</t>
        </is>
      </c>
      <c r="D2350" t="inlineStr">
        <is>
          <t>LK15KRZ , 4x4 , Landrover , Defender</t>
        </is>
      </c>
      <c r="E2350" t="inlineStr">
        <is>
          <t>LK15KRZ , 4x4 , Landrover , Defender</t>
        </is>
      </c>
      <c r="F2350" t="inlineStr">
        <is>
          <t>LK15KRZ , 4x4 , Landrover , Defender</t>
        </is>
      </c>
      <c r="G2350" t="inlineStr">
        <is>
          <t>Thomas Playford</t>
        </is>
      </c>
      <c r="H2350" t="inlineStr">
        <is>
          <t>4x4</t>
        </is>
      </c>
      <c r="I2350" t="inlineStr">
        <is>
          <t>Daily/ Weekly Vehicle Inspection</t>
        </is>
      </c>
      <c r="J2350" t="inlineStr">
        <is>
          <t>N/A</t>
        </is>
      </c>
      <c r="K2350" t="inlineStr">
        <is>
          <t>7995 Green Net Eco Ltd 2</t>
        </is>
      </c>
      <c r="L2350" t="inlineStr">
        <is>
          <t>02/12/2025 10:37</t>
        </is>
      </c>
      <c r="M2350" t="inlineStr">
        <is>
          <t>None</t>
        </is>
      </c>
      <c r="N2350" t="inlineStr">
        <is>
          <t>&lt;p&gt;&lt;/p&gt;</t>
        </is>
      </c>
      <c r="O2350" t="inlineStr"/>
      <c r="P2350" t="inlineStr">
        <is>
          <t>LK15KRZ , 4x4 , Landrover , Defender</t>
        </is>
      </c>
      <c r="Q2350" t="inlineStr">
        <is>
          <t>UKPN</t>
        </is>
      </c>
      <c r="R2350" t="b">
        <v>0</v>
      </c>
    </row>
    <row r="2351">
      <c r="A2351" t="inlineStr">
        <is>
          <t>30 Nov 2025 / Mike Corran / Utilities / NGED</t>
        </is>
      </c>
      <c r="B2351" t="inlineStr">
        <is>
          <t>Utilities</t>
        </is>
      </c>
      <c r="C2351" t="inlineStr">
        <is>
          <t>NGED</t>
        </is>
      </c>
      <c r="D2351" t="inlineStr">
        <is>
          <t>AJ72EWN , Car - Electric , Tesla , Y</t>
        </is>
      </c>
      <c r="E2351" t="inlineStr">
        <is>
          <t>AJ72EWN , Car - Electric , Tesla , Y</t>
        </is>
      </c>
      <c r="F2351" t="inlineStr">
        <is>
          <t>AJ72EWN , Car - Electric , Tesla , Y</t>
        </is>
      </c>
      <c r="G2351" t="inlineStr">
        <is>
          <t>Mike corran</t>
        </is>
      </c>
      <c r="H2351" t="inlineStr">
        <is>
          <t>Car - Electric (GC Owned)</t>
        </is>
      </c>
      <c r="I2351" t="inlineStr">
        <is>
          <t>Daily/ Weekly Vehicle Inspection</t>
        </is>
      </c>
      <c r="J2351" t="inlineStr">
        <is>
          <t>N/A</t>
        </is>
      </c>
      <c r="K2351" t="inlineStr">
        <is>
          <t>Mike Corran</t>
        </is>
      </c>
      <c r="L2351" t="inlineStr">
        <is>
          <t>02/12/2025 14:35</t>
        </is>
      </c>
      <c r="M2351" t="inlineStr">
        <is>
          <t>None</t>
        </is>
      </c>
      <c r="N2351" t="inlineStr">
        <is>
          <t>&lt;p&gt;&lt;/p&gt;</t>
        </is>
      </c>
      <c r="O2351" t="inlineStr"/>
      <c r="P2351" t="inlineStr">
        <is>
          <t>AJ72EWN , Car - Electric , Tesla , Y</t>
        </is>
      </c>
      <c r="Q2351" t="inlineStr">
        <is>
          <t>NGED</t>
        </is>
      </c>
      <c r="R2351" t="b">
        <v>0</v>
      </c>
    </row>
    <row r="2352">
      <c r="A2352" t="inlineStr">
        <is>
          <t>3 Dec 2025 / 7806 Optimum Tree Services Ltd / Utilities / UKPN</t>
        </is>
      </c>
      <c r="B2352" t="inlineStr">
        <is>
          <t>Utilities</t>
        </is>
      </c>
      <c r="C2352" t="inlineStr">
        <is>
          <t>UKPN</t>
        </is>
      </c>
      <c r="D2352" t="inlineStr">
        <is>
          <t>SA9TAPLAF27414263 , Trailer , Tow Mate , Plant Trailer</t>
        </is>
      </c>
      <c r="E2352" t="inlineStr">
        <is>
          <t>SA9TAPLAF27414263 , Trailer , Tow Mate , Plant Trailer</t>
        </is>
      </c>
      <c r="F2352" t="inlineStr">
        <is>
          <t>SA9TAPLAF27414263 , Trailer , Tow Mate , Plant Trailer</t>
        </is>
      </c>
      <c r="G2352" t="inlineStr">
        <is>
          <t xml:space="preserve">Lewis Davies </t>
        </is>
      </c>
      <c r="H2352" t="inlineStr">
        <is>
          <t>Plant Trailer</t>
        </is>
      </c>
      <c r="I2352" t="inlineStr">
        <is>
          <t>Daily/ Weekly Vehicle Inspection</t>
        </is>
      </c>
      <c r="J2352" t="inlineStr">
        <is>
          <t>N/A</t>
        </is>
      </c>
      <c r="K2352" t="inlineStr">
        <is>
          <t>7806 Optimum Tree Services Ltd</t>
        </is>
      </c>
      <c r="L2352" t="inlineStr">
        <is>
          <t>03/12/2025 07:35</t>
        </is>
      </c>
      <c r="M2352" t="inlineStr">
        <is>
          <t>None</t>
        </is>
      </c>
      <c r="N2352" t="inlineStr">
        <is>
          <t>&lt;p&gt;&lt;/p&gt;</t>
        </is>
      </c>
      <c r="O2352" t="inlineStr"/>
      <c r="P2352" t="inlineStr">
        <is>
          <t>SA9TAPLAF27414263 , Trailer , Tow Mate , Plant Trailer</t>
        </is>
      </c>
      <c r="Q2352" t="inlineStr">
        <is>
          <t>UKPN</t>
        </is>
      </c>
      <c r="R2352" t="b">
        <v>0</v>
      </c>
    </row>
    <row r="2353">
      <c r="A2353" t="inlineStr">
        <is>
          <t>3 Dec 2025 / 7186 Eastwoodbury Tree Services Ltd / Utilities / UKPN</t>
        </is>
      </c>
      <c r="B2353" t="inlineStr">
        <is>
          <t>Utilities</t>
        </is>
      </c>
      <c r="C2353" t="inlineStr">
        <is>
          <t>UKPN</t>
        </is>
      </c>
      <c r="D2353" t="inlineStr">
        <is>
          <t>DE53NKS , 4x4 , Ford , Ranger</t>
        </is>
      </c>
      <c r="E2353" t="inlineStr">
        <is>
          <t>DE53NKS , 4x4 , Ford , Ranger</t>
        </is>
      </c>
      <c r="F2353" t="inlineStr">
        <is>
          <t>DE53NKS , 4x4 , Ford , Ranger</t>
        </is>
      </c>
      <c r="G2353" t="inlineStr">
        <is>
          <t xml:space="preserve">Jay Denkmayer </t>
        </is>
      </c>
      <c r="H2353" t="inlineStr">
        <is>
          <t>Pickup Truck</t>
        </is>
      </c>
      <c r="I2353" t="inlineStr">
        <is>
          <t>Daily/ Weekly Vehicle Inspection</t>
        </is>
      </c>
      <c r="J2353" t="inlineStr">
        <is>
          <t>N/A</t>
        </is>
      </c>
      <c r="K2353" t="inlineStr">
        <is>
          <t>7186 Eastwoodbury Tree Services Ltd</t>
        </is>
      </c>
      <c r="L2353" t="inlineStr">
        <is>
          <t>03/12/2025 07:36</t>
        </is>
      </c>
      <c r="M2353" t="inlineStr">
        <is>
          <t>None</t>
        </is>
      </c>
      <c r="N2353" t="inlineStr">
        <is>
          <t>&lt;p&gt;&lt;/p&gt;</t>
        </is>
      </c>
      <c r="O2353" t="inlineStr"/>
      <c r="P2353" t="inlineStr">
        <is>
          <t>DE53NKS , 4x4 , Ford , Ranger</t>
        </is>
      </c>
      <c r="Q2353" t="inlineStr">
        <is>
          <t>UKPN</t>
        </is>
      </c>
      <c r="R2353" t="b">
        <v>0</v>
      </c>
    </row>
    <row r="2354">
      <c r="A2354" t="inlineStr">
        <is>
          <t>3 Dec 2025 / 7186 Eastwoodbury Tree Services Ltd / Utilities / UKPN</t>
        </is>
      </c>
      <c r="B2354" t="inlineStr">
        <is>
          <t>Utilities</t>
        </is>
      </c>
      <c r="C2354" t="inlineStr">
        <is>
          <t>UKPN</t>
        </is>
      </c>
      <c r="D2354" t="inlineStr">
        <is>
          <t>WF13 EKM , 4x4 , Land rover  , Defenders</t>
        </is>
      </c>
      <c r="E2354" t="inlineStr">
        <is>
          <t>WF13 EKM , 4x4 , Land rover  , Defenders</t>
        </is>
      </c>
      <c r="F2354" t="inlineStr">
        <is>
          <t>WF13 EKM , 4x4 , Land rover  , Defenders</t>
        </is>
      </c>
      <c r="G2354" t="inlineStr">
        <is>
          <t xml:space="preserve">Dan Gilbert </t>
        </is>
      </c>
      <c r="H2354" t="inlineStr">
        <is>
          <t>4x4</t>
        </is>
      </c>
      <c r="I2354" t="inlineStr">
        <is>
          <t>Daily/ Weekly Vehicle Inspection</t>
        </is>
      </c>
      <c r="J2354" t="inlineStr">
        <is>
          <t>N/A</t>
        </is>
      </c>
      <c r="K2354" t="inlineStr">
        <is>
          <t>7186 Eastwoodbury Tree Services Ltd</t>
        </is>
      </c>
      <c r="L2354" t="inlineStr">
        <is>
          <t>03/12/2025 07:37</t>
        </is>
      </c>
      <c r="M2354" t="inlineStr">
        <is>
          <t>None</t>
        </is>
      </c>
      <c r="N2354" t="inlineStr">
        <is>
          <t>&lt;p&gt;&lt;/p&gt;</t>
        </is>
      </c>
      <c r="O2354" t="inlineStr"/>
      <c r="P2354" t="inlineStr">
        <is>
          <t>WF13 EKM , 4x4 , Land rover  , Defenders</t>
        </is>
      </c>
      <c r="Q2354" t="inlineStr">
        <is>
          <t>UKPN</t>
        </is>
      </c>
      <c r="R2354" t="b">
        <v>0</v>
      </c>
    </row>
    <row r="2355">
      <c r="A2355" t="inlineStr">
        <is>
          <t>3 Dec 2025 / 7806 Optimum Tree Services Ltd / Utilities / UKPN</t>
        </is>
      </c>
      <c r="B2355" t="inlineStr">
        <is>
          <t>Utilities</t>
        </is>
      </c>
      <c r="C2355" t="inlineStr">
        <is>
          <t>UKPN</t>
        </is>
      </c>
      <c r="D2355" t="inlineStr">
        <is>
          <t>NA10SYZ , Tipper , Ford , Transit</t>
        </is>
      </c>
      <c r="E2355" t="inlineStr">
        <is>
          <t>NA10SYZ , Tipper , Ford , Transit</t>
        </is>
      </c>
      <c r="F2355" t="inlineStr">
        <is>
          <t>NA10SYZ , Tipper , Ford , Transit</t>
        </is>
      </c>
      <c r="G2355" t="inlineStr">
        <is>
          <t xml:space="preserve">Lewis Davies </t>
        </is>
      </c>
      <c r="H2355" t="inlineStr">
        <is>
          <t>Tipper</t>
        </is>
      </c>
      <c r="I2355" t="inlineStr">
        <is>
          <t>Daily/ Weekly Vehicle Inspection</t>
        </is>
      </c>
      <c r="J2355" t="inlineStr">
        <is>
          <t>N/A</t>
        </is>
      </c>
      <c r="K2355" t="inlineStr">
        <is>
          <t>7806 Optimum Tree Services Ltd</t>
        </is>
      </c>
      <c r="L2355" t="inlineStr">
        <is>
          <t>03/12/2025 07:37</t>
        </is>
      </c>
      <c r="M2355" t="inlineStr">
        <is>
          <t>None</t>
        </is>
      </c>
      <c r="N2355" t="inlineStr">
        <is>
          <t>&lt;p&gt;&lt;/p&gt;</t>
        </is>
      </c>
      <c r="O2355" t="inlineStr"/>
      <c r="P2355" t="inlineStr">
        <is>
          <t>NA10SYZ , Tipper , Ford , Transit</t>
        </is>
      </c>
      <c r="Q2355" t="inlineStr">
        <is>
          <t>UKPN</t>
        </is>
      </c>
      <c r="R2355" t="b">
        <v>0</v>
      </c>
    </row>
    <row r="2356">
      <c r="A2356" t="inlineStr">
        <is>
          <t>3 Dec 2025 / 7186 Eastwoodbury Tree Services Ltd / Utilities / UKPN</t>
        </is>
      </c>
      <c r="B2356" t="inlineStr">
        <is>
          <t>Utilities</t>
        </is>
      </c>
      <c r="C2356" t="inlineStr">
        <is>
          <t>UKPN</t>
        </is>
      </c>
      <c r="D2356" t="inlineStr">
        <is>
          <t>WF13 EKT , 4x4 , Land rover  , Defender</t>
        </is>
      </c>
      <c r="E2356" t="inlineStr">
        <is>
          <t>WF13 EKT , 4x4 , Land rover  , Defender</t>
        </is>
      </c>
      <c r="F2356" t="inlineStr">
        <is>
          <t>WF13 EKT , 4x4 , Land rover  , Defender</t>
        </is>
      </c>
      <c r="G2356" t="inlineStr">
        <is>
          <t xml:space="preserve">Tom Price </t>
        </is>
      </c>
      <c r="H2356" t="inlineStr">
        <is>
          <t>4x4</t>
        </is>
      </c>
      <c r="I2356" t="inlineStr">
        <is>
          <t>Daily/ Weekly Vehicle Inspection</t>
        </is>
      </c>
      <c r="J2356" t="inlineStr">
        <is>
          <t>N/A</t>
        </is>
      </c>
      <c r="K2356" t="inlineStr">
        <is>
          <t>7186 Eastwoodbury Tree Services Ltd</t>
        </is>
      </c>
      <c r="L2356" t="inlineStr">
        <is>
          <t>03/12/2025 07:38</t>
        </is>
      </c>
      <c r="M2356" t="inlineStr">
        <is>
          <t>None</t>
        </is>
      </c>
      <c r="N2356" t="inlineStr">
        <is>
          <t>&lt;p&gt;&lt;/p&gt;</t>
        </is>
      </c>
      <c r="O2356" t="inlineStr"/>
      <c r="P2356" t="inlineStr">
        <is>
          <t>WF13 EKT , 4x4 , Land rover  , Defender</t>
        </is>
      </c>
      <c r="Q2356" t="inlineStr">
        <is>
          <t>UKPN</t>
        </is>
      </c>
      <c r="R2356" t="b">
        <v>0</v>
      </c>
    </row>
    <row r="2357">
      <c r="A2357" t="inlineStr">
        <is>
          <t>3 Dec 2025 / 7951 Austin Tree Care LTD / Utilities / UKPN</t>
        </is>
      </c>
      <c r="B2357" t="inlineStr">
        <is>
          <t>Utilities</t>
        </is>
      </c>
      <c r="C2357" t="inlineStr">
        <is>
          <t>UKPN</t>
        </is>
      </c>
      <c r="D2357" t="inlineStr">
        <is>
          <t>SA9ST6P0001283612 , Tow Chipper , Forst , ST6p</t>
        </is>
      </c>
      <c r="E2357" t="inlineStr">
        <is>
          <t>SA9ST6P0001283612 , Tow Chipper , Forst , ST6p</t>
        </is>
      </c>
      <c r="F2357" t="inlineStr">
        <is>
          <t>SA9ST6P0001283612 , Tow Chipper , Forst , ST6p</t>
        </is>
      </c>
      <c r="G2357" t="inlineStr">
        <is>
          <t xml:space="preserve">Jack Austin </t>
        </is>
      </c>
      <c r="H2357" t="inlineStr">
        <is>
          <t>Towed Chipper</t>
        </is>
      </c>
      <c r="I2357" t="inlineStr">
        <is>
          <t>Daily/ Weekly Vehicle Inspection</t>
        </is>
      </c>
      <c r="J2357" t="inlineStr">
        <is>
          <t>N/A</t>
        </is>
      </c>
      <c r="K2357" t="inlineStr">
        <is>
          <t>7951 Austin Tree Care LTD</t>
        </is>
      </c>
      <c r="L2357" t="inlineStr">
        <is>
          <t>03/12/2025 07:38</t>
        </is>
      </c>
      <c r="M2357" t="inlineStr">
        <is>
          <t>None</t>
        </is>
      </c>
      <c r="N2357" t="inlineStr">
        <is>
          <t>&lt;p&gt;&lt;/p&gt;</t>
        </is>
      </c>
      <c r="O2357" t="inlineStr"/>
      <c r="P2357" t="inlineStr">
        <is>
          <t>SA9ST6P0001283612 , Tow Chipper , Forst , ST6p</t>
        </is>
      </c>
      <c r="Q2357" t="inlineStr">
        <is>
          <t>UKPN</t>
        </is>
      </c>
      <c r="R2357" t="b">
        <v>0</v>
      </c>
    </row>
    <row r="2358">
      <c r="A2358" t="inlineStr">
        <is>
          <t>3 Dec 2025 / 7806 Optimum Tree Services Ltd / Utilities / UKPN</t>
        </is>
      </c>
      <c r="B2358" t="inlineStr">
        <is>
          <t>Utilities</t>
        </is>
      </c>
      <c r="C2358" t="inlineStr">
        <is>
          <t>UKPN</t>
        </is>
      </c>
      <c r="D2358" t="inlineStr">
        <is>
          <t>Wd14evn , 4x4 , Landrover  , Defender</t>
        </is>
      </c>
      <c r="E2358" t="inlineStr">
        <is>
          <t>Wd14evn , 4x4 , Landrover  , Defender</t>
        </is>
      </c>
      <c r="F2358" t="inlineStr">
        <is>
          <t>Wd14evn , 4x4 , Landrover  , Defender</t>
        </is>
      </c>
      <c r="G2358" t="inlineStr">
        <is>
          <t xml:space="preserve">Abraham Davies </t>
        </is>
      </c>
      <c r="H2358" t="inlineStr">
        <is>
          <t>4x4</t>
        </is>
      </c>
      <c r="I2358" t="inlineStr">
        <is>
          <t>Daily/ Weekly Vehicle Inspection</t>
        </is>
      </c>
      <c r="J2358" t="inlineStr">
        <is>
          <t>N/A</t>
        </is>
      </c>
      <c r="K2358" t="inlineStr">
        <is>
          <t>7806 Optimum Tree Services Ltd</t>
        </is>
      </c>
      <c r="L2358" t="inlineStr">
        <is>
          <t>03/12/2025 07:39</t>
        </is>
      </c>
      <c r="M2358" t="inlineStr">
        <is>
          <t>None</t>
        </is>
      </c>
      <c r="N2358" t="inlineStr">
        <is>
          <t>&lt;p&gt;&lt;/p&gt;</t>
        </is>
      </c>
      <c r="O2358" t="inlineStr"/>
      <c r="P2358" t="inlineStr">
        <is>
          <t>Wd14evn , 4x4 , Landrover  , Defender</t>
        </is>
      </c>
      <c r="Q2358" t="inlineStr">
        <is>
          <t>UKPN</t>
        </is>
      </c>
      <c r="R2358" t="b">
        <v>0</v>
      </c>
    </row>
    <row r="2359">
      <c r="A2359" t="inlineStr">
        <is>
          <t>3 Dec 2025 / 7951 Austin Tree Care LTD / Utilities / UKPN</t>
        </is>
      </c>
      <c r="B2359" t="inlineStr">
        <is>
          <t>Utilities</t>
        </is>
      </c>
      <c r="C2359" t="inlineStr">
        <is>
          <t>UKPN</t>
        </is>
      </c>
      <c r="D2359" t="inlineStr">
        <is>
          <t>WF61 HZV , 4x4 MEWP , Land Rover , Defender</t>
        </is>
      </c>
      <c r="E2359" t="inlineStr">
        <is>
          <t>WF61 HZV , 4x4 MEWP , Land Rover , Defender</t>
        </is>
      </c>
      <c r="F2359" t="inlineStr">
        <is>
          <t>WF61 HZV , 4x4 MEWP , Land Rover , Defender</t>
        </is>
      </c>
      <c r="G2359" t="inlineStr">
        <is>
          <t xml:space="preserve">Jack Austin </t>
        </is>
      </c>
      <c r="H2359" t="inlineStr">
        <is>
          <t>4x4</t>
        </is>
      </c>
      <c r="I2359" t="inlineStr">
        <is>
          <t>Daily/ Weekly Vehicle Inspection</t>
        </is>
      </c>
      <c r="J2359" t="inlineStr">
        <is>
          <t>N/A</t>
        </is>
      </c>
      <c r="K2359" t="inlineStr">
        <is>
          <t>7951 Austin Tree Care LTD</t>
        </is>
      </c>
      <c r="L2359" t="inlineStr">
        <is>
          <t>03/12/2025 07:40</t>
        </is>
      </c>
      <c r="M2359" t="inlineStr">
        <is>
          <t>None</t>
        </is>
      </c>
      <c r="N2359" t="inlineStr">
        <is>
          <t>&lt;p&gt;&lt;/p&gt;</t>
        </is>
      </c>
      <c r="O2359" t="inlineStr"/>
      <c r="P2359" t="inlineStr">
        <is>
          <t>WF61 HZV , 4x4 MEWP , Land Rover , Defender</t>
        </is>
      </c>
      <c r="Q2359" t="inlineStr">
        <is>
          <t>UKPN</t>
        </is>
      </c>
      <c r="R2359" t="b">
        <v>0</v>
      </c>
    </row>
    <row r="2360">
      <c r="A2360" t="inlineStr">
        <is>
          <t>3 Dec 2025 / 7889 Tree Tech Suffolk Ltd</t>
        </is>
      </c>
      <c r="B2360" t="inlineStr">
        <is>
          <t>Utilities &amp; Inland Waterways</t>
        </is>
      </c>
      <c r="C2360" t="inlineStr">
        <is>
          <t>UKPN</t>
        </is>
      </c>
      <c r="D2360" t="inlineStr">
        <is>
          <t>4x4 - Isuzu - D-max - NS03 TTSTipper - Mercedes - Sprinter - NS06TTS</t>
        </is>
      </c>
      <c r="E2360" t="inlineStr">
        <is>
          <t>4x4 - Isuzu - D-max - NS03 TTSTipper - Mercedes - Sprinter - NS06TTS</t>
        </is>
      </c>
      <c r="F2360" t="inlineStr">
        <is>
          <t>4x4 - Isuzu - D-max - NS03 TTSTipper - Mercedes - Sprinter - NS06TTS</t>
        </is>
      </c>
      <c r="G2360" t="inlineStr">
        <is>
          <t xml:space="preserve">Danny Appleby Nikki sparrow </t>
        </is>
      </c>
      <c r="H2360" t="inlineStr">
        <is>
          <t>4x4Tipper</t>
        </is>
      </c>
      <c r="I2360" t="inlineStr">
        <is>
          <t>Daily/ Weekly Vehicle Inspection</t>
        </is>
      </c>
      <c r="J2360" t="inlineStr">
        <is>
          <t>N/A</t>
        </is>
      </c>
      <c r="K2360" t="inlineStr">
        <is>
          <t>7889 Tree Tech Suffolk Ltd</t>
        </is>
      </c>
      <c r="L2360" t="inlineStr">
        <is>
          <t>03/12/2025 07:40</t>
        </is>
      </c>
      <c r="M2360" t="inlineStr">
        <is>
          <t>None</t>
        </is>
      </c>
      <c r="N2360" t="inlineStr">
        <is>
          <t>&lt;p&gt;&lt;/p&gt;</t>
        </is>
      </c>
      <c r="O2360" t="inlineStr">
        <is>
          <t>Select Vehicle:Ns08 tts</t>
        </is>
      </c>
      <c r="P2360" t="inlineStr">
        <is>
          <t>4x4 - Isuzu - D-max - NS03 TTSTipper - Mercedes - Sprinter - NS06TTS</t>
        </is>
      </c>
      <c r="Q2360" t="inlineStr">
        <is>
          <t>UKPN</t>
        </is>
      </c>
      <c r="R2360" t="b">
        <v>0</v>
      </c>
    </row>
    <row r="2361">
      <c r="A2361" t="inlineStr">
        <is>
          <t>3 Dec 2025 / 7800 MAC Tree Surgery and Fencing Ltd / Utilities / UKPN</t>
        </is>
      </c>
      <c r="B2361" t="inlineStr">
        <is>
          <t>Utilities</t>
        </is>
      </c>
      <c r="C2361" t="inlineStr">
        <is>
          <t>UKPN</t>
        </is>
      </c>
      <c r="D2361" t="inlineStr">
        <is>
          <t>Plant Trailer - Towmate - 2.8t - 0</t>
        </is>
      </c>
      <c r="E2361" t="inlineStr">
        <is>
          <t>Plant Trailer - Towmate - 2.8t - 0</t>
        </is>
      </c>
      <c r="F2361" t="inlineStr">
        <is>
          <t>Plant Trailer - Towmate - 2.8t - 0</t>
        </is>
      </c>
      <c r="G2361" t="inlineStr">
        <is>
          <t xml:space="preserve">Patrick O'Shea </t>
        </is>
      </c>
      <c r="H2361" t="inlineStr">
        <is>
          <t>Plant Trailer</t>
        </is>
      </c>
      <c r="I2361" t="inlineStr">
        <is>
          <t>Daily/ Weekly Vehicle Inspection</t>
        </is>
      </c>
      <c r="J2361" t="inlineStr">
        <is>
          <t>N/A</t>
        </is>
      </c>
      <c r="K2361" t="inlineStr">
        <is>
          <t>7800 MAC Tree Surgery and Fencing Ltd</t>
        </is>
      </c>
      <c r="L2361" t="inlineStr">
        <is>
          <t>03/12/2025 09:38</t>
        </is>
      </c>
      <c r="M2361" t="inlineStr">
        <is>
          <t>None</t>
        </is>
      </c>
      <c r="N2361" t="inlineStr">
        <is>
          <t>&lt;p&gt;&lt;/p&gt;</t>
        </is>
      </c>
      <c r="O2361" t="inlineStr"/>
      <c r="P2361" t="inlineStr">
        <is>
          <t>Plant Trailer - Towmate - 2.8t - 0</t>
        </is>
      </c>
      <c r="Q2361" t="inlineStr">
        <is>
          <t>UKPN</t>
        </is>
      </c>
      <c r="R2361" t="b">
        <v>0</v>
      </c>
    </row>
    <row r="2362">
      <c r="A2362" t="inlineStr">
        <is>
          <t>3 Dec 2025 / 7800 MAC Tree Surgery and Fencing Ltd / Utilities / UKPN</t>
        </is>
      </c>
      <c r="B2362" t="inlineStr">
        <is>
          <t>Utilities</t>
        </is>
      </c>
      <c r="C2362" t="inlineStr">
        <is>
          <t>UKPN</t>
        </is>
      </c>
      <c r="D2362" t="inlineStr">
        <is>
          <t>AY68DAA , 4x4 , Izuzu , Dmax</t>
        </is>
      </c>
      <c r="E2362" t="inlineStr">
        <is>
          <t>AY68DAA , 4x4 , Izuzu , Dmax</t>
        </is>
      </c>
      <c r="F2362" t="inlineStr">
        <is>
          <t>AY68DAA , 4x4 , Izuzu , Dmax</t>
        </is>
      </c>
      <c r="G2362" t="inlineStr">
        <is>
          <t xml:space="preserve">Patrick O'Shea </t>
        </is>
      </c>
      <c r="H2362" t="inlineStr">
        <is>
          <t>4x4</t>
        </is>
      </c>
      <c r="I2362" t="inlineStr">
        <is>
          <t>Daily/ Weekly Vehicle Inspection</t>
        </is>
      </c>
      <c r="J2362" t="inlineStr">
        <is>
          <t>N/A</t>
        </is>
      </c>
      <c r="K2362" t="inlineStr">
        <is>
          <t>7800 MAC Tree Surgery and Fencing Ltd</t>
        </is>
      </c>
      <c r="L2362" t="inlineStr">
        <is>
          <t>03/12/2025 09:38</t>
        </is>
      </c>
      <c r="M2362" t="inlineStr">
        <is>
          <t>None</t>
        </is>
      </c>
      <c r="N2362" t="inlineStr">
        <is>
          <t>&lt;p&gt;&lt;/p&gt;</t>
        </is>
      </c>
      <c r="O2362" t="inlineStr"/>
      <c r="P2362" t="inlineStr">
        <is>
          <t>AY68DAA , 4x4 , Izuzu , Dmax</t>
        </is>
      </c>
      <c r="Q2362" t="inlineStr">
        <is>
          <t>UKPN</t>
        </is>
      </c>
      <c r="R2362" t="b">
        <v>0</v>
      </c>
    </row>
    <row r="2363">
      <c r="A2363" t="inlineStr">
        <is>
          <t>3 Dec 2025 / Donovan Gosher / Utilities / NGED</t>
        </is>
      </c>
      <c r="B2363" t="inlineStr">
        <is>
          <t>Utilities</t>
        </is>
      </c>
      <c r="C2363" t="inlineStr">
        <is>
          <t>NGED</t>
        </is>
      </c>
      <c r="D2363" t="inlineStr">
        <is>
          <t>AJ72EWU , Car - Electric , Tesla , Model Y Long Range</t>
        </is>
      </c>
      <c r="E2363" t="inlineStr">
        <is>
          <t>AJ72EWU , Car - Electric , Tesla , Model Y Long Range</t>
        </is>
      </c>
      <c r="F2363" t="inlineStr">
        <is>
          <t>AJ72EWU , Car - Electric , Tesla , Model Y Long Range</t>
        </is>
      </c>
      <c r="G2363" t="inlineStr">
        <is>
          <t>Donovan Gosher</t>
        </is>
      </c>
      <c r="H2363" t="inlineStr">
        <is>
          <t>Car - Electric (GC Owned)</t>
        </is>
      </c>
      <c r="I2363" t="inlineStr">
        <is>
          <t>Daily/ Weekly Vehicle Inspection</t>
        </is>
      </c>
      <c r="J2363" t="inlineStr">
        <is>
          <t>N/A</t>
        </is>
      </c>
      <c r="K2363" t="inlineStr">
        <is>
          <t>Donovan Gosher</t>
        </is>
      </c>
      <c r="L2363" t="inlineStr">
        <is>
          <t>03/12/2025 12:35</t>
        </is>
      </c>
      <c r="M2363" t="inlineStr">
        <is>
          <t>None</t>
        </is>
      </c>
      <c r="N2363" t="inlineStr">
        <is>
          <t>&lt;p&gt;&lt;/p&gt;</t>
        </is>
      </c>
      <c r="O2363" t="inlineStr">
        <is>
          <t>Confirm that you have checked this vehicle as per the guidance document and the vehicle is safe and roadworthy:some paint chips on bonnet and needs new windscreen wipers soon
-</t>
        </is>
      </c>
      <c r="P2363" t="inlineStr">
        <is>
          <t>AJ72EWU , Car - Electric , Tesla , Model Y Long Range</t>
        </is>
      </c>
      <c r="Q2363" t="inlineStr">
        <is>
          <t>NGED</t>
        </is>
      </c>
      <c r="R2363" t="b">
        <v>0</v>
      </c>
    </row>
    <row r="2364">
      <c r="A2364" t="inlineStr">
        <is>
          <t>3 Dec 2025 / Kevin Miller / Utilities / UKPN</t>
        </is>
      </c>
      <c r="B2364" t="inlineStr">
        <is>
          <t>Utilities</t>
        </is>
      </c>
      <c r="C2364" t="inlineStr">
        <is>
          <t>UKPN</t>
        </is>
      </c>
      <c r="D2364" t="inlineStr">
        <is>
          <t>EO73KUF , Car - Electric , Kia , Niro</t>
        </is>
      </c>
      <c r="E2364" t="inlineStr">
        <is>
          <t>EO73KUF , Car - Electric , Kia , Niro</t>
        </is>
      </c>
      <c r="F2364" t="inlineStr">
        <is>
          <t>EO73KUF , Car - Electric , Kia , Niro</t>
        </is>
      </c>
      <c r="G2364" t="inlineStr">
        <is>
          <t xml:space="preserve">Kevin Miller </t>
        </is>
      </c>
      <c r="H2364" t="inlineStr">
        <is>
          <t>Car - Electric (GC Owned)</t>
        </is>
      </c>
      <c r="I2364" t="inlineStr">
        <is>
          <t>Daily/ Weekly Vehicle Inspection</t>
        </is>
      </c>
      <c r="J2364" t="inlineStr">
        <is>
          <t>N/A</t>
        </is>
      </c>
      <c r="K2364" t="inlineStr">
        <is>
          <t>Kevin Miller</t>
        </is>
      </c>
      <c r="L2364" t="inlineStr">
        <is>
          <t>03/12/2025 15:35</t>
        </is>
      </c>
      <c r="M2364" t="inlineStr">
        <is>
          <t>None</t>
        </is>
      </c>
      <c r="N2364" t="inlineStr">
        <is>
          <t>&lt;p&gt;&lt;/p&gt;</t>
        </is>
      </c>
      <c r="O2364" t="inlineStr"/>
      <c r="P2364" t="inlineStr">
        <is>
          <t>EO73KUF , Car - Electric , Kia , Niro</t>
        </is>
      </c>
      <c r="Q2364" t="inlineStr">
        <is>
          <t>UKPN</t>
        </is>
      </c>
      <c r="R2364" t="b">
        <v>0</v>
      </c>
    </row>
    <row r="2365">
      <c r="A2365" t="inlineStr">
        <is>
          <t>4 Dec 2025 / 7806 Optimum Tree Services Ltd / Utilities / UKPN</t>
        </is>
      </c>
      <c r="B2365" t="inlineStr">
        <is>
          <t>Utilities</t>
        </is>
      </c>
      <c r="C2365" t="inlineStr">
        <is>
          <t>UKPN</t>
        </is>
      </c>
      <c r="D2365" t="inlineStr">
        <is>
          <t>SA9ST800000283069 , Chipper , Forst , ST 6P</t>
        </is>
      </c>
      <c r="E2365" t="inlineStr">
        <is>
          <t>SA9ST800000283069 , Chipper , Forst , ST 6P</t>
        </is>
      </c>
      <c r="F2365" t="inlineStr">
        <is>
          <t>SA9ST800000283069 , Chipper , Forst , ST 6P</t>
        </is>
      </c>
      <c r="G2365" t="inlineStr">
        <is>
          <t xml:space="preserve">Kenny Aldred </t>
        </is>
      </c>
      <c r="H2365" t="inlineStr">
        <is>
          <t>Towed Chipper</t>
        </is>
      </c>
      <c r="I2365" t="inlineStr">
        <is>
          <t>Daily/ Weekly Vehicle Inspection</t>
        </is>
      </c>
      <c r="J2365" t="inlineStr">
        <is>
          <t>N/A</t>
        </is>
      </c>
      <c r="K2365" t="inlineStr">
        <is>
          <t>7806 Optimum Tree Services Ltd</t>
        </is>
      </c>
      <c r="L2365" t="inlineStr">
        <is>
          <t>04/12/2025 07:35</t>
        </is>
      </c>
      <c r="M2365" t="inlineStr">
        <is>
          <t>None</t>
        </is>
      </c>
      <c r="N2365" t="inlineStr">
        <is>
          <t>&lt;p&gt;&lt;/p&gt;</t>
        </is>
      </c>
      <c r="O2365" t="inlineStr"/>
      <c r="P2365" t="inlineStr">
        <is>
          <t>SA9ST800000283069 , Chipper , Forst , ST 6P</t>
        </is>
      </c>
      <c r="Q2365" t="inlineStr">
        <is>
          <t>UKPN</t>
        </is>
      </c>
      <c r="R2365" t="b">
        <v>0</v>
      </c>
    </row>
    <row r="2366">
      <c r="A2366" t="inlineStr">
        <is>
          <t>4 Dec 2025 / 7806 Optimum Tree Services Ltd / Utilities / UKPN</t>
        </is>
      </c>
      <c r="B2366" t="inlineStr">
        <is>
          <t>Utilities</t>
        </is>
      </c>
      <c r="C2366" t="inlineStr">
        <is>
          <t>UKPN</t>
        </is>
      </c>
      <c r="D2366" t="inlineStr">
        <is>
          <t>Wd14evn , 4x4 , Landrover  , Defender</t>
        </is>
      </c>
      <c r="E2366" t="inlineStr">
        <is>
          <t>Wd14evn , 4x4 , Landrover  , Defender</t>
        </is>
      </c>
      <c r="F2366" t="inlineStr">
        <is>
          <t>Wd14evn , 4x4 , Landrover  , Defender</t>
        </is>
      </c>
      <c r="G2366" t="inlineStr">
        <is>
          <t xml:space="preserve">Kenny Aldred </t>
        </is>
      </c>
      <c r="H2366" t="inlineStr">
        <is>
          <t>4x4</t>
        </is>
      </c>
      <c r="I2366" t="inlineStr">
        <is>
          <t>Daily/ Weekly Vehicle Inspection</t>
        </is>
      </c>
      <c r="J2366" t="inlineStr">
        <is>
          <t>N/A</t>
        </is>
      </c>
      <c r="K2366" t="inlineStr">
        <is>
          <t>7806 Optimum Tree Services Ltd</t>
        </is>
      </c>
      <c r="L2366" t="inlineStr">
        <is>
          <t>04/12/2025 07:36</t>
        </is>
      </c>
      <c r="M2366" t="inlineStr">
        <is>
          <t>None</t>
        </is>
      </c>
      <c r="N2366" t="inlineStr">
        <is>
          <t>&lt;p&gt;&lt;/p&gt;</t>
        </is>
      </c>
      <c r="O2366" t="inlineStr"/>
      <c r="P2366" t="inlineStr">
        <is>
          <t>Wd14evn , 4x4 , Landrover  , Defender</t>
        </is>
      </c>
      <c r="Q2366" t="inlineStr">
        <is>
          <t>UKPN</t>
        </is>
      </c>
      <c r="R2366" t="b">
        <v>0</v>
      </c>
    </row>
    <row r="2367">
      <c r="A2367" t="inlineStr">
        <is>
          <t>4 Dec 2025 / 7806 Optimum Tree Services Ltd / Utilities / UKPN</t>
        </is>
      </c>
      <c r="B2367" t="inlineStr">
        <is>
          <t>Utilities</t>
        </is>
      </c>
      <c r="C2367" t="inlineStr">
        <is>
          <t>UKPN</t>
        </is>
      </c>
      <c r="D2367" t="inlineStr">
        <is>
          <t>SA9TAPLAF27414263 , Trailer , Tow Mate , Plant Trailer</t>
        </is>
      </c>
      <c r="E2367" t="inlineStr">
        <is>
          <t>SA9TAPLAF27414263 , Trailer , Tow Mate , Plant Trailer</t>
        </is>
      </c>
      <c r="F2367" t="inlineStr">
        <is>
          <t>SA9TAPLAF27414263 , Trailer , Tow Mate , Plant Trailer</t>
        </is>
      </c>
      <c r="G2367" t="inlineStr">
        <is>
          <t xml:space="preserve">Abraham Davies </t>
        </is>
      </c>
      <c r="H2367" t="inlineStr">
        <is>
          <t>Plant Trailer</t>
        </is>
      </c>
      <c r="I2367" t="inlineStr">
        <is>
          <t>Daily/ Weekly Vehicle Inspection</t>
        </is>
      </c>
      <c r="J2367" t="inlineStr">
        <is>
          <t>N/A</t>
        </is>
      </c>
      <c r="K2367" t="inlineStr">
        <is>
          <t>7806 Optimum Tree Services Ltd</t>
        </is>
      </c>
      <c r="L2367" t="inlineStr">
        <is>
          <t>04/12/2025 07:36</t>
        </is>
      </c>
      <c r="M2367" t="inlineStr">
        <is>
          <t>None</t>
        </is>
      </c>
      <c r="N2367" t="inlineStr">
        <is>
          <t>&lt;p&gt;&lt;/p&gt;</t>
        </is>
      </c>
      <c r="O2367" t="inlineStr"/>
      <c r="P2367" t="inlineStr">
        <is>
          <t>SA9TAPLAF27414263 , Trailer , Tow Mate , Plant Trailer</t>
        </is>
      </c>
      <c r="Q2367" t="inlineStr">
        <is>
          <t>UKPN</t>
        </is>
      </c>
      <c r="R2367" t="b">
        <v>0</v>
      </c>
    </row>
    <row r="2368">
      <c r="A2368" t="inlineStr">
        <is>
          <t>4 Dec 2025 / 7951 Austin Tree Care LTD / Utilities / UKPN</t>
        </is>
      </c>
      <c r="B2368" t="inlineStr">
        <is>
          <t>Utilities</t>
        </is>
      </c>
      <c r="C2368" t="inlineStr">
        <is>
          <t>UKPN</t>
        </is>
      </c>
      <c r="D2368" t="inlineStr">
        <is>
          <t>SA9ST6P0001283612 , Tow Chipper , Forst , ST6p</t>
        </is>
      </c>
      <c r="E2368" t="inlineStr">
        <is>
          <t>SA9ST6P0001283612 , Tow Chipper , Forst , ST6p</t>
        </is>
      </c>
      <c r="F2368" t="inlineStr">
        <is>
          <t>SA9ST6P0001283612 , Tow Chipper , Forst , ST6p</t>
        </is>
      </c>
      <c r="G2368" t="inlineStr">
        <is>
          <t xml:space="preserve">Jack Austin </t>
        </is>
      </c>
      <c r="H2368" t="inlineStr">
        <is>
          <t>Towed Chipper</t>
        </is>
      </c>
      <c r="I2368" t="inlineStr">
        <is>
          <t>Daily/ Weekly Vehicle Inspection</t>
        </is>
      </c>
      <c r="J2368" t="inlineStr">
        <is>
          <t>N/A</t>
        </is>
      </c>
      <c r="K2368" t="inlineStr">
        <is>
          <t>7951 Austin Tree Care LTD</t>
        </is>
      </c>
      <c r="L2368" t="inlineStr">
        <is>
          <t>04/12/2025 07:38</t>
        </is>
      </c>
      <c r="M2368" t="inlineStr">
        <is>
          <t>None</t>
        </is>
      </c>
      <c r="N2368" t="inlineStr">
        <is>
          <t>&lt;p&gt;&lt;/p&gt;</t>
        </is>
      </c>
      <c r="O2368" t="inlineStr"/>
      <c r="P2368" t="inlineStr">
        <is>
          <t>SA9ST6P0001283612 , Tow Chipper , Forst , ST6p</t>
        </is>
      </c>
      <c r="Q2368" t="inlineStr">
        <is>
          <t>UKPN</t>
        </is>
      </c>
      <c r="R2368" t="b">
        <v>0</v>
      </c>
    </row>
    <row r="2369">
      <c r="A2369" t="inlineStr">
        <is>
          <t>4 Dec 2025 / 7806 Optimum Tree Services Ltd / Utilities / UKPN</t>
        </is>
      </c>
      <c r="B2369" t="inlineStr">
        <is>
          <t>Utilities</t>
        </is>
      </c>
      <c r="C2369" t="inlineStr">
        <is>
          <t>UKPN</t>
        </is>
      </c>
      <c r="D2369" t="inlineStr">
        <is>
          <t>NA10SYZ , Tipper , Ford , Transit</t>
        </is>
      </c>
      <c r="E2369" t="inlineStr">
        <is>
          <t>NA10SYZ , Tipper , Ford , Transit</t>
        </is>
      </c>
      <c r="F2369" t="inlineStr">
        <is>
          <t>NA10SYZ , Tipper , Ford , Transit</t>
        </is>
      </c>
      <c r="G2369" t="inlineStr">
        <is>
          <t xml:space="preserve">Abraham Davies </t>
        </is>
      </c>
      <c r="H2369" t="inlineStr">
        <is>
          <t>Tipper</t>
        </is>
      </c>
      <c r="I2369" t="inlineStr">
        <is>
          <t>Daily/ Weekly Vehicle Inspection</t>
        </is>
      </c>
      <c r="J2369" t="inlineStr">
        <is>
          <t>N/A</t>
        </is>
      </c>
      <c r="K2369" t="inlineStr">
        <is>
          <t>7806 Optimum Tree Services Ltd</t>
        </is>
      </c>
      <c r="L2369" t="inlineStr">
        <is>
          <t>04/12/2025 07:38</t>
        </is>
      </c>
      <c r="M2369" t="inlineStr">
        <is>
          <t>None</t>
        </is>
      </c>
      <c r="N2369" t="inlineStr">
        <is>
          <t>&lt;p&gt;&lt;/p&gt;</t>
        </is>
      </c>
      <c r="O2369" t="inlineStr"/>
      <c r="P2369" t="inlineStr">
        <is>
          <t>NA10SYZ , Tipper , Ford , Transit</t>
        </is>
      </c>
      <c r="Q2369" t="inlineStr">
        <is>
          <t>UKPN</t>
        </is>
      </c>
      <c r="R2369" t="b">
        <v>0</v>
      </c>
    </row>
    <row r="2370">
      <c r="A2370" t="inlineStr">
        <is>
          <t>4 Dec 2025 / 7951 Austin Tree Care LTD / Utilities / UKPN</t>
        </is>
      </c>
      <c r="B2370" t="inlineStr">
        <is>
          <t>Utilities</t>
        </is>
      </c>
      <c r="C2370" t="inlineStr">
        <is>
          <t>UKPN</t>
        </is>
      </c>
      <c r="D2370" t="inlineStr">
        <is>
          <t>WF61 HZV , 4x4 MEWP , Land Rover , Defender</t>
        </is>
      </c>
      <c r="E2370" t="inlineStr">
        <is>
          <t>WF61 HZV , 4x4 MEWP , Land Rover , Defender</t>
        </is>
      </c>
      <c r="F2370" t="inlineStr">
        <is>
          <t>WF61 HZV , 4x4 MEWP , Land Rover , Defender</t>
        </is>
      </c>
      <c r="G2370" t="inlineStr">
        <is>
          <t xml:space="preserve">Jack Austin </t>
        </is>
      </c>
      <c r="H2370" t="inlineStr">
        <is>
          <t>4x4</t>
        </is>
      </c>
      <c r="I2370" t="inlineStr">
        <is>
          <t>Daily/ Weekly Vehicle Inspection</t>
        </is>
      </c>
      <c r="J2370" t="inlineStr">
        <is>
          <t>N/A</t>
        </is>
      </c>
      <c r="K2370" t="inlineStr">
        <is>
          <t>7951 Austin Tree Care LTD</t>
        </is>
      </c>
      <c r="L2370" t="inlineStr">
        <is>
          <t>04/12/2025 07:39</t>
        </is>
      </c>
      <c r="M2370" t="inlineStr">
        <is>
          <t>None</t>
        </is>
      </c>
      <c r="N2370" t="inlineStr">
        <is>
          <t>&lt;p&gt;&lt;/p&gt;</t>
        </is>
      </c>
      <c r="O2370" t="inlineStr"/>
      <c r="P2370" t="inlineStr">
        <is>
          <t>WF61 HZV , 4x4 MEWP , Land Rover , Defender</t>
        </is>
      </c>
      <c r="Q2370" t="inlineStr">
        <is>
          <t>UKPN</t>
        </is>
      </c>
      <c r="R2370" t="b">
        <v>0</v>
      </c>
    </row>
    <row r="2371">
      <c r="A2371" t="inlineStr">
        <is>
          <t>4 Dec 2025 / 7889 Tree Tech Suffolk Ltd</t>
        </is>
      </c>
      <c r="B2371" t="inlineStr">
        <is>
          <t>Utilities &amp; Inland Waterways</t>
        </is>
      </c>
      <c r="C2371" t="inlineStr">
        <is>
          <t>UKPN</t>
        </is>
      </c>
      <c r="D2371" t="inlineStr">
        <is>
          <t>Tow Chipper - Jenson - A530L - 55210639484x4 - Isuzu - D-max - NS03 TTSTipper - Mercedes - Sprinter - NS06TTS</t>
        </is>
      </c>
      <c r="E2371" t="inlineStr">
        <is>
          <t>Tow Chipper - Jenson - A530L - 55210639484x4 - Isuzu - D-max - NS03 TTSTipper - Mercedes - Sprinter - NS06TTS</t>
        </is>
      </c>
      <c r="F2371" t="inlineStr">
        <is>
          <t>Tow Chipper - Jenson - A530L - 55210639484x4 - Isuzu - D-max - NS03 TTSTipper - Mercedes - Sprinter - NS06TTS</t>
        </is>
      </c>
      <c r="G2371" t="inlineStr">
        <is>
          <t xml:space="preserve">Nikki sparrow Danny Appleby Nikki sparrow </t>
        </is>
      </c>
      <c r="H2371" t="inlineStr">
        <is>
          <t>Towed Chipper4x4Tipper</t>
        </is>
      </c>
      <c r="I2371" t="inlineStr">
        <is>
          <t>Daily/ Weekly Vehicle Inspection</t>
        </is>
      </c>
      <c r="J2371" t="inlineStr">
        <is>
          <t>N/A</t>
        </is>
      </c>
      <c r="K2371" t="inlineStr">
        <is>
          <t>7889 Tree Tech Suffolk Ltd</t>
        </is>
      </c>
      <c r="L2371" t="inlineStr">
        <is>
          <t>04/12/2025 07:40</t>
        </is>
      </c>
      <c r="M2371" t="inlineStr">
        <is>
          <t>None</t>
        </is>
      </c>
      <c r="N2371" t="inlineStr">
        <is>
          <t>&lt;p&gt;&lt;/p&gt;</t>
        </is>
      </c>
      <c r="O2371" t="inlineStr">
        <is>
          <t>Select Vehicle:Ns08 tts</t>
        </is>
      </c>
      <c r="P2371" t="inlineStr">
        <is>
          <t>Tow Chipper - Jenson - A530L - 55210639484x4 - Isuzu - D-max - NS03 TTSTipper - Mercedes - Sprinter - NS06TTS</t>
        </is>
      </c>
      <c r="Q2371" t="inlineStr">
        <is>
          <t>UKPN</t>
        </is>
      </c>
      <c r="R2371" t="b">
        <v>0</v>
      </c>
    </row>
    <row r="2372">
      <c r="A2372" t="inlineStr">
        <is>
          <t>4 Dec 2025 / 7186 Eastwoodbury Tree Services Ltd 1 / Utilities / UKPN</t>
        </is>
      </c>
      <c r="B2372" t="inlineStr">
        <is>
          <t>Utilities</t>
        </is>
      </c>
      <c r="C2372" t="inlineStr">
        <is>
          <t>UKPN</t>
        </is>
      </c>
      <c r="D2372" t="inlineStr">
        <is>
          <t>WF13 EKT , 4x4 , Land rover  , Defender</t>
        </is>
      </c>
      <c r="E2372" t="inlineStr">
        <is>
          <t>WF13 EKT , 4x4 , Land rover  , Defender</t>
        </is>
      </c>
      <c r="F2372" t="inlineStr">
        <is>
          <t>WF13 EKT , 4x4 , Land rover  , Defender</t>
        </is>
      </c>
      <c r="G2372" t="inlineStr">
        <is>
          <t>Dan Gilbert</t>
        </is>
      </c>
      <c r="H2372" t="inlineStr">
        <is>
          <t>4x4</t>
        </is>
      </c>
      <c r="I2372" t="inlineStr">
        <is>
          <t>Daily/ Weekly Vehicle Inspection</t>
        </is>
      </c>
      <c r="J2372" t="inlineStr">
        <is>
          <t>N/A</t>
        </is>
      </c>
      <c r="K2372" t="inlineStr">
        <is>
          <t>7186 Eastwoodbury Tree Services Ltd 1</t>
        </is>
      </c>
      <c r="L2372" t="inlineStr">
        <is>
          <t>04/12/2025 08:39</t>
        </is>
      </c>
      <c r="M2372" t="inlineStr">
        <is>
          <t>None</t>
        </is>
      </c>
      <c r="N2372" t="inlineStr">
        <is>
          <t>&lt;p&gt;&lt;/p&gt;</t>
        </is>
      </c>
      <c r="O2372" t="inlineStr"/>
      <c r="P2372" t="inlineStr">
        <is>
          <t>WF13 EKT , 4x4 , Land rover  , Defender</t>
        </is>
      </c>
      <c r="Q2372" t="inlineStr">
        <is>
          <t>UKPN</t>
        </is>
      </c>
      <c r="R2372" t="b">
        <v>0</v>
      </c>
    </row>
    <row r="2373">
      <c r="A2373" t="inlineStr">
        <is>
          <t>24 Sep 2025 / 3098 D &amp; R Landscapes 2 / Utilities / UKPN</t>
        </is>
      </c>
      <c r="B2373" t="inlineStr">
        <is>
          <t>Utilities</t>
        </is>
      </c>
      <c r="C2373" t="inlineStr">
        <is>
          <t>UKPN</t>
        </is>
      </c>
      <c r="D2373" t="inlineStr">
        <is>
          <t>Vehicle - Nissan - Navara - BT20 GNZ</t>
        </is>
      </c>
      <c r="E2373" t="inlineStr">
        <is>
          <t>Vehicle - Nissan - Navara - BT20 GNZ</t>
        </is>
      </c>
      <c r="F2373" t="inlineStr">
        <is>
          <t>Vehicle - Nissan - Navara - BT20 GNZ</t>
        </is>
      </c>
      <c r="G2373" t="inlineStr">
        <is>
          <t>Rich</t>
        </is>
      </c>
      <c r="H2373" t="inlineStr">
        <is>
          <t>Pickup Truck</t>
        </is>
      </c>
      <c r="I2373" t="inlineStr">
        <is>
          <t>Daily/ Weekly Vehicle Inspection</t>
        </is>
      </c>
      <c r="J2373" t="inlineStr">
        <is>
          <t>N/A</t>
        </is>
      </c>
      <c r="K2373" t="inlineStr">
        <is>
          <t>3098 D &amp; R Landscapes 2</t>
        </is>
      </c>
      <c r="L2373" t="inlineStr">
        <is>
          <t>04/12/2025 09:35</t>
        </is>
      </c>
      <c r="M2373" t="inlineStr">
        <is>
          <t>None</t>
        </is>
      </c>
      <c r="N2373" t="inlineStr">
        <is>
          <t>&lt;p&gt;&lt;/p&gt;</t>
        </is>
      </c>
      <c r="O2373" t="inlineStr"/>
      <c r="P2373" t="inlineStr">
        <is>
          <t>Vehicle - Nissan - Navara - BT20 GNZ</t>
        </is>
      </c>
      <c r="Q2373" t="inlineStr">
        <is>
          <t>UKPN</t>
        </is>
      </c>
      <c r="R2373" t="b">
        <v>0</v>
      </c>
    </row>
    <row r="2374">
      <c r="A2374" t="inlineStr">
        <is>
          <t>4 Dec 2025 / Thomas Playford / Utilities / UKPN</t>
        </is>
      </c>
      <c r="B2374" t="inlineStr">
        <is>
          <t>Utilities</t>
        </is>
      </c>
      <c r="C2374" t="inlineStr">
        <is>
          <t>UKPN</t>
        </is>
      </c>
      <c r="D2374" t="inlineStr">
        <is>
          <t>LK15KRZ , 4x4 , Landrover , Defender</t>
        </is>
      </c>
      <c r="E2374" t="inlineStr">
        <is>
          <t>LK15KRZ , 4x4 , Landrover , Defender</t>
        </is>
      </c>
      <c r="F2374" t="inlineStr">
        <is>
          <t>LK15KRZ , 4x4 , Landrover , Defender</t>
        </is>
      </c>
      <c r="G2374" t="inlineStr">
        <is>
          <t>Thomas Playford</t>
        </is>
      </c>
      <c r="H2374" t="inlineStr">
        <is>
          <t>4x4</t>
        </is>
      </c>
      <c r="I2374" t="inlineStr">
        <is>
          <t>Daily/ Weekly Vehicle Inspection</t>
        </is>
      </c>
      <c r="J2374" t="inlineStr">
        <is>
          <t>N/A</t>
        </is>
      </c>
      <c r="K2374" t="inlineStr">
        <is>
          <t>7995 Green Net Eco Ltd 2</t>
        </is>
      </c>
      <c r="L2374" t="inlineStr">
        <is>
          <t>04/12/2025 10:35</t>
        </is>
      </c>
      <c r="M2374" t="inlineStr">
        <is>
          <t>None</t>
        </is>
      </c>
      <c r="N2374" t="inlineStr">
        <is>
          <t>&lt;p&gt;&lt;/p&gt;</t>
        </is>
      </c>
      <c r="O2374" t="inlineStr"/>
      <c r="P2374" t="inlineStr">
        <is>
          <t>LK15KRZ , 4x4 , Landrover , Defender</t>
        </is>
      </c>
      <c r="Q2374" t="inlineStr">
        <is>
          <t>UKPN</t>
        </is>
      </c>
      <c r="R2374" t="b">
        <v>0</v>
      </c>
    </row>
    <row r="2375">
      <c r="A2375" t="inlineStr">
        <is>
          <t>4 Dec 2025 / Alexander Damar / Utilities / UKPN</t>
        </is>
      </c>
      <c r="B2375" t="inlineStr">
        <is>
          <t>Utilities</t>
        </is>
      </c>
      <c r="C2375" t="inlineStr">
        <is>
          <t>UKPN</t>
        </is>
      </c>
      <c r="D2375" t="inlineStr"/>
      <c r="E2375" t="inlineStr"/>
      <c r="F2375" t="inlineStr"/>
      <c r="G2375" t="inlineStr">
        <is>
          <t>A damar</t>
        </is>
      </c>
      <c r="H2375" t="inlineStr">
        <is>
          <t>Car - Petrol</t>
        </is>
      </c>
      <c r="I2375" t="inlineStr">
        <is>
          <t>Daily/ Weekly Vehicle Inspection</t>
        </is>
      </c>
      <c r="J2375" t="inlineStr">
        <is>
          <t>N/A</t>
        </is>
      </c>
      <c r="K2375" t="inlineStr">
        <is>
          <t>Alexander Damar</t>
        </is>
      </c>
      <c r="L2375" t="inlineStr">
        <is>
          <t>04/12/2025 10:36</t>
        </is>
      </c>
      <c r="M2375" t="inlineStr">
        <is>
          <t>None</t>
        </is>
      </c>
      <c r="N2375" t="inlineStr">
        <is>
          <t>&lt;p&gt;&lt;/p&gt;</t>
        </is>
      </c>
      <c r="O2375" t="inlineStr"/>
      <c r="P2375" t="inlineStr"/>
      <c r="Q2375" t="inlineStr">
        <is>
          <t>UKPN</t>
        </is>
      </c>
      <c r="R2375" t="b">
        <v>0</v>
      </c>
    </row>
    <row r="2376">
      <c r="A2376" t="inlineStr">
        <is>
          <t>4 Dec 2025 / 3098 D &amp; R Landscapes 2 / Utilities / UKPN</t>
        </is>
      </c>
      <c r="B2376" t="inlineStr">
        <is>
          <t>Utilities</t>
        </is>
      </c>
      <c r="C2376" t="inlineStr">
        <is>
          <t>UKPN</t>
        </is>
      </c>
      <c r="D2376" t="inlineStr">
        <is>
          <t>WA13ZZK , 4x4 , Land Rover  , Defender</t>
        </is>
      </c>
      <c r="E2376" t="inlineStr">
        <is>
          <t>WA13ZZK , 4x4 , Land Rover  , Defender</t>
        </is>
      </c>
      <c r="F2376" t="inlineStr">
        <is>
          <t>WA13ZZK , 4x4 , Land Rover  , Defender</t>
        </is>
      </c>
      <c r="G2376" t="inlineStr">
        <is>
          <t xml:space="preserve">Chris Robinson </t>
        </is>
      </c>
      <c r="H2376" t="inlineStr">
        <is>
          <t>4x4</t>
        </is>
      </c>
      <c r="I2376" t="inlineStr">
        <is>
          <t>Daily/ Weekly Vehicle Inspection</t>
        </is>
      </c>
      <c r="J2376" t="inlineStr">
        <is>
          <t>N/A</t>
        </is>
      </c>
      <c r="K2376" t="inlineStr">
        <is>
          <t>3098 D &amp; R Landscapes 2</t>
        </is>
      </c>
      <c r="L2376" t="inlineStr">
        <is>
          <t>04/12/2025 10:38</t>
        </is>
      </c>
      <c r="M2376" t="inlineStr">
        <is>
          <t>None</t>
        </is>
      </c>
      <c r="N2376" t="inlineStr">
        <is>
          <t>&lt;p&gt;&lt;/p&gt;</t>
        </is>
      </c>
      <c r="O2376" t="inlineStr"/>
      <c r="P2376" t="inlineStr">
        <is>
          <t>WA13ZZK , 4x4 , Land Rover  , Defender</t>
        </is>
      </c>
      <c r="Q2376" t="inlineStr">
        <is>
          <t>UKPN</t>
        </is>
      </c>
      <c r="R2376" t="b">
        <v>0</v>
      </c>
    </row>
    <row r="2377">
      <c r="A2377" t="inlineStr">
        <is>
          <t>24 Sep 2025 / 3098 D &amp; R Landscapes 2 / Utilities / UKPN</t>
        </is>
      </c>
      <c r="B2377" t="inlineStr">
        <is>
          <t>Utilities</t>
        </is>
      </c>
      <c r="C2377" t="inlineStr">
        <is>
          <t>UKPN</t>
        </is>
      </c>
      <c r="D2377" t="inlineStr">
        <is>
          <t>Vehicle - Nissan - Navara - BT20 GNZ</t>
        </is>
      </c>
      <c r="E2377" t="inlineStr">
        <is>
          <t>Vehicle - Nissan - Navara - BT20 GNZ</t>
        </is>
      </c>
      <c r="F2377" t="inlineStr">
        <is>
          <t>Vehicle - Nissan - Navara - BT20 GNZ</t>
        </is>
      </c>
      <c r="G2377" t="inlineStr">
        <is>
          <t>Rich</t>
        </is>
      </c>
      <c r="H2377" t="inlineStr">
        <is>
          <t>Pickup Truck</t>
        </is>
      </c>
      <c r="I2377" t="inlineStr">
        <is>
          <t>Daily/ Weekly Vehicle Inspection</t>
        </is>
      </c>
      <c r="J2377" t="inlineStr">
        <is>
          <t>N/A</t>
        </is>
      </c>
      <c r="K2377" t="inlineStr">
        <is>
          <t>3098 D &amp; R Landscapes 2</t>
        </is>
      </c>
      <c r="L2377" t="inlineStr">
        <is>
          <t>04/12/2025 10:39</t>
        </is>
      </c>
      <c r="M2377" t="inlineStr">
        <is>
          <t>None</t>
        </is>
      </c>
      <c r="N2377" t="inlineStr">
        <is>
          <t>&lt;p&gt;&lt;/p&gt;</t>
        </is>
      </c>
      <c r="O2377" t="inlineStr"/>
      <c r="P2377" t="inlineStr">
        <is>
          <t>Vehicle - Nissan - Navara - BT20 GNZ</t>
        </is>
      </c>
      <c r="Q2377" t="inlineStr">
        <is>
          <t>UKPN</t>
        </is>
      </c>
      <c r="R2377" t="b">
        <v>0</v>
      </c>
    </row>
    <row r="2378">
      <c r="A2378" t="inlineStr">
        <is>
          <t>4 Dec 2025 / Thomas Playford / Utilities / UKPN</t>
        </is>
      </c>
      <c r="B2378" t="inlineStr">
        <is>
          <t>Utilities</t>
        </is>
      </c>
      <c r="C2378" t="inlineStr">
        <is>
          <t>UKPN</t>
        </is>
      </c>
      <c r="D2378" t="inlineStr">
        <is>
          <t>SA9ST800000283944 , Tow Chipper , Forst , ST8D - Towed</t>
        </is>
      </c>
      <c r="E2378" t="inlineStr">
        <is>
          <t>SA9ST800000283944 , Tow Chipper , Forst , ST8D - Towed</t>
        </is>
      </c>
      <c r="F2378" t="inlineStr">
        <is>
          <t>SA9ST800000283944 , Tow Chipper , Forst , ST8D - Towed</t>
        </is>
      </c>
      <c r="G2378" t="inlineStr">
        <is>
          <t>Thomas Playford</t>
        </is>
      </c>
      <c r="H2378" t="inlineStr">
        <is>
          <t>Towed Chipper</t>
        </is>
      </c>
      <c r="I2378" t="inlineStr">
        <is>
          <t>Daily/ Weekly Vehicle Inspection</t>
        </is>
      </c>
      <c r="J2378" t="inlineStr">
        <is>
          <t>N/A</t>
        </is>
      </c>
      <c r="K2378" t="inlineStr">
        <is>
          <t>7995 Green Net Eco Ltd 2</t>
        </is>
      </c>
      <c r="L2378" t="inlineStr">
        <is>
          <t>04/12/2025 11:36</t>
        </is>
      </c>
      <c r="M2378" t="inlineStr">
        <is>
          <t>None</t>
        </is>
      </c>
      <c r="N2378" t="inlineStr">
        <is>
          <t>&lt;p&gt;&lt;/p&gt;</t>
        </is>
      </c>
      <c r="O2378" t="inlineStr"/>
      <c r="P2378" t="inlineStr">
        <is>
          <t>SA9ST800000283944 , Tow Chipper , Forst , ST8D - Towed</t>
        </is>
      </c>
      <c r="Q2378" t="inlineStr">
        <is>
          <t>UKPN</t>
        </is>
      </c>
      <c r="R2378" t="b">
        <v>0</v>
      </c>
    </row>
    <row r="2379">
      <c r="A2379" t="inlineStr">
        <is>
          <t>4 Dec 2025 / Barry Bright / Utilities / UKPN</t>
        </is>
      </c>
      <c r="B2379" t="inlineStr">
        <is>
          <t>Utilities</t>
        </is>
      </c>
      <c r="C2379" t="inlineStr">
        <is>
          <t>UKPN</t>
        </is>
      </c>
      <c r="D2379" t="inlineStr">
        <is>
          <t>AK72YBM , Car - Electric , Tesla , Model Y Long Range</t>
        </is>
      </c>
      <c r="E2379" t="inlineStr">
        <is>
          <t>AK72YBM , Car - Electric , Tesla , Model Y Long Range</t>
        </is>
      </c>
      <c r="F2379" t="inlineStr">
        <is>
          <t>AK72YBM , Car - Electric , Tesla , Model Y Long Range</t>
        </is>
      </c>
      <c r="G2379" t="inlineStr">
        <is>
          <t xml:space="preserve">Barry Bright </t>
        </is>
      </c>
      <c r="H2379" t="inlineStr">
        <is>
          <t>Car - Electric (GC Owned)</t>
        </is>
      </c>
      <c r="I2379" t="inlineStr">
        <is>
          <t>Daily/ Weekly Vehicle Inspection</t>
        </is>
      </c>
      <c r="J2379" t="inlineStr">
        <is>
          <t>N/A</t>
        </is>
      </c>
      <c r="K2379" t="inlineStr">
        <is>
          <t>Barry Bright</t>
        </is>
      </c>
      <c r="L2379" t="inlineStr">
        <is>
          <t>04/12/2025 13:37</t>
        </is>
      </c>
      <c r="M2379" t="inlineStr">
        <is>
          <t>None</t>
        </is>
      </c>
      <c r="N2379" t="inlineStr">
        <is>
          <t>&lt;p&gt;&lt;/p&gt;</t>
        </is>
      </c>
      <c r="O2379" t="inlineStr"/>
      <c r="P2379" t="inlineStr">
        <is>
          <t>AK72YBM , Car - Electric , Tesla , Model Y Long Range</t>
        </is>
      </c>
      <c r="Q2379" t="inlineStr">
        <is>
          <t>UKPN</t>
        </is>
      </c>
      <c r="R2379" t="b">
        <v>0</v>
      </c>
    </row>
    <row r="2380">
      <c r="A2380" t="inlineStr">
        <is>
          <t>5 Dec 2025 / Anthony Gale / Utilities / UKPN</t>
        </is>
      </c>
      <c r="B2380" t="inlineStr">
        <is>
          <t>Utilities</t>
        </is>
      </c>
      <c r="C2380" t="inlineStr">
        <is>
          <t>UKPN</t>
        </is>
      </c>
      <c r="D2380" t="inlineStr"/>
      <c r="E2380" t="inlineStr"/>
      <c r="F2380" t="inlineStr"/>
      <c r="G2380" t="inlineStr">
        <is>
          <t>Anthony Gale</t>
        </is>
      </c>
      <c r="H2380" t="inlineStr">
        <is>
          <t>Towed Chipper</t>
        </is>
      </c>
      <c r="I2380" t="inlineStr">
        <is>
          <t>Daily/ Weekly Vehicle Inspection</t>
        </is>
      </c>
      <c r="J2380" t="inlineStr">
        <is>
          <t>N/A</t>
        </is>
      </c>
      <c r="K2380" t="inlineStr">
        <is>
          <t>7996 M G Tree Surgery Ltd 1</t>
        </is>
      </c>
      <c r="L2380" t="inlineStr">
        <is>
          <t>05/12/2025 06:35</t>
        </is>
      </c>
      <c r="M2380" t="inlineStr">
        <is>
          <t>None</t>
        </is>
      </c>
      <c r="N2380" t="inlineStr">
        <is>
          <t>&lt;p&gt;&lt;/p&gt;</t>
        </is>
      </c>
      <c r="O2380" t="inlineStr"/>
      <c r="P2380" t="inlineStr"/>
      <c r="Q2380" t="inlineStr">
        <is>
          <t>UKPN</t>
        </is>
      </c>
      <c r="R2380" t="b">
        <v>0</v>
      </c>
    </row>
    <row r="2381">
      <c r="A2381" t="inlineStr">
        <is>
          <t>5 Dec 2025 / Anthony Gale / Utilities / UKPN</t>
        </is>
      </c>
      <c r="B2381" t="inlineStr">
        <is>
          <t>Utilities</t>
        </is>
      </c>
      <c r="C2381" t="inlineStr">
        <is>
          <t>UKPN</t>
        </is>
      </c>
      <c r="D2381" t="inlineStr">
        <is>
          <t>KX20 BCE , Tipper , Isuzu , D-Max</t>
        </is>
      </c>
      <c r="E2381" t="inlineStr">
        <is>
          <t>KX20 BCE , Tipper , Isuzu , D-Max</t>
        </is>
      </c>
      <c r="F2381" t="inlineStr">
        <is>
          <t>KX20 BCE , Tipper , Isuzu , D-Max</t>
        </is>
      </c>
      <c r="G2381" t="inlineStr">
        <is>
          <t>Anthony Gale</t>
        </is>
      </c>
      <c r="H2381" t="inlineStr">
        <is>
          <t>Pickup Truck</t>
        </is>
      </c>
      <c r="I2381" t="inlineStr">
        <is>
          <t>Daily/ Weekly Vehicle Inspection</t>
        </is>
      </c>
      <c r="J2381" t="inlineStr">
        <is>
          <t>N/A</t>
        </is>
      </c>
      <c r="K2381" t="inlineStr">
        <is>
          <t>7996 M G Tree Surgery Ltd 1</t>
        </is>
      </c>
      <c r="L2381" t="inlineStr">
        <is>
          <t>05/12/2025 06:36</t>
        </is>
      </c>
      <c r="M2381" t="inlineStr">
        <is>
          <t>None</t>
        </is>
      </c>
      <c r="N2381" t="inlineStr">
        <is>
          <t>&lt;p&gt;&lt;/p&gt;</t>
        </is>
      </c>
      <c r="O2381" t="inlineStr"/>
      <c r="P2381" t="inlineStr">
        <is>
          <t>KX20 BCE , Tipper , Isuzu , D-Max</t>
        </is>
      </c>
      <c r="Q2381" t="inlineStr">
        <is>
          <t>UKPN</t>
        </is>
      </c>
      <c r="R2381" t="b">
        <v>0</v>
      </c>
    </row>
    <row r="2382">
      <c r="A2382" t="inlineStr">
        <is>
          <t>5 Dec 2025 / 7186 Eastwoodbury Tree Services Ltd / Utilities / UKPN</t>
        </is>
      </c>
      <c r="B2382" t="inlineStr">
        <is>
          <t>Utilities</t>
        </is>
      </c>
      <c r="C2382" t="inlineStr">
        <is>
          <t>UKPN</t>
        </is>
      </c>
      <c r="D2382" t="inlineStr">
        <is>
          <t>WF13 EKT , 4x4 , Land rover  , Defender</t>
        </is>
      </c>
      <c r="E2382" t="inlineStr">
        <is>
          <t>WF13 EKT , 4x4 , Land rover  , Defender</t>
        </is>
      </c>
      <c r="F2382" t="inlineStr">
        <is>
          <t>WF13 EKT , 4x4 , Land rover  , Defender</t>
        </is>
      </c>
      <c r="G2382" t="inlineStr">
        <is>
          <t xml:space="preserve">Dan Gilbert </t>
        </is>
      </c>
      <c r="H2382" t="inlineStr">
        <is>
          <t>4x4</t>
        </is>
      </c>
      <c r="I2382" t="inlineStr">
        <is>
          <t>Daily/ Weekly Vehicle Inspection</t>
        </is>
      </c>
      <c r="J2382" t="inlineStr">
        <is>
          <t>N/A</t>
        </is>
      </c>
      <c r="K2382" t="inlineStr">
        <is>
          <t>7186 Eastwoodbury Tree Services Ltd</t>
        </is>
      </c>
      <c r="L2382" t="inlineStr">
        <is>
          <t>05/12/2025 07:36</t>
        </is>
      </c>
      <c r="M2382" t="inlineStr">
        <is>
          <t>None</t>
        </is>
      </c>
      <c r="N2382" t="inlineStr">
        <is>
          <t>&lt;p&gt;&lt;/p&gt;</t>
        </is>
      </c>
      <c r="O2382" t="inlineStr"/>
      <c r="P2382" t="inlineStr">
        <is>
          <t>WF13 EKT , 4x4 , Land rover  , Defender</t>
        </is>
      </c>
      <c r="Q2382" t="inlineStr">
        <is>
          <t>UKPN</t>
        </is>
      </c>
      <c r="R2382" t="b">
        <v>0</v>
      </c>
    </row>
    <row r="2383">
      <c r="A2383" t="inlineStr">
        <is>
          <t>5 Dec 2025 / 7996 M G Tree Surgery Ltd / Utilities / UKPN</t>
        </is>
      </c>
      <c r="B2383" t="inlineStr">
        <is>
          <t>Utilities</t>
        </is>
      </c>
      <c r="C2383" t="inlineStr">
        <is>
          <t>UKPN</t>
        </is>
      </c>
      <c r="D2383" t="inlineStr">
        <is>
          <t>GU13 WNL , MEWP , Land Rover , Defender 130</t>
        </is>
      </c>
      <c r="E2383" t="inlineStr">
        <is>
          <t>GU13 WNL , MEWP , Land Rover , Defender 130</t>
        </is>
      </c>
      <c r="F2383" t="inlineStr">
        <is>
          <t>GU13 WNL , MEWP , Land Rover , Defender 130</t>
        </is>
      </c>
      <c r="G2383" t="inlineStr">
        <is>
          <t>Max</t>
        </is>
      </c>
      <c r="H2383" t="inlineStr">
        <is>
          <t>4x4</t>
        </is>
      </c>
      <c r="I2383" t="inlineStr">
        <is>
          <t>Daily/ Weekly Vehicle Inspection</t>
        </is>
      </c>
      <c r="J2383" t="inlineStr">
        <is>
          <t>N/A</t>
        </is>
      </c>
      <c r="K2383" t="inlineStr">
        <is>
          <t>7996 M G Tree Surgery Ltd</t>
        </is>
      </c>
      <c r="L2383" t="inlineStr">
        <is>
          <t>05/12/2025 08:35</t>
        </is>
      </c>
      <c r="M2383" t="inlineStr">
        <is>
          <t>None</t>
        </is>
      </c>
      <c r="N2383" t="inlineStr">
        <is>
          <t>&lt;p&gt;&lt;/p&gt;</t>
        </is>
      </c>
      <c r="O2383" t="inlineStr"/>
      <c r="P2383" t="inlineStr">
        <is>
          <t>GU13 WNL , MEWP , Land Rover , Defender 130</t>
        </is>
      </c>
      <c r="Q2383" t="inlineStr">
        <is>
          <t>UKPN</t>
        </is>
      </c>
      <c r="R2383" t="b">
        <v>0</v>
      </c>
    </row>
    <row r="2384">
      <c r="A2384" t="inlineStr">
        <is>
          <t>5 Dec 2025 / 7951 Austin Tree Care LTD / Utilities / UKPN</t>
        </is>
      </c>
      <c r="B2384" t="inlineStr">
        <is>
          <t>Utilities</t>
        </is>
      </c>
      <c r="C2384" t="inlineStr">
        <is>
          <t>UKPN</t>
        </is>
      </c>
      <c r="D2384" t="inlineStr">
        <is>
          <t>SA9ST6P0001283612 , Tow Chipper , Forst , ST6p</t>
        </is>
      </c>
      <c r="E2384" t="inlineStr">
        <is>
          <t>SA9ST6P0001283612 , Tow Chipper , Forst , ST6p</t>
        </is>
      </c>
      <c r="F2384" t="inlineStr">
        <is>
          <t>SA9ST6P0001283612 , Tow Chipper , Forst , ST6p</t>
        </is>
      </c>
      <c r="G2384" t="inlineStr">
        <is>
          <t xml:space="preserve">Jack Austin </t>
        </is>
      </c>
      <c r="H2384" t="inlineStr">
        <is>
          <t>Towed Chipper</t>
        </is>
      </c>
      <c r="I2384" t="inlineStr">
        <is>
          <t>Daily/ Weekly Vehicle Inspection</t>
        </is>
      </c>
      <c r="J2384" t="inlineStr">
        <is>
          <t>N/A</t>
        </is>
      </c>
      <c r="K2384" t="inlineStr">
        <is>
          <t>7951 Austin Tree Care LTD</t>
        </is>
      </c>
      <c r="L2384" t="inlineStr">
        <is>
          <t>05/12/2025 08:37</t>
        </is>
      </c>
      <c r="M2384" t="inlineStr">
        <is>
          <t>None</t>
        </is>
      </c>
      <c r="N2384" t="inlineStr">
        <is>
          <t>&lt;p&gt;&lt;/p&gt;</t>
        </is>
      </c>
      <c r="O2384" t="inlineStr"/>
      <c r="P2384" t="inlineStr">
        <is>
          <t>SA9ST6P0001283612 , Tow Chipper , Forst , ST6p</t>
        </is>
      </c>
      <c r="Q2384" t="inlineStr">
        <is>
          <t>UKPN</t>
        </is>
      </c>
      <c r="R2384" t="b">
        <v>0</v>
      </c>
    </row>
    <row r="2385">
      <c r="A2385" t="inlineStr">
        <is>
          <t>5 Dec 2025 / 7951 Austin Tree Care LTD / Utilities / UKPN</t>
        </is>
      </c>
      <c r="B2385" t="inlineStr">
        <is>
          <t>Utilities</t>
        </is>
      </c>
      <c r="C2385" t="inlineStr">
        <is>
          <t>UKPN</t>
        </is>
      </c>
      <c r="D2385" t="inlineStr">
        <is>
          <t>KN58 FUY , Tipper , Volkswagan , Crafter</t>
        </is>
      </c>
      <c r="E2385" t="inlineStr">
        <is>
          <t>KN58 FUY , Tipper , Volkswagan , Crafter</t>
        </is>
      </c>
      <c r="F2385" t="inlineStr">
        <is>
          <t>KN58 FUY , Tipper , Volkswagan , Crafter</t>
        </is>
      </c>
      <c r="G2385" t="inlineStr">
        <is>
          <t xml:space="preserve">Jack Austin </t>
        </is>
      </c>
      <c r="H2385" t="inlineStr">
        <is>
          <t>Tipper</t>
        </is>
      </c>
      <c r="I2385" t="inlineStr">
        <is>
          <t>Daily/ Weekly Vehicle Inspection</t>
        </is>
      </c>
      <c r="J2385" t="inlineStr">
        <is>
          <t>N/A</t>
        </is>
      </c>
      <c r="K2385" t="inlineStr">
        <is>
          <t>7951 Austin Tree Care LTD</t>
        </is>
      </c>
      <c r="L2385" t="inlineStr">
        <is>
          <t>05/12/2025 08:38</t>
        </is>
      </c>
      <c r="M2385" t="inlineStr">
        <is>
          <t>None</t>
        </is>
      </c>
      <c r="N2385" t="inlineStr">
        <is>
          <t>&lt;p&gt;&lt;/p&gt;</t>
        </is>
      </c>
      <c r="O2385" t="inlineStr"/>
      <c r="P2385" t="inlineStr">
        <is>
          <t>KN58 FUY , Tipper , Volkswagan , Crafter</t>
        </is>
      </c>
      <c r="Q2385" t="inlineStr">
        <is>
          <t>UKPN</t>
        </is>
      </c>
      <c r="R2385" t="b">
        <v>0</v>
      </c>
    </row>
    <row r="2386">
      <c r="A2386" t="inlineStr">
        <is>
          <t>5 Dec 2025 / 7806 Optimum Tree Services Ltd / Utilities / UKPN</t>
        </is>
      </c>
      <c r="B2386" t="inlineStr">
        <is>
          <t>Utilities</t>
        </is>
      </c>
      <c r="C2386" t="inlineStr">
        <is>
          <t>UKPN</t>
        </is>
      </c>
      <c r="D2386" t="inlineStr">
        <is>
          <t>SA9ST800000283069 , Chipper , Forst , ST 6P</t>
        </is>
      </c>
      <c r="E2386" t="inlineStr">
        <is>
          <t>SA9ST800000283069 , Chipper , Forst , ST 6P</t>
        </is>
      </c>
      <c r="F2386" t="inlineStr">
        <is>
          <t>SA9ST800000283069 , Chipper , Forst , ST 6P</t>
        </is>
      </c>
      <c r="G2386" t="inlineStr">
        <is>
          <t xml:space="preserve">Kenny Aldred </t>
        </is>
      </c>
      <c r="H2386" t="inlineStr">
        <is>
          <t>Towed Chipper</t>
        </is>
      </c>
      <c r="I2386" t="inlineStr">
        <is>
          <t>Daily/ Weekly Vehicle Inspection</t>
        </is>
      </c>
      <c r="J2386" t="inlineStr">
        <is>
          <t>N/A</t>
        </is>
      </c>
      <c r="K2386" t="inlineStr">
        <is>
          <t>7806 Optimum Tree Services Ltd</t>
        </is>
      </c>
      <c r="L2386" t="inlineStr">
        <is>
          <t>05/12/2025 08:38</t>
        </is>
      </c>
      <c r="M2386" t="inlineStr">
        <is>
          <t>None</t>
        </is>
      </c>
      <c r="N2386" t="inlineStr">
        <is>
          <t>&lt;p&gt;&lt;/p&gt;</t>
        </is>
      </c>
      <c r="O2386" t="inlineStr"/>
      <c r="P2386" t="inlineStr">
        <is>
          <t>SA9ST800000283069 , Chipper , Forst , ST 6P</t>
        </is>
      </c>
      <c r="Q2386" t="inlineStr">
        <is>
          <t>UKPN</t>
        </is>
      </c>
      <c r="R2386" t="b">
        <v>0</v>
      </c>
    </row>
    <row r="2387">
      <c r="A2387" t="inlineStr">
        <is>
          <t>5 Dec 2025 / 7889 Tree Tech Suffolk Ltd</t>
        </is>
      </c>
      <c r="B2387" t="inlineStr">
        <is>
          <t>Utilities &amp; Inland Waterways</t>
        </is>
      </c>
      <c r="C2387" t="inlineStr">
        <is>
          <t>UKPN</t>
        </is>
      </c>
      <c r="D2387" t="inlineStr">
        <is>
          <t>Tow Chipper - Jenson - A530L - 55210639484x4 - Isuzu - D-max - NS03 TTSTipper - Mercedes - Sprinter - NS06TTS</t>
        </is>
      </c>
      <c r="E2387" t="inlineStr">
        <is>
          <t>Tow Chipper - Jenson - A530L - 55210639484x4 - Isuzu - D-max - NS03 TTSTipper - Mercedes - Sprinter - NS06TTS</t>
        </is>
      </c>
      <c r="F2387" t="inlineStr">
        <is>
          <t>Tow Chipper - Jenson - A530L - 55210639484x4 - Isuzu - D-max - NS03 TTSTipper - Mercedes - Sprinter - NS06TTS</t>
        </is>
      </c>
      <c r="G2387" t="inlineStr">
        <is>
          <t xml:space="preserve">Nikki sparrow Danny Appleby Nikki sparrow </t>
        </is>
      </c>
      <c r="H2387" t="inlineStr">
        <is>
          <t>Towed Chipper4x4Tipper</t>
        </is>
      </c>
      <c r="I2387" t="inlineStr">
        <is>
          <t>Daily/ Weekly Vehicle Inspection</t>
        </is>
      </c>
      <c r="J2387" t="inlineStr">
        <is>
          <t>N/A</t>
        </is>
      </c>
      <c r="K2387" t="inlineStr">
        <is>
          <t>7889 Tree Tech Suffolk Ltd</t>
        </is>
      </c>
      <c r="L2387" t="inlineStr">
        <is>
          <t>05/12/2025 08:39</t>
        </is>
      </c>
      <c r="M2387" t="inlineStr">
        <is>
          <t>None</t>
        </is>
      </c>
      <c r="N2387" t="inlineStr">
        <is>
          <t>&lt;p&gt;&lt;/p&gt;</t>
        </is>
      </c>
      <c r="O2387" t="inlineStr">
        <is>
          <t>Select Vehicle:Ns08 ttsSelect Vehicle:Ns05 tts</t>
        </is>
      </c>
      <c r="P2387" t="inlineStr">
        <is>
          <t>Tow Chipper - Jenson - A530L - 55210639484x4 - Isuzu - D-max - NS03 TTSTipper - Mercedes - Sprinter - NS06TTS</t>
        </is>
      </c>
      <c r="Q2387" t="inlineStr">
        <is>
          <t>UKPN</t>
        </is>
      </c>
      <c r="R2387" t="b">
        <v>0</v>
      </c>
    </row>
    <row r="2388">
      <c r="A2388" t="inlineStr">
        <is>
          <t>5 Dec 2025 / 7806 Optimum Tree Services Ltd / Utilities / UKPN</t>
        </is>
      </c>
      <c r="B2388" t="inlineStr">
        <is>
          <t>Utilities</t>
        </is>
      </c>
      <c r="C2388" t="inlineStr">
        <is>
          <t>UKPN</t>
        </is>
      </c>
      <c r="D2388" t="inlineStr">
        <is>
          <t>Wd14evn , 4x4 , Landrover  , Defender</t>
        </is>
      </c>
      <c r="E2388" t="inlineStr">
        <is>
          <t>Wd14evn , 4x4 , Landrover  , Defender</t>
        </is>
      </c>
      <c r="F2388" t="inlineStr">
        <is>
          <t>Wd14evn , 4x4 , Landrover  , Defender</t>
        </is>
      </c>
      <c r="G2388" t="inlineStr">
        <is>
          <t xml:space="preserve">Kenny Aldred </t>
        </is>
      </c>
      <c r="H2388" t="inlineStr">
        <is>
          <t>4x4</t>
        </is>
      </c>
      <c r="I2388" t="inlineStr">
        <is>
          <t>Daily/ Weekly Vehicle Inspection</t>
        </is>
      </c>
      <c r="J2388" t="inlineStr">
        <is>
          <t>N/A</t>
        </is>
      </c>
      <c r="K2388" t="inlineStr">
        <is>
          <t>7806 Optimum Tree Services Ltd</t>
        </is>
      </c>
      <c r="L2388" t="inlineStr">
        <is>
          <t>05/12/2025 08:40</t>
        </is>
      </c>
      <c r="M2388" t="inlineStr">
        <is>
          <t>None</t>
        </is>
      </c>
      <c r="N2388" t="inlineStr">
        <is>
          <t>&lt;p&gt;&lt;/p&gt;</t>
        </is>
      </c>
      <c r="O2388" t="inlineStr"/>
      <c r="P2388" t="inlineStr">
        <is>
          <t>Wd14evn , 4x4 , Landrover  , Defender</t>
        </is>
      </c>
      <c r="Q2388" t="inlineStr">
        <is>
          <t>UKPN</t>
        </is>
      </c>
      <c r="R2388" t="b">
        <v>0</v>
      </c>
    </row>
    <row r="2389">
      <c r="A2389" t="inlineStr">
        <is>
          <t>5 Dec 2025 / 7965 Kingfisher Tree Services Ltd 1 / Utilities / SSE</t>
        </is>
      </c>
      <c r="B2389" t="inlineStr">
        <is>
          <t>Utilities</t>
        </is>
      </c>
      <c r="C2389" t="inlineStr">
        <is>
          <t>SSE</t>
        </is>
      </c>
      <c r="D2389" t="inlineStr">
        <is>
          <t>WD63JYF , 4x4 , Landrover , Defender 110 Cherry Picker</t>
        </is>
      </c>
      <c r="E2389" t="inlineStr">
        <is>
          <t>WD63JYF , 4x4 , Landrover , Defender 110 Cherry Picker</t>
        </is>
      </c>
      <c r="F2389" t="inlineStr">
        <is>
          <t>WD63JYF , 4x4 , Landrover , Defender 110 Cherry Picker</t>
        </is>
      </c>
      <c r="G2389" t="inlineStr">
        <is>
          <t xml:space="preserve">Luke Smith </t>
        </is>
      </c>
      <c r="H2389" t="inlineStr">
        <is>
          <t>4x4</t>
        </is>
      </c>
      <c r="I2389" t="inlineStr">
        <is>
          <t>Daily/ Weekly Vehicle Inspection</t>
        </is>
      </c>
      <c r="J2389" t="inlineStr">
        <is>
          <t>N/A</t>
        </is>
      </c>
      <c r="K2389" t="inlineStr">
        <is>
          <t>7965 Kingfisher Tree Services Ltd 1</t>
        </is>
      </c>
      <c r="L2389" t="inlineStr">
        <is>
          <t>05/12/2025 09:36</t>
        </is>
      </c>
      <c r="M2389" t="inlineStr">
        <is>
          <t>None</t>
        </is>
      </c>
      <c r="N2389" t="inlineStr">
        <is>
          <t>&lt;p&gt;&lt;/p&gt;</t>
        </is>
      </c>
      <c r="O2389" t="inlineStr">
        <is>
          <t>Confirm that you have checked this vehicle as per the guidance document and the vehicle is safe and roadworthy:Near side brake light lense cracked
-</t>
        </is>
      </c>
      <c r="P2389" t="inlineStr">
        <is>
          <t>WD63JYF , 4x4 , Landrover , Defender 110 Cherry Picker</t>
        </is>
      </c>
      <c r="Q2389" t="inlineStr">
        <is>
          <t>SSE</t>
        </is>
      </c>
      <c r="R2389" t="b">
        <v>0</v>
      </c>
    </row>
    <row r="2390">
      <c r="A2390" t="inlineStr">
        <is>
          <t>5 Dec 2025 / Christopher Simeoli / Utilities / NGED</t>
        </is>
      </c>
      <c r="B2390" t="inlineStr">
        <is>
          <t>Utilities</t>
        </is>
      </c>
      <c r="C2390" t="inlineStr">
        <is>
          <t>NGED</t>
        </is>
      </c>
      <c r="D2390" t="inlineStr">
        <is>
          <t>EO73KVB , Car - Electric , Kia , Niro</t>
        </is>
      </c>
      <c r="E2390" t="inlineStr">
        <is>
          <t>EO73KVB , Car - Electric , Kia , Niro</t>
        </is>
      </c>
      <c r="F2390" t="inlineStr">
        <is>
          <t>EO73KVB , Car - Electric , Kia , Niro</t>
        </is>
      </c>
      <c r="G2390" t="inlineStr">
        <is>
          <t>Chris Simeoli</t>
        </is>
      </c>
      <c r="H2390" t="inlineStr">
        <is>
          <t>Car - Electric (GC Owned)</t>
        </is>
      </c>
      <c r="I2390" t="inlineStr">
        <is>
          <t>Daily/ Weekly Vehicle Inspection</t>
        </is>
      </c>
      <c r="J2390" t="inlineStr">
        <is>
          <t>N/A</t>
        </is>
      </c>
      <c r="K2390" t="inlineStr">
        <is>
          <t>Christopher Simeoli</t>
        </is>
      </c>
      <c r="L2390" t="inlineStr">
        <is>
          <t>05/12/2025 12:35</t>
        </is>
      </c>
      <c r="M2390" t="inlineStr">
        <is>
          <t>None</t>
        </is>
      </c>
      <c r="N2390" t="inlineStr">
        <is>
          <t>&lt;p&gt;&lt;/p&gt;</t>
        </is>
      </c>
      <c r="O2390" t="inlineStr"/>
      <c r="P2390" t="inlineStr">
        <is>
          <t>EO73KVB , Car - Electric , Kia , Niro</t>
        </is>
      </c>
      <c r="Q2390" t="inlineStr">
        <is>
          <t>NGED</t>
        </is>
      </c>
      <c r="R2390" t="b">
        <v>0</v>
      </c>
    </row>
    <row r="2391">
      <c r="A2391" t="inlineStr">
        <is>
          <t>5 Dec 2025 / Andrew Carr / Utilities / SSE</t>
        </is>
      </c>
      <c r="B2391" t="inlineStr">
        <is>
          <t>Utilities</t>
        </is>
      </c>
      <c r="C2391" t="inlineStr">
        <is>
          <t>SSE</t>
        </is>
      </c>
      <c r="D2391" t="inlineStr"/>
      <c r="E2391" t="inlineStr"/>
      <c r="F2391" t="inlineStr"/>
      <c r="G2391" t="inlineStr">
        <is>
          <t xml:space="preserve">Andrew Carr </t>
        </is>
      </c>
      <c r="H2391" t="inlineStr">
        <is>
          <t>Car - Petrol</t>
        </is>
      </c>
      <c r="I2391" t="inlineStr">
        <is>
          <t>Daily/ Weekly Vehicle Inspection</t>
        </is>
      </c>
      <c r="J2391" t="inlineStr">
        <is>
          <t>N/A</t>
        </is>
      </c>
      <c r="K2391" t="inlineStr">
        <is>
          <t>Andrew Carr</t>
        </is>
      </c>
      <c r="L2391" t="inlineStr">
        <is>
          <t>05/12/2025 14:35</t>
        </is>
      </c>
      <c r="M2391" t="inlineStr">
        <is>
          <t>None</t>
        </is>
      </c>
      <c r="N2391" t="inlineStr">
        <is>
          <t>&lt;p&gt;&lt;/p&gt;</t>
        </is>
      </c>
      <c r="O2391" t="inlineStr">
        <is>
          <t>Confirm that you have checked this vehicle as per the guidance document and the vehicle is safe and roadworthy:Washer pump fitted Wednesday 3/12
Front tyres fitted 5/12
-</t>
        </is>
      </c>
      <c r="P2391" t="inlineStr"/>
      <c r="Q2391" t="inlineStr">
        <is>
          <t>SSE</t>
        </is>
      </c>
      <c r="R2391" t="b">
        <v>0</v>
      </c>
    </row>
    <row r="2392">
      <c r="A2392" t="inlineStr">
        <is>
          <t>8 Dec 2025 / 7806 Optimum Tree Services Ltd / Utilities / UKPN</t>
        </is>
      </c>
      <c r="B2392" t="inlineStr">
        <is>
          <t>Utilities</t>
        </is>
      </c>
      <c r="C2392" t="inlineStr">
        <is>
          <t>UKPN</t>
        </is>
      </c>
      <c r="D2392" t="inlineStr">
        <is>
          <t>SA9TAPLAF27414263 , Trailer , Tow Mate , Plant Trailer</t>
        </is>
      </c>
      <c r="E2392" t="inlineStr">
        <is>
          <t>SA9TAPLAF27414263 , Trailer , Tow Mate , Plant Trailer</t>
        </is>
      </c>
      <c r="F2392" t="inlineStr">
        <is>
          <t>SA9TAPLAF27414263 , Trailer , Tow Mate , Plant Trailer</t>
        </is>
      </c>
      <c r="G2392" t="inlineStr">
        <is>
          <t xml:space="preserve">Abraham Davies </t>
        </is>
      </c>
      <c r="H2392" t="inlineStr">
        <is>
          <t>Plant Trailer</t>
        </is>
      </c>
      <c r="I2392" t="inlineStr">
        <is>
          <t>Daily/ Weekly Vehicle Inspection</t>
        </is>
      </c>
      <c r="J2392" t="inlineStr">
        <is>
          <t>N/A</t>
        </is>
      </c>
      <c r="K2392" t="inlineStr">
        <is>
          <t>7806 Optimum Tree Services Ltd</t>
        </is>
      </c>
      <c r="L2392" t="inlineStr">
        <is>
          <t>08/12/2025 07:36</t>
        </is>
      </c>
      <c r="M2392" t="inlineStr">
        <is>
          <t>None</t>
        </is>
      </c>
      <c r="N2392" t="inlineStr">
        <is>
          <t>&lt;p&gt;&lt;/p&gt;</t>
        </is>
      </c>
      <c r="O2392" t="inlineStr"/>
      <c r="P2392" t="inlineStr">
        <is>
          <t>SA9TAPLAF27414263 , Trailer , Tow Mate , Plant Trailer</t>
        </is>
      </c>
      <c r="Q2392" t="inlineStr">
        <is>
          <t>UKPN</t>
        </is>
      </c>
      <c r="R2392" t="b">
        <v>0</v>
      </c>
    </row>
    <row r="2393">
      <c r="A2393" t="inlineStr">
        <is>
          <t>8 Dec 2025 / 7951 Austin Tree Care LTD / Utilities / UKPN</t>
        </is>
      </c>
      <c r="B2393" t="inlineStr">
        <is>
          <t>Utilities</t>
        </is>
      </c>
      <c r="C2393" t="inlineStr">
        <is>
          <t>UKPN</t>
        </is>
      </c>
      <c r="D2393" t="inlineStr">
        <is>
          <t>KN58 FUY , Tipper , Volkswagan , Crafter</t>
        </is>
      </c>
      <c r="E2393" t="inlineStr">
        <is>
          <t>KN58 FUY , Tipper , Volkswagan , Crafter</t>
        </is>
      </c>
      <c r="F2393" t="inlineStr">
        <is>
          <t>KN58 FUY , Tipper , Volkswagan , Crafter</t>
        </is>
      </c>
      <c r="G2393" t="inlineStr">
        <is>
          <t xml:space="preserve">James Tasker </t>
        </is>
      </c>
      <c r="H2393" t="inlineStr">
        <is>
          <t>Tipper</t>
        </is>
      </c>
      <c r="I2393" t="inlineStr">
        <is>
          <t>Daily/ Weekly Vehicle Inspection</t>
        </is>
      </c>
      <c r="J2393" t="inlineStr">
        <is>
          <t>N/A</t>
        </is>
      </c>
      <c r="K2393" t="inlineStr">
        <is>
          <t>7951 Austin Tree Care LTD</t>
        </is>
      </c>
      <c r="L2393" t="inlineStr">
        <is>
          <t>08/12/2025 07:37</t>
        </is>
      </c>
      <c r="M2393" t="inlineStr">
        <is>
          <t>None</t>
        </is>
      </c>
      <c r="N2393" t="inlineStr">
        <is>
          <t>&lt;p&gt;&lt;/p&gt;</t>
        </is>
      </c>
      <c r="O2393" t="inlineStr"/>
      <c r="P2393" t="inlineStr">
        <is>
          <t>KN58 FUY , Tipper , Volkswagan , Crafter</t>
        </is>
      </c>
      <c r="Q2393" t="inlineStr">
        <is>
          <t>UKPN</t>
        </is>
      </c>
      <c r="R2393" t="b">
        <v>0</v>
      </c>
    </row>
    <row r="2394">
      <c r="A2394" t="inlineStr">
        <is>
          <t>8 Dec 2025 / 7186 Eastwoodbury Tree Services Ltd / Utilities / UKPN</t>
        </is>
      </c>
      <c r="B2394" t="inlineStr">
        <is>
          <t>Utilities</t>
        </is>
      </c>
      <c r="C2394" t="inlineStr">
        <is>
          <t>UKPN</t>
        </is>
      </c>
      <c r="D2394" t="inlineStr">
        <is>
          <t>WF13 EKT , 4x4 , Land rover  , Defender</t>
        </is>
      </c>
      <c r="E2394" t="inlineStr">
        <is>
          <t>WF13 EKT , 4x4 , Land rover  , Defender</t>
        </is>
      </c>
      <c r="F2394" t="inlineStr">
        <is>
          <t>WF13 EKT , 4x4 , Land rover  , Defender</t>
        </is>
      </c>
      <c r="G2394" t="inlineStr">
        <is>
          <t xml:space="preserve">Dan Gilbert </t>
        </is>
      </c>
      <c r="H2394" t="inlineStr">
        <is>
          <t>4x4</t>
        </is>
      </c>
      <c r="I2394" t="inlineStr">
        <is>
          <t>Daily/ Weekly Vehicle Inspection</t>
        </is>
      </c>
      <c r="J2394" t="inlineStr">
        <is>
          <t>N/A</t>
        </is>
      </c>
      <c r="K2394" t="inlineStr">
        <is>
          <t>7186 Eastwoodbury Tree Services Ltd</t>
        </is>
      </c>
      <c r="L2394" t="inlineStr">
        <is>
          <t>08/12/2025 07:38</t>
        </is>
      </c>
      <c r="M2394" t="inlineStr">
        <is>
          <t>None</t>
        </is>
      </c>
      <c r="N2394" t="inlineStr">
        <is>
          <t>&lt;p&gt;&lt;/p&gt;</t>
        </is>
      </c>
      <c r="O2394" t="inlineStr"/>
      <c r="P2394" t="inlineStr">
        <is>
          <t>WF13 EKT , 4x4 , Land rover  , Defender</t>
        </is>
      </c>
      <c r="Q2394" t="inlineStr">
        <is>
          <t>UKPN</t>
        </is>
      </c>
      <c r="R2394" t="b">
        <v>0</v>
      </c>
    </row>
    <row r="2395">
      <c r="A2395" t="inlineStr">
        <is>
          <t>8 Dec 2025 / 7806 Optimum Tree Services Ltd / Utilities / UKPN</t>
        </is>
      </c>
      <c r="B2395" t="inlineStr">
        <is>
          <t>Utilities</t>
        </is>
      </c>
      <c r="C2395" t="inlineStr">
        <is>
          <t>UKPN</t>
        </is>
      </c>
      <c r="D2395" t="inlineStr">
        <is>
          <t>WD14EVB , MEWP , Land Rover , Defender</t>
        </is>
      </c>
      <c r="E2395" t="inlineStr">
        <is>
          <t>WD14EVB , MEWP , Land Rover , Defender</t>
        </is>
      </c>
      <c r="F2395" t="inlineStr">
        <is>
          <t>WD14EVB , MEWP , Land Rover , Defender</t>
        </is>
      </c>
      <c r="G2395" t="inlineStr">
        <is>
          <t xml:space="preserve">Kenny Aldred </t>
        </is>
      </c>
      <c r="H2395" t="inlineStr">
        <is>
          <t>4x4</t>
        </is>
      </c>
      <c r="I2395" t="inlineStr">
        <is>
          <t>Daily/ Weekly Vehicle Inspection</t>
        </is>
      </c>
      <c r="J2395" t="inlineStr">
        <is>
          <t>N/A</t>
        </is>
      </c>
      <c r="K2395" t="inlineStr">
        <is>
          <t>7806 Optimum Tree Services Ltd</t>
        </is>
      </c>
      <c r="L2395" t="inlineStr">
        <is>
          <t>08/12/2025 07:39</t>
        </is>
      </c>
      <c r="M2395" t="inlineStr">
        <is>
          <t>None</t>
        </is>
      </c>
      <c r="N2395" t="inlineStr">
        <is>
          <t>&lt;p&gt;&lt;/p&gt;</t>
        </is>
      </c>
      <c r="O2395" t="inlineStr"/>
      <c r="P2395" t="inlineStr">
        <is>
          <t>WD14EVB , MEWP , Land Rover , Defender</t>
        </is>
      </c>
      <c r="Q2395" t="inlineStr">
        <is>
          <t>UKPN</t>
        </is>
      </c>
      <c r="R2395" t="b">
        <v>0</v>
      </c>
    </row>
    <row r="2396">
      <c r="A2396" t="inlineStr">
        <is>
          <t>8 Dec 2025 / 7951 Austin Tree Care LTD / Utilities / UKPN</t>
        </is>
      </c>
      <c r="B2396" t="inlineStr">
        <is>
          <t>Utilities</t>
        </is>
      </c>
      <c r="C2396" t="inlineStr">
        <is>
          <t>UKPN</t>
        </is>
      </c>
      <c r="D2396" t="inlineStr">
        <is>
          <t>SA9ST6P0001283612 , Tow Chipper , Forst , ST6p</t>
        </is>
      </c>
      <c r="E2396" t="inlineStr">
        <is>
          <t>SA9ST6P0001283612 , Tow Chipper , Forst , ST6p</t>
        </is>
      </c>
      <c r="F2396" t="inlineStr">
        <is>
          <t>SA9ST6P0001283612 , Tow Chipper , Forst , ST6p</t>
        </is>
      </c>
      <c r="G2396" t="inlineStr">
        <is>
          <t xml:space="preserve">James Tasker </t>
        </is>
      </c>
      <c r="H2396" t="inlineStr">
        <is>
          <t>Towed Chipper</t>
        </is>
      </c>
      <c r="I2396" t="inlineStr">
        <is>
          <t>Daily/ Weekly Vehicle Inspection</t>
        </is>
      </c>
      <c r="J2396" t="inlineStr">
        <is>
          <t>N/A</t>
        </is>
      </c>
      <c r="K2396" t="inlineStr">
        <is>
          <t>7951 Austin Tree Care LTD</t>
        </is>
      </c>
      <c r="L2396" t="inlineStr">
        <is>
          <t>08/12/2025 07:40</t>
        </is>
      </c>
      <c r="M2396" t="inlineStr">
        <is>
          <t>None</t>
        </is>
      </c>
      <c r="N2396" t="inlineStr">
        <is>
          <t>&lt;p&gt;&lt;/p&gt;</t>
        </is>
      </c>
      <c r="O2396" t="inlineStr"/>
      <c r="P2396" t="inlineStr">
        <is>
          <t>SA9ST6P0001283612 , Tow Chipper , Forst , ST6p</t>
        </is>
      </c>
      <c r="Q2396" t="inlineStr">
        <is>
          <t>UKPN</t>
        </is>
      </c>
      <c r="R2396" t="b">
        <v>0</v>
      </c>
    </row>
    <row r="2397">
      <c r="A2397" t="inlineStr">
        <is>
          <t>8 Dec 2025 / 7806 Optimum Tree Services Ltd / Utilities / UKPN</t>
        </is>
      </c>
      <c r="B2397" t="inlineStr">
        <is>
          <t>Utilities</t>
        </is>
      </c>
      <c r="C2397" t="inlineStr">
        <is>
          <t>UKPN</t>
        </is>
      </c>
      <c r="D2397" t="inlineStr">
        <is>
          <t>Wd14evn , 4x4 , Landrover  , Defender</t>
        </is>
      </c>
      <c r="E2397" t="inlineStr">
        <is>
          <t>Wd14evn , 4x4 , Landrover  , Defender</t>
        </is>
      </c>
      <c r="F2397" t="inlineStr">
        <is>
          <t>Wd14evn , 4x4 , Landrover  , Defender</t>
        </is>
      </c>
      <c r="G2397" t="inlineStr">
        <is>
          <t xml:space="preserve">Abraham Davies </t>
        </is>
      </c>
      <c r="H2397" t="inlineStr">
        <is>
          <t>4x4</t>
        </is>
      </c>
      <c r="I2397" t="inlineStr">
        <is>
          <t>Daily/ Weekly Vehicle Inspection</t>
        </is>
      </c>
      <c r="J2397" t="inlineStr">
        <is>
          <t>N/A</t>
        </is>
      </c>
      <c r="K2397" t="inlineStr">
        <is>
          <t>7806 Optimum Tree Services Ltd</t>
        </is>
      </c>
      <c r="L2397" t="inlineStr">
        <is>
          <t>08/12/2025 07:41</t>
        </is>
      </c>
      <c r="M2397" t="inlineStr">
        <is>
          <t>None</t>
        </is>
      </c>
      <c r="N2397" t="inlineStr">
        <is>
          <t>&lt;p&gt;&lt;/p&gt;</t>
        </is>
      </c>
      <c r="O2397" t="inlineStr"/>
      <c r="P2397" t="inlineStr">
        <is>
          <t>Wd14evn , 4x4 , Landrover  , Defender</t>
        </is>
      </c>
      <c r="Q2397" t="inlineStr">
        <is>
          <t>UKPN</t>
        </is>
      </c>
      <c r="R2397" t="b">
        <v>0</v>
      </c>
    </row>
    <row r="2398">
      <c r="A2398" t="inlineStr">
        <is>
          <t>8 Dec 2025 / 7996 M G Tree Surgery Ltd / Utilities / UKPN</t>
        </is>
      </c>
      <c r="B2398" t="inlineStr">
        <is>
          <t>Utilities</t>
        </is>
      </c>
      <c r="C2398" t="inlineStr">
        <is>
          <t>UKPN</t>
        </is>
      </c>
      <c r="D2398" t="inlineStr">
        <is>
          <t>GU13 WNL , MEWP , Land Rover , Defender 130</t>
        </is>
      </c>
      <c r="E2398" t="inlineStr">
        <is>
          <t>GU13 WNL , MEWP , Land Rover , Defender 130</t>
        </is>
      </c>
      <c r="F2398" t="inlineStr">
        <is>
          <t>GU13 WNL , MEWP , Land Rover , Defender 130</t>
        </is>
      </c>
      <c r="G2398" t="inlineStr">
        <is>
          <t>Max</t>
        </is>
      </c>
      <c r="H2398" t="inlineStr">
        <is>
          <t>4x4</t>
        </is>
      </c>
      <c r="I2398" t="inlineStr">
        <is>
          <t>Daily/ Weekly Vehicle Inspection</t>
        </is>
      </c>
      <c r="J2398" t="inlineStr">
        <is>
          <t>N/A</t>
        </is>
      </c>
      <c r="K2398" t="inlineStr">
        <is>
          <t>7996 M G Tree Surgery Ltd</t>
        </is>
      </c>
      <c r="L2398" t="inlineStr">
        <is>
          <t>08/12/2025 08:37</t>
        </is>
      </c>
      <c r="M2398" t="inlineStr">
        <is>
          <t>None</t>
        </is>
      </c>
      <c r="N2398" t="inlineStr">
        <is>
          <t>&lt;p&gt;&lt;/p&gt;</t>
        </is>
      </c>
      <c r="O2398" t="inlineStr"/>
      <c r="P2398" t="inlineStr">
        <is>
          <t>GU13 WNL , MEWP , Land Rover , Defender 130</t>
        </is>
      </c>
      <c r="Q2398" t="inlineStr">
        <is>
          <t>UKPN</t>
        </is>
      </c>
      <c r="R2398" t="b">
        <v>0</v>
      </c>
    </row>
    <row r="2399">
      <c r="A2399" t="inlineStr">
        <is>
          <t>8 Dec 2025 / Thomas Nandi / Utilities / SSE</t>
        </is>
      </c>
      <c r="B2399" t="inlineStr">
        <is>
          <t>Utilities</t>
        </is>
      </c>
      <c r="C2399" t="inlineStr">
        <is>
          <t>SSE</t>
        </is>
      </c>
      <c r="D2399" t="inlineStr"/>
      <c r="E2399" t="inlineStr"/>
      <c r="F2399" t="inlineStr"/>
      <c r="G2399" t="inlineStr">
        <is>
          <t xml:space="preserve">Tom Nandi </t>
        </is>
      </c>
      <c r="H2399" t="inlineStr">
        <is>
          <t>Car - Petrol</t>
        </is>
      </c>
      <c r="I2399" t="inlineStr">
        <is>
          <t>Daily/ Weekly Vehicle Inspection</t>
        </is>
      </c>
      <c r="J2399" t="inlineStr">
        <is>
          <t>N/A</t>
        </is>
      </c>
      <c r="K2399" t="inlineStr">
        <is>
          <t>Thomas Nandi</t>
        </is>
      </c>
      <c r="L2399" t="inlineStr">
        <is>
          <t>08/12/2025 09:36</t>
        </is>
      </c>
      <c r="M2399" t="inlineStr">
        <is>
          <t>None</t>
        </is>
      </c>
      <c r="N2399" t="inlineStr">
        <is>
          <t>&lt;p&gt;&lt;/p&gt;</t>
        </is>
      </c>
      <c r="O2399" t="inlineStr"/>
      <c r="P2399" t="inlineStr"/>
      <c r="Q2399" t="inlineStr">
        <is>
          <t>SSE</t>
        </is>
      </c>
      <c r="R2399" t="b">
        <v>0</v>
      </c>
    </row>
    <row r="2400">
      <c r="A2400" t="inlineStr">
        <is>
          <t>8 Dec 2025 / Benet Jones / Utilities / NGED</t>
        </is>
      </c>
      <c r="B2400" t="inlineStr">
        <is>
          <t>Utilities</t>
        </is>
      </c>
      <c r="C2400" t="inlineStr">
        <is>
          <t>NGED</t>
        </is>
      </c>
      <c r="D2400" t="inlineStr"/>
      <c r="E2400" t="inlineStr"/>
      <c r="F2400" t="inlineStr"/>
      <c r="G2400" t="inlineStr">
        <is>
          <t>Benet Jones</t>
        </is>
      </c>
      <c r="H2400" t="inlineStr">
        <is>
          <t>Car - Petrol</t>
        </is>
      </c>
      <c r="I2400" t="inlineStr">
        <is>
          <t>Daily/ Weekly Vehicle Inspection</t>
        </is>
      </c>
      <c r="J2400" t="inlineStr">
        <is>
          <t>N/A</t>
        </is>
      </c>
      <c r="K2400" t="inlineStr">
        <is>
          <t>Benet Jones</t>
        </is>
      </c>
      <c r="L2400" t="inlineStr">
        <is>
          <t>08/12/2025 10:37</t>
        </is>
      </c>
      <c r="M2400" t="inlineStr">
        <is>
          <t>None</t>
        </is>
      </c>
      <c r="N2400" t="inlineStr">
        <is>
          <t>&lt;p&gt;&lt;/p&gt;</t>
        </is>
      </c>
      <c r="O2400" t="inlineStr">
        <is>
          <t>Confirm that you have checked this vehicle as per the guidance document and the vehicle is safe and roadworthy:Car fully checked along with associated equipment and all in good order.
-</t>
        </is>
      </c>
      <c r="P2400" t="inlineStr"/>
      <c r="Q2400" t="inlineStr">
        <is>
          <t>NGED</t>
        </is>
      </c>
      <c r="R2400" t="b">
        <v>0</v>
      </c>
    </row>
    <row r="2401">
      <c r="A2401" t="inlineStr">
        <is>
          <t>8 Dec 2025 / Alexander Damar / Utilities / UKPN</t>
        </is>
      </c>
      <c r="B2401" t="inlineStr">
        <is>
          <t>Utilities</t>
        </is>
      </c>
      <c r="C2401" t="inlineStr">
        <is>
          <t>UKPN</t>
        </is>
      </c>
      <c r="D2401" t="inlineStr"/>
      <c r="E2401" t="inlineStr"/>
      <c r="F2401" t="inlineStr"/>
      <c r="G2401" t="inlineStr">
        <is>
          <t>A damar</t>
        </is>
      </c>
      <c r="H2401" t="inlineStr">
        <is>
          <t>Car - Petrol</t>
        </is>
      </c>
      <c r="I2401" t="inlineStr">
        <is>
          <t>Daily/ Weekly Vehicle Inspection</t>
        </is>
      </c>
      <c r="J2401" t="inlineStr">
        <is>
          <t>N/A</t>
        </is>
      </c>
      <c r="K2401" t="inlineStr">
        <is>
          <t>Alexander Damar</t>
        </is>
      </c>
      <c r="L2401" t="inlineStr">
        <is>
          <t>08/12/2025 10:38</t>
        </is>
      </c>
      <c r="M2401" t="inlineStr">
        <is>
          <t>None</t>
        </is>
      </c>
      <c r="N2401" t="inlineStr">
        <is>
          <t>&lt;p&gt;&lt;/p&gt;</t>
        </is>
      </c>
      <c r="O2401" t="inlineStr"/>
      <c r="P2401" t="inlineStr"/>
      <c r="Q2401" t="inlineStr">
        <is>
          <t>UKPN</t>
        </is>
      </c>
      <c r="R2401" t="b">
        <v>0</v>
      </c>
    </row>
    <row r="2402">
      <c r="A2402" t="inlineStr">
        <is>
          <t>8 Dec 2025 / Thomas Playford / Utilities / UKPN</t>
        </is>
      </c>
      <c r="B2402" t="inlineStr">
        <is>
          <t>Utilities</t>
        </is>
      </c>
      <c r="C2402" t="inlineStr">
        <is>
          <t>UKPN</t>
        </is>
      </c>
      <c r="D2402" t="inlineStr">
        <is>
          <t>X21TNP , 4x4 , Toyota , Hilux</t>
        </is>
      </c>
      <c r="E2402" t="inlineStr">
        <is>
          <t>X21TNP , 4x4 , Toyota , Hilux</t>
        </is>
      </c>
      <c r="F2402" t="inlineStr">
        <is>
          <t>X21TNP , 4x4 , Toyota , Hilux</t>
        </is>
      </c>
      <c r="G2402" t="inlineStr">
        <is>
          <t>Thomas Playford</t>
        </is>
      </c>
      <c r="H2402" t="inlineStr">
        <is>
          <t>4x4</t>
        </is>
      </c>
      <c r="I2402" t="inlineStr">
        <is>
          <t>Daily/ Weekly Vehicle Inspection</t>
        </is>
      </c>
      <c r="J2402" t="inlineStr">
        <is>
          <t>N/A</t>
        </is>
      </c>
      <c r="K2402" t="inlineStr">
        <is>
          <t>7995 Green Net Eco Ltd 2</t>
        </is>
      </c>
      <c r="L2402" t="inlineStr">
        <is>
          <t>08/12/2025 11:36</t>
        </is>
      </c>
      <c r="M2402" t="inlineStr">
        <is>
          <t>None</t>
        </is>
      </c>
      <c r="N2402" t="inlineStr">
        <is>
          <t>&lt;p&gt;&lt;/p&gt;</t>
        </is>
      </c>
      <c r="O2402" t="inlineStr"/>
      <c r="P2402" t="inlineStr">
        <is>
          <t>X21TNP , 4x4 , Toyota , Hilux</t>
        </is>
      </c>
      <c r="Q2402" t="inlineStr">
        <is>
          <t>UKPN</t>
        </is>
      </c>
      <c r="R2402" t="b">
        <v>0</v>
      </c>
    </row>
    <row r="2403">
      <c r="A2403" t="inlineStr">
        <is>
          <t>20 Nov 2025 / Philip Shaw / Utilities / NGED</t>
        </is>
      </c>
      <c r="B2403" t="inlineStr">
        <is>
          <t>Utilities</t>
        </is>
      </c>
      <c r="C2403" t="inlineStr">
        <is>
          <t>NGED</t>
        </is>
      </c>
      <c r="D2403" t="inlineStr">
        <is>
          <t>AF22TZO , Car - Electric , Tesla , Model 3 Long Range AWD</t>
        </is>
      </c>
      <c r="E2403" t="inlineStr">
        <is>
          <t>AF22TZO , Car - Electric , Tesla , Model 3 Long Range AWD</t>
        </is>
      </c>
      <c r="F2403" t="inlineStr">
        <is>
          <t>AF22TZO , Car - Electric , Tesla , Model 3 Long Range AWD</t>
        </is>
      </c>
      <c r="G2403" t="inlineStr">
        <is>
          <t xml:space="preserve">Phil shaw </t>
        </is>
      </c>
      <c r="H2403" t="inlineStr">
        <is>
          <t>Car - Electric (GC Owned)</t>
        </is>
      </c>
      <c r="I2403" t="inlineStr">
        <is>
          <t>Daily/ Weekly Vehicle Inspection</t>
        </is>
      </c>
      <c r="J2403" t="inlineStr">
        <is>
          <t>N/A</t>
        </is>
      </c>
      <c r="K2403" t="inlineStr">
        <is>
          <t>Philip Shaw</t>
        </is>
      </c>
      <c r="L2403" t="inlineStr">
        <is>
          <t>08/12/2025 11:37</t>
        </is>
      </c>
      <c r="M2403" t="inlineStr">
        <is>
          <t>None</t>
        </is>
      </c>
      <c r="N2403" t="inlineStr">
        <is>
          <t>&lt;p&gt;&lt;/p&gt;</t>
        </is>
      </c>
      <c r="O2403" t="inlineStr"/>
      <c r="P2403" t="inlineStr">
        <is>
          <t>AF22TZO , Car - Electric , Tesla , Model 3 Long Range AWD</t>
        </is>
      </c>
      <c r="Q2403" t="inlineStr">
        <is>
          <t>NGED</t>
        </is>
      </c>
      <c r="R2403" t="b">
        <v>0</v>
      </c>
    </row>
    <row r="2404">
      <c r="A2404" t="inlineStr">
        <is>
          <t>5 Dec 2025 / Thomas Playford / Utilities / UKPN</t>
        </is>
      </c>
      <c r="B2404" t="inlineStr">
        <is>
          <t>Utilities</t>
        </is>
      </c>
      <c r="C2404" t="inlineStr">
        <is>
          <t>UKPN</t>
        </is>
      </c>
      <c r="D2404" t="inlineStr">
        <is>
          <t>LK15KRZ , 4x4 , Landrover , Defender</t>
        </is>
      </c>
      <c r="E2404" t="inlineStr">
        <is>
          <t>LK15KRZ , 4x4 , Landrover , Defender</t>
        </is>
      </c>
      <c r="F2404" t="inlineStr">
        <is>
          <t>LK15KRZ , 4x4 , Landrover , Defender</t>
        </is>
      </c>
      <c r="G2404" t="inlineStr">
        <is>
          <t xml:space="preserve">Thomas Playford </t>
        </is>
      </c>
      <c r="H2404" t="inlineStr">
        <is>
          <t>4x4</t>
        </is>
      </c>
      <c r="I2404" t="inlineStr">
        <is>
          <t>Daily/ Weekly Vehicle Inspection</t>
        </is>
      </c>
      <c r="J2404" t="inlineStr">
        <is>
          <t>N/A</t>
        </is>
      </c>
      <c r="K2404" t="inlineStr">
        <is>
          <t>7995 Green Net Eco Ltd 2</t>
        </is>
      </c>
      <c r="L2404" t="inlineStr">
        <is>
          <t>08/12/2025 11:38</t>
        </is>
      </c>
      <c r="M2404" t="inlineStr">
        <is>
          <t>None</t>
        </is>
      </c>
      <c r="N2404" t="inlineStr">
        <is>
          <t>&lt;p&gt;&lt;/p&gt;</t>
        </is>
      </c>
      <c r="O2404" t="inlineStr"/>
      <c r="P2404" t="inlineStr">
        <is>
          <t>LK15KRZ , 4x4 , Landrover , Defender</t>
        </is>
      </c>
      <c r="Q2404" t="inlineStr">
        <is>
          <t>UKPN</t>
        </is>
      </c>
      <c r="R2404" t="b">
        <v>0</v>
      </c>
    </row>
    <row r="2405">
      <c r="A2405" t="inlineStr">
        <is>
          <t>8 Dec 2025 / Chris Huntley / Utilities / UKPN</t>
        </is>
      </c>
      <c r="B2405" t="inlineStr">
        <is>
          <t>Utilities</t>
        </is>
      </c>
      <c r="C2405" t="inlineStr">
        <is>
          <t>UKPN</t>
        </is>
      </c>
      <c r="D2405" t="inlineStr">
        <is>
          <t>EX18DCY , 4x4 , Ford , Ranger</t>
        </is>
      </c>
      <c r="E2405" t="inlineStr">
        <is>
          <t>EX18DCY , 4x4 , Ford , Ranger</t>
        </is>
      </c>
      <c r="F2405" t="inlineStr">
        <is>
          <t>EX18DCY , 4x4 , Ford , Ranger</t>
        </is>
      </c>
      <c r="G2405" t="inlineStr">
        <is>
          <t xml:space="preserve">Chris Huntley </t>
        </is>
      </c>
      <c r="H2405" t="inlineStr">
        <is>
          <t>4x4</t>
        </is>
      </c>
      <c r="I2405" t="inlineStr">
        <is>
          <t>Daily/ Weekly Vehicle Inspection</t>
        </is>
      </c>
      <c r="J2405" t="inlineStr">
        <is>
          <t>N/A</t>
        </is>
      </c>
      <c r="K2405" t="inlineStr">
        <is>
          <t>Chris Huntley</t>
        </is>
      </c>
      <c r="L2405" t="inlineStr">
        <is>
          <t>08/12/2025 11:39</t>
        </is>
      </c>
      <c r="M2405" t="inlineStr">
        <is>
          <t>None</t>
        </is>
      </c>
      <c r="N2405" t="inlineStr">
        <is>
          <t>&lt;p&gt;&lt;/p&gt;</t>
        </is>
      </c>
      <c r="O2405" t="inlineStr"/>
      <c r="P2405" t="inlineStr">
        <is>
          <t>EX18DCY , 4x4 , Ford , Ranger</t>
        </is>
      </c>
      <c r="Q2405" t="inlineStr">
        <is>
          <t>UKPN</t>
        </is>
      </c>
      <c r="R2405" t="b">
        <v>0</v>
      </c>
    </row>
    <row r="2406">
      <c r="A2406" t="inlineStr">
        <is>
          <t>8 Dec 2025 / Andrew Carr / Utilities / SSE</t>
        </is>
      </c>
      <c r="B2406" t="inlineStr">
        <is>
          <t>Utilities</t>
        </is>
      </c>
      <c r="C2406" t="inlineStr">
        <is>
          <t>SSE</t>
        </is>
      </c>
      <c r="D2406" t="inlineStr"/>
      <c r="E2406" t="inlineStr"/>
      <c r="F2406" t="inlineStr"/>
      <c r="G2406" t="inlineStr">
        <is>
          <t xml:space="preserve">Andrew Carr </t>
        </is>
      </c>
      <c r="H2406" t="inlineStr">
        <is>
          <t>Car - Petrol</t>
        </is>
      </c>
      <c r="I2406" t="inlineStr">
        <is>
          <t>Daily/ Weekly Vehicle Inspection</t>
        </is>
      </c>
      <c r="J2406" t="inlineStr">
        <is>
          <t>N/A</t>
        </is>
      </c>
      <c r="K2406" t="inlineStr">
        <is>
          <t>Andrew Carr</t>
        </is>
      </c>
      <c r="L2406" t="inlineStr">
        <is>
          <t>08/12/2025 12:38</t>
        </is>
      </c>
      <c r="M2406" t="inlineStr">
        <is>
          <t>None</t>
        </is>
      </c>
      <c r="N2406" t="inlineStr">
        <is>
          <t>&lt;p&gt;&lt;/p&gt;</t>
        </is>
      </c>
      <c r="O2406" t="inlineStr"/>
      <c r="P2406" t="inlineStr"/>
      <c r="Q2406" t="inlineStr">
        <is>
          <t>SSE</t>
        </is>
      </c>
      <c r="R2406" t="b">
        <v>0</v>
      </c>
    </row>
    <row r="2407">
      <c r="A2407" t="inlineStr">
        <is>
          <t>8 Dec 2025 / Christopher Simeoli / Utilities / NGED</t>
        </is>
      </c>
      <c r="B2407" t="inlineStr">
        <is>
          <t>Utilities</t>
        </is>
      </c>
      <c r="C2407" t="inlineStr">
        <is>
          <t>NGED</t>
        </is>
      </c>
      <c r="D2407" t="inlineStr">
        <is>
          <t>EO73KVB , Car - Electric , Kia , Niro</t>
        </is>
      </c>
      <c r="E2407" t="inlineStr">
        <is>
          <t>EO73KVB , Car - Electric , Kia , Niro</t>
        </is>
      </c>
      <c r="F2407" t="inlineStr">
        <is>
          <t>EO73KVB , Car - Electric , Kia , Niro</t>
        </is>
      </c>
      <c r="G2407" t="inlineStr">
        <is>
          <t>C Simeoli</t>
        </is>
      </c>
      <c r="H2407" t="inlineStr">
        <is>
          <t>Car - Electric (GC Owned)</t>
        </is>
      </c>
      <c r="I2407" t="inlineStr">
        <is>
          <t>Daily/ Weekly Vehicle Inspection</t>
        </is>
      </c>
      <c r="J2407" t="inlineStr">
        <is>
          <t>N/A</t>
        </is>
      </c>
      <c r="K2407" t="inlineStr">
        <is>
          <t>Christopher Simeoli</t>
        </is>
      </c>
      <c r="L2407" t="inlineStr">
        <is>
          <t>08/12/2025 13:37</t>
        </is>
      </c>
      <c r="M2407" t="inlineStr">
        <is>
          <t>None</t>
        </is>
      </c>
      <c r="N2407" t="inlineStr">
        <is>
          <t>&lt;p&gt;&lt;/p&gt;</t>
        </is>
      </c>
      <c r="O2407" t="inlineStr"/>
      <c r="P2407" t="inlineStr">
        <is>
          <t>EO73KVB , Car - Electric , Kia , Niro</t>
        </is>
      </c>
      <c r="Q2407" t="inlineStr">
        <is>
          <t>NGED</t>
        </is>
      </c>
      <c r="R2407" t="b">
        <v>0</v>
      </c>
    </row>
    <row r="2408">
      <c r="A2408" t="inlineStr">
        <is>
          <t>8 Dec 2025 / Jonathan Wisbey / Utilities / UKPN</t>
        </is>
      </c>
      <c r="B2408" t="inlineStr">
        <is>
          <t>Utilities</t>
        </is>
      </c>
      <c r="C2408" t="inlineStr">
        <is>
          <t>UKPN</t>
        </is>
      </c>
      <c r="D2408" t="inlineStr"/>
      <c r="E2408" t="inlineStr"/>
      <c r="F2408" t="inlineStr"/>
      <c r="G2408" t="inlineStr">
        <is>
          <t xml:space="preserve">Jonathan Wisbey </t>
        </is>
      </c>
      <c r="H2408" t="inlineStr">
        <is>
          <t>Car - Petrol</t>
        </is>
      </c>
      <c r="I2408" t="inlineStr">
        <is>
          <t>Daily/ Weekly Vehicle Inspection</t>
        </is>
      </c>
      <c r="J2408" t="inlineStr">
        <is>
          <t>N/A</t>
        </is>
      </c>
      <c r="K2408" t="inlineStr">
        <is>
          <t>Jonathan Wisbey</t>
        </is>
      </c>
      <c r="L2408" t="inlineStr">
        <is>
          <t>08/12/2025 15:37</t>
        </is>
      </c>
      <c r="M2408" t="inlineStr">
        <is>
          <t>None</t>
        </is>
      </c>
      <c r="N2408" t="inlineStr">
        <is>
          <t>&lt;p&gt;&lt;/p&gt;</t>
        </is>
      </c>
      <c r="O2408" t="inlineStr"/>
      <c r="P2408" t="inlineStr"/>
      <c r="Q2408" t="inlineStr">
        <is>
          <t>UKPN</t>
        </is>
      </c>
      <c r="R2408" t="b">
        <v>0</v>
      </c>
    </row>
    <row r="2409">
      <c r="A2409" t="inlineStr">
        <is>
          <t>9 Dec 2025 / 7186 Eastwoodbury Tree Services Ltd / Utilities / UKPN</t>
        </is>
      </c>
      <c r="B2409" t="inlineStr">
        <is>
          <t>Utilities</t>
        </is>
      </c>
      <c r="C2409" t="inlineStr">
        <is>
          <t>UKPN</t>
        </is>
      </c>
      <c r="D2409" t="inlineStr"/>
      <c r="E2409" t="inlineStr"/>
      <c r="F2409" t="inlineStr"/>
      <c r="G2409" t="inlineStr"/>
      <c r="H2409" t="inlineStr"/>
      <c r="I2409" t="inlineStr">
        <is>
          <t>Add to Vehicle to the GC Vehicle List</t>
        </is>
      </c>
      <c r="J2409" t="inlineStr">
        <is>
          <t>N/A</t>
        </is>
      </c>
      <c r="K2409" t="inlineStr">
        <is>
          <t>7186 Eastwoodbury Tree Services Ltd</t>
        </is>
      </c>
      <c r="L2409" t="inlineStr">
        <is>
          <t>09/12/2025 07:36</t>
        </is>
      </c>
      <c r="M2409" t="inlineStr">
        <is>
          <t>None</t>
        </is>
      </c>
      <c r="N2409" t="inlineStr">
        <is>
          <t>&lt;p&gt;&lt;/p&gt;</t>
        </is>
      </c>
      <c r="O2409" t="inlineStr"/>
      <c r="P2409" t="inlineStr"/>
      <c r="Q2409" t="inlineStr">
        <is>
          <t>UKPN</t>
        </is>
      </c>
      <c r="R2409" t="b">
        <v>0</v>
      </c>
    </row>
    <row r="2410">
      <c r="A2410" t="inlineStr">
        <is>
          <t>9 Dec 2025 / 7186 Eastwoodbury Tree Services Ltd / Utilities / UKPN</t>
        </is>
      </c>
      <c r="B2410" t="inlineStr">
        <is>
          <t>Utilities</t>
        </is>
      </c>
      <c r="C2410" t="inlineStr">
        <is>
          <t>UKPN</t>
        </is>
      </c>
      <c r="D2410" t="inlineStr">
        <is>
          <t>WF13 EKT , 4x4 , Land rover  , Defender</t>
        </is>
      </c>
      <c r="E2410" t="inlineStr">
        <is>
          <t>WF13 EKT , 4x4 , Land rover  , Defender</t>
        </is>
      </c>
      <c r="F2410" t="inlineStr">
        <is>
          <t>WF13 EKT , 4x4 , Land rover  , Defender</t>
        </is>
      </c>
      <c r="G2410" t="inlineStr">
        <is>
          <t xml:space="preserve">Dan Gilbert </t>
        </is>
      </c>
      <c r="H2410" t="inlineStr">
        <is>
          <t>4x4</t>
        </is>
      </c>
      <c r="I2410" t="inlineStr">
        <is>
          <t>Daily/ Weekly Vehicle Inspection</t>
        </is>
      </c>
      <c r="J2410" t="inlineStr">
        <is>
          <t>N/A</t>
        </is>
      </c>
      <c r="K2410" t="inlineStr">
        <is>
          <t>7186 Eastwoodbury Tree Services Ltd</t>
        </is>
      </c>
      <c r="L2410" t="inlineStr">
        <is>
          <t>09/12/2025 07:37</t>
        </is>
      </c>
      <c r="M2410" t="inlineStr">
        <is>
          <t>None</t>
        </is>
      </c>
      <c r="N2410" t="inlineStr">
        <is>
          <t>&lt;p&gt;&lt;/p&gt;</t>
        </is>
      </c>
      <c r="O2410" t="inlineStr"/>
      <c r="P2410" t="inlineStr">
        <is>
          <t>WF13 EKT , 4x4 , Land rover  , Defender</t>
        </is>
      </c>
      <c r="Q2410" t="inlineStr">
        <is>
          <t>UKPN</t>
        </is>
      </c>
      <c r="R2410" t="b">
        <v>0</v>
      </c>
    </row>
    <row r="2411">
      <c r="A2411" t="inlineStr">
        <is>
          <t>9 Dec 2025 / 7186 Eastwoodbury Tree Services Ltd / Utilities / UKPN</t>
        </is>
      </c>
      <c r="B2411" t="inlineStr">
        <is>
          <t>Utilities</t>
        </is>
      </c>
      <c r="C2411" t="inlineStr">
        <is>
          <t>UKPN</t>
        </is>
      </c>
      <c r="D2411" t="inlineStr">
        <is>
          <t>DE53NKS , 4x4 , Ford , Ranger</t>
        </is>
      </c>
      <c r="E2411" t="inlineStr">
        <is>
          <t>DE53NKS , 4x4 , Ford , Ranger</t>
        </is>
      </c>
      <c r="F2411" t="inlineStr">
        <is>
          <t>DE53NKS , 4x4 , Ford , Ranger</t>
        </is>
      </c>
      <c r="G2411" t="inlineStr">
        <is>
          <t xml:space="preserve">Tom Price </t>
        </is>
      </c>
      <c r="H2411" t="inlineStr">
        <is>
          <t>Pickup Truck</t>
        </is>
      </c>
      <c r="I2411" t="inlineStr">
        <is>
          <t>Daily/ Weekly Vehicle Inspection</t>
        </is>
      </c>
      <c r="J2411" t="inlineStr">
        <is>
          <t>N/A</t>
        </is>
      </c>
      <c r="K2411" t="inlineStr">
        <is>
          <t>7186 Eastwoodbury Tree Services Ltd</t>
        </is>
      </c>
      <c r="L2411" t="inlineStr">
        <is>
          <t>09/12/2025 07:38</t>
        </is>
      </c>
      <c r="M2411" t="inlineStr">
        <is>
          <t>None</t>
        </is>
      </c>
      <c r="N2411" t="inlineStr">
        <is>
          <t>&lt;p&gt;&lt;/p&gt;</t>
        </is>
      </c>
      <c r="O2411" t="inlineStr"/>
      <c r="P2411" t="inlineStr">
        <is>
          <t>DE53NKS , 4x4 , Ford , Ranger</t>
        </is>
      </c>
      <c r="Q2411" t="inlineStr">
        <is>
          <t>UKPN</t>
        </is>
      </c>
      <c r="R2411" t="b">
        <v>0</v>
      </c>
    </row>
    <row r="2412">
      <c r="A2412" t="inlineStr">
        <is>
          <t>9 Dec 2025 / 7951 Austin Tree Care LTD / Utilities / UKPN</t>
        </is>
      </c>
      <c r="B2412" t="inlineStr">
        <is>
          <t>Utilities</t>
        </is>
      </c>
      <c r="C2412" t="inlineStr">
        <is>
          <t>UKPN</t>
        </is>
      </c>
      <c r="D2412" t="inlineStr">
        <is>
          <t>KN58 FUY , Tipper , Volkswagan , Crafter</t>
        </is>
      </c>
      <c r="E2412" t="inlineStr">
        <is>
          <t>KN58 FUY , Tipper , Volkswagan , Crafter</t>
        </is>
      </c>
      <c r="F2412" t="inlineStr">
        <is>
          <t>KN58 FUY , Tipper , Volkswagan , Crafter</t>
        </is>
      </c>
      <c r="G2412" t="inlineStr">
        <is>
          <t xml:space="preserve">Jack Austin </t>
        </is>
      </c>
      <c r="H2412" t="inlineStr">
        <is>
          <t>4x4</t>
        </is>
      </c>
      <c r="I2412" t="inlineStr">
        <is>
          <t>Daily/ Weekly Vehicle Inspection</t>
        </is>
      </c>
      <c r="J2412" t="inlineStr">
        <is>
          <t>N/A</t>
        </is>
      </c>
      <c r="K2412" t="inlineStr">
        <is>
          <t>7951 Austin Tree Care LTD</t>
        </is>
      </c>
      <c r="L2412" t="inlineStr">
        <is>
          <t>09/12/2025 07:38</t>
        </is>
      </c>
      <c r="M2412" t="inlineStr">
        <is>
          <t>None</t>
        </is>
      </c>
      <c r="N2412" t="inlineStr">
        <is>
          <t>&lt;p&gt;&lt;/p&gt;</t>
        </is>
      </c>
      <c r="O2412" t="inlineStr"/>
      <c r="P2412" t="inlineStr">
        <is>
          <t>KN58 FUY , Tipper , Volkswagan , Crafter</t>
        </is>
      </c>
      <c r="Q2412" t="inlineStr">
        <is>
          <t>UKPN</t>
        </is>
      </c>
      <c r="R2412" t="b">
        <v>0</v>
      </c>
    </row>
    <row r="2413">
      <c r="A2413" t="inlineStr">
        <is>
          <t>9 Dec 2025 / 7806 Optimum Tree Services Ltd / Utilities / UKPN</t>
        </is>
      </c>
      <c r="B2413" t="inlineStr">
        <is>
          <t>Utilities</t>
        </is>
      </c>
      <c r="C2413" t="inlineStr">
        <is>
          <t>UKPN</t>
        </is>
      </c>
      <c r="D2413" t="inlineStr">
        <is>
          <t>SA9TAPLAF27414263 , Trailer , Tow Mate , Plant Trailer</t>
        </is>
      </c>
      <c r="E2413" t="inlineStr">
        <is>
          <t>SA9TAPLAF27414263 , Trailer , Tow Mate , Plant Trailer</t>
        </is>
      </c>
      <c r="F2413" t="inlineStr">
        <is>
          <t>SA9TAPLAF27414263 , Trailer , Tow Mate , Plant Trailer</t>
        </is>
      </c>
      <c r="G2413" t="inlineStr">
        <is>
          <t xml:space="preserve">Kenny Aldred </t>
        </is>
      </c>
      <c r="H2413" t="inlineStr">
        <is>
          <t>Plant Trailer</t>
        </is>
      </c>
      <c r="I2413" t="inlineStr">
        <is>
          <t>Daily/ Weekly Vehicle Inspection</t>
        </is>
      </c>
      <c r="J2413" t="inlineStr">
        <is>
          <t>N/A</t>
        </is>
      </c>
      <c r="K2413" t="inlineStr">
        <is>
          <t>7806 Optimum Tree Services Ltd</t>
        </is>
      </c>
      <c r="L2413" t="inlineStr">
        <is>
          <t>09/12/2025 08:40</t>
        </is>
      </c>
      <c r="M2413" t="inlineStr">
        <is>
          <t>None</t>
        </is>
      </c>
      <c r="N2413" t="inlineStr">
        <is>
          <t>&lt;p&gt;&lt;/p&gt;</t>
        </is>
      </c>
      <c r="O2413" t="inlineStr"/>
      <c r="P2413" t="inlineStr">
        <is>
          <t>SA9TAPLAF27414263 , Trailer , Tow Mate , Plant Trailer</t>
        </is>
      </c>
      <c r="Q2413" t="inlineStr">
        <is>
          <t>UKPN</t>
        </is>
      </c>
      <c r="R2413" t="b">
        <v>0</v>
      </c>
    </row>
    <row r="2414">
      <c r="A2414" t="inlineStr">
        <is>
          <t>9 Dec 2025 / Anthony Gale / Utilities / UKPN</t>
        </is>
      </c>
      <c r="B2414" t="inlineStr">
        <is>
          <t>Utilities</t>
        </is>
      </c>
      <c r="C2414" t="inlineStr">
        <is>
          <t>UKPN</t>
        </is>
      </c>
      <c r="D2414" t="inlineStr">
        <is>
          <t>KX20 BCE , Tipper , Isuzu , D-Max</t>
        </is>
      </c>
      <c r="E2414" t="inlineStr">
        <is>
          <t>KX20 BCE , Tipper , Isuzu , D-Max</t>
        </is>
      </c>
      <c r="F2414" t="inlineStr">
        <is>
          <t>KX20 BCE , Tipper , Isuzu , D-Max</t>
        </is>
      </c>
      <c r="G2414" t="inlineStr">
        <is>
          <t>Anthony Gale</t>
        </is>
      </c>
      <c r="H2414" t="inlineStr">
        <is>
          <t>Pickup Truck</t>
        </is>
      </c>
      <c r="I2414" t="inlineStr">
        <is>
          <t>Daily/ Weekly Vehicle Inspection</t>
        </is>
      </c>
      <c r="J2414" t="inlineStr">
        <is>
          <t>N/A</t>
        </is>
      </c>
      <c r="K2414" t="inlineStr">
        <is>
          <t>7996 M G Tree Surgery Ltd 1</t>
        </is>
      </c>
      <c r="L2414" t="inlineStr">
        <is>
          <t>09/12/2025 08:40</t>
        </is>
      </c>
      <c r="M2414" t="inlineStr">
        <is>
          <t>None</t>
        </is>
      </c>
      <c r="N2414" t="inlineStr">
        <is>
          <t>&lt;p&gt;&lt;/p&gt;</t>
        </is>
      </c>
      <c r="O2414" t="inlineStr">
        <is>
          <t>Type of vehicle:Light board mount deteriorating, will need sorting soon.
Safe for now though.</t>
        </is>
      </c>
      <c r="P2414" t="inlineStr">
        <is>
          <t>KX20 BCE , Tipper , Isuzu , D-Max</t>
        </is>
      </c>
      <c r="Q2414" t="inlineStr">
        <is>
          <t>UKPN</t>
        </is>
      </c>
      <c r="R2414" t="b">
        <v>0</v>
      </c>
    </row>
    <row r="2415">
      <c r="A2415" t="inlineStr">
        <is>
          <t>9 Dec 2025 / 7806 Optimum Tree Services Ltd / Utilities / UKPN</t>
        </is>
      </c>
      <c r="B2415" t="inlineStr">
        <is>
          <t>Utilities</t>
        </is>
      </c>
      <c r="C2415" t="inlineStr">
        <is>
          <t>UKPN</t>
        </is>
      </c>
      <c r="D2415" t="inlineStr">
        <is>
          <t>WD14EVB , MEWP , Land Rover , Defender</t>
        </is>
      </c>
      <c r="E2415" t="inlineStr">
        <is>
          <t>WD14EVB , MEWP , Land Rover , Defender</t>
        </is>
      </c>
      <c r="F2415" t="inlineStr">
        <is>
          <t>WD14EVB , MEWP , Land Rover , Defender</t>
        </is>
      </c>
      <c r="G2415" t="inlineStr">
        <is>
          <t xml:space="preserve">Kenny Aldred </t>
        </is>
      </c>
      <c r="H2415" t="inlineStr">
        <is>
          <t>4x4</t>
        </is>
      </c>
      <c r="I2415" t="inlineStr">
        <is>
          <t>Daily/ Weekly Vehicle Inspection</t>
        </is>
      </c>
      <c r="J2415" t="inlineStr">
        <is>
          <t>N/A</t>
        </is>
      </c>
      <c r="K2415" t="inlineStr">
        <is>
          <t>7806 Optimum Tree Services Ltd</t>
        </is>
      </c>
      <c r="L2415" t="inlineStr">
        <is>
          <t>09/12/2025 08:41</t>
        </is>
      </c>
      <c r="M2415" t="inlineStr">
        <is>
          <t>None</t>
        </is>
      </c>
      <c r="N2415" t="inlineStr">
        <is>
          <t>&lt;p&gt;&lt;/p&gt;</t>
        </is>
      </c>
      <c r="O2415" t="inlineStr"/>
      <c r="P2415" t="inlineStr">
        <is>
          <t>WD14EVB , MEWP , Land Rover , Defender</t>
        </is>
      </c>
      <c r="Q2415" t="inlineStr">
        <is>
          <t>UKPN</t>
        </is>
      </c>
      <c r="R2415" t="b">
        <v>0</v>
      </c>
    </row>
    <row r="2416">
      <c r="A2416" t="inlineStr">
        <is>
          <t>8 Dec 2025 / Anthony Gale / Utilities / UKPN</t>
        </is>
      </c>
      <c r="B2416" t="inlineStr">
        <is>
          <t>Utilities</t>
        </is>
      </c>
      <c r="C2416" t="inlineStr">
        <is>
          <t>UKPN</t>
        </is>
      </c>
      <c r="D2416" t="inlineStr">
        <is>
          <t>KX20 BCE , Tipper , Isuzu , D-Max</t>
        </is>
      </c>
      <c r="E2416" t="inlineStr">
        <is>
          <t>KX20 BCE , Tipper , Isuzu , D-Max</t>
        </is>
      </c>
      <c r="F2416" t="inlineStr">
        <is>
          <t>KX20 BCE , Tipper , Isuzu , D-Max</t>
        </is>
      </c>
      <c r="G2416" t="inlineStr">
        <is>
          <t>Anthony Gale</t>
        </is>
      </c>
      <c r="H2416" t="inlineStr">
        <is>
          <t>Pickup Truck</t>
        </is>
      </c>
      <c r="I2416" t="inlineStr">
        <is>
          <t>Daily/ Weekly Vehicle Inspection</t>
        </is>
      </c>
      <c r="J2416" t="inlineStr">
        <is>
          <t>N/A</t>
        </is>
      </c>
      <c r="K2416" t="inlineStr">
        <is>
          <t>7996 M G Tree Surgery Ltd 1</t>
        </is>
      </c>
      <c r="L2416" t="inlineStr">
        <is>
          <t>09/12/2025 08:42</t>
        </is>
      </c>
      <c r="M2416" t="inlineStr">
        <is>
          <t>None</t>
        </is>
      </c>
      <c r="N2416" t="inlineStr">
        <is>
          <t>&lt;p&gt;&lt;/p&gt;</t>
        </is>
      </c>
      <c r="O2416" t="inlineStr"/>
      <c r="P2416" t="inlineStr">
        <is>
          <t>KX20 BCE , Tipper , Isuzu , D-Max</t>
        </is>
      </c>
      <c r="Q2416" t="inlineStr">
        <is>
          <t>UKPN</t>
        </is>
      </c>
      <c r="R2416" t="b">
        <v>0</v>
      </c>
    </row>
    <row r="2417">
      <c r="A2417" t="inlineStr">
        <is>
          <t>9 Dec 2025 / James Gorman / Utilities / UKPN</t>
        </is>
      </c>
      <c r="B2417" t="inlineStr">
        <is>
          <t>Utilities</t>
        </is>
      </c>
      <c r="C2417" t="inlineStr">
        <is>
          <t>UKPN</t>
        </is>
      </c>
      <c r="D2417" t="inlineStr">
        <is>
          <t>AF22 XRA , Car - Electric , Tesla , Model 3</t>
        </is>
      </c>
      <c r="E2417" t="inlineStr">
        <is>
          <t>AF22 XRA , Car - Electric , Tesla , Model 3</t>
        </is>
      </c>
      <c r="F2417" t="inlineStr">
        <is>
          <t>AF22 XRA , Car - Electric , Tesla , Model 3</t>
        </is>
      </c>
      <c r="G2417" t="inlineStr">
        <is>
          <t>James Gorman</t>
        </is>
      </c>
      <c r="H2417" t="inlineStr">
        <is>
          <t>Car - Electric (GC Owned)</t>
        </is>
      </c>
      <c r="I2417" t="inlineStr">
        <is>
          <t>Daily/ Weekly Vehicle Inspection</t>
        </is>
      </c>
      <c r="J2417" t="inlineStr">
        <is>
          <t>N/A</t>
        </is>
      </c>
      <c r="K2417" t="inlineStr">
        <is>
          <t>James Gorman</t>
        </is>
      </c>
      <c r="L2417" t="inlineStr">
        <is>
          <t>09/12/2025 10:40</t>
        </is>
      </c>
      <c r="M2417" t="inlineStr">
        <is>
          <t>None</t>
        </is>
      </c>
      <c r="N2417" t="inlineStr">
        <is>
          <t>&lt;p&gt;&lt;/p&gt;</t>
        </is>
      </c>
      <c r="O2417" t="inlineStr"/>
      <c r="P2417" t="inlineStr">
        <is>
          <t>AF22 XRA , Car - Electric , Tesla , Model 3</t>
        </is>
      </c>
      <c r="Q2417" t="inlineStr">
        <is>
          <t>UKPN</t>
        </is>
      </c>
      <c r="R2417" t="b">
        <v>0</v>
      </c>
    </row>
    <row r="2418">
      <c r="A2418" t="inlineStr">
        <is>
          <t>9 Dec 2025 / Thomas Playford / Utilities / UKPN</t>
        </is>
      </c>
      <c r="B2418" t="inlineStr">
        <is>
          <t>Utilities</t>
        </is>
      </c>
      <c r="C2418" t="inlineStr">
        <is>
          <t>UKPN</t>
        </is>
      </c>
      <c r="D2418" t="inlineStr"/>
      <c r="E2418" t="inlineStr"/>
      <c r="F2418" t="inlineStr"/>
      <c r="G2418" t="inlineStr">
        <is>
          <t>Thomas Playford</t>
        </is>
      </c>
      <c r="H2418" t="inlineStr">
        <is>
          <t>Tipper</t>
        </is>
      </c>
      <c r="I2418" t="inlineStr">
        <is>
          <t>Daily/ Weekly Vehicle Inspection</t>
        </is>
      </c>
      <c r="J2418" t="inlineStr">
        <is>
          <t>N/A</t>
        </is>
      </c>
      <c r="K2418" t="inlineStr">
        <is>
          <t>7995 Green Net Eco Ltd 2</t>
        </is>
      </c>
      <c r="L2418" t="inlineStr">
        <is>
          <t>09/12/2025 11:37</t>
        </is>
      </c>
      <c r="M2418" t="inlineStr">
        <is>
          <t>None</t>
        </is>
      </c>
      <c r="N2418" t="inlineStr">
        <is>
          <t>&lt;p&gt;&lt;/p&gt;</t>
        </is>
      </c>
      <c r="O2418" t="inlineStr"/>
      <c r="P2418" t="inlineStr"/>
      <c r="Q2418" t="inlineStr">
        <is>
          <t>UKPN</t>
        </is>
      </c>
      <c r="R2418" t="b">
        <v>0</v>
      </c>
    </row>
    <row r="2419">
      <c r="A2419" t="inlineStr">
        <is>
          <t>9 Dec 2025 / Barry Bright / Utilities / UKPN</t>
        </is>
      </c>
      <c r="B2419" t="inlineStr">
        <is>
          <t>Utilities</t>
        </is>
      </c>
      <c r="C2419" t="inlineStr">
        <is>
          <t>UKPN</t>
        </is>
      </c>
      <c r="D2419" t="inlineStr">
        <is>
          <t>AK72YBM , Car - Electric , Tesla , Model Y Long Range</t>
        </is>
      </c>
      <c r="E2419" t="inlineStr">
        <is>
          <t>AK72YBM , Car - Electric , Tesla , Model Y Long Range</t>
        </is>
      </c>
      <c r="F2419" t="inlineStr">
        <is>
          <t>AK72YBM , Car - Electric , Tesla , Model Y Long Range</t>
        </is>
      </c>
      <c r="G2419" t="inlineStr">
        <is>
          <t xml:space="preserve">Barry Bright </t>
        </is>
      </c>
      <c r="H2419" t="inlineStr">
        <is>
          <t>Car - Electric (GC Owned)</t>
        </is>
      </c>
      <c r="I2419" t="inlineStr">
        <is>
          <t>Daily/ Weekly Vehicle Inspection</t>
        </is>
      </c>
      <c r="J2419" t="inlineStr">
        <is>
          <t>N/A</t>
        </is>
      </c>
      <c r="K2419" t="inlineStr">
        <is>
          <t>Barry Bright</t>
        </is>
      </c>
      <c r="L2419" t="inlineStr">
        <is>
          <t>09/12/2025 19:36</t>
        </is>
      </c>
      <c r="M2419" t="inlineStr">
        <is>
          <t>None</t>
        </is>
      </c>
      <c r="N2419" t="inlineStr">
        <is>
          <t>&lt;p&gt;&lt;/p&gt;</t>
        </is>
      </c>
      <c r="O2419" t="inlineStr"/>
      <c r="P2419" t="inlineStr">
        <is>
          <t>AK72YBM , Car - Electric , Tesla , Model Y Long Range</t>
        </is>
      </c>
      <c r="Q2419" t="inlineStr">
        <is>
          <t>UKPN</t>
        </is>
      </c>
      <c r="R2419" t="b">
        <v>0</v>
      </c>
    </row>
    <row r="2420">
      <c r="A2420" t="inlineStr">
        <is>
          <t>10 Dec 2025 / 7996 M G Tree Surgery Ltd / Utilities / UKPN</t>
        </is>
      </c>
      <c r="B2420" t="inlineStr">
        <is>
          <t>Utilities</t>
        </is>
      </c>
      <c r="C2420" t="inlineStr">
        <is>
          <t>UKPN</t>
        </is>
      </c>
      <c r="D2420" t="inlineStr">
        <is>
          <t>GU13 WNL , MEWP , Land Rover , Defender 130</t>
        </is>
      </c>
      <c r="E2420" t="inlineStr">
        <is>
          <t>GU13 WNL , MEWP , Land Rover , Defender 130</t>
        </is>
      </c>
      <c r="F2420" t="inlineStr">
        <is>
          <t>GU13 WNL , MEWP , Land Rover , Defender 130</t>
        </is>
      </c>
      <c r="G2420" t="inlineStr">
        <is>
          <t>Max</t>
        </is>
      </c>
      <c r="H2420" t="inlineStr">
        <is>
          <t>4x4</t>
        </is>
      </c>
      <c r="I2420" t="inlineStr">
        <is>
          <t>Daily/ Weekly Vehicle Inspection</t>
        </is>
      </c>
      <c r="J2420" t="inlineStr">
        <is>
          <t>N/A</t>
        </is>
      </c>
      <c r="K2420" t="inlineStr">
        <is>
          <t>7996 M G Tree Surgery Ltd</t>
        </is>
      </c>
      <c r="L2420" t="inlineStr">
        <is>
          <t>10/12/2025 07:36</t>
        </is>
      </c>
      <c r="M2420" t="inlineStr">
        <is>
          <t>None</t>
        </is>
      </c>
      <c r="N2420" t="inlineStr">
        <is>
          <t>&lt;p&gt;&lt;/p&gt;</t>
        </is>
      </c>
      <c r="O2420" t="inlineStr"/>
      <c r="P2420" t="inlineStr">
        <is>
          <t>GU13 WNL , MEWP , Land Rover , Defender 130</t>
        </is>
      </c>
      <c r="Q2420" t="inlineStr">
        <is>
          <t>UKPN</t>
        </is>
      </c>
      <c r="R2420" t="b">
        <v>0</v>
      </c>
    </row>
    <row r="2421">
      <c r="A2421" t="inlineStr">
        <is>
          <t>10 Dec 2025 / 7806 Optimum Tree Services Ltd / Utilities / UKPN</t>
        </is>
      </c>
      <c r="B2421" t="inlineStr">
        <is>
          <t>Utilities</t>
        </is>
      </c>
      <c r="C2421" t="inlineStr">
        <is>
          <t>UKPN</t>
        </is>
      </c>
      <c r="D2421" t="inlineStr">
        <is>
          <t>SA9TAPLAF27414263 , Trailer , Tow Mate , Plant Trailer</t>
        </is>
      </c>
      <c r="E2421" t="inlineStr">
        <is>
          <t>SA9TAPLAF27414263 , Trailer , Tow Mate , Plant Trailer</t>
        </is>
      </c>
      <c r="F2421" t="inlineStr">
        <is>
          <t>SA9TAPLAF27414263 , Trailer , Tow Mate , Plant Trailer</t>
        </is>
      </c>
      <c r="G2421" t="inlineStr">
        <is>
          <t xml:space="preserve">Kenny Aldred </t>
        </is>
      </c>
      <c r="H2421" t="inlineStr">
        <is>
          <t>Plant Trailer</t>
        </is>
      </c>
      <c r="I2421" t="inlineStr">
        <is>
          <t>Daily/ Weekly Vehicle Inspection</t>
        </is>
      </c>
      <c r="J2421" t="inlineStr">
        <is>
          <t>N/A</t>
        </is>
      </c>
      <c r="K2421" t="inlineStr">
        <is>
          <t>7806 Optimum Tree Services Ltd</t>
        </is>
      </c>
      <c r="L2421" t="inlineStr">
        <is>
          <t>10/12/2025 07:36</t>
        </is>
      </c>
      <c r="M2421" t="inlineStr">
        <is>
          <t>None</t>
        </is>
      </c>
      <c r="N2421" t="inlineStr">
        <is>
          <t>&lt;p&gt;&lt;/p&gt;</t>
        </is>
      </c>
      <c r="O2421" t="inlineStr"/>
      <c r="P2421" t="inlineStr">
        <is>
          <t>SA9TAPLAF27414263 , Trailer , Tow Mate , Plant Trailer</t>
        </is>
      </c>
      <c r="Q2421" t="inlineStr">
        <is>
          <t>UKPN</t>
        </is>
      </c>
      <c r="R2421" t="b">
        <v>0</v>
      </c>
    </row>
    <row r="2422">
      <c r="A2422" t="inlineStr">
        <is>
          <t>10 Dec 2025 / 7806 Optimum Tree Services Ltd / Utilities / UKPN</t>
        </is>
      </c>
      <c r="B2422" t="inlineStr">
        <is>
          <t>Utilities</t>
        </is>
      </c>
      <c r="C2422" t="inlineStr">
        <is>
          <t>UKPN</t>
        </is>
      </c>
      <c r="D2422" t="inlineStr">
        <is>
          <t>WD14EVB , MEWP , Land Rover , Defender</t>
        </is>
      </c>
      <c r="E2422" t="inlineStr">
        <is>
          <t>WD14EVB , MEWP , Land Rover , Defender</t>
        </is>
      </c>
      <c r="F2422" t="inlineStr">
        <is>
          <t>WD14EVB , MEWP , Land Rover , Defender</t>
        </is>
      </c>
      <c r="G2422" t="inlineStr">
        <is>
          <t xml:space="preserve">Kenney Aldred </t>
        </is>
      </c>
      <c r="H2422" t="inlineStr">
        <is>
          <t>4x4</t>
        </is>
      </c>
      <c r="I2422" t="inlineStr">
        <is>
          <t>Daily/ Weekly Vehicle Inspection</t>
        </is>
      </c>
      <c r="J2422" t="inlineStr">
        <is>
          <t>N/A</t>
        </is>
      </c>
      <c r="K2422" t="inlineStr">
        <is>
          <t>7806 Optimum Tree Services Ltd</t>
        </is>
      </c>
      <c r="L2422" t="inlineStr">
        <is>
          <t>10/12/2025 07:38</t>
        </is>
      </c>
      <c r="M2422" t="inlineStr">
        <is>
          <t>None</t>
        </is>
      </c>
      <c r="N2422" t="inlineStr">
        <is>
          <t>&lt;p&gt;&lt;/p&gt;</t>
        </is>
      </c>
      <c r="O2422" t="inlineStr"/>
      <c r="P2422" t="inlineStr">
        <is>
          <t>WD14EVB , MEWP , Land Rover , Defender</t>
        </is>
      </c>
      <c r="Q2422" t="inlineStr">
        <is>
          <t>UKPN</t>
        </is>
      </c>
      <c r="R2422" t="b">
        <v>0</v>
      </c>
    </row>
    <row r="2423">
      <c r="A2423" t="inlineStr">
        <is>
          <t>10 Dec 2025 / Anthony Gale / Utilities / UKPN</t>
        </is>
      </c>
      <c r="B2423" t="inlineStr">
        <is>
          <t>Utilities</t>
        </is>
      </c>
      <c r="C2423" t="inlineStr">
        <is>
          <t>UKPN</t>
        </is>
      </c>
      <c r="D2423" t="inlineStr">
        <is>
          <t>KX20 BCE , Tipper , Isuzu , D-Max</t>
        </is>
      </c>
      <c r="E2423" t="inlineStr">
        <is>
          <t>KX20 BCE , Tipper , Isuzu , D-Max</t>
        </is>
      </c>
      <c r="F2423" t="inlineStr">
        <is>
          <t>KX20 BCE , Tipper , Isuzu , D-Max</t>
        </is>
      </c>
      <c r="G2423" t="inlineStr">
        <is>
          <t>Anthony Gale</t>
        </is>
      </c>
      <c r="H2423" t="inlineStr">
        <is>
          <t>Pickup Truck</t>
        </is>
      </c>
      <c r="I2423" t="inlineStr">
        <is>
          <t>Daily/ Weekly Vehicle Inspection</t>
        </is>
      </c>
      <c r="J2423" t="inlineStr">
        <is>
          <t>N/A</t>
        </is>
      </c>
      <c r="K2423" t="inlineStr">
        <is>
          <t>7996 M G Tree Surgery Ltd 1</t>
        </is>
      </c>
      <c r="L2423" t="inlineStr">
        <is>
          <t>10/12/2025 08:37</t>
        </is>
      </c>
      <c r="M2423" t="inlineStr">
        <is>
          <t>None</t>
        </is>
      </c>
      <c r="N2423" t="inlineStr">
        <is>
          <t>&lt;p&gt;&lt;/p&gt;</t>
        </is>
      </c>
      <c r="O2423" t="inlineStr">
        <is>
          <t>Confirm that you have checked this vehicle as per the guidance document and the vehicle is safe and roadworthy:Light board deteriorating.
Safe for now.
-</t>
        </is>
      </c>
      <c r="P2423" t="inlineStr">
        <is>
          <t>KX20 BCE , Tipper , Isuzu , D-Max</t>
        </is>
      </c>
      <c r="Q2423" t="inlineStr">
        <is>
          <t>UKPN</t>
        </is>
      </c>
      <c r="R2423" t="b">
        <v>0</v>
      </c>
    </row>
    <row r="2424">
      <c r="A2424" t="inlineStr">
        <is>
          <t>10 Dec 2025 / Anthony Gale / Utilities / UKPN</t>
        </is>
      </c>
      <c r="B2424" t="inlineStr">
        <is>
          <t>Utilities</t>
        </is>
      </c>
      <c r="C2424" t="inlineStr">
        <is>
          <t>UKPN</t>
        </is>
      </c>
      <c r="D2424" t="inlineStr">
        <is>
          <t>KX20 BCE , Tipper , Isuzu , D-Max</t>
        </is>
      </c>
      <c r="E2424" t="inlineStr">
        <is>
          <t>KX20 BCE , Tipper , Isuzu , D-Max</t>
        </is>
      </c>
      <c r="F2424" t="inlineStr">
        <is>
          <t>KX20 BCE , Tipper , Isuzu , D-Max</t>
        </is>
      </c>
      <c r="G2424" t="inlineStr">
        <is>
          <t>Anthony Gale</t>
        </is>
      </c>
      <c r="H2424" t="inlineStr">
        <is>
          <t>Towed Chipper</t>
        </is>
      </c>
      <c r="I2424" t="inlineStr">
        <is>
          <t>Daily/ Weekly Vehicle Inspection</t>
        </is>
      </c>
      <c r="J2424" t="inlineStr">
        <is>
          <t>N/A</t>
        </is>
      </c>
      <c r="K2424" t="inlineStr">
        <is>
          <t>7996 M G Tree Surgery Ltd 1</t>
        </is>
      </c>
      <c r="L2424" t="inlineStr">
        <is>
          <t>10/12/2025 08:38</t>
        </is>
      </c>
      <c r="M2424" t="inlineStr">
        <is>
          <t>None</t>
        </is>
      </c>
      <c r="N2424" t="inlineStr">
        <is>
          <t>&lt;p&gt;&lt;/p&gt;</t>
        </is>
      </c>
      <c r="O2424" t="inlineStr"/>
      <c r="P2424" t="inlineStr">
        <is>
          <t>KX20 BCE , Tipper , Isuzu , D-Max</t>
        </is>
      </c>
      <c r="Q2424" t="inlineStr">
        <is>
          <t>UKPN</t>
        </is>
      </c>
      <c r="R2424" t="b">
        <v>0</v>
      </c>
    </row>
    <row r="2425">
      <c r="A2425" t="inlineStr">
        <is>
          <t>10 Dec 2025 / 7951 Austin Tree Care LTD / Utilities / UKPN</t>
        </is>
      </c>
      <c r="B2425" t="inlineStr">
        <is>
          <t>Utilities</t>
        </is>
      </c>
      <c r="C2425" t="inlineStr">
        <is>
          <t>UKPN</t>
        </is>
      </c>
      <c r="D2425" t="inlineStr">
        <is>
          <t>SA9ST6P0001283612 , Tow Chipper , Forst , ST6p</t>
        </is>
      </c>
      <c r="E2425" t="inlineStr">
        <is>
          <t>SA9ST6P0001283612 , Tow Chipper , Forst , ST6p</t>
        </is>
      </c>
      <c r="F2425" t="inlineStr">
        <is>
          <t>SA9ST6P0001283612 , Tow Chipper , Forst , ST6p</t>
        </is>
      </c>
      <c r="G2425" t="inlineStr">
        <is>
          <t xml:space="preserve">Jack Austin </t>
        </is>
      </c>
      <c r="H2425" t="inlineStr">
        <is>
          <t>Towed Chipper</t>
        </is>
      </c>
      <c r="I2425" t="inlineStr">
        <is>
          <t>Daily/ Weekly Vehicle Inspection</t>
        </is>
      </c>
      <c r="J2425" t="inlineStr">
        <is>
          <t>N/A</t>
        </is>
      </c>
      <c r="K2425" t="inlineStr">
        <is>
          <t>7951 Austin Tree Care LTD</t>
        </is>
      </c>
      <c r="L2425" t="inlineStr">
        <is>
          <t>10/12/2025 08:39</t>
        </is>
      </c>
      <c r="M2425" t="inlineStr">
        <is>
          <t>None</t>
        </is>
      </c>
      <c r="N2425" t="inlineStr">
        <is>
          <t>&lt;p&gt;&lt;/p&gt;</t>
        </is>
      </c>
      <c r="O2425" t="inlineStr"/>
      <c r="P2425" t="inlineStr">
        <is>
          <t>SA9ST6P0001283612 , Tow Chipper , Forst , ST6p</t>
        </is>
      </c>
      <c r="Q2425" t="inlineStr">
        <is>
          <t>UKPN</t>
        </is>
      </c>
      <c r="R2425" t="b">
        <v>0</v>
      </c>
    </row>
    <row r="2426">
      <c r="A2426" t="inlineStr">
        <is>
          <t>10 Dec 2025 / 7951 Austin Tree Care LTD / Utilities / UKPN</t>
        </is>
      </c>
      <c r="B2426" t="inlineStr">
        <is>
          <t>Utilities</t>
        </is>
      </c>
      <c r="C2426" t="inlineStr">
        <is>
          <t>UKPN</t>
        </is>
      </c>
      <c r="D2426" t="inlineStr">
        <is>
          <t>KN58 FUY , Tipper , Volkswagan , Crafter</t>
        </is>
      </c>
      <c r="E2426" t="inlineStr">
        <is>
          <t>KN58 FUY , Tipper , Volkswagan , Crafter</t>
        </is>
      </c>
      <c r="F2426" t="inlineStr">
        <is>
          <t>KN58 FUY , Tipper , Volkswagan , Crafter</t>
        </is>
      </c>
      <c r="G2426" t="inlineStr">
        <is>
          <t>Jack Austin</t>
        </is>
      </c>
      <c r="H2426" t="inlineStr">
        <is>
          <t>Tipper</t>
        </is>
      </c>
      <c r="I2426" t="inlineStr">
        <is>
          <t>Daily/ Weekly Vehicle Inspection</t>
        </is>
      </c>
      <c r="J2426" t="inlineStr">
        <is>
          <t>N/A</t>
        </is>
      </c>
      <c r="K2426" t="inlineStr">
        <is>
          <t>7951 Austin Tree Care LTD</t>
        </is>
      </c>
      <c r="L2426" t="inlineStr">
        <is>
          <t>10/12/2025 08:40</t>
        </is>
      </c>
      <c r="M2426" t="inlineStr">
        <is>
          <t>None</t>
        </is>
      </c>
      <c r="N2426" t="inlineStr">
        <is>
          <t>&lt;p&gt;&lt;/p&gt;</t>
        </is>
      </c>
      <c r="O2426" t="inlineStr"/>
      <c r="P2426" t="inlineStr">
        <is>
          <t>KN58 FUY , Tipper , Volkswagan , Crafter</t>
        </is>
      </c>
      <c r="Q2426" t="inlineStr">
        <is>
          <t>UKPN</t>
        </is>
      </c>
      <c r="R2426" t="b">
        <v>0</v>
      </c>
    </row>
    <row r="2427">
      <c r="A2427" t="inlineStr">
        <is>
          <t>9 Dec 2025 / 7951 Austin Tree Care LTD / Utilities / UKPN</t>
        </is>
      </c>
      <c r="B2427" t="inlineStr">
        <is>
          <t>Utilities</t>
        </is>
      </c>
      <c r="C2427" t="inlineStr">
        <is>
          <t>UKPN</t>
        </is>
      </c>
      <c r="D2427" t="inlineStr">
        <is>
          <t>KN58 FUY , Tipper , Volkswagan , Crafter</t>
        </is>
      </c>
      <c r="E2427" t="inlineStr">
        <is>
          <t>KN58 FUY , Tipper , Volkswagan , Crafter</t>
        </is>
      </c>
      <c r="F2427" t="inlineStr">
        <is>
          <t>KN58 FUY , Tipper , Volkswagan , Crafter</t>
        </is>
      </c>
      <c r="G2427" t="inlineStr">
        <is>
          <t xml:space="preserve">Jack Austin </t>
        </is>
      </c>
      <c r="H2427" t="inlineStr">
        <is>
          <t>4x4</t>
        </is>
      </c>
      <c r="I2427" t="inlineStr">
        <is>
          <t>Daily/ Weekly Vehicle Inspection</t>
        </is>
      </c>
      <c r="J2427" t="inlineStr">
        <is>
          <t>N/A</t>
        </is>
      </c>
      <c r="K2427" t="inlineStr">
        <is>
          <t>7951 Austin Tree Care LTD</t>
        </is>
      </c>
      <c r="L2427" t="inlineStr">
        <is>
          <t>10/12/2025 08:41</t>
        </is>
      </c>
      <c r="M2427" t="inlineStr">
        <is>
          <t>None</t>
        </is>
      </c>
      <c r="N2427" t="inlineStr">
        <is>
          <t>&lt;p&gt;&lt;/p&gt;</t>
        </is>
      </c>
      <c r="O2427" t="inlineStr"/>
      <c r="P2427" t="inlineStr">
        <is>
          <t>KN58 FUY , Tipper , Volkswagan , Crafter</t>
        </is>
      </c>
      <c r="Q2427" t="inlineStr">
        <is>
          <t>UKPN</t>
        </is>
      </c>
      <c r="R2427" t="b">
        <v>0</v>
      </c>
    </row>
    <row r="2428">
      <c r="A2428" t="inlineStr">
        <is>
          <t>10 Dec 2025 / 7186 Eastwoodbury Tree Services Ltd / Utilities / UKPN</t>
        </is>
      </c>
      <c r="B2428" t="inlineStr">
        <is>
          <t>Utilities</t>
        </is>
      </c>
      <c r="C2428" t="inlineStr">
        <is>
          <t>UKPN</t>
        </is>
      </c>
      <c r="D2428" t="inlineStr">
        <is>
          <t>DE53NKS , 4x4 , Ford , Ranger</t>
        </is>
      </c>
      <c r="E2428" t="inlineStr">
        <is>
          <t>DE53NKS , 4x4 , Ford , Ranger</t>
        </is>
      </c>
      <c r="F2428" t="inlineStr">
        <is>
          <t>DE53NKS , 4x4 , Ford , Ranger</t>
        </is>
      </c>
      <c r="G2428" t="inlineStr">
        <is>
          <t xml:space="preserve">Tom Price </t>
        </is>
      </c>
      <c r="H2428" t="inlineStr">
        <is>
          <t>Pickup Truck</t>
        </is>
      </c>
      <c r="I2428" t="inlineStr">
        <is>
          <t>Daily/ Weekly Vehicle Inspection</t>
        </is>
      </c>
      <c r="J2428" t="inlineStr">
        <is>
          <t>N/A</t>
        </is>
      </c>
      <c r="K2428" t="inlineStr">
        <is>
          <t>7186 Eastwoodbury Tree Services Ltd</t>
        </is>
      </c>
      <c r="L2428" t="inlineStr">
        <is>
          <t>10/12/2025 09:36</t>
        </is>
      </c>
      <c r="M2428" t="inlineStr">
        <is>
          <t>None</t>
        </is>
      </c>
      <c r="N2428" t="inlineStr">
        <is>
          <t>&lt;p&gt;&lt;/p&gt;</t>
        </is>
      </c>
      <c r="O2428" t="inlineStr"/>
      <c r="P2428" t="inlineStr">
        <is>
          <t>DE53NKS , 4x4 , Ford , Ranger</t>
        </is>
      </c>
      <c r="Q2428" t="inlineStr">
        <is>
          <t>UKPN</t>
        </is>
      </c>
      <c r="R2428" t="b">
        <v>0</v>
      </c>
    </row>
    <row r="2429">
      <c r="A2429" t="inlineStr">
        <is>
          <t>10 Dec 2025 / 7186 Eastwoodbury Tree Services Ltd / Utilities / UKPN</t>
        </is>
      </c>
      <c r="B2429" t="inlineStr">
        <is>
          <t>Utilities</t>
        </is>
      </c>
      <c r="C2429" t="inlineStr">
        <is>
          <t>UKPN</t>
        </is>
      </c>
      <c r="D2429" t="inlineStr">
        <is>
          <t>WF13 EKT , 4x4 , Land rover  , Defender</t>
        </is>
      </c>
      <c r="E2429" t="inlineStr">
        <is>
          <t>WF13 EKT , 4x4 , Land rover  , Defender</t>
        </is>
      </c>
      <c r="F2429" t="inlineStr">
        <is>
          <t>WF13 EKT , 4x4 , Land rover  , Defender</t>
        </is>
      </c>
      <c r="G2429" t="inlineStr">
        <is>
          <t xml:space="preserve">Dan Gilbert </t>
        </is>
      </c>
      <c r="H2429" t="inlineStr">
        <is>
          <t>4x4</t>
        </is>
      </c>
      <c r="I2429" t="inlineStr">
        <is>
          <t>Daily/ Weekly Vehicle Inspection</t>
        </is>
      </c>
      <c r="J2429" t="inlineStr">
        <is>
          <t>N/A</t>
        </is>
      </c>
      <c r="K2429" t="inlineStr">
        <is>
          <t>7186 Eastwoodbury Tree Services Ltd</t>
        </is>
      </c>
      <c r="L2429" t="inlineStr">
        <is>
          <t>10/12/2025 09:36</t>
        </is>
      </c>
      <c r="M2429" t="inlineStr">
        <is>
          <t>None</t>
        </is>
      </c>
      <c r="N2429" t="inlineStr">
        <is>
          <t>&lt;p&gt;&lt;/p&gt;</t>
        </is>
      </c>
      <c r="O2429" t="inlineStr"/>
      <c r="P2429" t="inlineStr">
        <is>
          <t>WF13 EKT , 4x4 , Land rover  , Defender</t>
        </is>
      </c>
      <c r="Q2429" t="inlineStr">
        <is>
          <t>UKPN</t>
        </is>
      </c>
      <c r="R2429" t="b">
        <v>0</v>
      </c>
    </row>
    <row r="2430">
      <c r="A2430" t="inlineStr">
        <is>
          <t>10 Dec 2025 / 7186 Eastwoodbury Tree Services Ltd / Utilities / UKPN</t>
        </is>
      </c>
      <c r="B2430" t="inlineStr">
        <is>
          <t>Utilities</t>
        </is>
      </c>
      <c r="C2430" t="inlineStr">
        <is>
          <t>UKPN</t>
        </is>
      </c>
      <c r="D2430" t="inlineStr">
        <is>
          <t>WD63 JXB , 4x4 , Land rover  , Defender</t>
        </is>
      </c>
      <c r="E2430" t="inlineStr">
        <is>
          <t>WD63 JXB , 4x4 , Land rover  , Defender</t>
        </is>
      </c>
      <c r="F2430" t="inlineStr">
        <is>
          <t>WD63 JXB , 4x4 , Land rover  , Defender</t>
        </is>
      </c>
      <c r="G2430" t="inlineStr">
        <is>
          <t xml:space="preserve">Jay Denkmayer </t>
        </is>
      </c>
      <c r="H2430" t="inlineStr">
        <is>
          <t>4x4</t>
        </is>
      </c>
      <c r="I2430" t="inlineStr">
        <is>
          <t>Daily/ Weekly Vehicle Inspection</t>
        </is>
      </c>
      <c r="J2430" t="inlineStr">
        <is>
          <t>N/A</t>
        </is>
      </c>
      <c r="K2430" t="inlineStr">
        <is>
          <t>7186 Eastwoodbury Tree Services Ltd</t>
        </is>
      </c>
      <c r="L2430" t="inlineStr">
        <is>
          <t>10/12/2025 09:37</t>
        </is>
      </c>
      <c r="M2430" t="inlineStr">
        <is>
          <t>None</t>
        </is>
      </c>
      <c r="N2430" t="inlineStr">
        <is>
          <t>&lt;p&gt;&lt;/p&gt;</t>
        </is>
      </c>
      <c r="O2430" t="inlineStr"/>
      <c r="P2430" t="inlineStr">
        <is>
          <t>WD63 JXB , 4x4 , Land rover  , Defender</t>
        </is>
      </c>
      <c r="Q2430" t="inlineStr">
        <is>
          <t>UKPN</t>
        </is>
      </c>
      <c r="R2430" t="b">
        <v>0</v>
      </c>
    </row>
    <row r="2431">
      <c r="A2431" t="inlineStr">
        <is>
          <t>10 Dec 2025 / Paul Chubb / Utilities / SSE</t>
        </is>
      </c>
      <c r="B2431" t="inlineStr">
        <is>
          <t>Utilities</t>
        </is>
      </c>
      <c r="C2431" t="inlineStr">
        <is>
          <t>SSE</t>
        </is>
      </c>
      <c r="D2431" t="inlineStr"/>
      <c r="E2431" t="inlineStr"/>
      <c r="F2431" t="inlineStr"/>
      <c r="G2431" t="inlineStr">
        <is>
          <t>Paul chubb</t>
        </is>
      </c>
      <c r="H2431" t="inlineStr">
        <is>
          <t>Van</t>
        </is>
      </c>
      <c r="I2431" t="inlineStr">
        <is>
          <t>Daily/ Weekly Vehicle Inspection</t>
        </is>
      </c>
      <c r="J2431" t="inlineStr">
        <is>
          <t>N/A</t>
        </is>
      </c>
      <c r="K2431" t="inlineStr">
        <is>
          <t>Paul Chubb</t>
        </is>
      </c>
      <c r="L2431" t="inlineStr">
        <is>
          <t>10/12/2025 09:38</t>
        </is>
      </c>
      <c r="M2431" t="inlineStr">
        <is>
          <t>None</t>
        </is>
      </c>
      <c r="N2431" t="inlineStr">
        <is>
          <t>&lt;p&gt;&lt;/p&gt;</t>
        </is>
      </c>
      <c r="O2431" t="inlineStr"/>
      <c r="P2431" t="inlineStr"/>
      <c r="Q2431" t="inlineStr">
        <is>
          <t>SSE</t>
        </is>
      </c>
      <c r="R2431" t="b">
        <v>0</v>
      </c>
    </row>
    <row r="2432">
      <c r="A2432" t="inlineStr">
        <is>
          <t>10 Dec 2025 / Anthony Gale / Utilities / UKPN</t>
        </is>
      </c>
      <c r="B2432" t="inlineStr">
        <is>
          <t>Utilities</t>
        </is>
      </c>
      <c r="C2432" t="inlineStr">
        <is>
          <t>UKPN</t>
        </is>
      </c>
      <c r="D2432" t="inlineStr">
        <is>
          <t>KX20 BCE , Tipper , Isuzu , D-Max</t>
        </is>
      </c>
      <c r="E2432" t="inlineStr">
        <is>
          <t>KX20 BCE , Tipper , Isuzu , D-Max</t>
        </is>
      </c>
      <c r="F2432" t="inlineStr">
        <is>
          <t>KX20 BCE , Tipper , Isuzu , D-Max</t>
        </is>
      </c>
      <c r="G2432" t="inlineStr">
        <is>
          <t>Anthony Gale</t>
        </is>
      </c>
      <c r="H2432" t="inlineStr">
        <is>
          <t>Pickup Truck</t>
        </is>
      </c>
      <c r="I2432" t="inlineStr">
        <is>
          <t>Daily/ Weekly Vehicle Inspection</t>
        </is>
      </c>
      <c r="J2432" t="inlineStr">
        <is>
          <t>N/A</t>
        </is>
      </c>
      <c r="K2432" t="inlineStr">
        <is>
          <t>7996 M G Tree Surgery Ltd 1</t>
        </is>
      </c>
      <c r="L2432" t="inlineStr">
        <is>
          <t>10/12/2025 10:37</t>
        </is>
      </c>
      <c r="M2432" t="inlineStr">
        <is>
          <t>None</t>
        </is>
      </c>
      <c r="N2432" t="inlineStr">
        <is>
          <t>&lt;p&gt;&lt;/p&gt;</t>
        </is>
      </c>
      <c r="O2432" t="inlineStr">
        <is>
          <t>Confirm that you have checked this vehicle as per the guidance document and the vehicle is safe and roadworthy:Light board deteriorating.
Safe for now.
-</t>
        </is>
      </c>
      <c r="P2432" t="inlineStr">
        <is>
          <t>KX20 BCE , Tipper , Isuzu , D-Max</t>
        </is>
      </c>
      <c r="Q2432" t="inlineStr">
        <is>
          <t>UKPN</t>
        </is>
      </c>
      <c r="R2432" t="b">
        <v>0</v>
      </c>
    </row>
    <row r="2433">
      <c r="A2433" t="inlineStr">
        <is>
          <t>10 Dec 2025 / 6556 DE UA SWales3 / Utilities / NGED</t>
        </is>
      </c>
      <c r="B2433" t="inlineStr">
        <is>
          <t>Utilities</t>
        </is>
      </c>
      <c r="C2433" t="inlineStr">
        <is>
          <t>NGED</t>
        </is>
      </c>
      <c r="D2433" t="inlineStr">
        <is>
          <t>WO23RVN , Van , Ford , Ranger</t>
        </is>
      </c>
      <c r="E2433" t="inlineStr">
        <is>
          <t>WO23RVN , Van , Ford , Ranger</t>
        </is>
      </c>
      <c r="F2433" t="inlineStr">
        <is>
          <t>WO23RVN , Van , Ford , Ranger</t>
        </is>
      </c>
      <c r="G2433" t="inlineStr">
        <is>
          <t xml:space="preserve">Daniel davies </t>
        </is>
      </c>
      <c r="H2433" t="inlineStr">
        <is>
          <t>4x4</t>
        </is>
      </c>
      <c r="I2433" t="inlineStr">
        <is>
          <t>Daily/ Weekly Vehicle Inspection</t>
        </is>
      </c>
      <c r="J2433" t="inlineStr">
        <is>
          <t>N/A</t>
        </is>
      </c>
      <c r="K2433" t="inlineStr">
        <is>
          <t>6556 DE UA SWales3</t>
        </is>
      </c>
      <c r="L2433" t="inlineStr">
        <is>
          <t>10/12/2025 10:38</t>
        </is>
      </c>
      <c r="M2433" t="inlineStr">
        <is>
          <t>None</t>
        </is>
      </c>
      <c r="N2433" t="inlineStr">
        <is>
          <t>&lt;p&gt;&lt;/p&gt;</t>
        </is>
      </c>
      <c r="O2433" t="inlineStr"/>
      <c r="P2433" t="inlineStr">
        <is>
          <t>WO23RVN , Van , Ford , Ranger</t>
        </is>
      </c>
      <c r="Q2433" t="inlineStr">
        <is>
          <t>NGED</t>
        </is>
      </c>
      <c r="R2433" t="b">
        <v>0</v>
      </c>
    </row>
    <row r="2434">
      <c r="A2434" t="inlineStr">
        <is>
          <t>10 Dec 2025 / 6556 DE UA SWales3 / Utilities / NGED</t>
        </is>
      </c>
      <c r="B2434" t="inlineStr">
        <is>
          <t>Utilities</t>
        </is>
      </c>
      <c r="C2434" t="inlineStr">
        <is>
          <t>NGED</t>
        </is>
      </c>
      <c r="D2434" t="inlineStr">
        <is>
          <t>BK72ZPG , N/A , Isuzu , D-Max</t>
        </is>
      </c>
      <c r="E2434" t="inlineStr">
        <is>
          <t>BK72ZPG , N/A , Isuzu , D-Max</t>
        </is>
      </c>
      <c r="F2434" t="inlineStr">
        <is>
          <t>BK72ZPG , N/A , Isuzu , D-Max</t>
        </is>
      </c>
      <c r="G2434" t="inlineStr">
        <is>
          <t xml:space="preserve">Adrian Evans </t>
        </is>
      </c>
      <c r="H2434" t="inlineStr">
        <is>
          <t>4x4</t>
        </is>
      </c>
      <c r="I2434" t="inlineStr">
        <is>
          <t>Daily/ Weekly Vehicle Inspection</t>
        </is>
      </c>
      <c r="J2434" t="inlineStr">
        <is>
          <t>N/A</t>
        </is>
      </c>
      <c r="K2434" t="inlineStr">
        <is>
          <t>6556 DE UA SWales3</t>
        </is>
      </c>
      <c r="L2434" t="inlineStr">
        <is>
          <t>10/12/2025 10:39</t>
        </is>
      </c>
      <c r="M2434" t="inlineStr">
        <is>
          <t>None</t>
        </is>
      </c>
      <c r="N2434" t="inlineStr">
        <is>
          <t>&lt;p&gt;&lt;/p&gt;</t>
        </is>
      </c>
      <c r="O2434" t="inlineStr"/>
      <c r="P2434" t="inlineStr">
        <is>
          <t>BK72ZPG , N/A , Isuzu , D-Max</t>
        </is>
      </c>
      <c r="Q2434" t="inlineStr">
        <is>
          <t>NGED</t>
        </is>
      </c>
      <c r="R2434" t="b">
        <v>0</v>
      </c>
    </row>
    <row r="2435">
      <c r="A2435" t="inlineStr">
        <is>
          <t>10 Dec 2025 / Thomas Playford / Utilities / UKPN</t>
        </is>
      </c>
      <c r="B2435" t="inlineStr">
        <is>
          <t>Utilities</t>
        </is>
      </c>
      <c r="C2435" t="inlineStr">
        <is>
          <t>UKPN</t>
        </is>
      </c>
      <c r="D2435" t="inlineStr">
        <is>
          <t>SA9ST800000283944 , Tow Chipper , Forst , ST8D - Towed</t>
        </is>
      </c>
      <c r="E2435" t="inlineStr">
        <is>
          <t>SA9ST800000283944 , Tow Chipper , Forst , ST8D - Towed</t>
        </is>
      </c>
      <c r="F2435" t="inlineStr">
        <is>
          <t>SA9ST800000283944 , Tow Chipper , Forst , ST8D - Towed</t>
        </is>
      </c>
      <c r="G2435" t="inlineStr">
        <is>
          <t xml:space="preserve">Thomas Playford </t>
        </is>
      </c>
      <c r="H2435" t="inlineStr">
        <is>
          <t>Towed Chipper</t>
        </is>
      </c>
      <c r="I2435" t="inlineStr">
        <is>
          <t>Daily/ Weekly Vehicle Inspection</t>
        </is>
      </c>
      <c r="J2435" t="inlineStr">
        <is>
          <t>N/A</t>
        </is>
      </c>
      <c r="K2435" t="inlineStr">
        <is>
          <t>7995 Green Net Eco Ltd 2</t>
        </is>
      </c>
      <c r="L2435" t="inlineStr">
        <is>
          <t>10/12/2025 11:37</t>
        </is>
      </c>
      <c r="M2435" t="inlineStr">
        <is>
          <t>None</t>
        </is>
      </c>
      <c r="N2435" t="inlineStr">
        <is>
          <t>&lt;p&gt;&lt;/p&gt;</t>
        </is>
      </c>
      <c r="O2435" t="inlineStr"/>
      <c r="P2435" t="inlineStr">
        <is>
          <t>SA9ST800000283944 , Tow Chipper , Forst , ST8D - Towed</t>
        </is>
      </c>
      <c r="Q2435" t="inlineStr">
        <is>
          <t>UKPN</t>
        </is>
      </c>
      <c r="R2435" t="b">
        <v>0</v>
      </c>
    </row>
    <row r="2436">
      <c r="A2436" t="inlineStr">
        <is>
          <t>10 Dec 2025 / Thomas Playford / Utilities / UKPN</t>
        </is>
      </c>
      <c r="B2436" t="inlineStr">
        <is>
          <t>Utilities</t>
        </is>
      </c>
      <c r="C2436" t="inlineStr">
        <is>
          <t>UKPN</t>
        </is>
      </c>
      <c r="D2436" t="inlineStr">
        <is>
          <t>LK15KRZ , 4x4 , Landrover , Defender</t>
        </is>
      </c>
      <c r="E2436" t="inlineStr">
        <is>
          <t>LK15KRZ , 4x4 , Landrover , Defender</t>
        </is>
      </c>
      <c r="F2436" t="inlineStr">
        <is>
          <t>LK15KRZ , 4x4 , Landrover , Defender</t>
        </is>
      </c>
      <c r="G2436" t="inlineStr">
        <is>
          <t>Thomas Playford</t>
        </is>
      </c>
      <c r="H2436" t="inlineStr">
        <is>
          <t>4x4</t>
        </is>
      </c>
      <c r="I2436" t="inlineStr">
        <is>
          <t>Daily/ Weekly Vehicle Inspection</t>
        </is>
      </c>
      <c r="J2436" t="inlineStr">
        <is>
          <t>N/A</t>
        </is>
      </c>
      <c r="K2436" t="inlineStr">
        <is>
          <t>7995 Green Net Eco Ltd 2</t>
        </is>
      </c>
      <c r="L2436" t="inlineStr">
        <is>
          <t>10/12/2025 11:38</t>
        </is>
      </c>
      <c r="M2436" t="inlineStr">
        <is>
          <t>None</t>
        </is>
      </c>
      <c r="N2436" t="inlineStr">
        <is>
          <t>&lt;p&gt;&lt;/p&gt;</t>
        </is>
      </c>
      <c r="O2436" t="inlineStr"/>
      <c r="P2436" t="inlineStr">
        <is>
          <t>LK15KRZ , 4x4 , Landrover , Defender</t>
        </is>
      </c>
      <c r="Q2436" t="inlineStr">
        <is>
          <t>UKPN</t>
        </is>
      </c>
      <c r="R2436" t="b">
        <v>0</v>
      </c>
    </row>
    <row r="2437">
      <c r="A2437" t="inlineStr">
        <is>
          <t>9 Dec 2025 / Thomas Playford / Utilities / UKPN</t>
        </is>
      </c>
      <c r="B2437" t="inlineStr">
        <is>
          <t>Utilities</t>
        </is>
      </c>
      <c r="C2437" t="inlineStr">
        <is>
          <t>UKPN</t>
        </is>
      </c>
      <c r="D2437" t="inlineStr"/>
      <c r="E2437" t="inlineStr"/>
      <c r="F2437" t="inlineStr"/>
      <c r="G2437" t="inlineStr">
        <is>
          <t>Thomas Playford</t>
        </is>
      </c>
      <c r="H2437" t="inlineStr">
        <is>
          <t>Tipper</t>
        </is>
      </c>
      <c r="I2437" t="inlineStr">
        <is>
          <t>Daily/ Weekly Vehicle Inspection</t>
        </is>
      </c>
      <c r="J2437" t="inlineStr">
        <is>
          <t>N/A</t>
        </is>
      </c>
      <c r="K2437" t="inlineStr">
        <is>
          <t>7995 Green Net Eco Ltd 2</t>
        </is>
      </c>
      <c r="L2437" t="inlineStr">
        <is>
          <t>10/12/2025 11:39</t>
        </is>
      </c>
      <c r="M2437" t="inlineStr">
        <is>
          <t>None</t>
        </is>
      </c>
      <c r="N2437" t="inlineStr">
        <is>
          <t>&lt;p&gt;&lt;/p&gt;</t>
        </is>
      </c>
      <c r="O2437" t="inlineStr"/>
      <c r="P2437" t="inlineStr"/>
      <c r="Q2437" t="inlineStr">
        <is>
          <t>UKPN</t>
        </is>
      </c>
      <c r="R2437" t="b">
        <v>0</v>
      </c>
    </row>
    <row r="2438">
      <c r="A2438" t="inlineStr">
        <is>
          <t>10 Dec 2025 / Kevin Miller / Utilities / UKPN</t>
        </is>
      </c>
      <c r="B2438" t="inlineStr">
        <is>
          <t>Utilities</t>
        </is>
      </c>
      <c r="C2438" t="inlineStr">
        <is>
          <t>UKPN</t>
        </is>
      </c>
      <c r="D2438" t="inlineStr">
        <is>
          <t>EO73KUF , Car - Electric , Kia , Niro</t>
        </is>
      </c>
      <c r="E2438" t="inlineStr">
        <is>
          <t>EO73KUF , Car - Electric , Kia , Niro</t>
        </is>
      </c>
      <c r="F2438" t="inlineStr">
        <is>
          <t>EO73KUF , Car - Electric , Kia , Niro</t>
        </is>
      </c>
      <c r="G2438" t="inlineStr">
        <is>
          <t xml:space="preserve">Kevin Miller </t>
        </is>
      </c>
      <c r="H2438" t="inlineStr">
        <is>
          <t>Car - Electric (GC Owned)</t>
        </is>
      </c>
      <c r="I2438" t="inlineStr">
        <is>
          <t>Daily/ Weekly Vehicle Inspection</t>
        </is>
      </c>
      <c r="J2438" t="inlineStr">
        <is>
          <t>N/A</t>
        </is>
      </c>
      <c r="K2438" t="inlineStr">
        <is>
          <t>Kevin Miller</t>
        </is>
      </c>
      <c r="L2438" t="inlineStr">
        <is>
          <t>10/12/2025 12:37</t>
        </is>
      </c>
      <c r="M2438" t="inlineStr">
        <is>
          <t>None</t>
        </is>
      </c>
      <c r="N2438" t="inlineStr">
        <is>
          <t>&lt;p&gt;&lt;/p&gt;</t>
        </is>
      </c>
      <c r="O2438" t="inlineStr"/>
      <c r="P2438" t="inlineStr">
        <is>
          <t>EO73KUF , Car - Electric , Kia , Niro</t>
        </is>
      </c>
      <c r="Q2438" t="inlineStr">
        <is>
          <t>UKPN</t>
        </is>
      </c>
      <c r="R2438" t="b">
        <v>0</v>
      </c>
    </row>
    <row r="2439">
      <c r="A2439" t="inlineStr">
        <is>
          <t>10 Dec 2025 / Philip Shaw / Utilities / NGED</t>
        </is>
      </c>
      <c r="B2439" t="inlineStr">
        <is>
          <t>Utilities</t>
        </is>
      </c>
      <c r="C2439" t="inlineStr">
        <is>
          <t>NGED</t>
        </is>
      </c>
      <c r="D2439" t="inlineStr">
        <is>
          <t>AF22TZO , Car - Electric , Tesla , Model 3 Long Range AWD</t>
        </is>
      </c>
      <c r="E2439" t="inlineStr">
        <is>
          <t>AF22TZO , Car - Electric , Tesla , Model 3 Long Range AWD</t>
        </is>
      </c>
      <c r="F2439" t="inlineStr">
        <is>
          <t>AF22TZO , Car - Electric , Tesla , Model 3 Long Range AWD</t>
        </is>
      </c>
      <c r="G2439" t="inlineStr">
        <is>
          <t>Phil shaw</t>
        </is>
      </c>
      <c r="H2439" t="inlineStr">
        <is>
          <t>Car - Electric (GC Owned)</t>
        </is>
      </c>
      <c r="I2439" t="inlineStr">
        <is>
          <t>Daily/ Weekly Vehicle Inspection</t>
        </is>
      </c>
      <c r="J2439" t="inlineStr">
        <is>
          <t>N/A</t>
        </is>
      </c>
      <c r="K2439" t="inlineStr">
        <is>
          <t>Philip Shaw</t>
        </is>
      </c>
      <c r="L2439" t="inlineStr">
        <is>
          <t>10/12/2025 12:38</t>
        </is>
      </c>
      <c r="M2439" t="inlineStr">
        <is>
          <t>None</t>
        </is>
      </c>
      <c r="N2439" t="inlineStr">
        <is>
          <t>&lt;p&gt;&lt;/p&gt;</t>
        </is>
      </c>
      <c r="O2439" t="inlineStr"/>
      <c r="P2439" t="inlineStr">
        <is>
          <t>AF22TZO , Car - Electric , Tesla , Model 3 Long Range AWD</t>
        </is>
      </c>
      <c r="Q2439" t="inlineStr">
        <is>
          <t>NGED</t>
        </is>
      </c>
      <c r="R2439" t="b">
        <v>0</v>
      </c>
    </row>
    <row r="2440">
      <c r="A2440" t="inlineStr">
        <is>
          <t>10 Dec 2025 / Thomas Playford / Utilities / UKPN</t>
        </is>
      </c>
      <c r="B2440" t="inlineStr">
        <is>
          <t>Utilities</t>
        </is>
      </c>
      <c r="C2440" t="inlineStr">
        <is>
          <t>UKPN</t>
        </is>
      </c>
      <c r="D2440" t="inlineStr">
        <is>
          <t>SA9ST800000283944 , Tow Chipper , Forst , ST8D - Towed</t>
        </is>
      </c>
      <c r="E2440" t="inlineStr">
        <is>
          <t>SA9ST800000283944 , Tow Chipper , Forst , ST8D - Towed</t>
        </is>
      </c>
      <c r="F2440" t="inlineStr">
        <is>
          <t>SA9ST800000283944 , Tow Chipper , Forst , ST8D - Towed</t>
        </is>
      </c>
      <c r="G2440" t="inlineStr">
        <is>
          <t xml:space="preserve">Thomas Playford </t>
        </is>
      </c>
      <c r="H2440" t="inlineStr">
        <is>
          <t>Towed Chipper</t>
        </is>
      </c>
      <c r="I2440" t="inlineStr">
        <is>
          <t>Daily/ Weekly Vehicle Inspection</t>
        </is>
      </c>
      <c r="J2440" t="inlineStr">
        <is>
          <t>N/A</t>
        </is>
      </c>
      <c r="K2440" t="inlineStr">
        <is>
          <t>7995 Green Net Eco Ltd 2</t>
        </is>
      </c>
      <c r="L2440" t="inlineStr">
        <is>
          <t>10/12/2025 13:36</t>
        </is>
      </c>
      <c r="M2440" t="inlineStr">
        <is>
          <t xml:space="preserve">Confirm that you have checked this vehicle as per the guidance document and the vehicle is safe and roadworthy: Fail
</t>
        </is>
      </c>
      <c r="N2440" t="inlineStr">
        <is>
          <t>&lt;p&gt;&lt;/p&gt;</t>
        </is>
      </c>
      <c r="O2440" t="inlineStr"/>
      <c r="P2440" t="inlineStr">
        <is>
          <t>SA9ST800000283944 , Tow Chipper , Forst , ST8D - Towed</t>
        </is>
      </c>
      <c r="Q2440" t="inlineStr">
        <is>
          <t>UKPN</t>
        </is>
      </c>
      <c r="R2440" t="b">
        <v>0</v>
      </c>
    </row>
    <row r="2441">
      <c r="A2441" t="inlineStr">
        <is>
          <t>11 Dec 2025 / 7806 Optimum Tree Services Ltd / Utilities / UKPN</t>
        </is>
      </c>
      <c r="B2441" t="inlineStr">
        <is>
          <t>Utilities</t>
        </is>
      </c>
      <c r="C2441" t="inlineStr">
        <is>
          <t>UKPN</t>
        </is>
      </c>
      <c r="D2441" t="inlineStr">
        <is>
          <t>SA9ST800000283069 , Chipper , Forst , ST 6P</t>
        </is>
      </c>
      <c r="E2441" t="inlineStr">
        <is>
          <t>SA9ST800000283069 , Chipper , Forst , ST 6P</t>
        </is>
      </c>
      <c r="F2441" t="inlineStr">
        <is>
          <t>SA9ST800000283069 , Chipper , Forst , ST 6P</t>
        </is>
      </c>
      <c r="G2441" t="inlineStr">
        <is>
          <t xml:space="preserve">Kenny Aldred </t>
        </is>
      </c>
      <c r="H2441" t="inlineStr">
        <is>
          <t>Towed Chipper</t>
        </is>
      </c>
      <c r="I2441" t="inlineStr">
        <is>
          <t>Daily/ Weekly Vehicle Inspection</t>
        </is>
      </c>
      <c r="J2441" t="inlineStr">
        <is>
          <t>N/A</t>
        </is>
      </c>
      <c r="K2441" t="inlineStr">
        <is>
          <t>7806 Optimum Tree Services Ltd</t>
        </is>
      </c>
      <c r="L2441" t="inlineStr">
        <is>
          <t>11/12/2025 07:36</t>
        </is>
      </c>
      <c r="M2441" t="inlineStr">
        <is>
          <t>None</t>
        </is>
      </c>
      <c r="N2441" t="inlineStr">
        <is>
          <t>&lt;p&gt;&lt;/p&gt;</t>
        </is>
      </c>
      <c r="O2441" t="inlineStr"/>
      <c r="P2441" t="inlineStr">
        <is>
          <t>SA9ST800000283069 , Chipper , Forst , ST 6P</t>
        </is>
      </c>
      <c r="Q2441" t="inlineStr">
        <is>
          <t>UKPN</t>
        </is>
      </c>
      <c r="R2441" t="b">
        <v>0</v>
      </c>
    </row>
    <row r="2442">
      <c r="A2442" t="inlineStr">
        <is>
          <t>11 Dec 2025 / 7951 Austin Tree Care LTD / Utilities / UKPN</t>
        </is>
      </c>
      <c r="B2442" t="inlineStr">
        <is>
          <t>Utilities</t>
        </is>
      </c>
      <c r="C2442" t="inlineStr">
        <is>
          <t>UKPN</t>
        </is>
      </c>
      <c r="D2442" t="inlineStr">
        <is>
          <t>SA9ST6P0001283612 , Tow Chipper , Forst , ST6p</t>
        </is>
      </c>
      <c r="E2442" t="inlineStr">
        <is>
          <t>SA9ST6P0001283612 , Tow Chipper , Forst , ST6p</t>
        </is>
      </c>
      <c r="F2442" t="inlineStr">
        <is>
          <t>SA9ST6P0001283612 , Tow Chipper , Forst , ST6p</t>
        </is>
      </c>
      <c r="G2442" t="inlineStr">
        <is>
          <t xml:space="preserve">Jack Austin </t>
        </is>
      </c>
      <c r="H2442" t="inlineStr">
        <is>
          <t>Towed Chipper</t>
        </is>
      </c>
      <c r="I2442" t="inlineStr">
        <is>
          <t>Daily/ Weekly Vehicle Inspection</t>
        </is>
      </c>
      <c r="J2442" t="inlineStr">
        <is>
          <t>N/A</t>
        </is>
      </c>
      <c r="K2442" t="inlineStr">
        <is>
          <t>7951 Austin Tree Care LTD</t>
        </is>
      </c>
      <c r="L2442" t="inlineStr">
        <is>
          <t>11/12/2025 07:37</t>
        </is>
      </c>
      <c r="M2442" t="inlineStr">
        <is>
          <t>None</t>
        </is>
      </c>
      <c r="N2442" t="inlineStr">
        <is>
          <t>&lt;p&gt;&lt;/p&gt;</t>
        </is>
      </c>
      <c r="O2442" t="inlineStr"/>
      <c r="P2442" t="inlineStr">
        <is>
          <t>SA9ST6P0001283612 , Tow Chipper , Forst , ST6p</t>
        </is>
      </c>
      <c r="Q2442" t="inlineStr">
        <is>
          <t>UKPN</t>
        </is>
      </c>
      <c r="R2442" t="b">
        <v>0</v>
      </c>
    </row>
    <row r="2443">
      <c r="A2443" t="inlineStr">
        <is>
          <t>11 Dec 2025 / 7806 Optimum Tree Services Ltd / Utilities / UKPN</t>
        </is>
      </c>
      <c r="B2443" t="inlineStr">
        <is>
          <t>Utilities</t>
        </is>
      </c>
      <c r="C2443" t="inlineStr">
        <is>
          <t>UKPN</t>
        </is>
      </c>
      <c r="D2443" t="inlineStr">
        <is>
          <t>WD14EVB , MEWP , Land Rover , Defender</t>
        </is>
      </c>
      <c r="E2443" t="inlineStr">
        <is>
          <t>WD14EVB , MEWP , Land Rover , Defender</t>
        </is>
      </c>
      <c r="F2443" t="inlineStr">
        <is>
          <t>WD14EVB , MEWP , Land Rover , Defender</t>
        </is>
      </c>
      <c r="G2443" t="inlineStr">
        <is>
          <t xml:space="preserve">Kenny Aldred </t>
        </is>
      </c>
      <c r="H2443" t="inlineStr">
        <is>
          <t>4x4</t>
        </is>
      </c>
      <c r="I2443" t="inlineStr">
        <is>
          <t>Daily/ Weekly Vehicle Inspection</t>
        </is>
      </c>
      <c r="J2443" t="inlineStr">
        <is>
          <t>N/A</t>
        </is>
      </c>
      <c r="K2443" t="inlineStr">
        <is>
          <t>7806 Optimum Tree Services Ltd</t>
        </is>
      </c>
      <c r="L2443" t="inlineStr">
        <is>
          <t>11/12/2025 07:37</t>
        </is>
      </c>
      <c r="M2443" t="inlineStr">
        <is>
          <t>None</t>
        </is>
      </c>
      <c r="N2443" t="inlineStr">
        <is>
          <t>&lt;p&gt;&lt;/p&gt;</t>
        </is>
      </c>
      <c r="O2443" t="inlineStr"/>
      <c r="P2443" t="inlineStr">
        <is>
          <t>WD14EVB , MEWP , Land Rover , Defender</t>
        </is>
      </c>
      <c r="Q2443" t="inlineStr">
        <is>
          <t>UKPN</t>
        </is>
      </c>
      <c r="R2443" t="b">
        <v>0</v>
      </c>
    </row>
    <row r="2444">
      <c r="A2444" t="inlineStr">
        <is>
          <t>11 Dec 2025 / 7951 Austin Tree Care LTD / Utilities / UKPN</t>
        </is>
      </c>
      <c r="B2444" t="inlineStr">
        <is>
          <t>Utilities</t>
        </is>
      </c>
      <c r="C2444" t="inlineStr">
        <is>
          <t>UKPN</t>
        </is>
      </c>
      <c r="D2444" t="inlineStr">
        <is>
          <t>KN58 FUY , Tipper , Volkswagan , Crafter</t>
        </is>
      </c>
      <c r="E2444" t="inlineStr">
        <is>
          <t>KN58 FUY , Tipper , Volkswagan , Crafter</t>
        </is>
      </c>
      <c r="F2444" t="inlineStr">
        <is>
          <t>KN58 FUY , Tipper , Volkswagan , Crafter</t>
        </is>
      </c>
      <c r="G2444" t="inlineStr">
        <is>
          <t xml:space="preserve">Jack Austin </t>
        </is>
      </c>
      <c r="H2444" t="inlineStr">
        <is>
          <t>Tipper</t>
        </is>
      </c>
      <c r="I2444" t="inlineStr">
        <is>
          <t>Daily/ Weekly Vehicle Inspection</t>
        </is>
      </c>
      <c r="J2444" t="inlineStr">
        <is>
          <t>N/A</t>
        </is>
      </c>
      <c r="K2444" t="inlineStr">
        <is>
          <t>7951 Austin Tree Care LTD</t>
        </is>
      </c>
      <c r="L2444" t="inlineStr">
        <is>
          <t>11/12/2025 07:38</t>
        </is>
      </c>
      <c r="M2444" t="inlineStr">
        <is>
          <t>None</t>
        </is>
      </c>
      <c r="N2444" t="inlineStr">
        <is>
          <t>&lt;p&gt;&lt;/p&gt;</t>
        </is>
      </c>
      <c r="O2444" t="inlineStr"/>
      <c r="P2444" t="inlineStr">
        <is>
          <t>KN58 FUY , Tipper , Volkswagan , Crafter</t>
        </is>
      </c>
      <c r="Q2444" t="inlineStr">
        <is>
          <t>UKPN</t>
        </is>
      </c>
      <c r="R2444" t="b">
        <v>0</v>
      </c>
    </row>
    <row r="2445">
      <c r="A2445" t="inlineStr">
        <is>
          <t>11 Dec 2025 / Anthony Gale / Utilities / UKPN</t>
        </is>
      </c>
      <c r="B2445" t="inlineStr">
        <is>
          <t>Utilities</t>
        </is>
      </c>
      <c r="C2445" t="inlineStr">
        <is>
          <t>UKPN</t>
        </is>
      </c>
      <c r="D2445" t="inlineStr">
        <is>
          <t>KX20 BCE , Tipper , Isuzu , D-Max</t>
        </is>
      </c>
      <c r="E2445" t="inlineStr">
        <is>
          <t>KX20 BCE , Tipper , Isuzu , D-Max</t>
        </is>
      </c>
      <c r="F2445" t="inlineStr">
        <is>
          <t>KX20 BCE , Tipper , Isuzu , D-Max</t>
        </is>
      </c>
      <c r="G2445" t="inlineStr">
        <is>
          <t>Anthony Gale</t>
        </is>
      </c>
      <c r="H2445" t="inlineStr">
        <is>
          <t>Pickup Truck</t>
        </is>
      </c>
      <c r="I2445" t="inlineStr">
        <is>
          <t>Daily/ Weekly Vehicle Inspection</t>
        </is>
      </c>
      <c r="J2445" t="inlineStr">
        <is>
          <t>N/A</t>
        </is>
      </c>
      <c r="K2445" t="inlineStr">
        <is>
          <t>7996 M G Tree Surgery Ltd 1</t>
        </is>
      </c>
      <c r="L2445" t="inlineStr">
        <is>
          <t>11/12/2025 07:38</t>
        </is>
      </c>
      <c r="M2445" t="inlineStr">
        <is>
          <t>None</t>
        </is>
      </c>
      <c r="N2445" t="inlineStr">
        <is>
          <t>&lt;p&gt;&lt;/p&gt;</t>
        </is>
      </c>
      <c r="O2445" t="inlineStr">
        <is>
          <t>Confirm that you have checked this vehicle as per the guidance document and the vehicle is safe and roadworthy:Tail board deteriorating, ok for now.
Will need sorting soon.
-</t>
        </is>
      </c>
      <c r="P2445" t="inlineStr">
        <is>
          <t>KX20 BCE , Tipper , Isuzu , D-Max</t>
        </is>
      </c>
      <c r="Q2445" t="inlineStr">
        <is>
          <t>UKPN</t>
        </is>
      </c>
      <c r="R2445" t="b">
        <v>0</v>
      </c>
    </row>
    <row r="2446">
      <c r="A2446" t="inlineStr">
        <is>
          <t>11 Dec 2025 / 3098 D &amp; R Landscapes / Utilities / UKPN</t>
        </is>
      </c>
      <c r="B2446" t="inlineStr">
        <is>
          <t>Utilities</t>
        </is>
      </c>
      <c r="C2446" t="inlineStr">
        <is>
          <t>UKPN</t>
        </is>
      </c>
      <c r="D2446" t="inlineStr">
        <is>
          <t>WA13ZZK , 4x4 , Land Rover  , Defender</t>
        </is>
      </c>
      <c r="E2446" t="inlineStr">
        <is>
          <t>WA13ZZK , 4x4 , Land Rover  , Defender</t>
        </is>
      </c>
      <c r="F2446" t="inlineStr">
        <is>
          <t>WA13ZZK , 4x4 , Land Rover  , Defender</t>
        </is>
      </c>
      <c r="G2446" t="inlineStr">
        <is>
          <t>Josh</t>
        </is>
      </c>
      <c r="H2446" t="inlineStr">
        <is>
          <t>Pickup Truck</t>
        </is>
      </c>
      <c r="I2446" t="inlineStr">
        <is>
          <t>Daily/ Weekly Vehicle Inspection</t>
        </is>
      </c>
      <c r="J2446" t="inlineStr">
        <is>
          <t>N/A</t>
        </is>
      </c>
      <c r="K2446" t="inlineStr">
        <is>
          <t>3098 D &amp; R Landscapes</t>
        </is>
      </c>
      <c r="L2446" t="inlineStr">
        <is>
          <t>11/12/2025 08:37</t>
        </is>
      </c>
      <c r="M2446" t="inlineStr">
        <is>
          <t>None</t>
        </is>
      </c>
      <c r="N2446" t="inlineStr">
        <is>
          <t>&lt;p&gt;&lt;/p&gt;</t>
        </is>
      </c>
      <c r="O2446" t="inlineStr"/>
      <c r="P2446" t="inlineStr">
        <is>
          <t>WA13ZZK , 4x4 , Land Rover  , Defender</t>
        </is>
      </c>
      <c r="Q2446" t="inlineStr">
        <is>
          <t>UKPN</t>
        </is>
      </c>
      <c r="R2446" t="b">
        <v>0</v>
      </c>
    </row>
    <row r="2447">
      <c r="A2447" t="inlineStr">
        <is>
          <t>11 Dec 2025 / 3098 D &amp; R Landscapes / Utilities / UKPN</t>
        </is>
      </c>
      <c r="B2447" t="inlineStr">
        <is>
          <t>Utilities</t>
        </is>
      </c>
      <c r="C2447" t="inlineStr">
        <is>
          <t>UKPN</t>
        </is>
      </c>
      <c r="D2447" t="inlineStr">
        <is>
          <t>DE68XHA , Tipper , Isuzu , Grafter</t>
        </is>
      </c>
      <c r="E2447" t="inlineStr">
        <is>
          <t>DE68XHA , Tipper , Isuzu , Grafter</t>
        </is>
      </c>
      <c r="F2447" t="inlineStr">
        <is>
          <t>DE68XHA , Tipper , Isuzu , Grafter</t>
        </is>
      </c>
      <c r="G2447" t="inlineStr">
        <is>
          <t>Jason</t>
        </is>
      </c>
      <c r="H2447" t="inlineStr">
        <is>
          <t>Tipper</t>
        </is>
      </c>
      <c r="I2447" t="inlineStr">
        <is>
          <t>Daily/ Weekly Vehicle Inspection</t>
        </is>
      </c>
      <c r="J2447" t="inlineStr">
        <is>
          <t>N/A</t>
        </is>
      </c>
      <c r="K2447" t="inlineStr">
        <is>
          <t>3098 D &amp; R Landscapes</t>
        </is>
      </c>
      <c r="L2447" t="inlineStr">
        <is>
          <t>11/12/2025 08:38</t>
        </is>
      </c>
      <c r="M2447" t="inlineStr">
        <is>
          <t>None</t>
        </is>
      </c>
      <c r="N2447" t="inlineStr">
        <is>
          <t>&lt;p&gt;&lt;/p&gt;</t>
        </is>
      </c>
      <c r="O2447" t="inlineStr"/>
      <c r="P2447" t="inlineStr">
        <is>
          <t>DE68XHA , Tipper , Isuzu , Grafter</t>
        </is>
      </c>
      <c r="Q2447" t="inlineStr">
        <is>
          <t>UKPN</t>
        </is>
      </c>
      <c r="R2447" t="b">
        <v>0</v>
      </c>
    </row>
    <row r="2448">
      <c r="A2448" t="inlineStr">
        <is>
          <t>11 Dec 2025 / 7996 M G Tree Surgery Ltd / Utilities / UKPN</t>
        </is>
      </c>
      <c r="B2448" t="inlineStr">
        <is>
          <t>Utilities</t>
        </is>
      </c>
      <c r="C2448" t="inlineStr">
        <is>
          <t>UKPN</t>
        </is>
      </c>
      <c r="D2448" t="inlineStr">
        <is>
          <t>GU13 WNL , MEWP , Land Rover , Defender 130</t>
        </is>
      </c>
      <c r="E2448" t="inlineStr">
        <is>
          <t>GU13 WNL , MEWP , Land Rover , Defender 130</t>
        </is>
      </c>
      <c r="F2448" t="inlineStr">
        <is>
          <t>GU13 WNL , MEWP , Land Rover , Defender 130</t>
        </is>
      </c>
      <c r="G2448" t="inlineStr">
        <is>
          <t>Max</t>
        </is>
      </c>
      <c r="H2448" t="inlineStr">
        <is>
          <t>4x4</t>
        </is>
      </c>
      <c r="I2448" t="inlineStr">
        <is>
          <t>Daily/ Weekly Vehicle Inspection</t>
        </is>
      </c>
      <c r="J2448" t="inlineStr">
        <is>
          <t>N/A</t>
        </is>
      </c>
      <c r="K2448" t="inlineStr">
        <is>
          <t>7996 M G Tree Surgery Ltd</t>
        </is>
      </c>
      <c r="L2448" t="inlineStr">
        <is>
          <t>11/12/2025 08:39</t>
        </is>
      </c>
      <c r="M2448" t="inlineStr">
        <is>
          <t>None</t>
        </is>
      </c>
      <c r="N2448" t="inlineStr">
        <is>
          <t>&lt;p&gt;&lt;/p&gt;</t>
        </is>
      </c>
      <c r="O2448" t="inlineStr"/>
      <c r="P2448" t="inlineStr">
        <is>
          <t>GU13 WNL , MEWP , Land Rover , Defender 130</t>
        </is>
      </c>
      <c r="Q2448" t="inlineStr">
        <is>
          <t>UKPN</t>
        </is>
      </c>
      <c r="R2448" t="b">
        <v>0</v>
      </c>
    </row>
    <row r="2449">
      <c r="A2449" t="inlineStr">
        <is>
          <t>11 Dec 2025 / Anthony Gale / Utilities / UKPN</t>
        </is>
      </c>
      <c r="B2449" t="inlineStr">
        <is>
          <t>Utilities</t>
        </is>
      </c>
      <c r="C2449" t="inlineStr">
        <is>
          <t>UKPN</t>
        </is>
      </c>
      <c r="D2449" t="inlineStr"/>
      <c r="E2449" t="inlineStr"/>
      <c r="F2449" t="inlineStr"/>
      <c r="G2449" t="inlineStr">
        <is>
          <t>Anthony Gale</t>
        </is>
      </c>
      <c r="H2449" t="inlineStr">
        <is>
          <t>Plant Trailer</t>
        </is>
      </c>
      <c r="I2449" t="inlineStr">
        <is>
          <t>Daily/ Weekly Vehicle Inspection</t>
        </is>
      </c>
      <c r="J2449" t="inlineStr">
        <is>
          <t>N/A</t>
        </is>
      </c>
      <c r="K2449" t="inlineStr">
        <is>
          <t>7996 M G Tree Surgery Ltd 1</t>
        </is>
      </c>
      <c r="L2449" t="inlineStr">
        <is>
          <t>11/12/2025 08:39</t>
        </is>
      </c>
      <c r="M2449" t="inlineStr">
        <is>
          <t>None</t>
        </is>
      </c>
      <c r="N2449" t="inlineStr">
        <is>
          <t>&lt;p&gt;&lt;/p&gt;</t>
        </is>
      </c>
      <c r="O2449" t="inlineStr"/>
      <c r="P2449" t="inlineStr"/>
      <c r="Q2449" t="inlineStr">
        <is>
          <t>UKPN</t>
        </is>
      </c>
      <c r="R2449" t="b">
        <v>0</v>
      </c>
    </row>
    <row r="2450">
      <c r="A2450" t="inlineStr">
        <is>
          <t>11 Dec 2025 / Anthony Gale / Utilities / UKPN</t>
        </is>
      </c>
      <c r="B2450" t="inlineStr">
        <is>
          <t>Utilities</t>
        </is>
      </c>
      <c r="C2450" t="inlineStr">
        <is>
          <t>UKPN</t>
        </is>
      </c>
      <c r="D2450" t="inlineStr">
        <is>
          <t>KX20 BCE , Tipper , Isuzu , D-Max</t>
        </is>
      </c>
      <c r="E2450" t="inlineStr">
        <is>
          <t>KX20 BCE , Tipper , Isuzu , D-Max</t>
        </is>
      </c>
      <c r="F2450" t="inlineStr">
        <is>
          <t>KX20 BCE , Tipper , Isuzu , D-Max</t>
        </is>
      </c>
      <c r="G2450" t="inlineStr">
        <is>
          <t>Anthony Gale</t>
        </is>
      </c>
      <c r="H2450" t="inlineStr">
        <is>
          <t>Pickup Truck</t>
        </is>
      </c>
      <c r="I2450" t="inlineStr">
        <is>
          <t>Daily/ Weekly Vehicle Inspection</t>
        </is>
      </c>
      <c r="J2450" t="inlineStr">
        <is>
          <t>N/A</t>
        </is>
      </c>
      <c r="K2450" t="inlineStr">
        <is>
          <t>7996 M G Tree Surgery Ltd 1</t>
        </is>
      </c>
      <c r="L2450" t="inlineStr">
        <is>
          <t>11/12/2025 08:40</t>
        </is>
      </c>
      <c r="M2450" t="inlineStr">
        <is>
          <t>None</t>
        </is>
      </c>
      <c r="N2450" t="inlineStr">
        <is>
          <t>&lt;p&gt;&lt;/p&gt;</t>
        </is>
      </c>
      <c r="O2450" t="inlineStr">
        <is>
          <t>Confirm that you have checked this vehicle as per the guidance document and the vehicle is safe and roadworthy:Tail board deteriorating, ok for now.
Will need sorting soon.
-</t>
        </is>
      </c>
      <c r="P2450" t="inlineStr">
        <is>
          <t>KX20 BCE , Tipper , Isuzu , D-Max</t>
        </is>
      </c>
      <c r="Q2450" t="inlineStr">
        <is>
          <t>UKPN</t>
        </is>
      </c>
      <c r="R2450" t="b">
        <v>0</v>
      </c>
    </row>
    <row r="2451">
      <c r="A2451" t="inlineStr">
        <is>
          <t>11 Dec 2025 / Leigh Overton / Utilities / NGED</t>
        </is>
      </c>
      <c r="B2451" t="inlineStr">
        <is>
          <t>Utilities</t>
        </is>
      </c>
      <c r="C2451" t="inlineStr">
        <is>
          <t>NGED</t>
        </is>
      </c>
      <c r="D2451" t="inlineStr">
        <is>
          <t>GN70XAT , Car - Electric , Tesla , Model 3 Long Range AWD</t>
        </is>
      </c>
      <c r="E2451" t="inlineStr">
        <is>
          <t>GN70XAT , Car - Electric , Tesla , Model 3 Long Range AWD</t>
        </is>
      </c>
      <c r="F2451" t="inlineStr">
        <is>
          <t>GN70XAT , Car - Electric , Tesla , Model 3 Long Range AWD</t>
        </is>
      </c>
      <c r="G2451" t="inlineStr">
        <is>
          <t>Leigh Overton</t>
        </is>
      </c>
      <c r="H2451" t="inlineStr">
        <is>
          <t>Car - Electric (GC Owned)</t>
        </is>
      </c>
      <c r="I2451" t="inlineStr">
        <is>
          <t>Daily/ Weekly Vehicle Inspection</t>
        </is>
      </c>
      <c r="J2451" t="inlineStr">
        <is>
          <t>N/A</t>
        </is>
      </c>
      <c r="K2451" t="inlineStr">
        <is>
          <t>Leigh Overton</t>
        </is>
      </c>
      <c r="L2451" t="inlineStr">
        <is>
          <t>11/12/2025 16:36</t>
        </is>
      </c>
      <c r="M2451" t="inlineStr">
        <is>
          <t>None</t>
        </is>
      </c>
      <c r="N2451" t="inlineStr">
        <is>
          <t>&lt;p&gt;&lt;/p&gt;</t>
        </is>
      </c>
      <c r="O2451" t="inlineStr"/>
      <c r="P2451" t="inlineStr">
        <is>
          <t>GN70XAT , Car - Electric , Tesla , Model 3 Long Range AWD</t>
        </is>
      </c>
      <c r="Q2451" t="inlineStr">
        <is>
          <t>NGED</t>
        </is>
      </c>
      <c r="R2451" t="b">
        <v>0</v>
      </c>
    </row>
    <row r="2452">
      <c r="A2452" t="inlineStr">
        <is>
          <t>11 Dec 2025 / Anthony Gale / Utilities / UKPN</t>
        </is>
      </c>
      <c r="B2452" t="inlineStr">
        <is>
          <t>Utilities</t>
        </is>
      </c>
      <c r="C2452" t="inlineStr">
        <is>
          <t>UKPN</t>
        </is>
      </c>
      <c r="D2452" t="inlineStr"/>
      <c r="E2452" t="inlineStr"/>
      <c r="F2452" t="inlineStr"/>
      <c r="G2452" t="inlineStr">
        <is>
          <t>Anthony Gale</t>
        </is>
      </c>
      <c r="H2452" t="inlineStr">
        <is>
          <t>Plant Trailer</t>
        </is>
      </c>
      <c r="I2452" t="inlineStr">
        <is>
          <t>Daily/ Weekly Vehicle Inspection</t>
        </is>
      </c>
      <c r="J2452" t="inlineStr">
        <is>
          <t>N/A</t>
        </is>
      </c>
      <c r="K2452" t="inlineStr">
        <is>
          <t>7996 M G Tree Surgery Ltd 1</t>
        </is>
      </c>
      <c r="L2452" t="inlineStr">
        <is>
          <t>12/12/2025 06:36</t>
        </is>
      </c>
      <c r="M2452" t="inlineStr">
        <is>
          <t>None</t>
        </is>
      </c>
      <c r="N2452" t="inlineStr">
        <is>
          <t>&lt;p&gt;&lt;/p&gt;</t>
        </is>
      </c>
      <c r="O2452" t="inlineStr"/>
      <c r="P2452" t="inlineStr"/>
      <c r="Q2452" t="inlineStr">
        <is>
          <t>UKPN</t>
        </is>
      </c>
      <c r="R2452" t="b">
        <v>0</v>
      </c>
    </row>
    <row r="2453">
      <c r="A2453" t="inlineStr">
        <is>
          <t>12 Dec 2025 / 7806 Optimum Tree Services Ltd / Utilities / UKPN</t>
        </is>
      </c>
      <c r="B2453" t="inlineStr">
        <is>
          <t>Utilities</t>
        </is>
      </c>
      <c r="C2453" t="inlineStr">
        <is>
          <t>UKPN</t>
        </is>
      </c>
      <c r="D2453" t="inlineStr">
        <is>
          <t>SA9ST800000283069 , Chipper , Forst , ST 6P</t>
        </is>
      </c>
      <c r="E2453" t="inlineStr">
        <is>
          <t>SA9ST800000283069 , Chipper , Forst , ST 6P</t>
        </is>
      </c>
      <c r="F2453" t="inlineStr">
        <is>
          <t>SA9ST800000283069 , Chipper , Forst , ST 6P</t>
        </is>
      </c>
      <c r="G2453" t="inlineStr">
        <is>
          <t xml:space="preserve">Kenny Aldred </t>
        </is>
      </c>
      <c r="H2453" t="inlineStr">
        <is>
          <t>Towed Chipper</t>
        </is>
      </c>
      <c r="I2453" t="inlineStr">
        <is>
          <t>Daily/ Weekly Vehicle Inspection</t>
        </is>
      </c>
      <c r="J2453" t="inlineStr">
        <is>
          <t>N/A</t>
        </is>
      </c>
      <c r="K2453" t="inlineStr">
        <is>
          <t>7806 Optimum Tree Services Ltd</t>
        </is>
      </c>
      <c r="L2453" t="inlineStr">
        <is>
          <t>12/12/2025 07:36</t>
        </is>
      </c>
      <c r="M2453" t="inlineStr">
        <is>
          <t>None</t>
        </is>
      </c>
      <c r="N2453" t="inlineStr">
        <is>
          <t>&lt;p&gt;&lt;/p&gt;</t>
        </is>
      </c>
      <c r="O2453" t="inlineStr"/>
      <c r="P2453" t="inlineStr">
        <is>
          <t>SA9ST800000283069 , Chipper , Forst , ST 6P</t>
        </is>
      </c>
      <c r="Q2453" t="inlineStr">
        <is>
          <t>UKPN</t>
        </is>
      </c>
      <c r="R2453" t="b">
        <v>0</v>
      </c>
    </row>
    <row r="2454">
      <c r="A2454" t="inlineStr">
        <is>
          <t>12 Dec 2025 / 7806 Optimum Tree Services Ltd / Utilities / UKPN</t>
        </is>
      </c>
      <c r="B2454" t="inlineStr">
        <is>
          <t>Utilities</t>
        </is>
      </c>
      <c r="C2454" t="inlineStr">
        <is>
          <t>UKPN</t>
        </is>
      </c>
      <c r="D2454" t="inlineStr">
        <is>
          <t>WD14EVB , MEWP , Land Rover , Defender</t>
        </is>
      </c>
      <c r="E2454" t="inlineStr">
        <is>
          <t>WD14EVB , MEWP , Land Rover , Defender</t>
        </is>
      </c>
      <c r="F2454" t="inlineStr">
        <is>
          <t>WD14EVB , MEWP , Land Rover , Defender</t>
        </is>
      </c>
      <c r="G2454" t="inlineStr">
        <is>
          <t xml:space="preserve">Kenny Aldred </t>
        </is>
      </c>
      <c r="H2454" t="inlineStr">
        <is>
          <t>4x4</t>
        </is>
      </c>
      <c r="I2454" t="inlineStr">
        <is>
          <t>Daily/ Weekly Vehicle Inspection</t>
        </is>
      </c>
      <c r="J2454" t="inlineStr">
        <is>
          <t>N/A</t>
        </is>
      </c>
      <c r="K2454" t="inlineStr">
        <is>
          <t>7806 Optimum Tree Services Ltd</t>
        </is>
      </c>
      <c r="L2454" t="inlineStr">
        <is>
          <t>12/12/2025 07:37</t>
        </is>
      </c>
      <c r="M2454" t="inlineStr">
        <is>
          <t>None</t>
        </is>
      </c>
      <c r="N2454" t="inlineStr">
        <is>
          <t>&lt;p&gt;&lt;/p&gt;</t>
        </is>
      </c>
      <c r="O2454" t="inlineStr"/>
      <c r="P2454" t="inlineStr">
        <is>
          <t>WD14EVB , MEWP , Land Rover , Defender</t>
        </is>
      </c>
      <c r="Q2454" t="inlineStr">
        <is>
          <t>UKPN</t>
        </is>
      </c>
      <c r="R2454" t="b">
        <v>0</v>
      </c>
    </row>
    <row r="2455">
      <c r="A2455" t="inlineStr">
        <is>
          <t>12 Dec 2025 / 7951 Austin Tree Care LTD / Utilities / UKPN</t>
        </is>
      </c>
      <c r="B2455" t="inlineStr">
        <is>
          <t>Utilities</t>
        </is>
      </c>
      <c r="C2455" t="inlineStr">
        <is>
          <t>UKPN</t>
        </is>
      </c>
      <c r="D2455" t="inlineStr">
        <is>
          <t>Kn58xuy , Tipper , VW  , Crafter</t>
        </is>
      </c>
      <c r="E2455" t="inlineStr">
        <is>
          <t>Kn58xuy , Tipper , VW  , Crafter</t>
        </is>
      </c>
      <c r="F2455" t="inlineStr">
        <is>
          <t>Kn58xuy , Tipper , VW  , Crafter</t>
        </is>
      </c>
      <c r="G2455" t="inlineStr">
        <is>
          <t xml:space="preserve">Jack Austin </t>
        </is>
      </c>
      <c r="H2455" t="inlineStr">
        <is>
          <t>Tipper</t>
        </is>
      </c>
      <c r="I2455" t="inlineStr">
        <is>
          <t>Daily/ Weekly Vehicle Inspection</t>
        </is>
      </c>
      <c r="J2455" t="inlineStr">
        <is>
          <t>N/A</t>
        </is>
      </c>
      <c r="K2455" t="inlineStr">
        <is>
          <t>7951 Austin Tree Care LTD</t>
        </is>
      </c>
      <c r="L2455" t="inlineStr">
        <is>
          <t>12/12/2025 07:37</t>
        </is>
      </c>
      <c r="M2455" t="inlineStr">
        <is>
          <t>None</t>
        </is>
      </c>
      <c r="N2455" t="inlineStr">
        <is>
          <t>&lt;p&gt;&lt;/p&gt;</t>
        </is>
      </c>
      <c r="O2455" t="inlineStr"/>
      <c r="P2455" t="inlineStr">
        <is>
          <t>Kn58xuy , Tipper , VW  , Crafter</t>
        </is>
      </c>
      <c r="Q2455" t="inlineStr">
        <is>
          <t>UKPN</t>
        </is>
      </c>
      <c r="R2455" t="b">
        <v>0</v>
      </c>
    </row>
    <row r="2456">
      <c r="A2456" t="inlineStr">
        <is>
          <t>12 Dec 2025 / 7951 Austin Tree Care LTD / Utilities / UKPN</t>
        </is>
      </c>
      <c r="B2456" t="inlineStr">
        <is>
          <t>Utilities</t>
        </is>
      </c>
      <c r="C2456" t="inlineStr">
        <is>
          <t>UKPN</t>
        </is>
      </c>
      <c r="D2456" t="inlineStr">
        <is>
          <t>SA9ST6P0001283612 , Tow Chipper , Forst , ST6p</t>
        </is>
      </c>
      <c r="E2456" t="inlineStr">
        <is>
          <t>SA9ST6P0001283612 , Tow Chipper , Forst , ST6p</t>
        </is>
      </c>
      <c r="F2456" t="inlineStr">
        <is>
          <t>SA9ST6P0001283612 , Tow Chipper , Forst , ST6p</t>
        </is>
      </c>
      <c r="G2456" t="inlineStr">
        <is>
          <t xml:space="preserve">Jack Austin </t>
        </is>
      </c>
      <c r="H2456" t="inlineStr">
        <is>
          <t>Towed Chipper</t>
        </is>
      </c>
      <c r="I2456" t="inlineStr">
        <is>
          <t>Daily/ Weekly Vehicle Inspection</t>
        </is>
      </c>
      <c r="J2456" t="inlineStr">
        <is>
          <t>N/A</t>
        </is>
      </c>
      <c r="K2456" t="inlineStr">
        <is>
          <t>7951 Austin Tree Care LTD</t>
        </is>
      </c>
      <c r="L2456" t="inlineStr">
        <is>
          <t>12/12/2025 07:38</t>
        </is>
      </c>
      <c r="M2456" t="inlineStr">
        <is>
          <t>None</t>
        </is>
      </c>
      <c r="N2456" t="inlineStr">
        <is>
          <t>&lt;p&gt;&lt;/p&gt;</t>
        </is>
      </c>
      <c r="O2456" t="inlineStr"/>
      <c r="P2456" t="inlineStr">
        <is>
          <t>SA9ST6P0001283612 , Tow Chipper , Forst , ST6p</t>
        </is>
      </c>
      <c r="Q2456" t="inlineStr">
        <is>
          <t>UKPN</t>
        </is>
      </c>
      <c r="R2456" t="b">
        <v>0</v>
      </c>
    </row>
    <row r="2457">
      <c r="A2457" t="inlineStr">
        <is>
          <t>12 Dec 2025 / Anthony Gale / Utilities / UKPN</t>
        </is>
      </c>
      <c r="B2457" t="inlineStr">
        <is>
          <t>Utilities</t>
        </is>
      </c>
      <c r="C2457" t="inlineStr">
        <is>
          <t>UKPN</t>
        </is>
      </c>
      <c r="D2457" t="inlineStr">
        <is>
          <t>KX20 BCE , Tipper , Isuzu , D-Max</t>
        </is>
      </c>
      <c r="E2457" t="inlineStr">
        <is>
          <t>KX20 BCE , Tipper , Isuzu , D-Max</t>
        </is>
      </c>
      <c r="F2457" t="inlineStr">
        <is>
          <t>KX20 BCE , Tipper , Isuzu , D-Max</t>
        </is>
      </c>
      <c r="G2457" t="inlineStr">
        <is>
          <t>Anthony Gale</t>
        </is>
      </c>
      <c r="H2457" t="inlineStr">
        <is>
          <t>Pickup Truck</t>
        </is>
      </c>
      <c r="I2457" t="inlineStr">
        <is>
          <t>Daily/ Weekly Vehicle Inspection</t>
        </is>
      </c>
      <c r="J2457" t="inlineStr">
        <is>
          <t>N/A</t>
        </is>
      </c>
      <c r="K2457" t="inlineStr">
        <is>
          <t>7996 M G Tree Surgery Ltd 1</t>
        </is>
      </c>
      <c r="L2457" t="inlineStr">
        <is>
          <t>12/12/2025 07:39</t>
        </is>
      </c>
      <c r="M2457" t="inlineStr">
        <is>
          <t>None</t>
        </is>
      </c>
      <c r="N2457" t="inlineStr">
        <is>
          <t>&lt;p&gt;&lt;/p&gt;</t>
        </is>
      </c>
      <c r="O2457" t="inlineStr">
        <is>
          <t>Confirm that you have checked this vehicle as per the guidance document and the vehicle is safe and roadworthy:Light board deteriorating. Ok for now but will need replacing soon.
-</t>
        </is>
      </c>
      <c r="P2457" t="inlineStr">
        <is>
          <t>KX20 BCE , Tipper , Isuzu , D-Max</t>
        </is>
      </c>
      <c r="Q2457" t="inlineStr">
        <is>
          <t>UKPN</t>
        </is>
      </c>
      <c r="R2457" t="b">
        <v>0</v>
      </c>
    </row>
    <row r="2458">
      <c r="A2458" t="inlineStr">
        <is>
          <t>12 Dec 2025 / Anthony Gale / Utilities / UKPN</t>
        </is>
      </c>
      <c r="B2458" t="inlineStr">
        <is>
          <t>Utilities</t>
        </is>
      </c>
      <c r="C2458" t="inlineStr">
        <is>
          <t>UKPN</t>
        </is>
      </c>
      <c r="D2458" t="inlineStr"/>
      <c r="E2458" t="inlineStr"/>
      <c r="F2458" t="inlineStr"/>
      <c r="G2458" t="inlineStr">
        <is>
          <t>Anthony Gale</t>
        </is>
      </c>
      <c r="H2458" t="inlineStr">
        <is>
          <t>Towed Chipper</t>
        </is>
      </c>
      <c r="I2458" t="inlineStr">
        <is>
          <t>Daily/ Weekly Vehicle Inspection</t>
        </is>
      </c>
      <c r="J2458" t="inlineStr">
        <is>
          <t>N/A</t>
        </is>
      </c>
      <c r="K2458" t="inlineStr">
        <is>
          <t>7996 M G Tree Surgery Ltd 1</t>
        </is>
      </c>
      <c r="L2458" t="inlineStr">
        <is>
          <t>12/12/2025 07:40</t>
        </is>
      </c>
      <c r="M2458" t="inlineStr">
        <is>
          <t>None</t>
        </is>
      </c>
      <c r="N2458" t="inlineStr">
        <is>
          <t>&lt;p&gt;&lt;/p&gt;</t>
        </is>
      </c>
      <c r="O2458" t="inlineStr"/>
      <c r="P2458" t="inlineStr"/>
      <c r="Q2458" t="inlineStr">
        <is>
          <t>UKPN</t>
        </is>
      </c>
      <c r="R2458" t="b">
        <v>0</v>
      </c>
    </row>
    <row r="2459">
      <c r="A2459" t="inlineStr">
        <is>
          <t>12 Dec 2025 / 7186 Eastwoodbury Tree Services Ltd / Utilities / UKPN</t>
        </is>
      </c>
      <c r="B2459" t="inlineStr">
        <is>
          <t>Utilities</t>
        </is>
      </c>
      <c r="C2459" t="inlineStr">
        <is>
          <t>UKPN</t>
        </is>
      </c>
      <c r="D2459" t="inlineStr">
        <is>
          <t>DN61XKJ , Tipper , Ford , Transit</t>
        </is>
      </c>
      <c r="E2459" t="inlineStr">
        <is>
          <t>DN61XKJ , Tipper , Ford , Transit</t>
        </is>
      </c>
      <c r="F2459" t="inlineStr">
        <is>
          <t>DN61XKJ , Tipper , Ford , Transit</t>
        </is>
      </c>
      <c r="G2459" t="inlineStr">
        <is>
          <t xml:space="preserve">Tom Price </t>
        </is>
      </c>
      <c r="H2459" t="inlineStr">
        <is>
          <t>Tipper</t>
        </is>
      </c>
      <c r="I2459" t="inlineStr">
        <is>
          <t>Daily/ Weekly Vehicle Inspection</t>
        </is>
      </c>
      <c r="J2459" t="inlineStr">
        <is>
          <t>N/A</t>
        </is>
      </c>
      <c r="K2459" t="inlineStr">
        <is>
          <t>7186 Eastwoodbury Tree Services Ltd</t>
        </is>
      </c>
      <c r="L2459" t="inlineStr">
        <is>
          <t>12/12/2025 08:39</t>
        </is>
      </c>
      <c r="M2459" t="inlineStr">
        <is>
          <t>None</t>
        </is>
      </c>
      <c r="N2459" t="inlineStr">
        <is>
          <t>&lt;p&gt;&lt;/p&gt;</t>
        </is>
      </c>
      <c r="O2459" t="inlineStr"/>
      <c r="P2459" t="inlineStr">
        <is>
          <t>DN61XKJ , Tipper , Ford , Transit</t>
        </is>
      </c>
      <c r="Q2459" t="inlineStr">
        <is>
          <t>UKPN</t>
        </is>
      </c>
      <c r="R2459" t="b">
        <v>0</v>
      </c>
    </row>
    <row r="2460">
      <c r="A2460" t="inlineStr">
        <is>
          <t>12 Dec 2025 / 7186 Eastwoodbury Tree Services Ltd / Utilities / UKPN</t>
        </is>
      </c>
      <c r="B2460" t="inlineStr">
        <is>
          <t>Utilities</t>
        </is>
      </c>
      <c r="C2460" t="inlineStr">
        <is>
          <t>UKPN</t>
        </is>
      </c>
      <c r="D2460" t="inlineStr">
        <is>
          <t>WF13 EKT , 4x4 , Land rover  , Defender</t>
        </is>
      </c>
      <c r="E2460" t="inlineStr">
        <is>
          <t>WF13 EKT , 4x4 , Land rover  , Defender</t>
        </is>
      </c>
      <c r="F2460" t="inlineStr">
        <is>
          <t>WF13 EKT , 4x4 , Land rover  , Defender</t>
        </is>
      </c>
      <c r="G2460" t="inlineStr">
        <is>
          <t xml:space="preserve">Dan Gilbert </t>
        </is>
      </c>
      <c r="H2460" t="inlineStr">
        <is>
          <t>4x4</t>
        </is>
      </c>
      <c r="I2460" t="inlineStr">
        <is>
          <t>Daily/ Weekly Vehicle Inspection</t>
        </is>
      </c>
      <c r="J2460" t="inlineStr">
        <is>
          <t>N/A</t>
        </is>
      </c>
      <c r="K2460" t="inlineStr">
        <is>
          <t>7186 Eastwoodbury Tree Services Ltd</t>
        </is>
      </c>
      <c r="L2460" t="inlineStr">
        <is>
          <t>12/12/2025 08:39</t>
        </is>
      </c>
      <c r="M2460" t="inlineStr">
        <is>
          <t>None</t>
        </is>
      </c>
      <c r="N2460" t="inlineStr">
        <is>
          <t>&lt;p&gt;&lt;/p&gt;</t>
        </is>
      </c>
      <c r="O2460" t="inlineStr"/>
      <c r="P2460" t="inlineStr">
        <is>
          <t>WF13 EKT , 4x4 , Land rover  , Defender</t>
        </is>
      </c>
      <c r="Q2460" t="inlineStr">
        <is>
          <t>UKPN</t>
        </is>
      </c>
      <c r="R2460" t="b">
        <v>0</v>
      </c>
    </row>
    <row r="2461">
      <c r="A2461" t="inlineStr">
        <is>
          <t>20 Nov 2025 / 7186 Eastwoodbury Tree Services Ltd / Utilities / UKPN</t>
        </is>
      </c>
      <c r="B2461" t="inlineStr">
        <is>
          <t>Utilities</t>
        </is>
      </c>
      <c r="C2461" t="inlineStr">
        <is>
          <t>UKPN</t>
        </is>
      </c>
      <c r="D2461" t="inlineStr">
        <is>
          <t>WF13 EKT , 4x4 , Land rover  , Defender</t>
        </is>
      </c>
      <c r="E2461" t="inlineStr">
        <is>
          <t>WF13 EKT , 4x4 , Land rover  , Defender</t>
        </is>
      </c>
      <c r="F2461" t="inlineStr">
        <is>
          <t>WF13 EKT , 4x4 , Land rover  , Defender</t>
        </is>
      </c>
      <c r="G2461" t="inlineStr">
        <is>
          <t xml:space="preserve">Dan Gilbert </t>
        </is>
      </c>
      <c r="H2461" t="inlineStr">
        <is>
          <t>4x4</t>
        </is>
      </c>
      <c r="I2461" t="inlineStr">
        <is>
          <t>Daily/ Weekly Vehicle Inspection</t>
        </is>
      </c>
      <c r="J2461" t="inlineStr">
        <is>
          <t>N/A</t>
        </is>
      </c>
      <c r="K2461" t="inlineStr">
        <is>
          <t>7186 Eastwoodbury Tree Services Ltd</t>
        </is>
      </c>
      <c r="L2461" t="inlineStr">
        <is>
          <t>12/12/2025 08:40</t>
        </is>
      </c>
      <c r="M2461" t="inlineStr">
        <is>
          <t>None</t>
        </is>
      </c>
      <c r="N2461" t="inlineStr">
        <is>
          <t>&lt;p&gt;&lt;/p&gt;</t>
        </is>
      </c>
      <c r="O2461" t="inlineStr"/>
      <c r="P2461" t="inlineStr">
        <is>
          <t>WF13 EKT , 4x4 , Land rover  , Defender</t>
        </is>
      </c>
      <c r="Q2461" t="inlineStr">
        <is>
          <t>UKPN</t>
        </is>
      </c>
      <c r="R2461" t="b">
        <v>0</v>
      </c>
    </row>
    <row r="2462">
      <c r="A2462" t="inlineStr">
        <is>
          <t>12 Dec 2025 / Thomas Playford / Utilities / UKPN</t>
        </is>
      </c>
      <c r="B2462" t="inlineStr">
        <is>
          <t>Utilities</t>
        </is>
      </c>
      <c r="C2462" t="inlineStr">
        <is>
          <t>UKPN</t>
        </is>
      </c>
      <c r="D2462" t="inlineStr">
        <is>
          <t>LK15KRZ , 4x4 , Landrover , Defender</t>
        </is>
      </c>
      <c r="E2462" t="inlineStr">
        <is>
          <t>LK15KRZ , 4x4 , Landrover , Defender</t>
        </is>
      </c>
      <c r="F2462" t="inlineStr">
        <is>
          <t>LK15KRZ , 4x4 , Landrover , Defender</t>
        </is>
      </c>
      <c r="G2462" t="inlineStr">
        <is>
          <t>Thomas Playford</t>
        </is>
      </c>
      <c r="H2462" t="inlineStr">
        <is>
          <t>4x4</t>
        </is>
      </c>
      <c r="I2462" t="inlineStr">
        <is>
          <t>Daily/ Weekly Vehicle Inspection</t>
        </is>
      </c>
      <c r="J2462" t="inlineStr">
        <is>
          <t>N/A</t>
        </is>
      </c>
      <c r="K2462" t="inlineStr">
        <is>
          <t>7995 Green Net Eco Ltd 2</t>
        </is>
      </c>
      <c r="L2462" t="inlineStr">
        <is>
          <t>12/12/2025 09:38</t>
        </is>
      </c>
      <c r="M2462" t="inlineStr">
        <is>
          <t>None</t>
        </is>
      </c>
      <c r="N2462" t="inlineStr">
        <is>
          <t>&lt;p&gt;&lt;/p&gt;</t>
        </is>
      </c>
      <c r="O2462" t="inlineStr"/>
      <c r="P2462" t="inlineStr">
        <is>
          <t>LK15KRZ , 4x4 , Landrover , Defender</t>
        </is>
      </c>
      <c r="Q2462" t="inlineStr">
        <is>
          <t>UKPN</t>
        </is>
      </c>
      <c r="R2462" t="b">
        <v>0</v>
      </c>
    </row>
    <row r="2463">
      <c r="A2463" t="inlineStr">
        <is>
          <t>15 Dec 2025 / 7186 Eastwoodbury Tree Services Ltd / Utilities / UKPN</t>
        </is>
      </c>
      <c r="B2463" t="inlineStr">
        <is>
          <t>Utilities</t>
        </is>
      </c>
      <c r="C2463" t="inlineStr">
        <is>
          <t>UKPN</t>
        </is>
      </c>
      <c r="D2463" t="inlineStr">
        <is>
          <t>WF13 EKT , 4x4 , Land rover  , Defender</t>
        </is>
      </c>
      <c r="E2463" t="inlineStr">
        <is>
          <t>WF13 EKT , 4x4 , Land rover  , Defender</t>
        </is>
      </c>
      <c r="F2463" t="inlineStr">
        <is>
          <t>WF13 EKT , 4x4 , Land rover  , Defender</t>
        </is>
      </c>
      <c r="G2463" t="inlineStr">
        <is>
          <t xml:space="preserve">Dan Gilbert </t>
        </is>
      </c>
      <c r="H2463" t="inlineStr">
        <is>
          <t>4x4</t>
        </is>
      </c>
      <c r="I2463" t="inlineStr">
        <is>
          <t>Daily/ Weekly Vehicle Inspection</t>
        </is>
      </c>
      <c r="J2463" t="inlineStr">
        <is>
          <t>N/A</t>
        </is>
      </c>
      <c r="K2463" t="inlineStr">
        <is>
          <t>7186 Eastwoodbury Tree Services Ltd</t>
        </is>
      </c>
      <c r="L2463" t="inlineStr">
        <is>
          <t>15/12/2025 07:36</t>
        </is>
      </c>
      <c r="M2463" t="inlineStr">
        <is>
          <t>None</t>
        </is>
      </c>
      <c r="N2463" t="inlineStr">
        <is>
          <t>&lt;p&gt;&lt;/p&gt;</t>
        </is>
      </c>
      <c r="O2463" t="inlineStr"/>
      <c r="P2463" t="inlineStr">
        <is>
          <t>WF13 EKT , 4x4 , Land rover  , Defender</t>
        </is>
      </c>
      <c r="Q2463" t="inlineStr">
        <is>
          <t>UKPN</t>
        </is>
      </c>
      <c r="R2463" t="b">
        <v>0</v>
      </c>
    </row>
    <row r="2464">
      <c r="A2464" t="inlineStr">
        <is>
          <t>15 Dec 2025 / 7806 Optimum Tree Services Ltd / Utilities / UKPN</t>
        </is>
      </c>
      <c r="B2464" t="inlineStr">
        <is>
          <t>Utilities</t>
        </is>
      </c>
      <c r="C2464" t="inlineStr">
        <is>
          <t>UKPN</t>
        </is>
      </c>
      <c r="D2464" t="inlineStr">
        <is>
          <t>SA9ST800000283069 , Chipper , Forst , ST 6P</t>
        </is>
      </c>
      <c r="E2464" t="inlineStr">
        <is>
          <t>SA9ST800000283069 , Chipper , Forst , ST 6P</t>
        </is>
      </c>
      <c r="F2464" t="inlineStr">
        <is>
          <t>SA9ST800000283069 , Chipper , Forst , ST 6P</t>
        </is>
      </c>
      <c r="G2464" t="inlineStr">
        <is>
          <t xml:space="preserve">Kenny Aldred </t>
        </is>
      </c>
      <c r="H2464" t="inlineStr">
        <is>
          <t>Towed Chipper</t>
        </is>
      </c>
      <c r="I2464" t="inlineStr">
        <is>
          <t>Daily/ Weekly Vehicle Inspection</t>
        </is>
      </c>
      <c r="J2464" t="inlineStr">
        <is>
          <t>N/A</t>
        </is>
      </c>
      <c r="K2464" t="inlineStr">
        <is>
          <t>7806 Optimum Tree Services Ltd</t>
        </is>
      </c>
      <c r="L2464" t="inlineStr">
        <is>
          <t>15/12/2025 07:38</t>
        </is>
      </c>
      <c r="M2464" t="inlineStr">
        <is>
          <t>None</t>
        </is>
      </c>
      <c r="N2464" t="inlineStr">
        <is>
          <t>&lt;p&gt;&lt;/p&gt;</t>
        </is>
      </c>
      <c r="O2464" t="inlineStr"/>
      <c r="P2464" t="inlineStr">
        <is>
          <t>SA9ST800000283069 , Chipper , Forst , ST 6P</t>
        </is>
      </c>
      <c r="Q2464" t="inlineStr">
        <is>
          <t>UKPN</t>
        </is>
      </c>
      <c r="R2464" t="b">
        <v>0</v>
      </c>
    </row>
    <row r="2465">
      <c r="A2465" t="inlineStr">
        <is>
          <t>15 Dec 2025 / 7951 Austin Tree Care LTD / Utilities / UKPN</t>
        </is>
      </c>
      <c r="B2465" t="inlineStr">
        <is>
          <t>Utilities</t>
        </is>
      </c>
      <c r="C2465" t="inlineStr">
        <is>
          <t>UKPN</t>
        </is>
      </c>
      <c r="D2465" t="inlineStr">
        <is>
          <t>Kn58xuy , Tipper , VW  , Crafter</t>
        </is>
      </c>
      <c r="E2465" t="inlineStr">
        <is>
          <t>Kn58xuy , Tipper , VW  , Crafter</t>
        </is>
      </c>
      <c r="F2465" t="inlineStr">
        <is>
          <t>Kn58xuy , Tipper , VW  , Crafter</t>
        </is>
      </c>
      <c r="G2465" t="inlineStr">
        <is>
          <t xml:space="preserve">Jack Austin </t>
        </is>
      </c>
      <c r="H2465" t="inlineStr">
        <is>
          <t>Tipper</t>
        </is>
      </c>
      <c r="I2465" t="inlineStr">
        <is>
          <t>Daily/ Weekly Vehicle Inspection</t>
        </is>
      </c>
      <c r="J2465" t="inlineStr">
        <is>
          <t>N/A</t>
        </is>
      </c>
      <c r="K2465" t="inlineStr">
        <is>
          <t>7951 Austin Tree Care LTD</t>
        </is>
      </c>
      <c r="L2465" t="inlineStr">
        <is>
          <t>15/12/2025 07:39</t>
        </is>
      </c>
      <c r="M2465" t="inlineStr">
        <is>
          <t>None</t>
        </is>
      </c>
      <c r="N2465" t="inlineStr">
        <is>
          <t>&lt;p&gt;&lt;/p&gt;</t>
        </is>
      </c>
      <c r="O2465" t="inlineStr"/>
      <c r="P2465" t="inlineStr">
        <is>
          <t>Kn58xuy , Tipper , VW  , Crafter</t>
        </is>
      </c>
      <c r="Q2465" t="inlineStr">
        <is>
          <t>UKPN</t>
        </is>
      </c>
      <c r="R2465" t="b">
        <v>0</v>
      </c>
    </row>
    <row r="2466">
      <c r="A2466" t="inlineStr">
        <is>
          <t>15 Dec 2025 / 7951 Austin Tree Care LTD / Utilities / UKPN</t>
        </is>
      </c>
      <c r="B2466" t="inlineStr">
        <is>
          <t>Utilities</t>
        </is>
      </c>
      <c r="C2466" t="inlineStr">
        <is>
          <t>UKPN</t>
        </is>
      </c>
      <c r="D2466" t="inlineStr">
        <is>
          <t>SA9ST6P0001283612 , Tow Chipper , Forst , ST6p</t>
        </is>
      </c>
      <c r="E2466" t="inlineStr">
        <is>
          <t>SA9ST6P0001283612 , Tow Chipper , Forst , ST6p</t>
        </is>
      </c>
      <c r="F2466" t="inlineStr">
        <is>
          <t>SA9ST6P0001283612 , Tow Chipper , Forst , ST6p</t>
        </is>
      </c>
      <c r="G2466" t="inlineStr">
        <is>
          <t xml:space="preserve">Jack Austin </t>
        </is>
      </c>
      <c r="H2466" t="inlineStr">
        <is>
          <t>Towed Chipper</t>
        </is>
      </c>
      <c r="I2466" t="inlineStr">
        <is>
          <t>Daily/ Weekly Vehicle Inspection</t>
        </is>
      </c>
      <c r="J2466" t="inlineStr">
        <is>
          <t>N/A</t>
        </is>
      </c>
      <c r="K2466" t="inlineStr">
        <is>
          <t>7951 Austin Tree Care LTD</t>
        </is>
      </c>
      <c r="L2466" t="inlineStr">
        <is>
          <t>15/12/2025 07:39</t>
        </is>
      </c>
      <c r="M2466" t="inlineStr">
        <is>
          <t>None</t>
        </is>
      </c>
      <c r="N2466" t="inlineStr">
        <is>
          <t>&lt;p&gt;&lt;/p&gt;</t>
        </is>
      </c>
      <c r="O2466" t="inlineStr"/>
      <c r="P2466" t="inlineStr">
        <is>
          <t>SA9ST6P0001283612 , Tow Chipper , Forst , ST6p</t>
        </is>
      </c>
      <c r="Q2466" t="inlineStr">
        <is>
          <t>UKPN</t>
        </is>
      </c>
      <c r="R2466" t="b">
        <v>0</v>
      </c>
    </row>
    <row r="2467">
      <c r="A2467" t="inlineStr">
        <is>
          <t>15 Dec 2025 / 7806 Optimum Tree Services Ltd / Utilities / UKPN</t>
        </is>
      </c>
      <c r="B2467" t="inlineStr">
        <is>
          <t>Utilities</t>
        </is>
      </c>
      <c r="C2467" t="inlineStr">
        <is>
          <t>UKPN</t>
        </is>
      </c>
      <c r="D2467" t="inlineStr">
        <is>
          <t>WD14EVB , MEWP , Land Rover , Defender</t>
        </is>
      </c>
      <c r="E2467" t="inlineStr">
        <is>
          <t>WD14EVB , MEWP , Land Rover , Defender</t>
        </is>
      </c>
      <c r="F2467" t="inlineStr">
        <is>
          <t>WD14EVB , MEWP , Land Rover , Defender</t>
        </is>
      </c>
      <c r="G2467" t="inlineStr">
        <is>
          <t xml:space="preserve">Kenny Aldred </t>
        </is>
      </c>
      <c r="H2467" t="inlineStr">
        <is>
          <t>4x4</t>
        </is>
      </c>
      <c r="I2467" t="inlineStr">
        <is>
          <t>Daily/ Weekly Vehicle Inspection</t>
        </is>
      </c>
      <c r="J2467" t="inlineStr">
        <is>
          <t>N/A</t>
        </is>
      </c>
      <c r="K2467" t="inlineStr">
        <is>
          <t>7806 Optimum Tree Services Ltd</t>
        </is>
      </c>
      <c r="L2467" t="inlineStr">
        <is>
          <t>15/12/2025 07:40</t>
        </is>
      </c>
      <c r="M2467" t="inlineStr">
        <is>
          <t>None</t>
        </is>
      </c>
      <c r="N2467" t="inlineStr">
        <is>
          <t>&lt;p&gt;&lt;/p&gt;</t>
        </is>
      </c>
      <c r="O2467" t="inlineStr"/>
      <c r="P2467" t="inlineStr">
        <is>
          <t>WD14EVB , MEWP , Land Rover , Defender</t>
        </is>
      </c>
      <c r="Q2467" t="inlineStr">
        <is>
          <t>UKPN</t>
        </is>
      </c>
      <c r="R2467" t="b">
        <v>0</v>
      </c>
    </row>
    <row r="2468">
      <c r="A2468" t="inlineStr">
        <is>
          <t>15 Dec 2025 / 7889 Tree Tech Suffolk Ltd</t>
        </is>
      </c>
      <c r="B2468" t="inlineStr">
        <is>
          <t>Utilities &amp; Inland Waterways</t>
        </is>
      </c>
      <c r="C2468" t="inlineStr">
        <is>
          <t>UKPN</t>
        </is>
      </c>
      <c r="D2468" t="inlineStr">
        <is>
          <t>Tow Chipper - Jenson - A530L - 55210639484x4 - Isuzu - D-max - NS03 TTSTipper - Mercedes - Sprinter - NS06TTS</t>
        </is>
      </c>
      <c r="E2468" t="inlineStr">
        <is>
          <t>Tow Chipper - Jenson - A530L - 55210639484x4 - Isuzu - D-max - NS03 TTSTipper - Mercedes - Sprinter - NS06TTS</t>
        </is>
      </c>
      <c r="F2468" t="inlineStr">
        <is>
          <t>Tow Chipper - Jenson - A530L - 55210639484x4 - Isuzu - D-max - NS03 TTSTipper - Mercedes - Sprinter - NS06TTS</t>
        </is>
      </c>
      <c r="G2468" t="inlineStr">
        <is>
          <t xml:space="preserve">Nikki sparrow Danny Appleby Nikki sparrow </t>
        </is>
      </c>
      <c r="H2468" t="inlineStr">
        <is>
          <t>Towed Chipper4x4Tipper</t>
        </is>
      </c>
      <c r="I2468" t="inlineStr">
        <is>
          <t>Daily/ Weekly Vehicle Inspection</t>
        </is>
      </c>
      <c r="J2468" t="inlineStr">
        <is>
          <t>N/A</t>
        </is>
      </c>
      <c r="K2468" t="inlineStr">
        <is>
          <t>7889 Tree Tech Suffolk Ltd</t>
        </is>
      </c>
      <c r="L2468" t="inlineStr">
        <is>
          <t>15/12/2025 07:40</t>
        </is>
      </c>
      <c r="M2468" t="inlineStr">
        <is>
          <t>None</t>
        </is>
      </c>
      <c r="N2468" t="inlineStr">
        <is>
          <t>&lt;p&gt;&lt;/p&gt;</t>
        </is>
      </c>
      <c r="O2468" t="inlineStr">
        <is>
          <t>Select Vehicle:Ns08 ttsSelect Vehicle:Ns05 tts</t>
        </is>
      </c>
      <c r="P2468" t="inlineStr">
        <is>
          <t>Tow Chipper - Jenson - A530L - 55210639484x4 - Isuzu - D-max - NS03 TTSTipper - Mercedes - Sprinter - NS06TTS</t>
        </is>
      </c>
      <c r="Q2468" t="inlineStr">
        <is>
          <t>UKPN</t>
        </is>
      </c>
      <c r="R2468" t="b">
        <v>0</v>
      </c>
    </row>
    <row r="2469">
      <c r="A2469" t="inlineStr">
        <is>
          <t>15 Dec 2025 / 7800 MAC Tree Surgery and Fencing Ltd / Utilities / UKPN</t>
        </is>
      </c>
      <c r="B2469" t="inlineStr">
        <is>
          <t>Utilities</t>
        </is>
      </c>
      <c r="C2469" t="inlineStr">
        <is>
          <t>UKPN</t>
        </is>
      </c>
      <c r="D2469" t="inlineStr">
        <is>
          <t>Plant Trailer - Towmate - 2.8t - 0</t>
        </is>
      </c>
      <c r="E2469" t="inlineStr">
        <is>
          <t>Plant Trailer - Towmate - 2.8t - 0</t>
        </is>
      </c>
      <c r="F2469" t="inlineStr">
        <is>
          <t>Plant Trailer - Towmate - 2.8t - 0</t>
        </is>
      </c>
      <c r="G2469" t="inlineStr">
        <is>
          <t xml:space="preserve">Patrick O'Shea </t>
        </is>
      </c>
      <c r="H2469" t="inlineStr">
        <is>
          <t>Plant Trailer</t>
        </is>
      </c>
      <c r="I2469" t="inlineStr">
        <is>
          <t>Daily/ Weekly Vehicle Inspection</t>
        </is>
      </c>
      <c r="J2469" t="inlineStr">
        <is>
          <t>N/A</t>
        </is>
      </c>
      <c r="K2469" t="inlineStr">
        <is>
          <t>7800 MAC Tree Surgery and Fencing Ltd</t>
        </is>
      </c>
      <c r="L2469" t="inlineStr">
        <is>
          <t>15/12/2025 08:38</t>
        </is>
      </c>
      <c r="M2469" t="inlineStr">
        <is>
          <t>None</t>
        </is>
      </c>
      <c r="N2469" t="inlineStr">
        <is>
          <t>&lt;p&gt;&lt;/p&gt;</t>
        </is>
      </c>
      <c r="O2469" t="inlineStr"/>
      <c r="P2469" t="inlineStr">
        <is>
          <t>Plant Trailer - Towmate - 2.8t - 0</t>
        </is>
      </c>
      <c r="Q2469" t="inlineStr">
        <is>
          <t>UKPN</t>
        </is>
      </c>
      <c r="R2469" t="b">
        <v>0</v>
      </c>
    </row>
    <row r="2470">
      <c r="A2470" t="inlineStr">
        <is>
          <t>15 Dec 2025 / 7800 MAC Tree Surgery and Fencing Ltd / Utilities / UKPN</t>
        </is>
      </c>
      <c r="B2470" t="inlineStr">
        <is>
          <t>Utilities</t>
        </is>
      </c>
      <c r="C2470" t="inlineStr">
        <is>
          <t>UKPN</t>
        </is>
      </c>
      <c r="D2470" t="inlineStr">
        <is>
          <t>AY68DAA , 4x4 , Izuzu , Dmax</t>
        </is>
      </c>
      <c r="E2470" t="inlineStr">
        <is>
          <t>AY68DAA , 4x4 , Izuzu , Dmax</t>
        </is>
      </c>
      <c r="F2470" t="inlineStr">
        <is>
          <t>AY68DAA , 4x4 , Izuzu , Dmax</t>
        </is>
      </c>
      <c r="G2470" t="inlineStr">
        <is>
          <t xml:space="preserve">Patrick O'Shea </t>
        </is>
      </c>
      <c r="H2470" t="inlineStr">
        <is>
          <t>4x4</t>
        </is>
      </c>
      <c r="I2470" t="inlineStr">
        <is>
          <t>Daily/ Weekly Vehicle Inspection</t>
        </is>
      </c>
      <c r="J2470" t="inlineStr">
        <is>
          <t>N/A</t>
        </is>
      </c>
      <c r="K2470" t="inlineStr">
        <is>
          <t>7800 MAC Tree Surgery and Fencing Ltd</t>
        </is>
      </c>
      <c r="L2470" t="inlineStr">
        <is>
          <t>15/12/2025 08:40</t>
        </is>
      </c>
      <c r="M2470" t="inlineStr">
        <is>
          <t>None</t>
        </is>
      </c>
      <c r="N2470" t="inlineStr">
        <is>
          <t>&lt;p&gt;&lt;/p&gt;</t>
        </is>
      </c>
      <c r="O2470" t="inlineStr"/>
      <c r="P2470" t="inlineStr">
        <is>
          <t>AY68DAA , 4x4 , Izuzu , Dmax</t>
        </is>
      </c>
      <c r="Q2470" t="inlineStr">
        <is>
          <t>UKPN</t>
        </is>
      </c>
      <c r="R2470" t="b">
        <v>0</v>
      </c>
    </row>
    <row r="2471">
      <c r="A2471" t="inlineStr">
        <is>
          <t>15 Dec 2025 / 6617 Ashdown Tree Limited / Utilities / UKPN</t>
        </is>
      </c>
      <c r="B2471" t="inlineStr">
        <is>
          <t>Utilities</t>
        </is>
      </c>
      <c r="C2471" t="inlineStr">
        <is>
          <t>UKPN</t>
        </is>
      </c>
      <c r="D2471" t="inlineStr">
        <is>
          <t>WF11EJJ , Vehicle , Land Rover , Discovery</t>
        </is>
      </c>
      <c r="E2471" t="inlineStr">
        <is>
          <t>WF11EJJ , Vehicle , Land Rover , Discovery</t>
        </is>
      </c>
      <c r="F2471" t="inlineStr">
        <is>
          <t>WF11EJJ , Vehicle , Land Rover , Discovery</t>
        </is>
      </c>
      <c r="G2471" t="inlineStr">
        <is>
          <t>A Horwood</t>
        </is>
      </c>
      <c r="H2471" t="inlineStr">
        <is>
          <t>4x4</t>
        </is>
      </c>
      <c r="I2471" t="inlineStr">
        <is>
          <t>Daily/ Weekly Vehicle Inspection</t>
        </is>
      </c>
      <c r="J2471" t="inlineStr">
        <is>
          <t>N/A</t>
        </is>
      </c>
      <c r="K2471" t="inlineStr">
        <is>
          <t>6617 Ashdown Tree Limited</t>
        </is>
      </c>
      <c r="L2471" t="inlineStr">
        <is>
          <t>15/12/2025 08:47</t>
        </is>
      </c>
      <c r="M2471" t="inlineStr">
        <is>
          <t>None</t>
        </is>
      </c>
      <c r="N2471" t="inlineStr">
        <is>
          <t>&lt;p&gt;&lt;/p&gt;</t>
        </is>
      </c>
      <c r="O2471" t="inlineStr">
        <is>
          <t>Select Vehicle:It’s now TR55 APP</t>
        </is>
      </c>
      <c r="P2471" t="inlineStr">
        <is>
          <t>WF11EJJ , Vehicle , Land Rover , Discovery</t>
        </is>
      </c>
      <c r="Q2471" t="inlineStr">
        <is>
          <t>UKPN</t>
        </is>
      </c>
      <c r="R2471" t="b">
        <v>0</v>
      </c>
    </row>
    <row r="2472">
      <c r="A2472" t="inlineStr">
        <is>
          <t>15 Dec 2025 / 6617 Ashdown Tree Limited / Utilities / UKPN</t>
        </is>
      </c>
      <c r="B2472" t="inlineStr">
        <is>
          <t>Utilities</t>
        </is>
      </c>
      <c r="C2472" t="inlineStr">
        <is>
          <t>UKPN</t>
        </is>
      </c>
      <c r="D2472" t="inlineStr"/>
      <c r="E2472" t="inlineStr"/>
      <c r="F2472" t="inlineStr"/>
      <c r="G2472" t="inlineStr"/>
      <c r="H2472" t="inlineStr"/>
      <c r="I2472" t="inlineStr">
        <is>
          <t>Add to Vehicle to the GC Vehicle List</t>
        </is>
      </c>
      <c r="J2472" t="inlineStr">
        <is>
          <t>N/A</t>
        </is>
      </c>
      <c r="K2472" t="inlineStr">
        <is>
          <t>6617 Ashdown Tree Limited</t>
        </is>
      </c>
      <c r="L2472" t="inlineStr">
        <is>
          <t>15/12/2025 08:48</t>
        </is>
      </c>
      <c r="M2472" t="inlineStr">
        <is>
          <t>None</t>
        </is>
      </c>
      <c r="N2472" t="inlineStr">
        <is>
          <t>&lt;p&gt;&lt;/p&gt;</t>
        </is>
      </c>
      <c r="O2472" t="inlineStr"/>
      <c r="P2472" t="inlineStr"/>
      <c r="Q2472" t="inlineStr">
        <is>
          <t>UKPN</t>
        </is>
      </c>
      <c r="R2472" t="b">
        <v>0</v>
      </c>
    </row>
    <row r="2473">
      <c r="A2473" t="inlineStr">
        <is>
          <t>15 Dec 2025 / Jonathan Wisbey / Utilities / UKPN</t>
        </is>
      </c>
      <c r="B2473" t="inlineStr">
        <is>
          <t>Utilities</t>
        </is>
      </c>
      <c r="C2473" t="inlineStr">
        <is>
          <t>UKPN</t>
        </is>
      </c>
      <c r="D2473" t="inlineStr"/>
      <c r="E2473" t="inlineStr"/>
      <c r="F2473" t="inlineStr"/>
      <c r="G2473" t="inlineStr">
        <is>
          <t xml:space="preserve">Jonathan Wisbey </t>
        </is>
      </c>
      <c r="H2473" t="inlineStr">
        <is>
          <t>Car - Petrol</t>
        </is>
      </c>
      <c r="I2473" t="inlineStr">
        <is>
          <t>Daily/ Weekly Vehicle Inspection</t>
        </is>
      </c>
      <c r="J2473" t="inlineStr">
        <is>
          <t>N/A</t>
        </is>
      </c>
      <c r="K2473" t="inlineStr">
        <is>
          <t>Jonathan Wisbey</t>
        </is>
      </c>
      <c r="L2473" t="inlineStr">
        <is>
          <t>15/12/2025 08:49</t>
        </is>
      </c>
      <c r="M2473" t="inlineStr">
        <is>
          <t>None</t>
        </is>
      </c>
      <c r="N2473" t="inlineStr">
        <is>
          <t>&lt;p&gt;&lt;/p&gt;</t>
        </is>
      </c>
      <c r="O2473" t="inlineStr"/>
      <c r="P2473" t="inlineStr"/>
      <c r="Q2473" t="inlineStr">
        <is>
          <t>UKPN</t>
        </is>
      </c>
      <c r="R2473" t="b">
        <v>0</v>
      </c>
    </row>
    <row r="2474">
      <c r="A2474" t="inlineStr">
        <is>
          <t>15 Dec 2025 / Alexander Damar / Utilities / UKPN</t>
        </is>
      </c>
      <c r="B2474" t="inlineStr">
        <is>
          <t>Utilities</t>
        </is>
      </c>
      <c r="C2474" t="inlineStr">
        <is>
          <t>UKPN</t>
        </is>
      </c>
      <c r="D2474" t="inlineStr"/>
      <c r="E2474" t="inlineStr"/>
      <c r="F2474" t="inlineStr"/>
      <c r="G2474" t="inlineStr">
        <is>
          <t>A damar</t>
        </is>
      </c>
      <c r="H2474" t="inlineStr">
        <is>
          <t>Car - Petrol</t>
        </is>
      </c>
      <c r="I2474" t="inlineStr">
        <is>
          <t>Daily/ Weekly Vehicle Inspection</t>
        </is>
      </c>
      <c r="J2474" t="inlineStr">
        <is>
          <t>N/A</t>
        </is>
      </c>
      <c r="K2474" t="inlineStr">
        <is>
          <t>Alexander Damar</t>
        </is>
      </c>
      <c r="L2474" t="inlineStr">
        <is>
          <t>15/12/2025 10:37</t>
        </is>
      </c>
      <c r="M2474" t="inlineStr">
        <is>
          <t>None</t>
        </is>
      </c>
      <c r="N2474" t="inlineStr">
        <is>
          <t>&lt;p&gt;&lt;/p&gt;</t>
        </is>
      </c>
      <c r="O2474" t="inlineStr"/>
      <c r="P2474" t="inlineStr"/>
      <c r="Q2474" t="inlineStr">
        <is>
          <t>UKPN</t>
        </is>
      </c>
      <c r="R2474" t="b">
        <v>0</v>
      </c>
    </row>
    <row r="2475">
      <c r="A2475" t="inlineStr">
        <is>
          <t>15 Dec 2025 / Thomas Playford / Utilities / UKPN</t>
        </is>
      </c>
      <c r="B2475" t="inlineStr">
        <is>
          <t>Utilities</t>
        </is>
      </c>
      <c r="C2475" t="inlineStr">
        <is>
          <t>UKPN</t>
        </is>
      </c>
      <c r="D2475" t="inlineStr">
        <is>
          <t>SCK80000075030058 , Flat Bed Trailer , IFOR Williams , LM187G3</t>
        </is>
      </c>
      <c r="E2475" t="inlineStr">
        <is>
          <t>SCK80000075030058 , Flat Bed Trailer , IFOR Williams , LM187G3</t>
        </is>
      </c>
      <c r="F2475" t="inlineStr">
        <is>
          <t>SCK80000075030058 , Flat Bed Trailer , IFOR Williams , LM187G3</t>
        </is>
      </c>
      <c r="G2475" t="inlineStr">
        <is>
          <t>Thomas Playford</t>
        </is>
      </c>
      <c r="H2475" t="inlineStr">
        <is>
          <t>Flat Bed Trailer</t>
        </is>
      </c>
      <c r="I2475" t="inlineStr">
        <is>
          <t>Daily/ Weekly Vehicle Inspection</t>
        </is>
      </c>
      <c r="J2475" t="inlineStr">
        <is>
          <t>N/A</t>
        </is>
      </c>
      <c r="K2475" t="inlineStr">
        <is>
          <t>7995 Green Net Eco Ltd 2</t>
        </is>
      </c>
      <c r="L2475" t="inlineStr">
        <is>
          <t>15/12/2025 10:38</t>
        </is>
      </c>
      <c r="M2475" t="inlineStr">
        <is>
          <t>None</t>
        </is>
      </c>
      <c r="N2475" t="inlineStr">
        <is>
          <t>&lt;p&gt;&lt;/p&gt;</t>
        </is>
      </c>
      <c r="O2475" t="inlineStr"/>
      <c r="P2475" t="inlineStr">
        <is>
          <t>SCK80000075030058 , Flat Bed Trailer , IFOR Williams , LM187G3</t>
        </is>
      </c>
      <c r="Q2475" t="inlineStr">
        <is>
          <t>UKPN</t>
        </is>
      </c>
      <c r="R2475" t="b">
        <v>0</v>
      </c>
    </row>
    <row r="2476">
      <c r="A2476" t="inlineStr">
        <is>
          <t>15 Dec 2025 / Thomas Playford / Utilities / UKPN</t>
        </is>
      </c>
      <c r="B2476" t="inlineStr">
        <is>
          <t>Utilities</t>
        </is>
      </c>
      <c r="C2476" t="inlineStr">
        <is>
          <t>UKPN</t>
        </is>
      </c>
      <c r="D2476" t="inlineStr">
        <is>
          <t>LK15KRZ , 4x4 , Landrover , Defender</t>
        </is>
      </c>
      <c r="E2476" t="inlineStr">
        <is>
          <t>LK15KRZ , 4x4 , Landrover , Defender</t>
        </is>
      </c>
      <c r="F2476" t="inlineStr">
        <is>
          <t>LK15KRZ , 4x4 , Landrover , Defender</t>
        </is>
      </c>
      <c r="G2476" t="inlineStr">
        <is>
          <t>Thomas Playford</t>
        </is>
      </c>
      <c r="H2476" t="inlineStr">
        <is>
          <t>4x4</t>
        </is>
      </c>
      <c r="I2476" t="inlineStr">
        <is>
          <t>Daily/ Weekly Vehicle Inspection</t>
        </is>
      </c>
      <c r="J2476" t="inlineStr">
        <is>
          <t>N/A</t>
        </is>
      </c>
      <c r="K2476" t="inlineStr">
        <is>
          <t>7995 Green Net Eco Ltd 2</t>
        </is>
      </c>
      <c r="L2476" t="inlineStr">
        <is>
          <t>15/12/2025 10:40</t>
        </is>
      </c>
      <c r="M2476" t="inlineStr">
        <is>
          <t>None</t>
        </is>
      </c>
      <c r="N2476" t="inlineStr">
        <is>
          <t>&lt;p&gt;&lt;/p&gt;</t>
        </is>
      </c>
      <c r="O2476" t="inlineStr"/>
      <c r="P2476" t="inlineStr">
        <is>
          <t>LK15KRZ , 4x4 , Landrover , Defender</t>
        </is>
      </c>
      <c r="Q2476" t="inlineStr">
        <is>
          <t>UKPN</t>
        </is>
      </c>
      <c r="R2476" t="b">
        <v>0</v>
      </c>
    </row>
    <row r="2477">
      <c r="A2477" t="inlineStr">
        <is>
          <t>15 Dec 2025 / Chris Huntley / Utilities / UKPN</t>
        </is>
      </c>
      <c r="B2477" t="inlineStr">
        <is>
          <t>Utilities</t>
        </is>
      </c>
      <c r="C2477" t="inlineStr">
        <is>
          <t>UKPN</t>
        </is>
      </c>
      <c r="D2477" t="inlineStr">
        <is>
          <t>EX18DCY , 4x4 , Ford , Ranger</t>
        </is>
      </c>
      <c r="E2477" t="inlineStr">
        <is>
          <t>EX18DCY , 4x4 , Ford , Ranger</t>
        </is>
      </c>
      <c r="F2477" t="inlineStr">
        <is>
          <t>EX18DCY , 4x4 , Ford , Ranger</t>
        </is>
      </c>
      <c r="G2477" t="inlineStr">
        <is>
          <t xml:space="preserve">Chris Huntley </t>
        </is>
      </c>
      <c r="H2477" t="inlineStr">
        <is>
          <t>4x4</t>
        </is>
      </c>
      <c r="I2477" t="inlineStr">
        <is>
          <t>Daily/ Weekly Vehicle Inspection</t>
        </is>
      </c>
      <c r="J2477" t="inlineStr">
        <is>
          <t>N/A</t>
        </is>
      </c>
      <c r="K2477" t="inlineStr">
        <is>
          <t>Chris Huntley</t>
        </is>
      </c>
      <c r="L2477" t="inlineStr">
        <is>
          <t>15/12/2025 10:42</t>
        </is>
      </c>
      <c r="M2477" t="inlineStr">
        <is>
          <t>None</t>
        </is>
      </c>
      <c r="N2477" t="inlineStr">
        <is>
          <t>&lt;p&gt;&lt;/p&gt;</t>
        </is>
      </c>
      <c r="O2477" t="inlineStr"/>
      <c r="P2477" t="inlineStr">
        <is>
          <t>EX18DCY , 4x4 , Ford , Ranger</t>
        </is>
      </c>
      <c r="Q2477" t="inlineStr">
        <is>
          <t>UKPN</t>
        </is>
      </c>
      <c r="R2477" t="b">
        <v>0</v>
      </c>
    </row>
    <row r="2478">
      <c r="A2478" t="inlineStr">
        <is>
          <t>15 Dec 2025 / Joe Sauvage / Utilities / SSE</t>
        </is>
      </c>
      <c r="B2478" t="inlineStr">
        <is>
          <t>Utilities</t>
        </is>
      </c>
      <c r="C2478" t="inlineStr">
        <is>
          <t>SSE</t>
        </is>
      </c>
      <c r="D2478" t="inlineStr">
        <is>
          <t>EO18AEW , Car - Petrol , Ford , Kuga</t>
        </is>
      </c>
      <c r="E2478" t="inlineStr">
        <is>
          <t>EO18AEW , Car - Petrol , Ford , Kuga</t>
        </is>
      </c>
      <c r="F2478" t="inlineStr">
        <is>
          <t>EO18AEW , Car - Petrol , Ford , Kuga</t>
        </is>
      </c>
      <c r="G2478" t="inlineStr">
        <is>
          <t xml:space="preserve">Joe Sauvage </t>
        </is>
      </c>
      <c r="H2478" t="inlineStr">
        <is>
          <t>Car - Diesel</t>
        </is>
      </c>
      <c r="I2478" t="inlineStr">
        <is>
          <t>Daily/ Weekly Vehicle Inspection</t>
        </is>
      </c>
      <c r="J2478" t="inlineStr">
        <is>
          <t>N/A</t>
        </is>
      </c>
      <c r="K2478" t="inlineStr">
        <is>
          <t>Joe Sauvage</t>
        </is>
      </c>
      <c r="L2478" t="inlineStr">
        <is>
          <t>15/12/2025 10:43</t>
        </is>
      </c>
      <c r="M2478" t="inlineStr">
        <is>
          <t>None</t>
        </is>
      </c>
      <c r="N2478" t="inlineStr">
        <is>
          <t>&lt;p&gt;&lt;/p&gt;</t>
        </is>
      </c>
      <c r="O2478" t="inlineStr"/>
      <c r="P2478" t="inlineStr">
        <is>
          <t>EO18AEW , Car - Petrol , Ford , Kuga</t>
        </is>
      </c>
      <c r="Q2478" t="inlineStr">
        <is>
          <t>SSE</t>
        </is>
      </c>
      <c r="R2478" t="b">
        <v>0</v>
      </c>
    </row>
    <row r="2479">
      <c r="A2479" t="inlineStr">
        <is>
          <t>15 Dec 2025 / Keil Cheung / Utilities / NGED</t>
        </is>
      </c>
      <c r="B2479" t="inlineStr">
        <is>
          <t>Utilities</t>
        </is>
      </c>
      <c r="C2479" t="inlineStr">
        <is>
          <t>NGED</t>
        </is>
      </c>
      <c r="D2479" t="inlineStr"/>
      <c r="E2479" t="inlineStr"/>
      <c r="F2479" t="inlineStr"/>
      <c r="G2479" t="inlineStr">
        <is>
          <t>Keil cheung</t>
        </is>
      </c>
      <c r="H2479" t="inlineStr">
        <is>
          <t>Car - Petrol</t>
        </is>
      </c>
      <c r="I2479" t="inlineStr">
        <is>
          <t>Daily/ Weekly Vehicle Inspection</t>
        </is>
      </c>
      <c r="J2479" t="inlineStr">
        <is>
          <t>N/A</t>
        </is>
      </c>
      <c r="K2479" t="inlineStr">
        <is>
          <t>Keil Cheung</t>
        </is>
      </c>
      <c r="L2479" t="inlineStr">
        <is>
          <t>15/12/2025 13:37</t>
        </is>
      </c>
      <c r="M2479" t="inlineStr">
        <is>
          <t>None</t>
        </is>
      </c>
      <c r="N2479" t="inlineStr">
        <is>
          <t>&lt;p&gt;&lt;/p&gt;</t>
        </is>
      </c>
      <c r="O2479" t="inlineStr"/>
      <c r="P2479" t="inlineStr"/>
      <c r="Q2479" t="inlineStr">
        <is>
          <t>NGED</t>
        </is>
      </c>
      <c r="R2479" t="b">
        <v>0</v>
      </c>
    </row>
    <row r="2480">
      <c r="A2480" t="inlineStr">
        <is>
          <t>15 Dec 2025 / Christopher Simeoli / Utilities / NGED</t>
        </is>
      </c>
      <c r="B2480" t="inlineStr">
        <is>
          <t>Utilities</t>
        </is>
      </c>
      <c r="C2480" t="inlineStr">
        <is>
          <t>NGED</t>
        </is>
      </c>
      <c r="D2480" t="inlineStr">
        <is>
          <t>EO73KVB , Car - Electric , Kia , Niro</t>
        </is>
      </c>
      <c r="E2480" t="inlineStr">
        <is>
          <t>EO73KVB , Car - Electric , Kia , Niro</t>
        </is>
      </c>
      <c r="F2480" t="inlineStr">
        <is>
          <t>EO73KVB , Car - Electric , Kia , Niro</t>
        </is>
      </c>
      <c r="G2480" t="inlineStr">
        <is>
          <t>Chris Simeoli</t>
        </is>
      </c>
      <c r="H2480" t="inlineStr">
        <is>
          <t>Car - Electric (GC Owned)</t>
        </is>
      </c>
      <c r="I2480" t="inlineStr">
        <is>
          <t>Daily/ Weekly Vehicle Inspection</t>
        </is>
      </c>
      <c r="J2480" t="inlineStr">
        <is>
          <t>N/A</t>
        </is>
      </c>
      <c r="K2480" t="inlineStr">
        <is>
          <t>Christopher Simeoli</t>
        </is>
      </c>
      <c r="L2480" t="inlineStr">
        <is>
          <t>15/12/2025 14:38</t>
        </is>
      </c>
      <c r="M2480" t="inlineStr">
        <is>
          <t>None</t>
        </is>
      </c>
      <c r="N2480" t="inlineStr">
        <is>
          <t>&lt;p&gt;&lt;/p&gt;</t>
        </is>
      </c>
      <c r="O2480" t="inlineStr"/>
      <c r="P2480" t="inlineStr">
        <is>
          <t>EO73KVB , Car - Electric , Kia , Niro</t>
        </is>
      </c>
      <c r="Q2480" t="inlineStr">
        <is>
          <t>NGED</t>
        </is>
      </c>
      <c r="R2480" t="b">
        <v>0</v>
      </c>
    </row>
    <row r="2481">
      <c r="A2481" t="inlineStr">
        <is>
          <t>16 Dec 2025 / 7951 Austin Tree Care LTD 1 / Utilities / UKPN</t>
        </is>
      </c>
      <c r="B2481" t="inlineStr">
        <is>
          <t>Utilities</t>
        </is>
      </c>
      <c r="C2481" t="inlineStr">
        <is>
          <t>UKPN</t>
        </is>
      </c>
      <c r="D2481" t="inlineStr">
        <is>
          <t>Kn58xuy , Tipper , VW  , Crafter</t>
        </is>
      </c>
      <c r="E2481" t="inlineStr">
        <is>
          <t>Kn58xuy , Tipper , VW  , Crafter</t>
        </is>
      </c>
      <c r="F2481" t="inlineStr">
        <is>
          <t>Kn58xuy , Tipper , VW  , Crafter</t>
        </is>
      </c>
      <c r="G2481" t="inlineStr">
        <is>
          <t xml:space="preserve">James Tasker </t>
        </is>
      </c>
      <c r="H2481" t="inlineStr">
        <is>
          <t>Tipper</t>
        </is>
      </c>
      <c r="I2481" t="inlineStr">
        <is>
          <t>Daily/ Weekly Vehicle Inspection</t>
        </is>
      </c>
      <c r="J2481" t="inlineStr">
        <is>
          <t>N/A</t>
        </is>
      </c>
      <c r="K2481" t="inlineStr">
        <is>
          <t>7951 Austin Tree Care LTD 1</t>
        </is>
      </c>
      <c r="L2481" t="inlineStr">
        <is>
          <t>16/12/2025 07:37</t>
        </is>
      </c>
      <c r="M2481" t="inlineStr">
        <is>
          <t>None</t>
        </is>
      </c>
      <c r="N2481" t="inlineStr">
        <is>
          <t>&lt;p&gt;&lt;/p&gt;</t>
        </is>
      </c>
      <c r="O2481" t="inlineStr"/>
      <c r="P2481" t="inlineStr">
        <is>
          <t>Kn58xuy , Tipper , VW  , Crafter</t>
        </is>
      </c>
      <c r="Q2481" t="inlineStr">
        <is>
          <t>UKPN</t>
        </is>
      </c>
      <c r="R2481" t="b">
        <v>0</v>
      </c>
    </row>
    <row r="2482">
      <c r="A2482" t="inlineStr">
        <is>
          <t>16 Dec 2025 / 7951 Austin Tree Care LTD 1 / Utilities / UKPN</t>
        </is>
      </c>
      <c r="B2482" t="inlineStr">
        <is>
          <t>Utilities</t>
        </is>
      </c>
      <c r="C2482" t="inlineStr">
        <is>
          <t>UKPN</t>
        </is>
      </c>
      <c r="D2482" t="inlineStr"/>
      <c r="E2482" t="inlineStr"/>
      <c r="F2482" t="inlineStr"/>
      <c r="G2482" t="inlineStr"/>
      <c r="H2482" t="inlineStr"/>
      <c r="I2482" t="inlineStr">
        <is>
          <t>Add to Vehicle to the GC Vehicle List</t>
        </is>
      </c>
      <c r="J2482" t="inlineStr">
        <is>
          <t>N/A</t>
        </is>
      </c>
      <c r="K2482" t="inlineStr">
        <is>
          <t>7951 Austin Tree Care LTD 1</t>
        </is>
      </c>
      <c r="L2482" t="inlineStr">
        <is>
          <t>16/12/2025 07:38</t>
        </is>
      </c>
      <c r="M2482" t="inlineStr">
        <is>
          <t>None</t>
        </is>
      </c>
      <c r="N2482" t="inlineStr">
        <is>
          <t>&lt;p&gt;&lt;/p&gt;</t>
        </is>
      </c>
      <c r="O2482" t="inlineStr"/>
      <c r="P2482" t="inlineStr"/>
      <c r="Q2482" t="inlineStr">
        <is>
          <t>UKPN</t>
        </is>
      </c>
      <c r="R2482" t="b">
        <v>0</v>
      </c>
    </row>
    <row r="2483">
      <c r="A2483" t="inlineStr">
        <is>
          <t>16 Dec 2025 / 7951 Austin Tree Care LTD / Utilities / UKPN</t>
        </is>
      </c>
      <c r="B2483" t="inlineStr">
        <is>
          <t>Utilities</t>
        </is>
      </c>
      <c r="C2483" t="inlineStr">
        <is>
          <t>UKPN</t>
        </is>
      </c>
      <c r="D2483" t="inlineStr"/>
      <c r="E2483" t="inlineStr"/>
      <c r="F2483" t="inlineStr"/>
      <c r="G2483" t="inlineStr"/>
      <c r="H2483" t="inlineStr"/>
      <c r="I2483" t="inlineStr">
        <is>
          <t>Add to Vehicle to the GC Vehicle List</t>
        </is>
      </c>
      <c r="J2483" t="inlineStr">
        <is>
          <t>N/A</t>
        </is>
      </c>
      <c r="K2483" t="inlineStr">
        <is>
          <t>7951 Austin Tree Care LTD</t>
        </is>
      </c>
      <c r="L2483" t="inlineStr">
        <is>
          <t>16/12/2025 07:38</t>
        </is>
      </c>
      <c r="M2483" t="inlineStr">
        <is>
          <t>None</t>
        </is>
      </c>
      <c r="N2483" t="inlineStr">
        <is>
          <t>&lt;p&gt;&lt;/p&gt;</t>
        </is>
      </c>
      <c r="O2483" t="inlineStr"/>
      <c r="P2483" t="inlineStr"/>
      <c r="Q2483" t="inlineStr">
        <is>
          <t>UKPN</t>
        </is>
      </c>
      <c r="R2483" t="b">
        <v>0</v>
      </c>
    </row>
    <row r="2484">
      <c r="A2484" t="inlineStr">
        <is>
          <t>16 Dec 2025 / 7951 Austin Tree Care LTD / Utilities / UKPN</t>
        </is>
      </c>
      <c r="B2484" t="inlineStr">
        <is>
          <t>Utilities</t>
        </is>
      </c>
      <c r="C2484" t="inlineStr">
        <is>
          <t>UKPN</t>
        </is>
      </c>
      <c r="D2484" t="inlineStr"/>
      <c r="E2484" t="inlineStr"/>
      <c r="F2484" t="inlineStr"/>
      <c r="G2484" t="inlineStr"/>
      <c r="H2484" t="inlineStr"/>
      <c r="I2484" t="inlineStr">
        <is>
          <t>Add to Vehicle to the GC Vehicle List</t>
        </is>
      </c>
      <c r="J2484" t="inlineStr">
        <is>
          <t>N/A</t>
        </is>
      </c>
      <c r="K2484" t="inlineStr">
        <is>
          <t>7951 Austin Tree Care LTD</t>
        </is>
      </c>
      <c r="L2484" t="inlineStr">
        <is>
          <t>16/12/2025 07:39</t>
        </is>
      </c>
      <c r="M2484" t="inlineStr">
        <is>
          <t>None</t>
        </is>
      </c>
      <c r="N2484" t="inlineStr">
        <is>
          <t>&lt;p&gt;&lt;/p&gt;</t>
        </is>
      </c>
      <c r="O2484" t="inlineStr"/>
      <c r="P2484" t="inlineStr"/>
      <c r="Q2484" t="inlineStr">
        <is>
          <t>UKPN</t>
        </is>
      </c>
      <c r="R2484" t="b">
        <v>0</v>
      </c>
    </row>
    <row r="2485">
      <c r="A2485" t="inlineStr">
        <is>
          <t>16 Dec 2025 / 7889 Tree Tech Suffolk Ltd</t>
        </is>
      </c>
      <c r="B2485" t="inlineStr">
        <is>
          <t>Utilities &amp; Inland Waterways</t>
        </is>
      </c>
      <c r="C2485" t="inlineStr">
        <is>
          <t>UKPN</t>
        </is>
      </c>
      <c r="D2485" t="inlineStr">
        <is>
          <t>Tow Chipper - Jenson - A530L - 55210639484x4 - Isuzu - D-max - NS03 TTSTipper - Mercedes - Sprinter - NS06TTS</t>
        </is>
      </c>
      <c r="E2485" t="inlineStr">
        <is>
          <t>Tow Chipper - Jenson - A530L - 55210639484x4 - Isuzu - D-max - NS03 TTSTipper - Mercedes - Sprinter - NS06TTS</t>
        </is>
      </c>
      <c r="F2485" t="inlineStr">
        <is>
          <t>Tow Chipper - Jenson - A530L - 55210639484x4 - Isuzu - D-max - NS03 TTSTipper - Mercedes - Sprinter - NS06TTS</t>
        </is>
      </c>
      <c r="G2485" t="inlineStr">
        <is>
          <t xml:space="preserve">Nikki sparrow Danny Appleby Nikki sparrow </t>
        </is>
      </c>
      <c r="H2485" t="inlineStr">
        <is>
          <t>Towed Chipper4x4Tipper</t>
        </is>
      </c>
      <c r="I2485" t="inlineStr">
        <is>
          <t>Daily/ Weekly Vehicle Inspection</t>
        </is>
      </c>
      <c r="J2485" t="inlineStr">
        <is>
          <t>N/A</t>
        </is>
      </c>
      <c r="K2485" t="inlineStr">
        <is>
          <t>7889 Tree Tech Suffolk Ltd</t>
        </is>
      </c>
      <c r="L2485" t="inlineStr">
        <is>
          <t>16/12/2025 07:40</t>
        </is>
      </c>
      <c r="M2485" t="inlineStr">
        <is>
          <t>None</t>
        </is>
      </c>
      <c r="N2485" t="inlineStr">
        <is>
          <t>&lt;p&gt;&lt;/p&gt;</t>
        </is>
      </c>
      <c r="O2485" t="inlineStr">
        <is>
          <t>Select Vehicle:Ns08 ttsSelect Vehicle:Ns05 tts</t>
        </is>
      </c>
      <c r="P2485" t="inlineStr">
        <is>
          <t>Tow Chipper - Jenson - A530L - 55210639484x4 - Isuzu - D-max - NS03 TTSTipper - Mercedes - Sprinter - NS06TTS</t>
        </is>
      </c>
      <c r="Q2485" t="inlineStr">
        <is>
          <t>UKPN</t>
        </is>
      </c>
      <c r="R2485" t="b">
        <v>0</v>
      </c>
    </row>
    <row r="2486">
      <c r="A2486" t="inlineStr">
        <is>
          <t>16 Dec 2025 / 3098 D &amp; R Landscapes / Utilities / UKPN</t>
        </is>
      </c>
      <c r="B2486" t="inlineStr">
        <is>
          <t>Utilities</t>
        </is>
      </c>
      <c r="C2486" t="inlineStr">
        <is>
          <t>UKPN</t>
        </is>
      </c>
      <c r="D2486" t="inlineStr">
        <is>
          <t>WA13ZZK , 4x4 , Land Rover  , Defender</t>
        </is>
      </c>
      <c r="E2486" t="inlineStr">
        <is>
          <t>WA13ZZK , 4x4 , Land Rover  , Defender</t>
        </is>
      </c>
      <c r="F2486" t="inlineStr">
        <is>
          <t>WA13ZZK , 4x4 , Land Rover  , Defender</t>
        </is>
      </c>
      <c r="G2486" t="inlineStr">
        <is>
          <t xml:space="preserve">Chris </t>
        </is>
      </c>
      <c r="H2486" t="inlineStr">
        <is>
          <t>Pickup Truck</t>
        </is>
      </c>
      <c r="I2486" t="inlineStr">
        <is>
          <t>Daily/ Weekly Vehicle Inspection</t>
        </is>
      </c>
      <c r="J2486" t="inlineStr">
        <is>
          <t>N/A</t>
        </is>
      </c>
      <c r="K2486" t="inlineStr">
        <is>
          <t>3098 D &amp; R Landscapes</t>
        </is>
      </c>
      <c r="L2486" t="inlineStr">
        <is>
          <t>16/12/2025 07:41</t>
        </is>
      </c>
      <c r="M2486" t="inlineStr">
        <is>
          <t>None</t>
        </is>
      </c>
      <c r="N2486" t="inlineStr">
        <is>
          <t>&lt;p&gt;&lt;/p&gt;</t>
        </is>
      </c>
      <c r="O2486" t="inlineStr"/>
      <c r="P2486" t="inlineStr">
        <is>
          <t>WA13ZZK , 4x4 , Land Rover  , Defender</t>
        </is>
      </c>
      <c r="Q2486" t="inlineStr">
        <is>
          <t>UKPN</t>
        </is>
      </c>
      <c r="R2486" t="b">
        <v>0</v>
      </c>
    </row>
    <row r="2487">
      <c r="A2487" t="inlineStr">
        <is>
          <t>16 Dec 2025 / 3098 D &amp; R Landscapes / Utilities / UKPN</t>
        </is>
      </c>
      <c r="B2487" t="inlineStr">
        <is>
          <t>Utilities</t>
        </is>
      </c>
      <c r="C2487" t="inlineStr">
        <is>
          <t>UKPN</t>
        </is>
      </c>
      <c r="D2487" t="inlineStr">
        <is>
          <t>DE68XHA , Tipper , Isuzu , Grafter</t>
        </is>
      </c>
      <c r="E2487" t="inlineStr">
        <is>
          <t>DE68XHA , Tipper , Isuzu , Grafter</t>
        </is>
      </c>
      <c r="F2487" t="inlineStr">
        <is>
          <t>DE68XHA , Tipper , Isuzu , Grafter</t>
        </is>
      </c>
      <c r="G2487" t="inlineStr">
        <is>
          <t>Jason</t>
        </is>
      </c>
      <c r="H2487" t="inlineStr">
        <is>
          <t>Tipper</t>
        </is>
      </c>
      <c r="I2487" t="inlineStr">
        <is>
          <t>Daily/ Weekly Vehicle Inspection</t>
        </is>
      </c>
      <c r="J2487" t="inlineStr">
        <is>
          <t>N/A</t>
        </is>
      </c>
      <c r="K2487" t="inlineStr">
        <is>
          <t>3098 D &amp; R Landscapes</t>
        </is>
      </c>
      <c r="L2487" t="inlineStr">
        <is>
          <t>16/12/2025 07:41</t>
        </is>
      </c>
      <c r="M2487" t="inlineStr">
        <is>
          <t>None</t>
        </is>
      </c>
      <c r="N2487" t="inlineStr">
        <is>
          <t>&lt;p&gt;&lt;/p&gt;</t>
        </is>
      </c>
      <c r="O2487" t="inlineStr"/>
      <c r="P2487" t="inlineStr">
        <is>
          <t>DE68XHA , Tipper , Isuzu , Grafter</t>
        </is>
      </c>
      <c r="Q2487" t="inlineStr">
        <is>
          <t>UKPN</t>
        </is>
      </c>
      <c r="R2487" t="b">
        <v>0</v>
      </c>
    </row>
    <row r="2488">
      <c r="A2488" t="inlineStr">
        <is>
          <t>16 Dec 2025 / 8148 Hope Ground and Tree Care / Utilities / UKPN</t>
        </is>
      </c>
      <c r="B2488" t="inlineStr">
        <is>
          <t>Utilities</t>
        </is>
      </c>
      <c r="C2488" t="inlineStr">
        <is>
          <t>UKPN</t>
        </is>
      </c>
      <c r="D2488" t="inlineStr">
        <is>
          <t>SA9ST6P0000283840 , Tow Chipper , Forst , ST6P</t>
        </is>
      </c>
      <c r="E2488" t="inlineStr">
        <is>
          <t>SA9ST6P0000283840 , Tow Chipper , Forst , ST6P</t>
        </is>
      </c>
      <c r="F2488" t="inlineStr">
        <is>
          <t>SA9ST6P0000283840 , Tow Chipper , Forst , ST6P</t>
        </is>
      </c>
      <c r="G2488" t="inlineStr">
        <is>
          <t>Andrew Hope</t>
        </is>
      </c>
      <c r="H2488" t="inlineStr">
        <is>
          <t>4x4</t>
        </is>
      </c>
      <c r="I2488" t="inlineStr">
        <is>
          <t>Daily/ Weekly Vehicle Inspection</t>
        </is>
      </c>
      <c r="J2488" t="inlineStr">
        <is>
          <t>N/A</t>
        </is>
      </c>
      <c r="K2488" t="inlineStr">
        <is>
          <t>8148 Hope Ground and Tree Care</t>
        </is>
      </c>
      <c r="L2488" t="inlineStr">
        <is>
          <t>16/12/2025 08:37</t>
        </is>
      </c>
      <c r="M2488" t="inlineStr">
        <is>
          <t>None</t>
        </is>
      </c>
      <c r="N2488" t="inlineStr">
        <is>
          <t>&lt;p&gt;&lt;/p&gt;</t>
        </is>
      </c>
      <c r="O2488" t="inlineStr">
        <is>
          <t>Select Vehicle:YR18 RYK</t>
        </is>
      </c>
      <c r="P2488" t="inlineStr">
        <is>
          <t>SA9ST6P0000283840 , Tow Chipper , Forst , ST6P</t>
        </is>
      </c>
      <c r="Q2488" t="inlineStr">
        <is>
          <t>UKPN</t>
        </is>
      </c>
      <c r="R2488" t="b">
        <v>0</v>
      </c>
    </row>
    <row r="2489">
      <c r="A2489" t="inlineStr">
        <is>
          <t>16 Dec 2025 / Thomas Playford / Utilities / UKPN</t>
        </is>
      </c>
      <c r="B2489" t="inlineStr">
        <is>
          <t>Utilities</t>
        </is>
      </c>
      <c r="C2489" t="inlineStr">
        <is>
          <t>UKPN</t>
        </is>
      </c>
      <c r="D2489" t="inlineStr">
        <is>
          <t>SA9ST800000283944 , Tow Chipper , Forst , ST8D - Towed</t>
        </is>
      </c>
      <c r="E2489" t="inlineStr">
        <is>
          <t>SA9ST800000283944 , Tow Chipper , Forst , ST8D - Towed</t>
        </is>
      </c>
      <c r="F2489" t="inlineStr">
        <is>
          <t>SA9ST800000283944 , Tow Chipper , Forst , ST8D - Towed</t>
        </is>
      </c>
      <c r="G2489" t="inlineStr">
        <is>
          <t>Thomas Playford</t>
        </is>
      </c>
      <c r="H2489" t="inlineStr">
        <is>
          <t>Towed Chipper</t>
        </is>
      </c>
      <c r="I2489" t="inlineStr">
        <is>
          <t>Daily/ Weekly Vehicle Inspection</t>
        </is>
      </c>
      <c r="J2489" t="inlineStr">
        <is>
          <t>N/A</t>
        </is>
      </c>
      <c r="K2489" t="inlineStr">
        <is>
          <t>7995 Green Net Eco Ltd 2</t>
        </is>
      </c>
      <c r="L2489" t="inlineStr">
        <is>
          <t>16/12/2025 08:38</t>
        </is>
      </c>
      <c r="M2489" t="inlineStr">
        <is>
          <t>None</t>
        </is>
      </c>
      <c r="N2489" t="inlineStr">
        <is>
          <t>&lt;p&gt;&lt;/p&gt;</t>
        </is>
      </c>
      <c r="O2489" t="inlineStr"/>
      <c r="P2489" t="inlineStr">
        <is>
          <t>SA9ST800000283944 , Tow Chipper , Forst , ST8D - Towed</t>
        </is>
      </c>
      <c r="Q2489" t="inlineStr">
        <is>
          <t>UKPN</t>
        </is>
      </c>
      <c r="R2489" t="b">
        <v>0</v>
      </c>
    </row>
    <row r="2490">
      <c r="A2490" t="inlineStr">
        <is>
          <t>5 Dec 2025 / 8148 Hope Ground and Tree Care / Utilities / UKPN</t>
        </is>
      </c>
      <c r="B2490" t="inlineStr">
        <is>
          <t>Utilities</t>
        </is>
      </c>
      <c r="C2490" t="inlineStr">
        <is>
          <t>UKPN</t>
        </is>
      </c>
      <c r="D2490" t="inlineStr">
        <is>
          <t>S6 NWX , MEWP , Isuzu , D-Max</t>
        </is>
      </c>
      <c r="E2490" t="inlineStr">
        <is>
          <t>S6 NWX , MEWP , Isuzu , D-Max</t>
        </is>
      </c>
      <c r="F2490" t="inlineStr">
        <is>
          <t>S6 NWX , MEWP , Isuzu , D-Max</t>
        </is>
      </c>
      <c r="G2490" t="inlineStr">
        <is>
          <t>A Hope</t>
        </is>
      </c>
      <c r="H2490" t="inlineStr">
        <is>
          <t>4x4</t>
        </is>
      </c>
      <c r="I2490" t="inlineStr">
        <is>
          <t>Daily/ Weekly Vehicle Inspection</t>
        </is>
      </c>
      <c r="J2490" t="inlineStr">
        <is>
          <t>N/A</t>
        </is>
      </c>
      <c r="K2490" t="inlineStr">
        <is>
          <t>8148 Hope Ground and Tree Care</t>
        </is>
      </c>
      <c r="L2490" t="inlineStr">
        <is>
          <t>16/12/2025 08:39</t>
        </is>
      </c>
      <c r="M2490" t="inlineStr">
        <is>
          <t>None</t>
        </is>
      </c>
      <c r="N2490" t="inlineStr">
        <is>
          <t>&lt;p&gt;&lt;/p&gt;</t>
        </is>
      </c>
      <c r="O2490" t="inlineStr"/>
      <c r="P2490" t="inlineStr">
        <is>
          <t>S6 NWX , MEWP , Isuzu , D-Max</t>
        </is>
      </c>
      <c r="Q2490" t="inlineStr">
        <is>
          <t>UKPN</t>
        </is>
      </c>
      <c r="R2490" t="b">
        <v>0</v>
      </c>
    </row>
    <row r="2491">
      <c r="A2491" t="inlineStr">
        <is>
          <t>16 Dec 2025 / Thomas Playford / Utilities / UKPN</t>
        </is>
      </c>
      <c r="B2491" t="inlineStr">
        <is>
          <t>Utilities</t>
        </is>
      </c>
      <c r="C2491" t="inlineStr">
        <is>
          <t>UKPN</t>
        </is>
      </c>
      <c r="D2491" t="inlineStr">
        <is>
          <t>LK15KRZ , 4x4 , Landrover , Defender</t>
        </is>
      </c>
      <c r="E2491" t="inlineStr">
        <is>
          <t>LK15KRZ , 4x4 , Landrover , Defender</t>
        </is>
      </c>
      <c r="F2491" t="inlineStr">
        <is>
          <t>LK15KRZ , 4x4 , Landrover , Defender</t>
        </is>
      </c>
      <c r="G2491" t="inlineStr">
        <is>
          <t>Thomas Playford</t>
        </is>
      </c>
      <c r="H2491" t="inlineStr">
        <is>
          <t>4x4</t>
        </is>
      </c>
      <c r="I2491" t="inlineStr">
        <is>
          <t>Daily/ Weekly Vehicle Inspection</t>
        </is>
      </c>
      <c r="J2491" t="inlineStr">
        <is>
          <t>N/A</t>
        </is>
      </c>
      <c r="K2491" t="inlineStr">
        <is>
          <t>7995 Green Net Eco Ltd 2</t>
        </is>
      </c>
      <c r="L2491" t="inlineStr">
        <is>
          <t>16/12/2025 08:40</t>
        </is>
      </c>
      <c r="M2491" t="inlineStr">
        <is>
          <t>None</t>
        </is>
      </c>
      <c r="N2491" t="inlineStr">
        <is>
          <t>&lt;p&gt;&lt;/p&gt;</t>
        </is>
      </c>
      <c r="O2491" t="inlineStr"/>
      <c r="P2491" t="inlineStr">
        <is>
          <t>LK15KRZ , 4x4 , Landrover , Defender</t>
        </is>
      </c>
      <c r="Q2491" t="inlineStr">
        <is>
          <t>UKPN</t>
        </is>
      </c>
      <c r="R2491" t="b">
        <v>0</v>
      </c>
    </row>
    <row r="2492">
      <c r="A2492" t="inlineStr">
        <is>
          <t>16 Dec 2025 / 7186 Eastwoodbury Tree Services Ltd / Utilities / UKPN</t>
        </is>
      </c>
      <c r="B2492" t="inlineStr">
        <is>
          <t>Utilities</t>
        </is>
      </c>
      <c r="C2492" t="inlineStr">
        <is>
          <t>UKPN</t>
        </is>
      </c>
      <c r="D2492" t="inlineStr">
        <is>
          <t>DE53NKS , 4x4 , Ford , Ranger</t>
        </is>
      </c>
      <c r="E2492" t="inlineStr">
        <is>
          <t>DE53NKS , 4x4 , Ford , Ranger</t>
        </is>
      </c>
      <c r="F2492" t="inlineStr">
        <is>
          <t>DE53NKS , 4x4 , Ford , Ranger</t>
        </is>
      </c>
      <c r="G2492" t="inlineStr">
        <is>
          <t xml:space="preserve">Jay Denkmayer </t>
        </is>
      </c>
      <c r="H2492" t="inlineStr">
        <is>
          <t>Pickup Truck</t>
        </is>
      </c>
      <c r="I2492" t="inlineStr">
        <is>
          <t>Daily/ Weekly Vehicle Inspection</t>
        </is>
      </c>
      <c r="J2492" t="inlineStr">
        <is>
          <t>N/A</t>
        </is>
      </c>
      <c r="K2492" t="inlineStr">
        <is>
          <t>7186 Eastwoodbury Tree Services Ltd</t>
        </is>
      </c>
      <c r="L2492" t="inlineStr">
        <is>
          <t>16/12/2025 08:42</t>
        </is>
      </c>
      <c r="M2492" t="inlineStr">
        <is>
          <t>None</t>
        </is>
      </c>
      <c r="N2492" t="inlineStr">
        <is>
          <t>&lt;p&gt;&lt;/p&gt;</t>
        </is>
      </c>
      <c r="O2492" t="inlineStr"/>
      <c r="P2492" t="inlineStr">
        <is>
          <t>DE53NKS , 4x4 , Ford , Ranger</t>
        </is>
      </c>
      <c r="Q2492" t="inlineStr">
        <is>
          <t>UKPN</t>
        </is>
      </c>
      <c r="R2492" t="b">
        <v>0</v>
      </c>
    </row>
    <row r="2493">
      <c r="A2493" t="inlineStr">
        <is>
          <t>16 Dec 2025 / 7186 Eastwoodbury Tree Services Ltd / Utilities / UKPN</t>
        </is>
      </c>
      <c r="B2493" t="inlineStr">
        <is>
          <t>Utilities</t>
        </is>
      </c>
      <c r="C2493" t="inlineStr">
        <is>
          <t>UKPN</t>
        </is>
      </c>
      <c r="D2493" t="inlineStr">
        <is>
          <t>WF13 EKT , 4x4 , Land rover  , Defender</t>
        </is>
      </c>
      <c r="E2493" t="inlineStr">
        <is>
          <t>WF13 EKT , 4x4 , Land rover  , Defender</t>
        </is>
      </c>
      <c r="F2493" t="inlineStr">
        <is>
          <t>WF13 EKT , 4x4 , Land rover  , Defender</t>
        </is>
      </c>
      <c r="G2493" t="inlineStr">
        <is>
          <t xml:space="preserve">Dan Gilbert </t>
        </is>
      </c>
      <c r="H2493" t="inlineStr">
        <is>
          <t>4x4</t>
        </is>
      </c>
      <c r="I2493" t="inlineStr">
        <is>
          <t>Daily/ Weekly Vehicle Inspection</t>
        </is>
      </c>
      <c r="J2493" t="inlineStr">
        <is>
          <t>N/A</t>
        </is>
      </c>
      <c r="K2493" t="inlineStr">
        <is>
          <t>7186 Eastwoodbury Tree Services Ltd</t>
        </is>
      </c>
      <c r="L2493" t="inlineStr">
        <is>
          <t>16/12/2025 08:42</t>
        </is>
      </c>
      <c r="M2493" t="inlineStr">
        <is>
          <t>None</t>
        </is>
      </c>
      <c r="N2493" t="inlineStr">
        <is>
          <t>&lt;p&gt;&lt;/p&gt;</t>
        </is>
      </c>
      <c r="O2493" t="inlineStr"/>
      <c r="P2493" t="inlineStr">
        <is>
          <t>WF13 EKT , 4x4 , Land rover  , Defender</t>
        </is>
      </c>
      <c r="Q2493" t="inlineStr">
        <is>
          <t>UKPN</t>
        </is>
      </c>
      <c r="R2493" t="b">
        <v>0</v>
      </c>
    </row>
    <row r="2494">
      <c r="A2494" t="inlineStr">
        <is>
          <t>16 Dec 2025 / 7951 Austin Tree Care LTD / Utilities / UKPN</t>
        </is>
      </c>
      <c r="B2494" t="inlineStr">
        <is>
          <t>Utilities</t>
        </is>
      </c>
      <c r="C2494" t="inlineStr">
        <is>
          <t>UKPN</t>
        </is>
      </c>
      <c r="D2494" t="inlineStr"/>
      <c r="E2494" t="inlineStr"/>
      <c r="F2494" t="inlineStr"/>
      <c r="G2494" t="inlineStr">
        <is>
          <t>Jack Austin</t>
        </is>
      </c>
      <c r="H2494" t="inlineStr"/>
      <c r="I2494" t="inlineStr">
        <is>
          <t>Add to Vehicle to the GC Vehicle List</t>
        </is>
      </c>
      <c r="J2494" t="inlineStr">
        <is>
          <t>N/A</t>
        </is>
      </c>
      <c r="K2494" t="inlineStr">
        <is>
          <t>7951 Austin Tree Care LTD</t>
        </is>
      </c>
      <c r="L2494" t="inlineStr">
        <is>
          <t>16/12/2025 09:38</t>
        </is>
      </c>
      <c r="M2494" t="inlineStr">
        <is>
          <t>None</t>
        </is>
      </c>
      <c r="N2494" t="inlineStr">
        <is>
          <t>&lt;p&gt;&lt;/p&gt;</t>
        </is>
      </c>
      <c r="O2494" t="inlineStr"/>
      <c r="P2494" t="inlineStr"/>
      <c r="Q2494" t="inlineStr">
        <is>
          <t>UKPN</t>
        </is>
      </c>
      <c r="R2494" t="b">
        <v>0</v>
      </c>
    </row>
    <row r="2495">
      <c r="A2495" t="inlineStr">
        <is>
          <t>16 Dec 2025 / Ashley Marples / Utilities / NGED</t>
        </is>
      </c>
      <c r="B2495" t="inlineStr">
        <is>
          <t>Utilities</t>
        </is>
      </c>
      <c r="C2495" t="inlineStr">
        <is>
          <t>NGED</t>
        </is>
      </c>
      <c r="D2495" t="inlineStr">
        <is>
          <t>GJ71KAU , Car - Electric , Tesla , Model 3 Long Range AWD</t>
        </is>
      </c>
      <c r="E2495" t="inlineStr">
        <is>
          <t>GJ71KAU , Car - Electric , Tesla , Model 3 Long Range AWD</t>
        </is>
      </c>
      <c r="F2495" t="inlineStr">
        <is>
          <t>GJ71KAU , Car - Electric , Tesla , Model 3 Long Range AWD</t>
        </is>
      </c>
      <c r="G2495" t="inlineStr">
        <is>
          <t xml:space="preserve">Ashley Marples </t>
        </is>
      </c>
      <c r="H2495" t="inlineStr">
        <is>
          <t>Car - Electric (GC Owned)</t>
        </is>
      </c>
      <c r="I2495" t="inlineStr">
        <is>
          <t>Daily/ Weekly Vehicle Inspection</t>
        </is>
      </c>
      <c r="J2495" t="inlineStr">
        <is>
          <t>N/A</t>
        </is>
      </c>
      <c r="K2495" t="inlineStr">
        <is>
          <t>Ashley Marples</t>
        </is>
      </c>
      <c r="L2495" t="inlineStr">
        <is>
          <t>16/12/2025 09:38</t>
        </is>
      </c>
      <c r="M2495" t="inlineStr">
        <is>
          <t>None</t>
        </is>
      </c>
      <c r="N2495" t="inlineStr">
        <is>
          <t>&lt;p&gt;&lt;/p&gt;</t>
        </is>
      </c>
      <c r="O2495" t="inlineStr"/>
      <c r="P2495" t="inlineStr">
        <is>
          <t>GJ71KAU , Car - Electric , Tesla , Model 3 Long Range AWD</t>
        </is>
      </c>
      <c r="Q2495" t="inlineStr">
        <is>
          <t>NGED</t>
        </is>
      </c>
      <c r="R2495" t="b">
        <v>0</v>
      </c>
    </row>
    <row r="2496">
      <c r="A2496" t="inlineStr">
        <is>
          <t>16 Dec 2025 / Mark Davies / Utilities / NGED</t>
        </is>
      </c>
      <c r="B2496" t="inlineStr">
        <is>
          <t>Utilities</t>
        </is>
      </c>
      <c r="C2496" t="inlineStr">
        <is>
          <t>NGED</t>
        </is>
      </c>
      <c r="D2496" t="inlineStr">
        <is>
          <t>GJ20USE , Car - Electric , Tesla , Model 3 Long Range AWD</t>
        </is>
      </c>
      <c r="E2496" t="inlineStr">
        <is>
          <t>GJ20USE , Car - Electric , Tesla , Model 3 Long Range AWD</t>
        </is>
      </c>
      <c r="F2496" t="inlineStr">
        <is>
          <t>GJ20USE , Car - Electric , Tesla , Model 3 Long Range AWD</t>
        </is>
      </c>
      <c r="G2496" t="inlineStr">
        <is>
          <t xml:space="preserve">Mark Davies </t>
        </is>
      </c>
      <c r="H2496" t="inlineStr">
        <is>
          <t>Car - Electric (GC Owned)</t>
        </is>
      </c>
      <c r="I2496" t="inlineStr">
        <is>
          <t>Daily/ Weekly Vehicle Inspection</t>
        </is>
      </c>
      <c r="J2496" t="inlineStr">
        <is>
          <t>N/A</t>
        </is>
      </c>
      <c r="K2496" t="inlineStr">
        <is>
          <t>Mark Davies</t>
        </is>
      </c>
      <c r="L2496" t="inlineStr">
        <is>
          <t>16/12/2025 13:37</t>
        </is>
      </c>
      <c r="M2496" t="inlineStr">
        <is>
          <t>None</t>
        </is>
      </c>
      <c r="N2496" t="inlineStr">
        <is>
          <t>&lt;p&gt;&lt;/p&gt;</t>
        </is>
      </c>
      <c r="O2496" t="inlineStr"/>
      <c r="P2496" t="inlineStr">
        <is>
          <t>GJ20USE , Car - Electric , Tesla , Model 3 Long Range AWD</t>
        </is>
      </c>
      <c r="Q2496" t="inlineStr">
        <is>
          <t>NGED</t>
        </is>
      </c>
      <c r="R2496" t="b">
        <v>0</v>
      </c>
    </row>
    <row r="2497">
      <c r="A2497" t="inlineStr">
        <is>
          <t>16 Dec 2025 / Mathew Dunn / Utilities / SSE</t>
        </is>
      </c>
      <c r="B2497" t="inlineStr">
        <is>
          <t>Utilities</t>
        </is>
      </c>
      <c r="C2497" t="inlineStr">
        <is>
          <t>SSE</t>
        </is>
      </c>
      <c r="D2497" t="inlineStr">
        <is>
          <t>GN70XAU , Car - Electric , Tesla , Model 3 Long Range AWD</t>
        </is>
      </c>
      <c r="E2497" t="inlineStr">
        <is>
          <t>GN70XAU , Car - Electric , Tesla , Model 3 Long Range AWD</t>
        </is>
      </c>
      <c r="F2497" t="inlineStr">
        <is>
          <t>GN70XAU , Car - Electric , Tesla , Model 3 Long Range AWD</t>
        </is>
      </c>
      <c r="G2497" t="inlineStr">
        <is>
          <t>Mathew dunn</t>
        </is>
      </c>
      <c r="H2497" t="inlineStr">
        <is>
          <t>Car - Electric (GC Owned)</t>
        </is>
      </c>
      <c r="I2497" t="inlineStr">
        <is>
          <t>Daily/ Weekly Vehicle Inspection</t>
        </is>
      </c>
      <c r="J2497" t="inlineStr">
        <is>
          <t>N/A</t>
        </is>
      </c>
      <c r="K2497" t="inlineStr">
        <is>
          <t>Mathew Dunn</t>
        </is>
      </c>
      <c r="L2497" t="inlineStr">
        <is>
          <t>16/12/2025 14:37</t>
        </is>
      </c>
      <c r="M2497" t="inlineStr">
        <is>
          <t>None</t>
        </is>
      </c>
      <c r="N2497" t="inlineStr">
        <is>
          <t>&lt;p&gt;&lt;/p&gt;</t>
        </is>
      </c>
      <c r="O2497" t="inlineStr"/>
      <c r="P2497" t="inlineStr">
        <is>
          <t>GN70XAU , Car - Electric , Tesla , Model 3 Long Range AWD</t>
        </is>
      </c>
      <c r="Q2497" t="inlineStr">
        <is>
          <t>SSE</t>
        </is>
      </c>
      <c r="R2497" t="b">
        <v>0</v>
      </c>
    </row>
    <row r="2498">
      <c r="A2498" t="inlineStr">
        <is>
          <t>17 Dec 2025 / 7951 Austin Tree Care LTD / Utilities / UKPN</t>
        </is>
      </c>
      <c r="B2498" t="inlineStr">
        <is>
          <t>Utilities</t>
        </is>
      </c>
      <c r="C2498" t="inlineStr">
        <is>
          <t>UKPN</t>
        </is>
      </c>
      <c r="D2498" t="inlineStr">
        <is>
          <t>WG64HTT , 4x4 , Land Rover , Defender 110</t>
        </is>
      </c>
      <c r="E2498" t="inlineStr">
        <is>
          <t>WG64HTT , 4x4 , Land Rover , Defender 110</t>
        </is>
      </c>
      <c r="F2498" t="inlineStr">
        <is>
          <t>WG64HTT , 4x4 , Land Rover , Defender 110</t>
        </is>
      </c>
      <c r="G2498" t="inlineStr">
        <is>
          <t xml:space="preserve">Jack Austin </t>
        </is>
      </c>
      <c r="H2498" t="inlineStr">
        <is>
          <t>4x4</t>
        </is>
      </c>
      <c r="I2498" t="inlineStr">
        <is>
          <t>Daily/ Weekly Vehicle Inspection</t>
        </is>
      </c>
      <c r="J2498" t="inlineStr">
        <is>
          <t>N/A</t>
        </is>
      </c>
      <c r="K2498" t="inlineStr">
        <is>
          <t>7951 Austin Tree Care LTD</t>
        </is>
      </c>
      <c r="L2498" t="inlineStr">
        <is>
          <t>17/12/2025 08:37</t>
        </is>
      </c>
      <c r="M2498" t="inlineStr">
        <is>
          <t>None</t>
        </is>
      </c>
      <c r="N2498" t="inlineStr">
        <is>
          <t>&lt;p&gt;&lt;/p&gt;</t>
        </is>
      </c>
      <c r="O2498" t="inlineStr"/>
      <c r="P2498" t="inlineStr">
        <is>
          <t>WG64HTT , 4x4 , Land Rover , Defender 110</t>
        </is>
      </c>
      <c r="Q2498" t="inlineStr">
        <is>
          <t>UKPN</t>
        </is>
      </c>
      <c r="R2498" t="b">
        <v>0</v>
      </c>
    </row>
    <row r="2499">
      <c r="A2499" t="inlineStr">
        <is>
          <t>17 Dec 2025 / 7806 Optimum Tree Services Ltd 1 / Utilities / UKPN</t>
        </is>
      </c>
      <c r="B2499" t="inlineStr">
        <is>
          <t>Utilities</t>
        </is>
      </c>
      <c r="C2499" t="inlineStr">
        <is>
          <t>UKPN</t>
        </is>
      </c>
      <c r="D2499" t="inlineStr">
        <is>
          <t>Wd14evn , 4x4 , Landrover  , Defender</t>
        </is>
      </c>
      <c r="E2499" t="inlineStr">
        <is>
          <t>Wd14evn , 4x4 , Landrover  , Defender</t>
        </is>
      </c>
      <c r="F2499" t="inlineStr">
        <is>
          <t>Wd14evn , 4x4 , Landrover  , Defender</t>
        </is>
      </c>
      <c r="G2499" t="inlineStr">
        <is>
          <t xml:space="preserve">Kenny Aldred </t>
        </is>
      </c>
      <c r="H2499" t="inlineStr">
        <is>
          <t>4x4</t>
        </is>
      </c>
      <c r="I2499" t="inlineStr">
        <is>
          <t>Daily/ Weekly Vehicle Inspection</t>
        </is>
      </c>
      <c r="J2499" t="inlineStr">
        <is>
          <t>N/A</t>
        </is>
      </c>
      <c r="K2499" t="inlineStr">
        <is>
          <t>7806 Optimum Tree Services Ltd 1</t>
        </is>
      </c>
      <c r="L2499" t="inlineStr">
        <is>
          <t>17/12/2025 08:37</t>
        </is>
      </c>
      <c r="M2499" t="inlineStr">
        <is>
          <t>None</t>
        </is>
      </c>
      <c r="N2499" t="inlineStr">
        <is>
          <t>&lt;p&gt;&lt;/p&gt;</t>
        </is>
      </c>
      <c r="O2499" t="inlineStr"/>
      <c r="P2499" t="inlineStr">
        <is>
          <t>Wd14evn , 4x4 , Landrover  , Defender</t>
        </is>
      </c>
      <c r="Q2499" t="inlineStr">
        <is>
          <t>UKPN</t>
        </is>
      </c>
      <c r="R2499" t="b">
        <v>0</v>
      </c>
    </row>
    <row r="2500">
      <c r="A2500" t="inlineStr">
        <is>
          <t>17 Dec 2025 / Paul Chubb / Utilities / SSE</t>
        </is>
      </c>
      <c r="B2500" t="inlineStr">
        <is>
          <t>Utilities</t>
        </is>
      </c>
      <c r="C2500" t="inlineStr">
        <is>
          <t>SSE</t>
        </is>
      </c>
      <c r="D2500" t="inlineStr"/>
      <c r="E2500" t="inlineStr"/>
      <c r="F2500" t="inlineStr"/>
      <c r="G2500" t="inlineStr">
        <is>
          <t>Paul chubb</t>
        </is>
      </c>
      <c r="H2500" t="inlineStr">
        <is>
          <t>Van</t>
        </is>
      </c>
      <c r="I2500" t="inlineStr">
        <is>
          <t>Monthly Vehicle Inspection</t>
        </is>
      </c>
      <c r="J2500" t="inlineStr">
        <is>
          <t>3025</t>
        </is>
      </c>
      <c r="K2500" t="inlineStr">
        <is>
          <t>Paul Chubb</t>
        </is>
      </c>
      <c r="L2500" t="inlineStr">
        <is>
          <t>17/12/2025 09:37</t>
        </is>
      </c>
      <c r="M2500" t="inlineStr">
        <is>
          <t>None</t>
        </is>
      </c>
      <c r="N2500" t="inlineStr">
        <is>
          <t>&lt;p&gt;&lt;/p&gt;</t>
        </is>
      </c>
      <c r="O2500" t="inlineStr"/>
      <c r="P2500" t="inlineStr"/>
      <c r="Q2500" t="inlineStr">
        <is>
          <t>SSE</t>
        </is>
      </c>
      <c r="R2500" t="b">
        <v>0</v>
      </c>
    </row>
    <row r="2501">
      <c r="A2501" t="inlineStr">
        <is>
          <t>17 Dec 2025 / 7951 Austin Tree Care LTD / Utilities / UKPN</t>
        </is>
      </c>
      <c r="B2501" t="inlineStr">
        <is>
          <t>Utilities</t>
        </is>
      </c>
      <c r="C2501" t="inlineStr">
        <is>
          <t>UKPN</t>
        </is>
      </c>
      <c r="D2501" t="inlineStr">
        <is>
          <t>WG64HTT , 4x4 , Land Rover , Defender 110</t>
        </is>
      </c>
      <c r="E2501" t="inlineStr">
        <is>
          <t>WG64HTT , 4x4 , Land Rover , Defender 110</t>
        </is>
      </c>
      <c r="F2501" t="inlineStr">
        <is>
          <t>WG64HTT , 4x4 , Land Rover , Defender 110</t>
        </is>
      </c>
      <c r="G2501" t="inlineStr">
        <is>
          <t xml:space="preserve">Jack Austin </t>
        </is>
      </c>
      <c r="H2501" t="inlineStr">
        <is>
          <t>4x4</t>
        </is>
      </c>
      <c r="I2501" t="inlineStr">
        <is>
          <t>Daily/ Weekly Vehicle Inspection</t>
        </is>
      </c>
      <c r="J2501" t="inlineStr">
        <is>
          <t>N/A</t>
        </is>
      </c>
      <c r="K2501" t="inlineStr">
        <is>
          <t>7951 Austin Tree Care LTD</t>
        </is>
      </c>
      <c r="L2501" t="inlineStr">
        <is>
          <t>17/12/2025 09:39</t>
        </is>
      </c>
      <c r="M2501" t="inlineStr">
        <is>
          <t>None</t>
        </is>
      </c>
      <c r="N2501" t="inlineStr">
        <is>
          <t>&lt;p&gt;&lt;/p&gt;</t>
        </is>
      </c>
      <c r="O2501" t="inlineStr"/>
      <c r="P2501" t="inlineStr">
        <is>
          <t>WG64HTT , 4x4 , Land Rover , Defender 110</t>
        </is>
      </c>
      <c r="Q2501" t="inlineStr">
        <is>
          <t>UKPN</t>
        </is>
      </c>
      <c r="R2501" t="b">
        <v>0</v>
      </c>
    </row>
    <row r="2502">
      <c r="A2502" t="inlineStr">
        <is>
          <t>17 Dec 2025 / Paul Chubb / Utilities / SSE</t>
        </is>
      </c>
      <c r="B2502" t="inlineStr">
        <is>
          <t>Utilities</t>
        </is>
      </c>
      <c r="C2502" t="inlineStr">
        <is>
          <t>SSE</t>
        </is>
      </c>
      <c r="D2502" t="inlineStr"/>
      <c r="E2502" t="inlineStr"/>
      <c r="F2502" t="inlineStr"/>
      <c r="G2502" t="inlineStr">
        <is>
          <t>Paul chubb</t>
        </is>
      </c>
      <c r="H2502" t="inlineStr">
        <is>
          <t>Van</t>
        </is>
      </c>
      <c r="I2502" t="inlineStr">
        <is>
          <t>Monthly Vehicle Inspection</t>
        </is>
      </c>
      <c r="J2502" t="inlineStr">
        <is>
          <t>3025</t>
        </is>
      </c>
      <c r="K2502" t="inlineStr">
        <is>
          <t>Paul Chubb</t>
        </is>
      </c>
      <c r="L2502" t="inlineStr">
        <is>
          <t>17/12/2025 10:42</t>
        </is>
      </c>
      <c r="M2502" t="inlineStr">
        <is>
          <t>None</t>
        </is>
      </c>
      <c r="N2502" t="inlineStr">
        <is>
          <t>&lt;p&gt;&lt;/p&gt;</t>
        </is>
      </c>
      <c r="O2502" t="inlineStr"/>
      <c r="P2502" t="inlineStr"/>
      <c r="Q2502" t="inlineStr">
        <is>
          <t>SSE</t>
        </is>
      </c>
      <c r="R2502" t="b">
        <v>0</v>
      </c>
    </row>
    <row r="2503">
      <c r="A2503" t="inlineStr">
        <is>
          <t>18 Dec 2025 / 7186 Eastwoodbury Tree Services Ltd / Utilities / UKPN</t>
        </is>
      </c>
      <c r="B2503" t="inlineStr">
        <is>
          <t>Utilities</t>
        </is>
      </c>
      <c r="C2503" t="inlineStr">
        <is>
          <t>UKPN</t>
        </is>
      </c>
      <c r="D2503" t="inlineStr">
        <is>
          <t>WF13 EKT , 4x4 , Land rover  , Defender</t>
        </is>
      </c>
      <c r="E2503" t="inlineStr">
        <is>
          <t>WF13 EKT , 4x4 , Land rover  , Defender</t>
        </is>
      </c>
      <c r="F2503" t="inlineStr">
        <is>
          <t>WF13 EKT , 4x4 , Land rover  , Defender</t>
        </is>
      </c>
      <c r="G2503" t="inlineStr">
        <is>
          <t xml:space="preserve">Dan Gilbert </t>
        </is>
      </c>
      <c r="H2503" t="inlineStr">
        <is>
          <t>4x4</t>
        </is>
      </c>
      <c r="I2503" t="inlineStr">
        <is>
          <t>Daily/ Weekly Vehicle Inspection</t>
        </is>
      </c>
      <c r="J2503" t="inlineStr">
        <is>
          <t>N/A</t>
        </is>
      </c>
      <c r="K2503" t="inlineStr">
        <is>
          <t>7186 Eastwoodbury Tree Services Ltd</t>
        </is>
      </c>
      <c r="L2503" t="inlineStr">
        <is>
          <t>18/12/2025 07:37</t>
        </is>
      </c>
      <c r="M2503" t="inlineStr">
        <is>
          <t>None</t>
        </is>
      </c>
      <c r="N2503" t="inlineStr">
        <is>
          <t>&lt;p&gt;&lt;/p&gt;</t>
        </is>
      </c>
      <c r="O2503" t="inlineStr"/>
      <c r="P2503" t="inlineStr">
        <is>
          <t>WF13 EKT , 4x4 , Land rover  , Defender</t>
        </is>
      </c>
      <c r="Q2503" t="inlineStr">
        <is>
          <t>UKPN</t>
        </is>
      </c>
      <c r="R2503" t="b">
        <v>0</v>
      </c>
    </row>
    <row r="2504">
      <c r="A2504" t="inlineStr">
        <is>
          <t>18 Dec 2025 / 7186 Eastwoodbury Tree Services Ltd / Utilities / UKPN</t>
        </is>
      </c>
      <c r="B2504" t="inlineStr">
        <is>
          <t>Utilities</t>
        </is>
      </c>
      <c r="C2504" t="inlineStr">
        <is>
          <t>UKPN</t>
        </is>
      </c>
      <c r="D2504" t="inlineStr"/>
      <c r="E2504" t="inlineStr"/>
      <c r="F2504" t="inlineStr"/>
      <c r="G2504" t="inlineStr"/>
      <c r="H2504" t="inlineStr"/>
      <c r="I2504" t="inlineStr">
        <is>
          <t>Add to Vehicle to the GC Vehicle List</t>
        </is>
      </c>
      <c r="J2504" t="inlineStr">
        <is>
          <t>N/A</t>
        </is>
      </c>
      <c r="K2504" t="inlineStr">
        <is>
          <t>7186 Eastwoodbury Tree Services Ltd</t>
        </is>
      </c>
      <c r="L2504" t="inlineStr">
        <is>
          <t>18/12/2025 07:38</t>
        </is>
      </c>
      <c r="M2504" t="inlineStr">
        <is>
          <t>None</t>
        </is>
      </c>
      <c r="N2504" t="inlineStr">
        <is>
          <t>&lt;p&gt;&lt;/p&gt;</t>
        </is>
      </c>
      <c r="O2504" t="inlineStr"/>
      <c r="P2504" t="inlineStr"/>
      <c r="Q2504" t="inlineStr">
        <is>
          <t>UKPN</t>
        </is>
      </c>
      <c r="R2504" t="b">
        <v>0</v>
      </c>
    </row>
    <row r="2505">
      <c r="A2505" t="inlineStr">
        <is>
          <t>17 Dec 2025 / 3098 D &amp; R Landscapes / Utilities / UKPN</t>
        </is>
      </c>
      <c r="B2505" t="inlineStr">
        <is>
          <t>Utilities</t>
        </is>
      </c>
      <c r="C2505" t="inlineStr">
        <is>
          <t>UKPN</t>
        </is>
      </c>
      <c r="D2505" t="inlineStr">
        <is>
          <t>BT20 GNZ , Vehicle , Nissan , Navara</t>
        </is>
      </c>
      <c r="E2505" t="inlineStr">
        <is>
          <t>BT20 GNZ , Vehicle , Nissan , Navara</t>
        </is>
      </c>
      <c r="F2505" t="inlineStr">
        <is>
          <t>BT20 GNZ , Vehicle , Nissan , Navara</t>
        </is>
      </c>
      <c r="G2505" t="inlineStr">
        <is>
          <t>Jason</t>
        </is>
      </c>
      <c r="H2505" t="inlineStr">
        <is>
          <t>Pickup Truck</t>
        </is>
      </c>
      <c r="I2505" t="inlineStr">
        <is>
          <t>Daily/ Weekly Vehicle Inspection</t>
        </is>
      </c>
      <c r="J2505" t="inlineStr">
        <is>
          <t>N/A</t>
        </is>
      </c>
      <c r="K2505" t="inlineStr">
        <is>
          <t>3098 D &amp; R Landscapes</t>
        </is>
      </c>
      <c r="L2505" t="inlineStr">
        <is>
          <t>18/12/2025 08:38</t>
        </is>
      </c>
      <c r="M2505" t="inlineStr">
        <is>
          <t>None</t>
        </is>
      </c>
      <c r="N2505" t="inlineStr">
        <is>
          <t>&lt;p&gt;&lt;/p&gt;</t>
        </is>
      </c>
      <c r="O2505" t="inlineStr"/>
      <c r="P2505" t="inlineStr">
        <is>
          <t>BT20 GNZ , Vehicle , Nissan , Navara</t>
        </is>
      </c>
      <c r="Q2505" t="inlineStr">
        <is>
          <t>UKPN</t>
        </is>
      </c>
      <c r="R2505" t="b">
        <v>0</v>
      </c>
    </row>
    <row r="2506">
      <c r="A2506" t="inlineStr">
        <is>
          <t>18 Dec 2025 / Andrew Carr / Utilities / SSE</t>
        </is>
      </c>
      <c r="B2506" t="inlineStr">
        <is>
          <t>Utilities</t>
        </is>
      </c>
      <c r="C2506" t="inlineStr">
        <is>
          <t>SSE</t>
        </is>
      </c>
      <c r="D2506" t="inlineStr"/>
      <c r="E2506" t="inlineStr"/>
      <c r="F2506" t="inlineStr"/>
      <c r="G2506" t="inlineStr">
        <is>
          <t xml:space="preserve">Andrew Carr </t>
        </is>
      </c>
      <c r="H2506" t="inlineStr">
        <is>
          <t>Car - Petrol</t>
        </is>
      </c>
      <c r="I2506" t="inlineStr">
        <is>
          <t>Daily/ Weekly Vehicle Inspection</t>
        </is>
      </c>
      <c r="J2506" t="inlineStr">
        <is>
          <t>N/A</t>
        </is>
      </c>
      <c r="K2506" t="inlineStr">
        <is>
          <t>Andrew Carr</t>
        </is>
      </c>
      <c r="L2506" t="inlineStr">
        <is>
          <t>18/12/2025 08:38</t>
        </is>
      </c>
      <c r="M2506" t="inlineStr">
        <is>
          <t>None</t>
        </is>
      </c>
      <c r="N2506" t="inlineStr">
        <is>
          <t>&lt;p&gt;&lt;/p&gt;</t>
        </is>
      </c>
      <c r="O2506" t="inlineStr"/>
      <c r="P2506" t="inlineStr"/>
      <c r="Q2506" t="inlineStr">
        <is>
          <t>SSE</t>
        </is>
      </c>
      <c r="R2506" t="b">
        <v>0</v>
      </c>
    </row>
    <row r="2507">
      <c r="A2507" t="inlineStr">
        <is>
          <t>18 Dec 2025 / Thomas Playford / Utilities / UKPN</t>
        </is>
      </c>
      <c r="B2507" t="inlineStr">
        <is>
          <t>Utilities</t>
        </is>
      </c>
      <c r="C2507" t="inlineStr">
        <is>
          <t>UKPN</t>
        </is>
      </c>
      <c r="D2507" t="inlineStr">
        <is>
          <t>SA9ST800000283944 , Tow Chipper , Forst , ST8D - Towed</t>
        </is>
      </c>
      <c r="E2507" t="inlineStr">
        <is>
          <t>SA9ST800000283944 , Tow Chipper , Forst , ST8D - Towed</t>
        </is>
      </c>
      <c r="F2507" t="inlineStr">
        <is>
          <t>SA9ST800000283944 , Tow Chipper , Forst , ST8D - Towed</t>
        </is>
      </c>
      <c r="G2507" t="inlineStr">
        <is>
          <t>Thomas Playford</t>
        </is>
      </c>
      <c r="H2507" t="inlineStr">
        <is>
          <t>Towed Chipper</t>
        </is>
      </c>
      <c r="I2507" t="inlineStr">
        <is>
          <t>Daily/ Weekly Vehicle Inspection</t>
        </is>
      </c>
      <c r="J2507" t="inlineStr">
        <is>
          <t>N/A</t>
        </is>
      </c>
      <c r="K2507" t="inlineStr">
        <is>
          <t>7995 Green Net Eco Ltd 2</t>
        </is>
      </c>
      <c r="L2507" t="inlineStr">
        <is>
          <t>18/12/2025 08:39</t>
        </is>
      </c>
      <c r="M2507" t="inlineStr">
        <is>
          <t>None</t>
        </is>
      </c>
      <c r="N2507" t="inlineStr">
        <is>
          <t>&lt;p&gt;&lt;/p&gt;</t>
        </is>
      </c>
      <c r="O2507" t="inlineStr"/>
      <c r="P2507" t="inlineStr">
        <is>
          <t>SA9ST800000283944 , Tow Chipper , Forst , ST8D - Towed</t>
        </is>
      </c>
      <c r="Q2507" t="inlineStr">
        <is>
          <t>UKPN</t>
        </is>
      </c>
      <c r="R2507" t="b">
        <v>0</v>
      </c>
    </row>
    <row r="2508">
      <c r="A2508" t="inlineStr">
        <is>
          <t>18 Dec 2025 / Thomas Playford / Utilities / UKPN</t>
        </is>
      </c>
      <c r="B2508" t="inlineStr">
        <is>
          <t>Utilities</t>
        </is>
      </c>
      <c r="C2508" t="inlineStr">
        <is>
          <t>UKPN</t>
        </is>
      </c>
      <c r="D2508" t="inlineStr">
        <is>
          <t>LK15KRZ , 4x4 , Landrover , Defender</t>
        </is>
      </c>
      <c r="E2508" t="inlineStr">
        <is>
          <t>LK15KRZ , 4x4 , Landrover , Defender</t>
        </is>
      </c>
      <c r="F2508" t="inlineStr">
        <is>
          <t>LK15KRZ , 4x4 , Landrover , Defender</t>
        </is>
      </c>
      <c r="G2508" t="inlineStr">
        <is>
          <t>Thomas Playford</t>
        </is>
      </c>
      <c r="H2508" t="inlineStr">
        <is>
          <t>4x4</t>
        </is>
      </c>
      <c r="I2508" t="inlineStr">
        <is>
          <t>Daily/ Weekly Vehicle Inspection</t>
        </is>
      </c>
      <c r="J2508" t="inlineStr">
        <is>
          <t>N/A</t>
        </is>
      </c>
      <c r="K2508" t="inlineStr">
        <is>
          <t>7995 Green Net Eco Ltd 2</t>
        </is>
      </c>
      <c r="L2508" t="inlineStr">
        <is>
          <t>18/12/2025 08:40</t>
        </is>
      </c>
      <c r="M2508" t="inlineStr">
        <is>
          <t>None</t>
        </is>
      </c>
      <c r="N2508" t="inlineStr">
        <is>
          <t>&lt;p&gt;&lt;/p&gt;</t>
        </is>
      </c>
      <c r="O2508" t="inlineStr"/>
      <c r="P2508" t="inlineStr">
        <is>
          <t>LK15KRZ , 4x4 , Landrover , Defender</t>
        </is>
      </c>
      <c r="Q2508" t="inlineStr">
        <is>
          <t>UKPN</t>
        </is>
      </c>
      <c r="R2508" t="b">
        <v>0</v>
      </c>
    </row>
    <row r="2509">
      <c r="A2509" t="inlineStr">
        <is>
          <t>18 Dec 2025 / 7806 Optimum Tree Services Ltd 1 / Utilities / UKPN</t>
        </is>
      </c>
      <c r="B2509" t="inlineStr">
        <is>
          <t>Utilities</t>
        </is>
      </c>
      <c r="C2509" t="inlineStr">
        <is>
          <t>UKPN</t>
        </is>
      </c>
      <c r="D2509" t="inlineStr">
        <is>
          <t>Wd14evn , 4x4 , Landrover  , Defender</t>
        </is>
      </c>
      <c r="E2509" t="inlineStr">
        <is>
          <t>Wd14evn , 4x4 , Landrover  , Defender</t>
        </is>
      </c>
      <c r="F2509" t="inlineStr">
        <is>
          <t>Wd14evn , 4x4 , Landrover  , Defender</t>
        </is>
      </c>
      <c r="G2509" t="inlineStr">
        <is>
          <t xml:space="preserve">Kenny aldred </t>
        </is>
      </c>
      <c r="H2509" t="inlineStr">
        <is>
          <t>4x4</t>
        </is>
      </c>
      <c r="I2509" t="inlineStr">
        <is>
          <t>Daily/ Weekly Vehicle Inspection</t>
        </is>
      </c>
      <c r="J2509" t="inlineStr">
        <is>
          <t>N/A</t>
        </is>
      </c>
      <c r="K2509" t="inlineStr">
        <is>
          <t>7806 Optimum Tree Services Ltd 1</t>
        </is>
      </c>
      <c r="L2509" t="inlineStr">
        <is>
          <t>18/12/2025 08:41</t>
        </is>
      </c>
      <c r="M2509" t="inlineStr">
        <is>
          <t>None</t>
        </is>
      </c>
      <c r="N2509" t="inlineStr">
        <is>
          <t>&lt;p&gt;&lt;/p&gt;</t>
        </is>
      </c>
      <c r="O2509" t="inlineStr"/>
      <c r="P2509" t="inlineStr">
        <is>
          <t>Wd14evn , 4x4 , Landrover  , Defender</t>
        </is>
      </c>
      <c r="Q2509" t="inlineStr">
        <is>
          <t>UKPN</t>
        </is>
      </c>
      <c r="R2509" t="b">
        <v>0</v>
      </c>
    </row>
    <row r="2510">
      <c r="A2510" t="inlineStr">
        <is>
          <t>18 Dec 2025 / 7800 MAC Tree Surgery and Fencing Ltd / Utilities / UKPN</t>
        </is>
      </c>
      <c r="B2510" t="inlineStr">
        <is>
          <t>Utilities</t>
        </is>
      </c>
      <c r="C2510" t="inlineStr">
        <is>
          <t>UKPN</t>
        </is>
      </c>
      <c r="D2510" t="inlineStr">
        <is>
          <t>Plant Trailer - Towmate - 2.8t - 0</t>
        </is>
      </c>
      <c r="E2510" t="inlineStr">
        <is>
          <t>Plant Trailer - Towmate - 2.8t - 0</t>
        </is>
      </c>
      <c r="F2510" t="inlineStr">
        <is>
          <t>Plant Trailer - Towmate - 2.8t - 0</t>
        </is>
      </c>
      <c r="G2510" t="inlineStr">
        <is>
          <t xml:space="preserve">Patrick O'Shea </t>
        </is>
      </c>
      <c r="H2510" t="inlineStr">
        <is>
          <t>Plant Trailer</t>
        </is>
      </c>
      <c r="I2510" t="inlineStr">
        <is>
          <t>Daily/ Weekly Vehicle Inspection</t>
        </is>
      </c>
      <c r="J2510" t="inlineStr">
        <is>
          <t>N/A</t>
        </is>
      </c>
      <c r="K2510" t="inlineStr">
        <is>
          <t>7800 MAC Tree Surgery and Fencing Ltd</t>
        </is>
      </c>
      <c r="L2510" t="inlineStr">
        <is>
          <t>18/12/2025 08:41</t>
        </is>
      </c>
      <c r="M2510" t="inlineStr">
        <is>
          <t>None</t>
        </is>
      </c>
      <c r="N2510" t="inlineStr">
        <is>
          <t>&lt;p&gt;&lt;/p&gt;</t>
        </is>
      </c>
      <c r="O2510" t="inlineStr"/>
      <c r="P2510" t="inlineStr">
        <is>
          <t>Plant Trailer - Towmate - 2.8t - 0</t>
        </is>
      </c>
      <c r="Q2510" t="inlineStr">
        <is>
          <t>UKPN</t>
        </is>
      </c>
      <c r="R2510" t="b">
        <v>0</v>
      </c>
    </row>
    <row r="2511">
      <c r="A2511" t="inlineStr">
        <is>
          <t>18 Dec 2025 / 7800 MAC Tree Surgery and Fencing Ltd / Utilities / UKPN</t>
        </is>
      </c>
      <c r="B2511" t="inlineStr">
        <is>
          <t>Utilities</t>
        </is>
      </c>
      <c r="C2511" t="inlineStr">
        <is>
          <t>UKPN</t>
        </is>
      </c>
      <c r="D2511" t="inlineStr">
        <is>
          <t>AY68DAA , 4x4 , Izuzu , Dmax</t>
        </is>
      </c>
      <c r="E2511" t="inlineStr">
        <is>
          <t>AY68DAA , 4x4 , Izuzu , Dmax</t>
        </is>
      </c>
      <c r="F2511" t="inlineStr">
        <is>
          <t>AY68DAA , 4x4 , Izuzu , Dmax</t>
        </is>
      </c>
      <c r="G2511" t="inlineStr">
        <is>
          <t xml:space="preserve">Patrick O'Shea </t>
        </is>
      </c>
      <c r="H2511" t="inlineStr">
        <is>
          <t>4x4</t>
        </is>
      </c>
      <c r="I2511" t="inlineStr">
        <is>
          <t>Daily/ Weekly Vehicle Inspection</t>
        </is>
      </c>
      <c r="J2511" t="inlineStr">
        <is>
          <t>N/A</t>
        </is>
      </c>
      <c r="K2511" t="inlineStr">
        <is>
          <t>7800 MAC Tree Surgery and Fencing Ltd</t>
        </is>
      </c>
      <c r="L2511" t="inlineStr">
        <is>
          <t>18/12/2025 08:42</t>
        </is>
      </c>
      <c r="M2511" t="inlineStr">
        <is>
          <t>None</t>
        </is>
      </c>
      <c r="N2511" t="inlineStr">
        <is>
          <t>&lt;p&gt;&lt;/p&gt;</t>
        </is>
      </c>
      <c r="O2511" t="inlineStr"/>
      <c r="P2511" t="inlineStr">
        <is>
          <t>AY68DAA , 4x4 , Izuzu , Dmax</t>
        </is>
      </c>
      <c r="Q2511" t="inlineStr">
        <is>
          <t>UKPN</t>
        </is>
      </c>
      <c r="R2511" t="b">
        <v>0</v>
      </c>
    </row>
    <row r="2512">
      <c r="A2512" t="inlineStr">
        <is>
          <t>18 Dec 2025 / 7951 Austin Tree Care LTD / Utilities / UKPN</t>
        </is>
      </c>
      <c r="B2512" t="inlineStr">
        <is>
          <t>Utilities</t>
        </is>
      </c>
      <c r="C2512" t="inlineStr">
        <is>
          <t>UKPN</t>
        </is>
      </c>
      <c r="D2512" t="inlineStr"/>
      <c r="E2512" t="inlineStr"/>
      <c r="F2512" t="inlineStr"/>
      <c r="G2512" t="inlineStr">
        <is>
          <t xml:space="preserve">Jack Austin </t>
        </is>
      </c>
      <c r="H2512" t="inlineStr">
        <is>
          <t>Flat Bed Trailer</t>
        </is>
      </c>
      <c r="I2512" t="inlineStr">
        <is>
          <t>Daily/ Weekly Vehicle Inspection</t>
        </is>
      </c>
      <c r="J2512" t="inlineStr">
        <is>
          <t>N/A</t>
        </is>
      </c>
      <c r="K2512" t="inlineStr">
        <is>
          <t>7951 Austin Tree Care LTD</t>
        </is>
      </c>
      <c r="L2512" t="inlineStr">
        <is>
          <t>18/12/2025 08:42</t>
        </is>
      </c>
      <c r="M2512" t="inlineStr">
        <is>
          <t>None</t>
        </is>
      </c>
      <c r="N2512" t="inlineStr">
        <is>
          <t>&lt;p&gt;&lt;/p&gt;</t>
        </is>
      </c>
      <c r="O2512" t="inlineStr"/>
      <c r="P2512" t="inlineStr"/>
      <c r="Q2512" t="inlineStr">
        <is>
          <t>UKPN</t>
        </is>
      </c>
      <c r="R2512" t="b">
        <v>0</v>
      </c>
    </row>
    <row r="2513">
      <c r="A2513" t="inlineStr">
        <is>
          <t>18 Dec 2025 / 7951 Austin Tree Care LTD / Utilities / UKPN</t>
        </is>
      </c>
      <c r="B2513" t="inlineStr">
        <is>
          <t>Utilities</t>
        </is>
      </c>
      <c r="C2513" t="inlineStr">
        <is>
          <t>UKPN</t>
        </is>
      </c>
      <c r="D2513" t="inlineStr">
        <is>
          <t>WG64HTT , 4x4 , Land Rover , Defender 110</t>
        </is>
      </c>
      <c r="E2513" t="inlineStr">
        <is>
          <t>WG64HTT , 4x4 , Land Rover , Defender 110</t>
        </is>
      </c>
      <c r="F2513" t="inlineStr">
        <is>
          <t>WG64HTT , 4x4 , Land Rover , Defender 110</t>
        </is>
      </c>
      <c r="G2513" t="inlineStr">
        <is>
          <t xml:space="preserve">Jack Austin </t>
        </is>
      </c>
      <c r="H2513" t="inlineStr">
        <is>
          <t>4x4</t>
        </is>
      </c>
      <c r="I2513" t="inlineStr">
        <is>
          <t>Daily/ Weekly Vehicle Inspection</t>
        </is>
      </c>
      <c r="J2513" t="inlineStr">
        <is>
          <t>N/A</t>
        </is>
      </c>
      <c r="K2513" t="inlineStr">
        <is>
          <t>7951 Austin Tree Care LTD</t>
        </is>
      </c>
      <c r="L2513" t="inlineStr">
        <is>
          <t>18/12/2025 08:43</t>
        </is>
      </c>
      <c r="M2513" t="inlineStr">
        <is>
          <t>None</t>
        </is>
      </c>
      <c r="N2513" t="inlineStr">
        <is>
          <t>&lt;p&gt;&lt;/p&gt;</t>
        </is>
      </c>
      <c r="O2513" t="inlineStr"/>
      <c r="P2513" t="inlineStr">
        <is>
          <t>WG64HTT , 4x4 , Land Rover , Defender 110</t>
        </is>
      </c>
      <c r="Q2513" t="inlineStr">
        <is>
          <t>UKPN</t>
        </is>
      </c>
      <c r="R2513" t="b">
        <v>0</v>
      </c>
    </row>
    <row r="2514">
      <c r="A2514" t="inlineStr">
        <is>
          <t>18 Dec 2025 / 3098 D &amp; R Landscapes / Utilities / UKPN</t>
        </is>
      </c>
      <c r="B2514" t="inlineStr">
        <is>
          <t>Utilities</t>
        </is>
      </c>
      <c r="C2514" t="inlineStr">
        <is>
          <t>UKPN</t>
        </is>
      </c>
      <c r="D2514" t="inlineStr">
        <is>
          <t>BT20 GNZ , Vehicle , Nissan , Navara</t>
        </is>
      </c>
      <c r="E2514" t="inlineStr">
        <is>
          <t>BT20 GNZ , Vehicle , Nissan , Navara</t>
        </is>
      </c>
      <c r="F2514" t="inlineStr">
        <is>
          <t>BT20 GNZ , Vehicle , Nissan , Navara</t>
        </is>
      </c>
      <c r="G2514" t="inlineStr">
        <is>
          <t>Jason</t>
        </is>
      </c>
      <c r="H2514" t="inlineStr">
        <is>
          <t>Pickup Truck</t>
        </is>
      </c>
      <c r="I2514" t="inlineStr">
        <is>
          <t>Daily/ Weekly Vehicle Inspection</t>
        </is>
      </c>
      <c r="J2514" t="inlineStr">
        <is>
          <t>N/A</t>
        </is>
      </c>
      <c r="K2514" t="inlineStr">
        <is>
          <t>3098 D &amp; R Landscapes</t>
        </is>
      </c>
      <c r="L2514" t="inlineStr">
        <is>
          <t>18/12/2025 09:37</t>
        </is>
      </c>
      <c r="M2514" t="inlineStr">
        <is>
          <t>None</t>
        </is>
      </c>
      <c r="N2514" t="inlineStr">
        <is>
          <t>&lt;p&gt;&lt;/p&gt;</t>
        </is>
      </c>
      <c r="O2514" t="inlineStr"/>
      <c r="P2514" t="inlineStr">
        <is>
          <t>BT20 GNZ , Vehicle , Nissan , Navara</t>
        </is>
      </c>
      <c r="Q2514" t="inlineStr">
        <is>
          <t>UKPN</t>
        </is>
      </c>
      <c r="R2514" t="b">
        <v>0</v>
      </c>
    </row>
    <row r="2515">
      <c r="A2515" t="inlineStr">
        <is>
          <t>18 Dec 2025 / Ashley Taylor / Utilities / SSE</t>
        </is>
      </c>
      <c r="B2515" t="inlineStr">
        <is>
          <t>Utilities</t>
        </is>
      </c>
      <c r="C2515" t="inlineStr">
        <is>
          <t>SSE</t>
        </is>
      </c>
      <c r="D2515" t="inlineStr">
        <is>
          <t>AF22XLX , Car - Electric , Tesla , Model 3 Long Range AWD</t>
        </is>
      </c>
      <c r="E2515" t="inlineStr">
        <is>
          <t>AF22XLX , Car - Electric , Tesla , Model 3 Long Range AWD</t>
        </is>
      </c>
      <c r="F2515" t="inlineStr">
        <is>
          <t>AF22XLX , Car - Electric , Tesla , Model 3 Long Range AWD</t>
        </is>
      </c>
      <c r="G2515" t="inlineStr">
        <is>
          <t>Ashley Taylor</t>
        </is>
      </c>
      <c r="H2515" t="inlineStr">
        <is>
          <t>Car - Electric (GC Owned)</t>
        </is>
      </c>
      <c r="I2515" t="inlineStr">
        <is>
          <t>Monthly Vehicle Inspection</t>
        </is>
      </c>
      <c r="J2515" t="inlineStr">
        <is>
          <t>75538</t>
        </is>
      </c>
      <c r="K2515" t="inlineStr">
        <is>
          <t>Ashley Taylor</t>
        </is>
      </c>
      <c r="L2515" t="inlineStr">
        <is>
          <t>18/12/2025 10:39</t>
        </is>
      </c>
      <c r="M2515" t="inlineStr">
        <is>
          <t xml:space="preserve">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 Fail
</t>
        </is>
      </c>
      <c r="N2515" t="inlineStr">
        <is>
          <t>&lt;p&gt;&lt;/p&gt;</t>
        </is>
      </c>
      <c r="O2515" t="inlineStr"/>
      <c r="P2515" t="inlineStr">
        <is>
          <t>AF22XLX , Car - Electric , Tesla , Model 3 Long Range AWD</t>
        </is>
      </c>
      <c r="Q2515" t="inlineStr">
        <is>
          <t>SSE</t>
        </is>
      </c>
      <c r="R2515" t="b">
        <v>0</v>
      </c>
    </row>
    <row r="2516">
      <c r="A2516" t="inlineStr">
        <is>
          <t>18 Dec 2025 / Barry Bright / Utilities / UKPN</t>
        </is>
      </c>
      <c r="B2516" t="inlineStr">
        <is>
          <t>Utilities</t>
        </is>
      </c>
      <c r="C2516" t="inlineStr">
        <is>
          <t>UKPN</t>
        </is>
      </c>
      <c r="D2516" t="inlineStr">
        <is>
          <t>AK72YBM , Car - Electric , Tesla , Model Y Long Range</t>
        </is>
      </c>
      <c r="E2516" t="inlineStr">
        <is>
          <t>AK72YBM , Car - Electric , Tesla , Model Y Long Range</t>
        </is>
      </c>
      <c r="F2516" t="inlineStr">
        <is>
          <t>AK72YBM , Car - Electric , Tesla , Model Y Long Range</t>
        </is>
      </c>
      <c r="G2516" t="inlineStr">
        <is>
          <t>Barry Bright</t>
        </is>
      </c>
      <c r="H2516" t="inlineStr">
        <is>
          <t>Car - Electric (GC Owned)</t>
        </is>
      </c>
      <c r="I2516" t="inlineStr">
        <is>
          <t>Daily/ Weekly Vehicle Inspection</t>
        </is>
      </c>
      <c r="J2516" t="inlineStr">
        <is>
          <t>N/A</t>
        </is>
      </c>
      <c r="K2516" t="inlineStr">
        <is>
          <t>Barry Bright</t>
        </is>
      </c>
      <c r="L2516" t="inlineStr">
        <is>
          <t>18/12/2025 12:37</t>
        </is>
      </c>
      <c r="M2516" t="inlineStr">
        <is>
          <t>None</t>
        </is>
      </c>
      <c r="N2516" t="inlineStr">
        <is>
          <t>&lt;p&gt;&lt;/p&gt;</t>
        </is>
      </c>
      <c r="O2516" t="inlineStr"/>
      <c r="P2516" t="inlineStr">
        <is>
          <t>AK72YBM , Car - Electric , Tesla , Model Y Long Range</t>
        </is>
      </c>
      <c r="Q2516" t="inlineStr">
        <is>
          <t>UKPN</t>
        </is>
      </c>
      <c r="R2516" t="b">
        <v>0</v>
      </c>
    </row>
    <row r="2517">
      <c r="A2517" t="inlineStr">
        <is>
          <t>18 Dec 2025 / Harry Bellis / Utilities / SSE</t>
        </is>
      </c>
      <c r="B2517" t="inlineStr">
        <is>
          <t>Utilities</t>
        </is>
      </c>
      <c r="C2517" t="inlineStr">
        <is>
          <t>SSE</t>
        </is>
      </c>
      <c r="D2517" t="inlineStr">
        <is>
          <t>EO73KUG , Car - Electric , Kia , Niro</t>
        </is>
      </c>
      <c r="E2517" t="inlineStr">
        <is>
          <t>EO73KUG , Car - Electric , Kia , Niro</t>
        </is>
      </c>
      <c r="F2517" t="inlineStr">
        <is>
          <t>EO73KUG , Car - Electric , Kia , Niro</t>
        </is>
      </c>
      <c r="G2517" t="inlineStr">
        <is>
          <t>Harry Bellis</t>
        </is>
      </c>
      <c r="H2517" t="inlineStr">
        <is>
          <t>Car - Electric (GC Owned)</t>
        </is>
      </c>
      <c r="I2517" t="inlineStr">
        <is>
          <t>Daily/ Weekly Vehicle Inspection</t>
        </is>
      </c>
      <c r="J2517" t="inlineStr">
        <is>
          <t>N/A</t>
        </is>
      </c>
      <c r="K2517" t="inlineStr">
        <is>
          <t>Harry Bellis</t>
        </is>
      </c>
      <c r="L2517" t="inlineStr">
        <is>
          <t>18/12/2025 13:37</t>
        </is>
      </c>
      <c r="M2517" t="inlineStr">
        <is>
          <t>None</t>
        </is>
      </c>
      <c r="N2517" t="inlineStr">
        <is>
          <t>&lt;p&gt;&lt;/p&gt;</t>
        </is>
      </c>
      <c r="O2517" t="inlineStr"/>
      <c r="P2517" t="inlineStr">
        <is>
          <t>EO73KUG , Car - Electric , Kia , Niro</t>
        </is>
      </c>
      <c r="Q2517" t="inlineStr">
        <is>
          <t>SSE</t>
        </is>
      </c>
      <c r="R2517" t="b">
        <v>0</v>
      </c>
    </row>
    <row r="2518">
      <c r="A2518" t="inlineStr">
        <is>
          <t>18 Dec 2025 / Donovan Gosher / Utilities / NGED</t>
        </is>
      </c>
      <c r="B2518" t="inlineStr">
        <is>
          <t>Utilities</t>
        </is>
      </c>
      <c r="C2518" t="inlineStr">
        <is>
          <t>NGED</t>
        </is>
      </c>
      <c r="D2518" t="inlineStr">
        <is>
          <t>AJ72EWU , Car - Electric , Tesla , Model Y Long Range</t>
        </is>
      </c>
      <c r="E2518" t="inlineStr">
        <is>
          <t>AJ72EWU , Car - Electric , Tesla , Model Y Long Range</t>
        </is>
      </c>
      <c r="F2518" t="inlineStr">
        <is>
          <t>AJ72EWU , Car - Electric , Tesla , Model Y Long Range</t>
        </is>
      </c>
      <c r="G2518" t="inlineStr">
        <is>
          <t>Donovan Gosher</t>
        </is>
      </c>
      <c r="H2518" t="inlineStr">
        <is>
          <t>Car - Electric (GC Owned)</t>
        </is>
      </c>
      <c r="I2518" t="inlineStr">
        <is>
          <t>Daily/ Weekly Vehicle Inspection</t>
        </is>
      </c>
      <c r="J2518" t="inlineStr">
        <is>
          <t>N/A</t>
        </is>
      </c>
      <c r="K2518" t="inlineStr">
        <is>
          <t>Donovan Gosher</t>
        </is>
      </c>
      <c r="L2518" t="inlineStr">
        <is>
          <t>18/12/2025 15:37</t>
        </is>
      </c>
      <c r="M2518" t="inlineStr">
        <is>
          <t>None</t>
        </is>
      </c>
      <c r="N2518" t="inlineStr">
        <is>
          <t>&lt;p&gt;&lt;/p&gt;</t>
        </is>
      </c>
      <c r="O2518" t="inlineStr"/>
      <c r="P2518" t="inlineStr">
        <is>
          <t>AJ72EWU , Car - Electric , Tesla , Model Y Long Range</t>
        </is>
      </c>
      <c r="Q2518" t="inlineStr">
        <is>
          <t>NGED</t>
        </is>
      </c>
      <c r="R2518" t="b">
        <v>0</v>
      </c>
    </row>
    <row r="2519">
      <c r="A2519" t="inlineStr">
        <is>
          <t>18 Dec 2025 / Philip Shaw / Utilities / NGED</t>
        </is>
      </c>
      <c r="B2519" t="inlineStr">
        <is>
          <t>Utilities</t>
        </is>
      </c>
      <c r="C2519" t="inlineStr">
        <is>
          <t>NGED</t>
        </is>
      </c>
      <c r="D2519" t="inlineStr">
        <is>
          <t>AF22TZO , Car - Electric , Tesla , Model 3 Long Range AWD</t>
        </is>
      </c>
      <c r="E2519" t="inlineStr">
        <is>
          <t>AF22TZO , Car - Electric , Tesla , Model 3 Long Range AWD</t>
        </is>
      </c>
      <c r="F2519" t="inlineStr">
        <is>
          <t>AF22TZO , Car - Electric , Tesla , Model 3 Long Range AWD</t>
        </is>
      </c>
      <c r="G2519" t="inlineStr">
        <is>
          <t xml:space="preserve">Phil shaw </t>
        </is>
      </c>
      <c r="H2519" t="inlineStr">
        <is>
          <t>Car - Electric (GC Owned)</t>
        </is>
      </c>
      <c r="I2519" t="inlineStr">
        <is>
          <t>Daily/ Weekly Vehicle Inspection</t>
        </is>
      </c>
      <c r="J2519" t="inlineStr">
        <is>
          <t>N/A</t>
        </is>
      </c>
      <c r="K2519" t="inlineStr">
        <is>
          <t>Philip Shaw</t>
        </is>
      </c>
      <c r="L2519" t="inlineStr">
        <is>
          <t>18/12/2025 15:38</t>
        </is>
      </c>
      <c r="M2519" t="inlineStr">
        <is>
          <t>None</t>
        </is>
      </c>
      <c r="N2519" t="inlineStr">
        <is>
          <t>&lt;p&gt;&lt;/p&gt;</t>
        </is>
      </c>
      <c r="O2519" t="inlineStr"/>
      <c r="P2519" t="inlineStr">
        <is>
          <t>AF22TZO , Car - Electric , Tesla , Model 3 Long Range AWD</t>
        </is>
      </c>
      <c r="Q2519" t="inlineStr">
        <is>
          <t>NGED</t>
        </is>
      </c>
      <c r="R2519" t="b">
        <v>0</v>
      </c>
    </row>
    <row r="2520">
      <c r="A2520" t="inlineStr">
        <is>
          <t>18 Dec 2025 / Richard Moses / Utilities / NGED</t>
        </is>
      </c>
      <c r="B2520" t="inlineStr">
        <is>
          <t>Utilities</t>
        </is>
      </c>
      <c r="C2520" t="inlineStr">
        <is>
          <t>NGED</t>
        </is>
      </c>
      <c r="D2520" t="inlineStr">
        <is>
          <t>AK23YLM , Car - Electric , Tesla , Model Y Long Range</t>
        </is>
      </c>
      <c r="E2520" t="inlineStr">
        <is>
          <t>AK23YLM , Car - Electric , Tesla , Model Y Long Range</t>
        </is>
      </c>
      <c r="F2520" t="inlineStr">
        <is>
          <t>AK23YLM , Car - Electric , Tesla , Model Y Long Range</t>
        </is>
      </c>
      <c r="G2520" t="inlineStr">
        <is>
          <t>Moses</t>
        </is>
      </c>
      <c r="H2520" t="inlineStr">
        <is>
          <t>Car - Electric (GC Owned)</t>
        </is>
      </c>
      <c r="I2520" t="inlineStr">
        <is>
          <t>Daily/ Weekly Vehicle Inspection</t>
        </is>
      </c>
      <c r="J2520" t="inlineStr">
        <is>
          <t>N/A</t>
        </is>
      </c>
      <c r="K2520" t="inlineStr">
        <is>
          <t>Richard Moses</t>
        </is>
      </c>
      <c r="L2520" t="inlineStr">
        <is>
          <t>18/12/2025 15:38</t>
        </is>
      </c>
      <c r="M2520" t="inlineStr">
        <is>
          <t>None</t>
        </is>
      </c>
      <c r="N2520" t="inlineStr">
        <is>
          <t>&lt;p&gt;&lt;/p&gt;</t>
        </is>
      </c>
      <c r="O2520" t="inlineStr"/>
      <c r="P2520" t="inlineStr">
        <is>
          <t>AK23YLM , Car - Electric , Tesla , Model Y Long Range</t>
        </is>
      </c>
      <c r="Q2520" t="inlineStr">
        <is>
          <t>NGED</t>
        </is>
      </c>
      <c r="R2520" t="b">
        <v>0</v>
      </c>
    </row>
    <row r="2521">
      <c r="A2521" t="inlineStr">
        <is>
          <t>19 Dec 2025 / 7186 Eastwoodbury Tree Services Ltd / Utilities / UKPN</t>
        </is>
      </c>
      <c r="B2521" t="inlineStr">
        <is>
          <t>Utilities</t>
        </is>
      </c>
      <c r="C2521" t="inlineStr">
        <is>
          <t>UKPN</t>
        </is>
      </c>
      <c r="D2521" t="inlineStr">
        <is>
          <t>WF13 EKT , 4x4 , Land rover  , Defender</t>
        </is>
      </c>
      <c r="E2521" t="inlineStr">
        <is>
          <t>WF13 EKT , 4x4 , Land rover  , Defender</t>
        </is>
      </c>
      <c r="F2521" t="inlineStr">
        <is>
          <t>WF13 EKT , 4x4 , Land rover  , Defender</t>
        </is>
      </c>
      <c r="G2521" t="inlineStr">
        <is>
          <t>Dan</t>
        </is>
      </c>
      <c r="H2521" t="inlineStr">
        <is>
          <t>4x4</t>
        </is>
      </c>
      <c r="I2521" t="inlineStr">
        <is>
          <t>Daily/ Weekly Vehicle Inspection</t>
        </is>
      </c>
      <c r="J2521" t="inlineStr">
        <is>
          <t>N/A</t>
        </is>
      </c>
      <c r="K2521" t="inlineStr">
        <is>
          <t>7186 Eastwoodbury Tree Services Ltd</t>
        </is>
      </c>
      <c r="L2521" t="inlineStr">
        <is>
          <t>19/12/2025 07:38</t>
        </is>
      </c>
      <c r="M2521" t="inlineStr">
        <is>
          <t>None</t>
        </is>
      </c>
      <c r="N2521" t="inlineStr">
        <is>
          <t>&lt;p&gt;&lt;/p&gt;</t>
        </is>
      </c>
      <c r="O2521" t="inlineStr"/>
      <c r="P2521" t="inlineStr">
        <is>
          <t>WF13 EKT , 4x4 , Land rover  , Defender</t>
        </is>
      </c>
      <c r="Q2521" t="inlineStr">
        <is>
          <t>UKPN</t>
        </is>
      </c>
      <c r="R2521" t="b">
        <v>0</v>
      </c>
    </row>
    <row r="2522">
      <c r="A2522" t="inlineStr">
        <is>
          <t>19 Dec 2025 / 7951 Austin Tree Care LTD / Utilities / UKPN</t>
        </is>
      </c>
      <c r="B2522" t="inlineStr">
        <is>
          <t>Utilities</t>
        </is>
      </c>
      <c r="C2522" t="inlineStr">
        <is>
          <t>UKPN</t>
        </is>
      </c>
      <c r="D2522" t="inlineStr">
        <is>
          <t>WG64HTT , 4x4 , Land Rover , Defender 110</t>
        </is>
      </c>
      <c r="E2522" t="inlineStr">
        <is>
          <t>WG64HTT , 4x4 , Land Rover , Defender 110</t>
        </is>
      </c>
      <c r="F2522" t="inlineStr">
        <is>
          <t>WG64HTT , 4x4 , Land Rover , Defender 110</t>
        </is>
      </c>
      <c r="G2522" t="inlineStr">
        <is>
          <t xml:space="preserve">Jack Austin </t>
        </is>
      </c>
      <c r="H2522" t="inlineStr">
        <is>
          <t>4x4</t>
        </is>
      </c>
      <c r="I2522" t="inlineStr">
        <is>
          <t>Daily/ Weekly Vehicle Inspection</t>
        </is>
      </c>
      <c r="J2522" t="inlineStr">
        <is>
          <t>N/A</t>
        </is>
      </c>
      <c r="K2522" t="inlineStr">
        <is>
          <t>7951 Austin Tree Care LTD</t>
        </is>
      </c>
      <c r="L2522" t="inlineStr">
        <is>
          <t>19/12/2025 07:40</t>
        </is>
      </c>
      <c r="M2522" t="inlineStr">
        <is>
          <t>None</t>
        </is>
      </c>
      <c r="N2522" t="inlineStr">
        <is>
          <t>&lt;p&gt;&lt;/p&gt;</t>
        </is>
      </c>
      <c r="O2522" t="inlineStr"/>
      <c r="P2522" t="inlineStr">
        <is>
          <t>WG64HTT , 4x4 , Land Rover , Defender 110</t>
        </is>
      </c>
      <c r="Q2522" t="inlineStr">
        <is>
          <t>UKPN</t>
        </is>
      </c>
      <c r="R2522" t="b">
        <v>0</v>
      </c>
    </row>
    <row r="2523">
      <c r="A2523" t="inlineStr">
        <is>
          <t>19 Dec 2025 / 7186 Eastwoodbury Tree Services Ltd / Utilities / UKPN</t>
        </is>
      </c>
      <c r="B2523" t="inlineStr">
        <is>
          <t>Utilities</t>
        </is>
      </c>
      <c r="C2523" t="inlineStr">
        <is>
          <t>UKPN</t>
        </is>
      </c>
      <c r="D2523" t="inlineStr">
        <is>
          <t>FX14 XCV , 4x4 , Land Rover  , Defender</t>
        </is>
      </c>
      <c r="E2523" t="inlineStr">
        <is>
          <t>FX14 XCV , 4x4 , Land Rover  , Defender</t>
        </is>
      </c>
      <c r="F2523" t="inlineStr">
        <is>
          <t>FX14 XCV , 4x4 , Land Rover  , Defender</t>
        </is>
      </c>
      <c r="G2523" t="inlineStr">
        <is>
          <t>Jay</t>
        </is>
      </c>
      <c r="H2523" t="inlineStr">
        <is>
          <t>4x4</t>
        </is>
      </c>
      <c r="I2523" t="inlineStr">
        <is>
          <t>Daily/ Weekly Vehicle Inspection</t>
        </is>
      </c>
      <c r="J2523" t="inlineStr">
        <is>
          <t>N/A</t>
        </is>
      </c>
      <c r="K2523" t="inlineStr">
        <is>
          <t>7186 Eastwoodbury Tree Services Ltd</t>
        </is>
      </c>
      <c r="L2523" t="inlineStr">
        <is>
          <t>19/12/2025 07:40</t>
        </is>
      </c>
      <c r="M2523" t="inlineStr">
        <is>
          <t>None</t>
        </is>
      </c>
      <c r="N2523" t="inlineStr">
        <is>
          <t>&lt;p&gt;&lt;/p&gt;</t>
        </is>
      </c>
      <c r="O2523" t="inlineStr"/>
      <c r="P2523" t="inlineStr">
        <is>
          <t>FX14 XCV , 4x4 , Land Rover  , Defender</t>
        </is>
      </c>
      <c r="Q2523" t="inlineStr">
        <is>
          <t>UKPN</t>
        </is>
      </c>
      <c r="R2523" t="b">
        <v>0</v>
      </c>
    </row>
    <row r="2524">
      <c r="A2524" t="inlineStr">
        <is>
          <t>19 Dec 2025 / 7951 Austin Tree Care LTD / Utilities / UKPN</t>
        </is>
      </c>
      <c r="B2524" t="inlineStr">
        <is>
          <t>Utilities</t>
        </is>
      </c>
      <c r="C2524" t="inlineStr">
        <is>
          <t>UKPN</t>
        </is>
      </c>
      <c r="D2524" t="inlineStr"/>
      <c r="E2524" t="inlineStr"/>
      <c r="F2524" t="inlineStr"/>
      <c r="G2524" t="inlineStr">
        <is>
          <t xml:space="preserve">Jack Austin </t>
        </is>
      </c>
      <c r="H2524" t="inlineStr">
        <is>
          <t>Flat Bed Trailer</t>
        </is>
      </c>
      <c r="I2524" t="inlineStr">
        <is>
          <t>Daily/ Weekly Vehicle Inspection</t>
        </is>
      </c>
      <c r="J2524" t="inlineStr">
        <is>
          <t>N/A</t>
        </is>
      </c>
      <c r="K2524" t="inlineStr">
        <is>
          <t>7951 Austin Tree Care LTD</t>
        </is>
      </c>
      <c r="L2524" t="inlineStr">
        <is>
          <t>19/12/2025 07:41</t>
        </is>
      </c>
      <c r="M2524" t="inlineStr">
        <is>
          <t>None</t>
        </is>
      </c>
      <c r="N2524" t="inlineStr">
        <is>
          <t>&lt;p&gt;&lt;/p&gt;</t>
        </is>
      </c>
      <c r="O2524" t="inlineStr"/>
      <c r="P2524" t="inlineStr"/>
      <c r="Q2524" t="inlineStr">
        <is>
          <t>UKPN</t>
        </is>
      </c>
      <c r="R2524" t="b">
        <v>0</v>
      </c>
    </row>
    <row r="2525">
      <c r="A2525" t="inlineStr">
        <is>
          <t>19 Dec 2025 / Anthony Gale / Utilities / UKPN</t>
        </is>
      </c>
      <c r="B2525" t="inlineStr">
        <is>
          <t>Utilities</t>
        </is>
      </c>
      <c r="C2525" t="inlineStr">
        <is>
          <t>UKPN</t>
        </is>
      </c>
      <c r="D2525" t="inlineStr"/>
      <c r="E2525" t="inlineStr"/>
      <c r="F2525" t="inlineStr"/>
      <c r="G2525" t="inlineStr">
        <is>
          <t>Anthony Gale</t>
        </is>
      </c>
      <c r="H2525" t="inlineStr">
        <is>
          <t>Towed Chipper</t>
        </is>
      </c>
      <c r="I2525" t="inlineStr">
        <is>
          <t>Daily/ Weekly Vehicle Inspection</t>
        </is>
      </c>
      <c r="J2525" t="inlineStr">
        <is>
          <t>N/A</t>
        </is>
      </c>
      <c r="K2525" t="inlineStr">
        <is>
          <t>7996 M G Tree Surgery Ltd 1</t>
        </is>
      </c>
      <c r="L2525" t="inlineStr">
        <is>
          <t>19/12/2025 07:43</t>
        </is>
      </c>
      <c r="M2525" t="inlineStr">
        <is>
          <t>None</t>
        </is>
      </c>
      <c r="N2525" t="inlineStr">
        <is>
          <t>&lt;p&gt;&lt;/p&gt;</t>
        </is>
      </c>
      <c r="O2525" t="inlineStr"/>
      <c r="P2525" t="inlineStr"/>
      <c r="Q2525" t="inlineStr">
        <is>
          <t>UKPN</t>
        </is>
      </c>
      <c r="R2525" t="b">
        <v>0</v>
      </c>
    </row>
    <row r="2526">
      <c r="A2526" t="inlineStr">
        <is>
          <t>19 Dec 2025 / Anthony Gale / Utilities / UKPN</t>
        </is>
      </c>
      <c r="B2526" t="inlineStr">
        <is>
          <t>Utilities</t>
        </is>
      </c>
      <c r="C2526" t="inlineStr">
        <is>
          <t>UKPN</t>
        </is>
      </c>
      <c r="D2526" t="inlineStr">
        <is>
          <t>GU13 WNL , MEWP , Land Rover , Defender 130</t>
        </is>
      </c>
      <c r="E2526" t="inlineStr">
        <is>
          <t>GU13 WNL , MEWP , Land Rover , Defender 130</t>
        </is>
      </c>
      <c r="F2526" t="inlineStr">
        <is>
          <t>GU13 WNL , MEWP , Land Rover , Defender 130</t>
        </is>
      </c>
      <c r="G2526" t="inlineStr">
        <is>
          <t>Anthony Gale</t>
        </is>
      </c>
      <c r="H2526" t="inlineStr">
        <is>
          <t>4x4</t>
        </is>
      </c>
      <c r="I2526" t="inlineStr">
        <is>
          <t>Daily/ Weekly Vehicle Inspection</t>
        </is>
      </c>
      <c r="J2526" t="inlineStr">
        <is>
          <t>N/A</t>
        </is>
      </c>
      <c r="K2526" t="inlineStr">
        <is>
          <t>7996 M G Tree Surgery Ltd 1</t>
        </is>
      </c>
      <c r="L2526" t="inlineStr">
        <is>
          <t>19/12/2025 07:43</t>
        </is>
      </c>
      <c r="M2526" t="inlineStr">
        <is>
          <t>None</t>
        </is>
      </c>
      <c r="N2526" t="inlineStr">
        <is>
          <t>&lt;p&gt;&lt;/p&gt;</t>
        </is>
      </c>
      <c r="O2526" t="inlineStr"/>
      <c r="P2526" t="inlineStr">
        <is>
          <t>GU13 WNL , MEWP , Land Rover , Defender 130</t>
        </is>
      </c>
      <c r="Q2526" t="inlineStr">
        <is>
          <t>UKPN</t>
        </is>
      </c>
      <c r="R2526" t="b">
        <v>0</v>
      </c>
    </row>
    <row r="2527">
      <c r="A2527" t="inlineStr">
        <is>
          <t>12 Dec 2025 / Anthony Gale / Utilities / UKPN</t>
        </is>
      </c>
      <c r="B2527" t="inlineStr">
        <is>
          <t>Utilities</t>
        </is>
      </c>
      <c r="C2527" t="inlineStr">
        <is>
          <t>UKPN</t>
        </is>
      </c>
      <c r="D2527" t="inlineStr">
        <is>
          <t>KX20 BCE , Tipper , Isuzu , D-Max</t>
        </is>
      </c>
      <c r="E2527" t="inlineStr">
        <is>
          <t>KX20 BCE , Tipper , Isuzu , D-Max</t>
        </is>
      </c>
      <c r="F2527" t="inlineStr">
        <is>
          <t>KX20 BCE , Tipper , Isuzu , D-Max</t>
        </is>
      </c>
      <c r="G2527" t="inlineStr">
        <is>
          <t>Anthony Gale</t>
        </is>
      </c>
      <c r="H2527" t="inlineStr">
        <is>
          <t>Pickup Truck</t>
        </is>
      </c>
      <c r="I2527" t="inlineStr">
        <is>
          <t>Daily/ Weekly Vehicle Inspection</t>
        </is>
      </c>
      <c r="J2527" t="inlineStr">
        <is>
          <t>N/A</t>
        </is>
      </c>
      <c r="K2527" t="inlineStr">
        <is>
          <t>7996 M G Tree Surgery Ltd 1</t>
        </is>
      </c>
      <c r="L2527" t="inlineStr">
        <is>
          <t>19/12/2025 07:44</t>
        </is>
      </c>
      <c r="M2527" t="inlineStr">
        <is>
          <t>None</t>
        </is>
      </c>
      <c r="N2527" t="inlineStr">
        <is>
          <t>&lt;p&gt;&lt;/p&gt;</t>
        </is>
      </c>
      <c r="O2527" t="inlineStr">
        <is>
          <t>Confirm that you have checked this vehicle as per the guidance document and the vehicle is safe and roadworthy:Light board deteriorating. Ok for now but will need replacing soon.
-</t>
        </is>
      </c>
      <c r="P2527" t="inlineStr">
        <is>
          <t>KX20 BCE , Tipper , Isuzu , D-Max</t>
        </is>
      </c>
      <c r="Q2527" t="inlineStr">
        <is>
          <t>UKPN</t>
        </is>
      </c>
      <c r="R2527" t="b">
        <v>0</v>
      </c>
    </row>
    <row r="2528">
      <c r="A2528" t="inlineStr">
        <is>
          <t>19 Dec 2025 / Thomas Playford / Utilities / UKPN</t>
        </is>
      </c>
      <c r="B2528" t="inlineStr">
        <is>
          <t>Utilities</t>
        </is>
      </c>
      <c r="C2528" t="inlineStr">
        <is>
          <t>UKPN</t>
        </is>
      </c>
      <c r="D2528" t="inlineStr">
        <is>
          <t>SA9ST800000283944 , Tow Chipper , Forst , ST8D - Towed</t>
        </is>
      </c>
      <c r="E2528" t="inlineStr">
        <is>
          <t>SA9ST800000283944 , Tow Chipper , Forst , ST8D - Towed</t>
        </is>
      </c>
      <c r="F2528" t="inlineStr">
        <is>
          <t>SA9ST800000283944 , Tow Chipper , Forst , ST8D - Towed</t>
        </is>
      </c>
      <c r="G2528" t="inlineStr">
        <is>
          <t>Thomas Playford</t>
        </is>
      </c>
      <c r="H2528" t="inlineStr">
        <is>
          <t>Towed Chipper</t>
        </is>
      </c>
      <c r="I2528" t="inlineStr">
        <is>
          <t>Daily/ Weekly Vehicle Inspection</t>
        </is>
      </c>
      <c r="J2528" t="inlineStr">
        <is>
          <t>N/A</t>
        </is>
      </c>
      <c r="K2528" t="inlineStr">
        <is>
          <t>7995 Green Net Eco Ltd 2</t>
        </is>
      </c>
      <c r="L2528" t="inlineStr">
        <is>
          <t>19/12/2025 08:38</t>
        </is>
      </c>
      <c r="M2528" t="inlineStr">
        <is>
          <t>None</t>
        </is>
      </c>
      <c r="N2528" t="inlineStr">
        <is>
          <t>&lt;p&gt;&lt;/p&gt;</t>
        </is>
      </c>
      <c r="O2528" t="inlineStr"/>
      <c r="P2528" t="inlineStr">
        <is>
          <t>SA9ST800000283944 , Tow Chipper , Forst , ST8D - Towed</t>
        </is>
      </c>
      <c r="Q2528" t="inlineStr">
        <is>
          <t>UKPN</t>
        </is>
      </c>
      <c r="R2528" t="b">
        <v>0</v>
      </c>
    </row>
    <row r="2529">
      <c r="A2529" t="inlineStr">
        <is>
          <t>19 Dec 2025 / Thomas Playford / Utilities / UKPN</t>
        </is>
      </c>
      <c r="B2529" t="inlineStr">
        <is>
          <t>Utilities</t>
        </is>
      </c>
      <c r="C2529" t="inlineStr">
        <is>
          <t>UKPN</t>
        </is>
      </c>
      <c r="D2529" t="inlineStr">
        <is>
          <t>LK15KRZ , 4x4 , Landrover , Defender</t>
        </is>
      </c>
      <c r="E2529" t="inlineStr">
        <is>
          <t>LK15KRZ , 4x4 , Landrover , Defender</t>
        </is>
      </c>
      <c r="F2529" t="inlineStr">
        <is>
          <t>LK15KRZ , 4x4 , Landrover , Defender</t>
        </is>
      </c>
      <c r="G2529" t="inlineStr">
        <is>
          <t xml:space="preserve">Thomas Playford </t>
        </is>
      </c>
      <c r="H2529" t="inlineStr">
        <is>
          <t>4x4</t>
        </is>
      </c>
      <c r="I2529" t="inlineStr">
        <is>
          <t>Daily/ Weekly Vehicle Inspection</t>
        </is>
      </c>
      <c r="J2529" t="inlineStr">
        <is>
          <t>N/A</t>
        </is>
      </c>
      <c r="K2529" t="inlineStr">
        <is>
          <t>7995 Green Net Eco Ltd 2</t>
        </is>
      </c>
      <c r="L2529" t="inlineStr">
        <is>
          <t>19/12/2025 08:38</t>
        </is>
      </c>
      <c r="M2529" t="inlineStr">
        <is>
          <t>None</t>
        </is>
      </c>
      <c r="N2529" t="inlineStr">
        <is>
          <t>&lt;p&gt;&lt;/p&gt;</t>
        </is>
      </c>
      <c r="O2529" t="inlineStr"/>
      <c r="P2529" t="inlineStr">
        <is>
          <t>LK15KRZ , 4x4 , Landrover , Defender</t>
        </is>
      </c>
      <c r="Q2529" t="inlineStr">
        <is>
          <t>UKPN</t>
        </is>
      </c>
      <c r="R2529" t="b">
        <v>0</v>
      </c>
    </row>
    <row r="2530">
      <c r="A2530" t="inlineStr">
        <is>
          <t>19 Dec 2025 / Thomas Playford / Utilities / UKPN</t>
        </is>
      </c>
      <c r="B2530" t="inlineStr">
        <is>
          <t>Utilities</t>
        </is>
      </c>
      <c r="C2530" t="inlineStr">
        <is>
          <t>UKPN</t>
        </is>
      </c>
      <c r="D2530" t="inlineStr">
        <is>
          <t>SA9ST800000283944 , Tow Chipper , Forst , ST8D - Towed</t>
        </is>
      </c>
      <c r="E2530" t="inlineStr">
        <is>
          <t>SA9ST800000283944 , Tow Chipper , Forst , ST8D - Towed</t>
        </is>
      </c>
      <c r="F2530" t="inlineStr">
        <is>
          <t>SA9ST800000283944 , Tow Chipper , Forst , ST8D - Towed</t>
        </is>
      </c>
      <c r="G2530" t="inlineStr">
        <is>
          <t>Thomas Playford</t>
        </is>
      </c>
      <c r="H2530" t="inlineStr">
        <is>
          <t>Towed Chipper</t>
        </is>
      </c>
      <c r="I2530" t="inlineStr">
        <is>
          <t>Daily/ Weekly Vehicle Inspection</t>
        </is>
      </c>
      <c r="J2530" t="inlineStr">
        <is>
          <t>N/A</t>
        </is>
      </c>
      <c r="K2530" t="inlineStr">
        <is>
          <t>7995 Green Net Eco Ltd 2</t>
        </is>
      </c>
      <c r="L2530" t="inlineStr">
        <is>
          <t>19/12/2025 09:38</t>
        </is>
      </c>
      <c r="M2530" t="inlineStr">
        <is>
          <t>None</t>
        </is>
      </c>
      <c r="N2530" t="inlineStr">
        <is>
          <t>&lt;p&gt;&lt;/p&gt;</t>
        </is>
      </c>
      <c r="O2530" t="inlineStr"/>
      <c r="P2530" t="inlineStr">
        <is>
          <t>SA9ST800000283944 , Tow Chipper , Forst , ST8D - Towed</t>
        </is>
      </c>
      <c r="Q2530" t="inlineStr">
        <is>
          <t>UKPN</t>
        </is>
      </c>
      <c r="R2530" t="b">
        <v>0</v>
      </c>
    </row>
    <row r="2531">
      <c r="A2531" t="inlineStr">
        <is>
          <t>18 Dec 2025 / Jane Moore / Utilities / NGED</t>
        </is>
      </c>
      <c r="B2531" t="inlineStr">
        <is>
          <t>Utilities</t>
        </is>
      </c>
      <c r="C2531" t="inlineStr">
        <is>
          <t>NGED</t>
        </is>
      </c>
      <c r="D2531" t="inlineStr">
        <is>
          <t>GL20TGZ , Car - Electric , Tesla , Model 3 Long Range AWD</t>
        </is>
      </c>
      <c r="E2531" t="inlineStr">
        <is>
          <t>GL20TGZ , Car - Electric , Tesla , Model 3 Long Range AWD</t>
        </is>
      </c>
      <c r="F2531" t="inlineStr">
        <is>
          <t>GL20TGZ , Car - Electric , Tesla , Model 3 Long Range AWD</t>
        </is>
      </c>
      <c r="G2531" t="inlineStr">
        <is>
          <t xml:space="preserve">Jane Moore </t>
        </is>
      </c>
      <c r="H2531" t="inlineStr">
        <is>
          <t>Car - Electric (GC Owned)</t>
        </is>
      </c>
      <c r="I2531" t="inlineStr">
        <is>
          <t>Daily/ Weekly Vehicle Inspection</t>
        </is>
      </c>
      <c r="J2531" t="inlineStr">
        <is>
          <t>N/A</t>
        </is>
      </c>
      <c r="K2531" t="inlineStr">
        <is>
          <t>Jane Moore</t>
        </is>
      </c>
      <c r="L2531" t="inlineStr">
        <is>
          <t>19/12/2025 11:38</t>
        </is>
      </c>
      <c r="M2531" t="inlineStr">
        <is>
          <t>None</t>
        </is>
      </c>
      <c r="N2531" t="inlineStr">
        <is>
          <t>&lt;p&gt;&lt;/p&gt;</t>
        </is>
      </c>
      <c r="O2531" t="inlineStr"/>
      <c r="P2531" t="inlineStr">
        <is>
          <t>GL20TGZ , Car - Electric , Tesla , Model 3 Long Range AWD</t>
        </is>
      </c>
      <c r="Q2531" t="inlineStr">
        <is>
          <t>NGED</t>
        </is>
      </c>
      <c r="R2531" t="b">
        <v>0</v>
      </c>
    </row>
    <row r="2532">
      <c r="A2532" t="inlineStr">
        <is>
          <t>19 Dec 2025 / Thomas Playford / Utilities / UKPN</t>
        </is>
      </c>
      <c r="B2532" t="inlineStr">
        <is>
          <t>Utilities</t>
        </is>
      </c>
      <c r="C2532" t="inlineStr">
        <is>
          <t>UKPN</t>
        </is>
      </c>
      <c r="D2532" t="inlineStr">
        <is>
          <t>SA9ST800000283944 , Tow Chipper , Forst , ST8D - Towed</t>
        </is>
      </c>
      <c r="E2532" t="inlineStr">
        <is>
          <t>SA9ST800000283944 , Tow Chipper , Forst , ST8D - Towed</t>
        </is>
      </c>
      <c r="F2532" t="inlineStr">
        <is>
          <t>SA9ST800000283944 , Tow Chipper , Forst , ST8D - Towed</t>
        </is>
      </c>
      <c r="G2532" t="inlineStr">
        <is>
          <t>Thomas Playford</t>
        </is>
      </c>
      <c r="H2532" t="inlineStr">
        <is>
          <t>Towed Chipper</t>
        </is>
      </c>
      <c r="I2532" t="inlineStr">
        <is>
          <t>Daily/ Weekly Vehicle Inspection</t>
        </is>
      </c>
      <c r="J2532" t="inlineStr">
        <is>
          <t>N/A</t>
        </is>
      </c>
      <c r="K2532" t="inlineStr">
        <is>
          <t>7995 Green Net Eco Ltd 2</t>
        </is>
      </c>
      <c r="L2532" t="inlineStr">
        <is>
          <t>21/12/2025 03:37</t>
        </is>
      </c>
      <c r="M2532" t="inlineStr">
        <is>
          <t>None</t>
        </is>
      </c>
      <c r="N2532" t="inlineStr">
        <is>
          <t>&lt;p&gt;&lt;/p&gt;</t>
        </is>
      </c>
      <c r="O2532" t="inlineStr"/>
      <c r="P2532" t="inlineStr">
        <is>
          <t>SA9ST800000283944 , Tow Chipper , Forst , ST8D - Towed</t>
        </is>
      </c>
      <c r="Q2532" t="inlineStr">
        <is>
          <t>UKPN</t>
        </is>
      </c>
      <c r="R2532" t="b">
        <v>0</v>
      </c>
    </row>
    <row r="2533">
      <c r="A2533" t="inlineStr">
        <is>
          <t>22 Dec 2025 / Thomas Playford / Utilities / UKPN</t>
        </is>
      </c>
      <c r="B2533" t="inlineStr">
        <is>
          <t>Utilities</t>
        </is>
      </c>
      <c r="C2533" t="inlineStr">
        <is>
          <t>UKPN</t>
        </is>
      </c>
      <c r="D2533" t="inlineStr">
        <is>
          <t>LK15KRZ , 4x4 , Landrover , Defender</t>
        </is>
      </c>
      <c r="E2533" t="inlineStr">
        <is>
          <t>LK15KRZ , 4x4 , Landrover , Defender</t>
        </is>
      </c>
      <c r="F2533" t="inlineStr">
        <is>
          <t>LK15KRZ , 4x4 , Landrover , Defender</t>
        </is>
      </c>
      <c r="G2533" t="inlineStr">
        <is>
          <t>Thomas Playford</t>
        </is>
      </c>
      <c r="H2533" t="inlineStr">
        <is>
          <t>4x4</t>
        </is>
      </c>
      <c r="I2533" t="inlineStr">
        <is>
          <t>Daily/ Weekly Vehicle Inspection</t>
        </is>
      </c>
      <c r="J2533" t="inlineStr">
        <is>
          <t>N/A</t>
        </is>
      </c>
      <c r="K2533" t="inlineStr">
        <is>
          <t>7995 Green Net Eco Ltd 2</t>
        </is>
      </c>
      <c r="L2533" t="inlineStr">
        <is>
          <t>22/12/2025 07:38</t>
        </is>
      </c>
      <c r="M2533" t="inlineStr">
        <is>
          <t>None</t>
        </is>
      </c>
      <c r="N2533" t="inlineStr">
        <is>
          <t>&lt;p&gt;&lt;/p&gt;</t>
        </is>
      </c>
      <c r="O2533" t="inlineStr"/>
      <c r="P2533" t="inlineStr">
        <is>
          <t>LK15KRZ , 4x4 , Landrover , Defender</t>
        </is>
      </c>
      <c r="Q2533" t="inlineStr">
        <is>
          <t>UKPN</t>
        </is>
      </c>
      <c r="R2533" t="b">
        <v>0</v>
      </c>
    </row>
    <row r="2534">
      <c r="A2534" t="inlineStr">
        <is>
          <t>22 Dec 2025 / Anthony Gale / Utilities / UKPN</t>
        </is>
      </c>
      <c r="B2534" t="inlineStr">
        <is>
          <t>Utilities</t>
        </is>
      </c>
      <c r="C2534" t="inlineStr">
        <is>
          <t>UKPN</t>
        </is>
      </c>
      <c r="D2534" t="inlineStr">
        <is>
          <t>KX20 BCE , Tipper , Isuzu , D-Max</t>
        </is>
      </c>
      <c r="E2534" t="inlineStr">
        <is>
          <t>KX20 BCE , Tipper , Isuzu , D-Max</t>
        </is>
      </c>
      <c r="F2534" t="inlineStr">
        <is>
          <t>KX20 BCE , Tipper , Isuzu , D-Max</t>
        </is>
      </c>
      <c r="G2534" t="inlineStr">
        <is>
          <t>Anthony Gale</t>
        </is>
      </c>
      <c r="H2534" t="inlineStr">
        <is>
          <t>Pickup Truck</t>
        </is>
      </c>
      <c r="I2534" t="inlineStr">
        <is>
          <t>Daily/ Weekly Vehicle Inspection</t>
        </is>
      </c>
      <c r="J2534" t="inlineStr">
        <is>
          <t>N/A</t>
        </is>
      </c>
      <c r="K2534" t="inlineStr">
        <is>
          <t>7996 M G Tree Surgery Ltd 1</t>
        </is>
      </c>
      <c r="L2534" t="inlineStr">
        <is>
          <t>22/12/2025 07:39</t>
        </is>
      </c>
      <c r="M2534" t="inlineStr">
        <is>
          <t>None</t>
        </is>
      </c>
      <c r="N2534" t="inlineStr">
        <is>
          <t>&lt;p&gt;&lt;/p&gt;</t>
        </is>
      </c>
      <c r="O2534" t="inlineStr">
        <is>
          <t>Confirm that you have checked this vehicle as per the guidance document and the vehicle is safe and roadworthy:Light board deteriorating.
Will need replacing soon.
-</t>
        </is>
      </c>
      <c r="P2534" t="inlineStr">
        <is>
          <t>KX20 BCE , Tipper , Isuzu , D-Max</t>
        </is>
      </c>
      <c r="Q2534" t="inlineStr">
        <is>
          <t>UKPN</t>
        </is>
      </c>
      <c r="R2534" t="b">
        <v>0</v>
      </c>
    </row>
    <row r="2535">
      <c r="A2535" t="inlineStr">
        <is>
          <t>22 Dec 2025 / 7186 Eastwoodbury Tree Services Ltd / Utilities / UKPN</t>
        </is>
      </c>
      <c r="B2535" t="inlineStr">
        <is>
          <t>Utilities</t>
        </is>
      </c>
      <c r="C2535" t="inlineStr">
        <is>
          <t>UKPN</t>
        </is>
      </c>
      <c r="D2535" t="inlineStr">
        <is>
          <t>FX14 XCV , 4x4 , Land Rover  , Defender</t>
        </is>
      </c>
      <c r="E2535" t="inlineStr">
        <is>
          <t>FX14 XCV , 4x4 , Land Rover  , Defender</t>
        </is>
      </c>
      <c r="F2535" t="inlineStr">
        <is>
          <t>FX14 XCV , 4x4 , Land Rover  , Defender</t>
        </is>
      </c>
      <c r="G2535" t="inlineStr">
        <is>
          <t xml:space="preserve">Jay Denkmayer </t>
        </is>
      </c>
      <c r="H2535" t="inlineStr">
        <is>
          <t>4x4</t>
        </is>
      </c>
      <c r="I2535" t="inlineStr">
        <is>
          <t>Daily/ Weekly Vehicle Inspection</t>
        </is>
      </c>
      <c r="J2535" t="inlineStr">
        <is>
          <t>N/A</t>
        </is>
      </c>
      <c r="K2535" t="inlineStr">
        <is>
          <t>7186 Eastwoodbury Tree Services Ltd</t>
        </is>
      </c>
      <c r="L2535" t="inlineStr">
        <is>
          <t>22/12/2025 08:45</t>
        </is>
      </c>
      <c r="M2535" t="inlineStr">
        <is>
          <t>None</t>
        </is>
      </c>
      <c r="N2535" t="inlineStr">
        <is>
          <t>&lt;p&gt;&lt;/p&gt;</t>
        </is>
      </c>
      <c r="O2535" t="inlineStr"/>
      <c r="P2535" t="inlineStr">
        <is>
          <t>FX14 XCV , 4x4 , Land Rover  , Defender</t>
        </is>
      </c>
      <c r="Q2535" t="inlineStr">
        <is>
          <t>UKPN</t>
        </is>
      </c>
      <c r="R2535" t="b">
        <v>0</v>
      </c>
    </row>
    <row r="2536">
      <c r="A2536" t="inlineStr">
        <is>
          <t>22 Dec 2025 / Joe Sauvage / Utilities / SSE</t>
        </is>
      </c>
      <c r="B2536" t="inlineStr">
        <is>
          <t>Utilities</t>
        </is>
      </c>
      <c r="C2536" t="inlineStr">
        <is>
          <t>SSE</t>
        </is>
      </c>
      <c r="D2536" t="inlineStr">
        <is>
          <t>EO18AEW , Car - Petrol , Ford , Kuga</t>
        </is>
      </c>
      <c r="E2536" t="inlineStr">
        <is>
          <t>EO18AEW , Car - Petrol , Ford , Kuga</t>
        </is>
      </c>
      <c r="F2536" t="inlineStr">
        <is>
          <t>EO18AEW , Car - Petrol , Ford , Kuga</t>
        </is>
      </c>
      <c r="G2536" t="inlineStr">
        <is>
          <t>Joe sauvage</t>
        </is>
      </c>
      <c r="H2536" t="inlineStr">
        <is>
          <t>Car - Diesel</t>
        </is>
      </c>
      <c r="I2536" t="inlineStr">
        <is>
          <t>Daily/ Weekly Vehicle Inspection</t>
        </is>
      </c>
      <c r="J2536" t="inlineStr">
        <is>
          <t>N/A</t>
        </is>
      </c>
      <c r="K2536" t="inlineStr">
        <is>
          <t>Joe Sauvage</t>
        </is>
      </c>
      <c r="L2536" t="inlineStr">
        <is>
          <t>22/12/2025 09:38</t>
        </is>
      </c>
      <c r="M2536" t="inlineStr">
        <is>
          <t>None</t>
        </is>
      </c>
      <c r="N2536" t="inlineStr">
        <is>
          <t>&lt;p&gt;&lt;/p&gt;</t>
        </is>
      </c>
      <c r="O2536" t="inlineStr"/>
      <c r="P2536" t="inlineStr">
        <is>
          <t>EO18AEW , Car - Petrol , Ford , Kuga</t>
        </is>
      </c>
      <c r="Q2536" t="inlineStr">
        <is>
          <t>SSE</t>
        </is>
      </c>
      <c r="R2536" t="b">
        <v>0</v>
      </c>
    </row>
    <row r="2537">
      <c r="A2537" t="inlineStr">
        <is>
          <t>22 Dec 2025 / Thomas Playford / Utilities / UKPN</t>
        </is>
      </c>
      <c r="B2537" t="inlineStr">
        <is>
          <t>Utilities</t>
        </is>
      </c>
      <c r="C2537" t="inlineStr">
        <is>
          <t>UKPN</t>
        </is>
      </c>
      <c r="D2537" t="inlineStr"/>
      <c r="E2537" t="inlineStr"/>
      <c r="F2537" t="inlineStr"/>
      <c r="G2537" t="inlineStr"/>
      <c r="H2537" t="inlineStr"/>
      <c r="I2537" t="inlineStr">
        <is>
          <t>Add to Vehicle to the GC Vehicle List</t>
        </is>
      </c>
      <c r="J2537" t="inlineStr">
        <is>
          <t>N/A</t>
        </is>
      </c>
      <c r="K2537" t="inlineStr">
        <is>
          <t>7995 Green Net Eco Ltd 2</t>
        </is>
      </c>
      <c r="L2537" t="inlineStr">
        <is>
          <t>22/12/2025 09:44</t>
        </is>
      </c>
      <c r="M2537" t="inlineStr">
        <is>
          <t>None</t>
        </is>
      </c>
      <c r="N2537" t="inlineStr">
        <is>
          <t>&lt;p&gt;&lt;/p&gt;</t>
        </is>
      </c>
      <c r="O2537" t="inlineStr"/>
      <c r="P2537" t="inlineStr"/>
      <c r="Q2537" t="inlineStr">
        <is>
          <t>UKPN</t>
        </is>
      </c>
      <c r="R2537" t="b">
        <v>0</v>
      </c>
    </row>
    <row r="2538">
      <c r="A2538" t="inlineStr">
        <is>
          <t>22 Dec 2025 / Keil Cheung / Utilities / NGED</t>
        </is>
      </c>
      <c r="B2538" t="inlineStr">
        <is>
          <t>Utilities</t>
        </is>
      </c>
      <c r="C2538" t="inlineStr">
        <is>
          <t>NGED</t>
        </is>
      </c>
      <c r="D2538" t="inlineStr"/>
      <c r="E2538" t="inlineStr"/>
      <c r="F2538" t="inlineStr"/>
      <c r="G2538" t="inlineStr">
        <is>
          <t>Keil cheung</t>
        </is>
      </c>
      <c r="H2538" t="inlineStr">
        <is>
          <t>Car - Petrol</t>
        </is>
      </c>
      <c r="I2538" t="inlineStr">
        <is>
          <t>Daily/ Weekly Vehicle Inspection</t>
        </is>
      </c>
      <c r="J2538" t="inlineStr">
        <is>
          <t>N/A</t>
        </is>
      </c>
      <c r="K2538" t="inlineStr">
        <is>
          <t>Keil Cheung</t>
        </is>
      </c>
      <c r="L2538" t="inlineStr">
        <is>
          <t>22/12/2025 10:38</t>
        </is>
      </c>
      <c r="M2538" t="inlineStr">
        <is>
          <t>None</t>
        </is>
      </c>
      <c r="N2538" t="inlineStr">
        <is>
          <t>&lt;p&gt;&lt;/p&gt;</t>
        </is>
      </c>
      <c r="O2538" t="inlineStr"/>
      <c r="P2538" t="inlineStr"/>
      <c r="Q2538" t="inlineStr">
        <is>
          <t>NGED</t>
        </is>
      </c>
      <c r="R2538" t="b">
        <v>0</v>
      </c>
    </row>
    <row r="2539">
      <c r="A2539" t="inlineStr">
        <is>
          <t>22 Dec 2025 / Anthony Gale / Utilities / UKPN</t>
        </is>
      </c>
      <c r="B2539" t="inlineStr">
        <is>
          <t>Utilities</t>
        </is>
      </c>
      <c r="C2539" t="inlineStr">
        <is>
          <t>UKPN</t>
        </is>
      </c>
      <c r="D2539" t="inlineStr">
        <is>
          <t>KX20 BCE , Tipper , Isuzu , D-Max</t>
        </is>
      </c>
      <c r="E2539" t="inlineStr">
        <is>
          <t>KX20 BCE , Tipper , Isuzu , D-Max</t>
        </is>
      </c>
      <c r="F2539" t="inlineStr">
        <is>
          <t>KX20 BCE , Tipper , Isuzu , D-Max</t>
        </is>
      </c>
      <c r="G2539" t="inlineStr">
        <is>
          <t>Anthony Gale</t>
        </is>
      </c>
      <c r="H2539" t="inlineStr">
        <is>
          <t>Pickup Truck</t>
        </is>
      </c>
      <c r="I2539" t="inlineStr">
        <is>
          <t>Daily/ Weekly Vehicle Inspection</t>
        </is>
      </c>
      <c r="J2539" t="inlineStr">
        <is>
          <t>N/A</t>
        </is>
      </c>
      <c r="K2539" t="inlineStr">
        <is>
          <t>7996 M G Tree Surgery Ltd 1</t>
        </is>
      </c>
      <c r="L2539" t="inlineStr">
        <is>
          <t>22/12/2025 10:39</t>
        </is>
      </c>
      <c r="M2539" t="inlineStr">
        <is>
          <t>None</t>
        </is>
      </c>
      <c r="N2539" t="inlineStr">
        <is>
          <t>&lt;p&gt;&lt;/p&gt;</t>
        </is>
      </c>
      <c r="O2539" t="inlineStr">
        <is>
          <t>Confirm that you have checked this vehicle as per the guidance document and the vehicle is safe and roadworthy:Light board deteriorating.
Will need replacing soon.
-</t>
        </is>
      </c>
      <c r="P2539" t="inlineStr">
        <is>
          <t>KX20 BCE , Tipper , Isuzu , D-Max</t>
        </is>
      </c>
      <c r="Q2539" t="inlineStr">
        <is>
          <t>UKPN</t>
        </is>
      </c>
      <c r="R2539" t="b">
        <v>0</v>
      </c>
    </row>
    <row r="2540">
      <c r="A2540" t="inlineStr">
        <is>
          <t>22 Dec 2025 / Mark Davies / Utilities / NGED</t>
        </is>
      </c>
      <c r="B2540" t="inlineStr">
        <is>
          <t>Utilities</t>
        </is>
      </c>
      <c r="C2540" t="inlineStr">
        <is>
          <t>NGED</t>
        </is>
      </c>
      <c r="D2540" t="inlineStr">
        <is>
          <t>GJ20USE , Car - Electric , Tesla , Model 3 Long Range AWD</t>
        </is>
      </c>
      <c r="E2540" t="inlineStr">
        <is>
          <t>GJ20USE , Car - Electric , Tesla , Model 3 Long Range AWD</t>
        </is>
      </c>
      <c r="F2540" t="inlineStr">
        <is>
          <t>GJ20USE , Car - Electric , Tesla , Model 3 Long Range AWD</t>
        </is>
      </c>
      <c r="G2540" t="inlineStr">
        <is>
          <t xml:space="preserve">Mark Davies </t>
        </is>
      </c>
      <c r="H2540" t="inlineStr">
        <is>
          <t>Car - Electric (GC Owned)</t>
        </is>
      </c>
      <c r="I2540" t="inlineStr">
        <is>
          <t>Daily/ Weekly Vehicle Inspection</t>
        </is>
      </c>
      <c r="J2540" t="inlineStr">
        <is>
          <t>N/A</t>
        </is>
      </c>
      <c r="K2540" t="inlineStr">
        <is>
          <t>Mark Davies</t>
        </is>
      </c>
      <c r="L2540" t="inlineStr">
        <is>
          <t>22/12/2025 11:38</t>
        </is>
      </c>
      <c r="M2540" t="inlineStr">
        <is>
          <t>None</t>
        </is>
      </c>
      <c r="N2540" t="inlineStr">
        <is>
          <t>&lt;p&gt;&lt;/p&gt;</t>
        </is>
      </c>
      <c r="O2540" t="inlineStr">
        <is>
          <t>Confirm that you have checked this vehicle as per the guidance document and the vehicle is safe and roadworthy:Small chip noted on wind screen
-</t>
        </is>
      </c>
      <c r="P2540" t="inlineStr">
        <is>
          <t>GJ20USE , Car - Electric , Tesla , Model 3 Long Range AWD</t>
        </is>
      </c>
      <c r="Q2540" t="inlineStr">
        <is>
          <t>NGED</t>
        </is>
      </c>
      <c r="R2540" t="b">
        <v>0</v>
      </c>
    </row>
    <row r="2541">
      <c r="A2541" t="inlineStr">
        <is>
          <t>22 Dec 2025 / Alexander Damar / Utilities / UKPN</t>
        </is>
      </c>
      <c r="B2541" t="inlineStr">
        <is>
          <t>Utilities</t>
        </is>
      </c>
      <c r="C2541" t="inlineStr">
        <is>
          <t>UKPN</t>
        </is>
      </c>
      <c r="D2541" t="inlineStr"/>
      <c r="E2541" t="inlineStr"/>
      <c r="F2541" t="inlineStr"/>
      <c r="G2541" t="inlineStr">
        <is>
          <t>A Damar</t>
        </is>
      </c>
      <c r="H2541" t="inlineStr">
        <is>
          <t>Car - Petrol</t>
        </is>
      </c>
      <c r="I2541" t="inlineStr">
        <is>
          <t>Daily/ Weekly Vehicle Inspection</t>
        </is>
      </c>
      <c r="J2541" t="inlineStr">
        <is>
          <t>N/A</t>
        </is>
      </c>
      <c r="K2541" t="inlineStr">
        <is>
          <t>Alexander Damar</t>
        </is>
      </c>
      <c r="L2541" t="inlineStr">
        <is>
          <t>22/12/2025 11:38</t>
        </is>
      </c>
      <c r="M2541" t="inlineStr">
        <is>
          <t>None</t>
        </is>
      </c>
      <c r="N2541" t="inlineStr">
        <is>
          <t>&lt;p&gt;&lt;/p&gt;</t>
        </is>
      </c>
      <c r="O2541" t="inlineStr"/>
      <c r="P2541" t="inlineStr"/>
      <c r="Q2541" t="inlineStr">
        <is>
          <t>UKPN</t>
        </is>
      </c>
      <c r="R2541" t="b">
        <v>0</v>
      </c>
    </row>
    <row r="2542">
      <c r="A2542" t="inlineStr">
        <is>
          <t>22 Dec 2025 / Donovan Gosher / Utilities / NGED</t>
        </is>
      </c>
      <c r="B2542" t="inlineStr">
        <is>
          <t>Utilities</t>
        </is>
      </c>
      <c r="C2542" t="inlineStr">
        <is>
          <t>NGED</t>
        </is>
      </c>
      <c r="D2542" t="inlineStr">
        <is>
          <t>AJ72EWU , Car - Electric , Tesla , Model Y Long Range</t>
        </is>
      </c>
      <c r="E2542" t="inlineStr">
        <is>
          <t>AJ72EWU , Car - Electric , Tesla , Model Y Long Range</t>
        </is>
      </c>
      <c r="F2542" t="inlineStr">
        <is>
          <t>AJ72EWU , Car - Electric , Tesla , Model Y Long Range</t>
        </is>
      </c>
      <c r="G2542" t="inlineStr">
        <is>
          <t>Donovan Gosher</t>
        </is>
      </c>
      <c r="H2542" t="inlineStr">
        <is>
          <t>Car - Electric (GC Owned)</t>
        </is>
      </c>
      <c r="I2542" t="inlineStr">
        <is>
          <t>Daily/ Weekly Vehicle Inspection</t>
        </is>
      </c>
      <c r="J2542" t="inlineStr">
        <is>
          <t>N/A</t>
        </is>
      </c>
      <c r="K2542" t="inlineStr">
        <is>
          <t>Donovan Gosher</t>
        </is>
      </c>
      <c r="L2542" t="inlineStr">
        <is>
          <t>22/12/2025 17:39</t>
        </is>
      </c>
      <c r="M2542" t="inlineStr">
        <is>
          <t>None</t>
        </is>
      </c>
      <c r="N2542" t="inlineStr">
        <is>
          <t>&lt;p&gt;&lt;/p&gt;</t>
        </is>
      </c>
      <c r="O2542" t="inlineStr"/>
      <c r="P2542" t="inlineStr">
        <is>
          <t>AJ72EWU , Car - Electric , Tesla , Model Y Long Range</t>
        </is>
      </c>
      <c r="Q2542" t="inlineStr">
        <is>
          <t>NGED</t>
        </is>
      </c>
      <c r="R2542" t="b">
        <v>0</v>
      </c>
    </row>
    <row r="2543">
      <c r="A2543" t="inlineStr">
        <is>
          <t>23 Dec 2025 / Kevin Miller / Utilities / UKPN</t>
        </is>
      </c>
      <c r="B2543" t="inlineStr">
        <is>
          <t>Utilities</t>
        </is>
      </c>
      <c r="C2543" t="inlineStr">
        <is>
          <t>UKPN</t>
        </is>
      </c>
      <c r="D2543" t="inlineStr">
        <is>
          <t>EO73KUF , Car - Electric , Kia , Niro</t>
        </is>
      </c>
      <c r="E2543" t="inlineStr">
        <is>
          <t>EO73KUF , Car - Electric , Kia , Niro</t>
        </is>
      </c>
      <c r="F2543" t="inlineStr">
        <is>
          <t>EO73KUF , Car - Electric , Kia , Niro</t>
        </is>
      </c>
      <c r="G2543" t="inlineStr">
        <is>
          <t xml:space="preserve">Kevin Miller </t>
        </is>
      </c>
      <c r="H2543" t="inlineStr">
        <is>
          <t>Car - Electric (GC Owned)</t>
        </is>
      </c>
      <c r="I2543" t="inlineStr">
        <is>
          <t>Daily/ Weekly Vehicle Inspection</t>
        </is>
      </c>
      <c r="J2543" t="inlineStr">
        <is>
          <t>N/A</t>
        </is>
      </c>
      <c r="K2543" t="inlineStr">
        <is>
          <t>Kevin Miller</t>
        </is>
      </c>
      <c r="L2543" t="inlineStr">
        <is>
          <t>23/12/2025 20:38</t>
        </is>
      </c>
      <c r="M2543" t="inlineStr">
        <is>
          <t>None</t>
        </is>
      </c>
      <c r="N2543" t="inlineStr">
        <is>
          <t>&lt;p&gt;&lt;/p&gt;</t>
        </is>
      </c>
      <c r="O2543" t="inlineStr"/>
      <c r="P2543" t="inlineStr">
        <is>
          <t>EO73KUF , Car - Electric , Kia , Niro</t>
        </is>
      </c>
      <c r="Q2543" t="inlineStr">
        <is>
          <t>UKPN</t>
        </is>
      </c>
      <c r="R2543" t="b">
        <v>0</v>
      </c>
    </row>
    <row r="2544">
      <c r="A2544" t="inlineStr">
        <is>
          <t>24 Dec 2025 / Anthony Gale / Utilities / UKPN</t>
        </is>
      </c>
      <c r="B2544" t="inlineStr">
        <is>
          <t>Utilities</t>
        </is>
      </c>
      <c r="C2544" t="inlineStr">
        <is>
          <t>UKPN</t>
        </is>
      </c>
      <c r="D2544" t="inlineStr">
        <is>
          <t>KX20 BCE , Tipper , Isuzu , D-Max</t>
        </is>
      </c>
      <c r="E2544" t="inlineStr">
        <is>
          <t>KX20 BCE , Tipper , Isuzu , D-Max</t>
        </is>
      </c>
      <c r="F2544" t="inlineStr">
        <is>
          <t>KX20 BCE , Tipper , Isuzu , D-Max</t>
        </is>
      </c>
      <c r="G2544" t="inlineStr">
        <is>
          <t>Anthony Gale</t>
        </is>
      </c>
      <c r="H2544" t="inlineStr">
        <is>
          <t>Pickup Truck</t>
        </is>
      </c>
      <c r="I2544" t="inlineStr">
        <is>
          <t>Daily/ Weekly Vehicle Inspection</t>
        </is>
      </c>
      <c r="J2544" t="inlineStr">
        <is>
          <t>N/A</t>
        </is>
      </c>
      <c r="K2544" t="inlineStr">
        <is>
          <t>7996 M G Tree Surgery Ltd 1</t>
        </is>
      </c>
      <c r="L2544" t="inlineStr">
        <is>
          <t>24/12/2025 08:38</t>
        </is>
      </c>
      <c r="M2544" t="inlineStr">
        <is>
          <t>None</t>
        </is>
      </c>
      <c r="N2544" t="inlineStr">
        <is>
          <t>&lt;p&gt;&lt;/p&gt;</t>
        </is>
      </c>
      <c r="O2544" t="inlineStr">
        <is>
          <t>Confirm that you have checked this vehicle as per the guidance document and the vehicle is safe and roadworthy:Light board deteriorating.
Safely secured for now.
-</t>
        </is>
      </c>
      <c r="P2544" t="inlineStr">
        <is>
          <t>KX20 BCE , Tipper , Isuzu , D-Max</t>
        </is>
      </c>
      <c r="Q2544" t="inlineStr">
        <is>
          <t>UKPN</t>
        </is>
      </c>
      <c r="R2544" t="b">
        <v>0</v>
      </c>
    </row>
    <row r="2545">
      <c r="A2545" t="inlineStr">
        <is>
          <t>24 Dec 2025 / Jonathan Wisbey / Utilities / UKPN</t>
        </is>
      </c>
      <c r="B2545" t="inlineStr">
        <is>
          <t>Utilities</t>
        </is>
      </c>
      <c r="C2545" t="inlineStr">
        <is>
          <t>UKPN</t>
        </is>
      </c>
      <c r="D2545" t="inlineStr"/>
      <c r="E2545" t="inlineStr"/>
      <c r="F2545" t="inlineStr"/>
      <c r="G2545" t="inlineStr">
        <is>
          <t xml:space="preserve">Jonathan Wisbey </t>
        </is>
      </c>
      <c r="H2545" t="inlineStr">
        <is>
          <t>Car - Petrol</t>
        </is>
      </c>
      <c r="I2545" t="inlineStr">
        <is>
          <t>Daily/ Weekly Vehicle Inspection</t>
        </is>
      </c>
      <c r="J2545" t="inlineStr">
        <is>
          <t>N/A</t>
        </is>
      </c>
      <c r="K2545" t="inlineStr">
        <is>
          <t>Jonathan Wisbey</t>
        </is>
      </c>
      <c r="L2545" t="inlineStr">
        <is>
          <t>24/12/2025 10:38</t>
        </is>
      </c>
      <c r="M2545" t="inlineStr">
        <is>
          <t>None</t>
        </is>
      </c>
      <c r="N2545" t="inlineStr">
        <is>
          <t>&lt;p&gt;&lt;/p&gt;</t>
        </is>
      </c>
      <c r="O2545" t="inlineStr"/>
      <c r="P2545" t="inlineStr"/>
      <c r="Q2545" t="inlineStr">
        <is>
          <t>UKPN</t>
        </is>
      </c>
      <c r="R2545" t="b">
        <v>0</v>
      </c>
    </row>
    <row r="2546">
      <c r="A2546" t="inlineStr">
        <is>
          <t>18 Dec 2025 / Jane Moore / Utilities / NGED</t>
        </is>
      </c>
      <c r="B2546" t="inlineStr">
        <is>
          <t>Utilities</t>
        </is>
      </c>
      <c r="C2546" t="inlineStr">
        <is>
          <t>NGED</t>
        </is>
      </c>
      <c r="D2546" t="inlineStr">
        <is>
          <t>GL20TGZ , Car - Electric , Tesla , Model 3 Long Range AWD</t>
        </is>
      </c>
      <c r="E2546" t="inlineStr">
        <is>
          <t>GL20TGZ , Car - Electric , Tesla , Model 3 Long Range AWD</t>
        </is>
      </c>
      <c r="F2546" t="inlineStr">
        <is>
          <t>GL20TGZ , Car - Electric , Tesla , Model 3 Long Range AWD</t>
        </is>
      </c>
      <c r="G2546" t="inlineStr">
        <is>
          <t xml:space="preserve">Jane Moore </t>
        </is>
      </c>
      <c r="H2546" t="inlineStr">
        <is>
          <t>Car - Electric (GC Owned)</t>
        </is>
      </c>
      <c r="I2546" t="inlineStr">
        <is>
          <t>Daily/ Weekly Vehicle Inspection</t>
        </is>
      </c>
      <c r="J2546" t="inlineStr">
        <is>
          <t>N/A</t>
        </is>
      </c>
      <c r="K2546" t="inlineStr">
        <is>
          <t>Jane Moore</t>
        </is>
      </c>
      <c r="L2546" t="inlineStr">
        <is>
          <t>29/12/2025 14:39</t>
        </is>
      </c>
      <c r="M2546" t="inlineStr">
        <is>
          <t>None</t>
        </is>
      </c>
      <c r="N2546" t="inlineStr">
        <is>
          <t>&lt;p&gt;&lt;/p&gt;</t>
        </is>
      </c>
      <c r="O2546" t="inlineStr">
        <is>
          <t>Confirm that you have checked this vehicle as per the guidance document and the vehicle is safe and roadworthy:Car needs a clean
-</t>
        </is>
      </c>
      <c r="P2546" t="inlineStr">
        <is>
          <t>GL20TGZ , Car - Electric , Tesla , Model 3 Long Range AWD</t>
        </is>
      </c>
      <c r="Q2546" t="inlineStr">
        <is>
          <t>NGED</t>
        </is>
      </c>
      <c r="R2546" t="b">
        <v>0</v>
      </c>
    </row>
    <row r="2547">
      <c r="A2547" t="inlineStr">
        <is>
          <t>29 Dec 2025 / Jane Moore / Utilities / NGED</t>
        </is>
      </c>
      <c r="B2547" t="inlineStr">
        <is>
          <t>Utilities</t>
        </is>
      </c>
      <c r="C2547" t="inlineStr">
        <is>
          <t>NGED</t>
        </is>
      </c>
      <c r="D2547" t="inlineStr">
        <is>
          <t>GL20TGZ , Car - Electric , Tesla , Model 3 Long Range AWD</t>
        </is>
      </c>
      <c r="E2547" t="inlineStr">
        <is>
          <t>GL20TGZ , Car - Electric , Tesla , Model 3 Long Range AWD</t>
        </is>
      </c>
      <c r="F2547" t="inlineStr">
        <is>
          <t>GL20TGZ , Car - Electric , Tesla , Model 3 Long Range AWD</t>
        </is>
      </c>
      <c r="G2547" t="inlineStr">
        <is>
          <t xml:space="preserve">Jane Moore </t>
        </is>
      </c>
      <c r="H2547" t="inlineStr">
        <is>
          <t>Car - Electric (GC Owned)</t>
        </is>
      </c>
      <c r="I2547" t="inlineStr">
        <is>
          <t>Daily/ Weekly Vehicle Inspection</t>
        </is>
      </c>
      <c r="J2547" t="inlineStr">
        <is>
          <t>N/A</t>
        </is>
      </c>
      <c r="K2547" t="inlineStr">
        <is>
          <t>Jane Moore</t>
        </is>
      </c>
      <c r="L2547" t="inlineStr">
        <is>
          <t>29/12/2025 15:39</t>
        </is>
      </c>
      <c r="M2547" t="inlineStr">
        <is>
          <t>None</t>
        </is>
      </c>
      <c r="N2547" t="inlineStr">
        <is>
          <t>&lt;p&gt;&lt;/p&gt;</t>
        </is>
      </c>
      <c r="O2547" t="inlineStr">
        <is>
          <t>Confirm that you have checked this vehicle as per the guidance document and the vehicle is safe and roadworthy:Passenger rear door handle, silver cover coming off, see photo
Also defects as previously recorded, including scuffs on alloys, black marks inside car, chips on sunroof above drivers head, chips on bonnet, leather on driver's seat worn etc
-</t>
        </is>
      </c>
      <c r="P2547" t="inlineStr">
        <is>
          <t>GL20TGZ , Car - Electric , Tesla , Model 3 Long Range AWD</t>
        </is>
      </c>
      <c r="Q2547" t="inlineStr">
        <is>
          <t>NGED</t>
        </is>
      </c>
      <c r="R2547" t="b">
        <v>0</v>
      </c>
    </row>
    <row r="2548">
      <c r="A2548" t="inlineStr">
        <is>
          <t>29 Dec 2025 / Jane Moore / Utilities / NGED</t>
        </is>
      </c>
      <c r="B2548" t="inlineStr">
        <is>
          <t>Utilities</t>
        </is>
      </c>
      <c r="C2548" t="inlineStr">
        <is>
          <t>NGED</t>
        </is>
      </c>
      <c r="D2548" t="inlineStr">
        <is>
          <t>GL20TGZ , Car - Electric , Tesla , Model 3 Long Range AWD</t>
        </is>
      </c>
      <c r="E2548" t="inlineStr">
        <is>
          <t>GL20TGZ , Car - Electric , Tesla , Model 3 Long Range AWD</t>
        </is>
      </c>
      <c r="F2548" t="inlineStr">
        <is>
          <t>GL20TGZ , Car - Electric , Tesla , Model 3 Long Range AWD</t>
        </is>
      </c>
      <c r="G2548" t="inlineStr">
        <is>
          <t xml:space="preserve">Jane Moore </t>
        </is>
      </c>
      <c r="H2548" t="inlineStr">
        <is>
          <t>Car - Electric (GC Owned)</t>
        </is>
      </c>
      <c r="I2548" t="inlineStr">
        <is>
          <t>Daily/ Weekly Vehicle Inspection</t>
        </is>
      </c>
      <c r="J2548" t="inlineStr">
        <is>
          <t>N/A</t>
        </is>
      </c>
      <c r="K2548" t="inlineStr">
        <is>
          <t>Jane Moore</t>
        </is>
      </c>
      <c r="L2548" t="inlineStr">
        <is>
          <t>29/12/2025 16:39</t>
        </is>
      </c>
      <c r="M2548" t="inlineStr">
        <is>
          <t>None</t>
        </is>
      </c>
      <c r="N2548" t="inlineStr">
        <is>
          <t>&lt;p&gt;&lt;/p&gt;</t>
        </is>
      </c>
      <c r="O2548" t="inlineStr">
        <is>
          <t>Confirm that you have checked this vehicle as per the guidance document and the vehicle is safe and roadworthy:Passenger rear door handle, silver cover coming off, see photo
Also defects as previously recorded, including scuffs on alloys, black marks inside car, chips on sunroof above drivers head, chips on bonnet, leather on driver's seat worn etc
-</t>
        </is>
      </c>
      <c r="P2548" t="inlineStr">
        <is>
          <t>GL20TGZ , Car - Electric , Tesla , Model 3 Long Range AWD</t>
        </is>
      </c>
      <c r="Q2548" t="inlineStr">
        <is>
          <t>NGED</t>
        </is>
      </c>
      <c r="R2548" t="b">
        <v>0</v>
      </c>
    </row>
    <row r="2549">
      <c r="A2549" t="inlineStr">
        <is>
          <t>2 Jan 2026 / Anthony Gale / Utilities / UKPN</t>
        </is>
      </c>
      <c r="B2549" t="inlineStr">
        <is>
          <t>Utilities</t>
        </is>
      </c>
      <c r="C2549" t="inlineStr">
        <is>
          <t>UKPN</t>
        </is>
      </c>
      <c r="D2549" t="inlineStr">
        <is>
          <t>KX20 BCE , Tipper , Isuzu , D-Max</t>
        </is>
      </c>
      <c r="E2549" t="inlineStr">
        <is>
          <t>KX20 BCE , Tipper , Isuzu , D-Max</t>
        </is>
      </c>
      <c r="F2549" t="inlineStr">
        <is>
          <t>KX20 BCE , Tipper , Isuzu , D-Max</t>
        </is>
      </c>
      <c r="G2549" t="inlineStr">
        <is>
          <t>Anthony Gale</t>
        </is>
      </c>
      <c r="H2549" t="inlineStr">
        <is>
          <t>Pickup Truck</t>
        </is>
      </c>
      <c r="I2549" t="inlineStr">
        <is>
          <t>Daily/ Weekly Vehicle Inspection</t>
        </is>
      </c>
      <c r="J2549" t="inlineStr">
        <is>
          <t>N/A</t>
        </is>
      </c>
      <c r="K2549" t="inlineStr">
        <is>
          <t>7996 M G Tree Surgery Ltd 1</t>
        </is>
      </c>
      <c r="L2549" t="inlineStr">
        <is>
          <t>02/01/2026 07:40</t>
        </is>
      </c>
      <c r="M2549" t="inlineStr">
        <is>
          <t>None</t>
        </is>
      </c>
      <c r="N2549" t="inlineStr">
        <is>
          <t>&lt;p&gt;&lt;/p&gt;</t>
        </is>
      </c>
      <c r="O2549" t="inlineStr">
        <is>
          <t>Confirm that you have checked this vehicle as per the guidance document and the vehicle is safe and roadworthy:Light board deteriorating, secure for now.
Will need sorting soon though.
-</t>
        </is>
      </c>
      <c r="P2549" t="inlineStr">
        <is>
          <t>KX20 BCE , Tipper , Isuzu , D-Max</t>
        </is>
      </c>
      <c r="Q2549" t="inlineStr">
        <is>
          <t>UKPN</t>
        </is>
      </c>
      <c r="R2549" t="b">
        <v>0</v>
      </c>
    </row>
    <row r="2550">
      <c r="A2550" t="inlineStr">
        <is>
          <t>2 Jan 2026 / Philip Shaw / Utilities / NGED</t>
        </is>
      </c>
      <c r="B2550" t="inlineStr">
        <is>
          <t>Utilities</t>
        </is>
      </c>
      <c r="C2550" t="inlineStr">
        <is>
          <t>NGED</t>
        </is>
      </c>
      <c r="D2550" t="inlineStr">
        <is>
          <t>AF22TZO , Car - Electric , Tesla , Model 3 Long Range AWD</t>
        </is>
      </c>
      <c r="E2550" t="inlineStr">
        <is>
          <t>AF22TZO , Car - Electric , Tesla , Model 3 Long Range AWD</t>
        </is>
      </c>
      <c r="F2550" t="inlineStr">
        <is>
          <t>AF22TZO , Car - Electric , Tesla , Model 3 Long Range AWD</t>
        </is>
      </c>
      <c r="G2550" t="inlineStr">
        <is>
          <t xml:space="preserve">Phil shaw </t>
        </is>
      </c>
      <c r="H2550" t="inlineStr">
        <is>
          <t>Car - Electric (GC Owned)</t>
        </is>
      </c>
      <c r="I2550" t="inlineStr">
        <is>
          <t>Daily/ Weekly Vehicle Inspection</t>
        </is>
      </c>
      <c r="J2550" t="inlineStr">
        <is>
          <t>N/A</t>
        </is>
      </c>
      <c r="K2550" t="inlineStr">
        <is>
          <t>Philip Shaw</t>
        </is>
      </c>
      <c r="L2550" t="inlineStr">
        <is>
          <t>02/01/2026 07:41</t>
        </is>
      </c>
      <c r="M2550" t="inlineStr">
        <is>
          <t>None</t>
        </is>
      </c>
      <c r="N2550" t="inlineStr">
        <is>
          <t>&lt;p&gt;&lt;/p&gt;</t>
        </is>
      </c>
      <c r="O2550" t="inlineStr"/>
      <c r="P2550" t="inlineStr">
        <is>
          <t>AF22TZO , Car - Electric , Tesla , Model 3 Long Range AWD</t>
        </is>
      </c>
      <c r="Q2550" t="inlineStr">
        <is>
          <t>NGED</t>
        </is>
      </c>
      <c r="R2550" t="b">
        <v>0</v>
      </c>
    </row>
    <row r="2551">
      <c r="A2551" t="inlineStr">
        <is>
          <t>2 Jan 2026 / Paul Chubb / Utilities / SSE</t>
        </is>
      </c>
      <c r="B2551" t="inlineStr">
        <is>
          <t>Utilities</t>
        </is>
      </c>
      <c r="C2551" t="inlineStr">
        <is>
          <t>SSE</t>
        </is>
      </c>
      <c r="D2551" t="inlineStr"/>
      <c r="E2551" t="inlineStr"/>
      <c r="F2551" t="inlineStr"/>
      <c r="G2551" t="inlineStr"/>
      <c r="H2551" t="inlineStr"/>
      <c r="I2551" t="inlineStr">
        <is>
          <t>Add to Vehicle to the GC Vehicle List</t>
        </is>
      </c>
      <c r="J2551" t="inlineStr">
        <is>
          <t>N/A</t>
        </is>
      </c>
      <c r="K2551" t="inlineStr">
        <is>
          <t>Paul Chubb</t>
        </is>
      </c>
      <c r="L2551" t="inlineStr">
        <is>
          <t>02/01/2026 10:39</t>
        </is>
      </c>
      <c r="M2551" t="inlineStr">
        <is>
          <t>None</t>
        </is>
      </c>
      <c r="N2551" t="inlineStr">
        <is>
          <t>&lt;p&gt;&lt;/p&gt;</t>
        </is>
      </c>
      <c r="O2551" t="inlineStr"/>
      <c r="P2551" t="inlineStr"/>
      <c r="Q2551" t="inlineStr">
        <is>
          <t>SSE</t>
        </is>
      </c>
      <c r="R2551" t="b">
        <v>0</v>
      </c>
    </row>
    <row r="2552">
      <c r="A2552" t="inlineStr">
        <is>
          <t>2 Jan 2026 / Paul Chubb / Utilities / SSE</t>
        </is>
      </c>
      <c r="B2552" t="inlineStr">
        <is>
          <t>Utilities</t>
        </is>
      </c>
      <c r="C2552" t="inlineStr">
        <is>
          <t>SSE</t>
        </is>
      </c>
      <c r="D2552" t="inlineStr"/>
      <c r="E2552" t="inlineStr"/>
      <c r="F2552" t="inlineStr"/>
      <c r="G2552" t="inlineStr">
        <is>
          <t>Paul chybb</t>
        </is>
      </c>
      <c r="H2552" t="inlineStr">
        <is>
          <t>Van</t>
        </is>
      </c>
      <c r="I2552" t="inlineStr">
        <is>
          <t>Daily/ Weekly Vehicle Inspection</t>
        </is>
      </c>
      <c r="J2552" t="inlineStr">
        <is>
          <t>N/A</t>
        </is>
      </c>
      <c r="K2552" t="inlineStr">
        <is>
          <t>Paul Chubb</t>
        </is>
      </c>
      <c r="L2552" t="inlineStr">
        <is>
          <t>02/01/2026 10:40</t>
        </is>
      </c>
      <c r="M2552" t="inlineStr">
        <is>
          <t>None</t>
        </is>
      </c>
      <c r="N2552" t="inlineStr">
        <is>
          <t>&lt;p&gt;&lt;/p&gt;</t>
        </is>
      </c>
      <c r="O2552" t="inlineStr"/>
      <c r="P2552" t="inlineStr"/>
      <c r="Q2552" t="inlineStr">
        <is>
          <t>SSE</t>
        </is>
      </c>
      <c r="R2552" t="b">
        <v>0</v>
      </c>
    </row>
    <row r="2553">
      <c r="A2553" t="inlineStr">
        <is>
          <t>2 Jan 2026 / Anthony Gale / Utilities / UKPN</t>
        </is>
      </c>
      <c r="B2553" t="inlineStr">
        <is>
          <t>Utilities</t>
        </is>
      </c>
      <c r="C2553" t="inlineStr">
        <is>
          <t>UKPN</t>
        </is>
      </c>
      <c r="D2553" t="inlineStr">
        <is>
          <t>KX20 BCE , Tipper , Isuzu , D-Max</t>
        </is>
      </c>
      <c r="E2553" t="inlineStr">
        <is>
          <t>KX20 BCE , Tipper , Isuzu , D-Max</t>
        </is>
      </c>
      <c r="F2553" t="inlineStr">
        <is>
          <t>KX20 BCE , Tipper , Isuzu , D-Max</t>
        </is>
      </c>
      <c r="G2553" t="inlineStr">
        <is>
          <t>Anthony Gale</t>
        </is>
      </c>
      <c r="H2553" t="inlineStr">
        <is>
          <t>Pickup Truck</t>
        </is>
      </c>
      <c r="I2553" t="inlineStr">
        <is>
          <t>Daily/ Weekly Vehicle Inspection</t>
        </is>
      </c>
      <c r="J2553" t="inlineStr">
        <is>
          <t>N/A</t>
        </is>
      </c>
      <c r="K2553" t="inlineStr">
        <is>
          <t>7996 M G Tree Surgery Ltd 1</t>
        </is>
      </c>
      <c r="L2553" t="inlineStr">
        <is>
          <t>02/01/2026 11:39</t>
        </is>
      </c>
      <c r="M2553" t="inlineStr">
        <is>
          <t>None</t>
        </is>
      </c>
      <c r="N2553" t="inlineStr">
        <is>
          <t>&lt;p&gt;&lt;/p&gt;</t>
        </is>
      </c>
      <c r="O2553" t="inlineStr">
        <is>
          <t>Confirm that you have checked this vehicle as per the guidance document and the vehicle is safe and roadworthy:Light board deteriorating, secure for now.
Will need sorting soon though.
-</t>
        </is>
      </c>
      <c r="P2553" t="inlineStr">
        <is>
          <t>KX20 BCE , Tipper , Isuzu , D-Max</t>
        </is>
      </c>
      <c r="Q2553" t="inlineStr">
        <is>
          <t>UKPN</t>
        </is>
      </c>
      <c r="R2553" t="b">
        <v>0</v>
      </c>
    </row>
    <row r="2554">
      <c r="A2554" t="inlineStr">
        <is>
          <t>2 Jan 2026 / Jonathan Wisbey / Utilities / UKPN</t>
        </is>
      </c>
      <c r="B2554" t="inlineStr">
        <is>
          <t>Utilities</t>
        </is>
      </c>
      <c r="C2554" t="inlineStr">
        <is>
          <t>UKPN</t>
        </is>
      </c>
      <c r="D2554" t="inlineStr"/>
      <c r="E2554" t="inlineStr"/>
      <c r="F2554" t="inlineStr"/>
      <c r="G2554" t="inlineStr">
        <is>
          <t xml:space="preserve">Jonathan Wisbey </t>
        </is>
      </c>
      <c r="H2554" t="inlineStr">
        <is>
          <t>Car - Petrol</t>
        </is>
      </c>
      <c r="I2554" t="inlineStr">
        <is>
          <t>Monthly Vehicle Inspection</t>
        </is>
      </c>
      <c r="J2554" t="inlineStr">
        <is>
          <t>3481</t>
        </is>
      </c>
      <c r="K2554" t="inlineStr">
        <is>
          <t>Jonathan Wisbey</t>
        </is>
      </c>
      <c r="L2554" t="inlineStr">
        <is>
          <t>02/01/2026 12:42</t>
        </is>
      </c>
      <c r="M2554" t="inlineStr">
        <is>
          <t>None</t>
        </is>
      </c>
      <c r="N2554" t="inlineStr">
        <is>
          <t>&lt;p&gt;&lt;/p&gt;</t>
        </is>
      </c>
      <c r="O2554" t="inlineStr"/>
      <c r="P2554" t="inlineStr"/>
      <c r="Q2554" t="inlineStr">
        <is>
          <t>UKPN</t>
        </is>
      </c>
      <c r="R2554" t="b">
        <v>0</v>
      </c>
    </row>
    <row r="2555">
      <c r="A2555" t="inlineStr">
        <is>
          <t>4 Jan 2026 / Thomas Playford / Utilities / UKPN</t>
        </is>
      </c>
      <c r="B2555" t="inlineStr">
        <is>
          <t>Utilities</t>
        </is>
      </c>
      <c r="C2555" t="inlineStr">
        <is>
          <t>UKPN</t>
        </is>
      </c>
      <c r="D2555" t="inlineStr">
        <is>
          <t>LK15KRZ , 4x4 , Landrover , Defender</t>
        </is>
      </c>
      <c r="E2555" t="inlineStr">
        <is>
          <t>LK15KRZ , 4x4 , Landrover , Defender</t>
        </is>
      </c>
      <c r="F2555" t="inlineStr">
        <is>
          <t>LK15KRZ , 4x4 , Landrover , Defender</t>
        </is>
      </c>
      <c r="G2555" t="inlineStr">
        <is>
          <t>Thomas Playford</t>
        </is>
      </c>
      <c r="H2555" t="inlineStr">
        <is>
          <t>4x4</t>
        </is>
      </c>
      <c r="I2555" t="inlineStr">
        <is>
          <t>Daily/ Weekly Vehicle Inspection</t>
        </is>
      </c>
      <c r="J2555" t="inlineStr">
        <is>
          <t>N/A</t>
        </is>
      </c>
      <c r="K2555" t="inlineStr">
        <is>
          <t>7995 Green Net Eco Ltd 2</t>
        </is>
      </c>
      <c r="L2555" t="inlineStr">
        <is>
          <t>04/01/2026 23:39</t>
        </is>
      </c>
      <c r="M2555" t="inlineStr">
        <is>
          <t>None</t>
        </is>
      </c>
      <c r="N2555" t="inlineStr">
        <is>
          <t>&lt;p&gt;&lt;/p&gt;</t>
        </is>
      </c>
      <c r="O2555" t="inlineStr"/>
      <c r="P2555" t="inlineStr">
        <is>
          <t>LK15KRZ , 4x4 , Landrover , Defender</t>
        </is>
      </c>
      <c r="Q2555" t="inlineStr">
        <is>
          <t>UKPN</t>
        </is>
      </c>
      <c r="R2555" t="b">
        <v>0</v>
      </c>
    </row>
    <row r="2556">
      <c r="A2556" t="inlineStr">
        <is>
          <t>4 Jan 2026 / Thomas Playford / Utilities / UKPN</t>
        </is>
      </c>
      <c r="B2556" t="inlineStr">
        <is>
          <t>Utilities</t>
        </is>
      </c>
      <c r="C2556" t="inlineStr">
        <is>
          <t>UKPN</t>
        </is>
      </c>
      <c r="D2556" t="inlineStr">
        <is>
          <t>SA9ST800000283944 , Tow Chipper , Forst , ST8D - Towed</t>
        </is>
      </c>
      <c r="E2556" t="inlineStr">
        <is>
          <t>SA9ST800000283944 , Tow Chipper , Forst , ST8D - Towed</t>
        </is>
      </c>
      <c r="F2556" t="inlineStr">
        <is>
          <t>SA9ST800000283944 , Tow Chipper , Forst , ST8D - Towed</t>
        </is>
      </c>
      <c r="G2556" t="inlineStr">
        <is>
          <t>Thomas Playford</t>
        </is>
      </c>
      <c r="H2556" t="inlineStr">
        <is>
          <t>Towed Chipper</t>
        </is>
      </c>
      <c r="I2556" t="inlineStr">
        <is>
          <t>Daily/ Weekly Vehicle Inspection</t>
        </is>
      </c>
      <c r="J2556" t="inlineStr">
        <is>
          <t>N/A</t>
        </is>
      </c>
      <c r="K2556" t="inlineStr">
        <is>
          <t>7995 Green Net Eco Ltd 2</t>
        </is>
      </c>
      <c r="L2556" t="inlineStr">
        <is>
          <t>05/01/2026 03:39</t>
        </is>
      </c>
      <c r="M2556" t="inlineStr">
        <is>
          <t>None</t>
        </is>
      </c>
      <c r="N2556" t="inlineStr">
        <is>
          <t>&lt;p&gt;&lt;/p&gt;</t>
        </is>
      </c>
      <c r="O2556" t="inlineStr"/>
      <c r="P2556" t="inlineStr">
        <is>
          <t>SA9ST800000283944 , Tow Chipper , Forst , ST8D - Towed</t>
        </is>
      </c>
      <c r="Q2556" t="inlineStr">
        <is>
          <t>UKPN</t>
        </is>
      </c>
      <c r="R2556" t="b">
        <v>0</v>
      </c>
    </row>
    <row r="2557">
      <c r="A2557" t="inlineStr">
        <is>
          <t>5 Jan 2026 / Patryk Zietarski / Utilities / UKPN</t>
        </is>
      </c>
      <c r="B2557" t="inlineStr">
        <is>
          <t>Utilities</t>
        </is>
      </c>
      <c r="C2557" t="inlineStr">
        <is>
          <t>UKPN</t>
        </is>
      </c>
      <c r="D2557" t="inlineStr">
        <is>
          <t>YW73CWL , Car - Electric , Kia , eNiro</t>
        </is>
      </c>
      <c r="E2557" t="inlineStr">
        <is>
          <t>YW73CWL , Car - Electric , Kia , eNiro</t>
        </is>
      </c>
      <c r="F2557" t="inlineStr">
        <is>
          <t>YW73CWL , Car - Electric , Kia , eNiro</t>
        </is>
      </c>
      <c r="G2557" t="inlineStr">
        <is>
          <t xml:space="preserve">Patryk Zietarski </t>
        </is>
      </c>
      <c r="H2557" t="inlineStr">
        <is>
          <t>Car - Electric (GC Owned)</t>
        </is>
      </c>
      <c r="I2557" t="inlineStr">
        <is>
          <t>Daily/ Weekly Vehicle Inspection</t>
        </is>
      </c>
      <c r="J2557" t="inlineStr">
        <is>
          <t>N/A</t>
        </is>
      </c>
      <c r="K2557" t="inlineStr">
        <is>
          <t>Patryk Zietarski</t>
        </is>
      </c>
      <c r="L2557" t="inlineStr">
        <is>
          <t>05/01/2026 05:40</t>
        </is>
      </c>
      <c r="M2557" t="inlineStr">
        <is>
          <t>None</t>
        </is>
      </c>
      <c r="N2557" t="inlineStr">
        <is>
          <t>&lt;p&gt;&lt;/p&gt;</t>
        </is>
      </c>
      <c r="O2557" t="inlineStr"/>
      <c r="P2557" t="inlineStr">
        <is>
          <t>YW73CWL , Car - Electric , Kia , eNiro</t>
        </is>
      </c>
      <c r="Q2557" t="inlineStr">
        <is>
          <t>UKPN</t>
        </is>
      </c>
      <c r="R2557" t="b">
        <v>0</v>
      </c>
    </row>
    <row r="2558">
      <c r="A2558" t="inlineStr">
        <is>
          <t>5 Jan 2026 / 7806 Optimum Tree Services Ltd / Utilities / UKPN</t>
        </is>
      </c>
      <c r="B2558" t="inlineStr">
        <is>
          <t>Utilities</t>
        </is>
      </c>
      <c r="C2558" t="inlineStr">
        <is>
          <t>UKPN</t>
        </is>
      </c>
      <c r="D2558" t="inlineStr">
        <is>
          <t>SA9ST800000283069 , Chipper , Forst , ST 6P</t>
        </is>
      </c>
      <c r="E2558" t="inlineStr">
        <is>
          <t>SA9ST800000283069 , Chipper , Forst , ST 6P</t>
        </is>
      </c>
      <c r="F2558" t="inlineStr">
        <is>
          <t>SA9ST800000283069 , Chipper , Forst , ST 6P</t>
        </is>
      </c>
      <c r="G2558" t="inlineStr">
        <is>
          <t xml:space="preserve">Abraham Davies </t>
        </is>
      </c>
      <c r="H2558" t="inlineStr">
        <is>
          <t>Towed Chipper</t>
        </is>
      </c>
      <c r="I2558" t="inlineStr">
        <is>
          <t>Daily/ Weekly Vehicle Inspection</t>
        </is>
      </c>
      <c r="J2558" t="inlineStr">
        <is>
          <t>N/A</t>
        </is>
      </c>
      <c r="K2558" t="inlineStr">
        <is>
          <t>7806 Optimum Tree Services Ltd</t>
        </is>
      </c>
      <c r="L2558" t="inlineStr">
        <is>
          <t>05/01/2026 07:39</t>
        </is>
      </c>
      <c r="M2558" t="inlineStr">
        <is>
          <t>None</t>
        </is>
      </c>
      <c r="N2558" t="inlineStr">
        <is>
          <t>&lt;p&gt;&lt;/p&gt;</t>
        </is>
      </c>
      <c r="O2558" t="inlineStr"/>
      <c r="P2558" t="inlineStr">
        <is>
          <t>SA9ST800000283069 , Chipper , Forst , ST 6P</t>
        </is>
      </c>
      <c r="Q2558" t="inlineStr">
        <is>
          <t>UKPN</t>
        </is>
      </c>
      <c r="R2558" t="b">
        <v>0</v>
      </c>
    </row>
    <row r="2559">
      <c r="A2559" t="inlineStr">
        <is>
          <t>5 Jan 2026 / 7806 Optimum Tree Services Ltd / Utilities / UKPN</t>
        </is>
      </c>
      <c r="B2559" t="inlineStr">
        <is>
          <t>Utilities</t>
        </is>
      </c>
      <c r="C2559" t="inlineStr">
        <is>
          <t>UKPN</t>
        </is>
      </c>
      <c r="D2559" t="inlineStr">
        <is>
          <t>WD14EVB , MEWP , Land Rover , Defender</t>
        </is>
      </c>
      <c r="E2559" t="inlineStr">
        <is>
          <t>WD14EVB , MEWP , Land Rover , Defender</t>
        </is>
      </c>
      <c r="F2559" t="inlineStr">
        <is>
          <t>WD14EVB , MEWP , Land Rover , Defender</t>
        </is>
      </c>
      <c r="G2559" t="inlineStr">
        <is>
          <t xml:space="preserve">Abraham Davies </t>
        </is>
      </c>
      <c r="H2559" t="inlineStr">
        <is>
          <t>4x4</t>
        </is>
      </c>
      <c r="I2559" t="inlineStr">
        <is>
          <t>Daily/ Weekly Vehicle Inspection</t>
        </is>
      </c>
      <c r="J2559" t="inlineStr">
        <is>
          <t>N/A</t>
        </is>
      </c>
      <c r="K2559" t="inlineStr">
        <is>
          <t>7806 Optimum Tree Services Ltd</t>
        </is>
      </c>
      <c r="L2559" t="inlineStr">
        <is>
          <t>05/01/2026 07:43</t>
        </is>
      </c>
      <c r="M2559" t="inlineStr">
        <is>
          <t>None</t>
        </is>
      </c>
      <c r="N2559" t="inlineStr">
        <is>
          <t>&lt;p&gt;&lt;/p&gt;</t>
        </is>
      </c>
      <c r="O2559" t="inlineStr"/>
      <c r="P2559" t="inlineStr">
        <is>
          <t>WD14EVB , MEWP , Land Rover , Defender</t>
        </is>
      </c>
      <c r="Q2559" t="inlineStr">
        <is>
          <t>UKPN</t>
        </is>
      </c>
      <c r="R2559" t="b">
        <v>0</v>
      </c>
    </row>
    <row r="2560">
      <c r="A2560" t="inlineStr">
        <is>
          <t>5 Jan 2026 / 8148 Hope Ground and Tree Care / Utilities / UKPN</t>
        </is>
      </c>
      <c r="B2560" t="inlineStr">
        <is>
          <t>Utilities</t>
        </is>
      </c>
      <c r="C2560" t="inlineStr">
        <is>
          <t>UKPN</t>
        </is>
      </c>
      <c r="D2560" t="inlineStr">
        <is>
          <t>S6 NWX , MEWP , Isuzu , D-Max</t>
        </is>
      </c>
      <c r="E2560" t="inlineStr">
        <is>
          <t>S6 NWX , MEWP , Isuzu , D-Max</t>
        </is>
      </c>
      <c r="F2560" t="inlineStr">
        <is>
          <t>S6 NWX , MEWP , Isuzu , D-Max</t>
        </is>
      </c>
      <c r="G2560" t="inlineStr">
        <is>
          <t>Andrew Hope</t>
        </is>
      </c>
      <c r="H2560" t="inlineStr">
        <is>
          <t>4x4</t>
        </is>
      </c>
      <c r="I2560" t="inlineStr">
        <is>
          <t>Daily/ Weekly Vehicle Inspection</t>
        </is>
      </c>
      <c r="J2560" t="inlineStr">
        <is>
          <t>N/A</t>
        </is>
      </c>
      <c r="K2560" t="inlineStr">
        <is>
          <t>8148 Hope Ground and Tree Care</t>
        </is>
      </c>
      <c r="L2560" t="inlineStr">
        <is>
          <t>05/01/2026 07:43</t>
        </is>
      </c>
      <c r="M2560" t="inlineStr">
        <is>
          <t>None</t>
        </is>
      </c>
      <c r="N2560" t="inlineStr">
        <is>
          <t>&lt;p&gt;&lt;/p&gt;</t>
        </is>
      </c>
      <c r="O2560" t="inlineStr"/>
      <c r="P2560" t="inlineStr">
        <is>
          <t>S6 NWX , MEWP , Isuzu , D-Max</t>
        </is>
      </c>
      <c r="Q2560" t="inlineStr">
        <is>
          <t>UKPN</t>
        </is>
      </c>
      <c r="R2560" t="b">
        <v>0</v>
      </c>
    </row>
    <row r="2561">
      <c r="A2561" t="inlineStr">
        <is>
          <t>5 Jan 2026 / Anthony Gale / Utilities / UKPN</t>
        </is>
      </c>
      <c r="B2561" t="inlineStr">
        <is>
          <t>Utilities</t>
        </is>
      </c>
      <c r="C2561" t="inlineStr">
        <is>
          <t>UKPN</t>
        </is>
      </c>
      <c r="D2561" t="inlineStr">
        <is>
          <t>KX20 BCE , Tipper , Isuzu , D-Max</t>
        </is>
      </c>
      <c r="E2561" t="inlineStr">
        <is>
          <t>KX20 BCE , Tipper , Isuzu , D-Max</t>
        </is>
      </c>
      <c r="F2561" t="inlineStr">
        <is>
          <t>KX20 BCE , Tipper , Isuzu , D-Max</t>
        </is>
      </c>
      <c r="G2561" t="inlineStr">
        <is>
          <t>Anthony Gale</t>
        </is>
      </c>
      <c r="H2561" t="inlineStr">
        <is>
          <t>Pickup Truck</t>
        </is>
      </c>
      <c r="I2561" t="inlineStr">
        <is>
          <t>Daily/ Weekly Vehicle Inspection</t>
        </is>
      </c>
      <c r="J2561" t="inlineStr">
        <is>
          <t>N/A</t>
        </is>
      </c>
      <c r="K2561" t="inlineStr">
        <is>
          <t>7996 M G Tree Surgery Ltd 1</t>
        </is>
      </c>
      <c r="L2561" t="inlineStr">
        <is>
          <t>05/01/2026 07:44</t>
        </is>
      </c>
      <c r="M2561" t="inlineStr">
        <is>
          <t>None</t>
        </is>
      </c>
      <c r="N2561" t="inlineStr">
        <is>
          <t>&lt;p&gt;&lt;/p&gt;</t>
        </is>
      </c>
      <c r="O2561" t="inlineStr">
        <is>
          <t>Confirm that you have checked this vehicle as per the guidance document and the vehicle is safe and roadworthy:Light board deteriorating, safe for now.
-</t>
        </is>
      </c>
      <c r="P2561" t="inlineStr">
        <is>
          <t>KX20 BCE , Tipper , Isuzu , D-Max</t>
        </is>
      </c>
      <c r="Q2561" t="inlineStr">
        <is>
          <t>UKPN</t>
        </is>
      </c>
      <c r="R2561" t="b">
        <v>0</v>
      </c>
    </row>
    <row r="2562">
      <c r="A2562" t="inlineStr">
        <is>
          <t>5 Jan 2026 / 3098 D &amp; R Landscapes / Utilities / UKPN</t>
        </is>
      </c>
      <c r="B2562" t="inlineStr">
        <is>
          <t>Utilities</t>
        </is>
      </c>
      <c r="C2562" t="inlineStr">
        <is>
          <t>UKPN</t>
        </is>
      </c>
      <c r="D2562" t="inlineStr">
        <is>
          <t>DE68XHA , Tipper , Isuzu , Grafter</t>
        </is>
      </c>
      <c r="E2562" t="inlineStr">
        <is>
          <t>DE68XHA , Tipper , Isuzu , Grafter</t>
        </is>
      </c>
      <c r="F2562" t="inlineStr">
        <is>
          <t>DE68XHA , Tipper , Isuzu , Grafter</t>
        </is>
      </c>
      <c r="G2562" t="inlineStr">
        <is>
          <t>Jason</t>
        </is>
      </c>
      <c r="H2562" t="inlineStr">
        <is>
          <t>Tipper</t>
        </is>
      </c>
      <c r="I2562" t="inlineStr">
        <is>
          <t>Daily/ Weekly Vehicle Inspection</t>
        </is>
      </c>
      <c r="J2562" t="inlineStr">
        <is>
          <t>N/A</t>
        </is>
      </c>
      <c r="K2562" t="inlineStr">
        <is>
          <t>3098 D &amp; R Landscapes</t>
        </is>
      </c>
      <c r="L2562" t="inlineStr">
        <is>
          <t>05/01/2026 07:46</t>
        </is>
      </c>
      <c r="M2562" t="inlineStr">
        <is>
          <t>None</t>
        </is>
      </c>
      <c r="N2562" t="inlineStr">
        <is>
          <t>&lt;p&gt;&lt;/p&gt;</t>
        </is>
      </c>
      <c r="O2562" t="inlineStr"/>
      <c r="P2562" t="inlineStr">
        <is>
          <t>DE68XHA , Tipper , Isuzu , Grafter</t>
        </is>
      </c>
      <c r="Q2562" t="inlineStr">
        <is>
          <t>UKPN</t>
        </is>
      </c>
      <c r="R2562" t="b">
        <v>0</v>
      </c>
    </row>
    <row r="2563">
      <c r="A2563" t="inlineStr">
        <is>
          <t>5 Jan 2026 / 3098 D &amp; R Landscapes / Utilities / UKPN</t>
        </is>
      </c>
      <c r="B2563" t="inlineStr">
        <is>
          <t>Utilities</t>
        </is>
      </c>
      <c r="C2563" t="inlineStr">
        <is>
          <t>UKPN</t>
        </is>
      </c>
      <c r="D2563" t="inlineStr">
        <is>
          <t>BT20 GNZ , Vehicle , Nissan , Navara</t>
        </is>
      </c>
      <c r="E2563" t="inlineStr">
        <is>
          <t>BT20 GNZ , Vehicle , Nissan , Navara</t>
        </is>
      </c>
      <c r="F2563" t="inlineStr">
        <is>
          <t>BT20 GNZ , Vehicle , Nissan , Navara</t>
        </is>
      </c>
      <c r="G2563" t="inlineStr">
        <is>
          <t xml:space="preserve">Chris </t>
        </is>
      </c>
      <c r="H2563" t="inlineStr">
        <is>
          <t>Pickup Truck</t>
        </is>
      </c>
      <c r="I2563" t="inlineStr">
        <is>
          <t>Daily/ Weekly Vehicle Inspection</t>
        </is>
      </c>
      <c r="J2563" t="inlineStr">
        <is>
          <t>N/A</t>
        </is>
      </c>
      <c r="K2563" t="inlineStr">
        <is>
          <t>3098 D &amp; R Landscapes</t>
        </is>
      </c>
      <c r="L2563" t="inlineStr">
        <is>
          <t>05/01/2026 07:46</t>
        </is>
      </c>
      <c r="M2563" t="inlineStr">
        <is>
          <t>None</t>
        </is>
      </c>
      <c r="N2563" t="inlineStr">
        <is>
          <t>&lt;p&gt;&lt;/p&gt;</t>
        </is>
      </c>
      <c r="O2563" t="inlineStr"/>
      <c r="P2563" t="inlineStr">
        <is>
          <t>BT20 GNZ , Vehicle , Nissan , Navara</t>
        </is>
      </c>
      <c r="Q2563" t="inlineStr">
        <is>
          <t>UKPN</t>
        </is>
      </c>
      <c r="R2563" t="b">
        <v>0</v>
      </c>
    </row>
    <row r="2564">
      <c r="A2564" t="inlineStr">
        <is>
          <t>5 Jan 2026 / Kevin Miller / Utilities / UKPN</t>
        </is>
      </c>
      <c r="B2564" t="inlineStr">
        <is>
          <t>Utilities</t>
        </is>
      </c>
      <c r="C2564" t="inlineStr">
        <is>
          <t>UKPN</t>
        </is>
      </c>
      <c r="D2564" t="inlineStr">
        <is>
          <t>EO73KUF , Car - Electric , Kia , Niro</t>
        </is>
      </c>
      <c r="E2564" t="inlineStr">
        <is>
          <t>EO73KUF , Car - Electric , Kia , Niro</t>
        </is>
      </c>
      <c r="F2564" t="inlineStr">
        <is>
          <t>EO73KUF , Car - Electric , Kia , Niro</t>
        </is>
      </c>
      <c r="G2564" t="inlineStr">
        <is>
          <t xml:space="preserve">Kevin Miller </t>
        </is>
      </c>
      <c r="H2564" t="inlineStr">
        <is>
          <t>Car - Electric (GC Owned)</t>
        </is>
      </c>
      <c r="I2564" t="inlineStr">
        <is>
          <t>Daily/ Weekly Vehicle Inspection</t>
        </is>
      </c>
      <c r="J2564" t="inlineStr">
        <is>
          <t>N/A</t>
        </is>
      </c>
      <c r="K2564" t="inlineStr">
        <is>
          <t>Kevin Miller</t>
        </is>
      </c>
      <c r="L2564" t="inlineStr">
        <is>
          <t>05/01/2026 08:46</t>
        </is>
      </c>
      <c r="M2564" t="inlineStr">
        <is>
          <t xml:space="preserve">Confirm that you have checked this vehicle as per the guidance document and the vehicle is safe and roadworthy: Fail
</t>
        </is>
      </c>
      <c r="N2564" t="inlineStr">
        <is>
          <t>&lt;p&gt;&lt;/p&gt;</t>
        </is>
      </c>
      <c r="O2564" t="inlineStr"/>
      <c r="P2564" t="inlineStr">
        <is>
          <t>EO73KUF , Car - Electric , Kia , Niro</t>
        </is>
      </c>
      <c r="Q2564" t="inlineStr">
        <is>
          <t>UKPN</t>
        </is>
      </c>
      <c r="R2564" t="b">
        <v>0</v>
      </c>
    </row>
    <row r="2565">
      <c r="A2565" t="inlineStr">
        <is>
          <t>5 Jan 2026 / 7186 Eastwoodbury Tree Services Ltd / Utilities / UKPN</t>
        </is>
      </c>
      <c r="B2565" t="inlineStr">
        <is>
          <t>Utilities</t>
        </is>
      </c>
      <c r="C2565" t="inlineStr">
        <is>
          <t>UKPN</t>
        </is>
      </c>
      <c r="D2565" t="inlineStr">
        <is>
          <t>WF13 EKT , 4x4 , Land rover  , Defender</t>
        </is>
      </c>
      <c r="E2565" t="inlineStr">
        <is>
          <t>WF13 EKT , 4x4 , Land rover  , Defender</t>
        </is>
      </c>
      <c r="F2565" t="inlineStr">
        <is>
          <t>WF13 EKT , 4x4 , Land rover  , Defender</t>
        </is>
      </c>
      <c r="G2565" t="inlineStr">
        <is>
          <t xml:space="preserve">Dan Gilbert </t>
        </is>
      </c>
      <c r="H2565" t="inlineStr">
        <is>
          <t>4x4</t>
        </is>
      </c>
      <c r="I2565" t="inlineStr">
        <is>
          <t>Daily/ Weekly Vehicle Inspection</t>
        </is>
      </c>
      <c r="J2565" t="inlineStr">
        <is>
          <t>N/A</t>
        </is>
      </c>
      <c r="K2565" t="inlineStr">
        <is>
          <t>7186 Eastwoodbury Tree Services Ltd</t>
        </is>
      </c>
      <c r="L2565" t="inlineStr">
        <is>
          <t>05/01/2026 08:54</t>
        </is>
      </c>
      <c r="M2565" t="inlineStr">
        <is>
          <t>None</t>
        </is>
      </c>
      <c r="N2565" t="inlineStr">
        <is>
          <t>&lt;p&gt;&lt;/p&gt;</t>
        </is>
      </c>
      <c r="O2565" t="inlineStr"/>
      <c r="P2565" t="inlineStr">
        <is>
          <t>WF13 EKT , 4x4 , Land rover  , Defender</t>
        </is>
      </c>
      <c r="Q2565" t="inlineStr">
        <is>
          <t>UKPN</t>
        </is>
      </c>
      <c r="R2565" t="b">
        <v>0</v>
      </c>
    </row>
    <row r="2566">
      <c r="A2566" t="inlineStr">
        <is>
          <t>5 Jan 2026 / 7186 Eastwoodbury Tree Services Ltd / Utilities / UKPN</t>
        </is>
      </c>
      <c r="B2566" t="inlineStr">
        <is>
          <t>Utilities</t>
        </is>
      </c>
      <c r="C2566" t="inlineStr">
        <is>
          <t>UKPN</t>
        </is>
      </c>
      <c r="D2566" t="inlineStr">
        <is>
          <t>FX14 XCV , 4x4 , Land Rover  , Defender</t>
        </is>
      </c>
      <c r="E2566" t="inlineStr">
        <is>
          <t>FX14 XCV , 4x4 , Land Rover  , Defender</t>
        </is>
      </c>
      <c r="F2566" t="inlineStr">
        <is>
          <t>FX14 XCV , 4x4 , Land Rover  , Defender</t>
        </is>
      </c>
      <c r="G2566" t="inlineStr">
        <is>
          <t xml:space="preserve">Jay Denkmayer </t>
        </is>
      </c>
      <c r="H2566" t="inlineStr">
        <is>
          <t>4x4</t>
        </is>
      </c>
      <c r="I2566" t="inlineStr">
        <is>
          <t>Daily/ Weekly Vehicle Inspection</t>
        </is>
      </c>
      <c r="J2566" t="inlineStr">
        <is>
          <t>N/A</t>
        </is>
      </c>
      <c r="K2566" t="inlineStr">
        <is>
          <t>7186 Eastwoodbury Tree Services Ltd</t>
        </is>
      </c>
      <c r="L2566" t="inlineStr">
        <is>
          <t>05/01/2026 08:55</t>
        </is>
      </c>
      <c r="M2566" t="inlineStr">
        <is>
          <t>None</t>
        </is>
      </c>
      <c r="N2566" t="inlineStr">
        <is>
          <t>&lt;p&gt;&lt;/p&gt;</t>
        </is>
      </c>
      <c r="O2566" t="inlineStr"/>
      <c r="P2566" t="inlineStr">
        <is>
          <t>FX14 XCV , 4x4 , Land Rover  , Defender</t>
        </is>
      </c>
      <c r="Q2566" t="inlineStr">
        <is>
          <t>UKPN</t>
        </is>
      </c>
      <c r="R2566" t="b">
        <v>0</v>
      </c>
    </row>
    <row r="2567">
      <c r="A2567" t="inlineStr">
        <is>
          <t>5 Jan 2026 / 7889 Tree Tech Suffolk Ltd</t>
        </is>
      </c>
      <c r="B2567" t="inlineStr">
        <is>
          <t>Utilities &amp; Inland Waterways</t>
        </is>
      </c>
      <c r="C2567" t="inlineStr">
        <is>
          <t>UKPN</t>
        </is>
      </c>
      <c r="D2567" t="inlineStr">
        <is>
          <t>Tipper - Nissan - Navara - NS02TTS</t>
        </is>
      </c>
      <c r="E2567" t="inlineStr">
        <is>
          <t>Tipper - Nissan - Navara - NS02TTS</t>
        </is>
      </c>
      <c r="F2567" t="inlineStr">
        <is>
          <t>Tipper - Nissan - Navara - NS02TTS</t>
        </is>
      </c>
      <c r="G2567" t="inlineStr">
        <is>
          <t>Danny Appleby</t>
        </is>
      </c>
      <c r="H2567" t="inlineStr">
        <is>
          <t>Tipper</t>
        </is>
      </c>
      <c r="I2567" t="inlineStr">
        <is>
          <t>Daily/ Weekly Vehicle Inspection</t>
        </is>
      </c>
      <c r="J2567" t="inlineStr">
        <is>
          <t>N/A</t>
        </is>
      </c>
      <c r="K2567" t="inlineStr">
        <is>
          <t>7889 Tree Tech Suffolk Ltd</t>
        </is>
      </c>
      <c r="L2567" t="inlineStr">
        <is>
          <t>05/01/2026 09:40</t>
        </is>
      </c>
      <c r="M2567" t="inlineStr">
        <is>
          <t>None</t>
        </is>
      </c>
      <c r="N2567" t="inlineStr">
        <is>
          <t>&lt;p&gt;&lt;/p&gt;</t>
        </is>
      </c>
      <c r="O2567" t="inlineStr">
        <is>
          <t>Select Vehicle:Ns05 tts</t>
        </is>
      </c>
      <c r="P2567" t="inlineStr">
        <is>
          <t>Tipper - Nissan - Navara - NS02TTS</t>
        </is>
      </c>
      <c r="Q2567" t="inlineStr">
        <is>
          <t>UKPN</t>
        </is>
      </c>
      <c r="R2567" t="b">
        <v>0</v>
      </c>
    </row>
    <row r="2568">
      <c r="A2568" t="inlineStr">
        <is>
          <t>5 Jan 2026 / Philip Shaw / Utilities / NGED</t>
        </is>
      </c>
      <c r="B2568" t="inlineStr">
        <is>
          <t>Utilities</t>
        </is>
      </c>
      <c r="C2568" t="inlineStr">
        <is>
          <t>NGED</t>
        </is>
      </c>
      <c r="D2568" t="inlineStr">
        <is>
          <t>AF22TZO , Car - Electric , Tesla , Model 3 Long Range AWD</t>
        </is>
      </c>
      <c r="E2568" t="inlineStr">
        <is>
          <t>AF22TZO , Car - Electric , Tesla , Model 3 Long Range AWD</t>
        </is>
      </c>
      <c r="F2568" t="inlineStr">
        <is>
          <t>AF22TZO , Car - Electric , Tesla , Model 3 Long Range AWD</t>
        </is>
      </c>
      <c r="G2568" t="inlineStr">
        <is>
          <t>Phil shaw</t>
        </is>
      </c>
      <c r="H2568" t="inlineStr">
        <is>
          <t>Car - Electric (GC Owned)</t>
        </is>
      </c>
      <c r="I2568" t="inlineStr">
        <is>
          <t>Daily/ Weekly Vehicle Inspection</t>
        </is>
      </c>
      <c r="J2568" t="inlineStr">
        <is>
          <t>N/A</t>
        </is>
      </c>
      <c r="K2568" t="inlineStr">
        <is>
          <t>Philip Shaw</t>
        </is>
      </c>
      <c r="L2568" t="inlineStr">
        <is>
          <t>05/01/2026 10:40</t>
        </is>
      </c>
      <c r="M2568" t="inlineStr">
        <is>
          <t>None</t>
        </is>
      </c>
      <c r="N2568" t="inlineStr">
        <is>
          <t>&lt;p&gt;&lt;/p&gt;</t>
        </is>
      </c>
      <c r="O2568" t="inlineStr"/>
      <c r="P2568" t="inlineStr">
        <is>
          <t>AF22TZO , Car - Electric , Tesla , Model 3 Long Range AWD</t>
        </is>
      </c>
      <c r="Q2568" t="inlineStr">
        <is>
          <t>NGED</t>
        </is>
      </c>
      <c r="R2568" t="b">
        <v>0</v>
      </c>
    </row>
    <row r="2569">
      <c r="A2569" t="inlineStr">
        <is>
          <t>5 Jan 2026 / Paul Shaw / Utilities / NGED</t>
        </is>
      </c>
      <c r="B2569" t="inlineStr">
        <is>
          <t>Utilities</t>
        </is>
      </c>
      <c r="C2569" t="inlineStr">
        <is>
          <t>NGED</t>
        </is>
      </c>
      <c r="D2569" t="inlineStr">
        <is>
          <t>EY68HPC , 4x4 , Ford , Ranger</t>
        </is>
      </c>
      <c r="E2569" t="inlineStr">
        <is>
          <t>EY68HPC , 4x4 , Ford , Ranger</t>
        </is>
      </c>
      <c r="F2569" t="inlineStr">
        <is>
          <t>EY68HPC , 4x4 , Ford , Ranger</t>
        </is>
      </c>
      <c r="G2569" t="inlineStr">
        <is>
          <t>paul shaw</t>
        </is>
      </c>
      <c r="H2569" t="inlineStr">
        <is>
          <t>Car - Diesel</t>
        </is>
      </c>
      <c r="I2569" t="inlineStr">
        <is>
          <t>Daily/ Weekly Vehicle Inspection</t>
        </is>
      </c>
      <c r="J2569" t="inlineStr">
        <is>
          <t>N/A</t>
        </is>
      </c>
      <c r="K2569" t="inlineStr">
        <is>
          <t>Paul Shaw</t>
        </is>
      </c>
      <c r="L2569" t="inlineStr">
        <is>
          <t>05/01/2026 10:46</t>
        </is>
      </c>
      <c r="M2569" t="inlineStr">
        <is>
          <t>None</t>
        </is>
      </c>
      <c r="N2569" t="inlineStr">
        <is>
          <t>&lt;p&gt;&lt;/p&gt;</t>
        </is>
      </c>
      <c r="O2569" t="inlineStr"/>
      <c r="P2569" t="inlineStr">
        <is>
          <t>EY68HPC , 4x4 , Ford , Ranger</t>
        </is>
      </c>
      <c r="Q2569" t="inlineStr">
        <is>
          <t>NGED</t>
        </is>
      </c>
      <c r="R2569" t="b">
        <v>0</v>
      </c>
    </row>
    <row r="2570">
      <c r="A2570" t="inlineStr">
        <is>
          <t>5 Jan 2026 / Paul Shaw / Utilities / NGED</t>
        </is>
      </c>
      <c r="B2570" t="inlineStr">
        <is>
          <t>Utilities</t>
        </is>
      </c>
      <c r="C2570" t="inlineStr">
        <is>
          <t>NGED</t>
        </is>
      </c>
      <c r="D2570" t="inlineStr">
        <is>
          <t>EY68HPC , 4x4 , Ford , Ranger</t>
        </is>
      </c>
      <c r="E2570" t="inlineStr">
        <is>
          <t>EY68HPC , 4x4 , Ford , Ranger</t>
        </is>
      </c>
      <c r="F2570" t="inlineStr">
        <is>
          <t>EY68HPC , 4x4 , Ford , Ranger</t>
        </is>
      </c>
      <c r="G2570" t="inlineStr">
        <is>
          <t>paul shaw</t>
        </is>
      </c>
      <c r="H2570" t="inlineStr">
        <is>
          <t>4x4</t>
        </is>
      </c>
      <c r="I2570" t="inlineStr">
        <is>
          <t>Daily/ Weekly Vehicle Inspection</t>
        </is>
      </c>
      <c r="J2570" t="inlineStr">
        <is>
          <t>N/A</t>
        </is>
      </c>
      <c r="K2570" t="inlineStr">
        <is>
          <t>Paul Shaw</t>
        </is>
      </c>
      <c r="L2570" t="inlineStr">
        <is>
          <t>05/01/2026 11:40</t>
        </is>
      </c>
      <c r="M2570" t="inlineStr">
        <is>
          <t>None</t>
        </is>
      </c>
      <c r="N2570" t="inlineStr">
        <is>
          <t>&lt;p&gt;&lt;/p&gt;</t>
        </is>
      </c>
      <c r="O2570" t="inlineStr"/>
      <c r="P2570" t="inlineStr">
        <is>
          <t>EY68HPC , 4x4 , Ford , Ranger</t>
        </is>
      </c>
      <c r="Q2570" t="inlineStr">
        <is>
          <t>NGED</t>
        </is>
      </c>
      <c r="R2570" t="b">
        <v>0</v>
      </c>
    </row>
    <row r="2571">
      <c r="A2571" t="inlineStr">
        <is>
          <t>22 Dec 2025 / Paul Shaw / Utilities / NGED</t>
        </is>
      </c>
      <c r="B2571" t="inlineStr">
        <is>
          <t>Utilities</t>
        </is>
      </c>
      <c r="C2571" t="inlineStr">
        <is>
          <t>NGED</t>
        </is>
      </c>
      <c r="D2571" t="inlineStr">
        <is>
          <t>EY68HPC , 4x4 , Ford , Ranger</t>
        </is>
      </c>
      <c r="E2571" t="inlineStr">
        <is>
          <t>EY68HPC , 4x4 , Ford , Ranger</t>
        </is>
      </c>
      <c r="F2571" t="inlineStr">
        <is>
          <t>EY68HPC , 4x4 , Ford , Ranger</t>
        </is>
      </c>
      <c r="G2571" t="inlineStr">
        <is>
          <t>paul shaw</t>
        </is>
      </c>
      <c r="H2571" t="inlineStr">
        <is>
          <t>4x4</t>
        </is>
      </c>
      <c r="I2571" t="inlineStr">
        <is>
          <t>Monthly Vehicle Inspection</t>
        </is>
      </c>
      <c r="J2571" t="inlineStr">
        <is>
          <t>128500</t>
        </is>
      </c>
      <c r="K2571" t="inlineStr">
        <is>
          <t>Paul Shaw</t>
        </is>
      </c>
      <c r="L2571" t="inlineStr">
        <is>
          <t>05/01/2026 11:42</t>
        </is>
      </c>
      <c r="M2571" t="inlineStr">
        <is>
          <t>None</t>
        </is>
      </c>
      <c r="N2571" t="inlineStr">
        <is>
          <t>&lt;p&gt;&lt;/p&gt;</t>
        </is>
      </c>
      <c r="O2571" t="inlineStr"/>
      <c r="P2571" t="inlineStr">
        <is>
          <t>EY68HPC , 4x4 , Ford , Ranger</t>
        </is>
      </c>
      <c r="Q2571" t="inlineStr">
        <is>
          <t>NGED</t>
        </is>
      </c>
      <c r="R2571" t="b">
        <v>0</v>
      </c>
    </row>
    <row r="2572">
      <c r="A2572" t="inlineStr">
        <is>
          <t>15 Dec 2025 / Paul Shaw / Utilities / NGED</t>
        </is>
      </c>
      <c r="B2572" t="inlineStr">
        <is>
          <t>Utilities</t>
        </is>
      </c>
      <c r="C2572" t="inlineStr">
        <is>
          <t>NGED</t>
        </is>
      </c>
      <c r="D2572" t="inlineStr">
        <is>
          <t>EY68HPC , 4x4 , Ford , Ranger</t>
        </is>
      </c>
      <c r="E2572" t="inlineStr">
        <is>
          <t>EY68HPC , 4x4 , Ford , Ranger</t>
        </is>
      </c>
      <c r="F2572" t="inlineStr">
        <is>
          <t>EY68HPC , 4x4 , Ford , Ranger</t>
        </is>
      </c>
      <c r="G2572" t="inlineStr">
        <is>
          <t>paul shaw</t>
        </is>
      </c>
      <c r="H2572" t="inlineStr">
        <is>
          <t>4x4</t>
        </is>
      </c>
      <c r="I2572" t="inlineStr">
        <is>
          <t>Daily/ Weekly Vehicle Inspection</t>
        </is>
      </c>
      <c r="J2572" t="inlineStr">
        <is>
          <t>N/A</t>
        </is>
      </c>
      <c r="K2572" t="inlineStr">
        <is>
          <t>Paul Shaw</t>
        </is>
      </c>
      <c r="L2572" t="inlineStr">
        <is>
          <t>05/01/2026 11:43</t>
        </is>
      </c>
      <c r="M2572" t="inlineStr">
        <is>
          <t>None</t>
        </is>
      </c>
      <c r="N2572" t="inlineStr">
        <is>
          <t>&lt;p&gt;&lt;/p&gt;</t>
        </is>
      </c>
      <c r="O2572" t="inlineStr"/>
      <c r="P2572" t="inlineStr">
        <is>
          <t>EY68HPC , 4x4 , Ford , Ranger</t>
        </is>
      </c>
      <c r="Q2572" t="inlineStr">
        <is>
          <t>NGED</t>
        </is>
      </c>
      <c r="R2572" t="b">
        <v>0</v>
      </c>
    </row>
    <row r="2573">
      <c r="A2573" t="inlineStr">
        <is>
          <t>8 Dec 2025 / Paul Shaw / Utilities / NGED</t>
        </is>
      </c>
      <c r="B2573" t="inlineStr">
        <is>
          <t>Utilities</t>
        </is>
      </c>
      <c r="C2573" t="inlineStr">
        <is>
          <t>NGED</t>
        </is>
      </c>
      <c r="D2573" t="inlineStr">
        <is>
          <t>EY68HPC , 4x4 , Ford , Ranger</t>
        </is>
      </c>
      <c r="E2573" t="inlineStr">
        <is>
          <t>EY68HPC , 4x4 , Ford , Ranger</t>
        </is>
      </c>
      <c r="F2573" t="inlineStr">
        <is>
          <t>EY68HPC , 4x4 , Ford , Ranger</t>
        </is>
      </c>
      <c r="G2573" t="inlineStr">
        <is>
          <t>paul shaw</t>
        </is>
      </c>
      <c r="H2573" t="inlineStr">
        <is>
          <t>4x4</t>
        </is>
      </c>
      <c r="I2573" t="inlineStr">
        <is>
          <t>Daily/ Weekly Vehicle Inspection</t>
        </is>
      </c>
      <c r="J2573" t="inlineStr">
        <is>
          <t>N/A</t>
        </is>
      </c>
      <c r="K2573" t="inlineStr">
        <is>
          <t>Paul Shaw</t>
        </is>
      </c>
      <c r="L2573" t="inlineStr">
        <is>
          <t>05/01/2026 11:44</t>
        </is>
      </c>
      <c r="M2573" t="inlineStr">
        <is>
          <t>None</t>
        </is>
      </c>
      <c r="N2573" t="inlineStr">
        <is>
          <t>&lt;p&gt;&lt;/p&gt;</t>
        </is>
      </c>
      <c r="O2573" t="inlineStr"/>
      <c r="P2573" t="inlineStr">
        <is>
          <t>EY68HPC , 4x4 , Ford , Ranger</t>
        </is>
      </c>
      <c r="Q2573" t="inlineStr">
        <is>
          <t>NGED</t>
        </is>
      </c>
      <c r="R2573" t="b">
        <v>0</v>
      </c>
    </row>
    <row r="2574">
      <c r="A2574" t="inlineStr">
        <is>
          <t>5 Jan 2026 / Alexander Damar / Utilities / UKPN</t>
        </is>
      </c>
      <c r="B2574" t="inlineStr">
        <is>
          <t>Utilities</t>
        </is>
      </c>
      <c r="C2574" t="inlineStr">
        <is>
          <t>UKPN</t>
        </is>
      </c>
      <c r="D2574" t="inlineStr"/>
      <c r="E2574" t="inlineStr"/>
      <c r="F2574" t="inlineStr"/>
      <c r="G2574" t="inlineStr">
        <is>
          <t>A damar</t>
        </is>
      </c>
      <c r="H2574" t="inlineStr">
        <is>
          <t>Car - Petrol</t>
        </is>
      </c>
      <c r="I2574" t="inlineStr">
        <is>
          <t>Daily/ Weekly Vehicle Inspection</t>
        </is>
      </c>
      <c r="J2574" t="inlineStr">
        <is>
          <t>N/A</t>
        </is>
      </c>
      <c r="K2574" t="inlineStr">
        <is>
          <t>Alexander Damar</t>
        </is>
      </c>
      <c r="L2574" t="inlineStr">
        <is>
          <t>05/01/2026 11:45</t>
        </is>
      </c>
      <c r="M2574" t="inlineStr">
        <is>
          <t>None</t>
        </is>
      </c>
      <c r="N2574" t="inlineStr">
        <is>
          <t>&lt;p&gt;&lt;/p&gt;</t>
        </is>
      </c>
      <c r="O2574" t="inlineStr"/>
      <c r="P2574" t="inlineStr"/>
      <c r="Q2574" t="inlineStr">
        <is>
          <t>UKPN</t>
        </is>
      </c>
      <c r="R2574" t="b">
        <v>0</v>
      </c>
    </row>
    <row r="2575">
      <c r="A2575" t="inlineStr">
        <is>
          <t>5 Jan 2026 / Thomas Nandi / Utilities / SSE</t>
        </is>
      </c>
      <c r="B2575" t="inlineStr">
        <is>
          <t>Utilities</t>
        </is>
      </c>
      <c r="C2575" t="inlineStr">
        <is>
          <t>SSE</t>
        </is>
      </c>
      <c r="D2575" t="inlineStr"/>
      <c r="E2575" t="inlineStr"/>
      <c r="F2575" t="inlineStr"/>
      <c r="G2575" t="inlineStr">
        <is>
          <t xml:space="preserve">Tom Nandi </t>
        </is>
      </c>
      <c r="H2575" t="inlineStr">
        <is>
          <t>Car - Petrol</t>
        </is>
      </c>
      <c r="I2575" t="inlineStr">
        <is>
          <t>Monthly Vehicle Inspection</t>
        </is>
      </c>
      <c r="J2575" t="inlineStr">
        <is>
          <t>3134</t>
        </is>
      </c>
      <c r="K2575" t="inlineStr">
        <is>
          <t>Thomas Nandi</t>
        </is>
      </c>
      <c r="L2575" t="inlineStr">
        <is>
          <t>05/01/2026 12:40</t>
        </is>
      </c>
      <c r="M2575" t="inlineStr">
        <is>
          <t>None</t>
        </is>
      </c>
      <c r="N2575" t="inlineStr">
        <is>
          <t>&lt;p&gt;&lt;/p&gt;</t>
        </is>
      </c>
      <c r="O2575" t="inlineStr"/>
      <c r="P2575" t="inlineStr"/>
      <c r="Q2575" t="inlineStr">
        <is>
          <t>SSE</t>
        </is>
      </c>
      <c r="R2575" t="b">
        <v>0</v>
      </c>
    </row>
    <row r="2576">
      <c r="A2576" t="inlineStr">
        <is>
          <t>5 Jan 2026 / Philip Cadwgan / Utilities / NGED</t>
        </is>
      </c>
      <c r="B2576" t="inlineStr">
        <is>
          <t>Utilities</t>
        </is>
      </c>
      <c r="C2576" t="inlineStr">
        <is>
          <t>NGED</t>
        </is>
      </c>
      <c r="D2576" t="inlineStr"/>
      <c r="E2576" t="inlineStr"/>
      <c r="F2576" t="inlineStr"/>
      <c r="G2576" t="inlineStr">
        <is>
          <t>Phill Cadwgan</t>
        </is>
      </c>
      <c r="H2576" t="inlineStr">
        <is>
          <t>Van</t>
        </is>
      </c>
      <c r="I2576" t="inlineStr">
        <is>
          <t>Daily/ Weekly Vehicle Inspection</t>
        </is>
      </c>
      <c r="J2576" t="inlineStr">
        <is>
          <t>N/A</t>
        </is>
      </c>
      <c r="K2576" t="inlineStr">
        <is>
          <t>Philip Cadwgan</t>
        </is>
      </c>
      <c r="L2576" t="inlineStr">
        <is>
          <t>05/01/2026 15:40</t>
        </is>
      </c>
      <c r="M2576" t="inlineStr">
        <is>
          <t>None</t>
        </is>
      </c>
      <c r="N2576" t="inlineStr">
        <is>
          <t>&lt;p&gt;&lt;/p&gt;</t>
        </is>
      </c>
      <c r="O2576" t="inlineStr"/>
      <c r="P2576" t="inlineStr"/>
      <c r="Q2576" t="inlineStr">
        <is>
          <t>NGED</t>
        </is>
      </c>
      <c r="R2576" t="b">
        <v>0</v>
      </c>
    </row>
    <row r="2577">
      <c r="A2577" t="inlineStr">
        <is>
          <t>5 Jan 2026 / Rodney Taylor / Utilities / NGED</t>
        </is>
      </c>
      <c r="B2577" t="inlineStr">
        <is>
          <t>Utilities</t>
        </is>
      </c>
      <c r="C2577" t="inlineStr">
        <is>
          <t>NGED</t>
        </is>
      </c>
      <c r="D2577" t="inlineStr">
        <is>
          <t>EK73UOM , Car - Electric , Kia , Niro</t>
        </is>
      </c>
      <c r="E2577" t="inlineStr">
        <is>
          <t>EK73UOM , Car - Electric , Kia , Niro</t>
        </is>
      </c>
      <c r="F2577" t="inlineStr">
        <is>
          <t>EK73UOM , Car - Electric , Kia , Niro</t>
        </is>
      </c>
      <c r="G2577" t="inlineStr">
        <is>
          <t xml:space="preserve">Rod Taylor </t>
        </is>
      </c>
      <c r="H2577" t="inlineStr">
        <is>
          <t>Car - Electric (GC Owned)</t>
        </is>
      </c>
      <c r="I2577" t="inlineStr">
        <is>
          <t>Daily/ Weekly Vehicle Inspection</t>
        </is>
      </c>
      <c r="J2577" t="inlineStr">
        <is>
          <t>N/A</t>
        </is>
      </c>
      <c r="K2577" t="inlineStr">
        <is>
          <t>Rodney Taylor</t>
        </is>
      </c>
      <c r="L2577" t="inlineStr">
        <is>
          <t>05/01/2026 15:43</t>
        </is>
      </c>
      <c r="M2577" t="inlineStr">
        <is>
          <t>None</t>
        </is>
      </c>
      <c r="N2577" t="inlineStr">
        <is>
          <t>&lt;p&gt;&lt;/p&gt;</t>
        </is>
      </c>
      <c r="O2577" t="inlineStr"/>
      <c r="P2577" t="inlineStr">
        <is>
          <t>EK73UOM , Car - Electric , Kia , Niro</t>
        </is>
      </c>
      <c r="Q2577" t="inlineStr">
        <is>
          <t>NGED</t>
        </is>
      </c>
      <c r="R2577" t="b">
        <v>0</v>
      </c>
    </row>
    <row r="2578">
      <c r="A2578" t="inlineStr">
        <is>
          <t>6 Jan 2026 / 7806 Optimum Tree Services Ltd / Utilities / UKPN</t>
        </is>
      </c>
      <c r="B2578" t="inlineStr">
        <is>
          <t>Utilities</t>
        </is>
      </c>
      <c r="C2578" t="inlineStr">
        <is>
          <t>UKPN</t>
        </is>
      </c>
      <c r="D2578" t="inlineStr">
        <is>
          <t>SA9ST800000283069 , Chipper , Forst , ST 6P</t>
        </is>
      </c>
      <c r="E2578" t="inlineStr">
        <is>
          <t>SA9ST800000283069 , Chipper , Forst , ST 6P</t>
        </is>
      </c>
      <c r="F2578" t="inlineStr">
        <is>
          <t>SA9ST800000283069 , Chipper , Forst , ST 6P</t>
        </is>
      </c>
      <c r="G2578" t="inlineStr">
        <is>
          <t xml:space="preserve">Kenny Aldred </t>
        </is>
      </c>
      <c r="H2578" t="inlineStr">
        <is>
          <t>Towed Chipper</t>
        </is>
      </c>
      <c r="I2578" t="inlineStr">
        <is>
          <t>Daily/ Weekly Vehicle Inspection</t>
        </is>
      </c>
      <c r="J2578" t="inlineStr">
        <is>
          <t>N/A</t>
        </is>
      </c>
      <c r="K2578" t="inlineStr">
        <is>
          <t>7806 Optimum Tree Services Ltd</t>
        </is>
      </c>
      <c r="L2578" t="inlineStr">
        <is>
          <t>06/01/2026 07:41</t>
        </is>
      </c>
      <c r="M2578" t="inlineStr">
        <is>
          <t>None</t>
        </is>
      </c>
      <c r="N2578" t="inlineStr">
        <is>
          <t>&lt;p&gt;&lt;/p&gt;</t>
        </is>
      </c>
      <c r="O2578" t="inlineStr"/>
      <c r="P2578" t="inlineStr">
        <is>
          <t>SA9ST800000283069 , Chipper , Forst , ST 6P</t>
        </is>
      </c>
      <c r="Q2578" t="inlineStr">
        <is>
          <t>UKPN</t>
        </is>
      </c>
      <c r="R2578" t="b">
        <v>0</v>
      </c>
    </row>
    <row r="2579">
      <c r="A2579" t="inlineStr">
        <is>
          <t>6 Jan 2026 / 7806 Optimum Tree Services Ltd / Utilities / UKPN</t>
        </is>
      </c>
      <c r="B2579" t="inlineStr">
        <is>
          <t>Utilities</t>
        </is>
      </c>
      <c r="C2579" t="inlineStr">
        <is>
          <t>UKPN</t>
        </is>
      </c>
      <c r="D2579" t="inlineStr">
        <is>
          <t>WD14EVB , MEWP , Land Rover , Defender</t>
        </is>
      </c>
      <c r="E2579" t="inlineStr">
        <is>
          <t>WD14EVB , MEWP , Land Rover , Defender</t>
        </is>
      </c>
      <c r="F2579" t="inlineStr">
        <is>
          <t>WD14EVB , MEWP , Land Rover , Defender</t>
        </is>
      </c>
      <c r="G2579" t="inlineStr">
        <is>
          <t xml:space="preserve">Kenny Aldred </t>
        </is>
      </c>
      <c r="H2579" t="inlineStr">
        <is>
          <t>4x4</t>
        </is>
      </c>
      <c r="I2579" t="inlineStr">
        <is>
          <t>Daily/ Weekly Vehicle Inspection</t>
        </is>
      </c>
      <c r="J2579" t="inlineStr">
        <is>
          <t>N/A</t>
        </is>
      </c>
      <c r="K2579" t="inlineStr">
        <is>
          <t>7806 Optimum Tree Services Ltd</t>
        </is>
      </c>
      <c r="L2579" t="inlineStr">
        <is>
          <t>06/01/2026 07:42</t>
        </is>
      </c>
      <c r="M2579" t="inlineStr">
        <is>
          <t>None</t>
        </is>
      </c>
      <c r="N2579" t="inlineStr">
        <is>
          <t>&lt;p&gt;&lt;/p&gt;</t>
        </is>
      </c>
      <c r="O2579" t="inlineStr"/>
      <c r="P2579" t="inlineStr">
        <is>
          <t>WD14EVB , MEWP , Land Rover , Defender</t>
        </is>
      </c>
      <c r="Q2579" t="inlineStr">
        <is>
          <t>UKPN</t>
        </is>
      </c>
      <c r="R2579" t="b">
        <v>0</v>
      </c>
    </row>
    <row r="2580">
      <c r="A2580" t="inlineStr">
        <is>
          <t>6 Jan 2026 / Ashley Marples / Utilities / NGED</t>
        </is>
      </c>
      <c r="B2580" t="inlineStr">
        <is>
          <t>Utilities</t>
        </is>
      </c>
      <c r="C2580" t="inlineStr">
        <is>
          <t>NGED</t>
        </is>
      </c>
      <c r="D2580" t="inlineStr">
        <is>
          <t>GJ71KAU , Car - Electric , Tesla , Model 3 Long Range AWD</t>
        </is>
      </c>
      <c r="E2580" t="inlineStr">
        <is>
          <t>GJ71KAU , Car - Electric , Tesla , Model 3 Long Range AWD</t>
        </is>
      </c>
      <c r="F2580" t="inlineStr">
        <is>
          <t>GJ71KAU , Car - Electric , Tesla , Model 3 Long Range AWD</t>
        </is>
      </c>
      <c r="G2580" t="inlineStr">
        <is>
          <t xml:space="preserve">Ashley Marples </t>
        </is>
      </c>
      <c r="H2580" t="inlineStr">
        <is>
          <t>Car - Electric (GC Owned)</t>
        </is>
      </c>
      <c r="I2580" t="inlineStr">
        <is>
          <t>Daily/ Weekly Vehicle Inspection</t>
        </is>
      </c>
      <c r="J2580" t="inlineStr">
        <is>
          <t>N/A</t>
        </is>
      </c>
      <c r="K2580" t="inlineStr">
        <is>
          <t>Ashley Marples</t>
        </is>
      </c>
      <c r="L2580" t="inlineStr">
        <is>
          <t>06/01/2026 07:42</t>
        </is>
      </c>
      <c r="M2580" t="inlineStr">
        <is>
          <t>None</t>
        </is>
      </c>
      <c r="N2580" t="inlineStr">
        <is>
          <t>&lt;p&gt;&lt;/p&gt;</t>
        </is>
      </c>
      <c r="O2580" t="inlineStr"/>
      <c r="P2580" t="inlineStr">
        <is>
          <t>GJ71KAU , Car - Electric , Tesla , Model 3 Long Range AWD</t>
        </is>
      </c>
      <c r="Q2580" t="inlineStr">
        <is>
          <t>NGED</t>
        </is>
      </c>
      <c r="R2580" t="b">
        <v>0</v>
      </c>
    </row>
    <row r="2581">
      <c r="A2581" t="inlineStr">
        <is>
          <t>6 Jan 2026 / Anthony Gale / Utilities / UKPN</t>
        </is>
      </c>
      <c r="B2581" t="inlineStr">
        <is>
          <t>Utilities</t>
        </is>
      </c>
      <c r="C2581" t="inlineStr">
        <is>
          <t>UKPN</t>
        </is>
      </c>
      <c r="D2581" t="inlineStr">
        <is>
          <t>KX20 BCE , Tipper , Isuzu , D-Max</t>
        </is>
      </c>
      <c r="E2581" t="inlineStr">
        <is>
          <t>KX20 BCE , Tipper , Isuzu , D-Max</t>
        </is>
      </c>
      <c r="F2581" t="inlineStr">
        <is>
          <t>KX20 BCE , Tipper , Isuzu , D-Max</t>
        </is>
      </c>
      <c r="G2581" t="inlineStr">
        <is>
          <t xml:space="preserve">Anthony Gale </t>
        </is>
      </c>
      <c r="H2581" t="inlineStr">
        <is>
          <t>Pickup Truck</t>
        </is>
      </c>
      <c r="I2581" t="inlineStr">
        <is>
          <t>Daily/ Weekly Vehicle Inspection</t>
        </is>
      </c>
      <c r="J2581" t="inlineStr">
        <is>
          <t>N/A</t>
        </is>
      </c>
      <c r="K2581" t="inlineStr">
        <is>
          <t>7996 M G Tree Surgery Ltd 1</t>
        </is>
      </c>
      <c r="L2581" t="inlineStr">
        <is>
          <t>06/01/2026 07:43</t>
        </is>
      </c>
      <c r="M2581" t="inlineStr">
        <is>
          <t>None</t>
        </is>
      </c>
      <c r="N2581" t="inlineStr">
        <is>
          <t>&lt;p&gt;&lt;/p&gt;</t>
        </is>
      </c>
      <c r="O2581" t="inlineStr">
        <is>
          <t>Confirm that you have checked this vehicle as per the guidance document and the vehicle is safe and roadworthy:Rear light board deteriorating, secure for now.
Will need replacing soon though.
-</t>
        </is>
      </c>
      <c r="P2581" t="inlineStr">
        <is>
          <t>KX20 BCE , Tipper , Isuzu , D-Max</t>
        </is>
      </c>
      <c r="Q2581" t="inlineStr">
        <is>
          <t>UKPN</t>
        </is>
      </c>
      <c r="R2581" t="b">
        <v>0</v>
      </c>
    </row>
    <row r="2582">
      <c r="A2582" t="inlineStr">
        <is>
          <t>6 Jan 2026 / Anthony Gale / Utilities / UKPN</t>
        </is>
      </c>
      <c r="B2582" t="inlineStr">
        <is>
          <t>Utilities</t>
        </is>
      </c>
      <c r="C2582" t="inlineStr">
        <is>
          <t>UKPN</t>
        </is>
      </c>
      <c r="D2582" t="inlineStr"/>
      <c r="E2582" t="inlineStr"/>
      <c r="F2582" t="inlineStr"/>
      <c r="G2582" t="inlineStr">
        <is>
          <t xml:space="preserve">Anthony Gale </t>
        </is>
      </c>
      <c r="H2582" t="inlineStr">
        <is>
          <t>Towed Chipper</t>
        </is>
      </c>
      <c r="I2582" t="inlineStr">
        <is>
          <t>Daily/ Weekly Vehicle Inspection</t>
        </is>
      </c>
      <c r="J2582" t="inlineStr">
        <is>
          <t>N/A</t>
        </is>
      </c>
      <c r="K2582" t="inlineStr">
        <is>
          <t>7996 M G Tree Surgery Ltd 1</t>
        </is>
      </c>
      <c r="L2582" t="inlineStr">
        <is>
          <t>06/01/2026 07:43</t>
        </is>
      </c>
      <c r="M2582" t="inlineStr">
        <is>
          <t>None</t>
        </is>
      </c>
      <c r="N2582" t="inlineStr">
        <is>
          <t>&lt;p&gt;&lt;/p&gt;</t>
        </is>
      </c>
      <c r="O2582" t="inlineStr"/>
      <c r="P2582" t="inlineStr"/>
      <c r="Q2582" t="inlineStr">
        <is>
          <t>UKPN</t>
        </is>
      </c>
      <c r="R2582" t="b">
        <v>0</v>
      </c>
    </row>
    <row r="2583">
      <c r="A2583" t="inlineStr">
        <is>
          <t>6 Jan 2026 / 3098 D &amp; R Landscapes / Utilities / UKPN</t>
        </is>
      </c>
      <c r="B2583" t="inlineStr">
        <is>
          <t>Utilities</t>
        </is>
      </c>
      <c r="C2583" t="inlineStr">
        <is>
          <t>UKPN</t>
        </is>
      </c>
      <c r="D2583" t="inlineStr">
        <is>
          <t>BT20 GNZ , Vehicle , Nissan , Navara</t>
        </is>
      </c>
      <c r="E2583" t="inlineStr">
        <is>
          <t>BT20 GNZ , Vehicle , Nissan , Navara</t>
        </is>
      </c>
      <c r="F2583" t="inlineStr">
        <is>
          <t>BT20 GNZ , Vehicle , Nissan , Navara</t>
        </is>
      </c>
      <c r="G2583" t="inlineStr">
        <is>
          <t>Jason</t>
        </is>
      </c>
      <c r="H2583" t="inlineStr">
        <is>
          <t>Pickup Truck</t>
        </is>
      </c>
      <c r="I2583" t="inlineStr">
        <is>
          <t>Daily/ Weekly Vehicle Inspection</t>
        </is>
      </c>
      <c r="J2583" t="inlineStr">
        <is>
          <t>N/A</t>
        </is>
      </c>
      <c r="K2583" t="inlineStr">
        <is>
          <t>3098 D &amp; R Landscapes</t>
        </is>
      </c>
      <c r="L2583" t="inlineStr">
        <is>
          <t>06/01/2026 07:44</t>
        </is>
      </c>
      <c r="M2583" t="inlineStr">
        <is>
          <t>None</t>
        </is>
      </c>
      <c r="N2583" t="inlineStr">
        <is>
          <t>&lt;p&gt;&lt;/p&gt;</t>
        </is>
      </c>
      <c r="O2583" t="inlineStr"/>
      <c r="P2583" t="inlineStr">
        <is>
          <t>BT20 GNZ , Vehicle , Nissan , Navara</t>
        </is>
      </c>
      <c r="Q2583" t="inlineStr">
        <is>
          <t>UKPN</t>
        </is>
      </c>
      <c r="R2583" t="b">
        <v>0</v>
      </c>
    </row>
    <row r="2584">
      <c r="A2584" t="inlineStr">
        <is>
          <t>6 Jan 2026 / Thomas Playford / Utilities / UKPN</t>
        </is>
      </c>
      <c r="B2584" t="inlineStr">
        <is>
          <t>Utilities</t>
        </is>
      </c>
      <c r="C2584" t="inlineStr">
        <is>
          <t>UKPN</t>
        </is>
      </c>
      <c r="D2584" t="inlineStr">
        <is>
          <t>SA9ST800000283944 , Tow Chipper , Forst , ST8D - Towed</t>
        </is>
      </c>
      <c r="E2584" t="inlineStr">
        <is>
          <t>SA9ST800000283944 , Tow Chipper , Forst , ST8D - Towed</t>
        </is>
      </c>
      <c r="F2584" t="inlineStr">
        <is>
          <t>SA9ST800000283944 , Tow Chipper , Forst , ST8D - Towed</t>
        </is>
      </c>
      <c r="G2584" t="inlineStr">
        <is>
          <t>Thomas Playford</t>
        </is>
      </c>
      <c r="H2584" t="inlineStr">
        <is>
          <t>Towed Chipper</t>
        </is>
      </c>
      <c r="I2584" t="inlineStr">
        <is>
          <t>Daily/ Weekly Vehicle Inspection</t>
        </is>
      </c>
      <c r="J2584" t="inlineStr">
        <is>
          <t>N/A</t>
        </is>
      </c>
      <c r="K2584" t="inlineStr">
        <is>
          <t>7995 Green Net Eco Ltd 2</t>
        </is>
      </c>
      <c r="L2584" t="inlineStr">
        <is>
          <t>06/01/2026 09:41</t>
        </is>
      </c>
      <c r="M2584" t="inlineStr">
        <is>
          <t>None</t>
        </is>
      </c>
      <c r="N2584" t="inlineStr">
        <is>
          <t>&lt;p&gt;&lt;/p&gt;</t>
        </is>
      </c>
      <c r="O2584" t="inlineStr"/>
      <c r="P2584" t="inlineStr">
        <is>
          <t>SA9ST800000283944 , Tow Chipper , Forst , ST8D - Towed</t>
        </is>
      </c>
      <c r="Q2584" t="inlineStr">
        <is>
          <t>UKPN</t>
        </is>
      </c>
      <c r="R2584" t="b">
        <v>0</v>
      </c>
    </row>
    <row r="2585">
      <c r="A2585" t="inlineStr">
        <is>
          <t>6 Jan 2026 / Thomas Playford / Utilities / UKPN</t>
        </is>
      </c>
      <c r="B2585" t="inlineStr">
        <is>
          <t>Utilities</t>
        </is>
      </c>
      <c r="C2585" t="inlineStr">
        <is>
          <t>UKPN</t>
        </is>
      </c>
      <c r="D2585" t="inlineStr">
        <is>
          <t>LK15KRZ , 4x4 , Landrover , Defender</t>
        </is>
      </c>
      <c r="E2585" t="inlineStr">
        <is>
          <t>LK15KRZ , 4x4 , Landrover , Defender</t>
        </is>
      </c>
      <c r="F2585" t="inlineStr">
        <is>
          <t>LK15KRZ , 4x4 , Landrover , Defender</t>
        </is>
      </c>
      <c r="G2585" t="inlineStr">
        <is>
          <t>Thomas Playford</t>
        </is>
      </c>
      <c r="H2585" t="inlineStr">
        <is>
          <t>4x4</t>
        </is>
      </c>
      <c r="I2585" t="inlineStr">
        <is>
          <t>Daily/ Weekly Vehicle Inspection</t>
        </is>
      </c>
      <c r="J2585" t="inlineStr">
        <is>
          <t>N/A</t>
        </is>
      </c>
      <c r="K2585" t="inlineStr">
        <is>
          <t>7995 Green Net Eco Ltd 2</t>
        </is>
      </c>
      <c r="L2585" t="inlineStr">
        <is>
          <t>06/01/2026 09:42</t>
        </is>
      </c>
      <c r="M2585" t="inlineStr">
        <is>
          <t>None</t>
        </is>
      </c>
      <c r="N2585" t="inlineStr">
        <is>
          <t>&lt;p&gt;&lt;/p&gt;</t>
        </is>
      </c>
      <c r="O2585" t="inlineStr"/>
      <c r="P2585" t="inlineStr">
        <is>
          <t>LK15KRZ , 4x4 , Landrover , Defender</t>
        </is>
      </c>
      <c r="Q2585" t="inlineStr">
        <is>
          <t>UKPN</t>
        </is>
      </c>
      <c r="R2585" t="b">
        <v>0</v>
      </c>
    </row>
    <row r="2586">
      <c r="A2586" t="inlineStr">
        <is>
          <t>6 Jan 2026 / 7996 M G Tree Surgery Ltd / Utilities / UKPN</t>
        </is>
      </c>
      <c r="B2586" t="inlineStr">
        <is>
          <t>Utilities</t>
        </is>
      </c>
      <c r="C2586" t="inlineStr">
        <is>
          <t>UKPN</t>
        </is>
      </c>
      <c r="D2586" t="inlineStr">
        <is>
          <t>GU13 WNL , MEWP , Land Rover , Defender 130</t>
        </is>
      </c>
      <c r="E2586" t="inlineStr">
        <is>
          <t>GU13 WNL , MEWP , Land Rover , Defender 130</t>
        </is>
      </c>
      <c r="F2586" t="inlineStr">
        <is>
          <t>GU13 WNL , MEWP , Land Rover , Defender 130</t>
        </is>
      </c>
      <c r="G2586" t="inlineStr">
        <is>
          <t>Max</t>
        </is>
      </c>
      <c r="H2586" t="inlineStr">
        <is>
          <t>4x4</t>
        </is>
      </c>
      <c r="I2586" t="inlineStr">
        <is>
          <t>Daily/ Weekly Vehicle Inspection</t>
        </is>
      </c>
      <c r="J2586" t="inlineStr">
        <is>
          <t>N/A</t>
        </is>
      </c>
      <c r="K2586" t="inlineStr">
        <is>
          <t>7996 M G Tree Surgery Ltd</t>
        </is>
      </c>
      <c r="L2586" t="inlineStr">
        <is>
          <t>06/01/2026 09:43</t>
        </is>
      </c>
      <c r="M2586" t="inlineStr">
        <is>
          <t>None</t>
        </is>
      </c>
      <c r="N2586" t="inlineStr">
        <is>
          <t>&lt;p&gt;&lt;/p&gt;</t>
        </is>
      </c>
      <c r="O2586" t="inlineStr"/>
      <c r="P2586" t="inlineStr">
        <is>
          <t>GU13 WNL , MEWP , Land Rover , Defender 130</t>
        </is>
      </c>
      <c r="Q2586" t="inlineStr">
        <is>
          <t>UKPN</t>
        </is>
      </c>
      <c r="R2586" t="b">
        <v>0</v>
      </c>
    </row>
    <row r="2587">
      <c r="A2587" t="inlineStr">
        <is>
          <t>6 Jan 2026 / James Heaton / Utilities / NGED</t>
        </is>
      </c>
      <c r="B2587" t="inlineStr">
        <is>
          <t>Utilities</t>
        </is>
      </c>
      <c r="C2587" t="inlineStr">
        <is>
          <t>NGED</t>
        </is>
      </c>
      <c r="D2587" t="inlineStr">
        <is>
          <t>AJ23EKC , Car - Electric , Tesla , Model 3 Long Range AWD</t>
        </is>
      </c>
      <c r="E2587" t="inlineStr">
        <is>
          <t>AJ23EKC , Car - Electric , Tesla , Model 3 Long Range AWD</t>
        </is>
      </c>
      <c r="F2587" t="inlineStr">
        <is>
          <t>AJ23EKC , Car - Electric , Tesla , Model 3 Long Range AWD</t>
        </is>
      </c>
      <c r="G2587" t="inlineStr">
        <is>
          <t>James heaton</t>
        </is>
      </c>
      <c r="H2587" t="inlineStr">
        <is>
          <t>Car - Electric (GC Owned)</t>
        </is>
      </c>
      <c r="I2587" t="inlineStr">
        <is>
          <t>Daily/ Weekly Vehicle Inspection</t>
        </is>
      </c>
      <c r="J2587" t="inlineStr">
        <is>
          <t>N/A</t>
        </is>
      </c>
      <c r="K2587" t="inlineStr">
        <is>
          <t>James Heaton</t>
        </is>
      </c>
      <c r="L2587" t="inlineStr">
        <is>
          <t>06/01/2026 09:45</t>
        </is>
      </c>
      <c r="M2587" t="inlineStr">
        <is>
          <t xml:space="preserve">Confirm that you have checked this vehicle as per the guidance document and the vehicle is safe and roadworthy: Fail
</t>
        </is>
      </c>
      <c r="N2587" t="inlineStr">
        <is>
          <t>&lt;p&gt;&lt;a href="https&amp;#58;//apps.powerapps.com/play/2d567dc9-5d50-4629-a077-f7ccbff3e239?tenantId=3ef9f654-aa07-41b8-88ad-a411c62bd12c&amp;amp;Action=Open&amp;amp;Actionno=7627"&gt;amber alert&lt;/a&gt;&lt;br&gt;&lt;/p&gt;</t>
        </is>
      </c>
      <c r="O2587" t="inlineStr"/>
      <c r="P2587" t="inlineStr">
        <is>
          <t>AJ23EKC , Car - Electric , Tesla , Model 3 Long Range AWD</t>
        </is>
      </c>
      <c r="Q2587" t="inlineStr">
        <is>
          <t>NGED</t>
        </is>
      </c>
      <c r="R2587" t="b">
        <v>0</v>
      </c>
    </row>
    <row r="2588">
      <c r="A2588" t="inlineStr">
        <is>
          <t>6 Jan 2026 / Mathew Dunn / Utilities / SSE</t>
        </is>
      </c>
      <c r="B2588" t="inlineStr">
        <is>
          <t>Utilities</t>
        </is>
      </c>
      <c r="C2588" t="inlineStr">
        <is>
          <t>SSE</t>
        </is>
      </c>
      <c r="D2588" t="inlineStr">
        <is>
          <t>GN70XAU , Car - Electric , Tesla , Model 3 Long Range AWD</t>
        </is>
      </c>
      <c r="E2588" t="inlineStr">
        <is>
          <t>GN70XAU , Car - Electric , Tesla , Model 3 Long Range AWD</t>
        </is>
      </c>
      <c r="F2588" t="inlineStr">
        <is>
          <t>GN70XAU , Car - Electric , Tesla , Model 3 Long Range AWD</t>
        </is>
      </c>
      <c r="G2588" t="inlineStr">
        <is>
          <t xml:space="preserve">Mathew dunn </t>
        </is>
      </c>
      <c r="H2588" t="inlineStr">
        <is>
          <t>Car - Electric (GC Owned)</t>
        </is>
      </c>
      <c r="I2588" t="inlineStr">
        <is>
          <t>Monthly Vehicle Inspection</t>
        </is>
      </c>
      <c r="J2588" t="inlineStr">
        <is>
          <t>77513</t>
        </is>
      </c>
      <c r="K2588" t="inlineStr">
        <is>
          <t>Mathew Dunn</t>
        </is>
      </c>
      <c r="L2588" t="inlineStr">
        <is>
          <t>06/01/2026 10:41</t>
        </is>
      </c>
      <c r="M2588" t="inlineStr">
        <is>
          <t>None</t>
        </is>
      </c>
      <c r="N2588" t="inlineStr">
        <is>
          <t>&lt;p&gt;&lt;/p&gt;</t>
        </is>
      </c>
      <c r="O2588" t="inlineStr"/>
      <c r="P2588" t="inlineStr">
        <is>
          <t>GN70XAU , Car - Electric , Tesla , Model 3 Long Range AWD</t>
        </is>
      </c>
      <c r="Q2588" t="inlineStr">
        <is>
          <t>SSE</t>
        </is>
      </c>
      <c r="R2588" t="b">
        <v>0</v>
      </c>
    </row>
    <row r="2589">
      <c r="A2589" t="inlineStr">
        <is>
          <t>6 Jan 2026 / Andrew Carr / Utilities / SSE</t>
        </is>
      </c>
      <c r="B2589" t="inlineStr">
        <is>
          <t>Utilities</t>
        </is>
      </c>
      <c r="C2589" t="inlineStr">
        <is>
          <t>SSE</t>
        </is>
      </c>
      <c r="D2589" t="inlineStr"/>
      <c r="E2589" t="inlineStr"/>
      <c r="F2589" t="inlineStr"/>
      <c r="G2589" t="inlineStr">
        <is>
          <t>Andrew Carr</t>
        </is>
      </c>
      <c r="H2589" t="inlineStr">
        <is>
          <t>Car - Petrol</t>
        </is>
      </c>
      <c r="I2589" t="inlineStr">
        <is>
          <t>Daily/ Weekly Vehicle Inspection</t>
        </is>
      </c>
      <c r="J2589" t="inlineStr">
        <is>
          <t>N/A</t>
        </is>
      </c>
      <c r="K2589" t="inlineStr">
        <is>
          <t>Andrew Carr</t>
        </is>
      </c>
      <c r="L2589" t="inlineStr">
        <is>
          <t>06/01/2026 11:40</t>
        </is>
      </c>
      <c r="M2589" t="inlineStr">
        <is>
          <t>None</t>
        </is>
      </c>
      <c r="N2589" t="inlineStr">
        <is>
          <t>&lt;p&gt;&lt;/p&gt;</t>
        </is>
      </c>
      <c r="O2589" t="inlineStr"/>
      <c r="P2589" t="inlineStr"/>
      <c r="Q2589" t="inlineStr">
        <is>
          <t>SSE</t>
        </is>
      </c>
      <c r="R2589" t="b">
        <v>0</v>
      </c>
    </row>
    <row r="2590">
      <c r="A2590" t="inlineStr">
        <is>
          <t>6 Jan 2026 / Joshua Stones / Utilities / SSE</t>
        </is>
      </c>
      <c r="B2590" t="inlineStr">
        <is>
          <t>Utilities</t>
        </is>
      </c>
      <c r="C2590" t="inlineStr">
        <is>
          <t>SSE</t>
        </is>
      </c>
      <c r="D2590" t="inlineStr"/>
      <c r="E2590" t="inlineStr"/>
      <c r="F2590" t="inlineStr"/>
      <c r="G2590" t="inlineStr">
        <is>
          <t>Josh stones</t>
        </is>
      </c>
      <c r="H2590" t="inlineStr">
        <is>
          <t>Van</t>
        </is>
      </c>
      <c r="I2590" t="inlineStr">
        <is>
          <t>Daily/ Weekly Vehicle Inspection</t>
        </is>
      </c>
      <c r="J2590" t="inlineStr">
        <is>
          <t>N/A</t>
        </is>
      </c>
      <c r="K2590" t="inlineStr">
        <is>
          <t>Joshua Stones</t>
        </is>
      </c>
      <c r="L2590" t="inlineStr">
        <is>
          <t>06/01/2026 11:41</t>
        </is>
      </c>
      <c r="M2590" t="inlineStr">
        <is>
          <t>None</t>
        </is>
      </c>
      <c r="N2590" t="inlineStr">
        <is>
          <t>&lt;p&gt;&lt;/p&gt;</t>
        </is>
      </c>
      <c r="O2590" t="inlineStr"/>
      <c r="P2590" t="inlineStr"/>
      <c r="Q2590" t="inlineStr">
        <is>
          <t>SSE</t>
        </is>
      </c>
      <c r="R2590" t="b">
        <v>0</v>
      </c>
    </row>
    <row r="2591">
      <c r="A2591" t="inlineStr">
        <is>
          <t>6 Jan 2026 / Thomas Playford / Utilities / UKPN</t>
        </is>
      </c>
      <c r="B2591" t="inlineStr">
        <is>
          <t>Utilities</t>
        </is>
      </c>
      <c r="C2591" t="inlineStr">
        <is>
          <t>UKPN</t>
        </is>
      </c>
      <c r="D2591" t="inlineStr">
        <is>
          <t>SA9ST800000283944 , Tow Chipper , Forst , ST8D - Towed</t>
        </is>
      </c>
      <c r="E2591" t="inlineStr">
        <is>
          <t>SA9ST800000283944 , Tow Chipper , Forst , ST8D - Towed</t>
        </is>
      </c>
      <c r="F2591" t="inlineStr">
        <is>
          <t>SA9ST800000283944 , Tow Chipper , Forst , ST8D - Towed</t>
        </is>
      </c>
      <c r="G2591" t="inlineStr">
        <is>
          <t>Thomas Playford</t>
        </is>
      </c>
      <c r="H2591" t="inlineStr">
        <is>
          <t>Towed Chipper</t>
        </is>
      </c>
      <c r="I2591" t="inlineStr">
        <is>
          <t>Daily/ Weekly Vehicle Inspection</t>
        </is>
      </c>
      <c r="J2591" t="inlineStr">
        <is>
          <t>N/A</t>
        </is>
      </c>
      <c r="K2591" t="inlineStr">
        <is>
          <t>7995 Green Net Eco Ltd 2</t>
        </is>
      </c>
      <c r="L2591" t="inlineStr">
        <is>
          <t>06/01/2026 11:42</t>
        </is>
      </c>
      <c r="M2591" t="inlineStr">
        <is>
          <t>None</t>
        </is>
      </c>
      <c r="N2591" t="inlineStr">
        <is>
          <t>&lt;p&gt;&lt;/p&gt;</t>
        </is>
      </c>
      <c r="O2591" t="inlineStr"/>
      <c r="P2591" t="inlineStr">
        <is>
          <t>SA9ST800000283944 , Tow Chipper , Forst , ST8D - Towed</t>
        </is>
      </c>
      <c r="Q2591" t="inlineStr">
        <is>
          <t>UKPN</t>
        </is>
      </c>
      <c r="R2591" t="b">
        <v>0</v>
      </c>
    </row>
    <row r="2592">
      <c r="A2592" t="inlineStr">
        <is>
          <t>6 Jan 2026 / Christopher Simeoli / Utilities / NGED</t>
        </is>
      </c>
      <c r="B2592" t="inlineStr">
        <is>
          <t>Utilities</t>
        </is>
      </c>
      <c r="C2592" t="inlineStr">
        <is>
          <t>NGED</t>
        </is>
      </c>
      <c r="D2592" t="inlineStr">
        <is>
          <t>EO73KVB , Car - Electric , Kia , Niro</t>
        </is>
      </c>
      <c r="E2592" t="inlineStr">
        <is>
          <t>EO73KVB , Car - Electric , Kia , Niro</t>
        </is>
      </c>
      <c r="F2592" t="inlineStr">
        <is>
          <t>EO73KVB , Car - Electric , Kia , Niro</t>
        </is>
      </c>
      <c r="G2592" t="inlineStr">
        <is>
          <t>Chris Simeoli</t>
        </is>
      </c>
      <c r="H2592" t="inlineStr">
        <is>
          <t>Car - Electric (GC Owned)</t>
        </is>
      </c>
      <c r="I2592" t="inlineStr">
        <is>
          <t>Daily/ Weekly Vehicle Inspection</t>
        </is>
      </c>
      <c r="J2592" t="inlineStr">
        <is>
          <t>N/A</t>
        </is>
      </c>
      <c r="K2592" t="inlineStr">
        <is>
          <t>Christopher Simeoli</t>
        </is>
      </c>
      <c r="L2592" t="inlineStr">
        <is>
          <t>06/01/2026 12:41</t>
        </is>
      </c>
      <c r="M2592" t="inlineStr">
        <is>
          <t xml:space="preserve">Confirm that you have checked this vehicle as per the guidance document and the vehicle is safe and roadworthy: Fail
</t>
        </is>
      </c>
      <c r="N2592" t="inlineStr">
        <is>
          <t>&lt;p&gt;&lt;a href="https&amp;#58;//apps.powerapps.com/play/2d567dc9-5d50-4629-a077-f7ccbff3e239?tenantId=3ef9f654-aa07-41b8-88ad-a411c62bd12c&amp;amp;Action=Open&amp;amp;Actionno=7632"&gt;fix tyre&lt;/a&gt;&lt;br&gt;&lt;/p&gt;</t>
        </is>
      </c>
      <c r="O2592" t="inlineStr"/>
      <c r="P2592" t="inlineStr">
        <is>
          <t>EO73KVB , Car - Electric , Kia , Niro</t>
        </is>
      </c>
      <c r="Q2592" t="inlineStr">
        <is>
          <t>NGED</t>
        </is>
      </c>
      <c r="R2592" t="b">
        <v>0</v>
      </c>
    </row>
    <row r="2593">
      <c r="A2593" t="inlineStr">
        <is>
          <t>6 Jan 2026 / 7951 Austin Tree Care LTD / Utilities / UKPN</t>
        </is>
      </c>
      <c r="B2593" t="inlineStr">
        <is>
          <t>Utilities</t>
        </is>
      </c>
      <c r="C2593" t="inlineStr">
        <is>
          <t>UKPN</t>
        </is>
      </c>
      <c r="D2593" t="inlineStr">
        <is>
          <t>WG64HTT , 4x4 , Land Rover , Defender 110</t>
        </is>
      </c>
      <c r="E2593" t="inlineStr">
        <is>
          <t>WG64HTT , 4x4 , Land Rover , Defender 110</t>
        </is>
      </c>
      <c r="F2593" t="inlineStr">
        <is>
          <t>WG64HTT , 4x4 , Land Rover , Defender 110</t>
        </is>
      </c>
      <c r="G2593" t="inlineStr">
        <is>
          <t xml:space="preserve">Jack Austin </t>
        </is>
      </c>
      <c r="H2593" t="inlineStr">
        <is>
          <t>4x4</t>
        </is>
      </c>
      <c r="I2593" t="inlineStr">
        <is>
          <t>Daily/ Weekly Vehicle Inspection</t>
        </is>
      </c>
      <c r="J2593" t="inlineStr">
        <is>
          <t>N/A</t>
        </is>
      </c>
      <c r="K2593" t="inlineStr">
        <is>
          <t>7951 Austin Tree Care LTD</t>
        </is>
      </c>
      <c r="L2593" t="inlineStr">
        <is>
          <t>06/01/2026 12:41</t>
        </is>
      </c>
      <c r="M2593" t="inlineStr">
        <is>
          <t>None</t>
        </is>
      </c>
      <c r="N2593" t="inlineStr">
        <is>
          <t>&lt;p&gt;&lt;/p&gt;</t>
        </is>
      </c>
      <c r="O2593" t="inlineStr"/>
      <c r="P2593" t="inlineStr">
        <is>
          <t>WG64HTT , 4x4 , Land Rover , Defender 110</t>
        </is>
      </c>
      <c r="Q2593" t="inlineStr">
        <is>
          <t>UKPN</t>
        </is>
      </c>
      <c r="R2593" t="b">
        <v>0</v>
      </c>
    </row>
    <row r="2594">
      <c r="A2594" t="inlineStr">
        <is>
          <t>6 Jan 2026 / 6556 DE UA SWales3 / Utilities / NGED</t>
        </is>
      </c>
      <c r="B2594" t="inlineStr">
        <is>
          <t>Utilities</t>
        </is>
      </c>
      <c r="C2594" t="inlineStr">
        <is>
          <t>NGED</t>
        </is>
      </c>
      <c r="D2594" t="inlineStr">
        <is>
          <t>WO23RVN , Van , Ford , Ranger</t>
        </is>
      </c>
      <c r="E2594" t="inlineStr">
        <is>
          <t>WO23RVN , Van , Ford , Ranger</t>
        </is>
      </c>
      <c r="F2594" t="inlineStr">
        <is>
          <t>WO23RVN , Van , Ford , Ranger</t>
        </is>
      </c>
      <c r="G2594" t="inlineStr">
        <is>
          <t xml:space="preserve">Daniel davies </t>
        </is>
      </c>
      <c r="H2594" t="inlineStr">
        <is>
          <t>4x4</t>
        </is>
      </c>
      <c r="I2594" t="inlineStr">
        <is>
          <t>Daily/ Weekly Vehicle Inspection</t>
        </is>
      </c>
      <c r="J2594" t="inlineStr">
        <is>
          <t>N/A</t>
        </is>
      </c>
      <c r="K2594" t="inlineStr">
        <is>
          <t>6556 DE UA SWales3</t>
        </is>
      </c>
      <c r="L2594" t="inlineStr">
        <is>
          <t>06/01/2026 14:40</t>
        </is>
      </c>
      <c r="M2594" t="inlineStr">
        <is>
          <t>None</t>
        </is>
      </c>
      <c r="N2594" t="inlineStr">
        <is>
          <t>&lt;p&gt;&lt;/p&gt;</t>
        </is>
      </c>
      <c r="O2594" t="inlineStr"/>
      <c r="P2594" t="inlineStr">
        <is>
          <t>WO23RVN , Van , Ford , Ranger</t>
        </is>
      </c>
      <c r="Q2594" t="inlineStr">
        <is>
          <t>NGED</t>
        </is>
      </c>
      <c r="R2594" t="b">
        <v>0</v>
      </c>
    </row>
    <row r="2595">
      <c r="A2595" t="inlineStr">
        <is>
          <t>6 Jan 2026 / 6556 DE UA SWales3 / Utilities / NGED</t>
        </is>
      </c>
      <c r="B2595" t="inlineStr">
        <is>
          <t>Utilities</t>
        </is>
      </c>
      <c r="C2595" t="inlineStr">
        <is>
          <t>NGED</t>
        </is>
      </c>
      <c r="D2595" t="inlineStr">
        <is>
          <t>BT72WYC , N/A , Isuzu , D-Max</t>
        </is>
      </c>
      <c r="E2595" t="inlineStr">
        <is>
          <t>BT72WYC , N/A , Isuzu , D-Max</t>
        </is>
      </c>
      <c r="F2595" t="inlineStr">
        <is>
          <t>BT72WYC , N/A , Isuzu , D-Max</t>
        </is>
      </c>
      <c r="G2595" t="inlineStr">
        <is>
          <t xml:space="preserve">Becky raymond </t>
        </is>
      </c>
      <c r="H2595" t="inlineStr">
        <is>
          <t>4x4</t>
        </is>
      </c>
      <c r="I2595" t="inlineStr">
        <is>
          <t>Daily/ Weekly Vehicle Inspection</t>
        </is>
      </c>
      <c r="J2595" t="inlineStr">
        <is>
          <t>N/A</t>
        </is>
      </c>
      <c r="K2595" t="inlineStr">
        <is>
          <t>6556 DE UA SWales3</t>
        </is>
      </c>
      <c r="L2595" t="inlineStr">
        <is>
          <t>06/01/2026 14:40</t>
        </is>
      </c>
      <c r="M2595" t="inlineStr">
        <is>
          <t>None</t>
        </is>
      </c>
      <c r="N2595" t="inlineStr">
        <is>
          <t>&lt;p&gt;&lt;/p&gt;</t>
        </is>
      </c>
      <c r="O2595" t="inlineStr"/>
      <c r="P2595" t="inlineStr">
        <is>
          <t>BT72WYC , N/A , Isuzu , D-Max</t>
        </is>
      </c>
      <c r="Q2595" t="inlineStr">
        <is>
          <t>NGED</t>
        </is>
      </c>
      <c r="R2595" t="b">
        <v>0</v>
      </c>
    </row>
    <row r="2596">
      <c r="A2596" t="inlineStr">
        <is>
          <t>6 Jan 2026 / 6556 DE UA SWales3 / Utilities / NGED</t>
        </is>
      </c>
      <c r="B2596" t="inlineStr">
        <is>
          <t>Utilities</t>
        </is>
      </c>
      <c r="C2596" t="inlineStr">
        <is>
          <t>NGED</t>
        </is>
      </c>
      <c r="D2596" t="inlineStr">
        <is>
          <t>BK72ZPG , N/A , Isuzu , D-Max</t>
        </is>
      </c>
      <c r="E2596" t="inlineStr">
        <is>
          <t>BK72ZPG , N/A , Isuzu , D-Max</t>
        </is>
      </c>
      <c r="F2596" t="inlineStr">
        <is>
          <t>BK72ZPG , N/A , Isuzu , D-Max</t>
        </is>
      </c>
      <c r="G2596" t="inlineStr">
        <is>
          <t xml:space="preserve">Adrian Evans </t>
        </is>
      </c>
      <c r="H2596" t="inlineStr">
        <is>
          <t>4x4</t>
        </is>
      </c>
      <c r="I2596" t="inlineStr">
        <is>
          <t>Daily/ Weekly Vehicle Inspection</t>
        </is>
      </c>
      <c r="J2596" t="inlineStr">
        <is>
          <t>N/A</t>
        </is>
      </c>
      <c r="K2596" t="inlineStr">
        <is>
          <t>6556 DE UA SWales3</t>
        </is>
      </c>
      <c r="L2596" t="inlineStr">
        <is>
          <t>06/01/2026 14:41</t>
        </is>
      </c>
      <c r="M2596" t="inlineStr">
        <is>
          <t>None</t>
        </is>
      </c>
      <c r="N2596" t="inlineStr">
        <is>
          <t>&lt;p&gt;&lt;/p&gt;</t>
        </is>
      </c>
      <c r="O2596" t="inlineStr"/>
      <c r="P2596" t="inlineStr">
        <is>
          <t>BK72ZPG , N/A , Isuzu , D-Max</t>
        </is>
      </c>
      <c r="Q2596" t="inlineStr">
        <is>
          <t>NGED</t>
        </is>
      </c>
      <c r="R2596" t="b">
        <v>0</v>
      </c>
    </row>
    <row r="2597">
      <c r="A2597" t="inlineStr">
        <is>
          <t>6 Jan 2026 / Jane Moore / Utilities / NGED</t>
        </is>
      </c>
      <c r="B2597" t="inlineStr">
        <is>
          <t>Utilities</t>
        </is>
      </c>
      <c r="C2597" t="inlineStr">
        <is>
          <t>NGED</t>
        </is>
      </c>
      <c r="D2597" t="inlineStr">
        <is>
          <t>GL20TGZ , Car - Electric , Tesla , Model 3 Long Range AWD</t>
        </is>
      </c>
      <c r="E2597" t="inlineStr">
        <is>
          <t>GL20TGZ , Car - Electric , Tesla , Model 3 Long Range AWD</t>
        </is>
      </c>
      <c r="F2597" t="inlineStr">
        <is>
          <t>GL20TGZ , Car - Electric , Tesla , Model 3 Long Range AWD</t>
        </is>
      </c>
      <c r="G2597" t="inlineStr">
        <is>
          <t xml:space="preserve">Jane Moore </t>
        </is>
      </c>
      <c r="H2597" t="inlineStr">
        <is>
          <t>Car - Electric (GC Owned)</t>
        </is>
      </c>
      <c r="I2597" t="inlineStr">
        <is>
          <t>Daily/ Weekly Vehicle Inspection</t>
        </is>
      </c>
      <c r="J2597" t="inlineStr">
        <is>
          <t>N/A</t>
        </is>
      </c>
      <c r="K2597" t="inlineStr">
        <is>
          <t>Jane Moore</t>
        </is>
      </c>
      <c r="L2597" t="inlineStr">
        <is>
          <t>06/01/2026 14:44</t>
        </is>
      </c>
      <c r="M2597" t="inlineStr">
        <is>
          <t>None</t>
        </is>
      </c>
      <c r="N2597" t="inlineStr">
        <is>
          <t>&lt;p&gt;&lt;/p&gt;</t>
        </is>
      </c>
      <c r="O2597" t="inlineStr"/>
      <c r="P2597" t="inlineStr">
        <is>
          <t>GL20TGZ , Car - Electric , Tesla , Model 3 Long Range AWD</t>
        </is>
      </c>
      <c r="Q2597" t="inlineStr">
        <is>
          <t>NGED</t>
        </is>
      </c>
      <c r="R2597" t="b">
        <v>0</v>
      </c>
    </row>
    <row r="2598">
      <c r="A2598" t="inlineStr">
        <is>
          <t>6 Jan 2026 / Jake Bolwell / Utilities / SSE</t>
        </is>
      </c>
      <c r="B2598" t="inlineStr">
        <is>
          <t>Utilities</t>
        </is>
      </c>
      <c r="C2598" t="inlineStr">
        <is>
          <t>SSE</t>
        </is>
      </c>
      <c r="D2598" t="inlineStr">
        <is>
          <t>AK23YLP , Car - Electric , Tesla , Model Y Long Range</t>
        </is>
      </c>
      <c r="E2598" t="inlineStr">
        <is>
          <t>AK23YLP , Car - Electric , Tesla , Model Y Long Range</t>
        </is>
      </c>
      <c r="F2598" t="inlineStr">
        <is>
          <t>AK23YLP , Car - Electric , Tesla , Model Y Long Range</t>
        </is>
      </c>
      <c r="G2598" t="inlineStr">
        <is>
          <t>Jake Bolwell</t>
        </is>
      </c>
      <c r="H2598" t="inlineStr">
        <is>
          <t>Car - Electric (GC Owned)</t>
        </is>
      </c>
      <c r="I2598" t="inlineStr">
        <is>
          <t>Daily/ Weekly Vehicle Inspection</t>
        </is>
      </c>
      <c r="J2598" t="inlineStr">
        <is>
          <t>N/A</t>
        </is>
      </c>
      <c r="K2598" t="inlineStr">
        <is>
          <t>Jake Bolwell</t>
        </is>
      </c>
      <c r="L2598" t="inlineStr">
        <is>
          <t>06/01/2026 15:40</t>
        </is>
      </c>
      <c r="M2598" t="inlineStr">
        <is>
          <t>None</t>
        </is>
      </c>
      <c r="N2598" t="inlineStr">
        <is>
          <t>&lt;p&gt;&lt;/p&gt;</t>
        </is>
      </c>
      <c r="O2598" t="inlineStr"/>
      <c r="P2598" t="inlineStr">
        <is>
          <t>AK23YLP , Car - Electric , Tesla , Model Y Long Range</t>
        </is>
      </c>
      <c r="Q2598" t="inlineStr">
        <is>
          <t>SSE</t>
        </is>
      </c>
      <c r="R2598" t="b">
        <v>0</v>
      </c>
    </row>
    <row r="2599">
      <c r="A2599" t="inlineStr">
        <is>
          <t>6 Jan 2026 / Jane Moore / Utilities / NGED</t>
        </is>
      </c>
      <c r="B2599" t="inlineStr">
        <is>
          <t>Utilities</t>
        </is>
      </c>
      <c r="C2599" t="inlineStr">
        <is>
          <t>NGED</t>
        </is>
      </c>
      <c r="D2599" t="inlineStr">
        <is>
          <t>GL20TGZ , Car - Electric , Tesla , Model 3 Long Range AWD</t>
        </is>
      </c>
      <c r="E2599" t="inlineStr">
        <is>
          <t>GL20TGZ , Car - Electric , Tesla , Model 3 Long Range AWD</t>
        </is>
      </c>
      <c r="F2599" t="inlineStr">
        <is>
          <t>GL20TGZ , Car - Electric , Tesla , Model 3 Long Range AWD</t>
        </is>
      </c>
      <c r="G2599" t="inlineStr">
        <is>
          <t xml:space="preserve">Jane Moore </t>
        </is>
      </c>
      <c r="H2599" t="inlineStr">
        <is>
          <t>Car - Electric (GC Owned)</t>
        </is>
      </c>
      <c r="I2599" t="inlineStr">
        <is>
          <t>Daily/ Weekly Vehicle Inspection</t>
        </is>
      </c>
      <c r="J2599" t="inlineStr">
        <is>
          <t>N/A</t>
        </is>
      </c>
      <c r="K2599" t="inlineStr">
        <is>
          <t>Jane Moore</t>
        </is>
      </c>
      <c r="L2599" t="inlineStr">
        <is>
          <t>06/01/2026 15:41</t>
        </is>
      </c>
      <c r="M2599" t="inlineStr">
        <is>
          <t>None</t>
        </is>
      </c>
      <c r="N2599" t="inlineStr">
        <is>
          <t>&lt;p&gt;&lt;/p&gt;</t>
        </is>
      </c>
      <c r="O2599" t="inlineStr">
        <is>
          <t>Confirm that you have checked this vehicle as per the guidance document and the vehicle is safe and roadworthy:Damaged passenger side wing mirror. Clipped when avoiding wobbling cyclist
-</t>
        </is>
      </c>
      <c r="P2599" t="inlineStr">
        <is>
          <t>GL20TGZ , Car - Electric , Tesla , Model 3 Long Range AWD</t>
        </is>
      </c>
      <c r="Q2599" t="inlineStr">
        <is>
          <t>NGED</t>
        </is>
      </c>
      <c r="R2599" t="b">
        <v>0</v>
      </c>
    </row>
    <row r="2600">
      <c r="A2600" t="inlineStr">
        <is>
          <t>6 Jan 2026 / Jane Moore / Utilities / NGED</t>
        </is>
      </c>
      <c r="B2600" t="inlineStr">
        <is>
          <t>Utilities</t>
        </is>
      </c>
      <c r="C2600" t="inlineStr">
        <is>
          <t>NGED</t>
        </is>
      </c>
      <c r="D2600" t="inlineStr">
        <is>
          <t>GL20TGZ , Car - Electric , Tesla , Model 3 Long Range AWD</t>
        </is>
      </c>
      <c r="E2600" t="inlineStr">
        <is>
          <t>GL20TGZ , Car - Electric , Tesla , Model 3 Long Range AWD</t>
        </is>
      </c>
      <c r="F2600" t="inlineStr">
        <is>
          <t>GL20TGZ , Car - Electric , Tesla , Model 3 Long Range AWD</t>
        </is>
      </c>
      <c r="G2600" t="inlineStr">
        <is>
          <t xml:space="preserve">Jane Moore </t>
        </is>
      </c>
      <c r="H2600" t="inlineStr">
        <is>
          <t>Car - Electric (GC Owned)</t>
        </is>
      </c>
      <c r="I2600" t="inlineStr">
        <is>
          <t>Daily/ Weekly Vehicle Inspection</t>
        </is>
      </c>
      <c r="J2600" t="inlineStr">
        <is>
          <t>N/A</t>
        </is>
      </c>
      <c r="K2600" t="inlineStr">
        <is>
          <t>Jane Moore</t>
        </is>
      </c>
      <c r="L2600" t="inlineStr">
        <is>
          <t>06/01/2026 17:40</t>
        </is>
      </c>
      <c r="M2600" t="inlineStr">
        <is>
          <t>None</t>
        </is>
      </c>
      <c r="N2600" t="inlineStr">
        <is>
          <t>&lt;p&gt;&lt;/p&gt;</t>
        </is>
      </c>
      <c r="O2600" t="inlineStr">
        <is>
          <t>Confirm that you have checked this vehicle as per the guidance document and the vehicle is safe and roadworthy:Damaged passenger side wing mirror. Clipped a branch over road when driving on narrow rural road, whilst behind a cyclist
-</t>
        </is>
      </c>
      <c r="P2600" t="inlineStr">
        <is>
          <t>GL20TGZ , Car - Electric , Tesla , Model 3 Long Range AWD</t>
        </is>
      </c>
      <c r="Q2600" t="inlineStr">
        <is>
          <t>NGED</t>
        </is>
      </c>
      <c r="R2600" t="b">
        <v>0</v>
      </c>
    </row>
    <row r="2601">
      <c r="A2601" t="inlineStr">
        <is>
          <t>5 Jan 2026 / Benet Jones / Utilities / NGED</t>
        </is>
      </c>
      <c r="B2601" t="inlineStr">
        <is>
          <t>Utilities</t>
        </is>
      </c>
      <c r="C2601" t="inlineStr">
        <is>
          <t>NGED</t>
        </is>
      </c>
      <c r="D2601" t="inlineStr"/>
      <c r="E2601" t="inlineStr"/>
      <c r="F2601" t="inlineStr"/>
      <c r="G2601" t="inlineStr">
        <is>
          <t xml:space="preserve">Benet Jones </t>
        </is>
      </c>
      <c r="H2601" t="inlineStr">
        <is>
          <t>Car - Petrol</t>
        </is>
      </c>
      <c r="I2601" t="inlineStr">
        <is>
          <t>Daily/ Weekly Vehicle Inspection</t>
        </is>
      </c>
      <c r="J2601" t="inlineStr">
        <is>
          <t>N/A</t>
        </is>
      </c>
      <c r="K2601" t="inlineStr">
        <is>
          <t>Benet Jones</t>
        </is>
      </c>
      <c r="L2601" t="inlineStr">
        <is>
          <t>06/01/2026 21:25</t>
        </is>
      </c>
      <c r="M2601" t="inlineStr">
        <is>
          <t>None</t>
        </is>
      </c>
      <c r="N2601" t="inlineStr">
        <is>
          <t>&lt;p&gt;&lt;/p&gt;</t>
        </is>
      </c>
      <c r="O2601" t="inlineStr"/>
      <c r="P2601" t="inlineStr"/>
      <c r="Q2601" t="inlineStr">
        <is>
          <t>NGED</t>
        </is>
      </c>
      <c r="R2601" t="b">
        <v>0</v>
      </c>
    </row>
    <row r="2602">
      <c r="A2602" t="inlineStr">
        <is>
          <t>7 Jan 2026 / 7186 Eastwoodbury Tree Services Ltd / Utilities / UKPN</t>
        </is>
      </c>
      <c r="B2602" t="inlineStr">
        <is>
          <t>Utilities</t>
        </is>
      </c>
      <c r="C2602" t="inlineStr">
        <is>
          <t>UKPN</t>
        </is>
      </c>
      <c r="D2602" t="inlineStr">
        <is>
          <t>WF13 EKT , 4x4 , Land rover  , Defender</t>
        </is>
      </c>
      <c r="E2602" t="inlineStr">
        <is>
          <t>WF13 EKT , 4x4 , Land rover  , Defender</t>
        </is>
      </c>
      <c r="F2602" t="inlineStr">
        <is>
          <t>WF13 EKT , 4x4 , Land rover  , Defender</t>
        </is>
      </c>
      <c r="G2602" t="inlineStr">
        <is>
          <t xml:space="preserve">Dan Gilbert </t>
        </is>
      </c>
      <c r="H2602" t="inlineStr">
        <is>
          <t>4x4</t>
        </is>
      </c>
      <c r="I2602" t="inlineStr">
        <is>
          <t>Daily/ Weekly Vehicle Inspection</t>
        </is>
      </c>
      <c r="J2602" t="inlineStr">
        <is>
          <t>N/A</t>
        </is>
      </c>
      <c r="K2602" t="inlineStr">
        <is>
          <t>7186 Eastwoodbury Tree Services Ltd</t>
        </is>
      </c>
      <c r="L2602" t="inlineStr">
        <is>
          <t>07/01/2026 07:40</t>
        </is>
      </c>
      <c r="M2602" t="inlineStr">
        <is>
          <t>None</t>
        </is>
      </c>
      <c r="N2602" t="inlineStr">
        <is>
          <t>&lt;p&gt;&lt;/p&gt;</t>
        </is>
      </c>
      <c r="O2602" t="inlineStr"/>
      <c r="P2602" t="inlineStr">
        <is>
          <t>WF13 EKT , 4x4 , Land rover  , Defender</t>
        </is>
      </c>
      <c r="Q2602" t="inlineStr">
        <is>
          <t>UKPN</t>
        </is>
      </c>
      <c r="R2602" t="b">
        <v>0</v>
      </c>
    </row>
    <row r="2603">
      <c r="A2603" t="inlineStr">
        <is>
          <t>7 Jan 2026 / 7186 Eastwoodbury Tree Services Ltd / Utilities / UKPN</t>
        </is>
      </c>
      <c r="B2603" t="inlineStr">
        <is>
          <t>Utilities</t>
        </is>
      </c>
      <c r="C2603" t="inlineStr">
        <is>
          <t>UKPN</t>
        </is>
      </c>
      <c r="D2603" t="inlineStr">
        <is>
          <t>FX14 XCV , 4x4 , Land Rover  , Defender</t>
        </is>
      </c>
      <c r="E2603" t="inlineStr">
        <is>
          <t>FX14 XCV , 4x4 , Land Rover  , Defender</t>
        </is>
      </c>
      <c r="F2603" t="inlineStr">
        <is>
          <t>FX14 XCV , 4x4 , Land Rover  , Defender</t>
        </is>
      </c>
      <c r="G2603" t="inlineStr">
        <is>
          <t xml:space="preserve">Jay Denkmayer </t>
        </is>
      </c>
      <c r="H2603" t="inlineStr">
        <is>
          <t>4x4</t>
        </is>
      </c>
      <c r="I2603" t="inlineStr">
        <is>
          <t>Daily/ Weekly Vehicle Inspection</t>
        </is>
      </c>
      <c r="J2603" t="inlineStr">
        <is>
          <t>N/A</t>
        </is>
      </c>
      <c r="K2603" t="inlineStr">
        <is>
          <t>7186 Eastwoodbury Tree Services Ltd</t>
        </is>
      </c>
      <c r="L2603" t="inlineStr">
        <is>
          <t>07/01/2026 07:41</t>
        </is>
      </c>
      <c r="M2603" t="inlineStr">
        <is>
          <t>None</t>
        </is>
      </c>
      <c r="N2603" t="inlineStr">
        <is>
          <t>&lt;p&gt;&lt;/p&gt;</t>
        </is>
      </c>
      <c r="O2603" t="inlineStr"/>
      <c r="P2603" t="inlineStr">
        <is>
          <t>FX14 XCV , 4x4 , Land Rover  , Defender</t>
        </is>
      </c>
      <c r="Q2603" t="inlineStr">
        <is>
          <t>UKPN</t>
        </is>
      </c>
      <c r="R2603" t="b">
        <v>0</v>
      </c>
    </row>
    <row r="2604">
      <c r="A2604" t="inlineStr">
        <is>
          <t>7 Jan 2026 / 7806 Optimum Tree Services Ltd / Utilities / UKPN</t>
        </is>
      </c>
      <c r="B2604" t="inlineStr">
        <is>
          <t>Utilities</t>
        </is>
      </c>
      <c r="C2604" t="inlineStr">
        <is>
          <t>UKPN</t>
        </is>
      </c>
      <c r="D2604" t="inlineStr">
        <is>
          <t>Wd14evn , 4x4 , Landrover  , Defender</t>
        </is>
      </c>
      <c r="E2604" t="inlineStr">
        <is>
          <t>Wd14evn , 4x4 , Landrover  , Defender</t>
        </is>
      </c>
      <c r="F2604" t="inlineStr">
        <is>
          <t>Wd14evn , 4x4 , Landrover  , Defender</t>
        </is>
      </c>
      <c r="G2604" t="inlineStr">
        <is>
          <t xml:space="preserve">Kenny Aldred </t>
        </is>
      </c>
      <c r="H2604" t="inlineStr">
        <is>
          <t>4x4</t>
        </is>
      </c>
      <c r="I2604" t="inlineStr">
        <is>
          <t>Daily/ Weekly Vehicle Inspection</t>
        </is>
      </c>
      <c r="J2604" t="inlineStr">
        <is>
          <t>N/A</t>
        </is>
      </c>
      <c r="K2604" t="inlineStr">
        <is>
          <t>7806 Optimum Tree Services Ltd</t>
        </is>
      </c>
      <c r="L2604" t="inlineStr">
        <is>
          <t>07/01/2026 07:41</t>
        </is>
      </c>
      <c r="M2604" t="inlineStr">
        <is>
          <t>None</t>
        </is>
      </c>
      <c r="N2604" t="inlineStr">
        <is>
          <t>&lt;p&gt;&lt;/p&gt;</t>
        </is>
      </c>
      <c r="O2604" t="inlineStr"/>
      <c r="P2604" t="inlineStr">
        <is>
          <t>Wd14evn , 4x4 , Landrover  , Defender</t>
        </is>
      </c>
      <c r="Q2604" t="inlineStr">
        <is>
          <t>UKPN</t>
        </is>
      </c>
      <c r="R2604" t="b">
        <v>0</v>
      </c>
    </row>
    <row r="2605">
      <c r="A2605" t="inlineStr">
        <is>
          <t>7 Jan 2026 / 7806 Optimum Tree Services Ltd / Utilities / UKPN</t>
        </is>
      </c>
      <c r="B2605" t="inlineStr">
        <is>
          <t>Utilities</t>
        </is>
      </c>
      <c r="C2605" t="inlineStr">
        <is>
          <t>UKPN</t>
        </is>
      </c>
      <c r="D2605" t="inlineStr">
        <is>
          <t>SA9TAPLAF27414263 , Trailer , Tow Mate , Plant Trailer</t>
        </is>
      </c>
      <c r="E2605" t="inlineStr">
        <is>
          <t>SA9TAPLAF27414263 , Trailer , Tow Mate , Plant Trailer</t>
        </is>
      </c>
      <c r="F2605" t="inlineStr">
        <is>
          <t>SA9TAPLAF27414263 , Trailer , Tow Mate , Plant Trailer</t>
        </is>
      </c>
      <c r="G2605" t="inlineStr">
        <is>
          <t xml:space="preserve">Abraham Davies </t>
        </is>
      </c>
      <c r="H2605" t="inlineStr">
        <is>
          <t>Plant Trailer</t>
        </is>
      </c>
      <c r="I2605" t="inlineStr">
        <is>
          <t>Daily/ Weekly Vehicle Inspection</t>
        </is>
      </c>
      <c r="J2605" t="inlineStr">
        <is>
          <t>N/A</t>
        </is>
      </c>
      <c r="K2605" t="inlineStr">
        <is>
          <t>7806 Optimum Tree Services Ltd</t>
        </is>
      </c>
      <c r="L2605" t="inlineStr">
        <is>
          <t>07/01/2026 07:42</t>
        </is>
      </c>
      <c r="M2605" t="inlineStr">
        <is>
          <t>None</t>
        </is>
      </c>
      <c r="N2605" t="inlineStr">
        <is>
          <t>&lt;p&gt;&lt;/p&gt;</t>
        </is>
      </c>
      <c r="O2605" t="inlineStr"/>
      <c r="P2605" t="inlineStr">
        <is>
          <t>SA9TAPLAF27414263 , Trailer , Tow Mate , Plant Trailer</t>
        </is>
      </c>
      <c r="Q2605" t="inlineStr">
        <is>
          <t>UKPN</t>
        </is>
      </c>
      <c r="R2605" t="b">
        <v>0</v>
      </c>
    </row>
    <row r="2606">
      <c r="A2606" t="inlineStr">
        <is>
          <t>7 Jan 2026 / 7806 Optimum Tree Services Ltd / Utilities / UKPN</t>
        </is>
      </c>
      <c r="B2606" t="inlineStr">
        <is>
          <t>Utilities</t>
        </is>
      </c>
      <c r="C2606" t="inlineStr">
        <is>
          <t>UKPN</t>
        </is>
      </c>
      <c r="D2606" t="inlineStr">
        <is>
          <t>WD14EVB , MEWP , Land Rover , Defender</t>
        </is>
      </c>
      <c r="E2606" t="inlineStr">
        <is>
          <t>WD14EVB , MEWP , Land Rover , Defender</t>
        </is>
      </c>
      <c r="F2606" t="inlineStr">
        <is>
          <t>WD14EVB , MEWP , Land Rover , Defender</t>
        </is>
      </c>
      <c r="G2606" t="inlineStr">
        <is>
          <t xml:space="preserve">Abraham Davies </t>
        </is>
      </c>
      <c r="H2606" t="inlineStr">
        <is>
          <t>4x4</t>
        </is>
      </c>
      <c r="I2606" t="inlineStr">
        <is>
          <t>Daily/ Weekly Vehicle Inspection</t>
        </is>
      </c>
      <c r="J2606" t="inlineStr">
        <is>
          <t>N/A</t>
        </is>
      </c>
      <c r="K2606" t="inlineStr">
        <is>
          <t>7806 Optimum Tree Services Ltd</t>
        </is>
      </c>
      <c r="L2606" t="inlineStr">
        <is>
          <t>07/01/2026 07:42</t>
        </is>
      </c>
      <c r="M2606" t="inlineStr">
        <is>
          <t>None</t>
        </is>
      </c>
      <c r="N2606" t="inlineStr">
        <is>
          <t>&lt;p&gt;&lt;/p&gt;</t>
        </is>
      </c>
      <c r="O2606" t="inlineStr"/>
      <c r="P2606" t="inlineStr">
        <is>
          <t>WD14EVB , MEWP , Land Rover , Defender</t>
        </is>
      </c>
      <c r="Q2606" t="inlineStr">
        <is>
          <t>UKPN</t>
        </is>
      </c>
      <c r="R2606" t="b">
        <v>0</v>
      </c>
    </row>
    <row r="2607">
      <c r="A2607" t="inlineStr">
        <is>
          <t>7 Jan 2026 / Anthony Gale / Utilities / UKPN</t>
        </is>
      </c>
      <c r="B2607" t="inlineStr">
        <is>
          <t>Utilities</t>
        </is>
      </c>
      <c r="C2607" t="inlineStr">
        <is>
          <t>UKPN</t>
        </is>
      </c>
      <c r="D2607" t="inlineStr">
        <is>
          <t>KX20 BCE , Tipper , Isuzu , D-Max</t>
        </is>
      </c>
      <c r="E2607" t="inlineStr">
        <is>
          <t>KX20 BCE , Tipper , Isuzu , D-Max</t>
        </is>
      </c>
      <c r="F2607" t="inlineStr">
        <is>
          <t>KX20 BCE , Tipper , Isuzu , D-Max</t>
        </is>
      </c>
      <c r="G2607" t="inlineStr">
        <is>
          <t>Anthony Gale</t>
        </is>
      </c>
      <c r="H2607" t="inlineStr">
        <is>
          <t>Pickup Truck</t>
        </is>
      </c>
      <c r="I2607" t="inlineStr">
        <is>
          <t>Daily/ Weekly Vehicle Inspection</t>
        </is>
      </c>
      <c r="J2607" t="inlineStr">
        <is>
          <t>N/A</t>
        </is>
      </c>
      <c r="K2607" t="inlineStr">
        <is>
          <t>7996 M G Tree Surgery Ltd 1</t>
        </is>
      </c>
      <c r="L2607" t="inlineStr">
        <is>
          <t>07/01/2026 07:44</t>
        </is>
      </c>
      <c r="M2607" t="inlineStr">
        <is>
          <t>None</t>
        </is>
      </c>
      <c r="N2607" t="inlineStr">
        <is>
          <t>&lt;p&gt;&lt;/p&gt;</t>
        </is>
      </c>
      <c r="O2607" t="inlineStr">
        <is>
          <t>Confirm that you have checked this vehicle as per the guidance document and the vehicle is safe and roadworthy:Light board deteriorating, will need replacing soon.
Secure and safe to drive through.
-</t>
        </is>
      </c>
      <c r="P2607" t="inlineStr">
        <is>
          <t>KX20 BCE , Tipper , Isuzu , D-Max</t>
        </is>
      </c>
      <c r="Q2607" t="inlineStr">
        <is>
          <t>UKPN</t>
        </is>
      </c>
      <c r="R2607" t="b">
        <v>0</v>
      </c>
    </row>
    <row r="2608">
      <c r="A2608" t="inlineStr">
        <is>
          <t>7 Jan 2026 / Anthony Gale / Utilities / UKPN</t>
        </is>
      </c>
      <c r="B2608" t="inlineStr">
        <is>
          <t>Utilities</t>
        </is>
      </c>
      <c r="C2608" t="inlineStr">
        <is>
          <t>UKPN</t>
        </is>
      </c>
      <c r="D2608" t="inlineStr"/>
      <c r="E2608" t="inlineStr"/>
      <c r="F2608" t="inlineStr"/>
      <c r="G2608" t="inlineStr">
        <is>
          <t>Anthony Gale</t>
        </is>
      </c>
      <c r="H2608" t="inlineStr">
        <is>
          <t>Towed Chipper</t>
        </is>
      </c>
      <c r="I2608" t="inlineStr">
        <is>
          <t>Daily/ Weekly Vehicle Inspection</t>
        </is>
      </c>
      <c r="J2608" t="inlineStr">
        <is>
          <t>N/A</t>
        </is>
      </c>
      <c r="K2608" t="inlineStr">
        <is>
          <t>7996 M G Tree Surgery Ltd 1</t>
        </is>
      </c>
      <c r="L2608" t="inlineStr">
        <is>
          <t>07/01/2026 07:44</t>
        </is>
      </c>
      <c r="M2608" t="inlineStr">
        <is>
          <t>None</t>
        </is>
      </c>
      <c r="N2608" t="inlineStr">
        <is>
          <t>&lt;p&gt;&lt;/p&gt;</t>
        </is>
      </c>
      <c r="O2608" t="inlineStr"/>
      <c r="P2608" t="inlineStr"/>
      <c r="Q2608" t="inlineStr">
        <is>
          <t>UKPN</t>
        </is>
      </c>
      <c r="R2608" t="b">
        <v>0</v>
      </c>
    </row>
    <row r="2609">
      <c r="A2609" t="inlineStr">
        <is>
          <t>7 Jan 2026 / 7996 M G Tree Surgery Ltd / Utilities / UKPN</t>
        </is>
      </c>
      <c r="B2609" t="inlineStr">
        <is>
          <t>Utilities</t>
        </is>
      </c>
      <c r="C2609" t="inlineStr">
        <is>
          <t>UKPN</t>
        </is>
      </c>
      <c r="D2609" t="inlineStr">
        <is>
          <t>GU13 WNL , MEWP , Land Rover , Defender 130</t>
        </is>
      </c>
      <c r="E2609" t="inlineStr">
        <is>
          <t>GU13 WNL , MEWP , Land Rover , Defender 130</t>
        </is>
      </c>
      <c r="F2609" t="inlineStr">
        <is>
          <t>GU13 WNL , MEWP , Land Rover , Defender 130</t>
        </is>
      </c>
      <c r="G2609" t="inlineStr">
        <is>
          <t>Max</t>
        </is>
      </c>
      <c r="H2609" t="inlineStr">
        <is>
          <t>4x4</t>
        </is>
      </c>
      <c r="I2609" t="inlineStr">
        <is>
          <t>Daily/ Weekly Vehicle Inspection</t>
        </is>
      </c>
      <c r="J2609" t="inlineStr">
        <is>
          <t>N/A</t>
        </is>
      </c>
      <c r="K2609" t="inlineStr">
        <is>
          <t>7996 M G Tree Surgery Ltd</t>
        </is>
      </c>
      <c r="L2609" t="inlineStr">
        <is>
          <t>07/01/2026 08:40</t>
        </is>
      </c>
      <c r="M2609" t="inlineStr">
        <is>
          <t>None</t>
        </is>
      </c>
      <c r="N2609" t="inlineStr">
        <is>
          <t>&lt;p&gt;&lt;/p&gt;</t>
        </is>
      </c>
      <c r="O2609" t="inlineStr"/>
      <c r="P2609" t="inlineStr">
        <is>
          <t>GU13 WNL , MEWP , Land Rover , Defender 130</t>
        </is>
      </c>
      <c r="Q2609" t="inlineStr">
        <is>
          <t>UKPN</t>
        </is>
      </c>
      <c r="R2609" t="b">
        <v>0</v>
      </c>
    </row>
    <row r="2610">
      <c r="A2610" t="inlineStr">
        <is>
          <t>7 Jan 2026 / Thomas Playford / Utilities / UKPN</t>
        </is>
      </c>
      <c r="B2610" t="inlineStr">
        <is>
          <t>Utilities</t>
        </is>
      </c>
      <c r="C2610" t="inlineStr">
        <is>
          <t>UKPN</t>
        </is>
      </c>
      <c r="D2610" t="inlineStr">
        <is>
          <t>SA9ST800000283944 , Tow Chipper , Forst , ST8D - Towed</t>
        </is>
      </c>
      <c r="E2610" t="inlineStr">
        <is>
          <t>SA9ST800000283944 , Tow Chipper , Forst , ST8D - Towed</t>
        </is>
      </c>
      <c r="F2610" t="inlineStr">
        <is>
          <t>SA9ST800000283944 , Tow Chipper , Forst , ST8D - Towed</t>
        </is>
      </c>
      <c r="G2610" t="inlineStr">
        <is>
          <t>Thomas Playford</t>
        </is>
      </c>
      <c r="H2610" t="inlineStr">
        <is>
          <t>Towed Chipper</t>
        </is>
      </c>
      <c r="I2610" t="inlineStr">
        <is>
          <t>Daily/ Weekly Vehicle Inspection</t>
        </is>
      </c>
      <c r="J2610" t="inlineStr">
        <is>
          <t>N/A</t>
        </is>
      </c>
      <c r="K2610" t="inlineStr">
        <is>
          <t>7995 Green Net Eco Ltd 2</t>
        </is>
      </c>
      <c r="L2610" t="inlineStr">
        <is>
          <t>07/01/2026 08:42</t>
        </is>
      </c>
      <c r="M2610" t="inlineStr">
        <is>
          <t>None</t>
        </is>
      </c>
      <c r="N2610" t="inlineStr">
        <is>
          <t>&lt;p&gt;&lt;/p&gt;</t>
        </is>
      </c>
      <c r="O2610" t="inlineStr"/>
      <c r="P2610" t="inlineStr">
        <is>
          <t>SA9ST800000283944 , Tow Chipper , Forst , ST8D - Towed</t>
        </is>
      </c>
      <c r="Q2610" t="inlineStr">
        <is>
          <t>UKPN</t>
        </is>
      </c>
      <c r="R2610" t="b">
        <v>0</v>
      </c>
    </row>
    <row r="2611">
      <c r="A2611" t="inlineStr">
        <is>
          <t>7 Jan 2026 / Thomas Playford / Utilities / UKPN</t>
        </is>
      </c>
      <c r="B2611" t="inlineStr">
        <is>
          <t>Utilities</t>
        </is>
      </c>
      <c r="C2611" t="inlineStr">
        <is>
          <t>UKPN</t>
        </is>
      </c>
      <c r="D2611" t="inlineStr">
        <is>
          <t>LK15KRZ , 4x4 , Landrover , Defender</t>
        </is>
      </c>
      <c r="E2611" t="inlineStr">
        <is>
          <t>LK15KRZ , 4x4 , Landrover , Defender</t>
        </is>
      </c>
      <c r="F2611" t="inlineStr">
        <is>
          <t>LK15KRZ , 4x4 , Landrover , Defender</t>
        </is>
      </c>
      <c r="G2611" t="inlineStr">
        <is>
          <t>Thomas Playford</t>
        </is>
      </c>
      <c r="H2611" t="inlineStr">
        <is>
          <t>4x4</t>
        </is>
      </c>
      <c r="I2611" t="inlineStr">
        <is>
          <t>Daily/ Weekly Vehicle Inspection</t>
        </is>
      </c>
      <c r="J2611" t="inlineStr">
        <is>
          <t>N/A</t>
        </is>
      </c>
      <c r="K2611" t="inlineStr">
        <is>
          <t>7995 Green Net Eco Ltd 2</t>
        </is>
      </c>
      <c r="L2611" t="inlineStr">
        <is>
          <t>07/01/2026 08:42</t>
        </is>
      </c>
      <c r="M2611" t="inlineStr">
        <is>
          <t>None</t>
        </is>
      </c>
      <c r="N2611" t="inlineStr">
        <is>
          <t>&lt;p&gt;&lt;/p&gt;</t>
        </is>
      </c>
      <c r="O2611" t="inlineStr"/>
      <c r="P2611" t="inlineStr">
        <is>
          <t>LK15KRZ , 4x4 , Landrover , Defender</t>
        </is>
      </c>
      <c r="Q2611" t="inlineStr">
        <is>
          <t>UKPN</t>
        </is>
      </c>
      <c r="R2611" t="b">
        <v>0</v>
      </c>
    </row>
    <row r="2612">
      <c r="A2612" t="inlineStr">
        <is>
          <t>7 Jan 2026 / 7951 Austin Tree Care LTD / Utilities / UKPN</t>
        </is>
      </c>
      <c r="B2612" t="inlineStr">
        <is>
          <t>Utilities</t>
        </is>
      </c>
      <c r="C2612" t="inlineStr">
        <is>
          <t>UKPN</t>
        </is>
      </c>
      <c r="D2612" t="inlineStr">
        <is>
          <t>WG64HTT , 4x4 , Land Rover , Defender 110</t>
        </is>
      </c>
      <c r="E2612" t="inlineStr">
        <is>
          <t>WG64HTT , 4x4 , Land Rover , Defender 110</t>
        </is>
      </c>
      <c r="F2612" t="inlineStr">
        <is>
          <t>WG64HTT , 4x4 , Land Rover , Defender 110</t>
        </is>
      </c>
      <c r="G2612" t="inlineStr">
        <is>
          <t xml:space="preserve">Jack Austin </t>
        </is>
      </c>
      <c r="H2612" t="inlineStr">
        <is>
          <t>4x4</t>
        </is>
      </c>
      <c r="I2612" t="inlineStr">
        <is>
          <t>Daily/ Weekly Vehicle Inspection</t>
        </is>
      </c>
      <c r="J2612" t="inlineStr">
        <is>
          <t>N/A</t>
        </is>
      </c>
      <c r="K2612" t="inlineStr">
        <is>
          <t>7951 Austin Tree Care LTD</t>
        </is>
      </c>
      <c r="L2612" t="inlineStr">
        <is>
          <t>07/01/2026 08:43</t>
        </is>
      </c>
      <c r="M2612" t="inlineStr">
        <is>
          <t>None</t>
        </is>
      </c>
      <c r="N2612" t="inlineStr">
        <is>
          <t>&lt;p&gt;&lt;/p&gt;</t>
        </is>
      </c>
      <c r="O2612" t="inlineStr"/>
      <c r="P2612" t="inlineStr">
        <is>
          <t>WG64HTT , 4x4 , Land Rover , Defender 110</t>
        </is>
      </c>
      <c r="Q2612" t="inlineStr">
        <is>
          <t>UKPN</t>
        </is>
      </c>
      <c r="R2612" t="b">
        <v>0</v>
      </c>
    </row>
    <row r="2613">
      <c r="A2613" t="inlineStr">
        <is>
          <t>7 Jan 2026 / 7800 MAC Tree Surgery and Fencing Ltd / Utilities / UKPN</t>
        </is>
      </c>
      <c r="B2613" t="inlineStr">
        <is>
          <t>Utilities</t>
        </is>
      </c>
      <c r="C2613" t="inlineStr">
        <is>
          <t>UKPN</t>
        </is>
      </c>
      <c r="D2613" t="inlineStr">
        <is>
          <t>Plant Trailer - Towmate - 2.8t - 0</t>
        </is>
      </c>
      <c r="E2613" t="inlineStr">
        <is>
          <t>Plant Trailer - Towmate - 2.8t - 0</t>
        </is>
      </c>
      <c r="F2613" t="inlineStr">
        <is>
          <t>Plant Trailer - Towmate - 2.8t - 0</t>
        </is>
      </c>
      <c r="G2613" t="inlineStr">
        <is>
          <t>Lewis mac</t>
        </is>
      </c>
      <c r="H2613" t="inlineStr">
        <is>
          <t>Plant Trailer</t>
        </is>
      </c>
      <c r="I2613" t="inlineStr">
        <is>
          <t>Daily/ Weekly Vehicle Inspection</t>
        </is>
      </c>
      <c r="J2613" t="inlineStr">
        <is>
          <t>N/A</t>
        </is>
      </c>
      <c r="K2613" t="inlineStr">
        <is>
          <t>7800 MAC Tree Surgery and Fencing Ltd</t>
        </is>
      </c>
      <c r="L2613" t="inlineStr">
        <is>
          <t>07/01/2026 08:44</t>
        </is>
      </c>
      <c r="M2613" t="inlineStr">
        <is>
          <t>None</t>
        </is>
      </c>
      <c r="N2613" t="inlineStr">
        <is>
          <t>&lt;p&gt;&lt;/p&gt;</t>
        </is>
      </c>
      <c r="O2613" t="inlineStr"/>
      <c r="P2613" t="inlineStr">
        <is>
          <t>Plant Trailer - Towmate - 2.8t - 0</t>
        </is>
      </c>
      <c r="Q2613" t="inlineStr">
        <is>
          <t>UKPN</t>
        </is>
      </c>
      <c r="R2613" t="b">
        <v>0</v>
      </c>
    </row>
    <row r="2614">
      <c r="A2614" t="inlineStr">
        <is>
          <t>7 Jan 2026 / 7800 MAC Tree Surgery and Fencing Ltd / Utilities / UKPN</t>
        </is>
      </c>
      <c r="B2614" t="inlineStr">
        <is>
          <t>Utilities</t>
        </is>
      </c>
      <c r="C2614" t="inlineStr">
        <is>
          <t>UKPN</t>
        </is>
      </c>
      <c r="D2614" t="inlineStr">
        <is>
          <t>AY68DAA , 4x4 , Izuzu , Dmax</t>
        </is>
      </c>
      <c r="E2614" t="inlineStr">
        <is>
          <t>AY68DAA , 4x4 , Izuzu , Dmax</t>
        </is>
      </c>
      <c r="F2614" t="inlineStr">
        <is>
          <t>AY68DAA , 4x4 , Izuzu , Dmax</t>
        </is>
      </c>
      <c r="G2614" t="inlineStr">
        <is>
          <t xml:space="preserve">Patrick O'Shea </t>
        </is>
      </c>
      <c r="H2614" t="inlineStr">
        <is>
          <t>4x4</t>
        </is>
      </c>
      <c r="I2614" t="inlineStr">
        <is>
          <t>Daily/ Weekly Vehicle Inspection</t>
        </is>
      </c>
      <c r="J2614" t="inlineStr">
        <is>
          <t>N/A</t>
        </is>
      </c>
      <c r="K2614" t="inlineStr">
        <is>
          <t>7800 MAC Tree Surgery and Fencing Ltd</t>
        </is>
      </c>
      <c r="L2614" t="inlineStr">
        <is>
          <t>07/01/2026 08:45</t>
        </is>
      </c>
      <c r="M2614" t="inlineStr">
        <is>
          <t>None</t>
        </is>
      </c>
      <c r="N2614" t="inlineStr">
        <is>
          <t>&lt;p&gt;&lt;/p&gt;</t>
        </is>
      </c>
      <c r="O2614" t="inlineStr"/>
      <c r="P2614" t="inlineStr">
        <is>
          <t>AY68DAA , 4x4 , Izuzu , Dmax</t>
        </is>
      </c>
      <c r="Q2614" t="inlineStr">
        <is>
          <t>UKPN</t>
        </is>
      </c>
      <c r="R2614" t="b">
        <v>0</v>
      </c>
    </row>
    <row r="2615">
      <c r="A2615" t="inlineStr">
        <is>
          <t>7 Jan 2026 / 3098 D &amp; R Landscapes / Utilities / UKPN</t>
        </is>
      </c>
      <c r="B2615" t="inlineStr">
        <is>
          <t>Utilities</t>
        </is>
      </c>
      <c r="C2615" t="inlineStr">
        <is>
          <t>UKPN</t>
        </is>
      </c>
      <c r="D2615" t="inlineStr">
        <is>
          <t>DE68XHA , Tipper , Isuzu , Grafter</t>
        </is>
      </c>
      <c r="E2615" t="inlineStr">
        <is>
          <t>DE68XHA , Tipper , Isuzu , Grafter</t>
        </is>
      </c>
      <c r="F2615" t="inlineStr">
        <is>
          <t>DE68XHA , Tipper , Isuzu , Grafter</t>
        </is>
      </c>
      <c r="G2615" t="inlineStr">
        <is>
          <t xml:space="preserve">Chris </t>
        </is>
      </c>
      <c r="H2615" t="inlineStr">
        <is>
          <t>Tipper</t>
        </is>
      </c>
      <c r="I2615" t="inlineStr">
        <is>
          <t>Daily/ Weekly Vehicle Inspection</t>
        </is>
      </c>
      <c r="J2615" t="inlineStr">
        <is>
          <t>N/A</t>
        </is>
      </c>
      <c r="K2615" t="inlineStr">
        <is>
          <t>3098 D &amp; R Landscapes</t>
        </is>
      </c>
      <c r="L2615" t="inlineStr">
        <is>
          <t>07/01/2026 09:42</t>
        </is>
      </c>
      <c r="M2615" t="inlineStr">
        <is>
          <t>None</t>
        </is>
      </c>
      <c r="N2615" t="inlineStr">
        <is>
          <t>&lt;p&gt;&lt;/p&gt;</t>
        </is>
      </c>
      <c r="O2615" t="inlineStr"/>
      <c r="P2615" t="inlineStr">
        <is>
          <t>DE68XHA , Tipper , Isuzu , Grafter</t>
        </is>
      </c>
      <c r="Q2615" t="inlineStr">
        <is>
          <t>UKPN</t>
        </is>
      </c>
      <c r="R2615" t="b">
        <v>0</v>
      </c>
    </row>
    <row r="2616">
      <c r="A2616" t="inlineStr">
        <is>
          <t>7 Jan 2026 / 3098 D &amp; R Landscapes / Utilities / UKPN</t>
        </is>
      </c>
      <c r="B2616" t="inlineStr">
        <is>
          <t>Utilities</t>
        </is>
      </c>
      <c r="C2616" t="inlineStr">
        <is>
          <t>UKPN</t>
        </is>
      </c>
      <c r="D2616" t="inlineStr">
        <is>
          <t>WA13ZZK , 4x4 , Land Rover  , Defender</t>
        </is>
      </c>
      <c r="E2616" t="inlineStr">
        <is>
          <t>WA13ZZK , 4x4 , Land Rover  , Defender</t>
        </is>
      </c>
      <c r="F2616" t="inlineStr">
        <is>
          <t>WA13ZZK , 4x4 , Land Rover  , Defender</t>
        </is>
      </c>
      <c r="G2616" t="inlineStr">
        <is>
          <t>Jason</t>
        </is>
      </c>
      <c r="H2616" t="inlineStr">
        <is>
          <t>4x4</t>
        </is>
      </c>
      <c r="I2616" t="inlineStr">
        <is>
          <t>Daily/ Weekly Vehicle Inspection</t>
        </is>
      </c>
      <c r="J2616" t="inlineStr">
        <is>
          <t>N/A</t>
        </is>
      </c>
      <c r="K2616" t="inlineStr">
        <is>
          <t>3098 D &amp; R Landscapes</t>
        </is>
      </c>
      <c r="L2616" t="inlineStr">
        <is>
          <t>07/01/2026 09:43</t>
        </is>
      </c>
      <c r="M2616" t="inlineStr">
        <is>
          <t>None</t>
        </is>
      </c>
      <c r="N2616" t="inlineStr">
        <is>
          <t>&lt;p&gt;&lt;/p&gt;</t>
        </is>
      </c>
      <c r="O2616" t="inlineStr"/>
      <c r="P2616" t="inlineStr">
        <is>
          <t>WA13ZZK , 4x4 , Land Rover  , Defender</t>
        </is>
      </c>
      <c r="Q2616" t="inlineStr">
        <is>
          <t>UKPN</t>
        </is>
      </c>
      <c r="R2616" t="b">
        <v>0</v>
      </c>
    </row>
    <row r="2617">
      <c r="A2617" t="inlineStr">
        <is>
          <t>7 Jan 2026 / 7951 Austin Tree Care LTD / Utilities / UKPN</t>
        </is>
      </c>
      <c r="B2617" t="inlineStr">
        <is>
          <t>Utilities</t>
        </is>
      </c>
      <c r="C2617" t="inlineStr">
        <is>
          <t>UKPN</t>
        </is>
      </c>
      <c r="D2617" t="inlineStr">
        <is>
          <t>SA9ST6P0001283612 , Tow Chipper , Forst , ST6p</t>
        </is>
      </c>
      <c r="E2617" t="inlineStr">
        <is>
          <t>SA9ST6P0001283612 , Tow Chipper , Forst , ST6p</t>
        </is>
      </c>
      <c r="F2617" t="inlineStr">
        <is>
          <t>SA9ST6P0001283612 , Tow Chipper , Forst , ST6p</t>
        </is>
      </c>
      <c r="G2617" t="inlineStr">
        <is>
          <t xml:space="preserve">Jack Austin </t>
        </is>
      </c>
      <c r="H2617" t="inlineStr">
        <is>
          <t>Towed Chipper</t>
        </is>
      </c>
      <c r="I2617" t="inlineStr">
        <is>
          <t>Daily/ Weekly Vehicle Inspection</t>
        </is>
      </c>
      <c r="J2617" t="inlineStr">
        <is>
          <t>N/A</t>
        </is>
      </c>
      <c r="K2617" t="inlineStr">
        <is>
          <t>7951 Austin Tree Care LTD</t>
        </is>
      </c>
      <c r="L2617" t="inlineStr">
        <is>
          <t>07/01/2026 10:43</t>
        </is>
      </c>
      <c r="M2617" t="inlineStr">
        <is>
          <t>None</t>
        </is>
      </c>
      <c r="N2617" t="inlineStr">
        <is>
          <t>&lt;p&gt;&lt;/p&gt;</t>
        </is>
      </c>
      <c r="O2617" t="inlineStr"/>
      <c r="P2617" t="inlineStr">
        <is>
          <t>SA9ST6P0001283612 , Tow Chipper , Forst , ST6p</t>
        </is>
      </c>
      <c r="Q2617" t="inlineStr">
        <is>
          <t>UKPN</t>
        </is>
      </c>
      <c r="R2617" t="b">
        <v>0</v>
      </c>
    </row>
    <row r="2618">
      <c r="A2618" t="inlineStr">
        <is>
          <t>7 Jan 2026 / Anthony Gale / Utilities / UKPN</t>
        </is>
      </c>
      <c r="B2618" t="inlineStr">
        <is>
          <t>Utilities</t>
        </is>
      </c>
      <c r="C2618" t="inlineStr">
        <is>
          <t>UKPN</t>
        </is>
      </c>
      <c r="D2618" t="inlineStr">
        <is>
          <t>KX20 BCE , Tipper , Isuzu , D-Max</t>
        </is>
      </c>
      <c r="E2618" t="inlineStr">
        <is>
          <t>KX20 BCE , Tipper , Isuzu , D-Max</t>
        </is>
      </c>
      <c r="F2618" t="inlineStr">
        <is>
          <t>KX20 BCE , Tipper , Isuzu , D-Max</t>
        </is>
      </c>
      <c r="G2618" t="inlineStr">
        <is>
          <t>Anthony Gale</t>
        </is>
      </c>
      <c r="H2618" t="inlineStr">
        <is>
          <t>Pickup Truck</t>
        </is>
      </c>
      <c r="I2618" t="inlineStr">
        <is>
          <t>Daily/ Weekly Vehicle Inspection</t>
        </is>
      </c>
      <c r="J2618" t="inlineStr">
        <is>
          <t>N/A</t>
        </is>
      </c>
      <c r="K2618" t="inlineStr">
        <is>
          <t>7996 M G Tree Surgery Ltd 1</t>
        </is>
      </c>
      <c r="L2618" t="inlineStr">
        <is>
          <t>07/01/2026 11:41</t>
        </is>
      </c>
      <c r="M2618" t="inlineStr">
        <is>
          <t>None</t>
        </is>
      </c>
      <c r="N2618" t="inlineStr">
        <is>
          <t>&lt;p&gt;&lt;/p&gt;</t>
        </is>
      </c>
      <c r="O2618" t="inlineStr">
        <is>
          <t>Confirm that you have checked this vehicle as per the guidance document and the vehicle is safe and roadworthy:Light board deteriorating, will need replacing soon.
Secure and safe to drive through.
-</t>
        </is>
      </c>
      <c r="P2618" t="inlineStr">
        <is>
          <t>KX20 BCE , Tipper , Isuzu , D-Max</t>
        </is>
      </c>
      <c r="Q2618" t="inlineStr">
        <is>
          <t>UKPN</t>
        </is>
      </c>
      <c r="R2618" t="b">
        <v>0</v>
      </c>
    </row>
    <row r="2619">
      <c r="A2619" t="inlineStr">
        <is>
          <t>7 Jan 2026 / David Damm / Utilities / NGED</t>
        </is>
      </c>
      <c r="B2619" t="inlineStr">
        <is>
          <t>Utilities</t>
        </is>
      </c>
      <c r="C2619" t="inlineStr">
        <is>
          <t>NGED</t>
        </is>
      </c>
      <c r="D2619" t="inlineStr">
        <is>
          <t>AJ72EXA , Car - Electric , Tesla , Model Y Long Range</t>
        </is>
      </c>
      <c r="E2619" t="inlineStr">
        <is>
          <t>AJ72EXA , Car - Electric , Tesla , Model Y Long Range</t>
        </is>
      </c>
      <c r="F2619" t="inlineStr">
        <is>
          <t>AJ72EXA , Car - Electric , Tesla , Model Y Long Range</t>
        </is>
      </c>
      <c r="G2619" t="inlineStr">
        <is>
          <t>David Damm</t>
        </is>
      </c>
      <c r="H2619" t="inlineStr">
        <is>
          <t>Car - Electric (GC Owned)</t>
        </is>
      </c>
      <c r="I2619" t="inlineStr">
        <is>
          <t>Daily/ Weekly Vehicle Inspection</t>
        </is>
      </c>
      <c r="J2619" t="inlineStr">
        <is>
          <t>N/A</t>
        </is>
      </c>
      <c r="K2619" t="inlineStr">
        <is>
          <t>David Damm</t>
        </is>
      </c>
      <c r="L2619" t="inlineStr">
        <is>
          <t>07/01/2026 15:40</t>
        </is>
      </c>
      <c r="M2619" t="inlineStr">
        <is>
          <t>None</t>
        </is>
      </c>
      <c r="N2619" t="inlineStr">
        <is>
          <t>&lt;p&gt;&lt;/p&gt;</t>
        </is>
      </c>
      <c r="O2619" t="inlineStr"/>
      <c r="P2619" t="inlineStr">
        <is>
          <t>AJ72EXA , Car - Electric , Tesla , Model Y Long Range</t>
        </is>
      </c>
      <c r="Q2619" t="inlineStr">
        <is>
          <t>NGED</t>
        </is>
      </c>
      <c r="R2619" t="b">
        <v>0</v>
      </c>
    </row>
    <row r="2620">
      <c r="A2620" t="inlineStr">
        <is>
          <t>8 Jan 2026 / 7186 Eastwoodbury Tree Services Ltd / Utilities / UKPN</t>
        </is>
      </c>
      <c r="B2620" t="inlineStr">
        <is>
          <t>Utilities</t>
        </is>
      </c>
      <c r="C2620" t="inlineStr">
        <is>
          <t>UKPN</t>
        </is>
      </c>
      <c r="D2620" t="inlineStr">
        <is>
          <t>FX14 XCV , 4x4 , Land Rover  , Defender</t>
        </is>
      </c>
      <c r="E2620" t="inlineStr">
        <is>
          <t>FX14 XCV , 4x4 , Land Rover  , Defender</t>
        </is>
      </c>
      <c r="F2620" t="inlineStr">
        <is>
          <t>FX14 XCV , 4x4 , Land Rover  , Defender</t>
        </is>
      </c>
      <c r="G2620" t="inlineStr">
        <is>
          <t xml:space="preserve">Tom price </t>
        </is>
      </c>
      <c r="H2620" t="inlineStr">
        <is>
          <t>4x4</t>
        </is>
      </c>
      <c r="I2620" t="inlineStr">
        <is>
          <t>Daily/ Weekly Vehicle Inspection</t>
        </is>
      </c>
      <c r="J2620" t="inlineStr">
        <is>
          <t>N/A</t>
        </is>
      </c>
      <c r="K2620" t="inlineStr">
        <is>
          <t>7186 Eastwoodbury Tree Services Ltd</t>
        </is>
      </c>
      <c r="L2620" t="inlineStr">
        <is>
          <t>08/01/2026 07:40</t>
        </is>
      </c>
      <c r="M2620" t="inlineStr">
        <is>
          <t>None</t>
        </is>
      </c>
      <c r="N2620" t="inlineStr">
        <is>
          <t>&lt;p&gt;&lt;/p&gt;</t>
        </is>
      </c>
      <c r="O2620" t="inlineStr"/>
      <c r="P2620" t="inlineStr">
        <is>
          <t>FX14 XCV , 4x4 , Land Rover  , Defender</t>
        </is>
      </c>
      <c r="Q2620" t="inlineStr">
        <is>
          <t>UKPN</t>
        </is>
      </c>
      <c r="R2620" t="b">
        <v>0</v>
      </c>
    </row>
    <row r="2621">
      <c r="A2621" t="inlineStr">
        <is>
          <t>8 Jan 2026 / 7186 Eastwoodbury Tree Services Ltd / Utilities / UKPN</t>
        </is>
      </c>
      <c r="B2621" t="inlineStr">
        <is>
          <t>Utilities</t>
        </is>
      </c>
      <c r="C2621" t="inlineStr">
        <is>
          <t>UKPN</t>
        </is>
      </c>
      <c r="D2621" t="inlineStr">
        <is>
          <t>DE53NKS , 4x4 , Ford , Ranger</t>
        </is>
      </c>
      <c r="E2621" t="inlineStr">
        <is>
          <t>DE53NKS , 4x4 , Ford , Ranger</t>
        </is>
      </c>
      <c r="F2621" t="inlineStr">
        <is>
          <t>DE53NKS , 4x4 , Ford , Ranger</t>
        </is>
      </c>
      <c r="G2621" t="inlineStr">
        <is>
          <t xml:space="preserve">Jay Denkmayer </t>
        </is>
      </c>
      <c r="H2621" t="inlineStr">
        <is>
          <t>Pickup Truck</t>
        </is>
      </c>
      <c r="I2621" t="inlineStr">
        <is>
          <t>Daily/ Weekly Vehicle Inspection</t>
        </is>
      </c>
      <c r="J2621" t="inlineStr">
        <is>
          <t>N/A</t>
        </is>
      </c>
      <c r="K2621" t="inlineStr">
        <is>
          <t>7186 Eastwoodbury Tree Services Ltd</t>
        </is>
      </c>
      <c r="L2621" t="inlineStr">
        <is>
          <t>08/01/2026 07:41</t>
        </is>
      </c>
      <c r="M2621" t="inlineStr">
        <is>
          <t>None</t>
        </is>
      </c>
      <c r="N2621" t="inlineStr">
        <is>
          <t>&lt;p&gt;&lt;/p&gt;</t>
        </is>
      </c>
      <c r="O2621" t="inlineStr"/>
      <c r="P2621" t="inlineStr">
        <is>
          <t>DE53NKS , 4x4 , Ford , Ranger</t>
        </is>
      </c>
      <c r="Q2621" t="inlineStr">
        <is>
          <t>UKPN</t>
        </is>
      </c>
      <c r="R2621" t="b">
        <v>0</v>
      </c>
    </row>
    <row r="2622">
      <c r="A2622" t="inlineStr">
        <is>
          <t>8 Jan 2026 / Anthony Gale / Utilities / UKPN</t>
        </is>
      </c>
      <c r="B2622" t="inlineStr">
        <is>
          <t>Utilities</t>
        </is>
      </c>
      <c r="C2622" t="inlineStr">
        <is>
          <t>UKPN</t>
        </is>
      </c>
      <c r="D2622" t="inlineStr">
        <is>
          <t>KX20 BCE , Tipper , Isuzu , D-Max</t>
        </is>
      </c>
      <c r="E2622" t="inlineStr">
        <is>
          <t>KX20 BCE , Tipper , Isuzu , D-Max</t>
        </is>
      </c>
      <c r="F2622" t="inlineStr">
        <is>
          <t>KX20 BCE , Tipper , Isuzu , D-Max</t>
        </is>
      </c>
      <c r="G2622" t="inlineStr">
        <is>
          <t>Anthony Gale</t>
        </is>
      </c>
      <c r="H2622" t="inlineStr">
        <is>
          <t>Pickup Truck</t>
        </is>
      </c>
      <c r="I2622" t="inlineStr">
        <is>
          <t>Daily/ Weekly Vehicle Inspection</t>
        </is>
      </c>
      <c r="J2622" t="inlineStr">
        <is>
          <t>N/A</t>
        </is>
      </c>
      <c r="K2622" t="inlineStr">
        <is>
          <t>7996 M G Tree Surgery Ltd 1</t>
        </is>
      </c>
      <c r="L2622" t="inlineStr">
        <is>
          <t>08/01/2026 07:43</t>
        </is>
      </c>
      <c r="M2622" t="inlineStr">
        <is>
          <t>None</t>
        </is>
      </c>
      <c r="N2622" t="inlineStr">
        <is>
          <t>&lt;p&gt;&lt;/p&gt;</t>
        </is>
      </c>
      <c r="O2622" t="inlineStr">
        <is>
          <t>Confirm that you have checked this vehicle as per the guidance document and the vehicle is safe and roadworthy:Light board deteriorating, safe for now.
Will need replacing soon.
-</t>
        </is>
      </c>
      <c r="P2622" t="inlineStr">
        <is>
          <t>KX20 BCE , Tipper , Isuzu , D-Max</t>
        </is>
      </c>
      <c r="Q2622" t="inlineStr">
        <is>
          <t>UKPN</t>
        </is>
      </c>
      <c r="R2622" t="b">
        <v>0</v>
      </c>
    </row>
    <row r="2623">
      <c r="A2623" t="inlineStr">
        <is>
          <t>8 Jan 2026 / Anthony Gale / Utilities / UKPN</t>
        </is>
      </c>
      <c r="B2623" t="inlineStr">
        <is>
          <t>Utilities</t>
        </is>
      </c>
      <c r="C2623" t="inlineStr">
        <is>
          <t>UKPN</t>
        </is>
      </c>
      <c r="D2623" t="inlineStr"/>
      <c r="E2623" t="inlineStr"/>
      <c r="F2623" t="inlineStr"/>
      <c r="G2623" t="inlineStr">
        <is>
          <t>Anthony Gale</t>
        </is>
      </c>
      <c r="H2623" t="inlineStr">
        <is>
          <t>Towed Chipper</t>
        </is>
      </c>
      <c r="I2623" t="inlineStr">
        <is>
          <t>Daily/ Weekly Vehicle Inspection</t>
        </is>
      </c>
      <c r="J2623" t="inlineStr">
        <is>
          <t>N/A</t>
        </is>
      </c>
      <c r="K2623" t="inlineStr">
        <is>
          <t>7996 M G Tree Surgery Ltd 1</t>
        </is>
      </c>
      <c r="L2623" t="inlineStr">
        <is>
          <t>08/01/2026 07:44</t>
        </is>
      </c>
      <c r="M2623" t="inlineStr">
        <is>
          <t>None</t>
        </is>
      </c>
      <c r="N2623" t="inlineStr">
        <is>
          <t>&lt;p&gt;&lt;/p&gt;</t>
        </is>
      </c>
      <c r="O2623" t="inlineStr"/>
      <c r="P2623" t="inlineStr"/>
      <c r="Q2623" t="inlineStr">
        <is>
          <t>UKPN</t>
        </is>
      </c>
      <c r="R2623" t="b">
        <v>0</v>
      </c>
    </row>
    <row r="2624">
      <c r="A2624" t="inlineStr">
        <is>
          <t>8 Jan 2026 / 7806 Optimum Tree Services Ltd / Utilities / UKPN</t>
        </is>
      </c>
      <c r="B2624" t="inlineStr">
        <is>
          <t>Utilities</t>
        </is>
      </c>
      <c r="C2624" t="inlineStr">
        <is>
          <t>UKPN</t>
        </is>
      </c>
      <c r="D2624" t="inlineStr">
        <is>
          <t>SA9TAPLAF27414263 , Trailer , Tow Mate , Plant Trailer</t>
        </is>
      </c>
      <c r="E2624" t="inlineStr">
        <is>
          <t>SA9TAPLAF27414263 , Trailer , Tow Mate , Plant Trailer</t>
        </is>
      </c>
      <c r="F2624" t="inlineStr">
        <is>
          <t>SA9TAPLAF27414263 , Trailer , Tow Mate , Plant Trailer</t>
        </is>
      </c>
      <c r="G2624" t="inlineStr">
        <is>
          <t xml:space="preserve">Abraham Davies </t>
        </is>
      </c>
      <c r="H2624" t="inlineStr">
        <is>
          <t>Plant Trailer</t>
        </is>
      </c>
      <c r="I2624" t="inlineStr">
        <is>
          <t>Daily/ Weekly Vehicle Inspection</t>
        </is>
      </c>
      <c r="J2624" t="inlineStr">
        <is>
          <t>N/A</t>
        </is>
      </c>
      <c r="K2624" t="inlineStr">
        <is>
          <t>7806 Optimum Tree Services Ltd</t>
        </is>
      </c>
      <c r="L2624" t="inlineStr">
        <is>
          <t>08/01/2026 07:44</t>
        </is>
      </c>
      <c r="M2624" t="inlineStr">
        <is>
          <t>None</t>
        </is>
      </c>
      <c r="N2624" t="inlineStr">
        <is>
          <t>&lt;p&gt;&lt;/p&gt;</t>
        </is>
      </c>
      <c r="O2624" t="inlineStr"/>
      <c r="P2624" t="inlineStr">
        <is>
          <t>SA9TAPLAF27414263 , Trailer , Tow Mate , Plant Trailer</t>
        </is>
      </c>
      <c r="Q2624" t="inlineStr">
        <is>
          <t>UKPN</t>
        </is>
      </c>
      <c r="R2624" t="b">
        <v>0</v>
      </c>
    </row>
    <row r="2625">
      <c r="A2625" t="inlineStr">
        <is>
          <t>8 Jan 2026 / 7806 Optimum Tree Services Ltd / Utilities / UKPN</t>
        </is>
      </c>
      <c r="B2625" t="inlineStr">
        <is>
          <t>Utilities</t>
        </is>
      </c>
      <c r="C2625" t="inlineStr">
        <is>
          <t>UKPN</t>
        </is>
      </c>
      <c r="D2625" t="inlineStr">
        <is>
          <t>WD14EVB , MEWP , Land Rover , Defender</t>
        </is>
      </c>
      <c r="E2625" t="inlineStr">
        <is>
          <t>WD14EVB , MEWP , Land Rover , Defender</t>
        </is>
      </c>
      <c r="F2625" t="inlineStr">
        <is>
          <t>WD14EVB , MEWP , Land Rover , Defender</t>
        </is>
      </c>
      <c r="G2625" t="inlineStr">
        <is>
          <t xml:space="preserve">Abraham Davies </t>
        </is>
      </c>
      <c r="H2625" t="inlineStr">
        <is>
          <t>4x4</t>
        </is>
      </c>
      <c r="I2625" t="inlineStr">
        <is>
          <t>Daily/ Weekly Vehicle Inspection</t>
        </is>
      </c>
      <c r="J2625" t="inlineStr">
        <is>
          <t>N/A</t>
        </is>
      </c>
      <c r="K2625" t="inlineStr">
        <is>
          <t>7806 Optimum Tree Services Ltd</t>
        </is>
      </c>
      <c r="L2625" t="inlineStr">
        <is>
          <t>08/01/2026 07:45</t>
        </is>
      </c>
      <c r="M2625" t="inlineStr">
        <is>
          <t>None</t>
        </is>
      </c>
      <c r="N2625" t="inlineStr">
        <is>
          <t>&lt;p&gt;&lt;/p&gt;</t>
        </is>
      </c>
      <c r="O2625" t="inlineStr"/>
      <c r="P2625" t="inlineStr">
        <is>
          <t>WD14EVB , MEWP , Land Rover , Defender</t>
        </is>
      </c>
      <c r="Q2625" t="inlineStr">
        <is>
          <t>UKPN</t>
        </is>
      </c>
      <c r="R2625" t="b">
        <v>0</v>
      </c>
    </row>
    <row r="2626">
      <c r="A2626" t="inlineStr">
        <is>
          <t>8 Jan 2026 / Anthony Gale / Utilities / UKPN</t>
        </is>
      </c>
      <c r="B2626" t="inlineStr">
        <is>
          <t>Utilities</t>
        </is>
      </c>
      <c r="C2626" t="inlineStr">
        <is>
          <t>UKPN</t>
        </is>
      </c>
      <c r="D2626" t="inlineStr"/>
      <c r="E2626" t="inlineStr"/>
      <c r="F2626" t="inlineStr"/>
      <c r="G2626" t="inlineStr"/>
      <c r="H2626" t="inlineStr"/>
      <c r="I2626" t="inlineStr"/>
      <c r="J2626" t="inlineStr">
        <is>
          <t>N/A</t>
        </is>
      </c>
      <c r="K2626" t="inlineStr">
        <is>
          <t>7996 M G Tree Surgery Ltd 1</t>
        </is>
      </c>
      <c r="L2626" t="inlineStr">
        <is>
          <t>08/01/2026 07:45</t>
        </is>
      </c>
      <c r="M2626" t="inlineStr">
        <is>
          <t>None</t>
        </is>
      </c>
      <c r="N2626" t="inlineStr">
        <is>
          <t>&lt;p&gt;&lt;/p&gt;</t>
        </is>
      </c>
      <c r="O2626" t="inlineStr"/>
      <c r="P2626" t="inlineStr"/>
      <c r="Q2626" t="inlineStr">
        <is>
          <t>UKPN</t>
        </is>
      </c>
      <c r="R2626" t="b">
        <v>0</v>
      </c>
    </row>
    <row r="2627">
      <c r="A2627" t="inlineStr">
        <is>
          <t>8 Jan 2026 / 7806 Optimum Tree Services Ltd / Utilities / UKPN</t>
        </is>
      </c>
      <c r="B2627" t="inlineStr">
        <is>
          <t>Utilities</t>
        </is>
      </c>
      <c r="C2627" t="inlineStr">
        <is>
          <t>UKPN</t>
        </is>
      </c>
      <c r="D2627" t="inlineStr">
        <is>
          <t>Wd14evn , 4x4 , Landrover  , Defender</t>
        </is>
      </c>
      <c r="E2627" t="inlineStr">
        <is>
          <t>Wd14evn , 4x4 , Landrover  , Defender</t>
        </is>
      </c>
      <c r="F2627" t="inlineStr">
        <is>
          <t>Wd14evn , 4x4 , Landrover  , Defender</t>
        </is>
      </c>
      <c r="G2627" t="inlineStr">
        <is>
          <t xml:space="preserve">Kenny Aldred </t>
        </is>
      </c>
      <c r="H2627" t="inlineStr">
        <is>
          <t>4x4</t>
        </is>
      </c>
      <c r="I2627" t="inlineStr">
        <is>
          <t>Daily/ Weekly Vehicle Inspection</t>
        </is>
      </c>
      <c r="J2627" t="inlineStr">
        <is>
          <t>N/A</t>
        </is>
      </c>
      <c r="K2627" t="inlineStr">
        <is>
          <t>7806 Optimum Tree Services Ltd</t>
        </is>
      </c>
      <c r="L2627" t="inlineStr">
        <is>
          <t>08/01/2026 07:46</t>
        </is>
      </c>
      <c r="M2627" t="inlineStr">
        <is>
          <t>None</t>
        </is>
      </c>
      <c r="N2627" t="inlineStr">
        <is>
          <t>&lt;p&gt;&lt;/p&gt;</t>
        </is>
      </c>
      <c r="O2627" t="inlineStr"/>
      <c r="P2627" t="inlineStr">
        <is>
          <t>Wd14evn , 4x4 , Landrover  , Defender</t>
        </is>
      </c>
      <c r="Q2627" t="inlineStr">
        <is>
          <t>UKPN</t>
        </is>
      </c>
      <c r="R2627" t="b">
        <v>0</v>
      </c>
    </row>
    <row r="2628">
      <c r="A2628" t="inlineStr">
        <is>
          <t>8 Jan 2026 / 7996 M G Tree Surgery Ltd / Utilities / UKPN</t>
        </is>
      </c>
      <c r="B2628" t="inlineStr">
        <is>
          <t>Utilities</t>
        </is>
      </c>
      <c r="C2628" t="inlineStr">
        <is>
          <t>UKPN</t>
        </is>
      </c>
      <c r="D2628" t="inlineStr">
        <is>
          <t>GU13 WNL , MEWP , Land Rover , Defender 130</t>
        </is>
      </c>
      <c r="E2628" t="inlineStr">
        <is>
          <t>GU13 WNL , MEWP , Land Rover , Defender 130</t>
        </is>
      </c>
      <c r="F2628" t="inlineStr">
        <is>
          <t>GU13 WNL , MEWP , Land Rover , Defender 130</t>
        </is>
      </c>
      <c r="G2628" t="inlineStr">
        <is>
          <t>Max</t>
        </is>
      </c>
      <c r="H2628" t="inlineStr">
        <is>
          <t>4x4</t>
        </is>
      </c>
      <c r="I2628" t="inlineStr">
        <is>
          <t>Daily/ Weekly Vehicle Inspection</t>
        </is>
      </c>
      <c r="J2628" t="inlineStr">
        <is>
          <t>N/A</t>
        </is>
      </c>
      <c r="K2628" t="inlineStr">
        <is>
          <t>7996 M G Tree Surgery Ltd</t>
        </is>
      </c>
      <c r="L2628" t="inlineStr">
        <is>
          <t>08/01/2026 08:41</t>
        </is>
      </c>
      <c r="M2628" t="inlineStr">
        <is>
          <t>None</t>
        </is>
      </c>
      <c r="N2628" t="inlineStr">
        <is>
          <t>&lt;p&gt;&lt;/p&gt;</t>
        </is>
      </c>
      <c r="O2628" t="inlineStr"/>
      <c r="P2628" t="inlineStr">
        <is>
          <t>GU13 WNL , MEWP , Land Rover , Defender 130</t>
        </is>
      </c>
      <c r="Q2628" t="inlineStr">
        <is>
          <t>UKPN</t>
        </is>
      </c>
      <c r="R2628" t="b">
        <v>0</v>
      </c>
    </row>
    <row r="2629">
      <c r="A2629" t="inlineStr">
        <is>
          <t>8 Jan 2026 / 7889 Tree Tech Suffolk Ltd</t>
        </is>
      </c>
      <c r="B2629" t="inlineStr">
        <is>
          <t>Utilities &amp; Inland Waterways</t>
        </is>
      </c>
      <c r="C2629" t="inlineStr">
        <is>
          <t>UKPN</t>
        </is>
      </c>
      <c r="D2629" t="inlineStr">
        <is>
          <t>Tipper - Nissan - Navara - NS02TTS</t>
        </is>
      </c>
      <c r="E2629" t="inlineStr">
        <is>
          <t>Tipper - Nissan - Navara - NS02TTS</t>
        </is>
      </c>
      <c r="F2629" t="inlineStr">
        <is>
          <t>Tipper - Nissan - Navara - NS02TTS</t>
        </is>
      </c>
      <c r="G2629" t="inlineStr">
        <is>
          <t>Danny Appleby</t>
        </is>
      </c>
      <c r="H2629" t="inlineStr">
        <is>
          <t>Tipper</t>
        </is>
      </c>
      <c r="I2629" t="inlineStr">
        <is>
          <t>Daily/ Weekly Vehicle Inspection</t>
        </is>
      </c>
      <c r="J2629" t="inlineStr">
        <is>
          <t>N/A</t>
        </is>
      </c>
      <c r="K2629" t="inlineStr">
        <is>
          <t>7889 Tree Tech Suffolk Ltd</t>
        </is>
      </c>
      <c r="L2629" t="inlineStr">
        <is>
          <t>08/01/2026 08:43</t>
        </is>
      </c>
      <c r="M2629" t="inlineStr">
        <is>
          <t>None</t>
        </is>
      </c>
      <c r="N2629" t="inlineStr">
        <is>
          <t>&lt;p&gt;&lt;/p&gt;</t>
        </is>
      </c>
      <c r="O2629" t="inlineStr">
        <is>
          <t>Select Vehicle:Ns05 tts</t>
        </is>
      </c>
      <c r="P2629" t="inlineStr">
        <is>
          <t>Tipper - Nissan - Navara - NS02TTS</t>
        </is>
      </c>
      <c r="Q2629" t="inlineStr">
        <is>
          <t>UKPN</t>
        </is>
      </c>
      <c r="R2629" t="b">
        <v>0</v>
      </c>
    </row>
    <row r="2630">
      <c r="A2630" t="inlineStr">
        <is>
          <t>8 Jan 2026 / 7800 MAC Tree Surgery and Fencing Ltd / Utilities / UKPN</t>
        </is>
      </c>
      <c r="B2630" t="inlineStr">
        <is>
          <t>Utilities</t>
        </is>
      </c>
      <c r="C2630" t="inlineStr">
        <is>
          <t>UKPN</t>
        </is>
      </c>
      <c r="D2630" t="inlineStr">
        <is>
          <t>Plant Trailer - Towmate - 2.8t - 0</t>
        </is>
      </c>
      <c r="E2630" t="inlineStr">
        <is>
          <t>Plant Trailer - Towmate - 2.8t - 0</t>
        </is>
      </c>
      <c r="F2630" t="inlineStr">
        <is>
          <t>Plant Trailer - Towmate - 2.8t - 0</t>
        </is>
      </c>
      <c r="G2630" t="inlineStr">
        <is>
          <t>Lewis mac</t>
        </is>
      </c>
      <c r="H2630" t="inlineStr">
        <is>
          <t>Plant Trailer</t>
        </is>
      </c>
      <c r="I2630" t="inlineStr">
        <is>
          <t>Daily/ Weekly Vehicle Inspection</t>
        </is>
      </c>
      <c r="J2630" t="inlineStr">
        <is>
          <t>N/A</t>
        </is>
      </c>
      <c r="K2630" t="inlineStr">
        <is>
          <t>7800 MAC Tree Surgery and Fencing Ltd</t>
        </is>
      </c>
      <c r="L2630" t="inlineStr">
        <is>
          <t>08/01/2026 08:43</t>
        </is>
      </c>
      <c r="M2630" t="inlineStr">
        <is>
          <t>None</t>
        </is>
      </c>
      <c r="N2630" t="inlineStr">
        <is>
          <t>&lt;p&gt;&lt;/p&gt;</t>
        </is>
      </c>
      <c r="O2630" t="inlineStr"/>
      <c r="P2630" t="inlineStr">
        <is>
          <t>Plant Trailer - Towmate - 2.8t - 0</t>
        </is>
      </c>
      <c r="Q2630" t="inlineStr">
        <is>
          <t>UKPN</t>
        </is>
      </c>
      <c r="R2630" t="b">
        <v>0</v>
      </c>
    </row>
    <row r="2631">
      <c r="A2631" t="inlineStr">
        <is>
          <t>8 Jan 2026 / 7800 MAC Tree Surgery and Fencing Ltd / Utilities / UKPN</t>
        </is>
      </c>
      <c r="B2631" t="inlineStr">
        <is>
          <t>Utilities</t>
        </is>
      </c>
      <c r="C2631" t="inlineStr">
        <is>
          <t>UKPN</t>
        </is>
      </c>
      <c r="D2631" t="inlineStr">
        <is>
          <t>AY68DAA , 4x4 , Izuzu , Dmax</t>
        </is>
      </c>
      <c r="E2631" t="inlineStr">
        <is>
          <t>AY68DAA , 4x4 , Izuzu , Dmax</t>
        </is>
      </c>
      <c r="F2631" t="inlineStr">
        <is>
          <t>AY68DAA , 4x4 , Izuzu , Dmax</t>
        </is>
      </c>
      <c r="G2631" t="inlineStr">
        <is>
          <t xml:space="preserve">Patrick O'Shea </t>
        </is>
      </c>
      <c r="H2631" t="inlineStr">
        <is>
          <t>4x4</t>
        </is>
      </c>
      <c r="I2631" t="inlineStr">
        <is>
          <t>Daily/ Weekly Vehicle Inspection</t>
        </is>
      </c>
      <c r="J2631" t="inlineStr">
        <is>
          <t>N/A</t>
        </is>
      </c>
      <c r="K2631" t="inlineStr">
        <is>
          <t>7800 MAC Tree Surgery and Fencing Ltd</t>
        </is>
      </c>
      <c r="L2631" t="inlineStr">
        <is>
          <t>08/01/2026 08:44</t>
        </is>
      </c>
      <c r="M2631" t="inlineStr">
        <is>
          <t>None</t>
        </is>
      </c>
      <c r="N2631" t="inlineStr">
        <is>
          <t>&lt;p&gt;&lt;/p&gt;</t>
        </is>
      </c>
      <c r="O2631" t="inlineStr"/>
      <c r="P2631" t="inlineStr">
        <is>
          <t>AY68DAA , 4x4 , Izuzu , Dmax</t>
        </is>
      </c>
      <c r="Q2631" t="inlineStr">
        <is>
          <t>UKPN</t>
        </is>
      </c>
      <c r="R2631" t="b">
        <v>0</v>
      </c>
    </row>
    <row r="2632">
      <c r="A2632" t="inlineStr">
        <is>
          <t>8 Jan 2026 / 7186 Eastwoodbury Tree Services Ltd / Utilities / UKPN</t>
        </is>
      </c>
      <c r="B2632" t="inlineStr">
        <is>
          <t>Utilities</t>
        </is>
      </c>
      <c r="C2632" t="inlineStr">
        <is>
          <t>UKPN</t>
        </is>
      </c>
      <c r="D2632" t="inlineStr">
        <is>
          <t>WF13 EKT , 4x4 , Land rover  , Defender</t>
        </is>
      </c>
      <c r="E2632" t="inlineStr">
        <is>
          <t>WF13 EKT , 4x4 , Land rover  , Defender</t>
        </is>
      </c>
      <c r="F2632" t="inlineStr">
        <is>
          <t>WF13 EKT , 4x4 , Land rover  , Defender</t>
        </is>
      </c>
      <c r="G2632" t="inlineStr">
        <is>
          <t xml:space="preserve">Dan Gilbert </t>
        </is>
      </c>
      <c r="H2632" t="inlineStr">
        <is>
          <t>4x4</t>
        </is>
      </c>
      <c r="I2632" t="inlineStr">
        <is>
          <t>Daily/ Weekly Vehicle Inspection</t>
        </is>
      </c>
      <c r="J2632" t="inlineStr">
        <is>
          <t>N/A</t>
        </is>
      </c>
      <c r="K2632" t="inlineStr">
        <is>
          <t>7186 Eastwoodbury Tree Services Ltd</t>
        </is>
      </c>
      <c r="L2632" t="inlineStr">
        <is>
          <t>08/01/2026 08:44</t>
        </is>
      </c>
      <c r="M2632" t="inlineStr">
        <is>
          <t>None</t>
        </is>
      </c>
      <c r="N2632" t="inlineStr">
        <is>
          <t>&lt;p&gt;&lt;/p&gt;</t>
        </is>
      </c>
      <c r="O2632" t="inlineStr"/>
      <c r="P2632" t="inlineStr">
        <is>
          <t>WF13 EKT , 4x4 , Land rover  , Defender</t>
        </is>
      </c>
      <c r="Q2632" t="inlineStr">
        <is>
          <t>UKPN</t>
        </is>
      </c>
      <c r="R2632" t="b">
        <v>0</v>
      </c>
    </row>
    <row r="2633">
      <c r="A2633" t="inlineStr">
        <is>
          <t>8 Jan 2026 / 3098 D &amp; R Landscapes / Utilities / UKPN</t>
        </is>
      </c>
      <c r="B2633" t="inlineStr">
        <is>
          <t>Utilities</t>
        </is>
      </c>
      <c r="C2633" t="inlineStr">
        <is>
          <t>UKPN</t>
        </is>
      </c>
      <c r="D2633" t="inlineStr">
        <is>
          <t>DE68XHA , Tipper , Isuzu , Grafter</t>
        </is>
      </c>
      <c r="E2633" t="inlineStr">
        <is>
          <t>DE68XHA , Tipper , Isuzu , Grafter</t>
        </is>
      </c>
      <c r="F2633" t="inlineStr">
        <is>
          <t>DE68XHA , Tipper , Isuzu , Grafter</t>
        </is>
      </c>
      <c r="G2633" t="inlineStr">
        <is>
          <t xml:space="preserve">Chris </t>
        </is>
      </c>
      <c r="H2633" t="inlineStr">
        <is>
          <t>Van</t>
        </is>
      </c>
      <c r="I2633" t="inlineStr">
        <is>
          <t>Daily/ Weekly Vehicle Inspection</t>
        </is>
      </c>
      <c r="J2633" t="inlineStr">
        <is>
          <t>N/A</t>
        </is>
      </c>
      <c r="K2633" t="inlineStr">
        <is>
          <t>3098 D &amp; R Landscapes</t>
        </is>
      </c>
      <c r="L2633" t="inlineStr">
        <is>
          <t>08/01/2026 09:44</t>
        </is>
      </c>
      <c r="M2633" t="inlineStr">
        <is>
          <t>None</t>
        </is>
      </c>
      <c r="N2633" t="inlineStr">
        <is>
          <t>&lt;p&gt;&lt;/p&gt;</t>
        </is>
      </c>
      <c r="O2633" t="inlineStr"/>
      <c r="P2633" t="inlineStr">
        <is>
          <t>DE68XHA , Tipper , Isuzu , Grafter</t>
        </is>
      </c>
      <c r="Q2633" t="inlineStr">
        <is>
          <t>UKPN</t>
        </is>
      </c>
      <c r="R2633" t="b">
        <v>0</v>
      </c>
    </row>
    <row r="2634">
      <c r="A2634" t="inlineStr">
        <is>
          <t>8 Jan 2026 / 3098 D &amp; R Landscapes / Utilities / UKPN</t>
        </is>
      </c>
      <c r="B2634" t="inlineStr">
        <is>
          <t>Utilities</t>
        </is>
      </c>
      <c r="C2634" t="inlineStr">
        <is>
          <t>UKPN</t>
        </is>
      </c>
      <c r="D2634" t="inlineStr">
        <is>
          <t>BT20 GNZ , Vehicle , Nissan , Navara</t>
        </is>
      </c>
      <c r="E2634" t="inlineStr">
        <is>
          <t>BT20 GNZ , Vehicle , Nissan , Navara</t>
        </is>
      </c>
      <c r="F2634" t="inlineStr">
        <is>
          <t>BT20 GNZ , Vehicle , Nissan , Navara</t>
        </is>
      </c>
      <c r="G2634" t="inlineStr">
        <is>
          <t>Jason</t>
        </is>
      </c>
      <c r="H2634" t="inlineStr">
        <is>
          <t>Pickup Truck</t>
        </is>
      </c>
      <c r="I2634" t="inlineStr">
        <is>
          <t>Daily/ Weekly Vehicle Inspection</t>
        </is>
      </c>
      <c r="J2634" t="inlineStr">
        <is>
          <t>N/A</t>
        </is>
      </c>
      <c r="K2634" t="inlineStr">
        <is>
          <t>3098 D &amp; R Landscapes</t>
        </is>
      </c>
      <c r="L2634" t="inlineStr">
        <is>
          <t>08/01/2026 09:44</t>
        </is>
      </c>
      <c r="M2634" t="inlineStr">
        <is>
          <t>None</t>
        </is>
      </c>
      <c r="N2634" t="inlineStr">
        <is>
          <t>&lt;p&gt;&lt;/p&gt;</t>
        </is>
      </c>
      <c r="O2634" t="inlineStr"/>
      <c r="P2634" t="inlineStr">
        <is>
          <t>BT20 GNZ , Vehicle , Nissan , Navara</t>
        </is>
      </c>
      <c r="Q2634" t="inlineStr">
        <is>
          <t>UKPN</t>
        </is>
      </c>
      <c r="R2634" t="b">
        <v>0</v>
      </c>
    </row>
    <row r="2635">
      <c r="A2635" t="inlineStr">
        <is>
          <t>8 Jan 2026 / Joseph Pallot / Utilities / NGED</t>
        </is>
      </c>
      <c r="B2635" t="inlineStr">
        <is>
          <t>Utilities</t>
        </is>
      </c>
      <c r="C2635" t="inlineStr">
        <is>
          <t>NGED</t>
        </is>
      </c>
      <c r="D2635" t="inlineStr"/>
      <c r="E2635" t="inlineStr"/>
      <c r="F2635" t="inlineStr"/>
      <c r="G2635" t="inlineStr">
        <is>
          <t>Joseph Pallot</t>
        </is>
      </c>
      <c r="H2635" t="inlineStr">
        <is>
          <t>Car - Petrol</t>
        </is>
      </c>
      <c r="I2635" t="inlineStr">
        <is>
          <t>Daily/ Weekly Vehicle Inspection</t>
        </is>
      </c>
      <c r="J2635" t="inlineStr">
        <is>
          <t>N/A</t>
        </is>
      </c>
      <c r="K2635" t="inlineStr">
        <is>
          <t>Joseph Pallot</t>
        </is>
      </c>
      <c r="L2635" t="inlineStr">
        <is>
          <t>08/01/2026 12:40</t>
        </is>
      </c>
      <c r="M2635" t="inlineStr">
        <is>
          <t>None</t>
        </is>
      </c>
      <c r="N2635" t="inlineStr">
        <is>
          <t>&lt;p&gt;&lt;/p&gt;</t>
        </is>
      </c>
      <c r="O2635" t="inlineStr"/>
      <c r="P2635" t="inlineStr"/>
      <c r="Q2635" t="inlineStr">
        <is>
          <t>NGED</t>
        </is>
      </c>
      <c r="R2635" t="b">
        <v>0</v>
      </c>
    </row>
    <row r="2636">
      <c r="A2636" t="inlineStr">
        <is>
          <t>8 Jan 2026 / Gary England / Utilities / NGED</t>
        </is>
      </c>
      <c r="B2636" t="inlineStr">
        <is>
          <t>Utilities</t>
        </is>
      </c>
      <c r="C2636" t="inlineStr">
        <is>
          <t>NGED</t>
        </is>
      </c>
      <c r="D2636" t="inlineStr">
        <is>
          <t>GJ71KAO , Car - Electric , Tesla , Model 3 Long Range AWD</t>
        </is>
      </c>
      <c r="E2636" t="inlineStr">
        <is>
          <t>GJ71KAO , Car - Electric , Tesla , Model 3 Long Range AWD</t>
        </is>
      </c>
      <c r="F2636" t="inlineStr">
        <is>
          <t>GJ71KAO , Car - Electric , Tesla , Model 3 Long Range AWD</t>
        </is>
      </c>
      <c r="G2636" t="inlineStr">
        <is>
          <t xml:space="preserve">Gary England </t>
        </is>
      </c>
      <c r="H2636" t="inlineStr">
        <is>
          <t>Car - Electric (GC Owned)</t>
        </is>
      </c>
      <c r="I2636" t="inlineStr">
        <is>
          <t>Daily/ Weekly Vehicle Inspection</t>
        </is>
      </c>
      <c r="J2636" t="inlineStr">
        <is>
          <t>N/A</t>
        </is>
      </c>
      <c r="K2636" t="inlineStr">
        <is>
          <t>Gary England</t>
        </is>
      </c>
      <c r="L2636" t="inlineStr">
        <is>
          <t>08/01/2026 15:41</t>
        </is>
      </c>
      <c r="M2636" t="inlineStr">
        <is>
          <t xml:space="preserve">Confirm that you have checked this vehicle as per the guidance document and the vehicle is safe and roadworthy: Fail
</t>
        </is>
      </c>
      <c r="N2636" t="inlineStr">
        <is>
          <t>&lt;p&gt;&lt;a href="https&amp;#58;//apps.powerapps.com/play/2d567dc9-5d50-4629-a077-f7ccbff3e239?tenantId=3ef9f654-aa07-41b8-88ad-a411c62bd12c&amp;amp;Action=Open&amp;amp;Actionno=7644"&gt;repair bodywork&lt;/a&gt;&lt;br&gt;&lt;/p&gt;</t>
        </is>
      </c>
      <c r="O2636" t="inlineStr"/>
      <c r="P2636" t="inlineStr">
        <is>
          <t>GJ71KAO , Car - Electric , Tesla , Model 3 Long Range AWD</t>
        </is>
      </c>
      <c r="Q2636" t="inlineStr">
        <is>
          <t>NGED</t>
        </is>
      </c>
      <c r="R2636" t="b">
        <v>0</v>
      </c>
    </row>
    <row r="2637">
      <c r="A2637" t="inlineStr">
        <is>
          <t>8 Jan 2026 / Oliver Coyle / Utilities / NGED</t>
        </is>
      </c>
      <c r="B2637" t="inlineStr">
        <is>
          <t>Utilities</t>
        </is>
      </c>
      <c r="C2637" t="inlineStr">
        <is>
          <t>NGED</t>
        </is>
      </c>
      <c r="D2637" t="inlineStr">
        <is>
          <t>GL20TSX , Car - Electric , Tesla , Model 3 Long Range AWD</t>
        </is>
      </c>
      <c r="E2637" t="inlineStr">
        <is>
          <t>GL20TSX , Car - Electric , Tesla , Model 3 Long Range AWD</t>
        </is>
      </c>
      <c r="F2637" t="inlineStr">
        <is>
          <t>GL20TSX , Car - Electric , Tesla , Model 3 Long Range AWD</t>
        </is>
      </c>
      <c r="G2637" t="inlineStr">
        <is>
          <t>Oliver Coyle</t>
        </is>
      </c>
      <c r="H2637" t="inlineStr">
        <is>
          <t>Car - Electric (GC Owned)</t>
        </is>
      </c>
      <c r="I2637" t="inlineStr">
        <is>
          <t>Daily/ Weekly Vehicle Inspection</t>
        </is>
      </c>
      <c r="J2637" t="inlineStr">
        <is>
          <t>N/A</t>
        </is>
      </c>
      <c r="K2637" t="inlineStr">
        <is>
          <t>Oliver Coyle</t>
        </is>
      </c>
      <c r="L2637" t="inlineStr">
        <is>
          <t>08/01/2026 16:41</t>
        </is>
      </c>
      <c r="M2637" t="inlineStr">
        <is>
          <t>None</t>
        </is>
      </c>
      <c r="N2637" t="inlineStr">
        <is>
          <t>&lt;p&gt;&lt;/p&gt;</t>
        </is>
      </c>
      <c r="O2637" t="inlineStr">
        <is>
          <t>Confirm that you have checked this vehicle as per the guidance document and the vehicle is safe and roadworthy:Brake Fluid level low
-</t>
        </is>
      </c>
      <c r="P2637" t="inlineStr">
        <is>
          <t>GL20TSX , Car - Electric , Tesla , Model 3 Long Range AWD</t>
        </is>
      </c>
      <c r="Q2637" t="inlineStr">
        <is>
          <t>NGED</t>
        </is>
      </c>
      <c r="R2637" t="b">
        <v>0</v>
      </c>
    </row>
    <row r="2638">
      <c r="A2638" t="inlineStr">
        <is>
          <t>9 Jan 2026 / 7186 Eastwoodbury Tree Services Ltd / Utilities / UKPN</t>
        </is>
      </c>
      <c r="B2638" t="inlineStr">
        <is>
          <t>Utilities</t>
        </is>
      </c>
      <c r="C2638" t="inlineStr">
        <is>
          <t>UKPN</t>
        </is>
      </c>
      <c r="D2638" t="inlineStr">
        <is>
          <t>FX14 XCV , 4x4 , Land Rover  , Defender</t>
        </is>
      </c>
      <c r="E2638" t="inlineStr">
        <is>
          <t>FX14 XCV , 4x4 , Land Rover  , Defender</t>
        </is>
      </c>
      <c r="F2638" t="inlineStr">
        <is>
          <t>FX14 XCV , 4x4 , Land Rover  , Defender</t>
        </is>
      </c>
      <c r="G2638" t="inlineStr">
        <is>
          <t xml:space="preserve">Tom price </t>
        </is>
      </c>
      <c r="H2638" t="inlineStr">
        <is>
          <t>4x4</t>
        </is>
      </c>
      <c r="I2638" t="inlineStr">
        <is>
          <t>Daily/ Weekly Vehicle Inspection</t>
        </is>
      </c>
      <c r="J2638" t="inlineStr">
        <is>
          <t>N/A</t>
        </is>
      </c>
      <c r="K2638" t="inlineStr">
        <is>
          <t>7186 Eastwoodbury Tree Services Ltd</t>
        </is>
      </c>
      <c r="L2638" t="inlineStr">
        <is>
          <t>09/01/2026 07:41</t>
        </is>
      </c>
      <c r="M2638" t="inlineStr">
        <is>
          <t>None</t>
        </is>
      </c>
      <c r="N2638" t="inlineStr">
        <is>
          <t>&lt;p&gt;&lt;/p&gt;</t>
        </is>
      </c>
      <c r="O2638" t="inlineStr"/>
      <c r="P2638" t="inlineStr">
        <is>
          <t>FX14 XCV , 4x4 , Land Rover  , Defender</t>
        </is>
      </c>
      <c r="Q2638" t="inlineStr">
        <is>
          <t>UKPN</t>
        </is>
      </c>
      <c r="R2638" t="b">
        <v>0</v>
      </c>
    </row>
    <row r="2639">
      <c r="A2639" t="inlineStr">
        <is>
          <t>9 Jan 2026 / 7186 Eastwoodbury Tree Services Ltd / Utilities / UKPN</t>
        </is>
      </c>
      <c r="B2639" t="inlineStr">
        <is>
          <t>Utilities</t>
        </is>
      </c>
      <c r="C2639" t="inlineStr">
        <is>
          <t>UKPN</t>
        </is>
      </c>
      <c r="D2639" t="inlineStr">
        <is>
          <t>DE53NKS , 4x4 , Ford , Ranger</t>
        </is>
      </c>
      <c r="E2639" t="inlineStr">
        <is>
          <t>DE53NKS , 4x4 , Ford , Ranger</t>
        </is>
      </c>
      <c r="F2639" t="inlineStr">
        <is>
          <t>DE53NKS , 4x4 , Ford , Ranger</t>
        </is>
      </c>
      <c r="G2639" t="inlineStr">
        <is>
          <t xml:space="preserve">Jay Denkmayer </t>
        </is>
      </c>
      <c r="H2639" t="inlineStr">
        <is>
          <t>4x4</t>
        </is>
      </c>
      <c r="I2639" t="inlineStr">
        <is>
          <t>Daily/ Weekly Vehicle Inspection</t>
        </is>
      </c>
      <c r="J2639" t="inlineStr">
        <is>
          <t>N/A</t>
        </is>
      </c>
      <c r="K2639" t="inlineStr">
        <is>
          <t>7186 Eastwoodbury Tree Services Ltd</t>
        </is>
      </c>
      <c r="L2639" t="inlineStr">
        <is>
          <t>09/01/2026 07:42</t>
        </is>
      </c>
      <c r="M2639" t="inlineStr">
        <is>
          <t>None</t>
        </is>
      </c>
      <c r="N2639" t="inlineStr">
        <is>
          <t>&lt;p&gt;&lt;/p&gt;</t>
        </is>
      </c>
      <c r="O2639" t="inlineStr"/>
      <c r="P2639" t="inlineStr">
        <is>
          <t>DE53NKS , 4x4 , Ford , Ranger</t>
        </is>
      </c>
      <c r="Q2639" t="inlineStr">
        <is>
          <t>UKPN</t>
        </is>
      </c>
      <c r="R2639" t="b">
        <v>0</v>
      </c>
    </row>
    <row r="2640">
      <c r="A2640" t="inlineStr">
        <is>
          <t>9 Jan 2026 / 7186 Eastwoodbury Tree Services Ltd / Utilities / UKPN</t>
        </is>
      </c>
      <c r="B2640" t="inlineStr">
        <is>
          <t>Utilities</t>
        </is>
      </c>
      <c r="C2640" t="inlineStr">
        <is>
          <t>UKPN</t>
        </is>
      </c>
      <c r="D2640" t="inlineStr">
        <is>
          <t>WF13 EKT , 4x4 , Land rover  , Defender</t>
        </is>
      </c>
      <c r="E2640" t="inlineStr">
        <is>
          <t>WF13 EKT , 4x4 , Land rover  , Defender</t>
        </is>
      </c>
      <c r="F2640" t="inlineStr">
        <is>
          <t>WF13 EKT , 4x4 , Land rover  , Defender</t>
        </is>
      </c>
      <c r="G2640" t="inlineStr">
        <is>
          <t xml:space="preserve">Dan Gilbert </t>
        </is>
      </c>
      <c r="H2640" t="inlineStr">
        <is>
          <t>4x4</t>
        </is>
      </c>
      <c r="I2640" t="inlineStr">
        <is>
          <t>Daily/ Weekly Vehicle Inspection</t>
        </is>
      </c>
      <c r="J2640" t="inlineStr">
        <is>
          <t>N/A</t>
        </is>
      </c>
      <c r="K2640" t="inlineStr">
        <is>
          <t>7186 Eastwoodbury Tree Services Ltd</t>
        </is>
      </c>
      <c r="L2640" t="inlineStr">
        <is>
          <t>09/01/2026 07:43</t>
        </is>
      </c>
      <c r="M2640" t="inlineStr">
        <is>
          <t>None</t>
        </is>
      </c>
      <c r="N2640" t="inlineStr">
        <is>
          <t>&lt;p&gt;&lt;/p&gt;</t>
        </is>
      </c>
      <c r="O2640" t="inlineStr"/>
      <c r="P2640" t="inlineStr">
        <is>
          <t>WF13 EKT , 4x4 , Land rover  , Defender</t>
        </is>
      </c>
      <c r="Q2640" t="inlineStr">
        <is>
          <t>UKPN</t>
        </is>
      </c>
      <c r="R2640" t="b">
        <v>0</v>
      </c>
    </row>
    <row r="2641">
      <c r="A2641" t="inlineStr">
        <is>
          <t>9 Jan 2026 / Benet Jones / Utilities / NGED</t>
        </is>
      </c>
      <c r="B2641" t="inlineStr">
        <is>
          <t>Utilities</t>
        </is>
      </c>
      <c r="C2641" t="inlineStr">
        <is>
          <t>NGED</t>
        </is>
      </c>
      <c r="D2641" t="inlineStr"/>
      <c r="E2641" t="inlineStr"/>
      <c r="F2641" t="inlineStr"/>
      <c r="G2641" t="inlineStr">
        <is>
          <t>Benet Jones</t>
        </is>
      </c>
      <c r="H2641" t="inlineStr">
        <is>
          <t>Car - Petrol</t>
        </is>
      </c>
      <c r="I2641" t="inlineStr">
        <is>
          <t>Daily/ Weekly Vehicle Inspection</t>
        </is>
      </c>
      <c r="J2641" t="inlineStr">
        <is>
          <t>N/A</t>
        </is>
      </c>
      <c r="K2641" t="inlineStr">
        <is>
          <t>Benet Jones</t>
        </is>
      </c>
      <c r="L2641" t="inlineStr">
        <is>
          <t>09/01/2026 08:42</t>
        </is>
      </c>
      <c r="M2641" t="inlineStr">
        <is>
          <t>None</t>
        </is>
      </c>
      <c r="N2641" t="inlineStr">
        <is>
          <t>&lt;p&gt;&lt;/p&gt;</t>
        </is>
      </c>
      <c r="O2641" t="inlineStr">
        <is>
          <t>Confirm that you have checked this vehicle as per the guidance document and the vehicle is safe and roadworthy:Car fully checked and all serviceable.
-</t>
        </is>
      </c>
      <c r="P2641" t="inlineStr"/>
      <c r="Q2641" t="inlineStr">
        <is>
          <t>NGED</t>
        </is>
      </c>
      <c r="R2641" t="b">
        <v>0</v>
      </c>
    </row>
    <row r="2642">
      <c r="A2642" t="inlineStr">
        <is>
          <t>9 Jan 2026 / 7951 Austin Tree Care LTD / Utilities / UKPN</t>
        </is>
      </c>
      <c r="B2642" t="inlineStr">
        <is>
          <t>Utilities</t>
        </is>
      </c>
      <c r="C2642" t="inlineStr">
        <is>
          <t>UKPN</t>
        </is>
      </c>
      <c r="D2642" t="inlineStr">
        <is>
          <t>SA9ST6P0001283612 , Tow Chipper , Forst , ST6p</t>
        </is>
      </c>
      <c r="E2642" t="inlineStr">
        <is>
          <t>SA9ST6P0001283612 , Tow Chipper , Forst , ST6p</t>
        </is>
      </c>
      <c r="F2642" t="inlineStr">
        <is>
          <t>SA9ST6P0001283612 , Tow Chipper , Forst , ST6p</t>
        </is>
      </c>
      <c r="G2642" t="inlineStr">
        <is>
          <t xml:space="preserve">Jack Austin </t>
        </is>
      </c>
      <c r="H2642" t="inlineStr">
        <is>
          <t>Towed Chipper</t>
        </is>
      </c>
      <c r="I2642" t="inlineStr">
        <is>
          <t>Daily/ Weekly Vehicle Inspection</t>
        </is>
      </c>
      <c r="J2642" t="inlineStr">
        <is>
          <t>N/A</t>
        </is>
      </c>
      <c r="K2642" t="inlineStr">
        <is>
          <t>7951 Austin Tree Care LTD</t>
        </is>
      </c>
      <c r="L2642" t="inlineStr">
        <is>
          <t>09/01/2026 08:44</t>
        </is>
      </c>
      <c r="M2642" t="inlineStr">
        <is>
          <t>None</t>
        </is>
      </c>
      <c r="N2642" t="inlineStr">
        <is>
          <t>&lt;p&gt;&lt;/p&gt;</t>
        </is>
      </c>
      <c r="O2642" t="inlineStr"/>
      <c r="P2642" t="inlineStr">
        <is>
          <t>SA9ST6P0001283612 , Tow Chipper , Forst , ST6p</t>
        </is>
      </c>
      <c r="Q2642" t="inlineStr">
        <is>
          <t>UKPN</t>
        </is>
      </c>
      <c r="R2642" t="b">
        <v>0</v>
      </c>
    </row>
    <row r="2643">
      <c r="A2643" t="inlineStr">
        <is>
          <t>9 Jan 2026 / 7951 Austin Tree Care LTD / Utilities / UKPN</t>
        </is>
      </c>
      <c r="B2643" t="inlineStr">
        <is>
          <t>Utilities</t>
        </is>
      </c>
      <c r="C2643" t="inlineStr">
        <is>
          <t>UKPN</t>
        </is>
      </c>
      <c r="D2643" t="inlineStr">
        <is>
          <t>WG64HTT , 4x4 , Land Rover , Defender 110</t>
        </is>
      </c>
      <c r="E2643" t="inlineStr">
        <is>
          <t>WG64HTT , 4x4 , Land Rover , Defender 110</t>
        </is>
      </c>
      <c r="F2643" t="inlineStr">
        <is>
          <t>WG64HTT , 4x4 , Land Rover , Defender 110</t>
        </is>
      </c>
      <c r="G2643" t="inlineStr">
        <is>
          <t xml:space="preserve">Jack Austin </t>
        </is>
      </c>
      <c r="H2643" t="inlineStr">
        <is>
          <t>4x4</t>
        </is>
      </c>
      <c r="I2643" t="inlineStr">
        <is>
          <t>Daily/ Weekly Vehicle Inspection</t>
        </is>
      </c>
      <c r="J2643" t="inlineStr">
        <is>
          <t>N/A</t>
        </is>
      </c>
      <c r="K2643" t="inlineStr">
        <is>
          <t>7951 Austin Tree Care LTD</t>
        </is>
      </c>
      <c r="L2643" t="inlineStr">
        <is>
          <t>09/01/2026 08:44</t>
        </is>
      </c>
      <c r="M2643" t="inlineStr">
        <is>
          <t>None</t>
        </is>
      </c>
      <c r="N2643" t="inlineStr">
        <is>
          <t>&lt;p&gt;&lt;/p&gt;</t>
        </is>
      </c>
      <c r="O2643" t="inlineStr"/>
      <c r="P2643" t="inlineStr">
        <is>
          <t>WG64HTT , 4x4 , Land Rover , Defender 110</t>
        </is>
      </c>
      <c r="Q2643" t="inlineStr">
        <is>
          <t>UKPN</t>
        </is>
      </c>
      <c r="R2643" t="b">
        <v>0</v>
      </c>
    </row>
    <row r="2644">
      <c r="A2644" t="inlineStr">
        <is>
          <t>9 Jan 2026 / Thomas Playford / Utilities / UKPN</t>
        </is>
      </c>
      <c r="B2644" t="inlineStr">
        <is>
          <t>Utilities</t>
        </is>
      </c>
      <c r="C2644" t="inlineStr">
        <is>
          <t>UKPN</t>
        </is>
      </c>
      <c r="D2644" t="inlineStr">
        <is>
          <t>LK15KRZ , 4x4 , Landrover , Defender</t>
        </is>
      </c>
      <c r="E2644" t="inlineStr">
        <is>
          <t>LK15KRZ , 4x4 , Landrover , Defender</t>
        </is>
      </c>
      <c r="F2644" t="inlineStr">
        <is>
          <t>LK15KRZ , 4x4 , Landrover , Defender</t>
        </is>
      </c>
      <c r="G2644" t="inlineStr">
        <is>
          <t>Thomas Playford</t>
        </is>
      </c>
      <c r="H2644" t="inlineStr">
        <is>
          <t>4x4</t>
        </is>
      </c>
      <c r="I2644" t="inlineStr">
        <is>
          <t>Daily/ Weekly Vehicle Inspection</t>
        </is>
      </c>
      <c r="J2644" t="inlineStr">
        <is>
          <t>N/A</t>
        </is>
      </c>
      <c r="K2644" t="inlineStr">
        <is>
          <t>7995 Green Net Eco Ltd 2</t>
        </is>
      </c>
      <c r="L2644" t="inlineStr">
        <is>
          <t>09/01/2026 09:40</t>
        </is>
      </c>
      <c r="M2644" t="inlineStr">
        <is>
          <t>None</t>
        </is>
      </c>
      <c r="N2644" t="inlineStr">
        <is>
          <t>&lt;p&gt;&lt;/p&gt;</t>
        </is>
      </c>
      <c r="O2644" t="inlineStr"/>
      <c r="P2644" t="inlineStr">
        <is>
          <t>LK15KRZ , 4x4 , Landrover , Defender</t>
        </is>
      </c>
      <c r="Q2644" t="inlineStr">
        <is>
          <t>UKPN</t>
        </is>
      </c>
      <c r="R2644" t="b">
        <v>0</v>
      </c>
    </row>
    <row r="2645">
      <c r="A2645" t="inlineStr">
        <is>
          <t>9 Jan 2026 / Aaron Billingham / Utilities / NGED</t>
        </is>
      </c>
      <c r="B2645" t="inlineStr">
        <is>
          <t>Utilities</t>
        </is>
      </c>
      <c r="C2645" t="inlineStr">
        <is>
          <t>NGED</t>
        </is>
      </c>
      <c r="D2645" t="inlineStr">
        <is>
          <t>WO23OYK , Van , Ford , Ranger</t>
        </is>
      </c>
      <c r="E2645" t="inlineStr">
        <is>
          <t>WO23OYK , Van , Ford , Ranger</t>
        </is>
      </c>
      <c r="F2645" t="inlineStr">
        <is>
          <t>WO23OYK , Van , Ford , Ranger</t>
        </is>
      </c>
      <c r="G2645" t="inlineStr">
        <is>
          <t>Aaron Billingham</t>
        </is>
      </c>
      <c r="H2645" t="inlineStr">
        <is>
          <t>Tipper</t>
        </is>
      </c>
      <c r="I2645" t="inlineStr">
        <is>
          <t>Daily/ Weekly Vehicle Inspection</t>
        </is>
      </c>
      <c r="J2645" t="inlineStr">
        <is>
          <t>N/A</t>
        </is>
      </c>
      <c r="K2645" t="inlineStr">
        <is>
          <t>Aaron Billingham</t>
        </is>
      </c>
      <c r="L2645" t="inlineStr">
        <is>
          <t>09/01/2026 10:40</t>
        </is>
      </c>
      <c r="M2645" t="inlineStr">
        <is>
          <t>None</t>
        </is>
      </c>
      <c r="N2645" t="inlineStr">
        <is>
          <t>&lt;p&gt;&lt;/p&gt;</t>
        </is>
      </c>
      <c r="O2645" t="inlineStr"/>
      <c r="P2645" t="inlineStr">
        <is>
          <t>WO23OYK , Van , Ford , Ranger</t>
        </is>
      </c>
      <c r="Q2645" t="inlineStr">
        <is>
          <t>NGED</t>
        </is>
      </c>
      <c r="R2645" t="b">
        <v>0</v>
      </c>
    </row>
    <row r="2646">
      <c r="A2646" t="inlineStr">
        <is>
          <t>9 Jan 2026 / Christopher Phillips / Utilities / NGED</t>
        </is>
      </c>
      <c r="B2646" t="inlineStr">
        <is>
          <t>Utilities</t>
        </is>
      </c>
      <c r="C2646" t="inlineStr">
        <is>
          <t>NGED</t>
        </is>
      </c>
      <c r="D2646" t="inlineStr">
        <is>
          <t>SK69XHC , Car - Electric , Tesla , Model 3 Performance AWD</t>
        </is>
      </c>
      <c r="E2646" t="inlineStr">
        <is>
          <t>SK69XHC , Car - Electric , Tesla , Model 3 Performance AWD</t>
        </is>
      </c>
      <c r="F2646" t="inlineStr">
        <is>
          <t>SK69XHC , Car - Electric , Tesla , Model 3 Performance AWD</t>
        </is>
      </c>
      <c r="G2646" t="inlineStr">
        <is>
          <t xml:space="preserve">Chris Phillips </t>
        </is>
      </c>
      <c r="H2646" t="inlineStr">
        <is>
          <t>Car - Electric (GC Owned)</t>
        </is>
      </c>
      <c r="I2646" t="inlineStr">
        <is>
          <t>Monthly Vehicle Inspection</t>
        </is>
      </c>
      <c r="J2646" t="inlineStr">
        <is>
          <t>73659</t>
        </is>
      </c>
      <c r="K2646" t="inlineStr">
        <is>
          <t>Christopher Phillips</t>
        </is>
      </c>
      <c r="L2646" t="inlineStr">
        <is>
          <t>09/01/2026 10:42</t>
        </is>
      </c>
      <c r="M2646" t="inlineStr">
        <is>
          <t>None</t>
        </is>
      </c>
      <c r="N2646" t="inlineStr">
        <is>
          <t>&lt;p&gt;&lt;/p&gt;</t>
        </is>
      </c>
      <c r="O2646" t="inlineStr"/>
      <c r="P2646" t="inlineStr">
        <is>
          <t>SK69XHC , Car - Electric , Tesla , Model 3 Performance AWD</t>
        </is>
      </c>
      <c r="Q2646" t="inlineStr">
        <is>
          <t>NGED</t>
        </is>
      </c>
      <c r="R2646" t="b">
        <v>0</v>
      </c>
    </row>
    <row r="2647">
      <c r="A2647" t="inlineStr">
        <is>
          <t>9 Jan 2026 / Christopher Phillips / Utilities / NGED</t>
        </is>
      </c>
      <c r="B2647" t="inlineStr">
        <is>
          <t>Utilities</t>
        </is>
      </c>
      <c r="C2647" t="inlineStr">
        <is>
          <t>NGED</t>
        </is>
      </c>
      <c r="D2647" t="inlineStr">
        <is>
          <t>SK69XHC , Car - Electric , Tesla , Model 3 Performance AWD</t>
        </is>
      </c>
      <c r="E2647" t="inlineStr">
        <is>
          <t>SK69XHC , Car - Electric , Tesla , Model 3 Performance AWD</t>
        </is>
      </c>
      <c r="F2647" t="inlineStr">
        <is>
          <t>SK69XHC , Car - Electric , Tesla , Model 3 Performance AWD</t>
        </is>
      </c>
      <c r="G2647" t="inlineStr">
        <is>
          <t xml:space="preserve">Chris Phillips </t>
        </is>
      </c>
      <c r="H2647" t="inlineStr">
        <is>
          <t>Car - Electric (GC Owned)</t>
        </is>
      </c>
      <c r="I2647" t="inlineStr">
        <is>
          <t>Daily/ Weekly Vehicle Inspection</t>
        </is>
      </c>
      <c r="J2647" t="inlineStr">
        <is>
          <t>N/A</t>
        </is>
      </c>
      <c r="K2647" t="inlineStr">
        <is>
          <t>Christopher Phillips</t>
        </is>
      </c>
      <c r="L2647" t="inlineStr">
        <is>
          <t>09/01/2026 10:42</t>
        </is>
      </c>
      <c r="M2647" t="inlineStr">
        <is>
          <t>None</t>
        </is>
      </c>
      <c r="N2647" t="inlineStr">
        <is>
          <t>&lt;p&gt;&lt;/p&gt;</t>
        </is>
      </c>
      <c r="O2647" t="inlineStr"/>
      <c r="P2647" t="inlineStr">
        <is>
          <t>SK69XHC , Car - Electric , Tesla , Model 3 Performance AWD</t>
        </is>
      </c>
      <c r="Q2647" t="inlineStr">
        <is>
          <t>NGED</t>
        </is>
      </c>
      <c r="R2647" t="b">
        <v>0</v>
      </c>
    </row>
    <row r="2648">
      <c r="A2648" t="inlineStr">
        <is>
          <t>9 Jan 2026 / Gregory Mapfumo / Utilities / UKPN</t>
        </is>
      </c>
      <c r="B2648" t="inlineStr">
        <is>
          <t>Utilities</t>
        </is>
      </c>
      <c r="C2648" t="inlineStr">
        <is>
          <t>UKPN</t>
        </is>
      </c>
      <c r="D2648" t="inlineStr"/>
      <c r="E2648" t="inlineStr"/>
      <c r="F2648" t="inlineStr"/>
      <c r="G2648" t="inlineStr">
        <is>
          <t xml:space="preserve">Greg mapfumo </t>
        </is>
      </c>
      <c r="H2648" t="inlineStr">
        <is>
          <t>Car - Petrol</t>
        </is>
      </c>
      <c r="I2648" t="inlineStr">
        <is>
          <t>Daily/ Weekly Vehicle Inspection</t>
        </is>
      </c>
      <c r="J2648" t="inlineStr">
        <is>
          <t>N/A</t>
        </is>
      </c>
      <c r="K2648" t="inlineStr">
        <is>
          <t>Gregory Mapfumo</t>
        </is>
      </c>
      <c r="L2648" t="inlineStr">
        <is>
          <t>09/01/2026 10:43</t>
        </is>
      </c>
      <c r="M2648" t="inlineStr">
        <is>
          <t>None</t>
        </is>
      </c>
      <c r="N2648" t="inlineStr">
        <is>
          <t>&lt;p&gt;&lt;/p&gt;</t>
        </is>
      </c>
      <c r="O2648" t="inlineStr">
        <is>
          <t>Confirm that you have checked this vehicle as per the guidance document and the vehicle is safe and roadworthy:Message seen on dashboard "check injection" does not affect drive.
Have raised this with the hire company
-</t>
        </is>
      </c>
      <c r="P2648" t="inlineStr"/>
      <c r="Q2648" t="inlineStr">
        <is>
          <t>UKPN</t>
        </is>
      </c>
      <c r="R2648" t="b">
        <v>0</v>
      </c>
    </row>
    <row r="2649">
      <c r="A2649" t="inlineStr">
        <is>
          <t>9 Jan 2026 / Thomas Playford / Utilities / UKPN</t>
        </is>
      </c>
      <c r="B2649" t="inlineStr">
        <is>
          <t>Utilities</t>
        </is>
      </c>
      <c r="C2649" t="inlineStr">
        <is>
          <t>UKPN</t>
        </is>
      </c>
      <c r="D2649" t="inlineStr">
        <is>
          <t>SA9ST800000283944 , Tow Chipper , Forst , ST8D - Towed</t>
        </is>
      </c>
      <c r="E2649" t="inlineStr">
        <is>
          <t>SA9ST800000283944 , Tow Chipper , Forst , ST8D - Towed</t>
        </is>
      </c>
      <c r="F2649" t="inlineStr">
        <is>
          <t>SA9ST800000283944 , Tow Chipper , Forst , ST8D - Towed</t>
        </is>
      </c>
      <c r="G2649" t="inlineStr">
        <is>
          <t>Thomas Playford</t>
        </is>
      </c>
      <c r="H2649" t="inlineStr">
        <is>
          <t>Towed Chipper</t>
        </is>
      </c>
      <c r="I2649" t="inlineStr">
        <is>
          <t>Daily/ Weekly Vehicle Inspection</t>
        </is>
      </c>
      <c r="J2649" t="inlineStr">
        <is>
          <t>N/A</t>
        </is>
      </c>
      <c r="K2649" t="inlineStr">
        <is>
          <t>7995 Green Net Eco Ltd 2</t>
        </is>
      </c>
      <c r="L2649" t="inlineStr">
        <is>
          <t>09/01/2026 10:44</t>
        </is>
      </c>
      <c r="M2649" t="inlineStr">
        <is>
          <t>None</t>
        </is>
      </c>
      <c r="N2649" t="inlineStr">
        <is>
          <t>&lt;p&gt;&lt;/p&gt;</t>
        </is>
      </c>
      <c r="O2649" t="inlineStr"/>
      <c r="P2649" t="inlineStr">
        <is>
          <t>SA9ST800000283944 , Tow Chipper , Forst , ST8D - Towed</t>
        </is>
      </c>
      <c r="Q2649" t="inlineStr">
        <is>
          <t>UKPN</t>
        </is>
      </c>
      <c r="R2649" t="b">
        <v>0</v>
      </c>
    </row>
    <row r="2650">
      <c r="A2650" t="inlineStr">
        <is>
          <t>5 Jan 2026 / Donovan Gosher / Utilities / NGED</t>
        </is>
      </c>
      <c r="B2650" t="inlineStr">
        <is>
          <t>Utilities</t>
        </is>
      </c>
      <c r="C2650" t="inlineStr">
        <is>
          <t>NGED</t>
        </is>
      </c>
      <c r="D2650" t="inlineStr">
        <is>
          <t>AJ72EWU , Car - Electric , Tesla , Model Y Long Range</t>
        </is>
      </c>
      <c r="E2650" t="inlineStr">
        <is>
          <t>AJ72EWU , Car - Electric , Tesla , Model Y Long Range</t>
        </is>
      </c>
      <c r="F2650" t="inlineStr">
        <is>
          <t>AJ72EWU , Car - Electric , Tesla , Model Y Long Range</t>
        </is>
      </c>
      <c r="G2650" t="inlineStr">
        <is>
          <t>Donovan Gosher</t>
        </is>
      </c>
      <c r="H2650" t="inlineStr">
        <is>
          <t>Car - Electric (GC Owned)</t>
        </is>
      </c>
      <c r="I2650" t="inlineStr">
        <is>
          <t>Daily/ Weekly Vehicle Inspection</t>
        </is>
      </c>
      <c r="J2650" t="inlineStr">
        <is>
          <t>N/A</t>
        </is>
      </c>
      <c r="K2650" t="inlineStr">
        <is>
          <t>Donovan Gosher</t>
        </is>
      </c>
      <c r="L2650" t="inlineStr">
        <is>
          <t>09/01/2026 14:40</t>
        </is>
      </c>
      <c r="M2650" t="inlineStr">
        <is>
          <t>None</t>
        </is>
      </c>
      <c r="N2650" t="inlineStr">
        <is>
          <t>&lt;p&gt;&lt;/p&gt;</t>
        </is>
      </c>
      <c r="O2650" t="inlineStr"/>
      <c r="P2650" t="inlineStr">
        <is>
          <t>AJ72EWU , Car - Electric , Tesla , Model Y Long Range</t>
        </is>
      </c>
      <c r="Q2650" t="inlineStr">
        <is>
          <t>NGED</t>
        </is>
      </c>
      <c r="R2650" t="b">
        <v>0</v>
      </c>
    </row>
    <row r="2651">
      <c r="A2651" t="inlineStr">
        <is>
          <t>11 Jan 2026 / 3098 D &amp; R Landscapes / Utilities / UKPN</t>
        </is>
      </c>
      <c r="B2651" t="inlineStr">
        <is>
          <t>Utilities</t>
        </is>
      </c>
      <c r="C2651" t="inlineStr">
        <is>
          <t>UKPN</t>
        </is>
      </c>
      <c r="D2651" t="inlineStr">
        <is>
          <t>WA13ZZK , 4x4 , Land Rover  , Defender</t>
        </is>
      </c>
      <c r="E2651" t="inlineStr">
        <is>
          <t>WA13ZZK , 4x4 , Land Rover  , Defender</t>
        </is>
      </c>
      <c r="F2651" t="inlineStr">
        <is>
          <t>WA13ZZK , 4x4 , Land Rover  , Defender</t>
        </is>
      </c>
      <c r="G2651" t="inlineStr">
        <is>
          <t>Jason</t>
        </is>
      </c>
      <c r="H2651" t="inlineStr">
        <is>
          <t>4x4</t>
        </is>
      </c>
      <c r="I2651" t="inlineStr">
        <is>
          <t>Daily/ Weekly Vehicle Inspection</t>
        </is>
      </c>
      <c r="J2651" t="inlineStr">
        <is>
          <t>N/A</t>
        </is>
      </c>
      <c r="K2651" t="inlineStr">
        <is>
          <t>3098 D &amp; R Landscapes</t>
        </is>
      </c>
      <c r="L2651" t="inlineStr">
        <is>
          <t>11/01/2026 10:40</t>
        </is>
      </c>
      <c r="M2651" t="inlineStr">
        <is>
          <t>None</t>
        </is>
      </c>
      <c r="N2651" t="inlineStr">
        <is>
          <t>&lt;p&gt;&lt;/p&gt;</t>
        </is>
      </c>
      <c r="O2651" t="inlineStr"/>
      <c r="P2651" t="inlineStr">
        <is>
          <t>WA13ZZK , 4x4 , Land Rover  , Defender</t>
        </is>
      </c>
      <c r="Q2651" t="inlineStr">
        <is>
          <t>UKPN</t>
        </is>
      </c>
      <c r="R2651" t="b">
        <v>0</v>
      </c>
    </row>
    <row r="2652">
      <c r="A2652" t="inlineStr">
        <is>
          <t>11 Jan 2026 / 3098 D &amp; R Landscapes / Utilities / UKPN</t>
        </is>
      </c>
      <c r="B2652" t="inlineStr">
        <is>
          <t>Utilities</t>
        </is>
      </c>
      <c r="C2652" t="inlineStr">
        <is>
          <t>UKPN</t>
        </is>
      </c>
      <c r="D2652" t="inlineStr">
        <is>
          <t>DE68XHA , Tipper , Isuzu , Grafter</t>
        </is>
      </c>
      <c r="E2652" t="inlineStr">
        <is>
          <t>DE68XHA , Tipper , Isuzu , Grafter</t>
        </is>
      </c>
      <c r="F2652" t="inlineStr">
        <is>
          <t>DE68XHA , Tipper , Isuzu , Grafter</t>
        </is>
      </c>
      <c r="G2652" t="inlineStr">
        <is>
          <t>Richard</t>
        </is>
      </c>
      <c r="H2652" t="inlineStr">
        <is>
          <t>Tipper</t>
        </is>
      </c>
      <c r="I2652" t="inlineStr">
        <is>
          <t>Daily/ Weekly Vehicle Inspection</t>
        </is>
      </c>
      <c r="J2652" t="inlineStr">
        <is>
          <t>N/A</t>
        </is>
      </c>
      <c r="K2652" t="inlineStr">
        <is>
          <t>3098 D &amp; R Landscapes</t>
        </is>
      </c>
      <c r="L2652" t="inlineStr">
        <is>
          <t>11/01/2026 10:41</t>
        </is>
      </c>
      <c r="M2652" t="inlineStr">
        <is>
          <t>None</t>
        </is>
      </c>
      <c r="N2652" t="inlineStr">
        <is>
          <t>&lt;p&gt;&lt;/p&gt;</t>
        </is>
      </c>
      <c r="O2652" t="inlineStr"/>
      <c r="P2652" t="inlineStr">
        <is>
          <t>DE68XHA , Tipper , Isuzu , Grafter</t>
        </is>
      </c>
      <c r="Q2652" t="inlineStr">
        <is>
          <t>UKPN</t>
        </is>
      </c>
      <c r="R2652" t="b">
        <v>0</v>
      </c>
    </row>
    <row r="2653">
      <c r="A2653" t="inlineStr">
        <is>
          <t>12 Jan 2026 / Patryk Zietarski / Utilities / UKPN</t>
        </is>
      </c>
      <c r="B2653" t="inlineStr">
        <is>
          <t>Utilities</t>
        </is>
      </c>
      <c r="C2653" t="inlineStr">
        <is>
          <t>UKPN</t>
        </is>
      </c>
      <c r="D2653" t="inlineStr">
        <is>
          <t>YW73CWL , Car - Electric , Kia , eNiro</t>
        </is>
      </c>
      <c r="E2653" t="inlineStr">
        <is>
          <t>YW73CWL , Car - Electric , Kia , eNiro</t>
        </is>
      </c>
      <c r="F2653" t="inlineStr">
        <is>
          <t>YW73CWL , Car - Electric , Kia , eNiro</t>
        </is>
      </c>
      <c r="G2653" t="inlineStr">
        <is>
          <t xml:space="preserve">Patryk Zietarski </t>
        </is>
      </c>
      <c r="H2653" t="inlineStr">
        <is>
          <t>Car - Electric (GC Owned)</t>
        </is>
      </c>
      <c r="I2653" t="inlineStr">
        <is>
          <t>Daily/ Weekly Vehicle Inspection</t>
        </is>
      </c>
      <c r="J2653" t="inlineStr">
        <is>
          <t>N/A</t>
        </is>
      </c>
      <c r="K2653" t="inlineStr">
        <is>
          <t>Patryk Zietarski</t>
        </is>
      </c>
      <c r="L2653" t="inlineStr">
        <is>
          <t>12/01/2026 04:41</t>
        </is>
      </c>
      <c r="M2653" t="inlineStr">
        <is>
          <t>None</t>
        </is>
      </c>
      <c r="N2653" t="inlineStr">
        <is>
          <t>&lt;p&gt;&lt;/p&gt;</t>
        </is>
      </c>
      <c r="O2653" t="inlineStr"/>
      <c r="P2653" t="inlineStr">
        <is>
          <t>YW73CWL , Car - Electric , Kia , eNiro</t>
        </is>
      </c>
      <c r="Q2653" t="inlineStr">
        <is>
          <t>UKPN</t>
        </is>
      </c>
      <c r="R2653" t="b">
        <v>0</v>
      </c>
    </row>
    <row r="2654">
      <c r="A2654" t="inlineStr">
        <is>
          <t>12 Jan 2026 / 7806 Optimum Tree Services Ltd / Utilities / UKPN</t>
        </is>
      </c>
      <c r="B2654" t="inlineStr">
        <is>
          <t>Utilities</t>
        </is>
      </c>
      <c r="C2654" t="inlineStr">
        <is>
          <t>UKPN</t>
        </is>
      </c>
      <c r="D2654" t="inlineStr">
        <is>
          <t>NA10SYZ , Tipper , Ford , Transit</t>
        </is>
      </c>
      <c r="E2654" t="inlineStr">
        <is>
          <t>NA10SYZ , Tipper , Ford , Transit</t>
        </is>
      </c>
      <c r="F2654" t="inlineStr">
        <is>
          <t>NA10SYZ , Tipper , Ford , Transit</t>
        </is>
      </c>
      <c r="G2654" t="inlineStr">
        <is>
          <t xml:space="preserve">Tommy frasle </t>
        </is>
      </c>
      <c r="H2654" t="inlineStr">
        <is>
          <t>Tipper</t>
        </is>
      </c>
      <c r="I2654" t="inlineStr">
        <is>
          <t>Daily/ Weekly Vehicle Inspection</t>
        </is>
      </c>
      <c r="J2654" t="inlineStr">
        <is>
          <t>N/A</t>
        </is>
      </c>
      <c r="K2654" t="inlineStr">
        <is>
          <t>7806 Optimum Tree Services Ltd</t>
        </is>
      </c>
      <c r="L2654" t="inlineStr">
        <is>
          <t>12/01/2026 07:42</t>
        </is>
      </c>
      <c r="M2654" t="inlineStr">
        <is>
          <t>None</t>
        </is>
      </c>
      <c r="N2654" t="inlineStr">
        <is>
          <t>&lt;p&gt;&lt;/p&gt;</t>
        </is>
      </c>
      <c r="O2654" t="inlineStr"/>
      <c r="P2654" t="inlineStr">
        <is>
          <t>NA10SYZ , Tipper , Ford , Transit</t>
        </is>
      </c>
      <c r="Q2654" t="inlineStr">
        <is>
          <t>UKPN</t>
        </is>
      </c>
      <c r="R2654" t="b">
        <v>0</v>
      </c>
    </row>
    <row r="2655">
      <c r="A2655" t="inlineStr">
        <is>
          <t>12 Jan 2026 / 7800 MAC Tree Surgery and Fencing Ltd / Utilities / UKPN</t>
        </is>
      </c>
      <c r="B2655" t="inlineStr">
        <is>
          <t>Utilities</t>
        </is>
      </c>
      <c r="C2655" t="inlineStr">
        <is>
          <t>UKPN</t>
        </is>
      </c>
      <c r="D2655" t="inlineStr">
        <is>
          <t>Plant Trailer - Towmate - 2.8t - 0</t>
        </is>
      </c>
      <c r="E2655" t="inlineStr">
        <is>
          <t>Plant Trailer - Towmate - 2.8t - 0</t>
        </is>
      </c>
      <c r="F2655" t="inlineStr">
        <is>
          <t>Plant Trailer - Towmate - 2.8t - 0</t>
        </is>
      </c>
      <c r="G2655" t="inlineStr">
        <is>
          <t>Lewis mac</t>
        </is>
      </c>
      <c r="H2655" t="inlineStr">
        <is>
          <t>Plant Trailer</t>
        </is>
      </c>
      <c r="I2655" t="inlineStr">
        <is>
          <t>Daily/ Weekly Vehicle Inspection</t>
        </is>
      </c>
      <c r="J2655" t="inlineStr">
        <is>
          <t>N/A</t>
        </is>
      </c>
      <c r="K2655" t="inlineStr">
        <is>
          <t>7800 MAC Tree Surgery and Fencing Ltd</t>
        </is>
      </c>
      <c r="L2655" t="inlineStr">
        <is>
          <t>12/01/2026 07:42</t>
        </is>
      </c>
      <c r="M2655" t="inlineStr">
        <is>
          <t>None</t>
        </is>
      </c>
      <c r="N2655" t="inlineStr">
        <is>
          <t>&lt;p&gt;&lt;/p&gt;</t>
        </is>
      </c>
      <c r="O2655" t="inlineStr"/>
      <c r="P2655" t="inlineStr">
        <is>
          <t>Plant Trailer - Towmate - 2.8t - 0</t>
        </is>
      </c>
      <c r="Q2655" t="inlineStr">
        <is>
          <t>UKPN</t>
        </is>
      </c>
      <c r="R2655" t="b">
        <v>0</v>
      </c>
    </row>
    <row r="2656">
      <c r="A2656" t="inlineStr">
        <is>
          <t>12 Jan 2026 / 7800 MAC Tree Surgery and Fencing Ltd / Utilities / UKPN</t>
        </is>
      </c>
      <c r="B2656" t="inlineStr">
        <is>
          <t>Utilities</t>
        </is>
      </c>
      <c r="C2656" t="inlineStr">
        <is>
          <t>UKPN</t>
        </is>
      </c>
      <c r="D2656" t="inlineStr">
        <is>
          <t>AY68DAA , 4x4 , Izuzu , Dmax</t>
        </is>
      </c>
      <c r="E2656" t="inlineStr">
        <is>
          <t>AY68DAA , 4x4 , Izuzu , Dmax</t>
        </is>
      </c>
      <c r="F2656" t="inlineStr">
        <is>
          <t>AY68DAA , 4x4 , Izuzu , Dmax</t>
        </is>
      </c>
      <c r="G2656" t="inlineStr">
        <is>
          <t xml:space="preserve">Patrick O'Shea </t>
        </is>
      </c>
      <c r="H2656" t="inlineStr">
        <is>
          <t>4x4</t>
        </is>
      </c>
      <c r="I2656" t="inlineStr">
        <is>
          <t>Daily/ Weekly Vehicle Inspection</t>
        </is>
      </c>
      <c r="J2656" t="inlineStr">
        <is>
          <t>N/A</t>
        </is>
      </c>
      <c r="K2656" t="inlineStr">
        <is>
          <t>7800 MAC Tree Surgery and Fencing Ltd</t>
        </is>
      </c>
      <c r="L2656" t="inlineStr">
        <is>
          <t>12/01/2026 07:43</t>
        </is>
      </c>
      <c r="M2656" t="inlineStr">
        <is>
          <t>None</t>
        </is>
      </c>
      <c r="N2656" t="inlineStr">
        <is>
          <t>&lt;p&gt;&lt;/p&gt;</t>
        </is>
      </c>
      <c r="O2656" t="inlineStr"/>
      <c r="P2656" t="inlineStr">
        <is>
          <t>AY68DAA , 4x4 , Izuzu , Dmax</t>
        </is>
      </c>
      <c r="Q2656" t="inlineStr">
        <is>
          <t>UKPN</t>
        </is>
      </c>
      <c r="R2656" t="b">
        <v>0</v>
      </c>
    </row>
    <row r="2657">
      <c r="A2657" t="inlineStr">
        <is>
          <t>12 Jan 2026 / 7806 Optimum Tree Services Ltd / Utilities / UKPN</t>
        </is>
      </c>
      <c r="B2657" t="inlineStr">
        <is>
          <t>Utilities</t>
        </is>
      </c>
      <c r="C2657" t="inlineStr">
        <is>
          <t>UKPN</t>
        </is>
      </c>
      <c r="D2657" t="inlineStr">
        <is>
          <t>Wd14evn , 4x4 , Landrover  , Defender</t>
        </is>
      </c>
      <c r="E2657" t="inlineStr">
        <is>
          <t>Wd14evn , 4x4 , Landrover  , Defender</t>
        </is>
      </c>
      <c r="F2657" t="inlineStr">
        <is>
          <t>Wd14evn , 4x4 , Landrover  , Defender</t>
        </is>
      </c>
      <c r="G2657" t="inlineStr">
        <is>
          <t xml:space="preserve">Kenny Aldred </t>
        </is>
      </c>
      <c r="H2657" t="inlineStr">
        <is>
          <t>4x4</t>
        </is>
      </c>
      <c r="I2657" t="inlineStr">
        <is>
          <t>Daily/ Weekly Vehicle Inspection</t>
        </is>
      </c>
      <c r="J2657" t="inlineStr">
        <is>
          <t>N/A</t>
        </is>
      </c>
      <c r="K2657" t="inlineStr">
        <is>
          <t>7806 Optimum Tree Services Ltd</t>
        </is>
      </c>
      <c r="L2657" t="inlineStr">
        <is>
          <t>12/01/2026 07:44</t>
        </is>
      </c>
      <c r="M2657" t="inlineStr">
        <is>
          <t>None</t>
        </is>
      </c>
      <c r="N2657" t="inlineStr">
        <is>
          <t>&lt;p&gt;&lt;/p&gt;</t>
        </is>
      </c>
      <c r="O2657" t="inlineStr"/>
      <c r="P2657" t="inlineStr">
        <is>
          <t>Wd14evn , 4x4 , Landrover  , Defender</t>
        </is>
      </c>
      <c r="Q2657" t="inlineStr">
        <is>
          <t>UKPN</t>
        </is>
      </c>
      <c r="R2657" t="b">
        <v>0</v>
      </c>
    </row>
    <row r="2658">
      <c r="A2658" t="inlineStr">
        <is>
          <t>12 Jan 2026 / 7806 Optimum Tree Services Ltd / Utilities / UKPN</t>
        </is>
      </c>
      <c r="B2658" t="inlineStr">
        <is>
          <t>Utilities</t>
        </is>
      </c>
      <c r="C2658" t="inlineStr">
        <is>
          <t>UKPN</t>
        </is>
      </c>
      <c r="D2658" t="inlineStr">
        <is>
          <t>WD14EVB , MEWP , Land Rover , Defender</t>
        </is>
      </c>
      <c r="E2658" t="inlineStr">
        <is>
          <t>WD14EVB , MEWP , Land Rover , Defender</t>
        </is>
      </c>
      <c r="F2658" t="inlineStr">
        <is>
          <t>WD14EVB , MEWP , Land Rover , Defender</t>
        </is>
      </c>
      <c r="G2658" t="inlineStr">
        <is>
          <t xml:space="preserve">Abraham Davies </t>
        </is>
      </c>
      <c r="H2658" t="inlineStr">
        <is>
          <t>4x4</t>
        </is>
      </c>
      <c r="I2658" t="inlineStr">
        <is>
          <t>Daily/ Weekly Vehicle Inspection</t>
        </is>
      </c>
      <c r="J2658" t="inlineStr">
        <is>
          <t>N/A</t>
        </is>
      </c>
      <c r="K2658" t="inlineStr">
        <is>
          <t>7806 Optimum Tree Services Ltd</t>
        </is>
      </c>
      <c r="L2658" t="inlineStr">
        <is>
          <t>12/01/2026 07:45</t>
        </is>
      </c>
      <c r="M2658" t="inlineStr">
        <is>
          <t>None</t>
        </is>
      </c>
      <c r="N2658" t="inlineStr">
        <is>
          <t>&lt;p&gt;&lt;/p&gt;</t>
        </is>
      </c>
      <c r="O2658" t="inlineStr"/>
      <c r="P2658" t="inlineStr">
        <is>
          <t>WD14EVB , MEWP , Land Rover , Defender</t>
        </is>
      </c>
      <c r="Q2658" t="inlineStr">
        <is>
          <t>UKPN</t>
        </is>
      </c>
      <c r="R2658" t="b">
        <v>0</v>
      </c>
    </row>
    <row r="2659">
      <c r="A2659" t="inlineStr">
        <is>
          <t>12 Jan 2026 / Thomas Playford / Utilities / UKPN</t>
        </is>
      </c>
      <c r="B2659" t="inlineStr">
        <is>
          <t>Utilities</t>
        </is>
      </c>
      <c r="C2659" t="inlineStr">
        <is>
          <t>UKPN</t>
        </is>
      </c>
      <c r="D2659" t="inlineStr">
        <is>
          <t>SA9ST800000283944 , Tow Chipper , Forst , ST8D - Towed</t>
        </is>
      </c>
      <c r="E2659" t="inlineStr">
        <is>
          <t>SA9ST800000283944 , Tow Chipper , Forst , ST8D - Towed</t>
        </is>
      </c>
      <c r="F2659" t="inlineStr">
        <is>
          <t>SA9ST800000283944 , Tow Chipper , Forst , ST8D - Towed</t>
        </is>
      </c>
      <c r="G2659" t="inlineStr">
        <is>
          <t>Thomas Playford</t>
        </is>
      </c>
      <c r="H2659" t="inlineStr">
        <is>
          <t>Towed Chipper</t>
        </is>
      </c>
      <c r="I2659" t="inlineStr">
        <is>
          <t>Daily/ Weekly Vehicle Inspection</t>
        </is>
      </c>
      <c r="J2659" t="inlineStr">
        <is>
          <t>N/A</t>
        </is>
      </c>
      <c r="K2659" t="inlineStr">
        <is>
          <t>7995 Green Net Eco Ltd 2</t>
        </is>
      </c>
      <c r="L2659" t="inlineStr">
        <is>
          <t>12/01/2026 07:46</t>
        </is>
      </c>
      <c r="M2659" t="inlineStr">
        <is>
          <t>None</t>
        </is>
      </c>
      <c r="N2659" t="inlineStr">
        <is>
          <t>&lt;p&gt;&lt;/p&gt;</t>
        </is>
      </c>
      <c r="O2659" t="inlineStr"/>
      <c r="P2659" t="inlineStr">
        <is>
          <t>SA9ST800000283944 , Tow Chipper , Forst , ST8D - Towed</t>
        </is>
      </c>
      <c r="Q2659" t="inlineStr">
        <is>
          <t>UKPN</t>
        </is>
      </c>
      <c r="R2659" t="b">
        <v>0</v>
      </c>
    </row>
    <row r="2660">
      <c r="A2660" t="inlineStr">
        <is>
          <t>12 Jan 2026 / 7806 Optimum Tree Services Ltd / Utilities / UKPN</t>
        </is>
      </c>
      <c r="B2660" t="inlineStr">
        <is>
          <t>Utilities</t>
        </is>
      </c>
      <c r="C2660" t="inlineStr">
        <is>
          <t>UKPN</t>
        </is>
      </c>
      <c r="D2660" t="inlineStr">
        <is>
          <t>SA9ST800000283069 , Chipper , Forst , ST 6P</t>
        </is>
      </c>
      <c r="E2660" t="inlineStr">
        <is>
          <t>SA9ST800000283069 , Chipper , Forst , ST 6P</t>
        </is>
      </c>
      <c r="F2660" t="inlineStr">
        <is>
          <t>SA9ST800000283069 , Chipper , Forst , ST 6P</t>
        </is>
      </c>
      <c r="G2660" t="inlineStr">
        <is>
          <t xml:space="preserve">Kenny Aldred </t>
        </is>
      </c>
      <c r="H2660" t="inlineStr">
        <is>
          <t>Towed Chipper</t>
        </is>
      </c>
      <c r="I2660" t="inlineStr">
        <is>
          <t>Daily/ Weekly Vehicle Inspection</t>
        </is>
      </c>
      <c r="J2660" t="inlineStr">
        <is>
          <t>N/A</t>
        </is>
      </c>
      <c r="K2660" t="inlineStr">
        <is>
          <t>7806 Optimum Tree Services Ltd</t>
        </is>
      </c>
      <c r="L2660" t="inlineStr">
        <is>
          <t>12/01/2026 07:46</t>
        </is>
      </c>
      <c r="M2660" t="inlineStr">
        <is>
          <t>None</t>
        </is>
      </c>
      <c r="N2660" t="inlineStr">
        <is>
          <t>&lt;p&gt;&lt;/p&gt;</t>
        </is>
      </c>
      <c r="O2660" t="inlineStr"/>
      <c r="P2660" t="inlineStr">
        <is>
          <t>SA9ST800000283069 , Chipper , Forst , ST 6P</t>
        </is>
      </c>
      <c r="Q2660" t="inlineStr">
        <is>
          <t>UKPN</t>
        </is>
      </c>
      <c r="R2660" t="b">
        <v>0</v>
      </c>
    </row>
    <row r="2661">
      <c r="A2661" t="inlineStr">
        <is>
          <t>12 Jan 2026 / Thomas Playford / Utilities / UKPN</t>
        </is>
      </c>
      <c r="B2661" t="inlineStr">
        <is>
          <t>Utilities</t>
        </is>
      </c>
      <c r="C2661" t="inlineStr">
        <is>
          <t>UKPN</t>
        </is>
      </c>
      <c r="D2661" t="inlineStr">
        <is>
          <t>LK15KRZ , 4x4 , Landrover , Defender</t>
        </is>
      </c>
      <c r="E2661" t="inlineStr">
        <is>
          <t>LK15KRZ , 4x4 , Landrover , Defender</t>
        </is>
      </c>
      <c r="F2661" t="inlineStr">
        <is>
          <t>LK15KRZ , 4x4 , Landrover , Defender</t>
        </is>
      </c>
      <c r="G2661" t="inlineStr">
        <is>
          <t>Thomas Playford</t>
        </is>
      </c>
      <c r="H2661" t="inlineStr">
        <is>
          <t>4x4</t>
        </is>
      </c>
      <c r="I2661" t="inlineStr">
        <is>
          <t>Daily/ Weekly Vehicle Inspection</t>
        </is>
      </c>
      <c r="J2661" t="inlineStr">
        <is>
          <t>N/A</t>
        </is>
      </c>
      <c r="K2661" t="inlineStr">
        <is>
          <t>7995 Green Net Eco Ltd 2</t>
        </is>
      </c>
      <c r="L2661" t="inlineStr">
        <is>
          <t>12/01/2026 07:47</t>
        </is>
      </c>
      <c r="M2661" t="inlineStr">
        <is>
          <t>None</t>
        </is>
      </c>
      <c r="N2661" t="inlineStr">
        <is>
          <t>&lt;p&gt;&lt;/p&gt;</t>
        </is>
      </c>
      <c r="O2661" t="inlineStr"/>
      <c r="P2661" t="inlineStr">
        <is>
          <t>LK15KRZ , 4x4 , Landrover , Defender</t>
        </is>
      </c>
      <c r="Q2661" t="inlineStr">
        <is>
          <t>UKPN</t>
        </is>
      </c>
      <c r="R2661" t="b">
        <v>0</v>
      </c>
    </row>
    <row r="2662">
      <c r="A2662" t="inlineStr">
        <is>
          <t>12 Jan 2026 / 7186 Eastwoodbury Tree Services Ltd / Utilities / UKPN</t>
        </is>
      </c>
      <c r="B2662" t="inlineStr">
        <is>
          <t>Utilities</t>
        </is>
      </c>
      <c r="C2662" t="inlineStr">
        <is>
          <t>UKPN</t>
        </is>
      </c>
      <c r="D2662" t="inlineStr">
        <is>
          <t>WF13 EKT , 4x4 , Land rover  , Defender</t>
        </is>
      </c>
      <c r="E2662" t="inlineStr">
        <is>
          <t>WF13 EKT , 4x4 , Land rover  , Defender</t>
        </is>
      </c>
      <c r="F2662" t="inlineStr">
        <is>
          <t>WF13 EKT , 4x4 , Land rover  , Defender</t>
        </is>
      </c>
      <c r="G2662" t="inlineStr">
        <is>
          <t xml:space="preserve">Dan Gilbert </t>
        </is>
      </c>
      <c r="H2662" t="inlineStr">
        <is>
          <t>4x4</t>
        </is>
      </c>
      <c r="I2662" t="inlineStr">
        <is>
          <t>Daily/ Weekly Vehicle Inspection</t>
        </is>
      </c>
      <c r="J2662" t="inlineStr">
        <is>
          <t>N/A</t>
        </is>
      </c>
      <c r="K2662" t="inlineStr">
        <is>
          <t>7186 Eastwoodbury Tree Services Ltd</t>
        </is>
      </c>
      <c r="L2662" t="inlineStr">
        <is>
          <t>12/01/2026 07:48</t>
        </is>
      </c>
      <c r="M2662" t="inlineStr">
        <is>
          <t>None</t>
        </is>
      </c>
      <c r="N2662" t="inlineStr">
        <is>
          <t>&lt;p&gt;&lt;/p&gt;</t>
        </is>
      </c>
      <c r="O2662" t="inlineStr"/>
      <c r="P2662" t="inlineStr">
        <is>
          <t>WF13 EKT , 4x4 , Land rover  , Defender</t>
        </is>
      </c>
      <c r="Q2662" t="inlineStr">
        <is>
          <t>UKPN</t>
        </is>
      </c>
      <c r="R2662" t="b">
        <v>0</v>
      </c>
    </row>
    <row r="2663">
      <c r="A2663" t="inlineStr">
        <is>
          <t>12 Jan 2026 / 7186 Eastwoodbury Tree Services Ltd / Utilities / UKPN</t>
        </is>
      </c>
      <c r="B2663" t="inlineStr">
        <is>
          <t>Utilities</t>
        </is>
      </c>
      <c r="C2663" t="inlineStr">
        <is>
          <t>UKPN</t>
        </is>
      </c>
      <c r="D2663" t="inlineStr">
        <is>
          <t>FX14 XCV , 4x4 , Land Rover  , Defender</t>
        </is>
      </c>
      <c r="E2663" t="inlineStr">
        <is>
          <t>FX14 XCV , 4x4 , Land Rover  , Defender</t>
        </is>
      </c>
      <c r="F2663" t="inlineStr">
        <is>
          <t>FX14 XCV , 4x4 , Land Rover  , Defender</t>
        </is>
      </c>
      <c r="G2663" t="inlineStr">
        <is>
          <t xml:space="preserve">Tom price </t>
        </is>
      </c>
      <c r="H2663" t="inlineStr">
        <is>
          <t>4x4</t>
        </is>
      </c>
      <c r="I2663" t="inlineStr">
        <is>
          <t>Daily/ Weekly Vehicle Inspection</t>
        </is>
      </c>
      <c r="J2663" t="inlineStr">
        <is>
          <t>N/A</t>
        </is>
      </c>
      <c r="K2663" t="inlineStr">
        <is>
          <t>7186 Eastwoodbury Tree Services Ltd</t>
        </is>
      </c>
      <c r="L2663" t="inlineStr">
        <is>
          <t>12/01/2026 07:48</t>
        </is>
      </c>
      <c r="M2663" t="inlineStr">
        <is>
          <t>None</t>
        </is>
      </c>
      <c r="N2663" t="inlineStr">
        <is>
          <t>&lt;p&gt;&lt;/p&gt;</t>
        </is>
      </c>
      <c r="O2663" t="inlineStr"/>
      <c r="P2663" t="inlineStr">
        <is>
          <t>FX14 XCV , 4x4 , Land Rover  , Defender</t>
        </is>
      </c>
      <c r="Q2663" t="inlineStr">
        <is>
          <t>UKPN</t>
        </is>
      </c>
      <c r="R2663" t="b">
        <v>0</v>
      </c>
    </row>
    <row r="2664">
      <c r="A2664" t="inlineStr">
        <is>
          <t>12 Jan 2026 / 7951 Austin Tree Care LTD 1 / Utilities / UKPN</t>
        </is>
      </c>
      <c r="B2664" t="inlineStr">
        <is>
          <t>Utilities</t>
        </is>
      </c>
      <c r="C2664" t="inlineStr">
        <is>
          <t>UKPN</t>
        </is>
      </c>
      <c r="D2664" t="inlineStr">
        <is>
          <t>Kn58xuy , Tipper , VW  , Crafter</t>
        </is>
      </c>
      <c r="E2664" t="inlineStr">
        <is>
          <t>Kn58xuy , Tipper , VW  , Crafter</t>
        </is>
      </c>
      <c r="F2664" t="inlineStr">
        <is>
          <t>Kn58xuy , Tipper , VW  , Crafter</t>
        </is>
      </c>
      <c r="G2664" t="inlineStr">
        <is>
          <t xml:space="preserve">James Tasker </t>
        </is>
      </c>
      <c r="H2664" t="inlineStr">
        <is>
          <t>Tipper</t>
        </is>
      </c>
      <c r="I2664" t="inlineStr">
        <is>
          <t>Daily/ Weekly Vehicle Inspection</t>
        </is>
      </c>
      <c r="J2664" t="inlineStr">
        <is>
          <t>N/A</t>
        </is>
      </c>
      <c r="K2664" t="inlineStr">
        <is>
          <t>7951 Austin Tree Care LTD 1</t>
        </is>
      </c>
      <c r="L2664" t="inlineStr">
        <is>
          <t>12/01/2026 07:49</t>
        </is>
      </c>
      <c r="M2664" t="inlineStr">
        <is>
          <t>None</t>
        </is>
      </c>
      <c r="N2664" t="inlineStr">
        <is>
          <t>&lt;p&gt;&lt;/p&gt;</t>
        </is>
      </c>
      <c r="O2664" t="inlineStr"/>
      <c r="P2664" t="inlineStr">
        <is>
          <t>Kn58xuy , Tipper , VW  , Crafter</t>
        </is>
      </c>
      <c r="Q2664" t="inlineStr">
        <is>
          <t>UKPN</t>
        </is>
      </c>
      <c r="R2664" t="b">
        <v>0</v>
      </c>
    </row>
    <row r="2665">
      <c r="A2665" t="inlineStr">
        <is>
          <t>12 Jan 2026 / 7186 Eastwoodbury Tree Services Ltd / Utilities / UKPN</t>
        </is>
      </c>
      <c r="B2665" t="inlineStr">
        <is>
          <t>Utilities</t>
        </is>
      </c>
      <c r="C2665" t="inlineStr">
        <is>
          <t>UKPN</t>
        </is>
      </c>
      <c r="D2665" t="inlineStr">
        <is>
          <t>DE53NKS , 4x4 , Ford , Ranger</t>
        </is>
      </c>
      <c r="E2665" t="inlineStr">
        <is>
          <t>DE53NKS , 4x4 , Ford , Ranger</t>
        </is>
      </c>
      <c r="F2665" t="inlineStr">
        <is>
          <t>DE53NKS , 4x4 , Ford , Ranger</t>
        </is>
      </c>
      <c r="G2665" t="inlineStr">
        <is>
          <t xml:space="preserve">Jay Denkmayer </t>
        </is>
      </c>
      <c r="H2665" t="inlineStr">
        <is>
          <t>Pickup Truck</t>
        </is>
      </c>
      <c r="I2665" t="inlineStr">
        <is>
          <t>Daily/ Weekly Vehicle Inspection</t>
        </is>
      </c>
      <c r="J2665" t="inlineStr">
        <is>
          <t>N/A</t>
        </is>
      </c>
      <c r="K2665" t="inlineStr">
        <is>
          <t>7186 Eastwoodbury Tree Services Ltd</t>
        </is>
      </c>
      <c r="L2665" t="inlineStr">
        <is>
          <t>12/01/2026 07:50</t>
        </is>
      </c>
      <c r="M2665" t="inlineStr">
        <is>
          <t>None</t>
        </is>
      </c>
      <c r="N2665" t="inlineStr">
        <is>
          <t>&lt;p&gt;&lt;/p&gt;</t>
        </is>
      </c>
      <c r="O2665" t="inlineStr"/>
      <c r="P2665" t="inlineStr">
        <is>
          <t>DE53NKS , 4x4 , Ford , Ranger</t>
        </is>
      </c>
      <c r="Q2665" t="inlineStr">
        <is>
          <t>UKPN</t>
        </is>
      </c>
      <c r="R2665" t="b">
        <v>0</v>
      </c>
    </row>
    <row r="2666">
      <c r="A2666" t="inlineStr">
        <is>
          <t>12 Jan 2026 / 7951 Austin Tree Care LTD / Utilities / UKPN</t>
        </is>
      </c>
      <c r="B2666" t="inlineStr">
        <is>
          <t>Utilities</t>
        </is>
      </c>
      <c r="C2666" t="inlineStr">
        <is>
          <t>UKPN</t>
        </is>
      </c>
      <c r="D2666" t="inlineStr">
        <is>
          <t>WG64HTT , 4x4 , Land Rover , Defender 110</t>
        </is>
      </c>
      <c r="E2666" t="inlineStr">
        <is>
          <t>WG64HTT , 4x4 , Land Rover , Defender 110</t>
        </is>
      </c>
      <c r="F2666" t="inlineStr">
        <is>
          <t>WG64HTT , 4x4 , Land Rover , Defender 110</t>
        </is>
      </c>
      <c r="G2666" t="inlineStr">
        <is>
          <t xml:space="preserve">Jack Austin </t>
        </is>
      </c>
      <c r="H2666" t="inlineStr">
        <is>
          <t>4x4</t>
        </is>
      </c>
      <c r="I2666" t="inlineStr">
        <is>
          <t>Daily/ Weekly Vehicle Inspection</t>
        </is>
      </c>
      <c r="J2666" t="inlineStr">
        <is>
          <t>N/A</t>
        </is>
      </c>
      <c r="K2666" t="inlineStr">
        <is>
          <t>7951 Austin Tree Care LTD</t>
        </is>
      </c>
      <c r="L2666" t="inlineStr">
        <is>
          <t>12/01/2026 07:50</t>
        </is>
      </c>
      <c r="M2666" t="inlineStr">
        <is>
          <t>None</t>
        </is>
      </c>
      <c r="N2666" t="inlineStr">
        <is>
          <t>&lt;p&gt;&lt;/p&gt;</t>
        </is>
      </c>
      <c r="O2666" t="inlineStr"/>
      <c r="P2666" t="inlineStr">
        <is>
          <t>WG64HTT , 4x4 , Land Rover , Defender 110</t>
        </is>
      </c>
      <c r="Q2666" t="inlineStr">
        <is>
          <t>UKPN</t>
        </is>
      </c>
      <c r="R2666" t="b">
        <v>0</v>
      </c>
    </row>
    <row r="2667">
      <c r="A2667" t="inlineStr">
        <is>
          <t>12 Jan 2026 / 7951 Austin Tree Care LTD / Utilities / UKPN</t>
        </is>
      </c>
      <c r="B2667" t="inlineStr">
        <is>
          <t>Utilities</t>
        </is>
      </c>
      <c r="C2667" t="inlineStr">
        <is>
          <t>UKPN</t>
        </is>
      </c>
      <c r="D2667" t="inlineStr">
        <is>
          <t>WG64HTT , 4x4 , Land Rover , Defender 110</t>
        </is>
      </c>
      <c r="E2667" t="inlineStr">
        <is>
          <t>WG64HTT , 4x4 , Land Rover , Defender 110</t>
        </is>
      </c>
      <c r="F2667" t="inlineStr">
        <is>
          <t>WG64HTT , 4x4 , Land Rover , Defender 110</t>
        </is>
      </c>
      <c r="G2667" t="inlineStr">
        <is>
          <t xml:space="preserve">Jack Austin </t>
        </is>
      </c>
      <c r="H2667" t="inlineStr">
        <is>
          <t>Towed Chipper</t>
        </is>
      </c>
      <c r="I2667" t="inlineStr">
        <is>
          <t>Daily/ Weekly Vehicle Inspection</t>
        </is>
      </c>
      <c r="J2667" t="inlineStr">
        <is>
          <t>N/A</t>
        </is>
      </c>
      <c r="K2667" t="inlineStr">
        <is>
          <t>7951 Austin Tree Care LTD</t>
        </is>
      </c>
      <c r="L2667" t="inlineStr">
        <is>
          <t>12/01/2026 07:52</t>
        </is>
      </c>
      <c r="M2667" t="inlineStr">
        <is>
          <t>None</t>
        </is>
      </c>
      <c r="N2667" t="inlineStr">
        <is>
          <t>&lt;p&gt;&lt;/p&gt;</t>
        </is>
      </c>
      <c r="O2667" t="inlineStr"/>
      <c r="P2667" t="inlineStr">
        <is>
          <t>WG64HTT , 4x4 , Land Rover , Defender 110</t>
        </is>
      </c>
      <c r="Q2667" t="inlineStr">
        <is>
          <t>UKPN</t>
        </is>
      </c>
      <c r="R2667" t="b">
        <v>0</v>
      </c>
    </row>
    <row r="2668">
      <c r="A2668" t="inlineStr">
        <is>
          <t>12 Jan 2026 / Anthony Gale / Utilities / UKPN</t>
        </is>
      </c>
      <c r="B2668" t="inlineStr">
        <is>
          <t>Utilities</t>
        </is>
      </c>
      <c r="C2668" t="inlineStr">
        <is>
          <t>UKPN</t>
        </is>
      </c>
      <c r="D2668" t="inlineStr">
        <is>
          <t>KX20 BCE , Tipper , Isuzu , D-Max</t>
        </is>
      </c>
      <c r="E2668" t="inlineStr">
        <is>
          <t>KX20 BCE , Tipper , Isuzu , D-Max</t>
        </is>
      </c>
      <c r="F2668" t="inlineStr">
        <is>
          <t>KX20 BCE , Tipper , Isuzu , D-Max</t>
        </is>
      </c>
      <c r="G2668" t="inlineStr">
        <is>
          <t>Anthony Gale</t>
        </is>
      </c>
      <c r="H2668" t="inlineStr">
        <is>
          <t>Pickup Truck</t>
        </is>
      </c>
      <c r="I2668" t="inlineStr">
        <is>
          <t>Daily/ Weekly Vehicle Inspection</t>
        </is>
      </c>
      <c r="J2668" t="inlineStr">
        <is>
          <t>N/A</t>
        </is>
      </c>
      <c r="K2668" t="inlineStr">
        <is>
          <t>7996 M G Tree Surgery Ltd 1</t>
        </is>
      </c>
      <c r="L2668" t="inlineStr">
        <is>
          <t>12/01/2026 07:54</t>
        </is>
      </c>
      <c r="M2668" t="inlineStr">
        <is>
          <t>None</t>
        </is>
      </c>
      <c r="N2668" t="inlineStr">
        <is>
          <t>&lt;p&gt;&lt;/p&gt;</t>
        </is>
      </c>
      <c r="O2668" t="inlineStr">
        <is>
          <t>Confirm that you have checked this vehicle as per the guidance document and the vehicle is safe and roadworthy:Light board deteriorating.
Safe for now, will need replacing soon though.
-</t>
        </is>
      </c>
      <c r="P2668" t="inlineStr">
        <is>
          <t>KX20 BCE , Tipper , Isuzu , D-Max</t>
        </is>
      </c>
      <c r="Q2668" t="inlineStr">
        <is>
          <t>UKPN</t>
        </is>
      </c>
      <c r="R2668" t="b">
        <v>0</v>
      </c>
    </row>
    <row r="2669">
      <c r="A2669" t="inlineStr">
        <is>
          <t>12 Jan 2026 / Anthony Gale / Utilities / UKPN</t>
        </is>
      </c>
      <c r="B2669" t="inlineStr">
        <is>
          <t>Utilities</t>
        </is>
      </c>
      <c r="C2669" t="inlineStr">
        <is>
          <t>UKPN</t>
        </is>
      </c>
      <c r="D2669" t="inlineStr"/>
      <c r="E2669" t="inlineStr"/>
      <c r="F2669" t="inlineStr"/>
      <c r="G2669" t="inlineStr">
        <is>
          <t>Anthony Gale</t>
        </is>
      </c>
      <c r="H2669" t="inlineStr">
        <is>
          <t>Towed Chipper</t>
        </is>
      </c>
      <c r="I2669" t="inlineStr">
        <is>
          <t>Daily/ Weekly Vehicle Inspection</t>
        </is>
      </c>
      <c r="J2669" t="inlineStr">
        <is>
          <t>N/A</t>
        </is>
      </c>
      <c r="K2669" t="inlineStr">
        <is>
          <t>7996 M G Tree Surgery Ltd 1</t>
        </is>
      </c>
      <c r="L2669" t="inlineStr">
        <is>
          <t>12/01/2026 07:54</t>
        </is>
      </c>
      <c r="M2669" t="inlineStr">
        <is>
          <t>None</t>
        </is>
      </c>
      <c r="N2669" t="inlineStr">
        <is>
          <t>&lt;p&gt;&lt;/p&gt;</t>
        </is>
      </c>
      <c r="O2669" t="inlineStr"/>
      <c r="P2669" t="inlineStr"/>
      <c r="Q2669" t="inlineStr">
        <is>
          <t>UKPN</t>
        </is>
      </c>
      <c r="R2669" t="b">
        <v>0</v>
      </c>
    </row>
    <row r="2670">
      <c r="A2670" t="inlineStr">
        <is>
          <t>12 Jan 2026 / Ashley Hill / Utilities / NGED</t>
        </is>
      </c>
      <c r="B2670" t="inlineStr">
        <is>
          <t>Utilities</t>
        </is>
      </c>
      <c r="C2670" t="inlineStr">
        <is>
          <t>NGED</t>
        </is>
      </c>
      <c r="D2670" t="inlineStr"/>
      <c r="E2670" t="inlineStr"/>
      <c r="F2670" t="inlineStr"/>
      <c r="G2670" t="inlineStr">
        <is>
          <t>Ashley Hill</t>
        </is>
      </c>
      <c r="H2670" t="inlineStr">
        <is>
          <t>Car - Petrol</t>
        </is>
      </c>
      <c r="I2670" t="inlineStr">
        <is>
          <t>Daily/ Weekly Vehicle Inspection</t>
        </is>
      </c>
      <c r="J2670" t="inlineStr">
        <is>
          <t>N/A</t>
        </is>
      </c>
      <c r="K2670" t="inlineStr">
        <is>
          <t>Ashley Hill</t>
        </is>
      </c>
      <c r="L2670" t="inlineStr">
        <is>
          <t>12/01/2026 07:56</t>
        </is>
      </c>
      <c r="M2670" t="inlineStr">
        <is>
          <t>None</t>
        </is>
      </c>
      <c r="N2670" t="inlineStr">
        <is>
          <t>&lt;p&gt;&lt;/p&gt;</t>
        </is>
      </c>
      <c r="O2670" t="inlineStr"/>
      <c r="P2670" t="inlineStr"/>
      <c r="Q2670" t="inlineStr">
        <is>
          <t>NGED</t>
        </is>
      </c>
      <c r="R2670" t="b">
        <v>0</v>
      </c>
    </row>
    <row r="2671">
      <c r="A2671" t="inlineStr">
        <is>
          <t>12 Jan 2026 / Donovan Gosher / Utilities / NGED</t>
        </is>
      </c>
      <c r="B2671" t="inlineStr">
        <is>
          <t>Utilities</t>
        </is>
      </c>
      <c r="C2671" t="inlineStr">
        <is>
          <t>NGED</t>
        </is>
      </c>
      <c r="D2671" t="inlineStr">
        <is>
          <t>AJ72EWU , Car - Electric , Tesla , Model Y Long Range</t>
        </is>
      </c>
      <c r="E2671" t="inlineStr">
        <is>
          <t>AJ72EWU , Car - Electric , Tesla , Model Y Long Range</t>
        </is>
      </c>
      <c r="F2671" t="inlineStr">
        <is>
          <t>AJ72EWU , Car - Electric , Tesla , Model Y Long Range</t>
        </is>
      </c>
      <c r="G2671" t="inlineStr">
        <is>
          <t>Donovan Gosher</t>
        </is>
      </c>
      <c r="H2671" t="inlineStr">
        <is>
          <t>Car - Electric (GC Owned)</t>
        </is>
      </c>
      <c r="I2671" t="inlineStr">
        <is>
          <t>Daily/ Weekly Vehicle Inspection</t>
        </is>
      </c>
      <c r="J2671" t="inlineStr">
        <is>
          <t>N/A</t>
        </is>
      </c>
      <c r="K2671" t="inlineStr">
        <is>
          <t>Donovan Gosher</t>
        </is>
      </c>
      <c r="L2671" t="inlineStr">
        <is>
          <t>12/01/2026 08:44</t>
        </is>
      </c>
      <c r="M2671" t="inlineStr">
        <is>
          <t>None</t>
        </is>
      </c>
      <c r="N2671" t="inlineStr">
        <is>
          <t>&lt;p&gt;&lt;/p&gt;</t>
        </is>
      </c>
      <c r="O2671" t="inlineStr"/>
      <c r="P2671" t="inlineStr">
        <is>
          <t>AJ72EWU , Car - Electric , Tesla , Model Y Long Range</t>
        </is>
      </c>
      <c r="Q2671" t="inlineStr">
        <is>
          <t>NGED</t>
        </is>
      </c>
      <c r="R2671" t="b">
        <v>0</v>
      </c>
    </row>
    <row r="2672">
      <c r="A2672" t="inlineStr">
        <is>
          <t>12 Jan 2026 / 7996 M G Tree Surgery Ltd / Utilities / UKPN</t>
        </is>
      </c>
      <c r="B2672" t="inlineStr">
        <is>
          <t>Utilities</t>
        </is>
      </c>
      <c r="C2672" t="inlineStr">
        <is>
          <t>UKPN</t>
        </is>
      </c>
      <c r="D2672" t="inlineStr">
        <is>
          <t>GU13 WNL , MEWP , Land Rover , Defender 130</t>
        </is>
      </c>
      <c r="E2672" t="inlineStr">
        <is>
          <t>GU13 WNL , MEWP , Land Rover , Defender 130</t>
        </is>
      </c>
      <c r="F2672" t="inlineStr">
        <is>
          <t>GU13 WNL , MEWP , Land Rover , Defender 130</t>
        </is>
      </c>
      <c r="G2672" t="inlineStr">
        <is>
          <t>Max</t>
        </is>
      </c>
      <c r="H2672" t="inlineStr">
        <is>
          <t>4x4</t>
        </is>
      </c>
      <c r="I2672" t="inlineStr">
        <is>
          <t>Daily/ Weekly Vehicle Inspection</t>
        </is>
      </c>
      <c r="J2672" t="inlineStr">
        <is>
          <t>N/A</t>
        </is>
      </c>
      <c r="K2672" t="inlineStr">
        <is>
          <t>7996 M G Tree Surgery Ltd</t>
        </is>
      </c>
      <c r="L2672" t="inlineStr">
        <is>
          <t>12/01/2026 08:45</t>
        </is>
      </c>
      <c r="M2672" t="inlineStr">
        <is>
          <t>None</t>
        </is>
      </c>
      <c r="N2672" t="inlineStr">
        <is>
          <t>&lt;p&gt;&lt;/p&gt;</t>
        </is>
      </c>
      <c r="O2672" t="inlineStr"/>
      <c r="P2672" t="inlineStr">
        <is>
          <t>GU13 WNL , MEWP , Land Rover , Defender 130</t>
        </is>
      </c>
      <c r="Q2672" t="inlineStr">
        <is>
          <t>UKPN</t>
        </is>
      </c>
      <c r="R2672" t="b">
        <v>0</v>
      </c>
    </row>
    <row r="2673">
      <c r="A2673" t="inlineStr">
        <is>
          <t>12 Jan 2026 / 8148 Hope Ground and Tree Care / Utilities / UKPN</t>
        </is>
      </c>
      <c r="B2673" t="inlineStr">
        <is>
          <t>Utilities</t>
        </is>
      </c>
      <c r="C2673" t="inlineStr">
        <is>
          <t>UKPN</t>
        </is>
      </c>
      <c r="D2673" t="inlineStr">
        <is>
          <t>S6 NWX , MEWP , Isuzu , D-Max</t>
        </is>
      </c>
      <c r="E2673" t="inlineStr">
        <is>
          <t>S6 NWX , MEWP , Isuzu , D-Max</t>
        </is>
      </c>
      <c r="F2673" t="inlineStr">
        <is>
          <t>S6 NWX , MEWP , Isuzu , D-Max</t>
        </is>
      </c>
      <c r="G2673" t="inlineStr">
        <is>
          <t>Andrew Hope</t>
        </is>
      </c>
      <c r="H2673" t="inlineStr">
        <is>
          <t>4x4</t>
        </is>
      </c>
      <c r="I2673" t="inlineStr">
        <is>
          <t>Daily/ Weekly Vehicle Inspection</t>
        </is>
      </c>
      <c r="J2673" t="inlineStr">
        <is>
          <t>N/A</t>
        </is>
      </c>
      <c r="K2673" t="inlineStr">
        <is>
          <t>8148 Hope Ground and Tree Care</t>
        </is>
      </c>
      <c r="L2673" t="inlineStr">
        <is>
          <t>12/01/2026 08:46</t>
        </is>
      </c>
      <c r="M2673" t="inlineStr">
        <is>
          <t>None</t>
        </is>
      </c>
      <c r="N2673" t="inlineStr">
        <is>
          <t>&lt;p&gt;&lt;/p&gt;</t>
        </is>
      </c>
      <c r="O2673" t="inlineStr"/>
      <c r="P2673" t="inlineStr">
        <is>
          <t>S6 NWX , MEWP , Isuzu , D-Max</t>
        </is>
      </c>
      <c r="Q2673" t="inlineStr">
        <is>
          <t>UKPN</t>
        </is>
      </c>
      <c r="R2673" t="b">
        <v>0</v>
      </c>
    </row>
    <row r="2674">
      <c r="A2674" t="inlineStr">
        <is>
          <t>12 Jan 2026 / Paul Shaw / Utilities / NGED</t>
        </is>
      </c>
      <c r="B2674" t="inlineStr">
        <is>
          <t>Utilities</t>
        </is>
      </c>
      <c r="C2674" t="inlineStr">
        <is>
          <t>NGED</t>
        </is>
      </c>
      <c r="D2674" t="inlineStr">
        <is>
          <t>EY68HPC , 4x4 , Ford , Ranger</t>
        </is>
      </c>
      <c r="E2674" t="inlineStr">
        <is>
          <t>EY68HPC , 4x4 , Ford , Ranger</t>
        </is>
      </c>
      <c r="F2674" t="inlineStr">
        <is>
          <t>EY68HPC , 4x4 , Ford , Ranger</t>
        </is>
      </c>
      <c r="G2674" t="inlineStr">
        <is>
          <t>Paul shaw</t>
        </is>
      </c>
      <c r="H2674" t="inlineStr">
        <is>
          <t>4x4</t>
        </is>
      </c>
      <c r="I2674" t="inlineStr">
        <is>
          <t>Daily/ Weekly Vehicle Inspection</t>
        </is>
      </c>
      <c r="J2674" t="inlineStr">
        <is>
          <t>N/A</t>
        </is>
      </c>
      <c r="K2674" t="inlineStr">
        <is>
          <t>Paul Shaw</t>
        </is>
      </c>
      <c r="L2674" t="inlineStr">
        <is>
          <t>12/01/2026 08:52</t>
        </is>
      </c>
      <c r="M2674" t="inlineStr">
        <is>
          <t>None</t>
        </is>
      </c>
      <c r="N2674" t="inlineStr">
        <is>
          <t>&lt;p&gt;&lt;/p&gt;</t>
        </is>
      </c>
      <c r="O2674" t="inlineStr"/>
      <c r="P2674" t="inlineStr">
        <is>
          <t>EY68HPC , 4x4 , Ford , Ranger</t>
        </is>
      </c>
      <c r="Q2674" t="inlineStr">
        <is>
          <t>NGED</t>
        </is>
      </c>
      <c r="R2674" t="b">
        <v>0</v>
      </c>
    </row>
    <row r="2675">
      <c r="A2675" t="inlineStr">
        <is>
          <t>12 Jan 2026 / 3098 D &amp; R Landscapes / Utilities / UKPN</t>
        </is>
      </c>
      <c r="B2675" t="inlineStr">
        <is>
          <t>Utilities</t>
        </is>
      </c>
      <c r="C2675" t="inlineStr">
        <is>
          <t>UKPN</t>
        </is>
      </c>
      <c r="D2675" t="inlineStr">
        <is>
          <t>BT20 GNZ , Vehicle , Nissan , Navara</t>
        </is>
      </c>
      <c r="E2675" t="inlineStr">
        <is>
          <t>BT20 GNZ , Vehicle , Nissan , Navara</t>
        </is>
      </c>
      <c r="F2675" t="inlineStr">
        <is>
          <t>BT20 GNZ , Vehicle , Nissan , Navara</t>
        </is>
      </c>
      <c r="G2675" t="inlineStr">
        <is>
          <t>Jason</t>
        </is>
      </c>
      <c r="H2675" t="inlineStr">
        <is>
          <t>4x4</t>
        </is>
      </c>
      <c r="I2675" t="inlineStr">
        <is>
          <t>Daily/ Weekly Vehicle Inspection</t>
        </is>
      </c>
      <c r="J2675" t="inlineStr">
        <is>
          <t>N/A</t>
        </is>
      </c>
      <c r="K2675" t="inlineStr">
        <is>
          <t>3098 D &amp; R Landscapes</t>
        </is>
      </c>
      <c r="L2675" t="inlineStr">
        <is>
          <t>12/01/2026 08:54</t>
        </is>
      </c>
      <c r="M2675" t="inlineStr">
        <is>
          <t>None</t>
        </is>
      </c>
      <c r="N2675" t="inlineStr">
        <is>
          <t>&lt;p&gt;&lt;/p&gt;</t>
        </is>
      </c>
      <c r="O2675" t="inlineStr"/>
      <c r="P2675" t="inlineStr">
        <is>
          <t>BT20 GNZ , Vehicle , Nissan , Navara</t>
        </is>
      </c>
      <c r="Q2675" t="inlineStr">
        <is>
          <t>UKPN</t>
        </is>
      </c>
      <c r="R2675" t="b">
        <v>0</v>
      </c>
    </row>
    <row r="2676">
      <c r="A2676" t="inlineStr">
        <is>
          <t>12 Jan 2026 / Benet Jones / Utilities / NGED</t>
        </is>
      </c>
      <c r="B2676" t="inlineStr">
        <is>
          <t>Utilities</t>
        </is>
      </c>
      <c r="C2676" t="inlineStr">
        <is>
          <t>NGED</t>
        </is>
      </c>
      <c r="D2676" t="inlineStr"/>
      <c r="E2676" t="inlineStr"/>
      <c r="F2676" t="inlineStr"/>
      <c r="G2676" t="inlineStr">
        <is>
          <t>Benet Jones</t>
        </is>
      </c>
      <c r="H2676" t="inlineStr">
        <is>
          <t>Car - Petrol</t>
        </is>
      </c>
      <c r="I2676" t="inlineStr">
        <is>
          <t>Daily/ Weekly Vehicle Inspection</t>
        </is>
      </c>
      <c r="J2676" t="inlineStr">
        <is>
          <t>N/A</t>
        </is>
      </c>
      <c r="K2676" t="inlineStr">
        <is>
          <t>Benet Jones</t>
        </is>
      </c>
      <c r="L2676" t="inlineStr">
        <is>
          <t>12/01/2026 09:46</t>
        </is>
      </c>
      <c r="M2676" t="inlineStr">
        <is>
          <t>None</t>
        </is>
      </c>
      <c r="N2676" t="inlineStr">
        <is>
          <t>&lt;p&gt;&lt;/p&gt;</t>
        </is>
      </c>
      <c r="O2676" t="inlineStr">
        <is>
          <t>Confirm that you have checked this vehicle as per the guidance document and the vehicle is safe and roadworthy:Vehicle fully checked and serviceable.
-</t>
        </is>
      </c>
      <c r="P2676" t="inlineStr"/>
      <c r="Q2676" t="inlineStr">
        <is>
          <t>NGED</t>
        </is>
      </c>
      <c r="R2676" t="b">
        <v>0</v>
      </c>
    </row>
    <row r="2677">
      <c r="A2677" t="inlineStr">
        <is>
          <t>12 Jan 2026 / Mark Davies / Utilities / NGED</t>
        </is>
      </c>
      <c r="B2677" t="inlineStr">
        <is>
          <t>Utilities</t>
        </is>
      </c>
      <c r="C2677" t="inlineStr">
        <is>
          <t>NGED</t>
        </is>
      </c>
      <c r="D2677" t="inlineStr">
        <is>
          <t>GJ20USE , Car - Electric , Tesla , Model 3 Long Range AWD</t>
        </is>
      </c>
      <c r="E2677" t="inlineStr">
        <is>
          <t>GJ20USE , Car - Electric , Tesla , Model 3 Long Range AWD</t>
        </is>
      </c>
      <c r="F2677" t="inlineStr">
        <is>
          <t>GJ20USE , Car - Electric , Tesla , Model 3 Long Range AWD</t>
        </is>
      </c>
      <c r="G2677" t="inlineStr">
        <is>
          <t xml:space="preserve">Mark Davies </t>
        </is>
      </c>
      <c r="H2677" t="inlineStr">
        <is>
          <t>Car - Electric (GC Owned)</t>
        </is>
      </c>
      <c r="I2677" t="inlineStr">
        <is>
          <t>Daily/ Weekly Vehicle Inspection</t>
        </is>
      </c>
      <c r="J2677" t="inlineStr">
        <is>
          <t>N/A</t>
        </is>
      </c>
      <c r="K2677" t="inlineStr">
        <is>
          <t>Mark Davies</t>
        </is>
      </c>
      <c r="L2677" t="inlineStr">
        <is>
          <t>12/01/2026 09:57</t>
        </is>
      </c>
      <c r="M2677" t="inlineStr">
        <is>
          <t>None</t>
        </is>
      </c>
      <c r="N2677" t="inlineStr">
        <is>
          <t>&lt;p&gt;&lt;/p&gt;</t>
        </is>
      </c>
      <c r="O2677" t="inlineStr"/>
      <c r="P2677" t="inlineStr">
        <is>
          <t>GJ20USE , Car - Electric , Tesla , Model 3 Long Range AWD</t>
        </is>
      </c>
      <c r="Q2677" t="inlineStr">
        <is>
          <t>NGED</t>
        </is>
      </c>
      <c r="R2677" t="b">
        <v>0</v>
      </c>
    </row>
    <row r="2678">
      <c r="A2678" t="inlineStr">
        <is>
          <t>12 Jan 2026 / Christopher Simeoli / Utilities / NGED</t>
        </is>
      </c>
      <c r="B2678" t="inlineStr">
        <is>
          <t>Utilities</t>
        </is>
      </c>
      <c r="C2678" t="inlineStr">
        <is>
          <t>NGED</t>
        </is>
      </c>
      <c r="D2678" t="inlineStr">
        <is>
          <t>EO73KVB , Car - Electric , Kia , Niro</t>
        </is>
      </c>
      <c r="E2678" t="inlineStr">
        <is>
          <t>EO73KVB , Car - Electric , Kia , Niro</t>
        </is>
      </c>
      <c r="F2678" t="inlineStr">
        <is>
          <t>EO73KVB , Car - Electric , Kia , Niro</t>
        </is>
      </c>
      <c r="G2678" t="inlineStr">
        <is>
          <t>Chris Simeoli</t>
        </is>
      </c>
      <c r="H2678" t="inlineStr">
        <is>
          <t>Car - Electric (GC Owned)</t>
        </is>
      </c>
      <c r="I2678" t="inlineStr">
        <is>
          <t>Daily/ Weekly Vehicle Inspection</t>
        </is>
      </c>
      <c r="J2678" t="inlineStr">
        <is>
          <t>N/A</t>
        </is>
      </c>
      <c r="K2678" t="inlineStr">
        <is>
          <t>Christopher Simeoli</t>
        </is>
      </c>
      <c r="L2678" t="inlineStr">
        <is>
          <t>12/01/2026 09:58</t>
        </is>
      </c>
      <c r="M2678" t="inlineStr">
        <is>
          <t>None</t>
        </is>
      </c>
      <c r="N2678" t="inlineStr">
        <is>
          <t>&lt;p&gt;&lt;/p&gt;</t>
        </is>
      </c>
      <c r="O2678" t="inlineStr"/>
      <c r="P2678" t="inlineStr">
        <is>
          <t>EO73KVB , Car - Electric , Kia , Niro</t>
        </is>
      </c>
      <c r="Q2678" t="inlineStr">
        <is>
          <t>NGED</t>
        </is>
      </c>
      <c r="R2678" t="b">
        <v>0</v>
      </c>
    </row>
    <row r="2679">
      <c r="A2679" t="inlineStr">
        <is>
          <t>12 Jan 2026 / Ashley Marples / Utilities / NGED</t>
        </is>
      </c>
      <c r="B2679" t="inlineStr">
        <is>
          <t>Utilities</t>
        </is>
      </c>
      <c r="C2679" t="inlineStr">
        <is>
          <t>NGED</t>
        </is>
      </c>
      <c r="D2679" t="inlineStr">
        <is>
          <t>GJ71KAU , Car - Electric , Tesla , Model 3 Long Range AWD</t>
        </is>
      </c>
      <c r="E2679" t="inlineStr">
        <is>
          <t>GJ71KAU , Car - Electric , Tesla , Model 3 Long Range AWD</t>
        </is>
      </c>
      <c r="F2679" t="inlineStr">
        <is>
          <t>GJ71KAU , Car - Electric , Tesla , Model 3 Long Range AWD</t>
        </is>
      </c>
      <c r="G2679" t="inlineStr">
        <is>
          <t xml:space="preserve">Ashley Marples </t>
        </is>
      </c>
      <c r="H2679" t="inlineStr">
        <is>
          <t>Car - Electric (GC Owned)</t>
        </is>
      </c>
      <c r="I2679" t="inlineStr">
        <is>
          <t>Daily/ Weekly Vehicle Inspection</t>
        </is>
      </c>
      <c r="J2679" t="inlineStr">
        <is>
          <t>N/A</t>
        </is>
      </c>
      <c r="K2679" t="inlineStr">
        <is>
          <t>Ashley Marples</t>
        </is>
      </c>
      <c r="L2679" t="inlineStr">
        <is>
          <t>12/01/2026 10:43</t>
        </is>
      </c>
      <c r="M2679" t="inlineStr">
        <is>
          <t>None</t>
        </is>
      </c>
      <c r="N2679" t="inlineStr">
        <is>
          <t>&lt;p&gt;&lt;/p&gt;</t>
        </is>
      </c>
      <c r="O2679" t="inlineStr"/>
      <c r="P2679" t="inlineStr">
        <is>
          <t>GJ71KAU , Car - Electric , Tesla , Model 3 Long Range AWD</t>
        </is>
      </c>
      <c r="Q2679" t="inlineStr">
        <is>
          <t>NGED</t>
        </is>
      </c>
      <c r="R2679" t="b">
        <v>0</v>
      </c>
    </row>
    <row r="2680">
      <c r="A2680" t="inlineStr">
        <is>
          <t>12 Jan 2026 / Joe Sauvage / Utilities / SSE</t>
        </is>
      </c>
      <c r="B2680" t="inlineStr">
        <is>
          <t>Utilities</t>
        </is>
      </c>
      <c r="C2680" t="inlineStr">
        <is>
          <t>SSE</t>
        </is>
      </c>
      <c r="D2680" t="inlineStr">
        <is>
          <t>AK70TBV , Car - Electric , Tesla , Model 3 Long Range AWD</t>
        </is>
      </c>
      <c r="E2680" t="inlineStr">
        <is>
          <t>AK70TBV , Car - Electric , Tesla , Model 3 Long Range AWD</t>
        </is>
      </c>
      <c r="F2680" t="inlineStr">
        <is>
          <t>AK70TBV , Car - Electric , Tesla , Model 3 Long Range AWD</t>
        </is>
      </c>
      <c r="G2680" t="inlineStr">
        <is>
          <t xml:space="preserve">Joe Sauvage </t>
        </is>
      </c>
      <c r="H2680" t="inlineStr">
        <is>
          <t>Car - Electric (GC Owned)</t>
        </is>
      </c>
      <c r="I2680" t="inlineStr">
        <is>
          <t>Daily/ Weekly Vehicle Inspection</t>
        </is>
      </c>
      <c r="J2680" t="inlineStr">
        <is>
          <t>N/A</t>
        </is>
      </c>
      <c r="K2680" t="inlineStr">
        <is>
          <t>Joe Sauvage</t>
        </is>
      </c>
      <c r="L2680" t="inlineStr">
        <is>
          <t>12/01/2026 10:49</t>
        </is>
      </c>
      <c r="M2680" t="inlineStr">
        <is>
          <t>None</t>
        </is>
      </c>
      <c r="N2680" t="inlineStr">
        <is>
          <t>&lt;p&gt;&lt;/p&gt;</t>
        </is>
      </c>
      <c r="O2680" t="inlineStr"/>
      <c r="P2680" t="inlineStr">
        <is>
          <t>AK70TBV , Car - Electric , Tesla , Model 3 Long Range AWD</t>
        </is>
      </c>
      <c r="Q2680" t="inlineStr">
        <is>
          <t>SSE</t>
        </is>
      </c>
      <c r="R2680" t="b">
        <v>0</v>
      </c>
    </row>
    <row r="2681">
      <c r="A2681" t="inlineStr">
        <is>
          <t>12 Jan 2026 / Christopher Phillips / Utilities / NGED</t>
        </is>
      </c>
      <c r="B2681" t="inlineStr">
        <is>
          <t>Utilities</t>
        </is>
      </c>
      <c r="C2681" t="inlineStr">
        <is>
          <t>NGED</t>
        </is>
      </c>
      <c r="D2681" t="inlineStr">
        <is>
          <t>SK69XHC , Car - Electric , Tesla , Model 3 Performance AWD</t>
        </is>
      </c>
      <c r="E2681" t="inlineStr">
        <is>
          <t>SK69XHC , Car - Electric , Tesla , Model 3 Performance AWD</t>
        </is>
      </c>
      <c r="F2681" t="inlineStr">
        <is>
          <t>SK69XHC , Car - Electric , Tesla , Model 3 Performance AWD</t>
        </is>
      </c>
      <c r="G2681" t="inlineStr">
        <is>
          <t xml:space="preserve">Chris Phillips </t>
        </is>
      </c>
      <c r="H2681" t="inlineStr">
        <is>
          <t>Car - Electric (GC Owned)</t>
        </is>
      </c>
      <c r="I2681" t="inlineStr">
        <is>
          <t>Daily/ Weekly Vehicle Inspection</t>
        </is>
      </c>
      <c r="J2681" t="inlineStr">
        <is>
          <t>N/A</t>
        </is>
      </c>
      <c r="K2681" t="inlineStr">
        <is>
          <t>Christopher Phillips</t>
        </is>
      </c>
      <c r="L2681" t="inlineStr">
        <is>
          <t>12/01/2026 11:42</t>
        </is>
      </c>
      <c r="M2681" t="inlineStr">
        <is>
          <t>None</t>
        </is>
      </c>
      <c r="N2681" t="inlineStr">
        <is>
          <t>&lt;p&gt;&lt;/p&gt;</t>
        </is>
      </c>
      <c r="O2681" t="inlineStr"/>
      <c r="P2681" t="inlineStr">
        <is>
          <t>SK69XHC , Car - Electric , Tesla , Model 3 Performance AWD</t>
        </is>
      </c>
      <c r="Q2681" t="inlineStr">
        <is>
          <t>NGED</t>
        </is>
      </c>
      <c r="R2681" t="b">
        <v>0</v>
      </c>
    </row>
    <row r="2682">
      <c r="A2682" t="inlineStr">
        <is>
          <t>12 Jan 2026 / Alexander Damar / Utilities / UKPN</t>
        </is>
      </c>
      <c r="B2682" t="inlineStr">
        <is>
          <t>Utilities</t>
        </is>
      </c>
      <c r="C2682" t="inlineStr">
        <is>
          <t>UKPN</t>
        </is>
      </c>
      <c r="D2682" t="inlineStr"/>
      <c r="E2682" t="inlineStr"/>
      <c r="F2682" t="inlineStr"/>
      <c r="G2682" t="inlineStr">
        <is>
          <t>A Damar</t>
        </is>
      </c>
      <c r="H2682" t="inlineStr">
        <is>
          <t>Car - Petrol</t>
        </is>
      </c>
      <c r="I2682" t="inlineStr">
        <is>
          <t>Daily/ Weekly Vehicle Inspection</t>
        </is>
      </c>
      <c r="J2682" t="inlineStr">
        <is>
          <t>N/A</t>
        </is>
      </c>
      <c r="K2682" t="inlineStr">
        <is>
          <t>Alexander Damar</t>
        </is>
      </c>
      <c r="L2682" t="inlineStr">
        <is>
          <t>12/01/2026 11:43</t>
        </is>
      </c>
      <c r="M2682" t="inlineStr">
        <is>
          <t>None</t>
        </is>
      </c>
      <c r="N2682" t="inlineStr">
        <is>
          <t>&lt;p&gt;&lt;/p&gt;</t>
        </is>
      </c>
      <c r="O2682" t="inlineStr"/>
      <c r="P2682" t="inlineStr"/>
      <c r="Q2682" t="inlineStr">
        <is>
          <t>UKPN</t>
        </is>
      </c>
      <c r="R2682" t="b">
        <v>0</v>
      </c>
    </row>
    <row r="2683">
      <c r="A2683" t="inlineStr">
        <is>
          <t>12 Jan 2026 / Paul Chubb / Utilities / SSE</t>
        </is>
      </c>
      <c r="B2683" t="inlineStr">
        <is>
          <t>Utilities</t>
        </is>
      </c>
      <c r="C2683" t="inlineStr">
        <is>
          <t>SSE</t>
        </is>
      </c>
      <c r="D2683" t="inlineStr"/>
      <c r="E2683" t="inlineStr"/>
      <c r="F2683" t="inlineStr"/>
      <c r="G2683" t="inlineStr">
        <is>
          <t>Paul chubb</t>
        </is>
      </c>
      <c r="H2683" t="inlineStr">
        <is>
          <t>Van</t>
        </is>
      </c>
      <c r="I2683" t="inlineStr">
        <is>
          <t>Daily/ Weekly Vehicle Inspection</t>
        </is>
      </c>
      <c r="J2683" t="inlineStr">
        <is>
          <t>N/A</t>
        </is>
      </c>
      <c r="K2683" t="inlineStr">
        <is>
          <t>Paul Chubb</t>
        </is>
      </c>
      <c r="L2683" t="inlineStr">
        <is>
          <t>12/01/2026 11:44</t>
        </is>
      </c>
      <c r="M2683" t="inlineStr">
        <is>
          <t>None</t>
        </is>
      </c>
      <c r="N2683" t="inlineStr">
        <is>
          <t>&lt;p&gt;&lt;/p&gt;</t>
        </is>
      </c>
      <c r="O2683" t="inlineStr"/>
      <c r="P2683" t="inlineStr"/>
      <c r="Q2683" t="inlineStr">
        <is>
          <t>SSE</t>
        </is>
      </c>
      <c r="R2683" t="b">
        <v>0</v>
      </c>
    </row>
    <row r="2684">
      <c r="A2684" t="inlineStr">
        <is>
          <t>12 Jan 2026 / Philip Cadwgan / Utilities / NGED</t>
        </is>
      </c>
      <c r="B2684" t="inlineStr">
        <is>
          <t>Utilities</t>
        </is>
      </c>
      <c r="C2684" t="inlineStr">
        <is>
          <t>NGED</t>
        </is>
      </c>
      <c r="D2684" t="inlineStr"/>
      <c r="E2684" t="inlineStr"/>
      <c r="F2684" t="inlineStr"/>
      <c r="G2684" t="inlineStr">
        <is>
          <t>Phill Cadwgan</t>
        </is>
      </c>
      <c r="H2684" t="inlineStr">
        <is>
          <t>Van</t>
        </is>
      </c>
      <c r="I2684" t="inlineStr">
        <is>
          <t>Daily/ Weekly Vehicle Inspection</t>
        </is>
      </c>
      <c r="J2684" t="inlineStr">
        <is>
          <t>N/A</t>
        </is>
      </c>
      <c r="K2684" t="inlineStr">
        <is>
          <t>Philip Cadwgan</t>
        </is>
      </c>
      <c r="L2684" t="inlineStr">
        <is>
          <t>12/01/2026 12:41</t>
        </is>
      </c>
      <c r="M2684" t="inlineStr">
        <is>
          <t>None</t>
        </is>
      </c>
      <c r="N2684" t="inlineStr">
        <is>
          <t>&lt;p&gt;&lt;/p&gt;</t>
        </is>
      </c>
      <c r="O2684" t="inlineStr"/>
      <c r="P2684" t="inlineStr"/>
      <c r="Q2684" t="inlineStr">
        <is>
          <t>NGED</t>
        </is>
      </c>
      <c r="R2684" t="b">
        <v>0</v>
      </c>
    </row>
    <row r="2685">
      <c r="A2685" t="inlineStr">
        <is>
          <t>12 Jan 2026 / Kevin Miller / Utilities / UKPN</t>
        </is>
      </c>
      <c r="B2685" t="inlineStr">
        <is>
          <t>Utilities</t>
        </is>
      </c>
      <c r="C2685" t="inlineStr">
        <is>
          <t>UKPN</t>
        </is>
      </c>
      <c r="D2685" t="inlineStr">
        <is>
          <t>EO73KUF , Car - Electric , Kia , Niro</t>
        </is>
      </c>
      <c r="E2685" t="inlineStr">
        <is>
          <t>EO73KUF , Car - Electric , Kia , Niro</t>
        </is>
      </c>
      <c r="F2685" t="inlineStr">
        <is>
          <t>EO73KUF , Car - Electric , Kia , Niro</t>
        </is>
      </c>
      <c r="G2685" t="inlineStr">
        <is>
          <t xml:space="preserve">Kevin Miller </t>
        </is>
      </c>
      <c r="H2685" t="inlineStr">
        <is>
          <t>Car - Electric (GC Owned)</t>
        </is>
      </c>
      <c r="I2685" t="inlineStr">
        <is>
          <t>Daily/ Weekly Vehicle Inspection</t>
        </is>
      </c>
      <c r="J2685" t="inlineStr">
        <is>
          <t>N/A</t>
        </is>
      </c>
      <c r="K2685" t="inlineStr">
        <is>
          <t>Kevin Miller</t>
        </is>
      </c>
      <c r="L2685" t="inlineStr">
        <is>
          <t>12/01/2026 12:42</t>
        </is>
      </c>
      <c r="M2685" t="inlineStr">
        <is>
          <t>None</t>
        </is>
      </c>
      <c r="N2685" t="inlineStr">
        <is>
          <t>&lt;p&gt;&lt;/p&gt;</t>
        </is>
      </c>
      <c r="O2685" t="inlineStr"/>
      <c r="P2685" t="inlineStr">
        <is>
          <t>EO73KUF , Car - Electric , Kia , Niro</t>
        </is>
      </c>
      <c r="Q2685" t="inlineStr">
        <is>
          <t>UKPN</t>
        </is>
      </c>
      <c r="R2685" t="b">
        <v>0</v>
      </c>
    </row>
    <row r="2686">
      <c r="A2686" t="inlineStr">
        <is>
          <t>12 Jan 2026 / Alexander Damar / Utilities / UKPN</t>
        </is>
      </c>
      <c r="B2686" t="inlineStr">
        <is>
          <t>Utilities</t>
        </is>
      </c>
      <c r="C2686" t="inlineStr">
        <is>
          <t>UKPN</t>
        </is>
      </c>
      <c r="D2686" t="inlineStr"/>
      <c r="E2686" t="inlineStr"/>
      <c r="F2686" t="inlineStr"/>
      <c r="G2686" t="inlineStr">
        <is>
          <t>A Damar</t>
        </is>
      </c>
      <c r="H2686" t="inlineStr">
        <is>
          <t>Car - Petrol</t>
        </is>
      </c>
      <c r="I2686" t="inlineStr">
        <is>
          <t>Daily/ Weekly Vehicle Inspection</t>
        </is>
      </c>
      <c r="J2686" t="inlineStr">
        <is>
          <t>N/A</t>
        </is>
      </c>
      <c r="K2686" t="inlineStr">
        <is>
          <t>Alexander Damar</t>
        </is>
      </c>
      <c r="L2686" t="inlineStr">
        <is>
          <t>12/01/2026 13:41</t>
        </is>
      </c>
      <c r="M2686" t="inlineStr">
        <is>
          <t>None</t>
        </is>
      </c>
      <c r="N2686" t="inlineStr">
        <is>
          <t>&lt;p&gt;&lt;/p&gt;</t>
        </is>
      </c>
      <c r="O2686" t="inlineStr"/>
      <c r="P2686" t="inlineStr"/>
      <c r="Q2686" t="inlineStr">
        <is>
          <t>UKPN</t>
        </is>
      </c>
      <c r="R2686" t="b">
        <v>0</v>
      </c>
    </row>
    <row r="2687">
      <c r="A2687" t="inlineStr">
        <is>
          <t>13 Jan 2026 / 7951 Austin Tree Care LTD / Utilities / UKPN</t>
        </is>
      </c>
      <c r="B2687" t="inlineStr">
        <is>
          <t>Utilities</t>
        </is>
      </c>
      <c r="C2687" t="inlineStr">
        <is>
          <t>UKPN</t>
        </is>
      </c>
      <c r="D2687" t="inlineStr">
        <is>
          <t>SA9ST6P0001283612 , Tow Chipper , Forst , ST6p</t>
        </is>
      </c>
      <c r="E2687" t="inlineStr">
        <is>
          <t>SA9ST6P0001283612 , Tow Chipper , Forst , ST6p</t>
        </is>
      </c>
      <c r="F2687" t="inlineStr">
        <is>
          <t>SA9ST6P0001283612 , Tow Chipper , Forst , ST6p</t>
        </is>
      </c>
      <c r="G2687" t="inlineStr">
        <is>
          <t xml:space="preserve">Jack Austin </t>
        </is>
      </c>
      <c r="H2687" t="inlineStr">
        <is>
          <t>Towed Chipper</t>
        </is>
      </c>
      <c r="I2687" t="inlineStr">
        <is>
          <t>Daily/ Weekly Vehicle Inspection</t>
        </is>
      </c>
      <c r="J2687" t="inlineStr">
        <is>
          <t>N/A</t>
        </is>
      </c>
      <c r="K2687" t="inlineStr">
        <is>
          <t>7951 Austin Tree Care LTD</t>
        </is>
      </c>
      <c r="L2687" t="inlineStr">
        <is>
          <t>13/01/2026 07:42</t>
        </is>
      </c>
      <c r="M2687" t="inlineStr">
        <is>
          <t>None</t>
        </is>
      </c>
      <c r="N2687" t="inlineStr">
        <is>
          <t>&lt;p&gt;&lt;/p&gt;</t>
        </is>
      </c>
      <c r="O2687" t="inlineStr"/>
      <c r="P2687" t="inlineStr">
        <is>
          <t>SA9ST6P0001283612 , Tow Chipper , Forst , ST6p</t>
        </is>
      </c>
      <c r="Q2687" t="inlineStr">
        <is>
          <t>UKPN</t>
        </is>
      </c>
      <c r="R2687" t="b">
        <v>0</v>
      </c>
    </row>
    <row r="2688">
      <c r="A2688" t="inlineStr">
        <is>
          <t>13 Jan 2026 / 7951 Austin Tree Care LTD / Utilities / UKPN</t>
        </is>
      </c>
      <c r="B2688" t="inlineStr">
        <is>
          <t>Utilities</t>
        </is>
      </c>
      <c r="C2688" t="inlineStr">
        <is>
          <t>UKPN</t>
        </is>
      </c>
      <c r="D2688" t="inlineStr">
        <is>
          <t>Kn58xuy , Tipper , VW  , Crafter</t>
        </is>
      </c>
      <c r="E2688" t="inlineStr">
        <is>
          <t>Kn58xuy , Tipper , VW  , Crafter</t>
        </is>
      </c>
      <c r="F2688" t="inlineStr">
        <is>
          <t>Kn58xuy , Tipper , VW  , Crafter</t>
        </is>
      </c>
      <c r="G2688" t="inlineStr">
        <is>
          <t xml:space="preserve">Jack Austin </t>
        </is>
      </c>
      <c r="H2688" t="inlineStr">
        <is>
          <t>Tipper</t>
        </is>
      </c>
      <c r="I2688" t="inlineStr">
        <is>
          <t>Daily/ Weekly Vehicle Inspection</t>
        </is>
      </c>
      <c r="J2688" t="inlineStr">
        <is>
          <t>N/A</t>
        </is>
      </c>
      <c r="K2688" t="inlineStr">
        <is>
          <t>7951 Austin Tree Care LTD</t>
        </is>
      </c>
      <c r="L2688" t="inlineStr">
        <is>
          <t>13/01/2026 07:43</t>
        </is>
      </c>
      <c r="M2688" t="inlineStr">
        <is>
          <t>None</t>
        </is>
      </c>
      <c r="N2688" t="inlineStr">
        <is>
          <t>&lt;p&gt;&lt;/p&gt;</t>
        </is>
      </c>
      <c r="O2688" t="inlineStr"/>
      <c r="P2688" t="inlineStr">
        <is>
          <t>Kn58xuy , Tipper , VW  , Crafter</t>
        </is>
      </c>
      <c r="Q2688" t="inlineStr">
        <is>
          <t>UKPN</t>
        </is>
      </c>
      <c r="R2688" t="b">
        <v>0</v>
      </c>
    </row>
    <row r="2689">
      <c r="A2689" t="inlineStr">
        <is>
          <t>13 Jan 2026 / Mike Corran / Utilities / NGED</t>
        </is>
      </c>
      <c r="B2689" t="inlineStr">
        <is>
          <t>Utilities</t>
        </is>
      </c>
      <c r="C2689" t="inlineStr">
        <is>
          <t>NGED</t>
        </is>
      </c>
      <c r="D2689" t="inlineStr">
        <is>
          <t>AJ72EWN , Car - Electric , Tesla , Y</t>
        </is>
      </c>
      <c r="E2689" t="inlineStr">
        <is>
          <t>AJ72EWN , Car - Electric , Tesla , Y</t>
        </is>
      </c>
      <c r="F2689" t="inlineStr">
        <is>
          <t>AJ72EWN , Car - Electric , Tesla , Y</t>
        </is>
      </c>
      <c r="G2689" t="inlineStr">
        <is>
          <t>Mike corran</t>
        </is>
      </c>
      <c r="H2689" t="inlineStr">
        <is>
          <t>Car - Electric (GC Owned)</t>
        </is>
      </c>
      <c r="I2689" t="inlineStr">
        <is>
          <t>Daily/ Weekly Vehicle Inspection</t>
        </is>
      </c>
      <c r="J2689" t="inlineStr">
        <is>
          <t>N/A</t>
        </is>
      </c>
      <c r="K2689" t="inlineStr">
        <is>
          <t>Mike Corran</t>
        </is>
      </c>
      <c r="L2689" t="inlineStr">
        <is>
          <t>13/01/2026 07:44</t>
        </is>
      </c>
      <c r="M2689" t="inlineStr">
        <is>
          <t>None</t>
        </is>
      </c>
      <c r="N2689" t="inlineStr">
        <is>
          <t>&lt;p&gt;&lt;/p&gt;</t>
        </is>
      </c>
      <c r="O2689" t="inlineStr"/>
      <c r="P2689" t="inlineStr">
        <is>
          <t>AJ72EWN , Car - Electric , Tesla , Y</t>
        </is>
      </c>
      <c r="Q2689" t="inlineStr">
        <is>
          <t>NGED</t>
        </is>
      </c>
      <c r="R2689" t="b">
        <v>0</v>
      </c>
    </row>
    <row r="2690">
      <c r="A2690" t="inlineStr">
        <is>
          <t>13 Jan 2026 / 7806 Optimum Tree Services Ltd / Utilities / UKPN</t>
        </is>
      </c>
      <c r="B2690" t="inlineStr">
        <is>
          <t>Utilities</t>
        </is>
      </c>
      <c r="C2690" t="inlineStr">
        <is>
          <t>UKPN</t>
        </is>
      </c>
      <c r="D2690" t="inlineStr">
        <is>
          <t>SA9TAPLAF27414263 , Trailer , Tow Mate , Plant Trailer</t>
        </is>
      </c>
      <c r="E2690" t="inlineStr">
        <is>
          <t>SA9TAPLAF27414263 , Trailer , Tow Mate , Plant Trailer</t>
        </is>
      </c>
      <c r="F2690" t="inlineStr">
        <is>
          <t>SA9TAPLAF27414263 , Trailer , Tow Mate , Plant Trailer</t>
        </is>
      </c>
      <c r="G2690" t="inlineStr">
        <is>
          <t xml:space="preserve">Abraham Davies </t>
        </is>
      </c>
      <c r="H2690" t="inlineStr">
        <is>
          <t>Plant Trailer</t>
        </is>
      </c>
      <c r="I2690" t="inlineStr">
        <is>
          <t>Daily/ Weekly Vehicle Inspection</t>
        </is>
      </c>
      <c r="J2690" t="inlineStr">
        <is>
          <t>N/A</t>
        </is>
      </c>
      <c r="K2690" t="inlineStr">
        <is>
          <t>7806 Optimum Tree Services Ltd</t>
        </is>
      </c>
      <c r="L2690" t="inlineStr">
        <is>
          <t>13/01/2026 07:45</t>
        </is>
      </c>
      <c r="M2690" t="inlineStr">
        <is>
          <t>None</t>
        </is>
      </c>
      <c r="N2690" t="inlineStr">
        <is>
          <t>&lt;p&gt;&lt;/p&gt;</t>
        </is>
      </c>
      <c r="O2690" t="inlineStr"/>
      <c r="P2690" t="inlineStr">
        <is>
          <t>SA9TAPLAF27414263 , Trailer , Tow Mate , Plant Trailer</t>
        </is>
      </c>
      <c r="Q2690" t="inlineStr">
        <is>
          <t>UKPN</t>
        </is>
      </c>
      <c r="R2690" t="b">
        <v>0</v>
      </c>
    </row>
    <row r="2691">
      <c r="A2691" t="inlineStr">
        <is>
          <t>13 Jan 2026 / 7186 Eastwoodbury Tree Services Ltd / Utilities / UKPN</t>
        </is>
      </c>
      <c r="B2691" t="inlineStr">
        <is>
          <t>Utilities</t>
        </is>
      </c>
      <c r="C2691" t="inlineStr">
        <is>
          <t>UKPN</t>
        </is>
      </c>
      <c r="D2691" t="inlineStr">
        <is>
          <t>WF13 EKT , 4x4 , Land rover  , Defender</t>
        </is>
      </c>
      <c r="E2691" t="inlineStr">
        <is>
          <t>WF13 EKT , 4x4 , Land rover  , Defender</t>
        </is>
      </c>
      <c r="F2691" t="inlineStr">
        <is>
          <t>WF13 EKT , 4x4 , Land rover  , Defender</t>
        </is>
      </c>
      <c r="G2691" t="inlineStr">
        <is>
          <t xml:space="preserve">Dan Gilbert </t>
        </is>
      </c>
      <c r="H2691" t="inlineStr">
        <is>
          <t>4x4</t>
        </is>
      </c>
      <c r="I2691" t="inlineStr">
        <is>
          <t>Daily/ Weekly Vehicle Inspection</t>
        </is>
      </c>
      <c r="J2691" t="inlineStr">
        <is>
          <t>N/A</t>
        </is>
      </c>
      <c r="K2691" t="inlineStr">
        <is>
          <t>7186 Eastwoodbury Tree Services Ltd</t>
        </is>
      </c>
      <c r="L2691" t="inlineStr">
        <is>
          <t>13/01/2026 07:45</t>
        </is>
      </c>
      <c r="M2691" t="inlineStr">
        <is>
          <t>None</t>
        </is>
      </c>
      <c r="N2691" t="inlineStr">
        <is>
          <t>&lt;p&gt;&lt;/p&gt;</t>
        </is>
      </c>
      <c r="O2691" t="inlineStr"/>
      <c r="P2691" t="inlineStr">
        <is>
          <t>WF13 EKT , 4x4 , Land rover  , Defender</t>
        </is>
      </c>
      <c r="Q2691" t="inlineStr">
        <is>
          <t>UKPN</t>
        </is>
      </c>
      <c r="R2691" t="b">
        <v>0</v>
      </c>
    </row>
    <row r="2692">
      <c r="A2692" t="inlineStr">
        <is>
          <t>13 Jan 2026 / 7806 Optimum Tree Services Ltd / Utilities / UKPN</t>
        </is>
      </c>
      <c r="B2692" t="inlineStr">
        <is>
          <t>Utilities</t>
        </is>
      </c>
      <c r="C2692" t="inlineStr">
        <is>
          <t>UKPN</t>
        </is>
      </c>
      <c r="D2692" t="inlineStr">
        <is>
          <t>WD14EVB , MEWP , Land Rover , Defender</t>
        </is>
      </c>
      <c r="E2692" t="inlineStr">
        <is>
          <t>WD14EVB , MEWP , Land Rover , Defender</t>
        </is>
      </c>
      <c r="F2692" t="inlineStr">
        <is>
          <t>WD14EVB , MEWP , Land Rover , Defender</t>
        </is>
      </c>
      <c r="G2692" t="inlineStr">
        <is>
          <t xml:space="preserve">Abraham Davies </t>
        </is>
      </c>
      <c r="H2692" t="inlineStr">
        <is>
          <t>4x4</t>
        </is>
      </c>
      <c r="I2692" t="inlineStr">
        <is>
          <t>Daily/ Weekly Vehicle Inspection</t>
        </is>
      </c>
      <c r="J2692" t="inlineStr">
        <is>
          <t>N/A</t>
        </is>
      </c>
      <c r="K2692" t="inlineStr">
        <is>
          <t>7806 Optimum Tree Services Ltd</t>
        </is>
      </c>
      <c r="L2692" t="inlineStr">
        <is>
          <t>13/01/2026 07:46</t>
        </is>
      </c>
      <c r="M2692" t="inlineStr">
        <is>
          <t>None</t>
        </is>
      </c>
      <c r="N2692" t="inlineStr">
        <is>
          <t>&lt;p&gt;&lt;/p&gt;</t>
        </is>
      </c>
      <c r="O2692" t="inlineStr"/>
      <c r="P2692" t="inlineStr">
        <is>
          <t>WD14EVB , MEWP , Land Rover , Defender</t>
        </is>
      </c>
      <c r="Q2692" t="inlineStr">
        <is>
          <t>UKPN</t>
        </is>
      </c>
      <c r="R2692" t="b">
        <v>0</v>
      </c>
    </row>
    <row r="2693">
      <c r="A2693" t="inlineStr">
        <is>
          <t>13 Jan 2026 / 7186 Eastwoodbury Tree Services Ltd / Utilities / UKPN</t>
        </is>
      </c>
      <c r="B2693" t="inlineStr">
        <is>
          <t>Utilities</t>
        </is>
      </c>
      <c r="C2693" t="inlineStr">
        <is>
          <t>UKPN</t>
        </is>
      </c>
      <c r="D2693" t="inlineStr">
        <is>
          <t>FX14 XCV , 4x4 , Land Rover  , Defender</t>
        </is>
      </c>
      <c r="E2693" t="inlineStr">
        <is>
          <t>FX14 XCV , 4x4 , Land Rover  , Defender</t>
        </is>
      </c>
      <c r="F2693" t="inlineStr">
        <is>
          <t>FX14 XCV , 4x4 , Land Rover  , Defender</t>
        </is>
      </c>
      <c r="G2693" t="inlineStr">
        <is>
          <t xml:space="preserve">Tom price </t>
        </is>
      </c>
      <c r="H2693" t="inlineStr">
        <is>
          <t>4x4</t>
        </is>
      </c>
      <c r="I2693" t="inlineStr">
        <is>
          <t>Daily/ Weekly Vehicle Inspection</t>
        </is>
      </c>
      <c r="J2693" t="inlineStr">
        <is>
          <t>N/A</t>
        </is>
      </c>
      <c r="K2693" t="inlineStr">
        <is>
          <t>7186 Eastwoodbury Tree Services Ltd</t>
        </is>
      </c>
      <c r="L2693" t="inlineStr">
        <is>
          <t>13/01/2026 07:46</t>
        </is>
      </c>
      <c r="M2693" t="inlineStr">
        <is>
          <t>None</t>
        </is>
      </c>
      <c r="N2693" t="inlineStr">
        <is>
          <t>&lt;p&gt;&lt;/p&gt;</t>
        </is>
      </c>
      <c r="O2693" t="inlineStr"/>
      <c r="P2693" t="inlineStr">
        <is>
          <t>FX14 XCV , 4x4 , Land Rover  , Defender</t>
        </is>
      </c>
      <c r="Q2693" t="inlineStr">
        <is>
          <t>UKPN</t>
        </is>
      </c>
      <c r="R2693" t="b">
        <v>0</v>
      </c>
    </row>
    <row r="2694">
      <c r="A2694" t="inlineStr">
        <is>
          <t>13 Jan 2026 / 7186 Eastwoodbury Tree Services Ltd / Utilities / UKPN</t>
        </is>
      </c>
      <c r="B2694" t="inlineStr">
        <is>
          <t>Utilities</t>
        </is>
      </c>
      <c r="C2694" t="inlineStr">
        <is>
          <t>UKPN</t>
        </is>
      </c>
      <c r="D2694" t="inlineStr">
        <is>
          <t>DE53NKS , 4x4 , Ford , Ranger</t>
        </is>
      </c>
      <c r="E2694" t="inlineStr">
        <is>
          <t>DE53NKS , 4x4 , Ford , Ranger</t>
        </is>
      </c>
      <c r="F2694" t="inlineStr">
        <is>
          <t>DE53NKS , 4x4 , Ford , Ranger</t>
        </is>
      </c>
      <c r="G2694" t="inlineStr">
        <is>
          <t xml:space="preserve">Jay Denkmayer </t>
        </is>
      </c>
      <c r="H2694" t="inlineStr">
        <is>
          <t>Pickup Truck</t>
        </is>
      </c>
      <c r="I2694" t="inlineStr">
        <is>
          <t>Daily/ Weekly Vehicle Inspection</t>
        </is>
      </c>
      <c r="J2694" t="inlineStr">
        <is>
          <t>N/A</t>
        </is>
      </c>
      <c r="K2694" t="inlineStr">
        <is>
          <t>7186 Eastwoodbury Tree Services Ltd</t>
        </is>
      </c>
      <c r="L2694" t="inlineStr">
        <is>
          <t>13/01/2026 07:47</t>
        </is>
      </c>
      <c r="M2694" t="inlineStr">
        <is>
          <t>None</t>
        </is>
      </c>
      <c r="N2694" t="inlineStr">
        <is>
          <t>&lt;p&gt;&lt;/p&gt;</t>
        </is>
      </c>
      <c r="O2694" t="inlineStr"/>
      <c r="P2694" t="inlineStr">
        <is>
          <t>DE53NKS , 4x4 , Ford , Ranger</t>
        </is>
      </c>
      <c r="Q2694" t="inlineStr">
        <is>
          <t>UKPN</t>
        </is>
      </c>
      <c r="R2694" t="b">
        <v>0</v>
      </c>
    </row>
    <row r="2695">
      <c r="A2695" t="inlineStr">
        <is>
          <t>13 Jan 2026 / 3098 D &amp; R Landscapes / Utilities / UKPN</t>
        </is>
      </c>
      <c r="B2695" t="inlineStr">
        <is>
          <t>Utilities</t>
        </is>
      </c>
      <c r="C2695" t="inlineStr">
        <is>
          <t>UKPN</t>
        </is>
      </c>
      <c r="D2695" t="inlineStr">
        <is>
          <t>BT20 GNZ , Vehicle , Nissan , Navara</t>
        </is>
      </c>
      <c r="E2695" t="inlineStr">
        <is>
          <t>BT20 GNZ , Vehicle , Nissan , Navara</t>
        </is>
      </c>
      <c r="F2695" t="inlineStr">
        <is>
          <t>BT20 GNZ , Vehicle , Nissan , Navara</t>
        </is>
      </c>
      <c r="G2695" t="inlineStr">
        <is>
          <t>Jason</t>
        </is>
      </c>
      <c r="H2695" t="inlineStr">
        <is>
          <t>Pickup Truck</t>
        </is>
      </c>
      <c r="I2695" t="inlineStr">
        <is>
          <t>Daily/ Weekly Vehicle Inspection</t>
        </is>
      </c>
      <c r="J2695" t="inlineStr">
        <is>
          <t>N/A</t>
        </is>
      </c>
      <c r="K2695" t="inlineStr">
        <is>
          <t>3098 D &amp; R Landscapes</t>
        </is>
      </c>
      <c r="L2695" t="inlineStr">
        <is>
          <t>13/01/2026 08:42</t>
        </is>
      </c>
      <c r="M2695" t="inlineStr">
        <is>
          <t>None</t>
        </is>
      </c>
      <c r="N2695" t="inlineStr">
        <is>
          <t>&lt;p&gt;&lt;/p&gt;</t>
        </is>
      </c>
      <c r="O2695" t="inlineStr"/>
      <c r="P2695" t="inlineStr">
        <is>
          <t>BT20 GNZ , Vehicle , Nissan , Navara</t>
        </is>
      </c>
      <c r="Q2695" t="inlineStr">
        <is>
          <t>UKPN</t>
        </is>
      </c>
      <c r="R2695" t="b">
        <v>0</v>
      </c>
    </row>
    <row r="2696">
      <c r="A2696" t="inlineStr">
        <is>
          <t>13 Jan 2026 / Thomas Playford / Utilities / UKPN</t>
        </is>
      </c>
      <c r="B2696" t="inlineStr">
        <is>
          <t>Utilities</t>
        </is>
      </c>
      <c r="C2696" t="inlineStr">
        <is>
          <t>UKPN</t>
        </is>
      </c>
      <c r="D2696" t="inlineStr"/>
      <c r="E2696" t="inlineStr"/>
      <c r="F2696" t="inlineStr"/>
      <c r="G2696" t="inlineStr"/>
      <c r="H2696" t="inlineStr"/>
      <c r="I2696" t="inlineStr">
        <is>
          <t>Add to Vehicle to the GC Vehicle List</t>
        </is>
      </c>
      <c r="J2696" t="inlineStr">
        <is>
          <t>N/A</t>
        </is>
      </c>
      <c r="K2696" t="inlineStr">
        <is>
          <t>7995 Green Net Eco Ltd 2</t>
        </is>
      </c>
      <c r="L2696" t="inlineStr">
        <is>
          <t>13/01/2026 08:44</t>
        </is>
      </c>
      <c r="M2696" t="inlineStr">
        <is>
          <t>None</t>
        </is>
      </c>
      <c r="N2696" t="inlineStr">
        <is>
          <t>&lt;p&gt;&lt;/p&gt;</t>
        </is>
      </c>
      <c r="O2696" t="inlineStr"/>
      <c r="P2696" t="inlineStr"/>
      <c r="Q2696" t="inlineStr">
        <is>
          <t>UKPN</t>
        </is>
      </c>
      <c r="R2696" t="b">
        <v>0</v>
      </c>
    </row>
    <row r="2697">
      <c r="A2697" t="inlineStr">
        <is>
          <t>13 Jan 2026 / 7800 MAC Tree Surgery and Fencing Ltd / Utilities / UKPN</t>
        </is>
      </c>
      <c r="B2697" t="inlineStr">
        <is>
          <t>Utilities</t>
        </is>
      </c>
      <c r="C2697" t="inlineStr">
        <is>
          <t>UKPN</t>
        </is>
      </c>
      <c r="D2697" t="inlineStr">
        <is>
          <t>Plant Trailer - Towmate - 2.8t - 0</t>
        </is>
      </c>
      <c r="E2697" t="inlineStr">
        <is>
          <t>Plant Trailer - Towmate - 2.8t - 0</t>
        </is>
      </c>
      <c r="F2697" t="inlineStr">
        <is>
          <t>Plant Trailer - Towmate - 2.8t - 0</t>
        </is>
      </c>
      <c r="G2697" t="inlineStr">
        <is>
          <t>Lewis mac</t>
        </is>
      </c>
      <c r="H2697" t="inlineStr">
        <is>
          <t>Plant Trailer</t>
        </is>
      </c>
      <c r="I2697" t="inlineStr">
        <is>
          <t>Daily/ Weekly Vehicle Inspection</t>
        </is>
      </c>
      <c r="J2697" t="inlineStr">
        <is>
          <t>N/A</t>
        </is>
      </c>
      <c r="K2697" t="inlineStr">
        <is>
          <t>7800 MAC Tree Surgery and Fencing Ltd</t>
        </is>
      </c>
      <c r="L2697" t="inlineStr">
        <is>
          <t>13/01/2026 10:41</t>
        </is>
      </c>
      <c r="M2697" t="inlineStr">
        <is>
          <t>None</t>
        </is>
      </c>
      <c r="N2697" t="inlineStr">
        <is>
          <t>&lt;p&gt;&lt;/p&gt;</t>
        </is>
      </c>
      <c r="O2697" t="inlineStr"/>
      <c r="P2697" t="inlineStr">
        <is>
          <t>Plant Trailer - Towmate - 2.8t - 0</t>
        </is>
      </c>
      <c r="Q2697" t="inlineStr">
        <is>
          <t>UKPN</t>
        </is>
      </c>
      <c r="R2697" t="b">
        <v>0</v>
      </c>
    </row>
    <row r="2698">
      <c r="A2698" t="inlineStr">
        <is>
          <t>13 Jan 2026 / 7800 MAC Tree Surgery and Fencing Ltd / Utilities / UKPN</t>
        </is>
      </c>
      <c r="B2698" t="inlineStr">
        <is>
          <t>Utilities</t>
        </is>
      </c>
      <c r="C2698" t="inlineStr">
        <is>
          <t>UKPN</t>
        </is>
      </c>
      <c r="D2698" t="inlineStr">
        <is>
          <t>AY68DAA , 4x4 , Izuzu , Dmax</t>
        </is>
      </c>
      <c r="E2698" t="inlineStr">
        <is>
          <t>AY68DAA , 4x4 , Izuzu , Dmax</t>
        </is>
      </c>
      <c r="F2698" t="inlineStr">
        <is>
          <t>AY68DAA , 4x4 , Izuzu , Dmax</t>
        </is>
      </c>
      <c r="G2698" t="inlineStr">
        <is>
          <t xml:space="preserve">Patrick O'Shea </t>
        </is>
      </c>
      <c r="H2698" t="inlineStr">
        <is>
          <t>4x4</t>
        </is>
      </c>
      <c r="I2698" t="inlineStr">
        <is>
          <t>Daily/ Weekly Vehicle Inspection</t>
        </is>
      </c>
      <c r="J2698" t="inlineStr">
        <is>
          <t>N/A</t>
        </is>
      </c>
      <c r="K2698" t="inlineStr">
        <is>
          <t>7800 MAC Tree Surgery and Fencing Ltd</t>
        </is>
      </c>
      <c r="L2698" t="inlineStr">
        <is>
          <t>13/01/2026 10:42</t>
        </is>
      </c>
      <c r="M2698" t="inlineStr">
        <is>
          <t>None</t>
        </is>
      </c>
      <c r="N2698" t="inlineStr">
        <is>
          <t>&lt;p&gt;&lt;/p&gt;</t>
        </is>
      </c>
      <c r="O2698" t="inlineStr"/>
      <c r="P2698" t="inlineStr">
        <is>
          <t>AY68DAA , 4x4 , Izuzu , Dmax</t>
        </is>
      </c>
      <c r="Q2698" t="inlineStr">
        <is>
          <t>UKPN</t>
        </is>
      </c>
      <c r="R2698" t="b">
        <v>0</v>
      </c>
    </row>
    <row r="2699">
      <c r="A2699" t="inlineStr">
        <is>
          <t>13 Jan 2026 / 8148 Hope Ground and Tree Care / Utilities / UKPN</t>
        </is>
      </c>
      <c r="B2699" t="inlineStr">
        <is>
          <t>Utilities</t>
        </is>
      </c>
      <c r="C2699" t="inlineStr">
        <is>
          <t>UKPN</t>
        </is>
      </c>
      <c r="D2699" t="inlineStr">
        <is>
          <t>S6 NWX , MEWP , Isuzu , D-Max</t>
        </is>
      </c>
      <c r="E2699" t="inlineStr">
        <is>
          <t>S6 NWX , MEWP , Isuzu , D-Max</t>
        </is>
      </c>
      <c r="F2699" t="inlineStr">
        <is>
          <t>S6 NWX , MEWP , Isuzu , D-Max</t>
        </is>
      </c>
      <c r="G2699" t="inlineStr">
        <is>
          <t>Andrew Hope</t>
        </is>
      </c>
      <c r="H2699" t="inlineStr">
        <is>
          <t>4x4</t>
        </is>
      </c>
      <c r="I2699" t="inlineStr">
        <is>
          <t>Daily/ Weekly Vehicle Inspection</t>
        </is>
      </c>
      <c r="J2699" t="inlineStr">
        <is>
          <t>N/A</t>
        </is>
      </c>
      <c r="K2699" t="inlineStr">
        <is>
          <t>8148 Hope Ground and Tree Care</t>
        </is>
      </c>
      <c r="L2699" t="inlineStr">
        <is>
          <t>13/01/2026 10:46</t>
        </is>
      </c>
      <c r="M2699" t="inlineStr">
        <is>
          <t>None</t>
        </is>
      </c>
      <c r="N2699" t="inlineStr">
        <is>
          <t>&lt;p&gt;&lt;/p&gt;</t>
        </is>
      </c>
      <c r="O2699" t="inlineStr"/>
      <c r="P2699" t="inlineStr">
        <is>
          <t>S6 NWX , MEWP , Isuzu , D-Max</t>
        </is>
      </c>
      <c r="Q2699" t="inlineStr">
        <is>
          <t>UKPN</t>
        </is>
      </c>
      <c r="R2699" t="b">
        <v>0</v>
      </c>
    </row>
    <row r="2700">
      <c r="A2700" t="inlineStr">
        <is>
          <t>14 Jan 2026 / 7800 MAC Tree Surgery and Fencing Ltd / Utilities / UKPN</t>
        </is>
      </c>
      <c r="B2700" t="inlineStr">
        <is>
          <t>Utilities</t>
        </is>
      </c>
      <c r="C2700" t="inlineStr">
        <is>
          <t>UKPN</t>
        </is>
      </c>
      <c r="D2700" t="inlineStr"/>
      <c r="E2700" t="inlineStr"/>
      <c r="F2700" t="inlineStr"/>
      <c r="G2700" t="inlineStr"/>
      <c r="H2700" t="inlineStr"/>
      <c r="I2700" t="inlineStr">
        <is>
          <t>Add to Vehicle to the GC Vehicle List</t>
        </is>
      </c>
      <c r="J2700" t="inlineStr">
        <is>
          <t>N/A</t>
        </is>
      </c>
      <c r="K2700" t="inlineStr">
        <is>
          <t>7800 MAC Tree Surgery and Fencing Ltd</t>
        </is>
      </c>
      <c r="L2700" t="inlineStr">
        <is>
          <t>14/01/2026 06:41</t>
        </is>
      </c>
      <c r="M2700" t="inlineStr">
        <is>
          <t>None</t>
        </is>
      </c>
      <c r="N2700" t="inlineStr">
        <is>
          <t>&lt;p&gt;&lt;/p&gt;</t>
        </is>
      </c>
      <c r="O2700" t="inlineStr"/>
      <c r="P2700" t="inlineStr"/>
      <c r="Q2700" t="inlineStr">
        <is>
          <t>UKPN</t>
        </is>
      </c>
      <c r="R2700" t="b">
        <v>0</v>
      </c>
    </row>
    <row r="2701">
      <c r="A2701" t="inlineStr">
        <is>
          <t>14 Jan 2026 / 7996 M G Tree Surgery Ltd / Utilities / UKPN</t>
        </is>
      </c>
      <c r="B2701" t="inlineStr">
        <is>
          <t>Utilities</t>
        </is>
      </c>
      <c r="C2701" t="inlineStr">
        <is>
          <t>UKPN</t>
        </is>
      </c>
      <c r="D2701" t="inlineStr">
        <is>
          <t>GU13 WNL , MEWP , Land Rover , Defender 130</t>
        </is>
      </c>
      <c r="E2701" t="inlineStr">
        <is>
          <t>GU13 WNL , MEWP , Land Rover , Defender 130</t>
        </is>
      </c>
      <c r="F2701" t="inlineStr">
        <is>
          <t>GU13 WNL , MEWP , Land Rover , Defender 130</t>
        </is>
      </c>
      <c r="G2701" t="inlineStr">
        <is>
          <t>Max</t>
        </is>
      </c>
      <c r="H2701" t="inlineStr">
        <is>
          <t>4x4</t>
        </is>
      </c>
      <c r="I2701" t="inlineStr">
        <is>
          <t>Daily/ Weekly Vehicle Inspection</t>
        </is>
      </c>
      <c r="J2701" t="inlineStr">
        <is>
          <t>N/A</t>
        </is>
      </c>
      <c r="K2701" t="inlineStr">
        <is>
          <t>7996 M G Tree Surgery Ltd</t>
        </is>
      </c>
      <c r="L2701" t="inlineStr">
        <is>
          <t>14/01/2026 07:41</t>
        </is>
      </c>
      <c r="M2701" t="inlineStr">
        <is>
          <t>None</t>
        </is>
      </c>
      <c r="N2701" t="inlineStr">
        <is>
          <t>&lt;p&gt;&lt;/p&gt;</t>
        </is>
      </c>
      <c r="O2701" t="inlineStr"/>
      <c r="P2701" t="inlineStr">
        <is>
          <t>GU13 WNL , MEWP , Land Rover , Defender 130</t>
        </is>
      </c>
      <c r="Q2701" t="inlineStr">
        <is>
          <t>UKPN</t>
        </is>
      </c>
      <c r="R2701" t="b">
        <v>0</v>
      </c>
    </row>
    <row r="2702">
      <c r="A2702" t="inlineStr">
        <is>
          <t>14 Jan 2026 / 7951 Austin Tree Care LTD 1 / Utilities / UKPN</t>
        </is>
      </c>
      <c r="B2702" t="inlineStr">
        <is>
          <t>Utilities</t>
        </is>
      </c>
      <c r="C2702" t="inlineStr">
        <is>
          <t>UKPN</t>
        </is>
      </c>
      <c r="D2702" t="inlineStr">
        <is>
          <t>Kn58xuy , Tipper , VW  , Crafter</t>
        </is>
      </c>
      <c r="E2702" t="inlineStr">
        <is>
          <t>Kn58xuy , Tipper , VW  , Crafter</t>
        </is>
      </c>
      <c r="F2702" t="inlineStr">
        <is>
          <t>Kn58xuy , Tipper , VW  , Crafter</t>
        </is>
      </c>
      <c r="G2702" t="inlineStr">
        <is>
          <t xml:space="preserve">James Tasker </t>
        </is>
      </c>
      <c r="H2702" t="inlineStr">
        <is>
          <t>Tipper</t>
        </is>
      </c>
      <c r="I2702" t="inlineStr">
        <is>
          <t>Daily/ Weekly Vehicle Inspection</t>
        </is>
      </c>
      <c r="J2702" t="inlineStr">
        <is>
          <t>N/A</t>
        </is>
      </c>
      <c r="K2702" t="inlineStr">
        <is>
          <t>7951 Austin Tree Care LTD 1</t>
        </is>
      </c>
      <c r="L2702" t="inlineStr">
        <is>
          <t>14/01/2026 07:41</t>
        </is>
      </c>
      <c r="M2702" t="inlineStr">
        <is>
          <t>None</t>
        </is>
      </c>
      <c r="N2702" t="inlineStr">
        <is>
          <t>&lt;p&gt;&lt;/p&gt;</t>
        </is>
      </c>
      <c r="O2702" t="inlineStr"/>
      <c r="P2702" t="inlineStr">
        <is>
          <t>Kn58xuy , Tipper , VW  , Crafter</t>
        </is>
      </c>
      <c r="Q2702" t="inlineStr">
        <is>
          <t>UKPN</t>
        </is>
      </c>
      <c r="R2702" t="b">
        <v>0</v>
      </c>
    </row>
    <row r="2703">
      <c r="A2703" t="inlineStr">
        <is>
          <t>14 Jan 2026 / 7951 Austin Tree Care LTD / Utilities / UKPN</t>
        </is>
      </c>
      <c r="B2703" t="inlineStr">
        <is>
          <t>Utilities</t>
        </is>
      </c>
      <c r="C2703" t="inlineStr">
        <is>
          <t>UKPN</t>
        </is>
      </c>
      <c r="D2703" t="inlineStr">
        <is>
          <t>WG64HTT , 4x4 , Land Rover , Defender 110</t>
        </is>
      </c>
      <c r="E2703" t="inlineStr">
        <is>
          <t>WG64HTT , 4x4 , Land Rover , Defender 110</t>
        </is>
      </c>
      <c r="F2703" t="inlineStr">
        <is>
          <t>WG64HTT , 4x4 , Land Rover , Defender 110</t>
        </is>
      </c>
      <c r="G2703" t="inlineStr">
        <is>
          <t xml:space="preserve">Jack Austin </t>
        </is>
      </c>
      <c r="H2703" t="inlineStr">
        <is>
          <t>4x4</t>
        </is>
      </c>
      <c r="I2703" t="inlineStr">
        <is>
          <t>Daily/ Weekly Vehicle Inspection</t>
        </is>
      </c>
      <c r="J2703" t="inlineStr">
        <is>
          <t>N/A</t>
        </is>
      </c>
      <c r="K2703" t="inlineStr">
        <is>
          <t>7951 Austin Tree Care LTD</t>
        </is>
      </c>
      <c r="L2703" t="inlineStr">
        <is>
          <t>14/01/2026 07:42</t>
        </is>
      </c>
      <c r="M2703" t="inlineStr">
        <is>
          <t>None</t>
        </is>
      </c>
      <c r="N2703" t="inlineStr">
        <is>
          <t>&lt;p&gt;&lt;/p&gt;</t>
        </is>
      </c>
      <c r="O2703" t="inlineStr"/>
      <c r="P2703" t="inlineStr">
        <is>
          <t>WG64HTT , 4x4 , Land Rover , Defender 110</t>
        </is>
      </c>
      <c r="Q2703" t="inlineStr">
        <is>
          <t>UKPN</t>
        </is>
      </c>
      <c r="R2703" t="b">
        <v>0</v>
      </c>
    </row>
    <row r="2704">
      <c r="A2704" t="inlineStr">
        <is>
          <t>14 Jan 2026 / Alexander Damar / Utilities / UKPN</t>
        </is>
      </c>
      <c r="B2704" t="inlineStr">
        <is>
          <t>Utilities</t>
        </is>
      </c>
      <c r="C2704" t="inlineStr">
        <is>
          <t>UKPN</t>
        </is>
      </c>
      <c r="D2704" t="inlineStr"/>
      <c r="E2704" t="inlineStr"/>
      <c r="F2704" t="inlineStr"/>
      <c r="G2704" t="inlineStr">
        <is>
          <t>A damar</t>
        </is>
      </c>
      <c r="H2704" t="inlineStr">
        <is>
          <t>Car - Petrol</t>
        </is>
      </c>
      <c r="I2704" t="inlineStr">
        <is>
          <t>Daily/ Weekly Vehicle Inspection</t>
        </is>
      </c>
      <c r="J2704" t="inlineStr">
        <is>
          <t>N/A</t>
        </is>
      </c>
      <c r="K2704" t="inlineStr">
        <is>
          <t>Alexander Damar</t>
        </is>
      </c>
      <c r="L2704" t="inlineStr">
        <is>
          <t>14/01/2026 07:43</t>
        </is>
      </c>
      <c r="M2704" t="inlineStr">
        <is>
          <t>None</t>
        </is>
      </c>
      <c r="N2704" t="inlineStr">
        <is>
          <t>&lt;p&gt;&lt;/p&gt;</t>
        </is>
      </c>
      <c r="O2704" t="inlineStr"/>
      <c r="P2704" t="inlineStr"/>
      <c r="Q2704" t="inlineStr">
        <is>
          <t>UKPN</t>
        </is>
      </c>
      <c r="R2704" t="b">
        <v>0</v>
      </c>
    </row>
    <row r="2705">
      <c r="A2705" t="inlineStr">
        <is>
          <t>14 Jan 2026 / 7800 MAC Tree Surgery and Fencing Ltd / Utilities / UKPN</t>
        </is>
      </c>
      <c r="B2705" t="inlineStr">
        <is>
          <t>Utilities</t>
        </is>
      </c>
      <c r="C2705" t="inlineStr">
        <is>
          <t>UKPN</t>
        </is>
      </c>
      <c r="D2705" t="inlineStr">
        <is>
          <t>De69ytp  , Van , Man  , Tge</t>
        </is>
      </c>
      <c r="E2705" t="inlineStr">
        <is>
          <t>De69ytp  , Van , Man  , Tge</t>
        </is>
      </c>
      <c r="F2705" t="inlineStr">
        <is>
          <t>De69ytp  , Van , Man  , Tge</t>
        </is>
      </c>
      <c r="G2705" t="inlineStr">
        <is>
          <t xml:space="preserve">Lewis Mac </t>
        </is>
      </c>
      <c r="H2705" t="inlineStr">
        <is>
          <t>Van</t>
        </is>
      </c>
      <c r="I2705" t="inlineStr">
        <is>
          <t>Daily/ Weekly Vehicle Inspection</t>
        </is>
      </c>
      <c r="J2705" t="inlineStr">
        <is>
          <t>N/A</t>
        </is>
      </c>
      <c r="K2705" t="inlineStr">
        <is>
          <t>7800 MAC Tree Surgery and Fencing Ltd</t>
        </is>
      </c>
      <c r="L2705" t="inlineStr">
        <is>
          <t>14/01/2026 07:44</t>
        </is>
      </c>
      <c r="M2705" t="inlineStr">
        <is>
          <t>None</t>
        </is>
      </c>
      <c r="N2705" t="inlineStr">
        <is>
          <t>&lt;p&gt;&lt;/p&gt;</t>
        </is>
      </c>
      <c r="O2705" t="inlineStr"/>
      <c r="P2705" t="inlineStr">
        <is>
          <t>De69ytp  , Van , Man  , Tge</t>
        </is>
      </c>
      <c r="Q2705" t="inlineStr">
        <is>
          <t>UKPN</t>
        </is>
      </c>
      <c r="R2705" t="b">
        <v>0</v>
      </c>
    </row>
    <row r="2706">
      <c r="A2706" t="inlineStr">
        <is>
          <t>14 Jan 2026 / 7800 MAC Tree Surgery and Fencing Ltd / Utilities / UKPN</t>
        </is>
      </c>
      <c r="B2706" t="inlineStr">
        <is>
          <t>Utilities</t>
        </is>
      </c>
      <c r="C2706" t="inlineStr">
        <is>
          <t>UKPN</t>
        </is>
      </c>
      <c r="D2706" t="inlineStr">
        <is>
          <t>Plant Trailer - Towmate - 2.8t - 0</t>
        </is>
      </c>
      <c r="E2706" t="inlineStr">
        <is>
          <t>Plant Trailer - Towmate - 2.8t - 0</t>
        </is>
      </c>
      <c r="F2706" t="inlineStr">
        <is>
          <t>Plant Trailer - Towmate - 2.8t - 0</t>
        </is>
      </c>
      <c r="G2706" t="inlineStr">
        <is>
          <t>Lewis mac</t>
        </is>
      </c>
      <c r="H2706" t="inlineStr">
        <is>
          <t>Plant Trailer</t>
        </is>
      </c>
      <c r="I2706" t="inlineStr">
        <is>
          <t>Daily/ Weekly Vehicle Inspection</t>
        </is>
      </c>
      <c r="J2706" t="inlineStr">
        <is>
          <t>N/A</t>
        </is>
      </c>
      <c r="K2706" t="inlineStr">
        <is>
          <t>7800 MAC Tree Surgery and Fencing Ltd</t>
        </is>
      </c>
      <c r="L2706" t="inlineStr">
        <is>
          <t>14/01/2026 07:44</t>
        </is>
      </c>
      <c r="M2706" t="inlineStr">
        <is>
          <t>None</t>
        </is>
      </c>
      <c r="N2706" t="inlineStr">
        <is>
          <t>&lt;p&gt;&lt;/p&gt;</t>
        </is>
      </c>
      <c r="O2706" t="inlineStr"/>
      <c r="P2706" t="inlineStr">
        <is>
          <t>Plant Trailer - Towmate - 2.8t - 0</t>
        </is>
      </c>
      <c r="Q2706" t="inlineStr">
        <is>
          <t>UKPN</t>
        </is>
      </c>
      <c r="R2706" t="b">
        <v>0</v>
      </c>
    </row>
    <row r="2707">
      <c r="A2707" t="inlineStr">
        <is>
          <t>14 Jan 2026 / 7800 MAC Tree Surgery and Fencing Ltd / Utilities / UKPN</t>
        </is>
      </c>
      <c r="B2707" t="inlineStr">
        <is>
          <t>Utilities</t>
        </is>
      </c>
      <c r="C2707" t="inlineStr">
        <is>
          <t>UKPN</t>
        </is>
      </c>
      <c r="D2707" t="inlineStr">
        <is>
          <t>AY68DAA , 4x4 , Izuzu , Dmax</t>
        </is>
      </c>
      <c r="E2707" t="inlineStr">
        <is>
          <t>AY68DAA , 4x4 , Izuzu , Dmax</t>
        </is>
      </c>
      <c r="F2707" t="inlineStr">
        <is>
          <t>AY68DAA , 4x4 , Izuzu , Dmax</t>
        </is>
      </c>
      <c r="G2707" t="inlineStr">
        <is>
          <t xml:space="preserve">Patrick O'Shea </t>
        </is>
      </c>
      <c r="H2707" t="inlineStr">
        <is>
          <t>4x4</t>
        </is>
      </c>
      <c r="I2707" t="inlineStr">
        <is>
          <t>Daily/ Weekly Vehicle Inspection</t>
        </is>
      </c>
      <c r="J2707" t="inlineStr">
        <is>
          <t>N/A</t>
        </is>
      </c>
      <c r="K2707" t="inlineStr">
        <is>
          <t>7800 MAC Tree Surgery and Fencing Ltd</t>
        </is>
      </c>
      <c r="L2707" t="inlineStr">
        <is>
          <t>14/01/2026 07:45</t>
        </is>
      </c>
      <c r="M2707" t="inlineStr">
        <is>
          <t>None</t>
        </is>
      </c>
      <c r="N2707" t="inlineStr">
        <is>
          <t>&lt;p&gt;&lt;/p&gt;</t>
        </is>
      </c>
      <c r="O2707" t="inlineStr"/>
      <c r="P2707" t="inlineStr">
        <is>
          <t>AY68DAA , 4x4 , Izuzu , Dmax</t>
        </is>
      </c>
      <c r="Q2707" t="inlineStr">
        <is>
          <t>UKPN</t>
        </is>
      </c>
      <c r="R2707" t="b">
        <v>0</v>
      </c>
    </row>
    <row r="2708">
      <c r="A2708" t="inlineStr">
        <is>
          <t>14 Jan 2026 / 7806 Optimum Tree Services Ltd / Utilities / UKPN</t>
        </is>
      </c>
      <c r="B2708" t="inlineStr">
        <is>
          <t>Utilities</t>
        </is>
      </c>
      <c r="C2708" t="inlineStr">
        <is>
          <t>UKPN</t>
        </is>
      </c>
      <c r="D2708" t="inlineStr">
        <is>
          <t>SA9TAPLAF27414263 , Trailer , Tow Mate , Plant Trailer</t>
        </is>
      </c>
      <c r="E2708" t="inlineStr">
        <is>
          <t>SA9TAPLAF27414263 , Trailer , Tow Mate , Plant Trailer</t>
        </is>
      </c>
      <c r="F2708" t="inlineStr">
        <is>
          <t>SA9TAPLAF27414263 , Trailer , Tow Mate , Plant Trailer</t>
        </is>
      </c>
      <c r="G2708" t="inlineStr">
        <is>
          <t xml:space="preserve">Abraham Davies </t>
        </is>
      </c>
      <c r="H2708" t="inlineStr">
        <is>
          <t>Plant Trailer</t>
        </is>
      </c>
      <c r="I2708" t="inlineStr">
        <is>
          <t>Daily/ Weekly Vehicle Inspection</t>
        </is>
      </c>
      <c r="J2708" t="inlineStr">
        <is>
          <t>N/A</t>
        </is>
      </c>
      <c r="K2708" t="inlineStr">
        <is>
          <t>7806 Optimum Tree Services Ltd</t>
        </is>
      </c>
      <c r="L2708" t="inlineStr">
        <is>
          <t>14/01/2026 07:45</t>
        </is>
      </c>
      <c r="M2708" t="inlineStr">
        <is>
          <t>None</t>
        </is>
      </c>
      <c r="N2708" t="inlineStr">
        <is>
          <t>&lt;p&gt;&lt;/p&gt;</t>
        </is>
      </c>
      <c r="O2708" t="inlineStr"/>
      <c r="P2708" t="inlineStr">
        <is>
          <t>SA9TAPLAF27414263 , Trailer , Tow Mate , Plant Trailer</t>
        </is>
      </c>
      <c r="Q2708" t="inlineStr">
        <is>
          <t>UKPN</t>
        </is>
      </c>
      <c r="R2708" t="b">
        <v>0</v>
      </c>
    </row>
    <row r="2709">
      <c r="A2709" t="inlineStr">
        <is>
          <t>14 Jan 2026 / 7806 Optimum Tree Services Ltd / Utilities / UKPN</t>
        </is>
      </c>
      <c r="B2709" t="inlineStr">
        <is>
          <t>Utilities</t>
        </is>
      </c>
      <c r="C2709" t="inlineStr">
        <is>
          <t>UKPN</t>
        </is>
      </c>
      <c r="D2709" t="inlineStr">
        <is>
          <t>WD14EVB , MEWP , Land Rover , Defender</t>
        </is>
      </c>
      <c r="E2709" t="inlineStr">
        <is>
          <t>WD14EVB , MEWP , Land Rover , Defender</t>
        </is>
      </c>
      <c r="F2709" t="inlineStr">
        <is>
          <t>WD14EVB , MEWP , Land Rover , Defender</t>
        </is>
      </c>
      <c r="G2709" t="inlineStr">
        <is>
          <t xml:space="preserve">Abraham Davies </t>
        </is>
      </c>
      <c r="H2709" t="inlineStr">
        <is>
          <t>4x4</t>
        </is>
      </c>
      <c r="I2709" t="inlineStr">
        <is>
          <t>Daily/ Weekly Vehicle Inspection</t>
        </is>
      </c>
      <c r="J2709" t="inlineStr">
        <is>
          <t>N/A</t>
        </is>
      </c>
      <c r="K2709" t="inlineStr">
        <is>
          <t>7806 Optimum Tree Services Ltd</t>
        </is>
      </c>
      <c r="L2709" t="inlineStr">
        <is>
          <t>14/01/2026 07:46</t>
        </is>
      </c>
      <c r="M2709" t="inlineStr">
        <is>
          <t>None</t>
        </is>
      </c>
      <c r="N2709" t="inlineStr">
        <is>
          <t>&lt;p&gt;&lt;/p&gt;</t>
        </is>
      </c>
      <c r="O2709" t="inlineStr"/>
      <c r="P2709" t="inlineStr">
        <is>
          <t>WD14EVB , MEWP , Land Rover , Defender</t>
        </is>
      </c>
      <c r="Q2709" t="inlineStr">
        <is>
          <t>UKPN</t>
        </is>
      </c>
      <c r="R2709" t="b">
        <v>0</v>
      </c>
    </row>
    <row r="2710">
      <c r="A2710" t="inlineStr">
        <is>
          <t>14 Jan 2026 / 7806 Optimum Tree Services Ltd / Utilities / UKPN</t>
        </is>
      </c>
      <c r="B2710" t="inlineStr">
        <is>
          <t>Utilities</t>
        </is>
      </c>
      <c r="C2710" t="inlineStr">
        <is>
          <t>UKPN</t>
        </is>
      </c>
      <c r="D2710" t="inlineStr">
        <is>
          <t>Wd14evn , 4x4 , Landrover  , Defender</t>
        </is>
      </c>
      <c r="E2710" t="inlineStr">
        <is>
          <t>Wd14evn , 4x4 , Landrover  , Defender</t>
        </is>
      </c>
      <c r="F2710" t="inlineStr">
        <is>
          <t>Wd14evn , 4x4 , Landrover  , Defender</t>
        </is>
      </c>
      <c r="G2710" t="inlineStr">
        <is>
          <t xml:space="preserve">Lewis Davies </t>
        </is>
      </c>
      <c r="H2710" t="inlineStr">
        <is>
          <t>4x4</t>
        </is>
      </c>
      <c r="I2710" t="inlineStr">
        <is>
          <t>Daily/ Weekly Vehicle Inspection</t>
        </is>
      </c>
      <c r="J2710" t="inlineStr">
        <is>
          <t>N/A</t>
        </is>
      </c>
      <c r="K2710" t="inlineStr">
        <is>
          <t>7806 Optimum Tree Services Ltd</t>
        </is>
      </c>
      <c r="L2710" t="inlineStr">
        <is>
          <t>14/01/2026 07:47</t>
        </is>
      </c>
      <c r="M2710" t="inlineStr">
        <is>
          <t>None</t>
        </is>
      </c>
      <c r="N2710" t="inlineStr">
        <is>
          <t>&lt;p&gt;&lt;/p&gt;</t>
        </is>
      </c>
      <c r="O2710" t="inlineStr"/>
      <c r="P2710" t="inlineStr">
        <is>
          <t>Wd14evn , 4x4 , Landrover  , Defender</t>
        </is>
      </c>
      <c r="Q2710" t="inlineStr">
        <is>
          <t>UKPN</t>
        </is>
      </c>
      <c r="R2710" t="b">
        <v>0</v>
      </c>
    </row>
    <row r="2711">
      <c r="A2711" t="inlineStr">
        <is>
          <t>14 Jan 2026 / 3098 D &amp; R Landscapes / Utilities / UKPN</t>
        </is>
      </c>
      <c r="B2711" t="inlineStr">
        <is>
          <t>Utilities</t>
        </is>
      </c>
      <c r="C2711" t="inlineStr">
        <is>
          <t>UKPN</t>
        </is>
      </c>
      <c r="D2711" t="inlineStr">
        <is>
          <t>WA13ZZK , 4x4 , Land Rover  , Defender</t>
        </is>
      </c>
      <c r="E2711" t="inlineStr">
        <is>
          <t>WA13ZZK , 4x4 , Land Rover  , Defender</t>
        </is>
      </c>
      <c r="F2711" t="inlineStr">
        <is>
          <t>WA13ZZK , 4x4 , Land Rover  , Defender</t>
        </is>
      </c>
      <c r="G2711" t="inlineStr">
        <is>
          <t>Josh</t>
        </is>
      </c>
      <c r="H2711" t="inlineStr">
        <is>
          <t>Pickup Truck</t>
        </is>
      </c>
      <c r="I2711" t="inlineStr">
        <is>
          <t>Daily/ Weekly Vehicle Inspection</t>
        </is>
      </c>
      <c r="J2711" t="inlineStr">
        <is>
          <t>N/A</t>
        </is>
      </c>
      <c r="K2711" t="inlineStr">
        <is>
          <t>3098 D &amp; R Landscapes</t>
        </is>
      </c>
      <c r="L2711" t="inlineStr">
        <is>
          <t>14/01/2026 07:48</t>
        </is>
      </c>
      <c r="M2711" t="inlineStr">
        <is>
          <t>None</t>
        </is>
      </c>
      <c r="N2711" t="inlineStr">
        <is>
          <t>&lt;p&gt;&lt;/p&gt;</t>
        </is>
      </c>
      <c r="O2711" t="inlineStr"/>
      <c r="P2711" t="inlineStr">
        <is>
          <t>WA13ZZK , 4x4 , Land Rover  , Defender</t>
        </is>
      </c>
      <c r="Q2711" t="inlineStr">
        <is>
          <t>UKPN</t>
        </is>
      </c>
      <c r="R2711" t="b">
        <v>0</v>
      </c>
    </row>
    <row r="2712">
      <c r="A2712" t="inlineStr">
        <is>
          <t>14 Jan 2026 / 3098 D &amp; R Landscapes / Utilities / UKPN</t>
        </is>
      </c>
      <c r="B2712" t="inlineStr">
        <is>
          <t>Utilities</t>
        </is>
      </c>
      <c r="C2712" t="inlineStr">
        <is>
          <t>UKPN</t>
        </is>
      </c>
      <c r="D2712" t="inlineStr">
        <is>
          <t>DE68XHA , Tipper , Isuzu , Grafter</t>
        </is>
      </c>
      <c r="E2712" t="inlineStr">
        <is>
          <t>DE68XHA , Tipper , Isuzu , Grafter</t>
        </is>
      </c>
      <c r="F2712" t="inlineStr">
        <is>
          <t>DE68XHA , Tipper , Isuzu , Grafter</t>
        </is>
      </c>
      <c r="G2712" t="inlineStr">
        <is>
          <t>Chris</t>
        </is>
      </c>
      <c r="H2712" t="inlineStr">
        <is>
          <t>Tipper</t>
        </is>
      </c>
      <c r="I2712" t="inlineStr">
        <is>
          <t>Daily/ Weekly Vehicle Inspection</t>
        </is>
      </c>
      <c r="J2712" t="inlineStr">
        <is>
          <t>N/A</t>
        </is>
      </c>
      <c r="K2712" t="inlineStr">
        <is>
          <t>3098 D &amp; R Landscapes</t>
        </is>
      </c>
      <c r="L2712" t="inlineStr">
        <is>
          <t>14/01/2026 07:48</t>
        </is>
      </c>
      <c r="M2712" t="inlineStr">
        <is>
          <t>None</t>
        </is>
      </c>
      <c r="N2712" t="inlineStr">
        <is>
          <t>&lt;p&gt;&lt;/p&gt;</t>
        </is>
      </c>
      <c r="O2712" t="inlineStr"/>
      <c r="P2712" t="inlineStr">
        <is>
          <t>DE68XHA , Tipper , Isuzu , Grafter</t>
        </is>
      </c>
      <c r="Q2712" t="inlineStr">
        <is>
          <t>UKPN</t>
        </is>
      </c>
      <c r="R2712" t="b">
        <v>0</v>
      </c>
    </row>
    <row r="2713">
      <c r="A2713" t="inlineStr">
        <is>
          <t>14 Jan 2026 / Richard Moses / Utilities / NGED</t>
        </is>
      </c>
      <c r="B2713" t="inlineStr">
        <is>
          <t>Utilities</t>
        </is>
      </c>
      <c r="C2713" t="inlineStr">
        <is>
          <t>NGED</t>
        </is>
      </c>
      <c r="D2713" t="inlineStr">
        <is>
          <t>AK23YLM , Car - Electric , Tesla , Model Y Long Range</t>
        </is>
      </c>
      <c r="E2713" t="inlineStr">
        <is>
          <t>AK23YLM , Car - Electric , Tesla , Model Y Long Range</t>
        </is>
      </c>
      <c r="F2713" t="inlineStr">
        <is>
          <t>AK23YLM , Car - Electric , Tesla , Model Y Long Range</t>
        </is>
      </c>
      <c r="G2713" t="inlineStr">
        <is>
          <t>Moses</t>
        </is>
      </c>
      <c r="H2713" t="inlineStr">
        <is>
          <t>Car - Electric (GC Owned)</t>
        </is>
      </c>
      <c r="I2713" t="inlineStr">
        <is>
          <t>Daily/ Weekly Vehicle Inspection</t>
        </is>
      </c>
      <c r="J2713" t="inlineStr">
        <is>
          <t>N/A</t>
        </is>
      </c>
      <c r="K2713" t="inlineStr">
        <is>
          <t>Richard Moses</t>
        </is>
      </c>
      <c r="L2713" t="inlineStr">
        <is>
          <t>14/01/2026 08:41</t>
        </is>
      </c>
      <c r="M2713" t="inlineStr">
        <is>
          <t>None</t>
        </is>
      </c>
      <c r="N2713" t="inlineStr">
        <is>
          <t>&lt;p&gt;&lt;/p&gt;</t>
        </is>
      </c>
      <c r="O2713" t="inlineStr">
        <is>
          <t>Confirm that you have checked this vehicle as per the guidance document and the vehicle is safe and roadworthy:Tyres changed on rear 73600 est. excessive wear on inside that wasn’t visible.
-</t>
        </is>
      </c>
      <c r="P2713" t="inlineStr">
        <is>
          <t>AK23YLM , Car - Electric , Tesla , Model Y Long Range</t>
        </is>
      </c>
      <c r="Q2713" t="inlineStr">
        <is>
          <t>NGED</t>
        </is>
      </c>
      <c r="R2713" t="b">
        <v>0</v>
      </c>
    </row>
    <row r="2714">
      <c r="A2714" t="inlineStr">
        <is>
          <t>14 Jan 2026 / 8148 Hope Ground and Tree Care / Utilities / UKPN</t>
        </is>
      </c>
      <c r="B2714" t="inlineStr">
        <is>
          <t>Utilities</t>
        </is>
      </c>
      <c r="C2714" t="inlineStr">
        <is>
          <t>UKPN</t>
        </is>
      </c>
      <c r="D2714" t="inlineStr">
        <is>
          <t>S6 NWX , MEWP , Isuzu , D-Max</t>
        </is>
      </c>
      <c r="E2714" t="inlineStr">
        <is>
          <t>S6 NWX , MEWP , Isuzu , D-Max</t>
        </is>
      </c>
      <c r="F2714" t="inlineStr">
        <is>
          <t>S6 NWX , MEWP , Isuzu , D-Max</t>
        </is>
      </c>
      <c r="G2714" t="inlineStr">
        <is>
          <t>Andrew Hope</t>
        </is>
      </c>
      <c r="H2714" t="inlineStr">
        <is>
          <t>4x4</t>
        </is>
      </c>
      <c r="I2714" t="inlineStr">
        <is>
          <t>Daily/ Weekly Vehicle Inspection</t>
        </is>
      </c>
      <c r="J2714" t="inlineStr">
        <is>
          <t>N/A</t>
        </is>
      </c>
      <c r="K2714" t="inlineStr">
        <is>
          <t>8148 Hope Ground and Tree Care</t>
        </is>
      </c>
      <c r="L2714" t="inlineStr">
        <is>
          <t>14/01/2026 08:42</t>
        </is>
      </c>
      <c r="M2714" t="inlineStr">
        <is>
          <t>None</t>
        </is>
      </c>
      <c r="N2714" t="inlineStr">
        <is>
          <t>&lt;p&gt;&lt;/p&gt;</t>
        </is>
      </c>
      <c r="O2714" t="inlineStr"/>
      <c r="P2714" t="inlineStr">
        <is>
          <t>S6 NWX , MEWP , Isuzu , D-Max</t>
        </is>
      </c>
      <c r="Q2714" t="inlineStr">
        <is>
          <t>UKPN</t>
        </is>
      </c>
      <c r="R2714" t="b">
        <v>0</v>
      </c>
    </row>
    <row r="2715">
      <c r="A2715" t="inlineStr">
        <is>
          <t>14 Jan 2026 / Benet Jones / Utilities / NGED</t>
        </is>
      </c>
      <c r="B2715" t="inlineStr">
        <is>
          <t>Utilities</t>
        </is>
      </c>
      <c r="C2715" t="inlineStr">
        <is>
          <t>NGED</t>
        </is>
      </c>
      <c r="D2715" t="inlineStr"/>
      <c r="E2715" t="inlineStr"/>
      <c r="F2715" t="inlineStr"/>
      <c r="G2715" t="inlineStr">
        <is>
          <t>Benet Jones</t>
        </is>
      </c>
      <c r="H2715" t="inlineStr">
        <is>
          <t>Car - Petrol</t>
        </is>
      </c>
      <c r="I2715" t="inlineStr">
        <is>
          <t>Daily/ Weekly Vehicle Inspection</t>
        </is>
      </c>
      <c r="J2715" t="inlineStr">
        <is>
          <t>N/A</t>
        </is>
      </c>
      <c r="K2715" t="inlineStr">
        <is>
          <t>Benet Jones</t>
        </is>
      </c>
      <c r="L2715" t="inlineStr">
        <is>
          <t>14/01/2026 08:45</t>
        </is>
      </c>
      <c r="M2715" t="inlineStr">
        <is>
          <t>None</t>
        </is>
      </c>
      <c r="N2715" t="inlineStr">
        <is>
          <t>&lt;p&gt;&lt;/p&gt;</t>
        </is>
      </c>
      <c r="O2715" t="inlineStr">
        <is>
          <t>Confirm that you have checked this vehicle as per the guidance document and the vehicle is safe and roadworthy:Vehicle fully checked and serviceable
-</t>
        </is>
      </c>
      <c r="P2715" t="inlineStr"/>
      <c r="Q2715" t="inlineStr">
        <is>
          <t>NGED</t>
        </is>
      </c>
      <c r="R2715" t="b">
        <v>0</v>
      </c>
    </row>
    <row r="2716">
      <c r="A2716" t="inlineStr">
        <is>
          <t>14 Jan 2026 / 7186 Eastwoodbury Tree Services Ltd / Utilities / UKPN</t>
        </is>
      </c>
      <c r="B2716" t="inlineStr">
        <is>
          <t>Utilities</t>
        </is>
      </c>
      <c r="C2716" t="inlineStr">
        <is>
          <t>UKPN</t>
        </is>
      </c>
      <c r="D2716" t="inlineStr">
        <is>
          <t>WF13 EKT , 4x4 , Land rover  , Defender</t>
        </is>
      </c>
      <c r="E2716" t="inlineStr">
        <is>
          <t>WF13 EKT , 4x4 , Land rover  , Defender</t>
        </is>
      </c>
      <c r="F2716" t="inlineStr">
        <is>
          <t>WF13 EKT , 4x4 , Land rover  , Defender</t>
        </is>
      </c>
      <c r="G2716" t="inlineStr">
        <is>
          <t xml:space="preserve">Dan Gilbert </t>
        </is>
      </c>
      <c r="H2716" t="inlineStr">
        <is>
          <t>4x4</t>
        </is>
      </c>
      <c r="I2716" t="inlineStr">
        <is>
          <t>Daily/ Weekly Vehicle Inspection</t>
        </is>
      </c>
      <c r="J2716" t="inlineStr">
        <is>
          <t>N/A</t>
        </is>
      </c>
      <c r="K2716" t="inlineStr">
        <is>
          <t>7186 Eastwoodbury Tree Services Ltd</t>
        </is>
      </c>
      <c r="L2716" t="inlineStr">
        <is>
          <t>14/01/2026 08:46</t>
        </is>
      </c>
      <c r="M2716" t="inlineStr">
        <is>
          <t>None</t>
        </is>
      </c>
      <c r="N2716" t="inlineStr">
        <is>
          <t>&lt;p&gt;&lt;/p&gt;</t>
        </is>
      </c>
      <c r="O2716" t="inlineStr"/>
      <c r="P2716" t="inlineStr">
        <is>
          <t>WF13 EKT , 4x4 , Land rover  , Defender</t>
        </is>
      </c>
      <c r="Q2716" t="inlineStr">
        <is>
          <t>UKPN</t>
        </is>
      </c>
      <c r="R2716" t="b">
        <v>0</v>
      </c>
    </row>
    <row r="2717">
      <c r="A2717" t="inlineStr">
        <is>
          <t>14 Jan 2026 / Anthony Gale / Utilities / UKPN</t>
        </is>
      </c>
      <c r="B2717" t="inlineStr">
        <is>
          <t>Utilities</t>
        </is>
      </c>
      <c r="C2717" t="inlineStr">
        <is>
          <t>UKPN</t>
        </is>
      </c>
      <c r="D2717" t="inlineStr">
        <is>
          <t>KX20 BCE , Tipper , Isuzu , D-Max</t>
        </is>
      </c>
      <c r="E2717" t="inlineStr">
        <is>
          <t>KX20 BCE , Tipper , Isuzu , D-Max</t>
        </is>
      </c>
      <c r="F2717" t="inlineStr">
        <is>
          <t>KX20 BCE , Tipper , Isuzu , D-Max</t>
        </is>
      </c>
      <c r="G2717" t="inlineStr">
        <is>
          <t>Anthony Gale</t>
        </is>
      </c>
      <c r="H2717" t="inlineStr">
        <is>
          <t>Pickup Truck</t>
        </is>
      </c>
      <c r="I2717" t="inlineStr">
        <is>
          <t>Daily/ Weekly Vehicle Inspection</t>
        </is>
      </c>
      <c r="J2717" t="inlineStr">
        <is>
          <t>N/A</t>
        </is>
      </c>
      <c r="K2717" t="inlineStr">
        <is>
          <t>7996 M G Tree Surgery Ltd 1</t>
        </is>
      </c>
      <c r="L2717" t="inlineStr">
        <is>
          <t>14/01/2026 08:46</t>
        </is>
      </c>
      <c r="M2717" t="inlineStr">
        <is>
          <t>None</t>
        </is>
      </c>
      <c r="N2717" t="inlineStr">
        <is>
          <t>&lt;p&gt;&lt;/p&gt;</t>
        </is>
      </c>
      <c r="O2717" t="inlineStr">
        <is>
          <t>Confirm that you have checked this vehicle as per the guidance document and the vehicle is safe and roadworthy:Light board deteriorating.
Safe for now, will need replacing soon though.
-</t>
        </is>
      </c>
      <c r="P2717" t="inlineStr">
        <is>
          <t>KX20 BCE , Tipper , Isuzu , D-Max</t>
        </is>
      </c>
      <c r="Q2717" t="inlineStr">
        <is>
          <t>UKPN</t>
        </is>
      </c>
      <c r="R2717" t="b">
        <v>0</v>
      </c>
    </row>
    <row r="2718">
      <c r="A2718" t="inlineStr">
        <is>
          <t>14 Jan 2026 / Anthony Gale / Utilities / UKPN</t>
        </is>
      </c>
      <c r="B2718" t="inlineStr">
        <is>
          <t>Utilities</t>
        </is>
      </c>
      <c r="C2718" t="inlineStr">
        <is>
          <t>UKPN</t>
        </is>
      </c>
      <c r="D2718" t="inlineStr"/>
      <c r="E2718" t="inlineStr"/>
      <c r="F2718" t="inlineStr"/>
      <c r="G2718" t="inlineStr">
        <is>
          <t>Anthony Gale</t>
        </is>
      </c>
      <c r="H2718" t="inlineStr">
        <is>
          <t>Towed Chipper</t>
        </is>
      </c>
      <c r="I2718" t="inlineStr">
        <is>
          <t>Daily/ Weekly Vehicle Inspection</t>
        </is>
      </c>
      <c r="J2718" t="inlineStr">
        <is>
          <t>N/A</t>
        </is>
      </c>
      <c r="K2718" t="inlineStr">
        <is>
          <t>7996 M G Tree Surgery Ltd 1</t>
        </is>
      </c>
      <c r="L2718" t="inlineStr">
        <is>
          <t>14/01/2026 08:47</t>
        </is>
      </c>
      <c r="M2718" t="inlineStr">
        <is>
          <t>None</t>
        </is>
      </c>
      <c r="N2718" t="inlineStr">
        <is>
          <t>&lt;p&gt;&lt;/p&gt;</t>
        </is>
      </c>
      <c r="O2718" t="inlineStr"/>
      <c r="P2718" t="inlineStr"/>
      <c r="Q2718" t="inlineStr">
        <is>
          <t>UKPN</t>
        </is>
      </c>
      <c r="R2718" t="b">
        <v>0</v>
      </c>
    </row>
    <row r="2719">
      <c r="A2719" t="inlineStr">
        <is>
          <t>13 Jan 2026 / Anthony Gale / Utilities / UKPN</t>
        </is>
      </c>
      <c r="B2719" t="inlineStr">
        <is>
          <t>Utilities</t>
        </is>
      </c>
      <c r="C2719" t="inlineStr">
        <is>
          <t>UKPN</t>
        </is>
      </c>
      <c r="D2719" t="inlineStr"/>
      <c r="E2719" t="inlineStr"/>
      <c r="F2719" t="inlineStr"/>
      <c r="G2719" t="inlineStr">
        <is>
          <t>Anthony Gale</t>
        </is>
      </c>
      <c r="H2719" t="inlineStr">
        <is>
          <t>Towed Chipper</t>
        </is>
      </c>
      <c r="I2719" t="inlineStr">
        <is>
          <t>Daily/ Weekly Vehicle Inspection</t>
        </is>
      </c>
      <c r="J2719" t="inlineStr">
        <is>
          <t>N/A</t>
        </is>
      </c>
      <c r="K2719" t="inlineStr">
        <is>
          <t>7996 M G Tree Surgery Ltd 1</t>
        </is>
      </c>
      <c r="L2719" t="inlineStr">
        <is>
          <t>14/01/2026 08:48</t>
        </is>
      </c>
      <c r="M2719" t="inlineStr">
        <is>
          <t>None</t>
        </is>
      </c>
      <c r="N2719" t="inlineStr">
        <is>
          <t>&lt;p&gt;&lt;/p&gt;</t>
        </is>
      </c>
      <c r="O2719" t="inlineStr"/>
      <c r="P2719" t="inlineStr"/>
      <c r="Q2719" t="inlineStr">
        <is>
          <t>UKPN</t>
        </is>
      </c>
      <c r="R2719" t="b">
        <v>0</v>
      </c>
    </row>
    <row r="2720">
      <c r="A2720" t="inlineStr">
        <is>
          <t>13 Jan 2026 / Anthony Gale / Utilities / UKPN</t>
        </is>
      </c>
      <c r="B2720" t="inlineStr">
        <is>
          <t>Utilities</t>
        </is>
      </c>
      <c r="C2720" t="inlineStr">
        <is>
          <t>UKPN</t>
        </is>
      </c>
      <c r="D2720" t="inlineStr">
        <is>
          <t>KX20 BCE , Tipper , Isuzu , D-Max</t>
        </is>
      </c>
      <c r="E2720" t="inlineStr">
        <is>
          <t>KX20 BCE , Tipper , Isuzu , D-Max</t>
        </is>
      </c>
      <c r="F2720" t="inlineStr">
        <is>
          <t>KX20 BCE , Tipper , Isuzu , D-Max</t>
        </is>
      </c>
      <c r="G2720" t="inlineStr">
        <is>
          <t>Anthony Gale</t>
        </is>
      </c>
      <c r="H2720" t="inlineStr">
        <is>
          <t>Pickup Truck</t>
        </is>
      </c>
      <c r="I2720" t="inlineStr">
        <is>
          <t>Daily/ Weekly Vehicle Inspection</t>
        </is>
      </c>
      <c r="J2720" t="inlineStr">
        <is>
          <t>N/A</t>
        </is>
      </c>
      <c r="K2720" t="inlineStr">
        <is>
          <t>7996 M G Tree Surgery Ltd 1</t>
        </is>
      </c>
      <c r="L2720" t="inlineStr">
        <is>
          <t>14/01/2026 08:49</t>
        </is>
      </c>
      <c r="M2720" t="inlineStr">
        <is>
          <t>None</t>
        </is>
      </c>
      <c r="N2720" t="inlineStr">
        <is>
          <t>&lt;p&gt;&lt;/p&gt;</t>
        </is>
      </c>
      <c r="O2720" t="inlineStr">
        <is>
          <t>Confirm that you have checked this vehicle as per the guidance document and the vehicle is safe and roadworthy:Light board deteriorating.
Safe for now, will need replacing soon though.
-</t>
        </is>
      </c>
      <c r="P2720" t="inlineStr">
        <is>
          <t>KX20 BCE , Tipper , Isuzu , D-Max</t>
        </is>
      </c>
      <c r="Q2720" t="inlineStr">
        <is>
          <t>UKPN</t>
        </is>
      </c>
      <c r="R2720" t="b">
        <v>0</v>
      </c>
    </row>
    <row r="2721">
      <c r="A2721" t="inlineStr">
        <is>
          <t>14 Jan 2026 / Thomas Playford / Utilities / UKPN</t>
        </is>
      </c>
      <c r="B2721" t="inlineStr">
        <is>
          <t>Utilities</t>
        </is>
      </c>
      <c r="C2721" t="inlineStr">
        <is>
          <t>UKPN</t>
        </is>
      </c>
      <c r="D2721" t="inlineStr">
        <is>
          <t>SA9ST800000283944 , Tow Chipper , Forst , ST8D - Towed</t>
        </is>
      </c>
      <c r="E2721" t="inlineStr">
        <is>
          <t>SA9ST800000283944 , Tow Chipper , Forst , ST8D - Towed</t>
        </is>
      </c>
      <c r="F2721" t="inlineStr">
        <is>
          <t>SA9ST800000283944 , Tow Chipper , Forst , ST8D - Towed</t>
        </is>
      </c>
      <c r="G2721" t="inlineStr">
        <is>
          <t>Thomas Playford</t>
        </is>
      </c>
      <c r="H2721" t="inlineStr">
        <is>
          <t>Towed Chipper</t>
        </is>
      </c>
      <c r="I2721" t="inlineStr">
        <is>
          <t>Daily/ Weekly Vehicle Inspection</t>
        </is>
      </c>
      <c r="J2721" t="inlineStr">
        <is>
          <t>N/A</t>
        </is>
      </c>
      <c r="K2721" t="inlineStr">
        <is>
          <t>7995 Green Net Eco Ltd 2</t>
        </is>
      </c>
      <c r="L2721" t="inlineStr">
        <is>
          <t>14/01/2026 09:42</t>
        </is>
      </c>
      <c r="M2721" t="inlineStr">
        <is>
          <t>None</t>
        </is>
      </c>
      <c r="N2721" t="inlineStr">
        <is>
          <t>&lt;p&gt;&lt;/p&gt;</t>
        </is>
      </c>
      <c r="O2721" t="inlineStr"/>
      <c r="P2721" t="inlineStr">
        <is>
          <t>SA9ST800000283944 , Tow Chipper , Forst , ST8D - Towed</t>
        </is>
      </c>
      <c r="Q2721" t="inlineStr">
        <is>
          <t>UKPN</t>
        </is>
      </c>
      <c r="R2721" t="b">
        <v>0</v>
      </c>
    </row>
    <row r="2722">
      <c r="A2722" t="inlineStr">
        <is>
          <t>14 Jan 2026 / Thomas Playford / Utilities / UKPN</t>
        </is>
      </c>
      <c r="B2722" t="inlineStr">
        <is>
          <t>Utilities</t>
        </is>
      </c>
      <c r="C2722" t="inlineStr">
        <is>
          <t>UKPN</t>
        </is>
      </c>
      <c r="D2722" t="inlineStr">
        <is>
          <t>LK15KRZ , 4x4 , Landrover , Defender</t>
        </is>
      </c>
      <c r="E2722" t="inlineStr">
        <is>
          <t>LK15KRZ , 4x4 , Landrover , Defender</t>
        </is>
      </c>
      <c r="F2722" t="inlineStr">
        <is>
          <t>LK15KRZ , 4x4 , Landrover , Defender</t>
        </is>
      </c>
      <c r="G2722" t="inlineStr">
        <is>
          <t>Thomas Playford</t>
        </is>
      </c>
      <c r="H2722" t="inlineStr">
        <is>
          <t>4x4</t>
        </is>
      </c>
      <c r="I2722" t="inlineStr">
        <is>
          <t>Daily/ Weekly Vehicle Inspection</t>
        </is>
      </c>
      <c r="J2722" t="inlineStr">
        <is>
          <t>N/A</t>
        </is>
      </c>
      <c r="K2722" t="inlineStr">
        <is>
          <t>7995 Green Net Eco Ltd 2</t>
        </is>
      </c>
      <c r="L2722" t="inlineStr">
        <is>
          <t>14/01/2026 09:42</t>
        </is>
      </c>
      <c r="M2722" t="inlineStr">
        <is>
          <t>None</t>
        </is>
      </c>
      <c r="N2722" t="inlineStr">
        <is>
          <t>&lt;p&gt;&lt;/p&gt;</t>
        </is>
      </c>
      <c r="O2722" t="inlineStr"/>
      <c r="P2722" t="inlineStr">
        <is>
          <t>LK15KRZ , 4x4 , Landrover , Defender</t>
        </is>
      </c>
      <c r="Q2722" t="inlineStr">
        <is>
          <t>UKPN</t>
        </is>
      </c>
      <c r="R2722" t="b">
        <v>0</v>
      </c>
    </row>
    <row r="2723">
      <c r="A2723" t="inlineStr">
        <is>
          <t>14 Jan 2026 / 7889 Tree Tech Suffolk Ltd</t>
        </is>
      </c>
      <c r="B2723" t="inlineStr">
        <is>
          <t>Utilities &amp; Inland Waterways</t>
        </is>
      </c>
      <c r="C2723" t="inlineStr">
        <is>
          <t>UKPN</t>
        </is>
      </c>
      <c r="D2723" t="inlineStr">
        <is>
          <t>Tipper - Nissan - Navara - NS02TTS</t>
        </is>
      </c>
      <c r="E2723" t="inlineStr">
        <is>
          <t>Tipper - Nissan - Navara - NS02TTS</t>
        </is>
      </c>
      <c r="F2723" t="inlineStr">
        <is>
          <t>Tipper - Nissan - Navara - NS02TTS</t>
        </is>
      </c>
      <c r="G2723" t="inlineStr">
        <is>
          <t>Danny Appleby</t>
        </is>
      </c>
      <c r="H2723" t="inlineStr">
        <is>
          <t>Tipper</t>
        </is>
      </c>
      <c r="I2723" t="inlineStr">
        <is>
          <t>Daily/ Weekly Vehicle Inspection</t>
        </is>
      </c>
      <c r="J2723" t="inlineStr">
        <is>
          <t>N/A</t>
        </is>
      </c>
      <c r="K2723" t="inlineStr">
        <is>
          <t>7889 Tree Tech Suffolk Ltd</t>
        </is>
      </c>
      <c r="L2723" t="inlineStr">
        <is>
          <t>14/01/2026 10:45</t>
        </is>
      </c>
      <c r="M2723" t="inlineStr">
        <is>
          <t>None</t>
        </is>
      </c>
      <c r="N2723" t="inlineStr">
        <is>
          <t>&lt;p&gt;&lt;/p&gt;</t>
        </is>
      </c>
      <c r="O2723" t="inlineStr">
        <is>
          <t>Select Vehicle:Ns05 tts</t>
        </is>
      </c>
      <c r="P2723" t="inlineStr">
        <is>
          <t>Tipper - Nissan - Navara - NS02TTS</t>
        </is>
      </c>
      <c r="Q2723" t="inlineStr">
        <is>
          <t>UKPN</t>
        </is>
      </c>
      <c r="R2723" t="b">
        <v>0</v>
      </c>
    </row>
    <row r="2724">
      <c r="A2724" t="inlineStr">
        <is>
          <t>14 Jan 2026 / Andrew Carr / Utilities / SSE</t>
        </is>
      </c>
      <c r="B2724" t="inlineStr">
        <is>
          <t>Utilities</t>
        </is>
      </c>
      <c r="C2724" t="inlineStr">
        <is>
          <t>SSE</t>
        </is>
      </c>
      <c r="D2724" t="inlineStr"/>
      <c r="E2724" t="inlineStr"/>
      <c r="F2724" t="inlineStr"/>
      <c r="G2724" t="inlineStr">
        <is>
          <t>Andrew Carr</t>
        </is>
      </c>
      <c r="H2724" t="inlineStr">
        <is>
          <t>Car - Petrol</t>
        </is>
      </c>
      <c r="I2724" t="inlineStr">
        <is>
          <t>Daily/ Weekly Vehicle Inspection</t>
        </is>
      </c>
      <c r="J2724" t="inlineStr">
        <is>
          <t>N/A</t>
        </is>
      </c>
      <c r="K2724" t="inlineStr">
        <is>
          <t>Andrew Carr</t>
        </is>
      </c>
      <c r="L2724" t="inlineStr">
        <is>
          <t>14/01/2026 11:42</t>
        </is>
      </c>
      <c r="M2724" t="inlineStr">
        <is>
          <t>None</t>
        </is>
      </c>
      <c r="N2724" t="inlineStr">
        <is>
          <t>&lt;p&gt;&lt;/p&gt;</t>
        </is>
      </c>
      <c r="O2724" t="inlineStr"/>
      <c r="P2724" t="inlineStr"/>
      <c r="Q2724" t="inlineStr">
        <is>
          <t>SSE</t>
        </is>
      </c>
      <c r="R2724" t="b">
        <v>0</v>
      </c>
    </row>
    <row r="2725">
      <c r="A2725" t="inlineStr">
        <is>
          <t>14 Jan 2026 / Barry Bright / Utilities / UKPN</t>
        </is>
      </c>
      <c r="B2725" t="inlineStr">
        <is>
          <t>Utilities</t>
        </is>
      </c>
      <c r="C2725" t="inlineStr">
        <is>
          <t>UKPN</t>
        </is>
      </c>
      <c r="D2725" t="inlineStr">
        <is>
          <t>AK72YBM , Car - Electric , Tesla , Model Y Long Range</t>
        </is>
      </c>
      <c r="E2725" t="inlineStr">
        <is>
          <t>AK72YBM , Car - Electric , Tesla , Model Y Long Range</t>
        </is>
      </c>
      <c r="F2725" t="inlineStr">
        <is>
          <t>AK72YBM , Car - Electric , Tesla , Model Y Long Range</t>
        </is>
      </c>
      <c r="G2725" t="inlineStr">
        <is>
          <t>Barry Bright</t>
        </is>
      </c>
      <c r="H2725" t="inlineStr">
        <is>
          <t>Car - Electric (GC Owned)</t>
        </is>
      </c>
      <c r="I2725" t="inlineStr">
        <is>
          <t>Daily/ Weekly Vehicle Inspection</t>
        </is>
      </c>
      <c r="J2725" t="inlineStr">
        <is>
          <t>N/A</t>
        </is>
      </c>
      <c r="K2725" t="inlineStr">
        <is>
          <t>Barry Bright</t>
        </is>
      </c>
      <c r="L2725" t="inlineStr">
        <is>
          <t>14/01/2026 14:42</t>
        </is>
      </c>
      <c r="M2725" t="inlineStr">
        <is>
          <t>None</t>
        </is>
      </c>
      <c r="N2725" t="inlineStr">
        <is>
          <t>&lt;p&gt;&lt;/p&gt;</t>
        </is>
      </c>
      <c r="O2725" t="inlineStr"/>
      <c r="P2725" t="inlineStr">
        <is>
          <t>AK72YBM , Car - Electric , Tesla , Model Y Long Range</t>
        </is>
      </c>
      <c r="Q2725" t="inlineStr">
        <is>
          <t>UKPN</t>
        </is>
      </c>
      <c r="R2725" t="b">
        <v>0</v>
      </c>
    </row>
    <row r="2726">
      <c r="A2726" t="inlineStr">
        <is>
          <t>14 Jan 2026 / Daniel Hackett / Utilities / NGED</t>
        </is>
      </c>
      <c r="B2726" t="inlineStr">
        <is>
          <t>Utilities</t>
        </is>
      </c>
      <c r="C2726" t="inlineStr">
        <is>
          <t>NGED</t>
        </is>
      </c>
      <c r="D2726" t="inlineStr">
        <is>
          <t>AK70TKJ , Car - Electric , Tesla , Model 3 Long Range AWD</t>
        </is>
      </c>
      <c r="E2726" t="inlineStr">
        <is>
          <t>AK70TKJ , Car - Electric , Tesla , Model 3 Long Range AWD</t>
        </is>
      </c>
      <c r="F2726" t="inlineStr">
        <is>
          <t>AK70TKJ , Car - Electric , Tesla , Model 3 Long Range AWD</t>
        </is>
      </c>
      <c r="G2726" t="inlineStr">
        <is>
          <t xml:space="preserve">Daniel Hackett </t>
        </is>
      </c>
      <c r="H2726" t="inlineStr">
        <is>
          <t>Car - Electric (GC Owned)</t>
        </is>
      </c>
      <c r="I2726" t="inlineStr">
        <is>
          <t>Daily/ Weekly Vehicle Inspection</t>
        </is>
      </c>
      <c r="J2726" t="inlineStr">
        <is>
          <t>N/A</t>
        </is>
      </c>
      <c r="K2726" t="inlineStr">
        <is>
          <t>Daniel Hackett</t>
        </is>
      </c>
      <c r="L2726" t="inlineStr">
        <is>
          <t>14/01/2026 16:41</t>
        </is>
      </c>
      <c r="M2726" t="inlineStr">
        <is>
          <t>None</t>
        </is>
      </c>
      <c r="N2726" t="inlineStr">
        <is>
          <t>&lt;p&gt;&lt;/p&gt;</t>
        </is>
      </c>
      <c r="O2726" t="inlineStr"/>
      <c r="P2726" t="inlineStr">
        <is>
          <t>AK70TKJ , Car - Electric , Tesla , Model 3 Long Range AWD</t>
        </is>
      </c>
      <c r="Q2726" t="inlineStr">
        <is>
          <t>NGED</t>
        </is>
      </c>
      <c r="R2726" t="b">
        <v>0</v>
      </c>
    </row>
    <row r="2727">
      <c r="A2727" t="inlineStr">
        <is>
          <t>14 Jan 2026 / Joseph Pallot / Utilities / NGED</t>
        </is>
      </c>
      <c r="B2727" t="inlineStr">
        <is>
          <t>Utilities</t>
        </is>
      </c>
      <c r="C2727" t="inlineStr">
        <is>
          <t>NGED</t>
        </is>
      </c>
      <c r="D2727" t="inlineStr"/>
      <c r="E2727" t="inlineStr"/>
      <c r="F2727" t="inlineStr"/>
      <c r="G2727" t="inlineStr">
        <is>
          <t>Joseph Pallot</t>
        </is>
      </c>
      <c r="H2727" t="inlineStr">
        <is>
          <t>Car - Petrol</t>
        </is>
      </c>
      <c r="I2727" t="inlineStr">
        <is>
          <t>Daily/ Weekly Vehicle Inspection</t>
        </is>
      </c>
      <c r="J2727" t="inlineStr">
        <is>
          <t>N/A</t>
        </is>
      </c>
      <c r="K2727" t="inlineStr">
        <is>
          <t>Joseph Pallot</t>
        </is>
      </c>
      <c r="L2727" t="inlineStr">
        <is>
          <t>14/01/2026 16:43</t>
        </is>
      </c>
      <c r="M2727" t="inlineStr">
        <is>
          <t>None</t>
        </is>
      </c>
      <c r="N2727" t="inlineStr">
        <is>
          <t>&lt;p&gt;&lt;/p&gt;</t>
        </is>
      </c>
      <c r="O2727" t="inlineStr"/>
      <c r="P2727" t="inlineStr"/>
      <c r="Q2727" t="inlineStr">
        <is>
          <t>NGED</t>
        </is>
      </c>
      <c r="R2727" t="b">
        <v>0</v>
      </c>
    </row>
    <row r="2728">
      <c r="A2728" t="inlineStr">
        <is>
          <t>14 Jan 2026 / Philip Shaw / Utilities / NGED</t>
        </is>
      </c>
      <c r="B2728" t="inlineStr">
        <is>
          <t>Utilities</t>
        </is>
      </c>
      <c r="C2728" t="inlineStr">
        <is>
          <t>NGED</t>
        </is>
      </c>
      <c r="D2728" t="inlineStr">
        <is>
          <t>AF22TZO , Car - Electric , Tesla , Model 3 Long Range AWD</t>
        </is>
      </c>
      <c r="E2728" t="inlineStr">
        <is>
          <t>AF22TZO , Car - Electric , Tesla , Model 3 Long Range AWD</t>
        </is>
      </c>
      <c r="F2728" t="inlineStr">
        <is>
          <t>AF22TZO , Car - Electric , Tesla , Model 3 Long Range AWD</t>
        </is>
      </c>
      <c r="G2728" t="inlineStr">
        <is>
          <t xml:space="preserve">Phil shaw </t>
        </is>
      </c>
      <c r="H2728" t="inlineStr">
        <is>
          <t>Car - Electric (GC Owned)</t>
        </is>
      </c>
      <c r="I2728" t="inlineStr">
        <is>
          <t>Daily/ Weekly Vehicle Inspection</t>
        </is>
      </c>
      <c r="J2728" t="inlineStr">
        <is>
          <t>N/A</t>
        </is>
      </c>
      <c r="K2728" t="inlineStr">
        <is>
          <t>Philip Shaw</t>
        </is>
      </c>
      <c r="L2728" t="inlineStr">
        <is>
          <t>14/01/2026 16:43</t>
        </is>
      </c>
      <c r="M2728" t="inlineStr">
        <is>
          <t>None</t>
        </is>
      </c>
      <c r="N2728" t="inlineStr">
        <is>
          <t>&lt;p&gt;&lt;/p&gt;</t>
        </is>
      </c>
      <c r="O2728" t="inlineStr">
        <is>
          <t>Confirm that you have checked this vehicle as per the guidance document and the vehicle is safe and roadworthy:Will need new tyres soon
-</t>
        </is>
      </c>
      <c r="P2728" t="inlineStr">
        <is>
          <t>AF22TZO , Car - Electric , Tesla , Model 3 Long Range AWD</t>
        </is>
      </c>
      <c r="Q2728" t="inlineStr">
        <is>
          <t>NGED</t>
        </is>
      </c>
      <c r="R2728" t="b">
        <v>0</v>
      </c>
    </row>
    <row r="2729">
      <c r="A2729" t="inlineStr">
        <is>
          <t>14 Jan 2026 / Jodie Bowen / Utilities / UKPN</t>
        </is>
      </c>
      <c r="B2729" t="inlineStr">
        <is>
          <t>Utilities</t>
        </is>
      </c>
      <c r="C2729" t="inlineStr">
        <is>
          <t>UKPN</t>
        </is>
      </c>
      <c r="D2729" t="inlineStr">
        <is>
          <t>EK73UOL , Car - Electric , Kia , Niro</t>
        </is>
      </c>
      <c r="E2729" t="inlineStr">
        <is>
          <t>EK73UOL , Car - Electric , Kia , Niro</t>
        </is>
      </c>
      <c r="F2729" t="inlineStr">
        <is>
          <t>EK73UOL , Car - Electric , Kia , Niro</t>
        </is>
      </c>
      <c r="G2729" t="inlineStr">
        <is>
          <t>Jodie Bowen</t>
        </is>
      </c>
      <c r="H2729" t="inlineStr">
        <is>
          <t>Car - Electric (GC Owned)</t>
        </is>
      </c>
      <c r="I2729" t="inlineStr">
        <is>
          <t>Daily/ Weekly Vehicle Inspection</t>
        </is>
      </c>
      <c r="J2729" t="inlineStr">
        <is>
          <t>N/A</t>
        </is>
      </c>
      <c r="K2729" t="inlineStr">
        <is>
          <t>Jodie Bowen</t>
        </is>
      </c>
      <c r="L2729" t="inlineStr">
        <is>
          <t>14/01/2026 22:41</t>
        </is>
      </c>
      <c r="M2729" t="inlineStr">
        <is>
          <t>None</t>
        </is>
      </c>
      <c r="N2729" t="inlineStr">
        <is>
          <t>&lt;p&gt;&lt;/p&gt;</t>
        </is>
      </c>
      <c r="O2729" t="inlineStr"/>
      <c r="P2729" t="inlineStr">
        <is>
          <t>EK73UOL , Car - Electric , Kia , Niro</t>
        </is>
      </c>
      <c r="Q2729" t="inlineStr">
        <is>
          <t>UKPN</t>
        </is>
      </c>
      <c r="R2729" t="b">
        <v>0</v>
      </c>
    </row>
    <row r="2730">
      <c r="A2730" t="inlineStr">
        <is>
          <t>15 Jan 2026 / 7186 Eastwoodbury Tree Services Ltd / Utilities / UKPN</t>
        </is>
      </c>
      <c r="B2730" t="inlineStr">
        <is>
          <t>Utilities</t>
        </is>
      </c>
      <c r="C2730" t="inlineStr">
        <is>
          <t>UKPN</t>
        </is>
      </c>
      <c r="D2730" t="inlineStr">
        <is>
          <t>WF13 EKT , 4x4 , Land rover  , Defender</t>
        </is>
      </c>
      <c r="E2730" t="inlineStr">
        <is>
          <t>WF13 EKT , 4x4 , Land rover  , Defender</t>
        </is>
      </c>
      <c r="F2730" t="inlineStr">
        <is>
          <t>WF13 EKT , 4x4 , Land rover  , Defender</t>
        </is>
      </c>
      <c r="G2730" t="inlineStr">
        <is>
          <t xml:space="preserve">Dan Gilbert </t>
        </is>
      </c>
      <c r="H2730" t="inlineStr">
        <is>
          <t>4x4</t>
        </is>
      </c>
      <c r="I2730" t="inlineStr">
        <is>
          <t>Daily/ Weekly Vehicle Inspection</t>
        </is>
      </c>
      <c r="J2730" t="inlineStr">
        <is>
          <t>N/A</t>
        </is>
      </c>
      <c r="K2730" t="inlineStr">
        <is>
          <t>7186 Eastwoodbury Tree Services Ltd</t>
        </is>
      </c>
      <c r="L2730" t="inlineStr">
        <is>
          <t>15/01/2026 07:41</t>
        </is>
      </c>
      <c r="M2730" t="inlineStr">
        <is>
          <t>None</t>
        </is>
      </c>
      <c r="N2730" t="inlineStr">
        <is>
          <t>&lt;p&gt;&lt;/p&gt;</t>
        </is>
      </c>
      <c r="O2730" t="inlineStr"/>
      <c r="P2730" t="inlineStr">
        <is>
          <t>WF13 EKT , 4x4 , Land rover  , Defender</t>
        </is>
      </c>
      <c r="Q2730" t="inlineStr">
        <is>
          <t>UKPN</t>
        </is>
      </c>
      <c r="R2730" t="b">
        <v>0</v>
      </c>
    </row>
    <row r="2731">
      <c r="A2731" t="inlineStr">
        <is>
          <t>15 Jan 2026 / 7186 Eastwoodbury Tree Services Ltd / Utilities / UKPN</t>
        </is>
      </c>
      <c r="B2731" t="inlineStr">
        <is>
          <t>Utilities</t>
        </is>
      </c>
      <c r="C2731" t="inlineStr">
        <is>
          <t>UKPN</t>
        </is>
      </c>
      <c r="D2731" t="inlineStr">
        <is>
          <t>DE53NKS , 4x4 , Ford , Ranger</t>
        </is>
      </c>
      <c r="E2731" t="inlineStr">
        <is>
          <t>DE53NKS , 4x4 , Ford , Ranger</t>
        </is>
      </c>
      <c r="F2731" t="inlineStr">
        <is>
          <t>DE53NKS , 4x4 , Ford , Ranger</t>
        </is>
      </c>
      <c r="G2731" t="inlineStr">
        <is>
          <t xml:space="preserve">Jay Denkmayer </t>
        </is>
      </c>
      <c r="H2731" t="inlineStr">
        <is>
          <t>4x4</t>
        </is>
      </c>
      <c r="I2731" t="inlineStr">
        <is>
          <t>Daily/ Weekly Vehicle Inspection</t>
        </is>
      </c>
      <c r="J2731" t="inlineStr">
        <is>
          <t>N/A</t>
        </is>
      </c>
      <c r="K2731" t="inlineStr">
        <is>
          <t>7186 Eastwoodbury Tree Services Ltd</t>
        </is>
      </c>
      <c r="L2731" t="inlineStr">
        <is>
          <t>15/01/2026 07:42</t>
        </is>
      </c>
      <c r="M2731" t="inlineStr">
        <is>
          <t>None</t>
        </is>
      </c>
      <c r="N2731" t="inlineStr">
        <is>
          <t>&lt;p&gt;&lt;/p&gt;</t>
        </is>
      </c>
      <c r="O2731" t="inlineStr"/>
      <c r="P2731" t="inlineStr">
        <is>
          <t>DE53NKS , 4x4 , Ford , Ranger</t>
        </is>
      </c>
      <c r="Q2731" t="inlineStr">
        <is>
          <t>UKPN</t>
        </is>
      </c>
      <c r="R2731" t="b">
        <v>0</v>
      </c>
    </row>
    <row r="2732">
      <c r="A2732" t="inlineStr">
        <is>
          <t>15 Jan 2026 / 7186 Eastwoodbury Tree Services Ltd / Utilities / UKPN</t>
        </is>
      </c>
      <c r="B2732" t="inlineStr">
        <is>
          <t>Utilities</t>
        </is>
      </c>
      <c r="C2732" t="inlineStr">
        <is>
          <t>UKPN</t>
        </is>
      </c>
      <c r="D2732" t="inlineStr">
        <is>
          <t>FX14 XCV , 4x4 , Land Rover  , Defender</t>
        </is>
      </c>
      <c r="E2732" t="inlineStr">
        <is>
          <t>FX14 XCV , 4x4 , Land Rover  , Defender</t>
        </is>
      </c>
      <c r="F2732" t="inlineStr">
        <is>
          <t>FX14 XCV , 4x4 , Land Rover  , Defender</t>
        </is>
      </c>
      <c r="G2732" t="inlineStr">
        <is>
          <t xml:space="preserve">Tom Price </t>
        </is>
      </c>
      <c r="H2732" t="inlineStr">
        <is>
          <t>4x4</t>
        </is>
      </c>
      <c r="I2732" t="inlineStr">
        <is>
          <t>Daily/ Weekly Vehicle Inspection</t>
        </is>
      </c>
      <c r="J2732" t="inlineStr">
        <is>
          <t>N/A</t>
        </is>
      </c>
      <c r="K2732" t="inlineStr">
        <is>
          <t>7186 Eastwoodbury Tree Services Ltd</t>
        </is>
      </c>
      <c r="L2732" t="inlineStr">
        <is>
          <t>15/01/2026 07:42</t>
        </is>
      </c>
      <c r="M2732" t="inlineStr">
        <is>
          <t>None</t>
        </is>
      </c>
      <c r="N2732" t="inlineStr">
        <is>
          <t>&lt;p&gt;&lt;/p&gt;</t>
        </is>
      </c>
      <c r="O2732" t="inlineStr"/>
      <c r="P2732" t="inlineStr">
        <is>
          <t>FX14 XCV , 4x4 , Land Rover  , Defender</t>
        </is>
      </c>
      <c r="Q2732" t="inlineStr">
        <is>
          <t>UKPN</t>
        </is>
      </c>
      <c r="R2732" t="b">
        <v>0</v>
      </c>
    </row>
    <row r="2733">
      <c r="A2733" t="inlineStr">
        <is>
          <t>15 Jan 2026 / 7951 Austin Tree Care LTD / Utilities / UKPN</t>
        </is>
      </c>
      <c r="B2733" t="inlineStr">
        <is>
          <t>Utilities</t>
        </is>
      </c>
      <c r="C2733" t="inlineStr">
        <is>
          <t>UKPN</t>
        </is>
      </c>
      <c r="D2733" t="inlineStr">
        <is>
          <t>WG64HTT , 4x4 , Land Rover , Defender 110</t>
        </is>
      </c>
      <c r="E2733" t="inlineStr">
        <is>
          <t>WG64HTT , 4x4 , Land Rover , Defender 110</t>
        </is>
      </c>
      <c r="F2733" t="inlineStr">
        <is>
          <t>WG64HTT , 4x4 , Land Rover , Defender 110</t>
        </is>
      </c>
      <c r="G2733" t="inlineStr">
        <is>
          <t xml:space="preserve">Jack Austin </t>
        </is>
      </c>
      <c r="H2733" t="inlineStr">
        <is>
          <t>4x4</t>
        </is>
      </c>
      <c r="I2733" t="inlineStr">
        <is>
          <t>Daily/ Weekly Vehicle Inspection</t>
        </is>
      </c>
      <c r="J2733" t="inlineStr">
        <is>
          <t>N/A</t>
        </is>
      </c>
      <c r="K2733" t="inlineStr">
        <is>
          <t>7951 Austin Tree Care LTD</t>
        </is>
      </c>
      <c r="L2733" t="inlineStr">
        <is>
          <t>15/01/2026 07:43</t>
        </is>
      </c>
      <c r="M2733" t="inlineStr">
        <is>
          <t>None</t>
        </is>
      </c>
      <c r="N2733" t="inlineStr">
        <is>
          <t>&lt;p&gt;&lt;/p&gt;</t>
        </is>
      </c>
      <c r="O2733" t="inlineStr"/>
      <c r="P2733" t="inlineStr">
        <is>
          <t>WG64HTT , 4x4 , Land Rover , Defender 110</t>
        </is>
      </c>
      <c r="Q2733" t="inlineStr">
        <is>
          <t>UKPN</t>
        </is>
      </c>
      <c r="R2733" t="b">
        <v>0</v>
      </c>
    </row>
    <row r="2734">
      <c r="A2734" t="inlineStr">
        <is>
          <t>15 Jan 2026 / 7951 Austin Tree Care LTD / Utilities / UKPN</t>
        </is>
      </c>
      <c r="B2734" t="inlineStr">
        <is>
          <t>Utilities</t>
        </is>
      </c>
      <c r="C2734" t="inlineStr">
        <is>
          <t>UKPN</t>
        </is>
      </c>
      <c r="D2734" t="inlineStr">
        <is>
          <t>SA9ST6P0001283612 , Tow Chipper , Forst , ST6p</t>
        </is>
      </c>
      <c r="E2734" t="inlineStr">
        <is>
          <t>SA9ST6P0001283612 , Tow Chipper , Forst , ST6p</t>
        </is>
      </c>
      <c r="F2734" t="inlineStr">
        <is>
          <t>SA9ST6P0001283612 , Tow Chipper , Forst , ST6p</t>
        </is>
      </c>
      <c r="G2734" t="inlineStr">
        <is>
          <t xml:space="preserve">Jack Austin </t>
        </is>
      </c>
      <c r="H2734" t="inlineStr">
        <is>
          <t>Towed Chipper</t>
        </is>
      </c>
      <c r="I2734" t="inlineStr">
        <is>
          <t>Daily/ Weekly Vehicle Inspection</t>
        </is>
      </c>
      <c r="J2734" t="inlineStr">
        <is>
          <t>N/A</t>
        </is>
      </c>
      <c r="K2734" t="inlineStr">
        <is>
          <t>7951 Austin Tree Care LTD</t>
        </is>
      </c>
      <c r="L2734" t="inlineStr">
        <is>
          <t>15/01/2026 07:43</t>
        </is>
      </c>
      <c r="M2734" t="inlineStr">
        <is>
          <t>None</t>
        </is>
      </c>
      <c r="N2734" t="inlineStr">
        <is>
          <t>&lt;p&gt;&lt;/p&gt;</t>
        </is>
      </c>
      <c r="O2734" t="inlineStr"/>
      <c r="P2734" t="inlineStr">
        <is>
          <t>SA9ST6P0001283612 , Tow Chipper , Forst , ST6p</t>
        </is>
      </c>
      <c r="Q2734" t="inlineStr">
        <is>
          <t>UKPN</t>
        </is>
      </c>
      <c r="R2734" t="b">
        <v>0</v>
      </c>
    </row>
    <row r="2735">
      <c r="A2735" t="inlineStr">
        <is>
          <t>15 Jan 2026 / Thomas Playford / Utilities / UKPN</t>
        </is>
      </c>
      <c r="B2735" t="inlineStr">
        <is>
          <t>Utilities</t>
        </is>
      </c>
      <c r="C2735" t="inlineStr">
        <is>
          <t>UKPN</t>
        </is>
      </c>
      <c r="D2735" t="inlineStr">
        <is>
          <t>SA9ST800000283944 , Tow Chipper , Forst , ST8D - Towed</t>
        </is>
      </c>
      <c r="E2735" t="inlineStr">
        <is>
          <t>SA9ST800000283944 , Tow Chipper , Forst , ST8D - Towed</t>
        </is>
      </c>
      <c r="F2735" t="inlineStr">
        <is>
          <t>SA9ST800000283944 , Tow Chipper , Forst , ST8D - Towed</t>
        </is>
      </c>
      <c r="G2735" t="inlineStr">
        <is>
          <t>Thomas Playford</t>
        </is>
      </c>
      <c r="H2735" t="inlineStr">
        <is>
          <t>Towed Chipper</t>
        </is>
      </c>
      <c r="I2735" t="inlineStr">
        <is>
          <t>Daily/ Weekly Vehicle Inspection</t>
        </is>
      </c>
      <c r="J2735" t="inlineStr">
        <is>
          <t>N/A</t>
        </is>
      </c>
      <c r="K2735" t="inlineStr">
        <is>
          <t>7995 Green Net Eco Ltd 2</t>
        </is>
      </c>
      <c r="L2735" t="inlineStr">
        <is>
          <t>15/01/2026 07:44</t>
        </is>
      </c>
      <c r="M2735" t="inlineStr">
        <is>
          <t>None</t>
        </is>
      </c>
      <c r="N2735" t="inlineStr">
        <is>
          <t>&lt;p&gt;&lt;/p&gt;</t>
        </is>
      </c>
      <c r="O2735" t="inlineStr"/>
      <c r="P2735" t="inlineStr">
        <is>
          <t>SA9ST800000283944 , Tow Chipper , Forst , ST8D - Towed</t>
        </is>
      </c>
      <c r="Q2735" t="inlineStr">
        <is>
          <t>UKPN</t>
        </is>
      </c>
      <c r="R2735" t="b">
        <v>0</v>
      </c>
    </row>
    <row r="2736">
      <c r="A2736" t="inlineStr">
        <is>
          <t>15 Jan 2026 / Thomas Playford / Utilities / UKPN</t>
        </is>
      </c>
      <c r="B2736" t="inlineStr">
        <is>
          <t>Utilities</t>
        </is>
      </c>
      <c r="C2736" t="inlineStr">
        <is>
          <t>UKPN</t>
        </is>
      </c>
      <c r="D2736" t="inlineStr">
        <is>
          <t>LK15KRZ , 4x4 , Landrover , Defender</t>
        </is>
      </c>
      <c r="E2736" t="inlineStr">
        <is>
          <t>LK15KRZ , 4x4 , Landrover , Defender</t>
        </is>
      </c>
      <c r="F2736" t="inlineStr">
        <is>
          <t>LK15KRZ , 4x4 , Landrover , Defender</t>
        </is>
      </c>
      <c r="G2736" t="inlineStr">
        <is>
          <t xml:space="preserve">Thomas Playford </t>
        </is>
      </c>
      <c r="H2736" t="inlineStr">
        <is>
          <t>4x4</t>
        </is>
      </c>
      <c r="I2736" t="inlineStr">
        <is>
          <t>Daily/ Weekly Vehicle Inspection</t>
        </is>
      </c>
      <c r="J2736" t="inlineStr">
        <is>
          <t>N/A</t>
        </is>
      </c>
      <c r="K2736" t="inlineStr">
        <is>
          <t>7995 Green Net Eco Ltd 2</t>
        </is>
      </c>
      <c r="L2736" t="inlineStr">
        <is>
          <t>15/01/2026 07:45</t>
        </is>
      </c>
      <c r="M2736" t="inlineStr">
        <is>
          <t>None</t>
        </is>
      </c>
      <c r="N2736" t="inlineStr">
        <is>
          <t>&lt;p&gt;&lt;/p&gt;</t>
        </is>
      </c>
      <c r="O2736" t="inlineStr"/>
      <c r="P2736" t="inlineStr">
        <is>
          <t>LK15KRZ , 4x4 , Landrover , Defender</t>
        </is>
      </c>
      <c r="Q2736" t="inlineStr">
        <is>
          <t>UKPN</t>
        </is>
      </c>
      <c r="R2736" t="b">
        <v>0</v>
      </c>
    </row>
    <row r="2737">
      <c r="A2737" t="inlineStr">
        <is>
          <t>15 Jan 2026 / Anthony Gale / Utilities / UKPN</t>
        </is>
      </c>
      <c r="B2737" t="inlineStr">
        <is>
          <t>Utilities</t>
        </is>
      </c>
      <c r="C2737" t="inlineStr">
        <is>
          <t>UKPN</t>
        </is>
      </c>
      <c r="D2737" t="inlineStr">
        <is>
          <t>KX20 BCE , Tipper , Isuzu , D-Max</t>
        </is>
      </c>
      <c r="E2737" t="inlineStr">
        <is>
          <t>KX20 BCE , Tipper , Isuzu , D-Max</t>
        </is>
      </c>
      <c r="F2737" t="inlineStr">
        <is>
          <t>KX20 BCE , Tipper , Isuzu , D-Max</t>
        </is>
      </c>
      <c r="G2737" t="inlineStr">
        <is>
          <t>Anthony Gale</t>
        </is>
      </c>
      <c r="H2737" t="inlineStr">
        <is>
          <t>Pickup Truck</t>
        </is>
      </c>
      <c r="I2737" t="inlineStr">
        <is>
          <t>Daily/ Weekly Vehicle Inspection</t>
        </is>
      </c>
      <c r="J2737" t="inlineStr">
        <is>
          <t>N/A</t>
        </is>
      </c>
      <c r="K2737" t="inlineStr">
        <is>
          <t>7996 M G Tree Surgery Ltd 1</t>
        </is>
      </c>
      <c r="L2737" t="inlineStr">
        <is>
          <t>15/01/2026 07:47</t>
        </is>
      </c>
      <c r="M2737" t="inlineStr">
        <is>
          <t>None</t>
        </is>
      </c>
      <c r="N2737" t="inlineStr">
        <is>
          <t>&lt;p&gt;&lt;/p&gt;</t>
        </is>
      </c>
      <c r="O2737" t="inlineStr">
        <is>
          <t>Confirm that you have checked this vehicle as per the guidance document and the vehicle is safe and roadworthy:Light board deteriorating.
Safe for now.
Needs replacing soon.
-</t>
        </is>
      </c>
      <c r="P2737" t="inlineStr">
        <is>
          <t>KX20 BCE , Tipper , Isuzu , D-Max</t>
        </is>
      </c>
      <c r="Q2737" t="inlineStr">
        <is>
          <t>UKPN</t>
        </is>
      </c>
      <c r="R2737" t="b">
        <v>0</v>
      </c>
    </row>
    <row r="2738">
      <c r="A2738" t="inlineStr">
        <is>
          <t>15 Jan 2026 / Anthony Gale / Utilities / UKPN</t>
        </is>
      </c>
      <c r="B2738" t="inlineStr">
        <is>
          <t>Utilities</t>
        </is>
      </c>
      <c r="C2738" t="inlineStr">
        <is>
          <t>UKPN</t>
        </is>
      </c>
      <c r="D2738" t="inlineStr"/>
      <c r="E2738" t="inlineStr"/>
      <c r="F2738" t="inlineStr"/>
      <c r="G2738" t="inlineStr">
        <is>
          <t>Anthony Gale</t>
        </is>
      </c>
      <c r="H2738" t="inlineStr">
        <is>
          <t>Towed Chipper</t>
        </is>
      </c>
      <c r="I2738" t="inlineStr">
        <is>
          <t>Daily/ Weekly Vehicle Inspection</t>
        </is>
      </c>
      <c r="J2738" t="inlineStr">
        <is>
          <t>N/A</t>
        </is>
      </c>
      <c r="K2738" t="inlineStr">
        <is>
          <t>7996 M G Tree Surgery Ltd 1</t>
        </is>
      </c>
      <c r="L2738" t="inlineStr">
        <is>
          <t>15/01/2026 07:47</t>
        </is>
      </c>
      <c r="M2738" t="inlineStr">
        <is>
          <t>None</t>
        </is>
      </c>
      <c r="N2738" t="inlineStr">
        <is>
          <t>&lt;p&gt;&lt;/p&gt;</t>
        </is>
      </c>
      <c r="O2738" t="inlineStr"/>
      <c r="P2738" t="inlineStr"/>
      <c r="Q2738" t="inlineStr">
        <is>
          <t>UKPN</t>
        </is>
      </c>
      <c r="R2738" t="b">
        <v>0</v>
      </c>
    </row>
    <row r="2739">
      <c r="A2739" t="inlineStr">
        <is>
          <t>15 Jan 2026 / 7806 Optimum Tree Services Ltd / Utilities / UKPN</t>
        </is>
      </c>
      <c r="B2739" t="inlineStr">
        <is>
          <t>Utilities</t>
        </is>
      </c>
      <c r="C2739" t="inlineStr">
        <is>
          <t>UKPN</t>
        </is>
      </c>
      <c r="D2739" t="inlineStr">
        <is>
          <t>Wd14evn , 4x4 , Landrover  , Defender</t>
        </is>
      </c>
      <c r="E2739" t="inlineStr">
        <is>
          <t>Wd14evn , 4x4 , Landrover  , Defender</t>
        </is>
      </c>
      <c r="F2739" t="inlineStr">
        <is>
          <t>Wd14evn , 4x4 , Landrover  , Defender</t>
        </is>
      </c>
      <c r="G2739" t="inlineStr">
        <is>
          <t xml:space="preserve">Lewis Davies </t>
        </is>
      </c>
      <c r="H2739" t="inlineStr">
        <is>
          <t>4x4</t>
        </is>
      </c>
      <c r="I2739" t="inlineStr">
        <is>
          <t>Daily/ Weekly Vehicle Inspection</t>
        </is>
      </c>
      <c r="J2739" t="inlineStr">
        <is>
          <t>N/A</t>
        </is>
      </c>
      <c r="K2739" t="inlineStr">
        <is>
          <t>7806 Optimum Tree Services Ltd</t>
        </is>
      </c>
      <c r="L2739" t="inlineStr">
        <is>
          <t>15/01/2026 08:42</t>
        </is>
      </c>
      <c r="M2739" t="inlineStr">
        <is>
          <t>None</t>
        </is>
      </c>
      <c r="N2739" t="inlineStr">
        <is>
          <t>&lt;p&gt;&lt;/p&gt;</t>
        </is>
      </c>
      <c r="O2739" t="inlineStr"/>
      <c r="P2739" t="inlineStr">
        <is>
          <t>Wd14evn , 4x4 , Landrover  , Defender</t>
        </is>
      </c>
      <c r="Q2739" t="inlineStr">
        <is>
          <t>UKPN</t>
        </is>
      </c>
      <c r="R2739" t="b">
        <v>0</v>
      </c>
    </row>
    <row r="2740">
      <c r="A2740" t="inlineStr">
        <is>
          <t>14 Jan 2026 / Richard Moses / Utilities / NGED</t>
        </is>
      </c>
      <c r="B2740" t="inlineStr">
        <is>
          <t>Utilities</t>
        </is>
      </c>
      <c r="C2740" t="inlineStr">
        <is>
          <t>NGED</t>
        </is>
      </c>
      <c r="D2740" t="inlineStr">
        <is>
          <t>AK23YLM , Car - Electric , Tesla , Model Y Long Range</t>
        </is>
      </c>
      <c r="E2740" t="inlineStr">
        <is>
          <t>AK23YLM , Car - Electric , Tesla , Model Y Long Range</t>
        </is>
      </c>
      <c r="F2740" t="inlineStr">
        <is>
          <t>AK23YLM , Car - Electric , Tesla , Model Y Long Range</t>
        </is>
      </c>
      <c r="G2740" t="inlineStr">
        <is>
          <t>Moses</t>
        </is>
      </c>
      <c r="H2740" t="inlineStr">
        <is>
          <t>Car - Electric (GC Owned)</t>
        </is>
      </c>
      <c r="I2740" t="inlineStr">
        <is>
          <t>Daily/ Weekly Vehicle Inspection</t>
        </is>
      </c>
      <c r="J2740" t="inlineStr">
        <is>
          <t>N/A</t>
        </is>
      </c>
      <c r="K2740" t="inlineStr">
        <is>
          <t>Richard Moses</t>
        </is>
      </c>
      <c r="L2740" t="inlineStr">
        <is>
          <t>15/01/2026 08:43</t>
        </is>
      </c>
      <c r="M2740" t="inlineStr">
        <is>
          <t>None</t>
        </is>
      </c>
      <c r="N2740" t="inlineStr">
        <is>
          <t>&lt;p&gt;&lt;/p&gt;</t>
        </is>
      </c>
      <c r="O2740" t="inlineStr">
        <is>
          <t>Confirm that you have checked this vehicle as per the guidance document and the vehicle is safe and roadworthy:Tyres changed on rear 73600 est. excessive wear on inside that wasn’t visible.
-</t>
        </is>
      </c>
      <c r="P2740" t="inlineStr">
        <is>
          <t>AK23YLM , Car - Electric , Tesla , Model Y Long Range</t>
        </is>
      </c>
      <c r="Q2740" t="inlineStr">
        <is>
          <t>NGED</t>
        </is>
      </c>
      <c r="R2740" t="b">
        <v>0</v>
      </c>
    </row>
    <row r="2741">
      <c r="A2741" t="inlineStr">
        <is>
          <t>15 Jan 2026 / 7806 Optimum Tree Services Ltd / Utilities / UKPN</t>
        </is>
      </c>
      <c r="B2741" t="inlineStr">
        <is>
          <t>Utilities</t>
        </is>
      </c>
      <c r="C2741" t="inlineStr">
        <is>
          <t>UKPN</t>
        </is>
      </c>
      <c r="D2741" t="inlineStr">
        <is>
          <t>WD14EVB , MEWP , Land Rover , Defender</t>
        </is>
      </c>
      <c r="E2741" t="inlineStr">
        <is>
          <t>WD14EVB , MEWP , Land Rover , Defender</t>
        </is>
      </c>
      <c r="F2741" t="inlineStr">
        <is>
          <t>WD14EVB , MEWP , Land Rover , Defender</t>
        </is>
      </c>
      <c r="G2741" t="inlineStr">
        <is>
          <t xml:space="preserve">Abraham Davies </t>
        </is>
      </c>
      <c r="H2741" t="inlineStr">
        <is>
          <t>4x4</t>
        </is>
      </c>
      <c r="I2741" t="inlineStr">
        <is>
          <t>Daily/ Weekly Vehicle Inspection</t>
        </is>
      </c>
      <c r="J2741" t="inlineStr">
        <is>
          <t>N/A</t>
        </is>
      </c>
      <c r="K2741" t="inlineStr">
        <is>
          <t>7806 Optimum Tree Services Ltd</t>
        </is>
      </c>
      <c r="L2741" t="inlineStr">
        <is>
          <t>15/01/2026 08:43</t>
        </is>
      </c>
      <c r="M2741" t="inlineStr">
        <is>
          <t>None</t>
        </is>
      </c>
      <c r="N2741" t="inlineStr">
        <is>
          <t>&lt;p&gt;&lt;/p&gt;</t>
        </is>
      </c>
      <c r="O2741" t="inlineStr"/>
      <c r="P2741" t="inlineStr">
        <is>
          <t>WD14EVB , MEWP , Land Rover , Defender</t>
        </is>
      </c>
      <c r="Q2741" t="inlineStr">
        <is>
          <t>UKPN</t>
        </is>
      </c>
      <c r="R2741" t="b">
        <v>0</v>
      </c>
    </row>
    <row r="2742">
      <c r="A2742" t="inlineStr">
        <is>
          <t>15 Jan 2026 / 7996 M G Tree Surgery Ltd / Utilities / UKPN</t>
        </is>
      </c>
      <c r="B2742" t="inlineStr">
        <is>
          <t>Utilities</t>
        </is>
      </c>
      <c r="C2742" t="inlineStr">
        <is>
          <t>UKPN</t>
        </is>
      </c>
      <c r="D2742" t="inlineStr">
        <is>
          <t>GU13 WNL , MEWP , Land Rover , Defender 130</t>
        </is>
      </c>
      <c r="E2742" t="inlineStr">
        <is>
          <t>GU13 WNL , MEWP , Land Rover , Defender 130</t>
        </is>
      </c>
      <c r="F2742" t="inlineStr">
        <is>
          <t>GU13 WNL , MEWP , Land Rover , Defender 130</t>
        </is>
      </c>
      <c r="G2742" t="inlineStr">
        <is>
          <t>Max</t>
        </is>
      </c>
      <c r="H2742" t="inlineStr">
        <is>
          <t>4x4</t>
        </is>
      </c>
      <c r="I2742" t="inlineStr">
        <is>
          <t>Daily/ Weekly Vehicle Inspection</t>
        </is>
      </c>
      <c r="J2742" t="inlineStr">
        <is>
          <t>N/A</t>
        </is>
      </c>
      <c r="K2742" t="inlineStr">
        <is>
          <t>7996 M G Tree Surgery Ltd</t>
        </is>
      </c>
      <c r="L2742" t="inlineStr">
        <is>
          <t>15/01/2026 08:44</t>
        </is>
      </c>
      <c r="M2742" t="inlineStr">
        <is>
          <t>None</t>
        </is>
      </c>
      <c r="N2742" t="inlineStr">
        <is>
          <t>&lt;p&gt;&lt;/p&gt;</t>
        </is>
      </c>
      <c r="O2742" t="inlineStr"/>
      <c r="P2742" t="inlineStr">
        <is>
          <t>GU13 WNL , MEWP , Land Rover , Defender 130</t>
        </is>
      </c>
      <c r="Q2742" t="inlineStr">
        <is>
          <t>UKPN</t>
        </is>
      </c>
      <c r="R2742" t="b">
        <v>0</v>
      </c>
    </row>
    <row r="2743">
      <c r="A2743" t="inlineStr">
        <is>
          <t>15 Jan 2026 / 7800 MAC Tree Surgery and Fencing Ltd / Utilities / UKPN</t>
        </is>
      </c>
      <c r="B2743" t="inlineStr">
        <is>
          <t>Utilities</t>
        </is>
      </c>
      <c r="C2743" t="inlineStr">
        <is>
          <t>UKPN</t>
        </is>
      </c>
      <c r="D2743" t="inlineStr">
        <is>
          <t>Plant Trailer - Towmate - 2.8t - 0</t>
        </is>
      </c>
      <c r="E2743" t="inlineStr">
        <is>
          <t>Plant Trailer - Towmate - 2.8t - 0</t>
        </is>
      </c>
      <c r="F2743" t="inlineStr">
        <is>
          <t>Plant Trailer - Towmate - 2.8t - 0</t>
        </is>
      </c>
      <c r="G2743" t="inlineStr">
        <is>
          <t>Lewis mac</t>
        </is>
      </c>
      <c r="H2743" t="inlineStr">
        <is>
          <t>Plant Trailer</t>
        </is>
      </c>
      <c r="I2743" t="inlineStr">
        <is>
          <t>Daily/ Weekly Vehicle Inspection</t>
        </is>
      </c>
      <c r="J2743" t="inlineStr">
        <is>
          <t>N/A</t>
        </is>
      </c>
      <c r="K2743" t="inlineStr">
        <is>
          <t>7800 MAC Tree Surgery and Fencing Ltd</t>
        </is>
      </c>
      <c r="L2743" t="inlineStr">
        <is>
          <t>15/01/2026 08:44</t>
        </is>
      </c>
      <c r="M2743" t="inlineStr">
        <is>
          <t>None</t>
        </is>
      </c>
      <c r="N2743" t="inlineStr">
        <is>
          <t>&lt;p&gt;&lt;/p&gt;</t>
        </is>
      </c>
      <c r="O2743" t="inlineStr"/>
      <c r="P2743" t="inlineStr">
        <is>
          <t>Plant Trailer - Towmate - 2.8t - 0</t>
        </is>
      </c>
      <c r="Q2743" t="inlineStr">
        <is>
          <t>UKPN</t>
        </is>
      </c>
      <c r="R2743" t="b">
        <v>0</v>
      </c>
    </row>
    <row r="2744">
      <c r="A2744" t="inlineStr">
        <is>
          <t>15 Jan 2026 / 7800 MAC Tree Surgery and Fencing Ltd / Utilities / UKPN</t>
        </is>
      </c>
      <c r="B2744" t="inlineStr">
        <is>
          <t>Utilities</t>
        </is>
      </c>
      <c r="C2744" t="inlineStr">
        <is>
          <t>UKPN</t>
        </is>
      </c>
      <c r="D2744" t="inlineStr">
        <is>
          <t>AY68DAA , 4x4 , Izuzu , Dmax</t>
        </is>
      </c>
      <c r="E2744" t="inlineStr">
        <is>
          <t>AY68DAA , 4x4 , Izuzu , Dmax</t>
        </is>
      </c>
      <c r="F2744" t="inlineStr">
        <is>
          <t>AY68DAA , 4x4 , Izuzu , Dmax</t>
        </is>
      </c>
      <c r="G2744" t="inlineStr">
        <is>
          <t xml:space="preserve">Patrick O'Shea </t>
        </is>
      </c>
      <c r="H2744" t="inlineStr">
        <is>
          <t>4x4</t>
        </is>
      </c>
      <c r="I2744" t="inlineStr">
        <is>
          <t>Daily/ Weekly Vehicle Inspection</t>
        </is>
      </c>
      <c r="J2744" t="inlineStr">
        <is>
          <t>N/A</t>
        </is>
      </c>
      <c r="K2744" t="inlineStr">
        <is>
          <t>7800 MAC Tree Surgery and Fencing Ltd</t>
        </is>
      </c>
      <c r="L2744" t="inlineStr">
        <is>
          <t>15/01/2026 08:45</t>
        </is>
      </c>
      <c r="M2744" t="inlineStr">
        <is>
          <t>None</t>
        </is>
      </c>
      <c r="N2744" t="inlineStr">
        <is>
          <t>&lt;p&gt;&lt;/p&gt;</t>
        </is>
      </c>
      <c r="O2744" t="inlineStr"/>
      <c r="P2744" t="inlineStr">
        <is>
          <t>AY68DAA , 4x4 , Izuzu , Dmax</t>
        </is>
      </c>
      <c r="Q2744" t="inlineStr">
        <is>
          <t>UKPN</t>
        </is>
      </c>
      <c r="R2744" t="b">
        <v>0</v>
      </c>
    </row>
    <row r="2745">
      <c r="A2745" t="inlineStr">
        <is>
          <t>15 Jan 2026 / 7806 Optimum Tree Services Ltd / Utilities / UKPN</t>
        </is>
      </c>
      <c r="B2745" t="inlineStr">
        <is>
          <t>Utilities</t>
        </is>
      </c>
      <c r="C2745" t="inlineStr">
        <is>
          <t>UKPN</t>
        </is>
      </c>
      <c r="D2745" t="inlineStr">
        <is>
          <t>SA9ST800000283069 , Chipper , Forst , ST 6P</t>
        </is>
      </c>
      <c r="E2745" t="inlineStr">
        <is>
          <t>SA9ST800000283069 , Chipper , Forst , ST 6P</t>
        </is>
      </c>
      <c r="F2745" t="inlineStr">
        <is>
          <t>SA9ST800000283069 , Chipper , Forst , ST 6P</t>
        </is>
      </c>
      <c r="G2745" t="inlineStr">
        <is>
          <t xml:space="preserve">Abraham Davies </t>
        </is>
      </c>
      <c r="H2745" t="inlineStr">
        <is>
          <t>4x4</t>
        </is>
      </c>
      <c r="I2745" t="inlineStr">
        <is>
          <t>Daily/ Weekly Vehicle Inspection</t>
        </is>
      </c>
      <c r="J2745" t="inlineStr">
        <is>
          <t>N/A</t>
        </is>
      </c>
      <c r="K2745" t="inlineStr">
        <is>
          <t>7806 Optimum Tree Services Ltd</t>
        </is>
      </c>
      <c r="L2745" t="inlineStr">
        <is>
          <t>15/01/2026 08:46</t>
        </is>
      </c>
      <c r="M2745" t="inlineStr">
        <is>
          <t>None</t>
        </is>
      </c>
      <c r="N2745" t="inlineStr">
        <is>
          <t>&lt;p&gt;&lt;/p&gt;</t>
        </is>
      </c>
      <c r="O2745" t="inlineStr"/>
      <c r="P2745" t="inlineStr">
        <is>
          <t>SA9ST800000283069 , Chipper , Forst , ST 6P</t>
        </is>
      </c>
      <c r="Q2745" t="inlineStr">
        <is>
          <t>UKPN</t>
        </is>
      </c>
      <c r="R2745" t="b">
        <v>0</v>
      </c>
    </row>
    <row r="2746">
      <c r="A2746" t="inlineStr">
        <is>
          <t>14 Jan 2026 / Richard Moses / Utilities / NGED</t>
        </is>
      </c>
      <c r="B2746" t="inlineStr">
        <is>
          <t>Utilities</t>
        </is>
      </c>
      <c r="C2746" t="inlineStr">
        <is>
          <t>NGED</t>
        </is>
      </c>
      <c r="D2746" t="inlineStr">
        <is>
          <t>AK23YLM , Car - Electric , Tesla , Model Y Long Range</t>
        </is>
      </c>
      <c r="E2746" t="inlineStr">
        <is>
          <t>AK23YLM , Car - Electric , Tesla , Model Y Long Range</t>
        </is>
      </c>
      <c r="F2746" t="inlineStr">
        <is>
          <t>AK23YLM , Car - Electric , Tesla , Model Y Long Range</t>
        </is>
      </c>
      <c r="G2746" t="inlineStr">
        <is>
          <t>Moses</t>
        </is>
      </c>
      <c r="H2746" t="inlineStr">
        <is>
          <t>Car - Electric (GC Owned)</t>
        </is>
      </c>
      <c r="I2746" t="inlineStr">
        <is>
          <t>Daily/ Weekly Vehicle Inspection</t>
        </is>
      </c>
      <c r="J2746" t="inlineStr">
        <is>
          <t>N/A</t>
        </is>
      </c>
      <c r="K2746" t="inlineStr">
        <is>
          <t>Richard Moses</t>
        </is>
      </c>
      <c r="L2746" t="inlineStr">
        <is>
          <t>15/01/2026 09:41</t>
        </is>
      </c>
      <c r="M2746" t="inlineStr">
        <is>
          <t>None</t>
        </is>
      </c>
      <c r="N2746" t="inlineStr">
        <is>
          <t>&lt;p&gt;&lt;/p&gt;</t>
        </is>
      </c>
      <c r="O2746" t="inlineStr">
        <is>
          <t>Confirm that you have checked this vehicle as per the guidance document and the vehicle is safe and roadworthy:Tyres changed on rear 73600 est. excessive wear on inside that wasn’t visible.
-</t>
        </is>
      </c>
      <c r="P2746" t="inlineStr">
        <is>
          <t>AK23YLM , Car - Electric , Tesla , Model Y Long Range</t>
        </is>
      </c>
      <c r="Q2746" t="inlineStr">
        <is>
          <t>NGED</t>
        </is>
      </c>
      <c r="R2746" t="b">
        <v>0</v>
      </c>
    </row>
    <row r="2747">
      <c r="A2747" t="inlineStr">
        <is>
          <t>15 Jan 2026 / Mathew Dunn / Utilities / SSE</t>
        </is>
      </c>
      <c r="B2747" t="inlineStr">
        <is>
          <t>Utilities</t>
        </is>
      </c>
      <c r="C2747" t="inlineStr">
        <is>
          <t>SSE</t>
        </is>
      </c>
      <c r="D2747" t="inlineStr">
        <is>
          <t>GN70XAU , Car - Electric , Tesla , Model 3 Long Range AWD</t>
        </is>
      </c>
      <c r="E2747" t="inlineStr">
        <is>
          <t>GN70XAU , Car - Electric , Tesla , Model 3 Long Range AWD</t>
        </is>
      </c>
      <c r="F2747" t="inlineStr">
        <is>
          <t>GN70XAU , Car - Electric , Tesla , Model 3 Long Range AWD</t>
        </is>
      </c>
      <c r="G2747" t="inlineStr">
        <is>
          <t>Mathew dunn</t>
        </is>
      </c>
      <c r="H2747" t="inlineStr"/>
      <c r="I2747" t="inlineStr">
        <is>
          <t>Daily/ Weekly Vehicle Inspection</t>
        </is>
      </c>
      <c r="J2747" t="inlineStr">
        <is>
          <t>N/A</t>
        </is>
      </c>
      <c r="K2747" t="inlineStr">
        <is>
          <t>Mathew Dunn</t>
        </is>
      </c>
      <c r="L2747" t="inlineStr">
        <is>
          <t>15/01/2026 09:42</t>
        </is>
      </c>
      <c r="M2747" t="inlineStr">
        <is>
          <t>None</t>
        </is>
      </c>
      <c r="N2747" t="inlineStr">
        <is>
          <t>&lt;p&gt;&lt;/p&gt;</t>
        </is>
      </c>
      <c r="O2747" t="inlineStr"/>
      <c r="P2747" t="inlineStr">
        <is>
          <t>GN70XAU , Car - Electric , Tesla , Model 3 Long Range AWD</t>
        </is>
      </c>
      <c r="Q2747" t="inlineStr">
        <is>
          <t>SSE</t>
        </is>
      </c>
      <c r="R2747" t="b">
        <v>0</v>
      </c>
    </row>
    <row r="2748">
      <c r="A2748" t="inlineStr">
        <is>
          <t>15 Jan 2026 / Benet Jones / Utilities / NGED</t>
        </is>
      </c>
      <c r="B2748" t="inlineStr">
        <is>
          <t>Utilities</t>
        </is>
      </c>
      <c r="C2748" t="inlineStr">
        <is>
          <t>NGED</t>
        </is>
      </c>
      <c r="D2748" t="inlineStr"/>
      <c r="E2748" t="inlineStr"/>
      <c r="F2748" t="inlineStr"/>
      <c r="G2748" t="inlineStr">
        <is>
          <t xml:space="preserve">Benet Jones </t>
        </is>
      </c>
      <c r="H2748" t="inlineStr">
        <is>
          <t>Car - Petrol</t>
        </is>
      </c>
      <c r="I2748" t="inlineStr">
        <is>
          <t>Daily/ Weekly Vehicle Inspection</t>
        </is>
      </c>
      <c r="J2748" t="inlineStr">
        <is>
          <t>N/A</t>
        </is>
      </c>
      <c r="K2748" t="inlineStr">
        <is>
          <t>Benet Jones</t>
        </is>
      </c>
      <c r="L2748" t="inlineStr">
        <is>
          <t>15/01/2026 09:43</t>
        </is>
      </c>
      <c r="M2748" t="inlineStr">
        <is>
          <t>None</t>
        </is>
      </c>
      <c r="N2748" t="inlineStr">
        <is>
          <t>&lt;p&gt;&lt;/p&gt;</t>
        </is>
      </c>
      <c r="O2748" t="inlineStr">
        <is>
          <t>Confirm that you have checked this vehicle as per the guidance document and the vehicle is safe and roadworthy:Vehicle fully checked and serviceable
-</t>
        </is>
      </c>
      <c r="P2748" t="inlineStr"/>
      <c r="Q2748" t="inlineStr">
        <is>
          <t>NGED</t>
        </is>
      </c>
      <c r="R2748" t="b">
        <v>0</v>
      </c>
    </row>
    <row r="2749">
      <c r="A2749" t="inlineStr">
        <is>
          <t>15 Jan 2026 / Chris Huntley / Utilities / UKPN</t>
        </is>
      </c>
      <c r="B2749" t="inlineStr">
        <is>
          <t>Utilities</t>
        </is>
      </c>
      <c r="C2749" t="inlineStr">
        <is>
          <t>UKPN</t>
        </is>
      </c>
      <c r="D2749" t="inlineStr">
        <is>
          <t>EX18DCY , 4x4 , Ford , Ranger</t>
        </is>
      </c>
      <c r="E2749" t="inlineStr">
        <is>
          <t>EX18DCY , 4x4 , Ford , Ranger</t>
        </is>
      </c>
      <c r="F2749" t="inlineStr">
        <is>
          <t>EX18DCY , 4x4 , Ford , Ranger</t>
        </is>
      </c>
      <c r="G2749" t="inlineStr">
        <is>
          <t xml:space="preserve">Chris Huntley </t>
        </is>
      </c>
      <c r="H2749" t="inlineStr">
        <is>
          <t>4x4</t>
        </is>
      </c>
      <c r="I2749" t="inlineStr">
        <is>
          <t>Daily/ Weekly Vehicle Inspection</t>
        </is>
      </c>
      <c r="J2749" t="inlineStr">
        <is>
          <t>N/A</t>
        </is>
      </c>
      <c r="K2749" t="inlineStr">
        <is>
          <t>Chris Huntley</t>
        </is>
      </c>
      <c r="L2749" t="inlineStr">
        <is>
          <t>15/01/2026 10:43</t>
        </is>
      </c>
      <c r="M2749" t="inlineStr">
        <is>
          <t>None</t>
        </is>
      </c>
      <c r="N2749" t="inlineStr">
        <is>
          <t>&lt;p&gt;&lt;/p&gt;</t>
        </is>
      </c>
      <c r="O2749" t="inlineStr"/>
      <c r="P2749" t="inlineStr">
        <is>
          <t>EX18DCY , 4x4 , Ford , Ranger</t>
        </is>
      </c>
      <c r="Q2749" t="inlineStr">
        <is>
          <t>UKPN</t>
        </is>
      </c>
      <c r="R2749" t="b">
        <v>0</v>
      </c>
    </row>
    <row r="2750">
      <c r="A2750" t="inlineStr">
        <is>
          <t>14 Jan 2026 / Richard Moses / Utilities / NGED</t>
        </is>
      </c>
      <c r="B2750" t="inlineStr">
        <is>
          <t>Utilities</t>
        </is>
      </c>
      <c r="C2750" t="inlineStr">
        <is>
          <t>NGED</t>
        </is>
      </c>
      <c r="D2750" t="inlineStr">
        <is>
          <t>AK23YLM , Car - Electric , Tesla , Model Y Long Range</t>
        </is>
      </c>
      <c r="E2750" t="inlineStr">
        <is>
          <t>AK23YLM , Car - Electric , Tesla , Model Y Long Range</t>
        </is>
      </c>
      <c r="F2750" t="inlineStr">
        <is>
          <t>AK23YLM , Car - Electric , Tesla , Model Y Long Range</t>
        </is>
      </c>
      <c r="G2750" t="inlineStr">
        <is>
          <t>Moses</t>
        </is>
      </c>
      <c r="H2750" t="inlineStr">
        <is>
          <t>Car - Electric (GC Owned)</t>
        </is>
      </c>
      <c r="I2750" t="inlineStr">
        <is>
          <t>Daily/ Weekly Vehicle Inspection</t>
        </is>
      </c>
      <c r="J2750" t="inlineStr">
        <is>
          <t>N/A</t>
        </is>
      </c>
      <c r="K2750" t="inlineStr">
        <is>
          <t>Richard Moses</t>
        </is>
      </c>
      <c r="L2750" t="inlineStr">
        <is>
          <t>15/01/2026 10:43</t>
        </is>
      </c>
      <c r="M2750" t="inlineStr">
        <is>
          <t>None</t>
        </is>
      </c>
      <c r="N2750" t="inlineStr">
        <is>
          <t>&lt;p&gt;&lt;/p&gt;</t>
        </is>
      </c>
      <c r="O2750" t="inlineStr">
        <is>
          <t>Confirm that you have checked this vehicle as per the guidance document and the vehicle is safe and roadworthy:Tyres changed on rear 73600 est. excessive wear on inside that wasn’t visible.
-</t>
        </is>
      </c>
      <c r="P2750" t="inlineStr">
        <is>
          <t>AK23YLM , Car - Electric , Tesla , Model Y Long Range</t>
        </is>
      </c>
      <c r="Q2750" t="inlineStr">
        <is>
          <t>NGED</t>
        </is>
      </c>
      <c r="R2750" t="b">
        <v>0</v>
      </c>
    </row>
    <row r="2751">
      <c r="A2751" t="inlineStr">
        <is>
          <t>15 Jan 2026 / Ashley Taylor / Utilities / SSE</t>
        </is>
      </c>
      <c r="B2751" t="inlineStr">
        <is>
          <t>Utilities</t>
        </is>
      </c>
      <c r="C2751" t="inlineStr">
        <is>
          <t>SSE</t>
        </is>
      </c>
      <c r="D2751" t="inlineStr"/>
      <c r="E2751" t="inlineStr"/>
      <c r="F2751" t="inlineStr"/>
      <c r="G2751" t="inlineStr"/>
      <c r="H2751" t="inlineStr"/>
      <c r="I2751" t="inlineStr"/>
      <c r="J2751" t="inlineStr">
        <is>
          <t>N/A</t>
        </is>
      </c>
      <c r="K2751" t="inlineStr">
        <is>
          <t>Ashley Taylor</t>
        </is>
      </c>
      <c r="L2751" t="inlineStr">
        <is>
          <t>15/01/2026 11:41</t>
        </is>
      </c>
      <c r="M2751" t="inlineStr">
        <is>
          <t>None</t>
        </is>
      </c>
      <c r="N2751" t="inlineStr">
        <is>
          <t>&lt;p&gt;&lt;/p&gt;</t>
        </is>
      </c>
      <c r="O2751" t="inlineStr"/>
      <c r="P2751" t="inlineStr"/>
      <c r="Q2751" t="inlineStr">
        <is>
          <t>SSE</t>
        </is>
      </c>
      <c r="R2751" t="b">
        <v>0</v>
      </c>
    </row>
    <row r="2752">
      <c r="A2752" t="inlineStr">
        <is>
          <t>12 Dec 2025 / Gregory Mapfumo / Utilities / UKPN</t>
        </is>
      </c>
      <c r="B2752" t="inlineStr">
        <is>
          <t>Utilities</t>
        </is>
      </c>
      <c r="C2752" t="inlineStr">
        <is>
          <t>UKPN</t>
        </is>
      </c>
      <c r="D2752" t="inlineStr"/>
      <c r="E2752" t="inlineStr"/>
      <c r="F2752" t="inlineStr"/>
      <c r="G2752" t="inlineStr">
        <is>
          <t xml:space="preserve">Greg mapfumo </t>
        </is>
      </c>
      <c r="H2752" t="inlineStr">
        <is>
          <t>Car - Petrol</t>
        </is>
      </c>
      <c r="I2752" t="inlineStr">
        <is>
          <t>Daily/ Weekly Vehicle Inspection</t>
        </is>
      </c>
      <c r="J2752" t="inlineStr">
        <is>
          <t>N/A</t>
        </is>
      </c>
      <c r="K2752" t="inlineStr">
        <is>
          <t>Gregory Mapfumo</t>
        </is>
      </c>
      <c r="L2752" t="inlineStr">
        <is>
          <t>15/01/2026 14:41</t>
        </is>
      </c>
      <c r="M2752" t="inlineStr">
        <is>
          <t>None</t>
        </is>
      </c>
      <c r="N2752" t="inlineStr">
        <is>
          <t>&lt;p&gt;&lt;/p&gt;</t>
        </is>
      </c>
      <c r="O2752" t="inlineStr"/>
      <c r="P2752" t="inlineStr"/>
      <c r="Q2752" t="inlineStr">
        <is>
          <t>UKPN</t>
        </is>
      </c>
      <c r="R2752" t="b">
        <v>0</v>
      </c>
    </row>
    <row r="2753">
      <c r="A2753" t="inlineStr">
        <is>
          <t>15 Jan 2026 / James Gorman / Utilities / UKPN</t>
        </is>
      </c>
      <c r="B2753" t="inlineStr">
        <is>
          <t>Utilities</t>
        </is>
      </c>
      <c r="C2753" t="inlineStr">
        <is>
          <t>UKPN</t>
        </is>
      </c>
      <c r="D2753" t="inlineStr">
        <is>
          <t>AF22 XRA , Car - Electric , Tesla , Model 3</t>
        </is>
      </c>
      <c r="E2753" t="inlineStr">
        <is>
          <t>AF22 XRA , Car - Electric , Tesla , Model 3</t>
        </is>
      </c>
      <c r="F2753" t="inlineStr">
        <is>
          <t>AF22 XRA , Car - Electric , Tesla , Model 3</t>
        </is>
      </c>
      <c r="G2753" t="inlineStr">
        <is>
          <t>James Gorman</t>
        </is>
      </c>
      <c r="H2753" t="inlineStr">
        <is>
          <t>Car - Electric (GC Owned)</t>
        </is>
      </c>
      <c r="I2753" t="inlineStr">
        <is>
          <t>Daily/ Weekly Vehicle Inspection</t>
        </is>
      </c>
      <c r="J2753" t="inlineStr">
        <is>
          <t>N/A</t>
        </is>
      </c>
      <c r="K2753" t="inlineStr">
        <is>
          <t>James Gorman</t>
        </is>
      </c>
      <c r="L2753" t="inlineStr">
        <is>
          <t>15/01/2026 14:42</t>
        </is>
      </c>
      <c r="M2753" t="inlineStr">
        <is>
          <t>None</t>
        </is>
      </c>
      <c r="N2753" t="inlineStr">
        <is>
          <t>&lt;p&gt;&lt;/p&gt;</t>
        </is>
      </c>
      <c r="O2753" t="inlineStr"/>
      <c r="P2753" t="inlineStr">
        <is>
          <t>AF22 XRA , Car - Electric , Tesla , Model 3</t>
        </is>
      </c>
      <c r="Q2753" t="inlineStr">
        <is>
          <t>UKPN</t>
        </is>
      </c>
      <c r="R2753" t="b">
        <v>0</v>
      </c>
    </row>
    <row r="2754">
      <c r="A2754" t="inlineStr">
        <is>
          <t>16 Jan 2026 / 7951 Austin Tree Care LTD / Utilities / UKPN</t>
        </is>
      </c>
      <c r="B2754" t="inlineStr">
        <is>
          <t>Utilities</t>
        </is>
      </c>
      <c r="C2754" t="inlineStr">
        <is>
          <t>UKPN</t>
        </is>
      </c>
      <c r="D2754" t="inlineStr">
        <is>
          <t>WG64HTT , 4x4 , Land Rover , Defender 110</t>
        </is>
      </c>
      <c r="E2754" t="inlineStr">
        <is>
          <t>WG64HTT , 4x4 , Land Rover , Defender 110</t>
        </is>
      </c>
      <c r="F2754" t="inlineStr">
        <is>
          <t>WG64HTT , 4x4 , Land Rover , Defender 110</t>
        </is>
      </c>
      <c r="G2754" t="inlineStr">
        <is>
          <t xml:space="preserve">Jack Austin </t>
        </is>
      </c>
      <c r="H2754" t="inlineStr">
        <is>
          <t>Towed Chipper</t>
        </is>
      </c>
      <c r="I2754" t="inlineStr">
        <is>
          <t>Daily/ Weekly Vehicle Inspection</t>
        </is>
      </c>
      <c r="J2754" t="inlineStr">
        <is>
          <t>N/A</t>
        </is>
      </c>
      <c r="K2754" t="inlineStr">
        <is>
          <t>7951 Austin Tree Care LTD</t>
        </is>
      </c>
      <c r="L2754" t="inlineStr">
        <is>
          <t>16/01/2026 07:42</t>
        </is>
      </c>
      <c r="M2754" t="inlineStr">
        <is>
          <t>None</t>
        </is>
      </c>
      <c r="N2754" t="inlineStr">
        <is>
          <t>&lt;p&gt;&lt;/p&gt;</t>
        </is>
      </c>
      <c r="O2754" t="inlineStr"/>
      <c r="P2754" t="inlineStr">
        <is>
          <t>WG64HTT , 4x4 , Land Rover , Defender 110</t>
        </is>
      </c>
      <c r="Q2754" t="inlineStr">
        <is>
          <t>UKPN</t>
        </is>
      </c>
      <c r="R2754" t="b">
        <v>0</v>
      </c>
    </row>
    <row r="2755">
      <c r="A2755" t="inlineStr">
        <is>
          <t>16 Jan 2026 / Thomas Playford / Utilities / UKPN</t>
        </is>
      </c>
      <c r="B2755" t="inlineStr">
        <is>
          <t>Utilities</t>
        </is>
      </c>
      <c r="C2755" t="inlineStr">
        <is>
          <t>UKPN</t>
        </is>
      </c>
      <c r="D2755" t="inlineStr">
        <is>
          <t>SA9ST800000283944 , Tow Chipper , Forst , ST8D - Towed</t>
        </is>
      </c>
      <c r="E2755" t="inlineStr">
        <is>
          <t>SA9ST800000283944 , Tow Chipper , Forst , ST8D - Towed</t>
        </is>
      </c>
      <c r="F2755" t="inlineStr">
        <is>
          <t>SA9ST800000283944 , Tow Chipper , Forst , ST8D - Towed</t>
        </is>
      </c>
      <c r="G2755" t="inlineStr">
        <is>
          <t>Thomas Playford</t>
        </is>
      </c>
      <c r="H2755" t="inlineStr">
        <is>
          <t>Towed Chipper</t>
        </is>
      </c>
      <c r="I2755" t="inlineStr">
        <is>
          <t>Daily/ Weekly Vehicle Inspection</t>
        </is>
      </c>
      <c r="J2755" t="inlineStr">
        <is>
          <t>N/A</t>
        </is>
      </c>
      <c r="K2755" t="inlineStr">
        <is>
          <t>7995 Green Net Eco Ltd 2</t>
        </is>
      </c>
      <c r="L2755" t="inlineStr">
        <is>
          <t>16/01/2026 07:43</t>
        </is>
      </c>
      <c r="M2755" t="inlineStr">
        <is>
          <t>None</t>
        </is>
      </c>
      <c r="N2755" t="inlineStr">
        <is>
          <t>&lt;p&gt;&lt;/p&gt;</t>
        </is>
      </c>
      <c r="O2755" t="inlineStr"/>
      <c r="P2755" t="inlineStr">
        <is>
          <t>SA9ST800000283944 , Tow Chipper , Forst , ST8D - Towed</t>
        </is>
      </c>
      <c r="Q2755" t="inlineStr">
        <is>
          <t>UKPN</t>
        </is>
      </c>
      <c r="R2755" t="b">
        <v>0</v>
      </c>
    </row>
    <row r="2756">
      <c r="A2756" t="inlineStr">
        <is>
          <t>16 Jan 2026 / Thomas Playford / Utilities / UKPN</t>
        </is>
      </c>
      <c r="B2756" t="inlineStr">
        <is>
          <t>Utilities</t>
        </is>
      </c>
      <c r="C2756" t="inlineStr">
        <is>
          <t>UKPN</t>
        </is>
      </c>
      <c r="D2756" t="inlineStr">
        <is>
          <t>LK15KRZ , 4x4 , Landrover , Defender</t>
        </is>
      </c>
      <c r="E2756" t="inlineStr">
        <is>
          <t>LK15KRZ , 4x4 , Landrover , Defender</t>
        </is>
      </c>
      <c r="F2756" t="inlineStr">
        <is>
          <t>LK15KRZ , 4x4 , Landrover , Defender</t>
        </is>
      </c>
      <c r="G2756" t="inlineStr">
        <is>
          <t>Thomas Playford</t>
        </is>
      </c>
      <c r="H2756" t="inlineStr">
        <is>
          <t>4x4</t>
        </is>
      </c>
      <c r="I2756" t="inlineStr">
        <is>
          <t>Daily/ Weekly Vehicle Inspection</t>
        </is>
      </c>
      <c r="J2756" t="inlineStr">
        <is>
          <t>N/A</t>
        </is>
      </c>
      <c r="K2756" t="inlineStr">
        <is>
          <t>7995 Green Net Eco Ltd 2</t>
        </is>
      </c>
      <c r="L2756" t="inlineStr">
        <is>
          <t>16/01/2026 07:43</t>
        </is>
      </c>
      <c r="M2756" t="inlineStr">
        <is>
          <t>None</t>
        </is>
      </c>
      <c r="N2756" t="inlineStr">
        <is>
          <t>&lt;p&gt;&lt;/p&gt;</t>
        </is>
      </c>
      <c r="O2756" t="inlineStr"/>
      <c r="P2756" t="inlineStr">
        <is>
          <t>LK15KRZ , 4x4 , Landrover , Defender</t>
        </is>
      </c>
      <c r="Q2756" t="inlineStr">
        <is>
          <t>UKPN</t>
        </is>
      </c>
      <c r="R2756" t="b">
        <v>0</v>
      </c>
    </row>
    <row r="2757">
      <c r="A2757" t="inlineStr">
        <is>
          <t>16 Jan 2026 / 7186 Eastwoodbury Tree Services Ltd / Utilities / UKPN</t>
        </is>
      </c>
      <c r="B2757" t="inlineStr">
        <is>
          <t>Utilities</t>
        </is>
      </c>
      <c r="C2757" t="inlineStr">
        <is>
          <t>UKPN</t>
        </is>
      </c>
      <c r="D2757" t="inlineStr">
        <is>
          <t>WF13 EKT , 4x4 , Land rover  , Defender</t>
        </is>
      </c>
      <c r="E2757" t="inlineStr">
        <is>
          <t>WF13 EKT , 4x4 , Land rover  , Defender</t>
        </is>
      </c>
      <c r="F2757" t="inlineStr">
        <is>
          <t>WF13 EKT , 4x4 , Land rover  , Defender</t>
        </is>
      </c>
      <c r="G2757" t="inlineStr">
        <is>
          <t xml:space="preserve">Dan Gilbert </t>
        </is>
      </c>
      <c r="H2757" t="inlineStr">
        <is>
          <t>4x4</t>
        </is>
      </c>
      <c r="I2757" t="inlineStr">
        <is>
          <t>Daily/ Weekly Vehicle Inspection</t>
        </is>
      </c>
      <c r="J2757" t="inlineStr">
        <is>
          <t>N/A</t>
        </is>
      </c>
      <c r="K2757" t="inlineStr">
        <is>
          <t>7186 Eastwoodbury Tree Services Ltd</t>
        </is>
      </c>
      <c r="L2757" t="inlineStr">
        <is>
          <t>16/01/2026 07:44</t>
        </is>
      </c>
      <c r="M2757" t="inlineStr">
        <is>
          <t>None</t>
        </is>
      </c>
      <c r="N2757" t="inlineStr">
        <is>
          <t>&lt;p&gt;&lt;/p&gt;</t>
        </is>
      </c>
      <c r="O2757" t="inlineStr"/>
      <c r="P2757" t="inlineStr">
        <is>
          <t>WF13 EKT , 4x4 , Land rover  , Defender</t>
        </is>
      </c>
      <c r="Q2757" t="inlineStr">
        <is>
          <t>UKPN</t>
        </is>
      </c>
      <c r="R2757" t="b">
        <v>0</v>
      </c>
    </row>
    <row r="2758">
      <c r="A2758" t="inlineStr">
        <is>
          <t>16 Jan 2026 / 7186 Eastwoodbury Tree Services Ltd / Utilities / UKPN</t>
        </is>
      </c>
      <c r="B2758" t="inlineStr">
        <is>
          <t>Utilities</t>
        </is>
      </c>
      <c r="C2758" t="inlineStr">
        <is>
          <t>UKPN</t>
        </is>
      </c>
      <c r="D2758" t="inlineStr">
        <is>
          <t>DE53NKS , 4x4 , Ford , Ranger</t>
        </is>
      </c>
      <c r="E2758" t="inlineStr">
        <is>
          <t>DE53NKS , 4x4 , Ford , Ranger</t>
        </is>
      </c>
      <c r="F2758" t="inlineStr">
        <is>
          <t>DE53NKS , 4x4 , Ford , Ranger</t>
        </is>
      </c>
      <c r="G2758" t="inlineStr">
        <is>
          <t xml:space="preserve">Jay Denkmayer </t>
        </is>
      </c>
      <c r="H2758" t="inlineStr">
        <is>
          <t>4x4</t>
        </is>
      </c>
      <c r="I2758" t="inlineStr">
        <is>
          <t>Daily/ Weekly Vehicle Inspection</t>
        </is>
      </c>
      <c r="J2758" t="inlineStr">
        <is>
          <t>N/A</t>
        </is>
      </c>
      <c r="K2758" t="inlineStr">
        <is>
          <t>7186 Eastwoodbury Tree Services Ltd</t>
        </is>
      </c>
      <c r="L2758" t="inlineStr">
        <is>
          <t>16/01/2026 07:44</t>
        </is>
      </c>
      <c r="M2758" t="inlineStr">
        <is>
          <t>None</t>
        </is>
      </c>
      <c r="N2758" t="inlineStr">
        <is>
          <t>&lt;p&gt;&lt;/p&gt;</t>
        </is>
      </c>
      <c r="O2758" t="inlineStr"/>
      <c r="P2758" t="inlineStr">
        <is>
          <t>DE53NKS , 4x4 , Ford , Ranger</t>
        </is>
      </c>
      <c r="Q2758" t="inlineStr">
        <is>
          <t>UKPN</t>
        </is>
      </c>
      <c r="R2758" t="b">
        <v>0</v>
      </c>
    </row>
    <row r="2759">
      <c r="A2759" t="inlineStr">
        <is>
          <t>16 Jan 2026 / 7186 Eastwoodbury Tree Services Ltd / Utilities / UKPN</t>
        </is>
      </c>
      <c r="B2759" t="inlineStr">
        <is>
          <t>Utilities</t>
        </is>
      </c>
      <c r="C2759" t="inlineStr">
        <is>
          <t>UKPN</t>
        </is>
      </c>
      <c r="D2759" t="inlineStr">
        <is>
          <t>FX14 XCV , 4x4 , Land Rover  , Defender</t>
        </is>
      </c>
      <c r="E2759" t="inlineStr">
        <is>
          <t>FX14 XCV , 4x4 , Land Rover  , Defender</t>
        </is>
      </c>
      <c r="F2759" t="inlineStr">
        <is>
          <t>FX14 XCV , 4x4 , Land Rover  , Defender</t>
        </is>
      </c>
      <c r="G2759" t="inlineStr">
        <is>
          <t xml:space="preserve">Tom Price </t>
        </is>
      </c>
      <c r="H2759" t="inlineStr">
        <is>
          <t>4x4</t>
        </is>
      </c>
      <c r="I2759" t="inlineStr">
        <is>
          <t>Daily/ Weekly Vehicle Inspection</t>
        </is>
      </c>
      <c r="J2759" t="inlineStr">
        <is>
          <t>N/A</t>
        </is>
      </c>
      <c r="K2759" t="inlineStr">
        <is>
          <t>7186 Eastwoodbury Tree Services Ltd</t>
        </is>
      </c>
      <c r="L2759" t="inlineStr">
        <is>
          <t>16/01/2026 07:45</t>
        </is>
      </c>
      <c r="M2759" t="inlineStr">
        <is>
          <t>None</t>
        </is>
      </c>
      <c r="N2759" t="inlineStr">
        <is>
          <t>&lt;p&gt;&lt;/p&gt;</t>
        </is>
      </c>
      <c r="O2759" t="inlineStr"/>
      <c r="P2759" t="inlineStr">
        <is>
          <t>FX14 XCV , 4x4 , Land Rover  , Defender</t>
        </is>
      </c>
      <c r="Q2759" t="inlineStr">
        <is>
          <t>UKPN</t>
        </is>
      </c>
      <c r="R2759" t="b">
        <v>0</v>
      </c>
    </row>
    <row r="2760">
      <c r="A2760" t="inlineStr">
        <is>
          <t>16 Jan 2026 / 8148 Hope Ground and Tree Care / Utilities / UKPN</t>
        </is>
      </c>
      <c r="B2760" t="inlineStr">
        <is>
          <t>Utilities</t>
        </is>
      </c>
      <c r="C2760" t="inlineStr">
        <is>
          <t>UKPN</t>
        </is>
      </c>
      <c r="D2760" t="inlineStr">
        <is>
          <t>S6 NWX , MEWP , Isuzu , D-Max</t>
        </is>
      </c>
      <c r="E2760" t="inlineStr">
        <is>
          <t>S6 NWX , MEWP , Isuzu , D-Max</t>
        </is>
      </c>
      <c r="F2760" t="inlineStr">
        <is>
          <t>S6 NWX , MEWP , Isuzu , D-Max</t>
        </is>
      </c>
      <c r="G2760" t="inlineStr">
        <is>
          <t>A Hope</t>
        </is>
      </c>
      <c r="H2760" t="inlineStr">
        <is>
          <t>4x4</t>
        </is>
      </c>
      <c r="I2760" t="inlineStr">
        <is>
          <t>Daily/ Weekly Vehicle Inspection</t>
        </is>
      </c>
      <c r="J2760" t="inlineStr">
        <is>
          <t>N/A</t>
        </is>
      </c>
      <c r="K2760" t="inlineStr">
        <is>
          <t>8148 Hope Ground and Tree Care</t>
        </is>
      </c>
      <c r="L2760" t="inlineStr">
        <is>
          <t>16/01/2026 08:41</t>
        </is>
      </c>
      <c r="M2760" t="inlineStr">
        <is>
          <t>None</t>
        </is>
      </c>
      <c r="N2760" t="inlineStr">
        <is>
          <t>&lt;p&gt;&lt;/p&gt;</t>
        </is>
      </c>
      <c r="O2760" t="inlineStr"/>
      <c r="P2760" t="inlineStr">
        <is>
          <t>S6 NWX , MEWP , Isuzu , D-Max</t>
        </is>
      </c>
      <c r="Q2760" t="inlineStr">
        <is>
          <t>UKPN</t>
        </is>
      </c>
      <c r="R2760" t="b">
        <v>0</v>
      </c>
    </row>
    <row r="2761">
      <c r="A2761" t="inlineStr">
        <is>
          <t>16 Jan 2026 / 7800 MAC Tree Surgery and Fencing Ltd / Utilities / UKPN</t>
        </is>
      </c>
      <c r="B2761" t="inlineStr">
        <is>
          <t>Utilities</t>
        </is>
      </c>
      <c r="C2761" t="inlineStr">
        <is>
          <t>UKPN</t>
        </is>
      </c>
      <c r="D2761" t="inlineStr">
        <is>
          <t>Plant Trailer - Towmate - 2.8t - 0</t>
        </is>
      </c>
      <c r="E2761" t="inlineStr">
        <is>
          <t>Plant Trailer - Towmate - 2.8t - 0</t>
        </is>
      </c>
      <c r="F2761" t="inlineStr">
        <is>
          <t>Plant Trailer - Towmate - 2.8t - 0</t>
        </is>
      </c>
      <c r="G2761" t="inlineStr">
        <is>
          <t>Lewis mac</t>
        </is>
      </c>
      <c r="H2761" t="inlineStr">
        <is>
          <t>Plant Trailer</t>
        </is>
      </c>
      <c r="I2761" t="inlineStr">
        <is>
          <t>Daily/ Weekly Vehicle Inspection</t>
        </is>
      </c>
      <c r="J2761" t="inlineStr">
        <is>
          <t>N/A</t>
        </is>
      </c>
      <c r="K2761" t="inlineStr">
        <is>
          <t>7800 MAC Tree Surgery and Fencing Ltd</t>
        </is>
      </c>
      <c r="L2761" t="inlineStr">
        <is>
          <t>16/01/2026 08:44</t>
        </is>
      </c>
      <c r="M2761" t="inlineStr">
        <is>
          <t>None</t>
        </is>
      </c>
      <c r="N2761" t="inlineStr">
        <is>
          <t>&lt;p&gt;&lt;/p&gt;</t>
        </is>
      </c>
      <c r="O2761" t="inlineStr"/>
      <c r="P2761" t="inlineStr">
        <is>
          <t>Plant Trailer - Towmate - 2.8t - 0</t>
        </is>
      </c>
      <c r="Q2761" t="inlineStr">
        <is>
          <t>UKPN</t>
        </is>
      </c>
      <c r="R2761" t="b">
        <v>0</v>
      </c>
    </row>
    <row r="2762">
      <c r="A2762" t="inlineStr">
        <is>
          <t>16 Jan 2026 / 7800 MAC Tree Surgery and Fencing Ltd / Utilities / UKPN</t>
        </is>
      </c>
      <c r="B2762" t="inlineStr">
        <is>
          <t>Utilities</t>
        </is>
      </c>
      <c r="C2762" t="inlineStr">
        <is>
          <t>UKPN</t>
        </is>
      </c>
      <c r="D2762" t="inlineStr">
        <is>
          <t>AY68DAA , 4x4 , Izuzu , Dmax</t>
        </is>
      </c>
      <c r="E2762" t="inlineStr">
        <is>
          <t>AY68DAA , 4x4 , Izuzu , Dmax</t>
        </is>
      </c>
      <c r="F2762" t="inlineStr">
        <is>
          <t>AY68DAA , 4x4 , Izuzu , Dmax</t>
        </is>
      </c>
      <c r="G2762" t="inlineStr">
        <is>
          <t xml:space="preserve">Patrick O'Shea </t>
        </is>
      </c>
      <c r="H2762" t="inlineStr">
        <is>
          <t>4x4</t>
        </is>
      </c>
      <c r="I2762" t="inlineStr">
        <is>
          <t>Daily/ Weekly Vehicle Inspection</t>
        </is>
      </c>
      <c r="J2762" t="inlineStr">
        <is>
          <t>N/A</t>
        </is>
      </c>
      <c r="K2762" t="inlineStr">
        <is>
          <t>7800 MAC Tree Surgery and Fencing Ltd</t>
        </is>
      </c>
      <c r="L2762" t="inlineStr">
        <is>
          <t>16/01/2026 08:45</t>
        </is>
      </c>
      <c r="M2762" t="inlineStr">
        <is>
          <t>None</t>
        </is>
      </c>
      <c r="N2762" t="inlineStr">
        <is>
          <t>&lt;p&gt;&lt;/p&gt;</t>
        </is>
      </c>
      <c r="O2762" t="inlineStr"/>
      <c r="P2762" t="inlineStr">
        <is>
          <t>AY68DAA , 4x4 , Izuzu , Dmax</t>
        </is>
      </c>
      <c r="Q2762" t="inlineStr">
        <is>
          <t>UKPN</t>
        </is>
      </c>
      <c r="R2762" t="b">
        <v>0</v>
      </c>
    </row>
    <row r="2763">
      <c r="A2763" t="inlineStr">
        <is>
          <t>16 Jan 2026 / 7951 Austin Tree Care LTD / Utilities / UKPN</t>
        </is>
      </c>
      <c r="B2763" t="inlineStr">
        <is>
          <t>Utilities</t>
        </is>
      </c>
      <c r="C2763" t="inlineStr">
        <is>
          <t>UKPN</t>
        </is>
      </c>
      <c r="D2763" t="inlineStr">
        <is>
          <t>WG64HTT , 4x4 , Land Rover , Defender 110</t>
        </is>
      </c>
      <c r="E2763" t="inlineStr">
        <is>
          <t>WG64HTT , 4x4 , Land Rover , Defender 110</t>
        </is>
      </c>
      <c r="F2763" t="inlineStr">
        <is>
          <t>WG64HTT , 4x4 , Land Rover , Defender 110</t>
        </is>
      </c>
      <c r="G2763" t="inlineStr">
        <is>
          <t xml:space="preserve">Jack Austin </t>
        </is>
      </c>
      <c r="H2763" t="inlineStr">
        <is>
          <t>4x4</t>
        </is>
      </c>
      <c r="I2763" t="inlineStr">
        <is>
          <t>Daily/ Weekly Vehicle Inspection</t>
        </is>
      </c>
      <c r="J2763" t="inlineStr">
        <is>
          <t>N/A</t>
        </is>
      </c>
      <c r="K2763" t="inlineStr">
        <is>
          <t>7951 Austin Tree Care LTD</t>
        </is>
      </c>
      <c r="L2763" t="inlineStr">
        <is>
          <t>16/01/2026 08:46</t>
        </is>
      </c>
      <c r="M2763" t="inlineStr">
        <is>
          <t>None</t>
        </is>
      </c>
      <c r="N2763" t="inlineStr">
        <is>
          <t>&lt;p&gt;&lt;/p&gt;</t>
        </is>
      </c>
      <c r="O2763" t="inlineStr"/>
      <c r="P2763" t="inlineStr">
        <is>
          <t>WG64HTT , 4x4 , Land Rover , Defender 110</t>
        </is>
      </c>
      <c r="Q2763" t="inlineStr">
        <is>
          <t>UKPN</t>
        </is>
      </c>
      <c r="R2763" t="b">
        <v>0</v>
      </c>
    </row>
    <row r="2764">
      <c r="A2764" t="inlineStr">
        <is>
          <t>30 Nov 2025 / Mike Corran / Utilities / NGED</t>
        </is>
      </c>
      <c r="B2764" t="inlineStr">
        <is>
          <t>Utilities</t>
        </is>
      </c>
      <c r="C2764" t="inlineStr">
        <is>
          <t>NGED</t>
        </is>
      </c>
      <c r="D2764" t="inlineStr">
        <is>
          <t>AJ72EWN , Car - Electric , Tesla , Y</t>
        </is>
      </c>
      <c r="E2764" t="inlineStr">
        <is>
          <t>AJ72EWN , Car - Electric , Tesla , Y</t>
        </is>
      </c>
      <c r="F2764" t="inlineStr">
        <is>
          <t>AJ72EWN , Car - Electric , Tesla , Y</t>
        </is>
      </c>
      <c r="G2764" t="inlineStr">
        <is>
          <t>Mike corran</t>
        </is>
      </c>
      <c r="H2764" t="inlineStr">
        <is>
          <t>Car - Electric (GC Owned)</t>
        </is>
      </c>
      <c r="I2764" t="inlineStr">
        <is>
          <t>Daily/ Weekly Vehicle Inspection</t>
        </is>
      </c>
      <c r="J2764" t="inlineStr">
        <is>
          <t>N/A</t>
        </is>
      </c>
      <c r="K2764" t="inlineStr">
        <is>
          <t>Mike Corran</t>
        </is>
      </c>
      <c r="L2764" t="inlineStr">
        <is>
          <t>16/01/2026 21:41</t>
        </is>
      </c>
      <c r="M2764" t="inlineStr">
        <is>
          <t>None</t>
        </is>
      </c>
      <c r="N2764" t="inlineStr">
        <is>
          <t>&lt;p&gt;&lt;/p&gt;</t>
        </is>
      </c>
      <c r="O2764" t="inlineStr"/>
      <c r="P2764" t="inlineStr">
        <is>
          <t>AJ72EWN , Car - Electric , Tesla , Y</t>
        </is>
      </c>
      <c r="Q2764" t="inlineStr">
        <is>
          <t>NGED</t>
        </is>
      </c>
      <c r="R2764" t="b">
        <v>0</v>
      </c>
    </row>
    <row r="2765">
      <c r="A2765" t="inlineStr">
        <is>
          <t>17 Jan 2026 / 6490 MJR Tree Works / Utilities / SSE</t>
        </is>
      </c>
      <c r="B2765" t="inlineStr">
        <is>
          <t>Utilities</t>
        </is>
      </c>
      <c r="C2765" t="inlineStr">
        <is>
          <t>SSE</t>
        </is>
      </c>
      <c r="D2765" t="inlineStr">
        <is>
          <t>VX25WHD , Pickup Truck , Isuzu , D MaxDX65XXS , Pickup Truck , Nissan  , Navara</t>
        </is>
      </c>
      <c r="E2765" t="inlineStr">
        <is>
          <t>VX25WHD , Pickup Truck , Isuzu , D MaxDX65XXS , Pickup Truck , Nissan  , Navara</t>
        </is>
      </c>
      <c r="F2765" t="inlineStr">
        <is>
          <t>VX25WHD , Pickup Truck , Isuzu , D MaxDX65XXS , Pickup Truck , Nissan  , Navara</t>
        </is>
      </c>
      <c r="G2765" t="inlineStr">
        <is>
          <t>MikeJoe</t>
        </is>
      </c>
      <c r="H2765" t="inlineStr">
        <is>
          <t>Pickup TruckPickup Truck</t>
        </is>
      </c>
      <c r="I2765" t="inlineStr">
        <is>
          <t>Monthly Vehicle Inspection</t>
        </is>
      </c>
      <c r="J2765" t="inlineStr">
        <is>
          <t>20452105000</t>
        </is>
      </c>
      <c r="K2765" t="inlineStr">
        <is>
          <t>6490 MJR Tree Works</t>
        </is>
      </c>
      <c r="L2765" t="inlineStr">
        <is>
          <t>17/01/2026 13:42</t>
        </is>
      </c>
      <c r="M2765" t="inlineStr">
        <is>
          <t>None</t>
        </is>
      </c>
      <c r="N2765" t="inlineStr">
        <is>
          <t>&lt;p&gt;&lt;/p&gt;</t>
        </is>
      </c>
      <c r="O2765" t="inlineStr"/>
      <c r="P2765" t="inlineStr">
        <is>
          <t>VX25WHD , Pickup Truck , Isuzu , D MaxDX65XXS , Pickup Truck , Nissan  , Navara</t>
        </is>
      </c>
      <c r="Q2765" t="inlineStr">
        <is>
          <t>SSE</t>
        </is>
      </c>
      <c r="R2765" t="b">
        <v>0</v>
      </c>
    </row>
    <row r="2766">
      <c r="A2766" t="inlineStr">
        <is>
          <t>18 Jan 2026 / 3098 D &amp; R Landscapes / Utilities / UKPN</t>
        </is>
      </c>
      <c r="B2766" t="inlineStr">
        <is>
          <t>Utilities</t>
        </is>
      </c>
      <c r="C2766" t="inlineStr">
        <is>
          <t>UKPN</t>
        </is>
      </c>
      <c r="D2766" t="inlineStr">
        <is>
          <t>DE68XHA , Tipper , Isuzu , Grafter</t>
        </is>
      </c>
      <c r="E2766" t="inlineStr">
        <is>
          <t>DE68XHA , Tipper , Isuzu , Grafter</t>
        </is>
      </c>
      <c r="F2766" t="inlineStr">
        <is>
          <t>DE68XHA , Tipper , Isuzu , Grafter</t>
        </is>
      </c>
      <c r="G2766" t="inlineStr">
        <is>
          <t xml:space="preserve">Chris </t>
        </is>
      </c>
      <c r="H2766" t="inlineStr">
        <is>
          <t>Tipper</t>
        </is>
      </c>
      <c r="I2766" t="inlineStr">
        <is>
          <t>Daily/ Weekly Vehicle Inspection</t>
        </is>
      </c>
      <c r="J2766" t="inlineStr">
        <is>
          <t>N/A</t>
        </is>
      </c>
      <c r="K2766" t="inlineStr">
        <is>
          <t>3098 D &amp; R Landscapes</t>
        </is>
      </c>
      <c r="L2766" t="inlineStr">
        <is>
          <t>18/01/2026 08:43</t>
        </is>
      </c>
      <c r="M2766" t="inlineStr">
        <is>
          <t>None</t>
        </is>
      </c>
      <c r="N2766" t="inlineStr">
        <is>
          <t>&lt;p&gt;&lt;/p&gt;</t>
        </is>
      </c>
      <c r="O2766" t="inlineStr"/>
      <c r="P2766" t="inlineStr">
        <is>
          <t>DE68XHA , Tipper , Isuzu , Grafter</t>
        </is>
      </c>
      <c r="Q2766" t="inlineStr">
        <is>
          <t>UKPN</t>
        </is>
      </c>
      <c r="R2766" t="b">
        <v>0</v>
      </c>
    </row>
    <row r="2767">
      <c r="A2767" t="inlineStr">
        <is>
          <t>18 Jan 2026 / 3098 D &amp; R Landscapes / Utilities / UKPN</t>
        </is>
      </c>
      <c r="B2767" t="inlineStr">
        <is>
          <t>Utilities</t>
        </is>
      </c>
      <c r="C2767" t="inlineStr">
        <is>
          <t>UKPN</t>
        </is>
      </c>
      <c r="D2767" t="inlineStr">
        <is>
          <t>BT20 GNZ , Vehicle , Nissan , Navara</t>
        </is>
      </c>
      <c r="E2767" t="inlineStr">
        <is>
          <t>BT20 GNZ , Vehicle , Nissan , Navara</t>
        </is>
      </c>
      <c r="F2767" t="inlineStr">
        <is>
          <t>BT20 GNZ , Vehicle , Nissan , Navara</t>
        </is>
      </c>
      <c r="G2767" t="inlineStr">
        <is>
          <t xml:space="preserve">Richard </t>
        </is>
      </c>
      <c r="H2767" t="inlineStr">
        <is>
          <t>Pickup Truck</t>
        </is>
      </c>
      <c r="I2767" t="inlineStr">
        <is>
          <t>Daily/ Weekly Vehicle Inspection</t>
        </is>
      </c>
      <c r="J2767" t="inlineStr">
        <is>
          <t>N/A</t>
        </is>
      </c>
      <c r="K2767" t="inlineStr">
        <is>
          <t>3098 D &amp; R Landscapes</t>
        </is>
      </c>
      <c r="L2767" t="inlineStr">
        <is>
          <t>18/01/2026 08:44</t>
        </is>
      </c>
      <c r="M2767" t="inlineStr">
        <is>
          <t>None</t>
        </is>
      </c>
      <c r="N2767" t="inlineStr">
        <is>
          <t>&lt;p&gt;&lt;/p&gt;</t>
        </is>
      </c>
      <c r="O2767" t="inlineStr"/>
      <c r="P2767" t="inlineStr">
        <is>
          <t>BT20 GNZ , Vehicle , Nissan , Navara</t>
        </is>
      </c>
      <c r="Q2767" t="inlineStr">
        <is>
          <t>UKPN</t>
        </is>
      </c>
      <c r="R2767" t="b">
        <v>0</v>
      </c>
    </row>
    <row r="2768">
      <c r="A2768" t="inlineStr">
        <is>
          <t>19 Jan 2026 / 7800 MAC Tree Surgery and Fencing Ltd / Utilities / UKPN</t>
        </is>
      </c>
      <c r="B2768" t="inlineStr">
        <is>
          <t>Utilities</t>
        </is>
      </c>
      <c r="C2768" t="inlineStr">
        <is>
          <t>UKPN</t>
        </is>
      </c>
      <c r="D2768" t="inlineStr">
        <is>
          <t>Plant Trailer - Towmate - 2.8t - 0</t>
        </is>
      </c>
      <c r="E2768" t="inlineStr">
        <is>
          <t>Plant Trailer - Towmate - 2.8t - 0</t>
        </is>
      </c>
      <c r="F2768" t="inlineStr">
        <is>
          <t>Plant Trailer - Towmate - 2.8t - 0</t>
        </is>
      </c>
      <c r="G2768" t="inlineStr">
        <is>
          <t>Lewis mac</t>
        </is>
      </c>
      <c r="H2768" t="inlineStr">
        <is>
          <t>Plant Trailer</t>
        </is>
      </c>
      <c r="I2768" t="inlineStr">
        <is>
          <t>Daily/ Weekly Vehicle Inspection</t>
        </is>
      </c>
      <c r="J2768" t="inlineStr">
        <is>
          <t>N/A</t>
        </is>
      </c>
      <c r="K2768" t="inlineStr">
        <is>
          <t>7800 MAC Tree Surgery and Fencing Ltd</t>
        </is>
      </c>
      <c r="L2768" t="inlineStr">
        <is>
          <t>19/01/2026 06:45</t>
        </is>
      </c>
      <c r="M2768" t="inlineStr">
        <is>
          <t>None</t>
        </is>
      </c>
      <c r="N2768" t="inlineStr">
        <is>
          <t>&lt;p&gt;&lt;/p&gt;</t>
        </is>
      </c>
      <c r="O2768" t="inlineStr"/>
      <c r="P2768" t="inlineStr">
        <is>
          <t>Plant Trailer - Towmate - 2.8t - 0</t>
        </is>
      </c>
      <c r="Q2768" t="inlineStr">
        <is>
          <t>UKPN</t>
        </is>
      </c>
      <c r="R2768" t="b">
        <v>0</v>
      </c>
    </row>
    <row r="2769">
      <c r="A2769" t="inlineStr">
        <is>
          <t>19 Jan 2026 / 7800 MAC Tree Surgery and Fencing Ltd / Utilities / UKPN</t>
        </is>
      </c>
      <c r="B2769" t="inlineStr">
        <is>
          <t>Utilities</t>
        </is>
      </c>
      <c r="C2769" t="inlineStr">
        <is>
          <t>UKPN</t>
        </is>
      </c>
      <c r="D2769" t="inlineStr">
        <is>
          <t>AY68DAA , 4x4 , Izuzu , Dmax</t>
        </is>
      </c>
      <c r="E2769" t="inlineStr">
        <is>
          <t>AY68DAA , 4x4 , Izuzu , Dmax</t>
        </is>
      </c>
      <c r="F2769" t="inlineStr">
        <is>
          <t>AY68DAA , 4x4 , Izuzu , Dmax</t>
        </is>
      </c>
      <c r="G2769" t="inlineStr">
        <is>
          <t xml:space="preserve">Patrick O'Shea </t>
        </is>
      </c>
      <c r="H2769" t="inlineStr">
        <is>
          <t>4x4</t>
        </is>
      </c>
      <c r="I2769" t="inlineStr">
        <is>
          <t>Daily/ Weekly Vehicle Inspection</t>
        </is>
      </c>
      <c r="J2769" t="inlineStr">
        <is>
          <t>N/A</t>
        </is>
      </c>
      <c r="K2769" t="inlineStr">
        <is>
          <t>7800 MAC Tree Surgery and Fencing Ltd</t>
        </is>
      </c>
      <c r="L2769" t="inlineStr">
        <is>
          <t>19/01/2026 06:46</t>
        </is>
      </c>
      <c r="M2769" t="inlineStr">
        <is>
          <t>None</t>
        </is>
      </c>
      <c r="N2769" t="inlineStr">
        <is>
          <t>&lt;p&gt;&lt;/p&gt;</t>
        </is>
      </c>
      <c r="O2769" t="inlineStr"/>
      <c r="P2769" t="inlineStr">
        <is>
          <t>AY68DAA , 4x4 , Izuzu , Dmax</t>
        </is>
      </c>
      <c r="Q2769" t="inlineStr">
        <is>
          <t>UKPN</t>
        </is>
      </c>
      <c r="R2769" t="b">
        <v>0</v>
      </c>
    </row>
    <row r="2770">
      <c r="A2770" t="inlineStr">
        <is>
          <t>19 Jan 2026 / Thomas Playford / Utilities / UKPN</t>
        </is>
      </c>
      <c r="B2770" t="inlineStr">
        <is>
          <t>Utilities</t>
        </is>
      </c>
      <c r="C2770" t="inlineStr">
        <is>
          <t>UKPN</t>
        </is>
      </c>
      <c r="D2770" t="inlineStr">
        <is>
          <t>SA9ST800000283944 , Tow Chipper , Forst , ST8D - Towed</t>
        </is>
      </c>
      <c r="E2770" t="inlineStr">
        <is>
          <t>SA9ST800000283944 , Tow Chipper , Forst , ST8D - Towed</t>
        </is>
      </c>
      <c r="F2770" t="inlineStr">
        <is>
          <t>SA9ST800000283944 , Tow Chipper , Forst , ST8D - Towed</t>
        </is>
      </c>
      <c r="G2770" t="inlineStr">
        <is>
          <t xml:space="preserve">Thomas Playford </t>
        </is>
      </c>
      <c r="H2770" t="inlineStr">
        <is>
          <t>Towed Chipper</t>
        </is>
      </c>
      <c r="I2770" t="inlineStr">
        <is>
          <t>Daily/ Weekly Vehicle Inspection</t>
        </is>
      </c>
      <c r="J2770" t="inlineStr">
        <is>
          <t>N/A</t>
        </is>
      </c>
      <c r="K2770" t="inlineStr">
        <is>
          <t>7995 Green Net Eco Ltd 2</t>
        </is>
      </c>
      <c r="L2770" t="inlineStr">
        <is>
          <t>19/01/2026 07:43</t>
        </is>
      </c>
      <c r="M2770" t="inlineStr">
        <is>
          <t>None</t>
        </is>
      </c>
      <c r="N2770" t="inlineStr">
        <is>
          <t>&lt;p&gt;&lt;/p&gt;</t>
        </is>
      </c>
      <c r="O2770" t="inlineStr"/>
      <c r="P2770" t="inlineStr">
        <is>
          <t>SA9ST800000283944 , Tow Chipper , Forst , ST8D - Towed</t>
        </is>
      </c>
      <c r="Q2770" t="inlineStr">
        <is>
          <t>UKPN</t>
        </is>
      </c>
      <c r="R2770" t="b">
        <v>0</v>
      </c>
    </row>
    <row r="2771">
      <c r="A2771" t="inlineStr">
        <is>
          <t>19 Jan 2026 / 7806 Optimum Tree Services Ltd / Utilities / UKPN</t>
        </is>
      </c>
      <c r="B2771" t="inlineStr">
        <is>
          <t>Utilities</t>
        </is>
      </c>
      <c r="C2771" t="inlineStr">
        <is>
          <t>UKPN</t>
        </is>
      </c>
      <c r="D2771" t="inlineStr">
        <is>
          <t>Wd14evn , 4x4 , Landrover  , Defender</t>
        </is>
      </c>
      <c r="E2771" t="inlineStr">
        <is>
          <t>Wd14evn , 4x4 , Landrover  , Defender</t>
        </is>
      </c>
      <c r="F2771" t="inlineStr">
        <is>
          <t>Wd14evn , 4x4 , Landrover  , Defender</t>
        </is>
      </c>
      <c r="G2771" t="inlineStr">
        <is>
          <t xml:space="preserve">Lewis Davies </t>
        </is>
      </c>
      <c r="H2771" t="inlineStr">
        <is>
          <t>4x4</t>
        </is>
      </c>
      <c r="I2771" t="inlineStr">
        <is>
          <t>Daily/ Weekly Vehicle Inspection</t>
        </is>
      </c>
      <c r="J2771" t="inlineStr">
        <is>
          <t>N/A</t>
        </is>
      </c>
      <c r="K2771" t="inlineStr">
        <is>
          <t>7806 Optimum Tree Services Ltd</t>
        </is>
      </c>
      <c r="L2771" t="inlineStr">
        <is>
          <t>19/01/2026 07:45</t>
        </is>
      </c>
      <c r="M2771" t="inlineStr">
        <is>
          <t>None</t>
        </is>
      </c>
      <c r="N2771" t="inlineStr">
        <is>
          <t>&lt;p&gt;&lt;/p&gt;</t>
        </is>
      </c>
      <c r="O2771" t="inlineStr"/>
      <c r="P2771" t="inlineStr">
        <is>
          <t>Wd14evn , 4x4 , Landrover  , Defender</t>
        </is>
      </c>
      <c r="Q2771" t="inlineStr">
        <is>
          <t>UKPN</t>
        </is>
      </c>
      <c r="R2771" t="b">
        <v>0</v>
      </c>
    </row>
    <row r="2772">
      <c r="A2772" t="inlineStr">
        <is>
          <t>19 Jan 2026 / 7806 Optimum Tree Services Ltd / Utilities / UKPN</t>
        </is>
      </c>
      <c r="B2772" t="inlineStr">
        <is>
          <t>Utilities</t>
        </is>
      </c>
      <c r="C2772" t="inlineStr">
        <is>
          <t>UKPN</t>
        </is>
      </c>
      <c r="D2772" t="inlineStr">
        <is>
          <t>WD14EVB , MEWP , Land Rover , Defender</t>
        </is>
      </c>
      <c r="E2772" t="inlineStr">
        <is>
          <t>WD14EVB , MEWP , Land Rover , Defender</t>
        </is>
      </c>
      <c r="F2772" t="inlineStr">
        <is>
          <t>WD14EVB , MEWP , Land Rover , Defender</t>
        </is>
      </c>
      <c r="G2772" t="inlineStr">
        <is>
          <t xml:space="preserve">Abraham Davies </t>
        </is>
      </c>
      <c r="H2772" t="inlineStr">
        <is>
          <t>4x4</t>
        </is>
      </c>
      <c r="I2772" t="inlineStr">
        <is>
          <t>Daily/ Weekly Vehicle Inspection</t>
        </is>
      </c>
      <c r="J2772" t="inlineStr">
        <is>
          <t>N/A</t>
        </is>
      </c>
      <c r="K2772" t="inlineStr">
        <is>
          <t>7806 Optimum Tree Services Ltd</t>
        </is>
      </c>
      <c r="L2772" t="inlineStr">
        <is>
          <t>19/01/2026 07:46</t>
        </is>
      </c>
      <c r="M2772" t="inlineStr">
        <is>
          <t>None</t>
        </is>
      </c>
      <c r="N2772" t="inlineStr">
        <is>
          <t>&lt;p&gt;&lt;/p&gt;</t>
        </is>
      </c>
      <c r="O2772" t="inlineStr"/>
      <c r="P2772" t="inlineStr">
        <is>
          <t>WD14EVB , MEWP , Land Rover , Defender</t>
        </is>
      </c>
      <c r="Q2772" t="inlineStr">
        <is>
          <t>UKPN</t>
        </is>
      </c>
      <c r="R2772" t="b">
        <v>0</v>
      </c>
    </row>
    <row r="2773">
      <c r="A2773" t="inlineStr">
        <is>
          <t>19 Jan 2026 / Thomas Playford / Utilities / UKPN</t>
        </is>
      </c>
      <c r="B2773" t="inlineStr">
        <is>
          <t>Utilities</t>
        </is>
      </c>
      <c r="C2773" t="inlineStr">
        <is>
          <t>UKPN</t>
        </is>
      </c>
      <c r="D2773" t="inlineStr">
        <is>
          <t>LK15KRZ , 4x4 , Landrover , Defender</t>
        </is>
      </c>
      <c r="E2773" t="inlineStr">
        <is>
          <t>LK15KRZ , 4x4 , Landrover , Defender</t>
        </is>
      </c>
      <c r="F2773" t="inlineStr">
        <is>
          <t>LK15KRZ , 4x4 , Landrover , Defender</t>
        </is>
      </c>
      <c r="G2773" t="inlineStr">
        <is>
          <t>Thomas Playford</t>
        </is>
      </c>
      <c r="H2773" t="inlineStr">
        <is>
          <t>4x4</t>
        </is>
      </c>
      <c r="I2773" t="inlineStr">
        <is>
          <t>Daily/ Weekly Vehicle Inspection</t>
        </is>
      </c>
      <c r="J2773" t="inlineStr">
        <is>
          <t>N/A</t>
        </is>
      </c>
      <c r="K2773" t="inlineStr">
        <is>
          <t>7995 Green Net Eco Ltd 2</t>
        </is>
      </c>
      <c r="L2773" t="inlineStr">
        <is>
          <t>19/01/2026 07:47</t>
        </is>
      </c>
      <c r="M2773" t="inlineStr">
        <is>
          <t>None</t>
        </is>
      </c>
      <c r="N2773" t="inlineStr">
        <is>
          <t>&lt;p&gt;&lt;/p&gt;</t>
        </is>
      </c>
      <c r="O2773" t="inlineStr"/>
      <c r="P2773" t="inlineStr">
        <is>
          <t>LK15KRZ , 4x4 , Landrover , Defender</t>
        </is>
      </c>
      <c r="Q2773" t="inlineStr">
        <is>
          <t>UKPN</t>
        </is>
      </c>
      <c r="R2773" t="b">
        <v>0</v>
      </c>
    </row>
    <row r="2774">
      <c r="A2774" t="inlineStr">
        <is>
          <t>19 Jan 2026 / 7889 Tree Tech Suffolk Ltd</t>
        </is>
      </c>
      <c r="B2774" t="inlineStr">
        <is>
          <t>Utilities &amp; Inland Waterways</t>
        </is>
      </c>
      <c r="C2774" t="inlineStr">
        <is>
          <t>UKPN</t>
        </is>
      </c>
      <c r="D2774" t="inlineStr">
        <is>
          <t>Tipper - Nissan - Navara - NS02TTS</t>
        </is>
      </c>
      <c r="E2774" t="inlineStr">
        <is>
          <t>Tipper - Nissan - Navara - NS02TTS</t>
        </is>
      </c>
      <c r="F2774" t="inlineStr">
        <is>
          <t>Tipper - Nissan - Navara - NS02TTS</t>
        </is>
      </c>
      <c r="G2774" t="inlineStr">
        <is>
          <t>Danny Appleby</t>
        </is>
      </c>
      <c r="H2774" t="inlineStr">
        <is>
          <t>Tipper</t>
        </is>
      </c>
      <c r="I2774" t="inlineStr">
        <is>
          <t>Daily/ Weekly Vehicle Inspection</t>
        </is>
      </c>
      <c r="J2774" t="inlineStr">
        <is>
          <t>N/A</t>
        </is>
      </c>
      <c r="K2774" t="inlineStr">
        <is>
          <t>7889 Tree Tech Suffolk Ltd</t>
        </is>
      </c>
      <c r="L2774" t="inlineStr">
        <is>
          <t>19/01/2026 07:49</t>
        </is>
      </c>
      <c r="M2774" t="inlineStr">
        <is>
          <t>None</t>
        </is>
      </c>
      <c r="N2774" t="inlineStr">
        <is>
          <t>&lt;p&gt;&lt;/p&gt;</t>
        </is>
      </c>
      <c r="O2774" t="inlineStr">
        <is>
          <t>Select Vehicle:Ns05 tts</t>
        </is>
      </c>
      <c r="P2774" t="inlineStr">
        <is>
          <t>Tipper - Nissan - Navara - NS02TTS</t>
        </is>
      </c>
      <c r="Q2774" t="inlineStr">
        <is>
          <t>UKPN</t>
        </is>
      </c>
      <c r="R2774" t="b">
        <v>0</v>
      </c>
    </row>
    <row r="2775">
      <c r="A2775" t="inlineStr">
        <is>
          <t>19 Jan 2026 / 7186 Eastwoodbury Tree Services Ltd / Utilities / UKPN</t>
        </is>
      </c>
      <c r="B2775" t="inlineStr">
        <is>
          <t>Utilities</t>
        </is>
      </c>
      <c r="C2775" t="inlineStr">
        <is>
          <t>UKPN</t>
        </is>
      </c>
      <c r="D2775" t="inlineStr">
        <is>
          <t>DE53NKS , 4x4 , Ford , Ranger</t>
        </is>
      </c>
      <c r="E2775" t="inlineStr">
        <is>
          <t>DE53NKS , 4x4 , Ford , Ranger</t>
        </is>
      </c>
      <c r="F2775" t="inlineStr">
        <is>
          <t>DE53NKS , 4x4 , Ford , Ranger</t>
        </is>
      </c>
      <c r="G2775" t="inlineStr">
        <is>
          <t xml:space="preserve">Jay Denkmayer </t>
        </is>
      </c>
      <c r="H2775" t="inlineStr">
        <is>
          <t>4x4</t>
        </is>
      </c>
      <c r="I2775" t="inlineStr">
        <is>
          <t>Daily/ Weekly Vehicle Inspection</t>
        </is>
      </c>
      <c r="J2775" t="inlineStr">
        <is>
          <t>N/A</t>
        </is>
      </c>
      <c r="K2775" t="inlineStr">
        <is>
          <t>7186 Eastwoodbury Tree Services Ltd</t>
        </is>
      </c>
      <c r="L2775" t="inlineStr">
        <is>
          <t>19/01/2026 07:50</t>
        </is>
      </c>
      <c r="M2775" t="inlineStr">
        <is>
          <t>None</t>
        </is>
      </c>
      <c r="N2775" t="inlineStr">
        <is>
          <t>&lt;p&gt;&lt;/p&gt;</t>
        </is>
      </c>
      <c r="O2775" t="inlineStr"/>
      <c r="P2775" t="inlineStr">
        <is>
          <t>DE53NKS , 4x4 , Ford , Ranger</t>
        </is>
      </c>
      <c r="Q2775" t="inlineStr">
        <is>
          <t>UKPN</t>
        </is>
      </c>
      <c r="R2775" t="b">
        <v>0</v>
      </c>
    </row>
    <row r="2776">
      <c r="A2776" t="inlineStr">
        <is>
          <t>19 Jan 2026 / 7186 Eastwoodbury Tree Services Ltd / Utilities / UKPN</t>
        </is>
      </c>
      <c r="B2776" t="inlineStr">
        <is>
          <t>Utilities</t>
        </is>
      </c>
      <c r="C2776" t="inlineStr">
        <is>
          <t>UKPN</t>
        </is>
      </c>
      <c r="D2776" t="inlineStr">
        <is>
          <t>WF13 EKT , 4x4 , Land rover  , Defender</t>
        </is>
      </c>
      <c r="E2776" t="inlineStr">
        <is>
          <t>WF13 EKT , 4x4 , Land rover  , Defender</t>
        </is>
      </c>
      <c r="F2776" t="inlineStr">
        <is>
          <t>WF13 EKT , 4x4 , Land rover  , Defender</t>
        </is>
      </c>
      <c r="G2776" t="inlineStr">
        <is>
          <t xml:space="preserve">Dan Gilbert </t>
        </is>
      </c>
      <c r="H2776" t="inlineStr">
        <is>
          <t>4x4</t>
        </is>
      </c>
      <c r="I2776" t="inlineStr">
        <is>
          <t>Daily/ Weekly Vehicle Inspection</t>
        </is>
      </c>
      <c r="J2776" t="inlineStr">
        <is>
          <t>N/A</t>
        </is>
      </c>
      <c r="K2776" t="inlineStr">
        <is>
          <t>7186 Eastwoodbury Tree Services Ltd</t>
        </is>
      </c>
      <c r="L2776" t="inlineStr">
        <is>
          <t>19/01/2026 07:50</t>
        </is>
      </c>
      <c r="M2776" t="inlineStr">
        <is>
          <t>None</t>
        </is>
      </c>
      <c r="N2776" t="inlineStr">
        <is>
          <t>&lt;p&gt;&lt;/p&gt;</t>
        </is>
      </c>
      <c r="O2776" t="inlineStr"/>
      <c r="P2776" t="inlineStr">
        <is>
          <t>WF13 EKT , 4x4 , Land rover  , Defender</t>
        </is>
      </c>
      <c r="Q2776" t="inlineStr">
        <is>
          <t>UKPN</t>
        </is>
      </c>
      <c r="R2776" t="b">
        <v>0</v>
      </c>
    </row>
    <row r="2777">
      <c r="A2777" t="inlineStr">
        <is>
          <t>19 Jan 2026 / 7951 Austin Tree Care LTD / Utilities / UKPN</t>
        </is>
      </c>
      <c r="B2777" t="inlineStr">
        <is>
          <t>Utilities</t>
        </is>
      </c>
      <c r="C2777" t="inlineStr">
        <is>
          <t>UKPN</t>
        </is>
      </c>
      <c r="D2777" t="inlineStr">
        <is>
          <t>SA9ST6P0001283612 , Tow Chipper , Forst , ST6p</t>
        </is>
      </c>
      <c r="E2777" t="inlineStr">
        <is>
          <t>SA9ST6P0001283612 , Tow Chipper , Forst , ST6p</t>
        </is>
      </c>
      <c r="F2777" t="inlineStr">
        <is>
          <t>SA9ST6P0001283612 , Tow Chipper , Forst , ST6p</t>
        </is>
      </c>
      <c r="G2777" t="inlineStr">
        <is>
          <t xml:space="preserve">Jack Austin </t>
        </is>
      </c>
      <c r="H2777" t="inlineStr">
        <is>
          <t>Towed Chipper</t>
        </is>
      </c>
      <c r="I2777" t="inlineStr">
        <is>
          <t>Daily/ Weekly Vehicle Inspection</t>
        </is>
      </c>
      <c r="J2777" t="inlineStr">
        <is>
          <t>N/A</t>
        </is>
      </c>
      <c r="K2777" t="inlineStr">
        <is>
          <t>7951 Austin Tree Care LTD</t>
        </is>
      </c>
      <c r="L2777" t="inlineStr">
        <is>
          <t>19/01/2026 08:52</t>
        </is>
      </c>
      <c r="M2777" t="inlineStr">
        <is>
          <t>None</t>
        </is>
      </c>
      <c r="N2777" t="inlineStr">
        <is>
          <t>&lt;p&gt;&lt;/p&gt;</t>
        </is>
      </c>
      <c r="O2777" t="inlineStr"/>
      <c r="P2777" t="inlineStr">
        <is>
          <t>SA9ST6P0001283612 , Tow Chipper , Forst , ST6p</t>
        </is>
      </c>
      <c r="Q2777" t="inlineStr">
        <is>
          <t>UKPN</t>
        </is>
      </c>
      <c r="R2777" t="b">
        <v>0</v>
      </c>
    </row>
    <row r="2778">
      <c r="A2778" t="inlineStr">
        <is>
          <t>19 Jan 2026 / 7951 Austin Tree Care LTD / Utilities / UKPN</t>
        </is>
      </c>
      <c r="B2778" t="inlineStr">
        <is>
          <t>Utilities</t>
        </is>
      </c>
      <c r="C2778" t="inlineStr">
        <is>
          <t>UKPN</t>
        </is>
      </c>
      <c r="D2778" t="inlineStr">
        <is>
          <t>Kn58xuy , Tipper , VW  , Crafter</t>
        </is>
      </c>
      <c r="E2778" t="inlineStr">
        <is>
          <t>Kn58xuy , Tipper , VW  , Crafter</t>
        </is>
      </c>
      <c r="F2778" t="inlineStr">
        <is>
          <t>Kn58xuy , Tipper , VW  , Crafter</t>
        </is>
      </c>
      <c r="G2778" t="inlineStr">
        <is>
          <t xml:space="preserve">Jack Austin </t>
        </is>
      </c>
      <c r="H2778" t="inlineStr">
        <is>
          <t>Tipper</t>
        </is>
      </c>
      <c r="I2778" t="inlineStr">
        <is>
          <t>Daily/ Weekly Vehicle Inspection</t>
        </is>
      </c>
      <c r="J2778" t="inlineStr">
        <is>
          <t>N/A</t>
        </is>
      </c>
      <c r="K2778" t="inlineStr">
        <is>
          <t>7951 Austin Tree Care LTD</t>
        </is>
      </c>
      <c r="L2778" t="inlineStr">
        <is>
          <t>19/01/2026 08:55</t>
        </is>
      </c>
      <c r="M2778" t="inlineStr">
        <is>
          <t>None</t>
        </is>
      </c>
      <c r="N2778" t="inlineStr">
        <is>
          <t>&lt;p&gt;&lt;/p&gt;</t>
        </is>
      </c>
      <c r="O2778" t="inlineStr"/>
      <c r="P2778" t="inlineStr">
        <is>
          <t>Kn58xuy , Tipper , VW  , Crafter</t>
        </is>
      </c>
      <c r="Q2778" t="inlineStr">
        <is>
          <t>UKPN</t>
        </is>
      </c>
      <c r="R2778" t="b">
        <v>0</v>
      </c>
    </row>
    <row r="2779">
      <c r="A2779" t="inlineStr">
        <is>
          <t>19 Jan 2026 / Thomas Playford / Utilities / UKPN</t>
        </is>
      </c>
      <c r="B2779" t="inlineStr">
        <is>
          <t>Utilities</t>
        </is>
      </c>
      <c r="C2779" t="inlineStr">
        <is>
          <t>UKPN</t>
        </is>
      </c>
      <c r="D2779" t="inlineStr">
        <is>
          <t>SA9ST800000283944 , Tow Chipper , Forst , ST8D - Towed</t>
        </is>
      </c>
      <c r="E2779" t="inlineStr">
        <is>
          <t>SA9ST800000283944 , Tow Chipper , Forst , ST8D - Towed</t>
        </is>
      </c>
      <c r="F2779" t="inlineStr">
        <is>
          <t>SA9ST800000283944 , Tow Chipper , Forst , ST8D - Towed</t>
        </is>
      </c>
      <c r="G2779" t="inlineStr">
        <is>
          <t xml:space="preserve">Thomas Playford </t>
        </is>
      </c>
      <c r="H2779" t="inlineStr">
        <is>
          <t>Towed Chipper</t>
        </is>
      </c>
      <c r="I2779" t="inlineStr">
        <is>
          <t>Daily/ Weekly Vehicle Inspection</t>
        </is>
      </c>
      <c r="J2779" t="inlineStr">
        <is>
          <t>N/A</t>
        </is>
      </c>
      <c r="K2779" t="inlineStr">
        <is>
          <t>7995 Green Net Eco Ltd 2</t>
        </is>
      </c>
      <c r="L2779" t="inlineStr">
        <is>
          <t>19/01/2026 09:04</t>
        </is>
      </c>
      <c r="M2779" t="inlineStr">
        <is>
          <t>None</t>
        </is>
      </c>
      <c r="N2779" t="inlineStr">
        <is>
          <t>&lt;p&gt;&lt;/p&gt;</t>
        </is>
      </c>
      <c r="O2779" t="inlineStr"/>
      <c r="P2779" t="inlineStr">
        <is>
          <t>SA9ST800000283944 , Tow Chipper , Forst , ST8D - Towed</t>
        </is>
      </c>
      <c r="Q2779" t="inlineStr">
        <is>
          <t>UKPN</t>
        </is>
      </c>
      <c r="R2779" t="b">
        <v>0</v>
      </c>
    </row>
    <row r="2780">
      <c r="A2780" t="inlineStr">
        <is>
          <t>19 Jan 2026 / 7806 Optimum Tree Services Ltd / Utilities / UKPN</t>
        </is>
      </c>
      <c r="B2780" t="inlineStr">
        <is>
          <t>Utilities</t>
        </is>
      </c>
      <c r="C2780" t="inlineStr">
        <is>
          <t>UKPN</t>
        </is>
      </c>
      <c r="D2780" t="inlineStr">
        <is>
          <t>SA9TAPLAF27414263 , Trailer , Tow Mate , Plant Trailer</t>
        </is>
      </c>
      <c r="E2780" t="inlineStr">
        <is>
          <t>SA9TAPLAF27414263 , Trailer , Tow Mate , Plant Trailer</t>
        </is>
      </c>
      <c r="F2780" t="inlineStr">
        <is>
          <t>SA9TAPLAF27414263 , Trailer , Tow Mate , Plant Trailer</t>
        </is>
      </c>
      <c r="G2780" t="inlineStr">
        <is>
          <t xml:space="preserve">Abraham Davies </t>
        </is>
      </c>
      <c r="H2780" t="inlineStr">
        <is>
          <t>Plant Trailer</t>
        </is>
      </c>
      <c r="I2780" t="inlineStr">
        <is>
          <t>Daily/ Weekly Vehicle Inspection</t>
        </is>
      </c>
      <c r="J2780" t="inlineStr">
        <is>
          <t>N/A</t>
        </is>
      </c>
      <c r="K2780" t="inlineStr">
        <is>
          <t>7806 Optimum Tree Services Ltd</t>
        </is>
      </c>
      <c r="L2780" t="inlineStr">
        <is>
          <t>19/01/2026 09:09</t>
        </is>
      </c>
      <c r="M2780" t="inlineStr">
        <is>
          <t>None</t>
        </is>
      </c>
      <c r="N2780" t="inlineStr">
        <is>
          <t>&lt;p&gt;&lt;/p&gt;</t>
        </is>
      </c>
      <c r="O2780" t="inlineStr"/>
      <c r="P2780" t="inlineStr">
        <is>
          <t>SA9TAPLAF27414263 , Trailer , Tow Mate , Plant Trailer</t>
        </is>
      </c>
      <c r="Q2780" t="inlineStr">
        <is>
          <t>UKPN</t>
        </is>
      </c>
      <c r="R2780" t="b">
        <v>0</v>
      </c>
    </row>
    <row r="2781">
      <c r="A2781" t="inlineStr">
        <is>
          <t>19 Jan 2026 / Ian Thompson / Utilities / NGED</t>
        </is>
      </c>
      <c r="B2781" t="inlineStr">
        <is>
          <t>Utilities</t>
        </is>
      </c>
      <c r="C2781" t="inlineStr">
        <is>
          <t>NGED</t>
        </is>
      </c>
      <c r="D2781" t="inlineStr"/>
      <c r="E2781" t="inlineStr"/>
      <c r="F2781" t="inlineStr"/>
      <c r="G2781" t="inlineStr">
        <is>
          <t xml:space="preserve">Ian Thompson </t>
        </is>
      </c>
      <c r="H2781" t="inlineStr">
        <is>
          <t>Van</t>
        </is>
      </c>
      <c r="I2781" t="inlineStr">
        <is>
          <t>Daily/ Weekly Vehicle Inspection</t>
        </is>
      </c>
      <c r="J2781" t="inlineStr">
        <is>
          <t>N/A</t>
        </is>
      </c>
      <c r="K2781" t="inlineStr">
        <is>
          <t>Ian Thompson</t>
        </is>
      </c>
      <c r="L2781" t="inlineStr">
        <is>
          <t>19/01/2026 09:47</t>
        </is>
      </c>
      <c r="M2781" t="inlineStr">
        <is>
          <t>None</t>
        </is>
      </c>
      <c r="N2781" t="inlineStr">
        <is>
          <t>&lt;p&gt;&lt;/p&gt;</t>
        </is>
      </c>
      <c r="O2781" t="inlineStr"/>
      <c r="P2781" t="inlineStr"/>
      <c r="Q2781" t="inlineStr">
        <is>
          <t>NGED</t>
        </is>
      </c>
      <c r="R2781" t="b">
        <v>0</v>
      </c>
    </row>
    <row r="2782">
      <c r="A2782" t="inlineStr">
        <is>
          <t>19 Jan 2026 / Jonathan Wisbey / Utilities / UKPN</t>
        </is>
      </c>
      <c r="B2782" t="inlineStr">
        <is>
          <t>Utilities</t>
        </is>
      </c>
      <c r="C2782" t="inlineStr">
        <is>
          <t>UKPN</t>
        </is>
      </c>
      <c r="D2782" t="inlineStr"/>
      <c r="E2782" t="inlineStr"/>
      <c r="F2782" t="inlineStr"/>
      <c r="G2782" t="inlineStr">
        <is>
          <t xml:space="preserve">Jonathan Wisbey </t>
        </is>
      </c>
      <c r="H2782" t="inlineStr">
        <is>
          <t>Car - Petrol</t>
        </is>
      </c>
      <c r="I2782" t="inlineStr">
        <is>
          <t>Daily/ Weekly Vehicle Inspection</t>
        </is>
      </c>
      <c r="J2782" t="inlineStr">
        <is>
          <t>N/A</t>
        </is>
      </c>
      <c r="K2782" t="inlineStr">
        <is>
          <t>Jonathan Wisbey</t>
        </is>
      </c>
      <c r="L2782" t="inlineStr">
        <is>
          <t>19/01/2026 10:06</t>
        </is>
      </c>
      <c r="M2782" t="inlineStr">
        <is>
          <t>None</t>
        </is>
      </c>
      <c r="N2782" t="inlineStr">
        <is>
          <t>&lt;p&gt;&lt;/p&gt;</t>
        </is>
      </c>
      <c r="O2782" t="inlineStr"/>
      <c r="P2782" t="inlineStr"/>
      <c r="Q2782" t="inlineStr">
        <is>
          <t>UKPN</t>
        </is>
      </c>
      <c r="R2782" t="b">
        <v>0</v>
      </c>
    </row>
    <row r="2783">
      <c r="A2783" t="inlineStr">
        <is>
          <t>19 Jan 2026 / Alexander Damar / Utilities / UKPN</t>
        </is>
      </c>
      <c r="B2783" t="inlineStr">
        <is>
          <t>Utilities</t>
        </is>
      </c>
      <c r="C2783" t="inlineStr">
        <is>
          <t>UKPN</t>
        </is>
      </c>
      <c r="D2783" t="inlineStr"/>
      <c r="E2783" t="inlineStr"/>
      <c r="F2783" t="inlineStr"/>
      <c r="G2783" t="inlineStr">
        <is>
          <t>A Damar</t>
        </is>
      </c>
      <c r="H2783" t="inlineStr">
        <is>
          <t>Car - Petrol</t>
        </is>
      </c>
      <c r="I2783" t="inlineStr">
        <is>
          <t>Daily/ Weekly Vehicle Inspection</t>
        </is>
      </c>
      <c r="J2783" t="inlineStr">
        <is>
          <t>N/A</t>
        </is>
      </c>
      <c r="K2783" t="inlineStr">
        <is>
          <t>Alexander Damar</t>
        </is>
      </c>
      <c r="L2783" t="inlineStr">
        <is>
          <t>19/01/2026 10:44</t>
        </is>
      </c>
      <c r="M2783" t="inlineStr">
        <is>
          <t>None</t>
        </is>
      </c>
      <c r="N2783" t="inlineStr">
        <is>
          <t>&lt;p&gt;&lt;/p&gt;</t>
        </is>
      </c>
      <c r="O2783" t="inlineStr"/>
      <c r="P2783" t="inlineStr"/>
      <c r="Q2783" t="inlineStr">
        <is>
          <t>UKPN</t>
        </is>
      </c>
      <c r="R2783" t="b">
        <v>0</v>
      </c>
    </row>
    <row r="2784">
      <c r="A2784" t="inlineStr">
        <is>
          <t>19 Jan 2026 / 7806 Optimum Tree Services Ltd / Utilities / UKPN</t>
        </is>
      </c>
      <c r="B2784" t="inlineStr">
        <is>
          <t>Utilities</t>
        </is>
      </c>
      <c r="C2784" t="inlineStr">
        <is>
          <t>UKPN</t>
        </is>
      </c>
      <c r="D2784" t="inlineStr">
        <is>
          <t>SA9TAPLAF27414263 , Trailer , Tow Mate , Plant Trailer</t>
        </is>
      </c>
      <c r="E2784" t="inlineStr">
        <is>
          <t>SA9TAPLAF27414263 , Trailer , Tow Mate , Plant Trailer</t>
        </is>
      </c>
      <c r="F2784" t="inlineStr">
        <is>
          <t>SA9TAPLAF27414263 , Trailer , Tow Mate , Plant Trailer</t>
        </is>
      </c>
      <c r="G2784" t="inlineStr">
        <is>
          <t xml:space="preserve">Abraham Davies </t>
        </is>
      </c>
      <c r="H2784" t="inlineStr">
        <is>
          <t>Plant Trailer</t>
        </is>
      </c>
      <c r="I2784" t="inlineStr">
        <is>
          <t>Daily/ Weekly Vehicle Inspection</t>
        </is>
      </c>
      <c r="J2784" t="inlineStr">
        <is>
          <t>N/A</t>
        </is>
      </c>
      <c r="K2784" t="inlineStr">
        <is>
          <t>7806 Optimum Tree Services Ltd</t>
        </is>
      </c>
      <c r="L2784" t="inlineStr">
        <is>
          <t>19/01/2026 10:47</t>
        </is>
      </c>
      <c r="M2784" t="inlineStr">
        <is>
          <t>None</t>
        </is>
      </c>
      <c r="N2784" t="inlineStr">
        <is>
          <t>&lt;p&gt;&lt;/p&gt;</t>
        </is>
      </c>
      <c r="O2784" t="inlineStr"/>
      <c r="P2784" t="inlineStr">
        <is>
          <t>SA9TAPLAF27414263 , Trailer , Tow Mate , Plant Trailer</t>
        </is>
      </c>
      <c r="Q2784" t="inlineStr">
        <is>
          <t>UKPN</t>
        </is>
      </c>
      <c r="R2784" t="b">
        <v>0</v>
      </c>
    </row>
    <row r="2785">
      <c r="A2785" t="inlineStr">
        <is>
          <t>19 Jan 2026 / Joe Sauvage / Utilities / SSE</t>
        </is>
      </c>
      <c r="B2785" t="inlineStr">
        <is>
          <t>Utilities</t>
        </is>
      </c>
      <c r="C2785" t="inlineStr">
        <is>
          <t>SSE</t>
        </is>
      </c>
      <c r="D2785" t="inlineStr">
        <is>
          <t>AK70TBV , Car - Electric , Tesla , Model 3 Long Range AWD</t>
        </is>
      </c>
      <c r="E2785" t="inlineStr">
        <is>
          <t>AK70TBV , Car - Electric , Tesla , Model 3 Long Range AWD</t>
        </is>
      </c>
      <c r="F2785" t="inlineStr">
        <is>
          <t>AK70TBV , Car - Electric , Tesla , Model 3 Long Range AWD</t>
        </is>
      </c>
      <c r="G2785" t="inlineStr">
        <is>
          <t xml:space="preserve">Joe Sauvage </t>
        </is>
      </c>
      <c r="H2785" t="inlineStr">
        <is>
          <t>Car - Electric (GC Owned)</t>
        </is>
      </c>
      <c r="I2785" t="inlineStr">
        <is>
          <t>Daily/ Weekly Vehicle Inspection</t>
        </is>
      </c>
      <c r="J2785" t="inlineStr">
        <is>
          <t>N/A</t>
        </is>
      </c>
      <c r="K2785" t="inlineStr">
        <is>
          <t>Joe Sauvage</t>
        </is>
      </c>
      <c r="L2785" t="inlineStr">
        <is>
          <t>19/01/2026 10:56</t>
        </is>
      </c>
      <c r="M2785" t="inlineStr">
        <is>
          <t>None</t>
        </is>
      </c>
      <c r="N2785" t="inlineStr">
        <is>
          <t>&lt;p&gt;&lt;/p&gt;</t>
        </is>
      </c>
      <c r="O2785" t="inlineStr"/>
      <c r="P2785" t="inlineStr">
        <is>
          <t>AK70TBV , Car - Electric , Tesla , Model 3 Long Range AWD</t>
        </is>
      </c>
      <c r="Q2785" t="inlineStr">
        <is>
          <t>SSE</t>
        </is>
      </c>
      <c r="R2785" t="b">
        <v>0</v>
      </c>
    </row>
    <row r="2786">
      <c r="A2786" t="inlineStr">
        <is>
          <t>19 Jan 2026 / Benet Jones / Utilities / NGED</t>
        </is>
      </c>
      <c r="B2786" t="inlineStr">
        <is>
          <t>Utilities</t>
        </is>
      </c>
      <c r="C2786" t="inlineStr">
        <is>
          <t>NGED</t>
        </is>
      </c>
      <c r="D2786" t="inlineStr"/>
      <c r="E2786" t="inlineStr"/>
      <c r="F2786" t="inlineStr"/>
      <c r="G2786" t="inlineStr">
        <is>
          <t>Benet Jones</t>
        </is>
      </c>
      <c r="H2786" t="inlineStr">
        <is>
          <t>Car - Petrol</t>
        </is>
      </c>
      <c r="I2786" t="inlineStr">
        <is>
          <t>Daily/ Weekly Vehicle Inspection</t>
        </is>
      </c>
      <c r="J2786" t="inlineStr">
        <is>
          <t>N/A</t>
        </is>
      </c>
      <c r="K2786" t="inlineStr">
        <is>
          <t>Benet Jones</t>
        </is>
      </c>
      <c r="L2786" t="inlineStr">
        <is>
          <t>19/01/2026 11:46</t>
        </is>
      </c>
      <c r="M2786" t="inlineStr">
        <is>
          <t>None</t>
        </is>
      </c>
      <c r="N2786" t="inlineStr">
        <is>
          <t>&lt;p&gt;&lt;/p&gt;</t>
        </is>
      </c>
      <c r="O2786" t="inlineStr">
        <is>
          <t>Confirm that you have checked this vehicle as per the guidance document and the vehicle is safe and roadworthy:Vehicle checked and serviceable
-</t>
        </is>
      </c>
      <c r="P2786" t="inlineStr"/>
      <c r="Q2786" t="inlineStr">
        <is>
          <t>NGED</t>
        </is>
      </c>
      <c r="R2786" t="b">
        <v>0</v>
      </c>
    </row>
    <row r="2787">
      <c r="A2787" t="inlineStr">
        <is>
          <t>19 Jan 2026 / Richard Moses / Utilities / NGED</t>
        </is>
      </c>
      <c r="B2787" t="inlineStr">
        <is>
          <t>Utilities</t>
        </is>
      </c>
      <c r="C2787" t="inlineStr">
        <is>
          <t>NGED</t>
        </is>
      </c>
      <c r="D2787" t="inlineStr">
        <is>
          <t>AK23YLM , Car - Electric , Tesla , Model Y Long Range</t>
        </is>
      </c>
      <c r="E2787" t="inlineStr">
        <is>
          <t>AK23YLM , Car - Electric , Tesla , Model Y Long Range</t>
        </is>
      </c>
      <c r="F2787" t="inlineStr">
        <is>
          <t>AK23YLM , Car - Electric , Tesla , Model Y Long Range</t>
        </is>
      </c>
      <c r="G2787" t="inlineStr">
        <is>
          <t>Moses</t>
        </is>
      </c>
      <c r="H2787" t="inlineStr">
        <is>
          <t>Car - Electric (GC Owned)</t>
        </is>
      </c>
      <c r="I2787" t="inlineStr">
        <is>
          <t>Daily/ Weekly Vehicle Inspection</t>
        </is>
      </c>
      <c r="J2787" t="inlineStr">
        <is>
          <t>N/A</t>
        </is>
      </c>
      <c r="K2787" t="inlineStr">
        <is>
          <t>Richard Moses</t>
        </is>
      </c>
      <c r="L2787" t="inlineStr">
        <is>
          <t>19/01/2026 13:48</t>
        </is>
      </c>
      <c r="M2787" t="inlineStr">
        <is>
          <t>None</t>
        </is>
      </c>
      <c r="N2787" t="inlineStr">
        <is>
          <t>&lt;p&gt;&lt;/p&gt;</t>
        </is>
      </c>
      <c r="O2787" t="inlineStr"/>
      <c r="P2787" t="inlineStr">
        <is>
          <t>AK23YLM , Car - Electric , Tesla , Model Y Long Range</t>
        </is>
      </c>
      <c r="Q2787" t="inlineStr">
        <is>
          <t>NGED</t>
        </is>
      </c>
      <c r="R2787" t="b">
        <v>0</v>
      </c>
    </row>
    <row r="2788">
      <c r="A2788" t="inlineStr">
        <is>
          <t>20 Jan 2026 / 7800 MAC Tree Surgery and Fencing Ltd / Utilities / UKPN</t>
        </is>
      </c>
      <c r="B2788" t="inlineStr">
        <is>
          <t>Utilities</t>
        </is>
      </c>
      <c r="C2788" t="inlineStr">
        <is>
          <t>UKPN</t>
        </is>
      </c>
      <c r="D2788" t="inlineStr">
        <is>
          <t>Plant Trailer - Towmate - 2.8t - 0</t>
        </is>
      </c>
      <c r="E2788" t="inlineStr">
        <is>
          <t>Plant Trailer - Towmate - 2.8t - 0</t>
        </is>
      </c>
      <c r="F2788" t="inlineStr">
        <is>
          <t>Plant Trailer - Towmate - 2.8t - 0</t>
        </is>
      </c>
      <c r="G2788" t="inlineStr">
        <is>
          <t>Lewis mac</t>
        </is>
      </c>
      <c r="H2788" t="inlineStr">
        <is>
          <t>Plant Trailer</t>
        </is>
      </c>
      <c r="I2788" t="inlineStr">
        <is>
          <t>Daily/ Weekly Vehicle Inspection</t>
        </is>
      </c>
      <c r="J2788" t="inlineStr">
        <is>
          <t>N/A</t>
        </is>
      </c>
      <c r="K2788" t="inlineStr">
        <is>
          <t>7800 MAC Tree Surgery and Fencing Ltd</t>
        </is>
      </c>
      <c r="L2788" t="inlineStr">
        <is>
          <t>20/01/2026 07:46</t>
        </is>
      </c>
      <c r="M2788" t="inlineStr">
        <is>
          <t>None</t>
        </is>
      </c>
      <c r="N2788" t="inlineStr">
        <is>
          <t>&lt;p&gt;&lt;/p&gt;</t>
        </is>
      </c>
      <c r="O2788" t="inlineStr"/>
      <c r="P2788" t="inlineStr">
        <is>
          <t>Plant Trailer - Towmate - 2.8t - 0</t>
        </is>
      </c>
      <c r="Q2788" t="inlineStr">
        <is>
          <t>UKPN</t>
        </is>
      </c>
      <c r="R2788" t="b">
        <v>0</v>
      </c>
    </row>
    <row r="2789">
      <c r="A2789" t="inlineStr">
        <is>
          <t>20 Jan 2026 / 7800 MAC Tree Surgery and Fencing Ltd / Utilities / UKPN</t>
        </is>
      </c>
      <c r="B2789" t="inlineStr">
        <is>
          <t>Utilities</t>
        </is>
      </c>
      <c r="C2789" t="inlineStr">
        <is>
          <t>UKPN</t>
        </is>
      </c>
      <c r="D2789" t="inlineStr">
        <is>
          <t>AY68DAA , 4x4 , Izuzu , Dmax</t>
        </is>
      </c>
      <c r="E2789" t="inlineStr">
        <is>
          <t>AY68DAA , 4x4 , Izuzu , Dmax</t>
        </is>
      </c>
      <c r="F2789" t="inlineStr">
        <is>
          <t>AY68DAA , 4x4 , Izuzu , Dmax</t>
        </is>
      </c>
      <c r="G2789" t="inlineStr">
        <is>
          <t xml:space="preserve">Patrick O'Shea </t>
        </is>
      </c>
      <c r="H2789" t="inlineStr">
        <is>
          <t>4x4</t>
        </is>
      </c>
      <c r="I2789" t="inlineStr">
        <is>
          <t>Daily/ Weekly Vehicle Inspection</t>
        </is>
      </c>
      <c r="J2789" t="inlineStr">
        <is>
          <t>N/A</t>
        </is>
      </c>
      <c r="K2789" t="inlineStr">
        <is>
          <t>7800 MAC Tree Surgery and Fencing Ltd</t>
        </is>
      </c>
      <c r="L2789" t="inlineStr">
        <is>
          <t>20/01/2026 07:47</t>
        </is>
      </c>
      <c r="M2789" t="inlineStr">
        <is>
          <t>None</t>
        </is>
      </c>
      <c r="N2789" t="inlineStr">
        <is>
          <t>&lt;p&gt;&lt;/p&gt;</t>
        </is>
      </c>
      <c r="O2789" t="inlineStr"/>
      <c r="P2789" t="inlineStr">
        <is>
          <t>AY68DAA , 4x4 , Izuzu , Dmax</t>
        </is>
      </c>
      <c r="Q2789" t="inlineStr">
        <is>
          <t>UKPN</t>
        </is>
      </c>
      <c r="R2789" t="b">
        <v>0</v>
      </c>
    </row>
    <row r="2790">
      <c r="A2790" t="inlineStr">
        <is>
          <t>20 Jan 2026 / 7806 Optimum Tree Services Ltd / Utilities / UKPN</t>
        </is>
      </c>
      <c r="B2790" t="inlineStr">
        <is>
          <t>Utilities</t>
        </is>
      </c>
      <c r="C2790" t="inlineStr">
        <is>
          <t>UKPN</t>
        </is>
      </c>
      <c r="D2790" t="inlineStr">
        <is>
          <t>SA9TAPLAF27414263 , Trailer , Tow Mate , Plant Trailer</t>
        </is>
      </c>
      <c r="E2790" t="inlineStr">
        <is>
          <t>SA9TAPLAF27414263 , Trailer , Tow Mate , Plant Trailer</t>
        </is>
      </c>
      <c r="F2790" t="inlineStr">
        <is>
          <t>SA9TAPLAF27414263 , Trailer , Tow Mate , Plant Trailer</t>
        </is>
      </c>
      <c r="G2790" t="inlineStr">
        <is>
          <t xml:space="preserve">Abraham Davies </t>
        </is>
      </c>
      <c r="H2790" t="inlineStr">
        <is>
          <t>Plant Trailer</t>
        </is>
      </c>
      <c r="I2790" t="inlineStr">
        <is>
          <t>Daily/ Weekly Vehicle Inspection</t>
        </is>
      </c>
      <c r="J2790" t="inlineStr">
        <is>
          <t>N/A</t>
        </is>
      </c>
      <c r="K2790" t="inlineStr">
        <is>
          <t>7806 Optimum Tree Services Ltd</t>
        </is>
      </c>
      <c r="L2790" t="inlineStr">
        <is>
          <t>20/01/2026 07:48</t>
        </is>
      </c>
      <c r="M2790" t="inlineStr">
        <is>
          <t>None</t>
        </is>
      </c>
      <c r="N2790" t="inlineStr">
        <is>
          <t>&lt;p&gt;&lt;/p&gt;</t>
        </is>
      </c>
      <c r="O2790" t="inlineStr"/>
      <c r="P2790" t="inlineStr">
        <is>
          <t>SA9TAPLAF27414263 , Trailer , Tow Mate , Plant Trailer</t>
        </is>
      </c>
      <c r="Q2790" t="inlineStr">
        <is>
          <t>UKPN</t>
        </is>
      </c>
      <c r="R2790" t="b">
        <v>0</v>
      </c>
    </row>
    <row r="2791">
      <c r="A2791" t="inlineStr">
        <is>
          <t>20 Jan 2026 / 7806 Optimum Tree Services Ltd / Utilities / UKPN</t>
        </is>
      </c>
      <c r="B2791" t="inlineStr">
        <is>
          <t>Utilities</t>
        </is>
      </c>
      <c r="C2791" t="inlineStr">
        <is>
          <t>UKPN</t>
        </is>
      </c>
      <c r="D2791" t="inlineStr">
        <is>
          <t>Wd14evn , 4x4 , Landrover  , Defender</t>
        </is>
      </c>
      <c r="E2791" t="inlineStr">
        <is>
          <t>Wd14evn , 4x4 , Landrover  , Defender</t>
        </is>
      </c>
      <c r="F2791" t="inlineStr">
        <is>
          <t>Wd14evn , 4x4 , Landrover  , Defender</t>
        </is>
      </c>
      <c r="G2791" t="inlineStr">
        <is>
          <t xml:space="preserve">Lewis Davies </t>
        </is>
      </c>
      <c r="H2791" t="inlineStr">
        <is>
          <t>4x4</t>
        </is>
      </c>
      <c r="I2791" t="inlineStr">
        <is>
          <t>Daily/ Weekly Vehicle Inspection</t>
        </is>
      </c>
      <c r="J2791" t="inlineStr">
        <is>
          <t>N/A</t>
        </is>
      </c>
      <c r="K2791" t="inlineStr">
        <is>
          <t>7806 Optimum Tree Services Ltd</t>
        </is>
      </c>
      <c r="L2791" t="inlineStr">
        <is>
          <t>20/01/2026 07:54</t>
        </is>
      </c>
      <c r="M2791" t="inlineStr">
        <is>
          <t>None</t>
        </is>
      </c>
      <c r="N2791" t="inlineStr">
        <is>
          <t>&lt;p&gt;&lt;/p&gt;</t>
        </is>
      </c>
      <c r="O2791" t="inlineStr"/>
      <c r="P2791" t="inlineStr">
        <is>
          <t>Wd14evn , 4x4 , Landrover  , Defender</t>
        </is>
      </c>
      <c r="Q2791" t="inlineStr">
        <is>
          <t>UKPN</t>
        </is>
      </c>
      <c r="R2791" t="b">
        <v>0</v>
      </c>
    </row>
    <row r="2792">
      <c r="A2792" t="inlineStr">
        <is>
          <t>20 Jan 2026 / 7951 Austin Tree Care LTD / Utilities / UKPN</t>
        </is>
      </c>
      <c r="B2792" t="inlineStr">
        <is>
          <t>Utilities</t>
        </is>
      </c>
      <c r="C2792" t="inlineStr">
        <is>
          <t>UKPN</t>
        </is>
      </c>
      <c r="D2792" t="inlineStr">
        <is>
          <t>Kn58xuy , Tipper , VW  , Crafter</t>
        </is>
      </c>
      <c r="E2792" t="inlineStr">
        <is>
          <t>Kn58xuy , Tipper , VW  , Crafter</t>
        </is>
      </c>
      <c r="F2792" t="inlineStr">
        <is>
          <t>Kn58xuy , Tipper , VW  , Crafter</t>
        </is>
      </c>
      <c r="G2792" t="inlineStr">
        <is>
          <t xml:space="preserve">Jack Austin </t>
        </is>
      </c>
      <c r="H2792" t="inlineStr">
        <is>
          <t>Tipper</t>
        </is>
      </c>
      <c r="I2792" t="inlineStr">
        <is>
          <t>Daily/ Weekly Vehicle Inspection</t>
        </is>
      </c>
      <c r="J2792" t="inlineStr">
        <is>
          <t>N/A</t>
        </is>
      </c>
      <c r="K2792" t="inlineStr">
        <is>
          <t>7951 Austin Tree Care LTD</t>
        </is>
      </c>
      <c r="L2792" t="inlineStr">
        <is>
          <t>20/01/2026 07:59</t>
        </is>
      </c>
      <c r="M2792" t="inlineStr">
        <is>
          <t>None</t>
        </is>
      </c>
      <c r="N2792" t="inlineStr">
        <is>
          <t>&lt;p&gt;&lt;/p&gt;</t>
        </is>
      </c>
      <c r="O2792" t="inlineStr"/>
      <c r="P2792" t="inlineStr">
        <is>
          <t>Kn58xuy , Tipper , VW  , Crafter</t>
        </is>
      </c>
      <c r="Q2792" t="inlineStr">
        <is>
          <t>UKPN</t>
        </is>
      </c>
      <c r="R2792" t="b">
        <v>0</v>
      </c>
    </row>
    <row r="2793">
      <c r="A2793" t="inlineStr">
        <is>
          <t>20 Jan 2026 / 7951 Austin Tree Care LTD / Utilities / UKPN</t>
        </is>
      </c>
      <c r="B2793" t="inlineStr">
        <is>
          <t>Utilities</t>
        </is>
      </c>
      <c r="C2793" t="inlineStr">
        <is>
          <t>UKPN</t>
        </is>
      </c>
      <c r="D2793" t="inlineStr">
        <is>
          <t>Kn58xuy , Tipper , VW  , Crafter</t>
        </is>
      </c>
      <c r="E2793" t="inlineStr">
        <is>
          <t>Kn58xuy , Tipper , VW  , Crafter</t>
        </is>
      </c>
      <c r="F2793" t="inlineStr">
        <is>
          <t>Kn58xuy , Tipper , VW  , Crafter</t>
        </is>
      </c>
      <c r="G2793" t="inlineStr">
        <is>
          <t xml:space="preserve">Jack Austin </t>
        </is>
      </c>
      <c r="H2793" t="inlineStr">
        <is>
          <t>Towed Chipper</t>
        </is>
      </c>
      <c r="I2793" t="inlineStr">
        <is>
          <t>Daily/ Weekly Vehicle Inspection</t>
        </is>
      </c>
      <c r="J2793" t="inlineStr">
        <is>
          <t>N/A</t>
        </is>
      </c>
      <c r="K2793" t="inlineStr">
        <is>
          <t>7951 Austin Tree Care LTD</t>
        </is>
      </c>
      <c r="L2793" t="inlineStr">
        <is>
          <t>20/01/2026 08:00</t>
        </is>
      </c>
      <c r="M2793" t="inlineStr">
        <is>
          <t>None</t>
        </is>
      </c>
      <c r="N2793" t="inlineStr">
        <is>
          <t>&lt;p&gt;&lt;/p&gt;</t>
        </is>
      </c>
      <c r="O2793" t="inlineStr"/>
      <c r="P2793" t="inlineStr">
        <is>
          <t>Kn58xuy , Tipper , VW  , Crafter</t>
        </is>
      </c>
      <c r="Q2793" t="inlineStr">
        <is>
          <t>UKPN</t>
        </is>
      </c>
      <c r="R2793" t="b">
        <v>0</v>
      </c>
    </row>
    <row r="2794">
      <c r="A2794" t="inlineStr">
        <is>
          <t>20 Jan 2026 / Ashley Hill / Utilities / NGED</t>
        </is>
      </c>
      <c r="B2794" t="inlineStr">
        <is>
          <t>Utilities</t>
        </is>
      </c>
      <c r="C2794" t="inlineStr">
        <is>
          <t>NGED</t>
        </is>
      </c>
      <c r="D2794" t="inlineStr"/>
      <c r="E2794" t="inlineStr"/>
      <c r="F2794" t="inlineStr"/>
      <c r="G2794" t="inlineStr">
        <is>
          <t>Ashley hill</t>
        </is>
      </c>
      <c r="H2794" t="inlineStr">
        <is>
          <t>Car - Petrol</t>
        </is>
      </c>
      <c r="I2794" t="inlineStr">
        <is>
          <t>Daily/ Weekly Vehicle Inspection</t>
        </is>
      </c>
      <c r="J2794" t="inlineStr">
        <is>
          <t>N/A</t>
        </is>
      </c>
      <c r="K2794" t="inlineStr">
        <is>
          <t>Ashley Hill</t>
        </is>
      </c>
      <c r="L2794" t="inlineStr">
        <is>
          <t>20/01/2026 08:03</t>
        </is>
      </c>
      <c r="M2794" t="inlineStr">
        <is>
          <t>None</t>
        </is>
      </c>
      <c r="N2794" t="inlineStr">
        <is>
          <t>&lt;p&gt;&lt;/p&gt;</t>
        </is>
      </c>
      <c r="O2794" t="inlineStr"/>
      <c r="P2794" t="inlineStr"/>
      <c r="Q2794" t="inlineStr">
        <is>
          <t>NGED</t>
        </is>
      </c>
      <c r="R2794" t="b">
        <v>0</v>
      </c>
    </row>
    <row r="2795">
      <c r="A2795" t="inlineStr">
        <is>
          <t>20 Jan 2026 / 7889 Tree Tech Suffolk Ltd</t>
        </is>
      </c>
      <c r="B2795" t="inlineStr">
        <is>
          <t>Utilities &amp; Inland Waterways</t>
        </is>
      </c>
      <c r="C2795" t="inlineStr">
        <is>
          <t>UKPN</t>
        </is>
      </c>
      <c r="D2795" t="inlineStr">
        <is>
          <t>Tipper - Nissan - Navara - NS02TTS</t>
        </is>
      </c>
      <c r="E2795" t="inlineStr">
        <is>
          <t>Tipper - Nissan - Navara - NS02TTS</t>
        </is>
      </c>
      <c r="F2795" t="inlineStr">
        <is>
          <t>Tipper - Nissan - Navara - NS02TTS</t>
        </is>
      </c>
      <c r="G2795" t="inlineStr">
        <is>
          <t>Danny Appleby</t>
        </is>
      </c>
      <c r="H2795" t="inlineStr">
        <is>
          <t>Tipper</t>
        </is>
      </c>
      <c r="I2795" t="inlineStr">
        <is>
          <t>Daily/ Weekly Vehicle Inspection</t>
        </is>
      </c>
      <c r="J2795" t="inlineStr">
        <is>
          <t>N/A</t>
        </is>
      </c>
      <c r="K2795" t="inlineStr">
        <is>
          <t>7889 Tree Tech Suffolk Ltd</t>
        </is>
      </c>
      <c r="L2795" t="inlineStr">
        <is>
          <t>20/01/2026 08:05</t>
        </is>
      </c>
      <c r="M2795" t="inlineStr">
        <is>
          <t>None</t>
        </is>
      </c>
      <c r="N2795" t="inlineStr">
        <is>
          <t>&lt;p&gt;&lt;/p&gt;</t>
        </is>
      </c>
      <c r="O2795" t="inlineStr">
        <is>
          <t>Select Vehicle:Ns05 tts</t>
        </is>
      </c>
      <c r="P2795" t="inlineStr">
        <is>
          <t>Tipper - Nissan - Navara - NS02TTS</t>
        </is>
      </c>
      <c r="Q2795" t="inlineStr">
        <is>
          <t>UKPN</t>
        </is>
      </c>
      <c r="R2795" t="b">
        <v>0</v>
      </c>
    </row>
    <row r="2796">
      <c r="A2796" t="inlineStr">
        <is>
          <t>20 Jan 2026 / 7996 M G Tree Surgery Ltd / Utilities / UKPN</t>
        </is>
      </c>
      <c r="B2796" t="inlineStr">
        <is>
          <t>Utilities</t>
        </is>
      </c>
      <c r="C2796" t="inlineStr">
        <is>
          <t>UKPN</t>
        </is>
      </c>
      <c r="D2796" t="inlineStr">
        <is>
          <t>WX68 NLD , Tipper , Ford , Transit 350</t>
        </is>
      </c>
      <c r="E2796" t="inlineStr">
        <is>
          <t>WX68 NLD , Tipper , Ford , Transit 350</t>
        </is>
      </c>
      <c r="F2796" t="inlineStr">
        <is>
          <t>WX68 NLD , Tipper , Ford , Transit 350</t>
        </is>
      </c>
      <c r="G2796" t="inlineStr">
        <is>
          <t>Max</t>
        </is>
      </c>
      <c r="H2796" t="inlineStr">
        <is>
          <t>Tipper</t>
        </is>
      </c>
      <c r="I2796" t="inlineStr">
        <is>
          <t>Daily/ Weekly Vehicle Inspection</t>
        </is>
      </c>
      <c r="J2796" t="inlineStr">
        <is>
          <t>N/A</t>
        </is>
      </c>
      <c r="K2796" t="inlineStr">
        <is>
          <t>7996 M G Tree Surgery Ltd</t>
        </is>
      </c>
      <c r="L2796" t="inlineStr">
        <is>
          <t>20/01/2026 08:44</t>
        </is>
      </c>
      <c r="M2796" t="inlineStr">
        <is>
          <t>None</t>
        </is>
      </c>
      <c r="N2796" t="inlineStr">
        <is>
          <t>&lt;p&gt;&lt;/p&gt;</t>
        </is>
      </c>
      <c r="O2796" t="inlineStr">
        <is>
          <t>Confirm that you have checked this vehicle as per the guidance document and the vehicle is safe and roadworthy:Unable to apply wheel nut indicators sure to wheel layout
-</t>
        </is>
      </c>
      <c r="P2796" t="inlineStr">
        <is>
          <t>WX68 NLD , Tipper , Ford , Transit 350</t>
        </is>
      </c>
      <c r="Q2796" t="inlineStr">
        <is>
          <t>UKPN</t>
        </is>
      </c>
      <c r="R2796" t="b">
        <v>0</v>
      </c>
    </row>
    <row r="2797">
      <c r="A2797" t="inlineStr">
        <is>
          <t>20 Jan 2026 / Philip Shaw / Utilities / NGED</t>
        </is>
      </c>
      <c r="B2797" t="inlineStr">
        <is>
          <t>Utilities</t>
        </is>
      </c>
      <c r="C2797" t="inlineStr">
        <is>
          <t>NGED</t>
        </is>
      </c>
      <c r="D2797" t="inlineStr">
        <is>
          <t>AF22TZO , Car - Electric , Tesla , Model 3 Long Range AWD</t>
        </is>
      </c>
      <c r="E2797" t="inlineStr">
        <is>
          <t>AF22TZO , Car - Electric , Tesla , Model 3 Long Range AWD</t>
        </is>
      </c>
      <c r="F2797" t="inlineStr">
        <is>
          <t>AF22TZO , Car - Electric , Tesla , Model 3 Long Range AWD</t>
        </is>
      </c>
      <c r="G2797" t="inlineStr">
        <is>
          <t>Phil shaw</t>
        </is>
      </c>
      <c r="H2797" t="inlineStr">
        <is>
          <t>Car - Electric (GC Owned)</t>
        </is>
      </c>
      <c r="I2797" t="inlineStr">
        <is>
          <t>Daily/ Weekly Vehicle Inspection</t>
        </is>
      </c>
      <c r="J2797" t="inlineStr">
        <is>
          <t>N/A</t>
        </is>
      </c>
      <c r="K2797" t="inlineStr">
        <is>
          <t>Philip Shaw</t>
        </is>
      </c>
      <c r="L2797" t="inlineStr">
        <is>
          <t>20/01/2026 08:45</t>
        </is>
      </c>
      <c r="M2797" t="inlineStr">
        <is>
          <t>None</t>
        </is>
      </c>
      <c r="N2797" t="inlineStr">
        <is>
          <t>&lt;p&gt;&lt;/p&gt;</t>
        </is>
      </c>
      <c r="O2797" t="inlineStr"/>
      <c r="P2797" t="inlineStr">
        <is>
          <t>AF22TZO , Car - Electric , Tesla , Model 3 Long Range AWD</t>
        </is>
      </c>
      <c r="Q2797" t="inlineStr">
        <is>
          <t>NGED</t>
        </is>
      </c>
      <c r="R2797" t="b">
        <v>0</v>
      </c>
    </row>
    <row r="2798">
      <c r="A2798" t="inlineStr">
        <is>
          <t>20 Jan 2026 / Thomas Playford / Utilities / UKPN</t>
        </is>
      </c>
      <c r="B2798" t="inlineStr">
        <is>
          <t>Utilities</t>
        </is>
      </c>
      <c r="C2798" t="inlineStr">
        <is>
          <t>UKPN</t>
        </is>
      </c>
      <c r="D2798" t="inlineStr">
        <is>
          <t>SA9ST800000283944 , Tow Chipper , Forst , ST8D - Towed</t>
        </is>
      </c>
      <c r="E2798" t="inlineStr">
        <is>
          <t>SA9ST800000283944 , Tow Chipper , Forst , ST8D - Towed</t>
        </is>
      </c>
      <c r="F2798" t="inlineStr">
        <is>
          <t>SA9ST800000283944 , Tow Chipper , Forst , ST8D - Towed</t>
        </is>
      </c>
      <c r="G2798" t="inlineStr">
        <is>
          <t>Thomas Playford</t>
        </is>
      </c>
      <c r="H2798" t="inlineStr">
        <is>
          <t>Towed Chipper</t>
        </is>
      </c>
      <c r="I2798" t="inlineStr">
        <is>
          <t>Daily/ Weekly Vehicle Inspection</t>
        </is>
      </c>
      <c r="J2798" t="inlineStr">
        <is>
          <t>N/A</t>
        </is>
      </c>
      <c r="K2798" t="inlineStr">
        <is>
          <t>7995 Green Net Eco Ltd 2</t>
        </is>
      </c>
      <c r="L2798" t="inlineStr">
        <is>
          <t>20/01/2026 08:53</t>
        </is>
      </c>
      <c r="M2798" t="inlineStr">
        <is>
          <t>None</t>
        </is>
      </c>
      <c r="N2798" t="inlineStr">
        <is>
          <t>&lt;p&gt;&lt;/p&gt;</t>
        </is>
      </c>
      <c r="O2798" t="inlineStr"/>
      <c r="P2798" t="inlineStr">
        <is>
          <t>SA9ST800000283944 , Tow Chipper , Forst , ST8D - Towed</t>
        </is>
      </c>
      <c r="Q2798" t="inlineStr">
        <is>
          <t>UKPN</t>
        </is>
      </c>
      <c r="R2798" t="b">
        <v>0</v>
      </c>
    </row>
    <row r="2799">
      <c r="A2799" t="inlineStr">
        <is>
          <t>20 Jan 2026 / Thomas Playford / Utilities / UKPN</t>
        </is>
      </c>
      <c r="B2799" t="inlineStr">
        <is>
          <t>Utilities</t>
        </is>
      </c>
      <c r="C2799" t="inlineStr">
        <is>
          <t>UKPN</t>
        </is>
      </c>
      <c r="D2799" t="inlineStr">
        <is>
          <t>LK15KRZ , 4x4 , Landrover , Defender</t>
        </is>
      </c>
      <c r="E2799" t="inlineStr">
        <is>
          <t>LK15KRZ , 4x4 , Landrover , Defender</t>
        </is>
      </c>
      <c r="F2799" t="inlineStr">
        <is>
          <t>LK15KRZ , 4x4 , Landrover , Defender</t>
        </is>
      </c>
      <c r="G2799" t="inlineStr">
        <is>
          <t>Thomas Playford</t>
        </is>
      </c>
      <c r="H2799" t="inlineStr">
        <is>
          <t>4x4</t>
        </is>
      </c>
      <c r="I2799" t="inlineStr">
        <is>
          <t>Daily/ Weekly Vehicle Inspection</t>
        </is>
      </c>
      <c r="J2799" t="inlineStr">
        <is>
          <t>N/A</t>
        </is>
      </c>
      <c r="K2799" t="inlineStr">
        <is>
          <t>7995 Green Net Eco Ltd 2</t>
        </is>
      </c>
      <c r="L2799" t="inlineStr">
        <is>
          <t>20/01/2026 08:55</t>
        </is>
      </c>
      <c r="M2799" t="inlineStr">
        <is>
          <t>None</t>
        </is>
      </c>
      <c r="N2799" t="inlineStr">
        <is>
          <t>&lt;p&gt;&lt;/p&gt;</t>
        </is>
      </c>
      <c r="O2799" t="inlineStr"/>
      <c r="P2799" t="inlineStr">
        <is>
          <t>LK15KRZ , 4x4 , Landrover , Defender</t>
        </is>
      </c>
      <c r="Q2799" t="inlineStr">
        <is>
          <t>UKPN</t>
        </is>
      </c>
      <c r="R2799" t="b">
        <v>0</v>
      </c>
    </row>
    <row r="2800">
      <c r="A2800" t="inlineStr">
        <is>
          <t>20 Jan 2026 / 3098 D &amp; R Landscapes / Utilities / UKPN</t>
        </is>
      </c>
      <c r="B2800" t="inlineStr">
        <is>
          <t>Utilities</t>
        </is>
      </c>
      <c r="C2800" t="inlineStr">
        <is>
          <t>UKPN</t>
        </is>
      </c>
      <c r="D2800" t="inlineStr">
        <is>
          <t>DE68XHA , Tipper , Isuzu , Grafter</t>
        </is>
      </c>
      <c r="E2800" t="inlineStr">
        <is>
          <t>DE68XHA , Tipper , Isuzu , Grafter</t>
        </is>
      </c>
      <c r="F2800" t="inlineStr">
        <is>
          <t>DE68XHA , Tipper , Isuzu , Grafter</t>
        </is>
      </c>
      <c r="G2800" t="inlineStr">
        <is>
          <t xml:space="preserve">Chris </t>
        </is>
      </c>
      <c r="H2800" t="inlineStr">
        <is>
          <t>Tipper</t>
        </is>
      </c>
      <c r="I2800" t="inlineStr">
        <is>
          <t>Daily/ Weekly Vehicle Inspection</t>
        </is>
      </c>
      <c r="J2800" t="inlineStr">
        <is>
          <t>N/A</t>
        </is>
      </c>
      <c r="K2800" t="inlineStr">
        <is>
          <t>3098 D &amp; R Landscapes</t>
        </is>
      </c>
      <c r="L2800" t="inlineStr">
        <is>
          <t>20/01/2026 09:49</t>
        </is>
      </c>
      <c r="M2800" t="inlineStr">
        <is>
          <t>None</t>
        </is>
      </c>
      <c r="N2800" t="inlineStr">
        <is>
          <t>&lt;p&gt;&lt;/p&gt;</t>
        </is>
      </c>
      <c r="O2800" t="inlineStr"/>
      <c r="P2800" t="inlineStr">
        <is>
          <t>DE68XHA , Tipper , Isuzu , Grafter</t>
        </is>
      </c>
      <c r="Q2800" t="inlineStr">
        <is>
          <t>UKPN</t>
        </is>
      </c>
      <c r="R2800" t="b">
        <v>0</v>
      </c>
    </row>
    <row r="2801">
      <c r="A2801" t="inlineStr">
        <is>
          <t>20 Jan 2026 / 3098 D &amp; R Landscapes / Utilities / UKPN</t>
        </is>
      </c>
      <c r="B2801" t="inlineStr">
        <is>
          <t>Utilities</t>
        </is>
      </c>
      <c r="C2801" t="inlineStr">
        <is>
          <t>UKPN</t>
        </is>
      </c>
      <c r="D2801" t="inlineStr">
        <is>
          <t>BT20 GNZ , Vehicle , Nissan , Navara</t>
        </is>
      </c>
      <c r="E2801" t="inlineStr">
        <is>
          <t>BT20 GNZ , Vehicle , Nissan , Navara</t>
        </is>
      </c>
      <c r="F2801" t="inlineStr">
        <is>
          <t>BT20 GNZ , Vehicle , Nissan , Navara</t>
        </is>
      </c>
      <c r="G2801" t="inlineStr">
        <is>
          <t>Jason</t>
        </is>
      </c>
      <c r="H2801" t="inlineStr">
        <is>
          <t>Pickup Truck</t>
        </is>
      </c>
      <c r="I2801" t="inlineStr">
        <is>
          <t>Daily/ Weekly Vehicle Inspection</t>
        </is>
      </c>
      <c r="J2801" t="inlineStr">
        <is>
          <t>N/A</t>
        </is>
      </c>
      <c r="K2801" t="inlineStr">
        <is>
          <t>3098 D &amp; R Landscapes</t>
        </is>
      </c>
      <c r="L2801" t="inlineStr">
        <is>
          <t>20/01/2026 09:50</t>
        </is>
      </c>
      <c r="M2801" t="inlineStr">
        <is>
          <t>None</t>
        </is>
      </c>
      <c r="N2801" t="inlineStr">
        <is>
          <t>&lt;p&gt;&lt;/p&gt;</t>
        </is>
      </c>
      <c r="O2801" t="inlineStr"/>
      <c r="P2801" t="inlineStr">
        <is>
          <t>BT20 GNZ , Vehicle , Nissan , Navara</t>
        </is>
      </c>
      <c r="Q2801" t="inlineStr">
        <is>
          <t>UKPN</t>
        </is>
      </c>
      <c r="R2801" t="b">
        <v>0</v>
      </c>
    </row>
    <row r="2802">
      <c r="A2802" t="inlineStr">
        <is>
          <t>20 Jan 2026 / Christopher Simeoli / Utilities / NGED</t>
        </is>
      </c>
      <c r="B2802" t="inlineStr">
        <is>
          <t>Utilities</t>
        </is>
      </c>
      <c r="C2802" t="inlineStr">
        <is>
          <t>NGED</t>
        </is>
      </c>
      <c r="D2802" t="inlineStr">
        <is>
          <t>EO73KVB , Car - Electric , Kia , Niro</t>
        </is>
      </c>
      <c r="E2802" t="inlineStr">
        <is>
          <t>EO73KVB , Car - Electric , Kia , Niro</t>
        </is>
      </c>
      <c r="F2802" t="inlineStr">
        <is>
          <t>EO73KVB , Car - Electric , Kia , Niro</t>
        </is>
      </c>
      <c r="G2802" t="inlineStr">
        <is>
          <t>Chris Simeoli</t>
        </is>
      </c>
      <c r="H2802" t="inlineStr">
        <is>
          <t>Car - Electric (GC Owned)</t>
        </is>
      </c>
      <c r="I2802" t="inlineStr">
        <is>
          <t>Daily/ Weekly Vehicle Inspection</t>
        </is>
      </c>
      <c r="J2802" t="inlineStr">
        <is>
          <t>N/A</t>
        </is>
      </c>
      <c r="K2802" t="inlineStr">
        <is>
          <t>Christopher Simeoli</t>
        </is>
      </c>
      <c r="L2802" t="inlineStr">
        <is>
          <t>20/01/2026 10:47</t>
        </is>
      </c>
      <c r="M2802" t="inlineStr">
        <is>
          <t>None</t>
        </is>
      </c>
      <c r="N2802" t="inlineStr">
        <is>
          <t>&lt;p&gt;&lt;/p&gt;</t>
        </is>
      </c>
      <c r="O2802" t="inlineStr"/>
      <c r="P2802" t="inlineStr">
        <is>
          <t>EO73KVB , Car - Electric , Kia , Niro</t>
        </is>
      </c>
      <c r="Q2802" t="inlineStr">
        <is>
          <t>NGED</t>
        </is>
      </c>
      <c r="R2802" t="b">
        <v>0</v>
      </c>
    </row>
    <row r="2803">
      <c r="A2803" t="inlineStr">
        <is>
          <t>20 Jan 2026 / Mike Jackson / Utilities / NGED</t>
        </is>
      </c>
      <c r="B2803" t="inlineStr">
        <is>
          <t>Utilities</t>
        </is>
      </c>
      <c r="C2803" t="inlineStr">
        <is>
          <t>NGED</t>
        </is>
      </c>
      <c r="D2803" t="inlineStr"/>
      <c r="E2803" t="inlineStr"/>
      <c r="F2803" t="inlineStr"/>
      <c r="G2803" t="inlineStr"/>
      <c r="H2803" t="inlineStr"/>
      <c r="I2803" t="inlineStr"/>
      <c r="J2803" t="inlineStr">
        <is>
          <t>N/A</t>
        </is>
      </c>
      <c r="K2803" t="inlineStr">
        <is>
          <t>Mike Jackson</t>
        </is>
      </c>
      <c r="L2803" t="inlineStr">
        <is>
          <t>20/01/2026 10:58</t>
        </is>
      </c>
      <c r="M2803" t="inlineStr">
        <is>
          <t>None</t>
        </is>
      </c>
      <c r="N2803" t="inlineStr">
        <is>
          <t>&lt;p&gt;&lt;/p&gt;</t>
        </is>
      </c>
      <c r="O2803" t="inlineStr"/>
      <c r="P2803" t="inlineStr"/>
      <c r="Q2803" t="inlineStr">
        <is>
          <t>NGED</t>
        </is>
      </c>
      <c r="R2803" t="b">
        <v>0</v>
      </c>
    </row>
    <row r="2804">
      <c r="A2804" t="inlineStr">
        <is>
          <t>20 Jan 2026 / Rodney Taylor / Utilities / NGED</t>
        </is>
      </c>
      <c r="B2804" t="inlineStr">
        <is>
          <t>Utilities</t>
        </is>
      </c>
      <c r="C2804" t="inlineStr">
        <is>
          <t>NGED</t>
        </is>
      </c>
      <c r="D2804" t="inlineStr">
        <is>
          <t>EK73UOM , Car - Electric , Kia , Niro</t>
        </is>
      </c>
      <c r="E2804" t="inlineStr">
        <is>
          <t>EK73UOM , Car - Electric , Kia , Niro</t>
        </is>
      </c>
      <c r="F2804" t="inlineStr">
        <is>
          <t>EK73UOM , Car - Electric , Kia , Niro</t>
        </is>
      </c>
      <c r="G2804" t="inlineStr">
        <is>
          <t xml:space="preserve">Rod Taylor </t>
        </is>
      </c>
      <c r="H2804" t="inlineStr">
        <is>
          <t>Car - Electric (GC Owned)</t>
        </is>
      </c>
      <c r="I2804" t="inlineStr">
        <is>
          <t>Daily/ Weekly Vehicle Inspection</t>
        </is>
      </c>
      <c r="J2804" t="inlineStr">
        <is>
          <t>N/A</t>
        </is>
      </c>
      <c r="K2804" t="inlineStr">
        <is>
          <t>Rodney Taylor</t>
        </is>
      </c>
      <c r="L2804" t="inlineStr">
        <is>
          <t>20/01/2026 15:46</t>
        </is>
      </c>
      <c r="M2804" t="inlineStr">
        <is>
          <t>None</t>
        </is>
      </c>
      <c r="N2804" t="inlineStr">
        <is>
          <t>&lt;p&gt;&lt;/p&gt;</t>
        </is>
      </c>
      <c r="O2804" t="inlineStr"/>
      <c r="P2804" t="inlineStr">
        <is>
          <t>EK73UOM , Car - Electric , Kia , Niro</t>
        </is>
      </c>
      <c r="Q2804" t="inlineStr">
        <is>
          <t>NGED</t>
        </is>
      </c>
      <c r="R2804" t="b">
        <v>0</v>
      </c>
    </row>
    <row r="2805">
      <c r="A2805" t="inlineStr">
        <is>
          <t>20 Jan 2026 / Patryk Zietarski / Utilities / UKPN</t>
        </is>
      </c>
      <c r="B2805" t="inlineStr">
        <is>
          <t>Utilities</t>
        </is>
      </c>
      <c r="C2805" t="inlineStr">
        <is>
          <t>UKPN</t>
        </is>
      </c>
      <c r="D2805" t="inlineStr">
        <is>
          <t>YW73CWL , Car - Electric , Kia , eNiro</t>
        </is>
      </c>
      <c r="E2805" t="inlineStr">
        <is>
          <t>YW73CWL , Car - Electric , Kia , eNiro</t>
        </is>
      </c>
      <c r="F2805" t="inlineStr">
        <is>
          <t>YW73CWL , Car - Electric , Kia , eNiro</t>
        </is>
      </c>
      <c r="G2805" t="inlineStr">
        <is>
          <t xml:space="preserve">Patryk Zietarski </t>
        </is>
      </c>
      <c r="H2805" t="inlineStr">
        <is>
          <t>Car - Electric (GC Owned)</t>
        </is>
      </c>
      <c r="I2805" t="inlineStr">
        <is>
          <t>Daily/ Weekly Vehicle Inspection</t>
        </is>
      </c>
      <c r="J2805" t="inlineStr">
        <is>
          <t>N/A</t>
        </is>
      </c>
      <c r="K2805" t="inlineStr">
        <is>
          <t>Patryk Zietarski</t>
        </is>
      </c>
      <c r="L2805" t="inlineStr">
        <is>
          <t>20/01/2026 17:47</t>
        </is>
      </c>
      <c r="M2805" t="inlineStr">
        <is>
          <t>None</t>
        </is>
      </c>
      <c r="N2805" t="inlineStr">
        <is>
          <t>&lt;p&gt;&lt;/p&gt;</t>
        </is>
      </c>
      <c r="O2805" t="inlineStr"/>
      <c r="P2805" t="inlineStr">
        <is>
          <t>YW73CWL , Car - Electric , Kia , eNiro</t>
        </is>
      </c>
      <c r="Q2805" t="inlineStr">
        <is>
          <t>UKPN</t>
        </is>
      </c>
      <c r="R2805" t="b">
        <v>0</v>
      </c>
    </row>
    <row r="2806">
      <c r="A2806" t="inlineStr">
        <is>
          <t>21 Jan 2026 / 6617 Ashdown Tree Limited 1 / Utilities / UKPN</t>
        </is>
      </c>
      <c r="B2806" t="inlineStr">
        <is>
          <t>Utilities</t>
        </is>
      </c>
      <c r="C2806" t="inlineStr">
        <is>
          <t>UKPN</t>
        </is>
      </c>
      <c r="D2806" t="inlineStr">
        <is>
          <t>AY21HYZ , Vehicle , Ford , Transit</t>
        </is>
      </c>
      <c r="E2806" t="inlineStr">
        <is>
          <t>AY21HYZ , Vehicle , Ford , Transit</t>
        </is>
      </c>
      <c r="F2806" t="inlineStr">
        <is>
          <t>AY21HYZ , Vehicle , Ford , Transit</t>
        </is>
      </c>
      <c r="G2806" t="inlineStr">
        <is>
          <t>Dan</t>
        </is>
      </c>
      <c r="H2806" t="inlineStr">
        <is>
          <t>Tipper</t>
        </is>
      </c>
      <c r="I2806" t="inlineStr">
        <is>
          <t>Daily/ Weekly Vehicle Inspection</t>
        </is>
      </c>
      <c r="J2806" t="inlineStr">
        <is>
          <t>N/A</t>
        </is>
      </c>
      <c r="K2806" t="inlineStr">
        <is>
          <t>6617 Ashdown Tree Limited - Team 2</t>
        </is>
      </c>
      <c r="L2806" t="inlineStr">
        <is>
          <t>21/01/2026 06:50</t>
        </is>
      </c>
      <c r="M2806" t="inlineStr">
        <is>
          <t>None</t>
        </is>
      </c>
      <c r="N2806" t="inlineStr">
        <is>
          <t>&lt;p&gt;&lt;/p&gt;</t>
        </is>
      </c>
      <c r="O2806" t="inlineStr"/>
      <c r="P2806" t="inlineStr">
        <is>
          <t>AY21HYZ , Vehicle , Ford , Transit</t>
        </is>
      </c>
      <c r="Q2806" t="inlineStr">
        <is>
          <t>UKPN</t>
        </is>
      </c>
      <c r="R2806" t="b">
        <v>0</v>
      </c>
    </row>
    <row r="2807">
      <c r="A2807" t="inlineStr">
        <is>
          <t>21 Jan 2026 / 8148 Hope Ground and Tree Care / Utilities / UKPN</t>
        </is>
      </c>
      <c r="B2807" t="inlineStr">
        <is>
          <t>Utilities</t>
        </is>
      </c>
      <c r="C2807" t="inlineStr">
        <is>
          <t>UKPN</t>
        </is>
      </c>
      <c r="D2807" t="inlineStr">
        <is>
          <t>S6 NWX , MEWP , Isuzu , D-Max</t>
        </is>
      </c>
      <c r="E2807" t="inlineStr">
        <is>
          <t>S6 NWX , MEWP , Isuzu , D-Max</t>
        </is>
      </c>
      <c r="F2807" t="inlineStr">
        <is>
          <t>S6 NWX , MEWP , Isuzu , D-Max</t>
        </is>
      </c>
      <c r="G2807" t="inlineStr">
        <is>
          <t>A Hope</t>
        </is>
      </c>
      <c r="H2807" t="inlineStr">
        <is>
          <t>4x4</t>
        </is>
      </c>
      <c r="I2807" t="inlineStr">
        <is>
          <t>Daily/ Weekly Vehicle Inspection</t>
        </is>
      </c>
      <c r="J2807" t="inlineStr">
        <is>
          <t>N/A</t>
        </is>
      </c>
      <c r="K2807" t="inlineStr">
        <is>
          <t>8148 Hope Ground and Tree Care</t>
        </is>
      </c>
      <c r="L2807" t="inlineStr">
        <is>
          <t>21/01/2026 07:53</t>
        </is>
      </c>
      <c r="M2807" t="inlineStr">
        <is>
          <t>None</t>
        </is>
      </c>
      <c r="N2807" t="inlineStr">
        <is>
          <t>&lt;p&gt;&lt;/p&gt;</t>
        </is>
      </c>
      <c r="O2807" t="inlineStr"/>
      <c r="P2807" t="inlineStr">
        <is>
          <t>S6 NWX , MEWP , Isuzu , D-Max</t>
        </is>
      </c>
      <c r="Q2807" t="inlineStr">
        <is>
          <t>UKPN</t>
        </is>
      </c>
      <c r="R2807" t="b">
        <v>0</v>
      </c>
    </row>
    <row r="2808">
      <c r="A2808" t="inlineStr">
        <is>
          <t>21 Jan 2026 / 7951 Austin Tree Care LTD 1 / Utilities / UKPN</t>
        </is>
      </c>
      <c r="B2808" t="inlineStr">
        <is>
          <t>Utilities</t>
        </is>
      </c>
      <c r="C2808" t="inlineStr">
        <is>
          <t>UKPN</t>
        </is>
      </c>
      <c r="D2808" t="inlineStr">
        <is>
          <t>WG64HTT , 4x4 , Land Rover , Defender 110</t>
        </is>
      </c>
      <c r="E2808" t="inlineStr">
        <is>
          <t>WG64HTT , 4x4 , Land Rover , Defender 110</t>
        </is>
      </c>
      <c r="F2808" t="inlineStr">
        <is>
          <t>WG64HTT , 4x4 , Land Rover , Defender 110</t>
        </is>
      </c>
      <c r="G2808" t="inlineStr">
        <is>
          <t xml:space="preserve">Jack </t>
        </is>
      </c>
      <c r="H2808" t="inlineStr">
        <is>
          <t>4x4</t>
        </is>
      </c>
      <c r="I2808" t="inlineStr">
        <is>
          <t>Daily/ Weekly Vehicle Inspection</t>
        </is>
      </c>
      <c r="J2808" t="inlineStr">
        <is>
          <t>N/A</t>
        </is>
      </c>
      <c r="K2808" t="inlineStr">
        <is>
          <t>7951 Austin Tree Care LTD 1</t>
        </is>
      </c>
      <c r="L2808" t="inlineStr">
        <is>
          <t>21/01/2026 07:54</t>
        </is>
      </c>
      <c r="M2808" t="inlineStr">
        <is>
          <t>None</t>
        </is>
      </c>
      <c r="N2808" t="inlineStr">
        <is>
          <t>&lt;p&gt;&lt;/p&gt;</t>
        </is>
      </c>
      <c r="O2808" t="inlineStr"/>
      <c r="P2808" t="inlineStr">
        <is>
          <t>WG64HTT , 4x4 , Land Rover , Defender 110</t>
        </is>
      </c>
      <c r="Q2808" t="inlineStr">
        <is>
          <t>UKPN</t>
        </is>
      </c>
      <c r="R2808" t="b">
        <v>0</v>
      </c>
    </row>
    <row r="2809">
      <c r="A2809" t="inlineStr">
        <is>
          <t>21 Jan 2026 / 7996 M G Tree Surgery Ltd / Utilities / UKPN</t>
        </is>
      </c>
      <c r="B2809" t="inlineStr">
        <is>
          <t>Utilities</t>
        </is>
      </c>
      <c r="C2809" t="inlineStr">
        <is>
          <t>UKPN</t>
        </is>
      </c>
      <c r="D2809" t="inlineStr">
        <is>
          <t>WX68 NLD , Tipper , Ford , Transit 350</t>
        </is>
      </c>
      <c r="E2809" t="inlineStr">
        <is>
          <t>WX68 NLD , Tipper , Ford , Transit 350</t>
        </is>
      </c>
      <c r="F2809" t="inlineStr">
        <is>
          <t>WX68 NLD , Tipper , Ford , Transit 350</t>
        </is>
      </c>
      <c r="G2809" t="inlineStr">
        <is>
          <t>Max</t>
        </is>
      </c>
      <c r="H2809" t="inlineStr">
        <is>
          <t>Tipper</t>
        </is>
      </c>
      <c r="I2809" t="inlineStr">
        <is>
          <t>Daily/ Weekly Vehicle Inspection</t>
        </is>
      </c>
      <c r="J2809" t="inlineStr">
        <is>
          <t>N/A</t>
        </is>
      </c>
      <c r="K2809" t="inlineStr">
        <is>
          <t>7996 M G Tree Surgery Ltd</t>
        </is>
      </c>
      <c r="L2809" t="inlineStr">
        <is>
          <t>21/01/2026 07:55</t>
        </is>
      </c>
      <c r="M2809" t="inlineStr">
        <is>
          <t>None</t>
        </is>
      </c>
      <c r="N2809" t="inlineStr">
        <is>
          <t>&lt;p&gt;&lt;/p&gt;</t>
        </is>
      </c>
      <c r="O2809" t="inlineStr"/>
      <c r="P2809" t="inlineStr">
        <is>
          <t>WX68 NLD , Tipper , Ford , Transit 350</t>
        </is>
      </c>
      <c r="Q2809" t="inlineStr">
        <is>
          <t>UKPN</t>
        </is>
      </c>
      <c r="R2809" t="b">
        <v>0</v>
      </c>
    </row>
    <row r="2810">
      <c r="A2810" t="inlineStr">
        <is>
          <t>21 Jan 2026 / 7806 Optimum Tree Services Ltd / Utilities / UKPN</t>
        </is>
      </c>
      <c r="B2810" t="inlineStr">
        <is>
          <t>Utilities</t>
        </is>
      </c>
      <c r="C2810" t="inlineStr">
        <is>
          <t>UKPN</t>
        </is>
      </c>
      <c r="D2810" t="inlineStr">
        <is>
          <t>SA9TAPLAF27414263 , Trailer , Tow Mate , Plant Trailer</t>
        </is>
      </c>
      <c r="E2810" t="inlineStr">
        <is>
          <t>SA9TAPLAF27414263 , Trailer , Tow Mate , Plant Trailer</t>
        </is>
      </c>
      <c r="F2810" t="inlineStr">
        <is>
          <t>SA9TAPLAF27414263 , Trailer , Tow Mate , Plant Trailer</t>
        </is>
      </c>
      <c r="G2810" t="inlineStr">
        <is>
          <t xml:space="preserve">Abraham Davies </t>
        </is>
      </c>
      <c r="H2810" t="inlineStr">
        <is>
          <t>Plant Trailer</t>
        </is>
      </c>
      <c r="I2810" t="inlineStr">
        <is>
          <t>Daily/ Weekly Vehicle Inspection</t>
        </is>
      </c>
      <c r="J2810" t="inlineStr">
        <is>
          <t>N/A</t>
        </is>
      </c>
      <c r="K2810" t="inlineStr">
        <is>
          <t>7806 Optimum Tree Services Ltd</t>
        </is>
      </c>
      <c r="L2810" t="inlineStr">
        <is>
          <t>21/01/2026 07:57</t>
        </is>
      </c>
      <c r="M2810" t="inlineStr">
        <is>
          <t>None</t>
        </is>
      </c>
      <c r="N2810" t="inlineStr">
        <is>
          <t>&lt;p&gt;&lt;/p&gt;</t>
        </is>
      </c>
      <c r="O2810" t="inlineStr"/>
      <c r="P2810" t="inlineStr">
        <is>
          <t>SA9TAPLAF27414263 , Trailer , Tow Mate , Plant Trailer</t>
        </is>
      </c>
      <c r="Q2810" t="inlineStr">
        <is>
          <t>UKPN</t>
        </is>
      </c>
      <c r="R2810" t="b">
        <v>0</v>
      </c>
    </row>
    <row r="2811">
      <c r="A2811" t="inlineStr">
        <is>
          <t>21 Jan 2026 / 7806 Optimum Tree Services Ltd / Utilities / UKPN</t>
        </is>
      </c>
      <c r="B2811" t="inlineStr">
        <is>
          <t>Utilities</t>
        </is>
      </c>
      <c r="C2811" t="inlineStr">
        <is>
          <t>UKPN</t>
        </is>
      </c>
      <c r="D2811" t="inlineStr">
        <is>
          <t>Wd14evn , 4x4 , Landrover  , Defender</t>
        </is>
      </c>
      <c r="E2811" t="inlineStr">
        <is>
          <t>Wd14evn , 4x4 , Landrover  , Defender</t>
        </is>
      </c>
      <c r="F2811" t="inlineStr">
        <is>
          <t>Wd14evn , 4x4 , Landrover  , Defender</t>
        </is>
      </c>
      <c r="G2811" t="inlineStr">
        <is>
          <t xml:space="preserve">Lewis Davies </t>
        </is>
      </c>
      <c r="H2811" t="inlineStr">
        <is>
          <t>4x4</t>
        </is>
      </c>
      <c r="I2811" t="inlineStr">
        <is>
          <t>Daily/ Weekly Vehicle Inspection</t>
        </is>
      </c>
      <c r="J2811" t="inlineStr">
        <is>
          <t>N/A</t>
        </is>
      </c>
      <c r="K2811" t="inlineStr">
        <is>
          <t>7806 Optimum Tree Services Ltd</t>
        </is>
      </c>
      <c r="L2811" t="inlineStr">
        <is>
          <t>21/01/2026 08:01</t>
        </is>
      </c>
      <c r="M2811" t="inlineStr">
        <is>
          <t>None</t>
        </is>
      </c>
      <c r="N2811" t="inlineStr">
        <is>
          <t>&lt;p&gt;&lt;/p&gt;</t>
        </is>
      </c>
      <c r="O2811" t="inlineStr"/>
      <c r="P2811" t="inlineStr">
        <is>
          <t>Wd14evn , 4x4 , Landrover  , Defender</t>
        </is>
      </c>
      <c r="Q2811" t="inlineStr">
        <is>
          <t>UKPN</t>
        </is>
      </c>
      <c r="R2811" t="b">
        <v>0</v>
      </c>
    </row>
    <row r="2812">
      <c r="A2812" t="inlineStr">
        <is>
          <t>21 Jan 2026 / 7806 Optimum Tree Services Ltd / Utilities / UKPN</t>
        </is>
      </c>
      <c r="B2812" t="inlineStr">
        <is>
          <t>Utilities</t>
        </is>
      </c>
      <c r="C2812" t="inlineStr">
        <is>
          <t>UKPN</t>
        </is>
      </c>
      <c r="D2812" t="inlineStr">
        <is>
          <t>WD14EVB , MEWP , Land Rover , Defender</t>
        </is>
      </c>
      <c r="E2812" t="inlineStr">
        <is>
          <t>WD14EVB , MEWP , Land Rover , Defender</t>
        </is>
      </c>
      <c r="F2812" t="inlineStr">
        <is>
          <t>WD14EVB , MEWP , Land Rover , Defender</t>
        </is>
      </c>
      <c r="G2812" t="inlineStr">
        <is>
          <t xml:space="preserve">Abraham Davies </t>
        </is>
      </c>
      <c r="H2812" t="inlineStr">
        <is>
          <t>4x4</t>
        </is>
      </c>
      <c r="I2812" t="inlineStr">
        <is>
          <t>Daily/ Weekly Vehicle Inspection</t>
        </is>
      </c>
      <c r="J2812" t="inlineStr">
        <is>
          <t>N/A</t>
        </is>
      </c>
      <c r="K2812" t="inlineStr">
        <is>
          <t>7806 Optimum Tree Services Ltd</t>
        </is>
      </c>
      <c r="L2812" t="inlineStr">
        <is>
          <t>21/01/2026 08:05</t>
        </is>
      </c>
      <c r="M2812" t="inlineStr">
        <is>
          <t>None</t>
        </is>
      </c>
      <c r="N2812" t="inlineStr">
        <is>
          <t>&lt;p&gt;&lt;/p&gt;</t>
        </is>
      </c>
      <c r="O2812" t="inlineStr"/>
      <c r="P2812" t="inlineStr">
        <is>
          <t>WD14EVB , MEWP , Land Rover , Defender</t>
        </is>
      </c>
      <c r="Q2812" t="inlineStr">
        <is>
          <t>UKPN</t>
        </is>
      </c>
      <c r="R2812" t="b">
        <v>0</v>
      </c>
    </row>
    <row r="2813">
      <c r="A2813" t="inlineStr">
        <is>
          <t>21 Jan 2026 / 7186 Eastwoodbury Tree Services Ltd / Utilities / UKPN</t>
        </is>
      </c>
      <c r="B2813" t="inlineStr">
        <is>
          <t>Utilities</t>
        </is>
      </c>
      <c r="C2813" t="inlineStr">
        <is>
          <t>UKPN</t>
        </is>
      </c>
      <c r="D2813" t="inlineStr">
        <is>
          <t>WF13 EKT , 4x4 , Land rover  , Defender</t>
        </is>
      </c>
      <c r="E2813" t="inlineStr">
        <is>
          <t>WF13 EKT , 4x4 , Land rover  , Defender</t>
        </is>
      </c>
      <c r="F2813" t="inlineStr">
        <is>
          <t>WF13 EKT , 4x4 , Land rover  , Defender</t>
        </is>
      </c>
      <c r="G2813" t="inlineStr">
        <is>
          <t xml:space="preserve">Dan Gilbert </t>
        </is>
      </c>
      <c r="H2813" t="inlineStr">
        <is>
          <t>4x4</t>
        </is>
      </c>
      <c r="I2813" t="inlineStr">
        <is>
          <t>Daily/ Weekly Vehicle Inspection</t>
        </is>
      </c>
      <c r="J2813" t="inlineStr">
        <is>
          <t>N/A</t>
        </is>
      </c>
      <c r="K2813" t="inlineStr">
        <is>
          <t>7186 Eastwoodbury Tree Services Ltd</t>
        </is>
      </c>
      <c r="L2813" t="inlineStr">
        <is>
          <t>21/01/2026 08:07</t>
        </is>
      </c>
      <c r="M2813" t="inlineStr">
        <is>
          <t>None</t>
        </is>
      </c>
      <c r="N2813" t="inlineStr">
        <is>
          <t>&lt;p&gt;&lt;/p&gt;</t>
        </is>
      </c>
      <c r="O2813" t="inlineStr"/>
      <c r="P2813" t="inlineStr">
        <is>
          <t>WF13 EKT , 4x4 , Land rover  , Defender</t>
        </is>
      </c>
      <c r="Q2813" t="inlineStr">
        <is>
          <t>UKPN</t>
        </is>
      </c>
      <c r="R2813" t="b">
        <v>0</v>
      </c>
    </row>
    <row r="2814">
      <c r="A2814" t="inlineStr">
        <is>
          <t>21 Jan 2026 / 7186 Eastwoodbury Tree Services Ltd / Utilities / UKPN</t>
        </is>
      </c>
      <c r="B2814" t="inlineStr">
        <is>
          <t>Utilities</t>
        </is>
      </c>
      <c r="C2814" t="inlineStr">
        <is>
          <t>UKPN</t>
        </is>
      </c>
      <c r="D2814" t="inlineStr">
        <is>
          <t>FX14 XCV , 4x4 , Land Rover  , Defender</t>
        </is>
      </c>
      <c r="E2814" t="inlineStr">
        <is>
          <t>FX14 XCV , 4x4 , Land Rover  , Defender</t>
        </is>
      </c>
      <c r="F2814" t="inlineStr">
        <is>
          <t>FX14 XCV , 4x4 , Land Rover  , Defender</t>
        </is>
      </c>
      <c r="G2814" t="inlineStr">
        <is>
          <t xml:space="preserve">Tom price </t>
        </is>
      </c>
      <c r="H2814" t="inlineStr">
        <is>
          <t>4x4</t>
        </is>
      </c>
      <c r="I2814" t="inlineStr">
        <is>
          <t>Daily/ Weekly Vehicle Inspection</t>
        </is>
      </c>
      <c r="J2814" t="inlineStr">
        <is>
          <t>N/A</t>
        </is>
      </c>
      <c r="K2814" t="inlineStr">
        <is>
          <t>7186 Eastwoodbury Tree Services Ltd</t>
        </is>
      </c>
      <c r="L2814" t="inlineStr">
        <is>
          <t>21/01/2026 08:12</t>
        </is>
      </c>
      <c r="M2814" t="inlineStr">
        <is>
          <t>None</t>
        </is>
      </c>
      <c r="N2814" t="inlineStr">
        <is>
          <t>&lt;p&gt;&lt;/p&gt;</t>
        </is>
      </c>
      <c r="O2814" t="inlineStr"/>
      <c r="P2814" t="inlineStr">
        <is>
          <t>FX14 XCV , 4x4 , Land Rover  , Defender</t>
        </is>
      </c>
      <c r="Q2814" t="inlineStr">
        <is>
          <t>UKPN</t>
        </is>
      </c>
      <c r="R2814" t="b">
        <v>0</v>
      </c>
    </row>
    <row r="2815">
      <c r="A2815" t="inlineStr">
        <is>
          <t>21 Jan 2026 / 7186 Eastwoodbury Tree Services Ltd / Utilities / UKPN</t>
        </is>
      </c>
      <c r="B2815" t="inlineStr">
        <is>
          <t>Utilities</t>
        </is>
      </c>
      <c r="C2815" t="inlineStr">
        <is>
          <t>UKPN</t>
        </is>
      </c>
      <c r="D2815" t="inlineStr">
        <is>
          <t>DE53NKS , 4x4 , Ford , Ranger</t>
        </is>
      </c>
      <c r="E2815" t="inlineStr">
        <is>
          <t>DE53NKS , 4x4 , Ford , Ranger</t>
        </is>
      </c>
      <c r="F2815" t="inlineStr">
        <is>
          <t>DE53NKS , 4x4 , Ford , Ranger</t>
        </is>
      </c>
      <c r="G2815" t="inlineStr">
        <is>
          <t xml:space="preserve">Jay Denkmayer </t>
        </is>
      </c>
      <c r="H2815" t="inlineStr">
        <is>
          <t>4x4</t>
        </is>
      </c>
      <c r="I2815" t="inlineStr">
        <is>
          <t>Daily/ Weekly Vehicle Inspection</t>
        </is>
      </c>
      <c r="J2815" t="inlineStr">
        <is>
          <t>N/A</t>
        </is>
      </c>
      <c r="K2815" t="inlineStr">
        <is>
          <t>7186 Eastwoodbury Tree Services Ltd</t>
        </is>
      </c>
      <c r="L2815" t="inlineStr">
        <is>
          <t>21/01/2026 08:15</t>
        </is>
      </c>
      <c r="M2815" t="inlineStr">
        <is>
          <t>None</t>
        </is>
      </c>
      <c r="N2815" t="inlineStr">
        <is>
          <t>&lt;p&gt;&lt;/p&gt;</t>
        </is>
      </c>
      <c r="O2815" t="inlineStr"/>
      <c r="P2815" t="inlineStr">
        <is>
          <t>DE53NKS , 4x4 , Ford , Ranger</t>
        </is>
      </c>
      <c r="Q2815" t="inlineStr">
        <is>
          <t>UKPN</t>
        </is>
      </c>
      <c r="R2815" t="b">
        <v>0</v>
      </c>
    </row>
    <row r="2816">
      <c r="A2816" t="inlineStr">
        <is>
          <t>21 Jan 2026 / 7889 Tree Tech Suffolk Ltd</t>
        </is>
      </c>
      <c r="B2816" t="inlineStr">
        <is>
          <t>Utilities &amp; Inland Waterways</t>
        </is>
      </c>
      <c r="C2816" t="inlineStr">
        <is>
          <t>UKPN</t>
        </is>
      </c>
      <c r="D2816" t="inlineStr">
        <is>
          <t>Tipper - Nissan - Navara - NS02TTS4x4 - Isuzu - D-max - NS03 TTS</t>
        </is>
      </c>
      <c r="E2816" t="inlineStr">
        <is>
          <t>Tipper - Nissan - Navara - NS02TTS4x4 - Isuzu - D-max - NS03 TTS</t>
        </is>
      </c>
      <c r="F2816" t="inlineStr">
        <is>
          <t>Tipper - Nissan - Navara - NS02TTS4x4 - Isuzu - D-max - NS03 TTS</t>
        </is>
      </c>
      <c r="G2816" t="inlineStr">
        <is>
          <t xml:space="preserve">Danny ApplebyNikki sparrow </t>
        </is>
      </c>
      <c r="H2816" t="inlineStr">
        <is>
          <t>Tipper4x4</t>
        </is>
      </c>
      <c r="I2816" t="inlineStr">
        <is>
          <t>Daily/ Weekly Vehicle Inspection</t>
        </is>
      </c>
      <c r="J2816" t="inlineStr">
        <is>
          <t>N/A</t>
        </is>
      </c>
      <c r="K2816" t="inlineStr">
        <is>
          <t>7889 Tree Tech Suffolk Ltd</t>
        </is>
      </c>
      <c r="L2816" t="inlineStr">
        <is>
          <t>21/01/2026 08:19</t>
        </is>
      </c>
      <c r="M2816" t="inlineStr">
        <is>
          <t>None</t>
        </is>
      </c>
      <c r="N2816" t="inlineStr">
        <is>
          <t>&lt;p&gt;&lt;/p&gt;</t>
        </is>
      </c>
      <c r="O2816" t="inlineStr">
        <is>
          <t>Select Vehicle:Ns05 tts</t>
        </is>
      </c>
      <c r="P2816" t="inlineStr">
        <is>
          <t>Tipper - Nissan - Navara - NS02TTS4x4 - Isuzu - D-max - NS03 TTS</t>
        </is>
      </c>
      <c r="Q2816" t="inlineStr">
        <is>
          <t>UKPN</t>
        </is>
      </c>
      <c r="R2816" t="b">
        <v>0</v>
      </c>
    </row>
    <row r="2817">
      <c r="A2817" t="inlineStr">
        <is>
          <t>21 Jan 2026 / Anthony Gale / Utilities / UKPN</t>
        </is>
      </c>
      <c r="B2817" t="inlineStr">
        <is>
          <t>Utilities</t>
        </is>
      </c>
      <c r="C2817" t="inlineStr">
        <is>
          <t>UKPN</t>
        </is>
      </c>
      <c r="D2817" t="inlineStr"/>
      <c r="E2817" t="inlineStr"/>
      <c r="F2817" t="inlineStr"/>
      <c r="G2817" t="inlineStr">
        <is>
          <t>Anthony Gale</t>
        </is>
      </c>
      <c r="H2817" t="inlineStr">
        <is>
          <t>Towed Chipper</t>
        </is>
      </c>
      <c r="I2817" t="inlineStr">
        <is>
          <t>Daily/ Weekly Vehicle Inspection</t>
        </is>
      </c>
      <c r="J2817" t="inlineStr">
        <is>
          <t>N/A</t>
        </is>
      </c>
      <c r="K2817" t="inlineStr">
        <is>
          <t>7996 M G Tree Surgery Ltd 1</t>
        </is>
      </c>
      <c r="L2817" t="inlineStr">
        <is>
          <t>21/01/2026 08:20</t>
        </is>
      </c>
      <c r="M2817" t="inlineStr">
        <is>
          <t>None</t>
        </is>
      </c>
      <c r="N2817" t="inlineStr">
        <is>
          <t>&lt;p&gt;&lt;/p&gt;</t>
        </is>
      </c>
      <c r="O2817" t="inlineStr"/>
      <c r="P2817" t="inlineStr"/>
      <c r="Q2817" t="inlineStr">
        <is>
          <t>UKPN</t>
        </is>
      </c>
      <c r="R2817" t="b">
        <v>0</v>
      </c>
    </row>
    <row r="2818">
      <c r="A2818" t="inlineStr">
        <is>
          <t>21 Jan 2026 / Anthony Gale / Utilities / UKPN</t>
        </is>
      </c>
      <c r="B2818" t="inlineStr">
        <is>
          <t>Utilities</t>
        </is>
      </c>
      <c r="C2818" t="inlineStr">
        <is>
          <t>UKPN</t>
        </is>
      </c>
      <c r="D2818" t="inlineStr">
        <is>
          <t>GU13 WNL , MEWP , Land Rover , Defender 130</t>
        </is>
      </c>
      <c r="E2818" t="inlineStr">
        <is>
          <t>GU13 WNL , MEWP , Land Rover , Defender 130</t>
        </is>
      </c>
      <c r="F2818" t="inlineStr">
        <is>
          <t>GU13 WNL , MEWP , Land Rover , Defender 130</t>
        </is>
      </c>
      <c r="G2818" t="inlineStr">
        <is>
          <t>Anthony Gale</t>
        </is>
      </c>
      <c r="H2818" t="inlineStr">
        <is>
          <t>4x4</t>
        </is>
      </c>
      <c r="I2818" t="inlineStr">
        <is>
          <t>Daily/ Weekly Vehicle Inspection</t>
        </is>
      </c>
      <c r="J2818" t="inlineStr">
        <is>
          <t>N/A</t>
        </is>
      </c>
      <c r="K2818" t="inlineStr">
        <is>
          <t>7996 M G Tree Surgery Ltd 1</t>
        </is>
      </c>
      <c r="L2818" t="inlineStr">
        <is>
          <t>21/01/2026 08:23</t>
        </is>
      </c>
      <c r="M2818" t="inlineStr">
        <is>
          <t>None</t>
        </is>
      </c>
      <c r="N2818" t="inlineStr">
        <is>
          <t>&lt;p&gt;&lt;/p&gt;</t>
        </is>
      </c>
      <c r="O2818" t="inlineStr"/>
      <c r="P2818" t="inlineStr">
        <is>
          <t>GU13 WNL , MEWP , Land Rover , Defender 130</t>
        </is>
      </c>
      <c r="Q2818" t="inlineStr">
        <is>
          <t>UKPN</t>
        </is>
      </c>
      <c r="R2818" t="b">
        <v>0</v>
      </c>
    </row>
    <row r="2819">
      <c r="A2819" t="inlineStr">
        <is>
          <t>21 Jan 2026 / Thomas Playford / Utilities / UKPN</t>
        </is>
      </c>
      <c r="B2819" t="inlineStr">
        <is>
          <t>Utilities</t>
        </is>
      </c>
      <c r="C2819" t="inlineStr">
        <is>
          <t>UKPN</t>
        </is>
      </c>
      <c r="D2819" t="inlineStr">
        <is>
          <t>SA9ST800000283944 , Tow Chipper , Forst , ST8D - Towed</t>
        </is>
      </c>
      <c r="E2819" t="inlineStr">
        <is>
          <t>SA9ST800000283944 , Tow Chipper , Forst , ST8D - Towed</t>
        </is>
      </c>
      <c r="F2819" t="inlineStr">
        <is>
          <t>SA9ST800000283944 , Tow Chipper , Forst , ST8D - Towed</t>
        </is>
      </c>
      <c r="G2819" t="inlineStr">
        <is>
          <t>Jacob Oram</t>
        </is>
      </c>
      <c r="H2819" t="inlineStr">
        <is>
          <t>Towed Chipper</t>
        </is>
      </c>
      <c r="I2819" t="inlineStr">
        <is>
          <t>Daily/ Weekly Vehicle Inspection</t>
        </is>
      </c>
      <c r="J2819" t="inlineStr">
        <is>
          <t>N/A</t>
        </is>
      </c>
      <c r="K2819" t="inlineStr">
        <is>
          <t>7995 Green Net Eco Ltd 2</t>
        </is>
      </c>
      <c r="L2819" t="inlineStr">
        <is>
          <t>21/01/2026 08:50</t>
        </is>
      </c>
      <c r="M2819" t="inlineStr">
        <is>
          <t>None</t>
        </is>
      </c>
      <c r="N2819" t="inlineStr">
        <is>
          <t>&lt;p&gt;&lt;/p&gt;</t>
        </is>
      </c>
      <c r="O2819" t="inlineStr"/>
      <c r="P2819" t="inlineStr">
        <is>
          <t>SA9ST800000283944 , Tow Chipper , Forst , ST8D - Towed</t>
        </is>
      </c>
      <c r="Q2819" t="inlineStr">
        <is>
          <t>UKPN</t>
        </is>
      </c>
      <c r="R2819" t="b">
        <v>0</v>
      </c>
    </row>
    <row r="2820">
      <c r="A2820" t="inlineStr">
        <is>
          <t>21 Jan 2026 / Thomas Playford / Utilities / UKPN</t>
        </is>
      </c>
      <c r="B2820" t="inlineStr">
        <is>
          <t>Utilities</t>
        </is>
      </c>
      <c r="C2820" t="inlineStr">
        <is>
          <t>UKPN</t>
        </is>
      </c>
      <c r="D2820" t="inlineStr">
        <is>
          <t>WM72UNF , 4x4 , Ford , Ranger</t>
        </is>
      </c>
      <c r="E2820" t="inlineStr">
        <is>
          <t>WM72UNF , 4x4 , Ford , Ranger</t>
        </is>
      </c>
      <c r="F2820" t="inlineStr">
        <is>
          <t>WM72UNF , 4x4 , Ford , Ranger</t>
        </is>
      </c>
      <c r="G2820" t="inlineStr">
        <is>
          <t>Jacob Oram</t>
        </is>
      </c>
      <c r="H2820" t="inlineStr">
        <is>
          <t>4x4</t>
        </is>
      </c>
      <c r="I2820" t="inlineStr">
        <is>
          <t>Daily/ Weekly Vehicle Inspection</t>
        </is>
      </c>
      <c r="J2820" t="inlineStr">
        <is>
          <t>N/A</t>
        </is>
      </c>
      <c r="K2820" t="inlineStr">
        <is>
          <t>7995 Green Net Eco Ltd 2</t>
        </is>
      </c>
      <c r="L2820" t="inlineStr">
        <is>
          <t>21/01/2026 08:51</t>
        </is>
      </c>
      <c r="M2820" t="inlineStr">
        <is>
          <t>None</t>
        </is>
      </c>
      <c r="N2820" t="inlineStr">
        <is>
          <t>&lt;p&gt;&lt;/p&gt;</t>
        </is>
      </c>
      <c r="O2820" t="inlineStr"/>
      <c r="P2820" t="inlineStr">
        <is>
          <t>WM72UNF , 4x4 , Ford , Ranger</t>
        </is>
      </c>
      <c r="Q2820" t="inlineStr">
        <is>
          <t>UKPN</t>
        </is>
      </c>
      <c r="R2820" t="b">
        <v>0</v>
      </c>
    </row>
    <row r="2821">
      <c r="A2821" t="inlineStr">
        <is>
          <t>21 Jan 2026 / 3098 D &amp; R Landscapes / Utilities / UKPN</t>
        </is>
      </c>
      <c r="B2821" t="inlineStr">
        <is>
          <t>Utilities</t>
        </is>
      </c>
      <c r="C2821" t="inlineStr">
        <is>
          <t>UKPN</t>
        </is>
      </c>
      <c r="D2821" t="inlineStr">
        <is>
          <t>BT20 GNZ , Vehicle , Nissan , Navara</t>
        </is>
      </c>
      <c r="E2821" t="inlineStr">
        <is>
          <t>BT20 GNZ , Vehicle , Nissan , Navara</t>
        </is>
      </c>
      <c r="F2821" t="inlineStr">
        <is>
          <t>BT20 GNZ , Vehicle , Nissan , Navara</t>
        </is>
      </c>
      <c r="G2821" t="inlineStr">
        <is>
          <t>Jason</t>
        </is>
      </c>
      <c r="H2821" t="inlineStr">
        <is>
          <t>Pickup Truck</t>
        </is>
      </c>
      <c r="I2821" t="inlineStr">
        <is>
          <t>Daily/ Weekly Vehicle Inspection</t>
        </is>
      </c>
      <c r="J2821" t="inlineStr">
        <is>
          <t>N/A</t>
        </is>
      </c>
      <c r="K2821" t="inlineStr">
        <is>
          <t>3098 D &amp; R Landscapes</t>
        </is>
      </c>
      <c r="L2821" t="inlineStr">
        <is>
          <t>21/01/2026 08:56</t>
        </is>
      </c>
      <c r="M2821" t="inlineStr">
        <is>
          <t>None</t>
        </is>
      </c>
      <c r="N2821" t="inlineStr">
        <is>
          <t>&lt;p&gt;&lt;/p&gt;</t>
        </is>
      </c>
      <c r="O2821" t="inlineStr"/>
      <c r="P2821" t="inlineStr">
        <is>
          <t>BT20 GNZ , Vehicle , Nissan , Navara</t>
        </is>
      </c>
      <c r="Q2821" t="inlineStr">
        <is>
          <t>UKPN</t>
        </is>
      </c>
      <c r="R2821" t="b">
        <v>0</v>
      </c>
    </row>
    <row r="2822">
      <c r="A2822" t="inlineStr">
        <is>
          <t>21 Jan 2026 / Harry Bellis / Utilities / SSE</t>
        </is>
      </c>
      <c r="B2822" t="inlineStr">
        <is>
          <t>Utilities</t>
        </is>
      </c>
      <c r="C2822" t="inlineStr">
        <is>
          <t>SSE</t>
        </is>
      </c>
      <c r="D2822" t="inlineStr">
        <is>
          <t>EO73KUG , Car - Electric , Kia , Niro</t>
        </is>
      </c>
      <c r="E2822" t="inlineStr">
        <is>
          <t>EO73KUG , Car - Electric , Kia , Niro</t>
        </is>
      </c>
      <c r="F2822" t="inlineStr">
        <is>
          <t>EO73KUG , Car - Electric , Kia , Niro</t>
        </is>
      </c>
      <c r="G2822" t="inlineStr">
        <is>
          <t>Harry Bellis</t>
        </is>
      </c>
      <c r="H2822" t="inlineStr">
        <is>
          <t>Car - Electric (GC Owned)</t>
        </is>
      </c>
      <c r="I2822" t="inlineStr">
        <is>
          <t>Daily/ Weekly Vehicle Inspection</t>
        </is>
      </c>
      <c r="J2822" t="inlineStr">
        <is>
          <t>N/A</t>
        </is>
      </c>
      <c r="K2822" t="inlineStr">
        <is>
          <t>Harry Bellis</t>
        </is>
      </c>
      <c r="L2822" t="inlineStr">
        <is>
          <t>21/01/2026 08:58</t>
        </is>
      </c>
      <c r="M2822" t="inlineStr">
        <is>
          <t>None</t>
        </is>
      </c>
      <c r="N2822" t="inlineStr">
        <is>
          <t>&lt;p&gt;&lt;/p&gt;</t>
        </is>
      </c>
      <c r="O2822" t="inlineStr"/>
      <c r="P2822" t="inlineStr">
        <is>
          <t>EO73KUG , Car - Electric , Kia , Niro</t>
        </is>
      </c>
      <c r="Q2822" t="inlineStr">
        <is>
          <t>SSE</t>
        </is>
      </c>
      <c r="R2822" t="b">
        <v>0</v>
      </c>
    </row>
    <row r="2823">
      <c r="A2823" t="inlineStr">
        <is>
          <t>21 Jan 2026 / Joshua Atkins / Utilities / UKPN</t>
        </is>
      </c>
      <c r="B2823" t="inlineStr">
        <is>
          <t>Utilities</t>
        </is>
      </c>
      <c r="C2823" t="inlineStr">
        <is>
          <t>UKPN</t>
        </is>
      </c>
      <c r="D2823" t="inlineStr">
        <is>
          <t>DL24HTK , Car - Electric , Kia , Niro EV</t>
        </is>
      </c>
      <c r="E2823" t="inlineStr">
        <is>
          <t>DL24HTK , Car - Electric , Kia , Niro EV</t>
        </is>
      </c>
      <c r="F2823" t="inlineStr">
        <is>
          <t>DL24HTK , Car - Electric , Kia , Niro EV</t>
        </is>
      </c>
      <c r="G2823" t="inlineStr">
        <is>
          <t>Joshua Atkins</t>
        </is>
      </c>
      <c r="H2823" t="inlineStr">
        <is>
          <t>Car - Electric (GC Owned)</t>
        </is>
      </c>
      <c r="I2823" t="inlineStr">
        <is>
          <t>Daily/ Weekly Vehicle Inspection</t>
        </is>
      </c>
      <c r="J2823" t="inlineStr">
        <is>
          <t>N/A</t>
        </is>
      </c>
      <c r="K2823" t="inlineStr">
        <is>
          <t>Joshua Atkins</t>
        </is>
      </c>
      <c r="L2823" t="inlineStr">
        <is>
          <t>21/01/2026 09:54</t>
        </is>
      </c>
      <c r="M2823" t="inlineStr">
        <is>
          <t>None</t>
        </is>
      </c>
      <c r="N2823" t="inlineStr">
        <is>
          <t>&lt;p&gt;&lt;/p&gt;</t>
        </is>
      </c>
      <c r="O2823" t="inlineStr"/>
      <c r="P2823" t="inlineStr">
        <is>
          <t>DL24HTK , Car - Electric , Kia , Niro EV</t>
        </is>
      </c>
      <c r="Q2823" t="inlineStr">
        <is>
          <t>UKPN</t>
        </is>
      </c>
      <c r="R2823" t="b">
        <v>0</v>
      </c>
    </row>
    <row r="2824">
      <c r="A2824" t="inlineStr">
        <is>
          <t>21 Jan 2026 / James Gorman / Utilities / UKPN</t>
        </is>
      </c>
      <c r="B2824" t="inlineStr">
        <is>
          <t>Utilities</t>
        </is>
      </c>
      <c r="C2824" t="inlineStr">
        <is>
          <t>UKPN</t>
        </is>
      </c>
      <c r="D2824" t="inlineStr">
        <is>
          <t>AF22 XRA , Car - Electric , Tesla , Model 3</t>
        </is>
      </c>
      <c r="E2824" t="inlineStr">
        <is>
          <t>AF22 XRA , Car - Electric , Tesla , Model 3</t>
        </is>
      </c>
      <c r="F2824" t="inlineStr">
        <is>
          <t>AF22 XRA , Car - Electric , Tesla , Model 3</t>
        </is>
      </c>
      <c r="G2824" t="inlineStr">
        <is>
          <t xml:space="preserve">James Gorman </t>
        </is>
      </c>
      <c r="H2824" t="inlineStr">
        <is>
          <t>Car - Electric (GC Owned)</t>
        </is>
      </c>
      <c r="I2824" t="inlineStr">
        <is>
          <t>Daily/ Weekly Vehicle Inspection</t>
        </is>
      </c>
      <c r="J2824" t="inlineStr">
        <is>
          <t>N/A</t>
        </is>
      </c>
      <c r="K2824" t="inlineStr">
        <is>
          <t>James Gorman</t>
        </is>
      </c>
      <c r="L2824" t="inlineStr">
        <is>
          <t>21/01/2026 09:58</t>
        </is>
      </c>
      <c r="M2824" t="inlineStr">
        <is>
          <t>None</t>
        </is>
      </c>
      <c r="N2824" t="inlineStr">
        <is>
          <t>&lt;p&gt;&lt;/p&gt;</t>
        </is>
      </c>
      <c r="O2824" t="inlineStr"/>
      <c r="P2824" t="inlineStr">
        <is>
          <t>AF22 XRA , Car - Electric , Tesla , Model 3</t>
        </is>
      </c>
      <c r="Q2824" t="inlineStr">
        <is>
          <t>UKPN</t>
        </is>
      </c>
      <c r="R2824" t="b">
        <v>0</v>
      </c>
    </row>
    <row r="2825">
      <c r="A2825" t="inlineStr">
        <is>
          <t>21 Jan 2026 / Joshua Stones / Utilities / SSE</t>
        </is>
      </c>
      <c r="B2825" t="inlineStr">
        <is>
          <t>Utilities</t>
        </is>
      </c>
      <c r="C2825" t="inlineStr">
        <is>
          <t>SSE</t>
        </is>
      </c>
      <c r="D2825" t="inlineStr"/>
      <c r="E2825" t="inlineStr"/>
      <c r="F2825" t="inlineStr"/>
      <c r="G2825" t="inlineStr">
        <is>
          <t>Joshua stones</t>
        </is>
      </c>
      <c r="H2825" t="inlineStr">
        <is>
          <t>Van</t>
        </is>
      </c>
      <c r="I2825" t="inlineStr">
        <is>
          <t>Daily/ Weekly Vehicle Inspection</t>
        </is>
      </c>
      <c r="J2825" t="inlineStr">
        <is>
          <t>N/A</t>
        </is>
      </c>
      <c r="K2825" t="inlineStr">
        <is>
          <t>Joshua Stones</t>
        </is>
      </c>
      <c r="L2825" t="inlineStr">
        <is>
          <t>21/01/2026 10:52</t>
        </is>
      </c>
      <c r="M2825" t="inlineStr">
        <is>
          <t>None</t>
        </is>
      </c>
      <c r="N2825" t="inlineStr">
        <is>
          <t>&lt;p&gt;&lt;/p&gt;</t>
        </is>
      </c>
      <c r="O2825" t="inlineStr"/>
      <c r="P2825" t="inlineStr"/>
      <c r="Q2825" t="inlineStr">
        <is>
          <t>SSE</t>
        </is>
      </c>
      <c r="R2825" t="b">
        <v>0</v>
      </c>
    </row>
    <row r="2826">
      <c r="A2826" t="inlineStr">
        <is>
          <t>21 Jan 2026 / Jodie Bowen / Utilities / UKPN</t>
        </is>
      </c>
      <c r="B2826" t="inlineStr">
        <is>
          <t>Utilities</t>
        </is>
      </c>
      <c r="C2826" t="inlineStr">
        <is>
          <t>UKPN</t>
        </is>
      </c>
      <c r="D2826" t="inlineStr">
        <is>
          <t>EK73UOL , Car - Electric , Kia , Niro</t>
        </is>
      </c>
      <c r="E2826" t="inlineStr">
        <is>
          <t>EK73UOL , Car - Electric , Kia , Niro</t>
        </is>
      </c>
      <c r="F2826" t="inlineStr">
        <is>
          <t>EK73UOL , Car - Electric , Kia , Niro</t>
        </is>
      </c>
      <c r="G2826" t="inlineStr">
        <is>
          <t>Jodie Bowen</t>
        </is>
      </c>
      <c r="H2826" t="inlineStr">
        <is>
          <t>Car - Electric (GC Owned)</t>
        </is>
      </c>
      <c r="I2826" t="inlineStr">
        <is>
          <t>Daily/ Weekly Vehicle Inspection</t>
        </is>
      </c>
      <c r="J2826" t="inlineStr">
        <is>
          <t>N/A</t>
        </is>
      </c>
      <c r="K2826" t="inlineStr">
        <is>
          <t>Jodie Bowen</t>
        </is>
      </c>
      <c r="L2826" t="inlineStr">
        <is>
          <t>21/01/2026 11:50</t>
        </is>
      </c>
      <c r="M2826" t="inlineStr">
        <is>
          <t>None</t>
        </is>
      </c>
      <c r="N2826" t="inlineStr">
        <is>
          <t>&lt;p&gt;&lt;/p&gt;</t>
        </is>
      </c>
      <c r="O2826" t="inlineStr"/>
      <c r="P2826" t="inlineStr">
        <is>
          <t>EK73UOL , Car - Electric , Kia , Niro</t>
        </is>
      </c>
      <c r="Q2826" t="inlineStr">
        <is>
          <t>UKPN</t>
        </is>
      </c>
      <c r="R2826" t="b">
        <v>0</v>
      </c>
    </row>
    <row r="2827">
      <c r="A2827" t="inlineStr">
        <is>
          <t>21 Jan 2026 / Ben Arnold / Utilities / UKPN</t>
        </is>
      </c>
      <c r="B2827" t="inlineStr">
        <is>
          <t>Utilities</t>
        </is>
      </c>
      <c r="C2827" t="inlineStr">
        <is>
          <t>UKPN</t>
        </is>
      </c>
      <c r="D2827" t="inlineStr">
        <is>
          <t>YX24TXG , Car - Electric , Kia , Niro</t>
        </is>
      </c>
      <c r="E2827" t="inlineStr">
        <is>
          <t>YX24TXG , Car - Electric , Kia , Niro</t>
        </is>
      </c>
      <c r="F2827" t="inlineStr">
        <is>
          <t>YX24TXG , Car - Electric , Kia , Niro</t>
        </is>
      </c>
      <c r="G2827" t="inlineStr">
        <is>
          <t>B Arnold</t>
        </is>
      </c>
      <c r="H2827" t="inlineStr">
        <is>
          <t>Car - Electric (GC Owned)</t>
        </is>
      </c>
      <c r="I2827" t="inlineStr">
        <is>
          <t>Daily/ Weekly Vehicle Inspection</t>
        </is>
      </c>
      <c r="J2827" t="inlineStr">
        <is>
          <t>N/A</t>
        </is>
      </c>
      <c r="K2827" t="inlineStr">
        <is>
          <t>Ben Arnold</t>
        </is>
      </c>
      <c r="L2827" t="inlineStr">
        <is>
          <t>21/01/2026 17:53</t>
        </is>
      </c>
      <c r="M2827" t="inlineStr">
        <is>
          <t xml:space="preserve">Confirm that you have checked this vehicle as per the guidance document and the vehicle is safe and roadworthy: Fail
</t>
        </is>
      </c>
      <c r="N2827" t="inlineStr">
        <is>
          <t>&lt;p&gt;&lt;/p&gt;</t>
        </is>
      </c>
      <c r="O2827" t="inlineStr"/>
      <c r="P2827" t="inlineStr">
        <is>
          <t>YX24TXG , Car - Electric , Kia , Niro</t>
        </is>
      </c>
      <c r="Q2827" t="inlineStr">
        <is>
          <t>UKPN</t>
        </is>
      </c>
      <c r="R2827" t="b">
        <v>0</v>
      </c>
    </row>
    <row r="2828">
      <c r="A2828" t="inlineStr">
        <is>
          <t>22 Jan 2026 / Anthony Gale / Utilities / UKPN</t>
        </is>
      </c>
      <c r="B2828" t="inlineStr">
        <is>
          <t>Utilities</t>
        </is>
      </c>
      <c r="C2828" t="inlineStr">
        <is>
          <t>UKPN</t>
        </is>
      </c>
      <c r="D2828" t="inlineStr">
        <is>
          <t>KX20 BCE , Tipper , Isuzu , D-Max</t>
        </is>
      </c>
      <c r="E2828" t="inlineStr">
        <is>
          <t>KX20 BCE , Tipper , Isuzu , D-Max</t>
        </is>
      </c>
      <c r="F2828" t="inlineStr">
        <is>
          <t>KX20 BCE , Tipper , Isuzu , D-Max</t>
        </is>
      </c>
      <c r="G2828" t="inlineStr">
        <is>
          <t>Anthony Gale</t>
        </is>
      </c>
      <c r="H2828" t="inlineStr">
        <is>
          <t>Pickup Truck</t>
        </is>
      </c>
      <c r="I2828" t="inlineStr">
        <is>
          <t>Daily/ Weekly Vehicle Inspection</t>
        </is>
      </c>
      <c r="J2828" t="inlineStr">
        <is>
          <t>N/A</t>
        </is>
      </c>
      <c r="K2828" t="inlineStr">
        <is>
          <t>7996 M G Tree Surgery Ltd 1</t>
        </is>
      </c>
      <c r="L2828" t="inlineStr">
        <is>
          <t>22/01/2026 06:58</t>
        </is>
      </c>
      <c r="M2828" t="inlineStr">
        <is>
          <t>None</t>
        </is>
      </c>
      <c r="N2828" t="inlineStr">
        <is>
          <t>&lt;p&gt;&lt;/p&gt;</t>
        </is>
      </c>
      <c r="O2828" t="inlineStr">
        <is>
          <t>Confirm that you have checked this vehicle as per the guidance document and the vehicle is safe and roadworthy:Light board deteriorating.
Safe for now.
Will need replacing soon.
-</t>
        </is>
      </c>
      <c r="P2828" t="inlineStr">
        <is>
          <t>KX20 BCE , Tipper , Isuzu , D-Max</t>
        </is>
      </c>
      <c r="Q2828" t="inlineStr">
        <is>
          <t>UKPN</t>
        </is>
      </c>
      <c r="R2828" t="b">
        <v>0</v>
      </c>
    </row>
    <row r="2829">
      <c r="A2829" t="inlineStr">
        <is>
          <t>22 Jan 2026 / 6617 Ashdown Tree Limited 1 / Utilities / UKPN</t>
        </is>
      </c>
      <c r="B2829" t="inlineStr">
        <is>
          <t>Utilities</t>
        </is>
      </c>
      <c r="C2829" t="inlineStr">
        <is>
          <t>UKPN</t>
        </is>
      </c>
      <c r="D2829" t="inlineStr">
        <is>
          <t>AY21HYZ , Vehicle , Ford , Transit</t>
        </is>
      </c>
      <c r="E2829" t="inlineStr">
        <is>
          <t>AY21HYZ , Vehicle , Ford , Transit</t>
        </is>
      </c>
      <c r="F2829" t="inlineStr">
        <is>
          <t>AY21HYZ , Vehicle , Ford , Transit</t>
        </is>
      </c>
      <c r="G2829" t="inlineStr">
        <is>
          <t>Dan</t>
        </is>
      </c>
      <c r="H2829" t="inlineStr">
        <is>
          <t>Tipper</t>
        </is>
      </c>
      <c r="I2829" t="inlineStr">
        <is>
          <t>Daily/ Weekly Vehicle Inspection</t>
        </is>
      </c>
      <c r="J2829" t="inlineStr">
        <is>
          <t>N/A</t>
        </is>
      </c>
      <c r="K2829" t="inlineStr">
        <is>
          <t>6617 Ashdown Tree Limited - Team 2</t>
        </is>
      </c>
      <c r="L2829" t="inlineStr">
        <is>
          <t>22/01/2026 06:59</t>
        </is>
      </c>
      <c r="M2829" t="inlineStr">
        <is>
          <t>None</t>
        </is>
      </c>
      <c r="N2829" t="inlineStr">
        <is>
          <t>&lt;p&gt;&lt;/p&gt;</t>
        </is>
      </c>
      <c r="O2829" t="inlineStr"/>
      <c r="P2829" t="inlineStr">
        <is>
          <t>AY21HYZ , Vehicle , Ford , Transit</t>
        </is>
      </c>
      <c r="Q2829" t="inlineStr">
        <is>
          <t>UKPN</t>
        </is>
      </c>
      <c r="R2829" t="b">
        <v>0</v>
      </c>
    </row>
    <row r="2830">
      <c r="A2830" t="inlineStr">
        <is>
          <t>22 Jan 2026 / 7800 MAC Tree Surgery and Fencing Ltd / Utilities / UKPN</t>
        </is>
      </c>
      <c r="B2830" t="inlineStr">
        <is>
          <t>Utilities</t>
        </is>
      </c>
      <c r="C2830" t="inlineStr">
        <is>
          <t>UKPN</t>
        </is>
      </c>
      <c r="D2830" t="inlineStr">
        <is>
          <t>AY68DAA , 4x4 , Izuzu , Dmax</t>
        </is>
      </c>
      <c r="E2830" t="inlineStr">
        <is>
          <t>AY68DAA , 4x4 , Izuzu , Dmax</t>
        </is>
      </c>
      <c r="F2830" t="inlineStr">
        <is>
          <t>AY68DAA , 4x4 , Izuzu , Dmax</t>
        </is>
      </c>
      <c r="G2830" t="inlineStr">
        <is>
          <t xml:space="preserve">Patrick O'Shea </t>
        </is>
      </c>
      <c r="H2830" t="inlineStr">
        <is>
          <t>4x4</t>
        </is>
      </c>
      <c r="I2830" t="inlineStr">
        <is>
          <t>Daily/ Weekly Vehicle Inspection</t>
        </is>
      </c>
      <c r="J2830" t="inlineStr">
        <is>
          <t>N/A</t>
        </is>
      </c>
      <c r="K2830" t="inlineStr">
        <is>
          <t>7800 MAC Tree Surgery and Fencing Ltd</t>
        </is>
      </c>
      <c r="L2830" t="inlineStr">
        <is>
          <t>22/01/2026 07:58</t>
        </is>
      </c>
      <c r="M2830" t="inlineStr">
        <is>
          <t>None</t>
        </is>
      </c>
      <c r="N2830" t="inlineStr">
        <is>
          <t>&lt;p&gt;&lt;/p&gt;</t>
        </is>
      </c>
      <c r="O2830" t="inlineStr"/>
      <c r="P2830" t="inlineStr">
        <is>
          <t>AY68DAA , 4x4 , Izuzu , Dmax</t>
        </is>
      </c>
      <c r="Q2830" t="inlineStr">
        <is>
          <t>UKPN</t>
        </is>
      </c>
      <c r="R2830" t="b">
        <v>0</v>
      </c>
    </row>
    <row r="2831">
      <c r="A2831" t="inlineStr">
        <is>
          <t>22 Jan 2026 / 7800 MAC Tree Surgery and Fencing Ltd / Utilities / UKPN</t>
        </is>
      </c>
      <c r="B2831" t="inlineStr">
        <is>
          <t>Utilities</t>
        </is>
      </c>
      <c r="C2831" t="inlineStr">
        <is>
          <t>UKPN</t>
        </is>
      </c>
      <c r="D2831" t="inlineStr">
        <is>
          <t>Plant Trailer - Towmate - 2.8t - 0</t>
        </is>
      </c>
      <c r="E2831" t="inlineStr">
        <is>
          <t>Plant Trailer - Towmate - 2.8t - 0</t>
        </is>
      </c>
      <c r="F2831" t="inlineStr">
        <is>
          <t>Plant Trailer - Towmate - 2.8t - 0</t>
        </is>
      </c>
      <c r="G2831" t="inlineStr">
        <is>
          <t>Lewis mac</t>
        </is>
      </c>
      <c r="H2831" t="inlineStr">
        <is>
          <t>Plant Trailer</t>
        </is>
      </c>
      <c r="I2831" t="inlineStr">
        <is>
          <t>Daily/ Weekly Vehicle Inspection</t>
        </is>
      </c>
      <c r="J2831" t="inlineStr">
        <is>
          <t>N/A</t>
        </is>
      </c>
      <c r="K2831" t="inlineStr">
        <is>
          <t>7800 MAC Tree Surgery and Fencing Ltd</t>
        </is>
      </c>
      <c r="L2831" t="inlineStr">
        <is>
          <t>22/01/2026 08:02</t>
        </is>
      </c>
      <c r="M2831" t="inlineStr">
        <is>
          <t>None</t>
        </is>
      </c>
      <c r="N2831" t="inlineStr">
        <is>
          <t>&lt;p&gt;&lt;/p&gt;</t>
        </is>
      </c>
      <c r="O2831" t="inlineStr"/>
      <c r="P2831" t="inlineStr">
        <is>
          <t>Plant Trailer - Towmate - 2.8t - 0</t>
        </is>
      </c>
      <c r="Q2831" t="inlineStr">
        <is>
          <t>UKPN</t>
        </is>
      </c>
      <c r="R2831" t="b">
        <v>0</v>
      </c>
    </row>
    <row r="2832">
      <c r="A2832" t="inlineStr">
        <is>
          <t>22 Jan 2026 / Thomas Playford / Utilities / UKPN</t>
        </is>
      </c>
      <c r="B2832" t="inlineStr">
        <is>
          <t>Utilities</t>
        </is>
      </c>
      <c r="C2832" t="inlineStr">
        <is>
          <t>UKPN</t>
        </is>
      </c>
      <c r="D2832" t="inlineStr">
        <is>
          <t>WM72UNF , 4x4 , Ford , Ranger</t>
        </is>
      </c>
      <c r="E2832" t="inlineStr">
        <is>
          <t>WM72UNF , 4x4 , Ford , Ranger</t>
        </is>
      </c>
      <c r="F2832" t="inlineStr">
        <is>
          <t>WM72UNF , 4x4 , Ford , Ranger</t>
        </is>
      </c>
      <c r="G2832" t="inlineStr">
        <is>
          <t>Jacob Oram</t>
        </is>
      </c>
      <c r="H2832" t="inlineStr">
        <is>
          <t>4x4</t>
        </is>
      </c>
      <c r="I2832" t="inlineStr">
        <is>
          <t>Daily/ Weekly Vehicle Inspection</t>
        </is>
      </c>
      <c r="J2832" t="inlineStr">
        <is>
          <t>N/A</t>
        </is>
      </c>
      <c r="K2832" t="inlineStr">
        <is>
          <t>7995 Green Net Eco Ltd 2</t>
        </is>
      </c>
      <c r="L2832" t="inlineStr">
        <is>
          <t>22/01/2026 08:09</t>
        </is>
      </c>
      <c r="M2832" t="inlineStr">
        <is>
          <t>None</t>
        </is>
      </c>
      <c r="N2832" t="inlineStr">
        <is>
          <t>&lt;p&gt;&lt;/p&gt;</t>
        </is>
      </c>
      <c r="O2832" t="inlineStr"/>
      <c r="P2832" t="inlineStr">
        <is>
          <t>WM72UNF , 4x4 , Ford , Ranger</t>
        </is>
      </c>
      <c r="Q2832" t="inlineStr">
        <is>
          <t>UKPN</t>
        </is>
      </c>
      <c r="R2832" t="b">
        <v>0</v>
      </c>
    </row>
    <row r="2833">
      <c r="A2833" t="inlineStr">
        <is>
          <t>22 Jan 2026 / 8148 Hope Ground and Tree Care / Utilities / UKPN</t>
        </is>
      </c>
      <c r="B2833" t="inlineStr">
        <is>
          <t>Utilities</t>
        </is>
      </c>
      <c r="C2833" t="inlineStr">
        <is>
          <t>UKPN</t>
        </is>
      </c>
      <c r="D2833" t="inlineStr">
        <is>
          <t>S6 NWX , MEWP , Isuzu , D-Max</t>
        </is>
      </c>
      <c r="E2833" t="inlineStr">
        <is>
          <t>S6 NWX , MEWP , Isuzu , D-Max</t>
        </is>
      </c>
      <c r="F2833" t="inlineStr">
        <is>
          <t>S6 NWX , MEWP , Isuzu , D-Max</t>
        </is>
      </c>
      <c r="G2833" t="inlineStr">
        <is>
          <t>Andrew Hope</t>
        </is>
      </c>
      <c r="H2833" t="inlineStr">
        <is>
          <t>4x4</t>
        </is>
      </c>
      <c r="I2833" t="inlineStr">
        <is>
          <t>Daily/ Weekly Vehicle Inspection</t>
        </is>
      </c>
      <c r="J2833" t="inlineStr">
        <is>
          <t>N/A</t>
        </is>
      </c>
      <c r="K2833" t="inlineStr">
        <is>
          <t>8148 Hope Ground and Tree Care</t>
        </is>
      </c>
      <c r="L2833" t="inlineStr">
        <is>
          <t>22/01/2026 08:14</t>
        </is>
      </c>
      <c r="M2833" t="inlineStr">
        <is>
          <t>None</t>
        </is>
      </c>
      <c r="N2833" t="inlineStr">
        <is>
          <t>&lt;p&gt;&lt;/p&gt;</t>
        </is>
      </c>
      <c r="O2833" t="inlineStr"/>
      <c r="P2833" t="inlineStr">
        <is>
          <t>S6 NWX , MEWP , Isuzu , D-Max</t>
        </is>
      </c>
      <c r="Q2833" t="inlineStr">
        <is>
          <t>UKPN</t>
        </is>
      </c>
      <c r="R2833" t="b">
        <v>0</v>
      </c>
    </row>
    <row r="2834">
      <c r="A2834" t="inlineStr">
        <is>
          <t>22 Jan 2026 / 7806 Optimum Tree Services Ltd / Utilities / UKPN</t>
        </is>
      </c>
      <c r="B2834" t="inlineStr">
        <is>
          <t>Utilities</t>
        </is>
      </c>
      <c r="C2834" t="inlineStr">
        <is>
          <t>UKPN</t>
        </is>
      </c>
      <c r="D2834" t="inlineStr">
        <is>
          <t>SA9TAPLAF27414263 , Trailer , Tow Mate , Plant Trailer</t>
        </is>
      </c>
      <c r="E2834" t="inlineStr">
        <is>
          <t>SA9TAPLAF27414263 , Trailer , Tow Mate , Plant Trailer</t>
        </is>
      </c>
      <c r="F2834" t="inlineStr">
        <is>
          <t>SA9TAPLAF27414263 , Trailer , Tow Mate , Plant Trailer</t>
        </is>
      </c>
      <c r="G2834" t="inlineStr">
        <is>
          <t xml:space="preserve">Abraham Davies </t>
        </is>
      </c>
      <c r="H2834" t="inlineStr">
        <is>
          <t>Plant Trailer</t>
        </is>
      </c>
      <c r="I2834" t="inlineStr">
        <is>
          <t>Daily/ Weekly Vehicle Inspection</t>
        </is>
      </c>
      <c r="J2834" t="inlineStr">
        <is>
          <t>N/A</t>
        </is>
      </c>
      <c r="K2834" t="inlineStr">
        <is>
          <t>7806 Optimum Tree Services Ltd</t>
        </is>
      </c>
      <c r="L2834" t="inlineStr">
        <is>
          <t>22/01/2026 08:16</t>
        </is>
      </c>
      <c r="M2834" t="inlineStr">
        <is>
          <t>None</t>
        </is>
      </c>
      <c r="N2834" t="inlineStr">
        <is>
          <t>&lt;p&gt;&lt;/p&gt;</t>
        </is>
      </c>
      <c r="O2834" t="inlineStr"/>
      <c r="P2834" t="inlineStr">
        <is>
          <t>SA9TAPLAF27414263 , Trailer , Tow Mate , Plant Trailer</t>
        </is>
      </c>
      <c r="Q2834" t="inlineStr">
        <is>
          <t>UKPN</t>
        </is>
      </c>
      <c r="R2834" t="b">
        <v>0</v>
      </c>
    </row>
    <row r="2835">
      <c r="A2835" t="inlineStr">
        <is>
          <t>22 Jan 2026 / 7806 Optimum Tree Services Ltd / Utilities / UKPN</t>
        </is>
      </c>
      <c r="B2835" t="inlineStr">
        <is>
          <t>Utilities</t>
        </is>
      </c>
      <c r="C2835" t="inlineStr">
        <is>
          <t>UKPN</t>
        </is>
      </c>
      <c r="D2835" t="inlineStr">
        <is>
          <t>Wd14evn , 4x4 , Landrover  , Defender</t>
        </is>
      </c>
      <c r="E2835" t="inlineStr">
        <is>
          <t>Wd14evn , 4x4 , Landrover  , Defender</t>
        </is>
      </c>
      <c r="F2835" t="inlineStr">
        <is>
          <t>Wd14evn , 4x4 , Landrover  , Defender</t>
        </is>
      </c>
      <c r="G2835" t="inlineStr">
        <is>
          <t xml:space="preserve">Lewis Davies </t>
        </is>
      </c>
      <c r="H2835" t="inlineStr">
        <is>
          <t>4x4</t>
        </is>
      </c>
      <c r="I2835" t="inlineStr">
        <is>
          <t>Daily/ Weekly Vehicle Inspection</t>
        </is>
      </c>
      <c r="J2835" t="inlineStr">
        <is>
          <t>N/A</t>
        </is>
      </c>
      <c r="K2835" t="inlineStr">
        <is>
          <t>7806 Optimum Tree Services Ltd</t>
        </is>
      </c>
      <c r="L2835" t="inlineStr">
        <is>
          <t>22/01/2026 08:18</t>
        </is>
      </c>
      <c r="M2835" t="inlineStr">
        <is>
          <t>None</t>
        </is>
      </c>
      <c r="N2835" t="inlineStr">
        <is>
          <t>&lt;p&gt;&lt;/p&gt;</t>
        </is>
      </c>
      <c r="O2835" t="inlineStr"/>
      <c r="P2835" t="inlineStr">
        <is>
          <t>Wd14evn , 4x4 , Landrover  , Defender</t>
        </is>
      </c>
      <c r="Q2835" t="inlineStr">
        <is>
          <t>UKPN</t>
        </is>
      </c>
      <c r="R2835" t="b">
        <v>0</v>
      </c>
    </row>
    <row r="2836">
      <c r="A2836" t="inlineStr">
        <is>
          <t>22 Jan 2026 / 7806 Optimum Tree Services Ltd / Utilities / UKPN</t>
        </is>
      </c>
      <c r="B2836" t="inlineStr">
        <is>
          <t>Utilities</t>
        </is>
      </c>
      <c r="C2836" t="inlineStr">
        <is>
          <t>UKPN</t>
        </is>
      </c>
      <c r="D2836" t="inlineStr">
        <is>
          <t>WD14EVB , MEWP , Land Rover , Defender</t>
        </is>
      </c>
      <c r="E2836" t="inlineStr">
        <is>
          <t>WD14EVB , MEWP , Land Rover , Defender</t>
        </is>
      </c>
      <c r="F2836" t="inlineStr">
        <is>
          <t>WD14EVB , MEWP , Land Rover , Defender</t>
        </is>
      </c>
      <c r="G2836" t="inlineStr">
        <is>
          <t xml:space="preserve">Abraham Davies </t>
        </is>
      </c>
      <c r="H2836" t="inlineStr">
        <is>
          <t>4x4</t>
        </is>
      </c>
      <c r="I2836" t="inlineStr">
        <is>
          <t>Daily/ Weekly Vehicle Inspection</t>
        </is>
      </c>
      <c r="J2836" t="inlineStr">
        <is>
          <t>N/A</t>
        </is>
      </c>
      <c r="K2836" t="inlineStr">
        <is>
          <t>7806 Optimum Tree Services Ltd</t>
        </is>
      </c>
      <c r="L2836" t="inlineStr">
        <is>
          <t>22/01/2026 08:21</t>
        </is>
      </c>
      <c r="M2836" t="inlineStr">
        <is>
          <t>None</t>
        </is>
      </c>
      <c r="N2836" t="inlineStr">
        <is>
          <t>&lt;p&gt;&lt;/p&gt;</t>
        </is>
      </c>
      <c r="O2836" t="inlineStr"/>
      <c r="P2836" t="inlineStr">
        <is>
          <t>WD14EVB , MEWP , Land Rover , Defender</t>
        </is>
      </c>
      <c r="Q2836" t="inlineStr">
        <is>
          <t>UKPN</t>
        </is>
      </c>
      <c r="R2836" t="b">
        <v>0</v>
      </c>
    </row>
    <row r="2837">
      <c r="A2837" t="inlineStr">
        <is>
          <t>22 Jan 2026 / 7889 Tree Tech Suffolk Ltd</t>
        </is>
      </c>
      <c r="B2837" t="inlineStr">
        <is>
          <t>Utilities &amp; Inland Waterways</t>
        </is>
      </c>
      <c r="C2837" t="inlineStr">
        <is>
          <t>UKPN</t>
        </is>
      </c>
      <c r="D2837" t="inlineStr">
        <is>
          <t>Tipper - Nissan - Navara - NS02TTS4x4 - Isuzu - D-max - NS03 TTS</t>
        </is>
      </c>
      <c r="E2837" t="inlineStr">
        <is>
          <t>Tipper - Nissan - Navara - NS02TTS4x4 - Isuzu - D-max - NS03 TTS</t>
        </is>
      </c>
      <c r="F2837" t="inlineStr">
        <is>
          <t>Tipper - Nissan - Navara - NS02TTS4x4 - Isuzu - D-max - NS03 TTS</t>
        </is>
      </c>
      <c r="G2837" t="inlineStr">
        <is>
          <t xml:space="preserve">Danny ApplebyNikki sparrow </t>
        </is>
      </c>
      <c r="H2837" t="inlineStr">
        <is>
          <t>Tipper4x4</t>
        </is>
      </c>
      <c r="I2837" t="inlineStr">
        <is>
          <t>Daily/ Weekly Vehicle Inspection</t>
        </is>
      </c>
      <c r="J2837" t="inlineStr">
        <is>
          <t>N/A</t>
        </is>
      </c>
      <c r="K2837" t="inlineStr">
        <is>
          <t>7889 Tree Tech Suffolk Ltd</t>
        </is>
      </c>
      <c r="L2837" t="inlineStr">
        <is>
          <t>22/01/2026 08:42</t>
        </is>
      </c>
      <c r="M2837" t="inlineStr">
        <is>
          <t>None</t>
        </is>
      </c>
      <c r="N2837" t="inlineStr">
        <is>
          <t>&lt;p&gt;&lt;/p&gt;</t>
        </is>
      </c>
      <c r="O2837" t="inlineStr">
        <is>
          <t>Select Vehicle:Ns05 tts</t>
        </is>
      </c>
      <c r="P2837" t="inlineStr">
        <is>
          <t>Tipper - Nissan - Navara - NS02TTS4x4 - Isuzu - D-max - NS03 TTS</t>
        </is>
      </c>
      <c r="Q2837" t="inlineStr">
        <is>
          <t>UKPN</t>
        </is>
      </c>
      <c r="R2837" t="b">
        <v>0</v>
      </c>
    </row>
    <row r="2838">
      <c r="A2838" t="inlineStr">
        <is>
          <t>22 Jan 2026 / 7186 Eastwoodbury Tree Services Ltd / Utilities / UKPN</t>
        </is>
      </c>
      <c r="B2838" t="inlineStr">
        <is>
          <t>Utilities</t>
        </is>
      </c>
      <c r="C2838" t="inlineStr">
        <is>
          <t>UKPN</t>
        </is>
      </c>
      <c r="D2838" t="inlineStr">
        <is>
          <t>WF13 EKT , 4x4 , Land rover  , Defender</t>
        </is>
      </c>
      <c r="E2838" t="inlineStr">
        <is>
          <t>WF13 EKT , 4x4 , Land rover  , Defender</t>
        </is>
      </c>
      <c r="F2838" t="inlineStr">
        <is>
          <t>WF13 EKT , 4x4 , Land rover  , Defender</t>
        </is>
      </c>
      <c r="G2838" t="inlineStr">
        <is>
          <t xml:space="preserve">Dan Gilbert </t>
        </is>
      </c>
      <c r="H2838" t="inlineStr">
        <is>
          <t>4x4</t>
        </is>
      </c>
      <c r="I2838" t="inlineStr">
        <is>
          <t>Daily/ Weekly Vehicle Inspection</t>
        </is>
      </c>
      <c r="J2838" t="inlineStr">
        <is>
          <t>N/A</t>
        </is>
      </c>
      <c r="K2838" t="inlineStr">
        <is>
          <t>7186 Eastwoodbury Tree Services Ltd</t>
        </is>
      </c>
      <c r="L2838" t="inlineStr">
        <is>
          <t>22/01/2026 08:44</t>
        </is>
      </c>
      <c r="M2838" t="inlineStr">
        <is>
          <t>None</t>
        </is>
      </c>
      <c r="N2838" t="inlineStr">
        <is>
          <t>&lt;p&gt;&lt;/p&gt;</t>
        </is>
      </c>
      <c r="O2838" t="inlineStr"/>
      <c r="P2838" t="inlineStr">
        <is>
          <t>WF13 EKT , 4x4 , Land rover  , Defender</t>
        </is>
      </c>
      <c r="Q2838" t="inlineStr">
        <is>
          <t>UKPN</t>
        </is>
      </c>
      <c r="R2838" t="b">
        <v>0</v>
      </c>
    </row>
    <row r="2839">
      <c r="A2839" t="inlineStr">
        <is>
          <t>22 Jan 2026 / 3098 D &amp; R Landscapes / Utilities / UKPN</t>
        </is>
      </c>
      <c r="B2839" t="inlineStr">
        <is>
          <t>Utilities</t>
        </is>
      </c>
      <c r="C2839" t="inlineStr">
        <is>
          <t>UKPN</t>
        </is>
      </c>
      <c r="D2839" t="inlineStr">
        <is>
          <t>BT20 GNZ , Vehicle , Nissan , Navara</t>
        </is>
      </c>
      <c r="E2839" t="inlineStr">
        <is>
          <t>BT20 GNZ , Vehicle , Nissan , Navara</t>
        </is>
      </c>
      <c r="F2839" t="inlineStr">
        <is>
          <t>BT20 GNZ , Vehicle , Nissan , Navara</t>
        </is>
      </c>
      <c r="G2839" t="inlineStr">
        <is>
          <t xml:space="preserve">Chris </t>
        </is>
      </c>
      <c r="H2839" t="inlineStr">
        <is>
          <t>Pickup Truck</t>
        </is>
      </c>
      <c r="I2839" t="inlineStr">
        <is>
          <t>Daily/ Weekly Vehicle Inspection</t>
        </is>
      </c>
      <c r="J2839" t="inlineStr">
        <is>
          <t>N/A</t>
        </is>
      </c>
      <c r="K2839" t="inlineStr">
        <is>
          <t>3098 D &amp; R Landscapes</t>
        </is>
      </c>
      <c r="L2839" t="inlineStr">
        <is>
          <t>22/01/2026 08:59</t>
        </is>
      </c>
      <c r="M2839" t="inlineStr">
        <is>
          <t>None</t>
        </is>
      </c>
      <c r="N2839" t="inlineStr">
        <is>
          <t>&lt;p&gt;&lt;/p&gt;</t>
        </is>
      </c>
      <c r="O2839" t="inlineStr"/>
      <c r="P2839" t="inlineStr">
        <is>
          <t>BT20 GNZ , Vehicle , Nissan , Navara</t>
        </is>
      </c>
      <c r="Q2839" t="inlineStr">
        <is>
          <t>UKPN</t>
        </is>
      </c>
      <c r="R2839" t="b">
        <v>0</v>
      </c>
    </row>
    <row r="2840">
      <c r="A2840" t="inlineStr">
        <is>
          <t>22 Jan 2026 / 3098 D &amp; R Landscapes / Utilities / UKPN</t>
        </is>
      </c>
      <c r="B2840" t="inlineStr">
        <is>
          <t>Utilities</t>
        </is>
      </c>
      <c r="C2840" t="inlineStr">
        <is>
          <t>UKPN</t>
        </is>
      </c>
      <c r="D2840" t="inlineStr">
        <is>
          <t>DE68XHA , Tipper , Isuzu , Grafter</t>
        </is>
      </c>
      <c r="E2840" t="inlineStr">
        <is>
          <t>DE68XHA , Tipper , Isuzu , Grafter</t>
        </is>
      </c>
      <c r="F2840" t="inlineStr">
        <is>
          <t>DE68XHA , Tipper , Isuzu , Grafter</t>
        </is>
      </c>
      <c r="G2840" t="inlineStr">
        <is>
          <t xml:space="preserve">Josh </t>
        </is>
      </c>
      <c r="H2840" t="inlineStr">
        <is>
          <t>Tipper</t>
        </is>
      </c>
      <c r="I2840" t="inlineStr">
        <is>
          <t>Daily/ Weekly Vehicle Inspection</t>
        </is>
      </c>
      <c r="J2840" t="inlineStr">
        <is>
          <t>N/A</t>
        </is>
      </c>
      <c r="K2840" t="inlineStr">
        <is>
          <t>3098 D &amp; R Landscapes</t>
        </is>
      </c>
      <c r="L2840" t="inlineStr">
        <is>
          <t>22/01/2026 09:01</t>
        </is>
      </c>
      <c r="M2840" t="inlineStr">
        <is>
          <t>None</t>
        </is>
      </c>
      <c r="N2840" t="inlineStr">
        <is>
          <t>&lt;p&gt;&lt;/p&gt;</t>
        </is>
      </c>
      <c r="O2840" t="inlineStr"/>
      <c r="P2840" t="inlineStr">
        <is>
          <t>DE68XHA , Tipper , Isuzu , Grafter</t>
        </is>
      </c>
      <c r="Q2840" t="inlineStr">
        <is>
          <t>UKPN</t>
        </is>
      </c>
      <c r="R2840" t="b">
        <v>0</v>
      </c>
    </row>
    <row r="2841">
      <c r="A2841" t="inlineStr">
        <is>
          <t>22 Jan 2026 / 3098 D &amp; R Landscapes / Utilities / UKPN</t>
        </is>
      </c>
      <c r="B2841" t="inlineStr">
        <is>
          <t>Utilities</t>
        </is>
      </c>
      <c r="C2841" t="inlineStr">
        <is>
          <t>UKPN</t>
        </is>
      </c>
      <c r="D2841" t="inlineStr">
        <is>
          <t>WA13ZZK , 4x4 , Land Rover  , Defender</t>
        </is>
      </c>
      <c r="E2841" t="inlineStr">
        <is>
          <t>WA13ZZK , 4x4 , Land Rover  , Defender</t>
        </is>
      </c>
      <c r="F2841" t="inlineStr">
        <is>
          <t>WA13ZZK , 4x4 , Land Rover  , Defender</t>
        </is>
      </c>
      <c r="G2841" t="inlineStr">
        <is>
          <t xml:space="preserve">Jason </t>
        </is>
      </c>
      <c r="H2841" t="inlineStr">
        <is>
          <t>4x4</t>
        </is>
      </c>
      <c r="I2841" t="inlineStr">
        <is>
          <t>Daily/ Weekly Vehicle Inspection</t>
        </is>
      </c>
      <c r="J2841" t="inlineStr">
        <is>
          <t>N/A</t>
        </is>
      </c>
      <c r="K2841" t="inlineStr">
        <is>
          <t>3098 D &amp; R Landscapes</t>
        </is>
      </c>
      <c r="L2841" t="inlineStr">
        <is>
          <t>22/01/2026 09:05</t>
        </is>
      </c>
      <c r="M2841" t="inlineStr">
        <is>
          <t>None</t>
        </is>
      </c>
      <c r="N2841" t="inlineStr">
        <is>
          <t>&lt;p&gt;&lt;/p&gt;</t>
        </is>
      </c>
      <c r="O2841" t="inlineStr"/>
      <c r="P2841" t="inlineStr">
        <is>
          <t>WA13ZZK , 4x4 , Land Rover  , Defender</t>
        </is>
      </c>
      <c r="Q2841" t="inlineStr">
        <is>
          <t>UKPN</t>
        </is>
      </c>
      <c r="R2841" t="b">
        <v>0</v>
      </c>
    </row>
    <row r="2842">
      <c r="A2842" t="inlineStr">
        <is>
          <t>22 Jan 2026 / 7951 Austin Tree Care LTD / Utilities / UKPN</t>
        </is>
      </c>
      <c r="B2842" t="inlineStr">
        <is>
          <t>Utilities</t>
        </is>
      </c>
      <c r="C2842" t="inlineStr">
        <is>
          <t>UKPN</t>
        </is>
      </c>
      <c r="D2842" t="inlineStr">
        <is>
          <t>WG64HTT , 4x4 , Land Rover , Defender 110</t>
        </is>
      </c>
      <c r="E2842" t="inlineStr">
        <is>
          <t>WG64HTT , 4x4 , Land Rover , Defender 110</t>
        </is>
      </c>
      <c r="F2842" t="inlineStr">
        <is>
          <t>WG64HTT , 4x4 , Land Rover , Defender 110</t>
        </is>
      </c>
      <c r="G2842" t="inlineStr">
        <is>
          <t>James Tasker</t>
        </is>
      </c>
      <c r="H2842" t="inlineStr">
        <is>
          <t>4x4</t>
        </is>
      </c>
      <c r="I2842" t="inlineStr">
        <is>
          <t>Daily/ Weekly Vehicle Inspection</t>
        </is>
      </c>
      <c r="J2842" t="inlineStr">
        <is>
          <t>N/A</t>
        </is>
      </c>
      <c r="K2842" t="inlineStr">
        <is>
          <t>7951 Austin Tree Care LTD</t>
        </is>
      </c>
      <c r="L2842" t="inlineStr">
        <is>
          <t>22/01/2026 09:11</t>
        </is>
      </c>
      <c r="M2842" t="inlineStr">
        <is>
          <t>None</t>
        </is>
      </c>
      <c r="N2842" t="inlineStr">
        <is>
          <t>&lt;p&gt;&lt;/p&gt;</t>
        </is>
      </c>
      <c r="O2842" t="inlineStr"/>
      <c r="P2842" t="inlineStr">
        <is>
          <t>WG64HTT , 4x4 , Land Rover , Defender 110</t>
        </is>
      </c>
      <c r="Q2842" t="inlineStr">
        <is>
          <t>UKPN</t>
        </is>
      </c>
      <c r="R2842" t="b">
        <v>0</v>
      </c>
    </row>
    <row r="2843">
      <c r="A2843" t="inlineStr">
        <is>
          <t>22 Jan 2026 / Anthony Gale / Utilities / UKPN</t>
        </is>
      </c>
      <c r="B2843" t="inlineStr">
        <is>
          <t>Utilities</t>
        </is>
      </c>
      <c r="C2843" t="inlineStr">
        <is>
          <t>UKPN</t>
        </is>
      </c>
      <c r="D2843" t="inlineStr"/>
      <c r="E2843" t="inlineStr"/>
      <c r="F2843" t="inlineStr"/>
      <c r="G2843" t="inlineStr">
        <is>
          <t>Anthony Gale</t>
        </is>
      </c>
      <c r="H2843" t="inlineStr">
        <is>
          <t>Plant Trailer</t>
        </is>
      </c>
      <c r="I2843" t="inlineStr">
        <is>
          <t>Daily/ Weekly Vehicle Inspection</t>
        </is>
      </c>
      <c r="J2843" t="inlineStr">
        <is>
          <t>N/A</t>
        </is>
      </c>
      <c r="K2843" t="inlineStr">
        <is>
          <t>7996 M G Tree Surgery Ltd 1</t>
        </is>
      </c>
      <c r="L2843" t="inlineStr">
        <is>
          <t>22/01/2026 09:13</t>
        </is>
      </c>
      <c r="M2843" t="inlineStr">
        <is>
          <t>None</t>
        </is>
      </c>
      <c r="N2843" t="inlineStr">
        <is>
          <t>&lt;p&gt;&lt;/p&gt;</t>
        </is>
      </c>
      <c r="O2843" t="inlineStr"/>
      <c r="P2843" t="inlineStr"/>
      <c r="Q2843" t="inlineStr">
        <is>
          <t>UKPN</t>
        </is>
      </c>
      <c r="R2843" t="b">
        <v>0</v>
      </c>
    </row>
    <row r="2844">
      <c r="A2844" t="inlineStr">
        <is>
          <t>22 Jan 2026 / Joseph Pallot / Utilities / NGED</t>
        </is>
      </c>
      <c r="B2844" t="inlineStr">
        <is>
          <t>Utilities</t>
        </is>
      </c>
      <c r="C2844" t="inlineStr">
        <is>
          <t>NGED</t>
        </is>
      </c>
      <c r="D2844" t="inlineStr"/>
      <c r="E2844" t="inlineStr"/>
      <c r="F2844" t="inlineStr"/>
      <c r="G2844" t="inlineStr">
        <is>
          <t>Joseph Pallot</t>
        </is>
      </c>
      <c r="H2844" t="inlineStr">
        <is>
          <t>Car - Petrol</t>
        </is>
      </c>
      <c r="I2844" t="inlineStr">
        <is>
          <t>Daily/ Weekly Vehicle Inspection</t>
        </is>
      </c>
      <c r="J2844" t="inlineStr">
        <is>
          <t>N/A</t>
        </is>
      </c>
      <c r="K2844" t="inlineStr">
        <is>
          <t>Joseph Pallot</t>
        </is>
      </c>
      <c r="L2844" t="inlineStr">
        <is>
          <t>22/01/2026 17:06</t>
        </is>
      </c>
      <c r="M2844" t="inlineStr">
        <is>
          <t>None</t>
        </is>
      </c>
      <c r="N2844" t="inlineStr">
        <is>
          <t>&lt;p&gt;&lt;/p&gt;</t>
        </is>
      </c>
      <c r="O2844" t="inlineStr"/>
      <c r="P2844" t="inlineStr"/>
      <c r="Q2844" t="inlineStr">
        <is>
          <t>NGED</t>
        </is>
      </c>
      <c r="R2844" t="b">
        <v>0</v>
      </c>
    </row>
    <row r="2845">
      <c r="A2845" t="inlineStr">
        <is>
          <t>22 Jan 2026 / 3098 D &amp; R Landscapes / Utilities / UKPN</t>
        </is>
      </c>
      <c r="B2845" t="inlineStr">
        <is>
          <t>Utilities</t>
        </is>
      </c>
      <c r="C2845" t="inlineStr">
        <is>
          <t>UKPN</t>
        </is>
      </c>
      <c r="D2845" t="inlineStr">
        <is>
          <t>BT20 GNZ , Vehicle , Nissan , Navara</t>
        </is>
      </c>
      <c r="E2845" t="inlineStr">
        <is>
          <t>BT20 GNZ , Vehicle , Nissan , Navara</t>
        </is>
      </c>
      <c r="F2845" t="inlineStr">
        <is>
          <t>BT20 GNZ , Vehicle , Nissan , Navara</t>
        </is>
      </c>
      <c r="G2845" t="inlineStr">
        <is>
          <t xml:space="preserve">Chris </t>
        </is>
      </c>
      <c r="H2845" t="inlineStr">
        <is>
          <t>Pickup Truck</t>
        </is>
      </c>
      <c r="I2845" t="inlineStr">
        <is>
          <t>Daily/ Weekly Vehicle Inspection</t>
        </is>
      </c>
      <c r="J2845" t="inlineStr">
        <is>
          <t>N/A</t>
        </is>
      </c>
      <c r="K2845" t="inlineStr">
        <is>
          <t>3098 D &amp; R Landscapes</t>
        </is>
      </c>
      <c r="L2845" t="inlineStr">
        <is>
          <t>22/01/2026 23:00</t>
        </is>
      </c>
      <c r="M2845" t="inlineStr">
        <is>
          <t>None</t>
        </is>
      </c>
      <c r="N2845" t="inlineStr">
        <is>
          <t>&lt;p&gt;&lt;/p&gt;</t>
        </is>
      </c>
      <c r="O2845" t="inlineStr"/>
      <c r="P2845" t="inlineStr">
        <is>
          <t>BT20 GNZ , Vehicle , Nissan , Navara</t>
        </is>
      </c>
      <c r="Q2845" t="inlineStr">
        <is>
          <t>UKPN</t>
        </is>
      </c>
      <c r="R2845" t="b">
        <v>0</v>
      </c>
    </row>
    <row r="2846">
      <c r="A2846" t="inlineStr">
        <is>
          <t>22 Jan 2026 / 3098 D &amp; R Landscapes / Utilities / UKPN</t>
        </is>
      </c>
      <c r="B2846" t="inlineStr">
        <is>
          <t>Utilities</t>
        </is>
      </c>
      <c r="C2846" t="inlineStr">
        <is>
          <t>UKPN</t>
        </is>
      </c>
      <c r="D2846" t="inlineStr">
        <is>
          <t>BT20 GNZ , Vehicle , Nissan , Navara</t>
        </is>
      </c>
      <c r="E2846" t="inlineStr">
        <is>
          <t>BT20 GNZ , Vehicle , Nissan , Navara</t>
        </is>
      </c>
      <c r="F2846" t="inlineStr">
        <is>
          <t>BT20 GNZ , Vehicle , Nissan , Navara</t>
        </is>
      </c>
      <c r="G2846" t="inlineStr">
        <is>
          <t xml:space="preserve">Chris </t>
        </is>
      </c>
      <c r="H2846" t="inlineStr">
        <is>
          <t>Pickup Truck</t>
        </is>
      </c>
      <c r="I2846" t="inlineStr">
        <is>
          <t>Daily/ Weekly Vehicle Inspection</t>
        </is>
      </c>
      <c r="J2846" t="inlineStr">
        <is>
          <t>N/A</t>
        </is>
      </c>
      <c r="K2846" t="inlineStr">
        <is>
          <t>3098 D &amp; R Landscapes</t>
        </is>
      </c>
      <c r="L2846" t="inlineStr">
        <is>
          <t>22/01/2026 23:59</t>
        </is>
      </c>
      <c r="M2846" t="inlineStr">
        <is>
          <t>None</t>
        </is>
      </c>
      <c r="N2846" t="inlineStr">
        <is>
          <t>&lt;p&gt;&lt;/p&gt;</t>
        </is>
      </c>
      <c r="O2846" t="inlineStr"/>
      <c r="P2846" t="inlineStr">
        <is>
          <t>BT20 GNZ , Vehicle , Nissan , Navara</t>
        </is>
      </c>
      <c r="Q2846" t="inlineStr">
        <is>
          <t>UKPN</t>
        </is>
      </c>
      <c r="R2846" t="b">
        <v>0</v>
      </c>
    </row>
    <row r="2847">
      <c r="A2847" t="inlineStr">
        <is>
          <t>23 Jan 2026 / Anthony Gale / Utilities / UKPN</t>
        </is>
      </c>
      <c r="B2847" t="inlineStr">
        <is>
          <t>Utilities</t>
        </is>
      </c>
      <c r="C2847" t="inlineStr">
        <is>
          <t>UKPN</t>
        </is>
      </c>
      <c r="D2847" t="inlineStr">
        <is>
          <t>KX20 BCE , Tipper , Isuzu , D-Max</t>
        </is>
      </c>
      <c r="E2847" t="inlineStr">
        <is>
          <t>KX20 BCE , Tipper , Isuzu , D-Max</t>
        </is>
      </c>
      <c r="F2847" t="inlineStr">
        <is>
          <t>KX20 BCE , Tipper , Isuzu , D-Max</t>
        </is>
      </c>
      <c r="G2847" t="inlineStr">
        <is>
          <t>Anthony Gale</t>
        </is>
      </c>
      <c r="H2847" t="inlineStr">
        <is>
          <t>Pickup Truck</t>
        </is>
      </c>
      <c r="I2847" t="inlineStr">
        <is>
          <t>Daily/ Weekly Vehicle Inspection</t>
        </is>
      </c>
      <c r="J2847" t="inlineStr">
        <is>
          <t>N/A</t>
        </is>
      </c>
      <c r="K2847" t="inlineStr">
        <is>
          <t>7996 M G Tree Surgery Ltd 1</t>
        </is>
      </c>
      <c r="L2847" t="inlineStr">
        <is>
          <t>23/01/2026 06:59</t>
        </is>
      </c>
      <c r="M2847" t="inlineStr">
        <is>
          <t>None</t>
        </is>
      </c>
      <c r="N2847" t="inlineStr">
        <is>
          <t>&lt;p&gt;&lt;/p&gt;</t>
        </is>
      </c>
      <c r="O2847" t="inlineStr">
        <is>
          <t>Confirm that you have checked this vehicle as per the guidance document and the vehicle is safe and roadworthy:Light board deteriorating.
Safe for now.
Will need replacing soon.
-</t>
        </is>
      </c>
      <c r="P2847" t="inlineStr">
        <is>
          <t>KX20 BCE , Tipper , Isuzu , D-Max</t>
        </is>
      </c>
      <c r="Q2847" t="inlineStr">
        <is>
          <t>UKPN</t>
        </is>
      </c>
      <c r="R2847" t="b">
        <v>0</v>
      </c>
    </row>
    <row r="2848">
      <c r="A2848" t="inlineStr">
        <is>
          <t>22 Jan 2026 / Anthony Gale / Utilities / UKPN</t>
        </is>
      </c>
      <c r="B2848" t="inlineStr">
        <is>
          <t>Utilities</t>
        </is>
      </c>
      <c r="C2848" t="inlineStr">
        <is>
          <t>UKPN</t>
        </is>
      </c>
      <c r="D2848" t="inlineStr"/>
      <c r="E2848" t="inlineStr"/>
      <c r="F2848" t="inlineStr"/>
      <c r="G2848" t="inlineStr">
        <is>
          <t>Anthony Gale</t>
        </is>
      </c>
      <c r="H2848" t="inlineStr">
        <is>
          <t>Plant Trailer</t>
        </is>
      </c>
      <c r="I2848" t="inlineStr">
        <is>
          <t>Daily/ Weekly Vehicle Inspection</t>
        </is>
      </c>
      <c r="J2848" t="inlineStr">
        <is>
          <t>N/A</t>
        </is>
      </c>
      <c r="K2848" t="inlineStr">
        <is>
          <t>7996 M G Tree Surgery Ltd 1</t>
        </is>
      </c>
      <c r="L2848" t="inlineStr">
        <is>
          <t>23/01/2026 07:00</t>
        </is>
      </c>
      <c r="M2848" t="inlineStr">
        <is>
          <t>None</t>
        </is>
      </c>
      <c r="N2848" t="inlineStr">
        <is>
          <t>&lt;p&gt;&lt;/p&gt;</t>
        </is>
      </c>
      <c r="O2848" t="inlineStr"/>
      <c r="P2848" t="inlineStr"/>
      <c r="Q2848" t="inlineStr">
        <is>
          <t>UKPN</t>
        </is>
      </c>
      <c r="R2848" t="b">
        <v>0</v>
      </c>
    </row>
    <row r="2849">
      <c r="A2849" t="inlineStr">
        <is>
          <t>23 Jan 2026 / 8148 Hope Ground and Tree Care / Utilities / UKPN</t>
        </is>
      </c>
      <c r="B2849" t="inlineStr">
        <is>
          <t>Utilities</t>
        </is>
      </c>
      <c r="C2849" t="inlineStr">
        <is>
          <t>UKPN</t>
        </is>
      </c>
      <c r="D2849" t="inlineStr">
        <is>
          <t>S6 NWX , MEWP , Isuzu , D-Max</t>
        </is>
      </c>
      <c r="E2849" t="inlineStr">
        <is>
          <t>S6 NWX , MEWP , Isuzu , D-Max</t>
        </is>
      </c>
      <c r="F2849" t="inlineStr">
        <is>
          <t>S6 NWX , MEWP , Isuzu , D-Max</t>
        </is>
      </c>
      <c r="G2849" t="inlineStr">
        <is>
          <t>A Hope</t>
        </is>
      </c>
      <c r="H2849" t="inlineStr">
        <is>
          <t>4x4</t>
        </is>
      </c>
      <c r="I2849" t="inlineStr">
        <is>
          <t>Daily/ Weekly Vehicle Inspection</t>
        </is>
      </c>
      <c r="J2849" t="inlineStr">
        <is>
          <t>N/A</t>
        </is>
      </c>
      <c r="K2849" t="inlineStr">
        <is>
          <t>8148 Hope Ground and Tree Care</t>
        </is>
      </c>
      <c r="L2849" t="inlineStr">
        <is>
          <t>23/01/2026 07:59</t>
        </is>
      </c>
      <c r="M2849" t="inlineStr">
        <is>
          <t>None</t>
        </is>
      </c>
      <c r="N2849" t="inlineStr">
        <is>
          <t>&lt;p&gt;&lt;/p&gt;</t>
        </is>
      </c>
      <c r="O2849" t="inlineStr"/>
      <c r="P2849" t="inlineStr">
        <is>
          <t>S6 NWX , MEWP , Isuzu , D-Max</t>
        </is>
      </c>
      <c r="Q2849" t="inlineStr">
        <is>
          <t>UKPN</t>
        </is>
      </c>
      <c r="R2849" t="b">
        <v>0</v>
      </c>
    </row>
    <row r="2850">
      <c r="A2850" t="inlineStr">
        <is>
          <t>23 Jan 2026 / Anthony Gale / Utilities / UKPN</t>
        </is>
      </c>
      <c r="B2850" t="inlineStr">
        <is>
          <t>Utilities</t>
        </is>
      </c>
      <c r="C2850" t="inlineStr">
        <is>
          <t>UKPN</t>
        </is>
      </c>
      <c r="D2850" t="inlineStr"/>
      <c r="E2850" t="inlineStr"/>
      <c r="F2850" t="inlineStr"/>
      <c r="G2850" t="inlineStr">
        <is>
          <t xml:space="preserve">Anthony Gale </t>
        </is>
      </c>
      <c r="H2850" t="inlineStr">
        <is>
          <t>Plant Trailer</t>
        </is>
      </c>
      <c r="I2850" t="inlineStr">
        <is>
          <t>Daily/ Weekly Vehicle Inspection</t>
        </is>
      </c>
      <c r="J2850" t="inlineStr">
        <is>
          <t>N/A</t>
        </is>
      </c>
      <c r="K2850" t="inlineStr">
        <is>
          <t>7996 M G Tree Surgery Ltd 1</t>
        </is>
      </c>
      <c r="L2850" t="inlineStr">
        <is>
          <t>23/01/2026 08:00</t>
        </is>
      </c>
      <c r="M2850" t="inlineStr">
        <is>
          <t>None</t>
        </is>
      </c>
      <c r="N2850" t="inlineStr">
        <is>
          <t>&lt;p&gt;&lt;/p&gt;</t>
        </is>
      </c>
      <c r="O2850" t="inlineStr"/>
      <c r="P2850" t="inlineStr"/>
      <c r="Q2850" t="inlineStr">
        <is>
          <t>UKPN</t>
        </is>
      </c>
      <c r="R2850" t="b">
        <v>0</v>
      </c>
    </row>
    <row r="2851">
      <c r="A2851" t="inlineStr">
        <is>
          <t>23 Jan 2026 / Anthony Gale / Utilities / UKPN</t>
        </is>
      </c>
      <c r="B2851" t="inlineStr">
        <is>
          <t>Utilities</t>
        </is>
      </c>
      <c r="C2851" t="inlineStr">
        <is>
          <t>UKPN</t>
        </is>
      </c>
      <c r="D2851" t="inlineStr">
        <is>
          <t>KX20 BCE , Tipper , Isuzu , D-Max</t>
        </is>
      </c>
      <c r="E2851" t="inlineStr">
        <is>
          <t>KX20 BCE , Tipper , Isuzu , D-Max</t>
        </is>
      </c>
      <c r="F2851" t="inlineStr">
        <is>
          <t>KX20 BCE , Tipper , Isuzu , D-Max</t>
        </is>
      </c>
      <c r="G2851" t="inlineStr">
        <is>
          <t>Anthony Gale</t>
        </is>
      </c>
      <c r="H2851" t="inlineStr">
        <is>
          <t>Pickup Truck</t>
        </is>
      </c>
      <c r="I2851" t="inlineStr">
        <is>
          <t>Daily/ Weekly Vehicle Inspection</t>
        </is>
      </c>
      <c r="J2851" t="inlineStr">
        <is>
          <t>N/A</t>
        </is>
      </c>
      <c r="K2851" t="inlineStr">
        <is>
          <t>7996 M G Tree Surgery Ltd 1</t>
        </is>
      </c>
      <c r="L2851" t="inlineStr">
        <is>
          <t>23/01/2026 08:01</t>
        </is>
      </c>
      <c r="M2851" t="inlineStr">
        <is>
          <t>None</t>
        </is>
      </c>
      <c r="N2851" t="inlineStr">
        <is>
          <t>&lt;p&gt;&lt;/p&gt;</t>
        </is>
      </c>
      <c r="O2851" t="inlineStr">
        <is>
          <t>Confirm that you have checked this vehicle as per the guidance document and the vehicle is safe and roadworthy:Light board deteriorating.
Safe for now.
Will need replacing soon.
-</t>
        </is>
      </c>
      <c r="P2851" t="inlineStr">
        <is>
          <t>KX20 BCE , Tipper , Isuzu , D-Max</t>
        </is>
      </c>
      <c r="Q2851" t="inlineStr">
        <is>
          <t>UKPN</t>
        </is>
      </c>
      <c r="R2851" t="b">
        <v>0</v>
      </c>
    </row>
    <row r="2852">
      <c r="A2852" t="inlineStr">
        <is>
          <t>23 Jan 2026 / Thomas Playford / Utilities / UKPN</t>
        </is>
      </c>
      <c r="B2852" t="inlineStr">
        <is>
          <t>Utilities</t>
        </is>
      </c>
      <c r="C2852" t="inlineStr">
        <is>
          <t>UKPN</t>
        </is>
      </c>
      <c r="D2852" t="inlineStr">
        <is>
          <t>SA9ST800000283944 , Towed Chipper , Forst , ST8D - Towed</t>
        </is>
      </c>
      <c r="E2852" t="inlineStr">
        <is>
          <t>SA9ST800000283944 , Towed Chipper , Forst , ST8D - Towed</t>
        </is>
      </c>
      <c r="F2852" t="inlineStr">
        <is>
          <t>SA9ST800000283944 , Towed Chipper , Forst , ST8D - Towed</t>
        </is>
      </c>
      <c r="G2852" t="inlineStr">
        <is>
          <t>Thomas Playford</t>
        </is>
      </c>
      <c r="H2852" t="inlineStr">
        <is>
          <t>Towed Chipper</t>
        </is>
      </c>
      <c r="I2852" t="inlineStr">
        <is>
          <t>Daily/ Weekly Vehicle Inspection</t>
        </is>
      </c>
      <c r="J2852" t="inlineStr">
        <is>
          <t>N/A</t>
        </is>
      </c>
      <c r="K2852" t="inlineStr">
        <is>
          <t>7995 Green Net Eco Ltd 2</t>
        </is>
      </c>
      <c r="L2852" t="inlineStr">
        <is>
          <t>23/01/2026 08:02</t>
        </is>
      </c>
      <c r="M2852" t="inlineStr">
        <is>
          <t>None</t>
        </is>
      </c>
      <c r="N2852" t="inlineStr">
        <is>
          <t>&lt;p&gt;&lt;/p&gt;</t>
        </is>
      </c>
      <c r="O2852" t="inlineStr"/>
      <c r="P2852" t="inlineStr">
        <is>
          <t>SA9ST800000283944 , Towed Chipper , Forst , ST8D - Towed</t>
        </is>
      </c>
      <c r="Q2852" t="inlineStr">
        <is>
          <t>UKPN</t>
        </is>
      </c>
      <c r="R2852" t="b">
        <v>0</v>
      </c>
    </row>
    <row r="2853">
      <c r="A2853" t="inlineStr">
        <is>
          <t>23 Jan 2026 / Thomas Playford / Utilities / UKPN</t>
        </is>
      </c>
      <c r="B2853" t="inlineStr">
        <is>
          <t>Utilities</t>
        </is>
      </c>
      <c r="C2853" t="inlineStr">
        <is>
          <t>UKPN</t>
        </is>
      </c>
      <c r="D2853" t="inlineStr">
        <is>
          <t>WM72UNF , 4x4 , Ford , Ranger</t>
        </is>
      </c>
      <c r="E2853" t="inlineStr">
        <is>
          <t>WM72UNF , 4x4 , Ford , Ranger</t>
        </is>
      </c>
      <c r="F2853" t="inlineStr">
        <is>
          <t>WM72UNF , 4x4 , Ford , Ranger</t>
        </is>
      </c>
      <c r="G2853" t="inlineStr">
        <is>
          <t>Jacob Oram</t>
        </is>
      </c>
      <c r="H2853" t="inlineStr">
        <is>
          <t>4x4</t>
        </is>
      </c>
      <c r="I2853" t="inlineStr">
        <is>
          <t>Daily/ Weekly Vehicle Inspection</t>
        </is>
      </c>
      <c r="J2853" t="inlineStr">
        <is>
          <t>N/A</t>
        </is>
      </c>
      <c r="K2853" t="inlineStr">
        <is>
          <t>7995 Green Net Eco Ltd 2</t>
        </is>
      </c>
      <c r="L2853" t="inlineStr">
        <is>
          <t>23/01/2026 08:02</t>
        </is>
      </c>
      <c r="M2853" t="inlineStr">
        <is>
          <t>None</t>
        </is>
      </c>
      <c r="N2853" t="inlineStr">
        <is>
          <t>&lt;p&gt;&lt;/p&gt;</t>
        </is>
      </c>
      <c r="O2853" t="inlineStr"/>
      <c r="P2853" t="inlineStr">
        <is>
          <t>WM72UNF , 4x4 , Ford , Ranger</t>
        </is>
      </c>
      <c r="Q2853" t="inlineStr">
        <is>
          <t>UKPN</t>
        </is>
      </c>
      <c r="R2853" t="b">
        <v>0</v>
      </c>
    </row>
    <row r="2854">
      <c r="A2854" t="inlineStr">
        <is>
          <t>23 Jan 2026 / 7806 Optimum Tree Services Ltd / Utilities / UKPN</t>
        </is>
      </c>
      <c r="B2854" t="inlineStr">
        <is>
          <t>Utilities</t>
        </is>
      </c>
      <c r="C2854" t="inlineStr">
        <is>
          <t>UKPN</t>
        </is>
      </c>
      <c r="D2854" t="inlineStr">
        <is>
          <t>SA9TAPLAF27414263 , Trailer , Tow Mate , Plant Trailer</t>
        </is>
      </c>
      <c r="E2854" t="inlineStr">
        <is>
          <t>SA9TAPLAF27414263 , Trailer , Tow Mate , Plant Trailer</t>
        </is>
      </c>
      <c r="F2854" t="inlineStr">
        <is>
          <t>SA9TAPLAF27414263 , Trailer , Tow Mate , Plant Trailer</t>
        </is>
      </c>
      <c r="G2854" t="inlineStr">
        <is>
          <t xml:space="preserve">Abraham Davies </t>
        </is>
      </c>
      <c r="H2854" t="inlineStr">
        <is>
          <t>Plant Trailer</t>
        </is>
      </c>
      <c r="I2854" t="inlineStr">
        <is>
          <t>Daily/ Weekly Vehicle Inspection</t>
        </is>
      </c>
      <c r="J2854" t="inlineStr">
        <is>
          <t>N/A</t>
        </is>
      </c>
      <c r="K2854" t="inlineStr">
        <is>
          <t>7806 Optimum Tree Services Ltd</t>
        </is>
      </c>
      <c r="L2854" t="inlineStr">
        <is>
          <t>23/01/2026 08:04</t>
        </is>
      </c>
      <c r="M2854" t="inlineStr">
        <is>
          <t>None</t>
        </is>
      </c>
      <c r="N2854" t="inlineStr">
        <is>
          <t>&lt;p&gt;&lt;/p&gt;</t>
        </is>
      </c>
      <c r="O2854" t="inlineStr"/>
      <c r="P2854" t="inlineStr">
        <is>
          <t>SA9TAPLAF27414263 , Trailer , Tow Mate , Plant Trailer</t>
        </is>
      </c>
      <c r="Q2854" t="inlineStr">
        <is>
          <t>UKPN</t>
        </is>
      </c>
      <c r="R2854" t="b">
        <v>0</v>
      </c>
    </row>
    <row r="2855">
      <c r="A2855" t="inlineStr">
        <is>
          <t>23 Jan 2026 / 7186 Eastwoodbury Tree Services Ltd / Utilities / UKPN</t>
        </is>
      </c>
      <c r="B2855" t="inlineStr">
        <is>
          <t>Utilities</t>
        </is>
      </c>
      <c r="C2855" t="inlineStr">
        <is>
          <t>UKPN</t>
        </is>
      </c>
      <c r="D2855" t="inlineStr">
        <is>
          <t>DE53NKS , 4x4 , Ford , Ranger</t>
        </is>
      </c>
      <c r="E2855" t="inlineStr">
        <is>
          <t>DE53NKS , 4x4 , Ford , Ranger</t>
        </is>
      </c>
      <c r="F2855" t="inlineStr">
        <is>
          <t>DE53NKS , 4x4 , Ford , Ranger</t>
        </is>
      </c>
      <c r="G2855" t="inlineStr">
        <is>
          <t xml:space="preserve">Jay Denkmayer </t>
        </is>
      </c>
      <c r="H2855" t="inlineStr">
        <is>
          <t>4x4</t>
        </is>
      </c>
      <c r="I2855" t="inlineStr">
        <is>
          <t>Daily/ Weekly Vehicle Inspection</t>
        </is>
      </c>
      <c r="J2855" t="inlineStr">
        <is>
          <t>N/A</t>
        </is>
      </c>
      <c r="K2855" t="inlineStr">
        <is>
          <t>7186 Eastwoodbury Tree Services Ltd</t>
        </is>
      </c>
      <c r="L2855" t="inlineStr">
        <is>
          <t>23/01/2026 08:04</t>
        </is>
      </c>
      <c r="M2855" t="inlineStr">
        <is>
          <t>None</t>
        </is>
      </c>
      <c r="N2855" t="inlineStr">
        <is>
          <t>&lt;p&gt;&lt;/p&gt;</t>
        </is>
      </c>
      <c r="O2855" t="inlineStr"/>
      <c r="P2855" t="inlineStr">
        <is>
          <t>DE53NKS , 4x4 , Ford , Ranger</t>
        </is>
      </c>
      <c r="Q2855" t="inlineStr">
        <is>
          <t>UKPN</t>
        </is>
      </c>
      <c r="R2855" t="b">
        <v>0</v>
      </c>
    </row>
    <row r="2856">
      <c r="A2856" t="inlineStr">
        <is>
          <t>23 Jan 2026 / 7806 Optimum Tree Services Ltd / Utilities / UKPN</t>
        </is>
      </c>
      <c r="B2856" t="inlineStr">
        <is>
          <t>Utilities</t>
        </is>
      </c>
      <c r="C2856" t="inlineStr">
        <is>
          <t>UKPN</t>
        </is>
      </c>
      <c r="D2856" t="inlineStr">
        <is>
          <t>Wd14evn , 4x4 , Landrover  , Defender</t>
        </is>
      </c>
      <c r="E2856" t="inlineStr">
        <is>
          <t>Wd14evn , 4x4 , Landrover  , Defender</t>
        </is>
      </c>
      <c r="F2856" t="inlineStr">
        <is>
          <t>Wd14evn , 4x4 , Landrover  , Defender</t>
        </is>
      </c>
      <c r="G2856" t="inlineStr">
        <is>
          <t xml:space="preserve">Lewis Davies </t>
        </is>
      </c>
      <c r="H2856" t="inlineStr">
        <is>
          <t>4x4</t>
        </is>
      </c>
      <c r="I2856" t="inlineStr">
        <is>
          <t>Daily/ Weekly Vehicle Inspection</t>
        </is>
      </c>
      <c r="J2856" t="inlineStr">
        <is>
          <t>N/A</t>
        </is>
      </c>
      <c r="K2856" t="inlineStr">
        <is>
          <t>7806 Optimum Tree Services Ltd</t>
        </is>
      </c>
      <c r="L2856" t="inlineStr">
        <is>
          <t>23/01/2026 08:05</t>
        </is>
      </c>
      <c r="M2856" t="inlineStr">
        <is>
          <t>None</t>
        </is>
      </c>
      <c r="N2856" t="inlineStr">
        <is>
          <t>&lt;p&gt;&lt;/p&gt;</t>
        </is>
      </c>
      <c r="O2856" t="inlineStr"/>
      <c r="P2856" t="inlineStr">
        <is>
          <t>Wd14evn , 4x4 , Landrover  , Defender</t>
        </is>
      </c>
      <c r="Q2856" t="inlineStr">
        <is>
          <t>UKPN</t>
        </is>
      </c>
      <c r="R2856" t="b">
        <v>0</v>
      </c>
    </row>
    <row r="2857">
      <c r="A2857" t="inlineStr">
        <is>
          <t>23 Jan 2026 / 7889 Tree Tech Suffolk Ltd</t>
        </is>
      </c>
      <c r="B2857" t="inlineStr">
        <is>
          <t>Utilities &amp; Inland Waterways</t>
        </is>
      </c>
      <c r="C2857" t="inlineStr">
        <is>
          <t>UKPN</t>
        </is>
      </c>
      <c r="D2857" t="inlineStr">
        <is>
          <t>Tipper - Nissan - Navara - NS02TTS4x4 - Isuzu - D-max - NS03 TTS</t>
        </is>
      </c>
      <c r="E2857" t="inlineStr">
        <is>
          <t>Tipper - Nissan - Navara - NS02TTS4x4 - Isuzu - D-max - NS03 TTS</t>
        </is>
      </c>
      <c r="F2857" t="inlineStr">
        <is>
          <t>Tipper - Nissan - Navara - NS02TTS4x4 - Isuzu - D-max - NS03 TTS</t>
        </is>
      </c>
      <c r="G2857" t="inlineStr">
        <is>
          <t xml:space="preserve">Danny ApplebyNikki sparrow </t>
        </is>
      </c>
      <c r="H2857" t="inlineStr">
        <is>
          <t>Tipper4x4</t>
        </is>
      </c>
      <c r="I2857" t="inlineStr">
        <is>
          <t>Daily/ Weekly Vehicle Inspection</t>
        </is>
      </c>
      <c r="J2857" t="inlineStr">
        <is>
          <t>N/A</t>
        </is>
      </c>
      <c r="K2857" t="inlineStr">
        <is>
          <t>7889 Tree Tech Suffolk Ltd</t>
        </is>
      </c>
      <c r="L2857" t="inlineStr">
        <is>
          <t>23/01/2026 08:06</t>
        </is>
      </c>
      <c r="M2857" t="inlineStr">
        <is>
          <t>None</t>
        </is>
      </c>
      <c r="N2857" t="inlineStr">
        <is>
          <t>&lt;p&gt;&lt;/p&gt;</t>
        </is>
      </c>
      <c r="O2857" t="inlineStr">
        <is>
          <t>Select Vehicle:Ns05 tts</t>
        </is>
      </c>
      <c r="P2857" t="inlineStr">
        <is>
          <t>Tipper - Nissan - Navara - NS02TTS4x4 - Isuzu - D-max - NS03 TTS</t>
        </is>
      </c>
      <c r="Q2857" t="inlineStr">
        <is>
          <t>UKPN</t>
        </is>
      </c>
      <c r="R2857" t="b">
        <v>0</v>
      </c>
    </row>
    <row r="2858">
      <c r="A2858" t="inlineStr">
        <is>
          <t>23 Jan 2026 / 7186 Eastwoodbury Tree Services Ltd / Utilities / UKPN</t>
        </is>
      </c>
      <c r="B2858" t="inlineStr">
        <is>
          <t>Utilities</t>
        </is>
      </c>
      <c r="C2858" t="inlineStr">
        <is>
          <t>UKPN</t>
        </is>
      </c>
      <c r="D2858" t="inlineStr">
        <is>
          <t>WF13 EKT , 4x4 , Land rover  , Defender</t>
        </is>
      </c>
      <c r="E2858" t="inlineStr">
        <is>
          <t>WF13 EKT , 4x4 , Land rover  , Defender</t>
        </is>
      </c>
      <c r="F2858" t="inlineStr">
        <is>
          <t>WF13 EKT , 4x4 , Land rover  , Defender</t>
        </is>
      </c>
      <c r="G2858" t="inlineStr">
        <is>
          <t xml:space="preserve">Dan Gilbert </t>
        </is>
      </c>
      <c r="H2858" t="inlineStr">
        <is>
          <t>4x4</t>
        </is>
      </c>
      <c r="I2858" t="inlineStr">
        <is>
          <t>Daily/ Weekly Vehicle Inspection</t>
        </is>
      </c>
      <c r="J2858" t="inlineStr">
        <is>
          <t>N/A</t>
        </is>
      </c>
      <c r="K2858" t="inlineStr">
        <is>
          <t>7186 Eastwoodbury Tree Services Ltd</t>
        </is>
      </c>
      <c r="L2858" t="inlineStr">
        <is>
          <t>23/01/2026 08:07</t>
        </is>
      </c>
      <c r="M2858" t="inlineStr">
        <is>
          <t>None</t>
        </is>
      </c>
      <c r="N2858" t="inlineStr">
        <is>
          <t>&lt;p&gt;&lt;/p&gt;</t>
        </is>
      </c>
      <c r="O2858" t="inlineStr"/>
      <c r="P2858" t="inlineStr">
        <is>
          <t>WF13 EKT , 4x4 , Land rover  , Defender</t>
        </is>
      </c>
      <c r="Q2858" t="inlineStr">
        <is>
          <t>UKPN</t>
        </is>
      </c>
      <c r="R2858" t="b">
        <v>0</v>
      </c>
    </row>
    <row r="2859">
      <c r="A2859" t="inlineStr">
        <is>
          <t>23 Jan 2026 / 7806 Optimum Tree Services Ltd / Utilities / UKPN</t>
        </is>
      </c>
      <c r="B2859" t="inlineStr">
        <is>
          <t>Utilities</t>
        </is>
      </c>
      <c r="C2859" t="inlineStr">
        <is>
          <t>UKPN</t>
        </is>
      </c>
      <c r="D2859" t="inlineStr">
        <is>
          <t>WD14EVB , MEWP , Land Rover , Defender</t>
        </is>
      </c>
      <c r="E2859" t="inlineStr">
        <is>
          <t>WD14EVB , MEWP , Land Rover , Defender</t>
        </is>
      </c>
      <c r="F2859" t="inlineStr">
        <is>
          <t>WD14EVB , MEWP , Land Rover , Defender</t>
        </is>
      </c>
      <c r="G2859" t="inlineStr">
        <is>
          <t xml:space="preserve">Abraham Davies </t>
        </is>
      </c>
      <c r="H2859" t="inlineStr">
        <is>
          <t>4x4</t>
        </is>
      </c>
      <c r="I2859" t="inlineStr">
        <is>
          <t>Daily/ Weekly Vehicle Inspection</t>
        </is>
      </c>
      <c r="J2859" t="inlineStr">
        <is>
          <t>N/A</t>
        </is>
      </c>
      <c r="K2859" t="inlineStr">
        <is>
          <t>7806 Optimum Tree Services Ltd</t>
        </is>
      </c>
      <c r="L2859" t="inlineStr">
        <is>
          <t>23/01/2026 08:07</t>
        </is>
      </c>
      <c r="M2859" t="inlineStr">
        <is>
          <t>None</t>
        </is>
      </c>
      <c r="N2859" t="inlineStr">
        <is>
          <t>&lt;p&gt;&lt;/p&gt;</t>
        </is>
      </c>
      <c r="O2859" t="inlineStr"/>
      <c r="P2859" t="inlineStr">
        <is>
          <t>WD14EVB , MEWP , Land Rover , Defender</t>
        </is>
      </c>
      <c r="Q2859" t="inlineStr">
        <is>
          <t>UKPN</t>
        </is>
      </c>
      <c r="R2859" t="b">
        <v>0</v>
      </c>
    </row>
    <row r="2860">
      <c r="A2860" t="inlineStr">
        <is>
          <t>23 Jan 2026 / 7186 Eastwoodbury Tree Services Ltd / Utilities / UKPN</t>
        </is>
      </c>
      <c r="B2860" t="inlineStr">
        <is>
          <t>Utilities</t>
        </is>
      </c>
      <c r="C2860" t="inlineStr">
        <is>
          <t>UKPN</t>
        </is>
      </c>
      <c r="D2860" t="inlineStr">
        <is>
          <t>FX14 XCV , 4x4 , Land Rover  , Defender</t>
        </is>
      </c>
      <c r="E2860" t="inlineStr">
        <is>
          <t>FX14 XCV , 4x4 , Land Rover  , Defender</t>
        </is>
      </c>
      <c r="F2860" t="inlineStr">
        <is>
          <t>FX14 XCV , 4x4 , Land Rover  , Defender</t>
        </is>
      </c>
      <c r="G2860" t="inlineStr">
        <is>
          <t xml:space="preserve">Tom Price </t>
        </is>
      </c>
      <c r="H2860" t="inlineStr">
        <is>
          <t>4x4</t>
        </is>
      </c>
      <c r="I2860" t="inlineStr">
        <is>
          <t>Daily/ Weekly Vehicle Inspection</t>
        </is>
      </c>
      <c r="J2860" t="inlineStr">
        <is>
          <t>N/A</t>
        </is>
      </c>
      <c r="K2860" t="inlineStr">
        <is>
          <t>7186 Eastwoodbury Tree Services Ltd</t>
        </is>
      </c>
      <c r="L2860" t="inlineStr">
        <is>
          <t>23/01/2026 08:08</t>
        </is>
      </c>
      <c r="M2860" t="inlineStr">
        <is>
          <t>None</t>
        </is>
      </c>
      <c r="N2860" t="inlineStr">
        <is>
          <t>&lt;p&gt;&lt;/p&gt;</t>
        </is>
      </c>
      <c r="O2860" t="inlineStr"/>
      <c r="P2860" t="inlineStr">
        <is>
          <t>FX14 XCV , 4x4 , Land Rover  , Defender</t>
        </is>
      </c>
      <c r="Q2860" t="inlineStr">
        <is>
          <t>UKPN</t>
        </is>
      </c>
      <c r="R2860" t="b">
        <v>0</v>
      </c>
    </row>
    <row r="2861">
      <c r="A2861" t="inlineStr">
        <is>
          <t>23 Jan 2026 / 7951 Austin Tree Care LTD / Utilities / UKPN</t>
        </is>
      </c>
      <c r="B2861" t="inlineStr">
        <is>
          <t>Utilities</t>
        </is>
      </c>
      <c r="C2861" t="inlineStr">
        <is>
          <t>UKPN</t>
        </is>
      </c>
      <c r="D2861" t="inlineStr">
        <is>
          <t>SA9ST6P0001283612 , Towed Chipper , Forst , ST6p</t>
        </is>
      </c>
      <c r="E2861" t="inlineStr">
        <is>
          <t>SA9ST6P0001283612 , Towed Chipper , Forst , ST6p</t>
        </is>
      </c>
      <c r="F2861" t="inlineStr">
        <is>
          <t>SA9ST6P0001283612 , Towed Chipper , Forst , ST6p</t>
        </is>
      </c>
      <c r="G2861" t="inlineStr">
        <is>
          <t xml:space="preserve">Jack Austin </t>
        </is>
      </c>
      <c r="H2861" t="inlineStr">
        <is>
          <t>Towed Chipper</t>
        </is>
      </c>
      <c r="I2861" t="inlineStr">
        <is>
          <t>Daily/ Weekly Vehicle Inspection</t>
        </is>
      </c>
      <c r="J2861" t="inlineStr">
        <is>
          <t>N/A</t>
        </is>
      </c>
      <c r="K2861" t="inlineStr">
        <is>
          <t>7951 Austin Tree Care LTD</t>
        </is>
      </c>
      <c r="L2861" t="inlineStr">
        <is>
          <t>23/01/2026 08:09</t>
        </is>
      </c>
      <c r="M2861" t="inlineStr">
        <is>
          <t>None</t>
        </is>
      </c>
      <c r="N2861" t="inlineStr">
        <is>
          <t>&lt;p&gt;&lt;/p&gt;</t>
        </is>
      </c>
      <c r="O2861" t="inlineStr"/>
      <c r="P2861" t="inlineStr">
        <is>
          <t>SA9ST6P0001283612 , Towed Chipper , Forst , ST6p</t>
        </is>
      </c>
      <c r="Q2861" t="inlineStr">
        <is>
          <t>UKPN</t>
        </is>
      </c>
      <c r="R2861" t="b">
        <v>0</v>
      </c>
    </row>
    <row r="2862">
      <c r="A2862" t="inlineStr">
        <is>
          <t>23 Jan 2026 / 7951 Austin Tree Care LTD / Utilities / UKPN</t>
        </is>
      </c>
      <c r="B2862" t="inlineStr">
        <is>
          <t>Utilities</t>
        </is>
      </c>
      <c r="C2862" t="inlineStr">
        <is>
          <t>UKPN</t>
        </is>
      </c>
      <c r="D2862" t="inlineStr">
        <is>
          <t>WG64HTT , 4x4 , Land Rover , Defender 110</t>
        </is>
      </c>
      <c r="E2862" t="inlineStr">
        <is>
          <t>WG64HTT , 4x4 , Land Rover , Defender 110</t>
        </is>
      </c>
      <c r="F2862" t="inlineStr">
        <is>
          <t>WG64HTT , 4x4 , Land Rover , Defender 110</t>
        </is>
      </c>
      <c r="G2862" t="inlineStr">
        <is>
          <t xml:space="preserve">Jack Austin </t>
        </is>
      </c>
      <c r="H2862" t="inlineStr">
        <is>
          <t>4x4</t>
        </is>
      </c>
      <c r="I2862" t="inlineStr">
        <is>
          <t>Daily/ Weekly Vehicle Inspection</t>
        </is>
      </c>
      <c r="J2862" t="inlineStr">
        <is>
          <t>N/A</t>
        </is>
      </c>
      <c r="K2862" t="inlineStr">
        <is>
          <t>7951 Austin Tree Care LTD</t>
        </is>
      </c>
      <c r="L2862" t="inlineStr">
        <is>
          <t>23/01/2026 08:09</t>
        </is>
      </c>
      <c r="M2862" t="inlineStr">
        <is>
          <t>None</t>
        </is>
      </c>
      <c r="N2862" t="inlineStr">
        <is>
          <t>&lt;p&gt;&lt;/p&gt;</t>
        </is>
      </c>
      <c r="O2862" t="inlineStr"/>
      <c r="P2862" t="inlineStr">
        <is>
          <t>WG64HTT , 4x4 , Land Rover , Defender 110</t>
        </is>
      </c>
      <c r="Q2862" t="inlineStr">
        <is>
          <t>UKPN</t>
        </is>
      </c>
      <c r="R2862" t="b">
        <v>0</v>
      </c>
    </row>
    <row r="2863">
      <c r="A2863" t="inlineStr">
        <is>
          <t>23 Jan 2026 / Kevin Miller / Utilities / UKPN</t>
        </is>
      </c>
      <c r="B2863" t="inlineStr">
        <is>
          <t>Utilities</t>
        </is>
      </c>
      <c r="C2863" t="inlineStr">
        <is>
          <t>UKPN</t>
        </is>
      </c>
      <c r="D2863" t="inlineStr">
        <is>
          <t>EO73KUF , Car - Electric , Kia , Niro</t>
        </is>
      </c>
      <c r="E2863" t="inlineStr">
        <is>
          <t>EO73KUF , Car - Electric , Kia , Niro</t>
        </is>
      </c>
      <c r="F2863" t="inlineStr">
        <is>
          <t>EO73KUF , Car - Electric , Kia , Niro</t>
        </is>
      </c>
      <c r="G2863" t="inlineStr">
        <is>
          <t xml:space="preserve">Kevin Miller </t>
        </is>
      </c>
      <c r="H2863" t="inlineStr">
        <is>
          <t>Car - Electric (GC Owned)</t>
        </is>
      </c>
      <c r="I2863" t="inlineStr">
        <is>
          <t>Daily/ Weekly Vehicle Inspection</t>
        </is>
      </c>
      <c r="J2863" t="inlineStr">
        <is>
          <t>N/A</t>
        </is>
      </c>
      <c r="K2863" t="inlineStr">
        <is>
          <t>Kevin Miller</t>
        </is>
      </c>
      <c r="L2863" t="inlineStr">
        <is>
          <t>23/01/2026 08:11</t>
        </is>
      </c>
      <c r="M2863" t="inlineStr">
        <is>
          <t>None</t>
        </is>
      </c>
      <c r="N2863" t="inlineStr">
        <is>
          <t>&lt;p&gt;&lt;/p&gt;</t>
        </is>
      </c>
      <c r="O2863" t="inlineStr"/>
      <c r="P2863" t="inlineStr">
        <is>
          <t>EO73KUF , Car - Electric , Kia , Niro</t>
        </is>
      </c>
      <c r="Q2863" t="inlineStr">
        <is>
          <t>UKPN</t>
        </is>
      </c>
      <c r="R2863" t="b">
        <v>0</v>
      </c>
    </row>
    <row r="2864">
      <c r="A2864" t="inlineStr">
        <is>
          <t>23 Jan 2026 / 7951 Austin Tree Care LTD / Utilities / UKPN</t>
        </is>
      </c>
      <c r="B2864" t="inlineStr">
        <is>
          <t>Utilities</t>
        </is>
      </c>
      <c r="C2864" t="inlineStr">
        <is>
          <t>UKPN</t>
        </is>
      </c>
      <c r="D2864" t="inlineStr">
        <is>
          <t>SA9ST6P0001283612 , Towed Chipper , Forst , ST6p</t>
        </is>
      </c>
      <c r="E2864" t="inlineStr">
        <is>
          <t>SA9ST6P0001283612 , Towed Chipper , Forst , ST6p</t>
        </is>
      </c>
      <c r="F2864" t="inlineStr">
        <is>
          <t>SA9ST6P0001283612 , Towed Chipper , Forst , ST6p</t>
        </is>
      </c>
      <c r="G2864" t="inlineStr">
        <is>
          <t xml:space="preserve">Jack Austin </t>
        </is>
      </c>
      <c r="H2864" t="inlineStr">
        <is>
          <t>Towed Chipper</t>
        </is>
      </c>
      <c r="I2864" t="inlineStr">
        <is>
          <t>Daily/ Weekly Vehicle Inspection</t>
        </is>
      </c>
      <c r="J2864" t="inlineStr">
        <is>
          <t>N/A</t>
        </is>
      </c>
      <c r="K2864" t="inlineStr">
        <is>
          <t>7951 Austin Tree Care LTD</t>
        </is>
      </c>
      <c r="L2864" t="inlineStr">
        <is>
          <t>23/01/2026 08:59</t>
        </is>
      </c>
      <c r="M2864" t="inlineStr">
        <is>
          <t>None</t>
        </is>
      </c>
      <c r="N2864" t="inlineStr">
        <is>
          <t>&lt;p&gt;&lt;/p&gt;</t>
        </is>
      </c>
      <c r="O2864" t="inlineStr"/>
      <c r="P2864" t="inlineStr">
        <is>
          <t>SA9ST6P0001283612 , Towed Chipper , Forst , ST6p</t>
        </is>
      </c>
      <c r="Q2864" t="inlineStr">
        <is>
          <t>UKPN</t>
        </is>
      </c>
      <c r="R2864" t="b">
        <v>0</v>
      </c>
    </row>
    <row r="2865">
      <c r="A2865" t="inlineStr">
        <is>
          <t>23 Jan 2026 / 8148 Hope Ground and Tree Care / Utilities / UKPN</t>
        </is>
      </c>
      <c r="B2865" t="inlineStr">
        <is>
          <t>Utilities</t>
        </is>
      </c>
      <c r="C2865" t="inlineStr">
        <is>
          <t>UKPN</t>
        </is>
      </c>
      <c r="D2865" t="inlineStr">
        <is>
          <t>S6 NWX , MEWP , Isuzu , D-Max</t>
        </is>
      </c>
      <c r="E2865" t="inlineStr">
        <is>
          <t>S6 NWX , MEWP , Isuzu , D-Max</t>
        </is>
      </c>
      <c r="F2865" t="inlineStr">
        <is>
          <t>S6 NWX , MEWP , Isuzu , D-Max</t>
        </is>
      </c>
      <c r="G2865" t="inlineStr">
        <is>
          <t>A Hope</t>
        </is>
      </c>
      <c r="H2865" t="inlineStr">
        <is>
          <t>4x4</t>
        </is>
      </c>
      <c r="I2865" t="inlineStr">
        <is>
          <t>Daily/ Weekly Vehicle Inspection</t>
        </is>
      </c>
      <c r="J2865" t="inlineStr">
        <is>
          <t>N/A</t>
        </is>
      </c>
      <c r="K2865" t="inlineStr">
        <is>
          <t>8148 Hope Ground and Tree Care</t>
        </is>
      </c>
      <c r="L2865" t="inlineStr">
        <is>
          <t>23/01/2026 09:00</t>
        </is>
      </c>
      <c r="M2865" t="inlineStr">
        <is>
          <t>None</t>
        </is>
      </c>
      <c r="N2865" t="inlineStr">
        <is>
          <t>&lt;p&gt;&lt;/p&gt;</t>
        </is>
      </c>
      <c r="O2865" t="inlineStr"/>
      <c r="P2865" t="inlineStr">
        <is>
          <t>S6 NWX , MEWP , Isuzu , D-Max</t>
        </is>
      </c>
      <c r="Q2865" t="inlineStr">
        <is>
          <t>UKPN</t>
        </is>
      </c>
      <c r="R2865" t="b">
        <v>0</v>
      </c>
    </row>
    <row r="2866">
      <c r="A2866" t="inlineStr">
        <is>
          <t>23 Jan 2026 / 7800 MAC Tree Surgery and Fencing Ltd / Utilities / UKPN</t>
        </is>
      </c>
      <c r="B2866" t="inlineStr">
        <is>
          <t>Utilities</t>
        </is>
      </c>
      <c r="C2866" t="inlineStr">
        <is>
          <t>UKPN</t>
        </is>
      </c>
      <c r="D2866" t="inlineStr">
        <is>
          <t>AY68DAA , 4x4 , Izuzu , Dmax</t>
        </is>
      </c>
      <c r="E2866" t="inlineStr">
        <is>
          <t>AY68DAA , 4x4 , Izuzu , Dmax</t>
        </is>
      </c>
      <c r="F2866" t="inlineStr">
        <is>
          <t>AY68DAA , 4x4 , Izuzu , Dmax</t>
        </is>
      </c>
      <c r="G2866" t="inlineStr">
        <is>
          <t xml:space="preserve">Patrick O'Shea </t>
        </is>
      </c>
      <c r="H2866" t="inlineStr">
        <is>
          <t>4x4</t>
        </is>
      </c>
      <c r="I2866" t="inlineStr">
        <is>
          <t>Daily/ Weekly Vehicle Inspection</t>
        </is>
      </c>
      <c r="J2866" t="inlineStr">
        <is>
          <t>N/A</t>
        </is>
      </c>
      <c r="K2866" t="inlineStr">
        <is>
          <t>7800 MAC Tree Surgery and Fencing Ltd</t>
        </is>
      </c>
      <c r="L2866" t="inlineStr">
        <is>
          <t>23/01/2026 09:02</t>
        </is>
      </c>
      <c r="M2866" t="inlineStr">
        <is>
          <t>None</t>
        </is>
      </c>
      <c r="N2866" t="inlineStr">
        <is>
          <t>&lt;p&gt;&lt;/p&gt;</t>
        </is>
      </c>
      <c r="O2866" t="inlineStr"/>
      <c r="P2866" t="inlineStr">
        <is>
          <t>AY68DAA , 4x4 , Izuzu , Dmax</t>
        </is>
      </c>
      <c r="Q2866" t="inlineStr">
        <is>
          <t>UKPN</t>
        </is>
      </c>
      <c r="R2866" t="b">
        <v>0</v>
      </c>
    </row>
    <row r="2867">
      <c r="A2867" t="inlineStr">
        <is>
          <t>23 Jan 2026 / 7800 MAC Tree Surgery and Fencing Ltd / Utilities / UKPN</t>
        </is>
      </c>
      <c r="B2867" t="inlineStr">
        <is>
          <t>Utilities</t>
        </is>
      </c>
      <c r="C2867" t="inlineStr">
        <is>
          <t>UKPN</t>
        </is>
      </c>
      <c r="D2867" t="inlineStr">
        <is>
          <t>Plant Trailer - Towmate - 2.8t - 0</t>
        </is>
      </c>
      <c r="E2867" t="inlineStr">
        <is>
          <t>Plant Trailer - Towmate - 2.8t - 0</t>
        </is>
      </c>
      <c r="F2867" t="inlineStr">
        <is>
          <t>Plant Trailer - Towmate - 2.8t - 0</t>
        </is>
      </c>
      <c r="G2867" t="inlineStr">
        <is>
          <t>Lewis mac</t>
        </is>
      </c>
      <c r="H2867" t="inlineStr">
        <is>
          <t>Plant Trailer</t>
        </is>
      </c>
      <c r="I2867" t="inlineStr">
        <is>
          <t>Daily/ Weekly Vehicle Inspection</t>
        </is>
      </c>
      <c r="J2867" t="inlineStr">
        <is>
          <t>N/A</t>
        </is>
      </c>
      <c r="K2867" t="inlineStr">
        <is>
          <t>7800 MAC Tree Surgery and Fencing Ltd</t>
        </is>
      </c>
      <c r="L2867" t="inlineStr">
        <is>
          <t>23/01/2026 09:03</t>
        </is>
      </c>
      <c r="M2867" t="inlineStr">
        <is>
          <t>None</t>
        </is>
      </c>
      <c r="N2867" t="inlineStr">
        <is>
          <t>&lt;p&gt;&lt;/p&gt;</t>
        </is>
      </c>
      <c r="O2867" t="inlineStr"/>
      <c r="P2867" t="inlineStr">
        <is>
          <t>Plant Trailer - Towmate - 2.8t - 0</t>
        </is>
      </c>
      <c r="Q2867" t="inlineStr">
        <is>
          <t>UKPN</t>
        </is>
      </c>
      <c r="R2867" t="b">
        <v>0</v>
      </c>
    </row>
    <row r="2868">
      <c r="A2868" t="inlineStr">
        <is>
          <t>23 Jan 2026 / Mathew Dunn / Utilities / SSE</t>
        </is>
      </c>
      <c r="B2868" t="inlineStr">
        <is>
          <t>Utilities</t>
        </is>
      </c>
      <c r="C2868" t="inlineStr">
        <is>
          <t>SSE</t>
        </is>
      </c>
      <c r="D2868" t="inlineStr">
        <is>
          <t>GN70XAU , Car - Electric , Tesla , Model 3 Long Range AWD</t>
        </is>
      </c>
      <c r="E2868" t="inlineStr">
        <is>
          <t>GN70XAU , Car - Electric , Tesla , Model 3 Long Range AWD</t>
        </is>
      </c>
      <c r="F2868" t="inlineStr">
        <is>
          <t>GN70XAU , Car - Electric , Tesla , Model 3 Long Range AWD</t>
        </is>
      </c>
      <c r="G2868" t="inlineStr">
        <is>
          <t xml:space="preserve">Mathew dunn </t>
        </is>
      </c>
      <c r="H2868" t="inlineStr">
        <is>
          <t>Car - Electric (GC Owned)</t>
        </is>
      </c>
      <c r="I2868" t="inlineStr">
        <is>
          <t>Daily/ Weekly Vehicle Inspection</t>
        </is>
      </c>
      <c r="J2868" t="inlineStr">
        <is>
          <t>N/A</t>
        </is>
      </c>
      <c r="K2868" t="inlineStr">
        <is>
          <t>Mathew Dunn</t>
        </is>
      </c>
      <c r="L2868" t="inlineStr">
        <is>
          <t>23/01/2026 10:59</t>
        </is>
      </c>
      <c r="M2868" t="inlineStr">
        <is>
          <t>None</t>
        </is>
      </c>
      <c r="N2868" t="inlineStr">
        <is>
          <t>&lt;p&gt;&lt;/p&gt;</t>
        </is>
      </c>
      <c r="O2868" t="inlineStr"/>
      <c r="P2868" t="inlineStr">
        <is>
          <t>GN70XAU , Car - Electric , Tesla , Model 3 Long Range AWD</t>
        </is>
      </c>
      <c r="Q2868" t="inlineStr">
        <is>
          <t>SSE</t>
        </is>
      </c>
      <c r="R2868" t="b">
        <v>0</v>
      </c>
    </row>
    <row r="2869">
      <c r="A2869" t="inlineStr">
        <is>
          <t>23 Jan 2026 / 8148 Hope Ground and Tree Care / Utilities / UKPN</t>
        </is>
      </c>
      <c r="B2869" t="inlineStr">
        <is>
          <t>Utilities</t>
        </is>
      </c>
      <c r="C2869" t="inlineStr">
        <is>
          <t>UKPN</t>
        </is>
      </c>
      <c r="D2869" t="inlineStr">
        <is>
          <t>S6 NWX , MEWP , Isuzu , D-Max</t>
        </is>
      </c>
      <c r="E2869" t="inlineStr">
        <is>
          <t>S6 NWX , MEWP , Isuzu , D-Max</t>
        </is>
      </c>
      <c r="F2869" t="inlineStr">
        <is>
          <t>S6 NWX , MEWP , Isuzu , D-Max</t>
        </is>
      </c>
      <c r="G2869" t="inlineStr">
        <is>
          <t>A Hope</t>
        </is>
      </c>
      <c r="H2869" t="inlineStr">
        <is>
          <t>4x4</t>
        </is>
      </c>
      <c r="I2869" t="inlineStr">
        <is>
          <t>Daily/ Weekly Vehicle Inspection</t>
        </is>
      </c>
      <c r="J2869" t="inlineStr">
        <is>
          <t>N/A</t>
        </is>
      </c>
      <c r="K2869" t="inlineStr">
        <is>
          <t>8148 Hope Ground and Tree Care</t>
        </is>
      </c>
      <c r="L2869" t="inlineStr">
        <is>
          <t>23/01/2026 12:59</t>
        </is>
      </c>
      <c r="M2869" t="inlineStr">
        <is>
          <t>None</t>
        </is>
      </c>
      <c r="N2869" t="inlineStr">
        <is>
          <t>&lt;p&gt;&lt;/p&gt;</t>
        </is>
      </c>
      <c r="O2869" t="inlineStr"/>
      <c r="P2869" t="inlineStr">
        <is>
          <t>S6 NWX , MEWP , Isuzu , D-Max</t>
        </is>
      </c>
      <c r="Q2869" t="inlineStr">
        <is>
          <t>UKPN</t>
        </is>
      </c>
      <c r="R2869" t="b">
        <v>0</v>
      </c>
    </row>
    <row r="2870">
      <c r="A2870" t="inlineStr">
        <is>
          <t>23 Jan 2026 / Barry Bright / Utilities / UKPN</t>
        </is>
      </c>
      <c r="B2870" t="inlineStr">
        <is>
          <t>Utilities</t>
        </is>
      </c>
      <c r="C2870" t="inlineStr">
        <is>
          <t>UKPN</t>
        </is>
      </c>
      <c r="D2870" t="inlineStr">
        <is>
          <t>AK72YBM , Car - Electric , Tesla , Model Y Long Range</t>
        </is>
      </c>
      <c r="E2870" t="inlineStr">
        <is>
          <t>AK72YBM , Car - Electric , Tesla , Model Y Long Range</t>
        </is>
      </c>
      <c r="F2870" t="inlineStr">
        <is>
          <t>AK72YBM , Car - Electric , Tesla , Model Y Long Range</t>
        </is>
      </c>
      <c r="G2870" t="inlineStr">
        <is>
          <t xml:space="preserve">Barry Bright </t>
        </is>
      </c>
      <c r="H2870" t="inlineStr">
        <is>
          <t>Car - Electric (GC Owned)</t>
        </is>
      </c>
      <c r="I2870" t="inlineStr">
        <is>
          <t>Daily/ Weekly Vehicle Inspection</t>
        </is>
      </c>
      <c r="J2870" t="inlineStr">
        <is>
          <t>N/A</t>
        </is>
      </c>
      <c r="K2870" t="inlineStr">
        <is>
          <t>Barry Bright</t>
        </is>
      </c>
      <c r="L2870" t="inlineStr">
        <is>
          <t>23/01/2026 16:00</t>
        </is>
      </c>
      <c r="M2870" t="inlineStr">
        <is>
          <t>None</t>
        </is>
      </c>
      <c r="N2870" t="inlineStr">
        <is>
          <t>&lt;p&gt;&lt;/p&gt;</t>
        </is>
      </c>
      <c r="O2870" t="inlineStr"/>
      <c r="P2870" t="inlineStr">
        <is>
          <t>AK72YBM , Car - Electric , Tesla , Model Y Long Range</t>
        </is>
      </c>
      <c r="Q2870" t="inlineStr">
        <is>
          <t>UKPN</t>
        </is>
      </c>
      <c r="R2870" t="b">
        <v>0</v>
      </c>
    </row>
    <row r="2871">
      <c r="A2871" t="inlineStr">
        <is>
          <t>23 Jan 2026 / Jane Moore / Utilities / NGED</t>
        </is>
      </c>
      <c r="B2871" t="inlineStr">
        <is>
          <t>Utilities</t>
        </is>
      </c>
      <c r="C2871" t="inlineStr">
        <is>
          <t>NGED</t>
        </is>
      </c>
      <c r="D2871" t="inlineStr">
        <is>
          <t>GL20TGZ , Car - Electric , Tesla , Model 3 Long Range AWD</t>
        </is>
      </c>
      <c r="E2871" t="inlineStr">
        <is>
          <t>GL20TGZ , Car - Electric , Tesla , Model 3 Long Range AWD</t>
        </is>
      </c>
      <c r="F2871" t="inlineStr">
        <is>
          <t>GL20TGZ , Car - Electric , Tesla , Model 3 Long Range AWD</t>
        </is>
      </c>
      <c r="G2871" t="inlineStr">
        <is>
          <t xml:space="preserve">Jane Moore </t>
        </is>
      </c>
      <c r="H2871" t="inlineStr">
        <is>
          <t>Car - Electric (GC Owned)</t>
        </is>
      </c>
      <c r="I2871" t="inlineStr">
        <is>
          <t>Daily/ Weekly Vehicle Inspection</t>
        </is>
      </c>
      <c r="J2871" t="inlineStr">
        <is>
          <t>N/A</t>
        </is>
      </c>
      <c r="K2871" t="inlineStr">
        <is>
          <t>Jane Moore</t>
        </is>
      </c>
      <c r="L2871" t="inlineStr">
        <is>
          <t>23/01/2026 16:59</t>
        </is>
      </c>
      <c r="M2871" t="inlineStr">
        <is>
          <t>None</t>
        </is>
      </c>
      <c r="N2871" t="inlineStr">
        <is>
          <t>&lt;p&gt;&lt;/p&gt;</t>
        </is>
      </c>
      <c r="O2871" t="inlineStr"/>
      <c r="P2871" t="inlineStr">
        <is>
          <t>GL20TGZ , Car - Electric , Tesla , Model 3 Long Range AWD</t>
        </is>
      </c>
      <c r="Q2871" t="inlineStr">
        <is>
          <t>NGED</t>
        </is>
      </c>
      <c r="R2871" t="b">
        <v>0</v>
      </c>
    </row>
    <row r="2872">
      <c r="A2872" t="inlineStr">
        <is>
          <t>22 Jan 2026 / Mathew Dunn / Utilities / SSE</t>
        </is>
      </c>
      <c r="B2872" t="inlineStr">
        <is>
          <t>Utilities</t>
        </is>
      </c>
      <c r="C2872" t="inlineStr">
        <is>
          <t>SSE</t>
        </is>
      </c>
      <c r="D2872" t="inlineStr">
        <is>
          <t>GN70XAU , Car - Electric , Tesla , Model 3 Long Range AWD</t>
        </is>
      </c>
      <c r="E2872" t="inlineStr">
        <is>
          <t>GN70XAU , Car - Electric , Tesla , Model 3 Long Range AWD</t>
        </is>
      </c>
      <c r="F2872" t="inlineStr">
        <is>
          <t>GN70XAU , Car - Electric , Tesla , Model 3 Long Range AWD</t>
        </is>
      </c>
      <c r="G2872" t="inlineStr">
        <is>
          <t xml:space="preserve">Mathew dunn </t>
        </is>
      </c>
      <c r="H2872" t="inlineStr">
        <is>
          <t>Car - Electric (GC Owned)</t>
        </is>
      </c>
      <c r="I2872" t="inlineStr">
        <is>
          <t>Daily/ Weekly Vehicle Inspection</t>
        </is>
      </c>
      <c r="J2872" t="inlineStr">
        <is>
          <t>N/A</t>
        </is>
      </c>
      <c r="K2872" t="inlineStr">
        <is>
          <t>Mathew Dunn</t>
        </is>
      </c>
      <c r="L2872" t="inlineStr">
        <is>
          <t>25/01/2026 18:36</t>
        </is>
      </c>
      <c r="M2872" t="inlineStr">
        <is>
          <t>None</t>
        </is>
      </c>
      <c r="N2872" t="inlineStr">
        <is>
          <t>&lt;p&gt;&lt;/p&gt;</t>
        </is>
      </c>
      <c r="O2872" t="inlineStr"/>
      <c r="P2872" t="inlineStr">
        <is>
          <t>GN70XAU , Car - Electric , Tesla , Model 3 Long Range AWD</t>
        </is>
      </c>
      <c r="Q2872" t="inlineStr">
        <is>
          <t>SSE</t>
        </is>
      </c>
      <c r="R2872" t="b">
        <v>0</v>
      </c>
    </row>
    <row r="2873">
      <c r="A2873" t="inlineStr">
        <is>
          <t>26 Jan 2026 / Patryk Zietarski / Utilities / UKPN</t>
        </is>
      </c>
      <c r="B2873" t="inlineStr">
        <is>
          <t>Utilities</t>
        </is>
      </c>
      <c r="C2873" t="inlineStr">
        <is>
          <t>UKPN</t>
        </is>
      </c>
      <c r="D2873" t="inlineStr">
        <is>
          <t>YW73CWL , Car - Electric , Kia , eNiro</t>
        </is>
      </c>
      <c r="E2873" t="inlineStr">
        <is>
          <t>YW73CWL , Car - Electric , Kia , eNiro</t>
        </is>
      </c>
      <c r="F2873" t="inlineStr">
        <is>
          <t>YW73CWL , Car - Electric , Kia , eNiro</t>
        </is>
      </c>
      <c r="G2873" t="inlineStr">
        <is>
          <t xml:space="preserve">Patryk Zietarski </t>
        </is>
      </c>
      <c r="H2873" t="inlineStr">
        <is>
          <t>Car - Electric (GC Owned)</t>
        </is>
      </c>
      <c r="I2873" t="inlineStr">
        <is>
          <t>Daily/ Weekly Vehicle Inspection</t>
        </is>
      </c>
      <c r="J2873" t="inlineStr">
        <is>
          <t>N/A</t>
        </is>
      </c>
      <c r="K2873" t="inlineStr">
        <is>
          <t>Patryk Zietarski</t>
        </is>
      </c>
      <c r="L2873" t="inlineStr">
        <is>
          <t>26/01/2026 05:00</t>
        </is>
      </c>
      <c r="M2873" t="inlineStr">
        <is>
          <t>None</t>
        </is>
      </c>
      <c r="N2873" t="inlineStr">
        <is>
          <t>&lt;p&gt;&lt;/p&gt;</t>
        </is>
      </c>
      <c r="O2873" t="inlineStr"/>
      <c r="P2873" t="inlineStr">
        <is>
          <t>YW73CWL , Car - Electric , Kia , eNiro</t>
        </is>
      </c>
      <c r="Q2873" t="inlineStr">
        <is>
          <t>UKPN</t>
        </is>
      </c>
      <c r="R2873" t="b">
        <v>0</v>
      </c>
    </row>
    <row r="2874">
      <c r="A2874" t="inlineStr">
        <is>
          <t>26 Jan 2026 / Anthony Gale / Utilities / UKPN</t>
        </is>
      </c>
      <c r="B2874" t="inlineStr">
        <is>
          <t>Utilities</t>
        </is>
      </c>
      <c r="C2874" t="inlineStr">
        <is>
          <t>UKPN</t>
        </is>
      </c>
      <c r="D2874" t="inlineStr">
        <is>
          <t>KX20 BCE , Tipper , Isuzu , D-Max</t>
        </is>
      </c>
      <c r="E2874" t="inlineStr">
        <is>
          <t>KX20 BCE , Tipper , Isuzu , D-Max</t>
        </is>
      </c>
      <c r="F2874" t="inlineStr">
        <is>
          <t>KX20 BCE , Tipper , Isuzu , D-Max</t>
        </is>
      </c>
      <c r="G2874" t="inlineStr">
        <is>
          <t>Anthony Gale</t>
        </is>
      </c>
      <c r="H2874" t="inlineStr">
        <is>
          <t>Pickup Truck</t>
        </is>
      </c>
      <c r="I2874" t="inlineStr">
        <is>
          <t>Daily/ Weekly Vehicle Inspection</t>
        </is>
      </c>
      <c r="J2874" t="inlineStr">
        <is>
          <t>N/A</t>
        </is>
      </c>
      <c r="K2874" t="inlineStr">
        <is>
          <t>7996 M G Tree Surgery Ltd 1</t>
        </is>
      </c>
      <c r="L2874" t="inlineStr">
        <is>
          <t>26/01/2026 07:01</t>
        </is>
      </c>
      <c r="M2874" t="inlineStr">
        <is>
          <t>None</t>
        </is>
      </c>
      <c r="N2874" t="inlineStr">
        <is>
          <t>&lt;p&gt;&lt;/p&gt;</t>
        </is>
      </c>
      <c r="O2874" t="inlineStr">
        <is>
          <t>Confirm that you have checked this vehicle as per the guidance document and the vehicle is safe and roadworthy:Light board deteriorating. 
Safe for now.
Will need replacing soon.
-</t>
        </is>
      </c>
      <c r="P2874" t="inlineStr">
        <is>
          <t>KX20 BCE , Tipper , Isuzu , D-Max</t>
        </is>
      </c>
      <c r="Q2874" t="inlineStr">
        <is>
          <t>UKPN</t>
        </is>
      </c>
      <c r="R2874" t="b">
        <v>0</v>
      </c>
    </row>
    <row r="2875">
      <c r="A2875" t="inlineStr">
        <is>
          <t>26 Jan 2026 / Donovan Gosher / Utilities / SSE</t>
        </is>
      </c>
      <c r="B2875" t="inlineStr">
        <is>
          <t>Utilities</t>
        </is>
      </c>
      <c r="C2875" t="inlineStr">
        <is>
          <t>SSE</t>
        </is>
      </c>
      <c r="D2875" t="inlineStr">
        <is>
          <t>AJ72EWU , Car - Electric , Tesla , Model Y Long Range</t>
        </is>
      </c>
      <c r="E2875" t="inlineStr">
        <is>
          <t>AJ72EWU , Car - Electric , Tesla , Model Y Long Range</t>
        </is>
      </c>
      <c r="F2875" t="inlineStr">
        <is>
          <t>AJ72EWU , Car - Electric , Tesla , Model Y Long Range</t>
        </is>
      </c>
      <c r="G2875" t="inlineStr">
        <is>
          <t>Donovan Gosher</t>
        </is>
      </c>
      <c r="H2875" t="inlineStr">
        <is>
          <t>Car - Electric (GC Owned)</t>
        </is>
      </c>
      <c r="I2875" t="inlineStr">
        <is>
          <t>Daily/ Weekly Vehicle Inspection</t>
        </is>
      </c>
      <c r="J2875" t="inlineStr">
        <is>
          <t>N/A</t>
        </is>
      </c>
      <c r="K2875" t="inlineStr">
        <is>
          <t>Donovan Gosher</t>
        </is>
      </c>
      <c r="L2875" t="inlineStr">
        <is>
          <t>26/01/2026 08:05</t>
        </is>
      </c>
      <c r="M2875" t="inlineStr">
        <is>
          <t>None</t>
        </is>
      </c>
      <c r="N2875" t="inlineStr">
        <is>
          <t>&lt;p&gt;&lt;/p&gt;</t>
        </is>
      </c>
      <c r="O2875" t="inlineStr"/>
      <c r="P2875" t="inlineStr">
        <is>
          <t>AJ72EWU , Car - Electric , Tesla , Model Y Long Range</t>
        </is>
      </c>
      <c r="Q2875" t="inlineStr">
        <is>
          <t>SSE</t>
        </is>
      </c>
      <c r="R2875" t="b">
        <v>0</v>
      </c>
    </row>
    <row r="2876">
      <c r="A2876" t="inlineStr">
        <is>
          <t>26 Jan 2026 / 7800 MAC Tree Surgery and Fencing Ltd / Utilities / UKPN</t>
        </is>
      </c>
      <c r="B2876" t="inlineStr">
        <is>
          <t>Utilities</t>
        </is>
      </c>
      <c r="C2876" t="inlineStr">
        <is>
          <t>UKPN</t>
        </is>
      </c>
      <c r="D2876" t="inlineStr">
        <is>
          <t>AY68DAA , 4x4 , Izuzu , Dmax</t>
        </is>
      </c>
      <c r="E2876" t="inlineStr">
        <is>
          <t>AY68DAA , 4x4 , Izuzu , Dmax</t>
        </is>
      </c>
      <c r="F2876" t="inlineStr">
        <is>
          <t>AY68DAA , 4x4 , Izuzu , Dmax</t>
        </is>
      </c>
      <c r="G2876" t="inlineStr">
        <is>
          <t xml:space="preserve">Patrick O'Shea </t>
        </is>
      </c>
      <c r="H2876" t="inlineStr">
        <is>
          <t>4x4</t>
        </is>
      </c>
      <c r="I2876" t="inlineStr">
        <is>
          <t>Daily/ Weekly Vehicle Inspection</t>
        </is>
      </c>
      <c r="J2876" t="inlineStr">
        <is>
          <t>N/A</t>
        </is>
      </c>
      <c r="K2876" t="inlineStr">
        <is>
          <t>7800 MAC Tree Surgery and Fencing Ltd</t>
        </is>
      </c>
      <c r="L2876" t="inlineStr">
        <is>
          <t>26/01/2026 08:09</t>
        </is>
      </c>
      <c r="M2876" t="inlineStr">
        <is>
          <t>None</t>
        </is>
      </c>
      <c r="N2876" t="inlineStr">
        <is>
          <t>&lt;p&gt;&lt;/p&gt;</t>
        </is>
      </c>
      <c r="O2876" t="inlineStr"/>
      <c r="P2876" t="inlineStr">
        <is>
          <t>AY68DAA , 4x4 , Izuzu , Dmax</t>
        </is>
      </c>
      <c r="Q2876" t="inlineStr">
        <is>
          <t>UKPN</t>
        </is>
      </c>
      <c r="R2876" t="b">
        <v>0</v>
      </c>
    </row>
    <row r="2877">
      <c r="A2877" t="inlineStr">
        <is>
          <t>26 Jan 2026 / 7800 MAC Tree Surgery and Fencing Ltd / Utilities / UKPN</t>
        </is>
      </c>
      <c r="B2877" t="inlineStr">
        <is>
          <t>Utilities</t>
        </is>
      </c>
      <c r="C2877" t="inlineStr">
        <is>
          <t>UKPN</t>
        </is>
      </c>
      <c r="D2877" t="inlineStr">
        <is>
          <t>Plant Trailer - Towmate - 2.8t - 0</t>
        </is>
      </c>
      <c r="E2877" t="inlineStr">
        <is>
          <t>Plant Trailer - Towmate - 2.8t - 0</t>
        </is>
      </c>
      <c r="F2877" t="inlineStr">
        <is>
          <t>Plant Trailer - Towmate - 2.8t - 0</t>
        </is>
      </c>
      <c r="G2877" t="inlineStr">
        <is>
          <t>Lewis mac</t>
        </is>
      </c>
      <c r="H2877" t="inlineStr">
        <is>
          <t>Plant Trailer</t>
        </is>
      </c>
      <c r="I2877" t="inlineStr">
        <is>
          <t>Daily/ Weekly Vehicle Inspection</t>
        </is>
      </c>
      <c r="J2877" t="inlineStr">
        <is>
          <t>N/A</t>
        </is>
      </c>
      <c r="K2877" t="inlineStr">
        <is>
          <t>7800 MAC Tree Surgery and Fencing Ltd</t>
        </is>
      </c>
      <c r="L2877" t="inlineStr">
        <is>
          <t>26/01/2026 08:10</t>
        </is>
      </c>
      <c r="M2877" t="inlineStr">
        <is>
          <t>None</t>
        </is>
      </c>
      <c r="N2877" t="inlineStr">
        <is>
          <t>&lt;p&gt;&lt;/p&gt;</t>
        </is>
      </c>
      <c r="O2877" t="inlineStr"/>
      <c r="P2877" t="inlineStr">
        <is>
          <t>Plant Trailer - Towmate - 2.8t - 0</t>
        </is>
      </c>
      <c r="Q2877" t="inlineStr">
        <is>
          <t>UKPN</t>
        </is>
      </c>
      <c r="R2877" t="b">
        <v>0</v>
      </c>
    </row>
    <row r="2878">
      <c r="A2878" t="inlineStr">
        <is>
          <t>26 Jan 2026 / Thomas Playford / Utilities / UKPN</t>
        </is>
      </c>
      <c r="B2878" t="inlineStr">
        <is>
          <t>Utilities</t>
        </is>
      </c>
      <c r="C2878" t="inlineStr">
        <is>
          <t>UKPN</t>
        </is>
      </c>
      <c r="D2878" t="inlineStr">
        <is>
          <t>SA9ST800000283944 , Towed Chipper , Forst , ST8D - Towed</t>
        </is>
      </c>
      <c r="E2878" t="inlineStr">
        <is>
          <t>SA9ST800000283944 , Towed Chipper , Forst , ST8D - Towed</t>
        </is>
      </c>
      <c r="F2878" t="inlineStr">
        <is>
          <t>SA9ST800000283944 , Towed Chipper , Forst , ST8D - Towed</t>
        </is>
      </c>
      <c r="G2878" t="inlineStr">
        <is>
          <t>Thomas Playford</t>
        </is>
      </c>
      <c r="H2878" t="inlineStr">
        <is>
          <t>Towed Chipper</t>
        </is>
      </c>
      <c r="I2878" t="inlineStr">
        <is>
          <t>Daily/ Weekly Vehicle Inspection</t>
        </is>
      </c>
      <c r="J2878" t="inlineStr">
        <is>
          <t>N/A</t>
        </is>
      </c>
      <c r="K2878" t="inlineStr">
        <is>
          <t>7995 Green Net Eco Ltd 2</t>
        </is>
      </c>
      <c r="L2878" t="inlineStr">
        <is>
          <t>26/01/2026 08:21</t>
        </is>
      </c>
      <c r="M2878" t="inlineStr">
        <is>
          <t>None</t>
        </is>
      </c>
      <c r="N2878" t="inlineStr">
        <is>
          <t>&lt;p&gt;&lt;/p&gt;</t>
        </is>
      </c>
      <c r="O2878" t="inlineStr"/>
      <c r="P2878" t="inlineStr">
        <is>
          <t>SA9ST800000283944 , Towed Chipper , Forst , ST8D - Towed</t>
        </is>
      </c>
      <c r="Q2878" t="inlineStr">
        <is>
          <t>UKPN</t>
        </is>
      </c>
      <c r="R2878" t="b">
        <v>0</v>
      </c>
    </row>
    <row r="2879">
      <c r="A2879" t="inlineStr">
        <is>
          <t>26 Jan 2026 / Thomas Playford / Utilities / UKPN</t>
        </is>
      </c>
      <c r="B2879" t="inlineStr">
        <is>
          <t>Utilities</t>
        </is>
      </c>
      <c r="C2879" t="inlineStr">
        <is>
          <t>UKPN</t>
        </is>
      </c>
      <c r="D2879" t="inlineStr">
        <is>
          <t>WM72UNF , 4x4 , Ford , Ranger</t>
        </is>
      </c>
      <c r="E2879" t="inlineStr">
        <is>
          <t>WM72UNF , 4x4 , Ford , Ranger</t>
        </is>
      </c>
      <c r="F2879" t="inlineStr">
        <is>
          <t>WM72UNF , 4x4 , Ford , Ranger</t>
        </is>
      </c>
      <c r="G2879" t="inlineStr">
        <is>
          <t xml:space="preserve">Thomas Playford </t>
        </is>
      </c>
      <c r="H2879" t="inlineStr">
        <is>
          <t>4x4</t>
        </is>
      </c>
      <c r="I2879" t="inlineStr">
        <is>
          <t>Daily/ Weekly Vehicle Inspection</t>
        </is>
      </c>
      <c r="J2879" t="inlineStr">
        <is>
          <t>N/A</t>
        </is>
      </c>
      <c r="K2879" t="inlineStr">
        <is>
          <t>7995 Green Net Eco Ltd 2</t>
        </is>
      </c>
      <c r="L2879" t="inlineStr">
        <is>
          <t>26/01/2026 08:21</t>
        </is>
      </c>
      <c r="M2879" t="inlineStr">
        <is>
          <t>None</t>
        </is>
      </c>
      <c r="N2879" t="inlineStr">
        <is>
          <t>&lt;p&gt;&lt;/p&gt;</t>
        </is>
      </c>
      <c r="O2879" t="inlineStr"/>
      <c r="P2879" t="inlineStr">
        <is>
          <t>WM72UNF , 4x4 , Ford , Ranger</t>
        </is>
      </c>
      <c r="Q2879" t="inlineStr">
        <is>
          <t>UKPN</t>
        </is>
      </c>
      <c r="R2879" t="b">
        <v>0</v>
      </c>
    </row>
    <row r="2880">
      <c r="A2880" t="inlineStr">
        <is>
          <t>26 Jan 2026 / 7806 Optimum Tree Services Ltd / Utilities / UKPN</t>
        </is>
      </c>
      <c r="B2880" t="inlineStr">
        <is>
          <t>Utilities</t>
        </is>
      </c>
      <c r="C2880" t="inlineStr">
        <is>
          <t>UKPN</t>
        </is>
      </c>
      <c r="D2880" t="inlineStr">
        <is>
          <t>SA9TAPLAF27414263 , Trailer , Tow Mate , Plant Trailer</t>
        </is>
      </c>
      <c r="E2880" t="inlineStr">
        <is>
          <t>SA9TAPLAF27414263 , Trailer , Tow Mate , Plant Trailer</t>
        </is>
      </c>
      <c r="F2880" t="inlineStr">
        <is>
          <t>SA9TAPLAF27414263 , Trailer , Tow Mate , Plant Trailer</t>
        </is>
      </c>
      <c r="G2880" t="inlineStr">
        <is>
          <t xml:space="preserve">Abraham Davies </t>
        </is>
      </c>
      <c r="H2880" t="inlineStr">
        <is>
          <t>Plant Trailer</t>
        </is>
      </c>
      <c r="I2880" t="inlineStr">
        <is>
          <t>Daily/ Weekly Vehicle Inspection</t>
        </is>
      </c>
      <c r="J2880" t="inlineStr">
        <is>
          <t>N/A</t>
        </is>
      </c>
      <c r="K2880" t="inlineStr">
        <is>
          <t>7806 Optimum Tree Services Ltd</t>
        </is>
      </c>
      <c r="L2880" t="inlineStr">
        <is>
          <t>26/01/2026 08:23</t>
        </is>
      </c>
      <c r="M2880" t="inlineStr">
        <is>
          <t>None</t>
        </is>
      </c>
      <c r="N2880" t="inlineStr">
        <is>
          <t>&lt;p&gt;&lt;/p&gt;</t>
        </is>
      </c>
      <c r="O2880" t="inlineStr"/>
      <c r="P2880" t="inlineStr">
        <is>
          <t>SA9TAPLAF27414263 , Trailer , Tow Mate , Plant Trailer</t>
        </is>
      </c>
      <c r="Q2880" t="inlineStr">
        <is>
          <t>UKPN</t>
        </is>
      </c>
      <c r="R2880" t="b">
        <v>0</v>
      </c>
    </row>
    <row r="2881">
      <c r="A2881" t="inlineStr">
        <is>
          <t>26 Jan 2026 / 7806 Optimum Tree Services Ltd / Utilities / UKPN</t>
        </is>
      </c>
      <c r="B2881" t="inlineStr">
        <is>
          <t>Utilities</t>
        </is>
      </c>
      <c r="C2881" t="inlineStr">
        <is>
          <t>UKPN</t>
        </is>
      </c>
      <c r="D2881" t="inlineStr">
        <is>
          <t>Wd14evn , 4x4 , Landrover  , Defender</t>
        </is>
      </c>
      <c r="E2881" t="inlineStr">
        <is>
          <t>Wd14evn , 4x4 , Landrover  , Defender</t>
        </is>
      </c>
      <c r="F2881" t="inlineStr">
        <is>
          <t>Wd14evn , 4x4 , Landrover  , Defender</t>
        </is>
      </c>
      <c r="G2881" t="inlineStr">
        <is>
          <t xml:space="preserve">Tommy frasle </t>
        </is>
      </c>
      <c r="H2881" t="inlineStr">
        <is>
          <t>4x4</t>
        </is>
      </c>
      <c r="I2881" t="inlineStr">
        <is>
          <t>Daily/ Weekly Vehicle Inspection</t>
        </is>
      </c>
      <c r="J2881" t="inlineStr">
        <is>
          <t>N/A</t>
        </is>
      </c>
      <c r="K2881" t="inlineStr">
        <is>
          <t>7806 Optimum Tree Services Ltd</t>
        </is>
      </c>
      <c r="L2881" t="inlineStr">
        <is>
          <t>26/01/2026 08:25</t>
        </is>
      </c>
      <c r="M2881" t="inlineStr">
        <is>
          <t>None</t>
        </is>
      </c>
      <c r="N2881" t="inlineStr">
        <is>
          <t>&lt;p&gt;&lt;/p&gt;</t>
        </is>
      </c>
      <c r="O2881" t="inlineStr"/>
      <c r="P2881" t="inlineStr">
        <is>
          <t>Wd14evn , 4x4 , Landrover  , Defender</t>
        </is>
      </c>
      <c r="Q2881" t="inlineStr">
        <is>
          <t>UKPN</t>
        </is>
      </c>
      <c r="R2881" t="b">
        <v>0</v>
      </c>
    </row>
    <row r="2882">
      <c r="A2882" t="inlineStr">
        <is>
          <t>26 Jan 2026 / 7806 Optimum Tree Services Ltd / Utilities / UKPN</t>
        </is>
      </c>
      <c r="B2882" t="inlineStr">
        <is>
          <t>Utilities</t>
        </is>
      </c>
      <c r="C2882" t="inlineStr">
        <is>
          <t>UKPN</t>
        </is>
      </c>
      <c r="D2882" t="inlineStr">
        <is>
          <t>WD14EVB , MEWP , Land Rover , Defender</t>
        </is>
      </c>
      <c r="E2882" t="inlineStr">
        <is>
          <t>WD14EVB , MEWP , Land Rover , Defender</t>
        </is>
      </c>
      <c r="F2882" t="inlineStr">
        <is>
          <t>WD14EVB , MEWP , Land Rover , Defender</t>
        </is>
      </c>
      <c r="G2882" t="inlineStr">
        <is>
          <t xml:space="preserve">Abraham Davies </t>
        </is>
      </c>
      <c r="H2882" t="inlineStr">
        <is>
          <t>4x4</t>
        </is>
      </c>
      <c r="I2882" t="inlineStr">
        <is>
          <t>Daily/ Weekly Vehicle Inspection</t>
        </is>
      </c>
      <c r="J2882" t="inlineStr">
        <is>
          <t>N/A</t>
        </is>
      </c>
      <c r="K2882" t="inlineStr">
        <is>
          <t>7806 Optimum Tree Services Ltd</t>
        </is>
      </c>
      <c r="L2882" t="inlineStr">
        <is>
          <t>26/01/2026 08:27</t>
        </is>
      </c>
      <c r="M2882" t="inlineStr">
        <is>
          <t>None</t>
        </is>
      </c>
      <c r="N2882" t="inlineStr">
        <is>
          <t>&lt;p&gt;&lt;/p&gt;</t>
        </is>
      </c>
      <c r="O2882" t="inlineStr"/>
      <c r="P2882" t="inlineStr">
        <is>
          <t>WD14EVB , MEWP , Land Rover , Defender</t>
        </is>
      </c>
      <c r="Q2882" t="inlineStr">
        <is>
          <t>UKPN</t>
        </is>
      </c>
      <c r="R2882" t="b">
        <v>0</v>
      </c>
    </row>
    <row r="2883">
      <c r="A2883" t="inlineStr">
        <is>
          <t>26 Jan 2026 / Ashley Hill / Utilities / NGED</t>
        </is>
      </c>
      <c r="B2883" t="inlineStr">
        <is>
          <t>Utilities</t>
        </is>
      </c>
      <c r="C2883" t="inlineStr">
        <is>
          <t>NGED</t>
        </is>
      </c>
      <c r="D2883" t="inlineStr"/>
      <c r="E2883" t="inlineStr"/>
      <c r="F2883" t="inlineStr"/>
      <c r="G2883" t="inlineStr">
        <is>
          <t>Ashley Hill</t>
        </is>
      </c>
      <c r="H2883" t="inlineStr">
        <is>
          <t>Car - Petrol</t>
        </is>
      </c>
      <c r="I2883" t="inlineStr">
        <is>
          <t>Daily/ Weekly Vehicle Inspection</t>
        </is>
      </c>
      <c r="J2883" t="inlineStr">
        <is>
          <t>N/A</t>
        </is>
      </c>
      <c r="K2883" t="inlineStr">
        <is>
          <t>Ashley Hill</t>
        </is>
      </c>
      <c r="L2883" t="inlineStr">
        <is>
          <t>26/01/2026 08:28</t>
        </is>
      </c>
      <c r="M2883" t="inlineStr">
        <is>
          <t>None</t>
        </is>
      </c>
      <c r="N2883" t="inlineStr">
        <is>
          <t>&lt;p&gt;&lt;/p&gt;</t>
        </is>
      </c>
      <c r="O2883" t="inlineStr"/>
      <c r="P2883" t="inlineStr"/>
      <c r="Q2883" t="inlineStr">
        <is>
          <t>NGED</t>
        </is>
      </c>
      <c r="R2883" t="b">
        <v>0</v>
      </c>
    </row>
    <row r="2884">
      <c r="A2884" t="inlineStr">
        <is>
          <t>26 Jan 2026 / 7186 Eastwoodbury Tree Services Ltd / Utilities / UKPN</t>
        </is>
      </c>
      <c r="B2884" t="inlineStr">
        <is>
          <t>Utilities</t>
        </is>
      </c>
      <c r="C2884" t="inlineStr">
        <is>
          <t>UKPN</t>
        </is>
      </c>
      <c r="D2884" t="inlineStr">
        <is>
          <t>DE53NKS , 4x4 , Ford , Ranger</t>
        </is>
      </c>
      <c r="E2884" t="inlineStr">
        <is>
          <t>DE53NKS , 4x4 , Ford , Ranger</t>
        </is>
      </c>
      <c r="F2884" t="inlineStr">
        <is>
          <t>DE53NKS , 4x4 , Ford , Ranger</t>
        </is>
      </c>
      <c r="G2884" t="inlineStr">
        <is>
          <t xml:space="preserve">Jay Denkmayer </t>
        </is>
      </c>
      <c r="H2884" t="inlineStr">
        <is>
          <t>4x4</t>
        </is>
      </c>
      <c r="I2884" t="inlineStr">
        <is>
          <t>Daily/ Weekly Vehicle Inspection</t>
        </is>
      </c>
      <c r="J2884" t="inlineStr">
        <is>
          <t>N/A</t>
        </is>
      </c>
      <c r="K2884" t="inlineStr">
        <is>
          <t>7186 Eastwoodbury Tree Services Ltd</t>
        </is>
      </c>
      <c r="L2884" t="inlineStr">
        <is>
          <t>26/01/2026 08:29</t>
        </is>
      </c>
      <c r="M2884" t="inlineStr">
        <is>
          <t>None</t>
        </is>
      </c>
      <c r="N2884" t="inlineStr">
        <is>
          <t>&lt;p&gt;&lt;/p&gt;</t>
        </is>
      </c>
      <c r="O2884" t="inlineStr"/>
      <c r="P2884" t="inlineStr">
        <is>
          <t>DE53NKS , 4x4 , Ford , Ranger</t>
        </is>
      </c>
      <c r="Q2884" t="inlineStr">
        <is>
          <t>UKPN</t>
        </is>
      </c>
      <c r="R2884" t="b">
        <v>0</v>
      </c>
    </row>
    <row r="2885">
      <c r="A2885" t="inlineStr">
        <is>
          <t>26 Jan 2026 / 7186 Eastwoodbury Tree Services Ltd / Utilities / UKPN</t>
        </is>
      </c>
      <c r="B2885" t="inlineStr">
        <is>
          <t>Utilities</t>
        </is>
      </c>
      <c r="C2885" t="inlineStr">
        <is>
          <t>UKPN</t>
        </is>
      </c>
      <c r="D2885" t="inlineStr">
        <is>
          <t>WF13 EKT , 4x4 , Land rover  , Defender</t>
        </is>
      </c>
      <c r="E2885" t="inlineStr">
        <is>
          <t>WF13 EKT , 4x4 , Land rover  , Defender</t>
        </is>
      </c>
      <c r="F2885" t="inlineStr">
        <is>
          <t>WF13 EKT , 4x4 , Land rover  , Defender</t>
        </is>
      </c>
      <c r="G2885" t="inlineStr">
        <is>
          <t xml:space="preserve">Dan Gilbert </t>
        </is>
      </c>
      <c r="H2885" t="inlineStr">
        <is>
          <t>4x4</t>
        </is>
      </c>
      <c r="I2885" t="inlineStr">
        <is>
          <t>Daily/ Weekly Vehicle Inspection</t>
        </is>
      </c>
      <c r="J2885" t="inlineStr">
        <is>
          <t>N/A</t>
        </is>
      </c>
      <c r="K2885" t="inlineStr">
        <is>
          <t>7186 Eastwoodbury Tree Services Ltd</t>
        </is>
      </c>
      <c r="L2885" t="inlineStr">
        <is>
          <t>26/01/2026 08:29</t>
        </is>
      </c>
      <c r="M2885" t="inlineStr">
        <is>
          <t>None</t>
        </is>
      </c>
      <c r="N2885" t="inlineStr">
        <is>
          <t>&lt;p&gt;&lt;/p&gt;</t>
        </is>
      </c>
      <c r="O2885" t="inlineStr"/>
      <c r="P2885" t="inlineStr">
        <is>
          <t>WF13 EKT , 4x4 , Land rover  , Defender</t>
        </is>
      </c>
      <c r="Q2885" t="inlineStr">
        <is>
          <t>UKPN</t>
        </is>
      </c>
      <c r="R2885" t="b">
        <v>0</v>
      </c>
    </row>
    <row r="2886">
      <c r="A2886" t="inlineStr">
        <is>
          <t>26 Jan 2026 / 7186 Eastwoodbury Tree Services Ltd / Utilities / UKPN</t>
        </is>
      </c>
      <c r="B2886" t="inlineStr">
        <is>
          <t>Utilities</t>
        </is>
      </c>
      <c r="C2886" t="inlineStr">
        <is>
          <t>UKPN</t>
        </is>
      </c>
      <c r="D2886" t="inlineStr">
        <is>
          <t>FX14 XCV , 4x4 , Land Rover  , Defender</t>
        </is>
      </c>
      <c r="E2886" t="inlineStr">
        <is>
          <t>FX14 XCV , 4x4 , Land Rover  , Defender</t>
        </is>
      </c>
      <c r="F2886" t="inlineStr">
        <is>
          <t>FX14 XCV , 4x4 , Land Rover  , Defender</t>
        </is>
      </c>
      <c r="G2886" t="inlineStr">
        <is>
          <t xml:space="preserve">Tom Price </t>
        </is>
      </c>
      <c r="H2886" t="inlineStr">
        <is>
          <t>4x4</t>
        </is>
      </c>
      <c r="I2886" t="inlineStr">
        <is>
          <t>Daily/ Weekly Vehicle Inspection</t>
        </is>
      </c>
      <c r="J2886" t="inlineStr">
        <is>
          <t>N/A</t>
        </is>
      </c>
      <c r="K2886" t="inlineStr">
        <is>
          <t>7186 Eastwoodbury Tree Services Ltd</t>
        </is>
      </c>
      <c r="L2886" t="inlineStr">
        <is>
          <t>26/01/2026 08:31</t>
        </is>
      </c>
      <c r="M2886" t="inlineStr">
        <is>
          <t>None</t>
        </is>
      </c>
      <c r="N2886" t="inlineStr">
        <is>
          <t>&lt;p&gt;&lt;/p&gt;</t>
        </is>
      </c>
      <c r="O2886" t="inlineStr"/>
      <c r="P2886" t="inlineStr">
        <is>
          <t>FX14 XCV , 4x4 , Land Rover  , Defender</t>
        </is>
      </c>
      <c r="Q2886" t="inlineStr">
        <is>
          <t>UKPN</t>
        </is>
      </c>
      <c r="R2886" t="b">
        <v>0</v>
      </c>
    </row>
    <row r="2887">
      <c r="A2887" t="inlineStr">
        <is>
          <t>26 Jan 2026 / 7889 Tree Tech Suffolk Ltd</t>
        </is>
      </c>
      <c r="B2887" t="inlineStr">
        <is>
          <t>Utilities &amp; Inland Waterways</t>
        </is>
      </c>
      <c r="C2887" t="inlineStr">
        <is>
          <t>UKPN</t>
        </is>
      </c>
      <c r="D2887" t="inlineStr">
        <is>
          <t>Tipper - Nissan - Navara - NS02TTS4x4 - Isuzu - D-max - NS03 TTS</t>
        </is>
      </c>
      <c r="E2887" t="inlineStr">
        <is>
          <t>Tipper - Nissan - Navara - NS02TTS4x4 - Isuzu - D-max - NS03 TTS</t>
        </is>
      </c>
      <c r="F2887" t="inlineStr">
        <is>
          <t>Tipper - Nissan - Navara - NS02TTS4x4 - Isuzu - D-max - NS03 TTS</t>
        </is>
      </c>
      <c r="G2887" t="inlineStr">
        <is>
          <t xml:space="preserve">Danny ApplebyNikki sparrow </t>
        </is>
      </c>
      <c r="H2887" t="inlineStr">
        <is>
          <t>Tipper4x4</t>
        </is>
      </c>
      <c r="I2887" t="inlineStr">
        <is>
          <t>Daily/ Weekly Vehicle Inspection</t>
        </is>
      </c>
      <c r="J2887" t="inlineStr">
        <is>
          <t>N/A</t>
        </is>
      </c>
      <c r="K2887" t="inlineStr">
        <is>
          <t>7889 Tree Tech Suffolk Ltd</t>
        </is>
      </c>
      <c r="L2887" t="inlineStr">
        <is>
          <t>26/01/2026 08:31</t>
        </is>
      </c>
      <c r="M2887" t="inlineStr">
        <is>
          <t>None</t>
        </is>
      </c>
      <c r="N2887" t="inlineStr">
        <is>
          <t>&lt;p&gt;&lt;/p&gt;</t>
        </is>
      </c>
      <c r="O2887" t="inlineStr">
        <is>
          <t>Select Vehicle:Ns05 tts</t>
        </is>
      </c>
      <c r="P2887" t="inlineStr">
        <is>
          <t>Tipper - Nissan - Navara - NS02TTS4x4 - Isuzu - D-max - NS03 TTS</t>
        </is>
      </c>
      <c r="Q2887" t="inlineStr">
        <is>
          <t>UKPN</t>
        </is>
      </c>
      <c r="R2887" t="b">
        <v>0</v>
      </c>
    </row>
    <row r="2888">
      <c r="A2888" t="inlineStr">
        <is>
          <t>26 Jan 2026 / Mark Davies / Utilities / NGED</t>
        </is>
      </c>
      <c r="B2888" t="inlineStr">
        <is>
          <t>Utilities</t>
        </is>
      </c>
      <c r="C2888" t="inlineStr">
        <is>
          <t>NGED</t>
        </is>
      </c>
      <c r="D2888" t="inlineStr">
        <is>
          <t>GJ20USE , Car - Electric , Tesla , Model 3 Long Range AWD</t>
        </is>
      </c>
      <c r="E2888" t="inlineStr">
        <is>
          <t>GJ20USE , Car - Electric , Tesla , Model 3 Long Range AWD</t>
        </is>
      </c>
      <c r="F2888" t="inlineStr">
        <is>
          <t>GJ20USE , Car - Electric , Tesla , Model 3 Long Range AWD</t>
        </is>
      </c>
      <c r="G2888" t="inlineStr">
        <is>
          <t xml:space="preserve">Mark Davies </t>
        </is>
      </c>
      <c r="H2888" t="inlineStr">
        <is>
          <t>Car - Electric (GC Owned)</t>
        </is>
      </c>
      <c r="I2888" t="inlineStr">
        <is>
          <t>Daily/ Weekly Vehicle Inspection</t>
        </is>
      </c>
      <c r="J2888" t="inlineStr">
        <is>
          <t>N/A</t>
        </is>
      </c>
      <c r="K2888" t="inlineStr">
        <is>
          <t>Mark Davies</t>
        </is>
      </c>
      <c r="L2888" t="inlineStr">
        <is>
          <t>26/01/2026 09:07</t>
        </is>
      </c>
      <c r="M2888" t="inlineStr">
        <is>
          <t>None</t>
        </is>
      </c>
      <c r="N2888" t="inlineStr">
        <is>
          <t>&lt;p&gt;&lt;/p&gt;</t>
        </is>
      </c>
      <c r="O2888" t="inlineStr"/>
      <c r="P2888" t="inlineStr">
        <is>
          <t>GJ20USE , Car - Electric , Tesla , Model 3 Long Range AWD</t>
        </is>
      </c>
      <c r="Q2888" t="inlineStr">
        <is>
          <t>NGED</t>
        </is>
      </c>
      <c r="R2888" t="b">
        <v>0</v>
      </c>
    </row>
    <row r="2889">
      <c r="A2889" t="inlineStr">
        <is>
          <t>26 Jan 2026 / Anthony Gale / Utilities / UKPN</t>
        </is>
      </c>
      <c r="B2889" t="inlineStr">
        <is>
          <t>Utilities</t>
        </is>
      </c>
      <c r="C2889" t="inlineStr">
        <is>
          <t>UKPN</t>
        </is>
      </c>
      <c r="D2889" t="inlineStr"/>
      <c r="E2889" t="inlineStr"/>
      <c r="F2889" t="inlineStr"/>
      <c r="G2889" t="inlineStr">
        <is>
          <t>Anthony Gale</t>
        </is>
      </c>
      <c r="H2889" t="inlineStr">
        <is>
          <t>Plant Trailer</t>
        </is>
      </c>
      <c r="I2889" t="inlineStr">
        <is>
          <t>Daily/ Weekly Vehicle Inspection</t>
        </is>
      </c>
      <c r="J2889" t="inlineStr">
        <is>
          <t>N/A</t>
        </is>
      </c>
      <c r="K2889" t="inlineStr">
        <is>
          <t>7996 M G Tree Surgery Ltd 1</t>
        </is>
      </c>
      <c r="L2889" t="inlineStr">
        <is>
          <t>26/01/2026 09:15</t>
        </is>
      </c>
      <c r="M2889" t="inlineStr">
        <is>
          <t>None</t>
        </is>
      </c>
      <c r="N2889" t="inlineStr">
        <is>
          <t>&lt;p&gt;&lt;/p&gt;</t>
        </is>
      </c>
      <c r="O2889" t="inlineStr"/>
      <c r="P2889" t="inlineStr"/>
      <c r="Q2889" t="inlineStr">
        <is>
          <t>UKPN</t>
        </is>
      </c>
      <c r="R2889" t="b">
        <v>0</v>
      </c>
    </row>
    <row r="2890">
      <c r="A2890" t="inlineStr">
        <is>
          <t>26 Jan 2026 / 7951 Austin Tree Care LTD / Utilities / UKPN</t>
        </is>
      </c>
      <c r="B2890" t="inlineStr">
        <is>
          <t>Utilities</t>
        </is>
      </c>
      <c r="C2890" t="inlineStr">
        <is>
          <t>UKPN</t>
        </is>
      </c>
      <c r="D2890" t="inlineStr">
        <is>
          <t>SA9ST6P0001283612 , Towed Chipper , Forst , ST6p</t>
        </is>
      </c>
      <c r="E2890" t="inlineStr">
        <is>
          <t>SA9ST6P0001283612 , Towed Chipper , Forst , ST6p</t>
        </is>
      </c>
      <c r="F2890" t="inlineStr">
        <is>
          <t>SA9ST6P0001283612 , Towed Chipper , Forst , ST6p</t>
        </is>
      </c>
      <c r="G2890" t="inlineStr">
        <is>
          <t xml:space="preserve">Jack Austin </t>
        </is>
      </c>
      <c r="H2890" t="inlineStr">
        <is>
          <t>Towed Chipper</t>
        </is>
      </c>
      <c r="I2890" t="inlineStr">
        <is>
          <t>Daily/ Weekly Vehicle Inspection</t>
        </is>
      </c>
      <c r="J2890" t="inlineStr">
        <is>
          <t>N/A</t>
        </is>
      </c>
      <c r="K2890" t="inlineStr">
        <is>
          <t>7951 Austin Tree Care LTD</t>
        </is>
      </c>
      <c r="L2890" t="inlineStr">
        <is>
          <t>26/01/2026 09:16</t>
        </is>
      </c>
      <c r="M2890" t="inlineStr">
        <is>
          <t>None</t>
        </is>
      </c>
      <c r="N2890" t="inlineStr">
        <is>
          <t>&lt;p&gt;&lt;/p&gt;</t>
        </is>
      </c>
      <c r="O2890" t="inlineStr"/>
      <c r="P2890" t="inlineStr">
        <is>
          <t>SA9ST6P0001283612 , Towed Chipper , Forst , ST6p</t>
        </is>
      </c>
      <c r="Q2890" t="inlineStr">
        <is>
          <t>UKPN</t>
        </is>
      </c>
      <c r="R2890" t="b">
        <v>0</v>
      </c>
    </row>
    <row r="2891">
      <c r="A2891" t="inlineStr">
        <is>
          <t>26 Jan 2026 / Anthony Gale / Utilities / UKPN</t>
        </is>
      </c>
      <c r="B2891" t="inlineStr">
        <is>
          <t>Utilities</t>
        </is>
      </c>
      <c r="C2891" t="inlineStr">
        <is>
          <t>UKPN</t>
        </is>
      </c>
      <c r="D2891" t="inlineStr">
        <is>
          <t>KX20 BCE , Tipper , Isuzu , D-Max</t>
        </is>
      </c>
      <c r="E2891" t="inlineStr">
        <is>
          <t>KX20 BCE , Tipper , Isuzu , D-Max</t>
        </is>
      </c>
      <c r="F2891" t="inlineStr">
        <is>
          <t>KX20 BCE , Tipper , Isuzu , D-Max</t>
        </is>
      </c>
      <c r="G2891" t="inlineStr">
        <is>
          <t>Anthony Gale</t>
        </is>
      </c>
      <c r="H2891" t="inlineStr">
        <is>
          <t>Pickup Truck</t>
        </is>
      </c>
      <c r="I2891" t="inlineStr">
        <is>
          <t>Daily/ Weekly Vehicle Inspection</t>
        </is>
      </c>
      <c r="J2891" t="inlineStr">
        <is>
          <t>N/A</t>
        </is>
      </c>
      <c r="K2891" t="inlineStr">
        <is>
          <t>7996 M G Tree Surgery Ltd 1</t>
        </is>
      </c>
      <c r="L2891" t="inlineStr">
        <is>
          <t>26/01/2026 09:16</t>
        </is>
      </c>
      <c r="M2891" t="inlineStr">
        <is>
          <t>None</t>
        </is>
      </c>
      <c r="N2891" t="inlineStr">
        <is>
          <t>&lt;p&gt;&lt;/p&gt;</t>
        </is>
      </c>
      <c r="O2891" t="inlineStr">
        <is>
          <t>Confirm that you have checked this vehicle as per the guidance document and the vehicle is safe and roadworthy:Light board deteriorating. 
Safe for now.
Will need replacing soon.
-</t>
        </is>
      </c>
      <c r="P2891" t="inlineStr">
        <is>
          <t>KX20 BCE , Tipper , Isuzu , D-Max</t>
        </is>
      </c>
      <c r="Q2891" t="inlineStr">
        <is>
          <t>UKPN</t>
        </is>
      </c>
      <c r="R2891" t="b">
        <v>0</v>
      </c>
    </row>
    <row r="2892">
      <c r="A2892" t="inlineStr">
        <is>
          <t>26 Jan 2026 / 7951 Austin Tree Care LTD / Utilities / UKPN</t>
        </is>
      </c>
      <c r="B2892" t="inlineStr">
        <is>
          <t>Utilities</t>
        </is>
      </c>
      <c r="C2892" t="inlineStr">
        <is>
          <t>UKPN</t>
        </is>
      </c>
      <c r="D2892" t="inlineStr">
        <is>
          <t>Kn58xuy , Tipper , VW  , Crafter</t>
        </is>
      </c>
      <c r="E2892" t="inlineStr">
        <is>
          <t>Kn58xuy , Tipper , VW  , Crafter</t>
        </is>
      </c>
      <c r="F2892" t="inlineStr">
        <is>
          <t>Kn58xuy , Tipper , VW  , Crafter</t>
        </is>
      </c>
      <c r="G2892" t="inlineStr">
        <is>
          <t xml:space="preserve">Jack Austin </t>
        </is>
      </c>
      <c r="H2892" t="inlineStr">
        <is>
          <t>Tipper</t>
        </is>
      </c>
      <c r="I2892" t="inlineStr">
        <is>
          <t>Daily/ Weekly Vehicle Inspection</t>
        </is>
      </c>
      <c r="J2892" t="inlineStr">
        <is>
          <t>N/A</t>
        </is>
      </c>
      <c r="K2892" t="inlineStr">
        <is>
          <t>7951 Austin Tree Care LTD</t>
        </is>
      </c>
      <c r="L2892" t="inlineStr">
        <is>
          <t>26/01/2026 09:17</t>
        </is>
      </c>
      <c r="M2892" t="inlineStr">
        <is>
          <t>None</t>
        </is>
      </c>
      <c r="N2892" t="inlineStr">
        <is>
          <t>&lt;p&gt;&lt;/p&gt;</t>
        </is>
      </c>
      <c r="O2892" t="inlineStr"/>
      <c r="P2892" t="inlineStr">
        <is>
          <t>Kn58xuy , Tipper , VW  , Crafter</t>
        </is>
      </c>
      <c r="Q2892" t="inlineStr">
        <is>
          <t>UKPN</t>
        </is>
      </c>
      <c r="R2892" t="b">
        <v>0</v>
      </c>
    </row>
    <row r="2893">
      <c r="A2893" t="inlineStr">
        <is>
          <t>26 Jan 2026 / Ashley Taylor / Utilities / SSE</t>
        </is>
      </c>
      <c r="B2893" t="inlineStr">
        <is>
          <t>Utilities</t>
        </is>
      </c>
      <c r="C2893" t="inlineStr">
        <is>
          <t>SSE</t>
        </is>
      </c>
      <c r="D2893" t="inlineStr">
        <is>
          <t>AF22XLX , Car - Electric , Tesla , Model 3 Long Range AWD</t>
        </is>
      </c>
      <c r="E2893" t="inlineStr">
        <is>
          <t>AF22XLX , Car - Electric , Tesla , Model 3 Long Range AWD</t>
        </is>
      </c>
      <c r="F2893" t="inlineStr">
        <is>
          <t>AF22XLX , Car - Electric , Tesla , Model 3 Long Range AWD</t>
        </is>
      </c>
      <c r="G2893" t="inlineStr">
        <is>
          <t xml:space="preserve">Ashley Taylor </t>
        </is>
      </c>
      <c r="H2893" t="inlineStr">
        <is>
          <t>Car - Electric (GC Owned)</t>
        </is>
      </c>
      <c r="I2893" t="inlineStr">
        <is>
          <t>Monthly Vehicle Inspection</t>
        </is>
      </c>
      <c r="J2893" t="inlineStr">
        <is>
          <t>76660</t>
        </is>
      </c>
      <c r="K2893" t="inlineStr">
        <is>
          <t>Ashley Taylor</t>
        </is>
      </c>
      <c r="L2893" t="inlineStr">
        <is>
          <t>26/01/2026 10:01</t>
        </is>
      </c>
      <c r="M2893" t="inlineStr">
        <is>
          <t xml:space="preserve">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 Fail
</t>
        </is>
      </c>
      <c r="N2893" t="inlineStr">
        <is>
          <t>&lt;p&gt;&lt;/p&gt;</t>
        </is>
      </c>
      <c r="O2893" t="inlineStr"/>
      <c r="P2893" t="inlineStr">
        <is>
          <t>AF22XLX , Car - Electric , Tesla , Model 3 Long Range AWD</t>
        </is>
      </c>
      <c r="Q2893" t="inlineStr">
        <is>
          <t>SSE</t>
        </is>
      </c>
      <c r="R2893" t="b">
        <v>0</v>
      </c>
    </row>
    <row r="2894">
      <c r="A2894" t="inlineStr">
        <is>
          <t>26 Jan 2026 / Joshua Atkins / Utilities / UKPN</t>
        </is>
      </c>
      <c r="B2894" t="inlineStr">
        <is>
          <t>Utilities</t>
        </is>
      </c>
      <c r="C2894" t="inlineStr">
        <is>
          <t>UKPN</t>
        </is>
      </c>
      <c r="D2894" t="inlineStr">
        <is>
          <t>DL24HTK , Car - Electric , Kia , Niro EV</t>
        </is>
      </c>
      <c r="E2894" t="inlineStr">
        <is>
          <t>DL24HTK , Car - Electric , Kia , Niro EV</t>
        </is>
      </c>
      <c r="F2894" t="inlineStr">
        <is>
          <t>DL24HTK , Car - Electric , Kia , Niro EV</t>
        </is>
      </c>
      <c r="G2894" t="inlineStr">
        <is>
          <t>Joshua Atkins</t>
        </is>
      </c>
      <c r="H2894" t="inlineStr">
        <is>
          <t>Car - Electric (GC Owned)</t>
        </is>
      </c>
      <c r="I2894" t="inlineStr">
        <is>
          <t>Daily/ Weekly Vehicle Inspection</t>
        </is>
      </c>
      <c r="J2894" t="inlineStr">
        <is>
          <t>N/A</t>
        </is>
      </c>
      <c r="K2894" t="inlineStr">
        <is>
          <t>Joshua Atkins</t>
        </is>
      </c>
      <c r="L2894" t="inlineStr">
        <is>
          <t>26/01/2026 10:02</t>
        </is>
      </c>
      <c r="M2894" t="inlineStr">
        <is>
          <t>None</t>
        </is>
      </c>
      <c r="N2894" t="inlineStr">
        <is>
          <t>&lt;p&gt;&lt;/p&gt;</t>
        </is>
      </c>
      <c r="O2894" t="inlineStr"/>
      <c r="P2894" t="inlineStr">
        <is>
          <t>DL24HTK , Car - Electric , Kia , Niro EV</t>
        </is>
      </c>
      <c r="Q2894" t="inlineStr">
        <is>
          <t>UKPN</t>
        </is>
      </c>
      <c r="R2894" t="b">
        <v>0</v>
      </c>
    </row>
    <row r="2895">
      <c r="A2895" t="inlineStr">
        <is>
          <t>26 Jan 2026 / 7951 Austin Tree Care LTD 1 / Utilities / UKPN</t>
        </is>
      </c>
      <c r="B2895" t="inlineStr">
        <is>
          <t>Utilities</t>
        </is>
      </c>
      <c r="C2895" t="inlineStr">
        <is>
          <t>UKPN</t>
        </is>
      </c>
      <c r="D2895" t="inlineStr">
        <is>
          <t>WG64HTT , 4x4 , Land Rover , Defender 110</t>
        </is>
      </c>
      <c r="E2895" t="inlineStr">
        <is>
          <t>WG64HTT , 4x4 , Land Rover , Defender 110</t>
        </is>
      </c>
      <c r="F2895" t="inlineStr">
        <is>
          <t>WG64HTT , 4x4 , Land Rover , Defender 110</t>
        </is>
      </c>
      <c r="G2895" t="inlineStr">
        <is>
          <t xml:space="preserve">James Tasker </t>
        </is>
      </c>
      <c r="H2895" t="inlineStr">
        <is>
          <t>4x4</t>
        </is>
      </c>
      <c r="I2895" t="inlineStr">
        <is>
          <t>Daily/ Weekly Vehicle Inspection</t>
        </is>
      </c>
      <c r="J2895" t="inlineStr">
        <is>
          <t>N/A</t>
        </is>
      </c>
      <c r="K2895" t="inlineStr">
        <is>
          <t>7951 Austin Tree Care LTD 1</t>
        </is>
      </c>
      <c r="L2895" t="inlineStr">
        <is>
          <t>26/01/2026 10:12</t>
        </is>
      </c>
      <c r="M2895" t="inlineStr">
        <is>
          <t>None</t>
        </is>
      </c>
      <c r="N2895" t="inlineStr">
        <is>
          <t>&lt;p&gt;&lt;/p&gt;</t>
        </is>
      </c>
      <c r="O2895" t="inlineStr"/>
      <c r="P2895" t="inlineStr">
        <is>
          <t>WG64HTT , 4x4 , Land Rover , Defender 110</t>
        </is>
      </c>
      <c r="Q2895" t="inlineStr">
        <is>
          <t>UKPN</t>
        </is>
      </c>
      <c r="R2895" t="b">
        <v>0</v>
      </c>
    </row>
    <row r="2896">
      <c r="A2896" t="inlineStr">
        <is>
          <t>26 Jan 2026 / Jonathan Wisbey / Utilities / UKPN</t>
        </is>
      </c>
      <c r="B2896" t="inlineStr">
        <is>
          <t>Utilities</t>
        </is>
      </c>
      <c r="C2896" t="inlineStr">
        <is>
          <t>UKPN</t>
        </is>
      </c>
      <c r="D2896" t="inlineStr"/>
      <c r="E2896" t="inlineStr"/>
      <c r="F2896" t="inlineStr"/>
      <c r="G2896" t="inlineStr">
        <is>
          <t xml:space="preserve">Jonathan Wisbey </t>
        </is>
      </c>
      <c r="H2896" t="inlineStr">
        <is>
          <t>Car - Petrol</t>
        </is>
      </c>
      <c r="I2896" t="inlineStr">
        <is>
          <t>Daily/ Weekly Vehicle Inspection</t>
        </is>
      </c>
      <c r="J2896" t="inlineStr">
        <is>
          <t>N/A</t>
        </is>
      </c>
      <c r="K2896" t="inlineStr">
        <is>
          <t>Jonathan Wisbey</t>
        </is>
      </c>
      <c r="L2896" t="inlineStr">
        <is>
          <t>26/01/2026 10:14</t>
        </is>
      </c>
      <c r="M2896" t="inlineStr">
        <is>
          <t>None</t>
        </is>
      </c>
      <c r="N2896" t="inlineStr">
        <is>
          <t>&lt;p&gt;&lt;/p&gt;</t>
        </is>
      </c>
      <c r="O2896" t="inlineStr"/>
      <c r="P2896" t="inlineStr"/>
      <c r="Q2896" t="inlineStr">
        <is>
          <t>UKPN</t>
        </is>
      </c>
      <c r="R2896" t="b">
        <v>0</v>
      </c>
    </row>
    <row r="2897">
      <c r="A2897" t="inlineStr">
        <is>
          <t>26 Jan 2026 / James Walsh / Utilities / NGED</t>
        </is>
      </c>
      <c r="B2897" t="inlineStr">
        <is>
          <t>Utilities</t>
        </is>
      </c>
      <c r="C2897" t="inlineStr">
        <is>
          <t>NGED</t>
        </is>
      </c>
      <c r="D2897" t="inlineStr">
        <is>
          <t>AF22XPW , Car - Electric , Tesla , Model 3 Long Range AWD</t>
        </is>
      </c>
      <c r="E2897" t="inlineStr">
        <is>
          <t>AF22XPW , Car - Electric , Tesla , Model 3 Long Range AWD</t>
        </is>
      </c>
      <c r="F2897" t="inlineStr">
        <is>
          <t>AF22XPW , Car - Electric , Tesla , Model 3 Long Range AWD</t>
        </is>
      </c>
      <c r="G2897" t="inlineStr">
        <is>
          <t>James Walsh</t>
        </is>
      </c>
      <c r="H2897" t="inlineStr">
        <is>
          <t>Car - Electric (GC Owned)</t>
        </is>
      </c>
      <c r="I2897" t="inlineStr">
        <is>
          <t>Daily/ Weekly Vehicle Inspection</t>
        </is>
      </c>
      <c r="J2897" t="inlineStr">
        <is>
          <t>N/A</t>
        </is>
      </c>
      <c r="K2897" t="inlineStr">
        <is>
          <t>James Walsh</t>
        </is>
      </c>
      <c r="L2897" t="inlineStr">
        <is>
          <t>26/01/2026 10:19</t>
        </is>
      </c>
      <c r="M2897" t="inlineStr">
        <is>
          <t>None</t>
        </is>
      </c>
      <c r="N2897" t="inlineStr">
        <is>
          <t>&lt;p&gt;&lt;/p&gt;</t>
        </is>
      </c>
      <c r="O2897" t="inlineStr"/>
      <c r="P2897" t="inlineStr">
        <is>
          <t>AF22XPW , Car - Electric , Tesla , Model 3 Long Range AWD</t>
        </is>
      </c>
      <c r="Q2897" t="inlineStr">
        <is>
          <t>NGED</t>
        </is>
      </c>
      <c r="R2897" t="b">
        <v>0</v>
      </c>
    </row>
    <row r="2898">
      <c r="A2898" t="inlineStr">
        <is>
          <t>26 Jan 2026 / Alexander Damar / Utilities / UKPN</t>
        </is>
      </c>
      <c r="B2898" t="inlineStr">
        <is>
          <t>Utilities</t>
        </is>
      </c>
      <c r="C2898" t="inlineStr">
        <is>
          <t>UKPN</t>
        </is>
      </c>
      <c r="D2898" t="inlineStr"/>
      <c r="E2898" t="inlineStr"/>
      <c r="F2898" t="inlineStr"/>
      <c r="G2898" t="inlineStr">
        <is>
          <t>A damar</t>
        </is>
      </c>
      <c r="H2898" t="inlineStr">
        <is>
          <t>Car - Petrol</t>
        </is>
      </c>
      <c r="I2898" t="inlineStr">
        <is>
          <t>Daily/ Weekly Vehicle Inspection</t>
        </is>
      </c>
      <c r="J2898" t="inlineStr">
        <is>
          <t>N/A</t>
        </is>
      </c>
      <c r="K2898" t="inlineStr">
        <is>
          <t>Alexander Damar</t>
        </is>
      </c>
      <c r="L2898" t="inlineStr">
        <is>
          <t>26/01/2026 11:01</t>
        </is>
      </c>
      <c r="M2898" t="inlineStr">
        <is>
          <t>None</t>
        </is>
      </c>
      <c r="N2898" t="inlineStr">
        <is>
          <t>&lt;p&gt;&lt;/p&gt;</t>
        </is>
      </c>
      <c r="O2898" t="inlineStr"/>
      <c r="P2898" t="inlineStr"/>
      <c r="Q2898" t="inlineStr">
        <is>
          <t>UKPN</t>
        </is>
      </c>
      <c r="R2898" t="b">
        <v>0</v>
      </c>
    </row>
    <row r="2899">
      <c r="A2899" t="inlineStr">
        <is>
          <t>26 Jan 2026 / Joe Sauvage / Utilities / SSE</t>
        </is>
      </c>
      <c r="B2899" t="inlineStr">
        <is>
          <t>Utilities</t>
        </is>
      </c>
      <c r="C2899" t="inlineStr">
        <is>
          <t>SSE</t>
        </is>
      </c>
      <c r="D2899" t="inlineStr">
        <is>
          <t>AK70TBV , Car - Electric , Tesla , Model 3 Long Range AWD</t>
        </is>
      </c>
      <c r="E2899" t="inlineStr">
        <is>
          <t>AK70TBV , Car - Electric , Tesla , Model 3 Long Range AWD</t>
        </is>
      </c>
      <c r="F2899" t="inlineStr">
        <is>
          <t>AK70TBV , Car - Electric , Tesla , Model 3 Long Range AWD</t>
        </is>
      </c>
      <c r="G2899" t="inlineStr">
        <is>
          <t xml:space="preserve">Joe Sauvage </t>
        </is>
      </c>
      <c r="H2899" t="inlineStr">
        <is>
          <t>Car - Electric (GC Owned)</t>
        </is>
      </c>
      <c r="I2899" t="inlineStr">
        <is>
          <t>Daily/ Weekly Vehicle Inspection</t>
        </is>
      </c>
      <c r="J2899" t="inlineStr">
        <is>
          <t>N/A</t>
        </is>
      </c>
      <c r="K2899" t="inlineStr">
        <is>
          <t>Joe Sauvage</t>
        </is>
      </c>
      <c r="L2899" t="inlineStr">
        <is>
          <t>26/01/2026 11:06</t>
        </is>
      </c>
      <c r="M2899" t="inlineStr">
        <is>
          <t>None</t>
        </is>
      </c>
      <c r="N2899" t="inlineStr">
        <is>
          <t>&lt;p&gt;&lt;/p&gt;</t>
        </is>
      </c>
      <c r="O2899" t="inlineStr"/>
      <c r="P2899" t="inlineStr">
        <is>
          <t>AK70TBV , Car - Electric , Tesla , Model 3 Long Range AWD</t>
        </is>
      </c>
      <c r="Q2899" t="inlineStr">
        <is>
          <t>SSE</t>
        </is>
      </c>
      <c r="R2899" t="b">
        <v>0</v>
      </c>
    </row>
    <row r="2900">
      <c r="A2900" t="inlineStr">
        <is>
          <t>26 Jan 2026 / Richard Moses / Utilities / NGED</t>
        </is>
      </c>
      <c r="B2900" t="inlineStr">
        <is>
          <t>Utilities</t>
        </is>
      </c>
      <c r="C2900" t="inlineStr">
        <is>
          <t>NGED</t>
        </is>
      </c>
      <c r="D2900" t="inlineStr">
        <is>
          <t>AK23YLM , Car - Electric , Tesla , Model Y Long Range</t>
        </is>
      </c>
      <c r="E2900" t="inlineStr">
        <is>
          <t>AK23YLM , Car - Electric , Tesla , Model Y Long Range</t>
        </is>
      </c>
      <c r="F2900" t="inlineStr">
        <is>
          <t>AK23YLM , Car - Electric , Tesla , Model Y Long Range</t>
        </is>
      </c>
      <c r="G2900" t="inlineStr">
        <is>
          <t>Moses</t>
        </is>
      </c>
      <c r="H2900" t="inlineStr">
        <is>
          <t>Car - Electric (GC Owned)</t>
        </is>
      </c>
      <c r="I2900" t="inlineStr">
        <is>
          <t>Daily/ Weekly Vehicle Inspection</t>
        </is>
      </c>
      <c r="J2900" t="inlineStr">
        <is>
          <t>N/A</t>
        </is>
      </c>
      <c r="K2900" t="inlineStr">
        <is>
          <t>Richard Moses</t>
        </is>
      </c>
      <c r="L2900" t="inlineStr">
        <is>
          <t>26/01/2026 12:00</t>
        </is>
      </c>
      <c r="M2900" t="inlineStr">
        <is>
          <t>None</t>
        </is>
      </c>
      <c r="N2900" t="inlineStr">
        <is>
          <t>&lt;p&gt;&lt;/p&gt;</t>
        </is>
      </c>
      <c r="O2900" t="inlineStr"/>
      <c r="P2900" t="inlineStr">
        <is>
          <t>AK23YLM , Car - Electric , Tesla , Model Y Long Range</t>
        </is>
      </c>
      <c r="Q2900" t="inlineStr">
        <is>
          <t>NGED</t>
        </is>
      </c>
      <c r="R2900" t="b">
        <v>0</v>
      </c>
    </row>
    <row r="2901">
      <c r="A2901" t="inlineStr">
        <is>
          <t>27 Jan 2026 / Thomas Playford / Utilities / UKPN</t>
        </is>
      </c>
      <c r="B2901" t="inlineStr">
        <is>
          <t>Utilities</t>
        </is>
      </c>
      <c r="C2901" t="inlineStr">
        <is>
          <t>UKPN</t>
        </is>
      </c>
      <c r="D2901" t="inlineStr">
        <is>
          <t>WM72UNF , 4x4 , Ford , Ranger</t>
        </is>
      </c>
      <c r="E2901" t="inlineStr">
        <is>
          <t>WM72UNF , 4x4 , Ford , Ranger</t>
        </is>
      </c>
      <c r="F2901" t="inlineStr">
        <is>
          <t>WM72UNF , 4x4 , Ford , Ranger</t>
        </is>
      </c>
      <c r="G2901" t="inlineStr">
        <is>
          <t>Jacob Oram</t>
        </is>
      </c>
      <c r="H2901" t="inlineStr">
        <is>
          <t>4x4</t>
        </is>
      </c>
      <c r="I2901" t="inlineStr">
        <is>
          <t>Daily/ Weekly Vehicle Inspection</t>
        </is>
      </c>
      <c r="J2901" t="inlineStr">
        <is>
          <t>N/A</t>
        </is>
      </c>
      <c r="K2901" t="inlineStr">
        <is>
          <t>7995 Green Net Eco Ltd 2</t>
        </is>
      </c>
      <c r="L2901" t="inlineStr">
        <is>
          <t>27/01/2026 08:00</t>
        </is>
      </c>
      <c r="M2901" t="inlineStr">
        <is>
          <t>None</t>
        </is>
      </c>
      <c r="N2901" t="inlineStr">
        <is>
          <t>&lt;p&gt;&lt;/p&gt;</t>
        </is>
      </c>
      <c r="O2901" t="inlineStr"/>
      <c r="P2901" t="inlineStr">
        <is>
          <t>WM72UNF , 4x4 , Ford , Ranger</t>
        </is>
      </c>
      <c r="Q2901" t="inlineStr">
        <is>
          <t>UKPN</t>
        </is>
      </c>
      <c r="R2901" t="b">
        <v>0</v>
      </c>
    </row>
    <row r="2902">
      <c r="A2902" t="inlineStr">
        <is>
          <t>27 Jan 2026 / Thomas Playford / Utilities / UKPN</t>
        </is>
      </c>
      <c r="B2902" t="inlineStr">
        <is>
          <t>Utilities</t>
        </is>
      </c>
      <c r="C2902" t="inlineStr">
        <is>
          <t>UKPN</t>
        </is>
      </c>
      <c r="D2902" t="inlineStr">
        <is>
          <t>SA9ST800000283944 , Towed Chipper , Forst , ST8D - Towed</t>
        </is>
      </c>
      <c r="E2902" t="inlineStr">
        <is>
          <t>SA9ST800000283944 , Towed Chipper , Forst , ST8D - Towed</t>
        </is>
      </c>
      <c r="F2902" t="inlineStr">
        <is>
          <t>SA9ST800000283944 , Towed Chipper , Forst , ST8D - Towed</t>
        </is>
      </c>
      <c r="G2902" t="inlineStr">
        <is>
          <t>Thomas Playford</t>
        </is>
      </c>
      <c r="H2902" t="inlineStr">
        <is>
          <t>Towed Chipper</t>
        </is>
      </c>
      <c r="I2902" t="inlineStr">
        <is>
          <t>Daily/ Weekly Vehicle Inspection</t>
        </is>
      </c>
      <c r="J2902" t="inlineStr">
        <is>
          <t>N/A</t>
        </is>
      </c>
      <c r="K2902" t="inlineStr">
        <is>
          <t>7995 Green Net Eco Ltd 2</t>
        </is>
      </c>
      <c r="L2902" t="inlineStr">
        <is>
          <t>27/01/2026 08:01</t>
        </is>
      </c>
      <c r="M2902" t="inlineStr">
        <is>
          <t>None</t>
        </is>
      </c>
      <c r="N2902" t="inlineStr">
        <is>
          <t>&lt;p&gt;&lt;/p&gt;</t>
        </is>
      </c>
      <c r="O2902" t="inlineStr"/>
      <c r="P2902" t="inlineStr">
        <is>
          <t>SA9ST800000283944 , Towed Chipper , Forst , ST8D - Towed</t>
        </is>
      </c>
      <c r="Q2902" t="inlineStr">
        <is>
          <t>UKPN</t>
        </is>
      </c>
      <c r="R2902" t="b">
        <v>0</v>
      </c>
    </row>
    <row r="2903">
      <c r="A2903" t="inlineStr">
        <is>
          <t>27 Jan 2026 / Thomas Playford / Utilities / UKPN</t>
        </is>
      </c>
      <c r="B2903" t="inlineStr">
        <is>
          <t>Utilities</t>
        </is>
      </c>
      <c r="C2903" t="inlineStr">
        <is>
          <t>UKPN</t>
        </is>
      </c>
      <c r="D2903" t="inlineStr">
        <is>
          <t>X21TNP , 4x4 , Toyota , Hilux</t>
        </is>
      </c>
      <c r="E2903" t="inlineStr">
        <is>
          <t>X21TNP , 4x4 , Toyota , Hilux</t>
        </is>
      </c>
      <c r="F2903" t="inlineStr">
        <is>
          <t>X21TNP , 4x4 , Toyota , Hilux</t>
        </is>
      </c>
      <c r="G2903" t="inlineStr">
        <is>
          <t>Thomas Playford</t>
        </is>
      </c>
      <c r="H2903" t="inlineStr">
        <is>
          <t>4x4</t>
        </is>
      </c>
      <c r="I2903" t="inlineStr">
        <is>
          <t>Daily/ Weekly Vehicle Inspection</t>
        </is>
      </c>
      <c r="J2903" t="inlineStr">
        <is>
          <t>N/A</t>
        </is>
      </c>
      <c r="K2903" t="inlineStr">
        <is>
          <t>7995 Green Net Eco Ltd 2</t>
        </is>
      </c>
      <c r="L2903" t="inlineStr">
        <is>
          <t>27/01/2026 08:02</t>
        </is>
      </c>
      <c r="M2903" t="inlineStr">
        <is>
          <t>None</t>
        </is>
      </c>
      <c r="N2903" t="inlineStr">
        <is>
          <t>&lt;p&gt;&lt;/p&gt;</t>
        </is>
      </c>
      <c r="O2903" t="inlineStr"/>
      <c r="P2903" t="inlineStr">
        <is>
          <t>X21TNP , 4x4 , Toyota , Hilux</t>
        </is>
      </c>
      <c r="Q2903" t="inlineStr">
        <is>
          <t>UKPN</t>
        </is>
      </c>
      <c r="R2903" t="b">
        <v>0</v>
      </c>
    </row>
    <row r="2904">
      <c r="A2904" t="inlineStr">
        <is>
          <t>27 Jan 2026 / 7951 Austin Tree Care LTD / Utilities / UKPN</t>
        </is>
      </c>
      <c r="B2904" t="inlineStr">
        <is>
          <t>Utilities</t>
        </is>
      </c>
      <c r="C2904" t="inlineStr">
        <is>
          <t>UKPN</t>
        </is>
      </c>
      <c r="D2904" t="inlineStr">
        <is>
          <t>SA9ST6P0001283612 , Towed Chipper , Forst , ST6p</t>
        </is>
      </c>
      <c r="E2904" t="inlineStr">
        <is>
          <t>SA9ST6P0001283612 , Towed Chipper , Forst , ST6p</t>
        </is>
      </c>
      <c r="F2904" t="inlineStr">
        <is>
          <t>SA9ST6P0001283612 , Towed Chipper , Forst , ST6p</t>
        </is>
      </c>
      <c r="G2904" t="inlineStr">
        <is>
          <t xml:space="preserve">Jack Austin </t>
        </is>
      </c>
      <c r="H2904" t="inlineStr">
        <is>
          <t>Towed Chipper</t>
        </is>
      </c>
      <c r="I2904" t="inlineStr">
        <is>
          <t>Daily/ Weekly Vehicle Inspection</t>
        </is>
      </c>
      <c r="J2904" t="inlineStr">
        <is>
          <t>N/A</t>
        </is>
      </c>
      <c r="K2904" t="inlineStr">
        <is>
          <t>7951 Austin Tree Care LTD</t>
        </is>
      </c>
      <c r="L2904" t="inlineStr">
        <is>
          <t>27/01/2026 08:03</t>
        </is>
      </c>
      <c r="M2904" t="inlineStr">
        <is>
          <t>None</t>
        </is>
      </c>
      <c r="N2904" t="inlineStr">
        <is>
          <t>&lt;p&gt;&lt;/p&gt;</t>
        </is>
      </c>
      <c r="O2904" t="inlineStr"/>
      <c r="P2904" t="inlineStr">
        <is>
          <t>SA9ST6P0001283612 , Towed Chipper , Forst , ST6p</t>
        </is>
      </c>
      <c r="Q2904" t="inlineStr">
        <is>
          <t>UKPN</t>
        </is>
      </c>
      <c r="R2904" t="b">
        <v>0</v>
      </c>
    </row>
    <row r="2905">
      <c r="A2905" t="inlineStr">
        <is>
          <t>27 Jan 2026 / 7951 Austin Tree Care LTD / Utilities / UKPN</t>
        </is>
      </c>
      <c r="B2905" t="inlineStr">
        <is>
          <t>Utilities</t>
        </is>
      </c>
      <c r="C2905" t="inlineStr">
        <is>
          <t>UKPN</t>
        </is>
      </c>
      <c r="D2905" t="inlineStr">
        <is>
          <t>GL15WYB , Petrol Vehicle , Ford , Focus</t>
        </is>
      </c>
      <c r="E2905" t="inlineStr">
        <is>
          <t>GL15WYB , Petrol Vehicle , Ford , Focus</t>
        </is>
      </c>
      <c r="F2905" t="inlineStr">
        <is>
          <t>GL15WYB , Petrol Vehicle , Ford , Focus</t>
        </is>
      </c>
      <c r="G2905" t="inlineStr">
        <is>
          <t>Jack Austin</t>
        </is>
      </c>
      <c r="H2905" t="inlineStr">
        <is>
          <t>Tipper</t>
        </is>
      </c>
      <c r="I2905" t="inlineStr">
        <is>
          <t>Daily/ Weekly Vehicle Inspection</t>
        </is>
      </c>
      <c r="J2905" t="inlineStr">
        <is>
          <t>N/A</t>
        </is>
      </c>
      <c r="K2905" t="inlineStr">
        <is>
          <t>7951 Austin Tree Care LTD</t>
        </is>
      </c>
      <c r="L2905" t="inlineStr">
        <is>
          <t>27/01/2026 08:04</t>
        </is>
      </c>
      <c r="M2905" t="inlineStr">
        <is>
          <t>None</t>
        </is>
      </c>
      <c r="N2905" t="inlineStr">
        <is>
          <t>&lt;p&gt;&lt;/p&gt;</t>
        </is>
      </c>
      <c r="O2905" t="inlineStr"/>
      <c r="P2905" t="inlineStr">
        <is>
          <t>GL15WYB , Petrol Vehicle , Ford , Focus</t>
        </is>
      </c>
      <c r="Q2905" t="inlineStr">
        <is>
          <t>UKPN</t>
        </is>
      </c>
      <c r="R2905" t="b">
        <v>0</v>
      </c>
    </row>
    <row r="2906">
      <c r="A2906" t="inlineStr">
        <is>
          <t>27 Jan 2026 / 7186 Eastwoodbury Tree Services Ltd / Utilities / UKPN</t>
        </is>
      </c>
      <c r="B2906" t="inlineStr">
        <is>
          <t>Utilities</t>
        </is>
      </c>
      <c r="C2906" t="inlineStr">
        <is>
          <t>UKPN</t>
        </is>
      </c>
      <c r="D2906" t="inlineStr">
        <is>
          <t>WF13 EKT , 4x4 , Land rover  , Defender</t>
        </is>
      </c>
      <c r="E2906" t="inlineStr">
        <is>
          <t>WF13 EKT , 4x4 , Land rover  , Defender</t>
        </is>
      </c>
      <c r="F2906" t="inlineStr">
        <is>
          <t>WF13 EKT , 4x4 , Land rover  , Defender</t>
        </is>
      </c>
      <c r="G2906" t="inlineStr">
        <is>
          <t xml:space="preserve">Dan Gilbert </t>
        </is>
      </c>
      <c r="H2906" t="inlineStr">
        <is>
          <t>4x4</t>
        </is>
      </c>
      <c r="I2906" t="inlineStr">
        <is>
          <t>Daily/ Weekly Vehicle Inspection</t>
        </is>
      </c>
      <c r="J2906" t="inlineStr">
        <is>
          <t>N/A</t>
        </is>
      </c>
      <c r="K2906" t="inlineStr">
        <is>
          <t>7186 Eastwoodbury Tree Services Ltd</t>
        </is>
      </c>
      <c r="L2906" t="inlineStr">
        <is>
          <t>27/01/2026 08:05</t>
        </is>
      </c>
      <c r="M2906" t="inlineStr">
        <is>
          <t>None</t>
        </is>
      </c>
      <c r="N2906" t="inlineStr">
        <is>
          <t>&lt;p&gt;&lt;/p&gt;</t>
        </is>
      </c>
      <c r="O2906" t="inlineStr"/>
      <c r="P2906" t="inlineStr">
        <is>
          <t>WF13 EKT , 4x4 , Land rover  , Defender</t>
        </is>
      </c>
      <c r="Q2906" t="inlineStr">
        <is>
          <t>UKPN</t>
        </is>
      </c>
      <c r="R2906" t="b">
        <v>0</v>
      </c>
    </row>
    <row r="2907">
      <c r="A2907" t="inlineStr">
        <is>
          <t>27 Jan 2026 / 7806 Optimum Tree Services Ltd / Utilities / UKPN</t>
        </is>
      </c>
      <c r="B2907" t="inlineStr">
        <is>
          <t>Utilities</t>
        </is>
      </c>
      <c r="C2907" t="inlineStr">
        <is>
          <t>UKPN</t>
        </is>
      </c>
      <c r="D2907" t="inlineStr">
        <is>
          <t>SA9TAPLAF27414263 , Trailer , Tow Mate , Plant Trailer</t>
        </is>
      </c>
      <c r="E2907" t="inlineStr">
        <is>
          <t>SA9TAPLAF27414263 , Trailer , Tow Mate , Plant Trailer</t>
        </is>
      </c>
      <c r="F2907" t="inlineStr">
        <is>
          <t>SA9TAPLAF27414263 , Trailer , Tow Mate , Plant Trailer</t>
        </is>
      </c>
      <c r="G2907" t="inlineStr">
        <is>
          <t xml:space="preserve">Abraham Davies </t>
        </is>
      </c>
      <c r="H2907" t="inlineStr">
        <is>
          <t>Plant Trailer</t>
        </is>
      </c>
      <c r="I2907" t="inlineStr">
        <is>
          <t>Daily/ Weekly Vehicle Inspection</t>
        </is>
      </c>
      <c r="J2907" t="inlineStr">
        <is>
          <t>N/A</t>
        </is>
      </c>
      <c r="K2907" t="inlineStr">
        <is>
          <t>7806 Optimum Tree Services Ltd</t>
        </is>
      </c>
      <c r="L2907" t="inlineStr">
        <is>
          <t>27/01/2026 08:05</t>
        </is>
      </c>
      <c r="M2907" t="inlineStr">
        <is>
          <t>None</t>
        </is>
      </c>
      <c r="N2907" t="inlineStr">
        <is>
          <t>&lt;p&gt;&lt;/p&gt;</t>
        </is>
      </c>
      <c r="O2907" t="inlineStr"/>
      <c r="P2907" t="inlineStr">
        <is>
          <t>SA9TAPLAF27414263 , Trailer , Tow Mate , Plant Trailer</t>
        </is>
      </c>
      <c r="Q2907" t="inlineStr">
        <is>
          <t>UKPN</t>
        </is>
      </c>
      <c r="R2907" t="b">
        <v>0</v>
      </c>
    </row>
    <row r="2908">
      <c r="A2908" t="inlineStr">
        <is>
          <t>27 Jan 2026 / 7186 Eastwoodbury Tree Services Ltd / Utilities / UKPN</t>
        </is>
      </c>
      <c r="B2908" t="inlineStr">
        <is>
          <t>Utilities</t>
        </is>
      </c>
      <c r="C2908" t="inlineStr">
        <is>
          <t>UKPN</t>
        </is>
      </c>
      <c r="D2908" t="inlineStr">
        <is>
          <t>FX14 XCV , 4x4 , Land Rover  , Defender</t>
        </is>
      </c>
      <c r="E2908" t="inlineStr">
        <is>
          <t>FX14 XCV , 4x4 , Land Rover  , Defender</t>
        </is>
      </c>
      <c r="F2908" t="inlineStr">
        <is>
          <t>FX14 XCV , 4x4 , Land Rover  , Defender</t>
        </is>
      </c>
      <c r="G2908" t="inlineStr">
        <is>
          <t xml:space="preserve">Tom price </t>
        </is>
      </c>
      <c r="H2908" t="inlineStr">
        <is>
          <t>4x4</t>
        </is>
      </c>
      <c r="I2908" t="inlineStr">
        <is>
          <t>Daily/ Weekly Vehicle Inspection</t>
        </is>
      </c>
      <c r="J2908" t="inlineStr">
        <is>
          <t>N/A</t>
        </is>
      </c>
      <c r="K2908" t="inlineStr">
        <is>
          <t>7186 Eastwoodbury Tree Services Ltd</t>
        </is>
      </c>
      <c r="L2908" t="inlineStr">
        <is>
          <t>27/01/2026 08:06</t>
        </is>
      </c>
      <c r="M2908" t="inlineStr">
        <is>
          <t>None</t>
        </is>
      </c>
      <c r="N2908" t="inlineStr">
        <is>
          <t>&lt;p&gt;&lt;/p&gt;</t>
        </is>
      </c>
      <c r="O2908" t="inlineStr"/>
      <c r="P2908" t="inlineStr">
        <is>
          <t>FX14 XCV , 4x4 , Land Rover  , Defender</t>
        </is>
      </c>
      <c r="Q2908" t="inlineStr">
        <is>
          <t>UKPN</t>
        </is>
      </c>
      <c r="R2908" t="b">
        <v>0</v>
      </c>
    </row>
    <row r="2909">
      <c r="A2909" t="inlineStr">
        <is>
          <t>27 Jan 2026 / 7806 Optimum Tree Services Ltd / Utilities / UKPN</t>
        </is>
      </c>
      <c r="B2909" t="inlineStr">
        <is>
          <t>Utilities</t>
        </is>
      </c>
      <c r="C2909" t="inlineStr">
        <is>
          <t>UKPN</t>
        </is>
      </c>
      <c r="D2909" t="inlineStr">
        <is>
          <t>NA10SYZ , Tipper , Ford , Transit</t>
        </is>
      </c>
      <c r="E2909" t="inlineStr">
        <is>
          <t>NA10SYZ , Tipper , Ford , Transit</t>
        </is>
      </c>
      <c r="F2909" t="inlineStr">
        <is>
          <t>NA10SYZ , Tipper , Ford , Transit</t>
        </is>
      </c>
      <c r="G2909" t="inlineStr">
        <is>
          <t xml:space="preserve">Abraham Davies </t>
        </is>
      </c>
      <c r="H2909" t="inlineStr">
        <is>
          <t>Tipper</t>
        </is>
      </c>
      <c r="I2909" t="inlineStr">
        <is>
          <t>Daily/ Weekly Vehicle Inspection</t>
        </is>
      </c>
      <c r="J2909" t="inlineStr">
        <is>
          <t>N/A</t>
        </is>
      </c>
      <c r="K2909" t="inlineStr">
        <is>
          <t>7806 Optimum Tree Services Ltd</t>
        </is>
      </c>
      <c r="L2909" t="inlineStr">
        <is>
          <t>27/01/2026 08:07</t>
        </is>
      </c>
      <c r="M2909" t="inlineStr">
        <is>
          <t>None</t>
        </is>
      </c>
      <c r="N2909" t="inlineStr">
        <is>
          <t>&lt;p&gt;&lt;/p&gt;</t>
        </is>
      </c>
      <c r="O2909" t="inlineStr"/>
      <c r="P2909" t="inlineStr">
        <is>
          <t>NA10SYZ , Tipper , Ford , Transit</t>
        </is>
      </c>
      <c r="Q2909" t="inlineStr">
        <is>
          <t>UKPN</t>
        </is>
      </c>
      <c r="R2909" t="b">
        <v>0</v>
      </c>
    </row>
    <row r="2910">
      <c r="A2910" t="inlineStr">
        <is>
          <t>27 Jan 2026 / 8040 S6 Tree specialists Ltd / Utilities / UKPN</t>
        </is>
      </c>
      <c r="B2910" t="inlineStr">
        <is>
          <t>Utilities</t>
        </is>
      </c>
      <c r="C2910" t="inlineStr">
        <is>
          <t>UKPN</t>
        </is>
      </c>
      <c r="D2910" t="inlineStr"/>
      <c r="E2910" t="inlineStr"/>
      <c r="F2910" t="inlineStr"/>
      <c r="G2910" t="inlineStr"/>
      <c r="H2910" t="inlineStr"/>
      <c r="I2910" t="inlineStr">
        <is>
          <t>Add to Vehicle to the GC Vehicle List</t>
        </is>
      </c>
      <c r="J2910" t="inlineStr">
        <is>
          <t>N/A</t>
        </is>
      </c>
      <c r="K2910" t="inlineStr">
        <is>
          <t>8040 S6 Tree specialists Ltd</t>
        </is>
      </c>
      <c r="L2910" t="inlineStr">
        <is>
          <t>27/01/2026 08:07</t>
        </is>
      </c>
      <c r="M2910" t="inlineStr">
        <is>
          <t>None</t>
        </is>
      </c>
      <c r="N2910" t="inlineStr">
        <is>
          <t>&lt;p&gt;&lt;/p&gt;</t>
        </is>
      </c>
      <c r="O2910" t="inlineStr">
        <is>
          <t>Registration Number:All different</t>
        </is>
      </c>
      <c r="P2910" t="inlineStr"/>
      <c r="Q2910" t="inlineStr">
        <is>
          <t>UKPN</t>
        </is>
      </c>
      <c r="R2910" t="b">
        <v>0</v>
      </c>
    </row>
    <row r="2911">
      <c r="A2911" t="inlineStr">
        <is>
          <t>27 Jan 2026 / 8040 S6 Tree specialists Ltd / Utilities / UKPN</t>
        </is>
      </c>
      <c r="B2911" t="inlineStr">
        <is>
          <t>Utilities</t>
        </is>
      </c>
      <c r="C2911" t="inlineStr">
        <is>
          <t>UKPN</t>
        </is>
      </c>
      <c r="D2911" t="inlineStr"/>
      <c r="E2911" t="inlineStr"/>
      <c r="F2911" t="inlineStr"/>
      <c r="G2911" t="inlineStr"/>
      <c r="H2911" t="inlineStr"/>
      <c r="I2911" t="inlineStr">
        <is>
          <t>Add to Vehicle to the GC Vehicle List</t>
        </is>
      </c>
      <c r="J2911" t="inlineStr">
        <is>
          <t>N/A</t>
        </is>
      </c>
      <c r="K2911" t="inlineStr">
        <is>
          <t>8040 S6 Tree specialists Ltd</t>
        </is>
      </c>
      <c r="L2911" t="inlineStr">
        <is>
          <t>27/01/2026 08:08</t>
        </is>
      </c>
      <c r="M2911" t="inlineStr">
        <is>
          <t>None</t>
        </is>
      </c>
      <c r="N2911" t="inlineStr">
        <is>
          <t>&lt;p&gt;&lt;/p&gt;</t>
        </is>
      </c>
      <c r="O2911" t="inlineStr"/>
      <c r="P2911" t="inlineStr"/>
      <c r="Q2911" t="inlineStr">
        <is>
          <t>UKPN</t>
        </is>
      </c>
      <c r="R2911" t="b">
        <v>0</v>
      </c>
    </row>
    <row r="2912">
      <c r="A2912" t="inlineStr">
        <is>
          <t>27 Jan 2026 / Harry Bellis / Utilities / SSE</t>
        </is>
      </c>
      <c r="B2912" t="inlineStr">
        <is>
          <t>Utilities</t>
        </is>
      </c>
      <c r="C2912" t="inlineStr">
        <is>
          <t>SSE</t>
        </is>
      </c>
      <c r="D2912" t="inlineStr">
        <is>
          <t>EO73KUG , Car - Electric , Kia , Niro</t>
        </is>
      </c>
      <c r="E2912" t="inlineStr">
        <is>
          <t>EO73KUG , Car - Electric , Kia , Niro</t>
        </is>
      </c>
      <c r="F2912" t="inlineStr">
        <is>
          <t>EO73KUG , Car - Electric , Kia , Niro</t>
        </is>
      </c>
      <c r="G2912" t="inlineStr">
        <is>
          <t>Harry Bellis</t>
        </is>
      </c>
      <c r="H2912" t="inlineStr">
        <is>
          <t>Car - Electric (GC Owned)</t>
        </is>
      </c>
      <c r="I2912" t="inlineStr">
        <is>
          <t>Daily/ Weekly Vehicle Inspection</t>
        </is>
      </c>
      <c r="J2912" t="inlineStr">
        <is>
          <t>N/A</t>
        </is>
      </c>
      <c r="K2912" t="inlineStr">
        <is>
          <t>Harry Bellis</t>
        </is>
      </c>
      <c r="L2912" t="inlineStr">
        <is>
          <t>27/01/2026 09:01</t>
        </is>
      </c>
      <c r="M2912" t="inlineStr">
        <is>
          <t>None</t>
        </is>
      </c>
      <c r="N2912" t="inlineStr">
        <is>
          <t>&lt;p&gt;&lt;/p&gt;</t>
        </is>
      </c>
      <c r="O2912" t="inlineStr"/>
      <c r="P2912" t="inlineStr">
        <is>
          <t>EO73KUG , Car - Electric , Kia , Niro</t>
        </is>
      </c>
      <c r="Q2912" t="inlineStr">
        <is>
          <t>SSE</t>
        </is>
      </c>
      <c r="R2912" t="b">
        <v>0</v>
      </c>
    </row>
    <row r="2913">
      <c r="A2913" t="inlineStr">
        <is>
          <t>27 Jan 2026 / 3098 D &amp; R Landscapes / Utilities / UKPN</t>
        </is>
      </c>
      <c r="B2913" t="inlineStr">
        <is>
          <t>Utilities</t>
        </is>
      </c>
      <c r="C2913" t="inlineStr">
        <is>
          <t>UKPN</t>
        </is>
      </c>
      <c r="D2913" t="inlineStr">
        <is>
          <t>BT20 GNZ , Vehicle , Nissan , Navara</t>
        </is>
      </c>
      <c r="E2913" t="inlineStr">
        <is>
          <t>BT20 GNZ , Vehicle , Nissan , Navara</t>
        </is>
      </c>
      <c r="F2913" t="inlineStr">
        <is>
          <t>BT20 GNZ , Vehicle , Nissan , Navara</t>
        </is>
      </c>
      <c r="G2913" t="inlineStr">
        <is>
          <t>Jason</t>
        </is>
      </c>
      <c r="H2913" t="inlineStr">
        <is>
          <t>Pickup Truck</t>
        </is>
      </c>
      <c r="I2913" t="inlineStr">
        <is>
          <t>Daily/ Weekly Vehicle Inspection</t>
        </is>
      </c>
      <c r="J2913" t="inlineStr">
        <is>
          <t>N/A</t>
        </is>
      </c>
      <c r="K2913" t="inlineStr">
        <is>
          <t>3098 D &amp; R Landscapes</t>
        </is>
      </c>
      <c r="L2913" t="inlineStr">
        <is>
          <t>27/01/2026 10:02</t>
        </is>
      </c>
      <c r="M2913" t="inlineStr">
        <is>
          <t>None</t>
        </is>
      </c>
      <c r="N2913" t="inlineStr">
        <is>
          <t>&lt;p&gt;&lt;/p&gt;</t>
        </is>
      </c>
      <c r="O2913" t="inlineStr"/>
      <c r="P2913" t="inlineStr">
        <is>
          <t>BT20 GNZ , Vehicle , Nissan , Navara</t>
        </is>
      </c>
      <c r="Q2913" t="inlineStr">
        <is>
          <t>UKPN</t>
        </is>
      </c>
      <c r="R2913" t="b">
        <v>0</v>
      </c>
    </row>
    <row r="2914">
      <c r="A2914" t="inlineStr">
        <is>
          <t>27 Jan 2026 / 3098 D &amp; R Landscapes / Utilities / UKPN</t>
        </is>
      </c>
      <c r="B2914" t="inlineStr">
        <is>
          <t>Utilities</t>
        </is>
      </c>
      <c r="C2914" t="inlineStr">
        <is>
          <t>UKPN</t>
        </is>
      </c>
      <c r="D2914" t="inlineStr">
        <is>
          <t>DE68XHA , Tipper , Isuzu , Grafter</t>
        </is>
      </c>
      <c r="E2914" t="inlineStr">
        <is>
          <t>DE68XHA , Tipper , Isuzu , Grafter</t>
        </is>
      </c>
      <c r="F2914" t="inlineStr">
        <is>
          <t>DE68XHA , Tipper , Isuzu , Grafter</t>
        </is>
      </c>
      <c r="G2914" t="inlineStr">
        <is>
          <t xml:space="preserve">Chris </t>
        </is>
      </c>
      <c r="H2914" t="inlineStr">
        <is>
          <t>Tipper</t>
        </is>
      </c>
      <c r="I2914" t="inlineStr">
        <is>
          <t>Daily/ Weekly Vehicle Inspection</t>
        </is>
      </c>
      <c r="J2914" t="inlineStr">
        <is>
          <t>N/A</t>
        </is>
      </c>
      <c r="K2914" t="inlineStr">
        <is>
          <t>3098 D &amp; R Landscapes</t>
        </is>
      </c>
      <c r="L2914" t="inlineStr">
        <is>
          <t>27/01/2026 10:03</t>
        </is>
      </c>
      <c r="M2914" t="inlineStr">
        <is>
          <t>None</t>
        </is>
      </c>
      <c r="N2914" t="inlineStr">
        <is>
          <t>&lt;p&gt;&lt;/p&gt;</t>
        </is>
      </c>
      <c r="O2914" t="inlineStr"/>
      <c r="P2914" t="inlineStr">
        <is>
          <t>DE68XHA , Tipper , Isuzu , Grafter</t>
        </is>
      </c>
      <c r="Q2914" t="inlineStr">
        <is>
          <t>UKPN</t>
        </is>
      </c>
      <c r="R2914" t="b">
        <v>0</v>
      </c>
    </row>
    <row r="2915">
      <c r="A2915" t="inlineStr">
        <is>
          <t>27 Jan 2026 / Christopher Phillips / Utilities / NGED</t>
        </is>
      </c>
      <c r="B2915" t="inlineStr">
        <is>
          <t>Utilities</t>
        </is>
      </c>
      <c r="C2915" t="inlineStr">
        <is>
          <t>NGED</t>
        </is>
      </c>
      <c r="D2915" t="inlineStr">
        <is>
          <t>SK69XHC , Car - Electric , Tesla , Model 3 Performance AWD</t>
        </is>
      </c>
      <c r="E2915" t="inlineStr">
        <is>
          <t>SK69XHC , Car - Electric , Tesla , Model 3 Performance AWD</t>
        </is>
      </c>
      <c r="F2915" t="inlineStr">
        <is>
          <t>SK69XHC , Car - Electric , Tesla , Model 3 Performance AWD</t>
        </is>
      </c>
      <c r="G2915" t="inlineStr">
        <is>
          <t>Chris Phillips</t>
        </is>
      </c>
      <c r="H2915" t="inlineStr">
        <is>
          <t>Car - Electric (GC Owned)</t>
        </is>
      </c>
      <c r="I2915" t="inlineStr">
        <is>
          <t>Daily/ Weekly Vehicle Inspection</t>
        </is>
      </c>
      <c r="J2915" t="inlineStr">
        <is>
          <t>N/A</t>
        </is>
      </c>
      <c r="K2915" t="inlineStr">
        <is>
          <t>Christopher Phillips</t>
        </is>
      </c>
      <c r="L2915" t="inlineStr">
        <is>
          <t>27/01/2026 11:01</t>
        </is>
      </c>
      <c r="M2915" t="inlineStr">
        <is>
          <t>None</t>
        </is>
      </c>
      <c r="N2915" t="inlineStr">
        <is>
          <t>&lt;p&gt;&lt;/p&gt;</t>
        </is>
      </c>
      <c r="O2915" t="inlineStr"/>
      <c r="P2915" t="inlineStr">
        <is>
          <t>SK69XHC , Car - Electric , Tesla , Model 3 Performance AWD</t>
        </is>
      </c>
      <c r="Q2915" t="inlineStr">
        <is>
          <t>NGED</t>
        </is>
      </c>
      <c r="R2915" t="b">
        <v>0</v>
      </c>
    </row>
    <row r="2916">
      <c r="A2916" t="inlineStr">
        <is>
          <t>27 Jan 2026 / Thomas Nandi / Utilities / SSE</t>
        </is>
      </c>
      <c r="B2916" t="inlineStr">
        <is>
          <t>Utilities</t>
        </is>
      </c>
      <c r="C2916" t="inlineStr">
        <is>
          <t>SSE</t>
        </is>
      </c>
      <c r="D2916" t="inlineStr"/>
      <c r="E2916" t="inlineStr"/>
      <c r="F2916" t="inlineStr"/>
      <c r="G2916" t="inlineStr">
        <is>
          <t xml:space="preserve">Tom Nandi </t>
        </is>
      </c>
      <c r="H2916" t="inlineStr">
        <is>
          <t>Car - Petrol</t>
        </is>
      </c>
      <c r="I2916" t="inlineStr">
        <is>
          <t>Daily/ Weekly Vehicle Inspection</t>
        </is>
      </c>
      <c r="J2916" t="inlineStr">
        <is>
          <t>N/A</t>
        </is>
      </c>
      <c r="K2916" t="inlineStr">
        <is>
          <t>Thomas Nandi</t>
        </is>
      </c>
      <c r="L2916" t="inlineStr">
        <is>
          <t>27/01/2026 12:01</t>
        </is>
      </c>
      <c r="M2916" t="inlineStr">
        <is>
          <t>None</t>
        </is>
      </c>
      <c r="N2916" t="inlineStr">
        <is>
          <t>&lt;p&gt;&lt;/p&gt;</t>
        </is>
      </c>
      <c r="O2916" t="inlineStr"/>
      <c r="P2916" t="inlineStr"/>
      <c r="Q2916" t="inlineStr">
        <is>
          <t>SSE</t>
        </is>
      </c>
      <c r="R2916" t="b">
        <v>0</v>
      </c>
    </row>
    <row r="2917">
      <c r="A2917" t="inlineStr">
        <is>
          <t>27 Jan 2026 / Keil Cheung / Utilities / NGED</t>
        </is>
      </c>
      <c r="B2917" t="inlineStr">
        <is>
          <t>Utilities</t>
        </is>
      </c>
      <c r="C2917" t="inlineStr">
        <is>
          <t>NGED</t>
        </is>
      </c>
      <c r="D2917" t="inlineStr"/>
      <c r="E2917" t="inlineStr"/>
      <c r="F2917" t="inlineStr"/>
      <c r="G2917" t="inlineStr">
        <is>
          <t>Keil cheung</t>
        </is>
      </c>
      <c r="H2917" t="inlineStr">
        <is>
          <t>Car - Petrol</t>
        </is>
      </c>
      <c r="I2917" t="inlineStr">
        <is>
          <t>Daily/ Weekly Vehicle Inspection</t>
        </is>
      </c>
      <c r="J2917" t="inlineStr">
        <is>
          <t>N/A</t>
        </is>
      </c>
      <c r="K2917" t="inlineStr">
        <is>
          <t>Keil Cheung</t>
        </is>
      </c>
      <c r="L2917" t="inlineStr">
        <is>
          <t>27/01/2026 18:00</t>
        </is>
      </c>
      <c r="M2917" t="inlineStr">
        <is>
          <t>None</t>
        </is>
      </c>
      <c r="N2917" t="inlineStr">
        <is>
          <t>&lt;p&gt;&lt;/p&gt;</t>
        </is>
      </c>
      <c r="O2917" t="inlineStr"/>
      <c r="P2917" t="inlineStr"/>
      <c r="Q2917" t="inlineStr">
        <is>
          <t>NGED</t>
        </is>
      </c>
      <c r="R2917" t="b">
        <v>0</v>
      </c>
    </row>
    <row r="2918">
      <c r="A2918" t="inlineStr">
        <is>
          <t>27 Jan 2026 / 8040 S6 Tree specialists Ltd / Utilities / UKPN</t>
        </is>
      </c>
      <c r="B2918" t="inlineStr">
        <is>
          <t>Utilities</t>
        </is>
      </c>
      <c r="C2918" t="inlineStr">
        <is>
          <t>UKPN</t>
        </is>
      </c>
      <c r="D2918" t="inlineStr"/>
      <c r="E2918" t="inlineStr"/>
      <c r="F2918" t="inlineStr"/>
      <c r="G2918" t="inlineStr"/>
      <c r="H2918" t="inlineStr"/>
      <c r="I2918" t="inlineStr">
        <is>
          <t>Add to Vehicle to the GC Vehicle List</t>
        </is>
      </c>
      <c r="J2918" t="inlineStr">
        <is>
          <t>N/A</t>
        </is>
      </c>
      <c r="K2918" t="inlineStr">
        <is>
          <t>8040 S6 Tree specialists Ltd</t>
        </is>
      </c>
      <c r="L2918" t="inlineStr">
        <is>
          <t>27/01/2026 21:00</t>
        </is>
      </c>
      <c r="M2918" t="inlineStr">
        <is>
          <t>None</t>
        </is>
      </c>
      <c r="N2918" t="inlineStr">
        <is>
          <t>&lt;p&gt;&lt;/p&gt;</t>
        </is>
      </c>
      <c r="O2918" t="inlineStr">
        <is>
          <t>Registration Number:All different</t>
        </is>
      </c>
      <c r="P2918" t="inlineStr"/>
      <c r="Q2918" t="inlineStr">
        <is>
          <t>UKPN</t>
        </is>
      </c>
      <c r="R2918" t="b">
        <v>0</v>
      </c>
    </row>
    <row r="2919">
      <c r="A2919" t="inlineStr">
        <is>
          <t>27 Jan 2026 / 8040 S6 Tree specialists Ltd / Utilities / UKPN</t>
        </is>
      </c>
      <c r="B2919" t="inlineStr">
        <is>
          <t>Utilities</t>
        </is>
      </c>
      <c r="C2919" t="inlineStr">
        <is>
          <t>UKPN</t>
        </is>
      </c>
      <c r="D2919" t="inlineStr"/>
      <c r="E2919" t="inlineStr"/>
      <c r="F2919" t="inlineStr"/>
      <c r="G2919" t="inlineStr"/>
      <c r="H2919" t="inlineStr"/>
      <c r="I2919" t="inlineStr">
        <is>
          <t>Add to Vehicle to the GC Vehicle List</t>
        </is>
      </c>
      <c r="J2919" t="inlineStr">
        <is>
          <t>N/A</t>
        </is>
      </c>
      <c r="K2919" t="inlineStr">
        <is>
          <t>8040 S6 Tree specialists Ltd</t>
        </is>
      </c>
      <c r="L2919" t="inlineStr">
        <is>
          <t>28/01/2026 07:01</t>
        </is>
      </c>
      <c r="M2919" t="inlineStr">
        <is>
          <t>None</t>
        </is>
      </c>
      <c r="N2919" t="inlineStr">
        <is>
          <t>&lt;p&gt;&lt;/p&gt;</t>
        </is>
      </c>
      <c r="O2919" t="inlineStr"/>
      <c r="P2919" t="inlineStr"/>
      <c r="Q2919" t="inlineStr">
        <is>
          <t>UKPN</t>
        </is>
      </c>
      <c r="R2919" t="b">
        <v>0</v>
      </c>
    </row>
    <row r="2920">
      <c r="A2920" t="inlineStr">
        <is>
          <t>28 Jan 2026 / Thomas Playford / Utilities / UKPN</t>
        </is>
      </c>
      <c r="B2920" t="inlineStr">
        <is>
          <t>Utilities</t>
        </is>
      </c>
      <c r="C2920" t="inlineStr">
        <is>
          <t>UKPN</t>
        </is>
      </c>
      <c r="D2920" t="inlineStr">
        <is>
          <t>SA9ST800000283944 , Towed Chipper , Forst , ST8D - Towed</t>
        </is>
      </c>
      <c r="E2920" t="inlineStr">
        <is>
          <t>SA9ST800000283944 , Towed Chipper , Forst , ST8D - Towed</t>
        </is>
      </c>
      <c r="F2920" t="inlineStr">
        <is>
          <t>SA9ST800000283944 , Towed Chipper , Forst , ST8D - Towed</t>
        </is>
      </c>
      <c r="G2920" t="inlineStr">
        <is>
          <t>Jacob Oram</t>
        </is>
      </c>
      <c r="H2920" t="inlineStr">
        <is>
          <t>Towed Chipper</t>
        </is>
      </c>
      <c r="I2920" t="inlineStr">
        <is>
          <t>Daily/ Weekly Vehicle Inspection</t>
        </is>
      </c>
      <c r="J2920" t="inlineStr">
        <is>
          <t>N/A</t>
        </is>
      </c>
      <c r="K2920" t="inlineStr">
        <is>
          <t>7995 Green Net Eco Ltd 2</t>
        </is>
      </c>
      <c r="L2920" t="inlineStr">
        <is>
          <t>28/01/2026 08:00</t>
        </is>
      </c>
      <c r="M2920" t="inlineStr">
        <is>
          <t>None</t>
        </is>
      </c>
      <c r="N2920" t="inlineStr">
        <is>
          <t>&lt;p&gt;&lt;/p&gt;</t>
        </is>
      </c>
      <c r="O2920" t="inlineStr"/>
      <c r="P2920" t="inlineStr">
        <is>
          <t>SA9ST800000283944 , Towed Chipper , Forst , ST8D - Towed</t>
        </is>
      </c>
      <c r="Q2920" t="inlineStr">
        <is>
          <t>UKPN</t>
        </is>
      </c>
      <c r="R2920" t="b">
        <v>0</v>
      </c>
    </row>
    <row r="2921">
      <c r="A2921" t="inlineStr">
        <is>
          <t>28 Jan 2026 / Thomas Playford / Utilities / UKPN</t>
        </is>
      </c>
      <c r="B2921" t="inlineStr">
        <is>
          <t>Utilities</t>
        </is>
      </c>
      <c r="C2921" t="inlineStr">
        <is>
          <t>UKPN</t>
        </is>
      </c>
      <c r="D2921" t="inlineStr">
        <is>
          <t>WM72UNF , 4x4 , Ford , Ranger</t>
        </is>
      </c>
      <c r="E2921" t="inlineStr">
        <is>
          <t>WM72UNF , 4x4 , Ford , Ranger</t>
        </is>
      </c>
      <c r="F2921" t="inlineStr">
        <is>
          <t>WM72UNF , 4x4 , Ford , Ranger</t>
        </is>
      </c>
      <c r="G2921" t="inlineStr">
        <is>
          <t>Thomas Playford</t>
        </is>
      </c>
      <c r="H2921" t="inlineStr">
        <is>
          <t>4x4</t>
        </is>
      </c>
      <c r="I2921" t="inlineStr">
        <is>
          <t>Daily/ Weekly Vehicle Inspection</t>
        </is>
      </c>
      <c r="J2921" t="inlineStr">
        <is>
          <t>N/A</t>
        </is>
      </c>
      <c r="K2921" t="inlineStr">
        <is>
          <t>7995 Green Net Eco Ltd 2</t>
        </is>
      </c>
      <c r="L2921" t="inlineStr">
        <is>
          <t>28/01/2026 08:01</t>
        </is>
      </c>
      <c r="M2921" t="inlineStr">
        <is>
          <t>None</t>
        </is>
      </c>
      <c r="N2921" t="inlineStr">
        <is>
          <t>&lt;p&gt;&lt;/p&gt;</t>
        </is>
      </c>
      <c r="O2921" t="inlineStr"/>
      <c r="P2921" t="inlineStr">
        <is>
          <t>WM72UNF , 4x4 , Ford , Ranger</t>
        </is>
      </c>
      <c r="Q2921" t="inlineStr">
        <is>
          <t>UKPN</t>
        </is>
      </c>
      <c r="R2921" t="b">
        <v>0</v>
      </c>
    </row>
    <row r="2922">
      <c r="A2922" t="inlineStr">
        <is>
          <t>28 Jan 2026 / Anthony Gale / Utilities / UKPN</t>
        </is>
      </c>
      <c r="B2922" t="inlineStr">
        <is>
          <t>Utilities</t>
        </is>
      </c>
      <c r="C2922" t="inlineStr">
        <is>
          <t>UKPN</t>
        </is>
      </c>
      <c r="D2922" t="inlineStr">
        <is>
          <t>KX20 BCE , Tipper , Isuzu , D-Max</t>
        </is>
      </c>
      <c r="E2922" t="inlineStr">
        <is>
          <t>KX20 BCE , Tipper , Isuzu , D-Max</t>
        </is>
      </c>
      <c r="F2922" t="inlineStr">
        <is>
          <t>KX20 BCE , Tipper , Isuzu , D-Max</t>
        </is>
      </c>
      <c r="G2922" t="inlineStr">
        <is>
          <t>Anthony Gale</t>
        </is>
      </c>
      <c r="H2922" t="inlineStr">
        <is>
          <t>Pickup Truck</t>
        </is>
      </c>
      <c r="I2922" t="inlineStr">
        <is>
          <t>Daily/ Weekly Vehicle Inspection</t>
        </is>
      </c>
      <c r="J2922" t="inlineStr">
        <is>
          <t>N/A</t>
        </is>
      </c>
      <c r="K2922" t="inlineStr">
        <is>
          <t>7996 M G Tree Surgery Ltd 1</t>
        </is>
      </c>
      <c r="L2922" t="inlineStr">
        <is>
          <t>28/01/2026 08:02</t>
        </is>
      </c>
      <c r="M2922" t="inlineStr">
        <is>
          <t>None</t>
        </is>
      </c>
      <c r="N2922" t="inlineStr">
        <is>
          <t>&lt;p&gt;&lt;/p&gt;</t>
        </is>
      </c>
      <c r="O2922" t="inlineStr">
        <is>
          <t>Confirm that you have checked this vehicle as per the guidance document and the vehicle is safe and roadworthy:Light board deteriorating.
Safe for now.
Will need replacing soon.
-</t>
        </is>
      </c>
      <c r="P2922" t="inlineStr">
        <is>
          <t>KX20 BCE , Tipper , Isuzu , D-Max</t>
        </is>
      </c>
      <c r="Q2922" t="inlineStr">
        <is>
          <t>UKPN</t>
        </is>
      </c>
      <c r="R2922" t="b">
        <v>0</v>
      </c>
    </row>
    <row r="2923">
      <c r="A2923" t="inlineStr">
        <is>
          <t>27 Jan 2026 / Anthony Gale / Utilities / UKPN</t>
        </is>
      </c>
      <c r="B2923" t="inlineStr">
        <is>
          <t>Utilities</t>
        </is>
      </c>
      <c r="C2923" t="inlineStr">
        <is>
          <t>UKPN</t>
        </is>
      </c>
      <c r="D2923" t="inlineStr"/>
      <c r="E2923" t="inlineStr"/>
      <c r="F2923" t="inlineStr"/>
      <c r="G2923" t="inlineStr">
        <is>
          <t>Anthony Gale</t>
        </is>
      </c>
      <c r="H2923" t="inlineStr">
        <is>
          <t>Towed Chipper</t>
        </is>
      </c>
      <c r="I2923" t="inlineStr">
        <is>
          <t>Daily/ Weekly Vehicle Inspection</t>
        </is>
      </c>
      <c r="J2923" t="inlineStr">
        <is>
          <t>N/A</t>
        </is>
      </c>
      <c r="K2923" t="inlineStr">
        <is>
          <t>7996 M G Tree Surgery Ltd 1</t>
        </is>
      </c>
      <c r="L2923" t="inlineStr">
        <is>
          <t>28/01/2026 08:02</t>
        </is>
      </c>
      <c r="M2923" t="inlineStr">
        <is>
          <t>None</t>
        </is>
      </c>
      <c r="N2923" t="inlineStr">
        <is>
          <t>&lt;p&gt;&lt;/p&gt;</t>
        </is>
      </c>
      <c r="O2923" t="inlineStr"/>
      <c r="P2923" t="inlineStr"/>
      <c r="Q2923" t="inlineStr">
        <is>
          <t>UKPN</t>
        </is>
      </c>
      <c r="R2923" t="b">
        <v>0</v>
      </c>
    </row>
    <row r="2924">
      <c r="A2924" t="inlineStr">
        <is>
          <t>27 Jan 2026 / Anthony Gale / Utilities / UKPN</t>
        </is>
      </c>
      <c r="B2924" t="inlineStr">
        <is>
          <t>Utilities</t>
        </is>
      </c>
      <c r="C2924" t="inlineStr">
        <is>
          <t>UKPN</t>
        </is>
      </c>
      <c r="D2924" t="inlineStr">
        <is>
          <t>KX20 BCE , Tipper , Isuzu , D-Max</t>
        </is>
      </c>
      <c r="E2924" t="inlineStr">
        <is>
          <t>KX20 BCE , Tipper , Isuzu , D-Max</t>
        </is>
      </c>
      <c r="F2924" t="inlineStr">
        <is>
          <t>KX20 BCE , Tipper , Isuzu , D-Max</t>
        </is>
      </c>
      <c r="G2924" t="inlineStr">
        <is>
          <t>Anthony Gale</t>
        </is>
      </c>
      <c r="H2924" t="inlineStr">
        <is>
          <t>Pickup Truck</t>
        </is>
      </c>
      <c r="I2924" t="inlineStr">
        <is>
          <t>Daily/ Weekly Vehicle Inspection</t>
        </is>
      </c>
      <c r="J2924" t="inlineStr">
        <is>
          <t>N/A</t>
        </is>
      </c>
      <c r="K2924" t="inlineStr">
        <is>
          <t>7996 M G Tree Surgery Ltd 1</t>
        </is>
      </c>
      <c r="L2924" t="inlineStr">
        <is>
          <t>28/01/2026 08:03</t>
        </is>
      </c>
      <c r="M2924" t="inlineStr">
        <is>
          <t>None</t>
        </is>
      </c>
      <c r="N2924" t="inlineStr">
        <is>
          <t>&lt;p&gt;&lt;/p&gt;</t>
        </is>
      </c>
      <c r="O2924" t="inlineStr">
        <is>
          <t>Confirm that you have checked this vehicle as per the guidance document and the vehicle is safe and roadworthy:Light board deteriorating.
Safe for now.
Will need replacing soon.
-</t>
        </is>
      </c>
      <c r="P2924" t="inlineStr">
        <is>
          <t>KX20 BCE , Tipper , Isuzu , D-Max</t>
        </is>
      </c>
      <c r="Q2924" t="inlineStr">
        <is>
          <t>UKPN</t>
        </is>
      </c>
      <c r="R2924" t="b">
        <v>0</v>
      </c>
    </row>
    <row r="2925">
      <c r="A2925" t="inlineStr">
        <is>
          <t>26 Jan 2026 / Anthony Gale / Utilities / UKPN</t>
        </is>
      </c>
      <c r="B2925" t="inlineStr">
        <is>
          <t>Utilities</t>
        </is>
      </c>
      <c r="C2925" t="inlineStr">
        <is>
          <t>UKPN</t>
        </is>
      </c>
      <c r="D2925" t="inlineStr"/>
      <c r="E2925" t="inlineStr"/>
      <c r="F2925" t="inlineStr"/>
      <c r="G2925" t="inlineStr">
        <is>
          <t>Anthony Gale</t>
        </is>
      </c>
      <c r="H2925" t="inlineStr">
        <is>
          <t>Plant Trailer</t>
        </is>
      </c>
      <c r="I2925" t="inlineStr">
        <is>
          <t>Daily/ Weekly Vehicle Inspection</t>
        </is>
      </c>
      <c r="J2925" t="inlineStr">
        <is>
          <t>N/A</t>
        </is>
      </c>
      <c r="K2925" t="inlineStr">
        <is>
          <t>7996 M G Tree Surgery Ltd 1</t>
        </is>
      </c>
      <c r="L2925" t="inlineStr">
        <is>
          <t>28/01/2026 08:04</t>
        </is>
      </c>
      <c r="M2925" t="inlineStr">
        <is>
          <t>None</t>
        </is>
      </c>
      <c r="N2925" t="inlineStr">
        <is>
          <t>&lt;p&gt;&lt;/p&gt;</t>
        </is>
      </c>
      <c r="O2925" t="inlineStr"/>
      <c r="P2925" t="inlineStr"/>
      <c r="Q2925" t="inlineStr">
        <is>
          <t>UKPN</t>
        </is>
      </c>
      <c r="R2925" t="b">
        <v>0</v>
      </c>
    </row>
    <row r="2926">
      <c r="A2926" t="inlineStr">
        <is>
          <t>28 Jan 2026 / 7806 Optimum Tree Services Ltd / Utilities / UKPN</t>
        </is>
      </c>
      <c r="B2926" t="inlineStr">
        <is>
          <t>Utilities</t>
        </is>
      </c>
      <c r="C2926" t="inlineStr">
        <is>
          <t>UKPN</t>
        </is>
      </c>
      <c r="D2926" t="inlineStr">
        <is>
          <t>SA9ST800000283069 , Chipper , Forst , ST 6P</t>
        </is>
      </c>
      <c r="E2926" t="inlineStr">
        <is>
          <t>SA9ST800000283069 , Chipper , Forst , ST 6P</t>
        </is>
      </c>
      <c r="F2926" t="inlineStr">
        <is>
          <t>SA9ST800000283069 , Chipper , Forst , ST 6P</t>
        </is>
      </c>
      <c r="G2926" t="inlineStr">
        <is>
          <t xml:space="preserve">Lewis Davies </t>
        </is>
      </c>
      <c r="H2926" t="inlineStr">
        <is>
          <t>Towed Chipper</t>
        </is>
      </c>
      <c r="I2926" t="inlineStr">
        <is>
          <t>Daily/ Weekly Vehicle Inspection</t>
        </is>
      </c>
      <c r="J2926" t="inlineStr">
        <is>
          <t>N/A</t>
        </is>
      </c>
      <c r="K2926" t="inlineStr">
        <is>
          <t>7806 Optimum Tree Services Ltd</t>
        </is>
      </c>
      <c r="L2926" t="inlineStr">
        <is>
          <t>28/01/2026 08:04</t>
        </is>
      </c>
      <c r="M2926" t="inlineStr">
        <is>
          <t>None</t>
        </is>
      </c>
      <c r="N2926" t="inlineStr">
        <is>
          <t>&lt;p&gt;&lt;/p&gt;</t>
        </is>
      </c>
      <c r="O2926" t="inlineStr"/>
      <c r="P2926" t="inlineStr">
        <is>
          <t>SA9ST800000283069 , Chipper , Forst , ST 6P</t>
        </is>
      </c>
      <c r="Q2926" t="inlineStr">
        <is>
          <t>UKPN</t>
        </is>
      </c>
      <c r="R2926" t="b">
        <v>0</v>
      </c>
    </row>
    <row r="2927">
      <c r="A2927" t="inlineStr">
        <is>
          <t>28 Jan 2026 / 7806 Optimum Tree Services Ltd / Utilities / UKPN</t>
        </is>
      </c>
      <c r="B2927" t="inlineStr">
        <is>
          <t>Utilities</t>
        </is>
      </c>
      <c r="C2927" t="inlineStr">
        <is>
          <t>UKPN</t>
        </is>
      </c>
      <c r="D2927" t="inlineStr">
        <is>
          <t>SA9TAPLAF27414263 , Trailer , Tow Mate , Plant Trailer</t>
        </is>
      </c>
      <c r="E2927" t="inlineStr">
        <is>
          <t>SA9TAPLAF27414263 , Trailer , Tow Mate , Plant Trailer</t>
        </is>
      </c>
      <c r="F2927" t="inlineStr">
        <is>
          <t>SA9TAPLAF27414263 , Trailer , Tow Mate , Plant Trailer</t>
        </is>
      </c>
      <c r="G2927" t="inlineStr">
        <is>
          <t xml:space="preserve">Abraham Davies </t>
        </is>
      </c>
      <c r="H2927" t="inlineStr">
        <is>
          <t>Plant Trailer</t>
        </is>
      </c>
      <c r="I2927" t="inlineStr">
        <is>
          <t>Daily/ Weekly Vehicle Inspection</t>
        </is>
      </c>
      <c r="J2927" t="inlineStr">
        <is>
          <t>N/A</t>
        </is>
      </c>
      <c r="K2927" t="inlineStr">
        <is>
          <t>7806 Optimum Tree Services Ltd</t>
        </is>
      </c>
      <c r="L2927" t="inlineStr">
        <is>
          <t>28/01/2026 08:06</t>
        </is>
      </c>
      <c r="M2927" t="inlineStr">
        <is>
          <t>None</t>
        </is>
      </c>
      <c r="N2927" t="inlineStr">
        <is>
          <t>&lt;p&gt;&lt;/p&gt;</t>
        </is>
      </c>
      <c r="O2927" t="inlineStr"/>
      <c r="P2927" t="inlineStr">
        <is>
          <t>SA9TAPLAF27414263 , Trailer , Tow Mate , Plant Trailer</t>
        </is>
      </c>
      <c r="Q2927" t="inlineStr">
        <is>
          <t>UKPN</t>
        </is>
      </c>
      <c r="R2927" t="b">
        <v>0</v>
      </c>
    </row>
    <row r="2928">
      <c r="A2928" t="inlineStr">
        <is>
          <t>28 Jan 2026 / 7806 Optimum Tree Services Ltd / Utilities / UKPN</t>
        </is>
      </c>
      <c r="B2928" t="inlineStr">
        <is>
          <t>Utilities</t>
        </is>
      </c>
      <c r="C2928" t="inlineStr">
        <is>
          <t>UKPN</t>
        </is>
      </c>
      <c r="D2928" t="inlineStr">
        <is>
          <t>Wd14evn , 4x4 , Landrover  , Defender</t>
        </is>
      </c>
      <c r="E2928" t="inlineStr">
        <is>
          <t>Wd14evn , 4x4 , Landrover  , Defender</t>
        </is>
      </c>
      <c r="F2928" t="inlineStr">
        <is>
          <t>Wd14evn , 4x4 , Landrover  , Defender</t>
        </is>
      </c>
      <c r="G2928" t="inlineStr">
        <is>
          <t xml:space="preserve">Lewis Davies </t>
        </is>
      </c>
      <c r="H2928" t="inlineStr">
        <is>
          <t>4x4</t>
        </is>
      </c>
      <c r="I2928" t="inlineStr">
        <is>
          <t>Daily/ Weekly Vehicle Inspection</t>
        </is>
      </c>
      <c r="J2928" t="inlineStr">
        <is>
          <t>N/A</t>
        </is>
      </c>
      <c r="K2928" t="inlineStr">
        <is>
          <t>7806 Optimum Tree Services Ltd</t>
        </is>
      </c>
      <c r="L2928" t="inlineStr">
        <is>
          <t>28/01/2026 08:07</t>
        </is>
      </c>
      <c r="M2928" t="inlineStr">
        <is>
          <t>None</t>
        </is>
      </c>
      <c r="N2928" t="inlineStr">
        <is>
          <t>&lt;p&gt;&lt;/p&gt;</t>
        </is>
      </c>
      <c r="O2928" t="inlineStr"/>
      <c r="P2928" t="inlineStr">
        <is>
          <t>Wd14evn , 4x4 , Landrover  , Defender</t>
        </is>
      </c>
      <c r="Q2928" t="inlineStr">
        <is>
          <t>UKPN</t>
        </is>
      </c>
      <c r="R2928" t="b">
        <v>0</v>
      </c>
    </row>
    <row r="2929">
      <c r="A2929" t="inlineStr">
        <is>
          <t>28 Jan 2026 / 7806 Optimum Tree Services Ltd / Utilities / UKPN</t>
        </is>
      </c>
      <c r="B2929" t="inlineStr">
        <is>
          <t>Utilities</t>
        </is>
      </c>
      <c r="C2929" t="inlineStr">
        <is>
          <t>UKPN</t>
        </is>
      </c>
      <c r="D2929" t="inlineStr">
        <is>
          <t>WD14EVB , MEWP , Land Rover , Defender</t>
        </is>
      </c>
      <c r="E2929" t="inlineStr">
        <is>
          <t>WD14EVB , MEWP , Land Rover , Defender</t>
        </is>
      </c>
      <c r="F2929" t="inlineStr">
        <is>
          <t>WD14EVB , MEWP , Land Rover , Defender</t>
        </is>
      </c>
      <c r="G2929" t="inlineStr">
        <is>
          <t xml:space="preserve">Abraham Davies </t>
        </is>
      </c>
      <c r="H2929" t="inlineStr">
        <is>
          <t>4x4</t>
        </is>
      </c>
      <c r="I2929" t="inlineStr">
        <is>
          <t>Daily/ Weekly Vehicle Inspection</t>
        </is>
      </c>
      <c r="J2929" t="inlineStr">
        <is>
          <t>N/A</t>
        </is>
      </c>
      <c r="K2929" t="inlineStr">
        <is>
          <t>7806 Optimum Tree Services Ltd</t>
        </is>
      </c>
      <c r="L2929" t="inlineStr">
        <is>
          <t>28/01/2026 08:07</t>
        </is>
      </c>
      <c r="M2929" t="inlineStr">
        <is>
          <t>None</t>
        </is>
      </c>
      <c r="N2929" t="inlineStr">
        <is>
          <t>&lt;p&gt;&lt;/p&gt;</t>
        </is>
      </c>
      <c r="O2929" t="inlineStr"/>
      <c r="P2929" t="inlineStr">
        <is>
          <t>WD14EVB , MEWP , Land Rover , Defender</t>
        </is>
      </c>
      <c r="Q2929" t="inlineStr">
        <is>
          <t>UKPN</t>
        </is>
      </c>
      <c r="R2929" t="b">
        <v>0</v>
      </c>
    </row>
    <row r="2930">
      <c r="A2930" t="inlineStr">
        <is>
          <t>28 Jan 2026 / 7951 Austin Tree Care LTD / Utilities / UKPN</t>
        </is>
      </c>
      <c r="B2930" t="inlineStr">
        <is>
          <t>Utilities</t>
        </is>
      </c>
      <c r="C2930" t="inlineStr">
        <is>
          <t>UKPN</t>
        </is>
      </c>
      <c r="D2930" t="inlineStr">
        <is>
          <t>Kn58xuy , Tipper , VW  , Crafter</t>
        </is>
      </c>
      <c r="E2930" t="inlineStr">
        <is>
          <t>Kn58xuy , Tipper , VW  , Crafter</t>
        </is>
      </c>
      <c r="F2930" t="inlineStr">
        <is>
          <t>Kn58xuy , Tipper , VW  , Crafter</t>
        </is>
      </c>
      <c r="G2930" t="inlineStr">
        <is>
          <t xml:space="preserve">Jack Austin </t>
        </is>
      </c>
      <c r="H2930" t="inlineStr">
        <is>
          <t>Tipper</t>
        </is>
      </c>
      <c r="I2930" t="inlineStr">
        <is>
          <t>Daily/ Weekly Vehicle Inspection</t>
        </is>
      </c>
      <c r="J2930" t="inlineStr">
        <is>
          <t>N/A</t>
        </is>
      </c>
      <c r="K2930" t="inlineStr">
        <is>
          <t>7951 Austin Tree Care LTD</t>
        </is>
      </c>
      <c r="L2930" t="inlineStr">
        <is>
          <t>28/01/2026 09:01</t>
        </is>
      </c>
      <c r="M2930" t="inlineStr">
        <is>
          <t>None</t>
        </is>
      </c>
      <c r="N2930" t="inlineStr">
        <is>
          <t>&lt;p&gt;&lt;/p&gt;</t>
        </is>
      </c>
      <c r="O2930" t="inlineStr"/>
      <c r="P2930" t="inlineStr">
        <is>
          <t>Kn58xuy , Tipper , VW  , Crafter</t>
        </is>
      </c>
      <c r="Q2930" t="inlineStr">
        <is>
          <t>UKPN</t>
        </is>
      </c>
      <c r="R2930" t="b">
        <v>0</v>
      </c>
    </row>
    <row r="2931">
      <c r="A2931" t="inlineStr">
        <is>
          <t>28 Jan 2026 / 7186 Eastwoodbury Tree Services Ltd / Utilities / UKPN</t>
        </is>
      </c>
      <c r="B2931" t="inlineStr">
        <is>
          <t>Utilities</t>
        </is>
      </c>
      <c r="C2931" t="inlineStr">
        <is>
          <t>UKPN</t>
        </is>
      </c>
      <c r="D2931" t="inlineStr">
        <is>
          <t>DE53NKS , 4x4 , Ford , Ranger</t>
        </is>
      </c>
      <c r="E2931" t="inlineStr">
        <is>
          <t>DE53NKS , 4x4 , Ford , Ranger</t>
        </is>
      </c>
      <c r="F2931" t="inlineStr">
        <is>
          <t>DE53NKS , 4x4 , Ford , Ranger</t>
        </is>
      </c>
      <c r="G2931" t="inlineStr">
        <is>
          <t xml:space="preserve">Jay Denkmayer </t>
        </is>
      </c>
      <c r="H2931" t="inlineStr">
        <is>
          <t>Pickup Truck</t>
        </is>
      </c>
      <c r="I2931" t="inlineStr">
        <is>
          <t>Daily/ Weekly Vehicle Inspection</t>
        </is>
      </c>
      <c r="J2931" t="inlineStr">
        <is>
          <t>N/A</t>
        </is>
      </c>
      <c r="K2931" t="inlineStr">
        <is>
          <t>7186 Eastwoodbury Tree Services Ltd</t>
        </is>
      </c>
      <c r="L2931" t="inlineStr">
        <is>
          <t>28/01/2026 09:03</t>
        </is>
      </c>
      <c r="M2931" t="inlineStr">
        <is>
          <t>None</t>
        </is>
      </c>
      <c r="N2931" t="inlineStr">
        <is>
          <t>&lt;p&gt;&lt;/p&gt;</t>
        </is>
      </c>
      <c r="O2931" t="inlineStr"/>
      <c r="P2931" t="inlineStr">
        <is>
          <t>DE53NKS , 4x4 , Ford , Ranger</t>
        </is>
      </c>
      <c r="Q2931" t="inlineStr">
        <is>
          <t>UKPN</t>
        </is>
      </c>
      <c r="R2931" t="b">
        <v>0</v>
      </c>
    </row>
    <row r="2932">
      <c r="A2932" t="inlineStr">
        <is>
          <t>28 Jan 2026 / 7186 Eastwoodbury Tree Services Ltd / Utilities / UKPN</t>
        </is>
      </c>
      <c r="B2932" t="inlineStr">
        <is>
          <t>Utilities</t>
        </is>
      </c>
      <c r="C2932" t="inlineStr">
        <is>
          <t>UKPN</t>
        </is>
      </c>
      <c r="D2932" t="inlineStr">
        <is>
          <t>DN61XKJ , Tipper , Ford , Transit</t>
        </is>
      </c>
      <c r="E2932" t="inlineStr">
        <is>
          <t>DN61XKJ , Tipper , Ford , Transit</t>
        </is>
      </c>
      <c r="F2932" t="inlineStr">
        <is>
          <t>DN61XKJ , Tipper , Ford , Transit</t>
        </is>
      </c>
      <c r="G2932" t="inlineStr">
        <is>
          <t xml:space="preserve">Tom Price </t>
        </is>
      </c>
      <c r="H2932" t="inlineStr">
        <is>
          <t>Tipper</t>
        </is>
      </c>
      <c r="I2932" t="inlineStr">
        <is>
          <t>Daily/ Weekly Vehicle Inspection</t>
        </is>
      </c>
      <c r="J2932" t="inlineStr">
        <is>
          <t>N/A</t>
        </is>
      </c>
      <c r="K2932" t="inlineStr">
        <is>
          <t>7186 Eastwoodbury Tree Services Ltd</t>
        </is>
      </c>
      <c r="L2932" t="inlineStr">
        <is>
          <t>28/01/2026 09:04</t>
        </is>
      </c>
      <c r="M2932" t="inlineStr">
        <is>
          <t>None</t>
        </is>
      </c>
      <c r="N2932" t="inlineStr">
        <is>
          <t>&lt;p&gt;&lt;/p&gt;</t>
        </is>
      </c>
      <c r="O2932" t="inlineStr"/>
      <c r="P2932" t="inlineStr">
        <is>
          <t>DN61XKJ , Tipper , Ford , Transit</t>
        </is>
      </c>
      <c r="Q2932" t="inlineStr">
        <is>
          <t>UKPN</t>
        </is>
      </c>
      <c r="R2932" t="b">
        <v>0</v>
      </c>
    </row>
    <row r="2933">
      <c r="A2933" t="inlineStr">
        <is>
          <t>28 Jan 2026 / 7186 Eastwoodbury Tree Services Ltd / Utilities / UKPN</t>
        </is>
      </c>
      <c r="B2933" t="inlineStr">
        <is>
          <t>Utilities</t>
        </is>
      </c>
      <c r="C2933" t="inlineStr">
        <is>
          <t>UKPN</t>
        </is>
      </c>
      <c r="D2933" t="inlineStr">
        <is>
          <t>WF13 EKT , 4x4 , Land rover  , Defender</t>
        </is>
      </c>
      <c r="E2933" t="inlineStr">
        <is>
          <t>WF13 EKT , 4x4 , Land rover  , Defender</t>
        </is>
      </c>
      <c r="F2933" t="inlineStr">
        <is>
          <t>WF13 EKT , 4x4 , Land rover  , Defender</t>
        </is>
      </c>
      <c r="G2933" t="inlineStr">
        <is>
          <t xml:space="preserve">Dan Gilbert </t>
        </is>
      </c>
      <c r="H2933" t="inlineStr">
        <is>
          <t>4x4</t>
        </is>
      </c>
      <c r="I2933" t="inlineStr">
        <is>
          <t>Daily/ Weekly Vehicle Inspection</t>
        </is>
      </c>
      <c r="J2933" t="inlineStr">
        <is>
          <t>N/A</t>
        </is>
      </c>
      <c r="K2933" t="inlineStr">
        <is>
          <t>7186 Eastwoodbury Tree Services Ltd</t>
        </is>
      </c>
      <c r="L2933" t="inlineStr">
        <is>
          <t>28/01/2026 09:05</t>
        </is>
      </c>
      <c r="M2933" t="inlineStr">
        <is>
          <t>None</t>
        </is>
      </c>
      <c r="N2933" t="inlineStr">
        <is>
          <t>&lt;p&gt;&lt;/p&gt;</t>
        </is>
      </c>
      <c r="O2933" t="inlineStr"/>
      <c r="P2933" t="inlineStr">
        <is>
          <t>WF13 EKT , 4x4 , Land rover  , Defender</t>
        </is>
      </c>
      <c r="Q2933" t="inlineStr">
        <is>
          <t>UKPN</t>
        </is>
      </c>
      <c r="R2933" t="b">
        <v>0</v>
      </c>
    </row>
    <row r="2934">
      <c r="A2934" t="inlineStr">
        <is>
          <t>28 Jan 2026 / James Heaton / Utilities / NGED</t>
        </is>
      </c>
      <c r="B2934" t="inlineStr">
        <is>
          <t>Utilities</t>
        </is>
      </c>
      <c r="C2934" t="inlineStr">
        <is>
          <t>NGED</t>
        </is>
      </c>
      <c r="D2934" t="inlineStr">
        <is>
          <t>AJ23EJK , Car - Electric , Tesla , Model 3 Long Range AWD</t>
        </is>
      </c>
      <c r="E2934" t="inlineStr">
        <is>
          <t>AJ23EJK , Car - Electric , Tesla , Model 3 Long Range AWD</t>
        </is>
      </c>
      <c r="F2934" t="inlineStr">
        <is>
          <t>AJ23EJK , Car - Electric , Tesla , Model 3 Long Range AWD</t>
        </is>
      </c>
      <c r="G2934" t="inlineStr">
        <is>
          <t>James heaton</t>
        </is>
      </c>
      <c r="H2934" t="inlineStr">
        <is>
          <t>Car - Electric (GC Owned)</t>
        </is>
      </c>
      <c r="I2934" t="inlineStr">
        <is>
          <t>Daily/ Weekly Vehicle Inspection</t>
        </is>
      </c>
      <c r="J2934" t="inlineStr">
        <is>
          <t>N/A</t>
        </is>
      </c>
      <c r="K2934" t="inlineStr">
        <is>
          <t>James Heaton</t>
        </is>
      </c>
      <c r="L2934" t="inlineStr">
        <is>
          <t>28/01/2026 10:00</t>
        </is>
      </c>
      <c r="M2934" t="inlineStr">
        <is>
          <t>None</t>
        </is>
      </c>
      <c r="N2934" t="inlineStr">
        <is>
          <t>&lt;p&gt;&lt;/p&gt;</t>
        </is>
      </c>
      <c r="O2934" t="inlineStr"/>
      <c r="P2934" t="inlineStr">
        <is>
          <t>AJ23EJK , Car - Electric , Tesla , Model 3 Long Range AWD</t>
        </is>
      </c>
      <c r="Q2934" t="inlineStr">
        <is>
          <t>NGED</t>
        </is>
      </c>
      <c r="R2934" t="b">
        <v>0</v>
      </c>
    </row>
    <row r="2935">
      <c r="A2935" t="inlineStr">
        <is>
          <t>28 Jan 2026 / 7951 Austin Tree Care LTD 1 / Utilities / UKPN</t>
        </is>
      </c>
      <c r="B2935" t="inlineStr">
        <is>
          <t>Utilities</t>
        </is>
      </c>
      <c r="C2935" t="inlineStr">
        <is>
          <t>UKPN</t>
        </is>
      </c>
      <c r="D2935" t="inlineStr">
        <is>
          <t>WG64HTT , 4x4 , Land Rover , Defender 110</t>
        </is>
      </c>
      <c r="E2935" t="inlineStr">
        <is>
          <t>WG64HTT , 4x4 , Land Rover , Defender 110</t>
        </is>
      </c>
      <c r="F2935" t="inlineStr">
        <is>
          <t>WG64HTT , 4x4 , Land Rover , Defender 110</t>
        </is>
      </c>
      <c r="G2935" t="inlineStr">
        <is>
          <t xml:space="preserve">James Tasker </t>
        </is>
      </c>
      <c r="H2935" t="inlineStr">
        <is>
          <t>4x4</t>
        </is>
      </c>
      <c r="I2935" t="inlineStr">
        <is>
          <t>Daily/ Weekly Vehicle Inspection</t>
        </is>
      </c>
      <c r="J2935" t="inlineStr">
        <is>
          <t>N/A</t>
        </is>
      </c>
      <c r="K2935" t="inlineStr">
        <is>
          <t>7951 Austin Tree Care LTD 1</t>
        </is>
      </c>
      <c r="L2935" t="inlineStr">
        <is>
          <t>28/01/2026 10:01</t>
        </is>
      </c>
      <c r="M2935" t="inlineStr">
        <is>
          <t>None</t>
        </is>
      </c>
      <c r="N2935" t="inlineStr">
        <is>
          <t>&lt;p&gt;&lt;/p&gt;</t>
        </is>
      </c>
      <c r="O2935" t="inlineStr"/>
      <c r="P2935" t="inlineStr">
        <is>
          <t>WG64HTT , 4x4 , Land Rover , Defender 110</t>
        </is>
      </c>
      <c r="Q2935" t="inlineStr">
        <is>
          <t>UKPN</t>
        </is>
      </c>
      <c r="R2935" t="b">
        <v>0</v>
      </c>
    </row>
    <row r="2936">
      <c r="A2936" t="inlineStr">
        <is>
          <t>28 Jan 2026 / Anthony Gale / Utilities / UKPN</t>
        </is>
      </c>
      <c r="B2936" t="inlineStr">
        <is>
          <t>Utilities</t>
        </is>
      </c>
      <c r="C2936" t="inlineStr">
        <is>
          <t>UKPN</t>
        </is>
      </c>
      <c r="D2936" t="inlineStr">
        <is>
          <t>KX20 BCE , Tipper , Isuzu , D-Max</t>
        </is>
      </c>
      <c r="E2936" t="inlineStr">
        <is>
          <t>KX20 BCE , Tipper , Isuzu , D-Max</t>
        </is>
      </c>
      <c r="F2936" t="inlineStr">
        <is>
          <t>KX20 BCE , Tipper , Isuzu , D-Max</t>
        </is>
      </c>
      <c r="G2936" t="inlineStr">
        <is>
          <t>Anthony Gale</t>
        </is>
      </c>
      <c r="H2936" t="inlineStr">
        <is>
          <t>Pickup Truck</t>
        </is>
      </c>
      <c r="I2936" t="inlineStr">
        <is>
          <t>Daily/ Weekly Vehicle Inspection</t>
        </is>
      </c>
      <c r="J2936" t="inlineStr">
        <is>
          <t>N/A</t>
        </is>
      </c>
      <c r="K2936" t="inlineStr">
        <is>
          <t>7996 M G Tree Surgery Ltd 1</t>
        </is>
      </c>
      <c r="L2936" t="inlineStr">
        <is>
          <t>28/01/2026 11:00</t>
        </is>
      </c>
      <c r="M2936" t="inlineStr">
        <is>
          <t>None</t>
        </is>
      </c>
      <c r="N2936" t="inlineStr">
        <is>
          <t>&lt;p&gt;&lt;/p&gt;</t>
        </is>
      </c>
      <c r="O2936" t="inlineStr">
        <is>
          <t>Confirm that you have checked this vehicle as per the guidance document and the vehicle is safe and roadworthy:Light board deteriorating.
Safe for now.
Will need replacing soon.
-</t>
        </is>
      </c>
      <c r="P2936" t="inlineStr">
        <is>
          <t>KX20 BCE , Tipper , Isuzu , D-Max</t>
        </is>
      </c>
      <c r="Q2936" t="inlineStr">
        <is>
          <t>UKPN</t>
        </is>
      </c>
      <c r="R2936" t="b">
        <v>0</v>
      </c>
    </row>
    <row r="2937">
      <c r="A2937" t="inlineStr">
        <is>
          <t>28 Jan 2026 / Ian Thompson / Utilities / NGED</t>
        </is>
      </c>
      <c r="B2937" t="inlineStr">
        <is>
          <t>Utilities</t>
        </is>
      </c>
      <c r="C2937" t="inlineStr">
        <is>
          <t>NGED</t>
        </is>
      </c>
      <c r="D2937" t="inlineStr"/>
      <c r="E2937" t="inlineStr"/>
      <c r="F2937" t="inlineStr"/>
      <c r="G2937" t="inlineStr">
        <is>
          <t xml:space="preserve">Ian Thompson </t>
        </is>
      </c>
      <c r="H2937" t="inlineStr">
        <is>
          <t>Van</t>
        </is>
      </c>
      <c r="I2937" t="inlineStr">
        <is>
          <t>Daily/ Weekly Vehicle Inspection</t>
        </is>
      </c>
      <c r="J2937" t="inlineStr">
        <is>
          <t>N/A</t>
        </is>
      </c>
      <c r="K2937" t="inlineStr">
        <is>
          <t>Ian Thompson</t>
        </is>
      </c>
      <c r="L2937" t="inlineStr">
        <is>
          <t>28/01/2026 15:01</t>
        </is>
      </c>
      <c r="M2937" t="inlineStr">
        <is>
          <t>None</t>
        </is>
      </c>
      <c r="N2937" t="inlineStr">
        <is>
          <t>&lt;p&gt;&lt;/p&gt;</t>
        </is>
      </c>
      <c r="O2937" t="inlineStr"/>
      <c r="P2937" t="inlineStr"/>
      <c r="Q2937" t="inlineStr">
        <is>
          <t>NGED</t>
        </is>
      </c>
      <c r="R2937" t="b">
        <v>0</v>
      </c>
    </row>
    <row r="2938">
      <c r="A2938" t="inlineStr">
        <is>
          <t>28 Jan 2026 / Paul Shaw / Utilities / NGED</t>
        </is>
      </c>
      <c r="B2938" t="inlineStr">
        <is>
          <t>Utilities</t>
        </is>
      </c>
      <c r="C2938" t="inlineStr">
        <is>
          <t>NGED</t>
        </is>
      </c>
      <c r="D2938" t="inlineStr">
        <is>
          <t>EY68HPC , 4x4 , Ford , Ranger</t>
        </is>
      </c>
      <c r="E2938" t="inlineStr">
        <is>
          <t>EY68HPC , 4x4 , Ford , Ranger</t>
        </is>
      </c>
      <c r="F2938" t="inlineStr">
        <is>
          <t>EY68HPC , 4x4 , Ford , Ranger</t>
        </is>
      </c>
      <c r="G2938" t="inlineStr">
        <is>
          <t>Paul shaw</t>
        </is>
      </c>
      <c r="H2938" t="inlineStr">
        <is>
          <t>4x4</t>
        </is>
      </c>
      <c r="I2938" t="inlineStr">
        <is>
          <t>Daily/ Weekly Vehicle Inspection</t>
        </is>
      </c>
      <c r="J2938" t="inlineStr">
        <is>
          <t>N/A</t>
        </is>
      </c>
      <c r="K2938" t="inlineStr">
        <is>
          <t>Paul Shaw</t>
        </is>
      </c>
      <c r="L2938" t="inlineStr">
        <is>
          <t>28/01/2026 17:00</t>
        </is>
      </c>
      <c r="M2938" t="inlineStr">
        <is>
          <t>None</t>
        </is>
      </c>
      <c r="N2938" t="inlineStr">
        <is>
          <t>&lt;p&gt;&lt;/p&gt;</t>
        </is>
      </c>
      <c r="O2938" t="inlineStr"/>
      <c r="P2938" t="inlineStr">
        <is>
          <t>EY68HPC , 4x4 , Ford , Ranger</t>
        </is>
      </c>
      <c r="Q2938" t="inlineStr">
        <is>
          <t>NGED</t>
        </is>
      </c>
      <c r="R2938" t="b">
        <v>0</v>
      </c>
    </row>
    <row r="2939">
      <c r="A2939" t="inlineStr">
        <is>
          <t>28 Jan 2026 / Barry Bright / Utilities / UKPN</t>
        </is>
      </c>
      <c r="B2939" t="inlineStr">
        <is>
          <t>Utilities</t>
        </is>
      </c>
      <c r="C2939" t="inlineStr">
        <is>
          <t>UKPN</t>
        </is>
      </c>
      <c r="D2939" t="inlineStr">
        <is>
          <t>AK72YBM , Car - Electric , Tesla , Model Y Long Range</t>
        </is>
      </c>
      <c r="E2939" t="inlineStr">
        <is>
          <t>AK72YBM , Car - Electric , Tesla , Model Y Long Range</t>
        </is>
      </c>
      <c r="F2939" t="inlineStr">
        <is>
          <t>AK72YBM , Car - Electric , Tesla , Model Y Long Range</t>
        </is>
      </c>
      <c r="G2939" t="inlineStr">
        <is>
          <t xml:space="preserve">Barry Bright </t>
        </is>
      </c>
      <c r="H2939" t="inlineStr">
        <is>
          <t>Car - Electric (GC Owned)</t>
        </is>
      </c>
      <c r="I2939" t="inlineStr">
        <is>
          <t>Daily/ Weekly Vehicle Inspection</t>
        </is>
      </c>
      <c r="J2939" t="inlineStr">
        <is>
          <t>N/A</t>
        </is>
      </c>
      <c r="K2939" t="inlineStr">
        <is>
          <t>Barry Bright</t>
        </is>
      </c>
      <c r="L2939" t="inlineStr">
        <is>
          <t>28/01/2026 20:00</t>
        </is>
      </c>
      <c r="M2939" t="inlineStr">
        <is>
          <t>None</t>
        </is>
      </c>
      <c r="N2939" t="inlineStr">
        <is>
          <t>&lt;p&gt;&lt;/p&gt;</t>
        </is>
      </c>
      <c r="O2939" t="inlineStr"/>
      <c r="P2939" t="inlineStr">
        <is>
          <t>AK72YBM , Car - Electric , Tesla , Model Y Long Range</t>
        </is>
      </c>
      <c r="Q2939" t="inlineStr">
        <is>
          <t>UKPN</t>
        </is>
      </c>
      <c r="R2939" t="b">
        <v>0</v>
      </c>
    </row>
    <row r="2940">
      <c r="A2940" t="inlineStr">
        <is>
          <t>29 Jan 2026 / 6617 Ashdown Tree Limited 1 / Utilities / UKPN</t>
        </is>
      </c>
      <c r="B2940" t="inlineStr">
        <is>
          <t>Utilities</t>
        </is>
      </c>
      <c r="C2940" t="inlineStr">
        <is>
          <t>UKPN</t>
        </is>
      </c>
      <c r="D2940" t="inlineStr">
        <is>
          <t>WG63OJS , 4x4 , Land rover  , defender</t>
        </is>
      </c>
      <c r="E2940" t="inlineStr">
        <is>
          <t>WG63OJS , 4x4 , Land rover  , defender</t>
        </is>
      </c>
      <c r="F2940" t="inlineStr">
        <is>
          <t>WG63OJS , 4x4 , Land rover  , defender</t>
        </is>
      </c>
      <c r="G2940" t="inlineStr">
        <is>
          <t>Dan</t>
        </is>
      </c>
      <c r="H2940" t="inlineStr">
        <is>
          <t>4x4</t>
        </is>
      </c>
      <c r="I2940" t="inlineStr">
        <is>
          <t>Daily/ Weekly Vehicle Inspection</t>
        </is>
      </c>
      <c r="J2940" t="inlineStr">
        <is>
          <t>N/A</t>
        </is>
      </c>
      <c r="K2940" t="inlineStr">
        <is>
          <t>6617 Ashdown Tree Limited - Team 2</t>
        </is>
      </c>
      <c r="L2940" t="inlineStr">
        <is>
          <t>29/01/2026 07:00</t>
        </is>
      </c>
      <c r="M2940" t="inlineStr">
        <is>
          <t>None</t>
        </is>
      </c>
      <c r="N2940" t="inlineStr">
        <is>
          <t>&lt;p&gt;&lt;/p&gt;</t>
        </is>
      </c>
      <c r="O2940" t="inlineStr"/>
      <c r="P2940" t="inlineStr">
        <is>
          <t>WG63OJS , 4x4 , Land rover  , defender</t>
        </is>
      </c>
      <c r="Q2940" t="inlineStr">
        <is>
          <t>UKPN</t>
        </is>
      </c>
      <c r="R2940" t="b">
        <v>0</v>
      </c>
    </row>
    <row r="2941">
      <c r="A2941" t="inlineStr">
        <is>
          <t>29 Jan 2026 / 7889 Tree Tech Suffolk Ltd</t>
        </is>
      </c>
      <c r="B2941" t="inlineStr">
        <is>
          <t>Utilities &amp; Inland Waterways</t>
        </is>
      </c>
      <c r="C2941" t="inlineStr">
        <is>
          <t>UKPN</t>
        </is>
      </c>
      <c r="D2941" t="inlineStr">
        <is>
          <t>Tipper - Nissan - Navara - NS02TTS4x4 - Isuzu - D-max - NS03 TTS</t>
        </is>
      </c>
      <c r="E2941" t="inlineStr">
        <is>
          <t>Tipper - Nissan - Navara - NS02TTS4x4 - Isuzu - D-max - NS03 TTS</t>
        </is>
      </c>
      <c r="F2941" t="inlineStr">
        <is>
          <t>Tipper - Nissan - Navara - NS02TTS4x4 - Isuzu - D-max - NS03 TTS</t>
        </is>
      </c>
      <c r="G2941" t="inlineStr">
        <is>
          <t xml:space="preserve">Danny ApplebyNikki sparrow </t>
        </is>
      </c>
      <c r="H2941" t="inlineStr">
        <is>
          <t>Tipper4x4</t>
        </is>
      </c>
      <c r="I2941" t="inlineStr">
        <is>
          <t>Daily/ Weekly Vehicle Inspection</t>
        </is>
      </c>
      <c r="J2941" t="inlineStr">
        <is>
          <t>N/A</t>
        </is>
      </c>
      <c r="K2941" t="inlineStr">
        <is>
          <t>7889 Tree Tech Suffolk Ltd</t>
        </is>
      </c>
      <c r="L2941" t="inlineStr">
        <is>
          <t>29/01/2026 07:01</t>
        </is>
      </c>
      <c r="M2941" t="inlineStr">
        <is>
          <t>None</t>
        </is>
      </c>
      <c r="N2941" t="inlineStr">
        <is>
          <t>&lt;p&gt;&lt;/p&gt;</t>
        </is>
      </c>
      <c r="O2941" t="inlineStr">
        <is>
          <t>Select Vehicle:Ns05 tts</t>
        </is>
      </c>
      <c r="P2941" t="inlineStr">
        <is>
          <t>Tipper - Nissan - Navara - NS02TTS4x4 - Isuzu - D-max - NS03 TTS</t>
        </is>
      </c>
      <c r="Q2941" t="inlineStr">
        <is>
          <t>UKPN</t>
        </is>
      </c>
      <c r="R2941" t="b">
        <v>0</v>
      </c>
    </row>
    <row r="2942">
      <c r="A2942" t="inlineStr">
        <is>
          <t>29 Jan 2026 / Anthony Gale / Utilities / UKPN</t>
        </is>
      </c>
      <c r="B2942" t="inlineStr">
        <is>
          <t>Utilities</t>
        </is>
      </c>
      <c r="C2942" t="inlineStr">
        <is>
          <t>UKPN</t>
        </is>
      </c>
      <c r="D2942" t="inlineStr">
        <is>
          <t>KX20 BCE , Tipper , Isuzu , D-Max</t>
        </is>
      </c>
      <c r="E2942" t="inlineStr">
        <is>
          <t>KX20 BCE , Tipper , Isuzu , D-Max</t>
        </is>
      </c>
      <c r="F2942" t="inlineStr">
        <is>
          <t>KX20 BCE , Tipper , Isuzu , D-Max</t>
        </is>
      </c>
      <c r="G2942" t="inlineStr">
        <is>
          <t>Anthony Gale</t>
        </is>
      </c>
      <c r="H2942" t="inlineStr">
        <is>
          <t>Pickup Truck</t>
        </is>
      </c>
      <c r="I2942" t="inlineStr">
        <is>
          <t>Daily/ Weekly Vehicle Inspection</t>
        </is>
      </c>
      <c r="J2942" t="inlineStr">
        <is>
          <t>N/A</t>
        </is>
      </c>
      <c r="K2942" t="inlineStr">
        <is>
          <t>7996 M G Tree Surgery Ltd 1</t>
        </is>
      </c>
      <c r="L2942" t="inlineStr">
        <is>
          <t>29/01/2026 07:04</t>
        </is>
      </c>
      <c r="M2942" t="inlineStr">
        <is>
          <t>None</t>
        </is>
      </c>
      <c r="N2942" t="inlineStr">
        <is>
          <t>&lt;p&gt;&lt;/p&gt;</t>
        </is>
      </c>
      <c r="O2942" t="inlineStr">
        <is>
          <t>Confirm that you have checked this vehicle as per the guidance document and the vehicle is safe and roadworthy:Light board deteriorating.
Safe for now.
Will need replacing soon.
-</t>
        </is>
      </c>
      <c r="P2942" t="inlineStr">
        <is>
          <t>KX20 BCE , Tipper , Isuzu , D-Max</t>
        </is>
      </c>
      <c r="Q2942" t="inlineStr">
        <is>
          <t>UKPN</t>
        </is>
      </c>
      <c r="R2942" t="b">
        <v>0</v>
      </c>
    </row>
    <row r="2943">
      <c r="A2943" t="inlineStr">
        <is>
          <t>29 Jan 2026 / Anthony Gale / Utilities / UKPN</t>
        </is>
      </c>
      <c r="B2943" t="inlineStr">
        <is>
          <t>Utilities</t>
        </is>
      </c>
      <c r="C2943" t="inlineStr">
        <is>
          <t>UKPN</t>
        </is>
      </c>
      <c r="D2943" t="inlineStr"/>
      <c r="E2943" t="inlineStr"/>
      <c r="F2943" t="inlineStr"/>
      <c r="G2943" t="inlineStr">
        <is>
          <t>Anthony Gale</t>
        </is>
      </c>
      <c r="H2943" t="inlineStr">
        <is>
          <t>Plant Trailer</t>
        </is>
      </c>
      <c r="I2943" t="inlineStr">
        <is>
          <t>Daily/ Weekly Vehicle Inspection</t>
        </is>
      </c>
      <c r="J2943" t="inlineStr">
        <is>
          <t>N/A</t>
        </is>
      </c>
      <c r="K2943" t="inlineStr">
        <is>
          <t>7996 M G Tree Surgery Ltd 1</t>
        </is>
      </c>
      <c r="L2943" t="inlineStr">
        <is>
          <t>29/01/2026 08:01</t>
        </is>
      </c>
      <c r="M2943" t="inlineStr">
        <is>
          <t>None</t>
        </is>
      </c>
      <c r="N2943" t="inlineStr">
        <is>
          <t>&lt;p&gt;&lt;/p&gt;</t>
        </is>
      </c>
      <c r="O2943" t="inlineStr"/>
      <c r="P2943" t="inlineStr"/>
      <c r="Q2943" t="inlineStr">
        <is>
          <t>UKPN</t>
        </is>
      </c>
      <c r="R2943" t="b">
        <v>0</v>
      </c>
    </row>
    <row r="2944">
      <c r="A2944" t="inlineStr">
        <is>
          <t>29 Jan 2026 / Anthony Gale / Utilities / UKPN</t>
        </is>
      </c>
      <c r="B2944" t="inlineStr">
        <is>
          <t>Utilities</t>
        </is>
      </c>
      <c r="C2944" t="inlineStr">
        <is>
          <t>UKPN</t>
        </is>
      </c>
      <c r="D2944" t="inlineStr">
        <is>
          <t>KX20 BCE , Tipper , Isuzu , D-Max</t>
        </is>
      </c>
      <c r="E2944" t="inlineStr">
        <is>
          <t>KX20 BCE , Tipper , Isuzu , D-Max</t>
        </is>
      </c>
      <c r="F2944" t="inlineStr">
        <is>
          <t>KX20 BCE , Tipper , Isuzu , D-Max</t>
        </is>
      </c>
      <c r="G2944" t="inlineStr">
        <is>
          <t>Anthony Gale</t>
        </is>
      </c>
      <c r="H2944" t="inlineStr">
        <is>
          <t>Pickup Truck</t>
        </is>
      </c>
      <c r="I2944" t="inlineStr">
        <is>
          <t>Daily/ Weekly Vehicle Inspection</t>
        </is>
      </c>
      <c r="J2944" t="inlineStr">
        <is>
          <t>N/A</t>
        </is>
      </c>
      <c r="K2944" t="inlineStr">
        <is>
          <t>7996 M G Tree Surgery Ltd 1</t>
        </is>
      </c>
      <c r="L2944" t="inlineStr">
        <is>
          <t>29/01/2026 08:01</t>
        </is>
      </c>
      <c r="M2944" t="inlineStr">
        <is>
          <t>None</t>
        </is>
      </c>
      <c r="N2944" t="inlineStr">
        <is>
          <t>&lt;p&gt;&lt;/p&gt;</t>
        </is>
      </c>
      <c r="O2944" t="inlineStr">
        <is>
          <t>Confirm that you have checked this vehicle as per the guidance document and the vehicle is safe and roadworthy:Light board deteriorating.
Safe for now.
Will need replacing soon.
-</t>
        </is>
      </c>
      <c r="P2944" t="inlineStr">
        <is>
          <t>KX20 BCE , Tipper , Isuzu , D-Max</t>
        </is>
      </c>
      <c r="Q2944" t="inlineStr">
        <is>
          <t>UKPN</t>
        </is>
      </c>
      <c r="R2944" t="b">
        <v>0</v>
      </c>
    </row>
    <row r="2945">
      <c r="A2945" t="inlineStr">
        <is>
          <t>29 Jan 2026 / 7806 Optimum Tree Services Ltd / Utilities / UKPN</t>
        </is>
      </c>
      <c r="B2945" t="inlineStr">
        <is>
          <t>Utilities</t>
        </is>
      </c>
      <c r="C2945" t="inlineStr">
        <is>
          <t>UKPN</t>
        </is>
      </c>
      <c r="D2945" t="inlineStr">
        <is>
          <t>SA9TAPLAF27414263 , Trailer , Tow Mate , Plant Trailer</t>
        </is>
      </c>
      <c r="E2945" t="inlineStr">
        <is>
          <t>SA9TAPLAF27414263 , Trailer , Tow Mate , Plant Trailer</t>
        </is>
      </c>
      <c r="F2945" t="inlineStr">
        <is>
          <t>SA9TAPLAF27414263 , Trailer , Tow Mate , Plant Trailer</t>
        </is>
      </c>
      <c r="G2945" t="inlineStr">
        <is>
          <t xml:space="preserve">Abraham Davies </t>
        </is>
      </c>
      <c r="H2945" t="inlineStr">
        <is>
          <t>Plant Trailer</t>
        </is>
      </c>
      <c r="I2945" t="inlineStr">
        <is>
          <t>Daily/ Weekly Vehicle Inspection</t>
        </is>
      </c>
      <c r="J2945" t="inlineStr">
        <is>
          <t>N/A</t>
        </is>
      </c>
      <c r="K2945" t="inlineStr">
        <is>
          <t>7806 Optimum Tree Services Ltd</t>
        </is>
      </c>
      <c r="L2945" t="inlineStr">
        <is>
          <t>29/01/2026 08:03</t>
        </is>
      </c>
      <c r="M2945" t="inlineStr">
        <is>
          <t>None</t>
        </is>
      </c>
      <c r="N2945" t="inlineStr">
        <is>
          <t>&lt;p&gt;&lt;/p&gt;</t>
        </is>
      </c>
      <c r="O2945" t="inlineStr"/>
      <c r="P2945" t="inlineStr">
        <is>
          <t>SA9TAPLAF27414263 , Trailer , Tow Mate , Plant Trailer</t>
        </is>
      </c>
      <c r="Q2945" t="inlineStr">
        <is>
          <t>UKPN</t>
        </is>
      </c>
      <c r="R2945" t="b">
        <v>0</v>
      </c>
    </row>
    <row r="2946">
      <c r="A2946" t="inlineStr">
        <is>
          <t>29 Jan 2026 / 7806 Optimum Tree Services Ltd / Utilities / UKPN</t>
        </is>
      </c>
      <c r="B2946" t="inlineStr">
        <is>
          <t>Utilities</t>
        </is>
      </c>
      <c r="C2946" t="inlineStr">
        <is>
          <t>UKPN</t>
        </is>
      </c>
      <c r="D2946" t="inlineStr">
        <is>
          <t>WD14EVB , MEWP , Land Rover , Defender</t>
        </is>
      </c>
      <c r="E2946" t="inlineStr">
        <is>
          <t>WD14EVB , MEWP , Land Rover , Defender</t>
        </is>
      </c>
      <c r="F2946" t="inlineStr">
        <is>
          <t>WD14EVB , MEWP , Land Rover , Defender</t>
        </is>
      </c>
      <c r="G2946" t="inlineStr">
        <is>
          <t xml:space="preserve">Abraham Davies </t>
        </is>
      </c>
      <c r="H2946" t="inlineStr">
        <is>
          <t>4x4</t>
        </is>
      </c>
      <c r="I2946" t="inlineStr">
        <is>
          <t>Daily/ Weekly Vehicle Inspection</t>
        </is>
      </c>
      <c r="J2946" t="inlineStr">
        <is>
          <t>N/A</t>
        </is>
      </c>
      <c r="K2946" t="inlineStr">
        <is>
          <t>7806 Optimum Tree Services Ltd</t>
        </is>
      </c>
      <c r="L2946" t="inlineStr">
        <is>
          <t>29/01/2026 08:04</t>
        </is>
      </c>
      <c r="M2946" t="inlineStr">
        <is>
          <t>None</t>
        </is>
      </c>
      <c r="N2946" t="inlineStr">
        <is>
          <t>&lt;p&gt;&lt;/p&gt;</t>
        </is>
      </c>
      <c r="O2946" t="inlineStr"/>
      <c r="P2946" t="inlineStr">
        <is>
          <t>WD14EVB , MEWP , Land Rover , Defender</t>
        </is>
      </c>
      <c r="Q2946" t="inlineStr">
        <is>
          <t>UKPN</t>
        </is>
      </c>
      <c r="R2946" t="b">
        <v>0</v>
      </c>
    </row>
    <row r="2947">
      <c r="A2947" t="inlineStr">
        <is>
          <t>28 Jan 2026 / 7806 Optimum Tree Services Ltd / Utilities / UKPN</t>
        </is>
      </c>
      <c r="B2947" t="inlineStr">
        <is>
          <t>Utilities</t>
        </is>
      </c>
      <c r="C2947" t="inlineStr">
        <is>
          <t>UKPN</t>
        </is>
      </c>
      <c r="D2947" t="inlineStr">
        <is>
          <t>SA9ST800000283069 , Chipper , Forst , ST 6P</t>
        </is>
      </c>
      <c r="E2947" t="inlineStr">
        <is>
          <t>SA9ST800000283069 , Chipper , Forst , ST 6P</t>
        </is>
      </c>
      <c r="F2947" t="inlineStr">
        <is>
          <t>SA9ST800000283069 , Chipper , Forst , ST 6P</t>
        </is>
      </c>
      <c r="G2947" t="inlineStr">
        <is>
          <t xml:space="preserve">Lewis Davies </t>
        </is>
      </c>
      <c r="H2947" t="inlineStr">
        <is>
          <t>Towed Chipper</t>
        </is>
      </c>
      <c r="I2947" t="inlineStr">
        <is>
          <t>Daily/ Weekly Vehicle Inspection</t>
        </is>
      </c>
      <c r="J2947" t="inlineStr">
        <is>
          <t>N/A</t>
        </is>
      </c>
      <c r="K2947" t="inlineStr">
        <is>
          <t>7806 Optimum Tree Services Ltd</t>
        </is>
      </c>
      <c r="L2947" t="inlineStr">
        <is>
          <t>29/01/2026 08:04</t>
        </is>
      </c>
      <c r="M2947" t="inlineStr">
        <is>
          <t>None</t>
        </is>
      </c>
      <c r="N2947" t="inlineStr">
        <is>
          <t>&lt;p&gt;&lt;/p&gt;</t>
        </is>
      </c>
      <c r="O2947" t="inlineStr"/>
      <c r="P2947" t="inlineStr">
        <is>
          <t>SA9ST800000283069 , Chipper , Forst , ST 6P</t>
        </is>
      </c>
      <c r="Q2947" t="inlineStr">
        <is>
          <t>UKPN</t>
        </is>
      </c>
      <c r="R2947" t="b">
        <v>0</v>
      </c>
    </row>
    <row r="2948">
      <c r="A2948" t="inlineStr">
        <is>
          <t>29 Jan 2026 / 7186 Eastwoodbury Tree Services Ltd / Utilities / UKPN</t>
        </is>
      </c>
      <c r="B2948" t="inlineStr">
        <is>
          <t>Utilities</t>
        </is>
      </c>
      <c r="C2948" t="inlineStr">
        <is>
          <t>UKPN</t>
        </is>
      </c>
      <c r="D2948" t="inlineStr">
        <is>
          <t>DN61XKJ , Tipper , Ford , Transit</t>
        </is>
      </c>
      <c r="E2948" t="inlineStr">
        <is>
          <t>DN61XKJ , Tipper , Ford , Transit</t>
        </is>
      </c>
      <c r="F2948" t="inlineStr">
        <is>
          <t>DN61XKJ , Tipper , Ford , Transit</t>
        </is>
      </c>
      <c r="G2948" t="inlineStr">
        <is>
          <t xml:space="preserve">Dan Gilbert </t>
        </is>
      </c>
      <c r="H2948" t="inlineStr">
        <is>
          <t>Tipper</t>
        </is>
      </c>
      <c r="I2948" t="inlineStr">
        <is>
          <t>Daily/ Weekly Vehicle Inspection</t>
        </is>
      </c>
      <c r="J2948" t="inlineStr">
        <is>
          <t>N/A</t>
        </is>
      </c>
      <c r="K2948" t="inlineStr">
        <is>
          <t>7186 Eastwoodbury Tree Services Ltd</t>
        </is>
      </c>
      <c r="L2948" t="inlineStr">
        <is>
          <t>29/01/2026 08:05</t>
        </is>
      </c>
      <c r="M2948" t="inlineStr">
        <is>
          <t>None</t>
        </is>
      </c>
      <c r="N2948" t="inlineStr">
        <is>
          <t>&lt;p&gt;&lt;/p&gt;</t>
        </is>
      </c>
      <c r="O2948" t="inlineStr"/>
      <c r="P2948" t="inlineStr">
        <is>
          <t>DN61XKJ , Tipper , Ford , Transit</t>
        </is>
      </c>
      <c r="Q2948" t="inlineStr">
        <is>
          <t>UKPN</t>
        </is>
      </c>
      <c r="R2948" t="b">
        <v>0</v>
      </c>
    </row>
    <row r="2949">
      <c r="A2949" t="inlineStr">
        <is>
          <t>29 Jan 2026 / Thomas Playford / Utilities / UKPN</t>
        </is>
      </c>
      <c r="B2949" t="inlineStr">
        <is>
          <t>Utilities</t>
        </is>
      </c>
      <c r="C2949" t="inlineStr">
        <is>
          <t>UKPN</t>
        </is>
      </c>
      <c r="D2949" t="inlineStr">
        <is>
          <t>WM72UNF , 4x4 , Ford , Ranger</t>
        </is>
      </c>
      <c r="E2949" t="inlineStr">
        <is>
          <t>WM72UNF , 4x4 , Ford , Ranger</t>
        </is>
      </c>
      <c r="F2949" t="inlineStr">
        <is>
          <t>WM72UNF , 4x4 , Ford , Ranger</t>
        </is>
      </c>
      <c r="G2949" t="inlineStr">
        <is>
          <t>Jacob Oram</t>
        </is>
      </c>
      <c r="H2949" t="inlineStr">
        <is>
          <t>4x4</t>
        </is>
      </c>
      <c r="I2949" t="inlineStr">
        <is>
          <t>Daily/ Weekly Vehicle Inspection</t>
        </is>
      </c>
      <c r="J2949" t="inlineStr">
        <is>
          <t>N/A</t>
        </is>
      </c>
      <c r="K2949" t="inlineStr">
        <is>
          <t>7995 Green Net Eco Ltd 2</t>
        </is>
      </c>
      <c r="L2949" t="inlineStr">
        <is>
          <t>29/01/2026 08:06</t>
        </is>
      </c>
      <c r="M2949" t="inlineStr">
        <is>
          <t>None</t>
        </is>
      </c>
      <c r="N2949" t="inlineStr">
        <is>
          <t>&lt;p&gt;&lt;/p&gt;</t>
        </is>
      </c>
      <c r="O2949" t="inlineStr"/>
      <c r="P2949" t="inlineStr">
        <is>
          <t>WM72UNF , 4x4 , Ford , Ranger</t>
        </is>
      </c>
      <c r="Q2949" t="inlineStr">
        <is>
          <t>UKPN</t>
        </is>
      </c>
      <c r="R2949" t="b">
        <v>0</v>
      </c>
    </row>
    <row r="2950">
      <c r="A2950" t="inlineStr">
        <is>
          <t>29 Jan 2026 / 6617 Ashdown Tree Limited 1 / Utilities / UKPN</t>
        </is>
      </c>
      <c r="B2950" t="inlineStr">
        <is>
          <t>Utilities</t>
        </is>
      </c>
      <c r="C2950" t="inlineStr">
        <is>
          <t>UKPN</t>
        </is>
      </c>
      <c r="D2950" t="inlineStr">
        <is>
          <t>WG63OJS , 4x4 , Land rover  , defender</t>
        </is>
      </c>
      <c r="E2950" t="inlineStr">
        <is>
          <t>WG63OJS , 4x4 , Land rover  , defender</t>
        </is>
      </c>
      <c r="F2950" t="inlineStr">
        <is>
          <t>WG63OJS , 4x4 , Land rover  , defender</t>
        </is>
      </c>
      <c r="G2950" t="inlineStr">
        <is>
          <t>Dan</t>
        </is>
      </c>
      <c r="H2950" t="inlineStr">
        <is>
          <t>4x4</t>
        </is>
      </c>
      <c r="I2950" t="inlineStr">
        <is>
          <t>Daily/ Weekly Vehicle Inspection</t>
        </is>
      </c>
      <c r="J2950" t="inlineStr">
        <is>
          <t>N/A</t>
        </is>
      </c>
      <c r="K2950" t="inlineStr">
        <is>
          <t>6617 Ashdown Tree Limited - Team 2</t>
        </is>
      </c>
      <c r="L2950" t="inlineStr">
        <is>
          <t>29/01/2026 08:07</t>
        </is>
      </c>
      <c r="M2950" t="inlineStr">
        <is>
          <t>None</t>
        </is>
      </c>
      <c r="N2950" t="inlineStr">
        <is>
          <t>&lt;p&gt;&lt;/p&gt;</t>
        </is>
      </c>
      <c r="O2950" t="inlineStr"/>
      <c r="P2950" t="inlineStr">
        <is>
          <t>WG63OJS , 4x4 , Land rover  , defender</t>
        </is>
      </c>
      <c r="Q2950" t="inlineStr">
        <is>
          <t>UKPN</t>
        </is>
      </c>
      <c r="R2950" t="b">
        <v>0</v>
      </c>
    </row>
    <row r="2951">
      <c r="A2951" t="inlineStr">
        <is>
          <t>29 Jan 2026 / James Gorman / Utilities / UKPN</t>
        </is>
      </c>
      <c r="B2951" t="inlineStr">
        <is>
          <t>Utilities</t>
        </is>
      </c>
      <c r="C2951" t="inlineStr">
        <is>
          <t>UKPN</t>
        </is>
      </c>
      <c r="D2951" t="inlineStr">
        <is>
          <t>AF22 XRA , Car - Electric , Tesla , Model 3</t>
        </is>
      </c>
      <c r="E2951" t="inlineStr">
        <is>
          <t>AF22 XRA , Car - Electric , Tesla , Model 3</t>
        </is>
      </c>
      <c r="F2951" t="inlineStr">
        <is>
          <t>AF22 XRA , Car - Electric , Tesla , Model 3</t>
        </is>
      </c>
      <c r="G2951" t="inlineStr">
        <is>
          <t>James Gorman</t>
        </is>
      </c>
      <c r="H2951" t="inlineStr">
        <is>
          <t>Car - Electric (GC Owned)</t>
        </is>
      </c>
      <c r="I2951" t="inlineStr">
        <is>
          <t>Daily/ Weekly Vehicle Inspection</t>
        </is>
      </c>
      <c r="J2951" t="inlineStr">
        <is>
          <t>N/A</t>
        </is>
      </c>
      <c r="K2951" t="inlineStr">
        <is>
          <t>James Gorman</t>
        </is>
      </c>
      <c r="L2951" t="inlineStr">
        <is>
          <t>29/01/2026 09:02</t>
        </is>
      </c>
      <c r="M2951" t="inlineStr">
        <is>
          <t>None</t>
        </is>
      </c>
      <c r="N2951" t="inlineStr">
        <is>
          <t>&lt;p&gt;&lt;/p&gt;</t>
        </is>
      </c>
      <c r="O2951" t="inlineStr"/>
      <c r="P2951" t="inlineStr">
        <is>
          <t>AF22 XRA , Car - Electric , Tesla , Model 3</t>
        </is>
      </c>
      <c r="Q2951" t="inlineStr">
        <is>
          <t>UKPN</t>
        </is>
      </c>
      <c r="R2951" t="b">
        <v>0</v>
      </c>
    </row>
    <row r="2952">
      <c r="A2952" t="inlineStr">
        <is>
          <t>29 Jan 2026 / 7951 Austin Tree Care LTD / Utilities / UKPN</t>
        </is>
      </c>
      <c r="B2952" t="inlineStr">
        <is>
          <t>Utilities</t>
        </is>
      </c>
      <c r="C2952" t="inlineStr">
        <is>
          <t>UKPN</t>
        </is>
      </c>
      <c r="D2952" t="inlineStr">
        <is>
          <t>WG64HTT , 4x4 , Land Rover , Defender 110</t>
        </is>
      </c>
      <c r="E2952" t="inlineStr">
        <is>
          <t>WG64HTT , 4x4 , Land Rover , Defender 110</t>
        </is>
      </c>
      <c r="F2952" t="inlineStr">
        <is>
          <t>WG64HTT , 4x4 , Land Rover , Defender 110</t>
        </is>
      </c>
      <c r="G2952" t="inlineStr">
        <is>
          <t xml:space="preserve">Jack Austin </t>
        </is>
      </c>
      <c r="H2952" t="inlineStr">
        <is>
          <t>4x4</t>
        </is>
      </c>
      <c r="I2952" t="inlineStr">
        <is>
          <t>Daily/ Weekly Vehicle Inspection</t>
        </is>
      </c>
      <c r="J2952" t="inlineStr">
        <is>
          <t>N/A</t>
        </is>
      </c>
      <c r="K2952" t="inlineStr">
        <is>
          <t>7951 Austin Tree Care LTD</t>
        </is>
      </c>
      <c r="L2952" t="inlineStr">
        <is>
          <t>29/01/2026 09:03</t>
        </is>
      </c>
      <c r="M2952" t="inlineStr">
        <is>
          <t>None</t>
        </is>
      </c>
      <c r="N2952" t="inlineStr">
        <is>
          <t>&lt;p&gt;&lt;/p&gt;</t>
        </is>
      </c>
      <c r="O2952" t="inlineStr"/>
      <c r="P2952" t="inlineStr">
        <is>
          <t>WG64HTT , 4x4 , Land Rover , Defender 110</t>
        </is>
      </c>
      <c r="Q2952" t="inlineStr">
        <is>
          <t>UKPN</t>
        </is>
      </c>
      <c r="R2952" t="b">
        <v>0</v>
      </c>
    </row>
    <row r="2953">
      <c r="A2953" t="inlineStr">
        <is>
          <t>29 Jan 2026 / Philip Shaw / Utilities / NGED</t>
        </is>
      </c>
      <c r="B2953" t="inlineStr">
        <is>
          <t>Utilities</t>
        </is>
      </c>
      <c r="C2953" t="inlineStr">
        <is>
          <t>NGED</t>
        </is>
      </c>
      <c r="D2953" t="inlineStr">
        <is>
          <t>AF22TZO , Car - Electric , Tesla , Model 3 Long Range AWD</t>
        </is>
      </c>
      <c r="E2953" t="inlineStr">
        <is>
          <t>AF22TZO , Car - Electric , Tesla , Model 3 Long Range AWD</t>
        </is>
      </c>
      <c r="F2953" t="inlineStr">
        <is>
          <t>AF22TZO , Car - Electric , Tesla , Model 3 Long Range AWD</t>
        </is>
      </c>
      <c r="G2953" t="inlineStr">
        <is>
          <t xml:space="preserve">Phil shaw </t>
        </is>
      </c>
      <c r="H2953" t="inlineStr">
        <is>
          <t>Car - Electric (GC Owned)</t>
        </is>
      </c>
      <c r="I2953" t="inlineStr">
        <is>
          <t>Daily/ Weekly Vehicle Inspection</t>
        </is>
      </c>
      <c r="J2953" t="inlineStr">
        <is>
          <t>N/A</t>
        </is>
      </c>
      <c r="K2953" t="inlineStr">
        <is>
          <t>Philip Shaw</t>
        </is>
      </c>
      <c r="L2953" t="inlineStr">
        <is>
          <t>29/01/2026 09:04</t>
        </is>
      </c>
      <c r="M2953" t="inlineStr">
        <is>
          <t>None</t>
        </is>
      </c>
      <c r="N2953" t="inlineStr">
        <is>
          <t>&lt;p&gt;&lt;/p&gt;</t>
        </is>
      </c>
      <c r="O2953" t="inlineStr"/>
      <c r="P2953" t="inlineStr">
        <is>
          <t>AF22TZO , Car - Electric , Tesla , Model 3 Long Range AWD</t>
        </is>
      </c>
      <c r="Q2953" t="inlineStr">
        <is>
          <t>NGED</t>
        </is>
      </c>
      <c r="R2953" t="b">
        <v>0</v>
      </c>
    </row>
    <row r="2954">
      <c r="A2954" t="inlineStr">
        <is>
          <t>29 Jan 2026 / 8148 Hope Ground and Tree Care / Utilities / UKPN</t>
        </is>
      </c>
      <c r="B2954" t="inlineStr">
        <is>
          <t>Utilities</t>
        </is>
      </c>
      <c r="C2954" t="inlineStr">
        <is>
          <t>UKPN</t>
        </is>
      </c>
      <c r="D2954" t="inlineStr">
        <is>
          <t>S6 NWX , MEWP , Isuzu , D-Max</t>
        </is>
      </c>
      <c r="E2954" t="inlineStr">
        <is>
          <t>S6 NWX , MEWP , Isuzu , D-Max</t>
        </is>
      </c>
      <c r="F2954" t="inlineStr">
        <is>
          <t>S6 NWX , MEWP , Isuzu , D-Max</t>
        </is>
      </c>
      <c r="G2954" t="inlineStr">
        <is>
          <t>A Hope</t>
        </is>
      </c>
      <c r="H2954" t="inlineStr">
        <is>
          <t>4x4</t>
        </is>
      </c>
      <c r="I2954" t="inlineStr">
        <is>
          <t>Daily/ Weekly Vehicle Inspection</t>
        </is>
      </c>
      <c r="J2954" t="inlineStr">
        <is>
          <t>N/A</t>
        </is>
      </c>
      <c r="K2954" t="inlineStr">
        <is>
          <t>8148 Hope Ground and Tree Care</t>
        </is>
      </c>
      <c r="L2954" t="inlineStr">
        <is>
          <t>29/01/2026 09:06</t>
        </is>
      </c>
      <c r="M2954" t="inlineStr">
        <is>
          <t>None</t>
        </is>
      </c>
      <c r="N2954" t="inlineStr">
        <is>
          <t>&lt;p&gt;&lt;/p&gt;</t>
        </is>
      </c>
      <c r="O2954" t="inlineStr"/>
      <c r="P2954" t="inlineStr">
        <is>
          <t>S6 NWX , MEWP , Isuzu , D-Max</t>
        </is>
      </c>
      <c r="Q2954" t="inlineStr">
        <is>
          <t>UKPN</t>
        </is>
      </c>
      <c r="R2954" t="b">
        <v>0</v>
      </c>
    </row>
    <row r="2955">
      <c r="A2955" t="inlineStr">
        <is>
          <t>29 Jan 2026 / 3098 D &amp; R Landscapes / Utilities / UKPN</t>
        </is>
      </c>
      <c r="B2955" t="inlineStr">
        <is>
          <t>Utilities</t>
        </is>
      </c>
      <c r="C2955" t="inlineStr">
        <is>
          <t>UKPN</t>
        </is>
      </c>
      <c r="D2955" t="inlineStr">
        <is>
          <t>WA13ZZK , 4x4 , Land Rover  , Defender</t>
        </is>
      </c>
      <c r="E2955" t="inlineStr">
        <is>
          <t>WA13ZZK , 4x4 , Land Rover  , Defender</t>
        </is>
      </c>
      <c r="F2955" t="inlineStr">
        <is>
          <t>WA13ZZK , 4x4 , Land Rover  , Defender</t>
        </is>
      </c>
      <c r="G2955" t="inlineStr">
        <is>
          <t xml:space="preserve">Josh </t>
        </is>
      </c>
      <c r="H2955" t="inlineStr">
        <is>
          <t>Pickup Truck</t>
        </is>
      </c>
      <c r="I2955" t="inlineStr">
        <is>
          <t>Daily/ Weekly Vehicle Inspection</t>
        </is>
      </c>
      <c r="J2955" t="inlineStr">
        <is>
          <t>N/A</t>
        </is>
      </c>
      <c r="K2955" t="inlineStr">
        <is>
          <t>3098 D &amp; R Landscapes</t>
        </is>
      </c>
      <c r="L2955" t="inlineStr">
        <is>
          <t>29/01/2026 10:01</t>
        </is>
      </c>
      <c r="M2955" t="inlineStr">
        <is>
          <t>None</t>
        </is>
      </c>
      <c r="N2955" t="inlineStr">
        <is>
          <t>&lt;p&gt;&lt;/p&gt;</t>
        </is>
      </c>
      <c r="O2955" t="inlineStr"/>
      <c r="P2955" t="inlineStr">
        <is>
          <t>WA13ZZK , 4x4 , Land Rover  , Defender</t>
        </is>
      </c>
      <c r="Q2955" t="inlineStr">
        <is>
          <t>UKPN</t>
        </is>
      </c>
      <c r="R2955" t="b">
        <v>0</v>
      </c>
    </row>
    <row r="2956">
      <c r="A2956" t="inlineStr">
        <is>
          <t>29 Jan 2026 / 3098 D &amp; R Landscapes / Utilities / UKPN</t>
        </is>
      </c>
      <c r="B2956" t="inlineStr">
        <is>
          <t>Utilities</t>
        </is>
      </c>
      <c r="C2956" t="inlineStr">
        <is>
          <t>UKPN</t>
        </is>
      </c>
      <c r="D2956" t="inlineStr">
        <is>
          <t>DE68XHA , Tipper , Isuzu , Grafter</t>
        </is>
      </c>
      <c r="E2956" t="inlineStr">
        <is>
          <t>DE68XHA , Tipper , Isuzu , Grafter</t>
        </is>
      </c>
      <c r="F2956" t="inlineStr">
        <is>
          <t>DE68XHA , Tipper , Isuzu , Grafter</t>
        </is>
      </c>
      <c r="G2956" t="inlineStr">
        <is>
          <t xml:space="preserve">Chris </t>
        </is>
      </c>
      <c r="H2956" t="inlineStr">
        <is>
          <t>Tipper</t>
        </is>
      </c>
      <c r="I2956" t="inlineStr">
        <is>
          <t>Daily/ Weekly Vehicle Inspection</t>
        </is>
      </c>
      <c r="J2956" t="inlineStr">
        <is>
          <t>N/A</t>
        </is>
      </c>
      <c r="K2956" t="inlineStr">
        <is>
          <t>3098 D &amp; R Landscapes</t>
        </is>
      </c>
      <c r="L2956" t="inlineStr">
        <is>
          <t>29/01/2026 10:02</t>
        </is>
      </c>
      <c r="M2956" t="inlineStr">
        <is>
          <t>None</t>
        </is>
      </c>
      <c r="N2956" t="inlineStr">
        <is>
          <t>&lt;p&gt;&lt;/p&gt;</t>
        </is>
      </c>
      <c r="O2956" t="inlineStr"/>
      <c r="P2956" t="inlineStr">
        <is>
          <t>DE68XHA , Tipper , Isuzu , Grafter</t>
        </is>
      </c>
      <c r="Q2956" t="inlineStr">
        <is>
          <t>UKPN</t>
        </is>
      </c>
      <c r="R2956" t="b">
        <v>0</v>
      </c>
    </row>
    <row r="2957">
      <c r="A2957" t="inlineStr">
        <is>
          <t>29 Jan 2026 / 3098 D &amp; R Landscapes / Utilities / UKPN</t>
        </is>
      </c>
      <c r="B2957" t="inlineStr">
        <is>
          <t>Utilities</t>
        </is>
      </c>
      <c r="C2957" t="inlineStr">
        <is>
          <t>UKPN</t>
        </is>
      </c>
      <c r="D2957" t="inlineStr">
        <is>
          <t>BT20 GNZ , Vehicle , Nissan , Navara</t>
        </is>
      </c>
      <c r="E2957" t="inlineStr">
        <is>
          <t>BT20 GNZ , Vehicle , Nissan , Navara</t>
        </is>
      </c>
      <c r="F2957" t="inlineStr">
        <is>
          <t>BT20 GNZ , Vehicle , Nissan , Navara</t>
        </is>
      </c>
      <c r="G2957" t="inlineStr">
        <is>
          <t>Jason</t>
        </is>
      </c>
      <c r="H2957" t="inlineStr">
        <is>
          <t>Pickup Truck</t>
        </is>
      </c>
      <c r="I2957" t="inlineStr">
        <is>
          <t>Daily/ Weekly Vehicle Inspection</t>
        </is>
      </c>
      <c r="J2957" t="inlineStr">
        <is>
          <t>N/A</t>
        </is>
      </c>
      <c r="K2957" t="inlineStr">
        <is>
          <t>3098 D &amp; R Landscapes</t>
        </is>
      </c>
      <c r="L2957" t="inlineStr">
        <is>
          <t>29/01/2026 10:02</t>
        </is>
      </c>
      <c r="M2957" t="inlineStr">
        <is>
          <t>None</t>
        </is>
      </c>
      <c r="N2957" t="inlineStr">
        <is>
          <t>&lt;p&gt;&lt;/p&gt;</t>
        </is>
      </c>
      <c r="O2957" t="inlineStr"/>
      <c r="P2957" t="inlineStr">
        <is>
          <t>BT20 GNZ , Vehicle , Nissan , Navara</t>
        </is>
      </c>
      <c r="Q2957" t="inlineStr">
        <is>
          <t>UKPN</t>
        </is>
      </c>
      <c r="R2957" t="b">
        <v>0</v>
      </c>
    </row>
    <row r="2958">
      <c r="A2958" t="inlineStr">
        <is>
          <t>29 Jan 2026 / Anthony Gale / Utilities / UKPN</t>
        </is>
      </c>
      <c r="B2958" t="inlineStr">
        <is>
          <t>Utilities</t>
        </is>
      </c>
      <c r="C2958" t="inlineStr">
        <is>
          <t>UKPN</t>
        </is>
      </c>
      <c r="D2958" t="inlineStr"/>
      <c r="E2958" t="inlineStr"/>
      <c r="F2958" t="inlineStr"/>
      <c r="G2958" t="inlineStr">
        <is>
          <t>Anthony Gale</t>
        </is>
      </c>
      <c r="H2958" t="inlineStr">
        <is>
          <t>Plant Trailer</t>
        </is>
      </c>
      <c r="I2958" t="inlineStr">
        <is>
          <t>Daily/ Weekly Vehicle Inspection</t>
        </is>
      </c>
      <c r="J2958" t="inlineStr">
        <is>
          <t>N/A</t>
        </is>
      </c>
      <c r="K2958" t="inlineStr">
        <is>
          <t>7996 M G Tree Surgery Ltd 1</t>
        </is>
      </c>
      <c r="L2958" t="inlineStr">
        <is>
          <t>30/01/2026 07:01</t>
        </is>
      </c>
      <c r="M2958" t="inlineStr">
        <is>
          <t>None</t>
        </is>
      </c>
      <c r="N2958" t="inlineStr">
        <is>
          <t>&lt;p&gt;&lt;/p&gt;</t>
        </is>
      </c>
      <c r="O2958" t="inlineStr"/>
      <c r="P2958" t="inlineStr"/>
      <c r="Q2958" t="inlineStr">
        <is>
          <t>UKPN</t>
        </is>
      </c>
      <c r="R2958" t="b">
        <v>0</v>
      </c>
    </row>
    <row r="2959">
      <c r="A2959" t="inlineStr">
        <is>
          <t>30 Jan 2026 / 8148 Hope Ground and Tree Care / Utilities / UKPN</t>
        </is>
      </c>
      <c r="B2959" t="inlineStr">
        <is>
          <t>Utilities</t>
        </is>
      </c>
      <c r="C2959" t="inlineStr">
        <is>
          <t>UKPN</t>
        </is>
      </c>
      <c r="D2959" t="inlineStr">
        <is>
          <t>S6 NWX , MEWP , Isuzu , D-Max</t>
        </is>
      </c>
      <c r="E2959" t="inlineStr">
        <is>
          <t>S6 NWX , MEWP , Isuzu , D-Max</t>
        </is>
      </c>
      <c r="F2959" t="inlineStr">
        <is>
          <t>S6 NWX , MEWP , Isuzu , D-Max</t>
        </is>
      </c>
      <c r="G2959" t="inlineStr">
        <is>
          <t>A Hope</t>
        </is>
      </c>
      <c r="H2959" t="inlineStr">
        <is>
          <t>4x4</t>
        </is>
      </c>
      <c r="I2959" t="inlineStr">
        <is>
          <t>Daily/ Weekly Vehicle Inspection</t>
        </is>
      </c>
      <c r="J2959" t="inlineStr">
        <is>
          <t>N/A</t>
        </is>
      </c>
      <c r="K2959" t="inlineStr">
        <is>
          <t>8148 Hope Ground and Tree Care</t>
        </is>
      </c>
      <c r="L2959" t="inlineStr">
        <is>
          <t>30/01/2026 08:02</t>
        </is>
      </c>
      <c r="M2959" t="inlineStr">
        <is>
          <t>None</t>
        </is>
      </c>
      <c r="N2959" t="inlineStr">
        <is>
          <t>&lt;p&gt;&lt;/p&gt;</t>
        </is>
      </c>
      <c r="O2959" t="inlineStr"/>
      <c r="P2959" t="inlineStr">
        <is>
          <t>S6 NWX , MEWP , Isuzu , D-Max</t>
        </is>
      </c>
      <c r="Q2959" t="inlineStr">
        <is>
          <t>UKPN</t>
        </is>
      </c>
      <c r="R2959" t="b">
        <v>0</v>
      </c>
    </row>
    <row r="2960">
      <c r="A2960" t="inlineStr">
        <is>
          <t>30 Jan 2026 / Thomas Playford / Utilities / UKPN</t>
        </is>
      </c>
      <c r="B2960" t="inlineStr">
        <is>
          <t>Utilities</t>
        </is>
      </c>
      <c r="C2960" t="inlineStr">
        <is>
          <t>UKPN</t>
        </is>
      </c>
      <c r="D2960" t="inlineStr">
        <is>
          <t>WM72UNF , 4x4 , Ford , Ranger</t>
        </is>
      </c>
      <c r="E2960" t="inlineStr">
        <is>
          <t>WM72UNF , 4x4 , Ford , Ranger</t>
        </is>
      </c>
      <c r="F2960" t="inlineStr">
        <is>
          <t>WM72UNF , 4x4 , Ford , Ranger</t>
        </is>
      </c>
      <c r="G2960" t="inlineStr">
        <is>
          <t>Jacob Oram</t>
        </is>
      </c>
      <c r="H2960" t="inlineStr">
        <is>
          <t>4x4</t>
        </is>
      </c>
      <c r="I2960" t="inlineStr">
        <is>
          <t>Daily/ Weekly Vehicle Inspection</t>
        </is>
      </c>
      <c r="J2960" t="inlineStr">
        <is>
          <t>N/A</t>
        </is>
      </c>
      <c r="K2960" t="inlineStr">
        <is>
          <t>7995 Green Net Eco Ltd 2</t>
        </is>
      </c>
      <c r="L2960" t="inlineStr">
        <is>
          <t>30/01/2026 08:04</t>
        </is>
      </c>
      <c r="M2960" t="inlineStr">
        <is>
          <t>None</t>
        </is>
      </c>
      <c r="N2960" t="inlineStr">
        <is>
          <t>&lt;p&gt;&lt;/p&gt;</t>
        </is>
      </c>
      <c r="O2960" t="inlineStr"/>
      <c r="P2960" t="inlineStr">
        <is>
          <t>WM72UNF , 4x4 , Ford , Ranger</t>
        </is>
      </c>
      <c r="Q2960" t="inlineStr">
        <is>
          <t>UKPN</t>
        </is>
      </c>
      <c r="R2960" t="b">
        <v>0</v>
      </c>
    </row>
    <row r="2961">
      <c r="A2961" t="inlineStr">
        <is>
          <t>30 Jan 2026 / Anthony Gale / Utilities / UKPN</t>
        </is>
      </c>
      <c r="B2961" t="inlineStr">
        <is>
          <t>Utilities</t>
        </is>
      </c>
      <c r="C2961" t="inlineStr">
        <is>
          <t>UKPN</t>
        </is>
      </c>
      <c r="D2961" t="inlineStr"/>
      <c r="E2961" t="inlineStr"/>
      <c r="F2961" t="inlineStr"/>
      <c r="G2961" t="inlineStr">
        <is>
          <t>Anthony Gale</t>
        </is>
      </c>
      <c r="H2961" t="inlineStr">
        <is>
          <t>Plant Trailer</t>
        </is>
      </c>
      <c r="I2961" t="inlineStr">
        <is>
          <t>Daily/ Weekly Vehicle Inspection</t>
        </is>
      </c>
      <c r="J2961" t="inlineStr">
        <is>
          <t>N/A</t>
        </is>
      </c>
      <c r="K2961" t="inlineStr">
        <is>
          <t>7996 M G Tree Surgery Ltd 1</t>
        </is>
      </c>
      <c r="L2961" t="inlineStr">
        <is>
          <t>30/01/2026 08:05</t>
        </is>
      </c>
      <c r="M2961" t="inlineStr">
        <is>
          <t>None</t>
        </is>
      </c>
      <c r="N2961" t="inlineStr">
        <is>
          <t>&lt;p&gt;&lt;/p&gt;</t>
        </is>
      </c>
      <c r="O2961" t="inlineStr"/>
      <c r="P2961" t="inlineStr"/>
      <c r="Q2961" t="inlineStr">
        <is>
          <t>UKPN</t>
        </is>
      </c>
      <c r="R2961" t="b">
        <v>0</v>
      </c>
    </row>
    <row r="2962">
      <c r="A2962" t="inlineStr">
        <is>
          <t>30 Jan 2026 / 7806 Optimum Tree Services Ltd / Utilities / UKPN</t>
        </is>
      </c>
      <c r="B2962" t="inlineStr">
        <is>
          <t>Utilities</t>
        </is>
      </c>
      <c r="C2962" t="inlineStr">
        <is>
          <t>UKPN</t>
        </is>
      </c>
      <c r="D2962" t="inlineStr">
        <is>
          <t>SA9TAPLAF27414263 , Trailer , Tow Mate , Plant Trailer</t>
        </is>
      </c>
      <c r="E2962" t="inlineStr">
        <is>
          <t>SA9TAPLAF27414263 , Trailer , Tow Mate , Plant Trailer</t>
        </is>
      </c>
      <c r="F2962" t="inlineStr">
        <is>
          <t>SA9TAPLAF27414263 , Trailer , Tow Mate , Plant Trailer</t>
        </is>
      </c>
      <c r="G2962" t="inlineStr">
        <is>
          <t xml:space="preserve">Abraham Davies </t>
        </is>
      </c>
      <c r="H2962" t="inlineStr">
        <is>
          <t>Plant Trailer</t>
        </is>
      </c>
      <c r="I2962" t="inlineStr">
        <is>
          <t>Daily/ Weekly Vehicle Inspection</t>
        </is>
      </c>
      <c r="J2962" t="inlineStr">
        <is>
          <t>N/A</t>
        </is>
      </c>
      <c r="K2962" t="inlineStr">
        <is>
          <t>7806 Optimum Tree Services Ltd</t>
        </is>
      </c>
      <c r="L2962" t="inlineStr">
        <is>
          <t>30/01/2026 08:06</t>
        </is>
      </c>
      <c r="M2962" t="inlineStr">
        <is>
          <t>None</t>
        </is>
      </c>
      <c r="N2962" t="inlineStr">
        <is>
          <t>&lt;p&gt;&lt;/p&gt;</t>
        </is>
      </c>
      <c r="O2962" t="inlineStr"/>
      <c r="P2962" t="inlineStr">
        <is>
          <t>SA9TAPLAF27414263 , Trailer , Tow Mate , Plant Trailer</t>
        </is>
      </c>
      <c r="Q2962" t="inlineStr">
        <is>
          <t>UKPN</t>
        </is>
      </c>
      <c r="R2962" t="b">
        <v>0</v>
      </c>
    </row>
    <row r="2963">
      <c r="A2963" t="inlineStr">
        <is>
          <t>30 Jan 2026 / Anthony Gale / Utilities / UKPN</t>
        </is>
      </c>
      <c r="B2963" t="inlineStr">
        <is>
          <t>Utilities</t>
        </is>
      </c>
      <c r="C2963" t="inlineStr">
        <is>
          <t>UKPN</t>
        </is>
      </c>
      <c r="D2963" t="inlineStr">
        <is>
          <t>KX20 BCE , Tipper , Isuzu , D-Max</t>
        </is>
      </c>
      <c r="E2963" t="inlineStr">
        <is>
          <t>KX20 BCE , Tipper , Isuzu , D-Max</t>
        </is>
      </c>
      <c r="F2963" t="inlineStr">
        <is>
          <t>KX20 BCE , Tipper , Isuzu , D-Max</t>
        </is>
      </c>
      <c r="G2963" t="inlineStr">
        <is>
          <t>Anthony Gale</t>
        </is>
      </c>
      <c r="H2963" t="inlineStr">
        <is>
          <t>Pickup Truck</t>
        </is>
      </c>
      <c r="I2963" t="inlineStr">
        <is>
          <t>Daily/ Weekly Vehicle Inspection</t>
        </is>
      </c>
      <c r="J2963" t="inlineStr">
        <is>
          <t>N/A</t>
        </is>
      </c>
      <c r="K2963" t="inlineStr">
        <is>
          <t>7996 M G Tree Surgery Ltd 1</t>
        </is>
      </c>
      <c r="L2963" t="inlineStr">
        <is>
          <t>30/01/2026 08:07</t>
        </is>
      </c>
      <c r="M2963" t="inlineStr">
        <is>
          <t>None</t>
        </is>
      </c>
      <c r="N2963" t="inlineStr">
        <is>
          <t>&lt;p&gt;&lt;/p&gt;</t>
        </is>
      </c>
      <c r="O2963" t="inlineStr">
        <is>
          <t>Confirm that you have checked this vehicle as per the guidance document and the vehicle is safe and roadworthy:Light board deteriorating.
Safe for now.
Will need replacing soon.
-</t>
        </is>
      </c>
      <c r="P2963" t="inlineStr">
        <is>
          <t>KX20 BCE , Tipper , Isuzu , D-Max</t>
        </is>
      </c>
      <c r="Q2963" t="inlineStr">
        <is>
          <t>UKPN</t>
        </is>
      </c>
      <c r="R2963" t="b">
        <v>0</v>
      </c>
    </row>
    <row r="2964">
      <c r="A2964" t="inlineStr">
        <is>
          <t>30 Jan 2026 / 7806 Optimum Tree Services Ltd / Utilities / UKPN</t>
        </is>
      </c>
      <c r="B2964" t="inlineStr">
        <is>
          <t>Utilities</t>
        </is>
      </c>
      <c r="C2964" t="inlineStr">
        <is>
          <t>UKPN</t>
        </is>
      </c>
      <c r="D2964" t="inlineStr">
        <is>
          <t>Wd14evn , 4x4 , Landrover  , Defender</t>
        </is>
      </c>
      <c r="E2964" t="inlineStr">
        <is>
          <t>Wd14evn , 4x4 , Landrover  , Defender</t>
        </is>
      </c>
      <c r="F2964" t="inlineStr">
        <is>
          <t>Wd14evn , 4x4 , Landrover  , Defender</t>
        </is>
      </c>
      <c r="G2964" t="inlineStr">
        <is>
          <t xml:space="preserve">Abraham Davies </t>
        </is>
      </c>
      <c r="H2964" t="inlineStr">
        <is>
          <t>4x4</t>
        </is>
      </c>
      <c r="I2964" t="inlineStr">
        <is>
          <t>Daily/ Weekly Vehicle Inspection</t>
        </is>
      </c>
      <c r="J2964" t="inlineStr">
        <is>
          <t>N/A</t>
        </is>
      </c>
      <c r="K2964" t="inlineStr">
        <is>
          <t>7806 Optimum Tree Services Ltd</t>
        </is>
      </c>
      <c r="L2964" t="inlineStr">
        <is>
          <t>30/01/2026 08:07</t>
        </is>
      </c>
      <c r="M2964" t="inlineStr">
        <is>
          <t>None</t>
        </is>
      </c>
      <c r="N2964" t="inlineStr">
        <is>
          <t>&lt;p&gt;&lt;/p&gt;</t>
        </is>
      </c>
      <c r="O2964" t="inlineStr"/>
      <c r="P2964" t="inlineStr">
        <is>
          <t>Wd14evn , 4x4 , Landrover  , Defender</t>
        </is>
      </c>
      <c r="Q2964" t="inlineStr">
        <is>
          <t>UKPN</t>
        </is>
      </c>
      <c r="R2964" t="b">
        <v>0</v>
      </c>
    </row>
    <row r="2965">
      <c r="A2965" t="inlineStr">
        <is>
          <t>30 Jan 2026 / 7186 Eastwoodbury Tree Services Ltd / Utilities / UKPN</t>
        </is>
      </c>
      <c r="B2965" t="inlineStr">
        <is>
          <t>Utilities</t>
        </is>
      </c>
      <c r="C2965" t="inlineStr">
        <is>
          <t>UKPN</t>
        </is>
      </c>
      <c r="D2965" t="inlineStr">
        <is>
          <t>DE53NKS , 4x4 , Ford , Ranger</t>
        </is>
      </c>
      <c r="E2965" t="inlineStr">
        <is>
          <t>DE53NKS , 4x4 , Ford , Ranger</t>
        </is>
      </c>
      <c r="F2965" t="inlineStr">
        <is>
          <t>DE53NKS , 4x4 , Ford , Ranger</t>
        </is>
      </c>
      <c r="G2965" t="inlineStr">
        <is>
          <t xml:space="preserve">Jay Denkmayer </t>
        </is>
      </c>
      <c r="H2965" t="inlineStr">
        <is>
          <t>Pickup Truck</t>
        </is>
      </c>
      <c r="I2965" t="inlineStr">
        <is>
          <t>Daily/ Weekly Vehicle Inspection</t>
        </is>
      </c>
      <c r="J2965" t="inlineStr">
        <is>
          <t>N/A</t>
        </is>
      </c>
      <c r="K2965" t="inlineStr">
        <is>
          <t>7186 Eastwoodbury Tree Services Ltd</t>
        </is>
      </c>
      <c r="L2965" t="inlineStr">
        <is>
          <t>30/01/2026 08:13</t>
        </is>
      </c>
      <c r="M2965" t="inlineStr">
        <is>
          <t>None</t>
        </is>
      </c>
      <c r="N2965" t="inlineStr">
        <is>
          <t>&lt;p&gt;&lt;/p&gt;</t>
        </is>
      </c>
      <c r="O2965" t="inlineStr"/>
      <c r="P2965" t="inlineStr">
        <is>
          <t>DE53NKS , 4x4 , Ford , Ranger</t>
        </is>
      </c>
      <c r="Q2965" t="inlineStr">
        <is>
          <t>UKPN</t>
        </is>
      </c>
      <c r="R2965" t="b">
        <v>0</v>
      </c>
    </row>
    <row r="2966">
      <c r="A2966" t="inlineStr">
        <is>
          <t>30 Jan 2026 / 7951 Austin Tree Care LTD / Utilities / UKPN</t>
        </is>
      </c>
      <c r="B2966" t="inlineStr">
        <is>
          <t>Utilities</t>
        </is>
      </c>
      <c r="C2966" t="inlineStr">
        <is>
          <t>UKPN</t>
        </is>
      </c>
      <c r="D2966" t="inlineStr">
        <is>
          <t>WG64HTT , 4x4 , Land Rover , Defender 110</t>
        </is>
      </c>
      <c r="E2966" t="inlineStr">
        <is>
          <t>WG64HTT , 4x4 , Land Rover , Defender 110</t>
        </is>
      </c>
      <c r="F2966" t="inlineStr">
        <is>
          <t>WG64HTT , 4x4 , Land Rover , Defender 110</t>
        </is>
      </c>
      <c r="G2966" t="inlineStr">
        <is>
          <t>James Tasker</t>
        </is>
      </c>
      <c r="H2966" t="inlineStr">
        <is>
          <t>4x4</t>
        </is>
      </c>
      <c r="I2966" t="inlineStr">
        <is>
          <t>Daily/ Weekly Vehicle Inspection</t>
        </is>
      </c>
      <c r="J2966" t="inlineStr">
        <is>
          <t>N/A</t>
        </is>
      </c>
      <c r="K2966" t="inlineStr">
        <is>
          <t>7951 Austin Tree Care LTD</t>
        </is>
      </c>
      <c r="L2966" t="inlineStr">
        <is>
          <t>30/01/2026 09:02</t>
        </is>
      </c>
      <c r="M2966" t="inlineStr">
        <is>
          <t>None</t>
        </is>
      </c>
      <c r="N2966" t="inlineStr">
        <is>
          <t>&lt;p&gt;&lt;/p&gt;</t>
        </is>
      </c>
      <c r="O2966" t="inlineStr"/>
      <c r="P2966" t="inlineStr">
        <is>
          <t>WG64HTT , 4x4 , Land Rover , Defender 110</t>
        </is>
      </c>
      <c r="Q2966" t="inlineStr">
        <is>
          <t>UKPN</t>
        </is>
      </c>
      <c r="R2966" t="b">
        <v>0</v>
      </c>
    </row>
    <row r="2967">
      <c r="A2967" t="inlineStr">
        <is>
          <t>30 Jan 2026 / 7889 Tree Tech Suffolk Ltd</t>
        </is>
      </c>
      <c r="B2967" t="inlineStr">
        <is>
          <t>Utilities &amp; Inland Waterways</t>
        </is>
      </c>
      <c r="C2967" t="inlineStr">
        <is>
          <t>UKPN</t>
        </is>
      </c>
      <c r="D2967" t="inlineStr">
        <is>
          <t>Tipper - Nissan - Navara - NS02TTS4x4 - Isuzu - D-max - NS03 TTS</t>
        </is>
      </c>
      <c r="E2967" t="inlineStr">
        <is>
          <t>Tipper - Nissan - Navara - NS02TTS4x4 - Isuzu - D-max - NS03 TTS</t>
        </is>
      </c>
      <c r="F2967" t="inlineStr">
        <is>
          <t>Tipper - Nissan - Navara - NS02TTS4x4 - Isuzu - D-max - NS03 TTS</t>
        </is>
      </c>
      <c r="G2967" t="inlineStr">
        <is>
          <t xml:space="preserve">Danny ApplebyNikki sparrow </t>
        </is>
      </c>
      <c r="H2967" t="inlineStr">
        <is>
          <t>Tipper4x4</t>
        </is>
      </c>
      <c r="I2967" t="inlineStr">
        <is>
          <t>Daily/ Weekly Vehicle Inspection</t>
        </is>
      </c>
      <c r="J2967" t="inlineStr">
        <is>
          <t>N/A</t>
        </is>
      </c>
      <c r="K2967" t="inlineStr">
        <is>
          <t>7889 Tree Tech Suffolk Ltd</t>
        </is>
      </c>
      <c r="L2967" t="inlineStr">
        <is>
          <t>30/01/2026 09:03</t>
        </is>
      </c>
      <c r="M2967" t="inlineStr">
        <is>
          <t>None</t>
        </is>
      </c>
      <c r="N2967" t="inlineStr">
        <is>
          <t>&lt;p&gt;&lt;/p&gt;</t>
        </is>
      </c>
      <c r="O2967" t="inlineStr">
        <is>
          <t>Select Vehicle:Ns05 tts</t>
        </is>
      </c>
      <c r="P2967" t="inlineStr">
        <is>
          <t>Tipper - Nissan - Navara - NS02TTS4x4 - Isuzu - D-max - NS03 TTS</t>
        </is>
      </c>
      <c r="Q2967" t="inlineStr">
        <is>
          <t>UKPN</t>
        </is>
      </c>
      <c r="R2967" t="b">
        <v>0</v>
      </c>
    </row>
    <row r="2968">
      <c r="A2968" t="inlineStr">
        <is>
          <t>30 Jan 2026 / 3098 D &amp; R Landscapes / Utilities / UKPN</t>
        </is>
      </c>
      <c r="B2968" t="inlineStr">
        <is>
          <t>Utilities</t>
        </is>
      </c>
      <c r="C2968" t="inlineStr">
        <is>
          <t>UKPN</t>
        </is>
      </c>
      <c r="D2968" t="inlineStr">
        <is>
          <t>BT20 GNZ , Vehicle , Nissan , Navara</t>
        </is>
      </c>
      <c r="E2968" t="inlineStr">
        <is>
          <t>BT20 GNZ , Vehicle , Nissan , Navara</t>
        </is>
      </c>
      <c r="F2968" t="inlineStr">
        <is>
          <t>BT20 GNZ , Vehicle , Nissan , Navara</t>
        </is>
      </c>
      <c r="G2968" t="inlineStr">
        <is>
          <t>Jason</t>
        </is>
      </c>
      <c r="H2968" t="inlineStr">
        <is>
          <t>Pickup Truck</t>
        </is>
      </c>
      <c r="I2968" t="inlineStr">
        <is>
          <t>Daily/ Weekly Vehicle Inspection</t>
        </is>
      </c>
      <c r="J2968" t="inlineStr">
        <is>
          <t>N/A</t>
        </is>
      </c>
      <c r="K2968" t="inlineStr">
        <is>
          <t>3098 D &amp; R Landscapes</t>
        </is>
      </c>
      <c r="L2968" t="inlineStr">
        <is>
          <t>30/01/2026 10:02</t>
        </is>
      </c>
      <c r="M2968" t="inlineStr">
        <is>
          <t>None</t>
        </is>
      </c>
      <c r="N2968" t="inlineStr">
        <is>
          <t>&lt;p&gt;&lt;/p&gt;</t>
        </is>
      </c>
      <c r="O2968" t="inlineStr"/>
      <c r="P2968" t="inlineStr">
        <is>
          <t>BT20 GNZ , Vehicle , Nissan , Navara</t>
        </is>
      </c>
      <c r="Q2968" t="inlineStr">
        <is>
          <t>UKPN</t>
        </is>
      </c>
      <c r="R2968" t="b">
        <v>0</v>
      </c>
    </row>
    <row r="2969">
      <c r="A2969" t="inlineStr">
        <is>
          <t>30 Jan 2026 / Mike Corran / Utilities / NGED</t>
        </is>
      </c>
      <c r="B2969" t="inlineStr">
        <is>
          <t>Utilities</t>
        </is>
      </c>
      <c r="C2969" t="inlineStr">
        <is>
          <t>NGED</t>
        </is>
      </c>
      <c r="D2969" t="inlineStr">
        <is>
          <t>AJ72EWN , Car - Electric , Tesla , Y</t>
        </is>
      </c>
      <c r="E2969" t="inlineStr">
        <is>
          <t>AJ72EWN , Car - Electric , Tesla , Y</t>
        </is>
      </c>
      <c r="F2969" t="inlineStr">
        <is>
          <t>AJ72EWN , Car - Electric , Tesla , Y</t>
        </is>
      </c>
      <c r="G2969" t="inlineStr">
        <is>
          <t>Mike Corran</t>
        </is>
      </c>
      <c r="H2969" t="inlineStr">
        <is>
          <t>Car - Electric (GC Owned)</t>
        </is>
      </c>
      <c r="I2969" t="inlineStr">
        <is>
          <t>Daily/ Weekly Vehicle Inspection</t>
        </is>
      </c>
      <c r="J2969" t="inlineStr">
        <is>
          <t>N/A</t>
        </is>
      </c>
      <c r="K2969" t="inlineStr">
        <is>
          <t>Mike Corran</t>
        </is>
      </c>
      <c r="L2969" t="inlineStr">
        <is>
          <t>30/01/2026 11:04</t>
        </is>
      </c>
      <c r="M2969" t="inlineStr">
        <is>
          <t>None</t>
        </is>
      </c>
      <c r="N2969" t="inlineStr">
        <is>
          <t>&lt;p&gt;&lt;/p&gt;</t>
        </is>
      </c>
      <c r="O2969" t="inlineStr"/>
      <c r="P2969" t="inlineStr">
        <is>
          <t>AJ72EWN , Car - Electric , Tesla , Y</t>
        </is>
      </c>
      <c r="Q2969" t="inlineStr">
        <is>
          <t>NGED</t>
        </is>
      </c>
      <c r="R2969" t="b">
        <v>0</v>
      </c>
    </row>
    <row r="2970">
      <c r="A2970" t="inlineStr">
        <is>
          <t>30 Jan 2026 / 6556 DE UA SWales3 / Utilities / NGED</t>
        </is>
      </c>
      <c r="B2970" t="inlineStr">
        <is>
          <t>Utilities</t>
        </is>
      </c>
      <c r="C2970" t="inlineStr">
        <is>
          <t>NGED</t>
        </is>
      </c>
      <c r="D2970" t="inlineStr">
        <is>
          <t>WO23RVN , Van , Ford , Ranger</t>
        </is>
      </c>
      <c r="E2970" t="inlineStr">
        <is>
          <t>WO23RVN , Van , Ford , Ranger</t>
        </is>
      </c>
      <c r="F2970" t="inlineStr">
        <is>
          <t>WO23RVN , Van , Ford , Ranger</t>
        </is>
      </c>
      <c r="G2970" t="inlineStr">
        <is>
          <t xml:space="preserve">Daniel davies </t>
        </is>
      </c>
      <c r="H2970" t="inlineStr">
        <is>
          <t>4x4</t>
        </is>
      </c>
      <c r="I2970" t="inlineStr">
        <is>
          <t>Daily/ Weekly Vehicle Inspection</t>
        </is>
      </c>
      <c r="J2970" t="inlineStr">
        <is>
          <t>N/A</t>
        </is>
      </c>
      <c r="K2970" t="inlineStr">
        <is>
          <t>6556 DE UA SWales3</t>
        </is>
      </c>
      <c r="L2970" t="inlineStr">
        <is>
          <t>30/01/2026 15:02</t>
        </is>
      </c>
      <c r="M2970" t="inlineStr">
        <is>
          <t>None</t>
        </is>
      </c>
      <c r="N2970" t="inlineStr">
        <is>
          <t>&lt;p&gt;&lt;/p&gt;</t>
        </is>
      </c>
      <c r="O2970" t="inlineStr"/>
      <c r="P2970" t="inlineStr">
        <is>
          <t>WO23RVN , Van , Ford , Ranger</t>
        </is>
      </c>
      <c r="Q2970" t="inlineStr">
        <is>
          <t>NGED</t>
        </is>
      </c>
      <c r="R2970" t="b">
        <v>0</v>
      </c>
    </row>
    <row r="2971">
      <c r="A2971" t="inlineStr">
        <is>
          <t>30 Jan 2026 / 6556 DE UA SWales3 / Utilities / NGED</t>
        </is>
      </c>
      <c r="B2971" t="inlineStr">
        <is>
          <t>Utilities</t>
        </is>
      </c>
      <c r="C2971" t="inlineStr">
        <is>
          <t>NGED</t>
        </is>
      </c>
      <c r="D2971" t="inlineStr">
        <is>
          <t>BK72ZPG , N/A , Isuzu , D-Max</t>
        </is>
      </c>
      <c r="E2971" t="inlineStr">
        <is>
          <t>BK72ZPG , N/A , Isuzu , D-Max</t>
        </is>
      </c>
      <c r="F2971" t="inlineStr">
        <is>
          <t>BK72ZPG , N/A , Isuzu , D-Max</t>
        </is>
      </c>
      <c r="G2971" t="inlineStr">
        <is>
          <t xml:space="preserve">Adrian Evans </t>
        </is>
      </c>
      <c r="H2971" t="inlineStr">
        <is>
          <t>4x4</t>
        </is>
      </c>
      <c r="I2971" t="inlineStr">
        <is>
          <t>Daily/ Weekly Vehicle Inspection</t>
        </is>
      </c>
      <c r="J2971" t="inlineStr">
        <is>
          <t>N/A</t>
        </is>
      </c>
      <c r="K2971" t="inlineStr">
        <is>
          <t>6556 DE UA SWales3</t>
        </is>
      </c>
      <c r="L2971" t="inlineStr">
        <is>
          <t>30/01/2026 15:03</t>
        </is>
      </c>
      <c r="M2971" t="inlineStr">
        <is>
          <t>None</t>
        </is>
      </c>
      <c r="N2971" t="inlineStr">
        <is>
          <t>&lt;p&gt;&lt;/p&gt;</t>
        </is>
      </c>
      <c r="O2971" t="inlineStr"/>
      <c r="P2971" t="inlineStr">
        <is>
          <t>BK72ZPG , N/A , Isuzu , D-Max</t>
        </is>
      </c>
      <c r="Q2971" t="inlineStr">
        <is>
          <t>NGED</t>
        </is>
      </c>
      <c r="R2971" t="b">
        <v>0</v>
      </c>
    </row>
    <row r="2972">
      <c r="A2972" t="inlineStr">
        <is>
          <t>30 Jan 2026 / 6556 DE UA SWales3 / Utilities / NGED</t>
        </is>
      </c>
      <c r="B2972" t="inlineStr">
        <is>
          <t>Utilities</t>
        </is>
      </c>
      <c r="C2972" t="inlineStr">
        <is>
          <t>NGED</t>
        </is>
      </c>
      <c r="D2972" t="inlineStr">
        <is>
          <t>BT72WYC , N/A , Isuzu , D-Max</t>
        </is>
      </c>
      <c r="E2972" t="inlineStr">
        <is>
          <t>BT72WYC , N/A , Isuzu , D-Max</t>
        </is>
      </c>
      <c r="F2972" t="inlineStr">
        <is>
          <t>BT72WYC , N/A , Isuzu , D-Max</t>
        </is>
      </c>
      <c r="G2972" t="inlineStr">
        <is>
          <t xml:space="preserve">Becky raymond </t>
        </is>
      </c>
      <c r="H2972" t="inlineStr">
        <is>
          <t>4x4</t>
        </is>
      </c>
      <c r="I2972" t="inlineStr">
        <is>
          <t>Daily/ Weekly Vehicle Inspection</t>
        </is>
      </c>
      <c r="J2972" t="inlineStr">
        <is>
          <t>N/A</t>
        </is>
      </c>
      <c r="K2972" t="inlineStr">
        <is>
          <t>6556 DE UA SWales3</t>
        </is>
      </c>
      <c r="L2972" t="inlineStr">
        <is>
          <t>30/01/2026 16:01</t>
        </is>
      </c>
      <c r="M2972" t="inlineStr">
        <is>
          <t>None</t>
        </is>
      </c>
      <c r="N2972" t="inlineStr">
        <is>
          <t>&lt;p&gt;&lt;/p&gt;</t>
        </is>
      </c>
      <c r="O2972" t="inlineStr"/>
      <c r="P2972" t="inlineStr">
        <is>
          <t>BT72WYC , N/A , Isuzu , D-Max</t>
        </is>
      </c>
      <c r="Q2972" t="inlineStr">
        <is>
          <t>NGED</t>
        </is>
      </c>
      <c r="R2972" t="b">
        <v>0</v>
      </c>
    </row>
    <row r="2973">
      <c r="A2973" t="inlineStr">
        <is>
          <t>2 Feb 2026 / 3098 D &amp; R Landscapes / Utilities / UKPN</t>
        </is>
      </c>
      <c r="B2973" t="inlineStr">
        <is>
          <t>Utilities</t>
        </is>
      </c>
      <c r="C2973" t="inlineStr">
        <is>
          <t>UKPN</t>
        </is>
      </c>
      <c r="D2973" t="inlineStr">
        <is>
          <t>BT20 GNZ , Vehicle , Nissan , Navara</t>
        </is>
      </c>
      <c r="E2973" t="inlineStr">
        <is>
          <t>BT20 GNZ , Vehicle , Nissan , Navara</t>
        </is>
      </c>
      <c r="F2973" t="inlineStr">
        <is>
          <t>BT20 GNZ , Vehicle , Nissan , Navara</t>
        </is>
      </c>
      <c r="G2973" t="inlineStr">
        <is>
          <t>Chris</t>
        </is>
      </c>
      <c r="H2973" t="inlineStr">
        <is>
          <t>Pickup Truck</t>
        </is>
      </c>
      <c r="I2973" t="inlineStr">
        <is>
          <t>Daily/ Weekly Vehicle Inspection</t>
        </is>
      </c>
      <c r="J2973" t="inlineStr">
        <is>
          <t>N/A</t>
        </is>
      </c>
      <c r="K2973" t="inlineStr">
        <is>
          <t>3098 D &amp; R Landscapes</t>
        </is>
      </c>
      <c r="L2973" t="inlineStr">
        <is>
          <t>02/02/2026 07:01</t>
        </is>
      </c>
      <c r="M2973" t="inlineStr">
        <is>
          <t>None</t>
        </is>
      </c>
      <c r="N2973" t="inlineStr">
        <is>
          <t>&lt;p&gt;&lt;/p&gt;</t>
        </is>
      </c>
      <c r="O2973" t="inlineStr"/>
      <c r="P2973" t="inlineStr">
        <is>
          <t>BT20 GNZ , Vehicle , Nissan , Navara</t>
        </is>
      </c>
      <c r="Q2973" t="inlineStr">
        <is>
          <t>UKPN</t>
        </is>
      </c>
      <c r="R2973" t="b">
        <v>0</v>
      </c>
    </row>
    <row r="2974">
      <c r="A2974" t="inlineStr">
        <is>
          <t>2 Feb 2026 / 6617 Ashdown Tree Limited 1 / Utilities / UKPN</t>
        </is>
      </c>
      <c r="B2974" t="inlineStr">
        <is>
          <t>Utilities</t>
        </is>
      </c>
      <c r="C2974" t="inlineStr">
        <is>
          <t>UKPN</t>
        </is>
      </c>
      <c r="D2974" t="inlineStr">
        <is>
          <t>WG63OJS , 4x4 , Land rover  , defender</t>
        </is>
      </c>
      <c r="E2974" t="inlineStr">
        <is>
          <t>WG63OJS , 4x4 , Land rover  , defender</t>
        </is>
      </c>
      <c r="F2974" t="inlineStr">
        <is>
          <t>WG63OJS , 4x4 , Land rover  , defender</t>
        </is>
      </c>
      <c r="G2974" t="inlineStr">
        <is>
          <t>Dan</t>
        </is>
      </c>
      <c r="H2974" t="inlineStr">
        <is>
          <t>4x4</t>
        </is>
      </c>
      <c r="I2974" t="inlineStr">
        <is>
          <t>Daily/ Weekly Vehicle Inspection</t>
        </is>
      </c>
      <c r="J2974" t="inlineStr">
        <is>
          <t>N/A</t>
        </is>
      </c>
      <c r="K2974" t="inlineStr">
        <is>
          <t>6617 Ashdown Tree Limited - Team 2</t>
        </is>
      </c>
      <c r="L2974" t="inlineStr">
        <is>
          <t>02/02/2026 07:02</t>
        </is>
      </c>
      <c r="M2974" t="inlineStr">
        <is>
          <t>None</t>
        </is>
      </c>
      <c r="N2974" t="inlineStr">
        <is>
          <t>&lt;p&gt;&lt;/p&gt;</t>
        </is>
      </c>
      <c r="O2974" t="inlineStr"/>
      <c r="P2974" t="inlineStr">
        <is>
          <t>WG63OJS , 4x4 , Land rover  , defender</t>
        </is>
      </c>
      <c r="Q2974" t="inlineStr">
        <is>
          <t>UKPN</t>
        </is>
      </c>
      <c r="R2974" t="b">
        <v>0</v>
      </c>
    </row>
    <row r="2975">
      <c r="A2975" t="inlineStr">
        <is>
          <t>2 Feb 2026 / 7951 Austin Tree Care LTD / Utilities / UKPN</t>
        </is>
      </c>
      <c r="B2975" t="inlineStr">
        <is>
          <t>Utilities</t>
        </is>
      </c>
      <c r="C2975" t="inlineStr">
        <is>
          <t>UKPN</t>
        </is>
      </c>
      <c r="D2975" t="inlineStr">
        <is>
          <t>SA9ST6P0001283612 , Towed Chipper , Forst , ST6p</t>
        </is>
      </c>
      <c r="E2975" t="inlineStr">
        <is>
          <t>SA9ST6P0001283612 , Towed Chipper , Forst , ST6p</t>
        </is>
      </c>
      <c r="F2975" t="inlineStr">
        <is>
          <t>SA9ST6P0001283612 , Towed Chipper , Forst , ST6p</t>
        </is>
      </c>
      <c r="G2975" t="inlineStr">
        <is>
          <t xml:space="preserve">Jack Austin </t>
        </is>
      </c>
      <c r="H2975" t="inlineStr">
        <is>
          <t>Towed Chipper</t>
        </is>
      </c>
      <c r="I2975" t="inlineStr">
        <is>
          <t>Daily/ Weekly Vehicle Inspection</t>
        </is>
      </c>
      <c r="J2975" t="inlineStr">
        <is>
          <t>N/A</t>
        </is>
      </c>
      <c r="K2975" t="inlineStr">
        <is>
          <t>7951 Austin Tree Care LTD</t>
        </is>
      </c>
      <c r="L2975" t="inlineStr">
        <is>
          <t>02/02/2026 08:02</t>
        </is>
      </c>
      <c r="M2975" t="inlineStr">
        <is>
          <t>None</t>
        </is>
      </c>
      <c r="N2975" t="inlineStr">
        <is>
          <t>&lt;p&gt;&lt;/p&gt;</t>
        </is>
      </c>
      <c r="O2975" t="inlineStr"/>
      <c r="P2975" t="inlineStr">
        <is>
          <t>SA9ST6P0001283612 , Towed Chipper , Forst , ST6p</t>
        </is>
      </c>
      <c r="Q2975" t="inlineStr">
        <is>
          <t>UKPN</t>
        </is>
      </c>
      <c r="R2975" t="b">
        <v>0</v>
      </c>
    </row>
    <row r="2976">
      <c r="A2976" t="inlineStr">
        <is>
          <t>2 Feb 2026 / 7951 Austin Tree Care LTD / Utilities / UKPN</t>
        </is>
      </c>
      <c r="B2976" t="inlineStr">
        <is>
          <t>Utilities</t>
        </is>
      </c>
      <c r="C2976" t="inlineStr">
        <is>
          <t>UKPN</t>
        </is>
      </c>
      <c r="D2976" t="inlineStr">
        <is>
          <t>WG64HTT , 4x4 , Land Rover , Defender 110</t>
        </is>
      </c>
      <c r="E2976" t="inlineStr">
        <is>
          <t>WG64HTT , 4x4 , Land Rover , Defender 110</t>
        </is>
      </c>
      <c r="F2976" t="inlineStr">
        <is>
          <t>WG64HTT , 4x4 , Land Rover , Defender 110</t>
        </is>
      </c>
      <c r="G2976" t="inlineStr">
        <is>
          <t xml:space="preserve">Jack Austin </t>
        </is>
      </c>
      <c r="H2976" t="inlineStr">
        <is>
          <t>4x4</t>
        </is>
      </c>
      <c r="I2976" t="inlineStr">
        <is>
          <t>Daily/ Weekly Vehicle Inspection</t>
        </is>
      </c>
      <c r="J2976" t="inlineStr">
        <is>
          <t>N/A</t>
        </is>
      </c>
      <c r="K2976" t="inlineStr">
        <is>
          <t>7951 Austin Tree Care LTD</t>
        </is>
      </c>
      <c r="L2976" t="inlineStr">
        <is>
          <t>02/02/2026 08:04</t>
        </is>
      </c>
      <c r="M2976" t="inlineStr">
        <is>
          <t>None</t>
        </is>
      </c>
      <c r="N2976" t="inlineStr">
        <is>
          <t>&lt;p&gt;&lt;/p&gt;</t>
        </is>
      </c>
      <c r="O2976" t="inlineStr"/>
      <c r="P2976" t="inlineStr">
        <is>
          <t>WG64HTT , 4x4 , Land Rover , Defender 110</t>
        </is>
      </c>
      <c r="Q2976" t="inlineStr">
        <is>
          <t>UKPN</t>
        </is>
      </c>
      <c r="R2976" t="b">
        <v>0</v>
      </c>
    </row>
    <row r="2977">
      <c r="A2977" t="inlineStr">
        <is>
          <t>2 Feb 2026 / 7186 Eastwoodbury Tree Services Ltd / Utilities / UKPN</t>
        </is>
      </c>
      <c r="B2977" t="inlineStr">
        <is>
          <t>Utilities</t>
        </is>
      </c>
      <c r="C2977" t="inlineStr">
        <is>
          <t>UKPN</t>
        </is>
      </c>
      <c r="D2977" t="inlineStr">
        <is>
          <t>DN61XKJ , Tipper , Ford , Transit</t>
        </is>
      </c>
      <c r="E2977" t="inlineStr">
        <is>
          <t>DN61XKJ , Tipper , Ford , Transit</t>
        </is>
      </c>
      <c r="F2977" t="inlineStr">
        <is>
          <t>DN61XKJ , Tipper , Ford , Transit</t>
        </is>
      </c>
      <c r="G2977" t="inlineStr">
        <is>
          <t xml:space="preserve">Tom Price </t>
        </is>
      </c>
      <c r="H2977" t="inlineStr">
        <is>
          <t>Tipper</t>
        </is>
      </c>
      <c r="I2977" t="inlineStr">
        <is>
          <t>Daily/ Weekly Vehicle Inspection</t>
        </is>
      </c>
      <c r="J2977" t="inlineStr">
        <is>
          <t>N/A</t>
        </is>
      </c>
      <c r="K2977" t="inlineStr">
        <is>
          <t>7186 Eastwoodbury Tree Services Ltd</t>
        </is>
      </c>
      <c r="L2977" t="inlineStr">
        <is>
          <t>02/02/2026 08:06</t>
        </is>
      </c>
      <c r="M2977" t="inlineStr">
        <is>
          <t>None</t>
        </is>
      </c>
      <c r="N2977" t="inlineStr">
        <is>
          <t>&lt;p&gt;&lt;/p&gt;</t>
        </is>
      </c>
      <c r="O2977" t="inlineStr"/>
      <c r="P2977" t="inlineStr">
        <is>
          <t>DN61XKJ , Tipper , Ford , Transit</t>
        </is>
      </c>
      <c r="Q2977" t="inlineStr">
        <is>
          <t>UKPN</t>
        </is>
      </c>
      <c r="R2977" t="b">
        <v>0</v>
      </c>
    </row>
    <row r="2978">
      <c r="A2978" t="inlineStr">
        <is>
          <t>2 Feb 2026 / 7186 Eastwoodbury Tree Services Ltd / Utilities / UKPN</t>
        </is>
      </c>
      <c r="B2978" t="inlineStr">
        <is>
          <t>Utilities</t>
        </is>
      </c>
      <c r="C2978" t="inlineStr">
        <is>
          <t>UKPN</t>
        </is>
      </c>
      <c r="D2978" t="inlineStr">
        <is>
          <t>WF13 EKT , 4x4 , Land rover  , Defender</t>
        </is>
      </c>
      <c r="E2978" t="inlineStr">
        <is>
          <t>WF13 EKT , 4x4 , Land rover  , Defender</t>
        </is>
      </c>
      <c r="F2978" t="inlineStr">
        <is>
          <t>WF13 EKT , 4x4 , Land rover  , Defender</t>
        </is>
      </c>
      <c r="G2978" t="inlineStr">
        <is>
          <t xml:space="preserve">Dan Gilbert </t>
        </is>
      </c>
      <c r="H2978" t="inlineStr">
        <is>
          <t>4x4</t>
        </is>
      </c>
      <c r="I2978" t="inlineStr">
        <is>
          <t>Daily/ Weekly Vehicle Inspection</t>
        </is>
      </c>
      <c r="J2978" t="inlineStr">
        <is>
          <t>N/A</t>
        </is>
      </c>
      <c r="K2978" t="inlineStr">
        <is>
          <t>7186 Eastwoodbury Tree Services Ltd</t>
        </is>
      </c>
      <c r="L2978" t="inlineStr">
        <is>
          <t>02/02/2026 08:08</t>
        </is>
      </c>
      <c r="M2978" t="inlineStr">
        <is>
          <t>None</t>
        </is>
      </c>
      <c r="N2978" t="inlineStr">
        <is>
          <t>&lt;p&gt;&lt;/p&gt;</t>
        </is>
      </c>
      <c r="O2978" t="inlineStr"/>
      <c r="P2978" t="inlineStr">
        <is>
          <t>WF13 EKT , 4x4 , Land rover  , Defender</t>
        </is>
      </c>
      <c r="Q2978" t="inlineStr">
        <is>
          <t>UKPN</t>
        </is>
      </c>
      <c r="R2978" t="b">
        <v>0</v>
      </c>
    </row>
    <row r="2979">
      <c r="A2979" t="inlineStr">
        <is>
          <t>2 Feb 2026 / 7186 Eastwoodbury Tree Services Ltd / Utilities / UKPN</t>
        </is>
      </c>
      <c r="B2979" t="inlineStr">
        <is>
          <t>Utilities</t>
        </is>
      </c>
      <c r="C2979" t="inlineStr">
        <is>
          <t>UKPN</t>
        </is>
      </c>
      <c r="D2979" t="inlineStr">
        <is>
          <t>DE53NKS , 4x4 , Ford , Ranger</t>
        </is>
      </c>
      <c r="E2979" t="inlineStr">
        <is>
          <t>DE53NKS , 4x4 , Ford , Ranger</t>
        </is>
      </c>
      <c r="F2979" t="inlineStr">
        <is>
          <t>DE53NKS , 4x4 , Ford , Ranger</t>
        </is>
      </c>
      <c r="G2979" t="inlineStr">
        <is>
          <t xml:space="preserve">Jay Denkmayer </t>
        </is>
      </c>
      <c r="H2979" t="inlineStr">
        <is>
          <t>Pickup Truck</t>
        </is>
      </c>
      <c r="I2979" t="inlineStr">
        <is>
          <t>Daily/ Weekly Vehicle Inspection</t>
        </is>
      </c>
      <c r="J2979" t="inlineStr">
        <is>
          <t>N/A</t>
        </is>
      </c>
      <c r="K2979" t="inlineStr">
        <is>
          <t>7186 Eastwoodbury Tree Services Ltd</t>
        </is>
      </c>
      <c r="L2979" t="inlineStr">
        <is>
          <t>02/02/2026 08:09</t>
        </is>
      </c>
      <c r="M2979" t="inlineStr">
        <is>
          <t>None</t>
        </is>
      </c>
      <c r="N2979" t="inlineStr">
        <is>
          <t>&lt;p&gt;&lt;/p&gt;</t>
        </is>
      </c>
      <c r="O2979" t="inlineStr"/>
      <c r="P2979" t="inlineStr">
        <is>
          <t>DE53NKS , 4x4 , Ford , Ranger</t>
        </is>
      </c>
      <c r="Q2979" t="inlineStr">
        <is>
          <t>UKPN</t>
        </is>
      </c>
      <c r="R2979" t="b">
        <v>0</v>
      </c>
    </row>
    <row r="2980">
      <c r="A2980" t="inlineStr">
        <is>
          <t>2 Feb 2026 / 7806 Optimum Tree Services Ltd / Utilities / UKPN</t>
        </is>
      </c>
      <c r="B2980" t="inlineStr">
        <is>
          <t>Utilities</t>
        </is>
      </c>
      <c r="C2980" t="inlineStr">
        <is>
          <t>UKPN</t>
        </is>
      </c>
      <c r="D2980" t="inlineStr">
        <is>
          <t>SA9ST800000283069 , Chipper , Forst , ST 6P</t>
        </is>
      </c>
      <c r="E2980" t="inlineStr">
        <is>
          <t>SA9ST800000283069 , Chipper , Forst , ST 6P</t>
        </is>
      </c>
      <c r="F2980" t="inlineStr">
        <is>
          <t>SA9ST800000283069 , Chipper , Forst , ST 6P</t>
        </is>
      </c>
      <c r="G2980" t="inlineStr">
        <is>
          <t>Kenny Aldred</t>
        </is>
      </c>
      <c r="H2980" t="inlineStr">
        <is>
          <t>Towed Chipper</t>
        </is>
      </c>
      <c r="I2980" t="inlineStr">
        <is>
          <t>Daily/ Weekly Vehicle Inspection</t>
        </is>
      </c>
      <c r="J2980" t="inlineStr">
        <is>
          <t>N/A</t>
        </is>
      </c>
      <c r="K2980" t="inlineStr">
        <is>
          <t>7806 Optimum Tree Services Ltd</t>
        </is>
      </c>
      <c r="L2980" t="inlineStr">
        <is>
          <t>02/02/2026 08:10</t>
        </is>
      </c>
      <c r="M2980" t="inlineStr">
        <is>
          <t>None</t>
        </is>
      </c>
      <c r="N2980" t="inlineStr">
        <is>
          <t>&lt;p&gt;&lt;/p&gt;</t>
        </is>
      </c>
      <c r="O2980" t="inlineStr"/>
      <c r="P2980" t="inlineStr">
        <is>
          <t>SA9ST800000283069 , Chipper , Forst , ST 6P</t>
        </is>
      </c>
      <c r="Q2980" t="inlineStr">
        <is>
          <t>UKPN</t>
        </is>
      </c>
      <c r="R2980" t="b">
        <v>0</v>
      </c>
    </row>
    <row r="2981">
      <c r="A2981" t="inlineStr">
        <is>
          <t>2 Feb 2026 / 7806 Optimum Tree Services Ltd / Utilities / UKPN</t>
        </is>
      </c>
      <c r="B2981" t="inlineStr">
        <is>
          <t>Utilities</t>
        </is>
      </c>
      <c r="C2981" t="inlineStr">
        <is>
          <t>UKPN</t>
        </is>
      </c>
      <c r="D2981" t="inlineStr">
        <is>
          <t>Wd14evn , 4x4 , Landrover  , Defender</t>
        </is>
      </c>
      <c r="E2981" t="inlineStr">
        <is>
          <t>Wd14evn , 4x4 , Landrover  , Defender</t>
        </is>
      </c>
      <c r="F2981" t="inlineStr">
        <is>
          <t>Wd14evn , 4x4 , Landrover  , Defender</t>
        </is>
      </c>
      <c r="G2981" t="inlineStr">
        <is>
          <t xml:space="preserve">Kenny Aldred </t>
        </is>
      </c>
      <c r="H2981" t="inlineStr">
        <is>
          <t>4x4</t>
        </is>
      </c>
      <c r="I2981" t="inlineStr">
        <is>
          <t>Daily/ Weekly Vehicle Inspection</t>
        </is>
      </c>
      <c r="J2981" t="inlineStr">
        <is>
          <t>N/A</t>
        </is>
      </c>
      <c r="K2981" t="inlineStr">
        <is>
          <t>7806 Optimum Tree Services Ltd</t>
        </is>
      </c>
      <c r="L2981" t="inlineStr">
        <is>
          <t>02/02/2026 08:12</t>
        </is>
      </c>
      <c r="M2981" t="inlineStr">
        <is>
          <t>None</t>
        </is>
      </c>
      <c r="N2981" t="inlineStr">
        <is>
          <t>&lt;p&gt;&lt;/p&gt;</t>
        </is>
      </c>
      <c r="O2981" t="inlineStr"/>
      <c r="P2981" t="inlineStr">
        <is>
          <t>Wd14evn , 4x4 , Landrover  , Defender</t>
        </is>
      </c>
      <c r="Q2981" t="inlineStr">
        <is>
          <t>UKPN</t>
        </is>
      </c>
      <c r="R2981" t="b">
        <v>0</v>
      </c>
    </row>
    <row r="2982">
      <c r="A2982" t="inlineStr">
        <is>
          <t>2 Feb 2026 / Paul Shaw / Utilities / NGED</t>
        </is>
      </c>
      <c r="B2982" t="inlineStr">
        <is>
          <t>Utilities</t>
        </is>
      </c>
      <c r="C2982" t="inlineStr">
        <is>
          <t>NGED</t>
        </is>
      </c>
      <c r="D2982" t="inlineStr">
        <is>
          <t>EY68HPC , 4x4 , Ford , Ranger</t>
        </is>
      </c>
      <c r="E2982" t="inlineStr">
        <is>
          <t>EY68HPC , 4x4 , Ford , Ranger</t>
        </is>
      </c>
      <c r="F2982" t="inlineStr">
        <is>
          <t>EY68HPC , 4x4 , Ford , Ranger</t>
        </is>
      </c>
      <c r="G2982" t="inlineStr">
        <is>
          <t>Paul shaw</t>
        </is>
      </c>
      <c r="H2982" t="inlineStr">
        <is>
          <t>4x4</t>
        </is>
      </c>
      <c r="I2982" t="inlineStr">
        <is>
          <t>Daily/ Weekly Vehicle Inspection</t>
        </is>
      </c>
      <c r="J2982" t="inlineStr">
        <is>
          <t>N/A</t>
        </is>
      </c>
      <c r="K2982" t="inlineStr">
        <is>
          <t>Paul Shaw</t>
        </is>
      </c>
      <c r="L2982" t="inlineStr">
        <is>
          <t>02/02/2026 09:12</t>
        </is>
      </c>
      <c r="M2982" t="inlineStr">
        <is>
          <t>None</t>
        </is>
      </c>
      <c r="N2982" t="inlineStr">
        <is>
          <t>&lt;p&gt;&lt;/p&gt;</t>
        </is>
      </c>
      <c r="O2982" t="inlineStr"/>
      <c r="P2982" t="inlineStr">
        <is>
          <t>EY68HPC , 4x4 , Ford , Ranger</t>
        </is>
      </c>
      <c r="Q2982" t="inlineStr">
        <is>
          <t>NGED</t>
        </is>
      </c>
      <c r="R2982" t="b">
        <v>0</v>
      </c>
    </row>
    <row r="2983">
      <c r="A2983" t="inlineStr">
        <is>
          <t>2 Feb 2026 / 7951 Austin Tree Care LTD 1 / Utilities / UKPN</t>
        </is>
      </c>
      <c r="B2983" t="inlineStr">
        <is>
          <t>Utilities</t>
        </is>
      </c>
      <c r="C2983" t="inlineStr">
        <is>
          <t>UKPN</t>
        </is>
      </c>
      <c r="D2983" t="inlineStr">
        <is>
          <t>Kn58xuy , Tipper , VW  , Crafter</t>
        </is>
      </c>
      <c r="E2983" t="inlineStr">
        <is>
          <t>Kn58xuy , Tipper , VW  , Crafter</t>
        </is>
      </c>
      <c r="F2983" t="inlineStr">
        <is>
          <t>Kn58xuy , Tipper , VW  , Crafter</t>
        </is>
      </c>
      <c r="G2983" t="inlineStr">
        <is>
          <t xml:space="preserve">James Tasker </t>
        </is>
      </c>
      <c r="H2983" t="inlineStr">
        <is>
          <t>Tipper</t>
        </is>
      </c>
      <c r="I2983" t="inlineStr">
        <is>
          <t>Daily/ Weekly Vehicle Inspection</t>
        </is>
      </c>
      <c r="J2983" t="inlineStr">
        <is>
          <t>N/A</t>
        </is>
      </c>
      <c r="K2983" t="inlineStr">
        <is>
          <t>7951 Austin Tree Care LTD 1</t>
        </is>
      </c>
      <c r="L2983" t="inlineStr">
        <is>
          <t>02/02/2026 09:19</t>
        </is>
      </c>
      <c r="M2983" t="inlineStr">
        <is>
          <t>None</t>
        </is>
      </c>
      <c r="N2983" t="inlineStr">
        <is>
          <t>&lt;p&gt;&lt;/p&gt;</t>
        </is>
      </c>
      <c r="O2983" t="inlineStr"/>
      <c r="P2983" t="inlineStr">
        <is>
          <t>Kn58xuy , Tipper , VW  , Crafter</t>
        </is>
      </c>
      <c r="Q2983" t="inlineStr">
        <is>
          <t>UKPN</t>
        </is>
      </c>
      <c r="R2983" t="b">
        <v>0</v>
      </c>
    </row>
    <row r="2984">
      <c r="A2984" t="inlineStr">
        <is>
          <t>2 Feb 2026 / 7800 MAC Tree Surgery and Fencing Ltd / Utilities / UKPN</t>
        </is>
      </c>
      <c r="B2984" t="inlineStr">
        <is>
          <t>Utilities</t>
        </is>
      </c>
      <c r="C2984" t="inlineStr">
        <is>
          <t>UKPN</t>
        </is>
      </c>
      <c r="D2984" t="inlineStr">
        <is>
          <t>AY68DAA , 4x4 , Izuzu , Dmax</t>
        </is>
      </c>
      <c r="E2984" t="inlineStr">
        <is>
          <t>AY68DAA , 4x4 , Izuzu , Dmax</t>
        </is>
      </c>
      <c r="F2984" t="inlineStr">
        <is>
          <t>AY68DAA , 4x4 , Izuzu , Dmax</t>
        </is>
      </c>
      <c r="G2984" t="inlineStr">
        <is>
          <t xml:space="preserve">Lewis Mac </t>
        </is>
      </c>
      <c r="H2984" t="inlineStr">
        <is>
          <t>4x4</t>
        </is>
      </c>
      <c r="I2984" t="inlineStr">
        <is>
          <t>Daily/ Weekly Vehicle Inspection</t>
        </is>
      </c>
      <c r="J2984" t="inlineStr">
        <is>
          <t>N/A</t>
        </is>
      </c>
      <c r="K2984" t="inlineStr">
        <is>
          <t>7800 MAC Tree Surgery and Fencing Ltd</t>
        </is>
      </c>
      <c r="L2984" t="inlineStr">
        <is>
          <t>02/02/2026 09:20</t>
        </is>
      </c>
      <c r="M2984" t="inlineStr">
        <is>
          <t>None</t>
        </is>
      </c>
      <c r="N2984" t="inlineStr">
        <is>
          <t>&lt;p&gt;&lt;/p&gt;</t>
        </is>
      </c>
      <c r="O2984" t="inlineStr"/>
      <c r="P2984" t="inlineStr">
        <is>
          <t>AY68DAA , 4x4 , Izuzu , Dmax</t>
        </is>
      </c>
      <c r="Q2984" t="inlineStr">
        <is>
          <t>UKPN</t>
        </is>
      </c>
      <c r="R2984" t="b">
        <v>0</v>
      </c>
    </row>
    <row r="2985">
      <c r="A2985" t="inlineStr">
        <is>
          <t>2 Feb 2026 / Joe Sauvage / Utilities / SSE</t>
        </is>
      </c>
      <c r="B2985" t="inlineStr">
        <is>
          <t>Utilities</t>
        </is>
      </c>
      <c r="C2985" t="inlineStr">
        <is>
          <t>SSE</t>
        </is>
      </c>
      <c r="D2985" t="inlineStr">
        <is>
          <t>AK70TBV , Car - Electric , Tesla , Model 3 Long Range AWD</t>
        </is>
      </c>
      <c r="E2985" t="inlineStr">
        <is>
          <t>AK70TBV , Car - Electric , Tesla , Model 3 Long Range AWD</t>
        </is>
      </c>
      <c r="F2985" t="inlineStr">
        <is>
          <t>AK70TBV , Car - Electric , Tesla , Model 3 Long Range AWD</t>
        </is>
      </c>
      <c r="G2985" t="inlineStr">
        <is>
          <t xml:space="preserve">Joe sauvage </t>
        </is>
      </c>
      <c r="H2985" t="inlineStr">
        <is>
          <t>Car - Electric (GC Owned)</t>
        </is>
      </c>
      <c r="I2985" t="inlineStr">
        <is>
          <t>Daily/ Weekly Vehicle Inspection</t>
        </is>
      </c>
      <c r="J2985" t="inlineStr">
        <is>
          <t>N/A</t>
        </is>
      </c>
      <c r="K2985" t="inlineStr">
        <is>
          <t>Joe Sauvage</t>
        </is>
      </c>
      <c r="L2985" t="inlineStr">
        <is>
          <t>02/02/2026 10:04</t>
        </is>
      </c>
      <c r="M2985" t="inlineStr">
        <is>
          <t>None</t>
        </is>
      </c>
      <c r="N2985" t="inlineStr">
        <is>
          <t>&lt;p&gt;&lt;/p&gt;</t>
        </is>
      </c>
      <c r="O2985" t="inlineStr"/>
      <c r="P2985" t="inlineStr">
        <is>
          <t>AK70TBV , Car - Electric , Tesla , Model 3 Long Range AWD</t>
        </is>
      </c>
      <c r="Q2985" t="inlineStr">
        <is>
          <t>SSE</t>
        </is>
      </c>
      <c r="R2985" t="b">
        <v>0</v>
      </c>
    </row>
    <row r="2986">
      <c r="A2986" t="inlineStr">
        <is>
          <t>3 Feb 2026 / Patryk Zietarski / Utilities / UKPN</t>
        </is>
      </c>
      <c r="B2986" t="inlineStr">
        <is>
          <t>Utilities</t>
        </is>
      </c>
      <c r="C2986" t="inlineStr">
        <is>
          <t>UKPN</t>
        </is>
      </c>
      <c r="D2986" t="inlineStr">
        <is>
          <t>YW73CWL , Car - Electric , Kia , eNiro</t>
        </is>
      </c>
      <c r="E2986" t="inlineStr">
        <is>
          <t>YW73CWL , Car - Electric , Kia , eNiro</t>
        </is>
      </c>
      <c r="F2986" t="inlineStr">
        <is>
          <t>YW73CWL , Car - Electric , Kia , eNiro</t>
        </is>
      </c>
      <c r="G2986" t="inlineStr">
        <is>
          <t xml:space="preserve">Patryk Zietarski </t>
        </is>
      </c>
      <c r="H2986" t="inlineStr">
        <is>
          <t>Car - Electric (GC Owned)</t>
        </is>
      </c>
      <c r="I2986" t="inlineStr">
        <is>
          <t>Daily/ Weekly Vehicle Inspection</t>
        </is>
      </c>
      <c r="J2986" t="inlineStr">
        <is>
          <t>N/A</t>
        </is>
      </c>
      <c r="K2986" t="inlineStr">
        <is>
          <t>Patryk Zietarski</t>
        </is>
      </c>
      <c r="L2986" t="inlineStr">
        <is>
          <t>03/02/2026 06:02</t>
        </is>
      </c>
      <c r="M2986" t="inlineStr">
        <is>
          <t>None</t>
        </is>
      </c>
      <c r="N2986" t="inlineStr">
        <is>
          <t>&lt;p&gt;&lt;/p&gt;</t>
        </is>
      </c>
      <c r="O2986" t="inlineStr"/>
      <c r="P2986" t="inlineStr">
        <is>
          <t>YW73CWL , Car - Electric , Kia , eNiro</t>
        </is>
      </c>
      <c r="Q2986" t="inlineStr">
        <is>
          <t>UKPN</t>
        </is>
      </c>
      <c r="R2986" t="b">
        <v>0</v>
      </c>
    </row>
    <row r="2987">
      <c r="A2987" t="inlineStr">
        <is>
          <t>3 Feb 2026 / 6617 Ashdown Tree Limited 1 / Utilities / UKPN</t>
        </is>
      </c>
      <c r="B2987" t="inlineStr">
        <is>
          <t>Utilities</t>
        </is>
      </c>
      <c r="C2987" t="inlineStr">
        <is>
          <t>UKPN</t>
        </is>
      </c>
      <c r="D2987" t="inlineStr">
        <is>
          <t>WG63OJS , 4x4 , Land rover  , defender</t>
        </is>
      </c>
      <c r="E2987" t="inlineStr">
        <is>
          <t>WG63OJS , 4x4 , Land rover  , defender</t>
        </is>
      </c>
      <c r="F2987" t="inlineStr">
        <is>
          <t>WG63OJS , 4x4 , Land rover  , defender</t>
        </is>
      </c>
      <c r="G2987" t="inlineStr">
        <is>
          <t xml:space="preserve">Dan </t>
        </is>
      </c>
      <c r="H2987" t="inlineStr">
        <is>
          <t>4x4</t>
        </is>
      </c>
      <c r="I2987" t="inlineStr">
        <is>
          <t>Daily/ Weekly Vehicle Inspection</t>
        </is>
      </c>
      <c r="J2987" t="inlineStr">
        <is>
          <t>N/A</t>
        </is>
      </c>
      <c r="K2987" t="inlineStr">
        <is>
          <t>6617 Ashdown Tree Limited - Team 2</t>
        </is>
      </c>
      <c r="L2987" t="inlineStr">
        <is>
          <t>03/02/2026 07:01</t>
        </is>
      </c>
      <c r="M2987" t="inlineStr">
        <is>
          <t>None</t>
        </is>
      </c>
      <c r="N2987" t="inlineStr">
        <is>
          <t>&lt;p&gt;&lt;/p&gt;</t>
        </is>
      </c>
      <c r="O2987" t="inlineStr"/>
      <c r="P2987" t="inlineStr">
        <is>
          <t>WG63OJS , 4x4 , Land rover  , defender</t>
        </is>
      </c>
      <c r="Q2987" t="inlineStr">
        <is>
          <t>UKPN</t>
        </is>
      </c>
      <c r="R2987" t="b">
        <v>0</v>
      </c>
    </row>
    <row r="2988">
      <c r="A2988" t="inlineStr">
        <is>
          <t>3 Feb 2026 / Anthony Gale / Utilities / UKPN</t>
        </is>
      </c>
      <c r="B2988" t="inlineStr">
        <is>
          <t>Utilities</t>
        </is>
      </c>
      <c r="C2988" t="inlineStr">
        <is>
          <t>UKPN</t>
        </is>
      </c>
      <c r="D2988" t="inlineStr">
        <is>
          <t>KX20 BCE , Tipper , Isuzu , D-Max</t>
        </is>
      </c>
      <c r="E2988" t="inlineStr">
        <is>
          <t>KX20 BCE , Tipper , Isuzu , D-Max</t>
        </is>
      </c>
      <c r="F2988" t="inlineStr">
        <is>
          <t>KX20 BCE , Tipper , Isuzu , D-Max</t>
        </is>
      </c>
      <c r="G2988" t="inlineStr">
        <is>
          <t xml:space="preserve">Anthony Gale </t>
        </is>
      </c>
      <c r="H2988" t="inlineStr">
        <is>
          <t>Pickup Truck</t>
        </is>
      </c>
      <c r="I2988" t="inlineStr">
        <is>
          <t>Daily/ Weekly Vehicle Inspection</t>
        </is>
      </c>
      <c r="J2988" t="inlineStr">
        <is>
          <t>N/A</t>
        </is>
      </c>
      <c r="K2988" t="inlineStr">
        <is>
          <t>7996 M G Tree Surgery Ltd 1</t>
        </is>
      </c>
      <c r="L2988" t="inlineStr">
        <is>
          <t>03/02/2026 07:02</t>
        </is>
      </c>
      <c r="M2988" t="inlineStr">
        <is>
          <t>None</t>
        </is>
      </c>
      <c r="N2988" t="inlineStr">
        <is>
          <t>&lt;p&gt;&lt;/p&gt;</t>
        </is>
      </c>
      <c r="O2988" t="inlineStr">
        <is>
          <t>Confirm that you have checked this vehicle as per the guidance document and the vehicle is safe and roadworthy:Light board deteriorating.
Safe for now.
Will need replacing soon.
-</t>
        </is>
      </c>
      <c r="P2988" t="inlineStr">
        <is>
          <t>KX20 BCE , Tipper , Isuzu , D-Max</t>
        </is>
      </c>
      <c r="Q2988" t="inlineStr">
        <is>
          <t>UKPN</t>
        </is>
      </c>
      <c r="R2988" t="b">
        <v>0</v>
      </c>
    </row>
    <row r="2989">
      <c r="A2989" t="inlineStr">
        <is>
          <t>30 Jan 2026 / Anthony Gale / Utilities / UKPN</t>
        </is>
      </c>
      <c r="B2989" t="inlineStr">
        <is>
          <t>Utilities</t>
        </is>
      </c>
      <c r="C2989" t="inlineStr">
        <is>
          <t>UKPN</t>
        </is>
      </c>
      <c r="D2989" t="inlineStr"/>
      <c r="E2989" t="inlineStr"/>
      <c r="F2989" t="inlineStr"/>
      <c r="G2989" t="inlineStr">
        <is>
          <t>Anthony Gale</t>
        </is>
      </c>
      <c r="H2989" t="inlineStr">
        <is>
          <t>Plant Trailer</t>
        </is>
      </c>
      <c r="I2989" t="inlineStr">
        <is>
          <t>Daily/ Weekly Vehicle Inspection</t>
        </is>
      </c>
      <c r="J2989" t="inlineStr">
        <is>
          <t>N/A</t>
        </is>
      </c>
      <c r="K2989" t="inlineStr">
        <is>
          <t>7996 M G Tree Surgery Ltd 1</t>
        </is>
      </c>
      <c r="L2989" t="inlineStr">
        <is>
          <t>03/02/2026 07:02</t>
        </is>
      </c>
      <c r="M2989" t="inlineStr">
        <is>
          <t>None</t>
        </is>
      </c>
      <c r="N2989" t="inlineStr">
        <is>
          <t>&lt;p&gt;&lt;/p&gt;</t>
        </is>
      </c>
      <c r="O2989" t="inlineStr"/>
      <c r="P2989" t="inlineStr"/>
      <c r="Q2989" t="inlineStr">
        <is>
          <t>UKPN</t>
        </is>
      </c>
      <c r="R2989" t="b">
        <v>0</v>
      </c>
    </row>
    <row r="2990">
      <c r="A2990" t="inlineStr">
        <is>
          <t>3 Feb 2026 / 7800 MAC Tree Surgery and Fencing Ltd / Utilities / UKPN</t>
        </is>
      </c>
      <c r="B2990" t="inlineStr">
        <is>
          <t>Utilities</t>
        </is>
      </c>
      <c r="C2990" t="inlineStr">
        <is>
          <t>UKPN</t>
        </is>
      </c>
      <c r="D2990" t="inlineStr">
        <is>
          <t>AY68DAA , 4x4 , Izuzu , Dmax</t>
        </is>
      </c>
      <c r="E2990" t="inlineStr">
        <is>
          <t>AY68DAA , 4x4 , Izuzu , Dmax</t>
        </is>
      </c>
      <c r="F2990" t="inlineStr">
        <is>
          <t>AY68DAA , 4x4 , Izuzu , Dmax</t>
        </is>
      </c>
      <c r="G2990" t="inlineStr">
        <is>
          <t xml:space="preserve">Patrick O'Shea </t>
        </is>
      </c>
      <c r="H2990" t="inlineStr">
        <is>
          <t>4x4</t>
        </is>
      </c>
      <c r="I2990" t="inlineStr">
        <is>
          <t>Daily/ Weekly Vehicle Inspection</t>
        </is>
      </c>
      <c r="J2990" t="inlineStr">
        <is>
          <t>N/A</t>
        </is>
      </c>
      <c r="K2990" t="inlineStr">
        <is>
          <t>7800 MAC Tree Surgery and Fencing Ltd</t>
        </is>
      </c>
      <c r="L2990" t="inlineStr">
        <is>
          <t>03/02/2026 08:01</t>
        </is>
      </c>
      <c r="M2990" t="inlineStr">
        <is>
          <t>None</t>
        </is>
      </c>
      <c r="N2990" t="inlineStr">
        <is>
          <t>&lt;p&gt;&lt;/p&gt;</t>
        </is>
      </c>
      <c r="O2990" t="inlineStr"/>
      <c r="P2990" t="inlineStr">
        <is>
          <t>AY68DAA , 4x4 , Izuzu , Dmax</t>
        </is>
      </c>
      <c r="Q2990" t="inlineStr">
        <is>
          <t>UKPN</t>
        </is>
      </c>
      <c r="R2990" t="b">
        <v>0</v>
      </c>
    </row>
    <row r="2991">
      <c r="A2991" t="inlineStr">
        <is>
          <t>3 Feb 2026 / 7800 MAC Tree Surgery and Fencing Ltd / Utilities / UKPN</t>
        </is>
      </c>
      <c r="B2991" t="inlineStr">
        <is>
          <t>Utilities</t>
        </is>
      </c>
      <c r="C2991" t="inlineStr">
        <is>
          <t>UKPN</t>
        </is>
      </c>
      <c r="D2991" t="inlineStr">
        <is>
          <t>Plant Trailer - Towmate - 2.8t - 0</t>
        </is>
      </c>
      <c r="E2991" t="inlineStr">
        <is>
          <t>Plant Trailer - Towmate - 2.8t - 0</t>
        </is>
      </c>
      <c r="F2991" t="inlineStr">
        <is>
          <t>Plant Trailer - Towmate - 2.8t - 0</t>
        </is>
      </c>
      <c r="G2991" t="inlineStr">
        <is>
          <t>Lewis mac</t>
        </is>
      </c>
      <c r="H2991" t="inlineStr">
        <is>
          <t>Plant Trailer</t>
        </is>
      </c>
      <c r="I2991" t="inlineStr">
        <is>
          <t>Daily/ Weekly Vehicle Inspection</t>
        </is>
      </c>
      <c r="J2991" t="inlineStr">
        <is>
          <t>N/A</t>
        </is>
      </c>
      <c r="K2991" t="inlineStr">
        <is>
          <t>7800 MAC Tree Surgery and Fencing Ltd</t>
        </is>
      </c>
      <c r="L2991" t="inlineStr">
        <is>
          <t>03/02/2026 08:02</t>
        </is>
      </c>
      <c r="M2991" t="inlineStr">
        <is>
          <t>None</t>
        </is>
      </c>
      <c r="N2991" t="inlineStr">
        <is>
          <t>&lt;p&gt;&lt;/p&gt;</t>
        </is>
      </c>
      <c r="O2991" t="inlineStr"/>
      <c r="P2991" t="inlineStr">
        <is>
          <t>Plant Trailer - Towmate - 2.8t - 0</t>
        </is>
      </c>
      <c r="Q2991" t="inlineStr">
        <is>
          <t>UKPN</t>
        </is>
      </c>
      <c r="R2991" t="b">
        <v>0</v>
      </c>
    </row>
    <row r="2992">
      <c r="A2992" t="inlineStr">
        <is>
          <t>3 Feb 2026 / Thomas Playford / Utilities / UKPN</t>
        </is>
      </c>
      <c r="B2992" t="inlineStr">
        <is>
          <t>Utilities</t>
        </is>
      </c>
      <c r="C2992" t="inlineStr">
        <is>
          <t>UKPN</t>
        </is>
      </c>
      <c r="D2992" t="inlineStr">
        <is>
          <t>SA9ST800000283944 , Towed Chipper , Forst , ST8D - Towed</t>
        </is>
      </c>
      <c r="E2992" t="inlineStr">
        <is>
          <t>SA9ST800000283944 , Towed Chipper , Forst , ST8D - Towed</t>
        </is>
      </c>
      <c r="F2992" t="inlineStr">
        <is>
          <t>SA9ST800000283944 , Towed Chipper , Forst , ST8D - Towed</t>
        </is>
      </c>
      <c r="G2992" t="inlineStr">
        <is>
          <t>Jacob Oram</t>
        </is>
      </c>
      <c r="H2992" t="inlineStr">
        <is>
          <t>Towed Chipper</t>
        </is>
      </c>
      <c r="I2992" t="inlineStr">
        <is>
          <t>Daily/ Weekly Vehicle Inspection</t>
        </is>
      </c>
      <c r="J2992" t="inlineStr">
        <is>
          <t>N/A</t>
        </is>
      </c>
      <c r="K2992" t="inlineStr">
        <is>
          <t>7995 Green Net Eco Ltd 2</t>
        </is>
      </c>
      <c r="L2992" t="inlineStr">
        <is>
          <t>03/02/2026 08:02</t>
        </is>
      </c>
      <c r="M2992" t="inlineStr">
        <is>
          <t>None</t>
        </is>
      </c>
      <c r="N2992" t="inlineStr">
        <is>
          <t>&lt;p&gt;&lt;/p&gt;</t>
        </is>
      </c>
      <c r="O2992" t="inlineStr"/>
      <c r="P2992" t="inlineStr">
        <is>
          <t>SA9ST800000283944 , Towed Chipper , Forst , ST8D - Towed</t>
        </is>
      </c>
      <c r="Q2992" t="inlineStr">
        <is>
          <t>UKPN</t>
        </is>
      </c>
      <c r="R2992" t="b">
        <v>0</v>
      </c>
    </row>
    <row r="2993">
      <c r="A2993" t="inlineStr">
        <is>
          <t>3 Feb 2026 / Thomas Playford / Utilities / UKPN</t>
        </is>
      </c>
      <c r="B2993" t="inlineStr">
        <is>
          <t>Utilities</t>
        </is>
      </c>
      <c r="C2993" t="inlineStr">
        <is>
          <t>UKPN</t>
        </is>
      </c>
      <c r="D2993" t="inlineStr">
        <is>
          <t>WM72UNF , 4x4 , Ford , Ranger</t>
        </is>
      </c>
      <c r="E2993" t="inlineStr">
        <is>
          <t>WM72UNF , 4x4 , Ford , Ranger</t>
        </is>
      </c>
      <c r="F2993" t="inlineStr">
        <is>
          <t>WM72UNF , 4x4 , Ford , Ranger</t>
        </is>
      </c>
      <c r="G2993" t="inlineStr">
        <is>
          <t>Jacob Oram</t>
        </is>
      </c>
      <c r="H2993" t="inlineStr">
        <is>
          <t>4x4</t>
        </is>
      </c>
      <c r="I2993" t="inlineStr">
        <is>
          <t>Daily/ Weekly Vehicle Inspection</t>
        </is>
      </c>
      <c r="J2993" t="inlineStr">
        <is>
          <t>N/A</t>
        </is>
      </c>
      <c r="K2993" t="inlineStr">
        <is>
          <t>7995 Green Net Eco Ltd 2</t>
        </is>
      </c>
      <c r="L2993" t="inlineStr">
        <is>
          <t>03/02/2026 08:03</t>
        </is>
      </c>
      <c r="M2993" t="inlineStr">
        <is>
          <t>None</t>
        </is>
      </c>
      <c r="N2993" t="inlineStr">
        <is>
          <t>&lt;p&gt;&lt;/p&gt;</t>
        </is>
      </c>
      <c r="O2993" t="inlineStr"/>
      <c r="P2993" t="inlineStr">
        <is>
          <t>WM72UNF , 4x4 , Ford , Ranger</t>
        </is>
      </c>
      <c r="Q2993" t="inlineStr">
        <is>
          <t>UKPN</t>
        </is>
      </c>
      <c r="R2993" t="b">
        <v>0</v>
      </c>
    </row>
    <row r="2994">
      <c r="A2994" t="inlineStr">
        <is>
          <t>3 Feb 2026 / 7951 Austin Tree Care LTD / Utilities / UKPN</t>
        </is>
      </c>
      <c r="B2994" t="inlineStr">
        <is>
          <t>Utilities</t>
        </is>
      </c>
      <c r="C2994" t="inlineStr">
        <is>
          <t>UKPN</t>
        </is>
      </c>
      <c r="D2994" t="inlineStr">
        <is>
          <t>WG64HTT , 4x4 , Land Rover , Defender 110</t>
        </is>
      </c>
      <c r="E2994" t="inlineStr">
        <is>
          <t>WG64HTT , 4x4 , Land Rover , Defender 110</t>
        </is>
      </c>
      <c r="F2994" t="inlineStr">
        <is>
          <t>WG64HTT , 4x4 , Land Rover , Defender 110</t>
        </is>
      </c>
      <c r="G2994" t="inlineStr">
        <is>
          <t xml:space="preserve">Jack Austin </t>
        </is>
      </c>
      <c r="H2994" t="inlineStr">
        <is>
          <t>4x4</t>
        </is>
      </c>
      <c r="I2994" t="inlineStr">
        <is>
          <t>Daily/ Weekly Vehicle Inspection</t>
        </is>
      </c>
      <c r="J2994" t="inlineStr">
        <is>
          <t>N/A</t>
        </is>
      </c>
      <c r="K2994" t="inlineStr">
        <is>
          <t>7951 Austin Tree Care LTD</t>
        </is>
      </c>
      <c r="L2994" t="inlineStr">
        <is>
          <t>03/02/2026 08:04</t>
        </is>
      </c>
      <c r="M2994" t="inlineStr">
        <is>
          <t>None</t>
        </is>
      </c>
      <c r="N2994" t="inlineStr">
        <is>
          <t>&lt;p&gt;&lt;/p&gt;</t>
        </is>
      </c>
      <c r="O2994" t="inlineStr"/>
      <c r="P2994" t="inlineStr">
        <is>
          <t>WG64HTT , 4x4 , Land Rover , Defender 110</t>
        </is>
      </c>
      <c r="Q2994" t="inlineStr">
        <is>
          <t>UKPN</t>
        </is>
      </c>
      <c r="R2994" t="b">
        <v>0</v>
      </c>
    </row>
    <row r="2995">
      <c r="A2995" t="inlineStr">
        <is>
          <t>3 Feb 2026 / 7951 Austin Tree Care LTD / Utilities / UKPN</t>
        </is>
      </c>
      <c r="B2995" t="inlineStr">
        <is>
          <t>Utilities</t>
        </is>
      </c>
      <c r="C2995" t="inlineStr">
        <is>
          <t>UKPN</t>
        </is>
      </c>
      <c r="D2995" t="inlineStr">
        <is>
          <t>SA9ST6P0001283612 , Tow Chipper , Forst , ST6p</t>
        </is>
      </c>
      <c r="E2995" t="inlineStr">
        <is>
          <t>SA9ST6P0001283612 , Tow Chipper , Forst , ST6p</t>
        </is>
      </c>
      <c r="F2995" t="inlineStr">
        <is>
          <t>SA9ST6P0001283612 , Tow Chipper , Forst , ST6p</t>
        </is>
      </c>
      <c r="G2995" t="inlineStr">
        <is>
          <t xml:space="preserve">Jack Austin </t>
        </is>
      </c>
      <c r="H2995" t="inlineStr">
        <is>
          <t>Towed Chipper</t>
        </is>
      </c>
      <c r="I2995" t="inlineStr">
        <is>
          <t>Daily/ Weekly Vehicle Inspection</t>
        </is>
      </c>
      <c r="J2995" t="inlineStr">
        <is>
          <t>N/A</t>
        </is>
      </c>
      <c r="K2995" t="inlineStr">
        <is>
          <t>7951 Austin Tree Care LTD</t>
        </is>
      </c>
      <c r="L2995" t="inlineStr">
        <is>
          <t>03/02/2026 08:05</t>
        </is>
      </c>
      <c r="M2995" t="inlineStr">
        <is>
          <t>None</t>
        </is>
      </c>
      <c r="N2995" t="inlineStr">
        <is>
          <t>&lt;p&gt;&lt;/p&gt;</t>
        </is>
      </c>
      <c r="O2995" t="inlineStr"/>
      <c r="P2995" t="inlineStr">
        <is>
          <t>SA9ST6P0001283612 , Tow Chipper , Forst , ST6p</t>
        </is>
      </c>
      <c r="Q2995" t="inlineStr">
        <is>
          <t>UKPN</t>
        </is>
      </c>
      <c r="R2995" t="b">
        <v>0</v>
      </c>
    </row>
    <row r="2996">
      <c r="A2996" t="inlineStr">
        <is>
          <t>3 Feb 2026 / Anthony Gale / Utilities / UKPN</t>
        </is>
      </c>
      <c r="B2996" t="inlineStr">
        <is>
          <t>Utilities</t>
        </is>
      </c>
      <c r="C2996" t="inlineStr">
        <is>
          <t>UKPN</t>
        </is>
      </c>
      <c r="D2996" t="inlineStr"/>
      <c r="E2996" t="inlineStr"/>
      <c r="F2996" t="inlineStr"/>
      <c r="G2996" t="inlineStr">
        <is>
          <t>Anthony Gale</t>
        </is>
      </c>
      <c r="H2996" t="inlineStr">
        <is>
          <t>Plant Trailer</t>
        </is>
      </c>
      <c r="I2996" t="inlineStr">
        <is>
          <t>Daily/ Weekly Vehicle Inspection</t>
        </is>
      </c>
      <c r="J2996" t="inlineStr">
        <is>
          <t>N/A</t>
        </is>
      </c>
      <c r="K2996" t="inlineStr">
        <is>
          <t>7996 M G Tree Surgery Ltd 1</t>
        </is>
      </c>
      <c r="L2996" t="inlineStr">
        <is>
          <t>03/02/2026 08:06</t>
        </is>
      </c>
      <c r="M2996" t="inlineStr">
        <is>
          <t>None</t>
        </is>
      </c>
      <c r="N2996" t="inlineStr">
        <is>
          <t>&lt;p&gt;&lt;/p&gt;</t>
        </is>
      </c>
      <c r="O2996" t="inlineStr"/>
      <c r="P2996" t="inlineStr"/>
      <c r="Q2996" t="inlineStr">
        <is>
          <t>UKPN</t>
        </is>
      </c>
      <c r="R2996" t="b">
        <v>0</v>
      </c>
    </row>
    <row r="2997">
      <c r="A2997" t="inlineStr">
        <is>
          <t>3 Feb 2026 / 7806 Optimum Tree Services Ltd / Utilities / UKPN</t>
        </is>
      </c>
      <c r="B2997" t="inlineStr">
        <is>
          <t>Utilities</t>
        </is>
      </c>
      <c r="C2997" t="inlineStr">
        <is>
          <t>UKPN</t>
        </is>
      </c>
      <c r="D2997" t="inlineStr">
        <is>
          <t>SA9ST800000283069 , Chipper , Forst , ST 6P</t>
        </is>
      </c>
      <c r="E2997" t="inlineStr">
        <is>
          <t>SA9ST800000283069 , Chipper , Forst , ST 6P</t>
        </is>
      </c>
      <c r="F2997" t="inlineStr">
        <is>
          <t>SA9ST800000283069 , Chipper , Forst , ST 6P</t>
        </is>
      </c>
      <c r="G2997" t="inlineStr">
        <is>
          <t xml:space="preserve">Abraham Davies </t>
        </is>
      </c>
      <c r="H2997" t="inlineStr">
        <is>
          <t>Towed Chipper</t>
        </is>
      </c>
      <c r="I2997" t="inlineStr">
        <is>
          <t>Daily/ Weekly Vehicle Inspection</t>
        </is>
      </c>
      <c r="J2997" t="inlineStr">
        <is>
          <t>N/A</t>
        </is>
      </c>
      <c r="K2997" t="inlineStr">
        <is>
          <t>7806 Optimum Tree Services Ltd</t>
        </is>
      </c>
      <c r="L2997" t="inlineStr">
        <is>
          <t>03/02/2026 08:06</t>
        </is>
      </c>
      <c r="M2997" t="inlineStr">
        <is>
          <t>None</t>
        </is>
      </c>
      <c r="N2997" t="inlineStr">
        <is>
          <t>&lt;p&gt;&lt;/p&gt;</t>
        </is>
      </c>
      <c r="O2997" t="inlineStr"/>
      <c r="P2997" t="inlineStr">
        <is>
          <t>SA9ST800000283069 , Chipper , Forst , ST 6P</t>
        </is>
      </c>
      <c r="Q2997" t="inlineStr">
        <is>
          <t>UKPN</t>
        </is>
      </c>
      <c r="R2997" t="b">
        <v>0</v>
      </c>
    </row>
    <row r="2998">
      <c r="A2998" t="inlineStr">
        <is>
          <t>3 Feb 2026 / Anthony Gale / Utilities / UKPN</t>
        </is>
      </c>
      <c r="B2998" t="inlineStr">
        <is>
          <t>Utilities</t>
        </is>
      </c>
      <c r="C2998" t="inlineStr">
        <is>
          <t>UKPN</t>
        </is>
      </c>
      <c r="D2998" t="inlineStr">
        <is>
          <t>KX20 BCE , Tipper , Isuzu , D-Max</t>
        </is>
      </c>
      <c r="E2998" t="inlineStr">
        <is>
          <t>KX20 BCE , Tipper , Isuzu , D-Max</t>
        </is>
      </c>
      <c r="F2998" t="inlineStr">
        <is>
          <t>KX20 BCE , Tipper , Isuzu , D-Max</t>
        </is>
      </c>
      <c r="G2998" t="inlineStr">
        <is>
          <t xml:space="preserve">Anthony Gale </t>
        </is>
      </c>
      <c r="H2998" t="inlineStr">
        <is>
          <t>Pickup Truck</t>
        </is>
      </c>
      <c r="I2998" t="inlineStr">
        <is>
          <t>Daily/ Weekly Vehicle Inspection</t>
        </is>
      </c>
      <c r="J2998" t="inlineStr">
        <is>
          <t>N/A</t>
        </is>
      </c>
      <c r="K2998" t="inlineStr">
        <is>
          <t>7996 M G Tree Surgery Ltd 1</t>
        </is>
      </c>
      <c r="L2998" t="inlineStr">
        <is>
          <t>03/02/2026 08:07</t>
        </is>
      </c>
      <c r="M2998" t="inlineStr">
        <is>
          <t>None</t>
        </is>
      </c>
      <c r="N2998" t="inlineStr">
        <is>
          <t>&lt;p&gt;&lt;/p&gt;</t>
        </is>
      </c>
      <c r="O2998" t="inlineStr">
        <is>
          <t>Confirm that you have checked this vehicle as per the guidance document and the vehicle is safe and roadworthy:Light board deteriorating.
Safe for now.
Will need replacing soon.
-</t>
        </is>
      </c>
      <c r="P2998" t="inlineStr">
        <is>
          <t>KX20 BCE , Tipper , Isuzu , D-Max</t>
        </is>
      </c>
      <c r="Q2998" t="inlineStr">
        <is>
          <t>UKPN</t>
        </is>
      </c>
      <c r="R2998" t="b">
        <v>0</v>
      </c>
    </row>
    <row r="2999">
      <c r="A2999" t="inlineStr">
        <is>
          <t>3 Feb 2026 / 7806 Optimum Tree Services Ltd / Utilities / UKPN</t>
        </is>
      </c>
      <c r="B2999" t="inlineStr">
        <is>
          <t>Utilities</t>
        </is>
      </c>
      <c r="C2999" t="inlineStr">
        <is>
          <t>UKPN</t>
        </is>
      </c>
      <c r="D2999" t="inlineStr">
        <is>
          <t>Wd14evn , 4x4 , Landrover  , Defender</t>
        </is>
      </c>
      <c r="E2999" t="inlineStr">
        <is>
          <t>Wd14evn , 4x4 , Landrover  , Defender</t>
        </is>
      </c>
      <c r="F2999" t="inlineStr">
        <is>
          <t>Wd14evn , 4x4 , Landrover  , Defender</t>
        </is>
      </c>
      <c r="G2999" t="inlineStr">
        <is>
          <t xml:space="preserve">Abraham Davies </t>
        </is>
      </c>
      <c r="H2999" t="inlineStr">
        <is>
          <t>4x4</t>
        </is>
      </c>
      <c r="I2999" t="inlineStr">
        <is>
          <t>Daily/ Weekly Vehicle Inspection</t>
        </is>
      </c>
      <c r="J2999" t="inlineStr">
        <is>
          <t>N/A</t>
        </is>
      </c>
      <c r="K2999" t="inlineStr">
        <is>
          <t>7806 Optimum Tree Services Ltd</t>
        </is>
      </c>
      <c r="L2999" t="inlineStr">
        <is>
          <t>03/02/2026 08:08</t>
        </is>
      </c>
      <c r="M2999" t="inlineStr">
        <is>
          <t>None</t>
        </is>
      </c>
      <c r="N2999" t="inlineStr">
        <is>
          <t>&lt;p&gt;&lt;/p&gt;</t>
        </is>
      </c>
      <c r="O2999" t="inlineStr"/>
      <c r="P2999" t="inlineStr">
        <is>
          <t>Wd14evn , 4x4 , Landrover  , Defender</t>
        </is>
      </c>
      <c r="Q2999" t="inlineStr">
        <is>
          <t>UKPN</t>
        </is>
      </c>
      <c r="R2999" t="b">
        <v>0</v>
      </c>
    </row>
    <row r="3000">
      <c r="A3000" t="inlineStr">
        <is>
          <t>3 Feb 2026 / Benet Jones / Utilities / NGED</t>
        </is>
      </c>
      <c r="B3000" t="inlineStr">
        <is>
          <t>Utilities</t>
        </is>
      </c>
      <c r="C3000" t="inlineStr">
        <is>
          <t>NGED</t>
        </is>
      </c>
      <c r="D3000" t="inlineStr"/>
      <c r="E3000" t="inlineStr"/>
      <c r="F3000" t="inlineStr"/>
      <c r="G3000" t="inlineStr">
        <is>
          <t xml:space="preserve">Benet Jones </t>
        </is>
      </c>
      <c r="H3000" t="inlineStr">
        <is>
          <t>Car - Petrol</t>
        </is>
      </c>
      <c r="I3000" t="inlineStr">
        <is>
          <t>Daily/ Weekly Vehicle Inspection</t>
        </is>
      </c>
      <c r="J3000" t="inlineStr">
        <is>
          <t>N/A</t>
        </is>
      </c>
      <c r="K3000" t="inlineStr">
        <is>
          <t>Benet Jones</t>
        </is>
      </c>
      <c r="L3000" t="inlineStr">
        <is>
          <t>03/02/2026 08:08</t>
        </is>
      </c>
      <c r="M3000" t="inlineStr">
        <is>
          <t>None</t>
        </is>
      </c>
      <c r="N3000" t="inlineStr">
        <is>
          <t>&lt;p&gt;&lt;/p&gt;</t>
        </is>
      </c>
      <c r="O3000" t="inlineStr">
        <is>
          <t>Confirm that you have checked this vehicle as per the guidance document and the vehicle is safe and roadworthy:Vehicle checked and fully serviceable
-</t>
        </is>
      </c>
      <c r="P3000" t="inlineStr"/>
      <c r="Q3000" t="inlineStr">
        <is>
          <t>NGED</t>
        </is>
      </c>
      <c r="R3000" t="b">
        <v>0</v>
      </c>
    </row>
    <row r="3001">
      <c r="A3001" t="inlineStr">
        <is>
          <t>3 Feb 2026 / 7186 Eastwoodbury Tree Services Ltd / Utilities / UKPN</t>
        </is>
      </c>
      <c r="B3001" t="inlineStr">
        <is>
          <t>Utilities</t>
        </is>
      </c>
      <c r="C3001" t="inlineStr">
        <is>
          <t>UKPN</t>
        </is>
      </c>
      <c r="D3001" t="inlineStr">
        <is>
          <t>WF13 EKT , 4x4 , Land rover  , Defender</t>
        </is>
      </c>
      <c r="E3001" t="inlineStr">
        <is>
          <t>WF13 EKT , 4x4 , Land rover  , Defender</t>
        </is>
      </c>
      <c r="F3001" t="inlineStr">
        <is>
          <t>WF13 EKT , 4x4 , Land rover  , Defender</t>
        </is>
      </c>
      <c r="G3001" t="inlineStr">
        <is>
          <t xml:space="preserve">Dan Gilbert </t>
        </is>
      </c>
      <c r="H3001" t="inlineStr">
        <is>
          <t>4x4</t>
        </is>
      </c>
      <c r="I3001" t="inlineStr">
        <is>
          <t>Daily/ Weekly Vehicle Inspection</t>
        </is>
      </c>
      <c r="J3001" t="inlineStr">
        <is>
          <t>N/A</t>
        </is>
      </c>
      <c r="K3001" t="inlineStr">
        <is>
          <t>7186 Eastwoodbury Tree Services Ltd</t>
        </is>
      </c>
      <c r="L3001" t="inlineStr">
        <is>
          <t>03/02/2026 08:09</t>
        </is>
      </c>
      <c r="M3001" t="inlineStr">
        <is>
          <t>None</t>
        </is>
      </c>
      <c r="N3001" t="inlineStr">
        <is>
          <t>&lt;p&gt;&lt;/p&gt;</t>
        </is>
      </c>
      <c r="O3001" t="inlineStr"/>
      <c r="P3001" t="inlineStr">
        <is>
          <t>WF13 EKT , 4x4 , Land rover  , Defender</t>
        </is>
      </c>
      <c r="Q3001" t="inlineStr">
        <is>
          <t>UKPN</t>
        </is>
      </c>
      <c r="R3001" t="b">
        <v>0</v>
      </c>
    </row>
    <row r="3002">
      <c r="A3002" t="inlineStr">
        <is>
          <t>3 Feb 2026 / 7186 Eastwoodbury Tree Services Ltd / Utilities / UKPN</t>
        </is>
      </c>
      <c r="B3002" t="inlineStr">
        <is>
          <t>Utilities</t>
        </is>
      </c>
      <c r="C3002" t="inlineStr">
        <is>
          <t>UKPN</t>
        </is>
      </c>
      <c r="D3002" t="inlineStr">
        <is>
          <t>DE53NKS , 4x4 , Ford , Ranger</t>
        </is>
      </c>
      <c r="E3002" t="inlineStr">
        <is>
          <t>DE53NKS , 4x4 , Ford , Ranger</t>
        </is>
      </c>
      <c r="F3002" t="inlineStr">
        <is>
          <t>DE53NKS , 4x4 , Ford , Ranger</t>
        </is>
      </c>
      <c r="G3002" t="inlineStr">
        <is>
          <t xml:space="preserve">Jay Denkmayer </t>
        </is>
      </c>
      <c r="H3002" t="inlineStr">
        <is>
          <t>Pickup Truck</t>
        </is>
      </c>
      <c r="I3002" t="inlineStr">
        <is>
          <t>Daily/ Weekly Vehicle Inspection</t>
        </is>
      </c>
      <c r="J3002" t="inlineStr">
        <is>
          <t>N/A</t>
        </is>
      </c>
      <c r="K3002" t="inlineStr">
        <is>
          <t>7186 Eastwoodbury Tree Services Ltd</t>
        </is>
      </c>
      <c r="L3002" t="inlineStr">
        <is>
          <t>03/02/2026 08:10</t>
        </is>
      </c>
      <c r="M3002" t="inlineStr">
        <is>
          <t>None</t>
        </is>
      </c>
      <c r="N3002" t="inlineStr">
        <is>
          <t>&lt;p&gt;&lt;/p&gt;</t>
        </is>
      </c>
      <c r="O3002" t="inlineStr"/>
      <c r="P3002" t="inlineStr">
        <is>
          <t>DE53NKS , 4x4 , Ford , Ranger</t>
        </is>
      </c>
      <c r="Q3002" t="inlineStr">
        <is>
          <t>UKPN</t>
        </is>
      </c>
      <c r="R3002" t="b">
        <v>0</v>
      </c>
    </row>
    <row r="3003">
      <c r="A3003" t="inlineStr">
        <is>
          <t>3 Feb 2026 / 7186 Eastwoodbury Tree Services Ltd / Utilities / UKPN</t>
        </is>
      </c>
      <c r="B3003" t="inlineStr">
        <is>
          <t>Utilities</t>
        </is>
      </c>
      <c r="C3003" t="inlineStr">
        <is>
          <t>UKPN</t>
        </is>
      </c>
      <c r="D3003" t="inlineStr">
        <is>
          <t>DN61XKJ , Tipper , Ford , Transit</t>
        </is>
      </c>
      <c r="E3003" t="inlineStr">
        <is>
          <t>DN61XKJ , Tipper , Ford , Transit</t>
        </is>
      </c>
      <c r="F3003" t="inlineStr">
        <is>
          <t>DN61XKJ , Tipper , Ford , Transit</t>
        </is>
      </c>
      <c r="G3003" t="inlineStr">
        <is>
          <t xml:space="preserve">Tom price </t>
        </is>
      </c>
      <c r="H3003" t="inlineStr">
        <is>
          <t>Tipper</t>
        </is>
      </c>
      <c r="I3003" t="inlineStr">
        <is>
          <t>Daily/ Weekly Vehicle Inspection</t>
        </is>
      </c>
      <c r="J3003" t="inlineStr">
        <is>
          <t>N/A</t>
        </is>
      </c>
      <c r="K3003" t="inlineStr">
        <is>
          <t>7186 Eastwoodbury Tree Services Ltd</t>
        </is>
      </c>
      <c r="L3003" t="inlineStr">
        <is>
          <t>03/02/2026 08:13</t>
        </is>
      </c>
      <c r="M3003" t="inlineStr">
        <is>
          <t>None</t>
        </is>
      </c>
      <c r="N3003" t="inlineStr">
        <is>
          <t>&lt;p&gt;&lt;/p&gt;</t>
        </is>
      </c>
      <c r="O3003" t="inlineStr"/>
      <c r="P3003" t="inlineStr">
        <is>
          <t>DN61XKJ , Tipper , Ford , Transit</t>
        </is>
      </c>
      <c r="Q3003" t="inlineStr">
        <is>
          <t>UKPN</t>
        </is>
      </c>
      <c r="R3003" t="b">
        <v>0</v>
      </c>
    </row>
    <row r="3004">
      <c r="A3004" t="inlineStr">
        <is>
          <t>3 Feb 2026 / Christopher Simeoli / Utilities / NGED</t>
        </is>
      </c>
      <c r="B3004" t="inlineStr">
        <is>
          <t>Utilities</t>
        </is>
      </c>
      <c r="C3004" t="inlineStr">
        <is>
          <t>NGED</t>
        </is>
      </c>
      <c r="D3004" t="inlineStr">
        <is>
          <t>EO73KVB , Car - Electric , Kia , Niro</t>
        </is>
      </c>
      <c r="E3004" t="inlineStr">
        <is>
          <t>EO73KVB , Car - Electric , Kia , Niro</t>
        </is>
      </c>
      <c r="F3004" t="inlineStr">
        <is>
          <t>EO73KVB , Car - Electric , Kia , Niro</t>
        </is>
      </c>
      <c r="G3004" t="inlineStr">
        <is>
          <t>Chris Simeoli</t>
        </is>
      </c>
      <c r="H3004" t="inlineStr">
        <is>
          <t>Car - Electric (GC Owned)</t>
        </is>
      </c>
      <c r="I3004" t="inlineStr">
        <is>
          <t>Daily/ Weekly Vehicle Inspection</t>
        </is>
      </c>
      <c r="J3004" t="inlineStr">
        <is>
          <t>N/A</t>
        </is>
      </c>
      <c r="K3004" t="inlineStr">
        <is>
          <t>Christopher Simeoli</t>
        </is>
      </c>
      <c r="L3004" t="inlineStr">
        <is>
          <t>03/02/2026 12:02</t>
        </is>
      </c>
      <c r="M3004" t="inlineStr">
        <is>
          <t>None</t>
        </is>
      </c>
      <c r="N3004" t="inlineStr">
        <is>
          <t>&lt;p&gt;&lt;/p&gt;</t>
        </is>
      </c>
      <c r="O3004" t="inlineStr"/>
      <c r="P3004" t="inlineStr">
        <is>
          <t>EO73KVB , Car - Electric , Kia , Niro</t>
        </is>
      </c>
      <c r="Q3004" t="inlineStr">
        <is>
          <t>NGED</t>
        </is>
      </c>
      <c r="R3004" t="b">
        <v>0</v>
      </c>
    </row>
    <row r="3005">
      <c r="A3005" t="inlineStr">
        <is>
          <t>3 Feb 2026 / James Walsh / Utilities / NGED</t>
        </is>
      </c>
      <c r="B3005" t="inlineStr">
        <is>
          <t>Utilities</t>
        </is>
      </c>
      <c r="C3005" t="inlineStr">
        <is>
          <t>NGED</t>
        </is>
      </c>
      <c r="D3005" t="inlineStr">
        <is>
          <t>AF22XPW , Car - Electric , Tesla , Model 3 Long Range AWD</t>
        </is>
      </c>
      <c r="E3005" t="inlineStr">
        <is>
          <t>AF22XPW , Car - Electric , Tesla , Model 3 Long Range AWD</t>
        </is>
      </c>
      <c r="F3005" t="inlineStr">
        <is>
          <t>AF22XPW , Car - Electric , Tesla , Model 3 Long Range AWD</t>
        </is>
      </c>
      <c r="G3005" t="inlineStr">
        <is>
          <t>James Walsh</t>
        </is>
      </c>
      <c r="H3005" t="inlineStr">
        <is>
          <t>Car - Electric (GC Owned)</t>
        </is>
      </c>
      <c r="I3005" t="inlineStr">
        <is>
          <t>Daily/ Weekly Vehicle Inspection</t>
        </is>
      </c>
      <c r="J3005" t="inlineStr">
        <is>
          <t>N/A</t>
        </is>
      </c>
      <c r="K3005" t="inlineStr">
        <is>
          <t>James Walsh</t>
        </is>
      </c>
      <c r="L3005" t="inlineStr">
        <is>
          <t>03/02/2026 14:02</t>
        </is>
      </c>
      <c r="M3005" t="inlineStr">
        <is>
          <t>None</t>
        </is>
      </c>
      <c r="N3005" t="inlineStr">
        <is>
          <t>&lt;p&gt;&lt;/p&gt;</t>
        </is>
      </c>
      <c r="O3005" t="inlineStr"/>
      <c r="P3005" t="inlineStr">
        <is>
          <t>AF22XPW , Car - Electric , Tesla , Model 3 Long Range AWD</t>
        </is>
      </c>
      <c r="Q3005" t="inlineStr">
        <is>
          <t>NGED</t>
        </is>
      </c>
      <c r="R3005" t="b">
        <v>0</v>
      </c>
    </row>
    <row r="3006">
      <c r="A3006" t="inlineStr">
        <is>
          <t>3 Feb 2026 / Keil Cheung / Utilities / NGED</t>
        </is>
      </c>
      <c r="B3006" t="inlineStr">
        <is>
          <t>Utilities</t>
        </is>
      </c>
      <c r="C3006" t="inlineStr">
        <is>
          <t>NGED</t>
        </is>
      </c>
      <c r="D3006" t="inlineStr"/>
      <c r="E3006" t="inlineStr"/>
      <c r="F3006" t="inlineStr"/>
      <c r="G3006" t="inlineStr">
        <is>
          <t>Keil cheing</t>
        </is>
      </c>
      <c r="H3006" t="inlineStr">
        <is>
          <t>Car - Petrol</t>
        </is>
      </c>
      <c r="I3006" t="inlineStr">
        <is>
          <t>Daily/ Weekly Vehicle Inspection</t>
        </is>
      </c>
      <c r="J3006" t="inlineStr">
        <is>
          <t>N/A</t>
        </is>
      </c>
      <c r="K3006" t="inlineStr">
        <is>
          <t>Keil Cheung</t>
        </is>
      </c>
      <c r="L3006" t="inlineStr">
        <is>
          <t>03/02/2026 19:01</t>
        </is>
      </c>
      <c r="M3006" t="inlineStr">
        <is>
          <t>None</t>
        </is>
      </c>
      <c r="N3006" t="inlineStr">
        <is>
          <t>&lt;p&gt;&lt;/p&gt;</t>
        </is>
      </c>
      <c r="O3006" t="inlineStr"/>
      <c r="P3006" t="inlineStr"/>
      <c r="Q3006" t="inlineStr">
        <is>
          <t>NGED</t>
        </is>
      </c>
      <c r="R3006" t="b">
        <v>0</v>
      </c>
    </row>
    <row r="3007">
      <c r="A3007" t="inlineStr">
        <is>
          <t>4 Feb 2026 / 3098 D &amp; R Landscapes / Utilities / UKPN</t>
        </is>
      </c>
      <c r="B3007" t="inlineStr">
        <is>
          <t>Utilities</t>
        </is>
      </c>
      <c r="C3007" t="inlineStr">
        <is>
          <t>UKPN</t>
        </is>
      </c>
      <c r="D3007" t="inlineStr">
        <is>
          <t>WA13ZZK , 4x4 , Land Rover  , Defender</t>
        </is>
      </c>
      <c r="E3007" t="inlineStr">
        <is>
          <t>WA13ZZK , 4x4 , Land Rover  , Defender</t>
        </is>
      </c>
      <c r="F3007" t="inlineStr">
        <is>
          <t>WA13ZZK , 4x4 , Land Rover  , Defender</t>
        </is>
      </c>
      <c r="G3007" t="inlineStr">
        <is>
          <t>Josh</t>
        </is>
      </c>
      <c r="H3007" t="inlineStr">
        <is>
          <t>Pickup Truck</t>
        </is>
      </c>
      <c r="I3007" t="inlineStr">
        <is>
          <t>Daily/ Weekly Vehicle Inspection</t>
        </is>
      </c>
      <c r="J3007" t="inlineStr">
        <is>
          <t>N/A</t>
        </is>
      </c>
      <c r="K3007" t="inlineStr">
        <is>
          <t>3098 D &amp; R Landscapes</t>
        </is>
      </c>
      <c r="L3007" t="inlineStr">
        <is>
          <t>04/02/2026 07:01</t>
        </is>
      </c>
      <c r="M3007" t="inlineStr">
        <is>
          <t>None</t>
        </is>
      </c>
      <c r="N3007" t="inlineStr">
        <is>
          <t>&lt;p&gt;&lt;/p&gt;</t>
        </is>
      </c>
      <c r="O3007" t="inlineStr"/>
      <c r="P3007" t="inlineStr">
        <is>
          <t>WA13ZZK , 4x4 , Land Rover  , Defender</t>
        </is>
      </c>
      <c r="Q3007" t="inlineStr">
        <is>
          <t>UKPN</t>
        </is>
      </c>
      <c r="R3007" t="b">
        <v>0</v>
      </c>
    </row>
    <row r="3008">
      <c r="A3008" t="inlineStr">
        <is>
          <t>4 Feb 2026 / 3098 D &amp; R Landscapes / Utilities / UKPN</t>
        </is>
      </c>
      <c r="B3008" t="inlineStr">
        <is>
          <t>Utilities</t>
        </is>
      </c>
      <c r="C3008" t="inlineStr">
        <is>
          <t>UKPN</t>
        </is>
      </c>
      <c r="D3008" t="inlineStr">
        <is>
          <t>DE68XHA , Tipper , Isuzu , Grafter</t>
        </is>
      </c>
      <c r="E3008" t="inlineStr">
        <is>
          <t>DE68XHA , Tipper , Isuzu , Grafter</t>
        </is>
      </c>
      <c r="F3008" t="inlineStr">
        <is>
          <t>DE68XHA , Tipper , Isuzu , Grafter</t>
        </is>
      </c>
      <c r="G3008" t="inlineStr">
        <is>
          <t>Chris</t>
        </is>
      </c>
      <c r="H3008" t="inlineStr">
        <is>
          <t>Tipper</t>
        </is>
      </c>
      <c r="I3008" t="inlineStr">
        <is>
          <t>Daily/ Weekly Vehicle Inspection</t>
        </is>
      </c>
      <c r="J3008" t="inlineStr">
        <is>
          <t>N/A</t>
        </is>
      </c>
      <c r="K3008" t="inlineStr">
        <is>
          <t>3098 D &amp; R Landscapes</t>
        </is>
      </c>
      <c r="L3008" t="inlineStr">
        <is>
          <t>04/02/2026 07:02</t>
        </is>
      </c>
      <c r="M3008" t="inlineStr">
        <is>
          <t>None</t>
        </is>
      </c>
      <c r="N3008" t="inlineStr">
        <is>
          <t>&lt;p&gt;&lt;/p&gt;</t>
        </is>
      </c>
      <c r="O3008" t="inlineStr"/>
      <c r="P3008" t="inlineStr">
        <is>
          <t>DE68XHA , Tipper , Isuzu , Grafter</t>
        </is>
      </c>
      <c r="Q3008" t="inlineStr">
        <is>
          <t>UKPN</t>
        </is>
      </c>
      <c r="R3008" t="b">
        <v>0</v>
      </c>
    </row>
    <row r="3009">
      <c r="A3009" t="inlineStr">
        <is>
          <t>4 Feb 2026 / 3098 D &amp; R Landscapes / Utilities / UKPN</t>
        </is>
      </c>
      <c r="B3009" t="inlineStr">
        <is>
          <t>Utilities</t>
        </is>
      </c>
      <c r="C3009" t="inlineStr">
        <is>
          <t>UKPN</t>
        </is>
      </c>
      <c r="D3009" t="inlineStr">
        <is>
          <t>BT20 GNZ , Vehicle , Nissan , Navara</t>
        </is>
      </c>
      <c r="E3009" t="inlineStr">
        <is>
          <t>BT20 GNZ , Vehicle , Nissan , Navara</t>
        </is>
      </c>
      <c r="F3009" t="inlineStr">
        <is>
          <t>BT20 GNZ , Vehicle , Nissan , Navara</t>
        </is>
      </c>
      <c r="G3009" t="inlineStr">
        <is>
          <t>Jason</t>
        </is>
      </c>
      <c r="H3009" t="inlineStr">
        <is>
          <t>Pickup Truck</t>
        </is>
      </c>
      <c r="I3009" t="inlineStr">
        <is>
          <t>Daily/ Weekly Vehicle Inspection</t>
        </is>
      </c>
      <c r="J3009" t="inlineStr">
        <is>
          <t>N/A</t>
        </is>
      </c>
      <c r="K3009" t="inlineStr">
        <is>
          <t>3098 D &amp; R Landscapes</t>
        </is>
      </c>
      <c r="L3009" t="inlineStr">
        <is>
          <t>04/02/2026 07:03</t>
        </is>
      </c>
      <c r="M3009" t="inlineStr">
        <is>
          <t>None</t>
        </is>
      </c>
      <c r="N3009" t="inlineStr">
        <is>
          <t>&lt;p&gt;&lt;/p&gt;</t>
        </is>
      </c>
      <c r="O3009" t="inlineStr"/>
      <c r="P3009" t="inlineStr">
        <is>
          <t>BT20 GNZ , Vehicle , Nissan , Navara</t>
        </is>
      </c>
      <c r="Q3009" t="inlineStr">
        <is>
          <t>UKPN</t>
        </is>
      </c>
      <c r="R3009" t="b">
        <v>0</v>
      </c>
    </row>
    <row r="3010">
      <c r="A3010" t="inlineStr">
        <is>
          <t>4 Feb 2026 / 6617 Ashdown Tree Limited 1 / Utilities / UKPN</t>
        </is>
      </c>
      <c r="B3010" t="inlineStr">
        <is>
          <t>Utilities</t>
        </is>
      </c>
      <c r="C3010" t="inlineStr">
        <is>
          <t>UKPN</t>
        </is>
      </c>
      <c r="D3010" t="inlineStr">
        <is>
          <t>WG63OJS , 4x4 , Land rover  , defender</t>
        </is>
      </c>
      <c r="E3010" t="inlineStr">
        <is>
          <t>WG63OJS , 4x4 , Land rover  , defender</t>
        </is>
      </c>
      <c r="F3010" t="inlineStr">
        <is>
          <t>WG63OJS , 4x4 , Land rover  , defender</t>
        </is>
      </c>
      <c r="G3010" t="inlineStr">
        <is>
          <t>Dan</t>
        </is>
      </c>
      <c r="H3010" t="inlineStr">
        <is>
          <t>4x4</t>
        </is>
      </c>
      <c r="I3010" t="inlineStr">
        <is>
          <t>Daily/ Weekly Vehicle Inspection</t>
        </is>
      </c>
      <c r="J3010" t="inlineStr">
        <is>
          <t>N/A</t>
        </is>
      </c>
      <c r="K3010" t="inlineStr">
        <is>
          <t>6617 Ashdown Tree Limited - Team 2</t>
        </is>
      </c>
      <c r="L3010" t="inlineStr">
        <is>
          <t>04/02/2026 07:04</t>
        </is>
      </c>
      <c r="M3010" t="inlineStr">
        <is>
          <t>None</t>
        </is>
      </c>
      <c r="N3010" t="inlineStr">
        <is>
          <t>&lt;p&gt;&lt;/p&gt;</t>
        </is>
      </c>
      <c r="O3010" t="inlineStr"/>
      <c r="P3010" t="inlineStr">
        <is>
          <t>WG63OJS , 4x4 , Land rover  , defender</t>
        </is>
      </c>
      <c r="Q3010" t="inlineStr">
        <is>
          <t>UKPN</t>
        </is>
      </c>
      <c r="R3010" t="b">
        <v>0</v>
      </c>
    </row>
    <row r="3011">
      <c r="A3011" t="inlineStr">
        <is>
          <t>4 Feb 2026 / 7951 Austin Tree Care LTD / Utilities / UKPN</t>
        </is>
      </c>
      <c r="B3011" t="inlineStr">
        <is>
          <t>Utilities</t>
        </is>
      </c>
      <c r="C3011" t="inlineStr">
        <is>
          <t>UKPN</t>
        </is>
      </c>
      <c r="D3011" t="inlineStr">
        <is>
          <t>SA9ST6P0001283612 , Towed Chipper , Forst , ST6p</t>
        </is>
      </c>
      <c r="E3011" t="inlineStr">
        <is>
          <t>SA9ST6P0001283612 , Towed Chipper , Forst , ST6p</t>
        </is>
      </c>
      <c r="F3011" t="inlineStr">
        <is>
          <t>SA9ST6P0001283612 , Towed Chipper , Forst , ST6p</t>
        </is>
      </c>
      <c r="G3011" t="inlineStr">
        <is>
          <t xml:space="preserve">James Tasker  </t>
        </is>
      </c>
      <c r="H3011" t="inlineStr">
        <is>
          <t>Towed Chipper</t>
        </is>
      </c>
      <c r="I3011" t="inlineStr">
        <is>
          <t>Daily/ Weekly Vehicle Inspection</t>
        </is>
      </c>
      <c r="J3011" t="inlineStr">
        <is>
          <t>N/A</t>
        </is>
      </c>
      <c r="K3011" t="inlineStr">
        <is>
          <t>7951 Austin Tree Care LTD</t>
        </is>
      </c>
      <c r="L3011" t="inlineStr">
        <is>
          <t>04/02/2026 08:01</t>
        </is>
      </c>
      <c r="M3011" t="inlineStr">
        <is>
          <t>None</t>
        </is>
      </c>
      <c r="N3011" t="inlineStr">
        <is>
          <t>&lt;p&gt;&lt;/p&gt;</t>
        </is>
      </c>
      <c r="O3011" t="inlineStr"/>
      <c r="P3011" t="inlineStr">
        <is>
          <t>SA9ST6P0001283612 , Towed Chipper , Forst , ST6p</t>
        </is>
      </c>
      <c r="Q3011" t="inlineStr">
        <is>
          <t>UKPN</t>
        </is>
      </c>
      <c r="R3011" t="b">
        <v>0</v>
      </c>
    </row>
    <row r="3012">
      <c r="A3012" t="inlineStr">
        <is>
          <t>4 Feb 2026 / Thomas Playford / Utilities / UKPN</t>
        </is>
      </c>
      <c r="B3012" t="inlineStr">
        <is>
          <t>Utilities</t>
        </is>
      </c>
      <c r="C3012" t="inlineStr">
        <is>
          <t>UKPN</t>
        </is>
      </c>
      <c r="D3012" t="inlineStr">
        <is>
          <t>SA9ST800000283944 , Towed Chipper , Forst , ST8D - Towed</t>
        </is>
      </c>
      <c r="E3012" t="inlineStr">
        <is>
          <t>SA9ST800000283944 , Towed Chipper , Forst , ST8D - Towed</t>
        </is>
      </c>
      <c r="F3012" t="inlineStr">
        <is>
          <t>SA9ST800000283944 , Towed Chipper , Forst , ST8D - Towed</t>
        </is>
      </c>
      <c r="G3012" t="inlineStr">
        <is>
          <t>Jacob Oram</t>
        </is>
      </c>
      <c r="H3012" t="inlineStr">
        <is>
          <t>Towed Chipper</t>
        </is>
      </c>
      <c r="I3012" t="inlineStr">
        <is>
          <t>Daily/ Weekly Vehicle Inspection</t>
        </is>
      </c>
      <c r="J3012" t="inlineStr">
        <is>
          <t>N/A</t>
        </is>
      </c>
      <c r="K3012" t="inlineStr">
        <is>
          <t>7995 Green Net Eco Ltd 2</t>
        </is>
      </c>
      <c r="L3012" t="inlineStr">
        <is>
          <t>04/02/2026 08:02</t>
        </is>
      </c>
      <c r="M3012" t="inlineStr">
        <is>
          <t>None</t>
        </is>
      </c>
      <c r="N3012" t="inlineStr">
        <is>
          <t>&lt;p&gt;&lt;/p&gt;</t>
        </is>
      </c>
      <c r="O3012" t="inlineStr"/>
      <c r="P3012" t="inlineStr">
        <is>
          <t>SA9ST800000283944 , Towed Chipper , Forst , ST8D - Towed</t>
        </is>
      </c>
      <c r="Q3012" t="inlineStr">
        <is>
          <t>UKPN</t>
        </is>
      </c>
      <c r="R3012" t="b">
        <v>0</v>
      </c>
    </row>
    <row r="3013">
      <c r="A3013" t="inlineStr">
        <is>
          <t>4 Feb 2026 / 7951 Austin Tree Care LTD / Utilities / UKPN</t>
        </is>
      </c>
      <c r="B3013" t="inlineStr">
        <is>
          <t>Utilities</t>
        </is>
      </c>
      <c r="C3013" t="inlineStr">
        <is>
          <t>UKPN</t>
        </is>
      </c>
      <c r="D3013" t="inlineStr"/>
      <c r="E3013" t="inlineStr"/>
      <c r="F3013" t="inlineStr"/>
      <c r="G3013" t="inlineStr"/>
      <c r="H3013" t="inlineStr"/>
      <c r="I3013" t="inlineStr"/>
      <c r="J3013" t="inlineStr">
        <is>
          <t>N/A</t>
        </is>
      </c>
      <c r="K3013" t="inlineStr">
        <is>
          <t>7951 Austin Tree Care LTD</t>
        </is>
      </c>
      <c r="L3013" t="inlineStr">
        <is>
          <t>04/02/2026 08:03</t>
        </is>
      </c>
      <c r="M3013" t="inlineStr">
        <is>
          <t>None</t>
        </is>
      </c>
      <c r="N3013" t="inlineStr">
        <is>
          <t>&lt;p&gt;&lt;/p&gt;</t>
        </is>
      </c>
      <c r="O3013" t="inlineStr"/>
      <c r="P3013" t="inlineStr"/>
      <c r="Q3013" t="inlineStr">
        <is>
          <t>UKPN</t>
        </is>
      </c>
      <c r="R3013" t="b">
        <v>0</v>
      </c>
    </row>
    <row r="3014">
      <c r="A3014" t="inlineStr">
        <is>
          <t>4 Feb 2026 / 7951 Austin Tree Care LTD / Utilities / UKPN</t>
        </is>
      </c>
      <c r="B3014" t="inlineStr">
        <is>
          <t>Utilities</t>
        </is>
      </c>
      <c r="C3014" t="inlineStr">
        <is>
          <t>UKPN</t>
        </is>
      </c>
      <c r="D3014" t="inlineStr">
        <is>
          <t>WF61 HZV , 4x4 MEWP , Land Rover , Defender</t>
        </is>
      </c>
      <c r="E3014" t="inlineStr">
        <is>
          <t>WF61 HZV , 4x4 MEWP , Land Rover , Defender</t>
        </is>
      </c>
      <c r="F3014" t="inlineStr">
        <is>
          <t>WF61 HZV , 4x4 MEWP , Land Rover , Defender</t>
        </is>
      </c>
      <c r="G3014" t="inlineStr">
        <is>
          <t xml:space="preserve">Jack Austin </t>
        </is>
      </c>
      <c r="H3014" t="inlineStr">
        <is>
          <t>4x4</t>
        </is>
      </c>
      <c r="I3014" t="inlineStr">
        <is>
          <t>Daily/ Weekly Vehicle Inspection</t>
        </is>
      </c>
      <c r="J3014" t="inlineStr">
        <is>
          <t>N/A</t>
        </is>
      </c>
      <c r="K3014" t="inlineStr">
        <is>
          <t>7951 Austin Tree Care LTD</t>
        </is>
      </c>
      <c r="L3014" t="inlineStr">
        <is>
          <t>04/02/2026 08:03</t>
        </is>
      </c>
      <c r="M3014" t="inlineStr">
        <is>
          <t>None</t>
        </is>
      </c>
      <c r="N3014" t="inlineStr">
        <is>
          <t>&lt;p&gt;&lt;/p&gt;</t>
        </is>
      </c>
      <c r="O3014" t="inlineStr"/>
      <c r="P3014" t="inlineStr">
        <is>
          <t>WF61 HZV , 4x4 MEWP , Land Rover , Defender</t>
        </is>
      </c>
      <c r="Q3014" t="inlineStr">
        <is>
          <t>UKPN</t>
        </is>
      </c>
      <c r="R3014" t="b">
        <v>0</v>
      </c>
    </row>
    <row r="3015">
      <c r="A3015" t="inlineStr">
        <is>
          <t>4 Feb 2026 / Thomas Playford / Utilities / UKPN</t>
        </is>
      </c>
      <c r="B3015" t="inlineStr">
        <is>
          <t>Utilities</t>
        </is>
      </c>
      <c r="C3015" t="inlineStr">
        <is>
          <t>UKPN</t>
        </is>
      </c>
      <c r="D3015" t="inlineStr">
        <is>
          <t>WM72UNF , 4x4 , Ford , Ranger</t>
        </is>
      </c>
      <c r="E3015" t="inlineStr">
        <is>
          <t>WM72UNF , 4x4 , Ford , Ranger</t>
        </is>
      </c>
      <c r="F3015" t="inlineStr">
        <is>
          <t>WM72UNF , 4x4 , Ford , Ranger</t>
        </is>
      </c>
      <c r="G3015" t="inlineStr">
        <is>
          <t>Jacob Oram</t>
        </is>
      </c>
      <c r="H3015" t="inlineStr">
        <is>
          <t>4x4</t>
        </is>
      </c>
      <c r="I3015" t="inlineStr">
        <is>
          <t>Daily/ Weekly Vehicle Inspection</t>
        </is>
      </c>
      <c r="J3015" t="inlineStr">
        <is>
          <t>N/A</t>
        </is>
      </c>
      <c r="K3015" t="inlineStr">
        <is>
          <t>7995 Green Net Eco Ltd 2</t>
        </is>
      </c>
      <c r="L3015" t="inlineStr">
        <is>
          <t>04/02/2026 08:04</t>
        </is>
      </c>
      <c r="M3015" t="inlineStr">
        <is>
          <t>None</t>
        </is>
      </c>
      <c r="N3015" t="inlineStr">
        <is>
          <t>&lt;p&gt;&lt;/p&gt;</t>
        </is>
      </c>
      <c r="O3015" t="inlineStr"/>
      <c r="P3015" t="inlineStr">
        <is>
          <t>WM72UNF , 4x4 , Ford , Ranger</t>
        </is>
      </c>
      <c r="Q3015" t="inlineStr">
        <is>
          <t>UKPN</t>
        </is>
      </c>
      <c r="R3015" t="b">
        <v>0</v>
      </c>
    </row>
    <row r="3016">
      <c r="A3016" t="inlineStr">
        <is>
          <t>4 Feb 2026 / 7951 Austin Tree Care LTD 1 / Utilities / UKPN</t>
        </is>
      </c>
      <c r="B3016" t="inlineStr">
        <is>
          <t>Utilities</t>
        </is>
      </c>
      <c r="C3016" t="inlineStr">
        <is>
          <t>UKPN</t>
        </is>
      </c>
      <c r="D3016" t="inlineStr">
        <is>
          <t>WG64HTT , 4x4 , Land Rover , Defender 110</t>
        </is>
      </c>
      <c r="E3016" t="inlineStr">
        <is>
          <t>WG64HTT , 4x4 , Land Rover , Defender 110</t>
        </is>
      </c>
      <c r="F3016" t="inlineStr">
        <is>
          <t>WG64HTT , 4x4 , Land Rover , Defender 110</t>
        </is>
      </c>
      <c r="G3016" t="inlineStr">
        <is>
          <t xml:space="preserve">James Tasker </t>
        </is>
      </c>
      <c r="H3016" t="inlineStr">
        <is>
          <t>4x4</t>
        </is>
      </c>
      <c r="I3016" t="inlineStr">
        <is>
          <t>Daily/ Weekly Vehicle Inspection</t>
        </is>
      </c>
      <c r="J3016" t="inlineStr">
        <is>
          <t>N/A</t>
        </is>
      </c>
      <c r="K3016" t="inlineStr">
        <is>
          <t>7951 Austin Tree Care LTD 1</t>
        </is>
      </c>
      <c r="L3016" t="inlineStr">
        <is>
          <t>04/02/2026 08:05</t>
        </is>
      </c>
      <c r="M3016" t="inlineStr">
        <is>
          <t>None</t>
        </is>
      </c>
      <c r="N3016" t="inlineStr">
        <is>
          <t>&lt;p&gt;&lt;/p&gt;</t>
        </is>
      </c>
      <c r="O3016" t="inlineStr"/>
      <c r="P3016" t="inlineStr">
        <is>
          <t>WG64HTT , 4x4 , Land Rover , Defender 110</t>
        </is>
      </c>
      <c r="Q3016" t="inlineStr">
        <is>
          <t>UKPN</t>
        </is>
      </c>
      <c r="R3016" t="b">
        <v>0</v>
      </c>
    </row>
    <row r="3017">
      <c r="A3017" t="inlineStr">
        <is>
          <t>4 Feb 2026 / 7186 Eastwoodbury Tree Services Ltd / Utilities / UKPN</t>
        </is>
      </c>
      <c r="B3017" t="inlineStr">
        <is>
          <t>Utilities</t>
        </is>
      </c>
      <c r="C3017" t="inlineStr">
        <is>
          <t>UKPN</t>
        </is>
      </c>
      <c r="D3017" t="inlineStr">
        <is>
          <t>DE53NKS , 4x4 , Ford , Ranger</t>
        </is>
      </c>
      <c r="E3017" t="inlineStr">
        <is>
          <t>DE53NKS , 4x4 , Ford , Ranger</t>
        </is>
      </c>
      <c r="F3017" t="inlineStr">
        <is>
          <t>DE53NKS , 4x4 , Ford , Ranger</t>
        </is>
      </c>
      <c r="G3017" t="inlineStr">
        <is>
          <t xml:space="preserve">Jay Denkmayer </t>
        </is>
      </c>
      <c r="H3017" t="inlineStr">
        <is>
          <t>4x4</t>
        </is>
      </c>
      <c r="I3017" t="inlineStr">
        <is>
          <t>Daily/ Weekly Vehicle Inspection</t>
        </is>
      </c>
      <c r="J3017" t="inlineStr">
        <is>
          <t>N/A</t>
        </is>
      </c>
      <c r="K3017" t="inlineStr">
        <is>
          <t>7186 Eastwoodbury Tree Services Ltd</t>
        </is>
      </c>
      <c r="L3017" t="inlineStr">
        <is>
          <t>04/02/2026 08:08</t>
        </is>
      </c>
      <c r="M3017" t="inlineStr">
        <is>
          <t>None</t>
        </is>
      </c>
      <c r="N3017" t="inlineStr">
        <is>
          <t>&lt;p&gt;&lt;/p&gt;</t>
        </is>
      </c>
      <c r="O3017" t="inlineStr"/>
      <c r="P3017" t="inlineStr">
        <is>
          <t>DE53NKS , 4x4 , Ford , Ranger</t>
        </is>
      </c>
      <c r="Q3017" t="inlineStr">
        <is>
          <t>UKPN</t>
        </is>
      </c>
      <c r="R3017" t="b">
        <v>0</v>
      </c>
    </row>
    <row r="3018">
      <c r="A3018" t="inlineStr">
        <is>
          <t>4 Feb 2026 / 7806 Optimum Tree Services Ltd / Utilities / UKPN</t>
        </is>
      </c>
      <c r="B3018" t="inlineStr">
        <is>
          <t>Utilities</t>
        </is>
      </c>
      <c r="C3018" t="inlineStr">
        <is>
          <t>UKPN</t>
        </is>
      </c>
      <c r="D3018" t="inlineStr">
        <is>
          <t>SA9TAPLAF27414263 , Trailer , Tow Mate , Plant Trailer</t>
        </is>
      </c>
      <c r="E3018" t="inlineStr">
        <is>
          <t>SA9TAPLAF27414263 , Trailer , Tow Mate , Plant Trailer</t>
        </is>
      </c>
      <c r="F3018" t="inlineStr">
        <is>
          <t>SA9TAPLAF27414263 , Trailer , Tow Mate , Plant Trailer</t>
        </is>
      </c>
      <c r="G3018" t="inlineStr">
        <is>
          <t xml:space="preserve">Abraham Davies </t>
        </is>
      </c>
      <c r="H3018" t="inlineStr">
        <is>
          <t>Plant Trailer</t>
        </is>
      </c>
      <c r="I3018" t="inlineStr">
        <is>
          <t>Daily/ Weekly Vehicle Inspection</t>
        </is>
      </c>
      <c r="J3018" t="inlineStr">
        <is>
          <t>N/A</t>
        </is>
      </c>
      <c r="K3018" t="inlineStr">
        <is>
          <t>7806 Optimum Tree Services Ltd</t>
        </is>
      </c>
      <c r="L3018" t="inlineStr">
        <is>
          <t>04/02/2026 09:01</t>
        </is>
      </c>
      <c r="M3018" t="inlineStr">
        <is>
          <t>None</t>
        </is>
      </c>
      <c r="N3018" t="inlineStr">
        <is>
          <t>&lt;p&gt;&lt;/p&gt;</t>
        </is>
      </c>
      <c r="O3018" t="inlineStr"/>
      <c r="P3018" t="inlineStr">
        <is>
          <t>SA9TAPLAF27414263 , Trailer , Tow Mate , Plant Trailer</t>
        </is>
      </c>
      <c r="Q3018" t="inlineStr">
        <is>
          <t>UKPN</t>
        </is>
      </c>
      <c r="R3018" t="b">
        <v>0</v>
      </c>
    </row>
    <row r="3019">
      <c r="A3019" t="inlineStr">
        <is>
          <t>4 Feb 2026 / 7806 Optimum Tree Services Ltd / Utilities / UKPN</t>
        </is>
      </c>
      <c r="B3019" t="inlineStr">
        <is>
          <t>Utilities</t>
        </is>
      </c>
      <c r="C3019" t="inlineStr">
        <is>
          <t>UKPN</t>
        </is>
      </c>
      <c r="D3019" t="inlineStr">
        <is>
          <t>WD14EVB , MEWP , Land Rover , Defender</t>
        </is>
      </c>
      <c r="E3019" t="inlineStr">
        <is>
          <t>WD14EVB , MEWP , Land Rover , Defender</t>
        </is>
      </c>
      <c r="F3019" t="inlineStr">
        <is>
          <t>WD14EVB , MEWP , Land Rover , Defender</t>
        </is>
      </c>
      <c r="G3019" t="inlineStr">
        <is>
          <t xml:space="preserve">Abraham Davies </t>
        </is>
      </c>
      <c r="H3019" t="inlineStr">
        <is>
          <t>4x4</t>
        </is>
      </c>
      <c r="I3019" t="inlineStr">
        <is>
          <t>Daily/ Weekly Vehicle Inspection</t>
        </is>
      </c>
      <c r="J3019" t="inlineStr">
        <is>
          <t>N/A</t>
        </is>
      </c>
      <c r="K3019" t="inlineStr">
        <is>
          <t>7806 Optimum Tree Services Ltd</t>
        </is>
      </c>
      <c r="L3019" t="inlineStr">
        <is>
          <t>04/02/2026 09:02</t>
        </is>
      </c>
      <c r="M3019" t="inlineStr">
        <is>
          <t>None</t>
        </is>
      </c>
      <c r="N3019" t="inlineStr">
        <is>
          <t>&lt;p&gt;&lt;/p&gt;</t>
        </is>
      </c>
      <c r="O3019" t="inlineStr"/>
      <c r="P3019" t="inlineStr">
        <is>
          <t>WD14EVB , MEWP , Land Rover , Defender</t>
        </is>
      </c>
      <c r="Q3019" t="inlineStr">
        <is>
          <t>UKPN</t>
        </is>
      </c>
      <c r="R3019" t="b">
        <v>0</v>
      </c>
    </row>
    <row r="3020">
      <c r="A3020" t="inlineStr">
        <is>
          <t>2 Jan 2026 / Jake Bolwell / Utilities / SSE</t>
        </is>
      </c>
      <c r="B3020" t="inlineStr">
        <is>
          <t>Utilities</t>
        </is>
      </c>
      <c r="C3020" t="inlineStr">
        <is>
          <t>SSE</t>
        </is>
      </c>
      <c r="D3020" t="inlineStr">
        <is>
          <t>AK23YLP , Car - Electric , Tesla , Model Y Long Range</t>
        </is>
      </c>
      <c r="E3020" t="inlineStr">
        <is>
          <t>AK23YLP , Car - Electric , Tesla , Model Y Long Range</t>
        </is>
      </c>
      <c r="F3020" t="inlineStr">
        <is>
          <t>AK23YLP , Car - Electric , Tesla , Model Y Long Range</t>
        </is>
      </c>
      <c r="G3020" t="inlineStr">
        <is>
          <t>Jake bolwell</t>
        </is>
      </c>
      <c r="H3020" t="inlineStr">
        <is>
          <t>Car - Electric (GC Owned)</t>
        </is>
      </c>
      <c r="I3020" t="inlineStr">
        <is>
          <t>Daily/ Weekly Vehicle Inspection</t>
        </is>
      </c>
      <c r="J3020" t="inlineStr">
        <is>
          <t>N/A</t>
        </is>
      </c>
      <c r="K3020" t="inlineStr">
        <is>
          <t>Jake Bolwell</t>
        </is>
      </c>
      <c r="L3020" t="inlineStr">
        <is>
          <t>04/02/2026 09:03</t>
        </is>
      </c>
      <c r="M3020" t="inlineStr">
        <is>
          <t>None</t>
        </is>
      </c>
      <c r="N3020" t="inlineStr">
        <is>
          <t>&lt;p&gt;&lt;/p&gt;</t>
        </is>
      </c>
      <c r="O3020" t="inlineStr"/>
      <c r="P3020" t="inlineStr">
        <is>
          <t>AK23YLP , Car - Electric , Tesla , Model Y Long Range</t>
        </is>
      </c>
      <c r="Q3020" t="inlineStr">
        <is>
          <t>SSE</t>
        </is>
      </c>
      <c r="R3020" t="b">
        <v>0</v>
      </c>
    </row>
    <row r="3021">
      <c r="A3021" t="inlineStr">
        <is>
          <t>4 Feb 2026 / Harry Bellis / Utilities / SSE</t>
        </is>
      </c>
      <c r="B3021" t="inlineStr">
        <is>
          <t>Utilities</t>
        </is>
      </c>
      <c r="C3021" t="inlineStr">
        <is>
          <t>SSE</t>
        </is>
      </c>
      <c r="D3021" t="inlineStr">
        <is>
          <t>EO73KUG , Car - Electric , Kia , Niro</t>
        </is>
      </c>
      <c r="E3021" t="inlineStr">
        <is>
          <t>EO73KUG , Car - Electric , Kia , Niro</t>
        </is>
      </c>
      <c r="F3021" t="inlineStr">
        <is>
          <t>EO73KUG , Car - Electric , Kia , Niro</t>
        </is>
      </c>
      <c r="G3021" t="inlineStr">
        <is>
          <t>Harry Bellis</t>
        </is>
      </c>
      <c r="H3021" t="inlineStr">
        <is>
          <t>Car - Electric (GC Owned)</t>
        </is>
      </c>
      <c r="I3021" t="inlineStr">
        <is>
          <t>Daily/ Weekly Vehicle Inspection</t>
        </is>
      </c>
      <c r="J3021" t="inlineStr">
        <is>
          <t>N/A</t>
        </is>
      </c>
      <c r="K3021" t="inlineStr">
        <is>
          <t>Harry Bellis</t>
        </is>
      </c>
      <c r="L3021" t="inlineStr">
        <is>
          <t>04/02/2026 09:04</t>
        </is>
      </c>
      <c r="M3021" t="inlineStr">
        <is>
          <t>None</t>
        </is>
      </c>
      <c r="N3021" t="inlineStr">
        <is>
          <t>&lt;p&gt;&lt;/p&gt;</t>
        </is>
      </c>
      <c r="O3021" t="inlineStr"/>
      <c r="P3021" t="inlineStr">
        <is>
          <t>EO73KUG , Car - Electric , Kia , Niro</t>
        </is>
      </c>
      <c r="Q3021" t="inlineStr">
        <is>
          <t>SSE</t>
        </is>
      </c>
      <c r="R3021" t="b">
        <v>0</v>
      </c>
    </row>
    <row r="3022">
      <c r="A3022" t="inlineStr">
        <is>
          <t>4 Feb 2026 / 7806 Optimum Tree Services Ltd / Utilities / UKPN</t>
        </is>
      </c>
      <c r="B3022" t="inlineStr">
        <is>
          <t>Utilities</t>
        </is>
      </c>
      <c r="C3022" t="inlineStr">
        <is>
          <t>UKPN</t>
        </is>
      </c>
      <c r="D3022" t="inlineStr">
        <is>
          <t>SA9ST800000283069 , Chipper , Forst , ST 6P</t>
        </is>
      </c>
      <c r="E3022" t="inlineStr">
        <is>
          <t>SA9ST800000283069 , Chipper , Forst , ST 6P</t>
        </is>
      </c>
      <c r="F3022" t="inlineStr">
        <is>
          <t>SA9ST800000283069 , Chipper , Forst , ST 6P</t>
        </is>
      </c>
      <c r="G3022" t="inlineStr">
        <is>
          <t>Kenny Aldred</t>
        </is>
      </c>
      <c r="H3022" t="inlineStr">
        <is>
          <t>Towed Chipper</t>
        </is>
      </c>
      <c r="I3022" t="inlineStr">
        <is>
          <t>Daily/ Weekly Vehicle Inspection</t>
        </is>
      </c>
      <c r="J3022" t="inlineStr">
        <is>
          <t>N/A</t>
        </is>
      </c>
      <c r="K3022" t="inlineStr">
        <is>
          <t>7806 Optimum Tree Services Ltd</t>
        </is>
      </c>
      <c r="L3022" t="inlineStr">
        <is>
          <t>04/02/2026 09:04</t>
        </is>
      </c>
      <c r="M3022" t="inlineStr">
        <is>
          <t>None</t>
        </is>
      </c>
      <c r="N3022" t="inlineStr">
        <is>
          <t>&lt;p&gt;&lt;/p&gt;</t>
        </is>
      </c>
      <c r="O3022" t="inlineStr"/>
      <c r="P3022" t="inlineStr">
        <is>
          <t>SA9ST800000283069 , Chipper , Forst , ST 6P</t>
        </is>
      </c>
      <c r="Q3022" t="inlineStr">
        <is>
          <t>UKPN</t>
        </is>
      </c>
      <c r="R3022" t="b">
        <v>0</v>
      </c>
    </row>
    <row r="3023">
      <c r="A3023" t="inlineStr">
        <is>
          <t>4 Feb 2026 / 7806 Optimum Tree Services Ltd / Utilities / UKPN</t>
        </is>
      </c>
      <c r="B3023" t="inlineStr">
        <is>
          <t>Utilities</t>
        </is>
      </c>
      <c r="C3023" t="inlineStr">
        <is>
          <t>UKPN</t>
        </is>
      </c>
      <c r="D3023" t="inlineStr">
        <is>
          <t>Wd14evn , 4x4 , Landrover  , Defender</t>
        </is>
      </c>
      <c r="E3023" t="inlineStr">
        <is>
          <t>Wd14evn , 4x4 , Landrover  , Defender</t>
        </is>
      </c>
      <c r="F3023" t="inlineStr">
        <is>
          <t>Wd14evn , 4x4 , Landrover  , Defender</t>
        </is>
      </c>
      <c r="G3023" t="inlineStr">
        <is>
          <t xml:space="preserve">Kenny Aldred </t>
        </is>
      </c>
      <c r="H3023" t="inlineStr">
        <is>
          <t>4x4</t>
        </is>
      </c>
      <c r="I3023" t="inlineStr">
        <is>
          <t>Daily/ Weekly Vehicle Inspection</t>
        </is>
      </c>
      <c r="J3023" t="inlineStr">
        <is>
          <t>N/A</t>
        </is>
      </c>
      <c r="K3023" t="inlineStr">
        <is>
          <t>7806 Optimum Tree Services Ltd</t>
        </is>
      </c>
      <c r="L3023" t="inlineStr">
        <is>
          <t>04/02/2026 09:05</t>
        </is>
      </c>
      <c r="M3023" t="inlineStr">
        <is>
          <t>None</t>
        </is>
      </c>
      <c r="N3023" t="inlineStr">
        <is>
          <t>&lt;p&gt;&lt;/p&gt;</t>
        </is>
      </c>
      <c r="O3023" t="inlineStr"/>
      <c r="P3023" t="inlineStr">
        <is>
          <t>Wd14evn , 4x4 , Landrover  , Defender</t>
        </is>
      </c>
      <c r="Q3023" t="inlineStr">
        <is>
          <t>UKPN</t>
        </is>
      </c>
      <c r="R3023" t="b">
        <v>0</v>
      </c>
    </row>
    <row r="3024">
      <c r="A3024" t="inlineStr">
        <is>
          <t>4 Feb 2026 / 7800 MAC Tree Surgery and Fencing Ltd / Utilities / UKPN</t>
        </is>
      </c>
      <c r="B3024" t="inlineStr">
        <is>
          <t>Utilities</t>
        </is>
      </c>
      <c r="C3024" t="inlineStr">
        <is>
          <t>UKPN</t>
        </is>
      </c>
      <c r="D3024" t="inlineStr">
        <is>
          <t>AY68DAA , 4x4 , Izuzu , Dmax</t>
        </is>
      </c>
      <c r="E3024" t="inlineStr">
        <is>
          <t>AY68DAA , 4x4 , Izuzu , Dmax</t>
        </is>
      </c>
      <c r="F3024" t="inlineStr">
        <is>
          <t>AY68DAA , 4x4 , Izuzu , Dmax</t>
        </is>
      </c>
      <c r="G3024" t="inlineStr">
        <is>
          <t xml:space="preserve">Patrick O'Shea </t>
        </is>
      </c>
      <c r="H3024" t="inlineStr">
        <is>
          <t>4x4</t>
        </is>
      </c>
      <c r="I3024" t="inlineStr">
        <is>
          <t>Daily/ Weekly Vehicle Inspection</t>
        </is>
      </c>
      <c r="J3024" t="inlineStr">
        <is>
          <t>N/A</t>
        </is>
      </c>
      <c r="K3024" t="inlineStr">
        <is>
          <t>7800 MAC Tree Surgery and Fencing Ltd</t>
        </is>
      </c>
      <c r="L3024" t="inlineStr">
        <is>
          <t>04/02/2026 09:07</t>
        </is>
      </c>
      <c r="M3024" t="inlineStr">
        <is>
          <t>None</t>
        </is>
      </c>
      <c r="N3024" t="inlineStr">
        <is>
          <t>&lt;p&gt;&lt;/p&gt;</t>
        </is>
      </c>
      <c r="O3024" t="inlineStr"/>
      <c r="P3024" t="inlineStr">
        <is>
          <t>AY68DAA , 4x4 , Izuzu , Dmax</t>
        </is>
      </c>
      <c r="Q3024" t="inlineStr">
        <is>
          <t>UKPN</t>
        </is>
      </c>
      <c r="R3024" t="b">
        <v>0</v>
      </c>
    </row>
    <row r="3025">
      <c r="A3025" t="inlineStr">
        <is>
          <t>4 Feb 2026 / Timbo Franklin M G Tree Surgery Ltd / Utilities / UKPN</t>
        </is>
      </c>
      <c r="B3025" t="inlineStr">
        <is>
          <t>Utilities</t>
        </is>
      </c>
      <c r="C3025" t="inlineStr">
        <is>
          <t>UKPN</t>
        </is>
      </c>
      <c r="D3025" t="inlineStr">
        <is>
          <t>GU13 WNL , MEWP , Land Rover , Defender 130</t>
        </is>
      </c>
      <c r="E3025" t="inlineStr">
        <is>
          <t>GU13 WNL , MEWP , Land Rover , Defender 130</t>
        </is>
      </c>
      <c r="F3025" t="inlineStr">
        <is>
          <t>GU13 WNL , MEWP , Land Rover , Defender 130</t>
        </is>
      </c>
      <c r="G3025" t="inlineStr">
        <is>
          <t xml:space="preserve">Tim Franklin </t>
        </is>
      </c>
      <c r="H3025" t="inlineStr">
        <is>
          <t>4x4</t>
        </is>
      </c>
      <c r="I3025" t="inlineStr">
        <is>
          <t>Daily/ Weekly Vehicle Inspection</t>
        </is>
      </c>
      <c r="J3025" t="inlineStr">
        <is>
          <t>N/A</t>
        </is>
      </c>
      <c r="K3025" t="inlineStr">
        <is>
          <t>7996 M G Tree Surgery Ltd 2</t>
        </is>
      </c>
      <c r="L3025" t="inlineStr">
        <is>
          <t>04/02/2026 09:08</t>
        </is>
      </c>
      <c r="M3025" t="inlineStr">
        <is>
          <t>None</t>
        </is>
      </c>
      <c r="N3025" t="inlineStr">
        <is>
          <t>&lt;p&gt;&lt;/p&gt;</t>
        </is>
      </c>
      <c r="O3025" t="inlineStr"/>
      <c r="P3025" t="inlineStr">
        <is>
          <t>GU13 WNL , MEWP , Land Rover , Defender 130</t>
        </is>
      </c>
      <c r="Q3025" t="inlineStr">
        <is>
          <t>UKPN</t>
        </is>
      </c>
      <c r="R3025" t="b">
        <v>0</v>
      </c>
    </row>
    <row r="3026">
      <c r="A3026" t="inlineStr">
        <is>
          <t>4 Feb 2026 / 7800 MAC Tree Surgery and Fencing Ltd / Utilities / UKPN</t>
        </is>
      </c>
      <c r="B3026" t="inlineStr">
        <is>
          <t>Utilities</t>
        </is>
      </c>
      <c r="C3026" t="inlineStr">
        <is>
          <t>UKPN</t>
        </is>
      </c>
      <c r="D3026" t="inlineStr">
        <is>
          <t>Plant Trailer - Towmate - 2.8t - 0</t>
        </is>
      </c>
      <c r="E3026" t="inlineStr">
        <is>
          <t>Plant Trailer - Towmate - 2.8t - 0</t>
        </is>
      </c>
      <c r="F3026" t="inlineStr">
        <is>
          <t>Plant Trailer - Towmate - 2.8t - 0</t>
        </is>
      </c>
      <c r="G3026" t="inlineStr">
        <is>
          <t>Lewis mac</t>
        </is>
      </c>
      <c r="H3026" t="inlineStr">
        <is>
          <t>Plant Trailer</t>
        </is>
      </c>
      <c r="I3026" t="inlineStr">
        <is>
          <t>Daily/ Weekly Vehicle Inspection</t>
        </is>
      </c>
      <c r="J3026" t="inlineStr">
        <is>
          <t>N/A</t>
        </is>
      </c>
      <c r="K3026" t="inlineStr">
        <is>
          <t>7800 MAC Tree Surgery and Fencing Ltd</t>
        </is>
      </c>
      <c r="L3026" t="inlineStr">
        <is>
          <t>04/02/2026 09:09</t>
        </is>
      </c>
      <c r="M3026" t="inlineStr">
        <is>
          <t>None</t>
        </is>
      </c>
      <c r="N3026" t="inlineStr">
        <is>
          <t>&lt;p&gt;&lt;/p&gt;</t>
        </is>
      </c>
      <c r="O3026" t="inlineStr"/>
      <c r="P3026" t="inlineStr">
        <is>
          <t>Plant Trailer - Towmate - 2.8t - 0</t>
        </is>
      </c>
      <c r="Q3026" t="inlineStr">
        <is>
          <t>UKPN</t>
        </is>
      </c>
      <c r="R3026" t="b">
        <v>0</v>
      </c>
    </row>
    <row r="3027">
      <c r="A3027" t="inlineStr">
        <is>
          <t>4 Feb 2026 / Benet Jones / Utilities / NGED</t>
        </is>
      </c>
      <c r="B3027" t="inlineStr">
        <is>
          <t>Utilities</t>
        </is>
      </c>
      <c r="C3027" t="inlineStr">
        <is>
          <t>NGED</t>
        </is>
      </c>
      <c r="D3027" t="inlineStr"/>
      <c r="E3027" t="inlineStr"/>
      <c r="F3027" t="inlineStr"/>
      <c r="G3027" t="inlineStr">
        <is>
          <t>Benet Jones</t>
        </is>
      </c>
      <c r="H3027" t="inlineStr">
        <is>
          <t>Car - Petrol</t>
        </is>
      </c>
      <c r="I3027" t="inlineStr">
        <is>
          <t>Daily/ Weekly Vehicle Inspection</t>
        </is>
      </c>
      <c r="J3027" t="inlineStr">
        <is>
          <t>N/A</t>
        </is>
      </c>
      <c r="K3027" t="inlineStr">
        <is>
          <t>Benet Jones</t>
        </is>
      </c>
      <c r="L3027" t="inlineStr">
        <is>
          <t>04/02/2026 15:01</t>
        </is>
      </c>
      <c r="M3027" t="inlineStr">
        <is>
          <t>None</t>
        </is>
      </c>
      <c r="N3027" t="inlineStr">
        <is>
          <t>&lt;p&gt;&lt;/p&gt;</t>
        </is>
      </c>
      <c r="O3027" t="inlineStr">
        <is>
          <t>Confirm that you have checked this vehicle as per the guidance document and the vehicle is safe and roadworthy:Vehicle checked and fully servicable
-</t>
        </is>
      </c>
      <c r="P3027" t="inlineStr"/>
      <c r="Q3027" t="inlineStr">
        <is>
          <t>NGED</t>
        </is>
      </c>
      <c r="R3027" t="b">
        <v>0</v>
      </c>
    </row>
    <row r="3028">
      <c r="A3028" t="inlineStr">
        <is>
          <t>4 Feb 2026 / 6617 Ashdown Tree Limited 1 / Utilities / UKPN</t>
        </is>
      </c>
      <c r="B3028" t="inlineStr">
        <is>
          <t>Utilities</t>
        </is>
      </c>
      <c r="C3028" t="inlineStr">
        <is>
          <t>UKPN</t>
        </is>
      </c>
      <c r="D3028" t="inlineStr">
        <is>
          <t>WG63OJS , 4x4 , Land rover  , defender</t>
        </is>
      </c>
      <c r="E3028" t="inlineStr">
        <is>
          <t>WG63OJS , 4x4 , Land rover  , defender</t>
        </is>
      </c>
      <c r="F3028" t="inlineStr">
        <is>
          <t>WG63OJS , 4x4 , Land rover  , defender</t>
        </is>
      </c>
      <c r="G3028" t="inlineStr">
        <is>
          <t>Dan</t>
        </is>
      </c>
      <c r="H3028" t="inlineStr">
        <is>
          <t>4x4</t>
        </is>
      </c>
      <c r="I3028" t="inlineStr">
        <is>
          <t>Daily/ Weekly Vehicle Inspection</t>
        </is>
      </c>
      <c r="J3028" t="inlineStr">
        <is>
          <t>N/A</t>
        </is>
      </c>
      <c r="K3028" t="inlineStr">
        <is>
          <t>6617 Ashdown Tree Limited - Team 2</t>
        </is>
      </c>
      <c r="L3028" t="inlineStr">
        <is>
          <t>04/02/2026 16:01</t>
        </is>
      </c>
      <c r="M3028" t="inlineStr">
        <is>
          <t>None</t>
        </is>
      </c>
      <c r="N3028" t="inlineStr">
        <is>
          <t>&lt;p&gt;&lt;/p&gt;</t>
        </is>
      </c>
      <c r="O3028" t="inlineStr"/>
      <c r="P3028" t="inlineStr">
        <is>
          <t>WG63OJS , 4x4 , Land rover  , defender</t>
        </is>
      </c>
      <c r="Q3028" t="inlineStr">
        <is>
          <t>UKPN</t>
        </is>
      </c>
      <c r="R3028" t="b">
        <v>0</v>
      </c>
    </row>
    <row r="3029">
      <c r="A3029" t="inlineStr">
        <is>
          <t>4 Feb 2026 / 6617 Ashdown Tree Limited 1 / Utilities / UKPN</t>
        </is>
      </c>
      <c r="B3029" t="inlineStr">
        <is>
          <t>Utilities</t>
        </is>
      </c>
      <c r="C3029" t="inlineStr">
        <is>
          <t>UKPN</t>
        </is>
      </c>
      <c r="D3029" t="inlineStr">
        <is>
          <t>WG63OJS , 4x4 , Land rover  , defender</t>
        </is>
      </c>
      <c r="E3029" t="inlineStr">
        <is>
          <t>WG63OJS , 4x4 , Land rover  , defender</t>
        </is>
      </c>
      <c r="F3029" t="inlineStr">
        <is>
          <t>WG63OJS , 4x4 , Land rover  , defender</t>
        </is>
      </c>
      <c r="G3029" t="inlineStr">
        <is>
          <t>Dan</t>
        </is>
      </c>
      <c r="H3029" t="inlineStr">
        <is>
          <t>4x4</t>
        </is>
      </c>
      <c r="I3029" t="inlineStr">
        <is>
          <t>Daily/ Weekly Vehicle Inspection</t>
        </is>
      </c>
      <c r="J3029" t="inlineStr">
        <is>
          <t>N/A</t>
        </is>
      </c>
      <c r="K3029" t="inlineStr">
        <is>
          <t>6617 Ashdown Tree Limited - Team 2</t>
        </is>
      </c>
      <c r="L3029" t="inlineStr">
        <is>
          <t>04/02/2026 20:01</t>
        </is>
      </c>
      <c r="M3029" t="inlineStr">
        <is>
          <t>None</t>
        </is>
      </c>
      <c r="N3029" t="inlineStr">
        <is>
          <t>&lt;p&gt;&lt;/p&gt;</t>
        </is>
      </c>
      <c r="O3029" t="inlineStr"/>
      <c r="P3029" t="inlineStr">
        <is>
          <t>WG63OJS , 4x4 , Land rover  , defender</t>
        </is>
      </c>
      <c r="Q3029" t="inlineStr">
        <is>
          <t>UKPN</t>
        </is>
      </c>
      <c r="R3029" t="b">
        <v>0</v>
      </c>
    </row>
    <row r="3030">
      <c r="A3030" t="inlineStr">
        <is>
          <t>4 Feb 2026 / 6617 Ashdown Tree Limited 1 / Utilities / UKPN</t>
        </is>
      </c>
      <c r="B3030" t="inlineStr">
        <is>
          <t>Utilities</t>
        </is>
      </c>
      <c r="C3030" t="inlineStr">
        <is>
          <t>UKPN</t>
        </is>
      </c>
      <c r="D3030" t="inlineStr">
        <is>
          <t>WG63OJS , 4x4 , Land rover  , defender</t>
        </is>
      </c>
      <c r="E3030" t="inlineStr">
        <is>
          <t>WG63OJS , 4x4 , Land rover  , defender</t>
        </is>
      </c>
      <c r="F3030" t="inlineStr">
        <is>
          <t>WG63OJS , 4x4 , Land rover  , defender</t>
        </is>
      </c>
      <c r="G3030" t="inlineStr">
        <is>
          <t>Dan</t>
        </is>
      </c>
      <c r="H3030" t="inlineStr">
        <is>
          <t>4x4</t>
        </is>
      </c>
      <c r="I3030" t="inlineStr">
        <is>
          <t>Daily/ Weekly Vehicle Inspection</t>
        </is>
      </c>
      <c r="J3030" t="inlineStr">
        <is>
          <t>N/A</t>
        </is>
      </c>
      <c r="K3030" t="inlineStr">
        <is>
          <t>6617 Ashdown Tree Limited - Team 2</t>
        </is>
      </c>
      <c r="L3030" t="inlineStr">
        <is>
          <t>04/02/2026 23:01</t>
        </is>
      </c>
      <c r="M3030" t="inlineStr">
        <is>
          <t>None</t>
        </is>
      </c>
      <c r="N3030" t="inlineStr">
        <is>
          <t>&lt;p&gt;&lt;/p&gt;</t>
        </is>
      </c>
      <c r="O3030" t="inlineStr"/>
      <c r="P3030" t="inlineStr">
        <is>
          <t>WG63OJS , 4x4 , Land rover  , defender</t>
        </is>
      </c>
      <c r="Q3030" t="inlineStr">
        <is>
          <t>UKPN</t>
        </is>
      </c>
      <c r="R3030" t="b">
        <v>0</v>
      </c>
    </row>
    <row r="3031">
      <c r="A3031" t="inlineStr">
        <is>
          <t>4 Feb 2026 / 6617 Ashdown Tree Limited 1 / Utilities / UKPN</t>
        </is>
      </c>
      <c r="B3031" t="inlineStr">
        <is>
          <t>Utilities</t>
        </is>
      </c>
      <c r="C3031" t="inlineStr">
        <is>
          <t>UKPN</t>
        </is>
      </c>
      <c r="D3031" t="inlineStr">
        <is>
          <t>WG63OJS , 4x4 , Land rover  , defender</t>
        </is>
      </c>
      <c r="E3031" t="inlineStr">
        <is>
          <t>WG63OJS , 4x4 , Land rover  , defender</t>
        </is>
      </c>
      <c r="F3031" t="inlineStr">
        <is>
          <t>WG63OJS , 4x4 , Land rover  , defender</t>
        </is>
      </c>
      <c r="G3031" t="inlineStr">
        <is>
          <t>Dan</t>
        </is>
      </c>
      <c r="H3031" t="inlineStr">
        <is>
          <t>4x4</t>
        </is>
      </c>
      <c r="I3031" t="inlineStr">
        <is>
          <t>Daily/ Weekly Vehicle Inspection</t>
        </is>
      </c>
      <c r="J3031" t="inlineStr">
        <is>
          <t>N/A</t>
        </is>
      </c>
      <c r="K3031" t="inlineStr">
        <is>
          <t>6617 Ashdown Tree Limited - Team 2</t>
        </is>
      </c>
      <c r="L3031" t="inlineStr">
        <is>
          <t>05/02/2026 01:02</t>
        </is>
      </c>
      <c r="M3031" t="inlineStr">
        <is>
          <t>None</t>
        </is>
      </c>
      <c r="N3031" t="inlineStr">
        <is>
          <t>&lt;p&gt;&lt;/p&gt;</t>
        </is>
      </c>
      <c r="O3031" t="inlineStr"/>
      <c r="P3031" t="inlineStr">
        <is>
          <t>WG63OJS , 4x4 , Land rover  , defender</t>
        </is>
      </c>
      <c r="Q3031" t="inlineStr">
        <is>
          <t>UKPN</t>
        </is>
      </c>
      <c r="R3031" t="b">
        <v>0</v>
      </c>
    </row>
    <row r="3032">
      <c r="A3032" t="inlineStr">
        <is>
          <t>4 Feb 2026 / 6617 Ashdown Tree Limited 1 / Utilities / UKPN</t>
        </is>
      </c>
      <c r="B3032" t="inlineStr">
        <is>
          <t>Utilities</t>
        </is>
      </c>
      <c r="C3032" t="inlineStr">
        <is>
          <t>UKPN</t>
        </is>
      </c>
      <c r="D3032" t="inlineStr">
        <is>
          <t>WG63OJS , 4x4 , Land rover  , defender</t>
        </is>
      </c>
      <c r="E3032" t="inlineStr">
        <is>
          <t>WG63OJS , 4x4 , Land rover  , defender</t>
        </is>
      </c>
      <c r="F3032" t="inlineStr">
        <is>
          <t>WG63OJS , 4x4 , Land rover  , defender</t>
        </is>
      </c>
      <c r="G3032" t="inlineStr">
        <is>
          <t>Dan</t>
        </is>
      </c>
      <c r="H3032" t="inlineStr">
        <is>
          <t>4x4</t>
        </is>
      </c>
      <c r="I3032" t="inlineStr">
        <is>
          <t>Daily/ Weekly Vehicle Inspection</t>
        </is>
      </c>
      <c r="J3032" t="inlineStr">
        <is>
          <t>N/A</t>
        </is>
      </c>
      <c r="K3032" t="inlineStr">
        <is>
          <t>6617 Ashdown Tree Limited - Team 2</t>
        </is>
      </c>
      <c r="L3032" t="inlineStr">
        <is>
          <t>05/02/2026 02:02</t>
        </is>
      </c>
      <c r="M3032" t="inlineStr">
        <is>
          <t>None</t>
        </is>
      </c>
      <c r="N3032" t="inlineStr">
        <is>
          <t>&lt;p&gt;&lt;/p&gt;</t>
        </is>
      </c>
      <c r="O3032" t="inlineStr"/>
      <c r="P3032" t="inlineStr">
        <is>
          <t>WG63OJS , 4x4 , Land rover  , defender</t>
        </is>
      </c>
      <c r="Q3032" t="inlineStr">
        <is>
          <t>UKPN</t>
        </is>
      </c>
      <c r="R3032" t="b">
        <v>0</v>
      </c>
    </row>
    <row r="3033">
      <c r="A3033" t="inlineStr">
        <is>
          <t>5 Feb 2026 / Anthony Gale / Utilities / UKPN</t>
        </is>
      </c>
      <c r="B3033" t="inlineStr">
        <is>
          <t>Utilities</t>
        </is>
      </c>
      <c r="C3033" t="inlineStr">
        <is>
          <t>UKPN</t>
        </is>
      </c>
      <c r="D3033" t="inlineStr">
        <is>
          <t>KX20 BCE , Tipper , Isuzu , D-Max</t>
        </is>
      </c>
      <c r="E3033" t="inlineStr">
        <is>
          <t>KX20 BCE , Tipper , Isuzu , D-Max</t>
        </is>
      </c>
      <c r="F3033" t="inlineStr">
        <is>
          <t>KX20 BCE , Tipper , Isuzu , D-Max</t>
        </is>
      </c>
      <c r="G3033" t="inlineStr">
        <is>
          <t>Anthony Gale</t>
        </is>
      </c>
      <c r="H3033" t="inlineStr">
        <is>
          <t>Pickup Truck</t>
        </is>
      </c>
      <c r="I3033" t="inlineStr">
        <is>
          <t>Daily/ Weekly Vehicle Inspection</t>
        </is>
      </c>
      <c r="J3033" t="inlineStr">
        <is>
          <t>N/A</t>
        </is>
      </c>
      <c r="K3033" t="inlineStr">
        <is>
          <t>7996 M G Tree Surgery Ltd 1</t>
        </is>
      </c>
      <c r="L3033" t="inlineStr">
        <is>
          <t>05/02/2026 07:02</t>
        </is>
      </c>
      <c r="M3033" t="inlineStr">
        <is>
          <t>None</t>
        </is>
      </c>
      <c r="N3033" t="inlineStr">
        <is>
          <t>&lt;p&gt;&lt;/p&gt;</t>
        </is>
      </c>
      <c r="O3033" t="inlineStr">
        <is>
          <t>Confirm that you have checked this vehicle as per the guidance document and the vehicle is safe and roadworthy:Light board deteriorating.
Safe for now.
Will need replacing soon.
-</t>
        </is>
      </c>
      <c r="P3033" t="inlineStr">
        <is>
          <t>KX20 BCE , Tipper , Isuzu , D-Max</t>
        </is>
      </c>
      <c r="Q3033" t="inlineStr">
        <is>
          <t>UKPN</t>
        </is>
      </c>
      <c r="R3033" t="b">
        <v>0</v>
      </c>
    </row>
    <row r="3034">
      <c r="A3034" t="inlineStr">
        <is>
          <t>5 Feb 2026 / Anthony Gale / Utilities / UKPN</t>
        </is>
      </c>
      <c r="B3034" t="inlineStr">
        <is>
          <t>Utilities</t>
        </is>
      </c>
      <c r="C3034" t="inlineStr">
        <is>
          <t>UKPN</t>
        </is>
      </c>
      <c r="D3034" t="inlineStr"/>
      <c r="E3034" t="inlineStr"/>
      <c r="F3034" t="inlineStr"/>
      <c r="G3034" t="inlineStr">
        <is>
          <t>Anthony Gale</t>
        </is>
      </c>
      <c r="H3034" t="inlineStr">
        <is>
          <t>Towed Chipper</t>
        </is>
      </c>
      <c r="I3034" t="inlineStr">
        <is>
          <t>Daily/ Weekly Vehicle Inspection</t>
        </is>
      </c>
      <c r="J3034" t="inlineStr">
        <is>
          <t>N/A</t>
        </is>
      </c>
      <c r="K3034" t="inlineStr">
        <is>
          <t>7996 M G Tree Surgery Ltd 1</t>
        </is>
      </c>
      <c r="L3034" t="inlineStr">
        <is>
          <t>05/02/2026 07:02</t>
        </is>
      </c>
      <c r="M3034" t="inlineStr">
        <is>
          <t>None</t>
        </is>
      </c>
      <c r="N3034" t="inlineStr">
        <is>
          <t>&lt;p&gt;&lt;/p&gt;</t>
        </is>
      </c>
      <c r="O3034" t="inlineStr"/>
      <c r="P3034" t="inlineStr"/>
      <c r="Q3034" t="inlineStr">
        <is>
          <t>UKPN</t>
        </is>
      </c>
      <c r="R3034" t="b">
        <v>0</v>
      </c>
    </row>
    <row r="3035">
      <c r="A3035" t="inlineStr">
        <is>
          <t>4 Feb 2026 / Anthony Gale / Utilities / UKPN</t>
        </is>
      </c>
      <c r="B3035" t="inlineStr">
        <is>
          <t>Utilities</t>
        </is>
      </c>
      <c r="C3035" t="inlineStr">
        <is>
          <t>UKPN</t>
        </is>
      </c>
      <c r="D3035" t="inlineStr"/>
      <c r="E3035" t="inlineStr"/>
      <c r="F3035" t="inlineStr"/>
      <c r="G3035" t="inlineStr">
        <is>
          <t>Anthony Gale</t>
        </is>
      </c>
      <c r="H3035" t="inlineStr">
        <is>
          <t>Towed Chipper</t>
        </is>
      </c>
      <c r="I3035" t="inlineStr">
        <is>
          <t>Daily/ Weekly Vehicle Inspection</t>
        </is>
      </c>
      <c r="J3035" t="inlineStr">
        <is>
          <t>N/A</t>
        </is>
      </c>
      <c r="K3035" t="inlineStr">
        <is>
          <t>7996 M G Tree Surgery Ltd 1</t>
        </is>
      </c>
      <c r="L3035" t="inlineStr">
        <is>
          <t>05/02/2026 07:03</t>
        </is>
      </c>
      <c r="M3035" t="inlineStr">
        <is>
          <t>None</t>
        </is>
      </c>
      <c r="N3035" t="inlineStr">
        <is>
          <t>&lt;p&gt;&lt;/p&gt;</t>
        </is>
      </c>
      <c r="O3035" t="inlineStr"/>
      <c r="P3035" t="inlineStr"/>
      <c r="Q3035" t="inlineStr">
        <is>
          <t>UKPN</t>
        </is>
      </c>
      <c r="R3035" t="b">
        <v>0</v>
      </c>
    </row>
    <row r="3036">
      <c r="A3036" t="inlineStr">
        <is>
          <t>4 Feb 2026 / Anthony Gale / Utilities / UKPN</t>
        </is>
      </c>
      <c r="B3036" t="inlineStr">
        <is>
          <t>Utilities</t>
        </is>
      </c>
      <c r="C3036" t="inlineStr">
        <is>
          <t>UKPN</t>
        </is>
      </c>
      <c r="D3036" t="inlineStr">
        <is>
          <t>KX20 BCE , Tipper , Isuzu , D-Max</t>
        </is>
      </c>
      <c r="E3036" t="inlineStr">
        <is>
          <t>KX20 BCE , Tipper , Isuzu , D-Max</t>
        </is>
      </c>
      <c r="F3036" t="inlineStr">
        <is>
          <t>KX20 BCE , Tipper , Isuzu , D-Max</t>
        </is>
      </c>
      <c r="G3036" t="inlineStr">
        <is>
          <t>Anthony Gale</t>
        </is>
      </c>
      <c r="H3036" t="inlineStr">
        <is>
          <t>Pickup Truck</t>
        </is>
      </c>
      <c r="I3036" t="inlineStr">
        <is>
          <t>Daily/ Weekly Vehicle Inspection</t>
        </is>
      </c>
      <c r="J3036" t="inlineStr">
        <is>
          <t>N/A</t>
        </is>
      </c>
      <c r="K3036" t="inlineStr">
        <is>
          <t>7996 M G Tree Surgery Ltd 1</t>
        </is>
      </c>
      <c r="L3036" t="inlineStr">
        <is>
          <t>05/02/2026 07:04</t>
        </is>
      </c>
      <c r="M3036" t="inlineStr">
        <is>
          <t>None</t>
        </is>
      </c>
      <c r="N3036" t="inlineStr">
        <is>
          <t>&lt;p&gt;&lt;/p&gt;</t>
        </is>
      </c>
      <c r="O3036" t="inlineStr">
        <is>
          <t>Confirm that you have checked this vehicle as per the guidance document and the vehicle is safe and roadworthy:Light board deteriorating.
Safe for now.
Will need replacing soon.
-</t>
        </is>
      </c>
      <c r="P3036" t="inlineStr">
        <is>
          <t>KX20 BCE , Tipper , Isuzu , D-Max</t>
        </is>
      </c>
      <c r="Q3036" t="inlineStr">
        <is>
          <t>UKPN</t>
        </is>
      </c>
      <c r="R3036" t="b">
        <v>0</v>
      </c>
    </row>
    <row r="3037">
      <c r="A3037" t="inlineStr">
        <is>
          <t>3 Feb 2026 / Anthony Gale / Utilities / UKPN</t>
        </is>
      </c>
      <c r="B3037" t="inlineStr">
        <is>
          <t>Utilities</t>
        </is>
      </c>
      <c r="C3037" t="inlineStr">
        <is>
          <t>UKPN</t>
        </is>
      </c>
      <c r="D3037" t="inlineStr"/>
      <c r="E3037" t="inlineStr"/>
      <c r="F3037" t="inlineStr"/>
      <c r="G3037" t="inlineStr">
        <is>
          <t>Anthony Gale</t>
        </is>
      </c>
      <c r="H3037" t="inlineStr">
        <is>
          <t>Plant Trailer</t>
        </is>
      </c>
      <c r="I3037" t="inlineStr">
        <is>
          <t>Daily/ Weekly Vehicle Inspection</t>
        </is>
      </c>
      <c r="J3037" t="inlineStr">
        <is>
          <t>N/A</t>
        </is>
      </c>
      <c r="K3037" t="inlineStr">
        <is>
          <t>7996 M G Tree Surgery Ltd 1</t>
        </is>
      </c>
      <c r="L3037" t="inlineStr">
        <is>
          <t>05/02/2026 07:04</t>
        </is>
      </c>
      <c r="M3037" t="inlineStr">
        <is>
          <t>None</t>
        </is>
      </c>
      <c r="N3037" t="inlineStr">
        <is>
          <t>&lt;p&gt;&lt;/p&gt;</t>
        </is>
      </c>
      <c r="O3037" t="inlineStr"/>
      <c r="P3037" t="inlineStr"/>
      <c r="Q3037" t="inlineStr">
        <is>
          <t>UKPN</t>
        </is>
      </c>
      <c r="R3037" t="b">
        <v>0</v>
      </c>
    </row>
    <row r="3038">
      <c r="A3038" t="inlineStr">
        <is>
          <t>3 Feb 2026 / Anthony Gale / Utilities / UKPN</t>
        </is>
      </c>
      <c r="B3038" t="inlineStr">
        <is>
          <t>Utilities</t>
        </is>
      </c>
      <c r="C3038" t="inlineStr">
        <is>
          <t>UKPN</t>
        </is>
      </c>
      <c r="D3038" t="inlineStr">
        <is>
          <t>KX20 BCE , Tipper , Isuzu , D-Max</t>
        </is>
      </c>
      <c r="E3038" t="inlineStr">
        <is>
          <t>KX20 BCE , Tipper , Isuzu , D-Max</t>
        </is>
      </c>
      <c r="F3038" t="inlineStr">
        <is>
          <t>KX20 BCE , Tipper , Isuzu , D-Max</t>
        </is>
      </c>
      <c r="G3038" t="inlineStr">
        <is>
          <t xml:space="preserve">Anthony Gale </t>
        </is>
      </c>
      <c r="H3038" t="inlineStr">
        <is>
          <t>Pickup Truck</t>
        </is>
      </c>
      <c r="I3038" t="inlineStr">
        <is>
          <t>Daily/ Weekly Vehicle Inspection</t>
        </is>
      </c>
      <c r="J3038" t="inlineStr">
        <is>
          <t>N/A</t>
        </is>
      </c>
      <c r="K3038" t="inlineStr">
        <is>
          <t>7996 M G Tree Surgery Ltd 1</t>
        </is>
      </c>
      <c r="L3038" t="inlineStr">
        <is>
          <t>05/02/2026 07:05</t>
        </is>
      </c>
      <c r="M3038" t="inlineStr">
        <is>
          <t>None</t>
        </is>
      </c>
      <c r="N3038" t="inlineStr">
        <is>
          <t>&lt;p&gt;&lt;/p&gt;</t>
        </is>
      </c>
      <c r="O3038" t="inlineStr">
        <is>
          <t>Confirm that you have checked this vehicle as per the guidance document and the vehicle is safe and roadworthy:Light board deteriorating.
Safe for now.
Will need replacing soon.
-</t>
        </is>
      </c>
      <c r="P3038" t="inlineStr">
        <is>
          <t>KX20 BCE , Tipper , Isuzu , D-Max</t>
        </is>
      </c>
      <c r="Q3038" t="inlineStr">
        <is>
          <t>UKPN</t>
        </is>
      </c>
      <c r="R3038" t="b">
        <v>0</v>
      </c>
    </row>
    <row r="3039">
      <c r="A3039" t="inlineStr">
        <is>
          <t>5 Feb 2026 / 7951 Austin Tree Care LTD / Utilities / UKPN</t>
        </is>
      </c>
      <c r="B3039" t="inlineStr">
        <is>
          <t>Utilities</t>
        </is>
      </c>
      <c r="C3039" t="inlineStr">
        <is>
          <t>UKPN</t>
        </is>
      </c>
      <c r="D3039" t="inlineStr">
        <is>
          <t>WF61 HZV , 4x4 MEWP , Land Rover , Defender</t>
        </is>
      </c>
      <c r="E3039" t="inlineStr">
        <is>
          <t>WF61 HZV , 4x4 MEWP , Land Rover , Defender</t>
        </is>
      </c>
      <c r="F3039" t="inlineStr">
        <is>
          <t>WF61 HZV , 4x4 MEWP , Land Rover , Defender</t>
        </is>
      </c>
      <c r="G3039" t="inlineStr">
        <is>
          <t xml:space="preserve">Jack Austin </t>
        </is>
      </c>
      <c r="H3039" t="inlineStr">
        <is>
          <t>4x4</t>
        </is>
      </c>
      <c r="I3039" t="inlineStr">
        <is>
          <t>Daily/ Weekly Vehicle Inspection</t>
        </is>
      </c>
      <c r="J3039" t="inlineStr">
        <is>
          <t>N/A</t>
        </is>
      </c>
      <c r="K3039" t="inlineStr">
        <is>
          <t>7951 Austin Tree Care LTD</t>
        </is>
      </c>
      <c r="L3039" t="inlineStr">
        <is>
          <t>05/02/2026 08:02</t>
        </is>
      </c>
      <c r="M3039" t="inlineStr">
        <is>
          <t>None</t>
        </is>
      </c>
      <c r="N3039" t="inlineStr">
        <is>
          <t>&lt;p&gt;&lt;/p&gt;</t>
        </is>
      </c>
      <c r="O3039" t="inlineStr"/>
      <c r="P3039" t="inlineStr">
        <is>
          <t>WF61 HZV , 4x4 MEWP , Land Rover , Defender</t>
        </is>
      </c>
      <c r="Q3039" t="inlineStr">
        <is>
          <t>UKPN</t>
        </is>
      </c>
      <c r="R3039" t="b">
        <v>0</v>
      </c>
    </row>
    <row r="3040">
      <c r="A3040" t="inlineStr">
        <is>
          <t>5 Feb 2026 / Philip Shaw / Utilities / NGED</t>
        </is>
      </c>
      <c r="B3040" t="inlineStr">
        <is>
          <t>Utilities</t>
        </is>
      </c>
      <c r="C3040" t="inlineStr">
        <is>
          <t>NGED</t>
        </is>
      </c>
      <c r="D3040" t="inlineStr">
        <is>
          <t>AF22TZO , Car - Electric , Tesla , Model 3 Long Range AWD</t>
        </is>
      </c>
      <c r="E3040" t="inlineStr">
        <is>
          <t>AF22TZO , Car - Electric , Tesla , Model 3 Long Range AWD</t>
        </is>
      </c>
      <c r="F3040" t="inlineStr">
        <is>
          <t>AF22TZO , Car - Electric , Tesla , Model 3 Long Range AWD</t>
        </is>
      </c>
      <c r="G3040" t="inlineStr">
        <is>
          <t>Phil shaw</t>
        </is>
      </c>
      <c r="H3040" t="inlineStr">
        <is>
          <t>Car - Electric (GC Owned)</t>
        </is>
      </c>
      <c r="I3040" t="inlineStr">
        <is>
          <t>Daily/ Weekly Vehicle Inspection</t>
        </is>
      </c>
      <c r="J3040" t="inlineStr">
        <is>
          <t>N/A</t>
        </is>
      </c>
      <c r="K3040" t="inlineStr">
        <is>
          <t>Philip Shaw</t>
        </is>
      </c>
      <c r="L3040" t="inlineStr">
        <is>
          <t>05/02/2026 08:03</t>
        </is>
      </c>
      <c r="M3040" t="inlineStr">
        <is>
          <t>None</t>
        </is>
      </c>
      <c r="N3040" t="inlineStr">
        <is>
          <t>&lt;p&gt;&lt;/p&gt;</t>
        </is>
      </c>
      <c r="O3040" t="inlineStr"/>
      <c r="P3040" t="inlineStr">
        <is>
          <t>AF22TZO , Car - Electric , Tesla , Model 3 Long Range AWD</t>
        </is>
      </c>
      <c r="Q3040" t="inlineStr">
        <is>
          <t>NGED</t>
        </is>
      </c>
      <c r="R3040" t="b">
        <v>0</v>
      </c>
    </row>
    <row r="3041">
      <c r="A3041" t="inlineStr">
        <is>
          <t>5 Feb 2026 / 7951 Austin Tree Care LTD / Utilities / UKPN</t>
        </is>
      </c>
      <c r="B3041" t="inlineStr">
        <is>
          <t>Utilities</t>
        </is>
      </c>
      <c r="C3041" t="inlineStr">
        <is>
          <t>UKPN</t>
        </is>
      </c>
      <c r="D3041" t="inlineStr">
        <is>
          <t>SA9ST6P0001283612 , Towed Chipper , Forst , ST6p</t>
        </is>
      </c>
      <c r="E3041" t="inlineStr">
        <is>
          <t>SA9ST6P0001283612 , Towed Chipper , Forst , ST6p</t>
        </is>
      </c>
      <c r="F3041" t="inlineStr">
        <is>
          <t>SA9ST6P0001283612 , Towed Chipper , Forst , ST6p</t>
        </is>
      </c>
      <c r="G3041" t="inlineStr">
        <is>
          <t xml:space="preserve">James Tasker </t>
        </is>
      </c>
      <c r="H3041" t="inlineStr">
        <is>
          <t>Towed Chipper</t>
        </is>
      </c>
      <c r="I3041" t="inlineStr">
        <is>
          <t>Daily/ Weekly Vehicle Inspection</t>
        </is>
      </c>
      <c r="J3041" t="inlineStr">
        <is>
          <t>N/A</t>
        </is>
      </c>
      <c r="K3041" t="inlineStr">
        <is>
          <t>7951 Austin Tree Care LTD</t>
        </is>
      </c>
      <c r="L3041" t="inlineStr">
        <is>
          <t>05/02/2026 08:04</t>
        </is>
      </c>
      <c r="M3041" t="inlineStr">
        <is>
          <t>None</t>
        </is>
      </c>
      <c r="N3041" t="inlineStr">
        <is>
          <t>&lt;p&gt;&lt;/p&gt;</t>
        </is>
      </c>
      <c r="O3041" t="inlineStr"/>
      <c r="P3041" t="inlineStr">
        <is>
          <t>SA9ST6P0001283612 , Towed Chipper , Forst , ST6p</t>
        </is>
      </c>
      <c r="Q3041" t="inlineStr">
        <is>
          <t>UKPN</t>
        </is>
      </c>
      <c r="R3041" t="b">
        <v>0</v>
      </c>
    </row>
    <row r="3042">
      <c r="A3042" t="inlineStr">
        <is>
          <t>5 Feb 2026 / 7951 Austin Tree Care LTD 1 / Utilities / UKPN</t>
        </is>
      </c>
      <c r="B3042" t="inlineStr">
        <is>
          <t>Utilities</t>
        </is>
      </c>
      <c r="C3042" t="inlineStr">
        <is>
          <t>UKPN</t>
        </is>
      </c>
      <c r="D3042" t="inlineStr">
        <is>
          <t>WG64HTT , 4x4 , Land Rover , Defender 110</t>
        </is>
      </c>
      <c r="E3042" t="inlineStr">
        <is>
          <t>WG64HTT , 4x4 , Land Rover , Defender 110</t>
        </is>
      </c>
      <c r="F3042" t="inlineStr">
        <is>
          <t>WG64HTT , 4x4 , Land Rover , Defender 110</t>
        </is>
      </c>
      <c r="G3042" t="inlineStr">
        <is>
          <t xml:space="preserve">James Tasker </t>
        </is>
      </c>
      <c r="H3042" t="inlineStr">
        <is>
          <t>4x4</t>
        </is>
      </c>
      <c r="I3042" t="inlineStr">
        <is>
          <t>Daily/ Weekly Vehicle Inspection</t>
        </is>
      </c>
      <c r="J3042" t="inlineStr">
        <is>
          <t>N/A</t>
        </is>
      </c>
      <c r="K3042" t="inlineStr">
        <is>
          <t>7951 Austin Tree Care LTD 1</t>
        </is>
      </c>
      <c r="L3042" t="inlineStr">
        <is>
          <t>05/02/2026 08:05</t>
        </is>
      </c>
      <c r="M3042" t="inlineStr">
        <is>
          <t>None</t>
        </is>
      </c>
      <c r="N3042" t="inlineStr">
        <is>
          <t>&lt;p&gt;&lt;/p&gt;</t>
        </is>
      </c>
      <c r="O3042" t="inlineStr"/>
      <c r="P3042" t="inlineStr">
        <is>
          <t>WG64HTT , 4x4 , Land Rover , Defender 110</t>
        </is>
      </c>
      <c r="Q3042" t="inlineStr">
        <is>
          <t>UKPN</t>
        </is>
      </c>
      <c r="R3042" t="b">
        <v>0</v>
      </c>
    </row>
    <row r="3043">
      <c r="A3043" t="inlineStr">
        <is>
          <t>5 Feb 2026 / 7806 Optimum Tree Services Ltd / Utilities / UKPN</t>
        </is>
      </c>
      <c r="B3043" t="inlineStr">
        <is>
          <t>Utilities</t>
        </is>
      </c>
      <c r="C3043" t="inlineStr">
        <is>
          <t>UKPN</t>
        </is>
      </c>
      <c r="D3043" t="inlineStr">
        <is>
          <t>WD14EVB , MEWP , Land Rover , Defender</t>
        </is>
      </c>
      <c r="E3043" t="inlineStr">
        <is>
          <t>WD14EVB , MEWP , Land Rover , Defender</t>
        </is>
      </c>
      <c r="F3043" t="inlineStr">
        <is>
          <t>WD14EVB , MEWP , Land Rover , Defender</t>
        </is>
      </c>
      <c r="G3043" t="inlineStr">
        <is>
          <t xml:space="preserve">Abraham Davies </t>
        </is>
      </c>
      <c r="H3043" t="inlineStr">
        <is>
          <t>4x4</t>
        </is>
      </c>
      <c r="I3043" t="inlineStr">
        <is>
          <t>Daily/ Weekly Vehicle Inspection</t>
        </is>
      </c>
      <c r="J3043" t="inlineStr">
        <is>
          <t>N/A</t>
        </is>
      </c>
      <c r="K3043" t="inlineStr">
        <is>
          <t>7806 Optimum Tree Services Ltd</t>
        </is>
      </c>
      <c r="L3043" t="inlineStr">
        <is>
          <t>05/02/2026 08:05</t>
        </is>
      </c>
      <c r="M3043" t="inlineStr">
        <is>
          <t>None</t>
        </is>
      </c>
      <c r="N3043" t="inlineStr">
        <is>
          <t>&lt;p&gt;&lt;/p&gt;</t>
        </is>
      </c>
      <c r="O3043" t="inlineStr"/>
      <c r="P3043" t="inlineStr">
        <is>
          <t>WD14EVB , MEWP , Land Rover , Defender</t>
        </is>
      </c>
      <c r="Q3043" t="inlineStr">
        <is>
          <t>UKPN</t>
        </is>
      </c>
      <c r="R3043" t="b">
        <v>0</v>
      </c>
    </row>
    <row r="3044">
      <c r="A3044" t="inlineStr">
        <is>
          <t>5 Feb 2026 / 7806 Optimum Tree Services Ltd / Utilities / UKPN</t>
        </is>
      </c>
      <c r="B3044" t="inlineStr">
        <is>
          <t>Utilities</t>
        </is>
      </c>
      <c r="C3044" t="inlineStr">
        <is>
          <t>UKPN</t>
        </is>
      </c>
      <c r="D3044" t="inlineStr">
        <is>
          <t>Wd14evn , 4x4 , Landrover  , Defender</t>
        </is>
      </c>
      <c r="E3044" t="inlineStr">
        <is>
          <t>Wd14evn , 4x4 , Landrover  , Defender</t>
        </is>
      </c>
      <c r="F3044" t="inlineStr">
        <is>
          <t>Wd14evn , 4x4 , Landrover  , Defender</t>
        </is>
      </c>
      <c r="G3044" t="inlineStr">
        <is>
          <t xml:space="preserve">Kenny Aldred </t>
        </is>
      </c>
      <c r="H3044" t="inlineStr">
        <is>
          <t>4x4</t>
        </is>
      </c>
      <c r="I3044" t="inlineStr">
        <is>
          <t>Daily/ Weekly Vehicle Inspection</t>
        </is>
      </c>
      <c r="J3044" t="inlineStr">
        <is>
          <t>N/A</t>
        </is>
      </c>
      <c r="K3044" t="inlineStr">
        <is>
          <t>7806 Optimum Tree Services Ltd</t>
        </is>
      </c>
      <c r="L3044" t="inlineStr">
        <is>
          <t>05/02/2026 08:06</t>
        </is>
      </c>
      <c r="M3044" t="inlineStr">
        <is>
          <t>None</t>
        </is>
      </c>
      <c r="N3044" t="inlineStr">
        <is>
          <t>&lt;p&gt;&lt;/p&gt;</t>
        </is>
      </c>
      <c r="O3044" t="inlineStr"/>
      <c r="P3044" t="inlineStr">
        <is>
          <t>Wd14evn , 4x4 , Landrover  , Defender</t>
        </is>
      </c>
      <c r="Q3044" t="inlineStr">
        <is>
          <t>UKPN</t>
        </is>
      </c>
      <c r="R3044" t="b">
        <v>0</v>
      </c>
    </row>
    <row r="3045">
      <c r="A3045" t="inlineStr">
        <is>
          <t>5 Feb 2026 / 7806 Optimum Tree Services Ltd / Utilities / UKPN</t>
        </is>
      </c>
      <c r="B3045" t="inlineStr">
        <is>
          <t>Utilities</t>
        </is>
      </c>
      <c r="C3045" t="inlineStr">
        <is>
          <t>UKPN</t>
        </is>
      </c>
      <c r="D3045" t="inlineStr">
        <is>
          <t>SA9TAPLAF27414263 , Trailer , Tow Mate , Plant Trailer</t>
        </is>
      </c>
      <c r="E3045" t="inlineStr">
        <is>
          <t>SA9TAPLAF27414263 , Trailer , Tow Mate , Plant Trailer</t>
        </is>
      </c>
      <c r="F3045" t="inlineStr">
        <is>
          <t>SA9TAPLAF27414263 , Trailer , Tow Mate , Plant Trailer</t>
        </is>
      </c>
      <c r="G3045" t="inlineStr">
        <is>
          <t xml:space="preserve">Abraham Davies </t>
        </is>
      </c>
      <c r="H3045" t="inlineStr">
        <is>
          <t>Plant Trailer</t>
        </is>
      </c>
      <c r="I3045" t="inlineStr">
        <is>
          <t>Daily/ Weekly Vehicle Inspection</t>
        </is>
      </c>
      <c r="J3045" t="inlineStr">
        <is>
          <t>N/A</t>
        </is>
      </c>
      <c r="K3045" t="inlineStr">
        <is>
          <t>7806 Optimum Tree Services Ltd</t>
        </is>
      </c>
      <c r="L3045" t="inlineStr">
        <is>
          <t>05/02/2026 08:07</t>
        </is>
      </c>
      <c r="M3045" t="inlineStr">
        <is>
          <t>None</t>
        </is>
      </c>
      <c r="N3045" t="inlineStr">
        <is>
          <t>&lt;p&gt;&lt;/p&gt;</t>
        </is>
      </c>
      <c r="O3045" t="inlineStr"/>
      <c r="P3045" t="inlineStr">
        <is>
          <t>SA9TAPLAF27414263 , Trailer , Tow Mate , Plant Trailer</t>
        </is>
      </c>
      <c r="Q3045" t="inlineStr">
        <is>
          <t>UKPN</t>
        </is>
      </c>
      <c r="R3045" t="b">
        <v>0</v>
      </c>
    </row>
    <row r="3046">
      <c r="A3046" t="inlineStr">
        <is>
          <t>5 Feb 2026 / 7186 Eastwoodbury Tree Services Ltd / Utilities / UKPN</t>
        </is>
      </c>
      <c r="B3046" t="inlineStr">
        <is>
          <t>Utilities</t>
        </is>
      </c>
      <c r="C3046" t="inlineStr">
        <is>
          <t>UKPN</t>
        </is>
      </c>
      <c r="D3046" t="inlineStr">
        <is>
          <t>DE53NKS , 4x4 , Ford , Ranger</t>
        </is>
      </c>
      <c r="E3046" t="inlineStr">
        <is>
          <t>DE53NKS , 4x4 , Ford , Ranger</t>
        </is>
      </c>
      <c r="F3046" t="inlineStr">
        <is>
          <t>DE53NKS , 4x4 , Ford , Ranger</t>
        </is>
      </c>
      <c r="G3046" t="inlineStr">
        <is>
          <t xml:space="preserve">Jay Denkmayer </t>
        </is>
      </c>
      <c r="H3046" t="inlineStr">
        <is>
          <t>4x4</t>
        </is>
      </c>
      <c r="I3046" t="inlineStr">
        <is>
          <t>Daily/ Weekly Vehicle Inspection</t>
        </is>
      </c>
      <c r="J3046" t="inlineStr">
        <is>
          <t>N/A</t>
        </is>
      </c>
      <c r="K3046" t="inlineStr">
        <is>
          <t>7186 Eastwoodbury Tree Services Ltd</t>
        </is>
      </c>
      <c r="L3046" t="inlineStr">
        <is>
          <t>05/02/2026 08:08</t>
        </is>
      </c>
      <c r="M3046" t="inlineStr">
        <is>
          <t>None</t>
        </is>
      </c>
      <c r="N3046" t="inlineStr">
        <is>
          <t>&lt;p&gt;&lt;/p&gt;</t>
        </is>
      </c>
      <c r="O3046" t="inlineStr"/>
      <c r="P3046" t="inlineStr">
        <is>
          <t>DE53NKS , 4x4 , Ford , Ranger</t>
        </is>
      </c>
      <c r="Q3046" t="inlineStr">
        <is>
          <t>UKPN</t>
        </is>
      </c>
      <c r="R3046" t="b">
        <v>0</v>
      </c>
    </row>
    <row r="3047">
      <c r="A3047" t="inlineStr">
        <is>
          <t>4 Feb 2026 / 7186 Eastwoodbury Tree Services Ltd / Utilities / UKPN</t>
        </is>
      </c>
      <c r="B3047" t="inlineStr">
        <is>
          <t>Utilities</t>
        </is>
      </c>
      <c r="C3047" t="inlineStr">
        <is>
          <t>UKPN</t>
        </is>
      </c>
      <c r="D3047" t="inlineStr">
        <is>
          <t>WF13 EKT , 4x4 , Land rover  , Defender</t>
        </is>
      </c>
      <c r="E3047" t="inlineStr">
        <is>
          <t>WF13 EKT , 4x4 , Land rover  , Defender</t>
        </is>
      </c>
      <c r="F3047" t="inlineStr">
        <is>
          <t>WF13 EKT , 4x4 , Land rover  , Defender</t>
        </is>
      </c>
      <c r="G3047" t="inlineStr">
        <is>
          <t xml:space="preserve">Dan Gilbert </t>
        </is>
      </c>
      <c r="H3047" t="inlineStr">
        <is>
          <t>4x4</t>
        </is>
      </c>
      <c r="I3047" t="inlineStr">
        <is>
          <t>Daily/ Weekly Vehicle Inspection</t>
        </is>
      </c>
      <c r="J3047" t="inlineStr">
        <is>
          <t>N/A</t>
        </is>
      </c>
      <c r="K3047" t="inlineStr">
        <is>
          <t>7186 Eastwoodbury Tree Services Ltd</t>
        </is>
      </c>
      <c r="L3047" t="inlineStr">
        <is>
          <t>05/02/2026 08:09</t>
        </is>
      </c>
      <c r="M3047" t="inlineStr">
        <is>
          <t>None</t>
        </is>
      </c>
      <c r="N3047" t="inlineStr">
        <is>
          <t>&lt;p&gt;&lt;/p&gt;</t>
        </is>
      </c>
      <c r="O3047" t="inlineStr"/>
      <c r="P3047" t="inlineStr">
        <is>
          <t>WF13 EKT , 4x4 , Land rover  , Defender</t>
        </is>
      </c>
      <c r="Q3047" t="inlineStr">
        <is>
          <t>UKPN</t>
        </is>
      </c>
      <c r="R3047" t="b">
        <v>0</v>
      </c>
    </row>
    <row r="3048">
      <c r="A3048" t="inlineStr">
        <is>
          <t>5 Feb 2026 / Thomas Playford / Utilities / UKPN</t>
        </is>
      </c>
      <c r="B3048" t="inlineStr">
        <is>
          <t>Utilities</t>
        </is>
      </c>
      <c r="C3048" t="inlineStr">
        <is>
          <t>UKPN</t>
        </is>
      </c>
      <c r="D3048" t="inlineStr">
        <is>
          <t>WM72UNF , 4x4 , Ford , Ranger</t>
        </is>
      </c>
      <c r="E3048" t="inlineStr">
        <is>
          <t>WM72UNF , 4x4 , Ford , Ranger</t>
        </is>
      </c>
      <c r="F3048" t="inlineStr">
        <is>
          <t>WM72UNF , 4x4 , Ford , Ranger</t>
        </is>
      </c>
      <c r="G3048" t="inlineStr">
        <is>
          <t xml:space="preserve">Jacob Oram </t>
        </is>
      </c>
      <c r="H3048" t="inlineStr">
        <is>
          <t>4x4</t>
        </is>
      </c>
      <c r="I3048" t="inlineStr">
        <is>
          <t>Daily/ Weekly Vehicle Inspection</t>
        </is>
      </c>
      <c r="J3048" t="inlineStr">
        <is>
          <t>N/A</t>
        </is>
      </c>
      <c r="K3048" t="inlineStr">
        <is>
          <t>7995 Green Net Eco Ltd 2</t>
        </is>
      </c>
      <c r="L3048" t="inlineStr">
        <is>
          <t>05/02/2026 08:10</t>
        </is>
      </c>
      <c r="M3048" t="inlineStr">
        <is>
          <t>None</t>
        </is>
      </c>
      <c r="N3048" t="inlineStr">
        <is>
          <t>&lt;p&gt;&lt;/p&gt;</t>
        </is>
      </c>
      <c r="O3048" t="inlineStr"/>
      <c r="P3048" t="inlineStr">
        <is>
          <t>WM72UNF , 4x4 , Ford , Ranger</t>
        </is>
      </c>
      <c r="Q3048" t="inlineStr">
        <is>
          <t>UKPN</t>
        </is>
      </c>
      <c r="R3048" t="b">
        <v>0</v>
      </c>
    </row>
    <row r="3049">
      <c r="A3049" t="inlineStr">
        <is>
          <t>5 Feb 2026 / Thomas Nandi / Utilities / SSE</t>
        </is>
      </c>
      <c r="B3049" t="inlineStr">
        <is>
          <t>Utilities</t>
        </is>
      </c>
      <c r="C3049" t="inlineStr">
        <is>
          <t>SSE</t>
        </is>
      </c>
      <c r="D3049" t="inlineStr"/>
      <c r="E3049" t="inlineStr"/>
      <c r="F3049" t="inlineStr"/>
      <c r="G3049" t="inlineStr">
        <is>
          <t xml:space="preserve">Tom Nandi </t>
        </is>
      </c>
      <c r="H3049" t="inlineStr">
        <is>
          <t>Car - Petrol</t>
        </is>
      </c>
      <c r="I3049" t="inlineStr">
        <is>
          <t>Monthly Vehicle Inspection</t>
        </is>
      </c>
      <c r="J3049" t="inlineStr">
        <is>
          <t>3578</t>
        </is>
      </c>
      <c r="K3049" t="inlineStr">
        <is>
          <t>Thomas Nandi</t>
        </is>
      </c>
      <c r="L3049" t="inlineStr">
        <is>
          <t>05/02/2026 09:03</t>
        </is>
      </c>
      <c r="M3049" t="inlineStr">
        <is>
          <t>None</t>
        </is>
      </c>
      <c r="N3049" t="inlineStr">
        <is>
          <t>&lt;p&gt;&lt;/p&gt;</t>
        </is>
      </c>
      <c r="O3049" t="inlineStr"/>
      <c r="P3049" t="inlineStr"/>
      <c r="Q3049" t="inlineStr">
        <is>
          <t>SSE</t>
        </is>
      </c>
      <c r="R3049" t="b">
        <v>0</v>
      </c>
    </row>
    <row r="3050">
      <c r="A3050" t="inlineStr">
        <is>
          <t>5 Feb 2026 / Jane Moore / Utilities / NGED</t>
        </is>
      </c>
      <c r="B3050" t="inlineStr">
        <is>
          <t>Utilities</t>
        </is>
      </c>
      <c r="C3050" t="inlineStr">
        <is>
          <t>NGED</t>
        </is>
      </c>
      <c r="D3050" t="inlineStr">
        <is>
          <t>GL20TGZ , Car - Electric , Tesla , Model 3 Long Range AWD</t>
        </is>
      </c>
      <c r="E3050" t="inlineStr">
        <is>
          <t>GL20TGZ , Car - Electric , Tesla , Model 3 Long Range AWD</t>
        </is>
      </c>
      <c r="F3050" t="inlineStr">
        <is>
          <t>GL20TGZ , Car - Electric , Tesla , Model 3 Long Range AWD</t>
        </is>
      </c>
      <c r="G3050" t="inlineStr">
        <is>
          <t xml:space="preserve">Jane Moore </t>
        </is>
      </c>
      <c r="H3050" t="inlineStr">
        <is>
          <t>Car - Electric (GC Owned)</t>
        </is>
      </c>
      <c r="I3050" t="inlineStr">
        <is>
          <t>Daily/ Weekly Vehicle Inspection</t>
        </is>
      </c>
      <c r="J3050" t="inlineStr">
        <is>
          <t>N/A</t>
        </is>
      </c>
      <c r="K3050" t="inlineStr">
        <is>
          <t>Jane Moore</t>
        </is>
      </c>
      <c r="L3050" t="inlineStr">
        <is>
          <t>05/02/2026 10:02</t>
        </is>
      </c>
      <c r="M3050" t="inlineStr">
        <is>
          <t>None</t>
        </is>
      </c>
      <c r="N3050" t="inlineStr">
        <is>
          <t>&lt;p&gt;&lt;/p&gt;</t>
        </is>
      </c>
      <c r="O3050" t="inlineStr"/>
      <c r="P3050" t="inlineStr">
        <is>
          <t>GL20TGZ , Car - Electric , Tesla , Model 3 Long Range AWD</t>
        </is>
      </c>
      <c r="Q3050" t="inlineStr">
        <is>
          <t>NGED</t>
        </is>
      </c>
      <c r="R3050" t="b">
        <v>0</v>
      </c>
    </row>
    <row r="3051">
      <c r="A3051" t="inlineStr">
        <is>
          <t>5 Feb 2026 / 7800 MAC Tree Surgery and Fencing Ltd / Utilities / UKPN</t>
        </is>
      </c>
      <c r="B3051" t="inlineStr">
        <is>
          <t>Utilities</t>
        </is>
      </c>
      <c r="C3051" t="inlineStr">
        <is>
          <t>UKPN</t>
        </is>
      </c>
      <c r="D3051" t="inlineStr">
        <is>
          <t>Plant Trailer - Towmate - 2.8t - 0</t>
        </is>
      </c>
      <c r="E3051" t="inlineStr">
        <is>
          <t>Plant Trailer - Towmate - 2.8t - 0</t>
        </is>
      </c>
      <c r="F3051" t="inlineStr">
        <is>
          <t>Plant Trailer - Towmate - 2.8t - 0</t>
        </is>
      </c>
      <c r="G3051" t="inlineStr">
        <is>
          <t>Lewis mac</t>
        </is>
      </c>
      <c r="H3051" t="inlineStr">
        <is>
          <t>Plant Trailer</t>
        </is>
      </c>
      <c r="I3051" t="inlineStr">
        <is>
          <t>Daily/ Weekly Vehicle Inspection</t>
        </is>
      </c>
      <c r="J3051" t="inlineStr">
        <is>
          <t>N/A</t>
        </is>
      </c>
      <c r="K3051" t="inlineStr">
        <is>
          <t>7800 MAC Tree Surgery and Fencing Ltd</t>
        </is>
      </c>
      <c r="L3051" t="inlineStr">
        <is>
          <t>05/02/2026 10:05</t>
        </is>
      </c>
      <c r="M3051" t="inlineStr">
        <is>
          <t>None</t>
        </is>
      </c>
      <c r="N3051" t="inlineStr">
        <is>
          <t>&lt;p&gt;&lt;/p&gt;</t>
        </is>
      </c>
      <c r="O3051" t="inlineStr"/>
      <c r="P3051" t="inlineStr">
        <is>
          <t>Plant Trailer - Towmate - 2.8t - 0</t>
        </is>
      </c>
      <c r="Q3051" t="inlineStr">
        <is>
          <t>UKPN</t>
        </is>
      </c>
      <c r="R3051" t="b">
        <v>0</v>
      </c>
    </row>
    <row r="3052">
      <c r="A3052" t="inlineStr">
        <is>
          <t>5 Feb 2026 / 7800 MAC Tree Surgery and Fencing Ltd / Utilities / UKPN</t>
        </is>
      </c>
      <c r="B3052" t="inlineStr">
        <is>
          <t>Utilities</t>
        </is>
      </c>
      <c r="C3052" t="inlineStr">
        <is>
          <t>UKPN</t>
        </is>
      </c>
      <c r="D3052" t="inlineStr">
        <is>
          <t>AY68DAA , 4x4 , Izuzu , Dmax</t>
        </is>
      </c>
      <c r="E3052" t="inlineStr">
        <is>
          <t>AY68DAA , 4x4 , Izuzu , Dmax</t>
        </is>
      </c>
      <c r="F3052" t="inlineStr">
        <is>
          <t>AY68DAA , 4x4 , Izuzu , Dmax</t>
        </is>
      </c>
      <c r="G3052" t="inlineStr">
        <is>
          <t xml:space="preserve">Patrick O'Shea </t>
        </is>
      </c>
      <c r="H3052" t="inlineStr">
        <is>
          <t>4x4</t>
        </is>
      </c>
      <c r="I3052" t="inlineStr">
        <is>
          <t>Daily/ Weekly Vehicle Inspection</t>
        </is>
      </c>
      <c r="J3052" t="inlineStr">
        <is>
          <t>N/A</t>
        </is>
      </c>
      <c r="K3052" t="inlineStr">
        <is>
          <t>7800 MAC Tree Surgery and Fencing Ltd</t>
        </is>
      </c>
      <c r="L3052" t="inlineStr">
        <is>
          <t>05/02/2026 10:06</t>
        </is>
      </c>
      <c r="M3052" t="inlineStr">
        <is>
          <t>None</t>
        </is>
      </c>
      <c r="N3052" t="inlineStr">
        <is>
          <t>&lt;p&gt;&lt;/p&gt;</t>
        </is>
      </c>
      <c r="O3052" t="inlineStr"/>
      <c r="P3052" t="inlineStr">
        <is>
          <t>AY68DAA , 4x4 , Izuzu , Dmax</t>
        </is>
      </c>
      <c r="Q3052" t="inlineStr">
        <is>
          <t>UKPN</t>
        </is>
      </c>
      <c r="R3052" t="b">
        <v>0</v>
      </c>
    </row>
    <row r="3053">
      <c r="A3053" t="inlineStr">
        <is>
          <t>5 Feb 2026 / 8040 S6 Tree specialists Ltd / Utilities / UKPN</t>
        </is>
      </c>
      <c r="B3053" t="inlineStr">
        <is>
          <t>Utilities</t>
        </is>
      </c>
      <c r="C3053" t="inlineStr">
        <is>
          <t>UKPN</t>
        </is>
      </c>
      <c r="D3053" t="inlineStr">
        <is>
          <t>GY08 RVC , 4x4 MEWP , Land Rover , Defender</t>
        </is>
      </c>
      <c r="E3053" t="inlineStr">
        <is>
          <t>GY08 RVC , 4x4 MEWP , Land Rover , Defender</t>
        </is>
      </c>
      <c r="F3053" t="inlineStr">
        <is>
          <t>GY08 RVC , 4x4 MEWP , Land Rover , Defender</t>
        </is>
      </c>
      <c r="G3053" t="inlineStr">
        <is>
          <t xml:space="preserve">Luke lane </t>
        </is>
      </c>
      <c r="H3053" t="inlineStr">
        <is>
          <t>4x4</t>
        </is>
      </c>
      <c r="I3053" t="inlineStr">
        <is>
          <t>Daily/ Weekly Vehicle Inspection</t>
        </is>
      </c>
      <c r="J3053" t="inlineStr">
        <is>
          <t>N/A</t>
        </is>
      </c>
      <c r="K3053" t="inlineStr">
        <is>
          <t>8040 S6 Tree specialists Ltd</t>
        </is>
      </c>
      <c r="L3053" t="inlineStr">
        <is>
          <t>05/02/2026 13:02</t>
        </is>
      </c>
      <c r="M3053" t="inlineStr">
        <is>
          <t>None</t>
        </is>
      </c>
      <c r="N3053" t="inlineStr">
        <is>
          <t>&lt;p&gt;&lt;/p&gt;</t>
        </is>
      </c>
      <c r="O3053" t="inlineStr"/>
      <c r="P3053" t="inlineStr">
        <is>
          <t>GY08 RVC , 4x4 MEWP , Land Rover , Defender</t>
        </is>
      </c>
      <c r="Q3053" t="inlineStr">
        <is>
          <t>UKPN</t>
        </is>
      </c>
      <c r="R3053" t="b">
        <v>0</v>
      </c>
    </row>
    <row r="3054">
      <c r="A3054" t="inlineStr">
        <is>
          <t>5 Feb 2026 / Timbo Franklin M G Tree Surgery Ltd / Utilities / UKPN</t>
        </is>
      </c>
      <c r="B3054" t="inlineStr">
        <is>
          <t>Utilities</t>
        </is>
      </c>
      <c r="C3054" t="inlineStr">
        <is>
          <t>UKPN</t>
        </is>
      </c>
      <c r="D3054" t="inlineStr">
        <is>
          <t>GU13 WNL , MEWP , Land Rover , Defender 130</t>
        </is>
      </c>
      <c r="E3054" t="inlineStr">
        <is>
          <t>GU13 WNL , MEWP , Land Rover , Defender 130</t>
        </is>
      </c>
      <c r="F3054" t="inlineStr">
        <is>
          <t>GU13 WNL , MEWP , Land Rover , Defender 130</t>
        </is>
      </c>
      <c r="G3054" t="inlineStr">
        <is>
          <t>Tim Franklin</t>
        </is>
      </c>
      <c r="H3054" t="inlineStr">
        <is>
          <t>4x4</t>
        </is>
      </c>
      <c r="I3054" t="inlineStr">
        <is>
          <t>Daily/ Weekly Vehicle Inspection</t>
        </is>
      </c>
      <c r="J3054" t="inlineStr">
        <is>
          <t>N/A</t>
        </is>
      </c>
      <c r="K3054" t="inlineStr">
        <is>
          <t>7996 M G Tree Surgery Ltd 2</t>
        </is>
      </c>
      <c r="L3054" t="inlineStr">
        <is>
          <t>05/02/2026 22:02</t>
        </is>
      </c>
      <c r="M3054" t="inlineStr">
        <is>
          <t>None</t>
        </is>
      </c>
      <c r="N3054" t="inlineStr">
        <is>
          <t>&lt;p&gt;&lt;/p&gt;</t>
        </is>
      </c>
      <c r="O3054" t="inlineStr"/>
      <c r="P3054" t="inlineStr">
        <is>
          <t>GU13 WNL , MEWP , Land Rover , Defender 130</t>
        </is>
      </c>
      <c r="Q3054" t="inlineStr">
        <is>
          <t>UKPN</t>
        </is>
      </c>
      <c r="R3054" t="b">
        <v>0</v>
      </c>
    </row>
    <row r="3055">
      <c r="A3055" t="inlineStr">
        <is>
          <t>6 Feb 2026 / Barry Bright / Utilities / UKPN</t>
        </is>
      </c>
      <c r="B3055" t="inlineStr">
        <is>
          <t>Utilities</t>
        </is>
      </c>
      <c r="C3055" t="inlineStr">
        <is>
          <t>UKPN</t>
        </is>
      </c>
      <c r="D3055" t="inlineStr">
        <is>
          <t>AK72YBM , Car - Electric , Tesla , Model Y Long Range</t>
        </is>
      </c>
      <c r="E3055" t="inlineStr">
        <is>
          <t>AK72YBM , Car - Electric , Tesla , Model Y Long Range</t>
        </is>
      </c>
      <c r="F3055" t="inlineStr">
        <is>
          <t>AK72YBM , Car - Electric , Tesla , Model Y Long Range</t>
        </is>
      </c>
      <c r="G3055" t="inlineStr">
        <is>
          <t xml:space="preserve">Barry Bright </t>
        </is>
      </c>
      <c r="H3055" t="inlineStr">
        <is>
          <t>Car - Electric (GC Owned)</t>
        </is>
      </c>
      <c r="I3055" t="inlineStr">
        <is>
          <t>Daily/ Weekly Vehicle Inspection</t>
        </is>
      </c>
      <c r="J3055" t="inlineStr">
        <is>
          <t>N/A</t>
        </is>
      </c>
      <c r="K3055" t="inlineStr">
        <is>
          <t>Barry Bright</t>
        </is>
      </c>
      <c r="L3055" t="inlineStr">
        <is>
          <t>06/02/2026 06:02</t>
        </is>
      </c>
      <c r="M3055" t="inlineStr">
        <is>
          <t>None</t>
        </is>
      </c>
      <c r="N3055" t="inlineStr">
        <is>
          <t>&lt;p&gt;&lt;/p&gt;</t>
        </is>
      </c>
      <c r="O3055" t="inlineStr"/>
      <c r="P3055" t="inlineStr">
        <is>
          <t>AK72YBM , Car - Electric , Tesla , Model Y Long Range</t>
        </is>
      </c>
      <c r="Q3055" t="inlineStr">
        <is>
          <t>UKPN</t>
        </is>
      </c>
      <c r="R3055" t="b">
        <v>0</v>
      </c>
    </row>
    <row r="3056">
      <c r="A3056" t="inlineStr">
        <is>
          <t>6 Feb 2026 / 6617 Ashdown Tree Limited 1 / Utilities / UKPN</t>
        </is>
      </c>
      <c r="B3056" t="inlineStr">
        <is>
          <t>Utilities</t>
        </is>
      </c>
      <c r="C3056" t="inlineStr">
        <is>
          <t>UKPN</t>
        </is>
      </c>
      <c r="D3056" t="inlineStr">
        <is>
          <t>WG63OJS , 4x4 , Land rover  , defender</t>
        </is>
      </c>
      <c r="E3056" t="inlineStr">
        <is>
          <t>WG63OJS , 4x4 , Land rover  , defender</t>
        </is>
      </c>
      <c r="F3056" t="inlineStr">
        <is>
          <t>WG63OJS , 4x4 , Land rover  , defender</t>
        </is>
      </c>
      <c r="G3056" t="inlineStr">
        <is>
          <t>Dan</t>
        </is>
      </c>
      <c r="H3056" t="inlineStr">
        <is>
          <t>4x4</t>
        </is>
      </c>
      <c r="I3056" t="inlineStr">
        <is>
          <t>Daily/ Weekly Vehicle Inspection</t>
        </is>
      </c>
      <c r="J3056" t="inlineStr">
        <is>
          <t>N/A</t>
        </is>
      </c>
      <c r="K3056" t="inlineStr">
        <is>
          <t>6617 Ashdown Tree Limited - Team 2</t>
        </is>
      </c>
      <c r="L3056" t="inlineStr">
        <is>
          <t>06/02/2026 07:02</t>
        </is>
      </c>
      <c r="M3056" t="inlineStr">
        <is>
          <t>None</t>
        </is>
      </c>
      <c r="N3056" t="inlineStr">
        <is>
          <t>&lt;p&gt;&lt;/p&gt;</t>
        </is>
      </c>
      <c r="O3056" t="inlineStr"/>
      <c r="P3056" t="inlineStr">
        <is>
          <t>WG63OJS , 4x4 , Land rover  , defender</t>
        </is>
      </c>
      <c r="Q3056" t="inlineStr">
        <is>
          <t>UKPN</t>
        </is>
      </c>
      <c r="R3056" t="b">
        <v>0</v>
      </c>
    </row>
    <row r="3057">
      <c r="A3057" t="inlineStr">
        <is>
          <t>6 Feb 2026 / 7800 MAC Tree Surgery and Fencing Ltd / Utilities / UKPN</t>
        </is>
      </c>
      <c r="B3057" t="inlineStr">
        <is>
          <t>Utilities</t>
        </is>
      </c>
      <c r="C3057" t="inlineStr">
        <is>
          <t>UKPN</t>
        </is>
      </c>
      <c r="D3057" t="inlineStr">
        <is>
          <t>AY68DAA , 4x4 , Izuzu , Dmax</t>
        </is>
      </c>
      <c r="E3057" t="inlineStr">
        <is>
          <t>AY68DAA , 4x4 , Izuzu , Dmax</t>
        </is>
      </c>
      <c r="F3057" t="inlineStr">
        <is>
          <t>AY68DAA , 4x4 , Izuzu , Dmax</t>
        </is>
      </c>
      <c r="G3057" t="inlineStr">
        <is>
          <t xml:space="preserve">Patrick O'Shea </t>
        </is>
      </c>
      <c r="H3057" t="inlineStr">
        <is>
          <t>4x4</t>
        </is>
      </c>
      <c r="I3057" t="inlineStr">
        <is>
          <t>Daily/ Weekly Vehicle Inspection</t>
        </is>
      </c>
      <c r="J3057" t="inlineStr">
        <is>
          <t>N/A</t>
        </is>
      </c>
      <c r="K3057" t="inlineStr">
        <is>
          <t>7800 MAC Tree Surgery and Fencing Ltd</t>
        </is>
      </c>
      <c r="L3057" t="inlineStr">
        <is>
          <t>06/02/2026 08:02</t>
        </is>
      </c>
      <c r="M3057" t="inlineStr">
        <is>
          <t>None</t>
        </is>
      </c>
      <c r="N3057" t="inlineStr">
        <is>
          <t>&lt;p&gt;&lt;/p&gt;</t>
        </is>
      </c>
      <c r="O3057" t="inlineStr"/>
      <c r="P3057" t="inlineStr">
        <is>
          <t>AY68DAA , 4x4 , Izuzu , Dmax</t>
        </is>
      </c>
      <c r="Q3057" t="inlineStr">
        <is>
          <t>UKPN</t>
        </is>
      </c>
      <c r="R3057" t="b">
        <v>0</v>
      </c>
    </row>
    <row r="3058">
      <c r="A3058" t="inlineStr">
        <is>
          <t>6 Feb 2026 / 7186 Eastwoodbury Tree Services Ltd / Utilities / UKPN</t>
        </is>
      </c>
      <c r="B3058" t="inlineStr">
        <is>
          <t>Utilities</t>
        </is>
      </c>
      <c r="C3058" t="inlineStr">
        <is>
          <t>UKPN</t>
        </is>
      </c>
      <c r="D3058" t="inlineStr">
        <is>
          <t>DE53NKS , 4x4 , Ford , Ranger</t>
        </is>
      </c>
      <c r="E3058" t="inlineStr">
        <is>
          <t>DE53NKS , 4x4 , Ford , Ranger</t>
        </is>
      </c>
      <c r="F3058" t="inlineStr">
        <is>
          <t>DE53NKS , 4x4 , Ford , Ranger</t>
        </is>
      </c>
      <c r="G3058" t="inlineStr">
        <is>
          <t xml:space="preserve">Jay Denkmayer </t>
        </is>
      </c>
      <c r="H3058" t="inlineStr">
        <is>
          <t>4x4</t>
        </is>
      </c>
      <c r="I3058" t="inlineStr">
        <is>
          <t>Daily/ Weekly Vehicle Inspection</t>
        </is>
      </c>
      <c r="J3058" t="inlineStr">
        <is>
          <t>N/A</t>
        </is>
      </c>
      <c r="K3058" t="inlineStr">
        <is>
          <t>7186 Eastwoodbury Tree Services Ltd</t>
        </is>
      </c>
      <c r="L3058" t="inlineStr">
        <is>
          <t>06/02/2026 08:03</t>
        </is>
      </c>
      <c r="M3058" t="inlineStr">
        <is>
          <t>None</t>
        </is>
      </c>
      <c r="N3058" t="inlineStr">
        <is>
          <t>&lt;p&gt;&lt;/p&gt;</t>
        </is>
      </c>
      <c r="O3058" t="inlineStr"/>
      <c r="P3058" t="inlineStr">
        <is>
          <t>DE53NKS , 4x4 , Ford , Ranger</t>
        </is>
      </c>
      <c r="Q3058" t="inlineStr">
        <is>
          <t>UKPN</t>
        </is>
      </c>
      <c r="R3058" t="b">
        <v>0</v>
      </c>
    </row>
    <row r="3059">
      <c r="A3059" t="inlineStr">
        <is>
          <t>6 Feb 2026 / 7951 Austin Tree Care LTD / Utilities / UKPN</t>
        </is>
      </c>
      <c r="B3059" t="inlineStr">
        <is>
          <t>Utilities</t>
        </is>
      </c>
      <c r="C3059" t="inlineStr">
        <is>
          <t>UKPN</t>
        </is>
      </c>
      <c r="D3059" t="inlineStr">
        <is>
          <t>SA9ST6P0001283612 , Towed Chipper , Forst , ST6p</t>
        </is>
      </c>
      <c r="E3059" t="inlineStr">
        <is>
          <t>SA9ST6P0001283612 , Towed Chipper , Forst , ST6p</t>
        </is>
      </c>
      <c r="F3059" t="inlineStr">
        <is>
          <t>SA9ST6P0001283612 , Towed Chipper , Forst , ST6p</t>
        </is>
      </c>
      <c r="G3059" t="inlineStr">
        <is>
          <t xml:space="preserve">James Tasker </t>
        </is>
      </c>
      <c r="H3059" t="inlineStr">
        <is>
          <t>4x4</t>
        </is>
      </c>
      <c r="I3059" t="inlineStr">
        <is>
          <t>Daily/ Weekly Vehicle Inspection</t>
        </is>
      </c>
      <c r="J3059" t="inlineStr">
        <is>
          <t>N/A</t>
        </is>
      </c>
      <c r="K3059" t="inlineStr">
        <is>
          <t>7951 Austin Tree Care LTD</t>
        </is>
      </c>
      <c r="L3059" t="inlineStr">
        <is>
          <t>06/02/2026 08:04</t>
        </is>
      </c>
      <c r="M3059" t="inlineStr">
        <is>
          <t>None</t>
        </is>
      </c>
      <c r="N3059" t="inlineStr">
        <is>
          <t>&lt;p&gt;&lt;/p&gt;</t>
        </is>
      </c>
      <c r="O3059" t="inlineStr"/>
      <c r="P3059" t="inlineStr">
        <is>
          <t>SA9ST6P0001283612 , Towed Chipper , Forst , ST6p</t>
        </is>
      </c>
      <c r="Q3059" t="inlineStr">
        <is>
          <t>UKPN</t>
        </is>
      </c>
      <c r="R3059" t="b">
        <v>0</v>
      </c>
    </row>
    <row r="3060">
      <c r="A3060" t="inlineStr">
        <is>
          <t>6 Feb 2026 / 7951 Austin Tree Care LTD / Utilities / UKPN</t>
        </is>
      </c>
      <c r="B3060" t="inlineStr">
        <is>
          <t>Utilities</t>
        </is>
      </c>
      <c r="C3060" t="inlineStr">
        <is>
          <t>UKPN</t>
        </is>
      </c>
      <c r="D3060" t="inlineStr">
        <is>
          <t>WG64HTT , 4x4 , Land Rover , Defender 110</t>
        </is>
      </c>
      <c r="E3060" t="inlineStr">
        <is>
          <t>WG64HTT , 4x4 , Land Rover , Defender 110</t>
        </is>
      </c>
      <c r="F3060" t="inlineStr">
        <is>
          <t>WG64HTT , 4x4 , Land Rover , Defender 110</t>
        </is>
      </c>
      <c r="G3060" t="inlineStr">
        <is>
          <t xml:space="preserve">James Tasker </t>
        </is>
      </c>
      <c r="H3060" t="inlineStr">
        <is>
          <t>4x4</t>
        </is>
      </c>
      <c r="I3060" t="inlineStr">
        <is>
          <t>Daily/ Weekly Vehicle Inspection</t>
        </is>
      </c>
      <c r="J3060" t="inlineStr">
        <is>
          <t>N/A</t>
        </is>
      </c>
      <c r="K3060" t="inlineStr">
        <is>
          <t>7951 Austin Tree Care LTD</t>
        </is>
      </c>
      <c r="L3060" t="inlineStr">
        <is>
          <t>06/02/2026 08:05</t>
        </is>
      </c>
      <c r="M3060" t="inlineStr">
        <is>
          <t>None</t>
        </is>
      </c>
      <c r="N3060" t="inlineStr">
        <is>
          <t>&lt;p&gt;&lt;/p&gt;</t>
        </is>
      </c>
      <c r="O3060" t="inlineStr"/>
      <c r="P3060" t="inlineStr">
        <is>
          <t>WG64HTT , 4x4 , Land Rover , Defender 110</t>
        </is>
      </c>
      <c r="Q3060" t="inlineStr">
        <is>
          <t>UKPN</t>
        </is>
      </c>
      <c r="R3060" t="b">
        <v>0</v>
      </c>
    </row>
    <row r="3061">
      <c r="A3061" t="inlineStr">
        <is>
          <t>6 Feb 2026 / Thomas Playford / Utilities / UKPN</t>
        </is>
      </c>
      <c r="B3061" t="inlineStr">
        <is>
          <t>Utilities</t>
        </is>
      </c>
      <c r="C3061" t="inlineStr">
        <is>
          <t>UKPN</t>
        </is>
      </c>
      <c r="D3061" t="inlineStr">
        <is>
          <t>X21TNP , 4x4 , Toyota , Hilux</t>
        </is>
      </c>
      <c r="E3061" t="inlineStr">
        <is>
          <t>X21TNP , 4x4 , Toyota , Hilux</t>
        </is>
      </c>
      <c r="F3061" t="inlineStr">
        <is>
          <t>X21TNP , 4x4 , Toyota , Hilux</t>
        </is>
      </c>
      <c r="G3061" t="inlineStr">
        <is>
          <t>Thomas Playford</t>
        </is>
      </c>
      <c r="H3061" t="inlineStr">
        <is>
          <t>4x4</t>
        </is>
      </c>
      <c r="I3061" t="inlineStr">
        <is>
          <t>Daily/ Weekly Vehicle Inspection</t>
        </is>
      </c>
      <c r="J3061" t="inlineStr">
        <is>
          <t>N/A</t>
        </is>
      </c>
      <c r="K3061" t="inlineStr">
        <is>
          <t>7995 Green Net Eco Ltd 2</t>
        </is>
      </c>
      <c r="L3061" t="inlineStr">
        <is>
          <t>06/02/2026 09:03</t>
        </is>
      </c>
      <c r="M3061" t="inlineStr">
        <is>
          <t xml:space="preserve">Confirm that you have checked this vehicle as per the guidance document and the vehicle is safe and roadworthy: Fail
</t>
        </is>
      </c>
      <c r="N3061" t="inlineStr">
        <is>
          <t>&lt;p&gt;&lt;/p&gt;</t>
        </is>
      </c>
      <c r="O3061" t="inlineStr"/>
      <c r="P3061" t="inlineStr">
        <is>
          <t>X21TNP , 4x4 , Toyota , Hilux</t>
        </is>
      </c>
      <c r="Q3061" t="inlineStr">
        <is>
          <t>UKPN</t>
        </is>
      </c>
      <c r="R3061" t="b">
        <v>0</v>
      </c>
    </row>
    <row r="3062">
      <c r="A3062" t="inlineStr">
        <is>
          <t>6 Feb 2026 / Thomas Playford / Utilities / UKPN</t>
        </is>
      </c>
      <c r="B3062" t="inlineStr">
        <is>
          <t>Utilities</t>
        </is>
      </c>
      <c r="C3062" t="inlineStr">
        <is>
          <t>UKPN</t>
        </is>
      </c>
      <c r="D3062" t="inlineStr">
        <is>
          <t>SA9ST800000283944 , Towed Chipper , Forst , ST8D - Towed</t>
        </is>
      </c>
      <c r="E3062" t="inlineStr">
        <is>
          <t>SA9ST800000283944 , Towed Chipper , Forst , ST8D - Towed</t>
        </is>
      </c>
      <c r="F3062" t="inlineStr">
        <is>
          <t>SA9ST800000283944 , Towed Chipper , Forst , ST8D - Towed</t>
        </is>
      </c>
      <c r="G3062" t="inlineStr">
        <is>
          <t>Jacob Oram</t>
        </is>
      </c>
      <c r="H3062" t="inlineStr">
        <is>
          <t>Towed Chipper</t>
        </is>
      </c>
      <c r="I3062" t="inlineStr">
        <is>
          <t>Daily/ Weekly Vehicle Inspection</t>
        </is>
      </c>
      <c r="J3062" t="inlineStr">
        <is>
          <t>N/A</t>
        </is>
      </c>
      <c r="K3062" t="inlineStr">
        <is>
          <t>7995 Green Net Eco Ltd 2</t>
        </is>
      </c>
      <c r="L3062" t="inlineStr">
        <is>
          <t>06/02/2026 09:04</t>
        </is>
      </c>
      <c r="M3062" t="inlineStr">
        <is>
          <t>None</t>
        </is>
      </c>
      <c r="N3062" t="inlineStr">
        <is>
          <t>&lt;p&gt;&lt;/p&gt;</t>
        </is>
      </c>
      <c r="O3062" t="inlineStr"/>
      <c r="P3062" t="inlineStr">
        <is>
          <t>SA9ST800000283944 , Towed Chipper , Forst , ST8D - Towed</t>
        </is>
      </c>
      <c r="Q3062" t="inlineStr">
        <is>
          <t>UKPN</t>
        </is>
      </c>
      <c r="R3062" t="b">
        <v>0</v>
      </c>
    </row>
    <row r="3063">
      <c r="A3063" t="inlineStr">
        <is>
          <t>6 Feb 2026 / Thomas Playford / Utilities / UKPN</t>
        </is>
      </c>
      <c r="B3063" t="inlineStr">
        <is>
          <t>Utilities</t>
        </is>
      </c>
      <c r="C3063" t="inlineStr">
        <is>
          <t>UKPN</t>
        </is>
      </c>
      <c r="D3063" t="inlineStr">
        <is>
          <t>LK15KRZ , 4x4 , Landrover , Defender</t>
        </is>
      </c>
      <c r="E3063" t="inlineStr">
        <is>
          <t>LK15KRZ , 4x4 , Landrover , Defender</t>
        </is>
      </c>
      <c r="F3063" t="inlineStr">
        <is>
          <t>LK15KRZ , 4x4 , Landrover , Defender</t>
        </is>
      </c>
      <c r="G3063" t="inlineStr">
        <is>
          <t>Jacob Oram</t>
        </is>
      </c>
      <c r="H3063" t="inlineStr">
        <is>
          <t>4x4</t>
        </is>
      </c>
      <c r="I3063" t="inlineStr">
        <is>
          <t>Daily/ Weekly Vehicle Inspection</t>
        </is>
      </c>
      <c r="J3063" t="inlineStr">
        <is>
          <t>N/A</t>
        </is>
      </c>
      <c r="K3063" t="inlineStr">
        <is>
          <t>7995 Green Net Eco Ltd 2</t>
        </is>
      </c>
      <c r="L3063" t="inlineStr">
        <is>
          <t>06/02/2026 09:05</t>
        </is>
      </c>
      <c r="M3063" t="inlineStr">
        <is>
          <t>None</t>
        </is>
      </c>
      <c r="N3063" t="inlineStr">
        <is>
          <t>&lt;p&gt;&lt;/p&gt;</t>
        </is>
      </c>
      <c r="O3063" t="inlineStr"/>
      <c r="P3063" t="inlineStr">
        <is>
          <t>LK15KRZ , 4x4 , Landrover , Defender</t>
        </is>
      </c>
      <c r="Q3063" t="inlineStr">
        <is>
          <t>UKPN</t>
        </is>
      </c>
      <c r="R3063" t="b">
        <v>0</v>
      </c>
    </row>
    <row r="3064">
      <c r="A3064" t="inlineStr">
        <is>
          <t>6 Feb 2026 / 7806 Optimum Tree Services Ltd / Utilities / UKPN</t>
        </is>
      </c>
      <c r="B3064" t="inlineStr">
        <is>
          <t>Utilities</t>
        </is>
      </c>
      <c r="C3064" t="inlineStr">
        <is>
          <t>UKPN</t>
        </is>
      </c>
      <c r="D3064" t="inlineStr">
        <is>
          <t>Wd14evn , 4x4 , Landrover  , Defender</t>
        </is>
      </c>
      <c r="E3064" t="inlineStr">
        <is>
          <t>Wd14evn , 4x4 , Landrover  , Defender</t>
        </is>
      </c>
      <c r="F3064" t="inlineStr">
        <is>
          <t>Wd14evn , 4x4 , Landrover  , Defender</t>
        </is>
      </c>
      <c r="G3064" t="inlineStr">
        <is>
          <t xml:space="preserve">Abraham Davies </t>
        </is>
      </c>
      <c r="H3064" t="inlineStr">
        <is>
          <t>4x4</t>
        </is>
      </c>
      <c r="I3064" t="inlineStr">
        <is>
          <t>Daily/ Weekly Vehicle Inspection</t>
        </is>
      </c>
      <c r="J3064" t="inlineStr">
        <is>
          <t>N/A</t>
        </is>
      </c>
      <c r="K3064" t="inlineStr">
        <is>
          <t>7806 Optimum Tree Services Ltd</t>
        </is>
      </c>
      <c r="L3064" t="inlineStr">
        <is>
          <t>06/02/2026 09:06</t>
        </is>
      </c>
      <c r="M3064" t="inlineStr">
        <is>
          <t>None</t>
        </is>
      </c>
      <c r="N3064" t="inlineStr">
        <is>
          <t>&lt;p&gt;&lt;/p&gt;</t>
        </is>
      </c>
      <c r="O3064" t="inlineStr"/>
      <c r="P3064" t="inlineStr">
        <is>
          <t>Wd14evn , 4x4 , Landrover  , Defender</t>
        </is>
      </c>
      <c r="Q3064" t="inlineStr">
        <is>
          <t>UKPN</t>
        </is>
      </c>
      <c r="R3064" t="b">
        <v>0</v>
      </c>
    </row>
    <row r="3065">
      <c r="A3065" t="inlineStr">
        <is>
          <t>6 Feb 2026 / 7806 Optimum Tree Services Ltd / Utilities / UKPN</t>
        </is>
      </c>
      <c r="B3065" t="inlineStr">
        <is>
          <t>Utilities</t>
        </is>
      </c>
      <c r="C3065" t="inlineStr">
        <is>
          <t>UKPN</t>
        </is>
      </c>
      <c r="D3065" t="inlineStr">
        <is>
          <t>SA9ST800000283069 , Chipper , Forst , ST 6P</t>
        </is>
      </c>
      <c r="E3065" t="inlineStr">
        <is>
          <t>SA9ST800000283069 , Chipper , Forst , ST 6P</t>
        </is>
      </c>
      <c r="F3065" t="inlineStr">
        <is>
          <t>SA9ST800000283069 , Chipper , Forst , ST 6P</t>
        </is>
      </c>
      <c r="G3065" t="inlineStr">
        <is>
          <t xml:space="preserve">Abraham Davies </t>
        </is>
      </c>
      <c r="H3065" t="inlineStr">
        <is>
          <t>Towed Chipper</t>
        </is>
      </c>
      <c r="I3065" t="inlineStr">
        <is>
          <t>Daily/ Weekly Vehicle Inspection</t>
        </is>
      </c>
      <c r="J3065" t="inlineStr">
        <is>
          <t>N/A</t>
        </is>
      </c>
      <c r="K3065" t="inlineStr">
        <is>
          <t>7806 Optimum Tree Services Ltd</t>
        </is>
      </c>
      <c r="L3065" t="inlineStr">
        <is>
          <t>06/02/2026 09:07</t>
        </is>
      </c>
      <c r="M3065" t="inlineStr">
        <is>
          <t>None</t>
        </is>
      </c>
      <c r="N3065" t="inlineStr">
        <is>
          <t>&lt;p&gt;&lt;/p&gt;</t>
        </is>
      </c>
      <c r="O3065" t="inlineStr"/>
      <c r="P3065" t="inlineStr">
        <is>
          <t>SA9ST800000283069 , Chipper , Forst , ST 6P</t>
        </is>
      </c>
      <c r="Q3065" t="inlineStr">
        <is>
          <t>UKPN</t>
        </is>
      </c>
      <c r="R3065" t="b">
        <v>0</v>
      </c>
    </row>
    <row r="3066">
      <c r="A3066" t="inlineStr">
        <is>
          <t>6 Feb 2026 / Leigh Overton / Utilities / NGED</t>
        </is>
      </c>
      <c r="B3066" t="inlineStr">
        <is>
          <t>Utilities</t>
        </is>
      </c>
      <c r="C3066" t="inlineStr">
        <is>
          <t>NGED</t>
        </is>
      </c>
      <c r="D3066" t="inlineStr">
        <is>
          <t>GN70XAT , Car - Electric , Tesla , Model 3 Long Range AWD</t>
        </is>
      </c>
      <c r="E3066" t="inlineStr">
        <is>
          <t>GN70XAT , Car - Electric , Tesla , Model 3 Long Range AWD</t>
        </is>
      </c>
      <c r="F3066" t="inlineStr">
        <is>
          <t>GN70XAT , Car - Electric , Tesla , Model 3 Long Range AWD</t>
        </is>
      </c>
      <c r="G3066" t="inlineStr">
        <is>
          <t>LEIGH OVERTON</t>
        </is>
      </c>
      <c r="H3066" t="inlineStr">
        <is>
          <t>Car - Electric (GC Owned)</t>
        </is>
      </c>
      <c r="I3066" t="inlineStr">
        <is>
          <t>Daily/ Weekly Vehicle Inspection</t>
        </is>
      </c>
      <c r="J3066" t="inlineStr">
        <is>
          <t>N/A</t>
        </is>
      </c>
      <c r="K3066" t="inlineStr">
        <is>
          <t>Leigh Overton</t>
        </is>
      </c>
      <c r="L3066" t="inlineStr">
        <is>
          <t>06/02/2026 10:04</t>
        </is>
      </c>
      <c r="M3066" t="inlineStr">
        <is>
          <t>None</t>
        </is>
      </c>
      <c r="N3066" t="inlineStr">
        <is>
          <t>&lt;p&gt;&lt;/p&gt;</t>
        </is>
      </c>
      <c r="O3066" t="inlineStr"/>
      <c r="P3066" t="inlineStr">
        <is>
          <t>GN70XAT , Car - Electric , Tesla , Model 3 Long Range AWD</t>
        </is>
      </c>
      <c r="Q3066" t="inlineStr">
        <is>
          <t>NGED</t>
        </is>
      </c>
      <c r="R3066" t="b">
        <v>0</v>
      </c>
    </row>
    <row r="3067">
      <c r="A3067" t="inlineStr">
        <is>
          <t>6 Feb 2026 / 6617 Ashdown Tree Limited 1 / Utilities / UKPN</t>
        </is>
      </c>
      <c r="B3067" t="inlineStr">
        <is>
          <t>Utilities</t>
        </is>
      </c>
      <c r="C3067" t="inlineStr">
        <is>
          <t>UKPN</t>
        </is>
      </c>
      <c r="D3067" t="inlineStr">
        <is>
          <t>WG63OJS , 4x4 , Land rover  , defender</t>
        </is>
      </c>
      <c r="E3067" t="inlineStr">
        <is>
          <t>WG63OJS , 4x4 , Land rover  , defender</t>
        </is>
      </c>
      <c r="F3067" t="inlineStr">
        <is>
          <t>WG63OJS , 4x4 , Land rover  , defender</t>
        </is>
      </c>
      <c r="G3067" t="inlineStr">
        <is>
          <t>Dan</t>
        </is>
      </c>
      <c r="H3067" t="inlineStr">
        <is>
          <t>4x4</t>
        </is>
      </c>
      <c r="I3067" t="inlineStr">
        <is>
          <t>Daily/ Weekly Vehicle Inspection</t>
        </is>
      </c>
      <c r="J3067" t="inlineStr">
        <is>
          <t>N/A</t>
        </is>
      </c>
      <c r="K3067" t="inlineStr">
        <is>
          <t>6617 Ashdown Tree Limited - Team 2</t>
        </is>
      </c>
      <c r="L3067" t="inlineStr">
        <is>
          <t>06/02/2026 14:26</t>
        </is>
      </c>
      <c r="M3067" t="inlineStr">
        <is>
          <t>None</t>
        </is>
      </c>
      <c r="N3067" t="inlineStr">
        <is>
          <t>&lt;p&gt;&lt;/p&gt;</t>
        </is>
      </c>
      <c r="O3067" t="inlineStr"/>
      <c r="P3067" t="inlineStr">
        <is>
          <t>WG63OJS , 4x4 , Land rover  , defender</t>
        </is>
      </c>
      <c r="Q3067" t="inlineStr">
        <is>
          <t>UKPN</t>
        </is>
      </c>
      <c r="R3067" t="b">
        <v>0</v>
      </c>
    </row>
    <row r="3068">
      <c r="A3068" t="inlineStr">
        <is>
          <t>6 Feb 2026 / Christopher Phillips / Utilities / NGED</t>
        </is>
      </c>
      <c r="B3068" t="inlineStr">
        <is>
          <t>Utilities</t>
        </is>
      </c>
      <c r="C3068" t="inlineStr">
        <is>
          <t>NGED</t>
        </is>
      </c>
      <c r="D3068" t="inlineStr">
        <is>
          <t>SK69XHC , Car - Electric , Tesla , Model 3 Performance AWD</t>
        </is>
      </c>
      <c r="E3068" t="inlineStr">
        <is>
          <t>SK69XHC , Car - Electric , Tesla , Model 3 Performance AWD</t>
        </is>
      </c>
      <c r="F3068" t="inlineStr">
        <is>
          <t>SK69XHC , Car - Electric , Tesla , Model 3 Performance AWD</t>
        </is>
      </c>
      <c r="G3068" t="inlineStr">
        <is>
          <t xml:space="preserve">Chris Phillips </t>
        </is>
      </c>
      <c r="H3068" t="inlineStr">
        <is>
          <t>Car - Electric (GC Owned)</t>
        </is>
      </c>
      <c r="I3068" t="inlineStr">
        <is>
          <t>Monthly Vehicle Inspection</t>
        </is>
      </c>
      <c r="J3068" t="inlineStr">
        <is>
          <t>74740</t>
        </is>
      </c>
      <c r="K3068" t="inlineStr">
        <is>
          <t>Christopher Phillips</t>
        </is>
      </c>
      <c r="L3068" t="inlineStr">
        <is>
          <t>06/02/2026 15:04</t>
        </is>
      </c>
      <c r="M3068" t="inlineStr">
        <is>
          <t xml:space="preserve">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 Fail
</t>
        </is>
      </c>
      <c r="N3068" t="inlineStr">
        <is>
          <t>&lt;p&gt;&lt;/p&gt;</t>
        </is>
      </c>
      <c r="O3068" t="inlineStr">
        <is>
          <t>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hours.:I live in a flat and don't have allocated parking where a charger could be installed
-</t>
        </is>
      </c>
      <c r="P3068" t="inlineStr">
        <is>
          <t>SK69XHC , Car - Electric , Tesla , Model 3 Performance AWD</t>
        </is>
      </c>
      <c r="Q3068" t="inlineStr">
        <is>
          <t>NGED</t>
        </is>
      </c>
      <c r="R3068" t="b">
        <v>0</v>
      </c>
    </row>
    <row r="3069">
      <c r="A3069" t="inlineStr">
        <is>
          <t>6 Feb 2026 / Kevin Miller / Utilities / UKPN</t>
        </is>
      </c>
      <c r="B3069" t="inlineStr">
        <is>
          <t>Utilities</t>
        </is>
      </c>
      <c r="C3069" t="inlineStr">
        <is>
          <t>UKPN</t>
        </is>
      </c>
      <c r="D3069" t="inlineStr">
        <is>
          <t>EO73KUF , Car - Electric , Kia , Niro</t>
        </is>
      </c>
      <c r="E3069" t="inlineStr">
        <is>
          <t>EO73KUF , Car - Electric , Kia , Niro</t>
        </is>
      </c>
      <c r="F3069" t="inlineStr">
        <is>
          <t>EO73KUF , Car - Electric , Kia , Niro</t>
        </is>
      </c>
      <c r="G3069" t="inlineStr">
        <is>
          <t xml:space="preserve">Kevin Miller </t>
        </is>
      </c>
      <c r="H3069" t="inlineStr">
        <is>
          <t>Car - Electric (GC Owned)</t>
        </is>
      </c>
      <c r="I3069" t="inlineStr">
        <is>
          <t>Daily/ Weekly Vehicle Inspection</t>
        </is>
      </c>
      <c r="J3069" t="inlineStr">
        <is>
          <t>N/A</t>
        </is>
      </c>
      <c r="K3069" t="inlineStr">
        <is>
          <t>Kevin Miller</t>
        </is>
      </c>
      <c r="L3069" t="inlineStr">
        <is>
          <t>06/02/2026 17:03</t>
        </is>
      </c>
      <c r="M3069" t="inlineStr">
        <is>
          <t>None</t>
        </is>
      </c>
      <c r="N3069" t="inlineStr">
        <is>
          <t>&lt;p&gt;&lt;/p&gt;</t>
        </is>
      </c>
      <c r="O3069" t="inlineStr"/>
      <c r="P3069" t="inlineStr">
        <is>
          <t>EO73KUF , Car - Electric , Kia , Niro</t>
        </is>
      </c>
      <c r="Q3069" t="inlineStr">
        <is>
          <t>UKPN</t>
        </is>
      </c>
      <c r="R3069" t="b">
        <v>0</v>
      </c>
    </row>
    <row r="3070">
      <c r="A3070" t="inlineStr">
        <is>
          <t>6 Feb 2026 / Dean Fleming / Utilities / UKPN</t>
        </is>
      </c>
      <c r="B3070" t="inlineStr">
        <is>
          <t>Utilities</t>
        </is>
      </c>
      <c r="C3070" t="inlineStr">
        <is>
          <t>UKPN</t>
        </is>
      </c>
      <c r="D3070" t="inlineStr">
        <is>
          <t>EK73UOH , Car - Electric , Kia , Niro</t>
        </is>
      </c>
      <c r="E3070" t="inlineStr">
        <is>
          <t>EK73UOH , Car - Electric , Kia , Niro</t>
        </is>
      </c>
      <c r="F3070" t="inlineStr">
        <is>
          <t>EK73UOH , Car - Electric , Kia , Niro</t>
        </is>
      </c>
      <c r="G3070" t="inlineStr">
        <is>
          <t xml:space="preserve">Dean Fleming </t>
        </is>
      </c>
      <c r="H3070" t="inlineStr">
        <is>
          <t>Car - Electric (GC Owned)</t>
        </is>
      </c>
      <c r="I3070" t="inlineStr">
        <is>
          <t>Daily/ Weekly Vehicle Inspection</t>
        </is>
      </c>
      <c r="J3070" t="inlineStr">
        <is>
          <t>N/A</t>
        </is>
      </c>
      <c r="K3070" t="inlineStr">
        <is>
          <t>Dean Fleming</t>
        </is>
      </c>
      <c r="L3070" t="inlineStr">
        <is>
          <t>06/02/2026 20:02</t>
        </is>
      </c>
      <c r="M3070" t="inlineStr">
        <is>
          <t xml:space="preserve">Confirm that you have checked this vehicle as per the guidance document and the vehicle is safe and roadworthy: Fail
</t>
        </is>
      </c>
      <c r="N3070" t="inlineStr">
        <is>
          <t>&lt;p&gt;&lt;/p&gt;</t>
        </is>
      </c>
      <c r="O3070" t="inlineStr"/>
      <c r="P3070" t="inlineStr">
        <is>
          <t>EK73UOH , Car - Electric , Kia , Niro</t>
        </is>
      </c>
      <c r="Q3070" t="inlineStr">
        <is>
          <t>UKPN</t>
        </is>
      </c>
      <c r="R3070" t="b">
        <v>0</v>
      </c>
    </row>
    <row r="3071">
      <c r="A3071" t="inlineStr">
        <is>
          <t>8 Feb 2026 / Jonathan Wisbey / Utilities / UKPN</t>
        </is>
      </c>
      <c r="B3071" t="inlineStr">
        <is>
          <t>Utilities</t>
        </is>
      </c>
      <c r="C3071" t="inlineStr">
        <is>
          <t>UKPN</t>
        </is>
      </c>
      <c r="D3071" t="inlineStr"/>
      <c r="E3071" t="inlineStr"/>
      <c r="F3071" t="inlineStr"/>
      <c r="G3071" t="inlineStr">
        <is>
          <t xml:space="preserve">Jonathan Wisbey </t>
        </is>
      </c>
      <c r="H3071" t="inlineStr">
        <is>
          <t>Car - Petrol</t>
        </is>
      </c>
      <c r="I3071" t="inlineStr">
        <is>
          <t>Daily/ Weekly Vehicle Inspection</t>
        </is>
      </c>
      <c r="J3071" t="inlineStr">
        <is>
          <t>N/A</t>
        </is>
      </c>
      <c r="K3071" t="inlineStr">
        <is>
          <t>Jonathan Wisbey</t>
        </is>
      </c>
      <c r="L3071" t="inlineStr">
        <is>
          <t>08/02/2026 09:02</t>
        </is>
      </c>
      <c r="M3071" t="inlineStr">
        <is>
          <t>None</t>
        </is>
      </c>
      <c r="N3071" t="inlineStr">
        <is>
          <t>&lt;p&gt;&lt;/p&gt;</t>
        </is>
      </c>
      <c r="O3071" t="inlineStr"/>
      <c r="P3071" t="inlineStr"/>
      <c r="Q3071" t="inlineStr">
        <is>
          <t>UKPN</t>
        </is>
      </c>
      <c r="R3071" t="b">
        <v>0</v>
      </c>
    </row>
    <row r="3072">
      <c r="A3072" t="inlineStr">
        <is>
          <t>9 Feb 2026 / 8040 S6 Tree specialists Ltd / Utilities / UKPN</t>
        </is>
      </c>
      <c r="B3072" t="inlineStr">
        <is>
          <t>Utilities</t>
        </is>
      </c>
      <c r="C3072" t="inlineStr">
        <is>
          <t>UKPN</t>
        </is>
      </c>
      <c r="D3072" t="inlineStr">
        <is>
          <t>GY08 RVC , 4x4 MEWP , Land Rover , Defender</t>
        </is>
      </c>
      <c r="E3072" t="inlineStr">
        <is>
          <t>GY08 RVC , 4x4 MEWP , Land Rover , Defender</t>
        </is>
      </c>
      <c r="F3072" t="inlineStr">
        <is>
          <t>GY08 RVC , 4x4 MEWP , Land Rover , Defender</t>
        </is>
      </c>
      <c r="G3072" t="inlineStr">
        <is>
          <t xml:space="preserve">Luke lane </t>
        </is>
      </c>
      <c r="H3072" t="inlineStr">
        <is>
          <t>4x4</t>
        </is>
      </c>
      <c r="I3072" t="inlineStr">
        <is>
          <t>Daily/ Weekly Vehicle Inspection</t>
        </is>
      </c>
      <c r="J3072" t="inlineStr">
        <is>
          <t>N/A</t>
        </is>
      </c>
      <c r="K3072" t="inlineStr">
        <is>
          <t>8040 S6 Tree specialists Ltd</t>
        </is>
      </c>
      <c r="L3072" t="inlineStr">
        <is>
          <t>09/02/2026 07:02</t>
        </is>
      </c>
      <c r="M3072" t="inlineStr">
        <is>
          <t>None</t>
        </is>
      </c>
      <c r="N3072" t="inlineStr">
        <is>
          <t>&lt;p&gt;&lt;/p&gt;</t>
        </is>
      </c>
      <c r="O3072" t="inlineStr"/>
      <c r="P3072" t="inlineStr">
        <is>
          <t>GY08 RVC , 4x4 MEWP , Land Rover , Defender</t>
        </is>
      </c>
      <c r="Q3072" t="inlineStr">
        <is>
          <t>UKPN</t>
        </is>
      </c>
      <c r="R3072" t="b">
        <v>0</v>
      </c>
    </row>
    <row r="3073">
      <c r="A3073" t="inlineStr">
        <is>
          <t>9 Feb 2026 / 7186 Eastwoodbury Tree Services Ltd / Utilities / UKPN</t>
        </is>
      </c>
      <c r="B3073" t="inlineStr">
        <is>
          <t>Utilities</t>
        </is>
      </c>
      <c r="C3073" t="inlineStr">
        <is>
          <t>UKPN</t>
        </is>
      </c>
      <c r="D3073" t="inlineStr">
        <is>
          <t>DE53NKS , 4x4 , Ford , Ranger</t>
        </is>
      </c>
      <c r="E3073" t="inlineStr">
        <is>
          <t>DE53NKS , 4x4 , Ford , Ranger</t>
        </is>
      </c>
      <c r="F3073" t="inlineStr">
        <is>
          <t>DE53NKS , 4x4 , Ford , Ranger</t>
        </is>
      </c>
      <c r="G3073" t="inlineStr">
        <is>
          <t xml:space="preserve">Tom Price </t>
        </is>
      </c>
      <c r="H3073" t="inlineStr">
        <is>
          <t>4x4</t>
        </is>
      </c>
      <c r="I3073" t="inlineStr">
        <is>
          <t>Daily/ Weekly Vehicle Inspection</t>
        </is>
      </c>
      <c r="J3073" t="inlineStr">
        <is>
          <t>N/A</t>
        </is>
      </c>
      <c r="K3073" t="inlineStr">
        <is>
          <t>7186 Eastwoodbury Tree Services Ltd</t>
        </is>
      </c>
      <c r="L3073" t="inlineStr">
        <is>
          <t>09/02/2026 08:09</t>
        </is>
      </c>
      <c r="M3073" t="inlineStr">
        <is>
          <t>None</t>
        </is>
      </c>
      <c r="N3073" t="inlineStr">
        <is>
          <t>&lt;p&gt;&lt;/p&gt;</t>
        </is>
      </c>
      <c r="O3073" t="inlineStr"/>
      <c r="P3073" t="inlineStr">
        <is>
          <t>DE53NKS , 4x4 , Ford , Ranger</t>
        </is>
      </c>
      <c r="Q3073" t="inlineStr">
        <is>
          <t>UKPN</t>
        </is>
      </c>
      <c r="R3073" t="b">
        <v>0</v>
      </c>
    </row>
    <row r="3074">
      <c r="A3074" t="inlineStr">
        <is>
          <t>9 Feb 2026 / 7951 Austin Tree Care LTD 1 / Utilities / UKPN</t>
        </is>
      </c>
      <c r="B3074" t="inlineStr">
        <is>
          <t>Utilities</t>
        </is>
      </c>
      <c r="C3074" t="inlineStr">
        <is>
          <t>UKPN</t>
        </is>
      </c>
      <c r="D3074" t="inlineStr">
        <is>
          <t>WG64HTT , 4x4 , Land Rover , Defender 110</t>
        </is>
      </c>
      <c r="E3074" t="inlineStr">
        <is>
          <t>WG64HTT , 4x4 , Land Rover , Defender 110</t>
        </is>
      </c>
      <c r="F3074" t="inlineStr">
        <is>
          <t>WG64HTT , 4x4 , Land Rover , Defender 110</t>
        </is>
      </c>
      <c r="G3074" t="inlineStr">
        <is>
          <t xml:space="preserve">James Tasker </t>
        </is>
      </c>
      <c r="H3074" t="inlineStr">
        <is>
          <t>4x4</t>
        </is>
      </c>
      <c r="I3074" t="inlineStr">
        <is>
          <t>Daily/ Weekly Vehicle Inspection</t>
        </is>
      </c>
      <c r="J3074" t="inlineStr">
        <is>
          <t>N/A</t>
        </is>
      </c>
      <c r="K3074" t="inlineStr">
        <is>
          <t>7951 Austin Tree Care LTD 1</t>
        </is>
      </c>
      <c r="L3074" t="inlineStr">
        <is>
          <t>09/02/2026 08:12</t>
        </is>
      </c>
      <c r="M3074" t="inlineStr">
        <is>
          <t>None</t>
        </is>
      </c>
      <c r="N3074" t="inlineStr">
        <is>
          <t>&lt;p&gt;&lt;/p&gt;</t>
        </is>
      </c>
      <c r="O3074" t="inlineStr"/>
      <c r="P3074" t="inlineStr">
        <is>
          <t>WG64HTT , 4x4 , Land Rover , Defender 110</t>
        </is>
      </c>
      <c r="Q3074" t="inlineStr">
        <is>
          <t>UKPN</t>
        </is>
      </c>
      <c r="R3074" t="b">
        <v>0</v>
      </c>
    </row>
    <row r="3075">
      <c r="A3075" t="inlineStr">
        <is>
          <t>9 Feb 2026 / 7806 Optimum Tree Services Ltd / Utilities / UKPN</t>
        </is>
      </c>
      <c r="B3075" t="inlineStr">
        <is>
          <t>Utilities</t>
        </is>
      </c>
      <c r="C3075" t="inlineStr">
        <is>
          <t>UKPN</t>
        </is>
      </c>
      <c r="D3075" t="inlineStr">
        <is>
          <t>SA9TAPLAF27414263 , Trailer , Tow Mate , Plant Trailer</t>
        </is>
      </c>
      <c r="E3075" t="inlineStr">
        <is>
          <t>SA9TAPLAF27414263 , Trailer , Tow Mate , Plant Trailer</t>
        </is>
      </c>
      <c r="F3075" t="inlineStr">
        <is>
          <t>SA9TAPLAF27414263 , Trailer , Tow Mate , Plant Trailer</t>
        </is>
      </c>
      <c r="G3075" t="inlineStr">
        <is>
          <t xml:space="preserve">Abraham Davies </t>
        </is>
      </c>
      <c r="H3075" t="inlineStr">
        <is>
          <t>Plant Trailer</t>
        </is>
      </c>
      <c r="I3075" t="inlineStr">
        <is>
          <t>Daily/ Weekly Vehicle Inspection</t>
        </is>
      </c>
      <c r="J3075" t="inlineStr">
        <is>
          <t>N/A</t>
        </is>
      </c>
      <c r="K3075" t="inlineStr">
        <is>
          <t>7806 Optimum Tree Services Ltd</t>
        </is>
      </c>
      <c r="L3075" t="inlineStr">
        <is>
          <t>09/02/2026 08:13</t>
        </is>
      </c>
      <c r="M3075" t="inlineStr">
        <is>
          <t>None</t>
        </is>
      </c>
      <c r="N3075" t="inlineStr">
        <is>
          <t>&lt;p&gt;&lt;/p&gt;</t>
        </is>
      </c>
      <c r="O3075" t="inlineStr"/>
      <c r="P3075" t="inlineStr">
        <is>
          <t>SA9TAPLAF27414263 , Trailer , Tow Mate , Plant Trailer</t>
        </is>
      </c>
      <c r="Q3075" t="inlineStr">
        <is>
          <t>UKPN</t>
        </is>
      </c>
      <c r="R3075" t="b">
        <v>0</v>
      </c>
    </row>
    <row r="3076">
      <c r="A3076" t="inlineStr">
        <is>
          <t>9 Feb 2026 / 7806 Optimum Tree Services Ltd / Utilities / UKPN</t>
        </is>
      </c>
      <c r="B3076" t="inlineStr">
        <is>
          <t>Utilities</t>
        </is>
      </c>
      <c r="C3076" t="inlineStr">
        <is>
          <t>UKPN</t>
        </is>
      </c>
      <c r="D3076" t="inlineStr">
        <is>
          <t>WD14EVB , MEWP , Land Rover , Defender</t>
        </is>
      </c>
      <c r="E3076" t="inlineStr">
        <is>
          <t>WD14EVB , MEWP , Land Rover , Defender</t>
        </is>
      </c>
      <c r="F3076" t="inlineStr">
        <is>
          <t>WD14EVB , MEWP , Land Rover , Defender</t>
        </is>
      </c>
      <c r="G3076" t="inlineStr">
        <is>
          <t xml:space="preserve">Abraham Davies </t>
        </is>
      </c>
      <c r="H3076" t="inlineStr">
        <is>
          <t>4x4</t>
        </is>
      </c>
      <c r="I3076" t="inlineStr">
        <is>
          <t>Daily/ Weekly Vehicle Inspection</t>
        </is>
      </c>
      <c r="J3076" t="inlineStr">
        <is>
          <t>N/A</t>
        </is>
      </c>
      <c r="K3076" t="inlineStr">
        <is>
          <t>7806 Optimum Tree Services Ltd</t>
        </is>
      </c>
      <c r="L3076" t="inlineStr">
        <is>
          <t>09/02/2026 08:15</t>
        </is>
      </c>
      <c r="M3076" t="inlineStr">
        <is>
          <t>None</t>
        </is>
      </c>
      <c r="N3076" t="inlineStr">
        <is>
          <t>&lt;p&gt;&lt;/p&gt;</t>
        </is>
      </c>
      <c r="O3076" t="inlineStr"/>
      <c r="P3076" t="inlineStr">
        <is>
          <t>WD14EVB , MEWP , Land Rover , Defender</t>
        </is>
      </c>
      <c r="Q3076" t="inlineStr">
        <is>
          <t>UKPN</t>
        </is>
      </c>
      <c r="R3076" t="b">
        <v>0</v>
      </c>
    </row>
    <row r="3077">
      <c r="A3077" t="inlineStr">
        <is>
          <t>5 Feb 2026 / 7951 Austin Tree Care LTD 1 / Utilities / UKPN</t>
        </is>
      </c>
      <c r="B3077" t="inlineStr">
        <is>
          <t>Utilities</t>
        </is>
      </c>
      <c r="C3077" t="inlineStr">
        <is>
          <t>UKPN</t>
        </is>
      </c>
      <c r="D3077" t="inlineStr">
        <is>
          <t>WG64HTT , 4x4 , Land Rover , Defender 110</t>
        </is>
      </c>
      <c r="E3077" t="inlineStr">
        <is>
          <t>WG64HTT , 4x4 , Land Rover , Defender 110</t>
        </is>
      </c>
      <c r="F3077" t="inlineStr">
        <is>
          <t>WG64HTT , 4x4 , Land Rover , Defender 110</t>
        </is>
      </c>
      <c r="G3077" t="inlineStr">
        <is>
          <t xml:space="preserve">James Tasker </t>
        </is>
      </c>
      <c r="H3077" t="inlineStr">
        <is>
          <t>4x4</t>
        </is>
      </c>
      <c r="I3077" t="inlineStr">
        <is>
          <t>Daily/ Weekly Vehicle Inspection</t>
        </is>
      </c>
      <c r="J3077" t="inlineStr">
        <is>
          <t>N/A</t>
        </is>
      </c>
      <c r="K3077" t="inlineStr">
        <is>
          <t>7951 Austin Tree Care LTD 1</t>
        </is>
      </c>
      <c r="L3077" t="inlineStr">
        <is>
          <t>09/02/2026 08:16</t>
        </is>
      </c>
      <c r="M3077" t="inlineStr">
        <is>
          <t>None</t>
        </is>
      </c>
      <c r="N3077" t="inlineStr">
        <is>
          <t>&lt;p&gt;&lt;/p&gt;</t>
        </is>
      </c>
      <c r="O3077" t="inlineStr"/>
      <c r="P3077" t="inlineStr">
        <is>
          <t>WG64HTT , 4x4 , Land Rover , Defender 110</t>
        </is>
      </c>
      <c r="Q3077" t="inlineStr">
        <is>
          <t>UKPN</t>
        </is>
      </c>
      <c r="R3077" t="b">
        <v>0</v>
      </c>
    </row>
    <row r="3078">
      <c r="A3078" t="inlineStr">
        <is>
          <t>9 Feb 2026 / Anthony Gale / Utilities / UKPN</t>
        </is>
      </c>
      <c r="B3078" t="inlineStr">
        <is>
          <t>Utilities</t>
        </is>
      </c>
      <c r="C3078" t="inlineStr">
        <is>
          <t>UKPN</t>
        </is>
      </c>
      <c r="D3078" t="inlineStr">
        <is>
          <t>KX20 BCE , Tipper , Isuzu , D-Max</t>
        </is>
      </c>
      <c r="E3078" t="inlineStr">
        <is>
          <t>KX20 BCE , Tipper , Isuzu , D-Max</t>
        </is>
      </c>
      <c r="F3078" t="inlineStr">
        <is>
          <t>KX20 BCE , Tipper , Isuzu , D-Max</t>
        </is>
      </c>
      <c r="G3078" t="inlineStr">
        <is>
          <t xml:space="preserve">Anthony Gale </t>
        </is>
      </c>
      <c r="H3078" t="inlineStr">
        <is>
          <t>Pickup Truck</t>
        </is>
      </c>
      <c r="I3078" t="inlineStr">
        <is>
          <t>Daily/ Weekly Vehicle Inspection</t>
        </is>
      </c>
      <c r="J3078" t="inlineStr">
        <is>
          <t>N/A</t>
        </is>
      </c>
      <c r="K3078" t="inlineStr">
        <is>
          <t>7996 M G Tree Surgery Ltd 1</t>
        </is>
      </c>
      <c r="L3078" t="inlineStr">
        <is>
          <t>09/02/2026 08:19</t>
        </is>
      </c>
      <c r="M3078" t="inlineStr">
        <is>
          <t>None</t>
        </is>
      </c>
      <c r="N3078" t="inlineStr">
        <is>
          <t>&lt;p&gt;&lt;/p&gt;</t>
        </is>
      </c>
      <c r="O3078" t="inlineStr">
        <is>
          <t>Confirm that you have checked this vehicle as per the guidance document and the vehicle is safe and roadworthy:Light board deteriorating.
Safe for now.
Will need replacing soon.
-</t>
        </is>
      </c>
      <c r="P3078" t="inlineStr">
        <is>
          <t>KX20 BCE , Tipper , Isuzu , D-Max</t>
        </is>
      </c>
      <c r="Q3078" t="inlineStr">
        <is>
          <t>UKPN</t>
        </is>
      </c>
      <c r="R3078" t="b">
        <v>0</v>
      </c>
    </row>
    <row r="3079">
      <c r="A3079" t="inlineStr">
        <is>
          <t>9 Feb 2026 / Anthony Gale / Utilities / UKPN</t>
        </is>
      </c>
      <c r="B3079" t="inlineStr">
        <is>
          <t>Utilities</t>
        </is>
      </c>
      <c r="C3079" t="inlineStr">
        <is>
          <t>UKPN</t>
        </is>
      </c>
      <c r="D3079" t="inlineStr"/>
      <c r="E3079" t="inlineStr"/>
      <c r="F3079" t="inlineStr"/>
      <c r="G3079" t="inlineStr">
        <is>
          <t>Anthony Gale</t>
        </is>
      </c>
      <c r="H3079" t="inlineStr">
        <is>
          <t>Towed Chipper</t>
        </is>
      </c>
      <c r="I3079" t="inlineStr">
        <is>
          <t>Daily/ Weekly Vehicle Inspection</t>
        </is>
      </c>
      <c r="J3079" t="inlineStr">
        <is>
          <t>N/A</t>
        </is>
      </c>
      <c r="K3079" t="inlineStr">
        <is>
          <t>7996 M G Tree Surgery Ltd 1</t>
        </is>
      </c>
      <c r="L3079" t="inlineStr">
        <is>
          <t>09/02/2026 08:20</t>
        </is>
      </c>
      <c r="M3079" t="inlineStr">
        <is>
          <t>None</t>
        </is>
      </c>
      <c r="N3079" t="inlineStr">
        <is>
          <t>&lt;p&gt;&lt;/p&gt;</t>
        </is>
      </c>
      <c r="O3079" t="inlineStr"/>
      <c r="P3079" t="inlineStr"/>
      <c r="Q3079" t="inlineStr">
        <is>
          <t>UKPN</t>
        </is>
      </c>
      <c r="R3079" t="b">
        <v>0</v>
      </c>
    </row>
    <row r="3080">
      <c r="A3080" t="inlineStr">
        <is>
          <t>9 Feb 2026 / Joe Sauvage / Utilities / SSE</t>
        </is>
      </c>
      <c r="B3080" t="inlineStr">
        <is>
          <t>Utilities</t>
        </is>
      </c>
      <c r="C3080" t="inlineStr">
        <is>
          <t>SSE</t>
        </is>
      </c>
      <c r="D3080" t="inlineStr">
        <is>
          <t>AK70TBV , Car - Electric , Tesla , Model 3 Long Range AWD</t>
        </is>
      </c>
      <c r="E3080" t="inlineStr">
        <is>
          <t>AK70TBV , Car - Electric , Tesla , Model 3 Long Range AWD</t>
        </is>
      </c>
      <c r="F3080" t="inlineStr">
        <is>
          <t>AK70TBV , Car - Electric , Tesla , Model 3 Long Range AWD</t>
        </is>
      </c>
      <c r="G3080" t="inlineStr">
        <is>
          <t xml:space="preserve">Joe Sauvage </t>
        </is>
      </c>
      <c r="H3080" t="inlineStr">
        <is>
          <t>Car - Electric (GC Owned)</t>
        </is>
      </c>
      <c r="I3080" t="inlineStr">
        <is>
          <t>Daily/ Weekly Vehicle Inspection</t>
        </is>
      </c>
      <c r="J3080" t="inlineStr">
        <is>
          <t>N/A</t>
        </is>
      </c>
      <c r="K3080" t="inlineStr">
        <is>
          <t>Joe Sauvage</t>
        </is>
      </c>
      <c r="L3080" t="inlineStr">
        <is>
          <t>09/02/2026 10:04</t>
        </is>
      </c>
      <c r="M3080" t="inlineStr">
        <is>
          <t>None</t>
        </is>
      </c>
      <c r="N3080" t="inlineStr">
        <is>
          <t>&lt;p&gt;&lt;/p&gt;</t>
        </is>
      </c>
      <c r="O3080" t="inlineStr"/>
      <c r="P3080" t="inlineStr">
        <is>
          <t>AK70TBV , Car - Electric , Tesla , Model 3 Long Range AWD</t>
        </is>
      </c>
      <c r="Q3080" t="inlineStr">
        <is>
          <t>SSE</t>
        </is>
      </c>
      <c r="R3080" t="b">
        <v>0</v>
      </c>
    </row>
    <row r="3081">
      <c r="A3081" t="inlineStr">
        <is>
          <t>9 Feb 2026 / Ben Arnold / Utilities / UKPN</t>
        </is>
      </c>
      <c r="B3081" t="inlineStr">
        <is>
          <t>Utilities</t>
        </is>
      </c>
      <c r="C3081" t="inlineStr">
        <is>
          <t>UKPN</t>
        </is>
      </c>
      <c r="D3081" t="inlineStr">
        <is>
          <t>YX24TXG , Car - Electric , Kia , Niro</t>
        </is>
      </c>
      <c r="E3081" t="inlineStr">
        <is>
          <t>YX24TXG , Car - Electric , Kia , Niro</t>
        </is>
      </c>
      <c r="F3081" t="inlineStr">
        <is>
          <t>YX24TXG , Car - Electric , Kia , Niro</t>
        </is>
      </c>
      <c r="G3081" t="inlineStr">
        <is>
          <t>B. Arnold</t>
        </is>
      </c>
      <c r="H3081" t="inlineStr">
        <is>
          <t>Car - Electric (GC Owned)</t>
        </is>
      </c>
      <c r="I3081" t="inlineStr">
        <is>
          <t>Daily/ Weekly Vehicle Inspection</t>
        </is>
      </c>
      <c r="J3081" t="inlineStr">
        <is>
          <t>N/A</t>
        </is>
      </c>
      <c r="K3081" t="inlineStr">
        <is>
          <t>Ben Arnold</t>
        </is>
      </c>
      <c r="L3081" t="inlineStr">
        <is>
          <t>09/02/2026 11:03</t>
        </is>
      </c>
      <c r="M3081" t="inlineStr">
        <is>
          <t>None</t>
        </is>
      </c>
      <c r="N3081" t="inlineStr">
        <is>
          <t>&lt;p&gt;&lt;/p&gt;</t>
        </is>
      </c>
      <c r="O3081" t="inlineStr"/>
      <c r="P3081" t="inlineStr">
        <is>
          <t>YX24TXG , Car - Electric , Kia , Niro</t>
        </is>
      </c>
      <c r="Q3081" t="inlineStr">
        <is>
          <t>UKPN</t>
        </is>
      </c>
      <c r="R3081" t="b">
        <v>0</v>
      </c>
    </row>
    <row r="3082">
      <c r="A3082" t="inlineStr">
        <is>
          <t>9 Feb 2026 / Timbo Franklin M G Tree Surgery Ltd / Utilities / UKPN</t>
        </is>
      </c>
      <c r="B3082" t="inlineStr">
        <is>
          <t>Utilities</t>
        </is>
      </c>
      <c r="C3082" t="inlineStr">
        <is>
          <t>UKPN</t>
        </is>
      </c>
      <c r="D3082" t="inlineStr">
        <is>
          <t>GU13 WNL , MEWP , Land Rover , Defender 130</t>
        </is>
      </c>
      <c r="E3082" t="inlineStr">
        <is>
          <t>GU13 WNL , MEWP , Land Rover , Defender 130</t>
        </is>
      </c>
      <c r="F3082" t="inlineStr">
        <is>
          <t>GU13 WNL , MEWP , Land Rover , Defender 130</t>
        </is>
      </c>
      <c r="G3082" t="inlineStr">
        <is>
          <t>Tim Franklin</t>
        </is>
      </c>
      <c r="H3082" t="inlineStr">
        <is>
          <t>4x4</t>
        </is>
      </c>
      <c r="I3082" t="inlineStr">
        <is>
          <t>Daily/ Weekly Vehicle Inspection</t>
        </is>
      </c>
      <c r="J3082" t="inlineStr">
        <is>
          <t>N/A</t>
        </is>
      </c>
      <c r="K3082" t="inlineStr">
        <is>
          <t>7996 M G Tree Surgery Ltd 2</t>
        </is>
      </c>
      <c r="L3082" t="inlineStr">
        <is>
          <t>09/02/2026 11:03</t>
        </is>
      </c>
      <c r="M3082" t="inlineStr">
        <is>
          <t>None</t>
        </is>
      </c>
      <c r="N3082" t="inlineStr">
        <is>
          <t>&lt;p&gt;&lt;/p&gt;</t>
        </is>
      </c>
      <c r="O3082" t="inlineStr"/>
      <c r="P3082" t="inlineStr">
        <is>
          <t>GU13 WNL , MEWP , Land Rover , Defender 130</t>
        </is>
      </c>
      <c r="Q3082" t="inlineStr">
        <is>
          <t>UKPN</t>
        </is>
      </c>
      <c r="R3082" t="b">
        <v>0</v>
      </c>
    </row>
    <row r="3083">
      <c r="A3083" t="inlineStr">
        <is>
          <t>9 Feb 2026 / 3098 D &amp; R Landscapes / Utilities / UKPN</t>
        </is>
      </c>
      <c r="B3083" t="inlineStr">
        <is>
          <t>Utilities</t>
        </is>
      </c>
      <c r="C3083" t="inlineStr">
        <is>
          <t>UKPN</t>
        </is>
      </c>
      <c r="D3083" t="inlineStr">
        <is>
          <t>BT20 GNZ , Vehicle , Nissan , Navara</t>
        </is>
      </c>
      <c r="E3083" t="inlineStr">
        <is>
          <t>BT20 GNZ , Vehicle , Nissan , Navara</t>
        </is>
      </c>
      <c r="F3083" t="inlineStr">
        <is>
          <t>BT20 GNZ , Vehicle , Nissan , Navara</t>
        </is>
      </c>
      <c r="G3083" t="inlineStr">
        <is>
          <t>Jason</t>
        </is>
      </c>
      <c r="H3083" t="inlineStr">
        <is>
          <t>Pickup Truck</t>
        </is>
      </c>
      <c r="I3083" t="inlineStr">
        <is>
          <t>Daily/ Weekly Vehicle Inspection</t>
        </is>
      </c>
      <c r="J3083" t="inlineStr">
        <is>
          <t>N/A</t>
        </is>
      </c>
      <c r="K3083" t="inlineStr">
        <is>
          <t>3098 D &amp; R Landscapes</t>
        </is>
      </c>
      <c r="L3083" t="inlineStr">
        <is>
          <t>09/02/2026 11:06</t>
        </is>
      </c>
      <c r="M3083" t="inlineStr">
        <is>
          <t>None</t>
        </is>
      </c>
      <c r="N3083" t="inlineStr">
        <is>
          <t>&lt;p&gt;&lt;/p&gt;</t>
        </is>
      </c>
      <c r="O3083" t="inlineStr"/>
      <c r="P3083" t="inlineStr">
        <is>
          <t>BT20 GNZ , Vehicle , Nissan , Navara</t>
        </is>
      </c>
      <c r="Q3083" t="inlineStr">
        <is>
          <t>UKPN</t>
        </is>
      </c>
      <c r="R3083" t="b">
        <v>0</v>
      </c>
    </row>
    <row r="3084">
      <c r="A3084" t="inlineStr">
        <is>
          <t>9 Feb 2026 / Ashley Marples / Utilities / NGED</t>
        </is>
      </c>
      <c r="B3084" t="inlineStr">
        <is>
          <t>Utilities</t>
        </is>
      </c>
      <c r="C3084" t="inlineStr">
        <is>
          <t>NGED</t>
        </is>
      </c>
      <c r="D3084" t="inlineStr">
        <is>
          <t>GJ71KAU , Car - Electric , Tesla , Model 3 Long Range AWD</t>
        </is>
      </c>
      <c r="E3084" t="inlineStr">
        <is>
          <t>GJ71KAU , Car - Electric , Tesla , Model 3 Long Range AWD</t>
        </is>
      </c>
      <c r="F3084" t="inlineStr">
        <is>
          <t>GJ71KAU , Car - Electric , Tesla , Model 3 Long Range AWD</t>
        </is>
      </c>
      <c r="G3084" t="inlineStr">
        <is>
          <t xml:space="preserve">Ashley Marples </t>
        </is>
      </c>
      <c r="H3084" t="inlineStr">
        <is>
          <t>Car - Electric (GC Owned)</t>
        </is>
      </c>
      <c r="I3084" t="inlineStr">
        <is>
          <t>Daily/ Weekly Vehicle Inspection</t>
        </is>
      </c>
      <c r="J3084" t="inlineStr">
        <is>
          <t>N/A</t>
        </is>
      </c>
      <c r="K3084" t="inlineStr">
        <is>
          <t>Ashley Marples</t>
        </is>
      </c>
      <c r="L3084" t="inlineStr">
        <is>
          <t>09/02/2026 21:03</t>
        </is>
      </c>
      <c r="M3084" t="inlineStr">
        <is>
          <t>None</t>
        </is>
      </c>
      <c r="N3084" t="inlineStr">
        <is>
          <t>&lt;p&gt;&lt;/p&gt;</t>
        </is>
      </c>
      <c r="O3084" t="inlineStr"/>
      <c r="P3084" t="inlineStr">
        <is>
          <t>GJ71KAU , Car - Electric , Tesla , Model 3 Long Range AWD</t>
        </is>
      </c>
      <c r="Q3084" t="inlineStr">
        <is>
          <t>NGED</t>
        </is>
      </c>
      <c r="R3084" t="b">
        <v>0</v>
      </c>
    </row>
    <row r="3085">
      <c r="A3085" t="inlineStr">
        <is>
          <t>10 Feb 2026 / 6617 Ashdown Tree Limited 1 / Utilities / UKPN</t>
        </is>
      </c>
      <c r="B3085" t="inlineStr">
        <is>
          <t>Utilities</t>
        </is>
      </c>
      <c r="C3085" t="inlineStr">
        <is>
          <t>UKPN</t>
        </is>
      </c>
      <c r="D3085" t="inlineStr">
        <is>
          <t>WF11EJJ , Vehicle , Land Rover , Discovery</t>
        </is>
      </c>
      <c r="E3085" t="inlineStr">
        <is>
          <t>WF11EJJ , Vehicle , Land Rover , Discovery</t>
        </is>
      </c>
      <c r="F3085" t="inlineStr">
        <is>
          <t>WF11EJJ , Vehicle , Land Rover , Discovery</t>
        </is>
      </c>
      <c r="G3085" t="inlineStr">
        <is>
          <t>Dan</t>
        </is>
      </c>
      <c r="H3085" t="inlineStr">
        <is>
          <t>4x4</t>
        </is>
      </c>
      <c r="I3085" t="inlineStr">
        <is>
          <t>Daily/ Weekly Vehicle Inspection</t>
        </is>
      </c>
      <c r="J3085" t="inlineStr">
        <is>
          <t>N/A</t>
        </is>
      </c>
      <c r="K3085" t="inlineStr">
        <is>
          <t>6617 Ashdown Tree Limited - Team 2</t>
        </is>
      </c>
      <c r="L3085" t="inlineStr">
        <is>
          <t>10/02/2026 07:03</t>
        </is>
      </c>
      <c r="M3085" t="inlineStr">
        <is>
          <t>None</t>
        </is>
      </c>
      <c r="N3085" t="inlineStr">
        <is>
          <t>&lt;p&gt;&lt;/p&gt;</t>
        </is>
      </c>
      <c r="O3085" t="inlineStr"/>
      <c r="P3085" t="inlineStr">
        <is>
          <t>WF11EJJ , Vehicle , Land Rover , Discovery</t>
        </is>
      </c>
      <c r="Q3085" t="inlineStr">
        <is>
          <t>UKPN</t>
        </is>
      </c>
      <c r="R3085" t="b">
        <v>0</v>
      </c>
    </row>
    <row r="3086">
      <c r="A3086" t="inlineStr">
        <is>
          <t>10 Feb 2026 / 7806 Optimum Tree Services Ltd / Utilities / UKPN</t>
        </is>
      </c>
      <c r="B3086" t="inlineStr">
        <is>
          <t>Utilities</t>
        </is>
      </c>
      <c r="C3086" t="inlineStr">
        <is>
          <t>UKPN</t>
        </is>
      </c>
      <c r="D3086" t="inlineStr">
        <is>
          <t>WD14EVB , MEWP , Land Rover , Defender</t>
        </is>
      </c>
      <c r="E3086" t="inlineStr">
        <is>
          <t>WD14EVB , MEWP , Land Rover , Defender</t>
        </is>
      </c>
      <c r="F3086" t="inlineStr">
        <is>
          <t>WD14EVB , MEWP , Land Rover , Defender</t>
        </is>
      </c>
      <c r="G3086" t="inlineStr">
        <is>
          <t xml:space="preserve">Abraham Davies </t>
        </is>
      </c>
      <c r="H3086" t="inlineStr">
        <is>
          <t>4x4</t>
        </is>
      </c>
      <c r="I3086" t="inlineStr">
        <is>
          <t>Daily/ Weekly Vehicle Inspection</t>
        </is>
      </c>
      <c r="J3086" t="inlineStr">
        <is>
          <t>N/A</t>
        </is>
      </c>
      <c r="K3086" t="inlineStr">
        <is>
          <t>7806 Optimum Tree Services Ltd</t>
        </is>
      </c>
      <c r="L3086" t="inlineStr">
        <is>
          <t>10/02/2026 08:03</t>
        </is>
      </c>
      <c r="M3086" t="inlineStr">
        <is>
          <t>None</t>
        </is>
      </c>
      <c r="N3086" t="inlineStr">
        <is>
          <t>&lt;p&gt;&lt;/p&gt;</t>
        </is>
      </c>
      <c r="O3086" t="inlineStr"/>
      <c r="P3086" t="inlineStr">
        <is>
          <t>WD14EVB , MEWP , Land Rover , Defender</t>
        </is>
      </c>
      <c r="Q3086" t="inlineStr">
        <is>
          <t>UKPN</t>
        </is>
      </c>
      <c r="R3086" t="b">
        <v>0</v>
      </c>
    </row>
    <row r="3087">
      <c r="A3087" t="inlineStr">
        <is>
          <t>10 Feb 2026 / Thomas Playford / Utilities / UKPN</t>
        </is>
      </c>
      <c r="B3087" t="inlineStr">
        <is>
          <t>Utilities</t>
        </is>
      </c>
      <c r="C3087" t="inlineStr">
        <is>
          <t>UKPN</t>
        </is>
      </c>
      <c r="D3087" t="inlineStr">
        <is>
          <t>SA9ST800000283944 , Towed Chipper , Forst , ST8D - Towed</t>
        </is>
      </c>
      <c r="E3087" t="inlineStr">
        <is>
          <t>SA9ST800000283944 , Towed Chipper , Forst , ST8D - Towed</t>
        </is>
      </c>
      <c r="F3087" t="inlineStr">
        <is>
          <t>SA9ST800000283944 , Towed Chipper , Forst , ST8D - Towed</t>
        </is>
      </c>
      <c r="G3087" t="inlineStr">
        <is>
          <t>Thomas Playford</t>
        </is>
      </c>
      <c r="H3087" t="inlineStr">
        <is>
          <t>Towed Chipper</t>
        </is>
      </c>
      <c r="I3087" t="inlineStr">
        <is>
          <t>Daily/ Weekly Vehicle Inspection</t>
        </is>
      </c>
      <c r="J3087" t="inlineStr">
        <is>
          <t>N/A</t>
        </is>
      </c>
      <c r="K3087" t="inlineStr">
        <is>
          <t>7995 Green Net Eco Ltd 2</t>
        </is>
      </c>
      <c r="L3087" t="inlineStr">
        <is>
          <t>10/02/2026 08:04</t>
        </is>
      </c>
      <c r="M3087" t="inlineStr">
        <is>
          <t>None</t>
        </is>
      </c>
      <c r="N3087" t="inlineStr">
        <is>
          <t>&lt;p&gt;&lt;/p&gt;</t>
        </is>
      </c>
      <c r="O3087" t="inlineStr"/>
      <c r="P3087" t="inlineStr">
        <is>
          <t>SA9ST800000283944 , Towed Chipper , Forst , ST8D - Towed</t>
        </is>
      </c>
      <c r="Q3087" t="inlineStr">
        <is>
          <t>UKPN</t>
        </is>
      </c>
      <c r="R3087" t="b">
        <v>0</v>
      </c>
    </row>
    <row r="3088">
      <c r="A3088" t="inlineStr">
        <is>
          <t>10 Feb 2026 / 7951 Austin Tree Care LTD / Utilities / UKPN</t>
        </is>
      </c>
      <c r="B3088" t="inlineStr">
        <is>
          <t>Utilities</t>
        </is>
      </c>
      <c r="C3088" t="inlineStr">
        <is>
          <t>UKPN</t>
        </is>
      </c>
      <c r="D3088" t="inlineStr">
        <is>
          <t>WG64HTT , 4x4 , Land Rover , Defender 110</t>
        </is>
      </c>
      <c r="E3088" t="inlineStr">
        <is>
          <t>WG64HTT , 4x4 , Land Rover , Defender 110</t>
        </is>
      </c>
      <c r="F3088" t="inlineStr">
        <is>
          <t>WG64HTT , 4x4 , Land Rover , Defender 110</t>
        </is>
      </c>
      <c r="G3088" t="inlineStr">
        <is>
          <t xml:space="preserve">Jack Austin </t>
        </is>
      </c>
      <c r="H3088" t="inlineStr">
        <is>
          <t>4x4</t>
        </is>
      </c>
      <c r="I3088" t="inlineStr">
        <is>
          <t>Daily/ Weekly Vehicle Inspection</t>
        </is>
      </c>
      <c r="J3088" t="inlineStr">
        <is>
          <t>N/A</t>
        </is>
      </c>
      <c r="K3088" t="inlineStr">
        <is>
          <t>7951 Austin Tree Care LTD</t>
        </is>
      </c>
      <c r="L3088" t="inlineStr">
        <is>
          <t>10/02/2026 08:08</t>
        </is>
      </c>
      <c r="M3088" t="inlineStr">
        <is>
          <t>None</t>
        </is>
      </c>
      <c r="N3088" t="inlineStr">
        <is>
          <t>&lt;p&gt;&lt;/p&gt;</t>
        </is>
      </c>
      <c r="O3088" t="inlineStr"/>
      <c r="P3088" t="inlineStr">
        <is>
          <t>WG64HTT , 4x4 , Land Rover , Defender 110</t>
        </is>
      </c>
      <c r="Q3088" t="inlineStr">
        <is>
          <t>UKPN</t>
        </is>
      </c>
      <c r="R3088" t="b">
        <v>0</v>
      </c>
    </row>
    <row r="3089">
      <c r="A3089" t="inlineStr">
        <is>
          <t>10 Feb 2026 / Thomas Playford / Utilities / UKPN</t>
        </is>
      </c>
      <c r="B3089" t="inlineStr">
        <is>
          <t>Utilities</t>
        </is>
      </c>
      <c r="C3089" t="inlineStr">
        <is>
          <t>UKPN</t>
        </is>
      </c>
      <c r="D3089" t="inlineStr">
        <is>
          <t>LK15KRZ , 4x4 , Landrover , Defender</t>
        </is>
      </c>
      <c r="E3089" t="inlineStr">
        <is>
          <t>LK15KRZ , 4x4 , Landrover , Defender</t>
        </is>
      </c>
      <c r="F3089" t="inlineStr">
        <is>
          <t>LK15KRZ , 4x4 , Landrover , Defender</t>
        </is>
      </c>
      <c r="G3089" t="inlineStr">
        <is>
          <t>Tom Playford</t>
        </is>
      </c>
      <c r="H3089" t="inlineStr">
        <is>
          <t>4x4</t>
        </is>
      </c>
      <c r="I3089" t="inlineStr">
        <is>
          <t>Daily/ Weekly Vehicle Inspection</t>
        </is>
      </c>
      <c r="J3089" t="inlineStr">
        <is>
          <t>N/A</t>
        </is>
      </c>
      <c r="K3089" t="inlineStr">
        <is>
          <t>7995 Green Net Eco Ltd 2</t>
        </is>
      </c>
      <c r="L3089" t="inlineStr">
        <is>
          <t>10/02/2026 08:09</t>
        </is>
      </c>
      <c r="M3089" t="inlineStr">
        <is>
          <t>None</t>
        </is>
      </c>
      <c r="N3089" t="inlineStr">
        <is>
          <t>&lt;p&gt;&lt;/p&gt;</t>
        </is>
      </c>
      <c r="O3089" t="inlineStr"/>
      <c r="P3089" t="inlineStr">
        <is>
          <t>LK15KRZ , 4x4 , Landrover , Defender</t>
        </is>
      </c>
      <c r="Q3089" t="inlineStr">
        <is>
          <t>UKPN</t>
        </is>
      </c>
      <c r="R3089" t="b">
        <v>0</v>
      </c>
    </row>
    <row r="3090">
      <c r="A3090" t="inlineStr">
        <is>
          <t>10 Feb 2026 / 3098 D &amp; R Landscapes / Utilities / UKPN</t>
        </is>
      </c>
      <c r="B3090" t="inlineStr">
        <is>
          <t>Utilities</t>
        </is>
      </c>
      <c r="C3090" t="inlineStr">
        <is>
          <t>UKPN</t>
        </is>
      </c>
      <c r="D3090" t="inlineStr">
        <is>
          <t>BT20 GNZ , Vehicle , Nissan , Navara</t>
        </is>
      </c>
      <c r="E3090" t="inlineStr">
        <is>
          <t>BT20 GNZ , Vehicle , Nissan , Navara</t>
        </is>
      </c>
      <c r="F3090" t="inlineStr">
        <is>
          <t>BT20 GNZ , Vehicle , Nissan , Navara</t>
        </is>
      </c>
      <c r="G3090" t="inlineStr">
        <is>
          <t>Jason</t>
        </is>
      </c>
      <c r="H3090" t="inlineStr">
        <is>
          <t>Pickup Truck</t>
        </is>
      </c>
      <c r="I3090" t="inlineStr">
        <is>
          <t>Daily/ Weekly Vehicle Inspection</t>
        </is>
      </c>
      <c r="J3090" t="inlineStr">
        <is>
          <t>N/A</t>
        </is>
      </c>
      <c r="K3090" t="inlineStr">
        <is>
          <t>3098 D &amp; R Landscapes</t>
        </is>
      </c>
      <c r="L3090" t="inlineStr">
        <is>
          <t>10/02/2026 09:04</t>
        </is>
      </c>
      <c r="M3090" t="inlineStr">
        <is>
          <t>None</t>
        </is>
      </c>
      <c r="N3090" t="inlineStr">
        <is>
          <t>&lt;p&gt;&lt;/p&gt;</t>
        </is>
      </c>
      <c r="O3090" t="inlineStr"/>
      <c r="P3090" t="inlineStr">
        <is>
          <t>BT20 GNZ , Vehicle , Nissan , Navara</t>
        </is>
      </c>
      <c r="Q3090" t="inlineStr">
        <is>
          <t>UKPN</t>
        </is>
      </c>
      <c r="R3090" t="b">
        <v>0</v>
      </c>
    </row>
    <row r="3091">
      <c r="A3091" t="inlineStr">
        <is>
          <t>10 Feb 2026 / 3098 D &amp; R Landscapes / Utilities / UKPN</t>
        </is>
      </c>
      <c r="B3091" t="inlineStr">
        <is>
          <t>Utilities</t>
        </is>
      </c>
      <c r="C3091" t="inlineStr">
        <is>
          <t>UKPN</t>
        </is>
      </c>
      <c r="D3091" t="inlineStr">
        <is>
          <t>DE68XHA , Tipper , Isuzu , Grafter</t>
        </is>
      </c>
      <c r="E3091" t="inlineStr">
        <is>
          <t>DE68XHA , Tipper , Isuzu , Grafter</t>
        </is>
      </c>
      <c r="F3091" t="inlineStr">
        <is>
          <t>DE68XHA , Tipper , Isuzu , Grafter</t>
        </is>
      </c>
      <c r="G3091" t="inlineStr">
        <is>
          <t>Josh</t>
        </is>
      </c>
      <c r="H3091" t="inlineStr">
        <is>
          <t>Tipper</t>
        </is>
      </c>
      <c r="I3091" t="inlineStr">
        <is>
          <t>Daily/ Weekly Vehicle Inspection</t>
        </is>
      </c>
      <c r="J3091" t="inlineStr">
        <is>
          <t>N/A</t>
        </is>
      </c>
      <c r="K3091" t="inlineStr">
        <is>
          <t>3098 D &amp; R Landscapes</t>
        </is>
      </c>
      <c r="L3091" t="inlineStr">
        <is>
          <t>10/02/2026 09:05</t>
        </is>
      </c>
      <c r="M3091" t="inlineStr">
        <is>
          <t>None</t>
        </is>
      </c>
      <c r="N3091" t="inlineStr">
        <is>
          <t>&lt;p&gt;&lt;/p&gt;</t>
        </is>
      </c>
      <c r="O3091" t="inlineStr"/>
      <c r="P3091" t="inlineStr">
        <is>
          <t>DE68XHA , Tipper , Isuzu , Grafter</t>
        </is>
      </c>
      <c r="Q3091" t="inlineStr">
        <is>
          <t>UKPN</t>
        </is>
      </c>
      <c r="R3091" t="b">
        <v>0</v>
      </c>
    </row>
    <row r="3092">
      <c r="A3092" t="inlineStr">
        <is>
          <t>10 Feb 2026 / 8148 Hope Ground and Tree Care / Utilities / UKPN</t>
        </is>
      </c>
      <c r="B3092" t="inlineStr">
        <is>
          <t>Utilities</t>
        </is>
      </c>
      <c r="C3092" t="inlineStr">
        <is>
          <t>UKPN</t>
        </is>
      </c>
      <c r="D3092" t="inlineStr">
        <is>
          <t>S6 NWX , MEWP , Isuzu , D-Max</t>
        </is>
      </c>
      <c r="E3092" t="inlineStr">
        <is>
          <t>S6 NWX , MEWP , Isuzu , D-Max</t>
        </is>
      </c>
      <c r="F3092" t="inlineStr">
        <is>
          <t>S6 NWX , MEWP , Isuzu , D-Max</t>
        </is>
      </c>
      <c r="G3092" t="inlineStr">
        <is>
          <t>A Hope</t>
        </is>
      </c>
      <c r="H3092" t="inlineStr">
        <is>
          <t>4x4</t>
        </is>
      </c>
      <c r="I3092" t="inlineStr">
        <is>
          <t>Daily/ Weekly Vehicle Inspection</t>
        </is>
      </c>
      <c r="J3092" t="inlineStr">
        <is>
          <t>N/A</t>
        </is>
      </c>
      <c r="K3092" t="inlineStr">
        <is>
          <t>8148 Hope Ground and Tree Care</t>
        </is>
      </c>
      <c r="L3092" t="inlineStr">
        <is>
          <t>10/02/2026 09:07</t>
        </is>
      </c>
      <c r="M3092" t="inlineStr">
        <is>
          <t>None</t>
        </is>
      </c>
      <c r="N3092" t="inlineStr">
        <is>
          <t>&lt;p&gt;&lt;/p&gt;</t>
        </is>
      </c>
      <c r="O3092" t="inlineStr"/>
      <c r="P3092" t="inlineStr">
        <is>
          <t>S6 NWX , MEWP , Isuzu , D-Max</t>
        </is>
      </c>
      <c r="Q3092" t="inlineStr">
        <is>
          <t>UKPN</t>
        </is>
      </c>
      <c r="R3092" t="b">
        <v>0</v>
      </c>
    </row>
    <row r="3093">
      <c r="A3093" t="inlineStr">
        <is>
          <t>10 Feb 2026 / 7800 MAC Tree Surgery and Fencing Ltd / Utilities / UKPN</t>
        </is>
      </c>
      <c r="B3093" t="inlineStr">
        <is>
          <t>Utilities</t>
        </is>
      </c>
      <c r="C3093" t="inlineStr">
        <is>
          <t>UKPN</t>
        </is>
      </c>
      <c r="D3093" t="inlineStr">
        <is>
          <t>Plant Trailer - Towmate - 2.8t - 0</t>
        </is>
      </c>
      <c r="E3093" t="inlineStr">
        <is>
          <t>Plant Trailer - Towmate - 2.8t - 0</t>
        </is>
      </c>
      <c r="F3093" t="inlineStr">
        <is>
          <t>Plant Trailer - Towmate - 2.8t - 0</t>
        </is>
      </c>
      <c r="G3093" t="inlineStr">
        <is>
          <t>Lewis mac</t>
        </is>
      </c>
      <c r="H3093" t="inlineStr">
        <is>
          <t>Plant Trailer</t>
        </is>
      </c>
      <c r="I3093" t="inlineStr">
        <is>
          <t>Daily/ Weekly Vehicle Inspection</t>
        </is>
      </c>
      <c r="J3093" t="inlineStr">
        <is>
          <t>N/A</t>
        </is>
      </c>
      <c r="K3093" t="inlineStr">
        <is>
          <t>7800 MAC Tree Surgery and Fencing Ltd</t>
        </is>
      </c>
      <c r="L3093" t="inlineStr">
        <is>
          <t>10/02/2026 09:09</t>
        </is>
      </c>
      <c r="M3093" t="inlineStr">
        <is>
          <t>None</t>
        </is>
      </c>
      <c r="N3093" t="inlineStr">
        <is>
          <t>&lt;p&gt;&lt;/p&gt;</t>
        </is>
      </c>
      <c r="O3093" t="inlineStr"/>
      <c r="P3093" t="inlineStr">
        <is>
          <t>Plant Trailer - Towmate - 2.8t - 0</t>
        </is>
      </c>
      <c r="Q3093" t="inlineStr">
        <is>
          <t>UKPN</t>
        </is>
      </c>
      <c r="R3093" t="b">
        <v>0</v>
      </c>
    </row>
    <row r="3094">
      <c r="A3094" t="inlineStr">
        <is>
          <t>10 Feb 2026 / 7800 MAC Tree Surgery and Fencing Ltd / Utilities / UKPN</t>
        </is>
      </c>
      <c r="B3094" t="inlineStr">
        <is>
          <t>Utilities</t>
        </is>
      </c>
      <c r="C3094" t="inlineStr">
        <is>
          <t>UKPN</t>
        </is>
      </c>
      <c r="D3094" t="inlineStr">
        <is>
          <t>AY68DAA , 4x4 , Izuzu , Dmax</t>
        </is>
      </c>
      <c r="E3094" t="inlineStr">
        <is>
          <t>AY68DAA , 4x4 , Izuzu , Dmax</t>
        </is>
      </c>
      <c r="F3094" t="inlineStr">
        <is>
          <t>AY68DAA , 4x4 , Izuzu , Dmax</t>
        </is>
      </c>
      <c r="G3094" t="inlineStr">
        <is>
          <t xml:space="preserve">Patrick O'Shea </t>
        </is>
      </c>
      <c r="H3094" t="inlineStr">
        <is>
          <t>4x4</t>
        </is>
      </c>
      <c r="I3094" t="inlineStr">
        <is>
          <t>Daily/ Weekly Vehicle Inspection</t>
        </is>
      </c>
      <c r="J3094" t="inlineStr">
        <is>
          <t>N/A</t>
        </is>
      </c>
      <c r="K3094" t="inlineStr">
        <is>
          <t>7800 MAC Tree Surgery and Fencing Ltd</t>
        </is>
      </c>
      <c r="L3094" t="inlineStr">
        <is>
          <t>10/02/2026 09:09</t>
        </is>
      </c>
      <c r="M3094" t="inlineStr">
        <is>
          <t>None</t>
        </is>
      </c>
      <c r="N3094" t="inlineStr">
        <is>
          <t>&lt;p&gt;&lt;/p&gt;</t>
        </is>
      </c>
      <c r="O3094" t="inlineStr"/>
      <c r="P3094" t="inlineStr">
        <is>
          <t>AY68DAA , 4x4 , Izuzu , Dmax</t>
        </is>
      </c>
      <c r="Q3094" t="inlineStr">
        <is>
          <t>UKPN</t>
        </is>
      </c>
      <c r="R3094" t="b">
        <v>0</v>
      </c>
    </row>
    <row r="3095">
      <c r="A3095" t="inlineStr">
        <is>
          <t>10 Feb 2026 / Thomas Nandi / Utilities / SSE</t>
        </is>
      </c>
      <c r="B3095" t="inlineStr">
        <is>
          <t>Utilities</t>
        </is>
      </c>
      <c r="C3095" t="inlineStr">
        <is>
          <t>SSE</t>
        </is>
      </c>
      <c r="D3095" t="inlineStr"/>
      <c r="E3095" t="inlineStr"/>
      <c r="F3095" t="inlineStr"/>
      <c r="G3095" t="inlineStr">
        <is>
          <t xml:space="preserve">Tom Nandi </t>
        </is>
      </c>
      <c r="H3095" t="inlineStr">
        <is>
          <t>Car - Petrol</t>
        </is>
      </c>
      <c r="I3095" t="inlineStr">
        <is>
          <t>Daily/ Weekly Vehicle Inspection</t>
        </is>
      </c>
      <c r="J3095" t="inlineStr">
        <is>
          <t>N/A</t>
        </is>
      </c>
      <c r="K3095" t="inlineStr">
        <is>
          <t>Thomas Nandi</t>
        </is>
      </c>
      <c r="L3095" t="inlineStr">
        <is>
          <t>10/02/2026 09:10</t>
        </is>
      </c>
      <c r="M3095" t="inlineStr">
        <is>
          <t>None</t>
        </is>
      </c>
      <c r="N3095" t="inlineStr">
        <is>
          <t>&lt;p&gt;&lt;/p&gt;</t>
        </is>
      </c>
      <c r="O3095" t="inlineStr"/>
      <c r="P3095" t="inlineStr"/>
      <c r="Q3095" t="inlineStr">
        <is>
          <t>SSE</t>
        </is>
      </c>
      <c r="R3095" t="b">
        <v>0</v>
      </c>
    </row>
    <row r="3096">
      <c r="A3096" t="inlineStr">
        <is>
          <t>10 Feb 2026 / Harry Bellis / Utilities / SSE</t>
        </is>
      </c>
      <c r="B3096" t="inlineStr">
        <is>
          <t>Utilities</t>
        </is>
      </c>
      <c r="C3096" t="inlineStr">
        <is>
          <t>SSE</t>
        </is>
      </c>
      <c r="D3096" t="inlineStr">
        <is>
          <t>EO73KUG , Car - Electric , Kia , Niro</t>
        </is>
      </c>
      <c r="E3096" t="inlineStr">
        <is>
          <t>EO73KUG , Car - Electric , Kia , Niro</t>
        </is>
      </c>
      <c r="F3096" t="inlineStr">
        <is>
          <t>EO73KUG , Car - Electric , Kia , Niro</t>
        </is>
      </c>
      <c r="G3096" t="inlineStr">
        <is>
          <t>Harry Bellis</t>
        </is>
      </c>
      <c r="H3096" t="inlineStr">
        <is>
          <t>Car - Electric (GC Owned)</t>
        </is>
      </c>
      <c r="I3096" t="inlineStr">
        <is>
          <t>Daily/ Weekly Vehicle Inspection</t>
        </is>
      </c>
      <c r="J3096" t="inlineStr">
        <is>
          <t>N/A</t>
        </is>
      </c>
      <c r="K3096" t="inlineStr">
        <is>
          <t>Harry Bellis</t>
        </is>
      </c>
      <c r="L3096" t="inlineStr">
        <is>
          <t>10/02/2026 11:03</t>
        </is>
      </c>
      <c r="M3096" t="inlineStr">
        <is>
          <t>None</t>
        </is>
      </c>
      <c r="N3096" t="inlineStr">
        <is>
          <t>&lt;p&gt;&lt;/p&gt;</t>
        </is>
      </c>
      <c r="O3096" t="inlineStr"/>
      <c r="P3096" t="inlineStr">
        <is>
          <t>EO73KUG , Car - Electric , Kia , Niro</t>
        </is>
      </c>
      <c r="Q3096" t="inlineStr">
        <is>
          <t>SSE</t>
        </is>
      </c>
      <c r="R3096" t="b">
        <v>0</v>
      </c>
    </row>
    <row r="3097">
      <c r="A3097" t="inlineStr">
        <is>
          <t>10 Feb 2026 / 6617 Ashdown Tree Limited 1 / Utilities / UKPN</t>
        </is>
      </c>
      <c r="B3097" t="inlineStr">
        <is>
          <t>Utilities</t>
        </is>
      </c>
      <c r="C3097" t="inlineStr">
        <is>
          <t>UKPN</t>
        </is>
      </c>
      <c r="D3097" t="inlineStr">
        <is>
          <t>WF11EJJ , Vehicle , Land Rover , Discovery</t>
        </is>
      </c>
      <c r="E3097" t="inlineStr">
        <is>
          <t>WF11EJJ , Vehicle , Land Rover , Discovery</t>
        </is>
      </c>
      <c r="F3097" t="inlineStr">
        <is>
          <t>WF11EJJ , Vehicle , Land Rover , Discovery</t>
        </is>
      </c>
      <c r="G3097" t="inlineStr">
        <is>
          <t>Dan</t>
        </is>
      </c>
      <c r="H3097" t="inlineStr">
        <is>
          <t>4x4</t>
        </is>
      </c>
      <c r="I3097" t="inlineStr">
        <is>
          <t>Daily/ Weekly Vehicle Inspection</t>
        </is>
      </c>
      <c r="J3097" t="inlineStr">
        <is>
          <t>N/A</t>
        </is>
      </c>
      <c r="K3097" t="inlineStr">
        <is>
          <t>6617 Ashdown Tree Limited - Team 2</t>
        </is>
      </c>
      <c r="L3097" t="inlineStr">
        <is>
          <t>10/02/2026 14:04</t>
        </is>
      </c>
      <c r="M3097" t="inlineStr">
        <is>
          <t>None</t>
        </is>
      </c>
      <c r="N3097" t="inlineStr">
        <is>
          <t>&lt;p&gt;&lt;/p&gt;</t>
        </is>
      </c>
      <c r="O3097" t="inlineStr"/>
      <c r="P3097" t="inlineStr">
        <is>
          <t>WF11EJJ , Vehicle , Land Rover , Discovery</t>
        </is>
      </c>
      <c r="Q3097" t="inlineStr">
        <is>
          <t>UKPN</t>
        </is>
      </c>
      <c r="R3097" t="b">
        <v>0</v>
      </c>
    </row>
    <row r="3098">
      <c r="A3098" t="inlineStr">
        <is>
          <t>10 Feb 2026 / Paul Chubb / Utilities / SSE</t>
        </is>
      </c>
      <c r="B3098" t="inlineStr">
        <is>
          <t>Utilities</t>
        </is>
      </c>
      <c r="C3098" t="inlineStr">
        <is>
          <t>SSE</t>
        </is>
      </c>
      <c r="D3098" t="inlineStr"/>
      <c r="E3098" t="inlineStr"/>
      <c r="F3098" t="inlineStr"/>
      <c r="G3098" t="inlineStr">
        <is>
          <t>Paul chubb</t>
        </is>
      </c>
      <c r="H3098" t="inlineStr">
        <is>
          <t>Van</t>
        </is>
      </c>
      <c r="I3098" t="inlineStr">
        <is>
          <t>Daily/ Weekly Vehicle Inspection</t>
        </is>
      </c>
      <c r="J3098" t="inlineStr">
        <is>
          <t>N/A</t>
        </is>
      </c>
      <c r="K3098" t="inlineStr">
        <is>
          <t>Paul Chubb</t>
        </is>
      </c>
      <c r="L3098" t="inlineStr">
        <is>
          <t>10/02/2026 16:03</t>
        </is>
      </c>
      <c r="M3098" t="inlineStr">
        <is>
          <t>None</t>
        </is>
      </c>
      <c r="N3098" t="inlineStr">
        <is>
          <t>&lt;p&gt;&lt;/p&gt;</t>
        </is>
      </c>
      <c r="O3098" t="inlineStr"/>
      <c r="P3098" t="inlineStr"/>
      <c r="Q3098" t="inlineStr">
        <is>
          <t>SSE</t>
        </is>
      </c>
      <c r="R3098" t="b">
        <v>0</v>
      </c>
    </row>
    <row r="3099">
      <c r="A3099" t="inlineStr">
        <is>
          <t>11 Feb 2026 / 8040 S6 Tree specialists Ltd / Utilities / UKPN</t>
        </is>
      </c>
      <c r="B3099" t="inlineStr">
        <is>
          <t>Utilities</t>
        </is>
      </c>
      <c r="C3099" t="inlineStr">
        <is>
          <t>UKPN</t>
        </is>
      </c>
      <c r="D3099" t="inlineStr">
        <is>
          <t>GY08 RVC , 4x4 MEWP , Land Rover , Defender</t>
        </is>
      </c>
      <c r="E3099" t="inlineStr">
        <is>
          <t>GY08 RVC , 4x4 MEWP , Land Rover , Defender</t>
        </is>
      </c>
      <c r="F3099" t="inlineStr">
        <is>
          <t>GY08 RVC , 4x4 MEWP , Land Rover , Defender</t>
        </is>
      </c>
      <c r="G3099" t="inlineStr">
        <is>
          <t>Luke lane</t>
        </is>
      </c>
      <c r="H3099" t="inlineStr">
        <is>
          <t>4x4</t>
        </is>
      </c>
      <c r="I3099" t="inlineStr">
        <is>
          <t>Daily/ Weekly Vehicle Inspection</t>
        </is>
      </c>
      <c r="J3099" t="inlineStr">
        <is>
          <t>N/A</t>
        </is>
      </c>
      <c r="K3099" t="inlineStr">
        <is>
          <t>8040 S6 Tree specialists Ltd</t>
        </is>
      </c>
      <c r="L3099" t="inlineStr">
        <is>
          <t>11/02/2026 07:03</t>
        </is>
      </c>
      <c r="M3099" t="inlineStr">
        <is>
          <t>None</t>
        </is>
      </c>
      <c r="N3099" t="inlineStr">
        <is>
          <t>&lt;p&gt;&lt;/p&gt;</t>
        </is>
      </c>
      <c r="O3099" t="inlineStr"/>
      <c r="P3099" t="inlineStr">
        <is>
          <t>GY08 RVC , 4x4 MEWP , Land Rover , Defender</t>
        </is>
      </c>
      <c r="Q3099" t="inlineStr">
        <is>
          <t>UKPN</t>
        </is>
      </c>
      <c r="R3099" t="b">
        <v>0</v>
      </c>
    </row>
    <row r="3100">
      <c r="A3100" t="inlineStr">
        <is>
          <t>11 Feb 2026 / 7800 MAC Tree Surgery and Fencing Ltd / Utilities / UKPN</t>
        </is>
      </c>
      <c r="B3100" t="inlineStr">
        <is>
          <t>Utilities</t>
        </is>
      </c>
      <c r="C3100" t="inlineStr">
        <is>
          <t>UKPN</t>
        </is>
      </c>
      <c r="D3100" t="inlineStr">
        <is>
          <t>AY68DAA , 4x4 , Izuzu , Dmax</t>
        </is>
      </c>
      <c r="E3100" t="inlineStr">
        <is>
          <t>AY68DAA , 4x4 , Izuzu , Dmax</t>
        </is>
      </c>
      <c r="F3100" t="inlineStr">
        <is>
          <t>AY68DAA , 4x4 , Izuzu , Dmax</t>
        </is>
      </c>
      <c r="G3100" t="inlineStr">
        <is>
          <t xml:space="preserve">Patrick O'Shea </t>
        </is>
      </c>
      <c r="H3100" t="inlineStr">
        <is>
          <t>4x4</t>
        </is>
      </c>
      <c r="I3100" t="inlineStr">
        <is>
          <t>Daily/ Weekly Vehicle Inspection</t>
        </is>
      </c>
      <c r="J3100" t="inlineStr">
        <is>
          <t>N/A</t>
        </is>
      </c>
      <c r="K3100" t="inlineStr">
        <is>
          <t>7800 MAC Tree Surgery and Fencing Ltd</t>
        </is>
      </c>
      <c r="L3100" t="inlineStr">
        <is>
          <t>11/02/2026 08:03</t>
        </is>
      </c>
      <c r="M3100" t="inlineStr">
        <is>
          <t>None</t>
        </is>
      </c>
      <c r="N3100" t="inlineStr">
        <is>
          <t>&lt;p&gt;&lt;/p&gt;</t>
        </is>
      </c>
      <c r="O3100" t="inlineStr"/>
      <c r="P3100" t="inlineStr">
        <is>
          <t>AY68DAA , 4x4 , Izuzu , Dmax</t>
        </is>
      </c>
      <c r="Q3100" t="inlineStr">
        <is>
          <t>UKPN</t>
        </is>
      </c>
      <c r="R3100" t="b">
        <v>0</v>
      </c>
    </row>
    <row r="3101">
      <c r="A3101" t="inlineStr">
        <is>
          <t>11 Feb 2026 / 7800 MAC Tree Surgery and Fencing Ltd / Utilities / UKPN</t>
        </is>
      </c>
      <c r="B3101" t="inlineStr">
        <is>
          <t>Utilities</t>
        </is>
      </c>
      <c r="C3101" t="inlineStr">
        <is>
          <t>UKPN</t>
        </is>
      </c>
      <c r="D3101" t="inlineStr">
        <is>
          <t>Plant Trailer - Towmate - 2.8t - 0</t>
        </is>
      </c>
      <c r="E3101" t="inlineStr">
        <is>
          <t>Plant Trailer - Towmate - 2.8t - 0</t>
        </is>
      </c>
      <c r="F3101" t="inlineStr">
        <is>
          <t>Plant Trailer - Towmate - 2.8t - 0</t>
        </is>
      </c>
      <c r="G3101" t="inlineStr">
        <is>
          <t>Lewis mac</t>
        </is>
      </c>
      <c r="H3101" t="inlineStr">
        <is>
          <t>Plant Trailer</t>
        </is>
      </c>
      <c r="I3101" t="inlineStr">
        <is>
          <t>Daily/ Weekly Vehicle Inspection</t>
        </is>
      </c>
      <c r="J3101" t="inlineStr">
        <is>
          <t>N/A</t>
        </is>
      </c>
      <c r="K3101" t="inlineStr">
        <is>
          <t>7800 MAC Tree Surgery and Fencing Ltd</t>
        </is>
      </c>
      <c r="L3101" t="inlineStr">
        <is>
          <t>11/02/2026 08:04</t>
        </is>
      </c>
      <c r="M3101" t="inlineStr">
        <is>
          <t>None</t>
        </is>
      </c>
      <c r="N3101" t="inlineStr">
        <is>
          <t>&lt;p&gt;&lt;/p&gt;</t>
        </is>
      </c>
      <c r="O3101" t="inlineStr"/>
      <c r="P3101" t="inlineStr">
        <is>
          <t>Plant Trailer - Towmate - 2.8t - 0</t>
        </is>
      </c>
      <c r="Q3101" t="inlineStr">
        <is>
          <t>UKPN</t>
        </is>
      </c>
      <c r="R3101" t="b">
        <v>0</v>
      </c>
    </row>
    <row r="3102">
      <c r="A3102" t="inlineStr">
        <is>
          <t>11 Feb 2026 / 8148 Hope Ground and Tree Care / Utilities / UKPN</t>
        </is>
      </c>
      <c r="B3102" t="inlineStr">
        <is>
          <t>Utilities</t>
        </is>
      </c>
      <c r="C3102" t="inlineStr">
        <is>
          <t>UKPN</t>
        </is>
      </c>
      <c r="D3102" t="inlineStr">
        <is>
          <t>S6 NWX , MEWP , Isuzu , D-Max</t>
        </is>
      </c>
      <c r="E3102" t="inlineStr">
        <is>
          <t>S6 NWX , MEWP , Isuzu , D-Max</t>
        </is>
      </c>
      <c r="F3102" t="inlineStr">
        <is>
          <t>S6 NWX , MEWP , Isuzu , D-Max</t>
        </is>
      </c>
      <c r="G3102" t="inlineStr">
        <is>
          <t>A Hope</t>
        </is>
      </c>
      <c r="H3102" t="inlineStr">
        <is>
          <t>4x4</t>
        </is>
      </c>
      <c r="I3102" t="inlineStr">
        <is>
          <t>Daily/ Weekly Vehicle Inspection</t>
        </is>
      </c>
      <c r="J3102" t="inlineStr">
        <is>
          <t>N/A</t>
        </is>
      </c>
      <c r="K3102" t="inlineStr">
        <is>
          <t>8148 Hope Ground and Tree Care</t>
        </is>
      </c>
      <c r="L3102" t="inlineStr">
        <is>
          <t>11/02/2026 08:05</t>
        </is>
      </c>
      <c r="M3102" t="inlineStr">
        <is>
          <t>None</t>
        </is>
      </c>
      <c r="N3102" t="inlineStr">
        <is>
          <t>&lt;p&gt;&lt;/p&gt;</t>
        </is>
      </c>
      <c r="O3102" t="inlineStr"/>
      <c r="P3102" t="inlineStr">
        <is>
          <t>S6 NWX , MEWP , Isuzu , D-Max</t>
        </is>
      </c>
      <c r="Q3102" t="inlineStr">
        <is>
          <t>UKPN</t>
        </is>
      </c>
      <c r="R3102" t="b">
        <v>0</v>
      </c>
    </row>
    <row r="3103">
      <c r="A3103" t="inlineStr">
        <is>
          <t>11 Feb 2026 / 7806 Optimum Tree Services Ltd / Utilities / UKPN</t>
        </is>
      </c>
      <c r="B3103" t="inlineStr">
        <is>
          <t>Utilities</t>
        </is>
      </c>
      <c r="C3103" t="inlineStr">
        <is>
          <t>UKPN</t>
        </is>
      </c>
      <c r="D3103" t="inlineStr">
        <is>
          <t>WD14EVB , MEWP , Land Rover , Defender</t>
        </is>
      </c>
      <c r="E3103" t="inlineStr">
        <is>
          <t>WD14EVB , MEWP , Land Rover , Defender</t>
        </is>
      </c>
      <c r="F3103" t="inlineStr">
        <is>
          <t>WD14EVB , MEWP , Land Rover , Defender</t>
        </is>
      </c>
      <c r="G3103" t="inlineStr">
        <is>
          <t xml:space="preserve">Kenny Aldred </t>
        </is>
      </c>
      <c r="H3103" t="inlineStr">
        <is>
          <t>4x4</t>
        </is>
      </c>
      <c r="I3103" t="inlineStr">
        <is>
          <t>Daily/ Weekly Vehicle Inspection</t>
        </is>
      </c>
      <c r="J3103" t="inlineStr">
        <is>
          <t>N/A</t>
        </is>
      </c>
      <c r="K3103" t="inlineStr">
        <is>
          <t>7806 Optimum Tree Services Ltd</t>
        </is>
      </c>
      <c r="L3103" t="inlineStr">
        <is>
          <t>11/02/2026 08:08</t>
        </is>
      </c>
      <c r="M3103" t="inlineStr">
        <is>
          <t>None</t>
        </is>
      </c>
      <c r="N3103" t="inlineStr">
        <is>
          <t>&lt;p&gt;&lt;/p&gt;</t>
        </is>
      </c>
      <c r="O3103" t="inlineStr"/>
      <c r="P3103" t="inlineStr">
        <is>
          <t>WD14EVB , MEWP , Land Rover , Defender</t>
        </is>
      </c>
      <c r="Q3103" t="inlineStr">
        <is>
          <t>UKPN</t>
        </is>
      </c>
      <c r="R3103" t="b">
        <v>0</v>
      </c>
    </row>
    <row r="3104">
      <c r="A3104" t="inlineStr">
        <is>
          <t>11 Feb 2026 / Thomas Playford / Utilities / UKPN</t>
        </is>
      </c>
      <c r="B3104" t="inlineStr">
        <is>
          <t>Utilities</t>
        </is>
      </c>
      <c r="C3104" t="inlineStr">
        <is>
          <t>UKPN</t>
        </is>
      </c>
      <c r="D3104" t="inlineStr">
        <is>
          <t>SA9ST800000283944 , Towed Chipper , Forst , ST8D - Towed</t>
        </is>
      </c>
      <c r="E3104" t="inlineStr">
        <is>
          <t>SA9ST800000283944 , Towed Chipper , Forst , ST8D - Towed</t>
        </is>
      </c>
      <c r="F3104" t="inlineStr">
        <is>
          <t>SA9ST800000283944 , Towed Chipper , Forst , ST8D - Towed</t>
        </is>
      </c>
      <c r="G3104" t="inlineStr">
        <is>
          <t>Thomas Playford</t>
        </is>
      </c>
      <c r="H3104" t="inlineStr">
        <is>
          <t>Towed Chipper</t>
        </is>
      </c>
      <c r="I3104" t="inlineStr">
        <is>
          <t>Daily/ Weekly Vehicle Inspection</t>
        </is>
      </c>
      <c r="J3104" t="inlineStr">
        <is>
          <t>N/A</t>
        </is>
      </c>
      <c r="K3104" t="inlineStr">
        <is>
          <t>7995 Green Net Eco Ltd 2</t>
        </is>
      </c>
      <c r="L3104" t="inlineStr">
        <is>
          <t>11/02/2026 08:09</t>
        </is>
      </c>
      <c r="M3104" t="inlineStr">
        <is>
          <t>None</t>
        </is>
      </c>
      <c r="N3104" t="inlineStr">
        <is>
          <t>&lt;p&gt;&lt;/p&gt;</t>
        </is>
      </c>
      <c r="O3104" t="inlineStr"/>
      <c r="P3104" t="inlineStr">
        <is>
          <t>SA9ST800000283944 , Towed Chipper , Forst , ST8D - Towed</t>
        </is>
      </c>
      <c r="Q3104" t="inlineStr">
        <is>
          <t>UKPN</t>
        </is>
      </c>
      <c r="R3104" t="b">
        <v>0</v>
      </c>
    </row>
    <row r="3105">
      <c r="A3105" t="inlineStr">
        <is>
          <t>11 Feb 2026 / 7951 Austin Tree Care LTD 1 / Utilities / UKPN</t>
        </is>
      </c>
      <c r="B3105" t="inlineStr">
        <is>
          <t>Utilities</t>
        </is>
      </c>
      <c r="C3105" t="inlineStr">
        <is>
          <t>UKPN</t>
        </is>
      </c>
      <c r="D3105" t="inlineStr">
        <is>
          <t>WG64HTT , 4x4 , Land Rover , Defender 110</t>
        </is>
      </c>
      <c r="E3105" t="inlineStr">
        <is>
          <t>WG64HTT , 4x4 , Land Rover , Defender 110</t>
        </is>
      </c>
      <c r="F3105" t="inlineStr">
        <is>
          <t>WG64HTT , 4x4 , Land Rover , Defender 110</t>
        </is>
      </c>
      <c r="G3105" t="inlineStr">
        <is>
          <t xml:space="preserve">James Tasker </t>
        </is>
      </c>
      <c r="H3105" t="inlineStr">
        <is>
          <t>4x4</t>
        </is>
      </c>
      <c r="I3105" t="inlineStr">
        <is>
          <t>Daily/ Weekly Vehicle Inspection</t>
        </is>
      </c>
      <c r="J3105" t="inlineStr">
        <is>
          <t>N/A</t>
        </is>
      </c>
      <c r="K3105" t="inlineStr">
        <is>
          <t>7951 Austin Tree Care LTD 1</t>
        </is>
      </c>
      <c r="L3105" t="inlineStr">
        <is>
          <t>11/02/2026 08:10</t>
        </is>
      </c>
      <c r="M3105" t="inlineStr">
        <is>
          <t>None</t>
        </is>
      </c>
      <c r="N3105" t="inlineStr">
        <is>
          <t>&lt;p&gt;&lt;/p&gt;</t>
        </is>
      </c>
      <c r="O3105" t="inlineStr"/>
      <c r="P3105" t="inlineStr">
        <is>
          <t>WG64HTT , 4x4 , Land Rover , Defender 110</t>
        </is>
      </c>
      <c r="Q3105" t="inlineStr">
        <is>
          <t>UKPN</t>
        </is>
      </c>
      <c r="R3105" t="b">
        <v>0</v>
      </c>
    </row>
    <row r="3106">
      <c r="A3106" t="inlineStr">
        <is>
          <t>11 Feb 2026 / Thomas Playford / Utilities / UKPN</t>
        </is>
      </c>
      <c r="B3106" t="inlineStr">
        <is>
          <t>Utilities</t>
        </is>
      </c>
      <c r="C3106" t="inlineStr">
        <is>
          <t>UKPN</t>
        </is>
      </c>
      <c r="D3106" t="inlineStr">
        <is>
          <t>LK15KRZ , 4x4 , Landrover , Defender</t>
        </is>
      </c>
      <c r="E3106" t="inlineStr">
        <is>
          <t>LK15KRZ , 4x4 , Landrover , Defender</t>
        </is>
      </c>
      <c r="F3106" t="inlineStr">
        <is>
          <t>LK15KRZ , 4x4 , Landrover , Defender</t>
        </is>
      </c>
      <c r="G3106" t="inlineStr">
        <is>
          <t>Thomas Playford</t>
        </is>
      </c>
      <c r="H3106" t="inlineStr">
        <is>
          <t>4x4</t>
        </is>
      </c>
      <c r="I3106" t="inlineStr">
        <is>
          <t>Daily/ Weekly Vehicle Inspection</t>
        </is>
      </c>
      <c r="J3106" t="inlineStr">
        <is>
          <t>N/A</t>
        </is>
      </c>
      <c r="K3106" t="inlineStr">
        <is>
          <t>7995 Green Net Eco Ltd 2</t>
        </is>
      </c>
      <c r="L3106" t="inlineStr">
        <is>
          <t>11/02/2026 08:11</t>
        </is>
      </c>
      <c r="M3106" t="inlineStr">
        <is>
          <t>None</t>
        </is>
      </c>
      <c r="N3106" t="inlineStr">
        <is>
          <t>&lt;p&gt;&lt;/p&gt;</t>
        </is>
      </c>
      <c r="O3106" t="inlineStr"/>
      <c r="P3106" t="inlineStr">
        <is>
          <t>LK15KRZ , 4x4 , Landrover , Defender</t>
        </is>
      </c>
      <c r="Q3106" t="inlineStr">
        <is>
          <t>UKPN</t>
        </is>
      </c>
      <c r="R3106" t="b">
        <v>0</v>
      </c>
    </row>
    <row r="3107">
      <c r="A3107" t="inlineStr">
        <is>
          <t>11 Feb 2026 / 7889 Tree Tech Suffolk Ltd</t>
        </is>
      </c>
      <c r="B3107" t="inlineStr">
        <is>
          <t>Utilities &amp; Inland Waterways</t>
        </is>
      </c>
      <c r="C3107" t="inlineStr">
        <is>
          <t>UKPN</t>
        </is>
      </c>
      <c r="D3107" t="inlineStr">
        <is>
          <t>Tipper - Nissan - Navara - NS02TTS4x4 - Isuzu - D-max - NS03 TTS</t>
        </is>
      </c>
      <c r="E3107" t="inlineStr">
        <is>
          <t>Tipper - Nissan - Navara - NS02TTS4x4 - Isuzu - D-max - NS03 TTS</t>
        </is>
      </c>
      <c r="F3107" t="inlineStr">
        <is>
          <t>Tipper - Nissan - Navara - NS02TTS4x4 - Isuzu - D-max - NS03 TTS</t>
        </is>
      </c>
      <c r="G3107" t="inlineStr">
        <is>
          <t xml:space="preserve">Danny ApplebyNikki sparrow </t>
        </is>
      </c>
      <c r="H3107" t="inlineStr">
        <is>
          <t>Tipper4x4</t>
        </is>
      </c>
      <c r="I3107" t="inlineStr">
        <is>
          <t>Daily/ Weekly Vehicle Inspection</t>
        </is>
      </c>
      <c r="J3107" t="inlineStr">
        <is>
          <t>N/A</t>
        </is>
      </c>
      <c r="K3107" t="inlineStr">
        <is>
          <t>7889 Tree Tech Suffolk Ltd</t>
        </is>
      </c>
      <c r="L3107" t="inlineStr">
        <is>
          <t>11/02/2026 08:11</t>
        </is>
      </c>
      <c r="M3107" t="inlineStr">
        <is>
          <t>None</t>
        </is>
      </c>
      <c r="N3107" t="inlineStr">
        <is>
          <t>&lt;p&gt;&lt;/p&gt;</t>
        </is>
      </c>
      <c r="O3107" t="inlineStr">
        <is>
          <t>Select Vehicle:Ns05 tts</t>
        </is>
      </c>
      <c r="P3107" t="inlineStr">
        <is>
          <t>Tipper - Nissan - Navara - NS02TTS4x4 - Isuzu - D-max - NS03 TTS</t>
        </is>
      </c>
      <c r="Q3107" t="inlineStr">
        <is>
          <t>UKPN</t>
        </is>
      </c>
      <c r="R3107" t="b">
        <v>0</v>
      </c>
    </row>
    <row r="3108">
      <c r="A3108" t="inlineStr">
        <is>
          <t>11 Feb 2026 / Aaron Billingham / Utilities / NGED</t>
        </is>
      </c>
      <c r="B3108" t="inlineStr">
        <is>
          <t>Utilities</t>
        </is>
      </c>
      <c r="C3108" t="inlineStr">
        <is>
          <t>NGED</t>
        </is>
      </c>
      <c r="D3108" t="inlineStr">
        <is>
          <t>WO23OYK , Van , Ford , Ranger</t>
        </is>
      </c>
      <c r="E3108" t="inlineStr">
        <is>
          <t>WO23OYK , Van , Ford , Ranger</t>
        </is>
      </c>
      <c r="F3108" t="inlineStr">
        <is>
          <t>WO23OYK , Van , Ford , Ranger</t>
        </is>
      </c>
      <c r="G3108" t="inlineStr">
        <is>
          <t>Aaron Billingham</t>
        </is>
      </c>
      <c r="H3108" t="inlineStr">
        <is>
          <t>Tipper</t>
        </is>
      </c>
      <c r="I3108" t="inlineStr">
        <is>
          <t>Daily/ Weekly Vehicle Inspection</t>
        </is>
      </c>
      <c r="J3108" t="inlineStr">
        <is>
          <t>N/A</t>
        </is>
      </c>
      <c r="K3108" t="inlineStr">
        <is>
          <t>Aaron Billingham</t>
        </is>
      </c>
      <c r="L3108" t="inlineStr">
        <is>
          <t>11/02/2026 13:03</t>
        </is>
      </c>
      <c r="M3108" t="inlineStr">
        <is>
          <t>None</t>
        </is>
      </c>
      <c r="N3108" t="inlineStr">
        <is>
          <t>&lt;p&gt;&lt;/p&gt;</t>
        </is>
      </c>
      <c r="O3108" t="inlineStr"/>
      <c r="P3108" t="inlineStr">
        <is>
          <t>WO23OYK , Van , Ford , Ranger</t>
        </is>
      </c>
      <c r="Q3108" t="inlineStr">
        <is>
          <t>NGED</t>
        </is>
      </c>
      <c r="R3108" t="b">
        <v>0</v>
      </c>
    </row>
    <row r="3109">
      <c r="A3109" t="inlineStr">
        <is>
          <t>6 Feb 2026 / Jane Moore / Utilities / NGED</t>
        </is>
      </c>
      <c r="B3109" t="inlineStr">
        <is>
          <t>Utilities</t>
        </is>
      </c>
      <c r="C3109" t="inlineStr">
        <is>
          <t>NGED</t>
        </is>
      </c>
      <c r="D3109" t="inlineStr">
        <is>
          <t>GL20TGZ , Car - Electric , Tesla , Model 3 Long Range AWD</t>
        </is>
      </c>
      <c r="E3109" t="inlineStr">
        <is>
          <t>GL20TGZ , Car - Electric , Tesla , Model 3 Long Range AWD</t>
        </is>
      </c>
      <c r="F3109" t="inlineStr">
        <is>
          <t>GL20TGZ , Car - Electric , Tesla , Model 3 Long Range AWD</t>
        </is>
      </c>
      <c r="G3109" t="inlineStr">
        <is>
          <t xml:space="preserve">Jane Moore </t>
        </is>
      </c>
      <c r="H3109" t="inlineStr">
        <is>
          <t>Car - Electric (GC Owned)</t>
        </is>
      </c>
      <c r="I3109" t="inlineStr">
        <is>
          <t>Daily/ Weekly Vehicle Inspection</t>
        </is>
      </c>
      <c r="J3109" t="inlineStr">
        <is>
          <t>N/A</t>
        </is>
      </c>
      <c r="K3109" t="inlineStr">
        <is>
          <t>Jane Moore</t>
        </is>
      </c>
      <c r="L3109" t="inlineStr">
        <is>
          <t>11/02/2026 15:03</t>
        </is>
      </c>
      <c r="M3109" t="inlineStr">
        <is>
          <t>None</t>
        </is>
      </c>
      <c r="N3109" t="inlineStr">
        <is>
          <t>&lt;p&gt;&lt;/p&gt;</t>
        </is>
      </c>
      <c r="O3109" t="inlineStr"/>
      <c r="P3109" t="inlineStr">
        <is>
          <t>GL20TGZ , Car - Electric , Tesla , Model 3 Long Range AWD</t>
        </is>
      </c>
      <c r="Q3109" t="inlineStr">
        <is>
          <t>NGED</t>
        </is>
      </c>
      <c r="R3109" t="b">
        <v>0</v>
      </c>
    </row>
    <row r="3110">
      <c r="A3110" t="inlineStr">
        <is>
          <t>11 Feb 2026 / Oliver Coyle / Utilities / NGED</t>
        </is>
      </c>
      <c r="B3110" t="inlineStr">
        <is>
          <t>Utilities</t>
        </is>
      </c>
      <c r="C3110" t="inlineStr">
        <is>
          <t>NGED</t>
        </is>
      </c>
      <c r="D3110" t="inlineStr">
        <is>
          <t>GL20TSX , Car - Electric , Tesla , Model 3 Long Range AWD</t>
        </is>
      </c>
      <c r="E3110" t="inlineStr">
        <is>
          <t>GL20TSX , Car - Electric , Tesla , Model 3 Long Range AWD</t>
        </is>
      </c>
      <c r="F3110" t="inlineStr">
        <is>
          <t>GL20TSX , Car - Electric , Tesla , Model 3 Long Range AWD</t>
        </is>
      </c>
      <c r="G3110" t="inlineStr">
        <is>
          <t>Oliver Coyle</t>
        </is>
      </c>
      <c r="H3110" t="inlineStr">
        <is>
          <t>Car - Electric (GC Owned)</t>
        </is>
      </c>
      <c r="I3110" t="inlineStr">
        <is>
          <t>Daily/ Weekly Vehicle Inspection</t>
        </is>
      </c>
      <c r="J3110" t="inlineStr">
        <is>
          <t>N/A</t>
        </is>
      </c>
      <c r="K3110" t="inlineStr">
        <is>
          <t>Oliver Coyle</t>
        </is>
      </c>
      <c r="L3110" t="inlineStr">
        <is>
          <t>11/02/2026 17:03</t>
        </is>
      </c>
      <c r="M3110" t="inlineStr">
        <is>
          <t>None</t>
        </is>
      </c>
      <c r="N3110" t="inlineStr">
        <is>
          <t>&lt;p&gt;&lt;/p&gt;</t>
        </is>
      </c>
      <c r="O3110" t="inlineStr"/>
      <c r="P3110" t="inlineStr">
        <is>
          <t>GL20TSX , Car - Electric , Tesla , Model 3 Long Range AWD</t>
        </is>
      </c>
      <c r="Q3110" t="inlineStr">
        <is>
          <t>NGED</t>
        </is>
      </c>
      <c r="R3110" t="b">
        <v>0</v>
      </c>
    </row>
    <row r="3111">
      <c r="A3111" t="inlineStr">
        <is>
          <t>9 Feb 2026 / 8148 Hope Ground and Tree Care / Utilities / UKPN</t>
        </is>
      </c>
      <c r="B3111" t="inlineStr">
        <is>
          <t>Utilities</t>
        </is>
      </c>
      <c r="C3111" t="inlineStr">
        <is>
          <t>UKPN</t>
        </is>
      </c>
      <c r="D3111" t="inlineStr">
        <is>
          <t>S6 NWX , MEWP , Isuzu , D-Max</t>
        </is>
      </c>
      <c r="E3111" t="inlineStr">
        <is>
          <t>S6 NWX , MEWP , Isuzu , D-Max</t>
        </is>
      </c>
      <c r="F3111" t="inlineStr">
        <is>
          <t>S6 NWX , MEWP , Isuzu , D-Max</t>
        </is>
      </c>
      <c r="G3111" t="inlineStr">
        <is>
          <t>A Hope</t>
        </is>
      </c>
      <c r="H3111" t="inlineStr">
        <is>
          <t>4x4</t>
        </is>
      </c>
      <c r="I3111" t="inlineStr">
        <is>
          <t>Daily/ Weekly Vehicle Inspection</t>
        </is>
      </c>
      <c r="J3111" t="inlineStr">
        <is>
          <t>N/A</t>
        </is>
      </c>
      <c r="K3111" t="inlineStr">
        <is>
          <t>8148 Hope Ground and Tree Care</t>
        </is>
      </c>
      <c r="L3111" t="inlineStr">
        <is>
          <t>11/02/2026 18:05</t>
        </is>
      </c>
      <c r="M3111" t="inlineStr">
        <is>
          <t>None</t>
        </is>
      </c>
      <c r="N3111" t="inlineStr">
        <is>
          <t>&lt;p&gt;&lt;/p&gt;</t>
        </is>
      </c>
      <c r="O3111" t="inlineStr"/>
      <c r="P3111" t="inlineStr">
        <is>
          <t>S6 NWX , MEWP , Isuzu , D-Max</t>
        </is>
      </c>
      <c r="Q3111" t="inlineStr">
        <is>
          <t>UKPN</t>
        </is>
      </c>
      <c r="R3111" t="b">
        <v>0</v>
      </c>
    </row>
    <row r="3112">
      <c r="A3112" t="inlineStr">
        <is>
          <t>9 Feb 2026 / Thomas Playford / Utilities / UKPN</t>
        </is>
      </c>
      <c r="B3112" t="inlineStr">
        <is>
          <t>Utilities</t>
        </is>
      </c>
      <c r="C3112" t="inlineStr">
        <is>
          <t>UKPN</t>
        </is>
      </c>
      <c r="D3112" t="inlineStr">
        <is>
          <t>SA9ST800000283944 , Towed Chipper , Forst , ST8D - Towed</t>
        </is>
      </c>
      <c r="E3112" t="inlineStr">
        <is>
          <t>SA9ST800000283944 , Towed Chipper , Forst , ST8D - Towed</t>
        </is>
      </c>
      <c r="F3112" t="inlineStr">
        <is>
          <t>SA9ST800000283944 , Towed Chipper , Forst , ST8D - Towed</t>
        </is>
      </c>
      <c r="G3112" t="inlineStr">
        <is>
          <t>Thomas Playford</t>
        </is>
      </c>
      <c r="H3112" t="inlineStr">
        <is>
          <t>Towed Chipper</t>
        </is>
      </c>
      <c r="I3112" t="inlineStr">
        <is>
          <t>Daily/ Weekly Vehicle Inspection</t>
        </is>
      </c>
      <c r="J3112" t="inlineStr">
        <is>
          <t>N/A</t>
        </is>
      </c>
      <c r="K3112" t="inlineStr">
        <is>
          <t>7995 Green Net Eco Ltd 2</t>
        </is>
      </c>
      <c r="L3112" t="inlineStr">
        <is>
          <t>11/02/2026 18:08</t>
        </is>
      </c>
      <c r="M3112" t="inlineStr">
        <is>
          <t>None</t>
        </is>
      </c>
      <c r="N3112" t="inlineStr">
        <is>
          <t>&lt;p&gt;&lt;/p&gt;</t>
        </is>
      </c>
      <c r="O3112" t="inlineStr"/>
      <c r="P3112" t="inlineStr">
        <is>
          <t>SA9ST800000283944 , Towed Chipper , Forst , ST8D - Towed</t>
        </is>
      </c>
      <c r="Q3112" t="inlineStr">
        <is>
          <t>UKPN</t>
        </is>
      </c>
      <c r="R3112" t="b">
        <v>0</v>
      </c>
    </row>
    <row r="3113">
      <c r="A3113" t="inlineStr">
        <is>
          <t>9 Feb 2026 / Thomas Playford / Utilities / UKPN</t>
        </is>
      </c>
      <c r="B3113" t="inlineStr">
        <is>
          <t>Utilities</t>
        </is>
      </c>
      <c r="C3113" t="inlineStr">
        <is>
          <t>UKPN</t>
        </is>
      </c>
      <c r="D3113" t="inlineStr">
        <is>
          <t>X21TNP , 4x4 , Toyota , Hilux</t>
        </is>
      </c>
      <c r="E3113" t="inlineStr">
        <is>
          <t>X21TNP , 4x4 , Toyota , Hilux</t>
        </is>
      </c>
      <c r="F3113" t="inlineStr">
        <is>
          <t>X21TNP , 4x4 , Toyota , Hilux</t>
        </is>
      </c>
      <c r="G3113" t="inlineStr">
        <is>
          <t>Thomas Playford</t>
        </is>
      </c>
      <c r="H3113" t="inlineStr">
        <is>
          <t>4x4</t>
        </is>
      </c>
      <c r="I3113" t="inlineStr">
        <is>
          <t>Daily/ Weekly Vehicle Inspection</t>
        </is>
      </c>
      <c r="J3113" t="inlineStr">
        <is>
          <t>N/A</t>
        </is>
      </c>
      <c r="K3113" t="inlineStr">
        <is>
          <t>7995 Green Net Eco Ltd 2</t>
        </is>
      </c>
      <c r="L3113" t="inlineStr">
        <is>
          <t>11/02/2026 18:10</t>
        </is>
      </c>
      <c r="M3113" t="inlineStr">
        <is>
          <t>None</t>
        </is>
      </c>
      <c r="N3113" t="inlineStr">
        <is>
          <t>&lt;p&gt;&lt;/p&gt;</t>
        </is>
      </c>
      <c r="O3113" t="inlineStr"/>
      <c r="P3113" t="inlineStr">
        <is>
          <t>X21TNP , 4x4 , Toyota , Hilux</t>
        </is>
      </c>
      <c r="Q3113" t="inlineStr">
        <is>
          <t>UKPN</t>
        </is>
      </c>
      <c r="R3113" t="b">
        <v>0</v>
      </c>
    </row>
    <row r="3114">
      <c r="A3114" t="inlineStr">
        <is>
          <t>9 Feb 2026 / Thomas Playford / Utilities / UKPN</t>
        </is>
      </c>
      <c r="B3114" t="inlineStr">
        <is>
          <t>Utilities</t>
        </is>
      </c>
      <c r="C3114" t="inlineStr">
        <is>
          <t>UKPN</t>
        </is>
      </c>
      <c r="D3114" t="inlineStr">
        <is>
          <t>LK15KRZ , 4x4 , Landrover , Defender</t>
        </is>
      </c>
      <c r="E3114" t="inlineStr">
        <is>
          <t>LK15KRZ , 4x4 , Landrover , Defender</t>
        </is>
      </c>
      <c r="F3114" t="inlineStr">
        <is>
          <t>LK15KRZ , 4x4 , Landrover , Defender</t>
        </is>
      </c>
      <c r="G3114" t="inlineStr">
        <is>
          <t>Thomas Playford</t>
        </is>
      </c>
      <c r="H3114" t="inlineStr">
        <is>
          <t>4x4</t>
        </is>
      </c>
      <c r="I3114" t="inlineStr">
        <is>
          <t>Daily/ Weekly Vehicle Inspection</t>
        </is>
      </c>
      <c r="J3114" t="inlineStr">
        <is>
          <t>N/A</t>
        </is>
      </c>
      <c r="K3114" t="inlineStr">
        <is>
          <t>7995 Green Net Eco Ltd 2</t>
        </is>
      </c>
      <c r="L3114" t="inlineStr">
        <is>
          <t>11/02/2026 18:11</t>
        </is>
      </c>
      <c r="M3114" t="inlineStr">
        <is>
          <t>None</t>
        </is>
      </c>
      <c r="N3114" t="inlineStr">
        <is>
          <t>&lt;p&gt;&lt;/p&gt;</t>
        </is>
      </c>
      <c r="O3114" t="inlineStr"/>
      <c r="P3114" t="inlineStr">
        <is>
          <t>LK15KRZ , 4x4 , Landrover , Defender</t>
        </is>
      </c>
      <c r="Q3114" t="inlineStr">
        <is>
          <t>UKPN</t>
        </is>
      </c>
      <c r="R3114" t="b">
        <v>0</v>
      </c>
    </row>
    <row r="3115">
      <c r="A3115" t="inlineStr">
        <is>
          <t>12 Feb 2026 / Anthony Gale / Utilities / UKPN</t>
        </is>
      </c>
      <c r="B3115" t="inlineStr">
        <is>
          <t>Utilities</t>
        </is>
      </c>
      <c r="C3115" t="inlineStr">
        <is>
          <t>UKPN</t>
        </is>
      </c>
      <c r="D3115" t="inlineStr"/>
      <c r="E3115" t="inlineStr"/>
      <c r="F3115" t="inlineStr"/>
      <c r="G3115" t="inlineStr">
        <is>
          <t>Anthony Gale</t>
        </is>
      </c>
      <c r="H3115" t="inlineStr">
        <is>
          <t>Towed Chipper</t>
        </is>
      </c>
      <c r="I3115" t="inlineStr">
        <is>
          <t>Daily/ Weekly Vehicle Inspection</t>
        </is>
      </c>
      <c r="J3115" t="inlineStr">
        <is>
          <t>N/A</t>
        </is>
      </c>
      <c r="K3115" t="inlineStr">
        <is>
          <t>7996 M G Tree Surgery Ltd 1</t>
        </is>
      </c>
      <c r="L3115" t="inlineStr">
        <is>
          <t>12/02/2026 07:20</t>
        </is>
      </c>
      <c r="M3115" t="inlineStr">
        <is>
          <t>None</t>
        </is>
      </c>
      <c r="N3115" t="inlineStr">
        <is>
          <t>&lt;p&gt;&lt;/p&gt;</t>
        </is>
      </c>
      <c r="O3115" t="inlineStr"/>
      <c r="P3115" t="inlineStr"/>
      <c r="Q3115" t="inlineStr">
        <is>
          <t>UKPN</t>
        </is>
      </c>
      <c r="R3115" t="b">
        <v>0</v>
      </c>
    </row>
    <row r="3116">
      <c r="A3116" t="inlineStr">
        <is>
          <t>12 Feb 2026 / Anthony Gale / Utilities / UKPN</t>
        </is>
      </c>
      <c r="B3116" t="inlineStr">
        <is>
          <t>Utilities</t>
        </is>
      </c>
      <c r="C3116" t="inlineStr">
        <is>
          <t>UKPN</t>
        </is>
      </c>
      <c r="D3116" t="inlineStr">
        <is>
          <t>KX20 BCE , Tipper , Isuzu , D-Max</t>
        </is>
      </c>
      <c r="E3116" t="inlineStr">
        <is>
          <t>KX20 BCE , Tipper , Isuzu , D-Max</t>
        </is>
      </c>
      <c r="F3116" t="inlineStr">
        <is>
          <t>KX20 BCE , Tipper , Isuzu , D-Max</t>
        </is>
      </c>
      <c r="G3116" t="inlineStr">
        <is>
          <t>Anthony Gale</t>
        </is>
      </c>
      <c r="H3116" t="inlineStr">
        <is>
          <t>Pickup Truck</t>
        </is>
      </c>
      <c r="I3116" t="inlineStr">
        <is>
          <t>Daily/ Weekly Vehicle Inspection</t>
        </is>
      </c>
      <c r="J3116" t="inlineStr">
        <is>
          <t>N/A</t>
        </is>
      </c>
      <c r="K3116" t="inlineStr">
        <is>
          <t>7996 M G Tree Surgery Ltd 1</t>
        </is>
      </c>
      <c r="L3116" t="inlineStr">
        <is>
          <t>12/02/2026 07:30</t>
        </is>
      </c>
      <c r="M3116" t="inlineStr">
        <is>
          <t>None</t>
        </is>
      </c>
      <c r="N3116" t="inlineStr">
        <is>
          <t>&lt;p&gt;&lt;/p&gt;</t>
        </is>
      </c>
      <c r="O3116" t="inlineStr">
        <is>
          <t>Confirm that you have checked this vehicle as per the guidance document and the vehicle is safe and roadworthy:Light board deteriorating.
Safe for now.
Will need replacing soon
-</t>
        </is>
      </c>
      <c r="P3116" t="inlineStr">
        <is>
          <t>KX20 BCE , Tipper , Isuzu , D-Max</t>
        </is>
      </c>
      <c r="Q3116" t="inlineStr">
        <is>
          <t>UKPN</t>
        </is>
      </c>
      <c r="R3116" t="b">
        <v>0</v>
      </c>
    </row>
    <row r="3117">
      <c r="A3117" t="inlineStr">
        <is>
          <t>12 Feb 2026 / 3098 D &amp; R Landscapes / Utilities / UKPN</t>
        </is>
      </c>
      <c r="B3117" t="inlineStr">
        <is>
          <t>Utilities</t>
        </is>
      </c>
      <c r="C3117" t="inlineStr">
        <is>
          <t>UKPN</t>
        </is>
      </c>
      <c r="D3117" t="inlineStr">
        <is>
          <t>BT20 GNZ , Vehicle , Nissan , Navara</t>
        </is>
      </c>
      <c r="E3117" t="inlineStr">
        <is>
          <t>BT20 GNZ , Vehicle , Nissan , Navara</t>
        </is>
      </c>
      <c r="F3117" t="inlineStr">
        <is>
          <t>BT20 GNZ , Vehicle , Nissan , Navara</t>
        </is>
      </c>
      <c r="G3117" t="inlineStr">
        <is>
          <t xml:space="preserve">Chris </t>
        </is>
      </c>
      <c r="H3117" t="inlineStr">
        <is>
          <t>Pickup Truck</t>
        </is>
      </c>
      <c r="I3117" t="inlineStr">
        <is>
          <t>Daily/ Weekly Vehicle Inspection</t>
        </is>
      </c>
      <c r="J3117" t="inlineStr">
        <is>
          <t>N/A</t>
        </is>
      </c>
      <c r="K3117" t="inlineStr">
        <is>
          <t>3098 D &amp; R Landscapes</t>
        </is>
      </c>
      <c r="L3117" t="inlineStr">
        <is>
          <t>12/02/2026 08:03</t>
        </is>
      </c>
      <c r="M3117" t="inlineStr">
        <is>
          <t>None</t>
        </is>
      </c>
      <c r="N3117" t="inlineStr">
        <is>
          <t>&lt;p&gt;&lt;/p&gt;</t>
        </is>
      </c>
      <c r="O3117" t="inlineStr"/>
      <c r="P3117" t="inlineStr">
        <is>
          <t>BT20 GNZ , Vehicle , Nissan , Navara</t>
        </is>
      </c>
      <c r="Q3117" t="inlineStr">
        <is>
          <t>UKPN</t>
        </is>
      </c>
      <c r="R3117" t="b">
        <v>0</v>
      </c>
    </row>
    <row r="3118">
      <c r="A3118" t="inlineStr">
        <is>
          <t>12 Feb 2026 / 7186 Eastwoodbury Tree Services Ltd / Utilities / UKPN</t>
        </is>
      </c>
      <c r="B3118" t="inlineStr">
        <is>
          <t>Utilities</t>
        </is>
      </c>
      <c r="C3118" t="inlineStr">
        <is>
          <t>UKPN</t>
        </is>
      </c>
      <c r="D3118" t="inlineStr">
        <is>
          <t>WF13 EKT , 4x4 , Land rover  , Defender</t>
        </is>
      </c>
      <c r="E3118" t="inlineStr">
        <is>
          <t>WF13 EKT , 4x4 , Land rover  , Defender</t>
        </is>
      </c>
      <c r="F3118" t="inlineStr">
        <is>
          <t>WF13 EKT , 4x4 , Land rover  , Defender</t>
        </is>
      </c>
      <c r="G3118" t="inlineStr">
        <is>
          <t xml:space="preserve">Jay Denkmayer </t>
        </is>
      </c>
      <c r="H3118" t="inlineStr">
        <is>
          <t>4x4</t>
        </is>
      </c>
      <c r="I3118" t="inlineStr">
        <is>
          <t>Daily/ Weekly Vehicle Inspection</t>
        </is>
      </c>
      <c r="J3118" t="inlineStr">
        <is>
          <t>N/A</t>
        </is>
      </c>
      <c r="K3118" t="inlineStr">
        <is>
          <t>7186 Eastwoodbury Tree Services Ltd</t>
        </is>
      </c>
      <c r="L3118" t="inlineStr">
        <is>
          <t>12/02/2026 08:07</t>
        </is>
      </c>
      <c r="M3118" t="inlineStr">
        <is>
          <t>None</t>
        </is>
      </c>
      <c r="N3118" t="inlineStr">
        <is>
          <t>&lt;p&gt;&lt;/p&gt;</t>
        </is>
      </c>
      <c r="O3118" t="inlineStr"/>
      <c r="P3118" t="inlineStr">
        <is>
          <t>WF13 EKT , 4x4 , Land rover  , Defender</t>
        </is>
      </c>
      <c r="Q3118" t="inlineStr">
        <is>
          <t>UKPN</t>
        </is>
      </c>
      <c r="R3118" t="b">
        <v>0</v>
      </c>
    </row>
    <row r="3119">
      <c r="A3119" t="inlineStr">
        <is>
          <t>12 Feb 2026 / 7186 Eastwoodbury Tree Services Ltd / Utilities / UKPN</t>
        </is>
      </c>
      <c r="B3119" t="inlineStr">
        <is>
          <t>Utilities</t>
        </is>
      </c>
      <c r="C3119" t="inlineStr">
        <is>
          <t>UKPN</t>
        </is>
      </c>
      <c r="D3119" t="inlineStr">
        <is>
          <t>FX14 XCV , 4x4 , Land Rover  , Defender</t>
        </is>
      </c>
      <c r="E3119" t="inlineStr">
        <is>
          <t>FX14 XCV , 4x4 , Land Rover  , Defender</t>
        </is>
      </c>
      <c r="F3119" t="inlineStr">
        <is>
          <t>FX14 XCV , 4x4 , Land Rover  , Defender</t>
        </is>
      </c>
      <c r="G3119" t="inlineStr">
        <is>
          <t xml:space="preserve">Tom price </t>
        </is>
      </c>
      <c r="H3119" t="inlineStr">
        <is>
          <t>4x4</t>
        </is>
      </c>
      <c r="I3119" t="inlineStr">
        <is>
          <t>Daily/ Weekly Vehicle Inspection</t>
        </is>
      </c>
      <c r="J3119" t="inlineStr">
        <is>
          <t>N/A</t>
        </is>
      </c>
      <c r="K3119" t="inlineStr">
        <is>
          <t>7186 Eastwoodbury Tree Services Ltd</t>
        </is>
      </c>
      <c r="L3119" t="inlineStr">
        <is>
          <t>12/02/2026 08:08</t>
        </is>
      </c>
      <c r="M3119" t="inlineStr">
        <is>
          <t>None</t>
        </is>
      </c>
      <c r="N3119" t="inlineStr">
        <is>
          <t>&lt;p&gt;&lt;/p&gt;</t>
        </is>
      </c>
      <c r="O3119" t="inlineStr"/>
      <c r="P3119" t="inlineStr">
        <is>
          <t>FX14 XCV , 4x4 , Land Rover  , Defender</t>
        </is>
      </c>
      <c r="Q3119" t="inlineStr">
        <is>
          <t>UKPN</t>
        </is>
      </c>
      <c r="R3119" t="b">
        <v>0</v>
      </c>
    </row>
    <row r="3120">
      <c r="A3120" t="inlineStr">
        <is>
          <t>12 Feb 2026 / 7806 Optimum Tree Services Ltd / Utilities / UKPN</t>
        </is>
      </c>
      <c r="B3120" t="inlineStr">
        <is>
          <t>Utilities</t>
        </is>
      </c>
      <c r="C3120" t="inlineStr">
        <is>
          <t>UKPN</t>
        </is>
      </c>
      <c r="D3120" t="inlineStr">
        <is>
          <t>SA9TAPLAF27414263 , Trailer , Tow Mate , Plant Trailer</t>
        </is>
      </c>
      <c r="E3120" t="inlineStr">
        <is>
          <t>SA9TAPLAF27414263 , Trailer , Tow Mate , Plant Trailer</t>
        </is>
      </c>
      <c r="F3120" t="inlineStr">
        <is>
          <t>SA9TAPLAF27414263 , Trailer , Tow Mate , Plant Trailer</t>
        </is>
      </c>
      <c r="G3120" t="inlineStr">
        <is>
          <t xml:space="preserve">Abraham Davies </t>
        </is>
      </c>
      <c r="H3120" t="inlineStr">
        <is>
          <t>Plant Trailer</t>
        </is>
      </c>
      <c r="I3120" t="inlineStr">
        <is>
          <t>Daily/ Weekly Vehicle Inspection</t>
        </is>
      </c>
      <c r="J3120" t="inlineStr">
        <is>
          <t>N/A</t>
        </is>
      </c>
      <c r="K3120" t="inlineStr">
        <is>
          <t>7806 Optimum Tree Services Ltd</t>
        </is>
      </c>
      <c r="L3120" t="inlineStr">
        <is>
          <t>12/02/2026 08:09</t>
        </is>
      </c>
      <c r="M3120" t="inlineStr">
        <is>
          <t>None</t>
        </is>
      </c>
      <c r="N3120" t="inlineStr">
        <is>
          <t>&lt;p&gt;&lt;/p&gt;</t>
        </is>
      </c>
      <c r="O3120" t="inlineStr"/>
      <c r="P3120" t="inlineStr">
        <is>
          <t>SA9TAPLAF27414263 , Trailer , Tow Mate , Plant Trailer</t>
        </is>
      </c>
      <c r="Q3120" t="inlineStr">
        <is>
          <t>UKPN</t>
        </is>
      </c>
      <c r="R3120" t="b">
        <v>0</v>
      </c>
    </row>
    <row r="3121">
      <c r="A3121" t="inlineStr">
        <is>
          <t>12 Feb 2026 / 7806 Optimum Tree Services Ltd / Utilities / UKPN</t>
        </is>
      </c>
      <c r="B3121" t="inlineStr">
        <is>
          <t>Utilities</t>
        </is>
      </c>
      <c r="C3121" t="inlineStr">
        <is>
          <t>UKPN</t>
        </is>
      </c>
      <c r="D3121" t="inlineStr">
        <is>
          <t>WD14EVB , MEWP , Land Rover , Defender</t>
        </is>
      </c>
      <c r="E3121" t="inlineStr">
        <is>
          <t>WD14EVB , MEWP , Land Rover , Defender</t>
        </is>
      </c>
      <c r="F3121" t="inlineStr">
        <is>
          <t>WD14EVB , MEWP , Land Rover , Defender</t>
        </is>
      </c>
      <c r="G3121" t="inlineStr">
        <is>
          <t xml:space="preserve">Abraham Davies </t>
        </is>
      </c>
      <c r="H3121" t="inlineStr">
        <is>
          <t>4x4</t>
        </is>
      </c>
      <c r="I3121" t="inlineStr">
        <is>
          <t>Daily/ Weekly Vehicle Inspection</t>
        </is>
      </c>
      <c r="J3121" t="inlineStr">
        <is>
          <t>N/A</t>
        </is>
      </c>
      <c r="K3121" t="inlineStr">
        <is>
          <t>7806 Optimum Tree Services Ltd</t>
        </is>
      </c>
      <c r="L3121" t="inlineStr">
        <is>
          <t>12/02/2026 08:10</t>
        </is>
      </c>
      <c r="M3121" t="inlineStr">
        <is>
          <t>None</t>
        </is>
      </c>
      <c r="N3121" t="inlineStr">
        <is>
          <t>&lt;p&gt;&lt;/p&gt;</t>
        </is>
      </c>
      <c r="O3121" t="inlineStr"/>
      <c r="P3121" t="inlineStr">
        <is>
          <t>WD14EVB , MEWP , Land Rover , Defender</t>
        </is>
      </c>
      <c r="Q3121" t="inlineStr">
        <is>
          <t>UKPN</t>
        </is>
      </c>
      <c r="R3121" t="b">
        <v>0</v>
      </c>
    </row>
    <row r="3122">
      <c r="A3122" t="inlineStr">
        <is>
          <t>12 Feb 2026 / Thomas Playford / Utilities / UKPN</t>
        </is>
      </c>
      <c r="B3122" t="inlineStr">
        <is>
          <t>Utilities</t>
        </is>
      </c>
      <c r="C3122" t="inlineStr">
        <is>
          <t>UKPN</t>
        </is>
      </c>
      <c r="D3122" t="inlineStr">
        <is>
          <t>SA9ST800000283944 , Towed Chipper , Forst , ST8D - Towed</t>
        </is>
      </c>
      <c r="E3122" t="inlineStr">
        <is>
          <t>SA9ST800000283944 , Towed Chipper , Forst , ST8D - Towed</t>
        </is>
      </c>
      <c r="F3122" t="inlineStr">
        <is>
          <t>SA9ST800000283944 , Towed Chipper , Forst , ST8D - Towed</t>
        </is>
      </c>
      <c r="G3122" t="inlineStr">
        <is>
          <t>Thomas Playford</t>
        </is>
      </c>
      <c r="H3122" t="inlineStr">
        <is>
          <t>Towed Chipper</t>
        </is>
      </c>
      <c r="I3122" t="inlineStr">
        <is>
          <t>Daily/ Weekly Vehicle Inspection</t>
        </is>
      </c>
      <c r="J3122" t="inlineStr">
        <is>
          <t>N/A</t>
        </is>
      </c>
      <c r="K3122" t="inlineStr">
        <is>
          <t>7995 Green Net Eco Ltd 2</t>
        </is>
      </c>
      <c r="L3122" t="inlineStr">
        <is>
          <t>12/02/2026 08:14</t>
        </is>
      </c>
      <c r="M3122" t="inlineStr">
        <is>
          <t>None</t>
        </is>
      </c>
      <c r="N3122" t="inlineStr">
        <is>
          <t>&lt;p&gt;&lt;/p&gt;</t>
        </is>
      </c>
      <c r="O3122" t="inlineStr"/>
      <c r="P3122" t="inlineStr">
        <is>
          <t>SA9ST800000283944 , Towed Chipper , Forst , ST8D - Towed</t>
        </is>
      </c>
      <c r="Q3122" t="inlineStr">
        <is>
          <t>UKPN</t>
        </is>
      </c>
      <c r="R3122" t="b">
        <v>0</v>
      </c>
    </row>
    <row r="3123">
      <c r="A3123" t="inlineStr">
        <is>
          <t>12 Feb 2026 / Timbo Franklin M G Tree Surgery Ltd / Utilities / UKPN</t>
        </is>
      </c>
      <c r="B3123" t="inlineStr">
        <is>
          <t>Utilities</t>
        </is>
      </c>
      <c r="C3123" t="inlineStr">
        <is>
          <t>UKPN</t>
        </is>
      </c>
      <c r="D3123" t="inlineStr">
        <is>
          <t>GU13 WNL , MEWP , Land Rover , Defender 130</t>
        </is>
      </c>
      <c r="E3123" t="inlineStr">
        <is>
          <t>GU13 WNL , MEWP , Land Rover , Defender 130</t>
        </is>
      </c>
      <c r="F3123" t="inlineStr">
        <is>
          <t>GU13 WNL , MEWP , Land Rover , Defender 130</t>
        </is>
      </c>
      <c r="G3123" t="inlineStr">
        <is>
          <t xml:space="preserve">Tim Franklin </t>
        </is>
      </c>
      <c r="H3123" t="inlineStr">
        <is>
          <t>4x4</t>
        </is>
      </c>
      <c r="I3123" t="inlineStr">
        <is>
          <t>Daily/ Weekly Vehicle Inspection</t>
        </is>
      </c>
      <c r="J3123" t="inlineStr">
        <is>
          <t>N/A</t>
        </is>
      </c>
      <c r="K3123" t="inlineStr">
        <is>
          <t>7996 M G Tree Surgery Ltd 2</t>
        </is>
      </c>
      <c r="L3123" t="inlineStr">
        <is>
          <t>12/02/2026 08:15</t>
        </is>
      </c>
      <c r="M3123" t="inlineStr">
        <is>
          <t>None</t>
        </is>
      </c>
      <c r="N3123" t="inlineStr">
        <is>
          <t>&lt;p&gt;&lt;/p&gt;</t>
        </is>
      </c>
      <c r="O3123" t="inlineStr"/>
      <c r="P3123" t="inlineStr">
        <is>
          <t>GU13 WNL , MEWP , Land Rover , Defender 130</t>
        </is>
      </c>
      <c r="Q3123" t="inlineStr">
        <is>
          <t>UKPN</t>
        </is>
      </c>
      <c r="R3123" t="b">
        <v>0</v>
      </c>
    </row>
    <row r="3124">
      <c r="A3124" t="inlineStr">
        <is>
          <t>12 Feb 2026 / Thomas Playford / Utilities / UKPN</t>
        </is>
      </c>
      <c r="B3124" t="inlineStr">
        <is>
          <t>Utilities</t>
        </is>
      </c>
      <c r="C3124" t="inlineStr">
        <is>
          <t>UKPN</t>
        </is>
      </c>
      <c r="D3124" t="inlineStr">
        <is>
          <t>LK15KRZ , 4x4 , Landrover , Defender</t>
        </is>
      </c>
      <c r="E3124" t="inlineStr">
        <is>
          <t>LK15KRZ , 4x4 , Landrover , Defender</t>
        </is>
      </c>
      <c r="F3124" t="inlineStr">
        <is>
          <t>LK15KRZ , 4x4 , Landrover , Defender</t>
        </is>
      </c>
      <c r="G3124" t="inlineStr">
        <is>
          <t>Thomas Playford</t>
        </is>
      </c>
      <c r="H3124" t="inlineStr">
        <is>
          <t>4x4</t>
        </is>
      </c>
      <c r="I3124" t="inlineStr">
        <is>
          <t>Daily/ Weekly Vehicle Inspection</t>
        </is>
      </c>
      <c r="J3124" t="inlineStr">
        <is>
          <t>N/A</t>
        </is>
      </c>
      <c r="K3124" t="inlineStr">
        <is>
          <t>7995 Green Net Eco Ltd 2</t>
        </is>
      </c>
      <c r="L3124" t="inlineStr">
        <is>
          <t>12/02/2026 08:16</t>
        </is>
      </c>
      <c r="M3124" t="inlineStr">
        <is>
          <t>None</t>
        </is>
      </c>
      <c r="N3124" t="inlineStr">
        <is>
          <t>&lt;p&gt;&lt;/p&gt;</t>
        </is>
      </c>
      <c r="O3124" t="inlineStr"/>
      <c r="P3124" t="inlineStr">
        <is>
          <t>LK15KRZ , 4x4 , Landrover , Defender</t>
        </is>
      </c>
      <c r="Q3124" t="inlineStr">
        <is>
          <t>UKPN</t>
        </is>
      </c>
      <c r="R3124" t="b">
        <v>0</v>
      </c>
    </row>
    <row r="3125">
      <c r="A3125" t="inlineStr">
        <is>
          <t>12 Feb 2026 / Anthony Gale / Utilities / UKPN</t>
        </is>
      </c>
      <c r="B3125" t="inlineStr">
        <is>
          <t>Utilities</t>
        </is>
      </c>
      <c r="C3125" t="inlineStr">
        <is>
          <t>UKPN</t>
        </is>
      </c>
      <c r="D3125" t="inlineStr"/>
      <c r="E3125" t="inlineStr"/>
      <c r="F3125" t="inlineStr"/>
      <c r="G3125" t="inlineStr">
        <is>
          <t>Anthony Gale</t>
        </is>
      </c>
      <c r="H3125" t="inlineStr">
        <is>
          <t>Towed Chipper</t>
        </is>
      </c>
      <c r="I3125" t="inlineStr">
        <is>
          <t>Daily/ Weekly Vehicle Inspection</t>
        </is>
      </c>
      <c r="J3125" t="inlineStr">
        <is>
          <t>N/A</t>
        </is>
      </c>
      <c r="K3125" t="inlineStr">
        <is>
          <t>7996 M G Tree Surgery Ltd 1</t>
        </is>
      </c>
      <c r="L3125" t="inlineStr">
        <is>
          <t>12/02/2026 08:17</t>
        </is>
      </c>
      <c r="M3125" t="inlineStr">
        <is>
          <t>None</t>
        </is>
      </c>
      <c r="N3125" t="inlineStr">
        <is>
          <t>&lt;p&gt;&lt;/p&gt;</t>
        </is>
      </c>
      <c r="O3125" t="inlineStr"/>
      <c r="P3125" t="inlineStr"/>
      <c r="Q3125" t="inlineStr">
        <is>
          <t>UKPN</t>
        </is>
      </c>
      <c r="R3125" t="b">
        <v>0</v>
      </c>
    </row>
    <row r="3126">
      <c r="A3126" t="inlineStr">
        <is>
          <t>12 Feb 2026 / Anthony Gale / Utilities / UKPN</t>
        </is>
      </c>
      <c r="B3126" t="inlineStr">
        <is>
          <t>Utilities</t>
        </is>
      </c>
      <c r="C3126" t="inlineStr">
        <is>
          <t>UKPN</t>
        </is>
      </c>
      <c r="D3126" t="inlineStr">
        <is>
          <t>KX20 BCE , Tipper , Isuzu , D-Max</t>
        </is>
      </c>
      <c r="E3126" t="inlineStr">
        <is>
          <t>KX20 BCE , Tipper , Isuzu , D-Max</t>
        </is>
      </c>
      <c r="F3126" t="inlineStr">
        <is>
          <t>KX20 BCE , Tipper , Isuzu , D-Max</t>
        </is>
      </c>
      <c r="G3126" t="inlineStr">
        <is>
          <t>Anthony Gale</t>
        </is>
      </c>
      <c r="H3126" t="inlineStr">
        <is>
          <t>Pickup Truck</t>
        </is>
      </c>
      <c r="I3126" t="inlineStr">
        <is>
          <t>Daily/ Weekly Vehicle Inspection</t>
        </is>
      </c>
      <c r="J3126" t="inlineStr">
        <is>
          <t>N/A</t>
        </is>
      </c>
      <c r="K3126" t="inlineStr">
        <is>
          <t>7996 M G Tree Surgery Ltd 1</t>
        </is>
      </c>
      <c r="L3126" t="inlineStr">
        <is>
          <t>12/02/2026 08:19</t>
        </is>
      </c>
      <c r="M3126" t="inlineStr">
        <is>
          <t>None</t>
        </is>
      </c>
      <c r="N3126" t="inlineStr">
        <is>
          <t>&lt;p&gt;&lt;/p&gt;</t>
        </is>
      </c>
      <c r="O3126" t="inlineStr">
        <is>
          <t>Confirm that you have checked this vehicle as per the guidance document and the vehicle is safe and roadworthy:Light board deteriorating.
Safe for now.
Will need replacing soon
-</t>
        </is>
      </c>
      <c r="P3126" t="inlineStr">
        <is>
          <t>KX20 BCE , Tipper , Isuzu , D-Max</t>
        </is>
      </c>
      <c r="Q3126" t="inlineStr">
        <is>
          <t>UKPN</t>
        </is>
      </c>
      <c r="R3126" t="b">
        <v>0</v>
      </c>
    </row>
    <row r="3127">
      <c r="A3127" t="inlineStr">
        <is>
          <t>12 Feb 2026 / 6617 Ashdown Tree Limited / Utilities / UKPN</t>
        </is>
      </c>
      <c r="B3127" t="inlineStr">
        <is>
          <t>Utilities</t>
        </is>
      </c>
      <c r="C3127" t="inlineStr">
        <is>
          <t>UKPN</t>
        </is>
      </c>
      <c r="D3127" t="inlineStr">
        <is>
          <t>AV69 LVR , Tipper , Transit , Ford</t>
        </is>
      </c>
      <c r="E3127" t="inlineStr">
        <is>
          <t>AV69 LVR , Tipper , Transit , Ford</t>
        </is>
      </c>
      <c r="F3127" t="inlineStr">
        <is>
          <t>AV69 LVR , Tipper , Transit , Ford</t>
        </is>
      </c>
      <c r="G3127" t="inlineStr">
        <is>
          <t xml:space="preserve">Jamie copper </t>
        </is>
      </c>
      <c r="H3127" t="inlineStr">
        <is>
          <t>Tipper</t>
        </is>
      </c>
      <c r="I3127" t="inlineStr">
        <is>
          <t>Daily/ Weekly Vehicle Inspection</t>
        </is>
      </c>
      <c r="J3127" t="inlineStr">
        <is>
          <t>N/A</t>
        </is>
      </c>
      <c r="K3127" t="inlineStr">
        <is>
          <t>6617 Ashdown Tree Limited</t>
        </is>
      </c>
      <c r="L3127" t="inlineStr">
        <is>
          <t>12/02/2026 09:09</t>
        </is>
      </c>
      <c r="M3127" t="inlineStr">
        <is>
          <t>None</t>
        </is>
      </c>
      <c r="N3127" t="inlineStr">
        <is>
          <t>&lt;p&gt;&lt;/p&gt;</t>
        </is>
      </c>
      <c r="O3127" t="inlineStr"/>
      <c r="P3127" t="inlineStr">
        <is>
          <t>AV69 LVR , Tipper , Transit , Ford</t>
        </is>
      </c>
      <c r="Q3127" t="inlineStr">
        <is>
          <t>UKPN</t>
        </is>
      </c>
      <c r="R3127" t="b">
        <v>0</v>
      </c>
    </row>
    <row r="3128">
      <c r="A3128" t="inlineStr">
        <is>
          <t>12 Feb 2026 / 6617 Ashdown Tree Limited / Utilities / UKPN</t>
        </is>
      </c>
      <c r="B3128" t="inlineStr">
        <is>
          <t>Utilities</t>
        </is>
      </c>
      <c r="C3128" t="inlineStr">
        <is>
          <t>UKPN</t>
        </is>
      </c>
      <c r="D3128" t="inlineStr">
        <is>
          <t>WF11EJJ , Vehicle , Land Rover , Discovery</t>
        </is>
      </c>
      <c r="E3128" t="inlineStr">
        <is>
          <t>WF11EJJ , Vehicle , Land Rover , Discovery</t>
        </is>
      </c>
      <c r="F3128" t="inlineStr">
        <is>
          <t>WF11EJJ , Vehicle , Land Rover , Discovery</t>
        </is>
      </c>
      <c r="G3128" t="inlineStr">
        <is>
          <t xml:space="preserve">A Horwood </t>
        </is>
      </c>
      <c r="H3128" t="inlineStr">
        <is>
          <t>4x4</t>
        </is>
      </c>
      <c r="I3128" t="inlineStr">
        <is>
          <t>Daily/ Weekly Vehicle Inspection</t>
        </is>
      </c>
      <c r="J3128" t="inlineStr">
        <is>
          <t>N/A</t>
        </is>
      </c>
      <c r="K3128" t="inlineStr">
        <is>
          <t>6617 Ashdown Tree Limited</t>
        </is>
      </c>
      <c r="L3128" t="inlineStr">
        <is>
          <t>12/02/2026 09:11</t>
        </is>
      </c>
      <c r="M3128" t="inlineStr">
        <is>
          <t>None</t>
        </is>
      </c>
      <c r="N3128" t="inlineStr">
        <is>
          <t>&lt;p&gt;&lt;/p&gt;</t>
        </is>
      </c>
      <c r="O3128" t="inlineStr"/>
      <c r="P3128" t="inlineStr">
        <is>
          <t>WF11EJJ , Vehicle , Land Rover , Discovery</t>
        </is>
      </c>
      <c r="Q3128" t="inlineStr">
        <is>
          <t>UKPN</t>
        </is>
      </c>
      <c r="R3128" t="b">
        <v>0</v>
      </c>
    </row>
    <row r="3129">
      <c r="A3129" t="inlineStr">
        <is>
          <t>12 Feb 2026 / 3098 D &amp; R Landscapes 2 / Utilities / UKPN</t>
        </is>
      </c>
      <c r="B3129" t="inlineStr">
        <is>
          <t>Utilities</t>
        </is>
      </c>
      <c r="C3129" t="inlineStr">
        <is>
          <t>UKPN</t>
        </is>
      </c>
      <c r="D3129" t="inlineStr">
        <is>
          <t>BT20 GNZ , Vehicle , Nissan , Navara</t>
        </is>
      </c>
      <c r="E3129" t="inlineStr">
        <is>
          <t>BT20 GNZ , Vehicle , Nissan , Navara</t>
        </is>
      </c>
      <c r="F3129" t="inlineStr">
        <is>
          <t>BT20 GNZ , Vehicle , Nissan , Navara</t>
        </is>
      </c>
      <c r="G3129" t="inlineStr">
        <is>
          <t>Scott Andrews</t>
        </is>
      </c>
      <c r="H3129" t="inlineStr">
        <is>
          <t>4x4</t>
        </is>
      </c>
      <c r="I3129" t="inlineStr">
        <is>
          <t>Daily/ Weekly Vehicle Inspection</t>
        </is>
      </c>
      <c r="J3129" t="inlineStr">
        <is>
          <t>N/A</t>
        </is>
      </c>
      <c r="K3129" t="inlineStr">
        <is>
          <t>3098 D &amp; R Landscapes 2</t>
        </is>
      </c>
      <c r="L3129" t="inlineStr">
        <is>
          <t>12/02/2026 09:15</t>
        </is>
      </c>
      <c r="M3129" t="inlineStr">
        <is>
          <t>None</t>
        </is>
      </c>
      <c r="N3129" t="inlineStr">
        <is>
          <t>&lt;p&gt;&lt;/p&gt;</t>
        </is>
      </c>
      <c r="O3129" t="inlineStr"/>
      <c r="P3129" t="inlineStr">
        <is>
          <t>BT20 GNZ , Vehicle , Nissan , Navara</t>
        </is>
      </c>
      <c r="Q3129" t="inlineStr">
        <is>
          <t>UKPN</t>
        </is>
      </c>
      <c r="R3129" t="b">
        <v>0</v>
      </c>
    </row>
    <row r="3130">
      <c r="A3130" t="inlineStr">
        <is>
          <t>12 Feb 2026 / Andrew Carr / Utilities / SSE</t>
        </is>
      </c>
      <c r="B3130" t="inlineStr">
        <is>
          <t>Utilities</t>
        </is>
      </c>
      <c r="C3130" t="inlineStr">
        <is>
          <t>SSE</t>
        </is>
      </c>
      <c r="D3130" t="inlineStr"/>
      <c r="E3130" t="inlineStr"/>
      <c r="F3130" t="inlineStr"/>
      <c r="G3130" t="inlineStr">
        <is>
          <t xml:space="preserve">Andrew Carr </t>
        </is>
      </c>
      <c r="H3130" t="inlineStr">
        <is>
          <t>Car - Petrol</t>
        </is>
      </c>
      <c r="I3130" t="inlineStr">
        <is>
          <t>Daily/ Weekly Vehicle Inspection</t>
        </is>
      </c>
      <c r="J3130" t="inlineStr">
        <is>
          <t>N/A</t>
        </is>
      </c>
      <c r="K3130" t="inlineStr">
        <is>
          <t>Andrew Carr</t>
        </is>
      </c>
      <c r="L3130" t="inlineStr">
        <is>
          <t>12/02/2026 09:16</t>
        </is>
      </c>
      <c r="M3130" t="inlineStr">
        <is>
          <t>None</t>
        </is>
      </c>
      <c r="N3130" t="inlineStr">
        <is>
          <t>&lt;p&gt;&lt;/p&gt;</t>
        </is>
      </c>
      <c r="O3130" t="inlineStr"/>
      <c r="P3130" t="inlineStr"/>
      <c r="Q3130" t="inlineStr">
        <is>
          <t>SSE</t>
        </is>
      </c>
      <c r="R3130" t="b">
        <v>0</v>
      </c>
    </row>
    <row r="3131">
      <c r="A3131" t="inlineStr">
        <is>
          <t>12 Feb 2026 / 7800 MAC Tree Surgery and Fencing Ltd / Utilities / UKPN</t>
        </is>
      </c>
      <c r="B3131" t="inlineStr">
        <is>
          <t>Utilities</t>
        </is>
      </c>
      <c r="C3131" t="inlineStr">
        <is>
          <t>UKPN</t>
        </is>
      </c>
      <c r="D3131" t="inlineStr">
        <is>
          <t>AY68DAA , 4x4 , Izuzu , Dmax</t>
        </is>
      </c>
      <c r="E3131" t="inlineStr">
        <is>
          <t>AY68DAA , 4x4 , Izuzu , Dmax</t>
        </is>
      </c>
      <c r="F3131" t="inlineStr">
        <is>
          <t>AY68DAA , 4x4 , Izuzu , Dmax</t>
        </is>
      </c>
      <c r="G3131" t="inlineStr">
        <is>
          <t xml:space="preserve">Patrick O'Shea </t>
        </is>
      </c>
      <c r="H3131" t="inlineStr">
        <is>
          <t>4x4</t>
        </is>
      </c>
      <c r="I3131" t="inlineStr">
        <is>
          <t>Daily/ Weekly Vehicle Inspection</t>
        </is>
      </c>
      <c r="J3131" t="inlineStr">
        <is>
          <t>N/A</t>
        </is>
      </c>
      <c r="K3131" t="inlineStr">
        <is>
          <t>7800 MAC Tree Surgery and Fencing Ltd</t>
        </is>
      </c>
      <c r="L3131" t="inlineStr">
        <is>
          <t>12/02/2026 09:17</t>
        </is>
      </c>
      <c r="M3131" t="inlineStr">
        <is>
          <t>None</t>
        </is>
      </c>
      <c r="N3131" t="inlineStr">
        <is>
          <t>&lt;p&gt;&lt;/p&gt;</t>
        </is>
      </c>
      <c r="O3131" t="inlineStr"/>
      <c r="P3131" t="inlineStr">
        <is>
          <t>AY68DAA , 4x4 , Izuzu , Dmax</t>
        </is>
      </c>
      <c r="Q3131" t="inlineStr">
        <is>
          <t>UKPN</t>
        </is>
      </c>
      <c r="R3131" t="b">
        <v>0</v>
      </c>
    </row>
    <row r="3132">
      <c r="A3132" t="inlineStr">
        <is>
          <t>12 Feb 2026 / 7800 MAC Tree Surgery and Fencing Ltd / Utilities / UKPN</t>
        </is>
      </c>
      <c r="B3132" t="inlineStr">
        <is>
          <t>Utilities</t>
        </is>
      </c>
      <c r="C3132" t="inlineStr">
        <is>
          <t>UKPN</t>
        </is>
      </c>
      <c r="D3132" t="inlineStr">
        <is>
          <t>Plant Trailer - Towmate - 2.8t - 0</t>
        </is>
      </c>
      <c r="E3132" t="inlineStr">
        <is>
          <t>Plant Trailer - Towmate - 2.8t - 0</t>
        </is>
      </c>
      <c r="F3132" t="inlineStr">
        <is>
          <t>Plant Trailer - Towmate - 2.8t - 0</t>
        </is>
      </c>
      <c r="G3132" t="inlineStr">
        <is>
          <t>Lewis mac</t>
        </is>
      </c>
      <c r="H3132" t="inlineStr">
        <is>
          <t>Plant Trailer</t>
        </is>
      </c>
      <c r="I3132" t="inlineStr">
        <is>
          <t>Daily/ Weekly Vehicle Inspection</t>
        </is>
      </c>
      <c r="J3132" t="inlineStr">
        <is>
          <t>N/A</t>
        </is>
      </c>
      <c r="K3132" t="inlineStr">
        <is>
          <t>7800 MAC Tree Surgery and Fencing Ltd</t>
        </is>
      </c>
      <c r="L3132" t="inlineStr">
        <is>
          <t>12/02/2026 09:18</t>
        </is>
      </c>
      <c r="M3132" t="inlineStr">
        <is>
          <t>None</t>
        </is>
      </c>
      <c r="N3132" t="inlineStr">
        <is>
          <t>&lt;p&gt;&lt;/p&gt;</t>
        </is>
      </c>
      <c r="O3132" t="inlineStr"/>
      <c r="P3132" t="inlineStr">
        <is>
          <t>Plant Trailer - Towmate - 2.8t - 0</t>
        </is>
      </c>
      <c r="Q3132" t="inlineStr">
        <is>
          <t>UKPN</t>
        </is>
      </c>
      <c r="R3132" t="b">
        <v>0</v>
      </c>
    </row>
    <row r="3133">
      <c r="A3133" t="inlineStr">
        <is>
          <t>12 Feb 2026 / Philip Shaw / Utilities / NGED</t>
        </is>
      </c>
      <c r="B3133" t="inlineStr">
        <is>
          <t>Utilities</t>
        </is>
      </c>
      <c r="C3133" t="inlineStr">
        <is>
          <t>NGED</t>
        </is>
      </c>
      <c r="D3133" t="inlineStr">
        <is>
          <t>AF22TZO , Car - Electric , Tesla , Model 3 Long Range AWD</t>
        </is>
      </c>
      <c r="E3133" t="inlineStr">
        <is>
          <t>AF22TZO , Car - Electric , Tesla , Model 3 Long Range AWD</t>
        </is>
      </c>
      <c r="F3133" t="inlineStr">
        <is>
          <t>AF22TZO , Car - Electric , Tesla , Model 3 Long Range AWD</t>
        </is>
      </c>
      <c r="G3133" t="inlineStr">
        <is>
          <t xml:space="preserve">Philip shaw </t>
        </is>
      </c>
      <c r="H3133" t="inlineStr">
        <is>
          <t>Car - Electric (GC Owned)</t>
        </is>
      </c>
      <c r="I3133" t="inlineStr">
        <is>
          <t>Daily/ Weekly Vehicle Inspection</t>
        </is>
      </c>
      <c r="J3133" t="inlineStr">
        <is>
          <t>N/A</t>
        </is>
      </c>
      <c r="K3133" t="inlineStr">
        <is>
          <t>Philip Shaw</t>
        </is>
      </c>
      <c r="L3133" t="inlineStr">
        <is>
          <t>12/02/2026 14:11</t>
        </is>
      </c>
      <c r="M3133" t="inlineStr">
        <is>
          <t>None</t>
        </is>
      </c>
      <c r="N3133" t="inlineStr">
        <is>
          <t>&lt;p&gt;&lt;/p&gt;</t>
        </is>
      </c>
      <c r="O3133" t="inlineStr"/>
      <c r="P3133" t="inlineStr">
        <is>
          <t>AF22TZO , Car - Electric , Tesla , Model 3 Long Range AWD</t>
        </is>
      </c>
      <c r="Q3133" t="inlineStr">
        <is>
          <t>NGED</t>
        </is>
      </c>
      <c r="R3133" t="b">
        <v>0</v>
      </c>
    </row>
    <row r="3134">
      <c r="A3134" t="inlineStr">
        <is>
          <t>12 Feb 2026 / Donovan Gosher / Utilities / NGED</t>
        </is>
      </c>
      <c r="B3134" t="inlineStr">
        <is>
          <t>Utilities</t>
        </is>
      </c>
      <c r="C3134" t="inlineStr">
        <is>
          <t>NGED</t>
        </is>
      </c>
      <c r="D3134" t="inlineStr">
        <is>
          <t>AJ72EWU , Car - Electric , Tesla , Model Y Long Range</t>
        </is>
      </c>
      <c r="E3134" t="inlineStr">
        <is>
          <t>AJ72EWU , Car - Electric , Tesla , Model Y Long Range</t>
        </is>
      </c>
      <c r="F3134" t="inlineStr">
        <is>
          <t>AJ72EWU , Car - Electric , Tesla , Model Y Long Range</t>
        </is>
      </c>
      <c r="G3134" t="inlineStr">
        <is>
          <t>Donovan Gosher</t>
        </is>
      </c>
      <c r="H3134" t="inlineStr">
        <is>
          <t>Car - Electric (GC Owned)</t>
        </is>
      </c>
      <c r="I3134" t="inlineStr">
        <is>
          <t>Daily/ Weekly Vehicle Inspection</t>
        </is>
      </c>
      <c r="J3134" t="inlineStr">
        <is>
          <t>N/A</t>
        </is>
      </c>
      <c r="K3134" t="inlineStr">
        <is>
          <t>Donovan Gosher</t>
        </is>
      </c>
      <c r="L3134" t="inlineStr">
        <is>
          <t>12/02/2026 15:27</t>
        </is>
      </c>
      <c r="M3134" t="inlineStr">
        <is>
          <t>None</t>
        </is>
      </c>
      <c r="N3134" t="inlineStr">
        <is>
          <t>&lt;p&gt;&lt;/p&gt;</t>
        </is>
      </c>
      <c r="O3134" t="inlineStr"/>
      <c r="P3134" t="inlineStr">
        <is>
          <t>AJ72EWU , Car - Electric , Tesla , Model Y Long Range</t>
        </is>
      </c>
      <c r="Q3134" t="inlineStr">
        <is>
          <t>NGED</t>
        </is>
      </c>
      <c r="R3134" t="b">
        <v>0</v>
      </c>
    </row>
    <row r="3135">
      <c r="A3135" t="inlineStr">
        <is>
          <t>28 Jan 2026 / James Heaton / Utilities / NGED</t>
        </is>
      </c>
      <c r="B3135" t="inlineStr">
        <is>
          <t>Utilities</t>
        </is>
      </c>
      <c r="C3135" t="inlineStr">
        <is>
          <t>NGED</t>
        </is>
      </c>
      <c r="D3135" t="inlineStr">
        <is>
          <t>AJ23EJK , Car - Electric , Tesla , Model 3 Long Range AWD</t>
        </is>
      </c>
      <c r="E3135" t="inlineStr">
        <is>
          <t>AJ23EJK , Car - Electric , Tesla , Model 3 Long Range AWD</t>
        </is>
      </c>
      <c r="F3135" t="inlineStr">
        <is>
          <t>AJ23EJK , Car - Electric , Tesla , Model 3 Long Range AWD</t>
        </is>
      </c>
      <c r="G3135" t="inlineStr">
        <is>
          <t>James heaton</t>
        </is>
      </c>
      <c r="H3135" t="inlineStr">
        <is>
          <t>Car - Electric (GC Owned)</t>
        </is>
      </c>
      <c r="I3135" t="inlineStr">
        <is>
          <t>Daily/ Weekly Vehicle Inspection</t>
        </is>
      </c>
      <c r="J3135" t="inlineStr">
        <is>
          <t>N/A</t>
        </is>
      </c>
      <c r="K3135" t="inlineStr">
        <is>
          <t>James Heaton</t>
        </is>
      </c>
      <c r="L3135" t="inlineStr">
        <is>
          <t>12/02/2026 16:28</t>
        </is>
      </c>
      <c r="M3135" t="inlineStr">
        <is>
          <t>None</t>
        </is>
      </c>
      <c r="N3135" t="inlineStr">
        <is>
          <t>&lt;p&gt;&lt;/p&gt;</t>
        </is>
      </c>
      <c r="O3135" t="inlineStr"/>
      <c r="P3135" t="inlineStr">
        <is>
          <t>AJ23EJK , Car - Electric , Tesla , Model 3 Long Range AWD</t>
        </is>
      </c>
      <c r="Q3135" t="inlineStr">
        <is>
          <t>NGED</t>
        </is>
      </c>
      <c r="R3135" t="b">
        <v>0</v>
      </c>
    </row>
    <row r="3136">
      <c r="A3136" t="inlineStr">
        <is>
          <t>13 Feb 2026 / 3098 D &amp; R Landscapes / Utilities / UKPN</t>
        </is>
      </c>
      <c r="B3136" t="inlineStr">
        <is>
          <t>Utilities</t>
        </is>
      </c>
      <c r="C3136" t="inlineStr">
        <is>
          <t>UKPN</t>
        </is>
      </c>
      <c r="D3136" t="inlineStr">
        <is>
          <t>WA13ZZK , 4x4 , Land Rover  , Defender</t>
        </is>
      </c>
      <c r="E3136" t="inlineStr">
        <is>
          <t>WA13ZZK , 4x4 , Land Rover  , Defender</t>
        </is>
      </c>
      <c r="F3136" t="inlineStr">
        <is>
          <t>WA13ZZK , 4x4 , Land Rover  , Defender</t>
        </is>
      </c>
      <c r="G3136" t="inlineStr">
        <is>
          <t xml:space="preserve">Josh </t>
        </is>
      </c>
      <c r="H3136" t="inlineStr">
        <is>
          <t>Pickup Truck</t>
        </is>
      </c>
      <c r="I3136" t="inlineStr">
        <is>
          <t>Daily/ Weekly Vehicle Inspection</t>
        </is>
      </c>
      <c r="J3136" t="inlineStr">
        <is>
          <t>N/A</t>
        </is>
      </c>
      <c r="K3136" t="inlineStr">
        <is>
          <t>3098 D &amp; R Landscapes</t>
        </is>
      </c>
      <c r="L3136" t="inlineStr">
        <is>
          <t>13/02/2026 07:28</t>
        </is>
      </c>
      <c r="M3136" t="inlineStr">
        <is>
          <t>None</t>
        </is>
      </c>
      <c r="N3136" t="inlineStr">
        <is>
          <t>&lt;p&gt;&lt;/p&gt;</t>
        </is>
      </c>
      <c r="O3136" t="inlineStr"/>
      <c r="P3136" t="inlineStr">
        <is>
          <t>WA13ZZK , 4x4 , Land Rover  , Defender</t>
        </is>
      </c>
      <c r="Q3136" t="inlineStr">
        <is>
          <t>UKPN</t>
        </is>
      </c>
      <c r="R3136" t="b">
        <v>0</v>
      </c>
    </row>
    <row r="3137">
      <c r="A3137" t="inlineStr">
        <is>
          <t>13 Feb 2026 / 3098 D &amp; R Landscapes / Utilities / UKPN</t>
        </is>
      </c>
      <c r="B3137" t="inlineStr">
        <is>
          <t>Utilities</t>
        </is>
      </c>
      <c r="C3137" t="inlineStr">
        <is>
          <t>UKPN</t>
        </is>
      </c>
      <c r="D3137" t="inlineStr">
        <is>
          <t>DE68XHA , Tipper , Isuzu , Grafter</t>
        </is>
      </c>
      <c r="E3137" t="inlineStr">
        <is>
          <t>DE68XHA , Tipper , Isuzu , Grafter</t>
        </is>
      </c>
      <c r="F3137" t="inlineStr">
        <is>
          <t>DE68XHA , Tipper , Isuzu , Grafter</t>
        </is>
      </c>
      <c r="G3137" t="inlineStr">
        <is>
          <t xml:space="preserve">Chris </t>
        </is>
      </c>
      <c r="H3137" t="inlineStr">
        <is>
          <t>Tipper</t>
        </is>
      </c>
      <c r="I3137" t="inlineStr">
        <is>
          <t>Daily/ Weekly Vehicle Inspection</t>
        </is>
      </c>
      <c r="J3137" t="inlineStr">
        <is>
          <t>N/A</t>
        </is>
      </c>
      <c r="K3137" t="inlineStr">
        <is>
          <t>3098 D &amp; R Landscapes</t>
        </is>
      </c>
      <c r="L3137" t="inlineStr">
        <is>
          <t>13/02/2026 07:29</t>
        </is>
      </c>
      <c r="M3137" t="inlineStr">
        <is>
          <t>None</t>
        </is>
      </c>
      <c r="N3137" t="inlineStr">
        <is>
          <t>&lt;p&gt;&lt;/p&gt;</t>
        </is>
      </c>
      <c r="O3137" t="inlineStr"/>
      <c r="P3137" t="inlineStr">
        <is>
          <t>DE68XHA , Tipper , Isuzu , Grafter</t>
        </is>
      </c>
      <c r="Q3137" t="inlineStr">
        <is>
          <t>UKPN</t>
        </is>
      </c>
      <c r="R3137" t="b">
        <v>0</v>
      </c>
    </row>
    <row r="3138">
      <c r="A3138" t="inlineStr">
        <is>
          <t>13 Feb 2026 / 7951 Austin Tree Care LTD / Utilities / UKPN</t>
        </is>
      </c>
      <c r="B3138" t="inlineStr">
        <is>
          <t>Utilities</t>
        </is>
      </c>
      <c r="C3138" t="inlineStr">
        <is>
          <t>UKPN</t>
        </is>
      </c>
      <c r="D3138" t="inlineStr">
        <is>
          <t>SA9ST6P0001283612 , Towed Chipper , Forst , ST6p</t>
        </is>
      </c>
      <c r="E3138" t="inlineStr">
        <is>
          <t>SA9ST6P0001283612 , Towed Chipper , Forst , ST6p</t>
        </is>
      </c>
      <c r="F3138" t="inlineStr">
        <is>
          <t>SA9ST6P0001283612 , Towed Chipper , Forst , ST6p</t>
        </is>
      </c>
      <c r="G3138" t="inlineStr">
        <is>
          <t xml:space="preserve">Jack Austin </t>
        </is>
      </c>
      <c r="H3138" t="inlineStr">
        <is>
          <t>Towed Chipper</t>
        </is>
      </c>
      <c r="I3138" t="inlineStr">
        <is>
          <t>Daily/ Weekly Vehicle Inspection</t>
        </is>
      </c>
      <c r="J3138" t="inlineStr">
        <is>
          <t>N/A</t>
        </is>
      </c>
      <c r="K3138" t="inlineStr">
        <is>
          <t>7951 Austin Tree Care LTD</t>
        </is>
      </c>
      <c r="L3138" t="inlineStr">
        <is>
          <t>13/02/2026 07:30</t>
        </is>
      </c>
      <c r="M3138" t="inlineStr">
        <is>
          <t>None</t>
        </is>
      </c>
      <c r="N3138" t="inlineStr">
        <is>
          <t>&lt;p&gt;&lt;/p&gt;</t>
        </is>
      </c>
      <c r="O3138" t="inlineStr"/>
      <c r="P3138" t="inlineStr">
        <is>
          <t>SA9ST6P0001283612 , Towed Chipper , Forst , ST6p</t>
        </is>
      </c>
      <c r="Q3138" t="inlineStr">
        <is>
          <t>UKPN</t>
        </is>
      </c>
      <c r="R3138" t="b">
        <v>0</v>
      </c>
    </row>
    <row r="3139">
      <c r="A3139" t="inlineStr">
        <is>
          <t>13 Feb 2026 / 7951 Austin Tree Care LTD / Utilities / UKPN</t>
        </is>
      </c>
      <c r="B3139" t="inlineStr">
        <is>
          <t>Utilities</t>
        </is>
      </c>
      <c r="C3139" t="inlineStr">
        <is>
          <t>UKPN</t>
        </is>
      </c>
      <c r="D3139" t="inlineStr">
        <is>
          <t>WG64HTT , 4x4 , Land Rover , Defender 110</t>
        </is>
      </c>
      <c r="E3139" t="inlineStr">
        <is>
          <t>WG64HTT , 4x4 , Land Rover , Defender 110</t>
        </is>
      </c>
      <c r="F3139" t="inlineStr">
        <is>
          <t>WG64HTT , 4x4 , Land Rover , Defender 110</t>
        </is>
      </c>
      <c r="G3139" t="inlineStr">
        <is>
          <t xml:space="preserve">Jack Austin </t>
        </is>
      </c>
      <c r="H3139" t="inlineStr">
        <is>
          <t>4x4</t>
        </is>
      </c>
      <c r="I3139" t="inlineStr">
        <is>
          <t>Daily/ Weekly Vehicle Inspection</t>
        </is>
      </c>
      <c r="J3139" t="inlineStr">
        <is>
          <t>N/A</t>
        </is>
      </c>
      <c r="K3139" t="inlineStr">
        <is>
          <t>7951 Austin Tree Care LTD</t>
        </is>
      </c>
      <c r="L3139" t="inlineStr">
        <is>
          <t>13/02/2026 07:31</t>
        </is>
      </c>
      <c r="M3139" t="inlineStr">
        <is>
          <t>None</t>
        </is>
      </c>
      <c r="N3139" t="inlineStr">
        <is>
          <t>&lt;p&gt;&lt;/p&gt;</t>
        </is>
      </c>
      <c r="O3139" t="inlineStr"/>
      <c r="P3139" t="inlineStr">
        <is>
          <t>WG64HTT , 4x4 , Land Rover , Defender 110</t>
        </is>
      </c>
      <c r="Q3139" t="inlineStr">
        <is>
          <t>UKPN</t>
        </is>
      </c>
      <c r="R3139" t="b">
        <v>0</v>
      </c>
    </row>
    <row r="3140">
      <c r="A3140" t="inlineStr">
        <is>
          <t>13 Feb 2026 / Anthony Gale / Utilities / UKPN</t>
        </is>
      </c>
      <c r="B3140" t="inlineStr">
        <is>
          <t>Utilities</t>
        </is>
      </c>
      <c r="C3140" t="inlineStr">
        <is>
          <t>UKPN</t>
        </is>
      </c>
      <c r="D3140" t="inlineStr">
        <is>
          <t>KX20 BCE , Tipper , Isuzu , D-Max</t>
        </is>
      </c>
      <c r="E3140" t="inlineStr">
        <is>
          <t>KX20 BCE , Tipper , Isuzu , D-Max</t>
        </is>
      </c>
      <c r="F3140" t="inlineStr">
        <is>
          <t>KX20 BCE , Tipper , Isuzu , D-Max</t>
        </is>
      </c>
      <c r="G3140" t="inlineStr">
        <is>
          <t>Anthony Gale</t>
        </is>
      </c>
      <c r="H3140" t="inlineStr">
        <is>
          <t>Pickup Truck</t>
        </is>
      </c>
      <c r="I3140" t="inlineStr">
        <is>
          <t>Daily/ Weekly Vehicle Inspection</t>
        </is>
      </c>
      <c r="J3140" t="inlineStr">
        <is>
          <t>N/A</t>
        </is>
      </c>
      <c r="K3140" t="inlineStr">
        <is>
          <t>7996 M G Tree Surgery Ltd 1</t>
        </is>
      </c>
      <c r="L3140" t="inlineStr">
        <is>
          <t>13/02/2026 07:32</t>
        </is>
      </c>
      <c r="M3140" t="inlineStr">
        <is>
          <t>None</t>
        </is>
      </c>
      <c r="N3140" t="inlineStr">
        <is>
          <t>&lt;p&gt;&lt;/p&gt;</t>
        </is>
      </c>
      <c r="O3140" t="inlineStr">
        <is>
          <t>Confirm that you have checked this vehicle as per the guidance document and the vehicle is safe and roadworthy:Light board deteriorating.
Safe for now.
Will need replacing soon.
-</t>
        </is>
      </c>
      <c r="P3140" t="inlineStr">
        <is>
          <t>KX20 BCE , Tipper , Isuzu , D-Max</t>
        </is>
      </c>
      <c r="Q3140" t="inlineStr">
        <is>
          <t>UKPN</t>
        </is>
      </c>
      <c r="R3140" t="b">
        <v>0</v>
      </c>
    </row>
    <row r="3141">
      <c r="A3141" t="inlineStr">
        <is>
          <t>13 Feb 2026 / 7806 Optimum Tree Services Ltd / Utilities / UKPN</t>
        </is>
      </c>
      <c r="B3141" t="inlineStr">
        <is>
          <t>Utilities</t>
        </is>
      </c>
      <c r="C3141" t="inlineStr">
        <is>
          <t>UKPN</t>
        </is>
      </c>
      <c r="D3141" t="inlineStr">
        <is>
          <t>Wd14evn , 4x4 , Landrover  , Defender</t>
        </is>
      </c>
      <c r="E3141" t="inlineStr">
        <is>
          <t>Wd14evn , 4x4 , Landrover  , Defender</t>
        </is>
      </c>
      <c r="F3141" t="inlineStr">
        <is>
          <t>Wd14evn , 4x4 , Landrover  , Defender</t>
        </is>
      </c>
      <c r="G3141" t="inlineStr">
        <is>
          <t xml:space="preserve">Abraham Davies </t>
        </is>
      </c>
      <c r="H3141" t="inlineStr">
        <is>
          <t>4x4</t>
        </is>
      </c>
      <c r="I3141" t="inlineStr">
        <is>
          <t>Daily/ Weekly Vehicle Inspection</t>
        </is>
      </c>
      <c r="J3141" t="inlineStr">
        <is>
          <t>N/A</t>
        </is>
      </c>
      <c r="K3141" t="inlineStr">
        <is>
          <t>7806 Optimum Tree Services Ltd</t>
        </is>
      </c>
      <c r="L3141" t="inlineStr">
        <is>
          <t>13/02/2026 07:33</t>
        </is>
      </c>
      <c r="M3141" t="inlineStr">
        <is>
          <t>None</t>
        </is>
      </c>
      <c r="N3141" t="inlineStr">
        <is>
          <t>&lt;p&gt;&lt;/p&gt;</t>
        </is>
      </c>
      <c r="O3141" t="inlineStr"/>
      <c r="P3141" t="inlineStr">
        <is>
          <t>Wd14evn , 4x4 , Landrover  , Defender</t>
        </is>
      </c>
      <c r="Q3141" t="inlineStr">
        <is>
          <t>UKPN</t>
        </is>
      </c>
      <c r="R3141" t="b">
        <v>0</v>
      </c>
    </row>
    <row r="3142">
      <c r="A3142" t="inlineStr">
        <is>
          <t>13 Feb 2026 / 7806 Optimum Tree Services Ltd / Utilities / UKPN</t>
        </is>
      </c>
      <c r="B3142" t="inlineStr">
        <is>
          <t>Utilities</t>
        </is>
      </c>
      <c r="C3142" t="inlineStr">
        <is>
          <t>UKPN</t>
        </is>
      </c>
      <c r="D3142" t="inlineStr">
        <is>
          <t>SA9TAPLAF27414263 , Trailer , Tow Mate , Plant Trailer</t>
        </is>
      </c>
      <c r="E3142" t="inlineStr">
        <is>
          <t>SA9TAPLAF27414263 , Trailer , Tow Mate , Plant Trailer</t>
        </is>
      </c>
      <c r="F3142" t="inlineStr">
        <is>
          <t>SA9TAPLAF27414263 , Trailer , Tow Mate , Plant Trailer</t>
        </is>
      </c>
      <c r="G3142" t="inlineStr">
        <is>
          <t xml:space="preserve">Abraham Davies </t>
        </is>
      </c>
      <c r="H3142" t="inlineStr">
        <is>
          <t>Plant Trailer</t>
        </is>
      </c>
      <c r="I3142" t="inlineStr">
        <is>
          <t>Daily/ Weekly Vehicle Inspection</t>
        </is>
      </c>
      <c r="J3142" t="inlineStr">
        <is>
          <t>N/A</t>
        </is>
      </c>
      <c r="K3142" t="inlineStr">
        <is>
          <t>7806 Optimum Tree Services Ltd</t>
        </is>
      </c>
      <c r="L3142" t="inlineStr">
        <is>
          <t>13/02/2026 07:34</t>
        </is>
      </c>
      <c r="M3142" t="inlineStr">
        <is>
          <t>None</t>
        </is>
      </c>
      <c r="N3142" t="inlineStr">
        <is>
          <t>&lt;p&gt;&lt;/p&gt;</t>
        </is>
      </c>
      <c r="O3142" t="inlineStr"/>
      <c r="P3142" t="inlineStr">
        <is>
          <t>SA9TAPLAF27414263 , Trailer , Tow Mate , Plant Trailer</t>
        </is>
      </c>
      <c r="Q3142" t="inlineStr">
        <is>
          <t>UKPN</t>
        </is>
      </c>
      <c r="R3142" t="b">
        <v>0</v>
      </c>
    </row>
    <row r="3143">
      <c r="A3143" t="inlineStr">
        <is>
          <t>13 Feb 2026 / 7806 Optimum Tree Services Ltd / Utilities / UKPN</t>
        </is>
      </c>
      <c r="B3143" t="inlineStr">
        <is>
          <t>Utilities</t>
        </is>
      </c>
      <c r="C3143" t="inlineStr">
        <is>
          <t>UKPN</t>
        </is>
      </c>
      <c r="D3143" t="inlineStr">
        <is>
          <t>SA9ST800000283069 , Chipper , Forst , ST 6P</t>
        </is>
      </c>
      <c r="E3143" t="inlineStr">
        <is>
          <t>SA9ST800000283069 , Chipper , Forst , ST 6P</t>
        </is>
      </c>
      <c r="F3143" t="inlineStr">
        <is>
          <t>SA9ST800000283069 , Chipper , Forst , ST 6P</t>
        </is>
      </c>
      <c r="G3143" t="inlineStr">
        <is>
          <t xml:space="preserve">Abraham Davies </t>
        </is>
      </c>
      <c r="H3143" t="inlineStr">
        <is>
          <t>Towed Chipper</t>
        </is>
      </c>
      <c r="I3143" t="inlineStr">
        <is>
          <t>Daily/ Weekly Vehicle Inspection</t>
        </is>
      </c>
      <c r="J3143" t="inlineStr">
        <is>
          <t>N/A</t>
        </is>
      </c>
      <c r="K3143" t="inlineStr">
        <is>
          <t>7806 Optimum Tree Services Ltd</t>
        </is>
      </c>
      <c r="L3143" t="inlineStr">
        <is>
          <t>13/02/2026 08:28</t>
        </is>
      </c>
      <c r="M3143" t="inlineStr">
        <is>
          <t>None</t>
        </is>
      </c>
      <c r="N3143" t="inlineStr">
        <is>
          <t>&lt;p&gt;&lt;/p&gt;</t>
        </is>
      </c>
      <c r="O3143" t="inlineStr"/>
      <c r="P3143" t="inlineStr">
        <is>
          <t>SA9ST800000283069 , Chipper , Forst , ST 6P</t>
        </is>
      </c>
      <c r="Q3143" t="inlineStr">
        <is>
          <t>UKPN</t>
        </is>
      </c>
      <c r="R3143" t="b">
        <v>0</v>
      </c>
    </row>
    <row r="3144">
      <c r="A3144" t="inlineStr">
        <is>
          <t>13 Feb 2026 / Thomas Playford / Utilities / UKPN</t>
        </is>
      </c>
      <c r="B3144" t="inlineStr">
        <is>
          <t>Utilities</t>
        </is>
      </c>
      <c r="C3144" t="inlineStr">
        <is>
          <t>UKPN</t>
        </is>
      </c>
      <c r="D3144" t="inlineStr">
        <is>
          <t>SA9ST800000283944 , Towed Chipper , Forst , ST8D - Towed</t>
        </is>
      </c>
      <c r="E3144" t="inlineStr">
        <is>
          <t>SA9ST800000283944 , Towed Chipper , Forst , ST8D - Towed</t>
        </is>
      </c>
      <c r="F3144" t="inlineStr">
        <is>
          <t>SA9ST800000283944 , Towed Chipper , Forst , ST8D - Towed</t>
        </is>
      </c>
      <c r="G3144" t="inlineStr">
        <is>
          <t>Thomas Playford</t>
        </is>
      </c>
      <c r="H3144" t="inlineStr">
        <is>
          <t>Towed Chipper</t>
        </is>
      </c>
      <c r="I3144" t="inlineStr">
        <is>
          <t>Daily/ Weekly Vehicle Inspection</t>
        </is>
      </c>
      <c r="J3144" t="inlineStr">
        <is>
          <t>N/A</t>
        </is>
      </c>
      <c r="K3144" t="inlineStr">
        <is>
          <t>7995 Green Net Eco Ltd 2</t>
        </is>
      </c>
      <c r="L3144" t="inlineStr">
        <is>
          <t>13/02/2026 08:29</t>
        </is>
      </c>
      <c r="M3144" t="inlineStr">
        <is>
          <t>None</t>
        </is>
      </c>
      <c r="N3144" t="inlineStr">
        <is>
          <t>&lt;p&gt;&lt;/p&gt;</t>
        </is>
      </c>
      <c r="O3144" t="inlineStr"/>
      <c r="P3144" t="inlineStr">
        <is>
          <t>SA9ST800000283944 , Towed Chipper , Forst , ST8D - Towed</t>
        </is>
      </c>
      <c r="Q3144" t="inlineStr">
        <is>
          <t>UKPN</t>
        </is>
      </c>
      <c r="R3144" t="b">
        <v>0</v>
      </c>
    </row>
    <row r="3145">
      <c r="A3145" t="inlineStr">
        <is>
          <t>13 Feb 2026 / Thomas Playford / Utilities / UKPN</t>
        </is>
      </c>
      <c r="B3145" t="inlineStr">
        <is>
          <t>Utilities</t>
        </is>
      </c>
      <c r="C3145" t="inlineStr">
        <is>
          <t>UKPN</t>
        </is>
      </c>
      <c r="D3145" t="inlineStr">
        <is>
          <t>LK15KRZ , 4x4 , Landrover , Defender</t>
        </is>
      </c>
      <c r="E3145" t="inlineStr">
        <is>
          <t>LK15KRZ , 4x4 , Landrover , Defender</t>
        </is>
      </c>
      <c r="F3145" t="inlineStr">
        <is>
          <t>LK15KRZ , 4x4 , Landrover , Defender</t>
        </is>
      </c>
      <c r="G3145" t="inlineStr">
        <is>
          <t>Thomas Playford</t>
        </is>
      </c>
      <c r="H3145" t="inlineStr">
        <is>
          <t>4x4</t>
        </is>
      </c>
      <c r="I3145" t="inlineStr">
        <is>
          <t>Daily/ Weekly Vehicle Inspection</t>
        </is>
      </c>
      <c r="J3145" t="inlineStr">
        <is>
          <t>N/A</t>
        </is>
      </c>
      <c r="K3145" t="inlineStr">
        <is>
          <t>7995 Green Net Eco Ltd 2</t>
        </is>
      </c>
      <c r="L3145" t="inlineStr">
        <is>
          <t>13/02/2026 08:31</t>
        </is>
      </c>
      <c r="M3145" t="inlineStr">
        <is>
          <t>None</t>
        </is>
      </c>
      <c r="N3145" t="inlineStr">
        <is>
          <t>&lt;p&gt;&lt;/p&gt;</t>
        </is>
      </c>
      <c r="O3145" t="inlineStr"/>
      <c r="P3145" t="inlineStr">
        <is>
          <t>LK15KRZ , 4x4 , Landrover , Defender</t>
        </is>
      </c>
      <c r="Q3145" t="inlineStr">
        <is>
          <t>UKPN</t>
        </is>
      </c>
      <c r="R3145" t="b">
        <v>0</v>
      </c>
    </row>
    <row r="3146">
      <c r="A3146" t="inlineStr">
        <is>
          <t>13 Feb 2026 / 7186 Eastwoodbury Tree Services Ltd / Utilities / UKPN</t>
        </is>
      </c>
      <c r="B3146" t="inlineStr">
        <is>
          <t>Utilities</t>
        </is>
      </c>
      <c r="C3146" t="inlineStr">
        <is>
          <t>UKPN</t>
        </is>
      </c>
      <c r="D3146" t="inlineStr">
        <is>
          <t>FX14 XCV , 4x4 , Land Rover  , Defender</t>
        </is>
      </c>
      <c r="E3146" t="inlineStr">
        <is>
          <t>FX14 XCV , 4x4 , Land Rover  , Defender</t>
        </is>
      </c>
      <c r="F3146" t="inlineStr">
        <is>
          <t>FX14 XCV , 4x4 , Land Rover  , Defender</t>
        </is>
      </c>
      <c r="G3146" t="inlineStr">
        <is>
          <t xml:space="preserve">Tom Price </t>
        </is>
      </c>
      <c r="H3146" t="inlineStr">
        <is>
          <t>4x4</t>
        </is>
      </c>
      <c r="I3146" t="inlineStr">
        <is>
          <t>Daily/ Weekly Vehicle Inspection</t>
        </is>
      </c>
      <c r="J3146" t="inlineStr">
        <is>
          <t>N/A</t>
        </is>
      </c>
      <c r="K3146" t="inlineStr">
        <is>
          <t>7186 Eastwoodbury Tree Services Ltd</t>
        </is>
      </c>
      <c r="L3146" t="inlineStr">
        <is>
          <t>13/02/2026 08:33</t>
        </is>
      </c>
      <c r="M3146" t="inlineStr">
        <is>
          <t>None</t>
        </is>
      </c>
      <c r="N3146" t="inlineStr">
        <is>
          <t>&lt;p&gt;&lt;/p&gt;</t>
        </is>
      </c>
      <c r="O3146" t="inlineStr"/>
      <c r="P3146" t="inlineStr">
        <is>
          <t>FX14 XCV , 4x4 , Land Rover  , Defender</t>
        </is>
      </c>
      <c r="Q3146" t="inlineStr">
        <is>
          <t>UKPN</t>
        </is>
      </c>
      <c r="R3146" t="b">
        <v>0</v>
      </c>
    </row>
    <row r="3147">
      <c r="A3147" t="inlineStr">
        <is>
          <t>13 Feb 2026 / Jake Bolwell / Utilities / SSE</t>
        </is>
      </c>
      <c r="B3147" t="inlineStr">
        <is>
          <t>Utilities</t>
        </is>
      </c>
      <c r="C3147" t="inlineStr">
        <is>
          <t>SSE</t>
        </is>
      </c>
      <c r="D3147" t="inlineStr">
        <is>
          <t>AK23YLP , Car - Electric , Tesla , Model Y Long Range</t>
        </is>
      </c>
      <c r="E3147" t="inlineStr">
        <is>
          <t>AK23YLP , Car - Electric , Tesla , Model Y Long Range</t>
        </is>
      </c>
      <c r="F3147" t="inlineStr">
        <is>
          <t>AK23YLP , Car - Electric , Tesla , Model Y Long Range</t>
        </is>
      </c>
      <c r="G3147" t="inlineStr">
        <is>
          <t>Jake Bolwell</t>
        </is>
      </c>
      <c r="H3147" t="inlineStr">
        <is>
          <t>Car - Electric (GC Owned)</t>
        </is>
      </c>
      <c r="I3147" t="inlineStr">
        <is>
          <t>Daily/ Weekly Vehicle Inspection</t>
        </is>
      </c>
      <c r="J3147" t="inlineStr">
        <is>
          <t>N/A</t>
        </is>
      </c>
      <c r="K3147" t="inlineStr">
        <is>
          <t>Jake Bolwell</t>
        </is>
      </c>
      <c r="L3147" t="inlineStr">
        <is>
          <t>13/02/2026 09:28</t>
        </is>
      </c>
      <c r="M3147" t="inlineStr">
        <is>
          <t>None</t>
        </is>
      </c>
      <c r="N3147" t="inlineStr">
        <is>
          <t>&lt;p&gt;&lt;/p&gt;</t>
        </is>
      </c>
      <c r="O3147" t="inlineStr"/>
      <c r="P3147" t="inlineStr">
        <is>
          <t>AK23YLP , Car - Electric , Tesla , Model Y Long Range</t>
        </is>
      </c>
      <c r="Q3147" t="inlineStr">
        <is>
          <t>SSE</t>
        </is>
      </c>
      <c r="R3147" t="b">
        <v>0</v>
      </c>
    </row>
    <row r="3148">
      <c r="A3148" t="inlineStr">
        <is>
          <t>13 Feb 2026 / Anthony Gale / Utilities / UKPN</t>
        </is>
      </c>
      <c r="B3148" t="inlineStr">
        <is>
          <t>Utilities</t>
        </is>
      </c>
      <c r="C3148" t="inlineStr">
        <is>
          <t>UKPN</t>
        </is>
      </c>
      <c r="D3148" t="inlineStr">
        <is>
          <t>KX20 BCE , Tipper , Isuzu , D-Max</t>
        </is>
      </c>
      <c r="E3148" t="inlineStr">
        <is>
          <t>KX20 BCE , Tipper , Isuzu , D-Max</t>
        </is>
      </c>
      <c r="F3148" t="inlineStr">
        <is>
          <t>KX20 BCE , Tipper , Isuzu , D-Max</t>
        </is>
      </c>
      <c r="G3148" t="inlineStr">
        <is>
          <t>Anthony Gale</t>
        </is>
      </c>
      <c r="H3148" t="inlineStr">
        <is>
          <t>Pickup Truck</t>
        </is>
      </c>
      <c r="I3148" t="inlineStr">
        <is>
          <t>Daily/ Weekly Vehicle Inspection</t>
        </is>
      </c>
      <c r="J3148" t="inlineStr">
        <is>
          <t>N/A</t>
        </is>
      </c>
      <c r="K3148" t="inlineStr">
        <is>
          <t>7996 M G Tree Surgery Ltd 1</t>
        </is>
      </c>
      <c r="L3148" t="inlineStr">
        <is>
          <t>13/02/2026 11:32</t>
        </is>
      </c>
      <c r="M3148" t="inlineStr">
        <is>
          <t>None</t>
        </is>
      </c>
      <c r="N3148" t="inlineStr">
        <is>
          <t>&lt;p&gt;&lt;/p&gt;</t>
        </is>
      </c>
      <c r="O3148" t="inlineStr">
        <is>
          <t>Confirm that you have checked this vehicle as per the guidance document and the vehicle is safe and roadworthy:Light board deteriorating.
Safe for now.
Will need replacing soon.
-</t>
        </is>
      </c>
      <c r="P3148" t="inlineStr">
        <is>
          <t>KX20 BCE , Tipper , Isuzu , D-Max</t>
        </is>
      </c>
      <c r="Q3148" t="inlineStr">
        <is>
          <t>UKPN</t>
        </is>
      </c>
      <c r="R3148" t="b">
        <v>0</v>
      </c>
    </row>
    <row r="3149">
      <c r="A3149" t="inlineStr">
        <is>
          <t>13 Feb 2026 / Jane Moore / Utilities / NGED</t>
        </is>
      </c>
      <c r="B3149" t="inlineStr">
        <is>
          <t>Utilities</t>
        </is>
      </c>
      <c r="C3149" t="inlineStr">
        <is>
          <t>NGED</t>
        </is>
      </c>
      <c r="D3149" t="inlineStr">
        <is>
          <t>GL20TGZ , Car - Electric , Tesla , Model 3 Long Range AWD</t>
        </is>
      </c>
      <c r="E3149" t="inlineStr">
        <is>
          <t>GL20TGZ , Car - Electric , Tesla , Model 3 Long Range AWD</t>
        </is>
      </c>
      <c r="F3149" t="inlineStr">
        <is>
          <t>GL20TGZ , Car - Electric , Tesla , Model 3 Long Range AWD</t>
        </is>
      </c>
      <c r="G3149" t="inlineStr">
        <is>
          <t xml:space="preserve">Jane Moore </t>
        </is>
      </c>
      <c r="H3149" t="inlineStr">
        <is>
          <t>Car - Electric (GC Owned)</t>
        </is>
      </c>
      <c r="I3149" t="inlineStr">
        <is>
          <t>Daily/ Weekly Vehicle Inspection</t>
        </is>
      </c>
      <c r="J3149" t="inlineStr">
        <is>
          <t>N/A</t>
        </is>
      </c>
      <c r="K3149" t="inlineStr">
        <is>
          <t>Jane Moore</t>
        </is>
      </c>
      <c r="L3149" t="inlineStr">
        <is>
          <t>13/02/2026 14:43</t>
        </is>
      </c>
      <c r="M3149" t="inlineStr">
        <is>
          <t>None</t>
        </is>
      </c>
      <c r="N3149" t="inlineStr">
        <is>
          <t>&lt;p&gt;&lt;/p&gt;</t>
        </is>
      </c>
      <c r="O3149" t="inlineStr"/>
      <c r="P3149" t="inlineStr">
        <is>
          <t>GL20TGZ , Car - Electric , Tesla , Model 3 Long Range AWD</t>
        </is>
      </c>
      <c r="Q3149" t="inlineStr">
        <is>
          <t>NGED</t>
        </is>
      </c>
      <c r="R3149" t="b">
        <v>0</v>
      </c>
    </row>
    <row r="3150">
      <c r="A3150" t="inlineStr">
        <is>
          <t>16 Feb 2026 / Patryk Zietarski / Utilities / UKPN</t>
        </is>
      </c>
      <c r="B3150" t="inlineStr">
        <is>
          <t>Utilities</t>
        </is>
      </c>
      <c r="C3150" t="inlineStr">
        <is>
          <t>UKPN</t>
        </is>
      </c>
      <c r="D3150" t="inlineStr">
        <is>
          <t>YW73CWL , Car - Electric , Kia , eNiro</t>
        </is>
      </c>
      <c r="E3150" t="inlineStr">
        <is>
          <t>YW73CWL , Car - Electric , Kia , eNiro</t>
        </is>
      </c>
      <c r="F3150" t="inlineStr">
        <is>
          <t>YW73CWL , Car - Electric , Kia , eNiro</t>
        </is>
      </c>
      <c r="G3150" t="inlineStr">
        <is>
          <t xml:space="preserve">Patryk Zietarski </t>
        </is>
      </c>
      <c r="H3150" t="inlineStr">
        <is>
          <t>Car - Electric (GC Owned)</t>
        </is>
      </c>
      <c r="I3150" t="inlineStr">
        <is>
          <t>Daily/ Weekly Vehicle Inspection</t>
        </is>
      </c>
      <c r="J3150" t="inlineStr">
        <is>
          <t>N/A</t>
        </is>
      </c>
      <c r="K3150" t="inlineStr">
        <is>
          <t>Patryk Zietarski</t>
        </is>
      </c>
      <c r="L3150" t="inlineStr">
        <is>
          <t>16/02/2026 05:28</t>
        </is>
      </c>
      <c r="M3150" t="inlineStr">
        <is>
          <t>None</t>
        </is>
      </c>
      <c r="N3150" t="inlineStr">
        <is>
          <t>&lt;p&gt;&lt;/p&gt;</t>
        </is>
      </c>
      <c r="O3150" t="inlineStr"/>
      <c r="P3150" t="inlineStr">
        <is>
          <t>YW73CWL , Car - Electric , Kia , eNiro</t>
        </is>
      </c>
      <c r="Q3150" t="inlineStr">
        <is>
          <t>UKPN</t>
        </is>
      </c>
      <c r="R3150" t="b">
        <v>0</v>
      </c>
    </row>
    <row r="3151">
      <c r="A3151" t="inlineStr">
        <is>
          <t>16 Feb 2026 / 7806 Optimum Tree Services Ltd / Utilities / UKPN</t>
        </is>
      </c>
      <c r="B3151" t="inlineStr">
        <is>
          <t>Utilities</t>
        </is>
      </c>
      <c r="C3151" t="inlineStr">
        <is>
          <t>UKPN</t>
        </is>
      </c>
      <c r="D3151" t="inlineStr">
        <is>
          <t>NA10SYZ , Tipper , Ford , Transit</t>
        </is>
      </c>
      <c r="E3151" t="inlineStr">
        <is>
          <t>NA10SYZ , Tipper , Ford , Transit</t>
        </is>
      </c>
      <c r="F3151" t="inlineStr">
        <is>
          <t>NA10SYZ , Tipper , Ford , Transit</t>
        </is>
      </c>
      <c r="G3151" t="inlineStr">
        <is>
          <t xml:space="preserve">Lewis davies </t>
        </is>
      </c>
      <c r="H3151" t="inlineStr">
        <is>
          <t>Tipper</t>
        </is>
      </c>
      <c r="I3151" t="inlineStr">
        <is>
          <t>Daily/ Weekly Vehicle Inspection</t>
        </is>
      </c>
      <c r="J3151" t="inlineStr">
        <is>
          <t>N/A</t>
        </is>
      </c>
      <c r="K3151" t="inlineStr">
        <is>
          <t>7806 Optimum Tree Services Ltd</t>
        </is>
      </c>
      <c r="L3151" t="inlineStr">
        <is>
          <t>16/02/2026 07:30</t>
        </is>
      </c>
      <c r="M3151" t="inlineStr">
        <is>
          <t>None</t>
        </is>
      </c>
      <c r="N3151" t="inlineStr">
        <is>
          <t>&lt;p&gt;&lt;/p&gt;</t>
        </is>
      </c>
      <c r="O3151" t="inlineStr"/>
      <c r="P3151" t="inlineStr">
        <is>
          <t>NA10SYZ , Tipper , Ford , Transit</t>
        </is>
      </c>
      <c r="Q3151" t="inlineStr">
        <is>
          <t>UKPN</t>
        </is>
      </c>
      <c r="R3151" t="b">
        <v>0</v>
      </c>
    </row>
    <row r="3152">
      <c r="A3152" t="inlineStr">
        <is>
          <t>16 Feb 2026 / 7806 Optimum Tree Services Ltd / Utilities / UKPN</t>
        </is>
      </c>
      <c r="B3152" t="inlineStr">
        <is>
          <t>Utilities</t>
        </is>
      </c>
      <c r="C3152" t="inlineStr">
        <is>
          <t>UKPN</t>
        </is>
      </c>
      <c r="D3152" t="inlineStr">
        <is>
          <t>SA9TAPLAF27414263 , Trailer , Tow Mate , Plant Trailer</t>
        </is>
      </c>
      <c r="E3152" t="inlineStr">
        <is>
          <t>SA9TAPLAF27414263 , Trailer , Tow Mate , Plant Trailer</t>
        </is>
      </c>
      <c r="F3152" t="inlineStr">
        <is>
          <t>SA9TAPLAF27414263 , Trailer , Tow Mate , Plant Trailer</t>
        </is>
      </c>
      <c r="G3152" t="inlineStr">
        <is>
          <t xml:space="preserve">Abraham Davies </t>
        </is>
      </c>
      <c r="H3152" t="inlineStr">
        <is>
          <t>Plant Trailer</t>
        </is>
      </c>
      <c r="I3152" t="inlineStr">
        <is>
          <t>Daily/ Weekly Vehicle Inspection</t>
        </is>
      </c>
      <c r="J3152" t="inlineStr">
        <is>
          <t>N/A</t>
        </is>
      </c>
      <c r="K3152" t="inlineStr">
        <is>
          <t>7806 Optimum Tree Services Ltd</t>
        </is>
      </c>
      <c r="L3152" t="inlineStr">
        <is>
          <t>16/02/2026 07:30</t>
        </is>
      </c>
      <c r="M3152" t="inlineStr">
        <is>
          <t>None</t>
        </is>
      </c>
      <c r="N3152" t="inlineStr">
        <is>
          <t>&lt;p&gt;&lt;/p&gt;</t>
        </is>
      </c>
      <c r="O3152" t="inlineStr"/>
      <c r="P3152" t="inlineStr">
        <is>
          <t>SA9TAPLAF27414263 , Trailer , Tow Mate , Plant Trailer</t>
        </is>
      </c>
      <c r="Q3152" t="inlineStr">
        <is>
          <t>UKPN</t>
        </is>
      </c>
      <c r="R3152" t="b">
        <v>0</v>
      </c>
    </row>
    <row r="3153">
      <c r="A3153" t="inlineStr">
        <is>
          <t>16 Feb 2026 / 7806 Optimum Tree Services Ltd / Utilities / UKPN</t>
        </is>
      </c>
      <c r="B3153" t="inlineStr">
        <is>
          <t>Utilities</t>
        </is>
      </c>
      <c r="C3153" t="inlineStr">
        <is>
          <t>UKPN</t>
        </is>
      </c>
      <c r="D3153" t="inlineStr">
        <is>
          <t>Wd14evn , 4x4 , Landrover  , Defender</t>
        </is>
      </c>
      <c r="E3153" t="inlineStr">
        <is>
          <t>Wd14evn , 4x4 , Landrover  , Defender</t>
        </is>
      </c>
      <c r="F3153" t="inlineStr">
        <is>
          <t>Wd14evn , 4x4 , Landrover  , Defender</t>
        </is>
      </c>
      <c r="G3153" t="inlineStr">
        <is>
          <t xml:space="preserve">Abraham Davies </t>
        </is>
      </c>
      <c r="H3153" t="inlineStr">
        <is>
          <t>4x4</t>
        </is>
      </c>
      <c r="I3153" t="inlineStr">
        <is>
          <t>Daily/ Weekly Vehicle Inspection</t>
        </is>
      </c>
      <c r="J3153" t="inlineStr">
        <is>
          <t>N/A</t>
        </is>
      </c>
      <c r="K3153" t="inlineStr">
        <is>
          <t>7806 Optimum Tree Services Ltd</t>
        </is>
      </c>
      <c r="L3153" t="inlineStr">
        <is>
          <t>16/02/2026 07:32</t>
        </is>
      </c>
      <c r="M3153" t="inlineStr">
        <is>
          <t>None</t>
        </is>
      </c>
      <c r="N3153" t="inlineStr">
        <is>
          <t>&lt;p&gt;&lt;/p&gt;</t>
        </is>
      </c>
      <c r="O3153" t="inlineStr"/>
      <c r="P3153" t="inlineStr">
        <is>
          <t>Wd14evn , 4x4 , Landrover  , Defender</t>
        </is>
      </c>
      <c r="Q3153" t="inlineStr">
        <is>
          <t>UKPN</t>
        </is>
      </c>
      <c r="R3153" t="b">
        <v>0</v>
      </c>
    </row>
    <row r="3154">
      <c r="A3154" t="inlineStr">
        <is>
          <t>16 Feb 2026 / 7186 Eastwoodbury Tree Services Ltd / Utilities / UKPN</t>
        </is>
      </c>
      <c r="B3154" t="inlineStr">
        <is>
          <t>Utilities</t>
        </is>
      </c>
      <c r="C3154" t="inlineStr">
        <is>
          <t>UKPN</t>
        </is>
      </c>
      <c r="D3154" t="inlineStr">
        <is>
          <t>DE53NKS , 4x4 , Ford , Ranger</t>
        </is>
      </c>
      <c r="E3154" t="inlineStr">
        <is>
          <t>DE53NKS , 4x4 , Ford , Ranger</t>
        </is>
      </c>
      <c r="F3154" t="inlineStr">
        <is>
          <t>DE53NKS , 4x4 , Ford , Ranger</t>
        </is>
      </c>
      <c r="G3154" t="inlineStr">
        <is>
          <t xml:space="preserve">Jay Denkmayer </t>
        </is>
      </c>
      <c r="H3154" t="inlineStr">
        <is>
          <t>4x4</t>
        </is>
      </c>
      <c r="I3154" t="inlineStr">
        <is>
          <t>Daily/ Weekly Vehicle Inspection</t>
        </is>
      </c>
      <c r="J3154" t="inlineStr">
        <is>
          <t>N/A</t>
        </is>
      </c>
      <c r="K3154" t="inlineStr">
        <is>
          <t>7186 Eastwoodbury Tree Services Ltd</t>
        </is>
      </c>
      <c r="L3154" t="inlineStr">
        <is>
          <t>16/02/2026 07:34</t>
        </is>
      </c>
      <c r="M3154" t="inlineStr">
        <is>
          <t>None</t>
        </is>
      </c>
      <c r="N3154" t="inlineStr">
        <is>
          <t>&lt;p&gt;&lt;/p&gt;</t>
        </is>
      </c>
      <c r="O3154" t="inlineStr"/>
      <c r="P3154" t="inlineStr">
        <is>
          <t>DE53NKS , 4x4 , Ford , Ranger</t>
        </is>
      </c>
      <c r="Q3154" t="inlineStr">
        <is>
          <t>UKPN</t>
        </is>
      </c>
      <c r="R3154" t="b">
        <v>0</v>
      </c>
    </row>
    <row r="3155">
      <c r="A3155" t="inlineStr">
        <is>
          <t>16 Feb 2026 / 7186 Eastwoodbury Tree Services Ltd / Utilities / UKPN</t>
        </is>
      </c>
      <c r="B3155" t="inlineStr">
        <is>
          <t>Utilities</t>
        </is>
      </c>
      <c r="C3155" t="inlineStr">
        <is>
          <t>UKPN</t>
        </is>
      </c>
      <c r="D3155" t="inlineStr">
        <is>
          <t>DN61XKJ , Tipper , Ford , Transit</t>
        </is>
      </c>
      <c r="E3155" t="inlineStr">
        <is>
          <t>DN61XKJ , Tipper , Ford , Transit</t>
        </is>
      </c>
      <c r="F3155" t="inlineStr">
        <is>
          <t>DN61XKJ , Tipper , Ford , Transit</t>
        </is>
      </c>
      <c r="G3155" t="inlineStr">
        <is>
          <t xml:space="preserve">Dan Gilbert </t>
        </is>
      </c>
      <c r="H3155" t="inlineStr">
        <is>
          <t>Tipper</t>
        </is>
      </c>
      <c r="I3155" t="inlineStr">
        <is>
          <t>Daily/ Weekly Vehicle Inspection</t>
        </is>
      </c>
      <c r="J3155" t="inlineStr">
        <is>
          <t>N/A</t>
        </is>
      </c>
      <c r="K3155" t="inlineStr">
        <is>
          <t>7186 Eastwoodbury Tree Services Ltd</t>
        </is>
      </c>
      <c r="L3155" t="inlineStr">
        <is>
          <t>16/02/2026 07:34</t>
        </is>
      </c>
      <c r="M3155" t="inlineStr">
        <is>
          <t>None</t>
        </is>
      </c>
      <c r="N3155" t="inlineStr">
        <is>
          <t>&lt;p&gt;&lt;/p&gt;</t>
        </is>
      </c>
      <c r="O3155" t="inlineStr"/>
      <c r="P3155" t="inlineStr">
        <is>
          <t>DN61XKJ , Tipper , Ford , Transit</t>
        </is>
      </c>
      <c r="Q3155" t="inlineStr">
        <is>
          <t>UKPN</t>
        </is>
      </c>
      <c r="R3155" t="b">
        <v>0</v>
      </c>
    </row>
    <row r="3156">
      <c r="A3156" t="inlineStr">
        <is>
          <t>16 Feb 2026 / Anthony Gale / Utilities / UKPN</t>
        </is>
      </c>
      <c r="B3156" t="inlineStr">
        <is>
          <t>Utilities</t>
        </is>
      </c>
      <c r="C3156" t="inlineStr">
        <is>
          <t>UKPN</t>
        </is>
      </c>
      <c r="D3156" t="inlineStr">
        <is>
          <t>KX20 BCE , Tipper , Isuzu , D-Max</t>
        </is>
      </c>
      <c r="E3156" t="inlineStr">
        <is>
          <t>KX20 BCE , Tipper , Isuzu , D-Max</t>
        </is>
      </c>
      <c r="F3156" t="inlineStr">
        <is>
          <t>KX20 BCE , Tipper , Isuzu , D-Max</t>
        </is>
      </c>
      <c r="G3156" t="inlineStr">
        <is>
          <t>Anthony Gale</t>
        </is>
      </c>
      <c r="H3156" t="inlineStr">
        <is>
          <t>Pickup Truck</t>
        </is>
      </c>
      <c r="I3156" t="inlineStr">
        <is>
          <t>Daily/ Weekly Vehicle Inspection</t>
        </is>
      </c>
      <c r="J3156" t="inlineStr">
        <is>
          <t>N/A</t>
        </is>
      </c>
      <c r="K3156" t="inlineStr">
        <is>
          <t>7996 M G Tree Surgery Ltd 1</t>
        </is>
      </c>
      <c r="L3156" t="inlineStr">
        <is>
          <t>16/02/2026 07:38</t>
        </is>
      </c>
      <c r="M3156" t="inlineStr">
        <is>
          <t>None</t>
        </is>
      </c>
      <c r="N3156" t="inlineStr">
        <is>
          <t>&lt;p&gt;&lt;/p&gt;</t>
        </is>
      </c>
      <c r="O3156" t="inlineStr">
        <is>
          <t>Confirm that you have checked this vehicle as per the guidance document and the vehicle is safe and roadworthy:Light board deteriorating.
Safe for now.
Will need replacing soon.
-</t>
        </is>
      </c>
      <c r="P3156" t="inlineStr">
        <is>
          <t>KX20 BCE , Tipper , Isuzu , D-Max</t>
        </is>
      </c>
      <c r="Q3156" t="inlineStr">
        <is>
          <t>UKPN</t>
        </is>
      </c>
      <c r="R3156" t="b">
        <v>0</v>
      </c>
    </row>
    <row r="3157">
      <c r="A3157" t="inlineStr">
        <is>
          <t>16 Feb 2026 / Anthony Gale / Utilities / UKPN</t>
        </is>
      </c>
      <c r="B3157" t="inlineStr">
        <is>
          <t>Utilities</t>
        </is>
      </c>
      <c r="C3157" t="inlineStr">
        <is>
          <t>UKPN</t>
        </is>
      </c>
      <c r="D3157" t="inlineStr">
        <is>
          <t>GU13 WNL , MEWP , Land Rover , Defender 130</t>
        </is>
      </c>
      <c r="E3157" t="inlineStr">
        <is>
          <t>GU13 WNL , MEWP , Land Rover , Defender 130</t>
        </is>
      </c>
      <c r="F3157" t="inlineStr">
        <is>
          <t>GU13 WNL , MEWP , Land Rover , Defender 130</t>
        </is>
      </c>
      <c r="G3157" t="inlineStr">
        <is>
          <t xml:space="preserve">Tim Franklin </t>
        </is>
      </c>
      <c r="H3157" t="inlineStr">
        <is>
          <t>4x4</t>
        </is>
      </c>
      <c r="I3157" t="inlineStr">
        <is>
          <t>Daily/ Weekly Vehicle Inspection</t>
        </is>
      </c>
      <c r="J3157" t="inlineStr">
        <is>
          <t>N/A</t>
        </is>
      </c>
      <c r="K3157" t="inlineStr">
        <is>
          <t>7996 M G Tree Surgery Ltd 1</t>
        </is>
      </c>
      <c r="L3157" t="inlineStr">
        <is>
          <t>16/02/2026 07:39</t>
        </is>
      </c>
      <c r="M3157" t="inlineStr">
        <is>
          <t>None</t>
        </is>
      </c>
      <c r="N3157" t="inlineStr">
        <is>
          <t>&lt;p&gt;&lt;/p&gt;</t>
        </is>
      </c>
      <c r="O3157" t="inlineStr"/>
      <c r="P3157" t="inlineStr">
        <is>
          <t>GU13 WNL , MEWP , Land Rover , Defender 130</t>
        </is>
      </c>
      <c r="Q3157" t="inlineStr">
        <is>
          <t>UKPN</t>
        </is>
      </c>
      <c r="R3157" t="b">
        <v>0</v>
      </c>
    </row>
    <row r="3158">
      <c r="A3158" t="inlineStr">
        <is>
          <t>16 Feb 2026 / Anthony Gale / Utilities / UKPN</t>
        </is>
      </c>
      <c r="B3158" t="inlineStr">
        <is>
          <t>Utilities</t>
        </is>
      </c>
      <c r="C3158" t="inlineStr">
        <is>
          <t>UKPN</t>
        </is>
      </c>
      <c r="D3158" t="inlineStr"/>
      <c r="E3158" t="inlineStr"/>
      <c r="F3158" t="inlineStr"/>
      <c r="G3158" t="inlineStr">
        <is>
          <t>Anthony Gale</t>
        </is>
      </c>
      <c r="H3158" t="inlineStr">
        <is>
          <t>Towed Chipper</t>
        </is>
      </c>
      <c r="I3158" t="inlineStr">
        <is>
          <t>Daily/ Weekly Vehicle Inspection</t>
        </is>
      </c>
      <c r="J3158" t="inlineStr">
        <is>
          <t>N/A</t>
        </is>
      </c>
      <c r="K3158" t="inlineStr">
        <is>
          <t>7996 M G Tree Surgery Ltd 1</t>
        </is>
      </c>
      <c r="L3158" t="inlineStr">
        <is>
          <t>16/02/2026 07:40</t>
        </is>
      </c>
      <c r="M3158" t="inlineStr">
        <is>
          <t>None</t>
        </is>
      </c>
      <c r="N3158" t="inlineStr">
        <is>
          <t>&lt;p&gt;&lt;/p&gt;</t>
        </is>
      </c>
      <c r="O3158" t="inlineStr"/>
      <c r="P3158" t="inlineStr"/>
      <c r="Q3158" t="inlineStr">
        <is>
          <t>UKPN</t>
        </is>
      </c>
      <c r="R3158" t="b">
        <v>0</v>
      </c>
    </row>
    <row r="3159">
      <c r="A3159" t="inlineStr">
        <is>
          <t>16 Feb 2026 / 3098 D &amp; R Landscapes / Utilities / UKPN</t>
        </is>
      </c>
      <c r="B3159" t="inlineStr">
        <is>
          <t>Utilities</t>
        </is>
      </c>
      <c r="C3159" t="inlineStr">
        <is>
          <t>UKPN</t>
        </is>
      </c>
      <c r="D3159" t="inlineStr">
        <is>
          <t>BT20 GNZ , Vehicle , Nissan , Navara</t>
        </is>
      </c>
      <c r="E3159" t="inlineStr">
        <is>
          <t>BT20 GNZ , Vehicle , Nissan , Navara</t>
        </is>
      </c>
      <c r="F3159" t="inlineStr">
        <is>
          <t>BT20 GNZ , Vehicle , Nissan , Navara</t>
        </is>
      </c>
      <c r="G3159" t="inlineStr">
        <is>
          <t>Jason</t>
        </is>
      </c>
      <c r="H3159" t="inlineStr">
        <is>
          <t>Pickup Truck</t>
        </is>
      </c>
      <c r="I3159" t="inlineStr">
        <is>
          <t>Daily/ Weekly Vehicle Inspection</t>
        </is>
      </c>
      <c r="J3159" t="inlineStr">
        <is>
          <t>N/A</t>
        </is>
      </c>
      <c r="K3159" t="inlineStr">
        <is>
          <t>3098 D &amp; R Landscapes</t>
        </is>
      </c>
      <c r="L3159" t="inlineStr">
        <is>
          <t>16/02/2026 07:40</t>
        </is>
      </c>
      <c r="M3159" t="inlineStr">
        <is>
          <t>None</t>
        </is>
      </c>
      <c r="N3159" t="inlineStr">
        <is>
          <t>&lt;p&gt;&lt;/p&gt;</t>
        </is>
      </c>
      <c r="O3159" t="inlineStr"/>
      <c r="P3159" t="inlineStr">
        <is>
          <t>BT20 GNZ , Vehicle , Nissan , Navara</t>
        </is>
      </c>
      <c r="Q3159" t="inlineStr">
        <is>
          <t>UKPN</t>
        </is>
      </c>
      <c r="R3159" t="b">
        <v>0</v>
      </c>
    </row>
    <row r="3160">
      <c r="A3160" t="inlineStr">
        <is>
          <t>16 Feb 2026 / 8148 Hope Ground and Tree Care / Utilities / UKPN</t>
        </is>
      </c>
      <c r="B3160" t="inlineStr">
        <is>
          <t>Utilities</t>
        </is>
      </c>
      <c r="C3160" t="inlineStr">
        <is>
          <t>UKPN</t>
        </is>
      </c>
      <c r="D3160" t="inlineStr">
        <is>
          <t>S6 NWX , MEWP , Isuzu , D-Max</t>
        </is>
      </c>
      <c r="E3160" t="inlineStr">
        <is>
          <t>S6 NWX , MEWP , Isuzu , D-Max</t>
        </is>
      </c>
      <c r="F3160" t="inlineStr">
        <is>
          <t>S6 NWX , MEWP , Isuzu , D-Max</t>
        </is>
      </c>
      <c r="G3160" t="inlineStr">
        <is>
          <t>A Hope</t>
        </is>
      </c>
      <c r="H3160" t="inlineStr">
        <is>
          <t>4x4</t>
        </is>
      </c>
      <c r="I3160" t="inlineStr">
        <is>
          <t>Daily/ Weekly Vehicle Inspection</t>
        </is>
      </c>
      <c r="J3160" t="inlineStr">
        <is>
          <t>N/A</t>
        </is>
      </c>
      <c r="K3160" t="inlineStr">
        <is>
          <t>8148 Hope Ground and Tree Care</t>
        </is>
      </c>
      <c r="L3160" t="inlineStr">
        <is>
          <t>16/02/2026 08:31</t>
        </is>
      </c>
      <c r="M3160" t="inlineStr">
        <is>
          <t>None</t>
        </is>
      </c>
      <c r="N3160" t="inlineStr">
        <is>
          <t>&lt;p&gt;&lt;/p&gt;</t>
        </is>
      </c>
      <c r="O3160" t="inlineStr"/>
      <c r="P3160" t="inlineStr">
        <is>
          <t>S6 NWX , MEWP , Isuzu , D-Max</t>
        </is>
      </c>
      <c r="Q3160" t="inlineStr">
        <is>
          <t>UKPN</t>
        </is>
      </c>
      <c r="R3160" t="b">
        <v>0</v>
      </c>
    </row>
    <row r="3161">
      <c r="A3161" t="inlineStr">
        <is>
          <t>16 Feb 2026 / 7800 MAC Tree Surgery and Fencing Ltd / Utilities / UKPN</t>
        </is>
      </c>
      <c r="B3161" t="inlineStr">
        <is>
          <t>Utilities</t>
        </is>
      </c>
      <c r="C3161" t="inlineStr">
        <is>
          <t>UKPN</t>
        </is>
      </c>
      <c r="D3161" t="inlineStr">
        <is>
          <t>AY68DAA , 4x4 , Izuzu , Dmax</t>
        </is>
      </c>
      <c r="E3161" t="inlineStr">
        <is>
          <t>AY68DAA , 4x4 , Izuzu , Dmax</t>
        </is>
      </c>
      <c r="F3161" t="inlineStr">
        <is>
          <t>AY68DAA , 4x4 , Izuzu , Dmax</t>
        </is>
      </c>
      <c r="G3161" t="inlineStr">
        <is>
          <t xml:space="preserve">Patrick O'Shea </t>
        </is>
      </c>
      <c r="H3161" t="inlineStr">
        <is>
          <t>4x4</t>
        </is>
      </c>
      <c r="I3161" t="inlineStr">
        <is>
          <t>Daily/ Weekly Vehicle Inspection</t>
        </is>
      </c>
      <c r="J3161" t="inlineStr">
        <is>
          <t>N/A</t>
        </is>
      </c>
      <c r="K3161" t="inlineStr">
        <is>
          <t>7800 MAC Tree Surgery and Fencing Ltd</t>
        </is>
      </c>
      <c r="L3161" t="inlineStr">
        <is>
          <t>16/02/2026 08:34</t>
        </is>
      </c>
      <c r="M3161" t="inlineStr">
        <is>
          <t>None</t>
        </is>
      </c>
      <c r="N3161" t="inlineStr">
        <is>
          <t>&lt;p&gt;&lt;/p&gt;</t>
        </is>
      </c>
      <c r="O3161" t="inlineStr"/>
      <c r="P3161" t="inlineStr">
        <is>
          <t>AY68DAA , 4x4 , Izuzu , Dmax</t>
        </is>
      </c>
      <c r="Q3161" t="inlineStr">
        <is>
          <t>UKPN</t>
        </is>
      </c>
      <c r="R3161" t="b">
        <v>0</v>
      </c>
    </row>
    <row r="3162">
      <c r="A3162" t="inlineStr">
        <is>
          <t>11 Feb 2026 / 7951 Austin Tree Care LTD 1 / Utilities / UKPN</t>
        </is>
      </c>
      <c r="B3162" t="inlineStr">
        <is>
          <t>Utilities</t>
        </is>
      </c>
      <c r="C3162" t="inlineStr">
        <is>
          <t>UKPN</t>
        </is>
      </c>
      <c r="D3162" t="inlineStr">
        <is>
          <t>Kn58xuy , Tipper , VW  , Crafter</t>
        </is>
      </c>
      <c r="E3162" t="inlineStr">
        <is>
          <t>Kn58xuy , Tipper , VW  , Crafter</t>
        </is>
      </c>
      <c r="F3162" t="inlineStr">
        <is>
          <t>Kn58xuy , Tipper , VW  , Crafter</t>
        </is>
      </c>
      <c r="G3162" t="inlineStr">
        <is>
          <t xml:space="preserve">James Tasker </t>
        </is>
      </c>
      <c r="H3162" t="inlineStr">
        <is>
          <t>Tipper</t>
        </is>
      </c>
      <c r="I3162" t="inlineStr">
        <is>
          <t>Daily/ Weekly Vehicle Inspection</t>
        </is>
      </c>
      <c r="J3162" t="inlineStr">
        <is>
          <t>N/A</t>
        </is>
      </c>
      <c r="K3162" t="inlineStr">
        <is>
          <t>7951 Austin Tree Care LTD 1</t>
        </is>
      </c>
      <c r="L3162" t="inlineStr">
        <is>
          <t>16/02/2026 08:39</t>
        </is>
      </c>
      <c r="M3162" t="inlineStr">
        <is>
          <t>None</t>
        </is>
      </c>
      <c r="N3162" t="inlineStr">
        <is>
          <t>&lt;p&gt;&lt;/p&gt;</t>
        </is>
      </c>
      <c r="O3162" t="inlineStr"/>
      <c r="P3162" t="inlineStr">
        <is>
          <t>Kn58xuy , Tipper , VW  , Crafter</t>
        </is>
      </c>
      <c r="Q3162" t="inlineStr">
        <is>
          <t>UKPN</t>
        </is>
      </c>
      <c r="R3162" t="b">
        <v>0</v>
      </c>
    </row>
    <row r="3163">
      <c r="A3163" t="inlineStr">
        <is>
          <t>16 Feb 2026 / 7951 Austin Tree Care LTD / Utilities / UKPN</t>
        </is>
      </c>
      <c r="B3163" t="inlineStr">
        <is>
          <t>Utilities</t>
        </is>
      </c>
      <c r="C3163" t="inlineStr">
        <is>
          <t>UKPN</t>
        </is>
      </c>
      <c r="D3163" t="inlineStr">
        <is>
          <t>SA9ST6P0001283612 , Towed Chipper , Forst , ST6p</t>
        </is>
      </c>
      <c r="E3163" t="inlineStr">
        <is>
          <t>SA9ST6P0001283612 , Towed Chipper , Forst , ST6p</t>
        </is>
      </c>
      <c r="F3163" t="inlineStr">
        <is>
          <t>SA9ST6P0001283612 , Towed Chipper , Forst , ST6p</t>
        </is>
      </c>
      <c r="G3163" t="inlineStr">
        <is>
          <t xml:space="preserve">Jack Austin </t>
        </is>
      </c>
      <c r="H3163" t="inlineStr">
        <is>
          <t>Towed Chipper</t>
        </is>
      </c>
      <c r="I3163" t="inlineStr">
        <is>
          <t>Daily/ Weekly Vehicle Inspection</t>
        </is>
      </c>
      <c r="J3163" t="inlineStr">
        <is>
          <t>N/A</t>
        </is>
      </c>
      <c r="K3163" t="inlineStr">
        <is>
          <t>7951 Austin Tree Care LTD</t>
        </is>
      </c>
      <c r="L3163" t="inlineStr">
        <is>
          <t>16/02/2026 08:40</t>
        </is>
      </c>
      <c r="M3163" t="inlineStr">
        <is>
          <t>None</t>
        </is>
      </c>
      <c r="N3163" t="inlineStr">
        <is>
          <t>&lt;p&gt;&lt;/p&gt;</t>
        </is>
      </c>
      <c r="O3163" t="inlineStr"/>
      <c r="P3163" t="inlineStr">
        <is>
          <t>SA9ST6P0001283612 , Towed Chipper , Forst , ST6p</t>
        </is>
      </c>
      <c r="Q3163" t="inlineStr">
        <is>
          <t>UKPN</t>
        </is>
      </c>
      <c r="R3163" t="b">
        <v>0</v>
      </c>
    </row>
    <row r="3164">
      <c r="A3164" t="inlineStr">
        <is>
          <t>16 Feb 2026 / 7951 Austin Tree Care LTD / Utilities / UKPN</t>
        </is>
      </c>
      <c r="B3164" t="inlineStr">
        <is>
          <t>Utilities</t>
        </is>
      </c>
      <c r="C3164" t="inlineStr">
        <is>
          <t>UKPN</t>
        </is>
      </c>
      <c r="D3164" t="inlineStr">
        <is>
          <t>WG64HTT , 4x4 , Land Rover , Defender 110</t>
        </is>
      </c>
      <c r="E3164" t="inlineStr">
        <is>
          <t>WG64HTT , 4x4 , Land Rover , Defender 110</t>
        </is>
      </c>
      <c r="F3164" t="inlineStr">
        <is>
          <t>WG64HTT , 4x4 , Land Rover , Defender 110</t>
        </is>
      </c>
      <c r="G3164" t="inlineStr">
        <is>
          <t>Jack Austin</t>
        </is>
      </c>
      <c r="H3164" t="inlineStr">
        <is>
          <t>4x4</t>
        </is>
      </c>
      <c r="I3164" t="inlineStr">
        <is>
          <t>Daily/ Weekly Vehicle Inspection</t>
        </is>
      </c>
      <c r="J3164" t="inlineStr">
        <is>
          <t>N/A</t>
        </is>
      </c>
      <c r="K3164" t="inlineStr">
        <is>
          <t>7951 Austin Tree Care LTD</t>
        </is>
      </c>
      <c r="L3164" t="inlineStr">
        <is>
          <t>16/02/2026 08:42</t>
        </is>
      </c>
      <c r="M3164" t="inlineStr">
        <is>
          <t>None</t>
        </is>
      </c>
      <c r="N3164" t="inlineStr">
        <is>
          <t>&lt;p&gt;&lt;/p&gt;</t>
        </is>
      </c>
      <c r="O3164" t="inlineStr"/>
      <c r="P3164" t="inlineStr">
        <is>
          <t>WG64HTT , 4x4 , Land Rover , Defender 110</t>
        </is>
      </c>
      <c r="Q3164" t="inlineStr">
        <is>
          <t>UKPN</t>
        </is>
      </c>
      <c r="R3164" t="b">
        <v>0</v>
      </c>
    </row>
    <row r="3165">
      <c r="A3165" t="inlineStr">
        <is>
          <t>16 Feb 2026 / Jonathan Wisbey / Utilities / UKPN</t>
        </is>
      </c>
      <c r="B3165" t="inlineStr">
        <is>
          <t>Utilities</t>
        </is>
      </c>
      <c r="C3165" t="inlineStr">
        <is>
          <t>UKPN</t>
        </is>
      </c>
      <c r="D3165" t="inlineStr"/>
      <c r="E3165" t="inlineStr"/>
      <c r="F3165" t="inlineStr"/>
      <c r="G3165" t="inlineStr">
        <is>
          <t xml:space="preserve">Jonathan Wisbey </t>
        </is>
      </c>
      <c r="H3165" t="inlineStr">
        <is>
          <t>Car - Petrol</t>
        </is>
      </c>
      <c r="I3165" t="inlineStr">
        <is>
          <t>Daily/ Weekly Vehicle Inspection</t>
        </is>
      </c>
      <c r="J3165" t="inlineStr">
        <is>
          <t>N/A</t>
        </is>
      </c>
      <c r="K3165" t="inlineStr">
        <is>
          <t>Jonathan Wisbey</t>
        </is>
      </c>
      <c r="L3165" t="inlineStr">
        <is>
          <t>16/02/2026 09:36</t>
        </is>
      </c>
      <c r="M3165" t="inlineStr">
        <is>
          <t>None</t>
        </is>
      </c>
      <c r="N3165" t="inlineStr">
        <is>
          <t>&lt;p&gt;&lt;/p&gt;</t>
        </is>
      </c>
      <c r="O3165" t="inlineStr"/>
      <c r="P3165" t="inlineStr"/>
      <c r="Q3165" t="inlineStr">
        <is>
          <t>UKPN</t>
        </is>
      </c>
      <c r="R3165" t="b">
        <v>0</v>
      </c>
    </row>
    <row r="3166">
      <c r="A3166" t="inlineStr">
        <is>
          <t>16 Feb 2026 / Joe Sauvage / Utilities / SSE</t>
        </is>
      </c>
      <c r="B3166" t="inlineStr">
        <is>
          <t>Utilities</t>
        </is>
      </c>
      <c r="C3166" t="inlineStr">
        <is>
          <t>SSE</t>
        </is>
      </c>
      <c r="D3166" t="inlineStr">
        <is>
          <t>AK70TBV , Car - Electric , Tesla , Model 3 Long Range AWD</t>
        </is>
      </c>
      <c r="E3166" t="inlineStr">
        <is>
          <t>AK70TBV , Car - Electric , Tesla , Model 3 Long Range AWD</t>
        </is>
      </c>
      <c r="F3166" t="inlineStr">
        <is>
          <t>AK70TBV , Car - Electric , Tesla , Model 3 Long Range AWD</t>
        </is>
      </c>
      <c r="G3166" t="inlineStr">
        <is>
          <t>Joe Sauvage</t>
        </is>
      </c>
      <c r="H3166" t="inlineStr">
        <is>
          <t>Car - Electric (GC Owned)</t>
        </is>
      </c>
      <c r="I3166" t="inlineStr">
        <is>
          <t>Daily/ Weekly Vehicle Inspection</t>
        </is>
      </c>
      <c r="J3166" t="inlineStr">
        <is>
          <t>N/A</t>
        </is>
      </c>
      <c r="K3166" t="inlineStr">
        <is>
          <t>Joe Sauvage</t>
        </is>
      </c>
      <c r="L3166" t="inlineStr">
        <is>
          <t>16/02/2026 10:32</t>
        </is>
      </c>
      <c r="M3166" t="inlineStr">
        <is>
          <t>None</t>
        </is>
      </c>
      <c r="N3166" t="inlineStr">
        <is>
          <t>&lt;p&gt;&lt;/p&gt;</t>
        </is>
      </c>
      <c r="O3166" t="inlineStr"/>
      <c r="P3166" t="inlineStr">
        <is>
          <t>AK70TBV , Car - Electric , Tesla , Model 3 Long Range AWD</t>
        </is>
      </c>
      <c r="Q3166" t="inlineStr">
        <is>
          <t>SSE</t>
        </is>
      </c>
      <c r="R3166" t="b">
        <v>0</v>
      </c>
    </row>
    <row r="3167">
      <c r="A3167" t="inlineStr">
        <is>
          <t>16 Feb 2026 / Ben Arnold / Utilities / UKPN</t>
        </is>
      </c>
      <c r="B3167" t="inlineStr">
        <is>
          <t>Utilities</t>
        </is>
      </c>
      <c r="C3167" t="inlineStr">
        <is>
          <t>UKPN</t>
        </is>
      </c>
      <c r="D3167" t="inlineStr">
        <is>
          <t>EX18DCY , 4x4 , Ford , Ranger</t>
        </is>
      </c>
      <c r="E3167" t="inlineStr">
        <is>
          <t>EX18DCY , 4x4 , Ford , Ranger</t>
        </is>
      </c>
      <c r="F3167" t="inlineStr">
        <is>
          <t>EX18DCY , 4x4 , Ford , Ranger</t>
        </is>
      </c>
      <c r="G3167" t="inlineStr">
        <is>
          <t>B Arnold</t>
        </is>
      </c>
      <c r="H3167" t="inlineStr">
        <is>
          <t>Pickup Truck</t>
        </is>
      </c>
      <c r="I3167" t="inlineStr">
        <is>
          <t>Daily/ Weekly Vehicle Inspection</t>
        </is>
      </c>
      <c r="J3167" t="inlineStr">
        <is>
          <t>N/A</t>
        </is>
      </c>
      <c r="K3167" t="inlineStr">
        <is>
          <t>Ben Arnold</t>
        </is>
      </c>
      <c r="L3167" t="inlineStr">
        <is>
          <t>16/02/2026 11:33</t>
        </is>
      </c>
      <c r="M3167" t="inlineStr">
        <is>
          <t>None</t>
        </is>
      </c>
      <c r="N3167" t="inlineStr">
        <is>
          <t>&lt;p&gt;&lt;/p&gt;</t>
        </is>
      </c>
      <c r="O3167" t="inlineStr"/>
      <c r="P3167" t="inlineStr">
        <is>
          <t>EX18DCY , 4x4 , Ford , Ranger</t>
        </is>
      </c>
      <c r="Q3167" t="inlineStr">
        <is>
          <t>UKPN</t>
        </is>
      </c>
      <c r="R3167" t="b">
        <v>0</v>
      </c>
    </row>
    <row r="3168">
      <c r="A3168" t="inlineStr">
        <is>
          <t>16 Feb 2026 / Aaron Billingham / Utilities / NGED</t>
        </is>
      </c>
      <c r="B3168" t="inlineStr">
        <is>
          <t>Utilities</t>
        </is>
      </c>
      <c r="C3168" t="inlineStr">
        <is>
          <t>NGED</t>
        </is>
      </c>
      <c r="D3168" t="inlineStr">
        <is>
          <t>WO23OYK , Van , Ford , Ranger</t>
        </is>
      </c>
      <c r="E3168" t="inlineStr">
        <is>
          <t>WO23OYK , Van , Ford , Ranger</t>
        </is>
      </c>
      <c r="F3168" t="inlineStr">
        <is>
          <t>WO23OYK , Van , Ford , Ranger</t>
        </is>
      </c>
      <c r="G3168" t="inlineStr">
        <is>
          <t>Aaron Billingham</t>
        </is>
      </c>
      <c r="H3168" t="inlineStr">
        <is>
          <t>Tipper</t>
        </is>
      </c>
      <c r="I3168" t="inlineStr">
        <is>
          <t>Daily/ Weekly Vehicle Inspection</t>
        </is>
      </c>
      <c r="J3168" t="inlineStr">
        <is>
          <t>N/A</t>
        </is>
      </c>
      <c r="K3168" t="inlineStr">
        <is>
          <t>Aaron Billingham</t>
        </is>
      </c>
      <c r="L3168" t="inlineStr">
        <is>
          <t>16/02/2026 13:31</t>
        </is>
      </c>
      <c r="M3168" t="inlineStr">
        <is>
          <t>None</t>
        </is>
      </c>
      <c r="N3168" t="inlineStr">
        <is>
          <t>&lt;p&gt;&lt;/p&gt;</t>
        </is>
      </c>
      <c r="O3168" t="inlineStr"/>
      <c r="P3168" t="inlineStr">
        <is>
          <t>WO23OYK , Van , Ford , Ranger</t>
        </is>
      </c>
      <c r="Q3168" t="inlineStr">
        <is>
          <t>NGED</t>
        </is>
      </c>
      <c r="R3168" t="b">
        <v>0</v>
      </c>
    </row>
    <row r="3169">
      <c r="A3169" t="inlineStr">
        <is>
          <t>16 Feb 2026 / Philip Shaw / Utilities / NGED</t>
        </is>
      </c>
      <c r="B3169" t="inlineStr">
        <is>
          <t>Utilities</t>
        </is>
      </c>
      <c r="C3169" t="inlineStr">
        <is>
          <t>NGED</t>
        </is>
      </c>
      <c r="D3169" t="inlineStr">
        <is>
          <t>AF22TZO , Car - Electric , Tesla , Model 3 Long Range AWD</t>
        </is>
      </c>
      <c r="E3169" t="inlineStr">
        <is>
          <t>AF22TZO , Car - Electric , Tesla , Model 3 Long Range AWD</t>
        </is>
      </c>
      <c r="F3169" t="inlineStr">
        <is>
          <t>AF22TZO , Car - Electric , Tesla , Model 3 Long Range AWD</t>
        </is>
      </c>
      <c r="G3169" t="inlineStr">
        <is>
          <t xml:space="preserve">Phil shaw </t>
        </is>
      </c>
      <c r="H3169" t="inlineStr">
        <is>
          <t>Car - Electric (GC Owned)</t>
        </is>
      </c>
      <c r="I3169" t="inlineStr">
        <is>
          <t>Daily/ Weekly Vehicle Inspection</t>
        </is>
      </c>
      <c r="J3169" t="inlineStr">
        <is>
          <t>N/A</t>
        </is>
      </c>
      <c r="K3169" t="inlineStr">
        <is>
          <t>Philip Shaw</t>
        </is>
      </c>
      <c r="L3169" t="inlineStr">
        <is>
          <t>16/02/2026 14:29</t>
        </is>
      </c>
      <c r="M3169" t="inlineStr">
        <is>
          <t>None</t>
        </is>
      </c>
      <c r="N3169" t="inlineStr">
        <is>
          <t>&lt;p&gt;&lt;/p&gt;</t>
        </is>
      </c>
      <c r="O3169" t="inlineStr"/>
      <c r="P3169" t="inlineStr">
        <is>
          <t>AF22TZO , Car - Electric , Tesla , Model 3 Long Range AWD</t>
        </is>
      </c>
      <c r="Q3169" t="inlineStr">
        <is>
          <t>NGED</t>
        </is>
      </c>
      <c r="R3169" t="b">
        <v>0</v>
      </c>
    </row>
    <row r="3170">
      <c r="A3170" t="inlineStr">
        <is>
          <t>17 Feb 2026 / 7186 Eastwoodbury Tree Services Ltd / Utilities / UKPN</t>
        </is>
      </c>
      <c r="B3170" t="inlineStr">
        <is>
          <t>Utilities</t>
        </is>
      </c>
      <c r="C3170" t="inlineStr">
        <is>
          <t>UKPN</t>
        </is>
      </c>
      <c r="D3170" t="inlineStr">
        <is>
          <t>WF13 EKT , 4x4 , Land rover  , Defender</t>
        </is>
      </c>
      <c r="E3170" t="inlineStr">
        <is>
          <t>WF13 EKT , 4x4 , Land rover  , Defender</t>
        </is>
      </c>
      <c r="F3170" t="inlineStr">
        <is>
          <t>WF13 EKT , 4x4 , Land rover  , Defender</t>
        </is>
      </c>
      <c r="G3170" t="inlineStr">
        <is>
          <t xml:space="preserve">Dan Gilbert </t>
        </is>
      </c>
      <c r="H3170" t="inlineStr">
        <is>
          <t>4x4</t>
        </is>
      </c>
      <c r="I3170" t="inlineStr">
        <is>
          <t>Daily/ Weekly Vehicle Inspection</t>
        </is>
      </c>
      <c r="J3170" t="inlineStr">
        <is>
          <t>N/A</t>
        </is>
      </c>
      <c r="K3170" t="inlineStr">
        <is>
          <t>7186 Eastwoodbury Tree Services Ltd</t>
        </is>
      </c>
      <c r="L3170" t="inlineStr">
        <is>
          <t>17/02/2026 07:28</t>
        </is>
      </c>
      <c r="M3170" t="inlineStr">
        <is>
          <t>None</t>
        </is>
      </c>
      <c r="N3170" t="inlineStr">
        <is>
          <t>&lt;p&gt;&lt;/p&gt;</t>
        </is>
      </c>
      <c r="O3170" t="inlineStr"/>
      <c r="P3170" t="inlineStr">
        <is>
          <t>WF13 EKT , 4x4 , Land rover  , Defender</t>
        </is>
      </c>
      <c r="Q3170" t="inlineStr">
        <is>
          <t>UKPN</t>
        </is>
      </c>
      <c r="R3170" t="b">
        <v>0</v>
      </c>
    </row>
    <row r="3171">
      <c r="A3171" t="inlineStr">
        <is>
          <t>17 Feb 2026 / 7806 Optimum Tree Services Ltd / Utilities / UKPN</t>
        </is>
      </c>
      <c r="B3171" t="inlineStr">
        <is>
          <t>Utilities</t>
        </is>
      </c>
      <c r="C3171" t="inlineStr">
        <is>
          <t>UKPN</t>
        </is>
      </c>
      <c r="D3171" t="inlineStr">
        <is>
          <t>WD14EVB , MEWP , Land Rover , Defender</t>
        </is>
      </c>
      <c r="E3171" t="inlineStr">
        <is>
          <t>WD14EVB , MEWP , Land Rover , Defender</t>
        </is>
      </c>
      <c r="F3171" t="inlineStr">
        <is>
          <t>WD14EVB , MEWP , Land Rover , Defender</t>
        </is>
      </c>
      <c r="G3171" t="inlineStr">
        <is>
          <t xml:space="preserve">Lewis davies </t>
        </is>
      </c>
      <c r="H3171" t="inlineStr">
        <is>
          <t>4x4</t>
        </is>
      </c>
      <c r="I3171" t="inlineStr">
        <is>
          <t>Daily/ Weekly Vehicle Inspection</t>
        </is>
      </c>
      <c r="J3171" t="inlineStr">
        <is>
          <t>N/A</t>
        </is>
      </c>
      <c r="K3171" t="inlineStr">
        <is>
          <t>7806 Optimum Tree Services Ltd</t>
        </is>
      </c>
      <c r="L3171" t="inlineStr">
        <is>
          <t>17/02/2026 07:28</t>
        </is>
      </c>
      <c r="M3171" t="inlineStr">
        <is>
          <t>None</t>
        </is>
      </c>
      <c r="N3171" t="inlineStr">
        <is>
          <t>&lt;p&gt;&lt;/p&gt;</t>
        </is>
      </c>
      <c r="O3171" t="inlineStr"/>
      <c r="P3171" t="inlineStr">
        <is>
          <t>WD14EVB , MEWP , Land Rover , Defender</t>
        </is>
      </c>
      <c r="Q3171" t="inlineStr">
        <is>
          <t>UKPN</t>
        </is>
      </c>
      <c r="R3171" t="b">
        <v>0</v>
      </c>
    </row>
    <row r="3172">
      <c r="A3172" t="inlineStr">
        <is>
          <t>17 Feb 2026 / 7186 Eastwoodbury Tree Services Ltd / Utilities / UKPN</t>
        </is>
      </c>
      <c r="B3172" t="inlineStr">
        <is>
          <t>Utilities</t>
        </is>
      </c>
      <c r="C3172" t="inlineStr">
        <is>
          <t>UKPN</t>
        </is>
      </c>
      <c r="D3172" t="inlineStr">
        <is>
          <t>FX14 XCV , 4x4 , Land Rover  , Defender</t>
        </is>
      </c>
      <c r="E3172" t="inlineStr">
        <is>
          <t>FX14 XCV , 4x4 , Land Rover  , Defender</t>
        </is>
      </c>
      <c r="F3172" t="inlineStr">
        <is>
          <t>FX14 XCV , 4x4 , Land Rover  , Defender</t>
        </is>
      </c>
      <c r="G3172" t="inlineStr">
        <is>
          <t xml:space="preserve">Tom price </t>
        </is>
      </c>
      <c r="H3172" t="inlineStr">
        <is>
          <t>4x4</t>
        </is>
      </c>
      <c r="I3172" t="inlineStr">
        <is>
          <t>Daily/ Weekly Vehicle Inspection</t>
        </is>
      </c>
      <c r="J3172" t="inlineStr">
        <is>
          <t>N/A</t>
        </is>
      </c>
      <c r="K3172" t="inlineStr">
        <is>
          <t>7186 Eastwoodbury Tree Services Ltd</t>
        </is>
      </c>
      <c r="L3172" t="inlineStr">
        <is>
          <t>17/02/2026 07:29</t>
        </is>
      </c>
      <c r="M3172" t="inlineStr">
        <is>
          <t>None</t>
        </is>
      </c>
      <c r="N3172" t="inlineStr">
        <is>
          <t>&lt;p&gt;&lt;/p&gt;</t>
        </is>
      </c>
      <c r="O3172" t="inlineStr"/>
      <c r="P3172" t="inlineStr">
        <is>
          <t>FX14 XCV , 4x4 , Land Rover  , Defender</t>
        </is>
      </c>
      <c r="Q3172" t="inlineStr">
        <is>
          <t>UKPN</t>
        </is>
      </c>
      <c r="R3172" t="b">
        <v>0</v>
      </c>
    </row>
    <row r="3173">
      <c r="A3173" t="inlineStr">
        <is>
          <t>17 Feb 2026 / Anthony Gale / Utilities / UKPN</t>
        </is>
      </c>
      <c r="B3173" t="inlineStr">
        <is>
          <t>Utilities</t>
        </is>
      </c>
      <c r="C3173" t="inlineStr">
        <is>
          <t>UKPN</t>
        </is>
      </c>
      <c r="D3173" t="inlineStr">
        <is>
          <t>GU13 WNL , MEWP , Land Rover , Defender 130</t>
        </is>
      </c>
      <c r="E3173" t="inlineStr">
        <is>
          <t>GU13 WNL , MEWP , Land Rover , Defender 130</t>
        </is>
      </c>
      <c r="F3173" t="inlineStr">
        <is>
          <t>GU13 WNL , MEWP , Land Rover , Defender 130</t>
        </is>
      </c>
      <c r="G3173" t="inlineStr">
        <is>
          <t xml:space="preserve">Tim Franklin </t>
        </is>
      </c>
      <c r="H3173" t="inlineStr">
        <is>
          <t>4x4</t>
        </is>
      </c>
      <c r="I3173" t="inlineStr">
        <is>
          <t>Daily/ Weekly Vehicle Inspection</t>
        </is>
      </c>
      <c r="J3173" t="inlineStr">
        <is>
          <t>N/A</t>
        </is>
      </c>
      <c r="K3173" t="inlineStr">
        <is>
          <t>7996 M G Tree Surgery Ltd 1</t>
        </is>
      </c>
      <c r="L3173" t="inlineStr">
        <is>
          <t>17/02/2026 07:29</t>
        </is>
      </c>
      <c r="M3173" t="inlineStr">
        <is>
          <t>None</t>
        </is>
      </c>
      <c r="N3173" t="inlineStr">
        <is>
          <t>&lt;p&gt;&lt;/p&gt;</t>
        </is>
      </c>
      <c r="O3173" t="inlineStr"/>
      <c r="P3173" t="inlineStr">
        <is>
          <t>GU13 WNL , MEWP , Land Rover , Defender 130</t>
        </is>
      </c>
      <c r="Q3173" t="inlineStr">
        <is>
          <t>UKPN</t>
        </is>
      </c>
      <c r="R3173" t="b">
        <v>0</v>
      </c>
    </row>
    <row r="3174">
      <c r="A3174" t="inlineStr">
        <is>
          <t>17 Feb 2026 / 7806 Optimum Tree Services Ltd / Utilities / UKPN</t>
        </is>
      </c>
      <c r="B3174" t="inlineStr">
        <is>
          <t>Utilities</t>
        </is>
      </c>
      <c r="C3174" t="inlineStr">
        <is>
          <t>UKPN</t>
        </is>
      </c>
      <c r="D3174" t="inlineStr">
        <is>
          <t>SA9TAPLAF27414263 , Trailer , Tow Mate , Plant Trailer</t>
        </is>
      </c>
      <c r="E3174" t="inlineStr">
        <is>
          <t>SA9TAPLAF27414263 , Trailer , Tow Mate , Plant Trailer</t>
        </is>
      </c>
      <c r="F3174" t="inlineStr">
        <is>
          <t>SA9TAPLAF27414263 , Trailer , Tow Mate , Plant Trailer</t>
        </is>
      </c>
      <c r="G3174" t="inlineStr">
        <is>
          <t xml:space="preserve">Abraham Davies </t>
        </is>
      </c>
      <c r="H3174" t="inlineStr">
        <is>
          <t>Plant Trailer</t>
        </is>
      </c>
      <c r="I3174" t="inlineStr">
        <is>
          <t>Daily/ Weekly Vehicle Inspection</t>
        </is>
      </c>
      <c r="J3174" t="inlineStr">
        <is>
          <t>N/A</t>
        </is>
      </c>
      <c r="K3174" t="inlineStr">
        <is>
          <t>7806 Optimum Tree Services Ltd</t>
        </is>
      </c>
      <c r="L3174" t="inlineStr">
        <is>
          <t>17/02/2026 07:31</t>
        </is>
      </c>
      <c r="M3174" t="inlineStr">
        <is>
          <t>None</t>
        </is>
      </c>
      <c r="N3174" t="inlineStr">
        <is>
          <t>&lt;p&gt;&lt;/p&gt;</t>
        </is>
      </c>
      <c r="O3174" t="inlineStr"/>
      <c r="P3174" t="inlineStr">
        <is>
          <t>SA9TAPLAF27414263 , Trailer , Tow Mate , Plant Trailer</t>
        </is>
      </c>
      <c r="Q3174" t="inlineStr">
        <is>
          <t>UKPN</t>
        </is>
      </c>
      <c r="R3174" t="b">
        <v>0</v>
      </c>
    </row>
    <row r="3175">
      <c r="A3175" t="inlineStr">
        <is>
          <t>17 Feb 2026 / 7806 Optimum Tree Services Ltd / Utilities / UKPN</t>
        </is>
      </c>
      <c r="B3175" t="inlineStr">
        <is>
          <t>Utilities</t>
        </is>
      </c>
      <c r="C3175" t="inlineStr">
        <is>
          <t>UKPN</t>
        </is>
      </c>
      <c r="D3175" t="inlineStr">
        <is>
          <t>Wd14evn , 4x4 , Landrover  , Defender</t>
        </is>
      </c>
      <c r="E3175" t="inlineStr">
        <is>
          <t>Wd14evn , 4x4 , Landrover  , Defender</t>
        </is>
      </c>
      <c r="F3175" t="inlineStr">
        <is>
          <t>Wd14evn , 4x4 , Landrover  , Defender</t>
        </is>
      </c>
      <c r="G3175" t="inlineStr">
        <is>
          <t xml:space="preserve">Abraham Davies </t>
        </is>
      </c>
      <c r="H3175" t="inlineStr">
        <is>
          <t>4x4</t>
        </is>
      </c>
      <c r="I3175" t="inlineStr">
        <is>
          <t>Daily/ Weekly Vehicle Inspection</t>
        </is>
      </c>
      <c r="J3175" t="inlineStr">
        <is>
          <t>N/A</t>
        </is>
      </c>
      <c r="K3175" t="inlineStr">
        <is>
          <t>7806 Optimum Tree Services Ltd</t>
        </is>
      </c>
      <c r="L3175" t="inlineStr">
        <is>
          <t>17/02/2026 07:32</t>
        </is>
      </c>
      <c r="M3175" t="inlineStr">
        <is>
          <t>None</t>
        </is>
      </c>
      <c r="N3175" t="inlineStr">
        <is>
          <t>&lt;p&gt;&lt;/p&gt;</t>
        </is>
      </c>
      <c r="O3175" t="inlineStr"/>
      <c r="P3175" t="inlineStr">
        <is>
          <t>Wd14evn , 4x4 , Landrover  , Defender</t>
        </is>
      </c>
      <c r="Q3175" t="inlineStr">
        <is>
          <t>UKPN</t>
        </is>
      </c>
      <c r="R3175" t="b">
        <v>0</v>
      </c>
    </row>
    <row r="3176">
      <c r="A3176" t="inlineStr">
        <is>
          <t>17 Feb 2026 / Anthony Gale / Utilities / UKPN</t>
        </is>
      </c>
      <c r="B3176" t="inlineStr">
        <is>
          <t>Utilities</t>
        </is>
      </c>
      <c r="C3176" t="inlineStr">
        <is>
          <t>UKPN</t>
        </is>
      </c>
      <c r="D3176" t="inlineStr">
        <is>
          <t>KX20 BCE , Tipper , Isuzu , D-Max</t>
        </is>
      </c>
      <c r="E3176" t="inlineStr">
        <is>
          <t>KX20 BCE , Tipper , Isuzu , D-Max</t>
        </is>
      </c>
      <c r="F3176" t="inlineStr">
        <is>
          <t>KX20 BCE , Tipper , Isuzu , D-Max</t>
        </is>
      </c>
      <c r="G3176" t="inlineStr">
        <is>
          <t>Anthony Gale</t>
        </is>
      </c>
      <c r="H3176" t="inlineStr">
        <is>
          <t>Pickup Truck</t>
        </is>
      </c>
      <c r="I3176" t="inlineStr">
        <is>
          <t>Daily/ Weekly Vehicle Inspection</t>
        </is>
      </c>
      <c r="J3176" t="inlineStr">
        <is>
          <t>N/A</t>
        </is>
      </c>
      <c r="K3176" t="inlineStr">
        <is>
          <t>7996 M G Tree Surgery Ltd 1</t>
        </is>
      </c>
      <c r="L3176" t="inlineStr">
        <is>
          <t>17/02/2026 07:33</t>
        </is>
      </c>
      <c r="M3176" t="inlineStr">
        <is>
          <t>None</t>
        </is>
      </c>
      <c r="N3176" t="inlineStr">
        <is>
          <t>&lt;p&gt;&lt;/p&gt;</t>
        </is>
      </c>
      <c r="O3176" t="inlineStr">
        <is>
          <t>Confirm that you have checked this vehicle as per the guidance document and the vehicle is safe and roadworthy:Light board deteriorating.
Safe for now.
Will need replacing soon.
-</t>
        </is>
      </c>
      <c r="P3176" t="inlineStr">
        <is>
          <t>KX20 BCE , Tipper , Isuzu , D-Max</t>
        </is>
      </c>
      <c r="Q3176" t="inlineStr">
        <is>
          <t>UKPN</t>
        </is>
      </c>
      <c r="R3176" t="b">
        <v>0</v>
      </c>
    </row>
    <row r="3177">
      <c r="A3177" t="inlineStr">
        <is>
          <t>17 Feb 2026 / Anthony Gale / Utilities / UKPN</t>
        </is>
      </c>
      <c r="B3177" t="inlineStr">
        <is>
          <t>Utilities</t>
        </is>
      </c>
      <c r="C3177" t="inlineStr">
        <is>
          <t>UKPN</t>
        </is>
      </c>
      <c r="D3177" t="inlineStr"/>
      <c r="E3177" t="inlineStr"/>
      <c r="F3177" t="inlineStr"/>
      <c r="G3177" t="inlineStr">
        <is>
          <t>Anthony Gale</t>
        </is>
      </c>
      <c r="H3177" t="inlineStr">
        <is>
          <t>Towed Chipper</t>
        </is>
      </c>
      <c r="I3177" t="inlineStr">
        <is>
          <t>Daily/ Weekly Vehicle Inspection</t>
        </is>
      </c>
      <c r="J3177" t="inlineStr">
        <is>
          <t>N/A</t>
        </is>
      </c>
      <c r="K3177" t="inlineStr">
        <is>
          <t>7996 M G Tree Surgery Ltd 1</t>
        </is>
      </c>
      <c r="L3177" t="inlineStr">
        <is>
          <t>17/02/2026 07:34</t>
        </is>
      </c>
      <c r="M3177" t="inlineStr">
        <is>
          <t>None</t>
        </is>
      </c>
      <c r="N3177" t="inlineStr">
        <is>
          <t>&lt;p&gt;&lt;/p&gt;</t>
        </is>
      </c>
      <c r="O3177" t="inlineStr"/>
      <c r="P3177" t="inlineStr"/>
      <c r="Q3177" t="inlineStr">
        <is>
          <t>UKPN</t>
        </is>
      </c>
      <c r="R3177" t="b">
        <v>0</v>
      </c>
    </row>
    <row r="3178">
      <c r="A3178" t="inlineStr">
        <is>
          <t>17 Feb 2026 / 6617 Ashdown Tree Limited 1 / Utilities / UKPN</t>
        </is>
      </c>
      <c r="B3178" t="inlineStr">
        <is>
          <t>Utilities</t>
        </is>
      </c>
      <c r="C3178" t="inlineStr">
        <is>
          <t>UKPN</t>
        </is>
      </c>
      <c r="D3178" t="inlineStr">
        <is>
          <t>WF11EJJ , Vehicle , Land Rover , Discovery</t>
        </is>
      </c>
      <c r="E3178" t="inlineStr">
        <is>
          <t>WF11EJJ , Vehicle , Land Rover , Discovery</t>
        </is>
      </c>
      <c r="F3178" t="inlineStr">
        <is>
          <t>WF11EJJ , Vehicle , Land Rover , Discovery</t>
        </is>
      </c>
      <c r="G3178" t="inlineStr">
        <is>
          <t>Dan</t>
        </is>
      </c>
      <c r="H3178" t="inlineStr">
        <is>
          <t>4x4</t>
        </is>
      </c>
      <c r="I3178" t="inlineStr">
        <is>
          <t>Daily/ Weekly Vehicle Inspection</t>
        </is>
      </c>
      <c r="J3178" t="inlineStr">
        <is>
          <t>N/A</t>
        </is>
      </c>
      <c r="K3178" t="inlineStr">
        <is>
          <t>6617 Ashdown Tree Limited - Team 2</t>
        </is>
      </c>
      <c r="L3178" t="inlineStr">
        <is>
          <t>17/02/2026 07:36</t>
        </is>
      </c>
      <c r="M3178" t="inlineStr">
        <is>
          <t>None</t>
        </is>
      </c>
      <c r="N3178" t="inlineStr">
        <is>
          <t>&lt;p&gt;&lt;/p&gt;</t>
        </is>
      </c>
      <c r="O3178" t="inlineStr"/>
      <c r="P3178" t="inlineStr">
        <is>
          <t>WF11EJJ , Vehicle , Land Rover , Discovery</t>
        </is>
      </c>
      <c r="Q3178" t="inlineStr">
        <is>
          <t>UKPN</t>
        </is>
      </c>
      <c r="R3178" t="b">
        <v>0</v>
      </c>
    </row>
    <row r="3179">
      <c r="A3179" t="inlineStr">
        <is>
          <t>17 Feb 2026 / Gary England / Utilities / NGED</t>
        </is>
      </c>
      <c r="B3179" t="inlineStr">
        <is>
          <t>Utilities</t>
        </is>
      </c>
      <c r="C3179" t="inlineStr">
        <is>
          <t>NGED</t>
        </is>
      </c>
      <c r="D3179" t="inlineStr">
        <is>
          <t>GJ71KAO , Car - Electric , Tesla , Model 3 Long Range AWD</t>
        </is>
      </c>
      <c r="E3179" t="inlineStr">
        <is>
          <t>GJ71KAO , Car - Electric , Tesla , Model 3 Long Range AWD</t>
        </is>
      </c>
      <c r="F3179" t="inlineStr">
        <is>
          <t>GJ71KAO , Car - Electric , Tesla , Model 3 Long Range AWD</t>
        </is>
      </c>
      <c r="G3179" t="inlineStr">
        <is>
          <t xml:space="preserve">Gary England </t>
        </is>
      </c>
      <c r="H3179" t="inlineStr">
        <is>
          <t>Car - Electric (GC Owned)</t>
        </is>
      </c>
      <c r="I3179" t="inlineStr">
        <is>
          <t>Daily/ Weekly Vehicle Inspection</t>
        </is>
      </c>
      <c r="J3179" t="inlineStr">
        <is>
          <t>N/A</t>
        </is>
      </c>
      <c r="K3179" t="inlineStr">
        <is>
          <t>Gary England</t>
        </is>
      </c>
      <c r="L3179" t="inlineStr">
        <is>
          <t>17/02/2026 08:29</t>
        </is>
      </c>
      <c r="M3179" t="inlineStr">
        <is>
          <t>None</t>
        </is>
      </c>
      <c r="N3179" t="inlineStr">
        <is>
          <t>&lt;p&gt;&lt;/p&gt;</t>
        </is>
      </c>
      <c r="O3179" t="inlineStr"/>
      <c r="P3179" t="inlineStr">
        <is>
          <t>GJ71KAO , Car - Electric , Tesla , Model 3 Long Range AWD</t>
        </is>
      </c>
      <c r="Q3179" t="inlineStr">
        <is>
          <t>NGED</t>
        </is>
      </c>
      <c r="R3179" t="b">
        <v>0</v>
      </c>
    </row>
    <row r="3180">
      <c r="A3180" t="inlineStr">
        <is>
          <t>17 Feb 2026 / 7800 MAC Tree Surgery and Fencing Ltd / Utilities / UKPN</t>
        </is>
      </c>
      <c r="B3180" t="inlineStr">
        <is>
          <t>Utilities</t>
        </is>
      </c>
      <c r="C3180" t="inlineStr">
        <is>
          <t>UKPN</t>
        </is>
      </c>
      <c r="D3180" t="inlineStr">
        <is>
          <t>AY68DAA , 4x4 , Izuzu , Dmax</t>
        </is>
      </c>
      <c r="E3180" t="inlineStr">
        <is>
          <t>AY68DAA , 4x4 , Izuzu , Dmax</t>
        </is>
      </c>
      <c r="F3180" t="inlineStr">
        <is>
          <t>AY68DAA , 4x4 , Izuzu , Dmax</t>
        </is>
      </c>
      <c r="G3180" t="inlineStr">
        <is>
          <t xml:space="preserve">Patrick O'Shea </t>
        </is>
      </c>
      <c r="H3180" t="inlineStr">
        <is>
          <t>4x4</t>
        </is>
      </c>
      <c r="I3180" t="inlineStr">
        <is>
          <t>Daily/ Weekly Vehicle Inspection</t>
        </is>
      </c>
      <c r="J3180" t="inlineStr">
        <is>
          <t>N/A</t>
        </is>
      </c>
      <c r="K3180" t="inlineStr">
        <is>
          <t>7800 MAC Tree Surgery and Fencing Ltd</t>
        </is>
      </c>
      <c r="L3180" t="inlineStr">
        <is>
          <t>17/02/2026 08:29</t>
        </is>
      </c>
      <c r="M3180" t="inlineStr">
        <is>
          <t>None</t>
        </is>
      </c>
      <c r="N3180" t="inlineStr">
        <is>
          <t>&lt;p&gt;&lt;/p&gt;</t>
        </is>
      </c>
      <c r="O3180" t="inlineStr"/>
      <c r="P3180" t="inlineStr">
        <is>
          <t>AY68DAA , 4x4 , Izuzu , Dmax</t>
        </is>
      </c>
      <c r="Q3180" t="inlineStr">
        <is>
          <t>UKPN</t>
        </is>
      </c>
      <c r="R3180" t="b">
        <v>0</v>
      </c>
    </row>
    <row r="3181">
      <c r="A3181" t="inlineStr">
        <is>
          <t>17 Feb 2026 / 7800 MAC Tree Surgery and Fencing Ltd / Utilities / UKPN</t>
        </is>
      </c>
      <c r="B3181" t="inlineStr">
        <is>
          <t>Utilities</t>
        </is>
      </c>
      <c r="C3181" t="inlineStr">
        <is>
          <t>UKPN</t>
        </is>
      </c>
      <c r="D3181" t="inlineStr">
        <is>
          <t>Plant Trailer - Towmate - 2.8t - 0</t>
        </is>
      </c>
      <c r="E3181" t="inlineStr">
        <is>
          <t>Plant Trailer - Towmate - 2.8t - 0</t>
        </is>
      </c>
      <c r="F3181" t="inlineStr">
        <is>
          <t>Plant Trailer - Towmate - 2.8t - 0</t>
        </is>
      </c>
      <c r="G3181" t="inlineStr">
        <is>
          <t>Lewis mac</t>
        </is>
      </c>
      <c r="H3181" t="inlineStr">
        <is>
          <t>Plant Trailer</t>
        </is>
      </c>
      <c r="I3181" t="inlineStr">
        <is>
          <t>Daily/ Weekly Vehicle Inspection</t>
        </is>
      </c>
      <c r="J3181" t="inlineStr">
        <is>
          <t>N/A</t>
        </is>
      </c>
      <c r="K3181" t="inlineStr">
        <is>
          <t>7800 MAC Tree Surgery and Fencing Ltd</t>
        </is>
      </c>
      <c r="L3181" t="inlineStr">
        <is>
          <t>17/02/2026 08:30</t>
        </is>
      </c>
      <c r="M3181" t="inlineStr">
        <is>
          <t>None</t>
        </is>
      </c>
      <c r="N3181" t="inlineStr">
        <is>
          <t>&lt;p&gt;&lt;/p&gt;</t>
        </is>
      </c>
      <c r="O3181" t="inlineStr"/>
      <c r="P3181" t="inlineStr">
        <is>
          <t>Plant Trailer - Towmate - 2.8t - 0</t>
        </is>
      </c>
      <c r="Q3181" t="inlineStr">
        <is>
          <t>UKPN</t>
        </is>
      </c>
      <c r="R3181" t="b">
        <v>0</v>
      </c>
    </row>
    <row r="3182">
      <c r="A3182" t="inlineStr">
        <is>
          <t>17 Feb 2026 / Christopher Simeoli / Utilities / NGED</t>
        </is>
      </c>
      <c r="B3182" t="inlineStr">
        <is>
          <t>Utilities</t>
        </is>
      </c>
      <c r="C3182" t="inlineStr">
        <is>
          <t>NGED</t>
        </is>
      </c>
      <c r="D3182" t="inlineStr">
        <is>
          <t>EO73KVB , Car - Electric , Kia , Niro</t>
        </is>
      </c>
      <c r="E3182" t="inlineStr">
        <is>
          <t>EO73KVB , Car - Electric , Kia , Niro</t>
        </is>
      </c>
      <c r="F3182" t="inlineStr">
        <is>
          <t>EO73KVB , Car - Electric , Kia , Niro</t>
        </is>
      </c>
      <c r="G3182" t="inlineStr">
        <is>
          <t xml:space="preserve"> Chris Simeoli </t>
        </is>
      </c>
      <c r="H3182" t="inlineStr">
        <is>
          <t>Car - Electric (GC Owned)</t>
        </is>
      </c>
      <c r="I3182" t="inlineStr">
        <is>
          <t>Daily/ Weekly Vehicle Inspection</t>
        </is>
      </c>
      <c r="J3182" t="inlineStr">
        <is>
          <t>N/A</t>
        </is>
      </c>
      <c r="K3182" t="inlineStr">
        <is>
          <t>Christopher Simeoli</t>
        </is>
      </c>
      <c r="L3182" t="inlineStr">
        <is>
          <t>17/02/2026 09:30</t>
        </is>
      </c>
      <c r="M3182" t="inlineStr">
        <is>
          <t>None</t>
        </is>
      </c>
      <c r="N3182" t="inlineStr">
        <is>
          <t>&lt;p&gt;&lt;/p&gt;</t>
        </is>
      </c>
      <c r="O3182" t="inlineStr"/>
      <c r="P3182" t="inlineStr">
        <is>
          <t>EO73KVB , Car - Electric , Kia , Niro</t>
        </is>
      </c>
      <c r="Q3182" t="inlineStr">
        <is>
          <t>NGED</t>
        </is>
      </c>
      <c r="R3182" t="b">
        <v>0</v>
      </c>
    </row>
    <row r="3183">
      <c r="A3183" t="inlineStr">
        <is>
          <t>17 Feb 2026 / 7951 Austin Tree Care LTD 1 / Utilities / UKPN</t>
        </is>
      </c>
      <c r="B3183" t="inlineStr">
        <is>
          <t>Utilities</t>
        </is>
      </c>
      <c r="C3183" t="inlineStr">
        <is>
          <t>UKPN</t>
        </is>
      </c>
      <c r="D3183" t="inlineStr">
        <is>
          <t>WG64HTT , 4x4 , Land Rover , Defender 110</t>
        </is>
      </c>
      <c r="E3183" t="inlineStr">
        <is>
          <t>WG64HTT , 4x4 , Land Rover , Defender 110</t>
        </is>
      </c>
      <c r="F3183" t="inlineStr">
        <is>
          <t>WG64HTT , 4x4 , Land Rover , Defender 110</t>
        </is>
      </c>
      <c r="G3183" t="inlineStr">
        <is>
          <t xml:space="preserve">James Tasker </t>
        </is>
      </c>
      <c r="H3183" t="inlineStr">
        <is>
          <t>4x4</t>
        </is>
      </c>
      <c r="I3183" t="inlineStr">
        <is>
          <t>Daily/ Weekly Vehicle Inspection</t>
        </is>
      </c>
      <c r="J3183" t="inlineStr">
        <is>
          <t>N/A</t>
        </is>
      </c>
      <c r="K3183" t="inlineStr">
        <is>
          <t>7951 Austin Tree Care LTD 1</t>
        </is>
      </c>
      <c r="L3183" t="inlineStr">
        <is>
          <t>17/02/2026 09:33</t>
        </is>
      </c>
      <c r="M3183" t="inlineStr">
        <is>
          <t>None</t>
        </is>
      </c>
      <c r="N3183" t="inlineStr">
        <is>
          <t>&lt;p&gt;&lt;/p&gt;</t>
        </is>
      </c>
      <c r="O3183" t="inlineStr"/>
      <c r="P3183" t="inlineStr">
        <is>
          <t>WG64HTT , 4x4 , Land Rover , Defender 110</t>
        </is>
      </c>
      <c r="Q3183" t="inlineStr">
        <is>
          <t>UKPN</t>
        </is>
      </c>
      <c r="R3183" t="b">
        <v>0</v>
      </c>
    </row>
    <row r="3184">
      <c r="A3184" t="inlineStr">
        <is>
          <t>17 Feb 2026 / Ashley Hill / Utilities / NGED</t>
        </is>
      </c>
      <c r="B3184" t="inlineStr">
        <is>
          <t>Utilities</t>
        </is>
      </c>
      <c r="C3184" t="inlineStr">
        <is>
          <t>NGED</t>
        </is>
      </c>
      <c r="D3184" t="inlineStr"/>
      <c r="E3184" t="inlineStr"/>
      <c r="F3184" t="inlineStr"/>
      <c r="G3184" t="inlineStr">
        <is>
          <t>Ashley Hill</t>
        </is>
      </c>
      <c r="H3184" t="inlineStr">
        <is>
          <t>Car - Petrol</t>
        </is>
      </c>
      <c r="I3184" t="inlineStr">
        <is>
          <t>Daily/ Weekly Vehicle Inspection</t>
        </is>
      </c>
      <c r="J3184" t="inlineStr">
        <is>
          <t>N/A</t>
        </is>
      </c>
      <c r="K3184" t="inlineStr">
        <is>
          <t>Ashley Hill</t>
        </is>
      </c>
      <c r="L3184" t="inlineStr">
        <is>
          <t>17/02/2026 10:32</t>
        </is>
      </c>
      <c r="M3184" t="inlineStr">
        <is>
          <t>None</t>
        </is>
      </c>
      <c r="N3184" t="inlineStr">
        <is>
          <t>&lt;p&gt;&lt;/p&gt;</t>
        </is>
      </c>
      <c r="O3184" t="inlineStr"/>
      <c r="P3184" t="inlineStr"/>
      <c r="Q3184" t="inlineStr">
        <is>
          <t>NGED</t>
        </is>
      </c>
      <c r="R3184" t="b">
        <v>0</v>
      </c>
    </row>
    <row r="3185">
      <c r="A3185" t="inlineStr">
        <is>
          <t>29 Jan 2026 / Philip Shaw / Utilities / NGED</t>
        </is>
      </c>
      <c r="B3185" t="inlineStr">
        <is>
          <t>Utilities</t>
        </is>
      </c>
      <c r="C3185" t="inlineStr">
        <is>
          <t>NGED</t>
        </is>
      </c>
      <c r="D3185" t="inlineStr">
        <is>
          <t>AF22TZO , Car - Electric , Tesla , Model 3 Long Range AWD</t>
        </is>
      </c>
      <c r="E3185" t="inlineStr">
        <is>
          <t>AF22TZO , Car - Electric , Tesla , Model 3 Long Range AWD</t>
        </is>
      </c>
      <c r="F3185" t="inlineStr">
        <is>
          <t>AF22TZO , Car - Electric , Tesla , Model 3 Long Range AWD</t>
        </is>
      </c>
      <c r="G3185" t="inlineStr">
        <is>
          <t xml:space="preserve">Phil shaw </t>
        </is>
      </c>
      <c r="H3185" t="inlineStr">
        <is>
          <t>Car - Electric (GC Owned)</t>
        </is>
      </c>
      <c r="I3185" t="inlineStr">
        <is>
          <t>Daily/ Weekly Vehicle Inspection</t>
        </is>
      </c>
      <c r="J3185" t="inlineStr">
        <is>
          <t>N/A</t>
        </is>
      </c>
      <c r="K3185" t="inlineStr">
        <is>
          <t>Philip Shaw</t>
        </is>
      </c>
      <c r="L3185" t="inlineStr">
        <is>
          <t>17/02/2026 14:29</t>
        </is>
      </c>
      <c r="M3185" t="inlineStr">
        <is>
          <t>None</t>
        </is>
      </c>
      <c r="N3185" t="inlineStr">
        <is>
          <t>&lt;p&gt;&lt;/p&gt;</t>
        </is>
      </c>
      <c r="O3185" t="inlineStr"/>
      <c r="P3185" t="inlineStr">
        <is>
          <t>AF22TZO , Car - Electric , Tesla , Model 3 Long Range AWD</t>
        </is>
      </c>
      <c r="Q3185" t="inlineStr">
        <is>
          <t>NGED</t>
        </is>
      </c>
      <c r="R3185" t="b">
        <v>0</v>
      </c>
    </row>
    <row r="3186">
      <c r="A3186" t="inlineStr">
        <is>
          <t>17 Feb 2026 / 6617 Ashdown Tree Limited 1 / Utilities / UKPN</t>
        </is>
      </c>
      <c r="B3186" t="inlineStr">
        <is>
          <t>Utilities</t>
        </is>
      </c>
      <c r="C3186" t="inlineStr">
        <is>
          <t>UKPN</t>
        </is>
      </c>
      <c r="D3186" t="inlineStr">
        <is>
          <t>WF11EJJ , Vehicle , Land Rover , Discovery</t>
        </is>
      </c>
      <c r="E3186" t="inlineStr">
        <is>
          <t>WF11EJJ , Vehicle , Land Rover , Discovery</t>
        </is>
      </c>
      <c r="F3186" t="inlineStr">
        <is>
          <t>WF11EJJ , Vehicle , Land Rover , Discovery</t>
        </is>
      </c>
      <c r="G3186" t="inlineStr">
        <is>
          <t>Dan</t>
        </is>
      </c>
      <c r="H3186" t="inlineStr">
        <is>
          <t>4x4</t>
        </is>
      </c>
      <c r="I3186" t="inlineStr">
        <is>
          <t>Daily/ Weekly Vehicle Inspection</t>
        </is>
      </c>
      <c r="J3186" t="inlineStr">
        <is>
          <t>N/A</t>
        </is>
      </c>
      <c r="K3186" t="inlineStr">
        <is>
          <t>6617 Ashdown Tree Limited - Team 2</t>
        </is>
      </c>
      <c r="L3186" t="inlineStr">
        <is>
          <t>17/02/2026 14:30</t>
        </is>
      </c>
      <c r="M3186" t="inlineStr">
        <is>
          <t>None</t>
        </is>
      </c>
      <c r="N3186" t="inlineStr">
        <is>
          <t>&lt;p&gt;&lt;/p&gt;</t>
        </is>
      </c>
      <c r="O3186" t="inlineStr"/>
      <c r="P3186" t="inlineStr">
        <is>
          <t>WF11EJJ , Vehicle , Land Rover , Discovery</t>
        </is>
      </c>
      <c r="Q3186" t="inlineStr">
        <is>
          <t>UKPN</t>
        </is>
      </c>
      <c r="R3186" t="b">
        <v>0</v>
      </c>
    </row>
    <row r="3187">
      <c r="A3187" t="inlineStr">
        <is>
          <t>17 Feb 2026 / Rodney Taylor / Utilities / NGED</t>
        </is>
      </c>
      <c r="B3187" t="inlineStr">
        <is>
          <t>Utilities</t>
        </is>
      </c>
      <c r="C3187" t="inlineStr">
        <is>
          <t>NGED</t>
        </is>
      </c>
      <c r="D3187" t="inlineStr">
        <is>
          <t>EK73UOM , Car - Electric , Kia , Niro</t>
        </is>
      </c>
      <c r="E3187" t="inlineStr">
        <is>
          <t>EK73UOM , Car - Electric , Kia , Niro</t>
        </is>
      </c>
      <c r="F3187" t="inlineStr">
        <is>
          <t>EK73UOM , Car - Electric , Kia , Niro</t>
        </is>
      </c>
      <c r="G3187" t="inlineStr">
        <is>
          <t xml:space="preserve">Rod Taylor </t>
        </is>
      </c>
      <c r="H3187" t="inlineStr">
        <is>
          <t>Car - Electric (GC Owned)</t>
        </is>
      </c>
      <c r="I3187" t="inlineStr">
        <is>
          <t>Daily/ Weekly Vehicle Inspection</t>
        </is>
      </c>
      <c r="J3187" t="inlineStr">
        <is>
          <t>N/A</t>
        </is>
      </c>
      <c r="K3187" t="inlineStr">
        <is>
          <t>Rodney Taylor</t>
        </is>
      </c>
      <c r="L3187" t="inlineStr">
        <is>
          <t>17/02/2026 16:29</t>
        </is>
      </c>
      <c r="M3187" t="inlineStr">
        <is>
          <t>None</t>
        </is>
      </c>
      <c r="N3187" t="inlineStr">
        <is>
          <t>&lt;p&gt;&lt;/p&gt;</t>
        </is>
      </c>
      <c r="O3187" t="inlineStr"/>
      <c r="P3187" t="inlineStr">
        <is>
          <t>EK73UOM , Car - Electric , Kia , Niro</t>
        </is>
      </c>
      <c r="Q3187" t="inlineStr">
        <is>
          <t>NGED</t>
        </is>
      </c>
      <c r="R3187" t="b">
        <v>0</v>
      </c>
    </row>
    <row r="3188">
      <c r="A3188" t="inlineStr">
        <is>
          <t>18 Feb 2026 / 7951 Austin Tree Care LTD / Utilities / UKPN</t>
        </is>
      </c>
      <c r="B3188" t="inlineStr">
        <is>
          <t>Utilities</t>
        </is>
      </c>
      <c r="C3188" t="inlineStr">
        <is>
          <t>UKPN</t>
        </is>
      </c>
      <c r="D3188" t="inlineStr">
        <is>
          <t>KN58 FUY , Tipper , Volkswagan , Crafter</t>
        </is>
      </c>
      <c r="E3188" t="inlineStr">
        <is>
          <t>KN58 FUY , Tipper , Volkswagan , Crafter</t>
        </is>
      </c>
      <c r="F3188" t="inlineStr">
        <is>
          <t>KN58 FUY , Tipper , Volkswagan , Crafter</t>
        </is>
      </c>
      <c r="G3188" t="inlineStr">
        <is>
          <t xml:space="preserve">James Tasker </t>
        </is>
      </c>
      <c r="H3188" t="inlineStr">
        <is>
          <t>Tipper</t>
        </is>
      </c>
      <c r="I3188" t="inlineStr">
        <is>
          <t>Daily/ Weekly Vehicle Inspection</t>
        </is>
      </c>
      <c r="J3188" t="inlineStr">
        <is>
          <t>N/A</t>
        </is>
      </c>
      <c r="K3188" t="inlineStr">
        <is>
          <t>7951 Austin Tree Care LTD</t>
        </is>
      </c>
      <c r="L3188" t="inlineStr">
        <is>
          <t>18/02/2026 07:28</t>
        </is>
      </c>
      <c r="M3188" t="inlineStr">
        <is>
          <t>None</t>
        </is>
      </c>
      <c r="N3188" t="inlineStr">
        <is>
          <t>&lt;p&gt;&lt;/p&gt;</t>
        </is>
      </c>
      <c r="O3188" t="inlineStr"/>
      <c r="P3188" t="inlineStr">
        <is>
          <t>KN58 FUY , Tipper , Volkswagan , Crafter</t>
        </is>
      </c>
      <c r="Q3188" t="inlineStr">
        <is>
          <t>UKPN</t>
        </is>
      </c>
      <c r="R3188" t="b">
        <v>0</v>
      </c>
    </row>
    <row r="3189">
      <c r="A3189" t="inlineStr">
        <is>
          <t>18 Feb 2026 / 7951 Austin Tree Care LTD / Utilities / UKPN</t>
        </is>
      </c>
      <c r="B3189" t="inlineStr">
        <is>
          <t>Utilities</t>
        </is>
      </c>
      <c r="C3189" t="inlineStr">
        <is>
          <t>UKPN</t>
        </is>
      </c>
      <c r="D3189" t="inlineStr">
        <is>
          <t>SA9ST6P0001283612 , Towed Chipper , Forst , ST6p</t>
        </is>
      </c>
      <c r="E3189" t="inlineStr">
        <is>
          <t>SA9ST6P0001283612 , Towed Chipper , Forst , ST6p</t>
        </is>
      </c>
      <c r="F3189" t="inlineStr">
        <is>
          <t>SA9ST6P0001283612 , Towed Chipper , Forst , ST6p</t>
        </is>
      </c>
      <c r="G3189" t="inlineStr">
        <is>
          <t xml:space="preserve">Jack Austin </t>
        </is>
      </c>
      <c r="H3189" t="inlineStr">
        <is>
          <t>Towed Chipper</t>
        </is>
      </c>
      <c r="I3189" t="inlineStr">
        <is>
          <t>Daily/ Weekly Vehicle Inspection</t>
        </is>
      </c>
      <c r="J3189" t="inlineStr">
        <is>
          <t>N/A</t>
        </is>
      </c>
      <c r="K3189" t="inlineStr">
        <is>
          <t>7951 Austin Tree Care LTD</t>
        </is>
      </c>
      <c r="L3189" t="inlineStr">
        <is>
          <t>18/02/2026 07:29</t>
        </is>
      </c>
      <c r="M3189" t="inlineStr">
        <is>
          <t>None</t>
        </is>
      </c>
      <c r="N3189" t="inlineStr">
        <is>
          <t>&lt;p&gt;&lt;/p&gt;</t>
        </is>
      </c>
      <c r="O3189" t="inlineStr"/>
      <c r="P3189" t="inlineStr">
        <is>
          <t>SA9ST6P0001283612 , Towed Chipper , Forst , ST6p</t>
        </is>
      </c>
      <c r="Q3189" t="inlineStr">
        <is>
          <t>UKPN</t>
        </is>
      </c>
      <c r="R3189" t="b">
        <v>0</v>
      </c>
    </row>
    <row r="3190">
      <c r="A3190" t="inlineStr">
        <is>
          <t>18 Feb 2026 / 7951 Austin Tree Care LTD / Utilities / UKPN</t>
        </is>
      </c>
      <c r="B3190" t="inlineStr">
        <is>
          <t>Utilities</t>
        </is>
      </c>
      <c r="C3190" t="inlineStr">
        <is>
          <t>UKPN</t>
        </is>
      </c>
      <c r="D3190" t="inlineStr">
        <is>
          <t>WG64HTT , 4x4 , Land Rover , Defender 110</t>
        </is>
      </c>
      <c r="E3190" t="inlineStr">
        <is>
          <t>WG64HTT , 4x4 , Land Rover , Defender 110</t>
        </is>
      </c>
      <c r="F3190" t="inlineStr">
        <is>
          <t>WG64HTT , 4x4 , Land Rover , Defender 110</t>
        </is>
      </c>
      <c r="G3190" t="inlineStr">
        <is>
          <t xml:space="preserve">Jack Austin </t>
        </is>
      </c>
      <c r="H3190" t="inlineStr">
        <is>
          <t>4x4</t>
        </is>
      </c>
      <c r="I3190" t="inlineStr">
        <is>
          <t>Daily/ Weekly Vehicle Inspection</t>
        </is>
      </c>
      <c r="J3190" t="inlineStr">
        <is>
          <t>N/A</t>
        </is>
      </c>
      <c r="K3190" t="inlineStr">
        <is>
          <t>7951 Austin Tree Care LTD</t>
        </is>
      </c>
      <c r="L3190" t="inlineStr">
        <is>
          <t>18/02/2026 07:30</t>
        </is>
      </c>
      <c r="M3190" t="inlineStr">
        <is>
          <t>None</t>
        </is>
      </c>
      <c r="N3190" t="inlineStr">
        <is>
          <t>&lt;p&gt;&lt;/p&gt;</t>
        </is>
      </c>
      <c r="O3190" t="inlineStr"/>
      <c r="P3190" t="inlineStr">
        <is>
          <t>WG64HTT , 4x4 , Land Rover , Defender 110</t>
        </is>
      </c>
      <c r="Q3190" t="inlineStr">
        <is>
          <t>UKPN</t>
        </is>
      </c>
      <c r="R3190" t="b">
        <v>0</v>
      </c>
    </row>
    <row r="3191">
      <c r="A3191" t="inlineStr">
        <is>
          <t>18 Feb 2026 / 7186 Eastwoodbury Tree Services Ltd / Utilities / UKPN</t>
        </is>
      </c>
      <c r="B3191" t="inlineStr">
        <is>
          <t>Utilities</t>
        </is>
      </c>
      <c r="C3191" t="inlineStr">
        <is>
          <t>UKPN</t>
        </is>
      </c>
      <c r="D3191" t="inlineStr">
        <is>
          <t>FX14 XCV , 4x4 , Land Rover  , Defender</t>
        </is>
      </c>
      <c r="E3191" t="inlineStr">
        <is>
          <t>FX14 XCV , 4x4 , Land Rover  , Defender</t>
        </is>
      </c>
      <c r="F3191" t="inlineStr">
        <is>
          <t>FX14 XCV , 4x4 , Land Rover  , Defender</t>
        </is>
      </c>
      <c r="G3191" t="inlineStr">
        <is>
          <t xml:space="preserve">Tom price </t>
        </is>
      </c>
      <c r="H3191" t="inlineStr">
        <is>
          <t>4x4</t>
        </is>
      </c>
      <c r="I3191" t="inlineStr">
        <is>
          <t>Daily/ Weekly Vehicle Inspection</t>
        </is>
      </c>
      <c r="J3191" t="inlineStr">
        <is>
          <t>N/A</t>
        </is>
      </c>
      <c r="K3191" t="inlineStr">
        <is>
          <t>7186 Eastwoodbury Tree Services Ltd</t>
        </is>
      </c>
      <c r="L3191" t="inlineStr">
        <is>
          <t>18/02/2026 07:31</t>
        </is>
      </c>
      <c r="M3191" t="inlineStr">
        <is>
          <t>None</t>
        </is>
      </c>
      <c r="N3191" t="inlineStr">
        <is>
          <t>&lt;p&gt;&lt;/p&gt;</t>
        </is>
      </c>
      <c r="O3191" t="inlineStr"/>
      <c r="P3191" t="inlineStr">
        <is>
          <t>FX14 XCV , 4x4 , Land Rover  , Defender</t>
        </is>
      </c>
      <c r="Q3191" t="inlineStr">
        <is>
          <t>UKPN</t>
        </is>
      </c>
      <c r="R3191" t="b">
        <v>0</v>
      </c>
    </row>
    <row r="3192">
      <c r="A3192" t="inlineStr">
        <is>
          <t>18 Feb 2026 / 7186 Eastwoodbury Tree Services Ltd / Utilities / UKPN</t>
        </is>
      </c>
      <c r="B3192" t="inlineStr">
        <is>
          <t>Utilities</t>
        </is>
      </c>
      <c r="C3192" t="inlineStr">
        <is>
          <t>UKPN</t>
        </is>
      </c>
      <c r="D3192" t="inlineStr">
        <is>
          <t>WF13 EKT , 4x4 , Land rover  , Defender</t>
        </is>
      </c>
      <c r="E3192" t="inlineStr">
        <is>
          <t>WF13 EKT , 4x4 , Land rover  , Defender</t>
        </is>
      </c>
      <c r="F3192" t="inlineStr">
        <is>
          <t>WF13 EKT , 4x4 , Land rover  , Defender</t>
        </is>
      </c>
      <c r="G3192" t="inlineStr">
        <is>
          <t xml:space="preserve">Dan Gilbert </t>
        </is>
      </c>
      <c r="H3192" t="inlineStr">
        <is>
          <t>4x4</t>
        </is>
      </c>
      <c r="I3192" t="inlineStr">
        <is>
          <t>Daily/ Weekly Vehicle Inspection</t>
        </is>
      </c>
      <c r="J3192" t="inlineStr">
        <is>
          <t>N/A</t>
        </is>
      </c>
      <c r="K3192" t="inlineStr">
        <is>
          <t>7186 Eastwoodbury Tree Services Ltd</t>
        </is>
      </c>
      <c r="L3192" t="inlineStr">
        <is>
          <t>18/02/2026 07:32</t>
        </is>
      </c>
      <c r="M3192" t="inlineStr">
        <is>
          <t>None</t>
        </is>
      </c>
      <c r="N3192" t="inlineStr">
        <is>
          <t>&lt;p&gt;&lt;/p&gt;</t>
        </is>
      </c>
      <c r="O3192" t="inlineStr"/>
      <c r="P3192" t="inlineStr">
        <is>
          <t>WF13 EKT , 4x4 , Land rover  , Defender</t>
        </is>
      </c>
      <c r="Q3192" t="inlineStr">
        <is>
          <t>UKPN</t>
        </is>
      </c>
      <c r="R3192" t="b">
        <v>0</v>
      </c>
    </row>
    <row r="3193">
      <c r="A3193" t="inlineStr">
        <is>
          <t>18 Feb 2026 / 7806 Optimum Tree Services Ltd / Utilities / UKPN</t>
        </is>
      </c>
      <c r="B3193" t="inlineStr">
        <is>
          <t>Utilities</t>
        </is>
      </c>
      <c r="C3193" t="inlineStr">
        <is>
          <t>UKPN</t>
        </is>
      </c>
      <c r="D3193" t="inlineStr">
        <is>
          <t>WD14EVB , MEWP , Land Rover , Defender</t>
        </is>
      </c>
      <c r="E3193" t="inlineStr">
        <is>
          <t>WD14EVB , MEWP , Land Rover , Defender</t>
        </is>
      </c>
      <c r="F3193" t="inlineStr">
        <is>
          <t>WD14EVB , MEWP , Land Rover , Defender</t>
        </is>
      </c>
      <c r="G3193" t="inlineStr">
        <is>
          <t xml:space="preserve">Abraham Davies </t>
        </is>
      </c>
      <c r="H3193" t="inlineStr">
        <is>
          <t>4x4</t>
        </is>
      </c>
      <c r="I3193" t="inlineStr">
        <is>
          <t>Daily/ Weekly Vehicle Inspection</t>
        </is>
      </c>
      <c r="J3193" t="inlineStr">
        <is>
          <t>N/A</t>
        </is>
      </c>
      <c r="K3193" t="inlineStr">
        <is>
          <t>7806 Optimum Tree Services Ltd</t>
        </is>
      </c>
      <c r="L3193" t="inlineStr">
        <is>
          <t>18/02/2026 07:33</t>
        </is>
      </c>
      <c r="M3193" t="inlineStr">
        <is>
          <t>None</t>
        </is>
      </c>
      <c r="N3193" t="inlineStr">
        <is>
          <t>&lt;p&gt;&lt;/p&gt;</t>
        </is>
      </c>
      <c r="O3193" t="inlineStr"/>
      <c r="P3193" t="inlineStr">
        <is>
          <t>WD14EVB , MEWP , Land Rover , Defender</t>
        </is>
      </c>
      <c r="Q3193" t="inlineStr">
        <is>
          <t>UKPN</t>
        </is>
      </c>
      <c r="R3193" t="b">
        <v>0</v>
      </c>
    </row>
    <row r="3194">
      <c r="A3194" t="inlineStr">
        <is>
          <t>18 Feb 2026 / 7806 Optimum Tree Services Ltd / Utilities / UKPN</t>
        </is>
      </c>
      <c r="B3194" t="inlineStr">
        <is>
          <t>Utilities</t>
        </is>
      </c>
      <c r="C3194" t="inlineStr">
        <is>
          <t>UKPN</t>
        </is>
      </c>
      <c r="D3194" t="inlineStr">
        <is>
          <t>SA9TAPLAF27414263 , Trailer , Tow Mate , Plant Trailer</t>
        </is>
      </c>
      <c r="E3194" t="inlineStr">
        <is>
          <t>SA9TAPLAF27414263 , Trailer , Tow Mate , Plant Trailer</t>
        </is>
      </c>
      <c r="F3194" t="inlineStr">
        <is>
          <t>SA9TAPLAF27414263 , Trailer , Tow Mate , Plant Trailer</t>
        </is>
      </c>
      <c r="G3194" t="inlineStr">
        <is>
          <t xml:space="preserve">Abraham Davies </t>
        </is>
      </c>
      <c r="H3194" t="inlineStr">
        <is>
          <t>Plant Trailer</t>
        </is>
      </c>
      <c r="I3194" t="inlineStr">
        <is>
          <t>Daily/ Weekly Vehicle Inspection</t>
        </is>
      </c>
      <c r="J3194" t="inlineStr">
        <is>
          <t>N/A</t>
        </is>
      </c>
      <c r="K3194" t="inlineStr">
        <is>
          <t>7806 Optimum Tree Services Ltd</t>
        </is>
      </c>
      <c r="L3194" t="inlineStr">
        <is>
          <t>18/02/2026 07:33</t>
        </is>
      </c>
      <c r="M3194" t="inlineStr">
        <is>
          <t>None</t>
        </is>
      </c>
      <c r="N3194" t="inlineStr">
        <is>
          <t>&lt;p&gt;&lt;/p&gt;</t>
        </is>
      </c>
      <c r="O3194" t="inlineStr"/>
      <c r="P3194" t="inlineStr">
        <is>
          <t>SA9TAPLAF27414263 , Trailer , Tow Mate , Plant Trailer</t>
        </is>
      </c>
      <c r="Q3194" t="inlineStr">
        <is>
          <t>UKPN</t>
        </is>
      </c>
      <c r="R3194" t="b">
        <v>0</v>
      </c>
    </row>
    <row r="3195">
      <c r="A3195" t="inlineStr">
        <is>
          <t>18 Feb 2026 / 7806 Optimum Tree Services Ltd / Utilities / UKPN</t>
        </is>
      </c>
      <c r="B3195" t="inlineStr">
        <is>
          <t>Utilities</t>
        </is>
      </c>
      <c r="C3195" t="inlineStr">
        <is>
          <t>UKPN</t>
        </is>
      </c>
      <c r="D3195" t="inlineStr">
        <is>
          <t>Wd14evn , 4x4 , Landrover  , Defender</t>
        </is>
      </c>
      <c r="E3195" t="inlineStr">
        <is>
          <t>Wd14evn , 4x4 , Landrover  , Defender</t>
        </is>
      </c>
      <c r="F3195" t="inlineStr">
        <is>
          <t>Wd14evn , 4x4 , Landrover  , Defender</t>
        </is>
      </c>
      <c r="G3195" t="inlineStr">
        <is>
          <t xml:space="preserve">Lewis davies </t>
        </is>
      </c>
      <c r="H3195" t="inlineStr">
        <is>
          <t>4x4</t>
        </is>
      </c>
      <c r="I3195" t="inlineStr">
        <is>
          <t>Daily/ Weekly Vehicle Inspection</t>
        </is>
      </c>
      <c r="J3195" t="inlineStr">
        <is>
          <t>N/A</t>
        </is>
      </c>
      <c r="K3195" t="inlineStr">
        <is>
          <t>7806 Optimum Tree Services Ltd</t>
        </is>
      </c>
      <c r="L3195" t="inlineStr">
        <is>
          <t>18/02/2026 07:34</t>
        </is>
      </c>
      <c r="M3195" t="inlineStr">
        <is>
          <t>None</t>
        </is>
      </c>
      <c r="N3195" t="inlineStr">
        <is>
          <t>&lt;p&gt;&lt;/p&gt;</t>
        </is>
      </c>
      <c r="O3195" t="inlineStr"/>
      <c r="P3195" t="inlineStr">
        <is>
          <t>Wd14evn , 4x4 , Landrover  , Defender</t>
        </is>
      </c>
      <c r="Q3195" t="inlineStr">
        <is>
          <t>UKPN</t>
        </is>
      </c>
      <c r="R3195" t="b">
        <v>0</v>
      </c>
    </row>
    <row r="3196">
      <c r="A3196" t="inlineStr">
        <is>
          <t>18 Feb 2026 / Anthony Gale / Utilities / UKPN</t>
        </is>
      </c>
      <c r="B3196" t="inlineStr">
        <is>
          <t>Utilities</t>
        </is>
      </c>
      <c r="C3196" t="inlineStr">
        <is>
          <t>UKPN</t>
        </is>
      </c>
      <c r="D3196" t="inlineStr">
        <is>
          <t>KX20 BCE , Tipper , Isuzu , D-Max</t>
        </is>
      </c>
      <c r="E3196" t="inlineStr">
        <is>
          <t>KX20 BCE , Tipper , Isuzu , D-Max</t>
        </is>
      </c>
      <c r="F3196" t="inlineStr">
        <is>
          <t>KX20 BCE , Tipper , Isuzu , D-Max</t>
        </is>
      </c>
      <c r="G3196" t="inlineStr">
        <is>
          <t>Anthony Gale</t>
        </is>
      </c>
      <c r="H3196" t="inlineStr">
        <is>
          <t>Pickup Truck</t>
        </is>
      </c>
      <c r="I3196" t="inlineStr">
        <is>
          <t>Daily/ Weekly Vehicle Inspection</t>
        </is>
      </c>
      <c r="J3196" t="inlineStr">
        <is>
          <t>N/A</t>
        </is>
      </c>
      <c r="K3196" t="inlineStr">
        <is>
          <t>7996 M G Tree Surgery Ltd 1</t>
        </is>
      </c>
      <c r="L3196" t="inlineStr">
        <is>
          <t>18/02/2026 07:36</t>
        </is>
      </c>
      <c r="M3196" t="inlineStr">
        <is>
          <t>None</t>
        </is>
      </c>
      <c r="N3196" t="inlineStr">
        <is>
          <t>&lt;p&gt;&lt;/p&gt;</t>
        </is>
      </c>
      <c r="O3196" t="inlineStr">
        <is>
          <t>Confirm that you have checked this vehicle as per the guidance document and the vehicle is safe and roadworthy:Light board deteriorating.
Safe for now.
Will need replacing soon.
-</t>
        </is>
      </c>
      <c r="P3196" t="inlineStr">
        <is>
          <t>KX20 BCE , Tipper , Isuzu , D-Max</t>
        </is>
      </c>
      <c r="Q3196" t="inlineStr">
        <is>
          <t>UKPN</t>
        </is>
      </c>
      <c r="R3196" t="b">
        <v>0</v>
      </c>
    </row>
    <row r="3197">
      <c r="A3197" t="inlineStr">
        <is>
          <t>18 Feb 2026 / Anthony Gale / Utilities / UKPN</t>
        </is>
      </c>
      <c r="B3197" t="inlineStr">
        <is>
          <t>Utilities</t>
        </is>
      </c>
      <c r="C3197" t="inlineStr">
        <is>
          <t>UKPN</t>
        </is>
      </c>
      <c r="D3197" t="inlineStr">
        <is>
          <t>GU13 WNL , MEWP , Land Rover , Defender 130</t>
        </is>
      </c>
      <c r="E3197" t="inlineStr">
        <is>
          <t>GU13 WNL , MEWP , Land Rover , Defender 130</t>
        </is>
      </c>
      <c r="F3197" t="inlineStr">
        <is>
          <t>GU13 WNL , MEWP , Land Rover , Defender 130</t>
        </is>
      </c>
      <c r="G3197" t="inlineStr">
        <is>
          <t>Anthony Gale</t>
        </is>
      </c>
      <c r="H3197" t="inlineStr">
        <is>
          <t>4x4</t>
        </is>
      </c>
      <c r="I3197" t="inlineStr">
        <is>
          <t>Daily/ Weekly Vehicle Inspection</t>
        </is>
      </c>
      <c r="J3197" t="inlineStr">
        <is>
          <t>N/A</t>
        </is>
      </c>
      <c r="K3197" t="inlineStr">
        <is>
          <t>7996 M G Tree Surgery Ltd 1</t>
        </is>
      </c>
      <c r="L3197" t="inlineStr">
        <is>
          <t>18/02/2026 07:37</t>
        </is>
      </c>
      <c r="M3197" t="inlineStr">
        <is>
          <t>None</t>
        </is>
      </c>
      <c r="N3197" t="inlineStr">
        <is>
          <t>&lt;p&gt;&lt;/p&gt;</t>
        </is>
      </c>
      <c r="O3197" t="inlineStr"/>
      <c r="P3197" t="inlineStr">
        <is>
          <t>GU13 WNL , MEWP , Land Rover , Defender 130</t>
        </is>
      </c>
      <c r="Q3197" t="inlineStr">
        <is>
          <t>UKPN</t>
        </is>
      </c>
      <c r="R3197" t="b">
        <v>0</v>
      </c>
    </row>
    <row r="3198">
      <c r="A3198" t="inlineStr">
        <is>
          <t>18 Feb 2026 / 6617 Ashdown Tree Limited 1 / Utilities / UKPN</t>
        </is>
      </c>
      <c r="B3198" t="inlineStr">
        <is>
          <t>Utilities</t>
        </is>
      </c>
      <c r="C3198" t="inlineStr">
        <is>
          <t>UKPN</t>
        </is>
      </c>
      <c r="D3198" t="inlineStr">
        <is>
          <t>WF11EJJ , Vehicle , Land Rover , Discovery</t>
        </is>
      </c>
      <c r="E3198" t="inlineStr">
        <is>
          <t>WF11EJJ , Vehicle , Land Rover , Discovery</t>
        </is>
      </c>
      <c r="F3198" t="inlineStr">
        <is>
          <t>WF11EJJ , Vehicle , Land Rover , Discovery</t>
        </is>
      </c>
      <c r="G3198" t="inlineStr">
        <is>
          <t>Dan</t>
        </is>
      </c>
      <c r="H3198" t="inlineStr">
        <is>
          <t>4x4</t>
        </is>
      </c>
      <c r="I3198" t="inlineStr">
        <is>
          <t>Daily/ Weekly Vehicle Inspection</t>
        </is>
      </c>
      <c r="J3198" t="inlineStr">
        <is>
          <t>N/A</t>
        </is>
      </c>
      <c r="K3198" t="inlineStr">
        <is>
          <t>6617 Ashdown Tree Limited - Team 2</t>
        </is>
      </c>
      <c r="L3198" t="inlineStr">
        <is>
          <t>18/02/2026 07:38</t>
        </is>
      </c>
      <c r="M3198" t="inlineStr">
        <is>
          <t>None</t>
        </is>
      </c>
      <c r="N3198" t="inlineStr">
        <is>
          <t>&lt;p&gt;&lt;/p&gt;</t>
        </is>
      </c>
      <c r="O3198" t="inlineStr"/>
      <c r="P3198" t="inlineStr">
        <is>
          <t>WF11EJJ , Vehicle , Land Rover , Discovery</t>
        </is>
      </c>
      <c r="Q3198" t="inlineStr">
        <is>
          <t>UKPN</t>
        </is>
      </c>
      <c r="R3198" t="b">
        <v>0</v>
      </c>
    </row>
    <row r="3199">
      <c r="A3199" t="inlineStr">
        <is>
          <t>18 Feb 2026 / Harry Bellis / Utilities / SSE</t>
        </is>
      </c>
      <c r="B3199" t="inlineStr">
        <is>
          <t>Utilities</t>
        </is>
      </c>
      <c r="C3199" t="inlineStr">
        <is>
          <t>SSE</t>
        </is>
      </c>
      <c r="D3199" t="inlineStr">
        <is>
          <t>EO73KUG , Car - Electric , Kia , Niro</t>
        </is>
      </c>
      <c r="E3199" t="inlineStr">
        <is>
          <t>EO73KUG , Car - Electric , Kia , Niro</t>
        </is>
      </c>
      <c r="F3199" t="inlineStr">
        <is>
          <t>EO73KUG , Car - Electric , Kia , Niro</t>
        </is>
      </c>
      <c r="G3199" t="inlineStr">
        <is>
          <t>Harry Bellis</t>
        </is>
      </c>
      <c r="H3199" t="inlineStr">
        <is>
          <t>Car - Electric (GC Owned)</t>
        </is>
      </c>
      <c r="I3199" t="inlineStr">
        <is>
          <t>Daily/ Weekly Vehicle Inspection</t>
        </is>
      </c>
      <c r="J3199" t="inlineStr">
        <is>
          <t>N/A</t>
        </is>
      </c>
      <c r="K3199" t="inlineStr">
        <is>
          <t>Harry Bellis</t>
        </is>
      </c>
      <c r="L3199" t="inlineStr">
        <is>
          <t>18/02/2026 08:28</t>
        </is>
      </c>
      <c r="M3199" t="inlineStr">
        <is>
          <t>None</t>
        </is>
      </c>
      <c r="N3199" t="inlineStr">
        <is>
          <t>&lt;p&gt;&lt;/p&gt;</t>
        </is>
      </c>
      <c r="O3199" t="inlineStr"/>
      <c r="P3199" t="inlineStr">
        <is>
          <t>EO73KUG , Car - Electric , Kia , Niro</t>
        </is>
      </c>
      <c r="Q3199" t="inlineStr">
        <is>
          <t>SSE</t>
        </is>
      </c>
      <c r="R3199" t="b">
        <v>0</v>
      </c>
    </row>
    <row r="3200">
      <c r="A3200" t="inlineStr">
        <is>
          <t>18 Feb 2026 / 8148 Hope Ground and Tree Care / Utilities / UKPN</t>
        </is>
      </c>
      <c r="B3200" t="inlineStr">
        <is>
          <t>Utilities</t>
        </is>
      </c>
      <c r="C3200" t="inlineStr">
        <is>
          <t>UKPN</t>
        </is>
      </c>
      <c r="D3200" t="inlineStr">
        <is>
          <t>S6 NWX , MEWP , Isuzu , D-Max</t>
        </is>
      </c>
      <c r="E3200" t="inlineStr">
        <is>
          <t>S6 NWX , MEWP , Isuzu , D-Max</t>
        </is>
      </c>
      <c r="F3200" t="inlineStr">
        <is>
          <t>S6 NWX , MEWP , Isuzu , D-Max</t>
        </is>
      </c>
      <c r="G3200" t="inlineStr">
        <is>
          <t>A Hope</t>
        </is>
      </c>
      <c r="H3200" t="inlineStr">
        <is>
          <t>4x4</t>
        </is>
      </c>
      <c r="I3200" t="inlineStr">
        <is>
          <t>Daily/ Weekly Vehicle Inspection</t>
        </is>
      </c>
      <c r="J3200" t="inlineStr">
        <is>
          <t>N/A</t>
        </is>
      </c>
      <c r="K3200" t="inlineStr">
        <is>
          <t>8148 Hope Ground and Tree Care</t>
        </is>
      </c>
      <c r="L3200" t="inlineStr">
        <is>
          <t>18/02/2026 08:31</t>
        </is>
      </c>
      <c r="M3200" t="inlineStr">
        <is>
          <t>None</t>
        </is>
      </c>
      <c r="N3200" t="inlineStr">
        <is>
          <t>&lt;p&gt;&lt;/p&gt;</t>
        </is>
      </c>
      <c r="O3200" t="inlineStr"/>
      <c r="P3200" t="inlineStr">
        <is>
          <t>S6 NWX , MEWP , Isuzu , D-Max</t>
        </is>
      </c>
      <c r="Q3200" t="inlineStr">
        <is>
          <t>UKPN</t>
        </is>
      </c>
      <c r="R3200" t="b">
        <v>0</v>
      </c>
    </row>
    <row r="3201">
      <c r="A3201" t="inlineStr">
        <is>
          <t>18 Feb 2026 / 3098 D &amp; R Landscapes / Utilities / UKPN</t>
        </is>
      </c>
      <c r="B3201" t="inlineStr">
        <is>
          <t>Utilities</t>
        </is>
      </c>
      <c r="C3201" t="inlineStr">
        <is>
          <t>UKPN</t>
        </is>
      </c>
      <c r="D3201" t="inlineStr">
        <is>
          <t>DE68XHA , Tipper , Isuzu , Grafter</t>
        </is>
      </c>
      <c r="E3201" t="inlineStr">
        <is>
          <t>DE68XHA , Tipper , Isuzu , Grafter</t>
        </is>
      </c>
      <c r="F3201" t="inlineStr">
        <is>
          <t>DE68XHA , Tipper , Isuzu , Grafter</t>
        </is>
      </c>
      <c r="G3201" t="inlineStr">
        <is>
          <t>Scott</t>
        </is>
      </c>
      <c r="H3201" t="inlineStr">
        <is>
          <t>Tipper</t>
        </is>
      </c>
      <c r="I3201" t="inlineStr">
        <is>
          <t>Daily/ Weekly Vehicle Inspection</t>
        </is>
      </c>
      <c r="J3201" t="inlineStr">
        <is>
          <t>N/A</t>
        </is>
      </c>
      <c r="K3201" t="inlineStr">
        <is>
          <t>3098 D &amp; R Landscapes</t>
        </is>
      </c>
      <c r="L3201" t="inlineStr">
        <is>
          <t>18/02/2026 08:31</t>
        </is>
      </c>
      <c r="M3201" t="inlineStr">
        <is>
          <t>None</t>
        </is>
      </c>
      <c r="N3201" t="inlineStr">
        <is>
          <t>&lt;p&gt;&lt;/p&gt;</t>
        </is>
      </c>
      <c r="O3201" t="inlineStr"/>
      <c r="P3201" t="inlineStr">
        <is>
          <t>DE68XHA , Tipper , Isuzu , Grafter</t>
        </is>
      </c>
      <c r="Q3201" t="inlineStr">
        <is>
          <t>UKPN</t>
        </is>
      </c>
      <c r="R3201" t="b">
        <v>0</v>
      </c>
    </row>
    <row r="3202">
      <c r="A3202" t="inlineStr">
        <is>
          <t>18 Feb 2026 / 7806 Optimum Tree Services Ltd / Utilities / UKPN</t>
        </is>
      </c>
      <c r="B3202" t="inlineStr">
        <is>
          <t>Utilities</t>
        </is>
      </c>
      <c r="C3202" t="inlineStr">
        <is>
          <t>UKPN</t>
        </is>
      </c>
      <c r="D3202" t="inlineStr">
        <is>
          <t>Wd14evn , 4x4 , Landrover  , Defender</t>
        </is>
      </c>
      <c r="E3202" t="inlineStr">
        <is>
          <t>Wd14evn , 4x4 , Landrover  , Defender</t>
        </is>
      </c>
      <c r="F3202" t="inlineStr">
        <is>
          <t>Wd14evn , 4x4 , Landrover  , Defender</t>
        </is>
      </c>
      <c r="G3202" t="inlineStr">
        <is>
          <t xml:space="preserve">Lewis davies </t>
        </is>
      </c>
      <c r="H3202" t="inlineStr">
        <is>
          <t>4x4</t>
        </is>
      </c>
      <c r="I3202" t="inlineStr">
        <is>
          <t>Daily/ Weekly Vehicle Inspection</t>
        </is>
      </c>
      <c r="J3202" t="inlineStr">
        <is>
          <t>N/A</t>
        </is>
      </c>
      <c r="K3202" t="inlineStr">
        <is>
          <t>7806 Optimum Tree Services Ltd</t>
        </is>
      </c>
      <c r="L3202" t="inlineStr">
        <is>
          <t>18/02/2026 08:32</t>
        </is>
      </c>
      <c r="M3202" t="inlineStr">
        <is>
          <t>None</t>
        </is>
      </c>
      <c r="N3202" t="inlineStr">
        <is>
          <t>&lt;p&gt;&lt;/p&gt;</t>
        </is>
      </c>
      <c r="O3202" t="inlineStr">
        <is>
          <t>Confirm that you have checked this vehicle as per the guidance document and the vehicle is safe and roadworthy:Small Crack on  passenger side mirror
-</t>
        </is>
      </c>
      <c r="P3202" t="inlineStr">
        <is>
          <t>Wd14evn , 4x4 , Landrover  , Defender</t>
        </is>
      </c>
      <c r="Q3202" t="inlineStr">
        <is>
          <t>UKPN</t>
        </is>
      </c>
      <c r="R3202" t="b">
        <v>0</v>
      </c>
    </row>
    <row r="3203">
      <c r="A3203" t="inlineStr">
        <is>
          <t>16 Feb 2026 / Thomas Nandi / Utilities / SSE</t>
        </is>
      </c>
      <c r="B3203" t="inlineStr">
        <is>
          <t>Utilities</t>
        </is>
      </c>
      <c r="C3203" t="inlineStr">
        <is>
          <t>SSE</t>
        </is>
      </c>
      <c r="D3203" t="inlineStr"/>
      <c r="E3203" t="inlineStr"/>
      <c r="F3203" t="inlineStr"/>
      <c r="G3203" t="inlineStr">
        <is>
          <t xml:space="preserve">Tom Nandi </t>
        </is>
      </c>
      <c r="H3203" t="inlineStr">
        <is>
          <t>Car - Petrol</t>
        </is>
      </c>
      <c r="I3203" t="inlineStr">
        <is>
          <t>Daily/ Weekly Vehicle Inspection</t>
        </is>
      </c>
      <c r="J3203" t="inlineStr">
        <is>
          <t>N/A</t>
        </is>
      </c>
      <c r="K3203" t="inlineStr">
        <is>
          <t>Thomas Nandi</t>
        </is>
      </c>
      <c r="L3203" t="inlineStr">
        <is>
          <t>18/02/2026 10:28</t>
        </is>
      </c>
      <c r="M3203" t="inlineStr">
        <is>
          <t>None</t>
        </is>
      </c>
      <c r="N3203" t="inlineStr">
        <is>
          <t>&lt;p&gt;&lt;/p&gt;</t>
        </is>
      </c>
      <c r="O3203" t="inlineStr"/>
      <c r="P3203" t="inlineStr"/>
      <c r="Q3203" t="inlineStr">
        <is>
          <t>SSE</t>
        </is>
      </c>
      <c r="R3203" t="b">
        <v>0</v>
      </c>
    </row>
    <row r="3204">
      <c r="A3204" t="inlineStr">
        <is>
          <t>18 Feb 2026 / 7800 MAC Tree Surgery and Fencing Ltd / Utilities / UKPN</t>
        </is>
      </c>
      <c r="B3204" t="inlineStr">
        <is>
          <t>Utilities</t>
        </is>
      </c>
      <c r="C3204" t="inlineStr">
        <is>
          <t>UKPN</t>
        </is>
      </c>
      <c r="D3204" t="inlineStr">
        <is>
          <t>AY68DAA , 4x4 , Izuzu , Dmax</t>
        </is>
      </c>
      <c r="E3204" t="inlineStr">
        <is>
          <t>AY68DAA , 4x4 , Izuzu , Dmax</t>
        </is>
      </c>
      <c r="F3204" t="inlineStr">
        <is>
          <t>AY68DAA , 4x4 , Izuzu , Dmax</t>
        </is>
      </c>
      <c r="G3204" t="inlineStr">
        <is>
          <t xml:space="preserve">Patrick O'Shea </t>
        </is>
      </c>
      <c r="H3204" t="inlineStr">
        <is>
          <t>4x4</t>
        </is>
      </c>
      <c r="I3204" t="inlineStr">
        <is>
          <t>Daily/ Weekly Vehicle Inspection</t>
        </is>
      </c>
      <c r="J3204" t="inlineStr">
        <is>
          <t>N/A</t>
        </is>
      </c>
      <c r="K3204" t="inlineStr">
        <is>
          <t>7800 MAC Tree Surgery and Fencing Ltd</t>
        </is>
      </c>
      <c r="L3204" t="inlineStr">
        <is>
          <t>18/02/2026 10:29</t>
        </is>
      </c>
      <c r="M3204" t="inlineStr">
        <is>
          <t>None</t>
        </is>
      </c>
      <c r="N3204" t="inlineStr">
        <is>
          <t>&lt;p&gt;&lt;/p&gt;</t>
        </is>
      </c>
      <c r="O3204" t="inlineStr"/>
      <c r="P3204" t="inlineStr">
        <is>
          <t>AY68DAA , 4x4 , Izuzu , Dmax</t>
        </is>
      </c>
      <c r="Q3204" t="inlineStr">
        <is>
          <t>UKPN</t>
        </is>
      </c>
      <c r="R3204" t="b">
        <v>0</v>
      </c>
    </row>
    <row r="3205">
      <c r="A3205" t="inlineStr">
        <is>
          <t>18 Feb 2026 / 7800 MAC Tree Surgery and Fencing Ltd / Utilities / UKPN</t>
        </is>
      </c>
      <c r="B3205" t="inlineStr">
        <is>
          <t>Utilities</t>
        </is>
      </c>
      <c r="C3205" t="inlineStr">
        <is>
          <t>UKPN</t>
        </is>
      </c>
      <c r="D3205" t="inlineStr">
        <is>
          <t>Plant Trailer - Towmate - 2.8t - 0</t>
        </is>
      </c>
      <c r="E3205" t="inlineStr">
        <is>
          <t>Plant Trailer - Towmate - 2.8t - 0</t>
        </is>
      </c>
      <c r="F3205" t="inlineStr">
        <is>
          <t>Plant Trailer - Towmate - 2.8t - 0</t>
        </is>
      </c>
      <c r="G3205" t="inlineStr">
        <is>
          <t>Lewis mac</t>
        </is>
      </c>
      <c r="H3205" t="inlineStr">
        <is>
          <t>Plant Trailer</t>
        </is>
      </c>
      <c r="I3205" t="inlineStr">
        <is>
          <t>Daily/ Weekly Vehicle Inspection</t>
        </is>
      </c>
      <c r="J3205" t="inlineStr">
        <is>
          <t>N/A</t>
        </is>
      </c>
      <c r="K3205" t="inlineStr">
        <is>
          <t>7800 MAC Tree Surgery and Fencing Ltd</t>
        </is>
      </c>
      <c r="L3205" t="inlineStr">
        <is>
          <t>18/02/2026 10:29</t>
        </is>
      </c>
      <c r="M3205" t="inlineStr">
        <is>
          <t>None</t>
        </is>
      </c>
      <c r="N3205" t="inlineStr">
        <is>
          <t>&lt;p&gt;&lt;/p&gt;</t>
        </is>
      </c>
      <c r="O3205" t="inlineStr"/>
      <c r="P3205" t="inlineStr">
        <is>
          <t>Plant Trailer - Towmate - 2.8t - 0</t>
        </is>
      </c>
      <c r="Q3205" t="inlineStr">
        <is>
          <t>UKPN</t>
        </is>
      </c>
      <c r="R3205" t="b">
        <v>0</v>
      </c>
    </row>
    <row r="3206">
      <c r="A3206" t="inlineStr">
        <is>
          <t>18 Feb 2026 / Benet Jones / Utilities / NGED</t>
        </is>
      </c>
      <c r="B3206" t="inlineStr">
        <is>
          <t>Utilities</t>
        </is>
      </c>
      <c r="C3206" t="inlineStr">
        <is>
          <t>NGED</t>
        </is>
      </c>
      <c r="D3206" t="inlineStr"/>
      <c r="E3206" t="inlineStr"/>
      <c r="F3206" t="inlineStr"/>
      <c r="G3206" t="inlineStr">
        <is>
          <t>Benet jones</t>
        </is>
      </c>
      <c r="H3206" t="inlineStr">
        <is>
          <t>Car - Petrol</t>
        </is>
      </c>
      <c r="I3206" t="inlineStr">
        <is>
          <t>Daily/ Weekly Vehicle Inspection</t>
        </is>
      </c>
      <c r="J3206" t="inlineStr">
        <is>
          <t>N/A</t>
        </is>
      </c>
      <c r="K3206" t="inlineStr">
        <is>
          <t>Benet Jones</t>
        </is>
      </c>
      <c r="L3206" t="inlineStr">
        <is>
          <t>18/02/2026 10:32</t>
        </is>
      </c>
      <c r="M3206" t="inlineStr">
        <is>
          <t>None</t>
        </is>
      </c>
      <c r="N3206" t="inlineStr">
        <is>
          <t>&lt;p&gt;&lt;/p&gt;</t>
        </is>
      </c>
      <c r="O3206" t="inlineStr">
        <is>
          <t>Confirm that you have checked this vehicle as per the guidance document and the vehicle is safe and roadworthy:Car checked and fully serviceable
-</t>
        </is>
      </c>
      <c r="P3206" t="inlineStr"/>
      <c r="Q3206" t="inlineStr">
        <is>
          <t>NGED</t>
        </is>
      </c>
      <c r="R3206" t="b">
        <v>0</v>
      </c>
    </row>
    <row r="3207">
      <c r="A3207" t="inlineStr">
        <is>
          <t>18 Feb 2026 / 6617 Ashdown Tree Limited 1 / Utilities / UKPN</t>
        </is>
      </c>
      <c r="B3207" t="inlineStr">
        <is>
          <t>Utilities</t>
        </is>
      </c>
      <c r="C3207" t="inlineStr">
        <is>
          <t>UKPN</t>
        </is>
      </c>
      <c r="D3207" t="inlineStr">
        <is>
          <t>WF11EJJ , Vehicle , Land Rover , Discovery</t>
        </is>
      </c>
      <c r="E3207" t="inlineStr">
        <is>
          <t>WF11EJJ , Vehicle , Land Rover , Discovery</t>
        </is>
      </c>
      <c r="F3207" t="inlineStr">
        <is>
          <t>WF11EJJ , Vehicle , Land Rover , Discovery</t>
        </is>
      </c>
      <c r="G3207" t="inlineStr">
        <is>
          <t>Dan</t>
        </is>
      </c>
      <c r="H3207" t="inlineStr">
        <is>
          <t>4x4</t>
        </is>
      </c>
      <c r="I3207" t="inlineStr">
        <is>
          <t>Daily/ Weekly Vehicle Inspection</t>
        </is>
      </c>
      <c r="J3207" t="inlineStr">
        <is>
          <t>N/A</t>
        </is>
      </c>
      <c r="K3207" t="inlineStr">
        <is>
          <t>6617 Ashdown Tree Limited - Team 2</t>
        </is>
      </c>
      <c r="L3207" t="inlineStr">
        <is>
          <t>18/02/2026 14:28</t>
        </is>
      </c>
      <c r="M3207" t="inlineStr">
        <is>
          <t>None</t>
        </is>
      </c>
      <c r="N3207" t="inlineStr">
        <is>
          <t>&lt;p&gt;&lt;/p&gt;</t>
        </is>
      </c>
      <c r="O3207" t="inlineStr"/>
      <c r="P3207" t="inlineStr">
        <is>
          <t>WF11EJJ , Vehicle , Land Rover , Discovery</t>
        </is>
      </c>
      <c r="Q3207" t="inlineStr">
        <is>
          <t>UKPN</t>
        </is>
      </c>
      <c r="R3207" t="b">
        <v>0</v>
      </c>
    </row>
    <row r="3208">
      <c r="A3208" t="inlineStr">
        <is>
          <t>19 Feb 2026 / 7951 Austin Tree Care LTD 1 / Utilities / UKPN</t>
        </is>
      </c>
      <c r="B3208" t="inlineStr">
        <is>
          <t>Utilities</t>
        </is>
      </c>
      <c r="C3208" t="inlineStr">
        <is>
          <t>UKPN</t>
        </is>
      </c>
      <c r="D3208" t="inlineStr">
        <is>
          <t>WG64HTT , 4x4 , Land Rover , Defender 110</t>
        </is>
      </c>
      <c r="E3208" t="inlineStr">
        <is>
          <t>WG64HTT , 4x4 , Land Rover , Defender 110</t>
        </is>
      </c>
      <c r="F3208" t="inlineStr">
        <is>
          <t>WG64HTT , 4x4 , Land Rover , Defender 110</t>
        </is>
      </c>
      <c r="G3208" t="inlineStr">
        <is>
          <t xml:space="preserve">Jack Austin </t>
        </is>
      </c>
      <c r="H3208" t="inlineStr">
        <is>
          <t>4x4</t>
        </is>
      </c>
      <c r="I3208" t="inlineStr">
        <is>
          <t>Daily/ Weekly Vehicle Inspection</t>
        </is>
      </c>
      <c r="J3208" t="inlineStr">
        <is>
          <t>N/A</t>
        </is>
      </c>
      <c r="K3208" t="inlineStr">
        <is>
          <t>7951 Austin Tree Care LTD 1</t>
        </is>
      </c>
      <c r="L3208" t="inlineStr">
        <is>
          <t>19/02/2026 07:31</t>
        </is>
      </c>
      <c r="M3208" t="inlineStr">
        <is>
          <t>None</t>
        </is>
      </c>
      <c r="N3208" t="inlineStr">
        <is>
          <t>&lt;p&gt;&lt;/p&gt;</t>
        </is>
      </c>
      <c r="O3208" t="inlineStr"/>
      <c r="P3208" t="inlineStr">
        <is>
          <t>WG64HTT , 4x4 , Land Rover , Defender 110</t>
        </is>
      </c>
      <c r="Q3208" t="inlineStr">
        <is>
          <t>UKPN</t>
        </is>
      </c>
      <c r="R3208" t="b">
        <v>0</v>
      </c>
    </row>
    <row r="3209">
      <c r="A3209" t="inlineStr">
        <is>
          <t>19 Feb 2026 / 7186 Eastwoodbury Tree Services Ltd / Utilities / UKPN</t>
        </is>
      </c>
      <c r="B3209" t="inlineStr">
        <is>
          <t>Utilities</t>
        </is>
      </c>
      <c r="C3209" t="inlineStr">
        <is>
          <t>UKPN</t>
        </is>
      </c>
      <c r="D3209" t="inlineStr">
        <is>
          <t>WF13 EKT , 4x4 , Land rover  , Defender</t>
        </is>
      </c>
      <c r="E3209" t="inlineStr">
        <is>
          <t>WF13 EKT , 4x4 , Land rover  , Defender</t>
        </is>
      </c>
      <c r="F3209" t="inlineStr">
        <is>
          <t>WF13 EKT , 4x4 , Land rover  , Defender</t>
        </is>
      </c>
      <c r="G3209" t="inlineStr">
        <is>
          <t xml:space="preserve">Dan Gilbert </t>
        </is>
      </c>
      <c r="H3209" t="inlineStr">
        <is>
          <t>4x4</t>
        </is>
      </c>
      <c r="I3209" t="inlineStr">
        <is>
          <t>Daily/ Weekly Vehicle Inspection</t>
        </is>
      </c>
      <c r="J3209" t="inlineStr">
        <is>
          <t>N/A</t>
        </is>
      </c>
      <c r="K3209" t="inlineStr">
        <is>
          <t>7186 Eastwoodbury Tree Services Ltd</t>
        </is>
      </c>
      <c r="L3209" t="inlineStr">
        <is>
          <t>19/02/2026 07:33</t>
        </is>
      </c>
      <c r="M3209" t="inlineStr">
        <is>
          <t>None</t>
        </is>
      </c>
      <c r="N3209" t="inlineStr">
        <is>
          <t>&lt;p&gt;&lt;/p&gt;</t>
        </is>
      </c>
      <c r="O3209" t="inlineStr"/>
      <c r="P3209" t="inlineStr">
        <is>
          <t>WF13 EKT , 4x4 , Land rover  , Defender</t>
        </is>
      </c>
      <c r="Q3209" t="inlineStr">
        <is>
          <t>UKPN</t>
        </is>
      </c>
      <c r="R3209" t="b">
        <v>0</v>
      </c>
    </row>
    <row r="3210">
      <c r="A3210" t="inlineStr">
        <is>
          <t>19 Feb 2026 / 7186 Eastwoodbury Tree Services Ltd / Utilities / UKPN</t>
        </is>
      </c>
      <c r="B3210" t="inlineStr">
        <is>
          <t>Utilities</t>
        </is>
      </c>
      <c r="C3210" t="inlineStr">
        <is>
          <t>UKPN</t>
        </is>
      </c>
      <c r="D3210" t="inlineStr">
        <is>
          <t>FX14 XCV , 4x4 , Land Rover  , Defender</t>
        </is>
      </c>
      <c r="E3210" t="inlineStr">
        <is>
          <t>FX14 XCV , 4x4 , Land Rover  , Defender</t>
        </is>
      </c>
      <c r="F3210" t="inlineStr">
        <is>
          <t>FX14 XCV , 4x4 , Land Rover  , Defender</t>
        </is>
      </c>
      <c r="G3210" t="inlineStr">
        <is>
          <t xml:space="preserve">Tom price </t>
        </is>
      </c>
      <c r="H3210" t="inlineStr">
        <is>
          <t>4x4</t>
        </is>
      </c>
      <c r="I3210" t="inlineStr">
        <is>
          <t>Daily/ Weekly Vehicle Inspection</t>
        </is>
      </c>
      <c r="J3210" t="inlineStr">
        <is>
          <t>N/A</t>
        </is>
      </c>
      <c r="K3210" t="inlineStr">
        <is>
          <t>7186 Eastwoodbury Tree Services Ltd</t>
        </is>
      </c>
      <c r="L3210" t="inlineStr">
        <is>
          <t>19/02/2026 07:34</t>
        </is>
      </c>
      <c r="M3210" t="inlineStr">
        <is>
          <t>None</t>
        </is>
      </c>
      <c r="N3210" t="inlineStr">
        <is>
          <t>&lt;p&gt;&lt;/p&gt;</t>
        </is>
      </c>
      <c r="O3210" t="inlineStr"/>
      <c r="P3210" t="inlineStr">
        <is>
          <t>FX14 XCV , 4x4 , Land Rover  , Defender</t>
        </is>
      </c>
      <c r="Q3210" t="inlineStr">
        <is>
          <t>UKPN</t>
        </is>
      </c>
      <c r="R3210" t="b">
        <v>0</v>
      </c>
    </row>
    <row r="3211">
      <c r="A3211" t="inlineStr">
        <is>
          <t>19 Feb 2026 / 3098 D &amp; R Landscapes / Utilities / UKPN</t>
        </is>
      </c>
      <c r="B3211" t="inlineStr">
        <is>
          <t>Utilities</t>
        </is>
      </c>
      <c r="C3211" t="inlineStr">
        <is>
          <t>UKPN</t>
        </is>
      </c>
      <c r="D3211" t="inlineStr">
        <is>
          <t>BT20 GNZ , Vehicle , Nissan , Navara</t>
        </is>
      </c>
      <c r="E3211" t="inlineStr">
        <is>
          <t>BT20 GNZ , Vehicle , Nissan , Navara</t>
        </is>
      </c>
      <c r="F3211" t="inlineStr">
        <is>
          <t>BT20 GNZ , Vehicle , Nissan , Navara</t>
        </is>
      </c>
      <c r="G3211" t="inlineStr">
        <is>
          <t>Jason</t>
        </is>
      </c>
      <c r="H3211" t="inlineStr">
        <is>
          <t>Pickup Truck</t>
        </is>
      </c>
      <c r="I3211" t="inlineStr">
        <is>
          <t>Daily/ Weekly Vehicle Inspection</t>
        </is>
      </c>
      <c r="J3211" t="inlineStr">
        <is>
          <t>N/A</t>
        </is>
      </c>
      <c r="K3211" t="inlineStr">
        <is>
          <t>3098 D &amp; R Landscapes</t>
        </is>
      </c>
      <c r="L3211" t="inlineStr">
        <is>
          <t>19/02/2026 07:39</t>
        </is>
      </c>
      <c r="M3211" t="inlineStr">
        <is>
          <t>None</t>
        </is>
      </c>
      <c r="N3211" t="inlineStr">
        <is>
          <t>&lt;p&gt;&lt;/p&gt;</t>
        </is>
      </c>
      <c r="O3211" t="inlineStr"/>
      <c r="P3211" t="inlineStr">
        <is>
          <t>BT20 GNZ , Vehicle , Nissan , Navara</t>
        </is>
      </c>
      <c r="Q3211" t="inlineStr">
        <is>
          <t>UKPN</t>
        </is>
      </c>
      <c r="R3211" t="b">
        <v>0</v>
      </c>
    </row>
    <row r="3212">
      <c r="A3212" t="inlineStr">
        <is>
          <t>19 Feb 2026 / Anthony Gale / Utilities / UKPN</t>
        </is>
      </c>
      <c r="B3212" t="inlineStr">
        <is>
          <t>Utilities</t>
        </is>
      </c>
      <c r="C3212" t="inlineStr">
        <is>
          <t>UKPN</t>
        </is>
      </c>
      <c r="D3212" t="inlineStr"/>
      <c r="E3212" t="inlineStr"/>
      <c r="F3212" t="inlineStr"/>
      <c r="G3212" t="inlineStr">
        <is>
          <t>Anthony Gale</t>
        </is>
      </c>
      <c r="H3212" t="inlineStr">
        <is>
          <t>Towed Chipper</t>
        </is>
      </c>
      <c r="I3212" t="inlineStr">
        <is>
          <t>Daily/ Weekly Vehicle Inspection</t>
        </is>
      </c>
      <c r="J3212" t="inlineStr">
        <is>
          <t>N/A</t>
        </is>
      </c>
      <c r="K3212" t="inlineStr">
        <is>
          <t>7996 M G Tree Surgery Ltd 1</t>
        </is>
      </c>
      <c r="L3212" t="inlineStr">
        <is>
          <t>19/02/2026 07:46</t>
        </is>
      </c>
      <c r="M3212" t="inlineStr">
        <is>
          <t>None</t>
        </is>
      </c>
      <c r="N3212" t="inlineStr">
        <is>
          <t>&lt;p&gt;&lt;/p&gt;</t>
        </is>
      </c>
      <c r="O3212" t="inlineStr"/>
      <c r="P3212" t="inlineStr"/>
      <c r="Q3212" t="inlineStr">
        <is>
          <t>UKPN</t>
        </is>
      </c>
      <c r="R3212" t="b">
        <v>0</v>
      </c>
    </row>
    <row r="3213">
      <c r="A3213" t="inlineStr">
        <is>
          <t>19 Feb 2026 / 7806 Optimum Tree Services Ltd / Utilities / UKPN</t>
        </is>
      </c>
      <c r="B3213" t="inlineStr">
        <is>
          <t>Utilities</t>
        </is>
      </c>
      <c r="C3213" t="inlineStr">
        <is>
          <t>UKPN</t>
        </is>
      </c>
      <c r="D3213" t="inlineStr">
        <is>
          <t>SA9ST800000283069 , Chipper , Forst , ST 6P</t>
        </is>
      </c>
      <c r="E3213" t="inlineStr">
        <is>
          <t>SA9ST800000283069 , Chipper , Forst , ST 6P</t>
        </is>
      </c>
      <c r="F3213" t="inlineStr">
        <is>
          <t>SA9ST800000283069 , Chipper , Forst , ST 6P</t>
        </is>
      </c>
      <c r="G3213" t="inlineStr">
        <is>
          <t xml:space="preserve">Lewis davies </t>
        </is>
      </c>
      <c r="H3213" t="inlineStr">
        <is>
          <t>Towed Chipper</t>
        </is>
      </c>
      <c r="I3213" t="inlineStr">
        <is>
          <t>Daily/ Weekly Vehicle Inspection</t>
        </is>
      </c>
      <c r="J3213" t="inlineStr">
        <is>
          <t>N/A</t>
        </is>
      </c>
      <c r="K3213" t="inlineStr">
        <is>
          <t>7806 Optimum Tree Services Ltd</t>
        </is>
      </c>
      <c r="L3213" t="inlineStr">
        <is>
          <t>19/02/2026 07:48</t>
        </is>
      </c>
      <c r="M3213" t="inlineStr">
        <is>
          <t>None</t>
        </is>
      </c>
      <c r="N3213" t="inlineStr">
        <is>
          <t>&lt;p&gt;&lt;/p&gt;</t>
        </is>
      </c>
      <c r="O3213" t="inlineStr">
        <is>
          <t>Confirm that you have checked this vehicle as per the guidance document and the vehicle is safe and roadworthy:Small Crack on  passenger side mirror
-</t>
        </is>
      </c>
      <c r="P3213" t="inlineStr">
        <is>
          <t>SA9ST800000283069 , Chipper , Forst , ST 6P</t>
        </is>
      </c>
      <c r="Q3213" t="inlineStr">
        <is>
          <t>UKPN</t>
        </is>
      </c>
      <c r="R3213" t="b">
        <v>0</v>
      </c>
    </row>
    <row r="3214">
      <c r="A3214" t="inlineStr">
        <is>
          <t>19 Feb 2026 / 7806 Optimum Tree Services Ltd / Utilities / UKPN</t>
        </is>
      </c>
      <c r="B3214" t="inlineStr">
        <is>
          <t>Utilities</t>
        </is>
      </c>
      <c r="C3214" t="inlineStr">
        <is>
          <t>UKPN</t>
        </is>
      </c>
      <c r="D3214" t="inlineStr">
        <is>
          <t>SA9TAPLAF27414263 , Trailer , Tow Mate , Plant Trailer</t>
        </is>
      </c>
      <c r="E3214" t="inlineStr">
        <is>
          <t>SA9TAPLAF27414263 , Trailer , Tow Mate , Plant Trailer</t>
        </is>
      </c>
      <c r="F3214" t="inlineStr">
        <is>
          <t>SA9TAPLAF27414263 , Trailer , Tow Mate , Plant Trailer</t>
        </is>
      </c>
      <c r="G3214" t="inlineStr">
        <is>
          <t xml:space="preserve">Abraham Davies </t>
        </is>
      </c>
      <c r="H3214" t="inlineStr">
        <is>
          <t>Plant Trailer</t>
        </is>
      </c>
      <c r="I3214" t="inlineStr">
        <is>
          <t>Daily/ Weekly Vehicle Inspection</t>
        </is>
      </c>
      <c r="J3214" t="inlineStr">
        <is>
          <t>N/A</t>
        </is>
      </c>
      <c r="K3214" t="inlineStr">
        <is>
          <t>7806 Optimum Tree Services Ltd</t>
        </is>
      </c>
      <c r="L3214" t="inlineStr">
        <is>
          <t>19/02/2026 07:49</t>
        </is>
      </c>
      <c r="M3214" t="inlineStr">
        <is>
          <t>None</t>
        </is>
      </c>
      <c r="N3214" t="inlineStr">
        <is>
          <t>&lt;p&gt;&lt;/p&gt;</t>
        </is>
      </c>
      <c r="O3214" t="inlineStr"/>
      <c r="P3214" t="inlineStr">
        <is>
          <t>SA9TAPLAF27414263 , Trailer , Tow Mate , Plant Trailer</t>
        </is>
      </c>
      <c r="Q3214" t="inlineStr">
        <is>
          <t>UKPN</t>
        </is>
      </c>
      <c r="R3214" t="b">
        <v>0</v>
      </c>
    </row>
    <row r="3215">
      <c r="A3215" t="inlineStr">
        <is>
          <t>19 Feb 2026 / 7806 Optimum Tree Services Ltd / Utilities / UKPN</t>
        </is>
      </c>
      <c r="B3215" t="inlineStr">
        <is>
          <t>Utilities</t>
        </is>
      </c>
      <c r="C3215" t="inlineStr">
        <is>
          <t>UKPN</t>
        </is>
      </c>
      <c r="D3215" t="inlineStr">
        <is>
          <t>WD14EVB , MEWP , Land Rover , Defender</t>
        </is>
      </c>
      <c r="E3215" t="inlineStr">
        <is>
          <t>WD14EVB , MEWP , Land Rover , Defender</t>
        </is>
      </c>
      <c r="F3215" t="inlineStr">
        <is>
          <t>WD14EVB , MEWP , Land Rover , Defender</t>
        </is>
      </c>
      <c r="G3215" t="inlineStr">
        <is>
          <t xml:space="preserve">Abraham Davies </t>
        </is>
      </c>
      <c r="H3215" t="inlineStr">
        <is>
          <t>4x4</t>
        </is>
      </c>
      <c r="I3215" t="inlineStr">
        <is>
          <t>Daily/ Weekly Vehicle Inspection</t>
        </is>
      </c>
      <c r="J3215" t="inlineStr">
        <is>
          <t>N/A</t>
        </is>
      </c>
      <c r="K3215" t="inlineStr">
        <is>
          <t>7806 Optimum Tree Services Ltd</t>
        </is>
      </c>
      <c r="L3215" t="inlineStr">
        <is>
          <t>19/02/2026 07:50</t>
        </is>
      </c>
      <c r="M3215" t="inlineStr">
        <is>
          <t>None</t>
        </is>
      </c>
      <c r="N3215" t="inlineStr">
        <is>
          <t>&lt;p&gt;&lt;/p&gt;</t>
        </is>
      </c>
      <c r="O3215" t="inlineStr"/>
      <c r="P3215" t="inlineStr">
        <is>
          <t>WD14EVB , MEWP , Land Rover , Defender</t>
        </is>
      </c>
      <c r="Q3215" t="inlineStr">
        <is>
          <t>UKPN</t>
        </is>
      </c>
      <c r="R3215" t="b">
        <v>0</v>
      </c>
    </row>
    <row r="3216">
      <c r="A3216" t="inlineStr">
        <is>
          <t>19 Feb 2026 / 7806 Optimum Tree Services Ltd / Utilities / UKPN</t>
        </is>
      </c>
      <c r="B3216" t="inlineStr">
        <is>
          <t>Utilities</t>
        </is>
      </c>
      <c r="C3216" t="inlineStr">
        <is>
          <t>UKPN</t>
        </is>
      </c>
      <c r="D3216" t="inlineStr">
        <is>
          <t>Wd14evn , 4x4 , Landrover  , Defender</t>
        </is>
      </c>
      <c r="E3216" t="inlineStr">
        <is>
          <t>Wd14evn , 4x4 , Landrover  , Defender</t>
        </is>
      </c>
      <c r="F3216" t="inlineStr">
        <is>
          <t>Wd14evn , 4x4 , Landrover  , Defender</t>
        </is>
      </c>
      <c r="G3216" t="inlineStr">
        <is>
          <t xml:space="preserve">Lewis davies </t>
        </is>
      </c>
      <c r="H3216" t="inlineStr">
        <is>
          <t>4x4</t>
        </is>
      </c>
      <c r="I3216" t="inlineStr">
        <is>
          <t>Daily/ Weekly Vehicle Inspection</t>
        </is>
      </c>
      <c r="J3216" t="inlineStr">
        <is>
          <t>N/A</t>
        </is>
      </c>
      <c r="K3216" t="inlineStr">
        <is>
          <t>7806 Optimum Tree Services Ltd</t>
        </is>
      </c>
      <c r="L3216" t="inlineStr">
        <is>
          <t>19/02/2026 07:51</t>
        </is>
      </c>
      <c r="M3216" t="inlineStr">
        <is>
          <t>None</t>
        </is>
      </c>
      <c r="N3216" t="inlineStr">
        <is>
          <t>&lt;p&gt;&lt;/p&gt;</t>
        </is>
      </c>
      <c r="O3216" t="inlineStr">
        <is>
          <t>Confirm that you have checked this vehicle as per the guidance document and the vehicle is safe and roadworthy:Small Crack on  passenger side mirror
-</t>
        </is>
      </c>
      <c r="P3216" t="inlineStr">
        <is>
          <t>Wd14evn , 4x4 , Landrover  , Defender</t>
        </is>
      </c>
      <c r="Q3216" t="inlineStr">
        <is>
          <t>UKPN</t>
        </is>
      </c>
      <c r="R3216" t="b">
        <v>0</v>
      </c>
    </row>
    <row r="3217">
      <c r="A3217" t="inlineStr">
        <is>
          <t>18 Feb 2026 / 7806 Optimum Tree Services Ltd / Utilities / UKPN</t>
        </is>
      </c>
      <c r="B3217" t="inlineStr">
        <is>
          <t>Utilities</t>
        </is>
      </c>
      <c r="C3217" t="inlineStr">
        <is>
          <t>UKPN</t>
        </is>
      </c>
      <c r="D3217" t="inlineStr">
        <is>
          <t>Wd14evn , 4x4 , Landrover  , Defender</t>
        </is>
      </c>
      <c r="E3217" t="inlineStr">
        <is>
          <t>Wd14evn , 4x4 , Landrover  , Defender</t>
        </is>
      </c>
      <c r="F3217" t="inlineStr">
        <is>
          <t>Wd14evn , 4x4 , Landrover  , Defender</t>
        </is>
      </c>
      <c r="G3217" t="inlineStr">
        <is>
          <t xml:space="preserve">Lewis davies </t>
        </is>
      </c>
      <c r="H3217" t="inlineStr">
        <is>
          <t>4x4</t>
        </is>
      </c>
      <c r="I3217" t="inlineStr">
        <is>
          <t>Daily/ Weekly Vehicle Inspection</t>
        </is>
      </c>
      <c r="J3217" t="inlineStr">
        <is>
          <t>N/A</t>
        </is>
      </c>
      <c r="K3217" t="inlineStr">
        <is>
          <t>7806 Optimum Tree Services Ltd</t>
        </is>
      </c>
      <c r="L3217" t="inlineStr">
        <is>
          <t>19/02/2026 07:54</t>
        </is>
      </c>
      <c r="M3217" t="inlineStr">
        <is>
          <t>None</t>
        </is>
      </c>
      <c r="N3217" t="inlineStr">
        <is>
          <t>&lt;p&gt;&lt;/p&gt;</t>
        </is>
      </c>
      <c r="O3217" t="inlineStr">
        <is>
          <t>Confirm that you have checked this vehicle as per the guidance document and the vehicle is safe and roadworthy:Small Crack on  passenger side mirror
-</t>
        </is>
      </c>
      <c r="P3217" t="inlineStr">
        <is>
          <t>Wd14evn , 4x4 , Landrover  , Defender</t>
        </is>
      </c>
      <c r="Q3217" t="inlineStr">
        <is>
          <t>UKPN</t>
        </is>
      </c>
      <c r="R3217" t="b">
        <v>0</v>
      </c>
    </row>
    <row r="3218">
      <c r="A3218" t="inlineStr">
        <is>
          <t>19 Feb 2026 / Jake Bolwell / Utilities / SSE</t>
        </is>
      </c>
      <c r="B3218" t="inlineStr">
        <is>
          <t>Utilities</t>
        </is>
      </c>
      <c r="C3218" t="inlineStr">
        <is>
          <t>SSE</t>
        </is>
      </c>
      <c r="D3218" t="inlineStr">
        <is>
          <t>AK23YLP , Car - Electric , Tesla , Model Y Long Range</t>
        </is>
      </c>
      <c r="E3218" t="inlineStr">
        <is>
          <t>AK23YLP , Car - Electric , Tesla , Model Y Long Range</t>
        </is>
      </c>
      <c r="F3218" t="inlineStr">
        <is>
          <t>AK23YLP , Car - Electric , Tesla , Model Y Long Range</t>
        </is>
      </c>
      <c r="G3218" t="inlineStr">
        <is>
          <t>Jake Bolwell</t>
        </is>
      </c>
      <c r="H3218" t="inlineStr">
        <is>
          <t>Car - Electric (GC Owned)</t>
        </is>
      </c>
      <c r="I3218" t="inlineStr">
        <is>
          <t>Daily/ Weekly Vehicle Inspection</t>
        </is>
      </c>
      <c r="J3218" t="inlineStr">
        <is>
          <t>N/A</t>
        </is>
      </c>
      <c r="K3218" t="inlineStr">
        <is>
          <t>Jake Bolwell</t>
        </is>
      </c>
      <c r="L3218" t="inlineStr">
        <is>
          <t>19/02/2026 08:30</t>
        </is>
      </c>
      <c r="M3218" t="inlineStr">
        <is>
          <t>None</t>
        </is>
      </c>
      <c r="N3218" t="inlineStr">
        <is>
          <t>&lt;p&gt;&lt;/p&gt;</t>
        </is>
      </c>
      <c r="O3218" t="inlineStr"/>
      <c r="P3218" t="inlineStr">
        <is>
          <t>AK23YLP , Car - Electric , Tesla , Model Y Long Range</t>
        </is>
      </c>
      <c r="Q3218" t="inlineStr">
        <is>
          <t>SSE</t>
        </is>
      </c>
      <c r="R3218" t="b">
        <v>0</v>
      </c>
    </row>
    <row r="3219">
      <c r="A3219" t="inlineStr">
        <is>
          <t>19 Feb 2026 / 8148 Hope Ground and Tree Care / Utilities / UKPN</t>
        </is>
      </c>
      <c r="B3219" t="inlineStr">
        <is>
          <t>Utilities</t>
        </is>
      </c>
      <c r="C3219" t="inlineStr">
        <is>
          <t>UKPN</t>
        </is>
      </c>
      <c r="D3219" t="inlineStr">
        <is>
          <t>S6 NWX , MEWP , Isuzu , D-Max</t>
        </is>
      </c>
      <c r="E3219" t="inlineStr">
        <is>
          <t>S6 NWX , MEWP , Isuzu , D-Max</t>
        </is>
      </c>
      <c r="F3219" t="inlineStr">
        <is>
          <t>S6 NWX , MEWP , Isuzu , D-Max</t>
        </is>
      </c>
      <c r="G3219" t="inlineStr">
        <is>
          <t>A Hope</t>
        </is>
      </c>
      <c r="H3219" t="inlineStr">
        <is>
          <t>4x4</t>
        </is>
      </c>
      <c r="I3219" t="inlineStr">
        <is>
          <t>Daily/ Weekly Vehicle Inspection</t>
        </is>
      </c>
      <c r="J3219" t="inlineStr">
        <is>
          <t>N/A</t>
        </is>
      </c>
      <c r="K3219" t="inlineStr">
        <is>
          <t>8148 Hope Ground and Tree Care</t>
        </is>
      </c>
      <c r="L3219" t="inlineStr">
        <is>
          <t>19/02/2026 08:33</t>
        </is>
      </c>
      <c r="M3219" t="inlineStr">
        <is>
          <t>None</t>
        </is>
      </c>
      <c r="N3219" t="inlineStr">
        <is>
          <t>&lt;p&gt;&lt;/p&gt;</t>
        </is>
      </c>
      <c r="O3219" t="inlineStr"/>
      <c r="P3219" t="inlineStr">
        <is>
          <t>S6 NWX , MEWP , Isuzu , D-Max</t>
        </is>
      </c>
      <c r="Q3219" t="inlineStr">
        <is>
          <t>UKPN</t>
        </is>
      </c>
      <c r="R3219" t="b">
        <v>0</v>
      </c>
    </row>
    <row r="3220">
      <c r="A3220" t="inlineStr">
        <is>
          <t>19 Feb 2026 / 7951 Austin Tree Care LTD 1 / Utilities / UKPN</t>
        </is>
      </c>
      <c r="B3220" t="inlineStr">
        <is>
          <t>Utilities</t>
        </is>
      </c>
      <c r="C3220" t="inlineStr">
        <is>
          <t>UKPN</t>
        </is>
      </c>
      <c r="D3220" t="inlineStr">
        <is>
          <t>Kn58xuy , Tipper , VW  , Crafter</t>
        </is>
      </c>
      <c r="E3220" t="inlineStr">
        <is>
          <t>Kn58xuy , Tipper , VW  , Crafter</t>
        </is>
      </c>
      <c r="F3220" t="inlineStr">
        <is>
          <t>Kn58xuy , Tipper , VW  , Crafter</t>
        </is>
      </c>
      <c r="G3220" t="inlineStr">
        <is>
          <t xml:space="preserve">James Tasker </t>
        </is>
      </c>
      <c r="H3220" t="inlineStr">
        <is>
          <t>Tipper</t>
        </is>
      </c>
      <c r="I3220" t="inlineStr">
        <is>
          <t>Daily/ Weekly Vehicle Inspection</t>
        </is>
      </c>
      <c r="J3220" t="inlineStr">
        <is>
          <t>N/A</t>
        </is>
      </c>
      <c r="K3220" t="inlineStr">
        <is>
          <t>7951 Austin Tree Care LTD 1</t>
        </is>
      </c>
      <c r="L3220" t="inlineStr">
        <is>
          <t>19/02/2026 08:35</t>
        </is>
      </c>
      <c r="M3220" t="inlineStr">
        <is>
          <t>None</t>
        </is>
      </c>
      <c r="N3220" t="inlineStr">
        <is>
          <t>&lt;p&gt;&lt;/p&gt;</t>
        </is>
      </c>
      <c r="O3220" t="inlineStr"/>
      <c r="P3220" t="inlineStr">
        <is>
          <t>Kn58xuy , Tipper , VW  , Crafter</t>
        </is>
      </c>
      <c r="Q3220" t="inlineStr">
        <is>
          <t>UKPN</t>
        </is>
      </c>
      <c r="R3220" t="b">
        <v>0</v>
      </c>
    </row>
    <row r="3221">
      <c r="A3221" t="inlineStr">
        <is>
          <t>19 Feb 2026 / 7800 MAC Tree Surgery and Fencing Ltd / Utilities / UKPN</t>
        </is>
      </c>
      <c r="B3221" t="inlineStr">
        <is>
          <t>Utilities</t>
        </is>
      </c>
      <c r="C3221" t="inlineStr">
        <is>
          <t>UKPN</t>
        </is>
      </c>
      <c r="D3221" t="inlineStr">
        <is>
          <t>AY68DAA , 4x4 , Izuzu , Dmax</t>
        </is>
      </c>
      <c r="E3221" t="inlineStr">
        <is>
          <t>AY68DAA , 4x4 , Izuzu , Dmax</t>
        </is>
      </c>
      <c r="F3221" t="inlineStr">
        <is>
          <t>AY68DAA , 4x4 , Izuzu , Dmax</t>
        </is>
      </c>
      <c r="G3221" t="inlineStr">
        <is>
          <t xml:space="preserve">Patrick O'Shea </t>
        </is>
      </c>
      <c r="H3221" t="inlineStr">
        <is>
          <t>4x4</t>
        </is>
      </c>
      <c r="I3221" t="inlineStr">
        <is>
          <t>Daily/ Weekly Vehicle Inspection</t>
        </is>
      </c>
      <c r="J3221" t="inlineStr">
        <is>
          <t>N/A</t>
        </is>
      </c>
      <c r="K3221" t="inlineStr">
        <is>
          <t>7800 MAC Tree Surgery and Fencing Ltd</t>
        </is>
      </c>
      <c r="L3221" t="inlineStr">
        <is>
          <t>19/02/2026 08:36</t>
        </is>
      </c>
      <c r="M3221" t="inlineStr">
        <is>
          <t>None</t>
        </is>
      </c>
      <c r="N3221" t="inlineStr">
        <is>
          <t>&lt;p&gt;&lt;/p&gt;</t>
        </is>
      </c>
      <c r="O3221" t="inlineStr"/>
      <c r="P3221" t="inlineStr">
        <is>
          <t>AY68DAA , 4x4 , Izuzu , Dmax</t>
        </is>
      </c>
      <c r="Q3221" t="inlineStr">
        <is>
          <t>UKPN</t>
        </is>
      </c>
      <c r="R3221" t="b">
        <v>0</v>
      </c>
    </row>
    <row r="3222">
      <c r="A3222" t="inlineStr">
        <is>
          <t>19 Feb 2026 / 7800 MAC Tree Surgery and Fencing Ltd / Utilities / UKPN</t>
        </is>
      </c>
      <c r="B3222" t="inlineStr">
        <is>
          <t>Utilities</t>
        </is>
      </c>
      <c r="C3222" t="inlineStr">
        <is>
          <t>UKPN</t>
        </is>
      </c>
      <c r="D3222" t="inlineStr">
        <is>
          <t>Plant Trailer - Towmate - 2.8t - 0</t>
        </is>
      </c>
      <c r="E3222" t="inlineStr">
        <is>
          <t>Plant Trailer - Towmate - 2.8t - 0</t>
        </is>
      </c>
      <c r="F3222" t="inlineStr">
        <is>
          <t>Plant Trailer - Towmate - 2.8t - 0</t>
        </is>
      </c>
      <c r="G3222" t="inlineStr">
        <is>
          <t>Lewis mac</t>
        </is>
      </c>
      <c r="H3222" t="inlineStr">
        <is>
          <t>Plant Trailer</t>
        </is>
      </c>
      <c r="I3222" t="inlineStr">
        <is>
          <t>Daily/ Weekly Vehicle Inspection</t>
        </is>
      </c>
      <c r="J3222" t="inlineStr">
        <is>
          <t>N/A</t>
        </is>
      </c>
      <c r="K3222" t="inlineStr">
        <is>
          <t>7800 MAC Tree Surgery and Fencing Ltd</t>
        </is>
      </c>
      <c r="L3222" t="inlineStr">
        <is>
          <t>19/02/2026 08:37</t>
        </is>
      </c>
      <c r="M3222" t="inlineStr">
        <is>
          <t>None</t>
        </is>
      </c>
      <c r="N3222" t="inlineStr">
        <is>
          <t>&lt;p&gt;&lt;/p&gt;</t>
        </is>
      </c>
      <c r="O3222" t="inlineStr"/>
      <c r="P3222" t="inlineStr">
        <is>
          <t>Plant Trailer - Towmate - 2.8t - 0</t>
        </is>
      </c>
      <c r="Q3222" t="inlineStr">
        <is>
          <t>UKPN</t>
        </is>
      </c>
      <c r="R3222" t="b">
        <v>0</v>
      </c>
    </row>
    <row r="3223">
      <c r="A3223" t="inlineStr">
        <is>
          <t>19 Feb 2026 / 7951 Austin Tree Care LTD / Utilities / SSE</t>
        </is>
      </c>
      <c r="B3223" t="inlineStr">
        <is>
          <t>Utilities</t>
        </is>
      </c>
      <c r="C3223" t="inlineStr">
        <is>
          <t>SSE</t>
        </is>
      </c>
      <c r="D3223" t="inlineStr">
        <is>
          <t>SA9ST6P0001283612 , Towed Chipper , Forst , ST6p</t>
        </is>
      </c>
      <c r="E3223" t="inlineStr">
        <is>
          <t>SA9ST6P0001283612 , Towed Chipper , Forst , ST6p</t>
        </is>
      </c>
      <c r="F3223" t="inlineStr">
        <is>
          <t>SA9ST6P0001283612 , Towed Chipper , Forst , ST6p</t>
        </is>
      </c>
      <c r="G3223" t="inlineStr">
        <is>
          <t xml:space="preserve">Jack Austin </t>
        </is>
      </c>
      <c r="H3223" t="inlineStr">
        <is>
          <t>Towed Chipper</t>
        </is>
      </c>
      <c r="I3223" t="inlineStr">
        <is>
          <t>Daily/ Weekly Vehicle Inspection</t>
        </is>
      </c>
      <c r="J3223" t="inlineStr">
        <is>
          <t>N/A</t>
        </is>
      </c>
      <c r="K3223" t="inlineStr">
        <is>
          <t>7951 Austin Tree Care LTD</t>
        </is>
      </c>
      <c r="L3223" t="inlineStr">
        <is>
          <t>19/02/2026 08:38</t>
        </is>
      </c>
      <c r="M3223" t="inlineStr">
        <is>
          <t>None</t>
        </is>
      </c>
      <c r="N3223" t="inlineStr">
        <is>
          <t>&lt;p&gt;&lt;/p&gt;</t>
        </is>
      </c>
      <c r="O3223" t="inlineStr"/>
      <c r="P3223" t="inlineStr">
        <is>
          <t>SA9ST6P0001283612 , Towed Chipper , Forst , ST6p</t>
        </is>
      </c>
      <c r="Q3223" t="inlineStr">
        <is>
          <t>SSE</t>
        </is>
      </c>
      <c r="R3223" t="b">
        <v>0</v>
      </c>
    </row>
    <row r="3224">
      <c r="A3224" t="inlineStr">
        <is>
          <t>19 Feb 2026 / Jack Everiss / Utilities / SSE</t>
        </is>
      </c>
      <c r="B3224" t="inlineStr">
        <is>
          <t>Utilities</t>
        </is>
      </c>
      <c r="C3224" t="inlineStr">
        <is>
          <t>SSE</t>
        </is>
      </c>
      <c r="D3224" t="inlineStr"/>
      <c r="E3224" t="inlineStr"/>
      <c r="F3224" t="inlineStr"/>
      <c r="G3224" t="inlineStr">
        <is>
          <t>Jack Everiss</t>
        </is>
      </c>
      <c r="H3224" t="inlineStr">
        <is>
          <t>Car - Electric (GC Owned)</t>
        </is>
      </c>
      <c r="I3224" t="inlineStr">
        <is>
          <t>Daily/ Weekly Vehicle Inspection</t>
        </is>
      </c>
      <c r="J3224" t="inlineStr">
        <is>
          <t>N/A</t>
        </is>
      </c>
      <c r="K3224" t="inlineStr">
        <is>
          <t>Jack Everiss</t>
        </is>
      </c>
      <c r="L3224" t="inlineStr">
        <is>
          <t>19/02/2026 09:31</t>
        </is>
      </c>
      <c r="M3224" t="inlineStr">
        <is>
          <t>None</t>
        </is>
      </c>
      <c r="N3224" t="inlineStr">
        <is>
          <t>&lt;p&gt;&lt;/p&gt;</t>
        </is>
      </c>
      <c r="O3224" t="inlineStr"/>
      <c r="P3224" t="inlineStr"/>
      <c r="Q3224" t="inlineStr">
        <is>
          <t>SSE</t>
        </is>
      </c>
      <c r="R3224" t="b">
        <v>0</v>
      </c>
    </row>
    <row r="3225">
      <c r="A3225" t="inlineStr">
        <is>
          <t>19 Feb 2026 / Mike Jackson / Utilities / NGED</t>
        </is>
      </c>
      <c r="B3225" t="inlineStr">
        <is>
          <t>Utilities</t>
        </is>
      </c>
      <c r="C3225" t="inlineStr">
        <is>
          <t>NGED</t>
        </is>
      </c>
      <c r="D3225" t="inlineStr"/>
      <c r="E3225" t="inlineStr"/>
      <c r="F3225" t="inlineStr"/>
      <c r="G3225" t="inlineStr">
        <is>
          <t xml:space="preserve">Mike Jackson </t>
        </is>
      </c>
      <c r="H3225" t="inlineStr">
        <is>
          <t>Car - Petrol</t>
        </is>
      </c>
      <c r="I3225" t="inlineStr">
        <is>
          <t>Monthly Vehicle Inspection</t>
        </is>
      </c>
      <c r="J3225" t="inlineStr">
        <is>
          <t>9718</t>
        </is>
      </c>
      <c r="K3225" t="inlineStr">
        <is>
          <t>Mike Jackson</t>
        </is>
      </c>
      <c r="L3225" t="inlineStr">
        <is>
          <t>19/02/2026 10:34</t>
        </is>
      </c>
      <c r="M3225" t="inlineStr">
        <is>
          <t>None</t>
        </is>
      </c>
      <c r="N3225" t="inlineStr">
        <is>
          <t>&lt;p&gt;&lt;/p&gt;</t>
        </is>
      </c>
      <c r="O3225" t="inlineStr"/>
      <c r="P3225" t="inlineStr"/>
      <c r="Q3225" t="inlineStr">
        <is>
          <t>NGED</t>
        </is>
      </c>
      <c r="R3225" t="b">
        <v>0</v>
      </c>
    </row>
    <row r="3226">
      <c r="A3226" t="inlineStr">
        <is>
          <t>2 Feb 2026 / Mathew Dunn / Utilities / SSE</t>
        </is>
      </c>
      <c r="B3226" t="inlineStr">
        <is>
          <t>Utilities</t>
        </is>
      </c>
      <c r="C3226" t="inlineStr">
        <is>
          <t>SSE</t>
        </is>
      </c>
      <c r="D3226" t="inlineStr">
        <is>
          <t>GN72XRU , Car - Electric , Tesla , Y series Long Range</t>
        </is>
      </c>
      <c r="E3226" t="inlineStr">
        <is>
          <t>GN72XRU , Car - Electric , Tesla , Y series Long Range</t>
        </is>
      </c>
      <c r="F3226" t="inlineStr">
        <is>
          <t>GN72XRU , Car - Electric , Tesla , Y series Long Range</t>
        </is>
      </c>
      <c r="G3226" t="inlineStr">
        <is>
          <t xml:space="preserve">Mathew dunn </t>
        </is>
      </c>
      <c r="H3226" t="inlineStr">
        <is>
          <t>Car - Electric (GC Owned)</t>
        </is>
      </c>
      <c r="I3226" t="inlineStr">
        <is>
          <t>Daily/ Weekly Vehicle Inspection</t>
        </is>
      </c>
      <c r="J3226" t="inlineStr">
        <is>
          <t>N/A</t>
        </is>
      </c>
      <c r="K3226" t="inlineStr">
        <is>
          <t>Mathew Dunn</t>
        </is>
      </c>
      <c r="L3226" t="inlineStr">
        <is>
          <t>19/02/2026 10:39</t>
        </is>
      </c>
      <c r="M3226" t="inlineStr">
        <is>
          <t>None</t>
        </is>
      </c>
      <c r="N3226" t="inlineStr">
        <is>
          <t>&lt;p&gt;&lt;/p&gt;</t>
        </is>
      </c>
      <c r="O3226" t="inlineStr"/>
      <c r="P3226" t="inlineStr">
        <is>
          <t>GN72XRU , Car - Electric , Tesla , Y series Long Range</t>
        </is>
      </c>
      <c r="Q3226" t="inlineStr">
        <is>
          <t>SSE</t>
        </is>
      </c>
      <c r="R3226" t="b">
        <v>0</v>
      </c>
    </row>
    <row r="3227">
      <c r="A3227" t="inlineStr">
        <is>
          <t>19 Feb 2026 / Mathew Dunn / Utilities / SSE</t>
        </is>
      </c>
      <c r="B3227" t="inlineStr">
        <is>
          <t>Utilities</t>
        </is>
      </c>
      <c r="C3227" t="inlineStr">
        <is>
          <t>SSE</t>
        </is>
      </c>
      <c r="D3227" t="inlineStr">
        <is>
          <t>GN70XAU , Car - Electric , Tesla , Model 3 Long Range AWD</t>
        </is>
      </c>
      <c r="E3227" t="inlineStr">
        <is>
          <t>GN70XAU , Car - Electric , Tesla , Model 3 Long Range AWD</t>
        </is>
      </c>
      <c r="F3227" t="inlineStr">
        <is>
          <t>GN70XAU , Car - Electric , Tesla , Model 3 Long Range AWD</t>
        </is>
      </c>
      <c r="G3227" t="inlineStr">
        <is>
          <t>Mathew dunn</t>
        </is>
      </c>
      <c r="H3227" t="inlineStr">
        <is>
          <t>Car - Electric (GC Owned)</t>
        </is>
      </c>
      <c r="I3227" t="inlineStr">
        <is>
          <t>Daily/ Weekly Vehicle Inspection</t>
        </is>
      </c>
      <c r="J3227" t="inlineStr">
        <is>
          <t>N/A</t>
        </is>
      </c>
      <c r="K3227" t="inlineStr">
        <is>
          <t>Mathew Dunn</t>
        </is>
      </c>
      <c r="L3227" t="inlineStr">
        <is>
          <t>19/02/2026 10:39</t>
        </is>
      </c>
      <c r="M3227" t="inlineStr">
        <is>
          <t>None</t>
        </is>
      </c>
      <c r="N3227" t="inlineStr">
        <is>
          <t>&lt;p&gt;&lt;/p&gt;</t>
        </is>
      </c>
      <c r="O3227" t="inlineStr"/>
      <c r="P3227" t="inlineStr">
        <is>
          <t>GN70XAU , Car - Electric , Tesla , Model 3 Long Range AWD</t>
        </is>
      </c>
      <c r="Q3227" t="inlineStr">
        <is>
          <t>SSE</t>
        </is>
      </c>
      <c r="R3227" t="b">
        <v>0</v>
      </c>
    </row>
    <row r="3228">
      <c r="A3228" t="inlineStr">
        <is>
          <t>19 Feb 2026 / William Heneage / Utilities / SSE</t>
        </is>
      </c>
      <c r="B3228" t="inlineStr">
        <is>
          <t>Utilities</t>
        </is>
      </c>
      <c r="C3228" t="inlineStr">
        <is>
          <t>SSE</t>
        </is>
      </c>
      <c r="D3228" t="inlineStr">
        <is>
          <t>YX24TWV , Car - Electric , Kia , E-Niro</t>
        </is>
      </c>
      <c r="E3228" t="inlineStr">
        <is>
          <t>YX24TWV , Car - Electric , Kia , E-Niro</t>
        </is>
      </c>
      <c r="F3228" t="inlineStr">
        <is>
          <t>YX24TWV , Car - Electric , Kia , E-Niro</t>
        </is>
      </c>
      <c r="G3228" t="inlineStr">
        <is>
          <t xml:space="preserve">Will Heneage </t>
        </is>
      </c>
      <c r="H3228" t="inlineStr">
        <is>
          <t>Car - Electric (GC Owned)</t>
        </is>
      </c>
      <c r="I3228" t="inlineStr">
        <is>
          <t>Daily/ Weekly Vehicle Inspection</t>
        </is>
      </c>
      <c r="J3228" t="inlineStr">
        <is>
          <t>N/A</t>
        </is>
      </c>
      <c r="K3228" t="inlineStr">
        <is>
          <t>William Heneage</t>
        </is>
      </c>
      <c r="L3228" t="inlineStr">
        <is>
          <t>19/02/2026 10:40</t>
        </is>
      </c>
      <c r="M3228" t="inlineStr">
        <is>
          <t>None</t>
        </is>
      </c>
      <c r="N3228" t="inlineStr">
        <is>
          <t>&lt;p&gt;&lt;/p&gt;</t>
        </is>
      </c>
      <c r="O3228" t="inlineStr"/>
      <c r="P3228" t="inlineStr">
        <is>
          <t>YX24TWV , Car - Electric , Kia , E-Niro</t>
        </is>
      </c>
      <c r="Q3228" t="inlineStr">
        <is>
          <t>SSE</t>
        </is>
      </c>
      <c r="R3228" t="b">
        <v>0</v>
      </c>
    </row>
    <row r="3229">
      <c r="A3229" t="inlineStr">
        <is>
          <t>19 Feb 2026 / Paul Shaw / Utilities / NGED</t>
        </is>
      </c>
      <c r="B3229" t="inlineStr">
        <is>
          <t>Utilities</t>
        </is>
      </c>
      <c r="C3229" t="inlineStr">
        <is>
          <t>NGED</t>
        </is>
      </c>
      <c r="D3229" t="inlineStr">
        <is>
          <t>EY68HPC , 4x4 , Ford , Ranger</t>
        </is>
      </c>
      <c r="E3229" t="inlineStr">
        <is>
          <t>EY68HPC , 4x4 , Ford , Ranger</t>
        </is>
      </c>
      <c r="F3229" t="inlineStr">
        <is>
          <t>EY68HPC , 4x4 , Ford , Ranger</t>
        </is>
      </c>
      <c r="G3229" t="inlineStr">
        <is>
          <t>Paul shaw</t>
        </is>
      </c>
      <c r="H3229" t="inlineStr">
        <is>
          <t>4x4</t>
        </is>
      </c>
      <c r="I3229" t="inlineStr">
        <is>
          <t>Daily/ Weekly Vehicle Inspection</t>
        </is>
      </c>
      <c r="J3229" t="inlineStr">
        <is>
          <t>N/A</t>
        </is>
      </c>
      <c r="K3229" t="inlineStr">
        <is>
          <t>Paul Shaw</t>
        </is>
      </c>
      <c r="L3229" t="inlineStr">
        <is>
          <t>19/02/2026 11:30</t>
        </is>
      </c>
      <c r="M3229" t="inlineStr">
        <is>
          <t>None</t>
        </is>
      </c>
      <c r="N3229" t="inlineStr">
        <is>
          <t>&lt;p&gt;&lt;/p&gt;</t>
        </is>
      </c>
      <c r="O3229" t="inlineStr"/>
      <c r="P3229" t="inlineStr">
        <is>
          <t>EY68HPC , 4x4 , Ford , Ranger</t>
        </is>
      </c>
      <c r="Q3229" t="inlineStr">
        <is>
          <t>NGED</t>
        </is>
      </c>
      <c r="R3229" t="b">
        <v>0</v>
      </c>
    </row>
    <row r="3230">
      <c r="A3230" t="inlineStr">
        <is>
          <t>19 Feb 2026 / 8040 S6 Tree specialists Ltd / Utilities / UKPN</t>
        </is>
      </c>
      <c r="B3230" t="inlineStr">
        <is>
          <t>Utilities</t>
        </is>
      </c>
      <c r="C3230" t="inlineStr">
        <is>
          <t>UKPN</t>
        </is>
      </c>
      <c r="D3230" t="inlineStr">
        <is>
          <t>GY08 RVC , 4x4 MEWP , Land Rover , Defender</t>
        </is>
      </c>
      <c r="E3230" t="inlineStr">
        <is>
          <t>GY08 RVC , 4x4 MEWP , Land Rover , Defender</t>
        </is>
      </c>
      <c r="F3230" t="inlineStr">
        <is>
          <t>GY08 RVC , 4x4 MEWP , Land Rover , Defender</t>
        </is>
      </c>
      <c r="G3230" t="inlineStr">
        <is>
          <t xml:space="preserve">Luke lane </t>
        </is>
      </c>
      <c r="H3230" t="inlineStr">
        <is>
          <t>4x4</t>
        </is>
      </c>
      <c r="I3230" t="inlineStr">
        <is>
          <t>Daily/ Weekly Vehicle Inspection</t>
        </is>
      </c>
      <c r="J3230" t="inlineStr">
        <is>
          <t>N/A</t>
        </is>
      </c>
      <c r="K3230" t="inlineStr">
        <is>
          <t>8040 S6 Tree specialists Ltd</t>
        </is>
      </c>
      <c r="L3230" t="inlineStr">
        <is>
          <t>19/02/2026 11:31</t>
        </is>
      </c>
      <c r="M3230" t="inlineStr">
        <is>
          <t xml:space="preserve">Confirm that you have checked this vehicle as per the guidance document and the vehicle is safe and roadworthy: Fail
</t>
        </is>
      </c>
      <c r="N3230" t="inlineStr">
        <is>
          <t>&lt;p&gt;&lt;/p&gt;</t>
        </is>
      </c>
      <c r="O3230" t="inlineStr"/>
      <c r="P3230" t="inlineStr">
        <is>
          <t>GY08 RVC , 4x4 MEWP , Land Rover , Defender</t>
        </is>
      </c>
      <c r="Q3230" t="inlineStr">
        <is>
          <t>UKPN</t>
        </is>
      </c>
      <c r="R3230" t="b">
        <v>0</v>
      </c>
    </row>
    <row r="3231">
      <c r="A3231" t="inlineStr">
        <is>
          <t>19 Feb 2026 / Kevin Miller / Utilities / UKPN</t>
        </is>
      </c>
      <c r="B3231" t="inlineStr">
        <is>
          <t>Utilities</t>
        </is>
      </c>
      <c r="C3231" t="inlineStr">
        <is>
          <t>UKPN</t>
        </is>
      </c>
      <c r="D3231" t="inlineStr">
        <is>
          <t>EO73KUF , Car - Electric , Kia , Niro</t>
        </is>
      </c>
      <c r="E3231" t="inlineStr">
        <is>
          <t>EO73KUF , Car - Electric , Kia , Niro</t>
        </is>
      </c>
      <c r="F3231" t="inlineStr">
        <is>
          <t>EO73KUF , Car - Electric , Kia , Niro</t>
        </is>
      </c>
      <c r="G3231" t="inlineStr">
        <is>
          <t xml:space="preserve">Kevin Miller </t>
        </is>
      </c>
      <c r="H3231" t="inlineStr">
        <is>
          <t>Car - Electric (GC Owned)</t>
        </is>
      </c>
      <c r="I3231" t="inlineStr">
        <is>
          <t>Daily/ Weekly Vehicle Inspection</t>
        </is>
      </c>
      <c r="J3231" t="inlineStr">
        <is>
          <t>N/A</t>
        </is>
      </c>
      <c r="K3231" t="inlineStr">
        <is>
          <t>Kevin Miller</t>
        </is>
      </c>
      <c r="L3231" t="inlineStr">
        <is>
          <t>19/02/2026 16:31</t>
        </is>
      </c>
      <c r="M3231" t="inlineStr">
        <is>
          <t>None</t>
        </is>
      </c>
      <c r="N3231" t="inlineStr">
        <is>
          <t>&lt;p&gt;&lt;/p&gt;</t>
        </is>
      </c>
      <c r="O3231" t="inlineStr"/>
      <c r="P3231" t="inlineStr">
        <is>
          <t>EO73KUF , Car - Electric , Kia , Niro</t>
        </is>
      </c>
      <c r="Q3231" t="inlineStr">
        <is>
          <t>UKPN</t>
        </is>
      </c>
      <c r="R3231" t="b">
        <v>0</v>
      </c>
    </row>
    <row r="3232">
      <c r="A3232" t="inlineStr">
        <is>
          <t>20 Feb 2026 / 7951 Austin Tree Care LTD / Utilities / UKPN</t>
        </is>
      </c>
      <c r="B3232" t="inlineStr">
        <is>
          <t>Utilities</t>
        </is>
      </c>
      <c r="C3232" t="inlineStr">
        <is>
          <t>UKPN</t>
        </is>
      </c>
      <c r="D3232" t="inlineStr">
        <is>
          <t>SA9ST6P0001283612 , Towed Chipper , Forst , ST6p</t>
        </is>
      </c>
      <c r="E3232" t="inlineStr">
        <is>
          <t>SA9ST6P0001283612 , Towed Chipper , Forst , ST6p</t>
        </is>
      </c>
      <c r="F3232" t="inlineStr">
        <is>
          <t>SA9ST6P0001283612 , Towed Chipper , Forst , ST6p</t>
        </is>
      </c>
      <c r="G3232" t="inlineStr">
        <is>
          <t xml:space="preserve">Jack Austin </t>
        </is>
      </c>
      <c r="H3232" t="inlineStr">
        <is>
          <t>Towed Chipper</t>
        </is>
      </c>
      <c r="I3232" t="inlineStr">
        <is>
          <t>Daily/ Weekly Vehicle Inspection</t>
        </is>
      </c>
      <c r="J3232" t="inlineStr">
        <is>
          <t>N/A</t>
        </is>
      </c>
      <c r="K3232" t="inlineStr">
        <is>
          <t>7951 Austin Tree Care LTD</t>
        </is>
      </c>
      <c r="L3232" t="inlineStr">
        <is>
          <t>20/02/2026 07:31</t>
        </is>
      </c>
      <c r="M3232" t="inlineStr">
        <is>
          <t>None</t>
        </is>
      </c>
      <c r="N3232" t="inlineStr">
        <is>
          <t>&lt;p&gt;&lt;/p&gt;</t>
        </is>
      </c>
      <c r="O3232" t="inlineStr"/>
      <c r="P3232" t="inlineStr">
        <is>
          <t>SA9ST6P0001283612 , Towed Chipper , Forst , ST6p</t>
        </is>
      </c>
      <c r="Q3232" t="inlineStr">
        <is>
          <t>UKPN</t>
        </is>
      </c>
      <c r="R3232" t="b">
        <v>0</v>
      </c>
    </row>
    <row r="3233">
      <c r="A3233" t="inlineStr">
        <is>
          <t>20 Feb 2026 / 7186 Eastwoodbury Tree Services Ltd / Utilities / UKPN</t>
        </is>
      </c>
      <c r="B3233" t="inlineStr">
        <is>
          <t>Utilities</t>
        </is>
      </c>
      <c r="C3233" t="inlineStr">
        <is>
          <t>UKPN</t>
        </is>
      </c>
      <c r="D3233" t="inlineStr">
        <is>
          <t>WF13 EKT , 4x4 , Land rover  , Defender</t>
        </is>
      </c>
      <c r="E3233" t="inlineStr">
        <is>
          <t>WF13 EKT , 4x4 , Land rover  , Defender</t>
        </is>
      </c>
      <c r="F3233" t="inlineStr">
        <is>
          <t>WF13 EKT , 4x4 , Land rover  , Defender</t>
        </is>
      </c>
      <c r="G3233" t="inlineStr">
        <is>
          <t xml:space="preserve">Dan Gilbert </t>
        </is>
      </c>
      <c r="H3233" t="inlineStr">
        <is>
          <t>4x4</t>
        </is>
      </c>
      <c r="I3233" t="inlineStr">
        <is>
          <t>Daily/ Weekly Vehicle Inspection</t>
        </is>
      </c>
      <c r="J3233" t="inlineStr">
        <is>
          <t>N/A</t>
        </is>
      </c>
      <c r="K3233" t="inlineStr">
        <is>
          <t>7186 Eastwoodbury Tree Services Ltd</t>
        </is>
      </c>
      <c r="L3233" t="inlineStr">
        <is>
          <t>20/02/2026 07:32</t>
        </is>
      </c>
      <c r="M3233" t="inlineStr">
        <is>
          <t>None</t>
        </is>
      </c>
      <c r="N3233" t="inlineStr">
        <is>
          <t>&lt;p&gt;&lt;/p&gt;</t>
        </is>
      </c>
      <c r="O3233" t="inlineStr"/>
      <c r="P3233" t="inlineStr">
        <is>
          <t>WF13 EKT , 4x4 , Land rover  , Defender</t>
        </is>
      </c>
      <c r="Q3233" t="inlineStr">
        <is>
          <t>UKPN</t>
        </is>
      </c>
      <c r="R3233" t="b">
        <v>0</v>
      </c>
    </row>
    <row r="3234">
      <c r="A3234" t="inlineStr">
        <is>
          <t>20 Feb 2026 / 7951 Austin Tree Care LTD / Utilities / UKPN</t>
        </is>
      </c>
      <c r="B3234" t="inlineStr">
        <is>
          <t>Utilities</t>
        </is>
      </c>
      <c r="C3234" t="inlineStr">
        <is>
          <t>UKPN</t>
        </is>
      </c>
      <c r="D3234" t="inlineStr">
        <is>
          <t>Kn58xuy , Tipper , VW  , Crafter</t>
        </is>
      </c>
      <c r="E3234" t="inlineStr">
        <is>
          <t>Kn58xuy , Tipper , VW  , Crafter</t>
        </is>
      </c>
      <c r="F3234" t="inlineStr">
        <is>
          <t>Kn58xuy , Tipper , VW  , Crafter</t>
        </is>
      </c>
      <c r="G3234" t="inlineStr">
        <is>
          <t xml:space="preserve">Jack Austin </t>
        </is>
      </c>
      <c r="H3234" t="inlineStr">
        <is>
          <t>Tipper</t>
        </is>
      </c>
      <c r="I3234" t="inlineStr">
        <is>
          <t>Daily/ Weekly Vehicle Inspection</t>
        </is>
      </c>
      <c r="J3234" t="inlineStr">
        <is>
          <t>N/A</t>
        </is>
      </c>
      <c r="K3234" t="inlineStr">
        <is>
          <t>7951 Austin Tree Care LTD</t>
        </is>
      </c>
      <c r="L3234" t="inlineStr">
        <is>
          <t>20/02/2026 07:33</t>
        </is>
      </c>
      <c r="M3234" t="inlineStr">
        <is>
          <t>None</t>
        </is>
      </c>
      <c r="N3234" t="inlineStr">
        <is>
          <t>&lt;p&gt;&lt;/p&gt;</t>
        </is>
      </c>
      <c r="O3234" t="inlineStr"/>
      <c r="P3234" t="inlineStr">
        <is>
          <t>Kn58xuy , Tipper , VW  , Crafter</t>
        </is>
      </c>
      <c r="Q3234" t="inlineStr">
        <is>
          <t>UKPN</t>
        </is>
      </c>
      <c r="R3234" t="b">
        <v>0</v>
      </c>
    </row>
    <row r="3235">
      <c r="A3235" t="inlineStr">
        <is>
          <t>20 Feb 2026 / 7951 Austin Tree Care LTD 1 / Utilities / UKPN</t>
        </is>
      </c>
      <c r="B3235" t="inlineStr">
        <is>
          <t>Utilities</t>
        </is>
      </c>
      <c r="C3235" t="inlineStr">
        <is>
          <t>UKPN</t>
        </is>
      </c>
      <c r="D3235" t="inlineStr">
        <is>
          <t>WG64HTT , 4x4 , Land Rover , Defender 110</t>
        </is>
      </c>
      <c r="E3235" t="inlineStr">
        <is>
          <t>WG64HTT , 4x4 , Land Rover , Defender 110</t>
        </is>
      </c>
      <c r="F3235" t="inlineStr">
        <is>
          <t>WG64HTT , 4x4 , Land Rover , Defender 110</t>
        </is>
      </c>
      <c r="G3235" t="inlineStr">
        <is>
          <t xml:space="preserve">James Tasker </t>
        </is>
      </c>
      <c r="H3235" t="inlineStr">
        <is>
          <t>4x4</t>
        </is>
      </c>
      <c r="I3235" t="inlineStr">
        <is>
          <t>Daily/ Weekly Vehicle Inspection</t>
        </is>
      </c>
      <c r="J3235" t="inlineStr">
        <is>
          <t>N/A</t>
        </is>
      </c>
      <c r="K3235" t="inlineStr">
        <is>
          <t>7951 Austin Tree Care LTD 1</t>
        </is>
      </c>
      <c r="L3235" t="inlineStr">
        <is>
          <t>20/02/2026 07:36</t>
        </is>
      </c>
      <c r="M3235" t="inlineStr">
        <is>
          <t>None</t>
        </is>
      </c>
      <c r="N3235" t="inlineStr">
        <is>
          <t>&lt;p&gt;&lt;/p&gt;</t>
        </is>
      </c>
      <c r="O3235" t="inlineStr"/>
      <c r="P3235" t="inlineStr">
        <is>
          <t>WG64HTT , 4x4 , Land Rover , Defender 110</t>
        </is>
      </c>
      <c r="Q3235" t="inlineStr">
        <is>
          <t>UKPN</t>
        </is>
      </c>
      <c r="R3235" t="b">
        <v>0</v>
      </c>
    </row>
    <row r="3236">
      <c r="A3236" t="inlineStr">
        <is>
          <t>20 Feb 2026 / 7186 Eastwoodbury Tree Services Ltd / Utilities / UKPN</t>
        </is>
      </c>
      <c r="B3236" t="inlineStr">
        <is>
          <t>Utilities</t>
        </is>
      </c>
      <c r="C3236" t="inlineStr">
        <is>
          <t>UKPN</t>
        </is>
      </c>
      <c r="D3236" t="inlineStr">
        <is>
          <t>FX14 XCV , 4x4 , Land Rover  , Defender</t>
        </is>
      </c>
      <c r="E3236" t="inlineStr">
        <is>
          <t>FX14 XCV , 4x4 , Land Rover  , Defender</t>
        </is>
      </c>
      <c r="F3236" t="inlineStr">
        <is>
          <t>FX14 XCV , 4x4 , Land Rover  , Defender</t>
        </is>
      </c>
      <c r="G3236" t="inlineStr">
        <is>
          <t xml:space="preserve">Tom price </t>
        </is>
      </c>
      <c r="H3236" t="inlineStr">
        <is>
          <t>4x4</t>
        </is>
      </c>
      <c r="I3236" t="inlineStr">
        <is>
          <t>Daily/ Weekly Vehicle Inspection</t>
        </is>
      </c>
      <c r="J3236" t="inlineStr">
        <is>
          <t>N/A</t>
        </is>
      </c>
      <c r="K3236" t="inlineStr">
        <is>
          <t>7186 Eastwoodbury Tree Services Ltd</t>
        </is>
      </c>
      <c r="L3236" t="inlineStr">
        <is>
          <t>20/02/2026 07:37</t>
        </is>
      </c>
      <c r="M3236" t="inlineStr">
        <is>
          <t>None</t>
        </is>
      </c>
      <c r="N3236" t="inlineStr">
        <is>
          <t>&lt;p&gt;&lt;/p&gt;</t>
        </is>
      </c>
      <c r="O3236" t="inlineStr"/>
      <c r="P3236" t="inlineStr">
        <is>
          <t>FX14 XCV , 4x4 , Land Rover  , Defender</t>
        </is>
      </c>
      <c r="Q3236" t="inlineStr">
        <is>
          <t>UKPN</t>
        </is>
      </c>
      <c r="R3236" t="b">
        <v>0</v>
      </c>
    </row>
    <row r="3237">
      <c r="A3237" t="inlineStr">
        <is>
          <t>20 Feb 2026 / 8040 S6 Tree specialists Ltd / Utilities / UKPN</t>
        </is>
      </c>
      <c r="B3237" t="inlineStr">
        <is>
          <t>Utilities</t>
        </is>
      </c>
      <c r="C3237" t="inlineStr">
        <is>
          <t>UKPN</t>
        </is>
      </c>
      <c r="D3237" t="inlineStr">
        <is>
          <t>GY08 RVC , 4x4 MEWP , Land Rover , Defender</t>
        </is>
      </c>
      <c r="E3237" t="inlineStr">
        <is>
          <t>GY08 RVC , 4x4 MEWP , Land Rover , Defender</t>
        </is>
      </c>
      <c r="F3237" t="inlineStr">
        <is>
          <t>GY08 RVC , 4x4 MEWP , Land Rover , Defender</t>
        </is>
      </c>
      <c r="G3237" t="inlineStr">
        <is>
          <t>Luke lane</t>
        </is>
      </c>
      <c r="H3237" t="inlineStr">
        <is>
          <t>4x4</t>
        </is>
      </c>
      <c r="I3237" t="inlineStr">
        <is>
          <t>Daily/ Weekly Vehicle Inspection</t>
        </is>
      </c>
      <c r="J3237" t="inlineStr">
        <is>
          <t>N/A</t>
        </is>
      </c>
      <c r="K3237" t="inlineStr">
        <is>
          <t>8040 S6 Tree specialists Ltd</t>
        </is>
      </c>
      <c r="L3237" t="inlineStr">
        <is>
          <t>20/02/2026 07:39</t>
        </is>
      </c>
      <c r="M3237" t="inlineStr">
        <is>
          <t xml:space="preserve">Confirm that you have checked this vehicle as per the guidance document and the vehicle is safe and roadworthy: Fail
</t>
        </is>
      </c>
      <c r="N3237" t="inlineStr">
        <is>
          <t>&lt;p&gt;&lt;/p&gt;</t>
        </is>
      </c>
      <c r="O3237" t="inlineStr"/>
      <c r="P3237" t="inlineStr">
        <is>
          <t>GY08 RVC , 4x4 MEWP , Land Rover , Defender</t>
        </is>
      </c>
      <c r="Q3237" t="inlineStr">
        <is>
          <t>UKPN</t>
        </is>
      </c>
      <c r="R3237" t="b">
        <v>0</v>
      </c>
    </row>
    <row r="3238">
      <c r="A3238" t="inlineStr">
        <is>
          <t>20 Feb 2026 / 7806 Optimum Tree Services Ltd / Utilities / UKPN</t>
        </is>
      </c>
      <c r="B3238" t="inlineStr">
        <is>
          <t>Utilities</t>
        </is>
      </c>
      <c r="C3238" t="inlineStr">
        <is>
          <t>UKPN</t>
        </is>
      </c>
      <c r="D3238" t="inlineStr">
        <is>
          <t>Wd14evn , 4x4 , Landrover  , Defender</t>
        </is>
      </c>
      <c r="E3238" t="inlineStr">
        <is>
          <t>Wd14evn , 4x4 , Landrover  , Defender</t>
        </is>
      </c>
      <c r="F3238" t="inlineStr">
        <is>
          <t>Wd14evn , 4x4 , Landrover  , Defender</t>
        </is>
      </c>
      <c r="G3238" t="inlineStr">
        <is>
          <t xml:space="preserve">Abraham Davies </t>
        </is>
      </c>
      <c r="H3238" t="inlineStr">
        <is>
          <t>4x4</t>
        </is>
      </c>
      <c r="I3238" t="inlineStr">
        <is>
          <t>Daily/ Weekly Vehicle Inspection</t>
        </is>
      </c>
      <c r="J3238" t="inlineStr">
        <is>
          <t>N/A</t>
        </is>
      </c>
      <c r="K3238" t="inlineStr">
        <is>
          <t>7806 Optimum Tree Services Ltd</t>
        </is>
      </c>
      <c r="L3238" t="inlineStr">
        <is>
          <t>20/02/2026 07:39</t>
        </is>
      </c>
      <c r="M3238" t="inlineStr">
        <is>
          <t>None</t>
        </is>
      </c>
      <c r="N3238" t="inlineStr">
        <is>
          <t>&lt;p&gt;&lt;/p&gt;</t>
        </is>
      </c>
      <c r="O3238" t="inlineStr">
        <is>
          <t>Confirm that you have checked this vehicle as per the guidance document and the vehicle is safe and roadworthy:Small Crack on  passenger side mirror
-</t>
        </is>
      </c>
      <c r="P3238" t="inlineStr">
        <is>
          <t>Wd14evn , 4x4 , Landrover  , Defender</t>
        </is>
      </c>
      <c r="Q3238" t="inlineStr">
        <is>
          <t>UKPN</t>
        </is>
      </c>
      <c r="R3238" t="b">
        <v>0</v>
      </c>
    </row>
    <row r="3239">
      <c r="A3239" t="inlineStr">
        <is>
          <t>20 Feb 2026 / 6617 Ashdown Tree Limited 1 / Utilities / UKPN</t>
        </is>
      </c>
      <c r="B3239" t="inlineStr">
        <is>
          <t>Utilities</t>
        </is>
      </c>
      <c r="C3239" t="inlineStr">
        <is>
          <t>UKPN</t>
        </is>
      </c>
      <c r="D3239" t="inlineStr">
        <is>
          <t>AY21HYZ , Vehicle , Ford , Transit</t>
        </is>
      </c>
      <c r="E3239" t="inlineStr">
        <is>
          <t>AY21HYZ , Vehicle , Ford , Transit</t>
        </is>
      </c>
      <c r="F3239" t="inlineStr">
        <is>
          <t>AY21HYZ , Vehicle , Ford , Transit</t>
        </is>
      </c>
      <c r="G3239" t="inlineStr">
        <is>
          <t>Dan</t>
        </is>
      </c>
      <c r="H3239" t="inlineStr">
        <is>
          <t>Tipper</t>
        </is>
      </c>
      <c r="I3239" t="inlineStr">
        <is>
          <t>Daily/ Weekly Vehicle Inspection</t>
        </is>
      </c>
      <c r="J3239" t="inlineStr">
        <is>
          <t>N/A</t>
        </is>
      </c>
      <c r="K3239" t="inlineStr">
        <is>
          <t>6617 Ashdown Tree Limited - Team 2</t>
        </is>
      </c>
      <c r="L3239" t="inlineStr">
        <is>
          <t>20/02/2026 07:40</t>
        </is>
      </c>
      <c r="M3239" t="inlineStr">
        <is>
          <t>None</t>
        </is>
      </c>
      <c r="N3239" t="inlineStr">
        <is>
          <t>&lt;p&gt;&lt;/p&gt;</t>
        </is>
      </c>
      <c r="O3239" t="inlineStr"/>
      <c r="P3239" t="inlineStr">
        <is>
          <t>AY21HYZ , Vehicle , Ford , Transit</t>
        </is>
      </c>
      <c r="Q3239" t="inlineStr">
        <is>
          <t>UKPN</t>
        </is>
      </c>
      <c r="R3239" t="b">
        <v>0</v>
      </c>
    </row>
    <row r="3240">
      <c r="A3240" t="inlineStr">
        <is>
          <t>20 Feb 2026 / 7806 Optimum Tree Services Ltd / Utilities / UKPN</t>
        </is>
      </c>
      <c r="B3240" t="inlineStr">
        <is>
          <t>Utilities</t>
        </is>
      </c>
      <c r="C3240" t="inlineStr">
        <is>
          <t>UKPN</t>
        </is>
      </c>
      <c r="D3240" t="inlineStr">
        <is>
          <t>SA9TAPLAF27414263 , Trailer , Tow Mate , Plant Trailer</t>
        </is>
      </c>
      <c r="E3240" t="inlineStr">
        <is>
          <t>SA9TAPLAF27414263 , Trailer , Tow Mate , Plant Trailer</t>
        </is>
      </c>
      <c r="F3240" t="inlineStr">
        <is>
          <t>SA9TAPLAF27414263 , Trailer , Tow Mate , Plant Trailer</t>
        </is>
      </c>
      <c r="G3240" t="inlineStr">
        <is>
          <t xml:space="preserve">Abraham Davies </t>
        </is>
      </c>
      <c r="H3240" t="inlineStr">
        <is>
          <t>Plant Trailer</t>
        </is>
      </c>
      <c r="I3240" t="inlineStr">
        <is>
          <t>Daily/ Weekly Vehicle Inspection</t>
        </is>
      </c>
      <c r="J3240" t="inlineStr">
        <is>
          <t>N/A</t>
        </is>
      </c>
      <c r="K3240" t="inlineStr">
        <is>
          <t>7806 Optimum Tree Services Ltd</t>
        </is>
      </c>
      <c r="L3240" t="inlineStr">
        <is>
          <t>20/02/2026 07:41</t>
        </is>
      </c>
      <c r="M3240" t="inlineStr">
        <is>
          <t>None</t>
        </is>
      </c>
      <c r="N3240" t="inlineStr">
        <is>
          <t>&lt;p&gt;&lt;/p&gt;</t>
        </is>
      </c>
      <c r="O3240" t="inlineStr"/>
      <c r="P3240" t="inlineStr">
        <is>
          <t>SA9TAPLAF27414263 , Trailer , Tow Mate , Plant Trailer</t>
        </is>
      </c>
      <c r="Q3240" t="inlineStr">
        <is>
          <t>UKPN</t>
        </is>
      </c>
      <c r="R3240" t="b">
        <v>0</v>
      </c>
    </row>
    <row r="3241">
      <c r="A3241" t="inlineStr">
        <is>
          <t>20 Feb 2026 / 3098 D &amp; R Landscapes / Utilities / UKPN</t>
        </is>
      </c>
      <c r="B3241" t="inlineStr">
        <is>
          <t>Utilities</t>
        </is>
      </c>
      <c r="C3241" t="inlineStr">
        <is>
          <t>UKPN</t>
        </is>
      </c>
      <c r="D3241" t="inlineStr">
        <is>
          <t>BT20 GNZ , Vehicle , Nissan , Navara</t>
        </is>
      </c>
      <c r="E3241" t="inlineStr">
        <is>
          <t>BT20 GNZ , Vehicle , Nissan , Navara</t>
        </is>
      </c>
      <c r="F3241" t="inlineStr">
        <is>
          <t>BT20 GNZ , Vehicle , Nissan , Navara</t>
        </is>
      </c>
      <c r="G3241" t="inlineStr">
        <is>
          <t>Jason</t>
        </is>
      </c>
      <c r="H3241" t="inlineStr">
        <is>
          <t>Pickup Truck</t>
        </is>
      </c>
      <c r="I3241" t="inlineStr">
        <is>
          <t>Daily/ Weekly Vehicle Inspection</t>
        </is>
      </c>
      <c r="J3241" t="inlineStr">
        <is>
          <t>N/A</t>
        </is>
      </c>
      <c r="K3241" t="inlineStr">
        <is>
          <t>3098 D &amp; R Landscapes</t>
        </is>
      </c>
      <c r="L3241" t="inlineStr">
        <is>
          <t>20/02/2026 07:41</t>
        </is>
      </c>
      <c r="M3241" t="inlineStr">
        <is>
          <t>None</t>
        </is>
      </c>
      <c r="N3241" t="inlineStr">
        <is>
          <t>&lt;p&gt;&lt;/p&gt;</t>
        </is>
      </c>
      <c r="O3241" t="inlineStr"/>
      <c r="P3241" t="inlineStr">
        <is>
          <t>BT20 GNZ , Vehicle , Nissan , Navara</t>
        </is>
      </c>
      <c r="Q3241" t="inlineStr">
        <is>
          <t>UKPN</t>
        </is>
      </c>
      <c r="R3241" t="b">
        <v>0</v>
      </c>
    </row>
    <row r="3242">
      <c r="A3242" t="inlineStr">
        <is>
          <t>20 Feb 2026 / Anthony Gale / Utilities / UKPN</t>
        </is>
      </c>
      <c r="B3242" t="inlineStr">
        <is>
          <t>Utilities</t>
        </is>
      </c>
      <c r="C3242" t="inlineStr">
        <is>
          <t>UKPN</t>
        </is>
      </c>
      <c r="D3242" t="inlineStr">
        <is>
          <t>KX20 BCE , Tipper , Isuzu , D-Max</t>
        </is>
      </c>
      <c r="E3242" t="inlineStr">
        <is>
          <t>KX20 BCE , Tipper , Isuzu , D-Max</t>
        </is>
      </c>
      <c r="F3242" t="inlineStr">
        <is>
          <t>KX20 BCE , Tipper , Isuzu , D-Max</t>
        </is>
      </c>
      <c r="G3242" t="inlineStr">
        <is>
          <t>Anthony Gale</t>
        </is>
      </c>
      <c r="H3242" t="inlineStr">
        <is>
          <t>Pickup Truck</t>
        </is>
      </c>
      <c r="I3242" t="inlineStr">
        <is>
          <t>Daily/ Weekly Vehicle Inspection</t>
        </is>
      </c>
      <c r="J3242" t="inlineStr">
        <is>
          <t>N/A</t>
        </is>
      </c>
      <c r="K3242" t="inlineStr">
        <is>
          <t>7996 M G Tree Surgery Ltd 1</t>
        </is>
      </c>
      <c r="L3242" t="inlineStr">
        <is>
          <t>20/02/2026 07:44</t>
        </is>
      </c>
      <c r="M3242" t="inlineStr">
        <is>
          <t>None</t>
        </is>
      </c>
      <c r="N3242" t="inlineStr">
        <is>
          <t>&lt;p&gt;&lt;/p&gt;</t>
        </is>
      </c>
      <c r="O3242" t="inlineStr">
        <is>
          <t>Confirm that you have checked this vehicle as per the guidance document and the vehicle is safe and roadworthy:Light board deteriorating.
Safe for now.
Will need replacing soon.
-</t>
        </is>
      </c>
      <c r="P3242" t="inlineStr">
        <is>
          <t>KX20 BCE , Tipper , Isuzu , D-Max</t>
        </is>
      </c>
      <c r="Q3242" t="inlineStr">
        <is>
          <t>UKPN</t>
        </is>
      </c>
      <c r="R3242" t="b">
        <v>0</v>
      </c>
    </row>
    <row r="3243">
      <c r="A3243" t="inlineStr">
        <is>
          <t>20 Feb 2026 / Anthony Gale / Utilities / UKPN</t>
        </is>
      </c>
      <c r="B3243" t="inlineStr">
        <is>
          <t>Utilities</t>
        </is>
      </c>
      <c r="C3243" t="inlineStr">
        <is>
          <t>UKPN</t>
        </is>
      </c>
      <c r="D3243" t="inlineStr">
        <is>
          <t>GU13 WNL , MEWP , Land Rover , Defender 130</t>
        </is>
      </c>
      <c r="E3243" t="inlineStr">
        <is>
          <t>GU13 WNL , MEWP , Land Rover , Defender 130</t>
        </is>
      </c>
      <c r="F3243" t="inlineStr">
        <is>
          <t>GU13 WNL , MEWP , Land Rover , Defender 130</t>
        </is>
      </c>
      <c r="G3243" t="inlineStr">
        <is>
          <t>Tim Franklin jl</t>
        </is>
      </c>
      <c r="H3243" t="inlineStr">
        <is>
          <t>4x4</t>
        </is>
      </c>
      <c r="I3243" t="inlineStr">
        <is>
          <t>Daily/ Weekly Vehicle Inspection</t>
        </is>
      </c>
      <c r="J3243" t="inlineStr">
        <is>
          <t>N/A</t>
        </is>
      </c>
      <c r="K3243" t="inlineStr">
        <is>
          <t>7996 M G Tree Surgery Ltd 1</t>
        </is>
      </c>
      <c r="L3243" t="inlineStr">
        <is>
          <t>20/02/2026 07:45</t>
        </is>
      </c>
      <c r="M3243" t="inlineStr">
        <is>
          <t>None</t>
        </is>
      </c>
      <c r="N3243" t="inlineStr">
        <is>
          <t>&lt;p&gt;&lt;/p&gt;</t>
        </is>
      </c>
      <c r="O3243" t="inlineStr"/>
      <c r="P3243" t="inlineStr">
        <is>
          <t>GU13 WNL , MEWP , Land Rover , Defender 130</t>
        </is>
      </c>
      <c r="Q3243" t="inlineStr">
        <is>
          <t>UKPN</t>
        </is>
      </c>
      <c r="R3243" t="b">
        <v>0</v>
      </c>
    </row>
    <row r="3244">
      <c r="A3244" t="inlineStr">
        <is>
          <t>20 Feb 2026 / Anthony Gale / Utilities / UKPN</t>
        </is>
      </c>
      <c r="B3244" t="inlineStr">
        <is>
          <t>Utilities</t>
        </is>
      </c>
      <c r="C3244" t="inlineStr">
        <is>
          <t>UKPN</t>
        </is>
      </c>
      <c r="D3244" t="inlineStr"/>
      <c r="E3244" t="inlineStr"/>
      <c r="F3244" t="inlineStr"/>
      <c r="G3244" t="inlineStr">
        <is>
          <t>Anthony Gale</t>
        </is>
      </c>
      <c r="H3244" t="inlineStr">
        <is>
          <t>Towed Chipper</t>
        </is>
      </c>
      <c r="I3244" t="inlineStr">
        <is>
          <t>Daily/ Weekly Vehicle Inspection</t>
        </is>
      </c>
      <c r="J3244" t="inlineStr">
        <is>
          <t>N/A</t>
        </is>
      </c>
      <c r="K3244" t="inlineStr">
        <is>
          <t>7996 M G Tree Surgery Ltd 1</t>
        </is>
      </c>
      <c r="L3244" t="inlineStr">
        <is>
          <t>20/02/2026 07:46</t>
        </is>
      </c>
      <c r="M3244" t="inlineStr">
        <is>
          <t>None</t>
        </is>
      </c>
      <c r="N3244" t="inlineStr">
        <is>
          <t>&lt;p&gt;&lt;/p&gt;</t>
        </is>
      </c>
      <c r="O3244" t="inlineStr"/>
      <c r="P3244" t="inlineStr"/>
      <c r="Q3244" t="inlineStr">
        <is>
          <t>UKPN</t>
        </is>
      </c>
      <c r="R3244" t="b">
        <v>0</v>
      </c>
    </row>
    <row r="3245">
      <c r="A3245" t="inlineStr">
        <is>
          <t>20 Feb 2026 / Barry Bright / Utilities / UKPN</t>
        </is>
      </c>
      <c r="B3245" t="inlineStr">
        <is>
          <t>Utilities</t>
        </is>
      </c>
      <c r="C3245" t="inlineStr">
        <is>
          <t>UKPN</t>
        </is>
      </c>
      <c r="D3245" t="inlineStr">
        <is>
          <t>AK72YBM , Car - Electric , Tesla , Model Y Long Range</t>
        </is>
      </c>
      <c r="E3245" t="inlineStr">
        <is>
          <t>AK72YBM , Car - Electric , Tesla , Model Y Long Range</t>
        </is>
      </c>
      <c r="F3245" t="inlineStr">
        <is>
          <t>AK72YBM , Car - Electric , Tesla , Model Y Long Range</t>
        </is>
      </c>
      <c r="G3245" t="inlineStr">
        <is>
          <t xml:space="preserve">Barry Bright </t>
        </is>
      </c>
      <c r="H3245" t="inlineStr">
        <is>
          <t>Car - Electric (GC Owned)</t>
        </is>
      </c>
      <c r="I3245" t="inlineStr">
        <is>
          <t>Daily/ Weekly Vehicle Inspection</t>
        </is>
      </c>
      <c r="J3245" t="inlineStr">
        <is>
          <t>N/A</t>
        </is>
      </c>
      <c r="K3245" t="inlineStr">
        <is>
          <t>Barry Bright</t>
        </is>
      </c>
      <c r="L3245" t="inlineStr">
        <is>
          <t>20/02/2026 08:30</t>
        </is>
      </c>
      <c r="M3245" t="inlineStr">
        <is>
          <t>None</t>
        </is>
      </c>
      <c r="N3245" t="inlineStr">
        <is>
          <t>&lt;p&gt;&lt;/p&gt;</t>
        </is>
      </c>
      <c r="O3245" t="inlineStr"/>
      <c r="P3245" t="inlineStr">
        <is>
          <t>AK72YBM , Car - Electric , Tesla , Model Y Long Range</t>
        </is>
      </c>
      <c r="Q3245" t="inlineStr">
        <is>
          <t>UKPN</t>
        </is>
      </c>
      <c r="R3245" t="b">
        <v>0</v>
      </c>
    </row>
    <row r="3246">
      <c r="A3246" t="inlineStr">
        <is>
          <t>20 Feb 2026 / Anthony Gale / Utilities / UKPN</t>
        </is>
      </c>
      <c r="B3246" t="inlineStr">
        <is>
          <t>Utilities</t>
        </is>
      </c>
      <c r="C3246" t="inlineStr">
        <is>
          <t>UKPN</t>
        </is>
      </c>
      <c r="D3246" t="inlineStr">
        <is>
          <t>KX20 BCE , Tipper , Isuzu , D-Max</t>
        </is>
      </c>
      <c r="E3246" t="inlineStr">
        <is>
          <t>KX20 BCE , Tipper , Isuzu , D-Max</t>
        </is>
      </c>
      <c r="F3246" t="inlineStr">
        <is>
          <t>KX20 BCE , Tipper , Isuzu , D-Max</t>
        </is>
      </c>
      <c r="G3246" t="inlineStr">
        <is>
          <t>Anthony Gale</t>
        </is>
      </c>
      <c r="H3246" t="inlineStr">
        <is>
          <t>Pickup Truck</t>
        </is>
      </c>
      <c r="I3246" t="inlineStr">
        <is>
          <t>Daily/ Weekly Vehicle Inspection</t>
        </is>
      </c>
      <c r="J3246" t="inlineStr">
        <is>
          <t>N/A</t>
        </is>
      </c>
      <c r="K3246" t="inlineStr">
        <is>
          <t>7996 M G Tree Surgery Ltd 1</t>
        </is>
      </c>
      <c r="L3246" t="inlineStr">
        <is>
          <t>20/02/2026 10:33</t>
        </is>
      </c>
      <c r="M3246" t="inlineStr">
        <is>
          <t>None</t>
        </is>
      </c>
      <c r="N3246" t="inlineStr">
        <is>
          <t>&lt;p&gt;&lt;/p&gt;</t>
        </is>
      </c>
      <c r="O3246" t="inlineStr">
        <is>
          <t>Confirm that you have checked this vehicle as per the guidance document and the vehicle is safe and roadworthy:Light board deteriorating.
Safe for now.
Will need replacing soon.
-</t>
        </is>
      </c>
      <c r="P3246" t="inlineStr">
        <is>
          <t>KX20 BCE , Tipper , Isuzu , D-Max</t>
        </is>
      </c>
      <c r="Q3246" t="inlineStr">
        <is>
          <t>UKPN</t>
        </is>
      </c>
      <c r="R3246" t="b">
        <v>0</v>
      </c>
    </row>
    <row r="3247">
      <c r="A3247" t="inlineStr">
        <is>
          <t>20 Feb 2026 / Andrew Carr / Utilities / SSE</t>
        </is>
      </c>
      <c r="B3247" t="inlineStr">
        <is>
          <t>Utilities</t>
        </is>
      </c>
      <c r="C3247" t="inlineStr">
        <is>
          <t>SSE</t>
        </is>
      </c>
      <c r="D3247" t="inlineStr"/>
      <c r="E3247" t="inlineStr"/>
      <c r="F3247" t="inlineStr"/>
      <c r="G3247" t="inlineStr">
        <is>
          <t xml:space="preserve">Andrew Carr </t>
        </is>
      </c>
      <c r="H3247" t="inlineStr">
        <is>
          <t>Car - Petrol</t>
        </is>
      </c>
      <c r="I3247" t="inlineStr">
        <is>
          <t>Daily/ Weekly Vehicle Inspection</t>
        </is>
      </c>
      <c r="J3247" t="inlineStr">
        <is>
          <t>N/A</t>
        </is>
      </c>
      <c r="K3247" t="inlineStr">
        <is>
          <t>Andrew Carr</t>
        </is>
      </c>
      <c r="L3247" t="inlineStr">
        <is>
          <t>20/02/2026 11:34</t>
        </is>
      </c>
      <c r="M3247" t="inlineStr">
        <is>
          <t>None</t>
        </is>
      </c>
      <c r="N3247" t="inlineStr">
        <is>
          <t>&lt;p&gt;&lt;/p&gt;</t>
        </is>
      </c>
      <c r="O3247" t="inlineStr"/>
      <c r="P3247" t="inlineStr"/>
      <c r="Q3247" t="inlineStr">
        <is>
          <t>SSE</t>
        </is>
      </c>
      <c r="R3247" t="b">
        <v>0</v>
      </c>
    </row>
    <row r="3248">
      <c r="A3248" t="inlineStr">
        <is>
          <t>20 Feb 2026 / 6556 DE UA SWales3 / Utilities / NGED</t>
        </is>
      </c>
      <c r="B3248" t="inlineStr">
        <is>
          <t>Utilities</t>
        </is>
      </c>
      <c r="C3248" t="inlineStr">
        <is>
          <t>NGED</t>
        </is>
      </c>
      <c r="D3248" t="inlineStr">
        <is>
          <t>BK72ZPG , N/A , Isuzu , D-Max</t>
        </is>
      </c>
      <c r="E3248" t="inlineStr">
        <is>
          <t>BK72ZPG , N/A , Isuzu , D-Max</t>
        </is>
      </c>
      <c r="F3248" t="inlineStr">
        <is>
          <t>BK72ZPG , N/A , Isuzu , D-Max</t>
        </is>
      </c>
      <c r="G3248" t="inlineStr">
        <is>
          <t xml:space="preserve">Adrian Evans </t>
        </is>
      </c>
      <c r="H3248" t="inlineStr">
        <is>
          <t>4x4</t>
        </is>
      </c>
      <c r="I3248" t="inlineStr">
        <is>
          <t>Daily/ Weekly Vehicle Inspection</t>
        </is>
      </c>
      <c r="J3248" t="inlineStr">
        <is>
          <t>N/A</t>
        </is>
      </c>
      <c r="K3248" t="inlineStr">
        <is>
          <t>6556 DE UA SWales3</t>
        </is>
      </c>
      <c r="L3248" t="inlineStr">
        <is>
          <t>20/02/2026 12:33</t>
        </is>
      </c>
      <c r="M3248" t="inlineStr">
        <is>
          <t>None</t>
        </is>
      </c>
      <c r="N3248" t="inlineStr">
        <is>
          <t>&lt;p&gt;&lt;/p&gt;</t>
        </is>
      </c>
      <c r="O3248" t="inlineStr"/>
      <c r="P3248" t="inlineStr">
        <is>
          <t>BK72ZPG , N/A , Isuzu , D-Max</t>
        </is>
      </c>
      <c r="Q3248" t="inlineStr">
        <is>
          <t>NGED</t>
        </is>
      </c>
      <c r="R3248" t="b">
        <v>0</v>
      </c>
    </row>
    <row r="3249">
      <c r="A3249" t="inlineStr">
        <is>
          <t>20 Feb 2026 / Ian Thompson / Utilities / NGED</t>
        </is>
      </c>
      <c r="B3249" t="inlineStr">
        <is>
          <t>Utilities</t>
        </is>
      </c>
      <c r="C3249" t="inlineStr">
        <is>
          <t>NGED</t>
        </is>
      </c>
      <c r="D3249" t="inlineStr">
        <is>
          <t>WO23PYF , Van , Ford , Ranger</t>
        </is>
      </c>
      <c r="E3249" t="inlineStr">
        <is>
          <t>WO23PYF , Van , Ford , Ranger</t>
        </is>
      </c>
      <c r="F3249" t="inlineStr">
        <is>
          <t>WO23PYF , Van , Ford , Ranger</t>
        </is>
      </c>
      <c r="G3249" t="inlineStr">
        <is>
          <t xml:space="preserve">Ian Thompson </t>
        </is>
      </c>
      <c r="H3249" t="inlineStr">
        <is>
          <t>4x4</t>
        </is>
      </c>
      <c r="I3249" t="inlineStr">
        <is>
          <t>Daily/ Weekly Vehicle Inspection</t>
        </is>
      </c>
      <c r="J3249" t="inlineStr">
        <is>
          <t>N/A</t>
        </is>
      </c>
      <c r="K3249" t="inlineStr">
        <is>
          <t>Ian Thompson</t>
        </is>
      </c>
      <c r="L3249" t="inlineStr">
        <is>
          <t>20/02/2026 13:36</t>
        </is>
      </c>
      <c r="M3249" t="inlineStr">
        <is>
          <t>None</t>
        </is>
      </c>
      <c r="N3249" t="inlineStr">
        <is>
          <t>&lt;p&gt;&lt;/p&gt;</t>
        </is>
      </c>
      <c r="O3249" t="inlineStr"/>
      <c r="P3249" t="inlineStr">
        <is>
          <t>WO23PYF , Van , Ford , Ranger</t>
        </is>
      </c>
      <c r="Q3249" t="inlineStr">
        <is>
          <t>NGED</t>
        </is>
      </c>
      <c r="R3249" t="b">
        <v>0</v>
      </c>
    </row>
    <row r="3250">
      <c r="A3250" t="inlineStr">
        <is>
          <t>20 Feb 2026 / Jane Moore / Utilities / NGED</t>
        </is>
      </c>
      <c r="B3250" t="inlineStr">
        <is>
          <t>Utilities</t>
        </is>
      </c>
      <c r="C3250" t="inlineStr">
        <is>
          <t>NGED</t>
        </is>
      </c>
      <c r="D3250" t="inlineStr">
        <is>
          <t>GL20TGZ , Car - Electric , Tesla , Model 3 Long Range AWD</t>
        </is>
      </c>
      <c r="E3250" t="inlineStr">
        <is>
          <t>GL20TGZ , Car - Electric , Tesla , Model 3 Long Range AWD</t>
        </is>
      </c>
      <c r="F3250" t="inlineStr">
        <is>
          <t>GL20TGZ , Car - Electric , Tesla , Model 3 Long Range AWD</t>
        </is>
      </c>
      <c r="G3250" t="inlineStr">
        <is>
          <t xml:space="preserve">Jane Moore </t>
        </is>
      </c>
      <c r="H3250" t="inlineStr">
        <is>
          <t>Car - Electric (GC Owned)</t>
        </is>
      </c>
      <c r="I3250" t="inlineStr">
        <is>
          <t>Monthly Vehicle Inspection</t>
        </is>
      </c>
      <c r="J3250" t="inlineStr">
        <is>
          <t>75243</t>
        </is>
      </c>
      <c r="K3250" t="inlineStr">
        <is>
          <t>Jane Moore</t>
        </is>
      </c>
      <c r="L3250" t="inlineStr">
        <is>
          <t>21/02/2026 15:32</t>
        </is>
      </c>
      <c r="M3250" t="inlineStr">
        <is>
          <t>None</t>
        </is>
      </c>
      <c r="N3250" t="inlineStr">
        <is>
          <t>&lt;p&gt;&lt;/p&gt;</t>
        </is>
      </c>
      <c r="O3250" t="inlineStr">
        <is>
          <t>INTERIOR
What to Check: 
Interior is Clean and Free of Loose Objects. 
Vehicle is Clean and Free of excessive Road Grime and Dirt.
Are the seatbelts in good condition (any tears, fraying, or faulty buckles)?
How: Inspect the interior cabin for cleanliness, ensuring it is free of clutter and loose objects that could become hazards during travel. Clean any road grime or dirt buildup from surfaces, including seats, dashboard, and floor mats.
Why: A clean and clutter-free interior promotes a comfortable driving environment, reduces distractions, and enhances passenger safety. Regular cleaning prevents dirt buildup, maintains interior aesthetics, and contributes to a pleasant driving experience.:Does need a valet
-</t>
        </is>
      </c>
      <c r="P3250" t="inlineStr">
        <is>
          <t>GL20TGZ , Car - Electric , Tesla , Model 3 Long Range AWD</t>
        </is>
      </c>
      <c r="Q3250" t="inlineStr">
        <is>
          <t>NGED</t>
        </is>
      </c>
      <c r="R3250" t="b">
        <v>0</v>
      </c>
    </row>
    <row r="3251">
      <c r="A3251" t="inlineStr">
        <is>
          <t>23 Feb 2026 / Patryk Zietarski / Utilities / UKPN</t>
        </is>
      </c>
      <c r="B3251" t="inlineStr">
        <is>
          <t>Utilities</t>
        </is>
      </c>
      <c r="C3251" t="inlineStr">
        <is>
          <t>UKPN</t>
        </is>
      </c>
      <c r="D3251" t="inlineStr">
        <is>
          <t>YW73CWL , Car - Electric , Kia , eNiro</t>
        </is>
      </c>
      <c r="E3251" t="inlineStr">
        <is>
          <t>YW73CWL , Car - Electric , Kia , eNiro</t>
        </is>
      </c>
      <c r="F3251" t="inlineStr">
        <is>
          <t>YW73CWL , Car - Electric , Kia , eNiro</t>
        </is>
      </c>
      <c r="G3251" t="inlineStr">
        <is>
          <t xml:space="preserve">Patryk Zietarski </t>
        </is>
      </c>
      <c r="H3251" t="inlineStr">
        <is>
          <t>Car - Electric (GC Owned)</t>
        </is>
      </c>
      <c r="I3251" t="inlineStr">
        <is>
          <t>Daily/ Weekly Vehicle Inspection</t>
        </is>
      </c>
      <c r="J3251" t="inlineStr">
        <is>
          <t>N/A</t>
        </is>
      </c>
      <c r="K3251" t="inlineStr">
        <is>
          <t>Patryk Zietarski</t>
        </is>
      </c>
      <c r="L3251" t="inlineStr">
        <is>
          <t>23/02/2026 05:34</t>
        </is>
      </c>
      <c r="M3251" t="inlineStr">
        <is>
          <t>None</t>
        </is>
      </c>
      <c r="N3251" t="inlineStr">
        <is>
          <t>&lt;p&gt;&lt;/p&gt;</t>
        </is>
      </c>
      <c r="O3251" t="inlineStr"/>
      <c r="P3251" t="inlineStr">
        <is>
          <t>YW73CWL , Car - Electric , Kia , eNiro</t>
        </is>
      </c>
      <c r="Q3251" t="inlineStr">
        <is>
          <t>UKPN</t>
        </is>
      </c>
      <c r="R3251" t="b">
        <v>0</v>
      </c>
    </row>
    <row r="3252">
      <c r="A3252" t="inlineStr">
        <is>
          <t>23 Feb 2026 / 7806 Optimum Tree Services Ltd / Utilities / UKPN</t>
        </is>
      </c>
      <c r="B3252" t="inlineStr">
        <is>
          <t>Utilities</t>
        </is>
      </c>
      <c r="C3252" t="inlineStr">
        <is>
          <t>UKPN</t>
        </is>
      </c>
      <c r="D3252" t="inlineStr">
        <is>
          <t>SA9TAPLAF27414263 , Trailer , Tow Mate , Plant Trailer</t>
        </is>
      </c>
      <c r="E3252" t="inlineStr">
        <is>
          <t>SA9TAPLAF27414263 , Trailer , Tow Mate , Plant Trailer</t>
        </is>
      </c>
      <c r="F3252" t="inlineStr">
        <is>
          <t>SA9TAPLAF27414263 , Trailer , Tow Mate , Plant Trailer</t>
        </is>
      </c>
      <c r="G3252" t="inlineStr">
        <is>
          <t xml:space="preserve">Abraham Davies </t>
        </is>
      </c>
      <c r="H3252" t="inlineStr">
        <is>
          <t>Plant Trailer</t>
        </is>
      </c>
      <c r="I3252" t="inlineStr">
        <is>
          <t>Daily/ Weekly Vehicle Inspection</t>
        </is>
      </c>
      <c r="J3252" t="inlineStr">
        <is>
          <t>N/A</t>
        </is>
      </c>
      <c r="K3252" t="inlineStr">
        <is>
          <t>7806 Optimum Tree Services Ltd</t>
        </is>
      </c>
      <c r="L3252" t="inlineStr">
        <is>
          <t>23/02/2026 06:34</t>
        </is>
      </c>
      <c r="M3252" t="inlineStr">
        <is>
          <t>None</t>
        </is>
      </c>
      <c r="N3252" t="inlineStr">
        <is>
          <t>&lt;p&gt;&lt;/p&gt;</t>
        </is>
      </c>
      <c r="O3252" t="inlineStr"/>
      <c r="P3252" t="inlineStr">
        <is>
          <t>SA9TAPLAF27414263 , Trailer , Tow Mate , Plant Trailer</t>
        </is>
      </c>
      <c r="Q3252" t="inlineStr">
        <is>
          <t>UKPN</t>
        </is>
      </c>
      <c r="R3252" t="b">
        <v>0</v>
      </c>
    </row>
    <row r="3253">
      <c r="A3253" t="inlineStr">
        <is>
          <t>23 Feb 2026 / 7806 Optimum Tree Services Ltd / Utilities / UKPN</t>
        </is>
      </c>
      <c r="B3253" t="inlineStr">
        <is>
          <t>Utilities</t>
        </is>
      </c>
      <c r="C3253" t="inlineStr">
        <is>
          <t>UKPN</t>
        </is>
      </c>
      <c r="D3253" t="inlineStr">
        <is>
          <t>WD14EVB , MEWP , Land Rover , Defender</t>
        </is>
      </c>
      <c r="E3253" t="inlineStr">
        <is>
          <t>WD14EVB , MEWP , Land Rover , Defender</t>
        </is>
      </c>
      <c r="F3253" t="inlineStr">
        <is>
          <t>WD14EVB , MEWP , Land Rover , Defender</t>
        </is>
      </c>
      <c r="G3253" t="inlineStr">
        <is>
          <t xml:space="preserve">Abraham Davies </t>
        </is>
      </c>
      <c r="H3253" t="inlineStr">
        <is>
          <t>4x4</t>
        </is>
      </c>
      <c r="I3253" t="inlineStr">
        <is>
          <t>Daily/ Weekly Vehicle Inspection</t>
        </is>
      </c>
      <c r="J3253" t="inlineStr">
        <is>
          <t>N/A</t>
        </is>
      </c>
      <c r="K3253" t="inlineStr">
        <is>
          <t>7806 Optimum Tree Services Ltd</t>
        </is>
      </c>
      <c r="L3253" t="inlineStr">
        <is>
          <t>23/02/2026 06:36</t>
        </is>
      </c>
      <c r="M3253" t="inlineStr">
        <is>
          <t>None</t>
        </is>
      </c>
      <c r="N3253" t="inlineStr">
        <is>
          <t>&lt;p&gt;&lt;/p&gt;</t>
        </is>
      </c>
      <c r="O3253" t="inlineStr"/>
      <c r="P3253" t="inlineStr">
        <is>
          <t>WD14EVB , MEWP , Land Rover , Defender</t>
        </is>
      </c>
      <c r="Q3253" t="inlineStr">
        <is>
          <t>UKPN</t>
        </is>
      </c>
      <c r="R3253" t="b">
        <v>0</v>
      </c>
    </row>
    <row r="3254">
      <c r="A3254" t="inlineStr">
        <is>
          <t>23 Feb 2026 / 7806 Optimum Tree Services Ltd / Utilities / UKPN</t>
        </is>
      </c>
      <c r="B3254" t="inlineStr">
        <is>
          <t>Utilities</t>
        </is>
      </c>
      <c r="C3254" t="inlineStr">
        <is>
          <t>UKPN</t>
        </is>
      </c>
      <c r="D3254" t="inlineStr">
        <is>
          <t>Wd14evn , 4x4 , Landrover  , Defender</t>
        </is>
      </c>
      <c r="E3254" t="inlineStr">
        <is>
          <t>Wd14evn , 4x4 , Landrover  , Defender</t>
        </is>
      </c>
      <c r="F3254" t="inlineStr">
        <is>
          <t>Wd14evn , 4x4 , Landrover  , Defender</t>
        </is>
      </c>
      <c r="G3254" t="inlineStr">
        <is>
          <t xml:space="preserve">Lewis davies </t>
        </is>
      </c>
      <c r="H3254" t="inlineStr">
        <is>
          <t>4x4</t>
        </is>
      </c>
      <c r="I3254" t="inlineStr">
        <is>
          <t>Daily/ Weekly Vehicle Inspection</t>
        </is>
      </c>
      <c r="J3254" t="inlineStr">
        <is>
          <t>N/A</t>
        </is>
      </c>
      <c r="K3254" t="inlineStr">
        <is>
          <t>7806 Optimum Tree Services Ltd</t>
        </is>
      </c>
      <c r="L3254" t="inlineStr">
        <is>
          <t>23/02/2026 06:38</t>
        </is>
      </c>
      <c r="M3254" t="inlineStr">
        <is>
          <t>None</t>
        </is>
      </c>
      <c r="N3254" t="inlineStr">
        <is>
          <t>&lt;p&gt;&lt;/p&gt;</t>
        </is>
      </c>
      <c r="O3254" t="inlineStr"/>
      <c r="P3254" t="inlineStr">
        <is>
          <t>Wd14evn , 4x4 , Landrover  , Defender</t>
        </is>
      </c>
      <c r="Q3254" t="inlineStr">
        <is>
          <t>UKPN</t>
        </is>
      </c>
      <c r="R3254" t="b">
        <v>0</v>
      </c>
    </row>
    <row r="3255">
      <c r="A3255" t="inlineStr">
        <is>
          <t>23 Feb 2026 / 7951 Austin Tree Care LTD / Utilities / UKPN</t>
        </is>
      </c>
      <c r="B3255" t="inlineStr">
        <is>
          <t>Utilities</t>
        </is>
      </c>
      <c r="C3255" t="inlineStr">
        <is>
          <t>UKPN</t>
        </is>
      </c>
      <c r="D3255" t="inlineStr">
        <is>
          <t>Kn58xuy , Tipper , VW  , Crafter</t>
        </is>
      </c>
      <c r="E3255" t="inlineStr">
        <is>
          <t>Kn58xuy , Tipper , VW  , Crafter</t>
        </is>
      </c>
      <c r="F3255" t="inlineStr">
        <is>
          <t>Kn58xuy , Tipper , VW  , Crafter</t>
        </is>
      </c>
      <c r="G3255" t="inlineStr">
        <is>
          <t xml:space="preserve">Jack Austin </t>
        </is>
      </c>
      <c r="H3255" t="inlineStr">
        <is>
          <t>Tipper</t>
        </is>
      </c>
      <c r="I3255" t="inlineStr">
        <is>
          <t>Daily/ Weekly Vehicle Inspection</t>
        </is>
      </c>
      <c r="J3255" t="inlineStr">
        <is>
          <t>N/A</t>
        </is>
      </c>
      <c r="K3255" t="inlineStr">
        <is>
          <t>7951 Austin Tree Care LTD</t>
        </is>
      </c>
      <c r="L3255" t="inlineStr">
        <is>
          <t>23/02/2026 07:42</t>
        </is>
      </c>
      <c r="M3255" t="inlineStr">
        <is>
          <t>None</t>
        </is>
      </c>
      <c r="N3255" t="inlineStr">
        <is>
          <t>&lt;p&gt;&lt;/p&gt;</t>
        </is>
      </c>
      <c r="O3255" t="inlineStr"/>
      <c r="P3255" t="inlineStr">
        <is>
          <t>Kn58xuy , Tipper , VW  , Crafter</t>
        </is>
      </c>
      <c r="Q3255" t="inlineStr">
        <is>
          <t>UKPN</t>
        </is>
      </c>
      <c r="R3255" t="b">
        <v>0</v>
      </c>
    </row>
    <row r="3256">
      <c r="A3256" t="inlineStr">
        <is>
          <t>23 Feb 2026 / Anthony Gale / Utilities / UKPN</t>
        </is>
      </c>
      <c r="B3256" t="inlineStr">
        <is>
          <t>Utilities</t>
        </is>
      </c>
      <c r="C3256" t="inlineStr">
        <is>
          <t>UKPN</t>
        </is>
      </c>
      <c r="D3256" t="inlineStr">
        <is>
          <t>KX20 BCE , Tipper , Isuzu , D-Max</t>
        </is>
      </c>
      <c r="E3256" t="inlineStr">
        <is>
          <t>KX20 BCE , Tipper , Isuzu , D-Max</t>
        </is>
      </c>
      <c r="F3256" t="inlineStr">
        <is>
          <t>KX20 BCE , Tipper , Isuzu , D-Max</t>
        </is>
      </c>
      <c r="G3256" t="inlineStr">
        <is>
          <t>Anthony Gale</t>
        </is>
      </c>
      <c r="H3256" t="inlineStr">
        <is>
          <t>Pickup Truck</t>
        </is>
      </c>
      <c r="I3256" t="inlineStr">
        <is>
          <t>Daily/ Weekly Vehicle Inspection</t>
        </is>
      </c>
      <c r="J3256" t="inlineStr">
        <is>
          <t>N/A</t>
        </is>
      </c>
      <c r="K3256" t="inlineStr">
        <is>
          <t>7996 M G Tree Surgery Ltd 1</t>
        </is>
      </c>
      <c r="L3256" t="inlineStr">
        <is>
          <t>23/02/2026 07:43</t>
        </is>
      </c>
      <c r="M3256" t="inlineStr">
        <is>
          <t>None</t>
        </is>
      </c>
      <c r="N3256" t="inlineStr">
        <is>
          <t>&lt;p&gt;&lt;/p&gt;</t>
        </is>
      </c>
      <c r="O3256" t="inlineStr">
        <is>
          <t>Confirm that you have checked this vehicle as per the guidance document and the vehicle is safe and roadworthy:Light board deteriorating.
Safe for now.
Will need replacing soon
-</t>
        </is>
      </c>
      <c r="P3256" t="inlineStr">
        <is>
          <t>KX20 BCE , Tipper , Isuzu , D-Max</t>
        </is>
      </c>
      <c r="Q3256" t="inlineStr">
        <is>
          <t>UKPN</t>
        </is>
      </c>
      <c r="R3256" t="b">
        <v>0</v>
      </c>
    </row>
    <row r="3257">
      <c r="A3257" t="inlineStr">
        <is>
          <t>23 Feb 2026 / Anthony Gale / Utilities / UKPN</t>
        </is>
      </c>
      <c r="B3257" t="inlineStr">
        <is>
          <t>Utilities</t>
        </is>
      </c>
      <c r="C3257" t="inlineStr">
        <is>
          <t>UKPN</t>
        </is>
      </c>
      <c r="D3257" t="inlineStr">
        <is>
          <t>GU13 WNL , MEWP , Land Rover , Defender 130</t>
        </is>
      </c>
      <c r="E3257" t="inlineStr">
        <is>
          <t>GU13 WNL , MEWP , Land Rover , Defender 130</t>
        </is>
      </c>
      <c r="F3257" t="inlineStr">
        <is>
          <t>GU13 WNL , MEWP , Land Rover , Defender 130</t>
        </is>
      </c>
      <c r="G3257" t="inlineStr">
        <is>
          <t xml:space="preserve">Tim Franklin </t>
        </is>
      </c>
      <c r="H3257" t="inlineStr">
        <is>
          <t>4x4</t>
        </is>
      </c>
      <c r="I3257" t="inlineStr">
        <is>
          <t>Daily/ Weekly Vehicle Inspection</t>
        </is>
      </c>
      <c r="J3257" t="inlineStr">
        <is>
          <t>N/A</t>
        </is>
      </c>
      <c r="K3257" t="inlineStr">
        <is>
          <t>7996 M G Tree Surgery Ltd 1</t>
        </is>
      </c>
      <c r="L3257" t="inlineStr">
        <is>
          <t>23/02/2026 07:46</t>
        </is>
      </c>
      <c r="M3257" t="inlineStr">
        <is>
          <t>None</t>
        </is>
      </c>
      <c r="N3257" t="inlineStr">
        <is>
          <t>&lt;p&gt;&lt;/p&gt;</t>
        </is>
      </c>
      <c r="O3257" t="inlineStr"/>
      <c r="P3257" t="inlineStr">
        <is>
          <t>GU13 WNL , MEWP , Land Rover , Defender 130</t>
        </is>
      </c>
      <c r="Q3257" t="inlineStr">
        <is>
          <t>UKPN</t>
        </is>
      </c>
      <c r="R3257" t="b">
        <v>0</v>
      </c>
    </row>
    <row r="3258">
      <c r="A3258" t="inlineStr">
        <is>
          <t>23 Feb 2026 / Anthony Gale / Utilities / UKPN</t>
        </is>
      </c>
      <c r="B3258" t="inlineStr">
        <is>
          <t>Utilities</t>
        </is>
      </c>
      <c r="C3258" t="inlineStr">
        <is>
          <t>UKPN</t>
        </is>
      </c>
      <c r="D3258" t="inlineStr"/>
      <c r="E3258" t="inlineStr"/>
      <c r="F3258" t="inlineStr"/>
      <c r="G3258" t="inlineStr">
        <is>
          <t>Anthony Gale</t>
        </is>
      </c>
      <c r="H3258" t="inlineStr">
        <is>
          <t>Towed Chipper</t>
        </is>
      </c>
      <c r="I3258" t="inlineStr">
        <is>
          <t>Daily/ Weekly Vehicle Inspection</t>
        </is>
      </c>
      <c r="J3258" t="inlineStr">
        <is>
          <t>N/A</t>
        </is>
      </c>
      <c r="K3258" t="inlineStr">
        <is>
          <t>7996 M G Tree Surgery Ltd 1</t>
        </is>
      </c>
      <c r="L3258" t="inlineStr">
        <is>
          <t>23/02/2026 07:48</t>
        </is>
      </c>
      <c r="M3258" t="inlineStr">
        <is>
          <t>None</t>
        </is>
      </c>
      <c r="N3258" t="inlineStr">
        <is>
          <t>&lt;p&gt;&lt;/p&gt;</t>
        </is>
      </c>
      <c r="O3258" t="inlineStr"/>
      <c r="P3258" t="inlineStr"/>
      <c r="Q3258" t="inlineStr">
        <is>
          <t>UKPN</t>
        </is>
      </c>
      <c r="R3258" t="b">
        <v>0</v>
      </c>
    </row>
    <row r="3259">
      <c r="A3259" t="inlineStr">
        <is>
          <t>23 Feb 2026 / 8040 S6 Tree specialists Ltd / Utilities / UKPN</t>
        </is>
      </c>
      <c r="B3259" t="inlineStr">
        <is>
          <t>Utilities</t>
        </is>
      </c>
      <c r="C3259" t="inlineStr">
        <is>
          <t>UKPN</t>
        </is>
      </c>
      <c r="D3259" t="inlineStr">
        <is>
          <t>GY08 RVC , 4x4 MEWP , Land Rover , Defender</t>
        </is>
      </c>
      <c r="E3259" t="inlineStr">
        <is>
          <t>GY08 RVC , 4x4 MEWP , Land Rover , Defender</t>
        </is>
      </c>
      <c r="F3259" t="inlineStr">
        <is>
          <t>GY08 RVC , 4x4 MEWP , Land Rover , Defender</t>
        </is>
      </c>
      <c r="G3259" t="inlineStr">
        <is>
          <t xml:space="preserve">Luke lane </t>
        </is>
      </c>
      <c r="H3259" t="inlineStr">
        <is>
          <t>4x4</t>
        </is>
      </c>
      <c r="I3259" t="inlineStr">
        <is>
          <t>Daily/ Weekly Vehicle Inspection</t>
        </is>
      </c>
      <c r="J3259" t="inlineStr">
        <is>
          <t>N/A</t>
        </is>
      </c>
      <c r="K3259" t="inlineStr">
        <is>
          <t>8040 S6 Tree specialists Ltd</t>
        </is>
      </c>
      <c r="L3259" t="inlineStr">
        <is>
          <t>23/02/2026 07:50</t>
        </is>
      </c>
      <c r="M3259" t="inlineStr">
        <is>
          <t>None</t>
        </is>
      </c>
      <c r="N3259" t="inlineStr">
        <is>
          <t>&lt;p&gt;&lt;/p&gt;</t>
        </is>
      </c>
      <c r="O3259" t="inlineStr"/>
      <c r="P3259" t="inlineStr">
        <is>
          <t>GY08 RVC , 4x4 MEWP , Land Rover , Defender</t>
        </is>
      </c>
      <c r="Q3259" t="inlineStr">
        <is>
          <t>UKPN</t>
        </is>
      </c>
      <c r="R3259" t="b">
        <v>0</v>
      </c>
    </row>
    <row r="3260">
      <c r="A3260" t="inlineStr">
        <is>
          <t>23 Feb 2026 / 8148 Hope Ground and Tree Care / Utilities / UKPN</t>
        </is>
      </c>
      <c r="B3260" t="inlineStr">
        <is>
          <t>Utilities</t>
        </is>
      </c>
      <c r="C3260" t="inlineStr">
        <is>
          <t>UKPN</t>
        </is>
      </c>
      <c r="D3260" t="inlineStr">
        <is>
          <t>S6 NWX , MEWP , Isuzu , D-Max</t>
        </is>
      </c>
      <c r="E3260" t="inlineStr">
        <is>
          <t>S6 NWX , MEWP , Isuzu , D-Max</t>
        </is>
      </c>
      <c r="F3260" t="inlineStr">
        <is>
          <t>S6 NWX , MEWP , Isuzu , D-Max</t>
        </is>
      </c>
      <c r="G3260" t="inlineStr">
        <is>
          <t>A Hope</t>
        </is>
      </c>
      <c r="H3260" t="inlineStr">
        <is>
          <t>4x4</t>
        </is>
      </c>
      <c r="I3260" t="inlineStr">
        <is>
          <t>Daily/ Weekly Vehicle Inspection</t>
        </is>
      </c>
      <c r="J3260" t="inlineStr">
        <is>
          <t>N/A</t>
        </is>
      </c>
      <c r="K3260" t="inlineStr">
        <is>
          <t>8148 Hope Ground and Tree Care</t>
        </is>
      </c>
      <c r="L3260" t="inlineStr">
        <is>
          <t>23/02/2026 08:54</t>
        </is>
      </c>
      <c r="M3260" t="inlineStr">
        <is>
          <t>None</t>
        </is>
      </c>
      <c r="N3260" t="inlineStr">
        <is>
          <t>&lt;p&gt;&lt;/p&gt;</t>
        </is>
      </c>
      <c r="O3260" t="inlineStr"/>
      <c r="P3260" t="inlineStr">
        <is>
          <t>S6 NWX , MEWP , Isuzu , D-Max</t>
        </is>
      </c>
      <c r="Q3260" t="inlineStr">
        <is>
          <t>UKPN</t>
        </is>
      </c>
      <c r="R3260" t="b">
        <v>0</v>
      </c>
    </row>
    <row r="3261">
      <c r="A3261" t="inlineStr">
        <is>
          <t>23 Feb 2026 / 7186 Eastwoodbury Tree Services Ltd / Utilities / UKPN</t>
        </is>
      </c>
      <c r="B3261" t="inlineStr">
        <is>
          <t>Utilities</t>
        </is>
      </c>
      <c r="C3261" t="inlineStr">
        <is>
          <t>UKPN</t>
        </is>
      </c>
      <c r="D3261" t="inlineStr">
        <is>
          <t>WF13 EKT , 4x4 , Land rover  , Defender</t>
        </is>
      </c>
      <c r="E3261" t="inlineStr">
        <is>
          <t>WF13 EKT , 4x4 , Land rover  , Defender</t>
        </is>
      </c>
      <c r="F3261" t="inlineStr">
        <is>
          <t>WF13 EKT , 4x4 , Land rover  , Defender</t>
        </is>
      </c>
      <c r="G3261" t="inlineStr">
        <is>
          <t xml:space="preserve">Dan Gilbert </t>
        </is>
      </c>
      <c r="H3261" t="inlineStr">
        <is>
          <t>4x4</t>
        </is>
      </c>
      <c r="I3261" t="inlineStr">
        <is>
          <t>Daily/ Weekly Vehicle Inspection</t>
        </is>
      </c>
      <c r="J3261" t="inlineStr">
        <is>
          <t>N/A</t>
        </is>
      </c>
      <c r="K3261" t="inlineStr">
        <is>
          <t>7186 Eastwoodbury Tree Services Ltd</t>
        </is>
      </c>
      <c r="L3261" t="inlineStr">
        <is>
          <t>23/02/2026 09:02</t>
        </is>
      </c>
      <c r="M3261" t="inlineStr">
        <is>
          <t>None</t>
        </is>
      </c>
      <c r="N3261" t="inlineStr">
        <is>
          <t>&lt;p&gt;&lt;/p&gt;</t>
        </is>
      </c>
      <c r="O3261" t="inlineStr"/>
      <c r="P3261" t="inlineStr">
        <is>
          <t>WF13 EKT , 4x4 , Land rover  , Defender</t>
        </is>
      </c>
      <c r="Q3261" t="inlineStr">
        <is>
          <t>UKPN</t>
        </is>
      </c>
      <c r="R3261" t="b">
        <v>0</v>
      </c>
    </row>
    <row r="3262">
      <c r="A3262" t="inlineStr">
        <is>
          <t>23 Feb 2026 / 7186 Eastwoodbury Tree Services Ltd / Utilities / UKPN</t>
        </is>
      </c>
      <c r="B3262" t="inlineStr">
        <is>
          <t>Utilities</t>
        </is>
      </c>
      <c r="C3262" t="inlineStr">
        <is>
          <t>UKPN</t>
        </is>
      </c>
      <c r="D3262" t="inlineStr">
        <is>
          <t>FX14 XCV , 4x4 , Land Rover  , Defender</t>
        </is>
      </c>
      <c r="E3262" t="inlineStr">
        <is>
          <t>FX14 XCV , 4x4 , Land Rover  , Defender</t>
        </is>
      </c>
      <c r="F3262" t="inlineStr">
        <is>
          <t>FX14 XCV , 4x4 , Land Rover  , Defender</t>
        </is>
      </c>
      <c r="G3262" t="inlineStr">
        <is>
          <t xml:space="preserve">Tom price </t>
        </is>
      </c>
      <c r="H3262" t="inlineStr">
        <is>
          <t>4x4</t>
        </is>
      </c>
      <c r="I3262" t="inlineStr">
        <is>
          <t>Daily/ Weekly Vehicle Inspection</t>
        </is>
      </c>
      <c r="J3262" t="inlineStr">
        <is>
          <t>N/A</t>
        </is>
      </c>
      <c r="K3262" t="inlineStr">
        <is>
          <t>7186 Eastwoodbury Tree Services Ltd</t>
        </is>
      </c>
      <c r="L3262" t="inlineStr">
        <is>
          <t>23/02/2026 09:04</t>
        </is>
      </c>
      <c r="M3262" t="inlineStr">
        <is>
          <t>None</t>
        </is>
      </c>
      <c r="N3262" t="inlineStr">
        <is>
          <t>&lt;p&gt;&lt;/p&gt;</t>
        </is>
      </c>
      <c r="O3262" t="inlineStr"/>
      <c r="P3262" t="inlineStr">
        <is>
          <t>FX14 XCV , 4x4 , Land Rover  , Defender</t>
        </is>
      </c>
      <c r="Q3262" t="inlineStr">
        <is>
          <t>UKPN</t>
        </is>
      </c>
      <c r="R3262" t="b">
        <v>0</v>
      </c>
    </row>
    <row r="3263">
      <c r="A3263" t="inlineStr">
        <is>
          <t>23 Feb 2026 / 7186 Eastwoodbury Tree Services Ltd / Utilities / UKPN</t>
        </is>
      </c>
      <c r="B3263" t="inlineStr">
        <is>
          <t>Utilities</t>
        </is>
      </c>
      <c r="C3263" t="inlineStr">
        <is>
          <t>UKPN</t>
        </is>
      </c>
      <c r="D3263" t="inlineStr">
        <is>
          <t>DE53NKS , 4x4 , Ford , Ranger</t>
        </is>
      </c>
      <c r="E3263" t="inlineStr">
        <is>
          <t>DE53NKS , 4x4 , Ford , Ranger</t>
        </is>
      </c>
      <c r="F3263" t="inlineStr">
        <is>
          <t>DE53NKS , 4x4 , Ford , Ranger</t>
        </is>
      </c>
      <c r="G3263" t="inlineStr">
        <is>
          <t xml:space="preserve">Jay Denkmayer </t>
        </is>
      </c>
      <c r="H3263" t="inlineStr">
        <is>
          <t>4x4</t>
        </is>
      </c>
      <c r="I3263" t="inlineStr">
        <is>
          <t>Daily/ Weekly Vehicle Inspection</t>
        </is>
      </c>
      <c r="J3263" t="inlineStr">
        <is>
          <t>N/A</t>
        </is>
      </c>
      <c r="K3263" t="inlineStr">
        <is>
          <t>7186 Eastwoodbury Tree Services Ltd</t>
        </is>
      </c>
      <c r="L3263" t="inlineStr">
        <is>
          <t>23/02/2026 09:06</t>
        </is>
      </c>
      <c r="M3263" t="inlineStr">
        <is>
          <t>None</t>
        </is>
      </c>
      <c r="N3263" t="inlineStr">
        <is>
          <t>&lt;p&gt;&lt;/p&gt;</t>
        </is>
      </c>
      <c r="O3263" t="inlineStr"/>
      <c r="P3263" t="inlineStr">
        <is>
          <t>DE53NKS , 4x4 , Ford , Ranger</t>
        </is>
      </c>
      <c r="Q3263" t="inlineStr">
        <is>
          <t>UKPN</t>
        </is>
      </c>
      <c r="R3263" t="b">
        <v>0</v>
      </c>
    </row>
    <row r="3264">
      <c r="A3264" t="inlineStr">
        <is>
          <t>23 Feb 2026 / Paul Chubb / Utilities / SSE</t>
        </is>
      </c>
      <c r="B3264" t="inlineStr">
        <is>
          <t>Utilities</t>
        </is>
      </c>
      <c r="C3264" t="inlineStr">
        <is>
          <t>SSE</t>
        </is>
      </c>
      <c r="D3264" t="inlineStr"/>
      <c r="E3264" t="inlineStr"/>
      <c r="F3264" t="inlineStr"/>
      <c r="G3264" t="inlineStr">
        <is>
          <t>Paul chubb</t>
        </is>
      </c>
      <c r="H3264" t="inlineStr">
        <is>
          <t>Van</t>
        </is>
      </c>
      <c r="I3264" t="inlineStr">
        <is>
          <t>Monthly Vehicle Inspection</t>
        </is>
      </c>
      <c r="J3264" t="inlineStr">
        <is>
          <t>4956</t>
        </is>
      </c>
      <c r="K3264" t="inlineStr">
        <is>
          <t>Paul Chubb</t>
        </is>
      </c>
      <c r="L3264" t="inlineStr">
        <is>
          <t>23/02/2026 09:41</t>
        </is>
      </c>
      <c r="M3264" t="inlineStr">
        <is>
          <t>None</t>
        </is>
      </c>
      <c r="N3264" t="inlineStr">
        <is>
          <t>&lt;p&gt;&lt;a href="https&amp;#58;//apps.powerapps.com/play/2d567dc9-5d50-4629-a077-f7ccbff3e239?tenantId=3ef9f654-aa07-41b8-88ad-a411c62bd12c&amp;amp;Action=Open&amp;amp;Actionno=8123"&gt;There sre no bezcons and ive reported this&lt;/a&gt;&lt;br&gt;&lt;/p&gt;</t>
        </is>
      </c>
      <c r="O3264" t="inlineStr">
        <is>
          <t>LIGHTS &amp; BEACONS
What to Check: 
Are all lights / beacons on the vehicle functioning? (including turn signals, headlights, high beams, fog lights, brake lights &amp; tail lights as applicable)
How: Activate each light and beacon individually, including turn signals, headlights (both low and high beams), fog lights (if equipped), brake lights, and tail lights. Check for any flickering lights or bulbs that need replacement.
Why: Functional lights and beacons are crucial for visibility and safety, especially during low light conditions or adverse weather. Properly working lights ensure compliance with road regulations and enhance the vehicle's visibility to other drivers.:There sre no bezcons and ive reported this
-</t>
        </is>
      </c>
      <c r="P3264" t="inlineStr"/>
      <c r="Q3264" t="inlineStr">
        <is>
          <t>SSE</t>
        </is>
      </c>
      <c r="R3264" t="b">
        <v>0</v>
      </c>
    </row>
    <row r="3265">
      <c r="A3265" t="inlineStr">
        <is>
          <t>23 Feb 2026 / Paul Chubb / Utilities / SSE</t>
        </is>
      </c>
      <c r="B3265" t="inlineStr">
        <is>
          <t>Utilities</t>
        </is>
      </c>
      <c r="C3265" t="inlineStr">
        <is>
          <t>SSE</t>
        </is>
      </c>
      <c r="D3265" t="inlineStr"/>
      <c r="E3265" t="inlineStr"/>
      <c r="F3265" t="inlineStr"/>
      <c r="G3265" t="inlineStr">
        <is>
          <t>Paul chubb</t>
        </is>
      </c>
      <c r="H3265" t="inlineStr">
        <is>
          <t>Van</t>
        </is>
      </c>
      <c r="I3265" t="inlineStr">
        <is>
          <t>Daily/ Weekly Vehicle Inspection</t>
        </is>
      </c>
      <c r="J3265" t="inlineStr">
        <is>
          <t>N/A</t>
        </is>
      </c>
      <c r="K3265" t="inlineStr">
        <is>
          <t>Paul Chubb</t>
        </is>
      </c>
      <c r="L3265" t="inlineStr">
        <is>
          <t>23/02/2026 09:44</t>
        </is>
      </c>
      <c r="M3265" t="inlineStr">
        <is>
          <t>None</t>
        </is>
      </c>
      <c r="N3265" t="inlineStr">
        <is>
          <t>&lt;p&gt;&lt;/p&gt;</t>
        </is>
      </c>
      <c r="O3265" t="inlineStr"/>
      <c r="P3265" t="inlineStr"/>
      <c r="Q3265" t="inlineStr">
        <is>
          <t>SSE</t>
        </is>
      </c>
      <c r="R3265" t="b">
        <v>0</v>
      </c>
    </row>
    <row r="3266">
      <c r="A3266" t="inlineStr">
        <is>
          <t>23 Feb 2026 / Jonathan Wisbey / Utilities / UKPN</t>
        </is>
      </c>
      <c r="B3266" t="inlineStr">
        <is>
          <t>Utilities</t>
        </is>
      </c>
      <c r="C3266" t="inlineStr">
        <is>
          <t>UKPN</t>
        </is>
      </c>
      <c r="D3266" t="inlineStr"/>
      <c r="E3266" t="inlineStr"/>
      <c r="F3266" t="inlineStr"/>
      <c r="G3266" t="inlineStr">
        <is>
          <t xml:space="preserve">Jonathan Wisbey </t>
        </is>
      </c>
      <c r="H3266" t="inlineStr">
        <is>
          <t>Car - Petrol</t>
        </is>
      </c>
      <c r="I3266" t="inlineStr">
        <is>
          <t>Daily/ Weekly Vehicle Inspection</t>
        </is>
      </c>
      <c r="J3266" t="inlineStr">
        <is>
          <t>N/A</t>
        </is>
      </c>
      <c r="K3266" t="inlineStr">
        <is>
          <t>Jonathan Wisbey</t>
        </is>
      </c>
      <c r="L3266" t="inlineStr">
        <is>
          <t>23/02/2026 10:06</t>
        </is>
      </c>
      <c r="M3266" t="inlineStr">
        <is>
          <t>None</t>
        </is>
      </c>
      <c r="N3266" t="inlineStr">
        <is>
          <t>&lt;p&gt;&lt;/p&gt;</t>
        </is>
      </c>
      <c r="O3266" t="inlineStr"/>
      <c r="P3266" t="inlineStr"/>
      <c r="Q3266" t="inlineStr">
        <is>
          <t>UKPN</t>
        </is>
      </c>
      <c r="R3266" t="b">
        <v>0</v>
      </c>
    </row>
    <row r="3267">
      <c r="A3267" t="inlineStr">
        <is>
          <t>23 Feb 2026 / 7889 Tree Tech Suffolk Ltd</t>
        </is>
      </c>
      <c r="B3267" t="inlineStr">
        <is>
          <t>Utilities &amp; Inland Waterways</t>
        </is>
      </c>
      <c r="C3267" t="inlineStr">
        <is>
          <t>UKPN</t>
        </is>
      </c>
      <c r="D3267" t="inlineStr">
        <is>
          <t>Tipper - Nissan - Navara - NS02TTS</t>
        </is>
      </c>
      <c r="E3267" t="inlineStr">
        <is>
          <t>Tipper - Nissan - Navara - NS02TTS</t>
        </is>
      </c>
      <c r="F3267" t="inlineStr">
        <is>
          <t>Tipper - Nissan - Navara - NS02TTS</t>
        </is>
      </c>
      <c r="G3267" t="inlineStr">
        <is>
          <t>Danny Appleby</t>
        </is>
      </c>
      <c r="H3267" t="inlineStr">
        <is>
          <t>Tipper</t>
        </is>
      </c>
      <c r="I3267" t="inlineStr">
        <is>
          <t>Daily/ Weekly Vehicle Inspection</t>
        </is>
      </c>
      <c r="J3267" t="inlineStr">
        <is>
          <t>N/A</t>
        </is>
      </c>
      <c r="K3267" t="inlineStr">
        <is>
          <t>7889 Tree Tech Suffolk Ltd</t>
        </is>
      </c>
      <c r="L3267" t="inlineStr">
        <is>
          <t>23/02/2026 10:40</t>
        </is>
      </c>
      <c r="M3267" t="inlineStr">
        <is>
          <t>None</t>
        </is>
      </c>
      <c r="N3267" t="inlineStr">
        <is>
          <t>&lt;p&gt;&lt;/p&gt;</t>
        </is>
      </c>
      <c r="O3267" t="inlineStr">
        <is>
          <t>Select Vehicle:FX11 ZFC</t>
        </is>
      </c>
      <c r="P3267" t="inlineStr">
        <is>
          <t>Tipper - Nissan - Navara - NS02TTS</t>
        </is>
      </c>
      <c r="Q3267" t="inlineStr">
        <is>
          <t>UKPN</t>
        </is>
      </c>
      <c r="R3267" t="b">
        <v>0</v>
      </c>
    </row>
    <row r="3268">
      <c r="A3268" t="inlineStr">
        <is>
          <t>23 Feb 2026 / Joe Sauvage / Utilities / SSE</t>
        </is>
      </c>
      <c r="B3268" t="inlineStr">
        <is>
          <t>Utilities</t>
        </is>
      </c>
      <c r="C3268" t="inlineStr">
        <is>
          <t>SSE</t>
        </is>
      </c>
      <c r="D3268" t="inlineStr">
        <is>
          <t>AK70TBV , Car - Electric , Tesla , Model 3 Long Range AWD</t>
        </is>
      </c>
      <c r="E3268" t="inlineStr">
        <is>
          <t>AK70TBV , Car - Electric , Tesla , Model 3 Long Range AWD</t>
        </is>
      </c>
      <c r="F3268" t="inlineStr">
        <is>
          <t>AK70TBV , Car - Electric , Tesla , Model 3 Long Range AWD</t>
        </is>
      </c>
      <c r="G3268" t="inlineStr">
        <is>
          <t xml:space="preserve">Joe Sauvage </t>
        </is>
      </c>
      <c r="H3268" t="inlineStr">
        <is>
          <t>Car - Electric (GC Owned)</t>
        </is>
      </c>
      <c r="I3268" t="inlineStr">
        <is>
          <t>Daily/ Weekly Vehicle Inspection</t>
        </is>
      </c>
      <c r="J3268" t="inlineStr">
        <is>
          <t>N/A</t>
        </is>
      </c>
      <c r="K3268" t="inlineStr">
        <is>
          <t>Joe Sauvage</t>
        </is>
      </c>
      <c r="L3268" t="inlineStr">
        <is>
          <t>23/02/2026 10:42</t>
        </is>
      </c>
      <c r="M3268" t="inlineStr">
        <is>
          <t>None</t>
        </is>
      </c>
      <c r="N3268" t="inlineStr">
        <is>
          <t>&lt;p&gt;&lt;/p&gt;</t>
        </is>
      </c>
      <c r="O3268" t="inlineStr"/>
      <c r="P3268" t="inlineStr">
        <is>
          <t>AK70TBV , Car - Electric , Tesla , Model 3 Long Range AWD</t>
        </is>
      </c>
      <c r="Q3268" t="inlineStr">
        <is>
          <t>SSE</t>
        </is>
      </c>
      <c r="R3268" t="b">
        <v>0</v>
      </c>
    </row>
    <row r="3269">
      <c r="A3269" t="inlineStr">
        <is>
          <t>23 Feb 2026 / Mark Davies / Utilities / NGED</t>
        </is>
      </c>
      <c r="B3269" t="inlineStr">
        <is>
          <t>Utilities</t>
        </is>
      </c>
      <c r="C3269" t="inlineStr">
        <is>
          <t>NGED</t>
        </is>
      </c>
      <c r="D3269" t="inlineStr">
        <is>
          <t>GJ20USE , Car - Electric , Tesla , Model 3 Long Range AWD</t>
        </is>
      </c>
      <c r="E3269" t="inlineStr">
        <is>
          <t>GJ20USE , Car - Electric , Tesla , Model 3 Long Range AWD</t>
        </is>
      </c>
      <c r="F3269" t="inlineStr">
        <is>
          <t>GJ20USE , Car - Electric , Tesla , Model 3 Long Range AWD</t>
        </is>
      </c>
      <c r="G3269" t="inlineStr">
        <is>
          <t xml:space="preserve">Mark Davies </t>
        </is>
      </c>
      <c r="H3269" t="inlineStr">
        <is>
          <t>Car - Electric (GC Owned)</t>
        </is>
      </c>
      <c r="I3269" t="inlineStr">
        <is>
          <t>Daily/ Weekly Vehicle Inspection</t>
        </is>
      </c>
      <c r="J3269" t="inlineStr">
        <is>
          <t>N/A</t>
        </is>
      </c>
      <c r="K3269" t="inlineStr">
        <is>
          <t>Mark Davies</t>
        </is>
      </c>
      <c r="L3269" t="inlineStr">
        <is>
          <t>23/02/2026 11:40</t>
        </is>
      </c>
      <c r="M3269" t="inlineStr">
        <is>
          <t>None</t>
        </is>
      </c>
      <c r="N3269" t="inlineStr">
        <is>
          <t>&lt;p&gt;&lt;/p&gt;</t>
        </is>
      </c>
      <c r="O3269" t="inlineStr"/>
      <c r="P3269" t="inlineStr">
        <is>
          <t>GJ20USE , Car - Electric , Tesla , Model 3 Long Range AWD</t>
        </is>
      </c>
      <c r="Q3269" t="inlineStr">
        <is>
          <t>NGED</t>
        </is>
      </c>
      <c r="R3269" t="b">
        <v>0</v>
      </c>
    </row>
    <row r="3270">
      <c r="A3270" t="inlineStr">
        <is>
          <t>23 Feb 2026 / Thomas Playford / Utilities / UKPN</t>
        </is>
      </c>
      <c r="B3270" t="inlineStr">
        <is>
          <t>Utilities</t>
        </is>
      </c>
      <c r="C3270" t="inlineStr">
        <is>
          <t>UKPN</t>
        </is>
      </c>
      <c r="D3270" t="inlineStr">
        <is>
          <t>LK15KRZ , 4x4 , Landrover , Defender</t>
        </is>
      </c>
      <c r="E3270" t="inlineStr">
        <is>
          <t>LK15KRZ , 4x4 , Landrover , Defender</t>
        </is>
      </c>
      <c r="F3270" t="inlineStr">
        <is>
          <t>LK15KRZ , 4x4 , Landrover , Defender</t>
        </is>
      </c>
      <c r="G3270" t="inlineStr">
        <is>
          <t>Jacob Oram</t>
        </is>
      </c>
      <c r="H3270" t="inlineStr">
        <is>
          <t>4x4</t>
        </is>
      </c>
      <c r="I3270" t="inlineStr">
        <is>
          <t>Daily/ Weekly Vehicle Inspection</t>
        </is>
      </c>
      <c r="J3270" t="inlineStr">
        <is>
          <t>N/A</t>
        </is>
      </c>
      <c r="K3270" t="inlineStr">
        <is>
          <t>7995 Green Net Eco Ltd 2</t>
        </is>
      </c>
      <c r="L3270" t="inlineStr">
        <is>
          <t>23/02/2026 11:41</t>
        </is>
      </c>
      <c r="M3270" t="inlineStr">
        <is>
          <t>None</t>
        </is>
      </c>
      <c r="N3270" t="inlineStr">
        <is>
          <t>&lt;p&gt;&lt;/p&gt;</t>
        </is>
      </c>
      <c r="O3270" t="inlineStr"/>
      <c r="P3270" t="inlineStr">
        <is>
          <t>LK15KRZ , 4x4 , Landrover , Defender</t>
        </is>
      </c>
      <c r="Q3270" t="inlineStr">
        <is>
          <t>UKPN</t>
        </is>
      </c>
      <c r="R3270" t="b">
        <v>0</v>
      </c>
    </row>
    <row r="3271">
      <c r="A3271" t="inlineStr">
        <is>
          <t>23 Feb 2026 / Thomas Playford / Utilities / UKPN</t>
        </is>
      </c>
      <c r="B3271" t="inlineStr">
        <is>
          <t>Utilities</t>
        </is>
      </c>
      <c r="C3271" t="inlineStr">
        <is>
          <t>UKPN</t>
        </is>
      </c>
      <c r="D3271" t="inlineStr">
        <is>
          <t>SA9ST800000283944 , Towed Chipper , Forst , ST8D - Towed</t>
        </is>
      </c>
      <c r="E3271" t="inlineStr">
        <is>
          <t>SA9ST800000283944 , Towed Chipper , Forst , ST8D - Towed</t>
        </is>
      </c>
      <c r="F3271" t="inlineStr">
        <is>
          <t>SA9ST800000283944 , Towed Chipper , Forst , ST8D - Towed</t>
        </is>
      </c>
      <c r="G3271" t="inlineStr">
        <is>
          <t>Thomas Playford</t>
        </is>
      </c>
      <c r="H3271" t="inlineStr">
        <is>
          <t>Towed Chipper</t>
        </is>
      </c>
      <c r="I3271" t="inlineStr">
        <is>
          <t>Daily/ Weekly Vehicle Inspection</t>
        </is>
      </c>
      <c r="J3271" t="inlineStr">
        <is>
          <t>N/A</t>
        </is>
      </c>
      <c r="K3271" t="inlineStr">
        <is>
          <t>7995 Green Net Eco Ltd 2</t>
        </is>
      </c>
      <c r="L3271" t="inlineStr">
        <is>
          <t>23/02/2026 11:43</t>
        </is>
      </c>
      <c r="M3271" t="inlineStr">
        <is>
          <t>None</t>
        </is>
      </c>
      <c r="N3271" t="inlineStr">
        <is>
          <t>&lt;p&gt;&lt;/p&gt;</t>
        </is>
      </c>
      <c r="O3271" t="inlineStr"/>
      <c r="P3271" t="inlineStr">
        <is>
          <t>SA9ST800000283944 , Towed Chipper , Forst , ST8D - Towed</t>
        </is>
      </c>
      <c r="Q3271" t="inlineStr">
        <is>
          <t>UKPN</t>
        </is>
      </c>
      <c r="R3271" t="b">
        <v>0</v>
      </c>
    </row>
    <row r="3272">
      <c r="A3272" t="inlineStr">
        <is>
          <t>23 Feb 2026 / Thomas Playford / Utilities / UKPN</t>
        </is>
      </c>
      <c r="B3272" t="inlineStr">
        <is>
          <t>Utilities</t>
        </is>
      </c>
      <c r="C3272" t="inlineStr">
        <is>
          <t>UKPN</t>
        </is>
      </c>
      <c r="D3272" t="inlineStr">
        <is>
          <t>X21TNP , 4x4 , Toyota , Hilux</t>
        </is>
      </c>
      <c r="E3272" t="inlineStr">
        <is>
          <t>X21TNP , 4x4 , Toyota , Hilux</t>
        </is>
      </c>
      <c r="F3272" t="inlineStr">
        <is>
          <t>X21TNP , 4x4 , Toyota , Hilux</t>
        </is>
      </c>
      <c r="G3272" t="inlineStr">
        <is>
          <t>Thomas Playford</t>
        </is>
      </c>
      <c r="H3272" t="inlineStr">
        <is>
          <t>4x4</t>
        </is>
      </c>
      <c r="I3272" t="inlineStr">
        <is>
          <t>Daily/ Weekly Vehicle Inspection</t>
        </is>
      </c>
      <c r="J3272" t="inlineStr">
        <is>
          <t>N/A</t>
        </is>
      </c>
      <c r="K3272" t="inlineStr">
        <is>
          <t>7995 Green Net Eco Ltd 2</t>
        </is>
      </c>
      <c r="L3272" t="inlineStr">
        <is>
          <t>23/02/2026 11:44</t>
        </is>
      </c>
      <c r="M3272" t="inlineStr">
        <is>
          <t>None</t>
        </is>
      </c>
      <c r="N3272" t="inlineStr">
        <is>
          <t>&lt;p&gt;&lt;/p&gt;</t>
        </is>
      </c>
      <c r="O3272" t="inlineStr"/>
      <c r="P3272" t="inlineStr">
        <is>
          <t>X21TNP , 4x4 , Toyota , Hilux</t>
        </is>
      </c>
      <c r="Q3272" t="inlineStr">
        <is>
          <t>UKPN</t>
        </is>
      </c>
      <c r="R3272" t="b">
        <v>0</v>
      </c>
    </row>
    <row r="3273">
      <c r="A3273" t="inlineStr">
        <is>
          <t>23 Feb 2026 / Alexander Damar / Utilities / UKPN</t>
        </is>
      </c>
      <c r="B3273" t="inlineStr">
        <is>
          <t>Utilities</t>
        </is>
      </c>
      <c r="C3273" t="inlineStr">
        <is>
          <t>UKPN</t>
        </is>
      </c>
      <c r="D3273" t="inlineStr"/>
      <c r="E3273" t="inlineStr"/>
      <c r="F3273" t="inlineStr"/>
      <c r="G3273" t="inlineStr">
        <is>
          <t>A damar</t>
        </is>
      </c>
      <c r="H3273" t="inlineStr">
        <is>
          <t>Car - Petrol</t>
        </is>
      </c>
      <c r="I3273" t="inlineStr">
        <is>
          <t>Daily/ Weekly Vehicle Inspection</t>
        </is>
      </c>
      <c r="J3273" t="inlineStr">
        <is>
          <t>N/A</t>
        </is>
      </c>
      <c r="K3273" t="inlineStr">
        <is>
          <t>Alexander Damar</t>
        </is>
      </c>
      <c r="L3273" t="inlineStr">
        <is>
          <t>23/02/2026 12:41</t>
        </is>
      </c>
      <c r="M3273" t="inlineStr">
        <is>
          <t>None</t>
        </is>
      </c>
      <c r="N3273" t="inlineStr">
        <is>
          <t>&lt;p&gt;&lt;/p&gt;</t>
        </is>
      </c>
      <c r="O3273" t="inlineStr"/>
      <c r="P3273" t="inlineStr"/>
      <c r="Q3273" t="inlineStr">
        <is>
          <t>UKPN</t>
        </is>
      </c>
      <c r="R3273" t="b">
        <v>0</v>
      </c>
    </row>
    <row r="3274">
      <c r="A3274" t="inlineStr">
        <is>
          <t>4 Dec 2025 / Alexander Damar / Utilities / UKPN</t>
        </is>
      </c>
      <c r="B3274" t="inlineStr">
        <is>
          <t>Utilities</t>
        </is>
      </c>
      <c r="C3274" t="inlineStr">
        <is>
          <t>UKPN</t>
        </is>
      </c>
      <c r="D3274" t="inlineStr"/>
      <c r="E3274" t="inlineStr"/>
      <c r="F3274" t="inlineStr"/>
      <c r="G3274" t="inlineStr">
        <is>
          <t>A damar</t>
        </is>
      </c>
      <c r="H3274" t="inlineStr">
        <is>
          <t>Car - Petrol</t>
        </is>
      </c>
      <c r="I3274" t="inlineStr">
        <is>
          <t>Daily/ Weekly Vehicle Inspection</t>
        </is>
      </c>
      <c r="J3274" t="inlineStr">
        <is>
          <t>N/A</t>
        </is>
      </c>
      <c r="K3274" t="inlineStr">
        <is>
          <t>Alexander Damar</t>
        </is>
      </c>
      <c r="L3274" t="inlineStr">
        <is>
          <t>23/02/2026 12:45</t>
        </is>
      </c>
      <c r="M3274" t="inlineStr">
        <is>
          <t>None</t>
        </is>
      </c>
      <c r="N3274" t="inlineStr">
        <is>
          <t>&lt;p&gt;&lt;/p&gt;</t>
        </is>
      </c>
      <c r="O3274" t="inlineStr"/>
      <c r="P3274" t="inlineStr"/>
      <c r="Q3274" t="inlineStr">
        <is>
          <t>UKPN</t>
        </is>
      </c>
      <c r="R3274" t="b">
        <v>0</v>
      </c>
    </row>
    <row r="3275">
      <c r="A3275" t="inlineStr">
        <is>
          <t>23 Feb 2026 / Gary England / Utilities / NGED</t>
        </is>
      </c>
      <c r="B3275" t="inlineStr">
        <is>
          <t>Utilities</t>
        </is>
      </c>
      <c r="C3275" t="inlineStr">
        <is>
          <t>NGED</t>
        </is>
      </c>
      <c r="D3275" t="inlineStr">
        <is>
          <t>GJ71KAO , Car - Electric , Tesla , Model 3 Long Range AWD</t>
        </is>
      </c>
      <c r="E3275" t="inlineStr">
        <is>
          <t>GJ71KAO , Car - Electric , Tesla , Model 3 Long Range AWD</t>
        </is>
      </c>
      <c r="F3275" t="inlineStr">
        <is>
          <t>GJ71KAO , Car - Electric , Tesla , Model 3 Long Range AWD</t>
        </is>
      </c>
      <c r="G3275" t="inlineStr">
        <is>
          <t xml:space="preserve">Gary England </t>
        </is>
      </c>
      <c r="H3275" t="inlineStr">
        <is>
          <t>Car - Electric (GC Owned)</t>
        </is>
      </c>
      <c r="I3275" t="inlineStr">
        <is>
          <t>Daily/ Weekly Vehicle Inspection</t>
        </is>
      </c>
      <c r="J3275" t="inlineStr">
        <is>
          <t>N/A</t>
        </is>
      </c>
      <c r="K3275" t="inlineStr">
        <is>
          <t>Gary England</t>
        </is>
      </c>
      <c r="L3275" t="inlineStr">
        <is>
          <t>23/02/2026 14:34</t>
        </is>
      </c>
      <c r="M3275" t="inlineStr">
        <is>
          <t>None</t>
        </is>
      </c>
      <c r="N3275" t="inlineStr">
        <is>
          <t>&lt;p&gt;&lt;/p&gt;</t>
        </is>
      </c>
      <c r="O3275" t="inlineStr"/>
      <c r="P3275" t="inlineStr">
        <is>
          <t>GJ71KAO , Car - Electric , Tesla , Model 3 Long Range AWD</t>
        </is>
      </c>
      <c r="Q3275" t="inlineStr">
        <is>
          <t>NGED</t>
        </is>
      </c>
      <c r="R3275" t="b">
        <v>0</v>
      </c>
    </row>
    <row r="3276">
      <c r="A3276" t="inlineStr">
        <is>
          <t>23 Feb 2026 / Dean Fleming / Utilities / UKPN</t>
        </is>
      </c>
      <c r="B3276" t="inlineStr">
        <is>
          <t>Utilities</t>
        </is>
      </c>
      <c r="C3276" t="inlineStr">
        <is>
          <t>UKPN</t>
        </is>
      </c>
      <c r="D3276" t="inlineStr">
        <is>
          <t>EK73UOH , Car - Electric , Kia , Niro</t>
        </is>
      </c>
      <c r="E3276" t="inlineStr">
        <is>
          <t>EK73UOH , Car - Electric , Kia , Niro</t>
        </is>
      </c>
      <c r="F3276" t="inlineStr">
        <is>
          <t>EK73UOH , Car - Electric , Kia , Niro</t>
        </is>
      </c>
      <c r="G3276" t="inlineStr">
        <is>
          <t xml:space="preserve">Dean Fleming </t>
        </is>
      </c>
      <c r="H3276" t="inlineStr">
        <is>
          <t>Car - Electric (GC Owned)</t>
        </is>
      </c>
      <c r="I3276" t="inlineStr">
        <is>
          <t>Daily/ Weekly Vehicle Inspection</t>
        </is>
      </c>
      <c r="J3276" t="inlineStr">
        <is>
          <t>N/A</t>
        </is>
      </c>
      <c r="K3276" t="inlineStr">
        <is>
          <t>Dean Fleming</t>
        </is>
      </c>
      <c r="L3276" t="inlineStr">
        <is>
          <t>23/02/2026 15:38</t>
        </is>
      </c>
      <c r="M3276" t="inlineStr">
        <is>
          <t xml:space="preserve">Confirm that you have checked this vehicle as per the guidance document and the vehicle is safe and roadworthy: Fail
</t>
        </is>
      </c>
      <c r="N3276" t="inlineStr">
        <is>
          <t>&lt;p&gt;&lt;/p&gt;</t>
        </is>
      </c>
      <c r="O3276" t="inlineStr">
        <is>
          <t>Is this vehicle safe to drive &amp; road legal:Will remedy at home
-</t>
        </is>
      </c>
      <c r="P3276" t="inlineStr">
        <is>
          <t>EK73UOH , Car - Electric , Kia , Niro</t>
        </is>
      </c>
      <c r="Q3276" t="inlineStr">
        <is>
          <t>UKPN</t>
        </is>
      </c>
      <c r="R3276" t="b">
        <v>0</v>
      </c>
    </row>
    <row r="3277">
      <c r="A3277" t="inlineStr">
        <is>
          <t>23 Feb 2026 / Keil Cheung</t>
        </is>
      </c>
      <c r="B3277" t="inlineStr">
        <is>
          <t>Utilities</t>
        </is>
      </c>
      <c r="C3277" t="inlineStr">
        <is>
          <t>NGED</t>
        </is>
      </c>
      <c r="D3277" t="inlineStr">
        <is>
          <t>GJ71KHV , Car - Electric , Tesla , Model 3 Long Range AWD</t>
        </is>
      </c>
      <c r="E3277" t="inlineStr">
        <is>
          <t>GJ71KHV , Car - Electric , Tesla , Model 3 Long Range AWD</t>
        </is>
      </c>
      <c r="F3277" t="inlineStr">
        <is>
          <t>GJ71KHV , Car - Electric , Tesla , Model 3 Long Range AWD</t>
        </is>
      </c>
      <c r="G3277" t="inlineStr">
        <is>
          <t>Keil cheung</t>
        </is>
      </c>
      <c r="H3277" t="inlineStr">
        <is>
          <t>Car - Electric (GC Owned)</t>
        </is>
      </c>
      <c r="I3277" t="inlineStr">
        <is>
          <t>Daily/ Weekly Vehicle Inspection</t>
        </is>
      </c>
      <c r="J3277" t="inlineStr">
        <is>
          <t>N/A</t>
        </is>
      </c>
      <c r="K3277" t="inlineStr">
        <is>
          <t>Keil Cheung</t>
        </is>
      </c>
      <c r="L3277" t="inlineStr">
        <is>
          <t>23/02/2026 16:33</t>
        </is>
      </c>
      <c r="M3277" t="inlineStr">
        <is>
          <t>None</t>
        </is>
      </c>
      <c r="N3277" t="inlineStr">
        <is>
          <t>&lt;p&gt;&lt;/p&gt;</t>
        </is>
      </c>
      <c r="O3277" t="inlineStr"/>
      <c r="P3277" t="inlineStr">
        <is>
          <t>GJ71KHV , Car - Electric , Tesla , Model 3 Long Range AWD</t>
        </is>
      </c>
      <c r="Q3277" t="inlineStr">
        <is>
          <t>NGED</t>
        </is>
      </c>
      <c r="R3277" t="b">
        <v>0</v>
      </c>
    </row>
    <row r="3278">
      <c r="A3278" t="inlineStr">
        <is>
          <t>23 Feb 2026 / Benet Jones</t>
        </is>
      </c>
      <c r="B3278" t="inlineStr">
        <is>
          <t>Utilities</t>
        </is>
      </c>
      <c r="C3278" t="inlineStr">
        <is>
          <t>NGED</t>
        </is>
      </c>
      <c r="D3278" t="inlineStr"/>
      <c r="E3278" t="inlineStr"/>
      <c r="F3278" t="inlineStr"/>
      <c r="G3278" t="inlineStr">
        <is>
          <t>Benet Jones</t>
        </is>
      </c>
      <c r="H3278" t="inlineStr">
        <is>
          <t>Car - Petrol</t>
        </is>
      </c>
      <c r="I3278" t="inlineStr">
        <is>
          <t>Daily/ Weekly Vehicle Inspection</t>
        </is>
      </c>
      <c r="J3278" t="inlineStr">
        <is>
          <t>N/A</t>
        </is>
      </c>
      <c r="K3278" t="inlineStr">
        <is>
          <t>Benet Jones</t>
        </is>
      </c>
      <c r="L3278" t="inlineStr">
        <is>
          <t>23/02/2026 16:37</t>
        </is>
      </c>
      <c r="M3278" t="inlineStr">
        <is>
          <t>None</t>
        </is>
      </c>
      <c r="N3278" t="inlineStr">
        <is>
          <t>&lt;p&gt;&lt;/p&gt;</t>
        </is>
      </c>
      <c r="O3278" t="inlineStr">
        <is>
          <t>Confirm that you have checked this vehicle as per the guidance document and the vehicle is safe and roadworthy:Car checked and fully serviceable
-</t>
        </is>
      </c>
      <c r="P3278" t="inlineStr"/>
      <c r="Q3278" t="inlineStr">
        <is>
          <t>NGED</t>
        </is>
      </c>
      <c r="R3278" t="b">
        <v>0</v>
      </c>
    </row>
    <row r="3279">
      <c r="A3279" t="inlineStr">
        <is>
          <t>24 Feb 2026 / 7186 Eastwoodbury Tree Services Ltd</t>
        </is>
      </c>
      <c r="B3279" t="inlineStr">
        <is>
          <t>Utilities</t>
        </is>
      </c>
      <c r="C3279" t="inlineStr">
        <is>
          <t>UKPN</t>
        </is>
      </c>
      <c r="D3279" t="inlineStr">
        <is>
          <t>WF13 EKT , 4x4 , Land rover  , Defender</t>
        </is>
      </c>
      <c r="E3279" t="inlineStr">
        <is>
          <t>WF13 EKT , 4x4 , Land rover  , Defender</t>
        </is>
      </c>
      <c r="F3279" t="inlineStr">
        <is>
          <t>WF13 EKT , 4x4 , Land rover  , Defender</t>
        </is>
      </c>
      <c r="G3279" t="inlineStr">
        <is>
          <t xml:space="preserve">Dan Gilbert </t>
        </is>
      </c>
      <c r="H3279" t="inlineStr">
        <is>
          <t>4x4</t>
        </is>
      </c>
      <c r="I3279" t="inlineStr">
        <is>
          <t>Daily/ Weekly Vehicle Inspection</t>
        </is>
      </c>
      <c r="J3279" t="inlineStr">
        <is>
          <t>N/A</t>
        </is>
      </c>
      <c r="K3279" t="inlineStr">
        <is>
          <t>7186 Eastwoodbury Tree Services Ltd</t>
        </is>
      </c>
      <c r="L3279" t="inlineStr">
        <is>
          <t>24/02/2026 07:33</t>
        </is>
      </c>
      <c r="M3279" t="inlineStr">
        <is>
          <t>None</t>
        </is>
      </c>
      <c r="N3279" t="inlineStr">
        <is>
          <t>&lt;p&gt;&lt;/p&gt;</t>
        </is>
      </c>
      <c r="O3279" t="inlineStr"/>
      <c r="P3279" t="inlineStr">
        <is>
          <t>WF13 EKT , 4x4 , Land rover  , Defender</t>
        </is>
      </c>
      <c r="Q3279" t="inlineStr">
        <is>
          <t>UKPN</t>
        </is>
      </c>
      <c r="R3279" t="b">
        <v>0</v>
      </c>
    </row>
    <row r="3280">
      <c r="A3280" t="inlineStr">
        <is>
          <t>24 Feb 2026 / 7186 Eastwoodbury Tree Services Ltd / Utilities / UKPN</t>
        </is>
      </c>
      <c r="B3280" t="inlineStr">
        <is>
          <t>Utilities</t>
        </is>
      </c>
      <c r="C3280" t="inlineStr">
        <is>
          <t>UKPN</t>
        </is>
      </c>
      <c r="D3280" t="inlineStr">
        <is>
          <t>FX14 XCV , 4x4 , Land Rover  , Defender</t>
        </is>
      </c>
      <c r="E3280" t="inlineStr">
        <is>
          <t>FX14 XCV , 4x4 , Land Rover  , Defender</t>
        </is>
      </c>
      <c r="F3280" t="inlineStr">
        <is>
          <t>FX14 XCV , 4x4 , Land Rover  , Defender</t>
        </is>
      </c>
      <c r="G3280" t="inlineStr">
        <is>
          <t xml:space="preserve">Tom price </t>
        </is>
      </c>
      <c r="H3280" t="inlineStr">
        <is>
          <t>4x4</t>
        </is>
      </c>
      <c r="I3280" t="inlineStr">
        <is>
          <t>Daily/ Weekly Vehicle Inspection</t>
        </is>
      </c>
      <c r="J3280" t="inlineStr">
        <is>
          <t>N/A</t>
        </is>
      </c>
      <c r="K3280" t="inlineStr">
        <is>
          <t>7186 Eastwoodbury Tree Services Ltd</t>
        </is>
      </c>
      <c r="L3280" t="inlineStr">
        <is>
          <t>24/02/2026 07:34</t>
        </is>
      </c>
      <c r="M3280" t="inlineStr">
        <is>
          <t>None</t>
        </is>
      </c>
      <c r="N3280" t="inlineStr">
        <is>
          <t>&lt;p&gt;&lt;/p&gt;</t>
        </is>
      </c>
      <c r="O3280" t="inlineStr"/>
      <c r="P3280" t="inlineStr">
        <is>
          <t>FX14 XCV , 4x4 , Land Rover  , Defender</t>
        </is>
      </c>
      <c r="Q3280" t="inlineStr">
        <is>
          <t>UKPN</t>
        </is>
      </c>
      <c r="R3280" t="b">
        <v>0</v>
      </c>
    </row>
    <row r="3281">
      <c r="A3281" t="inlineStr">
        <is>
          <t>24 Feb 2026 / 7806 Optimum Tree Services Ltd / Utilities / UKPN</t>
        </is>
      </c>
      <c r="B3281" t="inlineStr">
        <is>
          <t>Utilities</t>
        </is>
      </c>
      <c r="C3281" t="inlineStr">
        <is>
          <t>UKPN</t>
        </is>
      </c>
      <c r="D3281" t="inlineStr">
        <is>
          <t>Wd14evn , 4x4 , Landrover  , Defender</t>
        </is>
      </c>
      <c r="E3281" t="inlineStr">
        <is>
          <t>Wd14evn , 4x4 , Landrover  , Defender</t>
        </is>
      </c>
      <c r="F3281" t="inlineStr">
        <is>
          <t>Wd14evn , 4x4 , Landrover  , Defender</t>
        </is>
      </c>
      <c r="G3281" t="inlineStr">
        <is>
          <t xml:space="preserve">Abraham Davies </t>
        </is>
      </c>
      <c r="H3281" t="inlineStr">
        <is>
          <t>4x4</t>
        </is>
      </c>
      <c r="I3281" t="inlineStr">
        <is>
          <t>Daily/ Weekly Vehicle Inspection</t>
        </is>
      </c>
      <c r="J3281" t="inlineStr">
        <is>
          <t>N/A</t>
        </is>
      </c>
      <c r="K3281" t="inlineStr">
        <is>
          <t>7806 Optimum Tree Services Ltd</t>
        </is>
      </c>
      <c r="L3281" t="inlineStr">
        <is>
          <t>24/02/2026 07:34</t>
        </is>
      </c>
      <c r="M3281" t="inlineStr">
        <is>
          <t>None</t>
        </is>
      </c>
      <c r="N3281" t="inlineStr">
        <is>
          <t>&lt;p&gt;&lt;/p&gt;</t>
        </is>
      </c>
      <c r="O3281" t="inlineStr"/>
      <c r="P3281" t="inlineStr">
        <is>
          <t>Wd14evn , 4x4 , Landrover  , Defender</t>
        </is>
      </c>
      <c r="Q3281" t="inlineStr">
        <is>
          <t>UKPN</t>
        </is>
      </c>
      <c r="R3281" t="b">
        <v>0</v>
      </c>
    </row>
    <row r="3282">
      <c r="A3282" t="inlineStr">
        <is>
          <t>24 Feb 2026 / 7806 Optimum Tree Services Ltd / Utilities / UKPN</t>
        </is>
      </c>
      <c r="B3282" t="inlineStr">
        <is>
          <t>Utilities</t>
        </is>
      </c>
      <c r="C3282" t="inlineStr">
        <is>
          <t>UKPN</t>
        </is>
      </c>
      <c r="D3282" t="inlineStr">
        <is>
          <t>SA9TAPLAF27414263 , Trailer , Tow Mate , Plant Trailer</t>
        </is>
      </c>
      <c r="E3282" t="inlineStr">
        <is>
          <t>SA9TAPLAF27414263 , Trailer , Tow Mate , Plant Trailer</t>
        </is>
      </c>
      <c r="F3282" t="inlineStr">
        <is>
          <t>SA9TAPLAF27414263 , Trailer , Tow Mate , Plant Trailer</t>
        </is>
      </c>
      <c r="G3282" t="inlineStr">
        <is>
          <t xml:space="preserve">Abraham Davies </t>
        </is>
      </c>
      <c r="H3282" t="inlineStr">
        <is>
          <t>Plant Trailer</t>
        </is>
      </c>
      <c r="I3282" t="inlineStr">
        <is>
          <t>Daily/ Weekly Vehicle Inspection</t>
        </is>
      </c>
      <c r="J3282" t="inlineStr">
        <is>
          <t>N/A</t>
        </is>
      </c>
      <c r="K3282" t="inlineStr">
        <is>
          <t>7806 Optimum Tree Services Ltd</t>
        </is>
      </c>
      <c r="L3282" t="inlineStr">
        <is>
          <t>24/02/2026 07:36</t>
        </is>
      </c>
      <c r="M3282" t="inlineStr">
        <is>
          <t>None</t>
        </is>
      </c>
      <c r="N3282" t="inlineStr">
        <is>
          <t>&lt;p&gt;&lt;/p&gt;</t>
        </is>
      </c>
      <c r="O3282" t="inlineStr"/>
      <c r="P3282" t="inlineStr">
        <is>
          <t>SA9TAPLAF27414263 , Trailer , Tow Mate , Plant Trailer</t>
        </is>
      </c>
      <c r="Q3282" t="inlineStr">
        <is>
          <t>UKPN</t>
        </is>
      </c>
      <c r="R3282" t="b">
        <v>0</v>
      </c>
    </row>
    <row r="3283">
      <c r="A3283" t="inlineStr">
        <is>
          <t>24 Feb 2026 / Thomas Playford</t>
        </is>
      </c>
      <c r="B3283" t="inlineStr">
        <is>
          <t>Utilities</t>
        </is>
      </c>
      <c r="C3283" t="inlineStr">
        <is>
          <t>UKPN</t>
        </is>
      </c>
      <c r="D3283" t="inlineStr">
        <is>
          <t>LK15KRZ , 4x4 , Landrover , Defender</t>
        </is>
      </c>
      <c r="E3283" t="inlineStr">
        <is>
          <t>LK15KRZ , 4x4 , Landrover , Defender</t>
        </is>
      </c>
      <c r="F3283" t="inlineStr">
        <is>
          <t>LK15KRZ , 4x4 , Landrover , Defender</t>
        </is>
      </c>
      <c r="G3283" t="inlineStr">
        <is>
          <t>Jacob Oram</t>
        </is>
      </c>
      <c r="H3283" t="inlineStr">
        <is>
          <t>4x4</t>
        </is>
      </c>
      <c r="I3283" t="inlineStr">
        <is>
          <t>Daily/ Weekly Vehicle Inspection</t>
        </is>
      </c>
      <c r="J3283" t="inlineStr">
        <is>
          <t>N/A</t>
        </is>
      </c>
      <c r="K3283" t="inlineStr">
        <is>
          <t>7995 Green Net Eco Ltd 2</t>
        </is>
      </c>
      <c r="L3283" t="inlineStr">
        <is>
          <t>24/02/2026 07:37</t>
        </is>
      </c>
      <c r="M3283" t="inlineStr">
        <is>
          <t>None</t>
        </is>
      </c>
      <c r="N3283" t="inlineStr">
        <is>
          <t>&lt;p&gt;&lt;/p&gt;</t>
        </is>
      </c>
      <c r="O3283" t="inlineStr"/>
      <c r="P3283" t="inlineStr">
        <is>
          <t>LK15KRZ , 4x4 , Landrover , Defender</t>
        </is>
      </c>
      <c r="Q3283" t="inlineStr">
        <is>
          <t>UKPN</t>
        </is>
      </c>
      <c r="R3283" t="b">
        <v>0</v>
      </c>
    </row>
    <row r="3284">
      <c r="A3284" t="inlineStr">
        <is>
          <t>24 Feb 2026 / 7951 Austin Tree Care LTD</t>
        </is>
      </c>
      <c r="B3284" t="inlineStr">
        <is>
          <t>Utilities</t>
        </is>
      </c>
      <c r="C3284" t="inlineStr">
        <is>
          <t>UKPN</t>
        </is>
      </c>
      <c r="D3284" t="inlineStr">
        <is>
          <t>SA9ST6P0001283612 , Towed Chipper , Forst , ST6p</t>
        </is>
      </c>
      <c r="E3284" t="inlineStr">
        <is>
          <t>SA9ST6P0001283612 , Towed Chipper , Forst , ST6p</t>
        </is>
      </c>
      <c r="F3284" t="inlineStr">
        <is>
          <t>SA9ST6P0001283612 , Towed Chipper , Forst , ST6p</t>
        </is>
      </c>
      <c r="G3284" t="inlineStr">
        <is>
          <t xml:space="preserve">Jack Austin </t>
        </is>
      </c>
      <c r="H3284" t="inlineStr">
        <is>
          <t>Towed Chipper</t>
        </is>
      </c>
      <c r="I3284" t="inlineStr">
        <is>
          <t>Daily/ Weekly Vehicle Inspection</t>
        </is>
      </c>
      <c r="J3284" t="inlineStr">
        <is>
          <t>N/A</t>
        </is>
      </c>
      <c r="K3284" t="inlineStr">
        <is>
          <t>7951 Austin Tree Care LTD</t>
        </is>
      </c>
      <c r="L3284" t="inlineStr">
        <is>
          <t>24/02/2026 07:38</t>
        </is>
      </c>
      <c r="M3284" t="inlineStr">
        <is>
          <t>None</t>
        </is>
      </c>
      <c r="N3284" t="inlineStr">
        <is>
          <t>&lt;p&gt;&lt;/p&gt;</t>
        </is>
      </c>
      <c r="O3284" t="inlineStr"/>
      <c r="P3284" t="inlineStr">
        <is>
          <t>SA9ST6P0001283612 , Towed Chipper , Forst , ST6p</t>
        </is>
      </c>
      <c r="Q3284" t="inlineStr">
        <is>
          <t>UKPN</t>
        </is>
      </c>
      <c r="R3284" t="b">
        <v>0</v>
      </c>
    </row>
    <row r="3285">
      <c r="A3285" t="inlineStr">
        <is>
          <t>24 Feb 2026 / Thomas Playford</t>
        </is>
      </c>
      <c r="B3285" t="inlineStr">
        <is>
          <t>Utilities</t>
        </is>
      </c>
      <c r="C3285" t="inlineStr">
        <is>
          <t>UKPN</t>
        </is>
      </c>
      <c r="D3285" t="inlineStr">
        <is>
          <t>SA9ST800000283944 , Towed Chipper , Forst , ST8D - Towed</t>
        </is>
      </c>
      <c r="E3285" t="inlineStr">
        <is>
          <t>SA9ST800000283944 , Towed Chipper , Forst , ST8D - Towed</t>
        </is>
      </c>
      <c r="F3285" t="inlineStr">
        <is>
          <t>SA9ST800000283944 , Towed Chipper , Forst , ST8D - Towed</t>
        </is>
      </c>
      <c r="G3285" t="inlineStr">
        <is>
          <t>Thomas Playford</t>
        </is>
      </c>
      <c r="H3285" t="inlineStr">
        <is>
          <t>Towed Chipper</t>
        </is>
      </c>
      <c r="I3285" t="inlineStr">
        <is>
          <t>Daily/ Weekly Vehicle Inspection</t>
        </is>
      </c>
      <c r="J3285" t="inlineStr">
        <is>
          <t>N/A</t>
        </is>
      </c>
      <c r="K3285" t="inlineStr">
        <is>
          <t>7995 Green Net Eco Ltd 2</t>
        </is>
      </c>
      <c r="L3285" t="inlineStr">
        <is>
          <t>24/02/2026 07:38</t>
        </is>
      </c>
      <c r="M3285" t="inlineStr">
        <is>
          <t>None</t>
        </is>
      </c>
      <c r="N3285" t="inlineStr">
        <is>
          <t>&lt;p&gt;&lt;/p&gt;</t>
        </is>
      </c>
      <c r="O3285" t="inlineStr"/>
      <c r="P3285" t="inlineStr">
        <is>
          <t>SA9ST800000283944 , Towed Chipper , Forst , ST8D - Towed</t>
        </is>
      </c>
      <c r="Q3285" t="inlineStr">
        <is>
          <t>UKPN</t>
        </is>
      </c>
      <c r="R3285" t="b">
        <v>0</v>
      </c>
    </row>
    <row r="3286">
      <c r="A3286" t="inlineStr">
        <is>
          <t>24 Feb 2026 / Thomas Playford</t>
        </is>
      </c>
      <c r="B3286" t="inlineStr">
        <is>
          <t>Utilities</t>
        </is>
      </c>
      <c r="C3286" t="inlineStr">
        <is>
          <t>UKPN</t>
        </is>
      </c>
      <c r="D3286" t="inlineStr">
        <is>
          <t>X21TNP , 4x4 , Toyota , Hilux</t>
        </is>
      </c>
      <c r="E3286" t="inlineStr">
        <is>
          <t>X21TNP , 4x4 , Toyota , Hilux</t>
        </is>
      </c>
      <c r="F3286" t="inlineStr">
        <is>
          <t>X21TNP , 4x4 , Toyota , Hilux</t>
        </is>
      </c>
      <c r="G3286" t="inlineStr">
        <is>
          <t>Thomas Playford</t>
        </is>
      </c>
      <c r="H3286" t="inlineStr">
        <is>
          <t>4x4</t>
        </is>
      </c>
      <c r="I3286" t="inlineStr">
        <is>
          <t>Daily/ Weekly Vehicle Inspection</t>
        </is>
      </c>
      <c r="J3286" t="inlineStr">
        <is>
          <t>N/A</t>
        </is>
      </c>
      <c r="K3286" t="inlineStr">
        <is>
          <t>7995 Green Net Eco Ltd 2</t>
        </is>
      </c>
      <c r="L3286" t="inlineStr">
        <is>
          <t>24/02/2026 07:39</t>
        </is>
      </c>
      <c r="M3286" t="inlineStr">
        <is>
          <t>None</t>
        </is>
      </c>
      <c r="N3286" t="inlineStr">
        <is>
          <t>&lt;p&gt;&lt;/p&gt;</t>
        </is>
      </c>
      <c r="O3286" t="inlineStr"/>
      <c r="P3286" t="inlineStr">
        <is>
          <t>X21TNP , 4x4 , Toyota , Hilux</t>
        </is>
      </c>
      <c r="Q3286" t="inlineStr">
        <is>
          <t>UKPN</t>
        </is>
      </c>
      <c r="R3286" t="b">
        <v>0</v>
      </c>
    </row>
    <row r="3287">
      <c r="A3287" t="inlineStr">
        <is>
          <t>24 Feb 2026 / 7951 Austin Tree Care LTD</t>
        </is>
      </c>
      <c r="B3287" t="inlineStr">
        <is>
          <t>Utilities</t>
        </is>
      </c>
      <c r="C3287" t="inlineStr">
        <is>
          <t>UKPN</t>
        </is>
      </c>
      <c r="D3287" t="inlineStr">
        <is>
          <t>Kn58xuy , Tipper , VW  , Crafter</t>
        </is>
      </c>
      <c r="E3287" t="inlineStr">
        <is>
          <t>Kn58xuy , Tipper , VW  , Crafter</t>
        </is>
      </c>
      <c r="F3287" t="inlineStr">
        <is>
          <t>Kn58xuy , Tipper , VW  , Crafter</t>
        </is>
      </c>
      <c r="G3287" t="inlineStr">
        <is>
          <t xml:space="preserve">Jack Austin </t>
        </is>
      </c>
      <c r="H3287" t="inlineStr">
        <is>
          <t>Tipper</t>
        </is>
      </c>
      <c r="I3287" t="inlineStr">
        <is>
          <t>Daily/ Weekly Vehicle Inspection</t>
        </is>
      </c>
      <c r="J3287" t="inlineStr">
        <is>
          <t>N/A</t>
        </is>
      </c>
      <c r="K3287" t="inlineStr">
        <is>
          <t>7951 Austin Tree Care LTD</t>
        </is>
      </c>
      <c r="L3287" t="inlineStr">
        <is>
          <t>24/02/2026 07:39</t>
        </is>
      </c>
      <c r="M3287" t="inlineStr">
        <is>
          <t>None</t>
        </is>
      </c>
      <c r="N3287" t="inlineStr">
        <is>
          <t>&lt;p&gt;&lt;/p&gt;</t>
        </is>
      </c>
      <c r="O3287" t="inlineStr"/>
      <c r="P3287" t="inlineStr">
        <is>
          <t>Kn58xuy , Tipper , VW  , Crafter</t>
        </is>
      </c>
      <c r="Q3287" t="inlineStr">
        <is>
          <t>UKPN</t>
        </is>
      </c>
      <c r="R3287" t="b">
        <v>0</v>
      </c>
    </row>
    <row r="3288">
      <c r="A3288" t="inlineStr">
        <is>
          <t>24 Feb 2026 / 7800 MAC Tree Surgery and Fencing Ltd / Utilities / UKPN</t>
        </is>
      </c>
      <c r="B3288" t="inlineStr">
        <is>
          <t>Utilities</t>
        </is>
      </c>
      <c r="C3288" t="inlineStr">
        <is>
          <t>UKPN</t>
        </is>
      </c>
      <c r="D3288" t="inlineStr">
        <is>
          <t>AY68DAA , 4x4 , Izuzu , Dmax</t>
        </is>
      </c>
      <c r="E3288" t="inlineStr">
        <is>
          <t>AY68DAA , 4x4 , Izuzu , Dmax</t>
        </is>
      </c>
      <c r="F3288" t="inlineStr">
        <is>
          <t>AY68DAA , 4x4 , Izuzu , Dmax</t>
        </is>
      </c>
      <c r="G3288" t="inlineStr">
        <is>
          <t xml:space="preserve">Patrick O'Shea </t>
        </is>
      </c>
      <c r="H3288" t="inlineStr">
        <is>
          <t>4x4</t>
        </is>
      </c>
      <c r="I3288" t="inlineStr">
        <is>
          <t>Daily/ Weekly Vehicle Inspection</t>
        </is>
      </c>
      <c r="J3288" t="inlineStr">
        <is>
          <t>N/A</t>
        </is>
      </c>
      <c r="K3288" t="inlineStr">
        <is>
          <t>7800 MAC Tree Surgery and Fencing Ltd</t>
        </is>
      </c>
      <c r="L3288" t="inlineStr">
        <is>
          <t>24/02/2026 07:41</t>
        </is>
      </c>
      <c r="M3288" t="inlineStr">
        <is>
          <t>None</t>
        </is>
      </c>
      <c r="N3288" t="inlineStr">
        <is>
          <t>&lt;p&gt;&lt;/p&gt;</t>
        </is>
      </c>
      <c r="O3288" t="inlineStr"/>
      <c r="P3288" t="inlineStr">
        <is>
          <t>AY68DAA , 4x4 , Izuzu , Dmax</t>
        </is>
      </c>
      <c r="Q3288" t="inlineStr">
        <is>
          <t>UKPN</t>
        </is>
      </c>
      <c r="R3288" t="b">
        <v>0</v>
      </c>
    </row>
    <row r="3289">
      <c r="A3289" t="inlineStr">
        <is>
          <t>24 Feb 2026 / 7800 MAC Tree Surgery and Fencing Ltd / Utilities / UKPN</t>
        </is>
      </c>
      <c r="B3289" t="inlineStr">
        <is>
          <t>Utilities</t>
        </is>
      </c>
      <c r="C3289" t="inlineStr">
        <is>
          <t>UKPN</t>
        </is>
      </c>
      <c r="D3289" t="inlineStr">
        <is>
          <t>Plant Trailer - Towmate - 2.8t - 0</t>
        </is>
      </c>
      <c r="E3289" t="inlineStr">
        <is>
          <t>Plant Trailer - Towmate - 2.8t - 0</t>
        </is>
      </c>
      <c r="F3289" t="inlineStr">
        <is>
          <t>Plant Trailer - Towmate - 2.8t - 0</t>
        </is>
      </c>
      <c r="G3289" t="inlineStr">
        <is>
          <t>Lewis mac</t>
        </is>
      </c>
      <c r="H3289" t="inlineStr">
        <is>
          <t>Plant Trailer</t>
        </is>
      </c>
      <c r="I3289" t="inlineStr">
        <is>
          <t>Daily/ Weekly Vehicle Inspection</t>
        </is>
      </c>
      <c r="J3289" t="inlineStr">
        <is>
          <t>N/A</t>
        </is>
      </c>
      <c r="K3289" t="inlineStr">
        <is>
          <t>7800 MAC Tree Surgery and Fencing Ltd</t>
        </is>
      </c>
      <c r="L3289" t="inlineStr">
        <is>
          <t>24/02/2026 07:41</t>
        </is>
      </c>
      <c r="M3289" t="inlineStr">
        <is>
          <t>None</t>
        </is>
      </c>
      <c r="N3289" t="inlineStr">
        <is>
          <t>&lt;p&gt;&lt;/p&gt;</t>
        </is>
      </c>
      <c r="O3289" t="inlineStr"/>
      <c r="P3289" t="inlineStr">
        <is>
          <t>Plant Trailer - Towmate - 2.8t - 0</t>
        </is>
      </c>
      <c r="Q3289" t="inlineStr">
        <is>
          <t>UKPN</t>
        </is>
      </c>
      <c r="R3289" t="b">
        <v>0</v>
      </c>
    </row>
    <row r="3290">
      <c r="A3290" t="inlineStr">
        <is>
          <t>24 Feb 2026 / Anthony Gale</t>
        </is>
      </c>
      <c r="B3290" t="inlineStr">
        <is>
          <t>Utilities</t>
        </is>
      </c>
      <c r="C3290" t="inlineStr">
        <is>
          <t>UKPN</t>
        </is>
      </c>
      <c r="D3290" t="inlineStr">
        <is>
          <t>KX20 BCE , Tipper , Isuzu , D-Max</t>
        </is>
      </c>
      <c r="E3290" t="inlineStr">
        <is>
          <t>KX20 BCE , Tipper , Isuzu , D-Max</t>
        </is>
      </c>
      <c r="F3290" t="inlineStr">
        <is>
          <t>KX20 BCE , Tipper , Isuzu , D-Max</t>
        </is>
      </c>
      <c r="G3290" t="inlineStr">
        <is>
          <t>Anthony Gale</t>
        </is>
      </c>
      <c r="H3290" t="inlineStr">
        <is>
          <t>Pickup Truck</t>
        </is>
      </c>
      <c r="I3290" t="inlineStr">
        <is>
          <t>Daily/ Weekly Vehicle Inspection</t>
        </is>
      </c>
      <c r="J3290" t="inlineStr">
        <is>
          <t>N/A</t>
        </is>
      </c>
      <c r="K3290" t="inlineStr">
        <is>
          <t>7996 M G Tree Surgery Ltd 1</t>
        </is>
      </c>
      <c r="L3290" t="inlineStr">
        <is>
          <t>24/02/2026 07:43</t>
        </is>
      </c>
      <c r="M3290" t="inlineStr">
        <is>
          <t>None</t>
        </is>
      </c>
      <c r="N3290" t="inlineStr">
        <is>
          <t>&lt;p&gt;&lt;/p&gt;</t>
        </is>
      </c>
      <c r="O3290" t="inlineStr">
        <is>
          <t>Confirm that you have checked this vehicle as per the guidance document and the vehicle is safe and roadworthy:Light board deteriorating.
Safe for now.
Will need replacing soon.
-</t>
        </is>
      </c>
      <c r="P3290" t="inlineStr">
        <is>
          <t>KX20 BCE , Tipper , Isuzu , D-Max</t>
        </is>
      </c>
      <c r="Q3290" t="inlineStr">
        <is>
          <t>UKPN</t>
        </is>
      </c>
      <c r="R3290" t="b">
        <v>0</v>
      </c>
    </row>
    <row r="3291">
      <c r="A3291" t="inlineStr">
        <is>
          <t>24 Feb 2026 / 7889 Tree Tech Suffolk Ltd</t>
        </is>
      </c>
      <c r="B3291" t="inlineStr">
        <is>
          <t>Utilities &amp; Inland Waterways</t>
        </is>
      </c>
      <c r="C3291" t="inlineStr">
        <is>
          <t>UKPN</t>
        </is>
      </c>
      <c r="D3291" t="inlineStr">
        <is>
          <t>Tipper - Mercedes - Sprinter - NS06TTS</t>
        </is>
      </c>
      <c r="E3291" t="inlineStr">
        <is>
          <t>Tipper - Mercedes - Sprinter - NS06TTS</t>
        </is>
      </c>
      <c r="F3291" t="inlineStr">
        <is>
          <t>Tipper - Mercedes - Sprinter - NS06TTS</t>
        </is>
      </c>
      <c r="G3291" t="inlineStr">
        <is>
          <t>Danny Appleby</t>
        </is>
      </c>
      <c r="H3291" t="inlineStr">
        <is>
          <t>Tipper</t>
        </is>
      </c>
      <c r="I3291" t="inlineStr">
        <is>
          <t>Daily/ Weekly Vehicle Inspection</t>
        </is>
      </c>
      <c r="J3291" t="inlineStr">
        <is>
          <t>N/A</t>
        </is>
      </c>
      <c r="K3291" t="inlineStr">
        <is>
          <t>7889 Tree Tech Suffolk Ltd</t>
        </is>
      </c>
      <c r="L3291" t="inlineStr">
        <is>
          <t>24/02/2026 07:44</t>
        </is>
      </c>
      <c r="M3291" t="inlineStr">
        <is>
          <t>None</t>
        </is>
      </c>
      <c r="N3291" t="inlineStr">
        <is>
          <t>&lt;p&gt;&lt;/p&gt;</t>
        </is>
      </c>
      <c r="O3291" t="inlineStr"/>
      <c r="P3291" t="inlineStr">
        <is>
          <t>Tipper - Mercedes - Sprinter - NS06TTS</t>
        </is>
      </c>
      <c r="Q3291" t="inlineStr">
        <is>
          <t>UKPN</t>
        </is>
      </c>
      <c r="R3291" t="b">
        <v>0</v>
      </c>
    </row>
    <row r="3292">
      <c r="A3292" t="inlineStr">
        <is>
          <t>24 Feb 2026 / 6617 Ashdown Tree Limited 1 / Utilities / UKPN</t>
        </is>
      </c>
      <c r="B3292" t="inlineStr">
        <is>
          <t>Utilities</t>
        </is>
      </c>
      <c r="C3292" t="inlineStr">
        <is>
          <t>UKPN</t>
        </is>
      </c>
      <c r="D3292" t="inlineStr">
        <is>
          <t>AV69 LVR , Tipper , Transit , Ford</t>
        </is>
      </c>
      <c r="E3292" t="inlineStr">
        <is>
          <t>AV69 LVR , Tipper , Transit , Ford</t>
        </is>
      </c>
      <c r="F3292" t="inlineStr">
        <is>
          <t>AV69 LVR , Tipper , Transit , Ford</t>
        </is>
      </c>
      <c r="G3292" t="inlineStr">
        <is>
          <t>Dan</t>
        </is>
      </c>
      <c r="H3292" t="inlineStr">
        <is>
          <t>Tipper</t>
        </is>
      </c>
      <c r="I3292" t="inlineStr">
        <is>
          <t>Daily/ Weekly Vehicle Inspection</t>
        </is>
      </c>
      <c r="J3292" t="inlineStr">
        <is>
          <t>N/A</t>
        </is>
      </c>
      <c r="K3292" t="inlineStr">
        <is>
          <t>6617 Ashdown Tree Limited - Team 2</t>
        </is>
      </c>
      <c r="L3292" t="inlineStr">
        <is>
          <t>24/02/2026 07:44</t>
        </is>
      </c>
      <c r="M3292" t="inlineStr">
        <is>
          <t>None</t>
        </is>
      </c>
      <c r="N3292" t="inlineStr">
        <is>
          <t>&lt;p&gt;&lt;/p&gt;</t>
        </is>
      </c>
      <c r="O3292" t="inlineStr"/>
      <c r="P3292" t="inlineStr">
        <is>
          <t>AV69 LVR , Tipper , Transit , Ford</t>
        </is>
      </c>
      <c r="Q3292" t="inlineStr">
        <is>
          <t>UKPN</t>
        </is>
      </c>
      <c r="R3292" t="b">
        <v>0</v>
      </c>
    </row>
    <row r="3293">
      <c r="A3293" t="inlineStr">
        <is>
          <t>24 Feb 2026 / 8148 Hope Ground and Tree Care</t>
        </is>
      </c>
      <c r="B3293" t="inlineStr">
        <is>
          <t>Utilities</t>
        </is>
      </c>
      <c r="C3293" t="inlineStr">
        <is>
          <t>UKPN</t>
        </is>
      </c>
      <c r="D3293" t="inlineStr">
        <is>
          <t>S6 NWX , MEWP , Isuzu , D-Max</t>
        </is>
      </c>
      <c r="E3293" t="inlineStr">
        <is>
          <t>S6 NWX , MEWP , Isuzu , D-Max</t>
        </is>
      </c>
      <c r="F3293" t="inlineStr">
        <is>
          <t>S6 NWX , MEWP , Isuzu , D-Max</t>
        </is>
      </c>
      <c r="G3293" t="inlineStr">
        <is>
          <t>A Hope</t>
        </is>
      </c>
      <c r="H3293" t="inlineStr">
        <is>
          <t>4x4</t>
        </is>
      </c>
      <c r="I3293" t="inlineStr">
        <is>
          <t>Daily/ Weekly Vehicle Inspection</t>
        </is>
      </c>
      <c r="J3293" t="inlineStr">
        <is>
          <t>N/A</t>
        </is>
      </c>
      <c r="K3293" t="inlineStr">
        <is>
          <t>8148 Hope Ground and Tree Care</t>
        </is>
      </c>
      <c r="L3293" t="inlineStr">
        <is>
          <t>24/02/2026 08:34</t>
        </is>
      </c>
      <c r="M3293" t="inlineStr">
        <is>
          <t>None</t>
        </is>
      </c>
      <c r="N3293" t="inlineStr">
        <is>
          <t>&lt;p&gt;&lt;/p&gt;</t>
        </is>
      </c>
      <c r="O3293" t="inlineStr"/>
      <c r="P3293" t="inlineStr">
        <is>
          <t>S6 NWX , MEWP , Isuzu , D-Max</t>
        </is>
      </c>
      <c r="Q3293" t="inlineStr">
        <is>
          <t>UKPN</t>
        </is>
      </c>
      <c r="R3293" t="b">
        <v>0</v>
      </c>
    </row>
    <row r="3294">
      <c r="A3294" t="inlineStr">
        <is>
          <t>24 Feb 2026 / 7186 Eastwoodbury Tree Services Ltd</t>
        </is>
      </c>
      <c r="B3294" t="inlineStr">
        <is>
          <t>Utilities</t>
        </is>
      </c>
      <c r="C3294" t="inlineStr">
        <is>
          <t>UKPN</t>
        </is>
      </c>
      <c r="D3294" t="inlineStr">
        <is>
          <t>DE53NKS , 4x4 , Ford , Ranger</t>
        </is>
      </c>
      <c r="E3294" t="inlineStr">
        <is>
          <t>DE53NKS , 4x4 , Ford , Ranger</t>
        </is>
      </c>
      <c r="F3294" t="inlineStr">
        <is>
          <t>DE53NKS , 4x4 , Ford , Ranger</t>
        </is>
      </c>
      <c r="G3294" t="inlineStr">
        <is>
          <t xml:space="preserve">Jay Denkmayer </t>
        </is>
      </c>
      <c r="H3294" t="inlineStr">
        <is>
          <t>4x4</t>
        </is>
      </c>
      <c r="I3294" t="inlineStr">
        <is>
          <t>Daily/ Weekly Vehicle Inspection</t>
        </is>
      </c>
      <c r="J3294" t="inlineStr">
        <is>
          <t>N/A</t>
        </is>
      </c>
      <c r="K3294" t="inlineStr">
        <is>
          <t>7186 Eastwoodbury Tree Services Ltd</t>
        </is>
      </c>
      <c r="L3294" t="inlineStr">
        <is>
          <t>24/02/2026 08:35</t>
        </is>
      </c>
      <c r="M3294" t="inlineStr">
        <is>
          <t>None</t>
        </is>
      </c>
      <c r="N3294" t="inlineStr">
        <is>
          <t>&lt;p&gt;&lt;/p&gt;</t>
        </is>
      </c>
      <c r="O3294" t="inlineStr"/>
      <c r="P3294" t="inlineStr">
        <is>
          <t>DE53NKS , 4x4 , Ford , Ranger</t>
        </is>
      </c>
      <c r="Q3294" t="inlineStr">
        <is>
          <t>UKPN</t>
        </is>
      </c>
      <c r="R3294" t="b">
        <v>0</v>
      </c>
    </row>
    <row r="3295">
      <c r="A3295" t="inlineStr">
        <is>
          <t>24 Feb 2026 / 8040 S6 Tree specialists Ltd / Utilities / UKPN</t>
        </is>
      </c>
      <c r="B3295" t="inlineStr">
        <is>
          <t>Utilities</t>
        </is>
      </c>
      <c r="C3295" t="inlineStr">
        <is>
          <t>UKPN</t>
        </is>
      </c>
      <c r="D3295" t="inlineStr">
        <is>
          <t>GY08 RVC , 4x4 MEWP , Land Rover , Defender</t>
        </is>
      </c>
      <c r="E3295" t="inlineStr">
        <is>
          <t>GY08 RVC , 4x4 MEWP , Land Rover , Defender</t>
        </is>
      </c>
      <c r="F3295" t="inlineStr">
        <is>
          <t>GY08 RVC , 4x4 MEWP , Land Rover , Defender</t>
        </is>
      </c>
      <c r="G3295" t="inlineStr">
        <is>
          <t>Luke lane</t>
        </is>
      </c>
      <c r="H3295" t="inlineStr">
        <is>
          <t>4x4</t>
        </is>
      </c>
      <c r="I3295" t="inlineStr">
        <is>
          <t>Daily/ Weekly Vehicle Inspection</t>
        </is>
      </c>
      <c r="J3295" t="inlineStr">
        <is>
          <t>N/A</t>
        </is>
      </c>
      <c r="K3295" t="inlineStr">
        <is>
          <t>8040 S6 Tree specialists Ltd</t>
        </is>
      </c>
      <c r="L3295" t="inlineStr">
        <is>
          <t>24/02/2026 09:34</t>
        </is>
      </c>
      <c r="M3295" t="inlineStr">
        <is>
          <t>None</t>
        </is>
      </c>
      <c r="N3295" t="inlineStr">
        <is>
          <t>&lt;p&gt;&lt;/p&gt;</t>
        </is>
      </c>
      <c r="O3295" t="inlineStr"/>
      <c r="P3295" t="inlineStr">
        <is>
          <t>GY08 RVC , 4x4 MEWP , Land Rover , Defender</t>
        </is>
      </c>
      <c r="Q3295" t="inlineStr">
        <is>
          <t>UKPN</t>
        </is>
      </c>
      <c r="R3295" t="b">
        <v>0</v>
      </c>
    </row>
    <row r="3296">
      <c r="A3296" t="inlineStr">
        <is>
          <t>24 Feb 2026 / Anthony Gale</t>
        </is>
      </c>
      <c r="B3296" t="inlineStr">
        <is>
          <t>Utilities</t>
        </is>
      </c>
      <c r="C3296" t="inlineStr">
        <is>
          <t>UKPN</t>
        </is>
      </c>
      <c r="D3296" t="inlineStr">
        <is>
          <t>GU13 WNL , MEWP , Land Rover , Defender 130</t>
        </is>
      </c>
      <c r="E3296" t="inlineStr">
        <is>
          <t>GU13 WNL , MEWP , Land Rover , Defender 130</t>
        </is>
      </c>
      <c r="F3296" t="inlineStr">
        <is>
          <t>GU13 WNL , MEWP , Land Rover , Defender 130</t>
        </is>
      </c>
      <c r="G3296" t="inlineStr">
        <is>
          <t xml:space="preserve">Tim Franklin </t>
        </is>
      </c>
      <c r="H3296" t="inlineStr">
        <is>
          <t>4x4</t>
        </is>
      </c>
      <c r="I3296" t="inlineStr">
        <is>
          <t>Daily/ Weekly Vehicle Inspection</t>
        </is>
      </c>
      <c r="J3296" t="inlineStr">
        <is>
          <t>N/A</t>
        </is>
      </c>
      <c r="K3296" t="inlineStr">
        <is>
          <t>7996 M G Tree Surgery Ltd 1</t>
        </is>
      </c>
      <c r="L3296" t="inlineStr">
        <is>
          <t>24/02/2026 09:37</t>
        </is>
      </c>
      <c r="M3296" t="inlineStr">
        <is>
          <t>None</t>
        </is>
      </c>
      <c r="N3296" t="inlineStr">
        <is>
          <t>&lt;p&gt;&lt;/p&gt;</t>
        </is>
      </c>
      <c r="O3296" t="inlineStr"/>
      <c r="P3296" t="inlineStr">
        <is>
          <t>GU13 WNL , MEWP , Land Rover , Defender 130</t>
        </is>
      </c>
      <c r="Q3296" t="inlineStr">
        <is>
          <t>UKPN</t>
        </is>
      </c>
      <c r="R3296" t="b">
        <v>0</v>
      </c>
    </row>
    <row r="3297">
      <c r="A3297" t="inlineStr">
        <is>
          <t>24 Feb 2026 / Anthony Gale</t>
        </is>
      </c>
      <c r="B3297" t="inlineStr">
        <is>
          <t>Utilities</t>
        </is>
      </c>
      <c r="C3297" t="inlineStr">
        <is>
          <t>UKPN</t>
        </is>
      </c>
      <c r="D3297" t="inlineStr">
        <is>
          <t>KX20 BCE , Tipper , Isuzu , D-Max</t>
        </is>
      </c>
      <c r="E3297" t="inlineStr">
        <is>
          <t>KX20 BCE , Tipper , Isuzu , D-Max</t>
        </is>
      </c>
      <c r="F3297" t="inlineStr">
        <is>
          <t>KX20 BCE , Tipper , Isuzu , D-Max</t>
        </is>
      </c>
      <c r="G3297" t="inlineStr">
        <is>
          <t>Anthony Gale</t>
        </is>
      </c>
      <c r="H3297" t="inlineStr">
        <is>
          <t>Pickup Truck</t>
        </is>
      </c>
      <c r="I3297" t="inlineStr">
        <is>
          <t>Daily/ Weekly Vehicle Inspection</t>
        </is>
      </c>
      <c r="J3297" t="inlineStr">
        <is>
          <t>N/A</t>
        </is>
      </c>
      <c r="K3297" t="inlineStr">
        <is>
          <t>7996 M G Tree Surgery Ltd 1</t>
        </is>
      </c>
      <c r="L3297" t="inlineStr">
        <is>
          <t>24/02/2026 09:38</t>
        </is>
      </c>
      <c r="M3297" t="inlineStr">
        <is>
          <t>None</t>
        </is>
      </c>
      <c r="N3297" t="inlineStr">
        <is>
          <t>&lt;p&gt;&lt;/p&gt;</t>
        </is>
      </c>
      <c r="O3297" t="inlineStr">
        <is>
          <t>Confirm that you have checked this vehicle as per the guidance document and the vehicle is safe and roadworthy:Light board deteriorating.
Safe for now.
Will need replacing soon.
-</t>
        </is>
      </c>
      <c r="P3297" t="inlineStr">
        <is>
          <t>KX20 BCE , Tipper , Isuzu , D-Max</t>
        </is>
      </c>
      <c r="Q3297" t="inlineStr">
        <is>
          <t>UKPN</t>
        </is>
      </c>
      <c r="R3297" t="b">
        <v>0</v>
      </c>
    </row>
    <row r="3298">
      <c r="A3298" t="inlineStr">
        <is>
          <t>24 Feb 2026 / Christopher Simeoli</t>
        </is>
      </c>
      <c r="B3298" t="inlineStr">
        <is>
          <t>Utilities</t>
        </is>
      </c>
      <c r="C3298" t="inlineStr">
        <is>
          <t>NGED</t>
        </is>
      </c>
      <c r="D3298" t="inlineStr">
        <is>
          <t>EO73KVB , Car - Electric , Kia , Niro</t>
        </is>
      </c>
      <c r="E3298" t="inlineStr">
        <is>
          <t>EO73KVB , Car - Electric , Kia , Niro</t>
        </is>
      </c>
      <c r="F3298" t="inlineStr">
        <is>
          <t>EO73KVB , Car - Electric , Kia , Niro</t>
        </is>
      </c>
      <c r="G3298" t="inlineStr">
        <is>
          <t>Chris Simeoli</t>
        </is>
      </c>
      <c r="H3298" t="inlineStr">
        <is>
          <t>Car - Electric (GC Owned)</t>
        </is>
      </c>
      <c r="I3298" t="inlineStr">
        <is>
          <t>Daily/ Weekly Vehicle Inspection</t>
        </is>
      </c>
      <c r="J3298" t="inlineStr">
        <is>
          <t>N/A</t>
        </is>
      </c>
      <c r="K3298" t="inlineStr">
        <is>
          <t>Christopher Simeoli</t>
        </is>
      </c>
      <c r="L3298" t="inlineStr">
        <is>
          <t>24/02/2026 11:34</t>
        </is>
      </c>
      <c r="M3298" t="inlineStr">
        <is>
          <t>None</t>
        </is>
      </c>
      <c r="N3298" t="inlineStr">
        <is>
          <t>&lt;p&gt;&lt;/p&gt;</t>
        </is>
      </c>
      <c r="O3298" t="inlineStr"/>
      <c r="P3298" t="inlineStr">
        <is>
          <t>EO73KVB , Car - Electric , Kia , Niro</t>
        </is>
      </c>
      <c r="Q3298" t="inlineStr">
        <is>
          <t>NGED</t>
        </is>
      </c>
      <c r="R3298" t="b">
        <v>0</v>
      </c>
    </row>
    <row r="3299">
      <c r="A3299" t="inlineStr">
        <is>
          <t>24 Feb 2026 / Thomas Nandi</t>
        </is>
      </c>
      <c r="B3299" t="inlineStr">
        <is>
          <t>Utilities</t>
        </is>
      </c>
      <c r="C3299" t="inlineStr">
        <is>
          <t>SSE</t>
        </is>
      </c>
      <c r="D3299" t="inlineStr"/>
      <c r="E3299" t="inlineStr"/>
      <c r="F3299" t="inlineStr"/>
      <c r="G3299" t="inlineStr">
        <is>
          <t xml:space="preserve">Tom Nandi </t>
        </is>
      </c>
      <c r="H3299" t="inlineStr">
        <is>
          <t>Car - Petrol</t>
        </is>
      </c>
      <c r="I3299" t="inlineStr">
        <is>
          <t>Daily/ Weekly Vehicle Inspection</t>
        </is>
      </c>
      <c r="J3299" t="inlineStr">
        <is>
          <t>N/A</t>
        </is>
      </c>
      <c r="K3299" t="inlineStr">
        <is>
          <t>Thomas Nandi</t>
        </is>
      </c>
      <c r="L3299" t="inlineStr">
        <is>
          <t>24/02/2026 12:34</t>
        </is>
      </c>
      <c r="M3299" t="inlineStr">
        <is>
          <t>None</t>
        </is>
      </c>
      <c r="N3299" t="inlineStr">
        <is>
          <t>&lt;p&gt;&lt;/p&gt;</t>
        </is>
      </c>
      <c r="O3299" t="inlineStr"/>
      <c r="P3299" t="inlineStr"/>
      <c r="Q3299" t="inlineStr">
        <is>
          <t>SSE</t>
        </is>
      </c>
      <c r="R3299" t="b">
        <v>0</v>
      </c>
    </row>
    <row r="3300">
      <c r="A3300" t="inlineStr">
        <is>
          <t>24 Feb 2026 / 7965 Kingfisher Tree Services Ltd 2</t>
        </is>
      </c>
      <c r="B3300" t="inlineStr">
        <is>
          <t>Utilities</t>
        </is>
      </c>
      <c r="C3300" t="inlineStr">
        <is>
          <t>SSE</t>
        </is>
      </c>
      <c r="D3300" t="inlineStr">
        <is>
          <t>CP68 BKE , Pickup Truck , Toyota , Hilux</t>
        </is>
      </c>
      <c r="E3300" t="inlineStr">
        <is>
          <t>CP68 BKE , Pickup Truck , Toyota , Hilux</t>
        </is>
      </c>
      <c r="F3300" t="inlineStr">
        <is>
          <t>CP68 BKE , Pickup Truck , Toyota , Hilux</t>
        </is>
      </c>
      <c r="G3300" t="inlineStr">
        <is>
          <t xml:space="preserve">Adam Whitlam </t>
        </is>
      </c>
      <c r="H3300" t="inlineStr">
        <is>
          <t>Pickup Truck</t>
        </is>
      </c>
      <c r="I3300" t="inlineStr">
        <is>
          <t>Daily/ Weekly Vehicle Inspection</t>
        </is>
      </c>
      <c r="J3300" t="inlineStr">
        <is>
          <t>N/A</t>
        </is>
      </c>
      <c r="K3300" t="inlineStr">
        <is>
          <t>7965 Kingfisher Tree Services Ltd 2</t>
        </is>
      </c>
      <c r="L3300" t="inlineStr">
        <is>
          <t>24/02/2026 13:34</t>
        </is>
      </c>
      <c r="M3300" t="inlineStr">
        <is>
          <t>None</t>
        </is>
      </c>
      <c r="N3300" t="inlineStr">
        <is>
          <t>&lt;p&gt;&lt;/p&gt;</t>
        </is>
      </c>
      <c r="O3300" t="inlineStr"/>
      <c r="P3300" t="inlineStr">
        <is>
          <t>CP68 BKE , Pickup Truck , Toyota , Hilux</t>
        </is>
      </c>
      <c r="Q3300" t="inlineStr">
        <is>
          <t>SSE</t>
        </is>
      </c>
      <c r="R3300" t="b">
        <v>0</v>
      </c>
    </row>
    <row r="3301">
      <c r="A3301" t="inlineStr">
        <is>
          <t>24 Feb 2026 / Leigh Overton</t>
        </is>
      </c>
      <c r="B3301" t="inlineStr">
        <is>
          <t>Utilities</t>
        </is>
      </c>
      <c r="C3301" t="inlineStr">
        <is>
          <t>NGED</t>
        </is>
      </c>
      <c r="D3301" t="inlineStr">
        <is>
          <t>GN70XAT , Car - Electric , Tesla , Model 3 Long Range AWD</t>
        </is>
      </c>
      <c r="E3301" t="inlineStr">
        <is>
          <t>GN70XAT , Car - Electric , Tesla , Model 3 Long Range AWD</t>
        </is>
      </c>
      <c r="F3301" t="inlineStr">
        <is>
          <t>GN70XAT , Car - Electric , Tesla , Model 3 Long Range AWD</t>
        </is>
      </c>
      <c r="G3301" t="inlineStr">
        <is>
          <t>Leigh Overton</t>
        </is>
      </c>
      <c r="H3301" t="inlineStr">
        <is>
          <t>Car - Electric (GC Owned)</t>
        </is>
      </c>
      <c r="I3301" t="inlineStr">
        <is>
          <t>Daily/ Weekly Vehicle Inspection</t>
        </is>
      </c>
      <c r="J3301" t="inlineStr">
        <is>
          <t>N/A</t>
        </is>
      </c>
      <c r="K3301" t="inlineStr">
        <is>
          <t>Leigh Overton</t>
        </is>
      </c>
      <c r="L3301" t="inlineStr">
        <is>
          <t>24/02/2026 14:34</t>
        </is>
      </c>
      <c r="M3301" t="inlineStr">
        <is>
          <t>None</t>
        </is>
      </c>
      <c r="N3301" t="inlineStr">
        <is>
          <t>&lt;p&gt;&lt;/p&gt;</t>
        </is>
      </c>
      <c r="O3301" t="inlineStr"/>
      <c r="P3301" t="inlineStr">
        <is>
          <t>GN70XAT , Car - Electric , Tesla , Model 3 Long Range AWD</t>
        </is>
      </c>
      <c r="Q3301" t="inlineStr">
        <is>
          <t>NGED</t>
        </is>
      </c>
      <c r="R3301" t="b">
        <v>0</v>
      </c>
    </row>
    <row r="3302">
      <c r="A3302" t="inlineStr">
        <is>
          <t>24 Feb 2026 / Philip Shaw</t>
        </is>
      </c>
      <c r="B3302" t="inlineStr">
        <is>
          <t>Utilities</t>
        </is>
      </c>
      <c r="C3302" t="inlineStr">
        <is>
          <t>NGED</t>
        </is>
      </c>
      <c r="D3302" t="inlineStr">
        <is>
          <t>AF22TZO , Car - Electric , Tesla , Model 3 Long Range AWD</t>
        </is>
      </c>
      <c r="E3302" t="inlineStr">
        <is>
          <t>AF22TZO , Car - Electric , Tesla , Model 3 Long Range AWD</t>
        </is>
      </c>
      <c r="F3302" t="inlineStr">
        <is>
          <t>AF22TZO , Car - Electric , Tesla , Model 3 Long Range AWD</t>
        </is>
      </c>
      <c r="G3302" t="inlineStr">
        <is>
          <t xml:space="preserve">Phil shaw </t>
        </is>
      </c>
      <c r="H3302" t="inlineStr">
        <is>
          <t>Car - Electric (GC Owned)</t>
        </is>
      </c>
      <c r="I3302" t="inlineStr">
        <is>
          <t>Daily/ Weekly Vehicle Inspection</t>
        </is>
      </c>
      <c r="J3302" t="inlineStr">
        <is>
          <t>N/A</t>
        </is>
      </c>
      <c r="K3302" t="inlineStr">
        <is>
          <t>Philip Shaw</t>
        </is>
      </c>
      <c r="L3302" t="inlineStr">
        <is>
          <t>24/02/2026 18:34</t>
        </is>
      </c>
      <c r="M3302" t="inlineStr">
        <is>
          <t>None</t>
        </is>
      </c>
      <c r="N3302" t="inlineStr">
        <is>
          <t>&lt;p&gt;&lt;/p&gt;</t>
        </is>
      </c>
      <c r="O3302" t="inlineStr"/>
      <c r="P3302" t="inlineStr">
        <is>
          <t>AF22TZO , Car - Electric , Tesla , Model 3 Long Range AWD</t>
        </is>
      </c>
      <c r="Q3302" t="inlineStr">
        <is>
          <t>NGED</t>
        </is>
      </c>
      <c r="R3302" t="b">
        <v>0</v>
      </c>
    </row>
    <row r="3303">
      <c r="A3303" t="inlineStr">
        <is>
          <t>25 Feb 2026 / Anthony Gale</t>
        </is>
      </c>
      <c r="B3303" t="inlineStr">
        <is>
          <t>Utilities</t>
        </is>
      </c>
      <c r="C3303" t="inlineStr">
        <is>
          <t>UKPN</t>
        </is>
      </c>
      <c r="D3303" t="inlineStr">
        <is>
          <t>KX20 BCE , Tipper , Isuzu , D-Max</t>
        </is>
      </c>
      <c r="E3303" t="inlineStr">
        <is>
          <t>KX20 BCE , Tipper , Isuzu , D-Max</t>
        </is>
      </c>
      <c r="F3303" t="inlineStr">
        <is>
          <t>KX20 BCE , Tipper , Isuzu , D-Max</t>
        </is>
      </c>
      <c r="G3303" t="inlineStr">
        <is>
          <t>Anthony Gale</t>
        </is>
      </c>
      <c r="H3303" t="inlineStr">
        <is>
          <t>4x4</t>
        </is>
      </c>
      <c r="I3303" t="inlineStr">
        <is>
          <t>Daily/ Weekly Vehicle Inspection</t>
        </is>
      </c>
      <c r="J3303" t="inlineStr">
        <is>
          <t>N/A</t>
        </is>
      </c>
      <c r="K3303" t="inlineStr">
        <is>
          <t>7996 M G Tree Surgery Ltd 1</t>
        </is>
      </c>
      <c r="L3303" t="inlineStr">
        <is>
          <t>25/02/2026 06:35</t>
        </is>
      </c>
      <c r="M3303" t="inlineStr">
        <is>
          <t>None</t>
        </is>
      </c>
      <c r="N3303" t="inlineStr">
        <is>
          <t>&lt;p&gt;&lt;/p&gt;</t>
        </is>
      </c>
      <c r="O3303" t="inlineStr"/>
      <c r="P3303" t="inlineStr">
        <is>
          <t>KX20 BCE , Tipper , Isuzu , D-Max</t>
        </is>
      </c>
      <c r="Q3303" t="inlineStr">
        <is>
          <t>UKPN</t>
        </is>
      </c>
      <c r="R3303" t="b">
        <v>0</v>
      </c>
    </row>
    <row r="3304">
      <c r="A3304" t="inlineStr">
        <is>
          <t>25 Feb 2026 / 7800 MAC Tree Surgery and Fencing Ltd</t>
        </is>
      </c>
      <c r="B3304" t="inlineStr">
        <is>
          <t>Utilities</t>
        </is>
      </c>
      <c r="C3304" t="inlineStr">
        <is>
          <t>UKPN</t>
        </is>
      </c>
      <c r="D3304" t="inlineStr">
        <is>
          <t>FG16LNT , Tipper , Ford transit  , Transit tipper</t>
        </is>
      </c>
      <c r="E3304" t="inlineStr">
        <is>
          <t>FG16LNT , Tipper , Ford transit  , Transit tipper</t>
        </is>
      </c>
      <c r="F3304" t="inlineStr">
        <is>
          <t>FG16LNT , Tipper , Ford transit  , Transit tipper</t>
        </is>
      </c>
      <c r="G3304" t="inlineStr">
        <is>
          <t>Patrick oshea</t>
        </is>
      </c>
      <c r="H3304" t="inlineStr">
        <is>
          <t>Tipper</t>
        </is>
      </c>
      <c r="I3304" t="inlineStr">
        <is>
          <t>Daily/ Weekly Vehicle Inspection</t>
        </is>
      </c>
      <c r="J3304" t="inlineStr">
        <is>
          <t>N/A</t>
        </is>
      </c>
      <c r="K3304" t="inlineStr">
        <is>
          <t>7800 MAC Tree Surgery and Fencing Ltd</t>
        </is>
      </c>
      <c r="L3304" t="inlineStr">
        <is>
          <t>25/02/2026 06:38</t>
        </is>
      </c>
      <c r="M3304" t="inlineStr">
        <is>
          <t>None</t>
        </is>
      </c>
      <c r="N3304" t="inlineStr">
        <is>
          <t>&lt;p&gt;&lt;/p&gt;</t>
        </is>
      </c>
      <c r="O3304" t="inlineStr"/>
      <c r="P3304" t="inlineStr">
        <is>
          <t>FG16LNT , Tipper , Ford transit  , Transit tipper</t>
        </is>
      </c>
      <c r="Q3304" t="inlineStr">
        <is>
          <t>UKPN</t>
        </is>
      </c>
      <c r="R3304" t="b">
        <v>0</v>
      </c>
    </row>
    <row r="3305">
      <c r="A3305" t="inlineStr">
        <is>
          <t>25 Feb 2026 / Anthony Gale</t>
        </is>
      </c>
      <c r="B3305" t="inlineStr">
        <is>
          <t>Utilities</t>
        </is>
      </c>
      <c r="C3305" t="inlineStr">
        <is>
          <t>UKPN</t>
        </is>
      </c>
      <c r="D3305" t="inlineStr"/>
      <c r="E3305" t="inlineStr"/>
      <c r="F3305" t="inlineStr"/>
      <c r="G3305" t="inlineStr">
        <is>
          <t>Anthony Gale</t>
        </is>
      </c>
      <c r="H3305" t="inlineStr">
        <is>
          <t>Plant Trailer</t>
        </is>
      </c>
      <c r="I3305" t="inlineStr">
        <is>
          <t>Daily/ Weekly Vehicle Inspection</t>
        </is>
      </c>
      <c r="J3305" t="inlineStr">
        <is>
          <t>N/A</t>
        </is>
      </c>
      <c r="K3305" t="inlineStr">
        <is>
          <t>7996 M G Tree Surgery Ltd 1</t>
        </is>
      </c>
      <c r="L3305" t="inlineStr">
        <is>
          <t>25/02/2026 07:36</t>
        </is>
      </c>
      <c r="M3305" t="inlineStr">
        <is>
          <t>None</t>
        </is>
      </c>
      <c r="N3305" t="inlineStr">
        <is>
          <t>&lt;p&gt;&lt;/p&gt;</t>
        </is>
      </c>
      <c r="O3305" t="inlineStr"/>
      <c r="P3305" t="inlineStr"/>
      <c r="Q3305" t="inlineStr">
        <is>
          <t>UKPN</t>
        </is>
      </c>
      <c r="R3305" t="b">
        <v>0</v>
      </c>
    </row>
    <row r="3306">
      <c r="A3306" t="inlineStr">
        <is>
          <t>25 Feb 2026 / 7186 Eastwoodbury Tree Services Ltd</t>
        </is>
      </c>
      <c r="B3306" t="inlineStr">
        <is>
          <t>Utilities</t>
        </is>
      </c>
      <c r="C3306" t="inlineStr">
        <is>
          <t>UKPN</t>
        </is>
      </c>
      <c r="D3306" t="inlineStr">
        <is>
          <t>DE53NKS , 4x4 , Ford , Ranger</t>
        </is>
      </c>
      <c r="E3306" t="inlineStr">
        <is>
          <t>DE53NKS , 4x4 , Ford , Ranger</t>
        </is>
      </c>
      <c r="F3306" t="inlineStr">
        <is>
          <t>DE53NKS , 4x4 , Ford , Ranger</t>
        </is>
      </c>
      <c r="G3306" t="inlineStr">
        <is>
          <t xml:space="preserve">Jay Denkmayer </t>
        </is>
      </c>
      <c r="H3306" t="inlineStr">
        <is>
          <t>4x4</t>
        </is>
      </c>
      <c r="I3306" t="inlineStr">
        <is>
          <t>Daily/ Weekly Vehicle Inspection</t>
        </is>
      </c>
      <c r="J3306" t="inlineStr">
        <is>
          <t>N/A</t>
        </is>
      </c>
      <c r="K3306" t="inlineStr">
        <is>
          <t>7186 Eastwoodbury Tree Services Ltd</t>
        </is>
      </c>
      <c r="L3306" t="inlineStr">
        <is>
          <t>25/02/2026 07:37</t>
        </is>
      </c>
      <c r="M3306" t="inlineStr">
        <is>
          <t>None</t>
        </is>
      </c>
      <c r="N3306" t="inlineStr">
        <is>
          <t>&lt;p&gt;&lt;/p&gt;</t>
        </is>
      </c>
      <c r="O3306" t="inlineStr"/>
      <c r="P3306" t="inlineStr">
        <is>
          <t>DE53NKS , 4x4 , Ford , Ranger</t>
        </is>
      </c>
      <c r="Q3306" t="inlineStr">
        <is>
          <t>UKPN</t>
        </is>
      </c>
      <c r="R3306" t="b">
        <v>0</v>
      </c>
    </row>
    <row r="3307">
      <c r="A3307" t="inlineStr">
        <is>
          <t>25 Feb 2026 / 7186 Eastwoodbury Tree Services Ltd</t>
        </is>
      </c>
      <c r="B3307" t="inlineStr">
        <is>
          <t>Utilities</t>
        </is>
      </c>
      <c r="C3307" t="inlineStr">
        <is>
          <t>UKPN</t>
        </is>
      </c>
      <c r="D3307" t="inlineStr">
        <is>
          <t>WF13 EKT , 4x4 , Land rover  , Defender</t>
        </is>
      </c>
      <c r="E3307" t="inlineStr">
        <is>
          <t>WF13 EKT , 4x4 , Land rover  , Defender</t>
        </is>
      </c>
      <c r="F3307" t="inlineStr">
        <is>
          <t>WF13 EKT , 4x4 , Land rover  , Defender</t>
        </is>
      </c>
      <c r="G3307" t="inlineStr">
        <is>
          <t xml:space="preserve">Dan Gilbert </t>
        </is>
      </c>
      <c r="H3307" t="inlineStr">
        <is>
          <t>4x4</t>
        </is>
      </c>
      <c r="I3307" t="inlineStr">
        <is>
          <t>Daily/ Weekly Vehicle Inspection</t>
        </is>
      </c>
      <c r="J3307" t="inlineStr">
        <is>
          <t>N/A</t>
        </is>
      </c>
      <c r="K3307" t="inlineStr">
        <is>
          <t>7186 Eastwoodbury Tree Services Ltd</t>
        </is>
      </c>
      <c r="L3307" t="inlineStr">
        <is>
          <t>25/02/2026 07:38</t>
        </is>
      </c>
      <c r="M3307" t="inlineStr">
        <is>
          <t>None</t>
        </is>
      </c>
      <c r="N3307" t="inlineStr">
        <is>
          <t>&lt;p&gt;&lt;/p&gt;</t>
        </is>
      </c>
      <c r="O3307" t="inlineStr"/>
      <c r="P3307" t="inlineStr">
        <is>
          <t>WF13 EKT , 4x4 , Land rover  , Defender</t>
        </is>
      </c>
      <c r="Q3307" t="inlineStr">
        <is>
          <t>UKPN</t>
        </is>
      </c>
      <c r="R3307" t="b">
        <v>0</v>
      </c>
    </row>
    <row r="3308">
      <c r="A3308" t="inlineStr">
        <is>
          <t>25 Feb 2026 / 7186 Eastwoodbury Tree Services Ltd</t>
        </is>
      </c>
      <c r="B3308" t="inlineStr">
        <is>
          <t>Utilities</t>
        </is>
      </c>
      <c r="C3308" t="inlineStr">
        <is>
          <t>UKPN</t>
        </is>
      </c>
      <c r="D3308" t="inlineStr">
        <is>
          <t>FX14 XCV , 4x4 , Land Rover  , Defender</t>
        </is>
      </c>
      <c r="E3308" t="inlineStr">
        <is>
          <t>FX14 XCV , 4x4 , Land Rover  , Defender</t>
        </is>
      </c>
      <c r="F3308" t="inlineStr">
        <is>
          <t>FX14 XCV , 4x4 , Land Rover  , Defender</t>
        </is>
      </c>
      <c r="G3308" t="inlineStr">
        <is>
          <t xml:space="preserve">Tom price </t>
        </is>
      </c>
      <c r="H3308" t="inlineStr">
        <is>
          <t>4x4</t>
        </is>
      </c>
      <c r="I3308" t="inlineStr">
        <is>
          <t>Daily/ Weekly Vehicle Inspection</t>
        </is>
      </c>
      <c r="J3308" t="inlineStr">
        <is>
          <t>N/A</t>
        </is>
      </c>
      <c r="K3308" t="inlineStr">
        <is>
          <t>7186 Eastwoodbury Tree Services Ltd</t>
        </is>
      </c>
      <c r="L3308" t="inlineStr">
        <is>
          <t>25/02/2026 07:39</t>
        </is>
      </c>
      <c r="M3308" t="inlineStr">
        <is>
          <t>None</t>
        </is>
      </c>
      <c r="N3308" t="inlineStr">
        <is>
          <t>&lt;p&gt;&lt;/p&gt;</t>
        </is>
      </c>
      <c r="O3308" t="inlineStr"/>
      <c r="P3308" t="inlineStr">
        <is>
          <t>FX14 XCV , 4x4 , Land Rover  , Defender</t>
        </is>
      </c>
      <c r="Q3308" t="inlineStr">
        <is>
          <t>UKPN</t>
        </is>
      </c>
      <c r="R3308" t="b">
        <v>0</v>
      </c>
    </row>
    <row r="3309">
      <c r="A3309" t="inlineStr">
        <is>
          <t>25 Feb 2026 / 7951 Austin Tree Care LTD</t>
        </is>
      </c>
      <c r="B3309" t="inlineStr">
        <is>
          <t>Utilities</t>
        </is>
      </c>
      <c r="C3309" t="inlineStr">
        <is>
          <t>UKPN</t>
        </is>
      </c>
      <c r="D3309" t="inlineStr">
        <is>
          <t>WG64HTT , 4x4 , Land Rover , Defender 110</t>
        </is>
      </c>
      <c r="E3309" t="inlineStr">
        <is>
          <t>WG64HTT , 4x4 , Land Rover , Defender 110</t>
        </is>
      </c>
      <c r="F3309" t="inlineStr">
        <is>
          <t>WG64HTT , 4x4 , Land Rover , Defender 110</t>
        </is>
      </c>
      <c r="G3309" t="inlineStr">
        <is>
          <t xml:space="preserve">Jack Austin </t>
        </is>
      </c>
      <c r="H3309" t="inlineStr">
        <is>
          <t>4x4</t>
        </is>
      </c>
      <c r="I3309" t="inlineStr">
        <is>
          <t>Daily/ Weekly Vehicle Inspection</t>
        </is>
      </c>
      <c r="J3309" t="inlineStr">
        <is>
          <t>N/A</t>
        </is>
      </c>
      <c r="K3309" t="inlineStr">
        <is>
          <t>7951 Austin Tree Care LTD</t>
        </is>
      </c>
      <c r="L3309" t="inlineStr">
        <is>
          <t>25/02/2026 07:39</t>
        </is>
      </c>
      <c r="M3309" t="inlineStr">
        <is>
          <t>None</t>
        </is>
      </c>
      <c r="N3309" t="inlineStr">
        <is>
          <t>&lt;p&gt;&lt;/p&gt;</t>
        </is>
      </c>
      <c r="O3309" t="inlineStr"/>
      <c r="P3309" t="inlineStr">
        <is>
          <t>WG64HTT , 4x4 , Land Rover , Defender 110</t>
        </is>
      </c>
      <c r="Q3309" t="inlineStr">
        <is>
          <t>UKPN</t>
        </is>
      </c>
      <c r="R3309" t="b">
        <v>0</v>
      </c>
    </row>
    <row r="3310">
      <c r="A3310" t="inlineStr">
        <is>
          <t>25 Feb 2026 / 7951 Austin Tree Care LTD</t>
        </is>
      </c>
      <c r="B3310" t="inlineStr">
        <is>
          <t>Utilities</t>
        </is>
      </c>
      <c r="C3310" t="inlineStr">
        <is>
          <t>UKPN</t>
        </is>
      </c>
      <c r="D3310" t="inlineStr">
        <is>
          <t>SA9ST6P0001283612 , Towed Chipper , Forst , ST6p</t>
        </is>
      </c>
      <c r="E3310" t="inlineStr">
        <is>
          <t>SA9ST6P0001283612 , Towed Chipper , Forst , ST6p</t>
        </is>
      </c>
      <c r="F3310" t="inlineStr">
        <is>
          <t>SA9ST6P0001283612 , Towed Chipper , Forst , ST6p</t>
        </is>
      </c>
      <c r="G3310" t="inlineStr">
        <is>
          <t xml:space="preserve">Jack Austin </t>
        </is>
      </c>
      <c r="H3310" t="inlineStr">
        <is>
          <t>Towed Chipper</t>
        </is>
      </c>
      <c r="I3310" t="inlineStr">
        <is>
          <t>Daily/ Weekly Vehicle Inspection</t>
        </is>
      </c>
      <c r="J3310" t="inlineStr">
        <is>
          <t>N/A</t>
        </is>
      </c>
      <c r="K3310" t="inlineStr">
        <is>
          <t>7951 Austin Tree Care LTD</t>
        </is>
      </c>
      <c r="L3310" t="inlineStr">
        <is>
          <t>25/02/2026 07:41</t>
        </is>
      </c>
      <c r="M3310" t="inlineStr">
        <is>
          <t>None</t>
        </is>
      </c>
      <c r="N3310" t="inlineStr">
        <is>
          <t>&lt;p&gt;&lt;/p&gt;</t>
        </is>
      </c>
      <c r="O3310" t="inlineStr"/>
      <c r="P3310" t="inlineStr">
        <is>
          <t>SA9ST6P0001283612 , Towed Chipper , Forst , ST6p</t>
        </is>
      </c>
      <c r="Q3310" t="inlineStr">
        <is>
          <t>UKPN</t>
        </is>
      </c>
      <c r="R3310" t="b">
        <v>0</v>
      </c>
    </row>
    <row r="3311">
      <c r="A3311" t="inlineStr">
        <is>
          <t>25 Feb 2026 / 7889 Tree Tech Suffolk Ltd</t>
        </is>
      </c>
      <c r="B3311" t="inlineStr">
        <is>
          <t>Utilities &amp; Inland Waterways</t>
        </is>
      </c>
      <c r="C3311" t="inlineStr">
        <is>
          <t>UKPN</t>
        </is>
      </c>
      <c r="D3311" t="inlineStr">
        <is>
          <t>Tipper - Mercedes - Sprinter - NS06TTSTow Chipper - Jenson - A530L - 5521063948</t>
        </is>
      </c>
      <c r="E3311" t="inlineStr">
        <is>
          <t>Tipper - Mercedes - Sprinter - NS06TTSTow Chipper - Jenson - A530L - 5521063948</t>
        </is>
      </c>
      <c r="F3311" t="inlineStr">
        <is>
          <t>Tipper - Mercedes - Sprinter - NS06TTSTow Chipper - Jenson - A530L - 5521063948</t>
        </is>
      </c>
      <c r="G3311" t="inlineStr">
        <is>
          <t xml:space="preserve">Danny ApplebyDanny Appleby </t>
        </is>
      </c>
      <c r="H3311" t="inlineStr">
        <is>
          <t>TipperTowed Chipper</t>
        </is>
      </c>
      <c r="I3311" t="inlineStr">
        <is>
          <t>Daily/ Weekly Vehicle Inspection</t>
        </is>
      </c>
      <c r="J3311" t="inlineStr">
        <is>
          <t>N/A</t>
        </is>
      </c>
      <c r="K3311" t="inlineStr">
        <is>
          <t>7889 Tree Tech Suffolk Ltd</t>
        </is>
      </c>
      <c r="L3311" t="inlineStr">
        <is>
          <t>25/02/2026 07:42</t>
        </is>
      </c>
      <c r="M3311" t="inlineStr">
        <is>
          <t>None</t>
        </is>
      </c>
      <c r="N3311" t="inlineStr">
        <is>
          <t>&lt;p&gt;&lt;/p&gt;</t>
        </is>
      </c>
      <c r="O3311" t="inlineStr"/>
      <c r="P3311" t="inlineStr">
        <is>
          <t>Tipper - Mercedes - Sprinter - NS06TTSTow Chipper - Jenson - A530L - 5521063948</t>
        </is>
      </c>
      <c r="Q3311" t="inlineStr">
        <is>
          <t>UKPN</t>
        </is>
      </c>
      <c r="R3311" t="b">
        <v>0</v>
      </c>
    </row>
    <row r="3312">
      <c r="A3312" t="inlineStr">
        <is>
          <t>25 Feb 2026 / 8040 S6 Tree specialists Ltd</t>
        </is>
      </c>
      <c r="B3312" t="inlineStr">
        <is>
          <t>Utilities</t>
        </is>
      </c>
      <c r="C3312" t="inlineStr">
        <is>
          <t>UKPN</t>
        </is>
      </c>
      <c r="D3312" t="inlineStr">
        <is>
          <t>Na , Towed Chipper , Timberwolf  , 190</t>
        </is>
      </c>
      <c r="E3312" t="inlineStr">
        <is>
          <t>Na , Towed Chipper , Timberwolf  , 190</t>
        </is>
      </c>
      <c r="F3312" t="inlineStr">
        <is>
          <t>Na , Towed Chipper , Timberwolf  , 190</t>
        </is>
      </c>
      <c r="G3312" t="inlineStr">
        <is>
          <t xml:space="preserve">Luke lane </t>
        </is>
      </c>
      <c r="H3312" t="inlineStr">
        <is>
          <t>Towed Chipper</t>
        </is>
      </c>
      <c r="I3312" t="inlineStr">
        <is>
          <t>Daily/ Weekly Vehicle Inspection</t>
        </is>
      </c>
      <c r="J3312" t="inlineStr">
        <is>
          <t>N/A</t>
        </is>
      </c>
      <c r="K3312" t="inlineStr">
        <is>
          <t>8040 S6 Tree specialists Ltd</t>
        </is>
      </c>
      <c r="L3312" t="inlineStr">
        <is>
          <t>25/02/2026 07:44</t>
        </is>
      </c>
      <c r="M3312" t="inlineStr">
        <is>
          <t>None</t>
        </is>
      </c>
      <c r="N3312" t="inlineStr">
        <is>
          <t>&lt;p&gt;&lt;/p&gt;</t>
        </is>
      </c>
      <c r="O3312" t="inlineStr"/>
      <c r="P3312" t="inlineStr">
        <is>
          <t>Na , Towed Chipper , Timberwolf  , 190</t>
        </is>
      </c>
      <c r="Q3312" t="inlineStr">
        <is>
          <t>UKPN</t>
        </is>
      </c>
      <c r="R3312" t="b">
        <v>0</v>
      </c>
    </row>
    <row r="3313">
      <c r="A3313" t="inlineStr">
        <is>
          <t>25 Feb 2026 / 8040 S6 Tree specialists Ltd</t>
        </is>
      </c>
      <c r="B3313" t="inlineStr">
        <is>
          <t>Utilities</t>
        </is>
      </c>
      <c r="C3313" t="inlineStr">
        <is>
          <t>UKPN</t>
        </is>
      </c>
      <c r="D3313" t="inlineStr">
        <is>
          <t>GY08 RVC , 4x4 MEWP , Land Rover , Defender</t>
        </is>
      </c>
      <c r="E3313" t="inlineStr">
        <is>
          <t>GY08 RVC , 4x4 MEWP , Land Rover , Defender</t>
        </is>
      </c>
      <c r="F3313" t="inlineStr">
        <is>
          <t>GY08 RVC , 4x4 MEWP , Land Rover , Defender</t>
        </is>
      </c>
      <c r="G3313" t="inlineStr">
        <is>
          <t xml:space="preserve">Luke lane </t>
        </is>
      </c>
      <c r="H3313" t="inlineStr">
        <is>
          <t>4x4</t>
        </is>
      </c>
      <c r="I3313" t="inlineStr">
        <is>
          <t>Daily/ Weekly Vehicle Inspection</t>
        </is>
      </c>
      <c r="J3313" t="inlineStr">
        <is>
          <t>N/A</t>
        </is>
      </c>
      <c r="K3313" t="inlineStr">
        <is>
          <t>8040 S6 Tree specialists Ltd</t>
        </is>
      </c>
      <c r="L3313" t="inlineStr">
        <is>
          <t>25/02/2026 07:47</t>
        </is>
      </c>
      <c r="M3313" t="inlineStr">
        <is>
          <t>None</t>
        </is>
      </c>
      <c r="N3313" t="inlineStr">
        <is>
          <t>&lt;p&gt;&lt;/p&gt;</t>
        </is>
      </c>
      <c r="O3313" t="inlineStr"/>
      <c r="P3313" t="inlineStr">
        <is>
          <t>GY08 RVC , 4x4 MEWP , Land Rover , Defender</t>
        </is>
      </c>
      <c r="Q3313" t="inlineStr">
        <is>
          <t>UKPN</t>
        </is>
      </c>
      <c r="R3313" t="b">
        <v>0</v>
      </c>
    </row>
    <row r="3314">
      <c r="A3314" t="inlineStr">
        <is>
          <t>25 Feb 2026 / Benet Jones</t>
        </is>
      </c>
      <c r="B3314" t="inlineStr">
        <is>
          <t>Utilities</t>
        </is>
      </c>
      <c r="C3314" t="inlineStr">
        <is>
          <t>NGED</t>
        </is>
      </c>
      <c r="D3314" t="inlineStr"/>
      <c r="E3314" t="inlineStr"/>
      <c r="F3314" t="inlineStr"/>
      <c r="G3314" t="inlineStr">
        <is>
          <t xml:space="preserve">Benet jones </t>
        </is>
      </c>
      <c r="H3314" t="inlineStr">
        <is>
          <t>Car - Petrol</t>
        </is>
      </c>
      <c r="I3314" t="inlineStr">
        <is>
          <t>Daily/ Weekly Vehicle Inspection</t>
        </is>
      </c>
      <c r="J3314" t="inlineStr">
        <is>
          <t>N/A</t>
        </is>
      </c>
      <c r="K3314" t="inlineStr">
        <is>
          <t>Benet Jones</t>
        </is>
      </c>
      <c r="L3314" t="inlineStr">
        <is>
          <t>25/02/2026 08:41</t>
        </is>
      </c>
      <c r="M3314" t="inlineStr">
        <is>
          <t>None</t>
        </is>
      </c>
      <c r="N3314" t="inlineStr">
        <is>
          <t>&lt;p&gt;&lt;/p&gt;</t>
        </is>
      </c>
      <c r="O3314" t="inlineStr">
        <is>
          <t>Confirm that you have checked this vehicle as per the guidance document and the vehicle is safe and roadworthy:Car checked and fully serviceable
-</t>
        </is>
      </c>
      <c r="P3314" t="inlineStr"/>
      <c r="Q3314" t="inlineStr">
        <is>
          <t>NGED</t>
        </is>
      </c>
      <c r="R3314" t="b">
        <v>0</v>
      </c>
    </row>
    <row r="3315">
      <c r="A3315" t="inlineStr">
        <is>
          <t>25 Feb 2026 / 3098 D &amp; R Landscapes</t>
        </is>
      </c>
      <c r="B3315" t="inlineStr">
        <is>
          <t>Utilities</t>
        </is>
      </c>
      <c r="C3315" t="inlineStr">
        <is>
          <t>UKPN</t>
        </is>
      </c>
      <c r="D3315" t="inlineStr">
        <is>
          <t>DE68XHA , Tipper , Isuzu , Grafter</t>
        </is>
      </c>
      <c r="E3315" t="inlineStr">
        <is>
          <t>DE68XHA , Tipper , Isuzu , Grafter</t>
        </is>
      </c>
      <c r="F3315" t="inlineStr">
        <is>
          <t>DE68XHA , Tipper , Isuzu , Grafter</t>
        </is>
      </c>
      <c r="G3315" t="inlineStr">
        <is>
          <t xml:space="preserve">Chris </t>
        </is>
      </c>
      <c r="H3315" t="inlineStr">
        <is>
          <t>Tipper</t>
        </is>
      </c>
      <c r="I3315" t="inlineStr">
        <is>
          <t>Daily/ Weekly Vehicle Inspection</t>
        </is>
      </c>
      <c r="J3315" t="inlineStr">
        <is>
          <t>N/A</t>
        </is>
      </c>
      <c r="K3315" t="inlineStr">
        <is>
          <t>3098 D &amp; R Landscapes</t>
        </is>
      </c>
      <c r="L3315" t="inlineStr">
        <is>
          <t>25/02/2026 09:34</t>
        </is>
      </c>
      <c r="M3315" t="inlineStr">
        <is>
          <t>None</t>
        </is>
      </c>
      <c r="N3315" t="inlineStr">
        <is>
          <t>&lt;p&gt;&lt;/p&gt;</t>
        </is>
      </c>
      <c r="O3315" t="inlineStr"/>
      <c r="P3315" t="inlineStr">
        <is>
          <t>DE68XHA , Tipper , Isuzu , Grafter</t>
        </is>
      </c>
      <c r="Q3315" t="inlineStr">
        <is>
          <t>UKPN</t>
        </is>
      </c>
      <c r="R3315" t="b">
        <v>0</v>
      </c>
    </row>
    <row r="3316">
      <c r="A3316" t="inlineStr">
        <is>
          <t>25 Feb 2026 / 3098 D &amp; R Landscapes</t>
        </is>
      </c>
      <c r="B3316" t="inlineStr">
        <is>
          <t>Utilities</t>
        </is>
      </c>
      <c r="C3316" t="inlineStr">
        <is>
          <t>UKPN</t>
        </is>
      </c>
      <c r="D3316" t="inlineStr">
        <is>
          <t>WA13ZZK , 4x4 , Land Rover  , Defender</t>
        </is>
      </c>
      <c r="E3316" t="inlineStr">
        <is>
          <t>WA13ZZK , 4x4 , Land Rover  , Defender</t>
        </is>
      </c>
      <c r="F3316" t="inlineStr">
        <is>
          <t>WA13ZZK , 4x4 , Land Rover  , Defender</t>
        </is>
      </c>
      <c r="G3316" t="inlineStr">
        <is>
          <t>Scott</t>
        </is>
      </c>
      <c r="H3316" t="inlineStr">
        <is>
          <t>Pickup Truck</t>
        </is>
      </c>
      <c r="I3316" t="inlineStr">
        <is>
          <t>Daily/ Weekly Vehicle Inspection</t>
        </is>
      </c>
      <c r="J3316" t="inlineStr">
        <is>
          <t>N/A</t>
        </is>
      </c>
      <c r="K3316" t="inlineStr">
        <is>
          <t>3098 D &amp; R Landscapes</t>
        </is>
      </c>
      <c r="L3316" t="inlineStr">
        <is>
          <t>25/02/2026 09:35</t>
        </is>
      </c>
      <c r="M3316" t="inlineStr">
        <is>
          <t>None</t>
        </is>
      </c>
      <c r="N3316" t="inlineStr">
        <is>
          <t>&lt;p&gt;&lt;/p&gt;</t>
        </is>
      </c>
      <c r="O3316" t="inlineStr"/>
      <c r="P3316" t="inlineStr">
        <is>
          <t>WA13ZZK , 4x4 , Land Rover  , Defender</t>
        </is>
      </c>
      <c r="Q3316" t="inlineStr">
        <is>
          <t>UKPN</t>
        </is>
      </c>
      <c r="R3316" t="b">
        <v>0</v>
      </c>
    </row>
    <row r="3317">
      <c r="A3317" t="inlineStr">
        <is>
          <t>25 Feb 2026 / 3098 D &amp; R Landscapes</t>
        </is>
      </c>
      <c r="B3317" t="inlineStr">
        <is>
          <t>Utilities</t>
        </is>
      </c>
      <c r="C3317" t="inlineStr">
        <is>
          <t>UKPN</t>
        </is>
      </c>
      <c r="D3317" t="inlineStr">
        <is>
          <t>BT20 GNZ , Vehicle , Nissan , Navara</t>
        </is>
      </c>
      <c r="E3317" t="inlineStr">
        <is>
          <t>BT20 GNZ , Vehicle , Nissan , Navara</t>
        </is>
      </c>
      <c r="F3317" t="inlineStr">
        <is>
          <t>BT20 GNZ , Vehicle , Nissan , Navara</t>
        </is>
      </c>
      <c r="G3317" t="inlineStr">
        <is>
          <t>Jason</t>
        </is>
      </c>
      <c r="H3317" t="inlineStr">
        <is>
          <t>Pickup Truck</t>
        </is>
      </c>
      <c r="I3317" t="inlineStr">
        <is>
          <t>Daily/ Weekly Vehicle Inspection</t>
        </is>
      </c>
      <c r="J3317" t="inlineStr">
        <is>
          <t>N/A</t>
        </is>
      </c>
      <c r="K3317" t="inlineStr">
        <is>
          <t>3098 D &amp; R Landscapes</t>
        </is>
      </c>
      <c r="L3317" t="inlineStr">
        <is>
          <t>25/02/2026 09:37</t>
        </is>
      </c>
      <c r="M3317" t="inlineStr">
        <is>
          <t>None</t>
        </is>
      </c>
      <c r="N3317" t="inlineStr">
        <is>
          <t>&lt;p&gt;&lt;/p&gt;</t>
        </is>
      </c>
      <c r="O3317" t="inlineStr"/>
      <c r="P3317" t="inlineStr">
        <is>
          <t>BT20 GNZ , Vehicle , Nissan , Navara</t>
        </is>
      </c>
      <c r="Q3317" t="inlineStr">
        <is>
          <t>UKPN</t>
        </is>
      </c>
      <c r="R3317" t="b">
        <v>0</v>
      </c>
    </row>
    <row r="3318">
      <c r="A3318" t="inlineStr">
        <is>
          <t>25 Feb 2026 / Paul Chubb</t>
        </is>
      </c>
      <c r="B3318" t="inlineStr">
        <is>
          <t>Utilities</t>
        </is>
      </c>
      <c r="C3318" t="inlineStr">
        <is>
          <t>SSE</t>
        </is>
      </c>
      <c r="D3318" t="inlineStr"/>
      <c r="E3318" t="inlineStr"/>
      <c r="F3318" t="inlineStr"/>
      <c r="G3318" t="inlineStr">
        <is>
          <t>Paul chubb</t>
        </is>
      </c>
      <c r="H3318" t="inlineStr">
        <is>
          <t>Van</t>
        </is>
      </c>
      <c r="I3318" t="inlineStr">
        <is>
          <t>Daily/ Weekly Vehicle Inspection</t>
        </is>
      </c>
      <c r="J3318" t="inlineStr">
        <is>
          <t>N/A</t>
        </is>
      </c>
      <c r="K3318" t="inlineStr">
        <is>
          <t>Paul Chubb</t>
        </is>
      </c>
      <c r="L3318" t="inlineStr">
        <is>
          <t>25/02/2026 09:40</t>
        </is>
      </c>
      <c r="M3318" t="inlineStr">
        <is>
          <t>None</t>
        </is>
      </c>
      <c r="N3318" t="inlineStr">
        <is>
          <t>&lt;p&gt;&lt;/p&gt;</t>
        </is>
      </c>
      <c r="O3318" t="inlineStr"/>
      <c r="P3318" t="inlineStr"/>
      <c r="Q3318" t="inlineStr">
        <is>
          <t>SSE</t>
        </is>
      </c>
      <c r="R3318" t="b">
        <v>0</v>
      </c>
    </row>
    <row r="3319">
      <c r="A3319" t="inlineStr">
        <is>
          <t>25 Feb 2026 / Harry Bellis / Utilities / SSE</t>
        </is>
      </c>
      <c r="B3319" t="inlineStr">
        <is>
          <t>Utilities</t>
        </is>
      </c>
      <c r="C3319" t="inlineStr">
        <is>
          <t>SSE</t>
        </is>
      </c>
      <c r="D3319" t="inlineStr">
        <is>
          <t>EO73KUG , Car - Electric , Kia , Niro</t>
        </is>
      </c>
      <c r="E3319" t="inlineStr">
        <is>
          <t>EO73KUG , Car - Electric , Kia , Niro</t>
        </is>
      </c>
      <c r="F3319" t="inlineStr">
        <is>
          <t>EO73KUG , Car - Electric , Kia , Niro</t>
        </is>
      </c>
      <c r="G3319" t="inlineStr">
        <is>
          <t>Harry Bellis</t>
        </is>
      </c>
      <c r="H3319" t="inlineStr">
        <is>
          <t>Car - Electric (GC Owned)</t>
        </is>
      </c>
      <c r="I3319" t="inlineStr">
        <is>
          <t>Daily/ Weekly Vehicle Inspection</t>
        </is>
      </c>
      <c r="J3319" t="inlineStr">
        <is>
          <t>N/A</t>
        </is>
      </c>
      <c r="K3319" t="inlineStr">
        <is>
          <t>Harry Bellis</t>
        </is>
      </c>
      <c r="L3319" t="inlineStr">
        <is>
          <t>25/02/2026 09:41</t>
        </is>
      </c>
      <c r="M3319" t="inlineStr">
        <is>
          <t>None</t>
        </is>
      </c>
      <c r="N3319" t="inlineStr">
        <is>
          <t>&lt;p&gt;&lt;/p&gt;</t>
        </is>
      </c>
      <c r="O3319" t="inlineStr"/>
      <c r="P3319" t="inlineStr">
        <is>
          <t>EO73KUG , Car - Electric , Kia , Niro</t>
        </is>
      </c>
      <c r="Q3319" t="inlineStr">
        <is>
          <t>SSE</t>
        </is>
      </c>
      <c r="R3319" t="b">
        <v>0</v>
      </c>
    </row>
    <row r="3320">
      <c r="A3320" t="inlineStr">
        <is>
          <t>25 Feb 2026 / Thomas Playford</t>
        </is>
      </c>
      <c r="B3320" t="inlineStr">
        <is>
          <t>Utilities</t>
        </is>
      </c>
      <c r="C3320" t="inlineStr">
        <is>
          <t>UKPN</t>
        </is>
      </c>
      <c r="D3320" t="inlineStr">
        <is>
          <t>X21TNP , 4x4 , Toyota , Hilux</t>
        </is>
      </c>
      <c r="E3320" t="inlineStr">
        <is>
          <t>X21TNP , 4x4 , Toyota , Hilux</t>
        </is>
      </c>
      <c r="F3320" t="inlineStr">
        <is>
          <t>X21TNP , 4x4 , Toyota , Hilux</t>
        </is>
      </c>
      <c r="G3320" t="inlineStr">
        <is>
          <t xml:space="preserve">Thomas Playford </t>
        </is>
      </c>
      <c r="H3320" t="inlineStr">
        <is>
          <t>4x4</t>
        </is>
      </c>
      <c r="I3320" t="inlineStr">
        <is>
          <t>Daily/ Weekly Vehicle Inspection</t>
        </is>
      </c>
      <c r="J3320" t="inlineStr">
        <is>
          <t>N/A</t>
        </is>
      </c>
      <c r="K3320" t="inlineStr">
        <is>
          <t>7995 Green Net Eco Ltd 2</t>
        </is>
      </c>
      <c r="L3320" t="inlineStr">
        <is>
          <t>25/02/2026 09:43</t>
        </is>
      </c>
      <c r="M3320" t="inlineStr">
        <is>
          <t>None</t>
        </is>
      </c>
      <c r="N3320" t="inlineStr">
        <is>
          <t>&lt;p&gt;&lt;/p&gt;</t>
        </is>
      </c>
      <c r="O3320" t="inlineStr"/>
      <c r="P3320" t="inlineStr">
        <is>
          <t>X21TNP , 4x4 , Toyota , Hilux</t>
        </is>
      </c>
      <c r="Q3320" t="inlineStr">
        <is>
          <t>UKPN</t>
        </is>
      </c>
      <c r="R3320" t="b">
        <v>0</v>
      </c>
    </row>
    <row r="3321">
      <c r="A3321" t="inlineStr">
        <is>
          <t>25 Feb 2026 / 7889 Tree Tech Suffolk Ltd</t>
        </is>
      </c>
      <c r="B3321" t="inlineStr">
        <is>
          <t>Utilities &amp; Inland Waterways</t>
        </is>
      </c>
      <c r="C3321" t="inlineStr">
        <is>
          <t>UKPN</t>
        </is>
      </c>
      <c r="D3321" t="inlineStr">
        <is>
          <t>Tipper - Mercedes - Sprinter - NS06TTSTow Chipper - Jenson - A530L - 5521063948</t>
        </is>
      </c>
      <c r="E3321" t="inlineStr">
        <is>
          <t>Tipper - Mercedes - Sprinter - NS06TTSTow Chipper - Jenson - A530L - 5521063948</t>
        </is>
      </c>
      <c r="F3321" t="inlineStr">
        <is>
          <t>Tipper - Mercedes - Sprinter - NS06TTSTow Chipper - Jenson - A530L - 5521063948</t>
        </is>
      </c>
      <c r="G3321" t="inlineStr">
        <is>
          <t xml:space="preserve">Danny ApplebyDanny Appleby </t>
        </is>
      </c>
      <c r="H3321" t="inlineStr">
        <is>
          <t>TipperTowed Chipper</t>
        </is>
      </c>
      <c r="I3321" t="inlineStr">
        <is>
          <t>Daily/ Weekly Vehicle Inspection</t>
        </is>
      </c>
      <c r="J3321" t="inlineStr">
        <is>
          <t>N/A</t>
        </is>
      </c>
      <c r="K3321" t="inlineStr">
        <is>
          <t>7889 Tree Tech Suffolk Ltd</t>
        </is>
      </c>
      <c r="L3321" t="inlineStr">
        <is>
          <t>25/02/2026 10:36</t>
        </is>
      </c>
      <c r="M3321" t="inlineStr">
        <is>
          <t>None</t>
        </is>
      </c>
      <c r="N3321" t="inlineStr">
        <is>
          <t>&lt;p&gt;&lt;/p&gt;</t>
        </is>
      </c>
      <c r="O3321" t="inlineStr">
        <is>
          <t>Confirm that you have checked this vehicle as per the guidance document and the vehicle is safe and roadworthy:Near side day time running bulb removed as not working. Waiting on replacement. Wing mirror bulb cover broken. Waiting on replacement
-</t>
        </is>
      </c>
      <c r="P3321" t="inlineStr">
        <is>
          <t>Tipper - Mercedes - Sprinter - NS06TTSTow Chipper - Jenson - A530L - 5521063948</t>
        </is>
      </c>
      <c r="Q3321" t="inlineStr">
        <is>
          <t>UKPN</t>
        </is>
      </c>
      <c r="R3321" t="b">
        <v>0</v>
      </c>
    </row>
    <row r="3322">
      <c r="A3322" t="inlineStr">
        <is>
          <t>25 Feb 2026 / 7800 MAC Tree Surgery and Fencing Ltd / Utilities / UKPN</t>
        </is>
      </c>
      <c r="B3322" t="inlineStr">
        <is>
          <t>Utilities</t>
        </is>
      </c>
      <c r="C3322" t="inlineStr">
        <is>
          <t>UKPN</t>
        </is>
      </c>
      <c r="D3322" t="inlineStr">
        <is>
          <t>AY68DAA , 4x4 , Izuzu , Dmax</t>
        </is>
      </c>
      <c r="E3322" t="inlineStr">
        <is>
          <t>AY68DAA , 4x4 , Izuzu , Dmax</t>
        </is>
      </c>
      <c r="F3322" t="inlineStr">
        <is>
          <t>AY68DAA , 4x4 , Izuzu , Dmax</t>
        </is>
      </c>
      <c r="G3322" t="inlineStr">
        <is>
          <t xml:space="preserve">Patrick O'Shea </t>
        </is>
      </c>
      <c r="H3322" t="inlineStr">
        <is>
          <t>4x4</t>
        </is>
      </c>
      <c r="I3322" t="inlineStr">
        <is>
          <t>Daily/ Weekly Vehicle Inspection</t>
        </is>
      </c>
      <c r="J3322" t="inlineStr">
        <is>
          <t>N/A</t>
        </is>
      </c>
      <c r="K3322" t="inlineStr">
        <is>
          <t>7800 MAC Tree Surgery and Fencing Ltd</t>
        </is>
      </c>
      <c r="L3322" t="inlineStr">
        <is>
          <t>25/02/2026 10:36</t>
        </is>
      </c>
      <c r="M3322" t="inlineStr">
        <is>
          <t>None</t>
        </is>
      </c>
      <c r="N3322" t="inlineStr">
        <is>
          <t>&lt;p&gt;&lt;/p&gt;</t>
        </is>
      </c>
      <c r="O3322" t="inlineStr"/>
      <c r="P3322" t="inlineStr">
        <is>
          <t>AY68DAA , 4x4 , Izuzu , Dmax</t>
        </is>
      </c>
      <c r="Q3322" t="inlineStr">
        <is>
          <t>UKPN</t>
        </is>
      </c>
      <c r="R3322" t="b">
        <v>0</v>
      </c>
    </row>
    <row r="3323">
      <c r="A3323" t="inlineStr">
        <is>
          <t>25 Feb 2026 / 7800 MAC Tree Surgery and Fencing Ltd / Utilities / UKPN</t>
        </is>
      </c>
      <c r="B3323" t="inlineStr">
        <is>
          <t>Utilities</t>
        </is>
      </c>
      <c r="C3323" t="inlineStr">
        <is>
          <t>UKPN</t>
        </is>
      </c>
      <c r="D3323" t="inlineStr">
        <is>
          <t>Plant Trailer - Towmate - 2.8t - 0</t>
        </is>
      </c>
      <c r="E3323" t="inlineStr">
        <is>
          <t>Plant Trailer - Towmate - 2.8t - 0</t>
        </is>
      </c>
      <c r="F3323" t="inlineStr">
        <is>
          <t>Plant Trailer - Towmate - 2.8t - 0</t>
        </is>
      </c>
      <c r="G3323" t="inlineStr">
        <is>
          <t>Lewis mac</t>
        </is>
      </c>
      <c r="H3323" t="inlineStr">
        <is>
          <t>Plant Trailer</t>
        </is>
      </c>
      <c r="I3323" t="inlineStr">
        <is>
          <t>Daily/ Weekly Vehicle Inspection</t>
        </is>
      </c>
      <c r="J3323" t="inlineStr">
        <is>
          <t>N/A</t>
        </is>
      </c>
      <c r="K3323" t="inlineStr">
        <is>
          <t>7800 MAC Tree Surgery and Fencing Ltd</t>
        </is>
      </c>
      <c r="L3323" t="inlineStr">
        <is>
          <t>25/02/2026 10:37</t>
        </is>
      </c>
      <c r="M3323" t="inlineStr">
        <is>
          <t>None</t>
        </is>
      </c>
      <c r="N3323" t="inlineStr">
        <is>
          <t>&lt;p&gt;&lt;/p&gt;</t>
        </is>
      </c>
      <c r="O3323" t="inlineStr"/>
      <c r="P3323" t="inlineStr">
        <is>
          <t>Plant Trailer - Towmate - 2.8t - 0</t>
        </is>
      </c>
      <c r="Q3323" t="inlineStr">
        <is>
          <t>UKPN</t>
        </is>
      </c>
      <c r="R3323" t="b">
        <v>0</v>
      </c>
    </row>
    <row r="3324">
      <c r="A3324" t="inlineStr">
        <is>
          <t>25 Feb 2026 / Philip Cadwgan</t>
        </is>
      </c>
      <c r="B3324" t="inlineStr">
        <is>
          <t>Utilities</t>
        </is>
      </c>
      <c r="C3324" t="inlineStr">
        <is>
          <t>NGED</t>
        </is>
      </c>
      <c r="D3324" t="inlineStr"/>
      <c r="E3324" t="inlineStr"/>
      <c r="F3324" t="inlineStr"/>
      <c r="G3324" t="inlineStr">
        <is>
          <t>Phill Cadwgan</t>
        </is>
      </c>
      <c r="H3324" t="inlineStr">
        <is>
          <t>Van</t>
        </is>
      </c>
      <c r="I3324" t="inlineStr">
        <is>
          <t>Daily/ Weekly Vehicle Inspection</t>
        </is>
      </c>
      <c r="J3324" t="inlineStr">
        <is>
          <t>N/A</t>
        </is>
      </c>
      <c r="K3324" t="inlineStr">
        <is>
          <t>Philip Cadwgan</t>
        </is>
      </c>
      <c r="L3324" t="inlineStr">
        <is>
          <t>25/02/2026 10:38</t>
        </is>
      </c>
      <c r="M3324" t="inlineStr">
        <is>
          <t>None</t>
        </is>
      </c>
      <c r="N3324" t="inlineStr">
        <is>
          <t>&lt;p&gt;&lt;/p&gt;</t>
        </is>
      </c>
      <c r="O3324" t="inlineStr"/>
      <c r="P3324" t="inlineStr"/>
      <c r="Q3324" t="inlineStr">
        <is>
          <t>NGED</t>
        </is>
      </c>
      <c r="R3324" t="b">
        <v>0</v>
      </c>
    </row>
    <row r="3325">
      <c r="A3325" t="inlineStr">
        <is>
          <t>25 Feb 2026 / Ashley Hill</t>
        </is>
      </c>
      <c r="B3325" t="inlineStr">
        <is>
          <t>Utilities</t>
        </is>
      </c>
      <c r="C3325" t="inlineStr">
        <is>
          <t>NGED</t>
        </is>
      </c>
      <c r="D3325" t="inlineStr"/>
      <c r="E3325" t="inlineStr"/>
      <c r="F3325" t="inlineStr"/>
      <c r="G3325" t="inlineStr">
        <is>
          <t>Ashley Hill</t>
        </is>
      </c>
      <c r="H3325" t="inlineStr">
        <is>
          <t>Car - Petrol</t>
        </is>
      </c>
      <c r="I3325" t="inlineStr">
        <is>
          <t>Daily/ Weekly Vehicle Inspection</t>
        </is>
      </c>
      <c r="J3325" t="inlineStr">
        <is>
          <t>N/A</t>
        </is>
      </c>
      <c r="K3325" t="inlineStr">
        <is>
          <t>Ashley Hill</t>
        </is>
      </c>
      <c r="L3325" t="inlineStr">
        <is>
          <t>25/02/2026 13:35</t>
        </is>
      </c>
      <c r="M3325" t="inlineStr">
        <is>
          <t>None</t>
        </is>
      </c>
      <c r="N3325" t="inlineStr">
        <is>
          <t>&lt;p&gt;&lt;/p&gt;</t>
        </is>
      </c>
      <c r="O3325" t="inlineStr"/>
      <c r="P3325" t="inlineStr"/>
      <c r="Q3325" t="inlineStr">
        <is>
          <t>NGED</t>
        </is>
      </c>
      <c r="R3325" t="b">
        <v>0</v>
      </c>
    </row>
    <row r="3326">
      <c r="A3326" t="inlineStr">
        <is>
          <t>25 Feb 2026 / Christopher Phillips</t>
        </is>
      </c>
      <c r="B3326" t="inlineStr">
        <is>
          <t>Utilities</t>
        </is>
      </c>
      <c r="C3326" t="inlineStr">
        <is>
          <t>NGED</t>
        </is>
      </c>
      <c r="D3326" t="inlineStr">
        <is>
          <t>SK69XHC , Car - Electric , Tesla , Model 3 Performance AWD</t>
        </is>
      </c>
      <c r="E3326" t="inlineStr">
        <is>
          <t>SK69XHC , Car - Electric , Tesla , Model 3 Performance AWD</t>
        </is>
      </c>
      <c r="F3326" t="inlineStr">
        <is>
          <t>SK69XHC , Car - Electric , Tesla , Model 3 Performance AWD</t>
        </is>
      </c>
      <c r="G3326" t="inlineStr">
        <is>
          <t xml:space="preserve">Chris Phillips </t>
        </is>
      </c>
      <c r="H3326" t="inlineStr">
        <is>
          <t>Car - Electric (GC Owned)</t>
        </is>
      </c>
      <c r="I3326" t="inlineStr">
        <is>
          <t>Daily/ Weekly Vehicle Inspection</t>
        </is>
      </c>
      <c r="J3326" t="inlineStr">
        <is>
          <t>N/A</t>
        </is>
      </c>
      <c r="K3326" t="inlineStr">
        <is>
          <t>Christopher Phillips</t>
        </is>
      </c>
      <c r="L3326" t="inlineStr">
        <is>
          <t>25/02/2026 15:36</t>
        </is>
      </c>
      <c r="M3326" t="inlineStr">
        <is>
          <t>None</t>
        </is>
      </c>
      <c r="N3326" t="inlineStr">
        <is>
          <t>&lt;p&gt;&lt;/p&gt;</t>
        </is>
      </c>
      <c r="O3326" t="inlineStr"/>
      <c r="P3326" t="inlineStr">
        <is>
          <t>SK69XHC , Car - Electric , Tesla , Model 3 Performance AWD</t>
        </is>
      </c>
      <c r="Q3326" t="inlineStr">
        <is>
          <t>NGED</t>
        </is>
      </c>
      <c r="R3326" t="b">
        <v>0</v>
      </c>
    </row>
    <row r="3327">
      <c r="A3327" t="inlineStr">
        <is>
          <t>25 Feb 2026 / 7806 Optimum Tree Services Ltd</t>
        </is>
      </c>
      <c r="B3327" t="inlineStr">
        <is>
          <t>Utilities</t>
        </is>
      </c>
      <c r="C3327" t="inlineStr">
        <is>
          <t>UKPN</t>
        </is>
      </c>
      <c r="D3327" t="inlineStr">
        <is>
          <t>Wd14evn , 4x4 , Landrover  , Defender</t>
        </is>
      </c>
      <c r="E3327" t="inlineStr">
        <is>
          <t>Wd14evn , 4x4 , Landrover  , Defender</t>
        </is>
      </c>
      <c r="F3327" t="inlineStr">
        <is>
          <t>Wd14evn , 4x4 , Landrover  , Defender</t>
        </is>
      </c>
      <c r="G3327" t="inlineStr">
        <is>
          <t xml:space="preserve">Kenny Aldred </t>
        </is>
      </c>
      <c r="H3327" t="inlineStr">
        <is>
          <t>4x4</t>
        </is>
      </c>
      <c r="I3327" t="inlineStr">
        <is>
          <t>Daily/ Weekly Vehicle Inspection</t>
        </is>
      </c>
      <c r="J3327" t="inlineStr">
        <is>
          <t>N/A</t>
        </is>
      </c>
      <c r="K3327" t="inlineStr">
        <is>
          <t>7806 Optimum Tree Services Ltd</t>
        </is>
      </c>
      <c r="L3327" t="inlineStr">
        <is>
          <t>26/02/2026 07:40</t>
        </is>
      </c>
      <c r="M3327" t="inlineStr">
        <is>
          <t>None</t>
        </is>
      </c>
      <c r="N3327" t="inlineStr">
        <is>
          <t>&lt;p&gt;&lt;/p&gt;</t>
        </is>
      </c>
      <c r="O3327" t="inlineStr"/>
      <c r="P3327" t="inlineStr">
        <is>
          <t>Wd14evn , 4x4 , Landrover  , Defender</t>
        </is>
      </c>
      <c r="Q3327" t="inlineStr">
        <is>
          <t>UKPN</t>
        </is>
      </c>
      <c r="R3327" t="b">
        <v>0</v>
      </c>
    </row>
    <row r="3328">
      <c r="A3328" t="inlineStr">
        <is>
          <t>25 Feb 2026 / 7806 Optimum Tree Services Ltd</t>
        </is>
      </c>
      <c r="B3328" t="inlineStr">
        <is>
          <t>Utilities</t>
        </is>
      </c>
      <c r="C3328" t="inlineStr">
        <is>
          <t>UKPN</t>
        </is>
      </c>
      <c r="D3328" t="inlineStr">
        <is>
          <t>NA10SYZ , Tipper , Ford , Transit</t>
        </is>
      </c>
      <c r="E3328" t="inlineStr">
        <is>
          <t>NA10SYZ , Tipper , Ford , Transit</t>
        </is>
      </c>
      <c r="F3328" t="inlineStr">
        <is>
          <t>NA10SYZ , Tipper , Ford , Transit</t>
        </is>
      </c>
      <c r="G3328" t="inlineStr">
        <is>
          <t xml:space="preserve">Lewis Davies </t>
        </is>
      </c>
      <c r="H3328" t="inlineStr">
        <is>
          <t>Tipper</t>
        </is>
      </c>
      <c r="I3328" t="inlineStr">
        <is>
          <t>Daily/ Weekly Vehicle Inspection</t>
        </is>
      </c>
      <c r="J3328" t="inlineStr">
        <is>
          <t>N/A</t>
        </is>
      </c>
      <c r="K3328" t="inlineStr">
        <is>
          <t>7806 Optimum Tree Services Ltd</t>
        </is>
      </c>
      <c r="L3328" t="inlineStr">
        <is>
          <t>26/02/2026 07:42</t>
        </is>
      </c>
      <c r="M3328" t="inlineStr">
        <is>
          <t>None</t>
        </is>
      </c>
      <c r="N3328" t="inlineStr">
        <is>
          <t>&lt;p&gt;&lt;/p&gt;</t>
        </is>
      </c>
      <c r="O3328" t="inlineStr"/>
      <c r="P3328" t="inlineStr">
        <is>
          <t>NA10SYZ , Tipper , Ford , Transit</t>
        </is>
      </c>
      <c r="Q3328" t="inlineStr">
        <is>
          <t>UKPN</t>
        </is>
      </c>
      <c r="R3328" t="b">
        <v>0</v>
      </c>
    </row>
    <row r="3329">
      <c r="A3329" t="inlineStr">
        <is>
          <t>25 Feb 2026 / 7806 Optimum Tree Services Ltd</t>
        </is>
      </c>
      <c r="B3329" t="inlineStr">
        <is>
          <t>Utilities</t>
        </is>
      </c>
      <c r="C3329" t="inlineStr">
        <is>
          <t>UKPN</t>
        </is>
      </c>
      <c r="D3329" t="inlineStr">
        <is>
          <t>SA9ST800000283069 , Chipper , Forst , ST 6P</t>
        </is>
      </c>
      <c r="E3329" t="inlineStr">
        <is>
          <t>SA9ST800000283069 , Chipper , Forst , ST 6P</t>
        </is>
      </c>
      <c r="F3329" t="inlineStr">
        <is>
          <t>SA9ST800000283069 , Chipper , Forst , ST 6P</t>
        </is>
      </c>
      <c r="G3329" t="inlineStr">
        <is>
          <t xml:space="preserve">Abraham Davies </t>
        </is>
      </c>
      <c r="H3329" t="inlineStr">
        <is>
          <t>Towed Chipper</t>
        </is>
      </c>
      <c r="I3329" t="inlineStr">
        <is>
          <t>Daily/ Weekly Vehicle Inspection</t>
        </is>
      </c>
      <c r="J3329" t="inlineStr">
        <is>
          <t>N/A</t>
        </is>
      </c>
      <c r="K3329" t="inlineStr">
        <is>
          <t>7806 Optimum Tree Services Ltd</t>
        </is>
      </c>
      <c r="L3329" t="inlineStr">
        <is>
          <t>26/02/2026 07:43</t>
        </is>
      </c>
      <c r="M3329" t="inlineStr">
        <is>
          <t>None</t>
        </is>
      </c>
      <c r="N3329" t="inlineStr">
        <is>
          <t>&lt;p&gt;&lt;/p&gt;</t>
        </is>
      </c>
      <c r="O3329" t="inlineStr"/>
      <c r="P3329" t="inlineStr">
        <is>
          <t>SA9ST800000283069 , Chipper , Forst , ST 6P</t>
        </is>
      </c>
      <c r="Q3329" t="inlineStr">
        <is>
          <t>UKPN</t>
        </is>
      </c>
      <c r="R3329" t="b">
        <v>0</v>
      </c>
    </row>
    <row r="3330">
      <c r="A3330" t="inlineStr">
        <is>
          <t>26 Feb 2026 / 7186 Eastwoodbury Tree Services Ltd</t>
        </is>
      </c>
      <c r="B3330" t="inlineStr">
        <is>
          <t>Utilities</t>
        </is>
      </c>
      <c r="C3330" t="inlineStr">
        <is>
          <t>UKPN</t>
        </is>
      </c>
      <c r="D3330" t="inlineStr">
        <is>
          <t>DE53NKS , 4x4 , Ford , Ranger</t>
        </is>
      </c>
      <c r="E3330" t="inlineStr">
        <is>
          <t>DE53NKS , 4x4 , Ford , Ranger</t>
        </is>
      </c>
      <c r="F3330" t="inlineStr">
        <is>
          <t>DE53NKS , 4x4 , Ford , Ranger</t>
        </is>
      </c>
      <c r="G3330" t="inlineStr">
        <is>
          <t xml:space="preserve">Jay Denkmayer </t>
        </is>
      </c>
      <c r="H3330" t="inlineStr">
        <is>
          <t>4x4</t>
        </is>
      </c>
      <c r="I3330" t="inlineStr">
        <is>
          <t>Daily/ Weekly Vehicle Inspection</t>
        </is>
      </c>
      <c r="J3330" t="inlineStr">
        <is>
          <t>N/A</t>
        </is>
      </c>
      <c r="K3330" t="inlineStr">
        <is>
          <t>7186 Eastwoodbury Tree Services Ltd</t>
        </is>
      </c>
      <c r="L3330" t="inlineStr">
        <is>
          <t>26/02/2026 07:44</t>
        </is>
      </c>
      <c r="M3330" t="inlineStr">
        <is>
          <t>None</t>
        </is>
      </c>
      <c r="N3330" t="inlineStr">
        <is>
          <t>&lt;p&gt;&lt;/p&gt;</t>
        </is>
      </c>
      <c r="O3330" t="inlineStr"/>
      <c r="P3330" t="inlineStr">
        <is>
          <t>DE53NKS , 4x4 , Ford , Ranger</t>
        </is>
      </c>
      <c r="Q3330" t="inlineStr">
        <is>
          <t>UKPN</t>
        </is>
      </c>
      <c r="R3330" t="b">
        <v>0</v>
      </c>
    </row>
    <row r="3331">
      <c r="A3331" t="inlineStr">
        <is>
          <t>26 Feb 2026 / 7186 Eastwoodbury Tree Services Ltd</t>
        </is>
      </c>
      <c r="B3331" t="inlineStr">
        <is>
          <t>Utilities</t>
        </is>
      </c>
      <c r="C3331" t="inlineStr">
        <is>
          <t>UKPN</t>
        </is>
      </c>
      <c r="D3331" t="inlineStr">
        <is>
          <t>WF13 EKT , 4x4 , Land rover  , Defender</t>
        </is>
      </c>
      <c r="E3331" t="inlineStr">
        <is>
          <t>WF13 EKT , 4x4 , Land rover  , Defender</t>
        </is>
      </c>
      <c r="F3331" t="inlineStr">
        <is>
          <t>WF13 EKT , 4x4 , Land rover  , Defender</t>
        </is>
      </c>
      <c r="G3331" t="inlineStr">
        <is>
          <t xml:space="preserve">Dan Gilbert </t>
        </is>
      </c>
      <c r="H3331" t="inlineStr">
        <is>
          <t>4x4</t>
        </is>
      </c>
      <c r="I3331" t="inlineStr">
        <is>
          <t>Daily/ Weekly Vehicle Inspection</t>
        </is>
      </c>
      <c r="J3331" t="inlineStr">
        <is>
          <t>N/A</t>
        </is>
      </c>
      <c r="K3331" t="inlineStr">
        <is>
          <t>7186 Eastwoodbury Tree Services Ltd</t>
        </is>
      </c>
      <c r="L3331" t="inlineStr">
        <is>
          <t>26/02/2026 07:46</t>
        </is>
      </c>
      <c r="M3331" t="inlineStr">
        <is>
          <t>None</t>
        </is>
      </c>
      <c r="N3331" t="inlineStr">
        <is>
          <t>&lt;p&gt;&lt;/p&gt;</t>
        </is>
      </c>
      <c r="O3331" t="inlineStr"/>
      <c r="P3331" t="inlineStr">
        <is>
          <t>WF13 EKT , 4x4 , Land rover  , Defender</t>
        </is>
      </c>
      <c r="Q3331" t="inlineStr">
        <is>
          <t>UKPN</t>
        </is>
      </c>
      <c r="R3331" t="b">
        <v>0</v>
      </c>
    </row>
    <row r="3332">
      <c r="A3332" t="inlineStr">
        <is>
          <t>26 Feb 2026 / 7186 Eastwoodbury Tree Services Ltd</t>
        </is>
      </c>
      <c r="B3332" t="inlineStr">
        <is>
          <t>Utilities</t>
        </is>
      </c>
      <c r="C3332" t="inlineStr">
        <is>
          <t>UKPN</t>
        </is>
      </c>
      <c r="D3332" t="inlineStr">
        <is>
          <t>FX14 XCV , 4x4 , Land Rover  , Defender</t>
        </is>
      </c>
      <c r="E3332" t="inlineStr">
        <is>
          <t>FX14 XCV , 4x4 , Land Rover  , Defender</t>
        </is>
      </c>
      <c r="F3332" t="inlineStr">
        <is>
          <t>FX14 XCV , 4x4 , Land Rover  , Defender</t>
        </is>
      </c>
      <c r="G3332" t="inlineStr">
        <is>
          <t xml:space="preserve">Tom price </t>
        </is>
      </c>
      <c r="H3332" t="inlineStr">
        <is>
          <t>4x4</t>
        </is>
      </c>
      <c r="I3332" t="inlineStr">
        <is>
          <t>Daily/ Weekly Vehicle Inspection</t>
        </is>
      </c>
      <c r="J3332" t="inlineStr">
        <is>
          <t>N/A</t>
        </is>
      </c>
      <c r="K3332" t="inlineStr">
        <is>
          <t>7186 Eastwoodbury Tree Services Ltd</t>
        </is>
      </c>
      <c r="L3332" t="inlineStr">
        <is>
          <t>26/02/2026 07:47</t>
        </is>
      </c>
      <c r="M3332" t="inlineStr">
        <is>
          <t>None</t>
        </is>
      </c>
      <c r="N3332" t="inlineStr">
        <is>
          <t>&lt;p&gt;&lt;/p&gt;</t>
        </is>
      </c>
      <c r="O3332" t="inlineStr"/>
      <c r="P3332" t="inlineStr">
        <is>
          <t>FX14 XCV , 4x4 , Land Rover  , Defender</t>
        </is>
      </c>
      <c r="Q3332" t="inlineStr">
        <is>
          <t>UKPN</t>
        </is>
      </c>
      <c r="R3332" t="b">
        <v>0</v>
      </c>
    </row>
    <row r="3333">
      <c r="A3333" t="inlineStr">
        <is>
          <t>26 Feb 2026 / 8040 S6 Tree specialists Ltd</t>
        </is>
      </c>
      <c r="B3333" t="inlineStr">
        <is>
          <t>Utilities</t>
        </is>
      </c>
      <c r="C3333" t="inlineStr">
        <is>
          <t>UKPN</t>
        </is>
      </c>
      <c r="D3333" t="inlineStr">
        <is>
          <t>Na , Towed Chipper , Timberwolf  , 190</t>
        </is>
      </c>
      <c r="E3333" t="inlineStr">
        <is>
          <t>Na , Towed Chipper , Timberwolf  , 190</t>
        </is>
      </c>
      <c r="F3333" t="inlineStr">
        <is>
          <t>Na , Towed Chipper , Timberwolf  , 190</t>
        </is>
      </c>
      <c r="G3333" t="inlineStr">
        <is>
          <t>Luke</t>
        </is>
      </c>
      <c r="H3333" t="inlineStr">
        <is>
          <t>Towed Chipper</t>
        </is>
      </c>
      <c r="I3333" t="inlineStr">
        <is>
          <t>Daily/ Weekly Vehicle Inspection</t>
        </is>
      </c>
      <c r="J3333" t="inlineStr">
        <is>
          <t>N/A</t>
        </is>
      </c>
      <c r="K3333" t="inlineStr">
        <is>
          <t>8040 S6 Tree specialists Ltd</t>
        </is>
      </c>
      <c r="L3333" t="inlineStr">
        <is>
          <t>26/02/2026 07:48</t>
        </is>
      </c>
      <c r="M3333" t="inlineStr">
        <is>
          <t>None</t>
        </is>
      </c>
      <c r="N3333" t="inlineStr">
        <is>
          <t>&lt;p&gt;&lt;/p&gt;</t>
        </is>
      </c>
      <c r="O3333" t="inlineStr"/>
      <c r="P3333" t="inlineStr">
        <is>
          <t>Na , Towed Chipper , Timberwolf  , 190</t>
        </is>
      </c>
      <c r="Q3333" t="inlineStr">
        <is>
          <t>UKPN</t>
        </is>
      </c>
      <c r="R3333" t="b">
        <v>0</v>
      </c>
    </row>
    <row r="3334">
      <c r="A3334" t="inlineStr">
        <is>
          <t>26 Feb 2026 / 8040 S6 Tree specialists Ltd</t>
        </is>
      </c>
      <c r="B3334" t="inlineStr">
        <is>
          <t>Utilities</t>
        </is>
      </c>
      <c r="C3334" t="inlineStr">
        <is>
          <t>UKPN</t>
        </is>
      </c>
      <c r="D3334" t="inlineStr">
        <is>
          <t>GY08 RVC , 4x4 MEWP , Land Rover , Defender</t>
        </is>
      </c>
      <c r="E3334" t="inlineStr">
        <is>
          <t>GY08 RVC , 4x4 MEWP , Land Rover , Defender</t>
        </is>
      </c>
      <c r="F3334" t="inlineStr">
        <is>
          <t>GY08 RVC , 4x4 MEWP , Land Rover , Defender</t>
        </is>
      </c>
      <c r="G3334" t="inlineStr">
        <is>
          <t>Luke lane</t>
        </is>
      </c>
      <c r="H3334" t="inlineStr">
        <is>
          <t>4x4</t>
        </is>
      </c>
      <c r="I3334" t="inlineStr">
        <is>
          <t>Daily/ Weekly Vehicle Inspection</t>
        </is>
      </c>
      <c r="J3334" t="inlineStr">
        <is>
          <t>N/A</t>
        </is>
      </c>
      <c r="K3334" t="inlineStr">
        <is>
          <t>8040 S6 Tree specialists Ltd</t>
        </is>
      </c>
      <c r="L3334" t="inlineStr">
        <is>
          <t>26/02/2026 07:50</t>
        </is>
      </c>
      <c r="M3334" t="inlineStr">
        <is>
          <t>None</t>
        </is>
      </c>
      <c r="N3334" t="inlineStr">
        <is>
          <t>&lt;p&gt;&lt;/p&gt;</t>
        </is>
      </c>
      <c r="O3334" t="inlineStr"/>
      <c r="P3334" t="inlineStr">
        <is>
          <t>GY08 RVC , 4x4 MEWP , Land Rover , Defender</t>
        </is>
      </c>
      <c r="Q3334" t="inlineStr">
        <is>
          <t>UKPN</t>
        </is>
      </c>
      <c r="R3334" t="b">
        <v>0</v>
      </c>
    </row>
    <row r="3335">
      <c r="A3335" t="inlineStr">
        <is>
          <t>26 Feb 2026 / Anthony Gale</t>
        </is>
      </c>
      <c r="B3335" t="inlineStr">
        <is>
          <t>Utilities</t>
        </is>
      </c>
      <c r="C3335" t="inlineStr">
        <is>
          <t>UKPN</t>
        </is>
      </c>
      <c r="D3335" t="inlineStr">
        <is>
          <t>GU13 WNL , MEWP , Land Rover , Defender 130</t>
        </is>
      </c>
      <c r="E3335" t="inlineStr">
        <is>
          <t>GU13 WNL , MEWP , Land Rover , Defender 130</t>
        </is>
      </c>
      <c r="F3335" t="inlineStr">
        <is>
          <t>GU13 WNL , MEWP , Land Rover , Defender 130</t>
        </is>
      </c>
      <c r="G3335" t="inlineStr">
        <is>
          <t xml:space="preserve">Tim Franklin </t>
        </is>
      </c>
      <c r="H3335" t="inlineStr">
        <is>
          <t>4x4</t>
        </is>
      </c>
      <c r="I3335" t="inlineStr">
        <is>
          <t>Daily/ Weekly Vehicle Inspection</t>
        </is>
      </c>
      <c r="J3335" t="inlineStr">
        <is>
          <t>N/A</t>
        </is>
      </c>
      <c r="K3335" t="inlineStr">
        <is>
          <t>7996 M G Tree Surgery Ltd 1</t>
        </is>
      </c>
      <c r="L3335" t="inlineStr">
        <is>
          <t>26/02/2026 07:52</t>
        </is>
      </c>
      <c r="M3335" t="inlineStr">
        <is>
          <t>None</t>
        </is>
      </c>
      <c r="N3335" t="inlineStr">
        <is>
          <t>&lt;p&gt;&lt;/p&gt;</t>
        </is>
      </c>
      <c r="O3335" t="inlineStr"/>
      <c r="P3335" t="inlineStr">
        <is>
          <t>GU13 WNL , MEWP , Land Rover , Defender 130</t>
        </is>
      </c>
      <c r="Q3335" t="inlineStr">
        <is>
          <t>UKPN</t>
        </is>
      </c>
      <c r="R3335" t="b">
        <v>0</v>
      </c>
    </row>
    <row r="3336">
      <c r="A3336" t="inlineStr">
        <is>
          <t>26 Feb 2026 / Anthony Gale</t>
        </is>
      </c>
      <c r="B3336" t="inlineStr">
        <is>
          <t>Utilities</t>
        </is>
      </c>
      <c r="C3336" t="inlineStr">
        <is>
          <t>UKPN</t>
        </is>
      </c>
      <c r="D3336" t="inlineStr">
        <is>
          <t>KX20 BCE , Tipper , Isuzu , D-Max</t>
        </is>
      </c>
      <c r="E3336" t="inlineStr">
        <is>
          <t>KX20 BCE , Tipper , Isuzu , D-Max</t>
        </is>
      </c>
      <c r="F3336" t="inlineStr">
        <is>
          <t>KX20 BCE , Tipper , Isuzu , D-Max</t>
        </is>
      </c>
      <c r="G3336" t="inlineStr">
        <is>
          <t>Anthony Gale</t>
        </is>
      </c>
      <c r="H3336" t="inlineStr">
        <is>
          <t>Pickup Truck</t>
        </is>
      </c>
      <c r="I3336" t="inlineStr">
        <is>
          <t>Daily/ Weekly Vehicle Inspection</t>
        </is>
      </c>
      <c r="J3336" t="inlineStr">
        <is>
          <t>N/A</t>
        </is>
      </c>
      <c r="K3336" t="inlineStr">
        <is>
          <t>7996 M G Tree Surgery Ltd 1</t>
        </is>
      </c>
      <c r="L3336" t="inlineStr">
        <is>
          <t>26/02/2026 07:54</t>
        </is>
      </c>
      <c r="M3336" t="inlineStr">
        <is>
          <t>None</t>
        </is>
      </c>
      <c r="N3336" t="inlineStr">
        <is>
          <t>&lt;p&gt;&lt;/p&gt;</t>
        </is>
      </c>
      <c r="O3336" t="inlineStr">
        <is>
          <t>Confirm that you have checked this vehicle as per the guidance document and the vehicle is safe and roadworthy:Light board deteriorating.
Safe for now.
Will need replacing soon.
-</t>
        </is>
      </c>
      <c r="P3336" t="inlineStr">
        <is>
          <t>KX20 BCE , Tipper , Isuzu , D-Max</t>
        </is>
      </c>
      <c r="Q3336" t="inlineStr">
        <is>
          <t>UKPN</t>
        </is>
      </c>
      <c r="R3336" t="b">
        <v>0</v>
      </c>
    </row>
    <row r="3337">
      <c r="A3337" t="inlineStr">
        <is>
          <t>26 Feb 2026 / Anthony Gale</t>
        </is>
      </c>
      <c r="B3337" t="inlineStr">
        <is>
          <t>Utilities</t>
        </is>
      </c>
      <c r="C3337" t="inlineStr">
        <is>
          <t>UKPN</t>
        </is>
      </c>
      <c r="D3337" t="inlineStr"/>
      <c r="E3337" t="inlineStr"/>
      <c r="F3337" t="inlineStr"/>
      <c r="G3337" t="inlineStr">
        <is>
          <t>Anthony Gale</t>
        </is>
      </c>
      <c r="H3337" t="inlineStr">
        <is>
          <t>Towed Chipper</t>
        </is>
      </c>
      <c r="I3337" t="inlineStr">
        <is>
          <t>Daily/ Weekly Vehicle Inspection</t>
        </is>
      </c>
      <c r="J3337" t="inlineStr">
        <is>
          <t>N/A</t>
        </is>
      </c>
      <c r="K3337" t="inlineStr">
        <is>
          <t>7996 M G Tree Surgery Ltd 1</t>
        </is>
      </c>
      <c r="L3337" t="inlineStr">
        <is>
          <t>26/02/2026 07:55</t>
        </is>
      </c>
      <c r="M3337" t="inlineStr">
        <is>
          <t>None</t>
        </is>
      </c>
      <c r="N3337" t="inlineStr">
        <is>
          <t>&lt;p&gt;&lt;/p&gt;</t>
        </is>
      </c>
      <c r="O3337" t="inlineStr"/>
      <c r="P3337" t="inlineStr"/>
      <c r="Q3337" t="inlineStr">
        <is>
          <t>UKPN</t>
        </is>
      </c>
      <c r="R3337" t="b">
        <v>0</v>
      </c>
    </row>
    <row r="3338">
      <c r="A3338" t="inlineStr">
        <is>
          <t>26 Feb 2026 / 6617 Ashdown Tree Limited 1</t>
        </is>
      </c>
      <c r="B3338" t="inlineStr">
        <is>
          <t>Utilities</t>
        </is>
      </c>
      <c r="C3338" t="inlineStr">
        <is>
          <t>UKPN</t>
        </is>
      </c>
      <c r="D3338" t="inlineStr">
        <is>
          <t>WG63OJS , 4x4 , Land rover  , defender</t>
        </is>
      </c>
      <c r="E3338" t="inlineStr">
        <is>
          <t>WG63OJS , 4x4 , Land rover  , defender</t>
        </is>
      </c>
      <c r="F3338" t="inlineStr">
        <is>
          <t>WG63OJS , 4x4 , Land rover  , defender</t>
        </is>
      </c>
      <c r="G3338" t="inlineStr">
        <is>
          <t>Dan</t>
        </is>
      </c>
      <c r="H3338" t="inlineStr">
        <is>
          <t>4x4</t>
        </is>
      </c>
      <c r="I3338" t="inlineStr">
        <is>
          <t>Daily/ Weekly Vehicle Inspection</t>
        </is>
      </c>
      <c r="J3338" t="inlineStr">
        <is>
          <t>N/A</t>
        </is>
      </c>
      <c r="K3338" t="inlineStr">
        <is>
          <t>6617 Ashdown Tree Limited - Team 2</t>
        </is>
      </c>
      <c r="L3338" t="inlineStr">
        <is>
          <t>26/02/2026 08:03</t>
        </is>
      </c>
      <c r="M3338" t="inlineStr">
        <is>
          <t>None</t>
        </is>
      </c>
      <c r="N3338" t="inlineStr">
        <is>
          <t>&lt;p&gt;&lt;/p&gt;</t>
        </is>
      </c>
      <c r="O3338" t="inlineStr"/>
      <c r="P3338" t="inlineStr">
        <is>
          <t>WG63OJS , 4x4 , Land rover  , defender</t>
        </is>
      </c>
      <c r="Q3338" t="inlineStr">
        <is>
          <t>UKPN</t>
        </is>
      </c>
      <c r="R3338" t="b">
        <v>0</v>
      </c>
    </row>
    <row r="3339">
      <c r="A3339" t="inlineStr">
        <is>
          <t>26 Feb 2026 / 7800 MAC Tree Surgery and Fencing Ltd / Utilities / UKPN</t>
        </is>
      </c>
      <c r="B3339" t="inlineStr">
        <is>
          <t>Utilities</t>
        </is>
      </c>
      <c r="C3339" t="inlineStr">
        <is>
          <t>UKPN</t>
        </is>
      </c>
      <c r="D3339" t="inlineStr">
        <is>
          <t>Plant Trailer - Towmate - 2.8t - 0</t>
        </is>
      </c>
      <c r="E3339" t="inlineStr">
        <is>
          <t>Plant Trailer - Towmate - 2.8t - 0</t>
        </is>
      </c>
      <c r="F3339" t="inlineStr">
        <is>
          <t>Plant Trailer - Towmate - 2.8t - 0</t>
        </is>
      </c>
      <c r="G3339" t="inlineStr">
        <is>
          <t>Lewis mac</t>
        </is>
      </c>
      <c r="H3339" t="inlineStr">
        <is>
          <t>Plant Trailer</t>
        </is>
      </c>
      <c r="I3339" t="inlineStr">
        <is>
          <t>Daily/ Weekly Vehicle Inspection</t>
        </is>
      </c>
      <c r="J3339" t="inlineStr">
        <is>
          <t>N/A</t>
        </is>
      </c>
      <c r="K3339" t="inlineStr">
        <is>
          <t>7800 MAC Tree Surgery and Fencing Ltd</t>
        </is>
      </c>
      <c r="L3339" t="inlineStr">
        <is>
          <t>26/02/2026 08:40</t>
        </is>
      </c>
      <c r="M3339" t="inlineStr">
        <is>
          <t>None</t>
        </is>
      </c>
      <c r="N3339" t="inlineStr">
        <is>
          <t>&lt;p&gt;&lt;/p&gt;</t>
        </is>
      </c>
      <c r="O3339" t="inlineStr"/>
      <c r="P3339" t="inlineStr">
        <is>
          <t>Plant Trailer - Towmate - 2.8t - 0</t>
        </is>
      </c>
      <c r="Q3339" t="inlineStr">
        <is>
          <t>UKPN</t>
        </is>
      </c>
      <c r="R3339" t="b">
        <v>0</v>
      </c>
    </row>
    <row r="3340">
      <c r="A3340" t="inlineStr">
        <is>
          <t>26 Feb 2026 / 7800 MAC Tree Surgery and Fencing Ltd / Utilities / UKPN</t>
        </is>
      </c>
      <c r="B3340" t="inlineStr">
        <is>
          <t>Utilities</t>
        </is>
      </c>
      <c r="C3340" t="inlineStr">
        <is>
          <t>UKPN</t>
        </is>
      </c>
      <c r="D3340" t="inlineStr">
        <is>
          <t>AY68DAA , 4x4 , Izuzu , Dmax</t>
        </is>
      </c>
      <c r="E3340" t="inlineStr">
        <is>
          <t>AY68DAA , 4x4 , Izuzu , Dmax</t>
        </is>
      </c>
      <c r="F3340" t="inlineStr">
        <is>
          <t>AY68DAA , 4x4 , Izuzu , Dmax</t>
        </is>
      </c>
      <c r="G3340" t="inlineStr">
        <is>
          <t xml:space="preserve">Patrick O'Shea </t>
        </is>
      </c>
      <c r="H3340" t="inlineStr">
        <is>
          <t>4x4</t>
        </is>
      </c>
      <c r="I3340" t="inlineStr">
        <is>
          <t>Daily/ Weekly Vehicle Inspection</t>
        </is>
      </c>
      <c r="J3340" t="inlineStr">
        <is>
          <t>N/A</t>
        </is>
      </c>
      <c r="K3340" t="inlineStr">
        <is>
          <t>7800 MAC Tree Surgery and Fencing Ltd</t>
        </is>
      </c>
      <c r="L3340" t="inlineStr">
        <is>
          <t>26/02/2026 08:43</t>
        </is>
      </c>
      <c r="M3340" t="inlineStr">
        <is>
          <t>None</t>
        </is>
      </c>
      <c r="N3340" t="inlineStr">
        <is>
          <t>&lt;p&gt;&lt;/p&gt;</t>
        </is>
      </c>
      <c r="O3340" t="inlineStr"/>
      <c r="P3340" t="inlineStr">
        <is>
          <t>AY68DAA , 4x4 , Izuzu , Dmax</t>
        </is>
      </c>
      <c r="Q3340" t="inlineStr">
        <is>
          <t>UKPN</t>
        </is>
      </c>
      <c r="R3340" t="b">
        <v>0</v>
      </c>
    </row>
    <row r="3341">
      <c r="A3341" t="inlineStr">
        <is>
          <t>26 Feb 2026 / 8148 Hope Ground and Tree Care</t>
        </is>
      </c>
      <c r="B3341" t="inlineStr">
        <is>
          <t>Utilities</t>
        </is>
      </c>
      <c r="C3341" t="inlineStr">
        <is>
          <t>UKPN</t>
        </is>
      </c>
      <c r="D3341" t="inlineStr">
        <is>
          <t>S6 NWX , MEWP , Isuzu , D-Max</t>
        </is>
      </c>
      <c r="E3341" t="inlineStr">
        <is>
          <t>S6 NWX , MEWP , Isuzu , D-Max</t>
        </is>
      </c>
      <c r="F3341" t="inlineStr">
        <is>
          <t>S6 NWX , MEWP , Isuzu , D-Max</t>
        </is>
      </c>
      <c r="G3341" t="inlineStr">
        <is>
          <t>A Hooe</t>
        </is>
      </c>
      <c r="H3341" t="inlineStr">
        <is>
          <t>4x4</t>
        </is>
      </c>
      <c r="I3341" t="inlineStr">
        <is>
          <t>Daily/ Weekly Vehicle Inspection</t>
        </is>
      </c>
      <c r="J3341" t="inlineStr">
        <is>
          <t>N/A</t>
        </is>
      </c>
      <c r="K3341" t="inlineStr">
        <is>
          <t>8148 Hope Ground and Tree Care</t>
        </is>
      </c>
      <c r="L3341" t="inlineStr">
        <is>
          <t>26/02/2026 08:44</t>
        </is>
      </c>
      <c r="M3341" t="inlineStr">
        <is>
          <t>None</t>
        </is>
      </c>
      <c r="N3341" t="inlineStr">
        <is>
          <t>&lt;p&gt;&lt;/p&gt;</t>
        </is>
      </c>
      <c r="O3341" t="inlineStr"/>
      <c r="P3341" t="inlineStr">
        <is>
          <t>S6 NWX , MEWP , Isuzu , D-Max</t>
        </is>
      </c>
      <c r="Q3341" t="inlineStr">
        <is>
          <t>UKPN</t>
        </is>
      </c>
      <c r="R3341" t="b">
        <v>0</v>
      </c>
    </row>
    <row r="3342">
      <c r="A3342" t="inlineStr">
        <is>
          <t>26 Feb 2026 / 7951 Austin Tree Care LTD 1</t>
        </is>
      </c>
      <c r="B3342" t="inlineStr">
        <is>
          <t>Utilities</t>
        </is>
      </c>
      <c r="C3342" t="inlineStr">
        <is>
          <t>UKPN</t>
        </is>
      </c>
      <c r="D3342" t="inlineStr">
        <is>
          <t>WG64HTT , 4x4 , Land Rover , Defender 110</t>
        </is>
      </c>
      <c r="E3342" t="inlineStr">
        <is>
          <t>WG64HTT , 4x4 , Land Rover , Defender 110</t>
        </is>
      </c>
      <c r="F3342" t="inlineStr">
        <is>
          <t>WG64HTT , 4x4 , Land Rover , Defender 110</t>
        </is>
      </c>
      <c r="G3342" t="inlineStr">
        <is>
          <t xml:space="preserve">James Tasker </t>
        </is>
      </c>
      <c r="H3342" t="inlineStr">
        <is>
          <t>4x4</t>
        </is>
      </c>
      <c r="I3342" t="inlineStr">
        <is>
          <t>Daily/ Weekly Vehicle Inspection</t>
        </is>
      </c>
      <c r="J3342" t="inlineStr">
        <is>
          <t>N/A</t>
        </is>
      </c>
      <c r="K3342" t="inlineStr">
        <is>
          <t>7951 Austin Tree Care LTD 1</t>
        </is>
      </c>
      <c r="L3342" t="inlineStr">
        <is>
          <t>26/02/2026 09:41</t>
        </is>
      </c>
      <c r="M3342" t="inlineStr">
        <is>
          <t>None</t>
        </is>
      </c>
      <c r="N3342" t="inlineStr">
        <is>
          <t>&lt;p&gt;&lt;/p&gt;</t>
        </is>
      </c>
      <c r="O3342" t="inlineStr"/>
      <c r="P3342" t="inlineStr">
        <is>
          <t>WG64HTT , 4x4 , Land Rover , Defender 110</t>
        </is>
      </c>
      <c r="Q3342" t="inlineStr">
        <is>
          <t>UKPN</t>
        </is>
      </c>
      <c r="R3342" t="b">
        <v>0</v>
      </c>
    </row>
    <row r="3343">
      <c r="A3343" t="inlineStr">
        <is>
          <t>26 Feb 2026 / Steve Broad</t>
        </is>
      </c>
      <c r="B3343" t="inlineStr">
        <is>
          <t>Utilities</t>
        </is>
      </c>
      <c r="C3343" t="inlineStr">
        <is>
          <t>NGED</t>
        </is>
      </c>
      <c r="D3343" t="inlineStr"/>
      <c r="E3343" t="inlineStr"/>
      <c r="F3343" t="inlineStr"/>
      <c r="G3343" t="inlineStr">
        <is>
          <t>Steve Broad</t>
        </is>
      </c>
      <c r="H3343" t="inlineStr">
        <is>
          <t>Van</t>
        </is>
      </c>
      <c r="I3343" t="inlineStr">
        <is>
          <t>Daily/ Weekly Vehicle Inspection</t>
        </is>
      </c>
      <c r="J3343" t="inlineStr">
        <is>
          <t>N/A</t>
        </is>
      </c>
      <c r="K3343" t="inlineStr">
        <is>
          <t>Steve Broad</t>
        </is>
      </c>
      <c r="L3343" t="inlineStr">
        <is>
          <t>26/02/2026 10:40</t>
        </is>
      </c>
      <c r="M3343" t="inlineStr">
        <is>
          <t>None</t>
        </is>
      </c>
      <c r="N3343" t="inlineStr">
        <is>
          <t>&lt;p&gt;&lt;/p&gt;</t>
        </is>
      </c>
      <c r="O3343" t="inlineStr"/>
      <c r="P3343" t="inlineStr"/>
      <c r="Q3343" t="inlineStr">
        <is>
          <t>NGED</t>
        </is>
      </c>
      <c r="R3343" t="b">
        <v>0</v>
      </c>
    </row>
    <row r="3344">
      <c r="A3344" t="inlineStr">
        <is>
          <t>26 Feb 2026 / Kevin Miller</t>
        </is>
      </c>
      <c r="B3344" t="inlineStr">
        <is>
          <t>Utilities</t>
        </is>
      </c>
      <c r="C3344" t="inlineStr">
        <is>
          <t>UKPN</t>
        </is>
      </c>
      <c r="D3344" t="inlineStr">
        <is>
          <t>EO73KUF , Car - Electric , Kia , Niro</t>
        </is>
      </c>
      <c r="E3344" t="inlineStr">
        <is>
          <t>EO73KUF , Car - Electric , Kia , Niro</t>
        </is>
      </c>
      <c r="F3344" t="inlineStr">
        <is>
          <t>EO73KUF , Car - Electric , Kia , Niro</t>
        </is>
      </c>
      <c r="G3344" t="inlineStr">
        <is>
          <t xml:space="preserve">Kevin Miller </t>
        </is>
      </c>
      <c r="H3344" t="inlineStr">
        <is>
          <t>Car - Electric (GC Owned)</t>
        </is>
      </c>
      <c r="I3344" t="inlineStr">
        <is>
          <t>Daily/ Weekly Vehicle Inspection</t>
        </is>
      </c>
      <c r="J3344" t="inlineStr">
        <is>
          <t>N/A</t>
        </is>
      </c>
      <c r="K3344" t="inlineStr">
        <is>
          <t>Kevin Miller</t>
        </is>
      </c>
      <c r="L3344" t="inlineStr">
        <is>
          <t>26/02/2026 12:40</t>
        </is>
      </c>
      <c r="M3344" t="inlineStr">
        <is>
          <t>None</t>
        </is>
      </c>
      <c r="N3344" t="inlineStr">
        <is>
          <t>&lt;p&gt;&lt;/p&gt;</t>
        </is>
      </c>
      <c r="O3344" t="inlineStr"/>
      <c r="P3344" t="inlineStr">
        <is>
          <t>EO73KUF , Car - Electric , Kia , Niro</t>
        </is>
      </c>
      <c r="Q3344" t="inlineStr">
        <is>
          <t>UKPN</t>
        </is>
      </c>
      <c r="R3344" t="b">
        <v>0</v>
      </c>
    </row>
    <row r="3345">
      <c r="A3345" t="inlineStr">
        <is>
          <t>26 Feb 2026 / Oliver Coyle</t>
        </is>
      </c>
      <c r="B3345" t="inlineStr">
        <is>
          <t>Utilities</t>
        </is>
      </c>
      <c r="C3345" t="inlineStr">
        <is>
          <t>NGED</t>
        </is>
      </c>
      <c r="D3345" t="inlineStr">
        <is>
          <t>GL20TSX , Car - Electric , Tesla , Model 3 Long Range AWD</t>
        </is>
      </c>
      <c r="E3345" t="inlineStr">
        <is>
          <t>GL20TSX , Car - Electric , Tesla , Model 3 Long Range AWD</t>
        </is>
      </c>
      <c r="F3345" t="inlineStr">
        <is>
          <t>GL20TSX , Car - Electric , Tesla , Model 3 Long Range AWD</t>
        </is>
      </c>
      <c r="G3345" t="inlineStr">
        <is>
          <t xml:space="preserve">Oliver Coyle </t>
        </is>
      </c>
      <c r="H3345" t="inlineStr">
        <is>
          <t>Car - Electric (GC Owned)</t>
        </is>
      </c>
      <c r="I3345" t="inlineStr">
        <is>
          <t>Daily/ Weekly Vehicle Inspection</t>
        </is>
      </c>
      <c r="J3345" t="inlineStr">
        <is>
          <t>N/A</t>
        </is>
      </c>
      <c r="K3345" t="inlineStr">
        <is>
          <t>Oliver Coyle</t>
        </is>
      </c>
      <c r="L3345" t="inlineStr">
        <is>
          <t>26/02/2026 12:41</t>
        </is>
      </c>
      <c r="M3345" t="inlineStr">
        <is>
          <t>None</t>
        </is>
      </c>
      <c r="N3345" t="inlineStr">
        <is>
          <t>&lt;p&gt;&lt;/p&gt;</t>
        </is>
      </c>
      <c r="O3345" t="inlineStr"/>
      <c r="P3345" t="inlineStr">
        <is>
          <t>GL20TSX , Car - Electric , Tesla , Model 3 Long Range AWD</t>
        </is>
      </c>
      <c r="Q3345" t="inlineStr">
        <is>
          <t>NGED</t>
        </is>
      </c>
      <c r="R3345" t="b">
        <v>0</v>
      </c>
    </row>
    <row r="3346">
      <c r="A3346" t="inlineStr">
        <is>
          <t>27 Feb 2026 / Thomas Playford</t>
        </is>
      </c>
      <c r="B3346" t="inlineStr">
        <is>
          <t>Utilities</t>
        </is>
      </c>
      <c r="C3346" t="inlineStr">
        <is>
          <t>UKPN</t>
        </is>
      </c>
      <c r="D3346" t="inlineStr">
        <is>
          <t>LK15KRZ , 4x4 , Landrover , Defender</t>
        </is>
      </c>
      <c r="E3346" t="inlineStr">
        <is>
          <t>LK15KRZ , 4x4 , Landrover , Defender</t>
        </is>
      </c>
      <c r="F3346" t="inlineStr">
        <is>
          <t>LK15KRZ , 4x4 , Landrover , Defender</t>
        </is>
      </c>
      <c r="G3346" t="inlineStr">
        <is>
          <t>Jacob Oram</t>
        </is>
      </c>
      <c r="H3346" t="inlineStr">
        <is>
          <t>4x4</t>
        </is>
      </c>
      <c r="I3346" t="inlineStr">
        <is>
          <t>Daily/ Weekly Vehicle Inspection</t>
        </is>
      </c>
      <c r="J3346" t="inlineStr">
        <is>
          <t>N/A</t>
        </is>
      </c>
      <c r="K3346" t="inlineStr">
        <is>
          <t>7995 Green Net Eco Ltd 2</t>
        </is>
      </c>
      <c r="L3346" t="inlineStr">
        <is>
          <t>27/02/2026 07:40</t>
        </is>
      </c>
      <c r="M3346" t="inlineStr">
        <is>
          <t>None</t>
        </is>
      </c>
      <c r="N3346" t="inlineStr">
        <is>
          <t>&lt;p&gt;&lt;/p&gt;</t>
        </is>
      </c>
      <c r="O3346" t="inlineStr"/>
      <c r="P3346" t="inlineStr">
        <is>
          <t>LK15KRZ , 4x4 , Landrover , Defender</t>
        </is>
      </c>
      <c r="Q3346" t="inlineStr">
        <is>
          <t>UKPN</t>
        </is>
      </c>
      <c r="R3346" t="b">
        <v>0</v>
      </c>
    </row>
    <row r="3347">
      <c r="A3347" t="inlineStr">
        <is>
          <t>27 Feb 2026 / Thomas Playford</t>
        </is>
      </c>
      <c r="B3347" t="inlineStr">
        <is>
          <t>Utilities</t>
        </is>
      </c>
      <c r="C3347" t="inlineStr">
        <is>
          <t>UKPN</t>
        </is>
      </c>
      <c r="D3347" t="inlineStr">
        <is>
          <t>SA9ST800000283944 , Towed Chipper , Forst , ST8D - Towed</t>
        </is>
      </c>
      <c r="E3347" t="inlineStr">
        <is>
          <t>SA9ST800000283944 , Towed Chipper , Forst , ST8D - Towed</t>
        </is>
      </c>
      <c r="F3347" t="inlineStr">
        <is>
          <t>SA9ST800000283944 , Towed Chipper , Forst , ST8D - Towed</t>
        </is>
      </c>
      <c r="G3347" t="inlineStr">
        <is>
          <t>Thomas Playford</t>
        </is>
      </c>
      <c r="H3347" t="inlineStr">
        <is>
          <t>Towed Chipper</t>
        </is>
      </c>
      <c r="I3347" t="inlineStr">
        <is>
          <t>Daily/ Weekly Vehicle Inspection</t>
        </is>
      </c>
      <c r="J3347" t="inlineStr">
        <is>
          <t>N/A</t>
        </is>
      </c>
      <c r="K3347" t="inlineStr">
        <is>
          <t>7995 Green Net Eco Ltd 2</t>
        </is>
      </c>
      <c r="L3347" t="inlineStr">
        <is>
          <t>27/02/2026 07:42</t>
        </is>
      </c>
      <c r="M3347" t="inlineStr">
        <is>
          <t>None</t>
        </is>
      </c>
      <c r="N3347" t="inlineStr">
        <is>
          <t>&lt;p&gt;&lt;/p&gt;</t>
        </is>
      </c>
      <c r="O3347" t="inlineStr"/>
      <c r="P3347" t="inlineStr">
        <is>
          <t>SA9ST800000283944 , Towed Chipper , Forst , ST8D - Towed</t>
        </is>
      </c>
      <c r="Q3347" t="inlineStr">
        <is>
          <t>UKPN</t>
        </is>
      </c>
      <c r="R3347" t="b">
        <v>0</v>
      </c>
    </row>
    <row r="3348">
      <c r="A3348" t="inlineStr">
        <is>
          <t>27 Feb 2026 / Thomas Playford</t>
        </is>
      </c>
      <c r="B3348" t="inlineStr">
        <is>
          <t>Utilities</t>
        </is>
      </c>
      <c r="C3348" t="inlineStr">
        <is>
          <t>UKPN</t>
        </is>
      </c>
      <c r="D3348" t="inlineStr">
        <is>
          <t>X21TNP , 4x4 , Toyota , Hilux</t>
        </is>
      </c>
      <c r="E3348" t="inlineStr">
        <is>
          <t>X21TNP , 4x4 , Toyota , Hilux</t>
        </is>
      </c>
      <c r="F3348" t="inlineStr">
        <is>
          <t>X21TNP , 4x4 , Toyota , Hilux</t>
        </is>
      </c>
      <c r="G3348" t="inlineStr">
        <is>
          <t>Thomas Playford</t>
        </is>
      </c>
      <c r="H3348" t="inlineStr">
        <is>
          <t>4x4</t>
        </is>
      </c>
      <c r="I3348" t="inlineStr">
        <is>
          <t>Daily/ Weekly Vehicle Inspection</t>
        </is>
      </c>
      <c r="J3348" t="inlineStr">
        <is>
          <t>N/A</t>
        </is>
      </c>
      <c r="K3348" t="inlineStr">
        <is>
          <t>7995 Green Net Eco Ltd 2</t>
        </is>
      </c>
      <c r="L3348" t="inlineStr">
        <is>
          <t>27/02/2026 07:43</t>
        </is>
      </c>
      <c r="M3348" t="inlineStr">
        <is>
          <t>None</t>
        </is>
      </c>
      <c r="N3348" t="inlineStr">
        <is>
          <t>&lt;p&gt;&lt;/p&gt;</t>
        </is>
      </c>
      <c r="O3348" t="inlineStr"/>
      <c r="P3348" t="inlineStr">
        <is>
          <t>X21TNP , 4x4 , Toyota , Hilux</t>
        </is>
      </c>
      <c r="Q3348" t="inlineStr">
        <is>
          <t>UKPN</t>
        </is>
      </c>
      <c r="R3348" t="b">
        <v>0</v>
      </c>
    </row>
    <row r="3349">
      <c r="A3349" t="inlineStr">
        <is>
          <t>27 Feb 2026 / 7806 Optimum Tree Services Ltd</t>
        </is>
      </c>
      <c r="B3349" t="inlineStr">
        <is>
          <t>Utilities</t>
        </is>
      </c>
      <c r="C3349" t="inlineStr">
        <is>
          <t>UKPN</t>
        </is>
      </c>
      <c r="D3349" t="inlineStr">
        <is>
          <t>Wd14evn , 4x4 , Landrover  , Defender</t>
        </is>
      </c>
      <c r="E3349" t="inlineStr">
        <is>
          <t>Wd14evn , 4x4 , Landrover  , Defender</t>
        </is>
      </c>
      <c r="F3349" t="inlineStr">
        <is>
          <t>Wd14evn , 4x4 , Landrover  , Defender</t>
        </is>
      </c>
      <c r="G3349" t="inlineStr">
        <is>
          <t xml:space="preserve">Lewis Davies </t>
        </is>
      </c>
      <c r="H3349" t="inlineStr">
        <is>
          <t>4x4</t>
        </is>
      </c>
      <c r="I3349" t="inlineStr">
        <is>
          <t>Daily/ Weekly Vehicle Inspection</t>
        </is>
      </c>
      <c r="J3349" t="inlineStr">
        <is>
          <t>N/A</t>
        </is>
      </c>
      <c r="K3349" t="inlineStr">
        <is>
          <t>7806 Optimum Tree Services Ltd</t>
        </is>
      </c>
      <c r="L3349" t="inlineStr">
        <is>
          <t>27/02/2026 07:50</t>
        </is>
      </c>
      <c r="M3349" t="inlineStr">
        <is>
          <t>None</t>
        </is>
      </c>
      <c r="N3349" t="inlineStr">
        <is>
          <t>&lt;p&gt;&lt;/p&gt;</t>
        </is>
      </c>
      <c r="O3349" t="inlineStr"/>
      <c r="P3349" t="inlineStr">
        <is>
          <t>Wd14evn , 4x4 , Landrover  , Defender</t>
        </is>
      </c>
      <c r="Q3349" t="inlineStr">
        <is>
          <t>UKPN</t>
        </is>
      </c>
      <c r="R3349" t="b">
        <v>0</v>
      </c>
    </row>
    <row r="3350">
      <c r="A3350" t="inlineStr">
        <is>
          <t>27 Feb 2026 / 7806 Optimum Tree Services Ltd / Utilities / UKPN</t>
        </is>
      </c>
      <c r="B3350" t="inlineStr">
        <is>
          <t>Utilities</t>
        </is>
      </c>
      <c r="C3350" t="inlineStr">
        <is>
          <t>UKPN</t>
        </is>
      </c>
      <c r="D3350" t="inlineStr">
        <is>
          <t>Wd14evn , 4x4 , Landrover  , Defender</t>
        </is>
      </c>
      <c r="E3350" t="inlineStr">
        <is>
          <t>Wd14evn , 4x4 , Landrover  , Defender</t>
        </is>
      </c>
      <c r="F3350" t="inlineStr">
        <is>
          <t>Wd14evn , 4x4 , Landrover  , Defender</t>
        </is>
      </c>
      <c r="G3350" t="inlineStr">
        <is>
          <t xml:space="preserve">Abraham Davies </t>
        </is>
      </c>
      <c r="H3350" t="inlineStr">
        <is>
          <t>4x4</t>
        </is>
      </c>
      <c r="I3350" t="inlineStr">
        <is>
          <t>Daily/ Weekly Vehicle Inspection</t>
        </is>
      </c>
      <c r="J3350" t="inlineStr">
        <is>
          <t>N/A</t>
        </is>
      </c>
      <c r="K3350" t="inlineStr">
        <is>
          <t>7806 Optimum Tree Services Ltd</t>
        </is>
      </c>
      <c r="L3350" t="inlineStr">
        <is>
          <t>27/02/2026 07:51</t>
        </is>
      </c>
      <c r="M3350" t="inlineStr">
        <is>
          <t>None</t>
        </is>
      </c>
      <c r="N3350" t="inlineStr">
        <is>
          <t>&lt;p&gt;&lt;/p&gt;</t>
        </is>
      </c>
      <c r="O3350" t="inlineStr"/>
      <c r="P3350" t="inlineStr">
        <is>
          <t>Wd14evn , 4x4 , Landrover  , Defender</t>
        </is>
      </c>
      <c r="Q3350" t="inlineStr">
        <is>
          <t>UKPN</t>
        </is>
      </c>
      <c r="R3350" t="b">
        <v>0</v>
      </c>
    </row>
    <row r="3351">
      <c r="A3351" t="inlineStr">
        <is>
          <t>27 Feb 2026 / 7806 Optimum Tree Services Ltd / Utilities / UKPN</t>
        </is>
      </c>
      <c r="B3351" t="inlineStr">
        <is>
          <t>Utilities</t>
        </is>
      </c>
      <c r="C3351" t="inlineStr">
        <is>
          <t>UKPN</t>
        </is>
      </c>
      <c r="D3351" t="inlineStr">
        <is>
          <t>SA9TAPLAF27414263 , Trailer , Tow Mate , Plant Trailer</t>
        </is>
      </c>
      <c r="E3351" t="inlineStr">
        <is>
          <t>SA9TAPLAF27414263 , Trailer , Tow Mate , Plant Trailer</t>
        </is>
      </c>
      <c r="F3351" t="inlineStr">
        <is>
          <t>SA9TAPLAF27414263 , Trailer , Tow Mate , Plant Trailer</t>
        </is>
      </c>
      <c r="G3351" t="inlineStr">
        <is>
          <t xml:space="preserve">Abraham Davies </t>
        </is>
      </c>
      <c r="H3351" t="inlineStr">
        <is>
          <t>Plant Trailer</t>
        </is>
      </c>
      <c r="I3351" t="inlineStr">
        <is>
          <t>Daily/ Weekly Vehicle Inspection</t>
        </is>
      </c>
      <c r="J3351" t="inlineStr">
        <is>
          <t>N/A</t>
        </is>
      </c>
      <c r="K3351" t="inlineStr">
        <is>
          <t>7806 Optimum Tree Services Ltd</t>
        </is>
      </c>
      <c r="L3351" t="inlineStr">
        <is>
          <t>27/02/2026 07:52</t>
        </is>
      </c>
      <c r="M3351" t="inlineStr">
        <is>
          <t>None</t>
        </is>
      </c>
      <c r="N3351" t="inlineStr">
        <is>
          <t>&lt;p&gt;&lt;/p&gt;</t>
        </is>
      </c>
      <c r="O3351" t="inlineStr"/>
      <c r="P3351" t="inlineStr">
        <is>
          <t>SA9TAPLAF27414263 , Trailer , Tow Mate , Plant Trailer</t>
        </is>
      </c>
      <c r="Q3351" t="inlineStr">
        <is>
          <t>UKPN</t>
        </is>
      </c>
      <c r="R3351" t="b">
        <v>0</v>
      </c>
    </row>
    <row r="3352">
      <c r="A3352" t="inlineStr">
        <is>
          <t>27 Feb 2026 / 7186 Eastwoodbury Tree Services Ltd</t>
        </is>
      </c>
      <c r="B3352" t="inlineStr">
        <is>
          <t>Utilities</t>
        </is>
      </c>
      <c r="C3352" t="inlineStr">
        <is>
          <t>UKPN</t>
        </is>
      </c>
      <c r="D3352" t="inlineStr">
        <is>
          <t>DN61XKJ , Tipper , Ford , Transit</t>
        </is>
      </c>
      <c r="E3352" t="inlineStr">
        <is>
          <t>DN61XKJ , Tipper , Ford , Transit</t>
        </is>
      </c>
      <c r="F3352" t="inlineStr">
        <is>
          <t>DN61XKJ , Tipper , Ford , Transit</t>
        </is>
      </c>
      <c r="G3352" t="inlineStr">
        <is>
          <t xml:space="preserve">Dan Gilbert </t>
        </is>
      </c>
      <c r="H3352" t="inlineStr">
        <is>
          <t>Tipper</t>
        </is>
      </c>
      <c r="I3352" t="inlineStr">
        <is>
          <t>Daily/ Weekly Vehicle Inspection</t>
        </is>
      </c>
      <c r="J3352" t="inlineStr">
        <is>
          <t>N/A</t>
        </is>
      </c>
      <c r="K3352" t="inlineStr">
        <is>
          <t>7186 Eastwoodbury Tree Services Ltd</t>
        </is>
      </c>
      <c r="L3352" t="inlineStr">
        <is>
          <t>27/02/2026 07:53</t>
        </is>
      </c>
      <c r="M3352" t="inlineStr">
        <is>
          <t>None</t>
        </is>
      </c>
      <c r="N3352" t="inlineStr">
        <is>
          <t>&lt;p&gt;&lt;/p&gt;</t>
        </is>
      </c>
      <c r="O3352" t="inlineStr"/>
      <c r="P3352" t="inlineStr">
        <is>
          <t>DN61XKJ , Tipper , Ford , Transit</t>
        </is>
      </c>
      <c r="Q3352" t="inlineStr">
        <is>
          <t>UKPN</t>
        </is>
      </c>
      <c r="R3352" t="b">
        <v>0</v>
      </c>
    </row>
    <row r="3353">
      <c r="A3353" t="inlineStr">
        <is>
          <t>27 Feb 2026 / 7186 Eastwoodbury Tree Services Ltd</t>
        </is>
      </c>
      <c r="B3353" t="inlineStr">
        <is>
          <t>Utilities</t>
        </is>
      </c>
      <c r="C3353" t="inlineStr">
        <is>
          <t>UKPN</t>
        </is>
      </c>
      <c r="D3353" t="inlineStr">
        <is>
          <t>FX14 XCV , 4x4 , Land Rover  , Defender</t>
        </is>
      </c>
      <c r="E3353" t="inlineStr">
        <is>
          <t>FX14 XCV , 4x4 , Land Rover  , Defender</t>
        </is>
      </c>
      <c r="F3353" t="inlineStr">
        <is>
          <t>FX14 XCV , 4x4 , Land Rover  , Defender</t>
        </is>
      </c>
      <c r="G3353" t="inlineStr">
        <is>
          <t xml:space="preserve">Tom price </t>
        </is>
      </c>
      <c r="H3353" t="inlineStr">
        <is>
          <t>4x4</t>
        </is>
      </c>
      <c r="I3353" t="inlineStr">
        <is>
          <t>Daily/ Weekly Vehicle Inspection</t>
        </is>
      </c>
      <c r="J3353" t="inlineStr">
        <is>
          <t>N/A</t>
        </is>
      </c>
      <c r="K3353" t="inlineStr">
        <is>
          <t>7186 Eastwoodbury Tree Services Ltd</t>
        </is>
      </c>
      <c r="L3353" t="inlineStr">
        <is>
          <t>27/02/2026 07:55</t>
        </is>
      </c>
      <c r="M3353" t="inlineStr">
        <is>
          <t>None</t>
        </is>
      </c>
      <c r="N3353" t="inlineStr">
        <is>
          <t>&lt;p&gt;&lt;/p&gt;</t>
        </is>
      </c>
      <c r="O3353" t="inlineStr"/>
      <c r="P3353" t="inlineStr">
        <is>
          <t>FX14 XCV , 4x4 , Land Rover  , Defender</t>
        </is>
      </c>
      <c r="Q3353" t="inlineStr">
        <is>
          <t>UKPN</t>
        </is>
      </c>
      <c r="R3353" t="b">
        <v>0</v>
      </c>
    </row>
    <row r="3354">
      <c r="A3354" t="inlineStr">
        <is>
          <t>27 Feb 2026 / 6617 Ashdown Tree Limited 1</t>
        </is>
      </c>
      <c r="B3354" t="inlineStr">
        <is>
          <t>Utilities</t>
        </is>
      </c>
      <c r="C3354" t="inlineStr">
        <is>
          <t>UKPN</t>
        </is>
      </c>
      <c r="D3354" t="inlineStr">
        <is>
          <t>WG63OJS , 4x4 , Land rover  , defender</t>
        </is>
      </c>
      <c r="E3354" t="inlineStr">
        <is>
          <t>WG63OJS , 4x4 , Land rover  , defender</t>
        </is>
      </c>
      <c r="F3354" t="inlineStr">
        <is>
          <t>WG63OJS , 4x4 , Land rover  , defender</t>
        </is>
      </c>
      <c r="G3354" t="inlineStr">
        <is>
          <t>Dan</t>
        </is>
      </c>
      <c r="H3354" t="inlineStr">
        <is>
          <t>4x4</t>
        </is>
      </c>
      <c r="I3354" t="inlineStr">
        <is>
          <t>Daily/ Weekly Vehicle Inspection</t>
        </is>
      </c>
      <c r="J3354" t="inlineStr">
        <is>
          <t>N/A</t>
        </is>
      </c>
      <c r="K3354" t="inlineStr">
        <is>
          <t>6617 Ashdown Tree Limited - Team 2</t>
        </is>
      </c>
      <c r="L3354" t="inlineStr">
        <is>
          <t>27/02/2026 07:58</t>
        </is>
      </c>
      <c r="M3354" t="inlineStr">
        <is>
          <t>None</t>
        </is>
      </c>
      <c r="N3354" t="inlineStr">
        <is>
          <t>&lt;p&gt;&lt;/p&gt;</t>
        </is>
      </c>
      <c r="O3354" t="inlineStr"/>
      <c r="P3354" t="inlineStr">
        <is>
          <t>WG63OJS , 4x4 , Land rover  , defender</t>
        </is>
      </c>
      <c r="Q3354" t="inlineStr">
        <is>
          <t>UKPN</t>
        </is>
      </c>
      <c r="R3354" t="b">
        <v>0</v>
      </c>
    </row>
    <row r="3355">
      <c r="A3355" t="inlineStr">
        <is>
          <t>27 Feb 2026 / 3098 D &amp; R Landscapes</t>
        </is>
      </c>
      <c r="B3355" t="inlineStr">
        <is>
          <t>Utilities</t>
        </is>
      </c>
      <c r="C3355" t="inlineStr">
        <is>
          <t>UKPN</t>
        </is>
      </c>
      <c r="D3355" t="inlineStr">
        <is>
          <t>BT20 GNZ , Vehicle , Nissan , Navara</t>
        </is>
      </c>
      <c r="E3355" t="inlineStr">
        <is>
          <t>BT20 GNZ , Vehicle , Nissan , Navara</t>
        </is>
      </c>
      <c r="F3355" t="inlineStr">
        <is>
          <t>BT20 GNZ , Vehicle , Nissan , Navara</t>
        </is>
      </c>
      <c r="G3355" t="inlineStr">
        <is>
          <t>Jason</t>
        </is>
      </c>
      <c r="H3355" t="inlineStr">
        <is>
          <t>Pickup Truck</t>
        </is>
      </c>
      <c r="I3355" t="inlineStr">
        <is>
          <t>Daily/ Weekly Vehicle Inspection</t>
        </is>
      </c>
      <c r="J3355" t="inlineStr">
        <is>
          <t>N/A</t>
        </is>
      </c>
      <c r="K3355" t="inlineStr">
        <is>
          <t>3098 D &amp; R Landscapes</t>
        </is>
      </c>
      <c r="L3355" t="inlineStr">
        <is>
          <t>27/02/2026 08:01</t>
        </is>
      </c>
      <c r="M3355" t="inlineStr">
        <is>
          <t>None</t>
        </is>
      </c>
      <c r="N3355" t="inlineStr">
        <is>
          <t>&lt;p&gt;&lt;/p&gt;</t>
        </is>
      </c>
      <c r="O3355" t="inlineStr"/>
      <c r="P3355" t="inlineStr">
        <is>
          <t>BT20 GNZ , Vehicle , Nissan , Navara</t>
        </is>
      </c>
      <c r="Q3355" t="inlineStr">
        <is>
          <t>UKPN</t>
        </is>
      </c>
      <c r="R3355" t="b">
        <v>0</v>
      </c>
    </row>
    <row r="3356">
      <c r="A3356" t="inlineStr">
        <is>
          <t>27 Feb 2026 / 8040 S6 Tree specialists Ltd</t>
        </is>
      </c>
      <c r="B3356" t="inlineStr">
        <is>
          <t>Utilities</t>
        </is>
      </c>
      <c r="C3356" t="inlineStr">
        <is>
          <t>UKPN</t>
        </is>
      </c>
      <c r="D3356" t="inlineStr">
        <is>
          <t>Na , Towed Chipper , Timberwolf  , 190</t>
        </is>
      </c>
      <c r="E3356" t="inlineStr">
        <is>
          <t>Na , Towed Chipper , Timberwolf  , 190</t>
        </is>
      </c>
      <c r="F3356" t="inlineStr">
        <is>
          <t>Na , Towed Chipper , Timberwolf  , 190</t>
        </is>
      </c>
      <c r="G3356" t="inlineStr">
        <is>
          <t xml:space="preserve">Luke </t>
        </is>
      </c>
      <c r="H3356" t="inlineStr">
        <is>
          <t>Towed Chipper</t>
        </is>
      </c>
      <c r="I3356" t="inlineStr">
        <is>
          <t>Daily/ Weekly Vehicle Inspection</t>
        </is>
      </c>
      <c r="J3356" t="inlineStr">
        <is>
          <t>N/A</t>
        </is>
      </c>
      <c r="K3356" t="inlineStr">
        <is>
          <t>8040 S6 Tree specialists Ltd</t>
        </is>
      </c>
      <c r="L3356" t="inlineStr">
        <is>
          <t>27/02/2026 08:02</t>
        </is>
      </c>
      <c r="M3356" t="inlineStr">
        <is>
          <t>None</t>
        </is>
      </c>
      <c r="N3356" t="inlineStr">
        <is>
          <t>&lt;p&gt;&lt;/p&gt;</t>
        </is>
      </c>
      <c r="O3356" t="inlineStr"/>
      <c r="P3356" t="inlineStr">
        <is>
          <t>Na , Towed Chipper , Timberwolf  , 190</t>
        </is>
      </c>
      <c r="Q3356" t="inlineStr">
        <is>
          <t>UKPN</t>
        </is>
      </c>
      <c r="R3356" t="b">
        <v>0</v>
      </c>
    </row>
    <row r="3357">
      <c r="A3357" t="inlineStr">
        <is>
          <t>27 Feb 2026 / 8040 S6 Tree specialists Ltd</t>
        </is>
      </c>
      <c r="B3357" t="inlineStr">
        <is>
          <t>Utilities</t>
        </is>
      </c>
      <c r="C3357" t="inlineStr">
        <is>
          <t>UKPN</t>
        </is>
      </c>
      <c r="D3357" t="inlineStr">
        <is>
          <t>S66 LKE , Tipper , Ford  , Transit</t>
        </is>
      </c>
      <c r="E3357" t="inlineStr">
        <is>
          <t>S66 LKE , Tipper , Ford  , Transit</t>
        </is>
      </c>
      <c r="F3357" t="inlineStr">
        <is>
          <t>S66 LKE , Tipper , Ford  , Transit</t>
        </is>
      </c>
      <c r="G3357" t="inlineStr">
        <is>
          <t xml:space="preserve">Luke lane </t>
        </is>
      </c>
      <c r="H3357" t="inlineStr">
        <is>
          <t>Pickup Truck</t>
        </is>
      </c>
      <c r="I3357" t="inlineStr">
        <is>
          <t>Daily/ Weekly Vehicle Inspection</t>
        </is>
      </c>
      <c r="J3357" t="inlineStr">
        <is>
          <t>N/A</t>
        </is>
      </c>
      <c r="K3357" t="inlineStr">
        <is>
          <t>8040 S6 Tree specialists Ltd</t>
        </is>
      </c>
      <c r="L3357" t="inlineStr">
        <is>
          <t>27/02/2026 08:05</t>
        </is>
      </c>
      <c r="M3357" t="inlineStr">
        <is>
          <t>None</t>
        </is>
      </c>
      <c r="N3357" t="inlineStr">
        <is>
          <t>&lt;p&gt;&lt;/p&gt;</t>
        </is>
      </c>
      <c r="O3357" t="inlineStr"/>
      <c r="P3357" t="inlineStr">
        <is>
          <t>S66 LKE , Tipper , Ford  , Transit</t>
        </is>
      </c>
      <c r="Q3357" t="inlineStr">
        <is>
          <t>UKPN</t>
        </is>
      </c>
      <c r="R3357" t="b">
        <v>0</v>
      </c>
    </row>
    <row r="3358">
      <c r="A3358" t="inlineStr">
        <is>
          <t>27 Feb 2026 / Anthony Gale</t>
        </is>
      </c>
      <c r="B3358" t="inlineStr">
        <is>
          <t>Utilities</t>
        </is>
      </c>
      <c r="C3358" t="inlineStr">
        <is>
          <t>UKPN</t>
        </is>
      </c>
      <c r="D3358" t="inlineStr">
        <is>
          <t>KX20 BCE , Tipper , Isuzu , D-Max</t>
        </is>
      </c>
      <c r="E3358" t="inlineStr">
        <is>
          <t>KX20 BCE , Tipper , Isuzu , D-Max</t>
        </is>
      </c>
      <c r="F3358" t="inlineStr">
        <is>
          <t>KX20 BCE , Tipper , Isuzu , D-Max</t>
        </is>
      </c>
      <c r="G3358" t="inlineStr">
        <is>
          <t>Anthony Gale</t>
        </is>
      </c>
      <c r="H3358" t="inlineStr">
        <is>
          <t>Pickup Truck</t>
        </is>
      </c>
      <c r="I3358" t="inlineStr">
        <is>
          <t>Daily/ Weekly Vehicle Inspection</t>
        </is>
      </c>
      <c r="J3358" t="inlineStr">
        <is>
          <t>N/A</t>
        </is>
      </c>
      <c r="K3358" t="inlineStr">
        <is>
          <t>7996 M G Tree Surgery Ltd 1</t>
        </is>
      </c>
      <c r="L3358" t="inlineStr">
        <is>
          <t>27/02/2026 08:06</t>
        </is>
      </c>
      <c r="M3358" t="inlineStr">
        <is>
          <t>None</t>
        </is>
      </c>
      <c r="N3358" t="inlineStr">
        <is>
          <t>&lt;p&gt;&lt;/p&gt;</t>
        </is>
      </c>
      <c r="O3358" t="inlineStr">
        <is>
          <t>Confirm that you have checked this vehicle as per the guidance document and the vehicle is safe and roadworthy:Light board deteriorating.
Safe for now.
Will need replacing soon.
-</t>
        </is>
      </c>
      <c r="P3358" t="inlineStr">
        <is>
          <t>KX20 BCE , Tipper , Isuzu , D-Max</t>
        </is>
      </c>
      <c r="Q3358" t="inlineStr">
        <is>
          <t>UKPN</t>
        </is>
      </c>
      <c r="R3358" t="b">
        <v>0</v>
      </c>
    </row>
    <row r="3359">
      <c r="A3359" t="inlineStr">
        <is>
          <t>27 Feb 2026 / Anthony Gale</t>
        </is>
      </c>
      <c r="B3359" t="inlineStr">
        <is>
          <t>Utilities</t>
        </is>
      </c>
      <c r="C3359" t="inlineStr">
        <is>
          <t>UKPN</t>
        </is>
      </c>
      <c r="D3359" t="inlineStr">
        <is>
          <t>GU13 WNL , MEWP , Land Rover , Defender 130</t>
        </is>
      </c>
      <c r="E3359" t="inlineStr">
        <is>
          <t>GU13 WNL , MEWP , Land Rover , Defender 130</t>
        </is>
      </c>
      <c r="F3359" t="inlineStr">
        <is>
          <t>GU13 WNL , MEWP , Land Rover , Defender 130</t>
        </is>
      </c>
      <c r="G3359" t="inlineStr">
        <is>
          <t>Anthony Gale</t>
        </is>
      </c>
      <c r="H3359" t="inlineStr">
        <is>
          <t>4x4</t>
        </is>
      </c>
      <c r="I3359" t="inlineStr">
        <is>
          <t>Daily/ Weekly Vehicle Inspection</t>
        </is>
      </c>
      <c r="J3359" t="inlineStr">
        <is>
          <t>N/A</t>
        </is>
      </c>
      <c r="K3359" t="inlineStr">
        <is>
          <t>7996 M G Tree Surgery Ltd 1</t>
        </is>
      </c>
      <c r="L3359" t="inlineStr">
        <is>
          <t>27/02/2026 08:09</t>
        </is>
      </c>
      <c r="M3359" t="inlineStr">
        <is>
          <t>None</t>
        </is>
      </c>
      <c r="N3359" t="inlineStr">
        <is>
          <t>&lt;p&gt;&lt;/p&gt;</t>
        </is>
      </c>
      <c r="O3359" t="inlineStr"/>
      <c r="P3359" t="inlineStr">
        <is>
          <t>GU13 WNL , MEWP , Land Rover , Defender 130</t>
        </is>
      </c>
      <c r="Q3359" t="inlineStr">
        <is>
          <t>UKPN</t>
        </is>
      </c>
      <c r="R3359" t="b">
        <v>0</v>
      </c>
    </row>
    <row r="3360">
      <c r="A3360" t="inlineStr">
        <is>
          <t>27 Feb 2026 / Barry Bright</t>
        </is>
      </c>
      <c r="B3360" t="inlineStr">
        <is>
          <t>Utilities</t>
        </is>
      </c>
      <c r="C3360" t="inlineStr">
        <is>
          <t>UKPN</t>
        </is>
      </c>
      <c r="D3360" t="inlineStr">
        <is>
          <t>AK72YBM , Car - Electric , Tesla , Model Y Long Range</t>
        </is>
      </c>
      <c r="E3360" t="inlineStr">
        <is>
          <t>AK72YBM , Car - Electric , Tesla , Model Y Long Range</t>
        </is>
      </c>
      <c r="F3360" t="inlineStr">
        <is>
          <t>AK72YBM , Car - Electric , Tesla , Model Y Long Range</t>
        </is>
      </c>
      <c r="G3360" t="inlineStr">
        <is>
          <t>Barry Bright</t>
        </is>
      </c>
      <c r="H3360" t="inlineStr">
        <is>
          <t>Car - Electric (GC Owned)</t>
        </is>
      </c>
      <c r="I3360" t="inlineStr">
        <is>
          <t>Daily/ Weekly Vehicle Inspection</t>
        </is>
      </c>
      <c r="J3360" t="inlineStr">
        <is>
          <t>N/A</t>
        </is>
      </c>
      <c r="K3360" t="inlineStr">
        <is>
          <t>Barry Bright</t>
        </is>
      </c>
      <c r="L3360" t="inlineStr">
        <is>
          <t>27/02/2026 08:42</t>
        </is>
      </c>
      <c r="M3360" t="inlineStr">
        <is>
          <t>None</t>
        </is>
      </c>
      <c r="N3360" t="inlineStr">
        <is>
          <t>&lt;p&gt;&lt;/p&gt;</t>
        </is>
      </c>
      <c r="O3360" t="inlineStr"/>
      <c r="P3360" t="inlineStr">
        <is>
          <t>AK72YBM , Car - Electric , Tesla , Model Y Long Range</t>
        </is>
      </c>
      <c r="Q3360" t="inlineStr">
        <is>
          <t>UKPN</t>
        </is>
      </c>
      <c r="R3360" t="b">
        <v>0</v>
      </c>
    </row>
    <row r="3361">
      <c r="A3361" t="inlineStr">
        <is>
          <t>27 Feb 2026 / Gary England</t>
        </is>
      </c>
      <c r="B3361" t="inlineStr">
        <is>
          <t>Utilities</t>
        </is>
      </c>
      <c r="C3361" t="inlineStr">
        <is>
          <t>NGED</t>
        </is>
      </c>
      <c r="D3361" t="inlineStr">
        <is>
          <t>GJ71KAO , Car - Electric , Tesla , Model 3 Long Range AWD</t>
        </is>
      </c>
      <c r="E3361" t="inlineStr">
        <is>
          <t>GJ71KAO , Car - Electric , Tesla , Model 3 Long Range AWD</t>
        </is>
      </c>
      <c r="F3361" t="inlineStr">
        <is>
          <t>GJ71KAO , Car - Electric , Tesla , Model 3 Long Range AWD</t>
        </is>
      </c>
      <c r="G3361" t="inlineStr">
        <is>
          <t xml:space="preserve">Gary England </t>
        </is>
      </c>
      <c r="H3361" t="inlineStr">
        <is>
          <t>Car - Electric (GC Owned)</t>
        </is>
      </c>
      <c r="I3361" t="inlineStr">
        <is>
          <t>Daily/ Weekly Vehicle Inspection</t>
        </is>
      </c>
      <c r="J3361" t="inlineStr">
        <is>
          <t>N/A</t>
        </is>
      </c>
      <c r="K3361" t="inlineStr">
        <is>
          <t>Gary England</t>
        </is>
      </c>
      <c r="L3361" t="inlineStr">
        <is>
          <t>27/02/2026 10:45</t>
        </is>
      </c>
      <c r="M3361" t="inlineStr">
        <is>
          <t>None</t>
        </is>
      </c>
      <c r="N3361" t="inlineStr">
        <is>
          <t>&lt;p&gt;&lt;/p&gt;</t>
        </is>
      </c>
      <c r="O3361" t="inlineStr"/>
      <c r="P3361" t="inlineStr">
        <is>
          <t>GJ71KAO , Car - Electric , Tesla , Model 3 Long Range AWD</t>
        </is>
      </c>
      <c r="Q3361" t="inlineStr">
        <is>
          <t>NGED</t>
        </is>
      </c>
      <c r="R3361" t="b">
        <v>0</v>
      </c>
    </row>
    <row r="3362">
      <c r="A3362" t="inlineStr">
        <is>
          <t>27 Feb 2026 / 6617 Ashdown Tree Limited 1</t>
        </is>
      </c>
      <c r="B3362" t="inlineStr">
        <is>
          <t>Utilities</t>
        </is>
      </c>
      <c r="C3362" t="inlineStr">
        <is>
          <t>UKPN</t>
        </is>
      </c>
      <c r="D3362" t="inlineStr">
        <is>
          <t>WG63OJS , 4x4 , Land rover  , defender</t>
        </is>
      </c>
      <c r="E3362" t="inlineStr">
        <is>
          <t>WG63OJS , 4x4 , Land rover  , defender</t>
        </is>
      </c>
      <c r="F3362" t="inlineStr">
        <is>
          <t>WG63OJS , 4x4 , Land rover  , defender</t>
        </is>
      </c>
      <c r="G3362" t="inlineStr">
        <is>
          <t>Dan</t>
        </is>
      </c>
      <c r="H3362" t="inlineStr">
        <is>
          <t>4x4</t>
        </is>
      </c>
      <c r="I3362" t="inlineStr">
        <is>
          <t>Daily/ Weekly Vehicle Inspection</t>
        </is>
      </c>
      <c r="J3362" t="inlineStr">
        <is>
          <t>N/A</t>
        </is>
      </c>
      <c r="K3362" t="inlineStr">
        <is>
          <t>6617 Ashdown Tree Limited - Team 2</t>
        </is>
      </c>
      <c r="L3362" t="inlineStr">
        <is>
          <t>27/02/2026 12:45</t>
        </is>
      </c>
      <c r="M3362" t="inlineStr">
        <is>
          <t>None</t>
        </is>
      </c>
      <c r="N3362" t="inlineStr">
        <is>
          <t>&lt;p&gt;&lt;/p&gt;</t>
        </is>
      </c>
      <c r="O3362" t="inlineStr"/>
      <c r="P3362" t="inlineStr">
        <is>
          <t>WG63OJS , 4x4 , Land rover  , defender</t>
        </is>
      </c>
      <c r="Q3362" t="inlineStr">
        <is>
          <t>UKPN</t>
        </is>
      </c>
      <c r="R3362" t="b">
        <v>0</v>
      </c>
    </row>
    <row r="3363">
      <c r="A3363" t="inlineStr">
        <is>
          <t>27 Feb 2026 / Anthony Gale</t>
        </is>
      </c>
      <c r="B3363" t="inlineStr">
        <is>
          <t>Utilities</t>
        </is>
      </c>
      <c r="C3363" t="inlineStr">
        <is>
          <t>UKPN</t>
        </is>
      </c>
      <c r="D3363" t="inlineStr">
        <is>
          <t>KX20 BCE , Tipper , Isuzu , D-Max</t>
        </is>
      </c>
      <c r="E3363" t="inlineStr">
        <is>
          <t>KX20 BCE , Tipper , Isuzu , D-Max</t>
        </is>
      </c>
      <c r="F3363" t="inlineStr">
        <is>
          <t>KX20 BCE , Tipper , Isuzu , D-Max</t>
        </is>
      </c>
      <c r="G3363" t="inlineStr">
        <is>
          <t>Anthony Gale</t>
        </is>
      </c>
      <c r="H3363" t="inlineStr">
        <is>
          <t>Pickup Truck</t>
        </is>
      </c>
      <c r="I3363" t="inlineStr">
        <is>
          <t>Daily/ Weekly Vehicle Inspection</t>
        </is>
      </c>
      <c r="J3363" t="inlineStr">
        <is>
          <t>N/A</t>
        </is>
      </c>
      <c r="K3363" t="inlineStr">
        <is>
          <t>7996 M G Tree Surgery Ltd 1</t>
        </is>
      </c>
      <c r="L3363" t="inlineStr">
        <is>
          <t>27/02/2026 13:41</t>
        </is>
      </c>
      <c r="M3363" t="inlineStr">
        <is>
          <t>None</t>
        </is>
      </c>
      <c r="N3363" t="inlineStr">
        <is>
          <t>&lt;p&gt;&lt;/p&gt;</t>
        </is>
      </c>
      <c r="O3363" t="inlineStr">
        <is>
          <t>Confirm that you have checked this vehicle as per the guidance document and the vehicle is safe and roadworthy:Light board deteriorating.
Safe for now.
Will need replacing soon.
-</t>
        </is>
      </c>
      <c r="P3363" t="inlineStr">
        <is>
          <t>KX20 BCE , Tipper , Isuzu , D-Max</t>
        </is>
      </c>
      <c r="Q3363" t="inlineStr">
        <is>
          <t>UKPN</t>
        </is>
      </c>
      <c r="R3363" t="b">
        <v>0</v>
      </c>
    </row>
    <row r="3364">
      <c r="A3364" t="inlineStr">
        <is>
          <t>27 Feb 2026 / Ian Thompson</t>
        </is>
      </c>
      <c r="B3364" t="inlineStr">
        <is>
          <t>Utilities</t>
        </is>
      </c>
      <c r="C3364" t="inlineStr">
        <is>
          <t>NGED</t>
        </is>
      </c>
      <c r="D3364" t="inlineStr">
        <is>
          <t>WO23PYF , Van , Ford , Ranger</t>
        </is>
      </c>
      <c r="E3364" t="inlineStr">
        <is>
          <t>WO23PYF , Van , Ford , Ranger</t>
        </is>
      </c>
      <c r="F3364" t="inlineStr">
        <is>
          <t>WO23PYF , Van , Ford , Ranger</t>
        </is>
      </c>
      <c r="G3364" t="inlineStr">
        <is>
          <t xml:space="preserve">Ian Thompson </t>
        </is>
      </c>
      <c r="H3364" t="inlineStr">
        <is>
          <t>4x4</t>
        </is>
      </c>
      <c r="I3364" t="inlineStr">
        <is>
          <t>Daily/ Weekly Vehicle Inspection</t>
        </is>
      </c>
      <c r="J3364" t="inlineStr">
        <is>
          <t>N/A</t>
        </is>
      </c>
      <c r="K3364" t="inlineStr">
        <is>
          <t>Ian Thompson</t>
        </is>
      </c>
      <c r="L3364" t="inlineStr">
        <is>
          <t>27/02/2026 14:44</t>
        </is>
      </c>
      <c r="M3364" t="inlineStr">
        <is>
          <t>None</t>
        </is>
      </c>
      <c r="N3364" t="inlineStr">
        <is>
          <t>&lt;p&gt;&lt;/p&gt;</t>
        </is>
      </c>
      <c r="O3364" t="inlineStr"/>
      <c r="P3364" t="inlineStr">
        <is>
          <t>WO23PYF , Van , Ford , Ranger</t>
        </is>
      </c>
      <c r="Q3364" t="inlineStr">
        <is>
          <t>NGED</t>
        </is>
      </c>
      <c r="R3364" t="b">
        <v>0</v>
      </c>
    </row>
    <row r="3365">
      <c r="A3365" t="inlineStr">
        <is>
          <t>27 Feb 2026 / Steve Broad</t>
        </is>
      </c>
      <c r="B3365" t="inlineStr">
        <is>
          <t>Utilities</t>
        </is>
      </c>
      <c r="C3365" t="inlineStr">
        <is>
          <t>NGED</t>
        </is>
      </c>
      <c r="D3365" t="inlineStr"/>
      <c r="E3365" t="inlineStr"/>
      <c r="F3365" t="inlineStr"/>
      <c r="G3365" t="inlineStr">
        <is>
          <t>Steve Broad</t>
        </is>
      </c>
      <c r="H3365" t="inlineStr">
        <is>
          <t>Van</t>
        </is>
      </c>
      <c r="I3365" t="inlineStr">
        <is>
          <t>Daily/ Weekly Vehicle Inspection</t>
        </is>
      </c>
      <c r="J3365" t="inlineStr">
        <is>
          <t>N/A</t>
        </is>
      </c>
      <c r="K3365" t="inlineStr">
        <is>
          <t>Steve Broad</t>
        </is>
      </c>
      <c r="L3365" t="inlineStr">
        <is>
          <t>27/02/2026 15:42</t>
        </is>
      </c>
      <c r="M3365" t="inlineStr">
        <is>
          <t>None</t>
        </is>
      </c>
      <c r="N3365" t="inlineStr">
        <is>
          <t>&lt;p&gt;&lt;/p&gt;</t>
        </is>
      </c>
      <c r="O3365" t="inlineStr"/>
      <c r="P3365" t="inlineStr"/>
      <c r="Q3365" t="inlineStr">
        <is>
          <t>NGED</t>
        </is>
      </c>
      <c r="R3365" t="b">
        <v>0</v>
      </c>
    </row>
    <row r="3366">
      <c r="A3366" t="inlineStr">
        <is>
          <t>28 Feb 2026 / Jodie Bowen</t>
        </is>
      </c>
      <c r="B3366" t="inlineStr">
        <is>
          <t>Utilities</t>
        </is>
      </c>
      <c r="C3366" t="inlineStr">
        <is>
          <t>UKPN</t>
        </is>
      </c>
      <c r="D3366" t="inlineStr">
        <is>
          <t>AF22XRA , Car - Electric , Tesla , Model 3 Long Range AWD</t>
        </is>
      </c>
      <c r="E3366" t="inlineStr">
        <is>
          <t>AF22XRA , Car - Electric , Tesla , Model 3 Long Range AWD</t>
        </is>
      </c>
      <c r="F3366" t="inlineStr">
        <is>
          <t>AF22XRA , Car - Electric , Tesla , Model 3 Long Range AWD</t>
        </is>
      </c>
      <c r="G3366" t="inlineStr">
        <is>
          <t>Jodie Bowen</t>
        </is>
      </c>
      <c r="H3366" t="inlineStr">
        <is>
          <t>Car - Electric (GC Owned)</t>
        </is>
      </c>
      <c r="I3366" t="inlineStr">
        <is>
          <t>Daily/ Weekly Vehicle Inspection</t>
        </is>
      </c>
      <c r="J3366" t="inlineStr">
        <is>
          <t>N/A</t>
        </is>
      </c>
      <c r="K3366" t="inlineStr">
        <is>
          <t>Jodie Bowen</t>
        </is>
      </c>
      <c r="L3366" t="inlineStr">
        <is>
          <t>28/02/2026 09:44</t>
        </is>
      </c>
      <c r="M3366" t="inlineStr">
        <is>
          <t>None</t>
        </is>
      </c>
      <c r="N3366" t="inlineStr">
        <is>
          <t>&lt;p&gt;&lt;/p&gt;</t>
        </is>
      </c>
      <c r="O3366" t="inlineStr"/>
      <c r="P3366" t="inlineStr">
        <is>
          <t>AF22XRA , Car - Electric , Tesla , Model 3 Long Range AWD</t>
        </is>
      </c>
      <c r="Q3366" t="inlineStr">
        <is>
          <t>UKPN</t>
        </is>
      </c>
      <c r="R3366" t="b">
        <v>0</v>
      </c>
    </row>
    <row r="3367">
      <c r="A3367" t="inlineStr">
        <is>
          <t>1 Mar 2026 / 7186 Eastwoodbury Tree Services Ltd</t>
        </is>
      </c>
      <c r="B3367" t="inlineStr">
        <is>
          <t>Utilities</t>
        </is>
      </c>
      <c r="C3367" t="inlineStr">
        <is>
          <t>UKPN</t>
        </is>
      </c>
      <c r="D3367" t="inlineStr">
        <is>
          <t>WF13 EKT , 4x4 , Land rover  , Defender</t>
        </is>
      </c>
      <c r="E3367" t="inlineStr">
        <is>
          <t>WF13 EKT , 4x4 , Land rover  , Defender</t>
        </is>
      </c>
      <c r="F3367" t="inlineStr">
        <is>
          <t>WF13 EKT , 4x4 , Land rover  , Defender</t>
        </is>
      </c>
      <c r="G3367" t="inlineStr">
        <is>
          <t xml:space="preserve">Dan Gilbert </t>
        </is>
      </c>
      <c r="H3367" t="inlineStr">
        <is>
          <t>4x4</t>
        </is>
      </c>
      <c r="I3367" t="inlineStr">
        <is>
          <t>Daily/ Weekly Vehicle Inspection</t>
        </is>
      </c>
      <c r="J3367" t="inlineStr">
        <is>
          <t>N/A</t>
        </is>
      </c>
      <c r="K3367" t="inlineStr">
        <is>
          <t>7186 Eastwoodbury Tree Services Ltd</t>
        </is>
      </c>
      <c r="L3367" t="inlineStr">
        <is>
          <t>01/03/2026 07:41</t>
        </is>
      </c>
      <c r="M3367" t="inlineStr">
        <is>
          <t>None</t>
        </is>
      </c>
      <c r="N3367" t="inlineStr">
        <is>
          <t>&lt;p&gt;&lt;/p&gt;</t>
        </is>
      </c>
      <c r="O3367" t="inlineStr"/>
      <c r="P3367" t="inlineStr">
        <is>
          <t>WF13 EKT , 4x4 , Land rover  , Defender</t>
        </is>
      </c>
      <c r="Q3367" t="inlineStr">
        <is>
          <t>UKPN</t>
        </is>
      </c>
      <c r="R3367" t="b">
        <v>0</v>
      </c>
    </row>
    <row r="3368">
      <c r="A3368" t="inlineStr">
        <is>
          <t>1 Mar 2026 / 7186 Eastwoodbury Tree Services Ltd</t>
        </is>
      </c>
      <c r="B3368" t="inlineStr">
        <is>
          <t>Utilities</t>
        </is>
      </c>
      <c r="C3368" t="inlineStr">
        <is>
          <t>UKPN</t>
        </is>
      </c>
      <c r="D3368" t="inlineStr">
        <is>
          <t>FX14 XCV , 4x4 , Land Rover  , Defender</t>
        </is>
      </c>
      <c r="E3368" t="inlineStr">
        <is>
          <t>FX14 XCV , 4x4 , Land Rover  , Defender</t>
        </is>
      </c>
      <c r="F3368" t="inlineStr">
        <is>
          <t>FX14 XCV , 4x4 , Land Rover  , Defender</t>
        </is>
      </c>
      <c r="G3368" t="inlineStr">
        <is>
          <t xml:space="preserve">Tom price </t>
        </is>
      </c>
      <c r="H3368" t="inlineStr">
        <is>
          <t>4x4</t>
        </is>
      </c>
      <c r="I3368" t="inlineStr">
        <is>
          <t>Daily/ Weekly Vehicle Inspection</t>
        </is>
      </c>
      <c r="J3368" t="inlineStr">
        <is>
          <t>N/A</t>
        </is>
      </c>
      <c r="K3368" t="inlineStr">
        <is>
          <t>7186 Eastwoodbury Tree Services Ltd</t>
        </is>
      </c>
      <c r="L3368" t="inlineStr">
        <is>
          <t>01/03/2026 07:42</t>
        </is>
      </c>
      <c r="M3368" t="inlineStr">
        <is>
          <t>None</t>
        </is>
      </c>
      <c r="N3368" t="inlineStr">
        <is>
          <t>&lt;p&gt;&lt;/p&gt;</t>
        </is>
      </c>
      <c r="O3368" t="inlineStr"/>
      <c r="P3368" t="inlineStr">
        <is>
          <t>FX14 XCV , 4x4 , Land Rover  , Defender</t>
        </is>
      </c>
      <c r="Q3368" t="inlineStr">
        <is>
          <t>UKPN</t>
        </is>
      </c>
      <c r="R3368" t="b">
        <v>0</v>
      </c>
    </row>
    <row r="3369">
      <c r="A3369" t="inlineStr">
        <is>
          <t>1 Mar 2026 / 6617 Ashdown Tree Limited 1</t>
        </is>
      </c>
      <c r="B3369" t="inlineStr">
        <is>
          <t>Utilities</t>
        </is>
      </c>
      <c r="C3369" t="inlineStr">
        <is>
          <t>UKPN</t>
        </is>
      </c>
      <c r="D3369" t="inlineStr">
        <is>
          <t>AV69 LVR , Tipper , Transit , Ford</t>
        </is>
      </c>
      <c r="E3369" t="inlineStr">
        <is>
          <t>AV69 LVR , Tipper , Transit , Ford</t>
        </is>
      </c>
      <c r="F3369" t="inlineStr">
        <is>
          <t>AV69 LVR , Tipper , Transit , Ford</t>
        </is>
      </c>
      <c r="G3369" t="inlineStr">
        <is>
          <t>Jamie</t>
        </is>
      </c>
      <c r="H3369" t="inlineStr">
        <is>
          <t>Tipper</t>
        </is>
      </c>
      <c r="I3369" t="inlineStr">
        <is>
          <t>Daily/ Weekly Vehicle Inspection</t>
        </is>
      </c>
      <c r="J3369" t="inlineStr">
        <is>
          <t>N/A</t>
        </is>
      </c>
      <c r="K3369" t="inlineStr">
        <is>
          <t>6617 Ashdown Tree Limited - Team 2</t>
        </is>
      </c>
      <c r="L3369" t="inlineStr">
        <is>
          <t>01/03/2026 08:41</t>
        </is>
      </c>
      <c r="M3369" t="inlineStr">
        <is>
          <t>None</t>
        </is>
      </c>
      <c r="N3369" t="inlineStr">
        <is>
          <t>&lt;p&gt;&lt;/p&gt;</t>
        </is>
      </c>
      <c r="O3369" t="inlineStr"/>
      <c r="P3369" t="inlineStr">
        <is>
          <t>AV69 LVR , Tipper , Transit , Ford</t>
        </is>
      </c>
      <c r="Q3369" t="inlineStr">
        <is>
          <t>UKPN</t>
        </is>
      </c>
      <c r="R3369" t="b">
        <v>0</v>
      </c>
    </row>
    <row r="3370">
      <c r="A3370" t="inlineStr">
        <is>
          <t>1 Mar 2026 / 6617 Ashdown Tree Limited 1</t>
        </is>
      </c>
      <c r="B3370" t="inlineStr">
        <is>
          <t>Utilities</t>
        </is>
      </c>
      <c r="C3370" t="inlineStr">
        <is>
          <t>UKPN</t>
        </is>
      </c>
      <c r="D3370" t="inlineStr">
        <is>
          <t>TR55TUB , 4x4 , Land rover  , Defender mewp</t>
        </is>
      </c>
      <c r="E3370" t="inlineStr">
        <is>
          <t>TR55TUB , 4x4 , Land rover  , Defender mewp</t>
        </is>
      </c>
      <c r="F3370" t="inlineStr">
        <is>
          <t>TR55TUB , 4x4 , Land rover  , Defender mewp</t>
        </is>
      </c>
      <c r="G3370" t="inlineStr">
        <is>
          <t>Dan</t>
        </is>
      </c>
      <c r="H3370" t="inlineStr">
        <is>
          <t>4x4</t>
        </is>
      </c>
      <c r="I3370" t="inlineStr">
        <is>
          <t>Daily/ Weekly Vehicle Inspection</t>
        </is>
      </c>
      <c r="J3370" t="inlineStr">
        <is>
          <t>N/A</t>
        </is>
      </c>
      <c r="K3370" t="inlineStr">
        <is>
          <t>6617 Ashdown Tree Limited - Team 2</t>
        </is>
      </c>
      <c r="L3370" t="inlineStr">
        <is>
          <t>01/03/2026 08:45</t>
        </is>
      </c>
      <c r="M3370" t="inlineStr">
        <is>
          <t>None</t>
        </is>
      </c>
      <c r="N3370" t="inlineStr">
        <is>
          <t>&lt;p&gt;&lt;/p&gt;</t>
        </is>
      </c>
      <c r="O3370" t="inlineStr"/>
      <c r="P3370" t="inlineStr">
        <is>
          <t>TR55TUB , 4x4 , Land rover  , Defender mewp</t>
        </is>
      </c>
      <c r="Q3370" t="inlineStr">
        <is>
          <t>UKPN</t>
        </is>
      </c>
      <c r="R3370" t="b">
        <v>0</v>
      </c>
    </row>
    <row r="3371">
      <c r="A3371" t="inlineStr">
        <is>
          <t>1 Mar 2026 / 7806 Optimum Tree Services Ltd / Utilities / UKPN</t>
        </is>
      </c>
      <c r="B3371" t="inlineStr">
        <is>
          <t>Utilities</t>
        </is>
      </c>
      <c r="C3371" t="inlineStr">
        <is>
          <t>UKPN</t>
        </is>
      </c>
      <c r="D3371" t="inlineStr">
        <is>
          <t>SA9TAPLAF27414263 , Trailer , Tow Mate , Plant Trailer</t>
        </is>
      </c>
      <c r="E3371" t="inlineStr">
        <is>
          <t>SA9TAPLAF27414263 , Trailer , Tow Mate , Plant Trailer</t>
        </is>
      </c>
      <c r="F3371" t="inlineStr">
        <is>
          <t>SA9TAPLAF27414263 , Trailer , Tow Mate , Plant Trailer</t>
        </is>
      </c>
      <c r="G3371" t="inlineStr">
        <is>
          <t xml:space="preserve">Abraham Davies </t>
        </is>
      </c>
      <c r="H3371" t="inlineStr">
        <is>
          <t>Plant Trailer</t>
        </is>
      </c>
      <c r="I3371" t="inlineStr">
        <is>
          <t>Daily/ Weekly Vehicle Inspection</t>
        </is>
      </c>
      <c r="J3371" t="inlineStr">
        <is>
          <t>N/A</t>
        </is>
      </c>
      <c r="K3371" t="inlineStr">
        <is>
          <t>7806 Optimum Tree Services Ltd</t>
        </is>
      </c>
      <c r="L3371" t="inlineStr">
        <is>
          <t>01/03/2026 10:43</t>
        </is>
      </c>
      <c r="M3371" t="inlineStr">
        <is>
          <t>None</t>
        </is>
      </c>
      <c r="N3371" t="inlineStr">
        <is>
          <t>&lt;p&gt;&lt;/p&gt;</t>
        </is>
      </c>
      <c r="O3371" t="inlineStr"/>
      <c r="P3371" t="inlineStr">
        <is>
          <t>SA9TAPLAF27414263 , Trailer , Tow Mate , Plant Trailer</t>
        </is>
      </c>
      <c r="Q3371" t="inlineStr">
        <is>
          <t>UKPN</t>
        </is>
      </c>
      <c r="R3371" t="b">
        <v>0</v>
      </c>
    </row>
    <row r="3372">
      <c r="A3372" t="inlineStr">
        <is>
          <t>1 Mar 2026 / 7806 Optimum Tree Services Ltd / Utilities / UKPN</t>
        </is>
      </c>
      <c r="B3372" t="inlineStr">
        <is>
          <t>Utilities</t>
        </is>
      </c>
      <c r="C3372" t="inlineStr">
        <is>
          <t>UKPN</t>
        </is>
      </c>
      <c r="D3372" t="inlineStr">
        <is>
          <t>Wd14evn , 4x4 , Landrover  , Defender</t>
        </is>
      </c>
      <c r="E3372" t="inlineStr">
        <is>
          <t>Wd14evn , 4x4 , Landrover  , Defender</t>
        </is>
      </c>
      <c r="F3372" t="inlineStr">
        <is>
          <t>Wd14evn , 4x4 , Landrover  , Defender</t>
        </is>
      </c>
      <c r="G3372" t="inlineStr">
        <is>
          <t xml:space="preserve">Abraham Davies </t>
        </is>
      </c>
      <c r="H3372" t="inlineStr">
        <is>
          <t>4x4</t>
        </is>
      </c>
      <c r="I3372" t="inlineStr">
        <is>
          <t>Daily/ Weekly Vehicle Inspection</t>
        </is>
      </c>
      <c r="J3372" t="inlineStr">
        <is>
          <t>N/A</t>
        </is>
      </c>
      <c r="K3372" t="inlineStr">
        <is>
          <t>7806 Optimum Tree Services Ltd</t>
        </is>
      </c>
      <c r="L3372" t="inlineStr">
        <is>
          <t>01/03/2026 10:44</t>
        </is>
      </c>
      <c r="M3372" t="inlineStr">
        <is>
          <t>None</t>
        </is>
      </c>
      <c r="N3372" t="inlineStr">
        <is>
          <t>&lt;p&gt;&lt;/p&gt;</t>
        </is>
      </c>
      <c r="O3372" t="inlineStr"/>
      <c r="P3372" t="inlineStr">
        <is>
          <t>Wd14evn , 4x4 , Landrover  , Defender</t>
        </is>
      </c>
      <c r="Q3372" t="inlineStr">
        <is>
          <t>UKPN</t>
        </is>
      </c>
      <c r="R3372" t="b">
        <v>0</v>
      </c>
    </row>
    <row r="3373">
      <c r="A3373" t="inlineStr">
        <is>
          <t>1 Mar 2026 / Dean Fleming</t>
        </is>
      </c>
      <c r="B3373" t="inlineStr">
        <is>
          <t>Utilities</t>
        </is>
      </c>
      <c r="C3373" t="inlineStr">
        <is>
          <t>UKPN</t>
        </is>
      </c>
      <c r="D3373" t="inlineStr">
        <is>
          <t>EK73UOH , Car - Electric , Kia , Niro</t>
        </is>
      </c>
      <c r="E3373" t="inlineStr">
        <is>
          <t>EK73UOH , Car - Electric , Kia , Niro</t>
        </is>
      </c>
      <c r="F3373" t="inlineStr">
        <is>
          <t>EK73UOH , Car - Electric , Kia , Niro</t>
        </is>
      </c>
      <c r="G3373" t="inlineStr">
        <is>
          <t xml:space="preserve">Dean Fleming </t>
        </is>
      </c>
      <c r="H3373" t="inlineStr">
        <is>
          <t>Car - Electric (GC Owned)</t>
        </is>
      </c>
      <c r="I3373" t="inlineStr">
        <is>
          <t>Daily/ Weekly Vehicle Inspection</t>
        </is>
      </c>
      <c r="J3373" t="inlineStr">
        <is>
          <t>N/A</t>
        </is>
      </c>
      <c r="K3373" t="inlineStr">
        <is>
          <t>Dean Fleming</t>
        </is>
      </c>
      <c r="L3373" t="inlineStr">
        <is>
          <t>01/03/2026 14:41</t>
        </is>
      </c>
      <c r="M3373" t="inlineStr">
        <is>
          <t>None</t>
        </is>
      </c>
      <c r="N3373" t="inlineStr">
        <is>
          <t>&lt;p&gt;&lt;/p&gt;</t>
        </is>
      </c>
      <c r="O3373" t="inlineStr"/>
      <c r="P3373" t="inlineStr">
        <is>
          <t>EK73UOH , Car - Electric , Kia , Niro</t>
        </is>
      </c>
      <c r="Q3373" t="inlineStr">
        <is>
          <t>UKPN</t>
        </is>
      </c>
      <c r="R3373" t="b">
        <v>0</v>
      </c>
    </row>
    <row r="3374">
      <c r="A3374" t="inlineStr">
        <is>
          <t>1 Mar 2026 / Alexander Damar</t>
        </is>
      </c>
      <c r="B3374" t="inlineStr">
        <is>
          <t>Utilities</t>
        </is>
      </c>
      <c r="C3374" t="inlineStr">
        <is>
          <t>UKPN</t>
        </is>
      </c>
      <c r="D3374" t="inlineStr"/>
      <c r="E3374" t="inlineStr"/>
      <c r="F3374" t="inlineStr"/>
      <c r="G3374" t="inlineStr">
        <is>
          <t xml:space="preserve">A damar </t>
        </is>
      </c>
      <c r="H3374" t="inlineStr">
        <is>
          <t>Car - Petrol</t>
        </is>
      </c>
      <c r="I3374" t="inlineStr">
        <is>
          <t>Daily/ Weekly Vehicle Inspection</t>
        </is>
      </c>
      <c r="J3374" t="inlineStr">
        <is>
          <t>N/A</t>
        </is>
      </c>
      <c r="K3374" t="inlineStr">
        <is>
          <t>Alexander Damar</t>
        </is>
      </c>
      <c r="L3374" t="inlineStr">
        <is>
          <t>01/03/2026 14:43</t>
        </is>
      </c>
      <c r="M3374" t="inlineStr">
        <is>
          <t>None</t>
        </is>
      </c>
      <c r="N3374" t="inlineStr">
        <is>
          <t>&lt;p&gt;&lt;/p&gt;</t>
        </is>
      </c>
      <c r="O3374" t="inlineStr"/>
      <c r="P3374" t="inlineStr"/>
      <c r="Q3374" t="inlineStr">
        <is>
          <t>UKPN</t>
        </is>
      </c>
      <c r="R3374" t="b">
        <v>0</v>
      </c>
    </row>
    <row r="3375">
      <c r="A3375" t="inlineStr">
        <is>
          <t>2 Mar 2026 / Patryk Zietarski</t>
        </is>
      </c>
      <c r="B3375" t="inlineStr">
        <is>
          <t>Utilities</t>
        </is>
      </c>
      <c r="C3375" t="inlineStr">
        <is>
          <t>UKPN</t>
        </is>
      </c>
      <c r="D3375" t="inlineStr">
        <is>
          <t>YW73CWL , Car - Electric , Kia , eNiro</t>
        </is>
      </c>
      <c r="E3375" t="inlineStr">
        <is>
          <t>YW73CWL , Car - Electric , Kia , eNiro</t>
        </is>
      </c>
      <c r="F3375" t="inlineStr">
        <is>
          <t>YW73CWL , Car - Electric , Kia , eNiro</t>
        </is>
      </c>
      <c r="G3375" t="inlineStr">
        <is>
          <t xml:space="preserve">Patryk Zietarski </t>
        </is>
      </c>
      <c r="H3375" t="inlineStr">
        <is>
          <t>Car - Electric (GC Owned)</t>
        </is>
      </c>
      <c r="I3375" t="inlineStr">
        <is>
          <t>Daily/ Weekly Vehicle Inspection</t>
        </is>
      </c>
      <c r="J3375" t="inlineStr">
        <is>
          <t>N/A</t>
        </is>
      </c>
      <c r="K3375" t="inlineStr">
        <is>
          <t>Patryk Zietarski</t>
        </is>
      </c>
      <c r="L3375" t="inlineStr">
        <is>
          <t>02/03/2026 04:44</t>
        </is>
      </c>
      <c r="M3375" t="inlineStr">
        <is>
          <t>None</t>
        </is>
      </c>
      <c r="N3375" t="inlineStr">
        <is>
          <t>&lt;p&gt;&lt;/p&gt;</t>
        </is>
      </c>
      <c r="O3375" t="inlineStr"/>
      <c r="P3375" t="inlineStr">
        <is>
          <t>YW73CWL , Car - Electric , Kia , eNiro</t>
        </is>
      </c>
      <c r="Q3375" t="inlineStr">
        <is>
          <t>UKPN</t>
        </is>
      </c>
      <c r="R3375" t="b">
        <v>0</v>
      </c>
    </row>
    <row r="3376">
      <c r="A3376" t="inlineStr">
        <is>
          <t>2 Mar 2026 / 7951 Austin Tree Care LTD</t>
        </is>
      </c>
      <c r="B3376" t="inlineStr">
        <is>
          <t>Utilities</t>
        </is>
      </c>
      <c r="C3376" t="inlineStr">
        <is>
          <t>UKPN</t>
        </is>
      </c>
      <c r="D3376" t="inlineStr">
        <is>
          <t>WG64HTT , 4x4 , Land Rover , Defender 110</t>
        </is>
      </c>
      <c r="E3376" t="inlineStr">
        <is>
          <t>WG64HTT , 4x4 , Land Rover , Defender 110</t>
        </is>
      </c>
      <c r="F3376" t="inlineStr">
        <is>
          <t>WG64HTT , 4x4 , Land Rover , Defender 110</t>
        </is>
      </c>
      <c r="G3376" t="inlineStr">
        <is>
          <t xml:space="preserve">Jack Austin </t>
        </is>
      </c>
      <c r="H3376" t="inlineStr">
        <is>
          <t>4x4</t>
        </is>
      </c>
      <c r="I3376" t="inlineStr">
        <is>
          <t>Daily/ Weekly Vehicle Inspection</t>
        </is>
      </c>
      <c r="J3376" t="inlineStr">
        <is>
          <t>N/A</t>
        </is>
      </c>
      <c r="K3376" t="inlineStr">
        <is>
          <t>7951 Austin Tree Care LTD</t>
        </is>
      </c>
      <c r="L3376" t="inlineStr">
        <is>
          <t>02/03/2026 07:47</t>
        </is>
      </c>
      <c r="M3376" t="inlineStr">
        <is>
          <t>None</t>
        </is>
      </c>
      <c r="N3376" t="inlineStr">
        <is>
          <t>&lt;p&gt;&lt;/p&gt;</t>
        </is>
      </c>
      <c r="O3376" t="inlineStr"/>
      <c r="P3376" t="inlineStr">
        <is>
          <t>WG64HTT , 4x4 , Land Rover , Defender 110</t>
        </is>
      </c>
      <c r="Q3376" t="inlineStr">
        <is>
          <t>UKPN</t>
        </is>
      </c>
      <c r="R3376" t="b">
        <v>0</v>
      </c>
    </row>
    <row r="3377">
      <c r="A3377" t="inlineStr">
        <is>
          <t>2 Mar 2026 / 7186 Eastwoodbury Tree Services Ltd</t>
        </is>
      </c>
      <c r="B3377" t="inlineStr">
        <is>
          <t>Utilities</t>
        </is>
      </c>
      <c r="C3377" t="inlineStr">
        <is>
          <t>UKPN</t>
        </is>
      </c>
      <c r="D3377" t="inlineStr">
        <is>
          <t>DE53NKS , 4x4 , Ford , Ranger</t>
        </is>
      </c>
      <c r="E3377" t="inlineStr">
        <is>
          <t>DE53NKS , 4x4 , Ford , Ranger</t>
        </is>
      </c>
      <c r="F3377" t="inlineStr">
        <is>
          <t>DE53NKS , 4x4 , Ford , Ranger</t>
        </is>
      </c>
      <c r="G3377" t="inlineStr">
        <is>
          <t xml:space="preserve">Jay Denkmayer </t>
        </is>
      </c>
      <c r="H3377" t="inlineStr">
        <is>
          <t>4x4</t>
        </is>
      </c>
      <c r="I3377" t="inlineStr">
        <is>
          <t>Daily/ Weekly Vehicle Inspection</t>
        </is>
      </c>
      <c r="J3377" t="inlineStr">
        <is>
          <t>N/A</t>
        </is>
      </c>
      <c r="K3377" t="inlineStr">
        <is>
          <t>7186 Eastwoodbury Tree Services Ltd</t>
        </is>
      </c>
      <c r="L3377" t="inlineStr">
        <is>
          <t>02/03/2026 07:51</t>
        </is>
      </c>
      <c r="M3377" t="inlineStr">
        <is>
          <t>None</t>
        </is>
      </c>
      <c r="N3377" t="inlineStr">
        <is>
          <t>&lt;p&gt;&lt;/p&gt;</t>
        </is>
      </c>
      <c r="O3377" t="inlineStr"/>
      <c r="P3377" t="inlineStr">
        <is>
          <t>DE53NKS , 4x4 , Ford , Ranger</t>
        </is>
      </c>
      <c r="Q3377" t="inlineStr">
        <is>
          <t>UKPN</t>
        </is>
      </c>
      <c r="R3377" t="b">
        <v>0</v>
      </c>
    </row>
    <row r="3378">
      <c r="A3378" t="inlineStr">
        <is>
          <t>2 Mar 2026 / 7186 Eastwoodbury Tree Services Ltd</t>
        </is>
      </c>
      <c r="B3378" t="inlineStr">
        <is>
          <t>Utilities</t>
        </is>
      </c>
      <c r="C3378" t="inlineStr">
        <is>
          <t>UKPN</t>
        </is>
      </c>
      <c r="D3378" t="inlineStr">
        <is>
          <t>FX14 XCV , 4x4 , Land Rover  , Defender</t>
        </is>
      </c>
      <c r="E3378" t="inlineStr">
        <is>
          <t>FX14 XCV , 4x4 , Land Rover  , Defender</t>
        </is>
      </c>
      <c r="F3378" t="inlineStr">
        <is>
          <t>FX14 XCV , 4x4 , Land Rover  , Defender</t>
        </is>
      </c>
      <c r="G3378" t="inlineStr">
        <is>
          <t xml:space="preserve">Tom Price </t>
        </is>
      </c>
      <c r="H3378" t="inlineStr">
        <is>
          <t>4x4</t>
        </is>
      </c>
      <c r="I3378" t="inlineStr">
        <is>
          <t>Daily/ Weekly Vehicle Inspection</t>
        </is>
      </c>
      <c r="J3378" t="inlineStr">
        <is>
          <t>N/A</t>
        </is>
      </c>
      <c r="K3378" t="inlineStr">
        <is>
          <t>7186 Eastwoodbury Tree Services Ltd</t>
        </is>
      </c>
      <c r="L3378" t="inlineStr">
        <is>
          <t>02/03/2026 07:53</t>
        </is>
      </c>
      <c r="M3378" t="inlineStr">
        <is>
          <t>None</t>
        </is>
      </c>
      <c r="N3378" t="inlineStr">
        <is>
          <t>&lt;p&gt;&lt;/p&gt;</t>
        </is>
      </c>
      <c r="O3378" t="inlineStr"/>
      <c r="P3378" t="inlineStr">
        <is>
          <t>FX14 XCV , 4x4 , Land Rover  , Defender</t>
        </is>
      </c>
      <c r="Q3378" t="inlineStr">
        <is>
          <t>UKPN</t>
        </is>
      </c>
      <c r="R3378" t="b">
        <v>0</v>
      </c>
    </row>
    <row r="3379">
      <c r="A3379" t="inlineStr">
        <is>
          <t>2 Mar 2026 / 7806 Optimum Tree Services Ltd</t>
        </is>
      </c>
      <c r="B3379" t="inlineStr">
        <is>
          <t>Utilities</t>
        </is>
      </c>
      <c r="C3379" t="inlineStr">
        <is>
          <t>UKPN</t>
        </is>
      </c>
      <c r="D3379" t="inlineStr">
        <is>
          <t>SA9TAPLAF27414263 , Trailer , Tow Mate , Plant Trailer</t>
        </is>
      </c>
      <c r="E3379" t="inlineStr">
        <is>
          <t>SA9TAPLAF27414263 , Trailer , Tow Mate , Plant Trailer</t>
        </is>
      </c>
      <c r="F3379" t="inlineStr">
        <is>
          <t>SA9TAPLAF27414263 , Trailer , Tow Mate , Plant Trailer</t>
        </is>
      </c>
      <c r="G3379" t="inlineStr">
        <is>
          <t xml:space="preserve">Abraham Davies </t>
        </is>
      </c>
      <c r="H3379" t="inlineStr">
        <is>
          <t>Plant Trailer</t>
        </is>
      </c>
      <c r="I3379" t="inlineStr">
        <is>
          <t>Daily/ Weekly Vehicle Inspection</t>
        </is>
      </c>
      <c r="J3379" t="inlineStr">
        <is>
          <t>N/A</t>
        </is>
      </c>
      <c r="K3379" t="inlineStr">
        <is>
          <t>7806 Optimum Tree Services Ltd</t>
        </is>
      </c>
      <c r="L3379" t="inlineStr">
        <is>
          <t>02/03/2026 07:57</t>
        </is>
      </c>
      <c r="M3379" t="inlineStr">
        <is>
          <t>None</t>
        </is>
      </c>
      <c r="N3379" t="inlineStr">
        <is>
          <t>&lt;p&gt;&lt;/p&gt;</t>
        </is>
      </c>
      <c r="O3379" t="inlineStr"/>
      <c r="P3379" t="inlineStr">
        <is>
          <t>SA9TAPLAF27414263 , Trailer , Tow Mate , Plant Trailer</t>
        </is>
      </c>
      <c r="Q3379" t="inlineStr">
        <is>
          <t>UKPN</t>
        </is>
      </c>
      <c r="R3379" t="b">
        <v>0</v>
      </c>
    </row>
    <row r="3380">
      <c r="A3380" t="inlineStr">
        <is>
          <t>2 Mar 2026 / 7186 Eastwoodbury Tree Services Ltd</t>
        </is>
      </c>
      <c r="B3380" t="inlineStr">
        <is>
          <t>Utilities</t>
        </is>
      </c>
      <c r="C3380" t="inlineStr">
        <is>
          <t>UKPN</t>
        </is>
      </c>
      <c r="D3380" t="inlineStr">
        <is>
          <t>WF13 EKT , 4x4 , Land rover  , Defender</t>
        </is>
      </c>
      <c r="E3380" t="inlineStr">
        <is>
          <t>WF13 EKT , 4x4 , Land rover  , Defender</t>
        </is>
      </c>
      <c r="F3380" t="inlineStr">
        <is>
          <t>WF13 EKT , 4x4 , Land rover  , Defender</t>
        </is>
      </c>
      <c r="G3380" t="inlineStr">
        <is>
          <t xml:space="preserve">Dan Gilbert </t>
        </is>
      </c>
      <c r="H3380" t="inlineStr">
        <is>
          <t>4x4</t>
        </is>
      </c>
      <c r="I3380" t="inlineStr">
        <is>
          <t>Daily/ Weekly Vehicle Inspection</t>
        </is>
      </c>
      <c r="J3380" t="inlineStr">
        <is>
          <t>N/A</t>
        </is>
      </c>
      <c r="K3380" t="inlineStr">
        <is>
          <t>7186 Eastwoodbury Tree Services Ltd</t>
        </is>
      </c>
      <c r="L3380" t="inlineStr">
        <is>
          <t>02/03/2026 08:00</t>
        </is>
      </c>
      <c r="M3380" t="inlineStr">
        <is>
          <t>None</t>
        </is>
      </c>
      <c r="N3380" t="inlineStr">
        <is>
          <t>&lt;p&gt;&lt;/p&gt;</t>
        </is>
      </c>
      <c r="O3380" t="inlineStr"/>
      <c r="P3380" t="inlineStr">
        <is>
          <t>WF13 EKT , 4x4 , Land rover  , Defender</t>
        </is>
      </c>
      <c r="Q3380" t="inlineStr">
        <is>
          <t>UKPN</t>
        </is>
      </c>
      <c r="R3380" t="b">
        <v>0</v>
      </c>
    </row>
    <row r="3381">
      <c r="A3381" t="inlineStr">
        <is>
          <t>2 Mar 2026 / 7806 Optimum Tree Services Ltd</t>
        </is>
      </c>
      <c r="B3381" t="inlineStr">
        <is>
          <t>Utilities</t>
        </is>
      </c>
      <c r="C3381" t="inlineStr">
        <is>
          <t>UKPN</t>
        </is>
      </c>
      <c r="D3381" t="inlineStr">
        <is>
          <t>Wd14evn , 4x4 , Landrover  , Defender</t>
        </is>
      </c>
      <c r="E3381" t="inlineStr">
        <is>
          <t>Wd14evn , 4x4 , Landrover  , Defender</t>
        </is>
      </c>
      <c r="F3381" t="inlineStr">
        <is>
          <t>Wd14evn , 4x4 , Landrover  , Defender</t>
        </is>
      </c>
      <c r="G3381" t="inlineStr">
        <is>
          <t xml:space="preserve">Lewis Davies </t>
        </is>
      </c>
      <c r="H3381" t="inlineStr">
        <is>
          <t>4x4</t>
        </is>
      </c>
      <c r="I3381" t="inlineStr">
        <is>
          <t>Daily/ Weekly Vehicle Inspection</t>
        </is>
      </c>
      <c r="J3381" t="inlineStr">
        <is>
          <t>N/A</t>
        </is>
      </c>
      <c r="K3381" t="inlineStr">
        <is>
          <t>7806 Optimum Tree Services Ltd</t>
        </is>
      </c>
      <c r="L3381" t="inlineStr">
        <is>
          <t>02/03/2026 08:06</t>
        </is>
      </c>
      <c r="M3381" t="inlineStr">
        <is>
          <t>None</t>
        </is>
      </c>
      <c r="N3381" t="inlineStr">
        <is>
          <t>&lt;p&gt;&lt;/p&gt;</t>
        </is>
      </c>
      <c r="O3381" t="inlineStr"/>
      <c r="P3381" t="inlineStr">
        <is>
          <t>Wd14evn , 4x4 , Landrover  , Defender</t>
        </is>
      </c>
      <c r="Q3381" t="inlineStr">
        <is>
          <t>UKPN</t>
        </is>
      </c>
      <c r="R3381" t="b">
        <v>0</v>
      </c>
    </row>
    <row r="3382">
      <c r="A3382" t="inlineStr">
        <is>
          <t>2 Mar 2026 / 7806 Optimum Tree Services Ltd</t>
        </is>
      </c>
      <c r="B3382" t="inlineStr">
        <is>
          <t>Utilities</t>
        </is>
      </c>
      <c r="C3382" t="inlineStr">
        <is>
          <t>UKPN</t>
        </is>
      </c>
      <c r="D3382" t="inlineStr">
        <is>
          <t>WD14EVB , MEWP , Land Rover , Defender</t>
        </is>
      </c>
      <c r="E3382" t="inlineStr">
        <is>
          <t>WD14EVB , MEWP , Land Rover , Defender</t>
        </is>
      </c>
      <c r="F3382" t="inlineStr">
        <is>
          <t>WD14EVB , MEWP , Land Rover , Defender</t>
        </is>
      </c>
      <c r="G3382" t="inlineStr">
        <is>
          <t xml:space="preserve">Abraham Davies </t>
        </is>
      </c>
      <c r="H3382" t="inlineStr">
        <is>
          <t>4x4</t>
        </is>
      </c>
      <c r="I3382" t="inlineStr">
        <is>
          <t>Daily/ Weekly Vehicle Inspection</t>
        </is>
      </c>
      <c r="J3382" t="inlineStr">
        <is>
          <t>N/A</t>
        </is>
      </c>
      <c r="K3382" t="inlineStr">
        <is>
          <t>7806 Optimum Tree Services Ltd</t>
        </is>
      </c>
      <c r="L3382" t="inlineStr">
        <is>
          <t>02/03/2026 08:09</t>
        </is>
      </c>
      <c r="M3382" t="inlineStr">
        <is>
          <t>None</t>
        </is>
      </c>
      <c r="N3382" t="inlineStr">
        <is>
          <t>&lt;p&gt;&lt;/p&gt;</t>
        </is>
      </c>
      <c r="O3382" t="inlineStr"/>
      <c r="P3382" t="inlineStr">
        <is>
          <t>WD14EVB , MEWP , Land Rover , Defender</t>
        </is>
      </c>
      <c r="Q3382" t="inlineStr">
        <is>
          <t>UKPN</t>
        </is>
      </c>
      <c r="R3382" t="b">
        <v>0</v>
      </c>
    </row>
    <row r="3383">
      <c r="A3383" t="inlineStr">
        <is>
          <t>1 Mar 2026 / 7806 Optimum Tree Services Ltd</t>
        </is>
      </c>
      <c r="B3383" t="inlineStr">
        <is>
          <t>Utilities</t>
        </is>
      </c>
      <c r="C3383" t="inlineStr">
        <is>
          <t>UKPN</t>
        </is>
      </c>
      <c r="D3383" t="inlineStr">
        <is>
          <t>WD14EVB , MEWP , Land Rover , Defender</t>
        </is>
      </c>
      <c r="E3383" t="inlineStr">
        <is>
          <t>WD14EVB , MEWP , Land Rover , Defender</t>
        </is>
      </c>
      <c r="F3383" t="inlineStr">
        <is>
          <t>WD14EVB , MEWP , Land Rover , Defender</t>
        </is>
      </c>
      <c r="G3383" t="inlineStr">
        <is>
          <t xml:space="preserve">Abraham Davies </t>
        </is>
      </c>
      <c r="H3383" t="inlineStr">
        <is>
          <t>4x4</t>
        </is>
      </c>
      <c r="I3383" t="inlineStr">
        <is>
          <t>Daily/ Weekly Vehicle Inspection</t>
        </is>
      </c>
      <c r="J3383" t="inlineStr">
        <is>
          <t>N/A</t>
        </is>
      </c>
      <c r="K3383" t="inlineStr">
        <is>
          <t>7806 Optimum Tree Services Ltd</t>
        </is>
      </c>
      <c r="L3383" t="inlineStr">
        <is>
          <t>02/03/2026 08:10</t>
        </is>
      </c>
      <c r="M3383" t="inlineStr">
        <is>
          <t>None</t>
        </is>
      </c>
      <c r="N3383" t="inlineStr">
        <is>
          <t>&lt;p&gt;&lt;/p&gt;</t>
        </is>
      </c>
      <c r="O3383" t="inlineStr"/>
      <c r="P3383" t="inlineStr">
        <is>
          <t>WD14EVB , MEWP , Land Rover , Defender</t>
        </is>
      </c>
      <c r="Q3383" t="inlineStr">
        <is>
          <t>UKPN</t>
        </is>
      </c>
      <c r="R3383" t="b">
        <v>0</v>
      </c>
    </row>
    <row r="3384">
      <c r="A3384" t="inlineStr">
        <is>
          <t>2 Mar 2026 / 8040 S6 Tree specialists Ltd</t>
        </is>
      </c>
      <c r="B3384" t="inlineStr">
        <is>
          <t>Utilities</t>
        </is>
      </c>
      <c r="C3384" t="inlineStr">
        <is>
          <t>UKPN</t>
        </is>
      </c>
      <c r="D3384" t="inlineStr">
        <is>
          <t>Cu59myy  , 4x4 , Landrover  , Discovery 4</t>
        </is>
      </c>
      <c r="E3384" t="inlineStr">
        <is>
          <t>Cu59myy  , 4x4 , Landrover  , Discovery 4</t>
        </is>
      </c>
      <c r="F3384" t="inlineStr">
        <is>
          <t>Cu59myy  , 4x4 , Landrover  , Discovery 4</t>
        </is>
      </c>
      <c r="G3384" t="inlineStr">
        <is>
          <t xml:space="preserve">Luke lane </t>
        </is>
      </c>
      <c r="H3384" t="inlineStr">
        <is>
          <t>4x4</t>
        </is>
      </c>
      <c r="I3384" t="inlineStr">
        <is>
          <t>Daily/ Weekly Vehicle Inspection</t>
        </is>
      </c>
      <c r="J3384" t="inlineStr">
        <is>
          <t>N/A</t>
        </is>
      </c>
      <c r="K3384" t="inlineStr">
        <is>
          <t>8040 S6 Tree specialists Ltd</t>
        </is>
      </c>
      <c r="L3384" t="inlineStr">
        <is>
          <t>02/03/2026 08:12</t>
        </is>
      </c>
      <c r="M3384" t="inlineStr">
        <is>
          <t>None</t>
        </is>
      </c>
      <c r="N3384" t="inlineStr">
        <is>
          <t>&lt;p&gt;&lt;/p&gt;</t>
        </is>
      </c>
      <c r="O3384" t="inlineStr"/>
      <c r="P3384" t="inlineStr">
        <is>
          <t>Cu59myy  , 4x4 , Landrover  , Discovery 4</t>
        </is>
      </c>
      <c r="Q3384" t="inlineStr">
        <is>
          <t>UKPN</t>
        </is>
      </c>
      <c r="R3384" t="b">
        <v>0</v>
      </c>
    </row>
    <row r="3385">
      <c r="A3385" t="inlineStr">
        <is>
          <t>2 Mar 2026 / 6617 Ashdown Tree Limited 1</t>
        </is>
      </c>
      <c r="B3385" t="inlineStr">
        <is>
          <t>Utilities</t>
        </is>
      </c>
      <c r="C3385" t="inlineStr">
        <is>
          <t>UKPN</t>
        </is>
      </c>
      <c r="D3385" t="inlineStr">
        <is>
          <t>WG63OJS , 4x4 , Land rover  , defender</t>
        </is>
      </c>
      <c r="E3385" t="inlineStr">
        <is>
          <t>WG63OJS , 4x4 , Land rover  , defender</t>
        </is>
      </c>
      <c r="F3385" t="inlineStr">
        <is>
          <t>WG63OJS , 4x4 , Land rover  , defender</t>
        </is>
      </c>
      <c r="G3385" t="inlineStr">
        <is>
          <t>Dan</t>
        </is>
      </c>
      <c r="H3385" t="inlineStr">
        <is>
          <t>4x4</t>
        </is>
      </c>
      <c r="I3385" t="inlineStr">
        <is>
          <t>Daily/ Weekly Vehicle Inspection</t>
        </is>
      </c>
      <c r="J3385" t="inlineStr">
        <is>
          <t>N/A</t>
        </is>
      </c>
      <c r="K3385" t="inlineStr">
        <is>
          <t>6617 Ashdown Tree Limited - Team 2</t>
        </is>
      </c>
      <c r="L3385" t="inlineStr">
        <is>
          <t>02/03/2026 08:13</t>
        </is>
      </c>
      <c r="M3385" t="inlineStr">
        <is>
          <t>None</t>
        </is>
      </c>
      <c r="N3385" t="inlineStr">
        <is>
          <t>&lt;p&gt;&lt;/p&gt;</t>
        </is>
      </c>
      <c r="O3385" t="inlineStr"/>
      <c r="P3385" t="inlineStr">
        <is>
          <t>WG63OJS , 4x4 , Land rover  , defender</t>
        </is>
      </c>
      <c r="Q3385" t="inlineStr">
        <is>
          <t>UKPN</t>
        </is>
      </c>
      <c r="R3385" t="b">
        <v>0</v>
      </c>
    </row>
    <row r="3386">
      <c r="A3386" t="inlineStr">
        <is>
          <t>2 Mar 2026 / Andrew Carr</t>
        </is>
      </c>
      <c r="B3386" t="inlineStr">
        <is>
          <t>Utilities</t>
        </is>
      </c>
      <c r="C3386" t="inlineStr">
        <is>
          <t>SSE</t>
        </is>
      </c>
      <c r="D3386" t="inlineStr"/>
      <c r="E3386" t="inlineStr"/>
      <c r="F3386" t="inlineStr"/>
      <c r="G3386" t="inlineStr">
        <is>
          <t xml:space="preserve">Andrew Carr </t>
        </is>
      </c>
      <c r="H3386" t="inlineStr">
        <is>
          <t>Car - Petrol</t>
        </is>
      </c>
      <c r="I3386" t="inlineStr">
        <is>
          <t>Daily/ Weekly Vehicle Inspection</t>
        </is>
      </c>
      <c r="J3386" t="inlineStr">
        <is>
          <t>N/A</t>
        </is>
      </c>
      <c r="K3386" t="inlineStr">
        <is>
          <t>Andrew Carr</t>
        </is>
      </c>
      <c r="L3386" t="inlineStr">
        <is>
          <t>02/03/2026 08:52</t>
        </is>
      </c>
      <c r="M3386" t="inlineStr">
        <is>
          <t>None</t>
        </is>
      </c>
      <c r="N3386" t="inlineStr">
        <is>
          <t>&lt;p&gt;&lt;/p&gt;</t>
        </is>
      </c>
      <c r="O3386" t="inlineStr"/>
      <c r="P3386" t="inlineStr"/>
      <c r="Q3386" t="inlineStr">
        <is>
          <t>SSE</t>
        </is>
      </c>
      <c r="R3386" t="b">
        <v>0</v>
      </c>
    </row>
    <row r="3387">
      <c r="A3387" t="inlineStr">
        <is>
          <t>2 Mar 2026 / 8148 Hope Ground and Tree Care</t>
        </is>
      </c>
      <c r="B3387" t="inlineStr">
        <is>
          <t>Utilities</t>
        </is>
      </c>
      <c r="C3387" t="inlineStr">
        <is>
          <t>UKPN</t>
        </is>
      </c>
      <c r="D3387" t="inlineStr">
        <is>
          <t>S6 NWX , MEWP , Isuzu , D-Max</t>
        </is>
      </c>
      <c r="E3387" t="inlineStr">
        <is>
          <t>S6 NWX , MEWP , Isuzu , D-Max</t>
        </is>
      </c>
      <c r="F3387" t="inlineStr">
        <is>
          <t>S6 NWX , MEWP , Isuzu , D-Max</t>
        </is>
      </c>
      <c r="G3387" t="inlineStr">
        <is>
          <t>A Hope</t>
        </is>
      </c>
      <c r="H3387" t="inlineStr">
        <is>
          <t>4x4</t>
        </is>
      </c>
      <c r="I3387" t="inlineStr">
        <is>
          <t>Daily/ Weekly Vehicle Inspection</t>
        </is>
      </c>
      <c r="J3387" t="inlineStr">
        <is>
          <t>N/A</t>
        </is>
      </c>
      <c r="K3387" t="inlineStr">
        <is>
          <t>8148 Hope Ground and Tree Care</t>
        </is>
      </c>
      <c r="L3387" t="inlineStr">
        <is>
          <t>02/03/2026 08:55</t>
        </is>
      </c>
      <c r="M3387" t="inlineStr">
        <is>
          <t>None</t>
        </is>
      </c>
      <c r="N3387" t="inlineStr">
        <is>
          <t>&lt;p&gt;&lt;/p&gt;</t>
        </is>
      </c>
      <c r="O3387" t="inlineStr"/>
      <c r="P3387" t="inlineStr">
        <is>
          <t>S6 NWX , MEWP , Isuzu , D-Max</t>
        </is>
      </c>
      <c r="Q3387" t="inlineStr">
        <is>
          <t>UKPN</t>
        </is>
      </c>
      <c r="R3387" t="b">
        <v>0</v>
      </c>
    </row>
    <row r="3388">
      <c r="A3388" t="inlineStr">
        <is>
          <t>2 Mar 2026 / Keil Cheung</t>
        </is>
      </c>
      <c r="B3388" t="inlineStr">
        <is>
          <t>Utilities</t>
        </is>
      </c>
      <c r="C3388" t="inlineStr">
        <is>
          <t>NGED</t>
        </is>
      </c>
      <c r="D3388" t="inlineStr">
        <is>
          <t>GJ71KHV , Car - Electric , Tesla , Model 3 Long Range AWD</t>
        </is>
      </c>
      <c r="E3388" t="inlineStr">
        <is>
          <t>GJ71KHV , Car - Electric , Tesla , Model 3 Long Range AWD</t>
        </is>
      </c>
      <c r="F3388" t="inlineStr">
        <is>
          <t>GJ71KHV , Car - Electric , Tesla , Model 3 Long Range AWD</t>
        </is>
      </c>
      <c r="G3388" t="inlineStr">
        <is>
          <t>Keil cheung</t>
        </is>
      </c>
      <c r="H3388" t="inlineStr">
        <is>
          <t>Car - Electric (GC Owned)</t>
        </is>
      </c>
      <c r="I3388" t="inlineStr">
        <is>
          <t>Daily/ Weekly Vehicle Inspection</t>
        </is>
      </c>
      <c r="J3388" t="inlineStr">
        <is>
          <t>N/A</t>
        </is>
      </c>
      <c r="K3388" t="inlineStr">
        <is>
          <t>Keil Cheung</t>
        </is>
      </c>
      <c r="L3388" t="inlineStr">
        <is>
          <t>02/03/2026 09:01</t>
        </is>
      </c>
      <c r="M3388" t="inlineStr">
        <is>
          <t xml:space="preserve">Confirm that you have checked this vehicle as per the guidance document and the vehicle is safe and roadworthy: Fail
</t>
        </is>
      </c>
      <c r="N3388" t="inlineStr">
        <is>
          <t>&lt;p&gt;&lt;/p&gt;</t>
        </is>
      </c>
      <c r="O3388" t="inlineStr"/>
      <c r="P3388" t="inlineStr">
        <is>
          <t>GJ71KHV , Car - Electric , Tesla , Model 3 Long Range AWD</t>
        </is>
      </c>
      <c r="Q3388" t="inlineStr">
        <is>
          <t>NGED</t>
        </is>
      </c>
      <c r="R3388" t="b">
        <v>0</v>
      </c>
    </row>
    <row r="3389">
      <c r="A3389" t="inlineStr">
        <is>
          <t>2 Mar 2026 / Oliver Coyle</t>
        </is>
      </c>
      <c r="B3389" t="inlineStr">
        <is>
          <t>Utilities</t>
        </is>
      </c>
      <c r="C3389" t="inlineStr">
        <is>
          <t>NGED</t>
        </is>
      </c>
      <c r="D3389" t="inlineStr">
        <is>
          <t>GL20TSX , Car - Electric , Tesla , Model 3 Long Range AWD</t>
        </is>
      </c>
      <c r="E3389" t="inlineStr">
        <is>
          <t>GL20TSX , Car - Electric , Tesla , Model 3 Long Range AWD</t>
        </is>
      </c>
      <c r="F3389" t="inlineStr">
        <is>
          <t>GL20TSX , Car - Electric , Tesla , Model 3 Long Range AWD</t>
        </is>
      </c>
      <c r="G3389" t="inlineStr">
        <is>
          <t>Oliver Coyle</t>
        </is>
      </c>
      <c r="H3389" t="inlineStr">
        <is>
          <t>Car - Electric (GC Owned)</t>
        </is>
      </c>
      <c r="I3389" t="inlineStr">
        <is>
          <t>Daily/ Weekly Vehicle Inspection</t>
        </is>
      </c>
      <c r="J3389" t="inlineStr">
        <is>
          <t>N/A</t>
        </is>
      </c>
      <c r="K3389" t="inlineStr">
        <is>
          <t>Oliver Coyle</t>
        </is>
      </c>
      <c r="L3389" t="inlineStr">
        <is>
          <t>02/03/2026 09:43</t>
        </is>
      </c>
      <c r="M3389" t="inlineStr">
        <is>
          <t>None</t>
        </is>
      </c>
      <c r="N3389" t="inlineStr">
        <is>
          <t>&lt;p&gt;&lt;/p&gt;</t>
        </is>
      </c>
      <c r="O3389" t="inlineStr"/>
      <c r="P3389" t="inlineStr">
        <is>
          <t>GL20TSX , Car - Electric , Tesla , Model 3 Long Range AWD</t>
        </is>
      </c>
      <c r="Q3389" t="inlineStr">
        <is>
          <t>NGED</t>
        </is>
      </c>
      <c r="R3389" t="b">
        <v>0</v>
      </c>
    </row>
    <row r="3390">
      <c r="A3390" t="inlineStr">
        <is>
          <t>2 Mar 2026 / Joe Sauvage</t>
        </is>
      </c>
      <c r="B3390" t="inlineStr">
        <is>
          <t>Utilities</t>
        </is>
      </c>
      <c r="C3390" t="inlineStr">
        <is>
          <t>SSE</t>
        </is>
      </c>
      <c r="D3390" t="inlineStr">
        <is>
          <t>AK70TBV , Car - Electric , Tesla , Model 3 Long Range AWD</t>
        </is>
      </c>
      <c r="E3390" t="inlineStr">
        <is>
          <t>AK70TBV , Car - Electric , Tesla , Model 3 Long Range AWD</t>
        </is>
      </c>
      <c r="F3390" t="inlineStr">
        <is>
          <t>AK70TBV , Car - Electric , Tesla , Model 3 Long Range AWD</t>
        </is>
      </c>
      <c r="G3390" t="inlineStr">
        <is>
          <t xml:space="preserve">Joe sauvage </t>
        </is>
      </c>
      <c r="H3390" t="inlineStr">
        <is>
          <t>Car - Electric (GC Owned)</t>
        </is>
      </c>
      <c r="I3390" t="inlineStr">
        <is>
          <t>Daily/ Weekly Vehicle Inspection</t>
        </is>
      </c>
      <c r="J3390" t="inlineStr">
        <is>
          <t>N/A</t>
        </is>
      </c>
      <c r="K3390" t="inlineStr">
        <is>
          <t>Joe Sauvage</t>
        </is>
      </c>
      <c r="L3390" t="inlineStr">
        <is>
          <t>02/03/2026 09:47</t>
        </is>
      </c>
      <c r="M3390" t="inlineStr">
        <is>
          <t>None</t>
        </is>
      </c>
      <c r="N3390" t="inlineStr">
        <is>
          <t>&lt;p&gt;&lt;/p&gt;</t>
        </is>
      </c>
      <c r="O3390" t="inlineStr"/>
      <c r="P3390" t="inlineStr">
        <is>
          <t>AK70TBV , Car - Electric , Tesla , Model 3 Long Range AWD</t>
        </is>
      </c>
      <c r="Q3390" t="inlineStr">
        <is>
          <t>SSE</t>
        </is>
      </c>
      <c r="R3390" t="b">
        <v>0</v>
      </c>
    </row>
    <row r="3391">
      <c r="A3391" t="inlineStr">
        <is>
          <t>2 Mar 2026 / Jonathan Wisbey</t>
        </is>
      </c>
      <c r="B3391" t="inlineStr">
        <is>
          <t>Utilities</t>
        </is>
      </c>
      <c r="C3391" t="inlineStr">
        <is>
          <t>UKPN</t>
        </is>
      </c>
      <c r="D3391" t="inlineStr"/>
      <c r="E3391" t="inlineStr"/>
      <c r="F3391" t="inlineStr"/>
      <c r="G3391" t="inlineStr">
        <is>
          <t xml:space="preserve">Jonathan Wisbey </t>
        </is>
      </c>
      <c r="H3391" t="inlineStr">
        <is>
          <t>Car - Petrol</t>
        </is>
      </c>
      <c r="I3391" t="inlineStr">
        <is>
          <t>Monthly Vehicle Inspection</t>
        </is>
      </c>
      <c r="J3391" t="inlineStr">
        <is>
          <t>7931</t>
        </is>
      </c>
      <c r="K3391" t="inlineStr">
        <is>
          <t>Jonathan Wisbey</t>
        </is>
      </c>
      <c r="L3391" t="inlineStr">
        <is>
          <t>02/03/2026 09:50</t>
        </is>
      </c>
      <c r="M3391" t="inlineStr">
        <is>
          <t>None</t>
        </is>
      </c>
      <c r="N3391" t="inlineStr">
        <is>
          <t>&lt;p&gt;&lt;/p&gt;</t>
        </is>
      </c>
      <c r="O3391" t="inlineStr"/>
      <c r="P3391" t="inlineStr"/>
      <c r="Q3391" t="inlineStr">
        <is>
          <t>UKPN</t>
        </is>
      </c>
      <c r="R3391" t="b">
        <v>0</v>
      </c>
    </row>
    <row r="3392">
      <c r="A3392" t="inlineStr">
        <is>
          <t>2 Mar 2026 / James Heaton</t>
        </is>
      </c>
      <c r="B3392" t="inlineStr">
        <is>
          <t>Utilities</t>
        </is>
      </c>
      <c r="C3392" t="inlineStr">
        <is>
          <t>NGED</t>
        </is>
      </c>
      <c r="D3392" t="inlineStr">
        <is>
          <t>AJ23EKC , Car - Electric , Tesla , Model 3 Long Range AWD</t>
        </is>
      </c>
      <c r="E3392" t="inlineStr">
        <is>
          <t>AJ23EKC , Car - Electric , Tesla , Model 3 Long Range AWD</t>
        </is>
      </c>
      <c r="F3392" t="inlineStr">
        <is>
          <t>AJ23EKC , Car - Electric , Tesla , Model 3 Long Range AWD</t>
        </is>
      </c>
      <c r="G3392" t="inlineStr">
        <is>
          <t>James heaton</t>
        </is>
      </c>
      <c r="H3392" t="inlineStr">
        <is>
          <t>Car - Electric (GC Owned)</t>
        </is>
      </c>
      <c r="I3392" t="inlineStr">
        <is>
          <t>Monthly Vehicle Inspection</t>
        </is>
      </c>
      <c r="J3392" t="inlineStr">
        <is>
          <t>34200</t>
        </is>
      </c>
      <c r="K3392" t="inlineStr">
        <is>
          <t>James Heaton</t>
        </is>
      </c>
      <c r="L3392" t="inlineStr">
        <is>
          <t>02/03/2026 10:08</t>
        </is>
      </c>
      <c r="M3392" t="inlineStr">
        <is>
          <t xml:space="preserve">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 Fail
FLUIDS
What to Check:
Is the brake fluid level correct?
Is the hydraulics level correct?
Is the windscreen wiper fluid correct?
Are there any leaks?
How: Open the respective fluid reservoirs and visually check fluid levels. Use dipsticks or level indicators where applicable. Inspect for any signs of leaks under the vehicle or around engine components.
Why: Proper fluid levels ensure optimal vehicle performance and longevity of mechanical components. Low fluid levels can lead to engine overheating, brake failure, or compromised visibility. Checking for leaks prevents potential damage and maintains environmental safety.: Fail
</t>
        </is>
      </c>
      <c r="N3392" t="inlineStr">
        <is>
          <t>&lt;p&gt;&lt;/p&gt;</t>
        </is>
      </c>
      <c r="O3392" t="inlineStr">
        <is>
          <t>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hours.:NA as i dont charge at home
-FLUIDS
What to Check:
Is the brake fluid level correct?
Is the hydraulics level correct?
Is the windscreen wiper fluid correct?
Are there any leaks?
How: Open the respective fluid reservoirs and visually check fluid levels. Use dipsticks or level indicators where applicable. Inspect for any signs of leaks under the vehicle or around engine components.
Why: Proper fluid levels ensure optimal vehicle performance and longevity of mechanical components. Low fluid levels can lead to engine overheating, brake failure, or compromised visibility. Checking for leaks prevents potential damage and maintains environmental safety.:Window wash low.
-INTERIOR
What to Check: 
Interior is Clean and Free of Loose Objects. 
Vehicle is Clean and Free of excessive Road Grime and Dirt.
Are the seatbelts in good condition (any tears, fraying, or faulty buckles)?
How: Inspect the interior cabin for cleanliness, ensuring it is free of clutter and loose objects that could become hazards during travel. Clean any road grime or dirt buildup from surfaces, including seats, dashboard, and floor mats.
Why: A clean and clutter-free interior promotes a comfortable driving environment, reduces distractions, and enhances passenger safety. Regular cleaning prevents dirt buildup, maintains interior aesthetics, and contributes to a pleasant driving experience.:Cleaned this wekend
-WARNING LIGHTS
What to Check: 
Any warning lights, Dashboard display, and lights operational? (front, rear, beacons).
How: Start the vehicle and check the dashboard for illuminated warning lights. Test all exterior lights including front, rear, and beacons. Ensure all indicators, gauges, and displays are functioning properly.
Why: Functional warning lights and dashboard indicators alert the driver to potential issues with the vehicle's systems. Prompt attention to warning lights helps prevent mechanical failures, ensures roadworthiness, and enhances safety.:Only warning is regarding the window wash
-</t>
        </is>
      </c>
      <c r="P3392" t="inlineStr">
        <is>
          <t>AJ23EKC , Car - Electric , Tesla , Model 3 Long Range AWD</t>
        </is>
      </c>
      <c r="Q3392" t="inlineStr">
        <is>
          <t>NGED</t>
        </is>
      </c>
      <c r="R3392" t="b">
        <v>0</v>
      </c>
    </row>
    <row r="3393">
      <c r="A3393" t="inlineStr">
        <is>
          <t>2 Mar 2026 / 7996 M G Tree Surgery Ltd 1</t>
        </is>
      </c>
      <c r="B3393" t="inlineStr">
        <is>
          <t>Utilities</t>
        </is>
      </c>
      <c r="C3393" t="inlineStr">
        <is>
          <t>UKPN</t>
        </is>
      </c>
      <c r="D3393" t="inlineStr"/>
      <c r="E3393" t="inlineStr"/>
      <c r="F3393" t="inlineStr"/>
      <c r="G3393" t="inlineStr">
        <is>
          <t>Anthony Gale</t>
        </is>
      </c>
      <c r="H3393" t="inlineStr">
        <is>
          <t>Towed Chipper</t>
        </is>
      </c>
      <c r="I3393" t="inlineStr">
        <is>
          <t>Daily/ Weekly Vehicle Inspection</t>
        </is>
      </c>
      <c r="J3393" t="inlineStr">
        <is>
          <t>N/A</t>
        </is>
      </c>
      <c r="K3393" t="inlineStr">
        <is>
          <t>7996 M G Tree Surgery Ltd 1</t>
        </is>
      </c>
      <c r="L3393" t="inlineStr">
        <is>
          <t>02/03/2026 10:42</t>
        </is>
      </c>
      <c r="M3393" t="inlineStr">
        <is>
          <t>None</t>
        </is>
      </c>
      <c r="N3393" t="inlineStr">
        <is>
          <t>&lt;p&gt;&lt;/p&gt;</t>
        </is>
      </c>
      <c r="O3393" t="inlineStr"/>
      <c r="P3393" t="inlineStr"/>
      <c r="Q3393" t="inlineStr">
        <is>
          <t>UKPN</t>
        </is>
      </c>
      <c r="R3393" t="b">
        <v>0</v>
      </c>
    </row>
    <row r="3394">
      <c r="A3394" t="inlineStr">
        <is>
          <t>2 Mar 2026 / 7996 M G Tree Surgery Ltd 1</t>
        </is>
      </c>
      <c r="B3394" t="inlineStr">
        <is>
          <t>Utilities</t>
        </is>
      </c>
      <c r="C3394" t="inlineStr">
        <is>
          <t>UKPN</t>
        </is>
      </c>
      <c r="D3394" t="inlineStr">
        <is>
          <t>KX20 BCE , Tipper , Isuzu , D-Max</t>
        </is>
      </c>
      <c r="E3394" t="inlineStr">
        <is>
          <t>KX20 BCE , Tipper , Isuzu , D-Max</t>
        </is>
      </c>
      <c r="F3394" t="inlineStr">
        <is>
          <t>KX20 BCE , Tipper , Isuzu , D-Max</t>
        </is>
      </c>
      <c r="G3394" t="inlineStr">
        <is>
          <t>Anthony Gale</t>
        </is>
      </c>
      <c r="H3394" t="inlineStr">
        <is>
          <t>Pickup Truck</t>
        </is>
      </c>
      <c r="I3394" t="inlineStr">
        <is>
          <t>Daily/ Weekly Vehicle Inspection</t>
        </is>
      </c>
      <c r="J3394" t="inlineStr">
        <is>
          <t>N/A</t>
        </is>
      </c>
      <c r="K3394" t="inlineStr">
        <is>
          <t>7996 M G Tree Surgery Ltd 1</t>
        </is>
      </c>
      <c r="L3394" t="inlineStr">
        <is>
          <t>02/03/2026 10:44</t>
        </is>
      </c>
      <c r="M3394" t="inlineStr">
        <is>
          <t>None</t>
        </is>
      </c>
      <c r="N3394" t="inlineStr">
        <is>
          <t>&lt;p&gt;&lt;/p&gt;</t>
        </is>
      </c>
      <c r="O3394" t="inlineStr">
        <is>
          <t>Confirm that you have checked this vehicle as per the guidance document and the vehicle is safe and roadworthy:Light board deteriorating.
Safe for now.
Will need replacing soon.
-</t>
        </is>
      </c>
      <c r="P3394" t="inlineStr">
        <is>
          <t>KX20 BCE , Tipper , Isuzu , D-Max</t>
        </is>
      </c>
      <c r="Q3394" t="inlineStr">
        <is>
          <t>UKPN</t>
        </is>
      </c>
      <c r="R3394" t="b">
        <v>0</v>
      </c>
    </row>
    <row r="3395">
      <c r="A3395" t="inlineStr">
        <is>
          <t>2 Mar 2026 / Paul Chubb</t>
        </is>
      </c>
      <c r="B3395" t="inlineStr">
        <is>
          <t>Utilities</t>
        </is>
      </c>
      <c r="C3395" t="inlineStr">
        <is>
          <t>SSE</t>
        </is>
      </c>
      <c r="D3395" t="inlineStr"/>
      <c r="E3395" t="inlineStr"/>
      <c r="F3395" t="inlineStr"/>
      <c r="G3395" t="inlineStr">
        <is>
          <t>Paul chubb</t>
        </is>
      </c>
      <c r="H3395" t="inlineStr">
        <is>
          <t>Van</t>
        </is>
      </c>
      <c r="I3395" t="inlineStr">
        <is>
          <t>Daily/ Weekly Vehicle Inspection</t>
        </is>
      </c>
      <c r="J3395" t="inlineStr">
        <is>
          <t>N/A</t>
        </is>
      </c>
      <c r="K3395" t="inlineStr">
        <is>
          <t>Paul Chubb</t>
        </is>
      </c>
      <c r="L3395" t="inlineStr">
        <is>
          <t>02/03/2026 10:46</t>
        </is>
      </c>
      <c r="M3395" t="inlineStr">
        <is>
          <t>None</t>
        </is>
      </c>
      <c r="N3395" t="inlineStr">
        <is>
          <t>&lt;p&gt;&lt;/p&gt;</t>
        </is>
      </c>
      <c r="O3395" t="inlineStr"/>
      <c r="P3395" t="inlineStr"/>
      <c r="Q3395" t="inlineStr">
        <is>
          <t>SSE</t>
        </is>
      </c>
      <c r="R3395" t="b">
        <v>0</v>
      </c>
    </row>
    <row r="3396">
      <c r="A3396" t="inlineStr">
        <is>
          <t>2 Mar 2026 / Benet Jones</t>
        </is>
      </c>
      <c r="B3396" t="inlineStr">
        <is>
          <t>Utilities</t>
        </is>
      </c>
      <c r="C3396" t="inlineStr">
        <is>
          <t>NGED</t>
        </is>
      </c>
      <c r="D3396" t="inlineStr"/>
      <c r="E3396" t="inlineStr"/>
      <c r="F3396" t="inlineStr"/>
      <c r="G3396" t="inlineStr">
        <is>
          <t xml:space="preserve">Benet Jones </t>
        </is>
      </c>
      <c r="H3396" t="inlineStr">
        <is>
          <t>Car - Petrol</t>
        </is>
      </c>
      <c r="I3396" t="inlineStr">
        <is>
          <t>Daily/ Weekly Vehicle Inspection</t>
        </is>
      </c>
      <c r="J3396" t="inlineStr">
        <is>
          <t>N/A</t>
        </is>
      </c>
      <c r="K3396" t="inlineStr">
        <is>
          <t>Benet Jones</t>
        </is>
      </c>
      <c r="L3396" t="inlineStr">
        <is>
          <t>02/03/2026 10:57</t>
        </is>
      </c>
      <c r="M3396" t="inlineStr">
        <is>
          <t>None</t>
        </is>
      </c>
      <c r="N3396" t="inlineStr">
        <is>
          <t>&lt;p&gt;&lt;/p&gt;</t>
        </is>
      </c>
      <c r="O3396" t="inlineStr">
        <is>
          <t>Confirm that you have checked this vehicle as per the guidance document and the vehicle is safe and roadworthy:Car checked and fully serviceable
-</t>
        </is>
      </c>
      <c r="P3396" t="inlineStr"/>
      <c r="Q3396" t="inlineStr">
        <is>
          <t>NGED</t>
        </is>
      </c>
      <c r="R3396" t="b">
        <v>0</v>
      </c>
    </row>
    <row r="3397">
      <c r="A3397" t="inlineStr">
        <is>
          <t>2 Mar 2026 / Thomas Playford</t>
        </is>
      </c>
      <c r="B3397" t="inlineStr">
        <is>
          <t>Utilities</t>
        </is>
      </c>
      <c r="C3397" t="inlineStr">
        <is>
          <t>UKPN</t>
        </is>
      </c>
      <c r="D3397" t="inlineStr">
        <is>
          <t>LK15KRZ , 4x4 , Landrover , Defender</t>
        </is>
      </c>
      <c r="E3397" t="inlineStr">
        <is>
          <t>LK15KRZ , 4x4 , Landrover , Defender</t>
        </is>
      </c>
      <c r="F3397" t="inlineStr">
        <is>
          <t>LK15KRZ , 4x4 , Landrover , Defender</t>
        </is>
      </c>
      <c r="G3397" t="inlineStr">
        <is>
          <t>Jacob Oram</t>
        </is>
      </c>
      <c r="H3397" t="inlineStr">
        <is>
          <t>4x4</t>
        </is>
      </c>
      <c r="I3397" t="inlineStr">
        <is>
          <t>Daily/ Weekly Vehicle Inspection</t>
        </is>
      </c>
      <c r="J3397" t="inlineStr">
        <is>
          <t>N/A</t>
        </is>
      </c>
      <c r="K3397" t="inlineStr">
        <is>
          <t>7995 Green Net Eco Ltd 2</t>
        </is>
      </c>
      <c r="L3397" t="inlineStr">
        <is>
          <t>02/03/2026 11:48</t>
        </is>
      </c>
      <c r="M3397" t="inlineStr">
        <is>
          <t>None</t>
        </is>
      </c>
      <c r="N3397" t="inlineStr">
        <is>
          <t>&lt;p&gt;&lt;/p&gt;</t>
        </is>
      </c>
      <c r="O3397" t="inlineStr"/>
      <c r="P3397" t="inlineStr">
        <is>
          <t>LK15KRZ , 4x4 , Landrover , Defender</t>
        </is>
      </c>
      <c r="Q3397" t="inlineStr">
        <is>
          <t>UKPN</t>
        </is>
      </c>
      <c r="R3397" t="b">
        <v>0</v>
      </c>
    </row>
    <row r="3398">
      <c r="A3398" t="inlineStr">
        <is>
          <t>2 Mar 2026 / Thomas Playford</t>
        </is>
      </c>
      <c r="B3398" t="inlineStr">
        <is>
          <t>Utilities</t>
        </is>
      </c>
      <c r="C3398" t="inlineStr">
        <is>
          <t>UKPN</t>
        </is>
      </c>
      <c r="D3398" t="inlineStr">
        <is>
          <t>SA9ST800000283944 , Towed Chipper , Forst , ST8D - Towed</t>
        </is>
      </c>
      <c r="E3398" t="inlineStr">
        <is>
          <t>SA9ST800000283944 , Towed Chipper , Forst , ST8D - Towed</t>
        </is>
      </c>
      <c r="F3398" t="inlineStr">
        <is>
          <t>SA9ST800000283944 , Towed Chipper , Forst , ST8D - Towed</t>
        </is>
      </c>
      <c r="G3398" t="inlineStr">
        <is>
          <t xml:space="preserve">Thomas Playford </t>
        </is>
      </c>
      <c r="H3398" t="inlineStr">
        <is>
          <t>Towed Chipper</t>
        </is>
      </c>
      <c r="I3398" t="inlineStr">
        <is>
          <t>Daily/ Weekly Vehicle Inspection</t>
        </is>
      </c>
      <c r="J3398" t="inlineStr">
        <is>
          <t>N/A</t>
        </is>
      </c>
      <c r="K3398" t="inlineStr">
        <is>
          <t>7995 Green Net Eco Ltd 2</t>
        </is>
      </c>
      <c r="L3398" t="inlineStr">
        <is>
          <t>02/03/2026 11:49</t>
        </is>
      </c>
      <c r="M3398" t="inlineStr">
        <is>
          <t>None</t>
        </is>
      </c>
      <c r="N3398" t="inlineStr">
        <is>
          <t>&lt;p&gt;&lt;/p&gt;</t>
        </is>
      </c>
      <c r="O3398" t="inlineStr"/>
      <c r="P3398" t="inlineStr">
        <is>
          <t>SA9ST800000283944 , Towed Chipper , Forst , ST8D - Towed</t>
        </is>
      </c>
      <c r="Q3398" t="inlineStr">
        <is>
          <t>UKPN</t>
        </is>
      </c>
      <c r="R3398" t="b">
        <v>0</v>
      </c>
    </row>
    <row r="3399">
      <c r="A3399" t="inlineStr">
        <is>
          <t>2 Mar 2026 / Thomas Playford</t>
        </is>
      </c>
      <c r="B3399" t="inlineStr">
        <is>
          <t>Utilities</t>
        </is>
      </c>
      <c r="C3399" t="inlineStr">
        <is>
          <t>UKPN</t>
        </is>
      </c>
      <c r="D3399" t="inlineStr">
        <is>
          <t>X21TNP , 4x4 , Toyota , Hilux</t>
        </is>
      </c>
      <c r="E3399" t="inlineStr">
        <is>
          <t>X21TNP , 4x4 , Toyota , Hilux</t>
        </is>
      </c>
      <c r="F3399" t="inlineStr">
        <is>
          <t>X21TNP , 4x4 , Toyota , Hilux</t>
        </is>
      </c>
      <c r="G3399" t="inlineStr">
        <is>
          <t>Thomas Playford</t>
        </is>
      </c>
      <c r="H3399" t="inlineStr">
        <is>
          <t>4x4</t>
        </is>
      </c>
      <c r="I3399" t="inlineStr">
        <is>
          <t>Daily/ Weekly Vehicle Inspection</t>
        </is>
      </c>
      <c r="J3399" t="inlineStr">
        <is>
          <t>N/A</t>
        </is>
      </c>
      <c r="K3399" t="inlineStr">
        <is>
          <t>7995 Green Net Eco Ltd 2</t>
        </is>
      </c>
      <c r="L3399" t="inlineStr">
        <is>
          <t>02/03/2026 11:52</t>
        </is>
      </c>
      <c r="M3399" t="inlineStr">
        <is>
          <t>None</t>
        </is>
      </c>
      <c r="N3399" t="inlineStr">
        <is>
          <t>&lt;p&gt;&lt;/p&gt;</t>
        </is>
      </c>
      <c r="O3399" t="inlineStr"/>
      <c r="P3399" t="inlineStr">
        <is>
          <t>X21TNP , 4x4 , Toyota , Hilux</t>
        </is>
      </c>
      <c r="Q3399" t="inlineStr">
        <is>
          <t>UKPN</t>
        </is>
      </c>
      <c r="R3399" t="b">
        <v>0</v>
      </c>
    </row>
    <row r="3400">
      <c r="A3400" t="inlineStr">
        <is>
          <t>2 Mar 2026 / Steve Broad</t>
        </is>
      </c>
      <c r="B3400" t="inlineStr">
        <is>
          <t>Utilities</t>
        </is>
      </c>
      <c r="C3400" t="inlineStr">
        <is>
          <t>NGED</t>
        </is>
      </c>
      <c r="D3400" t="inlineStr"/>
      <c r="E3400" t="inlineStr"/>
      <c r="F3400" t="inlineStr"/>
      <c r="G3400" t="inlineStr">
        <is>
          <t>Steve Broad</t>
        </is>
      </c>
      <c r="H3400" t="inlineStr">
        <is>
          <t>Van</t>
        </is>
      </c>
      <c r="I3400" t="inlineStr">
        <is>
          <t>Daily/ Weekly Vehicle Inspection</t>
        </is>
      </c>
      <c r="J3400" t="inlineStr">
        <is>
          <t>N/A</t>
        </is>
      </c>
      <c r="K3400" t="inlineStr">
        <is>
          <t>Steve Broad</t>
        </is>
      </c>
      <c r="L3400" t="inlineStr">
        <is>
          <t>02/03/2026 16:42</t>
        </is>
      </c>
      <c r="M3400" t="inlineStr">
        <is>
          <t xml:space="preserve">Confirm that you have checked this vehicle as per the guidance document and the vehicle is safe and roadworthy: Fail
</t>
        </is>
      </c>
      <c r="N3400" t="inlineStr">
        <is>
          <t>&lt;p&gt;&lt;a href="https&amp;#58;//apps.powerapps.com/play/2d567dc9-5d50-4629-a077-f7ccbff3e239?tenantId=3ef9f654-aa07-41b8-88ad-a411c62bd12c&amp;amp;Action=Open&amp;amp;Actionno=8362"&gt;tyre&lt;/a&gt;&lt;br&gt;&lt;/p&gt;</t>
        </is>
      </c>
      <c r="O3400" t="inlineStr"/>
      <c r="P3400" t="inlineStr"/>
      <c r="Q3400" t="inlineStr">
        <is>
          <t>NGED</t>
        </is>
      </c>
      <c r="R3400" t="b">
        <v>0</v>
      </c>
    </row>
    <row r="3401">
      <c r="A3401" t="inlineStr">
        <is>
          <t>3 Mar 2026 / 8148 Hope Ground and Tree Care</t>
        </is>
      </c>
      <c r="B3401" t="inlineStr">
        <is>
          <t>Utilities</t>
        </is>
      </c>
      <c r="C3401" t="inlineStr">
        <is>
          <t>UKPN</t>
        </is>
      </c>
      <c r="D3401" t="inlineStr">
        <is>
          <t>S6 NWX , MEWP , Isuzu , D-Max</t>
        </is>
      </c>
      <c r="E3401" t="inlineStr">
        <is>
          <t>S6 NWX , MEWP , Isuzu , D-Max</t>
        </is>
      </c>
      <c r="F3401" t="inlineStr">
        <is>
          <t>S6 NWX , MEWP , Isuzu , D-Max</t>
        </is>
      </c>
      <c r="G3401" t="inlineStr">
        <is>
          <t>A Hope</t>
        </is>
      </c>
      <c r="H3401" t="inlineStr">
        <is>
          <t>4x4</t>
        </is>
      </c>
      <c r="I3401" t="inlineStr">
        <is>
          <t>Daily/ Weekly Vehicle Inspection</t>
        </is>
      </c>
      <c r="J3401" t="inlineStr">
        <is>
          <t>N/A</t>
        </is>
      </c>
      <c r="K3401" t="inlineStr">
        <is>
          <t>8148 Hope Ground and Tree Care</t>
        </is>
      </c>
      <c r="L3401" t="inlineStr">
        <is>
          <t>03/03/2026 07:42</t>
        </is>
      </c>
      <c r="M3401" t="inlineStr">
        <is>
          <t>None</t>
        </is>
      </c>
      <c r="N3401" t="inlineStr">
        <is>
          <t>&lt;p&gt;&lt;/p&gt;</t>
        </is>
      </c>
      <c r="O3401" t="inlineStr"/>
      <c r="P3401" t="inlineStr">
        <is>
          <t>S6 NWX , MEWP , Isuzu , D-Max</t>
        </is>
      </c>
      <c r="Q3401" t="inlineStr">
        <is>
          <t>UKPN</t>
        </is>
      </c>
      <c r="R3401" t="b">
        <v>0</v>
      </c>
    </row>
    <row r="3402">
      <c r="A3402" t="inlineStr">
        <is>
          <t>3 Mar 2026 / 7806 Optimum Tree Services Ltd</t>
        </is>
      </c>
      <c r="B3402" t="inlineStr">
        <is>
          <t>Utilities</t>
        </is>
      </c>
      <c r="C3402" t="inlineStr">
        <is>
          <t>UKPN</t>
        </is>
      </c>
      <c r="D3402" t="inlineStr">
        <is>
          <t>SA9ST800000283069 , Chipper , Forst , ST 6P</t>
        </is>
      </c>
      <c r="E3402" t="inlineStr">
        <is>
          <t>SA9ST800000283069 , Chipper , Forst , ST 6P</t>
        </is>
      </c>
      <c r="F3402" t="inlineStr">
        <is>
          <t>SA9ST800000283069 , Chipper , Forst , ST 6P</t>
        </is>
      </c>
      <c r="G3402" t="inlineStr">
        <is>
          <t xml:space="preserve">Kenney Aldred </t>
        </is>
      </c>
      <c r="H3402" t="inlineStr">
        <is>
          <t>Towed Chipper</t>
        </is>
      </c>
      <c r="I3402" t="inlineStr">
        <is>
          <t>Daily/ Weekly Vehicle Inspection</t>
        </is>
      </c>
      <c r="J3402" t="inlineStr">
        <is>
          <t>N/A</t>
        </is>
      </c>
      <c r="K3402" t="inlineStr">
        <is>
          <t>7806 Optimum Tree Services Ltd</t>
        </is>
      </c>
      <c r="L3402" t="inlineStr">
        <is>
          <t>03/03/2026 07:46</t>
        </is>
      </c>
      <c r="M3402" t="inlineStr">
        <is>
          <t>None</t>
        </is>
      </c>
      <c r="N3402" t="inlineStr">
        <is>
          <t>&lt;p&gt;&lt;/p&gt;</t>
        </is>
      </c>
      <c r="O3402" t="inlineStr"/>
      <c r="P3402" t="inlineStr">
        <is>
          <t>SA9ST800000283069 , Chipper , Forst , ST 6P</t>
        </is>
      </c>
      <c r="Q3402" t="inlineStr">
        <is>
          <t>UKPN</t>
        </is>
      </c>
      <c r="R3402" t="b">
        <v>0</v>
      </c>
    </row>
    <row r="3403">
      <c r="A3403" t="inlineStr">
        <is>
          <t>3 Mar 2026 / 7996 M G Tree Surgery Ltd</t>
        </is>
      </c>
      <c r="B3403" t="inlineStr">
        <is>
          <t>Utilities</t>
        </is>
      </c>
      <c r="C3403" t="inlineStr">
        <is>
          <t>UKPN</t>
        </is>
      </c>
      <c r="D3403" t="inlineStr">
        <is>
          <t>GU13 WNL , MEWP , Land Rover , Defender 130</t>
        </is>
      </c>
      <c r="E3403" t="inlineStr">
        <is>
          <t>GU13 WNL , MEWP , Land Rover , Defender 130</t>
        </is>
      </c>
      <c r="F3403" t="inlineStr">
        <is>
          <t>GU13 WNL , MEWP , Land Rover , Defender 130</t>
        </is>
      </c>
      <c r="G3403" t="inlineStr">
        <is>
          <t>Max</t>
        </is>
      </c>
      <c r="H3403" t="inlineStr">
        <is>
          <t>4x4</t>
        </is>
      </c>
      <c r="I3403" t="inlineStr">
        <is>
          <t>Daily/ Weekly Vehicle Inspection</t>
        </is>
      </c>
      <c r="J3403" t="inlineStr">
        <is>
          <t>N/A</t>
        </is>
      </c>
      <c r="K3403" t="inlineStr">
        <is>
          <t>7996 M G Tree Surgery Ltd</t>
        </is>
      </c>
      <c r="L3403" t="inlineStr">
        <is>
          <t>03/03/2026 07:47</t>
        </is>
      </c>
      <c r="M3403" t="inlineStr">
        <is>
          <t>None</t>
        </is>
      </c>
      <c r="N3403" t="inlineStr">
        <is>
          <t>&lt;p&gt;&lt;/p&gt;</t>
        </is>
      </c>
      <c r="O3403" t="inlineStr"/>
      <c r="P3403" t="inlineStr">
        <is>
          <t>GU13 WNL , MEWP , Land Rover , Defender 130</t>
        </is>
      </c>
      <c r="Q3403" t="inlineStr">
        <is>
          <t>UKPN</t>
        </is>
      </c>
      <c r="R3403" t="b">
        <v>0</v>
      </c>
    </row>
    <row r="3404">
      <c r="A3404" t="inlineStr">
        <is>
          <t>3 Mar 2026 / 7806 Optimum Tree Services Ltd</t>
        </is>
      </c>
      <c r="B3404" t="inlineStr">
        <is>
          <t>Utilities</t>
        </is>
      </c>
      <c r="C3404" t="inlineStr">
        <is>
          <t>UKPN</t>
        </is>
      </c>
      <c r="D3404" t="inlineStr">
        <is>
          <t>NA10SYZ , Tipper , Ford , Transit</t>
        </is>
      </c>
      <c r="E3404" t="inlineStr">
        <is>
          <t>NA10SYZ , Tipper , Ford , Transit</t>
        </is>
      </c>
      <c r="F3404" t="inlineStr">
        <is>
          <t>NA10SYZ , Tipper , Ford , Transit</t>
        </is>
      </c>
      <c r="G3404" t="inlineStr">
        <is>
          <t xml:space="preserve">Kenny Aldred </t>
        </is>
      </c>
      <c r="H3404" t="inlineStr">
        <is>
          <t>Tipper</t>
        </is>
      </c>
      <c r="I3404" t="inlineStr">
        <is>
          <t>Daily/ Weekly Vehicle Inspection</t>
        </is>
      </c>
      <c r="J3404" t="inlineStr">
        <is>
          <t>N/A</t>
        </is>
      </c>
      <c r="K3404" t="inlineStr">
        <is>
          <t>7806 Optimum Tree Services Ltd</t>
        </is>
      </c>
      <c r="L3404" t="inlineStr">
        <is>
          <t>03/03/2026 07:49</t>
        </is>
      </c>
      <c r="M3404" t="inlineStr">
        <is>
          <t>None</t>
        </is>
      </c>
      <c r="N3404" t="inlineStr">
        <is>
          <t>&lt;p&gt;&lt;/p&gt;</t>
        </is>
      </c>
      <c r="O3404" t="inlineStr"/>
      <c r="P3404" t="inlineStr">
        <is>
          <t>NA10SYZ , Tipper , Ford , Transit</t>
        </is>
      </c>
      <c r="Q3404" t="inlineStr">
        <is>
          <t>UKPN</t>
        </is>
      </c>
      <c r="R3404" t="b">
        <v>0</v>
      </c>
    </row>
    <row r="3405">
      <c r="A3405" t="inlineStr">
        <is>
          <t>3 Mar 2026 / Thomas Playford</t>
        </is>
      </c>
      <c r="B3405" t="inlineStr">
        <is>
          <t>Utilities</t>
        </is>
      </c>
      <c r="C3405" t="inlineStr">
        <is>
          <t>UKPN</t>
        </is>
      </c>
      <c r="D3405" t="inlineStr">
        <is>
          <t>SA9ST800000283944 , Towed Chipper , Forst , ST8D - Towed</t>
        </is>
      </c>
      <c r="E3405" t="inlineStr">
        <is>
          <t>SA9ST800000283944 , Towed Chipper , Forst , ST8D - Towed</t>
        </is>
      </c>
      <c r="F3405" t="inlineStr">
        <is>
          <t>SA9ST800000283944 , Towed Chipper , Forst , ST8D - Towed</t>
        </is>
      </c>
      <c r="G3405" t="inlineStr">
        <is>
          <t>Thomas Playford</t>
        </is>
      </c>
      <c r="H3405" t="inlineStr">
        <is>
          <t>Towed Chipper</t>
        </is>
      </c>
      <c r="I3405" t="inlineStr">
        <is>
          <t>Daily/ Weekly Vehicle Inspection</t>
        </is>
      </c>
      <c r="J3405" t="inlineStr">
        <is>
          <t>N/A</t>
        </is>
      </c>
      <c r="K3405" t="inlineStr">
        <is>
          <t>7995 Green Net Eco Ltd 2</t>
        </is>
      </c>
      <c r="L3405" t="inlineStr">
        <is>
          <t>03/03/2026 07:50</t>
        </is>
      </c>
      <c r="M3405" t="inlineStr">
        <is>
          <t>None</t>
        </is>
      </c>
      <c r="N3405" t="inlineStr">
        <is>
          <t>&lt;p&gt;&lt;/p&gt;</t>
        </is>
      </c>
      <c r="O3405" t="inlineStr"/>
      <c r="P3405" t="inlineStr">
        <is>
          <t>SA9ST800000283944 , Towed Chipper , Forst , ST8D - Towed</t>
        </is>
      </c>
      <c r="Q3405" t="inlineStr">
        <is>
          <t>UKPN</t>
        </is>
      </c>
      <c r="R3405" t="b">
        <v>0</v>
      </c>
    </row>
    <row r="3406">
      <c r="A3406" t="inlineStr">
        <is>
          <t>3 Mar 2026 / Thomas Playford</t>
        </is>
      </c>
      <c r="B3406" t="inlineStr">
        <is>
          <t>Utilities</t>
        </is>
      </c>
      <c r="C3406" t="inlineStr">
        <is>
          <t>UKPN</t>
        </is>
      </c>
      <c r="D3406" t="inlineStr">
        <is>
          <t>LK15KRZ , 4x4 , Landrover , Defender</t>
        </is>
      </c>
      <c r="E3406" t="inlineStr">
        <is>
          <t>LK15KRZ , 4x4 , Landrover , Defender</t>
        </is>
      </c>
      <c r="F3406" t="inlineStr">
        <is>
          <t>LK15KRZ , 4x4 , Landrover , Defender</t>
        </is>
      </c>
      <c r="G3406" t="inlineStr">
        <is>
          <t>Thomas Playford</t>
        </is>
      </c>
      <c r="H3406" t="inlineStr">
        <is>
          <t>4x4</t>
        </is>
      </c>
      <c r="I3406" t="inlineStr">
        <is>
          <t>Daily/ Weekly Vehicle Inspection</t>
        </is>
      </c>
      <c r="J3406" t="inlineStr">
        <is>
          <t>N/A</t>
        </is>
      </c>
      <c r="K3406" t="inlineStr">
        <is>
          <t>7995 Green Net Eco Ltd 2</t>
        </is>
      </c>
      <c r="L3406" t="inlineStr">
        <is>
          <t>03/03/2026 07:53</t>
        </is>
      </c>
      <c r="M3406" t="inlineStr">
        <is>
          <t>None</t>
        </is>
      </c>
      <c r="N3406" t="inlineStr">
        <is>
          <t>&lt;p&gt;&lt;/p&gt;</t>
        </is>
      </c>
      <c r="O3406" t="inlineStr"/>
      <c r="P3406" t="inlineStr">
        <is>
          <t>LK15KRZ , 4x4 , Landrover , Defender</t>
        </is>
      </c>
      <c r="Q3406" t="inlineStr">
        <is>
          <t>UKPN</t>
        </is>
      </c>
      <c r="R3406" t="b">
        <v>0</v>
      </c>
    </row>
    <row r="3407">
      <c r="A3407" t="inlineStr">
        <is>
          <t>3 Mar 2026 / 7186 Eastwoodbury Tree Services Ltd</t>
        </is>
      </c>
      <c r="B3407" t="inlineStr">
        <is>
          <t>Utilities</t>
        </is>
      </c>
      <c r="C3407" t="inlineStr">
        <is>
          <t>UKPN</t>
        </is>
      </c>
      <c r="D3407" t="inlineStr">
        <is>
          <t>DN61XKJ , Tipper , Ford , Transit</t>
        </is>
      </c>
      <c r="E3407" t="inlineStr">
        <is>
          <t>DN61XKJ , Tipper , Ford , Transit</t>
        </is>
      </c>
      <c r="F3407" t="inlineStr">
        <is>
          <t>DN61XKJ , Tipper , Ford , Transit</t>
        </is>
      </c>
      <c r="G3407" t="inlineStr">
        <is>
          <t>Luke Williams</t>
        </is>
      </c>
      <c r="H3407" t="inlineStr">
        <is>
          <t>Tipper</t>
        </is>
      </c>
      <c r="I3407" t="inlineStr">
        <is>
          <t>Daily/ Weekly Vehicle Inspection</t>
        </is>
      </c>
      <c r="J3407" t="inlineStr">
        <is>
          <t>N/A</t>
        </is>
      </c>
      <c r="K3407" t="inlineStr">
        <is>
          <t>7186 Eastwoodbury Tree Services Ltd</t>
        </is>
      </c>
      <c r="L3407" t="inlineStr">
        <is>
          <t>03/03/2026 07:55</t>
        </is>
      </c>
      <c r="M3407" t="inlineStr">
        <is>
          <t>None</t>
        </is>
      </c>
      <c r="N3407" t="inlineStr">
        <is>
          <t>&lt;p&gt;&lt;/p&gt;</t>
        </is>
      </c>
      <c r="O3407" t="inlineStr"/>
      <c r="P3407" t="inlineStr">
        <is>
          <t>DN61XKJ , Tipper , Ford , Transit</t>
        </is>
      </c>
      <c r="Q3407" t="inlineStr">
        <is>
          <t>UKPN</t>
        </is>
      </c>
      <c r="R3407" t="b">
        <v>0</v>
      </c>
    </row>
    <row r="3408">
      <c r="A3408" t="inlineStr">
        <is>
          <t>3 Mar 2026 / 7951 Austin Tree Care LTD</t>
        </is>
      </c>
      <c r="B3408" t="inlineStr">
        <is>
          <t>Utilities</t>
        </is>
      </c>
      <c r="C3408" t="inlineStr">
        <is>
          <t>UKPN</t>
        </is>
      </c>
      <c r="D3408" t="inlineStr">
        <is>
          <t>SA9ST6P0001283612 , Towed Chipper , Forst , ST6p</t>
        </is>
      </c>
      <c r="E3408" t="inlineStr">
        <is>
          <t>SA9ST6P0001283612 , Towed Chipper , Forst , ST6p</t>
        </is>
      </c>
      <c r="F3408" t="inlineStr">
        <is>
          <t>SA9ST6P0001283612 , Towed Chipper , Forst , ST6p</t>
        </is>
      </c>
      <c r="G3408" t="inlineStr">
        <is>
          <t xml:space="preserve">Jack Austin </t>
        </is>
      </c>
      <c r="H3408" t="inlineStr">
        <is>
          <t>Towed Chipper</t>
        </is>
      </c>
      <c r="I3408" t="inlineStr">
        <is>
          <t>Daily/ Weekly Vehicle Inspection</t>
        </is>
      </c>
      <c r="J3408" t="inlineStr">
        <is>
          <t>N/A</t>
        </is>
      </c>
      <c r="K3408" t="inlineStr">
        <is>
          <t>7951 Austin Tree Care LTD</t>
        </is>
      </c>
      <c r="L3408" t="inlineStr">
        <is>
          <t>03/03/2026 07:56</t>
        </is>
      </c>
      <c r="M3408" t="inlineStr">
        <is>
          <t>None</t>
        </is>
      </c>
      <c r="N3408" t="inlineStr">
        <is>
          <t>&lt;p&gt;&lt;/p&gt;</t>
        </is>
      </c>
      <c r="O3408" t="inlineStr"/>
      <c r="P3408" t="inlineStr">
        <is>
          <t>SA9ST6P0001283612 , Towed Chipper , Forst , ST6p</t>
        </is>
      </c>
      <c r="Q3408" t="inlineStr">
        <is>
          <t>UKPN</t>
        </is>
      </c>
      <c r="R3408" t="b">
        <v>0</v>
      </c>
    </row>
    <row r="3409">
      <c r="A3409" t="inlineStr">
        <is>
          <t>3 Mar 2026 / 7806 Optimum Tree Services Ltd</t>
        </is>
      </c>
      <c r="B3409" t="inlineStr">
        <is>
          <t>Utilities</t>
        </is>
      </c>
      <c r="C3409" t="inlineStr">
        <is>
          <t>UKPN</t>
        </is>
      </c>
      <c r="D3409" t="inlineStr">
        <is>
          <t>Wd14evn , 4x4 , Landrover  , Defender</t>
        </is>
      </c>
      <c r="E3409" t="inlineStr">
        <is>
          <t>Wd14evn , 4x4 , Landrover  , Defender</t>
        </is>
      </c>
      <c r="F3409" t="inlineStr">
        <is>
          <t>Wd14evn , 4x4 , Landrover  , Defender</t>
        </is>
      </c>
      <c r="G3409" t="inlineStr">
        <is>
          <t xml:space="preserve">Abraham Davies </t>
        </is>
      </c>
      <c r="H3409" t="inlineStr">
        <is>
          <t>4x4</t>
        </is>
      </c>
      <c r="I3409" t="inlineStr">
        <is>
          <t>Daily/ Weekly Vehicle Inspection</t>
        </is>
      </c>
      <c r="J3409" t="inlineStr">
        <is>
          <t>N/A</t>
        </is>
      </c>
      <c r="K3409" t="inlineStr">
        <is>
          <t>7806 Optimum Tree Services Ltd</t>
        </is>
      </c>
      <c r="L3409" t="inlineStr">
        <is>
          <t>03/03/2026 07:58</t>
        </is>
      </c>
      <c r="M3409" t="inlineStr">
        <is>
          <t>None</t>
        </is>
      </c>
      <c r="N3409" t="inlineStr">
        <is>
          <t>&lt;p&gt;&lt;/p&gt;</t>
        </is>
      </c>
      <c r="O3409" t="inlineStr"/>
      <c r="P3409" t="inlineStr">
        <is>
          <t>Wd14evn , 4x4 , Landrover  , Defender</t>
        </is>
      </c>
      <c r="Q3409" t="inlineStr">
        <is>
          <t>UKPN</t>
        </is>
      </c>
      <c r="R3409" t="b">
        <v>0</v>
      </c>
    </row>
    <row r="3410">
      <c r="A3410" t="inlineStr">
        <is>
          <t>3 Mar 2026 / 7186 Eastwoodbury Tree Services Ltd</t>
        </is>
      </c>
      <c r="B3410" t="inlineStr">
        <is>
          <t>Utilities</t>
        </is>
      </c>
      <c r="C3410" t="inlineStr">
        <is>
          <t>UKPN</t>
        </is>
      </c>
      <c r="D3410" t="inlineStr">
        <is>
          <t>WF13 EKT , 4x4 , Land rover  , Defender</t>
        </is>
      </c>
      <c r="E3410" t="inlineStr">
        <is>
          <t>WF13 EKT , 4x4 , Land rover  , Defender</t>
        </is>
      </c>
      <c r="F3410" t="inlineStr">
        <is>
          <t>WF13 EKT , 4x4 , Land rover  , Defender</t>
        </is>
      </c>
      <c r="G3410" t="inlineStr">
        <is>
          <t xml:space="preserve">Dan Gilbert </t>
        </is>
      </c>
      <c r="H3410" t="inlineStr">
        <is>
          <t>4x4</t>
        </is>
      </c>
      <c r="I3410" t="inlineStr">
        <is>
          <t>Daily/ Weekly Vehicle Inspection</t>
        </is>
      </c>
      <c r="J3410" t="inlineStr">
        <is>
          <t>N/A</t>
        </is>
      </c>
      <c r="K3410" t="inlineStr">
        <is>
          <t>7186 Eastwoodbury Tree Services Ltd</t>
        </is>
      </c>
      <c r="L3410" t="inlineStr">
        <is>
          <t>03/03/2026 08:01</t>
        </is>
      </c>
      <c r="M3410" t="inlineStr">
        <is>
          <t>None</t>
        </is>
      </c>
      <c r="N3410" t="inlineStr">
        <is>
          <t>&lt;p&gt;&lt;/p&gt;</t>
        </is>
      </c>
      <c r="O3410" t="inlineStr"/>
      <c r="P3410" t="inlineStr">
        <is>
          <t>WF13 EKT , 4x4 , Land rover  , Defender</t>
        </is>
      </c>
      <c r="Q3410" t="inlineStr">
        <is>
          <t>UKPN</t>
        </is>
      </c>
      <c r="R3410" t="b">
        <v>0</v>
      </c>
    </row>
    <row r="3411">
      <c r="A3411" t="inlineStr">
        <is>
          <t>3 Mar 2026 / 7186 Eastwoodbury Tree Services Ltd</t>
        </is>
      </c>
      <c r="B3411" t="inlineStr">
        <is>
          <t>Utilities</t>
        </is>
      </c>
      <c r="C3411" t="inlineStr">
        <is>
          <t>UKPN</t>
        </is>
      </c>
      <c r="D3411" t="inlineStr">
        <is>
          <t>FX14 XCV , 4x4 , Land Rover  , Defender</t>
        </is>
      </c>
      <c r="E3411" t="inlineStr">
        <is>
          <t>FX14 XCV , 4x4 , Land Rover  , Defender</t>
        </is>
      </c>
      <c r="F3411" t="inlineStr">
        <is>
          <t>FX14 XCV , 4x4 , Land Rover  , Defender</t>
        </is>
      </c>
      <c r="G3411" t="inlineStr">
        <is>
          <t xml:space="preserve">Tom Price </t>
        </is>
      </c>
      <c r="H3411" t="inlineStr">
        <is>
          <t>4x4</t>
        </is>
      </c>
      <c r="I3411" t="inlineStr">
        <is>
          <t>Daily/ Weekly Vehicle Inspection</t>
        </is>
      </c>
      <c r="J3411" t="inlineStr">
        <is>
          <t>N/A</t>
        </is>
      </c>
      <c r="K3411" t="inlineStr">
        <is>
          <t>7186 Eastwoodbury Tree Services Ltd</t>
        </is>
      </c>
      <c r="L3411" t="inlineStr">
        <is>
          <t>03/03/2026 08:05</t>
        </is>
      </c>
      <c r="M3411" t="inlineStr">
        <is>
          <t>None</t>
        </is>
      </c>
      <c r="N3411" t="inlineStr">
        <is>
          <t>&lt;p&gt;&lt;/p&gt;</t>
        </is>
      </c>
      <c r="O3411" t="inlineStr"/>
      <c r="P3411" t="inlineStr">
        <is>
          <t>FX14 XCV , 4x4 , Land Rover  , Defender</t>
        </is>
      </c>
      <c r="Q3411" t="inlineStr">
        <is>
          <t>UKPN</t>
        </is>
      </c>
      <c r="R3411" t="b">
        <v>0</v>
      </c>
    </row>
    <row r="3412">
      <c r="A3412" t="inlineStr">
        <is>
          <t>3 Mar 2026 / 7996 M G Tree Surgery Ltd 1</t>
        </is>
      </c>
      <c r="B3412" t="inlineStr">
        <is>
          <t>Utilities</t>
        </is>
      </c>
      <c r="C3412" t="inlineStr">
        <is>
          <t>UKPN</t>
        </is>
      </c>
      <c r="D3412" t="inlineStr">
        <is>
          <t>KX20 BCE , Tipper , Isuzu , D-Max</t>
        </is>
      </c>
      <c r="E3412" t="inlineStr">
        <is>
          <t>KX20 BCE , Tipper , Isuzu , D-Max</t>
        </is>
      </c>
      <c r="F3412" t="inlineStr">
        <is>
          <t>KX20 BCE , Tipper , Isuzu , D-Max</t>
        </is>
      </c>
      <c r="G3412" t="inlineStr">
        <is>
          <t>Anthony Gale</t>
        </is>
      </c>
      <c r="H3412" t="inlineStr">
        <is>
          <t>Pickup Truck</t>
        </is>
      </c>
      <c r="I3412" t="inlineStr">
        <is>
          <t>Daily/ Weekly Vehicle Inspection</t>
        </is>
      </c>
      <c r="J3412" t="inlineStr">
        <is>
          <t>N/A</t>
        </is>
      </c>
      <c r="K3412" t="inlineStr">
        <is>
          <t>7996 M G Tree Surgery Ltd 1</t>
        </is>
      </c>
      <c r="L3412" t="inlineStr">
        <is>
          <t>03/03/2026 08:06</t>
        </is>
      </c>
      <c r="M3412" t="inlineStr">
        <is>
          <t>None</t>
        </is>
      </c>
      <c r="N3412" t="inlineStr">
        <is>
          <t>&lt;p&gt;&lt;/p&gt;</t>
        </is>
      </c>
      <c r="O3412" t="inlineStr">
        <is>
          <t>Confirm that you have checked this vehicle as per the guidance document and the vehicle is safe and roadworthy:Light board deteriorating.
Safe for now.
Will need replacing soon.
-</t>
        </is>
      </c>
      <c r="P3412" t="inlineStr">
        <is>
          <t>KX20 BCE , Tipper , Isuzu , D-Max</t>
        </is>
      </c>
      <c r="Q3412" t="inlineStr">
        <is>
          <t>UKPN</t>
        </is>
      </c>
      <c r="R3412" t="b">
        <v>0</v>
      </c>
    </row>
    <row r="3413">
      <c r="A3413" t="inlineStr">
        <is>
          <t>3 Mar 2026 / 7996 M G Tree Surgery Ltd 1</t>
        </is>
      </c>
      <c r="B3413" t="inlineStr">
        <is>
          <t>Utilities</t>
        </is>
      </c>
      <c r="C3413" t="inlineStr">
        <is>
          <t>UKPN</t>
        </is>
      </c>
      <c r="D3413" t="inlineStr"/>
      <c r="E3413" t="inlineStr"/>
      <c r="F3413" t="inlineStr"/>
      <c r="G3413" t="inlineStr">
        <is>
          <t>Anthony Gale</t>
        </is>
      </c>
      <c r="H3413" t="inlineStr">
        <is>
          <t>Towed Chipper</t>
        </is>
      </c>
      <c r="I3413" t="inlineStr">
        <is>
          <t>Daily/ Weekly Vehicle Inspection</t>
        </is>
      </c>
      <c r="J3413" t="inlineStr">
        <is>
          <t>N/A</t>
        </is>
      </c>
      <c r="K3413" t="inlineStr">
        <is>
          <t>7996 M G Tree Surgery Ltd 1</t>
        </is>
      </c>
      <c r="L3413" t="inlineStr">
        <is>
          <t>03/03/2026 08:08</t>
        </is>
      </c>
      <c r="M3413" t="inlineStr">
        <is>
          <t>None</t>
        </is>
      </c>
      <c r="N3413" t="inlineStr">
        <is>
          <t>&lt;p&gt;&lt;/p&gt;</t>
        </is>
      </c>
      <c r="O3413" t="inlineStr"/>
      <c r="P3413" t="inlineStr"/>
      <c r="Q3413" t="inlineStr">
        <is>
          <t>UKPN</t>
        </is>
      </c>
      <c r="R3413" t="b">
        <v>0</v>
      </c>
    </row>
    <row r="3414">
      <c r="A3414" t="inlineStr">
        <is>
          <t>3 Mar 2026 / 7951 Austin Tree Care LTD 1</t>
        </is>
      </c>
      <c r="B3414" t="inlineStr">
        <is>
          <t>Utilities</t>
        </is>
      </c>
      <c r="C3414" t="inlineStr">
        <is>
          <t>UKPN</t>
        </is>
      </c>
      <c r="D3414" t="inlineStr">
        <is>
          <t>WG64HTT , 4x4 , Land Rover , Defender 110</t>
        </is>
      </c>
      <c r="E3414" t="inlineStr">
        <is>
          <t>WG64HTT , 4x4 , Land Rover , Defender 110</t>
        </is>
      </c>
      <c r="F3414" t="inlineStr">
        <is>
          <t>WG64HTT , 4x4 , Land Rover , Defender 110</t>
        </is>
      </c>
      <c r="G3414" t="inlineStr">
        <is>
          <t xml:space="preserve">Jack Austin </t>
        </is>
      </c>
      <c r="H3414" t="inlineStr">
        <is>
          <t>4x4</t>
        </is>
      </c>
      <c r="I3414" t="inlineStr">
        <is>
          <t>Daily/ Weekly Vehicle Inspection</t>
        </is>
      </c>
      <c r="J3414" t="inlineStr">
        <is>
          <t>N/A</t>
        </is>
      </c>
      <c r="K3414" t="inlineStr">
        <is>
          <t>7951 Austin Tree Care LTD 1</t>
        </is>
      </c>
      <c r="L3414" t="inlineStr">
        <is>
          <t>03/03/2026 08:10</t>
        </is>
      </c>
      <c r="M3414" t="inlineStr">
        <is>
          <t>None</t>
        </is>
      </c>
      <c r="N3414" t="inlineStr">
        <is>
          <t>&lt;p&gt;&lt;/p&gt;</t>
        </is>
      </c>
      <c r="O3414" t="inlineStr"/>
      <c r="P3414" t="inlineStr">
        <is>
          <t>WG64HTT , 4x4 , Land Rover , Defender 110</t>
        </is>
      </c>
      <c r="Q3414" t="inlineStr">
        <is>
          <t>UKPN</t>
        </is>
      </c>
      <c r="R3414" t="b">
        <v>0</v>
      </c>
    </row>
    <row r="3415">
      <c r="A3415" t="inlineStr">
        <is>
          <t>3 Mar 2026 / 7800 MAC Tree Surgery and Fencing Ltd</t>
        </is>
      </c>
      <c r="B3415" t="inlineStr">
        <is>
          <t>Utilities</t>
        </is>
      </c>
      <c r="C3415" t="inlineStr">
        <is>
          <t>UKPN</t>
        </is>
      </c>
      <c r="D3415" t="inlineStr">
        <is>
          <t>FG16LNT , Tipper , Ford transit  , Transit tipper</t>
        </is>
      </c>
      <c r="E3415" t="inlineStr">
        <is>
          <t>FG16LNT , Tipper , Ford transit  , Transit tipper</t>
        </is>
      </c>
      <c r="F3415" t="inlineStr">
        <is>
          <t>FG16LNT , Tipper , Ford transit  , Transit tipper</t>
        </is>
      </c>
      <c r="G3415" t="inlineStr">
        <is>
          <t>Patrick</t>
        </is>
      </c>
      <c r="H3415" t="inlineStr">
        <is>
          <t>Tipper</t>
        </is>
      </c>
      <c r="I3415" t="inlineStr">
        <is>
          <t>Daily/ Weekly Vehicle Inspection</t>
        </is>
      </c>
      <c r="J3415" t="inlineStr">
        <is>
          <t>N/A</t>
        </is>
      </c>
      <c r="K3415" t="inlineStr">
        <is>
          <t>7800 MAC Tree Surgery and Fencing Ltd</t>
        </is>
      </c>
      <c r="L3415" t="inlineStr">
        <is>
          <t>03/03/2026 08:19</t>
        </is>
      </c>
      <c r="M3415" t="inlineStr">
        <is>
          <t>None</t>
        </is>
      </c>
      <c r="N3415" t="inlineStr">
        <is>
          <t>&lt;p&gt;&lt;/p&gt;</t>
        </is>
      </c>
      <c r="O3415" t="inlineStr"/>
      <c r="P3415" t="inlineStr">
        <is>
          <t>FG16LNT , Tipper , Ford transit  , Transit tipper</t>
        </is>
      </c>
      <c r="Q3415" t="inlineStr">
        <is>
          <t>UKPN</t>
        </is>
      </c>
      <c r="R3415" t="b">
        <v>0</v>
      </c>
    </row>
    <row r="3416">
      <c r="A3416" t="inlineStr">
        <is>
          <t>3 Mar 2026 / 7800 MAC Tree Surgery and Fencing Ltd / Utilities / UKPN</t>
        </is>
      </c>
      <c r="B3416" t="inlineStr">
        <is>
          <t>Utilities</t>
        </is>
      </c>
      <c r="C3416" t="inlineStr">
        <is>
          <t>UKPN</t>
        </is>
      </c>
      <c r="D3416" t="inlineStr">
        <is>
          <t>Plant Trailer - Towmate - 2.8t - 0</t>
        </is>
      </c>
      <c r="E3416" t="inlineStr">
        <is>
          <t>Plant Trailer - Towmate - 2.8t - 0</t>
        </is>
      </c>
      <c r="F3416" t="inlineStr">
        <is>
          <t>Plant Trailer - Towmate - 2.8t - 0</t>
        </is>
      </c>
      <c r="G3416" t="inlineStr">
        <is>
          <t>Lewis mac</t>
        </is>
      </c>
      <c r="H3416" t="inlineStr">
        <is>
          <t>Plant Trailer</t>
        </is>
      </c>
      <c r="I3416" t="inlineStr">
        <is>
          <t>Daily/ Weekly Vehicle Inspection</t>
        </is>
      </c>
      <c r="J3416" t="inlineStr">
        <is>
          <t>N/A</t>
        </is>
      </c>
      <c r="K3416" t="inlineStr">
        <is>
          <t>7800 MAC Tree Surgery and Fencing Ltd</t>
        </is>
      </c>
      <c r="L3416" t="inlineStr">
        <is>
          <t>03/03/2026 08:20</t>
        </is>
      </c>
      <c r="M3416" t="inlineStr">
        <is>
          <t>None</t>
        </is>
      </c>
      <c r="N3416" t="inlineStr">
        <is>
          <t>&lt;p&gt;&lt;/p&gt;</t>
        </is>
      </c>
      <c r="O3416" t="inlineStr"/>
      <c r="P3416" t="inlineStr">
        <is>
          <t>Plant Trailer - Towmate - 2.8t - 0</t>
        </is>
      </c>
      <c r="Q3416" t="inlineStr">
        <is>
          <t>UKPN</t>
        </is>
      </c>
      <c r="R3416" t="b">
        <v>0</v>
      </c>
    </row>
    <row r="3417">
      <c r="A3417" t="inlineStr">
        <is>
          <t>3 Mar 2026 / 7800 MAC Tree Surgery and Fencing Ltd / Utilities / UKPN</t>
        </is>
      </c>
      <c r="B3417" t="inlineStr">
        <is>
          <t>Utilities</t>
        </is>
      </c>
      <c r="C3417" t="inlineStr">
        <is>
          <t>UKPN</t>
        </is>
      </c>
      <c r="D3417" t="inlineStr">
        <is>
          <t>AY68DAA , 4x4 , Izuzu , Dmax</t>
        </is>
      </c>
      <c r="E3417" t="inlineStr">
        <is>
          <t>AY68DAA , 4x4 , Izuzu , Dmax</t>
        </is>
      </c>
      <c r="F3417" t="inlineStr">
        <is>
          <t>AY68DAA , 4x4 , Izuzu , Dmax</t>
        </is>
      </c>
      <c r="G3417" t="inlineStr">
        <is>
          <t xml:space="preserve">Patrick O'Shea </t>
        </is>
      </c>
      <c r="H3417" t="inlineStr">
        <is>
          <t>4x4</t>
        </is>
      </c>
      <c r="I3417" t="inlineStr">
        <is>
          <t>Daily/ Weekly Vehicle Inspection</t>
        </is>
      </c>
      <c r="J3417" t="inlineStr">
        <is>
          <t>N/A</t>
        </is>
      </c>
      <c r="K3417" t="inlineStr">
        <is>
          <t>7800 MAC Tree Surgery and Fencing Ltd</t>
        </is>
      </c>
      <c r="L3417" t="inlineStr">
        <is>
          <t>03/03/2026 08:22</t>
        </is>
      </c>
      <c r="M3417" t="inlineStr">
        <is>
          <t>None</t>
        </is>
      </c>
      <c r="N3417" t="inlineStr">
        <is>
          <t>&lt;p&gt;&lt;/p&gt;</t>
        </is>
      </c>
      <c r="O3417" t="inlineStr"/>
      <c r="P3417" t="inlineStr">
        <is>
          <t>AY68DAA , 4x4 , Izuzu , Dmax</t>
        </is>
      </c>
      <c r="Q3417" t="inlineStr">
        <is>
          <t>UKPN</t>
        </is>
      </c>
      <c r="R3417" t="b">
        <v>0</v>
      </c>
    </row>
    <row r="3418">
      <c r="A3418" t="inlineStr">
        <is>
          <t>3 Mar 2026 / 6617 Ashdown Tree Limited 1</t>
        </is>
      </c>
      <c r="B3418" t="inlineStr">
        <is>
          <t>Utilities</t>
        </is>
      </c>
      <c r="C3418" t="inlineStr">
        <is>
          <t>UKPN</t>
        </is>
      </c>
      <c r="D3418" t="inlineStr">
        <is>
          <t>AV69 LVR , Tipper , Transit , Ford</t>
        </is>
      </c>
      <c r="E3418" t="inlineStr">
        <is>
          <t>AV69 LVR , Tipper , Transit , Ford</t>
        </is>
      </c>
      <c r="F3418" t="inlineStr">
        <is>
          <t>AV69 LVR , Tipper , Transit , Ford</t>
        </is>
      </c>
      <c r="G3418" t="inlineStr">
        <is>
          <t>Dan</t>
        </is>
      </c>
      <c r="H3418" t="inlineStr">
        <is>
          <t>Tipper</t>
        </is>
      </c>
      <c r="I3418" t="inlineStr">
        <is>
          <t>Daily/ Weekly Vehicle Inspection</t>
        </is>
      </c>
      <c r="J3418" t="inlineStr">
        <is>
          <t>N/A</t>
        </is>
      </c>
      <c r="K3418" t="inlineStr">
        <is>
          <t>6617 Ashdown Tree Limited - Team 2</t>
        </is>
      </c>
      <c r="L3418" t="inlineStr">
        <is>
          <t>03/03/2026 08:25</t>
        </is>
      </c>
      <c r="M3418" t="inlineStr">
        <is>
          <t>None</t>
        </is>
      </c>
      <c r="N3418" t="inlineStr">
        <is>
          <t>&lt;p&gt;&lt;/p&gt;</t>
        </is>
      </c>
      <c r="O3418" t="inlineStr"/>
      <c r="P3418" t="inlineStr">
        <is>
          <t>AV69 LVR , Tipper , Transit , Ford</t>
        </is>
      </c>
      <c r="Q3418" t="inlineStr">
        <is>
          <t>UKPN</t>
        </is>
      </c>
      <c r="R3418" t="b">
        <v>0</v>
      </c>
    </row>
    <row r="3419">
      <c r="A3419" t="inlineStr">
        <is>
          <t>3 Mar 2026 / 8040 S6 Tree specialists Ltd</t>
        </is>
      </c>
      <c r="B3419" t="inlineStr">
        <is>
          <t>Utilities</t>
        </is>
      </c>
      <c r="C3419" t="inlineStr">
        <is>
          <t>UKPN</t>
        </is>
      </c>
      <c r="D3419" t="inlineStr">
        <is>
          <t>Na , Towed Chipper , Timberwolf  , 190</t>
        </is>
      </c>
      <c r="E3419" t="inlineStr">
        <is>
          <t>Na , Towed Chipper , Timberwolf  , 190</t>
        </is>
      </c>
      <c r="F3419" t="inlineStr">
        <is>
          <t>Na , Towed Chipper , Timberwolf  , 190</t>
        </is>
      </c>
      <c r="G3419" t="inlineStr">
        <is>
          <t>Luke</t>
        </is>
      </c>
      <c r="H3419" t="inlineStr">
        <is>
          <t>Towed Chipper</t>
        </is>
      </c>
      <c r="I3419" t="inlineStr">
        <is>
          <t>Daily/ Weekly Vehicle Inspection</t>
        </is>
      </c>
      <c r="J3419" t="inlineStr">
        <is>
          <t>N/A</t>
        </is>
      </c>
      <c r="K3419" t="inlineStr">
        <is>
          <t>8040 S6 Tree specialists Ltd</t>
        </is>
      </c>
      <c r="L3419" t="inlineStr">
        <is>
          <t>03/03/2026 08:26</t>
        </is>
      </c>
      <c r="M3419" t="inlineStr">
        <is>
          <t>None</t>
        </is>
      </c>
      <c r="N3419" t="inlineStr">
        <is>
          <t>&lt;p&gt;&lt;/p&gt;</t>
        </is>
      </c>
      <c r="O3419" t="inlineStr"/>
      <c r="P3419" t="inlineStr">
        <is>
          <t>Na , Towed Chipper , Timberwolf  , 190</t>
        </is>
      </c>
      <c r="Q3419" t="inlineStr">
        <is>
          <t>UKPN</t>
        </is>
      </c>
      <c r="R3419" t="b">
        <v>0</v>
      </c>
    </row>
    <row r="3420">
      <c r="A3420" t="inlineStr">
        <is>
          <t>3 Mar 2026 / 8040 S6 Tree specialists Ltd</t>
        </is>
      </c>
      <c r="B3420" t="inlineStr">
        <is>
          <t>Utilities</t>
        </is>
      </c>
      <c r="C3420" t="inlineStr">
        <is>
          <t>UKPN</t>
        </is>
      </c>
      <c r="D3420" t="inlineStr">
        <is>
          <t>Cu59myy  , 4x4 , Landrover  , Discovery 4</t>
        </is>
      </c>
      <c r="E3420" t="inlineStr">
        <is>
          <t>Cu59myy  , 4x4 , Landrover  , Discovery 4</t>
        </is>
      </c>
      <c r="F3420" t="inlineStr">
        <is>
          <t>Cu59myy  , 4x4 , Landrover  , Discovery 4</t>
        </is>
      </c>
      <c r="G3420" t="inlineStr">
        <is>
          <t>Luke lane</t>
        </is>
      </c>
      <c r="H3420" t="inlineStr">
        <is>
          <t>4x4</t>
        </is>
      </c>
      <c r="I3420" t="inlineStr">
        <is>
          <t>Daily/ Weekly Vehicle Inspection</t>
        </is>
      </c>
      <c r="J3420" t="inlineStr">
        <is>
          <t>N/A</t>
        </is>
      </c>
      <c r="K3420" t="inlineStr">
        <is>
          <t>8040 S6 Tree specialists Ltd</t>
        </is>
      </c>
      <c r="L3420" t="inlineStr">
        <is>
          <t>03/03/2026 08:28</t>
        </is>
      </c>
      <c r="M3420" t="inlineStr">
        <is>
          <t>None</t>
        </is>
      </c>
      <c r="N3420" t="inlineStr">
        <is>
          <t>&lt;p&gt;&lt;/p&gt;</t>
        </is>
      </c>
      <c r="O3420" t="inlineStr"/>
      <c r="P3420" t="inlineStr">
        <is>
          <t>Cu59myy  , 4x4 , Landrover  , Discovery 4</t>
        </is>
      </c>
      <c r="Q3420" t="inlineStr">
        <is>
          <t>UKPN</t>
        </is>
      </c>
      <c r="R3420" t="b">
        <v>0</v>
      </c>
    </row>
    <row r="3421">
      <c r="A3421" t="inlineStr">
        <is>
          <t>3 Mar 2026 / Benet Jones</t>
        </is>
      </c>
      <c r="B3421" t="inlineStr">
        <is>
          <t>Utilities</t>
        </is>
      </c>
      <c r="C3421" t="inlineStr">
        <is>
          <t>NGED</t>
        </is>
      </c>
      <c r="D3421" t="inlineStr"/>
      <c r="E3421" t="inlineStr"/>
      <c r="F3421" t="inlineStr"/>
      <c r="G3421" t="inlineStr">
        <is>
          <t>Benet jones</t>
        </is>
      </c>
      <c r="H3421" t="inlineStr">
        <is>
          <t>Car - Petrol</t>
        </is>
      </c>
      <c r="I3421" t="inlineStr">
        <is>
          <t>Daily/ Weekly Vehicle Inspection</t>
        </is>
      </c>
      <c r="J3421" t="inlineStr">
        <is>
          <t>N/A</t>
        </is>
      </c>
      <c r="K3421" t="inlineStr">
        <is>
          <t>Benet Jones</t>
        </is>
      </c>
      <c r="L3421" t="inlineStr">
        <is>
          <t>03/03/2026 08:45</t>
        </is>
      </c>
      <c r="M3421" t="inlineStr">
        <is>
          <t>None</t>
        </is>
      </c>
      <c r="N3421" t="inlineStr">
        <is>
          <t>&lt;p&gt;&lt;/p&gt;</t>
        </is>
      </c>
      <c r="O3421" t="inlineStr">
        <is>
          <t>Confirm that you have checked this vehicle as per the guidance document and the vehicle is safe and roadworthy:Car fully checked and serviceable
-</t>
        </is>
      </c>
      <c r="P3421" t="inlineStr"/>
      <c r="Q3421" t="inlineStr">
        <is>
          <t>NGED</t>
        </is>
      </c>
      <c r="R3421" t="b">
        <v>0</v>
      </c>
    </row>
    <row r="3422">
      <c r="A3422" t="inlineStr">
        <is>
          <t>3 Mar 2026 / 6556 DE UA SWales3</t>
        </is>
      </c>
      <c r="B3422" t="inlineStr">
        <is>
          <t>Utilities</t>
        </is>
      </c>
      <c r="C3422" t="inlineStr">
        <is>
          <t>NGED</t>
        </is>
      </c>
      <c r="D3422" t="inlineStr">
        <is>
          <t>WO23RVN , Van , Ford , Ranger</t>
        </is>
      </c>
      <c r="E3422" t="inlineStr">
        <is>
          <t>WO23RVN , Van , Ford , Ranger</t>
        </is>
      </c>
      <c r="F3422" t="inlineStr">
        <is>
          <t>WO23RVN , Van , Ford , Ranger</t>
        </is>
      </c>
      <c r="G3422" t="inlineStr">
        <is>
          <t>Daniel Davies</t>
        </is>
      </c>
      <c r="H3422" t="inlineStr">
        <is>
          <t>Tipper</t>
        </is>
      </c>
      <c r="I3422" t="inlineStr">
        <is>
          <t>Daily/ Weekly Vehicle Inspection</t>
        </is>
      </c>
      <c r="J3422" t="inlineStr">
        <is>
          <t>N/A</t>
        </is>
      </c>
      <c r="K3422" t="inlineStr">
        <is>
          <t>6556 DE UA SWales3</t>
        </is>
      </c>
      <c r="L3422" t="inlineStr">
        <is>
          <t>03/03/2026 09:53</t>
        </is>
      </c>
      <c r="M3422" t="inlineStr">
        <is>
          <t>None</t>
        </is>
      </c>
      <c r="N3422" t="inlineStr">
        <is>
          <t>&lt;p&gt;&lt;/p&gt;</t>
        </is>
      </c>
      <c r="O3422" t="inlineStr"/>
      <c r="P3422" t="inlineStr">
        <is>
          <t>WO23RVN , Van , Ford , Ranger</t>
        </is>
      </c>
      <c r="Q3422" t="inlineStr">
        <is>
          <t>NGED</t>
        </is>
      </c>
      <c r="R3422" t="b">
        <v>0</v>
      </c>
    </row>
    <row r="3423">
      <c r="A3423" t="inlineStr">
        <is>
          <t>3 Mar 2026 / 6556 DE UA SWales3</t>
        </is>
      </c>
      <c r="B3423" t="inlineStr">
        <is>
          <t>Utilities</t>
        </is>
      </c>
      <c r="C3423" t="inlineStr">
        <is>
          <t>NGED</t>
        </is>
      </c>
      <c r="D3423" t="inlineStr">
        <is>
          <t>BK72ZPG , N/A , Isuzu , D-Max</t>
        </is>
      </c>
      <c r="E3423" t="inlineStr">
        <is>
          <t>BK72ZPG , N/A , Isuzu , D-Max</t>
        </is>
      </c>
      <c r="F3423" t="inlineStr">
        <is>
          <t>BK72ZPG , N/A , Isuzu , D-Max</t>
        </is>
      </c>
      <c r="G3423" t="inlineStr">
        <is>
          <t xml:space="preserve">Adrian Evans </t>
        </is>
      </c>
      <c r="H3423" t="inlineStr">
        <is>
          <t>4x4</t>
        </is>
      </c>
      <c r="I3423" t="inlineStr">
        <is>
          <t>Daily/ Weekly Vehicle Inspection</t>
        </is>
      </c>
      <c r="J3423" t="inlineStr">
        <is>
          <t>N/A</t>
        </is>
      </c>
      <c r="K3423" t="inlineStr">
        <is>
          <t>6556 DE UA SWales3</t>
        </is>
      </c>
      <c r="L3423" t="inlineStr">
        <is>
          <t>03/03/2026 09:54</t>
        </is>
      </c>
      <c r="M3423" t="inlineStr">
        <is>
          <t>None</t>
        </is>
      </c>
      <c r="N3423" t="inlineStr">
        <is>
          <t>&lt;p&gt;&lt;/p&gt;</t>
        </is>
      </c>
      <c r="O3423" t="inlineStr"/>
      <c r="P3423" t="inlineStr">
        <is>
          <t>BK72ZPG , N/A , Isuzu , D-Max</t>
        </is>
      </c>
      <c r="Q3423" t="inlineStr">
        <is>
          <t>NGED</t>
        </is>
      </c>
      <c r="R3423" t="b">
        <v>0</v>
      </c>
    </row>
    <row r="3424">
      <c r="A3424" t="inlineStr">
        <is>
          <t>3 Mar 2026 / Harry Bellis</t>
        </is>
      </c>
      <c r="B3424" t="inlineStr">
        <is>
          <t>Utilities</t>
        </is>
      </c>
      <c r="C3424" t="inlineStr">
        <is>
          <t>SSE</t>
        </is>
      </c>
      <c r="D3424" t="inlineStr">
        <is>
          <t>EO73KUG , Car - Electric , Kia , Niro</t>
        </is>
      </c>
      <c r="E3424" t="inlineStr">
        <is>
          <t>EO73KUG , Car - Electric , Kia , Niro</t>
        </is>
      </c>
      <c r="F3424" t="inlineStr">
        <is>
          <t>EO73KUG , Car - Electric , Kia , Niro</t>
        </is>
      </c>
      <c r="G3424" t="inlineStr">
        <is>
          <t>Harry Bellis</t>
        </is>
      </c>
      <c r="H3424" t="inlineStr">
        <is>
          <t>Car - Electric (GC Owned)</t>
        </is>
      </c>
      <c r="I3424" t="inlineStr">
        <is>
          <t>Daily/ Weekly Vehicle Inspection</t>
        </is>
      </c>
      <c r="J3424" t="inlineStr">
        <is>
          <t>N/A</t>
        </is>
      </c>
      <c r="K3424" t="inlineStr">
        <is>
          <t>Harry Bellis</t>
        </is>
      </c>
      <c r="L3424" t="inlineStr">
        <is>
          <t>03/03/2026 09:55</t>
        </is>
      </c>
      <c r="M3424" t="inlineStr">
        <is>
          <t>None</t>
        </is>
      </c>
      <c r="N3424" t="inlineStr">
        <is>
          <t>&lt;p&gt;&lt;/p&gt;</t>
        </is>
      </c>
      <c r="O3424" t="inlineStr"/>
      <c r="P3424" t="inlineStr">
        <is>
          <t>EO73KUG , Car - Electric , Kia , Niro</t>
        </is>
      </c>
      <c r="Q3424" t="inlineStr">
        <is>
          <t>SSE</t>
        </is>
      </c>
      <c r="R3424" t="b">
        <v>0</v>
      </c>
    </row>
    <row r="3425">
      <c r="A3425" t="inlineStr">
        <is>
          <t>3 Mar 2026 / 3098 D &amp; R Landscapes</t>
        </is>
      </c>
      <c r="B3425" t="inlineStr">
        <is>
          <t>Utilities</t>
        </is>
      </c>
      <c r="C3425" t="inlineStr">
        <is>
          <t>UKPN</t>
        </is>
      </c>
      <c r="D3425" t="inlineStr">
        <is>
          <t>BT20 GNZ , Vehicle , Nissan , Navara</t>
        </is>
      </c>
      <c r="E3425" t="inlineStr">
        <is>
          <t>BT20 GNZ , Vehicle , Nissan , Navara</t>
        </is>
      </c>
      <c r="F3425" t="inlineStr">
        <is>
          <t>BT20 GNZ , Vehicle , Nissan , Navara</t>
        </is>
      </c>
      <c r="G3425" t="inlineStr">
        <is>
          <t>Jason</t>
        </is>
      </c>
      <c r="H3425" t="inlineStr">
        <is>
          <t>Pickup Truck</t>
        </is>
      </c>
      <c r="I3425" t="inlineStr">
        <is>
          <t>Daily/ Weekly Vehicle Inspection</t>
        </is>
      </c>
      <c r="J3425" t="inlineStr">
        <is>
          <t>N/A</t>
        </is>
      </c>
      <c r="K3425" t="inlineStr">
        <is>
          <t>3098 D &amp; R Landscapes</t>
        </is>
      </c>
      <c r="L3425" t="inlineStr">
        <is>
          <t>03/03/2026 10:43</t>
        </is>
      </c>
      <c r="M3425" t="inlineStr">
        <is>
          <t>None</t>
        </is>
      </c>
      <c r="N3425" t="inlineStr">
        <is>
          <t>&lt;p&gt;&lt;/p&gt;</t>
        </is>
      </c>
      <c r="O3425" t="inlineStr"/>
      <c r="P3425" t="inlineStr">
        <is>
          <t>BT20 GNZ , Vehicle , Nissan , Navara</t>
        </is>
      </c>
      <c r="Q3425" t="inlineStr">
        <is>
          <t>UKPN</t>
        </is>
      </c>
      <c r="R3425" t="b">
        <v>0</v>
      </c>
    </row>
    <row r="3426">
      <c r="A3426" t="inlineStr">
        <is>
          <t>3 Mar 2026 / Paul Chubb</t>
        </is>
      </c>
      <c r="B3426" t="inlineStr">
        <is>
          <t>Utilities</t>
        </is>
      </c>
      <c r="C3426" t="inlineStr">
        <is>
          <t>SSE</t>
        </is>
      </c>
      <c r="D3426" t="inlineStr"/>
      <c r="E3426" t="inlineStr"/>
      <c r="F3426" t="inlineStr"/>
      <c r="G3426" t="inlineStr">
        <is>
          <t>Paul chubb</t>
        </is>
      </c>
      <c r="H3426" t="inlineStr">
        <is>
          <t>Van</t>
        </is>
      </c>
      <c r="I3426" t="inlineStr">
        <is>
          <t>Daily/ Weekly Vehicle Inspection</t>
        </is>
      </c>
      <c r="J3426" t="inlineStr">
        <is>
          <t>N/A</t>
        </is>
      </c>
      <c r="K3426" t="inlineStr">
        <is>
          <t>Paul Chubb</t>
        </is>
      </c>
      <c r="L3426" t="inlineStr">
        <is>
          <t>03/03/2026 12:44</t>
        </is>
      </c>
      <c r="M3426" t="inlineStr">
        <is>
          <t>None</t>
        </is>
      </c>
      <c r="N3426" t="inlineStr">
        <is>
          <t>&lt;p&gt;&lt;/p&gt;</t>
        </is>
      </c>
      <c r="O3426" t="inlineStr"/>
      <c r="P3426" t="inlineStr"/>
      <c r="Q3426" t="inlineStr">
        <is>
          <t>SSE</t>
        </is>
      </c>
      <c r="R3426" t="b">
        <v>0</v>
      </c>
    </row>
    <row r="3427">
      <c r="A3427" t="inlineStr">
        <is>
          <t>3 Mar 2026 / 7965 Kingfisher Tree Services Ltd 2</t>
        </is>
      </c>
      <c r="B3427" t="inlineStr">
        <is>
          <t>Utilities</t>
        </is>
      </c>
      <c r="C3427" t="inlineStr">
        <is>
          <t>SSE</t>
        </is>
      </c>
      <c r="D3427" t="inlineStr">
        <is>
          <t>CP68BKE , Pickup Truck , Toyota , Hilux</t>
        </is>
      </c>
      <c r="E3427" t="inlineStr">
        <is>
          <t>CP68BKE , Pickup Truck , Toyota , Hilux</t>
        </is>
      </c>
      <c r="F3427" t="inlineStr">
        <is>
          <t>CP68BKE , Pickup Truck , Toyota , Hilux</t>
        </is>
      </c>
      <c r="G3427" t="inlineStr">
        <is>
          <t xml:space="preserve">Adam Whitlam </t>
        </is>
      </c>
      <c r="H3427" t="inlineStr">
        <is>
          <t>Pickup Truck</t>
        </is>
      </c>
      <c r="I3427" t="inlineStr">
        <is>
          <t>Daily/ Weekly Vehicle Inspection</t>
        </is>
      </c>
      <c r="J3427" t="inlineStr">
        <is>
          <t>N/A</t>
        </is>
      </c>
      <c r="K3427" t="inlineStr">
        <is>
          <t>7965 Kingfisher Tree Services Ltd 2</t>
        </is>
      </c>
      <c r="L3427" t="inlineStr">
        <is>
          <t>03/03/2026 13:43</t>
        </is>
      </c>
      <c r="M3427" t="inlineStr">
        <is>
          <t>None</t>
        </is>
      </c>
      <c r="N3427" t="inlineStr">
        <is>
          <t>&lt;p&gt;&lt;/p&gt;</t>
        </is>
      </c>
      <c r="O3427" t="inlineStr"/>
      <c r="P3427" t="inlineStr">
        <is>
          <t>CP68BKE , Pickup Truck , Toyota , Hilux</t>
        </is>
      </c>
      <c r="Q3427" t="inlineStr">
        <is>
          <t>SSE</t>
        </is>
      </c>
      <c r="R3427" t="b">
        <v>0</v>
      </c>
    </row>
    <row r="3428">
      <c r="A3428" t="inlineStr">
        <is>
          <t>3 Mar 2026 / Thomas Nandi</t>
        </is>
      </c>
      <c r="B3428" t="inlineStr">
        <is>
          <t>Utilities</t>
        </is>
      </c>
      <c r="C3428" t="inlineStr">
        <is>
          <t>SSE</t>
        </is>
      </c>
      <c r="D3428" t="inlineStr"/>
      <c r="E3428" t="inlineStr"/>
      <c r="F3428" t="inlineStr"/>
      <c r="G3428" t="inlineStr">
        <is>
          <t xml:space="preserve">Tom Nandi </t>
        </is>
      </c>
      <c r="H3428" t="inlineStr">
        <is>
          <t>Car - Petrol</t>
        </is>
      </c>
      <c r="I3428" t="inlineStr">
        <is>
          <t>Monthly Vehicle Inspection</t>
        </is>
      </c>
      <c r="J3428" t="inlineStr">
        <is>
          <t>4030</t>
        </is>
      </c>
      <c r="K3428" t="inlineStr">
        <is>
          <t>Thomas Nandi</t>
        </is>
      </c>
      <c r="L3428" t="inlineStr">
        <is>
          <t>03/03/2026 15:45</t>
        </is>
      </c>
      <c r="M3428" t="inlineStr">
        <is>
          <t>None</t>
        </is>
      </c>
      <c r="N3428" t="inlineStr">
        <is>
          <t>&lt;p&gt;&lt;/p&gt;</t>
        </is>
      </c>
      <c r="O3428" t="inlineStr"/>
      <c r="P3428" t="inlineStr"/>
      <c r="Q3428" t="inlineStr">
        <is>
          <t>SSE</t>
        </is>
      </c>
      <c r="R3428" t="b">
        <v>0</v>
      </c>
    </row>
    <row r="3429">
      <c r="A3429" t="inlineStr">
        <is>
          <t>3 Mar 2026 / Rodney Taylor</t>
        </is>
      </c>
      <c r="B3429" t="inlineStr">
        <is>
          <t>Utilities</t>
        </is>
      </c>
      <c r="C3429" t="inlineStr">
        <is>
          <t>NGED</t>
        </is>
      </c>
      <c r="D3429" t="inlineStr">
        <is>
          <t>EK73UOM , Car - Electric , Kia , Niro</t>
        </is>
      </c>
      <c r="E3429" t="inlineStr">
        <is>
          <t>EK73UOM , Car - Electric , Kia , Niro</t>
        </is>
      </c>
      <c r="F3429" t="inlineStr">
        <is>
          <t>EK73UOM , Car - Electric , Kia , Niro</t>
        </is>
      </c>
      <c r="G3429" t="inlineStr">
        <is>
          <t xml:space="preserve">Rod Taylor </t>
        </is>
      </c>
      <c r="H3429" t="inlineStr">
        <is>
          <t>Car - Electric (GC Owned)</t>
        </is>
      </c>
      <c r="I3429" t="inlineStr">
        <is>
          <t>Monthly Vehicle Inspection</t>
        </is>
      </c>
      <c r="J3429" t="inlineStr">
        <is>
          <t>33395</t>
        </is>
      </c>
      <c r="K3429" t="inlineStr">
        <is>
          <t>Rodney Taylor</t>
        </is>
      </c>
      <c r="L3429" t="inlineStr">
        <is>
          <t>03/03/2026 15:46</t>
        </is>
      </c>
      <c r="M3429" t="inlineStr">
        <is>
          <t xml:space="preserve">TYRES &amp; TRACKS
What to Check: 
Are all tyres / tracks in good condition, at the correct pressure for the anticipated load, 
How: Inspect each tyre for tread depth, wear patterns, cuts, or bulges. Check tyre pressure using a gauge and adjust as per manufacturer recommendations. Ensure tracks (if applicable) are in good condition and properly aligned. Verify the presence of a spare tyre or puncture repair kit and its serviceability.
Why: Well-maintained tyres and tracks provide traction, stability, and safe handling of the vehicle. Proper tyre pressure extends tyre life, improves fuel efficiency, and reduces the risk of blowouts or accidents due to tyre failure.: Fail
</t>
        </is>
      </c>
      <c r="N3429" t="inlineStr">
        <is>
          <t>&lt;p&gt;&lt;a href="https&amp;#58;//apps.powerapps.com/play/2d567dc9-5d50-4629-a077-f7ccbff3e239?tenantId=3ef9f654-aa07-41b8-88ad-a411c62bd12c&amp;amp;Action=Open&amp;amp;Actionno=8376"&gt;Tyre pressure still shows as low pressure, even though all tyres have been checked and pumped up to same level. Vehicle does not appear to have facility to reset the tyre pressure&lt;/a&gt;&lt;br&gt;&lt;/p&gt;</t>
        </is>
      </c>
      <c r="O3429" t="inlineStr">
        <is>
          <t>TYRES &amp; TRACKS
What to Check: 
Are all tyres / tracks in good condition, at the correct pressure for the anticipated load, 
How: Inspect each tyre for tread depth, wear patterns, cuts, or bulges. Check tyre pressure using a gauge and adjust as per manufacturer recommendations. Ensure tracks (if applicable) are in good condition and properly aligned. Verify the presence of a spare tyre or puncture repair kit and its serviceability.
Why: Well-maintained tyres and tracks provide traction, stability, and safe handling of the vehicle. Proper tyre pressure extends tyre life, improves fuel efficiency, and reduces the risk of blowouts or accidents due to tyre failure.:Tyre pressure still shows as low pressure, even though all tyres have been checked and pumped up to same level. Vehicle does not appear to have facility to reset the tyre pressure
-EXTERIOR &amp; GLASS
What to Check: 
Is the body of the vehicle in good condition (any dents or scratches)? 
Is the windscreen and all mirrors free of chips or cracks? 
Are the window wipers operational and fit for purpose? 
Is the boot lid &amp; doors secure and operational? 
Is the number plate clean &amp; secure? 
Are charging cables fit for use? 
Are access &amp; egress points safe &amp; secure (e.g., steps &amp; handrails)?
How: Inspect the vehicle's exterior for dents, scratches, or rust spots. Check the windscreen and mirrors for any chips or cracks that could impair visibility. Test the operation of window wipers and ensure they effectively clear the windscreen. Verify the security and functionality of doors, boot lid, and number plate. Check the condition of charging cables and ensure access &amp; egress points are stable and safe.
Why: A well-maintained exterior enhances the vehicle's appearance, ensures driver visibility, and prevents potential safety hazards. Functional wipers, secure doors, and clear visibility contribute to safe driving conditions.:Wind screen has a chip from a stone.
-WARNING LIGHTS
What to Check: 
Any warning lights, Dashboard display, and lights operational? (front, rear, beacons).
How: Start the vehicle and check the dashboard for illuminated warning lights. Test all exterior lights including front, rear, and beacons. Ensure all indicators, gauges, and displays are functioning properly.
Why: Functional warning lights and dashboard indicators alert the driver to potential issues with the vehicle's systems. Prompt attention to warning lights helps prevent mechanical failures, ensures roadworthiness, and enhances safety.:Service light is now on as service due in 500miles
-</t>
        </is>
      </c>
      <c r="P3429" t="inlineStr">
        <is>
          <t>EK73UOM , Car - Electric , Kia , Niro</t>
        </is>
      </c>
      <c r="Q3429" t="inlineStr">
        <is>
          <t>NGED</t>
        </is>
      </c>
      <c r="R3429" t="b">
        <v>0</v>
      </c>
    </row>
    <row r="3430">
      <c r="A3430" t="inlineStr">
        <is>
          <t>4 Mar 2026 / 8040 S6 Tree specialists Ltd</t>
        </is>
      </c>
      <c r="B3430" t="inlineStr">
        <is>
          <t>Utilities</t>
        </is>
      </c>
      <c r="C3430" t="inlineStr">
        <is>
          <t>UKPN</t>
        </is>
      </c>
      <c r="D3430" t="inlineStr">
        <is>
          <t>Na , Towed Chipper , Timberwolf  , 190</t>
        </is>
      </c>
      <c r="E3430" t="inlineStr">
        <is>
          <t>Na , Towed Chipper , Timberwolf  , 190</t>
        </is>
      </c>
      <c r="F3430" t="inlineStr">
        <is>
          <t>Na , Towed Chipper , Timberwolf  , 190</t>
        </is>
      </c>
      <c r="G3430" t="inlineStr">
        <is>
          <t>Luke</t>
        </is>
      </c>
      <c r="H3430" t="inlineStr">
        <is>
          <t>Towed Chipper</t>
        </is>
      </c>
      <c r="I3430" t="inlineStr">
        <is>
          <t>Daily/ Weekly Vehicle Inspection</t>
        </is>
      </c>
      <c r="J3430" t="inlineStr">
        <is>
          <t>N/A</t>
        </is>
      </c>
      <c r="K3430" t="inlineStr">
        <is>
          <t>8040 S6 Tree specialists Ltd</t>
        </is>
      </c>
      <c r="L3430" t="inlineStr">
        <is>
          <t>04/03/2026 06:42</t>
        </is>
      </c>
      <c r="M3430" t="inlineStr">
        <is>
          <t>None</t>
        </is>
      </c>
      <c r="N3430" t="inlineStr">
        <is>
          <t>&lt;p&gt;&lt;/p&gt;</t>
        </is>
      </c>
      <c r="O3430" t="inlineStr"/>
      <c r="P3430" t="inlineStr">
        <is>
          <t>Na , Towed Chipper , Timberwolf  , 190</t>
        </is>
      </c>
      <c r="Q3430" t="inlineStr">
        <is>
          <t>UKPN</t>
        </is>
      </c>
      <c r="R3430" t="b">
        <v>0</v>
      </c>
    </row>
    <row r="3431">
      <c r="A3431" t="inlineStr">
        <is>
          <t>4 Mar 2026 / 8040 S6 Tree specialists Ltd</t>
        </is>
      </c>
      <c r="B3431" t="inlineStr">
        <is>
          <t>Utilities</t>
        </is>
      </c>
      <c r="C3431" t="inlineStr">
        <is>
          <t>UKPN</t>
        </is>
      </c>
      <c r="D3431" t="inlineStr">
        <is>
          <t>Cu59myy  , 4x4 , Landrover  , Discovery 4</t>
        </is>
      </c>
      <c r="E3431" t="inlineStr">
        <is>
          <t>Cu59myy  , 4x4 , Landrover  , Discovery 4</t>
        </is>
      </c>
      <c r="F3431" t="inlineStr">
        <is>
          <t>Cu59myy  , 4x4 , Landrover  , Discovery 4</t>
        </is>
      </c>
      <c r="G3431" t="inlineStr">
        <is>
          <t xml:space="preserve">Luke lane </t>
        </is>
      </c>
      <c r="H3431" t="inlineStr">
        <is>
          <t>4x4</t>
        </is>
      </c>
      <c r="I3431" t="inlineStr">
        <is>
          <t>Daily/ Weekly Vehicle Inspection</t>
        </is>
      </c>
      <c r="J3431" t="inlineStr">
        <is>
          <t>N/A</t>
        </is>
      </c>
      <c r="K3431" t="inlineStr">
        <is>
          <t>8040 S6 Tree specialists Ltd</t>
        </is>
      </c>
      <c r="L3431" t="inlineStr">
        <is>
          <t>04/03/2026 06:42</t>
        </is>
      </c>
      <c r="M3431" t="inlineStr">
        <is>
          <t>None</t>
        </is>
      </c>
      <c r="N3431" t="inlineStr">
        <is>
          <t>&lt;p&gt;&lt;/p&gt;</t>
        </is>
      </c>
      <c r="O3431" t="inlineStr"/>
      <c r="P3431" t="inlineStr">
        <is>
          <t>Cu59myy  , 4x4 , Landrover  , Discovery 4</t>
        </is>
      </c>
      <c r="Q3431" t="inlineStr">
        <is>
          <t>UKPN</t>
        </is>
      </c>
      <c r="R3431" t="b">
        <v>0</v>
      </c>
    </row>
    <row r="3432">
      <c r="A3432" t="inlineStr">
        <is>
          <t>3 Mar 2026 / 8040 S6 Tree specialists Ltd</t>
        </is>
      </c>
      <c r="B3432" t="inlineStr">
        <is>
          <t>Utilities</t>
        </is>
      </c>
      <c r="C3432" t="inlineStr">
        <is>
          <t>UKPN</t>
        </is>
      </c>
      <c r="D3432" t="inlineStr">
        <is>
          <t>Na , Towed Chipper , Timberwolf  , 190</t>
        </is>
      </c>
      <c r="E3432" t="inlineStr">
        <is>
          <t>Na , Towed Chipper , Timberwolf  , 190</t>
        </is>
      </c>
      <c r="F3432" t="inlineStr">
        <is>
          <t>Na , Towed Chipper , Timberwolf  , 190</t>
        </is>
      </c>
      <c r="G3432" t="inlineStr">
        <is>
          <t>Luke</t>
        </is>
      </c>
      <c r="H3432" t="inlineStr">
        <is>
          <t>Towed Chipper</t>
        </is>
      </c>
      <c r="I3432" t="inlineStr">
        <is>
          <t>Daily/ Weekly Vehicle Inspection</t>
        </is>
      </c>
      <c r="J3432" t="inlineStr">
        <is>
          <t>N/A</t>
        </is>
      </c>
      <c r="K3432" t="inlineStr">
        <is>
          <t>8040 S6 Tree specialists Ltd</t>
        </is>
      </c>
      <c r="L3432" t="inlineStr">
        <is>
          <t>04/03/2026 06:43</t>
        </is>
      </c>
      <c r="M3432" t="inlineStr">
        <is>
          <t>None</t>
        </is>
      </c>
      <c r="N3432" t="inlineStr">
        <is>
          <t>&lt;p&gt;&lt;/p&gt;</t>
        </is>
      </c>
      <c r="O3432" t="inlineStr"/>
      <c r="P3432" t="inlineStr">
        <is>
          <t>Na , Towed Chipper , Timberwolf  , 190</t>
        </is>
      </c>
      <c r="Q3432" t="inlineStr">
        <is>
          <t>UKPN</t>
        </is>
      </c>
      <c r="R3432" t="b">
        <v>0</v>
      </c>
    </row>
    <row r="3433">
      <c r="A3433" t="inlineStr">
        <is>
          <t>4 Mar 2026 / 7800 MAC Tree Surgery and Fencing Ltd</t>
        </is>
      </c>
      <c r="B3433" t="inlineStr">
        <is>
          <t>Utilities</t>
        </is>
      </c>
      <c r="C3433" t="inlineStr">
        <is>
          <t>UKPN</t>
        </is>
      </c>
      <c r="D3433" t="inlineStr">
        <is>
          <t>FG16LNT , Tipper , Ford transit  , Transit tipper</t>
        </is>
      </c>
      <c r="E3433" t="inlineStr">
        <is>
          <t>FG16LNT , Tipper , Ford transit  , Transit tipper</t>
        </is>
      </c>
      <c r="F3433" t="inlineStr">
        <is>
          <t>FG16LNT , Tipper , Ford transit  , Transit tipper</t>
        </is>
      </c>
      <c r="G3433" t="inlineStr">
        <is>
          <t>Patrick</t>
        </is>
      </c>
      <c r="H3433" t="inlineStr">
        <is>
          <t>Tipper</t>
        </is>
      </c>
      <c r="I3433" t="inlineStr">
        <is>
          <t>Daily/ Weekly Vehicle Inspection</t>
        </is>
      </c>
      <c r="J3433" t="inlineStr">
        <is>
          <t>N/A</t>
        </is>
      </c>
      <c r="K3433" t="inlineStr">
        <is>
          <t>7800 MAC Tree Surgery and Fencing Ltd</t>
        </is>
      </c>
      <c r="L3433" t="inlineStr">
        <is>
          <t>04/03/2026 07:42</t>
        </is>
      </c>
      <c r="M3433" t="inlineStr">
        <is>
          <t>None</t>
        </is>
      </c>
      <c r="N3433" t="inlineStr">
        <is>
          <t>&lt;p&gt;&lt;/p&gt;</t>
        </is>
      </c>
      <c r="O3433" t="inlineStr"/>
      <c r="P3433" t="inlineStr">
        <is>
          <t>FG16LNT , Tipper , Ford transit  , Transit tipper</t>
        </is>
      </c>
      <c r="Q3433" t="inlineStr">
        <is>
          <t>UKPN</t>
        </is>
      </c>
      <c r="R3433" t="b">
        <v>0</v>
      </c>
    </row>
    <row r="3434">
      <c r="A3434" t="inlineStr">
        <is>
          <t>4 Mar 2026 / 7800 MAC Tree Surgery and Fencing Ltd / Utilities / UKPN</t>
        </is>
      </c>
      <c r="B3434" t="inlineStr">
        <is>
          <t>Utilities</t>
        </is>
      </c>
      <c r="C3434" t="inlineStr">
        <is>
          <t>UKPN</t>
        </is>
      </c>
      <c r="D3434" t="inlineStr">
        <is>
          <t>Plant Trailer - Towmate - 2.8t - 0</t>
        </is>
      </c>
      <c r="E3434" t="inlineStr">
        <is>
          <t>Plant Trailer - Towmate - 2.8t - 0</t>
        </is>
      </c>
      <c r="F3434" t="inlineStr">
        <is>
          <t>Plant Trailer - Towmate - 2.8t - 0</t>
        </is>
      </c>
      <c r="G3434" t="inlineStr">
        <is>
          <t>Lewis mac</t>
        </is>
      </c>
      <c r="H3434" t="inlineStr">
        <is>
          <t>Plant Trailer</t>
        </is>
      </c>
      <c r="I3434" t="inlineStr">
        <is>
          <t>Daily/ Weekly Vehicle Inspection</t>
        </is>
      </c>
      <c r="J3434" t="inlineStr">
        <is>
          <t>N/A</t>
        </is>
      </c>
      <c r="K3434" t="inlineStr">
        <is>
          <t>7800 MAC Tree Surgery and Fencing Ltd</t>
        </is>
      </c>
      <c r="L3434" t="inlineStr">
        <is>
          <t>04/03/2026 07:43</t>
        </is>
      </c>
      <c r="M3434" t="inlineStr">
        <is>
          <t>None</t>
        </is>
      </c>
      <c r="N3434" t="inlineStr">
        <is>
          <t>&lt;p&gt;&lt;/p&gt;</t>
        </is>
      </c>
      <c r="O3434" t="inlineStr"/>
      <c r="P3434" t="inlineStr">
        <is>
          <t>Plant Trailer - Towmate - 2.8t - 0</t>
        </is>
      </c>
      <c r="Q3434" t="inlineStr">
        <is>
          <t>UKPN</t>
        </is>
      </c>
      <c r="R3434" t="b">
        <v>0</v>
      </c>
    </row>
    <row r="3435">
      <c r="A3435" t="inlineStr">
        <is>
          <t>4 Mar 2026 / 7800 MAC Tree Surgery and Fencing Ltd / Utilities / UKPN</t>
        </is>
      </c>
      <c r="B3435" t="inlineStr">
        <is>
          <t>Utilities</t>
        </is>
      </c>
      <c r="C3435" t="inlineStr">
        <is>
          <t>UKPN</t>
        </is>
      </c>
      <c r="D3435" t="inlineStr">
        <is>
          <t>AY68DAA , 4x4 , Izuzu , Dmax</t>
        </is>
      </c>
      <c r="E3435" t="inlineStr">
        <is>
          <t>AY68DAA , 4x4 , Izuzu , Dmax</t>
        </is>
      </c>
      <c r="F3435" t="inlineStr">
        <is>
          <t>AY68DAA , 4x4 , Izuzu , Dmax</t>
        </is>
      </c>
      <c r="G3435" t="inlineStr">
        <is>
          <t xml:space="preserve">Patrick O'Shea </t>
        </is>
      </c>
      <c r="H3435" t="inlineStr">
        <is>
          <t>4x4</t>
        </is>
      </c>
      <c r="I3435" t="inlineStr">
        <is>
          <t>Daily/ Weekly Vehicle Inspection</t>
        </is>
      </c>
      <c r="J3435" t="inlineStr">
        <is>
          <t>N/A</t>
        </is>
      </c>
      <c r="K3435" t="inlineStr">
        <is>
          <t>7800 MAC Tree Surgery and Fencing Ltd</t>
        </is>
      </c>
      <c r="L3435" t="inlineStr">
        <is>
          <t>04/03/2026 07:44</t>
        </is>
      </c>
      <c r="M3435" t="inlineStr">
        <is>
          <t>None</t>
        </is>
      </c>
      <c r="N3435" t="inlineStr">
        <is>
          <t>&lt;p&gt;&lt;/p&gt;</t>
        </is>
      </c>
      <c r="O3435" t="inlineStr"/>
      <c r="P3435" t="inlineStr">
        <is>
          <t>AY68DAA , 4x4 , Izuzu , Dmax</t>
        </is>
      </c>
      <c r="Q3435" t="inlineStr">
        <is>
          <t>UKPN</t>
        </is>
      </c>
      <c r="R3435" t="b">
        <v>0</v>
      </c>
    </row>
    <row r="3436">
      <c r="A3436" t="inlineStr">
        <is>
          <t>4 Mar 2026 / 8148 Hope Ground and Tree Care</t>
        </is>
      </c>
      <c r="B3436" t="inlineStr">
        <is>
          <t>Utilities</t>
        </is>
      </c>
      <c r="C3436" t="inlineStr">
        <is>
          <t>UKPN</t>
        </is>
      </c>
      <c r="D3436" t="inlineStr">
        <is>
          <t>S6 NWX , MEWP , Isuzu , D-Max</t>
        </is>
      </c>
      <c r="E3436" t="inlineStr">
        <is>
          <t>S6 NWX , MEWP , Isuzu , D-Max</t>
        </is>
      </c>
      <c r="F3436" t="inlineStr">
        <is>
          <t>S6 NWX , MEWP , Isuzu , D-Max</t>
        </is>
      </c>
      <c r="G3436" t="inlineStr">
        <is>
          <t>A Hope</t>
        </is>
      </c>
      <c r="H3436" t="inlineStr">
        <is>
          <t>4x4</t>
        </is>
      </c>
      <c r="I3436" t="inlineStr">
        <is>
          <t>Daily/ Weekly Vehicle Inspection</t>
        </is>
      </c>
      <c r="J3436" t="inlineStr">
        <is>
          <t>N/A</t>
        </is>
      </c>
      <c r="K3436" t="inlineStr">
        <is>
          <t>8148 Hope Ground and Tree Care</t>
        </is>
      </c>
      <c r="L3436" t="inlineStr">
        <is>
          <t>04/03/2026 07:45</t>
        </is>
      </c>
      <c r="M3436" t="inlineStr">
        <is>
          <t>None</t>
        </is>
      </c>
      <c r="N3436" t="inlineStr">
        <is>
          <t>&lt;p&gt;&lt;/p&gt;</t>
        </is>
      </c>
      <c r="O3436" t="inlineStr"/>
      <c r="P3436" t="inlineStr">
        <is>
          <t>S6 NWX , MEWP , Isuzu , D-Max</t>
        </is>
      </c>
      <c r="Q3436" t="inlineStr">
        <is>
          <t>UKPN</t>
        </is>
      </c>
      <c r="R3436" t="b">
        <v>0</v>
      </c>
    </row>
    <row r="3437">
      <c r="A3437" t="inlineStr">
        <is>
          <t>4 Mar 2026 / 7806 Optimum Tree Services Ltd</t>
        </is>
      </c>
      <c r="B3437" t="inlineStr">
        <is>
          <t>Utilities</t>
        </is>
      </c>
      <c r="C3437" t="inlineStr">
        <is>
          <t>UKPN</t>
        </is>
      </c>
      <c r="D3437" t="inlineStr">
        <is>
          <t>SA9ST800000283069 , Chipper , Forst , ST 6P</t>
        </is>
      </c>
      <c r="E3437" t="inlineStr">
        <is>
          <t>SA9ST800000283069 , Chipper , Forst , ST 6P</t>
        </is>
      </c>
      <c r="F3437" t="inlineStr">
        <is>
          <t>SA9ST800000283069 , Chipper , Forst , ST 6P</t>
        </is>
      </c>
      <c r="G3437" t="inlineStr">
        <is>
          <t xml:space="preserve">Abraham Davies </t>
        </is>
      </c>
      <c r="H3437" t="inlineStr">
        <is>
          <t>Towed Chipper</t>
        </is>
      </c>
      <c r="I3437" t="inlineStr">
        <is>
          <t>Daily/ Weekly Vehicle Inspection</t>
        </is>
      </c>
      <c r="J3437" t="inlineStr">
        <is>
          <t>N/A</t>
        </is>
      </c>
      <c r="K3437" t="inlineStr">
        <is>
          <t>7806 Optimum Tree Services Ltd</t>
        </is>
      </c>
      <c r="L3437" t="inlineStr">
        <is>
          <t>04/03/2026 07:46</t>
        </is>
      </c>
      <c r="M3437" t="inlineStr">
        <is>
          <t>None</t>
        </is>
      </c>
      <c r="N3437" t="inlineStr">
        <is>
          <t>&lt;p&gt;&lt;/p&gt;</t>
        </is>
      </c>
      <c r="O3437" t="inlineStr"/>
      <c r="P3437" t="inlineStr">
        <is>
          <t>SA9ST800000283069 , Chipper , Forst , ST 6P</t>
        </is>
      </c>
      <c r="Q3437" t="inlineStr">
        <is>
          <t>UKPN</t>
        </is>
      </c>
      <c r="R3437" t="b">
        <v>0</v>
      </c>
    </row>
    <row r="3438">
      <c r="A3438" t="inlineStr">
        <is>
          <t>4 Mar 2026 / 7806 Optimum Tree Services Ltd</t>
        </is>
      </c>
      <c r="B3438" t="inlineStr">
        <is>
          <t>Utilities</t>
        </is>
      </c>
      <c r="C3438" t="inlineStr">
        <is>
          <t>UKPN</t>
        </is>
      </c>
      <c r="D3438" t="inlineStr">
        <is>
          <t>Wd14evn , 4x4 , Landrover  , Defender</t>
        </is>
      </c>
      <c r="E3438" t="inlineStr">
        <is>
          <t>Wd14evn , 4x4 , Landrover  , Defender</t>
        </is>
      </c>
      <c r="F3438" t="inlineStr">
        <is>
          <t>Wd14evn , 4x4 , Landrover  , Defender</t>
        </is>
      </c>
      <c r="G3438" t="inlineStr">
        <is>
          <t xml:space="preserve">Abraham Davies </t>
        </is>
      </c>
      <c r="H3438" t="inlineStr">
        <is>
          <t>4x4</t>
        </is>
      </c>
      <c r="I3438" t="inlineStr">
        <is>
          <t>Daily/ Weekly Vehicle Inspection</t>
        </is>
      </c>
      <c r="J3438" t="inlineStr">
        <is>
          <t>N/A</t>
        </is>
      </c>
      <c r="K3438" t="inlineStr">
        <is>
          <t>7806 Optimum Tree Services Ltd</t>
        </is>
      </c>
      <c r="L3438" t="inlineStr">
        <is>
          <t>04/03/2026 07:48</t>
        </is>
      </c>
      <c r="M3438" t="inlineStr">
        <is>
          <t>None</t>
        </is>
      </c>
      <c r="N3438" t="inlineStr">
        <is>
          <t>&lt;p&gt;&lt;/p&gt;</t>
        </is>
      </c>
      <c r="O3438" t="inlineStr"/>
      <c r="P3438" t="inlineStr">
        <is>
          <t>Wd14evn , 4x4 , Landrover  , Defender</t>
        </is>
      </c>
      <c r="Q3438" t="inlineStr">
        <is>
          <t>UKPN</t>
        </is>
      </c>
      <c r="R3438" t="b">
        <v>0</v>
      </c>
    </row>
    <row r="3439">
      <c r="A3439" t="inlineStr">
        <is>
          <t>4 Mar 2026 / Thomas Playford</t>
        </is>
      </c>
      <c r="B3439" t="inlineStr">
        <is>
          <t>Utilities</t>
        </is>
      </c>
      <c r="C3439" t="inlineStr">
        <is>
          <t>UKPN</t>
        </is>
      </c>
      <c r="D3439" t="inlineStr">
        <is>
          <t>SA9ST800000283944 , Towed Chipper , Forst , ST8D - Towed</t>
        </is>
      </c>
      <c r="E3439" t="inlineStr">
        <is>
          <t>SA9ST800000283944 , Towed Chipper , Forst , ST8D - Towed</t>
        </is>
      </c>
      <c r="F3439" t="inlineStr">
        <is>
          <t>SA9ST800000283944 , Towed Chipper , Forst , ST8D - Towed</t>
        </is>
      </c>
      <c r="G3439" t="inlineStr">
        <is>
          <t>Thomas Playford</t>
        </is>
      </c>
      <c r="H3439" t="inlineStr">
        <is>
          <t>Towed Chipper</t>
        </is>
      </c>
      <c r="I3439" t="inlineStr">
        <is>
          <t>Daily/ Weekly Vehicle Inspection</t>
        </is>
      </c>
      <c r="J3439" t="inlineStr">
        <is>
          <t>N/A</t>
        </is>
      </c>
      <c r="K3439" t="inlineStr">
        <is>
          <t>7995 Green Net Eco Ltd 2</t>
        </is>
      </c>
      <c r="L3439" t="inlineStr">
        <is>
          <t>04/03/2026 07:50</t>
        </is>
      </c>
      <c r="M3439" t="inlineStr">
        <is>
          <t>None</t>
        </is>
      </c>
      <c r="N3439" t="inlineStr">
        <is>
          <t>&lt;p&gt;&lt;/p&gt;</t>
        </is>
      </c>
      <c r="O3439" t="inlineStr"/>
      <c r="P3439" t="inlineStr">
        <is>
          <t>SA9ST800000283944 , Towed Chipper , Forst , ST8D - Towed</t>
        </is>
      </c>
      <c r="Q3439" t="inlineStr">
        <is>
          <t>UKPN</t>
        </is>
      </c>
      <c r="R3439" t="b">
        <v>0</v>
      </c>
    </row>
    <row r="3440">
      <c r="A3440" t="inlineStr">
        <is>
          <t>4 Mar 2026 / Thomas Playford</t>
        </is>
      </c>
      <c r="B3440" t="inlineStr">
        <is>
          <t>Utilities</t>
        </is>
      </c>
      <c r="C3440" t="inlineStr">
        <is>
          <t>UKPN</t>
        </is>
      </c>
      <c r="D3440" t="inlineStr">
        <is>
          <t>LK15KRZ , 4x4 , Landrover , Defender</t>
        </is>
      </c>
      <c r="E3440" t="inlineStr">
        <is>
          <t>LK15KRZ , 4x4 , Landrover , Defender</t>
        </is>
      </c>
      <c r="F3440" t="inlineStr">
        <is>
          <t>LK15KRZ , 4x4 , Landrover , Defender</t>
        </is>
      </c>
      <c r="G3440" t="inlineStr">
        <is>
          <t>Jacob Oram</t>
        </is>
      </c>
      <c r="H3440" t="inlineStr">
        <is>
          <t>4x4</t>
        </is>
      </c>
      <c r="I3440" t="inlineStr">
        <is>
          <t>Daily/ Weekly Vehicle Inspection</t>
        </is>
      </c>
      <c r="J3440" t="inlineStr">
        <is>
          <t>N/A</t>
        </is>
      </c>
      <c r="K3440" t="inlineStr">
        <is>
          <t>7995 Green Net Eco Ltd 2</t>
        </is>
      </c>
      <c r="L3440" t="inlineStr">
        <is>
          <t>04/03/2026 07:51</t>
        </is>
      </c>
      <c r="M3440" t="inlineStr">
        <is>
          <t>None</t>
        </is>
      </c>
      <c r="N3440" t="inlineStr">
        <is>
          <t>&lt;p&gt;&lt;/p&gt;</t>
        </is>
      </c>
      <c r="O3440" t="inlineStr"/>
      <c r="P3440" t="inlineStr">
        <is>
          <t>LK15KRZ , 4x4 , Landrover , Defender</t>
        </is>
      </c>
      <c r="Q3440" t="inlineStr">
        <is>
          <t>UKPN</t>
        </is>
      </c>
      <c r="R3440" t="b">
        <v>0</v>
      </c>
    </row>
    <row r="3441">
      <c r="A3441" t="inlineStr">
        <is>
          <t>4 Mar 2026 / 7996 M G Tree Surgery Ltd</t>
        </is>
      </c>
      <c r="B3441" t="inlineStr">
        <is>
          <t>Utilities</t>
        </is>
      </c>
      <c r="C3441" t="inlineStr">
        <is>
          <t>UKPN</t>
        </is>
      </c>
      <c r="D3441" t="inlineStr">
        <is>
          <t>GU13 WNL , MEWP , Land Rover , Defender 130</t>
        </is>
      </c>
      <c r="E3441" t="inlineStr">
        <is>
          <t>GU13 WNL , MEWP , Land Rover , Defender 130</t>
        </is>
      </c>
      <c r="F3441" t="inlineStr">
        <is>
          <t>GU13 WNL , MEWP , Land Rover , Defender 130</t>
        </is>
      </c>
      <c r="G3441" t="inlineStr">
        <is>
          <t>Max</t>
        </is>
      </c>
      <c r="H3441" t="inlineStr">
        <is>
          <t>4x4</t>
        </is>
      </c>
      <c r="I3441" t="inlineStr">
        <is>
          <t>Daily/ Weekly Vehicle Inspection</t>
        </is>
      </c>
      <c r="J3441" t="inlineStr">
        <is>
          <t>N/A</t>
        </is>
      </c>
      <c r="K3441" t="inlineStr">
        <is>
          <t>7996 M G Tree Surgery Ltd</t>
        </is>
      </c>
      <c r="L3441" t="inlineStr">
        <is>
          <t>04/03/2026 07:52</t>
        </is>
      </c>
      <c r="M3441" t="inlineStr">
        <is>
          <t>None</t>
        </is>
      </c>
      <c r="N3441" t="inlineStr">
        <is>
          <t>&lt;p&gt;&lt;/p&gt;</t>
        </is>
      </c>
      <c r="O3441" t="inlineStr"/>
      <c r="P3441" t="inlineStr">
        <is>
          <t>GU13 WNL , MEWP , Land Rover , Defender 130</t>
        </is>
      </c>
      <c r="Q3441" t="inlineStr">
        <is>
          <t>UKPN</t>
        </is>
      </c>
      <c r="R3441" t="b">
        <v>0</v>
      </c>
    </row>
    <row r="3442">
      <c r="A3442" t="inlineStr">
        <is>
          <t>4 Mar 2026 / 7996 M G Tree Surgery Ltd 1</t>
        </is>
      </c>
      <c r="B3442" t="inlineStr">
        <is>
          <t>Utilities</t>
        </is>
      </c>
      <c r="C3442" t="inlineStr">
        <is>
          <t>UKPN</t>
        </is>
      </c>
      <c r="D3442" t="inlineStr">
        <is>
          <t>KX20 BCE , Tipper , Isuzu , D-Max</t>
        </is>
      </c>
      <c r="E3442" t="inlineStr">
        <is>
          <t>KX20 BCE , Tipper , Isuzu , D-Max</t>
        </is>
      </c>
      <c r="F3442" t="inlineStr">
        <is>
          <t>KX20 BCE , Tipper , Isuzu , D-Max</t>
        </is>
      </c>
      <c r="G3442" t="inlineStr">
        <is>
          <t>Anthony Gale</t>
        </is>
      </c>
      <c r="H3442" t="inlineStr">
        <is>
          <t>Pickup Truck</t>
        </is>
      </c>
      <c r="I3442" t="inlineStr">
        <is>
          <t>Daily/ Weekly Vehicle Inspection</t>
        </is>
      </c>
      <c r="J3442" t="inlineStr">
        <is>
          <t>N/A</t>
        </is>
      </c>
      <c r="K3442" t="inlineStr">
        <is>
          <t>7996 M G Tree Surgery Ltd 1</t>
        </is>
      </c>
      <c r="L3442" t="inlineStr">
        <is>
          <t>04/03/2026 07:54</t>
        </is>
      </c>
      <c r="M3442" t="inlineStr">
        <is>
          <t>None</t>
        </is>
      </c>
      <c r="N3442" t="inlineStr">
        <is>
          <t>&lt;p&gt;&lt;/p&gt;</t>
        </is>
      </c>
      <c r="O3442" t="inlineStr">
        <is>
          <t>Confirm that you have checked this vehicle as per the guidance document and the vehicle is safe and roadworthy:Light board deteriorating.
Safe for now.
Will need replacing soon.
-</t>
        </is>
      </c>
      <c r="P3442" t="inlineStr">
        <is>
          <t>KX20 BCE , Tipper , Isuzu , D-Max</t>
        </is>
      </c>
      <c r="Q3442" t="inlineStr">
        <is>
          <t>UKPN</t>
        </is>
      </c>
      <c r="R3442" t="b">
        <v>0</v>
      </c>
    </row>
    <row r="3443">
      <c r="A3443" t="inlineStr">
        <is>
          <t>4 Mar 2026 / 7996 M G Tree Surgery Ltd 1</t>
        </is>
      </c>
      <c r="B3443" t="inlineStr">
        <is>
          <t>Utilities</t>
        </is>
      </c>
      <c r="C3443" t="inlineStr">
        <is>
          <t>UKPN</t>
        </is>
      </c>
      <c r="D3443" t="inlineStr"/>
      <c r="E3443" t="inlineStr"/>
      <c r="F3443" t="inlineStr"/>
      <c r="G3443" t="inlineStr">
        <is>
          <t>Anthony Gale</t>
        </is>
      </c>
      <c r="H3443" t="inlineStr">
        <is>
          <t>Towed Chipper</t>
        </is>
      </c>
      <c r="I3443" t="inlineStr">
        <is>
          <t>Daily/ Weekly Vehicle Inspection</t>
        </is>
      </c>
      <c r="J3443" t="inlineStr">
        <is>
          <t>N/A</t>
        </is>
      </c>
      <c r="K3443" t="inlineStr">
        <is>
          <t>7996 M G Tree Surgery Ltd 1</t>
        </is>
      </c>
      <c r="L3443" t="inlineStr">
        <is>
          <t>04/03/2026 07:55</t>
        </is>
      </c>
      <c r="M3443" t="inlineStr">
        <is>
          <t>None</t>
        </is>
      </c>
      <c r="N3443" t="inlineStr">
        <is>
          <t>&lt;p&gt;&lt;/p&gt;</t>
        </is>
      </c>
      <c r="O3443" t="inlineStr"/>
      <c r="P3443" t="inlineStr"/>
      <c r="Q3443" t="inlineStr">
        <is>
          <t>UKPN</t>
        </is>
      </c>
      <c r="R3443" t="b">
        <v>0</v>
      </c>
    </row>
    <row r="3444">
      <c r="A3444" t="inlineStr">
        <is>
          <t>4 Mar 2026 / 7186 Eastwoodbury Tree Services Ltd</t>
        </is>
      </c>
      <c r="B3444" t="inlineStr">
        <is>
          <t>Utilities</t>
        </is>
      </c>
      <c r="C3444" t="inlineStr">
        <is>
          <t>UKPN</t>
        </is>
      </c>
      <c r="D3444" t="inlineStr">
        <is>
          <t>WF13 EKT , 4x4 , Land rover  , Defender</t>
        </is>
      </c>
      <c r="E3444" t="inlineStr">
        <is>
          <t>WF13 EKT , 4x4 , Land rover  , Defender</t>
        </is>
      </c>
      <c r="F3444" t="inlineStr">
        <is>
          <t>WF13 EKT , 4x4 , Land rover  , Defender</t>
        </is>
      </c>
      <c r="G3444" t="inlineStr">
        <is>
          <t xml:space="preserve">Dan Gilbert </t>
        </is>
      </c>
      <c r="H3444" t="inlineStr">
        <is>
          <t>4x4</t>
        </is>
      </c>
      <c r="I3444" t="inlineStr">
        <is>
          <t>Daily/ Weekly Vehicle Inspection</t>
        </is>
      </c>
      <c r="J3444" t="inlineStr">
        <is>
          <t>N/A</t>
        </is>
      </c>
      <c r="K3444" t="inlineStr">
        <is>
          <t>7186 Eastwoodbury Tree Services Ltd</t>
        </is>
      </c>
      <c r="L3444" t="inlineStr">
        <is>
          <t>04/03/2026 07:57</t>
        </is>
      </c>
      <c r="M3444" t="inlineStr">
        <is>
          <t>None</t>
        </is>
      </c>
      <c r="N3444" t="inlineStr">
        <is>
          <t>&lt;p&gt;&lt;/p&gt;</t>
        </is>
      </c>
      <c r="O3444" t="inlineStr"/>
      <c r="P3444" t="inlineStr">
        <is>
          <t>WF13 EKT , 4x4 , Land rover  , Defender</t>
        </is>
      </c>
      <c r="Q3444" t="inlineStr">
        <is>
          <t>UKPN</t>
        </is>
      </c>
      <c r="R3444" t="b">
        <v>0</v>
      </c>
    </row>
    <row r="3445">
      <c r="A3445" t="inlineStr">
        <is>
          <t>4 Mar 2026 / 7186 Eastwoodbury Tree Services Ltd</t>
        </is>
      </c>
      <c r="B3445" t="inlineStr">
        <is>
          <t>Utilities</t>
        </is>
      </c>
      <c r="C3445" t="inlineStr">
        <is>
          <t>UKPN</t>
        </is>
      </c>
      <c r="D3445" t="inlineStr">
        <is>
          <t>FX14 XCV , 4x4 , Land Rover  , Defender</t>
        </is>
      </c>
      <c r="E3445" t="inlineStr">
        <is>
          <t>FX14 XCV , 4x4 , Land Rover  , Defender</t>
        </is>
      </c>
      <c r="F3445" t="inlineStr">
        <is>
          <t>FX14 XCV , 4x4 , Land Rover  , Defender</t>
        </is>
      </c>
      <c r="G3445" t="inlineStr">
        <is>
          <t xml:space="preserve">Tom Price </t>
        </is>
      </c>
      <c r="H3445" t="inlineStr">
        <is>
          <t>4x4</t>
        </is>
      </c>
      <c r="I3445" t="inlineStr">
        <is>
          <t>Daily/ Weekly Vehicle Inspection</t>
        </is>
      </c>
      <c r="J3445" t="inlineStr">
        <is>
          <t>N/A</t>
        </is>
      </c>
      <c r="K3445" t="inlineStr">
        <is>
          <t>7186 Eastwoodbury Tree Services Ltd</t>
        </is>
      </c>
      <c r="L3445" t="inlineStr">
        <is>
          <t>04/03/2026 07:58</t>
        </is>
      </c>
      <c r="M3445" t="inlineStr">
        <is>
          <t>None</t>
        </is>
      </c>
      <c r="N3445" t="inlineStr">
        <is>
          <t>&lt;p&gt;&lt;/p&gt;</t>
        </is>
      </c>
      <c r="O3445" t="inlineStr"/>
      <c r="P3445" t="inlineStr">
        <is>
          <t>FX14 XCV , 4x4 , Land Rover  , Defender</t>
        </is>
      </c>
      <c r="Q3445" t="inlineStr">
        <is>
          <t>UKPN</t>
        </is>
      </c>
      <c r="R3445" t="b">
        <v>0</v>
      </c>
    </row>
    <row r="3446">
      <c r="A3446" t="inlineStr">
        <is>
          <t>3 Mar 2026 / 7889 Tree Tech Suffolk Ltd</t>
        </is>
      </c>
      <c r="B3446" t="inlineStr">
        <is>
          <t>Utilities &amp; Inland Waterways</t>
        </is>
      </c>
      <c r="C3446" t="inlineStr">
        <is>
          <t>UKPN</t>
        </is>
      </c>
      <c r="D3446" t="inlineStr">
        <is>
          <t>Tipper - Nissan - Navara - NS02TTS</t>
        </is>
      </c>
      <c r="E3446" t="inlineStr">
        <is>
          <t>Tipper - Nissan - Navara - NS02TTS</t>
        </is>
      </c>
      <c r="F3446" t="inlineStr">
        <is>
          <t>Tipper - Nissan - Navara - NS02TTS</t>
        </is>
      </c>
      <c r="G3446" t="inlineStr">
        <is>
          <t>Danny Appleby</t>
        </is>
      </c>
      <c r="H3446" t="inlineStr">
        <is>
          <t>Tipper</t>
        </is>
      </c>
      <c r="I3446" t="inlineStr">
        <is>
          <t>Daily/ Weekly Vehicle Inspection</t>
        </is>
      </c>
      <c r="J3446" t="inlineStr">
        <is>
          <t>N/A</t>
        </is>
      </c>
      <c r="K3446" t="inlineStr">
        <is>
          <t>7889 Tree Tech Suffolk Ltd</t>
        </is>
      </c>
      <c r="L3446" t="inlineStr">
        <is>
          <t>04/03/2026 08:00</t>
        </is>
      </c>
      <c r="M3446" t="inlineStr">
        <is>
          <t>None</t>
        </is>
      </c>
      <c r="N3446" t="inlineStr">
        <is>
          <t>&lt;p&gt;&lt;/p&gt;</t>
        </is>
      </c>
      <c r="O3446" t="inlineStr">
        <is>
          <t>Select Vehicle:FX11 ZFCConfirm that you have checked this vehicle as per the guidance document and the vehicle is safe and roadworthy:Waiting on replacement Wing mirror due to cracked glass
-</t>
        </is>
      </c>
      <c r="P3446" t="inlineStr">
        <is>
          <t>Tipper - Nissan - Navara - NS02TTS</t>
        </is>
      </c>
      <c r="Q3446" t="inlineStr">
        <is>
          <t>UKPN</t>
        </is>
      </c>
      <c r="R3446" t="b">
        <v>0</v>
      </c>
    </row>
    <row r="3447">
      <c r="A3447" t="inlineStr">
        <is>
          <t>4 Mar 2026 / 7889 Tree Tech Suffolk Ltd</t>
        </is>
      </c>
      <c r="B3447" t="inlineStr">
        <is>
          <t>Utilities &amp; Inland Waterways</t>
        </is>
      </c>
      <c r="C3447" t="inlineStr">
        <is>
          <t>UKPN</t>
        </is>
      </c>
      <c r="D3447" t="inlineStr">
        <is>
          <t>Tipper - Nissan - Navara - NS02TTS</t>
        </is>
      </c>
      <c r="E3447" t="inlineStr">
        <is>
          <t>Tipper - Nissan - Navara - NS02TTS</t>
        </is>
      </c>
      <c r="F3447" t="inlineStr">
        <is>
          <t>Tipper - Nissan - Navara - NS02TTS</t>
        </is>
      </c>
      <c r="G3447" t="inlineStr">
        <is>
          <t>Danny Appleby</t>
        </is>
      </c>
      <c r="H3447" t="inlineStr">
        <is>
          <t>Tipper</t>
        </is>
      </c>
      <c r="I3447" t="inlineStr">
        <is>
          <t>Daily/ Weekly Vehicle Inspection</t>
        </is>
      </c>
      <c r="J3447" t="inlineStr">
        <is>
          <t>N/A</t>
        </is>
      </c>
      <c r="K3447" t="inlineStr">
        <is>
          <t>7889 Tree Tech Suffolk Ltd</t>
        </is>
      </c>
      <c r="L3447" t="inlineStr">
        <is>
          <t>04/03/2026 08:01</t>
        </is>
      </c>
      <c r="M3447" t="inlineStr">
        <is>
          <t>None</t>
        </is>
      </c>
      <c r="N3447" t="inlineStr">
        <is>
          <t>&lt;p&gt;&lt;/p&gt;</t>
        </is>
      </c>
      <c r="O3447" t="inlineStr">
        <is>
          <t>Select Vehicle:FX11 ZFCConfirm that you have checked this vehicle as per the guidance document and the vehicle is safe and roadworthy:Waiting on replacement Wing mirror due to cracked glass
-</t>
        </is>
      </c>
      <c r="P3447" t="inlineStr">
        <is>
          <t>Tipper - Nissan - Navara - NS02TTS</t>
        </is>
      </c>
      <c r="Q3447" t="inlineStr">
        <is>
          <t>UKPN</t>
        </is>
      </c>
      <c r="R3447" t="b">
        <v>0</v>
      </c>
    </row>
    <row r="3448">
      <c r="A3448" t="inlineStr">
        <is>
          <t>4 Mar 2026 / 6617 Ashdown Tree Limited 1</t>
        </is>
      </c>
      <c r="B3448" t="inlineStr">
        <is>
          <t>Utilities</t>
        </is>
      </c>
      <c r="C3448" t="inlineStr">
        <is>
          <t>UKPN</t>
        </is>
      </c>
      <c r="D3448" t="inlineStr">
        <is>
          <t>WG63OJS , 4x4 , Land rover  , defender</t>
        </is>
      </c>
      <c r="E3448" t="inlineStr">
        <is>
          <t>WG63OJS , 4x4 , Land rover  , defender</t>
        </is>
      </c>
      <c r="F3448" t="inlineStr">
        <is>
          <t>WG63OJS , 4x4 , Land rover  , defender</t>
        </is>
      </c>
      <c r="G3448" t="inlineStr">
        <is>
          <t>Dan</t>
        </is>
      </c>
      <c r="H3448" t="inlineStr">
        <is>
          <t>4x4</t>
        </is>
      </c>
      <c r="I3448" t="inlineStr">
        <is>
          <t>Daily/ Weekly Vehicle Inspection</t>
        </is>
      </c>
      <c r="J3448" t="inlineStr">
        <is>
          <t>N/A</t>
        </is>
      </c>
      <c r="K3448" t="inlineStr">
        <is>
          <t>6617 Ashdown Tree Limited - Team 2</t>
        </is>
      </c>
      <c r="L3448" t="inlineStr">
        <is>
          <t>04/03/2026 08:02</t>
        </is>
      </c>
      <c r="M3448" t="inlineStr">
        <is>
          <t>None</t>
        </is>
      </c>
      <c r="N3448" t="inlineStr">
        <is>
          <t>&lt;p&gt;&lt;/p&gt;</t>
        </is>
      </c>
      <c r="O3448" t="inlineStr"/>
      <c r="P3448" t="inlineStr">
        <is>
          <t>WG63OJS , 4x4 , Land rover  , defender</t>
        </is>
      </c>
      <c r="Q3448" t="inlineStr">
        <is>
          <t>UKPN</t>
        </is>
      </c>
      <c r="R3448" t="b">
        <v>0</v>
      </c>
    </row>
    <row r="3449">
      <c r="A3449" t="inlineStr">
        <is>
          <t>4 Mar 2026 / 7806 Optimum Tree Services Ltd</t>
        </is>
      </c>
      <c r="B3449" t="inlineStr">
        <is>
          <t>Utilities</t>
        </is>
      </c>
      <c r="C3449" t="inlineStr">
        <is>
          <t>UKPN</t>
        </is>
      </c>
      <c r="D3449" t="inlineStr">
        <is>
          <t>SA9ST800000283069 , Chipper , Forst , ST 6P</t>
        </is>
      </c>
      <c r="E3449" t="inlineStr">
        <is>
          <t>SA9ST800000283069 , Chipper , Forst , ST 6P</t>
        </is>
      </c>
      <c r="F3449" t="inlineStr">
        <is>
          <t>SA9ST800000283069 , Chipper , Forst , ST 6P</t>
        </is>
      </c>
      <c r="G3449" t="inlineStr">
        <is>
          <t xml:space="preserve">Abraham Davies </t>
        </is>
      </c>
      <c r="H3449" t="inlineStr">
        <is>
          <t>Towed Chipper</t>
        </is>
      </c>
      <c r="I3449" t="inlineStr">
        <is>
          <t>Daily/ Weekly Vehicle Inspection</t>
        </is>
      </c>
      <c r="J3449" t="inlineStr">
        <is>
          <t>N/A</t>
        </is>
      </c>
      <c r="K3449" t="inlineStr">
        <is>
          <t>7806 Optimum Tree Services Ltd</t>
        </is>
      </c>
      <c r="L3449" t="inlineStr">
        <is>
          <t>04/03/2026 08:46</t>
        </is>
      </c>
      <c r="M3449" t="inlineStr">
        <is>
          <t>None</t>
        </is>
      </c>
      <c r="N3449" t="inlineStr">
        <is>
          <t>&lt;p&gt;&lt;/p&gt;</t>
        </is>
      </c>
      <c r="O3449" t="inlineStr"/>
      <c r="P3449" t="inlineStr">
        <is>
          <t>SA9ST800000283069 , Chipper , Forst , ST 6P</t>
        </is>
      </c>
      <c r="Q3449" t="inlineStr">
        <is>
          <t>UKPN</t>
        </is>
      </c>
      <c r="R3449" t="b">
        <v>0</v>
      </c>
    </row>
    <row r="3450">
      <c r="A3450" t="inlineStr">
        <is>
          <t>4 Mar 2026 / 7535 HJ Tree Surgeons Limited</t>
        </is>
      </c>
      <c r="B3450" t="inlineStr">
        <is>
          <t>Utilities</t>
        </is>
      </c>
      <c r="C3450" t="inlineStr">
        <is>
          <t>SSE</t>
        </is>
      </c>
      <c r="D3450" t="inlineStr">
        <is>
          <t>S6 NWX , MEWP , Isuzu , D-Max</t>
        </is>
      </c>
      <c r="E3450" t="inlineStr">
        <is>
          <t>S6 NWX , MEWP , Isuzu , D-Max</t>
        </is>
      </c>
      <c r="F3450" t="inlineStr">
        <is>
          <t>S6 NWX , MEWP , Isuzu , D-Max</t>
        </is>
      </c>
      <c r="G3450" t="inlineStr">
        <is>
          <t>Cory Joy</t>
        </is>
      </c>
      <c r="H3450" t="inlineStr">
        <is>
          <t>Van</t>
        </is>
      </c>
      <c r="I3450" t="inlineStr">
        <is>
          <t>Daily/ Weekly Vehicle Inspection</t>
        </is>
      </c>
      <c r="J3450" t="inlineStr">
        <is>
          <t>N/A</t>
        </is>
      </c>
      <c r="K3450" t="inlineStr">
        <is>
          <t>7535 HJ Tree Surgeons Limited</t>
        </is>
      </c>
      <c r="L3450" t="inlineStr">
        <is>
          <t>04/03/2026 11:42</t>
        </is>
      </c>
      <c r="M3450" t="inlineStr">
        <is>
          <t>None</t>
        </is>
      </c>
      <c r="N3450" t="inlineStr">
        <is>
          <t>&lt;p&gt;&lt;/p&gt;</t>
        </is>
      </c>
      <c r="O3450" t="inlineStr"/>
      <c r="P3450" t="inlineStr">
        <is>
          <t>S6 NWX , MEWP , Isuzu , D-Max</t>
        </is>
      </c>
      <c r="Q3450" t="inlineStr">
        <is>
          <t>SSE</t>
        </is>
      </c>
      <c r="R3450" t="b">
        <v>0</v>
      </c>
    </row>
    <row r="3451">
      <c r="A3451" t="inlineStr">
        <is>
          <t>4 Mar 2026 / 7535 HJ Tree Services</t>
        </is>
      </c>
      <c r="B3451" t="inlineStr">
        <is>
          <t>Utilities</t>
        </is>
      </c>
      <c r="C3451" t="inlineStr">
        <is>
          <t>SSE</t>
        </is>
      </c>
      <c r="D3451" t="inlineStr">
        <is>
          <t>Bh19vxz , 4x4 , Ford , Ranger</t>
        </is>
      </c>
      <c r="E3451" t="inlineStr">
        <is>
          <t>Bh19vxz , 4x4 , Ford , Ranger</t>
        </is>
      </c>
      <c r="F3451" t="inlineStr">
        <is>
          <t>Bh19vxz , 4x4 , Ford , Ranger</t>
        </is>
      </c>
      <c r="G3451" t="inlineStr">
        <is>
          <t xml:space="preserve">Harvey joy </t>
        </is>
      </c>
      <c r="H3451" t="inlineStr">
        <is>
          <t>4x4</t>
        </is>
      </c>
      <c r="I3451" t="inlineStr">
        <is>
          <t>Daily/ Weekly Vehicle Inspection</t>
        </is>
      </c>
      <c r="J3451" t="inlineStr">
        <is>
          <t>N/A</t>
        </is>
      </c>
      <c r="K3451" t="inlineStr">
        <is>
          <t>7535 HJ Tree Surgeons Limited</t>
        </is>
      </c>
      <c r="L3451" t="inlineStr">
        <is>
          <t>04/03/2026 11:45</t>
        </is>
      </c>
      <c r="M3451" t="inlineStr">
        <is>
          <t>None</t>
        </is>
      </c>
      <c r="N3451" t="inlineStr">
        <is>
          <t>&lt;p&gt;&lt;/p&gt;</t>
        </is>
      </c>
      <c r="O3451" t="inlineStr"/>
      <c r="P3451" t="inlineStr">
        <is>
          <t>Bh19vxz , 4x4 , Ford , Ranger</t>
        </is>
      </c>
      <c r="Q3451" t="inlineStr">
        <is>
          <t>SSE</t>
        </is>
      </c>
      <c r="R3451" t="b">
        <v>0</v>
      </c>
    </row>
    <row r="3452">
      <c r="A3452" t="inlineStr">
        <is>
          <t>4 Mar 2026 / 7996 M G Tree Surgery Ltd 1</t>
        </is>
      </c>
      <c r="B3452" t="inlineStr">
        <is>
          <t>Utilities</t>
        </is>
      </c>
      <c r="C3452" t="inlineStr">
        <is>
          <t>UKPN</t>
        </is>
      </c>
      <c r="D3452" t="inlineStr">
        <is>
          <t>KX20 BCE , Tipper , Isuzu , D-Max</t>
        </is>
      </c>
      <c r="E3452" t="inlineStr">
        <is>
          <t>KX20 BCE , Tipper , Isuzu , D-Max</t>
        </is>
      </c>
      <c r="F3452" t="inlineStr">
        <is>
          <t>KX20 BCE , Tipper , Isuzu , D-Max</t>
        </is>
      </c>
      <c r="G3452" t="inlineStr">
        <is>
          <t>Anthony Gale</t>
        </is>
      </c>
      <c r="H3452" t="inlineStr">
        <is>
          <t>Pickup Truck</t>
        </is>
      </c>
      <c r="I3452" t="inlineStr">
        <is>
          <t>Daily/ Weekly Vehicle Inspection</t>
        </is>
      </c>
      <c r="J3452" t="inlineStr">
        <is>
          <t>N/A</t>
        </is>
      </c>
      <c r="K3452" t="inlineStr">
        <is>
          <t>7996 M G Tree Surgery Ltd 1</t>
        </is>
      </c>
      <c r="L3452" t="inlineStr">
        <is>
          <t>04/03/2026 12:45</t>
        </is>
      </c>
      <c r="M3452" t="inlineStr">
        <is>
          <t>None</t>
        </is>
      </c>
      <c r="N3452" t="inlineStr">
        <is>
          <t>&lt;p&gt;&lt;/p&gt;</t>
        </is>
      </c>
      <c r="O3452" t="inlineStr">
        <is>
          <t>Confirm that you have checked this vehicle as per the guidance document and the vehicle is safe and roadworthy:Light board deteriorating.
Safe for now.
Will need replacing soon.
-</t>
        </is>
      </c>
      <c r="P3452" t="inlineStr">
        <is>
          <t>KX20 BCE , Tipper , Isuzu , D-Max</t>
        </is>
      </c>
      <c r="Q3452" t="inlineStr">
        <is>
          <t>UKPN</t>
        </is>
      </c>
      <c r="R3452" t="b">
        <v>0</v>
      </c>
    </row>
    <row r="3453">
      <c r="A3453" t="inlineStr">
        <is>
          <t>4 Mar 2026 / Steve Broad</t>
        </is>
      </c>
      <c r="B3453" t="inlineStr">
        <is>
          <t>Utilities</t>
        </is>
      </c>
      <c r="C3453" t="inlineStr">
        <is>
          <t>NGED</t>
        </is>
      </c>
      <c r="D3453" t="inlineStr"/>
      <c r="E3453" t="inlineStr"/>
      <c r="F3453" t="inlineStr"/>
      <c r="G3453" t="inlineStr">
        <is>
          <t>Steve Broad</t>
        </is>
      </c>
      <c r="H3453" t="inlineStr">
        <is>
          <t>Van</t>
        </is>
      </c>
      <c r="I3453" t="inlineStr">
        <is>
          <t>Daily/ Weekly Vehicle Inspection</t>
        </is>
      </c>
      <c r="J3453" t="inlineStr">
        <is>
          <t>N/A</t>
        </is>
      </c>
      <c r="K3453" t="inlineStr">
        <is>
          <t>Steve Broad</t>
        </is>
      </c>
      <c r="L3453" t="inlineStr">
        <is>
          <t>04/03/2026 12:48</t>
        </is>
      </c>
      <c r="M3453" t="inlineStr">
        <is>
          <t>None</t>
        </is>
      </c>
      <c r="N3453" t="inlineStr">
        <is>
          <t>&lt;p&gt;&lt;/p&gt;</t>
        </is>
      </c>
      <c r="O3453" t="inlineStr"/>
      <c r="P3453" t="inlineStr"/>
      <c r="Q3453" t="inlineStr">
        <is>
          <t>NGED</t>
        </is>
      </c>
      <c r="R3453" t="b">
        <v>0</v>
      </c>
    </row>
    <row r="3454">
      <c r="A3454" t="inlineStr">
        <is>
          <t>3 Mar 2026 / Jake Bolwell</t>
        </is>
      </c>
      <c r="B3454" t="inlineStr">
        <is>
          <t>Utilities</t>
        </is>
      </c>
      <c r="C3454" t="inlineStr">
        <is>
          <t>SSE</t>
        </is>
      </c>
      <c r="D3454" t="inlineStr">
        <is>
          <t>AK23YLP , Car - Electric , Tesla , Model Y Long Range</t>
        </is>
      </c>
      <c r="E3454" t="inlineStr">
        <is>
          <t>AK23YLP , Car - Electric , Tesla , Model Y Long Range</t>
        </is>
      </c>
      <c r="F3454" t="inlineStr">
        <is>
          <t>AK23YLP , Car - Electric , Tesla , Model Y Long Range</t>
        </is>
      </c>
      <c r="G3454" t="inlineStr">
        <is>
          <t>Jake Bolwell</t>
        </is>
      </c>
      <c r="H3454" t="inlineStr">
        <is>
          <t>Car - Electric (GC Owned)</t>
        </is>
      </c>
      <c r="I3454" t="inlineStr">
        <is>
          <t>Daily/ Weekly Vehicle Inspection</t>
        </is>
      </c>
      <c r="J3454" t="inlineStr">
        <is>
          <t>N/A</t>
        </is>
      </c>
      <c r="K3454" t="inlineStr">
        <is>
          <t>Jake Bolwell</t>
        </is>
      </c>
      <c r="L3454" t="inlineStr">
        <is>
          <t>04/03/2026 13:33</t>
        </is>
      </c>
      <c r="M3454" t="inlineStr">
        <is>
          <t>None</t>
        </is>
      </c>
      <c r="N3454" t="inlineStr">
        <is>
          <t>&lt;p&gt;&lt;/p&gt;</t>
        </is>
      </c>
      <c r="O3454" t="inlineStr"/>
      <c r="P3454" t="inlineStr">
        <is>
          <t>AK23YLP , Car - Electric , Tesla , Model Y Long Range</t>
        </is>
      </c>
      <c r="Q3454" t="inlineStr">
        <is>
          <t>SSE</t>
        </is>
      </c>
      <c r="R3454" t="b">
        <v>0</v>
      </c>
    </row>
    <row r="3455">
      <c r="A3455" t="inlineStr">
        <is>
          <t>4 Mar 2026 / Ashley Hill</t>
        </is>
      </c>
      <c r="B3455" t="inlineStr">
        <is>
          <t>Utilities</t>
        </is>
      </c>
      <c r="C3455" t="inlineStr">
        <is>
          <t>NGED</t>
        </is>
      </c>
      <c r="D3455" t="inlineStr"/>
      <c r="E3455" t="inlineStr"/>
      <c r="F3455" t="inlineStr"/>
      <c r="G3455" t="inlineStr">
        <is>
          <t>Ashley Hill</t>
        </is>
      </c>
      <c r="H3455" t="inlineStr">
        <is>
          <t>Car - Petrol</t>
        </is>
      </c>
      <c r="I3455" t="inlineStr">
        <is>
          <t>Daily/ Weekly Vehicle Inspection</t>
        </is>
      </c>
      <c r="J3455" t="inlineStr">
        <is>
          <t>N/A</t>
        </is>
      </c>
      <c r="K3455" t="inlineStr">
        <is>
          <t>Ashley Hill</t>
        </is>
      </c>
      <c r="L3455" t="inlineStr">
        <is>
          <t>04/03/2026 13:42</t>
        </is>
      </c>
      <c r="M3455" t="inlineStr">
        <is>
          <t>None</t>
        </is>
      </c>
      <c r="N3455" t="inlineStr">
        <is>
          <t>&lt;p&gt;&lt;/p&gt;</t>
        </is>
      </c>
      <c r="O3455" t="inlineStr"/>
      <c r="P3455" t="inlineStr"/>
      <c r="Q3455" t="inlineStr">
        <is>
          <t>NGED</t>
        </is>
      </c>
      <c r="R3455" t="b">
        <v>0</v>
      </c>
    </row>
    <row r="3456">
      <c r="A3456" t="inlineStr">
        <is>
          <t>4 Mar 2026 / Benet Jones</t>
        </is>
      </c>
      <c r="B3456" t="inlineStr">
        <is>
          <t>Utilities</t>
        </is>
      </c>
      <c r="C3456" t="inlineStr">
        <is>
          <t>NGED</t>
        </is>
      </c>
      <c r="D3456" t="inlineStr"/>
      <c r="E3456" t="inlineStr"/>
      <c r="F3456" t="inlineStr"/>
      <c r="G3456" t="inlineStr">
        <is>
          <t xml:space="preserve">Benet Jones </t>
        </is>
      </c>
      <c r="H3456" t="inlineStr">
        <is>
          <t>Car - Petrol</t>
        </is>
      </c>
      <c r="I3456" t="inlineStr">
        <is>
          <t>Daily/ Weekly Vehicle Inspection</t>
        </is>
      </c>
      <c r="J3456" t="inlineStr">
        <is>
          <t>N/A</t>
        </is>
      </c>
      <c r="K3456" t="inlineStr">
        <is>
          <t>Benet Jones</t>
        </is>
      </c>
      <c r="L3456" t="inlineStr">
        <is>
          <t>04/03/2026 15:43</t>
        </is>
      </c>
      <c r="M3456" t="inlineStr">
        <is>
          <t>None</t>
        </is>
      </c>
      <c r="N3456" t="inlineStr">
        <is>
          <t>&lt;p&gt;&lt;/p&gt;</t>
        </is>
      </c>
      <c r="O3456" t="inlineStr">
        <is>
          <t>Confirm that you have checked this vehicle as per the guidance document and the vehicle is safe and roadworthy:Car checked and fully serviceable
-</t>
        </is>
      </c>
      <c r="P3456" t="inlineStr"/>
      <c r="Q3456" t="inlineStr">
        <is>
          <t>NGED</t>
        </is>
      </c>
      <c r="R3456" t="b">
        <v>0</v>
      </c>
    </row>
    <row r="3457">
      <c r="A3457" t="inlineStr">
        <is>
          <t>4 Mar 2026 / Joseph Pallot</t>
        </is>
      </c>
      <c r="B3457" t="inlineStr">
        <is>
          <t>Utilities</t>
        </is>
      </c>
      <c r="C3457" t="inlineStr">
        <is>
          <t>NGED</t>
        </is>
      </c>
      <c r="D3457" t="inlineStr">
        <is>
          <t>AK70VYS , Car - Electric , Tesla  , Model 3</t>
        </is>
      </c>
      <c r="E3457" t="inlineStr">
        <is>
          <t>AK70VYS , Car - Electric , Tesla  , Model 3</t>
        </is>
      </c>
      <c r="F3457" t="inlineStr">
        <is>
          <t>AK70VYS , Car - Electric , Tesla  , Model 3</t>
        </is>
      </c>
      <c r="G3457" t="inlineStr">
        <is>
          <t>Joseph Pallot</t>
        </is>
      </c>
      <c r="H3457" t="inlineStr">
        <is>
          <t>Car - Electric (GC Owned)</t>
        </is>
      </c>
      <c r="I3457" t="inlineStr">
        <is>
          <t>Daily/ Weekly Vehicle Inspection</t>
        </is>
      </c>
      <c r="J3457" t="inlineStr">
        <is>
          <t>N/A</t>
        </is>
      </c>
      <c r="K3457" t="inlineStr">
        <is>
          <t>Joseph Pallot</t>
        </is>
      </c>
      <c r="L3457" t="inlineStr">
        <is>
          <t>04/03/2026 15:44</t>
        </is>
      </c>
      <c r="M3457" t="inlineStr">
        <is>
          <t>None</t>
        </is>
      </c>
      <c r="N3457" t="inlineStr">
        <is>
          <t>&lt;p&gt;&lt;/p&gt;</t>
        </is>
      </c>
      <c r="O3457" t="inlineStr"/>
      <c r="P3457" t="inlineStr">
        <is>
          <t>AK70VYS , Car - Electric , Tesla  , Model 3</t>
        </is>
      </c>
      <c r="Q3457" t="inlineStr">
        <is>
          <t>NGED</t>
        </is>
      </c>
      <c r="R3457" t="b">
        <v>0</v>
      </c>
    </row>
    <row r="3458">
      <c r="A3458" t="inlineStr">
        <is>
          <t>4 Mar 2026 / Mike Corran</t>
        </is>
      </c>
      <c r="B3458" t="inlineStr">
        <is>
          <t>Utilities</t>
        </is>
      </c>
      <c r="C3458" t="inlineStr">
        <is>
          <t>NGED</t>
        </is>
      </c>
      <c r="D3458" t="inlineStr">
        <is>
          <t>AJ72EWN , Car - Electric , Tesla , Y</t>
        </is>
      </c>
      <c r="E3458" t="inlineStr">
        <is>
          <t>AJ72EWN , Car - Electric , Tesla , Y</t>
        </is>
      </c>
      <c r="F3458" t="inlineStr">
        <is>
          <t>AJ72EWN , Car - Electric , Tesla , Y</t>
        </is>
      </c>
      <c r="G3458" t="inlineStr">
        <is>
          <t>Mike corran</t>
        </is>
      </c>
      <c r="H3458" t="inlineStr">
        <is>
          <t>Car - Electric (GC Owned)</t>
        </is>
      </c>
      <c r="I3458" t="inlineStr">
        <is>
          <t>Daily/ Weekly Vehicle Inspection</t>
        </is>
      </c>
      <c r="J3458" t="inlineStr">
        <is>
          <t>N/A</t>
        </is>
      </c>
      <c r="K3458" t="inlineStr">
        <is>
          <t>Mike Corran</t>
        </is>
      </c>
      <c r="L3458" t="inlineStr">
        <is>
          <t>04/03/2026 16:44</t>
        </is>
      </c>
      <c r="M3458" t="inlineStr">
        <is>
          <t>None</t>
        </is>
      </c>
      <c r="N3458" t="inlineStr">
        <is>
          <t>&lt;p&gt;&lt;/p&gt;</t>
        </is>
      </c>
      <c r="O3458" t="inlineStr"/>
      <c r="P3458" t="inlineStr">
        <is>
          <t>AJ72EWN , Car - Electric , Tesla , Y</t>
        </is>
      </c>
      <c r="Q3458" t="inlineStr">
        <is>
          <t>NGED</t>
        </is>
      </c>
      <c r="R3458" t="b">
        <v>0</v>
      </c>
    </row>
    <row r="3459">
      <c r="A3459" t="inlineStr">
        <is>
          <t>5 Mar 2026 / 7800 MAC Tree Surgery and Fencing Ltd</t>
        </is>
      </c>
      <c r="B3459" t="inlineStr">
        <is>
          <t>Utilities</t>
        </is>
      </c>
      <c r="C3459" t="inlineStr">
        <is>
          <t>UKPN</t>
        </is>
      </c>
      <c r="D3459" t="inlineStr">
        <is>
          <t>FG16LNT , Tipper , Ford transit  , Transit tipper</t>
        </is>
      </c>
      <c r="E3459" t="inlineStr">
        <is>
          <t>FG16LNT , Tipper , Ford transit  , Transit tipper</t>
        </is>
      </c>
      <c r="F3459" t="inlineStr">
        <is>
          <t>FG16LNT , Tipper , Ford transit  , Transit tipper</t>
        </is>
      </c>
      <c r="G3459" t="inlineStr">
        <is>
          <t>Patrick</t>
        </is>
      </c>
      <c r="H3459" t="inlineStr">
        <is>
          <t>Tipper</t>
        </is>
      </c>
      <c r="I3459" t="inlineStr">
        <is>
          <t>Daily/ Weekly Vehicle Inspection</t>
        </is>
      </c>
      <c r="J3459" t="inlineStr">
        <is>
          <t>N/A</t>
        </is>
      </c>
      <c r="K3459" t="inlineStr">
        <is>
          <t>7800 MAC Tree Surgery and Fencing Ltd</t>
        </is>
      </c>
      <c r="L3459" t="inlineStr">
        <is>
          <t>05/03/2026 06:45</t>
        </is>
      </c>
      <c r="M3459" t="inlineStr">
        <is>
          <t>None</t>
        </is>
      </c>
      <c r="N3459" t="inlineStr">
        <is>
          <t>&lt;p&gt;&lt;/p&gt;</t>
        </is>
      </c>
      <c r="O3459" t="inlineStr"/>
      <c r="P3459" t="inlineStr">
        <is>
          <t>FG16LNT , Tipper , Ford transit  , Transit tipper</t>
        </is>
      </c>
      <c r="Q3459" t="inlineStr">
        <is>
          <t>UKPN</t>
        </is>
      </c>
      <c r="R3459" t="b">
        <v>0</v>
      </c>
    </row>
    <row r="3460">
      <c r="A3460" t="inlineStr">
        <is>
          <t>5 Mar 2026 / 7800 MAC Tree Surgery and Fencing Ltd / Utilities / UKPN</t>
        </is>
      </c>
      <c r="B3460" t="inlineStr">
        <is>
          <t>Utilities</t>
        </is>
      </c>
      <c r="C3460" t="inlineStr">
        <is>
          <t>UKPN</t>
        </is>
      </c>
      <c r="D3460" t="inlineStr">
        <is>
          <t>AY68DAA , 4x4 , Izuzu , Dmax</t>
        </is>
      </c>
      <c r="E3460" t="inlineStr">
        <is>
          <t>AY68DAA , 4x4 , Izuzu , Dmax</t>
        </is>
      </c>
      <c r="F3460" t="inlineStr">
        <is>
          <t>AY68DAA , 4x4 , Izuzu , Dmax</t>
        </is>
      </c>
      <c r="G3460" t="inlineStr">
        <is>
          <t xml:space="preserve">Patrick O'Shea </t>
        </is>
      </c>
      <c r="H3460" t="inlineStr">
        <is>
          <t>4x4</t>
        </is>
      </c>
      <c r="I3460" t="inlineStr">
        <is>
          <t>Daily/ Weekly Vehicle Inspection</t>
        </is>
      </c>
      <c r="J3460" t="inlineStr">
        <is>
          <t>N/A</t>
        </is>
      </c>
      <c r="K3460" t="inlineStr">
        <is>
          <t>7800 MAC Tree Surgery and Fencing Ltd</t>
        </is>
      </c>
      <c r="L3460" t="inlineStr">
        <is>
          <t>05/03/2026 06:50</t>
        </is>
      </c>
      <c r="M3460" t="inlineStr">
        <is>
          <t>None</t>
        </is>
      </c>
      <c r="N3460" t="inlineStr">
        <is>
          <t>&lt;p&gt;&lt;/p&gt;</t>
        </is>
      </c>
      <c r="O3460" t="inlineStr"/>
      <c r="P3460" t="inlineStr">
        <is>
          <t>AY68DAA , 4x4 , Izuzu , Dmax</t>
        </is>
      </c>
      <c r="Q3460" t="inlineStr">
        <is>
          <t>UKPN</t>
        </is>
      </c>
      <c r="R3460" t="b">
        <v>0</v>
      </c>
    </row>
    <row r="3461">
      <c r="A3461" t="inlineStr">
        <is>
          <t>5 Mar 2026 / 7951 Austin Tree Care LTD 1</t>
        </is>
      </c>
      <c r="B3461" t="inlineStr">
        <is>
          <t>Utilities</t>
        </is>
      </c>
      <c r="C3461" t="inlineStr">
        <is>
          <t>UKPN</t>
        </is>
      </c>
      <c r="D3461" t="inlineStr">
        <is>
          <t>WG64HTT , 4x4 , Land Rover , Defender 110</t>
        </is>
      </c>
      <c r="E3461" t="inlineStr">
        <is>
          <t>WG64HTT , 4x4 , Land Rover , Defender 110</t>
        </is>
      </c>
      <c r="F3461" t="inlineStr">
        <is>
          <t>WG64HTT , 4x4 , Land Rover , Defender 110</t>
        </is>
      </c>
      <c r="G3461" t="inlineStr">
        <is>
          <t xml:space="preserve">James Tasker </t>
        </is>
      </c>
      <c r="H3461" t="inlineStr">
        <is>
          <t>Towed Chipper</t>
        </is>
      </c>
      <c r="I3461" t="inlineStr">
        <is>
          <t>Daily/ Weekly Vehicle Inspection</t>
        </is>
      </c>
      <c r="J3461" t="inlineStr">
        <is>
          <t>N/A</t>
        </is>
      </c>
      <c r="K3461" t="inlineStr">
        <is>
          <t>7951 Austin Tree Care LTD 1</t>
        </is>
      </c>
      <c r="L3461" t="inlineStr">
        <is>
          <t>05/03/2026 07:45</t>
        </is>
      </c>
      <c r="M3461" t="inlineStr">
        <is>
          <t>None</t>
        </is>
      </c>
      <c r="N3461" t="inlineStr">
        <is>
          <t>&lt;p&gt;&lt;/p&gt;</t>
        </is>
      </c>
      <c r="O3461" t="inlineStr"/>
      <c r="P3461" t="inlineStr">
        <is>
          <t>WG64HTT , 4x4 , Land Rover , Defender 110</t>
        </is>
      </c>
      <c r="Q3461" t="inlineStr">
        <is>
          <t>UKPN</t>
        </is>
      </c>
      <c r="R3461" t="b">
        <v>0</v>
      </c>
    </row>
    <row r="3462">
      <c r="A3462" t="inlineStr">
        <is>
          <t>5 Mar 2026 / Thomas Playford</t>
        </is>
      </c>
      <c r="B3462" t="inlineStr">
        <is>
          <t>Utilities</t>
        </is>
      </c>
      <c r="C3462" t="inlineStr">
        <is>
          <t>UKPN</t>
        </is>
      </c>
      <c r="D3462" t="inlineStr">
        <is>
          <t>SA9ST800000283944 , Towed Chipper , Forst , ST8D - Towed</t>
        </is>
      </c>
      <c r="E3462" t="inlineStr">
        <is>
          <t>SA9ST800000283944 , Towed Chipper , Forst , ST8D - Towed</t>
        </is>
      </c>
      <c r="F3462" t="inlineStr">
        <is>
          <t>SA9ST800000283944 , Towed Chipper , Forst , ST8D - Towed</t>
        </is>
      </c>
      <c r="G3462" t="inlineStr">
        <is>
          <t>Thomas Playford</t>
        </is>
      </c>
      <c r="H3462" t="inlineStr">
        <is>
          <t>Towed Chipper</t>
        </is>
      </c>
      <c r="I3462" t="inlineStr">
        <is>
          <t>Daily/ Weekly Vehicle Inspection</t>
        </is>
      </c>
      <c r="J3462" t="inlineStr">
        <is>
          <t>N/A</t>
        </is>
      </c>
      <c r="K3462" t="inlineStr">
        <is>
          <t>7995 Green Net Eco Ltd 2</t>
        </is>
      </c>
      <c r="L3462" t="inlineStr">
        <is>
          <t>05/03/2026 07:46</t>
        </is>
      </c>
      <c r="M3462" t="inlineStr">
        <is>
          <t>None</t>
        </is>
      </c>
      <c r="N3462" t="inlineStr">
        <is>
          <t>&lt;p&gt;&lt;/p&gt;</t>
        </is>
      </c>
      <c r="O3462" t="inlineStr"/>
      <c r="P3462" t="inlineStr">
        <is>
          <t>SA9ST800000283944 , Towed Chipper , Forst , ST8D - Towed</t>
        </is>
      </c>
      <c r="Q3462" t="inlineStr">
        <is>
          <t>UKPN</t>
        </is>
      </c>
      <c r="R3462" t="b">
        <v>0</v>
      </c>
    </row>
    <row r="3463">
      <c r="A3463" t="inlineStr">
        <is>
          <t>5 Mar 2026 / Thomas Playford</t>
        </is>
      </c>
      <c r="B3463" t="inlineStr">
        <is>
          <t>Utilities</t>
        </is>
      </c>
      <c r="C3463" t="inlineStr">
        <is>
          <t>UKPN</t>
        </is>
      </c>
      <c r="D3463" t="inlineStr">
        <is>
          <t>LK15KRZ , 4x4 , Landrover , Defender</t>
        </is>
      </c>
      <c r="E3463" t="inlineStr">
        <is>
          <t>LK15KRZ , 4x4 , Landrover , Defender</t>
        </is>
      </c>
      <c r="F3463" t="inlineStr">
        <is>
          <t>LK15KRZ , 4x4 , Landrover , Defender</t>
        </is>
      </c>
      <c r="G3463" t="inlineStr">
        <is>
          <t>Thomas Playford</t>
        </is>
      </c>
      <c r="H3463" t="inlineStr">
        <is>
          <t>4x4</t>
        </is>
      </c>
      <c r="I3463" t="inlineStr">
        <is>
          <t>Daily/ Weekly Vehicle Inspection</t>
        </is>
      </c>
      <c r="J3463" t="inlineStr">
        <is>
          <t>N/A</t>
        </is>
      </c>
      <c r="K3463" t="inlineStr">
        <is>
          <t>7995 Green Net Eco Ltd 2</t>
        </is>
      </c>
      <c r="L3463" t="inlineStr">
        <is>
          <t>05/03/2026 07:48</t>
        </is>
      </c>
      <c r="M3463" t="inlineStr">
        <is>
          <t>None</t>
        </is>
      </c>
      <c r="N3463" t="inlineStr">
        <is>
          <t>&lt;p&gt;&lt;/p&gt;</t>
        </is>
      </c>
      <c r="O3463" t="inlineStr"/>
      <c r="P3463" t="inlineStr">
        <is>
          <t>LK15KRZ , 4x4 , Landrover , Defender</t>
        </is>
      </c>
      <c r="Q3463" t="inlineStr">
        <is>
          <t>UKPN</t>
        </is>
      </c>
      <c r="R3463" t="b">
        <v>0</v>
      </c>
    </row>
    <row r="3464">
      <c r="A3464" t="inlineStr">
        <is>
          <t>5 Mar 2026 / 7951 Austin Tree Care LTD 1</t>
        </is>
      </c>
      <c r="B3464" t="inlineStr">
        <is>
          <t>Utilities</t>
        </is>
      </c>
      <c r="C3464" t="inlineStr">
        <is>
          <t>UKPN</t>
        </is>
      </c>
      <c r="D3464" t="inlineStr">
        <is>
          <t>WG64HTT , 4x4 , Land Rover , Defender 110</t>
        </is>
      </c>
      <c r="E3464" t="inlineStr">
        <is>
          <t>WG64HTT , 4x4 , Land Rover , Defender 110</t>
        </is>
      </c>
      <c r="F3464" t="inlineStr">
        <is>
          <t>WG64HTT , 4x4 , Land Rover , Defender 110</t>
        </is>
      </c>
      <c r="G3464" t="inlineStr">
        <is>
          <t xml:space="preserve">James Tasker </t>
        </is>
      </c>
      <c r="H3464" t="inlineStr">
        <is>
          <t>4x4</t>
        </is>
      </c>
      <c r="I3464" t="inlineStr">
        <is>
          <t>Daily/ Weekly Vehicle Inspection</t>
        </is>
      </c>
      <c r="J3464" t="inlineStr">
        <is>
          <t>N/A</t>
        </is>
      </c>
      <c r="K3464" t="inlineStr">
        <is>
          <t>7951 Austin Tree Care LTD 1</t>
        </is>
      </c>
      <c r="L3464" t="inlineStr">
        <is>
          <t>05/03/2026 07:53</t>
        </is>
      </c>
      <c r="M3464" t="inlineStr">
        <is>
          <t>None</t>
        </is>
      </c>
      <c r="N3464" t="inlineStr">
        <is>
          <t>&lt;p&gt;&lt;/p&gt;</t>
        </is>
      </c>
      <c r="O3464" t="inlineStr"/>
      <c r="P3464" t="inlineStr">
        <is>
          <t>WG64HTT , 4x4 , Land Rover , Defender 110</t>
        </is>
      </c>
      <c r="Q3464" t="inlineStr">
        <is>
          <t>UKPN</t>
        </is>
      </c>
      <c r="R3464" t="b">
        <v>0</v>
      </c>
    </row>
    <row r="3465">
      <c r="A3465" t="inlineStr">
        <is>
          <t>5 Mar 2026 / 8040 S6 Tree specialists Ltd</t>
        </is>
      </c>
      <c r="B3465" t="inlineStr">
        <is>
          <t>Utilities</t>
        </is>
      </c>
      <c r="C3465" t="inlineStr">
        <is>
          <t>UKPN</t>
        </is>
      </c>
      <c r="D3465" t="inlineStr">
        <is>
          <t>Cu59myy  , 4x4 , Landrover  , Discovery 4</t>
        </is>
      </c>
      <c r="E3465" t="inlineStr">
        <is>
          <t>Cu59myy  , 4x4 , Landrover  , Discovery 4</t>
        </is>
      </c>
      <c r="F3465" t="inlineStr">
        <is>
          <t>Cu59myy  , 4x4 , Landrover  , Discovery 4</t>
        </is>
      </c>
      <c r="G3465" t="inlineStr">
        <is>
          <t>Luke lane</t>
        </is>
      </c>
      <c r="H3465" t="inlineStr">
        <is>
          <t>4x4</t>
        </is>
      </c>
      <c r="I3465" t="inlineStr">
        <is>
          <t>Daily/ Weekly Vehicle Inspection</t>
        </is>
      </c>
      <c r="J3465" t="inlineStr">
        <is>
          <t>N/A</t>
        </is>
      </c>
      <c r="K3465" t="inlineStr">
        <is>
          <t>8040 S6 Tree specialists Ltd</t>
        </is>
      </c>
      <c r="L3465" t="inlineStr">
        <is>
          <t>05/03/2026 08:10</t>
        </is>
      </c>
      <c r="M3465" t="inlineStr">
        <is>
          <t>None</t>
        </is>
      </c>
      <c r="N3465" t="inlineStr">
        <is>
          <t>&lt;p&gt;&lt;/p&gt;</t>
        </is>
      </c>
      <c r="O3465" t="inlineStr"/>
      <c r="P3465" t="inlineStr">
        <is>
          <t>Cu59myy  , 4x4 , Landrover  , Discovery 4</t>
        </is>
      </c>
      <c r="Q3465" t="inlineStr">
        <is>
          <t>UKPN</t>
        </is>
      </c>
      <c r="R3465" t="b">
        <v>0</v>
      </c>
    </row>
    <row r="3466">
      <c r="A3466" t="inlineStr">
        <is>
          <t>5 Mar 2026 / 7806 Optimum Tree Services Ltd</t>
        </is>
      </c>
      <c r="B3466" t="inlineStr">
        <is>
          <t>Utilities</t>
        </is>
      </c>
      <c r="C3466" t="inlineStr">
        <is>
          <t>UKPN</t>
        </is>
      </c>
      <c r="D3466" t="inlineStr">
        <is>
          <t>SA9ST800000283069 , Chipper , Forst , ST 6P</t>
        </is>
      </c>
      <c r="E3466" t="inlineStr">
        <is>
          <t>SA9ST800000283069 , Chipper , Forst , ST 6P</t>
        </is>
      </c>
      <c r="F3466" t="inlineStr">
        <is>
          <t>SA9ST800000283069 , Chipper , Forst , ST 6P</t>
        </is>
      </c>
      <c r="G3466" t="inlineStr">
        <is>
          <t xml:space="preserve">Abraham Davies </t>
        </is>
      </c>
      <c r="H3466" t="inlineStr">
        <is>
          <t>Towed Chipper</t>
        </is>
      </c>
      <c r="I3466" t="inlineStr">
        <is>
          <t>Daily/ Weekly Vehicle Inspection</t>
        </is>
      </c>
      <c r="J3466" t="inlineStr">
        <is>
          <t>N/A</t>
        </is>
      </c>
      <c r="K3466" t="inlineStr">
        <is>
          <t>7806 Optimum Tree Services Ltd</t>
        </is>
      </c>
      <c r="L3466" t="inlineStr">
        <is>
          <t>05/03/2026 08:15</t>
        </is>
      </c>
      <c r="M3466" t="inlineStr">
        <is>
          <t>None</t>
        </is>
      </c>
      <c r="N3466" t="inlineStr">
        <is>
          <t>&lt;p&gt;&lt;/p&gt;</t>
        </is>
      </c>
      <c r="O3466" t="inlineStr"/>
      <c r="P3466" t="inlineStr">
        <is>
          <t>SA9ST800000283069 , Chipper , Forst , ST 6P</t>
        </is>
      </c>
      <c r="Q3466" t="inlineStr">
        <is>
          <t>UKPN</t>
        </is>
      </c>
      <c r="R3466" t="b">
        <v>0</v>
      </c>
    </row>
    <row r="3467">
      <c r="A3467" t="inlineStr">
        <is>
          <t>5 Mar 2026 / 7806 Optimum Tree Services Ltd</t>
        </is>
      </c>
      <c r="B3467" t="inlineStr">
        <is>
          <t>Utilities</t>
        </is>
      </c>
      <c r="C3467" t="inlineStr">
        <is>
          <t>UKPN</t>
        </is>
      </c>
      <c r="D3467" t="inlineStr">
        <is>
          <t>Wd14evn , 4x4 , Landrover  , Defender</t>
        </is>
      </c>
      <c r="E3467" t="inlineStr">
        <is>
          <t>Wd14evn , 4x4 , Landrover  , Defender</t>
        </is>
      </c>
      <c r="F3467" t="inlineStr">
        <is>
          <t>Wd14evn , 4x4 , Landrover  , Defender</t>
        </is>
      </c>
      <c r="G3467" t="inlineStr">
        <is>
          <t xml:space="preserve">Abraham Davies </t>
        </is>
      </c>
      <c r="H3467" t="inlineStr">
        <is>
          <t>4x4</t>
        </is>
      </c>
      <c r="I3467" t="inlineStr">
        <is>
          <t>Daily/ Weekly Vehicle Inspection</t>
        </is>
      </c>
      <c r="J3467" t="inlineStr">
        <is>
          <t>N/A</t>
        </is>
      </c>
      <c r="K3467" t="inlineStr">
        <is>
          <t>7806 Optimum Tree Services Ltd</t>
        </is>
      </c>
      <c r="L3467" t="inlineStr">
        <is>
          <t>05/03/2026 08:16</t>
        </is>
      </c>
      <c r="M3467" t="inlineStr">
        <is>
          <t>None</t>
        </is>
      </c>
      <c r="N3467" t="inlineStr">
        <is>
          <t>&lt;p&gt;&lt;/p&gt;</t>
        </is>
      </c>
      <c r="O3467" t="inlineStr"/>
      <c r="P3467" t="inlineStr">
        <is>
          <t>Wd14evn , 4x4 , Landrover  , Defender</t>
        </is>
      </c>
      <c r="Q3467" t="inlineStr">
        <is>
          <t>UKPN</t>
        </is>
      </c>
      <c r="R3467" t="b">
        <v>0</v>
      </c>
    </row>
    <row r="3468">
      <c r="A3468" t="inlineStr">
        <is>
          <t>5 Mar 2026 / 7186 Eastwoodbury Tree Services Ltd</t>
        </is>
      </c>
      <c r="B3468" t="inlineStr">
        <is>
          <t>Utilities</t>
        </is>
      </c>
      <c r="C3468" t="inlineStr">
        <is>
          <t>UKPN</t>
        </is>
      </c>
      <c r="D3468" t="inlineStr">
        <is>
          <t>DN61XKJ , Tipper , Ford , Transit</t>
        </is>
      </c>
      <c r="E3468" t="inlineStr">
        <is>
          <t>DN61XKJ , Tipper , Ford , Transit</t>
        </is>
      </c>
      <c r="F3468" t="inlineStr">
        <is>
          <t>DN61XKJ , Tipper , Ford , Transit</t>
        </is>
      </c>
      <c r="G3468" t="inlineStr">
        <is>
          <t xml:space="preserve">Jay Denkmayer </t>
        </is>
      </c>
      <c r="H3468" t="inlineStr">
        <is>
          <t>Tipper</t>
        </is>
      </c>
      <c r="I3468" t="inlineStr">
        <is>
          <t>Daily/ Weekly Vehicle Inspection</t>
        </is>
      </c>
      <c r="J3468" t="inlineStr">
        <is>
          <t>N/A</t>
        </is>
      </c>
      <c r="K3468" t="inlineStr">
        <is>
          <t>7186 Eastwoodbury Tree Services Ltd</t>
        </is>
      </c>
      <c r="L3468" t="inlineStr">
        <is>
          <t>05/03/2026 08:19</t>
        </is>
      </c>
      <c r="M3468" t="inlineStr">
        <is>
          <t>None</t>
        </is>
      </c>
      <c r="N3468" t="inlineStr">
        <is>
          <t>&lt;p&gt;&lt;/p&gt;</t>
        </is>
      </c>
      <c r="O3468" t="inlineStr"/>
      <c r="P3468" t="inlineStr">
        <is>
          <t>DN61XKJ , Tipper , Ford , Transit</t>
        </is>
      </c>
      <c r="Q3468" t="inlineStr">
        <is>
          <t>UKPN</t>
        </is>
      </c>
      <c r="R3468" t="b">
        <v>0</v>
      </c>
    </row>
    <row r="3469">
      <c r="A3469" t="inlineStr">
        <is>
          <t>5 Mar 2026 / 7889 Tree Tech Suffolk Ltd</t>
        </is>
      </c>
      <c r="B3469" t="inlineStr">
        <is>
          <t>Utilities &amp; Inland Waterways</t>
        </is>
      </c>
      <c r="C3469" t="inlineStr">
        <is>
          <t>UKPN</t>
        </is>
      </c>
      <c r="D3469" t="inlineStr">
        <is>
          <t>Tipper - Mercedes - Sprinter - NS06TTSTow Chipper - Jenson - A530L - 5521063948</t>
        </is>
      </c>
      <c r="E3469" t="inlineStr">
        <is>
          <t>Tipper - Mercedes - Sprinter - NS06TTSTow Chipper - Jenson - A530L - 5521063948</t>
        </is>
      </c>
      <c r="F3469" t="inlineStr">
        <is>
          <t>Tipper - Mercedes - Sprinter - NS06TTSTow Chipper - Jenson - A530L - 5521063948</t>
        </is>
      </c>
      <c r="G3469" t="inlineStr">
        <is>
          <t xml:space="preserve">Danny ApplebyDanny Appleby </t>
        </is>
      </c>
      <c r="H3469" t="inlineStr">
        <is>
          <t>TipperTowed Chipper</t>
        </is>
      </c>
      <c r="I3469" t="inlineStr">
        <is>
          <t>Daily/ Weekly Vehicle Inspection</t>
        </is>
      </c>
      <c r="J3469" t="inlineStr">
        <is>
          <t>N/A</t>
        </is>
      </c>
      <c r="K3469" t="inlineStr">
        <is>
          <t>7889 Tree Tech Suffolk Ltd</t>
        </is>
      </c>
      <c r="L3469" t="inlineStr">
        <is>
          <t>05/03/2026 08:25</t>
        </is>
      </c>
      <c r="M3469" t="inlineStr">
        <is>
          <t>None</t>
        </is>
      </c>
      <c r="N3469" t="inlineStr">
        <is>
          <t>&lt;p&gt;&lt;/p&gt;</t>
        </is>
      </c>
      <c r="O3469" t="inlineStr">
        <is>
          <t>Confirm that you have checked this vehicle as per the guidance document and the vehicle is safe and roadworthy:Nearside daytime running light bulb removed. Waiting for replacement. Nearside wing mirror bulb cover broken. Waiting replacement
-</t>
        </is>
      </c>
      <c r="P3469" t="inlineStr">
        <is>
          <t>Tipper - Mercedes - Sprinter - NS06TTSTow Chipper - Jenson - A530L - 5521063948</t>
        </is>
      </c>
      <c r="Q3469" t="inlineStr">
        <is>
          <t>UKPN</t>
        </is>
      </c>
      <c r="R3469" t="b">
        <v>0</v>
      </c>
    </row>
    <row r="3470">
      <c r="A3470" t="inlineStr">
        <is>
          <t>5 Mar 2026 / 7996 M G Tree Surgery Ltd 1</t>
        </is>
      </c>
      <c r="B3470" t="inlineStr">
        <is>
          <t>Utilities</t>
        </is>
      </c>
      <c r="C3470" t="inlineStr">
        <is>
          <t>UKPN</t>
        </is>
      </c>
      <c r="D3470" t="inlineStr">
        <is>
          <t>KX20 BCE , Tipper , Isuzu , D-Max</t>
        </is>
      </c>
      <c r="E3470" t="inlineStr">
        <is>
          <t>KX20 BCE , Tipper , Isuzu , D-Max</t>
        </is>
      </c>
      <c r="F3470" t="inlineStr">
        <is>
          <t>KX20 BCE , Tipper , Isuzu , D-Max</t>
        </is>
      </c>
      <c r="G3470" t="inlineStr">
        <is>
          <t>Anthony Gale</t>
        </is>
      </c>
      <c r="H3470" t="inlineStr">
        <is>
          <t>Pickup Truck</t>
        </is>
      </c>
      <c r="I3470" t="inlineStr">
        <is>
          <t>Daily/ Weekly Vehicle Inspection</t>
        </is>
      </c>
      <c r="J3470" t="inlineStr">
        <is>
          <t>N/A</t>
        </is>
      </c>
      <c r="K3470" t="inlineStr">
        <is>
          <t>7996 M G Tree Surgery Ltd 1</t>
        </is>
      </c>
      <c r="L3470" t="inlineStr">
        <is>
          <t>05/03/2026 08:29</t>
        </is>
      </c>
      <c r="M3470" t="inlineStr">
        <is>
          <t>None</t>
        </is>
      </c>
      <c r="N3470" t="inlineStr">
        <is>
          <t>&lt;p&gt;&lt;/p&gt;</t>
        </is>
      </c>
      <c r="O3470" t="inlineStr">
        <is>
          <t>Confirm that you have checked this vehicle as per the guidance document and the vehicle is safe and roadworthy:Light board deteriorating.
Safe for now.
Will need replacing soon.
-</t>
        </is>
      </c>
      <c r="P3470" t="inlineStr">
        <is>
          <t>KX20 BCE , Tipper , Isuzu , D-Max</t>
        </is>
      </c>
      <c r="Q3470" t="inlineStr">
        <is>
          <t>UKPN</t>
        </is>
      </c>
      <c r="R3470" t="b">
        <v>0</v>
      </c>
    </row>
    <row r="3471">
      <c r="A3471" t="inlineStr">
        <is>
          <t>5 Mar 2026 / 3098 D &amp; R Landscapes</t>
        </is>
      </c>
      <c r="B3471" t="inlineStr">
        <is>
          <t>Utilities</t>
        </is>
      </c>
      <c r="C3471" t="inlineStr">
        <is>
          <t>UKPN</t>
        </is>
      </c>
      <c r="D3471" t="inlineStr">
        <is>
          <t>WF11 GOJ , 4x4 MEWP , Land Rover , Defender</t>
        </is>
      </c>
      <c r="E3471" t="inlineStr">
        <is>
          <t>WF11 GOJ , 4x4 MEWP , Land Rover , Defender</t>
        </is>
      </c>
      <c r="F3471" t="inlineStr">
        <is>
          <t>WF11 GOJ , 4x4 MEWP , Land Rover , Defender</t>
        </is>
      </c>
      <c r="G3471" t="inlineStr">
        <is>
          <t>Scott</t>
        </is>
      </c>
      <c r="H3471" t="inlineStr">
        <is>
          <t>Pickup Truck</t>
        </is>
      </c>
      <c r="I3471" t="inlineStr">
        <is>
          <t>Daily/ Weekly Vehicle Inspection</t>
        </is>
      </c>
      <c r="J3471" t="inlineStr">
        <is>
          <t>N/A</t>
        </is>
      </c>
      <c r="K3471" t="inlineStr">
        <is>
          <t>3098 D &amp; R Landscapes</t>
        </is>
      </c>
      <c r="L3471" t="inlineStr">
        <is>
          <t>05/03/2026 08:34</t>
        </is>
      </c>
      <c r="M3471" t="inlineStr">
        <is>
          <t>None</t>
        </is>
      </c>
      <c r="N3471" t="inlineStr">
        <is>
          <t>&lt;p&gt;&lt;/p&gt;</t>
        </is>
      </c>
      <c r="O3471" t="inlineStr"/>
      <c r="P3471" t="inlineStr">
        <is>
          <t>WF11 GOJ , 4x4 MEWP , Land Rover , Defender</t>
        </is>
      </c>
      <c r="Q3471" t="inlineStr">
        <is>
          <t>UKPN</t>
        </is>
      </c>
      <c r="R3471" t="b">
        <v>0</v>
      </c>
    </row>
    <row r="3472">
      <c r="A3472" t="inlineStr">
        <is>
          <t>5 Mar 2026 / 3098 D &amp; R Landscapes</t>
        </is>
      </c>
      <c r="B3472" t="inlineStr">
        <is>
          <t>Utilities</t>
        </is>
      </c>
      <c r="C3472" t="inlineStr">
        <is>
          <t>UKPN</t>
        </is>
      </c>
      <c r="D3472" t="inlineStr">
        <is>
          <t>DE68XHA , Tipper , Isuzu , Grafter</t>
        </is>
      </c>
      <c r="E3472" t="inlineStr">
        <is>
          <t>DE68XHA , Tipper , Isuzu , Grafter</t>
        </is>
      </c>
      <c r="F3472" t="inlineStr">
        <is>
          <t>DE68XHA , Tipper , Isuzu , Grafter</t>
        </is>
      </c>
      <c r="G3472" t="inlineStr">
        <is>
          <t>Chris</t>
        </is>
      </c>
      <c r="H3472" t="inlineStr">
        <is>
          <t>Tipper</t>
        </is>
      </c>
      <c r="I3472" t="inlineStr">
        <is>
          <t>Daily/ Weekly Vehicle Inspection</t>
        </is>
      </c>
      <c r="J3472" t="inlineStr">
        <is>
          <t>N/A</t>
        </is>
      </c>
      <c r="K3472" t="inlineStr">
        <is>
          <t>3098 D &amp; R Landscapes</t>
        </is>
      </c>
      <c r="L3472" t="inlineStr">
        <is>
          <t>05/03/2026 08:35</t>
        </is>
      </c>
      <c r="M3472" t="inlineStr">
        <is>
          <t>None</t>
        </is>
      </c>
      <c r="N3472" t="inlineStr">
        <is>
          <t>&lt;p&gt;&lt;/p&gt;</t>
        </is>
      </c>
      <c r="O3472" t="inlineStr"/>
      <c r="P3472" t="inlineStr">
        <is>
          <t>DE68XHA , Tipper , Isuzu , Grafter</t>
        </is>
      </c>
      <c r="Q3472" t="inlineStr">
        <is>
          <t>UKPN</t>
        </is>
      </c>
      <c r="R3472" t="b">
        <v>0</v>
      </c>
    </row>
    <row r="3473">
      <c r="A3473" t="inlineStr">
        <is>
          <t>5 Mar 2026 / 3098 D &amp; R Landscapes</t>
        </is>
      </c>
      <c r="B3473" t="inlineStr">
        <is>
          <t>Utilities</t>
        </is>
      </c>
      <c r="C3473" t="inlineStr">
        <is>
          <t>UKPN</t>
        </is>
      </c>
      <c r="D3473" t="inlineStr">
        <is>
          <t>WA13ZZK , 4x4 , Land Rover  , Defender</t>
        </is>
      </c>
      <c r="E3473" t="inlineStr">
        <is>
          <t>WA13ZZK , 4x4 , Land Rover  , Defender</t>
        </is>
      </c>
      <c r="F3473" t="inlineStr">
        <is>
          <t>WA13ZZK , 4x4 , Land Rover  , Defender</t>
        </is>
      </c>
      <c r="G3473" t="inlineStr">
        <is>
          <t>Jason</t>
        </is>
      </c>
      <c r="H3473" t="inlineStr">
        <is>
          <t>Pickup Truck</t>
        </is>
      </c>
      <c r="I3473" t="inlineStr">
        <is>
          <t>Daily/ Weekly Vehicle Inspection</t>
        </is>
      </c>
      <c r="J3473" t="inlineStr">
        <is>
          <t>N/A</t>
        </is>
      </c>
      <c r="K3473" t="inlineStr">
        <is>
          <t>3098 D &amp; R Landscapes</t>
        </is>
      </c>
      <c r="L3473" t="inlineStr">
        <is>
          <t>05/03/2026 08:38</t>
        </is>
      </c>
      <c r="M3473" t="inlineStr">
        <is>
          <t>None</t>
        </is>
      </c>
      <c r="N3473" t="inlineStr">
        <is>
          <t>&lt;p&gt;&lt;/p&gt;</t>
        </is>
      </c>
      <c r="O3473" t="inlineStr"/>
      <c r="P3473" t="inlineStr">
        <is>
          <t>WA13ZZK , 4x4 , Land Rover  , Defender</t>
        </is>
      </c>
      <c r="Q3473" t="inlineStr">
        <is>
          <t>UKPN</t>
        </is>
      </c>
      <c r="R3473" t="b">
        <v>0</v>
      </c>
    </row>
    <row r="3474">
      <c r="A3474" t="inlineStr">
        <is>
          <t>5 Mar 2026 / 7951 Austin Tree Care LTD 1</t>
        </is>
      </c>
      <c r="B3474" t="inlineStr">
        <is>
          <t>Utilities</t>
        </is>
      </c>
      <c r="C3474" t="inlineStr">
        <is>
          <t>UKPN</t>
        </is>
      </c>
      <c r="D3474" t="inlineStr">
        <is>
          <t>Kn58xuy , Tipper , VW  , Crafter</t>
        </is>
      </c>
      <c r="E3474" t="inlineStr">
        <is>
          <t>Kn58xuy , Tipper , VW  , Crafter</t>
        </is>
      </c>
      <c r="F3474" t="inlineStr">
        <is>
          <t>Kn58xuy , Tipper , VW  , Crafter</t>
        </is>
      </c>
      <c r="G3474" t="inlineStr">
        <is>
          <t xml:space="preserve">Jack Austin </t>
        </is>
      </c>
      <c r="H3474" t="inlineStr">
        <is>
          <t>Tipper</t>
        </is>
      </c>
      <c r="I3474" t="inlineStr">
        <is>
          <t>Daily/ Weekly Vehicle Inspection</t>
        </is>
      </c>
      <c r="J3474" t="inlineStr">
        <is>
          <t>N/A</t>
        </is>
      </c>
      <c r="K3474" t="inlineStr">
        <is>
          <t>7951 Austin Tree Care LTD 1</t>
        </is>
      </c>
      <c r="L3474" t="inlineStr">
        <is>
          <t>05/03/2026 09:48</t>
        </is>
      </c>
      <c r="M3474" t="inlineStr">
        <is>
          <t>None</t>
        </is>
      </c>
      <c r="N3474" t="inlineStr">
        <is>
          <t>&lt;p&gt;&lt;/p&gt;</t>
        </is>
      </c>
      <c r="O3474" t="inlineStr"/>
      <c r="P3474" t="inlineStr">
        <is>
          <t>Kn58xuy , Tipper , VW  , Crafter</t>
        </is>
      </c>
      <c r="Q3474" t="inlineStr">
        <is>
          <t>UKPN</t>
        </is>
      </c>
      <c r="R3474" t="b">
        <v>0</v>
      </c>
    </row>
    <row r="3475">
      <c r="A3475" t="inlineStr">
        <is>
          <t>5 Mar 2026 / 8040 S6 Tree specialists Ltd</t>
        </is>
      </c>
      <c r="B3475" t="inlineStr">
        <is>
          <t>Utilities</t>
        </is>
      </c>
      <c r="C3475" t="inlineStr">
        <is>
          <t>UKPN</t>
        </is>
      </c>
      <c r="D3475" t="inlineStr">
        <is>
          <t>Cu59myy  , 4x4 , Landrover  , Discovery 4</t>
        </is>
      </c>
      <c r="E3475" t="inlineStr">
        <is>
          <t>Cu59myy  , 4x4 , Landrover  , Discovery 4</t>
        </is>
      </c>
      <c r="F3475" t="inlineStr">
        <is>
          <t>Cu59myy  , 4x4 , Landrover  , Discovery 4</t>
        </is>
      </c>
      <c r="G3475" t="inlineStr">
        <is>
          <t>Luke lane</t>
        </is>
      </c>
      <c r="H3475" t="inlineStr">
        <is>
          <t>4x4</t>
        </is>
      </c>
      <c r="I3475" t="inlineStr">
        <is>
          <t>Daily/ Weekly Vehicle Inspection</t>
        </is>
      </c>
      <c r="J3475" t="inlineStr">
        <is>
          <t>N/A</t>
        </is>
      </c>
      <c r="K3475" t="inlineStr">
        <is>
          <t>8040 S6 Tree specialists Ltd</t>
        </is>
      </c>
      <c r="L3475" t="inlineStr">
        <is>
          <t>05/03/2026 09:52</t>
        </is>
      </c>
      <c r="M3475" t="inlineStr">
        <is>
          <t>None</t>
        </is>
      </c>
      <c r="N3475" t="inlineStr">
        <is>
          <t>&lt;p&gt;&lt;/p&gt;</t>
        </is>
      </c>
      <c r="O3475" t="inlineStr"/>
      <c r="P3475" t="inlineStr">
        <is>
          <t>Cu59myy  , 4x4 , Landrover  , Discovery 4</t>
        </is>
      </c>
      <c r="Q3475" t="inlineStr">
        <is>
          <t>UKPN</t>
        </is>
      </c>
      <c r="R3475" t="b">
        <v>0</v>
      </c>
    </row>
    <row r="3476">
      <c r="A3476" t="inlineStr">
        <is>
          <t>5 Mar 2026 / Benet Jones</t>
        </is>
      </c>
      <c r="B3476" t="inlineStr">
        <is>
          <t>Utilities</t>
        </is>
      </c>
      <c r="C3476" t="inlineStr">
        <is>
          <t>NGED</t>
        </is>
      </c>
      <c r="D3476" t="inlineStr"/>
      <c r="E3476" t="inlineStr"/>
      <c r="F3476" t="inlineStr"/>
      <c r="G3476" t="inlineStr">
        <is>
          <t xml:space="preserve">Benet Jones </t>
        </is>
      </c>
      <c r="H3476" t="inlineStr">
        <is>
          <t>Car - Petrol</t>
        </is>
      </c>
      <c r="I3476" t="inlineStr">
        <is>
          <t>Daily/ Weekly Vehicle Inspection</t>
        </is>
      </c>
      <c r="J3476" t="inlineStr">
        <is>
          <t>N/A</t>
        </is>
      </c>
      <c r="K3476" t="inlineStr">
        <is>
          <t>Benet Jones</t>
        </is>
      </c>
      <c r="L3476" t="inlineStr">
        <is>
          <t>05/03/2026 09:53</t>
        </is>
      </c>
      <c r="M3476" t="inlineStr">
        <is>
          <t>None</t>
        </is>
      </c>
      <c r="N3476" t="inlineStr">
        <is>
          <t>&lt;p&gt;&lt;/p&gt;</t>
        </is>
      </c>
      <c r="O3476" t="inlineStr">
        <is>
          <t>Confirm that you have checked this vehicle as per the guidance document and the vehicle is safe and roadworthy:Car checked and fully serviceable
-</t>
        </is>
      </c>
      <c r="P3476" t="inlineStr"/>
      <c r="Q3476" t="inlineStr">
        <is>
          <t>NGED</t>
        </is>
      </c>
      <c r="R3476" t="b">
        <v>0</v>
      </c>
    </row>
    <row r="3477">
      <c r="A3477" t="inlineStr">
        <is>
          <t>5 Mar 2026 / Philip Shaw</t>
        </is>
      </c>
      <c r="B3477" t="inlineStr">
        <is>
          <t>Utilities</t>
        </is>
      </c>
      <c r="C3477" t="inlineStr">
        <is>
          <t>NGED</t>
        </is>
      </c>
      <c r="D3477" t="inlineStr">
        <is>
          <t>AF22TZO , Car - Electric , Tesla , Model 3 Long Range AWD</t>
        </is>
      </c>
      <c r="E3477" t="inlineStr">
        <is>
          <t>AF22TZO , Car - Electric , Tesla , Model 3 Long Range AWD</t>
        </is>
      </c>
      <c r="F3477" t="inlineStr">
        <is>
          <t>AF22TZO , Car - Electric , Tesla , Model 3 Long Range AWD</t>
        </is>
      </c>
      <c r="G3477" t="inlineStr">
        <is>
          <t xml:space="preserve">Phil shaw </t>
        </is>
      </c>
      <c r="H3477" t="inlineStr">
        <is>
          <t>Car - Electric (GC Owned)</t>
        </is>
      </c>
      <c r="I3477" t="inlineStr">
        <is>
          <t>Daily/ Weekly Vehicle Inspection</t>
        </is>
      </c>
      <c r="J3477" t="inlineStr">
        <is>
          <t>N/A</t>
        </is>
      </c>
      <c r="K3477" t="inlineStr">
        <is>
          <t>Philip Shaw</t>
        </is>
      </c>
      <c r="L3477" t="inlineStr">
        <is>
          <t>05/03/2026 12:43</t>
        </is>
      </c>
      <c r="M3477" t="inlineStr">
        <is>
          <t>None</t>
        </is>
      </c>
      <c r="N3477" t="inlineStr">
        <is>
          <t>&lt;p&gt;&lt;/p&gt;</t>
        </is>
      </c>
      <c r="O3477" t="inlineStr"/>
      <c r="P3477" t="inlineStr">
        <is>
          <t>AF22TZO , Car - Electric , Tesla , Model 3 Long Range AWD</t>
        </is>
      </c>
      <c r="Q3477" t="inlineStr">
        <is>
          <t>NGED</t>
        </is>
      </c>
      <c r="R3477" t="b">
        <v>0</v>
      </c>
    </row>
    <row r="3478">
      <c r="A3478" t="inlineStr">
        <is>
          <t>5 Mar 2026 / Mark Davies</t>
        </is>
      </c>
      <c r="B3478" t="inlineStr">
        <is>
          <t>Utilities</t>
        </is>
      </c>
      <c r="C3478" t="inlineStr">
        <is>
          <t>NGED</t>
        </is>
      </c>
      <c r="D3478" t="inlineStr">
        <is>
          <t>GJ20USE , Car - Electric , Tesla , Model 3 Long Range AWD</t>
        </is>
      </c>
      <c r="E3478" t="inlineStr">
        <is>
          <t>GJ20USE , Car - Electric , Tesla , Model 3 Long Range AWD</t>
        </is>
      </c>
      <c r="F3478" t="inlineStr">
        <is>
          <t>GJ20USE , Car - Electric , Tesla , Model 3 Long Range AWD</t>
        </is>
      </c>
      <c r="G3478" t="inlineStr">
        <is>
          <t xml:space="preserve">Mark Davies </t>
        </is>
      </c>
      <c r="H3478" t="inlineStr">
        <is>
          <t>Car - Electric (GC Owned)</t>
        </is>
      </c>
      <c r="I3478" t="inlineStr">
        <is>
          <t>Daily/ Weekly Vehicle Inspection</t>
        </is>
      </c>
      <c r="J3478" t="inlineStr">
        <is>
          <t>N/A</t>
        </is>
      </c>
      <c r="K3478" t="inlineStr">
        <is>
          <t>Mark Davies</t>
        </is>
      </c>
      <c r="L3478" t="inlineStr">
        <is>
          <t>05/03/2026 14:43</t>
        </is>
      </c>
      <c r="M3478" t="inlineStr">
        <is>
          <t>None</t>
        </is>
      </c>
      <c r="N3478" t="inlineStr">
        <is>
          <t>&lt;p&gt;&lt;/p&gt;</t>
        </is>
      </c>
      <c r="O3478" t="inlineStr"/>
      <c r="P3478" t="inlineStr">
        <is>
          <t>GJ20USE , Car - Electric , Tesla , Model 3 Long Range AWD</t>
        </is>
      </c>
      <c r="Q3478" t="inlineStr">
        <is>
          <t>NGED</t>
        </is>
      </c>
      <c r="R3478" t="b">
        <v>0</v>
      </c>
    </row>
    <row r="3479">
      <c r="A3479" t="inlineStr">
        <is>
          <t>6 Mar 2026 / Richard Moses</t>
        </is>
      </c>
      <c r="B3479" t="inlineStr">
        <is>
          <t>Utilities</t>
        </is>
      </c>
      <c r="C3479" t="inlineStr">
        <is>
          <t>NGED</t>
        </is>
      </c>
      <c r="D3479" t="inlineStr">
        <is>
          <t>AK23YLM , Car - Electric , Tesla , Model Y Long Range</t>
        </is>
      </c>
      <c r="E3479" t="inlineStr">
        <is>
          <t>AK23YLM , Car - Electric , Tesla , Model Y Long Range</t>
        </is>
      </c>
      <c r="F3479" t="inlineStr">
        <is>
          <t>AK23YLM , Car - Electric , Tesla , Model Y Long Range</t>
        </is>
      </c>
      <c r="G3479" t="inlineStr">
        <is>
          <t>Moses</t>
        </is>
      </c>
      <c r="H3479" t="inlineStr">
        <is>
          <t>Car - Electric (GC Owned)</t>
        </is>
      </c>
      <c r="I3479" t="inlineStr">
        <is>
          <t>Daily/ Weekly Vehicle Inspection</t>
        </is>
      </c>
      <c r="J3479" t="inlineStr">
        <is>
          <t>N/A</t>
        </is>
      </c>
      <c r="K3479" t="inlineStr">
        <is>
          <t>Richard Moses</t>
        </is>
      </c>
      <c r="L3479" t="inlineStr">
        <is>
          <t>06/03/2026 07:43</t>
        </is>
      </c>
      <c r="M3479" t="inlineStr">
        <is>
          <t>None</t>
        </is>
      </c>
      <c r="N3479" t="inlineStr">
        <is>
          <t>&lt;p&gt;&lt;/p&gt;</t>
        </is>
      </c>
      <c r="O3479" t="inlineStr"/>
      <c r="P3479" t="inlineStr">
        <is>
          <t>AK23YLM , Car - Electric , Tesla , Model Y Long Range</t>
        </is>
      </c>
      <c r="Q3479" t="inlineStr">
        <is>
          <t>NGED</t>
        </is>
      </c>
      <c r="R3479" t="b">
        <v>0</v>
      </c>
    </row>
    <row r="3480">
      <c r="A3480" t="inlineStr">
        <is>
          <t>6 Mar 2026 / 7806 Optimum Tree Services Ltd</t>
        </is>
      </c>
      <c r="B3480" t="inlineStr">
        <is>
          <t>Utilities</t>
        </is>
      </c>
      <c r="C3480" t="inlineStr">
        <is>
          <t>UKPN</t>
        </is>
      </c>
      <c r="D3480" t="inlineStr">
        <is>
          <t>SA9TAPLAF27414263 , Trailer , Tow Mate , Plant Trailer</t>
        </is>
      </c>
      <c r="E3480" t="inlineStr">
        <is>
          <t>SA9TAPLAF27414263 , Trailer , Tow Mate , Plant Trailer</t>
        </is>
      </c>
      <c r="F3480" t="inlineStr">
        <is>
          <t>SA9TAPLAF27414263 , Trailer , Tow Mate , Plant Trailer</t>
        </is>
      </c>
      <c r="G3480" t="inlineStr">
        <is>
          <t xml:space="preserve">Kenny Aldred </t>
        </is>
      </c>
      <c r="H3480" t="inlineStr">
        <is>
          <t>Plant Trailer</t>
        </is>
      </c>
      <c r="I3480" t="inlineStr">
        <is>
          <t>Daily/ Weekly Vehicle Inspection</t>
        </is>
      </c>
      <c r="J3480" t="inlineStr">
        <is>
          <t>N/A</t>
        </is>
      </c>
      <c r="K3480" t="inlineStr">
        <is>
          <t>7806 Optimum Tree Services Ltd</t>
        </is>
      </c>
      <c r="L3480" t="inlineStr">
        <is>
          <t>06/03/2026 07:44</t>
        </is>
      </c>
      <c r="M3480" t="inlineStr">
        <is>
          <t>None</t>
        </is>
      </c>
      <c r="N3480" t="inlineStr">
        <is>
          <t>&lt;p&gt;&lt;/p&gt;</t>
        </is>
      </c>
      <c r="O3480" t="inlineStr"/>
      <c r="P3480" t="inlineStr">
        <is>
          <t>SA9TAPLAF27414263 , Trailer , Tow Mate , Plant Trailer</t>
        </is>
      </c>
      <c r="Q3480" t="inlineStr">
        <is>
          <t>UKPN</t>
        </is>
      </c>
      <c r="R3480" t="b">
        <v>0</v>
      </c>
    </row>
    <row r="3481">
      <c r="A3481" t="inlineStr">
        <is>
          <t>6 Mar 2026 / 7806 Optimum Tree Services Ltd</t>
        </is>
      </c>
      <c r="B3481" t="inlineStr">
        <is>
          <t>Utilities</t>
        </is>
      </c>
      <c r="C3481" t="inlineStr">
        <is>
          <t>UKPN</t>
        </is>
      </c>
      <c r="D3481" t="inlineStr">
        <is>
          <t>NA10SYZ , Tipper , Ford , Transit</t>
        </is>
      </c>
      <c r="E3481" t="inlineStr">
        <is>
          <t>NA10SYZ , Tipper , Ford , Transit</t>
        </is>
      </c>
      <c r="F3481" t="inlineStr">
        <is>
          <t>NA10SYZ , Tipper , Ford , Transit</t>
        </is>
      </c>
      <c r="G3481" t="inlineStr">
        <is>
          <t xml:space="preserve">Kenny Aldred </t>
        </is>
      </c>
      <c r="H3481" t="inlineStr">
        <is>
          <t>Tipper</t>
        </is>
      </c>
      <c r="I3481" t="inlineStr">
        <is>
          <t>Daily/ Weekly Vehicle Inspection</t>
        </is>
      </c>
      <c r="J3481" t="inlineStr">
        <is>
          <t>N/A</t>
        </is>
      </c>
      <c r="K3481" t="inlineStr">
        <is>
          <t>7806 Optimum Tree Services Ltd</t>
        </is>
      </c>
      <c r="L3481" t="inlineStr">
        <is>
          <t>06/03/2026 07:45</t>
        </is>
      </c>
      <c r="M3481" t="inlineStr">
        <is>
          <t>None</t>
        </is>
      </c>
      <c r="N3481" t="inlineStr">
        <is>
          <t>&lt;p&gt;&lt;/p&gt;</t>
        </is>
      </c>
      <c r="O3481" t="inlineStr"/>
      <c r="P3481" t="inlineStr">
        <is>
          <t>NA10SYZ , Tipper , Ford , Transit</t>
        </is>
      </c>
      <c r="Q3481" t="inlineStr">
        <is>
          <t>UKPN</t>
        </is>
      </c>
      <c r="R3481" t="b">
        <v>0</v>
      </c>
    </row>
    <row r="3482">
      <c r="A3482" t="inlineStr">
        <is>
          <t>6 Mar 2026 / 6617 Ashdown Tree Limited 1</t>
        </is>
      </c>
      <c r="B3482" t="inlineStr">
        <is>
          <t>Utilities</t>
        </is>
      </c>
      <c r="C3482" t="inlineStr">
        <is>
          <t>UKPN</t>
        </is>
      </c>
      <c r="D3482" t="inlineStr">
        <is>
          <t>WG63OJS , 4x4 , Land rover  , defender</t>
        </is>
      </c>
      <c r="E3482" t="inlineStr">
        <is>
          <t>WG63OJS , 4x4 , Land rover  , defender</t>
        </is>
      </c>
      <c r="F3482" t="inlineStr">
        <is>
          <t>WG63OJS , 4x4 , Land rover  , defender</t>
        </is>
      </c>
      <c r="G3482" t="inlineStr">
        <is>
          <t>Dan</t>
        </is>
      </c>
      <c r="H3482" t="inlineStr">
        <is>
          <t>4x4</t>
        </is>
      </c>
      <c r="I3482" t="inlineStr">
        <is>
          <t>Daily/ Weekly Vehicle Inspection</t>
        </is>
      </c>
      <c r="J3482" t="inlineStr">
        <is>
          <t>N/A</t>
        </is>
      </c>
      <c r="K3482" t="inlineStr">
        <is>
          <t>6617 Ashdown Tree Limited - Team 2</t>
        </is>
      </c>
      <c r="L3482" t="inlineStr">
        <is>
          <t>06/03/2026 07:48</t>
        </is>
      </c>
      <c r="M3482" t="inlineStr">
        <is>
          <t>None</t>
        </is>
      </c>
      <c r="N3482" t="inlineStr">
        <is>
          <t>&lt;p&gt;&lt;/p&gt;</t>
        </is>
      </c>
      <c r="O3482" t="inlineStr"/>
      <c r="P3482" t="inlineStr">
        <is>
          <t>WG63OJS , 4x4 , Land rover  , defender</t>
        </is>
      </c>
      <c r="Q3482" t="inlineStr">
        <is>
          <t>UKPN</t>
        </is>
      </c>
      <c r="R3482" t="b">
        <v>0</v>
      </c>
    </row>
    <row r="3483">
      <c r="A3483" t="inlineStr">
        <is>
          <t>6 Mar 2026 / 8040 S6 Tree specialists Ltd</t>
        </is>
      </c>
      <c r="B3483" t="inlineStr">
        <is>
          <t>Utilities</t>
        </is>
      </c>
      <c r="C3483" t="inlineStr">
        <is>
          <t>UKPN</t>
        </is>
      </c>
      <c r="D3483" t="inlineStr">
        <is>
          <t>Cu59myy  , 4x4 , Landrover  , Discovery 4</t>
        </is>
      </c>
      <c r="E3483" t="inlineStr">
        <is>
          <t>Cu59myy  , 4x4 , Landrover  , Discovery 4</t>
        </is>
      </c>
      <c r="F3483" t="inlineStr">
        <is>
          <t>Cu59myy  , 4x4 , Landrover  , Discovery 4</t>
        </is>
      </c>
      <c r="G3483" t="inlineStr">
        <is>
          <t>Luke lane</t>
        </is>
      </c>
      <c r="H3483" t="inlineStr">
        <is>
          <t>4x4</t>
        </is>
      </c>
      <c r="I3483" t="inlineStr">
        <is>
          <t>Daily/ Weekly Vehicle Inspection</t>
        </is>
      </c>
      <c r="J3483" t="inlineStr">
        <is>
          <t>N/A</t>
        </is>
      </c>
      <c r="K3483" t="inlineStr">
        <is>
          <t>8040 S6 Tree specialists Ltd</t>
        </is>
      </c>
      <c r="L3483" t="inlineStr">
        <is>
          <t>06/03/2026 07:51</t>
        </is>
      </c>
      <c r="M3483" t="inlineStr">
        <is>
          <t>None</t>
        </is>
      </c>
      <c r="N3483" t="inlineStr">
        <is>
          <t>&lt;p&gt;&lt;/p&gt;</t>
        </is>
      </c>
      <c r="O3483" t="inlineStr"/>
      <c r="P3483" t="inlineStr">
        <is>
          <t>Cu59myy  , 4x4 , Landrover  , Discovery 4</t>
        </is>
      </c>
      <c r="Q3483" t="inlineStr">
        <is>
          <t>UKPN</t>
        </is>
      </c>
      <c r="R3483" t="b">
        <v>0</v>
      </c>
    </row>
    <row r="3484">
      <c r="A3484" t="inlineStr">
        <is>
          <t>6 Mar 2026 / Kevin Miller</t>
        </is>
      </c>
      <c r="B3484" t="inlineStr">
        <is>
          <t>Utilities</t>
        </is>
      </c>
      <c r="C3484" t="inlineStr">
        <is>
          <t>UKPN</t>
        </is>
      </c>
      <c r="D3484" t="inlineStr">
        <is>
          <t>EO73KUF , Car - Electric , Kia , Niro</t>
        </is>
      </c>
      <c r="E3484" t="inlineStr">
        <is>
          <t>EO73KUF , Car - Electric , Kia , Niro</t>
        </is>
      </c>
      <c r="F3484" t="inlineStr">
        <is>
          <t>EO73KUF , Car - Electric , Kia , Niro</t>
        </is>
      </c>
      <c r="G3484" t="inlineStr">
        <is>
          <t xml:space="preserve">Kevin Miller </t>
        </is>
      </c>
      <c r="H3484" t="inlineStr">
        <is>
          <t>Car - Electric (GC Owned)</t>
        </is>
      </c>
      <c r="I3484" t="inlineStr">
        <is>
          <t>Daily/ Weekly Vehicle Inspection</t>
        </is>
      </c>
      <c r="J3484" t="inlineStr">
        <is>
          <t>N/A</t>
        </is>
      </c>
      <c r="K3484" t="inlineStr">
        <is>
          <t>Kevin Miller</t>
        </is>
      </c>
      <c r="L3484" t="inlineStr">
        <is>
          <t>06/03/2026 09:43</t>
        </is>
      </c>
      <c r="M3484" t="inlineStr">
        <is>
          <t>None</t>
        </is>
      </c>
      <c r="N3484" t="inlineStr">
        <is>
          <t>&lt;p&gt;&lt;/p&gt;</t>
        </is>
      </c>
      <c r="O3484" t="inlineStr"/>
      <c r="P3484" t="inlineStr">
        <is>
          <t>EO73KUF , Car - Electric , Kia , Niro</t>
        </is>
      </c>
      <c r="Q3484" t="inlineStr">
        <is>
          <t>UKPN</t>
        </is>
      </c>
      <c r="R3484" t="b">
        <v>0</v>
      </c>
    </row>
    <row r="3485">
      <c r="A3485" t="inlineStr">
        <is>
          <t>6 Mar 2026 / Christopher Phillips</t>
        </is>
      </c>
      <c r="B3485" t="inlineStr">
        <is>
          <t>Utilities</t>
        </is>
      </c>
      <c r="C3485" t="inlineStr">
        <is>
          <t>NGED</t>
        </is>
      </c>
      <c r="D3485" t="inlineStr">
        <is>
          <t>SK69XHC , Car - Electric , Tesla , Model 3 Performance AWD</t>
        </is>
      </c>
      <c r="E3485" t="inlineStr">
        <is>
          <t>SK69XHC , Car - Electric , Tesla , Model 3 Performance AWD</t>
        </is>
      </c>
      <c r="F3485" t="inlineStr">
        <is>
          <t>SK69XHC , Car - Electric , Tesla , Model 3 Performance AWD</t>
        </is>
      </c>
      <c r="G3485" t="inlineStr">
        <is>
          <t xml:space="preserve">Chris Phillips </t>
        </is>
      </c>
      <c r="H3485" t="inlineStr">
        <is>
          <t>Car - Electric (GC Owned)</t>
        </is>
      </c>
      <c r="I3485" t="inlineStr">
        <is>
          <t>Daily/ Weekly Vehicle Inspection</t>
        </is>
      </c>
      <c r="J3485" t="inlineStr">
        <is>
          <t>N/A</t>
        </is>
      </c>
      <c r="K3485" t="inlineStr">
        <is>
          <t>Christopher Phillips</t>
        </is>
      </c>
      <c r="L3485" t="inlineStr">
        <is>
          <t>06/03/2026 09:43</t>
        </is>
      </c>
      <c r="M3485" t="inlineStr">
        <is>
          <t>None</t>
        </is>
      </c>
      <c r="N3485" t="inlineStr">
        <is>
          <t>&lt;p&gt;&lt;/p&gt;</t>
        </is>
      </c>
      <c r="O3485" t="inlineStr"/>
      <c r="P3485" t="inlineStr">
        <is>
          <t>SK69XHC , Car - Electric , Tesla , Model 3 Performance AWD</t>
        </is>
      </c>
      <c r="Q3485" t="inlineStr">
        <is>
          <t>NGED</t>
        </is>
      </c>
      <c r="R3485" t="b">
        <v>0</v>
      </c>
    </row>
    <row r="3486">
      <c r="A3486" t="inlineStr">
        <is>
          <t>6 Mar 2026 / Christopher Phillips</t>
        </is>
      </c>
      <c r="B3486" t="inlineStr">
        <is>
          <t>Utilities</t>
        </is>
      </c>
      <c r="C3486" t="inlineStr">
        <is>
          <t>NGED</t>
        </is>
      </c>
      <c r="D3486" t="inlineStr">
        <is>
          <t>SK69XHC , Car - Electric , Tesla , Model 3 Performance AWD</t>
        </is>
      </c>
      <c r="E3486" t="inlineStr">
        <is>
          <t>SK69XHC , Car - Electric , Tesla , Model 3 Performance AWD</t>
        </is>
      </c>
      <c r="F3486" t="inlineStr">
        <is>
          <t>SK69XHC , Car - Electric , Tesla , Model 3 Performance AWD</t>
        </is>
      </c>
      <c r="G3486" t="inlineStr">
        <is>
          <t xml:space="preserve">Chris Phillips </t>
        </is>
      </c>
      <c r="H3486" t="inlineStr">
        <is>
          <t>Car - Electric (GC Owned)</t>
        </is>
      </c>
      <c r="I3486" t="inlineStr">
        <is>
          <t>Monthly Vehicle Inspection</t>
        </is>
      </c>
      <c r="J3486" t="inlineStr">
        <is>
          <t>76245</t>
        </is>
      </c>
      <c r="K3486" t="inlineStr">
        <is>
          <t>Christopher Phillips</t>
        </is>
      </c>
      <c r="L3486" t="inlineStr">
        <is>
          <t>06/03/2026 09:45</t>
        </is>
      </c>
      <c r="M3486" t="inlineStr">
        <is>
          <t xml:space="preserve">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 Fail
</t>
        </is>
      </c>
      <c r="N3486" t="inlineStr">
        <is>
          <t>&lt;p&gt;&lt;/p&gt;</t>
        </is>
      </c>
      <c r="O3486" t="inlineStr">
        <is>
          <t>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hours.:I live in a first-floor flat and have no designated parking bay.
-</t>
        </is>
      </c>
      <c r="P3486" t="inlineStr">
        <is>
          <t>SK69XHC , Car - Electric , Tesla , Model 3 Performance AWD</t>
        </is>
      </c>
      <c r="Q3486" t="inlineStr">
        <is>
          <t>NGED</t>
        </is>
      </c>
      <c r="R3486" t="b">
        <v>0</v>
      </c>
    </row>
    <row r="3487">
      <c r="A3487" t="inlineStr">
        <is>
          <t>9 Mar 2026 / Patryk Zietarski</t>
        </is>
      </c>
      <c r="B3487" t="inlineStr">
        <is>
          <t>Utilities</t>
        </is>
      </c>
      <c r="C3487" t="inlineStr">
        <is>
          <t>UKPN</t>
        </is>
      </c>
      <c r="D3487" t="inlineStr">
        <is>
          <t>YW73CWL , Car - Electric , Kia , eNiro</t>
        </is>
      </c>
      <c r="E3487" t="inlineStr">
        <is>
          <t>YW73CWL , Car - Electric , Kia , eNiro</t>
        </is>
      </c>
      <c r="F3487" t="inlineStr">
        <is>
          <t>YW73CWL , Car - Electric , Kia , eNiro</t>
        </is>
      </c>
      <c r="G3487" t="inlineStr">
        <is>
          <t xml:space="preserve">Patryk Zietarski </t>
        </is>
      </c>
      <c r="H3487" t="inlineStr">
        <is>
          <t>Car - Electric (GC Owned)</t>
        </is>
      </c>
      <c r="I3487" t="inlineStr">
        <is>
          <t>Daily/ Weekly Vehicle Inspection</t>
        </is>
      </c>
      <c r="J3487" t="inlineStr">
        <is>
          <t>N/A</t>
        </is>
      </c>
      <c r="K3487" t="inlineStr">
        <is>
          <t>Patryk Zietarski</t>
        </is>
      </c>
      <c r="L3487" t="inlineStr">
        <is>
          <t>09/03/2026 05:44</t>
        </is>
      </c>
      <c r="M3487" t="inlineStr">
        <is>
          <t>None</t>
        </is>
      </c>
      <c r="N3487" t="inlineStr">
        <is>
          <t>&lt;p&gt;&lt;/p&gt;</t>
        </is>
      </c>
      <c r="O3487" t="inlineStr"/>
      <c r="P3487" t="inlineStr">
        <is>
          <t>YW73CWL , Car - Electric , Kia , eNiro</t>
        </is>
      </c>
      <c r="Q3487" t="inlineStr">
        <is>
          <t>UKPN</t>
        </is>
      </c>
      <c r="R3487" t="b">
        <v>0</v>
      </c>
    </row>
    <row r="3488">
      <c r="A3488" t="inlineStr">
        <is>
          <t>9 Mar 2026 / 7186 Eastwoodbury Tree Services Ltd</t>
        </is>
      </c>
      <c r="B3488" t="inlineStr">
        <is>
          <t>Utilities</t>
        </is>
      </c>
      <c r="C3488" t="inlineStr">
        <is>
          <t>UKPN</t>
        </is>
      </c>
      <c r="D3488" t="inlineStr">
        <is>
          <t>WF13 EKT , 4x4 , Land rover  , Defender</t>
        </is>
      </c>
      <c r="E3488" t="inlineStr">
        <is>
          <t>WF13 EKT , 4x4 , Land rover  , Defender</t>
        </is>
      </c>
      <c r="F3488" t="inlineStr">
        <is>
          <t>WF13 EKT , 4x4 , Land rover  , Defender</t>
        </is>
      </c>
      <c r="G3488" t="inlineStr">
        <is>
          <t xml:space="preserve">Dan Gilbert </t>
        </is>
      </c>
      <c r="H3488" t="inlineStr">
        <is>
          <t>4x4</t>
        </is>
      </c>
      <c r="I3488" t="inlineStr">
        <is>
          <t>Daily/ Weekly Vehicle Inspection</t>
        </is>
      </c>
      <c r="J3488" t="inlineStr">
        <is>
          <t>N/A</t>
        </is>
      </c>
      <c r="K3488" t="inlineStr">
        <is>
          <t>7186 Eastwoodbury Tree Services Ltd</t>
        </is>
      </c>
      <c r="L3488" t="inlineStr">
        <is>
          <t>09/03/2026 07:45</t>
        </is>
      </c>
      <c r="M3488" t="inlineStr">
        <is>
          <t>None</t>
        </is>
      </c>
      <c r="N3488" t="inlineStr">
        <is>
          <t>&lt;p&gt;&lt;/p&gt;</t>
        </is>
      </c>
      <c r="O3488" t="inlineStr"/>
      <c r="P3488" t="inlineStr">
        <is>
          <t>WF13 EKT , 4x4 , Land rover  , Defender</t>
        </is>
      </c>
      <c r="Q3488" t="inlineStr">
        <is>
          <t>UKPN</t>
        </is>
      </c>
      <c r="R3488" t="b">
        <v>0</v>
      </c>
    </row>
    <row r="3489">
      <c r="A3489" t="inlineStr">
        <is>
          <t>9 Mar 2026 / 7186 Eastwoodbury Tree Services Ltd</t>
        </is>
      </c>
      <c r="B3489" t="inlineStr">
        <is>
          <t>Utilities</t>
        </is>
      </c>
      <c r="C3489" t="inlineStr">
        <is>
          <t>UKPN</t>
        </is>
      </c>
      <c r="D3489" t="inlineStr">
        <is>
          <t>FX14 XCV , 4x4 , Land Rover  , Defender</t>
        </is>
      </c>
      <c r="E3489" t="inlineStr">
        <is>
          <t>FX14 XCV , 4x4 , Land Rover  , Defender</t>
        </is>
      </c>
      <c r="F3489" t="inlineStr">
        <is>
          <t>FX14 XCV , 4x4 , Land Rover  , Defender</t>
        </is>
      </c>
      <c r="G3489" t="inlineStr">
        <is>
          <t xml:space="preserve">Tom Price </t>
        </is>
      </c>
      <c r="H3489" t="inlineStr">
        <is>
          <t>4x4</t>
        </is>
      </c>
      <c r="I3489" t="inlineStr">
        <is>
          <t>Daily/ Weekly Vehicle Inspection</t>
        </is>
      </c>
      <c r="J3489" t="inlineStr">
        <is>
          <t>N/A</t>
        </is>
      </c>
      <c r="K3489" t="inlineStr">
        <is>
          <t>7186 Eastwoodbury Tree Services Ltd</t>
        </is>
      </c>
      <c r="L3489" t="inlineStr">
        <is>
          <t>09/03/2026 07:46</t>
        </is>
      </c>
      <c r="M3489" t="inlineStr">
        <is>
          <t>None</t>
        </is>
      </c>
      <c r="N3489" t="inlineStr">
        <is>
          <t>&lt;p&gt;&lt;/p&gt;</t>
        </is>
      </c>
      <c r="O3489" t="inlineStr"/>
      <c r="P3489" t="inlineStr">
        <is>
          <t>FX14 XCV , 4x4 , Land Rover  , Defender</t>
        </is>
      </c>
      <c r="Q3489" t="inlineStr">
        <is>
          <t>UKPN</t>
        </is>
      </c>
      <c r="R3489" t="b">
        <v>0</v>
      </c>
    </row>
    <row r="3490">
      <c r="A3490" t="inlineStr">
        <is>
          <t>9 Mar 2026 / Benet Jones</t>
        </is>
      </c>
      <c r="B3490" t="inlineStr">
        <is>
          <t>Utilities</t>
        </is>
      </c>
      <c r="C3490" t="inlineStr">
        <is>
          <t>NGED</t>
        </is>
      </c>
      <c r="D3490" t="inlineStr"/>
      <c r="E3490" t="inlineStr"/>
      <c r="F3490" t="inlineStr"/>
      <c r="G3490" t="inlineStr">
        <is>
          <t xml:space="preserve">Benet Jones </t>
        </is>
      </c>
      <c r="H3490" t="inlineStr">
        <is>
          <t>Car - Petrol</t>
        </is>
      </c>
      <c r="I3490" t="inlineStr">
        <is>
          <t>Daily/ Weekly Vehicle Inspection</t>
        </is>
      </c>
      <c r="J3490" t="inlineStr">
        <is>
          <t>N/A</t>
        </is>
      </c>
      <c r="K3490" t="inlineStr">
        <is>
          <t>Benet Jones</t>
        </is>
      </c>
      <c r="L3490" t="inlineStr">
        <is>
          <t>09/03/2026 07:47</t>
        </is>
      </c>
      <c r="M3490" t="inlineStr">
        <is>
          <t>None</t>
        </is>
      </c>
      <c r="N3490" t="inlineStr">
        <is>
          <t>&lt;p&gt;&lt;/p&gt;</t>
        </is>
      </c>
      <c r="O3490" t="inlineStr">
        <is>
          <t>Confirm that you have checked this vehicle as per the guidance document and the vehicle is safe and roadworthy:Vehicle checked and serviceable
-</t>
        </is>
      </c>
      <c r="P3490" t="inlineStr"/>
      <c r="Q3490" t="inlineStr">
        <is>
          <t>NGED</t>
        </is>
      </c>
      <c r="R3490" t="b">
        <v>0</v>
      </c>
    </row>
    <row r="3491">
      <c r="A3491" t="inlineStr">
        <is>
          <t>9 Mar 2026 / 8040 S6 Tree specialists Ltd</t>
        </is>
      </c>
      <c r="B3491" t="inlineStr">
        <is>
          <t>Utilities</t>
        </is>
      </c>
      <c r="C3491" t="inlineStr">
        <is>
          <t>UKPN</t>
        </is>
      </c>
      <c r="D3491" t="inlineStr">
        <is>
          <t>Na , Towed Chipper , Timberwolf  , 190</t>
        </is>
      </c>
      <c r="E3491" t="inlineStr">
        <is>
          <t>Na , Towed Chipper , Timberwolf  , 190</t>
        </is>
      </c>
      <c r="F3491" t="inlineStr">
        <is>
          <t>Na , Towed Chipper , Timberwolf  , 190</t>
        </is>
      </c>
      <c r="G3491" t="inlineStr">
        <is>
          <t>Luke</t>
        </is>
      </c>
      <c r="H3491" t="inlineStr">
        <is>
          <t>Towed Chipper</t>
        </is>
      </c>
      <c r="I3491" t="inlineStr">
        <is>
          <t>Daily/ Weekly Vehicle Inspection</t>
        </is>
      </c>
      <c r="J3491" t="inlineStr">
        <is>
          <t>N/A</t>
        </is>
      </c>
      <c r="K3491" t="inlineStr">
        <is>
          <t>8040 S6 Tree specialists Ltd</t>
        </is>
      </c>
      <c r="L3491" t="inlineStr">
        <is>
          <t>09/03/2026 07:53</t>
        </is>
      </c>
      <c r="M3491" t="inlineStr">
        <is>
          <t>None</t>
        </is>
      </c>
      <c r="N3491" t="inlineStr">
        <is>
          <t>&lt;p&gt;&lt;/p&gt;</t>
        </is>
      </c>
      <c r="O3491" t="inlineStr"/>
      <c r="P3491" t="inlineStr">
        <is>
          <t>Na , Towed Chipper , Timberwolf  , 190</t>
        </is>
      </c>
      <c r="Q3491" t="inlineStr">
        <is>
          <t>UKPN</t>
        </is>
      </c>
      <c r="R3491" t="b">
        <v>0</v>
      </c>
    </row>
    <row r="3492">
      <c r="A3492" t="inlineStr">
        <is>
          <t>9 Mar 2026 / 8040 S6 Tree specialists Ltd</t>
        </is>
      </c>
      <c r="B3492" t="inlineStr">
        <is>
          <t>Utilities</t>
        </is>
      </c>
      <c r="C3492" t="inlineStr">
        <is>
          <t>UKPN</t>
        </is>
      </c>
      <c r="D3492" t="inlineStr"/>
      <c r="E3492" t="inlineStr"/>
      <c r="F3492" t="inlineStr"/>
      <c r="G3492" t="inlineStr"/>
      <c r="H3492" t="inlineStr"/>
      <c r="I3492" t="inlineStr"/>
      <c r="J3492" t="inlineStr">
        <is>
          <t>N/A</t>
        </is>
      </c>
      <c r="K3492" t="inlineStr">
        <is>
          <t>8040 S6 Tree specialists Ltd</t>
        </is>
      </c>
      <c r="L3492" t="inlineStr">
        <is>
          <t>09/03/2026 07:55</t>
        </is>
      </c>
      <c r="M3492" t="inlineStr">
        <is>
          <t>None</t>
        </is>
      </c>
      <c r="N3492" t="inlineStr">
        <is>
          <t>&lt;p&gt;&lt;/p&gt;</t>
        </is>
      </c>
      <c r="O3492" t="inlineStr"/>
      <c r="P3492" t="inlineStr"/>
      <c r="Q3492" t="inlineStr">
        <is>
          <t>UKPN</t>
        </is>
      </c>
      <c r="R3492" t="b">
        <v>0</v>
      </c>
    </row>
    <row r="3493">
      <c r="A3493" t="inlineStr">
        <is>
          <t>9 Mar 2026 / 8040 S6 Tree specialists Ltd</t>
        </is>
      </c>
      <c r="B3493" t="inlineStr">
        <is>
          <t>Utilities</t>
        </is>
      </c>
      <c r="C3493" t="inlineStr">
        <is>
          <t>UKPN</t>
        </is>
      </c>
      <c r="D3493" t="inlineStr">
        <is>
          <t>Cu59myy  , 4x4 , Landrover  , Discovery 4</t>
        </is>
      </c>
      <c r="E3493" t="inlineStr">
        <is>
          <t>Cu59myy  , 4x4 , Landrover  , Discovery 4</t>
        </is>
      </c>
      <c r="F3493" t="inlineStr">
        <is>
          <t>Cu59myy  , 4x4 , Landrover  , Discovery 4</t>
        </is>
      </c>
      <c r="G3493" t="inlineStr">
        <is>
          <t>Luke lane</t>
        </is>
      </c>
      <c r="H3493" t="inlineStr">
        <is>
          <t>4x4</t>
        </is>
      </c>
      <c r="I3493" t="inlineStr">
        <is>
          <t>Daily/ Weekly Vehicle Inspection</t>
        </is>
      </c>
      <c r="J3493" t="inlineStr">
        <is>
          <t>N/A</t>
        </is>
      </c>
      <c r="K3493" t="inlineStr">
        <is>
          <t>8040 S6 Tree specialists Ltd</t>
        </is>
      </c>
      <c r="L3493" t="inlineStr">
        <is>
          <t>09/03/2026 07:56</t>
        </is>
      </c>
      <c r="M3493" t="inlineStr">
        <is>
          <t>None</t>
        </is>
      </c>
      <c r="N3493" t="inlineStr">
        <is>
          <t>&lt;p&gt;&lt;/p&gt;</t>
        </is>
      </c>
      <c r="O3493" t="inlineStr"/>
      <c r="P3493" t="inlineStr">
        <is>
          <t>Cu59myy  , 4x4 , Landrover  , Discovery 4</t>
        </is>
      </c>
      <c r="Q3493" t="inlineStr">
        <is>
          <t>UKPN</t>
        </is>
      </c>
      <c r="R3493" t="b">
        <v>0</v>
      </c>
    </row>
    <row r="3494">
      <c r="A3494" t="inlineStr">
        <is>
          <t>9 Mar 2026 / 6617 Ashdown Tree Limited 1</t>
        </is>
      </c>
      <c r="B3494" t="inlineStr">
        <is>
          <t>Utilities</t>
        </is>
      </c>
      <c r="C3494" t="inlineStr">
        <is>
          <t>UKPN</t>
        </is>
      </c>
      <c r="D3494" t="inlineStr">
        <is>
          <t>WG63OJS , 4x4 , Land rover  , defender</t>
        </is>
      </c>
      <c r="E3494" t="inlineStr">
        <is>
          <t>WG63OJS , 4x4 , Land rover  , defender</t>
        </is>
      </c>
      <c r="F3494" t="inlineStr">
        <is>
          <t>WG63OJS , 4x4 , Land rover  , defender</t>
        </is>
      </c>
      <c r="G3494" t="inlineStr">
        <is>
          <t>Dan</t>
        </is>
      </c>
      <c r="H3494" t="inlineStr">
        <is>
          <t>4x4</t>
        </is>
      </c>
      <c r="I3494" t="inlineStr">
        <is>
          <t>Daily/ Weekly Vehicle Inspection</t>
        </is>
      </c>
      <c r="J3494" t="inlineStr">
        <is>
          <t>N/A</t>
        </is>
      </c>
      <c r="K3494" t="inlineStr">
        <is>
          <t>6617 Ashdown Tree Limited - Team 2</t>
        </is>
      </c>
      <c r="L3494" t="inlineStr">
        <is>
          <t>09/03/2026 07:57</t>
        </is>
      </c>
      <c r="M3494" t="inlineStr">
        <is>
          <t>None</t>
        </is>
      </c>
      <c r="N3494" t="inlineStr">
        <is>
          <t>&lt;p&gt;&lt;/p&gt;</t>
        </is>
      </c>
      <c r="O3494" t="inlineStr"/>
      <c r="P3494" t="inlineStr">
        <is>
          <t>WG63OJS , 4x4 , Land rover  , defender</t>
        </is>
      </c>
      <c r="Q3494" t="inlineStr">
        <is>
          <t>UKPN</t>
        </is>
      </c>
      <c r="R3494" t="b">
        <v>0</v>
      </c>
    </row>
    <row r="3495">
      <c r="A3495" t="inlineStr">
        <is>
          <t>9 Mar 2026 / 7996 M G Tree Surgery Ltd 1</t>
        </is>
      </c>
      <c r="B3495" t="inlineStr">
        <is>
          <t>Utilities</t>
        </is>
      </c>
      <c r="C3495" t="inlineStr">
        <is>
          <t>UKPN</t>
        </is>
      </c>
      <c r="D3495" t="inlineStr">
        <is>
          <t>GU13 WNL , MEWP , Land Rover , Defender 130</t>
        </is>
      </c>
      <c r="E3495" t="inlineStr">
        <is>
          <t>GU13 WNL , MEWP , Land Rover , Defender 130</t>
        </is>
      </c>
      <c r="F3495" t="inlineStr">
        <is>
          <t>GU13 WNL , MEWP , Land Rover , Defender 130</t>
        </is>
      </c>
      <c r="G3495" t="inlineStr">
        <is>
          <t>Anthony Gale</t>
        </is>
      </c>
      <c r="H3495" t="inlineStr">
        <is>
          <t>4x4</t>
        </is>
      </c>
      <c r="I3495" t="inlineStr">
        <is>
          <t>Daily/ Weekly Vehicle Inspection</t>
        </is>
      </c>
      <c r="J3495" t="inlineStr">
        <is>
          <t>N/A</t>
        </is>
      </c>
      <c r="K3495" t="inlineStr">
        <is>
          <t>7996 M G Tree Surgery Ltd 1</t>
        </is>
      </c>
      <c r="L3495" t="inlineStr">
        <is>
          <t>09/03/2026 07:58</t>
        </is>
      </c>
      <c r="M3495" t="inlineStr">
        <is>
          <t>None</t>
        </is>
      </c>
      <c r="N3495" t="inlineStr">
        <is>
          <t>&lt;p&gt;&lt;/p&gt;</t>
        </is>
      </c>
      <c r="O3495" t="inlineStr"/>
      <c r="P3495" t="inlineStr">
        <is>
          <t>GU13 WNL , MEWP , Land Rover , Defender 130</t>
        </is>
      </c>
      <c r="Q3495" t="inlineStr">
        <is>
          <t>UKPN</t>
        </is>
      </c>
      <c r="R3495" t="b">
        <v>0</v>
      </c>
    </row>
    <row r="3496">
      <c r="A3496" t="inlineStr">
        <is>
          <t>9 Mar 2026 / Gary England</t>
        </is>
      </c>
      <c r="B3496" t="inlineStr">
        <is>
          <t>Utilities</t>
        </is>
      </c>
      <c r="C3496" t="inlineStr">
        <is>
          <t>NGED</t>
        </is>
      </c>
      <c r="D3496" t="inlineStr">
        <is>
          <t>GJ71KAO , Car - Electric , Tesla , Model 3 Long Range AWD</t>
        </is>
      </c>
      <c r="E3496" t="inlineStr">
        <is>
          <t>GJ71KAO , Car - Electric , Tesla , Model 3 Long Range AWD</t>
        </is>
      </c>
      <c r="F3496" t="inlineStr">
        <is>
          <t>GJ71KAO , Car - Electric , Tesla , Model 3 Long Range AWD</t>
        </is>
      </c>
      <c r="G3496" t="inlineStr">
        <is>
          <t xml:space="preserve">Gary England </t>
        </is>
      </c>
      <c r="H3496" t="inlineStr">
        <is>
          <t>Car - Electric (GC Owned)</t>
        </is>
      </c>
      <c r="I3496" t="inlineStr">
        <is>
          <t>Daily/ Weekly Vehicle Inspection</t>
        </is>
      </c>
      <c r="J3496" t="inlineStr">
        <is>
          <t>N/A</t>
        </is>
      </c>
      <c r="K3496" t="inlineStr">
        <is>
          <t>Gary England</t>
        </is>
      </c>
      <c r="L3496" t="inlineStr">
        <is>
          <t>09/03/2026 08:43</t>
        </is>
      </c>
      <c r="M3496" t="inlineStr">
        <is>
          <t>None</t>
        </is>
      </c>
      <c r="N3496" t="inlineStr">
        <is>
          <t>&lt;p&gt;&lt;/p&gt;</t>
        </is>
      </c>
      <c r="O3496" t="inlineStr"/>
      <c r="P3496" t="inlineStr">
        <is>
          <t>GJ71KAO , Car - Electric , Tesla , Model 3 Long Range AWD</t>
        </is>
      </c>
      <c r="Q3496" t="inlineStr">
        <is>
          <t>NGED</t>
        </is>
      </c>
      <c r="R3496" t="b">
        <v>0</v>
      </c>
    </row>
    <row r="3497">
      <c r="A3497" t="inlineStr">
        <is>
          <t>9 Mar 2026 / 7995 Green Net Eco Ltd 2</t>
        </is>
      </c>
      <c r="B3497" t="inlineStr">
        <is>
          <t>Utilities</t>
        </is>
      </c>
      <c r="C3497" t="inlineStr">
        <is>
          <t>UKPN</t>
        </is>
      </c>
      <c r="D3497" t="inlineStr">
        <is>
          <t>WM72UNF , 4x4 , Ford , Ranger</t>
        </is>
      </c>
      <c r="E3497" t="inlineStr">
        <is>
          <t>WM72UNF , 4x4 , Ford , Ranger</t>
        </is>
      </c>
      <c r="F3497" t="inlineStr">
        <is>
          <t>WM72UNF , 4x4 , Ford , Ranger</t>
        </is>
      </c>
      <c r="G3497" t="inlineStr">
        <is>
          <t>Jacob Oram</t>
        </is>
      </c>
      <c r="H3497" t="inlineStr">
        <is>
          <t>4x4</t>
        </is>
      </c>
      <c r="I3497" t="inlineStr">
        <is>
          <t>Daily/ Weekly Vehicle Inspection</t>
        </is>
      </c>
      <c r="J3497" t="inlineStr">
        <is>
          <t>N/A</t>
        </is>
      </c>
      <c r="K3497" t="inlineStr">
        <is>
          <t>7995 Green Net Eco Ltd 2</t>
        </is>
      </c>
      <c r="L3497" t="inlineStr">
        <is>
          <t>09/03/2026 08:44</t>
        </is>
      </c>
      <c r="M3497" t="inlineStr">
        <is>
          <t>None</t>
        </is>
      </c>
      <c r="N3497" t="inlineStr">
        <is>
          <t>&lt;p&gt;&lt;/p&gt;</t>
        </is>
      </c>
      <c r="O3497" t="inlineStr"/>
      <c r="P3497" t="inlineStr">
        <is>
          <t>WM72UNF , 4x4 , Ford , Ranger</t>
        </is>
      </c>
      <c r="Q3497" t="inlineStr">
        <is>
          <t>UKPN</t>
        </is>
      </c>
      <c r="R3497" t="b">
        <v>0</v>
      </c>
    </row>
    <row r="3498">
      <c r="A3498" t="inlineStr">
        <is>
          <t>9 Mar 2026 / 7806 Optimum Tree Services Ltd</t>
        </is>
      </c>
      <c r="B3498" t="inlineStr">
        <is>
          <t>Utilities</t>
        </is>
      </c>
      <c r="C3498" t="inlineStr">
        <is>
          <t>UKPN</t>
        </is>
      </c>
      <c r="D3498" t="inlineStr">
        <is>
          <t>WD14EVB , MEWP , Land Rover , Defender</t>
        </is>
      </c>
      <c r="E3498" t="inlineStr">
        <is>
          <t>WD14EVB , MEWP , Land Rover , Defender</t>
        </is>
      </c>
      <c r="F3498" t="inlineStr">
        <is>
          <t>WD14EVB , MEWP , Land Rover , Defender</t>
        </is>
      </c>
      <c r="G3498" t="inlineStr">
        <is>
          <t xml:space="preserve">Lewis davies </t>
        </is>
      </c>
      <c r="H3498" t="inlineStr">
        <is>
          <t>4x4</t>
        </is>
      </c>
      <c r="I3498" t="inlineStr">
        <is>
          <t>Daily/ Weekly Vehicle Inspection</t>
        </is>
      </c>
      <c r="J3498" t="inlineStr">
        <is>
          <t>N/A</t>
        </is>
      </c>
      <c r="K3498" t="inlineStr">
        <is>
          <t>7806 Optimum Tree Services Ltd</t>
        </is>
      </c>
      <c r="L3498" t="inlineStr">
        <is>
          <t>09/03/2026 08:48</t>
        </is>
      </c>
      <c r="M3498" t="inlineStr">
        <is>
          <t>None</t>
        </is>
      </c>
      <c r="N3498" t="inlineStr">
        <is>
          <t>&lt;p&gt;&lt;/p&gt;</t>
        </is>
      </c>
      <c r="O3498" t="inlineStr"/>
      <c r="P3498" t="inlineStr">
        <is>
          <t>WD14EVB , MEWP , Land Rover , Defender</t>
        </is>
      </c>
      <c r="Q3498" t="inlineStr">
        <is>
          <t>UKPN</t>
        </is>
      </c>
      <c r="R3498" t="b">
        <v>0</v>
      </c>
    </row>
    <row r="3499">
      <c r="A3499" t="inlineStr">
        <is>
          <t>9 Mar 2026 / 7806 Optimum Tree Services Ltd</t>
        </is>
      </c>
      <c r="B3499" t="inlineStr">
        <is>
          <t>Utilities</t>
        </is>
      </c>
      <c r="C3499" t="inlineStr">
        <is>
          <t>UKPN</t>
        </is>
      </c>
      <c r="D3499" t="inlineStr">
        <is>
          <t>Wd14evn , 4x4 , Landrover  , Defender</t>
        </is>
      </c>
      <c r="E3499" t="inlineStr">
        <is>
          <t>Wd14evn , 4x4 , Landrover  , Defender</t>
        </is>
      </c>
      <c r="F3499" t="inlineStr">
        <is>
          <t>Wd14evn , 4x4 , Landrover  , Defender</t>
        </is>
      </c>
      <c r="G3499" t="inlineStr">
        <is>
          <t xml:space="preserve">Abraham Davies </t>
        </is>
      </c>
      <c r="H3499" t="inlineStr">
        <is>
          <t>4x4</t>
        </is>
      </c>
      <c r="I3499" t="inlineStr">
        <is>
          <t>Daily/ Weekly Vehicle Inspection</t>
        </is>
      </c>
      <c r="J3499" t="inlineStr">
        <is>
          <t>N/A</t>
        </is>
      </c>
      <c r="K3499" t="inlineStr">
        <is>
          <t>7806 Optimum Tree Services Ltd</t>
        </is>
      </c>
      <c r="L3499" t="inlineStr">
        <is>
          <t>09/03/2026 08:50</t>
        </is>
      </c>
      <c r="M3499" t="inlineStr">
        <is>
          <t>None</t>
        </is>
      </c>
      <c r="N3499" t="inlineStr">
        <is>
          <t>&lt;p&gt;&lt;/p&gt;</t>
        </is>
      </c>
      <c r="O3499" t="inlineStr"/>
      <c r="P3499" t="inlineStr">
        <is>
          <t>Wd14evn , 4x4 , Landrover  , Defender</t>
        </is>
      </c>
      <c r="Q3499" t="inlineStr">
        <is>
          <t>UKPN</t>
        </is>
      </c>
      <c r="R3499" t="b">
        <v>0</v>
      </c>
    </row>
    <row r="3500">
      <c r="A3500" t="inlineStr">
        <is>
          <t>9 Mar 2026 / 7806 Optimum Tree Services Ltd</t>
        </is>
      </c>
      <c r="B3500" t="inlineStr">
        <is>
          <t>Utilities</t>
        </is>
      </c>
      <c r="C3500" t="inlineStr">
        <is>
          <t>UKPN</t>
        </is>
      </c>
      <c r="D3500" t="inlineStr">
        <is>
          <t>SA9TAPLAF27414263 , Trailer , Tow Mate , Plant Trailer</t>
        </is>
      </c>
      <c r="E3500" t="inlineStr">
        <is>
          <t>SA9TAPLAF27414263 , Trailer , Tow Mate , Plant Trailer</t>
        </is>
      </c>
      <c r="F3500" t="inlineStr">
        <is>
          <t>SA9TAPLAF27414263 , Trailer , Tow Mate , Plant Trailer</t>
        </is>
      </c>
      <c r="G3500" t="inlineStr">
        <is>
          <t xml:space="preserve">Abraham Davies </t>
        </is>
      </c>
      <c r="H3500" t="inlineStr">
        <is>
          <t>Plant Trailer</t>
        </is>
      </c>
      <c r="I3500" t="inlineStr">
        <is>
          <t>Daily/ Weekly Vehicle Inspection</t>
        </is>
      </c>
      <c r="J3500" t="inlineStr">
        <is>
          <t>N/A</t>
        </is>
      </c>
      <c r="K3500" t="inlineStr">
        <is>
          <t>7806 Optimum Tree Services Ltd</t>
        </is>
      </c>
      <c r="L3500" t="inlineStr">
        <is>
          <t>09/03/2026 08:53</t>
        </is>
      </c>
      <c r="M3500" t="inlineStr">
        <is>
          <t>None</t>
        </is>
      </c>
      <c r="N3500" t="inlineStr">
        <is>
          <t>&lt;p&gt;&lt;/p&gt;</t>
        </is>
      </c>
      <c r="O3500" t="inlineStr"/>
      <c r="P3500" t="inlineStr">
        <is>
          <t>SA9TAPLAF27414263 , Trailer , Tow Mate , Plant Trailer</t>
        </is>
      </c>
      <c r="Q3500" t="inlineStr">
        <is>
          <t>UKPN</t>
        </is>
      </c>
      <c r="R3500" t="b">
        <v>0</v>
      </c>
    </row>
    <row r="3501">
      <c r="A3501" t="inlineStr">
        <is>
          <t>9 Mar 2026 / 7806 Optimum Tree Services Ltd</t>
        </is>
      </c>
      <c r="B3501" t="inlineStr">
        <is>
          <t>Utilities</t>
        </is>
      </c>
      <c r="C3501" t="inlineStr">
        <is>
          <t>UKPN</t>
        </is>
      </c>
      <c r="D3501" t="inlineStr">
        <is>
          <t>NA10SYZ , Tipper , Ford , Transit</t>
        </is>
      </c>
      <c r="E3501" t="inlineStr">
        <is>
          <t>NA10SYZ , Tipper , Ford , Transit</t>
        </is>
      </c>
      <c r="F3501" t="inlineStr">
        <is>
          <t>NA10SYZ , Tipper , Ford , Transit</t>
        </is>
      </c>
      <c r="G3501" t="inlineStr">
        <is>
          <t xml:space="preserve">Kenny Aldred </t>
        </is>
      </c>
      <c r="H3501" t="inlineStr">
        <is>
          <t>Tipper</t>
        </is>
      </c>
      <c r="I3501" t="inlineStr">
        <is>
          <t>Daily/ Weekly Vehicle Inspection</t>
        </is>
      </c>
      <c r="J3501" t="inlineStr">
        <is>
          <t>N/A</t>
        </is>
      </c>
      <c r="K3501" t="inlineStr">
        <is>
          <t>7806 Optimum Tree Services Ltd</t>
        </is>
      </c>
      <c r="L3501" t="inlineStr">
        <is>
          <t>09/03/2026 08:54</t>
        </is>
      </c>
      <c r="M3501" t="inlineStr">
        <is>
          <t>None</t>
        </is>
      </c>
      <c r="N3501" t="inlineStr">
        <is>
          <t>&lt;p&gt;&lt;/p&gt;</t>
        </is>
      </c>
      <c r="O3501" t="inlineStr"/>
      <c r="P3501" t="inlineStr">
        <is>
          <t>NA10SYZ , Tipper , Ford , Transit</t>
        </is>
      </c>
      <c r="Q3501" t="inlineStr">
        <is>
          <t>UKPN</t>
        </is>
      </c>
      <c r="R3501" t="b">
        <v>0</v>
      </c>
    </row>
    <row r="3502">
      <c r="A3502" t="inlineStr">
        <is>
          <t>9 Mar 2026 / 7995 Green Net Eco Ltd 2</t>
        </is>
      </c>
      <c r="B3502" t="inlineStr">
        <is>
          <t>Utilities</t>
        </is>
      </c>
      <c r="C3502" t="inlineStr">
        <is>
          <t>UKPN</t>
        </is>
      </c>
      <c r="D3502" t="inlineStr">
        <is>
          <t>SA9ST800000283944 , Towed Chipper , Forst , ST8D - Towed</t>
        </is>
      </c>
      <c r="E3502" t="inlineStr">
        <is>
          <t>SA9ST800000283944 , Towed Chipper , Forst , ST8D - Towed</t>
        </is>
      </c>
      <c r="F3502" t="inlineStr">
        <is>
          <t>SA9ST800000283944 , Towed Chipper , Forst , ST8D - Towed</t>
        </is>
      </c>
      <c r="G3502" t="inlineStr">
        <is>
          <t>Tom Playford</t>
        </is>
      </c>
      <c r="H3502" t="inlineStr">
        <is>
          <t>Towed Chipper</t>
        </is>
      </c>
      <c r="I3502" t="inlineStr">
        <is>
          <t>Daily/ Weekly Vehicle Inspection</t>
        </is>
      </c>
      <c r="J3502" t="inlineStr">
        <is>
          <t>N/A</t>
        </is>
      </c>
      <c r="K3502" t="inlineStr">
        <is>
          <t>7995 Green Net Eco Ltd 2</t>
        </is>
      </c>
      <c r="L3502" t="inlineStr">
        <is>
          <t>09/03/2026 08:59</t>
        </is>
      </c>
      <c r="M3502" t="inlineStr">
        <is>
          <t>None</t>
        </is>
      </c>
      <c r="N3502" t="inlineStr">
        <is>
          <t>&lt;p&gt;&lt;/p&gt;</t>
        </is>
      </c>
      <c r="O3502" t="inlineStr"/>
      <c r="P3502" t="inlineStr">
        <is>
          <t>SA9ST800000283944 , Towed Chipper , Forst , ST8D - Towed</t>
        </is>
      </c>
      <c r="Q3502" t="inlineStr">
        <is>
          <t>UKPN</t>
        </is>
      </c>
      <c r="R3502" t="b">
        <v>0</v>
      </c>
    </row>
    <row r="3503">
      <c r="A3503" t="inlineStr">
        <is>
          <t>9 Mar 2026 / 7995 Green Net Eco Ltd 2</t>
        </is>
      </c>
      <c r="B3503" t="inlineStr">
        <is>
          <t>Utilities</t>
        </is>
      </c>
      <c r="C3503" t="inlineStr">
        <is>
          <t>UKPN</t>
        </is>
      </c>
      <c r="D3503" t="inlineStr">
        <is>
          <t>X21TNP , 4x4 , Toyota , Hilux</t>
        </is>
      </c>
      <c r="E3503" t="inlineStr">
        <is>
          <t>X21TNP , 4x4 , Toyota , Hilux</t>
        </is>
      </c>
      <c r="F3503" t="inlineStr">
        <is>
          <t>X21TNP , 4x4 , Toyota , Hilux</t>
        </is>
      </c>
      <c r="G3503" t="inlineStr">
        <is>
          <t>Tom Playford</t>
        </is>
      </c>
      <c r="H3503" t="inlineStr">
        <is>
          <t>4x4</t>
        </is>
      </c>
      <c r="I3503" t="inlineStr">
        <is>
          <t>Daily/ Weekly Vehicle Inspection</t>
        </is>
      </c>
      <c r="J3503" t="inlineStr">
        <is>
          <t>N/A</t>
        </is>
      </c>
      <c r="K3503" t="inlineStr">
        <is>
          <t>7995 Green Net Eco Ltd 2</t>
        </is>
      </c>
      <c r="L3503" t="inlineStr">
        <is>
          <t>09/03/2026 09:00</t>
        </is>
      </c>
      <c r="M3503" t="inlineStr">
        <is>
          <t>None</t>
        </is>
      </c>
      <c r="N3503" t="inlineStr">
        <is>
          <t>&lt;p&gt;&lt;/p&gt;</t>
        </is>
      </c>
      <c r="O3503" t="inlineStr"/>
      <c r="P3503" t="inlineStr">
        <is>
          <t>X21TNP , 4x4 , Toyota , Hilux</t>
        </is>
      </c>
      <c r="Q3503" t="inlineStr">
        <is>
          <t>UKPN</t>
        </is>
      </c>
      <c r="R3503" t="b">
        <v>0</v>
      </c>
    </row>
    <row r="3504">
      <c r="A3504" t="inlineStr">
        <is>
          <t>9 Mar 2026 / Ashley Hill</t>
        </is>
      </c>
      <c r="B3504" t="inlineStr">
        <is>
          <t>Utilities</t>
        </is>
      </c>
      <c r="C3504" t="inlineStr">
        <is>
          <t>NGED</t>
        </is>
      </c>
      <c r="D3504" t="inlineStr"/>
      <c r="E3504" t="inlineStr"/>
      <c r="F3504" t="inlineStr"/>
      <c r="G3504" t="inlineStr">
        <is>
          <t>Ashley Hill</t>
        </is>
      </c>
      <c r="H3504" t="inlineStr">
        <is>
          <t>Car - Petrol</t>
        </is>
      </c>
      <c r="I3504" t="inlineStr">
        <is>
          <t>Daily/ Weekly Vehicle Inspection</t>
        </is>
      </c>
      <c r="J3504" t="inlineStr">
        <is>
          <t>N/A</t>
        </is>
      </c>
      <c r="K3504" t="inlineStr">
        <is>
          <t>Ashley Hill</t>
        </is>
      </c>
      <c r="L3504" t="inlineStr">
        <is>
          <t>09/03/2026 09:44</t>
        </is>
      </c>
      <c r="M3504" t="inlineStr">
        <is>
          <t>None</t>
        </is>
      </c>
      <c r="N3504" t="inlineStr">
        <is>
          <t>&lt;p&gt;&lt;/p&gt;</t>
        </is>
      </c>
      <c r="O3504" t="inlineStr"/>
      <c r="P3504" t="inlineStr"/>
      <c r="Q3504" t="inlineStr">
        <is>
          <t>NGED</t>
        </is>
      </c>
      <c r="R3504" t="b">
        <v>0</v>
      </c>
    </row>
    <row r="3505">
      <c r="A3505" t="inlineStr">
        <is>
          <t>9 Mar 2026 / 7889 Tree Tech Suffolk Ltd</t>
        </is>
      </c>
      <c r="B3505" t="inlineStr">
        <is>
          <t>Utilities &amp; Inland Waterways</t>
        </is>
      </c>
      <c r="C3505" t="inlineStr">
        <is>
          <t>UKPN</t>
        </is>
      </c>
      <c r="D3505" t="inlineStr">
        <is>
          <t>Tipper - Nissan - Navara - NS02TTS</t>
        </is>
      </c>
      <c r="E3505" t="inlineStr">
        <is>
          <t>Tipper - Nissan - Navara - NS02TTS</t>
        </is>
      </c>
      <c r="F3505" t="inlineStr">
        <is>
          <t>Tipper - Nissan - Navara - NS02TTS</t>
        </is>
      </c>
      <c r="G3505" t="inlineStr">
        <is>
          <t>Danny Appleby</t>
        </is>
      </c>
      <c r="H3505" t="inlineStr">
        <is>
          <t>Tipper</t>
        </is>
      </c>
      <c r="I3505" t="inlineStr">
        <is>
          <t>Daily/ Weekly Vehicle Inspection</t>
        </is>
      </c>
      <c r="J3505" t="inlineStr">
        <is>
          <t>N/A</t>
        </is>
      </c>
      <c r="K3505" t="inlineStr">
        <is>
          <t>7889 Tree Tech Suffolk Ltd</t>
        </is>
      </c>
      <c r="L3505" t="inlineStr">
        <is>
          <t>09/03/2026 09:46</t>
        </is>
      </c>
      <c r="M3505" t="inlineStr">
        <is>
          <t>None</t>
        </is>
      </c>
      <c r="N3505" t="inlineStr">
        <is>
          <t>&lt;p&gt;&lt;/p&gt;</t>
        </is>
      </c>
      <c r="O3505" t="inlineStr"/>
      <c r="P3505" t="inlineStr">
        <is>
          <t>Tipper - Nissan - Navara - NS02TTS</t>
        </is>
      </c>
      <c r="Q3505" t="inlineStr">
        <is>
          <t>UKPN</t>
        </is>
      </c>
      <c r="R3505" t="b">
        <v>0</v>
      </c>
    </row>
    <row r="3506">
      <c r="A3506" t="inlineStr">
        <is>
          <t>9 Mar 2026 / Rodney Taylor</t>
        </is>
      </c>
      <c r="B3506" t="inlineStr">
        <is>
          <t>Utilities</t>
        </is>
      </c>
      <c r="C3506" t="inlineStr">
        <is>
          <t>NGED</t>
        </is>
      </c>
      <c r="D3506" t="inlineStr">
        <is>
          <t>EK73UOM , Car - Electric , Kia , Niro</t>
        </is>
      </c>
      <c r="E3506" t="inlineStr">
        <is>
          <t>EK73UOM , Car - Electric , Kia , Niro</t>
        </is>
      </c>
      <c r="F3506" t="inlineStr">
        <is>
          <t>EK73UOM , Car - Electric , Kia , Niro</t>
        </is>
      </c>
      <c r="G3506" t="inlineStr">
        <is>
          <t xml:space="preserve">Rod Taylor </t>
        </is>
      </c>
      <c r="H3506" t="inlineStr">
        <is>
          <t>Car - Electric (GC Owned)</t>
        </is>
      </c>
      <c r="I3506" t="inlineStr">
        <is>
          <t>Daily/ Weekly Vehicle Inspection</t>
        </is>
      </c>
      <c r="J3506" t="inlineStr">
        <is>
          <t>N/A</t>
        </is>
      </c>
      <c r="K3506" t="inlineStr">
        <is>
          <t>Rodney Taylor</t>
        </is>
      </c>
      <c r="L3506" t="inlineStr">
        <is>
          <t>09/03/2026 09:47</t>
        </is>
      </c>
      <c r="M3506" t="inlineStr">
        <is>
          <t>None</t>
        </is>
      </c>
      <c r="N3506" t="inlineStr">
        <is>
          <t>&lt;p&gt;&lt;/p&gt;</t>
        </is>
      </c>
      <c r="O3506" t="inlineStr"/>
      <c r="P3506" t="inlineStr">
        <is>
          <t>EK73UOM , Car - Electric , Kia , Niro</t>
        </is>
      </c>
      <c r="Q3506" t="inlineStr">
        <is>
          <t>NGED</t>
        </is>
      </c>
      <c r="R3506" t="b">
        <v>0</v>
      </c>
    </row>
    <row r="3507">
      <c r="A3507" t="inlineStr">
        <is>
          <t>9 Mar 2026 / Oliver Coyle</t>
        </is>
      </c>
      <c r="B3507" t="inlineStr">
        <is>
          <t>Utilities</t>
        </is>
      </c>
      <c r="C3507" t="inlineStr">
        <is>
          <t>NGED</t>
        </is>
      </c>
      <c r="D3507" t="inlineStr">
        <is>
          <t>GL20TSX , Car - Electric , Tesla , Model 3 Long Range AWD</t>
        </is>
      </c>
      <c r="E3507" t="inlineStr">
        <is>
          <t>GL20TSX , Car - Electric , Tesla , Model 3 Long Range AWD</t>
        </is>
      </c>
      <c r="F3507" t="inlineStr">
        <is>
          <t>GL20TSX , Car - Electric , Tesla , Model 3 Long Range AWD</t>
        </is>
      </c>
      <c r="G3507" t="inlineStr">
        <is>
          <t xml:space="preserve">Oliver Coyle </t>
        </is>
      </c>
      <c r="H3507" t="inlineStr">
        <is>
          <t>Car - Electric (GC Owned)</t>
        </is>
      </c>
      <c r="I3507" t="inlineStr">
        <is>
          <t>Daily/ Weekly Vehicle Inspection</t>
        </is>
      </c>
      <c r="J3507" t="inlineStr">
        <is>
          <t>N/A</t>
        </is>
      </c>
      <c r="K3507" t="inlineStr">
        <is>
          <t>Oliver Coyle</t>
        </is>
      </c>
      <c r="L3507" t="inlineStr">
        <is>
          <t>09/03/2026 09:58</t>
        </is>
      </c>
      <c r="M3507" t="inlineStr">
        <is>
          <t>None</t>
        </is>
      </c>
      <c r="N3507" t="inlineStr">
        <is>
          <t>&lt;p&gt;&lt;/p&gt;</t>
        </is>
      </c>
      <c r="O3507" t="inlineStr"/>
      <c r="P3507" t="inlineStr">
        <is>
          <t>GL20TSX , Car - Electric , Tesla , Model 3 Long Range AWD</t>
        </is>
      </c>
      <c r="Q3507" t="inlineStr">
        <is>
          <t>NGED</t>
        </is>
      </c>
      <c r="R3507" t="b">
        <v>0</v>
      </c>
    </row>
    <row r="3508">
      <c r="A3508" t="inlineStr">
        <is>
          <t>9 Mar 2026 / James Heaton</t>
        </is>
      </c>
      <c r="B3508" t="inlineStr">
        <is>
          <t>Utilities</t>
        </is>
      </c>
      <c r="C3508" t="inlineStr">
        <is>
          <t>NGED</t>
        </is>
      </c>
      <c r="D3508" t="inlineStr">
        <is>
          <t>AJ23EKC , Car - Electric , Tesla , Model 3 Long Range AWD</t>
        </is>
      </c>
      <c r="E3508" t="inlineStr">
        <is>
          <t>AJ23EKC , Car - Electric , Tesla , Model 3 Long Range AWD</t>
        </is>
      </c>
      <c r="F3508" t="inlineStr">
        <is>
          <t>AJ23EKC , Car - Electric , Tesla , Model 3 Long Range AWD</t>
        </is>
      </c>
      <c r="G3508" t="inlineStr">
        <is>
          <t>James heaton</t>
        </is>
      </c>
      <c r="H3508" t="inlineStr">
        <is>
          <t>Car - Electric (GC Owned)</t>
        </is>
      </c>
      <c r="I3508" t="inlineStr">
        <is>
          <t>Daily/ Weekly Vehicle Inspection</t>
        </is>
      </c>
      <c r="J3508" t="inlineStr">
        <is>
          <t>N/A</t>
        </is>
      </c>
      <c r="K3508" t="inlineStr">
        <is>
          <t>James Heaton</t>
        </is>
      </c>
      <c r="L3508" t="inlineStr">
        <is>
          <t>09/03/2026 09:59</t>
        </is>
      </c>
      <c r="M3508" t="inlineStr">
        <is>
          <t>None</t>
        </is>
      </c>
      <c r="N3508" t="inlineStr">
        <is>
          <t>&lt;p&gt;&lt;/p&gt;</t>
        </is>
      </c>
      <c r="O3508" t="inlineStr"/>
      <c r="P3508" t="inlineStr">
        <is>
          <t>AJ23EKC , Car - Electric , Tesla , Model 3 Long Range AWD</t>
        </is>
      </c>
      <c r="Q3508" t="inlineStr">
        <is>
          <t>NGED</t>
        </is>
      </c>
      <c r="R3508" t="b">
        <v>0</v>
      </c>
    </row>
    <row r="3509">
      <c r="A3509" t="inlineStr">
        <is>
          <t>9 Mar 2026 / 8148 Hope Ground and Tree Care</t>
        </is>
      </c>
      <c r="B3509" t="inlineStr">
        <is>
          <t>Utilities</t>
        </is>
      </c>
      <c r="C3509" t="inlineStr">
        <is>
          <t>UKPN</t>
        </is>
      </c>
      <c r="D3509" t="inlineStr">
        <is>
          <t>S6 NWX , MEWP , Isuzu , D-Max</t>
        </is>
      </c>
      <c r="E3509" t="inlineStr">
        <is>
          <t>S6 NWX , MEWP , Isuzu , D-Max</t>
        </is>
      </c>
      <c r="F3509" t="inlineStr">
        <is>
          <t>S6 NWX , MEWP , Isuzu , D-Max</t>
        </is>
      </c>
      <c r="G3509" t="inlineStr">
        <is>
          <t>A Hope</t>
        </is>
      </c>
      <c r="H3509" t="inlineStr">
        <is>
          <t>4x4</t>
        </is>
      </c>
      <c r="I3509" t="inlineStr">
        <is>
          <t>Daily/ Weekly Vehicle Inspection</t>
        </is>
      </c>
      <c r="J3509" t="inlineStr">
        <is>
          <t>N/A</t>
        </is>
      </c>
      <c r="K3509" t="inlineStr">
        <is>
          <t>8148 Hope Ground and Tree Care</t>
        </is>
      </c>
      <c r="L3509" t="inlineStr">
        <is>
          <t>09/03/2026 10:44</t>
        </is>
      </c>
      <c r="M3509" t="inlineStr">
        <is>
          <t>None</t>
        </is>
      </c>
      <c r="N3509" t="inlineStr">
        <is>
          <t>&lt;p&gt;&lt;/p&gt;</t>
        </is>
      </c>
      <c r="O3509" t="inlineStr"/>
      <c r="P3509" t="inlineStr">
        <is>
          <t>S6 NWX , MEWP , Isuzu , D-Max</t>
        </is>
      </c>
      <c r="Q3509" t="inlineStr">
        <is>
          <t>UKPN</t>
        </is>
      </c>
      <c r="R3509" t="b">
        <v>0</v>
      </c>
    </row>
    <row r="3510">
      <c r="A3510" t="inlineStr">
        <is>
          <t>9 Mar 2026 / Joe Sauvage</t>
        </is>
      </c>
      <c r="B3510" t="inlineStr">
        <is>
          <t>Utilities</t>
        </is>
      </c>
      <c r="C3510" t="inlineStr">
        <is>
          <t>SSE</t>
        </is>
      </c>
      <c r="D3510" t="inlineStr">
        <is>
          <t>EO18AEW , Car - Petrol , Ford , Kuga</t>
        </is>
      </c>
      <c r="E3510" t="inlineStr">
        <is>
          <t>EO18AEW , Car - Petrol , Ford , Kuga</t>
        </is>
      </c>
      <c r="F3510" t="inlineStr">
        <is>
          <t>EO18AEW , Car - Petrol , Ford , Kuga</t>
        </is>
      </c>
      <c r="G3510" t="inlineStr">
        <is>
          <t xml:space="preserve">Joe sauvage </t>
        </is>
      </c>
      <c r="H3510" t="inlineStr">
        <is>
          <t>Car - Electric (GC Owned)</t>
        </is>
      </c>
      <c r="I3510" t="inlineStr">
        <is>
          <t>Daily/ Weekly Vehicle Inspection</t>
        </is>
      </c>
      <c r="J3510" t="inlineStr">
        <is>
          <t>N/A</t>
        </is>
      </c>
      <c r="K3510" t="inlineStr">
        <is>
          <t>Joe Sauvage</t>
        </is>
      </c>
      <c r="L3510" t="inlineStr">
        <is>
          <t>09/03/2026 10:51</t>
        </is>
      </c>
      <c r="M3510" t="inlineStr">
        <is>
          <t>None</t>
        </is>
      </c>
      <c r="N3510" t="inlineStr">
        <is>
          <t>&lt;p&gt;&lt;/p&gt;</t>
        </is>
      </c>
      <c r="O3510" t="inlineStr"/>
      <c r="P3510" t="inlineStr">
        <is>
          <t>EO18AEW , Car - Petrol , Ford , Kuga</t>
        </is>
      </c>
      <c r="Q3510" t="inlineStr">
        <is>
          <t>SSE</t>
        </is>
      </c>
      <c r="R3510" t="b">
        <v>0</v>
      </c>
    </row>
    <row r="3511">
      <c r="A3511" t="inlineStr">
        <is>
          <t>9 Mar 2026 / 7996 M G Tree Surgery Ltd</t>
        </is>
      </c>
      <c r="B3511" t="inlineStr">
        <is>
          <t>Utilities</t>
        </is>
      </c>
      <c r="C3511" t="inlineStr">
        <is>
          <t>UKPN</t>
        </is>
      </c>
      <c r="D3511" t="inlineStr">
        <is>
          <t>KX20 BCE , Tipper , Isuzu , D-Max</t>
        </is>
      </c>
      <c r="E3511" t="inlineStr">
        <is>
          <t>KX20 BCE , Tipper , Isuzu , D-Max</t>
        </is>
      </c>
      <c r="F3511" t="inlineStr">
        <is>
          <t>KX20 BCE , Tipper , Isuzu , D-Max</t>
        </is>
      </c>
      <c r="G3511" t="inlineStr">
        <is>
          <t>Max</t>
        </is>
      </c>
      <c r="H3511" t="inlineStr">
        <is>
          <t>Pickup Truck</t>
        </is>
      </c>
      <c r="I3511" t="inlineStr">
        <is>
          <t>Daily/ Weekly Vehicle Inspection</t>
        </is>
      </c>
      <c r="J3511" t="inlineStr">
        <is>
          <t>N/A</t>
        </is>
      </c>
      <c r="K3511" t="inlineStr">
        <is>
          <t>7996 M G Tree Surgery Ltd</t>
        </is>
      </c>
      <c r="L3511" t="inlineStr">
        <is>
          <t>09/03/2026 10:52</t>
        </is>
      </c>
      <c r="M3511" t="inlineStr">
        <is>
          <t>None</t>
        </is>
      </c>
      <c r="N3511" t="inlineStr">
        <is>
          <t>&lt;p&gt;&lt;/p&gt;</t>
        </is>
      </c>
      <c r="O3511" t="inlineStr"/>
      <c r="P3511" t="inlineStr">
        <is>
          <t>KX20 BCE , Tipper , Isuzu , D-Max</t>
        </is>
      </c>
      <c r="Q3511" t="inlineStr">
        <is>
          <t>UKPN</t>
        </is>
      </c>
      <c r="R3511" t="b">
        <v>0</v>
      </c>
    </row>
    <row r="3512">
      <c r="A3512" t="inlineStr">
        <is>
          <t>9 Mar 2026 / Jane Moore</t>
        </is>
      </c>
      <c r="B3512" t="inlineStr">
        <is>
          <t>Utilities</t>
        </is>
      </c>
      <c r="C3512" t="inlineStr">
        <is>
          <t>NGED</t>
        </is>
      </c>
      <c r="D3512" t="inlineStr">
        <is>
          <t>GL20TGZ , Car - Electric , Tesla , Model 3 Long Range AWD</t>
        </is>
      </c>
      <c r="E3512" t="inlineStr">
        <is>
          <t>GL20TGZ , Car - Electric , Tesla , Model 3 Long Range AWD</t>
        </is>
      </c>
      <c r="F3512" t="inlineStr">
        <is>
          <t>GL20TGZ , Car - Electric , Tesla , Model 3 Long Range AWD</t>
        </is>
      </c>
      <c r="G3512" t="inlineStr">
        <is>
          <t xml:space="preserve">Jane Moore </t>
        </is>
      </c>
      <c r="H3512" t="inlineStr">
        <is>
          <t>Car - Electric (GC Owned)</t>
        </is>
      </c>
      <c r="I3512" t="inlineStr">
        <is>
          <t>Daily/ Weekly Vehicle Inspection</t>
        </is>
      </c>
      <c r="J3512" t="inlineStr">
        <is>
          <t>N/A</t>
        </is>
      </c>
      <c r="K3512" t="inlineStr">
        <is>
          <t>Jane Moore</t>
        </is>
      </c>
      <c r="L3512" t="inlineStr">
        <is>
          <t>09/03/2026 11:43</t>
        </is>
      </c>
      <c r="M3512" t="inlineStr">
        <is>
          <t>None</t>
        </is>
      </c>
      <c r="N3512" t="inlineStr">
        <is>
          <t>&lt;p&gt;&lt;/p&gt;</t>
        </is>
      </c>
      <c r="O3512" t="inlineStr"/>
      <c r="P3512" t="inlineStr">
        <is>
          <t>GL20TGZ , Car - Electric , Tesla , Model 3 Long Range AWD</t>
        </is>
      </c>
      <c r="Q3512" t="inlineStr">
        <is>
          <t>NGED</t>
        </is>
      </c>
      <c r="R3512" t="b">
        <v>0</v>
      </c>
    </row>
    <row r="3513">
      <c r="A3513" t="inlineStr">
        <is>
          <t>9 Mar 2026 / Christopher Phillips</t>
        </is>
      </c>
      <c r="B3513" t="inlineStr">
        <is>
          <t>Utilities</t>
        </is>
      </c>
      <c r="C3513" t="inlineStr">
        <is>
          <t>NGED</t>
        </is>
      </c>
      <c r="D3513" t="inlineStr">
        <is>
          <t>SK69XHC , Car - Electric , Tesla , Model 3 Performance AWD</t>
        </is>
      </c>
      <c r="E3513" t="inlineStr">
        <is>
          <t>SK69XHC , Car - Electric , Tesla , Model 3 Performance AWD</t>
        </is>
      </c>
      <c r="F3513" t="inlineStr">
        <is>
          <t>SK69XHC , Car - Electric , Tesla , Model 3 Performance AWD</t>
        </is>
      </c>
      <c r="G3513" t="inlineStr">
        <is>
          <t xml:space="preserve">Chris Phillips </t>
        </is>
      </c>
      <c r="H3513" t="inlineStr">
        <is>
          <t>Car - Electric (GC Owned)</t>
        </is>
      </c>
      <c r="I3513" t="inlineStr">
        <is>
          <t>Daily/ Weekly Vehicle Inspection</t>
        </is>
      </c>
      <c r="J3513" t="inlineStr">
        <is>
          <t>N/A</t>
        </is>
      </c>
      <c r="K3513" t="inlineStr">
        <is>
          <t>Christopher Phillips</t>
        </is>
      </c>
      <c r="L3513" t="inlineStr">
        <is>
          <t>09/03/2026 11:45</t>
        </is>
      </c>
      <c r="M3513" t="inlineStr">
        <is>
          <t>None</t>
        </is>
      </c>
      <c r="N3513" t="inlineStr">
        <is>
          <t>&lt;p&gt;&lt;/p&gt;</t>
        </is>
      </c>
      <c r="O3513" t="inlineStr"/>
      <c r="P3513" t="inlineStr">
        <is>
          <t>SK69XHC , Car - Electric , Tesla , Model 3 Performance AWD</t>
        </is>
      </c>
      <c r="Q3513" t="inlineStr">
        <is>
          <t>NGED</t>
        </is>
      </c>
      <c r="R3513" t="b">
        <v>0</v>
      </c>
    </row>
    <row r="3514">
      <c r="A3514" t="inlineStr">
        <is>
          <t>9 Mar 2026 / Philip Shaw</t>
        </is>
      </c>
      <c r="B3514" t="inlineStr">
        <is>
          <t>Utilities</t>
        </is>
      </c>
      <c r="C3514" t="inlineStr">
        <is>
          <t>NGED</t>
        </is>
      </c>
      <c r="D3514" t="inlineStr">
        <is>
          <t>AF22TZO , Car - Electric , Tesla , Model 3 Long Range AWD</t>
        </is>
      </c>
      <c r="E3514" t="inlineStr">
        <is>
          <t>AF22TZO , Car - Electric , Tesla , Model 3 Long Range AWD</t>
        </is>
      </c>
      <c r="F3514" t="inlineStr">
        <is>
          <t>AF22TZO , Car - Electric , Tesla , Model 3 Long Range AWD</t>
        </is>
      </c>
      <c r="G3514" t="inlineStr">
        <is>
          <t>Phil shaw</t>
        </is>
      </c>
      <c r="H3514" t="inlineStr">
        <is>
          <t>Car - Electric (GC Owned)</t>
        </is>
      </c>
      <c r="I3514" t="inlineStr">
        <is>
          <t>Daily/ Weekly Vehicle Inspection</t>
        </is>
      </c>
      <c r="J3514" t="inlineStr">
        <is>
          <t>N/A</t>
        </is>
      </c>
      <c r="K3514" t="inlineStr">
        <is>
          <t>Philip Shaw</t>
        </is>
      </c>
      <c r="L3514" t="inlineStr">
        <is>
          <t>09/03/2026 12:43</t>
        </is>
      </c>
      <c r="M3514" t="inlineStr">
        <is>
          <t>None</t>
        </is>
      </c>
      <c r="N3514" t="inlineStr">
        <is>
          <t>&lt;p&gt;&lt;/p&gt;</t>
        </is>
      </c>
      <c r="O3514" t="inlineStr"/>
      <c r="P3514" t="inlineStr">
        <is>
          <t>AF22TZO , Car - Electric , Tesla , Model 3 Long Range AWD</t>
        </is>
      </c>
      <c r="Q3514" t="inlineStr">
        <is>
          <t>NGED</t>
        </is>
      </c>
      <c r="R3514" t="b">
        <v>0</v>
      </c>
    </row>
    <row r="3515">
      <c r="A3515" t="inlineStr">
        <is>
          <t>9 Mar 2026 / Ian Thompson</t>
        </is>
      </c>
      <c r="B3515" t="inlineStr">
        <is>
          <t>Utilities</t>
        </is>
      </c>
      <c r="C3515" t="inlineStr">
        <is>
          <t>NGED</t>
        </is>
      </c>
      <c r="D3515" t="inlineStr">
        <is>
          <t>WO23PYF , Van , Ford , Ranger</t>
        </is>
      </c>
      <c r="E3515" t="inlineStr">
        <is>
          <t>WO23PYF , Van , Ford , Ranger</t>
        </is>
      </c>
      <c r="F3515" t="inlineStr">
        <is>
          <t>WO23PYF , Van , Ford , Ranger</t>
        </is>
      </c>
      <c r="G3515" t="inlineStr">
        <is>
          <t xml:space="preserve">Ian Thompson </t>
        </is>
      </c>
      <c r="H3515" t="inlineStr">
        <is>
          <t>4x4</t>
        </is>
      </c>
      <c r="I3515" t="inlineStr">
        <is>
          <t>Daily/ Weekly Vehicle Inspection</t>
        </is>
      </c>
      <c r="J3515" t="inlineStr">
        <is>
          <t>N/A</t>
        </is>
      </c>
      <c r="K3515" t="inlineStr">
        <is>
          <t>Ian Thompson</t>
        </is>
      </c>
      <c r="L3515" t="inlineStr">
        <is>
          <t>09/03/2026 12:43</t>
        </is>
      </c>
      <c r="M3515" t="inlineStr">
        <is>
          <t>None</t>
        </is>
      </c>
      <c r="N3515" t="inlineStr">
        <is>
          <t>&lt;p&gt;&lt;/p&gt;</t>
        </is>
      </c>
      <c r="O3515" t="inlineStr"/>
      <c r="P3515" t="inlineStr">
        <is>
          <t>WO23PYF , Van , Ford , Ranger</t>
        </is>
      </c>
      <c r="Q3515" t="inlineStr">
        <is>
          <t>NGED</t>
        </is>
      </c>
      <c r="R3515" t="b">
        <v>0</v>
      </c>
    </row>
    <row r="3516">
      <c r="A3516" t="inlineStr">
        <is>
          <t>9 Mar 2026 / Keil Cheung</t>
        </is>
      </c>
      <c r="B3516" t="inlineStr">
        <is>
          <t>Utilities</t>
        </is>
      </c>
      <c r="C3516" t="inlineStr">
        <is>
          <t>NGED</t>
        </is>
      </c>
      <c r="D3516" t="inlineStr">
        <is>
          <t>GJ71KHV , Car - Electric , Tesla , Model 3 Long Range AWD</t>
        </is>
      </c>
      <c r="E3516" t="inlineStr">
        <is>
          <t>GJ71KHV , Car - Electric , Tesla , Model 3 Long Range AWD</t>
        </is>
      </c>
      <c r="F3516" t="inlineStr">
        <is>
          <t>GJ71KHV , Car - Electric , Tesla , Model 3 Long Range AWD</t>
        </is>
      </c>
      <c r="G3516" t="inlineStr">
        <is>
          <t>Keil cheung</t>
        </is>
      </c>
      <c r="H3516" t="inlineStr">
        <is>
          <t>Car - Electric (GC Owned)</t>
        </is>
      </c>
      <c r="I3516" t="inlineStr">
        <is>
          <t>Daily/ Weekly Vehicle Inspection</t>
        </is>
      </c>
      <c r="J3516" t="inlineStr">
        <is>
          <t>N/A</t>
        </is>
      </c>
      <c r="K3516" t="inlineStr">
        <is>
          <t>Keil Cheung</t>
        </is>
      </c>
      <c r="L3516" t="inlineStr">
        <is>
          <t>09/03/2026 12:45</t>
        </is>
      </c>
      <c r="M3516" t="inlineStr">
        <is>
          <t>None</t>
        </is>
      </c>
      <c r="N3516" t="inlineStr">
        <is>
          <t>&lt;p&gt;&lt;/p&gt;</t>
        </is>
      </c>
      <c r="O3516" t="inlineStr"/>
      <c r="P3516" t="inlineStr">
        <is>
          <t>GJ71KHV , Car - Electric , Tesla , Model 3 Long Range AWD</t>
        </is>
      </c>
      <c r="Q3516" t="inlineStr">
        <is>
          <t>NGED</t>
        </is>
      </c>
      <c r="R3516" t="b">
        <v>0</v>
      </c>
    </row>
    <row r="3517">
      <c r="A3517" t="inlineStr">
        <is>
          <t>9 Mar 2026 / Christopher Simeoli</t>
        </is>
      </c>
      <c r="B3517" t="inlineStr">
        <is>
          <t>Utilities</t>
        </is>
      </c>
      <c r="C3517" t="inlineStr">
        <is>
          <t>NGED</t>
        </is>
      </c>
      <c r="D3517" t="inlineStr">
        <is>
          <t>EO73KVB , Car - Electric , Kia , Niro</t>
        </is>
      </c>
      <c r="E3517" t="inlineStr">
        <is>
          <t>EO73KVB , Car - Electric , Kia , Niro</t>
        </is>
      </c>
      <c r="F3517" t="inlineStr">
        <is>
          <t>EO73KVB , Car - Electric , Kia , Niro</t>
        </is>
      </c>
      <c r="G3517" t="inlineStr">
        <is>
          <t>Chris Simeoli</t>
        </is>
      </c>
      <c r="H3517" t="inlineStr">
        <is>
          <t>Car - Electric (GC Owned)</t>
        </is>
      </c>
      <c r="I3517" t="inlineStr">
        <is>
          <t>Daily/ Weekly Vehicle Inspection</t>
        </is>
      </c>
      <c r="J3517" t="inlineStr">
        <is>
          <t>N/A</t>
        </is>
      </c>
      <c r="K3517" t="inlineStr">
        <is>
          <t>Christopher Simeoli</t>
        </is>
      </c>
      <c r="L3517" t="inlineStr">
        <is>
          <t>09/03/2026 13:44</t>
        </is>
      </c>
      <c r="M3517" t="inlineStr">
        <is>
          <t>None</t>
        </is>
      </c>
      <c r="N3517" t="inlineStr">
        <is>
          <t>&lt;p&gt;&lt;/p&gt;</t>
        </is>
      </c>
      <c r="O3517" t="inlineStr"/>
      <c r="P3517" t="inlineStr">
        <is>
          <t>EO73KVB , Car - Electric , Kia , Niro</t>
        </is>
      </c>
      <c r="Q3517" t="inlineStr">
        <is>
          <t>NGED</t>
        </is>
      </c>
      <c r="R3517" t="b">
        <v>0</v>
      </c>
    </row>
    <row r="3518">
      <c r="A3518" t="inlineStr">
        <is>
          <t>9 Mar 2026 / Ben Arnold</t>
        </is>
      </c>
      <c r="B3518" t="inlineStr">
        <is>
          <t>Utilities</t>
        </is>
      </c>
      <c r="C3518" t="inlineStr">
        <is>
          <t>UKPN</t>
        </is>
      </c>
      <c r="D3518" t="inlineStr">
        <is>
          <t>EX18DCY , 4x4 , Ford , Ranger</t>
        </is>
      </c>
      <c r="E3518" t="inlineStr">
        <is>
          <t>EX18DCY , 4x4 , Ford , Ranger</t>
        </is>
      </c>
      <c r="F3518" t="inlineStr">
        <is>
          <t>EX18DCY , 4x4 , Ford , Ranger</t>
        </is>
      </c>
      <c r="G3518" t="inlineStr">
        <is>
          <t>B Arnold</t>
        </is>
      </c>
      <c r="H3518" t="inlineStr">
        <is>
          <t>Pickup Truck</t>
        </is>
      </c>
      <c r="I3518" t="inlineStr">
        <is>
          <t>Daily/ Weekly Vehicle Inspection</t>
        </is>
      </c>
      <c r="J3518" t="inlineStr">
        <is>
          <t>N/A</t>
        </is>
      </c>
      <c r="K3518" t="inlineStr">
        <is>
          <t>Ben Arnold</t>
        </is>
      </c>
      <c r="L3518" t="inlineStr">
        <is>
          <t>09/03/2026 16:45</t>
        </is>
      </c>
      <c r="M3518" t="inlineStr">
        <is>
          <t>None</t>
        </is>
      </c>
      <c r="N3518" t="inlineStr">
        <is>
          <t>&lt;p&gt;&lt;/p&gt;</t>
        </is>
      </c>
      <c r="O3518" t="inlineStr"/>
      <c r="P3518" t="inlineStr">
        <is>
          <t>EX18DCY , 4x4 , Ford , Ranger</t>
        </is>
      </c>
      <c r="Q3518" t="inlineStr">
        <is>
          <t>UKPN</t>
        </is>
      </c>
      <c r="R3518" t="b">
        <v>0</v>
      </c>
    </row>
    <row r="3519">
      <c r="A3519" t="inlineStr">
        <is>
          <t>10 Mar 2026 / 8040 S6 Tree specialists Ltd</t>
        </is>
      </c>
      <c r="B3519" t="inlineStr">
        <is>
          <t>Utilities</t>
        </is>
      </c>
      <c r="C3519" t="inlineStr">
        <is>
          <t>UKPN</t>
        </is>
      </c>
      <c r="D3519" t="inlineStr">
        <is>
          <t>Na , Towed Chipper , Timberwolf  , 190</t>
        </is>
      </c>
      <c r="E3519" t="inlineStr">
        <is>
          <t>Na , Towed Chipper , Timberwolf  , 190</t>
        </is>
      </c>
      <c r="F3519" t="inlineStr">
        <is>
          <t>Na , Towed Chipper , Timberwolf  , 190</t>
        </is>
      </c>
      <c r="G3519" t="inlineStr">
        <is>
          <t>Luke</t>
        </is>
      </c>
      <c r="H3519" t="inlineStr">
        <is>
          <t>Towed Chipper</t>
        </is>
      </c>
      <c r="I3519" t="inlineStr">
        <is>
          <t>Daily/ Weekly Vehicle Inspection</t>
        </is>
      </c>
      <c r="J3519" t="inlineStr">
        <is>
          <t>N/A</t>
        </is>
      </c>
      <c r="K3519" t="inlineStr">
        <is>
          <t>8040 S6 Tree specialists Ltd</t>
        </is>
      </c>
      <c r="L3519" t="inlineStr">
        <is>
          <t>10/03/2026 06:45</t>
        </is>
      </c>
      <c r="M3519" t="inlineStr">
        <is>
          <t>None</t>
        </is>
      </c>
      <c r="N3519" t="inlineStr">
        <is>
          <t>&lt;p&gt;&lt;/p&gt;</t>
        </is>
      </c>
      <c r="O3519" t="inlineStr"/>
      <c r="P3519" t="inlineStr">
        <is>
          <t>Na , Towed Chipper , Timberwolf  , 190</t>
        </is>
      </c>
      <c r="Q3519" t="inlineStr">
        <is>
          <t>UKPN</t>
        </is>
      </c>
      <c r="R3519" t="b">
        <v>0</v>
      </c>
    </row>
    <row r="3520">
      <c r="A3520" t="inlineStr">
        <is>
          <t>10 Mar 2026 / 8040 S6 Tree specialists Ltd</t>
        </is>
      </c>
      <c r="B3520" t="inlineStr">
        <is>
          <t>Utilities</t>
        </is>
      </c>
      <c r="C3520" t="inlineStr">
        <is>
          <t>UKPN</t>
        </is>
      </c>
      <c r="D3520" t="inlineStr">
        <is>
          <t>Cu59myy  , 4x4 , Landrover  , Discovery 4</t>
        </is>
      </c>
      <c r="E3520" t="inlineStr">
        <is>
          <t>Cu59myy  , 4x4 , Landrover  , Discovery 4</t>
        </is>
      </c>
      <c r="F3520" t="inlineStr">
        <is>
          <t>Cu59myy  , 4x4 , Landrover  , Discovery 4</t>
        </is>
      </c>
      <c r="G3520" t="inlineStr">
        <is>
          <t>Luke</t>
        </is>
      </c>
      <c r="H3520" t="inlineStr">
        <is>
          <t>4x4</t>
        </is>
      </c>
      <c r="I3520" t="inlineStr">
        <is>
          <t>Daily/ Weekly Vehicle Inspection</t>
        </is>
      </c>
      <c r="J3520" t="inlineStr">
        <is>
          <t>N/A</t>
        </is>
      </c>
      <c r="K3520" t="inlineStr">
        <is>
          <t>8040 S6 Tree specialists Ltd</t>
        </is>
      </c>
      <c r="L3520" t="inlineStr">
        <is>
          <t>10/03/2026 06:46</t>
        </is>
      </c>
      <c r="M3520" t="inlineStr">
        <is>
          <t>None</t>
        </is>
      </c>
      <c r="N3520" t="inlineStr">
        <is>
          <t>&lt;p&gt;&lt;/p&gt;</t>
        </is>
      </c>
      <c r="O3520" t="inlineStr"/>
      <c r="P3520" t="inlineStr">
        <is>
          <t>Cu59myy  , 4x4 , Landrover  , Discovery 4</t>
        </is>
      </c>
      <c r="Q3520" t="inlineStr">
        <is>
          <t>UKPN</t>
        </is>
      </c>
      <c r="R3520" t="b">
        <v>0</v>
      </c>
    </row>
    <row r="3521">
      <c r="A3521" t="inlineStr">
        <is>
          <t>10 Mar 2026 / 6617 Ashdown Tree Limited 1</t>
        </is>
      </c>
      <c r="B3521" t="inlineStr">
        <is>
          <t>Utilities</t>
        </is>
      </c>
      <c r="C3521" t="inlineStr">
        <is>
          <t>UKPN</t>
        </is>
      </c>
      <c r="D3521" t="inlineStr">
        <is>
          <t>WF11EJJ , Vehicle , Land Rover , Discovery</t>
        </is>
      </c>
      <c r="E3521" t="inlineStr">
        <is>
          <t>WF11EJJ , Vehicle , Land Rover , Discovery</t>
        </is>
      </c>
      <c r="F3521" t="inlineStr">
        <is>
          <t>WF11EJJ , Vehicle , Land Rover , Discovery</t>
        </is>
      </c>
      <c r="G3521" t="inlineStr">
        <is>
          <t>Dan</t>
        </is>
      </c>
      <c r="H3521" t="inlineStr">
        <is>
          <t>4x4</t>
        </is>
      </c>
      <c r="I3521" t="inlineStr">
        <is>
          <t>Daily/ Weekly Vehicle Inspection</t>
        </is>
      </c>
      <c r="J3521" t="inlineStr">
        <is>
          <t>N/A</t>
        </is>
      </c>
      <c r="K3521" t="inlineStr">
        <is>
          <t>6617 Ashdown Tree Limited - Team 2</t>
        </is>
      </c>
      <c r="L3521" t="inlineStr">
        <is>
          <t>10/03/2026 06:50</t>
        </is>
      </c>
      <c r="M3521" t="inlineStr">
        <is>
          <t>None</t>
        </is>
      </c>
      <c r="N3521" t="inlineStr">
        <is>
          <t>&lt;p&gt;&lt;/p&gt;</t>
        </is>
      </c>
      <c r="O3521" t="inlineStr"/>
      <c r="P3521" t="inlineStr">
        <is>
          <t>WF11EJJ , Vehicle , Land Rover , Discovery</t>
        </is>
      </c>
      <c r="Q3521" t="inlineStr">
        <is>
          <t>UKPN</t>
        </is>
      </c>
      <c r="R3521" t="b">
        <v>0</v>
      </c>
    </row>
    <row r="3522">
      <c r="A3522" t="inlineStr">
        <is>
          <t>10 Mar 2026 / 8148 Hope Ground and Tree Care</t>
        </is>
      </c>
      <c r="B3522" t="inlineStr">
        <is>
          <t>Utilities</t>
        </is>
      </c>
      <c r="C3522" t="inlineStr">
        <is>
          <t>UKPN</t>
        </is>
      </c>
      <c r="D3522" t="inlineStr">
        <is>
          <t>S6 NWX , MEWP , Isuzu , D-Max</t>
        </is>
      </c>
      <c r="E3522" t="inlineStr">
        <is>
          <t>S6 NWX , MEWP , Isuzu , D-Max</t>
        </is>
      </c>
      <c r="F3522" t="inlineStr">
        <is>
          <t>S6 NWX , MEWP , Isuzu , D-Max</t>
        </is>
      </c>
      <c r="G3522" t="inlineStr">
        <is>
          <t>A Hope</t>
        </is>
      </c>
      <c r="H3522" t="inlineStr">
        <is>
          <t>4x4</t>
        </is>
      </c>
      <c r="I3522" t="inlineStr">
        <is>
          <t>Daily/ Weekly Vehicle Inspection</t>
        </is>
      </c>
      <c r="J3522" t="inlineStr">
        <is>
          <t>N/A</t>
        </is>
      </c>
      <c r="K3522" t="inlineStr">
        <is>
          <t>8148 Hope Ground and Tree Care</t>
        </is>
      </c>
      <c r="L3522" t="inlineStr">
        <is>
          <t>10/03/2026 07:46</t>
        </is>
      </c>
      <c r="M3522" t="inlineStr">
        <is>
          <t>None</t>
        </is>
      </c>
      <c r="N3522" t="inlineStr">
        <is>
          <t>&lt;p&gt;&lt;/p&gt;</t>
        </is>
      </c>
      <c r="O3522" t="inlineStr"/>
      <c r="P3522" t="inlineStr">
        <is>
          <t>S6 NWX , MEWP , Isuzu , D-Max</t>
        </is>
      </c>
      <c r="Q3522" t="inlineStr">
        <is>
          <t>UKPN</t>
        </is>
      </c>
      <c r="R3522" t="b">
        <v>0</v>
      </c>
    </row>
    <row r="3523">
      <c r="A3523" t="inlineStr">
        <is>
          <t>10 Mar 2026 / 7806 Optimum Tree Services Ltd</t>
        </is>
      </c>
      <c r="B3523" t="inlineStr">
        <is>
          <t>Utilities</t>
        </is>
      </c>
      <c r="C3523" t="inlineStr">
        <is>
          <t>UKPN</t>
        </is>
      </c>
      <c r="D3523" t="inlineStr">
        <is>
          <t>SA9ST800000283069 , Chipper , Forst , ST 6P</t>
        </is>
      </c>
      <c r="E3523" t="inlineStr">
        <is>
          <t>SA9ST800000283069 , Chipper , Forst , ST 6P</t>
        </is>
      </c>
      <c r="F3523" t="inlineStr">
        <is>
          <t>SA9ST800000283069 , Chipper , Forst , ST 6P</t>
        </is>
      </c>
      <c r="G3523" t="inlineStr">
        <is>
          <t xml:space="preserve">Abraham Davies </t>
        </is>
      </c>
      <c r="H3523" t="inlineStr">
        <is>
          <t>Towed Chipper</t>
        </is>
      </c>
      <c r="I3523" t="inlineStr">
        <is>
          <t>Daily/ Weekly Vehicle Inspection</t>
        </is>
      </c>
      <c r="J3523" t="inlineStr">
        <is>
          <t>N/A</t>
        </is>
      </c>
      <c r="K3523" t="inlineStr">
        <is>
          <t>7806 Optimum Tree Services Ltd</t>
        </is>
      </c>
      <c r="L3523" t="inlineStr">
        <is>
          <t>10/03/2026 07:47</t>
        </is>
      </c>
      <c r="M3523" t="inlineStr">
        <is>
          <t>None</t>
        </is>
      </c>
      <c r="N3523" t="inlineStr">
        <is>
          <t>&lt;p&gt;&lt;/p&gt;</t>
        </is>
      </c>
      <c r="O3523" t="inlineStr"/>
      <c r="P3523" t="inlineStr">
        <is>
          <t>SA9ST800000283069 , Chipper , Forst , ST 6P</t>
        </is>
      </c>
      <c r="Q3523" t="inlineStr">
        <is>
          <t>UKPN</t>
        </is>
      </c>
      <c r="R3523" t="b">
        <v>0</v>
      </c>
    </row>
    <row r="3524">
      <c r="A3524" t="inlineStr">
        <is>
          <t>10 Mar 2026 / 7806 Optimum Tree Services Ltd</t>
        </is>
      </c>
      <c r="B3524" t="inlineStr">
        <is>
          <t>Utilities</t>
        </is>
      </c>
      <c r="C3524" t="inlineStr">
        <is>
          <t>UKPN</t>
        </is>
      </c>
      <c r="D3524" t="inlineStr">
        <is>
          <t>NA10SYZ , Tipper , Ford , Transit</t>
        </is>
      </c>
      <c r="E3524" t="inlineStr">
        <is>
          <t>NA10SYZ , Tipper , Ford , Transit</t>
        </is>
      </c>
      <c r="F3524" t="inlineStr">
        <is>
          <t>NA10SYZ , Tipper , Ford , Transit</t>
        </is>
      </c>
      <c r="G3524" t="inlineStr">
        <is>
          <t xml:space="preserve">Abraham Davies </t>
        </is>
      </c>
      <c r="H3524" t="inlineStr">
        <is>
          <t>Tipper</t>
        </is>
      </c>
      <c r="I3524" t="inlineStr">
        <is>
          <t>Daily/ Weekly Vehicle Inspection</t>
        </is>
      </c>
      <c r="J3524" t="inlineStr">
        <is>
          <t>N/A</t>
        </is>
      </c>
      <c r="K3524" t="inlineStr">
        <is>
          <t>7806 Optimum Tree Services Ltd</t>
        </is>
      </c>
      <c r="L3524" t="inlineStr">
        <is>
          <t>10/03/2026 07:48</t>
        </is>
      </c>
      <c r="M3524" t="inlineStr">
        <is>
          <t>None</t>
        </is>
      </c>
      <c r="N3524" t="inlineStr">
        <is>
          <t>&lt;p&gt;&lt;/p&gt;</t>
        </is>
      </c>
      <c r="O3524" t="inlineStr"/>
      <c r="P3524" t="inlineStr">
        <is>
          <t>NA10SYZ , Tipper , Ford , Transit</t>
        </is>
      </c>
      <c r="Q3524" t="inlineStr">
        <is>
          <t>UKPN</t>
        </is>
      </c>
      <c r="R3524" t="b">
        <v>0</v>
      </c>
    </row>
    <row r="3525">
      <c r="A3525" t="inlineStr">
        <is>
          <t>10 Mar 2026 / 7806 Optimum Tree Services Ltd</t>
        </is>
      </c>
      <c r="B3525" t="inlineStr">
        <is>
          <t>Utilities</t>
        </is>
      </c>
      <c r="C3525" t="inlineStr">
        <is>
          <t>UKPN</t>
        </is>
      </c>
      <c r="D3525" t="inlineStr">
        <is>
          <t>Wd14evn , 4x4 , Landrover  , Defender</t>
        </is>
      </c>
      <c r="E3525" t="inlineStr">
        <is>
          <t>Wd14evn , 4x4 , Landrover  , Defender</t>
        </is>
      </c>
      <c r="F3525" t="inlineStr">
        <is>
          <t>Wd14evn , 4x4 , Landrover  , Defender</t>
        </is>
      </c>
      <c r="G3525" t="inlineStr">
        <is>
          <t xml:space="preserve">Lewis davies </t>
        </is>
      </c>
      <c r="H3525" t="inlineStr">
        <is>
          <t>4x4</t>
        </is>
      </c>
      <c r="I3525" t="inlineStr">
        <is>
          <t>Daily/ Weekly Vehicle Inspection</t>
        </is>
      </c>
      <c r="J3525" t="inlineStr">
        <is>
          <t>N/A</t>
        </is>
      </c>
      <c r="K3525" t="inlineStr">
        <is>
          <t>7806 Optimum Tree Services Ltd</t>
        </is>
      </c>
      <c r="L3525" t="inlineStr">
        <is>
          <t>10/03/2026 07:49</t>
        </is>
      </c>
      <c r="M3525" t="inlineStr">
        <is>
          <t>None</t>
        </is>
      </c>
      <c r="N3525" t="inlineStr">
        <is>
          <t>&lt;p&gt;&lt;/p&gt;</t>
        </is>
      </c>
      <c r="O3525" t="inlineStr"/>
      <c r="P3525" t="inlineStr">
        <is>
          <t>Wd14evn , 4x4 , Landrover  , Defender</t>
        </is>
      </c>
      <c r="Q3525" t="inlineStr">
        <is>
          <t>UKPN</t>
        </is>
      </c>
      <c r="R3525" t="b">
        <v>0</v>
      </c>
    </row>
    <row r="3526">
      <c r="A3526" t="inlineStr">
        <is>
          <t>10 Mar 2026 / 7951 Austin Tree Care LTD 1</t>
        </is>
      </c>
      <c r="B3526" t="inlineStr">
        <is>
          <t>Utilities</t>
        </is>
      </c>
      <c r="C3526" t="inlineStr">
        <is>
          <t>UKPN</t>
        </is>
      </c>
      <c r="D3526" t="inlineStr">
        <is>
          <t>WG64HTT , 4x4 , Land Rover , Defender 110</t>
        </is>
      </c>
      <c r="E3526" t="inlineStr">
        <is>
          <t>WG64HTT , 4x4 , Land Rover , Defender 110</t>
        </is>
      </c>
      <c r="F3526" t="inlineStr">
        <is>
          <t>WG64HTT , 4x4 , Land Rover , Defender 110</t>
        </is>
      </c>
      <c r="G3526" t="inlineStr">
        <is>
          <t xml:space="preserve">Jack Austin </t>
        </is>
      </c>
      <c r="H3526" t="inlineStr">
        <is>
          <t>Towed Chipper</t>
        </is>
      </c>
      <c r="I3526" t="inlineStr">
        <is>
          <t>Daily/ Weekly Vehicle Inspection</t>
        </is>
      </c>
      <c r="J3526" t="inlineStr">
        <is>
          <t>N/A</t>
        </is>
      </c>
      <c r="K3526" t="inlineStr">
        <is>
          <t>7951 Austin Tree Care LTD 1</t>
        </is>
      </c>
      <c r="L3526" t="inlineStr">
        <is>
          <t>10/03/2026 07:52</t>
        </is>
      </c>
      <c r="M3526" t="inlineStr">
        <is>
          <t>None</t>
        </is>
      </c>
      <c r="N3526" t="inlineStr">
        <is>
          <t>&lt;p&gt;&lt;/p&gt;</t>
        </is>
      </c>
      <c r="O3526" t="inlineStr"/>
      <c r="P3526" t="inlineStr">
        <is>
          <t>WG64HTT , 4x4 , Land Rover , Defender 110</t>
        </is>
      </c>
      <c r="Q3526" t="inlineStr">
        <is>
          <t>UKPN</t>
        </is>
      </c>
      <c r="R3526" t="b">
        <v>0</v>
      </c>
    </row>
    <row r="3527">
      <c r="A3527" t="inlineStr">
        <is>
          <t>10 Mar 2026 / 7951 Austin Tree Care LTD 1</t>
        </is>
      </c>
      <c r="B3527" t="inlineStr">
        <is>
          <t>Utilities</t>
        </is>
      </c>
      <c r="C3527" t="inlineStr">
        <is>
          <t>UKPN</t>
        </is>
      </c>
      <c r="D3527" t="inlineStr">
        <is>
          <t>WG64HTT , 4x4 , Land Rover , Defender 110</t>
        </is>
      </c>
      <c r="E3527" t="inlineStr">
        <is>
          <t>WG64HTT , 4x4 , Land Rover , Defender 110</t>
        </is>
      </c>
      <c r="F3527" t="inlineStr">
        <is>
          <t>WG64HTT , 4x4 , Land Rover , Defender 110</t>
        </is>
      </c>
      <c r="G3527" t="inlineStr">
        <is>
          <t xml:space="preserve">Jack Austin </t>
        </is>
      </c>
      <c r="H3527" t="inlineStr">
        <is>
          <t>4x4</t>
        </is>
      </c>
      <c r="I3527" t="inlineStr">
        <is>
          <t>Daily/ Weekly Vehicle Inspection</t>
        </is>
      </c>
      <c r="J3527" t="inlineStr">
        <is>
          <t>N/A</t>
        </is>
      </c>
      <c r="K3527" t="inlineStr">
        <is>
          <t>7951 Austin Tree Care LTD 1</t>
        </is>
      </c>
      <c r="L3527" t="inlineStr">
        <is>
          <t>10/03/2026 07:53</t>
        </is>
      </c>
      <c r="M3527" t="inlineStr">
        <is>
          <t>None</t>
        </is>
      </c>
      <c r="N3527" t="inlineStr">
        <is>
          <t>&lt;p&gt;&lt;/p&gt;</t>
        </is>
      </c>
      <c r="O3527" t="inlineStr"/>
      <c r="P3527" t="inlineStr">
        <is>
          <t>WG64HTT , 4x4 , Land Rover , Defender 110</t>
        </is>
      </c>
      <c r="Q3527" t="inlineStr">
        <is>
          <t>UKPN</t>
        </is>
      </c>
      <c r="R3527" t="b">
        <v>0</v>
      </c>
    </row>
    <row r="3528">
      <c r="A3528" t="inlineStr">
        <is>
          <t>10 Mar 2026 / 7800 MAC Tree Surgery and Fencing Ltd / Utilities / UKPN</t>
        </is>
      </c>
      <c r="B3528" t="inlineStr">
        <is>
          <t>Utilities</t>
        </is>
      </c>
      <c r="C3528" t="inlineStr">
        <is>
          <t>UKPN</t>
        </is>
      </c>
      <c r="D3528" t="inlineStr">
        <is>
          <t>Plant Trailer - Towmate - 2.8t - 0</t>
        </is>
      </c>
      <c r="E3528" t="inlineStr">
        <is>
          <t>Plant Trailer - Towmate - 2.8t - 0</t>
        </is>
      </c>
      <c r="F3528" t="inlineStr">
        <is>
          <t>Plant Trailer - Towmate - 2.8t - 0</t>
        </is>
      </c>
      <c r="G3528" t="inlineStr">
        <is>
          <t>Lewis mac</t>
        </is>
      </c>
      <c r="H3528" t="inlineStr">
        <is>
          <t>Plant Trailer</t>
        </is>
      </c>
      <c r="I3528" t="inlineStr">
        <is>
          <t>Daily/ Weekly Vehicle Inspection</t>
        </is>
      </c>
      <c r="J3528" t="inlineStr">
        <is>
          <t>N/A</t>
        </is>
      </c>
      <c r="K3528" t="inlineStr">
        <is>
          <t>7800 MAC Tree Surgery and Fencing Ltd</t>
        </is>
      </c>
      <c r="L3528" t="inlineStr">
        <is>
          <t>10/03/2026 07:53</t>
        </is>
      </c>
      <c r="M3528" t="inlineStr">
        <is>
          <t>None</t>
        </is>
      </c>
      <c r="N3528" t="inlineStr">
        <is>
          <t>&lt;p&gt;&lt;/p&gt;</t>
        </is>
      </c>
      <c r="O3528" t="inlineStr"/>
      <c r="P3528" t="inlineStr">
        <is>
          <t>Plant Trailer - Towmate - 2.8t - 0</t>
        </is>
      </c>
      <c r="Q3528" t="inlineStr">
        <is>
          <t>UKPN</t>
        </is>
      </c>
      <c r="R3528" t="b">
        <v>0</v>
      </c>
    </row>
    <row r="3529">
      <c r="A3529" t="inlineStr">
        <is>
          <t>10 Mar 2026 / 7800 MAC Tree Surgery and Fencing Ltd / Utilities / UKPN</t>
        </is>
      </c>
      <c r="B3529" t="inlineStr">
        <is>
          <t>Utilities</t>
        </is>
      </c>
      <c r="C3529" t="inlineStr">
        <is>
          <t>UKPN</t>
        </is>
      </c>
      <c r="D3529" t="inlineStr">
        <is>
          <t>AY68DAA , 4x4 , Izuzu , Dmax</t>
        </is>
      </c>
      <c r="E3529" t="inlineStr">
        <is>
          <t>AY68DAA , 4x4 , Izuzu , Dmax</t>
        </is>
      </c>
      <c r="F3529" t="inlineStr">
        <is>
          <t>AY68DAA , 4x4 , Izuzu , Dmax</t>
        </is>
      </c>
      <c r="G3529" t="inlineStr">
        <is>
          <t xml:space="preserve">Patrick O'Shea </t>
        </is>
      </c>
      <c r="H3529" t="inlineStr">
        <is>
          <t>4x4</t>
        </is>
      </c>
      <c r="I3529" t="inlineStr">
        <is>
          <t>Daily/ Weekly Vehicle Inspection</t>
        </is>
      </c>
      <c r="J3529" t="inlineStr">
        <is>
          <t>N/A</t>
        </is>
      </c>
      <c r="K3529" t="inlineStr">
        <is>
          <t>7800 MAC Tree Surgery and Fencing Ltd</t>
        </is>
      </c>
      <c r="L3529" t="inlineStr">
        <is>
          <t>10/03/2026 07:54</t>
        </is>
      </c>
      <c r="M3529" t="inlineStr">
        <is>
          <t>None</t>
        </is>
      </c>
      <c r="N3529" t="inlineStr">
        <is>
          <t>&lt;p&gt;&lt;/p&gt;</t>
        </is>
      </c>
      <c r="O3529" t="inlineStr"/>
      <c r="P3529" t="inlineStr">
        <is>
          <t>AY68DAA , 4x4 , Izuzu , Dmax</t>
        </is>
      </c>
      <c r="Q3529" t="inlineStr">
        <is>
          <t>UKPN</t>
        </is>
      </c>
      <c r="R3529" t="b">
        <v>0</v>
      </c>
    </row>
    <row r="3530">
      <c r="A3530" t="inlineStr">
        <is>
          <t>10 Mar 2026 / 7186 Eastwoodbury Tree Services Ltd</t>
        </is>
      </c>
      <c r="B3530" t="inlineStr">
        <is>
          <t>Utilities</t>
        </is>
      </c>
      <c r="C3530" t="inlineStr">
        <is>
          <t>UKPN</t>
        </is>
      </c>
      <c r="D3530" t="inlineStr">
        <is>
          <t>WF13 EKT , 4x4 , Land rover  , Defender</t>
        </is>
      </c>
      <c r="E3530" t="inlineStr">
        <is>
          <t>WF13 EKT , 4x4 , Land rover  , Defender</t>
        </is>
      </c>
      <c r="F3530" t="inlineStr">
        <is>
          <t>WF13 EKT , 4x4 , Land rover  , Defender</t>
        </is>
      </c>
      <c r="G3530" t="inlineStr">
        <is>
          <t xml:space="preserve">Dan Gilbert </t>
        </is>
      </c>
      <c r="H3530" t="inlineStr">
        <is>
          <t>4x4</t>
        </is>
      </c>
      <c r="I3530" t="inlineStr">
        <is>
          <t>Daily/ Weekly Vehicle Inspection</t>
        </is>
      </c>
      <c r="J3530" t="inlineStr">
        <is>
          <t>N/A</t>
        </is>
      </c>
      <c r="K3530" t="inlineStr">
        <is>
          <t>7186 Eastwoodbury Tree Services Ltd</t>
        </is>
      </c>
      <c r="L3530" t="inlineStr">
        <is>
          <t>10/03/2026 07:55</t>
        </is>
      </c>
      <c r="M3530" t="inlineStr">
        <is>
          <t>None</t>
        </is>
      </c>
      <c r="N3530" t="inlineStr">
        <is>
          <t>&lt;p&gt;&lt;/p&gt;</t>
        </is>
      </c>
      <c r="O3530" t="inlineStr"/>
      <c r="P3530" t="inlineStr">
        <is>
          <t>WF13 EKT , 4x4 , Land rover  , Defender</t>
        </is>
      </c>
      <c r="Q3530" t="inlineStr">
        <is>
          <t>UKPN</t>
        </is>
      </c>
      <c r="R3530" t="b">
        <v>0</v>
      </c>
    </row>
    <row r="3531">
      <c r="A3531" t="inlineStr">
        <is>
          <t>10 Mar 2026 / 7186 Eastwoodbury Tree Services Ltd</t>
        </is>
      </c>
      <c r="B3531" t="inlineStr">
        <is>
          <t>Utilities</t>
        </is>
      </c>
      <c r="C3531" t="inlineStr">
        <is>
          <t>UKPN</t>
        </is>
      </c>
      <c r="D3531" t="inlineStr">
        <is>
          <t>FX14 XCV , 4x4 , Land Rover  , Defender</t>
        </is>
      </c>
      <c r="E3531" t="inlineStr">
        <is>
          <t>FX14 XCV , 4x4 , Land Rover  , Defender</t>
        </is>
      </c>
      <c r="F3531" t="inlineStr">
        <is>
          <t>FX14 XCV , 4x4 , Land Rover  , Defender</t>
        </is>
      </c>
      <c r="G3531" t="inlineStr">
        <is>
          <t xml:space="preserve">Luke Williams </t>
        </is>
      </c>
      <c r="H3531" t="inlineStr">
        <is>
          <t>4x4</t>
        </is>
      </c>
      <c r="I3531" t="inlineStr">
        <is>
          <t>Daily/ Weekly Vehicle Inspection</t>
        </is>
      </c>
      <c r="J3531" t="inlineStr">
        <is>
          <t>N/A</t>
        </is>
      </c>
      <c r="K3531" t="inlineStr">
        <is>
          <t>7186 Eastwoodbury Tree Services Ltd</t>
        </is>
      </c>
      <c r="L3531" t="inlineStr">
        <is>
          <t>10/03/2026 07:57</t>
        </is>
      </c>
      <c r="M3531" t="inlineStr">
        <is>
          <t>None</t>
        </is>
      </c>
      <c r="N3531" t="inlineStr">
        <is>
          <t>&lt;p&gt;&lt;/p&gt;</t>
        </is>
      </c>
      <c r="O3531" t="inlineStr"/>
      <c r="P3531" t="inlineStr">
        <is>
          <t>FX14 XCV , 4x4 , Land Rover  , Defender</t>
        </is>
      </c>
      <c r="Q3531" t="inlineStr">
        <is>
          <t>UKPN</t>
        </is>
      </c>
      <c r="R3531" t="b">
        <v>0</v>
      </c>
    </row>
    <row r="3532">
      <c r="A3532" t="inlineStr">
        <is>
          <t>10 Mar 2026 / 7995 Green Net Eco Ltd 2</t>
        </is>
      </c>
      <c r="B3532" t="inlineStr">
        <is>
          <t>Utilities</t>
        </is>
      </c>
      <c r="C3532" t="inlineStr">
        <is>
          <t>UKPN</t>
        </is>
      </c>
      <c r="D3532" t="inlineStr">
        <is>
          <t>SA9ST800000283944 , Towed Chipper , Forst , ST8D - Towed</t>
        </is>
      </c>
      <c r="E3532" t="inlineStr">
        <is>
          <t>SA9ST800000283944 , Towed Chipper , Forst , ST8D - Towed</t>
        </is>
      </c>
      <c r="F3532" t="inlineStr">
        <is>
          <t>SA9ST800000283944 , Towed Chipper , Forst , ST8D - Towed</t>
        </is>
      </c>
      <c r="G3532" t="inlineStr">
        <is>
          <t>Thomas Playford</t>
        </is>
      </c>
      <c r="H3532" t="inlineStr">
        <is>
          <t>Towed Chipper</t>
        </is>
      </c>
      <c r="I3532" t="inlineStr">
        <is>
          <t>Daily/ Weekly Vehicle Inspection</t>
        </is>
      </c>
      <c r="J3532" t="inlineStr">
        <is>
          <t>N/A</t>
        </is>
      </c>
      <c r="K3532" t="inlineStr">
        <is>
          <t>7995 Green Net Eco Ltd 2</t>
        </is>
      </c>
      <c r="L3532" t="inlineStr">
        <is>
          <t>10/03/2026 07:59</t>
        </is>
      </c>
      <c r="M3532" t="inlineStr">
        <is>
          <t>None</t>
        </is>
      </c>
      <c r="N3532" t="inlineStr">
        <is>
          <t>&lt;p&gt;&lt;/p&gt;</t>
        </is>
      </c>
      <c r="O3532" t="inlineStr"/>
      <c r="P3532" t="inlineStr">
        <is>
          <t>SA9ST800000283944 , Towed Chipper , Forst , ST8D - Towed</t>
        </is>
      </c>
      <c r="Q3532" t="inlineStr">
        <is>
          <t>UKPN</t>
        </is>
      </c>
      <c r="R3532" t="b">
        <v>0</v>
      </c>
    </row>
    <row r="3533">
      <c r="A3533" t="inlineStr">
        <is>
          <t>10 Mar 2026 / 7995 Green Net Eco Ltd 2</t>
        </is>
      </c>
      <c r="B3533" t="inlineStr">
        <is>
          <t>Utilities</t>
        </is>
      </c>
      <c r="C3533" t="inlineStr">
        <is>
          <t>UKPN</t>
        </is>
      </c>
      <c r="D3533" t="inlineStr">
        <is>
          <t>LK15KRZ , 4x4 , Landrover , Defender</t>
        </is>
      </c>
      <c r="E3533" t="inlineStr">
        <is>
          <t>LK15KRZ , 4x4 , Landrover , Defender</t>
        </is>
      </c>
      <c r="F3533" t="inlineStr">
        <is>
          <t>LK15KRZ , 4x4 , Landrover , Defender</t>
        </is>
      </c>
      <c r="G3533" t="inlineStr">
        <is>
          <t>Thomas Playford</t>
        </is>
      </c>
      <c r="H3533" t="inlineStr">
        <is>
          <t>4x4</t>
        </is>
      </c>
      <c r="I3533" t="inlineStr">
        <is>
          <t>Daily/ Weekly Vehicle Inspection</t>
        </is>
      </c>
      <c r="J3533" t="inlineStr">
        <is>
          <t>N/A</t>
        </is>
      </c>
      <c r="K3533" t="inlineStr">
        <is>
          <t>7995 Green Net Eco Ltd 2</t>
        </is>
      </c>
      <c r="L3533" t="inlineStr">
        <is>
          <t>10/03/2026 08:01</t>
        </is>
      </c>
      <c r="M3533" t="inlineStr">
        <is>
          <t>None</t>
        </is>
      </c>
      <c r="N3533" t="inlineStr">
        <is>
          <t>&lt;p&gt;&lt;/p&gt;</t>
        </is>
      </c>
      <c r="O3533" t="inlineStr"/>
      <c r="P3533" t="inlineStr">
        <is>
          <t>LK15KRZ , 4x4 , Landrover , Defender</t>
        </is>
      </c>
      <c r="Q3533" t="inlineStr">
        <is>
          <t>UKPN</t>
        </is>
      </c>
      <c r="R3533" t="b">
        <v>0</v>
      </c>
    </row>
    <row r="3534">
      <c r="A3534" t="inlineStr">
        <is>
          <t>10 Mar 2026 / 7996 M G Tree Surgery Ltd 1</t>
        </is>
      </c>
      <c r="B3534" t="inlineStr">
        <is>
          <t>Utilities</t>
        </is>
      </c>
      <c r="C3534" t="inlineStr">
        <is>
          <t>UKPN</t>
        </is>
      </c>
      <c r="D3534" t="inlineStr">
        <is>
          <t>GU13 WNL , MEWP , Land Rover , Defender 130</t>
        </is>
      </c>
      <c r="E3534" t="inlineStr">
        <is>
          <t>GU13 WNL , MEWP , Land Rover , Defender 130</t>
        </is>
      </c>
      <c r="F3534" t="inlineStr">
        <is>
          <t>GU13 WNL , MEWP , Land Rover , Defender 130</t>
        </is>
      </c>
      <c r="G3534" t="inlineStr">
        <is>
          <t xml:space="preserve">Anthony Gale </t>
        </is>
      </c>
      <c r="H3534" t="inlineStr">
        <is>
          <t>4x4</t>
        </is>
      </c>
      <c r="I3534" t="inlineStr">
        <is>
          <t>Daily/ Weekly Vehicle Inspection</t>
        </is>
      </c>
      <c r="J3534" t="inlineStr">
        <is>
          <t>N/A</t>
        </is>
      </c>
      <c r="K3534" t="inlineStr">
        <is>
          <t>7996 M G Tree Surgery Ltd 1</t>
        </is>
      </c>
      <c r="L3534" t="inlineStr">
        <is>
          <t>10/03/2026 08:06</t>
        </is>
      </c>
      <c r="M3534" t="inlineStr">
        <is>
          <t>None</t>
        </is>
      </c>
      <c r="N3534" t="inlineStr">
        <is>
          <t>&lt;p&gt;&lt;/p&gt;</t>
        </is>
      </c>
      <c r="O3534" t="inlineStr"/>
      <c r="P3534" t="inlineStr">
        <is>
          <t>GU13 WNL , MEWP , Land Rover , Defender 130</t>
        </is>
      </c>
      <c r="Q3534" t="inlineStr">
        <is>
          <t>UKPN</t>
        </is>
      </c>
      <c r="R3534" t="b">
        <v>0</v>
      </c>
    </row>
    <row r="3535">
      <c r="A3535" t="inlineStr">
        <is>
          <t>10 Mar 2026 / 7889 Tree Tech Suffolk Ltd</t>
        </is>
      </c>
      <c r="B3535" t="inlineStr">
        <is>
          <t>Utilities &amp; Inland Waterways</t>
        </is>
      </c>
      <c r="C3535" t="inlineStr">
        <is>
          <t>UKPN</t>
        </is>
      </c>
      <c r="D3535" t="inlineStr">
        <is>
          <t>Tipper - Nissan - Navara - NS02TTS</t>
        </is>
      </c>
      <c r="E3535" t="inlineStr">
        <is>
          <t>Tipper - Nissan - Navara - NS02TTS</t>
        </is>
      </c>
      <c r="F3535" t="inlineStr">
        <is>
          <t>Tipper - Nissan - Navara - NS02TTS</t>
        </is>
      </c>
      <c r="G3535" t="inlineStr">
        <is>
          <t>Danny Appleby</t>
        </is>
      </c>
      <c r="H3535" t="inlineStr">
        <is>
          <t>Tipper</t>
        </is>
      </c>
      <c r="I3535" t="inlineStr">
        <is>
          <t>Daily/ Weekly Vehicle Inspection</t>
        </is>
      </c>
      <c r="J3535" t="inlineStr">
        <is>
          <t>N/A</t>
        </is>
      </c>
      <c r="K3535" t="inlineStr">
        <is>
          <t>7889 Tree Tech Suffolk Ltd</t>
        </is>
      </c>
      <c r="L3535" t="inlineStr">
        <is>
          <t>10/03/2026 08:06</t>
        </is>
      </c>
      <c r="M3535" t="inlineStr">
        <is>
          <t>None</t>
        </is>
      </c>
      <c r="N3535" t="inlineStr">
        <is>
          <t>&lt;p&gt;&lt;/p&gt;</t>
        </is>
      </c>
      <c r="O3535" t="inlineStr"/>
      <c r="P3535" t="inlineStr">
        <is>
          <t>Tipper - Nissan - Navara - NS02TTS</t>
        </is>
      </c>
      <c r="Q3535" t="inlineStr">
        <is>
          <t>UKPN</t>
        </is>
      </c>
      <c r="R3535" t="b">
        <v>0</v>
      </c>
    </row>
    <row r="3536">
      <c r="A3536" t="inlineStr">
        <is>
          <t>10 Mar 2026 / Harry Bellis</t>
        </is>
      </c>
      <c r="B3536" t="inlineStr">
        <is>
          <t>Utilities</t>
        </is>
      </c>
      <c r="C3536" t="inlineStr">
        <is>
          <t>SSE</t>
        </is>
      </c>
      <c r="D3536" t="inlineStr">
        <is>
          <t>EO73KUG , Car - Electric , Kia , Niro</t>
        </is>
      </c>
      <c r="E3536" t="inlineStr">
        <is>
          <t>EO73KUG , Car - Electric , Kia , Niro</t>
        </is>
      </c>
      <c r="F3536" t="inlineStr">
        <is>
          <t>EO73KUG , Car - Electric , Kia , Niro</t>
        </is>
      </c>
      <c r="G3536" t="inlineStr">
        <is>
          <t>Harry Bellis</t>
        </is>
      </c>
      <c r="H3536" t="inlineStr">
        <is>
          <t>Car - Electric (GC Owned)</t>
        </is>
      </c>
      <c r="I3536" t="inlineStr">
        <is>
          <t>Daily/ Weekly Vehicle Inspection</t>
        </is>
      </c>
      <c r="J3536" t="inlineStr">
        <is>
          <t>N/A</t>
        </is>
      </c>
      <c r="K3536" t="inlineStr">
        <is>
          <t>Harry Bellis</t>
        </is>
      </c>
      <c r="L3536" t="inlineStr">
        <is>
          <t>10/03/2026 08:44</t>
        </is>
      </c>
      <c r="M3536" t="inlineStr">
        <is>
          <t>None</t>
        </is>
      </c>
      <c r="N3536" t="inlineStr">
        <is>
          <t>&lt;p&gt;&lt;/p&gt;</t>
        </is>
      </c>
      <c r="O3536" t="inlineStr"/>
      <c r="P3536" t="inlineStr">
        <is>
          <t>EO73KUG , Car - Electric , Kia , Niro</t>
        </is>
      </c>
      <c r="Q3536" t="inlineStr">
        <is>
          <t>SSE</t>
        </is>
      </c>
      <c r="R3536" t="b">
        <v>0</v>
      </c>
    </row>
    <row r="3537">
      <c r="A3537" t="inlineStr">
        <is>
          <t>10 Mar 2026 / 7996 M G Tree Surgery Ltd 1</t>
        </is>
      </c>
      <c r="B3537" t="inlineStr">
        <is>
          <t>Utilities</t>
        </is>
      </c>
      <c r="C3537" t="inlineStr">
        <is>
          <t>UKPN</t>
        </is>
      </c>
      <c r="D3537" t="inlineStr"/>
      <c r="E3537" t="inlineStr"/>
      <c r="F3537" t="inlineStr"/>
      <c r="G3537" t="inlineStr">
        <is>
          <t>Anthony Gale</t>
        </is>
      </c>
      <c r="H3537" t="inlineStr">
        <is>
          <t>Plant Trailer</t>
        </is>
      </c>
      <c r="I3537" t="inlineStr">
        <is>
          <t>Daily/ Weekly Vehicle Inspection</t>
        </is>
      </c>
      <c r="J3537" t="inlineStr">
        <is>
          <t>N/A</t>
        </is>
      </c>
      <c r="K3537" t="inlineStr">
        <is>
          <t>7996 M G Tree Surgery Ltd 1</t>
        </is>
      </c>
      <c r="L3537" t="inlineStr">
        <is>
          <t>10/03/2026 08:49</t>
        </is>
      </c>
      <c r="M3537" t="inlineStr">
        <is>
          <t>None</t>
        </is>
      </c>
      <c r="N3537" t="inlineStr">
        <is>
          <t>&lt;p&gt;&lt;/p&gt;</t>
        </is>
      </c>
      <c r="O3537" t="inlineStr">
        <is>
          <t>Confirm that you have checked this vehicle as per the guidance document and the vehicle is safe and roadworthy:Jockey wheel tyre gone.
Replacement ordered.
-</t>
        </is>
      </c>
      <c r="P3537" t="inlineStr"/>
      <c r="Q3537" t="inlineStr">
        <is>
          <t>UKPN</t>
        </is>
      </c>
      <c r="R3537" t="b">
        <v>0</v>
      </c>
    </row>
    <row r="3538">
      <c r="A3538" t="inlineStr">
        <is>
          <t>10 Mar 2026 / Ashley Marples</t>
        </is>
      </c>
      <c r="B3538" t="inlineStr">
        <is>
          <t>Utilities</t>
        </is>
      </c>
      <c r="C3538" t="inlineStr">
        <is>
          <t>NGED</t>
        </is>
      </c>
      <c r="D3538" t="inlineStr">
        <is>
          <t>GJ71KAU , Car - Electric , Tesla , Model 3 Long Range AWD</t>
        </is>
      </c>
      <c r="E3538" t="inlineStr">
        <is>
          <t>GJ71KAU , Car - Electric , Tesla , Model 3 Long Range AWD</t>
        </is>
      </c>
      <c r="F3538" t="inlineStr">
        <is>
          <t>GJ71KAU , Car - Electric , Tesla , Model 3 Long Range AWD</t>
        </is>
      </c>
      <c r="G3538" t="inlineStr">
        <is>
          <t xml:space="preserve">Ashley Marples </t>
        </is>
      </c>
      <c r="H3538" t="inlineStr">
        <is>
          <t>Car - Electric (GC Owned)</t>
        </is>
      </c>
      <c r="I3538" t="inlineStr">
        <is>
          <t>Daily/ Weekly Vehicle Inspection</t>
        </is>
      </c>
      <c r="J3538" t="inlineStr">
        <is>
          <t>N/A</t>
        </is>
      </c>
      <c r="K3538" t="inlineStr">
        <is>
          <t>Ashley Marples</t>
        </is>
      </c>
      <c r="L3538" t="inlineStr">
        <is>
          <t>10/03/2026 08:56</t>
        </is>
      </c>
      <c r="M3538" t="inlineStr">
        <is>
          <t>None</t>
        </is>
      </c>
      <c r="N3538" t="inlineStr">
        <is>
          <t>&lt;p&gt;&lt;/p&gt;</t>
        </is>
      </c>
      <c r="O3538" t="inlineStr"/>
      <c r="P3538" t="inlineStr">
        <is>
          <t>GJ71KAU , Car - Electric , Tesla , Model 3 Long Range AWD</t>
        </is>
      </c>
      <c r="Q3538" t="inlineStr">
        <is>
          <t>NGED</t>
        </is>
      </c>
      <c r="R3538" t="b">
        <v>0</v>
      </c>
    </row>
    <row r="3539">
      <c r="A3539" t="inlineStr">
        <is>
          <t>10 Mar 2026 / 7996 M G Tree Surgery Ltd</t>
        </is>
      </c>
      <c r="B3539" t="inlineStr">
        <is>
          <t>Utilities</t>
        </is>
      </c>
      <c r="C3539" t="inlineStr">
        <is>
          <t>UKPN</t>
        </is>
      </c>
      <c r="D3539" t="inlineStr">
        <is>
          <t>KX20 BCE , Tipper , Isuzu , D-Max</t>
        </is>
      </c>
      <c r="E3539" t="inlineStr">
        <is>
          <t>KX20 BCE , Tipper , Isuzu , D-Max</t>
        </is>
      </c>
      <c r="F3539" t="inlineStr">
        <is>
          <t>KX20 BCE , Tipper , Isuzu , D-Max</t>
        </is>
      </c>
      <c r="G3539" t="inlineStr">
        <is>
          <t>Max</t>
        </is>
      </c>
      <c r="H3539" t="inlineStr">
        <is>
          <t>Pickup Truck</t>
        </is>
      </c>
      <c r="I3539" t="inlineStr">
        <is>
          <t>Daily/ Weekly Vehicle Inspection</t>
        </is>
      </c>
      <c r="J3539" t="inlineStr">
        <is>
          <t>N/A</t>
        </is>
      </c>
      <c r="K3539" t="inlineStr">
        <is>
          <t>7996 M G Tree Surgery Ltd</t>
        </is>
      </c>
      <c r="L3539" t="inlineStr">
        <is>
          <t>10/03/2026 08:58</t>
        </is>
      </c>
      <c r="M3539" t="inlineStr">
        <is>
          <t>None</t>
        </is>
      </c>
      <c r="N3539" t="inlineStr">
        <is>
          <t>&lt;p&gt;&lt;/p&gt;</t>
        </is>
      </c>
      <c r="O3539" t="inlineStr"/>
      <c r="P3539" t="inlineStr">
        <is>
          <t>KX20 BCE , Tipper , Isuzu , D-Max</t>
        </is>
      </c>
      <c r="Q3539" t="inlineStr">
        <is>
          <t>UKPN</t>
        </is>
      </c>
      <c r="R3539" t="b">
        <v>0</v>
      </c>
    </row>
    <row r="3540">
      <c r="A3540" t="inlineStr">
        <is>
          <t>9 Mar 2026 / Jane Moore</t>
        </is>
      </c>
      <c r="B3540" t="inlineStr">
        <is>
          <t>Utilities</t>
        </is>
      </c>
      <c r="C3540" t="inlineStr">
        <is>
          <t>NGED</t>
        </is>
      </c>
      <c r="D3540" t="inlineStr">
        <is>
          <t>GL20TGZ , Car - Electric , Tesla , Model 3 Long Range AWD</t>
        </is>
      </c>
      <c r="E3540" t="inlineStr">
        <is>
          <t>GL20TGZ , Car - Electric , Tesla , Model 3 Long Range AWD</t>
        </is>
      </c>
      <c r="F3540" t="inlineStr">
        <is>
          <t>GL20TGZ , Car - Electric , Tesla , Model 3 Long Range AWD</t>
        </is>
      </c>
      <c r="G3540" t="inlineStr">
        <is>
          <t xml:space="preserve">Jane Moore </t>
        </is>
      </c>
      <c r="H3540" t="inlineStr">
        <is>
          <t>Car - Electric (GC Owned)</t>
        </is>
      </c>
      <c r="I3540" t="inlineStr">
        <is>
          <t>Daily/ Weekly Vehicle Inspection</t>
        </is>
      </c>
      <c r="J3540" t="inlineStr">
        <is>
          <t>N/A</t>
        </is>
      </c>
      <c r="K3540" t="inlineStr">
        <is>
          <t>Jane Moore</t>
        </is>
      </c>
      <c r="L3540" t="inlineStr">
        <is>
          <t>10/03/2026 12:44</t>
        </is>
      </c>
      <c r="M3540" t="inlineStr">
        <is>
          <t>None</t>
        </is>
      </c>
      <c r="N3540" t="inlineStr">
        <is>
          <t>&lt;p&gt;&lt;/p&gt;</t>
        </is>
      </c>
      <c r="O3540" t="inlineStr"/>
      <c r="P3540" t="inlineStr">
        <is>
          <t>GL20TGZ , Car - Electric , Tesla , Model 3 Long Range AWD</t>
        </is>
      </c>
      <c r="Q3540" t="inlineStr">
        <is>
          <t>NGED</t>
        </is>
      </c>
      <c r="R3540" t="b">
        <v>0</v>
      </c>
    </row>
    <row r="3541">
      <c r="A3541" t="inlineStr">
        <is>
          <t>10 Mar 2026 / 6617 Ashdown Tree Limited 1</t>
        </is>
      </c>
      <c r="B3541" t="inlineStr">
        <is>
          <t>Utilities</t>
        </is>
      </c>
      <c r="C3541" t="inlineStr">
        <is>
          <t>UKPN</t>
        </is>
      </c>
      <c r="D3541" t="inlineStr">
        <is>
          <t>WF11EJJ , Vehicle , Land Rover , Discovery</t>
        </is>
      </c>
      <c r="E3541" t="inlineStr">
        <is>
          <t>WF11EJJ , Vehicle , Land Rover , Discovery</t>
        </is>
      </c>
      <c r="F3541" t="inlineStr">
        <is>
          <t>WF11EJJ , Vehicle , Land Rover , Discovery</t>
        </is>
      </c>
      <c r="G3541" t="inlineStr">
        <is>
          <t>Dan</t>
        </is>
      </c>
      <c r="H3541" t="inlineStr">
        <is>
          <t>4x4</t>
        </is>
      </c>
      <c r="I3541" t="inlineStr">
        <is>
          <t>Daily/ Weekly Vehicle Inspection</t>
        </is>
      </c>
      <c r="J3541" t="inlineStr">
        <is>
          <t>N/A</t>
        </is>
      </c>
      <c r="K3541" t="inlineStr">
        <is>
          <t>6617 Ashdown Tree Limited - Team 2</t>
        </is>
      </c>
      <c r="L3541" t="inlineStr">
        <is>
          <t>10/03/2026 16:44</t>
        </is>
      </c>
      <c r="M3541" t="inlineStr">
        <is>
          <t>None</t>
        </is>
      </c>
      <c r="N3541" t="inlineStr">
        <is>
          <t>&lt;p&gt;&lt;/p&gt;</t>
        </is>
      </c>
      <c r="O3541" t="inlineStr"/>
      <c r="P3541" t="inlineStr">
        <is>
          <t>WF11EJJ , Vehicle , Land Rover , Discovery</t>
        </is>
      </c>
      <c r="Q3541" t="inlineStr">
        <is>
          <t>UKPN</t>
        </is>
      </c>
      <c r="R3541" t="b">
        <v>0</v>
      </c>
    </row>
    <row r="3542">
      <c r="A3542" t="inlineStr">
        <is>
          <t>11 Mar 2026 / 6617 Ashdown Tree Limited 1</t>
        </is>
      </c>
      <c r="B3542" t="inlineStr">
        <is>
          <t>Utilities</t>
        </is>
      </c>
      <c r="C3542" t="inlineStr">
        <is>
          <t>UKPN</t>
        </is>
      </c>
      <c r="D3542" t="inlineStr">
        <is>
          <t>WG63OJS , 4x4 , Land rover  , defender</t>
        </is>
      </c>
      <c r="E3542" t="inlineStr">
        <is>
          <t>WG63OJS , 4x4 , Land rover  , defender</t>
        </is>
      </c>
      <c r="F3542" t="inlineStr">
        <is>
          <t>WG63OJS , 4x4 , Land rover  , defender</t>
        </is>
      </c>
      <c r="G3542" t="inlineStr">
        <is>
          <t>Dan</t>
        </is>
      </c>
      <c r="H3542" t="inlineStr">
        <is>
          <t>4x4</t>
        </is>
      </c>
      <c r="I3542" t="inlineStr">
        <is>
          <t>Daily/ Weekly Vehicle Inspection</t>
        </is>
      </c>
      <c r="J3542" t="inlineStr">
        <is>
          <t>N/A</t>
        </is>
      </c>
      <c r="K3542" t="inlineStr">
        <is>
          <t>6617 Ashdown Tree Limited - Team 2</t>
        </is>
      </c>
      <c r="L3542" t="inlineStr">
        <is>
          <t>11/03/2026 06:44</t>
        </is>
      </c>
      <c r="M3542" t="inlineStr">
        <is>
          <t>None</t>
        </is>
      </c>
      <c r="N3542" t="inlineStr">
        <is>
          <t>&lt;p&gt;&lt;/p&gt;</t>
        </is>
      </c>
      <c r="O3542" t="inlineStr"/>
      <c r="P3542" t="inlineStr">
        <is>
          <t>WG63OJS , 4x4 , Land rover  , defender</t>
        </is>
      </c>
      <c r="Q3542" t="inlineStr">
        <is>
          <t>UKPN</t>
        </is>
      </c>
      <c r="R3542" t="b">
        <v>0</v>
      </c>
    </row>
    <row r="3543">
      <c r="A3543" t="inlineStr">
        <is>
          <t>11 Mar 2026 / 8148 Hope Ground and Tree Care</t>
        </is>
      </c>
      <c r="B3543" t="inlineStr">
        <is>
          <t>Utilities</t>
        </is>
      </c>
      <c r="C3543" t="inlineStr">
        <is>
          <t>UKPN</t>
        </is>
      </c>
      <c r="D3543" t="inlineStr">
        <is>
          <t>S6 NWX , MEWP , Isuzu , D-Max</t>
        </is>
      </c>
      <c r="E3543" t="inlineStr">
        <is>
          <t>S6 NWX , MEWP , Isuzu , D-Max</t>
        </is>
      </c>
      <c r="F3543" t="inlineStr">
        <is>
          <t>S6 NWX , MEWP , Isuzu , D-Max</t>
        </is>
      </c>
      <c r="G3543" t="inlineStr">
        <is>
          <t xml:space="preserve">A Hope </t>
        </is>
      </c>
      <c r="H3543" t="inlineStr">
        <is>
          <t>4x4</t>
        </is>
      </c>
      <c r="I3543" t="inlineStr">
        <is>
          <t>Daily/ Weekly Vehicle Inspection</t>
        </is>
      </c>
      <c r="J3543" t="inlineStr">
        <is>
          <t>N/A</t>
        </is>
      </c>
      <c r="K3543" t="inlineStr">
        <is>
          <t>8148 Hope Ground and Tree Care</t>
        </is>
      </c>
      <c r="L3543" t="inlineStr">
        <is>
          <t>11/03/2026 07:44</t>
        </is>
      </c>
      <c r="M3543" t="inlineStr">
        <is>
          <t>None</t>
        </is>
      </c>
      <c r="N3543" t="inlineStr">
        <is>
          <t>&lt;p&gt;&lt;/p&gt;</t>
        </is>
      </c>
      <c r="O3543" t="inlineStr"/>
      <c r="P3543" t="inlineStr">
        <is>
          <t>S6 NWX , MEWP , Isuzu , D-Max</t>
        </is>
      </c>
      <c r="Q3543" t="inlineStr">
        <is>
          <t>UKPN</t>
        </is>
      </c>
      <c r="R3543" t="b">
        <v>0</v>
      </c>
    </row>
    <row r="3544">
      <c r="A3544" t="inlineStr">
        <is>
          <t>11 Mar 2026 / 7186 Eastwoodbury Tree Services Ltd</t>
        </is>
      </c>
      <c r="B3544" t="inlineStr">
        <is>
          <t>Utilities</t>
        </is>
      </c>
      <c r="C3544" t="inlineStr">
        <is>
          <t>UKPN</t>
        </is>
      </c>
      <c r="D3544" t="inlineStr">
        <is>
          <t>WF13 EKT , 4x4 , Land rover  , Defender</t>
        </is>
      </c>
      <c r="E3544" t="inlineStr">
        <is>
          <t>WF13 EKT , 4x4 , Land rover  , Defender</t>
        </is>
      </c>
      <c r="F3544" t="inlineStr">
        <is>
          <t>WF13 EKT , 4x4 , Land rover  , Defender</t>
        </is>
      </c>
      <c r="G3544" t="inlineStr">
        <is>
          <t xml:space="preserve">Dan Gilbert </t>
        </is>
      </c>
      <c r="H3544" t="inlineStr">
        <is>
          <t>4x4</t>
        </is>
      </c>
      <c r="I3544" t="inlineStr">
        <is>
          <t>Daily/ Weekly Vehicle Inspection</t>
        </is>
      </c>
      <c r="J3544" t="inlineStr">
        <is>
          <t>N/A</t>
        </is>
      </c>
      <c r="K3544" t="inlineStr">
        <is>
          <t>7186 Eastwoodbury Tree Services Ltd</t>
        </is>
      </c>
      <c r="L3544" t="inlineStr">
        <is>
          <t>11/03/2026 07:45</t>
        </is>
      </c>
      <c r="M3544" t="inlineStr">
        <is>
          <t>None</t>
        </is>
      </c>
      <c r="N3544" t="inlineStr">
        <is>
          <t>&lt;p&gt;&lt;/p&gt;</t>
        </is>
      </c>
      <c r="O3544" t="inlineStr"/>
      <c r="P3544" t="inlineStr">
        <is>
          <t>WF13 EKT , 4x4 , Land rover  , Defender</t>
        </is>
      </c>
      <c r="Q3544" t="inlineStr">
        <is>
          <t>UKPN</t>
        </is>
      </c>
      <c r="R3544" t="b">
        <v>0</v>
      </c>
    </row>
    <row r="3545">
      <c r="A3545" t="inlineStr">
        <is>
          <t>11 Mar 2026 / 7889 Tree Tech Suffolk Ltd</t>
        </is>
      </c>
      <c r="B3545" t="inlineStr">
        <is>
          <t>Utilities &amp; Inland Waterways</t>
        </is>
      </c>
      <c r="C3545" t="inlineStr">
        <is>
          <t>UKPN</t>
        </is>
      </c>
      <c r="D3545" t="inlineStr">
        <is>
          <t>Tipper - Mercedes - Sprinter - NS06TTSTow Chipper - Jenson - A530L - 5521063948</t>
        </is>
      </c>
      <c r="E3545" t="inlineStr">
        <is>
          <t>Tipper - Mercedes - Sprinter - NS06TTSTow Chipper - Jenson - A530L - 5521063948</t>
        </is>
      </c>
      <c r="F3545" t="inlineStr">
        <is>
          <t>Tipper - Mercedes - Sprinter - NS06TTSTow Chipper - Jenson - A530L - 5521063948</t>
        </is>
      </c>
      <c r="G3545" t="inlineStr">
        <is>
          <t xml:space="preserve">Danny ApplebyDanny Appleby </t>
        </is>
      </c>
      <c r="H3545" t="inlineStr">
        <is>
          <t>TipperTowed Chipper</t>
        </is>
      </c>
      <c r="I3545" t="inlineStr">
        <is>
          <t>Daily/ Weekly Vehicle Inspection</t>
        </is>
      </c>
      <c r="J3545" t="inlineStr">
        <is>
          <t>N/A</t>
        </is>
      </c>
      <c r="K3545" t="inlineStr">
        <is>
          <t>7889 Tree Tech Suffolk Ltd</t>
        </is>
      </c>
      <c r="L3545" t="inlineStr">
        <is>
          <t>11/03/2026 07:46</t>
        </is>
      </c>
      <c r="M3545" t="inlineStr">
        <is>
          <t>None</t>
        </is>
      </c>
      <c r="N3545" t="inlineStr">
        <is>
          <t>&lt;p&gt;&lt;/p&gt;</t>
        </is>
      </c>
      <c r="O3545" t="inlineStr"/>
      <c r="P3545" t="inlineStr">
        <is>
          <t>Tipper - Mercedes - Sprinter - NS06TTSTow Chipper - Jenson - A530L - 5521063948</t>
        </is>
      </c>
      <c r="Q3545" t="inlineStr">
        <is>
          <t>UKPN</t>
        </is>
      </c>
      <c r="R3545" t="b">
        <v>0</v>
      </c>
    </row>
    <row r="3546">
      <c r="A3546" t="inlineStr">
        <is>
          <t>11 Mar 2026 / 7806 Optimum Tree Services Ltd</t>
        </is>
      </c>
      <c r="B3546" t="inlineStr">
        <is>
          <t>Utilities</t>
        </is>
      </c>
      <c r="C3546" t="inlineStr">
        <is>
          <t>UKPN</t>
        </is>
      </c>
      <c r="D3546" t="inlineStr">
        <is>
          <t>WD14EVB , MEWP , Land Rover , Defender</t>
        </is>
      </c>
      <c r="E3546" t="inlineStr">
        <is>
          <t>WD14EVB , MEWP , Land Rover , Defender</t>
        </is>
      </c>
      <c r="F3546" t="inlineStr">
        <is>
          <t>WD14EVB , MEWP , Land Rover , Defender</t>
        </is>
      </c>
      <c r="G3546" t="inlineStr">
        <is>
          <t xml:space="preserve">Abraham Davies </t>
        </is>
      </c>
      <c r="H3546" t="inlineStr">
        <is>
          <t>4x4</t>
        </is>
      </c>
      <c r="I3546" t="inlineStr">
        <is>
          <t>Daily/ Weekly Vehicle Inspection</t>
        </is>
      </c>
      <c r="J3546" t="inlineStr">
        <is>
          <t>N/A</t>
        </is>
      </c>
      <c r="K3546" t="inlineStr">
        <is>
          <t>7806 Optimum Tree Services Ltd</t>
        </is>
      </c>
      <c r="L3546" t="inlineStr">
        <is>
          <t>11/03/2026 07:47</t>
        </is>
      </c>
      <c r="M3546" t="inlineStr">
        <is>
          <t>None</t>
        </is>
      </c>
      <c r="N3546" t="inlineStr">
        <is>
          <t>&lt;p&gt;&lt;/p&gt;</t>
        </is>
      </c>
      <c r="O3546" t="inlineStr"/>
      <c r="P3546" t="inlineStr">
        <is>
          <t>WD14EVB , MEWP , Land Rover , Defender</t>
        </is>
      </c>
      <c r="Q3546" t="inlineStr">
        <is>
          <t>UKPN</t>
        </is>
      </c>
      <c r="R3546" t="b">
        <v>0</v>
      </c>
    </row>
    <row r="3547">
      <c r="A3547" t="inlineStr">
        <is>
          <t>11 Mar 2026 / 7186 Eastwoodbury Tree Services Ltd</t>
        </is>
      </c>
      <c r="B3547" t="inlineStr">
        <is>
          <t>Utilities</t>
        </is>
      </c>
      <c r="C3547" t="inlineStr">
        <is>
          <t>UKPN</t>
        </is>
      </c>
      <c r="D3547" t="inlineStr">
        <is>
          <t>FX14 XCV , 4x4 , Land Rover  , Defender</t>
        </is>
      </c>
      <c r="E3547" t="inlineStr">
        <is>
          <t>FX14 XCV , 4x4 , Land Rover  , Defender</t>
        </is>
      </c>
      <c r="F3547" t="inlineStr">
        <is>
          <t>FX14 XCV , 4x4 , Land Rover  , Defender</t>
        </is>
      </c>
      <c r="G3547" t="inlineStr">
        <is>
          <t xml:space="preserve">Tom price </t>
        </is>
      </c>
      <c r="H3547" t="inlineStr">
        <is>
          <t>4x4</t>
        </is>
      </c>
      <c r="I3547" t="inlineStr">
        <is>
          <t>Daily/ Weekly Vehicle Inspection</t>
        </is>
      </c>
      <c r="J3547" t="inlineStr">
        <is>
          <t>N/A</t>
        </is>
      </c>
      <c r="K3547" t="inlineStr">
        <is>
          <t>7186 Eastwoodbury Tree Services Ltd</t>
        </is>
      </c>
      <c r="L3547" t="inlineStr">
        <is>
          <t>11/03/2026 07:47</t>
        </is>
      </c>
      <c r="M3547" t="inlineStr">
        <is>
          <t>None</t>
        </is>
      </c>
      <c r="N3547" t="inlineStr">
        <is>
          <t>&lt;p&gt;&lt;/p&gt;</t>
        </is>
      </c>
      <c r="O3547" t="inlineStr"/>
      <c r="P3547" t="inlineStr">
        <is>
          <t>FX14 XCV , 4x4 , Land Rover  , Defender</t>
        </is>
      </c>
      <c r="Q3547" t="inlineStr">
        <is>
          <t>UKPN</t>
        </is>
      </c>
      <c r="R3547" t="b">
        <v>0</v>
      </c>
    </row>
    <row r="3548">
      <c r="A3548" t="inlineStr">
        <is>
          <t>11 Mar 2026 / 7806 Optimum Tree Services Ltd</t>
        </is>
      </c>
      <c r="B3548" t="inlineStr">
        <is>
          <t>Utilities</t>
        </is>
      </c>
      <c r="C3548" t="inlineStr">
        <is>
          <t>UKPN</t>
        </is>
      </c>
      <c r="D3548" t="inlineStr">
        <is>
          <t>SA9TAPLAF27414263 , Trailer , Tow Mate , Plant Trailer</t>
        </is>
      </c>
      <c r="E3548" t="inlineStr">
        <is>
          <t>SA9TAPLAF27414263 , Trailer , Tow Mate , Plant Trailer</t>
        </is>
      </c>
      <c r="F3548" t="inlineStr">
        <is>
          <t>SA9TAPLAF27414263 , Trailer , Tow Mate , Plant Trailer</t>
        </is>
      </c>
      <c r="G3548" t="inlineStr">
        <is>
          <t xml:space="preserve">Abraham Davies </t>
        </is>
      </c>
      <c r="H3548" t="inlineStr">
        <is>
          <t>Plant Trailer</t>
        </is>
      </c>
      <c r="I3548" t="inlineStr">
        <is>
          <t>Daily/ Weekly Vehicle Inspection</t>
        </is>
      </c>
      <c r="J3548" t="inlineStr">
        <is>
          <t>N/A</t>
        </is>
      </c>
      <c r="K3548" t="inlineStr">
        <is>
          <t>7806 Optimum Tree Services Ltd</t>
        </is>
      </c>
      <c r="L3548" t="inlineStr">
        <is>
          <t>11/03/2026 07:48</t>
        </is>
      </c>
      <c r="M3548" t="inlineStr">
        <is>
          <t>None</t>
        </is>
      </c>
      <c r="N3548" t="inlineStr">
        <is>
          <t>&lt;p&gt;&lt;/p&gt;</t>
        </is>
      </c>
      <c r="O3548" t="inlineStr"/>
      <c r="P3548" t="inlineStr">
        <is>
          <t>SA9TAPLAF27414263 , Trailer , Tow Mate , Plant Trailer</t>
        </is>
      </c>
      <c r="Q3548" t="inlineStr">
        <is>
          <t>UKPN</t>
        </is>
      </c>
      <c r="R3548" t="b">
        <v>0</v>
      </c>
    </row>
    <row r="3549">
      <c r="A3549" t="inlineStr">
        <is>
          <t>11 Mar 2026 / 7806 Optimum Tree Services Ltd</t>
        </is>
      </c>
      <c r="B3549" t="inlineStr">
        <is>
          <t>Utilities</t>
        </is>
      </c>
      <c r="C3549" t="inlineStr">
        <is>
          <t>UKPN</t>
        </is>
      </c>
      <c r="D3549" t="inlineStr">
        <is>
          <t>SA9ST800000283069 , Chipper , Forst , ST 6P</t>
        </is>
      </c>
      <c r="E3549" t="inlineStr">
        <is>
          <t>SA9ST800000283069 , Chipper , Forst , ST 6P</t>
        </is>
      </c>
      <c r="F3549" t="inlineStr">
        <is>
          <t>SA9ST800000283069 , Chipper , Forst , ST 6P</t>
        </is>
      </c>
      <c r="G3549" t="inlineStr">
        <is>
          <t xml:space="preserve">Abraham Davies </t>
        </is>
      </c>
      <c r="H3549" t="inlineStr">
        <is>
          <t>Towed Chipper</t>
        </is>
      </c>
      <c r="I3549" t="inlineStr">
        <is>
          <t>Daily/ Weekly Vehicle Inspection</t>
        </is>
      </c>
      <c r="J3549" t="inlineStr">
        <is>
          <t>N/A</t>
        </is>
      </c>
      <c r="K3549" t="inlineStr">
        <is>
          <t>7806 Optimum Tree Services Ltd</t>
        </is>
      </c>
      <c r="L3549" t="inlineStr">
        <is>
          <t>11/03/2026 07:49</t>
        </is>
      </c>
      <c r="M3549" t="inlineStr">
        <is>
          <t>None</t>
        </is>
      </c>
      <c r="N3549" t="inlineStr">
        <is>
          <t>&lt;p&gt;&lt;/p&gt;</t>
        </is>
      </c>
      <c r="O3549" t="inlineStr"/>
      <c r="P3549" t="inlineStr">
        <is>
          <t>SA9ST800000283069 , Chipper , Forst , ST 6P</t>
        </is>
      </c>
      <c r="Q3549" t="inlineStr">
        <is>
          <t>UKPN</t>
        </is>
      </c>
      <c r="R3549" t="b">
        <v>0</v>
      </c>
    </row>
    <row r="3550">
      <c r="A3550" t="inlineStr">
        <is>
          <t>11 Mar 2026 / 7806 Optimum Tree Services Ltd</t>
        </is>
      </c>
      <c r="B3550" t="inlineStr">
        <is>
          <t>Utilities</t>
        </is>
      </c>
      <c r="C3550" t="inlineStr">
        <is>
          <t>UKPN</t>
        </is>
      </c>
      <c r="D3550" t="inlineStr">
        <is>
          <t>Wd14evn , 4x4 , Landrover  , Defender</t>
        </is>
      </c>
      <c r="E3550" t="inlineStr">
        <is>
          <t>Wd14evn , 4x4 , Landrover  , Defender</t>
        </is>
      </c>
      <c r="F3550" t="inlineStr">
        <is>
          <t>Wd14evn , 4x4 , Landrover  , Defender</t>
        </is>
      </c>
      <c r="G3550" t="inlineStr">
        <is>
          <t xml:space="preserve">Tommy frasle </t>
        </is>
      </c>
      <c r="H3550" t="inlineStr">
        <is>
          <t>4x4</t>
        </is>
      </c>
      <c r="I3550" t="inlineStr">
        <is>
          <t>Daily/ Weekly Vehicle Inspection</t>
        </is>
      </c>
      <c r="J3550" t="inlineStr">
        <is>
          <t>N/A</t>
        </is>
      </c>
      <c r="K3550" t="inlineStr">
        <is>
          <t>7806 Optimum Tree Services Ltd</t>
        </is>
      </c>
      <c r="L3550" t="inlineStr">
        <is>
          <t>11/03/2026 07:50</t>
        </is>
      </c>
      <c r="M3550" t="inlineStr">
        <is>
          <t>None</t>
        </is>
      </c>
      <c r="N3550" t="inlineStr">
        <is>
          <t>&lt;p&gt;&lt;/p&gt;</t>
        </is>
      </c>
      <c r="O3550" t="inlineStr"/>
      <c r="P3550" t="inlineStr">
        <is>
          <t>Wd14evn , 4x4 , Landrover  , Defender</t>
        </is>
      </c>
      <c r="Q3550" t="inlineStr">
        <is>
          <t>UKPN</t>
        </is>
      </c>
      <c r="R3550" t="b">
        <v>0</v>
      </c>
    </row>
    <row r="3551">
      <c r="A3551" t="inlineStr">
        <is>
          <t>11 Mar 2026 / 8040 S6 Tree specialists Ltd</t>
        </is>
      </c>
      <c r="B3551" t="inlineStr">
        <is>
          <t>Utilities</t>
        </is>
      </c>
      <c r="C3551" t="inlineStr">
        <is>
          <t>UKPN</t>
        </is>
      </c>
      <c r="D3551" t="inlineStr">
        <is>
          <t>Cu59myy  , 4x4 , Landrover  , Discovery 4</t>
        </is>
      </c>
      <c r="E3551" t="inlineStr">
        <is>
          <t>Cu59myy  , 4x4 , Landrover  , Discovery 4</t>
        </is>
      </c>
      <c r="F3551" t="inlineStr">
        <is>
          <t>Cu59myy  , 4x4 , Landrover  , Discovery 4</t>
        </is>
      </c>
      <c r="G3551" t="inlineStr">
        <is>
          <t>Luke</t>
        </is>
      </c>
      <c r="H3551" t="inlineStr">
        <is>
          <t>4x4</t>
        </is>
      </c>
      <c r="I3551" t="inlineStr">
        <is>
          <t>Daily/ Weekly Vehicle Inspection</t>
        </is>
      </c>
      <c r="J3551" t="inlineStr">
        <is>
          <t>N/A</t>
        </is>
      </c>
      <c r="K3551" t="inlineStr">
        <is>
          <t>8040 S6 Tree specialists Ltd</t>
        </is>
      </c>
      <c r="L3551" t="inlineStr">
        <is>
          <t>11/03/2026 07:51</t>
        </is>
      </c>
      <c r="M3551" t="inlineStr">
        <is>
          <t>None</t>
        </is>
      </c>
      <c r="N3551" t="inlineStr">
        <is>
          <t>&lt;p&gt;&lt;/p&gt;</t>
        </is>
      </c>
      <c r="O3551" t="inlineStr"/>
      <c r="P3551" t="inlineStr">
        <is>
          <t>Cu59myy  , 4x4 , Landrover  , Discovery 4</t>
        </is>
      </c>
      <c r="Q3551" t="inlineStr">
        <is>
          <t>UKPN</t>
        </is>
      </c>
      <c r="R3551" t="b">
        <v>0</v>
      </c>
    </row>
    <row r="3552">
      <c r="A3552" t="inlineStr">
        <is>
          <t>11 Mar 2026 / Benet Jones</t>
        </is>
      </c>
      <c r="B3552" t="inlineStr">
        <is>
          <t>Utilities</t>
        </is>
      </c>
      <c r="C3552" t="inlineStr">
        <is>
          <t>NGED</t>
        </is>
      </c>
      <c r="D3552" t="inlineStr"/>
      <c r="E3552" t="inlineStr"/>
      <c r="F3552" t="inlineStr"/>
      <c r="G3552" t="inlineStr">
        <is>
          <t xml:space="preserve">Benet Jones </t>
        </is>
      </c>
      <c r="H3552" t="inlineStr">
        <is>
          <t>Car - Petrol</t>
        </is>
      </c>
      <c r="I3552" t="inlineStr">
        <is>
          <t>Daily/ Weekly Vehicle Inspection</t>
        </is>
      </c>
      <c r="J3552" t="inlineStr">
        <is>
          <t>N/A</t>
        </is>
      </c>
      <c r="K3552" t="inlineStr">
        <is>
          <t>Benet Jones</t>
        </is>
      </c>
      <c r="L3552" t="inlineStr">
        <is>
          <t>11/03/2026 07:53</t>
        </is>
      </c>
      <c r="M3552" t="inlineStr">
        <is>
          <t>None</t>
        </is>
      </c>
      <c r="N3552" t="inlineStr">
        <is>
          <t>&lt;p&gt;&lt;/p&gt;</t>
        </is>
      </c>
      <c r="O3552" t="inlineStr">
        <is>
          <t>Confirm that you have checked this vehicle as per the guidance document and the vehicle is safe and roadworthy:Vehicle checked and serviceable
-</t>
        </is>
      </c>
      <c r="P3552" t="inlineStr"/>
      <c r="Q3552" t="inlineStr">
        <is>
          <t>NGED</t>
        </is>
      </c>
      <c r="R3552" t="b">
        <v>0</v>
      </c>
    </row>
    <row r="3553">
      <c r="A3553" t="inlineStr">
        <is>
          <t>11 Mar 2026 / 7951 Austin Tree Care LTD</t>
        </is>
      </c>
      <c r="B3553" t="inlineStr">
        <is>
          <t>Utilities</t>
        </is>
      </c>
      <c r="C3553" t="inlineStr">
        <is>
          <t>UKPN</t>
        </is>
      </c>
      <c r="D3553" t="inlineStr">
        <is>
          <t>SA9ST6P0001283612 , Towed Chipper , Forst , ST6p</t>
        </is>
      </c>
      <c r="E3553" t="inlineStr">
        <is>
          <t>SA9ST6P0001283612 , Towed Chipper , Forst , ST6p</t>
        </is>
      </c>
      <c r="F3553" t="inlineStr">
        <is>
          <t>SA9ST6P0001283612 , Towed Chipper , Forst , ST6p</t>
        </is>
      </c>
      <c r="G3553" t="inlineStr">
        <is>
          <t xml:space="preserve">Jack Austin </t>
        </is>
      </c>
      <c r="H3553" t="inlineStr">
        <is>
          <t>Towed Chipper</t>
        </is>
      </c>
      <c r="I3553" t="inlineStr">
        <is>
          <t>Daily/ Weekly Vehicle Inspection</t>
        </is>
      </c>
      <c r="J3553" t="inlineStr">
        <is>
          <t>N/A</t>
        </is>
      </c>
      <c r="K3553" t="inlineStr">
        <is>
          <t>7951 Austin Tree Care LTD</t>
        </is>
      </c>
      <c r="L3553" t="inlineStr">
        <is>
          <t>11/03/2026 08:45</t>
        </is>
      </c>
      <c r="M3553" t="inlineStr">
        <is>
          <t>None</t>
        </is>
      </c>
      <c r="N3553" t="inlineStr">
        <is>
          <t>&lt;p&gt;&lt;/p&gt;</t>
        </is>
      </c>
      <c r="O3553" t="inlineStr"/>
      <c r="P3553" t="inlineStr">
        <is>
          <t>SA9ST6P0001283612 , Towed Chipper , Forst , ST6p</t>
        </is>
      </c>
      <c r="Q3553" t="inlineStr">
        <is>
          <t>UKPN</t>
        </is>
      </c>
      <c r="R3553" t="b">
        <v>0</v>
      </c>
    </row>
    <row r="3554">
      <c r="A3554" t="inlineStr">
        <is>
          <t>11 Mar 2026 / 7951 Austin Tree Care LTD</t>
        </is>
      </c>
      <c r="B3554" t="inlineStr">
        <is>
          <t>Utilities</t>
        </is>
      </c>
      <c r="C3554" t="inlineStr">
        <is>
          <t>UKPN</t>
        </is>
      </c>
      <c r="D3554" t="inlineStr">
        <is>
          <t>WG64HTT , 4x4 , Land Rover , Defender 110</t>
        </is>
      </c>
      <c r="E3554" t="inlineStr">
        <is>
          <t>WG64HTT , 4x4 , Land Rover , Defender 110</t>
        </is>
      </c>
      <c r="F3554" t="inlineStr">
        <is>
          <t>WG64HTT , 4x4 , Land Rover , Defender 110</t>
        </is>
      </c>
      <c r="G3554" t="inlineStr">
        <is>
          <t xml:space="preserve">Jack Austin </t>
        </is>
      </c>
      <c r="H3554" t="inlineStr">
        <is>
          <t>4x4</t>
        </is>
      </c>
      <c r="I3554" t="inlineStr">
        <is>
          <t>Daily/ Weekly Vehicle Inspection</t>
        </is>
      </c>
      <c r="J3554" t="inlineStr">
        <is>
          <t>N/A</t>
        </is>
      </c>
      <c r="K3554" t="inlineStr">
        <is>
          <t>7951 Austin Tree Care LTD</t>
        </is>
      </c>
      <c r="L3554" t="inlineStr">
        <is>
          <t>11/03/2026 08:45</t>
        </is>
      </c>
      <c r="M3554" t="inlineStr">
        <is>
          <t>None</t>
        </is>
      </c>
      <c r="N3554" t="inlineStr">
        <is>
          <t>&lt;p&gt;&lt;/p&gt;</t>
        </is>
      </c>
      <c r="O3554" t="inlineStr"/>
      <c r="P3554" t="inlineStr">
        <is>
          <t>WG64HTT , 4x4 , Land Rover , Defender 110</t>
        </is>
      </c>
      <c r="Q3554" t="inlineStr">
        <is>
          <t>UKPN</t>
        </is>
      </c>
      <c r="R3554" t="b">
        <v>0</v>
      </c>
    </row>
    <row r="3555">
      <c r="A3555" t="inlineStr">
        <is>
          <t>11 Mar 2026 / 7951 Austin Tree Care LTD</t>
        </is>
      </c>
      <c r="B3555" t="inlineStr">
        <is>
          <t>Utilities</t>
        </is>
      </c>
      <c r="C3555" t="inlineStr">
        <is>
          <t>UKPN</t>
        </is>
      </c>
      <c r="D3555" t="inlineStr">
        <is>
          <t>WG64HTT , 4x4 , Land Rover , Defender 110</t>
        </is>
      </c>
      <c r="E3555" t="inlineStr">
        <is>
          <t>WG64HTT , 4x4 , Land Rover , Defender 110</t>
        </is>
      </c>
      <c r="F3555" t="inlineStr">
        <is>
          <t>WG64HTT , 4x4 , Land Rover , Defender 110</t>
        </is>
      </c>
      <c r="G3555" t="inlineStr">
        <is>
          <t xml:space="preserve">Jack Austin </t>
        </is>
      </c>
      <c r="H3555" t="inlineStr">
        <is>
          <t>4x4</t>
        </is>
      </c>
      <c r="I3555" t="inlineStr">
        <is>
          <t>Daily/ Weekly Vehicle Inspection</t>
        </is>
      </c>
      <c r="J3555" t="inlineStr">
        <is>
          <t>N/A</t>
        </is>
      </c>
      <c r="K3555" t="inlineStr">
        <is>
          <t>7951 Austin Tree Care LTD</t>
        </is>
      </c>
      <c r="L3555" t="inlineStr">
        <is>
          <t>11/03/2026 08:46</t>
        </is>
      </c>
      <c r="M3555" t="inlineStr">
        <is>
          <t>None</t>
        </is>
      </c>
      <c r="N3555" t="inlineStr">
        <is>
          <t>&lt;p&gt;&lt;/p&gt;</t>
        </is>
      </c>
      <c r="O3555" t="inlineStr"/>
      <c r="P3555" t="inlineStr">
        <is>
          <t>WG64HTT , 4x4 , Land Rover , Defender 110</t>
        </is>
      </c>
      <c r="Q3555" t="inlineStr">
        <is>
          <t>UKPN</t>
        </is>
      </c>
      <c r="R3555" t="b">
        <v>0</v>
      </c>
    </row>
    <row r="3556">
      <c r="A3556" t="inlineStr">
        <is>
          <t>11 Mar 2026 / 7995 Green Net Eco Ltd 2</t>
        </is>
      </c>
      <c r="B3556" t="inlineStr">
        <is>
          <t>Utilities</t>
        </is>
      </c>
      <c r="C3556" t="inlineStr">
        <is>
          <t>UKPN</t>
        </is>
      </c>
      <c r="D3556" t="inlineStr">
        <is>
          <t>X21TNP , 4x4 , Toyota , Hilux</t>
        </is>
      </c>
      <c r="E3556" t="inlineStr">
        <is>
          <t>X21TNP , 4x4 , Toyota , Hilux</t>
        </is>
      </c>
      <c r="F3556" t="inlineStr">
        <is>
          <t>X21TNP , 4x4 , Toyota , Hilux</t>
        </is>
      </c>
      <c r="G3556" t="inlineStr">
        <is>
          <t>Thomas Playford</t>
        </is>
      </c>
      <c r="H3556" t="inlineStr">
        <is>
          <t>4x4</t>
        </is>
      </c>
      <c r="I3556" t="inlineStr">
        <is>
          <t>Daily/ Weekly Vehicle Inspection</t>
        </is>
      </c>
      <c r="J3556" t="inlineStr">
        <is>
          <t>N/A</t>
        </is>
      </c>
      <c r="K3556" t="inlineStr">
        <is>
          <t>7995 Green Net Eco Ltd 2</t>
        </is>
      </c>
      <c r="L3556" t="inlineStr">
        <is>
          <t>11/03/2026 08:50</t>
        </is>
      </c>
      <c r="M3556" t="inlineStr">
        <is>
          <t>None</t>
        </is>
      </c>
      <c r="N3556" t="inlineStr">
        <is>
          <t>&lt;p&gt;&lt;/p&gt;</t>
        </is>
      </c>
      <c r="O3556" t="inlineStr"/>
      <c r="P3556" t="inlineStr">
        <is>
          <t>X21TNP , 4x4 , Toyota , Hilux</t>
        </is>
      </c>
      <c r="Q3556" t="inlineStr">
        <is>
          <t>UKPN</t>
        </is>
      </c>
      <c r="R3556" t="b">
        <v>0</v>
      </c>
    </row>
    <row r="3557">
      <c r="A3557" t="inlineStr">
        <is>
          <t>11 Mar 2026 / 7995 Green Net Eco Ltd 2</t>
        </is>
      </c>
      <c r="B3557" t="inlineStr">
        <is>
          <t>Utilities</t>
        </is>
      </c>
      <c r="C3557" t="inlineStr">
        <is>
          <t>UKPN</t>
        </is>
      </c>
      <c r="D3557" t="inlineStr">
        <is>
          <t>SA9ST800000283944 , Towed Chipper , Forst , ST8D - Towed</t>
        </is>
      </c>
      <c r="E3557" t="inlineStr">
        <is>
          <t>SA9ST800000283944 , Towed Chipper , Forst , ST8D - Towed</t>
        </is>
      </c>
      <c r="F3557" t="inlineStr">
        <is>
          <t>SA9ST800000283944 , Towed Chipper , Forst , ST8D - Towed</t>
        </is>
      </c>
      <c r="G3557" t="inlineStr">
        <is>
          <t>Jacob Oram</t>
        </is>
      </c>
      <c r="H3557" t="inlineStr">
        <is>
          <t>Towed Chipper</t>
        </is>
      </c>
      <c r="I3557" t="inlineStr">
        <is>
          <t>Daily/ Weekly Vehicle Inspection</t>
        </is>
      </c>
      <c r="J3557" t="inlineStr">
        <is>
          <t>N/A</t>
        </is>
      </c>
      <c r="K3557" t="inlineStr">
        <is>
          <t>7995 Green Net Eco Ltd 2</t>
        </is>
      </c>
      <c r="L3557" t="inlineStr">
        <is>
          <t>11/03/2026 08:50</t>
        </is>
      </c>
      <c r="M3557" t="inlineStr">
        <is>
          <t>None</t>
        </is>
      </c>
      <c r="N3557" t="inlineStr">
        <is>
          <t>&lt;p&gt;&lt;/p&gt;</t>
        </is>
      </c>
      <c r="O3557" t="inlineStr"/>
      <c r="P3557" t="inlineStr">
        <is>
          <t>SA9ST800000283944 , Towed Chipper , Forst , ST8D - Towed</t>
        </is>
      </c>
      <c r="Q3557" t="inlineStr">
        <is>
          <t>UKPN</t>
        </is>
      </c>
      <c r="R3557" t="b">
        <v>0</v>
      </c>
    </row>
    <row r="3558">
      <c r="A3558" t="inlineStr">
        <is>
          <t>11 Mar 2026 / 7995 Green Net Eco Ltd 2</t>
        </is>
      </c>
      <c r="B3558" t="inlineStr">
        <is>
          <t>Utilities</t>
        </is>
      </c>
      <c r="C3558" t="inlineStr">
        <is>
          <t>UKPN</t>
        </is>
      </c>
      <c r="D3558" t="inlineStr">
        <is>
          <t>LK15KRZ , 4x4 , Landrover , Defender</t>
        </is>
      </c>
      <c r="E3558" t="inlineStr">
        <is>
          <t>LK15KRZ , 4x4 , Landrover , Defender</t>
        </is>
      </c>
      <c r="F3558" t="inlineStr">
        <is>
          <t>LK15KRZ , 4x4 , Landrover , Defender</t>
        </is>
      </c>
      <c r="G3558" t="inlineStr">
        <is>
          <t>Jacob Oram</t>
        </is>
      </c>
      <c r="H3558" t="inlineStr">
        <is>
          <t>4x4</t>
        </is>
      </c>
      <c r="I3558" t="inlineStr">
        <is>
          <t>Daily/ Weekly Vehicle Inspection</t>
        </is>
      </c>
      <c r="J3558" t="inlineStr">
        <is>
          <t>N/A</t>
        </is>
      </c>
      <c r="K3558" t="inlineStr">
        <is>
          <t>7995 Green Net Eco Ltd 2</t>
        </is>
      </c>
      <c r="L3558" t="inlineStr">
        <is>
          <t>11/03/2026 08:51</t>
        </is>
      </c>
      <c r="M3558" t="inlineStr">
        <is>
          <t>None</t>
        </is>
      </c>
      <c r="N3558" t="inlineStr">
        <is>
          <t>&lt;p&gt;&lt;/p&gt;</t>
        </is>
      </c>
      <c r="O3558" t="inlineStr"/>
      <c r="P3558" t="inlineStr">
        <is>
          <t>LK15KRZ , 4x4 , Landrover , Defender</t>
        </is>
      </c>
      <c r="Q3558" t="inlineStr">
        <is>
          <t>UKPN</t>
        </is>
      </c>
      <c r="R3558" t="b">
        <v>0</v>
      </c>
    </row>
    <row r="3559">
      <c r="A3559" t="inlineStr">
        <is>
          <t>11 Mar 2026 / Mathew Dunn</t>
        </is>
      </c>
      <c r="B3559" t="inlineStr">
        <is>
          <t>Utilities</t>
        </is>
      </c>
      <c r="C3559" t="inlineStr">
        <is>
          <t>SSE</t>
        </is>
      </c>
      <c r="D3559" t="inlineStr">
        <is>
          <t>GN70XAU , Car - Electric , Tesla , Model 3 Long Range AWD</t>
        </is>
      </c>
      <c r="E3559" t="inlineStr">
        <is>
          <t>GN70XAU , Car - Electric , Tesla , Model 3 Long Range AWD</t>
        </is>
      </c>
      <c r="F3559" t="inlineStr">
        <is>
          <t>GN70XAU , Car - Electric , Tesla , Model 3 Long Range AWD</t>
        </is>
      </c>
      <c r="G3559" t="inlineStr">
        <is>
          <t xml:space="preserve">Mathew dunn </t>
        </is>
      </c>
      <c r="H3559" t="inlineStr">
        <is>
          <t>Car - Electric (GC Owned)</t>
        </is>
      </c>
      <c r="I3559" t="inlineStr">
        <is>
          <t>Daily/ Weekly Vehicle Inspection</t>
        </is>
      </c>
      <c r="J3559" t="inlineStr">
        <is>
          <t>N/A</t>
        </is>
      </c>
      <c r="K3559" t="inlineStr">
        <is>
          <t>Mathew Dunn</t>
        </is>
      </c>
      <c r="L3559" t="inlineStr">
        <is>
          <t>11/03/2026 09:44</t>
        </is>
      </c>
      <c r="M3559" t="inlineStr">
        <is>
          <t>None</t>
        </is>
      </c>
      <c r="N3559" t="inlineStr">
        <is>
          <t>&lt;p&gt;&lt;/p&gt;</t>
        </is>
      </c>
      <c r="O3559" t="inlineStr"/>
      <c r="P3559" t="inlineStr">
        <is>
          <t>GN70XAU , Car - Electric , Tesla , Model 3 Long Range AWD</t>
        </is>
      </c>
      <c r="Q3559" t="inlineStr">
        <is>
          <t>SSE</t>
        </is>
      </c>
      <c r="R3559" t="b">
        <v>0</v>
      </c>
    </row>
    <row r="3560">
      <c r="A3560" t="inlineStr">
        <is>
          <t>11 Mar 2026 / 7800 MAC Tree Surgery and Fencing Ltd</t>
        </is>
      </c>
      <c r="B3560" t="inlineStr">
        <is>
          <t>Utilities</t>
        </is>
      </c>
      <c r="C3560" t="inlineStr">
        <is>
          <t>UKPN</t>
        </is>
      </c>
      <c r="D3560" t="inlineStr">
        <is>
          <t>FG16LNT , Tipper , Ford transit  , Transit tipper</t>
        </is>
      </c>
      <c r="E3560" t="inlineStr">
        <is>
          <t>FG16LNT , Tipper , Ford transit  , Transit tipper</t>
        </is>
      </c>
      <c r="F3560" t="inlineStr">
        <is>
          <t>FG16LNT , Tipper , Ford transit  , Transit tipper</t>
        </is>
      </c>
      <c r="G3560" t="inlineStr">
        <is>
          <t>Patrick</t>
        </is>
      </c>
      <c r="H3560" t="inlineStr">
        <is>
          <t>Tipper</t>
        </is>
      </c>
      <c r="I3560" t="inlineStr">
        <is>
          <t>Daily/ Weekly Vehicle Inspection</t>
        </is>
      </c>
      <c r="J3560" t="inlineStr">
        <is>
          <t>N/A</t>
        </is>
      </c>
      <c r="K3560" t="inlineStr">
        <is>
          <t>7800 MAC Tree Surgery and Fencing Ltd</t>
        </is>
      </c>
      <c r="L3560" t="inlineStr">
        <is>
          <t>11/03/2026 09:45</t>
        </is>
      </c>
      <c r="M3560" t="inlineStr">
        <is>
          <t>None</t>
        </is>
      </c>
      <c r="N3560" t="inlineStr">
        <is>
          <t>&lt;p&gt;&lt;/p&gt;</t>
        </is>
      </c>
      <c r="O3560" t="inlineStr"/>
      <c r="P3560" t="inlineStr">
        <is>
          <t>FG16LNT , Tipper , Ford transit  , Transit tipper</t>
        </is>
      </c>
      <c r="Q3560" t="inlineStr">
        <is>
          <t>UKPN</t>
        </is>
      </c>
      <c r="R3560" t="b">
        <v>0</v>
      </c>
    </row>
    <row r="3561">
      <c r="A3561" t="inlineStr">
        <is>
          <t>11 Mar 2026 / 7800 MAC Tree Surgery and Fencing Ltd / Utilities / UKPN</t>
        </is>
      </c>
      <c r="B3561" t="inlineStr">
        <is>
          <t>Utilities</t>
        </is>
      </c>
      <c r="C3561" t="inlineStr">
        <is>
          <t>UKPN</t>
        </is>
      </c>
      <c r="D3561" t="inlineStr">
        <is>
          <t>Plant Trailer - Towmate - 2.8t - 0</t>
        </is>
      </c>
      <c r="E3561" t="inlineStr">
        <is>
          <t>Plant Trailer - Towmate - 2.8t - 0</t>
        </is>
      </c>
      <c r="F3561" t="inlineStr">
        <is>
          <t>Plant Trailer - Towmate - 2.8t - 0</t>
        </is>
      </c>
      <c r="G3561" t="inlineStr">
        <is>
          <t>Lewis mac</t>
        </is>
      </c>
      <c r="H3561" t="inlineStr">
        <is>
          <t>Plant Trailer</t>
        </is>
      </c>
      <c r="I3561" t="inlineStr">
        <is>
          <t>Daily/ Weekly Vehicle Inspection</t>
        </is>
      </c>
      <c r="J3561" t="inlineStr">
        <is>
          <t>N/A</t>
        </is>
      </c>
      <c r="K3561" t="inlineStr">
        <is>
          <t>7800 MAC Tree Surgery and Fencing Ltd</t>
        </is>
      </c>
      <c r="L3561" t="inlineStr">
        <is>
          <t>11/03/2026 09:46</t>
        </is>
      </c>
      <c r="M3561" t="inlineStr">
        <is>
          <t>None</t>
        </is>
      </c>
      <c r="N3561" t="inlineStr">
        <is>
          <t>&lt;p&gt;&lt;/p&gt;</t>
        </is>
      </c>
      <c r="O3561" t="inlineStr"/>
      <c r="P3561" t="inlineStr">
        <is>
          <t>Plant Trailer - Towmate - 2.8t - 0</t>
        </is>
      </c>
      <c r="Q3561" t="inlineStr">
        <is>
          <t>UKPN</t>
        </is>
      </c>
      <c r="R3561" t="b">
        <v>0</v>
      </c>
    </row>
    <row r="3562">
      <c r="A3562" t="inlineStr">
        <is>
          <t>11 Mar 2026 / 7800 MAC Tree Surgery and Fencing Ltd / Utilities / UKPN</t>
        </is>
      </c>
      <c r="B3562" t="inlineStr">
        <is>
          <t>Utilities</t>
        </is>
      </c>
      <c r="C3562" t="inlineStr">
        <is>
          <t>UKPN</t>
        </is>
      </c>
      <c r="D3562" t="inlineStr">
        <is>
          <t>AY68DAA , 4x4 , Izuzu , Dmax</t>
        </is>
      </c>
      <c r="E3562" t="inlineStr">
        <is>
          <t>AY68DAA , 4x4 , Izuzu , Dmax</t>
        </is>
      </c>
      <c r="F3562" t="inlineStr">
        <is>
          <t>AY68DAA , 4x4 , Izuzu , Dmax</t>
        </is>
      </c>
      <c r="G3562" t="inlineStr">
        <is>
          <t xml:space="preserve">Patrick O'Shea </t>
        </is>
      </c>
      <c r="H3562" t="inlineStr">
        <is>
          <t>4x4</t>
        </is>
      </c>
      <c r="I3562" t="inlineStr">
        <is>
          <t>Daily/ Weekly Vehicle Inspection</t>
        </is>
      </c>
      <c r="J3562" t="inlineStr">
        <is>
          <t>N/A</t>
        </is>
      </c>
      <c r="K3562" t="inlineStr">
        <is>
          <t>7800 MAC Tree Surgery and Fencing Ltd</t>
        </is>
      </c>
      <c r="L3562" t="inlineStr">
        <is>
          <t>11/03/2026 09:47</t>
        </is>
      </c>
      <c r="M3562" t="inlineStr">
        <is>
          <t>None</t>
        </is>
      </c>
      <c r="N3562" t="inlineStr">
        <is>
          <t>&lt;p&gt;&lt;/p&gt;</t>
        </is>
      </c>
      <c r="O3562" t="inlineStr"/>
      <c r="P3562" t="inlineStr">
        <is>
          <t>AY68DAA , 4x4 , Izuzu , Dmax</t>
        </is>
      </c>
      <c r="Q3562" t="inlineStr">
        <is>
          <t>UKPN</t>
        </is>
      </c>
      <c r="R3562" t="b">
        <v>0</v>
      </c>
    </row>
    <row r="3563">
      <c r="A3563" t="inlineStr">
        <is>
          <t>11 Mar 2026 / 7951 Austin Tree Care LTD</t>
        </is>
      </c>
      <c r="B3563" t="inlineStr">
        <is>
          <t>Utilities</t>
        </is>
      </c>
      <c r="C3563" t="inlineStr">
        <is>
          <t>UKPN</t>
        </is>
      </c>
      <c r="D3563" t="inlineStr">
        <is>
          <t>SA9ST6P0001283612 , Towed Chipper , Forst , ST6p</t>
        </is>
      </c>
      <c r="E3563" t="inlineStr">
        <is>
          <t>SA9ST6P0001283612 , Towed Chipper , Forst , ST6p</t>
        </is>
      </c>
      <c r="F3563" t="inlineStr">
        <is>
          <t>SA9ST6P0001283612 , Towed Chipper , Forst , ST6p</t>
        </is>
      </c>
      <c r="G3563" t="inlineStr">
        <is>
          <t xml:space="preserve">Jack Austin </t>
        </is>
      </c>
      <c r="H3563" t="inlineStr">
        <is>
          <t>Towed Chipper</t>
        </is>
      </c>
      <c r="I3563" t="inlineStr">
        <is>
          <t>Daily/ Weekly Vehicle Inspection</t>
        </is>
      </c>
      <c r="J3563" t="inlineStr">
        <is>
          <t>N/A</t>
        </is>
      </c>
      <c r="K3563" t="inlineStr">
        <is>
          <t>7951 Austin Tree Care LTD</t>
        </is>
      </c>
      <c r="L3563" t="inlineStr">
        <is>
          <t>11/03/2026 09:48</t>
        </is>
      </c>
      <c r="M3563" t="inlineStr">
        <is>
          <t>None</t>
        </is>
      </c>
      <c r="N3563" t="inlineStr">
        <is>
          <t>&lt;p&gt;&lt;/p&gt;</t>
        </is>
      </c>
      <c r="O3563" t="inlineStr"/>
      <c r="P3563" t="inlineStr">
        <is>
          <t>SA9ST6P0001283612 , Towed Chipper , Forst , ST6p</t>
        </is>
      </c>
      <c r="Q3563" t="inlineStr">
        <is>
          <t>UKPN</t>
        </is>
      </c>
      <c r="R3563" t="b">
        <v>0</v>
      </c>
    </row>
    <row r="3564">
      <c r="A3564" t="inlineStr">
        <is>
          <t>11 Mar 2026 / Mark Davies</t>
        </is>
      </c>
      <c r="B3564" t="inlineStr">
        <is>
          <t>Utilities</t>
        </is>
      </c>
      <c r="C3564" t="inlineStr">
        <is>
          <t>NGED</t>
        </is>
      </c>
      <c r="D3564" t="inlineStr">
        <is>
          <t>GJ20USE , Car - Electric , Tesla , Model 3 Long Range AWD</t>
        </is>
      </c>
      <c r="E3564" t="inlineStr">
        <is>
          <t>GJ20USE , Car - Electric , Tesla , Model 3 Long Range AWD</t>
        </is>
      </c>
      <c r="F3564" t="inlineStr">
        <is>
          <t>GJ20USE , Car - Electric , Tesla , Model 3 Long Range AWD</t>
        </is>
      </c>
      <c r="G3564" t="inlineStr">
        <is>
          <t xml:space="preserve">Mark Davies </t>
        </is>
      </c>
      <c r="H3564" t="inlineStr">
        <is>
          <t>Car - Electric (GC Owned)</t>
        </is>
      </c>
      <c r="I3564" t="inlineStr">
        <is>
          <t>Daily/ Weekly Vehicle Inspection</t>
        </is>
      </c>
      <c r="J3564" t="inlineStr">
        <is>
          <t>N/A</t>
        </is>
      </c>
      <c r="K3564" t="inlineStr">
        <is>
          <t>Mark Davies</t>
        </is>
      </c>
      <c r="L3564" t="inlineStr">
        <is>
          <t>11/03/2026 10:43</t>
        </is>
      </c>
      <c r="M3564" t="inlineStr">
        <is>
          <t>None</t>
        </is>
      </c>
      <c r="N3564" t="inlineStr">
        <is>
          <t>&lt;p&gt;&lt;/p&gt;</t>
        </is>
      </c>
      <c r="O3564" t="inlineStr"/>
      <c r="P3564" t="inlineStr">
        <is>
          <t>GJ20USE , Car - Electric , Tesla , Model 3 Long Range AWD</t>
        </is>
      </c>
      <c r="Q3564" t="inlineStr">
        <is>
          <t>NGED</t>
        </is>
      </c>
      <c r="R3564" t="b">
        <v>0</v>
      </c>
    </row>
    <row r="3565">
      <c r="A3565" t="inlineStr">
        <is>
          <t>11 Mar 2026 / William Heneage</t>
        </is>
      </c>
      <c r="B3565" t="inlineStr">
        <is>
          <t>Utilities</t>
        </is>
      </c>
      <c r="C3565" t="inlineStr">
        <is>
          <t>SSE</t>
        </is>
      </c>
      <c r="D3565" t="inlineStr">
        <is>
          <t>YX24TWV , Car - Electric , Kia , E-Niro</t>
        </is>
      </c>
      <c r="E3565" t="inlineStr">
        <is>
          <t>YX24TWV , Car - Electric , Kia , E-Niro</t>
        </is>
      </c>
      <c r="F3565" t="inlineStr">
        <is>
          <t>YX24TWV , Car - Electric , Kia , E-Niro</t>
        </is>
      </c>
      <c r="G3565" t="inlineStr">
        <is>
          <t>Will Heneage</t>
        </is>
      </c>
      <c r="H3565" t="inlineStr">
        <is>
          <t>Car - Electric (GC Owned)</t>
        </is>
      </c>
      <c r="I3565" t="inlineStr">
        <is>
          <t>Daily/ Weekly Vehicle Inspection</t>
        </is>
      </c>
      <c r="J3565" t="inlineStr">
        <is>
          <t>N/A</t>
        </is>
      </c>
      <c r="K3565" t="inlineStr">
        <is>
          <t>William Heneage</t>
        </is>
      </c>
      <c r="L3565" t="inlineStr">
        <is>
          <t>11/03/2026 10:45</t>
        </is>
      </c>
      <c r="M3565" t="inlineStr">
        <is>
          <t>None</t>
        </is>
      </c>
      <c r="N3565" t="inlineStr">
        <is>
          <t>&lt;p&gt;&lt;/p&gt;</t>
        </is>
      </c>
      <c r="O3565" t="inlineStr"/>
      <c r="P3565" t="inlineStr">
        <is>
          <t>YX24TWV , Car - Electric , Kia , E-Niro</t>
        </is>
      </c>
      <c r="Q3565" t="inlineStr">
        <is>
          <t>SSE</t>
        </is>
      </c>
      <c r="R3565" t="b">
        <v>0</v>
      </c>
    </row>
    <row r="3566">
      <c r="A3566" t="inlineStr">
        <is>
          <t>11 Mar 2026 / 7995 Green Net Eco Ltd 2</t>
        </is>
      </c>
      <c r="B3566" t="inlineStr">
        <is>
          <t>Utilities</t>
        </is>
      </c>
      <c r="C3566" t="inlineStr">
        <is>
          <t>UKPN</t>
        </is>
      </c>
      <c r="D3566" t="inlineStr">
        <is>
          <t>LK15KRZ , 4x4 , Landrover , Defender</t>
        </is>
      </c>
      <c r="E3566" t="inlineStr">
        <is>
          <t>LK15KRZ , 4x4 , Landrover , Defender</t>
        </is>
      </c>
      <c r="F3566" t="inlineStr">
        <is>
          <t>LK15KRZ , 4x4 , Landrover , Defender</t>
        </is>
      </c>
      <c r="G3566" t="inlineStr">
        <is>
          <t>Jacob Oram</t>
        </is>
      </c>
      <c r="H3566" t="inlineStr">
        <is>
          <t>4x4</t>
        </is>
      </c>
      <c r="I3566" t="inlineStr">
        <is>
          <t>Daily/ Weekly Vehicle Inspection</t>
        </is>
      </c>
      <c r="J3566" t="inlineStr">
        <is>
          <t>N/A</t>
        </is>
      </c>
      <c r="K3566" t="inlineStr">
        <is>
          <t>7995 Green Net Eco Ltd 2</t>
        </is>
      </c>
      <c r="L3566" t="inlineStr">
        <is>
          <t>11/03/2026 11:44</t>
        </is>
      </c>
      <c r="M3566" t="inlineStr">
        <is>
          <t xml:space="preserve">Confirm that you have checked this vehicle as per the guidance document and the vehicle is safe and roadworthy: Fail
</t>
        </is>
      </c>
      <c r="N3566" t="inlineStr">
        <is>
          <t>&lt;p&gt;&lt;/p&gt;</t>
        </is>
      </c>
      <c r="O3566" t="inlineStr"/>
      <c r="P3566" t="inlineStr">
        <is>
          <t>LK15KRZ , 4x4 , Landrover , Defender</t>
        </is>
      </c>
      <c r="Q3566" t="inlineStr">
        <is>
          <t>UKPN</t>
        </is>
      </c>
      <c r="R3566" t="b">
        <v>0</v>
      </c>
    </row>
    <row r="3567">
      <c r="A3567" t="inlineStr">
        <is>
          <t>11 Mar 2026 / Steve Broad</t>
        </is>
      </c>
      <c r="B3567" t="inlineStr">
        <is>
          <t>Utilities</t>
        </is>
      </c>
      <c r="C3567" t="inlineStr">
        <is>
          <t>NGED</t>
        </is>
      </c>
      <c r="D3567" t="inlineStr"/>
      <c r="E3567" t="inlineStr"/>
      <c r="F3567" t="inlineStr"/>
      <c r="G3567" t="inlineStr">
        <is>
          <t>Steve Broad</t>
        </is>
      </c>
      <c r="H3567" t="inlineStr">
        <is>
          <t>Van</t>
        </is>
      </c>
      <c r="I3567" t="inlineStr">
        <is>
          <t>Daily/ Weekly Vehicle Inspection</t>
        </is>
      </c>
      <c r="J3567" t="inlineStr">
        <is>
          <t>N/A</t>
        </is>
      </c>
      <c r="K3567" t="inlineStr">
        <is>
          <t>Steve Broad</t>
        </is>
      </c>
      <c r="L3567" t="inlineStr">
        <is>
          <t>11/03/2026 15:44</t>
        </is>
      </c>
      <c r="M3567" t="inlineStr">
        <is>
          <t xml:space="preserve">Confirm that you have checked this vehicle as per the guidance document and the vehicle is safe and roadworthy: Fail
Is this vehicle safe to drive &amp; road legal: Fail
</t>
        </is>
      </c>
      <c r="N3567" t="inlineStr">
        <is>
          <t>&lt;p&gt;&lt;a href="https&amp;#58;//apps.powerapps.com/play/2d567dc9-5d50-4629-a077-f7ccbff3e239?tenantId=3ef9f654-aa07-41b8-88ad-a411c62bd12c&amp;amp;Action=Open&amp;amp;Actionno=8509"&gt;Van taken straight to Halfords bulb replaced&lt;/a&gt;&lt;br&gt;&lt;/p&gt;</t>
        </is>
      </c>
      <c r="O3567" t="inlineStr">
        <is>
          <t>Is this vehicle safe to drive &amp; road legal:Van taken straight to Halfords bulb replaced
-</t>
        </is>
      </c>
      <c r="P3567" t="inlineStr"/>
      <c r="Q3567" t="inlineStr">
        <is>
          <t>NGED</t>
        </is>
      </c>
      <c r="R3567" t="b">
        <v>0</v>
      </c>
    </row>
    <row r="3568">
      <c r="A3568" t="inlineStr">
        <is>
          <t>11 Mar 2026 / Vance Ivins</t>
        </is>
      </c>
      <c r="B3568" t="inlineStr">
        <is>
          <t>Utilities</t>
        </is>
      </c>
      <c r="C3568" t="inlineStr">
        <is>
          <t>NGED</t>
        </is>
      </c>
      <c r="D3568" t="inlineStr">
        <is>
          <t>GM21BZJ , Car - Electric , Tesla , Model 3 Long Range AWD</t>
        </is>
      </c>
      <c r="E3568" t="inlineStr">
        <is>
          <t>GM21BZJ , Car - Electric , Tesla , Model 3 Long Range AWD</t>
        </is>
      </c>
      <c r="F3568" t="inlineStr">
        <is>
          <t>GM21BZJ , Car - Electric , Tesla , Model 3 Long Range AWD</t>
        </is>
      </c>
      <c r="G3568" t="inlineStr">
        <is>
          <t xml:space="preserve">Vance ivins </t>
        </is>
      </c>
      <c r="H3568" t="inlineStr">
        <is>
          <t>Car - Electric (GC Owned)</t>
        </is>
      </c>
      <c r="I3568" t="inlineStr">
        <is>
          <t>Daily/ Weekly Vehicle Inspection</t>
        </is>
      </c>
      <c r="J3568" t="inlineStr">
        <is>
          <t>N/A</t>
        </is>
      </c>
      <c r="K3568" t="inlineStr">
        <is>
          <t>Vance Ivins</t>
        </is>
      </c>
      <c r="L3568" t="inlineStr">
        <is>
          <t>11/03/2026 15:45</t>
        </is>
      </c>
      <c r="M3568" t="inlineStr">
        <is>
          <t>None</t>
        </is>
      </c>
      <c r="N3568" t="inlineStr">
        <is>
          <t>&lt;p&gt;&lt;/p&gt;</t>
        </is>
      </c>
      <c r="O3568" t="inlineStr"/>
      <c r="P3568" t="inlineStr">
        <is>
          <t>GM21BZJ , Car - Electric , Tesla , Model 3 Long Range AWD</t>
        </is>
      </c>
      <c r="Q3568" t="inlineStr">
        <is>
          <t>NGED</t>
        </is>
      </c>
      <c r="R3568" t="b">
        <v>0</v>
      </c>
    </row>
    <row r="3569">
      <c r="A3569" t="inlineStr">
        <is>
          <t>12 Mar 2026 / 6617 Ashdown Tree Limited 1</t>
        </is>
      </c>
      <c r="B3569" t="inlineStr">
        <is>
          <t>Utilities</t>
        </is>
      </c>
      <c r="C3569" t="inlineStr">
        <is>
          <t>UKPN</t>
        </is>
      </c>
      <c r="D3569" t="inlineStr">
        <is>
          <t>WG63OJS , 4x4 , Land rover  , defender</t>
        </is>
      </c>
      <c r="E3569" t="inlineStr">
        <is>
          <t>WG63OJS , 4x4 , Land rover  , defender</t>
        </is>
      </c>
      <c r="F3569" t="inlineStr">
        <is>
          <t>WG63OJS , 4x4 , Land rover  , defender</t>
        </is>
      </c>
      <c r="G3569" t="inlineStr">
        <is>
          <t>Dan</t>
        </is>
      </c>
      <c r="H3569" t="inlineStr">
        <is>
          <t>4x4</t>
        </is>
      </c>
      <c r="I3569" t="inlineStr">
        <is>
          <t>Daily/ Weekly Vehicle Inspection</t>
        </is>
      </c>
      <c r="J3569" t="inlineStr">
        <is>
          <t>N/A</t>
        </is>
      </c>
      <c r="K3569" t="inlineStr">
        <is>
          <t>6617 Ashdown Tree Limited - Team 2</t>
        </is>
      </c>
      <c r="L3569" t="inlineStr">
        <is>
          <t>12/03/2026 06:44</t>
        </is>
      </c>
      <c r="M3569" t="inlineStr">
        <is>
          <t>None</t>
        </is>
      </c>
      <c r="N3569" t="inlineStr">
        <is>
          <t>&lt;p&gt;&lt;/p&gt;</t>
        </is>
      </c>
      <c r="O3569" t="inlineStr"/>
      <c r="P3569" t="inlineStr">
        <is>
          <t>WG63OJS , 4x4 , Land rover  , defender</t>
        </is>
      </c>
      <c r="Q3569" t="inlineStr">
        <is>
          <t>UKPN</t>
        </is>
      </c>
      <c r="R3569" t="b">
        <v>0</v>
      </c>
    </row>
    <row r="3570">
      <c r="A3570" t="inlineStr">
        <is>
          <t>12 Mar 2026 / Jodie Bowen</t>
        </is>
      </c>
      <c r="B3570" t="inlineStr">
        <is>
          <t>Utilities</t>
        </is>
      </c>
      <c r="C3570" t="inlineStr">
        <is>
          <t>UKPN</t>
        </is>
      </c>
      <c r="D3570" t="inlineStr">
        <is>
          <t>AF22XRA , Car - Electric , Tesla , Model 3 Long Range AWD</t>
        </is>
      </c>
      <c r="E3570" t="inlineStr">
        <is>
          <t>AF22XRA , Car - Electric , Tesla , Model 3 Long Range AWD</t>
        </is>
      </c>
      <c r="F3570" t="inlineStr">
        <is>
          <t>AF22XRA , Car - Electric , Tesla , Model 3 Long Range AWD</t>
        </is>
      </c>
      <c r="G3570" t="inlineStr">
        <is>
          <t xml:space="preserve">Jodie Bowen </t>
        </is>
      </c>
      <c r="H3570" t="inlineStr">
        <is>
          <t>Car - Electric (GC Owned)</t>
        </is>
      </c>
      <c r="I3570" t="inlineStr">
        <is>
          <t>Daily/ Weekly Vehicle Inspection</t>
        </is>
      </c>
      <c r="J3570" t="inlineStr">
        <is>
          <t>N/A</t>
        </is>
      </c>
      <c r="K3570" t="inlineStr">
        <is>
          <t>Jodie Bowen</t>
        </is>
      </c>
      <c r="L3570" t="inlineStr">
        <is>
          <t>12/03/2026 06:44</t>
        </is>
      </c>
      <c r="M3570" t="inlineStr">
        <is>
          <t>None</t>
        </is>
      </c>
      <c r="N3570" t="inlineStr">
        <is>
          <t>&lt;p&gt;&lt;/p&gt;</t>
        </is>
      </c>
      <c r="O3570" t="inlineStr"/>
      <c r="P3570" t="inlineStr">
        <is>
          <t>AF22XRA , Car - Electric , Tesla , Model 3 Long Range AWD</t>
        </is>
      </c>
      <c r="Q3570" t="inlineStr">
        <is>
          <t>UKPN</t>
        </is>
      </c>
      <c r="R3570" t="b">
        <v>0</v>
      </c>
    </row>
    <row r="3571">
      <c r="A3571" t="inlineStr">
        <is>
          <t>12 Mar 2026 / 8148 Hope Ground and Tree Care</t>
        </is>
      </c>
      <c r="B3571" t="inlineStr">
        <is>
          <t>Utilities</t>
        </is>
      </c>
      <c r="C3571" t="inlineStr">
        <is>
          <t>UKPN</t>
        </is>
      </c>
      <c r="D3571" t="inlineStr">
        <is>
          <t>S6 NWX , MEWP , Isuzu , D-Max</t>
        </is>
      </c>
      <c r="E3571" t="inlineStr">
        <is>
          <t>S6 NWX , MEWP , Isuzu , D-Max</t>
        </is>
      </c>
      <c r="F3571" t="inlineStr">
        <is>
          <t>S6 NWX , MEWP , Isuzu , D-Max</t>
        </is>
      </c>
      <c r="G3571" t="inlineStr">
        <is>
          <t>A Hope</t>
        </is>
      </c>
      <c r="H3571" t="inlineStr">
        <is>
          <t>4x4</t>
        </is>
      </c>
      <c r="I3571" t="inlineStr">
        <is>
          <t>Daily/ Weekly Vehicle Inspection</t>
        </is>
      </c>
      <c r="J3571" t="inlineStr">
        <is>
          <t>N/A</t>
        </is>
      </c>
      <c r="K3571" t="inlineStr">
        <is>
          <t>8148 Hope Ground and Tree Care</t>
        </is>
      </c>
      <c r="L3571" t="inlineStr">
        <is>
          <t>12/03/2026 07:44</t>
        </is>
      </c>
      <c r="M3571" t="inlineStr">
        <is>
          <t>None</t>
        </is>
      </c>
      <c r="N3571" t="inlineStr">
        <is>
          <t>&lt;p&gt;&lt;/p&gt;</t>
        </is>
      </c>
      <c r="O3571" t="inlineStr"/>
      <c r="P3571" t="inlineStr">
        <is>
          <t>S6 NWX , MEWP , Isuzu , D-Max</t>
        </is>
      </c>
      <c r="Q3571" t="inlineStr">
        <is>
          <t>UKPN</t>
        </is>
      </c>
      <c r="R3571" t="b">
        <v>0</v>
      </c>
    </row>
    <row r="3572">
      <c r="A3572" t="inlineStr">
        <is>
          <t>12 Mar 2026 / 7951 Austin Tree Care LTD 1</t>
        </is>
      </c>
      <c r="B3572" t="inlineStr">
        <is>
          <t>Utilities</t>
        </is>
      </c>
      <c r="C3572" t="inlineStr">
        <is>
          <t>UKPN</t>
        </is>
      </c>
      <c r="D3572" t="inlineStr">
        <is>
          <t>WG64HTT , 4x4 , Land Rover , Defender 110</t>
        </is>
      </c>
      <c r="E3572" t="inlineStr">
        <is>
          <t>WG64HTT , 4x4 , Land Rover , Defender 110</t>
        </is>
      </c>
      <c r="F3572" t="inlineStr">
        <is>
          <t>WG64HTT , 4x4 , Land Rover , Defender 110</t>
        </is>
      </c>
      <c r="G3572" t="inlineStr">
        <is>
          <t xml:space="preserve">Jack Austin </t>
        </is>
      </c>
      <c r="H3572" t="inlineStr">
        <is>
          <t>Towed Chipper</t>
        </is>
      </c>
      <c r="I3572" t="inlineStr">
        <is>
          <t>Daily/ Weekly Vehicle Inspection</t>
        </is>
      </c>
      <c r="J3572" t="inlineStr">
        <is>
          <t>N/A</t>
        </is>
      </c>
      <c r="K3572" t="inlineStr">
        <is>
          <t>7951 Austin Tree Care LTD 1</t>
        </is>
      </c>
      <c r="L3572" t="inlineStr">
        <is>
          <t>12/03/2026 07:45</t>
        </is>
      </c>
      <c r="M3572" t="inlineStr">
        <is>
          <t>None</t>
        </is>
      </c>
      <c r="N3572" t="inlineStr">
        <is>
          <t>&lt;p&gt;&lt;/p&gt;</t>
        </is>
      </c>
      <c r="O3572" t="inlineStr"/>
      <c r="P3572" t="inlineStr">
        <is>
          <t>WG64HTT , 4x4 , Land Rover , Defender 110</t>
        </is>
      </c>
      <c r="Q3572" t="inlineStr">
        <is>
          <t>UKPN</t>
        </is>
      </c>
      <c r="R3572" t="b">
        <v>0</v>
      </c>
    </row>
    <row r="3573">
      <c r="A3573" t="inlineStr">
        <is>
          <t>12 Mar 2026 / 7951 Austin Tree Care LTD 1</t>
        </is>
      </c>
      <c r="B3573" t="inlineStr">
        <is>
          <t>Utilities</t>
        </is>
      </c>
      <c r="C3573" t="inlineStr">
        <is>
          <t>UKPN</t>
        </is>
      </c>
      <c r="D3573" t="inlineStr">
        <is>
          <t>WG64HTT , 4x4 , Land Rover , Defender 110</t>
        </is>
      </c>
      <c r="E3573" t="inlineStr">
        <is>
          <t>WG64HTT , 4x4 , Land Rover , Defender 110</t>
        </is>
      </c>
      <c r="F3573" t="inlineStr">
        <is>
          <t>WG64HTT , 4x4 , Land Rover , Defender 110</t>
        </is>
      </c>
      <c r="G3573" t="inlineStr">
        <is>
          <t xml:space="preserve">Jack Austin </t>
        </is>
      </c>
      <c r="H3573" t="inlineStr">
        <is>
          <t>4x4</t>
        </is>
      </c>
      <c r="I3573" t="inlineStr">
        <is>
          <t>Daily/ Weekly Vehicle Inspection</t>
        </is>
      </c>
      <c r="J3573" t="inlineStr">
        <is>
          <t>N/A</t>
        </is>
      </c>
      <c r="K3573" t="inlineStr">
        <is>
          <t>7951 Austin Tree Care LTD 1</t>
        </is>
      </c>
      <c r="L3573" t="inlineStr">
        <is>
          <t>12/03/2026 07:46</t>
        </is>
      </c>
      <c r="M3573" t="inlineStr">
        <is>
          <t>None</t>
        </is>
      </c>
      <c r="N3573" t="inlineStr">
        <is>
          <t>&lt;p&gt;&lt;/p&gt;</t>
        </is>
      </c>
      <c r="O3573" t="inlineStr"/>
      <c r="P3573" t="inlineStr">
        <is>
          <t>WG64HTT , 4x4 , Land Rover , Defender 110</t>
        </is>
      </c>
      <c r="Q3573" t="inlineStr">
        <is>
          <t>UKPN</t>
        </is>
      </c>
      <c r="R3573" t="b">
        <v>0</v>
      </c>
    </row>
    <row r="3574">
      <c r="A3574" t="inlineStr">
        <is>
          <t>12 Mar 2026 / 7951 Austin Tree Care LTD 1</t>
        </is>
      </c>
      <c r="B3574" t="inlineStr">
        <is>
          <t>Utilities</t>
        </is>
      </c>
      <c r="C3574" t="inlineStr">
        <is>
          <t>UKPN</t>
        </is>
      </c>
      <c r="D3574" t="inlineStr">
        <is>
          <t>Kn58xuy , Tipper , VW  , Crafter</t>
        </is>
      </c>
      <c r="E3574" t="inlineStr">
        <is>
          <t>Kn58xuy , Tipper , VW  , Crafter</t>
        </is>
      </c>
      <c r="F3574" t="inlineStr">
        <is>
          <t>Kn58xuy , Tipper , VW  , Crafter</t>
        </is>
      </c>
      <c r="G3574" t="inlineStr">
        <is>
          <t xml:space="preserve">James Tasker </t>
        </is>
      </c>
      <c r="H3574" t="inlineStr">
        <is>
          <t>Tipper</t>
        </is>
      </c>
      <c r="I3574" t="inlineStr">
        <is>
          <t>Daily/ Weekly Vehicle Inspection</t>
        </is>
      </c>
      <c r="J3574" t="inlineStr">
        <is>
          <t>N/A</t>
        </is>
      </c>
      <c r="K3574" t="inlineStr">
        <is>
          <t>7951 Austin Tree Care LTD 1</t>
        </is>
      </c>
      <c r="L3574" t="inlineStr">
        <is>
          <t>12/03/2026 07:46</t>
        </is>
      </c>
      <c r="M3574" t="inlineStr">
        <is>
          <t>None</t>
        </is>
      </c>
      <c r="N3574" t="inlineStr">
        <is>
          <t>&lt;p&gt;&lt;/p&gt;</t>
        </is>
      </c>
      <c r="O3574" t="inlineStr"/>
      <c r="P3574" t="inlineStr">
        <is>
          <t>Kn58xuy , Tipper , VW  , Crafter</t>
        </is>
      </c>
      <c r="Q3574" t="inlineStr">
        <is>
          <t>UKPN</t>
        </is>
      </c>
      <c r="R3574" t="b">
        <v>0</v>
      </c>
    </row>
    <row r="3575">
      <c r="A3575" t="inlineStr">
        <is>
          <t>12 Mar 2026 / 7186 Eastwoodbury Tree Services Ltd</t>
        </is>
      </c>
      <c r="B3575" t="inlineStr">
        <is>
          <t>Utilities</t>
        </is>
      </c>
      <c r="C3575" t="inlineStr">
        <is>
          <t>UKPN</t>
        </is>
      </c>
      <c r="D3575" t="inlineStr">
        <is>
          <t>DE53NKS , 4x4 , Ford , Ranger</t>
        </is>
      </c>
      <c r="E3575" t="inlineStr">
        <is>
          <t>DE53NKS , 4x4 , Ford , Ranger</t>
        </is>
      </c>
      <c r="F3575" t="inlineStr">
        <is>
          <t>DE53NKS , 4x4 , Ford , Ranger</t>
        </is>
      </c>
      <c r="G3575" t="inlineStr">
        <is>
          <t xml:space="preserve">Jay Denkmayer </t>
        </is>
      </c>
      <c r="H3575" t="inlineStr">
        <is>
          <t>4x4</t>
        </is>
      </c>
      <c r="I3575" t="inlineStr">
        <is>
          <t>Daily/ Weekly Vehicle Inspection</t>
        </is>
      </c>
      <c r="J3575" t="inlineStr">
        <is>
          <t>N/A</t>
        </is>
      </c>
      <c r="K3575" t="inlineStr">
        <is>
          <t>7186 Eastwoodbury Tree Services Ltd</t>
        </is>
      </c>
      <c r="L3575" t="inlineStr">
        <is>
          <t>12/03/2026 07:47</t>
        </is>
      </c>
      <c r="M3575" t="inlineStr">
        <is>
          <t>None</t>
        </is>
      </c>
      <c r="N3575" t="inlineStr">
        <is>
          <t>&lt;p&gt;&lt;/p&gt;</t>
        </is>
      </c>
      <c r="O3575" t="inlineStr"/>
      <c r="P3575" t="inlineStr">
        <is>
          <t>DE53NKS , 4x4 , Ford , Ranger</t>
        </is>
      </c>
      <c r="Q3575" t="inlineStr">
        <is>
          <t>UKPN</t>
        </is>
      </c>
      <c r="R3575" t="b">
        <v>0</v>
      </c>
    </row>
    <row r="3576">
      <c r="A3576" t="inlineStr">
        <is>
          <t>12 Mar 2026 / 7186 Eastwoodbury Tree Services Ltd</t>
        </is>
      </c>
      <c r="B3576" t="inlineStr">
        <is>
          <t>Utilities</t>
        </is>
      </c>
      <c r="C3576" t="inlineStr">
        <is>
          <t>UKPN</t>
        </is>
      </c>
      <c r="D3576" t="inlineStr">
        <is>
          <t>WF13 EKT , 4x4 , Land rover  , Defender</t>
        </is>
      </c>
      <c r="E3576" t="inlineStr">
        <is>
          <t>WF13 EKT , 4x4 , Land rover  , Defender</t>
        </is>
      </c>
      <c r="F3576" t="inlineStr">
        <is>
          <t>WF13 EKT , 4x4 , Land rover  , Defender</t>
        </is>
      </c>
      <c r="G3576" t="inlineStr">
        <is>
          <t xml:space="preserve">Dan Gilbert </t>
        </is>
      </c>
      <c r="H3576" t="inlineStr">
        <is>
          <t>4x4</t>
        </is>
      </c>
      <c r="I3576" t="inlineStr">
        <is>
          <t>Daily/ Weekly Vehicle Inspection</t>
        </is>
      </c>
      <c r="J3576" t="inlineStr">
        <is>
          <t>N/A</t>
        </is>
      </c>
      <c r="K3576" t="inlineStr">
        <is>
          <t>7186 Eastwoodbury Tree Services Ltd</t>
        </is>
      </c>
      <c r="L3576" t="inlineStr">
        <is>
          <t>12/03/2026 07:48</t>
        </is>
      </c>
      <c r="M3576" t="inlineStr">
        <is>
          <t>None</t>
        </is>
      </c>
      <c r="N3576" t="inlineStr">
        <is>
          <t>&lt;p&gt;&lt;/p&gt;</t>
        </is>
      </c>
      <c r="O3576" t="inlineStr"/>
      <c r="P3576" t="inlineStr">
        <is>
          <t>WF13 EKT , 4x4 , Land rover  , Defender</t>
        </is>
      </c>
      <c r="Q3576" t="inlineStr">
        <is>
          <t>UKPN</t>
        </is>
      </c>
      <c r="R3576" t="b">
        <v>0</v>
      </c>
    </row>
    <row r="3577">
      <c r="A3577" t="inlineStr">
        <is>
          <t>12 Mar 2026 / 7800 MAC Tree Surgery and Fencing Ltd</t>
        </is>
      </c>
      <c r="B3577" t="inlineStr">
        <is>
          <t>Utilities</t>
        </is>
      </c>
      <c r="C3577" t="inlineStr">
        <is>
          <t>UKPN</t>
        </is>
      </c>
      <c r="D3577" t="inlineStr">
        <is>
          <t>FG16LNT , Tipper , Ford transit  , Transit tipper</t>
        </is>
      </c>
      <c r="E3577" t="inlineStr">
        <is>
          <t>FG16LNT , Tipper , Ford transit  , Transit tipper</t>
        </is>
      </c>
      <c r="F3577" t="inlineStr">
        <is>
          <t>FG16LNT , Tipper , Ford transit  , Transit tipper</t>
        </is>
      </c>
      <c r="G3577" t="inlineStr">
        <is>
          <t>Patrick</t>
        </is>
      </c>
      <c r="H3577" t="inlineStr">
        <is>
          <t>Tipper</t>
        </is>
      </c>
      <c r="I3577" t="inlineStr">
        <is>
          <t>Daily/ Weekly Vehicle Inspection</t>
        </is>
      </c>
      <c r="J3577" t="inlineStr">
        <is>
          <t>N/A</t>
        </is>
      </c>
      <c r="K3577" t="inlineStr">
        <is>
          <t>7800 MAC Tree Surgery and Fencing Ltd</t>
        </is>
      </c>
      <c r="L3577" t="inlineStr">
        <is>
          <t>12/03/2026 07:49</t>
        </is>
      </c>
      <c r="M3577" t="inlineStr">
        <is>
          <t>None</t>
        </is>
      </c>
      <c r="N3577" t="inlineStr">
        <is>
          <t>&lt;p&gt;&lt;/p&gt;</t>
        </is>
      </c>
      <c r="O3577" t="inlineStr"/>
      <c r="P3577" t="inlineStr">
        <is>
          <t>FG16LNT , Tipper , Ford transit  , Transit tipper</t>
        </is>
      </c>
      <c r="Q3577" t="inlineStr">
        <is>
          <t>UKPN</t>
        </is>
      </c>
      <c r="R3577" t="b">
        <v>0</v>
      </c>
    </row>
    <row r="3578">
      <c r="A3578" t="inlineStr">
        <is>
          <t>12 Mar 2026 / 7186 Eastwoodbury Tree Services Ltd</t>
        </is>
      </c>
      <c r="B3578" t="inlineStr">
        <is>
          <t>Utilities</t>
        </is>
      </c>
      <c r="C3578" t="inlineStr">
        <is>
          <t>UKPN</t>
        </is>
      </c>
      <c r="D3578" t="inlineStr">
        <is>
          <t>FX14 XCV , 4x4 , Land Rover  , Defender</t>
        </is>
      </c>
      <c r="E3578" t="inlineStr">
        <is>
          <t>FX14 XCV , 4x4 , Land Rover  , Defender</t>
        </is>
      </c>
      <c r="F3578" t="inlineStr">
        <is>
          <t>FX14 XCV , 4x4 , Land Rover  , Defender</t>
        </is>
      </c>
      <c r="G3578" t="inlineStr">
        <is>
          <t xml:space="preserve">Luke Williams </t>
        </is>
      </c>
      <c r="H3578" t="inlineStr">
        <is>
          <t>4x4</t>
        </is>
      </c>
      <c r="I3578" t="inlineStr">
        <is>
          <t>Daily/ Weekly Vehicle Inspection</t>
        </is>
      </c>
      <c r="J3578" t="inlineStr">
        <is>
          <t>N/A</t>
        </is>
      </c>
      <c r="K3578" t="inlineStr">
        <is>
          <t>7186 Eastwoodbury Tree Services Ltd</t>
        </is>
      </c>
      <c r="L3578" t="inlineStr">
        <is>
          <t>12/03/2026 07:50</t>
        </is>
      </c>
      <c r="M3578" t="inlineStr">
        <is>
          <t>None</t>
        </is>
      </c>
      <c r="N3578" t="inlineStr">
        <is>
          <t>&lt;p&gt;&lt;/p&gt;</t>
        </is>
      </c>
      <c r="O3578" t="inlineStr"/>
      <c r="P3578" t="inlineStr">
        <is>
          <t>FX14 XCV , 4x4 , Land Rover  , Defender</t>
        </is>
      </c>
      <c r="Q3578" t="inlineStr">
        <is>
          <t>UKPN</t>
        </is>
      </c>
      <c r="R3578" t="b">
        <v>0</v>
      </c>
    </row>
    <row r="3579">
      <c r="A3579" t="inlineStr">
        <is>
          <t>12 Mar 2026 / 7995 Green Net Eco Ltd 2</t>
        </is>
      </c>
      <c r="B3579" t="inlineStr">
        <is>
          <t>Utilities</t>
        </is>
      </c>
      <c r="C3579" t="inlineStr">
        <is>
          <t>UKPN</t>
        </is>
      </c>
      <c r="D3579" t="inlineStr">
        <is>
          <t>SA9ST800000283944 , Towed Chipper , Forst , ST8D - Towed</t>
        </is>
      </c>
      <c r="E3579" t="inlineStr">
        <is>
          <t>SA9ST800000283944 , Towed Chipper , Forst , ST8D - Towed</t>
        </is>
      </c>
      <c r="F3579" t="inlineStr">
        <is>
          <t>SA9ST800000283944 , Towed Chipper , Forst , ST8D - Towed</t>
        </is>
      </c>
      <c r="G3579" t="inlineStr">
        <is>
          <t>Thomas Playford</t>
        </is>
      </c>
      <c r="H3579" t="inlineStr">
        <is>
          <t>Towed Chipper</t>
        </is>
      </c>
      <c r="I3579" t="inlineStr">
        <is>
          <t>Daily/ Weekly Vehicle Inspection</t>
        </is>
      </c>
      <c r="J3579" t="inlineStr">
        <is>
          <t>N/A</t>
        </is>
      </c>
      <c r="K3579" t="inlineStr">
        <is>
          <t>7995 Green Net Eco Ltd 2</t>
        </is>
      </c>
      <c r="L3579" t="inlineStr">
        <is>
          <t>12/03/2026 07:50</t>
        </is>
      </c>
      <c r="M3579" t="inlineStr">
        <is>
          <t>None</t>
        </is>
      </c>
      <c r="N3579" t="inlineStr">
        <is>
          <t>&lt;p&gt;&lt;/p&gt;</t>
        </is>
      </c>
      <c r="O3579" t="inlineStr"/>
      <c r="P3579" t="inlineStr">
        <is>
          <t>SA9ST800000283944 , Towed Chipper , Forst , ST8D - Towed</t>
        </is>
      </c>
      <c r="Q3579" t="inlineStr">
        <is>
          <t>UKPN</t>
        </is>
      </c>
      <c r="R3579" t="b">
        <v>0</v>
      </c>
    </row>
    <row r="3580">
      <c r="A3580" t="inlineStr">
        <is>
          <t>12 Mar 2026 / 7995 Green Net Eco Ltd 2</t>
        </is>
      </c>
      <c r="B3580" t="inlineStr">
        <is>
          <t>Utilities</t>
        </is>
      </c>
      <c r="C3580" t="inlineStr">
        <is>
          <t>UKPN</t>
        </is>
      </c>
      <c r="D3580" t="inlineStr">
        <is>
          <t>LK15KRZ , 4x4 , Landrover , Defender</t>
        </is>
      </c>
      <c r="E3580" t="inlineStr">
        <is>
          <t>LK15KRZ , 4x4 , Landrover , Defender</t>
        </is>
      </c>
      <c r="F3580" t="inlineStr">
        <is>
          <t>LK15KRZ , 4x4 , Landrover , Defender</t>
        </is>
      </c>
      <c r="G3580" t="inlineStr">
        <is>
          <t>Thomas Playford</t>
        </is>
      </c>
      <c r="H3580" t="inlineStr">
        <is>
          <t>4x4</t>
        </is>
      </c>
      <c r="I3580" t="inlineStr">
        <is>
          <t>Daily/ Weekly Vehicle Inspection</t>
        </is>
      </c>
      <c r="J3580" t="inlineStr">
        <is>
          <t>N/A</t>
        </is>
      </c>
      <c r="K3580" t="inlineStr">
        <is>
          <t>7995 Green Net Eco Ltd 2</t>
        </is>
      </c>
      <c r="L3580" t="inlineStr">
        <is>
          <t>12/03/2026 07:51</t>
        </is>
      </c>
      <c r="M3580" t="inlineStr">
        <is>
          <t>None</t>
        </is>
      </c>
      <c r="N3580" t="inlineStr">
        <is>
          <t>&lt;p&gt;&lt;/p&gt;</t>
        </is>
      </c>
      <c r="O3580" t="inlineStr"/>
      <c r="P3580" t="inlineStr">
        <is>
          <t>LK15KRZ , 4x4 , Landrover , Defender</t>
        </is>
      </c>
      <c r="Q3580" t="inlineStr">
        <is>
          <t>UKPN</t>
        </is>
      </c>
      <c r="R3580" t="b">
        <v>0</v>
      </c>
    </row>
    <row r="3581">
      <c r="A3581" t="inlineStr">
        <is>
          <t>12 Mar 2026 / 7806 Optimum Tree Services Ltd</t>
        </is>
      </c>
      <c r="B3581" t="inlineStr">
        <is>
          <t>Utilities</t>
        </is>
      </c>
      <c r="C3581" t="inlineStr">
        <is>
          <t>UKPN</t>
        </is>
      </c>
      <c r="D3581" t="inlineStr">
        <is>
          <t>NA10SYZ , Tipper , Ford , Transit</t>
        </is>
      </c>
      <c r="E3581" t="inlineStr">
        <is>
          <t>NA10SYZ , Tipper , Ford , Transit</t>
        </is>
      </c>
      <c r="F3581" t="inlineStr">
        <is>
          <t>NA10SYZ , Tipper , Ford , Transit</t>
        </is>
      </c>
      <c r="G3581" t="inlineStr">
        <is>
          <t xml:space="preserve">Kenny Aldred </t>
        </is>
      </c>
      <c r="H3581" t="inlineStr">
        <is>
          <t>Tipper</t>
        </is>
      </c>
      <c r="I3581" t="inlineStr">
        <is>
          <t>Daily/ Weekly Vehicle Inspection</t>
        </is>
      </c>
      <c r="J3581" t="inlineStr">
        <is>
          <t>N/A</t>
        </is>
      </c>
      <c r="K3581" t="inlineStr">
        <is>
          <t>7806 Optimum Tree Services Ltd</t>
        </is>
      </c>
      <c r="L3581" t="inlineStr">
        <is>
          <t>12/03/2026 07:52</t>
        </is>
      </c>
      <c r="M3581" t="inlineStr">
        <is>
          <t>None</t>
        </is>
      </c>
      <c r="N3581" t="inlineStr">
        <is>
          <t>&lt;p&gt;&lt;/p&gt;</t>
        </is>
      </c>
      <c r="O3581" t="inlineStr"/>
      <c r="P3581" t="inlineStr">
        <is>
          <t>NA10SYZ , Tipper , Ford , Transit</t>
        </is>
      </c>
      <c r="Q3581" t="inlineStr">
        <is>
          <t>UKPN</t>
        </is>
      </c>
      <c r="R3581" t="b">
        <v>0</v>
      </c>
    </row>
    <row r="3582">
      <c r="A3582" t="inlineStr">
        <is>
          <t>12 Mar 2026 / 7806 Optimum Tree Services Ltd</t>
        </is>
      </c>
      <c r="B3582" t="inlineStr">
        <is>
          <t>Utilities</t>
        </is>
      </c>
      <c r="C3582" t="inlineStr">
        <is>
          <t>UKPN</t>
        </is>
      </c>
      <c r="D3582" t="inlineStr">
        <is>
          <t>SA9TAPLAF27414263 , Trailer , Tow Mate , Plant Trailer</t>
        </is>
      </c>
      <c r="E3582" t="inlineStr">
        <is>
          <t>SA9TAPLAF27414263 , Trailer , Tow Mate , Plant Trailer</t>
        </is>
      </c>
      <c r="F3582" t="inlineStr">
        <is>
          <t>SA9TAPLAF27414263 , Trailer , Tow Mate , Plant Trailer</t>
        </is>
      </c>
      <c r="G3582" t="inlineStr">
        <is>
          <t xml:space="preserve">Abraham Davies </t>
        </is>
      </c>
      <c r="H3582" t="inlineStr">
        <is>
          <t>Plant Trailer</t>
        </is>
      </c>
      <c r="I3582" t="inlineStr">
        <is>
          <t>Daily/ Weekly Vehicle Inspection</t>
        </is>
      </c>
      <c r="J3582" t="inlineStr">
        <is>
          <t>N/A</t>
        </is>
      </c>
      <c r="K3582" t="inlineStr">
        <is>
          <t>7806 Optimum Tree Services Ltd</t>
        </is>
      </c>
      <c r="L3582" t="inlineStr">
        <is>
          <t>12/03/2026 07:52</t>
        </is>
      </c>
      <c r="M3582" t="inlineStr">
        <is>
          <t>None</t>
        </is>
      </c>
      <c r="N3582" t="inlineStr">
        <is>
          <t>&lt;p&gt;&lt;/p&gt;</t>
        </is>
      </c>
      <c r="O3582" t="inlineStr"/>
      <c r="P3582" t="inlineStr">
        <is>
          <t>SA9TAPLAF27414263 , Trailer , Tow Mate , Plant Trailer</t>
        </is>
      </c>
      <c r="Q3582" t="inlineStr">
        <is>
          <t>UKPN</t>
        </is>
      </c>
      <c r="R3582" t="b">
        <v>0</v>
      </c>
    </row>
    <row r="3583">
      <c r="A3583" t="inlineStr">
        <is>
          <t>12 Mar 2026 / 7806 Optimum Tree Services Ltd</t>
        </is>
      </c>
      <c r="B3583" t="inlineStr">
        <is>
          <t>Utilities</t>
        </is>
      </c>
      <c r="C3583" t="inlineStr">
        <is>
          <t>UKPN</t>
        </is>
      </c>
      <c r="D3583" t="inlineStr">
        <is>
          <t>WD14EVB , MEWP , Land Rover , Defender</t>
        </is>
      </c>
      <c r="E3583" t="inlineStr">
        <is>
          <t>WD14EVB , MEWP , Land Rover , Defender</t>
        </is>
      </c>
      <c r="F3583" t="inlineStr">
        <is>
          <t>WD14EVB , MEWP , Land Rover , Defender</t>
        </is>
      </c>
      <c r="G3583" t="inlineStr">
        <is>
          <t xml:space="preserve">Abraham Davies </t>
        </is>
      </c>
      <c r="H3583" t="inlineStr">
        <is>
          <t>4x4</t>
        </is>
      </c>
      <c r="I3583" t="inlineStr">
        <is>
          <t>Daily/ Weekly Vehicle Inspection</t>
        </is>
      </c>
      <c r="J3583" t="inlineStr">
        <is>
          <t>N/A</t>
        </is>
      </c>
      <c r="K3583" t="inlineStr">
        <is>
          <t>7806 Optimum Tree Services Ltd</t>
        </is>
      </c>
      <c r="L3583" t="inlineStr">
        <is>
          <t>12/03/2026 07:53</t>
        </is>
      </c>
      <c r="M3583" t="inlineStr">
        <is>
          <t>None</t>
        </is>
      </c>
      <c r="N3583" t="inlineStr">
        <is>
          <t>&lt;p&gt;&lt;/p&gt;</t>
        </is>
      </c>
      <c r="O3583" t="inlineStr"/>
      <c r="P3583" t="inlineStr">
        <is>
          <t>WD14EVB , MEWP , Land Rover , Defender</t>
        </is>
      </c>
      <c r="Q3583" t="inlineStr">
        <is>
          <t>UKPN</t>
        </is>
      </c>
      <c r="R3583" t="b">
        <v>0</v>
      </c>
    </row>
    <row r="3584">
      <c r="A3584" t="inlineStr">
        <is>
          <t>12 Mar 2026 / 7806 Optimum Tree Services Ltd</t>
        </is>
      </c>
      <c r="B3584" t="inlineStr">
        <is>
          <t>Utilities</t>
        </is>
      </c>
      <c r="C3584" t="inlineStr">
        <is>
          <t>UKPN</t>
        </is>
      </c>
      <c r="D3584" t="inlineStr">
        <is>
          <t>Wd14evn , 4x4 , Landrover  , Defender</t>
        </is>
      </c>
      <c r="E3584" t="inlineStr">
        <is>
          <t>Wd14evn , 4x4 , Landrover  , Defender</t>
        </is>
      </c>
      <c r="F3584" t="inlineStr">
        <is>
          <t>Wd14evn , 4x4 , Landrover  , Defender</t>
        </is>
      </c>
      <c r="G3584" t="inlineStr">
        <is>
          <t xml:space="preserve">Lewis Davies </t>
        </is>
      </c>
      <c r="H3584" t="inlineStr">
        <is>
          <t>4x4</t>
        </is>
      </c>
      <c r="I3584" t="inlineStr">
        <is>
          <t>Daily/ Weekly Vehicle Inspection</t>
        </is>
      </c>
      <c r="J3584" t="inlineStr">
        <is>
          <t>N/A</t>
        </is>
      </c>
      <c r="K3584" t="inlineStr">
        <is>
          <t>7806 Optimum Tree Services Ltd</t>
        </is>
      </c>
      <c r="L3584" t="inlineStr">
        <is>
          <t>12/03/2026 07:53</t>
        </is>
      </c>
      <c r="M3584" t="inlineStr">
        <is>
          <t>None</t>
        </is>
      </c>
      <c r="N3584" t="inlineStr">
        <is>
          <t>&lt;p&gt;&lt;/p&gt;</t>
        </is>
      </c>
      <c r="O3584" t="inlineStr"/>
      <c r="P3584" t="inlineStr">
        <is>
          <t>Wd14evn , 4x4 , Landrover  , Defender</t>
        </is>
      </c>
      <c r="Q3584" t="inlineStr">
        <is>
          <t>UKPN</t>
        </is>
      </c>
      <c r="R3584" t="b">
        <v>0</v>
      </c>
    </row>
    <row r="3585">
      <c r="A3585" t="inlineStr">
        <is>
          <t>12 Mar 2026 / 8040 S6 Tree specialists Ltd</t>
        </is>
      </c>
      <c r="B3585" t="inlineStr">
        <is>
          <t>Utilities</t>
        </is>
      </c>
      <c r="C3585" t="inlineStr">
        <is>
          <t>UKPN</t>
        </is>
      </c>
      <c r="D3585" t="inlineStr">
        <is>
          <t>Na , Towed Chipper , Timberwolf  , 190</t>
        </is>
      </c>
      <c r="E3585" t="inlineStr">
        <is>
          <t>Na , Towed Chipper , Timberwolf  , 190</t>
        </is>
      </c>
      <c r="F3585" t="inlineStr">
        <is>
          <t>Na , Towed Chipper , Timberwolf  , 190</t>
        </is>
      </c>
      <c r="G3585" t="inlineStr">
        <is>
          <t>Luke</t>
        </is>
      </c>
      <c r="H3585" t="inlineStr">
        <is>
          <t>Towed Chipper</t>
        </is>
      </c>
      <c r="I3585" t="inlineStr">
        <is>
          <t>Daily/ Weekly Vehicle Inspection</t>
        </is>
      </c>
      <c r="J3585" t="inlineStr">
        <is>
          <t>N/A</t>
        </is>
      </c>
      <c r="K3585" t="inlineStr">
        <is>
          <t>8040 S6 Tree specialists Ltd</t>
        </is>
      </c>
      <c r="L3585" t="inlineStr">
        <is>
          <t>12/03/2026 07:55</t>
        </is>
      </c>
      <c r="M3585" t="inlineStr">
        <is>
          <t>None</t>
        </is>
      </c>
      <c r="N3585" t="inlineStr">
        <is>
          <t>&lt;p&gt;&lt;/p&gt;</t>
        </is>
      </c>
      <c r="O3585" t="inlineStr"/>
      <c r="P3585" t="inlineStr">
        <is>
          <t>Na , Towed Chipper , Timberwolf  , 190</t>
        </is>
      </c>
      <c r="Q3585" t="inlineStr">
        <is>
          <t>UKPN</t>
        </is>
      </c>
      <c r="R3585" t="b">
        <v>0</v>
      </c>
    </row>
    <row r="3586">
      <c r="A3586" t="inlineStr">
        <is>
          <t>12 Mar 2026 / 8040 S6 Tree specialists Ltd</t>
        </is>
      </c>
      <c r="B3586" t="inlineStr">
        <is>
          <t>Utilities</t>
        </is>
      </c>
      <c r="C3586" t="inlineStr">
        <is>
          <t>UKPN</t>
        </is>
      </c>
      <c r="D3586" t="inlineStr"/>
      <c r="E3586" t="inlineStr"/>
      <c r="F3586" t="inlineStr"/>
      <c r="G3586" t="inlineStr"/>
      <c r="H3586" t="inlineStr"/>
      <c r="I3586" t="inlineStr"/>
      <c r="J3586" t="inlineStr">
        <is>
          <t>N/A</t>
        </is>
      </c>
      <c r="K3586" t="inlineStr">
        <is>
          <t>8040 S6 Tree specialists Ltd</t>
        </is>
      </c>
      <c r="L3586" t="inlineStr">
        <is>
          <t>12/03/2026 07:55</t>
        </is>
      </c>
      <c r="M3586" t="inlineStr">
        <is>
          <t>None</t>
        </is>
      </c>
      <c r="N3586" t="inlineStr">
        <is>
          <t>&lt;p&gt;&lt;/p&gt;</t>
        </is>
      </c>
      <c r="O3586" t="inlineStr"/>
      <c r="P3586" t="inlineStr"/>
      <c r="Q3586" t="inlineStr">
        <is>
          <t>UKPN</t>
        </is>
      </c>
      <c r="R3586" t="b">
        <v>0</v>
      </c>
    </row>
    <row r="3587">
      <c r="A3587" t="inlineStr">
        <is>
          <t>12 Mar 2026 / 8040 S6 Tree specialists Ltd</t>
        </is>
      </c>
      <c r="B3587" t="inlineStr">
        <is>
          <t>Utilities</t>
        </is>
      </c>
      <c r="C3587" t="inlineStr">
        <is>
          <t>UKPN</t>
        </is>
      </c>
      <c r="D3587" t="inlineStr">
        <is>
          <t>Cu59myy  , 4x4 , Landrover  , Discovery 4</t>
        </is>
      </c>
      <c r="E3587" t="inlineStr">
        <is>
          <t>Cu59myy  , 4x4 , Landrover  , Discovery 4</t>
        </is>
      </c>
      <c r="F3587" t="inlineStr">
        <is>
          <t>Cu59myy  , 4x4 , Landrover  , Discovery 4</t>
        </is>
      </c>
      <c r="G3587" t="inlineStr">
        <is>
          <t xml:space="preserve">Luke </t>
        </is>
      </c>
      <c r="H3587" t="inlineStr">
        <is>
          <t>4x4</t>
        </is>
      </c>
      <c r="I3587" t="inlineStr">
        <is>
          <t>Daily/ Weekly Vehicle Inspection</t>
        </is>
      </c>
      <c r="J3587" t="inlineStr">
        <is>
          <t>N/A</t>
        </is>
      </c>
      <c r="K3587" t="inlineStr">
        <is>
          <t>8040 S6 Tree specialists Ltd</t>
        </is>
      </c>
      <c r="L3587" t="inlineStr">
        <is>
          <t>12/03/2026 07:56</t>
        </is>
      </c>
      <c r="M3587" t="inlineStr">
        <is>
          <t>None</t>
        </is>
      </c>
      <c r="N3587" t="inlineStr">
        <is>
          <t>&lt;p&gt;&lt;/p&gt;</t>
        </is>
      </c>
      <c r="O3587" t="inlineStr"/>
      <c r="P3587" t="inlineStr">
        <is>
          <t>Cu59myy  , 4x4 , Landrover  , Discovery 4</t>
        </is>
      </c>
      <c r="Q3587" t="inlineStr">
        <is>
          <t>UKPN</t>
        </is>
      </c>
      <c r="R3587" t="b">
        <v>0</v>
      </c>
    </row>
    <row r="3588">
      <c r="A3588" t="inlineStr">
        <is>
          <t>10 Mar 2026 / 7996 M G Tree Surgery Ltd 1</t>
        </is>
      </c>
      <c r="B3588" t="inlineStr">
        <is>
          <t>Utilities</t>
        </is>
      </c>
      <c r="C3588" t="inlineStr">
        <is>
          <t>UKPN</t>
        </is>
      </c>
      <c r="D3588" t="inlineStr"/>
      <c r="E3588" t="inlineStr"/>
      <c r="F3588" t="inlineStr"/>
      <c r="G3588" t="inlineStr">
        <is>
          <t>Anthony Gale</t>
        </is>
      </c>
      <c r="H3588" t="inlineStr">
        <is>
          <t>Plant Trailer</t>
        </is>
      </c>
      <c r="I3588" t="inlineStr">
        <is>
          <t>Daily/ Weekly Vehicle Inspection</t>
        </is>
      </c>
      <c r="J3588" t="inlineStr">
        <is>
          <t>N/A</t>
        </is>
      </c>
      <c r="K3588" t="inlineStr">
        <is>
          <t>7996 M G Tree Surgery Ltd 1</t>
        </is>
      </c>
      <c r="L3588" t="inlineStr">
        <is>
          <t>12/03/2026 17:44</t>
        </is>
      </c>
      <c r="M3588" t="inlineStr">
        <is>
          <t>None</t>
        </is>
      </c>
      <c r="N3588" t="inlineStr">
        <is>
          <t>&lt;p&gt;&lt;/p&gt;</t>
        </is>
      </c>
      <c r="O3588" t="inlineStr">
        <is>
          <t>Confirm that you have checked this vehicle as per the guidance document and the vehicle is safe and roadworthy:Jockey wheel tyre gone.
Replacement ordered.
-</t>
        </is>
      </c>
      <c r="P3588" t="inlineStr"/>
      <c r="Q3588" t="inlineStr">
        <is>
          <t>UKPN</t>
        </is>
      </c>
      <c r="R3588" t="b">
        <v>0</v>
      </c>
    </row>
    <row r="3589">
      <c r="A3589" t="inlineStr">
        <is>
          <t>13 Mar 2026 / 7996 M G Tree Surgery Ltd</t>
        </is>
      </c>
      <c r="B3589" t="inlineStr">
        <is>
          <t>Utilities</t>
        </is>
      </c>
      <c r="C3589" t="inlineStr">
        <is>
          <t>UKPN</t>
        </is>
      </c>
      <c r="D3589" t="inlineStr">
        <is>
          <t>GU13 WNL , MEWP , Land Rover , Defender 130</t>
        </is>
      </c>
      <c r="E3589" t="inlineStr">
        <is>
          <t>GU13 WNL , MEWP , Land Rover , Defender 130</t>
        </is>
      </c>
      <c r="F3589" t="inlineStr">
        <is>
          <t>GU13 WNL , MEWP , Land Rover , Defender 130</t>
        </is>
      </c>
      <c r="G3589" t="inlineStr">
        <is>
          <t xml:space="preserve">Max gaylor </t>
        </is>
      </c>
      <c r="H3589" t="inlineStr">
        <is>
          <t>4x4</t>
        </is>
      </c>
      <c r="I3589" t="inlineStr">
        <is>
          <t>Daily/ Weekly Vehicle Inspection</t>
        </is>
      </c>
      <c r="J3589" t="inlineStr">
        <is>
          <t>N/A</t>
        </is>
      </c>
      <c r="K3589" t="inlineStr">
        <is>
          <t>7996 M G Tree Surgery Ltd</t>
        </is>
      </c>
      <c r="L3589" t="inlineStr">
        <is>
          <t>13/03/2026 07:45</t>
        </is>
      </c>
      <c r="M3589" t="inlineStr">
        <is>
          <t>None</t>
        </is>
      </c>
      <c r="N3589" t="inlineStr">
        <is>
          <t>&lt;p&gt;&lt;/p&gt;</t>
        </is>
      </c>
      <c r="O3589" t="inlineStr"/>
      <c r="P3589" t="inlineStr">
        <is>
          <t>GU13 WNL , MEWP , Land Rover , Defender 130</t>
        </is>
      </c>
      <c r="Q3589" t="inlineStr">
        <is>
          <t>UKPN</t>
        </is>
      </c>
      <c r="R3589" t="b">
        <v>0</v>
      </c>
    </row>
    <row r="3590">
      <c r="A3590" t="inlineStr">
        <is>
          <t>13 Mar 2026 / 7186 Eastwoodbury Tree Services Ltd</t>
        </is>
      </c>
      <c r="B3590" t="inlineStr">
        <is>
          <t>Utilities</t>
        </is>
      </c>
      <c r="C3590" t="inlineStr">
        <is>
          <t>UKPN</t>
        </is>
      </c>
      <c r="D3590" t="inlineStr">
        <is>
          <t>WF13 EKT , 4x4 , Land rover  , Defender</t>
        </is>
      </c>
      <c r="E3590" t="inlineStr">
        <is>
          <t>WF13 EKT , 4x4 , Land rover  , Defender</t>
        </is>
      </c>
      <c r="F3590" t="inlineStr">
        <is>
          <t>WF13 EKT , 4x4 , Land rover  , Defender</t>
        </is>
      </c>
      <c r="G3590" t="inlineStr">
        <is>
          <t xml:space="preserve">Dan Gilbert </t>
        </is>
      </c>
      <c r="H3590" t="inlineStr">
        <is>
          <t>4x4</t>
        </is>
      </c>
      <c r="I3590" t="inlineStr">
        <is>
          <t>Daily/ Weekly Vehicle Inspection</t>
        </is>
      </c>
      <c r="J3590" t="inlineStr">
        <is>
          <t>N/A</t>
        </is>
      </c>
      <c r="K3590" t="inlineStr">
        <is>
          <t>7186 Eastwoodbury Tree Services Ltd</t>
        </is>
      </c>
      <c r="L3590" t="inlineStr">
        <is>
          <t>13/03/2026 07:45</t>
        </is>
      </c>
      <c r="M3590" t="inlineStr">
        <is>
          <t>None</t>
        </is>
      </c>
      <c r="N3590" t="inlineStr">
        <is>
          <t>&lt;p&gt;&lt;/p&gt;</t>
        </is>
      </c>
      <c r="O3590" t="inlineStr"/>
      <c r="P3590" t="inlineStr">
        <is>
          <t>WF13 EKT , 4x4 , Land rover  , Defender</t>
        </is>
      </c>
      <c r="Q3590" t="inlineStr">
        <is>
          <t>UKPN</t>
        </is>
      </c>
      <c r="R3590" t="b">
        <v>0</v>
      </c>
    </row>
    <row r="3591">
      <c r="A3591" t="inlineStr">
        <is>
          <t>13 Mar 2026 / 7996 M G Tree Surgery Ltd 1</t>
        </is>
      </c>
      <c r="B3591" t="inlineStr">
        <is>
          <t>Utilities</t>
        </is>
      </c>
      <c r="C3591" t="inlineStr">
        <is>
          <t>UKPN</t>
        </is>
      </c>
      <c r="D3591" t="inlineStr">
        <is>
          <t>KX20 BCE , Tipper , Isuzu , D-Max</t>
        </is>
      </c>
      <c r="E3591" t="inlineStr">
        <is>
          <t>KX20 BCE , Tipper , Isuzu , D-Max</t>
        </is>
      </c>
      <c r="F3591" t="inlineStr">
        <is>
          <t>KX20 BCE , Tipper , Isuzu , D-Max</t>
        </is>
      </c>
      <c r="G3591" t="inlineStr">
        <is>
          <t>Anthony Gale</t>
        </is>
      </c>
      <c r="H3591" t="inlineStr">
        <is>
          <t>Pickup Truck</t>
        </is>
      </c>
      <c r="I3591" t="inlineStr">
        <is>
          <t>Daily/ Weekly Vehicle Inspection</t>
        </is>
      </c>
      <c r="J3591" t="inlineStr">
        <is>
          <t>N/A</t>
        </is>
      </c>
      <c r="K3591" t="inlineStr">
        <is>
          <t>7996 M G Tree Surgery Ltd 1</t>
        </is>
      </c>
      <c r="L3591" t="inlineStr">
        <is>
          <t>13/03/2026 07:46</t>
        </is>
      </c>
      <c r="M3591" t="inlineStr">
        <is>
          <t>None</t>
        </is>
      </c>
      <c r="N3591" t="inlineStr">
        <is>
          <t>&lt;p&gt;&lt;/p&gt;</t>
        </is>
      </c>
      <c r="O3591" t="inlineStr">
        <is>
          <t>Confirm that you have checked this vehicle as per the guidance document and the vehicle is safe and roadworthy:Light board deteriorating.
Safe for now.
Will need replacing soon.
-</t>
        </is>
      </c>
      <c r="P3591" t="inlineStr">
        <is>
          <t>KX20 BCE , Tipper , Isuzu , D-Max</t>
        </is>
      </c>
      <c r="Q3591" t="inlineStr">
        <is>
          <t>UKPN</t>
        </is>
      </c>
      <c r="R3591" t="b">
        <v>0</v>
      </c>
    </row>
    <row r="3592">
      <c r="A3592" t="inlineStr">
        <is>
          <t>13 Mar 2026 / 7996 M G Tree Surgery Ltd 1</t>
        </is>
      </c>
      <c r="B3592" t="inlineStr">
        <is>
          <t>Utilities</t>
        </is>
      </c>
      <c r="C3592" t="inlineStr">
        <is>
          <t>UKPN</t>
        </is>
      </c>
      <c r="D3592" t="inlineStr"/>
      <c r="E3592" t="inlineStr"/>
      <c r="F3592" t="inlineStr"/>
      <c r="G3592" t="inlineStr">
        <is>
          <t>Anthony Gale</t>
        </is>
      </c>
      <c r="H3592" t="inlineStr">
        <is>
          <t>Towed Chipper</t>
        </is>
      </c>
      <c r="I3592" t="inlineStr">
        <is>
          <t>Daily/ Weekly Vehicle Inspection</t>
        </is>
      </c>
      <c r="J3592" t="inlineStr">
        <is>
          <t>N/A</t>
        </is>
      </c>
      <c r="K3592" t="inlineStr">
        <is>
          <t>7996 M G Tree Surgery Ltd 1</t>
        </is>
      </c>
      <c r="L3592" t="inlineStr">
        <is>
          <t>13/03/2026 07:47</t>
        </is>
      </c>
      <c r="M3592" t="inlineStr">
        <is>
          <t>None</t>
        </is>
      </c>
      <c r="N3592" t="inlineStr">
        <is>
          <t>&lt;p&gt;&lt;/p&gt;</t>
        </is>
      </c>
      <c r="O3592" t="inlineStr"/>
      <c r="P3592" t="inlineStr"/>
      <c r="Q3592" t="inlineStr">
        <is>
          <t>UKPN</t>
        </is>
      </c>
      <c r="R3592" t="b">
        <v>0</v>
      </c>
    </row>
    <row r="3593">
      <c r="A3593" t="inlineStr">
        <is>
          <t>2 Mar 2026 / 7186 Eastwoodbury Tree Services Ltd</t>
        </is>
      </c>
      <c r="B3593" t="inlineStr">
        <is>
          <t>Utilities</t>
        </is>
      </c>
      <c r="C3593" t="inlineStr">
        <is>
          <t>UKPN</t>
        </is>
      </c>
      <c r="D3593" t="inlineStr">
        <is>
          <t>WF13 EKT , 4x4 , Land rover  , Defender</t>
        </is>
      </c>
      <c r="E3593" t="inlineStr">
        <is>
          <t>WF13 EKT , 4x4 , Land rover  , Defender</t>
        </is>
      </c>
      <c r="F3593" t="inlineStr">
        <is>
          <t>WF13 EKT , 4x4 , Land rover  , Defender</t>
        </is>
      </c>
      <c r="G3593" t="inlineStr">
        <is>
          <t xml:space="preserve">Dan Gilbert </t>
        </is>
      </c>
      <c r="H3593" t="inlineStr">
        <is>
          <t>4x4</t>
        </is>
      </c>
      <c r="I3593" t="inlineStr">
        <is>
          <t>Daily/ Weekly Vehicle Inspection</t>
        </is>
      </c>
      <c r="J3593" t="inlineStr">
        <is>
          <t>N/A</t>
        </is>
      </c>
      <c r="K3593" t="inlineStr">
        <is>
          <t>7186 Eastwoodbury Tree Services Ltd</t>
        </is>
      </c>
      <c r="L3593" t="inlineStr">
        <is>
          <t>13/03/2026 07:48</t>
        </is>
      </c>
      <c r="M3593" t="inlineStr">
        <is>
          <t>None</t>
        </is>
      </c>
      <c r="N3593" t="inlineStr">
        <is>
          <t>&lt;p&gt;&lt;/p&gt;</t>
        </is>
      </c>
      <c r="O3593" t="inlineStr"/>
      <c r="P3593" t="inlineStr">
        <is>
          <t>WF13 EKT , 4x4 , Land rover  , Defender</t>
        </is>
      </c>
      <c r="Q3593" t="inlineStr">
        <is>
          <t>UKPN</t>
        </is>
      </c>
      <c r="R3593" t="b">
        <v>0</v>
      </c>
    </row>
    <row r="3594">
      <c r="A3594" t="inlineStr">
        <is>
          <t>13 Mar 2026 / 7186 Eastwoodbury Tree Services Ltd</t>
        </is>
      </c>
      <c r="B3594" t="inlineStr">
        <is>
          <t>Utilities</t>
        </is>
      </c>
      <c r="C3594" t="inlineStr">
        <is>
          <t>UKPN</t>
        </is>
      </c>
      <c r="D3594" t="inlineStr">
        <is>
          <t>FX14 XCV , 4x4 , Land Rover  , Defender</t>
        </is>
      </c>
      <c r="E3594" t="inlineStr">
        <is>
          <t>FX14 XCV , 4x4 , Land Rover  , Defender</t>
        </is>
      </c>
      <c r="F3594" t="inlineStr">
        <is>
          <t>FX14 XCV , 4x4 , Land Rover  , Defender</t>
        </is>
      </c>
      <c r="G3594" t="inlineStr">
        <is>
          <t xml:space="preserve">Tom price </t>
        </is>
      </c>
      <c r="H3594" t="inlineStr">
        <is>
          <t>4x4</t>
        </is>
      </c>
      <c r="I3594" t="inlineStr">
        <is>
          <t>Daily/ Weekly Vehicle Inspection</t>
        </is>
      </c>
      <c r="J3594" t="inlineStr">
        <is>
          <t>N/A</t>
        </is>
      </c>
      <c r="K3594" t="inlineStr">
        <is>
          <t>7186 Eastwoodbury Tree Services Ltd</t>
        </is>
      </c>
      <c r="L3594" t="inlineStr">
        <is>
          <t>13/03/2026 07:48</t>
        </is>
      </c>
      <c r="M3594" t="inlineStr">
        <is>
          <t>None</t>
        </is>
      </c>
      <c r="N3594" t="inlineStr">
        <is>
          <t>&lt;p&gt;&lt;/p&gt;</t>
        </is>
      </c>
      <c r="O3594" t="inlineStr"/>
      <c r="P3594" t="inlineStr">
        <is>
          <t>FX14 XCV , 4x4 , Land Rover  , Defender</t>
        </is>
      </c>
      <c r="Q3594" t="inlineStr">
        <is>
          <t>UKPN</t>
        </is>
      </c>
      <c r="R3594" t="b">
        <v>0</v>
      </c>
    </row>
    <row r="3595">
      <c r="A3595" t="inlineStr">
        <is>
          <t>13 Mar 2026 / 7806 Optimum Tree Services Ltd</t>
        </is>
      </c>
      <c r="B3595" t="inlineStr">
        <is>
          <t>Utilities</t>
        </is>
      </c>
      <c r="C3595" t="inlineStr">
        <is>
          <t>UKPN</t>
        </is>
      </c>
      <c r="D3595" t="inlineStr">
        <is>
          <t>Wd14evn , 4x4 , Landrover  , Defender</t>
        </is>
      </c>
      <c r="E3595" t="inlineStr">
        <is>
          <t>Wd14evn , 4x4 , Landrover  , Defender</t>
        </is>
      </c>
      <c r="F3595" t="inlineStr">
        <is>
          <t>Wd14evn , 4x4 , Landrover  , Defender</t>
        </is>
      </c>
      <c r="G3595" t="inlineStr">
        <is>
          <t xml:space="preserve">Abraham Davies </t>
        </is>
      </c>
      <c r="H3595" t="inlineStr">
        <is>
          <t>4x4</t>
        </is>
      </c>
      <c r="I3595" t="inlineStr">
        <is>
          <t>Daily/ Weekly Vehicle Inspection</t>
        </is>
      </c>
      <c r="J3595" t="inlineStr">
        <is>
          <t>N/A</t>
        </is>
      </c>
      <c r="K3595" t="inlineStr">
        <is>
          <t>7806 Optimum Tree Services Ltd</t>
        </is>
      </c>
      <c r="L3595" t="inlineStr">
        <is>
          <t>13/03/2026 07:49</t>
        </is>
      </c>
      <c r="M3595" t="inlineStr">
        <is>
          <t>None</t>
        </is>
      </c>
      <c r="N3595" t="inlineStr">
        <is>
          <t>&lt;p&gt;&lt;/p&gt;</t>
        </is>
      </c>
      <c r="O3595" t="inlineStr"/>
      <c r="P3595" t="inlineStr">
        <is>
          <t>Wd14evn , 4x4 , Landrover  , Defender</t>
        </is>
      </c>
      <c r="Q3595" t="inlineStr">
        <is>
          <t>UKPN</t>
        </is>
      </c>
      <c r="R3595" t="b">
        <v>0</v>
      </c>
    </row>
    <row r="3596">
      <c r="A3596" t="inlineStr">
        <is>
          <t>13 Mar 2026 / 6617 Ashdown Tree Limited 1</t>
        </is>
      </c>
      <c r="B3596" t="inlineStr">
        <is>
          <t>Utilities</t>
        </is>
      </c>
      <c r="C3596" t="inlineStr">
        <is>
          <t>UKPN</t>
        </is>
      </c>
      <c r="D3596" t="inlineStr">
        <is>
          <t>WF11EJJ , Vehicle , Land Rover , Discovery</t>
        </is>
      </c>
      <c r="E3596" t="inlineStr">
        <is>
          <t>WF11EJJ , Vehicle , Land Rover , Discovery</t>
        </is>
      </c>
      <c r="F3596" t="inlineStr">
        <is>
          <t>WF11EJJ , Vehicle , Land Rover , Discovery</t>
        </is>
      </c>
      <c r="G3596" t="inlineStr">
        <is>
          <t>Dan</t>
        </is>
      </c>
      <c r="H3596" t="inlineStr">
        <is>
          <t>4x4</t>
        </is>
      </c>
      <c r="I3596" t="inlineStr">
        <is>
          <t>Daily/ Weekly Vehicle Inspection</t>
        </is>
      </c>
      <c r="J3596" t="inlineStr">
        <is>
          <t>N/A</t>
        </is>
      </c>
      <c r="K3596" t="inlineStr">
        <is>
          <t>6617 Ashdown Tree Limited - Team 2</t>
        </is>
      </c>
      <c r="L3596" t="inlineStr">
        <is>
          <t>13/03/2026 07:52</t>
        </is>
      </c>
      <c r="M3596" t="inlineStr">
        <is>
          <t>None</t>
        </is>
      </c>
      <c r="N3596" t="inlineStr">
        <is>
          <t>&lt;p&gt;&lt;/p&gt;</t>
        </is>
      </c>
      <c r="O3596" t="inlineStr"/>
      <c r="P3596" t="inlineStr">
        <is>
          <t>WF11EJJ , Vehicle , Land Rover , Discovery</t>
        </is>
      </c>
      <c r="Q3596" t="inlineStr">
        <is>
          <t>UKPN</t>
        </is>
      </c>
      <c r="R3596" t="b">
        <v>0</v>
      </c>
    </row>
    <row r="3597">
      <c r="A3597" t="inlineStr">
        <is>
          <t>13 Mar 2026 / 8040 S6 Tree specialists Ltd</t>
        </is>
      </c>
      <c r="B3597" t="inlineStr">
        <is>
          <t>Utilities</t>
        </is>
      </c>
      <c r="C3597" t="inlineStr">
        <is>
          <t>UKPN</t>
        </is>
      </c>
      <c r="D3597" t="inlineStr">
        <is>
          <t>Na , Towed Chipper , Timberwolf  , 190</t>
        </is>
      </c>
      <c r="E3597" t="inlineStr">
        <is>
          <t>Na , Towed Chipper , Timberwolf  , 190</t>
        </is>
      </c>
      <c r="F3597" t="inlineStr">
        <is>
          <t>Na , Towed Chipper , Timberwolf  , 190</t>
        </is>
      </c>
      <c r="G3597" t="inlineStr">
        <is>
          <t xml:space="preserve">Luke </t>
        </is>
      </c>
      <c r="H3597" t="inlineStr">
        <is>
          <t>Towed Chipper</t>
        </is>
      </c>
      <c r="I3597" t="inlineStr">
        <is>
          <t>Daily/ Weekly Vehicle Inspection</t>
        </is>
      </c>
      <c r="J3597" t="inlineStr">
        <is>
          <t>N/A</t>
        </is>
      </c>
      <c r="K3597" t="inlineStr">
        <is>
          <t>8040 S6 Tree specialists Ltd</t>
        </is>
      </c>
      <c r="L3597" t="inlineStr">
        <is>
          <t>13/03/2026 07:52</t>
        </is>
      </c>
      <c r="M3597" t="inlineStr">
        <is>
          <t>None</t>
        </is>
      </c>
      <c r="N3597" t="inlineStr">
        <is>
          <t>&lt;p&gt;&lt;/p&gt;</t>
        </is>
      </c>
      <c r="O3597" t="inlineStr"/>
      <c r="P3597" t="inlineStr">
        <is>
          <t>Na , Towed Chipper , Timberwolf  , 190</t>
        </is>
      </c>
      <c r="Q3597" t="inlineStr">
        <is>
          <t>UKPN</t>
        </is>
      </c>
      <c r="R3597" t="b">
        <v>0</v>
      </c>
    </row>
    <row r="3598">
      <c r="A3598" t="inlineStr">
        <is>
          <t>13 Mar 2026 / 8040 S6 Tree specialists Ltd</t>
        </is>
      </c>
      <c r="B3598" t="inlineStr">
        <is>
          <t>Utilities</t>
        </is>
      </c>
      <c r="C3598" t="inlineStr">
        <is>
          <t>UKPN</t>
        </is>
      </c>
      <c r="D3598" t="inlineStr">
        <is>
          <t>Cu59myy  , 4x4 , Landrover  , Discovery 4</t>
        </is>
      </c>
      <c r="E3598" t="inlineStr">
        <is>
          <t>Cu59myy  , 4x4 , Landrover  , Discovery 4</t>
        </is>
      </c>
      <c r="F3598" t="inlineStr">
        <is>
          <t>Cu59myy  , 4x4 , Landrover  , Discovery 4</t>
        </is>
      </c>
      <c r="G3598" t="inlineStr">
        <is>
          <t xml:space="preserve">Luke lane </t>
        </is>
      </c>
      <c r="H3598" t="inlineStr">
        <is>
          <t>4x4</t>
        </is>
      </c>
      <c r="I3598" t="inlineStr">
        <is>
          <t>Daily/ Weekly Vehicle Inspection</t>
        </is>
      </c>
      <c r="J3598" t="inlineStr">
        <is>
          <t>N/A</t>
        </is>
      </c>
      <c r="K3598" t="inlineStr">
        <is>
          <t>8040 S6 Tree specialists Ltd</t>
        </is>
      </c>
      <c r="L3598" t="inlineStr">
        <is>
          <t>13/03/2026 07:53</t>
        </is>
      </c>
      <c r="M3598" t="inlineStr">
        <is>
          <t>None</t>
        </is>
      </c>
      <c r="N3598" t="inlineStr">
        <is>
          <t>&lt;p&gt;&lt;/p&gt;</t>
        </is>
      </c>
      <c r="O3598" t="inlineStr"/>
      <c r="P3598" t="inlineStr">
        <is>
          <t>Cu59myy  , 4x4 , Landrover  , Discovery 4</t>
        </is>
      </c>
      <c r="Q3598" t="inlineStr">
        <is>
          <t>UKPN</t>
        </is>
      </c>
      <c r="R3598" t="b">
        <v>0</v>
      </c>
    </row>
    <row r="3599">
      <c r="A3599" t="inlineStr">
        <is>
          <t>13 Mar 2026 / Benet Jones</t>
        </is>
      </c>
      <c r="B3599" t="inlineStr">
        <is>
          <t>Utilities</t>
        </is>
      </c>
      <c r="C3599" t="inlineStr">
        <is>
          <t>NGED</t>
        </is>
      </c>
      <c r="D3599" t="inlineStr"/>
      <c r="E3599" t="inlineStr"/>
      <c r="F3599" t="inlineStr"/>
      <c r="G3599" t="inlineStr">
        <is>
          <t xml:space="preserve">Benet Jones </t>
        </is>
      </c>
      <c r="H3599" t="inlineStr">
        <is>
          <t>Car - Petrol</t>
        </is>
      </c>
      <c r="I3599" t="inlineStr">
        <is>
          <t>Daily/ Weekly Vehicle Inspection</t>
        </is>
      </c>
      <c r="J3599" t="inlineStr">
        <is>
          <t>N/A</t>
        </is>
      </c>
      <c r="K3599" t="inlineStr">
        <is>
          <t>Benet Jones</t>
        </is>
      </c>
      <c r="L3599" t="inlineStr">
        <is>
          <t>13/03/2026 08:45</t>
        </is>
      </c>
      <c r="M3599" t="inlineStr">
        <is>
          <t>None</t>
        </is>
      </c>
      <c r="N3599" t="inlineStr">
        <is>
          <t>&lt;p&gt;&lt;/p&gt;</t>
        </is>
      </c>
      <c r="O3599" t="inlineStr">
        <is>
          <t>Confirm that you have checked this vehicle as per the guidance document and the vehicle is safe and roadworthy:Car checked and fully serviceable
-</t>
        </is>
      </c>
      <c r="P3599" t="inlineStr"/>
      <c r="Q3599" t="inlineStr">
        <is>
          <t>NGED</t>
        </is>
      </c>
      <c r="R3599" t="b">
        <v>0</v>
      </c>
    </row>
    <row r="3600">
      <c r="A3600" t="inlineStr">
        <is>
          <t>13 Mar 2026 / Richard Moses</t>
        </is>
      </c>
      <c r="B3600" t="inlineStr">
        <is>
          <t>Utilities</t>
        </is>
      </c>
      <c r="C3600" t="inlineStr">
        <is>
          <t>NGED</t>
        </is>
      </c>
      <c r="D3600" t="inlineStr">
        <is>
          <t>AK23YLM , Car - Electric , Tesla , Model Y Long Range</t>
        </is>
      </c>
      <c r="E3600" t="inlineStr">
        <is>
          <t>AK23YLM , Car - Electric , Tesla , Model Y Long Range</t>
        </is>
      </c>
      <c r="F3600" t="inlineStr">
        <is>
          <t>AK23YLM , Car - Electric , Tesla , Model Y Long Range</t>
        </is>
      </c>
      <c r="G3600" t="inlineStr">
        <is>
          <t>Moses</t>
        </is>
      </c>
      <c r="H3600" t="inlineStr">
        <is>
          <t>Car - Electric (GC Owned)</t>
        </is>
      </c>
      <c r="I3600" t="inlineStr">
        <is>
          <t>Daily/ Weekly Vehicle Inspection</t>
        </is>
      </c>
      <c r="J3600" t="inlineStr">
        <is>
          <t>N/A</t>
        </is>
      </c>
      <c r="K3600" t="inlineStr">
        <is>
          <t>Richard Moses</t>
        </is>
      </c>
      <c r="L3600" t="inlineStr">
        <is>
          <t>13/03/2026 10:45</t>
        </is>
      </c>
      <c r="M3600" t="inlineStr">
        <is>
          <t>None</t>
        </is>
      </c>
      <c r="N3600" t="inlineStr">
        <is>
          <t>&lt;p&gt;&lt;/p&gt;</t>
        </is>
      </c>
      <c r="O3600" t="inlineStr"/>
      <c r="P3600" t="inlineStr">
        <is>
          <t>AK23YLM , Car - Electric , Tesla , Model Y Long Range</t>
        </is>
      </c>
      <c r="Q3600" t="inlineStr">
        <is>
          <t>NGED</t>
        </is>
      </c>
      <c r="R3600" t="b">
        <v>0</v>
      </c>
    </row>
    <row r="3601">
      <c r="A3601" t="inlineStr">
        <is>
          <t>13 Mar 2026 / Christopher Phillips</t>
        </is>
      </c>
      <c r="B3601" t="inlineStr">
        <is>
          <t>Utilities</t>
        </is>
      </c>
      <c r="C3601" t="inlineStr">
        <is>
          <t>NGED</t>
        </is>
      </c>
      <c r="D3601" t="inlineStr">
        <is>
          <t>SK69XHC , Car - Electric , Tesla , Model 3 Performance AWD</t>
        </is>
      </c>
      <c r="E3601" t="inlineStr">
        <is>
          <t>SK69XHC , Car - Electric , Tesla , Model 3 Performance AWD</t>
        </is>
      </c>
      <c r="F3601" t="inlineStr">
        <is>
          <t>SK69XHC , Car - Electric , Tesla , Model 3 Performance AWD</t>
        </is>
      </c>
      <c r="G3601" t="inlineStr">
        <is>
          <t xml:space="preserve">Chris Phillips </t>
        </is>
      </c>
      <c r="H3601" t="inlineStr">
        <is>
          <t>Car - Electric (GC Owned)</t>
        </is>
      </c>
      <c r="I3601" t="inlineStr">
        <is>
          <t>Daily/ Weekly Vehicle Inspection</t>
        </is>
      </c>
      <c r="J3601" t="inlineStr">
        <is>
          <t>N/A</t>
        </is>
      </c>
      <c r="K3601" t="inlineStr">
        <is>
          <t>Christopher Phillips</t>
        </is>
      </c>
      <c r="L3601" t="inlineStr">
        <is>
          <t>13/03/2026 12:44</t>
        </is>
      </c>
      <c r="M3601" t="inlineStr">
        <is>
          <t>None</t>
        </is>
      </c>
      <c r="N3601" t="inlineStr">
        <is>
          <t>&lt;p&gt;&lt;/p&gt;</t>
        </is>
      </c>
      <c r="O3601" t="inlineStr"/>
      <c r="P3601" t="inlineStr">
        <is>
          <t>SK69XHC , Car - Electric , Tesla , Model 3 Performance AWD</t>
        </is>
      </c>
      <c r="Q3601" t="inlineStr">
        <is>
          <t>NGED</t>
        </is>
      </c>
      <c r="R3601" t="b">
        <v>0</v>
      </c>
    </row>
    <row r="3602">
      <c r="A3602" t="inlineStr">
        <is>
          <t>13 Mar 2026 / Gary England</t>
        </is>
      </c>
      <c r="B3602" t="inlineStr">
        <is>
          <t>Utilities</t>
        </is>
      </c>
      <c r="C3602" t="inlineStr">
        <is>
          <t>NGED</t>
        </is>
      </c>
      <c r="D3602" t="inlineStr">
        <is>
          <t>GJ71KAO , Car - Electric , Tesla , Model 3 Long Range AWD</t>
        </is>
      </c>
      <c r="E3602" t="inlineStr">
        <is>
          <t>GJ71KAO , Car - Electric , Tesla , Model 3 Long Range AWD</t>
        </is>
      </c>
      <c r="F3602" t="inlineStr">
        <is>
          <t>GJ71KAO , Car - Electric , Tesla , Model 3 Long Range AWD</t>
        </is>
      </c>
      <c r="G3602" t="inlineStr">
        <is>
          <t xml:space="preserve">Gary England </t>
        </is>
      </c>
      <c r="H3602" t="inlineStr">
        <is>
          <t>Car - Electric (GC Owned)</t>
        </is>
      </c>
      <c r="I3602" t="inlineStr">
        <is>
          <t>Daily/ Weekly Vehicle Inspection</t>
        </is>
      </c>
      <c r="J3602" t="inlineStr">
        <is>
          <t>N/A</t>
        </is>
      </c>
      <c r="K3602" t="inlineStr">
        <is>
          <t>Gary England</t>
        </is>
      </c>
      <c r="L3602" t="inlineStr">
        <is>
          <t>13/03/2026 12:44</t>
        </is>
      </c>
      <c r="M3602" t="inlineStr">
        <is>
          <t>None</t>
        </is>
      </c>
      <c r="N3602" t="inlineStr">
        <is>
          <t>&lt;p&gt;&lt;/p&gt;</t>
        </is>
      </c>
      <c r="O3602" t="inlineStr"/>
      <c r="P3602" t="inlineStr">
        <is>
          <t>GJ71KAO , Car - Electric , Tesla , Model 3 Long Range AWD</t>
        </is>
      </c>
      <c r="Q3602" t="inlineStr">
        <is>
          <t>NGED</t>
        </is>
      </c>
      <c r="R3602" t="b">
        <v>0</v>
      </c>
    </row>
    <row r="3603">
      <c r="A3603" t="inlineStr">
        <is>
          <t>13 Mar 2026 / 7996 M G Tree Surgery Ltd 1</t>
        </is>
      </c>
      <c r="B3603" t="inlineStr">
        <is>
          <t>Utilities</t>
        </is>
      </c>
      <c r="C3603" t="inlineStr">
        <is>
          <t>UKPN</t>
        </is>
      </c>
      <c r="D3603" t="inlineStr">
        <is>
          <t>KX20 BCE , Tipper , Isuzu , D-Max</t>
        </is>
      </c>
      <c r="E3603" t="inlineStr">
        <is>
          <t>KX20 BCE , Tipper , Isuzu , D-Max</t>
        </is>
      </c>
      <c r="F3603" t="inlineStr">
        <is>
          <t>KX20 BCE , Tipper , Isuzu , D-Max</t>
        </is>
      </c>
      <c r="G3603" t="inlineStr">
        <is>
          <t>Anthony Gale</t>
        </is>
      </c>
      <c r="H3603" t="inlineStr">
        <is>
          <t>Pickup Truck</t>
        </is>
      </c>
      <c r="I3603" t="inlineStr">
        <is>
          <t>Daily/ Weekly Vehicle Inspection</t>
        </is>
      </c>
      <c r="J3603" t="inlineStr">
        <is>
          <t>N/A</t>
        </is>
      </c>
      <c r="K3603" t="inlineStr">
        <is>
          <t>7996 M G Tree Surgery Ltd 1</t>
        </is>
      </c>
      <c r="L3603" t="inlineStr">
        <is>
          <t>13/03/2026 20:44</t>
        </is>
      </c>
      <c r="M3603" t="inlineStr">
        <is>
          <t>None</t>
        </is>
      </c>
      <c r="N3603" t="inlineStr">
        <is>
          <t>&lt;p&gt;&lt;/p&gt;</t>
        </is>
      </c>
      <c r="O3603" t="inlineStr">
        <is>
          <t>Confirm that you have checked this vehicle as per the guidance document and the vehicle is safe and roadworthy:Light board deteriorating.
Safe for now.
Will need replacing soon.
-</t>
        </is>
      </c>
      <c r="P3603" t="inlineStr">
        <is>
          <t>KX20 BCE , Tipper , Isuzu , D-Max</t>
        </is>
      </c>
      <c r="Q3603" t="inlineStr">
        <is>
          <t>UKPN</t>
        </is>
      </c>
      <c r="R3603" t="b">
        <v>0</v>
      </c>
    </row>
    <row r="3604">
      <c r="A3604" t="inlineStr">
        <is>
          <t>16 Mar 2026 / 7806 Optimum Tree Services Ltd</t>
        </is>
      </c>
      <c r="B3604" t="inlineStr">
        <is>
          <t>Utilities</t>
        </is>
      </c>
      <c r="C3604" t="inlineStr">
        <is>
          <t>UKPN</t>
        </is>
      </c>
      <c r="D3604" t="inlineStr">
        <is>
          <t>WD14EVB , MEWP , Land Rover , Defender</t>
        </is>
      </c>
      <c r="E3604" t="inlineStr">
        <is>
          <t>WD14EVB , MEWP , Land Rover , Defender</t>
        </is>
      </c>
      <c r="F3604" t="inlineStr">
        <is>
          <t>WD14EVB , MEWP , Land Rover , Defender</t>
        </is>
      </c>
      <c r="G3604" t="inlineStr">
        <is>
          <t xml:space="preserve">Abraham Davies </t>
        </is>
      </c>
      <c r="H3604" t="inlineStr">
        <is>
          <t>4x4</t>
        </is>
      </c>
      <c r="I3604" t="inlineStr">
        <is>
          <t>Daily/ Weekly Vehicle Inspection</t>
        </is>
      </c>
      <c r="J3604" t="inlineStr">
        <is>
          <t>N/A</t>
        </is>
      </c>
      <c r="K3604" t="inlineStr">
        <is>
          <t>7806 Optimum Tree Services Ltd</t>
        </is>
      </c>
      <c r="L3604" t="inlineStr">
        <is>
          <t>16/03/2026 07:44</t>
        </is>
      </c>
      <c r="M3604" t="inlineStr">
        <is>
          <t>None</t>
        </is>
      </c>
      <c r="N3604" t="inlineStr">
        <is>
          <t>&lt;p&gt;&lt;/p&gt;</t>
        </is>
      </c>
      <c r="O3604" t="inlineStr"/>
      <c r="P3604" t="inlineStr">
        <is>
          <t>WD14EVB , MEWP , Land Rover , Defender</t>
        </is>
      </c>
      <c r="Q3604" t="inlineStr">
        <is>
          <t>UKPN</t>
        </is>
      </c>
      <c r="R3604" t="b">
        <v>0</v>
      </c>
    </row>
    <row r="3605">
      <c r="A3605" t="inlineStr">
        <is>
          <t>16 Mar 2026 / 7806 Optimum Tree Services Ltd</t>
        </is>
      </c>
      <c r="B3605" t="inlineStr">
        <is>
          <t>Utilities</t>
        </is>
      </c>
      <c r="C3605" t="inlineStr">
        <is>
          <t>UKPN</t>
        </is>
      </c>
      <c r="D3605" t="inlineStr">
        <is>
          <t>NA10SYZ , Tipper , Ford , Transit</t>
        </is>
      </c>
      <c r="E3605" t="inlineStr">
        <is>
          <t>NA10SYZ , Tipper , Ford , Transit</t>
        </is>
      </c>
      <c r="F3605" t="inlineStr">
        <is>
          <t>NA10SYZ , Tipper , Ford , Transit</t>
        </is>
      </c>
      <c r="G3605" t="inlineStr">
        <is>
          <t xml:space="preserve">Kenny Aldred </t>
        </is>
      </c>
      <c r="H3605" t="inlineStr">
        <is>
          <t>Tipper</t>
        </is>
      </c>
      <c r="I3605" t="inlineStr">
        <is>
          <t>Daily/ Weekly Vehicle Inspection</t>
        </is>
      </c>
      <c r="J3605" t="inlineStr">
        <is>
          <t>N/A</t>
        </is>
      </c>
      <c r="K3605" t="inlineStr">
        <is>
          <t>7806 Optimum Tree Services Ltd</t>
        </is>
      </c>
      <c r="L3605" t="inlineStr">
        <is>
          <t>16/03/2026 07:45</t>
        </is>
      </c>
      <c r="M3605" t="inlineStr">
        <is>
          <t>None</t>
        </is>
      </c>
      <c r="N3605" t="inlineStr">
        <is>
          <t>&lt;p&gt;&lt;/p&gt;</t>
        </is>
      </c>
      <c r="O3605" t="inlineStr"/>
      <c r="P3605" t="inlineStr">
        <is>
          <t>NA10SYZ , Tipper , Ford , Transit</t>
        </is>
      </c>
      <c r="Q3605" t="inlineStr">
        <is>
          <t>UKPN</t>
        </is>
      </c>
      <c r="R3605" t="b">
        <v>0</v>
      </c>
    </row>
    <row r="3606">
      <c r="A3606" t="inlineStr">
        <is>
          <t>16 Mar 2026 / 7806 Optimum Tree Services Ltd</t>
        </is>
      </c>
      <c r="B3606" t="inlineStr">
        <is>
          <t>Utilities</t>
        </is>
      </c>
      <c r="C3606" t="inlineStr">
        <is>
          <t>UKPN</t>
        </is>
      </c>
      <c r="D3606" t="inlineStr">
        <is>
          <t>SA9TAPLAF27414263 , Trailer , Tow Mate , Plant Trailer</t>
        </is>
      </c>
      <c r="E3606" t="inlineStr">
        <is>
          <t>SA9TAPLAF27414263 , Trailer , Tow Mate , Plant Trailer</t>
        </is>
      </c>
      <c r="F3606" t="inlineStr">
        <is>
          <t>SA9TAPLAF27414263 , Trailer , Tow Mate , Plant Trailer</t>
        </is>
      </c>
      <c r="G3606" t="inlineStr">
        <is>
          <t xml:space="preserve">Abraham Davies </t>
        </is>
      </c>
      <c r="H3606" t="inlineStr">
        <is>
          <t>Plant Trailer</t>
        </is>
      </c>
      <c r="I3606" t="inlineStr">
        <is>
          <t>Daily/ Weekly Vehicle Inspection</t>
        </is>
      </c>
      <c r="J3606" t="inlineStr">
        <is>
          <t>N/A</t>
        </is>
      </c>
      <c r="K3606" t="inlineStr">
        <is>
          <t>7806 Optimum Tree Services Ltd</t>
        </is>
      </c>
      <c r="L3606" t="inlineStr">
        <is>
          <t>16/03/2026 07:45</t>
        </is>
      </c>
      <c r="M3606" t="inlineStr">
        <is>
          <t>None</t>
        </is>
      </c>
      <c r="N3606" t="inlineStr">
        <is>
          <t>&lt;p&gt;&lt;/p&gt;</t>
        </is>
      </c>
      <c r="O3606" t="inlineStr"/>
      <c r="P3606" t="inlineStr">
        <is>
          <t>SA9TAPLAF27414263 , Trailer , Tow Mate , Plant Trailer</t>
        </is>
      </c>
      <c r="Q3606" t="inlineStr">
        <is>
          <t>UKPN</t>
        </is>
      </c>
      <c r="R3606" t="b">
        <v>0</v>
      </c>
    </row>
    <row r="3607">
      <c r="A3607" t="inlineStr">
        <is>
          <t>16 Mar 2026 / 7806 Optimum Tree Services Ltd</t>
        </is>
      </c>
      <c r="B3607" t="inlineStr">
        <is>
          <t>Utilities</t>
        </is>
      </c>
      <c r="C3607" t="inlineStr">
        <is>
          <t>UKPN</t>
        </is>
      </c>
      <c r="D3607" t="inlineStr">
        <is>
          <t>Wd14evn , 4x4 , Landrover  , Defender</t>
        </is>
      </c>
      <c r="E3607" t="inlineStr">
        <is>
          <t>Wd14evn , 4x4 , Landrover  , Defender</t>
        </is>
      </c>
      <c r="F3607" t="inlineStr">
        <is>
          <t>Wd14evn , 4x4 , Landrover  , Defender</t>
        </is>
      </c>
      <c r="G3607" t="inlineStr">
        <is>
          <t xml:space="preserve">Lewis Davies </t>
        </is>
      </c>
      <c r="H3607" t="inlineStr">
        <is>
          <t>4x4</t>
        </is>
      </c>
      <c r="I3607" t="inlineStr">
        <is>
          <t>Daily/ Weekly Vehicle Inspection</t>
        </is>
      </c>
      <c r="J3607" t="inlineStr">
        <is>
          <t>N/A</t>
        </is>
      </c>
      <c r="K3607" t="inlineStr">
        <is>
          <t>7806 Optimum Tree Services Ltd</t>
        </is>
      </c>
      <c r="L3607" t="inlineStr">
        <is>
          <t>16/03/2026 07:46</t>
        </is>
      </c>
      <c r="M3607" t="inlineStr">
        <is>
          <t>None</t>
        </is>
      </c>
      <c r="N3607" t="inlineStr">
        <is>
          <t>&lt;p&gt;&lt;/p&gt;</t>
        </is>
      </c>
      <c r="O3607" t="inlineStr"/>
      <c r="P3607" t="inlineStr">
        <is>
          <t>Wd14evn , 4x4 , Landrover  , Defender</t>
        </is>
      </c>
      <c r="Q3607" t="inlineStr">
        <is>
          <t>UKPN</t>
        </is>
      </c>
      <c r="R3607" t="b">
        <v>0</v>
      </c>
    </row>
    <row r="3608">
      <c r="A3608" t="inlineStr">
        <is>
          <t>16 Mar 2026 / 8040 S6 Tree specialists Ltd</t>
        </is>
      </c>
      <c r="B3608" t="inlineStr">
        <is>
          <t>Utilities</t>
        </is>
      </c>
      <c r="C3608" t="inlineStr">
        <is>
          <t>UKPN</t>
        </is>
      </c>
      <c r="D3608" t="inlineStr">
        <is>
          <t>Cu59myy  , 4x4 , Landrover  , Discovery 4</t>
        </is>
      </c>
      <c r="E3608" t="inlineStr">
        <is>
          <t>Cu59myy  , 4x4 , Landrover  , Discovery 4</t>
        </is>
      </c>
      <c r="F3608" t="inlineStr">
        <is>
          <t>Cu59myy  , 4x4 , Landrover  , Discovery 4</t>
        </is>
      </c>
      <c r="G3608" t="inlineStr">
        <is>
          <t>Luke</t>
        </is>
      </c>
      <c r="H3608" t="inlineStr">
        <is>
          <t>4x4</t>
        </is>
      </c>
      <c r="I3608" t="inlineStr">
        <is>
          <t>Daily/ Weekly Vehicle Inspection</t>
        </is>
      </c>
      <c r="J3608" t="inlineStr">
        <is>
          <t>N/A</t>
        </is>
      </c>
      <c r="K3608" t="inlineStr">
        <is>
          <t>8040 S6 Tree specialists Ltd</t>
        </is>
      </c>
      <c r="L3608" t="inlineStr">
        <is>
          <t>16/03/2026 07:53</t>
        </is>
      </c>
      <c r="M3608" t="inlineStr">
        <is>
          <t>None</t>
        </is>
      </c>
      <c r="N3608" t="inlineStr">
        <is>
          <t>&lt;p&gt;&lt;/p&gt;</t>
        </is>
      </c>
      <c r="O3608" t="inlineStr"/>
      <c r="P3608" t="inlineStr">
        <is>
          <t>Cu59myy  , 4x4 , Landrover  , Discovery 4</t>
        </is>
      </c>
      <c r="Q3608" t="inlineStr">
        <is>
          <t>UKPN</t>
        </is>
      </c>
      <c r="R3608" t="b">
        <v>0</v>
      </c>
    </row>
    <row r="3609">
      <c r="A3609" t="inlineStr">
        <is>
          <t>16 Mar 2026 / 7951 Austin Tree Care LTD</t>
        </is>
      </c>
      <c r="B3609" t="inlineStr">
        <is>
          <t>Utilities</t>
        </is>
      </c>
      <c r="C3609" t="inlineStr">
        <is>
          <t>UKPN</t>
        </is>
      </c>
      <c r="D3609" t="inlineStr">
        <is>
          <t>SA9ST6P0001283612 , Towed Chipper , Forst , ST6p</t>
        </is>
      </c>
      <c r="E3609" t="inlineStr">
        <is>
          <t>SA9ST6P0001283612 , Towed Chipper , Forst , ST6p</t>
        </is>
      </c>
      <c r="F3609" t="inlineStr">
        <is>
          <t>SA9ST6P0001283612 , Towed Chipper , Forst , ST6p</t>
        </is>
      </c>
      <c r="G3609" t="inlineStr">
        <is>
          <t xml:space="preserve">Jack Austin </t>
        </is>
      </c>
      <c r="H3609" t="inlineStr">
        <is>
          <t>Towed Chipper</t>
        </is>
      </c>
      <c r="I3609" t="inlineStr">
        <is>
          <t>Daily/ Weekly Vehicle Inspection</t>
        </is>
      </c>
      <c r="J3609" t="inlineStr">
        <is>
          <t>N/A</t>
        </is>
      </c>
      <c r="K3609" t="inlineStr">
        <is>
          <t>7951 Austin Tree Care LTD</t>
        </is>
      </c>
      <c r="L3609" t="inlineStr">
        <is>
          <t>16/03/2026 07:55</t>
        </is>
      </c>
      <c r="M3609" t="inlineStr">
        <is>
          <t>None</t>
        </is>
      </c>
      <c r="N3609" t="inlineStr">
        <is>
          <t>&lt;p&gt;&lt;/p&gt;</t>
        </is>
      </c>
      <c r="O3609" t="inlineStr"/>
      <c r="P3609" t="inlineStr">
        <is>
          <t>SA9ST6P0001283612 , Towed Chipper , Forst , ST6p</t>
        </is>
      </c>
      <c r="Q3609" t="inlineStr">
        <is>
          <t>UKPN</t>
        </is>
      </c>
      <c r="R3609" t="b">
        <v>0</v>
      </c>
    </row>
    <row r="3610">
      <c r="A3610" t="inlineStr">
        <is>
          <t>16 Mar 2026 / 7951 Austin Tree Care LTD</t>
        </is>
      </c>
      <c r="B3610" t="inlineStr">
        <is>
          <t>Utilities</t>
        </is>
      </c>
      <c r="C3610" t="inlineStr">
        <is>
          <t>UKPN</t>
        </is>
      </c>
      <c r="D3610" t="inlineStr">
        <is>
          <t>WG64HTT , 4x4 , Land Rover , Defender 110</t>
        </is>
      </c>
      <c r="E3610" t="inlineStr">
        <is>
          <t>WG64HTT , 4x4 , Land Rover , Defender 110</t>
        </is>
      </c>
      <c r="F3610" t="inlineStr">
        <is>
          <t>WG64HTT , 4x4 , Land Rover , Defender 110</t>
        </is>
      </c>
      <c r="G3610" t="inlineStr">
        <is>
          <t xml:space="preserve">Jack Austin </t>
        </is>
      </c>
      <c r="H3610" t="inlineStr">
        <is>
          <t>4x4</t>
        </is>
      </c>
      <c r="I3610" t="inlineStr">
        <is>
          <t>Daily/ Weekly Vehicle Inspection</t>
        </is>
      </c>
      <c r="J3610" t="inlineStr">
        <is>
          <t>N/A</t>
        </is>
      </c>
      <c r="K3610" t="inlineStr">
        <is>
          <t>7951 Austin Tree Care LTD</t>
        </is>
      </c>
      <c r="L3610" t="inlineStr">
        <is>
          <t>16/03/2026 07:55</t>
        </is>
      </c>
      <c r="M3610" t="inlineStr">
        <is>
          <t>None</t>
        </is>
      </c>
      <c r="N3610" t="inlineStr">
        <is>
          <t>&lt;p&gt;&lt;/p&gt;</t>
        </is>
      </c>
      <c r="O3610" t="inlineStr"/>
      <c r="P3610" t="inlineStr">
        <is>
          <t>WG64HTT , 4x4 , Land Rover , Defender 110</t>
        </is>
      </c>
      <c r="Q3610" t="inlineStr">
        <is>
          <t>UKPN</t>
        </is>
      </c>
      <c r="R3610" t="b">
        <v>0</v>
      </c>
    </row>
    <row r="3611">
      <c r="A3611" t="inlineStr">
        <is>
          <t>16 Mar 2026 / 7951 Austin Tree Care LTD 1</t>
        </is>
      </c>
      <c r="B3611" t="inlineStr">
        <is>
          <t>Utilities</t>
        </is>
      </c>
      <c r="C3611" t="inlineStr">
        <is>
          <t>UKPN</t>
        </is>
      </c>
      <c r="D3611" t="inlineStr">
        <is>
          <t>Kn58xuy , Tipper , VW  , Crafter</t>
        </is>
      </c>
      <c r="E3611" t="inlineStr">
        <is>
          <t>Kn58xuy , Tipper , VW  , Crafter</t>
        </is>
      </c>
      <c r="F3611" t="inlineStr">
        <is>
          <t>Kn58xuy , Tipper , VW  , Crafter</t>
        </is>
      </c>
      <c r="G3611" t="inlineStr">
        <is>
          <t xml:space="preserve">James Tasker </t>
        </is>
      </c>
      <c r="H3611" t="inlineStr">
        <is>
          <t>Tipper</t>
        </is>
      </c>
      <c r="I3611" t="inlineStr">
        <is>
          <t>Daily/ Weekly Vehicle Inspection</t>
        </is>
      </c>
      <c r="J3611" t="inlineStr">
        <is>
          <t>N/A</t>
        </is>
      </c>
      <c r="K3611" t="inlineStr">
        <is>
          <t>7951 Austin Tree Care LTD 1</t>
        </is>
      </c>
      <c r="L3611" t="inlineStr">
        <is>
          <t>16/03/2026 07:56</t>
        </is>
      </c>
      <c r="M3611" t="inlineStr">
        <is>
          <t>None</t>
        </is>
      </c>
      <c r="N3611" t="inlineStr">
        <is>
          <t>&lt;p&gt;&lt;/p&gt;</t>
        </is>
      </c>
      <c r="O3611" t="inlineStr"/>
      <c r="P3611" t="inlineStr">
        <is>
          <t>Kn58xuy , Tipper , VW  , Crafter</t>
        </is>
      </c>
      <c r="Q3611" t="inlineStr">
        <is>
          <t>UKPN</t>
        </is>
      </c>
      <c r="R3611" t="b">
        <v>0</v>
      </c>
    </row>
    <row r="3612">
      <c r="A3612" t="inlineStr">
        <is>
          <t>16 Mar 2026 / 7800 MAC Tree Surgery and Fencing Ltd / Utilities / UKPN</t>
        </is>
      </c>
      <c r="B3612" t="inlineStr">
        <is>
          <t>Utilities</t>
        </is>
      </c>
      <c r="C3612" t="inlineStr">
        <is>
          <t>UKPN</t>
        </is>
      </c>
      <c r="D3612" t="inlineStr">
        <is>
          <t>Plant Trailer - Towmate - 2.8t - 0</t>
        </is>
      </c>
      <c r="E3612" t="inlineStr">
        <is>
          <t>Plant Trailer - Towmate - 2.8t - 0</t>
        </is>
      </c>
      <c r="F3612" t="inlineStr">
        <is>
          <t>Plant Trailer - Towmate - 2.8t - 0</t>
        </is>
      </c>
      <c r="G3612" t="inlineStr">
        <is>
          <t>Lewis mac</t>
        </is>
      </c>
      <c r="H3612" t="inlineStr">
        <is>
          <t>Plant Trailer</t>
        </is>
      </c>
      <c r="I3612" t="inlineStr">
        <is>
          <t>Daily/ Weekly Vehicle Inspection</t>
        </is>
      </c>
      <c r="J3612" t="inlineStr">
        <is>
          <t>N/A</t>
        </is>
      </c>
      <c r="K3612" t="inlineStr">
        <is>
          <t>7800 MAC Tree Surgery and Fencing Ltd</t>
        </is>
      </c>
      <c r="L3612" t="inlineStr">
        <is>
          <t>16/03/2026 07:57</t>
        </is>
      </c>
      <c r="M3612" t="inlineStr">
        <is>
          <t>None</t>
        </is>
      </c>
      <c r="N3612" t="inlineStr">
        <is>
          <t>&lt;p&gt;&lt;/p&gt;</t>
        </is>
      </c>
      <c r="O3612" t="inlineStr"/>
      <c r="P3612" t="inlineStr">
        <is>
          <t>Plant Trailer - Towmate - 2.8t - 0</t>
        </is>
      </c>
      <c r="Q3612" t="inlineStr">
        <is>
          <t>UKPN</t>
        </is>
      </c>
      <c r="R3612" t="b">
        <v>0</v>
      </c>
    </row>
    <row r="3613">
      <c r="A3613" t="inlineStr">
        <is>
          <t>16 Mar 2026 / 7800 MAC Tree Surgery and Fencing Ltd / Utilities / UKPN</t>
        </is>
      </c>
      <c r="B3613" t="inlineStr">
        <is>
          <t>Utilities</t>
        </is>
      </c>
      <c r="C3613" t="inlineStr">
        <is>
          <t>UKPN</t>
        </is>
      </c>
      <c r="D3613" t="inlineStr">
        <is>
          <t>AY68DAA , 4x4 , Izuzu , Dmax</t>
        </is>
      </c>
      <c r="E3613" t="inlineStr">
        <is>
          <t>AY68DAA , 4x4 , Izuzu , Dmax</t>
        </is>
      </c>
      <c r="F3613" t="inlineStr">
        <is>
          <t>AY68DAA , 4x4 , Izuzu , Dmax</t>
        </is>
      </c>
      <c r="G3613" t="inlineStr">
        <is>
          <t xml:space="preserve">Patrick O'Shea </t>
        </is>
      </c>
      <c r="H3613" t="inlineStr">
        <is>
          <t>4x4</t>
        </is>
      </c>
      <c r="I3613" t="inlineStr">
        <is>
          <t>Daily/ Weekly Vehicle Inspection</t>
        </is>
      </c>
      <c r="J3613" t="inlineStr">
        <is>
          <t>N/A</t>
        </is>
      </c>
      <c r="K3613" t="inlineStr">
        <is>
          <t>7800 MAC Tree Surgery and Fencing Ltd</t>
        </is>
      </c>
      <c r="L3613" t="inlineStr">
        <is>
          <t>16/03/2026 07:58</t>
        </is>
      </c>
      <c r="M3613" t="inlineStr">
        <is>
          <t>None</t>
        </is>
      </c>
      <c r="N3613" t="inlineStr">
        <is>
          <t>&lt;p&gt;&lt;/p&gt;</t>
        </is>
      </c>
      <c r="O3613" t="inlineStr"/>
      <c r="P3613" t="inlineStr">
        <is>
          <t>AY68DAA , 4x4 , Izuzu , Dmax</t>
        </is>
      </c>
      <c r="Q3613" t="inlineStr">
        <is>
          <t>UKPN</t>
        </is>
      </c>
      <c r="R3613" t="b">
        <v>0</v>
      </c>
    </row>
    <row r="3614">
      <c r="A3614" t="inlineStr">
        <is>
          <t>16 Mar 2026 / 7995 Green Net Eco Ltd 2</t>
        </is>
      </c>
      <c r="B3614" t="inlineStr">
        <is>
          <t>Utilities</t>
        </is>
      </c>
      <c r="C3614" t="inlineStr">
        <is>
          <t>UKPN</t>
        </is>
      </c>
      <c r="D3614" t="inlineStr">
        <is>
          <t>SA9ST800000283944 , Towed Chipper , Forst , ST8D - Towed</t>
        </is>
      </c>
      <c r="E3614" t="inlineStr">
        <is>
          <t>SA9ST800000283944 , Towed Chipper , Forst , ST8D - Towed</t>
        </is>
      </c>
      <c r="F3614" t="inlineStr">
        <is>
          <t>SA9ST800000283944 , Towed Chipper , Forst , ST8D - Towed</t>
        </is>
      </c>
      <c r="G3614" t="inlineStr">
        <is>
          <t xml:space="preserve">Jacob Oram </t>
        </is>
      </c>
      <c r="H3614" t="inlineStr">
        <is>
          <t>Towed Chipper</t>
        </is>
      </c>
      <c r="I3614" t="inlineStr">
        <is>
          <t>Daily/ Weekly Vehicle Inspection</t>
        </is>
      </c>
      <c r="J3614" t="inlineStr">
        <is>
          <t>N/A</t>
        </is>
      </c>
      <c r="K3614" t="inlineStr">
        <is>
          <t>7995 Green Net Eco Ltd 2</t>
        </is>
      </c>
      <c r="L3614" t="inlineStr">
        <is>
          <t>16/03/2026 07:58</t>
        </is>
      </c>
      <c r="M3614" t="inlineStr">
        <is>
          <t>None</t>
        </is>
      </c>
      <c r="N3614" t="inlineStr">
        <is>
          <t>&lt;p&gt;&lt;/p&gt;</t>
        </is>
      </c>
      <c r="O3614" t="inlineStr"/>
      <c r="P3614" t="inlineStr">
        <is>
          <t>SA9ST800000283944 , Towed Chipper , Forst , ST8D - Towed</t>
        </is>
      </c>
      <c r="Q3614" t="inlineStr">
        <is>
          <t>UKPN</t>
        </is>
      </c>
      <c r="R3614" t="b">
        <v>0</v>
      </c>
    </row>
    <row r="3615">
      <c r="A3615" t="inlineStr">
        <is>
          <t>16 Mar 2026 / 7995 Green Net Eco Ltd 2</t>
        </is>
      </c>
      <c r="B3615" t="inlineStr">
        <is>
          <t>Utilities</t>
        </is>
      </c>
      <c r="C3615" t="inlineStr">
        <is>
          <t>UKPN</t>
        </is>
      </c>
      <c r="D3615" t="inlineStr">
        <is>
          <t>LK15KRZ , 4x4 , Landrover , Defender</t>
        </is>
      </c>
      <c r="E3615" t="inlineStr">
        <is>
          <t>LK15KRZ , 4x4 , Landrover , Defender</t>
        </is>
      </c>
      <c r="F3615" t="inlineStr">
        <is>
          <t>LK15KRZ , 4x4 , Landrover , Defender</t>
        </is>
      </c>
      <c r="G3615" t="inlineStr">
        <is>
          <t>Jacob Oram</t>
        </is>
      </c>
      <c r="H3615" t="inlineStr">
        <is>
          <t>4x4</t>
        </is>
      </c>
      <c r="I3615" t="inlineStr">
        <is>
          <t>Daily/ Weekly Vehicle Inspection</t>
        </is>
      </c>
      <c r="J3615" t="inlineStr">
        <is>
          <t>N/A</t>
        </is>
      </c>
      <c r="K3615" t="inlineStr">
        <is>
          <t>7995 Green Net Eco Ltd 2</t>
        </is>
      </c>
      <c r="L3615" t="inlineStr">
        <is>
          <t>16/03/2026 08:00</t>
        </is>
      </c>
      <c r="M3615" t="inlineStr">
        <is>
          <t>None</t>
        </is>
      </c>
      <c r="N3615" t="inlineStr">
        <is>
          <t>&lt;p&gt;&lt;/p&gt;</t>
        </is>
      </c>
      <c r="O3615" t="inlineStr"/>
      <c r="P3615" t="inlineStr">
        <is>
          <t>LK15KRZ , 4x4 , Landrover , Defender</t>
        </is>
      </c>
      <c r="Q3615" t="inlineStr">
        <is>
          <t>UKPN</t>
        </is>
      </c>
      <c r="R3615" t="b">
        <v>0</v>
      </c>
    </row>
    <row r="3616">
      <c r="A3616" t="inlineStr">
        <is>
          <t>16 Mar 2026 / 7186 Eastwoodbury Tree Services Ltd</t>
        </is>
      </c>
      <c r="B3616" t="inlineStr">
        <is>
          <t>Utilities</t>
        </is>
      </c>
      <c r="C3616" t="inlineStr">
        <is>
          <t>UKPN</t>
        </is>
      </c>
      <c r="D3616" t="inlineStr">
        <is>
          <t>WF13 EKT , 4x4 , Land rover  , Defender</t>
        </is>
      </c>
      <c r="E3616" t="inlineStr">
        <is>
          <t>WF13 EKT , 4x4 , Land rover  , Defender</t>
        </is>
      </c>
      <c r="F3616" t="inlineStr">
        <is>
          <t>WF13 EKT , 4x4 , Land rover  , Defender</t>
        </is>
      </c>
      <c r="G3616" t="inlineStr">
        <is>
          <t xml:space="preserve">Dan Gilbert </t>
        </is>
      </c>
      <c r="H3616" t="inlineStr">
        <is>
          <t>4x4</t>
        </is>
      </c>
      <c r="I3616" t="inlineStr">
        <is>
          <t>Daily/ Weekly Vehicle Inspection</t>
        </is>
      </c>
      <c r="J3616" t="inlineStr">
        <is>
          <t>N/A</t>
        </is>
      </c>
      <c r="K3616" t="inlineStr">
        <is>
          <t>7186 Eastwoodbury Tree Services Ltd</t>
        </is>
      </c>
      <c r="L3616" t="inlineStr">
        <is>
          <t>16/03/2026 08:01</t>
        </is>
      </c>
      <c r="M3616" t="inlineStr">
        <is>
          <t>None</t>
        </is>
      </c>
      <c r="N3616" t="inlineStr">
        <is>
          <t>&lt;p&gt;&lt;/p&gt;</t>
        </is>
      </c>
      <c r="O3616" t="inlineStr"/>
      <c r="P3616" t="inlineStr">
        <is>
          <t>WF13 EKT , 4x4 , Land rover  , Defender</t>
        </is>
      </c>
      <c r="Q3616" t="inlineStr">
        <is>
          <t>UKPN</t>
        </is>
      </c>
      <c r="R3616" t="b">
        <v>0</v>
      </c>
    </row>
    <row r="3617">
      <c r="A3617" t="inlineStr">
        <is>
          <t>16 Mar 2026 / 7186 Eastwoodbury Tree Services Ltd</t>
        </is>
      </c>
      <c r="B3617" t="inlineStr">
        <is>
          <t>Utilities</t>
        </is>
      </c>
      <c r="C3617" t="inlineStr">
        <is>
          <t>UKPN</t>
        </is>
      </c>
      <c r="D3617" t="inlineStr">
        <is>
          <t>FX14 XCV , 4x4 , Land Rover  , Defender</t>
        </is>
      </c>
      <c r="E3617" t="inlineStr">
        <is>
          <t>FX14 XCV , 4x4 , Land Rover  , Defender</t>
        </is>
      </c>
      <c r="F3617" t="inlineStr">
        <is>
          <t>FX14 XCV , 4x4 , Land Rover  , Defender</t>
        </is>
      </c>
      <c r="G3617" t="inlineStr">
        <is>
          <t xml:space="preserve">Tom price </t>
        </is>
      </c>
      <c r="H3617" t="inlineStr">
        <is>
          <t>4x4</t>
        </is>
      </c>
      <c r="I3617" t="inlineStr">
        <is>
          <t>Daily/ Weekly Vehicle Inspection</t>
        </is>
      </c>
      <c r="J3617" t="inlineStr">
        <is>
          <t>N/A</t>
        </is>
      </c>
      <c r="K3617" t="inlineStr">
        <is>
          <t>7186 Eastwoodbury Tree Services Ltd</t>
        </is>
      </c>
      <c r="L3617" t="inlineStr">
        <is>
          <t>16/03/2026 08:02</t>
        </is>
      </c>
      <c r="M3617" t="inlineStr">
        <is>
          <t>None</t>
        </is>
      </c>
      <c r="N3617" t="inlineStr">
        <is>
          <t>&lt;p&gt;&lt;/p&gt;</t>
        </is>
      </c>
      <c r="O3617" t="inlineStr"/>
      <c r="P3617" t="inlineStr">
        <is>
          <t>FX14 XCV , 4x4 , Land Rover  , Defender</t>
        </is>
      </c>
      <c r="Q3617" t="inlineStr">
        <is>
          <t>UKPN</t>
        </is>
      </c>
      <c r="R3617" t="b">
        <v>0</v>
      </c>
    </row>
    <row r="3618">
      <c r="A3618" t="inlineStr">
        <is>
          <t>16 Mar 2026 / 6617 Ashdown Tree Limited 1</t>
        </is>
      </c>
      <c r="B3618" t="inlineStr">
        <is>
          <t>Utilities</t>
        </is>
      </c>
      <c r="C3618" t="inlineStr">
        <is>
          <t>UKPN</t>
        </is>
      </c>
      <c r="D3618" t="inlineStr">
        <is>
          <t>WG63OJS , 4x4 , Land rover  , defender</t>
        </is>
      </c>
      <c r="E3618" t="inlineStr">
        <is>
          <t>WG63OJS , 4x4 , Land rover  , defender</t>
        </is>
      </c>
      <c r="F3618" t="inlineStr">
        <is>
          <t>WG63OJS , 4x4 , Land rover  , defender</t>
        </is>
      </c>
      <c r="G3618" t="inlineStr">
        <is>
          <t>Dan</t>
        </is>
      </c>
      <c r="H3618" t="inlineStr">
        <is>
          <t>4x4</t>
        </is>
      </c>
      <c r="I3618" t="inlineStr">
        <is>
          <t>Daily/ Weekly Vehicle Inspection</t>
        </is>
      </c>
      <c r="J3618" t="inlineStr">
        <is>
          <t>N/A</t>
        </is>
      </c>
      <c r="K3618" t="inlineStr">
        <is>
          <t>6617 Ashdown Tree Limited - Team 2</t>
        </is>
      </c>
      <c r="L3618" t="inlineStr">
        <is>
          <t>16/03/2026 08:04</t>
        </is>
      </c>
      <c r="M3618" t="inlineStr">
        <is>
          <t>None</t>
        </is>
      </c>
      <c r="N3618" t="inlineStr">
        <is>
          <t>&lt;p&gt;&lt;/p&gt;</t>
        </is>
      </c>
      <c r="O3618" t="inlineStr"/>
      <c r="P3618" t="inlineStr">
        <is>
          <t>WG63OJS , 4x4 , Land rover  , defender</t>
        </is>
      </c>
      <c r="Q3618" t="inlineStr">
        <is>
          <t>UKPN</t>
        </is>
      </c>
      <c r="R3618" t="b">
        <v>0</v>
      </c>
    </row>
    <row r="3619">
      <c r="A3619" t="inlineStr">
        <is>
          <t>16 Mar 2026 / Keil Cheung</t>
        </is>
      </c>
      <c r="B3619" t="inlineStr">
        <is>
          <t>Utilities</t>
        </is>
      </c>
      <c r="C3619" t="inlineStr">
        <is>
          <t>NGED</t>
        </is>
      </c>
      <c r="D3619" t="inlineStr">
        <is>
          <t>GJ71KHV , Car - Electric , Tesla , Model 3 Long Range AWD</t>
        </is>
      </c>
      <c r="E3619" t="inlineStr">
        <is>
          <t>GJ71KHV , Car - Electric , Tesla , Model 3 Long Range AWD</t>
        </is>
      </c>
      <c r="F3619" t="inlineStr">
        <is>
          <t>GJ71KHV , Car - Electric , Tesla , Model 3 Long Range AWD</t>
        </is>
      </c>
      <c r="G3619" t="inlineStr">
        <is>
          <t>Keil cheung</t>
        </is>
      </c>
      <c r="H3619" t="inlineStr">
        <is>
          <t>Car - Electric (GC Owned)</t>
        </is>
      </c>
      <c r="I3619" t="inlineStr">
        <is>
          <t>Daily/ Weekly Vehicle Inspection</t>
        </is>
      </c>
      <c r="J3619" t="inlineStr">
        <is>
          <t>N/A</t>
        </is>
      </c>
      <c r="K3619" t="inlineStr">
        <is>
          <t>Keil Cheung</t>
        </is>
      </c>
      <c r="L3619" t="inlineStr">
        <is>
          <t>16/03/2026 08:51</t>
        </is>
      </c>
      <c r="M3619" t="inlineStr">
        <is>
          <t>None</t>
        </is>
      </c>
      <c r="N3619" t="inlineStr">
        <is>
          <t>&lt;p&gt;&lt;/p&gt;</t>
        </is>
      </c>
      <c r="O3619" t="inlineStr"/>
      <c r="P3619" t="inlineStr">
        <is>
          <t>GJ71KHV , Car - Electric , Tesla , Model 3 Long Range AWD</t>
        </is>
      </c>
      <c r="Q3619" t="inlineStr">
        <is>
          <t>NGED</t>
        </is>
      </c>
      <c r="R3619" t="b">
        <v>0</v>
      </c>
    </row>
    <row r="3620">
      <c r="A3620" t="inlineStr">
        <is>
          <t>16 Mar 2026 / Mathew Dunn</t>
        </is>
      </c>
      <c r="B3620" t="inlineStr">
        <is>
          <t>Utilities</t>
        </is>
      </c>
      <c r="C3620" t="inlineStr">
        <is>
          <t>SSE</t>
        </is>
      </c>
      <c r="D3620" t="inlineStr">
        <is>
          <t>GN70XAU , Car - Electric , Tesla , Model 3 Long Range AWD</t>
        </is>
      </c>
      <c r="E3620" t="inlineStr">
        <is>
          <t>GN70XAU , Car - Electric , Tesla , Model 3 Long Range AWD</t>
        </is>
      </c>
      <c r="F3620" t="inlineStr">
        <is>
          <t>GN70XAU , Car - Electric , Tesla , Model 3 Long Range AWD</t>
        </is>
      </c>
      <c r="G3620" t="inlineStr">
        <is>
          <t xml:space="preserve">Mathew dunn </t>
        </is>
      </c>
      <c r="H3620" t="inlineStr">
        <is>
          <t>Car - Electric (GC Owned)</t>
        </is>
      </c>
      <c r="I3620" t="inlineStr">
        <is>
          <t>Daily/ Weekly Vehicle Inspection</t>
        </is>
      </c>
      <c r="J3620" t="inlineStr">
        <is>
          <t>N/A</t>
        </is>
      </c>
      <c r="K3620" t="inlineStr">
        <is>
          <t>Mathew Dunn</t>
        </is>
      </c>
      <c r="L3620" t="inlineStr">
        <is>
          <t>16/03/2026 08:53</t>
        </is>
      </c>
      <c r="M3620" t="inlineStr">
        <is>
          <t>None</t>
        </is>
      </c>
      <c r="N3620" t="inlineStr">
        <is>
          <t>&lt;p&gt;&lt;/p&gt;</t>
        </is>
      </c>
      <c r="O3620" t="inlineStr"/>
      <c r="P3620" t="inlineStr">
        <is>
          <t>GN70XAU , Car - Electric , Tesla , Model 3 Long Range AWD</t>
        </is>
      </c>
      <c r="Q3620" t="inlineStr">
        <is>
          <t>SSE</t>
        </is>
      </c>
      <c r="R3620" t="b">
        <v>0</v>
      </c>
    </row>
    <row r="3621">
      <c r="A3621" t="inlineStr">
        <is>
          <t>16 Mar 2026 / 7889 Tree Tech Suffolk Ltd</t>
        </is>
      </c>
      <c r="B3621" t="inlineStr">
        <is>
          <t>Utilities &amp; Inland Waterways</t>
        </is>
      </c>
      <c r="C3621" t="inlineStr">
        <is>
          <t>UKPN</t>
        </is>
      </c>
      <c r="D3621" t="inlineStr">
        <is>
          <t>Tipper - Nissan - Navara - NS02TTS</t>
        </is>
      </c>
      <c r="E3621" t="inlineStr">
        <is>
          <t>Tipper - Nissan - Navara - NS02TTS</t>
        </is>
      </c>
      <c r="F3621" t="inlineStr">
        <is>
          <t>Tipper - Nissan - Navara - NS02TTS</t>
        </is>
      </c>
      <c r="G3621" t="inlineStr">
        <is>
          <t>Danny Appleby</t>
        </is>
      </c>
      <c r="H3621" t="inlineStr">
        <is>
          <t>Tipper</t>
        </is>
      </c>
      <c r="I3621" t="inlineStr">
        <is>
          <t>Daily/ Weekly Vehicle Inspection</t>
        </is>
      </c>
      <c r="J3621" t="inlineStr">
        <is>
          <t>N/A</t>
        </is>
      </c>
      <c r="K3621" t="inlineStr">
        <is>
          <t>7889 Tree Tech Suffolk Ltd</t>
        </is>
      </c>
      <c r="L3621" t="inlineStr">
        <is>
          <t>16/03/2026 09:46</t>
        </is>
      </c>
      <c r="M3621" t="inlineStr">
        <is>
          <t>None</t>
        </is>
      </c>
      <c r="N3621" t="inlineStr">
        <is>
          <t>&lt;p&gt;&lt;/p&gt;</t>
        </is>
      </c>
      <c r="O3621" t="inlineStr"/>
      <c r="P3621" t="inlineStr">
        <is>
          <t>Tipper - Nissan - Navara - NS02TTS</t>
        </is>
      </c>
      <c r="Q3621" t="inlineStr">
        <is>
          <t>UKPN</t>
        </is>
      </c>
      <c r="R3621" t="b">
        <v>0</v>
      </c>
    </row>
    <row r="3622">
      <c r="A3622" t="inlineStr">
        <is>
          <t>16 Mar 2026 / Oliver Coyle</t>
        </is>
      </c>
      <c r="B3622" t="inlineStr">
        <is>
          <t>Utilities</t>
        </is>
      </c>
      <c r="C3622" t="inlineStr">
        <is>
          <t>NGED</t>
        </is>
      </c>
      <c r="D3622" t="inlineStr">
        <is>
          <t>GL20TSX , Car - Electric , Tesla , Model 3 Long Range AWD</t>
        </is>
      </c>
      <c r="E3622" t="inlineStr">
        <is>
          <t>GL20TSX , Car - Electric , Tesla , Model 3 Long Range AWD</t>
        </is>
      </c>
      <c r="F3622" t="inlineStr">
        <is>
          <t>GL20TSX , Car - Electric , Tesla , Model 3 Long Range AWD</t>
        </is>
      </c>
      <c r="G3622" t="inlineStr">
        <is>
          <t>Oliver Coyle</t>
        </is>
      </c>
      <c r="H3622" t="inlineStr">
        <is>
          <t>Car - Electric (GC Owned)</t>
        </is>
      </c>
      <c r="I3622" t="inlineStr">
        <is>
          <t>Daily/ Weekly Vehicle Inspection</t>
        </is>
      </c>
      <c r="J3622" t="inlineStr">
        <is>
          <t>N/A</t>
        </is>
      </c>
      <c r="K3622" t="inlineStr">
        <is>
          <t>Oliver Coyle</t>
        </is>
      </c>
      <c r="L3622" t="inlineStr">
        <is>
          <t>16/03/2026 09:46</t>
        </is>
      </c>
      <c r="M3622" t="inlineStr">
        <is>
          <t>None</t>
        </is>
      </c>
      <c r="N3622" t="inlineStr">
        <is>
          <t>&lt;p&gt;&lt;/p&gt;</t>
        </is>
      </c>
      <c r="O3622" t="inlineStr"/>
      <c r="P3622" t="inlineStr">
        <is>
          <t>GL20TSX , Car - Electric , Tesla , Model 3 Long Range AWD</t>
        </is>
      </c>
      <c r="Q3622" t="inlineStr">
        <is>
          <t>NGED</t>
        </is>
      </c>
      <c r="R3622" t="b">
        <v>0</v>
      </c>
    </row>
    <row r="3623">
      <c r="A3623" t="inlineStr">
        <is>
          <t>16 Mar 2026 / Christopher Simeoli</t>
        </is>
      </c>
      <c r="B3623" t="inlineStr">
        <is>
          <t>Utilities</t>
        </is>
      </c>
      <c r="C3623" t="inlineStr">
        <is>
          <t>NGED</t>
        </is>
      </c>
      <c r="D3623" t="inlineStr">
        <is>
          <t>EO73KVB , Car - Electric , Kia , Niro</t>
        </is>
      </c>
      <c r="E3623" t="inlineStr">
        <is>
          <t>EO73KVB , Car - Electric , Kia , Niro</t>
        </is>
      </c>
      <c r="F3623" t="inlineStr">
        <is>
          <t>EO73KVB , Car - Electric , Kia , Niro</t>
        </is>
      </c>
      <c r="G3623" t="inlineStr">
        <is>
          <t>Chris Simeoli</t>
        </is>
      </c>
      <c r="H3623" t="inlineStr">
        <is>
          <t>Car - Electric (GC Owned)</t>
        </is>
      </c>
      <c r="I3623" t="inlineStr">
        <is>
          <t>Daily/ Weekly Vehicle Inspection</t>
        </is>
      </c>
      <c r="J3623" t="inlineStr">
        <is>
          <t>N/A</t>
        </is>
      </c>
      <c r="K3623" t="inlineStr">
        <is>
          <t>Christopher Simeoli</t>
        </is>
      </c>
      <c r="L3623" t="inlineStr">
        <is>
          <t>16/03/2026 10:45</t>
        </is>
      </c>
      <c r="M3623" t="inlineStr">
        <is>
          <t xml:space="preserve">Confirm that you have checked this vehicle as per the guidance document and the vehicle is safe and roadworthy: Fail
</t>
        </is>
      </c>
      <c r="N3623" t="inlineStr">
        <is>
          <t>&lt;p&gt;&lt;/p&gt;</t>
        </is>
      </c>
      <c r="O3623" t="inlineStr"/>
      <c r="P3623" t="inlineStr">
        <is>
          <t>EO73KVB , Car - Electric , Kia , Niro</t>
        </is>
      </c>
      <c r="Q3623" t="inlineStr">
        <is>
          <t>NGED</t>
        </is>
      </c>
      <c r="R3623" t="b">
        <v>0</v>
      </c>
    </row>
    <row r="3624">
      <c r="A3624" t="inlineStr">
        <is>
          <t>16 Mar 2026 / Joe Sauvage</t>
        </is>
      </c>
      <c r="B3624" t="inlineStr">
        <is>
          <t>Utilities</t>
        </is>
      </c>
      <c r="C3624" t="inlineStr">
        <is>
          <t>SSE</t>
        </is>
      </c>
      <c r="D3624" t="inlineStr">
        <is>
          <t>AK70TBV , Car - Electric , Tesla , Model 3 Long Range AWD</t>
        </is>
      </c>
      <c r="E3624" t="inlineStr">
        <is>
          <t>AK70TBV , Car - Electric , Tesla , Model 3 Long Range AWD</t>
        </is>
      </c>
      <c r="F3624" t="inlineStr">
        <is>
          <t>AK70TBV , Car - Electric , Tesla , Model 3 Long Range AWD</t>
        </is>
      </c>
      <c r="G3624" t="inlineStr">
        <is>
          <t xml:space="preserve">Joe Sauvage </t>
        </is>
      </c>
      <c r="H3624" t="inlineStr">
        <is>
          <t>Car - Electric (GC Owned)</t>
        </is>
      </c>
      <c r="I3624" t="inlineStr">
        <is>
          <t>Daily/ Weekly Vehicle Inspection</t>
        </is>
      </c>
      <c r="J3624" t="inlineStr">
        <is>
          <t>N/A</t>
        </is>
      </c>
      <c r="K3624" t="inlineStr">
        <is>
          <t>Joe Sauvage</t>
        </is>
      </c>
      <c r="L3624" t="inlineStr">
        <is>
          <t>16/03/2026 10:50</t>
        </is>
      </c>
      <c r="M3624" t="inlineStr">
        <is>
          <t>None</t>
        </is>
      </c>
      <c r="N3624" t="inlineStr">
        <is>
          <t>&lt;p&gt;&lt;/p&gt;</t>
        </is>
      </c>
      <c r="O3624" t="inlineStr"/>
      <c r="P3624" t="inlineStr">
        <is>
          <t>AK70TBV , Car - Electric , Tesla , Model 3 Long Range AWD</t>
        </is>
      </c>
      <c r="Q3624" t="inlineStr">
        <is>
          <t>SSE</t>
        </is>
      </c>
      <c r="R3624" t="b">
        <v>0</v>
      </c>
    </row>
    <row r="3625">
      <c r="A3625" t="inlineStr">
        <is>
          <t>16 Mar 2026 / Mark Davies</t>
        </is>
      </c>
      <c r="B3625" t="inlineStr">
        <is>
          <t>Utilities</t>
        </is>
      </c>
      <c r="C3625" t="inlineStr">
        <is>
          <t>NGED</t>
        </is>
      </c>
      <c r="D3625" t="inlineStr">
        <is>
          <t>GJ20USE , Car - Electric , Tesla , Model 3 Long Range AWD</t>
        </is>
      </c>
      <c r="E3625" t="inlineStr">
        <is>
          <t>GJ20USE , Car - Electric , Tesla , Model 3 Long Range AWD</t>
        </is>
      </c>
      <c r="F3625" t="inlineStr">
        <is>
          <t>GJ20USE , Car - Electric , Tesla , Model 3 Long Range AWD</t>
        </is>
      </c>
      <c r="G3625" t="inlineStr">
        <is>
          <t xml:space="preserve">Mark Davies </t>
        </is>
      </c>
      <c r="H3625" t="inlineStr">
        <is>
          <t>Car - Electric (GC Owned)</t>
        </is>
      </c>
      <c r="I3625" t="inlineStr">
        <is>
          <t>Daily/ Weekly Vehicle Inspection</t>
        </is>
      </c>
      <c r="J3625" t="inlineStr">
        <is>
          <t>N/A</t>
        </is>
      </c>
      <c r="K3625" t="inlineStr">
        <is>
          <t>Mark Davies</t>
        </is>
      </c>
      <c r="L3625" t="inlineStr">
        <is>
          <t>16/03/2026 13:45</t>
        </is>
      </c>
      <c r="M3625" t="inlineStr">
        <is>
          <t>None</t>
        </is>
      </c>
      <c r="N3625" t="inlineStr">
        <is>
          <t>&lt;p&gt;&lt;/p&gt;</t>
        </is>
      </c>
      <c r="O3625" t="inlineStr">
        <is>
          <t>Confirm that you have checked this vehicle as per the guidance document and the vehicle is safe and roadworthy:Car passed MOT Friday 13 March
-</t>
        </is>
      </c>
      <c r="P3625" t="inlineStr">
        <is>
          <t>GJ20USE , Car - Electric , Tesla , Model 3 Long Range AWD</t>
        </is>
      </c>
      <c r="Q3625" t="inlineStr">
        <is>
          <t>NGED</t>
        </is>
      </c>
      <c r="R3625" t="b">
        <v>0</v>
      </c>
    </row>
    <row r="3626">
      <c r="A3626" t="inlineStr">
        <is>
          <t>16 Mar 2026 / Mark Davies</t>
        </is>
      </c>
      <c r="B3626" t="inlineStr">
        <is>
          <t>Utilities</t>
        </is>
      </c>
      <c r="C3626" t="inlineStr">
        <is>
          <t>NGED</t>
        </is>
      </c>
      <c r="D3626" t="inlineStr">
        <is>
          <t>GJ20USE , Car - Electric , Tesla , Model 3 Long Range AWD</t>
        </is>
      </c>
      <c r="E3626" t="inlineStr">
        <is>
          <t>GJ20USE , Car - Electric , Tesla , Model 3 Long Range AWD</t>
        </is>
      </c>
      <c r="F3626" t="inlineStr">
        <is>
          <t>GJ20USE , Car - Electric , Tesla , Model 3 Long Range AWD</t>
        </is>
      </c>
      <c r="G3626" t="inlineStr">
        <is>
          <t xml:space="preserve">Mark Davies </t>
        </is>
      </c>
      <c r="H3626" t="inlineStr">
        <is>
          <t>Car - Electric (GC Owned)</t>
        </is>
      </c>
      <c r="I3626" t="inlineStr">
        <is>
          <t>Daily/ Weekly Vehicle Inspection</t>
        </is>
      </c>
      <c r="J3626" t="inlineStr">
        <is>
          <t>N/A</t>
        </is>
      </c>
      <c r="K3626" t="inlineStr">
        <is>
          <t>Mark Davies</t>
        </is>
      </c>
      <c r="L3626" t="inlineStr">
        <is>
          <t>16/03/2026 14:47</t>
        </is>
      </c>
      <c r="M3626" t="inlineStr">
        <is>
          <t>None</t>
        </is>
      </c>
      <c r="N3626" t="inlineStr">
        <is>
          <t>&lt;p&gt;&lt;/p&gt;</t>
        </is>
      </c>
      <c r="O3626" t="inlineStr">
        <is>
          <t>Confirm that you have checked this vehicle as per the guidance document and the vehicle is safe and roadworthy:Car passed MOT Friday 13 March
-</t>
        </is>
      </c>
      <c r="P3626" t="inlineStr">
        <is>
          <t>GJ20USE , Car - Electric , Tesla , Model 3 Long Range AWD</t>
        </is>
      </c>
      <c r="Q3626" t="inlineStr">
        <is>
          <t>NGED</t>
        </is>
      </c>
      <c r="R3626" t="b">
        <v>0</v>
      </c>
    </row>
    <row r="3627">
      <c r="A3627" t="inlineStr">
        <is>
          <t>16 Mar 2026 / Benet Jones</t>
        </is>
      </c>
      <c r="B3627" t="inlineStr">
        <is>
          <t>Utilities</t>
        </is>
      </c>
      <c r="C3627" t="inlineStr">
        <is>
          <t>NGED</t>
        </is>
      </c>
      <c r="D3627" t="inlineStr">
        <is>
          <t>GF71TXC , Car - Electric , Tesla , Model 3 Long Range AWD</t>
        </is>
      </c>
      <c r="E3627" t="inlineStr">
        <is>
          <t>GF71TXC , Car - Electric , Tesla , Model 3 Long Range AWD</t>
        </is>
      </c>
      <c r="F3627" t="inlineStr">
        <is>
          <t>GF71TXC , Car - Electric , Tesla , Model 3 Long Range AWD</t>
        </is>
      </c>
      <c r="G3627" t="inlineStr">
        <is>
          <t xml:space="preserve">Benet Jones </t>
        </is>
      </c>
      <c r="H3627" t="inlineStr">
        <is>
          <t>Car - Electric (GC Owned)</t>
        </is>
      </c>
      <c r="I3627" t="inlineStr">
        <is>
          <t>Daily/ Weekly Vehicle Inspection</t>
        </is>
      </c>
      <c r="J3627" t="inlineStr">
        <is>
          <t>N/A</t>
        </is>
      </c>
      <c r="K3627" t="inlineStr">
        <is>
          <t>Benet Jones</t>
        </is>
      </c>
      <c r="L3627" t="inlineStr">
        <is>
          <t>16/03/2026 14:49</t>
        </is>
      </c>
      <c r="M3627" t="inlineStr">
        <is>
          <t>None</t>
        </is>
      </c>
      <c r="N3627" t="inlineStr">
        <is>
          <t>&lt;p&gt;&lt;/p&gt;</t>
        </is>
      </c>
      <c r="O3627" t="inlineStr">
        <is>
          <t>Confirm that you have checked this vehicle as per the guidance document and the vehicle is safe and roadworthy:Car checked and fully serviceable
-</t>
        </is>
      </c>
      <c r="P3627" t="inlineStr">
        <is>
          <t>GF71TXC , Car - Electric , Tesla , Model 3 Long Range AWD</t>
        </is>
      </c>
      <c r="Q3627" t="inlineStr">
        <is>
          <t>NGED</t>
        </is>
      </c>
      <c r="R3627" t="b">
        <v>0</v>
      </c>
    </row>
    <row r="3628">
      <c r="A3628" t="inlineStr">
        <is>
          <t>16 Mar 2026 / Mark Davies</t>
        </is>
      </c>
      <c r="B3628" t="inlineStr">
        <is>
          <t>Utilities</t>
        </is>
      </c>
      <c r="C3628" t="inlineStr">
        <is>
          <t>NGED</t>
        </is>
      </c>
      <c r="D3628" t="inlineStr">
        <is>
          <t>GJ20USE , Car - Electric , Tesla , Model 3 Long Range AWD</t>
        </is>
      </c>
      <c r="E3628" t="inlineStr">
        <is>
          <t>GJ20USE , Car - Electric , Tesla , Model 3 Long Range AWD</t>
        </is>
      </c>
      <c r="F3628" t="inlineStr">
        <is>
          <t>GJ20USE , Car - Electric , Tesla , Model 3 Long Range AWD</t>
        </is>
      </c>
      <c r="G3628" t="inlineStr">
        <is>
          <t xml:space="preserve">Mark Davies </t>
        </is>
      </c>
      <c r="H3628" t="inlineStr">
        <is>
          <t>Car - Electric (GC Owned)</t>
        </is>
      </c>
      <c r="I3628" t="inlineStr">
        <is>
          <t>Daily/ Weekly Vehicle Inspection</t>
        </is>
      </c>
      <c r="J3628" t="inlineStr">
        <is>
          <t>N/A</t>
        </is>
      </c>
      <c r="K3628" t="inlineStr">
        <is>
          <t>Mark Davies</t>
        </is>
      </c>
      <c r="L3628" t="inlineStr">
        <is>
          <t>16/03/2026 15:45</t>
        </is>
      </c>
      <c r="M3628" t="inlineStr">
        <is>
          <t>None</t>
        </is>
      </c>
      <c r="N3628" t="inlineStr">
        <is>
          <t>&lt;p&gt;&lt;/p&gt;</t>
        </is>
      </c>
      <c r="O3628" t="inlineStr">
        <is>
          <t>Confirm that you have checked this vehicle as per the guidance document and the vehicle is safe and roadworthy:Car passed MOT Friday 13 March
-</t>
        </is>
      </c>
      <c r="P3628" t="inlineStr">
        <is>
          <t>GJ20USE , Car - Electric , Tesla , Model 3 Long Range AWD</t>
        </is>
      </c>
      <c r="Q3628" t="inlineStr">
        <is>
          <t>NGED</t>
        </is>
      </c>
      <c r="R3628" t="b">
        <v>0</v>
      </c>
    </row>
    <row r="3629">
      <c r="A3629" t="inlineStr">
        <is>
          <t>16 Mar 2026 / Steve Broad</t>
        </is>
      </c>
      <c r="B3629" t="inlineStr">
        <is>
          <t>Utilities</t>
        </is>
      </c>
      <c r="C3629" t="inlineStr">
        <is>
          <t>NGED</t>
        </is>
      </c>
      <c r="D3629" t="inlineStr"/>
      <c r="E3629" t="inlineStr"/>
      <c r="F3629" t="inlineStr"/>
      <c r="G3629" t="inlineStr">
        <is>
          <t xml:space="preserve">Steve Broad </t>
        </is>
      </c>
      <c r="H3629" t="inlineStr">
        <is>
          <t>Van</t>
        </is>
      </c>
      <c r="I3629" t="inlineStr">
        <is>
          <t>Daily/ Weekly Vehicle Inspection</t>
        </is>
      </c>
      <c r="J3629" t="inlineStr">
        <is>
          <t>N/A</t>
        </is>
      </c>
      <c r="K3629" t="inlineStr">
        <is>
          <t>Steve Broad</t>
        </is>
      </c>
      <c r="L3629" t="inlineStr">
        <is>
          <t>16/03/2026 15:45</t>
        </is>
      </c>
      <c r="M3629" t="inlineStr">
        <is>
          <t>None</t>
        </is>
      </c>
      <c r="N3629" t="inlineStr">
        <is>
          <t>&lt;p&gt;&lt;/p&gt;</t>
        </is>
      </c>
      <c r="O3629" t="inlineStr"/>
      <c r="P3629" t="inlineStr"/>
      <c r="Q3629" t="inlineStr">
        <is>
          <t>NGED</t>
        </is>
      </c>
      <c r="R3629" t="b">
        <v>0</v>
      </c>
    </row>
    <row r="3630">
      <c r="A3630" t="inlineStr">
        <is>
          <t>16 Mar 2026 / Mark Davies</t>
        </is>
      </c>
      <c r="B3630" t="inlineStr">
        <is>
          <t>Utilities</t>
        </is>
      </c>
      <c r="C3630" t="inlineStr">
        <is>
          <t>NGED</t>
        </is>
      </c>
      <c r="D3630" t="inlineStr">
        <is>
          <t>GJ20USE , Car - Electric , Tesla , Model 3 Long Range AWD</t>
        </is>
      </c>
      <c r="E3630" t="inlineStr">
        <is>
          <t>GJ20USE , Car - Electric , Tesla , Model 3 Long Range AWD</t>
        </is>
      </c>
      <c r="F3630" t="inlineStr">
        <is>
          <t>GJ20USE , Car - Electric , Tesla , Model 3 Long Range AWD</t>
        </is>
      </c>
      <c r="G3630" t="inlineStr">
        <is>
          <t xml:space="preserve">Mark Davies </t>
        </is>
      </c>
      <c r="H3630" t="inlineStr">
        <is>
          <t>Car - Electric (GC Owned)</t>
        </is>
      </c>
      <c r="I3630" t="inlineStr">
        <is>
          <t>Daily/ Weekly Vehicle Inspection</t>
        </is>
      </c>
      <c r="J3630" t="inlineStr">
        <is>
          <t>N/A</t>
        </is>
      </c>
      <c r="K3630" t="inlineStr">
        <is>
          <t>Mark Davies</t>
        </is>
      </c>
      <c r="L3630" t="inlineStr">
        <is>
          <t>16/03/2026 16:44</t>
        </is>
      </c>
      <c r="M3630" t="inlineStr">
        <is>
          <t>None</t>
        </is>
      </c>
      <c r="N3630" t="inlineStr">
        <is>
          <t>&lt;p&gt;&lt;/p&gt;</t>
        </is>
      </c>
      <c r="O3630" t="inlineStr">
        <is>
          <t>Confirm that you have checked this vehicle as per the guidance document and the vehicle is safe and roadworthy:Car passed MOT Friday 13 March
-</t>
        </is>
      </c>
      <c r="P3630" t="inlineStr">
        <is>
          <t>GJ20USE , Car - Electric , Tesla , Model 3 Long Range AWD</t>
        </is>
      </c>
      <c r="Q3630" t="inlineStr">
        <is>
          <t>NGED</t>
        </is>
      </c>
      <c r="R3630" t="b">
        <v>0</v>
      </c>
    </row>
    <row r="3631">
      <c r="A3631" t="inlineStr">
        <is>
          <t>17 Mar 2026 / 7800 MAC Tree Surgery and Fencing Ltd / Utilities / UKPN</t>
        </is>
      </c>
      <c r="B3631" t="inlineStr">
        <is>
          <t>Utilities</t>
        </is>
      </c>
      <c r="C3631" t="inlineStr">
        <is>
          <t>UKPN</t>
        </is>
      </c>
      <c r="D3631" t="inlineStr">
        <is>
          <t>AY68DAA , 4x4 , Izuzu , Dmax</t>
        </is>
      </c>
      <c r="E3631" t="inlineStr">
        <is>
          <t>AY68DAA , 4x4 , Izuzu , Dmax</t>
        </is>
      </c>
      <c r="F3631" t="inlineStr">
        <is>
          <t>AY68DAA , 4x4 , Izuzu , Dmax</t>
        </is>
      </c>
      <c r="G3631" t="inlineStr">
        <is>
          <t xml:space="preserve">Patrick O'Shea </t>
        </is>
      </c>
      <c r="H3631" t="inlineStr">
        <is>
          <t>4x4</t>
        </is>
      </c>
      <c r="I3631" t="inlineStr">
        <is>
          <t>Daily/ Weekly Vehicle Inspection</t>
        </is>
      </c>
      <c r="J3631" t="inlineStr">
        <is>
          <t>N/A</t>
        </is>
      </c>
      <c r="K3631" t="inlineStr">
        <is>
          <t>7800 MAC Tree Surgery and Fencing Ltd</t>
        </is>
      </c>
      <c r="L3631" t="inlineStr">
        <is>
          <t>17/03/2026 06:44</t>
        </is>
      </c>
      <c r="M3631" t="inlineStr">
        <is>
          <t>None</t>
        </is>
      </c>
      <c r="N3631" t="inlineStr">
        <is>
          <t>&lt;p&gt;&lt;/p&gt;</t>
        </is>
      </c>
      <c r="O3631" t="inlineStr"/>
      <c r="P3631" t="inlineStr">
        <is>
          <t>AY68DAA , 4x4 , Izuzu , Dmax</t>
        </is>
      </c>
      <c r="Q3631" t="inlineStr">
        <is>
          <t>UKPN</t>
        </is>
      </c>
      <c r="R3631" t="b">
        <v>0</v>
      </c>
    </row>
    <row r="3632">
      <c r="A3632" t="inlineStr">
        <is>
          <t>17 Mar 2026 / 7996 M G Tree Surgery Ltd 1</t>
        </is>
      </c>
      <c r="B3632" t="inlineStr">
        <is>
          <t>Utilities</t>
        </is>
      </c>
      <c r="C3632" t="inlineStr">
        <is>
          <t>UKPN</t>
        </is>
      </c>
      <c r="D3632" t="inlineStr"/>
      <c r="E3632" t="inlineStr"/>
      <c r="F3632" t="inlineStr"/>
      <c r="G3632" t="inlineStr">
        <is>
          <t>Anthony Gale</t>
        </is>
      </c>
      <c r="H3632" t="inlineStr">
        <is>
          <t>Towed Chipper</t>
        </is>
      </c>
      <c r="I3632" t="inlineStr">
        <is>
          <t>Daily/ Weekly Vehicle Inspection</t>
        </is>
      </c>
      <c r="J3632" t="inlineStr">
        <is>
          <t>N/A</t>
        </is>
      </c>
      <c r="K3632" t="inlineStr">
        <is>
          <t>7996 M G Tree Surgery Ltd 1</t>
        </is>
      </c>
      <c r="L3632" t="inlineStr">
        <is>
          <t>17/03/2026 06:46</t>
        </is>
      </c>
      <c r="M3632" t="inlineStr">
        <is>
          <t>None</t>
        </is>
      </c>
      <c r="N3632" t="inlineStr">
        <is>
          <t>&lt;p&gt;&lt;/p&gt;</t>
        </is>
      </c>
      <c r="O3632" t="inlineStr"/>
      <c r="P3632" t="inlineStr"/>
      <c r="Q3632" t="inlineStr">
        <is>
          <t>UKPN</t>
        </is>
      </c>
      <c r="R3632" t="b">
        <v>0</v>
      </c>
    </row>
    <row r="3633">
      <c r="A3633" t="inlineStr">
        <is>
          <t>17 Mar 2026 / 7996 M G Tree Surgery Ltd 1</t>
        </is>
      </c>
      <c r="B3633" t="inlineStr">
        <is>
          <t>Utilities</t>
        </is>
      </c>
      <c r="C3633" t="inlineStr">
        <is>
          <t>UKPN</t>
        </is>
      </c>
      <c r="D3633" t="inlineStr">
        <is>
          <t>KX20 BCE , Tipper , Isuzu , D-Max</t>
        </is>
      </c>
      <c r="E3633" t="inlineStr">
        <is>
          <t>KX20 BCE , Tipper , Isuzu , D-Max</t>
        </is>
      </c>
      <c r="F3633" t="inlineStr">
        <is>
          <t>KX20 BCE , Tipper , Isuzu , D-Max</t>
        </is>
      </c>
      <c r="G3633" t="inlineStr">
        <is>
          <t>Anthony Gale</t>
        </is>
      </c>
      <c r="H3633" t="inlineStr">
        <is>
          <t>Pickup Truck</t>
        </is>
      </c>
      <c r="I3633" t="inlineStr">
        <is>
          <t>Daily/ Weekly Vehicle Inspection</t>
        </is>
      </c>
      <c r="J3633" t="inlineStr">
        <is>
          <t>N/A</t>
        </is>
      </c>
      <c r="K3633" t="inlineStr">
        <is>
          <t>7996 M G Tree Surgery Ltd 1</t>
        </is>
      </c>
      <c r="L3633" t="inlineStr">
        <is>
          <t>17/03/2026 06:47</t>
        </is>
      </c>
      <c r="M3633" t="inlineStr">
        <is>
          <t>None</t>
        </is>
      </c>
      <c r="N3633" t="inlineStr">
        <is>
          <t>&lt;p&gt;&lt;/p&gt;</t>
        </is>
      </c>
      <c r="O3633" t="inlineStr"/>
      <c r="P3633" t="inlineStr">
        <is>
          <t>KX20 BCE , Tipper , Isuzu , D-Max</t>
        </is>
      </c>
      <c r="Q3633" t="inlineStr">
        <is>
          <t>UKPN</t>
        </is>
      </c>
      <c r="R3633" t="b">
        <v>0</v>
      </c>
    </row>
    <row r="3634">
      <c r="A3634" t="inlineStr">
        <is>
          <t>17 Mar 2026 / 8148 Hope Ground and Tree Care</t>
        </is>
      </c>
      <c r="B3634" t="inlineStr">
        <is>
          <t>Utilities</t>
        </is>
      </c>
      <c r="C3634" t="inlineStr">
        <is>
          <t>UKPN</t>
        </is>
      </c>
      <c r="D3634" t="inlineStr">
        <is>
          <t>S6 NWX , MEWP , Isuzu , D-Max</t>
        </is>
      </c>
      <c r="E3634" t="inlineStr">
        <is>
          <t>S6 NWX , MEWP , Isuzu , D-Max</t>
        </is>
      </c>
      <c r="F3634" t="inlineStr">
        <is>
          <t>S6 NWX , MEWP , Isuzu , D-Max</t>
        </is>
      </c>
      <c r="G3634" t="inlineStr">
        <is>
          <t>A Hope</t>
        </is>
      </c>
      <c r="H3634" t="inlineStr">
        <is>
          <t>4x4</t>
        </is>
      </c>
      <c r="I3634" t="inlineStr">
        <is>
          <t>Daily/ Weekly Vehicle Inspection</t>
        </is>
      </c>
      <c r="J3634" t="inlineStr">
        <is>
          <t>N/A</t>
        </is>
      </c>
      <c r="K3634" t="inlineStr">
        <is>
          <t>8148 Hope Ground and Tree Care</t>
        </is>
      </c>
      <c r="L3634" t="inlineStr">
        <is>
          <t>17/03/2026 07:44</t>
        </is>
      </c>
      <c r="M3634" t="inlineStr">
        <is>
          <t>None</t>
        </is>
      </c>
      <c r="N3634" t="inlineStr">
        <is>
          <t>&lt;p&gt;&lt;/p&gt;</t>
        </is>
      </c>
      <c r="O3634" t="inlineStr"/>
      <c r="P3634" t="inlineStr">
        <is>
          <t>S6 NWX , MEWP , Isuzu , D-Max</t>
        </is>
      </c>
      <c r="Q3634" t="inlineStr">
        <is>
          <t>UKPN</t>
        </is>
      </c>
      <c r="R3634" t="b">
        <v>0</v>
      </c>
    </row>
    <row r="3635">
      <c r="A3635" t="inlineStr">
        <is>
          <t>17 Mar 2026 / 7996 M G Tree Surgery Ltd</t>
        </is>
      </c>
      <c r="B3635" t="inlineStr">
        <is>
          <t>Utilities</t>
        </is>
      </c>
      <c r="C3635" t="inlineStr">
        <is>
          <t>UKPN</t>
        </is>
      </c>
      <c r="D3635" t="inlineStr">
        <is>
          <t>GU13 WNL , MEWP , Land Rover , Defender 130</t>
        </is>
      </c>
      <c r="E3635" t="inlineStr">
        <is>
          <t>GU13 WNL , MEWP , Land Rover , Defender 130</t>
        </is>
      </c>
      <c r="F3635" t="inlineStr">
        <is>
          <t>GU13 WNL , MEWP , Land Rover , Defender 130</t>
        </is>
      </c>
      <c r="G3635" t="inlineStr">
        <is>
          <t>Max</t>
        </is>
      </c>
      <c r="H3635" t="inlineStr">
        <is>
          <t>4x4</t>
        </is>
      </c>
      <c r="I3635" t="inlineStr">
        <is>
          <t>Daily/ Weekly Vehicle Inspection</t>
        </is>
      </c>
      <c r="J3635" t="inlineStr">
        <is>
          <t>N/A</t>
        </is>
      </c>
      <c r="K3635" t="inlineStr">
        <is>
          <t>7996 M G Tree Surgery Ltd</t>
        </is>
      </c>
      <c r="L3635" t="inlineStr">
        <is>
          <t>17/03/2026 07:45</t>
        </is>
      </c>
      <c r="M3635" t="inlineStr">
        <is>
          <t>None</t>
        </is>
      </c>
      <c r="N3635" t="inlineStr">
        <is>
          <t>&lt;p&gt;&lt;/p&gt;</t>
        </is>
      </c>
      <c r="O3635" t="inlineStr"/>
      <c r="P3635" t="inlineStr">
        <is>
          <t>GU13 WNL , MEWP , Land Rover , Defender 130</t>
        </is>
      </c>
      <c r="Q3635" t="inlineStr">
        <is>
          <t>UKPN</t>
        </is>
      </c>
      <c r="R3635" t="b">
        <v>0</v>
      </c>
    </row>
    <row r="3636">
      <c r="A3636" t="inlineStr">
        <is>
          <t>17 Mar 2026 / 7186 Eastwoodbury Tree Services Ltd</t>
        </is>
      </c>
      <c r="B3636" t="inlineStr">
        <is>
          <t>Utilities</t>
        </is>
      </c>
      <c r="C3636" t="inlineStr">
        <is>
          <t>UKPN</t>
        </is>
      </c>
      <c r="D3636" t="inlineStr">
        <is>
          <t>WF13 EKT , 4x4 , Land rover  , Defender</t>
        </is>
      </c>
      <c r="E3636" t="inlineStr">
        <is>
          <t>WF13 EKT , 4x4 , Land rover  , Defender</t>
        </is>
      </c>
      <c r="F3636" t="inlineStr">
        <is>
          <t>WF13 EKT , 4x4 , Land rover  , Defender</t>
        </is>
      </c>
      <c r="G3636" t="inlineStr">
        <is>
          <t xml:space="preserve">Dan Gilbert </t>
        </is>
      </c>
      <c r="H3636" t="inlineStr">
        <is>
          <t>4x4</t>
        </is>
      </c>
      <c r="I3636" t="inlineStr">
        <is>
          <t>Daily/ Weekly Vehicle Inspection</t>
        </is>
      </c>
      <c r="J3636" t="inlineStr">
        <is>
          <t>N/A</t>
        </is>
      </c>
      <c r="K3636" t="inlineStr">
        <is>
          <t>7186 Eastwoodbury Tree Services Ltd</t>
        </is>
      </c>
      <c r="L3636" t="inlineStr">
        <is>
          <t>17/03/2026 07:46</t>
        </is>
      </c>
      <c r="M3636" t="inlineStr">
        <is>
          <t>None</t>
        </is>
      </c>
      <c r="N3636" t="inlineStr">
        <is>
          <t>&lt;p&gt;&lt;/p&gt;</t>
        </is>
      </c>
      <c r="O3636" t="inlineStr"/>
      <c r="P3636" t="inlineStr">
        <is>
          <t>WF13 EKT , 4x4 , Land rover  , Defender</t>
        </is>
      </c>
      <c r="Q3636" t="inlineStr">
        <is>
          <t>UKPN</t>
        </is>
      </c>
      <c r="R3636" t="b">
        <v>0</v>
      </c>
    </row>
    <row r="3637">
      <c r="A3637" t="inlineStr">
        <is>
          <t>17 Mar 2026 / 7186 Eastwoodbury Tree Services Ltd</t>
        </is>
      </c>
      <c r="B3637" t="inlineStr">
        <is>
          <t>Utilities</t>
        </is>
      </c>
      <c r="C3637" t="inlineStr">
        <is>
          <t>UKPN</t>
        </is>
      </c>
      <c r="D3637" t="inlineStr">
        <is>
          <t>FX14 XCV , 4x4 , Land Rover  , Defender</t>
        </is>
      </c>
      <c r="E3637" t="inlineStr">
        <is>
          <t>FX14 XCV , 4x4 , Land Rover  , Defender</t>
        </is>
      </c>
      <c r="F3637" t="inlineStr">
        <is>
          <t>FX14 XCV , 4x4 , Land Rover  , Defender</t>
        </is>
      </c>
      <c r="G3637" t="inlineStr">
        <is>
          <t xml:space="preserve">Tom Price </t>
        </is>
      </c>
      <c r="H3637" t="inlineStr">
        <is>
          <t>4x4</t>
        </is>
      </c>
      <c r="I3637" t="inlineStr">
        <is>
          <t>Daily/ Weekly Vehicle Inspection</t>
        </is>
      </c>
      <c r="J3637" t="inlineStr">
        <is>
          <t>N/A</t>
        </is>
      </c>
      <c r="K3637" t="inlineStr">
        <is>
          <t>7186 Eastwoodbury Tree Services Ltd</t>
        </is>
      </c>
      <c r="L3637" t="inlineStr">
        <is>
          <t>17/03/2026 07:47</t>
        </is>
      </c>
      <c r="M3637" t="inlineStr">
        <is>
          <t>None</t>
        </is>
      </c>
      <c r="N3637" t="inlineStr">
        <is>
          <t>&lt;p&gt;&lt;/p&gt;</t>
        </is>
      </c>
      <c r="O3637" t="inlineStr"/>
      <c r="P3637" t="inlineStr">
        <is>
          <t>FX14 XCV , 4x4 , Land Rover  , Defender</t>
        </is>
      </c>
      <c r="Q3637" t="inlineStr">
        <is>
          <t>UKPN</t>
        </is>
      </c>
      <c r="R3637" t="b">
        <v>0</v>
      </c>
    </row>
    <row r="3638">
      <c r="A3638" t="inlineStr">
        <is>
          <t>17 Mar 2026 / 7951 Austin Tree Care LTD</t>
        </is>
      </c>
      <c r="B3638" t="inlineStr">
        <is>
          <t>Utilities</t>
        </is>
      </c>
      <c r="C3638" t="inlineStr">
        <is>
          <t>UKPN</t>
        </is>
      </c>
      <c r="D3638" t="inlineStr">
        <is>
          <t>SA9ST6P0001283612 , Towed Chipper , Forst , ST6p</t>
        </is>
      </c>
      <c r="E3638" t="inlineStr">
        <is>
          <t>SA9ST6P0001283612 , Towed Chipper , Forst , ST6p</t>
        </is>
      </c>
      <c r="F3638" t="inlineStr">
        <is>
          <t>SA9ST6P0001283612 , Towed Chipper , Forst , ST6p</t>
        </is>
      </c>
      <c r="G3638" t="inlineStr">
        <is>
          <t xml:space="preserve">Jack Austin </t>
        </is>
      </c>
      <c r="H3638" t="inlineStr">
        <is>
          <t>Towed Chipper</t>
        </is>
      </c>
      <c r="I3638" t="inlineStr">
        <is>
          <t>Daily/ Weekly Vehicle Inspection</t>
        </is>
      </c>
      <c r="J3638" t="inlineStr">
        <is>
          <t>N/A</t>
        </is>
      </c>
      <c r="K3638" t="inlineStr">
        <is>
          <t>7951 Austin Tree Care LTD</t>
        </is>
      </c>
      <c r="L3638" t="inlineStr">
        <is>
          <t>17/03/2026 07:49</t>
        </is>
      </c>
      <c r="M3638" t="inlineStr">
        <is>
          <t>None</t>
        </is>
      </c>
      <c r="N3638" t="inlineStr">
        <is>
          <t>&lt;p&gt;&lt;/p&gt;</t>
        </is>
      </c>
      <c r="O3638" t="inlineStr"/>
      <c r="P3638" t="inlineStr">
        <is>
          <t>SA9ST6P0001283612 , Towed Chipper , Forst , ST6p</t>
        </is>
      </c>
      <c r="Q3638" t="inlineStr">
        <is>
          <t>UKPN</t>
        </is>
      </c>
      <c r="R3638" t="b">
        <v>0</v>
      </c>
    </row>
    <row r="3639">
      <c r="A3639" t="inlineStr">
        <is>
          <t>17 Mar 2026 / 7951 Austin Tree Care LTD 1</t>
        </is>
      </c>
      <c r="B3639" t="inlineStr">
        <is>
          <t>Utilities</t>
        </is>
      </c>
      <c r="C3639" t="inlineStr">
        <is>
          <t>UKPN</t>
        </is>
      </c>
      <c r="D3639" t="inlineStr">
        <is>
          <t>Kn58xuy , Tipper , VW  , Crafter</t>
        </is>
      </c>
      <c r="E3639" t="inlineStr">
        <is>
          <t>Kn58xuy , Tipper , VW  , Crafter</t>
        </is>
      </c>
      <c r="F3639" t="inlineStr">
        <is>
          <t>Kn58xuy , Tipper , VW  , Crafter</t>
        </is>
      </c>
      <c r="G3639" t="inlineStr">
        <is>
          <t xml:space="preserve">Jack Austin </t>
        </is>
      </c>
      <c r="H3639" t="inlineStr">
        <is>
          <t>Tipper</t>
        </is>
      </c>
      <c r="I3639" t="inlineStr">
        <is>
          <t>Daily/ Weekly Vehicle Inspection</t>
        </is>
      </c>
      <c r="J3639" t="inlineStr">
        <is>
          <t>N/A</t>
        </is>
      </c>
      <c r="K3639" t="inlineStr">
        <is>
          <t>7951 Austin Tree Care LTD 1</t>
        </is>
      </c>
      <c r="L3639" t="inlineStr">
        <is>
          <t>17/03/2026 07:49</t>
        </is>
      </c>
      <c r="M3639" t="inlineStr">
        <is>
          <t>None</t>
        </is>
      </c>
      <c r="N3639" t="inlineStr">
        <is>
          <t>&lt;p&gt;&lt;/p&gt;</t>
        </is>
      </c>
      <c r="O3639" t="inlineStr"/>
      <c r="P3639" t="inlineStr">
        <is>
          <t>Kn58xuy , Tipper , VW  , Crafter</t>
        </is>
      </c>
      <c r="Q3639" t="inlineStr">
        <is>
          <t>UKPN</t>
        </is>
      </c>
      <c r="R3639" t="b">
        <v>0</v>
      </c>
    </row>
    <row r="3640">
      <c r="A3640" t="inlineStr">
        <is>
          <t>17 Mar 2026 / 7806 Optimum Tree Services Ltd</t>
        </is>
      </c>
      <c r="B3640" t="inlineStr">
        <is>
          <t>Utilities</t>
        </is>
      </c>
      <c r="C3640" t="inlineStr">
        <is>
          <t>UKPN</t>
        </is>
      </c>
      <c r="D3640" t="inlineStr">
        <is>
          <t>SA9ST800000283069 , Chipper , Forst , ST 6P</t>
        </is>
      </c>
      <c r="E3640" t="inlineStr">
        <is>
          <t>SA9ST800000283069 , Chipper , Forst , ST 6P</t>
        </is>
      </c>
      <c r="F3640" t="inlineStr">
        <is>
          <t>SA9ST800000283069 , Chipper , Forst , ST 6P</t>
        </is>
      </c>
      <c r="G3640" t="inlineStr">
        <is>
          <t xml:space="preserve">Abraham Davies </t>
        </is>
      </c>
      <c r="H3640" t="inlineStr">
        <is>
          <t>Plant Trailer</t>
        </is>
      </c>
      <c r="I3640" t="inlineStr">
        <is>
          <t>Daily/ Weekly Vehicle Inspection</t>
        </is>
      </c>
      <c r="J3640" t="inlineStr">
        <is>
          <t>N/A</t>
        </is>
      </c>
      <c r="K3640" t="inlineStr">
        <is>
          <t>7806 Optimum Tree Services Ltd</t>
        </is>
      </c>
      <c r="L3640" t="inlineStr">
        <is>
          <t>17/03/2026 07:50</t>
        </is>
      </c>
      <c r="M3640" t="inlineStr">
        <is>
          <t>None</t>
        </is>
      </c>
      <c r="N3640" t="inlineStr">
        <is>
          <t>&lt;p&gt;&lt;/p&gt;</t>
        </is>
      </c>
      <c r="O3640" t="inlineStr"/>
      <c r="P3640" t="inlineStr">
        <is>
          <t>SA9ST800000283069 , Chipper , Forst , ST 6P</t>
        </is>
      </c>
      <c r="Q3640" t="inlineStr">
        <is>
          <t>UKPN</t>
        </is>
      </c>
      <c r="R3640" t="b">
        <v>0</v>
      </c>
    </row>
    <row r="3641">
      <c r="A3641" t="inlineStr">
        <is>
          <t>13 Mar 2026 / 7806 Optimum Tree Services Ltd</t>
        </is>
      </c>
      <c r="B3641" t="inlineStr">
        <is>
          <t>Utilities</t>
        </is>
      </c>
      <c r="C3641" t="inlineStr">
        <is>
          <t>UKPN</t>
        </is>
      </c>
      <c r="D3641" t="inlineStr">
        <is>
          <t>SA9ST800000283069 , Chipper , Forst , ST 6P</t>
        </is>
      </c>
      <c r="E3641" t="inlineStr">
        <is>
          <t>SA9ST800000283069 , Chipper , Forst , ST 6P</t>
        </is>
      </c>
      <c r="F3641" t="inlineStr">
        <is>
          <t>SA9ST800000283069 , Chipper , Forst , ST 6P</t>
        </is>
      </c>
      <c r="G3641" t="inlineStr">
        <is>
          <t xml:space="preserve">Abraham Davies </t>
        </is>
      </c>
      <c r="H3641" t="inlineStr">
        <is>
          <t>Plant Trailer</t>
        </is>
      </c>
      <c r="I3641" t="inlineStr">
        <is>
          <t>Daily/ Weekly Vehicle Inspection</t>
        </is>
      </c>
      <c r="J3641" t="inlineStr">
        <is>
          <t>N/A</t>
        </is>
      </c>
      <c r="K3641" t="inlineStr">
        <is>
          <t>7806 Optimum Tree Services Ltd</t>
        </is>
      </c>
      <c r="L3641" t="inlineStr">
        <is>
          <t>17/03/2026 07:51</t>
        </is>
      </c>
      <c r="M3641" t="inlineStr">
        <is>
          <t>None</t>
        </is>
      </c>
      <c r="N3641" t="inlineStr">
        <is>
          <t>&lt;p&gt;&lt;/p&gt;</t>
        </is>
      </c>
      <c r="O3641" t="inlineStr"/>
      <c r="P3641" t="inlineStr">
        <is>
          <t>SA9ST800000283069 , Chipper , Forst , ST 6P</t>
        </is>
      </c>
      <c r="Q3641" t="inlineStr">
        <is>
          <t>UKPN</t>
        </is>
      </c>
      <c r="R3641" t="b">
        <v>0</v>
      </c>
    </row>
    <row r="3642">
      <c r="A3642" t="inlineStr">
        <is>
          <t>17 Mar 2026 / 7806 Optimum Tree Services Ltd</t>
        </is>
      </c>
      <c r="B3642" t="inlineStr">
        <is>
          <t>Utilities</t>
        </is>
      </c>
      <c r="C3642" t="inlineStr">
        <is>
          <t>UKPN</t>
        </is>
      </c>
      <c r="D3642" t="inlineStr">
        <is>
          <t>Wd14evn , 4x4 , Landrover  , Defender</t>
        </is>
      </c>
      <c r="E3642" t="inlineStr">
        <is>
          <t>Wd14evn , 4x4 , Landrover  , Defender</t>
        </is>
      </c>
      <c r="F3642" t="inlineStr">
        <is>
          <t>Wd14evn , 4x4 , Landrover  , Defender</t>
        </is>
      </c>
      <c r="G3642" t="inlineStr">
        <is>
          <t xml:space="preserve">Lewis Davies </t>
        </is>
      </c>
      <c r="H3642" t="inlineStr">
        <is>
          <t>4x4</t>
        </is>
      </c>
      <c r="I3642" t="inlineStr">
        <is>
          <t>Daily/ Weekly Vehicle Inspection</t>
        </is>
      </c>
      <c r="J3642" t="inlineStr">
        <is>
          <t>N/A</t>
        </is>
      </c>
      <c r="K3642" t="inlineStr">
        <is>
          <t>7806 Optimum Tree Services Ltd</t>
        </is>
      </c>
      <c r="L3642" t="inlineStr">
        <is>
          <t>17/03/2026 07:53</t>
        </is>
      </c>
      <c r="M3642" t="inlineStr">
        <is>
          <t>None</t>
        </is>
      </c>
      <c r="N3642" t="inlineStr">
        <is>
          <t>&lt;p&gt;&lt;/p&gt;</t>
        </is>
      </c>
      <c r="O3642" t="inlineStr"/>
      <c r="P3642" t="inlineStr">
        <is>
          <t>Wd14evn , 4x4 , Landrover  , Defender</t>
        </is>
      </c>
      <c r="Q3642" t="inlineStr">
        <is>
          <t>UKPN</t>
        </is>
      </c>
      <c r="R3642" t="b">
        <v>0</v>
      </c>
    </row>
    <row r="3643">
      <c r="A3643" t="inlineStr">
        <is>
          <t>17 Mar 2026 / 7889 Tree Tech Suffolk Ltd</t>
        </is>
      </c>
      <c r="B3643" t="inlineStr">
        <is>
          <t>Utilities &amp; Inland Waterways</t>
        </is>
      </c>
      <c r="C3643" t="inlineStr">
        <is>
          <t>UKPN</t>
        </is>
      </c>
      <c r="D3643" t="inlineStr">
        <is>
          <t>Tipper - Nissan - Navara - NS02TTS</t>
        </is>
      </c>
      <c r="E3643" t="inlineStr">
        <is>
          <t>Tipper - Nissan - Navara - NS02TTS</t>
        </is>
      </c>
      <c r="F3643" t="inlineStr">
        <is>
          <t>Tipper - Nissan - Navara - NS02TTS</t>
        </is>
      </c>
      <c r="G3643" t="inlineStr">
        <is>
          <t>Danny Appleby</t>
        </is>
      </c>
      <c r="H3643" t="inlineStr">
        <is>
          <t>Tipper</t>
        </is>
      </c>
      <c r="I3643" t="inlineStr">
        <is>
          <t>Daily/ Weekly Vehicle Inspection</t>
        </is>
      </c>
      <c r="J3643" t="inlineStr">
        <is>
          <t>N/A</t>
        </is>
      </c>
      <c r="K3643" t="inlineStr">
        <is>
          <t>7889 Tree Tech Suffolk Ltd</t>
        </is>
      </c>
      <c r="L3643" t="inlineStr">
        <is>
          <t>17/03/2026 07:54</t>
        </is>
      </c>
      <c r="M3643" t="inlineStr">
        <is>
          <t>None</t>
        </is>
      </c>
      <c r="N3643" t="inlineStr">
        <is>
          <t>&lt;p&gt;&lt;/p&gt;</t>
        </is>
      </c>
      <c r="O3643" t="inlineStr"/>
      <c r="P3643" t="inlineStr">
        <is>
          <t>Tipper - Nissan - Navara - NS02TTS</t>
        </is>
      </c>
      <c r="Q3643" t="inlineStr">
        <is>
          <t>UKPN</t>
        </is>
      </c>
      <c r="R3643" t="b">
        <v>0</v>
      </c>
    </row>
    <row r="3644">
      <c r="A3644" t="inlineStr">
        <is>
          <t>17 Mar 2026 / 7806 Optimum Tree Services Ltd</t>
        </is>
      </c>
      <c r="B3644" t="inlineStr">
        <is>
          <t>Utilities</t>
        </is>
      </c>
      <c r="C3644" t="inlineStr">
        <is>
          <t>UKPN</t>
        </is>
      </c>
      <c r="D3644" t="inlineStr">
        <is>
          <t>WD14EVB , MEWP , Land Rover , Defender</t>
        </is>
      </c>
      <c r="E3644" t="inlineStr">
        <is>
          <t>WD14EVB , MEWP , Land Rover , Defender</t>
        </is>
      </c>
      <c r="F3644" t="inlineStr">
        <is>
          <t>WD14EVB , MEWP , Land Rover , Defender</t>
        </is>
      </c>
      <c r="G3644" t="inlineStr">
        <is>
          <t xml:space="preserve">Abraham Davies </t>
        </is>
      </c>
      <c r="H3644" t="inlineStr">
        <is>
          <t>4x4</t>
        </is>
      </c>
      <c r="I3644" t="inlineStr">
        <is>
          <t>Daily/ Weekly Vehicle Inspection</t>
        </is>
      </c>
      <c r="J3644" t="inlineStr">
        <is>
          <t>N/A</t>
        </is>
      </c>
      <c r="K3644" t="inlineStr">
        <is>
          <t>7806 Optimum Tree Services Ltd</t>
        </is>
      </c>
      <c r="L3644" t="inlineStr">
        <is>
          <t>17/03/2026 07:55</t>
        </is>
      </c>
      <c r="M3644" t="inlineStr">
        <is>
          <t>None</t>
        </is>
      </c>
      <c r="N3644" t="inlineStr">
        <is>
          <t>&lt;p&gt;&lt;/p&gt;</t>
        </is>
      </c>
      <c r="O3644" t="inlineStr"/>
      <c r="P3644" t="inlineStr">
        <is>
          <t>WD14EVB , MEWP , Land Rover , Defender</t>
        </is>
      </c>
      <c r="Q3644" t="inlineStr">
        <is>
          <t>UKPN</t>
        </is>
      </c>
      <c r="R3644" t="b">
        <v>0</v>
      </c>
    </row>
    <row r="3645">
      <c r="A3645" t="inlineStr">
        <is>
          <t>17 Mar 2026 / 3098 D &amp; R Landscapes</t>
        </is>
      </c>
      <c r="B3645" t="inlineStr">
        <is>
          <t>Utilities</t>
        </is>
      </c>
      <c r="C3645" t="inlineStr">
        <is>
          <t>UKPN</t>
        </is>
      </c>
      <c r="D3645" t="inlineStr">
        <is>
          <t>WA13ZZK , 4x4 , Land Rover  , Defender</t>
        </is>
      </c>
      <c r="E3645" t="inlineStr">
        <is>
          <t>WA13ZZK , 4x4 , Land Rover  , Defender</t>
        </is>
      </c>
      <c r="F3645" t="inlineStr">
        <is>
          <t>WA13ZZK , 4x4 , Land Rover  , Defender</t>
        </is>
      </c>
      <c r="G3645" t="inlineStr">
        <is>
          <t xml:space="preserve">  Chris</t>
        </is>
      </c>
      <c r="H3645" t="inlineStr">
        <is>
          <t>Pickup Truck</t>
        </is>
      </c>
      <c r="I3645" t="inlineStr">
        <is>
          <t>Daily/ Weekly Vehicle Inspection</t>
        </is>
      </c>
      <c r="J3645" t="inlineStr">
        <is>
          <t>N/A</t>
        </is>
      </c>
      <c r="K3645" t="inlineStr">
        <is>
          <t>3098 D &amp; R Landscapes</t>
        </is>
      </c>
      <c r="L3645" t="inlineStr">
        <is>
          <t>17/03/2026 07:55</t>
        </is>
      </c>
      <c r="M3645" t="inlineStr">
        <is>
          <t>None</t>
        </is>
      </c>
      <c r="N3645" t="inlineStr">
        <is>
          <t>&lt;p&gt;&lt;/p&gt;</t>
        </is>
      </c>
      <c r="O3645" t="inlineStr"/>
      <c r="P3645" t="inlineStr">
        <is>
          <t>WA13ZZK , 4x4 , Land Rover  , Defender</t>
        </is>
      </c>
      <c r="Q3645" t="inlineStr">
        <is>
          <t>UKPN</t>
        </is>
      </c>
      <c r="R3645" t="b">
        <v>0</v>
      </c>
    </row>
    <row r="3646">
      <c r="A3646" t="inlineStr">
        <is>
          <t>17 Mar 2026 / 3098 D &amp; R Landscapes</t>
        </is>
      </c>
      <c r="B3646" t="inlineStr">
        <is>
          <t>Utilities</t>
        </is>
      </c>
      <c r="C3646" t="inlineStr">
        <is>
          <t>UKPN</t>
        </is>
      </c>
      <c r="D3646" t="inlineStr"/>
      <c r="E3646" t="inlineStr"/>
      <c r="F3646" t="inlineStr"/>
      <c r="G3646" t="inlineStr"/>
      <c r="H3646" t="inlineStr"/>
      <c r="I3646" t="inlineStr"/>
      <c r="J3646" t="inlineStr">
        <is>
          <t>N/A</t>
        </is>
      </c>
      <c r="K3646" t="inlineStr">
        <is>
          <t>3098 D &amp; R Landscapes</t>
        </is>
      </c>
      <c r="L3646" t="inlineStr">
        <is>
          <t>17/03/2026 07:56</t>
        </is>
      </c>
      <c r="M3646" t="inlineStr">
        <is>
          <t>None</t>
        </is>
      </c>
      <c r="N3646" t="inlineStr">
        <is>
          <t>&lt;p&gt;&lt;/p&gt;</t>
        </is>
      </c>
      <c r="O3646" t="inlineStr"/>
      <c r="P3646" t="inlineStr"/>
      <c r="Q3646" t="inlineStr">
        <is>
          <t>UKPN</t>
        </is>
      </c>
      <c r="R3646" t="b">
        <v>0</v>
      </c>
    </row>
    <row r="3647">
      <c r="A3647" t="inlineStr">
        <is>
          <t>17 Mar 2026 / 3098 D &amp; R Landscapes</t>
        </is>
      </c>
      <c r="B3647" t="inlineStr">
        <is>
          <t>Utilities</t>
        </is>
      </c>
      <c r="C3647" t="inlineStr">
        <is>
          <t>UKPN</t>
        </is>
      </c>
      <c r="D3647" t="inlineStr">
        <is>
          <t>DE68XHA , Tipper , Isuzu , Grafter</t>
        </is>
      </c>
      <c r="E3647" t="inlineStr">
        <is>
          <t>DE68XHA , Tipper , Isuzu , Grafter</t>
        </is>
      </c>
      <c r="F3647" t="inlineStr">
        <is>
          <t>DE68XHA , Tipper , Isuzu , Grafter</t>
        </is>
      </c>
      <c r="G3647" t="inlineStr">
        <is>
          <t>Scott</t>
        </is>
      </c>
      <c r="H3647" t="inlineStr">
        <is>
          <t>Tipper</t>
        </is>
      </c>
      <c r="I3647" t="inlineStr">
        <is>
          <t>Daily/ Weekly Vehicle Inspection</t>
        </is>
      </c>
      <c r="J3647" t="inlineStr">
        <is>
          <t>N/A</t>
        </is>
      </c>
      <c r="K3647" t="inlineStr">
        <is>
          <t>3098 D &amp; R Landscapes</t>
        </is>
      </c>
      <c r="L3647" t="inlineStr">
        <is>
          <t>17/03/2026 07:57</t>
        </is>
      </c>
      <c r="M3647" t="inlineStr">
        <is>
          <t>None</t>
        </is>
      </c>
      <c r="N3647" t="inlineStr">
        <is>
          <t>&lt;p&gt;&lt;/p&gt;</t>
        </is>
      </c>
      <c r="O3647" t="inlineStr"/>
      <c r="P3647" t="inlineStr">
        <is>
          <t>DE68XHA , Tipper , Isuzu , Grafter</t>
        </is>
      </c>
      <c r="Q3647" t="inlineStr">
        <is>
          <t>UKPN</t>
        </is>
      </c>
      <c r="R3647" t="b">
        <v>0</v>
      </c>
    </row>
    <row r="3648">
      <c r="A3648" t="inlineStr">
        <is>
          <t>17 Mar 2026 / 3098 D &amp; R Landscapes</t>
        </is>
      </c>
      <c r="B3648" t="inlineStr">
        <is>
          <t>Utilities</t>
        </is>
      </c>
      <c r="C3648" t="inlineStr">
        <is>
          <t>UKPN</t>
        </is>
      </c>
      <c r="D3648" t="inlineStr">
        <is>
          <t>BT20 GNZ , Vehicle , Nissan , Navara</t>
        </is>
      </c>
      <c r="E3648" t="inlineStr">
        <is>
          <t>BT20 GNZ , Vehicle , Nissan , Navara</t>
        </is>
      </c>
      <c r="F3648" t="inlineStr">
        <is>
          <t>BT20 GNZ , Vehicle , Nissan , Navara</t>
        </is>
      </c>
      <c r="G3648" t="inlineStr">
        <is>
          <t>Jason</t>
        </is>
      </c>
      <c r="H3648" t="inlineStr">
        <is>
          <t>Pickup Truck</t>
        </is>
      </c>
      <c r="I3648" t="inlineStr">
        <is>
          <t>Daily/ Weekly Vehicle Inspection</t>
        </is>
      </c>
      <c r="J3648" t="inlineStr">
        <is>
          <t>N/A</t>
        </is>
      </c>
      <c r="K3648" t="inlineStr">
        <is>
          <t>3098 D &amp; R Landscapes</t>
        </is>
      </c>
      <c r="L3648" t="inlineStr">
        <is>
          <t>17/03/2026 07:58</t>
        </is>
      </c>
      <c r="M3648" t="inlineStr">
        <is>
          <t>None</t>
        </is>
      </c>
      <c r="N3648" t="inlineStr">
        <is>
          <t>&lt;p&gt;&lt;/p&gt;</t>
        </is>
      </c>
      <c r="O3648" t="inlineStr"/>
      <c r="P3648" t="inlineStr">
        <is>
          <t>BT20 GNZ , Vehicle , Nissan , Navara</t>
        </is>
      </c>
      <c r="Q3648" t="inlineStr">
        <is>
          <t>UKPN</t>
        </is>
      </c>
      <c r="R3648" t="b">
        <v>0</v>
      </c>
    </row>
    <row r="3649">
      <c r="A3649" t="inlineStr">
        <is>
          <t>17 Mar 2026 / 8040 S6 Tree specialists Ltd</t>
        </is>
      </c>
      <c r="B3649" t="inlineStr">
        <is>
          <t>Utilities</t>
        </is>
      </c>
      <c r="C3649" t="inlineStr">
        <is>
          <t>UKPN</t>
        </is>
      </c>
      <c r="D3649" t="inlineStr">
        <is>
          <t>GY08 RVC , 4x4 MEWP , Land Rover , Defender</t>
        </is>
      </c>
      <c r="E3649" t="inlineStr">
        <is>
          <t>GY08 RVC , 4x4 MEWP , Land Rover , Defender</t>
        </is>
      </c>
      <c r="F3649" t="inlineStr">
        <is>
          <t>GY08 RVC , 4x4 MEWP , Land Rover , Defender</t>
        </is>
      </c>
      <c r="G3649" t="inlineStr">
        <is>
          <t>Luke</t>
        </is>
      </c>
      <c r="H3649" t="inlineStr">
        <is>
          <t>4x4</t>
        </is>
      </c>
      <c r="I3649" t="inlineStr">
        <is>
          <t>Daily/ Weekly Vehicle Inspection</t>
        </is>
      </c>
      <c r="J3649" t="inlineStr">
        <is>
          <t>N/A</t>
        </is>
      </c>
      <c r="K3649" t="inlineStr">
        <is>
          <t>8040 S6 Tree specialists Ltd</t>
        </is>
      </c>
      <c r="L3649" t="inlineStr">
        <is>
          <t>17/03/2026 07:59</t>
        </is>
      </c>
      <c r="M3649" t="inlineStr">
        <is>
          <t>None</t>
        </is>
      </c>
      <c r="N3649" t="inlineStr">
        <is>
          <t>&lt;p&gt;&lt;/p&gt;</t>
        </is>
      </c>
      <c r="O3649" t="inlineStr"/>
      <c r="P3649" t="inlineStr">
        <is>
          <t>GY08 RVC , 4x4 MEWP , Land Rover , Defender</t>
        </is>
      </c>
      <c r="Q3649" t="inlineStr">
        <is>
          <t>UKPN</t>
        </is>
      </c>
      <c r="R3649" t="b">
        <v>0</v>
      </c>
    </row>
    <row r="3650">
      <c r="A3650" t="inlineStr">
        <is>
          <t>17 Mar 2026 / 7995 Green Net Eco Ltd 2</t>
        </is>
      </c>
      <c r="B3650" t="inlineStr">
        <is>
          <t>Utilities</t>
        </is>
      </c>
      <c r="C3650" t="inlineStr">
        <is>
          <t>UKPN</t>
        </is>
      </c>
      <c r="D3650" t="inlineStr">
        <is>
          <t>SA9ST800000283944 , Towed Chipper , Forst , ST8D - Towed</t>
        </is>
      </c>
      <c r="E3650" t="inlineStr">
        <is>
          <t>SA9ST800000283944 , Towed Chipper , Forst , ST8D - Towed</t>
        </is>
      </c>
      <c r="F3650" t="inlineStr">
        <is>
          <t>SA9ST800000283944 , Towed Chipper , Forst , ST8D - Towed</t>
        </is>
      </c>
      <c r="G3650" t="inlineStr">
        <is>
          <t>Thomas Playford</t>
        </is>
      </c>
      <c r="H3650" t="inlineStr">
        <is>
          <t>Towed Chipper</t>
        </is>
      </c>
      <c r="I3650" t="inlineStr">
        <is>
          <t>Daily/ Weekly Vehicle Inspection</t>
        </is>
      </c>
      <c r="J3650" t="inlineStr">
        <is>
          <t>N/A</t>
        </is>
      </c>
      <c r="K3650" t="inlineStr">
        <is>
          <t>7995 Green Net Eco Ltd 2</t>
        </is>
      </c>
      <c r="L3650" t="inlineStr">
        <is>
          <t>17/03/2026 07:59</t>
        </is>
      </c>
      <c r="M3650" t="inlineStr">
        <is>
          <t>None</t>
        </is>
      </c>
      <c r="N3650" t="inlineStr">
        <is>
          <t>&lt;p&gt;&lt;/p&gt;</t>
        </is>
      </c>
      <c r="O3650" t="inlineStr"/>
      <c r="P3650" t="inlineStr">
        <is>
          <t>SA9ST800000283944 , Towed Chipper , Forst , ST8D - Towed</t>
        </is>
      </c>
      <c r="Q3650" t="inlineStr">
        <is>
          <t>UKPN</t>
        </is>
      </c>
      <c r="R3650" t="b">
        <v>0</v>
      </c>
    </row>
    <row r="3651">
      <c r="A3651" t="inlineStr">
        <is>
          <t>17 Mar 2026 / 7995 Green Net Eco Ltd 2</t>
        </is>
      </c>
      <c r="B3651" t="inlineStr">
        <is>
          <t>Utilities</t>
        </is>
      </c>
      <c r="C3651" t="inlineStr">
        <is>
          <t>UKPN</t>
        </is>
      </c>
      <c r="D3651" t="inlineStr">
        <is>
          <t>LK15KRZ , 4x4 , Landrover , Defender</t>
        </is>
      </c>
      <c r="E3651" t="inlineStr">
        <is>
          <t>LK15KRZ , 4x4 , Landrover , Defender</t>
        </is>
      </c>
      <c r="F3651" t="inlineStr">
        <is>
          <t>LK15KRZ , 4x4 , Landrover , Defender</t>
        </is>
      </c>
      <c r="G3651" t="inlineStr">
        <is>
          <t>Thomas Playford</t>
        </is>
      </c>
      <c r="H3651" t="inlineStr">
        <is>
          <t>4x4</t>
        </is>
      </c>
      <c r="I3651" t="inlineStr">
        <is>
          <t>Daily/ Weekly Vehicle Inspection</t>
        </is>
      </c>
      <c r="J3651" t="inlineStr">
        <is>
          <t>N/A</t>
        </is>
      </c>
      <c r="K3651" t="inlineStr">
        <is>
          <t>7995 Green Net Eco Ltd 2</t>
        </is>
      </c>
      <c r="L3651" t="inlineStr">
        <is>
          <t>17/03/2026 08:01</t>
        </is>
      </c>
      <c r="M3651" t="inlineStr">
        <is>
          <t>None</t>
        </is>
      </c>
      <c r="N3651" t="inlineStr">
        <is>
          <t>&lt;p&gt;&lt;/p&gt;</t>
        </is>
      </c>
      <c r="O3651" t="inlineStr"/>
      <c r="P3651" t="inlineStr">
        <is>
          <t>LK15KRZ , 4x4 , Landrover , Defender</t>
        </is>
      </c>
      <c r="Q3651" t="inlineStr">
        <is>
          <t>UKPN</t>
        </is>
      </c>
      <c r="R3651" t="b">
        <v>0</v>
      </c>
    </row>
    <row r="3652">
      <c r="A3652" t="inlineStr">
        <is>
          <t>17 Mar 2026 / 7800 MAC Tree Surgery and Fencing Ltd / Utilities / UKPN</t>
        </is>
      </c>
      <c r="B3652" t="inlineStr">
        <is>
          <t>Utilities</t>
        </is>
      </c>
      <c r="C3652" t="inlineStr">
        <is>
          <t>UKPN</t>
        </is>
      </c>
      <c r="D3652" t="inlineStr">
        <is>
          <t>Plant Trailer - Towmate - 2.8t - 0</t>
        </is>
      </c>
      <c r="E3652" t="inlineStr">
        <is>
          <t>Plant Trailer - Towmate - 2.8t - 0</t>
        </is>
      </c>
      <c r="F3652" t="inlineStr">
        <is>
          <t>Plant Trailer - Towmate - 2.8t - 0</t>
        </is>
      </c>
      <c r="G3652" t="inlineStr">
        <is>
          <t>Lewis mac</t>
        </is>
      </c>
      <c r="H3652" t="inlineStr">
        <is>
          <t>Plant Trailer</t>
        </is>
      </c>
      <c r="I3652" t="inlineStr">
        <is>
          <t>Daily/ Weekly Vehicle Inspection</t>
        </is>
      </c>
      <c r="J3652" t="inlineStr">
        <is>
          <t>N/A</t>
        </is>
      </c>
      <c r="K3652" t="inlineStr">
        <is>
          <t>7800 MAC Tree Surgery and Fencing Ltd</t>
        </is>
      </c>
      <c r="L3652" t="inlineStr">
        <is>
          <t>17/03/2026 08:02</t>
        </is>
      </c>
      <c r="M3652" t="inlineStr">
        <is>
          <t>None</t>
        </is>
      </c>
      <c r="N3652" t="inlineStr">
        <is>
          <t>&lt;p&gt;&lt;/p&gt;</t>
        </is>
      </c>
      <c r="O3652" t="inlineStr"/>
      <c r="P3652" t="inlineStr">
        <is>
          <t>Plant Trailer - Towmate - 2.8t - 0</t>
        </is>
      </c>
      <c r="Q3652" t="inlineStr">
        <is>
          <t>UKPN</t>
        </is>
      </c>
      <c r="R3652" t="b">
        <v>0</v>
      </c>
    </row>
    <row r="3653">
      <c r="A3653" t="inlineStr">
        <is>
          <t>17 Mar 2026 / Thomas Nandi</t>
        </is>
      </c>
      <c r="B3653" t="inlineStr">
        <is>
          <t>Utilities</t>
        </is>
      </c>
      <c r="C3653" t="inlineStr">
        <is>
          <t>SSE</t>
        </is>
      </c>
      <c r="D3653" t="inlineStr"/>
      <c r="E3653" t="inlineStr"/>
      <c r="F3653" t="inlineStr"/>
      <c r="G3653" t="inlineStr">
        <is>
          <t xml:space="preserve">Tom Nandi </t>
        </is>
      </c>
      <c r="H3653" t="inlineStr">
        <is>
          <t>Car - Petrol</t>
        </is>
      </c>
      <c r="I3653" t="inlineStr">
        <is>
          <t>Daily/ Weekly Vehicle Inspection</t>
        </is>
      </c>
      <c r="J3653" t="inlineStr">
        <is>
          <t>N/A</t>
        </is>
      </c>
      <c r="K3653" t="inlineStr">
        <is>
          <t>Thomas Nandi</t>
        </is>
      </c>
      <c r="L3653" t="inlineStr">
        <is>
          <t>17/03/2026 08:45</t>
        </is>
      </c>
      <c r="M3653" t="inlineStr">
        <is>
          <t>None</t>
        </is>
      </c>
      <c r="N3653" t="inlineStr">
        <is>
          <t>&lt;p&gt;&lt;/p&gt;</t>
        </is>
      </c>
      <c r="O3653" t="inlineStr"/>
      <c r="P3653" t="inlineStr"/>
      <c r="Q3653" t="inlineStr">
        <is>
          <t>SSE</t>
        </is>
      </c>
      <c r="R3653" t="b">
        <v>0</v>
      </c>
    </row>
    <row r="3654">
      <c r="A3654" t="inlineStr">
        <is>
          <t>17 Mar 2026 / Christopher Phillips</t>
        </is>
      </c>
      <c r="B3654" t="inlineStr">
        <is>
          <t>Utilities</t>
        </is>
      </c>
      <c r="C3654" t="inlineStr">
        <is>
          <t>NGED</t>
        </is>
      </c>
      <c r="D3654" t="inlineStr">
        <is>
          <t>SK69XHC , Car - Electric , Tesla , Model 3 Performance AWD</t>
        </is>
      </c>
      <c r="E3654" t="inlineStr">
        <is>
          <t>SK69XHC , Car - Electric , Tesla , Model 3 Performance AWD</t>
        </is>
      </c>
      <c r="F3654" t="inlineStr">
        <is>
          <t>SK69XHC , Car - Electric , Tesla , Model 3 Performance AWD</t>
        </is>
      </c>
      <c r="G3654" t="inlineStr">
        <is>
          <t xml:space="preserve">Chris Phillips </t>
        </is>
      </c>
      <c r="H3654" t="inlineStr">
        <is>
          <t>Car - Electric (GC Owned)</t>
        </is>
      </c>
      <c r="I3654" t="inlineStr">
        <is>
          <t>Daily/ Weekly Vehicle Inspection</t>
        </is>
      </c>
      <c r="J3654" t="inlineStr">
        <is>
          <t>N/A</t>
        </is>
      </c>
      <c r="K3654" t="inlineStr">
        <is>
          <t>Christopher Phillips</t>
        </is>
      </c>
      <c r="L3654" t="inlineStr">
        <is>
          <t>17/03/2026 10:44</t>
        </is>
      </c>
      <c r="M3654" t="inlineStr">
        <is>
          <t>None</t>
        </is>
      </c>
      <c r="N3654" t="inlineStr">
        <is>
          <t>&lt;p&gt;&lt;/p&gt;</t>
        </is>
      </c>
      <c r="O3654" t="inlineStr"/>
      <c r="P3654" t="inlineStr">
        <is>
          <t>SK69XHC , Car - Electric , Tesla , Model 3 Performance AWD</t>
        </is>
      </c>
      <c r="Q3654" t="inlineStr">
        <is>
          <t>NGED</t>
        </is>
      </c>
      <c r="R3654" t="b">
        <v>0</v>
      </c>
    </row>
    <row r="3655">
      <c r="A3655" t="inlineStr">
        <is>
          <t>17 Mar 2026 / Benet Jones</t>
        </is>
      </c>
      <c r="B3655" t="inlineStr">
        <is>
          <t>Utilities</t>
        </is>
      </c>
      <c r="C3655" t="inlineStr">
        <is>
          <t>NGED</t>
        </is>
      </c>
      <c r="D3655" t="inlineStr">
        <is>
          <t>GF71TXC , Car - Electric , Tesla , Model 3 Long Range AWD</t>
        </is>
      </c>
      <c r="E3655" t="inlineStr">
        <is>
          <t>GF71TXC , Car - Electric , Tesla , Model 3 Long Range AWD</t>
        </is>
      </c>
      <c r="F3655" t="inlineStr">
        <is>
          <t>GF71TXC , Car - Electric , Tesla , Model 3 Long Range AWD</t>
        </is>
      </c>
      <c r="G3655" t="inlineStr">
        <is>
          <t xml:space="preserve">Benet Jones </t>
        </is>
      </c>
      <c r="H3655" t="inlineStr">
        <is>
          <t>Car - Electric (GC Owned)</t>
        </is>
      </c>
      <c r="I3655" t="inlineStr">
        <is>
          <t>Daily/ Weekly Vehicle Inspection</t>
        </is>
      </c>
      <c r="J3655" t="inlineStr">
        <is>
          <t>N/A</t>
        </is>
      </c>
      <c r="K3655" t="inlineStr">
        <is>
          <t>Benet Jones</t>
        </is>
      </c>
      <c r="L3655" t="inlineStr">
        <is>
          <t>17/03/2026 10:46</t>
        </is>
      </c>
      <c r="M3655" t="inlineStr">
        <is>
          <t>None</t>
        </is>
      </c>
      <c r="N3655" t="inlineStr">
        <is>
          <t>&lt;p&gt;&lt;/p&gt;</t>
        </is>
      </c>
      <c r="O3655" t="inlineStr">
        <is>
          <t>Confirm that you have checked this vehicle as per the guidance document and the vehicle is safe and roadworthy:Car checked and fully serviceable
-</t>
        </is>
      </c>
      <c r="P3655" t="inlineStr">
        <is>
          <t>GF71TXC , Car - Electric , Tesla , Model 3 Long Range AWD</t>
        </is>
      </c>
      <c r="Q3655" t="inlineStr">
        <is>
          <t>NGED</t>
        </is>
      </c>
      <c r="R3655" t="b">
        <v>0</v>
      </c>
    </row>
    <row r="3656">
      <c r="A3656" t="inlineStr">
        <is>
          <t>17 Mar 2026 / William Heneage</t>
        </is>
      </c>
      <c r="B3656" t="inlineStr">
        <is>
          <t>Utilities</t>
        </is>
      </c>
      <c r="C3656" t="inlineStr">
        <is>
          <t>SSE</t>
        </is>
      </c>
      <c r="D3656" t="inlineStr">
        <is>
          <t>YX24TWV , Car - Electric , Kia , E-Niro</t>
        </is>
      </c>
      <c r="E3656" t="inlineStr">
        <is>
          <t>YX24TWV , Car - Electric , Kia , E-Niro</t>
        </is>
      </c>
      <c r="F3656" t="inlineStr">
        <is>
          <t>YX24TWV , Car - Electric , Kia , E-Niro</t>
        </is>
      </c>
      <c r="G3656" t="inlineStr">
        <is>
          <t xml:space="preserve">Will Heneage </t>
        </is>
      </c>
      <c r="H3656" t="inlineStr">
        <is>
          <t>Car - Electric (GC Owned)</t>
        </is>
      </c>
      <c r="I3656" t="inlineStr">
        <is>
          <t>Daily/ Weekly Vehicle Inspection</t>
        </is>
      </c>
      <c r="J3656" t="inlineStr">
        <is>
          <t>N/A</t>
        </is>
      </c>
      <c r="K3656" t="inlineStr">
        <is>
          <t>William Heneage</t>
        </is>
      </c>
      <c r="L3656" t="inlineStr">
        <is>
          <t>17/03/2026 15:44</t>
        </is>
      </c>
      <c r="M3656" t="inlineStr">
        <is>
          <t>None</t>
        </is>
      </c>
      <c r="N3656" t="inlineStr">
        <is>
          <t>&lt;p&gt;&lt;/p&gt;</t>
        </is>
      </c>
      <c r="O3656" t="inlineStr"/>
      <c r="P3656" t="inlineStr">
        <is>
          <t>YX24TWV , Car - Electric , Kia , E-Niro</t>
        </is>
      </c>
      <c r="Q3656" t="inlineStr">
        <is>
          <t>SSE</t>
        </is>
      </c>
      <c r="R3656" t="b">
        <v>0</v>
      </c>
    </row>
    <row r="3657">
      <c r="A3657" t="inlineStr">
        <is>
          <t>17 Mar 2026 / Jane Moore</t>
        </is>
      </c>
      <c r="B3657" t="inlineStr">
        <is>
          <t>Utilities</t>
        </is>
      </c>
      <c r="C3657" t="inlineStr">
        <is>
          <t>NGED</t>
        </is>
      </c>
      <c r="D3657" t="inlineStr">
        <is>
          <t>GL20TGZ , Car - Electric , Tesla , Model 3 Long Range AWD</t>
        </is>
      </c>
      <c r="E3657" t="inlineStr">
        <is>
          <t>GL20TGZ , Car - Electric , Tesla , Model 3 Long Range AWD</t>
        </is>
      </c>
      <c r="F3657" t="inlineStr">
        <is>
          <t>GL20TGZ , Car - Electric , Tesla , Model 3 Long Range AWD</t>
        </is>
      </c>
      <c r="G3657" t="inlineStr">
        <is>
          <t xml:space="preserve">Jane Moore </t>
        </is>
      </c>
      <c r="H3657" t="inlineStr">
        <is>
          <t>Car - Electric (GC Owned)</t>
        </is>
      </c>
      <c r="I3657" t="inlineStr">
        <is>
          <t>Daily/ Weekly Vehicle Inspection</t>
        </is>
      </c>
      <c r="J3657" t="inlineStr">
        <is>
          <t>N/A</t>
        </is>
      </c>
      <c r="K3657" t="inlineStr">
        <is>
          <t>Jane Moore</t>
        </is>
      </c>
      <c r="L3657" t="inlineStr">
        <is>
          <t>17/03/2026 18:45</t>
        </is>
      </c>
      <c r="M3657" t="inlineStr">
        <is>
          <t>None</t>
        </is>
      </c>
      <c r="N3657" t="inlineStr">
        <is>
          <t>&lt;p&gt;&lt;/p&gt;</t>
        </is>
      </c>
      <c r="O3657" t="inlineStr"/>
      <c r="P3657" t="inlineStr">
        <is>
          <t>GL20TGZ , Car - Electric , Tesla , Model 3 Long Range AWD</t>
        </is>
      </c>
      <c r="Q3657" t="inlineStr">
        <is>
          <t>NGED</t>
        </is>
      </c>
      <c r="R3657" t="b">
        <v>0</v>
      </c>
    </row>
    <row r="3658">
      <c r="A3658" t="inlineStr">
        <is>
          <t>18 Mar 2026 / 6617 Ashdown Tree Limited 1</t>
        </is>
      </c>
      <c r="B3658" t="inlineStr">
        <is>
          <t>Utilities</t>
        </is>
      </c>
      <c r="C3658" t="inlineStr">
        <is>
          <t>UKPN</t>
        </is>
      </c>
      <c r="D3658" t="inlineStr">
        <is>
          <t>WG63OJS , 4x4 , Land rover  , defender</t>
        </is>
      </c>
      <c r="E3658" t="inlineStr">
        <is>
          <t>WG63OJS , 4x4 , Land rover  , defender</t>
        </is>
      </c>
      <c r="F3658" t="inlineStr">
        <is>
          <t>WG63OJS , 4x4 , Land rover  , defender</t>
        </is>
      </c>
      <c r="G3658" t="inlineStr">
        <is>
          <t>Dan</t>
        </is>
      </c>
      <c r="H3658" t="inlineStr">
        <is>
          <t>4x4</t>
        </is>
      </c>
      <c r="I3658" t="inlineStr">
        <is>
          <t>Daily/ Weekly Vehicle Inspection</t>
        </is>
      </c>
      <c r="J3658" t="inlineStr">
        <is>
          <t>N/A</t>
        </is>
      </c>
      <c r="K3658" t="inlineStr">
        <is>
          <t>6617 Ashdown Tree Limited - Team 2</t>
        </is>
      </c>
      <c r="L3658" t="inlineStr">
        <is>
          <t>18/03/2026 06:45</t>
        </is>
      </c>
      <c r="M3658" t="inlineStr">
        <is>
          <t>None</t>
        </is>
      </c>
      <c r="N3658" t="inlineStr">
        <is>
          <t>&lt;p&gt;&lt;/p&gt;</t>
        </is>
      </c>
      <c r="O3658" t="inlineStr"/>
      <c r="P3658" t="inlineStr">
        <is>
          <t>WG63OJS , 4x4 , Land rover  , defender</t>
        </is>
      </c>
      <c r="Q3658" t="inlineStr">
        <is>
          <t>UKPN</t>
        </is>
      </c>
      <c r="R3658" t="b">
        <v>0</v>
      </c>
    </row>
    <row r="3659">
      <c r="A3659" t="inlineStr">
        <is>
          <t>18 Mar 2026 / 7806 Optimum Tree Services Ltd</t>
        </is>
      </c>
      <c r="B3659" t="inlineStr">
        <is>
          <t>Utilities</t>
        </is>
      </c>
      <c r="C3659" t="inlineStr">
        <is>
          <t>UKPN</t>
        </is>
      </c>
      <c r="D3659" t="inlineStr">
        <is>
          <t>SA9st6p0001283093 , Towed Chipper , Forst  , St6pHD</t>
        </is>
      </c>
      <c r="E3659" t="inlineStr">
        <is>
          <t>SA9st6p0001283093 , Towed Chipper , Forst  , St6pHD</t>
        </is>
      </c>
      <c r="F3659" t="inlineStr">
        <is>
          <t>SA9st6p0001283093 , Towed Chipper , Forst  , St6pHD</t>
        </is>
      </c>
      <c r="G3659" t="inlineStr">
        <is>
          <t xml:space="preserve">Abraham Davies </t>
        </is>
      </c>
      <c r="H3659" t="inlineStr">
        <is>
          <t>Towed Chipper</t>
        </is>
      </c>
      <c r="I3659" t="inlineStr">
        <is>
          <t>Daily/ Weekly Vehicle Inspection</t>
        </is>
      </c>
      <c r="J3659" t="inlineStr">
        <is>
          <t>N/A</t>
        </is>
      </c>
      <c r="K3659" t="inlineStr">
        <is>
          <t>7806 Optimum Tree Services Ltd</t>
        </is>
      </c>
      <c r="L3659" t="inlineStr">
        <is>
          <t>18/03/2026 07:46</t>
        </is>
      </c>
      <c r="M3659" t="inlineStr">
        <is>
          <t>None</t>
        </is>
      </c>
      <c r="N3659" t="inlineStr">
        <is>
          <t>&lt;p&gt;&lt;/p&gt;</t>
        </is>
      </c>
      <c r="O3659" t="inlineStr"/>
      <c r="P3659" t="inlineStr">
        <is>
          <t>SA9st6p0001283093 , Towed Chipper , Forst  , St6pHD</t>
        </is>
      </c>
      <c r="Q3659" t="inlineStr">
        <is>
          <t>UKPN</t>
        </is>
      </c>
      <c r="R3659" t="b">
        <v>0</v>
      </c>
    </row>
    <row r="3660">
      <c r="A3660" t="inlineStr">
        <is>
          <t>18 Mar 2026 / Dean Fleming</t>
        </is>
      </c>
      <c r="B3660" t="inlineStr">
        <is>
          <t>Utilities</t>
        </is>
      </c>
      <c r="C3660" t="inlineStr">
        <is>
          <t>UKPN</t>
        </is>
      </c>
      <c r="D3660" t="inlineStr">
        <is>
          <t>EK73UOH , Car - Electric , Kia , Niro</t>
        </is>
      </c>
      <c r="E3660" t="inlineStr">
        <is>
          <t>EK73UOH , Car - Electric , Kia , Niro</t>
        </is>
      </c>
      <c r="F3660" t="inlineStr">
        <is>
          <t>EK73UOH , Car - Electric , Kia , Niro</t>
        </is>
      </c>
      <c r="G3660" t="inlineStr">
        <is>
          <t xml:space="preserve">Dean Fleming </t>
        </is>
      </c>
      <c r="H3660" t="inlineStr">
        <is>
          <t>Car - Electric (GC Owned)</t>
        </is>
      </c>
      <c r="I3660" t="inlineStr">
        <is>
          <t>Daily/ Weekly Vehicle Inspection</t>
        </is>
      </c>
      <c r="J3660" t="inlineStr">
        <is>
          <t>N/A</t>
        </is>
      </c>
      <c r="K3660" t="inlineStr">
        <is>
          <t>Dean Fleming</t>
        </is>
      </c>
      <c r="L3660" t="inlineStr">
        <is>
          <t>18/03/2026 07:47</t>
        </is>
      </c>
      <c r="M3660" t="inlineStr">
        <is>
          <t>None</t>
        </is>
      </c>
      <c r="N3660" t="inlineStr">
        <is>
          <t>&lt;p&gt;&lt;/p&gt;</t>
        </is>
      </c>
      <c r="O3660" t="inlineStr"/>
      <c r="P3660" t="inlineStr">
        <is>
          <t>EK73UOH , Car - Electric , Kia , Niro</t>
        </is>
      </c>
      <c r="Q3660" t="inlineStr">
        <is>
          <t>UKPN</t>
        </is>
      </c>
      <c r="R3660" t="b">
        <v>0</v>
      </c>
    </row>
    <row r="3661">
      <c r="A3661" t="inlineStr">
        <is>
          <t>18 Mar 2026 / 7951 Austin Tree Care LTD</t>
        </is>
      </c>
      <c r="B3661" t="inlineStr">
        <is>
          <t>Utilities</t>
        </is>
      </c>
      <c r="C3661" t="inlineStr">
        <is>
          <t>UKPN</t>
        </is>
      </c>
      <c r="D3661" t="inlineStr">
        <is>
          <t>WG64HTT , 4x4 , Land Rover , Defender 110</t>
        </is>
      </c>
      <c r="E3661" t="inlineStr">
        <is>
          <t>WG64HTT , 4x4 , Land Rover , Defender 110</t>
        </is>
      </c>
      <c r="F3661" t="inlineStr">
        <is>
          <t>WG64HTT , 4x4 , Land Rover , Defender 110</t>
        </is>
      </c>
      <c r="G3661" t="inlineStr">
        <is>
          <t xml:space="preserve">Jack Austin </t>
        </is>
      </c>
      <c r="H3661" t="inlineStr">
        <is>
          <t>4x4</t>
        </is>
      </c>
      <c r="I3661" t="inlineStr">
        <is>
          <t>Daily/ Weekly Vehicle Inspection</t>
        </is>
      </c>
      <c r="J3661" t="inlineStr">
        <is>
          <t>N/A</t>
        </is>
      </c>
      <c r="K3661" t="inlineStr">
        <is>
          <t>7951 Austin Tree Care LTD</t>
        </is>
      </c>
      <c r="L3661" t="inlineStr">
        <is>
          <t>18/03/2026 07:48</t>
        </is>
      </c>
      <c r="M3661" t="inlineStr">
        <is>
          <t>None</t>
        </is>
      </c>
      <c r="N3661" t="inlineStr">
        <is>
          <t>&lt;p&gt;&lt;/p&gt;</t>
        </is>
      </c>
      <c r="O3661" t="inlineStr"/>
      <c r="P3661" t="inlineStr">
        <is>
          <t>WG64HTT , 4x4 , Land Rover , Defender 110</t>
        </is>
      </c>
      <c r="Q3661" t="inlineStr">
        <is>
          <t>UKPN</t>
        </is>
      </c>
      <c r="R3661" t="b">
        <v>0</v>
      </c>
    </row>
    <row r="3662">
      <c r="A3662" t="inlineStr">
        <is>
          <t>18 Mar 2026 / 7806 Optimum Tree Services Ltd</t>
        </is>
      </c>
      <c r="B3662" t="inlineStr">
        <is>
          <t>Utilities</t>
        </is>
      </c>
      <c r="C3662" t="inlineStr">
        <is>
          <t>UKPN</t>
        </is>
      </c>
      <c r="D3662" t="inlineStr">
        <is>
          <t>WD14EVB , MEWP , Land Rover , Defender</t>
        </is>
      </c>
      <c r="E3662" t="inlineStr">
        <is>
          <t>WD14EVB , MEWP , Land Rover , Defender</t>
        </is>
      </c>
      <c r="F3662" t="inlineStr">
        <is>
          <t>WD14EVB , MEWP , Land Rover , Defender</t>
        </is>
      </c>
      <c r="G3662" t="inlineStr">
        <is>
          <t xml:space="preserve">Abraham Davies </t>
        </is>
      </c>
      <c r="H3662" t="inlineStr">
        <is>
          <t>4x4</t>
        </is>
      </c>
      <c r="I3662" t="inlineStr">
        <is>
          <t>Daily/ Weekly Vehicle Inspection</t>
        </is>
      </c>
      <c r="J3662" t="inlineStr">
        <is>
          <t>N/A</t>
        </is>
      </c>
      <c r="K3662" t="inlineStr">
        <is>
          <t>7806 Optimum Tree Services Ltd</t>
        </is>
      </c>
      <c r="L3662" t="inlineStr">
        <is>
          <t>18/03/2026 07:48</t>
        </is>
      </c>
      <c r="M3662" t="inlineStr">
        <is>
          <t>None</t>
        </is>
      </c>
      <c r="N3662" t="inlineStr">
        <is>
          <t>&lt;p&gt;&lt;/p&gt;</t>
        </is>
      </c>
      <c r="O3662" t="inlineStr"/>
      <c r="P3662" t="inlineStr">
        <is>
          <t>WD14EVB , MEWP , Land Rover , Defender</t>
        </is>
      </c>
      <c r="Q3662" t="inlineStr">
        <is>
          <t>UKPN</t>
        </is>
      </c>
      <c r="R3662" t="b">
        <v>0</v>
      </c>
    </row>
    <row r="3663">
      <c r="A3663" t="inlineStr">
        <is>
          <t>18 Mar 2026 / 7951 Austin Tree Care LTD</t>
        </is>
      </c>
      <c r="B3663" t="inlineStr">
        <is>
          <t>Utilities</t>
        </is>
      </c>
      <c r="C3663" t="inlineStr">
        <is>
          <t>UKPN</t>
        </is>
      </c>
      <c r="D3663" t="inlineStr">
        <is>
          <t>SA9ST6P0001283612 , Towed Chipper , Forst , ST6p</t>
        </is>
      </c>
      <c r="E3663" t="inlineStr">
        <is>
          <t>SA9ST6P0001283612 , Towed Chipper , Forst , ST6p</t>
        </is>
      </c>
      <c r="F3663" t="inlineStr">
        <is>
          <t>SA9ST6P0001283612 , Towed Chipper , Forst , ST6p</t>
        </is>
      </c>
      <c r="G3663" t="inlineStr">
        <is>
          <t xml:space="preserve">Jack Austin </t>
        </is>
      </c>
      <c r="H3663" t="inlineStr">
        <is>
          <t>Towed Chipper</t>
        </is>
      </c>
      <c r="I3663" t="inlineStr">
        <is>
          <t>Daily/ Weekly Vehicle Inspection</t>
        </is>
      </c>
      <c r="J3663" t="inlineStr">
        <is>
          <t>N/A</t>
        </is>
      </c>
      <c r="K3663" t="inlineStr">
        <is>
          <t>7951 Austin Tree Care LTD</t>
        </is>
      </c>
      <c r="L3663" t="inlineStr">
        <is>
          <t>18/03/2026 07:49</t>
        </is>
      </c>
      <c r="M3663" t="inlineStr">
        <is>
          <t>None</t>
        </is>
      </c>
      <c r="N3663" t="inlineStr">
        <is>
          <t>&lt;p&gt;&lt;/p&gt;</t>
        </is>
      </c>
      <c r="O3663" t="inlineStr"/>
      <c r="P3663" t="inlineStr">
        <is>
          <t>SA9ST6P0001283612 , Towed Chipper , Forst , ST6p</t>
        </is>
      </c>
      <c r="Q3663" t="inlineStr">
        <is>
          <t>UKPN</t>
        </is>
      </c>
      <c r="R3663" t="b">
        <v>0</v>
      </c>
    </row>
    <row r="3664">
      <c r="A3664" t="inlineStr">
        <is>
          <t>18 Mar 2026 / 7186 Eastwoodbury Tree Services Ltd</t>
        </is>
      </c>
      <c r="B3664" t="inlineStr">
        <is>
          <t>Utilities</t>
        </is>
      </c>
      <c r="C3664" t="inlineStr">
        <is>
          <t>UKPN</t>
        </is>
      </c>
      <c r="D3664" t="inlineStr">
        <is>
          <t>WF13 EKT , 4x4 , Land rover  , Defender</t>
        </is>
      </c>
      <c r="E3664" t="inlineStr">
        <is>
          <t>WF13 EKT , 4x4 , Land rover  , Defender</t>
        </is>
      </c>
      <c r="F3664" t="inlineStr">
        <is>
          <t>WF13 EKT , 4x4 , Land rover  , Defender</t>
        </is>
      </c>
      <c r="G3664" t="inlineStr">
        <is>
          <t xml:space="preserve">Dan Gilbert </t>
        </is>
      </c>
      <c r="H3664" t="inlineStr">
        <is>
          <t>4x4</t>
        </is>
      </c>
      <c r="I3664" t="inlineStr">
        <is>
          <t>Daily/ Weekly Vehicle Inspection</t>
        </is>
      </c>
      <c r="J3664" t="inlineStr">
        <is>
          <t>N/A</t>
        </is>
      </c>
      <c r="K3664" t="inlineStr">
        <is>
          <t>7186 Eastwoodbury Tree Services Ltd</t>
        </is>
      </c>
      <c r="L3664" t="inlineStr">
        <is>
          <t>18/03/2026 07:50</t>
        </is>
      </c>
      <c r="M3664" t="inlineStr">
        <is>
          <t>None</t>
        </is>
      </c>
      <c r="N3664" t="inlineStr">
        <is>
          <t>&lt;p&gt;&lt;/p&gt;</t>
        </is>
      </c>
      <c r="O3664" t="inlineStr"/>
      <c r="P3664" t="inlineStr">
        <is>
          <t>WF13 EKT , 4x4 , Land rover  , Defender</t>
        </is>
      </c>
      <c r="Q3664" t="inlineStr">
        <is>
          <t>UKPN</t>
        </is>
      </c>
      <c r="R3664" t="b">
        <v>0</v>
      </c>
    </row>
    <row r="3665">
      <c r="A3665" t="inlineStr">
        <is>
          <t>18 Mar 2026 / 7186 Eastwoodbury Tree Services Ltd</t>
        </is>
      </c>
      <c r="B3665" t="inlineStr">
        <is>
          <t>Utilities</t>
        </is>
      </c>
      <c r="C3665" t="inlineStr">
        <is>
          <t>UKPN</t>
        </is>
      </c>
      <c r="D3665" t="inlineStr">
        <is>
          <t>FX14 XCV , 4x4 , Land Rover  , Defender</t>
        </is>
      </c>
      <c r="E3665" t="inlineStr">
        <is>
          <t>FX14 XCV , 4x4 , Land Rover  , Defender</t>
        </is>
      </c>
      <c r="F3665" t="inlineStr">
        <is>
          <t>FX14 XCV , 4x4 , Land Rover  , Defender</t>
        </is>
      </c>
      <c r="G3665" t="inlineStr">
        <is>
          <t xml:space="preserve">Luke Williams </t>
        </is>
      </c>
      <c r="H3665" t="inlineStr">
        <is>
          <t>4x4</t>
        </is>
      </c>
      <c r="I3665" t="inlineStr">
        <is>
          <t>Daily/ Weekly Vehicle Inspection</t>
        </is>
      </c>
      <c r="J3665" t="inlineStr">
        <is>
          <t>N/A</t>
        </is>
      </c>
      <c r="K3665" t="inlineStr">
        <is>
          <t>7186 Eastwoodbury Tree Services Ltd</t>
        </is>
      </c>
      <c r="L3665" t="inlineStr">
        <is>
          <t>18/03/2026 07:50</t>
        </is>
      </c>
      <c r="M3665" t="inlineStr">
        <is>
          <t>None</t>
        </is>
      </c>
      <c r="N3665" t="inlineStr">
        <is>
          <t>&lt;p&gt;&lt;/p&gt;</t>
        </is>
      </c>
      <c r="O3665" t="inlineStr"/>
      <c r="P3665" t="inlineStr">
        <is>
          <t>FX14 XCV , 4x4 , Land Rover  , Defender</t>
        </is>
      </c>
      <c r="Q3665" t="inlineStr">
        <is>
          <t>UKPN</t>
        </is>
      </c>
      <c r="R3665" t="b">
        <v>0</v>
      </c>
    </row>
    <row r="3666">
      <c r="A3666" t="inlineStr">
        <is>
          <t>18 Mar 2026 / 7889 Tree Tech Suffolk Ltd</t>
        </is>
      </c>
      <c r="B3666" t="inlineStr">
        <is>
          <t>Utilities &amp; Inland Waterways</t>
        </is>
      </c>
      <c r="C3666" t="inlineStr">
        <is>
          <t>UKPN</t>
        </is>
      </c>
      <c r="D3666" t="inlineStr">
        <is>
          <t>Tipper - Mercedes - Sprinter - NS06TTSTow Chipper - Jenson - A530L - 5521063948</t>
        </is>
      </c>
      <c r="E3666" t="inlineStr">
        <is>
          <t>Tipper - Mercedes - Sprinter - NS06TTSTow Chipper - Jenson - A530L - 5521063948</t>
        </is>
      </c>
      <c r="F3666" t="inlineStr">
        <is>
          <t>Tipper - Mercedes - Sprinter - NS06TTSTow Chipper - Jenson - A530L - 5521063948</t>
        </is>
      </c>
      <c r="G3666" t="inlineStr">
        <is>
          <t xml:space="preserve">Danny ApplebyDanny Appleby </t>
        </is>
      </c>
      <c r="H3666" t="inlineStr">
        <is>
          <t>TipperTowed Chipper</t>
        </is>
      </c>
      <c r="I3666" t="inlineStr">
        <is>
          <t>Daily/ Weekly Vehicle Inspection</t>
        </is>
      </c>
      <c r="J3666" t="inlineStr">
        <is>
          <t>N/A</t>
        </is>
      </c>
      <c r="K3666" t="inlineStr">
        <is>
          <t>7889 Tree Tech Suffolk Ltd</t>
        </is>
      </c>
      <c r="L3666" t="inlineStr">
        <is>
          <t>18/03/2026 07:51</t>
        </is>
      </c>
      <c r="M3666" t="inlineStr">
        <is>
          <t>None</t>
        </is>
      </c>
      <c r="N3666" t="inlineStr">
        <is>
          <t>&lt;p&gt;&lt;/p&gt;</t>
        </is>
      </c>
      <c r="O3666" t="inlineStr"/>
      <c r="P3666" t="inlineStr">
        <is>
          <t>Tipper - Mercedes - Sprinter - NS06TTSTow Chipper - Jenson - A530L - 5521063948</t>
        </is>
      </c>
      <c r="Q3666" t="inlineStr">
        <is>
          <t>UKPN</t>
        </is>
      </c>
      <c r="R3666" t="b">
        <v>0</v>
      </c>
    </row>
    <row r="3667">
      <c r="A3667" t="inlineStr">
        <is>
          <t>18 Mar 2026 / Ashley Hill</t>
        </is>
      </c>
      <c r="B3667" t="inlineStr">
        <is>
          <t>Utilities</t>
        </is>
      </c>
      <c r="C3667" t="inlineStr">
        <is>
          <t>NGED</t>
        </is>
      </c>
      <c r="D3667" t="inlineStr"/>
      <c r="E3667" t="inlineStr"/>
      <c r="F3667" t="inlineStr"/>
      <c r="G3667" t="inlineStr">
        <is>
          <t>Ashley hill</t>
        </is>
      </c>
      <c r="H3667" t="inlineStr">
        <is>
          <t>Car - Petrol</t>
        </is>
      </c>
      <c r="I3667" t="inlineStr">
        <is>
          <t>Daily/ Weekly Vehicle Inspection</t>
        </is>
      </c>
      <c r="J3667" t="inlineStr">
        <is>
          <t>N/A</t>
        </is>
      </c>
      <c r="K3667" t="inlineStr">
        <is>
          <t>Ashley Hill</t>
        </is>
      </c>
      <c r="L3667" t="inlineStr">
        <is>
          <t>18/03/2026 07:52</t>
        </is>
      </c>
      <c r="M3667" t="inlineStr">
        <is>
          <t>None</t>
        </is>
      </c>
      <c r="N3667" t="inlineStr">
        <is>
          <t>&lt;p&gt;&lt;/p&gt;</t>
        </is>
      </c>
      <c r="O3667" t="inlineStr"/>
      <c r="P3667" t="inlineStr"/>
      <c r="Q3667" t="inlineStr">
        <is>
          <t>NGED</t>
        </is>
      </c>
      <c r="R3667" t="b">
        <v>0</v>
      </c>
    </row>
    <row r="3668">
      <c r="A3668" t="inlineStr">
        <is>
          <t>18 Mar 2026 / 7996 M G Tree Surgery Ltd 1</t>
        </is>
      </c>
      <c r="B3668" t="inlineStr">
        <is>
          <t>Utilities</t>
        </is>
      </c>
      <c r="C3668" t="inlineStr">
        <is>
          <t>UKPN</t>
        </is>
      </c>
      <c r="D3668" t="inlineStr"/>
      <c r="E3668" t="inlineStr"/>
      <c r="F3668" t="inlineStr"/>
      <c r="G3668" t="inlineStr">
        <is>
          <t xml:space="preserve">Anthony Gale </t>
        </is>
      </c>
      <c r="H3668" t="inlineStr">
        <is>
          <t>Towed Chipper</t>
        </is>
      </c>
      <c r="I3668" t="inlineStr">
        <is>
          <t>Daily/ Weekly Vehicle Inspection</t>
        </is>
      </c>
      <c r="J3668" t="inlineStr">
        <is>
          <t>N/A</t>
        </is>
      </c>
      <c r="K3668" t="inlineStr">
        <is>
          <t>7996 M G Tree Surgery Ltd 1</t>
        </is>
      </c>
      <c r="L3668" t="inlineStr">
        <is>
          <t>18/03/2026 07:53</t>
        </is>
      </c>
      <c r="M3668" t="inlineStr">
        <is>
          <t>None</t>
        </is>
      </c>
      <c r="N3668" t="inlineStr">
        <is>
          <t>&lt;p&gt;&lt;/p&gt;</t>
        </is>
      </c>
      <c r="O3668" t="inlineStr"/>
      <c r="P3668" t="inlineStr"/>
      <c r="Q3668" t="inlineStr">
        <is>
          <t>UKPN</t>
        </is>
      </c>
      <c r="R3668" t="b">
        <v>0</v>
      </c>
    </row>
    <row r="3669">
      <c r="A3669" t="inlineStr">
        <is>
          <t>18 Mar 2026 / 7996 M G Tree Surgery Ltd 1</t>
        </is>
      </c>
      <c r="B3669" t="inlineStr">
        <is>
          <t>Utilities</t>
        </is>
      </c>
      <c r="C3669" t="inlineStr">
        <is>
          <t>UKPN</t>
        </is>
      </c>
      <c r="D3669" t="inlineStr">
        <is>
          <t>KX20 BCE , Tipper , Isuzu , D-Max</t>
        </is>
      </c>
      <c r="E3669" t="inlineStr">
        <is>
          <t>KX20 BCE , Tipper , Isuzu , D-Max</t>
        </is>
      </c>
      <c r="F3669" t="inlineStr">
        <is>
          <t>KX20 BCE , Tipper , Isuzu , D-Max</t>
        </is>
      </c>
      <c r="G3669" t="inlineStr">
        <is>
          <t xml:space="preserve">Anthony Gale </t>
        </is>
      </c>
      <c r="H3669" t="inlineStr">
        <is>
          <t>Pickup Truck</t>
        </is>
      </c>
      <c r="I3669" t="inlineStr">
        <is>
          <t>Daily/ Weekly Vehicle Inspection</t>
        </is>
      </c>
      <c r="J3669" t="inlineStr">
        <is>
          <t>N/A</t>
        </is>
      </c>
      <c r="K3669" t="inlineStr">
        <is>
          <t>7996 M G Tree Surgery Ltd 1</t>
        </is>
      </c>
      <c r="L3669" t="inlineStr">
        <is>
          <t>18/03/2026 07:54</t>
        </is>
      </c>
      <c r="M3669" t="inlineStr">
        <is>
          <t>None</t>
        </is>
      </c>
      <c r="N3669" t="inlineStr">
        <is>
          <t>&lt;p&gt;&lt;/p&gt;</t>
        </is>
      </c>
      <c r="O3669" t="inlineStr"/>
      <c r="P3669" t="inlineStr">
        <is>
          <t>KX20 BCE , Tipper , Isuzu , D-Max</t>
        </is>
      </c>
      <c r="Q3669" t="inlineStr">
        <is>
          <t>UKPN</t>
        </is>
      </c>
      <c r="R3669" t="b">
        <v>0</v>
      </c>
    </row>
    <row r="3670">
      <c r="A3670" t="inlineStr">
        <is>
          <t>18 Mar 2026 / 7800 MAC Tree Surgery and Fencing Ltd / Utilities / UKPN</t>
        </is>
      </c>
      <c r="B3670" t="inlineStr">
        <is>
          <t>Utilities</t>
        </is>
      </c>
      <c r="C3670" t="inlineStr">
        <is>
          <t>UKPN</t>
        </is>
      </c>
      <c r="D3670" t="inlineStr">
        <is>
          <t>AY68DAA , 4x4 , Izuzu , Dmax</t>
        </is>
      </c>
      <c r="E3670" t="inlineStr">
        <is>
          <t>AY68DAA , 4x4 , Izuzu , Dmax</t>
        </is>
      </c>
      <c r="F3670" t="inlineStr">
        <is>
          <t>AY68DAA , 4x4 , Izuzu , Dmax</t>
        </is>
      </c>
      <c r="G3670" t="inlineStr">
        <is>
          <t xml:space="preserve">Patrick O'Shea </t>
        </is>
      </c>
      <c r="H3670" t="inlineStr">
        <is>
          <t>4x4</t>
        </is>
      </c>
      <c r="I3670" t="inlineStr">
        <is>
          <t>Daily/ Weekly Vehicle Inspection</t>
        </is>
      </c>
      <c r="J3670" t="inlineStr">
        <is>
          <t>N/A</t>
        </is>
      </c>
      <c r="K3670" t="inlineStr">
        <is>
          <t>7800 MAC Tree Surgery and Fencing Ltd</t>
        </is>
      </c>
      <c r="L3670" t="inlineStr">
        <is>
          <t>18/03/2026 07:56</t>
        </is>
      </c>
      <c r="M3670" t="inlineStr">
        <is>
          <t>None</t>
        </is>
      </c>
      <c r="N3670" t="inlineStr">
        <is>
          <t>&lt;p&gt;&lt;/p&gt;</t>
        </is>
      </c>
      <c r="O3670" t="inlineStr"/>
      <c r="P3670" t="inlineStr">
        <is>
          <t>AY68DAA , 4x4 , Izuzu , Dmax</t>
        </is>
      </c>
      <c r="Q3670" t="inlineStr">
        <is>
          <t>UKPN</t>
        </is>
      </c>
      <c r="R3670" t="b">
        <v>0</v>
      </c>
    </row>
    <row r="3671">
      <c r="A3671" t="inlineStr">
        <is>
          <t>18 Mar 2026 / Benet Jones</t>
        </is>
      </c>
      <c r="B3671" t="inlineStr">
        <is>
          <t>Utilities</t>
        </is>
      </c>
      <c r="C3671" t="inlineStr">
        <is>
          <t>NGED</t>
        </is>
      </c>
      <c r="D3671" t="inlineStr">
        <is>
          <t>GF71TXC , Car - Electric , Tesla , Model 3 Long Range AWD</t>
        </is>
      </c>
      <c r="E3671" t="inlineStr">
        <is>
          <t>GF71TXC , Car - Electric , Tesla , Model 3 Long Range AWD</t>
        </is>
      </c>
      <c r="F3671" t="inlineStr">
        <is>
          <t>GF71TXC , Car - Electric , Tesla , Model 3 Long Range AWD</t>
        </is>
      </c>
      <c r="G3671" t="inlineStr">
        <is>
          <t xml:space="preserve">Benet Jones </t>
        </is>
      </c>
      <c r="H3671" t="inlineStr">
        <is>
          <t>Car - Electric (GC Owned)</t>
        </is>
      </c>
      <c r="I3671" t="inlineStr">
        <is>
          <t>Daily/ Weekly Vehicle Inspection</t>
        </is>
      </c>
      <c r="J3671" t="inlineStr">
        <is>
          <t>N/A</t>
        </is>
      </c>
      <c r="K3671" t="inlineStr">
        <is>
          <t>Benet Jones</t>
        </is>
      </c>
      <c r="L3671" t="inlineStr">
        <is>
          <t>18/03/2026 08:45</t>
        </is>
      </c>
      <c r="M3671" t="inlineStr">
        <is>
          <t>None</t>
        </is>
      </c>
      <c r="N3671" t="inlineStr">
        <is>
          <t>&lt;p&gt;&lt;/p&gt;</t>
        </is>
      </c>
      <c r="O3671" t="inlineStr">
        <is>
          <t>Confirm that you have checked this vehicle as per the guidance document and the vehicle is safe and roadworthy:Car checked and fully serviceable
-</t>
        </is>
      </c>
      <c r="P3671" t="inlineStr">
        <is>
          <t>GF71TXC , Car - Electric , Tesla , Model 3 Long Range AWD</t>
        </is>
      </c>
      <c r="Q3671" t="inlineStr">
        <is>
          <t>NGED</t>
        </is>
      </c>
      <c r="R3671" t="b">
        <v>0</v>
      </c>
    </row>
    <row r="3672">
      <c r="A3672" t="inlineStr">
        <is>
          <t>18 Mar 2026 / 7996 M G Tree Surgery Ltd</t>
        </is>
      </c>
      <c r="B3672" t="inlineStr">
        <is>
          <t>Utilities</t>
        </is>
      </c>
      <c r="C3672" t="inlineStr">
        <is>
          <t>UKPN</t>
        </is>
      </c>
      <c r="D3672" t="inlineStr">
        <is>
          <t>GU13 WNL , MEWP , Land Rover , Defender 130</t>
        </is>
      </c>
      <c r="E3672" t="inlineStr">
        <is>
          <t>GU13 WNL , MEWP , Land Rover , Defender 130</t>
        </is>
      </c>
      <c r="F3672" t="inlineStr">
        <is>
          <t>GU13 WNL , MEWP , Land Rover , Defender 130</t>
        </is>
      </c>
      <c r="G3672" t="inlineStr">
        <is>
          <t>Max</t>
        </is>
      </c>
      <c r="H3672" t="inlineStr">
        <is>
          <t>4x4</t>
        </is>
      </c>
      <c r="I3672" t="inlineStr">
        <is>
          <t>Daily/ Weekly Vehicle Inspection</t>
        </is>
      </c>
      <c r="J3672" t="inlineStr">
        <is>
          <t>N/A</t>
        </is>
      </c>
      <c r="K3672" t="inlineStr">
        <is>
          <t>7996 M G Tree Surgery Ltd</t>
        </is>
      </c>
      <c r="L3672" t="inlineStr">
        <is>
          <t>18/03/2026 08:47</t>
        </is>
      </c>
      <c r="M3672" t="inlineStr">
        <is>
          <t>None</t>
        </is>
      </c>
      <c r="N3672" t="inlineStr">
        <is>
          <t>&lt;p&gt;&lt;/p&gt;</t>
        </is>
      </c>
      <c r="O3672" t="inlineStr"/>
      <c r="P3672" t="inlineStr">
        <is>
          <t>GU13 WNL , MEWP , Land Rover , Defender 130</t>
        </is>
      </c>
      <c r="Q3672" t="inlineStr">
        <is>
          <t>UKPN</t>
        </is>
      </c>
      <c r="R3672" t="b">
        <v>0</v>
      </c>
    </row>
    <row r="3673">
      <c r="A3673" t="inlineStr">
        <is>
          <t>18 Mar 2026 / Rodney Taylor</t>
        </is>
      </c>
      <c r="B3673" t="inlineStr">
        <is>
          <t>Utilities</t>
        </is>
      </c>
      <c r="C3673" t="inlineStr">
        <is>
          <t>NGED</t>
        </is>
      </c>
      <c r="D3673" t="inlineStr">
        <is>
          <t>EK73UOM , Car - Electric , Kia , Niro</t>
        </is>
      </c>
      <c r="E3673" t="inlineStr">
        <is>
          <t>EK73UOM , Car - Electric , Kia , Niro</t>
        </is>
      </c>
      <c r="F3673" t="inlineStr">
        <is>
          <t>EK73UOM , Car - Electric , Kia , Niro</t>
        </is>
      </c>
      <c r="G3673" t="inlineStr">
        <is>
          <t xml:space="preserve">ROD TAYLOR </t>
        </is>
      </c>
      <c r="H3673" t="inlineStr">
        <is>
          <t>Car - Electric (GC Owned)</t>
        </is>
      </c>
      <c r="I3673" t="inlineStr">
        <is>
          <t>Daily/ Weekly Vehicle Inspection</t>
        </is>
      </c>
      <c r="J3673" t="inlineStr">
        <is>
          <t>N/A</t>
        </is>
      </c>
      <c r="K3673" t="inlineStr">
        <is>
          <t>Rodney Taylor</t>
        </is>
      </c>
      <c r="L3673" t="inlineStr">
        <is>
          <t>18/03/2026 10:45</t>
        </is>
      </c>
      <c r="M3673" t="inlineStr">
        <is>
          <t>None</t>
        </is>
      </c>
      <c r="N3673" t="inlineStr">
        <is>
          <t>&lt;p&gt;&lt;/p&gt;</t>
        </is>
      </c>
      <c r="O3673" t="inlineStr"/>
      <c r="P3673" t="inlineStr">
        <is>
          <t>EK73UOM , Car - Electric , Kia , Niro</t>
        </is>
      </c>
      <c r="Q3673" t="inlineStr">
        <is>
          <t>NGED</t>
        </is>
      </c>
      <c r="R3673" t="b">
        <v>0</v>
      </c>
    </row>
    <row r="3674">
      <c r="A3674" t="inlineStr">
        <is>
          <t>18 Mar 2026 / Joseph Pallot</t>
        </is>
      </c>
      <c r="B3674" t="inlineStr">
        <is>
          <t>Utilities</t>
        </is>
      </c>
      <c r="C3674" t="inlineStr">
        <is>
          <t>NGED</t>
        </is>
      </c>
      <c r="D3674" t="inlineStr">
        <is>
          <t>AK70VYS , Car - Electric , Tesla , Model 3 Long Range AWD</t>
        </is>
      </c>
      <c r="E3674" t="inlineStr">
        <is>
          <t>AK70VYS , Car - Electric , Tesla , Model 3 Long Range AWD</t>
        </is>
      </c>
      <c r="F3674" t="inlineStr">
        <is>
          <t>AK70VYS , Car - Electric , Tesla , Model 3 Long Range AWD</t>
        </is>
      </c>
      <c r="G3674" t="inlineStr">
        <is>
          <t>Joseph Pallot</t>
        </is>
      </c>
      <c r="H3674" t="inlineStr">
        <is>
          <t>Car - Electric (GC Owned)</t>
        </is>
      </c>
      <c r="I3674" t="inlineStr">
        <is>
          <t>Daily/ Weekly Vehicle Inspection</t>
        </is>
      </c>
      <c r="J3674" t="inlineStr">
        <is>
          <t>N/A</t>
        </is>
      </c>
      <c r="K3674" t="inlineStr">
        <is>
          <t>Joseph Pallot</t>
        </is>
      </c>
      <c r="L3674" t="inlineStr">
        <is>
          <t>18/03/2026 13:45</t>
        </is>
      </c>
      <c r="M3674" t="inlineStr">
        <is>
          <t>None</t>
        </is>
      </c>
      <c r="N3674" t="inlineStr">
        <is>
          <t>&lt;p&gt;&lt;/p&gt;</t>
        </is>
      </c>
      <c r="O3674" t="inlineStr"/>
      <c r="P3674" t="inlineStr">
        <is>
          <t>AK70VYS , Car - Electric , Tesla , Model 3 Long Range AWD</t>
        </is>
      </c>
      <c r="Q3674" t="inlineStr">
        <is>
          <t>NGED</t>
        </is>
      </c>
      <c r="R3674" t="b">
        <v>0</v>
      </c>
    </row>
    <row r="3675">
      <c r="A3675" t="inlineStr">
        <is>
          <t>18 Mar 2026 / 7995 Green Net Eco Ltd 2</t>
        </is>
      </c>
      <c r="B3675" t="inlineStr">
        <is>
          <t>Utilities</t>
        </is>
      </c>
      <c r="C3675" t="inlineStr">
        <is>
          <t>UKPN</t>
        </is>
      </c>
      <c r="D3675" t="inlineStr">
        <is>
          <t>X21TNP , 4x4 , Toyota , Hilux</t>
        </is>
      </c>
      <c r="E3675" t="inlineStr">
        <is>
          <t>X21TNP , 4x4 , Toyota , Hilux</t>
        </is>
      </c>
      <c r="F3675" t="inlineStr">
        <is>
          <t>X21TNP , 4x4 , Toyota , Hilux</t>
        </is>
      </c>
      <c r="G3675" t="inlineStr">
        <is>
          <t>Thomas Playford</t>
        </is>
      </c>
      <c r="H3675" t="inlineStr">
        <is>
          <t>4x4</t>
        </is>
      </c>
      <c r="I3675" t="inlineStr">
        <is>
          <t>Daily/ Weekly Vehicle Inspection</t>
        </is>
      </c>
      <c r="J3675" t="inlineStr">
        <is>
          <t>N/A</t>
        </is>
      </c>
      <c r="K3675" t="inlineStr">
        <is>
          <t>7995 Green Net Eco Ltd 2</t>
        </is>
      </c>
      <c r="L3675" t="inlineStr">
        <is>
          <t>18/03/2026 23:45</t>
        </is>
      </c>
      <c r="M3675" t="inlineStr">
        <is>
          <t>None</t>
        </is>
      </c>
      <c r="N3675" t="inlineStr">
        <is>
          <t>&lt;p&gt;&lt;/p&gt;</t>
        </is>
      </c>
      <c r="O3675" t="inlineStr"/>
      <c r="P3675" t="inlineStr">
        <is>
          <t>X21TNP , 4x4 , Toyota , Hilux</t>
        </is>
      </c>
      <c r="Q3675" t="inlineStr">
        <is>
          <t>UKPN</t>
        </is>
      </c>
      <c r="R3675" t="b">
        <v>0</v>
      </c>
    </row>
    <row r="3676">
      <c r="A3676" t="inlineStr">
        <is>
          <t>18 Mar 2026 / 7995 Green Net Eco Ltd 2</t>
        </is>
      </c>
      <c r="B3676" t="inlineStr">
        <is>
          <t>Utilities</t>
        </is>
      </c>
      <c r="C3676" t="inlineStr">
        <is>
          <t>UKPN</t>
        </is>
      </c>
      <c r="D3676" t="inlineStr">
        <is>
          <t>SA9ST800000283944 , Towed Chipper , Forst , ST8D - Towed</t>
        </is>
      </c>
      <c r="E3676" t="inlineStr">
        <is>
          <t>SA9ST800000283944 , Towed Chipper , Forst , ST8D - Towed</t>
        </is>
      </c>
      <c r="F3676" t="inlineStr">
        <is>
          <t>SA9ST800000283944 , Towed Chipper , Forst , ST8D - Towed</t>
        </is>
      </c>
      <c r="G3676" t="inlineStr">
        <is>
          <t>Jacob Oram</t>
        </is>
      </c>
      <c r="H3676" t="inlineStr">
        <is>
          <t>Towed Chipper</t>
        </is>
      </c>
      <c r="I3676" t="inlineStr">
        <is>
          <t>Daily/ Weekly Vehicle Inspection</t>
        </is>
      </c>
      <c r="J3676" t="inlineStr">
        <is>
          <t>N/A</t>
        </is>
      </c>
      <c r="K3676" t="inlineStr">
        <is>
          <t>7995 Green Net Eco Ltd 2</t>
        </is>
      </c>
      <c r="L3676" t="inlineStr">
        <is>
          <t>19/03/2026 00:45</t>
        </is>
      </c>
      <c r="M3676" t="inlineStr">
        <is>
          <t>None</t>
        </is>
      </c>
      <c r="N3676" t="inlineStr">
        <is>
          <t>&lt;p&gt;&lt;/p&gt;</t>
        </is>
      </c>
      <c r="O3676" t="inlineStr"/>
      <c r="P3676" t="inlineStr">
        <is>
          <t>SA9ST800000283944 , Towed Chipper , Forst , ST8D - Towed</t>
        </is>
      </c>
      <c r="Q3676" t="inlineStr">
        <is>
          <t>UKPN</t>
        </is>
      </c>
      <c r="R3676" t="b">
        <v>0</v>
      </c>
    </row>
    <row r="3677">
      <c r="A3677" t="inlineStr">
        <is>
          <t>18 Mar 2026 / 7995 Green Net Eco Ltd 2</t>
        </is>
      </c>
      <c r="B3677" t="inlineStr">
        <is>
          <t>Utilities</t>
        </is>
      </c>
      <c r="C3677" t="inlineStr">
        <is>
          <t>UKPN</t>
        </is>
      </c>
      <c r="D3677" t="inlineStr">
        <is>
          <t>LK15KRZ , 4x4 , Landrover , Defender</t>
        </is>
      </c>
      <c r="E3677" t="inlineStr">
        <is>
          <t>LK15KRZ , 4x4 , Landrover , Defender</t>
        </is>
      </c>
      <c r="F3677" t="inlineStr">
        <is>
          <t>LK15KRZ , 4x4 , Landrover , Defender</t>
        </is>
      </c>
      <c r="G3677" t="inlineStr">
        <is>
          <t>Jacob Oram</t>
        </is>
      </c>
      <c r="H3677" t="inlineStr">
        <is>
          <t>4x4</t>
        </is>
      </c>
      <c r="I3677" t="inlineStr">
        <is>
          <t>Daily/ Weekly Vehicle Inspection</t>
        </is>
      </c>
      <c r="J3677" t="inlineStr">
        <is>
          <t>N/A</t>
        </is>
      </c>
      <c r="K3677" t="inlineStr">
        <is>
          <t>7995 Green Net Eco Ltd 2</t>
        </is>
      </c>
      <c r="L3677" t="inlineStr">
        <is>
          <t>19/03/2026 00:45</t>
        </is>
      </c>
      <c r="M3677" t="inlineStr">
        <is>
          <t>None</t>
        </is>
      </c>
      <c r="N3677" t="inlineStr">
        <is>
          <t>&lt;p&gt;&lt;/p&gt;</t>
        </is>
      </c>
      <c r="O3677" t="inlineStr"/>
      <c r="P3677" t="inlineStr">
        <is>
          <t>LK15KRZ , 4x4 , Landrover , Defender</t>
        </is>
      </c>
      <c r="Q3677" t="inlineStr">
        <is>
          <t>UKPN</t>
        </is>
      </c>
      <c r="R3677" t="b">
        <v>0</v>
      </c>
    </row>
    <row r="3678">
      <c r="A3678" t="inlineStr">
        <is>
          <t>19 Mar 2026 / 7186 Eastwoodbury Tree Services Ltd</t>
        </is>
      </c>
      <c r="B3678" t="inlineStr">
        <is>
          <t>Utilities</t>
        </is>
      </c>
      <c r="C3678" t="inlineStr">
        <is>
          <t>UKPN</t>
        </is>
      </c>
      <c r="D3678" t="inlineStr">
        <is>
          <t>WF13 EKT , 4x4 , Land rover  , Defender</t>
        </is>
      </c>
      <c r="E3678" t="inlineStr">
        <is>
          <t>WF13 EKT , 4x4 , Land rover  , Defender</t>
        </is>
      </c>
      <c r="F3678" t="inlineStr">
        <is>
          <t>WF13 EKT , 4x4 , Land rover  , Defender</t>
        </is>
      </c>
      <c r="G3678" t="inlineStr">
        <is>
          <t xml:space="preserve">Dan Gilbert </t>
        </is>
      </c>
      <c r="H3678" t="inlineStr">
        <is>
          <t>4x4</t>
        </is>
      </c>
      <c r="I3678" t="inlineStr">
        <is>
          <t>Daily/ Weekly Vehicle Inspection</t>
        </is>
      </c>
      <c r="J3678" t="inlineStr">
        <is>
          <t>N/A</t>
        </is>
      </c>
      <c r="K3678" t="inlineStr">
        <is>
          <t>7186 Eastwoodbury Tree Services Ltd</t>
        </is>
      </c>
      <c r="L3678" t="inlineStr">
        <is>
          <t>19/03/2026 07:45</t>
        </is>
      </c>
      <c r="M3678" t="inlineStr">
        <is>
          <t>None</t>
        </is>
      </c>
      <c r="N3678" t="inlineStr">
        <is>
          <t>&lt;p&gt;&lt;/p&gt;</t>
        </is>
      </c>
      <c r="O3678" t="inlineStr"/>
      <c r="P3678" t="inlineStr">
        <is>
          <t>WF13 EKT , 4x4 , Land rover  , Defender</t>
        </is>
      </c>
      <c r="Q3678" t="inlineStr">
        <is>
          <t>UKPN</t>
        </is>
      </c>
      <c r="R3678" t="b">
        <v>0</v>
      </c>
    </row>
    <row r="3679">
      <c r="A3679" t="inlineStr">
        <is>
          <t>19 Mar 2026 / 7186 Eastwoodbury Tree Services Ltd</t>
        </is>
      </c>
      <c r="B3679" t="inlineStr">
        <is>
          <t>Utilities</t>
        </is>
      </c>
      <c r="C3679" t="inlineStr">
        <is>
          <t>UKPN</t>
        </is>
      </c>
      <c r="D3679" t="inlineStr">
        <is>
          <t>FX14 XCV , 4x4 , Land Rover  , Defender</t>
        </is>
      </c>
      <c r="E3679" t="inlineStr">
        <is>
          <t>FX14 XCV , 4x4 , Land Rover  , Defender</t>
        </is>
      </c>
      <c r="F3679" t="inlineStr">
        <is>
          <t>FX14 XCV , 4x4 , Land Rover  , Defender</t>
        </is>
      </c>
      <c r="G3679" t="inlineStr">
        <is>
          <t xml:space="preserve">Tom Price </t>
        </is>
      </c>
      <c r="H3679" t="inlineStr">
        <is>
          <t>4x4</t>
        </is>
      </c>
      <c r="I3679" t="inlineStr">
        <is>
          <t>Daily/ Weekly Vehicle Inspection</t>
        </is>
      </c>
      <c r="J3679" t="inlineStr">
        <is>
          <t>N/A</t>
        </is>
      </c>
      <c r="K3679" t="inlineStr">
        <is>
          <t>7186 Eastwoodbury Tree Services Ltd</t>
        </is>
      </c>
      <c r="L3679" t="inlineStr">
        <is>
          <t>19/03/2026 07:46</t>
        </is>
      </c>
      <c r="M3679" t="inlineStr">
        <is>
          <t>None</t>
        </is>
      </c>
      <c r="N3679" t="inlineStr">
        <is>
          <t>&lt;p&gt;&lt;/p&gt;</t>
        </is>
      </c>
      <c r="O3679" t="inlineStr"/>
      <c r="P3679" t="inlineStr">
        <is>
          <t>FX14 XCV , 4x4 , Land Rover  , Defender</t>
        </is>
      </c>
      <c r="Q3679" t="inlineStr">
        <is>
          <t>UKPN</t>
        </is>
      </c>
      <c r="R3679" t="b">
        <v>0</v>
      </c>
    </row>
    <row r="3680">
      <c r="A3680" t="inlineStr">
        <is>
          <t>19 Mar 2026 / 7806 Optimum Tree Services Ltd</t>
        </is>
      </c>
      <c r="B3680" t="inlineStr">
        <is>
          <t>Utilities</t>
        </is>
      </c>
      <c r="C3680" t="inlineStr">
        <is>
          <t>UKPN</t>
        </is>
      </c>
      <c r="D3680" t="inlineStr">
        <is>
          <t>SA9st6p0001283093 , Towed Chipper , Forst  , St6pHD</t>
        </is>
      </c>
      <c r="E3680" t="inlineStr">
        <is>
          <t>SA9st6p0001283093 , Towed Chipper , Forst  , St6pHD</t>
        </is>
      </c>
      <c r="F3680" t="inlineStr">
        <is>
          <t>SA9st6p0001283093 , Towed Chipper , Forst  , St6pHD</t>
        </is>
      </c>
      <c r="G3680" t="inlineStr">
        <is>
          <t xml:space="preserve">Abraham Davies </t>
        </is>
      </c>
      <c r="H3680" t="inlineStr">
        <is>
          <t>Towed Chipper</t>
        </is>
      </c>
      <c r="I3680" t="inlineStr">
        <is>
          <t>Daily/ Weekly Vehicle Inspection</t>
        </is>
      </c>
      <c r="J3680" t="inlineStr">
        <is>
          <t>N/A</t>
        </is>
      </c>
      <c r="K3680" t="inlineStr">
        <is>
          <t>7806 Optimum Tree Services Ltd</t>
        </is>
      </c>
      <c r="L3680" t="inlineStr">
        <is>
          <t>19/03/2026 07:47</t>
        </is>
      </c>
      <c r="M3680" t="inlineStr">
        <is>
          <t>None</t>
        </is>
      </c>
      <c r="N3680" t="inlineStr">
        <is>
          <t>&lt;p&gt;&lt;/p&gt;</t>
        </is>
      </c>
      <c r="O3680" t="inlineStr"/>
      <c r="P3680" t="inlineStr">
        <is>
          <t>SA9st6p0001283093 , Towed Chipper , Forst  , St6pHD</t>
        </is>
      </c>
      <c r="Q3680" t="inlineStr">
        <is>
          <t>UKPN</t>
        </is>
      </c>
      <c r="R3680" t="b">
        <v>0</v>
      </c>
    </row>
    <row r="3681">
      <c r="A3681" t="inlineStr">
        <is>
          <t>19 Mar 2026 / 7806 Optimum Tree Services Ltd</t>
        </is>
      </c>
      <c r="B3681" t="inlineStr">
        <is>
          <t>Utilities</t>
        </is>
      </c>
      <c r="C3681" t="inlineStr">
        <is>
          <t>UKPN</t>
        </is>
      </c>
      <c r="D3681" t="inlineStr">
        <is>
          <t>WD14EVB , MEWP , Land Rover , Defender</t>
        </is>
      </c>
      <c r="E3681" t="inlineStr">
        <is>
          <t>WD14EVB , MEWP , Land Rover , Defender</t>
        </is>
      </c>
      <c r="F3681" t="inlineStr">
        <is>
          <t>WD14EVB , MEWP , Land Rover , Defender</t>
        </is>
      </c>
      <c r="G3681" t="inlineStr">
        <is>
          <t xml:space="preserve">Abraham Davies </t>
        </is>
      </c>
      <c r="H3681" t="inlineStr">
        <is>
          <t>4x4</t>
        </is>
      </c>
      <c r="I3681" t="inlineStr">
        <is>
          <t>Daily/ Weekly Vehicle Inspection</t>
        </is>
      </c>
      <c r="J3681" t="inlineStr">
        <is>
          <t>N/A</t>
        </is>
      </c>
      <c r="K3681" t="inlineStr">
        <is>
          <t>7806 Optimum Tree Services Ltd</t>
        </is>
      </c>
      <c r="L3681" t="inlineStr">
        <is>
          <t>19/03/2026 07:47</t>
        </is>
      </c>
      <c r="M3681" t="inlineStr">
        <is>
          <t>None</t>
        </is>
      </c>
      <c r="N3681" t="inlineStr">
        <is>
          <t>&lt;p&gt;&lt;/p&gt;</t>
        </is>
      </c>
      <c r="O3681" t="inlineStr"/>
      <c r="P3681" t="inlineStr">
        <is>
          <t>WD14EVB , MEWP , Land Rover , Defender</t>
        </is>
      </c>
      <c r="Q3681" t="inlineStr">
        <is>
          <t>UKPN</t>
        </is>
      </c>
      <c r="R3681" t="b">
        <v>0</v>
      </c>
    </row>
    <row r="3682">
      <c r="A3682" t="inlineStr">
        <is>
          <t>19 Mar 2026 / 7951 Austin Tree Care LTD</t>
        </is>
      </c>
      <c r="B3682" t="inlineStr">
        <is>
          <t>Utilities</t>
        </is>
      </c>
      <c r="C3682" t="inlineStr">
        <is>
          <t>UKPN</t>
        </is>
      </c>
      <c r="D3682" t="inlineStr">
        <is>
          <t>SA9ST6P0001283612 , Towed Chipper , Forst , ST6p</t>
        </is>
      </c>
      <c r="E3682" t="inlineStr">
        <is>
          <t>SA9ST6P0001283612 , Towed Chipper , Forst , ST6p</t>
        </is>
      </c>
      <c r="F3682" t="inlineStr">
        <is>
          <t>SA9ST6P0001283612 , Towed Chipper , Forst , ST6p</t>
        </is>
      </c>
      <c r="G3682" t="inlineStr">
        <is>
          <t xml:space="preserve">Jack Austin </t>
        </is>
      </c>
      <c r="H3682" t="inlineStr">
        <is>
          <t>Towed Chipper</t>
        </is>
      </c>
      <c r="I3682" t="inlineStr">
        <is>
          <t>Daily/ Weekly Vehicle Inspection</t>
        </is>
      </c>
      <c r="J3682" t="inlineStr">
        <is>
          <t>N/A</t>
        </is>
      </c>
      <c r="K3682" t="inlineStr">
        <is>
          <t>7951 Austin Tree Care LTD</t>
        </is>
      </c>
      <c r="L3682" t="inlineStr">
        <is>
          <t>19/03/2026 07:48</t>
        </is>
      </c>
      <c r="M3682" t="inlineStr">
        <is>
          <t>None</t>
        </is>
      </c>
      <c r="N3682" t="inlineStr">
        <is>
          <t>&lt;p&gt;&lt;/p&gt;</t>
        </is>
      </c>
      <c r="O3682" t="inlineStr"/>
      <c r="P3682" t="inlineStr">
        <is>
          <t>SA9ST6P0001283612 , Towed Chipper , Forst , ST6p</t>
        </is>
      </c>
      <c r="Q3682" t="inlineStr">
        <is>
          <t>UKPN</t>
        </is>
      </c>
      <c r="R3682" t="b">
        <v>0</v>
      </c>
    </row>
    <row r="3683">
      <c r="A3683" t="inlineStr">
        <is>
          <t>19 Mar 2026 / 7951 Austin Tree Care LTD</t>
        </is>
      </c>
      <c r="B3683" t="inlineStr">
        <is>
          <t>Utilities</t>
        </is>
      </c>
      <c r="C3683" t="inlineStr">
        <is>
          <t>UKPN</t>
        </is>
      </c>
      <c r="D3683" t="inlineStr">
        <is>
          <t>WG64HTT , 4x4 , Land Rover , Defender 110</t>
        </is>
      </c>
      <c r="E3683" t="inlineStr">
        <is>
          <t>WG64HTT , 4x4 , Land Rover , Defender 110</t>
        </is>
      </c>
      <c r="F3683" t="inlineStr">
        <is>
          <t>WG64HTT , 4x4 , Land Rover , Defender 110</t>
        </is>
      </c>
      <c r="G3683" t="inlineStr">
        <is>
          <t xml:space="preserve">Jack Austin </t>
        </is>
      </c>
      <c r="H3683" t="inlineStr">
        <is>
          <t>4x4</t>
        </is>
      </c>
      <c r="I3683" t="inlineStr">
        <is>
          <t>Daily/ Weekly Vehicle Inspection</t>
        </is>
      </c>
      <c r="J3683" t="inlineStr">
        <is>
          <t>N/A</t>
        </is>
      </c>
      <c r="K3683" t="inlineStr">
        <is>
          <t>7951 Austin Tree Care LTD</t>
        </is>
      </c>
      <c r="L3683" t="inlineStr">
        <is>
          <t>19/03/2026 07:49</t>
        </is>
      </c>
      <c r="M3683" t="inlineStr">
        <is>
          <t>None</t>
        </is>
      </c>
      <c r="N3683" t="inlineStr">
        <is>
          <t>&lt;p&gt;&lt;/p&gt;</t>
        </is>
      </c>
      <c r="O3683" t="inlineStr"/>
      <c r="P3683" t="inlineStr">
        <is>
          <t>WG64HTT , 4x4 , Land Rover , Defender 110</t>
        </is>
      </c>
      <c r="Q3683" t="inlineStr">
        <is>
          <t>UKPN</t>
        </is>
      </c>
      <c r="R3683" t="b">
        <v>0</v>
      </c>
    </row>
    <row r="3684">
      <c r="A3684" t="inlineStr">
        <is>
          <t>19 Mar 2026 / 7951 Austin Tree Care LTD 1</t>
        </is>
      </c>
      <c r="B3684" t="inlineStr">
        <is>
          <t>Utilities</t>
        </is>
      </c>
      <c r="C3684" t="inlineStr">
        <is>
          <t>UKPN</t>
        </is>
      </c>
      <c r="D3684" t="inlineStr">
        <is>
          <t>Kn58xuy , Tipper , VW  , Crafter</t>
        </is>
      </c>
      <c r="E3684" t="inlineStr">
        <is>
          <t>Kn58xuy , Tipper , VW  , Crafter</t>
        </is>
      </c>
      <c r="F3684" t="inlineStr">
        <is>
          <t>Kn58xuy , Tipper , VW  , Crafter</t>
        </is>
      </c>
      <c r="G3684" t="inlineStr">
        <is>
          <t xml:space="preserve">James Tasker </t>
        </is>
      </c>
      <c r="H3684" t="inlineStr">
        <is>
          <t>Tipper</t>
        </is>
      </c>
      <c r="I3684" t="inlineStr">
        <is>
          <t>Daily/ Weekly Vehicle Inspection</t>
        </is>
      </c>
      <c r="J3684" t="inlineStr">
        <is>
          <t>N/A</t>
        </is>
      </c>
      <c r="K3684" t="inlineStr">
        <is>
          <t>7951 Austin Tree Care LTD 1</t>
        </is>
      </c>
      <c r="L3684" t="inlineStr">
        <is>
          <t>19/03/2026 07:49</t>
        </is>
      </c>
      <c r="M3684" t="inlineStr">
        <is>
          <t>None</t>
        </is>
      </c>
      <c r="N3684" t="inlineStr">
        <is>
          <t>&lt;p&gt;&lt;/p&gt;</t>
        </is>
      </c>
      <c r="O3684" t="inlineStr"/>
      <c r="P3684" t="inlineStr">
        <is>
          <t>Kn58xuy , Tipper , VW  , Crafter</t>
        </is>
      </c>
      <c r="Q3684" t="inlineStr">
        <is>
          <t>UKPN</t>
        </is>
      </c>
      <c r="R3684" t="b">
        <v>0</v>
      </c>
    </row>
    <row r="3685">
      <c r="A3685" t="inlineStr">
        <is>
          <t>19 Mar 2026 / 7996 M G Tree Surgery Ltd 1</t>
        </is>
      </c>
      <c r="B3685" t="inlineStr">
        <is>
          <t>Utilities</t>
        </is>
      </c>
      <c r="C3685" t="inlineStr">
        <is>
          <t>UKPN</t>
        </is>
      </c>
      <c r="D3685" t="inlineStr"/>
      <c r="E3685" t="inlineStr"/>
      <c r="F3685" t="inlineStr"/>
      <c r="G3685" t="inlineStr">
        <is>
          <t>Anthony Gale</t>
        </is>
      </c>
      <c r="H3685" t="inlineStr">
        <is>
          <t>Towed Chipper</t>
        </is>
      </c>
      <c r="I3685" t="inlineStr">
        <is>
          <t>Daily/ Weekly Vehicle Inspection</t>
        </is>
      </c>
      <c r="J3685" t="inlineStr">
        <is>
          <t>N/A</t>
        </is>
      </c>
      <c r="K3685" t="inlineStr">
        <is>
          <t>7996 M G Tree Surgery Ltd 1</t>
        </is>
      </c>
      <c r="L3685" t="inlineStr">
        <is>
          <t>19/03/2026 07:51</t>
        </is>
      </c>
      <c r="M3685" t="inlineStr">
        <is>
          <t>None</t>
        </is>
      </c>
      <c r="N3685" t="inlineStr">
        <is>
          <t>&lt;p&gt;&lt;/p&gt;</t>
        </is>
      </c>
      <c r="O3685" t="inlineStr"/>
      <c r="P3685" t="inlineStr"/>
      <c r="Q3685" t="inlineStr">
        <is>
          <t>UKPN</t>
        </is>
      </c>
      <c r="R3685" t="b">
        <v>0</v>
      </c>
    </row>
    <row r="3686">
      <c r="A3686" t="inlineStr">
        <is>
          <t>19 Mar 2026 / 7996 M G Tree Surgery Ltd 1</t>
        </is>
      </c>
      <c r="B3686" t="inlineStr">
        <is>
          <t>Utilities</t>
        </is>
      </c>
      <c r="C3686" t="inlineStr">
        <is>
          <t>UKPN</t>
        </is>
      </c>
      <c r="D3686" t="inlineStr">
        <is>
          <t>KX20 BCE , Tipper , Isuzu , D-Max</t>
        </is>
      </c>
      <c r="E3686" t="inlineStr">
        <is>
          <t>KX20 BCE , Tipper , Isuzu , D-Max</t>
        </is>
      </c>
      <c r="F3686" t="inlineStr">
        <is>
          <t>KX20 BCE , Tipper , Isuzu , D-Max</t>
        </is>
      </c>
      <c r="G3686" t="inlineStr">
        <is>
          <t>Anthony Gale</t>
        </is>
      </c>
      <c r="H3686" t="inlineStr">
        <is>
          <t>Pickup Truck</t>
        </is>
      </c>
      <c r="I3686" t="inlineStr">
        <is>
          <t>Daily/ Weekly Vehicle Inspection</t>
        </is>
      </c>
      <c r="J3686" t="inlineStr">
        <is>
          <t>N/A</t>
        </is>
      </c>
      <c r="K3686" t="inlineStr">
        <is>
          <t>7996 M G Tree Surgery Ltd 1</t>
        </is>
      </c>
      <c r="L3686" t="inlineStr">
        <is>
          <t>19/03/2026 07:51</t>
        </is>
      </c>
      <c r="M3686" t="inlineStr">
        <is>
          <t>None</t>
        </is>
      </c>
      <c r="N3686" t="inlineStr">
        <is>
          <t>&lt;p&gt;&lt;/p&gt;</t>
        </is>
      </c>
      <c r="O3686" t="inlineStr"/>
      <c r="P3686" t="inlineStr">
        <is>
          <t>KX20 BCE , Tipper , Isuzu , D-Max</t>
        </is>
      </c>
      <c r="Q3686" t="inlineStr">
        <is>
          <t>UKPN</t>
        </is>
      </c>
      <c r="R3686" t="b">
        <v>0</v>
      </c>
    </row>
    <row r="3687">
      <c r="A3687" t="inlineStr">
        <is>
          <t>18 Mar 2026 / 7996 M G Tree Surgery Ltd 1</t>
        </is>
      </c>
      <c r="B3687" t="inlineStr">
        <is>
          <t>Utilities</t>
        </is>
      </c>
      <c r="C3687" t="inlineStr">
        <is>
          <t>UKPN</t>
        </is>
      </c>
      <c r="D3687" t="inlineStr"/>
      <c r="E3687" t="inlineStr"/>
      <c r="F3687" t="inlineStr"/>
      <c r="G3687" t="inlineStr">
        <is>
          <t xml:space="preserve">Anthony Gale </t>
        </is>
      </c>
      <c r="H3687" t="inlineStr">
        <is>
          <t>Towed Chipper</t>
        </is>
      </c>
      <c r="I3687" t="inlineStr">
        <is>
          <t>Daily/ Weekly Vehicle Inspection</t>
        </is>
      </c>
      <c r="J3687" t="inlineStr">
        <is>
          <t>N/A</t>
        </is>
      </c>
      <c r="K3687" t="inlineStr">
        <is>
          <t>7996 M G Tree Surgery Ltd 1</t>
        </is>
      </c>
      <c r="L3687" t="inlineStr">
        <is>
          <t>19/03/2026 07:52</t>
        </is>
      </c>
      <c r="M3687" t="inlineStr">
        <is>
          <t>None</t>
        </is>
      </c>
      <c r="N3687" t="inlineStr">
        <is>
          <t>&lt;p&gt;&lt;/p&gt;</t>
        </is>
      </c>
      <c r="O3687" t="inlineStr"/>
      <c r="P3687" t="inlineStr"/>
      <c r="Q3687" t="inlineStr">
        <is>
          <t>UKPN</t>
        </is>
      </c>
      <c r="R3687" t="b">
        <v>0</v>
      </c>
    </row>
    <row r="3688">
      <c r="A3688" t="inlineStr">
        <is>
          <t>19 Mar 2026 / 7996 M G Tree Surgery Ltd</t>
        </is>
      </c>
      <c r="B3688" t="inlineStr">
        <is>
          <t>Utilities</t>
        </is>
      </c>
      <c r="C3688" t="inlineStr">
        <is>
          <t>UKPN</t>
        </is>
      </c>
      <c r="D3688" t="inlineStr">
        <is>
          <t>GU13 WNL , MEWP , Land Rover , Defender 130</t>
        </is>
      </c>
      <c r="E3688" t="inlineStr">
        <is>
          <t>GU13 WNL , MEWP , Land Rover , Defender 130</t>
        </is>
      </c>
      <c r="F3688" t="inlineStr">
        <is>
          <t>GU13 WNL , MEWP , Land Rover , Defender 130</t>
        </is>
      </c>
      <c r="G3688" t="inlineStr">
        <is>
          <t>Max</t>
        </is>
      </c>
      <c r="H3688" t="inlineStr">
        <is>
          <t>4x4</t>
        </is>
      </c>
      <c r="I3688" t="inlineStr">
        <is>
          <t>Daily/ Weekly Vehicle Inspection</t>
        </is>
      </c>
      <c r="J3688" t="inlineStr">
        <is>
          <t>N/A</t>
        </is>
      </c>
      <c r="K3688" t="inlineStr">
        <is>
          <t>7996 M G Tree Surgery Ltd</t>
        </is>
      </c>
      <c r="L3688" t="inlineStr">
        <is>
          <t>19/03/2026 08:45</t>
        </is>
      </c>
      <c r="M3688" t="inlineStr">
        <is>
          <t>None</t>
        </is>
      </c>
      <c r="N3688" t="inlineStr">
        <is>
          <t>&lt;p&gt;&lt;/p&gt;</t>
        </is>
      </c>
      <c r="O3688" t="inlineStr"/>
      <c r="P3688" t="inlineStr">
        <is>
          <t>GU13 WNL , MEWP , Land Rover , Defender 130</t>
        </is>
      </c>
      <c r="Q3688" t="inlineStr">
        <is>
          <t>UKPN</t>
        </is>
      </c>
      <c r="R3688" t="b">
        <v>0</v>
      </c>
    </row>
    <row r="3689">
      <c r="A3689" t="inlineStr">
        <is>
          <t>19 Mar 2026 / Benet Jones</t>
        </is>
      </c>
      <c r="B3689" t="inlineStr">
        <is>
          <t>Utilities</t>
        </is>
      </c>
      <c r="C3689" t="inlineStr">
        <is>
          <t>NGED</t>
        </is>
      </c>
      <c r="D3689" t="inlineStr">
        <is>
          <t>GF71TXC , Car - Electric , Tesla , Model 3 Long Range AWD</t>
        </is>
      </c>
      <c r="E3689" t="inlineStr">
        <is>
          <t>GF71TXC , Car - Electric , Tesla , Model 3 Long Range AWD</t>
        </is>
      </c>
      <c r="F3689" t="inlineStr">
        <is>
          <t>GF71TXC , Car - Electric , Tesla , Model 3 Long Range AWD</t>
        </is>
      </c>
      <c r="G3689" t="inlineStr">
        <is>
          <t xml:space="preserve">Benet Jones </t>
        </is>
      </c>
      <c r="H3689" t="inlineStr">
        <is>
          <t>Car - Electric (GC Owned)</t>
        </is>
      </c>
      <c r="I3689" t="inlineStr">
        <is>
          <t>Daily/ Weekly Vehicle Inspection</t>
        </is>
      </c>
      <c r="J3689" t="inlineStr">
        <is>
          <t>N/A</t>
        </is>
      </c>
      <c r="K3689" t="inlineStr">
        <is>
          <t>Benet Jones</t>
        </is>
      </c>
      <c r="L3689" t="inlineStr">
        <is>
          <t>19/03/2026 08:46</t>
        </is>
      </c>
      <c r="M3689" t="inlineStr">
        <is>
          <t>None</t>
        </is>
      </c>
      <c r="N3689" t="inlineStr">
        <is>
          <t>&lt;p&gt;&lt;/p&gt;</t>
        </is>
      </c>
      <c r="O3689" t="inlineStr">
        <is>
          <t>Confirm that you have checked this vehicle as per the guidance document and the vehicle is safe and roadworthy:Car checked and fully serviceable
-</t>
        </is>
      </c>
      <c r="P3689" t="inlineStr">
        <is>
          <t>GF71TXC , Car - Electric , Tesla , Model 3 Long Range AWD</t>
        </is>
      </c>
      <c r="Q3689" t="inlineStr">
        <is>
          <t>NGED</t>
        </is>
      </c>
      <c r="R3689" t="b">
        <v>0</v>
      </c>
    </row>
    <row r="3690">
      <c r="A3690" t="inlineStr">
        <is>
          <t>19 Mar 2026 / 8148 Hope Ground and Tree Care</t>
        </is>
      </c>
      <c r="B3690" t="inlineStr">
        <is>
          <t>Utilities</t>
        </is>
      </c>
      <c r="C3690" t="inlineStr">
        <is>
          <t>UKPN</t>
        </is>
      </c>
      <c r="D3690" t="inlineStr"/>
      <c r="E3690" t="inlineStr"/>
      <c r="F3690" t="inlineStr"/>
      <c r="G3690" t="inlineStr"/>
      <c r="H3690" t="inlineStr"/>
      <c r="I3690" t="inlineStr">
        <is>
          <t>Add to Vehicle to the GC Vehicle List</t>
        </is>
      </c>
      <c r="J3690" t="inlineStr">
        <is>
          <t>N/A</t>
        </is>
      </c>
      <c r="K3690" t="inlineStr">
        <is>
          <t>8148 Hope Ground and Tree Care</t>
        </is>
      </c>
      <c r="L3690" t="inlineStr">
        <is>
          <t>19/03/2026 08:48</t>
        </is>
      </c>
      <c r="M3690" t="inlineStr">
        <is>
          <t>None</t>
        </is>
      </c>
      <c r="N3690" t="inlineStr">
        <is>
          <t>&lt;p&gt;&lt;/p&gt;</t>
        </is>
      </c>
      <c r="O3690" t="inlineStr"/>
      <c r="P3690" t="inlineStr"/>
      <c r="Q3690" t="inlineStr">
        <is>
          <t>UKPN</t>
        </is>
      </c>
      <c r="R3690" t="b">
        <v>0</v>
      </c>
    </row>
    <row r="3691">
      <c r="A3691" t="inlineStr">
        <is>
          <t>19 Mar 2026 / Jake Bolwell</t>
        </is>
      </c>
      <c r="B3691" t="inlineStr">
        <is>
          <t>Utilities</t>
        </is>
      </c>
      <c r="C3691" t="inlineStr">
        <is>
          <t>SSE</t>
        </is>
      </c>
      <c r="D3691" t="inlineStr">
        <is>
          <t>AK23YLP , Car - Electric , Tesla , Model Y Long Range</t>
        </is>
      </c>
      <c r="E3691" t="inlineStr">
        <is>
          <t>AK23YLP , Car - Electric , Tesla , Model Y Long Range</t>
        </is>
      </c>
      <c r="F3691" t="inlineStr">
        <is>
          <t>AK23YLP , Car - Electric , Tesla , Model Y Long Range</t>
        </is>
      </c>
      <c r="G3691" t="inlineStr">
        <is>
          <t>Jake Bolwell</t>
        </is>
      </c>
      <c r="H3691" t="inlineStr">
        <is>
          <t>Car - Electric (GC Owned)</t>
        </is>
      </c>
      <c r="I3691" t="inlineStr">
        <is>
          <t>Daily/ Weekly Vehicle Inspection</t>
        </is>
      </c>
      <c r="J3691" t="inlineStr">
        <is>
          <t>N/A</t>
        </is>
      </c>
      <c r="K3691" t="inlineStr">
        <is>
          <t>Jake Bolwell</t>
        </is>
      </c>
      <c r="L3691" t="inlineStr">
        <is>
          <t>19/03/2026 09:47</t>
        </is>
      </c>
      <c r="M3691" t="inlineStr">
        <is>
          <t>None</t>
        </is>
      </c>
      <c r="N3691" t="inlineStr">
        <is>
          <t>&lt;p&gt;&lt;/p&gt;</t>
        </is>
      </c>
      <c r="O3691" t="inlineStr"/>
      <c r="P3691" t="inlineStr">
        <is>
          <t>AK23YLP , Car - Electric , Tesla , Model Y Long Range</t>
        </is>
      </c>
      <c r="Q3691" t="inlineStr">
        <is>
          <t>SSE</t>
        </is>
      </c>
      <c r="R3691" t="b">
        <v>0</v>
      </c>
    </row>
    <row r="3692">
      <c r="A3692" t="inlineStr">
        <is>
          <t>19 Mar 2026 / Alexander Damar</t>
        </is>
      </c>
      <c r="B3692" t="inlineStr">
        <is>
          <t>Utilities</t>
        </is>
      </c>
      <c r="C3692" t="inlineStr">
        <is>
          <t>UKPN</t>
        </is>
      </c>
      <c r="D3692" t="inlineStr"/>
      <c r="E3692" t="inlineStr"/>
      <c r="F3692" t="inlineStr"/>
      <c r="G3692" t="inlineStr">
        <is>
          <t>A Damar</t>
        </is>
      </c>
      <c r="H3692" t="inlineStr">
        <is>
          <t>Car - Petrol</t>
        </is>
      </c>
      <c r="I3692" t="inlineStr">
        <is>
          <t>Daily/ Weekly Vehicle Inspection</t>
        </is>
      </c>
      <c r="J3692" t="inlineStr">
        <is>
          <t>N/A</t>
        </is>
      </c>
      <c r="K3692" t="inlineStr">
        <is>
          <t>Alexander Damar</t>
        </is>
      </c>
      <c r="L3692" t="inlineStr">
        <is>
          <t>19/03/2026 15:46</t>
        </is>
      </c>
      <c r="M3692" t="inlineStr">
        <is>
          <t>None</t>
        </is>
      </c>
      <c r="N3692" t="inlineStr">
        <is>
          <t>&lt;p&gt;&lt;/p&gt;</t>
        </is>
      </c>
      <c r="O3692" t="inlineStr"/>
      <c r="P3692" t="inlineStr"/>
      <c r="Q3692" t="inlineStr">
        <is>
          <t>UKPN</t>
        </is>
      </c>
      <c r="R3692" t="b">
        <v>0</v>
      </c>
    </row>
    <row r="3693">
      <c r="A3693" t="inlineStr">
        <is>
          <t>20 Mar 2026 / 6617 Ashdown Tree Limited 1</t>
        </is>
      </c>
      <c r="B3693" t="inlineStr">
        <is>
          <t>Utilities</t>
        </is>
      </c>
      <c r="C3693" t="inlineStr">
        <is>
          <t>UKPN</t>
        </is>
      </c>
      <c r="D3693" t="inlineStr">
        <is>
          <t>WG63OJS , 4x4 , Land rover  , defender</t>
        </is>
      </c>
      <c r="E3693" t="inlineStr">
        <is>
          <t>WG63OJS , 4x4 , Land rover  , defender</t>
        </is>
      </c>
      <c r="F3693" t="inlineStr">
        <is>
          <t>WG63OJS , 4x4 , Land rover  , defender</t>
        </is>
      </c>
      <c r="G3693" t="inlineStr">
        <is>
          <t>Dan</t>
        </is>
      </c>
      <c r="H3693" t="inlineStr">
        <is>
          <t>4x4</t>
        </is>
      </c>
      <c r="I3693" t="inlineStr">
        <is>
          <t>Daily/ Weekly Vehicle Inspection</t>
        </is>
      </c>
      <c r="J3693" t="inlineStr">
        <is>
          <t>N/A</t>
        </is>
      </c>
      <c r="K3693" t="inlineStr">
        <is>
          <t>6617 Ashdown Tree Limited - Team 2</t>
        </is>
      </c>
      <c r="L3693" t="inlineStr">
        <is>
          <t>20/03/2026 06:45</t>
        </is>
      </c>
      <c r="M3693" t="inlineStr">
        <is>
          <t>None</t>
        </is>
      </c>
      <c r="N3693" t="inlineStr">
        <is>
          <t>&lt;p&gt;&lt;/p&gt;</t>
        </is>
      </c>
      <c r="O3693" t="inlineStr"/>
      <c r="P3693" t="inlineStr">
        <is>
          <t>WG63OJS , 4x4 , Land rover  , defender</t>
        </is>
      </c>
      <c r="Q3693" t="inlineStr">
        <is>
          <t>UKPN</t>
        </is>
      </c>
      <c r="R3693" t="b">
        <v>0</v>
      </c>
    </row>
    <row r="3694">
      <c r="A3694" t="inlineStr">
        <is>
          <t>20 Mar 2026 / 7996 M G Tree Surgery Ltd 1</t>
        </is>
      </c>
      <c r="B3694" t="inlineStr">
        <is>
          <t>Utilities</t>
        </is>
      </c>
      <c r="C3694" t="inlineStr">
        <is>
          <t>UKPN</t>
        </is>
      </c>
      <c r="D3694" t="inlineStr">
        <is>
          <t>KX20 BCE , Tipper , Isuzu , D-Max</t>
        </is>
      </c>
      <c r="E3694" t="inlineStr">
        <is>
          <t>KX20 BCE , Tipper , Isuzu , D-Max</t>
        </is>
      </c>
      <c r="F3694" t="inlineStr">
        <is>
          <t>KX20 BCE , Tipper , Isuzu , D-Max</t>
        </is>
      </c>
      <c r="G3694" t="inlineStr">
        <is>
          <t>Anthony Gale</t>
        </is>
      </c>
      <c r="H3694" t="inlineStr">
        <is>
          <t>Pickup Truck</t>
        </is>
      </c>
      <c r="I3694" t="inlineStr">
        <is>
          <t>Daily/ Weekly Vehicle Inspection</t>
        </is>
      </c>
      <c r="J3694" t="inlineStr">
        <is>
          <t>N/A</t>
        </is>
      </c>
      <c r="K3694" t="inlineStr">
        <is>
          <t>7996 M G Tree Surgery Ltd 1</t>
        </is>
      </c>
      <c r="L3694" t="inlineStr">
        <is>
          <t>20/03/2026 06:46</t>
        </is>
      </c>
      <c r="M3694" t="inlineStr">
        <is>
          <t>None</t>
        </is>
      </c>
      <c r="N3694" t="inlineStr">
        <is>
          <t>&lt;p&gt;&lt;/p&gt;</t>
        </is>
      </c>
      <c r="O3694" t="inlineStr"/>
      <c r="P3694" t="inlineStr">
        <is>
          <t>KX20 BCE , Tipper , Isuzu , D-Max</t>
        </is>
      </c>
      <c r="Q3694" t="inlineStr">
        <is>
          <t>UKPN</t>
        </is>
      </c>
      <c r="R3694" t="b">
        <v>0</v>
      </c>
    </row>
    <row r="3695">
      <c r="A3695" t="inlineStr">
        <is>
          <t>20 Mar 2026 / 7996 M G Tree Surgery Ltd 1</t>
        </is>
      </c>
      <c r="B3695" t="inlineStr">
        <is>
          <t>Utilities</t>
        </is>
      </c>
      <c r="C3695" t="inlineStr">
        <is>
          <t>UKPN</t>
        </is>
      </c>
      <c r="D3695" t="inlineStr"/>
      <c r="E3695" t="inlineStr"/>
      <c r="F3695" t="inlineStr"/>
      <c r="G3695" t="inlineStr">
        <is>
          <t>Anthony Gale</t>
        </is>
      </c>
      <c r="H3695" t="inlineStr">
        <is>
          <t>Plant Trailer</t>
        </is>
      </c>
      <c r="I3695" t="inlineStr">
        <is>
          <t>Daily/ Weekly Vehicle Inspection</t>
        </is>
      </c>
      <c r="J3695" t="inlineStr">
        <is>
          <t>N/A</t>
        </is>
      </c>
      <c r="K3695" t="inlineStr">
        <is>
          <t>7996 M G Tree Surgery Ltd 1</t>
        </is>
      </c>
      <c r="L3695" t="inlineStr">
        <is>
          <t>20/03/2026 07:45</t>
        </is>
      </c>
      <c r="M3695" t="inlineStr">
        <is>
          <t>None</t>
        </is>
      </c>
      <c r="N3695" t="inlineStr">
        <is>
          <t>&lt;p&gt;&lt;/p&gt;</t>
        </is>
      </c>
      <c r="O3695" t="inlineStr"/>
      <c r="P3695" t="inlineStr"/>
      <c r="Q3695" t="inlineStr">
        <is>
          <t>UKPN</t>
        </is>
      </c>
      <c r="R3695" t="b">
        <v>0</v>
      </c>
    </row>
    <row r="3696">
      <c r="A3696" t="inlineStr">
        <is>
          <t>20 Mar 2026 / 7186 Eastwoodbury Tree Services Ltd 1</t>
        </is>
      </c>
      <c r="B3696" t="inlineStr">
        <is>
          <t>Utilities</t>
        </is>
      </c>
      <c r="C3696" t="inlineStr">
        <is>
          <t>UKPN</t>
        </is>
      </c>
      <c r="D3696" t="inlineStr">
        <is>
          <t>WF13 EKT , 4x4 , Land rover  , Defender</t>
        </is>
      </c>
      <c r="E3696" t="inlineStr">
        <is>
          <t>WF13 EKT , 4x4 , Land rover  , Defender</t>
        </is>
      </c>
      <c r="F3696" t="inlineStr">
        <is>
          <t>WF13 EKT , 4x4 , Land rover  , Defender</t>
        </is>
      </c>
      <c r="G3696" t="inlineStr">
        <is>
          <t xml:space="preserve">Jay </t>
        </is>
      </c>
      <c r="H3696" t="inlineStr">
        <is>
          <t>4x4</t>
        </is>
      </c>
      <c r="I3696" t="inlineStr">
        <is>
          <t>Daily/ Weekly Vehicle Inspection</t>
        </is>
      </c>
      <c r="J3696" t="inlineStr">
        <is>
          <t>N/A</t>
        </is>
      </c>
      <c r="K3696" t="inlineStr">
        <is>
          <t>7186 Eastwoodbury Tree Services Ltd 1</t>
        </is>
      </c>
      <c r="L3696" t="inlineStr">
        <is>
          <t>20/03/2026 07:46</t>
        </is>
      </c>
      <c r="M3696" t="inlineStr">
        <is>
          <t>None</t>
        </is>
      </c>
      <c r="N3696" t="inlineStr">
        <is>
          <t>&lt;p&gt;&lt;/p&gt;</t>
        </is>
      </c>
      <c r="O3696" t="inlineStr"/>
      <c r="P3696" t="inlineStr">
        <is>
          <t>WF13 EKT , 4x4 , Land rover  , Defender</t>
        </is>
      </c>
      <c r="Q3696" t="inlineStr">
        <is>
          <t>UKPN</t>
        </is>
      </c>
      <c r="R3696" t="b">
        <v>0</v>
      </c>
    </row>
    <row r="3697">
      <c r="A3697" t="inlineStr">
        <is>
          <t>20 Mar 2026 / 7889 Tree Tech Suffolk Ltd</t>
        </is>
      </c>
      <c r="B3697" t="inlineStr">
        <is>
          <t>Utilities &amp; Inland Waterways</t>
        </is>
      </c>
      <c r="C3697" t="inlineStr">
        <is>
          <t>UKPN</t>
        </is>
      </c>
      <c r="D3697" t="inlineStr">
        <is>
          <t>Tipper - Nissan - Navara - NS02TTSTow Chipper - Jenson - A530L - 5521063948</t>
        </is>
      </c>
      <c r="E3697" t="inlineStr">
        <is>
          <t>Tipper - Nissan - Navara - NS02TTSTow Chipper - Jenson - A530L - 5521063948</t>
        </is>
      </c>
      <c r="F3697" t="inlineStr">
        <is>
          <t>Tipper - Nissan - Navara - NS02TTSTow Chipper - Jenson - A530L - 5521063948</t>
        </is>
      </c>
      <c r="G3697" t="inlineStr">
        <is>
          <t xml:space="preserve">Danny ApplebyDanny Appleby </t>
        </is>
      </c>
      <c r="H3697" t="inlineStr">
        <is>
          <t>TipperTowed Chipper</t>
        </is>
      </c>
      <c r="I3697" t="inlineStr">
        <is>
          <t>Daily/ Weekly Vehicle Inspection</t>
        </is>
      </c>
      <c r="J3697" t="inlineStr">
        <is>
          <t>N/A</t>
        </is>
      </c>
      <c r="K3697" t="inlineStr">
        <is>
          <t>7889 Tree Tech Suffolk Ltd</t>
        </is>
      </c>
      <c r="L3697" t="inlineStr">
        <is>
          <t>20/03/2026 07:49</t>
        </is>
      </c>
      <c r="M3697" t="inlineStr">
        <is>
          <t>None</t>
        </is>
      </c>
      <c r="N3697" t="inlineStr">
        <is>
          <t>&lt;p&gt;&lt;/p&gt;</t>
        </is>
      </c>
      <c r="O3697" t="inlineStr"/>
      <c r="P3697" t="inlineStr">
        <is>
          <t>Tipper - Nissan - Navara - NS02TTSTow Chipper - Jenson - A530L - 5521063948</t>
        </is>
      </c>
      <c r="Q3697" t="inlineStr">
        <is>
          <t>UKPN</t>
        </is>
      </c>
      <c r="R3697" t="b">
        <v>0</v>
      </c>
    </row>
    <row r="3698">
      <c r="A3698" t="inlineStr">
        <is>
          <t>20 Mar 2026 / Jodie Bowen</t>
        </is>
      </c>
      <c r="B3698" t="inlineStr">
        <is>
          <t>Utilities</t>
        </is>
      </c>
      <c r="C3698" t="inlineStr">
        <is>
          <t>UKPN</t>
        </is>
      </c>
      <c r="D3698" t="inlineStr">
        <is>
          <t>AF22XRA , Car - Electric , Tesla , Model 3 Long Range AWD</t>
        </is>
      </c>
      <c r="E3698" t="inlineStr">
        <is>
          <t>AF22XRA , Car - Electric , Tesla , Model 3 Long Range AWD</t>
        </is>
      </c>
      <c r="F3698" t="inlineStr">
        <is>
          <t>AF22XRA , Car - Electric , Tesla , Model 3 Long Range AWD</t>
        </is>
      </c>
      <c r="G3698" t="inlineStr">
        <is>
          <t>Jodie Bowen</t>
        </is>
      </c>
      <c r="H3698" t="inlineStr">
        <is>
          <t>Car - Electric (GC Owned)</t>
        </is>
      </c>
      <c r="I3698" t="inlineStr">
        <is>
          <t>Daily/ Weekly Vehicle Inspection</t>
        </is>
      </c>
      <c r="J3698" t="inlineStr">
        <is>
          <t>N/A</t>
        </is>
      </c>
      <c r="K3698" t="inlineStr">
        <is>
          <t>Jodie Bowen</t>
        </is>
      </c>
      <c r="L3698" t="inlineStr">
        <is>
          <t>20/03/2026 07:49</t>
        </is>
      </c>
      <c r="M3698" t="inlineStr">
        <is>
          <t>None</t>
        </is>
      </c>
      <c r="N3698" t="inlineStr">
        <is>
          <t>&lt;p&gt;&lt;/p&gt;</t>
        </is>
      </c>
      <c r="O3698" t="inlineStr"/>
      <c r="P3698" t="inlineStr">
        <is>
          <t>AF22XRA , Car - Electric , Tesla , Model 3 Long Range AWD</t>
        </is>
      </c>
      <c r="Q3698" t="inlineStr">
        <is>
          <t>UKPN</t>
        </is>
      </c>
      <c r="R3698" t="b">
        <v>0</v>
      </c>
    </row>
    <row r="3699">
      <c r="A3699" t="inlineStr">
        <is>
          <t>20 Mar 2026 / Harry Bellis</t>
        </is>
      </c>
      <c r="B3699" t="inlineStr">
        <is>
          <t>Utilities</t>
        </is>
      </c>
      <c r="C3699" t="inlineStr">
        <is>
          <t>SSE</t>
        </is>
      </c>
      <c r="D3699" t="inlineStr">
        <is>
          <t>EO73KUG , Car - Electric , Kia , Niro</t>
        </is>
      </c>
      <c r="E3699" t="inlineStr">
        <is>
          <t>EO73KUG , Car - Electric , Kia , Niro</t>
        </is>
      </c>
      <c r="F3699" t="inlineStr">
        <is>
          <t>EO73KUG , Car - Electric , Kia , Niro</t>
        </is>
      </c>
      <c r="G3699" t="inlineStr">
        <is>
          <t>Harry Bellis</t>
        </is>
      </c>
      <c r="H3699" t="inlineStr">
        <is>
          <t>Car - Electric (GC Owned)</t>
        </is>
      </c>
      <c r="I3699" t="inlineStr">
        <is>
          <t>Daily/ Weekly Vehicle Inspection</t>
        </is>
      </c>
      <c r="J3699" t="inlineStr">
        <is>
          <t>N/A</t>
        </is>
      </c>
      <c r="K3699" t="inlineStr">
        <is>
          <t>Harry Bellis</t>
        </is>
      </c>
      <c r="L3699" t="inlineStr">
        <is>
          <t>20/03/2026 08:45</t>
        </is>
      </c>
      <c r="M3699" t="inlineStr">
        <is>
          <t>None</t>
        </is>
      </c>
      <c r="N3699" t="inlineStr">
        <is>
          <t>&lt;p&gt;&lt;/p&gt;</t>
        </is>
      </c>
      <c r="O3699" t="inlineStr"/>
      <c r="P3699" t="inlineStr">
        <is>
          <t>EO73KUG , Car - Electric , Kia , Niro</t>
        </is>
      </c>
      <c r="Q3699" t="inlineStr">
        <is>
          <t>SSE</t>
        </is>
      </c>
      <c r="R3699" t="b">
        <v>0</v>
      </c>
    </row>
    <row r="3700">
      <c r="A3700" t="inlineStr">
        <is>
          <t>20 Mar 2026 / 7995 Green Net Eco Ltd 2</t>
        </is>
      </c>
      <c r="B3700" t="inlineStr">
        <is>
          <t>Utilities</t>
        </is>
      </c>
      <c r="C3700" t="inlineStr">
        <is>
          <t>UKPN</t>
        </is>
      </c>
      <c r="D3700" t="inlineStr">
        <is>
          <t>SA9ST800000283944 , Towed Chipper , Forst , ST8D - Towed</t>
        </is>
      </c>
      <c r="E3700" t="inlineStr">
        <is>
          <t>SA9ST800000283944 , Towed Chipper , Forst , ST8D - Towed</t>
        </is>
      </c>
      <c r="F3700" t="inlineStr">
        <is>
          <t>SA9ST800000283944 , Towed Chipper , Forst , ST8D - Towed</t>
        </is>
      </c>
      <c r="G3700" t="inlineStr">
        <is>
          <t xml:space="preserve">Thomas Playford </t>
        </is>
      </c>
      <c r="H3700" t="inlineStr">
        <is>
          <t>Towed Chipper</t>
        </is>
      </c>
      <c r="I3700" t="inlineStr">
        <is>
          <t>Daily/ Weekly Vehicle Inspection</t>
        </is>
      </c>
      <c r="J3700" t="inlineStr">
        <is>
          <t>N/A</t>
        </is>
      </c>
      <c r="K3700" t="inlineStr">
        <is>
          <t>7995 Green Net Eco Ltd 2</t>
        </is>
      </c>
      <c r="L3700" t="inlineStr">
        <is>
          <t>20/03/2026 08:46</t>
        </is>
      </c>
      <c r="M3700" t="inlineStr">
        <is>
          <t>None</t>
        </is>
      </c>
      <c r="N3700" t="inlineStr">
        <is>
          <t>&lt;p&gt;&lt;/p&gt;</t>
        </is>
      </c>
      <c r="O3700" t="inlineStr"/>
      <c r="P3700" t="inlineStr">
        <is>
          <t>SA9ST800000283944 , Towed Chipper , Forst , ST8D - Towed</t>
        </is>
      </c>
      <c r="Q3700" t="inlineStr">
        <is>
          <t>UKPN</t>
        </is>
      </c>
      <c r="R3700" t="b">
        <v>0</v>
      </c>
    </row>
    <row r="3701">
      <c r="A3701" t="inlineStr">
        <is>
          <t>20 Mar 2026 / 7995 Green Net Eco Ltd 2</t>
        </is>
      </c>
      <c r="B3701" t="inlineStr">
        <is>
          <t>Utilities</t>
        </is>
      </c>
      <c r="C3701" t="inlineStr">
        <is>
          <t>UKPN</t>
        </is>
      </c>
      <c r="D3701" t="inlineStr">
        <is>
          <t>LK15KRZ , 4x4 , Landrover , Defender</t>
        </is>
      </c>
      <c r="E3701" t="inlineStr">
        <is>
          <t>LK15KRZ , 4x4 , Landrover , Defender</t>
        </is>
      </c>
      <c r="F3701" t="inlineStr">
        <is>
          <t>LK15KRZ , 4x4 , Landrover , Defender</t>
        </is>
      </c>
      <c r="G3701" t="inlineStr">
        <is>
          <t>Thomas Playford</t>
        </is>
      </c>
      <c r="H3701" t="inlineStr">
        <is>
          <t>4x4</t>
        </is>
      </c>
      <c r="I3701" t="inlineStr">
        <is>
          <t>Daily/ Weekly Vehicle Inspection</t>
        </is>
      </c>
      <c r="J3701" t="inlineStr">
        <is>
          <t>N/A</t>
        </is>
      </c>
      <c r="K3701" t="inlineStr">
        <is>
          <t>7995 Green Net Eco Ltd 2</t>
        </is>
      </c>
      <c r="L3701" t="inlineStr">
        <is>
          <t>20/03/2026 08:46</t>
        </is>
      </c>
      <c r="M3701" t="inlineStr">
        <is>
          <t>None</t>
        </is>
      </c>
      <c r="N3701" t="inlineStr">
        <is>
          <t>&lt;p&gt;&lt;/p&gt;</t>
        </is>
      </c>
      <c r="O3701" t="inlineStr"/>
      <c r="P3701" t="inlineStr">
        <is>
          <t>LK15KRZ , 4x4 , Landrover , Defender</t>
        </is>
      </c>
      <c r="Q3701" t="inlineStr">
        <is>
          <t>UKPN</t>
        </is>
      </c>
      <c r="R3701" t="b">
        <v>0</v>
      </c>
    </row>
    <row r="3702">
      <c r="A3702" t="inlineStr">
        <is>
          <t>19 Mar 2026 / 7995 Green Net Eco Ltd 2</t>
        </is>
      </c>
      <c r="B3702" t="inlineStr">
        <is>
          <t>Utilities</t>
        </is>
      </c>
      <c r="C3702" t="inlineStr">
        <is>
          <t>UKPN</t>
        </is>
      </c>
      <c r="D3702" t="inlineStr">
        <is>
          <t>SA9ST800000283944 , Towed Chipper , Forst , ST8D - Towed</t>
        </is>
      </c>
      <c r="E3702" t="inlineStr">
        <is>
          <t>SA9ST800000283944 , Towed Chipper , Forst , ST8D - Towed</t>
        </is>
      </c>
      <c r="F3702" t="inlineStr">
        <is>
          <t>SA9ST800000283944 , Towed Chipper , Forst , ST8D - Towed</t>
        </is>
      </c>
      <c r="G3702" t="inlineStr">
        <is>
          <t>Jacob Oram</t>
        </is>
      </c>
      <c r="H3702" t="inlineStr">
        <is>
          <t>Towed Chipper</t>
        </is>
      </c>
      <c r="I3702" t="inlineStr">
        <is>
          <t>Daily/ Weekly Vehicle Inspection</t>
        </is>
      </c>
      <c r="J3702" t="inlineStr">
        <is>
          <t>N/A</t>
        </is>
      </c>
      <c r="K3702" t="inlineStr">
        <is>
          <t>7995 Green Net Eco Ltd 2</t>
        </is>
      </c>
      <c r="L3702" t="inlineStr">
        <is>
          <t>20/03/2026 08:47</t>
        </is>
      </c>
      <c r="M3702" t="inlineStr">
        <is>
          <t>None</t>
        </is>
      </c>
      <c r="N3702" t="inlineStr">
        <is>
          <t>&lt;p&gt;&lt;/p&gt;</t>
        </is>
      </c>
      <c r="O3702" t="inlineStr"/>
      <c r="P3702" t="inlineStr">
        <is>
          <t>SA9ST800000283944 , Towed Chipper , Forst , ST8D - Towed</t>
        </is>
      </c>
      <c r="Q3702" t="inlineStr">
        <is>
          <t>UKPN</t>
        </is>
      </c>
      <c r="R3702" t="b">
        <v>0</v>
      </c>
    </row>
    <row r="3703">
      <c r="A3703" t="inlineStr">
        <is>
          <t>19 Mar 2026 / 7995 Green Net Eco Ltd 2</t>
        </is>
      </c>
      <c r="B3703" t="inlineStr">
        <is>
          <t>Utilities</t>
        </is>
      </c>
      <c r="C3703" t="inlineStr">
        <is>
          <t>UKPN</t>
        </is>
      </c>
      <c r="D3703" t="inlineStr">
        <is>
          <t>LK15KRZ , 4x4 , Landrover , Defender</t>
        </is>
      </c>
      <c r="E3703" t="inlineStr">
        <is>
          <t>LK15KRZ , 4x4 , Landrover , Defender</t>
        </is>
      </c>
      <c r="F3703" t="inlineStr">
        <is>
          <t>LK15KRZ , 4x4 , Landrover , Defender</t>
        </is>
      </c>
      <c r="G3703" t="inlineStr">
        <is>
          <t>Jacob Oram</t>
        </is>
      </c>
      <c r="H3703" t="inlineStr">
        <is>
          <t>4x4</t>
        </is>
      </c>
      <c r="I3703" t="inlineStr">
        <is>
          <t>Daily/ Weekly Vehicle Inspection</t>
        </is>
      </c>
      <c r="J3703" t="inlineStr">
        <is>
          <t>N/A</t>
        </is>
      </c>
      <c r="K3703" t="inlineStr">
        <is>
          <t>7995 Green Net Eco Ltd 2</t>
        </is>
      </c>
      <c r="L3703" t="inlineStr">
        <is>
          <t>20/03/2026 08:48</t>
        </is>
      </c>
      <c r="M3703" t="inlineStr">
        <is>
          <t>None</t>
        </is>
      </c>
      <c r="N3703" t="inlineStr">
        <is>
          <t>&lt;p&gt;&lt;/p&gt;</t>
        </is>
      </c>
      <c r="O3703" t="inlineStr"/>
      <c r="P3703" t="inlineStr">
        <is>
          <t>LK15KRZ , 4x4 , Landrover , Defender</t>
        </is>
      </c>
      <c r="Q3703" t="inlineStr">
        <is>
          <t>UKPN</t>
        </is>
      </c>
      <c r="R3703" t="b">
        <v>0</v>
      </c>
    </row>
    <row r="3704">
      <c r="A3704" t="inlineStr">
        <is>
          <t>19 Mar 2026 / 7995 Green Net Eco Ltd 2</t>
        </is>
      </c>
      <c r="B3704" t="inlineStr">
        <is>
          <t>Utilities</t>
        </is>
      </c>
      <c r="C3704" t="inlineStr">
        <is>
          <t>UKPN</t>
        </is>
      </c>
      <c r="D3704" t="inlineStr">
        <is>
          <t>X21TNP , 4x4 , Toyota , Hilux</t>
        </is>
      </c>
      <c r="E3704" t="inlineStr">
        <is>
          <t>X21TNP , 4x4 , Toyota , Hilux</t>
        </is>
      </c>
      <c r="F3704" t="inlineStr">
        <is>
          <t>X21TNP , 4x4 , Toyota , Hilux</t>
        </is>
      </c>
      <c r="G3704" t="inlineStr">
        <is>
          <t>Thomas Playford</t>
        </is>
      </c>
      <c r="H3704" t="inlineStr">
        <is>
          <t>4x4</t>
        </is>
      </c>
      <c r="I3704" t="inlineStr">
        <is>
          <t>Daily/ Weekly Vehicle Inspection</t>
        </is>
      </c>
      <c r="J3704" t="inlineStr">
        <is>
          <t>N/A</t>
        </is>
      </c>
      <c r="K3704" t="inlineStr">
        <is>
          <t>7995 Green Net Eco Ltd 2</t>
        </is>
      </c>
      <c r="L3704" t="inlineStr">
        <is>
          <t>20/03/2026 08:49</t>
        </is>
      </c>
      <c r="M3704" t="inlineStr">
        <is>
          <t>None</t>
        </is>
      </c>
      <c r="N3704" t="inlineStr">
        <is>
          <t>&lt;p&gt;&lt;/p&gt;</t>
        </is>
      </c>
      <c r="O3704" t="inlineStr"/>
      <c r="P3704" t="inlineStr">
        <is>
          <t>X21TNP , 4x4 , Toyota , Hilux</t>
        </is>
      </c>
      <c r="Q3704" t="inlineStr">
        <is>
          <t>UKPN</t>
        </is>
      </c>
      <c r="R3704" t="b">
        <v>0</v>
      </c>
    </row>
    <row r="3705">
      <c r="A3705" t="inlineStr">
        <is>
          <t>20 Mar 2026 / 7996 M G Tree Surgery Ltd 1</t>
        </is>
      </c>
      <c r="B3705" t="inlineStr">
        <is>
          <t>Utilities</t>
        </is>
      </c>
      <c r="C3705" t="inlineStr">
        <is>
          <t>UKPN</t>
        </is>
      </c>
      <c r="D3705" t="inlineStr"/>
      <c r="E3705" t="inlineStr"/>
      <c r="F3705" t="inlineStr"/>
      <c r="G3705" t="inlineStr">
        <is>
          <t>Anthony Gale</t>
        </is>
      </c>
      <c r="H3705" t="inlineStr">
        <is>
          <t>Plant Trailer</t>
        </is>
      </c>
      <c r="I3705" t="inlineStr">
        <is>
          <t>Daily/ Weekly Vehicle Inspection</t>
        </is>
      </c>
      <c r="J3705" t="inlineStr">
        <is>
          <t>N/A</t>
        </is>
      </c>
      <c r="K3705" t="inlineStr">
        <is>
          <t>7996 M G Tree Surgery Ltd 1</t>
        </is>
      </c>
      <c r="L3705" t="inlineStr">
        <is>
          <t>20/03/2026 19:45</t>
        </is>
      </c>
      <c r="M3705" t="inlineStr">
        <is>
          <t>None</t>
        </is>
      </c>
      <c r="N3705" t="inlineStr">
        <is>
          <t>&lt;p&gt;&lt;/p&gt;</t>
        </is>
      </c>
      <c r="O3705" t="inlineStr"/>
      <c r="P3705" t="inlineStr"/>
      <c r="Q3705" t="inlineStr">
        <is>
          <t>UKPN</t>
        </is>
      </c>
      <c r="R3705" t="b">
        <v>0</v>
      </c>
    </row>
    <row r="3706">
      <c r="A3706" t="inlineStr">
        <is>
          <t>20 Mar 2026 / Joe Lemar</t>
        </is>
      </c>
      <c r="B3706" t="inlineStr">
        <is>
          <t>Utilities</t>
        </is>
      </c>
      <c r="C3706" t="inlineStr">
        <is>
          <t>SSE</t>
        </is>
      </c>
      <c r="D3706" t="inlineStr">
        <is>
          <t>EO66BDU , 4x4 , Toyota , Hilux</t>
        </is>
      </c>
      <c r="E3706" t="inlineStr">
        <is>
          <t>EO66BDU , 4x4 , Toyota , Hilux</t>
        </is>
      </c>
      <c r="F3706" t="inlineStr">
        <is>
          <t>EO66BDU , 4x4 , Toyota , Hilux</t>
        </is>
      </c>
      <c r="G3706" t="inlineStr">
        <is>
          <t>Joe lemar</t>
        </is>
      </c>
      <c r="H3706" t="inlineStr">
        <is>
          <t>Pickup Truck</t>
        </is>
      </c>
      <c r="I3706" t="inlineStr">
        <is>
          <t>Daily/ Weekly Vehicle Inspection</t>
        </is>
      </c>
      <c r="J3706" t="inlineStr">
        <is>
          <t>N/A</t>
        </is>
      </c>
      <c r="K3706" t="inlineStr">
        <is>
          <t>Joe Lemar</t>
        </is>
      </c>
      <c r="L3706" t="inlineStr">
        <is>
          <t>22/03/2026 14:16</t>
        </is>
      </c>
      <c r="M3706" t="inlineStr">
        <is>
          <t>None</t>
        </is>
      </c>
      <c r="N3706" t="inlineStr">
        <is>
          <t>&lt;p&gt;&lt;/p&gt;</t>
        </is>
      </c>
      <c r="O3706" t="inlineStr"/>
      <c r="P3706" t="inlineStr">
        <is>
          <t>EO66BDU , 4x4 , Toyota , Hilux</t>
        </is>
      </c>
      <c r="Q3706" t="inlineStr">
        <is>
          <t>SSE</t>
        </is>
      </c>
      <c r="R3706" t="b">
        <v>0</v>
      </c>
    </row>
    <row r="3707">
      <c r="A3707" t="inlineStr">
        <is>
          <t>20 Mar 2026 / 7996 M G Tree Surgery Ltd</t>
        </is>
      </c>
      <c r="B3707" t="inlineStr">
        <is>
          <t>Utilities</t>
        </is>
      </c>
      <c r="C3707" t="inlineStr">
        <is>
          <t>UKPN</t>
        </is>
      </c>
      <c r="D3707" t="inlineStr">
        <is>
          <t>GU13 WNL , MEWP , Land Rover , Defender 130</t>
        </is>
      </c>
      <c r="E3707" t="inlineStr">
        <is>
          <t>GU13 WNL , MEWP , Land Rover , Defender 130</t>
        </is>
      </c>
      <c r="F3707" t="inlineStr">
        <is>
          <t>GU13 WNL , MEWP , Land Rover , Defender 130</t>
        </is>
      </c>
      <c r="G3707" t="inlineStr">
        <is>
          <t>Max</t>
        </is>
      </c>
      <c r="H3707" t="inlineStr">
        <is>
          <t>4x4</t>
        </is>
      </c>
      <c r="I3707" t="inlineStr">
        <is>
          <t>Daily/ Weekly Vehicle Inspection</t>
        </is>
      </c>
      <c r="J3707" t="inlineStr">
        <is>
          <t>N/A</t>
        </is>
      </c>
      <c r="K3707" t="inlineStr">
        <is>
          <t>7996 M G Tree Surgery Ltd</t>
        </is>
      </c>
      <c r="L3707" t="inlineStr">
        <is>
          <t>22/03/2026 14:17</t>
        </is>
      </c>
      <c r="M3707" t="inlineStr">
        <is>
          <t>None</t>
        </is>
      </c>
      <c r="N3707" t="inlineStr">
        <is>
          <t>&lt;p&gt;&lt;/p&gt;</t>
        </is>
      </c>
      <c r="O3707" t="inlineStr"/>
      <c r="P3707" t="inlineStr">
        <is>
          <t>GU13 WNL , MEWP , Land Rover , Defender 130</t>
        </is>
      </c>
      <c r="Q3707" t="inlineStr">
        <is>
          <t>UKPN</t>
        </is>
      </c>
      <c r="R3707" t="b">
        <v>0</v>
      </c>
    </row>
    <row r="3708">
      <c r="A3708" t="inlineStr">
        <is>
          <t>23 Mar 2026 / 7951 Austin Tree Care LTD</t>
        </is>
      </c>
      <c r="B3708" t="inlineStr">
        <is>
          <t>Utilities</t>
        </is>
      </c>
      <c r="C3708" t="inlineStr">
        <is>
          <t>UKPN</t>
        </is>
      </c>
      <c r="D3708" t="inlineStr">
        <is>
          <t>SA9ST6P0001283612 , Towed Chipper , Forst , ST6p</t>
        </is>
      </c>
      <c r="E3708" t="inlineStr">
        <is>
          <t>SA9ST6P0001283612 , Towed Chipper , Forst , ST6p</t>
        </is>
      </c>
      <c r="F3708" t="inlineStr">
        <is>
          <t>SA9ST6P0001283612 , Towed Chipper , Forst , ST6p</t>
        </is>
      </c>
      <c r="G3708" t="inlineStr">
        <is>
          <t xml:space="preserve">Jack Austin </t>
        </is>
      </c>
      <c r="H3708" t="inlineStr">
        <is>
          <t>Towed Chipper</t>
        </is>
      </c>
      <c r="I3708" t="inlineStr">
        <is>
          <t>Daily/ Weekly Vehicle Inspection</t>
        </is>
      </c>
      <c r="J3708" t="inlineStr">
        <is>
          <t>N/A</t>
        </is>
      </c>
      <c r="K3708" t="inlineStr">
        <is>
          <t>7951 Austin Tree Care LTD</t>
        </is>
      </c>
      <c r="L3708" t="inlineStr">
        <is>
          <t>23/03/2026 07:48</t>
        </is>
      </c>
      <c r="M3708" t="inlineStr">
        <is>
          <t>None</t>
        </is>
      </c>
      <c r="N3708" t="inlineStr">
        <is>
          <t>&lt;p&gt;&lt;/p&gt;</t>
        </is>
      </c>
      <c r="O3708" t="inlineStr"/>
      <c r="P3708" t="inlineStr">
        <is>
          <t>SA9ST6P0001283612 , Towed Chipper , Forst , ST6p</t>
        </is>
      </c>
      <c r="Q3708" t="inlineStr">
        <is>
          <t>UKPN</t>
        </is>
      </c>
      <c r="R3708" t="b">
        <v>0</v>
      </c>
    </row>
    <row r="3709">
      <c r="A3709" t="inlineStr">
        <is>
          <t>23 Mar 2026 / 7951 Austin Tree Care LTD</t>
        </is>
      </c>
      <c r="B3709" t="inlineStr">
        <is>
          <t>Utilities</t>
        </is>
      </c>
      <c r="C3709" t="inlineStr">
        <is>
          <t>UKPN</t>
        </is>
      </c>
      <c r="D3709" t="inlineStr">
        <is>
          <t>WG64HTT , 4x4 , Land Rover , Defender 110</t>
        </is>
      </c>
      <c r="E3709" t="inlineStr">
        <is>
          <t>WG64HTT , 4x4 , Land Rover , Defender 110</t>
        </is>
      </c>
      <c r="F3709" t="inlineStr">
        <is>
          <t>WG64HTT , 4x4 , Land Rover , Defender 110</t>
        </is>
      </c>
      <c r="G3709" t="inlineStr">
        <is>
          <t xml:space="preserve">Jack Austin </t>
        </is>
      </c>
      <c r="H3709" t="inlineStr">
        <is>
          <t>4x4</t>
        </is>
      </c>
      <c r="I3709" t="inlineStr">
        <is>
          <t>Daily/ Weekly Vehicle Inspection</t>
        </is>
      </c>
      <c r="J3709" t="inlineStr">
        <is>
          <t>N/A</t>
        </is>
      </c>
      <c r="K3709" t="inlineStr">
        <is>
          <t>7951 Austin Tree Care LTD</t>
        </is>
      </c>
      <c r="L3709" t="inlineStr">
        <is>
          <t>23/03/2026 07:49</t>
        </is>
      </c>
      <c r="M3709" t="inlineStr">
        <is>
          <t>None</t>
        </is>
      </c>
      <c r="N3709" t="inlineStr">
        <is>
          <t>&lt;p&gt;&lt;/p&gt;</t>
        </is>
      </c>
      <c r="O3709" t="inlineStr"/>
      <c r="P3709" t="inlineStr">
        <is>
          <t>WG64HTT , 4x4 , Land Rover , Defender 110</t>
        </is>
      </c>
      <c r="Q3709" t="inlineStr">
        <is>
          <t>UKPN</t>
        </is>
      </c>
      <c r="R3709" t="b">
        <v>0</v>
      </c>
    </row>
    <row r="3710">
      <c r="A3710" t="inlineStr">
        <is>
          <t>23 Mar 2026 / 7806 Optimum Tree Services Ltd</t>
        </is>
      </c>
      <c r="B3710" t="inlineStr">
        <is>
          <t>Utilities</t>
        </is>
      </c>
      <c r="C3710" t="inlineStr">
        <is>
          <t>UKPN</t>
        </is>
      </c>
      <c r="D3710" t="inlineStr">
        <is>
          <t>SA9st6p0001283093 , Towed Chipper , Forst  , St6pHD</t>
        </is>
      </c>
      <c r="E3710" t="inlineStr">
        <is>
          <t>SA9st6p0001283093 , Towed Chipper , Forst  , St6pHD</t>
        </is>
      </c>
      <c r="F3710" t="inlineStr">
        <is>
          <t>SA9st6p0001283093 , Towed Chipper , Forst  , St6pHD</t>
        </is>
      </c>
      <c r="G3710" t="inlineStr">
        <is>
          <t xml:space="preserve">Abraham Davies </t>
        </is>
      </c>
      <c r="H3710" t="inlineStr">
        <is>
          <t>Towed Chipper</t>
        </is>
      </c>
      <c r="I3710" t="inlineStr">
        <is>
          <t>Daily/ Weekly Vehicle Inspection</t>
        </is>
      </c>
      <c r="J3710" t="inlineStr">
        <is>
          <t>N/A</t>
        </is>
      </c>
      <c r="K3710" t="inlineStr">
        <is>
          <t>7806 Optimum Tree Services Ltd</t>
        </is>
      </c>
      <c r="L3710" t="inlineStr">
        <is>
          <t>23/03/2026 07:51</t>
        </is>
      </c>
      <c r="M3710" t="inlineStr">
        <is>
          <t>None</t>
        </is>
      </c>
      <c r="N3710" t="inlineStr">
        <is>
          <t>&lt;p&gt;&lt;/p&gt;</t>
        </is>
      </c>
      <c r="O3710" t="inlineStr"/>
      <c r="P3710" t="inlineStr">
        <is>
          <t>SA9st6p0001283093 , Towed Chipper , Forst  , St6pHD</t>
        </is>
      </c>
      <c r="Q3710" t="inlineStr">
        <is>
          <t>UKPN</t>
        </is>
      </c>
      <c r="R3710" t="b">
        <v>0</v>
      </c>
    </row>
    <row r="3711">
      <c r="A3711" t="inlineStr">
        <is>
          <t>23 Mar 2026 / 7800 MAC Tree Surgery and Fencing Ltd</t>
        </is>
      </c>
      <c r="B3711" t="inlineStr">
        <is>
          <t>Utilities</t>
        </is>
      </c>
      <c r="C3711" t="inlineStr">
        <is>
          <t>UKPN</t>
        </is>
      </c>
      <c r="D3711" t="inlineStr">
        <is>
          <t>FG16LNT , Tipper , Ford transit  , Transit tipper</t>
        </is>
      </c>
      <c r="E3711" t="inlineStr">
        <is>
          <t>FG16LNT , Tipper , Ford transit  , Transit tipper</t>
        </is>
      </c>
      <c r="F3711" t="inlineStr">
        <is>
          <t>FG16LNT , Tipper , Ford transit  , Transit tipper</t>
        </is>
      </c>
      <c r="G3711" t="inlineStr">
        <is>
          <t>Patrick</t>
        </is>
      </c>
      <c r="H3711" t="inlineStr">
        <is>
          <t>Tipper</t>
        </is>
      </c>
      <c r="I3711" t="inlineStr">
        <is>
          <t>Daily/ Weekly Vehicle Inspection</t>
        </is>
      </c>
      <c r="J3711" t="inlineStr">
        <is>
          <t>N/A</t>
        </is>
      </c>
      <c r="K3711" t="inlineStr">
        <is>
          <t>7800 MAC Tree Surgery and Fencing Ltd</t>
        </is>
      </c>
      <c r="L3711" t="inlineStr">
        <is>
          <t>23/03/2026 07:52</t>
        </is>
      </c>
      <c r="M3711" t="inlineStr">
        <is>
          <t>None</t>
        </is>
      </c>
      <c r="N3711" t="inlineStr">
        <is>
          <t>&lt;p&gt;&lt;/p&gt;</t>
        </is>
      </c>
      <c r="O3711" t="inlineStr"/>
      <c r="P3711" t="inlineStr">
        <is>
          <t>FG16LNT , Tipper , Ford transit  , Transit tipper</t>
        </is>
      </c>
      <c r="Q3711" t="inlineStr">
        <is>
          <t>UKPN</t>
        </is>
      </c>
      <c r="R3711" t="b">
        <v>0</v>
      </c>
    </row>
    <row r="3712">
      <c r="A3712" t="inlineStr">
        <is>
          <t>23 Mar 2026 / 7800 MAC Tree Surgery and Fencing Ltd / Utilities / UKPN</t>
        </is>
      </c>
      <c r="B3712" t="inlineStr">
        <is>
          <t>Utilities</t>
        </is>
      </c>
      <c r="C3712" t="inlineStr">
        <is>
          <t>UKPN</t>
        </is>
      </c>
      <c r="D3712" t="inlineStr">
        <is>
          <t>Plant Trailer - Towmate - 2.8t - 0</t>
        </is>
      </c>
      <c r="E3712" t="inlineStr">
        <is>
          <t>Plant Trailer - Towmate - 2.8t - 0</t>
        </is>
      </c>
      <c r="F3712" t="inlineStr">
        <is>
          <t>Plant Trailer - Towmate - 2.8t - 0</t>
        </is>
      </c>
      <c r="G3712" t="inlineStr">
        <is>
          <t>Lewis mac</t>
        </is>
      </c>
      <c r="H3712" t="inlineStr">
        <is>
          <t>Plant Trailer</t>
        </is>
      </c>
      <c r="I3712" t="inlineStr">
        <is>
          <t>Daily/ Weekly Vehicle Inspection</t>
        </is>
      </c>
      <c r="J3712" t="inlineStr">
        <is>
          <t>N/A</t>
        </is>
      </c>
      <c r="K3712" t="inlineStr">
        <is>
          <t>7800 MAC Tree Surgery and Fencing Ltd</t>
        </is>
      </c>
      <c r="L3712" t="inlineStr">
        <is>
          <t>23/03/2026 07:52</t>
        </is>
      </c>
      <c r="M3712" t="inlineStr">
        <is>
          <t>None</t>
        </is>
      </c>
      <c r="N3712" t="inlineStr">
        <is>
          <t>&lt;p&gt;&lt;/p&gt;</t>
        </is>
      </c>
      <c r="O3712" t="inlineStr"/>
      <c r="P3712" t="inlineStr">
        <is>
          <t>Plant Trailer - Towmate - 2.8t - 0</t>
        </is>
      </c>
      <c r="Q3712" t="inlineStr">
        <is>
          <t>UKPN</t>
        </is>
      </c>
      <c r="R3712" t="b">
        <v>0</v>
      </c>
    </row>
    <row r="3713">
      <c r="A3713" t="inlineStr">
        <is>
          <t>23 Mar 2026 / 7806 Optimum Tree Services Ltd</t>
        </is>
      </c>
      <c r="B3713" t="inlineStr">
        <is>
          <t>Utilities</t>
        </is>
      </c>
      <c r="C3713" t="inlineStr">
        <is>
          <t>UKPN</t>
        </is>
      </c>
      <c r="D3713" t="inlineStr">
        <is>
          <t>WD14EVB , MEWP , Land Rover , Defender</t>
        </is>
      </c>
      <c r="E3713" t="inlineStr">
        <is>
          <t>WD14EVB , MEWP , Land Rover , Defender</t>
        </is>
      </c>
      <c r="F3713" t="inlineStr">
        <is>
          <t>WD14EVB , MEWP , Land Rover , Defender</t>
        </is>
      </c>
      <c r="G3713" t="inlineStr">
        <is>
          <t xml:space="preserve">Abraham Davies </t>
        </is>
      </c>
      <c r="H3713" t="inlineStr">
        <is>
          <t>4x4</t>
        </is>
      </c>
      <c r="I3713" t="inlineStr">
        <is>
          <t>Daily/ Weekly Vehicle Inspection</t>
        </is>
      </c>
      <c r="J3713" t="inlineStr">
        <is>
          <t>N/A</t>
        </is>
      </c>
      <c r="K3713" t="inlineStr">
        <is>
          <t>7806 Optimum Tree Services Ltd</t>
        </is>
      </c>
      <c r="L3713" t="inlineStr">
        <is>
          <t>23/03/2026 07:53</t>
        </is>
      </c>
      <c r="M3713" t="inlineStr">
        <is>
          <t>None</t>
        </is>
      </c>
      <c r="N3713" t="inlineStr">
        <is>
          <t>&lt;p&gt;&lt;/p&gt;</t>
        </is>
      </c>
      <c r="O3713" t="inlineStr"/>
      <c r="P3713" t="inlineStr">
        <is>
          <t>WD14EVB , MEWP , Land Rover , Defender</t>
        </is>
      </c>
      <c r="Q3713" t="inlineStr">
        <is>
          <t>UKPN</t>
        </is>
      </c>
      <c r="R3713" t="b">
        <v>0</v>
      </c>
    </row>
    <row r="3714">
      <c r="A3714" t="inlineStr">
        <is>
          <t>23 Mar 2026 / 7800 MAC Tree Surgery and Fencing Ltd / Utilities / UKPN</t>
        </is>
      </c>
      <c r="B3714" t="inlineStr">
        <is>
          <t>Utilities</t>
        </is>
      </c>
      <c r="C3714" t="inlineStr">
        <is>
          <t>UKPN</t>
        </is>
      </c>
      <c r="D3714" t="inlineStr">
        <is>
          <t>AY68DAA , 4x4 , Izuzu , Dmax</t>
        </is>
      </c>
      <c r="E3714" t="inlineStr">
        <is>
          <t>AY68DAA , 4x4 , Izuzu , Dmax</t>
        </is>
      </c>
      <c r="F3714" t="inlineStr">
        <is>
          <t>AY68DAA , 4x4 , Izuzu , Dmax</t>
        </is>
      </c>
      <c r="G3714" t="inlineStr">
        <is>
          <t xml:space="preserve">Patrick O'Shea </t>
        </is>
      </c>
      <c r="H3714" t="inlineStr">
        <is>
          <t>4x4</t>
        </is>
      </c>
      <c r="I3714" t="inlineStr">
        <is>
          <t>Daily/ Weekly Vehicle Inspection</t>
        </is>
      </c>
      <c r="J3714" t="inlineStr">
        <is>
          <t>N/A</t>
        </is>
      </c>
      <c r="K3714" t="inlineStr">
        <is>
          <t>7800 MAC Tree Surgery and Fencing Ltd</t>
        </is>
      </c>
      <c r="L3714" t="inlineStr">
        <is>
          <t>23/03/2026 07:54</t>
        </is>
      </c>
      <c r="M3714" t="inlineStr">
        <is>
          <t>None</t>
        </is>
      </c>
      <c r="N3714" t="inlineStr">
        <is>
          <t>&lt;p&gt;&lt;/p&gt;</t>
        </is>
      </c>
      <c r="O3714" t="inlineStr"/>
      <c r="P3714" t="inlineStr">
        <is>
          <t>AY68DAA , 4x4 , Izuzu , Dmax</t>
        </is>
      </c>
      <c r="Q3714" t="inlineStr">
        <is>
          <t>UKPN</t>
        </is>
      </c>
      <c r="R3714" t="b">
        <v>0</v>
      </c>
    </row>
    <row r="3715">
      <c r="A3715" t="inlineStr">
        <is>
          <t>23 Mar 2026 / 7996 M G Tree Surgery Ltd 1</t>
        </is>
      </c>
      <c r="B3715" t="inlineStr">
        <is>
          <t>Utilities</t>
        </is>
      </c>
      <c r="C3715" t="inlineStr">
        <is>
          <t>UKPN</t>
        </is>
      </c>
      <c r="D3715" t="inlineStr">
        <is>
          <t>KX20 BCE , Tipper , Isuzu , D-Max</t>
        </is>
      </c>
      <c r="E3715" t="inlineStr">
        <is>
          <t>KX20 BCE , Tipper , Isuzu , D-Max</t>
        </is>
      </c>
      <c r="F3715" t="inlineStr">
        <is>
          <t>KX20 BCE , Tipper , Isuzu , D-Max</t>
        </is>
      </c>
      <c r="G3715" t="inlineStr">
        <is>
          <t>Anthony Gale</t>
        </is>
      </c>
      <c r="H3715" t="inlineStr">
        <is>
          <t>Pickup Truck</t>
        </is>
      </c>
      <c r="I3715" t="inlineStr">
        <is>
          <t>Daily/ Weekly Vehicle Inspection</t>
        </is>
      </c>
      <c r="J3715" t="inlineStr">
        <is>
          <t>N/A</t>
        </is>
      </c>
      <c r="K3715" t="inlineStr">
        <is>
          <t>7996 M G Tree Surgery Ltd 1</t>
        </is>
      </c>
      <c r="L3715" t="inlineStr">
        <is>
          <t>23/03/2026 07:54</t>
        </is>
      </c>
      <c r="M3715" t="inlineStr">
        <is>
          <t>None</t>
        </is>
      </c>
      <c r="N3715" t="inlineStr">
        <is>
          <t>&lt;p&gt;&lt;/p&gt;</t>
        </is>
      </c>
      <c r="O3715" t="inlineStr"/>
      <c r="P3715" t="inlineStr">
        <is>
          <t>KX20 BCE , Tipper , Isuzu , D-Max</t>
        </is>
      </c>
      <c r="Q3715" t="inlineStr">
        <is>
          <t>UKPN</t>
        </is>
      </c>
      <c r="R3715" t="b">
        <v>0</v>
      </c>
    </row>
    <row r="3716">
      <c r="A3716" t="inlineStr">
        <is>
          <t>23 Mar 2026 / 7186 Eastwoodbury Tree Services Ltd</t>
        </is>
      </c>
      <c r="B3716" t="inlineStr">
        <is>
          <t>Utilities</t>
        </is>
      </c>
      <c r="C3716" t="inlineStr">
        <is>
          <t>UKPN</t>
        </is>
      </c>
      <c r="D3716" t="inlineStr">
        <is>
          <t>WF13 EKT , 4x4 , Land rover  , Defender</t>
        </is>
      </c>
      <c r="E3716" t="inlineStr">
        <is>
          <t>WF13 EKT , 4x4 , Land rover  , Defender</t>
        </is>
      </c>
      <c r="F3716" t="inlineStr">
        <is>
          <t>WF13 EKT , 4x4 , Land rover  , Defender</t>
        </is>
      </c>
      <c r="G3716" t="inlineStr">
        <is>
          <t xml:space="preserve">Dan Gilbert </t>
        </is>
      </c>
      <c r="H3716" t="inlineStr">
        <is>
          <t>4x4</t>
        </is>
      </c>
      <c r="I3716" t="inlineStr">
        <is>
          <t>Daily/ Weekly Vehicle Inspection</t>
        </is>
      </c>
      <c r="J3716" t="inlineStr">
        <is>
          <t>N/A</t>
        </is>
      </c>
      <c r="K3716" t="inlineStr">
        <is>
          <t>7186 Eastwoodbury Tree Services Ltd</t>
        </is>
      </c>
      <c r="L3716" t="inlineStr">
        <is>
          <t>23/03/2026 07:55</t>
        </is>
      </c>
      <c r="M3716" t="inlineStr">
        <is>
          <t>None</t>
        </is>
      </c>
      <c r="N3716" t="inlineStr">
        <is>
          <t>&lt;p&gt;&lt;/p&gt;</t>
        </is>
      </c>
      <c r="O3716" t="inlineStr"/>
      <c r="P3716" t="inlineStr">
        <is>
          <t>WF13 EKT , 4x4 , Land rover  , Defender</t>
        </is>
      </c>
      <c r="Q3716" t="inlineStr">
        <is>
          <t>UKPN</t>
        </is>
      </c>
      <c r="R3716" t="b">
        <v>0</v>
      </c>
    </row>
    <row r="3717">
      <c r="A3717" t="inlineStr">
        <is>
          <t>23 Mar 2026 / 8148 Hope Ground and Tree Care</t>
        </is>
      </c>
      <c r="B3717" t="inlineStr">
        <is>
          <t>Utilities</t>
        </is>
      </c>
      <c r="C3717" t="inlineStr">
        <is>
          <t>UKPN</t>
        </is>
      </c>
      <c r="D3717" t="inlineStr">
        <is>
          <t>S6 NWX , MEWP , Isuzu , D-Max</t>
        </is>
      </c>
      <c r="E3717" t="inlineStr">
        <is>
          <t>S6 NWX , MEWP , Isuzu , D-Max</t>
        </is>
      </c>
      <c r="F3717" t="inlineStr">
        <is>
          <t>S6 NWX , MEWP , Isuzu , D-Max</t>
        </is>
      </c>
      <c r="G3717" t="inlineStr">
        <is>
          <t>A Hope</t>
        </is>
      </c>
      <c r="H3717" t="inlineStr">
        <is>
          <t>4x4</t>
        </is>
      </c>
      <c r="I3717" t="inlineStr">
        <is>
          <t>Daily/ Weekly Vehicle Inspection</t>
        </is>
      </c>
      <c r="J3717" t="inlineStr">
        <is>
          <t>N/A</t>
        </is>
      </c>
      <c r="K3717" t="inlineStr">
        <is>
          <t>8148 Hope Ground and Tree Care</t>
        </is>
      </c>
      <c r="L3717" t="inlineStr">
        <is>
          <t>23/03/2026 07:57</t>
        </is>
      </c>
      <c r="M3717" t="inlineStr">
        <is>
          <t>None</t>
        </is>
      </c>
      <c r="N3717" t="inlineStr">
        <is>
          <t>&lt;p&gt;&lt;/p&gt;</t>
        </is>
      </c>
      <c r="O3717" t="inlineStr"/>
      <c r="P3717" t="inlineStr">
        <is>
          <t>S6 NWX , MEWP , Isuzu , D-Max</t>
        </is>
      </c>
      <c r="Q3717" t="inlineStr">
        <is>
          <t>UKPN</t>
        </is>
      </c>
      <c r="R3717" t="b">
        <v>0</v>
      </c>
    </row>
    <row r="3718">
      <c r="A3718" t="inlineStr">
        <is>
          <t>23 Mar 2026 / 7186 Eastwoodbury Tree Services Ltd</t>
        </is>
      </c>
      <c r="B3718" t="inlineStr">
        <is>
          <t>Utilities</t>
        </is>
      </c>
      <c r="C3718" t="inlineStr">
        <is>
          <t>UKPN</t>
        </is>
      </c>
      <c r="D3718" t="inlineStr">
        <is>
          <t>FX14 XCV , 4x4 , Land Rover  , Defender</t>
        </is>
      </c>
      <c r="E3718" t="inlineStr">
        <is>
          <t>FX14 XCV , 4x4 , Land Rover  , Defender</t>
        </is>
      </c>
      <c r="F3718" t="inlineStr">
        <is>
          <t>FX14 XCV , 4x4 , Land Rover  , Defender</t>
        </is>
      </c>
      <c r="G3718" t="inlineStr">
        <is>
          <t xml:space="preserve">Luke Williams </t>
        </is>
      </c>
      <c r="H3718" t="inlineStr">
        <is>
          <t>4x4</t>
        </is>
      </c>
      <c r="I3718" t="inlineStr">
        <is>
          <t>Daily/ Weekly Vehicle Inspection</t>
        </is>
      </c>
      <c r="J3718" t="inlineStr">
        <is>
          <t>N/A</t>
        </is>
      </c>
      <c r="K3718" t="inlineStr">
        <is>
          <t>7186 Eastwoodbury Tree Services Ltd</t>
        </is>
      </c>
      <c r="L3718" t="inlineStr">
        <is>
          <t>23/03/2026 07:57</t>
        </is>
      </c>
      <c r="M3718" t="inlineStr">
        <is>
          <t>None</t>
        </is>
      </c>
      <c r="N3718" t="inlineStr">
        <is>
          <t>&lt;p&gt;&lt;/p&gt;</t>
        </is>
      </c>
      <c r="O3718" t="inlineStr"/>
      <c r="P3718" t="inlineStr">
        <is>
          <t>FX14 XCV , 4x4 , Land Rover  , Defender</t>
        </is>
      </c>
      <c r="Q3718" t="inlineStr">
        <is>
          <t>UKPN</t>
        </is>
      </c>
      <c r="R3718" t="b">
        <v>0</v>
      </c>
    </row>
    <row r="3719">
      <c r="A3719" t="inlineStr">
        <is>
          <t>23 Mar 2026 / Kevin Miller</t>
        </is>
      </c>
      <c r="B3719" t="inlineStr">
        <is>
          <t>Utilities</t>
        </is>
      </c>
      <c r="C3719" t="inlineStr">
        <is>
          <t>UKPN</t>
        </is>
      </c>
      <c r="D3719" t="inlineStr">
        <is>
          <t>EO73KUF , Car - Electric , Kia , Niro</t>
        </is>
      </c>
      <c r="E3719" t="inlineStr">
        <is>
          <t>EO73KUF , Car - Electric , Kia , Niro</t>
        </is>
      </c>
      <c r="F3719" t="inlineStr">
        <is>
          <t>EO73KUF , Car - Electric , Kia , Niro</t>
        </is>
      </c>
      <c r="G3719" t="inlineStr">
        <is>
          <t xml:space="preserve">Kevin Miller </t>
        </is>
      </c>
      <c r="H3719" t="inlineStr">
        <is>
          <t>Car - Electric (GC Owned)</t>
        </is>
      </c>
      <c r="I3719" t="inlineStr">
        <is>
          <t>Daily/ Weekly Vehicle Inspection</t>
        </is>
      </c>
      <c r="J3719" t="inlineStr">
        <is>
          <t>N/A</t>
        </is>
      </c>
      <c r="K3719" t="inlineStr">
        <is>
          <t>Kevin Miller</t>
        </is>
      </c>
      <c r="L3719" t="inlineStr">
        <is>
          <t>23/03/2026 07:59</t>
        </is>
      </c>
      <c r="M3719" t="inlineStr">
        <is>
          <t>None</t>
        </is>
      </c>
      <c r="N3719" t="inlineStr">
        <is>
          <t>&lt;p&gt;&lt;/p&gt;</t>
        </is>
      </c>
      <c r="O3719" t="inlineStr"/>
      <c r="P3719" t="inlineStr">
        <is>
          <t>EO73KUF , Car - Electric , Kia , Niro</t>
        </is>
      </c>
      <c r="Q3719" t="inlineStr">
        <is>
          <t>UKPN</t>
        </is>
      </c>
      <c r="R3719" t="b">
        <v>0</v>
      </c>
    </row>
    <row r="3720">
      <c r="A3720" t="inlineStr">
        <is>
          <t>23 Mar 2026 / Gary England</t>
        </is>
      </c>
      <c r="B3720" t="inlineStr">
        <is>
          <t>Utilities</t>
        </is>
      </c>
      <c r="C3720" t="inlineStr">
        <is>
          <t>NGED</t>
        </is>
      </c>
      <c r="D3720" t="inlineStr">
        <is>
          <t>GJ71KAO , Car - Electric , Tesla , Model 3 Long Range AWD</t>
        </is>
      </c>
      <c r="E3720" t="inlineStr">
        <is>
          <t>GJ71KAO , Car - Electric , Tesla , Model 3 Long Range AWD</t>
        </is>
      </c>
      <c r="F3720" t="inlineStr">
        <is>
          <t>GJ71KAO , Car - Electric , Tesla , Model 3 Long Range AWD</t>
        </is>
      </c>
      <c r="G3720" t="inlineStr">
        <is>
          <t xml:space="preserve">Gary England </t>
        </is>
      </c>
      <c r="H3720" t="inlineStr">
        <is>
          <t>Car - Electric (GC Owned)</t>
        </is>
      </c>
      <c r="I3720" t="inlineStr">
        <is>
          <t>Daily/ Weekly Vehicle Inspection</t>
        </is>
      </c>
      <c r="J3720" t="inlineStr">
        <is>
          <t>N/A</t>
        </is>
      </c>
      <c r="K3720" t="inlineStr">
        <is>
          <t>Gary England</t>
        </is>
      </c>
      <c r="L3720" t="inlineStr">
        <is>
          <t>23/03/2026 08:00</t>
        </is>
      </c>
      <c r="M3720" t="inlineStr">
        <is>
          <t>None</t>
        </is>
      </c>
      <c r="N3720" t="inlineStr">
        <is>
          <t>&lt;p&gt;&lt;/p&gt;</t>
        </is>
      </c>
      <c r="O3720" t="inlineStr"/>
      <c r="P3720" t="inlineStr">
        <is>
          <t>GJ71KAO , Car - Electric , Tesla , Model 3 Long Range AWD</t>
        </is>
      </c>
      <c r="Q3720" t="inlineStr">
        <is>
          <t>NGED</t>
        </is>
      </c>
      <c r="R3720" t="b">
        <v>0</v>
      </c>
    </row>
    <row r="3721">
      <c r="A3721" t="inlineStr">
        <is>
          <t>23 Mar 2026 / 7889 Tree Tech Suffolk Ltd</t>
        </is>
      </c>
      <c r="B3721" t="inlineStr">
        <is>
          <t>Utilities &amp; Inland Waterways</t>
        </is>
      </c>
      <c r="C3721" t="inlineStr">
        <is>
          <t>UKPN</t>
        </is>
      </c>
      <c r="D3721" t="inlineStr">
        <is>
          <t>Tipper - Mercedes - Sprinter - NS06TTSTow Chipper - Jenson - A530L - 5521063948</t>
        </is>
      </c>
      <c r="E3721" t="inlineStr">
        <is>
          <t>Tipper - Mercedes - Sprinter - NS06TTSTow Chipper - Jenson - A530L - 5521063948</t>
        </is>
      </c>
      <c r="F3721" t="inlineStr">
        <is>
          <t>Tipper - Mercedes - Sprinter - NS06TTSTow Chipper - Jenson - A530L - 5521063948</t>
        </is>
      </c>
      <c r="G3721" t="inlineStr">
        <is>
          <t xml:space="preserve">Danny ApplebyDanny Appleby </t>
        </is>
      </c>
      <c r="H3721" t="inlineStr">
        <is>
          <t>TipperTowed Chipper</t>
        </is>
      </c>
      <c r="I3721" t="inlineStr">
        <is>
          <t>Daily/ Weekly Vehicle Inspection</t>
        </is>
      </c>
      <c r="J3721" t="inlineStr">
        <is>
          <t>N/A</t>
        </is>
      </c>
      <c r="K3721" t="inlineStr">
        <is>
          <t>7889 Tree Tech Suffolk Ltd</t>
        </is>
      </c>
      <c r="L3721" t="inlineStr">
        <is>
          <t>23/03/2026 08:05</t>
        </is>
      </c>
      <c r="M3721" t="inlineStr">
        <is>
          <t>None</t>
        </is>
      </c>
      <c r="N3721" t="inlineStr">
        <is>
          <t>&lt;p&gt;&lt;/p&gt;</t>
        </is>
      </c>
      <c r="O3721" t="inlineStr"/>
      <c r="P3721" t="inlineStr">
        <is>
          <t>Tipper - Mercedes - Sprinter - NS06TTSTow Chipper - Jenson - A530L - 5521063948</t>
        </is>
      </c>
      <c r="Q3721" t="inlineStr">
        <is>
          <t>UKPN</t>
        </is>
      </c>
      <c r="R3721" t="b">
        <v>0</v>
      </c>
    </row>
    <row r="3722">
      <c r="A3722" t="inlineStr">
        <is>
          <t>23 Mar 2026 / Joshua Atkins</t>
        </is>
      </c>
      <c r="B3722" t="inlineStr">
        <is>
          <t>Utilities</t>
        </is>
      </c>
      <c r="C3722" t="inlineStr">
        <is>
          <t>UKPN</t>
        </is>
      </c>
      <c r="D3722" t="inlineStr">
        <is>
          <t>YX24TWG , Car - Electric , Kia , E-Niro</t>
        </is>
      </c>
      <c r="E3722" t="inlineStr">
        <is>
          <t>YX24TWG , Car - Electric , Kia , E-Niro</t>
        </is>
      </c>
      <c r="F3722" t="inlineStr">
        <is>
          <t>YX24TWG , Car - Electric , Kia , E-Niro</t>
        </is>
      </c>
      <c r="G3722" t="inlineStr">
        <is>
          <t>Josh Atkins</t>
        </is>
      </c>
      <c r="H3722" t="inlineStr">
        <is>
          <t>Car - Electric (GC Owned)</t>
        </is>
      </c>
      <c r="I3722" t="inlineStr">
        <is>
          <t>Daily/ Weekly Vehicle Inspection</t>
        </is>
      </c>
      <c r="J3722" t="inlineStr">
        <is>
          <t>N/A</t>
        </is>
      </c>
      <c r="K3722" t="inlineStr">
        <is>
          <t>Joshua Atkins</t>
        </is>
      </c>
      <c r="L3722" t="inlineStr">
        <is>
          <t>23/03/2026 08:49</t>
        </is>
      </c>
      <c r="M3722" t="inlineStr">
        <is>
          <t>None</t>
        </is>
      </c>
      <c r="N3722" t="inlineStr">
        <is>
          <t>&lt;p&gt;&lt;/p&gt;</t>
        </is>
      </c>
      <c r="O3722" t="inlineStr"/>
      <c r="P3722" t="inlineStr">
        <is>
          <t>YX24TWG , Car - Electric , Kia , E-Niro</t>
        </is>
      </c>
      <c r="Q3722" t="inlineStr">
        <is>
          <t>UKPN</t>
        </is>
      </c>
      <c r="R3722" t="b">
        <v>0</v>
      </c>
    </row>
    <row r="3723">
      <c r="A3723" t="inlineStr">
        <is>
          <t>23 Mar 2026 / William Heneage</t>
        </is>
      </c>
      <c r="B3723" t="inlineStr">
        <is>
          <t>Utilities</t>
        </is>
      </c>
      <c r="C3723" t="inlineStr">
        <is>
          <t>SSE</t>
        </is>
      </c>
      <c r="D3723" t="inlineStr">
        <is>
          <t>YX24TWV , Car - Electric , Kia , E-Niro</t>
        </is>
      </c>
      <c r="E3723" t="inlineStr">
        <is>
          <t>YX24TWV , Car - Electric , Kia , E-Niro</t>
        </is>
      </c>
      <c r="F3723" t="inlineStr">
        <is>
          <t>YX24TWV , Car - Electric , Kia , E-Niro</t>
        </is>
      </c>
      <c r="G3723" t="inlineStr">
        <is>
          <t xml:space="preserve">Will </t>
        </is>
      </c>
      <c r="H3723" t="inlineStr">
        <is>
          <t>Car - Electric (GC Owned)</t>
        </is>
      </c>
      <c r="I3723" t="inlineStr">
        <is>
          <t>Daily/ Weekly Vehicle Inspection</t>
        </is>
      </c>
      <c r="J3723" t="inlineStr">
        <is>
          <t>N/A</t>
        </is>
      </c>
      <c r="K3723" t="inlineStr">
        <is>
          <t>William Heneage</t>
        </is>
      </c>
      <c r="L3723" t="inlineStr">
        <is>
          <t>23/03/2026 09:46</t>
        </is>
      </c>
      <c r="M3723" t="inlineStr">
        <is>
          <t>None</t>
        </is>
      </c>
      <c r="N3723" t="inlineStr">
        <is>
          <t>&lt;p&gt;&lt;/p&gt;</t>
        </is>
      </c>
      <c r="O3723" t="inlineStr"/>
      <c r="P3723" t="inlineStr">
        <is>
          <t>YX24TWV , Car - Electric , Kia , E-Niro</t>
        </is>
      </c>
      <c r="Q3723" t="inlineStr">
        <is>
          <t>SSE</t>
        </is>
      </c>
      <c r="R3723" t="b">
        <v>0</v>
      </c>
    </row>
    <row r="3724">
      <c r="A3724" t="inlineStr">
        <is>
          <t>23 Mar 2026 / Oliver Coyle</t>
        </is>
      </c>
      <c r="B3724" t="inlineStr">
        <is>
          <t>Utilities</t>
        </is>
      </c>
      <c r="C3724" t="inlineStr">
        <is>
          <t>NGED</t>
        </is>
      </c>
      <c r="D3724" t="inlineStr">
        <is>
          <t>GL20TSX , Car - Electric , Tesla , Model 3 Long Range AWD</t>
        </is>
      </c>
      <c r="E3724" t="inlineStr">
        <is>
          <t>GL20TSX , Car - Electric , Tesla , Model 3 Long Range AWD</t>
        </is>
      </c>
      <c r="F3724" t="inlineStr">
        <is>
          <t>GL20TSX , Car - Electric , Tesla , Model 3 Long Range AWD</t>
        </is>
      </c>
      <c r="G3724" t="inlineStr">
        <is>
          <t>Oliver Coyle</t>
        </is>
      </c>
      <c r="H3724" t="inlineStr">
        <is>
          <t>Car - Electric (GC Owned)</t>
        </is>
      </c>
      <c r="I3724" t="inlineStr">
        <is>
          <t>Daily/ Weekly Vehicle Inspection</t>
        </is>
      </c>
      <c r="J3724" t="inlineStr">
        <is>
          <t>N/A</t>
        </is>
      </c>
      <c r="K3724" t="inlineStr">
        <is>
          <t>Oliver Coyle</t>
        </is>
      </c>
      <c r="L3724" t="inlineStr">
        <is>
          <t>23/03/2026 09:48</t>
        </is>
      </c>
      <c r="M3724" t="inlineStr">
        <is>
          <t>None</t>
        </is>
      </c>
      <c r="N3724" t="inlineStr">
        <is>
          <t>&lt;p&gt;&lt;/p&gt;</t>
        </is>
      </c>
      <c r="O3724" t="inlineStr"/>
      <c r="P3724" t="inlineStr">
        <is>
          <t>GL20TSX , Car - Electric , Tesla , Model 3 Long Range AWD</t>
        </is>
      </c>
      <c r="Q3724" t="inlineStr">
        <is>
          <t>NGED</t>
        </is>
      </c>
      <c r="R3724" t="b">
        <v>0</v>
      </c>
    </row>
    <row r="3725">
      <c r="A3725" t="inlineStr">
        <is>
          <t>23 Mar 2026 / Benet Jones</t>
        </is>
      </c>
      <c r="B3725" t="inlineStr">
        <is>
          <t>Utilities</t>
        </is>
      </c>
      <c r="C3725" t="inlineStr">
        <is>
          <t>NGED</t>
        </is>
      </c>
      <c r="D3725" t="inlineStr">
        <is>
          <t>GF71TXC , Car - Electric , Tesla , Model 3 Long Range AWD</t>
        </is>
      </c>
      <c r="E3725" t="inlineStr">
        <is>
          <t>GF71TXC , Car - Electric , Tesla , Model 3 Long Range AWD</t>
        </is>
      </c>
      <c r="F3725" t="inlineStr">
        <is>
          <t>GF71TXC , Car - Electric , Tesla , Model 3 Long Range AWD</t>
        </is>
      </c>
      <c r="G3725" t="inlineStr">
        <is>
          <t xml:space="preserve">Benet Jones </t>
        </is>
      </c>
      <c r="H3725" t="inlineStr">
        <is>
          <t>Car - Electric (GC Owned)</t>
        </is>
      </c>
      <c r="I3725" t="inlineStr">
        <is>
          <t>Daily/ Weekly Vehicle Inspection</t>
        </is>
      </c>
      <c r="J3725" t="inlineStr">
        <is>
          <t>N/A</t>
        </is>
      </c>
      <c r="K3725" t="inlineStr">
        <is>
          <t>Benet Jones</t>
        </is>
      </c>
      <c r="L3725" t="inlineStr">
        <is>
          <t>23/03/2026 09:50</t>
        </is>
      </c>
      <c r="M3725" t="inlineStr">
        <is>
          <t>None</t>
        </is>
      </c>
      <c r="N3725" t="inlineStr">
        <is>
          <t>&lt;p&gt;&lt;/p&gt;</t>
        </is>
      </c>
      <c r="O3725" t="inlineStr">
        <is>
          <t>Confirm that you have checked this vehicle as per the guidance document and the vehicle is safe and roadworthy:Car checked and serviceable. The car is given a strange clicking noise on the driver side front wheel so will be getting it checked out.
-</t>
        </is>
      </c>
      <c r="P3725" t="inlineStr">
        <is>
          <t>GF71TXC , Car - Electric , Tesla , Model 3 Long Range AWD</t>
        </is>
      </c>
      <c r="Q3725" t="inlineStr">
        <is>
          <t>NGED</t>
        </is>
      </c>
      <c r="R3725" t="b">
        <v>0</v>
      </c>
    </row>
    <row r="3726">
      <c r="A3726" t="inlineStr">
        <is>
          <t>23 Mar 2026 / Ben Arnold</t>
        </is>
      </c>
      <c r="B3726" t="inlineStr">
        <is>
          <t>Utilities</t>
        </is>
      </c>
      <c r="C3726" t="inlineStr">
        <is>
          <t>UKPN</t>
        </is>
      </c>
      <c r="D3726" t="inlineStr">
        <is>
          <t>EX18DCY , 4x4 , Ford , Ranger</t>
        </is>
      </c>
      <c r="E3726" t="inlineStr">
        <is>
          <t>EX18DCY , 4x4 , Ford , Ranger</t>
        </is>
      </c>
      <c r="F3726" t="inlineStr">
        <is>
          <t>EX18DCY , 4x4 , Ford , Ranger</t>
        </is>
      </c>
      <c r="G3726" t="inlineStr">
        <is>
          <t>B Arnold</t>
        </is>
      </c>
      <c r="H3726" t="inlineStr">
        <is>
          <t>Pickup Truck</t>
        </is>
      </c>
      <c r="I3726" t="inlineStr">
        <is>
          <t>Daily/ Weekly Vehicle Inspection</t>
        </is>
      </c>
      <c r="J3726" t="inlineStr">
        <is>
          <t>N/A</t>
        </is>
      </c>
      <c r="K3726" t="inlineStr">
        <is>
          <t>Ben Arnold</t>
        </is>
      </c>
      <c r="L3726" t="inlineStr">
        <is>
          <t>23/03/2026 12:47</t>
        </is>
      </c>
      <c r="M3726" t="inlineStr">
        <is>
          <t>None</t>
        </is>
      </c>
      <c r="N3726" t="inlineStr">
        <is>
          <t>&lt;p&gt;&lt;/p&gt;</t>
        </is>
      </c>
      <c r="O3726" t="inlineStr"/>
      <c r="P3726" t="inlineStr">
        <is>
          <t>EX18DCY , 4x4 , Ford , Ranger</t>
        </is>
      </c>
      <c r="Q3726" t="inlineStr">
        <is>
          <t>UKPN</t>
        </is>
      </c>
      <c r="R3726" t="b">
        <v>0</v>
      </c>
    </row>
    <row r="3727">
      <c r="A3727" t="inlineStr">
        <is>
          <t>23 Mar 2026 / Patryk Zietarski</t>
        </is>
      </c>
      <c r="B3727" t="inlineStr">
        <is>
          <t>Utilities</t>
        </is>
      </c>
      <c r="C3727" t="inlineStr">
        <is>
          <t>UKPN</t>
        </is>
      </c>
      <c r="D3727" t="inlineStr">
        <is>
          <t>YW73CWL , Car - Electric , Kia , eNiro</t>
        </is>
      </c>
      <c r="E3727" t="inlineStr">
        <is>
          <t>YW73CWL , Car - Electric , Kia , eNiro</t>
        </is>
      </c>
      <c r="F3727" t="inlineStr">
        <is>
          <t>YW73CWL , Car - Electric , Kia , eNiro</t>
        </is>
      </c>
      <c r="G3727" t="inlineStr">
        <is>
          <t>patryk zietarski</t>
        </is>
      </c>
      <c r="H3727" t="inlineStr">
        <is>
          <t>Car - Electric (GC Owned)</t>
        </is>
      </c>
      <c r="I3727" t="inlineStr">
        <is>
          <t>Daily/ Weekly Vehicle Inspection</t>
        </is>
      </c>
      <c r="J3727" t="inlineStr">
        <is>
          <t>N/A</t>
        </is>
      </c>
      <c r="K3727" t="inlineStr">
        <is>
          <t>Patryk Zietarski</t>
        </is>
      </c>
      <c r="L3727" t="inlineStr">
        <is>
          <t>23/03/2026 14:45</t>
        </is>
      </c>
      <c r="M3727" t="inlineStr">
        <is>
          <t>None</t>
        </is>
      </c>
      <c r="N3727" t="inlineStr">
        <is>
          <t>&lt;p&gt;&lt;/p&gt;</t>
        </is>
      </c>
      <c r="O3727" t="inlineStr"/>
      <c r="P3727" t="inlineStr">
        <is>
          <t>YW73CWL , Car - Electric , Kia , eNiro</t>
        </is>
      </c>
      <c r="Q3727" t="inlineStr">
        <is>
          <t>UKPN</t>
        </is>
      </c>
      <c r="R3727" t="b">
        <v>0</v>
      </c>
    </row>
    <row r="3728">
      <c r="A3728" t="inlineStr">
        <is>
          <t>24 Mar 2026 / 6617 Ashdown Tree Limited 1</t>
        </is>
      </c>
      <c r="B3728" t="inlineStr">
        <is>
          <t>Utilities</t>
        </is>
      </c>
      <c r="C3728" t="inlineStr">
        <is>
          <t>UKPN</t>
        </is>
      </c>
      <c r="D3728" t="inlineStr">
        <is>
          <t>HV17KWG , Flatbed Truck , Ford , Flatbed</t>
        </is>
      </c>
      <c r="E3728" t="inlineStr">
        <is>
          <t>HV17KWG , Flatbed Truck , Ford , Flatbed</t>
        </is>
      </c>
      <c r="F3728" t="inlineStr">
        <is>
          <t>HV17KWG , Flatbed Truck , Ford , Flatbed</t>
        </is>
      </c>
      <c r="G3728" t="inlineStr">
        <is>
          <t>Dan</t>
        </is>
      </c>
      <c r="H3728" t="inlineStr">
        <is>
          <t>4x4</t>
        </is>
      </c>
      <c r="I3728" t="inlineStr">
        <is>
          <t>Daily/ Weekly Vehicle Inspection</t>
        </is>
      </c>
      <c r="J3728" t="inlineStr">
        <is>
          <t>N/A</t>
        </is>
      </c>
      <c r="K3728" t="inlineStr">
        <is>
          <t>6617 Ashdown Tree Limited - Team 2</t>
        </is>
      </c>
      <c r="L3728" t="inlineStr">
        <is>
          <t>24/03/2026 06:47</t>
        </is>
      </c>
      <c r="M3728" t="inlineStr">
        <is>
          <t>None</t>
        </is>
      </c>
      <c r="N3728" t="inlineStr">
        <is>
          <t>&lt;p&gt;&lt;/p&gt;</t>
        </is>
      </c>
      <c r="O3728" t="inlineStr"/>
      <c r="P3728" t="inlineStr">
        <is>
          <t>HV17KWG , Flatbed Truck , Ford , Flatbed</t>
        </is>
      </c>
      <c r="Q3728" t="inlineStr">
        <is>
          <t>UKPN</t>
        </is>
      </c>
      <c r="R3728" t="b">
        <v>0</v>
      </c>
    </row>
    <row r="3729">
      <c r="A3729" t="inlineStr">
        <is>
          <t>24 Mar 2026 / 7806 Optimum Tree Services Ltd</t>
        </is>
      </c>
      <c r="B3729" t="inlineStr">
        <is>
          <t>Utilities</t>
        </is>
      </c>
      <c r="C3729" t="inlineStr">
        <is>
          <t>UKPN</t>
        </is>
      </c>
      <c r="D3729" t="inlineStr">
        <is>
          <t>SA9st6p0001283093 , Towed Chipper , Forst  , St6pHD</t>
        </is>
      </c>
      <c r="E3729" t="inlineStr">
        <is>
          <t>SA9st6p0001283093 , Towed Chipper , Forst  , St6pHD</t>
        </is>
      </c>
      <c r="F3729" t="inlineStr">
        <is>
          <t>SA9st6p0001283093 , Towed Chipper , Forst  , St6pHD</t>
        </is>
      </c>
      <c r="G3729" t="inlineStr">
        <is>
          <t xml:space="preserve">Abraham Davies </t>
        </is>
      </c>
      <c r="H3729" t="inlineStr">
        <is>
          <t>Towed Chipper</t>
        </is>
      </c>
      <c r="I3729" t="inlineStr">
        <is>
          <t>Daily/ Weekly Vehicle Inspection</t>
        </is>
      </c>
      <c r="J3729" t="inlineStr">
        <is>
          <t>N/A</t>
        </is>
      </c>
      <c r="K3729" t="inlineStr">
        <is>
          <t>7806 Optimum Tree Services Ltd</t>
        </is>
      </c>
      <c r="L3729" t="inlineStr">
        <is>
          <t>24/03/2026 07:45</t>
        </is>
      </c>
      <c r="M3729" t="inlineStr">
        <is>
          <t>None</t>
        </is>
      </c>
      <c r="N3729" t="inlineStr">
        <is>
          <t>&lt;p&gt;&lt;/p&gt;</t>
        </is>
      </c>
      <c r="O3729" t="inlineStr"/>
      <c r="P3729" t="inlineStr">
        <is>
          <t>SA9st6p0001283093 , Towed Chipper , Forst  , St6pHD</t>
        </is>
      </c>
      <c r="Q3729" t="inlineStr">
        <is>
          <t>UKPN</t>
        </is>
      </c>
      <c r="R3729" t="b">
        <v>0</v>
      </c>
    </row>
    <row r="3730">
      <c r="A3730" t="inlineStr">
        <is>
          <t>24 Mar 2026 / 7806 Optimum Tree Services Ltd</t>
        </is>
      </c>
      <c r="B3730" t="inlineStr">
        <is>
          <t>Utilities</t>
        </is>
      </c>
      <c r="C3730" t="inlineStr">
        <is>
          <t>UKPN</t>
        </is>
      </c>
      <c r="D3730" t="inlineStr">
        <is>
          <t>WD14EVB , MEWP , Land Rover , Defender</t>
        </is>
      </c>
      <c r="E3730" t="inlineStr">
        <is>
          <t>WD14EVB , MEWP , Land Rover , Defender</t>
        </is>
      </c>
      <c r="F3730" t="inlineStr">
        <is>
          <t>WD14EVB , MEWP , Land Rover , Defender</t>
        </is>
      </c>
      <c r="G3730" t="inlineStr">
        <is>
          <t xml:space="preserve">Abraham Davies </t>
        </is>
      </c>
      <c r="H3730" t="inlineStr">
        <is>
          <t>4x4</t>
        </is>
      </c>
      <c r="I3730" t="inlineStr">
        <is>
          <t>Daily/ Weekly Vehicle Inspection</t>
        </is>
      </c>
      <c r="J3730" t="inlineStr">
        <is>
          <t>N/A</t>
        </is>
      </c>
      <c r="K3730" t="inlineStr">
        <is>
          <t>7806 Optimum Tree Services Ltd</t>
        </is>
      </c>
      <c r="L3730" t="inlineStr">
        <is>
          <t>24/03/2026 07:47</t>
        </is>
      </c>
      <c r="M3730" t="inlineStr">
        <is>
          <t>None</t>
        </is>
      </c>
      <c r="N3730" t="inlineStr">
        <is>
          <t>&lt;p&gt;&lt;/p&gt;</t>
        </is>
      </c>
      <c r="O3730" t="inlineStr"/>
      <c r="P3730" t="inlineStr">
        <is>
          <t>WD14EVB , MEWP , Land Rover , Defender</t>
        </is>
      </c>
      <c r="Q3730" t="inlineStr">
        <is>
          <t>UKPN</t>
        </is>
      </c>
      <c r="R3730" t="b">
        <v>0</v>
      </c>
    </row>
    <row r="3731">
      <c r="A3731" t="inlineStr">
        <is>
          <t>24 Mar 2026 / 7951 Austin Tree Care LTD</t>
        </is>
      </c>
      <c r="B3731" t="inlineStr">
        <is>
          <t>Utilities</t>
        </is>
      </c>
      <c r="C3731" t="inlineStr">
        <is>
          <t>UKPN</t>
        </is>
      </c>
      <c r="D3731" t="inlineStr">
        <is>
          <t>WG64HTT , 4x4 , Land Rover , Defender 110</t>
        </is>
      </c>
      <c r="E3731" t="inlineStr">
        <is>
          <t>WG64HTT , 4x4 , Land Rover , Defender 110</t>
        </is>
      </c>
      <c r="F3731" t="inlineStr">
        <is>
          <t>WG64HTT , 4x4 , Land Rover , Defender 110</t>
        </is>
      </c>
      <c r="G3731" t="inlineStr">
        <is>
          <t>James Tasker</t>
        </is>
      </c>
      <c r="H3731" t="inlineStr">
        <is>
          <t>4x4</t>
        </is>
      </c>
      <c r="I3731" t="inlineStr">
        <is>
          <t>Daily/ Weekly Vehicle Inspection</t>
        </is>
      </c>
      <c r="J3731" t="inlineStr">
        <is>
          <t>N/A</t>
        </is>
      </c>
      <c r="K3731" t="inlineStr">
        <is>
          <t>7951 Austin Tree Care LTD</t>
        </is>
      </c>
      <c r="L3731" t="inlineStr">
        <is>
          <t>24/03/2026 07:48</t>
        </is>
      </c>
      <c r="M3731" t="inlineStr">
        <is>
          <t>None</t>
        </is>
      </c>
      <c r="N3731" t="inlineStr">
        <is>
          <t>&lt;p&gt;&lt;/p&gt;</t>
        </is>
      </c>
      <c r="O3731" t="inlineStr"/>
      <c r="P3731" t="inlineStr">
        <is>
          <t>WG64HTT , 4x4 , Land Rover , Defender 110</t>
        </is>
      </c>
      <c r="Q3731" t="inlineStr">
        <is>
          <t>UKPN</t>
        </is>
      </c>
      <c r="R3731" t="b">
        <v>0</v>
      </c>
    </row>
    <row r="3732">
      <c r="A3732" t="inlineStr">
        <is>
          <t>24 Mar 2026 / 7951 Austin Tree Care LTD</t>
        </is>
      </c>
      <c r="B3732" t="inlineStr">
        <is>
          <t>Utilities</t>
        </is>
      </c>
      <c r="C3732" t="inlineStr">
        <is>
          <t>UKPN</t>
        </is>
      </c>
      <c r="D3732" t="inlineStr">
        <is>
          <t>SA9ST6P0001283612 , Towed Chipper , Forst , ST6p</t>
        </is>
      </c>
      <c r="E3732" t="inlineStr">
        <is>
          <t>SA9ST6P0001283612 , Towed Chipper , Forst , ST6p</t>
        </is>
      </c>
      <c r="F3732" t="inlineStr">
        <is>
          <t>SA9ST6P0001283612 , Towed Chipper , Forst , ST6p</t>
        </is>
      </c>
      <c r="G3732" t="inlineStr">
        <is>
          <t>James Tasker</t>
        </is>
      </c>
      <c r="H3732" t="inlineStr">
        <is>
          <t>Towed Chipper</t>
        </is>
      </c>
      <c r="I3732" t="inlineStr">
        <is>
          <t>Daily/ Weekly Vehicle Inspection</t>
        </is>
      </c>
      <c r="J3732" t="inlineStr">
        <is>
          <t>N/A</t>
        </is>
      </c>
      <c r="K3732" t="inlineStr">
        <is>
          <t>7951 Austin Tree Care LTD</t>
        </is>
      </c>
      <c r="L3732" t="inlineStr">
        <is>
          <t>24/03/2026 07:49</t>
        </is>
      </c>
      <c r="M3732" t="inlineStr">
        <is>
          <t>None</t>
        </is>
      </c>
      <c r="N3732" t="inlineStr">
        <is>
          <t>&lt;p&gt;&lt;/p&gt;</t>
        </is>
      </c>
      <c r="O3732" t="inlineStr"/>
      <c r="P3732" t="inlineStr">
        <is>
          <t>SA9ST6P0001283612 , Towed Chipper , Forst , ST6p</t>
        </is>
      </c>
      <c r="Q3732" t="inlineStr">
        <is>
          <t>UKPN</t>
        </is>
      </c>
      <c r="R3732" t="b">
        <v>0</v>
      </c>
    </row>
    <row r="3733">
      <c r="A3733" t="inlineStr">
        <is>
          <t>24 Mar 2026 / 7186 Eastwoodbury Tree Services Ltd</t>
        </is>
      </c>
      <c r="B3733" t="inlineStr">
        <is>
          <t>Utilities</t>
        </is>
      </c>
      <c r="C3733" t="inlineStr">
        <is>
          <t>UKPN</t>
        </is>
      </c>
      <c r="D3733" t="inlineStr">
        <is>
          <t>WF13 EKT , 4x4 , Land rover  , Defender</t>
        </is>
      </c>
      <c r="E3733" t="inlineStr">
        <is>
          <t>WF13 EKT , 4x4 , Land rover  , Defender</t>
        </is>
      </c>
      <c r="F3733" t="inlineStr">
        <is>
          <t>WF13 EKT , 4x4 , Land rover  , Defender</t>
        </is>
      </c>
      <c r="G3733" t="inlineStr">
        <is>
          <t xml:space="preserve">Dan Gilbert </t>
        </is>
      </c>
      <c r="H3733" t="inlineStr">
        <is>
          <t>4x4</t>
        </is>
      </c>
      <c r="I3733" t="inlineStr">
        <is>
          <t>Daily/ Weekly Vehicle Inspection</t>
        </is>
      </c>
      <c r="J3733" t="inlineStr">
        <is>
          <t>N/A</t>
        </is>
      </c>
      <c r="K3733" t="inlineStr">
        <is>
          <t>7186 Eastwoodbury Tree Services Ltd</t>
        </is>
      </c>
      <c r="L3733" t="inlineStr">
        <is>
          <t>24/03/2026 07:50</t>
        </is>
      </c>
      <c r="M3733" t="inlineStr">
        <is>
          <t>None</t>
        </is>
      </c>
      <c r="N3733" t="inlineStr">
        <is>
          <t>&lt;p&gt;&lt;/p&gt;</t>
        </is>
      </c>
      <c r="O3733" t="inlineStr"/>
      <c r="P3733" t="inlineStr">
        <is>
          <t>WF13 EKT , 4x4 , Land rover  , Defender</t>
        </is>
      </c>
      <c r="Q3733" t="inlineStr">
        <is>
          <t>UKPN</t>
        </is>
      </c>
      <c r="R3733" t="b">
        <v>0</v>
      </c>
    </row>
    <row r="3734">
      <c r="A3734" t="inlineStr">
        <is>
          <t>24 Mar 2026 / 7186 Eastwoodbury Tree Services Ltd</t>
        </is>
      </c>
      <c r="B3734" t="inlineStr">
        <is>
          <t>Utilities</t>
        </is>
      </c>
      <c r="C3734" t="inlineStr">
        <is>
          <t>UKPN</t>
        </is>
      </c>
      <c r="D3734" t="inlineStr">
        <is>
          <t>FX14 XCV , 4x4 , Land Rover  , Defender</t>
        </is>
      </c>
      <c r="E3734" t="inlineStr">
        <is>
          <t>FX14 XCV , 4x4 , Land Rover  , Defender</t>
        </is>
      </c>
      <c r="F3734" t="inlineStr">
        <is>
          <t>FX14 XCV , 4x4 , Land Rover  , Defender</t>
        </is>
      </c>
      <c r="G3734" t="inlineStr">
        <is>
          <t xml:space="preserve">Luke Williams </t>
        </is>
      </c>
      <c r="H3734" t="inlineStr">
        <is>
          <t>4x4</t>
        </is>
      </c>
      <c r="I3734" t="inlineStr">
        <is>
          <t>Daily/ Weekly Vehicle Inspection</t>
        </is>
      </c>
      <c r="J3734" t="inlineStr">
        <is>
          <t>N/A</t>
        </is>
      </c>
      <c r="K3734" t="inlineStr">
        <is>
          <t>7186 Eastwoodbury Tree Services Ltd</t>
        </is>
      </c>
      <c r="L3734" t="inlineStr">
        <is>
          <t>24/03/2026 07:51</t>
        </is>
      </c>
      <c r="M3734" t="inlineStr">
        <is>
          <t>None</t>
        </is>
      </c>
      <c r="N3734" t="inlineStr">
        <is>
          <t>&lt;p&gt;&lt;/p&gt;</t>
        </is>
      </c>
      <c r="O3734" t="inlineStr"/>
      <c r="P3734" t="inlineStr">
        <is>
          <t>FX14 XCV , 4x4 , Land Rover  , Defender</t>
        </is>
      </c>
      <c r="Q3734" t="inlineStr">
        <is>
          <t>UKPN</t>
        </is>
      </c>
      <c r="R3734" t="b">
        <v>0</v>
      </c>
    </row>
    <row r="3735">
      <c r="A3735" t="inlineStr">
        <is>
          <t>24 Mar 2026 / Harry Bellis</t>
        </is>
      </c>
      <c r="B3735" t="inlineStr">
        <is>
          <t>Utilities</t>
        </is>
      </c>
      <c r="C3735" t="inlineStr">
        <is>
          <t>SSE</t>
        </is>
      </c>
      <c r="D3735" t="inlineStr">
        <is>
          <t>EO73KUG , Car - Electric , Kia , Niro</t>
        </is>
      </c>
      <c r="E3735" t="inlineStr">
        <is>
          <t>EO73KUG , Car - Electric , Kia , Niro</t>
        </is>
      </c>
      <c r="F3735" t="inlineStr">
        <is>
          <t>EO73KUG , Car - Electric , Kia , Niro</t>
        </is>
      </c>
      <c r="G3735" t="inlineStr">
        <is>
          <t>Harry Bellis</t>
        </is>
      </c>
      <c r="H3735" t="inlineStr">
        <is>
          <t>Car - Electric (GC Owned)</t>
        </is>
      </c>
      <c r="I3735" t="inlineStr">
        <is>
          <t>Daily/ Weekly Vehicle Inspection</t>
        </is>
      </c>
      <c r="J3735" t="inlineStr">
        <is>
          <t>N/A</t>
        </is>
      </c>
      <c r="K3735" t="inlineStr">
        <is>
          <t>Harry Bellis</t>
        </is>
      </c>
      <c r="L3735" t="inlineStr">
        <is>
          <t>24/03/2026 08:46</t>
        </is>
      </c>
      <c r="M3735" t="inlineStr">
        <is>
          <t>None</t>
        </is>
      </c>
      <c r="N3735" t="inlineStr">
        <is>
          <t>&lt;p&gt;&lt;/p&gt;</t>
        </is>
      </c>
      <c r="O3735" t="inlineStr"/>
      <c r="P3735" t="inlineStr">
        <is>
          <t>EO73KUG , Car - Electric , Kia , Niro</t>
        </is>
      </c>
      <c r="Q3735" t="inlineStr">
        <is>
          <t>SSE</t>
        </is>
      </c>
      <c r="R3735" t="b">
        <v>0</v>
      </c>
    </row>
    <row r="3736">
      <c r="A3736" t="inlineStr">
        <is>
          <t>24 Mar 2026 / Benet Jones</t>
        </is>
      </c>
      <c r="B3736" t="inlineStr">
        <is>
          <t>Utilities</t>
        </is>
      </c>
      <c r="C3736" t="inlineStr">
        <is>
          <t>NGED</t>
        </is>
      </c>
      <c r="D3736" t="inlineStr">
        <is>
          <t>GF71TXC , Car - Electric , Tesla , Model 3 Long Range AWD</t>
        </is>
      </c>
      <c r="E3736" t="inlineStr">
        <is>
          <t>GF71TXC , Car - Electric , Tesla , Model 3 Long Range AWD</t>
        </is>
      </c>
      <c r="F3736" t="inlineStr">
        <is>
          <t>GF71TXC , Car - Electric , Tesla , Model 3 Long Range AWD</t>
        </is>
      </c>
      <c r="G3736" t="inlineStr">
        <is>
          <t xml:space="preserve">Benet Jones </t>
        </is>
      </c>
      <c r="H3736" t="inlineStr">
        <is>
          <t>Car - Electric (GC Owned)</t>
        </is>
      </c>
      <c r="I3736" t="inlineStr">
        <is>
          <t>Daily/ Weekly Vehicle Inspection</t>
        </is>
      </c>
      <c r="J3736" t="inlineStr">
        <is>
          <t>N/A</t>
        </is>
      </c>
      <c r="K3736" t="inlineStr">
        <is>
          <t>Benet Jones</t>
        </is>
      </c>
      <c r="L3736" t="inlineStr">
        <is>
          <t>24/03/2026 08:47</t>
        </is>
      </c>
      <c r="M3736" t="inlineStr">
        <is>
          <t>None</t>
        </is>
      </c>
      <c r="N3736" t="inlineStr">
        <is>
          <t>&lt;p&gt;&lt;/p&gt;</t>
        </is>
      </c>
      <c r="O3736" t="inlineStr">
        <is>
          <t>Confirm that you have checked this vehicle as per the guidance document and the vehicle is safe and roadworthy:Car checked and fully serviceable
-</t>
        </is>
      </c>
      <c r="P3736" t="inlineStr">
        <is>
          <t>GF71TXC , Car - Electric , Tesla , Model 3 Long Range AWD</t>
        </is>
      </c>
      <c r="Q3736" t="inlineStr">
        <is>
          <t>NGED</t>
        </is>
      </c>
      <c r="R3736" t="b">
        <v>0</v>
      </c>
    </row>
    <row r="3737">
      <c r="A3737" t="inlineStr">
        <is>
          <t>24 Mar 2026 / 7995 Green Net Eco Ltd 2</t>
        </is>
      </c>
      <c r="B3737" t="inlineStr">
        <is>
          <t>Utilities</t>
        </is>
      </c>
      <c r="C3737" t="inlineStr">
        <is>
          <t>UKPN</t>
        </is>
      </c>
      <c r="D3737" t="inlineStr">
        <is>
          <t>WM72UNF , 4x4 , Ford , Ranger</t>
        </is>
      </c>
      <c r="E3737" t="inlineStr">
        <is>
          <t>WM72UNF , 4x4 , Ford , Ranger</t>
        </is>
      </c>
      <c r="F3737" t="inlineStr">
        <is>
          <t>WM72UNF , 4x4 , Ford , Ranger</t>
        </is>
      </c>
      <c r="G3737" t="inlineStr">
        <is>
          <t>Jacob Oram</t>
        </is>
      </c>
      <c r="H3737" t="inlineStr">
        <is>
          <t>4x4</t>
        </is>
      </c>
      <c r="I3737" t="inlineStr">
        <is>
          <t>Daily/ Weekly Vehicle Inspection</t>
        </is>
      </c>
      <c r="J3737" t="inlineStr">
        <is>
          <t>N/A</t>
        </is>
      </c>
      <c r="K3737" t="inlineStr">
        <is>
          <t>7995 Green Net Eco Ltd 2</t>
        </is>
      </c>
      <c r="L3737" t="inlineStr">
        <is>
          <t>24/03/2026 09:46</t>
        </is>
      </c>
      <c r="M3737" t="inlineStr">
        <is>
          <t>None</t>
        </is>
      </c>
      <c r="N3737" t="inlineStr">
        <is>
          <t>&lt;p&gt;&lt;/p&gt;</t>
        </is>
      </c>
      <c r="O3737" t="inlineStr"/>
      <c r="P3737" t="inlineStr">
        <is>
          <t>WM72UNF , 4x4 , Ford , Ranger</t>
        </is>
      </c>
      <c r="Q3737" t="inlineStr">
        <is>
          <t>UKPN</t>
        </is>
      </c>
      <c r="R3737" t="b">
        <v>0</v>
      </c>
    </row>
    <row r="3738">
      <c r="A3738" t="inlineStr">
        <is>
          <t>24 Mar 2026 / Keil Cheung</t>
        </is>
      </c>
      <c r="B3738" t="inlineStr">
        <is>
          <t>Utilities</t>
        </is>
      </c>
      <c r="C3738" t="inlineStr">
        <is>
          <t>NGED</t>
        </is>
      </c>
      <c r="D3738" t="inlineStr">
        <is>
          <t>GJ71KHV , Car - Electric , Tesla , Model 3 Long Range AWD</t>
        </is>
      </c>
      <c r="E3738" t="inlineStr">
        <is>
          <t>GJ71KHV , Car - Electric , Tesla , Model 3 Long Range AWD</t>
        </is>
      </c>
      <c r="F3738" t="inlineStr">
        <is>
          <t>GJ71KHV , Car - Electric , Tesla , Model 3 Long Range AWD</t>
        </is>
      </c>
      <c r="G3738" t="inlineStr">
        <is>
          <t>Keil cheung</t>
        </is>
      </c>
      <c r="H3738" t="inlineStr">
        <is>
          <t>Car - Electric (GC Owned)</t>
        </is>
      </c>
      <c r="I3738" t="inlineStr">
        <is>
          <t>Daily/ Weekly Vehicle Inspection</t>
        </is>
      </c>
      <c r="J3738" t="inlineStr">
        <is>
          <t>N/A</t>
        </is>
      </c>
      <c r="K3738" t="inlineStr">
        <is>
          <t>Keil Cheung</t>
        </is>
      </c>
      <c r="L3738" t="inlineStr">
        <is>
          <t>24/03/2026 09:46</t>
        </is>
      </c>
      <c r="M3738" t="inlineStr">
        <is>
          <t>None</t>
        </is>
      </c>
      <c r="N3738" t="inlineStr">
        <is>
          <t>&lt;p&gt;&lt;/p&gt;</t>
        </is>
      </c>
      <c r="O3738" t="inlineStr"/>
      <c r="P3738" t="inlineStr">
        <is>
          <t>GJ71KHV , Car - Electric , Tesla , Model 3 Long Range AWD</t>
        </is>
      </c>
      <c r="Q3738" t="inlineStr">
        <is>
          <t>NGED</t>
        </is>
      </c>
      <c r="R3738" t="b">
        <v>0</v>
      </c>
    </row>
    <row r="3739">
      <c r="A3739" t="inlineStr">
        <is>
          <t>24 Mar 2026 / 6617 Ashdown Tree Limited</t>
        </is>
      </c>
      <c r="B3739" t="inlineStr">
        <is>
          <t>Utilities</t>
        </is>
      </c>
      <c r="C3739" t="inlineStr">
        <is>
          <t>UKPN</t>
        </is>
      </c>
      <c r="D3739" t="inlineStr">
        <is>
          <t>TR55TUB , 4x4 , Land rover  , Defender mewp</t>
        </is>
      </c>
      <c r="E3739" t="inlineStr">
        <is>
          <t>TR55TUB , 4x4 , Land rover  , Defender mewp</t>
        </is>
      </c>
      <c r="F3739" t="inlineStr">
        <is>
          <t>TR55TUB , 4x4 , Land rover  , Defender mewp</t>
        </is>
      </c>
      <c r="G3739" t="inlineStr">
        <is>
          <t xml:space="preserve">A Horwood </t>
        </is>
      </c>
      <c r="H3739" t="inlineStr">
        <is>
          <t>4x4</t>
        </is>
      </c>
      <c r="I3739" t="inlineStr">
        <is>
          <t>Daily/ Weekly Vehicle Inspection</t>
        </is>
      </c>
      <c r="J3739" t="inlineStr">
        <is>
          <t>N/A</t>
        </is>
      </c>
      <c r="K3739" t="inlineStr">
        <is>
          <t>6617 Ashdown Tree Limited</t>
        </is>
      </c>
      <c r="L3739" t="inlineStr">
        <is>
          <t>24/03/2026 09:48</t>
        </is>
      </c>
      <c r="M3739" t="inlineStr">
        <is>
          <t>None</t>
        </is>
      </c>
      <c r="N3739" t="inlineStr">
        <is>
          <t>&lt;p&gt;&lt;/p&gt;</t>
        </is>
      </c>
      <c r="O3739" t="inlineStr"/>
      <c r="P3739" t="inlineStr">
        <is>
          <t>TR55TUB , 4x4 , Land rover  , Defender mewp</t>
        </is>
      </c>
      <c r="Q3739" t="inlineStr">
        <is>
          <t>UKPN</t>
        </is>
      </c>
      <c r="R3739" t="b">
        <v>0</v>
      </c>
    </row>
    <row r="3740">
      <c r="A3740" t="inlineStr">
        <is>
          <t>24 Mar 2026 / 8148 Hope Ground and Tree Care</t>
        </is>
      </c>
      <c r="B3740" t="inlineStr">
        <is>
          <t>Utilities</t>
        </is>
      </c>
      <c r="C3740" t="inlineStr">
        <is>
          <t>UKPN</t>
        </is>
      </c>
      <c r="D3740" t="inlineStr">
        <is>
          <t>S6 NWX , MEWP , Isuzu , D-Max</t>
        </is>
      </c>
      <c r="E3740" t="inlineStr">
        <is>
          <t>S6 NWX , MEWP , Isuzu , D-Max</t>
        </is>
      </c>
      <c r="F3740" t="inlineStr">
        <is>
          <t>S6 NWX , MEWP , Isuzu , D-Max</t>
        </is>
      </c>
      <c r="G3740" t="inlineStr">
        <is>
          <t>A Hope</t>
        </is>
      </c>
      <c r="H3740" t="inlineStr">
        <is>
          <t>4x4</t>
        </is>
      </c>
      <c r="I3740" t="inlineStr">
        <is>
          <t>Daily/ Weekly Vehicle Inspection</t>
        </is>
      </c>
      <c r="J3740" t="inlineStr">
        <is>
          <t>N/A</t>
        </is>
      </c>
      <c r="K3740" t="inlineStr">
        <is>
          <t>8148 Hope Ground and Tree Care</t>
        </is>
      </c>
      <c r="L3740" t="inlineStr">
        <is>
          <t>24/03/2026 10:46</t>
        </is>
      </c>
      <c r="M3740" t="inlineStr">
        <is>
          <t>None</t>
        </is>
      </c>
      <c r="N3740" t="inlineStr">
        <is>
          <t>&lt;p&gt;&lt;/p&gt;</t>
        </is>
      </c>
      <c r="O3740" t="inlineStr"/>
      <c r="P3740" t="inlineStr">
        <is>
          <t>S6 NWX , MEWP , Isuzu , D-Max</t>
        </is>
      </c>
      <c r="Q3740" t="inlineStr">
        <is>
          <t>UKPN</t>
        </is>
      </c>
      <c r="R3740" t="b">
        <v>0</v>
      </c>
    </row>
    <row r="3741">
      <c r="A3741" t="inlineStr">
        <is>
          <t>24 Mar 2026 / Philip Shaw</t>
        </is>
      </c>
      <c r="B3741" t="inlineStr">
        <is>
          <t>Utilities</t>
        </is>
      </c>
      <c r="C3741" t="inlineStr">
        <is>
          <t>NGED</t>
        </is>
      </c>
      <c r="D3741" t="inlineStr">
        <is>
          <t>AF22TZO , Car - Electric , Tesla , Model 3 Long Range AWD</t>
        </is>
      </c>
      <c r="E3741" t="inlineStr">
        <is>
          <t>AF22TZO , Car - Electric , Tesla , Model 3 Long Range AWD</t>
        </is>
      </c>
      <c r="F3741" t="inlineStr">
        <is>
          <t>AF22TZO , Car - Electric , Tesla , Model 3 Long Range AWD</t>
        </is>
      </c>
      <c r="G3741" t="inlineStr">
        <is>
          <t>Phil shaw</t>
        </is>
      </c>
      <c r="H3741" t="inlineStr">
        <is>
          <t>Car - Electric (GC Owned)</t>
        </is>
      </c>
      <c r="I3741" t="inlineStr">
        <is>
          <t>Daily/ Weekly Vehicle Inspection</t>
        </is>
      </c>
      <c r="J3741" t="inlineStr">
        <is>
          <t>N/A</t>
        </is>
      </c>
      <c r="K3741" t="inlineStr">
        <is>
          <t>Philip Shaw</t>
        </is>
      </c>
      <c r="L3741" t="inlineStr">
        <is>
          <t>24/03/2026 16:45</t>
        </is>
      </c>
      <c r="M3741" t="inlineStr">
        <is>
          <t>None</t>
        </is>
      </c>
      <c r="N3741" t="inlineStr">
        <is>
          <t>&lt;p&gt;&lt;/p&gt;</t>
        </is>
      </c>
      <c r="O3741" t="inlineStr"/>
      <c r="P3741" t="inlineStr">
        <is>
          <t>AF22TZO , Car - Electric , Tesla , Model 3 Long Range AWD</t>
        </is>
      </c>
      <c r="Q3741" t="inlineStr">
        <is>
          <t>NGED</t>
        </is>
      </c>
      <c r="R3741" t="b">
        <v>0</v>
      </c>
    </row>
    <row r="3742">
      <c r="A3742" t="inlineStr">
        <is>
          <t>25 Mar 2026 / 7951 Austin Tree Care LTD</t>
        </is>
      </c>
      <c r="B3742" t="inlineStr">
        <is>
          <t>Utilities</t>
        </is>
      </c>
      <c r="C3742" t="inlineStr">
        <is>
          <t>UKPN</t>
        </is>
      </c>
      <c r="D3742" t="inlineStr">
        <is>
          <t>WG64HTT , 4x4 , Land Rover , Defender 110</t>
        </is>
      </c>
      <c r="E3742" t="inlineStr">
        <is>
          <t>WG64HTT , 4x4 , Land Rover , Defender 110</t>
        </is>
      </c>
      <c r="F3742" t="inlineStr">
        <is>
          <t>WG64HTT , 4x4 , Land Rover , Defender 110</t>
        </is>
      </c>
      <c r="G3742" t="inlineStr">
        <is>
          <t xml:space="preserve">Jack Austin </t>
        </is>
      </c>
      <c r="H3742" t="inlineStr">
        <is>
          <t>4x4</t>
        </is>
      </c>
      <c r="I3742" t="inlineStr">
        <is>
          <t>Daily/ Weekly Vehicle Inspection</t>
        </is>
      </c>
      <c r="J3742" t="inlineStr">
        <is>
          <t>N/A</t>
        </is>
      </c>
      <c r="K3742" t="inlineStr">
        <is>
          <t>7951 Austin Tree Care LTD</t>
        </is>
      </c>
      <c r="L3742" t="inlineStr">
        <is>
          <t>25/03/2026 02:46</t>
        </is>
      </c>
      <c r="M3742" t="inlineStr">
        <is>
          <t>None</t>
        </is>
      </c>
      <c r="N3742" t="inlineStr">
        <is>
          <t>&lt;p&gt;&lt;/p&gt;</t>
        </is>
      </c>
      <c r="O3742" t="inlineStr"/>
      <c r="P3742" t="inlineStr">
        <is>
          <t>WG64HTT , 4x4 , Land Rover , Defender 110</t>
        </is>
      </c>
      <c r="Q3742" t="inlineStr">
        <is>
          <t>UKPN</t>
        </is>
      </c>
      <c r="R3742" t="b">
        <v>0</v>
      </c>
    </row>
    <row r="3743">
      <c r="A3743" t="inlineStr">
        <is>
          <t>25 Mar 2026 / 7951 Austin Tree Care LTD</t>
        </is>
      </c>
      <c r="B3743" t="inlineStr">
        <is>
          <t>Utilities</t>
        </is>
      </c>
      <c r="C3743" t="inlineStr">
        <is>
          <t>UKPN</t>
        </is>
      </c>
      <c r="D3743" t="inlineStr">
        <is>
          <t>SA9ST6P0001283612 , Towed Chipper , Forst , ST6p</t>
        </is>
      </c>
      <c r="E3743" t="inlineStr">
        <is>
          <t>SA9ST6P0001283612 , Towed Chipper , Forst , ST6p</t>
        </is>
      </c>
      <c r="F3743" t="inlineStr">
        <is>
          <t>SA9ST6P0001283612 , Towed Chipper , Forst , ST6p</t>
        </is>
      </c>
      <c r="G3743" t="inlineStr">
        <is>
          <t xml:space="preserve">Jack Austin </t>
        </is>
      </c>
      <c r="H3743" t="inlineStr">
        <is>
          <t>Towed Chipper</t>
        </is>
      </c>
      <c r="I3743" t="inlineStr">
        <is>
          <t>Daily/ Weekly Vehicle Inspection</t>
        </is>
      </c>
      <c r="J3743" t="inlineStr">
        <is>
          <t>N/A</t>
        </is>
      </c>
      <c r="K3743" t="inlineStr">
        <is>
          <t>7951 Austin Tree Care LTD</t>
        </is>
      </c>
      <c r="L3743" t="inlineStr">
        <is>
          <t>25/03/2026 02:46</t>
        </is>
      </c>
      <c r="M3743" t="inlineStr">
        <is>
          <t>None</t>
        </is>
      </c>
      <c r="N3743" t="inlineStr">
        <is>
          <t>&lt;p&gt;&lt;/p&gt;</t>
        </is>
      </c>
      <c r="O3743" t="inlineStr"/>
      <c r="P3743" t="inlineStr">
        <is>
          <t>SA9ST6P0001283612 , Towed Chipper , Forst , ST6p</t>
        </is>
      </c>
      <c r="Q3743" t="inlineStr">
        <is>
          <t>UKPN</t>
        </is>
      </c>
      <c r="R3743" t="b">
        <v>0</v>
      </c>
    </row>
    <row r="3744">
      <c r="A3744" t="inlineStr">
        <is>
          <t>25 Mar 2026 / 7951 Austin Tree Care LTD</t>
        </is>
      </c>
      <c r="B3744" t="inlineStr">
        <is>
          <t>Utilities</t>
        </is>
      </c>
      <c r="C3744" t="inlineStr">
        <is>
          <t>UKPN</t>
        </is>
      </c>
      <c r="D3744" t="inlineStr">
        <is>
          <t>Kn58xuy , Tipper , VW  , Crafter</t>
        </is>
      </c>
      <c r="E3744" t="inlineStr">
        <is>
          <t>Kn58xuy , Tipper , VW  , Crafter</t>
        </is>
      </c>
      <c r="F3744" t="inlineStr">
        <is>
          <t>Kn58xuy , Tipper , VW  , Crafter</t>
        </is>
      </c>
      <c r="G3744" t="inlineStr">
        <is>
          <t xml:space="preserve">James Tasker  </t>
        </is>
      </c>
      <c r="H3744" t="inlineStr">
        <is>
          <t>Tipper</t>
        </is>
      </c>
      <c r="I3744" t="inlineStr">
        <is>
          <t>Daily/ Weekly Vehicle Inspection</t>
        </is>
      </c>
      <c r="J3744" t="inlineStr">
        <is>
          <t>N/A</t>
        </is>
      </c>
      <c r="K3744" t="inlineStr">
        <is>
          <t>7951 Austin Tree Care LTD</t>
        </is>
      </c>
      <c r="L3744" t="inlineStr">
        <is>
          <t>25/03/2026 02:47</t>
        </is>
      </c>
      <c r="M3744" t="inlineStr">
        <is>
          <t>None</t>
        </is>
      </c>
      <c r="N3744" t="inlineStr">
        <is>
          <t>&lt;p&gt;&lt;/p&gt;</t>
        </is>
      </c>
      <c r="O3744" t="inlineStr"/>
      <c r="P3744" t="inlineStr">
        <is>
          <t>Kn58xuy , Tipper , VW  , Crafter</t>
        </is>
      </c>
      <c r="Q3744" t="inlineStr">
        <is>
          <t>UKPN</t>
        </is>
      </c>
      <c r="R3744" t="b">
        <v>0</v>
      </c>
    </row>
    <row r="3745">
      <c r="A3745" t="inlineStr">
        <is>
          <t>25 Mar 2026 / 7806 Optimum Tree Services Ltd</t>
        </is>
      </c>
      <c r="B3745" t="inlineStr">
        <is>
          <t>Utilities</t>
        </is>
      </c>
      <c r="C3745" t="inlineStr">
        <is>
          <t>UKPN</t>
        </is>
      </c>
      <c r="D3745" t="inlineStr">
        <is>
          <t>SA9st6p0001283093 , Towed Chipper , Forst  , St6pHD</t>
        </is>
      </c>
      <c r="E3745" t="inlineStr">
        <is>
          <t>SA9st6p0001283093 , Towed Chipper , Forst  , St6pHD</t>
        </is>
      </c>
      <c r="F3745" t="inlineStr">
        <is>
          <t>SA9st6p0001283093 , Towed Chipper , Forst  , St6pHD</t>
        </is>
      </c>
      <c r="G3745" t="inlineStr">
        <is>
          <t xml:space="preserve">Abraham Davies </t>
        </is>
      </c>
      <c r="H3745" t="inlineStr">
        <is>
          <t>Towed Chipper</t>
        </is>
      </c>
      <c r="I3745" t="inlineStr">
        <is>
          <t>Daily/ Weekly Vehicle Inspection</t>
        </is>
      </c>
      <c r="J3745" t="inlineStr">
        <is>
          <t>N/A</t>
        </is>
      </c>
      <c r="K3745" t="inlineStr">
        <is>
          <t>7806 Optimum Tree Services Ltd</t>
        </is>
      </c>
      <c r="L3745" t="inlineStr">
        <is>
          <t>25/03/2026 07:46</t>
        </is>
      </c>
      <c r="M3745" t="inlineStr">
        <is>
          <t>None</t>
        </is>
      </c>
      <c r="N3745" t="inlineStr">
        <is>
          <t>&lt;p&gt;&lt;/p&gt;</t>
        </is>
      </c>
      <c r="O3745" t="inlineStr"/>
      <c r="P3745" t="inlineStr">
        <is>
          <t>SA9st6p0001283093 , Towed Chipper , Forst  , St6pHD</t>
        </is>
      </c>
      <c r="Q3745" t="inlineStr">
        <is>
          <t>UKPN</t>
        </is>
      </c>
      <c r="R3745" t="b">
        <v>0</v>
      </c>
    </row>
    <row r="3746">
      <c r="A3746" t="inlineStr">
        <is>
          <t>25 Mar 2026 / 7806 Optimum Tree Services Ltd</t>
        </is>
      </c>
      <c r="B3746" t="inlineStr">
        <is>
          <t>Utilities</t>
        </is>
      </c>
      <c r="C3746" t="inlineStr">
        <is>
          <t>UKPN</t>
        </is>
      </c>
      <c r="D3746" t="inlineStr">
        <is>
          <t>WD14EVB , MEWP , Land Rover , Defender</t>
        </is>
      </c>
      <c r="E3746" t="inlineStr">
        <is>
          <t>WD14EVB , MEWP , Land Rover , Defender</t>
        </is>
      </c>
      <c r="F3746" t="inlineStr">
        <is>
          <t>WD14EVB , MEWP , Land Rover , Defender</t>
        </is>
      </c>
      <c r="G3746" t="inlineStr">
        <is>
          <t xml:space="preserve">Abraham Davies </t>
        </is>
      </c>
      <c r="H3746" t="inlineStr">
        <is>
          <t>4x4</t>
        </is>
      </c>
      <c r="I3746" t="inlineStr">
        <is>
          <t>Daily/ Weekly Vehicle Inspection</t>
        </is>
      </c>
      <c r="J3746" t="inlineStr">
        <is>
          <t>N/A</t>
        </is>
      </c>
      <c r="K3746" t="inlineStr">
        <is>
          <t>7806 Optimum Tree Services Ltd</t>
        </is>
      </c>
      <c r="L3746" t="inlineStr">
        <is>
          <t>25/03/2026 07:46</t>
        </is>
      </c>
      <c r="M3746" t="inlineStr">
        <is>
          <t>None</t>
        </is>
      </c>
      <c r="N3746" t="inlineStr">
        <is>
          <t>&lt;p&gt;&lt;/p&gt;</t>
        </is>
      </c>
      <c r="O3746" t="inlineStr"/>
      <c r="P3746" t="inlineStr">
        <is>
          <t>WD14EVB , MEWP , Land Rover , Defender</t>
        </is>
      </c>
      <c r="Q3746" t="inlineStr">
        <is>
          <t>UKPN</t>
        </is>
      </c>
      <c r="R3746" t="b">
        <v>0</v>
      </c>
    </row>
    <row r="3747">
      <c r="A3747" t="inlineStr">
        <is>
          <t>25 Mar 2026 / 7186 Eastwoodbury Tree Services Ltd</t>
        </is>
      </c>
      <c r="B3747" t="inlineStr">
        <is>
          <t>Utilities</t>
        </is>
      </c>
      <c r="C3747" t="inlineStr">
        <is>
          <t>UKPN</t>
        </is>
      </c>
      <c r="D3747" t="inlineStr">
        <is>
          <t>WF13 EKT , 4x4 , Land rover  , Defender</t>
        </is>
      </c>
      <c r="E3747" t="inlineStr">
        <is>
          <t>WF13 EKT , 4x4 , Land rover  , Defender</t>
        </is>
      </c>
      <c r="F3747" t="inlineStr">
        <is>
          <t>WF13 EKT , 4x4 , Land rover  , Defender</t>
        </is>
      </c>
      <c r="G3747" t="inlineStr">
        <is>
          <t xml:space="preserve">Dan Gilbert </t>
        </is>
      </c>
      <c r="H3747" t="inlineStr">
        <is>
          <t>4x4</t>
        </is>
      </c>
      <c r="I3747" t="inlineStr">
        <is>
          <t>Daily/ Weekly Vehicle Inspection</t>
        </is>
      </c>
      <c r="J3747" t="inlineStr">
        <is>
          <t>N/A</t>
        </is>
      </c>
      <c r="K3747" t="inlineStr">
        <is>
          <t>7186 Eastwoodbury Tree Services Ltd</t>
        </is>
      </c>
      <c r="L3747" t="inlineStr">
        <is>
          <t>25/03/2026 07:47</t>
        </is>
      </c>
      <c r="M3747" t="inlineStr">
        <is>
          <t>None</t>
        </is>
      </c>
      <c r="N3747" t="inlineStr">
        <is>
          <t>&lt;p&gt;&lt;/p&gt;</t>
        </is>
      </c>
      <c r="O3747" t="inlineStr"/>
      <c r="P3747" t="inlineStr">
        <is>
          <t>WF13 EKT , 4x4 , Land rover  , Defender</t>
        </is>
      </c>
      <c r="Q3747" t="inlineStr">
        <is>
          <t>UKPN</t>
        </is>
      </c>
      <c r="R3747" t="b">
        <v>0</v>
      </c>
    </row>
    <row r="3748">
      <c r="A3748" t="inlineStr">
        <is>
          <t>25 Mar 2026 / 7186 Eastwoodbury Tree Services Ltd</t>
        </is>
      </c>
      <c r="B3748" t="inlineStr">
        <is>
          <t>Utilities</t>
        </is>
      </c>
      <c r="C3748" t="inlineStr">
        <is>
          <t>UKPN</t>
        </is>
      </c>
      <c r="D3748" t="inlineStr">
        <is>
          <t>FX14 XCV , 4x4 , Land Rover  , Defender</t>
        </is>
      </c>
      <c r="E3748" t="inlineStr">
        <is>
          <t>FX14 XCV , 4x4 , Land Rover  , Defender</t>
        </is>
      </c>
      <c r="F3748" t="inlineStr">
        <is>
          <t>FX14 XCV , 4x4 , Land Rover  , Defender</t>
        </is>
      </c>
      <c r="G3748" t="inlineStr">
        <is>
          <t xml:space="preserve">Luke Williams </t>
        </is>
      </c>
      <c r="H3748" t="inlineStr">
        <is>
          <t>4x4</t>
        </is>
      </c>
      <c r="I3748" t="inlineStr">
        <is>
          <t>Daily/ Weekly Vehicle Inspection</t>
        </is>
      </c>
      <c r="J3748" t="inlineStr">
        <is>
          <t>N/A</t>
        </is>
      </c>
      <c r="K3748" t="inlineStr">
        <is>
          <t>7186 Eastwoodbury Tree Services Ltd</t>
        </is>
      </c>
      <c r="L3748" t="inlineStr">
        <is>
          <t>25/03/2026 07:48</t>
        </is>
      </c>
      <c r="M3748" t="inlineStr">
        <is>
          <t>None</t>
        </is>
      </c>
      <c r="N3748" t="inlineStr">
        <is>
          <t>&lt;p&gt;&lt;/p&gt;</t>
        </is>
      </c>
      <c r="O3748" t="inlineStr"/>
      <c r="P3748" t="inlineStr">
        <is>
          <t>FX14 XCV , 4x4 , Land Rover  , Defender</t>
        </is>
      </c>
      <c r="Q3748" t="inlineStr">
        <is>
          <t>UKPN</t>
        </is>
      </c>
      <c r="R3748" t="b">
        <v>0</v>
      </c>
    </row>
    <row r="3749">
      <c r="A3749" t="inlineStr">
        <is>
          <t>25 Mar 2026 / 7889 Tree Tech Suffolk Ltd</t>
        </is>
      </c>
      <c r="B3749" t="inlineStr">
        <is>
          <t>Utilities &amp; Inland Waterways</t>
        </is>
      </c>
      <c r="C3749" t="inlineStr">
        <is>
          <t>UKPN</t>
        </is>
      </c>
      <c r="D3749" t="inlineStr">
        <is>
          <t>Tipper - Nissan - Navara - NS02TTS</t>
        </is>
      </c>
      <c r="E3749" t="inlineStr">
        <is>
          <t>Tipper - Nissan - Navara - NS02TTS</t>
        </is>
      </c>
      <c r="F3749" t="inlineStr">
        <is>
          <t>Tipper - Nissan - Navara - NS02TTS</t>
        </is>
      </c>
      <c r="G3749" t="inlineStr">
        <is>
          <t>Danny Appleby</t>
        </is>
      </c>
      <c r="H3749" t="inlineStr">
        <is>
          <t>Tipper</t>
        </is>
      </c>
      <c r="I3749" t="inlineStr">
        <is>
          <t>Daily/ Weekly Vehicle Inspection</t>
        </is>
      </c>
      <c r="J3749" t="inlineStr">
        <is>
          <t>N/A</t>
        </is>
      </c>
      <c r="K3749" t="inlineStr">
        <is>
          <t>7889 Tree Tech Suffolk Ltd</t>
        </is>
      </c>
      <c r="L3749" t="inlineStr">
        <is>
          <t>25/03/2026 07:49</t>
        </is>
      </c>
      <c r="M3749" t="inlineStr">
        <is>
          <t>None</t>
        </is>
      </c>
      <c r="N3749" t="inlineStr">
        <is>
          <t>&lt;p&gt;&lt;/p&gt;</t>
        </is>
      </c>
      <c r="O3749" t="inlineStr"/>
      <c r="P3749" t="inlineStr">
        <is>
          <t>Tipper - Nissan - Navara - NS02TTS</t>
        </is>
      </c>
      <c r="Q3749" t="inlineStr">
        <is>
          <t>UKPN</t>
        </is>
      </c>
      <c r="R3749" t="b">
        <v>0</v>
      </c>
    </row>
    <row r="3750">
      <c r="A3750" t="inlineStr">
        <is>
          <t>25 Mar 2026 / Richard Moses</t>
        </is>
      </c>
      <c r="B3750" t="inlineStr">
        <is>
          <t>Utilities</t>
        </is>
      </c>
      <c r="C3750" t="inlineStr">
        <is>
          <t>NGED</t>
        </is>
      </c>
      <c r="D3750" t="inlineStr">
        <is>
          <t>AK23YLM , Car - Electric , Tesla , Model Y Long Range</t>
        </is>
      </c>
      <c r="E3750" t="inlineStr">
        <is>
          <t>AK23YLM , Car - Electric , Tesla , Model Y Long Range</t>
        </is>
      </c>
      <c r="F3750" t="inlineStr">
        <is>
          <t>AK23YLM , Car - Electric , Tesla , Model Y Long Range</t>
        </is>
      </c>
      <c r="G3750" t="inlineStr">
        <is>
          <t>R Moses</t>
        </is>
      </c>
      <c r="H3750" t="inlineStr">
        <is>
          <t>Car - Electric (GC Owned)</t>
        </is>
      </c>
      <c r="I3750" t="inlineStr">
        <is>
          <t>Daily/ Weekly Vehicle Inspection</t>
        </is>
      </c>
      <c r="J3750" t="inlineStr">
        <is>
          <t>N/A</t>
        </is>
      </c>
      <c r="K3750" t="inlineStr">
        <is>
          <t>Richard Moses</t>
        </is>
      </c>
      <c r="L3750" t="inlineStr">
        <is>
          <t>25/03/2026 08:48</t>
        </is>
      </c>
      <c r="M3750" t="inlineStr">
        <is>
          <t>None</t>
        </is>
      </c>
      <c r="N3750" t="inlineStr">
        <is>
          <t>&lt;p&gt;&lt;/p&gt;</t>
        </is>
      </c>
      <c r="O3750" t="inlineStr"/>
      <c r="P3750" t="inlineStr">
        <is>
          <t>AK23YLM , Car - Electric , Tesla , Model Y Long Range</t>
        </is>
      </c>
      <c r="Q3750" t="inlineStr">
        <is>
          <t>NGED</t>
        </is>
      </c>
      <c r="R3750" t="b">
        <v>0</v>
      </c>
    </row>
    <row r="3751">
      <c r="A3751" t="inlineStr">
        <is>
          <t>25 Mar 2026 / 3098 D &amp; R Landscapes</t>
        </is>
      </c>
      <c r="B3751" t="inlineStr">
        <is>
          <t>Utilities</t>
        </is>
      </c>
      <c r="C3751" t="inlineStr">
        <is>
          <t>UKPN</t>
        </is>
      </c>
      <c r="D3751" t="inlineStr">
        <is>
          <t>WA13ZZK , 4x4 , Land Rover  , Defender</t>
        </is>
      </c>
      <c r="E3751" t="inlineStr">
        <is>
          <t>WA13ZZK , 4x4 , Land Rover  , Defender</t>
        </is>
      </c>
      <c r="F3751" t="inlineStr">
        <is>
          <t>WA13ZZK , 4x4 , Land Rover  , Defender</t>
        </is>
      </c>
      <c r="G3751" t="inlineStr">
        <is>
          <t xml:space="preserve">Scott </t>
        </is>
      </c>
      <c r="H3751" t="inlineStr">
        <is>
          <t>Pickup Truck</t>
        </is>
      </c>
      <c r="I3751" t="inlineStr">
        <is>
          <t>Daily/ Weekly Vehicle Inspection</t>
        </is>
      </c>
      <c r="J3751" t="inlineStr">
        <is>
          <t>N/A</t>
        </is>
      </c>
      <c r="K3751" t="inlineStr">
        <is>
          <t>3098 D &amp; R Landscapes</t>
        </is>
      </c>
      <c r="L3751" t="inlineStr">
        <is>
          <t>25/03/2026 09:46</t>
        </is>
      </c>
      <c r="M3751" t="inlineStr">
        <is>
          <t>None</t>
        </is>
      </c>
      <c r="N3751" t="inlineStr">
        <is>
          <t>&lt;p&gt;&lt;/p&gt;</t>
        </is>
      </c>
      <c r="O3751" t="inlineStr"/>
      <c r="P3751" t="inlineStr">
        <is>
          <t>WA13ZZK , 4x4 , Land Rover  , Defender</t>
        </is>
      </c>
      <c r="Q3751" t="inlineStr">
        <is>
          <t>UKPN</t>
        </is>
      </c>
      <c r="R3751" t="b">
        <v>0</v>
      </c>
    </row>
    <row r="3752">
      <c r="A3752" t="inlineStr">
        <is>
          <t>25 Mar 2026 / 8148 Hope Ground and Tree Care</t>
        </is>
      </c>
      <c r="B3752" t="inlineStr">
        <is>
          <t>Utilities</t>
        </is>
      </c>
      <c r="C3752" t="inlineStr">
        <is>
          <t>UKPN</t>
        </is>
      </c>
      <c r="D3752" t="inlineStr">
        <is>
          <t>S6 NWX , MEWP , Isuzu , D-Max</t>
        </is>
      </c>
      <c r="E3752" t="inlineStr">
        <is>
          <t>S6 NWX , MEWP , Isuzu , D-Max</t>
        </is>
      </c>
      <c r="F3752" t="inlineStr">
        <is>
          <t>S6 NWX , MEWP , Isuzu , D-Max</t>
        </is>
      </c>
      <c r="G3752" t="inlineStr">
        <is>
          <t>A hope</t>
        </is>
      </c>
      <c r="H3752" t="inlineStr">
        <is>
          <t>4x4</t>
        </is>
      </c>
      <c r="I3752" t="inlineStr">
        <is>
          <t>Daily/ Weekly Vehicle Inspection</t>
        </is>
      </c>
      <c r="J3752" t="inlineStr">
        <is>
          <t>N/A</t>
        </is>
      </c>
      <c r="K3752" t="inlineStr">
        <is>
          <t>8148 Hope Ground and Tree Care</t>
        </is>
      </c>
      <c r="L3752" t="inlineStr">
        <is>
          <t>25/03/2026 12:46</t>
        </is>
      </c>
      <c r="M3752" t="inlineStr">
        <is>
          <t>None</t>
        </is>
      </c>
      <c r="N3752" t="inlineStr">
        <is>
          <t>&lt;p&gt;&lt;/p&gt;</t>
        </is>
      </c>
      <c r="O3752" t="inlineStr"/>
      <c r="P3752" t="inlineStr">
        <is>
          <t>S6 NWX , MEWP , Isuzu , D-Max</t>
        </is>
      </c>
      <c r="Q3752" t="inlineStr">
        <is>
          <t>UKPN</t>
        </is>
      </c>
      <c r="R3752" t="b">
        <v>0</v>
      </c>
    </row>
    <row r="3753">
      <c r="A3753" t="inlineStr">
        <is>
          <t>25 Mar 2026 / Mark Davies</t>
        </is>
      </c>
      <c r="B3753" t="inlineStr">
        <is>
          <t>Utilities</t>
        </is>
      </c>
      <c r="C3753" t="inlineStr">
        <is>
          <t>NGED</t>
        </is>
      </c>
      <c r="D3753" t="inlineStr">
        <is>
          <t>GJ20USE , Car - Electric , Tesla , Model 3 Long Range AWD</t>
        </is>
      </c>
      <c r="E3753" t="inlineStr">
        <is>
          <t>GJ20USE , Car - Electric , Tesla , Model 3 Long Range AWD</t>
        </is>
      </c>
      <c r="F3753" t="inlineStr">
        <is>
          <t>GJ20USE , Car - Electric , Tesla , Model 3 Long Range AWD</t>
        </is>
      </c>
      <c r="G3753" t="inlineStr">
        <is>
          <t xml:space="preserve">Mark Davies </t>
        </is>
      </c>
      <c r="H3753" t="inlineStr">
        <is>
          <t>Car - Electric (GC Owned)</t>
        </is>
      </c>
      <c r="I3753" t="inlineStr">
        <is>
          <t>Daily/ Weekly Vehicle Inspection</t>
        </is>
      </c>
      <c r="J3753" t="inlineStr">
        <is>
          <t>N/A</t>
        </is>
      </c>
      <c r="K3753" t="inlineStr">
        <is>
          <t>Mark Davies</t>
        </is>
      </c>
      <c r="L3753" t="inlineStr">
        <is>
          <t>25/03/2026 16:46</t>
        </is>
      </c>
      <c r="M3753" t="inlineStr">
        <is>
          <t>None</t>
        </is>
      </c>
      <c r="N3753" t="inlineStr">
        <is>
          <t>&lt;p&gt;&lt;/p&gt;</t>
        </is>
      </c>
      <c r="O3753" t="inlineStr"/>
      <c r="P3753" t="inlineStr">
        <is>
          <t>GJ20USE , Car - Electric , Tesla , Model 3 Long Range AWD</t>
        </is>
      </c>
      <c r="Q3753" t="inlineStr">
        <is>
          <t>NGED</t>
        </is>
      </c>
      <c r="R3753" t="b">
        <v>0</v>
      </c>
    </row>
    <row r="3754">
      <c r="A3754" t="inlineStr">
        <is>
          <t>26 Mar 2026 / 6617 Ashdown Tree Limited 1</t>
        </is>
      </c>
      <c r="B3754" t="inlineStr">
        <is>
          <t>Utilities</t>
        </is>
      </c>
      <c r="C3754" t="inlineStr">
        <is>
          <t>UKPN</t>
        </is>
      </c>
      <c r="D3754" t="inlineStr">
        <is>
          <t>WG63OJS , 4x4 , Land rover  , defender</t>
        </is>
      </c>
      <c r="E3754" t="inlineStr">
        <is>
          <t>WG63OJS , 4x4 , Land rover  , defender</t>
        </is>
      </c>
      <c r="F3754" t="inlineStr">
        <is>
          <t>WG63OJS , 4x4 , Land rover  , defender</t>
        </is>
      </c>
      <c r="G3754" t="inlineStr">
        <is>
          <t>Dan</t>
        </is>
      </c>
      <c r="H3754" t="inlineStr">
        <is>
          <t>4x4</t>
        </is>
      </c>
      <c r="I3754" t="inlineStr">
        <is>
          <t>Daily/ Weekly Vehicle Inspection</t>
        </is>
      </c>
      <c r="J3754" t="inlineStr">
        <is>
          <t>N/A</t>
        </is>
      </c>
      <c r="K3754" t="inlineStr">
        <is>
          <t>6617 Ashdown Tree Limited - Team 2</t>
        </is>
      </c>
      <c r="L3754" t="inlineStr">
        <is>
          <t>26/03/2026 06:50</t>
        </is>
      </c>
      <c r="M3754" t="inlineStr">
        <is>
          <t>None</t>
        </is>
      </c>
      <c r="N3754" t="inlineStr">
        <is>
          <t>&lt;p&gt;&lt;/p&gt;</t>
        </is>
      </c>
      <c r="O3754" t="inlineStr"/>
      <c r="P3754" t="inlineStr">
        <is>
          <t>WG63OJS , 4x4 , Land rover  , defender</t>
        </is>
      </c>
      <c r="Q3754" t="inlineStr">
        <is>
          <t>UKPN</t>
        </is>
      </c>
      <c r="R3754" t="b">
        <v>0</v>
      </c>
    </row>
    <row r="3755">
      <c r="A3755" t="inlineStr">
        <is>
          <t>26 Mar 2026 / 8148 Hope Ground and Tree Care</t>
        </is>
      </c>
      <c r="B3755" t="inlineStr">
        <is>
          <t>Utilities</t>
        </is>
      </c>
      <c r="C3755" t="inlineStr">
        <is>
          <t>UKPN</t>
        </is>
      </c>
      <c r="D3755" t="inlineStr">
        <is>
          <t>S6 NWX , MEWP , Isuzu , D-Max</t>
        </is>
      </c>
      <c r="E3755" t="inlineStr">
        <is>
          <t>S6 NWX , MEWP , Isuzu , D-Max</t>
        </is>
      </c>
      <c r="F3755" t="inlineStr">
        <is>
          <t>S6 NWX , MEWP , Isuzu , D-Max</t>
        </is>
      </c>
      <c r="G3755" t="inlineStr">
        <is>
          <t>A Hope</t>
        </is>
      </c>
      <c r="H3755" t="inlineStr">
        <is>
          <t>4x4</t>
        </is>
      </c>
      <c r="I3755" t="inlineStr">
        <is>
          <t>Daily/ Weekly Vehicle Inspection</t>
        </is>
      </c>
      <c r="J3755" t="inlineStr">
        <is>
          <t>N/A</t>
        </is>
      </c>
      <c r="K3755" t="inlineStr">
        <is>
          <t>8148 Hope Ground and Tree Care</t>
        </is>
      </c>
      <c r="L3755" t="inlineStr">
        <is>
          <t>26/03/2026 07:46</t>
        </is>
      </c>
      <c r="M3755" t="inlineStr">
        <is>
          <t>None</t>
        </is>
      </c>
      <c r="N3755" t="inlineStr">
        <is>
          <t>&lt;p&gt;&lt;/p&gt;</t>
        </is>
      </c>
      <c r="O3755" t="inlineStr"/>
      <c r="P3755" t="inlineStr">
        <is>
          <t>S6 NWX , MEWP , Isuzu , D-Max</t>
        </is>
      </c>
      <c r="Q3755" t="inlineStr">
        <is>
          <t>UKPN</t>
        </is>
      </c>
      <c r="R3755" t="b">
        <v>0</v>
      </c>
    </row>
    <row r="3756">
      <c r="A3756" t="inlineStr">
        <is>
          <t>26 Mar 2026 / 7800 MAC Tree Surgery and Fencing Ltd / Utilities / UKPN</t>
        </is>
      </c>
      <c r="B3756" t="inlineStr">
        <is>
          <t>Utilities</t>
        </is>
      </c>
      <c r="C3756" t="inlineStr">
        <is>
          <t>UKPN</t>
        </is>
      </c>
      <c r="D3756" t="inlineStr">
        <is>
          <t>AY68DAA , 4x4 , Izuzu , Dmax</t>
        </is>
      </c>
      <c r="E3756" t="inlineStr">
        <is>
          <t>AY68DAA , 4x4 , Izuzu , Dmax</t>
        </is>
      </c>
      <c r="F3756" t="inlineStr">
        <is>
          <t>AY68DAA , 4x4 , Izuzu , Dmax</t>
        </is>
      </c>
      <c r="G3756" t="inlineStr">
        <is>
          <t xml:space="preserve">Patrick O'Shea </t>
        </is>
      </c>
      <c r="H3756" t="inlineStr">
        <is>
          <t>4x4</t>
        </is>
      </c>
      <c r="I3756" t="inlineStr">
        <is>
          <t>Daily/ Weekly Vehicle Inspection</t>
        </is>
      </c>
      <c r="J3756" t="inlineStr">
        <is>
          <t>N/A</t>
        </is>
      </c>
      <c r="K3756" t="inlineStr">
        <is>
          <t>7800 MAC Tree Surgery and Fencing Ltd</t>
        </is>
      </c>
      <c r="L3756" t="inlineStr">
        <is>
          <t>26/03/2026 07:46</t>
        </is>
      </c>
      <c r="M3756" t="inlineStr">
        <is>
          <t>None</t>
        </is>
      </c>
      <c r="N3756" t="inlineStr">
        <is>
          <t>&lt;p&gt;&lt;/p&gt;</t>
        </is>
      </c>
      <c r="O3756" t="inlineStr"/>
      <c r="P3756" t="inlineStr">
        <is>
          <t>AY68DAA , 4x4 , Izuzu , Dmax</t>
        </is>
      </c>
      <c r="Q3756" t="inlineStr">
        <is>
          <t>UKPN</t>
        </is>
      </c>
      <c r="R3756" t="b">
        <v>0</v>
      </c>
    </row>
    <row r="3757">
      <c r="A3757" t="inlineStr">
        <is>
          <t>26 Mar 2026 / 7800 MAC Tree Surgery and Fencing Ltd / Utilities / UKPN</t>
        </is>
      </c>
      <c r="B3757" t="inlineStr">
        <is>
          <t>Utilities</t>
        </is>
      </c>
      <c r="C3757" t="inlineStr">
        <is>
          <t>UKPN</t>
        </is>
      </c>
      <c r="D3757" t="inlineStr">
        <is>
          <t>Plant Trailer - Towmate - 2.8t - 0</t>
        </is>
      </c>
      <c r="E3757" t="inlineStr">
        <is>
          <t>Plant Trailer - Towmate - 2.8t - 0</t>
        </is>
      </c>
      <c r="F3757" t="inlineStr">
        <is>
          <t>Plant Trailer - Towmate - 2.8t - 0</t>
        </is>
      </c>
      <c r="G3757" t="inlineStr">
        <is>
          <t>Lewis mac</t>
        </is>
      </c>
      <c r="H3757" t="inlineStr">
        <is>
          <t>Plant Trailer</t>
        </is>
      </c>
      <c r="I3757" t="inlineStr">
        <is>
          <t>Daily/ Weekly Vehicle Inspection</t>
        </is>
      </c>
      <c r="J3757" t="inlineStr">
        <is>
          <t>N/A</t>
        </is>
      </c>
      <c r="K3757" t="inlineStr">
        <is>
          <t>7800 MAC Tree Surgery and Fencing Ltd</t>
        </is>
      </c>
      <c r="L3757" t="inlineStr">
        <is>
          <t>26/03/2026 07:47</t>
        </is>
      </c>
      <c r="M3757" t="inlineStr">
        <is>
          <t>None</t>
        </is>
      </c>
      <c r="N3757" t="inlineStr">
        <is>
          <t>&lt;p&gt;&lt;/p&gt;</t>
        </is>
      </c>
      <c r="O3757" t="inlineStr"/>
      <c r="P3757" t="inlineStr">
        <is>
          <t>Plant Trailer - Towmate - 2.8t - 0</t>
        </is>
      </c>
      <c r="Q3757" t="inlineStr">
        <is>
          <t>UKPN</t>
        </is>
      </c>
      <c r="R3757" t="b">
        <v>0</v>
      </c>
    </row>
    <row r="3758">
      <c r="A3758" t="inlineStr">
        <is>
          <t>26 Mar 2026 / 7800 MAC Tree Surgery and Fencing Ltd / Utilities / UKPN</t>
        </is>
      </c>
      <c r="B3758" t="inlineStr">
        <is>
          <t>Utilities</t>
        </is>
      </c>
      <c r="C3758" t="inlineStr">
        <is>
          <t>UKPN</t>
        </is>
      </c>
      <c r="D3758" t="inlineStr">
        <is>
          <t>AY68DAA , 4x4 , Izuzu , Dmax</t>
        </is>
      </c>
      <c r="E3758" t="inlineStr">
        <is>
          <t>AY68DAA , 4x4 , Izuzu , Dmax</t>
        </is>
      </c>
      <c r="F3758" t="inlineStr">
        <is>
          <t>AY68DAA , 4x4 , Izuzu , Dmax</t>
        </is>
      </c>
      <c r="G3758" t="inlineStr">
        <is>
          <t xml:space="preserve">Patrick O'Shea </t>
        </is>
      </c>
      <c r="H3758" t="inlineStr">
        <is>
          <t>4x4</t>
        </is>
      </c>
      <c r="I3758" t="inlineStr">
        <is>
          <t>Daily/ Weekly Vehicle Inspection</t>
        </is>
      </c>
      <c r="J3758" t="inlineStr">
        <is>
          <t>N/A</t>
        </is>
      </c>
      <c r="K3758" t="inlineStr">
        <is>
          <t>7800 MAC Tree Surgery and Fencing Ltd</t>
        </is>
      </c>
      <c r="L3758" t="inlineStr">
        <is>
          <t>26/03/2026 07:48</t>
        </is>
      </c>
      <c r="M3758" t="inlineStr">
        <is>
          <t>None</t>
        </is>
      </c>
      <c r="N3758" t="inlineStr">
        <is>
          <t>&lt;p&gt;&lt;/p&gt;</t>
        </is>
      </c>
      <c r="O3758" t="inlineStr"/>
      <c r="P3758" t="inlineStr">
        <is>
          <t>AY68DAA , 4x4 , Izuzu , Dmax</t>
        </is>
      </c>
      <c r="Q3758" t="inlineStr">
        <is>
          <t>UKPN</t>
        </is>
      </c>
      <c r="R3758" t="b">
        <v>0</v>
      </c>
    </row>
    <row r="3759">
      <c r="A3759" t="inlineStr">
        <is>
          <t>26 Mar 2026 / Benet Jones</t>
        </is>
      </c>
      <c r="B3759" t="inlineStr">
        <is>
          <t>Utilities</t>
        </is>
      </c>
      <c r="C3759" t="inlineStr">
        <is>
          <t>NGED</t>
        </is>
      </c>
      <c r="D3759" t="inlineStr">
        <is>
          <t>GF71TXC , Car - Electric , Tesla , Model 3 Long Range AWD</t>
        </is>
      </c>
      <c r="E3759" t="inlineStr">
        <is>
          <t>GF71TXC , Car - Electric , Tesla , Model 3 Long Range AWD</t>
        </is>
      </c>
      <c r="F3759" t="inlineStr">
        <is>
          <t>GF71TXC , Car - Electric , Tesla , Model 3 Long Range AWD</t>
        </is>
      </c>
      <c r="G3759" t="inlineStr">
        <is>
          <t xml:space="preserve">Benet Jones </t>
        </is>
      </c>
      <c r="H3759" t="inlineStr">
        <is>
          <t>Car - Electric (GC Owned)</t>
        </is>
      </c>
      <c r="I3759" t="inlineStr">
        <is>
          <t>Daily/ Weekly Vehicle Inspection</t>
        </is>
      </c>
      <c r="J3759" t="inlineStr">
        <is>
          <t>N/A</t>
        </is>
      </c>
      <c r="K3759" t="inlineStr">
        <is>
          <t>Benet Jones</t>
        </is>
      </c>
      <c r="L3759" t="inlineStr">
        <is>
          <t>26/03/2026 07:49</t>
        </is>
      </c>
      <c r="M3759" t="inlineStr">
        <is>
          <t>None</t>
        </is>
      </c>
      <c r="N3759" t="inlineStr">
        <is>
          <t>&lt;p&gt;&lt;/p&gt;</t>
        </is>
      </c>
      <c r="O3759" t="inlineStr">
        <is>
          <t>Confirm that you have checked this vehicle as per the guidance document and the vehicle is safe and roadworthy:Car checked and fully serviceable. Booked into Tesla garage to access and rectify noise coming from driver side front wheel  area.
-</t>
        </is>
      </c>
      <c r="P3759" t="inlineStr">
        <is>
          <t>GF71TXC , Car - Electric , Tesla , Model 3 Long Range AWD</t>
        </is>
      </c>
      <c r="Q3759" t="inlineStr">
        <is>
          <t>NGED</t>
        </is>
      </c>
      <c r="R3759" t="b">
        <v>0</v>
      </c>
    </row>
    <row r="3760">
      <c r="A3760" t="inlineStr">
        <is>
          <t>26 Mar 2026 / 7996 M G Tree Surgery Ltd 1</t>
        </is>
      </c>
      <c r="B3760" t="inlineStr">
        <is>
          <t>Utilities</t>
        </is>
      </c>
      <c r="C3760" t="inlineStr">
        <is>
          <t>UKPN</t>
        </is>
      </c>
      <c r="D3760" t="inlineStr"/>
      <c r="E3760" t="inlineStr"/>
      <c r="F3760" t="inlineStr"/>
      <c r="G3760" t="inlineStr">
        <is>
          <t>Anthony Gale</t>
        </is>
      </c>
      <c r="H3760" t="inlineStr">
        <is>
          <t>Towed Chipper</t>
        </is>
      </c>
      <c r="I3760" t="inlineStr">
        <is>
          <t>Daily/ Weekly Vehicle Inspection</t>
        </is>
      </c>
      <c r="J3760" t="inlineStr">
        <is>
          <t>N/A</t>
        </is>
      </c>
      <c r="K3760" t="inlineStr">
        <is>
          <t>7996 M G Tree Surgery Ltd 1</t>
        </is>
      </c>
      <c r="L3760" t="inlineStr">
        <is>
          <t>26/03/2026 07:52</t>
        </is>
      </c>
      <c r="M3760" t="inlineStr">
        <is>
          <t>None</t>
        </is>
      </c>
      <c r="N3760" t="inlineStr">
        <is>
          <t>&lt;p&gt;&lt;/p&gt;</t>
        </is>
      </c>
      <c r="O3760" t="inlineStr"/>
      <c r="P3760" t="inlineStr"/>
      <c r="Q3760" t="inlineStr">
        <is>
          <t>UKPN</t>
        </is>
      </c>
      <c r="R3760" t="b">
        <v>0</v>
      </c>
    </row>
    <row r="3761">
      <c r="A3761" t="inlineStr">
        <is>
          <t>26 Mar 2026 / 7996 M G Tree Surgery Ltd 1</t>
        </is>
      </c>
      <c r="B3761" t="inlineStr">
        <is>
          <t>Utilities</t>
        </is>
      </c>
      <c r="C3761" t="inlineStr">
        <is>
          <t>UKPN</t>
        </is>
      </c>
      <c r="D3761" t="inlineStr">
        <is>
          <t>KX20 BCE , Tipper , Isuzu , D-Max</t>
        </is>
      </c>
      <c r="E3761" t="inlineStr">
        <is>
          <t>KX20 BCE , Tipper , Isuzu , D-Max</t>
        </is>
      </c>
      <c r="F3761" t="inlineStr">
        <is>
          <t>KX20 BCE , Tipper , Isuzu , D-Max</t>
        </is>
      </c>
      <c r="G3761" t="inlineStr">
        <is>
          <t>Anthony Gale</t>
        </is>
      </c>
      <c r="H3761" t="inlineStr">
        <is>
          <t>Pickup Truck</t>
        </is>
      </c>
      <c r="I3761" t="inlineStr">
        <is>
          <t>Daily/ Weekly Vehicle Inspection</t>
        </is>
      </c>
      <c r="J3761" t="inlineStr">
        <is>
          <t>N/A</t>
        </is>
      </c>
      <c r="K3761" t="inlineStr">
        <is>
          <t>7996 M G Tree Surgery Ltd 1</t>
        </is>
      </c>
      <c r="L3761" t="inlineStr">
        <is>
          <t>26/03/2026 07:52</t>
        </is>
      </c>
      <c r="M3761" t="inlineStr">
        <is>
          <t>None</t>
        </is>
      </c>
      <c r="N3761" t="inlineStr">
        <is>
          <t>&lt;p&gt;&lt;/p&gt;</t>
        </is>
      </c>
      <c r="O3761" t="inlineStr"/>
      <c r="P3761" t="inlineStr">
        <is>
          <t>KX20 BCE , Tipper , Isuzu , D-Max</t>
        </is>
      </c>
      <c r="Q3761" t="inlineStr">
        <is>
          <t>UKPN</t>
        </is>
      </c>
      <c r="R3761" t="b">
        <v>0</v>
      </c>
    </row>
    <row r="3762">
      <c r="A3762" t="inlineStr">
        <is>
          <t>26 Mar 2026 / 7806 Optimum Tree Services Ltd</t>
        </is>
      </c>
      <c r="B3762" t="inlineStr">
        <is>
          <t>Utilities</t>
        </is>
      </c>
      <c r="C3762" t="inlineStr">
        <is>
          <t>UKPN</t>
        </is>
      </c>
      <c r="D3762" t="inlineStr">
        <is>
          <t>SA9st6p0001283093 , Towed Chipper , Forst  , St6pHD</t>
        </is>
      </c>
      <c r="E3762" t="inlineStr">
        <is>
          <t>SA9st6p0001283093 , Towed Chipper , Forst  , St6pHD</t>
        </is>
      </c>
      <c r="F3762" t="inlineStr">
        <is>
          <t>SA9st6p0001283093 , Towed Chipper , Forst  , St6pHD</t>
        </is>
      </c>
      <c r="G3762" t="inlineStr">
        <is>
          <t xml:space="preserve">Abraham Davies </t>
        </is>
      </c>
      <c r="H3762" t="inlineStr">
        <is>
          <t>Towed Chipper</t>
        </is>
      </c>
      <c r="I3762" t="inlineStr">
        <is>
          <t>Daily/ Weekly Vehicle Inspection</t>
        </is>
      </c>
      <c r="J3762" t="inlineStr">
        <is>
          <t>N/A</t>
        </is>
      </c>
      <c r="K3762" t="inlineStr">
        <is>
          <t>7806 Optimum Tree Services Ltd</t>
        </is>
      </c>
      <c r="L3762" t="inlineStr">
        <is>
          <t>26/03/2026 07:53</t>
        </is>
      </c>
      <c r="M3762" t="inlineStr">
        <is>
          <t>None</t>
        </is>
      </c>
      <c r="N3762" t="inlineStr">
        <is>
          <t>&lt;p&gt;&lt;/p&gt;</t>
        </is>
      </c>
      <c r="O3762" t="inlineStr"/>
      <c r="P3762" t="inlineStr">
        <is>
          <t>SA9st6p0001283093 , Towed Chipper , Forst  , St6pHD</t>
        </is>
      </c>
      <c r="Q3762" t="inlineStr">
        <is>
          <t>UKPN</t>
        </is>
      </c>
      <c r="R3762" t="b">
        <v>0</v>
      </c>
    </row>
    <row r="3763">
      <c r="A3763" t="inlineStr">
        <is>
          <t>26 Mar 2026 / 7806 Optimum Tree Services Ltd</t>
        </is>
      </c>
      <c r="B3763" t="inlineStr">
        <is>
          <t>Utilities</t>
        </is>
      </c>
      <c r="C3763" t="inlineStr">
        <is>
          <t>UKPN</t>
        </is>
      </c>
      <c r="D3763" t="inlineStr">
        <is>
          <t>WD14EVB , MEWP , Land Rover , Defender</t>
        </is>
      </c>
      <c r="E3763" t="inlineStr">
        <is>
          <t>WD14EVB , MEWP , Land Rover , Defender</t>
        </is>
      </c>
      <c r="F3763" t="inlineStr">
        <is>
          <t>WD14EVB , MEWP , Land Rover , Defender</t>
        </is>
      </c>
      <c r="G3763" t="inlineStr">
        <is>
          <t xml:space="preserve">Abraham Davies </t>
        </is>
      </c>
      <c r="H3763" t="inlineStr">
        <is>
          <t>4x4</t>
        </is>
      </c>
      <c r="I3763" t="inlineStr">
        <is>
          <t>Daily/ Weekly Vehicle Inspection</t>
        </is>
      </c>
      <c r="J3763" t="inlineStr">
        <is>
          <t>N/A</t>
        </is>
      </c>
      <c r="K3763" t="inlineStr">
        <is>
          <t>7806 Optimum Tree Services Ltd</t>
        </is>
      </c>
      <c r="L3763" t="inlineStr">
        <is>
          <t>26/03/2026 07:54</t>
        </is>
      </c>
      <c r="M3763" t="inlineStr">
        <is>
          <t>None</t>
        </is>
      </c>
      <c r="N3763" t="inlineStr">
        <is>
          <t>&lt;p&gt;&lt;/p&gt;</t>
        </is>
      </c>
      <c r="O3763" t="inlineStr"/>
      <c r="P3763" t="inlineStr">
        <is>
          <t>WD14EVB , MEWP , Land Rover , Defender</t>
        </is>
      </c>
      <c r="Q3763" t="inlineStr">
        <is>
          <t>UKPN</t>
        </is>
      </c>
      <c r="R3763" t="b">
        <v>0</v>
      </c>
    </row>
    <row r="3764">
      <c r="A3764" t="inlineStr">
        <is>
          <t>26 Mar 2026 / 7889 Tree Tech Suffolk Ltd</t>
        </is>
      </c>
      <c r="B3764" t="inlineStr">
        <is>
          <t>Utilities &amp; Inland Waterways</t>
        </is>
      </c>
      <c r="C3764" t="inlineStr">
        <is>
          <t>UKPN</t>
        </is>
      </c>
      <c r="D3764" t="inlineStr">
        <is>
          <t>Tipper - Mercedes - Sprinter - NS06TTSTow Chipper - Jenson - A530L - 5521063948</t>
        </is>
      </c>
      <c r="E3764" t="inlineStr">
        <is>
          <t>Tipper - Mercedes - Sprinter - NS06TTSTow Chipper - Jenson - A530L - 5521063948</t>
        </is>
      </c>
      <c r="F3764" t="inlineStr">
        <is>
          <t>Tipper - Mercedes - Sprinter - NS06TTSTow Chipper - Jenson - A530L - 5521063948</t>
        </is>
      </c>
      <c r="G3764" t="inlineStr">
        <is>
          <t xml:space="preserve">Danny ApplebyDanny Appleby </t>
        </is>
      </c>
      <c r="H3764" t="inlineStr">
        <is>
          <t>TipperTowed Chipper</t>
        </is>
      </c>
      <c r="I3764" t="inlineStr">
        <is>
          <t>Daily/ Weekly Vehicle Inspection</t>
        </is>
      </c>
      <c r="J3764" t="inlineStr">
        <is>
          <t>N/A</t>
        </is>
      </c>
      <c r="K3764" t="inlineStr">
        <is>
          <t>7889 Tree Tech Suffolk Ltd</t>
        </is>
      </c>
      <c r="L3764" t="inlineStr">
        <is>
          <t>26/03/2026 07:54</t>
        </is>
      </c>
      <c r="M3764" t="inlineStr">
        <is>
          <t>None</t>
        </is>
      </c>
      <c r="N3764" t="inlineStr">
        <is>
          <t>&lt;p&gt;&lt;/p&gt;</t>
        </is>
      </c>
      <c r="O3764" t="inlineStr"/>
      <c r="P3764" t="inlineStr">
        <is>
          <t>Tipper - Mercedes - Sprinter - NS06TTSTow Chipper - Jenson - A530L - 5521063948</t>
        </is>
      </c>
      <c r="Q3764" t="inlineStr">
        <is>
          <t>UKPN</t>
        </is>
      </c>
      <c r="R3764" t="b">
        <v>0</v>
      </c>
    </row>
    <row r="3765">
      <c r="A3765" t="inlineStr">
        <is>
          <t>26 Mar 2026 / 7951 Austin Tree Care LTD 1</t>
        </is>
      </c>
      <c r="B3765" t="inlineStr">
        <is>
          <t>Utilities</t>
        </is>
      </c>
      <c r="C3765" t="inlineStr">
        <is>
          <t>UKPN</t>
        </is>
      </c>
      <c r="D3765" t="inlineStr">
        <is>
          <t>WG64HTT , 4x4 , Land Rover , Defender 110</t>
        </is>
      </c>
      <c r="E3765" t="inlineStr">
        <is>
          <t>WG64HTT , 4x4 , Land Rover , Defender 110</t>
        </is>
      </c>
      <c r="F3765" t="inlineStr">
        <is>
          <t>WG64HTT , 4x4 , Land Rover , Defender 110</t>
        </is>
      </c>
      <c r="G3765" t="inlineStr">
        <is>
          <t xml:space="preserve">Jack Austin </t>
        </is>
      </c>
      <c r="H3765" t="inlineStr">
        <is>
          <t>Towed Chipper</t>
        </is>
      </c>
      <c r="I3765" t="inlineStr">
        <is>
          <t>Daily/ Weekly Vehicle Inspection</t>
        </is>
      </c>
      <c r="J3765" t="inlineStr">
        <is>
          <t>N/A</t>
        </is>
      </c>
      <c r="K3765" t="inlineStr">
        <is>
          <t>7951 Austin Tree Care LTD 1</t>
        </is>
      </c>
      <c r="L3765" t="inlineStr">
        <is>
          <t>26/03/2026 08:46</t>
        </is>
      </c>
      <c r="M3765" t="inlineStr">
        <is>
          <t>None</t>
        </is>
      </c>
      <c r="N3765" t="inlineStr">
        <is>
          <t>&lt;p&gt;&lt;/p&gt;</t>
        </is>
      </c>
      <c r="O3765" t="inlineStr"/>
      <c r="P3765" t="inlineStr">
        <is>
          <t>WG64HTT , 4x4 , Land Rover , Defender 110</t>
        </is>
      </c>
      <c r="Q3765" t="inlineStr">
        <is>
          <t>UKPN</t>
        </is>
      </c>
      <c r="R3765" t="b">
        <v>0</v>
      </c>
    </row>
    <row r="3766">
      <c r="A3766" t="inlineStr">
        <is>
          <t>19 Mar 2026 / 7951 Austin Tree Care LTD 1</t>
        </is>
      </c>
      <c r="B3766" t="inlineStr">
        <is>
          <t>Utilities</t>
        </is>
      </c>
      <c r="C3766" t="inlineStr">
        <is>
          <t>UKPN</t>
        </is>
      </c>
      <c r="D3766" t="inlineStr">
        <is>
          <t>WG64HTT , 4x4 , Land Rover , Defender 110</t>
        </is>
      </c>
      <c r="E3766" t="inlineStr">
        <is>
          <t>WG64HTT , 4x4 , Land Rover , Defender 110</t>
        </is>
      </c>
      <c r="F3766" t="inlineStr">
        <is>
          <t>WG64HTT , 4x4 , Land Rover , Defender 110</t>
        </is>
      </c>
      <c r="G3766" t="inlineStr">
        <is>
          <t xml:space="preserve">Jack Austin </t>
        </is>
      </c>
      <c r="H3766" t="inlineStr">
        <is>
          <t>4x4</t>
        </is>
      </c>
      <c r="I3766" t="inlineStr">
        <is>
          <t>Daily/ Weekly Vehicle Inspection</t>
        </is>
      </c>
      <c r="J3766" t="inlineStr">
        <is>
          <t>N/A</t>
        </is>
      </c>
      <c r="K3766" t="inlineStr">
        <is>
          <t>7951 Austin Tree Care LTD 1</t>
        </is>
      </c>
      <c r="L3766" t="inlineStr">
        <is>
          <t>26/03/2026 08:46</t>
        </is>
      </c>
      <c r="M3766" t="inlineStr">
        <is>
          <t>None</t>
        </is>
      </c>
      <c r="N3766" t="inlineStr">
        <is>
          <t>&lt;p&gt;&lt;/p&gt;</t>
        </is>
      </c>
      <c r="O3766" t="inlineStr"/>
      <c r="P3766" t="inlineStr">
        <is>
          <t>WG64HTT , 4x4 , Land Rover , Defender 110</t>
        </is>
      </c>
      <c r="Q3766" t="inlineStr">
        <is>
          <t>UKPN</t>
        </is>
      </c>
      <c r="R3766" t="b">
        <v>0</v>
      </c>
    </row>
    <row r="3767">
      <c r="A3767" t="inlineStr">
        <is>
          <t>26 Mar 2026 / Rodney Taylor</t>
        </is>
      </c>
      <c r="B3767" t="inlineStr">
        <is>
          <t>Utilities</t>
        </is>
      </c>
      <c r="C3767" t="inlineStr">
        <is>
          <t>NGED</t>
        </is>
      </c>
      <c r="D3767" t="inlineStr">
        <is>
          <t>EK73UOM , Car - Electric , Kia , Niro</t>
        </is>
      </c>
      <c r="E3767" t="inlineStr">
        <is>
          <t>EK73UOM , Car - Electric , Kia , Niro</t>
        </is>
      </c>
      <c r="F3767" t="inlineStr">
        <is>
          <t>EK73UOM , Car - Electric , Kia , Niro</t>
        </is>
      </c>
      <c r="G3767" t="inlineStr">
        <is>
          <t xml:space="preserve">Rod Taylor </t>
        </is>
      </c>
      <c r="H3767" t="inlineStr">
        <is>
          <t>Car - Electric (GC Owned)</t>
        </is>
      </c>
      <c r="I3767" t="inlineStr">
        <is>
          <t>Daily/ Weekly Vehicle Inspection</t>
        </is>
      </c>
      <c r="J3767" t="inlineStr">
        <is>
          <t>N/A</t>
        </is>
      </c>
      <c r="K3767" t="inlineStr">
        <is>
          <t>Rodney Taylor</t>
        </is>
      </c>
      <c r="L3767" t="inlineStr">
        <is>
          <t>26/03/2026 08:47</t>
        </is>
      </c>
      <c r="M3767" t="inlineStr">
        <is>
          <t>None</t>
        </is>
      </c>
      <c r="N3767" t="inlineStr">
        <is>
          <t>&lt;p&gt;&lt;/p&gt;</t>
        </is>
      </c>
      <c r="O3767" t="inlineStr"/>
      <c r="P3767" t="inlineStr">
        <is>
          <t>EK73UOM , Car - Electric , Kia , Niro</t>
        </is>
      </c>
      <c r="Q3767" t="inlineStr">
        <is>
          <t>NGED</t>
        </is>
      </c>
      <c r="R3767" t="b">
        <v>0</v>
      </c>
    </row>
    <row r="3768">
      <c r="A3768" t="inlineStr">
        <is>
          <t>26 Mar 2026 / 7186 Eastwoodbury Tree Services Ltd</t>
        </is>
      </c>
      <c r="B3768" t="inlineStr">
        <is>
          <t>Utilities</t>
        </is>
      </c>
      <c r="C3768" t="inlineStr">
        <is>
          <t>UKPN</t>
        </is>
      </c>
      <c r="D3768" t="inlineStr">
        <is>
          <t>FX14 XCV , 4x4 , Land Rover  , Defender</t>
        </is>
      </c>
      <c r="E3768" t="inlineStr">
        <is>
          <t>FX14 XCV , 4x4 , Land Rover  , Defender</t>
        </is>
      </c>
      <c r="F3768" t="inlineStr">
        <is>
          <t>FX14 XCV , 4x4 , Land Rover  , Defender</t>
        </is>
      </c>
      <c r="G3768" t="inlineStr">
        <is>
          <t xml:space="preserve">Luke Williams </t>
        </is>
      </c>
      <c r="H3768" t="inlineStr">
        <is>
          <t>4x4</t>
        </is>
      </c>
      <c r="I3768" t="inlineStr">
        <is>
          <t>Daily/ Weekly Vehicle Inspection</t>
        </is>
      </c>
      <c r="J3768" t="inlineStr">
        <is>
          <t>N/A</t>
        </is>
      </c>
      <c r="K3768" t="inlineStr">
        <is>
          <t>7186 Eastwoodbury Tree Services Ltd</t>
        </is>
      </c>
      <c r="L3768" t="inlineStr">
        <is>
          <t>26/03/2026 08:48</t>
        </is>
      </c>
      <c r="M3768" t="inlineStr">
        <is>
          <t>None</t>
        </is>
      </c>
      <c r="N3768" t="inlineStr">
        <is>
          <t>&lt;p&gt;&lt;/p&gt;</t>
        </is>
      </c>
      <c r="O3768" t="inlineStr"/>
      <c r="P3768" t="inlineStr">
        <is>
          <t>FX14 XCV , 4x4 , Land Rover  , Defender</t>
        </is>
      </c>
      <c r="Q3768" t="inlineStr">
        <is>
          <t>UKPN</t>
        </is>
      </c>
      <c r="R3768" t="b">
        <v>0</v>
      </c>
    </row>
    <row r="3769">
      <c r="A3769" t="inlineStr">
        <is>
          <t>26 Mar 2026 / 7995 Green Net Eco Ltd 2</t>
        </is>
      </c>
      <c r="B3769" t="inlineStr">
        <is>
          <t>Utilities</t>
        </is>
      </c>
      <c r="C3769" t="inlineStr">
        <is>
          <t>UKPN</t>
        </is>
      </c>
      <c r="D3769" t="inlineStr">
        <is>
          <t>SA9ST800000283944 , Towed Chipper , Forst , ST8D - Towed</t>
        </is>
      </c>
      <c r="E3769" t="inlineStr">
        <is>
          <t>SA9ST800000283944 , Towed Chipper , Forst , ST8D - Towed</t>
        </is>
      </c>
      <c r="F3769" t="inlineStr">
        <is>
          <t>SA9ST800000283944 , Towed Chipper , Forst , ST8D - Towed</t>
        </is>
      </c>
      <c r="G3769" t="inlineStr">
        <is>
          <t>Jacob Oram</t>
        </is>
      </c>
      <c r="H3769" t="inlineStr">
        <is>
          <t>Towed Chipper</t>
        </is>
      </c>
      <c r="I3769" t="inlineStr">
        <is>
          <t>Daily/ Weekly Vehicle Inspection</t>
        </is>
      </c>
      <c r="J3769" t="inlineStr">
        <is>
          <t>N/A</t>
        </is>
      </c>
      <c r="K3769" t="inlineStr">
        <is>
          <t>7995 Green Net Eco Ltd 2</t>
        </is>
      </c>
      <c r="L3769" t="inlineStr">
        <is>
          <t>26/03/2026 08:49</t>
        </is>
      </c>
      <c r="M3769" t="inlineStr">
        <is>
          <t>None</t>
        </is>
      </c>
      <c r="N3769" t="inlineStr">
        <is>
          <t>&lt;p&gt;&lt;/p&gt;</t>
        </is>
      </c>
      <c r="O3769" t="inlineStr"/>
      <c r="P3769" t="inlineStr">
        <is>
          <t>SA9ST800000283944 , Towed Chipper , Forst , ST8D - Towed</t>
        </is>
      </c>
      <c r="Q3769" t="inlineStr">
        <is>
          <t>UKPN</t>
        </is>
      </c>
      <c r="R3769" t="b">
        <v>0</v>
      </c>
    </row>
    <row r="3770">
      <c r="A3770" t="inlineStr">
        <is>
          <t>26 Mar 2026 / 7995 Green Net Eco Ltd 2</t>
        </is>
      </c>
      <c r="B3770" t="inlineStr">
        <is>
          <t>Utilities</t>
        </is>
      </c>
      <c r="C3770" t="inlineStr">
        <is>
          <t>UKPN</t>
        </is>
      </c>
      <c r="D3770" t="inlineStr">
        <is>
          <t>LK15KRZ , 4x4 , Landrover , Defender</t>
        </is>
      </c>
      <c r="E3770" t="inlineStr">
        <is>
          <t>LK15KRZ , 4x4 , Landrover , Defender</t>
        </is>
      </c>
      <c r="F3770" t="inlineStr">
        <is>
          <t>LK15KRZ , 4x4 , Landrover , Defender</t>
        </is>
      </c>
      <c r="G3770" t="inlineStr">
        <is>
          <t>Jacob Oram</t>
        </is>
      </c>
      <c r="H3770" t="inlineStr">
        <is>
          <t>4x4</t>
        </is>
      </c>
      <c r="I3770" t="inlineStr">
        <is>
          <t>Daily/ Weekly Vehicle Inspection</t>
        </is>
      </c>
      <c r="J3770" t="inlineStr">
        <is>
          <t>N/A</t>
        </is>
      </c>
      <c r="K3770" t="inlineStr">
        <is>
          <t>7995 Green Net Eco Ltd 2</t>
        </is>
      </c>
      <c r="L3770" t="inlineStr">
        <is>
          <t>26/03/2026 08:49</t>
        </is>
      </c>
      <c r="M3770" t="inlineStr">
        <is>
          <t>None</t>
        </is>
      </c>
      <c r="N3770" t="inlineStr">
        <is>
          <t>&lt;p&gt;&lt;/p&gt;</t>
        </is>
      </c>
      <c r="O3770" t="inlineStr"/>
      <c r="P3770" t="inlineStr">
        <is>
          <t>LK15KRZ , 4x4 , Landrover , Defender</t>
        </is>
      </c>
      <c r="Q3770" t="inlineStr">
        <is>
          <t>UKPN</t>
        </is>
      </c>
      <c r="R3770" t="b">
        <v>0</v>
      </c>
    </row>
    <row r="3771">
      <c r="A3771" t="inlineStr">
        <is>
          <t>26 Mar 2026 / Steve Broad</t>
        </is>
      </c>
      <c r="B3771" t="inlineStr">
        <is>
          <t>Utilities</t>
        </is>
      </c>
      <c r="C3771" t="inlineStr">
        <is>
          <t>NGED</t>
        </is>
      </c>
      <c r="D3771" t="inlineStr"/>
      <c r="E3771" t="inlineStr"/>
      <c r="F3771" t="inlineStr"/>
      <c r="G3771" t="inlineStr">
        <is>
          <t>Steve Broad</t>
        </is>
      </c>
      <c r="H3771" t="inlineStr">
        <is>
          <t>Van</t>
        </is>
      </c>
      <c r="I3771" t="inlineStr">
        <is>
          <t>Daily/ Weekly Vehicle Inspection</t>
        </is>
      </c>
      <c r="J3771" t="inlineStr">
        <is>
          <t>N/A</t>
        </is>
      </c>
      <c r="K3771" t="inlineStr">
        <is>
          <t>Steve Broad</t>
        </is>
      </c>
      <c r="L3771" t="inlineStr">
        <is>
          <t>26/03/2026 10:46</t>
        </is>
      </c>
      <c r="M3771" t="inlineStr">
        <is>
          <t>None</t>
        </is>
      </c>
      <c r="N3771" t="inlineStr">
        <is>
          <t>&lt;p&gt;&lt;/p&gt;</t>
        </is>
      </c>
      <c r="O3771" t="inlineStr"/>
      <c r="P3771" t="inlineStr"/>
      <c r="Q3771" t="inlineStr">
        <is>
          <t>NGED</t>
        </is>
      </c>
      <c r="R3771" t="b">
        <v>0</v>
      </c>
    </row>
    <row r="3772">
      <c r="A3772" t="inlineStr">
        <is>
          <t>26 Mar 2026 / Jodie Bowen</t>
        </is>
      </c>
      <c r="B3772" t="inlineStr">
        <is>
          <t>Utilities</t>
        </is>
      </c>
      <c r="C3772" t="inlineStr">
        <is>
          <t>UKPN</t>
        </is>
      </c>
      <c r="D3772" t="inlineStr">
        <is>
          <t>AF22XRA , Car - Electric , Tesla , Model 3 Long Range AWD</t>
        </is>
      </c>
      <c r="E3772" t="inlineStr">
        <is>
          <t>AF22XRA , Car - Electric , Tesla , Model 3 Long Range AWD</t>
        </is>
      </c>
      <c r="F3772" t="inlineStr">
        <is>
          <t>AF22XRA , Car - Electric , Tesla , Model 3 Long Range AWD</t>
        </is>
      </c>
      <c r="G3772" t="inlineStr">
        <is>
          <t>Jodie Bowen</t>
        </is>
      </c>
      <c r="H3772" t="inlineStr">
        <is>
          <t>Car - Electric (GC Owned)</t>
        </is>
      </c>
      <c r="I3772" t="inlineStr">
        <is>
          <t>Daily/ Weekly Vehicle Inspection</t>
        </is>
      </c>
      <c r="J3772" t="inlineStr">
        <is>
          <t>N/A</t>
        </is>
      </c>
      <c r="K3772" t="inlineStr">
        <is>
          <t>Jodie Bowen</t>
        </is>
      </c>
      <c r="L3772" t="inlineStr">
        <is>
          <t>26/03/2026 22:46</t>
        </is>
      </c>
      <c r="M3772" t="inlineStr">
        <is>
          <t>None</t>
        </is>
      </c>
      <c r="N3772" t="inlineStr">
        <is>
          <t>&lt;p&gt;&lt;/p&gt;</t>
        </is>
      </c>
      <c r="O3772" t="inlineStr"/>
      <c r="P3772" t="inlineStr">
        <is>
          <t>AF22XRA , Car - Electric , Tesla , Model 3 Long Range AWD</t>
        </is>
      </c>
      <c r="Q3772" t="inlineStr">
        <is>
          <t>UKPN</t>
        </is>
      </c>
      <c r="R3772" t="b">
        <v>0</v>
      </c>
    </row>
    <row r="3773">
      <c r="A3773" t="inlineStr">
        <is>
          <t>25 Mar 2026 / 3098 D &amp; R Landscapes</t>
        </is>
      </c>
      <c r="B3773" t="inlineStr">
        <is>
          <t>Utilities</t>
        </is>
      </c>
      <c r="C3773" t="inlineStr">
        <is>
          <t>UKPN</t>
        </is>
      </c>
      <c r="D3773" t="inlineStr">
        <is>
          <t>BT20 GNZ , Vehicle , Nissan , Navara</t>
        </is>
      </c>
      <c r="E3773" t="inlineStr">
        <is>
          <t>BT20 GNZ , Vehicle , Nissan , Navara</t>
        </is>
      </c>
      <c r="F3773" t="inlineStr">
        <is>
          <t>BT20 GNZ , Vehicle , Nissan , Navara</t>
        </is>
      </c>
      <c r="G3773" t="inlineStr">
        <is>
          <t>Jason</t>
        </is>
      </c>
      <c r="H3773" t="inlineStr">
        <is>
          <t>Pickup Truck</t>
        </is>
      </c>
      <c r="I3773" t="inlineStr">
        <is>
          <t>Daily/ Weekly Vehicle Inspection</t>
        </is>
      </c>
      <c r="J3773" t="inlineStr">
        <is>
          <t>N/A</t>
        </is>
      </c>
      <c r="K3773" t="inlineStr">
        <is>
          <t>3098 D &amp; R Landscapes</t>
        </is>
      </c>
      <c r="L3773" t="inlineStr">
        <is>
          <t>26/03/2026 22:46</t>
        </is>
      </c>
      <c r="M3773" t="inlineStr">
        <is>
          <t>None</t>
        </is>
      </c>
      <c r="N3773" t="inlineStr">
        <is>
          <t>&lt;p&gt;&lt;/p&gt;</t>
        </is>
      </c>
      <c r="O3773" t="inlineStr"/>
      <c r="P3773" t="inlineStr">
        <is>
          <t>BT20 GNZ , Vehicle , Nissan , Navara</t>
        </is>
      </c>
      <c r="Q3773" t="inlineStr">
        <is>
          <t>UKPN</t>
        </is>
      </c>
      <c r="R3773" t="b">
        <v>0</v>
      </c>
    </row>
    <row r="3774">
      <c r="A3774" t="inlineStr">
        <is>
          <t>25 Mar 2026 / 3098 D &amp; R Landscapes</t>
        </is>
      </c>
      <c r="B3774" t="inlineStr">
        <is>
          <t>Utilities</t>
        </is>
      </c>
      <c r="C3774" t="inlineStr">
        <is>
          <t>UKPN</t>
        </is>
      </c>
      <c r="D3774" t="inlineStr">
        <is>
          <t>DE68XHA , Tipper , Isuzu , Grafter</t>
        </is>
      </c>
      <c r="E3774" t="inlineStr">
        <is>
          <t>DE68XHA , Tipper , Isuzu , Grafter</t>
        </is>
      </c>
      <c r="F3774" t="inlineStr">
        <is>
          <t>DE68XHA , Tipper , Isuzu , Grafter</t>
        </is>
      </c>
      <c r="G3774" t="inlineStr">
        <is>
          <t xml:space="preserve">Chris </t>
        </is>
      </c>
      <c r="H3774" t="inlineStr">
        <is>
          <t>Tipper</t>
        </is>
      </c>
      <c r="I3774" t="inlineStr">
        <is>
          <t>Daily/ Weekly Vehicle Inspection</t>
        </is>
      </c>
      <c r="J3774" t="inlineStr">
        <is>
          <t>N/A</t>
        </is>
      </c>
      <c r="K3774" t="inlineStr">
        <is>
          <t>3098 D &amp; R Landscapes</t>
        </is>
      </c>
      <c r="L3774" t="inlineStr">
        <is>
          <t>26/03/2026 23:46</t>
        </is>
      </c>
      <c r="M3774" t="inlineStr">
        <is>
          <t>None</t>
        </is>
      </c>
      <c r="N3774" t="inlineStr">
        <is>
          <t>&lt;p&gt;&lt;/p&gt;</t>
        </is>
      </c>
      <c r="O3774" t="inlineStr"/>
      <c r="P3774" t="inlineStr">
        <is>
          <t>DE68XHA , Tipper , Isuzu , Grafter</t>
        </is>
      </c>
      <c r="Q3774" t="inlineStr">
        <is>
          <t>UKPN</t>
        </is>
      </c>
      <c r="R3774" t="b">
        <v>0</v>
      </c>
    </row>
    <row r="3775">
      <c r="A3775" t="inlineStr">
        <is>
          <t>27 Mar 2026 / 6617 Ashdown Tree Limited 1</t>
        </is>
      </c>
      <c r="B3775" t="inlineStr">
        <is>
          <t>Utilities</t>
        </is>
      </c>
      <c r="C3775" t="inlineStr">
        <is>
          <t>UKPN</t>
        </is>
      </c>
      <c r="D3775" t="inlineStr">
        <is>
          <t>WG63OJS , 4x4 , Land rover  , defender</t>
        </is>
      </c>
      <c r="E3775" t="inlineStr">
        <is>
          <t>WG63OJS , 4x4 , Land rover  , defender</t>
        </is>
      </c>
      <c r="F3775" t="inlineStr">
        <is>
          <t>WG63OJS , 4x4 , Land rover  , defender</t>
        </is>
      </c>
      <c r="G3775" t="inlineStr">
        <is>
          <t>Dan</t>
        </is>
      </c>
      <c r="H3775" t="inlineStr">
        <is>
          <t>4x4</t>
        </is>
      </c>
      <c r="I3775" t="inlineStr">
        <is>
          <t>Daily/ Weekly Vehicle Inspection</t>
        </is>
      </c>
      <c r="J3775" t="inlineStr">
        <is>
          <t>N/A</t>
        </is>
      </c>
      <c r="K3775" t="inlineStr">
        <is>
          <t>6617 Ashdown Tree Limited - Team 2</t>
        </is>
      </c>
      <c r="L3775" t="inlineStr">
        <is>
          <t>27/03/2026 06:56</t>
        </is>
      </c>
      <c r="M3775" t="inlineStr">
        <is>
          <t>None</t>
        </is>
      </c>
      <c r="N3775" t="inlineStr">
        <is>
          <t>&lt;p&gt;&lt;/p&gt;</t>
        </is>
      </c>
      <c r="O3775" t="inlineStr"/>
      <c r="P3775" t="inlineStr">
        <is>
          <t>WG63OJS , 4x4 , Land rover  , defender</t>
        </is>
      </c>
      <c r="Q3775" t="inlineStr">
        <is>
          <t>UKPN</t>
        </is>
      </c>
      <c r="R3775" t="b">
        <v>0</v>
      </c>
    </row>
    <row r="3776">
      <c r="A3776" t="inlineStr">
        <is>
          <t>27 Mar 2026 / 7995 Green Net Eco Ltd 2</t>
        </is>
      </c>
      <c r="B3776" t="inlineStr">
        <is>
          <t>Utilities</t>
        </is>
      </c>
      <c r="C3776" t="inlineStr">
        <is>
          <t>UKPN</t>
        </is>
      </c>
      <c r="D3776" t="inlineStr">
        <is>
          <t>X21TNP , 4x4 , Toyota , Hilux</t>
        </is>
      </c>
      <c r="E3776" t="inlineStr">
        <is>
          <t>X21TNP , 4x4 , Toyota , Hilux</t>
        </is>
      </c>
      <c r="F3776" t="inlineStr">
        <is>
          <t>X21TNP , 4x4 , Toyota , Hilux</t>
        </is>
      </c>
      <c r="G3776" t="inlineStr">
        <is>
          <t xml:space="preserve">Thomas Playford </t>
        </is>
      </c>
      <c r="H3776" t="inlineStr">
        <is>
          <t>4x4</t>
        </is>
      </c>
      <c r="I3776" t="inlineStr">
        <is>
          <t>Daily/ Weekly Vehicle Inspection</t>
        </is>
      </c>
      <c r="J3776" t="inlineStr">
        <is>
          <t>N/A</t>
        </is>
      </c>
      <c r="K3776" t="inlineStr">
        <is>
          <t>7995 Green Net Eco Ltd 2</t>
        </is>
      </c>
      <c r="L3776" t="inlineStr">
        <is>
          <t>27/03/2026 07:46</t>
        </is>
      </c>
      <c r="M3776" t="inlineStr">
        <is>
          <t>None</t>
        </is>
      </c>
      <c r="N3776" t="inlineStr">
        <is>
          <t>&lt;p&gt;&lt;/p&gt;</t>
        </is>
      </c>
      <c r="O3776" t="inlineStr"/>
      <c r="P3776" t="inlineStr">
        <is>
          <t>X21TNP , 4x4 , Toyota , Hilux</t>
        </is>
      </c>
      <c r="Q3776" t="inlineStr">
        <is>
          <t>UKPN</t>
        </is>
      </c>
      <c r="R3776" t="b">
        <v>0</v>
      </c>
    </row>
    <row r="3777">
      <c r="A3777" t="inlineStr">
        <is>
          <t>27 Mar 2026 / 7995 Green Net Eco Ltd 2</t>
        </is>
      </c>
      <c r="B3777" t="inlineStr">
        <is>
          <t>Utilities</t>
        </is>
      </c>
      <c r="C3777" t="inlineStr">
        <is>
          <t>UKPN</t>
        </is>
      </c>
      <c r="D3777" t="inlineStr">
        <is>
          <t>SA9ST800000283944 , Towed Chipper , Forst , ST8D - Towed</t>
        </is>
      </c>
      <c r="E3777" t="inlineStr">
        <is>
          <t>SA9ST800000283944 , Towed Chipper , Forst , ST8D - Towed</t>
        </is>
      </c>
      <c r="F3777" t="inlineStr">
        <is>
          <t>SA9ST800000283944 , Towed Chipper , Forst , ST8D - Towed</t>
        </is>
      </c>
      <c r="G3777" t="inlineStr">
        <is>
          <t xml:space="preserve">Jacob Oram </t>
        </is>
      </c>
      <c r="H3777" t="inlineStr">
        <is>
          <t>Towed Chipper</t>
        </is>
      </c>
      <c r="I3777" t="inlineStr">
        <is>
          <t>Daily/ Weekly Vehicle Inspection</t>
        </is>
      </c>
      <c r="J3777" t="inlineStr">
        <is>
          <t>N/A</t>
        </is>
      </c>
      <c r="K3777" t="inlineStr">
        <is>
          <t>7995 Green Net Eco Ltd 2</t>
        </is>
      </c>
      <c r="L3777" t="inlineStr">
        <is>
          <t>27/03/2026 07:47</t>
        </is>
      </c>
      <c r="M3777" t="inlineStr">
        <is>
          <t>None</t>
        </is>
      </c>
      <c r="N3777" t="inlineStr">
        <is>
          <t>&lt;p&gt;&lt;/p&gt;</t>
        </is>
      </c>
      <c r="O3777" t="inlineStr"/>
      <c r="P3777" t="inlineStr">
        <is>
          <t>SA9ST800000283944 , Towed Chipper , Forst , ST8D - Towed</t>
        </is>
      </c>
      <c r="Q3777" t="inlineStr">
        <is>
          <t>UKPN</t>
        </is>
      </c>
      <c r="R3777" t="b">
        <v>0</v>
      </c>
    </row>
    <row r="3778">
      <c r="A3778" t="inlineStr">
        <is>
          <t>27 Mar 2026 / 7186 Eastwoodbury Tree Services Ltd</t>
        </is>
      </c>
      <c r="B3778" t="inlineStr">
        <is>
          <t>Utilities</t>
        </is>
      </c>
      <c r="C3778" t="inlineStr">
        <is>
          <t>UKPN</t>
        </is>
      </c>
      <c r="D3778" t="inlineStr">
        <is>
          <t>WF13 EKT , 4x4 , Land rover  , Defender</t>
        </is>
      </c>
      <c r="E3778" t="inlineStr">
        <is>
          <t>WF13 EKT , 4x4 , Land rover  , Defender</t>
        </is>
      </c>
      <c r="F3778" t="inlineStr">
        <is>
          <t>WF13 EKT , 4x4 , Land rover  , Defender</t>
        </is>
      </c>
      <c r="G3778" t="inlineStr">
        <is>
          <t xml:space="preserve">Dan Gilbert </t>
        </is>
      </c>
      <c r="H3778" t="inlineStr">
        <is>
          <t>4x4</t>
        </is>
      </c>
      <c r="I3778" t="inlineStr">
        <is>
          <t>Daily/ Weekly Vehicle Inspection</t>
        </is>
      </c>
      <c r="J3778" t="inlineStr">
        <is>
          <t>N/A</t>
        </is>
      </c>
      <c r="K3778" t="inlineStr">
        <is>
          <t>7186 Eastwoodbury Tree Services Ltd</t>
        </is>
      </c>
      <c r="L3778" t="inlineStr">
        <is>
          <t>27/03/2026 07:47</t>
        </is>
      </c>
      <c r="M3778" t="inlineStr">
        <is>
          <t>None</t>
        </is>
      </c>
      <c r="N3778" t="inlineStr">
        <is>
          <t>&lt;p&gt;&lt;/p&gt;</t>
        </is>
      </c>
      <c r="O3778" t="inlineStr"/>
      <c r="P3778" t="inlineStr">
        <is>
          <t>WF13 EKT , 4x4 , Land rover  , Defender</t>
        </is>
      </c>
      <c r="Q3778" t="inlineStr">
        <is>
          <t>UKPN</t>
        </is>
      </c>
      <c r="R3778" t="b">
        <v>0</v>
      </c>
    </row>
    <row r="3779">
      <c r="A3779" t="inlineStr">
        <is>
          <t>27 Mar 2026 / 7995 Green Net Eco Ltd 2</t>
        </is>
      </c>
      <c r="B3779" t="inlineStr">
        <is>
          <t>Utilities</t>
        </is>
      </c>
      <c r="C3779" t="inlineStr">
        <is>
          <t>UKPN</t>
        </is>
      </c>
      <c r="D3779" t="inlineStr">
        <is>
          <t>LK15KRZ , 4x4 , Landrover , Defender</t>
        </is>
      </c>
      <c r="E3779" t="inlineStr">
        <is>
          <t>LK15KRZ , 4x4 , Landrover , Defender</t>
        </is>
      </c>
      <c r="F3779" t="inlineStr">
        <is>
          <t>LK15KRZ , 4x4 , Landrover , Defender</t>
        </is>
      </c>
      <c r="G3779" t="inlineStr">
        <is>
          <t>Jacob Oram</t>
        </is>
      </c>
      <c r="H3779" t="inlineStr">
        <is>
          <t>4x4</t>
        </is>
      </c>
      <c r="I3779" t="inlineStr">
        <is>
          <t>Daily/ Weekly Vehicle Inspection</t>
        </is>
      </c>
      <c r="J3779" t="inlineStr">
        <is>
          <t>N/A</t>
        </is>
      </c>
      <c r="K3779" t="inlineStr">
        <is>
          <t>7995 Green Net Eco Ltd 2</t>
        </is>
      </c>
      <c r="L3779" t="inlineStr">
        <is>
          <t>27/03/2026 07:48</t>
        </is>
      </c>
      <c r="M3779" t="inlineStr">
        <is>
          <t>None</t>
        </is>
      </c>
      <c r="N3779" t="inlineStr">
        <is>
          <t>&lt;p&gt;&lt;/p&gt;</t>
        </is>
      </c>
      <c r="O3779" t="inlineStr"/>
      <c r="P3779" t="inlineStr">
        <is>
          <t>LK15KRZ , 4x4 , Landrover , Defender</t>
        </is>
      </c>
      <c r="Q3779" t="inlineStr">
        <is>
          <t>UKPN</t>
        </is>
      </c>
      <c r="R3779" t="b">
        <v>0</v>
      </c>
    </row>
    <row r="3780">
      <c r="A3780" t="inlineStr">
        <is>
          <t>27 Mar 2026 / 7806 Optimum Tree Services Ltd</t>
        </is>
      </c>
      <c r="B3780" t="inlineStr">
        <is>
          <t>Utilities</t>
        </is>
      </c>
      <c r="C3780" t="inlineStr">
        <is>
          <t>UKPN</t>
        </is>
      </c>
      <c r="D3780" t="inlineStr">
        <is>
          <t>SA9st6p0001283093 , Towed Chipper , Forst  , St6pHD</t>
        </is>
      </c>
      <c r="E3780" t="inlineStr">
        <is>
          <t>SA9st6p0001283093 , Towed Chipper , Forst  , St6pHD</t>
        </is>
      </c>
      <c r="F3780" t="inlineStr">
        <is>
          <t>SA9st6p0001283093 , Towed Chipper , Forst  , St6pHD</t>
        </is>
      </c>
      <c r="G3780" t="inlineStr">
        <is>
          <t xml:space="preserve">Abraham Davies </t>
        </is>
      </c>
      <c r="H3780" t="inlineStr">
        <is>
          <t>Towed Chipper</t>
        </is>
      </c>
      <c r="I3780" t="inlineStr">
        <is>
          <t>Daily/ Weekly Vehicle Inspection</t>
        </is>
      </c>
      <c r="J3780" t="inlineStr">
        <is>
          <t>N/A</t>
        </is>
      </c>
      <c r="K3780" t="inlineStr">
        <is>
          <t>7806 Optimum Tree Services Ltd</t>
        </is>
      </c>
      <c r="L3780" t="inlineStr">
        <is>
          <t>27/03/2026 07:49</t>
        </is>
      </c>
      <c r="M3780" t="inlineStr">
        <is>
          <t>None</t>
        </is>
      </c>
      <c r="N3780" t="inlineStr">
        <is>
          <t>&lt;p&gt;&lt;/p&gt;</t>
        </is>
      </c>
      <c r="O3780" t="inlineStr"/>
      <c r="P3780" t="inlineStr">
        <is>
          <t>SA9st6p0001283093 , Towed Chipper , Forst  , St6pHD</t>
        </is>
      </c>
      <c r="Q3780" t="inlineStr">
        <is>
          <t>UKPN</t>
        </is>
      </c>
      <c r="R3780" t="b">
        <v>0</v>
      </c>
    </row>
    <row r="3781">
      <c r="A3781" t="inlineStr">
        <is>
          <t>27 Mar 2026 / 7186 Eastwoodbury Tree Services Ltd</t>
        </is>
      </c>
      <c r="B3781" t="inlineStr">
        <is>
          <t>Utilities</t>
        </is>
      </c>
      <c r="C3781" t="inlineStr">
        <is>
          <t>UKPN</t>
        </is>
      </c>
      <c r="D3781" t="inlineStr">
        <is>
          <t>FX14 XCV , 4x4 , Land Rover  , Defender</t>
        </is>
      </c>
      <c r="E3781" t="inlineStr">
        <is>
          <t>FX14 XCV , 4x4 , Land Rover  , Defender</t>
        </is>
      </c>
      <c r="F3781" t="inlineStr">
        <is>
          <t>FX14 XCV , 4x4 , Land Rover  , Defender</t>
        </is>
      </c>
      <c r="G3781" t="inlineStr">
        <is>
          <t xml:space="preserve">Luke Williams </t>
        </is>
      </c>
      <c r="H3781" t="inlineStr">
        <is>
          <t>4x4</t>
        </is>
      </c>
      <c r="I3781" t="inlineStr">
        <is>
          <t>Daily/ Weekly Vehicle Inspection</t>
        </is>
      </c>
      <c r="J3781" t="inlineStr">
        <is>
          <t>N/A</t>
        </is>
      </c>
      <c r="K3781" t="inlineStr">
        <is>
          <t>7186 Eastwoodbury Tree Services Ltd</t>
        </is>
      </c>
      <c r="L3781" t="inlineStr">
        <is>
          <t>27/03/2026 07:50</t>
        </is>
      </c>
      <c r="M3781" t="inlineStr">
        <is>
          <t>None</t>
        </is>
      </c>
      <c r="N3781" t="inlineStr">
        <is>
          <t>&lt;p&gt;&lt;/p&gt;</t>
        </is>
      </c>
      <c r="O3781" t="inlineStr"/>
      <c r="P3781" t="inlineStr">
        <is>
          <t>FX14 XCV , 4x4 , Land Rover  , Defender</t>
        </is>
      </c>
      <c r="Q3781" t="inlineStr">
        <is>
          <t>UKPN</t>
        </is>
      </c>
      <c r="R3781" t="b">
        <v>0</v>
      </c>
    </row>
    <row r="3782">
      <c r="A3782" t="inlineStr">
        <is>
          <t>27 Mar 2026 / 7806 Optimum Tree Services Ltd</t>
        </is>
      </c>
      <c r="B3782" t="inlineStr">
        <is>
          <t>Utilities</t>
        </is>
      </c>
      <c r="C3782" t="inlineStr">
        <is>
          <t>UKPN</t>
        </is>
      </c>
      <c r="D3782" t="inlineStr">
        <is>
          <t>WD14EVB , MEWP , Land Rover , Defender</t>
        </is>
      </c>
      <c r="E3782" t="inlineStr">
        <is>
          <t>WD14EVB , MEWP , Land Rover , Defender</t>
        </is>
      </c>
      <c r="F3782" t="inlineStr">
        <is>
          <t>WD14EVB , MEWP , Land Rover , Defender</t>
        </is>
      </c>
      <c r="G3782" t="inlineStr">
        <is>
          <t xml:space="preserve">Abraham Davies </t>
        </is>
      </c>
      <c r="H3782" t="inlineStr">
        <is>
          <t>4x4</t>
        </is>
      </c>
      <c r="I3782" t="inlineStr">
        <is>
          <t>Daily/ Weekly Vehicle Inspection</t>
        </is>
      </c>
      <c r="J3782" t="inlineStr">
        <is>
          <t>N/A</t>
        </is>
      </c>
      <c r="K3782" t="inlineStr">
        <is>
          <t>7806 Optimum Tree Services Ltd</t>
        </is>
      </c>
      <c r="L3782" t="inlineStr">
        <is>
          <t>27/03/2026 07:51</t>
        </is>
      </c>
      <c r="M3782" t="inlineStr">
        <is>
          <t>None</t>
        </is>
      </c>
      <c r="N3782" t="inlineStr">
        <is>
          <t>&lt;p&gt;&lt;/p&gt;</t>
        </is>
      </c>
      <c r="O3782" t="inlineStr"/>
      <c r="P3782" t="inlineStr">
        <is>
          <t>WD14EVB , MEWP , Land Rover , Defender</t>
        </is>
      </c>
      <c r="Q3782" t="inlineStr">
        <is>
          <t>UKPN</t>
        </is>
      </c>
      <c r="R3782" t="b">
        <v>0</v>
      </c>
    </row>
    <row r="3783">
      <c r="A3783" t="inlineStr">
        <is>
          <t>27 Mar 2026 / 7951 Austin Tree Care LTD</t>
        </is>
      </c>
      <c r="B3783" t="inlineStr">
        <is>
          <t>Utilities</t>
        </is>
      </c>
      <c r="C3783" t="inlineStr">
        <is>
          <t>UKPN</t>
        </is>
      </c>
      <c r="D3783" t="inlineStr">
        <is>
          <t>WG64HTT , 4x4 , Land Rover , Defender 110</t>
        </is>
      </c>
      <c r="E3783" t="inlineStr">
        <is>
          <t>WG64HTT , 4x4 , Land Rover , Defender 110</t>
        </is>
      </c>
      <c r="F3783" t="inlineStr">
        <is>
          <t>WG64HTT , 4x4 , Land Rover , Defender 110</t>
        </is>
      </c>
      <c r="G3783" t="inlineStr">
        <is>
          <t xml:space="preserve">Jack Austin </t>
        </is>
      </c>
      <c r="H3783" t="inlineStr">
        <is>
          <t>4x4</t>
        </is>
      </c>
      <c r="I3783" t="inlineStr">
        <is>
          <t>Daily/ Weekly Vehicle Inspection</t>
        </is>
      </c>
      <c r="J3783" t="inlineStr">
        <is>
          <t>N/A</t>
        </is>
      </c>
      <c r="K3783" t="inlineStr">
        <is>
          <t>7951 Austin Tree Care LTD</t>
        </is>
      </c>
      <c r="L3783" t="inlineStr">
        <is>
          <t>27/03/2026 07:52</t>
        </is>
      </c>
      <c r="M3783" t="inlineStr">
        <is>
          <t>None</t>
        </is>
      </c>
      <c r="N3783" t="inlineStr">
        <is>
          <t>&lt;p&gt;&lt;/p&gt;</t>
        </is>
      </c>
      <c r="O3783" t="inlineStr"/>
      <c r="P3783" t="inlineStr">
        <is>
          <t>WG64HTT , 4x4 , Land Rover , Defender 110</t>
        </is>
      </c>
      <c r="Q3783" t="inlineStr">
        <is>
          <t>UKPN</t>
        </is>
      </c>
      <c r="R3783" t="b">
        <v>0</v>
      </c>
    </row>
    <row r="3784">
      <c r="A3784" t="inlineStr">
        <is>
          <t>27 Mar 2026 / Ashley Hill</t>
        </is>
      </c>
      <c r="B3784" t="inlineStr">
        <is>
          <t>Utilities</t>
        </is>
      </c>
      <c r="C3784" t="inlineStr">
        <is>
          <t>NGED</t>
        </is>
      </c>
      <c r="D3784" t="inlineStr"/>
      <c r="E3784" t="inlineStr"/>
      <c r="F3784" t="inlineStr"/>
      <c r="G3784" t="inlineStr">
        <is>
          <t>Ashley Hill</t>
        </is>
      </c>
      <c r="H3784" t="inlineStr">
        <is>
          <t>Car - Petrol</t>
        </is>
      </c>
      <c r="I3784" t="inlineStr">
        <is>
          <t>Daily/ Weekly Vehicle Inspection</t>
        </is>
      </c>
      <c r="J3784" t="inlineStr">
        <is>
          <t>N/A</t>
        </is>
      </c>
      <c r="K3784" t="inlineStr">
        <is>
          <t>Ashley Hill</t>
        </is>
      </c>
      <c r="L3784" t="inlineStr">
        <is>
          <t>27/03/2026 07:54</t>
        </is>
      </c>
      <c r="M3784" t="inlineStr">
        <is>
          <t>None</t>
        </is>
      </c>
      <c r="N3784" t="inlineStr">
        <is>
          <t>&lt;p&gt;&lt;/p&gt;</t>
        </is>
      </c>
      <c r="O3784" t="inlineStr"/>
      <c r="P3784" t="inlineStr"/>
      <c r="Q3784" t="inlineStr">
        <is>
          <t>NGED</t>
        </is>
      </c>
      <c r="R3784" t="b">
        <v>0</v>
      </c>
    </row>
    <row r="3785">
      <c r="A3785" t="inlineStr">
        <is>
          <t>27 Mar 2026 / Barry Bright</t>
        </is>
      </c>
      <c r="B3785" t="inlineStr">
        <is>
          <t>Utilities</t>
        </is>
      </c>
      <c r="C3785" t="inlineStr">
        <is>
          <t>UKPN</t>
        </is>
      </c>
      <c r="D3785" t="inlineStr">
        <is>
          <t>AK72YBM , Car - Electric , Tesla , Model Y Long Range</t>
        </is>
      </c>
      <c r="E3785" t="inlineStr">
        <is>
          <t>AK72YBM , Car - Electric , Tesla , Model Y Long Range</t>
        </is>
      </c>
      <c r="F3785" t="inlineStr">
        <is>
          <t>AK72YBM , Car - Electric , Tesla , Model Y Long Range</t>
        </is>
      </c>
      <c r="G3785" t="inlineStr">
        <is>
          <t xml:space="preserve">Barry Bright </t>
        </is>
      </c>
      <c r="H3785" t="inlineStr">
        <is>
          <t>Car - Electric (GC Owned)</t>
        </is>
      </c>
      <c r="I3785" t="inlineStr">
        <is>
          <t>Daily/ Weekly Vehicle Inspection</t>
        </is>
      </c>
      <c r="J3785" t="inlineStr">
        <is>
          <t>N/A</t>
        </is>
      </c>
      <c r="K3785" t="inlineStr">
        <is>
          <t>Barry Bright</t>
        </is>
      </c>
      <c r="L3785" t="inlineStr">
        <is>
          <t>27/03/2026 07:54</t>
        </is>
      </c>
      <c r="M3785" t="inlineStr">
        <is>
          <t>None</t>
        </is>
      </c>
      <c r="N3785" t="inlineStr">
        <is>
          <t>&lt;p&gt;&lt;/p&gt;</t>
        </is>
      </c>
      <c r="O3785" t="inlineStr"/>
      <c r="P3785" t="inlineStr">
        <is>
          <t>AK72YBM , Car - Electric , Tesla , Model Y Long Range</t>
        </is>
      </c>
      <c r="Q3785" t="inlineStr">
        <is>
          <t>UKPN</t>
        </is>
      </c>
      <c r="R3785" t="b">
        <v>0</v>
      </c>
    </row>
    <row r="3786">
      <c r="A3786" t="inlineStr">
        <is>
          <t>27 Mar 2026 / Benet Jones</t>
        </is>
      </c>
      <c r="B3786" t="inlineStr">
        <is>
          <t>Utilities</t>
        </is>
      </c>
      <c r="C3786" t="inlineStr">
        <is>
          <t>NGED</t>
        </is>
      </c>
      <c r="D3786" t="inlineStr">
        <is>
          <t>GF71TXC , Car - Electric , Tesla , Model 3 Long Range AWD</t>
        </is>
      </c>
      <c r="E3786" t="inlineStr">
        <is>
          <t>GF71TXC , Car - Electric , Tesla , Model 3 Long Range AWD</t>
        </is>
      </c>
      <c r="F3786" t="inlineStr">
        <is>
          <t>GF71TXC , Car - Electric , Tesla , Model 3 Long Range AWD</t>
        </is>
      </c>
      <c r="G3786" t="inlineStr">
        <is>
          <t xml:space="preserve">Benet Jones </t>
        </is>
      </c>
      <c r="H3786" t="inlineStr">
        <is>
          <t>Car - Electric (GC Owned)</t>
        </is>
      </c>
      <c r="I3786" t="inlineStr">
        <is>
          <t>Daily/ Weekly Vehicle Inspection</t>
        </is>
      </c>
      <c r="J3786" t="inlineStr">
        <is>
          <t>N/A</t>
        </is>
      </c>
      <c r="K3786" t="inlineStr">
        <is>
          <t>Benet Jones</t>
        </is>
      </c>
      <c r="L3786" t="inlineStr">
        <is>
          <t>27/03/2026 10:46</t>
        </is>
      </c>
      <c r="M3786" t="inlineStr">
        <is>
          <t>None</t>
        </is>
      </c>
      <c r="N3786" t="inlineStr">
        <is>
          <t>&lt;p&gt;&lt;/p&gt;</t>
        </is>
      </c>
      <c r="O3786" t="inlineStr">
        <is>
          <t>Confirm that you have checked this vehicle as per the guidance document and the vehicle is safe and roadworthy:Car checked and fully serviceable
-</t>
        </is>
      </c>
      <c r="P3786" t="inlineStr">
        <is>
          <t>GF71TXC , Car - Electric , Tesla , Model 3 Long Range AWD</t>
        </is>
      </c>
      <c r="Q3786" t="inlineStr">
        <is>
          <t>NGED</t>
        </is>
      </c>
      <c r="R3786" t="b">
        <v>0</v>
      </c>
    </row>
    <row r="3787">
      <c r="A3787" t="inlineStr">
        <is>
          <t>27 Mar 2026 / Benet Jones</t>
        </is>
      </c>
      <c r="B3787" t="inlineStr">
        <is>
          <t>Utilities</t>
        </is>
      </c>
      <c r="C3787" t="inlineStr">
        <is>
          <t>NGED</t>
        </is>
      </c>
      <c r="D3787" t="inlineStr">
        <is>
          <t>KE73EJV , 4x4 , Toyota , Hilux</t>
        </is>
      </c>
      <c r="E3787" t="inlineStr">
        <is>
          <t>KE73EJV , 4x4 , Toyota , Hilux</t>
        </is>
      </c>
      <c r="F3787" t="inlineStr">
        <is>
          <t>KE73EJV , 4x4 , Toyota , Hilux</t>
        </is>
      </c>
      <c r="G3787" t="inlineStr">
        <is>
          <t>Benet Jones/Mike Jackson</t>
        </is>
      </c>
      <c r="H3787" t="inlineStr">
        <is>
          <t>4x4</t>
        </is>
      </c>
      <c r="I3787" t="inlineStr">
        <is>
          <t>Daily/ Weekly Vehicle Inspection</t>
        </is>
      </c>
      <c r="J3787" t="inlineStr">
        <is>
          <t>N/A</t>
        </is>
      </c>
      <c r="K3787" t="inlineStr">
        <is>
          <t>Benet Jones</t>
        </is>
      </c>
      <c r="L3787" t="inlineStr">
        <is>
          <t>27/03/2026 12:46</t>
        </is>
      </c>
      <c r="M3787" t="inlineStr">
        <is>
          <t>None</t>
        </is>
      </c>
      <c r="N3787" t="inlineStr">
        <is>
          <t>&lt;p&gt;&lt;a href="https&amp;#58;//apps.powerapps.com/play/2d567dc9-5d50-4629-a077-f7ccbff3e239?tenantId=3ef9f654-aa07-41b8-88ad-a411c62bd12c&amp;amp;Action=Open&amp;amp;Actionno=8722"&gt;MEWP pictures for reference&lt;/a&gt;&lt;br&gt;&lt;/p&gt;</t>
        </is>
      </c>
      <c r="O3787" t="inlineStr">
        <is>
          <t>Select Vehicle:KE73 EJVType of vehicle:MEWPConfirm that you have checked this vehicle as per the guidance document and the vehicle is safe and roadworthy:This is a MEWP pick up for Olney Tree Care being delivered back to GC ownership.
-</t>
        </is>
      </c>
      <c r="P3787" t="inlineStr">
        <is>
          <t>KE73EJV , 4x4 , Toyota , Hilux</t>
        </is>
      </c>
      <c r="Q3787" t="inlineStr">
        <is>
          <t>NGED</t>
        </is>
      </c>
      <c r="R3787" t="b">
        <v>0</v>
      </c>
    </row>
    <row r="3788">
      <c r="A3788" t="inlineStr">
        <is>
          <t>30 Mar 2026 / 6617 Ashdown Tree Limited 1</t>
        </is>
      </c>
      <c r="B3788" t="inlineStr">
        <is>
          <t>Utilities</t>
        </is>
      </c>
      <c r="C3788" t="inlineStr">
        <is>
          <t>UKPN</t>
        </is>
      </c>
      <c r="D3788" t="inlineStr">
        <is>
          <t>WF11EJJ , Vehicle , Land Rover , Discovery</t>
        </is>
      </c>
      <c r="E3788" t="inlineStr">
        <is>
          <t>WF11EJJ , Vehicle , Land Rover , Discovery</t>
        </is>
      </c>
      <c r="F3788" t="inlineStr">
        <is>
          <t>WF11EJJ , Vehicle , Land Rover , Discovery</t>
        </is>
      </c>
      <c r="G3788" t="inlineStr">
        <is>
          <t>Dan</t>
        </is>
      </c>
      <c r="H3788" t="inlineStr">
        <is>
          <t>4x4</t>
        </is>
      </c>
      <c r="I3788" t="inlineStr">
        <is>
          <t>Daily/ Weekly Vehicle Inspection</t>
        </is>
      </c>
      <c r="J3788" t="inlineStr">
        <is>
          <t>N/A</t>
        </is>
      </c>
      <c r="K3788" t="inlineStr">
        <is>
          <t>6617 Ashdown Tree Limited - Team 2</t>
        </is>
      </c>
      <c r="L3788" t="inlineStr">
        <is>
          <t>30/03/2026 06:51</t>
        </is>
      </c>
      <c r="M3788" t="inlineStr">
        <is>
          <t>None</t>
        </is>
      </c>
      <c r="N3788" t="inlineStr">
        <is>
          <t>&lt;p&gt;&lt;/p&gt;</t>
        </is>
      </c>
      <c r="O3788" t="inlineStr"/>
      <c r="P3788" t="inlineStr">
        <is>
          <t>WF11EJJ , Vehicle , Land Rover , Discovery</t>
        </is>
      </c>
      <c r="Q3788" t="inlineStr">
        <is>
          <t>UKPN</t>
        </is>
      </c>
      <c r="R3788" t="b">
        <v>0</v>
      </c>
    </row>
    <row r="3789">
      <c r="A3789" t="inlineStr">
        <is>
          <t>30 Mar 2026 / 7806 Optimum Tree Services Ltd</t>
        </is>
      </c>
      <c r="B3789" t="inlineStr">
        <is>
          <t>Utilities</t>
        </is>
      </c>
      <c r="C3789" t="inlineStr">
        <is>
          <t>UKPN</t>
        </is>
      </c>
      <c r="D3789" t="inlineStr">
        <is>
          <t>SA9st6p0001283093 , Towed Chipper , Forst  , St6pHD</t>
        </is>
      </c>
      <c r="E3789" t="inlineStr">
        <is>
          <t>SA9st6p0001283093 , Towed Chipper , Forst  , St6pHD</t>
        </is>
      </c>
      <c r="F3789" t="inlineStr">
        <is>
          <t>SA9st6p0001283093 , Towed Chipper , Forst  , St6pHD</t>
        </is>
      </c>
      <c r="G3789" t="inlineStr">
        <is>
          <t xml:space="preserve">Abraham Davies </t>
        </is>
      </c>
      <c r="H3789" t="inlineStr">
        <is>
          <t>Towed Chipper</t>
        </is>
      </c>
      <c r="I3789" t="inlineStr">
        <is>
          <t>Daily/ Weekly Vehicle Inspection</t>
        </is>
      </c>
      <c r="J3789" t="inlineStr">
        <is>
          <t>N/A</t>
        </is>
      </c>
      <c r="K3789" t="inlineStr">
        <is>
          <t>7806 Optimum Tree Services Ltd</t>
        </is>
      </c>
      <c r="L3789" t="inlineStr">
        <is>
          <t>30/03/2026 07:46</t>
        </is>
      </c>
      <c r="M3789" t="inlineStr">
        <is>
          <t>None</t>
        </is>
      </c>
      <c r="N3789" t="inlineStr">
        <is>
          <t>&lt;p&gt;&lt;/p&gt;</t>
        </is>
      </c>
      <c r="O3789" t="inlineStr"/>
      <c r="P3789" t="inlineStr">
        <is>
          <t>SA9st6p0001283093 , Towed Chipper , Forst  , St6pHD</t>
        </is>
      </c>
      <c r="Q3789" t="inlineStr">
        <is>
          <t>UKPN</t>
        </is>
      </c>
      <c r="R3789" t="b">
        <v>0</v>
      </c>
    </row>
    <row r="3790">
      <c r="A3790" t="inlineStr">
        <is>
          <t>30 Mar 2026 / 7806 Optimum Tree Services Ltd</t>
        </is>
      </c>
      <c r="B3790" t="inlineStr">
        <is>
          <t>Utilities</t>
        </is>
      </c>
      <c r="C3790" t="inlineStr">
        <is>
          <t>UKPN</t>
        </is>
      </c>
      <c r="D3790" t="inlineStr">
        <is>
          <t>WD14EVB , MEWP , Land Rover , Defender</t>
        </is>
      </c>
      <c r="E3790" t="inlineStr">
        <is>
          <t>WD14EVB , MEWP , Land Rover , Defender</t>
        </is>
      </c>
      <c r="F3790" t="inlineStr">
        <is>
          <t>WD14EVB , MEWP , Land Rover , Defender</t>
        </is>
      </c>
      <c r="G3790" t="inlineStr">
        <is>
          <t xml:space="preserve">Abraham Davies </t>
        </is>
      </c>
      <c r="H3790" t="inlineStr">
        <is>
          <t>4x4</t>
        </is>
      </c>
      <c r="I3790" t="inlineStr">
        <is>
          <t>Daily/ Weekly Vehicle Inspection</t>
        </is>
      </c>
      <c r="J3790" t="inlineStr">
        <is>
          <t>N/A</t>
        </is>
      </c>
      <c r="K3790" t="inlineStr">
        <is>
          <t>7806 Optimum Tree Services Ltd</t>
        </is>
      </c>
      <c r="L3790" t="inlineStr">
        <is>
          <t>30/03/2026 07:48</t>
        </is>
      </c>
      <c r="M3790" t="inlineStr">
        <is>
          <t>None</t>
        </is>
      </c>
      <c r="N3790" t="inlineStr">
        <is>
          <t>&lt;p&gt;&lt;/p&gt;</t>
        </is>
      </c>
      <c r="O3790" t="inlineStr"/>
      <c r="P3790" t="inlineStr">
        <is>
          <t>WD14EVB , MEWP , Land Rover , Defender</t>
        </is>
      </c>
      <c r="Q3790" t="inlineStr">
        <is>
          <t>UKPN</t>
        </is>
      </c>
      <c r="R3790" t="b">
        <v>0</v>
      </c>
    </row>
    <row r="3791">
      <c r="A3791" t="inlineStr">
        <is>
          <t>30 Mar 2026 / 7186 Eastwoodbury Tree Services Ltd</t>
        </is>
      </c>
      <c r="B3791" t="inlineStr">
        <is>
          <t>Infrastructure &amp; Utilities</t>
        </is>
      </c>
      <c r="C3791" t="inlineStr">
        <is>
          <t>UKPN</t>
        </is>
      </c>
      <c r="D3791" t="inlineStr">
        <is>
          <t>WF13 EKT , 4x4 , Land rover  , Defender</t>
        </is>
      </c>
      <c r="E3791" t="inlineStr">
        <is>
          <t>WF13 EKT , 4x4 , Land rover  , Defender</t>
        </is>
      </c>
      <c r="F3791" t="inlineStr">
        <is>
          <t>WF13 EKT , 4x4 , Land rover  , Defender</t>
        </is>
      </c>
      <c r="G3791" t="inlineStr">
        <is>
          <t xml:space="preserve">Dan Gilbert </t>
        </is>
      </c>
      <c r="H3791" t="inlineStr">
        <is>
          <t>4x4</t>
        </is>
      </c>
      <c r="I3791" t="inlineStr">
        <is>
          <t>Daily/ Weekly Vehicle Inspection</t>
        </is>
      </c>
      <c r="J3791" t="inlineStr">
        <is>
          <t>N/A</t>
        </is>
      </c>
      <c r="K3791" t="inlineStr">
        <is>
          <t>7186 Eastwoodbury Tree Services Ltd</t>
        </is>
      </c>
      <c r="L3791" t="inlineStr">
        <is>
          <t>30/03/2026 07:50</t>
        </is>
      </c>
      <c r="M3791" t="inlineStr">
        <is>
          <t>None</t>
        </is>
      </c>
      <c r="N3791" t="inlineStr">
        <is>
          <t>&lt;p&gt;&lt;/p&gt;</t>
        </is>
      </c>
      <c r="O3791" t="inlineStr"/>
      <c r="P3791" t="inlineStr">
        <is>
          <t>WF13 EKT , 4x4 , Land rover  , Defender</t>
        </is>
      </c>
      <c r="Q3791" t="inlineStr">
        <is>
          <t>UKPN</t>
        </is>
      </c>
      <c r="R3791" t="b">
        <v>0</v>
      </c>
    </row>
    <row r="3792">
      <c r="A3792" t="inlineStr">
        <is>
          <t>30 Mar 2026 / 7186 Eastwoodbury Tree Services Ltd</t>
        </is>
      </c>
      <c r="B3792" t="inlineStr">
        <is>
          <t>Infrastructure &amp; Utilities</t>
        </is>
      </c>
      <c r="C3792" t="inlineStr">
        <is>
          <t>UKPN</t>
        </is>
      </c>
      <c r="D3792" t="inlineStr">
        <is>
          <t>FX14 XCV , 4x4 , Land Rover  , Defender</t>
        </is>
      </c>
      <c r="E3792" t="inlineStr">
        <is>
          <t>FX14 XCV , 4x4 , Land Rover  , Defender</t>
        </is>
      </c>
      <c r="F3792" t="inlineStr">
        <is>
          <t>FX14 XCV , 4x4 , Land Rover  , Defender</t>
        </is>
      </c>
      <c r="G3792" t="inlineStr">
        <is>
          <t xml:space="preserve">Luke Williams </t>
        </is>
      </c>
      <c r="H3792" t="inlineStr">
        <is>
          <t>4x4</t>
        </is>
      </c>
      <c r="I3792" t="inlineStr">
        <is>
          <t>Daily/ Weekly Vehicle Inspection</t>
        </is>
      </c>
      <c r="J3792" t="inlineStr">
        <is>
          <t>N/A</t>
        </is>
      </c>
      <c r="K3792" t="inlineStr">
        <is>
          <t>7186 Eastwoodbury Tree Services Ltd</t>
        </is>
      </c>
      <c r="L3792" t="inlineStr">
        <is>
          <t>30/03/2026 07:52</t>
        </is>
      </c>
      <c r="M3792" t="inlineStr">
        <is>
          <t>None</t>
        </is>
      </c>
      <c r="N3792" t="inlineStr">
        <is>
          <t>&lt;p&gt;&lt;/p&gt;</t>
        </is>
      </c>
      <c r="O3792" t="inlineStr"/>
      <c r="P3792" t="inlineStr">
        <is>
          <t>FX14 XCV , 4x4 , Land Rover  , Defender</t>
        </is>
      </c>
      <c r="Q3792" t="inlineStr">
        <is>
          <t>UKPN</t>
        </is>
      </c>
      <c r="R3792" t="b">
        <v>0</v>
      </c>
    </row>
    <row r="3793">
      <c r="A3793" t="inlineStr">
        <is>
          <t>30 Mar 2026 / 7889 Tree Tech Suffolk Ltd</t>
        </is>
      </c>
      <c r="B3793" t="inlineStr">
        <is>
          <t>Utilities &amp; Inland Waterways</t>
        </is>
      </c>
      <c r="C3793" t="inlineStr">
        <is>
          <t>UKPN</t>
        </is>
      </c>
      <c r="D3793" t="inlineStr">
        <is>
          <t>Tipper - Nissan - Navara - NS02TTS</t>
        </is>
      </c>
      <c r="E3793" t="inlineStr">
        <is>
          <t>Tipper - Nissan - Navara - NS02TTS</t>
        </is>
      </c>
      <c r="F3793" t="inlineStr">
        <is>
          <t>Tipper - Nissan - Navara - NS02TTS</t>
        </is>
      </c>
      <c r="G3793" t="inlineStr">
        <is>
          <t>Danny Appleby</t>
        </is>
      </c>
      <c r="H3793" t="inlineStr">
        <is>
          <t>Tipper</t>
        </is>
      </c>
      <c r="I3793" t="inlineStr">
        <is>
          <t>Daily/ Weekly Vehicle Inspection</t>
        </is>
      </c>
      <c r="J3793" t="inlineStr">
        <is>
          <t>N/A</t>
        </is>
      </c>
      <c r="K3793" t="inlineStr">
        <is>
          <t>7889 Tree Tech Suffolk Ltd</t>
        </is>
      </c>
      <c r="L3793" t="inlineStr">
        <is>
          <t>30/03/2026 07:53</t>
        </is>
      </c>
      <c r="M3793" t="inlineStr">
        <is>
          <t>None</t>
        </is>
      </c>
      <c r="N3793" t="inlineStr">
        <is>
          <t>&lt;p&gt;&lt;/p&gt;</t>
        </is>
      </c>
      <c r="O3793" t="inlineStr"/>
      <c r="P3793" t="inlineStr">
        <is>
          <t>Tipper - Nissan - Navara - NS02TTS</t>
        </is>
      </c>
      <c r="Q3793" t="inlineStr">
        <is>
          <t>UKPN</t>
        </is>
      </c>
      <c r="R3793" t="b">
        <v>0</v>
      </c>
    </row>
    <row r="3794">
      <c r="A3794" t="inlineStr">
        <is>
          <t>30 Mar 2026 / 7951 Austin Tree Care LTD 1</t>
        </is>
      </c>
      <c r="B3794" t="inlineStr">
        <is>
          <t>Infrastructure &amp; Utilities</t>
        </is>
      </c>
      <c r="C3794" t="inlineStr">
        <is>
          <t>UKPN</t>
        </is>
      </c>
      <c r="D3794" t="inlineStr">
        <is>
          <t>WG64HTT , 4x4 , Land Rover , Defender 110</t>
        </is>
      </c>
      <c r="E3794" t="inlineStr">
        <is>
          <t>WG64HTT , 4x4 , Land Rover , Defender 110</t>
        </is>
      </c>
      <c r="F3794" t="inlineStr">
        <is>
          <t>WG64HTT , 4x4 , Land Rover , Defender 110</t>
        </is>
      </c>
      <c r="G3794" t="inlineStr">
        <is>
          <t xml:space="preserve">Jack Austin </t>
        </is>
      </c>
      <c r="H3794" t="inlineStr">
        <is>
          <t>Towed Chipper</t>
        </is>
      </c>
      <c r="I3794" t="inlineStr">
        <is>
          <t>Daily/ Weekly Vehicle Inspection</t>
        </is>
      </c>
      <c r="J3794" t="inlineStr">
        <is>
          <t>N/A</t>
        </is>
      </c>
      <c r="K3794" t="inlineStr">
        <is>
          <t>7951 Austin Tree Care LTD 1</t>
        </is>
      </c>
      <c r="L3794" t="inlineStr">
        <is>
          <t>30/03/2026 07:54</t>
        </is>
      </c>
      <c r="M3794" t="inlineStr">
        <is>
          <t>None</t>
        </is>
      </c>
      <c r="N3794" t="inlineStr">
        <is>
          <t>&lt;p&gt;&lt;/p&gt;</t>
        </is>
      </c>
      <c r="O3794" t="inlineStr"/>
      <c r="P3794" t="inlineStr">
        <is>
          <t>WG64HTT , 4x4 , Land Rover , Defender 110</t>
        </is>
      </c>
      <c r="Q3794" t="inlineStr">
        <is>
          <t>UKPN</t>
        </is>
      </c>
      <c r="R3794" t="b">
        <v>0</v>
      </c>
    </row>
    <row r="3795">
      <c r="A3795" t="inlineStr">
        <is>
          <t>30 Mar 2026 / 7951 Austin Tree Care LTD 1</t>
        </is>
      </c>
      <c r="B3795" t="inlineStr">
        <is>
          <t>Infrastructure &amp; Utilities</t>
        </is>
      </c>
      <c r="C3795" t="inlineStr">
        <is>
          <t>UKPN</t>
        </is>
      </c>
      <c r="D3795" t="inlineStr">
        <is>
          <t>WG64HTT , 4x4 , Land Rover , Defender 110</t>
        </is>
      </c>
      <c r="E3795" t="inlineStr">
        <is>
          <t>WG64HTT , 4x4 , Land Rover , Defender 110</t>
        </is>
      </c>
      <c r="F3795" t="inlineStr">
        <is>
          <t>WG64HTT , 4x4 , Land Rover , Defender 110</t>
        </is>
      </c>
      <c r="G3795" t="inlineStr">
        <is>
          <t xml:space="preserve">Jack Austin </t>
        </is>
      </c>
      <c r="H3795" t="inlineStr">
        <is>
          <t>4x4</t>
        </is>
      </c>
      <c r="I3795" t="inlineStr">
        <is>
          <t>Daily/ Weekly Vehicle Inspection</t>
        </is>
      </c>
      <c r="J3795" t="inlineStr">
        <is>
          <t>N/A</t>
        </is>
      </c>
      <c r="K3795" t="inlineStr">
        <is>
          <t>7951 Austin Tree Care LTD 1</t>
        </is>
      </c>
      <c r="L3795" t="inlineStr">
        <is>
          <t>30/03/2026 07:55</t>
        </is>
      </c>
      <c r="M3795" t="inlineStr">
        <is>
          <t>None</t>
        </is>
      </c>
      <c r="N3795" t="inlineStr">
        <is>
          <t>&lt;p&gt;&lt;/p&gt;</t>
        </is>
      </c>
      <c r="O3795" t="inlineStr"/>
      <c r="P3795" t="inlineStr">
        <is>
          <t>WG64HTT , 4x4 , Land Rover , Defender 110</t>
        </is>
      </c>
      <c r="Q3795" t="inlineStr">
        <is>
          <t>UKPN</t>
        </is>
      </c>
      <c r="R3795" t="b">
        <v>0</v>
      </c>
    </row>
    <row r="3796">
      <c r="A3796" t="inlineStr">
        <is>
          <t>30 Mar 2026 / 7800 MAC Tree Surgery and Fencing Ltd / Utilities / UKPN</t>
        </is>
      </c>
      <c r="B3796" t="inlineStr">
        <is>
          <t>Utilities</t>
        </is>
      </c>
      <c r="C3796" t="inlineStr">
        <is>
          <t>UKPN</t>
        </is>
      </c>
      <c r="D3796" t="inlineStr">
        <is>
          <t>Plant Trailer - Towmate - 2.8t - 0</t>
        </is>
      </c>
      <c r="E3796" t="inlineStr">
        <is>
          <t>Plant Trailer - Towmate - 2.8t - 0</t>
        </is>
      </c>
      <c r="F3796" t="inlineStr">
        <is>
          <t>Plant Trailer - Towmate - 2.8t - 0</t>
        </is>
      </c>
      <c r="G3796" t="inlineStr">
        <is>
          <t>Lewis mac</t>
        </is>
      </c>
      <c r="H3796" t="inlineStr">
        <is>
          <t>Plant Trailer</t>
        </is>
      </c>
      <c r="I3796" t="inlineStr">
        <is>
          <t>Daily/ Weekly Vehicle Inspection</t>
        </is>
      </c>
      <c r="J3796" t="inlineStr">
        <is>
          <t>N/A</t>
        </is>
      </c>
      <c r="K3796" t="inlineStr">
        <is>
          <t>7800 MAC Tree Surgery and Fencing Ltd</t>
        </is>
      </c>
      <c r="L3796" t="inlineStr">
        <is>
          <t>30/03/2026 07:55</t>
        </is>
      </c>
      <c r="M3796" t="inlineStr">
        <is>
          <t>None</t>
        </is>
      </c>
      <c r="N3796" t="inlineStr">
        <is>
          <t>&lt;p&gt;&lt;/p&gt;</t>
        </is>
      </c>
      <c r="O3796" t="inlineStr"/>
      <c r="P3796" t="inlineStr">
        <is>
          <t>Plant Trailer - Towmate - 2.8t - 0</t>
        </is>
      </c>
      <c r="Q3796" t="inlineStr">
        <is>
          <t>UKPN</t>
        </is>
      </c>
      <c r="R3796" t="b">
        <v>0</v>
      </c>
    </row>
    <row r="3797">
      <c r="A3797" t="inlineStr">
        <is>
          <t>30 Mar 2026 / 7800 MAC Tree Surgery and Fencing Ltd / Utilities / UKPN</t>
        </is>
      </c>
      <c r="B3797" t="inlineStr">
        <is>
          <t>Utilities</t>
        </is>
      </c>
      <c r="C3797" t="inlineStr">
        <is>
          <t>UKPN</t>
        </is>
      </c>
      <c r="D3797" t="inlineStr">
        <is>
          <t>AY68DAA , 4x4 , Izuzu , Dmax</t>
        </is>
      </c>
      <c r="E3797" t="inlineStr">
        <is>
          <t>AY68DAA , 4x4 , Izuzu , Dmax</t>
        </is>
      </c>
      <c r="F3797" t="inlineStr">
        <is>
          <t>AY68DAA , 4x4 , Izuzu , Dmax</t>
        </is>
      </c>
      <c r="G3797" t="inlineStr">
        <is>
          <t xml:space="preserve">Patrick O'Shea </t>
        </is>
      </c>
      <c r="H3797" t="inlineStr">
        <is>
          <t>4x4</t>
        </is>
      </c>
      <c r="I3797" t="inlineStr">
        <is>
          <t>Daily/ Weekly Vehicle Inspection</t>
        </is>
      </c>
      <c r="J3797" t="inlineStr">
        <is>
          <t>N/A</t>
        </is>
      </c>
      <c r="K3797" t="inlineStr">
        <is>
          <t>7800 MAC Tree Surgery and Fencing Ltd</t>
        </is>
      </c>
      <c r="L3797" t="inlineStr">
        <is>
          <t>30/03/2026 07:56</t>
        </is>
      </c>
      <c r="M3797" t="inlineStr">
        <is>
          <t>None</t>
        </is>
      </c>
      <c r="N3797" t="inlineStr">
        <is>
          <t>&lt;p&gt;&lt;/p&gt;</t>
        </is>
      </c>
      <c r="O3797" t="inlineStr"/>
      <c r="P3797" t="inlineStr">
        <is>
          <t>AY68DAA , 4x4 , Izuzu , Dmax</t>
        </is>
      </c>
      <c r="Q3797" t="inlineStr">
        <is>
          <t>UKPN</t>
        </is>
      </c>
      <c r="R3797" t="b">
        <v>0</v>
      </c>
    </row>
    <row r="3798">
      <c r="A3798" t="inlineStr">
        <is>
          <t>30 Mar 2026 / 7996 M G Tree Surgery Ltd 1</t>
        </is>
      </c>
      <c r="B3798" t="inlineStr">
        <is>
          <t>Infrastructure &amp; Utilities</t>
        </is>
      </c>
      <c r="C3798" t="inlineStr">
        <is>
          <t>UKPN</t>
        </is>
      </c>
      <c r="D3798" t="inlineStr">
        <is>
          <t>KX20 BCE , Tipper , Isuzu , D-Max</t>
        </is>
      </c>
      <c r="E3798" t="inlineStr">
        <is>
          <t>KX20 BCE , Tipper , Isuzu , D-Max</t>
        </is>
      </c>
      <c r="F3798" t="inlineStr">
        <is>
          <t>KX20 BCE , Tipper , Isuzu , D-Max</t>
        </is>
      </c>
      <c r="G3798" t="inlineStr">
        <is>
          <t>Anthony Gale</t>
        </is>
      </c>
      <c r="H3798" t="inlineStr">
        <is>
          <t>Pickup Truck</t>
        </is>
      </c>
      <c r="I3798" t="inlineStr">
        <is>
          <t>Daily/ Weekly Vehicle Inspection</t>
        </is>
      </c>
      <c r="J3798" t="inlineStr">
        <is>
          <t>N/A</t>
        </is>
      </c>
      <c r="K3798" t="inlineStr">
        <is>
          <t>7996 M G Tree Surgery Ltd 1</t>
        </is>
      </c>
      <c r="L3798" t="inlineStr">
        <is>
          <t>30/03/2026 07:58</t>
        </is>
      </c>
      <c r="M3798" t="inlineStr">
        <is>
          <t>None</t>
        </is>
      </c>
      <c r="N3798" t="inlineStr">
        <is>
          <t>&lt;p&gt;&lt;/p&gt;</t>
        </is>
      </c>
      <c r="O3798" t="inlineStr"/>
      <c r="P3798" t="inlineStr">
        <is>
          <t>KX20 BCE , Tipper , Isuzu , D-Max</t>
        </is>
      </c>
      <c r="Q3798" t="inlineStr">
        <is>
          <t>UKPN</t>
        </is>
      </c>
      <c r="R3798" t="b">
        <v>0</v>
      </c>
    </row>
    <row r="3799">
      <c r="A3799" t="inlineStr">
        <is>
          <t>30 Mar 2026 / 7996 M G Tree Surgery Ltd 1</t>
        </is>
      </c>
      <c r="B3799" t="inlineStr">
        <is>
          <t>Infrastructure &amp; Utilities</t>
        </is>
      </c>
      <c r="C3799" t="inlineStr">
        <is>
          <t>UKPN</t>
        </is>
      </c>
      <c r="D3799" t="inlineStr"/>
      <c r="E3799" t="inlineStr"/>
      <c r="F3799" t="inlineStr"/>
      <c r="G3799" t="inlineStr">
        <is>
          <t>Anthony Gale</t>
        </is>
      </c>
      <c r="H3799" t="inlineStr">
        <is>
          <t>Towed Chipper</t>
        </is>
      </c>
      <c r="I3799" t="inlineStr">
        <is>
          <t>Daily/ Weekly Vehicle Inspection</t>
        </is>
      </c>
      <c r="J3799" t="inlineStr">
        <is>
          <t>N/A</t>
        </is>
      </c>
      <c r="K3799" t="inlineStr">
        <is>
          <t>7996 M G Tree Surgery Ltd 1</t>
        </is>
      </c>
      <c r="L3799" t="inlineStr">
        <is>
          <t>30/03/2026 07:59</t>
        </is>
      </c>
      <c r="M3799" t="inlineStr">
        <is>
          <t>None</t>
        </is>
      </c>
      <c r="N3799" t="inlineStr">
        <is>
          <t>&lt;p&gt;&lt;/p&gt;</t>
        </is>
      </c>
      <c r="O3799" t="inlineStr"/>
      <c r="P3799" t="inlineStr"/>
      <c r="Q3799" t="inlineStr">
        <is>
          <t>UKPN</t>
        </is>
      </c>
      <c r="R3799" t="b">
        <v>0</v>
      </c>
    </row>
    <row r="3800">
      <c r="A3800" t="inlineStr">
        <is>
          <t>30 Mar 2026 / Oliver Coyle</t>
        </is>
      </c>
      <c r="B3800" t="inlineStr">
        <is>
          <t>Infrastructure &amp; Utilities</t>
        </is>
      </c>
      <c r="C3800" t="inlineStr">
        <is>
          <t>NGED</t>
        </is>
      </c>
      <c r="D3800" t="inlineStr">
        <is>
          <t>GL20 TSX , Car - Electric (GC Owned) , Tesla , Model 3</t>
        </is>
      </c>
      <c r="E3800" t="inlineStr">
        <is>
          <t>GL20 TSX , Car - Electric (GC Owned) , Tesla , Model 3</t>
        </is>
      </c>
      <c r="F3800" t="inlineStr">
        <is>
          <t>GL20 TSX , Car - Electric (GC Owned) , Tesla , Model 3</t>
        </is>
      </c>
      <c r="G3800" t="inlineStr">
        <is>
          <t>Oliver Coyle</t>
        </is>
      </c>
      <c r="H3800" t="inlineStr">
        <is>
          <t>Car - Electric (GC Owned)</t>
        </is>
      </c>
      <c r="I3800" t="inlineStr">
        <is>
          <t>Daily/ Weekly Vehicle Inspection</t>
        </is>
      </c>
      <c r="J3800" t="inlineStr">
        <is>
          <t>N/A</t>
        </is>
      </c>
      <c r="K3800" t="inlineStr">
        <is>
          <t>Oliver Coyle</t>
        </is>
      </c>
      <c r="L3800" t="inlineStr">
        <is>
          <t>30/03/2026 08:47</t>
        </is>
      </c>
      <c r="M3800" t="inlineStr">
        <is>
          <t>None</t>
        </is>
      </c>
      <c r="N3800" t="inlineStr">
        <is>
          <t>&lt;p&gt;&lt;/p&gt;</t>
        </is>
      </c>
      <c r="O3800" t="inlineStr"/>
      <c r="P3800" t="inlineStr">
        <is>
          <t>GL20 TSX , Car - Electric (GC Owned) , Tesla , Model 3</t>
        </is>
      </c>
      <c r="Q3800" t="inlineStr">
        <is>
          <t>NGED</t>
        </is>
      </c>
      <c r="R3800" t="b">
        <v>0</v>
      </c>
    </row>
    <row r="3801">
      <c r="A3801" t="inlineStr">
        <is>
          <t>30 Mar 2026 / 8148 Hope Ground and Tree Care</t>
        </is>
      </c>
      <c r="B3801" t="inlineStr">
        <is>
          <t>Infrastructure &amp; Utilities</t>
        </is>
      </c>
      <c r="C3801" t="inlineStr">
        <is>
          <t>UKPN</t>
        </is>
      </c>
      <c r="D3801" t="inlineStr">
        <is>
          <t>S6 NWX , MEWP , Isuzu , D-Max</t>
        </is>
      </c>
      <c r="E3801" t="inlineStr">
        <is>
          <t>S6 NWX , MEWP , Isuzu , D-Max</t>
        </is>
      </c>
      <c r="F3801" t="inlineStr">
        <is>
          <t>S6 NWX , MEWP , Isuzu , D-Max</t>
        </is>
      </c>
      <c r="G3801" t="inlineStr">
        <is>
          <t xml:space="preserve">A Hope </t>
        </is>
      </c>
      <c r="H3801" t="inlineStr">
        <is>
          <t>4x4</t>
        </is>
      </c>
      <c r="I3801" t="inlineStr">
        <is>
          <t>Daily/ Weekly Vehicle Inspection</t>
        </is>
      </c>
      <c r="J3801" t="inlineStr">
        <is>
          <t>N/A</t>
        </is>
      </c>
      <c r="K3801" t="inlineStr">
        <is>
          <t>8148 Hope Ground and Tree Care</t>
        </is>
      </c>
      <c r="L3801" t="inlineStr">
        <is>
          <t>30/03/2026 08:57</t>
        </is>
      </c>
      <c r="M3801" t="inlineStr">
        <is>
          <t>None</t>
        </is>
      </c>
      <c r="N3801" t="inlineStr">
        <is>
          <t>&lt;p&gt;&lt;/p&gt;</t>
        </is>
      </c>
      <c r="O3801" t="inlineStr"/>
      <c r="P3801" t="inlineStr">
        <is>
          <t>S6 NWX , MEWP , Isuzu , D-Max</t>
        </is>
      </c>
      <c r="Q3801" t="inlineStr">
        <is>
          <t>UKPN</t>
        </is>
      </c>
      <c r="R3801" t="b">
        <v>0</v>
      </c>
    </row>
    <row r="3802">
      <c r="A3802" t="inlineStr">
        <is>
          <t>30 Mar 2026 / Alexander Damar</t>
        </is>
      </c>
      <c r="B3802" t="inlineStr">
        <is>
          <t>Infrastructure &amp; Utilities</t>
        </is>
      </c>
      <c r="C3802" t="inlineStr">
        <is>
          <t>UKPN</t>
        </is>
      </c>
      <c r="D3802" t="inlineStr"/>
      <c r="E3802" t="inlineStr"/>
      <c r="F3802" t="inlineStr"/>
      <c r="G3802" t="inlineStr">
        <is>
          <t>A damar</t>
        </is>
      </c>
      <c r="H3802" t="inlineStr">
        <is>
          <t>Car - Petrol</t>
        </is>
      </c>
      <c r="I3802" t="inlineStr">
        <is>
          <t>Daily/ Weekly Vehicle Inspection</t>
        </is>
      </c>
      <c r="J3802" t="inlineStr">
        <is>
          <t>N/A</t>
        </is>
      </c>
      <c r="K3802" t="inlineStr">
        <is>
          <t>Alexander Damar</t>
        </is>
      </c>
      <c r="L3802" t="inlineStr">
        <is>
          <t>30/03/2026 10:48</t>
        </is>
      </c>
      <c r="M3802" t="inlineStr">
        <is>
          <t>None</t>
        </is>
      </c>
      <c r="N3802" t="inlineStr">
        <is>
          <t>&lt;p&gt;&lt;/p&gt;</t>
        </is>
      </c>
      <c r="O3802" t="inlineStr"/>
      <c r="P3802" t="inlineStr"/>
      <c r="Q3802" t="inlineStr">
        <is>
          <t>UKPN</t>
        </is>
      </c>
      <c r="R3802" t="b">
        <v>0</v>
      </c>
    </row>
    <row r="3803">
      <c r="A3803" t="inlineStr">
        <is>
          <t>30 Mar 2026 / Benet Jones</t>
        </is>
      </c>
      <c r="B3803" t="inlineStr">
        <is>
          <t>Infrastructure &amp; Utilities</t>
        </is>
      </c>
      <c r="C3803" t="inlineStr">
        <is>
          <t>NGED</t>
        </is>
      </c>
      <c r="D3803" t="inlineStr">
        <is>
          <t>GF71TXC , Car - Electric , Tesla , Model 3 Long Range AWD</t>
        </is>
      </c>
      <c r="E3803" t="inlineStr">
        <is>
          <t>GF71TXC , Car - Electric , Tesla , Model 3 Long Range AWD</t>
        </is>
      </c>
      <c r="F3803" t="inlineStr">
        <is>
          <t>GF71TXC , Car - Electric , Tesla , Model 3 Long Range AWD</t>
        </is>
      </c>
      <c r="G3803" t="inlineStr">
        <is>
          <t xml:space="preserve">Benet Jones </t>
        </is>
      </c>
      <c r="H3803" t="inlineStr">
        <is>
          <t>Car - Electric (GC Owned)</t>
        </is>
      </c>
      <c r="I3803" t="inlineStr">
        <is>
          <t>Daily/ Weekly Vehicle Inspection</t>
        </is>
      </c>
      <c r="J3803" t="inlineStr">
        <is>
          <t>N/A</t>
        </is>
      </c>
      <c r="K3803" t="inlineStr">
        <is>
          <t>Benet Jones</t>
        </is>
      </c>
      <c r="L3803" t="inlineStr">
        <is>
          <t>30/03/2026 11:46</t>
        </is>
      </c>
      <c r="M3803" t="inlineStr">
        <is>
          <t>None</t>
        </is>
      </c>
      <c r="N3803" t="inlineStr">
        <is>
          <t>&lt;p&gt;&lt;/p&gt;</t>
        </is>
      </c>
      <c r="O3803" t="inlineStr">
        <is>
          <t>Confirm that you have checked this vehicle as per the guidance document and the vehicle is safe and roadworthy:Car checked and fully serviceable
-</t>
        </is>
      </c>
      <c r="P3803" t="inlineStr">
        <is>
          <t>GF71TXC , Car - Electric , Tesla , Model 3 Long Range AWD</t>
        </is>
      </c>
      <c r="Q3803" t="inlineStr">
        <is>
          <t>NGED</t>
        </is>
      </c>
      <c r="R3803" t="b">
        <v>0</v>
      </c>
    </row>
    <row r="3804">
      <c r="A3804" t="inlineStr">
        <is>
          <t>30 Mar 2026 / 6617 Ashdown Tree Limited 1</t>
        </is>
      </c>
      <c r="B3804" t="inlineStr">
        <is>
          <t>Utilities</t>
        </is>
      </c>
      <c r="C3804" t="inlineStr">
        <is>
          <t>UKPN</t>
        </is>
      </c>
      <c r="D3804" t="inlineStr">
        <is>
          <t>WF11EJJ , Vehicle , Land Rover , Discovery</t>
        </is>
      </c>
      <c r="E3804" t="inlineStr">
        <is>
          <t>WF11EJJ , Vehicle , Land Rover , Discovery</t>
        </is>
      </c>
      <c r="F3804" t="inlineStr">
        <is>
          <t>WF11EJJ , Vehicle , Land Rover , Discovery</t>
        </is>
      </c>
      <c r="G3804" t="inlineStr">
        <is>
          <t>Dan</t>
        </is>
      </c>
      <c r="H3804" t="inlineStr">
        <is>
          <t>4x4</t>
        </is>
      </c>
      <c r="I3804" t="inlineStr">
        <is>
          <t>Daily/ Weekly Vehicle Inspection</t>
        </is>
      </c>
      <c r="J3804" t="inlineStr">
        <is>
          <t>N/A</t>
        </is>
      </c>
      <c r="K3804" t="inlineStr">
        <is>
          <t>6617 Ashdown Tree Limited - Team 2</t>
        </is>
      </c>
      <c r="L3804" t="inlineStr">
        <is>
          <t>30/03/2026 16:46</t>
        </is>
      </c>
      <c r="M3804" t="inlineStr">
        <is>
          <t>None</t>
        </is>
      </c>
      <c r="N3804" t="inlineStr">
        <is>
          <t>&lt;p&gt;&lt;/p&gt;</t>
        </is>
      </c>
      <c r="O3804" t="inlineStr"/>
      <c r="P3804" t="inlineStr">
        <is>
          <t>WF11EJJ , Vehicle , Land Rover , Discovery</t>
        </is>
      </c>
      <c r="Q3804" t="inlineStr">
        <is>
          <t>UKPN</t>
        </is>
      </c>
      <c r="R3804" t="b">
        <v>0</v>
      </c>
    </row>
    <row r="3805">
      <c r="A3805" t="inlineStr">
        <is>
          <t>30 Mar 2026 / 6617 Ashdown Tree Limited 1</t>
        </is>
      </c>
      <c r="B3805" t="inlineStr">
        <is>
          <t>Utilities</t>
        </is>
      </c>
      <c r="C3805" t="inlineStr">
        <is>
          <t>UKPN</t>
        </is>
      </c>
      <c r="D3805" t="inlineStr">
        <is>
          <t>WF11EJJ , Vehicle , Land Rover , Discovery</t>
        </is>
      </c>
      <c r="E3805" t="inlineStr">
        <is>
          <t>WF11EJJ , Vehicle , Land Rover , Discovery</t>
        </is>
      </c>
      <c r="F3805" t="inlineStr">
        <is>
          <t>WF11EJJ , Vehicle , Land Rover , Discovery</t>
        </is>
      </c>
      <c r="G3805" t="inlineStr">
        <is>
          <t>Dan</t>
        </is>
      </c>
      <c r="H3805" t="inlineStr">
        <is>
          <t>4x4</t>
        </is>
      </c>
      <c r="I3805" t="inlineStr">
        <is>
          <t>Daily/ Weekly Vehicle Inspection</t>
        </is>
      </c>
      <c r="J3805" t="inlineStr">
        <is>
          <t>N/A</t>
        </is>
      </c>
      <c r="K3805" t="inlineStr">
        <is>
          <t>6617 Ashdown Tree Limited - Team 2</t>
        </is>
      </c>
      <c r="L3805" t="inlineStr">
        <is>
          <t>30/03/2026 17:46</t>
        </is>
      </c>
      <c r="M3805" t="inlineStr">
        <is>
          <t>None</t>
        </is>
      </c>
      <c r="N3805" t="inlineStr">
        <is>
          <t>&lt;p&gt;&lt;/p&gt;</t>
        </is>
      </c>
      <c r="O3805" t="inlineStr"/>
      <c r="P3805" t="inlineStr">
        <is>
          <t>WF11EJJ , Vehicle , Land Rover , Discovery</t>
        </is>
      </c>
      <c r="Q3805" t="inlineStr">
        <is>
          <t>UKPN</t>
        </is>
      </c>
      <c r="R3805" t="b">
        <v>0</v>
      </c>
    </row>
    <row r="3806">
      <c r="A3806" t="inlineStr">
        <is>
          <t>30 Mar 2026 / 6617 Ashdown Tree Limited 1</t>
        </is>
      </c>
      <c r="B3806" t="inlineStr">
        <is>
          <t>Utilities</t>
        </is>
      </c>
      <c r="C3806" t="inlineStr">
        <is>
          <t>UKPN</t>
        </is>
      </c>
      <c r="D3806" t="inlineStr">
        <is>
          <t>WF11EJJ , Vehicle , Land Rover , Discovery</t>
        </is>
      </c>
      <c r="E3806" t="inlineStr">
        <is>
          <t>WF11EJJ , Vehicle , Land Rover , Discovery</t>
        </is>
      </c>
      <c r="F3806" t="inlineStr">
        <is>
          <t>WF11EJJ , Vehicle , Land Rover , Discovery</t>
        </is>
      </c>
      <c r="G3806" t="inlineStr">
        <is>
          <t>Dan</t>
        </is>
      </c>
      <c r="H3806" t="inlineStr">
        <is>
          <t>4x4</t>
        </is>
      </c>
      <c r="I3806" t="inlineStr">
        <is>
          <t>Daily/ Weekly Vehicle Inspection</t>
        </is>
      </c>
      <c r="J3806" t="inlineStr">
        <is>
          <t>N/A</t>
        </is>
      </c>
      <c r="K3806" t="inlineStr">
        <is>
          <t>6617 Ashdown Tree Limited - Team 2</t>
        </is>
      </c>
      <c r="L3806" t="inlineStr">
        <is>
          <t>30/03/2026 19:47</t>
        </is>
      </c>
      <c r="M3806" t="inlineStr">
        <is>
          <t>None</t>
        </is>
      </c>
      <c r="N3806" t="inlineStr">
        <is>
          <t>&lt;p&gt;&lt;/p&gt;</t>
        </is>
      </c>
      <c r="O3806" t="inlineStr"/>
      <c r="P3806" t="inlineStr">
        <is>
          <t>WF11EJJ , Vehicle , Land Rover , Discovery</t>
        </is>
      </c>
      <c r="Q3806" t="inlineStr">
        <is>
          <t>UKPN</t>
        </is>
      </c>
      <c r="R3806" t="b">
        <v>0</v>
      </c>
    </row>
    <row r="3807">
      <c r="A3807" t="inlineStr">
        <is>
          <t>31 Mar 2026 / 6617 Ashdown Tree Limited 1</t>
        </is>
      </c>
      <c r="B3807" t="inlineStr">
        <is>
          <t>Infrastructure &amp; Utilities</t>
        </is>
      </c>
      <c r="C3807" t="inlineStr">
        <is>
          <t>UKPN</t>
        </is>
      </c>
      <c r="D3807" t="inlineStr">
        <is>
          <t>WF11EJJ , Vehicle , Land Rover , Discovery</t>
        </is>
      </c>
      <c r="E3807" t="inlineStr">
        <is>
          <t>WF11EJJ , Vehicle , Land Rover , Discovery</t>
        </is>
      </c>
      <c r="F3807" t="inlineStr">
        <is>
          <t>WF11EJJ , Vehicle , Land Rover , Discovery</t>
        </is>
      </c>
      <c r="G3807" t="inlineStr">
        <is>
          <t>Dan</t>
        </is>
      </c>
      <c r="H3807" t="inlineStr">
        <is>
          <t>4x4</t>
        </is>
      </c>
      <c r="I3807" t="inlineStr">
        <is>
          <t>Daily/ Weekly Vehicle Inspection</t>
        </is>
      </c>
      <c r="J3807" t="inlineStr">
        <is>
          <t>N/A</t>
        </is>
      </c>
      <c r="K3807" t="inlineStr">
        <is>
          <t>6617 Ashdown Tree Limited - Team 2</t>
        </is>
      </c>
      <c r="L3807" t="inlineStr">
        <is>
          <t>31/03/2026 06:47</t>
        </is>
      </c>
      <c r="M3807" t="inlineStr">
        <is>
          <t>None</t>
        </is>
      </c>
      <c r="N3807" t="inlineStr">
        <is>
          <t>&lt;p&gt;&lt;/p&gt;</t>
        </is>
      </c>
      <c r="O3807" t="inlineStr"/>
      <c r="P3807" t="inlineStr">
        <is>
          <t>WF11EJJ , Vehicle , Land Rover , Discovery</t>
        </is>
      </c>
      <c r="Q3807" t="inlineStr">
        <is>
          <t>UKPN</t>
        </is>
      </c>
      <c r="R3807" t="b">
        <v>0</v>
      </c>
    </row>
    <row r="3808">
      <c r="A3808" t="inlineStr">
        <is>
          <t>31 Mar 2026 / 7951 Austin Tree Care LTD</t>
        </is>
      </c>
      <c r="B3808" t="inlineStr">
        <is>
          <t>Infrastructure &amp; Utilities</t>
        </is>
      </c>
      <c r="C3808" t="inlineStr">
        <is>
          <t>UKPN</t>
        </is>
      </c>
      <c r="D3808" t="inlineStr">
        <is>
          <t>WG64HTT , 4x4 , Land Rover , Defender 110</t>
        </is>
      </c>
      <c r="E3808" t="inlineStr">
        <is>
          <t>WG64HTT , 4x4 , Land Rover , Defender 110</t>
        </is>
      </c>
      <c r="F3808" t="inlineStr">
        <is>
          <t>WG64HTT , 4x4 , Land Rover , Defender 110</t>
        </is>
      </c>
      <c r="G3808" t="inlineStr">
        <is>
          <t xml:space="preserve">Jack Austin </t>
        </is>
      </c>
      <c r="H3808" t="inlineStr">
        <is>
          <t>4x4</t>
        </is>
      </c>
      <c r="I3808" t="inlineStr">
        <is>
          <t>Daily/ Weekly Vehicle Inspection</t>
        </is>
      </c>
      <c r="J3808" t="inlineStr">
        <is>
          <t>N/A</t>
        </is>
      </c>
      <c r="K3808" t="inlineStr">
        <is>
          <t>7951 Austin Tree Care LTD</t>
        </is>
      </c>
      <c r="L3808" t="inlineStr">
        <is>
          <t>31/03/2026 07:47</t>
        </is>
      </c>
      <c r="M3808" t="inlineStr">
        <is>
          <t>None</t>
        </is>
      </c>
      <c r="N3808" t="inlineStr">
        <is>
          <t>&lt;p&gt;&lt;/p&gt;</t>
        </is>
      </c>
      <c r="O3808" t="inlineStr"/>
      <c r="P3808" t="inlineStr">
        <is>
          <t>WG64HTT , 4x4 , Land Rover , Defender 110</t>
        </is>
      </c>
      <c r="Q3808" t="inlineStr">
        <is>
          <t>UKPN</t>
        </is>
      </c>
      <c r="R3808" t="b">
        <v>0</v>
      </c>
    </row>
    <row r="3809">
      <c r="A3809" t="inlineStr">
        <is>
          <t>31 Mar 2026 / 7951 Austin Tree Care LTD</t>
        </is>
      </c>
      <c r="B3809" t="inlineStr">
        <is>
          <t>Infrastructure &amp; Utilities</t>
        </is>
      </c>
      <c r="C3809" t="inlineStr">
        <is>
          <t>UKPN</t>
        </is>
      </c>
      <c r="D3809" t="inlineStr">
        <is>
          <t>SA9ST6P0001283612 , Towed Chipper , Forst , ST6p</t>
        </is>
      </c>
      <c r="E3809" t="inlineStr">
        <is>
          <t>SA9ST6P0001283612 , Towed Chipper , Forst , ST6p</t>
        </is>
      </c>
      <c r="F3809" t="inlineStr">
        <is>
          <t>SA9ST6P0001283612 , Towed Chipper , Forst , ST6p</t>
        </is>
      </c>
      <c r="G3809" t="inlineStr">
        <is>
          <t xml:space="preserve">Jack Austin </t>
        </is>
      </c>
      <c r="H3809" t="inlineStr">
        <is>
          <t>Towed Chipper</t>
        </is>
      </c>
      <c r="I3809" t="inlineStr">
        <is>
          <t>Daily/ Weekly Vehicle Inspection</t>
        </is>
      </c>
      <c r="J3809" t="inlineStr">
        <is>
          <t>N/A</t>
        </is>
      </c>
      <c r="K3809" t="inlineStr">
        <is>
          <t>7951 Austin Tree Care LTD</t>
        </is>
      </c>
      <c r="L3809" t="inlineStr">
        <is>
          <t>31/03/2026 07:48</t>
        </is>
      </c>
      <c r="M3809" t="inlineStr">
        <is>
          <t>None</t>
        </is>
      </c>
      <c r="N3809" t="inlineStr">
        <is>
          <t>&lt;p&gt;&lt;/p&gt;</t>
        </is>
      </c>
      <c r="O3809" t="inlineStr"/>
      <c r="P3809" t="inlineStr">
        <is>
          <t>SA9ST6P0001283612 , Towed Chipper , Forst , ST6p</t>
        </is>
      </c>
      <c r="Q3809" t="inlineStr">
        <is>
          <t>UKPN</t>
        </is>
      </c>
      <c r="R3809" t="b">
        <v>0</v>
      </c>
    </row>
    <row r="3810">
      <c r="A3810" t="inlineStr">
        <is>
          <t>31 Mar 2026 / 7889 Tree Tech Suffolk Ltd</t>
        </is>
      </c>
      <c r="B3810" t="inlineStr">
        <is>
          <t>Utilities &amp; Inland Waterways</t>
        </is>
      </c>
      <c r="C3810" t="inlineStr">
        <is>
          <t>UKPN</t>
        </is>
      </c>
      <c r="D3810" t="inlineStr">
        <is>
          <t>Tipper - Mercedes - Sprinter - NS06TTSTow Chipper - Jenson - A530L - 5521063948</t>
        </is>
      </c>
      <c r="E3810" t="inlineStr">
        <is>
          <t>Tipper - Mercedes - Sprinter - NS06TTSTow Chipper - Jenson - A530L - 5521063948</t>
        </is>
      </c>
      <c r="F3810" t="inlineStr">
        <is>
          <t>Tipper - Mercedes - Sprinter - NS06TTSTow Chipper - Jenson - A530L - 5521063948</t>
        </is>
      </c>
      <c r="G3810" t="inlineStr">
        <is>
          <t xml:space="preserve">Danny ApplebyDanny Appleby </t>
        </is>
      </c>
      <c r="H3810" t="inlineStr">
        <is>
          <t>TipperTowed Chipper</t>
        </is>
      </c>
      <c r="I3810" t="inlineStr">
        <is>
          <t>Daily/ Weekly Vehicle Inspection</t>
        </is>
      </c>
      <c r="J3810" t="inlineStr">
        <is>
          <t>N/A</t>
        </is>
      </c>
      <c r="K3810" t="inlineStr">
        <is>
          <t>7889 Tree Tech Suffolk Ltd</t>
        </is>
      </c>
      <c r="L3810" t="inlineStr">
        <is>
          <t>31/03/2026 07:49</t>
        </is>
      </c>
      <c r="M3810" t="inlineStr">
        <is>
          <t>None</t>
        </is>
      </c>
      <c r="N3810" t="inlineStr">
        <is>
          <t>&lt;p&gt;&lt;/p&gt;</t>
        </is>
      </c>
      <c r="O3810" t="inlineStr"/>
      <c r="P3810" t="inlineStr">
        <is>
          <t>Tipper - Mercedes - Sprinter - NS06TTSTow Chipper - Jenson - A530L - 5521063948</t>
        </is>
      </c>
      <c r="Q3810" t="inlineStr">
        <is>
          <t>UKPN</t>
        </is>
      </c>
      <c r="R3810" t="b">
        <v>0</v>
      </c>
    </row>
    <row r="3811">
      <c r="A3811" t="inlineStr">
        <is>
          <t>31 Mar 2026 / 7186 Eastwoodbury Tree Services Ltd</t>
        </is>
      </c>
      <c r="B3811" t="inlineStr">
        <is>
          <t>Infrastructure &amp; Utilities</t>
        </is>
      </c>
      <c r="C3811" t="inlineStr">
        <is>
          <t>UKPN</t>
        </is>
      </c>
      <c r="D3811" t="inlineStr">
        <is>
          <t>FX14 XCV , 4x4 , Land Rover  , Defender</t>
        </is>
      </c>
      <c r="E3811" t="inlineStr">
        <is>
          <t>FX14 XCV , 4x4 , Land Rover  , Defender</t>
        </is>
      </c>
      <c r="F3811" t="inlineStr">
        <is>
          <t>FX14 XCV , 4x4 , Land Rover  , Defender</t>
        </is>
      </c>
      <c r="G3811" t="inlineStr">
        <is>
          <t xml:space="preserve">Luke Williams </t>
        </is>
      </c>
      <c r="H3811" t="inlineStr">
        <is>
          <t>4x4</t>
        </is>
      </c>
      <c r="I3811" t="inlineStr">
        <is>
          <t>Daily/ Weekly Vehicle Inspection</t>
        </is>
      </c>
      <c r="J3811" t="inlineStr">
        <is>
          <t>N/A</t>
        </is>
      </c>
      <c r="K3811" t="inlineStr">
        <is>
          <t>7186 Eastwoodbury Tree Services Ltd</t>
        </is>
      </c>
      <c r="L3811" t="inlineStr">
        <is>
          <t>31/03/2026 07:50</t>
        </is>
      </c>
      <c r="M3811" t="inlineStr">
        <is>
          <t>None</t>
        </is>
      </c>
      <c r="N3811" t="inlineStr">
        <is>
          <t>&lt;p&gt;&lt;/p&gt;</t>
        </is>
      </c>
      <c r="O3811" t="inlineStr"/>
      <c r="P3811" t="inlineStr">
        <is>
          <t>FX14 XCV , 4x4 , Land Rover  , Defender</t>
        </is>
      </c>
      <c r="Q3811" t="inlineStr">
        <is>
          <t>UKPN</t>
        </is>
      </c>
      <c r="R3811" t="b">
        <v>0</v>
      </c>
    </row>
    <row r="3812">
      <c r="A3812" t="inlineStr">
        <is>
          <t>31 Mar 2026 / 7800 MAC Tree Surgery and Fencing Ltd / Utilities / UKPN</t>
        </is>
      </c>
      <c r="B3812" t="inlineStr">
        <is>
          <t>Utilities</t>
        </is>
      </c>
      <c r="C3812" t="inlineStr">
        <is>
          <t>UKPN</t>
        </is>
      </c>
      <c r="D3812" t="inlineStr">
        <is>
          <t>Plant Trailer - Towmate - 2.8t - 0</t>
        </is>
      </c>
      <c r="E3812" t="inlineStr">
        <is>
          <t>Plant Trailer - Towmate - 2.8t - 0</t>
        </is>
      </c>
      <c r="F3812" t="inlineStr">
        <is>
          <t>Plant Trailer - Towmate - 2.8t - 0</t>
        </is>
      </c>
      <c r="G3812" t="inlineStr">
        <is>
          <t>Lewis mac</t>
        </is>
      </c>
      <c r="H3812" t="inlineStr">
        <is>
          <t>Plant Trailer</t>
        </is>
      </c>
      <c r="I3812" t="inlineStr">
        <is>
          <t>Daily/ Weekly Vehicle Inspection</t>
        </is>
      </c>
      <c r="J3812" t="inlineStr">
        <is>
          <t>N/A</t>
        </is>
      </c>
      <c r="K3812" t="inlineStr">
        <is>
          <t>7800 MAC Tree Surgery and Fencing Ltd</t>
        </is>
      </c>
      <c r="L3812" t="inlineStr">
        <is>
          <t>31/03/2026 07:50</t>
        </is>
      </c>
      <c r="M3812" t="inlineStr">
        <is>
          <t>None</t>
        </is>
      </c>
      <c r="N3812" t="inlineStr">
        <is>
          <t>&lt;p&gt;&lt;/p&gt;</t>
        </is>
      </c>
      <c r="O3812" t="inlineStr"/>
      <c r="P3812" t="inlineStr">
        <is>
          <t>Plant Trailer - Towmate - 2.8t - 0</t>
        </is>
      </c>
      <c r="Q3812" t="inlineStr">
        <is>
          <t>UKPN</t>
        </is>
      </c>
      <c r="R3812" t="b">
        <v>0</v>
      </c>
    </row>
    <row r="3813">
      <c r="A3813" t="inlineStr">
        <is>
          <t>31 Mar 2026 / 7186 Eastwoodbury Tree Services Ltd</t>
        </is>
      </c>
      <c r="B3813" t="inlineStr">
        <is>
          <t>Infrastructure &amp; Utilities</t>
        </is>
      </c>
      <c r="C3813" t="inlineStr">
        <is>
          <t>UKPN</t>
        </is>
      </c>
      <c r="D3813" t="inlineStr">
        <is>
          <t>WF13 EKT , 4x4 , Land rover  , Defender</t>
        </is>
      </c>
      <c r="E3813" t="inlineStr">
        <is>
          <t>WF13 EKT , 4x4 , Land rover  , Defender</t>
        </is>
      </c>
      <c r="F3813" t="inlineStr">
        <is>
          <t>WF13 EKT , 4x4 , Land rover  , Defender</t>
        </is>
      </c>
      <c r="G3813" t="inlineStr">
        <is>
          <t xml:space="preserve">Dan Gilbert </t>
        </is>
      </c>
      <c r="H3813" t="inlineStr">
        <is>
          <t>4x4</t>
        </is>
      </c>
      <c r="I3813" t="inlineStr">
        <is>
          <t>Daily/ Weekly Vehicle Inspection</t>
        </is>
      </c>
      <c r="J3813" t="inlineStr">
        <is>
          <t>N/A</t>
        </is>
      </c>
      <c r="K3813" t="inlineStr">
        <is>
          <t>7186 Eastwoodbury Tree Services Ltd</t>
        </is>
      </c>
      <c r="L3813" t="inlineStr">
        <is>
          <t>31/03/2026 07:51</t>
        </is>
      </c>
      <c r="M3813" t="inlineStr">
        <is>
          <t>None</t>
        </is>
      </c>
      <c r="N3813" t="inlineStr">
        <is>
          <t>&lt;p&gt;&lt;/p&gt;</t>
        </is>
      </c>
      <c r="O3813" t="inlineStr"/>
      <c r="P3813" t="inlineStr">
        <is>
          <t>WF13 EKT , 4x4 , Land rover  , Defender</t>
        </is>
      </c>
      <c r="Q3813" t="inlineStr">
        <is>
          <t>UKPN</t>
        </is>
      </c>
      <c r="R3813" t="b">
        <v>0</v>
      </c>
    </row>
    <row r="3814">
      <c r="A3814" t="inlineStr">
        <is>
          <t>31 Mar 2026 / 7800 MAC Tree Surgery and Fencing Ltd</t>
        </is>
      </c>
      <c r="B3814" t="inlineStr">
        <is>
          <t>Utilities</t>
        </is>
      </c>
      <c r="C3814" t="inlineStr">
        <is>
          <t>UKPN</t>
        </is>
      </c>
      <c r="D3814" t="inlineStr">
        <is>
          <t>FG16LNT , Tipper , Ford transit  , Transit tipper</t>
        </is>
      </c>
      <c r="E3814" t="inlineStr">
        <is>
          <t>FG16LNT , Tipper , Ford transit  , Transit tipper</t>
        </is>
      </c>
      <c r="F3814" t="inlineStr">
        <is>
          <t>FG16LNT , Tipper , Ford transit  , Transit tipper</t>
        </is>
      </c>
      <c r="G3814" t="inlineStr">
        <is>
          <t>Patrick</t>
        </is>
      </c>
      <c r="H3814" t="inlineStr">
        <is>
          <t>Tipper</t>
        </is>
      </c>
      <c r="I3814" t="inlineStr">
        <is>
          <t>Daily/ Weekly Vehicle Inspection</t>
        </is>
      </c>
      <c r="J3814" t="inlineStr">
        <is>
          <t>N/A</t>
        </is>
      </c>
      <c r="K3814" t="inlineStr">
        <is>
          <t>7800 MAC Tree Surgery and Fencing Ltd</t>
        </is>
      </c>
      <c r="L3814" t="inlineStr">
        <is>
          <t>31/03/2026 07:52</t>
        </is>
      </c>
      <c r="M3814" t="inlineStr">
        <is>
          <t>None</t>
        </is>
      </c>
      <c r="N3814" t="inlineStr">
        <is>
          <t>&lt;p&gt;&lt;/p&gt;</t>
        </is>
      </c>
      <c r="O3814" t="inlineStr"/>
      <c r="P3814" t="inlineStr">
        <is>
          <t>FG16LNT , Tipper , Ford transit  , Transit tipper</t>
        </is>
      </c>
      <c r="Q3814" t="inlineStr">
        <is>
          <t>UKPN</t>
        </is>
      </c>
      <c r="R3814" t="b">
        <v>0</v>
      </c>
    </row>
    <row r="3815">
      <c r="A3815" t="inlineStr">
        <is>
          <t>31 Mar 2026 / 7996 M G Tree Surgery Ltd 1</t>
        </is>
      </c>
      <c r="B3815" t="inlineStr">
        <is>
          <t>Infrastructure &amp; Utilities</t>
        </is>
      </c>
      <c r="C3815" t="inlineStr">
        <is>
          <t>UKPN</t>
        </is>
      </c>
      <c r="D3815" t="inlineStr">
        <is>
          <t>KX20 BCE , Tipper , Isuzu , D-Max</t>
        </is>
      </c>
      <c r="E3815" t="inlineStr">
        <is>
          <t>KX20 BCE , Tipper , Isuzu , D-Max</t>
        </is>
      </c>
      <c r="F3815" t="inlineStr">
        <is>
          <t>KX20 BCE , Tipper , Isuzu , D-Max</t>
        </is>
      </c>
      <c r="G3815" t="inlineStr">
        <is>
          <t>Anthony Gale</t>
        </is>
      </c>
      <c r="H3815" t="inlineStr">
        <is>
          <t>Pickup Truck</t>
        </is>
      </c>
      <c r="I3815" t="inlineStr">
        <is>
          <t>Daily/ Weekly Vehicle Inspection</t>
        </is>
      </c>
      <c r="J3815" t="inlineStr">
        <is>
          <t>N/A</t>
        </is>
      </c>
      <c r="K3815" t="inlineStr">
        <is>
          <t>7996 M G Tree Surgery Ltd 1</t>
        </is>
      </c>
      <c r="L3815" t="inlineStr">
        <is>
          <t>31/03/2026 07:52</t>
        </is>
      </c>
      <c r="M3815" t="inlineStr">
        <is>
          <t>None</t>
        </is>
      </c>
      <c r="N3815" t="inlineStr">
        <is>
          <t>&lt;p&gt;&lt;/p&gt;</t>
        </is>
      </c>
      <c r="O3815" t="inlineStr"/>
      <c r="P3815" t="inlineStr">
        <is>
          <t>KX20 BCE , Tipper , Isuzu , D-Max</t>
        </is>
      </c>
      <c r="Q3815" t="inlineStr">
        <is>
          <t>UKPN</t>
        </is>
      </c>
      <c r="R3815" t="b">
        <v>0</v>
      </c>
    </row>
    <row r="3816">
      <c r="A3816" t="inlineStr">
        <is>
          <t>31 Mar 2026 / 7996 M G Tree Surgery Ltd 1</t>
        </is>
      </c>
      <c r="B3816" t="inlineStr">
        <is>
          <t>Infrastructure &amp; Utilities</t>
        </is>
      </c>
      <c r="C3816" t="inlineStr">
        <is>
          <t>UKPN</t>
        </is>
      </c>
      <c r="D3816" t="inlineStr"/>
      <c r="E3816" t="inlineStr"/>
      <c r="F3816" t="inlineStr"/>
      <c r="G3816" t="inlineStr">
        <is>
          <t>Anthony Gale</t>
        </is>
      </c>
      <c r="H3816" t="inlineStr">
        <is>
          <t>Towed Chipper</t>
        </is>
      </c>
      <c r="I3816" t="inlineStr">
        <is>
          <t>Daily/ Weekly Vehicle Inspection</t>
        </is>
      </c>
      <c r="J3816" t="inlineStr">
        <is>
          <t>N/A</t>
        </is>
      </c>
      <c r="K3816" t="inlineStr">
        <is>
          <t>7996 M G Tree Surgery Ltd 1</t>
        </is>
      </c>
      <c r="L3816" t="inlineStr">
        <is>
          <t>31/03/2026 07:53</t>
        </is>
      </c>
      <c r="M3816" t="inlineStr">
        <is>
          <t>None</t>
        </is>
      </c>
      <c r="N3816" t="inlineStr">
        <is>
          <t>&lt;p&gt;&lt;/p&gt;</t>
        </is>
      </c>
      <c r="O3816" t="inlineStr"/>
      <c r="P3816" t="inlineStr"/>
      <c r="Q3816" t="inlineStr">
        <is>
          <t>UKPN</t>
        </is>
      </c>
      <c r="R3816" t="b">
        <v>0</v>
      </c>
    </row>
    <row r="3817">
      <c r="A3817" t="inlineStr">
        <is>
          <t>30 Mar 2026 / 7996 M G Tree Surgery Ltd 1</t>
        </is>
      </c>
      <c r="B3817" t="inlineStr">
        <is>
          <t>Infrastructure &amp; Utilities</t>
        </is>
      </c>
      <c r="C3817" t="inlineStr">
        <is>
          <t>UKPN</t>
        </is>
      </c>
      <c r="D3817" t="inlineStr">
        <is>
          <t>KX20 BCE , Tipper , Isuzu , D-Max</t>
        </is>
      </c>
      <c r="E3817" t="inlineStr">
        <is>
          <t>KX20 BCE , Tipper , Isuzu , D-Max</t>
        </is>
      </c>
      <c r="F3817" t="inlineStr">
        <is>
          <t>KX20 BCE , Tipper , Isuzu , D-Max</t>
        </is>
      </c>
      <c r="G3817" t="inlineStr">
        <is>
          <t>Anthony Gale</t>
        </is>
      </c>
      <c r="H3817" t="inlineStr">
        <is>
          <t>Pickup Truck</t>
        </is>
      </c>
      <c r="I3817" t="inlineStr">
        <is>
          <t>Daily/ Weekly Vehicle Inspection</t>
        </is>
      </c>
      <c r="J3817" t="inlineStr">
        <is>
          <t>N/A</t>
        </is>
      </c>
      <c r="K3817" t="inlineStr">
        <is>
          <t>7996 M G Tree Surgery Ltd 1</t>
        </is>
      </c>
      <c r="L3817" t="inlineStr">
        <is>
          <t>31/03/2026 07:54</t>
        </is>
      </c>
      <c r="M3817" t="inlineStr">
        <is>
          <t>None</t>
        </is>
      </c>
      <c r="N3817" t="inlineStr">
        <is>
          <t>&lt;p&gt;&lt;/p&gt;</t>
        </is>
      </c>
      <c r="O3817" t="inlineStr"/>
      <c r="P3817" t="inlineStr">
        <is>
          <t>KX20 BCE , Tipper , Isuzu , D-Max</t>
        </is>
      </c>
      <c r="Q3817" t="inlineStr">
        <is>
          <t>UKPN</t>
        </is>
      </c>
      <c r="R3817" t="b">
        <v>0</v>
      </c>
    </row>
    <row r="3818">
      <c r="A3818" t="inlineStr">
        <is>
          <t>31 Mar 2026 / Jake Bolwell</t>
        </is>
      </c>
      <c r="B3818" t="inlineStr">
        <is>
          <t>Infrastructure</t>
        </is>
      </c>
      <c r="C3818" t="inlineStr">
        <is>
          <t>SSE</t>
        </is>
      </c>
      <c r="D3818" t="inlineStr">
        <is>
          <t>AK23YLP , Car - Electric , Tesla , Model Y Long Range</t>
        </is>
      </c>
      <c r="E3818" t="inlineStr">
        <is>
          <t>AK23YLP , Car - Electric , Tesla , Model Y Long Range</t>
        </is>
      </c>
      <c r="F3818" t="inlineStr">
        <is>
          <t>AK23YLP , Car - Electric , Tesla , Model Y Long Range</t>
        </is>
      </c>
      <c r="G3818" t="inlineStr">
        <is>
          <t>Jake Bolwell</t>
        </is>
      </c>
      <c r="H3818" t="inlineStr">
        <is>
          <t>Car - Electric (GC Owned)</t>
        </is>
      </c>
      <c r="I3818" t="inlineStr">
        <is>
          <t>Daily/ Weekly Vehicle Inspection</t>
        </is>
      </c>
      <c r="J3818" t="inlineStr">
        <is>
          <t>N/A</t>
        </is>
      </c>
      <c r="K3818" t="inlineStr">
        <is>
          <t>Jake Bolwell</t>
        </is>
      </c>
      <c r="L3818" t="inlineStr">
        <is>
          <t>31/03/2026 07:54</t>
        </is>
      </c>
      <c r="M3818" t="inlineStr">
        <is>
          <t>None</t>
        </is>
      </c>
      <c r="N3818" t="inlineStr">
        <is>
          <t>&lt;p&gt;&lt;/p&gt;</t>
        </is>
      </c>
      <c r="O3818" t="inlineStr"/>
      <c r="P3818" t="inlineStr">
        <is>
          <t>AK23YLP , Car - Electric , Tesla , Model Y Long Range</t>
        </is>
      </c>
      <c r="Q3818" t="inlineStr">
        <is>
          <t>SSE</t>
        </is>
      </c>
      <c r="R3818" t="b">
        <v>0</v>
      </c>
    </row>
    <row r="3819">
      <c r="A3819" t="inlineStr">
        <is>
          <t>31 Mar 2026 / Joe Lemar</t>
        </is>
      </c>
      <c r="B3819" t="inlineStr">
        <is>
          <t>Infrastructure &amp; Utilities</t>
        </is>
      </c>
      <c r="C3819" t="inlineStr">
        <is>
          <t>SSE</t>
        </is>
      </c>
      <c r="D3819" t="inlineStr">
        <is>
          <t>AK70TBV , Car - Electric , Tesla , Model 3 Long Range AWD</t>
        </is>
      </c>
      <c r="E3819" t="inlineStr">
        <is>
          <t>AK70TBV , Car - Electric , Tesla , Model 3 Long Range AWD</t>
        </is>
      </c>
      <c r="F3819" t="inlineStr">
        <is>
          <t>AK70TBV , Car - Electric , Tesla , Model 3 Long Range AWD</t>
        </is>
      </c>
      <c r="G3819" t="inlineStr">
        <is>
          <t>Joe Lemar</t>
        </is>
      </c>
      <c r="H3819" t="inlineStr">
        <is>
          <t>Car - Electric (GC Owned)</t>
        </is>
      </c>
      <c r="I3819" t="inlineStr">
        <is>
          <t>Daily/ Weekly Vehicle Inspection</t>
        </is>
      </c>
      <c r="J3819" t="inlineStr">
        <is>
          <t>N/A</t>
        </is>
      </c>
      <c r="K3819" t="inlineStr">
        <is>
          <t>Joe Lemar</t>
        </is>
      </c>
      <c r="L3819" t="inlineStr">
        <is>
          <t>31/03/2026 08:48</t>
        </is>
      </c>
      <c r="M3819" t="inlineStr">
        <is>
          <t>None</t>
        </is>
      </c>
      <c r="N3819" t="inlineStr">
        <is>
          <t>&lt;p&gt;&lt;/p&gt;</t>
        </is>
      </c>
      <c r="O3819" t="inlineStr"/>
      <c r="P3819" t="inlineStr">
        <is>
          <t>AK70TBV , Car - Electric , Tesla , Model 3 Long Range AWD</t>
        </is>
      </c>
      <c r="Q3819" t="inlineStr">
        <is>
          <t>SSE</t>
        </is>
      </c>
      <c r="R3819" t="b">
        <v>0</v>
      </c>
    </row>
    <row r="3820">
      <c r="A3820" t="inlineStr">
        <is>
          <t>31 Mar 2026 / Rodney Taylor</t>
        </is>
      </c>
      <c r="B3820" t="inlineStr">
        <is>
          <t>Infrastructure &amp; Utilities</t>
        </is>
      </c>
      <c r="C3820" t="inlineStr">
        <is>
          <t>NGED</t>
        </is>
      </c>
      <c r="D3820" t="inlineStr">
        <is>
          <t>EK73UOM , Car - Electric , Kia , Niro</t>
        </is>
      </c>
      <c r="E3820" t="inlineStr">
        <is>
          <t>EK73UOM , Car - Electric , Kia , Niro</t>
        </is>
      </c>
      <c r="F3820" t="inlineStr">
        <is>
          <t>EK73UOM , Car - Electric , Kia , Niro</t>
        </is>
      </c>
      <c r="G3820" t="inlineStr">
        <is>
          <t xml:space="preserve">EK73UOM </t>
        </is>
      </c>
      <c r="H3820" t="inlineStr">
        <is>
          <t>Car - Electric (GC Owned)</t>
        </is>
      </c>
      <c r="I3820" t="inlineStr">
        <is>
          <t>Daily/ Weekly Vehicle Inspection</t>
        </is>
      </c>
      <c r="J3820" t="inlineStr">
        <is>
          <t>N/A</t>
        </is>
      </c>
      <c r="K3820" t="inlineStr">
        <is>
          <t>Rodney Taylor</t>
        </is>
      </c>
      <c r="L3820" t="inlineStr">
        <is>
          <t>31/03/2026 10:50</t>
        </is>
      </c>
      <c r="M3820" t="inlineStr">
        <is>
          <t>None</t>
        </is>
      </c>
      <c r="N3820" t="inlineStr">
        <is>
          <t>&lt;p&gt;&lt;/p&gt;</t>
        </is>
      </c>
      <c r="O3820" t="inlineStr"/>
      <c r="P3820" t="inlineStr">
        <is>
          <t>EK73UOM , Car - Electric , Kia , Niro</t>
        </is>
      </c>
      <c r="Q3820" t="inlineStr">
        <is>
          <t>NGED</t>
        </is>
      </c>
      <c r="R3820" t="b">
        <v>0</v>
      </c>
    </row>
    <row r="3821">
      <c r="A3821" t="inlineStr">
        <is>
          <t>31 Mar 2026 / Oliver Coyle</t>
        </is>
      </c>
      <c r="B3821" t="inlineStr">
        <is>
          <t>Infrastructure &amp; Utilities</t>
        </is>
      </c>
      <c r="C3821" t="inlineStr">
        <is>
          <t>NGED</t>
        </is>
      </c>
      <c r="D3821" t="inlineStr">
        <is>
          <t>WO23RVN , Van , Ford , Ranger</t>
        </is>
      </c>
      <c r="E3821" t="inlineStr">
        <is>
          <t>WO23RVN , Van , Ford , Ranger</t>
        </is>
      </c>
      <c r="F3821" t="inlineStr">
        <is>
          <t>WO23RVN , Van , Ford , Ranger</t>
        </is>
      </c>
      <c r="G3821" t="inlineStr">
        <is>
          <t>Oliver Coyle</t>
        </is>
      </c>
      <c r="H3821" t="inlineStr">
        <is>
          <t>Tipper</t>
        </is>
      </c>
      <c r="I3821" t="inlineStr">
        <is>
          <t>Daily/ Weekly Vehicle Inspection</t>
        </is>
      </c>
      <c r="J3821" t="inlineStr">
        <is>
          <t>N/A</t>
        </is>
      </c>
      <c r="K3821" t="inlineStr">
        <is>
          <t>Oliver Coyle</t>
        </is>
      </c>
      <c r="L3821" t="inlineStr">
        <is>
          <t>31/03/2026 12:46</t>
        </is>
      </c>
      <c r="M3821" t="inlineStr">
        <is>
          <t>None</t>
        </is>
      </c>
      <c r="N3821" t="inlineStr">
        <is>
          <t>&lt;p&gt;&lt;/p&gt;</t>
        </is>
      </c>
      <c r="O3821" t="inlineStr">
        <is>
          <t>Confirm that you have checked this vehicle as per the guidance document and the vehicle is safe and roadworthy:Ad blue level low, got a range of 1465 miles
-</t>
        </is>
      </c>
      <c r="P3821" t="inlineStr">
        <is>
          <t>WO23RVN , Van , Ford , Ranger</t>
        </is>
      </c>
      <c r="Q3821" t="inlineStr">
        <is>
          <t>NGED</t>
        </is>
      </c>
      <c r="R3821" t="b">
        <v>0</v>
      </c>
    </row>
    <row r="3822">
      <c r="A3822" t="inlineStr">
        <is>
          <t>31 Mar 2026 / 7951 Austin Tree Care LTD</t>
        </is>
      </c>
      <c r="B3822" t="inlineStr">
        <is>
          <t>Infrastructure &amp; Utilities</t>
        </is>
      </c>
      <c r="C3822" t="inlineStr">
        <is>
          <t>UKPN</t>
        </is>
      </c>
      <c r="D3822" t="inlineStr">
        <is>
          <t>WG64HTT , 4x4 , Land Rover , Defender 110</t>
        </is>
      </c>
      <c r="E3822" t="inlineStr">
        <is>
          <t>WG64HTT , 4x4 , Land Rover , Defender 110</t>
        </is>
      </c>
      <c r="F3822" t="inlineStr">
        <is>
          <t>WG64HTT , 4x4 , Land Rover , Defender 110</t>
        </is>
      </c>
      <c r="G3822" t="inlineStr">
        <is>
          <t xml:space="preserve">Jack Austin </t>
        </is>
      </c>
      <c r="H3822" t="inlineStr">
        <is>
          <t>4x4</t>
        </is>
      </c>
      <c r="I3822" t="inlineStr">
        <is>
          <t>Daily/ Weekly Vehicle Inspection</t>
        </is>
      </c>
      <c r="J3822" t="inlineStr">
        <is>
          <t>N/A</t>
        </is>
      </c>
      <c r="K3822" t="inlineStr">
        <is>
          <t>7951 Austin Tree Care LTD</t>
        </is>
      </c>
      <c r="L3822" t="inlineStr">
        <is>
          <t>31/03/2026 13:46</t>
        </is>
      </c>
      <c r="M3822" t="inlineStr">
        <is>
          <t>None</t>
        </is>
      </c>
      <c r="N3822" t="inlineStr">
        <is>
          <t>&lt;p&gt;&lt;/p&gt;</t>
        </is>
      </c>
      <c r="O3822" t="inlineStr"/>
      <c r="P3822" t="inlineStr">
        <is>
          <t>WG64HTT , 4x4 , Land Rover , Defender 110</t>
        </is>
      </c>
      <c r="Q3822" t="inlineStr">
        <is>
          <t>UKPN</t>
        </is>
      </c>
      <c r="R3822" t="b">
        <v>0</v>
      </c>
    </row>
    <row r="3823">
      <c r="A3823" t="inlineStr">
        <is>
          <t>31 Mar 2026 / 7951 Austin Tree Care LTD</t>
        </is>
      </c>
      <c r="B3823" t="inlineStr">
        <is>
          <t>Infrastructure &amp; Utilities</t>
        </is>
      </c>
      <c r="C3823" t="inlineStr">
        <is>
          <t>UKPN</t>
        </is>
      </c>
      <c r="D3823" t="inlineStr">
        <is>
          <t>SA9ST6P0001283612 , Towed Chipper , Forst , ST6p</t>
        </is>
      </c>
      <c r="E3823" t="inlineStr">
        <is>
          <t>SA9ST6P0001283612 , Towed Chipper , Forst , ST6p</t>
        </is>
      </c>
      <c r="F3823" t="inlineStr">
        <is>
          <t>SA9ST6P0001283612 , Towed Chipper , Forst , ST6p</t>
        </is>
      </c>
      <c r="G3823" t="inlineStr">
        <is>
          <t xml:space="preserve">Jack Austin </t>
        </is>
      </c>
      <c r="H3823" t="inlineStr">
        <is>
          <t>Towed Chipper</t>
        </is>
      </c>
      <c r="I3823" t="inlineStr">
        <is>
          <t>Daily/ Weekly Vehicle Inspection</t>
        </is>
      </c>
      <c r="J3823" t="inlineStr">
        <is>
          <t>N/A</t>
        </is>
      </c>
      <c r="K3823" t="inlineStr">
        <is>
          <t>7951 Austin Tree Care LTD</t>
        </is>
      </c>
      <c r="L3823" t="inlineStr">
        <is>
          <t>31/03/2026 13:47</t>
        </is>
      </c>
      <c r="M3823" t="inlineStr">
        <is>
          <t>None</t>
        </is>
      </c>
      <c r="N3823" t="inlineStr">
        <is>
          <t>&lt;p&gt;&lt;/p&gt;</t>
        </is>
      </c>
      <c r="O3823" t="inlineStr"/>
      <c r="P3823" t="inlineStr">
        <is>
          <t>SA9ST6P0001283612 , Towed Chipper , Forst , ST6p</t>
        </is>
      </c>
      <c r="Q3823" t="inlineStr">
        <is>
          <t>UKPN</t>
        </is>
      </c>
      <c r="R3823" t="b">
        <v>0</v>
      </c>
    </row>
    <row r="3824">
      <c r="A3824" t="inlineStr">
        <is>
          <t>31 Mar 2026 / Oliver Coyle</t>
        </is>
      </c>
      <c r="B3824" t="inlineStr">
        <is>
          <t>Infrastructure &amp; Utilities</t>
        </is>
      </c>
      <c r="C3824" t="inlineStr">
        <is>
          <t>NGED</t>
        </is>
      </c>
      <c r="D3824" t="inlineStr">
        <is>
          <t>BT72WYC , N/A , Isuzu , D-Max</t>
        </is>
      </c>
      <c r="E3824" t="inlineStr">
        <is>
          <t>BT72WYC , N/A , Isuzu , D-Max</t>
        </is>
      </c>
      <c r="F3824" t="inlineStr">
        <is>
          <t>BT72WYC , N/A , Isuzu , D-Max</t>
        </is>
      </c>
      <c r="G3824" t="inlineStr">
        <is>
          <t>Oliver Coyle</t>
        </is>
      </c>
      <c r="H3824" t="inlineStr">
        <is>
          <t>4x4</t>
        </is>
      </c>
      <c r="I3824" t="inlineStr">
        <is>
          <t>Daily/ Weekly Vehicle Inspection</t>
        </is>
      </c>
      <c r="J3824" t="inlineStr">
        <is>
          <t>N/A</t>
        </is>
      </c>
      <c r="K3824" t="inlineStr">
        <is>
          <t>Oliver Coyle</t>
        </is>
      </c>
      <c r="L3824" t="inlineStr">
        <is>
          <t>31/03/2026 13:48</t>
        </is>
      </c>
      <c r="M3824" t="inlineStr">
        <is>
          <t>None</t>
        </is>
      </c>
      <c r="N3824" t="inlineStr">
        <is>
          <t>&lt;p&gt;&lt;/p&gt;</t>
        </is>
      </c>
      <c r="O3824" t="inlineStr"/>
      <c r="P3824" t="inlineStr">
        <is>
          <t>BT72WYC , N/A , Isuzu , D-Max</t>
        </is>
      </c>
      <c r="Q3824" t="inlineStr">
        <is>
          <t>NGED</t>
        </is>
      </c>
      <c r="R3824" t="b">
        <v>0</v>
      </c>
    </row>
    <row r="3825">
      <c r="A3825" t="inlineStr">
        <is>
          <t>31 Mar 2026 / 6617 Ashdown Tree Limited 1</t>
        </is>
      </c>
      <c r="B3825" t="inlineStr">
        <is>
          <t>Infrastructure &amp; Utilities</t>
        </is>
      </c>
      <c r="C3825" t="inlineStr">
        <is>
          <t>UKPN</t>
        </is>
      </c>
      <c r="D3825" t="inlineStr">
        <is>
          <t>WF11EJJ , Vehicle , Land Rover , Discovery</t>
        </is>
      </c>
      <c r="E3825" t="inlineStr">
        <is>
          <t>WF11EJJ , Vehicle , Land Rover , Discovery</t>
        </is>
      </c>
      <c r="F3825" t="inlineStr">
        <is>
          <t>WF11EJJ , Vehicle , Land Rover , Discovery</t>
        </is>
      </c>
      <c r="G3825" t="inlineStr">
        <is>
          <t>Dan</t>
        </is>
      </c>
      <c r="H3825" t="inlineStr">
        <is>
          <t>4x4</t>
        </is>
      </c>
      <c r="I3825" t="inlineStr">
        <is>
          <t>Daily/ Weekly Vehicle Inspection</t>
        </is>
      </c>
      <c r="J3825" t="inlineStr">
        <is>
          <t>N/A</t>
        </is>
      </c>
      <c r="K3825" t="inlineStr">
        <is>
          <t>6617 Ashdown Tree Limited - Team 2</t>
        </is>
      </c>
      <c r="L3825" t="inlineStr">
        <is>
          <t>31/03/2026 14:48</t>
        </is>
      </c>
      <c r="M3825" t="inlineStr">
        <is>
          <t>None</t>
        </is>
      </c>
      <c r="N3825" t="inlineStr">
        <is>
          <t>&lt;p&gt;&lt;/p&gt;</t>
        </is>
      </c>
      <c r="O3825" t="inlineStr"/>
      <c r="P3825" t="inlineStr">
        <is>
          <t>WF11EJJ , Vehicle , Land Rover , Discovery</t>
        </is>
      </c>
      <c r="Q3825" t="inlineStr">
        <is>
          <t>UKPN</t>
        </is>
      </c>
      <c r="R3825" t="b">
        <v>0</v>
      </c>
    </row>
    <row r="3826">
      <c r="A3826" t="inlineStr">
        <is>
          <t>31 Mar 2026 / William Heneage</t>
        </is>
      </c>
      <c r="B3826" t="inlineStr">
        <is>
          <t>Infrastructure &amp; Utilities</t>
        </is>
      </c>
      <c r="C3826" t="inlineStr">
        <is>
          <t>SSE</t>
        </is>
      </c>
      <c r="D3826" t="inlineStr">
        <is>
          <t>YX24TWV , Car - Electric , Kia , E-Niro</t>
        </is>
      </c>
      <c r="E3826" t="inlineStr">
        <is>
          <t>YX24TWV , Car - Electric , Kia , E-Niro</t>
        </is>
      </c>
      <c r="F3826" t="inlineStr">
        <is>
          <t>YX24TWV , Car - Electric , Kia , E-Niro</t>
        </is>
      </c>
      <c r="G3826" t="inlineStr">
        <is>
          <t xml:space="preserve">Will Heneage </t>
        </is>
      </c>
      <c r="H3826" t="inlineStr">
        <is>
          <t>Car - Electric (GC Owned)</t>
        </is>
      </c>
      <c r="I3826" t="inlineStr">
        <is>
          <t>Daily/ Weekly Vehicle Inspection</t>
        </is>
      </c>
      <c r="J3826" t="inlineStr">
        <is>
          <t>N/A</t>
        </is>
      </c>
      <c r="K3826" t="inlineStr">
        <is>
          <t>William Heneage</t>
        </is>
      </c>
      <c r="L3826" t="inlineStr">
        <is>
          <t>31/03/2026 15:46</t>
        </is>
      </c>
      <c r="M3826" t="inlineStr">
        <is>
          <t>None</t>
        </is>
      </c>
      <c r="N3826" t="inlineStr">
        <is>
          <t>&lt;p&gt;&lt;/p&gt;</t>
        </is>
      </c>
      <c r="O3826" t="inlineStr"/>
      <c r="P3826" t="inlineStr">
        <is>
          <t>YX24TWV , Car - Electric , Kia , E-Niro</t>
        </is>
      </c>
      <c r="Q3826" t="inlineStr">
        <is>
          <t>SSE</t>
        </is>
      </c>
      <c r="R3826" t="b">
        <v>0</v>
      </c>
    </row>
    <row r="3827">
      <c r="A3827" t="inlineStr">
        <is>
          <t>31 Mar 2026 / 7996 M G Tree Surgery Ltd 1</t>
        </is>
      </c>
      <c r="B3827" t="inlineStr">
        <is>
          <t>Infrastructure &amp; Utilities</t>
        </is>
      </c>
      <c r="C3827" t="inlineStr">
        <is>
          <t>UKPN</t>
        </is>
      </c>
      <c r="D3827" t="inlineStr"/>
      <c r="E3827" t="inlineStr"/>
      <c r="F3827" t="inlineStr"/>
      <c r="G3827" t="inlineStr">
        <is>
          <t>Anthony Gale</t>
        </is>
      </c>
      <c r="H3827" t="inlineStr">
        <is>
          <t>Towed Chipper</t>
        </is>
      </c>
      <c r="I3827" t="inlineStr">
        <is>
          <t>Daily/ Weekly Vehicle Inspection</t>
        </is>
      </c>
      <c r="J3827" t="inlineStr">
        <is>
          <t>N/A</t>
        </is>
      </c>
      <c r="K3827" t="inlineStr">
        <is>
          <t>7996 M G Tree Surgery Ltd 1</t>
        </is>
      </c>
      <c r="L3827" t="inlineStr">
        <is>
          <t>31/03/2026 16:47</t>
        </is>
      </c>
      <c r="M3827" t="inlineStr">
        <is>
          <t>None</t>
        </is>
      </c>
      <c r="N3827" t="inlineStr">
        <is>
          <t>&lt;p&gt;&lt;/p&gt;</t>
        </is>
      </c>
      <c r="O3827" t="inlineStr"/>
      <c r="P3827" t="inlineStr"/>
      <c r="Q3827" t="inlineStr">
        <is>
          <t>UKPN</t>
        </is>
      </c>
      <c r="R3827" t="b">
        <v>0</v>
      </c>
    </row>
    <row r="3828">
      <c r="A3828" t="inlineStr">
        <is>
          <t>31 Mar 2026 / 7996 M G Tree Surgery Ltd 1</t>
        </is>
      </c>
      <c r="B3828" t="inlineStr">
        <is>
          <t>Infrastructure &amp; Utilities</t>
        </is>
      </c>
      <c r="C3828" t="inlineStr">
        <is>
          <t>UKPN</t>
        </is>
      </c>
      <c r="D3828" t="inlineStr">
        <is>
          <t>KX20 BCE , Tipper , Isuzu , D-Max</t>
        </is>
      </c>
      <c r="E3828" t="inlineStr">
        <is>
          <t>KX20 BCE , Tipper , Isuzu , D-Max</t>
        </is>
      </c>
      <c r="F3828" t="inlineStr">
        <is>
          <t>KX20 BCE , Tipper , Isuzu , D-Max</t>
        </is>
      </c>
      <c r="G3828" t="inlineStr">
        <is>
          <t>Anthony Gale</t>
        </is>
      </c>
      <c r="H3828" t="inlineStr">
        <is>
          <t>Pickup Truck</t>
        </is>
      </c>
      <c r="I3828" t="inlineStr">
        <is>
          <t>Daily/ Weekly Vehicle Inspection</t>
        </is>
      </c>
      <c r="J3828" t="inlineStr">
        <is>
          <t>N/A</t>
        </is>
      </c>
      <c r="K3828" t="inlineStr">
        <is>
          <t>7996 M G Tree Surgery Ltd 1</t>
        </is>
      </c>
      <c r="L3828" t="inlineStr">
        <is>
          <t>31/03/2026 16:47</t>
        </is>
      </c>
      <c r="M3828" t="inlineStr">
        <is>
          <t>None</t>
        </is>
      </c>
      <c r="N3828" t="inlineStr">
        <is>
          <t>&lt;p&gt;&lt;/p&gt;</t>
        </is>
      </c>
      <c r="O3828" t="inlineStr"/>
      <c r="P3828" t="inlineStr">
        <is>
          <t>KX20 BCE , Tipper , Isuzu , D-Max</t>
        </is>
      </c>
      <c r="Q3828" t="inlineStr">
        <is>
          <t>UKPN</t>
        </is>
      </c>
      <c r="R3828" t="b">
        <v>0</v>
      </c>
    </row>
    <row r="3829">
      <c r="A3829" t="inlineStr">
        <is>
          <t>31 Mar 2026 / Joseph Pallot</t>
        </is>
      </c>
      <c r="B3829" t="inlineStr">
        <is>
          <t>Infrastructure &amp; Utilities</t>
        </is>
      </c>
      <c r="C3829" t="inlineStr">
        <is>
          <t>NGED</t>
        </is>
      </c>
      <c r="D3829" t="inlineStr">
        <is>
          <t>AK70VYS , Car - Electric , Tesla , Model 3 Long Range AWD</t>
        </is>
      </c>
      <c r="E3829" t="inlineStr">
        <is>
          <t>AK70VYS , Car - Electric , Tesla , Model 3 Long Range AWD</t>
        </is>
      </c>
      <c r="F3829" t="inlineStr">
        <is>
          <t>AK70VYS , Car - Electric , Tesla , Model 3 Long Range AWD</t>
        </is>
      </c>
      <c r="G3829" t="inlineStr">
        <is>
          <t xml:space="preserve">Joseph Pallot </t>
        </is>
      </c>
      <c r="H3829" t="inlineStr">
        <is>
          <t>Car - Electric (GC Owned)</t>
        </is>
      </c>
      <c r="I3829" t="inlineStr">
        <is>
          <t>Daily/ Weekly Vehicle Inspection</t>
        </is>
      </c>
      <c r="J3829" t="inlineStr">
        <is>
          <t>N/A</t>
        </is>
      </c>
      <c r="K3829" t="inlineStr">
        <is>
          <t>Joseph Pallot</t>
        </is>
      </c>
      <c r="L3829" t="inlineStr">
        <is>
          <t>31/03/2026 17:47</t>
        </is>
      </c>
      <c r="M3829" t="inlineStr">
        <is>
          <t>None</t>
        </is>
      </c>
      <c r="N3829" t="inlineStr">
        <is>
          <t>&lt;p&gt;&lt;/p&gt;</t>
        </is>
      </c>
      <c r="O3829" t="inlineStr"/>
      <c r="P3829" t="inlineStr">
        <is>
          <t>AK70VYS , Car - Electric , Tesla , Model 3 Long Range AWD</t>
        </is>
      </c>
      <c r="Q3829" t="inlineStr">
        <is>
          <t>NGED</t>
        </is>
      </c>
      <c r="R3829" t="b">
        <v>0</v>
      </c>
    </row>
    <row r="3830">
      <c r="A3830" t="inlineStr">
        <is>
          <t>31 Mar 2026 / 6617 Ashdown Tree Limited 1</t>
        </is>
      </c>
      <c r="B3830" t="inlineStr">
        <is>
          <t>Infrastructure &amp; Utilities</t>
        </is>
      </c>
      <c r="C3830" t="inlineStr">
        <is>
          <t>UKPN</t>
        </is>
      </c>
      <c r="D3830" t="inlineStr">
        <is>
          <t>WF11EJJ , Vehicle , Land Rover , Discovery</t>
        </is>
      </c>
      <c r="E3830" t="inlineStr">
        <is>
          <t>WF11EJJ , Vehicle , Land Rover , Discovery</t>
        </is>
      </c>
      <c r="F3830" t="inlineStr">
        <is>
          <t>WF11EJJ , Vehicle , Land Rover , Discovery</t>
        </is>
      </c>
      <c r="G3830" t="inlineStr">
        <is>
          <t>Dan</t>
        </is>
      </c>
      <c r="H3830" t="inlineStr">
        <is>
          <t>4x4</t>
        </is>
      </c>
      <c r="I3830" t="inlineStr">
        <is>
          <t>Daily/ Weekly Vehicle Inspection</t>
        </is>
      </c>
      <c r="J3830" t="inlineStr">
        <is>
          <t>N/A</t>
        </is>
      </c>
      <c r="K3830" t="inlineStr">
        <is>
          <t>6617 Ashdown Tree Limited - Team 2</t>
        </is>
      </c>
      <c r="L3830" t="inlineStr">
        <is>
          <t>31/03/2026 18:46</t>
        </is>
      </c>
      <c r="M3830" t="inlineStr">
        <is>
          <t>None</t>
        </is>
      </c>
      <c r="N3830" t="inlineStr">
        <is>
          <t>&lt;p&gt;&lt;/p&gt;</t>
        </is>
      </c>
      <c r="O3830" t="inlineStr"/>
      <c r="P3830" t="inlineStr">
        <is>
          <t>WF11EJJ , Vehicle , Land Rover , Discovery</t>
        </is>
      </c>
      <c r="Q3830" t="inlineStr">
        <is>
          <t>UKPN</t>
        </is>
      </c>
      <c r="R3830" t="b">
        <v>0</v>
      </c>
    </row>
    <row r="3831">
      <c r="A3831" t="inlineStr">
        <is>
          <t>1 Apr 2026 / 8148 Hope Ground and Tree Care</t>
        </is>
      </c>
      <c r="B3831" t="inlineStr">
        <is>
          <t>Infrastructure &amp; Utilities</t>
        </is>
      </c>
      <c r="C3831" t="inlineStr">
        <is>
          <t>UKPN</t>
        </is>
      </c>
      <c r="D3831" t="inlineStr">
        <is>
          <t>S6 NWX , MEWP , Isuzu , D-Max</t>
        </is>
      </c>
      <c r="E3831" t="inlineStr">
        <is>
          <t>S6 NWX , MEWP , Isuzu , D-Max</t>
        </is>
      </c>
      <c r="F3831" t="inlineStr">
        <is>
          <t>S6 NWX , MEWP , Isuzu , D-Max</t>
        </is>
      </c>
      <c r="G3831" t="inlineStr">
        <is>
          <t>A Hope</t>
        </is>
      </c>
      <c r="H3831" t="inlineStr">
        <is>
          <t>4x4</t>
        </is>
      </c>
      <c r="I3831" t="inlineStr">
        <is>
          <t>Daily/ Weekly Vehicle Inspection</t>
        </is>
      </c>
      <c r="J3831" t="inlineStr">
        <is>
          <t>N/A</t>
        </is>
      </c>
      <c r="K3831" t="inlineStr">
        <is>
          <t>8148 Hope Ground and Tree Care</t>
        </is>
      </c>
      <c r="L3831" t="inlineStr">
        <is>
          <t>01/04/2026 07:47</t>
        </is>
      </c>
      <c r="M3831" t="inlineStr">
        <is>
          <t>None</t>
        </is>
      </c>
      <c r="N3831" t="inlineStr">
        <is>
          <t>&lt;p&gt;&lt;/p&gt;</t>
        </is>
      </c>
      <c r="O3831" t="inlineStr"/>
      <c r="P3831" t="inlineStr">
        <is>
          <t>S6 NWX , MEWP , Isuzu , D-Max</t>
        </is>
      </c>
      <c r="Q3831" t="inlineStr">
        <is>
          <t>UKPN</t>
        </is>
      </c>
      <c r="R3831" t="b">
        <v>0</v>
      </c>
    </row>
    <row r="3832">
      <c r="A3832" t="inlineStr">
        <is>
          <t>1 Apr 2026 / 7951 Austin Tree Care LTD</t>
        </is>
      </c>
      <c r="B3832" t="inlineStr">
        <is>
          <t>Infrastructure &amp; Utilities</t>
        </is>
      </c>
      <c r="C3832" t="inlineStr">
        <is>
          <t>UKPN</t>
        </is>
      </c>
      <c r="D3832" t="inlineStr">
        <is>
          <t>WG64HTT , 4x4 , Land Rover , Defender 110</t>
        </is>
      </c>
      <c r="E3832" t="inlineStr">
        <is>
          <t>WG64HTT , 4x4 , Land Rover , Defender 110</t>
        </is>
      </c>
      <c r="F3832" t="inlineStr">
        <is>
          <t>WG64HTT , 4x4 , Land Rover , Defender 110</t>
        </is>
      </c>
      <c r="G3832" t="inlineStr">
        <is>
          <t xml:space="preserve">Jack Austin </t>
        </is>
      </c>
      <c r="H3832" t="inlineStr">
        <is>
          <t>4x4</t>
        </is>
      </c>
      <c r="I3832" t="inlineStr">
        <is>
          <t>Daily/ Weekly Vehicle Inspection</t>
        </is>
      </c>
      <c r="J3832" t="inlineStr">
        <is>
          <t>N/A</t>
        </is>
      </c>
      <c r="K3832" t="inlineStr">
        <is>
          <t>7951 Austin Tree Care LTD</t>
        </is>
      </c>
      <c r="L3832" t="inlineStr">
        <is>
          <t>01/04/2026 07:47</t>
        </is>
      </c>
      <c r="M3832" t="inlineStr">
        <is>
          <t>None</t>
        </is>
      </c>
      <c r="N3832" t="inlineStr">
        <is>
          <t>&lt;p&gt;&lt;/p&gt;</t>
        </is>
      </c>
      <c r="O3832" t="inlineStr"/>
      <c r="P3832" t="inlineStr">
        <is>
          <t>WG64HTT , 4x4 , Land Rover , Defender 110</t>
        </is>
      </c>
      <c r="Q3832" t="inlineStr">
        <is>
          <t>UKPN</t>
        </is>
      </c>
      <c r="R3832" t="b">
        <v>0</v>
      </c>
    </row>
    <row r="3833">
      <c r="A3833" t="inlineStr">
        <is>
          <t>1 Apr 2026 / 7951 Austin Tree Care LTD</t>
        </is>
      </c>
      <c r="B3833" t="inlineStr">
        <is>
          <t>Infrastructure &amp; Utilities</t>
        </is>
      </c>
      <c r="C3833" t="inlineStr">
        <is>
          <t>UKPN</t>
        </is>
      </c>
      <c r="D3833" t="inlineStr">
        <is>
          <t>SA9ST6P0001283612 , Towed Chipper , Forst , ST6p</t>
        </is>
      </c>
      <c r="E3833" t="inlineStr">
        <is>
          <t>SA9ST6P0001283612 , Towed Chipper , Forst , ST6p</t>
        </is>
      </c>
      <c r="F3833" t="inlineStr">
        <is>
          <t>SA9ST6P0001283612 , Towed Chipper , Forst , ST6p</t>
        </is>
      </c>
      <c r="G3833" t="inlineStr">
        <is>
          <t xml:space="preserve">Jack Austin </t>
        </is>
      </c>
      <c r="H3833" t="inlineStr">
        <is>
          <t>Towed Chipper</t>
        </is>
      </c>
      <c r="I3833" t="inlineStr">
        <is>
          <t>Daily/ Weekly Vehicle Inspection</t>
        </is>
      </c>
      <c r="J3833" t="inlineStr">
        <is>
          <t>N/A</t>
        </is>
      </c>
      <c r="K3833" t="inlineStr">
        <is>
          <t>7951 Austin Tree Care LTD</t>
        </is>
      </c>
      <c r="L3833" t="inlineStr">
        <is>
          <t>01/04/2026 07:48</t>
        </is>
      </c>
      <c r="M3833" t="inlineStr">
        <is>
          <t>None</t>
        </is>
      </c>
      <c r="N3833" t="inlineStr">
        <is>
          <t>&lt;p&gt;&lt;/p&gt;</t>
        </is>
      </c>
      <c r="O3833" t="inlineStr"/>
      <c r="P3833" t="inlineStr">
        <is>
          <t>SA9ST6P0001283612 , Towed Chipper , Forst , ST6p</t>
        </is>
      </c>
      <c r="Q3833" t="inlineStr">
        <is>
          <t>UKPN</t>
        </is>
      </c>
      <c r="R3833" t="b">
        <v>0</v>
      </c>
    </row>
    <row r="3834">
      <c r="A3834" t="inlineStr">
        <is>
          <t>1 Apr 2026 / 7806 Optimum Tree Services Ltd</t>
        </is>
      </c>
      <c r="B3834" t="inlineStr">
        <is>
          <t>Utilities</t>
        </is>
      </c>
      <c r="C3834" t="inlineStr">
        <is>
          <t>UKPN</t>
        </is>
      </c>
      <c r="D3834" t="inlineStr">
        <is>
          <t>SA9TAPLAF27414263 , Trailer , Tow Mate , Plant Trailer</t>
        </is>
      </c>
      <c r="E3834" t="inlineStr">
        <is>
          <t>SA9TAPLAF27414263 , Trailer , Tow Mate , Plant Trailer</t>
        </is>
      </c>
      <c r="F3834" t="inlineStr">
        <is>
          <t>SA9TAPLAF27414263 , Trailer , Tow Mate , Plant Trailer</t>
        </is>
      </c>
      <c r="G3834" t="inlineStr">
        <is>
          <t xml:space="preserve">Abraham Davies </t>
        </is>
      </c>
      <c r="H3834" t="inlineStr">
        <is>
          <t>Plant Trailer</t>
        </is>
      </c>
      <c r="I3834" t="inlineStr">
        <is>
          <t>Daily/ Weekly Vehicle Inspection</t>
        </is>
      </c>
      <c r="J3834" t="inlineStr">
        <is>
          <t>N/A</t>
        </is>
      </c>
      <c r="K3834" t="inlineStr">
        <is>
          <t>7806 Optimum Tree Services Ltd</t>
        </is>
      </c>
      <c r="L3834" t="inlineStr">
        <is>
          <t>01/04/2026 07:48</t>
        </is>
      </c>
      <c r="M3834" t="inlineStr">
        <is>
          <t>None</t>
        </is>
      </c>
      <c r="N3834" t="inlineStr">
        <is>
          <t>&lt;p&gt;&lt;/p&gt;</t>
        </is>
      </c>
      <c r="O3834" t="inlineStr"/>
      <c r="P3834" t="inlineStr">
        <is>
          <t>SA9TAPLAF27414263 , Trailer , Tow Mate , Plant Trailer</t>
        </is>
      </c>
      <c r="Q3834" t="inlineStr">
        <is>
          <t>UKPN</t>
        </is>
      </c>
      <c r="R3834" t="b">
        <v>0</v>
      </c>
    </row>
    <row r="3835">
      <c r="A3835" t="inlineStr">
        <is>
          <t>1 Apr 2026 / 7806 Optimum Tree Services Ltd</t>
        </is>
      </c>
      <c r="B3835" t="inlineStr">
        <is>
          <t>Utilities</t>
        </is>
      </c>
      <c r="C3835" t="inlineStr">
        <is>
          <t>UKPN</t>
        </is>
      </c>
      <c r="D3835" t="inlineStr">
        <is>
          <t>WD14EVB , MEWP , Land Rover , Defender</t>
        </is>
      </c>
      <c r="E3835" t="inlineStr">
        <is>
          <t>WD14EVB , MEWP , Land Rover , Defender</t>
        </is>
      </c>
      <c r="F3835" t="inlineStr">
        <is>
          <t>WD14EVB , MEWP , Land Rover , Defender</t>
        </is>
      </c>
      <c r="G3835" t="inlineStr">
        <is>
          <t xml:space="preserve">Abraham Davies </t>
        </is>
      </c>
      <c r="H3835" t="inlineStr">
        <is>
          <t>4x4</t>
        </is>
      </c>
      <c r="I3835" t="inlineStr">
        <is>
          <t>Daily/ Weekly Vehicle Inspection</t>
        </is>
      </c>
      <c r="J3835" t="inlineStr">
        <is>
          <t>N/A</t>
        </is>
      </c>
      <c r="K3835" t="inlineStr">
        <is>
          <t>7806 Optimum Tree Services Ltd</t>
        </is>
      </c>
      <c r="L3835" t="inlineStr">
        <is>
          <t>01/04/2026 07:49</t>
        </is>
      </c>
      <c r="M3835" t="inlineStr">
        <is>
          <t>None</t>
        </is>
      </c>
      <c r="N3835" t="inlineStr">
        <is>
          <t>&lt;p&gt;&lt;/p&gt;</t>
        </is>
      </c>
      <c r="O3835" t="inlineStr"/>
      <c r="P3835" t="inlineStr">
        <is>
          <t>WD14EVB , MEWP , Land Rover , Defender</t>
        </is>
      </c>
      <c r="Q3835" t="inlineStr">
        <is>
          <t>UKPN</t>
        </is>
      </c>
      <c r="R3835" t="b">
        <v>0</v>
      </c>
    </row>
    <row r="3836">
      <c r="A3836" t="inlineStr">
        <is>
          <t>1 Apr 2026 / Kevin Miller</t>
        </is>
      </c>
      <c r="B3836" t="inlineStr">
        <is>
          <t>Infrastructure &amp; Utilities</t>
        </is>
      </c>
      <c r="C3836" t="inlineStr">
        <is>
          <t>UKPN</t>
        </is>
      </c>
      <c r="D3836" t="inlineStr">
        <is>
          <t>EO73KUF , Car - Electric , Kia , Niro</t>
        </is>
      </c>
      <c r="E3836" t="inlineStr">
        <is>
          <t>EO73KUF , Car - Electric , Kia , Niro</t>
        </is>
      </c>
      <c r="F3836" t="inlineStr">
        <is>
          <t>EO73KUF , Car - Electric , Kia , Niro</t>
        </is>
      </c>
      <c r="G3836" t="inlineStr">
        <is>
          <t xml:space="preserve">Kevin Miller </t>
        </is>
      </c>
      <c r="H3836" t="inlineStr">
        <is>
          <t>Car - Electric (GC Owned)</t>
        </is>
      </c>
      <c r="I3836" t="inlineStr">
        <is>
          <t>Daily/ Weekly Vehicle Inspection</t>
        </is>
      </c>
      <c r="J3836" t="inlineStr">
        <is>
          <t>N/A</t>
        </is>
      </c>
      <c r="K3836" t="inlineStr">
        <is>
          <t>Kevin Miller</t>
        </is>
      </c>
      <c r="L3836" t="inlineStr">
        <is>
          <t>01/04/2026 07:52</t>
        </is>
      </c>
      <c r="M3836" t="inlineStr">
        <is>
          <t>None</t>
        </is>
      </c>
      <c r="N3836" t="inlineStr">
        <is>
          <t>&lt;p&gt;&lt;/p&gt;</t>
        </is>
      </c>
      <c r="O3836" t="inlineStr"/>
      <c r="P3836" t="inlineStr">
        <is>
          <t>EO73KUF , Car - Electric , Kia , Niro</t>
        </is>
      </c>
      <c r="Q3836" t="inlineStr">
        <is>
          <t>UKPN</t>
        </is>
      </c>
      <c r="R3836" t="b">
        <v>0</v>
      </c>
    </row>
    <row r="3837">
      <c r="A3837" t="inlineStr">
        <is>
          <t>1 Apr 2026 / 7889 Tree Tech Suffolk Ltd</t>
        </is>
      </c>
      <c r="B3837" t="inlineStr">
        <is>
          <t>Utilities &amp; Inland Waterways</t>
        </is>
      </c>
      <c r="C3837" t="inlineStr">
        <is>
          <t>UKPN</t>
        </is>
      </c>
      <c r="D3837" t="inlineStr">
        <is>
          <t>Tipper - Mercedes - Sprinter - NS06TTSTow Chipper - Jenson - A530L - 55210639484x4 - Isuzu - D-max - NS03 TTS</t>
        </is>
      </c>
      <c r="E3837" t="inlineStr">
        <is>
          <t>Tipper - Mercedes - Sprinter - NS06TTSTow Chipper - Jenson - A530L - 55210639484x4 - Isuzu - D-max - NS03 TTS</t>
        </is>
      </c>
      <c r="F3837" t="inlineStr">
        <is>
          <t>Tipper - Mercedes - Sprinter - NS06TTSTow Chipper - Jenson - A530L - 55210639484x4 - Isuzu - D-max - NS03 TTS</t>
        </is>
      </c>
      <c r="G3837" t="inlineStr">
        <is>
          <t xml:space="preserve">Danny ApplebyDanny Appleby Nikki sparrow </t>
        </is>
      </c>
      <c r="H3837" t="inlineStr">
        <is>
          <t>TipperTowed Chipper4x4</t>
        </is>
      </c>
      <c r="I3837" t="inlineStr">
        <is>
          <t>Daily/ Weekly Vehicle Inspection</t>
        </is>
      </c>
      <c r="J3837" t="inlineStr">
        <is>
          <t>N/A</t>
        </is>
      </c>
      <c r="K3837" t="inlineStr">
        <is>
          <t>7889 Tree Tech Suffolk Ltd</t>
        </is>
      </c>
      <c r="L3837" t="inlineStr">
        <is>
          <t>01/04/2026 07:56</t>
        </is>
      </c>
      <c r="M3837" t="inlineStr">
        <is>
          <t>None</t>
        </is>
      </c>
      <c r="N3837" t="inlineStr">
        <is>
          <t>&lt;p&gt;&lt;/p&gt;</t>
        </is>
      </c>
      <c r="O3837" t="inlineStr"/>
      <c r="P3837" t="inlineStr">
        <is>
          <t>Tipper - Mercedes - Sprinter - NS06TTSTow Chipper - Jenson - A530L - 55210639484x4 - Isuzu - D-max - NS03 TTS</t>
        </is>
      </c>
      <c r="Q3837" t="inlineStr">
        <is>
          <t>UKPN</t>
        </is>
      </c>
      <c r="R3837" t="b">
        <v>0</v>
      </c>
    </row>
    <row r="3838">
      <c r="A3838" t="inlineStr">
        <is>
          <t>1 Apr 2026 / 7996 M G Tree Surgery Ltd 1</t>
        </is>
      </c>
      <c r="B3838" t="inlineStr">
        <is>
          <t>Infrastructure &amp; Utilities</t>
        </is>
      </c>
      <c r="C3838" t="inlineStr">
        <is>
          <t>UKPN</t>
        </is>
      </c>
      <c r="D3838" t="inlineStr"/>
      <c r="E3838" t="inlineStr"/>
      <c r="F3838" t="inlineStr"/>
      <c r="G3838" t="inlineStr">
        <is>
          <t>Anthony Gale</t>
        </is>
      </c>
      <c r="H3838" t="inlineStr">
        <is>
          <t>Towed Chipper</t>
        </is>
      </c>
      <c r="I3838" t="inlineStr">
        <is>
          <t>Daily/ Weekly Vehicle Inspection</t>
        </is>
      </c>
      <c r="J3838" t="inlineStr">
        <is>
          <t>N/A</t>
        </is>
      </c>
      <c r="K3838" t="inlineStr">
        <is>
          <t>7996 M G Tree Surgery Ltd 1</t>
        </is>
      </c>
      <c r="L3838" t="inlineStr">
        <is>
          <t>01/04/2026 07:57</t>
        </is>
      </c>
      <c r="M3838" t="inlineStr">
        <is>
          <t>None</t>
        </is>
      </c>
      <c r="N3838" t="inlineStr">
        <is>
          <t>&lt;p&gt;&lt;/p&gt;</t>
        </is>
      </c>
      <c r="O3838" t="inlineStr"/>
      <c r="P3838" t="inlineStr"/>
      <c r="Q3838" t="inlineStr">
        <is>
          <t>UKPN</t>
        </is>
      </c>
      <c r="R3838" t="b">
        <v>0</v>
      </c>
    </row>
    <row r="3839">
      <c r="A3839" t="inlineStr">
        <is>
          <t>1 Apr 2026 / 7996 M G Tree Surgery Ltd 1</t>
        </is>
      </c>
      <c r="B3839" t="inlineStr">
        <is>
          <t>Infrastructure &amp; Utilities</t>
        </is>
      </c>
      <c r="C3839" t="inlineStr">
        <is>
          <t>UKPN</t>
        </is>
      </c>
      <c r="D3839" t="inlineStr">
        <is>
          <t>KX20 BCE , Tipper , Isuzu , D-Max</t>
        </is>
      </c>
      <c r="E3839" t="inlineStr">
        <is>
          <t>KX20 BCE , Tipper , Isuzu , D-Max</t>
        </is>
      </c>
      <c r="F3839" t="inlineStr">
        <is>
          <t>KX20 BCE , Tipper , Isuzu , D-Max</t>
        </is>
      </c>
      <c r="G3839" t="inlineStr">
        <is>
          <t>Anthony Gale</t>
        </is>
      </c>
      <c r="H3839" t="inlineStr">
        <is>
          <t>Pickup Truck</t>
        </is>
      </c>
      <c r="I3839" t="inlineStr">
        <is>
          <t>Daily/ Weekly Vehicle Inspection</t>
        </is>
      </c>
      <c r="J3839" t="inlineStr">
        <is>
          <t>N/A</t>
        </is>
      </c>
      <c r="K3839" t="inlineStr">
        <is>
          <t>7996 M G Tree Surgery Ltd 1</t>
        </is>
      </c>
      <c r="L3839" t="inlineStr">
        <is>
          <t>01/04/2026 07:58</t>
        </is>
      </c>
      <c r="M3839" t="inlineStr">
        <is>
          <t>None</t>
        </is>
      </c>
      <c r="N3839" t="inlineStr">
        <is>
          <t>&lt;p&gt;&lt;/p&gt;</t>
        </is>
      </c>
      <c r="O3839" t="inlineStr"/>
      <c r="P3839" t="inlineStr">
        <is>
          <t>KX20 BCE , Tipper , Isuzu , D-Max</t>
        </is>
      </c>
      <c r="Q3839" t="inlineStr">
        <is>
          <t>UKPN</t>
        </is>
      </c>
      <c r="R3839" t="b">
        <v>0</v>
      </c>
    </row>
    <row r="3840">
      <c r="A3840" t="inlineStr">
        <is>
          <t>1 Apr 2026 / Joshua Atkins</t>
        </is>
      </c>
      <c r="B3840" t="inlineStr">
        <is>
          <t>Infrastructure &amp; Utilities</t>
        </is>
      </c>
      <c r="C3840" t="inlineStr">
        <is>
          <t>UKPN</t>
        </is>
      </c>
      <c r="D3840" t="inlineStr">
        <is>
          <t>YX24TWG , Car - Electric , Kia , E-Niro</t>
        </is>
      </c>
      <c r="E3840" t="inlineStr">
        <is>
          <t>YX24TWG , Car - Electric , Kia , E-Niro</t>
        </is>
      </c>
      <c r="F3840" t="inlineStr">
        <is>
          <t>YX24TWG , Car - Electric , Kia , E-Niro</t>
        </is>
      </c>
      <c r="G3840" t="inlineStr">
        <is>
          <t>Josh Atkins</t>
        </is>
      </c>
      <c r="H3840" t="inlineStr">
        <is>
          <t>Car - Electric (GC Owned)</t>
        </is>
      </c>
      <c r="I3840" t="inlineStr">
        <is>
          <t>Daily/ Weekly Vehicle Inspection</t>
        </is>
      </c>
      <c r="J3840" t="inlineStr">
        <is>
          <t>N/A</t>
        </is>
      </c>
      <c r="K3840" t="inlineStr">
        <is>
          <t>Joshua Atkins</t>
        </is>
      </c>
      <c r="L3840" t="inlineStr">
        <is>
          <t>01/04/2026 07:59</t>
        </is>
      </c>
      <c r="M3840" t="inlineStr">
        <is>
          <t>None</t>
        </is>
      </c>
      <c r="N3840" t="inlineStr">
        <is>
          <t>&lt;p&gt;&lt;/p&gt;</t>
        </is>
      </c>
      <c r="O3840" t="inlineStr"/>
      <c r="P3840" t="inlineStr">
        <is>
          <t>YX24TWG , Car - Electric , Kia , E-Niro</t>
        </is>
      </c>
      <c r="Q3840" t="inlineStr">
        <is>
          <t>UKPN</t>
        </is>
      </c>
      <c r="R3840" t="b">
        <v>0</v>
      </c>
    </row>
    <row r="3841">
      <c r="A3841" t="inlineStr">
        <is>
          <t>1 Apr 2026 / Christopher Phillips</t>
        </is>
      </c>
      <c r="B3841" t="inlineStr">
        <is>
          <t>Infrastructure &amp; Utilities</t>
        </is>
      </c>
      <c r="C3841" t="inlineStr">
        <is>
          <t>NGED</t>
        </is>
      </c>
      <c r="D3841" t="inlineStr">
        <is>
          <t>SK69XHC , Car - Electric , Tesla , Model 3 Performance AWD</t>
        </is>
      </c>
      <c r="E3841" t="inlineStr">
        <is>
          <t>SK69XHC , Car - Electric , Tesla , Model 3 Performance AWD</t>
        </is>
      </c>
      <c r="F3841" t="inlineStr">
        <is>
          <t>SK69XHC , Car - Electric , Tesla , Model 3 Performance AWD</t>
        </is>
      </c>
      <c r="G3841" t="inlineStr">
        <is>
          <t xml:space="preserve">Chris Phillips </t>
        </is>
      </c>
      <c r="H3841" t="inlineStr">
        <is>
          <t>Car - Electric (GC Owned)</t>
        </is>
      </c>
      <c r="I3841" t="inlineStr">
        <is>
          <t>Daily/ Weekly Vehicle Inspection</t>
        </is>
      </c>
      <c r="J3841" t="inlineStr">
        <is>
          <t>N/A</t>
        </is>
      </c>
      <c r="K3841" t="inlineStr">
        <is>
          <t>Christopher Phillips</t>
        </is>
      </c>
      <c r="L3841" t="inlineStr">
        <is>
          <t>01/04/2026 08:47</t>
        </is>
      </c>
      <c r="M3841" t="inlineStr">
        <is>
          <t>None</t>
        </is>
      </c>
      <c r="N3841" t="inlineStr">
        <is>
          <t>&lt;p&gt;&lt;/p&gt;</t>
        </is>
      </c>
      <c r="O3841" t="inlineStr"/>
      <c r="P3841" t="inlineStr">
        <is>
          <t>SK69XHC , Car - Electric , Tesla , Model 3 Performance AWD</t>
        </is>
      </c>
      <c r="Q3841" t="inlineStr">
        <is>
          <t>NGED</t>
        </is>
      </c>
      <c r="R3841" t="b">
        <v>0</v>
      </c>
    </row>
    <row r="3842">
      <c r="A3842" t="inlineStr">
        <is>
          <t>1 Apr 2026 / Christopher Phillips</t>
        </is>
      </c>
      <c r="B3842" t="inlineStr">
        <is>
          <t>Infrastructure &amp; Utilities</t>
        </is>
      </c>
      <c r="C3842" t="inlineStr">
        <is>
          <t>NGED</t>
        </is>
      </c>
      <c r="D3842" t="inlineStr">
        <is>
          <t>SK69XHC , Car - Electric , Tesla , Model 3 Performance AWD</t>
        </is>
      </c>
      <c r="E3842" t="inlineStr">
        <is>
          <t>SK69XHC , Car - Electric , Tesla , Model 3 Performance AWD</t>
        </is>
      </c>
      <c r="F3842" t="inlineStr">
        <is>
          <t>SK69XHC , Car - Electric , Tesla , Model 3 Performance AWD</t>
        </is>
      </c>
      <c r="G3842" t="inlineStr">
        <is>
          <t xml:space="preserve">Chris Phillips </t>
        </is>
      </c>
      <c r="H3842" t="inlineStr">
        <is>
          <t>Car - Electric (GC Owned)</t>
        </is>
      </c>
      <c r="I3842" t="inlineStr">
        <is>
          <t>Monthly Vehicle Inspection</t>
        </is>
      </c>
      <c r="J3842" t="inlineStr">
        <is>
          <t>77020</t>
        </is>
      </c>
      <c r="K3842" t="inlineStr">
        <is>
          <t>Christopher Phillips</t>
        </is>
      </c>
      <c r="L3842" t="inlineStr">
        <is>
          <t>01/04/2026 08:49</t>
        </is>
      </c>
      <c r="M3842" t="inlineStr">
        <is>
          <t xml:space="preserve">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 Fail
</t>
        </is>
      </c>
      <c r="N3842" t="inlineStr">
        <is>
          <t>&lt;p&gt;&lt;/p&gt;</t>
        </is>
      </c>
      <c r="O3842" t="inlineStr">
        <is>
          <t>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hours.:I live in a 1st floor flat
-</t>
        </is>
      </c>
      <c r="P3842" t="inlineStr">
        <is>
          <t>SK69XHC , Car - Electric , Tesla , Model 3 Performance AWD</t>
        </is>
      </c>
      <c r="Q3842" t="inlineStr">
        <is>
          <t>NGED</t>
        </is>
      </c>
      <c r="R3842" t="b">
        <v>0</v>
      </c>
    </row>
    <row r="3843">
      <c r="A3843" t="inlineStr">
        <is>
          <t>1 Apr 2026 / 7800 MAC Tree Surgery and Fencing Ltd / Utilities / UKPN</t>
        </is>
      </c>
      <c r="B3843" t="inlineStr">
        <is>
          <t>Utilities</t>
        </is>
      </c>
      <c r="C3843" t="inlineStr">
        <is>
          <t>UKPN</t>
        </is>
      </c>
      <c r="D3843" t="inlineStr">
        <is>
          <t>Plant Trailer - Towmate - 2.8t - 0</t>
        </is>
      </c>
      <c r="E3843" t="inlineStr">
        <is>
          <t>Plant Trailer - Towmate - 2.8t - 0</t>
        </is>
      </c>
      <c r="F3843" t="inlineStr">
        <is>
          <t>Plant Trailer - Towmate - 2.8t - 0</t>
        </is>
      </c>
      <c r="G3843" t="inlineStr">
        <is>
          <t>Lewis mac</t>
        </is>
      </c>
      <c r="H3843" t="inlineStr">
        <is>
          <t>Plant Trailer</t>
        </is>
      </c>
      <c r="I3843" t="inlineStr">
        <is>
          <t>Daily/ Weekly Vehicle Inspection</t>
        </is>
      </c>
      <c r="J3843" t="inlineStr">
        <is>
          <t>N/A</t>
        </is>
      </c>
      <c r="K3843" t="inlineStr">
        <is>
          <t>7800 MAC Tree Surgery and Fencing Ltd</t>
        </is>
      </c>
      <c r="L3843" t="inlineStr">
        <is>
          <t>01/04/2026 08:52</t>
        </is>
      </c>
      <c r="M3843" t="inlineStr">
        <is>
          <t>None</t>
        </is>
      </c>
      <c r="N3843" t="inlineStr">
        <is>
          <t>&lt;p&gt;&lt;/p&gt;</t>
        </is>
      </c>
      <c r="O3843" t="inlineStr"/>
      <c r="P3843" t="inlineStr">
        <is>
          <t>Plant Trailer - Towmate - 2.8t - 0</t>
        </is>
      </c>
      <c r="Q3843" t="inlineStr">
        <is>
          <t>UKPN</t>
        </is>
      </c>
      <c r="R3843" t="b">
        <v>0</v>
      </c>
    </row>
    <row r="3844">
      <c r="A3844" t="inlineStr">
        <is>
          <t>1 Apr 2026 / 7800 MAC Tree Surgery and Fencing Ltd</t>
        </is>
      </c>
      <c r="B3844" t="inlineStr">
        <is>
          <t>Utilities</t>
        </is>
      </c>
      <c r="C3844" t="inlineStr">
        <is>
          <t>UKPN</t>
        </is>
      </c>
      <c r="D3844" t="inlineStr">
        <is>
          <t>FG16LNT , Tipper , Ford transit  , Transit tipper</t>
        </is>
      </c>
      <c r="E3844" t="inlineStr">
        <is>
          <t>FG16LNT , Tipper , Ford transit  , Transit tipper</t>
        </is>
      </c>
      <c r="F3844" t="inlineStr">
        <is>
          <t>FG16LNT , Tipper , Ford transit  , Transit tipper</t>
        </is>
      </c>
      <c r="G3844" t="inlineStr">
        <is>
          <t>Patrick</t>
        </is>
      </c>
      <c r="H3844" t="inlineStr">
        <is>
          <t>Tipper</t>
        </is>
      </c>
      <c r="I3844" t="inlineStr">
        <is>
          <t>Daily/ Weekly Vehicle Inspection</t>
        </is>
      </c>
      <c r="J3844" t="inlineStr">
        <is>
          <t>N/A</t>
        </is>
      </c>
      <c r="K3844" t="inlineStr">
        <is>
          <t>7800 MAC Tree Surgery and Fencing Ltd</t>
        </is>
      </c>
      <c r="L3844" t="inlineStr">
        <is>
          <t>01/04/2026 08:52</t>
        </is>
      </c>
      <c r="M3844" t="inlineStr">
        <is>
          <t>None</t>
        </is>
      </c>
      <c r="N3844" t="inlineStr">
        <is>
          <t>&lt;p&gt;&lt;/p&gt;</t>
        </is>
      </c>
      <c r="O3844" t="inlineStr"/>
      <c r="P3844" t="inlineStr">
        <is>
          <t>FG16LNT , Tipper , Ford transit  , Transit tipper</t>
        </is>
      </c>
      <c r="Q3844" t="inlineStr">
        <is>
          <t>UKPN</t>
        </is>
      </c>
      <c r="R3844" t="b">
        <v>0</v>
      </c>
    </row>
    <row r="3845">
      <c r="A3845" t="inlineStr">
        <is>
          <t>1 Apr 2026 / Harry Bellis</t>
        </is>
      </c>
      <c r="B3845" t="inlineStr">
        <is>
          <t>Infrastructure &amp; Utilities</t>
        </is>
      </c>
      <c r="C3845" t="inlineStr">
        <is>
          <t>SSE</t>
        </is>
      </c>
      <c r="D3845" t="inlineStr">
        <is>
          <t>EO73KUG , Car - Electric , Kia , Niro</t>
        </is>
      </c>
      <c r="E3845" t="inlineStr">
        <is>
          <t>EO73KUG , Car - Electric , Kia , Niro</t>
        </is>
      </c>
      <c r="F3845" t="inlineStr">
        <is>
          <t>EO73KUG , Car - Electric , Kia , Niro</t>
        </is>
      </c>
      <c r="G3845" t="inlineStr">
        <is>
          <t>Harry Bellis</t>
        </is>
      </c>
      <c r="H3845" t="inlineStr">
        <is>
          <t>Car - Electric (GC Owned)</t>
        </is>
      </c>
      <c r="I3845" t="inlineStr">
        <is>
          <t>Daily/ Weekly Vehicle Inspection</t>
        </is>
      </c>
      <c r="J3845" t="inlineStr">
        <is>
          <t>N/A</t>
        </is>
      </c>
      <c r="K3845" t="inlineStr">
        <is>
          <t>Harry Bellis</t>
        </is>
      </c>
      <c r="L3845" t="inlineStr">
        <is>
          <t>01/04/2026 08:53</t>
        </is>
      </c>
      <c r="M3845" t="inlineStr">
        <is>
          <t>None</t>
        </is>
      </c>
      <c r="N3845" t="inlineStr">
        <is>
          <t>&lt;p&gt;&lt;/p&gt;</t>
        </is>
      </c>
      <c r="O3845" t="inlineStr"/>
      <c r="P3845" t="inlineStr">
        <is>
          <t>EO73KUG , Car - Electric , Kia , Niro</t>
        </is>
      </c>
      <c r="Q3845" t="inlineStr">
        <is>
          <t>SSE</t>
        </is>
      </c>
      <c r="R3845" t="b">
        <v>0</v>
      </c>
    </row>
    <row r="3846">
      <c r="A3846" t="inlineStr">
        <is>
          <t>1 Apr 2026 / 7186 Eastwoodbury Tree Services Ltd</t>
        </is>
      </c>
      <c r="B3846" t="inlineStr">
        <is>
          <t>Infrastructure &amp; Utilities</t>
        </is>
      </c>
      <c r="C3846" t="inlineStr">
        <is>
          <t>UKPN</t>
        </is>
      </c>
      <c r="D3846" t="inlineStr">
        <is>
          <t>WF13 EKT , 4x4 , Land rover  , Defender</t>
        </is>
      </c>
      <c r="E3846" t="inlineStr">
        <is>
          <t>WF13 EKT , 4x4 , Land rover  , Defender</t>
        </is>
      </c>
      <c r="F3846" t="inlineStr">
        <is>
          <t>WF13 EKT , 4x4 , Land rover  , Defender</t>
        </is>
      </c>
      <c r="G3846" t="inlineStr">
        <is>
          <t xml:space="preserve">Dan Gilbert </t>
        </is>
      </c>
      <c r="H3846" t="inlineStr">
        <is>
          <t>4x4</t>
        </is>
      </c>
      <c r="I3846" t="inlineStr">
        <is>
          <t>Daily/ Weekly Vehicle Inspection</t>
        </is>
      </c>
      <c r="J3846" t="inlineStr">
        <is>
          <t>N/A</t>
        </is>
      </c>
      <c r="K3846" t="inlineStr">
        <is>
          <t>7186 Eastwoodbury Tree Services Ltd</t>
        </is>
      </c>
      <c r="L3846" t="inlineStr">
        <is>
          <t>01/04/2026 09:48</t>
        </is>
      </c>
      <c r="M3846" t="inlineStr">
        <is>
          <t>None</t>
        </is>
      </c>
      <c r="N3846" t="inlineStr">
        <is>
          <t>&lt;p&gt;&lt;/p&gt;</t>
        </is>
      </c>
      <c r="O3846" t="inlineStr"/>
      <c r="P3846" t="inlineStr">
        <is>
          <t>WF13 EKT , 4x4 , Land rover  , Defender</t>
        </is>
      </c>
      <c r="Q3846" t="inlineStr">
        <is>
          <t>UKPN</t>
        </is>
      </c>
      <c r="R3846" t="b">
        <v>0</v>
      </c>
    </row>
    <row r="3847">
      <c r="A3847" t="inlineStr">
        <is>
          <t>1 Apr 2026 / 7186 Eastwoodbury Tree Services Ltd</t>
        </is>
      </c>
      <c r="B3847" t="inlineStr">
        <is>
          <t>Infrastructure &amp; Utilities</t>
        </is>
      </c>
      <c r="C3847" t="inlineStr">
        <is>
          <t>UKPN</t>
        </is>
      </c>
      <c r="D3847" t="inlineStr">
        <is>
          <t>FX14 XCV , 4x4 , Land Rover  , Defender</t>
        </is>
      </c>
      <c r="E3847" t="inlineStr">
        <is>
          <t>FX14 XCV , 4x4 , Land Rover  , Defender</t>
        </is>
      </c>
      <c r="F3847" t="inlineStr">
        <is>
          <t>FX14 XCV , 4x4 , Land Rover  , Defender</t>
        </is>
      </c>
      <c r="G3847" t="inlineStr">
        <is>
          <t xml:space="preserve">Tom Price </t>
        </is>
      </c>
      <c r="H3847" t="inlineStr">
        <is>
          <t>4x4</t>
        </is>
      </c>
      <c r="I3847" t="inlineStr">
        <is>
          <t>Daily/ Weekly Vehicle Inspection</t>
        </is>
      </c>
      <c r="J3847" t="inlineStr">
        <is>
          <t>N/A</t>
        </is>
      </c>
      <c r="K3847" t="inlineStr">
        <is>
          <t>7186 Eastwoodbury Tree Services Ltd</t>
        </is>
      </c>
      <c r="L3847" t="inlineStr">
        <is>
          <t>01/04/2026 09:49</t>
        </is>
      </c>
      <c r="M3847" t="inlineStr">
        <is>
          <t>None</t>
        </is>
      </c>
      <c r="N3847" t="inlineStr">
        <is>
          <t>&lt;p&gt;&lt;/p&gt;</t>
        </is>
      </c>
      <c r="O3847" t="inlineStr"/>
      <c r="P3847" t="inlineStr">
        <is>
          <t>FX14 XCV , 4x4 , Land Rover  , Defender</t>
        </is>
      </c>
      <c r="Q3847" t="inlineStr">
        <is>
          <t>UKPN</t>
        </is>
      </c>
      <c r="R3847" t="b">
        <v>0</v>
      </c>
    </row>
    <row r="3848">
      <c r="A3848" t="inlineStr">
        <is>
          <t>1 Apr 2026 / 7951 Austin Tree Care LTD</t>
        </is>
      </c>
      <c r="B3848" t="inlineStr">
        <is>
          <t>Infrastructure &amp; Utilities</t>
        </is>
      </c>
      <c r="C3848" t="inlineStr">
        <is>
          <t>UKPN</t>
        </is>
      </c>
      <c r="D3848" t="inlineStr">
        <is>
          <t>WG64HTT , 4x4 , Land Rover , Defender 110</t>
        </is>
      </c>
      <c r="E3848" t="inlineStr">
        <is>
          <t>WG64HTT , 4x4 , Land Rover , Defender 110</t>
        </is>
      </c>
      <c r="F3848" t="inlineStr">
        <is>
          <t>WG64HTT , 4x4 , Land Rover , Defender 110</t>
        </is>
      </c>
      <c r="G3848" t="inlineStr">
        <is>
          <t xml:space="preserve">Jack Austin </t>
        </is>
      </c>
      <c r="H3848" t="inlineStr">
        <is>
          <t>4x4</t>
        </is>
      </c>
      <c r="I3848" t="inlineStr">
        <is>
          <t>Daily/ Weekly Vehicle Inspection</t>
        </is>
      </c>
      <c r="J3848" t="inlineStr">
        <is>
          <t>N/A</t>
        </is>
      </c>
      <c r="K3848" t="inlineStr">
        <is>
          <t>7951 Austin Tree Care LTD</t>
        </is>
      </c>
      <c r="L3848" t="inlineStr">
        <is>
          <t>01/04/2026 10:47</t>
        </is>
      </c>
      <c r="M3848" t="inlineStr">
        <is>
          <t>None</t>
        </is>
      </c>
      <c r="N3848" t="inlineStr">
        <is>
          <t>&lt;p&gt;&lt;/p&gt;</t>
        </is>
      </c>
      <c r="O3848" t="inlineStr"/>
      <c r="P3848" t="inlineStr">
        <is>
          <t>WG64HTT , 4x4 , Land Rover , Defender 110</t>
        </is>
      </c>
      <c r="Q3848" t="inlineStr">
        <is>
          <t>UKPN</t>
        </is>
      </c>
      <c r="R3848" t="b">
        <v>0</v>
      </c>
    </row>
    <row r="3849">
      <c r="A3849" t="inlineStr">
        <is>
          <t>31 Mar 2026 / Oliver Coyle</t>
        </is>
      </c>
      <c r="B3849" t="inlineStr">
        <is>
          <t>Infrastructure &amp; Utilities</t>
        </is>
      </c>
      <c r="C3849" t="inlineStr">
        <is>
          <t>NGED</t>
        </is>
      </c>
      <c r="D3849" t="inlineStr">
        <is>
          <t>BT72WYC , N/A , Isuzu , D-Max</t>
        </is>
      </c>
      <c r="E3849" t="inlineStr">
        <is>
          <t>BT72WYC , N/A , Isuzu , D-Max</t>
        </is>
      </c>
      <c r="F3849" t="inlineStr">
        <is>
          <t>BT72WYC , N/A , Isuzu , D-Max</t>
        </is>
      </c>
      <c r="G3849" t="inlineStr">
        <is>
          <t>Oliver Coyle</t>
        </is>
      </c>
      <c r="H3849" t="inlineStr">
        <is>
          <t>4x4</t>
        </is>
      </c>
      <c r="I3849" t="inlineStr">
        <is>
          <t>Daily/ Weekly Vehicle Inspection</t>
        </is>
      </c>
      <c r="J3849" t="inlineStr">
        <is>
          <t>N/A</t>
        </is>
      </c>
      <c r="K3849" t="inlineStr">
        <is>
          <t>Oliver Coyle</t>
        </is>
      </c>
      <c r="L3849" t="inlineStr">
        <is>
          <t>01/04/2026 11:47</t>
        </is>
      </c>
      <c r="M3849" t="inlineStr">
        <is>
          <t>None</t>
        </is>
      </c>
      <c r="N3849" t="inlineStr">
        <is>
          <t>&lt;p&gt;&lt;/p&gt;</t>
        </is>
      </c>
      <c r="O3849" t="inlineStr">
        <is>
          <t>Confirm that you have checked this vehicle as per the guidance document and the vehicle is safe and roadworthy:Drivers side brake light out, will get it fixed
-</t>
        </is>
      </c>
      <c r="P3849" t="inlineStr">
        <is>
          <t>BT72WYC , N/A , Isuzu , D-Max</t>
        </is>
      </c>
      <c r="Q3849" t="inlineStr">
        <is>
          <t>NGED</t>
        </is>
      </c>
      <c r="R3849" t="b">
        <v>0</v>
      </c>
    </row>
    <row r="3850">
      <c r="A3850" t="inlineStr">
        <is>
          <t>1 Apr 2026 / Sam Norman</t>
        </is>
      </c>
      <c r="B3850" t="inlineStr">
        <is>
          <t>Infrastructure &amp; Utilities</t>
        </is>
      </c>
      <c r="C3850" t="inlineStr">
        <is>
          <t>NGED</t>
        </is>
      </c>
      <c r="D3850" t="inlineStr">
        <is>
          <t>BT72WYC , N/A , Isuzu , D-Max</t>
        </is>
      </c>
      <c r="E3850" t="inlineStr">
        <is>
          <t>BT72WYC , N/A , Isuzu , D-Max</t>
        </is>
      </c>
      <c r="F3850" t="inlineStr">
        <is>
          <t>BT72WYC , N/A , Isuzu , D-Max</t>
        </is>
      </c>
      <c r="G3850" t="inlineStr">
        <is>
          <t>Sam norman</t>
        </is>
      </c>
      <c r="H3850" t="inlineStr">
        <is>
          <t>4x4</t>
        </is>
      </c>
      <c r="I3850" t="inlineStr">
        <is>
          <t>Daily/ Weekly Vehicle Inspection</t>
        </is>
      </c>
      <c r="J3850" t="inlineStr">
        <is>
          <t>N/A</t>
        </is>
      </c>
      <c r="K3850" t="inlineStr">
        <is>
          <t>Sam Norman</t>
        </is>
      </c>
      <c r="L3850" t="inlineStr">
        <is>
          <t>01/04/2026 11:51</t>
        </is>
      </c>
      <c r="M3850" t="inlineStr">
        <is>
          <t xml:space="preserve">Confirm that you have checked this vehicle as per the guidance document and the vehicle is safe and roadworthy: Fail
Is this vehicle safe to drive &amp; road legal: Fail
</t>
        </is>
      </c>
      <c r="N3850" t="inlineStr">
        <is>
          <t>&lt;p&gt;&lt;/p&gt;</t>
        </is>
      </c>
      <c r="O3850" t="inlineStr"/>
      <c r="P3850" t="inlineStr">
        <is>
          <t>BT72WYC , N/A , Isuzu , D-Max</t>
        </is>
      </c>
      <c r="Q3850" t="inlineStr">
        <is>
          <t>NGED</t>
        </is>
      </c>
      <c r="R3850" t="b">
        <v>0</v>
      </c>
    </row>
    <row r="3851">
      <c r="A3851" t="inlineStr">
        <is>
          <t>1 Apr 2026 / Sam Norman</t>
        </is>
      </c>
      <c r="B3851" t="inlineStr">
        <is>
          <t>Infrastructure &amp; Utilities</t>
        </is>
      </c>
      <c r="C3851" t="inlineStr">
        <is>
          <t>NGED</t>
        </is>
      </c>
      <c r="D3851" t="inlineStr">
        <is>
          <t>BT72WYC , N/A , Isuzu , D-Max</t>
        </is>
      </c>
      <c r="E3851" t="inlineStr">
        <is>
          <t>BT72WYC , N/A , Isuzu , D-Max</t>
        </is>
      </c>
      <c r="F3851" t="inlineStr">
        <is>
          <t>BT72WYC , N/A , Isuzu , D-Max</t>
        </is>
      </c>
      <c r="G3851" t="inlineStr">
        <is>
          <t>Sam norman</t>
        </is>
      </c>
      <c r="H3851" t="inlineStr">
        <is>
          <t>4x4</t>
        </is>
      </c>
      <c r="I3851" t="inlineStr">
        <is>
          <t>Daily/ Weekly Vehicle Inspection</t>
        </is>
      </c>
      <c r="J3851" t="inlineStr">
        <is>
          <t>N/A</t>
        </is>
      </c>
      <c r="K3851" t="inlineStr">
        <is>
          <t>Sam Norman</t>
        </is>
      </c>
      <c r="L3851" t="inlineStr">
        <is>
          <t>01/04/2026 12:57</t>
        </is>
      </c>
      <c r="M3851" t="inlineStr">
        <is>
          <t xml:space="preserve">Is this vehicle safe to drive &amp; road legal: Fail
</t>
        </is>
      </c>
      <c r="N3851" t="inlineStr">
        <is>
          <t>&lt;p&gt;&lt;/p&gt;</t>
        </is>
      </c>
      <c r="O3851" t="inlineStr"/>
      <c r="P3851" t="inlineStr">
        <is>
          <t>BT72WYC , N/A , Isuzu , D-Max</t>
        </is>
      </c>
      <c r="Q3851" t="inlineStr">
        <is>
          <t>NGED</t>
        </is>
      </c>
      <c r="R3851" t="b">
        <v>0</v>
      </c>
    </row>
    <row r="3852">
      <c r="A3852" t="inlineStr">
        <is>
          <t>1 Apr 2026 / 7996 M G Tree Surgery Ltd 1</t>
        </is>
      </c>
      <c r="B3852" t="inlineStr">
        <is>
          <t>Infrastructure &amp; Utilities</t>
        </is>
      </c>
      <c r="C3852" t="inlineStr">
        <is>
          <t>UKPN</t>
        </is>
      </c>
      <c r="D3852" t="inlineStr"/>
      <c r="E3852" t="inlineStr"/>
      <c r="F3852" t="inlineStr"/>
      <c r="G3852" t="inlineStr">
        <is>
          <t>Anthony Gale</t>
        </is>
      </c>
      <c r="H3852" t="inlineStr">
        <is>
          <t>Towed Chipper</t>
        </is>
      </c>
      <c r="I3852" t="inlineStr">
        <is>
          <t>Daily/ Weekly Vehicle Inspection</t>
        </is>
      </c>
      <c r="J3852" t="inlineStr">
        <is>
          <t>N/A</t>
        </is>
      </c>
      <c r="K3852" t="inlineStr">
        <is>
          <t>7996 M G Tree Surgery Ltd 1</t>
        </is>
      </c>
      <c r="L3852" t="inlineStr">
        <is>
          <t>01/04/2026 15:47</t>
        </is>
      </c>
      <c r="M3852" t="inlineStr">
        <is>
          <t>None</t>
        </is>
      </c>
      <c r="N3852" t="inlineStr">
        <is>
          <t>&lt;p&gt;&lt;/p&gt;</t>
        </is>
      </c>
      <c r="O3852" t="inlineStr"/>
      <c r="P3852" t="inlineStr"/>
      <c r="Q3852" t="inlineStr">
        <is>
          <t>UKPN</t>
        </is>
      </c>
      <c r="R3852" t="b">
        <v>0</v>
      </c>
    </row>
    <row r="3853">
      <c r="A3853" t="inlineStr">
        <is>
          <t>1 Apr 2026 / 7996 M G Tree Surgery Ltd 1</t>
        </is>
      </c>
      <c r="B3853" t="inlineStr">
        <is>
          <t>Infrastructure &amp; Utilities</t>
        </is>
      </c>
      <c r="C3853" t="inlineStr">
        <is>
          <t>UKPN</t>
        </is>
      </c>
      <c r="D3853" t="inlineStr">
        <is>
          <t>KX20 BCE , Tipper , Isuzu , D-Max</t>
        </is>
      </c>
      <c r="E3853" t="inlineStr">
        <is>
          <t>KX20 BCE , Tipper , Isuzu , D-Max</t>
        </is>
      </c>
      <c r="F3853" t="inlineStr">
        <is>
          <t>KX20 BCE , Tipper , Isuzu , D-Max</t>
        </is>
      </c>
      <c r="G3853" t="inlineStr">
        <is>
          <t>Anthony Gale</t>
        </is>
      </c>
      <c r="H3853" t="inlineStr">
        <is>
          <t>Pickup Truck</t>
        </is>
      </c>
      <c r="I3853" t="inlineStr">
        <is>
          <t>Daily/ Weekly Vehicle Inspection</t>
        </is>
      </c>
      <c r="J3853" t="inlineStr">
        <is>
          <t>N/A</t>
        </is>
      </c>
      <c r="K3853" t="inlineStr">
        <is>
          <t>7996 M G Tree Surgery Ltd 1</t>
        </is>
      </c>
      <c r="L3853" t="inlineStr">
        <is>
          <t>01/04/2026 15:47</t>
        </is>
      </c>
      <c r="M3853" t="inlineStr">
        <is>
          <t>None</t>
        </is>
      </c>
      <c r="N3853" t="inlineStr">
        <is>
          <t>&lt;p&gt;&lt;/p&gt;</t>
        </is>
      </c>
      <c r="O3853" t="inlineStr"/>
      <c r="P3853" t="inlineStr">
        <is>
          <t>KX20 BCE , Tipper , Isuzu , D-Max</t>
        </is>
      </c>
      <c r="Q3853" t="inlineStr">
        <is>
          <t>UKPN</t>
        </is>
      </c>
      <c r="R3853" t="b">
        <v>0</v>
      </c>
    </row>
    <row r="3854">
      <c r="A3854" t="inlineStr">
        <is>
          <t>2 Apr 2026 / 6617 Ashdown Tree Limited 1</t>
        </is>
      </c>
      <c r="B3854" t="inlineStr">
        <is>
          <t>Infrastructure &amp; Utilities</t>
        </is>
      </c>
      <c r="C3854" t="inlineStr">
        <is>
          <t>UKPN</t>
        </is>
      </c>
      <c r="D3854" t="inlineStr">
        <is>
          <t>TR55TUB , 4x4 , Land rover  , Defender mewp</t>
        </is>
      </c>
      <c r="E3854" t="inlineStr">
        <is>
          <t>TR55TUB , 4x4 , Land rover  , Defender mewp</t>
        </is>
      </c>
      <c r="F3854" t="inlineStr">
        <is>
          <t>TR55TUB , 4x4 , Land rover  , Defender mewp</t>
        </is>
      </c>
      <c r="G3854" t="inlineStr">
        <is>
          <t>Jamie</t>
        </is>
      </c>
      <c r="H3854" t="inlineStr">
        <is>
          <t>4x4</t>
        </is>
      </c>
      <c r="I3854" t="inlineStr">
        <is>
          <t>Daily/ Weekly Vehicle Inspection</t>
        </is>
      </c>
      <c r="J3854" t="inlineStr">
        <is>
          <t>N/A</t>
        </is>
      </c>
      <c r="K3854" t="inlineStr">
        <is>
          <t>6617 Ashdown Tree Limited - Team 2</t>
        </is>
      </c>
      <c r="L3854" t="inlineStr">
        <is>
          <t>02/04/2026 06:47</t>
        </is>
      </c>
      <c r="M3854" t="inlineStr">
        <is>
          <t>None</t>
        </is>
      </c>
      <c r="N3854" t="inlineStr">
        <is>
          <t>&lt;p&gt;&lt;/p&gt;</t>
        </is>
      </c>
      <c r="O3854" t="inlineStr"/>
      <c r="P3854" t="inlineStr">
        <is>
          <t>TR55TUB , 4x4 , Land rover  , Defender mewp</t>
        </is>
      </c>
      <c r="Q3854" t="inlineStr">
        <is>
          <t>UKPN</t>
        </is>
      </c>
      <c r="R3854" t="b">
        <v>0</v>
      </c>
    </row>
    <row r="3855">
      <c r="A3855" t="inlineStr">
        <is>
          <t>2 Apr 2026 / 8148 Hope Ground and Tree Care</t>
        </is>
      </c>
      <c r="B3855" t="inlineStr">
        <is>
          <t>Infrastructure &amp; Utilities</t>
        </is>
      </c>
      <c r="C3855" t="inlineStr">
        <is>
          <t>UKPN</t>
        </is>
      </c>
      <c r="D3855" t="inlineStr">
        <is>
          <t>S6 NWX , MEWP , Isuzu , D-Max</t>
        </is>
      </c>
      <c r="E3855" t="inlineStr">
        <is>
          <t>S6 NWX , MEWP , Isuzu , D-Max</t>
        </is>
      </c>
      <c r="F3855" t="inlineStr">
        <is>
          <t>S6 NWX , MEWP , Isuzu , D-Max</t>
        </is>
      </c>
      <c r="G3855" t="inlineStr">
        <is>
          <t>A Hope</t>
        </is>
      </c>
      <c r="H3855" t="inlineStr">
        <is>
          <t>4x4</t>
        </is>
      </c>
      <c r="I3855" t="inlineStr">
        <is>
          <t>Daily/ Weekly Vehicle Inspection</t>
        </is>
      </c>
      <c r="J3855" t="inlineStr">
        <is>
          <t>N/A</t>
        </is>
      </c>
      <c r="K3855" t="inlineStr">
        <is>
          <t>8148 Hope Ground and Tree Care</t>
        </is>
      </c>
      <c r="L3855" t="inlineStr">
        <is>
          <t>02/04/2026 07:47</t>
        </is>
      </c>
      <c r="M3855" t="inlineStr">
        <is>
          <t>None</t>
        </is>
      </c>
      <c r="N3855" t="inlineStr">
        <is>
          <t>&lt;p&gt;&lt;/p&gt;</t>
        </is>
      </c>
      <c r="O3855" t="inlineStr"/>
      <c r="P3855" t="inlineStr">
        <is>
          <t>S6 NWX , MEWP , Isuzu , D-Max</t>
        </is>
      </c>
      <c r="Q3855" t="inlineStr">
        <is>
          <t>UKPN</t>
        </is>
      </c>
      <c r="R3855" t="b">
        <v>0</v>
      </c>
    </row>
    <row r="3856">
      <c r="A3856" t="inlineStr">
        <is>
          <t>2 Apr 2026 / 7186 Eastwoodbury Tree Services Ltd</t>
        </is>
      </c>
      <c r="B3856" t="inlineStr">
        <is>
          <t>Infrastructure &amp; Utilities</t>
        </is>
      </c>
      <c r="C3856" t="inlineStr">
        <is>
          <t>UKPN</t>
        </is>
      </c>
      <c r="D3856" t="inlineStr">
        <is>
          <t>DE53NKS , 4x4 , Ford , Ranger</t>
        </is>
      </c>
      <c r="E3856" t="inlineStr">
        <is>
          <t>DE53NKS , 4x4 , Ford , Ranger</t>
        </is>
      </c>
      <c r="F3856" t="inlineStr">
        <is>
          <t>DE53NKS , 4x4 , Ford , Ranger</t>
        </is>
      </c>
      <c r="G3856" t="inlineStr">
        <is>
          <t xml:space="preserve">Jay Denkmayer </t>
        </is>
      </c>
      <c r="H3856" t="inlineStr">
        <is>
          <t>4x4</t>
        </is>
      </c>
      <c r="I3856" t="inlineStr">
        <is>
          <t>Daily/ Weekly Vehicle Inspection</t>
        </is>
      </c>
      <c r="J3856" t="inlineStr">
        <is>
          <t>N/A</t>
        </is>
      </c>
      <c r="K3856" t="inlineStr">
        <is>
          <t>7186 Eastwoodbury Tree Services Ltd</t>
        </is>
      </c>
      <c r="L3856" t="inlineStr">
        <is>
          <t>02/04/2026 07:48</t>
        </is>
      </c>
      <c r="M3856" t="inlineStr">
        <is>
          <t>None</t>
        </is>
      </c>
      <c r="N3856" t="inlineStr">
        <is>
          <t>&lt;p&gt;&lt;/p&gt;</t>
        </is>
      </c>
      <c r="O3856" t="inlineStr"/>
      <c r="P3856" t="inlineStr">
        <is>
          <t>DE53NKS , 4x4 , Ford , Ranger</t>
        </is>
      </c>
      <c r="Q3856" t="inlineStr">
        <is>
          <t>UKPN</t>
        </is>
      </c>
      <c r="R3856" t="b">
        <v>0</v>
      </c>
    </row>
    <row r="3857">
      <c r="A3857" t="inlineStr">
        <is>
          <t>2 Apr 2026 / 7186 Eastwoodbury Tree Services Ltd</t>
        </is>
      </c>
      <c r="B3857" t="inlineStr">
        <is>
          <t>Infrastructure &amp; Utilities</t>
        </is>
      </c>
      <c r="C3857" t="inlineStr">
        <is>
          <t>UKPN</t>
        </is>
      </c>
      <c r="D3857" t="inlineStr">
        <is>
          <t>FX14 XCV , 4x4 , Land Rover  , Defender</t>
        </is>
      </c>
      <c r="E3857" t="inlineStr">
        <is>
          <t>FX14 XCV , 4x4 , Land Rover  , Defender</t>
        </is>
      </c>
      <c r="F3857" t="inlineStr">
        <is>
          <t>FX14 XCV , 4x4 , Land Rover  , Defender</t>
        </is>
      </c>
      <c r="G3857" t="inlineStr">
        <is>
          <t xml:space="preserve">Tom Price </t>
        </is>
      </c>
      <c r="H3857" t="inlineStr">
        <is>
          <t>4x4</t>
        </is>
      </c>
      <c r="I3857" t="inlineStr">
        <is>
          <t>Daily/ Weekly Vehicle Inspection</t>
        </is>
      </c>
      <c r="J3857" t="inlineStr">
        <is>
          <t>N/A</t>
        </is>
      </c>
      <c r="K3857" t="inlineStr">
        <is>
          <t>7186 Eastwoodbury Tree Services Ltd</t>
        </is>
      </c>
      <c r="L3857" t="inlineStr">
        <is>
          <t>02/04/2026 07:49</t>
        </is>
      </c>
      <c r="M3857" t="inlineStr">
        <is>
          <t>None</t>
        </is>
      </c>
      <c r="N3857" t="inlineStr">
        <is>
          <t>&lt;p&gt;&lt;/p&gt;</t>
        </is>
      </c>
      <c r="O3857" t="inlineStr">
        <is>
          <t>Confirm that you have checked this vehicle as per the guidance document and the vehicle is safe and roadworthy:The tow bar is bent due to the crash is waiting to be repaired but is not used in the interim
-</t>
        </is>
      </c>
      <c r="P3857" t="inlineStr">
        <is>
          <t>FX14 XCV , 4x4 , Land Rover  , Defender</t>
        </is>
      </c>
      <c r="Q3857" t="inlineStr">
        <is>
          <t>UKPN</t>
        </is>
      </c>
      <c r="R3857" t="b">
        <v>0</v>
      </c>
    </row>
    <row r="3858">
      <c r="A3858" t="inlineStr">
        <is>
          <t>2 Apr 2026 / 7186 Eastwoodbury Tree Services Ltd</t>
        </is>
      </c>
      <c r="B3858" t="inlineStr">
        <is>
          <t>Infrastructure &amp; Utilities</t>
        </is>
      </c>
      <c r="C3858" t="inlineStr">
        <is>
          <t>UKPN</t>
        </is>
      </c>
      <c r="D3858" t="inlineStr">
        <is>
          <t>WF13 EKT , 4x4 , Land rover  , Defender</t>
        </is>
      </c>
      <c r="E3858" t="inlineStr">
        <is>
          <t>WF13 EKT , 4x4 , Land rover  , Defender</t>
        </is>
      </c>
      <c r="F3858" t="inlineStr">
        <is>
          <t>WF13 EKT , 4x4 , Land rover  , Defender</t>
        </is>
      </c>
      <c r="G3858" t="inlineStr">
        <is>
          <t xml:space="preserve">Dan Gilbert </t>
        </is>
      </c>
      <c r="H3858" t="inlineStr">
        <is>
          <t>4x4</t>
        </is>
      </c>
      <c r="I3858" t="inlineStr">
        <is>
          <t>Daily/ Weekly Vehicle Inspection</t>
        </is>
      </c>
      <c r="J3858" t="inlineStr">
        <is>
          <t>N/A</t>
        </is>
      </c>
      <c r="K3858" t="inlineStr">
        <is>
          <t>7186 Eastwoodbury Tree Services Ltd</t>
        </is>
      </c>
      <c r="L3858" t="inlineStr">
        <is>
          <t>02/04/2026 07:50</t>
        </is>
      </c>
      <c r="M3858" t="inlineStr">
        <is>
          <t>None</t>
        </is>
      </c>
      <c r="N3858" t="inlineStr">
        <is>
          <t>&lt;p&gt;&lt;/p&gt;</t>
        </is>
      </c>
      <c r="O3858" t="inlineStr"/>
      <c r="P3858" t="inlineStr">
        <is>
          <t>WF13 EKT , 4x4 , Land rover  , Defender</t>
        </is>
      </c>
      <c r="Q3858" t="inlineStr">
        <is>
          <t>UKPN</t>
        </is>
      </c>
      <c r="R3858" t="b">
        <v>0</v>
      </c>
    </row>
    <row r="3859">
      <c r="A3859" t="inlineStr">
        <is>
          <t>2 Apr 2026 / Benet Jones</t>
        </is>
      </c>
      <c r="B3859" t="inlineStr">
        <is>
          <t>Infrastructure &amp; Utilities</t>
        </is>
      </c>
      <c r="C3859" t="inlineStr">
        <is>
          <t>NGED</t>
        </is>
      </c>
      <c r="D3859" t="inlineStr">
        <is>
          <t>GF71TXC , Car - Electric , Tesla , Model 3 Long Range AWD</t>
        </is>
      </c>
      <c r="E3859" t="inlineStr">
        <is>
          <t>GF71TXC , Car - Electric , Tesla , Model 3 Long Range AWD</t>
        </is>
      </c>
      <c r="F3859" t="inlineStr">
        <is>
          <t>GF71TXC , Car - Electric , Tesla , Model 3 Long Range AWD</t>
        </is>
      </c>
      <c r="G3859" t="inlineStr">
        <is>
          <t xml:space="preserve">Benet Jones </t>
        </is>
      </c>
      <c r="H3859" t="inlineStr">
        <is>
          <t>Car - Electric (GC Owned)</t>
        </is>
      </c>
      <c r="I3859" t="inlineStr">
        <is>
          <t>Daily/ Weekly Vehicle Inspection</t>
        </is>
      </c>
      <c r="J3859" t="inlineStr">
        <is>
          <t>N/A</t>
        </is>
      </c>
      <c r="K3859" t="inlineStr">
        <is>
          <t>Benet Jones</t>
        </is>
      </c>
      <c r="L3859" t="inlineStr">
        <is>
          <t>02/04/2026 07:53</t>
        </is>
      </c>
      <c r="M3859" t="inlineStr">
        <is>
          <t>None</t>
        </is>
      </c>
      <c r="N3859" t="inlineStr">
        <is>
          <t>&lt;p&gt;&lt;/p&gt;</t>
        </is>
      </c>
      <c r="O3859" t="inlineStr">
        <is>
          <t>Confirm that you have checked this vehicle as per the guidance document and the vehicle is safe and roadworthy:Car checked and fully serviceable
-</t>
        </is>
      </c>
      <c r="P3859" t="inlineStr">
        <is>
          <t>GF71TXC , Car - Electric , Tesla , Model 3 Long Range AWD</t>
        </is>
      </c>
      <c r="Q3859" t="inlineStr">
        <is>
          <t>NGED</t>
        </is>
      </c>
      <c r="R3859" t="b">
        <v>0</v>
      </c>
    </row>
    <row r="3860">
      <c r="A3860" t="inlineStr">
        <is>
          <t>2 Apr 2026 / 7996 M G Tree Surgery Ltd 1</t>
        </is>
      </c>
      <c r="B3860" t="inlineStr">
        <is>
          <t>Infrastructure &amp; Utilities</t>
        </is>
      </c>
      <c r="C3860" t="inlineStr">
        <is>
          <t>UKPN</t>
        </is>
      </c>
      <c r="D3860" t="inlineStr"/>
      <c r="E3860" t="inlineStr"/>
      <c r="F3860" t="inlineStr"/>
      <c r="G3860" t="inlineStr">
        <is>
          <t>Anthony Gale</t>
        </is>
      </c>
      <c r="H3860" t="inlineStr">
        <is>
          <t>Towed Chipper</t>
        </is>
      </c>
      <c r="I3860" t="inlineStr">
        <is>
          <t>Daily/ Weekly Vehicle Inspection</t>
        </is>
      </c>
      <c r="J3860" t="inlineStr">
        <is>
          <t>N/A</t>
        </is>
      </c>
      <c r="K3860" t="inlineStr">
        <is>
          <t>7996 M G Tree Surgery Ltd 1</t>
        </is>
      </c>
      <c r="L3860" t="inlineStr">
        <is>
          <t>02/04/2026 07:56</t>
        </is>
      </c>
      <c r="M3860" t="inlineStr">
        <is>
          <t>None</t>
        </is>
      </c>
      <c r="N3860" t="inlineStr">
        <is>
          <t>&lt;p&gt;&lt;/p&gt;</t>
        </is>
      </c>
      <c r="O3860" t="inlineStr"/>
      <c r="P3860" t="inlineStr"/>
      <c r="Q3860" t="inlineStr">
        <is>
          <t>UKPN</t>
        </is>
      </c>
      <c r="R3860" t="b">
        <v>0</v>
      </c>
    </row>
    <row r="3861">
      <c r="A3861" t="inlineStr">
        <is>
          <t>2 Apr 2026 / 7996 M G Tree Surgery Ltd 1</t>
        </is>
      </c>
      <c r="B3861" t="inlineStr">
        <is>
          <t>Infrastructure &amp; Utilities</t>
        </is>
      </c>
      <c r="C3861" t="inlineStr">
        <is>
          <t>UKPN</t>
        </is>
      </c>
      <c r="D3861" t="inlineStr">
        <is>
          <t>KX20 BCE , Tipper , Isuzu , D-Max</t>
        </is>
      </c>
      <c r="E3861" t="inlineStr">
        <is>
          <t>KX20 BCE , Tipper , Isuzu , D-Max</t>
        </is>
      </c>
      <c r="F3861" t="inlineStr">
        <is>
          <t>KX20 BCE , Tipper , Isuzu , D-Max</t>
        </is>
      </c>
      <c r="G3861" t="inlineStr">
        <is>
          <t>Anthony Gale</t>
        </is>
      </c>
      <c r="H3861" t="inlineStr">
        <is>
          <t>Pickup Truck</t>
        </is>
      </c>
      <c r="I3861" t="inlineStr">
        <is>
          <t>Daily/ Weekly Vehicle Inspection</t>
        </is>
      </c>
      <c r="J3861" t="inlineStr">
        <is>
          <t>N/A</t>
        </is>
      </c>
      <c r="K3861" t="inlineStr">
        <is>
          <t>7996 M G Tree Surgery Ltd 1</t>
        </is>
      </c>
      <c r="L3861" t="inlineStr">
        <is>
          <t>02/04/2026 07:59</t>
        </is>
      </c>
      <c r="M3861" t="inlineStr">
        <is>
          <t>None</t>
        </is>
      </c>
      <c r="N3861" t="inlineStr">
        <is>
          <t>&lt;p&gt;&lt;/p&gt;</t>
        </is>
      </c>
      <c r="O3861" t="inlineStr"/>
      <c r="P3861" t="inlineStr">
        <is>
          <t>KX20 BCE , Tipper , Isuzu , D-Max</t>
        </is>
      </c>
      <c r="Q3861" t="inlineStr">
        <is>
          <t>UKPN</t>
        </is>
      </c>
      <c r="R3861" t="b">
        <v>0</v>
      </c>
    </row>
    <row r="3862">
      <c r="A3862" t="inlineStr">
        <is>
          <t>2 Apr 2026 / 7995 Green Net Eco Ltd 2</t>
        </is>
      </c>
      <c r="B3862" t="inlineStr">
        <is>
          <t>Infrastructure &amp; Utilities</t>
        </is>
      </c>
      <c r="C3862" t="inlineStr">
        <is>
          <t>UKPN</t>
        </is>
      </c>
      <c r="D3862" t="inlineStr">
        <is>
          <t>SCK80000075030058 , Flat Bed Trailer , IFOR Williams , LM187G3</t>
        </is>
      </c>
      <c r="E3862" t="inlineStr">
        <is>
          <t>SCK80000075030058 , Flat Bed Trailer , IFOR Williams , LM187G3</t>
        </is>
      </c>
      <c r="F3862" t="inlineStr">
        <is>
          <t>SCK80000075030058 , Flat Bed Trailer , IFOR Williams , LM187G3</t>
        </is>
      </c>
      <c r="G3862" t="inlineStr">
        <is>
          <t>Thomas Playford</t>
        </is>
      </c>
      <c r="H3862" t="inlineStr">
        <is>
          <t>Flat Bed Trailer</t>
        </is>
      </c>
      <c r="I3862" t="inlineStr">
        <is>
          <t>Daily/ Weekly Vehicle Inspection</t>
        </is>
      </c>
      <c r="J3862" t="inlineStr">
        <is>
          <t>N/A</t>
        </is>
      </c>
      <c r="K3862" t="inlineStr">
        <is>
          <t>7995 Green Net Eco Ltd 2</t>
        </is>
      </c>
      <c r="L3862" t="inlineStr">
        <is>
          <t>02/04/2026 08:47</t>
        </is>
      </c>
      <c r="M3862" t="inlineStr">
        <is>
          <t>None</t>
        </is>
      </c>
      <c r="N3862" t="inlineStr">
        <is>
          <t>&lt;p&gt;&lt;/p&gt;</t>
        </is>
      </c>
      <c r="O3862" t="inlineStr"/>
      <c r="P3862" t="inlineStr">
        <is>
          <t>SCK80000075030058 , Flat Bed Trailer , IFOR Williams , LM187G3</t>
        </is>
      </c>
      <c r="Q3862" t="inlineStr">
        <is>
          <t>UKPN</t>
        </is>
      </c>
      <c r="R3862" t="b">
        <v>0</v>
      </c>
    </row>
    <row r="3863">
      <c r="A3863" t="inlineStr">
        <is>
          <t>2 Apr 2026 / 7995 Green Net Eco Ltd 2</t>
        </is>
      </c>
      <c r="B3863" t="inlineStr">
        <is>
          <t>Infrastructure &amp; Utilities</t>
        </is>
      </c>
      <c r="C3863" t="inlineStr">
        <is>
          <t>UKPN</t>
        </is>
      </c>
      <c r="D3863" t="inlineStr">
        <is>
          <t>LK15KRZ , 4x4 , Landrover , Defender</t>
        </is>
      </c>
      <c r="E3863" t="inlineStr">
        <is>
          <t>LK15KRZ , 4x4 , Landrover , Defender</t>
        </is>
      </c>
      <c r="F3863" t="inlineStr">
        <is>
          <t>LK15KRZ , 4x4 , Landrover , Defender</t>
        </is>
      </c>
      <c r="G3863" t="inlineStr">
        <is>
          <t>Thomas Playford</t>
        </is>
      </c>
      <c r="H3863" t="inlineStr">
        <is>
          <t>4x4</t>
        </is>
      </c>
      <c r="I3863" t="inlineStr">
        <is>
          <t>Daily/ Weekly Vehicle Inspection</t>
        </is>
      </c>
      <c r="J3863" t="inlineStr">
        <is>
          <t>N/A</t>
        </is>
      </c>
      <c r="K3863" t="inlineStr">
        <is>
          <t>7995 Green Net Eco Ltd 2</t>
        </is>
      </c>
      <c r="L3863" t="inlineStr">
        <is>
          <t>02/04/2026 08:47</t>
        </is>
      </c>
      <c r="M3863" t="inlineStr">
        <is>
          <t>None</t>
        </is>
      </c>
      <c r="N3863" t="inlineStr">
        <is>
          <t>&lt;p&gt;&lt;/p&gt;</t>
        </is>
      </c>
      <c r="O3863" t="inlineStr"/>
      <c r="P3863" t="inlineStr">
        <is>
          <t>LK15KRZ , 4x4 , Landrover , Defender</t>
        </is>
      </c>
      <c r="Q3863" t="inlineStr">
        <is>
          <t>UKPN</t>
        </is>
      </c>
      <c r="R3863" t="b">
        <v>0</v>
      </c>
    </row>
    <row r="3864">
      <c r="A3864" t="inlineStr">
        <is>
          <t>2 Apr 2026 / 7951 Austin Tree Care LTD</t>
        </is>
      </c>
      <c r="B3864" t="inlineStr">
        <is>
          <t>Infrastructure &amp; Utilities</t>
        </is>
      </c>
      <c r="C3864" t="inlineStr">
        <is>
          <t>UKPN</t>
        </is>
      </c>
      <c r="D3864" t="inlineStr">
        <is>
          <t>WG64HTT , 4x4 , Land Rover , Defender 110</t>
        </is>
      </c>
      <c r="E3864" t="inlineStr">
        <is>
          <t>WG64HTT , 4x4 , Land Rover , Defender 110</t>
        </is>
      </c>
      <c r="F3864" t="inlineStr">
        <is>
          <t>WG64HTT , 4x4 , Land Rover , Defender 110</t>
        </is>
      </c>
      <c r="G3864" t="inlineStr">
        <is>
          <t xml:space="preserve">Jack Austin </t>
        </is>
      </c>
      <c r="H3864" t="inlineStr">
        <is>
          <t>4x4</t>
        </is>
      </c>
      <c r="I3864" t="inlineStr">
        <is>
          <t>Daily/ Weekly Vehicle Inspection</t>
        </is>
      </c>
      <c r="J3864" t="inlineStr">
        <is>
          <t>N/A</t>
        </is>
      </c>
      <c r="K3864" t="inlineStr">
        <is>
          <t>7951 Austin Tree Care LTD</t>
        </is>
      </c>
      <c r="L3864" t="inlineStr">
        <is>
          <t>02/04/2026 08:48</t>
        </is>
      </c>
      <c r="M3864" t="inlineStr">
        <is>
          <t>None</t>
        </is>
      </c>
      <c r="N3864" t="inlineStr">
        <is>
          <t>&lt;p&gt;&lt;/p&gt;</t>
        </is>
      </c>
      <c r="O3864" t="inlineStr"/>
      <c r="P3864" t="inlineStr">
        <is>
          <t>WG64HTT , 4x4 , Land Rover , Defender 110</t>
        </is>
      </c>
      <c r="Q3864" t="inlineStr">
        <is>
          <t>UKPN</t>
        </is>
      </c>
      <c r="R3864" t="b">
        <v>0</v>
      </c>
    </row>
    <row r="3865">
      <c r="A3865" t="inlineStr">
        <is>
          <t>2 Apr 2026 / 7951 Austin Tree Care LTD</t>
        </is>
      </c>
      <c r="B3865" t="inlineStr">
        <is>
          <t>Infrastructure &amp; Utilities</t>
        </is>
      </c>
      <c r="C3865" t="inlineStr">
        <is>
          <t>UKPN</t>
        </is>
      </c>
      <c r="D3865" t="inlineStr">
        <is>
          <t>SA9ST6P0001283612 , Towed Chipper , Forst , ST6p</t>
        </is>
      </c>
      <c r="E3865" t="inlineStr">
        <is>
          <t>SA9ST6P0001283612 , Towed Chipper , Forst , ST6p</t>
        </is>
      </c>
      <c r="F3865" t="inlineStr">
        <is>
          <t>SA9ST6P0001283612 , Towed Chipper , Forst , ST6p</t>
        </is>
      </c>
      <c r="G3865" t="inlineStr">
        <is>
          <t xml:space="preserve">Jack Austin </t>
        </is>
      </c>
      <c r="H3865" t="inlineStr">
        <is>
          <t>Towed Chipper</t>
        </is>
      </c>
      <c r="I3865" t="inlineStr">
        <is>
          <t>Daily/ Weekly Vehicle Inspection</t>
        </is>
      </c>
      <c r="J3865" t="inlineStr">
        <is>
          <t>N/A</t>
        </is>
      </c>
      <c r="K3865" t="inlineStr">
        <is>
          <t>7951 Austin Tree Care LTD</t>
        </is>
      </c>
      <c r="L3865" t="inlineStr">
        <is>
          <t>02/04/2026 08:49</t>
        </is>
      </c>
      <c r="M3865" t="inlineStr">
        <is>
          <t>None</t>
        </is>
      </c>
      <c r="N3865" t="inlineStr">
        <is>
          <t>&lt;p&gt;&lt;/p&gt;</t>
        </is>
      </c>
      <c r="O3865" t="inlineStr"/>
      <c r="P3865" t="inlineStr">
        <is>
          <t>SA9ST6P0001283612 , Towed Chipper , Forst , ST6p</t>
        </is>
      </c>
      <c r="Q3865" t="inlineStr">
        <is>
          <t>UKPN</t>
        </is>
      </c>
      <c r="R3865" t="b">
        <v>0</v>
      </c>
    </row>
    <row r="3866">
      <c r="A3866" t="inlineStr">
        <is>
          <t>2 Apr 2026 / 7806 Optimum Tree Services Ltd</t>
        </is>
      </c>
      <c r="B3866" t="inlineStr">
        <is>
          <t>Utilities</t>
        </is>
      </c>
      <c r="C3866" t="inlineStr">
        <is>
          <t>UKPN</t>
        </is>
      </c>
      <c r="D3866" t="inlineStr">
        <is>
          <t>SA9TAPLAF27414263 , Trailer , Tow Mate , Plant Trailer</t>
        </is>
      </c>
      <c r="E3866" t="inlineStr">
        <is>
          <t>SA9TAPLAF27414263 , Trailer , Tow Mate , Plant Trailer</t>
        </is>
      </c>
      <c r="F3866" t="inlineStr">
        <is>
          <t>SA9TAPLAF27414263 , Trailer , Tow Mate , Plant Trailer</t>
        </is>
      </c>
      <c r="G3866" t="inlineStr">
        <is>
          <t xml:space="preserve">Abraham Davies </t>
        </is>
      </c>
      <c r="H3866" t="inlineStr">
        <is>
          <t>Plant Trailer</t>
        </is>
      </c>
      <c r="I3866" t="inlineStr">
        <is>
          <t>Daily/ Weekly Vehicle Inspection</t>
        </is>
      </c>
      <c r="J3866" t="inlineStr">
        <is>
          <t>N/A</t>
        </is>
      </c>
      <c r="K3866" t="inlineStr">
        <is>
          <t>7806 Optimum Tree Services Ltd</t>
        </is>
      </c>
      <c r="L3866" t="inlineStr">
        <is>
          <t>02/04/2026 08:50</t>
        </is>
      </c>
      <c r="M3866" t="inlineStr">
        <is>
          <t>None</t>
        </is>
      </c>
      <c r="N3866" t="inlineStr">
        <is>
          <t>&lt;p&gt;&lt;/p&gt;</t>
        </is>
      </c>
      <c r="O3866" t="inlineStr"/>
      <c r="P3866" t="inlineStr">
        <is>
          <t>SA9TAPLAF27414263 , Trailer , Tow Mate , Plant Trailer</t>
        </is>
      </c>
      <c r="Q3866" t="inlineStr">
        <is>
          <t>UKPN</t>
        </is>
      </c>
      <c r="R3866" t="b">
        <v>0</v>
      </c>
    </row>
    <row r="3867">
      <c r="A3867" t="inlineStr">
        <is>
          <t>2 Apr 2026 / 7806 Optimum Tree Services Ltd</t>
        </is>
      </c>
      <c r="B3867" t="inlineStr">
        <is>
          <t>Utilities</t>
        </is>
      </c>
      <c r="C3867" t="inlineStr">
        <is>
          <t>UKPN</t>
        </is>
      </c>
      <c r="D3867" t="inlineStr">
        <is>
          <t>WD14EVB , MEWP , Land Rover , Defender</t>
        </is>
      </c>
      <c r="E3867" t="inlineStr">
        <is>
          <t>WD14EVB , MEWP , Land Rover , Defender</t>
        </is>
      </c>
      <c r="F3867" t="inlineStr">
        <is>
          <t>WD14EVB , MEWP , Land Rover , Defender</t>
        </is>
      </c>
      <c r="G3867" t="inlineStr">
        <is>
          <t xml:space="preserve">Abraham Davies </t>
        </is>
      </c>
      <c r="H3867" t="inlineStr">
        <is>
          <t>4x4</t>
        </is>
      </c>
      <c r="I3867" t="inlineStr">
        <is>
          <t>Daily/ Weekly Vehicle Inspection</t>
        </is>
      </c>
      <c r="J3867" t="inlineStr">
        <is>
          <t>N/A</t>
        </is>
      </c>
      <c r="K3867" t="inlineStr">
        <is>
          <t>7806 Optimum Tree Services Ltd</t>
        </is>
      </c>
      <c r="L3867" t="inlineStr">
        <is>
          <t>02/04/2026 08:51</t>
        </is>
      </c>
      <c r="M3867" t="inlineStr">
        <is>
          <t>None</t>
        </is>
      </c>
      <c r="N3867" t="inlineStr">
        <is>
          <t>&lt;p&gt;&lt;/p&gt;</t>
        </is>
      </c>
      <c r="O3867" t="inlineStr"/>
      <c r="P3867" t="inlineStr">
        <is>
          <t>WD14EVB , MEWP , Land Rover , Defender</t>
        </is>
      </c>
      <c r="Q3867" t="inlineStr">
        <is>
          <t>UKPN</t>
        </is>
      </c>
      <c r="R3867" t="b">
        <v>0</v>
      </c>
    </row>
    <row r="3868">
      <c r="A3868" t="inlineStr">
        <is>
          <t>2 Apr 2026 / 7806 Optimum Tree Services Ltd</t>
        </is>
      </c>
      <c r="B3868" t="inlineStr">
        <is>
          <t>Utilities</t>
        </is>
      </c>
      <c r="C3868" t="inlineStr">
        <is>
          <t>UKPN</t>
        </is>
      </c>
      <c r="D3868" t="inlineStr">
        <is>
          <t>Wd14evn , 4x4 , Landrover  , Defender</t>
        </is>
      </c>
      <c r="E3868" t="inlineStr">
        <is>
          <t>Wd14evn , 4x4 , Landrover  , Defender</t>
        </is>
      </c>
      <c r="F3868" t="inlineStr">
        <is>
          <t>Wd14evn , 4x4 , Landrover  , Defender</t>
        </is>
      </c>
      <c r="G3868" t="inlineStr">
        <is>
          <t xml:space="preserve">Lewis davies </t>
        </is>
      </c>
      <c r="H3868" t="inlineStr">
        <is>
          <t>4x4</t>
        </is>
      </c>
      <c r="I3868" t="inlineStr">
        <is>
          <t>Daily/ Weekly Vehicle Inspection</t>
        </is>
      </c>
      <c r="J3868" t="inlineStr">
        <is>
          <t>N/A</t>
        </is>
      </c>
      <c r="K3868" t="inlineStr">
        <is>
          <t>7806 Optimum Tree Services Ltd</t>
        </is>
      </c>
      <c r="L3868" t="inlineStr">
        <is>
          <t>02/04/2026 09:48</t>
        </is>
      </c>
      <c r="M3868" t="inlineStr">
        <is>
          <t>None</t>
        </is>
      </c>
      <c r="N3868" t="inlineStr">
        <is>
          <t>&lt;p&gt;&lt;/p&gt;</t>
        </is>
      </c>
      <c r="O3868" t="inlineStr"/>
      <c r="P3868" t="inlineStr">
        <is>
          <t>Wd14evn , 4x4 , Landrover  , Defender</t>
        </is>
      </c>
      <c r="Q3868" t="inlineStr">
        <is>
          <t>UKPN</t>
        </is>
      </c>
      <c r="R3868" t="b">
        <v>0</v>
      </c>
    </row>
    <row r="3869">
      <c r="A3869" t="inlineStr">
        <is>
          <t>2 Apr 2026 / 7951 Austin Tree Care LTD</t>
        </is>
      </c>
      <c r="B3869" t="inlineStr">
        <is>
          <t>Infrastructure &amp; Utilities</t>
        </is>
      </c>
      <c r="C3869" t="inlineStr">
        <is>
          <t>UKPN</t>
        </is>
      </c>
      <c r="D3869" t="inlineStr">
        <is>
          <t>WG64HTT , 4x4 , Land Rover , Defender 110</t>
        </is>
      </c>
      <c r="E3869" t="inlineStr">
        <is>
          <t>WG64HTT , 4x4 , Land Rover , Defender 110</t>
        </is>
      </c>
      <c r="F3869" t="inlineStr">
        <is>
          <t>WG64HTT , 4x4 , Land Rover , Defender 110</t>
        </is>
      </c>
      <c r="G3869" t="inlineStr">
        <is>
          <t xml:space="preserve">Jack Austin </t>
        </is>
      </c>
      <c r="H3869" t="inlineStr">
        <is>
          <t>4x4</t>
        </is>
      </c>
      <c r="I3869" t="inlineStr">
        <is>
          <t>Daily/ Weekly Vehicle Inspection</t>
        </is>
      </c>
      <c r="J3869" t="inlineStr">
        <is>
          <t>N/A</t>
        </is>
      </c>
      <c r="K3869" t="inlineStr">
        <is>
          <t>7951 Austin Tree Care LTD</t>
        </is>
      </c>
      <c r="L3869" t="inlineStr">
        <is>
          <t>02/04/2026 10:47</t>
        </is>
      </c>
      <c r="M3869" t="inlineStr">
        <is>
          <t>None</t>
        </is>
      </c>
      <c r="N3869" t="inlineStr">
        <is>
          <t>&lt;p&gt;&lt;/p&gt;</t>
        </is>
      </c>
      <c r="O3869" t="inlineStr"/>
      <c r="P3869" t="inlineStr">
        <is>
          <t>WG64HTT , 4x4 , Land Rover , Defender 110</t>
        </is>
      </c>
      <c r="Q3869" t="inlineStr">
        <is>
          <t>UKPN</t>
        </is>
      </c>
      <c r="R3869" t="b">
        <v>0</v>
      </c>
    </row>
    <row r="3870">
      <c r="A3870" t="inlineStr">
        <is>
          <t>2 Apr 2026 / 6617 Ashdown Tree Limited 1</t>
        </is>
      </c>
      <c r="B3870" t="inlineStr">
        <is>
          <t>Infrastructure &amp; Utilities</t>
        </is>
      </c>
      <c r="C3870" t="inlineStr">
        <is>
          <t>UKPN</t>
        </is>
      </c>
      <c r="D3870" t="inlineStr">
        <is>
          <t>TR55TUB , 4x4 , Land rover  , Defender mewp</t>
        </is>
      </c>
      <c r="E3870" t="inlineStr">
        <is>
          <t>TR55TUB , 4x4 , Land rover  , Defender mewp</t>
        </is>
      </c>
      <c r="F3870" t="inlineStr">
        <is>
          <t>TR55TUB , 4x4 , Land rover  , Defender mewp</t>
        </is>
      </c>
      <c r="G3870" t="inlineStr">
        <is>
          <t>Jamie</t>
        </is>
      </c>
      <c r="H3870" t="inlineStr">
        <is>
          <t>4x4</t>
        </is>
      </c>
      <c r="I3870" t="inlineStr">
        <is>
          <t>Daily/ Weekly Vehicle Inspection</t>
        </is>
      </c>
      <c r="J3870" t="inlineStr">
        <is>
          <t>N/A</t>
        </is>
      </c>
      <c r="K3870" t="inlineStr">
        <is>
          <t>6617 Ashdown Tree Limited - Team 2</t>
        </is>
      </c>
      <c r="L3870" t="inlineStr">
        <is>
          <t>02/04/2026 13:47</t>
        </is>
      </c>
      <c r="M3870" t="inlineStr">
        <is>
          <t>None</t>
        </is>
      </c>
      <c r="N3870" t="inlineStr">
        <is>
          <t>&lt;p&gt;&lt;/p&gt;</t>
        </is>
      </c>
      <c r="O3870" t="inlineStr"/>
      <c r="P3870" t="inlineStr">
        <is>
          <t>TR55TUB , 4x4 , Land rover  , Defender mewp</t>
        </is>
      </c>
      <c r="Q3870" t="inlineStr">
        <is>
          <t>UKPN</t>
        </is>
      </c>
      <c r="R3870" t="b">
        <v>0</v>
      </c>
    </row>
    <row r="3871">
      <c r="A3871" t="inlineStr">
        <is>
          <t>2 Apr 2026 / 7951 Austin Tree Care LTD</t>
        </is>
      </c>
      <c r="B3871" t="inlineStr">
        <is>
          <t>Infrastructure &amp; Utilities</t>
        </is>
      </c>
      <c r="C3871" t="inlineStr">
        <is>
          <t>UKPN</t>
        </is>
      </c>
      <c r="D3871" t="inlineStr">
        <is>
          <t>SA9ST6P0001283612 , Towed Chipper , Forst , ST6p</t>
        </is>
      </c>
      <c r="E3871" t="inlineStr">
        <is>
          <t>SA9ST6P0001283612 , Towed Chipper , Forst , ST6p</t>
        </is>
      </c>
      <c r="F3871" t="inlineStr">
        <is>
          <t>SA9ST6P0001283612 , Towed Chipper , Forst , ST6p</t>
        </is>
      </c>
      <c r="G3871" t="inlineStr">
        <is>
          <t xml:space="preserve">Jack Austin </t>
        </is>
      </c>
      <c r="H3871" t="inlineStr">
        <is>
          <t>Towed Chipper</t>
        </is>
      </c>
      <c r="I3871" t="inlineStr">
        <is>
          <t>Daily/ Weekly Vehicle Inspection</t>
        </is>
      </c>
      <c r="J3871" t="inlineStr">
        <is>
          <t>N/A</t>
        </is>
      </c>
      <c r="K3871" t="inlineStr">
        <is>
          <t>7951 Austin Tree Care LTD</t>
        </is>
      </c>
      <c r="L3871" t="inlineStr">
        <is>
          <t>02/04/2026 17:49</t>
        </is>
      </c>
      <c r="M3871" t="inlineStr">
        <is>
          <t>None</t>
        </is>
      </c>
      <c r="N3871" t="inlineStr">
        <is>
          <t>&lt;p&gt;&lt;/p&gt;</t>
        </is>
      </c>
      <c r="O3871" t="inlineStr"/>
      <c r="P3871" t="inlineStr">
        <is>
          <t>SA9ST6P0001283612 , Towed Chipper , Forst , ST6p</t>
        </is>
      </c>
      <c r="Q3871" t="inlineStr">
        <is>
          <t>UKPN</t>
        </is>
      </c>
      <c r="R3871" t="b">
        <v>0</v>
      </c>
    </row>
    <row r="3872">
      <c r="A3872" t="inlineStr">
        <is>
          <t>2 Apr 2026 / 7951 Austin Tree Care LTD</t>
        </is>
      </c>
      <c r="B3872" t="inlineStr">
        <is>
          <t>Infrastructure &amp; Utilities</t>
        </is>
      </c>
      <c r="C3872" t="inlineStr">
        <is>
          <t>UKPN</t>
        </is>
      </c>
      <c r="D3872" t="inlineStr">
        <is>
          <t>WG64HTT , 4x4 , Land Rover , Defender 110</t>
        </is>
      </c>
      <c r="E3872" t="inlineStr">
        <is>
          <t>WG64HTT , 4x4 , Land Rover , Defender 110</t>
        </is>
      </c>
      <c r="F3872" t="inlineStr">
        <is>
          <t>WG64HTT , 4x4 , Land Rover , Defender 110</t>
        </is>
      </c>
      <c r="G3872" t="inlineStr">
        <is>
          <t xml:space="preserve">Jack Austin </t>
        </is>
      </c>
      <c r="H3872" t="inlineStr">
        <is>
          <t>4x4</t>
        </is>
      </c>
      <c r="I3872" t="inlineStr">
        <is>
          <t>Daily/ Weekly Vehicle Inspection</t>
        </is>
      </c>
      <c r="J3872" t="inlineStr">
        <is>
          <t>N/A</t>
        </is>
      </c>
      <c r="K3872" t="inlineStr">
        <is>
          <t>7951 Austin Tree Care LTD</t>
        </is>
      </c>
      <c r="L3872" t="inlineStr">
        <is>
          <t>02/04/2026 17:50</t>
        </is>
      </c>
      <c r="M3872" t="inlineStr">
        <is>
          <t>None</t>
        </is>
      </c>
      <c r="N3872" t="inlineStr">
        <is>
          <t>&lt;p&gt;&lt;/p&gt;</t>
        </is>
      </c>
      <c r="O3872" t="inlineStr"/>
      <c r="P3872" t="inlineStr">
        <is>
          <t>WG64HTT , 4x4 , Land Rover , Defender 110</t>
        </is>
      </c>
      <c r="Q3872" t="inlineStr">
        <is>
          <t>UKPN</t>
        </is>
      </c>
      <c r="R3872" t="b">
        <v>0</v>
      </c>
    </row>
    <row r="3873">
      <c r="A3873" t="inlineStr">
        <is>
          <t>2 Apr 2026 / 7996 M G Tree Surgery Ltd 1</t>
        </is>
      </c>
      <c r="B3873" t="inlineStr">
        <is>
          <t>Infrastructure &amp; Utilities</t>
        </is>
      </c>
      <c r="C3873" t="inlineStr">
        <is>
          <t>UKPN</t>
        </is>
      </c>
      <c r="D3873" t="inlineStr"/>
      <c r="E3873" t="inlineStr"/>
      <c r="F3873" t="inlineStr"/>
      <c r="G3873" t="inlineStr">
        <is>
          <t>Anthony Gale</t>
        </is>
      </c>
      <c r="H3873" t="inlineStr">
        <is>
          <t>Towed Chipper</t>
        </is>
      </c>
      <c r="I3873" t="inlineStr">
        <is>
          <t>Daily/ Weekly Vehicle Inspection</t>
        </is>
      </c>
      <c r="J3873" t="inlineStr">
        <is>
          <t>N/A</t>
        </is>
      </c>
      <c r="K3873" t="inlineStr">
        <is>
          <t>7996 M G Tree Surgery Ltd 1</t>
        </is>
      </c>
      <c r="L3873" t="inlineStr">
        <is>
          <t>03/04/2026 09:47</t>
        </is>
      </c>
      <c r="M3873" t="inlineStr">
        <is>
          <t>None</t>
        </is>
      </c>
      <c r="N3873" t="inlineStr">
        <is>
          <t>&lt;p&gt;&lt;/p&gt;</t>
        </is>
      </c>
      <c r="O3873" t="inlineStr"/>
      <c r="P3873" t="inlineStr"/>
      <c r="Q3873" t="inlineStr">
        <is>
          <t>UKPN</t>
        </is>
      </c>
      <c r="R3873" t="b">
        <v>0</v>
      </c>
    </row>
    <row r="3874">
      <c r="A3874" t="inlineStr">
        <is>
          <t>2 Apr 2026 / 7996 M G Tree Surgery Ltd 1</t>
        </is>
      </c>
      <c r="B3874" t="inlineStr">
        <is>
          <t>Infrastructure &amp; Utilities</t>
        </is>
      </c>
      <c r="C3874" t="inlineStr">
        <is>
          <t>UKPN</t>
        </is>
      </c>
      <c r="D3874" t="inlineStr">
        <is>
          <t>KX20 BCE , Tipper , Isuzu , D-Max</t>
        </is>
      </c>
      <c r="E3874" t="inlineStr">
        <is>
          <t>KX20 BCE , Tipper , Isuzu , D-Max</t>
        </is>
      </c>
      <c r="F3874" t="inlineStr">
        <is>
          <t>KX20 BCE , Tipper , Isuzu , D-Max</t>
        </is>
      </c>
      <c r="G3874" t="inlineStr">
        <is>
          <t>Anthony Gale</t>
        </is>
      </c>
      <c r="H3874" t="inlineStr">
        <is>
          <t>Pickup Truck</t>
        </is>
      </c>
      <c r="I3874" t="inlineStr">
        <is>
          <t>Daily/ Weekly Vehicle Inspection</t>
        </is>
      </c>
      <c r="J3874" t="inlineStr">
        <is>
          <t>N/A</t>
        </is>
      </c>
      <c r="K3874" t="inlineStr">
        <is>
          <t>7996 M G Tree Surgery Ltd 1</t>
        </is>
      </c>
      <c r="L3874" t="inlineStr">
        <is>
          <t>03/04/2026 09:48</t>
        </is>
      </c>
      <c r="M3874" t="inlineStr">
        <is>
          <t>None</t>
        </is>
      </c>
      <c r="N3874" t="inlineStr">
        <is>
          <t>&lt;p&gt;&lt;/p&gt;</t>
        </is>
      </c>
      <c r="O3874" t="inlineStr"/>
      <c r="P3874" t="inlineStr">
        <is>
          <t>KX20 BCE , Tipper , Isuzu , D-Max</t>
        </is>
      </c>
      <c r="Q3874" t="inlineStr">
        <is>
          <t>UKPN</t>
        </is>
      </c>
      <c r="R3874" t="b">
        <v>0</v>
      </c>
    </row>
    <row r="3875">
      <c r="A3875" t="inlineStr">
        <is>
          <t>4 Apr 2026 / 7996 M G Tree Surgery Ltd 1</t>
        </is>
      </c>
      <c r="B3875" t="inlineStr">
        <is>
          <t>Infrastructure &amp; Utilities</t>
        </is>
      </c>
      <c r="C3875" t="inlineStr">
        <is>
          <t>UKPN</t>
        </is>
      </c>
      <c r="D3875" t="inlineStr">
        <is>
          <t>KX20 BCE , Tipper , Isuzu , D-Max</t>
        </is>
      </c>
      <c r="E3875" t="inlineStr">
        <is>
          <t>KX20 BCE , Tipper , Isuzu , D-Max</t>
        </is>
      </c>
      <c r="F3875" t="inlineStr">
        <is>
          <t>KX20 BCE , Tipper , Isuzu , D-Max</t>
        </is>
      </c>
      <c r="G3875" t="inlineStr">
        <is>
          <t>Anthony Gale</t>
        </is>
      </c>
      <c r="H3875" t="inlineStr">
        <is>
          <t>Pickup Truck</t>
        </is>
      </c>
      <c r="I3875" t="inlineStr">
        <is>
          <t>Daily/ Weekly Vehicle Inspection</t>
        </is>
      </c>
      <c r="J3875" t="inlineStr">
        <is>
          <t>N/A</t>
        </is>
      </c>
      <c r="K3875" t="inlineStr">
        <is>
          <t>7996 M G Tree Surgery Ltd 1</t>
        </is>
      </c>
      <c r="L3875" t="inlineStr">
        <is>
          <t>04/04/2026 07:47</t>
        </is>
      </c>
      <c r="M3875" t="inlineStr">
        <is>
          <t>None</t>
        </is>
      </c>
      <c r="N3875" t="inlineStr">
        <is>
          <t>&lt;p&gt;&lt;/p&gt;</t>
        </is>
      </c>
      <c r="O3875" t="inlineStr"/>
      <c r="P3875" t="inlineStr">
        <is>
          <t>KX20 BCE , Tipper , Isuzu , D-Max</t>
        </is>
      </c>
      <c r="Q3875" t="inlineStr">
        <is>
          <t>UKPN</t>
        </is>
      </c>
      <c r="R3875" t="b">
        <v>0</v>
      </c>
    </row>
    <row r="3876">
      <c r="A3876" t="inlineStr">
        <is>
          <t>4 Apr 2026 / 7996 M G Tree Surgery Ltd 1</t>
        </is>
      </c>
      <c r="B3876" t="inlineStr">
        <is>
          <t>Infrastructure &amp; Utilities</t>
        </is>
      </c>
      <c r="C3876" t="inlineStr">
        <is>
          <t>UKPN</t>
        </is>
      </c>
      <c r="D3876" t="inlineStr"/>
      <c r="E3876" t="inlineStr"/>
      <c r="F3876" t="inlineStr"/>
      <c r="G3876" t="inlineStr">
        <is>
          <t xml:space="preserve">Anthony Gale </t>
        </is>
      </c>
      <c r="H3876" t="inlineStr">
        <is>
          <t>Towed Chipper</t>
        </is>
      </c>
      <c r="I3876" t="inlineStr">
        <is>
          <t>Daily/ Weekly Vehicle Inspection</t>
        </is>
      </c>
      <c r="J3876" t="inlineStr">
        <is>
          <t>N/A</t>
        </is>
      </c>
      <c r="K3876" t="inlineStr">
        <is>
          <t>7996 M G Tree Surgery Ltd 1</t>
        </is>
      </c>
      <c r="L3876" t="inlineStr">
        <is>
          <t>04/04/2026 07:48</t>
        </is>
      </c>
      <c r="M3876" t="inlineStr">
        <is>
          <t>None</t>
        </is>
      </c>
      <c r="N3876" t="inlineStr">
        <is>
          <t>&lt;p&gt;&lt;/p&gt;</t>
        </is>
      </c>
      <c r="O3876" t="inlineStr"/>
      <c r="P3876" t="inlineStr"/>
      <c r="Q3876" t="inlineStr">
        <is>
          <t>UKPN</t>
        </is>
      </c>
      <c r="R3876" t="b">
        <v>0</v>
      </c>
    </row>
    <row r="3877">
      <c r="A3877" t="inlineStr">
        <is>
          <t>4 Apr 2026 / 7996 M G Tree Surgery Ltd 1</t>
        </is>
      </c>
      <c r="B3877" t="inlineStr">
        <is>
          <t>Infrastructure &amp; Utilities</t>
        </is>
      </c>
      <c r="C3877" t="inlineStr">
        <is>
          <t>UKPN</t>
        </is>
      </c>
      <c r="D3877" t="inlineStr">
        <is>
          <t>KX20 BCE , Tipper , Isuzu , D-Max</t>
        </is>
      </c>
      <c r="E3877" t="inlineStr">
        <is>
          <t>KX20 BCE , Tipper , Isuzu , D-Max</t>
        </is>
      </c>
      <c r="F3877" t="inlineStr">
        <is>
          <t>KX20 BCE , Tipper , Isuzu , D-Max</t>
        </is>
      </c>
      <c r="G3877" t="inlineStr">
        <is>
          <t>Anthony Gale</t>
        </is>
      </c>
      <c r="H3877" t="inlineStr">
        <is>
          <t>Pickup Truck</t>
        </is>
      </c>
      <c r="I3877" t="inlineStr">
        <is>
          <t>Daily/ Weekly Vehicle Inspection</t>
        </is>
      </c>
      <c r="J3877" t="inlineStr">
        <is>
          <t>N/A</t>
        </is>
      </c>
      <c r="K3877" t="inlineStr">
        <is>
          <t>7996 M G Tree Surgery Ltd 1</t>
        </is>
      </c>
      <c r="L3877" t="inlineStr">
        <is>
          <t>05/04/2026 09:47</t>
        </is>
      </c>
      <c r="M3877" t="inlineStr">
        <is>
          <t>None</t>
        </is>
      </c>
      <c r="N3877" t="inlineStr">
        <is>
          <t>&lt;p&gt;&lt;/p&gt;</t>
        </is>
      </c>
      <c r="O3877" t="inlineStr"/>
      <c r="P3877" t="inlineStr">
        <is>
          <t>KX20 BCE , Tipper , Isuzu , D-Max</t>
        </is>
      </c>
      <c r="Q3877" t="inlineStr">
        <is>
          <t>UKPN</t>
        </is>
      </c>
      <c r="R3877" t="b">
        <v>0</v>
      </c>
    </row>
    <row r="3878">
      <c r="A3878" t="inlineStr">
        <is>
          <t>7 Apr 2026 / Mark Davies</t>
        </is>
      </c>
      <c r="B3878" t="inlineStr">
        <is>
          <t>Infrastructure &amp; Utilities</t>
        </is>
      </c>
      <c r="C3878" t="inlineStr">
        <is>
          <t>NGED</t>
        </is>
      </c>
      <c r="D3878" t="inlineStr">
        <is>
          <t>GJ20USE , Car - Electric , Tesla , Model 3 Long Range AWD</t>
        </is>
      </c>
      <c r="E3878" t="inlineStr">
        <is>
          <t>GJ20USE , Car - Electric , Tesla , Model 3 Long Range AWD</t>
        </is>
      </c>
      <c r="F3878" t="inlineStr">
        <is>
          <t>GJ20USE , Car - Electric , Tesla , Model 3 Long Range AWD</t>
        </is>
      </c>
      <c r="G3878" t="inlineStr">
        <is>
          <t xml:space="preserve">Mark Davies </t>
        </is>
      </c>
      <c r="H3878" t="inlineStr">
        <is>
          <t>Car - Electric (GC Owned)</t>
        </is>
      </c>
      <c r="I3878" t="inlineStr">
        <is>
          <t>Daily/ Weekly Vehicle Inspection</t>
        </is>
      </c>
      <c r="J3878" t="inlineStr">
        <is>
          <t>N/A</t>
        </is>
      </c>
      <c r="K3878" t="inlineStr">
        <is>
          <t>Mark Davies</t>
        </is>
      </c>
      <c r="L3878" t="inlineStr">
        <is>
          <t>07/04/2026 07:48</t>
        </is>
      </c>
      <c r="M3878" t="inlineStr">
        <is>
          <t>None</t>
        </is>
      </c>
      <c r="N3878" t="inlineStr">
        <is>
          <t>&lt;p&gt;&lt;/p&gt;</t>
        </is>
      </c>
      <c r="O3878" t="inlineStr">
        <is>
          <t>Confirm that you have checked this vehicle as per the guidance document and the vehicle is safe and roadworthy:Screen wash low- topped up
-</t>
        </is>
      </c>
      <c r="P3878" t="inlineStr">
        <is>
          <t>GJ20USE , Car - Electric , Tesla , Model 3 Long Range AWD</t>
        </is>
      </c>
      <c r="Q3878" t="inlineStr">
        <is>
          <t>NGED</t>
        </is>
      </c>
      <c r="R3878" t="b">
        <v>0</v>
      </c>
    </row>
    <row r="3879">
      <c r="A3879" t="inlineStr">
        <is>
          <t>7 Apr 2026 / 7995 Green Net Eco Ltd 2</t>
        </is>
      </c>
      <c r="B3879" t="inlineStr">
        <is>
          <t>Infrastructure &amp; Utilities</t>
        </is>
      </c>
      <c r="C3879" t="inlineStr">
        <is>
          <t>UKPN</t>
        </is>
      </c>
      <c r="D3879" t="inlineStr">
        <is>
          <t>SCK80000075030058 , Flat Bed Trailer , IFOR Williams , LM187G3</t>
        </is>
      </c>
      <c r="E3879" t="inlineStr">
        <is>
          <t>SCK80000075030058 , Flat Bed Trailer , IFOR Williams , LM187G3</t>
        </is>
      </c>
      <c r="F3879" t="inlineStr">
        <is>
          <t>SCK80000075030058 , Flat Bed Trailer , IFOR Williams , LM187G3</t>
        </is>
      </c>
      <c r="G3879" t="inlineStr">
        <is>
          <t>Thomas Playford</t>
        </is>
      </c>
      <c r="H3879" t="inlineStr">
        <is>
          <t>Flat Bed Trailer</t>
        </is>
      </c>
      <c r="I3879" t="inlineStr">
        <is>
          <t>Daily/ Weekly Vehicle Inspection</t>
        </is>
      </c>
      <c r="J3879" t="inlineStr">
        <is>
          <t>N/A</t>
        </is>
      </c>
      <c r="K3879" t="inlineStr">
        <is>
          <t>7995 Green Net Eco Ltd 2</t>
        </is>
      </c>
      <c r="L3879" t="inlineStr">
        <is>
          <t>07/04/2026 08:47</t>
        </is>
      </c>
      <c r="M3879" t="inlineStr">
        <is>
          <t>None</t>
        </is>
      </c>
      <c r="N3879" t="inlineStr">
        <is>
          <t>&lt;p&gt;&lt;/p&gt;</t>
        </is>
      </c>
      <c r="O3879" t="inlineStr"/>
      <c r="P3879" t="inlineStr">
        <is>
          <t>SCK80000075030058 , Flat Bed Trailer , IFOR Williams , LM187G3</t>
        </is>
      </c>
      <c r="Q3879" t="inlineStr">
        <is>
          <t>UKPN</t>
        </is>
      </c>
      <c r="R3879" t="b">
        <v>0</v>
      </c>
    </row>
    <row r="3880">
      <c r="A3880" t="inlineStr">
        <is>
          <t>7 Apr 2026 / 7995 Green Net Eco Ltd 2</t>
        </is>
      </c>
      <c r="B3880" t="inlineStr">
        <is>
          <t>Infrastructure &amp; Utilities</t>
        </is>
      </c>
      <c r="C3880" t="inlineStr">
        <is>
          <t>UKPN</t>
        </is>
      </c>
      <c r="D3880" t="inlineStr">
        <is>
          <t>LK15KRZ , 4x4 , Landrover , Defender</t>
        </is>
      </c>
      <c r="E3880" t="inlineStr">
        <is>
          <t>LK15KRZ , 4x4 , Landrover , Defender</t>
        </is>
      </c>
      <c r="F3880" t="inlineStr">
        <is>
          <t>LK15KRZ , 4x4 , Landrover , Defender</t>
        </is>
      </c>
      <c r="G3880" t="inlineStr">
        <is>
          <t>Thomas Playford</t>
        </is>
      </c>
      <c r="H3880" t="inlineStr">
        <is>
          <t>4x4</t>
        </is>
      </c>
      <c r="I3880" t="inlineStr">
        <is>
          <t>Daily/ Weekly Vehicle Inspection</t>
        </is>
      </c>
      <c r="J3880" t="inlineStr">
        <is>
          <t>N/A</t>
        </is>
      </c>
      <c r="K3880" t="inlineStr">
        <is>
          <t>7995 Green Net Eco Ltd 2</t>
        </is>
      </c>
      <c r="L3880" t="inlineStr">
        <is>
          <t>07/04/2026 08:48</t>
        </is>
      </c>
      <c r="M3880" t="inlineStr">
        <is>
          <t>None</t>
        </is>
      </c>
      <c r="N3880" t="inlineStr">
        <is>
          <t>&lt;p&gt;&lt;/p&gt;</t>
        </is>
      </c>
      <c r="O3880" t="inlineStr"/>
      <c r="P3880" t="inlineStr">
        <is>
          <t>LK15KRZ , 4x4 , Landrover , Defender</t>
        </is>
      </c>
      <c r="Q3880" t="inlineStr">
        <is>
          <t>UKPN</t>
        </is>
      </c>
      <c r="R3880" t="b">
        <v>0</v>
      </c>
    </row>
    <row r="3881">
      <c r="A3881" t="inlineStr">
        <is>
          <t>7 Apr 2026 / Patryk Zietarski</t>
        </is>
      </c>
      <c r="B3881" t="inlineStr">
        <is>
          <t>Infrastructure &amp; Utilities</t>
        </is>
      </c>
      <c r="C3881" t="inlineStr">
        <is>
          <t>UKPN</t>
        </is>
      </c>
      <c r="D3881" t="inlineStr">
        <is>
          <t>YW73CWL , Car - Electric , Kia , eNiro</t>
        </is>
      </c>
      <c r="E3881" t="inlineStr">
        <is>
          <t>YW73CWL , Car - Electric , Kia , eNiro</t>
        </is>
      </c>
      <c r="F3881" t="inlineStr">
        <is>
          <t>YW73CWL , Car - Electric , Kia , eNiro</t>
        </is>
      </c>
      <c r="G3881" t="inlineStr">
        <is>
          <t xml:space="preserve">Patryk Zietarski </t>
        </is>
      </c>
      <c r="H3881" t="inlineStr">
        <is>
          <t>Car - Electric (GC Owned)</t>
        </is>
      </c>
      <c r="I3881" t="inlineStr">
        <is>
          <t>Daily/ Weekly Vehicle Inspection</t>
        </is>
      </c>
      <c r="J3881" t="inlineStr">
        <is>
          <t>N/A</t>
        </is>
      </c>
      <c r="K3881" t="inlineStr">
        <is>
          <t>Patryk Zietarski</t>
        </is>
      </c>
      <c r="L3881" t="inlineStr">
        <is>
          <t>07/04/2026 08:52</t>
        </is>
      </c>
      <c r="M3881" t="inlineStr">
        <is>
          <t>None</t>
        </is>
      </c>
      <c r="N3881" t="inlineStr">
        <is>
          <t>&lt;p&gt;&lt;/p&gt;</t>
        </is>
      </c>
      <c r="O3881" t="inlineStr"/>
      <c r="P3881" t="inlineStr">
        <is>
          <t>YW73CWL , Car - Electric , Kia , eNiro</t>
        </is>
      </c>
      <c r="Q3881" t="inlineStr">
        <is>
          <t>UKPN</t>
        </is>
      </c>
      <c r="R3881" t="b">
        <v>0</v>
      </c>
    </row>
    <row r="3882">
      <c r="A3882" t="inlineStr">
        <is>
          <t>7 Apr 2026 / Benet Jones</t>
        </is>
      </c>
      <c r="B3882" t="inlineStr">
        <is>
          <t>Infrastructure &amp; Utilities</t>
        </is>
      </c>
      <c r="C3882" t="inlineStr">
        <is>
          <t>NGED</t>
        </is>
      </c>
      <c r="D3882" t="inlineStr">
        <is>
          <t>GF71TXC , Car - Electric , Tesla , Model 3 Long Range AWD</t>
        </is>
      </c>
      <c r="E3882" t="inlineStr">
        <is>
          <t>GF71TXC , Car - Electric , Tesla , Model 3 Long Range AWD</t>
        </is>
      </c>
      <c r="F3882" t="inlineStr">
        <is>
          <t>GF71TXC , Car - Electric , Tesla , Model 3 Long Range AWD</t>
        </is>
      </c>
      <c r="G3882" t="inlineStr">
        <is>
          <t xml:space="preserve">Benet Jones </t>
        </is>
      </c>
      <c r="H3882" t="inlineStr">
        <is>
          <t>Car - Electric (GC Owned)</t>
        </is>
      </c>
      <c r="I3882" t="inlineStr">
        <is>
          <t>Daily/ Weekly Vehicle Inspection</t>
        </is>
      </c>
      <c r="J3882" t="inlineStr">
        <is>
          <t>N/A</t>
        </is>
      </c>
      <c r="K3882" t="inlineStr">
        <is>
          <t>Benet Jones</t>
        </is>
      </c>
      <c r="L3882" t="inlineStr">
        <is>
          <t>07/04/2026 08:53</t>
        </is>
      </c>
      <c r="M3882" t="inlineStr">
        <is>
          <t>None</t>
        </is>
      </c>
      <c r="N3882" t="inlineStr">
        <is>
          <t>&lt;p&gt;&lt;/p&gt;</t>
        </is>
      </c>
      <c r="O3882" t="inlineStr">
        <is>
          <t>Confirm that you have checked this vehicle as per the guidance document and the vehicle is safe and roadworthy:Car checked and fully serviceable
-</t>
        </is>
      </c>
      <c r="P3882" t="inlineStr">
        <is>
          <t>GF71TXC , Car - Electric , Tesla , Model 3 Long Range AWD</t>
        </is>
      </c>
      <c r="Q3882" t="inlineStr">
        <is>
          <t>NGED</t>
        </is>
      </c>
      <c r="R3882" t="b">
        <v>0</v>
      </c>
    </row>
    <row r="3883">
      <c r="A3883" t="inlineStr">
        <is>
          <t>7 Apr 2026 / 8148 Hope Ground and Tree Care</t>
        </is>
      </c>
      <c r="B3883" t="inlineStr">
        <is>
          <t>Infrastructure &amp; Utilities</t>
        </is>
      </c>
      <c r="C3883" t="inlineStr">
        <is>
          <t>UKPN</t>
        </is>
      </c>
      <c r="D3883" t="inlineStr">
        <is>
          <t>S6 NWX , MEWP , Isuzu , D-Max</t>
        </is>
      </c>
      <c r="E3883" t="inlineStr">
        <is>
          <t>S6 NWX , MEWP , Isuzu , D-Max</t>
        </is>
      </c>
      <c r="F3883" t="inlineStr">
        <is>
          <t>S6 NWX , MEWP , Isuzu , D-Max</t>
        </is>
      </c>
      <c r="G3883" t="inlineStr">
        <is>
          <t>Hope</t>
        </is>
      </c>
      <c r="H3883" t="inlineStr">
        <is>
          <t>4x4</t>
        </is>
      </c>
      <c r="I3883" t="inlineStr">
        <is>
          <t>Daily/ Weekly Vehicle Inspection</t>
        </is>
      </c>
      <c r="J3883" t="inlineStr">
        <is>
          <t>N/A</t>
        </is>
      </c>
      <c r="K3883" t="inlineStr">
        <is>
          <t>8148 Hope Ground and Tree Care</t>
        </is>
      </c>
      <c r="L3883" t="inlineStr">
        <is>
          <t>07/04/2026 08:56</t>
        </is>
      </c>
      <c r="M3883" t="inlineStr">
        <is>
          <t>None</t>
        </is>
      </c>
      <c r="N3883" t="inlineStr">
        <is>
          <t>&lt;p&gt;&lt;/p&gt;</t>
        </is>
      </c>
      <c r="O3883" t="inlineStr"/>
      <c r="P3883" t="inlineStr">
        <is>
          <t>S6 NWX , MEWP , Isuzu , D-Max</t>
        </is>
      </c>
      <c r="Q3883" t="inlineStr">
        <is>
          <t>UKPN</t>
        </is>
      </c>
      <c r="R3883" t="b">
        <v>0</v>
      </c>
    </row>
    <row r="3884">
      <c r="A3884" t="inlineStr">
        <is>
          <t>7 Apr 2026 / 3098 D &amp; R Landscapes</t>
        </is>
      </c>
      <c r="B3884" t="inlineStr">
        <is>
          <t>Infrastructure &amp; Utilities</t>
        </is>
      </c>
      <c r="C3884" t="inlineStr">
        <is>
          <t>UKPN</t>
        </is>
      </c>
      <c r="D3884" t="inlineStr">
        <is>
          <t>DE68XHA , Tipper , Isuzu , Grafter</t>
        </is>
      </c>
      <c r="E3884" t="inlineStr">
        <is>
          <t>DE68XHA , Tipper , Isuzu , Grafter</t>
        </is>
      </c>
      <c r="F3884" t="inlineStr">
        <is>
          <t>DE68XHA , Tipper , Isuzu , Grafter</t>
        </is>
      </c>
      <c r="G3884" t="inlineStr">
        <is>
          <t xml:space="preserve">Josh </t>
        </is>
      </c>
      <c r="H3884" t="inlineStr">
        <is>
          <t>Tipper</t>
        </is>
      </c>
      <c r="I3884" t="inlineStr">
        <is>
          <t>Daily/ Weekly Vehicle Inspection</t>
        </is>
      </c>
      <c r="J3884" t="inlineStr">
        <is>
          <t>N/A</t>
        </is>
      </c>
      <c r="K3884" t="inlineStr">
        <is>
          <t>3098 D &amp; R Landscapes</t>
        </is>
      </c>
      <c r="L3884" t="inlineStr">
        <is>
          <t>07/04/2026 09:47</t>
        </is>
      </c>
      <c r="M3884" t="inlineStr">
        <is>
          <t>None</t>
        </is>
      </c>
      <c r="N3884" t="inlineStr">
        <is>
          <t>&lt;p&gt;&lt;/p&gt;</t>
        </is>
      </c>
      <c r="O3884" t="inlineStr"/>
      <c r="P3884" t="inlineStr">
        <is>
          <t>DE68XHA , Tipper , Isuzu , Grafter</t>
        </is>
      </c>
      <c r="Q3884" t="inlineStr">
        <is>
          <t>UKPN</t>
        </is>
      </c>
      <c r="R3884" t="b">
        <v>0</v>
      </c>
    </row>
    <row r="3885">
      <c r="A3885" t="inlineStr">
        <is>
          <t>7 Apr 2026 / 3098 D &amp; R Landscapes</t>
        </is>
      </c>
      <c r="B3885" t="inlineStr">
        <is>
          <t>Infrastructure &amp; Utilities</t>
        </is>
      </c>
      <c r="C3885" t="inlineStr">
        <is>
          <t>UKPN</t>
        </is>
      </c>
      <c r="D3885" t="inlineStr">
        <is>
          <t>WA13ZZK , 4x4 , Land Rover  , Defender</t>
        </is>
      </c>
      <c r="E3885" t="inlineStr">
        <is>
          <t>WA13ZZK , 4x4 , Land Rover  , Defender</t>
        </is>
      </c>
      <c r="F3885" t="inlineStr">
        <is>
          <t>WA13ZZK , 4x4 , Land Rover  , Defender</t>
        </is>
      </c>
      <c r="G3885" t="inlineStr">
        <is>
          <t>Jason</t>
        </is>
      </c>
      <c r="H3885" t="inlineStr">
        <is>
          <t>4x4</t>
        </is>
      </c>
      <c r="I3885" t="inlineStr">
        <is>
          <t>Daily/ Weekly Vehicle Inspection</t>
        </is>
      </c>
      <c r="J3885" t="inlineStr">
        <is>
          <t>N/A</t>
        </is>
      </c>
      <c r="K3885" t="inlineStr">
        <is>
          <t>3098 D &amp; R Landscapes</t>
        </is>
      </c>
      <c r="L3885" t="inlineStr">
        <is>
          <t>07/04/2026 09:48</t>
        </is>
      </c>
      <c r="M3885" t="inlineStr">
        <is>
          <t>None</t>
        </is>
      </c>
      <c r="N3885" t="inlineStr">
        <is>
          <t>&lt;p&gt;&lt;/p&gt;</t>
        </is>
      </c>
      <c r="O3885" t="inlineStr"/>
      <c r="P3885" t="inlineStr">
        <is>
          <t>WA13ZZK , 4x4 , Land Rover  , Defender</t>
        </is>
      </c>
      <c r="Q3885" t="inlineStr">
        <is>
          <t>UKPN</t>
        </is>
      </c>
      <c r="R3885" t="b">
        <v>0</v>
      </c>
    </row>
    <row r="3886">
      <c r="A3886" t="inlineStr">
        <is>
          <t>7 Apr 2026 / Rodney Taylor</t>
        </is>
      </c>
      <c r="B3886" t="inlineStr">
        <is>
          <t>Infrastructure &amp; Utilities</t>
        </is>
      </c>
      <c r="C3886" t="inlineStr">
        <is>
          <t>NGED</t>
        </is>
      </c>
      <c r="D3886" t="inlineStr">
        <is>
          <t>EK73UOM , Car - Electric , Kia , Niro</t>
        </is>
      </c>
      <c r="E3886" t="inlineStr">
        <is>
          <t>EK73UOM , Car - Electric , Kia , Niro</t>
        </is>
      </c>
      <c r="F3886" t="inlineStr">
        <is>
          <t>EK73UOM , Car - Electric , Kia , Niro</t>
        </is>
      </c>
      <c r="G3886" t="inlineStr">
        <is>
          <t xml:space="preserve">Rod Taylor </t>
        </is>
      </c>
      <c r="H3886" t="inlineStr">
        <is>
          <t>Car - Electric (GC Owned)</t>
        </is>
      </c>
      <c r="I3886" t="inlineStr">
        <is>
          <t>Monthly Vehicle Inspection</t>
        </is>
      </c>
      <c r="J3886" t="inlineStr">
        <is>
          <t>34589</t>
        </is>
      </c>
      <c r="K3886" t="inlineStr">
        <is>
          <t>Rodney Taylor</t>
        </is>
      </c>
      <c r="L3886" t="inlineStr">
        <is>
          <t>07/04/2026 09:51</t>
        </is>
      </c>
      <c r="M3886" t="inlineStr">
        <is>
          <t xml:space="preserve">WARNING LIGHTS
What to Check: 
Any warning lights, Dashboard display, and lights operational? (front, rear, beacons).
How: Start the vehicle and check the dashboard for illuminated warning lights. Test all exterior lights including front, rear, and beacons. Ensure all indicators, gauges, and displays are functioning properly.
Why: Functional warning lights and dashboard indicators alert the driver to potential issues with the vehicle's systems. Prompt attention to warning lights helps prevent mechanical failures, ensures roadworthiness, and enhances safety.: Fail
</t>
        </is>
      </c>
      <c r="N3886" t="inlineStr">
        <is>
          <t>&lt;p&gt;&lt;/p&gt;</t>
        </is>
      </c>
      <c r="O3886" t="inlineStr">
        <is>
          <t>EXTERIOR &amp; GLASS
What to Check: 
Is the body of the vehicle in good condition (any dents or scratches)? 
Is the windscreen and all mirrors free of chips or cracks? 
Are the window wipers operational and fit for purpose? 
Is the boot lid &amp; doors secure and operational? 
Is the number plate clean &amp; secure? 
Are charging cables fit for use? 
Are access &amp; egress points safe &amp; secure (e.g., steps &amp; handrails)?
How: Inspect the vehicle's exterior for dents, scratches, or rust spots. Check the windscreen and mirrors for any chips or cracks that could impair visibility. Test the operation of window wipers and ensure they effectively clear the windscreen. Verify the security and functionality of doors, boot lid, and number plate. Check the condition of charging cables and ensure access &amp; egress points are stable and safe.
Why: A well-maintained exterior enhances the vehicle's appearance, ensures driver visibility, and prevents potential safety hazards. Functional wipers, secure doors, and clear visibility contribute to safe driving conditions.:Small chip in windscreen.
-WARNING LIGHTS
What to Check: 
Any warning lights, Dashboard display, and lights operational? (front, rear, beacons).
How: Start the vehicle and check the dashboard for illuminated warning lights. Test all exterior lights including front, rear, and beacons. Ensure all indicators, gauges, and displays are functioning properly.
Why: Functional warning lights and dashboard indicators alert the driver to potential issues with the vehicle's systems. Prompt attention to warning lights helps prevent mechanical failures, ensures roadworthiness, and enhances safety.:Still showing low tyre pressure.
-</t>
        </is>
      </c>
      <c r="P3886" t="inlineStr">
        <is>
          <t>EK73UOM , Car - Electric , Kia , Niro</t>
        </is>
      </c>
      <c r="Q3886" t="inlineStr">
        <is>
          <t>NGED</t>
        </is>
      </c>
      <c r="R3886" t="b">
        <v>0</v>
      </c>
    </row>
    <row r="3887">
      <c r="A3887" t="inlineStr">
        <is>
          <t>7 Apr 2026 / 7186 Eastwoodbury Tree Services Ltd</t>
        </is>
      </c>
      <c r="B3887" t="inlineStr">
        <is>
          <t>Infrastructure &amp; Utilities</t>
        </is>
      </c>
      <c r="C3887" t="inlineStr">
        <is>
          <t>UKPN</t>
        </is>
      </c>
      <c r="D3887" t="inlineStr">
        <is>
          <t>WF13 EKT , 4x4 , Land rover  , Defender</t>
        </is>
      </c>
      <c r="E3887" t="inlineStr">
        <is>
          <t>WF13 EKT , 4x4 , Land rover  , Defender</t>
        </is>
      </c>
      <c r="F3887" t="inlineStr">
        <is>
          <t>WF13 EKT , 4x4 , Land rover  , Defender</t>
        </is>
      </c>
      <c r="G3887" t="inlineStr">
        <is>
          <t xml:space="preserve">Dan Gilbert </t>
        </is>
      </c>
      <c r="H3887" t="inlineStr">
        <is>
          <t>4x4</t>
        </is>
      </c>
      <c r="I3887" t="inlineStr">
        <is>
          <t>Daily/ Weekly Vehicle Inspection</t>
        </is>
      </c>
      <c r="J3887" t="inlineStr">
        <is>
          <t>N/A</t>
        </is>
      </c>
      <c r="K3887" t="inlineStr">
        <is>
          <t>7186 Eastwoodbury Tree Services Ltd</t>
        </is>
      </c>
      <c r="L3887" t="inlineStr">
        <is>
          <t>07/04/2026 11:21</t>
        </is>
      </c>
      <c r="M3887" t="inlineStr">
        <is>
          <t>None</t>
        </is>
      </c>
      <c r="N3887" t="inlineStr">
        <is>
          <t>&lt;p&gt;&lt;/p&gt;</t>
        </is>
      </c>
      <c r="O3887" t="inlineStr"/>
      <c r="P3887" t="inlineStr">
        <is>
          <t>WF13 EKT , 4x4 , Land rover  , Defender</t>
        </is>
      </c>
      <c r="Q3887" t="inlineStr">
        <is>
          <t>UKPN</t>
        </is>
      </c>
      <c r="R3887" t="b">
        <v>0</v>
      </c>
    </row>
    <row r="3888">
      <c r="A3888" t="inlineStr">
        <is>
          <t>7 Apr 2026 / 7186 Eastwoodbury Tree Services Ltd</t>
        </is>
      </c>
      <c r="B3888" t="inlineStr">
        <is>
          <t>Infrastructure &amp; Utilities</t>
        </is>
      </c>
      <c r="C3888" t="inlineStr">
        <is>
          <t>UKPN</t>
        </is>
      </c>
      <c r="D3888" t="inlineStr">
        <is>
          <t>FX14 XCV , 4x4 , Land Rover  , Defender</t>
        </is>
      </c>
      <c r="E3888" t="inlineStr">
        <is>
          <t>FX14 XCV , 4x4 , Land Rover  , Defender</t>
        </is>
      </c>
      <c r="F3888" t="inlineStr">
        <is>
          <t>FX14 XCV , 4x4 , Land Rover  , Defender</t>
        </is>
      </c>
      <c r="G3888" t="inlineStr">
        <is>
          <t xml:space="preserve">Luke Williams </t>
        </is>
      </c>
      <c r="H3888" t="inlineStr">
        <is>
          <t>4x4</t>
        </is>
      </c>
      <c r="I3888" t="inlineStr">
        <is>
          <t>Daily/ Weekly Vehicle Inspection</t>
        </is>
      </c>
      <c r="J3888" t="inlineStr">
        <is>
          <t>N/A</t>
        </is>
      </c>
      <c r="K3888" t="inlineStr">
        <is>
          <t>7186 Eastwoodbury Tree Services Ltd</t>
        </is>
      </c>
      <c r="L3888" t="inlineStr">
        <is>
          <t>07/04/2026 11:23</t>
        </is>
      </c>
      <c r="M3888" t="inlineStr">
        <is>
          <t>None</t>
        </is>
      </c>
      <c r="N3888" t="inlineStr">
        <is>
          <t>&lt;p&gt;&lt;/p&gt;</t>
        </is>
      </c>
      <c r="O3888" t="inlineStr"/>
      <c r="P3888" t="inlineStr">
        <is>
          <t>FX14 XCV , 4x4 , Land Rover  , Defender</t>
        </is>
      </c>
      <c r="Q3888" t="inlineStr">
        <is>
          <t>UKPN</t>
        </is>
      </c>
      <c r="R3888" t="b">
        <v>0</v>
      </c>
    </row>
    <row r="3889">
      <c r="A3889" t="inlineStr">
        <is>
          <t>7 Apr 2026 / 7996 M G Tree Surgery Ltd 1</t>
        </is>
      </c>
      <c r="B3889" t="inlineStr">
        <is>
          <t>Infrastructure &amp; Utilities</t>
        </is>
      </c>
      <c r="C3889" t="inlineStr">
        <is>
          <t>UKPN</t>
        </is>
      </c>
      <c r="D3889" t="inlineStr">
        <is>
          <t>KX20 BCE , Tipper , Isuzu , D-Max</t>
        </is>
      </c>
      <c r="E3889" t="inlineStr">
        <is>
          <t>KX20 BCE , Tipper , Isuzu , D-Max</t>
        </is>
      </c>
      <c r="F3889" t="inlineStr">
        <is>
          <t>KX20 BCE , Tipper , Isuzu , D-Max</t>
        </is>
      </c>
      <c r="G3889" t="inlineStr">
        <is>
          <t xml:space="preserve">Anthony Gale </t>
        </is>
      </c>
      <c r="H3889" t="inlineStr">
        <is>
          <t>Pickup Truck</t>
        </is>
      </c>
      <c r="I3889" t="inlineStr">
        <is>
          <t>Daily/ Weekly Vehicle Inspection</t>
        </is>
      </c>
      <c r="J3889" t="inlineStr">
        <is>
          <t>N/A</t>
        </is>
      </c>
      <c r="K3889" t="inlineStr">
        <is>
          <t>7996 M G Tree Surgery Ltd 1</t>
        </is>
      </c>
      <c r="L3889" t="inlineStr">
        <is>
          <t>07/04/2026 11:24</t>
        </is>
      </c>
      <c r="M3889" t="inlineStr">
        <is>
          <t>None</t>
        </is>
      </c>
      <c r="N3889" t="inlineStr">
        <is>
          <t>&lt;p&gt;&lt;/p&gt;</t>
        </is>
      </c>
      <c r="O3889" t="inlineStr"/>
      <c r="P3889" t="inlineStr">
        <is>
          <t>KX20 BCE , Tipper , Isuzu , D-Max</t>
        </is>
      </c>
      <c r="Q3889" t="inlineStr">
        <is>
          <t>UKPN</t>
        </is>
      </c>
      <c r="R3889" t="b">
        <v>0</v>
      </c>
    </row>
    <row r="3890">
      <c r="A3890" t="inlineStr">
        <is>
          <t>7 Apr 2026 / 7996 M G Tree Surgery Ltd 1</t>
        </is>
      </c>
      <c r="B3890" t="inlineStr">
        <is>
          <t>Infrastructure &amp; Utilities</t>
        </is>
      </c>
      <c r="C3890" t="inlineStr">
        <is>
          <t>UKPN</t>
        </is>
      </c>
      <c r="D3890" t="inlineStr"/>
      <c r="E3890" t="inlineStr"/>
      <c r="F3890" t="inlineStr"/>
      <c r="G3890" t="inlineStr">
        <is>
          <t>Anthony Gale</t>
        </is>
      </c>
      <c r="H3890" t="inlineStr">
        <is>
          <t>Towed Chipper</t>
        </is>
      </c>
      <c r="I3890" t="inlineStr">
        <is>
          <t>Daily/ Weekly Vehicle Inspection</t>
        </is>
      </c>
      <c r="J3890" t="inlineStr">
        <is>
          <t>N/A</t>
        </is>
      </c>
      <c r="K3890" t="inlineStr">
        <is>
          <t>7996 M G Tree Surgery Ltd 1</t>
        </is>
      </c>
      <c r="L3890" t="inlineStr">
        <is>
          <t>07/04/2026 11:25</t>
        </is>
      </c>
      <c r="M3890" t="inlineStr">
        <is>
          <t>None</t>
        </is>
      </c>
      <c r="N3890" t="inlineStr">
        <is>
          <t>&lt;p&gt;&lt;/p&gt;</t>
        </is>
      </c>
      <c r="O3890" t="inlineStr"/>
      <c r="P3890" t="inlineStr"/>
      <c r="Q3890" t="inlineStr">
        <is>
          <t>UKPN</t>
        </is>
      </c>
      <c r="R3890" t="b">
        <v>0</v>
      </c>
    </row>
    <row r="3891">
      <c r="A3891" t="inlineStr">
        <is>
          <t>7 Apr 2026 / 7806 Optimum Tree Services Ltd</t>
        </is>
      </c>
      <c r="B3891" t="inlineStr">
        <is>
          <t>Utilities</t>
        </is>
      </c>
      <c r="C3891" t="inlineStr">
        <is>
          <t>UKPN</t>
        </is>
      </c>
      <c r="D3891" t="inlineStr">
        <is>
          <t>Wd14evn , 4x4 , Landrover  , Defender</t>
        </is>
      </c>
      <c r="E3891" t="inlineStr">
        <is>
          <t>Wd14evn , 4x4 , Landrover  , Defender</t>
        </is>
      </c>
      <c r="F3891" t="inlineStr">
        <is>
          <t>Wd14evn , 4x4 , Landrover  , Defender</t>
        </is>
      </c>
      <c r="G3891" t="inlineStr">
        <is>
          <t xml:space="preserve">Lewis davies </t>
        </is>
      </c>
      <c r="H3891" t="inlineStr">
        <is>
          <t>4x4</t>
        </is>
      </c>
      <c r="I3891" t="inlineStr">
        <is>
          <t>Daily/ Weekly Vehicle Inspection</t>
        </is>
      </c>
      <c r="J3891" t="inlineStr">
        <is>
          <t>N/A</t>
        </is>
      </c>
      <c r="K3891" t="inlineStr">
        <is>
          <t>7806 Optimum Tree Services Ltd</t>
        </is>
      </c>
      <c r="L3891" t="inlineStr">
        <is>
          <t>07/04/2026 11:25</t>
        </is>
      </c>
      <c r="M3891" t="inlineStr">
        <is>
          <t>None</t>
        </is>
      </c>
      <c r="N3891" t="inlineStr">
        <is>
          <t>&lt;p&gt;&lt;/p&gt;</t>
        </is>
      </c>
      <c r="O3891" t="inlineStr"/>
      <c r="P3891" t="inlineStr">
        <is>
          <t>Wd14evn , 4x4 , Landrover  , Defender</t>
        </is>
      </c>
      <c r="Q3891" t="inlineStr">
        <is>
          <t>UKPN</t>
        </is>
      </c>
      <c r="R3891" t="b">
        <v>0</v>
      </c>
    </row>
    <row r="3892">
      <c r="A3892" t="inlineStr">
        <is>
          <t>7 Apr 2026 / 7806 Optimum Tree Services Ltd</t>
        </is>
      </c>
      <c r="B3892" t="inlineStr">
        <is>
          <t>Utilities</t>
        </is>
      </c>
      <c r="C3892" t="inlineStr">
        <is>
          <t>UKPN</t>
        </is>
      </c>
      <c r="D3892" t="inlineStr">
        <is>
          <t>SA9TAPLAF27414263 , Trailer , Tow Mate , Plant Trailer</t>
        </is>
      </c>
      <c r="E3892" t="inlineStr">
        <is>
          <t>SA9TAPLAF27414263 , Trailer , Tow Mate , Plant Trailer</t>
        </is>
      </c>
      <c r="F3892" t="inlineStr">
        <is>
          <t>SA9TAPLAF27414263 , Trailer , Tow Mate , Plant Trailer</t>
        </is>
      </c>
      <c r="G3892" t="inlineStr">
        <is>
          <t xml:space="preserve">Abraham Davies </t>
        </is>
      </c>
      <c r="H3892" t="inlineStr">
        <is>
          <t>Plant Trailer</t>
        </is>
      </c>
      <c r="I3892" t="inlineStr">
        <is>
          <t>Daily/ Weekly Vehicle Inspection</t>
        </is>
      </c>
      <c r="J3892" t="inlineStr">
        <is>
          <t>N/A</t>
        </is>
      </c>
      <c r="K3892" t="inlineStr">
        <is>
          <t>7806 Optimum Tree Services Ltd</t>
        </is>
      </c>
      <c r="L3892" t="inlineStr">
        <is>
          <t>07/04/2026 11:26</t>
        </is>
      </c>
      <c r="M3892" t="inlineStr">
        <is>
          <t>None</t>
        </is>
      </c>
      <c r="N3892" t="inlineStr">
        <is>
          <t>&lt;p&gt;&lt;/p&gt;</t>
        </is>
      </c>
      <c r="O3892" t="inlineStr"/>
      <c r="P3892" t="inlineStr">
        <is>
          <t>SA9TAPLAF27414263 , Trailer , Tow Mate , Plant Trailer</t>
        </is>
      </c>
      <c r="Q3892" t="inlineStr">
        <is>
          <t>UKPN</t>
        </is>
      </c>
      <c r="R3892" t="b">
        <v>0</v>
      </c>
    </row>
    <row r="3893">
      <c r="A3893" t="inlineStr">
        <is>
          <t>7 Apr 2026 / 7806 Optimum Tree Services Ltd</t>
        </is>
      </c>
      <c r="B3893" t="inlineStr">
        <is>
          <t>Utilities</t>
        </is>
      </c>
      <c r="C3893" t="inlineStr">
        <is>
          <t>UKPN</t>
        </is>
      </c>
      <c r="D3893" t="inlineStr">
        <is>
          <t>WD14EVB , MEWP , Land Rover , Defender</t>
        </is>
      </c>
      <c r="E3893" t="inlineStr">
        <is>
          <t>WD14EVB , MEWP , Land Rover , Defender</t>
        </is>
      </c>
      <c r="F3893" t="inlineStr">
        <is>
          <t>WD14EVB , MEWP , Land Rover , Defender</t>
        </is>
      </c>
      <c r="G3893" t="inlineStr">
        <is>
          <t xml:space="preserve">Abraham Davies </t>
        </is>
      </c>
      <c r="H3893" t="inlineStr">
        <is>
          <t>4x4</t>
        </is>
      </c>
      <c r="I3893" t="inlineStr">
        <is>
          <t>Daily/ Weekly Vehicle Inspection</t>
        </is>
      </c>
      <c r="J3893" t="inlineStr">
        <is>
          <t>N/A</t>
        </is>
      </c>
      <c r="K3893" t="inlineStr">
        <is>
          <t>7806 Optimum Tree Services Ltd</t>
        </is>
      </c>
      <c r="L3893" t="inlineStr">
        <is>
          <t>07/04/2026 11:27</t>
        </is>
      </c>
      <c r="M3893" t="inlineStr">
        <is>
          <t>None</t>
        </is>
      </c>
      <c r="N3893" t="inlineStr">
        <is>
          <t>&lt;p&gt;&lt;/p&gt;</t>
        </is>
      </c>
      <c r="O3893" t="inlineStr"/>
      <c r="P3893" t="inlineStr">
        <is>
          <t>WD14EVB , MEWP , Land Rover , Defender</t>
        </is>
      </c>
      <c r="Q3893" t="inlineStr">
        <is>
          <t>UKPN</t>
        </is>
      </c>
      <c r="R3893" t="b">
        <v>0</v>
      </c>
    </row>
    <row r="3894">
      <c r="A3894" t="inlineStr">
        <is>
          <t>7 Apr 2026 / 7800 MAC Tree Surgery and Fencing Ltd / Utilities / UKPN</t>
        </is>
      </c>
      <c r="B3894" t="inlineStr">
        <is>
          <t>Utilities</t>
        </is>
      </c>
      <c r="C3894" t="inlineStr">
        <is>
          <t>UKPN</t>
        </is>
      </c>
      <c r="D3894" t="inlineStr">
        <is>
          <t>AY68DAA , 4x4 , Izuzu , Dmax</t>
        </is>
      </c>
      <c r="E3894" t="inlineStr">
        <is>
          <t>AY68DAA , 4x4 , Izuzu , Dmax</t>
        </is>
      </c>
      <c r="F3894" t="inlineStr">
        <is>
          <t>AY68DAA , 4x4 , Izuzu , Dmax</t>
        </is>
      </c>
      <c r="G3894" t="inlineStr">
        <is>
          <t xml:space="preserve">Patrick O'Shea </t>
        </is>
      </c>
      <c r="H3894" t="inlineStr">
        <is>
          <t>4x4</t>
        </is>
      </c>
      <c r="I3894" t="inlineStr">
        <is>
          <t>Daily/ Weekly Vehicle Inspection</t>
        </is>
      </c>
      <c r="J3894" t="inlineStr">
        <is>
          <t>N/A</t>
        </is>
      </c>
      <c r="K3894" t="inlineStr">
        <is>
          <t>7800 MAC Tree Surgery and Fencing Ltd</t>
        </is>
      </c>
      <c r="L3894" t="inlineStr">
        <is>
          <t>07/04/2026 11:28</t>
        </is>
      </c>
      <c r="M3894" t="inlineStr">
        <is>
          <t>None</t>
        </is>
      </c>
      <c r="N3894" t="inlineStr">
        <is>
          <t>&lt;p&gt;&lt;/p&gt;</t>
        </is>
      </c>
      <c r="O3894" t="inlineStr"/>
      <c r="P3894" t="inlineStr">
        <is>
          <t>AY68DAA , 4x4 , Izuzu , Dmax</t>
        </is>
      </c>
      <c r="Q3894" t="inlineStr">
        <is>
          <t>UKPN</t>
        </is>
      </c>
      <c r="R3894" t="b">
        <v>0</v>
      </c>
    </row>
    <row r="3895">
      <c r="A3895" t="inlineStr">
        <is>
          <t>7 Apr 2026 / 7800 MAC Tree Surgery and Fencing Ltd / Utilities / UKPN</t>
        </is>
      </c>
      <c r="B3895" t="inlineStr">
        <is>
          <t>Utilities</t>
        </is>
      </c>
      <c r="C3895" t="inlineStr">
        <is>
          <t>UKPN</t>
        </is>
      </c>
      <c r="D3895" t="inlineStr">
        <is>
          <t>Plant Trailer - Towmate - 2.8t - 0</t>
        </is>
      </c>
      <c r="E3895" t="inlineStr">
        <is>
          <t>Plant Trailer - Towmate - 2.8t - 0</t>
        </is>
      </c>
      <c r="F3895" t="inlineStr">
        <is>
          <t>Plant Trailer - Towmate - 2.8t - 0</t>
        </is>
      </c>
      <c r="G3895" t="inlineStr">
        <is>
          <t>Lewis mac</t>
        </is>
      </c>
      <c r="H3895" t="inlineStr">
        <is>
          <t>Plant Trailer</t>
        </is>
      </c>
      <c r="I3895" t="inlineStr">
        <is>
          <t>Daily/ Weekly Vehicle Inspection</t>
        </is>
      </c>
      <c r="J3895" t="inlineStr">
        <is>
          <t>N/A</t>
        </is>
      </c>
      <c r="K3895" t="inlineStr">
        <is>
          <t>7800 MAC Tree Surgery and Fencing Ltd</t>
        </is>
      </c>
      <c r="L3895" t="inlineStr">
        <is>
          <t>07/04/2026 11:29</t>
        </is>
      </c>
      <c r="M3895" t="inlineStr">
        <is>
          <t>None</t>
        </is>
      </c>
      <c r="N3895" t="inlineStr">
        <is>
          <t>&lt;p&gt;&lt;/p&gt;</t>
        </is>
      </c>
      <c r="O3895" t="inlineStr"/>
      <c r="P3895" t="inlineStr">
        <is>
          <t>Plant Trailer - Towmate - 2.8t - 0</t>
        </is>
      </c>
      <c r="Q3895" t="inlineStr">
        <is>
          <t>UKPN</t>
        </is>
      </c>
      <c r="R3895" t="b">
        <v>0</v>
      </c>
    </row>
    <row r="3896">
      <c r="A3896" t="inlineStr">
        <is>
          <t>7 Apr 2026 / 8040 S6 Tree specialists Ltd</t>
        </is>
      </c>
      <c r="B3896" t="inlineStr">
        <is>
          <t>Infrastructure &amp; Utilities</t>
        </is>
      </c>
      <c r="C3896" t="inlineStr">
        <is>
          <t>UKPN</t>
        </is>
      </c>
      <c r="D3896" t="inlineStr">
        <is>
          <t>GY08 RVC , 4x4 MEWP , Land Rover , Defender</t>
        </is>
      </c>
      <c r="E3896" t="inlineStr">
        <is>
          <t>GY08 RVC , 4x4 MEWP , Land Rover , Defender</t>
        </is>
      </c>
      <c r="F3896" t="inlineStr">
        <is>
          <t>GY08 RVC , 4x4 MEWP , Land Rover , Defender</t>
        </is>
      </c>
      <c r="G3896" t="inlineStr">
        <is>
          <t xml:space="preserve">Luke </t>
        </is>
      </c>
      <c r="H3896" t="inlineStr">
        <is>
          <t>4x4</t>
        </is>
      </c>
      <c r="I3896" t="inlineStr">
        <is>
          <t>Daily/ Weekly Vehicle Inspection</t>
        </is>
      </c>
      <c r="J3896" t="inlineStr">
        <is>
          <t>N/A</t>
        </is>
      </c>
      <c r="K3896" t="inlineStr">
        <is>
          <t>8040 S6 Tree specialists Ltd</t>
        </is>
      </c>
      <c r="L3896" t="inlineStr">
        <is>
          <t>07/04/2026 11:29</t>
        </is>
      </c>
      <c r="M3896" t="inlineStr">
        <is>
          <t>None</t>
        </is>
      </c>
      <c r="N3896" t="inlineStr">
        <is>
          <t>&lt;p&gt;&lt;/p&gt;</t>
        </is>
      </c>
      <c r="O3896" t="inlineStr"/>
      <c r="P3896" t="inlineStr">
        <is>
          <t>GY08 RVC , 4x4 MEWP , Land Rover , Defender</t>
        </is>
      </c>
      <c r="Q3896" t="inlineStr">
        <is>
          <t>UKPN</t>
        </is>
      </c>
      <c r="R3896" t="b">
        <v>0</v>
      </c>
    </row>
    <row r="3897">
      <c r="A3897" t="inlineStr">
        <is>
          <t>7 Apr 2026 / Ashley Hill</t>
        </is>
      </c>
      <c r="B3897" t="inlineStr">
        <is>
          <t>Infrastructure &amp; Utilities</t>
        </is>
      </c>
      <c r="C3897" t="inlineStr">
        <is>
          <t>NGED</t>
        </is>
      </c>
      <c r="D3897" t="inlineStr"/>
      <c r="E3897" t="inlineStr"/>
      <c r="F3897" t="inlineStr"/>
      <c r="G3897" t="inlineStr">
        <is>
          <t>Ashley hill</t>
        </is>
      </c>
      <c r="H3897" t="inlineStr">
        <is>
          <t>Car - Petrol</t>
        </is>
      </c>
      <c r="I3897" t="inlineStr">
        <is>
          <t>Daily/ Weekly Vehicle Inspection</t>
        </is>
      </c>
      <c r="J3897" t="inlineStr">
        <is>
          <t>N/A</t>
        </is>
      </c>
      <c r="K3897" t="inlineStr">
        <is>
          <t>Ashley Hill</t>
        </is>
      </c>
      <c r="L3897" t="inlineStr">
        <is>
          <t>07/04/2026 11:48</t>
        </is>
      </c>
      <c r="M3897" t="inlineStr">
        <is>
          <t>None</t>
        </is>
      </c>
      <c r="N3897" t="inlineStr">
        <is>
          <t>&lt;p&gt;&lt;/p&gt;</t>
        </is>
      </c>
      <c r="O3897" t="inlineStr"/>
      <c r="P3897" t="inlineStr"/>
      <c r="Q3897" t="inlineStr">
        <is>
          <t>NGED</t>
        </is>
      </c>
      <c r="R3897" t="b">
        <v>0</v>
      </c>
    </row>
    <row r="3898">
      <c r="A3898" t="inlineStr">
        <is>
          <t>7 Apr 2026 / Joe Lemar</t>
        </is>
      </c>
      <c r="B3898" t="inlineStr">
        <is>
          <t>Infrastructure &amp; Utilities</t>
        </is>
      </c>
      <c r="C3898" t="inlineStr">
        <is>
          <t>SSE</t>
        </is>
      </c>
      <c r="D3898" t="inlineStr">
        <is>
          <t>AK70TBV , Car - Electric , Tesla , Model 3 Long Range AWD</t>
        </is>
      </c>
      <c r="E3898" t="inlineStr">
        <is>
          <t>AK70TBV , Car - Electric , Tesla , Model 3 Long Range AWD</t>
        </is>
      </c>
      <c r="F3898" t="inlineStr">
        <is>
          <t>AK70TBV , Car - Electric , Tesla , Model 3 Long Range AWD</t>
        </is>
      </c>
      <c r="G3898" t="inlineStr">
        <is>
          <t>Joe Lemar</t>
        </is>
      </c>
      <c r="H3898" t="inlineStr">
        <is>
          <t>Car - Electric (GC Owned)</t>
        </is>
      </c>
      <c r="I3898" t="inlineStr">
        <is>
          <t>Daily/ Weekly Vehicle Inspection</t>
        </is>
      </c>
      <c r="J3898" t="inlineStr">
        <is>
          <t>N/A</t>
        </is>
      </c>
      <c r="K3898" t="inlineStr">
        <is>
          <t>Joe Lemar</t>
        </is>
      </c>
      <c r="L3898" t="inlineStr">
        <is>
          <t>07/04/2026 12:47</t>
        </is>
      </c>
      <c r="M3898" t="inlineStr">
        <is>
          <t>None</t>
        </is>
      </c>
      <c r="N3898" t="inlineStr">
        <is>
          <t>&lt;p&gt;&lt;/p&gt;</t>
        </is>
      </c>
      <c r="O3898" t="inlineStr"/>
      <c r="P3898" t="inlineStr">
        <is>
          <t>AK70TBV , Car - Electric , Tesla , Model 3 Long Range AWD</t>
        </is>
      </c>
      <c r="Q3898" t="inlineStr">
        <is>
          <t>SSE</t>
        </is>
      </c>
      <c r="R3898" t="b">
        <v>0</v>
      </c>
    </row>
    <row r="3899">
      <c r="A3899" t="inlineStr">
        <is>
          <t>7 Apr 2026 / Christopher Simeoli</t>
        </is>
      </c>
      <c r="B3899" t="inlineStr">
        <is>
          <t>Infrastructure &amp; Utilities</t>
        </is>
      </c>
      <c r="C3899" t="inlineStr">
        <is>
          <t>NGED</t>
        </is>
      </c>
      <c r="D3899" t="inlineStr">
        <is>
          <t>EO73KVB , Car - Electric , Kia , Niro</t>
        </is>
      </c>
      <c r="E3899" t="inlineStr">
        <is>
          <t>EO73KVB , Car - Electric , Kia , Niro</t>
        </is>
      </c>
      <c r="F3899" t="inlineStr">
        <is>
          <t>EO73KVB , Car - Electric , Kia , Niro</t>
        </is>
      </c>
      <c r="G3899" t="inlineStr">
        <is>
          <t>Chris Simeoli</t>
        </is>
      </c>
      <c r="H3899" t="inlineStr">
        <is>
          <t>Car - Electric (GC Owned)</t>
        </is>
      </c>
      <c r="I3899" t="inlineStr">
        <is>
          <t>Daily/ Weekly Vehicle Inspection</t>
        </is>
      </c>
      <c r="J3899" t="inlineStr">
        <is>
          <t>N/A</t>
        </is>
      </c>
      <c r="K3899" t="inlineStr">
        <is>
          <t>Christopher Simeoli</t>
        </is>
      </c>
      <c r="L3899" t="inlineStr">
        <is>
          <t>07/04/2026 15:47</t>
        </is>
      </c>
      <c r="M3899" t="inlineStr">
        <is>
          <t>None</t>
        </is>
      </c>
      <c r="N3899" t="inlineStr">
        <is>
          <t>&lt;p&gt;&lt;/p&gt;</t>
        </is>
      </c>
      <c r="O3899" t="inlineStr"/>
      <c r="P3899" t="inlineStr">
        <is>
          <t>EO73KVB , Car - Electric , Kia , Niro</t>
        </is>
      </c>
      <c r="Q3899" t="inlineStr">
        <is>
          <t>NGED</t>
        </is>
      </c>
      <c r="R3899" t="b">
        <v>0</v>
      </c>
    </row>
    <row r="3900">
      <c r="A3900" t="inlineStr">
        <is>
          <t>7 Apr 2026 / Keil Cheung</t>
        </is>
      </c>
      <c r="B3900" t="inlineStr">
        <is>
          <t>Infrastructure &amp; Utilities</t>
        </is>
      </c>
      <c r="C3900" t="inlineStr">
        <is>
          <t>NGED</t>
        </is>
      </c>
      <c r="D3900" t="inlineStr">
        <is>
          <t>GJ71KHV , Car - Electric , Tesla , Model 3 Long Range AWD</t>
        </is>
      </c>
      <c r="E3900" t="inlineStr">
        <is>
          <t>GJ71KHV , Car - Electric , Tesla , Model 3 Long Range AWD</t>
        </is>
      </c>
      <c r="F3900" t="inlineStr">
        <is>
          <t>GJ71KHV , Car - Electric , Tesla , Model 3 Long Range AWD</t>
        </is>
      </c>
      <c r="G3900" t="inlineStr">
        <is>
          <t>Keil cheung</t>
        </is>
      </c>
      <c r="H3900" t="inlineStr">
        <is>
          <t>Car - Electric (GC Owned)</t>
        </is>
      </c>
      <c r="I3900" t="inlineStr">
        <is>
          <t>Daily/ Weekly Vehicle Inspection</t>
        </is>
      </c>
      <c r="J3900" t="inlineStr">
        <is>
          <t>N/A</t>
        </is>
      </c>
      <c r="K3900" t="inlineStr">
        <is>
          <t>Keil Cheung</t>
        </is>
      </c>
      <c r="L3900" t="inlineStr">
        <is>
          <t>07/04/2026 15:48</t>
        </is>
      </c>
      <c r="M3900" t="inlineStr">
        <is>
          <t>None</t>
        </is>
      </c>
      <c r="N3900" t="inlineStr">
        <is>
          <t>&lt;p&gt;&lt;/p&gt;</t>
        </is>
      </c>
      <c r="O3900" t="inlineStr"/>
      <c r="P3900" t="inlineStr">
        <is>
          <t>GJ71KHV , Car - Electric , Tesla , Model 3 Long Range AWD</t>
        </is>
      </c>
      <c r="Q3900" t="inlineStr">
        <is>
          <t>NGED</t>
        </is>
      </c>
      <c r="R3900" t="b">
        <v>0</v>
      </c>
    </row>
    <row r="3901">
      <c r="A3901" t="inlineStr">
        <is>
          <t>7 Apr 2026 / 7995 Green Net Eco Ltd 2</t>
        </is>
      </c>
      <c r="B3901" t="inlineStr">
        <is>
          <t>Infrastructure &amp; Utilities</t>
        </is>
      </c>
      <c r="C3901" t="inlineStr">
        <is>
          <t>UKPN</t>
        </is>
      </c>
      <c r="D3901" t="inlineStr">
        <is>
          <t>SCK80000075030058 , Flat Bed Trailer , IFOR Williams , LM187G3</t>
        </is>
      </c>
      <c r="E3901" t="inlineStr">
        <is>
          <t>SCK80000075030058 , Flat Bed Trailer , IFOR Williams , LM187G3</t>
        </is>
      </c>
      <c r="F3901" t="inlineStr">
        <is>
          <t>SCK80000075030058 , Flat Bed Trailer , IFOR Williams , LM187G3</t>
        </is>
      </c>
      <c r="G3901" t="inlineStr">
        <is>
          <t>Thomas Playford</t>
        </is>
      </c>
      <c r="H3901" t="inlineStr">
        <is>
          <t>Flat Bed Trailer</t>
        </is>
      </c>
      <c r="I3901" t="inlineStr">
        <is>
          <t>Daily/ Weekly Vehicle Inspection</t>
        </is>
      </c>
      <c r="J3901" t="inlineStr">
        <is>
          <t>N/A</t>
        </is>
      </c>
      <c r="K3901" t="inlineStr">
        <is>
          <t>7995 Green Net Eco Ltd 2</t>
        </is>
      </c>
      <c r="L3901" t="inlineStr">
        <is>
          <t>07/04/2026 21:47</t>
        </is>
      </c>
      <c r="M3901" t="inlineStr">
        <is>
          <t>None</t>
        </is>
      </c>
      <c r="N3901" t="inlineStr">
        <is>
          <t>&lt;p&gt;&lt;/p&gt;</t>
        </is>
      </c>
      <c r="O3901" t="inlineStr"/>
      <c r="P3901" t="inlineStr">
        <is>
          <t>SCK80000075030058 , Flat Bed Trailer , IFOR Williams , LM187G3</t>
        </is>
      </c>
      <c r="Q3901" t="inlineStr">
        <is>
          <t>UKPN</t>
        </is>
      </c>
      <c r="R3901" t="b">
        <v>0</v>
      </c>
    </row>
    <row r="3902">
      <c r="A3902" t="inlineStr">
        <is>
          <t>8 Apr 2026 / Jodie Bowen</t>
        </is>
      </c>
      <c r="B3902" t="inlineStr">
        <is>
          <t>Infrastructure &amp; Utilities</t>
        </is>
      </c>
      <c r="C3902" t="inlineStr">
        <is>
          <t>UKPN</t>
        </is>
      </c>
      <c r="D3902" t="inlineStr">
        <is>
          <t>AF22XRA , Car - Electric , Tesla , Model 3 Long Range AWD</t>
        </is>
      </c>
      <c r="E3902" t="inlineStr">
        <is>
          <t>AF22XRA , Car - Electric , Tesla , Model 3 Long Range AWD</t>
        </is>
      </c>
      <c r="F3902" t="inlineStr">
        <is>
          <t>AF22XRA , Car - Electric , Tesla , Model 3 Long Range AWD</t>
        </is>
      </c>
      <c r="G3902" t="inlineStr">
        <is>
          <t>Jodie Bowen</t>
        </is>
      </c>
      <c r="H3902" t="inlineStr">
        <is>
          <t>Car - Electric (GC Owned)</t>
        </is>
      </c>
      <c r="I3902" t="inlineStr">
        <is>
          <t>Daily/ Weekly Vehicle Inspection</t>
        </is>
      </c>
      <c r="J3902" t="inlineStr">
        <is>
          <t>N/A</t>
        </is>
      </c>
      <c r="K3902" t="inlineStr">
        <is>
          <t>Jodie Bowen</t>
        </is>
      </c>
      <c r="L3902" t="inlineStr">
        <is>
          <t>08/04/2026 06:47</t>
        </is>
      </c>
      <c r="M3902" t="inlineStr">
        <is>
          <t>None</t>
        </is>
      </c>
      <c r="N3902" t="inlineStr">
        <is>
          <t>&lt;p&gt;&lt;/p&gt;</t>
        </is>
      </c>
      <c r="O3902" t="inlineStr"/>
      <c r="P3902" t="inlineStr">
        <is>
          <t>AF22XRA , Car - Electric , Tesla , Model 3 Long Range AWD</t>
        </is>
      </c>
      <c r="Q3902" t="inlineStr">
        <is>
          <t>UKPN</t>
        </is>
      </c>
      <c r="R3902" t="b">
        <v>0</v>
      </c>
    </row>
    <row r="3903">
      <c r="A3903" t="inlineStr">
        <is>
          <t>8 Apr 2026 / 8040 S6 Tree specialists Ltd</t>
        </is>
      </c>
      <c r="B3903" t="inlineStr">
        <is>
          <t>Infrastructure &amp; Utilities</t>
        </is>
      </c>
      <c r="C3903" t="inlineStr">
        <is>
          <t>UKPN</t>
        </is>
      </c>
      <c r="D3903" t="inlineStr">
        <is>
          <t>GY08 RVC , 4x4 MEWP , Land Rover , Defender</t>
        </is>
      </c>
      <c r="E3903" t="inlineStr">
        <is>
          <t>GY08 RVC , 4x4 MEWP , Land Rover , Defender</t>
        </is>
      </c>
      <c r="F3903" t="inlineStr">
        <is>
          <t>GY08 RVC , 4x4 MEWP , Land Rover , Defender</t>
        </is>
      </c>
      <c r="G3903" t="inlineStr">
        <is>
          <t>Luke</t>
        </is>
      </c>
      <c r="H3903" t="inlineStr">
        <is>
          <t>4x4</t>
        </is>
      </c>
      <c r="I3903" t="inlineStr">
        <is>
          <t>Daily/ Weekly Vehicle Inspection</t>
        </is>
      </c>
      <c r="J3903" t="inlineStr">
        <is>
          <t>N/A</t>
        </is>
      </c>
      <c r="K3903" t="inlineStr">
        <is>
          <t>8040 S6 Tree specialists Ltd</t>
        </is>
      </c>
      <c r="L3903" t="inlineStr">
        <is>
          <t>08/04/2026 06:48</t>
        </is>
      </c>
      <c r="M3903" t="inlineStr">
        <is>
          <t>None</t>
        </is>
      </c>
      <c r="N3903" t="inlineStr">
        <is>
          <t>&lt;p&gt;&lt;/p&gt;</t>
        </is>
      </c>
      <c r="O3903" t="inlineStr"/>
      <c r="P3903" t="inlineStr">
        <is>
          <t>GY08 RVC , 4x4 MEWP , Land Rover , Defender</t>
        </is>
      </c>
      <c r="Q3903" t="inlineStr">
        <is>
          <t>UKPN</t>
        </is>
      </c>
      <c r="R3903" t="b">
        <v>0</v>
      </c>
    </row>
    <row r="3904">
      <c r="A3904" t="inlineStr">
        <is>
          <t>8 Apr 2026 / 6617 Ashdown Tree Limited 1</t>
        </is>
      </c>
      <c r="B3904" t="inlineStr">
        <is>
          <t>Infrastructure &amp; Utilities</t>
        </is>
      </c>
      <c r="C3904" t="inlineStr">
        <is>
          <t>UKPN</t>
        </is>
      </c>
      <c r="D3904" t="inlineStr">
        <is>
          <t>WG63OJS , 4x4 , Land rover  , defender</t>
        </is>
      </c>
      <c r="E3904" t="inlineStr">
        <is>
          <t>WG63OJS , 4x4 , Land rover  , defender</t>
        </is>
      </c>
      <c r="F3904" t="inlineStr">
        <is>
          <t>WG63OJS , 4x4 , Land rover  , defender</t>
        </is>
      </c>
      <c r="G3904" t="inlineStr">
        <is>
          <t>Dan</t>
        </is>
      </c>
      <c r="H3904" t="inlineStr">
        <is>
          <t>4x4</t>
        </is>
      </c>
      <c r="I3904" t="inlineStr">
        <is>
          <t>Daily/ Weekly Vehicle Inspection</t>
        </is>
      </c>
      <c r="J3904" t="inlineStr">
        <is>
          <t>N/A</t>
        </is>
      </c>
      <c r="K3904" t="inlineStr">
        <is>
          <t>6617 Ashdown Tree Limited - Team 2</t>
        </is>
      </c>
      <c r="L3904" t="inlineStr">
        <is>
          <t>08/04/2026 06:49</t>
        </is>
      </c>
      <c r="M3904" t="inlineStr">
        <is>
          <t>None</t>
        </is>
      </c>
      <c r="N3904" t="inlineStr">
        <is>
          <t>&lt;p&gt;&lt;/p&gt;</t>
        </is>
      </c>
      <c r="O3904" t="inlineStr"/>
      <c r="P3904" t="inlineStr">
        <is>
          <t>WG63OJS , 4x4 , Land rover  , defender</t>
        </is>
      </c>
      <c r="Q3904" t="inlineStr">
        <is>
          <t>UKPN</t>
        </is>
      </c>
      <c r="R3904" t="b">
        <v>0</v>
      </c>
    </row>
    <row r="3905">
      <c r="A3905" t="inlineStr">
        <is>
          <t>8 Apr 2026 / 7995 Green Net Eco Ltd 2</t>
        </is>
      </c>
      <c r="B3905" t="inlineStr">
        <is>
          <t>Infrastructure &amp; Utilities</t>
        </is>
      </c>
      <c r="C3905" t="inlineStr">
        <is>
          <t>UKPN</t>
        </is>
      </c>
      <c r="D3905" t="inlineStr">
        <is>
          <t>LK15KRZ , 4x4 , Landrover , Defender</t>
        </is>
      </c>
      <c r="E3905" t="inlineStr">
        <is>
          <t>LK15KRZ , 4x4 , Landrover , Defender</t>
        </is>
      </c>
      <c r="F3905" t="inlineStr">
        <is>
          <t>LK15KRZ , 4x4 , Landrover , Defender</t>
        </is>
      </c>
      <c r="G3905" t="inlineStr">
        <is>
          <t>Thomas Playford</t>
        </is>
      </c>
      <c r="H3905" t="inlineStr">
        <is>
          <t>4x4</t>
        </is>
      </c>
      <c r="I3905" t="inlineStr">
        <is>
          <t>Daily/ Weekly Vehicle Inspection</t>
        </is>
      </c>
      <c r="J3905" t="inlineStr">
        <is>
          <t>N/A</t>
        </is>
      </c>
      <c r="K3905" t="inlineStr">
        <is>
          <t>7995 Green Net Eco Ltd 2</t>
        </is>
      </c>
      <c r="L3905" t="inlineStr">
        <is>
          <t>08/04/2026 07:47</t>
        </is>
      </c>
      <c r="M3905" t="inlineStr">
        <is>
          <t>None</t>
        </is>
      </c>
      <c r="N3905" t="inlineStr">
        <is>
          <t>&lt;p&gt;&lt;/p&gt;</t>
        </is>
      </c>
      <c r="O3905" t="inlineStr"/>
      <c r="P3905" t="inlineStr">
        <is>
          <t>LK15KRZ , 4x4 , Landrover , Defender</t>
        </is>
      </c>
      <c r="Q3905" t="inlineStr">
        <is>
          <t>UKPN</t>
        </is>
      </c>
      <c r="R3905" t="b">
        <v>0</v>
      </c>
    </row>
    <row r="3906">
      <c r="A3906" t="inlineStr">
        <is>
          <t>8 Apr 2026 / 8148 Hope Ground and Tree Care</t>
        </is>
      </c>
      <c r="B3906" t="inlineStr">
        <is>
          <t>Infrastructure &amp; Utilities</t>
        </is>
      </c>
      <c r="C3906" t="inlineStr">
        <is>
          <t>UKPN</t>
        </is>
      </c>
      <c r="D3906" t="inlineStr">
        <is>
          <t>S6 NWX , MEWP , Isuzu , D-Max</t>
        </is>
      </c>
      <c r="E3906" t="inlineStr">
        <is>
          <t>S6 NWX , MEWP , Isuzu , D-Max</t>
        </is>
      </c>
      <c r="F3906" t="inlineStr">
        <is>
          <t>S6 NWX , MEWP , Isuzu , D-Max</t>
        </is>
      </c>
      <c r="G3906" t="inlineStr">
        <is>
          <t>A Hope</t>
        </is>
      </c>
      <c r="H3906" t="inlineStr">
        <is>
          <t>4x4</t>
        </is>
      </c>
      <c r="I3906" t="inlineStr">
        <is>
          <t>Daily/ Weekly Vehicle Inspection</t>
        </is>
      </c>
      <c r="J3906" t="inlineStr">
        <is>
          <t>N/A</t>
        </is>
      </c>
      <c r="K3906" t="inlineStr">
        <is>
          <t>8148 Hope Ground and Tree Care</t>
        </is>
      </c>
      <c r="L3906" t="inlineStr">
        <is>
          <t>08/04/2026 07:48</t>
        </is>
      </c>
      <c r="M3906" t="inlineStr">
        <is>
          <t>None</t>
        </is>
      </c>
      <c r="N3906" t="inlineStr">
        <is>
          <t>&lt;p&gt;&lt;/p&gt;</t>
        </is>
      </c>
      <c r="O3906" t="inlineStr"/>
      <c r="P3906" t="inlineStr">
        <is>
          <t>S6 NWX , MEWP , Isuzu , D-Max</t>
        </is>
      </c>
      <c r="Q3906" t="inlineStr">
        <is>
          <t>UKPN</t>
        </is>
      </c>
      <c r="R3906" t="b">
        <v>0</v>
      </c>
    </row>
    <row r="3907">
      <c r="A3907" t="inlineStr">
        <is>
          <t>8 Apr 2026 / 7995 Green Net Eco Ltd 2</t>
        </is>
      </c>
      <c r="B3907" t="inlineStr">
        <is>
          <t>Infrastructure &amp; Utilities</t>
        </is>
      </c>
      <c r="C3907" t="inlineStr">
        <is>
          <t>UKPN</t>
        </is>
      </c>
      <c r="D3907" t="inlineStr"/>
      <c r="E3907" t="inlineStr"/>
      <c r="F3907" t="inlineStr"/>
      <c r="G3907" t="inlineStr">
        <is>
          <t>Thomas Playford</t>
        </is>
      </c>
      <c r="H3907" t="inlineStr"/>
      <c r="I3907" t="inlineStr">
        <is>
          <t>Add to Vehicle to the GC Vehicle List</t>
        </is>
      </c>
      <c r="J3907" t="inlineStr">
        <is>
          <t>N/A</t>
        </is>
      </c>
      <c r="K3907" t="inlineStr">
        <is>
          <t>7995 Green Net Eco Ltd 2</t>
        </is>
      </c>
      <c r="L3907" t="inlineStr">
        <is>
          <t>08/04/2026 07:49</t>
        </is>
      </c>
      <c r="M3907" t="inlineStr">
        <is>
          <t>None</t>
        </is>
      </c>
      <c r="N3907" t="inlineStr">
        <is>
          <t>&lt;p&gt;&lt;/p&gt;</t>
        </is>
      </c>
      <c r="O3907" t="inlineStr"/>
      <c r="P3907" t="inlineStr"/>
      <c r="Q3907" t="inlineStr">
        <is>
          <t>UKPN</t>
        </is>
      </c>
      <c r="R3907" t="b">
        <v>0</v>
      </c>
    </row>
    <row r="3908">
      <c r="A3908" t="inlineStr">
        <is>
          <t>8 Apr 2026 / 7800 MAC Tree Surgery and Fencing Ltd / Utilities / UKPN</t>
        </is>
      </c>
      <c r="B3908" t="inlineStr">
        <is>
          <t>Utilities</t>
        </is>
      </c>
      <c r="C3908" t="inlineStr">
        <is>
          <t>UKPN</t>
        </is>
      </c>
      <c r="D3908" t="inlineStr">
        <is>
          <t>AY68DAA , 4x4 , Izuzu , Dmax</t>
        </is>
      </c>
      <c r="E3908" t="inlineStr">
        <is>
          <t>AY68DAA , 4x4 , Izuzu , Dmax</t>
        </is>
      </c>
      <c r="F3908" t="inlineStr">
        <is>
          <t>AY68DAA , 4x4 , Izuzu , Dmax</t>
        </is>
      </c>
      <c r="G3908" t="inlineStr">
        <is>
          <t xml:space="preserve">Patrick O'Shea </t>
        </is>
      </c>
      <c r="H3908" t="inlineStr">
        <is>
          <t>4x4</t>
        </is>
      </c>
      <c r="I3908" t="inlineStr">
        <is>
          <t>Daily/ Weekly Vehicle Inspection</t>
        </is>
      </c>
      <c r="J3908" t="inlineStr">
        <is>
          <t>N/A</t>
        </is>
      </c>
      <c r="K3908" t="inlineStr">
        <is>
          <t>7800 MAC Tree Surgery and Fencing Ltd</t>
        </is>
      </c>
      <c r="L3908" t="inlineStr">
        <is>
          <t>08/04/2026 07:50</t>
        </is>
      </c>
      <c r="M3908" t="inlineStr">
        <is>
          <t>None</t>
        </is>
      </c>
      <c r="N3908" t="inlineStr">
        <is>
          <t>&lt;p&gt;&lt;/p&gt;</t>
        </is>
      </c>
      <c r="O3908" t="inlineStr"/>
      <c r="P3908" t="inlineStr">
        <is>
          <t>AY68DAA , 4x4 , Izuzu , Dmax</t>
        </is>
      </c>
      <c r="Q3908" t="inlineStr">
        <is>
          <t>UKPN</t>
        </is>
      </c>
      <c r="R3908" t="b">
        <v>0</v>
      </c>
    </row>
    <row r="3909">
      <c r="A3909" t="inlineStr">
        <is>
          <t>8 Apr 2026 / 7800 MAC Tree Surgery and Fencing Ltd / Utilities / UKPN</t>
        </is>
      </c>
      <c r="B3909" t="inlineStr">
        <is>
          <t>Utilities</t>
        </is>
      </c>
      <c r="C3909" t="inlineStr">
        <is>
          <t>UKPN</t>
        </is>
      </c>
      <c r="D3909" t="inlineStr">
        <is>
          <t>Plant Trailer - Towmate - 2.8t - 0</t>
        </is>
      </c>
      <c r="E3909" t="inlineStr">
        <is>
          <t>Plant Trailer - Towmate - 2.8t - 0</t>
        </is>
      </c>
      <c r="F3909" t="inlineStr">
        <is>
          <t>Plant Trailer - Towmate - 2.8t - 0</t>
        </is>
      </c>
      <c r="G3909" t="inlineStr">
        <is>
          <t>Lewis mac</t>
        </is>
      </c>
      <c r="H3909" t="inlineStr">
        <is>
          <t>Plant Trailer</t>
        </is>
      </c>
      <c r="I3909" t="inlineStr">
        <is>
          <t>Daily/ Weekly Vehicle Inspection</t>
        </is>
      </c>
      <c r="J3909" t="inlineStr">
        <is>
          <t>N/A</t>
        </is>
      </c>
      <c r="K3909" t="inlineStr">
        <is>
          <t>7800 MAC Tree Surgery and Fencing Ltd</t>
        </is>
      </c>
      <c r="L3909" t="inlineStr">
        <is>
          <t>08/04/2026 07:51</t>
        </is>
      </c>
      <c r="M3909" t="inlineStr">
        <is>
          <t>None</t>
        </is>
      </c>
      <c r="N3909" t="inlineStr">
        <is>
          <t>&lt;p&gt;&lt;/p&gt;</t>
        </is>
      </c>
      <c r="O3909" t="inlineStr"/>
      <c r="P3909" t="inlineStr">
        <is>
          <t>Plant Trailer - Towmate - 2.8t - 0</t>
        </is>
      </c>
      <c r="Q3909" t="inlineStr">
        <is>
          <t>UKPN</t>
        </is>
      </c>
      <c r="R3909" t="b">
        <v>0</v>
      </c>
    </row>
    <row r="3910">
      <c r="A3910" t="inlineStr">
        <is>
          <t>8 Apr 2026 / 7186 Eastwoodbury Tree Services Ltd</t>
        </is>
      </c>
      <c r="B3910" t="inlineStr">
        <is>
          <t>Infrastructure &amp; Utilities</t>
        </is>
      </c>
      <c r="C3910" t="inlineStr">
        <is>
          <t>UKPN</t>
        </is>
      </c>
      <c r="D3910" t="inlineStr">
        <is>
          <t>WF13 EKT , 4x4 , Land rover  , Defender</t>
        </is>
      </c>
      <c r="E3910" t="inlineStr">
        <is>
          <t>WF13 EKT , 4x4 , Land rover  , Defender</t>
        </is>
      </c>
      <c r="F3910" t="inlineStr">
        <is>
          <t>WF13 EKT , 4x4 , Land rover  , Defender</t>
        </is>
      </c>
      <c r="G3910" t="inlineStr">
        <is>
          <t xml:space="preserve">Dan Gilbert </t>
        </is>
      </c>
      <c r="H3910" t="inlineStr">
        <is>
          <t>4x4</t>
        </is>
      </c>
      <c r="I3910" t="inlineStr">
        <is>
          <t>Daily/ Weekly Vehicle Inspection</t>
        </is>
      </c>
      <c r="J3910" t="inlineStr">
        <is>
          <t>N/A</t>
        </is>
      </c>
      <c r="K3910" t="inlineStr">
        <is>
          <t>7186 Eastwoodbury Tree Services Ltd</t>
        </is>
      </c>
      <c r="L3910" t="inlineStr">
        <is>
          <t>08/04/2026 07:52</t>
        </is>
      </c>
      <c r="M3910" t="inlineStr">
        <is>
          <t>None</t>
        </is>
      </c>
      <c r="N3910" t="inlineStr">
        <is>
          <t>&lt;p&gt;&lt;/p&gt;</t>
        </is>
      </c>
      <c r="O3910" t="inlineStr"/>
      <c r="P3910" t="inlineStr">
        <is>
          <t>WF13 EKT , 4x4 , Land rover  , Defender</t>
        </is>
      </c>
      <c r="Q3910" t="inlineStr">
        <is>
          <t>UKPN</t>
        </is>
      </c>
      <c r="R3910" t="b">
        <v>0</v>
      </c>
    </row>
    <row r="3911">
      <c r="A3911" t="inlineStr">
        <is>
          <t>8 Apr 2026 / 7186 Eastwoodbury Tree Services Ltd</t>
        </is>
      </c>
      <c r="B3911" t="inlineStr">
        <is>
          <t>Infrastructure &amp; Utilities</t>
        </is>
      </c>
      <c r="C3911" t="inlineStr">
        <is>
          <t>UKPN</t>
        </is>
      </c>
      <c r="D3911" t="inlineStr">
        <is>
          <t>FX14 XCV , 4x4 , Land Rover  , Defender</t>
        </is>
      </c>
      <c r="E3911" t="inlineStr">
        <is>
          <t>FX14 XCV , 4x4 , Land Rover  , Defender</t>
        </is>
      </c>
      <c r="F3911" t="inlineStr">
        <is>
          <t>FX14 XCV , 4x4 , Land Rover  , Defender</t>
        </is>
      </c>
      <c r="G3911" t="inlineStr">
        <is>
          <t xml:space="preserve">Luke Williams </t>
        </is>
      </c>
      <c r="H3911" t="inlineStr">
        <is>
          <t>4x4</t>
        </is>
      </c>
      <c r="I3911" t="inlineStr">
        <is>
          <t>Daily/ Weekly Vehicle Inspection</t>
        </is>
      </c>
      <c r="J3911" t="inlineStr">
        <is>
          <t>N/A</t>
        </is>
      </c>
      <c r="K3911" t="inlineStr">
        <is>
          <t>7186 Eastwoodbury Tree Services Ltd</t>
        </is>
      </c>
      <c r="L3911" t="inlineStr">
        <is>
          <t>08/04/2026 07:53</t>
        </is>
      </c>
      <c r="M3911" t="inlineStr">
        <is>
          <t>None</t>
        </is>
      </c>
      <c r="N3911" t="inlineStr">
        <is>
          <t>&lt;p&gt;&lt;/p&gt;</t>
        </is>
      </c>
      <c r="O3911" t="inlineStr">
        <is>
          <t>Select Vehicle:Tow bar damaged in crash, rest of vehicle ok waiting on repairs. Will not be used until repaired</t>
        </is>
      </c>
      <c r="P3911" t="inlineStr">
        <is>
          <t>FX14 XCV , 4x4 , Land Rover  , Defender</t>
        </is>
      </c>
      <c r="Q3911" t="inlineStr">
        <is>
          <t>UKPN</t>
        </is>
      </c>
      <c r="R3911" t="b">
        <v>0</v>
      </c>
    </row>
    <row r="3912">
      <c r="A3912" t="inlineStr">
        <is>
          <t>8 Apr 2026 / 7806 Optimum Tree Services Ltd</t>
        </is>
      </c>
      <c r="B3912" t="inlineStr">
        <is>
          <t>Utilities</t>
        </is>
      </c>
      <c r="C3912" t="inlineStr">
        <is>
          <t>UKPN</t>
        </is>
      </c>
      <c r="D3912" t="inlineStr">
        <is>
          <t>WD14EVB , MEWP , Land Rover , Defender</t>
        </is>
      </c>
      <c r="E3912" t="inlineStr">
        <is>
          <t>WD14EVB , MEWP , Land Rover , Defender</t>
        </is>
      </c>
      <c r="F3912" t="inlineStr">
        <is>
          <t>WD14EVB , MEWP , Land Rover , Defender</t>
        </is>
      </c>
      <c r="G3912" t="inlineStr">
        <is>
          <t xml:space="preserve">Abraham Davies </t>
        </is>
      </c>
      <c r="H3912" t="inlineStr">
        <is>
          <t>4x4</t>
        </is>
      </c>
      <c r="I3912" t="inlineStr">
        <is>
          <t>Daily/ Weekly Vehicle Inspection</t>
        </is>
      </c>
      <c r="J3912" t="inlineStr">
        <is>
          <t>N/A</t>
        </is>
      </c>
      <c r="K3912" t="inlineStr">
        <is>
          <t>7806 Optimum Tree Services Ltd</t>
        </is>
      </c>
      <c r="L3912" t="inlineStr">
        <is>
          <t>08/04/2026 07:53</t>
        </is>
      </c>
      <c r="M3912" t="inlineStr">
        <is>
          <t>None</t>
        </is>
      </c>
      <c r="N3912" t="inlineStr">
        <is>
          <t>&lt;p&gt;&lt;/p&gt;</t>
        </is>
      </c>
      <c r="O3912" t="inlineStr"/>
      <c r="P3912" t="inlineStr">
        <is>
          <t>WD14EVB , MEWP , Land Rover , Defender</t>
        </is>
      </c>
      <c r="Q3912" t="inlineStr">
        <is>
          <t>UKPN</t>
        </is>
      </c>
      <c r="R3912" t="b">
        <v>0</v>
      </c>
    </row>
    <row r="3913">
      <c r="A3913" t="inlineStr">
        <is>
          <t>8 Apr 2026 / 7806 Optimum Tree Services Ltd</t>
        </is>
      </c>
      <c r="B3913" t="inlineStr">
        <is>
          <t>Infrastructure &amp; Utilities</t>
        </is>
      </c>
      <c r="C3913" t="inlineStr">
        <is>
          <t>UKPN</t>
        </is>
      </c>
      <c r="D3913" t="inlineStr">
        <is>
          <t>NA10SYZ , Tipper , Ford , Transit</t>
        </is>
      </c>
      <c r="E3913" t="inlineStr">
        <is>
          <t>NA10SYZ , Tipper , Ford , Transit</t>
        </is>
      </c>
      <c r="F3913" t="inlineStr">
        <is>
          <t>NA10SYZ , Tipper , Ford , Transit</t>
        </is>
      </c>
      <c r="G3913" t="inlineStr">
        <is>
          <t xml:space="preserve">Abraham Davies </t>
        </is>
      </c>
      <c r="H3913" t="inlineStr">
        <is>
          <t>Tipper</t>
        </is>
      </c>
      <c r="I3913" t="inlineStr">
        <is>
          <t>Daily/ Weekly Vehicle Inspection</t>
        </is>
      </c>
      <c r="J3913" t="inlineStr">
        <is>
          <t>N/A</t>
        </is>
      </c>
      <c r="K3913" t="inlineStr">
        <is>
          <t>7806 Optimum Tree Services Ltd</t>
        </is>
      </c>
      <c r="L3913" t="inlineStr">
        <is>
          <t>08/04/2026 07:54</t>
        </is>
      </c>
      <c r="M3913" t="inlineStr">
        <is>
          <t>None</t>
        </is>
      </c>
      <c r="N3913" t="inlineStr">
        <is>
          <t>&lt;p&gt;&lt;/p&gt;</t>
        </is>
      </c>
      <c r="O3913" t="inlineStr"/>
      <c r="P3913" t="inlineStr">
        <is>
          <t>NA10SYZ , Tipper , Ford , Transit</t>
        </is>
      </c>
      <c r="Q3913" t="inlineStr">
        <is>
          <t>UKPN</t>
        </is>
      </c>
      <c r="R3913" t="b">
        <v>0</v>
      </c>
    </row>
    <row r="3914">
      <c r="A3914" t="inlineStr">
        <is>
          <t>8 Apr 2026 / 7996 M G Tree Surgery Ltd 1</t>
        </is>
      </c>
      <c r="B3914" t="inlineStr">
        <is>
          <t>Infrastructure &amp; Utilities</t>
        </is>
      </c>
      <c r="C3914" t="inlineStr">
        <is>
          <t>UKPN</t>
        </is>
      </c>
      <c r="D3914" t="inlineStr"/>
      <c r="E3914" t="inlineStr"/>
      <c r="F3914" t="inlineStr"/>
      <c r="G3914" t="inlineStr">
        <is>
          <t>Anthony Gale</t>
        </is>
      </c>
      <c r="H3914" t="inlineStr">
        <is>
          <t>Towed Chipper</t>
        </is>
      </c>
      <c r="I3914" t="inlineStr">
        <is>
          <t>Daily/ Weekly Vehicle Inspection</t>
        </is>
      </c>
      <c r="J3914" t="inlineStr">
        <is>
          <t>N/A</t>
        </is>
      </c>
      <c r="K3914" t="inlineStr">
        <is>
          <t>7996 M G Tree Surgery Ltd 1</t>
        </is>
      </c>
      <c r="L3914" t="inlineStr">
        <is>
          <t>08/04/2026 07:55</t>
        </is>
      </c>
      <c r="M3914" t="inlineStr">
        <is>
          <t>None</t>
        </is>
      </c>
      <c r="N3914" t="inlineStr">
        <is>
          <t>&lt;p&gt;&lt;/p&gt;</t>
        </is>
      </c>
      <c r="O3914" t="inlineStr"/>
      <c r="P3914" t="inlineStr"/>
      <c r="Q3914" t="inlineStr">
        <is>
          <t>UKPN</t>
        </is>
      </c>
      <c r="R3914" t="b">
        <v>0</v>
      </c>
    </row>
    <row r="3915">
      <c r="A3915" t="inlineStr">
        <is>
          <t>8 Apr 2026 / 7996 M G Tree Surgery Ltd 1</t>
        </is>
      </c>
      <c r="B3915" t="inlineStr">
        <is>
          <t>Infrastructure &amp; Utilities</t>
        </is>
      </c>
      <c r="C3915" t="inlineStr">
        <is>
          <t>UKPN</t>
        </is>
      </c>
      <c r="D3915" t="inlineStr">
        <is>
          <t>KX20 BCE , Tipper , Isuzu , D-Max</t>
        </is>
      </c>
      <c r="E3915" t="inlineStr">
        <is>
          <t>KX20 BCE , Tipper , Isuzu , D-Max</t>
        </is>
      </c>
      <c r="F3915" t="inlineStr">
        <is>
          <t>KX20 BCE , Tipper , Isuzu , D-Max</t>
        </is>
      </c>
      <c r="G3915" t="inlineStr">
        <is>
          <t>Anthony Gale</t>
        </is>
      </c>
      <c r="H3915" t="inlineStr">
        <is>
          <t>Pickup Truck</t>
        </is>
      </c>
      <c r="I3915" t="inlineStr">
        <is>
          <t>Daily/ Weekly Vehicle Inspection</t>
        </is>
      </c>
      <c r="J3915" t="inlineStr">
        <is>
          <t>N/A</t>
        </is>
      </c>
      <c r="K3915" t="inlineStr">
        <is>
          <t>7996 M G Tree Surgery Ltd 1</t>
        </is>
      </c>
      <c r="L3915" t="inlineStr">
        <is>
          <t>08/04/2026 07:55</t>
        </is>
      </c>
      <c r="M3915" t="inlineStr">
        <is>
          <t>None</t>
        </is>
      </c>
      <c r="N3915" t="inlineStr">
        <is>
          <t>&lt;p&gt;&lt;/p&gt;</t>
        </is>
      </c>
      <c r="O3915" t="inlineStr"/>
      <c r="P3915" t="inlineStr">
        <is>
          <t>KX20 BCE , Tipper , Isuzu , D-Max</t>
        </is>
      </c>
      <c r="Q3915" t="inlineStr">
        <is>
          <t>UKPN</t>
        </is>
      </c>
      <c r="R3915" t="b">
        <v>0</v>
      </c>
    </row>
    <row r="3916">
      <c r="A3916" t="inlineStr">
        <is>
          <t>7 Apr 2026 / 7996 M G Tree Surgery Ltd 1</t>
        </is>
      </c>
      <c r="B3916" t="inlineStr">
        <is>
          <t>Infrastructure &amp; Utilities</t>
        </is>
      </c>
      <c r="C3916" t="inlineStr">
        <is>
          <t>UKPN</t>
        </is>
      </c>
      <c r="D3916" t="inlineStr">
        <is>
          <t>KX20 BCE , Tipper , Isuzu , D-Max</t>
        </is>
      </c>
      <c r="E3916" t="inlineStr">
        <is>
          <t>KX20 BCE , Tipper , Isuzu , D-Max</t>
        </is>
      </c>
      <c r="F3916" t="inlineStr">
        <is>
          <t>KX20 BCE , Tipper , Isuzu , D-Max</t>
        </is>
      </c>
      <c r="G3916" t="inlineStr">
        <is>
          <t xml:space="preserve">Anthony Gale </t>
        </is>
      </c>
      <c r="H3916" t="inlineStr">
        <is>
          <t>Pickup Truck</t>
        </is>
      </c>
      <c r="I3916" t="inlineStr">
        <is>
          <t>Daily/ Weekly Vehicle Inspection</t>
        </is>
      </c>
      <c r="J3916" t="inlineStr">
        <is>
          <t>N/A</t>
        </is>
      </c>
      <c r="K3916" t="inlineStr">
        <is>
          <t>7996 M G Tree Surgery Ltd 1</t>
        </is>
      </c>
      <c r="L3916" t="inlineStr">
        <is>
          <t>08/04/2026 07:57</t>
        </is>
      </c>
      <c r="M3916" t="inlineStr">
        <is>
          <t>None</t>
        </is>
      </c>
      <c r="N3916" t="inlineStr">
        <is>
          <t>&lt;p&gt;&lt;/p&gt;</t>
        </is>
      </c>
      <c r="O3916" t="inlineStr"/>
      <c r="P3916" t="inlineStr">
        <is>
          <t>KX20 BCE , Tipper , Isuzu , D-Max</t>
        </is>
      </c>
      <c r="Q3916" t="inlineStr">
        <is>
          <t>UKPN</t>
        </is>
      </c>
      <c r="R3916" t="b">
        <v>0</v>
      </c>
    </row>
    <row r="3917">
      <c r="A3917" t="inlineStr">
        <is>
          <t>8 Apr 2026 / 7889 Tree Tech Suffolk Ltd</t>
        </is>
      </c>
      <c r="B3917" t="inlineStr">
        <is>
          <t>Utilities &amp; Inland Waterways</t>
        </is>
      </c>
      <c r="C3917" t="inlineStr">
        <is>
          <t>UKPN</t>
        </is>
      </c>
      <c r="D3917" t="inlineStr">
        <is>
          <t>Tipper - Nissan - Navara - NS02TTSTow Chipper - Jenson - A530L - 55210639484x4 - Isuzu - D-max - NS03 TTS</t>
        </is>
      </c>
      <c r="E3917" t="inlineStr">
        <is>
          <t>Tipper - Nissan - Navara - NS02TTSTow Chipper - Jenson - A530L - 55210639484x4 - Isuzu - D-max - NS03 TTS</t>
        </is>
      </c>
      <c r="F3917" t="inlineStr">
        <is>
          <t>Tipper - Nissan - Navara - NS02TTSTow Chipper - Jenson - A530L - 55210639484x4 - Isuzu - D-max - NS03 TTS</t>
        </is>
      </c>
      <c r="G3917" t="inlineStr">
        <is>
          <t xml:space="preserve">Danny ApplebyDanny Appleby Nikki sparrow </t>
        </is>
      </c>
      <c r="H3917" t="inlineStr">
        <is>
          <t>TipperTowed Chipper4x4</t>
        </is>
      </c>
      <c r="I3917" t="inlineStr">
        <is>
          <t>Daily/ Weekly Vehicle Inspection</t>
        </is>
      </c>
      <c r="J3917" t="inlineStr">
        <is>
          <t>N/A</t>
        </is>
      </c>
      <c r="K3917" t="inlineStr">
        <is>
          <t>7889 Tree Tech Suffolk Ltd</t>
        </is>
      </c>
      <c r="L3917" t="inlineStr">
        <is>
          <t>08/04/2026 07:58</t>
        </is>
      </c>
      <c r="M3917" t="inlineStr">
        <is>
          <t>None</t>
        </is>
      </c>
      <c r="N3917" t="inlineStr">
        <is>
          <t>&lt;p&gt;&lt;/p&gt;</t>
        </is>
      </c>
      <c r="O3917" t="inlineStr"/>
      <c r="P3917" t="inlineStr">
        <is>
          <t>Tipper - Nissan - Navara - NS02TTSTow Chipper - Jenson - A530L - 55210639484x4 - Isuzu - D-max - NS03 TTS</t>
        </is>
      </c>
      <c r="Q3917" t="inlineStr">
        <is>
          <t>UKPN</t>
        </is>
      </c>
      <c r="R3917" t="b">
        <v>0</v>
      </c>
    </row>
    <row r="3918">
      <c r="A3918" t="inlineStr">
        <is>
          <t>8 Apr 2026 / Harry Bellis</t>
        </is>
      </c>
      <c r="B3918" t="inlineStr">
        <is>
          <t>Infrastructure &amp; Utilities</t>
        </is>
      </c>
      <c r="C3918" t="inlineStr">
        <is>
          <t>SSE</t>
        </is>
      </c>
      <c r="D3918" t="inlineStr">
        <is>
          <t>EO73KUG , Car - Electric , Kia , Niro</t>
        </is>
      </c>
      <c r="E3918" t="inlineStr">
        <is>
          <t>EO73KUG , Car - Electric , Kia , Niro</t>
        </is>
      </c>
      <c r="F3918" t="inlineStr">
        <is>
          <t>EO73KUG , Car - Electric , Kia , Niro</t>
        </is>
      </c>
      <c r="G3918" t="inlineStr">
        <is>
          <t>Harry Bellis</t>
        </is>
      </c>
      <c r="H3918" t="inlineStr">
        <is>
          <t>Car - Electric (GC Owned)</t>
        </is>
      </c>
      <c r="I3918" t="inlineStr">
        <is>
          <t>Daily/ Weekly Vehicle Inspection</t>
        </is>
      </c>
      <c r="J3918" t="inlineStr">
        <is>
          <t>N/A</t>
        </is>
      </c>
      <c r="K3918" t="inlineStr">
        <is>
          <t>Harry Bellis</t>
        </is>
      </c>
      <c r="L3918" t="inlineStr">
        <is>
          <t>08/04/2026 08:48</t>
        </is>
      </c>
      <c r="M3918" t="inlineStr">
        <is>
          <t>None</t>
        </is>
      </c>
      <c r="N3918" t="inlineStr">
        <is>
          <t>&lt;p&gt;&lt;/p&gt;</t>
        </is>
      </c>
      <c r="O3918" t="inlineStr"/>
      <c r="P3918" t="inlineStr">
        <is>
          <t>EO73KUG , Car - Electric , Kia , Niro</t>
        </is>
      </c>
      <c r="Q3918" t="inlineStr">
        <is>
          <t>SSE</t>
        </is>
      </c>
      <c r="R3918" t="b">
        <v>0</v>
      </c>
    </row>
    <row r="3919">
      <c r="A3919" t="inlineStr">
        <is>
          <t>8 Apr 2026 / Thomas Nandi</t>
        </is>
      </c>
      <c r="B3919" t="inlineStr">
        <is>
          <t>Infrastructure &amp; Utilities</t>
        </is>
      </c>
      <c r="C3919" t="inlineStr">
        <is>
          <t>SSE</t>
        </is>
      </c>
      <c r="D3919" t="inlineStr"/>
      <c r="E3919" t="inlineStr"/>
      <c r="F3919" t="inlineStr"/>
      <c r="G3919" t="inlineStr">
        <is>
          <t xml:space="preserve">Tom Nandi </t>
        </is>
      </c>
      <c r="H3919" t="inlineStr">
        <is>
          <t>Car - Petrol</t>
        </is>
      </c>
      <c r="I3919" t="inlineStr">
        <is>
          <t>Monthly Vehicle Inspection</t>
        </is>
      </c>
      <c r="J3919" t="inlineStr">
        <is>
          <t>4544</t>
        </is>
      </c>
      <c r="K3919" t="inlineStr">
        <is>
          <t>Thomas Nandi</t>
        </is>
      </c>
      <c r="L3919" t="inlineStr">
        <is>
          <t>08/04/2026 09:50</t>
        </is>
      </c>
      <c r="M3919" t="inlineStr">
        <is>
          <t>None</t>
        </is>
      </c>
      <c r="N3919" t="inlineStr">
        <is>
          <t>&lt;p&gt;&lt;/p&gt;</t>
        </is>
      </c>
      <c r="O3919" t="inlineStr"/>
      <c r="P3919" t="inlineStr"/>
      <c r="Q3919" t="inlineStr">
        <is>
          <t>SSE</t>
        </is>
      </c>
      <c r="R3919" t="b">
        <v>0</v>
      </c>
    </row>
    <row r="3920">
      <c r="A3920" t="inlineStr">
        <is>
          <t>8 Apr 2026 / William Heneage</t>
        </is>
      </c>
      <c r="B3920" t="inlineStr">
        <is>
          <t>Infrastructure &amp; Utilities</t>
        </is>
      </c>
      <c r="C3920" t="inlineStr">
        <is>
          <t>SSE</t>
        </is>
      </c>
      <c r="D3920" t="inlineStr">
        <is>
          <t>YX24TWV , Car - Electric , Kia , E-Niro</t>
        </is>
      </c>
      <c r="E3920" t="inlineStr">
        <is>
          <t>YX24TWV , Car - Electric , Kia , E-Niro</t>
        </is>
      </c>
      <c r="F3920" t="inlineStr">
        <is>
          <t>YX24TWV , Car - Electric , Kia , E-Niro</t>
        </is>
      </c>
      <c r="G3920" t="inlineStr">
        <is>
          <t xml:space="preserve">Will Heneage </t>
        </is>
      </c>
      <c r="H3920" t="inlineStr">
        <is>
          <t>Car - Electric (GC Owned)</t>
        </is>
      </c>
      <c r="I3920" t="inlineStr">
        <is>
          <t>Daily/ Weekly Vehicle Inspection</t>
        </is>
      </c>
      <c r="J3920" t="inlineStr">
        <is>
          <t>N/A</t>
        </is>
      </c>
      <c r="K3920" t="inlineStr">
        <is>
          <t>William Heneage</t>
        </is>
      </c>
      <c r="L3920" t="inlineStr">
        <is>
          <t>08/04/2026 09:52</t>
        </is>
      </c>
      <c r="M3920" t="inlineStr">
        <is>
          <t>None</t>
        </is>
      </c>
      <c r="N3920" t="inlineStr">
        <is>
          <t>&lt;p&gt;&lt;/p&gt;</t>
        </is>
      </c>
      <c r="O3920" t="inlineStr"/>
      <c r="P3920" t="inlineStr">
        <is>
          <t>YX24TWV , Car - Electric , Kia , E-Niro</t>
        </is>
      </c>
      <c r="Q3920" t="inlineStr">
        <is>
          <t>SSE</t>
        </is>
      </c>
      <c r="R3920" t="b">
        <v>0</v>
      </c>
    </row>
    <row r="3921">
      <c r="A3921" t="inlineStr">
        <is>
          <t>8 Apr 2026 / 6617 Ashdown Tree Limited 1</t>
        </is>
      </c>
      <c r="B3921" t="inlineStr">
        <is>
          <t>Infrastructure &amp; Utilities</t>
        </is>
      </c>
      <c r="C3921" t="inlineStr">
        <is>
          <t>UKPN</t>
        </is>
      </c>
      <c r="D3921" t="inlineStr">
        <is>
          <t>WG63OJS , 4x4 , Land rover  , defender</t>
        </is>
      </c>
      <c r="E3921" t="inlineStr">
        <is>
          <t>WG63OJS , 4x4 , Land rover  , defender</t>
        </is>
      </c>
      <c r="F3921" t="inlineStr">
        <is>
          <t>WG63OJS , 4x4 , Land rover  , defender</t>
        </is>
      </c>
      <c r="G3921" t="inlineStr">
        <is>
          <t>Dan</t>
        </is>
      </c>
      <c r="H3921" t="inlineStr">
        <is>
          <t>4x4</t>
        </is>
      </c>
      <c r="I3921" t="inlineStr">
        <is>
          <t>Daily/ Weekly Vehicle Inspection</t>
        </is>
      </c>
      <c r="J3921" t="inlineStr">
        <is>
          <t>N/A</t>
        </is>
      </c>
      <c r="K3921" t="inlineStr">
        <is>
          <t>6617 Ashdown Tree Limited - Team 2</t>
        </is>
      </c>
      <c r="L3921" t="inlineStr">
        <is>
          <t>08/04/2026 13:48</t>
        </is>
      </c>
      <c r="M3921" t="inlineStr">
        <is>
          <t>None</t>
        </is>
      </c>
      <c r="N3921" t="inlineStr">
        <is>
          <t>&lt;p&gt;&lt;/p&gt;</t>
        </is>
      </c>
      <c r="O3921" t="inlineStr"/>
      <c r="P3921" t="inlineStr">
        <is>
          <t>WG63OJS , 4x4 , Land rover  , defender</t>
        </is>
      </c>
      <c r="Q3921" t="inlineStr">
        <is>
          <t>UKPN</t>
        </is>
      </c>
      <c r="R3921" t="b">
        <v>0</v>
      </c>
    </row>
    <row r="3922">
      <c r="A3922" t="inlineStr">
        <is>
          <t>8 Apr 2026 / Sam Norman</t>
        </is>
      </c>
      <c r="B3922" t="inlineStr">
        <is>
          <t>Infrastructure &amp; Utilities</t>
        </is>
      </c>
      <c r="C3922" t="inlineStr">
        <is>
          <t>NGED</t>
        </is>
      </c>
      <c r="D3922" t="inlineStr">
        <is>
          <t>GJ20YUY , Car - Electric , Tesla , Model 3 Long Range AWD</t>
        </is>
      </c>
      <c r="E3922" t="inlineStr">
        <is>
          <t>GJ20YUY , Car - Electric , Tesla , Model 3 Long Range AWD</t>
        </is>
      </c>
      <c r="F3922" t="inlineStr">
        <is>
          <t>GJ20YUY , Car - Electric , Tesla , Model 3 Long Range AWD</t>
        </is>
      </c>
      <c r="G3922" t="inlineStr">
        <is>
          <t>Sam norman</t>
        </is>
      </c>
      <c r="H3922" t="inlineStr">
        <is>
          <t>Car - Electric (GC Owned)</t>
        </is>
      </c>
      <c r="I3922" t="inlineStr">
        <is>
          <t>Monthly Vehicle Inspection</t>
        </is>
      </c>
      <c r="J3922" t="inlineStr">
        <is>
          <t>92000</t>
        </is>
      </c>
      <c r="K3922" t="inlineStr">
        <is>
          <t>Sam Norman</t>
        </is>
      </c>
      <c r="L3922" t="inlineStr">
        <is>
          <t>08/04/2026 15:48</t>
        </is>
      </c>
      <c r="M3922" t="inlineStr">
        <is>
          <t>None</t>
        </is>
      </c>
      <c r="N3922" t="inlineStr">
        <is>
          <t>&lt;p&gt;&lt;/p&gt;</t>
        </is>
      </c>
      <c r="O3922" t="inlineStr"/>
      <c r="P3922" t="inlineStr">
        <is>
          <t>GJ20YUY , Car - Electric , Tesla , Model 3 Long Range AWD</t>
        </is>
      </c>
      <c r="Q3922" t="inlineStr">
        <is>
          <t>NGED</t>
        </is>
      </c>
      <c r="R3922" t="b">
        <v>0</v>
      </c>
    </row>
    <row r="3923">
      <c r="A3923" t="inlineStr">
        <is>
          <t>8 Apr 2026 / Oliver Coyle</t>
        </is>
      </c>
      <c r="B3923" t="inlineStr">
        <is>
          <t>Infrastructure &amp; Utilities</t>
        </is>
      </c>
      <c r="C3923" t="inlineStr">
        <is>
          <t>NGED</t>
        </is>
      </c>
      <c r="D3923" t="inlineStr">
        <is>
          <t>GL20TSX , Car - Electric , Tesla , Model 3 Long Range AWD</t>
        </is>
      </c>
      <c r="E3923" t="inlineStr">
        <is>
          <t>GL20TSX , Car - Electric , Tesla , Model 3 Long Range AWD</t>
        </is>
      </c>
      <c r="F3923" t="inlineStr">
        <is>
          <t>GL20TSX , Car - Electric , Tesla , Model 3 Long Range AWD</t>
        </is>
      </c>
      <c r="G3923" t="inlineStr">
        <is>
          <t>Oliver Coyle</t>
        </is>
      </c>
      <c r="H3923" t="inlineStr">
        <is>
          <t>Car - Electric (GC Owned)</t>
        </is>
      </c>
      <c r="I3923" t="inlineStr">
        <is>
          <t>Daily/ Weekly Vehicle Inspection</t>
        </is>
      </c>
      <c r="J3923" t="inlineStr">
        <is>
          <t>N/A</t>
        </is>
      </c>
      <c r="K3923" t="inlineStr">
        <is>
          <t>Oliver Coyle</t>
        </is>
      </c>
      <c r="L3923" t="inlineStr">
        <is>
          <t>08/04/2026 15:48</t>
        </is>
      </c>
      <c r="M3923" t="inlineStr">
        <is>
          <t>None</t>
        </is>
      </c>
      <c r="N3923" t="inlineStr">
        <is>
          <t>&lt;p&gt;&lt;/p&gt;</t>
        </is>
      </c>
      <c r="O3923" t="inlineStr"/>
      <c r="P3923" t="inlineStr">
        <is>
          <t>GL20TSX , Car - Electric , Tesla , Model 3 Long Range AWD</t>
        </is>
      </c>
      <c r="Q3923" t="inlineStr">
        <is>
          <t>NGED</t>
        </is>
      </c>
      <c r="R3923" t="b">
        <v>0</v>
      </c>
    </row>
    <row r="3924">
      <c r="A3924" t="inlineStr">
        <is>
          <t>8 Apr 2026 / Ben Arnold</t>
        </is>
      </c>
      <c r="B3924" t="inlineStr">
        <is>
          <t>Infrastructure &amp; Utilities</t>
        </is>
      </c>
      <c r="C3924" t="inlineStr">
        <is>
          <t>UKPN</t>
        </is>
      </c>
      <c r="D3924" t="inlineStr">
        <is>
          <t>EX18DCY , 4x4 , Ford , Ranger</t>
        </is>
      </c>
      <c r="E3924" t="inlineStr">
        <is>
          <t>EX18DCY , 4x4 , Ford , Ranger</t>
        </is>
      </c>
      <c r="F3924" t="inlineStr">
        <is>
          <t>EX18DCY , 4x4 , Ford , Ranger</t>
        </is>
      </c>
      <c r="G3924" t="inlineStr">
        <is>
          <t>B Arnold</t>
        </is>
      </c>
      <c r="H3924" t="inlineStr">
        <is>
          <t>Pickup Truck</t>
        </is>
      </c>
      <c r="I3924" t="inlineStr">
        <is>
          <t>Daily/ Weekly Vehicle Inspection</t>
        </is>
      </c>
      <c r="J3924" t="inlineStr">
        <is>
          <t>N/A</t>
        </is>
      </c>
      <c r="K3924" t="inlineStr">
        <is>
          <t>Ben Arnold</t>
        </is>
      </c>
      <c r="L3924" t="inlineStr">
        <is>
          <t>08/04/2026 16:48</t>
        </is>
      </c>
      <c r="M3924" t="inlineStr">
        <is>
          <t>None</t>
        </is>
      </c>
      <c r="N3924" t="inlineStr">
        <is>
          <t>&lt;p&gt;&lt;/p&gt;</t>
        </is>
      </c>
      <c r="O3924" t="inlineStr"/>
      <c r="P3924" t="inlineStr">
        <is>
          <t>EX18DCY , 4x4 , Ford , Ranger</t>
        </is>
      </c>
      <c r="Q3924" t="inlineStr">
        <is>
          <t>UKPN</t>
        </is>
      </c>
      <c r="R3924" t="b">
        <v>0</v>
      </c>
    </row>
    <row r="3925">
      <c r="A3925" t="inlineStr">
        <is>
          <t>9 Apr 2026 / 6617 Ashdown Tree Limited 1</t>
        </is>
      </c>
      <c r="B3925" t="inlineStr">
        <is>
          <t>Infrastructure &amp; Utilities</t>
        </is>
      </c>
      <c r="C3925" t="inlineStr">
        <is>
          <t>UKPN</t>
        </is>
      </c>
      <c r="D3925" t="inlineStr">
        <is>
          <t>TR55TUB , 4x4 , Land rover  , Defender mewp</t>
        </is>
      </c>
      <c r="E3925" t="inlineStr">
        <is>
          <t>TR55TUB , 4x4 , Land rover  , Defender mewp</t>
        </is>
      </c>
      <c r="F3925" t="inlineStr">
        <is>
          <t>TR55TUB , 4x4 , Land rover  , Defender mewp</t>
        </is>
      </c>
      <c r="G3925" t="inlineStr">
        <is>
          <t>Dan</t>
        </is>
      </c>
      <c r="H3925" t="inlineStr">
        <is>
          <t>4x4</t>
        </is>
      </c>
      <c r="I3925" t="inlineStr">
        <is>
          <t>Daily/ Weekly Vehicle Inspection</t>
        </is>
      </c>
      <c r="J3925" t="inlineStr">
        <is>
          <t>N/A</t>
        </is>
      </c>
      <c r="K3925" t="inlineStr">
        <is>
          <t>6617 Ashdown Tree Limited - Team 2</t>
        </is>
      </c>
      <c r="L3925" t="inlineStr">
        <is>
          <t>09/04/2026 06:48</t>
        </is>
      </c>
      <c r="M3925" t="inlineStr">
        <is>
          <t>None</t>
        </is>
      </c>
      <c r="N3925" t="inlineStr">
        <is>
          <t>&lt;p&gt;&lt;/p&gt;</t>
        </is>
      </c>
      <c r="O3925" t="inlineStr"/>
      <c r="P3925" t="inlineStr">
        <is>
          <t>TR55TUB , 4x4 , Land rover  , Defender mewp</t>
        </is>
      </c>
      <c r="Q3925" t="inlineStr">
        <is>
          <t>UKPN</t>
        </is>
      </c>
      <c r="R3925" t="b">
        <v>0</v>
      </c>
    </row>
    <row r="3926">
      <c r="A3926" t="inlineStr">
        <is>
          <t>9 Apr 2026 / 7800 MAC Tree Surgery and Fencing Ltd / Utilities / UKPN</t>
        </is>
      </c>
      <c r="B3926" t="inlineStr">
        <is>
          <t>Utilities</t>
        </is>
      </c>
      <c r="C3926" t="inlineStr">
        <is>
          <t>UKPN</t>
        </is>
      </c>
      <c r="D3926" t="inlineStr">
        <is>
          <t>AY68DAA , 4x4 , Izuzu , Dmax</t>
        </is>
      </c>
      <c r="E3926" t="inlineStr">
        <is>
          <t>AY68DAA , 4x4 , Izuzu , Dmax</t>
        </is>
      </c>
      <c r="F3926" t="inlineStr">
        <is>
          <t>AY68DAA , 4x4 , Izuzu , Dmax</t>
        </is>
      </c>
      <c r="G3926" t="inlineStr">
        <is>
          <t xml:space="preserve">Patrick O'Shea </t>
        </is>
      </c>
      <c r="H3926" t="inlineStr">
        <is>
          <t>4x4</t>
        </is>
      </c>
      <c r="I3926" t="inlineStr">
        <is>
          <t>Daily/ Weekly Vehicle Inspection</t>
        </is>
      </c>
      <c r="J3926" t="inlineStr">
        <is>
          <t>N/A</t>
        </is>
      </c>
      <c r="K3926" t="inlineStr">
        <is>
          <t>7800 MAC Tree Surgery and Fencing Ltd</t>
        </is>
      </c>
      <c r="L3926" t="inlineStr">
        <is>
          <t>09/04/2026 07:48</t>
        </is>
      </c>
      <c r="M3926" t="inlineStr">
        <is>
          <t>None</t>
        </is>
      </c>
      <c r="N3926" t="inlineStr">
        <is>
          <t>&lt;p&gt;&lt;/p&gt;</t>
        </is>
      </c>
      <c r="O3926" t="inlineStr"/>
      <c r="P3926" t="inlineStr">
        <is>
          <t>AY68DAA , 4x4 , Izuzu , Dmax</t>
        </is>
      </c>
      <c r="Q3926" t="inlineStr">
        <is>
          <t>UKPN</t>
        </is>
      </c>
      <c r="R3926" t="b">
        <v>0</v>
      </c>
    </row>
    <row r="3927">
      <c r="A3927" t="inlineStr">
        <is>
          <t>9 Apr 2026 / 7800 MAC Tree Surgery and Fencing Ltd / Utilities / UKPN</t>
        </is>
      </c>
      <c r="B3927" t="inlineStr">
        <is>
          <t>Utilities</t>
        </is>
      </c>
      <c r="C3927" t="inlineStr">
        <is>
          <t>UKPN</t>
        </is>
      </c>
      <c r="D3927" t="inlineStr">
        <is>
          <t>Plant Trailer - Towmate - 2.8t - 0</t>
        </is>
      </c>
      <c r="E3927" t="inlineStr">
        <is>
          <t>Plant Trailer - Towmate - 2.8t - 0</t>
        </is>
      </c>
      <c r="F3927" t="inlineStr">
        <is>
          <t>Plant Trailer - Towmate - 2.8t - 0</t>
        </is>
      </c>
      <c r="G3927" t="inlineStr">
        <is>
          <t>Lewis mac</t>
        </is>
      </c>
      <c r="H3927" t="inlineStr">
        <is>
          <t>Plant Trailer</t>
        </is>
      </c>
      <c r="I3927" t="inlineStr">
        <is>
          <t>Daily/ Weekly Vehicle Inspection</t>
        </is>
      </c>
      <c r="J3927" t="inlineStr">
        <is>
          <t>N/A</t>
        </is>
      </c>
      <c r="K3927" t="inlineStr">
        <is>
          <t>7800 MAC Tree Surgery and Fencing Ltd</t>
        </is>
      </c>
      <c r="L3927" t="inlineStr">
        <is>
          <t>09/04/2026 07:49</t>
        </is>
      </c>
      <c r="M3927" t="inlineStr">
        <is>
          <t>None</t>
        </is>
      </c>
      <c r="N3927" t="inlineStr">
        <is>
          <t>&lt;p&gt;&lt;/p&gt;</t>
        </is>
      </c>
      <c r="O3927" t="inlineStr"/>
      <c r="P3927" t="inlineStr">
        <is>
          <t>Plant Trailer - Towmate - 2.8t - 0</t>
        </is>
      </c>
      <c r="Q3927" t="inlineStr">
        <is>
          <t>UKPN</t>
        </is>
      </c>
      <c r="R3927" t="b">
        <v>0</v>
      </c>
    </row>
    <row r="3928">
      <c r="A3928" t="inlineStr">
        <is>
          <t>9 Apr 2026 / 8148 Hope Ground and Tree Care</t>
        </is>
      </c>
      <c r="B3928" t="inlineStr">
        <is>
          <t>Infrastructure &amp; Utilities</t>
        </is>
      </c>
      <c r="C3928" t="inlineStr">
        <is>
          <t>UKPN</t>
        </is>
      </c>
      <c r="D3928" t="inlineStr">
        <is>
          <t>S6 NWX , MEWP , Isuzu , D-Max</t>
        </is>
      </c>
      <c r="E3928" t="inlineStr">
        <is>
          <t>S6 NWX , MEWP , Isuzu , D-Max</t>
        </is>
      </c>
      <c r="F3928" t="inlineStr">
        <is>
          <t>S6 NWX , MEWP , Isuzu , D-Max</t>
        </is>
      </c>
      <c r="G3928" t="inlineStr">
        <is>
          <t>Hope</t>
        </is>
      </c>
      <c r="H3928" t="inlineStr">
        <is>
          <t>4x4</t>
        </is>
      </c>
      <c r="I3928" t="inlineStr">
        <is>
          <t>Daily/ Weekly Vehicle Inspection</t>
        </is>
      </c>
      <c r="J3928" t="inlineStr">
        <is>
          <t>N/A</t>
        </is>
      </c>
      <c r="K3928" t="inlineStr">
        <is>
          <t>8148 Hope Ground and Tree Care</t>
        </is>
      </c>
      <c r="L3928" t="inlineStr">
        <is>
          <t>09/04/2026 07:49</t>
        </is>
      </c>
      <c r="M3928" t="inlineStr">
        <is>
          <t>None</t>
        </is>
      </c>
      <c r="N3928" t="inlineStr">
        <is>
          <t>&lt;p&gt;&lt;/p&gt;</t>
        </is>
      </c>
      <c r="O3928" t="inlineStr"/>
      <c r="P3928" t="inlineStr">
        <is>
          <t>S6 NWX , MEWP , Isuzu , D-Max</t>
        </is>
      </c>
      <c r="Q3928" t="inlineStr">
        <is>
          <t>UKPN</t>
        </is>
      </c>
      <c r="R3928" t="b">
        <v>0</v>
      </c>
    </row>
    <row r="3929">
      <c r="A3929" t="inlineStr">
        <is>
          <t>9 Apr 2026 / 7995 Green Net Eco Ltd 2</t>
        </is>
      </c>
      <c r="B3929" t="inlineStr">
        <is>
          <t>Infrastructure &amp; Utilities</t>
        </is>
      </c>
      <c r="C3929" t="inlineStr">
        <is>
          <t>UKPN</t>
        </is>
      </c>
      <c r="D3929" t="inlineStr">
        <is>
          <t>LK15KRZ , 4x4 , Landrover , Defender</t>
        </is>
      </c>
      <c r="E3929" t="inlineStr">
        <is>
          <t>LK15KRZ , 4x4 , Landrover , Defender</t>
        </is>
      </c>
      <c r="F3929" t="inlineStr">
        <is>
          <t>LK15KRZ , 4x4 , Landrover , Defender</t>
        </is>
      </c>
      <c r="G3929" t="inlineStr">
        <is>
          <t>Thomas Playford</t>
        </is>
      </c>
      <c r="H3929" t="inlineStr">
        <is>
          <t>4x4</t>
        </is>
      </c>
      <c r="I3929" t="inlineStr">
        <is>
          <t>Daily/ Weekly Vehicle Inspection</t>
        </is>
      </c>
      <c r="J3929" t="inlineStr">
        <is>
          <t>N/A</t>
        </is>
      </c>
      <c r="K3929" t="inlineStr">
        <is>
          <t>7995 Green Net Eco Ltd 2</t>
        </is>
      </c>
      <c r="L3929" t="inlineStr">
        <is>
          <t>09/04/2026 07:50</t>
        </is>
      </c>
      <c r="M3929" t="inlineStr">
        <is>
          <t>None</t>
        </is>
      </c>
      <c r="N3929" t="inlineStr">
        <is>
          <t>&lt;p&gt;&lt;/p&gt;</t>
        </is>
      </c>
      <c r="O3929" t="inlineStr"/>
      <c r="P3929" t="inlineStr">
        <is>
          <t>LK15KRZ , 4x4 , Landrover , Defender</t>
        </is>
      </c>
      <c r="Q3929" t="inlineStr">
        <is>
          <t>UKPN</t>
        </is>
      </c>
      <c r="R3929" t="b">
        <v>0</v>
      </c>
    </row>
    <row r="3930">
      <c r="A3930" t="inlineStr">
        <is>
          <t>9 Apr 2026 / 7806 Optimum Tree Services Ltd</t>
        </is>
      </c>
      <c r="B3930" t="inlineStr">
        <is>
          <t>Infrastructure &amp; Utilities</t>
        </is>
      </c>
      <c r="C3930" t="inlineStr">
        <is>
          <t>UKPN</t>
        </is>
      </c>
      <c r="D3930" t="inlineStr">
        <is>
          <t>SA9st6p0001283093 , Towed Chipper , Forst  , St6pHD</t>
        </is>
      </c>
      <c r="E3930" t="inlineStr">
        <is>
          <t>SA9st6p0001283093 , Towed Chipper , Forst  , St6pHD</t>
        </is>
      </c>
      <c r="F3930" t="inlineStr">
        <is>
          <t>SA9st6p0001283093 , Towed Chipper , Forst  , St6pHD</t>
        </is>
      </c>
      <c r="G3930" t="inlineStr">
        <is>
          <t xml:space="preserve">Abraham Davies </t>
        </is>
      </c>
      <c r="H3930" t="inlineStr">
        <is>
          <t>Towed Chipper</t>
        </is>
      </c>
      <c r="I3930" t="inlineStr">
        <is>
          <t>Daily/ Weekly Vehicle Inspection</t>
        </is>
      </c>
      <c r="J3930" t="inlineStr">
        <is>
          <t>N/A</t>
        </is>
      </c>
      <c r="K3930" t="inlineStr">
        <is>
          <t>7806 Optimum Tree Services Ltd</t>
        </is>
      </c>
      <c r="L3930" t="inlineStr">
        <is>
          <t>09/04/2026 07:50</t>
        </is>
      </c>
      <c r="M3930" t="inlineStr">
        <is>
          <t>None</t>
        </is>
      </c>
      <c r="N3930" t="inlineStr">
        <is>
          <t>&lt;p&gt;&lt;/p&gt;</t>
        </is>
      </c>
      <c r="O3930" t="inlineStr"/>
      <c r="P3930" t="inlineStr">
        <is>
          <t>SA9st6p0001283093 , Towed Chipper , Forst  , St6pHD</t>
        </is>
      </c>
      <c r="Q3930" t="inlineStr">
        <is>
          <t>UKPN</t>
        </is>
      </c>
      <c r="R3930" t="b">
        <v>0</v>
      </c>
    </row>
    <row r="3931">
      <c r="A3931" t="inlineStr">
        <is>
          <t>9 Apr 2026 / Benet Jones</t>
        </is>
      </c>
      <c r="B3931" t="inlineStr">
        <is>
          <t>Infrastructure &amp; Utilities</t>
        </is>
      </c>
      <c r="C3931" t="inlineStr">
        <is>
          <t>NGED</t>
        </is>
      </c>
      <c r="D3931" t="inlineStr">
        <is>
          <t>GF71TXC , Car - Electric , Tesla , Model 3 Long Range AWD</t>
        </is>
      </c>
      <c r="E3931" t="inlineStr">
        <is>
          <t>GF71TXC , Car - Electric , Tesla , Model 3 Long Range AWD</t>
        </is>
      </c>
      <c r="F3931" t="inlineStr">
        <is>
          <t>GF71TXC , Car - Electric , Tesla , Model 3 Long Range AWD</t>
        </is>
      </c>
      <c r="G3931" t="inlineStr">
        <is>
          <t xml:space="preserve">Benet Jones </t>
        </is>
      </c>
      <c r="H3931" t="inlineStr">
        <is>
          <t>Car - Electric (GC Owned)</t>
        </is>
      </c>
      <c r="I3931" t="inlineStr">
        <is>
          <t>Daily/ Weekly Vehicle Inspection</t>
        </is>
      </c>
      <c r="J3931" t="inlineStr">
        <is>
          <t>N/A</t>
        </is>
      </c>
      <c r="K3931" t="inlineStr">
        <is>
          <t>Benet Jones</t>
        </is>
      </c>
      <c r="L3931" t="inlineStr">
        <is>
          <t>09/04/2026 07:51</t>
        </is>
      </c>
      <c r="M3931" t="inlineStr">
        <is>
          <t>None</t>
        </is>
      </c>
      <c r="N3931" t="inlineStr">
        <is>
          <t>&lt;p&gt;&lt;/p&gt;</t>
        </is>
      </c>
      <c r="O3931" t="inlineStr">
        <is>
          <t>Confirm that you have checked this vehicle as per the guidance document and the vehicle is safe and roadworthy:Car checked and fully serviceable
-</t>
        </is>
      </c>
      <c r="P3931" t="inlineStr">
        <is>
          <t>GF71TXC , Car - Electric , Tesla , Model 3 Long Range AWD</t>
        </is>
      </c>
      <c r="Q3931" t="inlineStr">
        <is>
          <t>NGED</t>
        </is>
      </c>
      <c r="R3931" t="b">
        <v>0</v>
      </c>
    </row>
    <row r="3932">
      <c r="A3932" t="inlineStr">
        <is>
          <t>9 Apr 2026 / 7186 Eastwoodbury Tree Services Ltd</t>
        </is>
      </c>
      <c r="B3932" t="inlineStr">
        <is>
          <t>Infrastructure &amp; Utilities</t>
        </is>
      </c>
      <c r="C3932" t="inlineStr">
        <is>
          <t>UKPN</t>
        </is>
      </c>
      <c r="D3932" t="inlineStr">
        <is>
          <t>FX14 XCV , 4x4 , Land Rover  , Defender</t>
        </is>
      </c>
      <c r="E3932" t="inlineStr">
        <is>
          <t>FX14 XCV , 4x4 , Land Rover  , Defender</t>
        </is>
      </c>
      <c r="F3932" t="inlineStr">
        <is>
          <t>FX14 XCV , 4x4 , Land Rover  , Defender</t>
        </is>
      </c>
      <c r="G3932" t="inlineStr">
        <is>
          <t xml:space="preserve">Luke Williams </t>
        </is>
      </c>
      <c r="H3932" t="inlineStr">
        <is>
          <t>4x4</t>
        </is>
      </c>
      <c r="I3932" t="inlineStr">
        <is>
          <t>Daily/ Weekly Vehicle Inspection</t>
        </is>
      </c>
      <c r="J3932" t="inlineStr">
        <is>
          <t>N/A</t>
        </is>
      </c>
      <c r="K3932" t="inlineStr">
        <is>
          <t>7186 Eastwoodbury Tree Services Ltd</t>
        </is>
      </c>
      <c r="L3932" t="inlineStr">
        <is>
          <t>09/04/2026 07:51</t>
        </is>
      </c>
      <c r="M3932" t="inlineStr">
        <is>
          <t>None</t>
        </is>
      </c>
      <c r="N3932" t="inlineStr">
        <is>
          <t>&lt;p&gt;&lt;/p&gt;</t>
        </is>
      </c>
      <c r="O3932" t="inlineStr">
        <is>
          <t>Select Vehicle:Tow bar bent due to crash waiting on repairs, vehicle roadworthy but not towing til fixed</t>
        </is>
      </c>
      <c r="P3932" t="inlineStr">
        <is>
          <t>FX14 XCV , 4x4 , Land Rover  , Defender</t>
        </is>
      </c>
      <c r="Q3932" t="inlineStr">
        <is>
          <t>UKPN</t>
        </is>
      </c>
      <c r="R3932" t="b">
        <v>0</v>
      </c>
    </row>
    <row r="3933">
      <c r="A3933" t="inlineStr">
        <is>
          <t>9 Apr 2026 / 7186 Eastwoodbury Tree Services Ltd</t>
        </is>
      </c>
      <c r="B3933" t="inlineStr">
        <is>
          <t>Infrastructure &amp; Utilities</t>
        </is>
      </c>
      <c r="C3933" t="inlineStr">
        <is>
          <t>UKPN</t>
        </is>
      </c>
      <c r="D3933" t="inlineStr">
        <is>
          <t>WF13 EKT , 4x4 , Land rover  , Defender</t>
        </is>
      </c>
      <c r="E3933" t="inlineStr">
        <is>
          <t>WF13 EKT , 4x4 , Land rover  , Defender</t>
        </is>
      </c>
      <c r="F3933" t="inlineStr">
        <is>
          <t>WF13 EKT , 4x4 , Land rover  , Defender</t>
        </is>
      </c>
      <c r="G3933" t="inlineStr">
        <is>
          <t xml:space="preserve">Dan Gilbert </t>
        </is>
      </c>
      <c r="H3933" t="inlineStr">
        <is>
          <t>4x4</t>
        </is>
      </c>
      <c r="I3933" t="inlineStr">
        <is>
          <t>Daily/ Weekly Vehicle Inspection</t>
        </is>
      </c>
      <c r="J3933" t="inlineStr">
        <is>
          <t>N/A</t>
        </is>
      </c>
      <c r="K3933" t="inlineStr">
        <is>
          <t>7186 Eastwoodbury Tree Services Ltd</t>
        </is>
      </c>
      <c r="L3933" t="inlineStr">
        <is>
          <t>09/04/2026 07:52</t>
        </is>
      </c>
      <c r="M3933" t="inlineStr">
        <is>
          <t>None</t>
        </is>
      </c>
      <c r="N3933" t="inlineStr">
        <is>
          <t>&lt;p&gt;&lt;/p&gt;</t>
        </is>
      </c>
      <c r="O3933" t="inlineStr"/>
      <c r="P3933" t="inlineStr">
        <is>
          <t>WF13 EKT , 4x4 , Land rover  , Defender</t>
        </is>
      </c>
      <c r="Q3933" t="inlineStr">
        <is>
          <t>UKPN</t>
        </is>
      </c>
      <c r="R3933" t="b">
        <v>0</v>
      </c>
    </row>
    <row r="3934">
      <c r="A3934" t="inlineStr">
        <is>
          <t>9 Apr 2026 / 7806 Optimum Tree Services Ltd</t>
        </is>
      </c>
      <c r="B3934" t="inlineStr">
        <is>
          <t>Infrastructure &amp; Utilities</t>
        </is>
      </c>
      <c r="C3934" t="inlineStr">
        <is>
          <t>UKPN</t>
        </is>
      </c>
      <c r="D3934" t="inlineStr">
        <is>
          <t>Wd14evn , 4x4 , Landrover  , Defender</t>
        </is>
      </c>
      <c r="E3934" t="inlineStr">
        <is>
          <t>Wd14evn , 4x4 , Landrover  , Defender</t>
        </is>
      </c>
      <c r="F3934" t="inlineStr">
        <is>
          <t>Wd14evn , 4x4 , Landrover  , Defender</t>
        </is>
      </c>
      <c r="G3934" t="inlineStr">
        <is>
          <t xml:space="preserve">Abraham Davies </t>
        </is>
      </c>
      <c r="H3934" t="inlineStr">
        <is>
          <t>4x4</t>
        </is>
      </c>
      <c r="I3934" t="inlineStr">
        <is>
          <t>Daily/ Weekly Vehicle Inspection</t>
        </is>
      </c>
      <c r="J3934" t="inlineStr">
        <is>
          <t>N/A</t>
        </is>
      </c>
      <c r="K3934" t="inlineStr">
        <is>
          <t>7806 Optimum Tree Services Ltd</t>
        </is>
      </c>
      <c r="L3934" t="inlineStr">
        <is>
          <t>09/04/2026 07:53</t>
        </is>
      </c>
      <c r="M3934" t="inlineStr">
        <is>
          <t>None</t>
        </is>
      </c>
      <c r="N3934" t="inlineStr">
        <is>
          <t>&lt;p&gt;&lt;/p&gt;</t>
        </is>
      </c>
      <c r="O3934" t="inlineStr"/>
      <c r="P3934" t="inlineStr">
        <is>
          <t>Wd14evn , 4x4 , Landrover  , Defender</t>
        </is>
      </c>
      <c r="Q3934" t="inlineStr">
        <is>
          <t>UKPN</t>
        </is>
      </c>
      <c r="R3934" t="b">
        <v>0</v>
      </c>
    </row>
    <row r="3935">
      <c r="A3935" t="inlineStr">
        <is>
          <t>9 Apr 2026 / 7889 Tree Tech Suffolk Ltd</t>
        </is>
      </c>
      <c r="B3935" t="inlineStr">
        <is>
          <t>Utilities &amp; Inland Waterways</t>
        </is>
      </c>
      <c r="C3935" t="inlineStr">
        <is>
          <t>UKPN</t>
        </is>
      </c>
      <c r="D3935" t="inlineStr">
        <is>
          <t>Tipper - Nissan - Navara - NS02TTSTow Chipper - Jenson - A530L - 5521063948</t>
        </is>
      </c>
      <c r="E3935" t="inlineStr">
        <is>
          <t>Tipper - Nissan - Navara - NS02TTSTow Chipper - Jenson - A530L - 5521063948</t>
        </is>
      </c>
      <c r="F3935" t="inlineStr">
        <is>
          <t>Tipper - Nissan - Navara - NS02TTSTow Chipper - Jenson - A530L - 5521063948</t>
        </is>
      </c>
      <c r="G3935" t="inlineStr">
        <is>
          <t xml:space="preserve">Danny ApplebyDanny Appleby </t>
        </is>
      </c>
      <c r="H3935" t="inlineStr">
        <is>
          <t>TipperTowed Chipper</t>
        </is>
      </c>
      <c r="I3935" t="inlineStr">
        <is>
          <t>Daily/ Weekly Vehicle Inspection</t>
        </is>
      </c>
      <c r="J3935" t="inlineStr">
        <is>
          <t>N/A</t>
        </is>
      </c>
      <c r="K3935" t="inlineStr">
        <is>
          <t>7889 Tree Tech Suffolk Ltd</t>
        </is>
      </c>
      <c r="L3935" t="inlineStr">
        <is>
          <t>09/04/2026 07:53</t>
        </is>
      </c>
      <c r="M3935" t="inlineStr">
        <is>
          <t>None</t>
        </is>
      </c>
      <c r="N3935" t="inlineStr">
        <is>
          <t>&lt;p&gt;&lt;/p&gt;</t>
        </is>
      </c>
      <c r="O3935" t="inlineStr"/>
      <c r="P3935" t="inlineStr">
        <is>
          <t>Tipper - Nissan - Navara - NS02TTSTow Chipper - Jenson - A530L - 5521063948</t>
        </is>
      </c>
      <c r="Q3935" t="inlineStr">
        <is>
          <t>UKPN</t>
        </is>
      </c>
      <c r="R3935" t="b">
        <v>0</v>
      </c>
    </row>
    <row r="3936">
      <c r="A3936" t="inlineStr">
        <is>
          <t>9 Apr 2026 / 7996 M G Tree Surgery Ltd 1</t>
        </is>
      </c>
      <c r="B3936" t="inlineStr">
        <is>
          <t>Infrastructure &amp; Utilities</t>
        </is>
      </c>
      <c r="C3936" t="inlineStr">
        <is>
          <t>UKPN</t>
        </is>
      </c>
      <c r="D3936" t="inlineStr">
        <is>
          <t>KX20 BCE , Tipper , Isuzu , D-Max</t>
        </is>
      </c>
      <c r="E3936" t="inlineStr">
        <is>
          <t>KX20 BCE , Tipper , Isuzu , D-Max</t>
        </is>
      </c>
      <c r="F3936" t="inlineStr">
        <is>
          <t>KX20 BCE , Tipper , Isuzu , D-Max</t>
        </is>
      </c>
      <c r="G3936" t="inlineStr">
        <is>
          <t>Anthony Gale</t>
        </is>
      </c>
      <c r="H3936" t="inlineStr">
        <is>
          <t>Pickup Truck</t>
        </is>
      </c>
      <c r="I3936" t="inlineStr">
        <is>
          <t>Daily/ Weekly Vehicle Inspection</t>
        </is>
      </c>
      <c r="J3936" t="inlineStr">
        <is>
          <t>N/A</t>
        </is>
      </c>
      <c r="K3936" t="inlineStr">
        <is>
          <t>7996 M G Tree Surgery Ltd 1</t>
        </is>
      </c>
      <c r="L3936" t="inlineStr">
        <is>
          <t>09/04/2026 07:54</t>
        </is>
      </c>
      <c r="M3936" t="inlineStr">
        <is>
          <t>None</t>
        </is>
      </c>
      <c r="N3936" t="inlineStr">
        <is>
          <t>&lt;p&gt;&lt;/p&gt;</t>
        </is>
      </c>
      <c r="O3936" t="inlineStr"/>
      <c r="P3936" t="inlineStr">
        <is>
          <t>KX20 BCE , Tipper , Isuzu , D-Max</t>
        </is>
      </c>
      <c r="Q3936" t="inlineStr">
        <is>
          <t>UKPN</t>
        </is>
      </c>
      <c r="R3936" t="b">
        <v>0</v>
      </c>
    </row>
    <row r="3937">
      <c r="A3937" t="inlineStr">
        <is>
          <t>9 Apr 2026 / 7996 M G Tree Surgery Ltd 1</t>
        </is>
      </c>
      <c r="B3937" t="inlineStr">
        <is>
          <t>Infrastructure &amp; Utilities</t>
        </is>
      </c>
      <c r="C3937" t="inlineStr">
        <is>
          <t>UKPN</t>
        </is>
      </c>
      <c r="D3937" t="inlineStr"/>
      <c r="E3937" t="inlineStr"/>
      <c r="F3937" t="inlineStr"/>
      <c r="G3937" t="inlineStr">
        <is>
          <t>Anthony Gale</t>
        </is>
      </c>
      <c r="H3937" t="inlineStr">
        <is>
          <t>Towed Chipper</t>
        </is>
      </c>
      <c r="I3937" t="inlineStr">
        <is>
          <t>Daily/ Weekly Vehicle Inspection</t>
        </is>
      </c>
      <c r="J3937" t="inlineStr">
        <is>
          <t>N/A</t>
        </is>
      </c>
      <c r="K3937" t="inlineStr">
        <is>
          <t>7996 M G Tree Surgery Ltd 1</t>
        </is>
      </c>
      <c r="L3937" t="inlineStr">
        <is>
          <t>09/04/2026 07:54</t>
        </is>
      </c>
      <c r="M3937" t="inlineStr">
        <is>
          <t>None</t>
        </is>
      </c>
      <c r="N3937" t="inlineStr">
        <is>
          <t>&lt;p&gt;&lt;/p&gt;</t>
        </is>
      </c>
      <c r="O3937" t="inlineStr"/>
      <c r="P3937" t="inlineStr"/>
      <c r="Q3937" t="inlineStr">
        <is>
          <t>UKPN</t>
        </is>
      </c>
      <c r="R3937" t="b">
        <v>0</v>
      </c>
    </row>
    <row r="3938">
      <c r="A3938" t="inlineStr">
        <is>
          <t>18 Sep 2025 / 7535 HJ Tree Services / Utilities / SSE</t>
        </is>
      </c>
      <c r="B3938" t="inlineStr">
        <is>
          <t>Utilities</t>
        </is>
      </c>
      <c r="C3938" t="inlineStr">
        <is>
          <t>SSE</t>
        </is>
      </c>
      <c r="D3938" t="inlineStr">
        <is>
          <t>4x4 - Ford - Ranger - Bh19vxz</t>
        </is>
      </c>
      <c r="E3938" t="inlineStr">
        <is>
          <t>4x4 - Ford - Ranger - Bh19vxz</t>
        </is>
      </c>
      <c r="F3938" t="inlineStr">
        <is>
          <t>4x4 - Ford - Ranger - Bh19vxz</t>
        </is>
      </c>
      <c r="G3938" t="inlineStr">
        <is>
          <t>Harvey Joy</t>
        </is>
      </c>
      <c r="H3938" t="inlineStr">
        <is>
          <t>4x4</t>
        </is>
      </c>
      <c r="I3938" t="inlineStr">
        <is>
          <t>Daily/ Weekly Vehicle Inspection</t>
        </is>
      </c>
      <c r="J3938" t="inlineStr">
        <is>
          <t>N/A</t>
        </is>
      </c>
      <c r="K3938" t="inlineStr">
        <is>
          <t>7535 HJ Tree Surgeons Limited</t>
        </is>
      </c>
      <c r="L3938" t="inlineStr">
        <is>
          <t>09/04/2026 09:48</t>
        </is>
      </c>
      <c r="M3938" t="inlineStr">
        <is>
          <t>None</t>
        </is>
      </c>
      <c r="N3938" t="inlineStr">
        <is>
          <t>&lt;p&gt;&lt;/p&gt;</t>
        </is>
      </c>
      <c r="O3938" t="inlineStr"/>
      <c r="P3938" t="inlineStr">
        <is>
          <t>4x4 - Ford - Ranger - Bh19vxz</t>
        </is>
      </c>
      <c r="Q3938" t="inlineStr">
        <is>
          <t>SSE</t>
        </is>
      </c>
      <c r="R3938" t="b">
        <v>0</v>
      </c>
    </row>
    <row r="3939">
      <c r="A3939" t="inlineStr">
        <is>
          <t>9 Apr 2026 / Joshua Stones</t>
        </is>
      </c>
      <c r="B3939" t="inlineStr">
        <is>
          <t>Infrastructure &amp; Utilities</t>
        </is>
      </c>
      <c r="C3939" t="inlineStr">
        <is>
          <t>SSE</t>
        </is>
      </c>
      <c r="D3939" t="inlineStr"/>
      <c r="E3939" t="inlineStr"/>
      <c r="F3939" t="inlineStr"/>
      <c r="G3939" t="inlineStr">
        <is>
          <t>Joshua stones</t>
        </is>
      </c>
      <c r="H3939" t="inlineStr">
        <is>
          <t>Van</t>
        </is>
      </c>
      <c r="I3939" t="inlineStr">
        <is>
          <t>Daily/ Weekly Vehicle Inspection</t>
        </is>
      </c>
      <c r="J3939" t="inlineStr">
        <is>
          <t>N/A</t>
        </is>
      </c>
      <c r="K3939" t="inlineStr">
        <is>
          <t>Joshua Stones</t>
        </is>
      </c>
      <c r="L3939" t="inlineStr">
        <is>
          <t>09/04/2026 10:48</t>
        </is>
      </c>
      <c r="M3939" t="inlineStr">
        <is>
          <t>None</t>
        </is>
      </c>
      <c r="N3939" t="inlineStr">
        <is>
          <t>&lt;p&gt;&lt;/p&gt;</t>
        </is>
      </c>
      <c r="O3939" t="inlineStr"/>
      <c r="P3939" t="inlineStr"/>
      <c r="Q3939" t="inlineStr">
        <is>
          <t>SSE</t>
        </is>
      </c>
      <c r="R3939" t="b">
        <v>0</v>
      </c>
    </row>
    <row r="3940">
      <c r="A3940" t="inlineStr">
        <is>
          <t>9 Apr 2026 / Daniel Hackett</t>
        </is>
      </c>
      <c r="B3940" t="inlineStr">
        <is>
          <t>Infrastructure &amp; Utilities</t>
        </is>
      </c>
      <c r="C3940" t="inlineStr">
        <is>
          <t>NGED</t>
        </is>
      </c>
      <c r="D3940" t="inlineStr">
        <is>
          <t>AK70TKJ , Car - Electric , Tesla , Model 3 Long Range AWD</t>
        </is>
      </c>
      <c r="E3940" t="inlineStr">
        <is>
          <t>AK70TKJ , Car - Electric , Tesla , Model 3 Long Range AWD</t>
        </is>
      </c>
      <c r="F3940" t="inlineStr">
        <is>
          <t>AK70TKJ , Car - Electric , Tesla , Model 3 Long Range AWD</t>
        </is>
      </c>
      <c r="G3940" t="inlineStr">
        <is>
          <t xml:space="preserve">Daniel Hackett </t>
        </is>
      </c>
      <c r="H3940" t="inlineStr">
        <is>
          <t>Car - Electric (GC Owned)</t>
        </is>
      </c>
      <c r="I3940" t="inlineStr">
        <is>
          <t>Daily/ Weekly Vehicle Inspection</t>
        </is>
      </c>
      <c r="J3940" t="inlineStr">
        <is>
          <t>N/A</t>
        </is>
      </c>
      <c r="K3940" t="inlineStr">
        <is>
          <t>Daniel Hackett</t>
        </is>
      </c>
      <c r="L3940" t="inlineStr">
        <is>
          <t>09/04/2026 10:48</t>
        </is>
      </c>
      <c r="M3940" t="inlineStr">
        <is>
          <t>None</t>
        </is>
      </c>
      <c r="N3940" t="inlineStr">
        <is>
          <t>&lt;p&gt;&lt;/p&gt;</t>
        </is>
      </c>
      <c r="O3940" t="inlineStr">
        <is>
          <t>Confirm that you have checked this vehicle as per the guidance document and the vehicle is safe and roadworthy:Tyre pressure monitor not working warning. All tyre pressures are good. Reported via Tesla App.
-</t>
        </is>
      </c>
      <c r="P3940" t="inlineStr">
        <is>
          <t>AK70TKJ , Car - Electric , Tesla , Model 3 Long Range AWD</t>
        </is>
      </c>
      <c r="Q3940" t="inlineStr">
        <is>
          <t>NGED</t>
        </is>
      </c>
      <c r="R3940" t="b">
        <v>0</v>
      </c>
    </row>
    <row r="3941">
      <c r="A3941" t="inlineStr">
        <is>
          <t>9 Apr 2026 / 3098 D &amp; R Landscapes</t>
        </is>
      </c>
      <c r="B3941" t="inlineStr">
        <is>
          <t>Infrastructure &amp; Utilities</t>
        </is>
      </c>
      <c r="C3941" t="inlineStr">
        <is>
          <t>UKPN</t>
        </is>
      </c>
      <c r="D3941" t="inlineStr">
        <is>
          <t>WA13ZZK , 4x4 , Land Rover  , Defender</t>
        </is>
      </c>
      <c r="E3941" t="inlineStr">
        <is>
          <t>WA13ZZK , 4x4 , Land Rover  , Defender</t>
        </is>
      </c>
      <c r="F3941" t="inlineStr">
        <is>
          <t>WA13ZZK , 4x4 , Land Rover  , Defender</t>
        </is>
      </c>
      <c r="G3941" t="inlineStr">
        <is>
          <t>Chris</t>
        </is>
      </c>
      <c r="H3941" t="inlineStr">
        <is>
          <t>Pickup Truck</t>
        </is>
      </c>
      <c r="I3941" t="inlineStr">
        <is>
          <t>Daily/ Weekly Vehicle Inspection</t>
        </is>
      </c>
      <c r="J3941" t="inlineStr">
        <is>
          <t>N/A</t>
        </is>
      </c>
      <c r="K3941" t="inlineStr">
        <is>
          <t>3098 D &amp; R Landscapes</t>
        </is>
      </c>
      <c r="L3941" t="inlineStr">
        <is>
          <t>09/04/2026 11:48</t>
        </is>
      </c>
      <c r="M3941" t="inlineStr">
        <is>
          <t>None</t>
        </is>
      </c>
      <c r="N3941" t="inlineStr">
        <is>
          <t>&lt;p&gt;&lt;/p&gt;</t>
        </is>
      </c>
      <c r="O3941" t="inlineStr"/>
      <c r="P3941" t="inlineStr">
        <is>
          <t>WA13ZZK , 4x4 , Land Rover  , Defender</t>
        </is>
      </c>
      <c r="Q3941" t="inlineStr">
        <is>
          <t>UKPN</t>
        </is>
      </c>
      <c r="R3941" t="b">
        <v>0</v>
      </c>
    </row>
    <row r="3942">
      <c r="A3942" t="inlineStr">
        <is>
          <t>9 Apr 2026 / 3098 D &amp; R Landscapes</t>
        </is>
      </c>
      <c r="B3942" t="inlineStr">
        <is>
          <t>Infrastructure &amp; Utilities</t>
        </is>
      </c>
      <c r="C3942" t="inlineStr">
        <is>
          <t>UKPN</t>
        </is>
      </c>
      <c r="D3942" t="inlineStr">
        <is>
          <t>DE68XHA , Tipper , Isuzu , Grafter</t>
        </is>
      </c>
      <c r="E3942" t="inlineStr">
        <is>
          <t>DE68XHA , Tipper , Isuzu , Grafter</t>
        </is>
      </c>
      <c r="F3942" t="inlineStr">
        <is>
          <t>DE68XHA , Tipper , Isuzu , Grafter</t>
        </is>
      </c>
      <c r="G3942" t="inlineStr">
        <is>
          <t>Jason</t>
        </is>
      </c>
      <c r="H3942" t="inlineStr">
        <is>
          <t>Tipper</t>
        </is>
      </c>
      <c r="I3942" t="inlineStr">
        <is>
          <t>Daily/ Weekly Vehicle Inspection</t>
        </is>
      </c>
      <c r="J3942" t="inlineStr">
        <is>
          <t>N/A</t>
        </is>
      </c>
      <c r="K3942" t="inlineStr">
        <is>
          <t>3098 D &amp; R Landscapes</t>
        </is>
      </c>
      <c r="L3942" t="inlineStr">
        <is>
          <t>09/04/2026 11:48</t>
        </is>
      </c>
      <c r="M3942" t="inlineStr">
        <is>
          <t>None</t>
        </is>
      </c>
      <c r="N3942" t="inlineStr">
        <is>
          <t>&lt;p&gt;&lt;/p&gt;</t>
        </is>
      </c>
      <c r="O3942" t="inlineStr"/>
      <c r="P3942" t="inlineStr">
        <is>
          <t>DE68XHA , Tipper , Isuzu , Grafter</t>
        </is>
      </c>
      <c r="Q3942" t="inlineStr">
        <is>
          <t>UKPN</t>
        </is>
      </c>
      <c r="R3942" t="b">
        <v>0</v>
      </c>
    </row>
    <row r="3943">
      <c r="A3943" t="inlineStr">
        <is>
          <t>18 Sep 2025 / 7535 HJ Tree Services / Utilities / SSE</t>
        </is>
      </c>
      <c r="B3943" t="inlineStr">
        <is>
          <t>Utilities</t>
        </is>
      </c>
      <c r="C3943" t="inlineStr">
        <is>
          <t>SSE</t>
        </is>
      </c>
      <c r="D3943" t="inlineStr">
        <is>
          <t>4x4 - Ford - Ranger - Bh19vxz</t>
        </is>
      </c>
      <c r="E3943" t="inlineStr">
        <is>
          <t>4x4 - Ford - Ranger - Bh19vxz</t>
        </is>
      </c>
      <c r="F3943" t="inlineStr">
        <is>
          <t>4x4 - Ford - Ranger - Bh19vxz</t>
        </is>
      </c>
      <c r="G3943" t="inlineStr">
        <is>
          <t>Harvey Joy</t>
        </is>
      </c>
      <c r="H3943" t="inlineStr">
        <is>
          <t>4x4</t>
        </is>
      </c>
      <c r="I3943" t="inlineStr">
        <is>
          <t>Daily/ Weekly Vehicle Inspection</t>
        </is>
      </c>
      <c r="J3943" t="inlineStr">
        <is>
          <t>N/A</t>
        </is>
      </c>
      <c r="K3943" t="inlineStr">
        <is>
          <t>7535 HJ Tree Surgeons Limited</t>
        </is>
      </c>
      <c r="L3943" t="inlineStr">
        <is>
          <t>09/04/2026 23:48</t>
        </is>
      </c>
      <c r="M3943" t="inlineStr">
        <is>
          <t>None</t>
        </is>
      </c>
      <c r="N3943" t="inlineStr">
        <is>
          <t>&lt;p&gt;&lt;/p&gt;</t>
        </is>
      </c>
      <c r="O3943" t="inlineStr"/>
      <c r="P3943" t="inlineStr">
        <is>
          <t>4x4 - Ford - Ranger - Bh19vxz</t>
        </is>
      </c>
      <c r="Q3943" t="inlineStr">
        <is>
          <t>SSE</t>
        </is>
      </c>
      <c r="R3943" t="b">
        <v>0</v>
      </c>
    </row>
    <row r="3944">
      <c r="A3944" t="inlineStr">
        <is>
          <t>10 Apr 2026 / 6617 Ashdown Tree Limited 1</t>
        </is>
      </c>
      <c r="B3944" t="inlineStr">
        <is>
          <t>Infrastructure &amp; Utilities</t>
        </is>
      </c>
      <c r="C3944" t="inlineStr">
        <is>
          <t>UKPN</t>
        </is>
      </c>
      <c r="D3944" t="inlineStr">
        <is>
          <t>TR55TUB , 4x4 , Land rover  , Defender mewp</t>
        </is>
      </c>
      <c r="E3944" t="inlineStr">
        <is>
          <t>TR55TUB , 4x4 , Land rover  , Defender mewp</t>
        </is>
      </c>
      <c r="F3944" t="inlineStr">
        <is>
          <t>TR55TUB , 4x4 , Land rover  , Defender mewp</t>
        </is>
      </c>
      <c r="G3944" t="inlineStr">
        <is>
          <t>Dan</t>
        </is>
      </c>
      <c r="H3944" t="inlineStr">
        <is>
          <t>4x4</t>
        </is>
      </c>
      <c r="I3944" t="inlineStr">
        <is>
          <t>Daily/ Weekly Vehicle Inspection</t>
        </is>
      </c>
      <c r="J3944" t="inlineStr">
        <is>
          <t>N/A</t>
        </is>
      </c>
      <c r="K3944" t="inlineStr">
        <is>
          <t>6617 Ashdown Tree Limited - Team 2</t>
        </is>
      </c>
      <c r="L3944" t="inlineStr">
        <is>
          <t>10/04/2026 06:48</t>
        </is>
      </c>
      <c r="M3944" t="inlineStr">
        <is>
          <t>None</t>
        </is>
      </c>
      <c r="N3944" t="inlineStr">
        <is>
          <t>&lt;p&gt;&lt;/p&gt;</t>
        </is>
      </c>
      <c r="O3944" t="inlineStr"/>
      <c r="P3944" t="inlineStr">
        <is>
          <t>TR55TUB , 4x4 , Land rover  , Defender mewp</t>
        </is>
      </c>
      <c r="Q3944" t="inlineStr">
        <is>
          <t>UKPN</t>
        </is>
      </c>
      <c r="R3944" t="b">
        <v>0</v>
      </c>
    </row>
    <row r="3945">
      <c r="A3945" t="inlineStr">
        <is>
          <t>10 Apr 2026 / 7800 MAC Tree Surgery and Fencing Ltd / Utilities / UKPN</t>
        </is>
      </c>
      <c r="B3945" t="inlineStr">
        <is>
          <t>Utilities</t>
        </is>
      </c>
      <c r="C3945" t="inlineStr">
        <is>
          <t>UKPN</t>
        </is>
      </c>
      <c r="D3945" t="inlineStr">
        <is>
          <t>AY68DAA , 4x4 , Izuzu , Dmax</t>
        </is>
      </c>
      <c r="E3945" t="inlineStr">
        <is>
          <t>AY68DAA , 4x4 , Izuzu , Dmax</t>
        </is>
      </c>
      <c r="F3945" t="inlineStr">
        <is>
          <t>AY68DAA , 4x4 , Izuzu , Dmax</t>
        </is>
      </c>
      <c r="G3945" t="inlineStr">
        <is>
          <t xml:space="preserve">Patrick O'Shea </t>
        </is>
      </c>
      <c r="H3945" t="inlineStr">
        <is>
          <t>4x4</t>
        </is>
      </c>
      <c r="I3945" t="inlineStr">
        <is>
          <t>Daily/ Weekly Vehicle Inspection</t>
        </is>
      </c>
      <c r="J3945" t="inlineStr">
        <is>
          <t>N/A</t>
        </is>
      </c>
      <c r="K3945" t="inlineStr">
        <is>
          <t>7800 MAC Tree Surgery and Fencing Ltd</t>
        </is>
      </c>
      <c r="L3945" t="inlineStr">
        <is>
          <t>10/04/2026 07:48</t>
        </is>
      </c>
      <c r="M3945" t="inlineStr">
        <is>
          <t>None</t>
        </is>
      </c>
      <c r="N3945" t="inlineStr">
        <is>
          <t>&lt;p&gt;&lt;/p&gt;</t>
        </is>
      </c>
      <c r="O3945" t="inlineStr"/>
      <c r="P3945" t="inlineStr">
        <is>
          <t>AY68DAA , 4x4 , Izuzu , Dmax</t>
        </is>
      </c>
      <c r="Q3945" t="inlineStr">
        <is>
          <t>UKPN</t>
        </is>
      </c>
      <c r="R3945" t="b">
        <v>0</v>
      </c>
    </row>
    <row r="3946">
      <c r="A3946" t="inlineStr">
        <is>
          <t>10 Apr 2026 / 7800 MAC Tree Surgery and Fencing Ltd / Utilities / UKPN</t>
        </is>
      </c>
      <c r="B3946" t="inlineStr">
        <is>
          <t>Utilities</t>
        </is>
      </c>
      <c r="C3946" t="inlineStr">
        <is>
          <t>UKPN</t>
        </is>
      </c>
      <c r="D3946" t="inlineStr">
        <is>
          <t>Plant Trailer - Towmate - 2.8t - 0</t>
        </is>
      </c>
      <c r="E3946" t="inlineStr">
        <is>
          <t>Plant Trailer - Towmate - 2.8t - 0</t>
        </is>
      </c>
      <c r="F3946" t="inlineStr">
        <is>
          <t>Plant Trailer - Towmate - 2.8t - 0</t>
        </is>
      </c>
      <c r="G3946" t="inlineStr">
        <is>
          <t>Lewis mac</t>
        </is>
      </c>
      <c r="H3946" t="inlineStr">
        <is>
          <t>Plant Trailer</t>
        </is>
      </c>
      <c r="I3946" t="inlineStr">
        <is>
          <t>Daily/ Weekly Vehicle Inspection</t>
        </is>
      </c>
      <c r="J3946" t="inlineStr">
        <is>
          <t>N/A</t>
        </is>
      </c>
      <c r="K3946" t="inlineStr">
        <is>
          <t>7800 MAC Tree Surgery and Fencing Ltd</t>
        </is>
      </c>
      <c r="L3946" t="inlineStr">
        <is>
          <t>10/04/2026 07:48</t>
        </is>
      </c>
      <c r="M3946" t="inlineStr">
        <is>
          <t>None</t>
        </is>
      </c>
      <c r="N3946" t="inlineStr">
        <is>
          <t>&lt;p&gt;&lt;/p&gt;</t>
        </is>
      </c>
      <c r="O3946" t="inlineStr"/>
      <c r="P3946" t="inlineStr">
        <is>
          <t>Plant Trailer - Towmate - 2.8t - 0</t>
        </is>
      </c>
      <c r="Q3946" t="inlineStr">
        <is>
          <t>UKPN</t>
        </is>
      </c>
      <c r="R3946" t="b">
        <v>0</v>
      </c>
    </row>
    <row r="3947">
      <c r="A3947" t="inlineStr">
        <is>
          <t>10 Apr 2026 / 8148 Hope Ground and Tree Care</t>
        </is>
      </c>
      <c r="B3947" t="inlineStr">
        <is>
          <t>Infrastructure &amp; Utilities</t>
        </is>
      </c>
      <c r="C3947" t="inlineStr">
        <is>
          <t>UKPN</t>
        </is>
      </c>
      <c r="D3947" t="inlineStr">
        <is>
          <t>S6 NWX , MEWP , Isuzu , D-Max</t>
        </is>
      </c>
      <c r="E3947" t="inlineStr">
        <is>
          <t>S6 NWX , MEWP , Isuzu , D-Max</t>
        </is>
      </c>
      <c r="F3947" t="inlineStr">
        <is>
          <t>S6 NWX , MEWP , Isuzu , D-Max</t>
        </is>
      </c>
      <c r="G3947" t="inlineStr">
        <is>
          <t>Hope</t>
        </is>
      </c>
      <c r="H3947" t="inlineStr">
        <is>
          <t>4x4</t>
        </is>
      </c>
      <c r="I3947" t="inlineStr">
        <is>
          <t>Daily/ Weekly Vehicle Inspection</t>
        </is>
      </c>
      <c r="J3947" t="inlineStr">
        <is>
          <t>N/A</t>
        </is>
      </c>
      <c r="K3947" t="inlineStr">
        <is>
          <t>8148 Hope Ground and Tree Care</t>
        </is>
      </c>
      <c r="L3947" t="inlineStr">
        <is>
          <t>10/04/2026 07:51</t>
        </is>
      </c>
      <c r="M3947" t="inlineStr">
        <is>
          <t>None</t>
        </is>
      </c>
      <c r="N3947" t="inlineStr">
        <is>
          <t>&lt;p&gt;&lt;/p&gt;</t>
        </is>
      </c>
      <c r="O3947" t="inlineStr"/>
      <c r="P3947" t="inlineStr">
        <is>
          <t>S6 NWX , MEWP , Isuzu , D-Max</t>
        </is>
      </c>
      <c r="Q3947" t="inlineStr">
        <is>
          <t>UKPN</t>
        </is>
      </c>
      <c r="R3947" t="b">
        <v>0</v>
      </c>
    </row>
    <row r="3948">
      <c r="A3948" t="inlineStr">
        <is>
          <t>10 Apr 2026 / 7186 Eastwoodbury Tree Services Ltd</t>
        </is>
      </c>
      <c r="B3948" t="inlineStr">
        <is>
          <t>Infrastructure &amp; Utilities</t>
        </is>
      </c>
      <c r="C3948" t="inlineStr">
        <is>
          <t>UKPN</t>
        </is>
      </c>
      <c r="D3948" t="inlineStr">
        <is>
          <t>WF13 EKT , 4x4 , Land rover  , Defender</t>
        </is>
      </c>
      <c r="E3948" t="inlineStr">
        <is>
          <t>WF13 EKT , 4x4 , Land rover  , Defender</t>
        </is>
      </c>
      <c r="F3948" t="inlineStr">
        <is>
          <t>WF13 EKT , 4x4 , Land rover  , Defender</t>
        </is>
      </c>
      <c r="G3948" t="inlineStr">
        <is>
          <t xml:space="preserve">Dan Gilbert </t>
        </is>
      </c>
      <c r="H3948" t="inlineStr">
        <is>
          <t>4x4</t>
        </is>
      </c>
      <c r="I3948" t="inlineStr">
        <is>
          <t>Daily/ Weekly Vehicle Inspection</t>
        </is>
      </c>
      <c r="J3948" t="inlineStr">
        <is>
          <t>N/A</t>
        </is>
      </c>
      <c r="K3948" t="inlineStr">
        <is>
          <t>7186 Eastwoodbury Tree Services Ltd</t>
        </is>
      </c>
      <c r="L3948" t="inlineStr">
        <is>
          <t>10/04/2026 07:51</t>
        </is>
      </c>
      <c r="M3948" t="inlineStr">
        <is>
          <t>None</t>
        </is>
      </c>
      <c r="N3948" t="inlineStr">
        <is>
          <t>&lt;p&gt;&lt;/p&gt;</t>
        </is>
      </c>
      <c r="O3948" t="inlineStr"/>
      <c r="P3948" t="inlineStr">
        <is>
          <t>WF13 EKT , 4x4 , Land rover  , Defender</t>
        </is>
      </c>
      <c r="Q3948" t="inlineStr">
        <is>
          <t>UKPN</t>
        </is>
      </c>
      <c r="R3948" t="b">
        <v>0</v>
      </c>
    </row>
    <row r="3949">
      <c r="A3949" t="inlineStr">
        <is>
          <t>10 Apr 2026 / 7889 Tree Tech Suffolk Ltd</t>
        </is>
      </c>
      <c r="B3949" t="inlineStr">
        <is>
          <t>Utilities &amp; Inland Waterways</t>
        </is>
      </c>
      <c r="C3949" t="inlineStr">
        <is>
          <t>UKPN</t>
        </is>
      </c>
      <c r="D3949" t="inlineStr">
        <is>
          <t>Tipper - Nissan - Navara - NS02TTS</t>
        </is>
      </c>
      <c r="E3949" t="inlineStr">
        <is>
          <t>Tipper - Nissan - Navara - NS02TTS</t>
        </is>
      </c>
      <c r="F3949" t="inlineStr">
        <is>
          <t>Tipper - Nissan - Navara - NS02TTS</t>
        </is>
      </c>
      <c r="G3949" t="inlineStr">
        <is>
          <t>Danny Appleby</t>
        </is>
      </c>
      <c r="H3949" t="inlineStr">
        <is>
          <t>Tipper</t>
        </is>
      </c>
      <c r="I3949" t="inlineStr">
        <is>
          <t>Daily/ Weekly Vehicle Inspection</t>
        </is>
      </c>
      <c r="J3949" t="inlineStr">
        <is>
          <t>N/A</t>
        </is>
      </c>
      <c r="K3949" t="inlineStr">
        <is>
          <t>7889 Tree Tech Suffolk Ltd</t>
        </is>
      </c>
      <c r="L3949" t="inlineStr">
        <is>
          <t>10/04/2026 07:52</t>
        </is>
      </c>
      <c r="M3949" t="inlineStr">
        <is>
          <t>None</t>
        </is>
      </c>
      <c r="N3949" t="inlineStr">
        <is>
          <t>&lt;p&gt;&lt;/p&gt;</t>
        </is>
      </c>
      <c r="O3949" t="inlineStr"/>
      <c r="P3949" t="inlineStr">
        <is>
          <t>Tipper - Nissan - Navara - NS02TTS</t>
        </is>
      </c>
      <c r="Q3949" t="inlineStr">
        <is>
          <t>UKPN</t>
        </is>
      </c>
      <c r="R3949" t="b">
        <v>0</v>
      </c>
    </row>
    <row r="3950">
      <c r="A3950" t="inlineStr">
        <is>
          <t>10 Apr 2026 / 7996 M G Tree Surgery Ltd 1</t>
        </is>
      </c>
      <c r="B3950" t="inlineStr">
        <is>
          <t>Infrastructure &amp; Utilities</t>
        </is>
      </c>
      <c r="C3950" t="inlineStr">
        <is>
          <t>UKPN</t>
        </is>
      </c>
      <c r="D3950" t="inlineStr">
        <is>
          <t>KX20 BCE , Tipper , Isuzu , D-Max</t>
        </is>
      </c>
      <c r="E3950" t="inlineStr">
        <is>
          <t>KX20 BCE , Tipper , Isuzu , D-Max</t>
        </is>
      </c>
      <c r="F3950" t="inlineStr">
        <is>
          <t>KX20 BCE , Tipper , Isuzu , D-Max</t>
        </is>
      </c>
      <c r="G3950" t="inlineStr">
        <is>
          <t>Anthony Gale</t>
        </is>
      </c>
      <c r="H3950" t="inlineStr">
        <is>
          <t>Pickup Truck</t>
        </is>
      </c>
      <c r="I3950" t="inlineStr">
        <is>
          <t>Daily/ Weekly Vehicle Inspection</t>
        </is>
      </c>
      <c r="J3950" t="inlineStr">
        <is>
          <t>N/A</t>
        </is>
      </c>
      <c r="K3950" t="inlineStr">
        <is>
          <t>7996 M G Tree Surgery Ltd 1</t>
        </is>
      </c>
      <c r="L3950" t="inlineStr">
        <is>
          <t>10/04/2026 07:52</t>
        </is>
      </c>
      <c r="M3950" t="inlineStr">
        <is>
          <t>None</t>
        </is>
      </c>
      <c r="N3950" t="inlineStr">
        <is>
          <t>&lt;p&gt;&lt;/p&gt;</t>
        </is>
      </c>
      <c r="O3950" t="inlineStr"/>
      <c r="P3950" t="inlineStr">
        <is>
          <t>KX20 BCE , Tipper , Isuzu , D-Max</t>
        </is>
      </c>
      <c r="Q3950" t="inlineStr">
        <is>
          <t>UKPN</t>
        </is>
      </c>
      <c r="R3950" t="b">
        <v>0</v>
      </c>
    </row>
    <row r="3951">
      <c r="A3951" t="inlineStr">
        <is>
          <t>9 Apr 2026 / 7996 M G Tree Surgery Ltd 1</t>
        </is>
      </c>
      <c r="B3951" t="inlineStr">
        <is>
          <t>Infrastructure &amp; Utilities</t>
        </is>
      </c>
      <c r="C3951" t="inlineStr">
        <is>
          <t>UKPN</t>
        </is>
      </c>
      <c r="D3951" t="inlineStr"/>
      <c r="E3951" t="inlineStr"/>
      <c r="F3951" t="inlineStr"/>
      <c r="G3951" t="inlineStr">
        <is>
          <t>Anthony Gale</t>
        </is>
      </c>
      <c r="H3951" t="inlineStr">
        <is>
          <t>Towed Chipper</t>
        </is>
      </c>
      <c r="I3951" t="inlineStr">
        <is>
          <t>Daily/ Weekly Vehicle Inspection</t>
        </is>
      </c>
      <c r="J3951" t="inlineStr">
        <is>
          <t>N/A</t>
        </is>
      </c>
      <c r="K3951" t="inlineStr">
        <is>
          <t>7996 M G Tree Surgery Ltd 1</t>
        </is>
      </c>
      <c r="L3951" t="inlineStr">
        <is>
          <t>10/04/2026 07:54</t>
        </is>
      </c>
      <c r="M3951" t="inlineStr">
        <is>
          <t>None</t>
        </is>
      </c>
      <c r="N3951" t="inlineStr">
        <is>
          <t>&lt;p&gt;&lt;/p&gt;</t>
        </is>
      </c>
      <c r="O3951" t="inlineStr"/>
      <c r="P3951" t="inlineStr"/>
      <c r="Q3951" t="inlineStr">
        <is>
          <t>UKPN</t>
        </is>
      </c>
      <c r="R3951" t="b">
        <v>0</v>
      </c>
    </row>
    <row r="3952">
      <c r="A3952" t="inlineStr">
        <is>
          <t>9 Apr 2026 / 7996 M G Tree Surgery Ltd 1</t>
        </is>
      </c>
      <c r="B3952" t="inlineStr">
        <is>
          <t>Infrastructure &amp; Utilities</t>
        </is>
      </c>
      <c r="C3952" t="inlineStr">
        <is>
          <t>UKPN</t>
        </is>
      </c>
      <c r="D3952" t="inlineStr">
        <is>
          <t>KX20 BCE , Tipper , Isuzu , D-Max</t>
        </is>
      </c>
      <c r="E3952" t="inlineStr">
        <is>
          <t>KX20 BCE , Tipper , Isuzu , D-Max</t>
        </is>
      </c>
      <c r="F3952" t="inlineStr">
        <is>
          <t>KX20 BCE , Tipper , Isuzu , D-Max</t>
        </is>
      </c>
      <c r="G3952" t="inlineStr">
        <is>
          <t>Anthony Gale</t>
        </is>
      </c>
      <c r="H3952" t="inlineStr">
        <is>
          <t>Pickup Truck</t>
        </is>
      </c>
      <c r="I3952" t="inlineStr">
        <is>
          <t>Daily/ Weekly Vehicle Inspection</t>
        </is>
      </c>
      <c r="J3952" t="inlineStr">
        <is>
          <t>N/A</t>
        </is>
      </c>
      <c r="K3952" t="inlineStr">
        <is>
          <t>7996 M G Tree Surgery Ltd 1</t>
        </is>
      </c>
      <c r="L3952" t="inlineStr">
        <is>
          <t>10/04/2026 07:54</t>
        </is>
      </c>
      <c r="M3952" t="inlineStr">
        <is>
          <t>None</t>
        </is>
      </c>
      <c r="N3952" t="inlineStr">
        <is>
          <t>&lt;p&gt;&lt;/p&gt;</t>
        </is>
      </c>
      <c r="O3952" t="inlineStr"/>
      <c r="P3952" t="inlineStr">
        <is>
          <t>KX20 BCE , Tipper , Isuzu , D-Max</t>
        </is>
      </c>
      <c r="Q3952" t="inlineStr">
        <is>
          <t>UKPN</t>
        </is>
      </c>
      <c r="R3952" t="b">
        <v>0</v>
      </c>
    </row>
    <row r="3953">
      <c r="A3953" t="inlineStr">
        <is>
          <t>10 Apr 2026 / 7995 Green Net Eco Ltd 2</t>
        </is>
      </c>
      <c r="B3953" t="inlineStr">
        <is>
          <t>Infrastructure &amp; Utilities</t>
        </is>
      </c>
      <c r="C3953" t="inlineStr">
        <is>
          <t>UKPN</t>
        </is>
      </c>
      <c r="D3953" t="inlineStr">
        <is>
          <t>MJ22UHR , Tipper , Ford , Transit</t>
        </is>
      </c>
      <c r="E3953" t="inlineStr">
        <is>
          <t>MJ22UHR , Tipper , Ford , Transit</t>
        </is>
      </c>
      <c r="F3953" t="inlineStr">
        <is>
          <t>MJ22UHR , Tipper , Ford , Transit</t>
        </is>
      </c>
      <c r="G3953" t="inlineStr">
        <is>
          <t>Thomas Playford</t>
        </is>
      </c>
      <c r="H3953" t="inlineStr">
        <is>
          <t>Tipper</t>
        </is>
      </c>
      <c r="I3953" t="inlineStr">
        <is>
          <t>Daily/ Weekly Vehicle Inspection</t>
        </is>
      </c>
      <c r="J3953" t="inlineStr">
        <is>
          <t>N/A</t>
        </is>
      </c>
      <c r="K3953" t="inlineStr">
        <is>
          <t>7995 Green Net Eco Ltd 2</t>
        </is>
      </c>
      <c r="L3953" t="inlineStr">
        <is>
          <t>10/04/2026 08:48</t>
        </is>
      </c>
      <c r="M3953" t="inlineStr">
        <is>
          <t>None</t>
        </is>
      </c>
      <c r="N3953" t="inlineStr">
        <is>
          <t>&lt;p&gt;&lt;/p&gt;</t>
        </is>
      </c>
      <c r="O3953" t="inlineStr"/>
      <c r="P3953" t="inlineStr">
        <is>
          <t>MJ22UHR , Tipper , Ford , Transit</t>
        </is>
      </c>
      <c r="Q3953" t="inlineStr">
        <is>
          <t>UKPN</t>
        </is>
      </c>
      <c r="R3953" t="b">
        <v>0</v>
      </c>
    </row>
    <row r="3954">
      <c r="A3954" t="inlineStr">
        <is>
          <t>10 Apr 2026 / 7995 Green Net Eco Ltd 2</t>
        </is>
      </c>
      <c r="B3954" t="inlineStr">
        <is>
          <t>Infrastructure &amp; Utilities</t>
        </is>
      </c>
      <c r="C3954" t="inlineStr">
        <is>
          <t>UKPN</t>
        </is>
      </c>
      <c r="D3954" t="inlineStr">
        <is>
          <t>LK15KRZ , 4x4 , Landrover , Defender</t>
        </is>
      </c>
      <c r="E3954" t="inlineStr">
        <is>
          <t>LK15KRZ , 4x4 , Landrover , Defender</t>
        </is>
      </c>
      <c r="F3954" t="inlineStr">
        <is>
          <t>LK15KRZ , 4x4 , Landrover , Defender</t>
        </is>
      </c>
      <c r="G3954" t="inlineStr">
        <is>
          <t>Thomas Playford</t>
        </is>
      </c>
      <c r="H3954" t="inlineStr">
        <is>
          <t>4x4</t>
        </is>
      </c>
      <c r="I3954" t="inlineStr">
        <is>
          <t>Daily/ Weekly Vehicle Inspection</t>
        </is>
      </c>
      <c r="J3954" t="inlineStr">
        <is>
          <t>N/A</t>
        </is>
      </c>
      <c r="K3954" t="inlineStr">
        <is>
          <t>7995 Green Net Eco Ltd 2</t>
        </is>
      </c>
      <c r="L3954" t="inlineStr">
        <is>
          <t>10/04/2026 08:49</t>
        </is>
      </c>
      <c r="M3954" t="inlineStr">
        <is>
          <t>None</t>
        </is>
      </c>
      <c r="N3954" t="inlineStr">
        <is>
          <t>&lt;p&gt;&lt;/p&gt;</t>
        </is>
      </c>
      <c r="O3954" t="inlineStr"/>
      <c r="P3954" t="inlineStr">
        <is>
          <t>LK15KRZ , 4x4 , Landrover , Defender</t>
        </is>
      </c>
      <c r="Q3954" t="inlineStr">
        <is>
          <t>UKPN</t>
        </is>
      </c>
      <c r="R3954" t="b">
        <v>0</v>
      </c>
    </row>
    <row r="3955">
      <c r="A3955" t="inlineStr">
        <is>
          <t>10 Apr 2026 / Mathew Dunn</t>
        </is>
      </c>
      <c r="B3955" t="inlineStr">
        <is>
          <t>Infrastructure &amp; Utilities</t>
        </is>
      </c>
      <c r="C3955" t="inlineStr">
        <is>
          <t>SSE</t>
        </is>
      </c>
      <c r="D3955" t="inlineStr">
        <is>
          <t>GN70XAU , Car - Electric , Tesla , Model 3 Long Range AWD</t>
        </is>
      </c>
      <c r="E3955" t="inlineStr">
        <is>
          <t>GN70XAU , Car - Electric , Tesla , Model 3 Long Range AWD</t>
        </is>
      </c>
      <c r="F3955" t="inlineStr">
        <is>
          <t>GN70XAU , Car - Electric , Tesla , Model 3 Long Range AWD</t>
        </is>
      </c>
      <c r="G3955" t="inlineStr">
        <is>
          <t xml:space="preserve">Mathew dunn </t>
        </is>
      </c>
      <c r="H3955" t="inlineStr">
        <is>
          <t>Car - Electric (GC Owned)</t>
        </is>
      </c>
      <c r="I3955" t="inlineStr">
        <is>
          <t>Monthly Vehicle Inspection</t>
        </is>
      </c>
      <c r="J3955" t="inlineStr">
        <is>
          <t>82300</t>
        </is>
      </c>
      <c r="K3955" t="inlineStr">
        <is>
          <t>Mathew Dunn</t>
        </is>
      </c>
      <c r="L3955" t="inlineStr">
        <is>
          <t>10/04/2026 08:50</t>
        </is>
      </c>
      <c r="M3955" t="inlineStr">
        <is>
          <t>None</t>
        </is>
      </c>
      <c r="N3955" t="inlineStr">
        <is>
          <t>&lt;p&gt;&lt;/p&gt;</t>
        </is>
      </c>
      <c r="O3955" t="inlineStr"/>
      <c r="P3955" t="inlineStr">
        <is>
          <t>GN70XAU , Car - Electric , Tesla , Model 3 Long Range AWD</t>
        </is>
      </c>
      <c r="Q3955" t="inlineStr">
        <is>
          <t>SSE</t>
        </is>
      </c>
      <c r="R3955" t="b">
        <v>0</v>
      </c>
    </row>
    <row r="3956">
      <c r="A3956" t="inlineStr">
        <is>
          <t>10 Apr 2026 / Mathew Dunn</t>
        </is>
      </c>
      <c r="B3956" t="inlineStr">
        <is>
          <t>Infrastructure &amp; Utilities</t>
        </is>
      </c>
      <c r="C3956" t="inlineStr">
        <is>
          <t>SSE</t>
        </is>
      </c>
      <c r="D3956" t="inlineStr">
        <is>
          <t>GN70XAU , Car - Electric , Tesla , Model 3 Long Range AWD</t>
        </is>
      </c>
      <c r="E3956" t="inlineStr">
        <is>
          <t>GN70XAU , Car - Electric , Tesla , Model 3 Long Range AWD</t>
        </is>
      </c>
      <c r="F3956" t="inlineStr">
        <is>
          <t>GN70XAU , Car - Electric , Tesla , Model 3 Long Range AWD</t>
        </is>
      </c>
      <c r="G3956" t="inlineStr">
        <is>
          <t>Mathew dunn</t>
        </is>
      </c>
      <c r="H3956" t="inlineStr">
        <is>
          <t>Car - Electric (GC Owned)</t>
        </is>
      </c>
      <c r="I3956" t="inlineStr">
        <is>
          <t>Daily/ Weekly Vehicle Inspection</t>
        </is>
      </c>
      <c r="J3956" t="inlineStr">
        <is>
          <t>N/A</t>
        </is>
      </c>
      <c r="K3956" t="inlineStr">
        <is>
          <t>Mathew Dunn</t>
        </is>
      </c>
      <c r="L3956" t="inlineStr">
        <is>
          <t>10/04/2026 08:51</t>
        </is>
      </c>
      <c r="M3956" t="inlineStr">
        <is>
          <t>None</t>
        </is>
      </c>
      <c r="N3956" t="inlineStr">
        <is>
          <t>&lt;p&gt;&lt;/p&gt;</t>
        </is>
      </c>
      <c r="O3956" t="inlineStr"/>
      <c r="P3956" t="inlineStr">
        <is>
          <t>GN70XAU , Car - Electric , Tesla , Model 3 Long Range AWD</t>
        </is>
      </c>
      <c r="Q3956" t="inlineStr">
        <is>
          <t>SSE</t>
        </is>
      </c>
      <c r="R3956" t="b">
        <v>0</v>
      </c>
    </row>
    <row r="3957">
      <c r="A3957" t="inlineStr">
        <is>
          <t>10 Apr 2026 / 7996 M G Tree Surgery Ltd 1</t>
        </is>
      </c>
      <c r="B3957" t="inlineStr">
        <is>
          <t>Infrastructure &amp; Utilities</t>
        </is>
      </c>
      <c r="C3957" t="inlineStr">
        <is>
          <t>UKPN</t>
        </is>
      </c>
      <c r="D3957" t="inlineStr"/>
      <c r="E3957" t="inlineStr"/>
      <c r="F3957" t="inlineStr"/>
      <c r="G3957" t="inlineStr">
        <is>
          <t>Anthony Gale</t>
        </is>
      </c>
      <c r="H3957" t="inlineStr">
        <is>
          <t>Plant Trailer</t>
        </is>
      </c>
      <c r="I3957" t="inlineStr">
        <is>
          <t>Daily/ Weekly Vehicle Inspection</t>
        </is>
      </c>
      <c r="J3957" t="inlineStr">
        <is>
          <t>N/A</t>
        </is>
      </c>
      <c r="K3957" t="inlineStr">
        <is>
          <t>7996 M G Tree Surgery Ltd 1</t>
        </is>
      </c>
      <c r="L3957" t="inlineStr">
        <is>
          <t>10/04/2026 08:51</t>
        </is>
      </c>
      <c r="M3957" t="inlineStr">
        <is>
          <t>None</t>
        </is>
      </c>
      <c r="N3957" t="inlineStr">
        <is>
          <t>&lt;p&gt;&lt;/p&gt;</t>
        </is>
      </c>
      <c r="O3957" t="inlineStr"/>
      <c r="P3957" t="inlineStr"/>
      <c r="Q3957" t="inlineStr">
        <is>
          <t>UKPN</t>
        </is>
      </c>
      <c r="R3957" t="b">
        <v>0</v>
      </c>
    </row>
    <row r="3958">
      <c r="A3958" t="inlineStr">
        <is>
          <t>10 Apr 2026 / Barry Bright</t>
        </is>
      </c>
      <c r="B3958" t="inlineStr">
        <is>
          <t>Infrastructure &amp; Utilities</t>
        </is>
      </c>
      <c r="C3958" t="inlineStr">
        <is>
          <t>UKPN</t>
        </is>
      </c>
      <c r="D3958" t="inlineStr">
        <is>
          <t>AK72YBM , Car - Electric , Tesla , Model Y Long Range</t>
        </is>
      </c>
      <c r="E3958" t="inlineStr">
        <is>
          <t>AK72YBM , Car - Electric , Tesla , Model Y Long Range</t>
        </is>
      </c>
      <c r="F3958" t="inlineStr">
        <is>
          <t>AK72YBM , Car - Electric , Tesla , Model Y Long Range</t>
        </is>
      </c>
      <c r="G3958" t="inlineStr">
        <is>
          <t xml:space="preserve">Barry Bright </t>
        </is>
      </c>
      <c r="H3958" t="inlineStr">
        <is>
          <t>Car - Electric (GC Owned)</t>
        </is>
      </c>
      <c r="I3958" t="inlineStr">
        <is>
          <t>Daily/ Weekly Vehicle Inspection</t>
        </is>
      </c>
      <c r="J3958" t="inlineStr">
        <is>
          <t>N/A</t>
        </is>
      </c>
      <c r="K3958" t="inlineStr">
        <is>
          <t>Barry Bright</t>
        </is>
      </c>
      <c r="L3958" t="inlineStr">
        <is>
          <t>10/04/2026 08:52</t>
        </is>
      </c>
      <c r="M3958" t="inlineStr">
        <is>
          <t>None</t>
        </is>
      </c>
      <c r="N3958" t="inlineStr">
        <is>
          <t>&lt;p&gt;&lt;/p&gt;</t>
        </is>
      </c>
      <c r="O3958" t="inlineStr"/>
      <c r="P3958" t="inlineStr">
        <is>
          <t>AK72YBM , Car - Electric , Tesla , Model Y Long Range</t>
        </is>
      </c>
      <c r="Q3958" t="inlineStr">
        <is>
          <t>UKPN</t>
        </is>
      </c>
      <c r="R3958" t="b">
        <v>0</v>
      </c>
    </row>
    <row r="3959">
      <c r="A3959" t="inlineStr">
        <is>
          <t>10 Apr 2026 / 7996 M G Tree Surgery Ltd 1</t>
        </is>
      </c>
      <c r="B3959" t="inlineStr">
        <is>
          <t>Infrastructure &amp; Utilities</t>
        </is>
      </c>
      <c r="C3959" t="inlineStr">
        <is>
          <t>UKPN</t>
        </is>
      </c>
      <c r="D3959" t="inlineStr">
        <is>
          <t>KX20 BCE , Tipper , Isuzu , D-Max</t>
        </is>
      </c>
      <c r="E3959" t="inlineStr">
        <is>
          <t>KX20 BCE , Tipper , Isuzu , D-Max</t>
        </is>
      </c>
      <c r="F3959" t="inlineStr">
        <is>
          <t>KX20 BCE , Tipper , Isuzu , D-Max</t>
        </is>
      </c>
      <c r="G3959" t="inlineStr">
        <is>
          <t>Anthony Gale</t>
        </is>
      </c>
      <c r="H3959" t="inlineStr">
        <is>
          <t>Pickup Truck</t>
        </is>
      </c>
      <c r="I3959" t="inlineStr">
        <is>
          <t>Daily/ Weekly Vehicle Inspection</t>
        </is>
      </c>
      <c r="J3959" t="inlineStr">
        <is>
          <t>N/A</t>
        </is>
      </c>
      <c r="K3959" t="inlineStr">
        <is>
          <t>7996 M G Tree Surgery Ltd 1</t>
        </is>
      </c>
      <c r="L3959" t="inlineStr">
        <is>
          <t>10/04/2026 08:53</t>
        </is>
      </c>
      <c r="M3959" t="inlineStr">
        <is>
          <t>None</t>
        </is>
      </c>
      <c r="N3959" t="inlineStr">
        <is>
          <t>&lt;p&gt;&lt;/p&gt;</t>
        </is>
      </c>
      <c r="O3959" t="inlineStr"/>
      <c r="P3959" t="inlineStr">
        <is>
          <t>KX20 BCE , Tipper , Isuzu , D-Max</t>
        </is>
      </c>
      <c r="Q3959" t="inlineStr">
        <is>
          <t>UKPN</t>
        </is>
      </c>
      <c r="R3959" t="b">
        <v>0</v>
      </c>
    </row>
    <row r="3960">
      <c r="A3960" t="inlineStr">
        <is>
          <t>10 Apr 2026 / Jane Moore</t>
        </is>
      </c>
      <c r="B3960" t="inlineStr">
        <is>
          <t>Infrastructure &amp; Utilities</t>
        </is>
      </c>
      <c r="C3960" t="inlineStr">
        <is>
          <t>NGED</t>
        </is>
      </c>
      <c r="D3960" t="inlineStr">
        <is>
          <t>GL20TGZ , Car - Electric , Tesla , Model 3 Long Range AWD</t>
        </is>
      </c>
      <c r="E3960" t="inlineStr">
        <is>
          <t>GL20TGZ , Car - Electric , Tesla , Model 3 Long Range AWD</t>
        </is>
      </c>
      <c r="F3960" t="inlineStr">
        <is>
          <t>GL20TGZ , Car - Electric , Tesla , Model 3 Long Range AWD</t>
        </is>
      </c>
      <c r="G3960" t="inlineStr">
        <is>
          <t xml:space="preserve">Jane Moore </t>
        </is>
      </c>
      <c r="H3960" t="inlineStr">
        <is>
          <t>Car - Electric (GC Owned)</t>
        </is>
      </c>
      <c r="I3960" t="inlineStr">
        <is>
          <t>Daily/ Weekly Vehicle Inspection</t>
        </is>
      </c>
      <c r="J3960" t="inlineStr">
        <is>
          <t>N/A</t>
        </is>
      </c>
      <c r="K3960" t="inlineStr">
        <is>
          <t>Jane Moore</t>
        </is>
      </c>
      <c r="L3960" t="inlineStr">
        <is>
          <t>10/04/2026 11:48</t>
        </is>
      </c>
      <c r="M3960" t="inlineStr">
        <is>
          <t>None</t>
        </is>
      </c>
      <c r="N3960" t="inlineStr">
        <is>
          <t>&lt;p&gt;&lt;/p&gt;</t>
        </is>
      </c>
      <c r="O3960" t="inlineStr"/>
      <c r="P3960" t="inlineStr">
        <is>
          <t>GL20TGZ , Car - Electric , Tesla , Model 3 Long Range AWD</t>
        </is>
      </c>
      <c r="Q3960" t="inlineStr">
        <is>
          <t>NGED</t>
        </is>
      </c>
      <c r="R3960" t="b">
        <v>0</v>
      </c>
    </row>
    <row r="3961">
      <c r="A3961" t="inlineStr">
        <is>
          <t>10 Apr 2026 / Ashley Taylor</t>
        </is>
      </c>
      <c r="B3961" t="inlineStr">
        <is>
          <t>Infrastructure &amp; Utilities</t>
        </is>
      </c>
      <c r="C3961" t="inlineStr">
        <is>
          <t>SSE</t>
        </is>
      </c>
      <c r="D3961" t="inlineStr">
        <is>
          <t>AF22XLX , Car - Electric , Tesla , Model 3 Long Range AWD</t>
        </is>
      </c>
      <c r="E3961" t="inlineStr">
        <is>
          <t>AF22XLX , Car - Electric , Tesla , Model 3 Long Range AWD</t>
        </is>
      </c>
      <c r="F3961" t="inlineStr">
        <is>
          <t>AF22XLX , Car - Electric , Tesla , Model 3 Long Range AWD</t>
        </is>
      </c>
      <c r="G3961" t="inlineStr">
        <is>
          <t xml:space="preserve">Ashley Taylor </t>
        </is>
      </c>
      <c r="H3961" t="inlineStr">
        <is>
          <t>Car - Electric (GC Owned)</t>
        </is>
      </c>
      <c r="I3961" t="inlineStr">
        <is>
          <t>Daily/ Weekly Vehicle Inspection</t>
        </is>
      </c>
      <c r="J3961" t="inlineStr">
        <is>
          <t>N/A</t>
        </is>
      </c>
      <c r="K3961" t="inlineStr">
        <is>
          <t>Ashley Taylor</t>
        </is>
      </c>
      <c r="L3961" t="inlineStr">
        <is>
          <t>10/04/2026 11:49</t>
        </is>
      </c>
      <c r="M3961" t="inlineStr">
        <is>
          <t>None</t>
        </is>
      </c>
      <c r="N3961" t="inlineStr">
        <is>
          <t>&lt;p&gt;&lt;/p&gt;</t>
        </is>
      </c>
      <c r="O3961" t="inlineStr"/>
      <c r="P3961" t="inlineStr">
        <is>
          <t>AF22XLX , Car - Electric , Tesla , Model 3 Long Range AWD</t>
        </is>
      </c>
      <c r="Q3961" t="inlineStr">
        <is>
          <t>SSE</t>
        </is>
      </c>
      <c r="R3961" t="b">
        <v>0</v>
      </c>
    </row>
    <row r="3962">
      <c r="A3962" t="inlineStr">
        <is>
          <t>10 Apr 2026 / 7995 Green Net Eco Ltd 2</t>
        </is>
      </c>
      <c r="B3962" t="inlineStr">
        <is>
          <t>Infrastructure &amp; Utilities</t>
        </is>
      </c>
      <c r="C3962" t="inlineStr">
        <is>
          <t>UKPN</t>
        </is>
      </c>
      <c r="D3962" t="inlineStr">
        <is>
          <t>MJ22UHR , Tipper , Ford , Transit</t>
        </is>
      </c>
      <c r="E3962" t="inlineStr">
        <is>
          <t>MJ22UHR , Tipper , Ford , Transit</t>
        </is>
      </c>
      <c r="F3962" t="inlineStr">
        <is>
          <t>MJ22UHR , Tipper , Ford , Transit</t>
        </is>
      </c>
      <c r="G3962" t="inlineStr">
        <is>
          <t>Thomas Playford</t>
        </is>
      </c>
      <c r="H3962" t="inlineStr">
        <is>
          <t>Tipper</t>
        </is>
      </c>
      <c r="I3962" t="inlineStr">
        <is>
          <t>Daily/ Weekly Vehicle Inspection</t>
        </is>
      </c>
      <c r="J3962" t="inlineStr">
        <is>
          <t>N/A</t>
        </is>
      </c>
      <c r="K3962" t="inlineStr">
        <is>
          <t>7995 Green Net Eco Ltd 2</t>
        </is>
      </c>
      <c r="L3962" t="inlineStr">
        <is>
          <t>10/04/2026 13:48</t>
        </is>
      </c>
      <c r="M3962" t="inlineStr">
        <is>
          <t>None</t>
        </is>
      </c>
      <c r="N3962" t="inlineStr">
        <is>
          <t>&lt;p&gt;&lt;/p&gt;</t>
        </is>
      </c>
      <c r="O3962" t="inlineStr"/>
      <c r="P3962" t="inlineStr">
        <is>
          <t>MJ22UHR , Tipper , Ford , Transit</t>
        </is>
      </c>
      <c r="Q3962" t="inlineStr">
        <is>
          <t>UKPN</t>
        </is>
      </c>
      <c r="R3962" t="b">
        <v>0</v>
      </c>
    </row>
    <row r="3963">
      <c r="A3963" t="inlineStr">
        <is>
          <t>10 Apr 2026 / 6617 Ashdown Tree Limited 1</t>
        </is>
      </c>
      <c r="B3963" t="inlineStr">
        <is>
          <t>Infrastructure &amp; Utilities</t>
        </is>
      </c>
      <c r="C3963" t="inlineStr">
        <is>
          <t>UKPN</t>
        </is>
      </c>
      <c r="D3963" t="inlineStr">
        <is>
          <t>TR55TUB , 4x4 , Land rover  , Defender mewp</t>
        </is>
      </c>
      <c r="E3963" t="inlineStr">
        <is>
          <t>TR55TUB , 4x4 , Land rover  , Defender mewp</t>
        </is>
      </c>
      <c r="F3963" t="inlineStr">
        <is>
          <t>TR55TUB , 4x4 , Land rover  , Defender mewp</t>
        </is>
      </c>
      <c r="G3963" t="inlineStr">
        <is>
          <t>Dan</t>
        </is>
      </c>
      <c r="H3963" t="inlineStr">
        <is>
          <t>4x4</t>
        </is>
      </c>
      <c r="I3963" t="inlineStr">
        <is>
          <t>Daily/ Weekly Vehicle Inspection</t>
        </is>
      </c>
      <c r="J3963" t="inlineStr">
        <is>
          <t>N/A</t>
        </is>
      </c>
      <c r="K3963" t="inlineStr">
        <is>
          <t>6617 Ashdown Tree Limited - Team 2</t>
        </is>
      </c>
      <c r="L3963" t="inlineStr">
        <is>
          <t>10/04/2026 15:50</t>
        </is>
      </c>
      <c r="M3963" t="inlineStr">
        <is>
          <t>None</t>
        </is>
      </c>
      <c r="N3963" t="inlineStr">
        <is>
          <t>&lt;p&gt;&lt;/p&gt;</t>
        </is>
      </c>
      <c r="O3963" t="inlineStr"/>
      <c r="P3963" t="inlineStr">
        <is>
          <t>TR55TUB , 4x4 , Land rover  , Defender mewp</t>
        </is>
      </c>
      <c r="Q3963" t="inlineStr">
        <is>
          <t>UKPN</t>
        </is>
      </c>
      <c r="R3963" t="b">
        <v>0</v>
      </c>
    </row>
    <row r="3964">
      <c r="A3964" t="inlineStr">
        <is>
          <t>10 Apr 2026 / Christopher Phillips</t>
        </is>
      </c>
      <c r="B3964" t="inlineStr">
        <is>
          <t>Infrastructure &amp; Utilities</t>
        </is>
      </c>
      <c r="C3964" t="inlineStr">
        <is>
          <t>NGED</t>
        </is>
      </c>
      <c r="D3964" t="inlineStr">
        <is>
          <t>SK69XHC , Car - Electric , Tesla , Model 3 Performance AWD</t>
        </is>
      </c>
      <c r="E3964" t="inlineStr">
        <is>
          <t>SK69XHC , Car - Electric , Tesla , Model 3 Performance AWD</t>
        </is>
      </c>
      <c r="F3964" t="inlineStr">
        <is>
          <t>SK69XHC , Car - Electric , Tesla , Model 3 Performance AWD</t>
        </is>
      </c>
      <c r="G3964" t="inlineStr">
        <is>
          <t xml:space="preserve">Chris Phillips </t>
        </is>
      </c>
      <c r="H3964" t="inlineStr">
        <is>
          <t>Car - Electric (GC Owned)</t>
        </is>
      </c>
      <c r="I3964" t="inlineStr">
        <is>
          <t>Daily/ Weekly Vehicle Inspection</t>
        </is>
      </c>
      <c r="J3964" t="inlineStr">
        <is>
          <t>N/A</t>
        </is>
      </c>
      <c r="K3964" t="inlineStr">
        <is>
          <t>Christopher Phillips</t>
        </is>
      </c>
      <c r="L3964" t="inlineStr">
        <is>
          <t>10/04/2026 16:48</t>
        </is>
      </c>
      <c r="M3964" t="inlineStr">
        <is>
          <t>None</t>
        </is>
      </c>
      <c r="N3964" t="inlineStr">
        <is>
          <t>&lt;p&gt;&lt;/p&gt;</t>
        </is>
      </c>
      <c r="O3964" t="inlineStr"/>
      <c r="P3964" t="inlineStr">
        <is>
          <t>SK69XHC , Car - Electric , Tesla , Model 3 Performance AWD</t>
        </is>
      </c>
      <c r="Q3964" t="inlineStr">
        <is>
          <t>NGED</t>
        </is>
      </c>
      <c r="R3964" t="b">
        <v>0</v>
      </c>
    </row>
    <row r="3965">
      <c r="A3965" t="inlineStr">
        <is>
          <t>10 Apr 2026 / 7186 Eastwoodbury Tree Services Ltd</t>
        </is>
      </c>
      <c r="B3965" t="inlineStr">
        <is>
          <t>Infrastructure &amp; Utilities</t>
        </is>
      </c>
      <c r="C3965" t="inlineStr">
        <is>
          <t>UKPN</t>
        </is>
      </c>
      <c r="D3965" t="inlineStr">
        <is>
          <t>FX14 XCV , 4x4 , Land Rover  , Defender</t>
        </is>
      </c>
      <c r="E3965" t="inlineStr">
        <is>
          <t>FX14 XCV , 4x4 , Land Rover  , Defender</t>
        </is>
      </c>
      <c r="F3965" t="inlineStr">
        <is>
          <t>FX14 XCV , 4x4 , Land Rover  , Defender</t>
        </is>
      </c>
      <c r="G3965" t="inlineStr">
        <is>
          <t xml:space="preserve">Tom price </t>
        </is>
      </c>
      <c r="H3965" t="inlineStr">
        <is>
          <t>4x4</t>
        </is>
      </c>
      <c r="I3965" t="inlineStr">
        <is>
          <t>Daily/ Weekly Vehicle Inspection</t>
        </is>
      </c>
      <c r="J3965" t="inlineStr">
        <is>
          <t>N/A</t>
        </is>
      </c>
      <c r="K3965" t="inlineStr">
        <is>
          <t>7186 Eastwoodbury Tree Services Ltd</t>
        </is>
      </c>
      <c r="L3965" t="inlineStr">
        <is>
          <t>11/04/2026 00:48</t>
        </is>
      </c>
      <c r="M3965" t="inlineStr">
        <is>
          <t>None</t>
        </is>
      </c>
      <c r="N3965" t="inlineStr">
        <is>
          <t>&lt;p&gt;&lt;/p&gt;</t>
        </is>
      </c>
      <c r="O3965" t="inlineStr">
        <is>
          <t>Type of vehicle:Trailer hitch bent waiting on repairs. Hitch Not to be use vehicle roadworthy</t>
        </is>
      </c>
      <c r="P3965" t="inlineStr">
        <is>
          <t>FX14 XCV , 4x4 , Land Rover  , Defender</t>
        </is>
      </c>
      <c r="Q3965" t="inlineStr">
        <is>
          <t>UKPN</t>
        </is>
      </c>
      <c r="R3965" t="b">
        <v>0</v>
      </c>
    </row>
    <row r="3966">
      <c r="A3966" t="inlineStr">
        <is>
          <t>13 Apr 2026 / Patryk Zietarski</t>
        </is>
      </c>
      <c r="B3966" t="inlineStr">
        <is>
          <t>Infrastructure &amp; Utilities</t>
        </is>
      </c>
      <c r="C3966" t="inlineStr">
        <is>
          <t>UKPN</t>
        </is>
      </c>
      <c r="D3966" t="inlineStr">
        <is>
          <t>YW73CWL , Car - Electric , Kia , eNiro</t>
        </is>
      </c>
      <c r="E3966" t="inlineStr">
        <is>
          <t>YW73CWL , Car - Electric , Kia , eNiro</t>
        </is>
      </c>
      <c r="F3966" t="inlineStr">
        <is>
          <t>YW73CWL , Car - Electric , Kia , eNiro</t>
        </is>
      </c>
      <c r="G3966" t="inlineStr">
        <is>
          <t xml:space="preserve">Patryk Zietarski </t>
        </is>
      </c>
      <c r="H3966" t="inlineStr">
        <is>
          <t>Car - Electric (GC Owned)</t>
        </is>
      </c>
      <c r="I3966" t="inlineStr">
        <is>
          <t>Daily/ Weekly Vehicle Inspection</t>
        </is>
      </c>
      <c r="J3966" t="inlineStr">
        <is>
          <t>N/A</t>
        </is>
      </c>
      <c r="K3966" t="inlineStr">
        <is>
          <t>Patryk Zietarski</t>
        </is>
      </c>
      <c r="L3966" t="inlineStr">
        <is>
          <t>13/04/2026 05:49</t>
        </is>
      </c>
      <c r="M3966" t="inlineStr">
        <is>
          <t>None</t>
        </is>
      </c>
      <c r="N3966" t="inlineStr">
        <is>
          <t>&lt;p&gt;&lt;/p&gt;</t>
        </is>
      </c>
      <c r="O3966" t="inlineStr"/>
      <c r="P3966" t="inlineStr">
        <is>
          <t>YW73CWL , Car - Electric , Kia , eNiro</t>
        </is>
      </c>
      <c r="Q3966" t="inlineStr">
        <is>
          <t>UKPN</t>
        </is>
      </c>
      <c r="R3966" t="b">
        <v>0</v>
      </c>
    </row>
    <row r="3967">
      <c r="A3967" t="inlineStr">
        <is>
          <t>13 Apr 2026 / Finn Dobson</t>
        </is>
      </c>
      <c r="B3967" t="inlineStr">
        <is>
          <t>Infrastructure &amp; Utilities</t>
        </is>
      </c>
      <c r="C3967" t="inlineStr">
        <is>
          <t>UKPN</t>
        </is>
      </c>
      <c r="D3967" t="inlineStr">
        <is>
          <t>YW73CWR , Car - Electric , Kia , E-Niro</t>
        </is>
      </c>
      <c r="E3967" t="inlineStr">
        <is>
          <t>YW73CWR , Car - Electric , Kia , E-Niro</t>
        </is>
      </c>
      <c r="F3967" t="inlineStr">
        <is>
          <t>YW73CWR , Car - Electric , Kia , E-Niro</t>
        </is>
      </c>
      <c r="G3967" t="inlineStr">
        <is>
          <t>Finn Dobson</t>
        </is>
      </c>
      <c r="H3967" t="inlineStr">
        <is>
          <t>Car - Electric (GC Owned)</t>
        </is>
      </c>
      <c r="I3967" t="inlineStr">
        <is>
          <t>Daily/ Weekly Vehicle Inspection</t>
        </is>
      </c>
      <c r="J3967" t="inlineStr">
        <is>
          <t>N/A</t>
        </is>
      </c>
      <c r="K3967" t="inlineStr">
        <is>
          <t>Finn Dobson</t>
        </is>
      </c>
      <c r="L3967" t="inlineStr">
        <is>
          <t>13/04/2026 06:50</t>
        </is>
      </c>
      <c r="M3967" t="inlineStr">
        <is>
          <t>None</t>
        </is>
      </c>
      <c r="N3967" t="inlineStr">
        <is>
          <t>&lt;p&gt;&lt;/p&gt;</t>
        </is>
      </c>
      <c r="O3967" t="inlineStr"/>
      <c r="P3967" t="inlineStr">
        <is>
          <t>YW73CWR , Car - Electric , Kia , E-Niro</t>
        </is>
      </c>
      <c r="Q3967" t="inlineStr">
        <is>
          <t>UKPN</t>
        </is>
      </c>
      <c r="R3967" t="b">
        <v>0</v>
      </c>
    </row>
    <row r="3968">
      <c r="A3968" t="inlineStr">
        <is>
          <t>13 Apr 2026 / 8148 Hope Ground and Tree Care</t>
        </is>
      </c>
      <c r="B3968" t="inlineStr">
        <is>
          <t>Infrastructure &amp; Utilities</t>
        </is>
      </c>
      <c r="C3968" t="inlineStr">
        <is>
          <t>UKPN</t>
        </is>
      </c>
      <c r="D3968" t="inlineStr">
        <is>
          <t>S6 NWX , MEWP , Isuzu , D-Max</t>
        </is>
      </c>
      <c r="E3968" t="inlineStr">
        <is>
          <t>S6 NWX , MEWP , Isuzu , D-Max</t>
        </is>
      </c>
      <c r="F3968" t="inlineStr">
        <is>
          <t>S6 NWX , MEWP , Isuzu , D-Max</t>
        </is>
      </c>
      <c r="G3968" t="inlineStr">
        <is>
          <t>Hope</t>
        </is>
      </c>
      <c r="H3968" t="inlineStr">
        <is>
          <t>4x4</t>
        </is>
      </c>
      <c r="I3968" t="inlineStr">
        <is>
          <t>Daily/ Weekly Vehicle Inspection</t>
        </is>
      </c>
      <c r="J3968" t="inlineStr">
        <is>
          <t>N/A</t>
        </is>
      </c>
      <c r="K3968" t="inlineStr">
        <is>
          <t>8148 Hope Ground and Tree Care</t>
        </is>
      </c>
      <c r="L3968" t="inlineStr">
        <is>
          <t>13/04/2026 07:48</t>
        </is>
      </c>
      <c r="M3968" t="inlineStr">
        <is>
          <t>None</t>
        </is>
      </c>
      <c r="N3968" t="inlineStr">
        <is>
          <t>&lt;p&gt;&lt;/p&gt;</t>
        </is>
      </c>
      <c r="O3968" t="inlineStr"/>
      <c r="P3968" t="inlineStr">
        <is>
          <t>S6 NWX , MEWP , Isuzu , D-Max</t>
        </is>
      </c>
      <c r="Q3968" t="inlineStr">
        <is>
          <t>UKPN</t>
        </is>
      </c>
      <c r="R3968" t="b">
        <v>0</v>
      </c>
    </row>
    <row r="3969">
      <c r="A3969" t="inlineStr">
        <is>
          <t>13 Apr 2026 / 7800 MAC Tree Surgery and Fencing Ltd</t>
        </is>
      </c>
      <c r="B3969" t="inlineStr">
        <is>
          <t>Utilities</t>
        </is>
      </c>
      <c r="C3969" t="inlineStr">
        <is>
          <t>UKPN</t>
        </is>
      </c>
      <c r="D3969" t="inlineStr">
        <is>
          <t>FG16LNT , Tipper , Ford transit  , Transit tipper</t>
        </is>
      </c>
      <c r="E3969" t="inlineStr">
        <is>
          <t>FG16LNT , Tipper , Ford transit  , Transit tipper</t>
        </is>
      </c>
      <c r="F3969" t="inlineStr">
        <is>
          <t>FG16LNT , Tipper , Ford transit  , Transit tipper</t>
        </is>
      </c>
      <c r="G3969" t="inlineStr">
        <is>
          <t>Patrick</t>
        </is>
      </c>
      <c r="H3969" t="inlineStr">
        <is>
          <t>Tipper</t>
        </is>
      </c>
      <c r="I3969" t="inlineStr">
        <is>
          <t>Daily/ Weekly Vehicle Inspection</t>
        </is>
      </c>
      <c r="J3969" t="inlineStr">
        <is>
          <t>N/A</t>
        </is>
      </c>
      <c r="K3969" t="inlineStr">
        <is>
          <t>7800 MAC Tree Surgery and Fencing Ltd</t>
        </is>
      </c>
      <c r="L3969" t="inlineStr">
        <is>
          <t>13/04/2026 07:50</t>
        </is>
      </c>
      <c r="M3969" t="inlineStr">
        <is>
          <t>None</t>
        </is>
      </c>
      <c r="N3969" t="inlineStr">
        <is>
          <t>&lt;p&gt;&lt;/p&gt;</t>
        </is>
      </c>
      <c r="O3969" t="inlineStr"/>
      <c r="P3969" t="inlineStr">
        <is>
          <t>FG16LNT , Tipper , Ford transit  , Transit tipper</t>
        </is>
      </c>
      <c r="Q3969" t="inlineStr">
        <is>
          <t>UKPN</t>
        </is>
      </c>
      <c r="R3969" t="b">
        <v>0</v>
      </c>
    </row>
    <row r="3970">
      <c r="A3970" t="inlineStr">
        <is>
          <t>13 Apr 2026 / 7800 MAC Tree Surgery and Fencing Ltd</t>
        </is>
      </c>
      <c r="B3970" t="inlineStr">
        <is>
          <t>Utilities</t>
        </is>
      </c>
      <c r="C3970" t="inlineStr">
        <is>
          <t>UKPN</t>
        </is>
      </c>
      <c r="D3970" t="inlineStr">
        <is>
          <t>FG16LNT , Tipper , Ford transit  , Transit tipper</t>
        </is>
      </c>
      <c r="E3970" t="inlineStr">
        <is>
          <t>FG16LNT , Tipper , Ford transit  , Transit tipper</t>
        </is>
      </c>
      <c r="F3970" t="inlineStr">
        <is>
          <t>FG16LNT , Tipper , Ford transit  , Transit tipper</t>
        </is>
      </c>
      <c r="G3970" t="inlineStr">
        <is>
          <t>Patrick</t>
        </is>
      </c>
      <c r="H3970" t="inlineStr">
        <is>
          <t>Tipper</t>
        </is>
      </c>
      <c r="I3970" t="inlineStr">
        <is>
          <t>Daily/ Weekly Vehicle Inspection</t>
        </is>
      </c>
      <c r="J3970" t="inlineStr">
        <is>
          <t>N/A</t>
        </is>
      </c>
      <c r="K3970" t="inlineStr">
        <is>
          <t>7800 MAC Tree Surgery and Fencing Ltd</t>
        </is>
      </c>
      <c r="L3970" t="inlineStr">
        <is>
          <t>13/04/2026 07:50</t>
        </is>
      </c>
      <c r="M3970" t="inlineStr">
        <is>
          <t>None</t>
        </is>
      </c>
      <c r="N3970" t="inlineStr">
        <is>
          <t>&lt;p&gt;&lt;/p&gt;</t>
        </is>
      </c>
      <c r="O3970" t="inlineStr"/>
      <c r="P3970" t="inlineStr">
        <is>
          <t>FG16LNT , Tipper , Ford transit  , Transit tipper</t>
        </is>
      </c>
      <c r="Q3970" t="inlineStr">
        <is>
          <t>UKPN</t>
        </is>
      </c>
      <c r="R3970" t="b">
        <v>0</v>
      </c>
    </row>
    <row r="3971">
      <c r="A3971" t="inlineStr">
        <is>
          <t>13 Apr 2026 / 7800 MAC Tree Surgery and Fencing Ltd / Utilities / UKPN</t>
        </is>
      </c>
      <c r="B3971" t="inlineStr">
        <is>
          <t>Utilities</t>
        </is>
      </c>
      <c r="C3971" t="inlineStr">
        <is>
          <t>UKPN</t>
        </is>
      </c>
      <c r="D3971" t="inlineStr">
        <is>
          <t>Plant Trailer - Towmate - 2.8t - 0</t>
        </is>
      </c>
      <c r="E3971" t="inlineStr">
        <is>
          <t>Plant Trailer - Towmate - 2.8t - 0</t>
        </is>
      </c>
      <c r="F3971" t="inlineStr">
        <is>
          <t>Plant Trailer - Towmate - 2.8t - 0</t>
        </is>
      </c>
      <c r="G3971" t="inlineStr">
        <is>
          <t>Lewis mac</t>
        </is>
      </c>
      <c r="H3971" t="inlineStr">
        <is>
          <t>Plant Trailer</t>
        </is>
      </c>
      <c r="I3971" t="inlineStr">
        <is>
          <t>Daily/ Weekly Vehicle Inspection</t>
        </is>
      </c>
      <c r="J3971" t="inlineStr">
        <is>
          <t>N/A</t>
        </is>
      </c>
      <c r="K3971" t="inlineStr">
        <is>
          <t>7800 MAC Tree Surgery and Fencing Ltd</t>
        </is>
      </c>
      <c r="L3971" t="inlineStr">
        <is>
          <t>13/04/2026 07:51</t>
        </is>
      </c>
      <c r="M3971" t="inlineStr">
        <is>
          <t>None</t>
        </is>
      </c>
      <c r="N3971" t="inlineStr">
        <is>
          <t>&lt;p&gt;&lt;/p&gt;</t>
        </is>
      </c>
      <c r="O3971" t="inlineStr"/>
      <c r="P3971" t="inlineStr">
        <is>
          <t>Plant Trailer - Towmate - 2.8t - 0</t>
        </is>
      </c>
      <c r="Q3971" t="inlineStr">
        <is>
          <t>UKPN</t>
        </is>
      </c>
      <c r="R3971" t="b">
        <v>0</v>
      </c>
    </row>
    <row r="3972">
      <c r="A3972" t="inlineStr">
        <is>
          <t>13 Apr 2026 / 7800 MAC Tree Surgery and Fencing Ltd / Utilities / UKPN</t>
        </is>
      </c>
      <c r="B3972" t="inlineStr">
        <is>
          <t>Utilities</t>
        </is>
      </c>
      <c r="C3972" t="inlineStr">
        <is>
          <t>UKPN</t>
        </is>
      </c>
      <c r="D3972" t="inlineStr">
        <is>
          <t>AY68DAA , 4x4 , Izuzu , Dmax</t>
        </is>
      </c>
      <c r="E3972" t="inlineStr">
        <is>
          <t>AY68DAA , 4x4 , Izuzu , Dmax</t>
        </is>
      </c>
      <c r="F3972" t="inlineStr">
        <is>
          <t>AY68DAA , 4x4 , Izuzu , Dmax</t>
        </is>
      </c>
      <c r="G3972" t="inlineStr">
        <is>
          <t xml:space="preserve">Patrick O'Shea </t>
        </is>
      </c>
      <c r="H3972" t="inlineStr">
        <is>
          <t>4x4</t>
        </is>
      </c>
      <c r="I3972" t="inlineStr">
        <is>
          <t>Daily/ Weekly Vehicle Inspection</t>
        </is>
      </c>
      <c r="J3972" t="inlineStr">
        <is>
          <t>N/A</t>
        </is>
      </c>
      <c r="K3972" t="inlineStr">
        <is>
          <t>7800 MAC Tree Surgery and Fencing Ltd</t>
        </is>
      </c>
      <c r="L3972" t="inlineStr">
        <is>
          <t>13/04/2026 07:52</t>
        </is>
      </c>
      <c r="M3972" t="inlineStr">
        <is>
          <t>None</t>
        </is>
      </c>
      <c r="N3972" t="inlineStr">
        <is>
          <t>&lt;p&gt;&lt;/p&gt;</t>
        </is>
      </c>
      <c r="O3972" t="inlineStr"/>
      <c r="P3972" t="inlineStr">
        <is>
          <t>AY68DAA , 4x4 , Izuzu , Dmax</t>
        </is>
      </c>
      <c r="Q3972" t="inlineStr">
        <is>
          <t>UKPN</t>
        </is>
      </c>
      <c r="R3972" t="b">
        <v>0</v>
      </c>
    </row>
    <row r="3973">
      <c r="A3973" t="inlineStr">
        <is>
          <t>13 Apr 2026 / 7996 M G Tree Surgery Ltd</t>
        </is>
      </c>
      <c r="B3973" t="inlineStr">
        <is>
          <t>Infrastructure &amp; Utilities</t>
        </is>
      </c>
      <c r="C3973" t="inlineStr">
        <is>
          <t>UKPN</t>
        </is>
      </c>
      <c r="D3973" t="inlineStr">
        <is>
          <t>GU13 WNL , MEWP , Land Rover , Defender 130</t>
        </is>
      </c>
      <c r="E3973" t="inlineStr">
        <is>
          <t>GU13 WNL , MEWP , Land Rover , Defender 130</t>
        </is>
      </c>
      <c r="F3973" t="inlineStr">
        <is>
          <t>GU13 WNL , MEWP , Land Rover , Defender 130</t>
        </is>
      </c>
      <c r="G3973" t="inlineStr">
        <is>
          <t>Max</t>
        </is>
      </c>
      <c r="H3973" t="inlineStr">
        <is>
          <t>4x4</t>
        </is>
      </c>
      <c r="I3973" t="inlineStr">
        <is>
          <t>Daily/ Weekly Vehicle Inspection</t>
        </is>
      </c>
      <c r="J3973" t="inlineStr">
        <is>
          <t>N/A</t>
        </is>
      </c>
      <c r="K3973" t="inlineStr">
        <is>
          <t>7996 M G Tree Surgery Ltd</t>
        </is>
      </c>
      <c r="L3973" t="inlineStr">
        <is>
          <t>13/04/2026 07:52</t>
        </is>
      </c>
      <c r="M3973" t="inlineStr">
        <is>
          <t>None</t>
        </is>
      </c>
      <c r="N3973" t="inlineStr">
        <is>
          <t>&lt;p&gt;&lt;/p&gt;</t>
        </is>
      </c>
      <c r="O3973" t="inlineStr"/>
      <c r="P3973" t="inlineStr">
        <is>
          <t>GU13 WNL , MEWP , Land Rover , Defender 130</t>
        </is>
      </c>
      <c r="Q3973" t="inlineStr">
        <is>
          <t>UKPN</t>
        </is>
      </c>
      <c r="R3973" t="b">
        <v>0</v>
      </c>
    </row>
    <row r="3974">
      <c r="A3974" t="inlineStr">
        <is>
          <t>13 Apr 2026 / 7889 Tree Tech Suffolk Ltd</t>
        </is>
      </c>
      <c r="B3974" t="inlineStr">
        <is>
          <t>Utilities &amp; Inland Waterways</t>
        </is>
      </c>
      <c r="C3974" t="inlineStr">
        <is>
          <t>UKPN</t>
        </is>
      </c>
      <c r="D3974" t="inlineStr">
        <is>
          <t>Tipper - Nissan - Navara - NS02TTS</t>
        </is>
      </c>
      <c r="E3974" t="inlineStr">
        <is>
          <t>Tipper - Nissan - Navara - NS02TTS</t>
        </is>
      </c>
      <c r="F3974" t="inlineStr">
        <is>
          <t>Tipper - Nissan - Navara - NS02TTS</t>
        </is>
      </c>
      <c r="G3974" t="inlineStr">
        <is>
          <t>Danny Appleby</t>
        </is>
      </c>
      <c r="H3974" t="inlineStr">
        <is>
          <t>Tipper</t>
        </is>
      </c>
      <c r="I3974" t="inlineStr">
        <is>
          <t>Daily/ Weekly Vehicle Inspection</t>
        </is>
      </c>
      <c r="J3974" t="inlineStr">
        <is>
          <t>N/A</t>
        </is>
      </c>
      <c r="K3974" t="inlineStr">
        <is>
          <t>7889 Tree Tech Suffolk Ltd</t>
        </is>
      </c>
      <c r="L3974" t="inlineStr">
        <is>
          <t>13/04/2026 07:55</t>
        </is>
      </c>
      <c r="M3974" t="inlineStr">
        <is>
          <t>None</t>
        </is>
      </c>
      <c r="N3974" t="inlineStr">
        <is>
          <t>&lt;p&gt;&lt;/p&gt;</t>
        </is>
      </c>
      <c r="O3974" t="inlineStr"/>
      <c r="P3974" t="inlineStr">
        <is>
          <t>Tipper - Nissan - Navara - NS02TTS</t>
        </is>
      </c>
      <c r="Q3974" t="inlineStr">
        <is>
          <t>UKPN</t>
        </is>
      </c>
      <c r="R3974" t="b">
        <v>0</v>
      </c>
    </row>
    <row r="3975">
      <c r="A3975" t="inlineStr">
        <is>
          <t>13 Apr 2026 / 7806 Optimum Tree Services Ltd</t>
        </is>
      </c>
      <c r="B3975" t="inlineStr">
        <is>
          <t>Infrastructure &amp; Utilities</t>
        </is>
      </c>
      <c r="C3975" t="inlineStr">
        <is>
          <t>UKPN</t>
        </is>
      </c>
      <c r="D3975" t="inlineStr">
        <is>
          <t>SA9st6p0001283093 , Towed Chipper , Forst  , St6pHD</t>
        </is>
      </c>
      <c r="E3975" t="inlineStr">
        <is>
          <t>SA9st6p0001283093 , Towed Chipper , Forst  , St6pHD</t>
        </is>
      </c>
      <c r="F3975" t="inlineStr">
        <is>
          <t>SA9st6p0001283093 , Towed Chipper , Forst  , St6pHD</t>
        </is>
      </c>
      <c r="G3975" t="inlineStr">
        <is>
          <t xml:space="preserve">Abraham Davies </t>
        </is>
      </c>
      <c r="H3975" t="inlineStr">
        <is>
          <t>Towed Chipper</t>
        </is>
      </c>
      <c r="I3975" t="inlineStr">
        <is>
          <t>Daily/ Weekly Vehicle Inspection</t>
        </is>
      </c>
      <c r="J3975" t="inlineStr">
        <is>
          <t>N/A</t>
        </is>
      </c>
      <c r="K3975" t="inlineStr">
        <is>
          <t>7806 Optimum Tree Services Ltd</t>
        </is>
      </c>
      <c r="L3975" t="inlineStr">
        <is>
          <t>13/04/2026 08:04</t>
        </is>
      </c>
      <c r="M3975" t="inlineStr">
        <is>
          <t>None</t>
        </is>
      </c>
      <c r="N3975" t="inlineStr">
        <is>
          <t>&lt;p&gt;&lt;/p&gt;</t>
        </is>
      </c>
      <c r="O3975" t="inlineStr"/>
      <c r="P3975" t="inlineStr">
        <is>
          <t>SA9st6p0001283093 , Towed Chipper , Forst  , St6pHD</t>
        </is>
      </c>
      <c r="Q3975" t="inlineStr">
        <is>
          <t>UKPN</t>
        </is>
      </c>
      <c r="R3975" t="b">
        <v>0</v>
      </c>
    </row>
    <row r="3976">
      <c r="A3976" t="inlineStr">
        <is>
          <t>13 Apr 2026 / 7806 Optimum Tree Services Ltd</t>
        </is>
      </c>
      <c r="B3976" t="inlineStr">
        <is>
          <t>Infrastructure &amp; Utilities</t>
        </is>
      </c>
      <c r="C3976" t="inlineStr">
        <is>
          <t>UKPN</t>
        </is>
      </c>
      <c r="D3976" t="inlineStr">
        <is>
          <t>Wd14evn , 4x4 , Landrover  , Defender</t>
        </is>
      </c>
      <c r="E3976" t="inlineStr">
        <is>
          <t>Wd14evn , 4x4 , Landrover  , Defender</t>
        </is>
      </c>
      <c r="F3976" t="inlineStr">
        <is>
          <t>Wd14evn , 4x4 , Landrover  , Defender</t>
        </is>
      </c>
      <c r="G3976" t="inlineStr">
        <is>
          <t xml:space="preserve">Abraham Davies </t>
        </is>
      </c>
      <c r="H3976" t="inlineStr">
        <is>
          <t>4x4</t>
        </is>
      </c>
      <c r="I3976" t="inlineStr">
        <is>
          <t>Daily/ Weekly Vehicle Inspection</t>
        </is>
      </c>
      <c r="J3976" t="inlineStr">
        <is>
          <t>N/A</t>
        </is>
      </c>
      <c r="K3976" t="inlineStr">
        <is>
          <t>7806 Optimum Tree Services Ltd</t>
        </is>
      </c>
      <c r="L3976" t="inlineStr">
        <is>
          <t>13/04/2026 08:05</t>
        </is>
      </c>
      <c r="M3976" t="inlineStr">
        <is>
          <t>None</t>
        </is>
      </c>
      <c r="N3976" t="inlineStr">
        <is>
          <t>&lt;p&gt;&lt;/p&gt;</t>
        </is>
      </c>
      <c r="O3976" t="inlineStr"/>
      <c r="P3976" t="inlineStr">
        <is>
          <t>Wd14evn , 4x4 , Landrover  , Defender</t>
        </is>
      </c>
      <c r="Q3976" t="inlineStr">
        <is>
          <t>UKPN</t>
        </is>
      </c>
      <c r="R3976" t="b">
        <v>0</v>
      </c>
    </row>
    <row r="3977">
      <c r="A3977" t="inlineStr">
        <is>
          <t>13 Apr 2026 / 7996 M G Tree Surgery Ltd 1</t>
        </is>
      </c>
      <c r="B3977" t="inlineStr">
        <is>
          <t>Infrastructure &amp; Utilities</t>
        </is>
      </c>
      <c r="C3977" t="inlineStr">
        <is>
          <t>UKPN</t>
        </is>
      </c>
      <c r="D3977" t="inlineStr"/>
      <c r="E3977" t="inlineStr"/>
      <c r="F3977" t="inlineStr"/>
      <c r="G3977" t="inlineStr">
        <is>
          <t>Anthony Gale</t>
        </is>
      </c>
      <c r="H3977" t="inlineStr">
        <is>
          <t>Towed Chipper</t>
        </is>
      </c>
      <c r="I3977" t="inlineStr">
        <is>
          <t>Daily/ Weekly Vehicle Inspection</t>
        </is>
      </c>
      <c r="J3977" t="inlineStr">
        <is>
          <t>N/A</t>
        </is>
      </c>
      <c r="K3977" t="inlineStr">
        <is>
          <t>7996 M G Tree Surgery Ltd 1</t>
        </is>
      </c>
      <c r="L3977" t="inlineStr">
        <is>
          <t>13/04/2026 08:06</t>
        </is>
      </c>
      <c r="M3977" t="inlineStr">
        <is>
          <t>None</t>
        </is>
      </c>
      <c r="N3977" t="inlineStr">
        <is>
          <t>&lt;p&gt;&lt;/p&gt;</t>
        </is>
      </c>
      <c r="O3977" t="inlineStr"/>
      <c r="P3977" t="inlineStr"/>
      <c r="Q3977" t="inlineStr">
        <is>
          <t>UKPN</t>
        </is>
      </c>
      <c r="R3977" t="b">
        <v>0</v>
      </c>
    </row>
    <row r="3978">
      <c r="A3978" t="inlineStr">
        <is>
          <t>13 Apr 2026 / 7996 M G Tree Surgery Ltd 1</t>
        </is>
      </c>
      <c r="B3978" t="inlineStr">
        <is>
          <t>Infrastructure &amp; Utilities</t>
        </is>
      </c>
      <c r="C3978" t="inlineStr">
        <is>
          <t>UKPN</t>
        </is>
      </c>
      <c r="D3978" t="inlineStr">
        <is>
          <t>KX20 BCE , Tipper , Isuzu , D-Max</t>
        </is>
      </c>
      <c r="E3978" t="inlineStr">
        <is>
          <t>KX20 BCE , Tipper , Isuzu , D-Max</t>
        </is>
      </c>
      <c r="F3978" t="inlineStr">
        <is>
          <t>KX20 BCE , Tipper , Isuzu , D-Max</t>
        </is>
      </c>
      <c r="G3978" t="inlineStr">
        <is>
          <t>Anthony Gale</t>
        </is>
      </c>
      <c r="H3978" t="inlineStr">
        <is>
          <t>Pickup Truck</t>
        </is>
      </c>
      <c r="I3978" t="inlineStr">
        <is>
          <t>Daily/ Weekly Vehicle Inspection</t>
        </is>
      </c>
      <c r="J3978" t="inlineStr">
        <is>
          <t>N/A</t>
        </is>
      </c>
      <c r="K3978" t="inlineStr">
        <is>
          <t>7996 M G Tree Surgery Ltd 1</t>
        </is>
      </c>
      <c r="L3978" t="inlineStr">
        <is>
          <t>13/04/2026 08:07</t>
        </is>
      </c>
      <c r="M3978" t="inlineStr">
        <is>
          <t>None</t>
        </is>
      </c>
      <c r="N3978" t="inlineStr">
        <is>
          <t>&lt;p&gt;&lt;/p&gt;</t>
        </is>
      </c>
      <c r="O3978" t="inlineStr"/>
      <c r="P3978" t="inlineStr">
        <is>
          <t>KX20 BCE , Tipper , Isuzu , D-Max</t>
        </is>
      </c>
      <c r="Q3978" t="inlineStr">
        <is>
          <t>UKPN</t>
        </is>
      </c>
      <c r="R3978" t="b">
        <v>0</v>
      </c>
    </row>
    <row r="3979">
      <c r="A3979" t="inlineStr">
        <is>
          <t>13 Apr 2026 / 7995 Green Net Eco Ltd 2</t>
        </is>
      </c>
      <c r="B3979" t="inlineStr">
        <is>
          <t>Infrastructure &amp; Utilities</t>
        </is>
      </c>
      <c r="C3979" t="inlineStr">
        <is>
          <t>UKPN</t>
        </is>
      </c>
      <c r="D3979" t="inlineStr">
        <is>
          <t>LK15KRZ , 4x4 , Landrover , Defender</t>
        </is>
      </c>
      <c r="E3979" t="inlineStr">
        <is>
          <t>LK15KRZ , 4x4 , Landrover , Defender</t>
        </is>
      </c>
      <c r="F3979" t="inlineStr">
        <is>
          <t>LK15KRZ , 4x4 , Landrover , Defender</t>
        </is>
      </c>
      <c r="G3979" t="inlineStr">
        <is>
          <t>Thomas Playford</t>
        </is>
      </c>
      <c r="H3979" t="inlineStr">
        <is>
          <t>4x4</t>
        </is>
      </c>
      <c r="I3979" t="inlineStr">
        <is>
          <t>Daily/ Weekly Vehicle Inspection</t>
        </is>
      </c>
      <c r="J3979" t="inlineStr">
        <is>
          <t>N/A</t>
        </is>
      </c>
      <c r="K3979" t="inlineStr">
        <is>
          <t>7995 Green Net Eco Ltd 2</t>
        </is>
      </c>
      <c r="L3979" t="inlineStr">
        <is>
          <t>13/04/2026 08:08</t>
        </is>
      </c>
      <c r="M3979" t="inlineStr">
        <is>
          <t>None</t>
        </is>
      </c>
      <c r="N3979" t="inlineStr">
        <is>
          <t>&lt;p&gt;&lt;/p&gt;</t>
        </is>
      </c>
      <c r="O3979" t="inlineStr"/>
      <c r="P3979" t="inlineStr">
        <is>
          <t>LK15KRZ , 4x4 , Landrover , Defender</t>
        </is>
      </c>
      <c r="Q3979" t="inlineStr">
        <is>
          <t>UKPN</t>
        </is>
      </c>
      <c r="R3979" t="b">
        <v>0</v>
      </c>
    </row>
    <row r="3980">
      <c r="A3980" t="inlineStr">
        <is>
          <t>13 Apr 2026 / 8040 S6 Tree specialists Ltd</t>
        </is>
      </c>
      <c r="B3980" t="inlineStr">
        <is>
          <t>Infrastructure &amp; Utilities</t>
        </is>
      </c>
      <c r="C3980" t="inlineStr">
        <is>
          <t>UKPN</t>
        </is>
      </c>
      <c r="D3980" t="inlineStr">
        <is>
          <t>GY08 RVC , 4x4 MEWP , Land Rover , Defender</t>
        </is>
      </c>
      <c r="E3980" t="inlineStr">
        <is>
          <t>GY08 RVC , 4x4 MEWP , Land Rover , Defender</t>
        </is>
      </c>
      <c r="F3980" t="inlineStr">
        <is>
          <t>GY08 RVC , 4x4 MEWP , Land Rover , Defender</t>
        </is>
      </c>
      <c r="G3980" t="inlineStr">
        <is>
          <t>Luke</t>
        </is>
      </c>
      <c r="H3980" t="inlineStr">
        <is>
          <t>4x4</t>
        </is>
      </c>
      <c r="I3980" t="inlineStr">
        <is>
          <t>Daily/ Weekly Vehicle Inspection</t>
        </is>
      </c>
      <c r="J3980" t="inlineStr">
        <is>
          <t>N/A</t>
        </is>
      </c>
      <c r="K3980" t="inlineStr">
        <is>
          <t>8040 S6 Tree specialists Ltd</t>
        </is>
      </c>
      <c r="L3980" t="inlineStr">
        <is>
          <t>13/04/2026 08:08</t>
        </is>
      </c>
      <c r="M3980" t="inlineStr">
        <is>
          <t>None</t>
        </is>
      </c>
      <c r="N3980" t="inlineStr">
        <is>
          <t>&lt;p&gt;&lt;/p&gt;</t>
        </is>
      </c>
      <c r="O3980" t="inlineStr"/>
      <c r="P3980" t="inlineStr">
        <is>
          <t>GY08 RVC , 4x4 MEWP , Land Rover , Defender</t>
        </is>
      </c>
      <c r="Q3980" t="inlineStr">
        <is>
          <t>UKPN</t>
        </is>
      </c>
      <c r="R3980" t="b">
        <v>0</v>
      </c>
    </row>
    <row r="3981">
      <c r="A3981" t="inlineStr">
        <is>
          <t>10 Apr 2026 / 7996 M G Tree Surgery Ltd 1</t>
        </is>
      </c>
      <c r="B3981" t="inlineStr">
        <is>
          <t>Infrastructure &amp; Utilities</t>
        </is>
      </c>
      <c r="C3981" t="inlineStr">
        <is>
          <t>UKPN</t>
        </is>
      </c>
      <c r="D3981" t="inlineStr"/>
      <c r="E3981" t="inlineStr"/>
      <c r="F3981" t="inlineStr"/>
      <c r="G3981" t="inlineStr">
        <is>
          <t>Anthony Gale</t>
        </is>
      </c>
      <c r="H3981" t="inlineStr">
        <is>
          <t>Plant Trailer</t>
        </is>
      </c>
      <c r="I3981" t="inlineStr">
        <is>
          <t>Daily/ Weekly Vehicle Inspection</t>
        </is>
      </c>
      <c r="J3981" t="inlineStr">
        <is>
          <t>N/A</t>
        </is>
      </c>
      <c r="K3981" t="inlineStr">
        <is>
          <t>7996 M G Tree Surgery Ltd 1</t>
        </is>
      </c>
      <c r="L3981" t="inlineStr">
        <is>
          <t>13/04/2026 08:09</t>
        </is>
      </c>
      <c r="M3981" t="inlineStr">
        <is>
          <t>None</t>
        </is>
      </c>
      <c r="N3981" t="inlineStr">
        <is>
          <t>&lt;p&gt;&lt;/p&gt;</t>
        </is>
      </c>
      <c r="O3981" t="inlineStr"/>
      <c r="P3981" t="inlineStr"/>
      <c r="Q3981" t="inlineStr">
        <is>
          <t>UKPN</t>
        </is>
      </c>
      <c r="R3981" t="b">
        <v>0</v>
      </c>
    </row>
    <row r="3982">
      <c r="A3982" t="inlineStr">
        <is>
          <t>13 Apr 2026 / 8040 S6 Tree specialists Ltd</t>
        </is>
      </c>
      <c r="B3982" t="inlineStr">
        <is>
          <t>Infrastructure &amp; Utilities</t>
        </is>
      </c>
      <c r="C3982" t="inlineStr">
        <is>
          <t>UKPN</t>
        </is>
      </c>
      <c r="D3982" t="inlineStr"/>
      <c r="E3982" t="inlineStr"/>
      <c r="F3982" t="inlineStr"/>
      <c r="G3982" t="inlineStr"/>
      <c r="H3982" t="inlineStr"/>
      <c r="I3982" t="inlineStr"/>
      <c r="J3982" t="inlineStr">
        <is>
          <t>N/A</t>
        </is>
      </c>
      <c r="K3982" t="inlineStr">
        <is>
          <t>8040 S6 Tree specialists Ltd</t>
        </is>
      </c>
      <c r="L3982" t="inlineStr">
        <is>
          <t>13/04/2026 08:10</t>
        </is>
      </c>
      <c r="M3982" t="inlineStr">
        <is>
          <t>None</t>
        </is>
      </c>
      <c r="N3982" t="inlineStr">
        <is>
          <t>&lt;p&gt;&lt;/p&gt;</t>
        </is>
      </c>
      <c r="O3982" t="inlineStr"/>
      <c r="P3982" t="inlineStr"/>
      <c r="Q3982" t="inlineStr">
        <is>
          <t>UKPN</t>
        </is>
      </c>
      <c r="R3982" t="b">
        <v>0</v>
      </c>
    </row>
    <row r="3983">
      <c r="A3983" t="inlineStr">
        <is>
          <t>13 Apr 2026 / 7995 Green Net Eco Ltd 2</t>
        </is>
      </c>
      <c r="B3983" t="inlineStr">
        <is>
          <t>Infrastructure &amp; Utilities</t>
        </is>
      </c>
      <c r="C3983" t="inlineStr">
        <is>
          <t>UKPN</t>
        </is>
      </c>
      <c r="D3983" t="inlineStr">
        <is>
          <t>SA9ST800000283944 , Towed Chipper , Forst , ST8D - Towed</t>
        </is>
      </c>
      <c r="E3983" t="inlineStr">
        <is>
          <t>SA9ST800000283944 , Towed Chipper , Forst , ST8D - Towed</t>
        </is>
      </c>
      <c r="F3983" t="inlineStr">
        <is>
          <t>SA9ST800000283944 , Towed Chipper , Forst , ST8D - Towed</t>
        </is>
      </c>
      <c r="G3983" t="inlineStr">
        <is>
          <t>Thomas Playford</t>
        </is>
      </c>
      <c r="H3983" t="inlineStr">
        <is>
          <t>Towed Chipper</t>
        </is>
      </c>
      <c r="I3983" t="inlineStr">
        <is>
          <t>Daily/ Weekly Vehicle Inspection</t>
        </is>
      </c>
      <c r="J3983" t="inlineStr">
        <is>
          <t>N/A</t>
        </is>
      </c>
      <c r="K3983" t="inlineStr">
        <is>
          <t>7995 Green Net Eco Ltd 2</t>
        </is>
      </c>
      <c r="L3983" t="inlineStr">
        <is>
          <t>13/04/2026 08:48</t>
        </is>
      </c>
      <c r="M3983" t="inlineStr">
        <is>
          <t>None</t>
        </is>
      </c>
      <c r="N3983" t="inlineStr">
        <is>
          <t>&lt;p&gt;&lt;/p&gt;</t>
        </is>
      </c>
      <c r="O3983" t="inlineStr"/>
      <c r="P3983" t="inlineStr">
        <is>
          <t>SA9ST800000283944 , Towed Chipper , Forst , ST8D - Towed</t>
        </is>
      </c>
      <c r="Q3983" t="inlineStr">
        <is>
          <t>UKPN</t>
        </is>
      </c>
      <c r="R3983" t="b">
        <v>0</v>
      </c>
    </row>
    <row r="3984">
      <c r="A3984" t="inlineStr">
        <is>
          <t>13 Apr 2026 / 6490 MJR Tree Works</t>
        </is>
      </c>
      <c r="B3984" t="inlineStr">
        <is>
          <t>Infrastructure &amp; Utilities</t>
        </is>
      </c>
      <c r="C3984" t="inlineStr">
        <is>
          <t>SSE</t>
        </is>
      </c>
      <c r="D3984" t="inlineStr">
        <is>
          <t>VX25WHD , Pickup Truck , Isuzu , D Max</t>
        </is>
      </c>
      <c r="E3984" t="inlineStr">
        <is>
          <t>VX25WHD , Pickup Truck , Isuzu , D Max</t>
        </is>
      </c>
      <c r="F3984" t="inlineStr">
        <is>
          <t>VX25WHD , Pickup Truck , Isuzu , D Max</t>
        </is>
      </c>
      <c r="G3984" t="inlineStr">
        <is>
          <t>Mike</t>
        </is>
      </c>
      <c r="H3984" t="inlineStr">
        <is>
          <t>4x4</t>
        </is>
      </c>
      <c r="I3984" t="inlineStr">
        <is>
          <t>Daily/ Weekly Vehicle Inspection</t>
        </is>
      </c>
      <c r="J3984" t="inlineStr">
        <is>
          <t>N/A</t>
        </is>
      </c>
      <c r="K3984" t="inlineStr">
        <is>
          <t>6490 MJR Tree Works</t>
        </is>
      </c>
      <c r="L3984" t="inlineStr">
        <is>
          <t>13/04/2026 08:49</t>
        </is>
      </c>
      <c r="M3984" t="inlineStr">
        <is>
          <t>None</t>
        </is>
      </c>
      <c r="N3984" t="inlineStr">
        <is>
          <t>&lt;p&gt;&lt;/p&gt;</t>
        </is>
      </c>
      <c r="O3984" t="inlineStr"/>
      <c r="P3984" t="inlineStr">
        <is>
          <t>VX25WHD , Pickup Truck , Isuzu , D Max</t>
        </is>
      </c>
      <c r="Q3984" t="inlineStr">
        <is>
          <t>SSE</t>
        </is>
      </c>
      <c r="R3984" t="b">
        <v>0</v>
      </c>
    </row>
    <row r="3985">
      <c r="A3985" t="inlineStr">
        <is>
          <t>13 Apr 2026 / Gary England</t>
        </is>
      </c>
      <c r="B3985" t="inlineStr">
        <is>
          <t>Infrastructure &amp; Utilities</t>
        </is>
      </c>
      <c r="C3985" t="inlineStr">
        <is>
          <t>NGED</t>
        </is>
      </c>
      <c r="D3985" t="inlineStr">
        <is>
          <t>GJ71KAO , Car - Electric , Tesla , Model 3 Long Range AWD</t>
        </is>
      </c>
      <c r="E3985" t="inlineStr">
        <is>
          <t>GJ71KAO , Car - Electric , Tesla , Model 3 Long Range AWD</t>
        </is>
      </c>
      <c r="F3985" t="inlineStr">
        <is>
          <t>GJ71KAO , Car - Electric , Tesla , Model 3 Long Range AWD</t>
        </is>
      </c>
      <c r="G3985" t="inlineStr">
        <is>
          <t xml:space="preserve">Gary England </t>
        </is>
      </c>
      <c r="H3985" t="inlineStr">
        <is>
          <t>Car - Electric (GC Owned)</t>
        </is>
      </c>
      <c r="I3985" t="inlineStr">
        <is>
          <t>Daily/ Weekly Vehicle Inspection</t>
        </is>
      </c>
      <c r="J3985" t="inlineStr">
        <is>
          <t>N/A</t>
        </is>
      </c>
      <c r="K3985" t="inlineStr">
        <is>
          <t>Gary England</t>
        </is>
      </c>
      <c r="L3985" t="inlineStr">
        <is>
          <t>13/04/2026 08:49</t>
        </is>
      </c>
      <c r="M3985" t="inlineStr">
        <is>
          <t>None</t>
        </is>
      </c>
      <c r="N3985" t="inlineStr">
        <is>
          <t>&lt;p&gt;&lt;/p&gt;</t>
        </is>
      </c>
      <c r="O3985" t="inlineStr"/>
      <c r="P3985" t="inlineStr">
        <is>
          <t>GJ71KAO , Car - Electric , Tesla , Model 3 Long Range AWD</t>
        </is>
      </c>
      <c r="Q3985" t="inlineStr">
        <is>
          <t>NGED</t>
        </is>
      </c>
      <c r="R3985" t="b">
        <v>0</v>
      </c>
    </row>
    <row r="3986">
      <c r="A3986" t="inlineStr">
        <is>
          <t>13 Apr 2026 / 7186 Eastwoodbury Tree Services Ltd</t>
        </is>
      </c>
      <c r="B3986" t="inlineStr">
        <is>
          <t>Infrastructure &amp; Utilities</t>
        </is>
      </c>
      <c r="C3986" t="inlineStr">
        <is>
          <t>UKPN</t>
        </is>
      </c>
      <c r="D3986" t="inlineStr">
        <is>
          <t>WF13 EKT , 4x4 , Land rover  , Defender</t>
        </is>
      </c>
      <c r="E3986" t="inlineStr">
        <is>
          <t>WF13 EKT , 4x4 , Land rover  , Defender</t>
        </is>
      </c>
      <c r="F3986" t="inlineStr">
        <is>
          <t>WF13 EKT , 4x4 , Land rover  , Defender</t>
        </is>
      </c>
      <c r="G3986" t="inlineStr">
        <is>
          <t xml:space="preserve">Dan Gilbert </t>
        </is>
      </c>
      <c r="H3986" t="inlineStr">
        <is>
          <t>4x4</t>
        </is>
      </c>
      <c r="I3986" t="inlineStr">
        <is>
          <t>Daily/ Weekly Vehicle Inspection</t>
        </is>
      </c>
      <c r="J3986" t="inlineStr">
        <is>
          <t>N/A</t>
        </is>
      </c>
      <c r="K3986" t="inlineStr">
        <is>
          <t>7186 Eastwoodbury Tree Services Ltd</t>
        </is>
      </c>
      <c r="L3986" t="inlineStr">
        <is>
          <t>13/04/2026 08:52</t>
        </is>
      </c>
      <c r="M3986" t="inlineStr">
        <is>
          <t>None</t>
        </is>
      </c>
      <c r="N3986" t="inlineStr">
        <is>
          <t>&lt;p&gt;&lt;/p&gt;</t>
        </is>
      </c>
      <c r="O3986" t="inlineStr"/>
      <c r="P3986" t="inlineStr">
        <is>
          <t>WF13 EKT , 4x4 , Land rover  , Defender</t>
        </is>
      </c>
      <c r="Q3986" t="inlineStr">
        <is>
          <t>UKPN</t>
        </is>
      </c>
      <c r="R3986" t="b">
        <v>0</v>
      </c>
    </row>
    <row r="3987">
      <c r="A3987" t="inlineStr">
        <is>
          <t>13 Apr 2026 / 7951 Austin Tree Care LTD</t>
        </is>
      </c>
      <c r="B3987" t="inlineStr">
        <is>
          <t>Infrastructure &amp; Utilities</t>
        </is>
      </c>
      <c r="C3987" t="inlineStr">
        <is>
          <t>UKPN</t>
        </is>
      </c>
      <c r="D3987" t="inlineStr">
        <is>
          <t>SA9ST6P0001283612 , Towed Chipper , Forst , ST6p</t>
        </is>
      </c>
      <c r="E3987" t="inlineStr">
        <is>
          <t>SA9ST6P0001283612 , Towed Chipper , Forst , ST6p</t>
        </is>
      </c>
      <c r="F3987" t="inlineStr">
        <is>
          <t>SA9ST6P0001283612 , Towed Chipper , Forst , ST6p</t>
        </is>
      </c>
      <c r="G3987" t="inlineStr">
        <is>
          <t xml:space="preserve">Jack Austin </t>
        </is>
      </c>
      <c r="H3987" t="inlineStr">
        <is>
          <t>Towed Chipper</t>
        </is>
      </c>
      <c r="I3987" t="inlineStr">
        <is>
          <t>Daily/ Weekly Vehicle Inspection</t>
        </is>
      </c>
      <c r="J3987" t="inlineStr">
        <is>
          <t>N/A</t>
        </is>
      </c>
      <c r="K3987" t="inlineStr">
        <is>
          <t>7951 Austin Tree Care LTD</t>
        </is>
      </c>
      <c r="L3987" t="inlineStr">
        <is>
          <t>13/04/2026 08:54</t>
        </is>
      </c>
      <c r="M3987" t="inlineStr">
        <is>
          <t>None</t>
        </is>
      </c>
      <c r="N3987" t="inlineStr">
        <is>
          <t>&lt;p&gt;&lt;/p&gt;</t>
        </is>
      </c>
      <c r="O3987" t="inlineStr"/>
      <c r="P3987" t="inlineStr">
        <is>
          <t>SA9ST6P0001283612 , Towed Chipper , Forst , ST6p</t>
        </is>
      </c>
      <c r="Q3987" t="inlineStr">
        <is>
          <t>UKPN</t>
        </is>
      </c>
      <c r="R3987" t="b">
        <v>0</v>
      </c>
    </row>
    <row r="3988">
      <c r="A3988" t="inlineStr">
        <is>
          <t>10 Apr 2026 / 7186 Eastwoodbury Tree Services Ltd</t>
        </is>
      </c>
      <c r="B3988" t="inlineStr">
        <is>
          <t>Infrastructure &amp; Utilities</t>
        </is>
      </c>
      <c r="C3988" t="inlineStr">
        <is>
          <t>UKPN</t>
        </is>
      </c>
      <c r="D3988" t="inlineStr">
        <is>
          <t>FX14 XCV , 4x4 , Land Rover  , Defender</t>
        </is>
      </c>
      <c r="E3988" t="inlineStr">
        <is>
          <t>FX14 XCV , 4x4 , Land Rover  , Defender</t>
        </is>
      </c>
      <c r="F3988" t="inlineStr">
        <is>
          <t>FX14 XCV , 4x4 , Land Rover  , Defender</t>
        </is>
      </c>
      <c r="G3988" t="inlineStr">
        <is>
          <t xml:space="preserve">Luke Williams </t>
        </is>
      </c>
      <c r="H3988" t="inlineStr">
        <is>
          <t>4x4</t>
        </is>
      </c>
      <c r="I3988" t="inlineStr">
        <is>
          <t>Daily/ Weekly Vehicle Inspection</t>
        </is>
      </c>
      <c r="J3988" t="inlineStr">
        <is>
          <t>N/A</t>
        </is>
      </c>
      <c r="K3988" t="inlineStr">
        <is>
          <t>7186 Eastwoodbury Tree Services Ltd</t>
        </is>
      </c>
      <c r="L3988" t="inlineStr">
        <is>
          <t>13/04/2026 08:55</t>
        </is>
      </c>
      <c r="M3988" t="inlineStr">
        <is>
          <t>None</t>
        </is>
      </c>
      <c r="N3988" t="inlineStr">
        <is>
          <t>&lt;p&gt;&lt;/p&gt;</t>
        </is>
      </c>
      <c r="O3988" t="inlineStr">
        <is>
          <t>Type of vehicle:Trailer hitch bent waiting on repairs. Hitch Not to be use vehicle roadworthy</t>
        </is>
      </c>
      <c r="P3988" t="inlineStr">
        <is>
          <t>FX14 XCV , 4x4 , Land Rover  , Defender</t>
        </is>
      </c>
      <c r="Q3988" t="inlineStr">
        <is>
          <t>UKPN</t>
        </is>
      </c>
      <c r="R3988" t="b">
        <v>0</v>
      </c>
    </row>
    <row r="3989">
      <c r="A3989" t="inlineStr">
        <is>
          <t>13 Apr 2026 / 7186 Eastwoodbury Tree Services Ltd</t>
        </is>
      </c>
      <c r="B3989" t="inlineStr">
        <is>
          <t>Infrastructure &amp; Utilities</t>
        </is>
      </c>
      <c r="C3989" t="inlineStr">
        <is>
          <t>UKPN</t>
        </is>
      </c>
      <c r="D3989" t="inlineStr">
        <is>
          <t>WF13 EKT , 4x4 , Land rover  , Defender</t>
        </is>
      </c>
      <c r="E3989" t="inlineStr">
        <is>
          <t>WF13 EKT , 4x4 , Land rover  , Defender</t>
        </is>
      </c>
      <c r="F3989" t="inlineStr">
        <is>
          <t>WF13 EKT , 4x4 , Land rover  , Defender</t>
        </is>
      </c>
      <c r="G3989" t="inlineStr">
        <is>
          <t xml:space="preserve">Dan Gilbert </t>
        </is>
      </c>
      <c r="H3989" t="inlineStr">
        <is>
          <t>4x4</t>
        </is>
      </c>
      <c r="I3989" t="inlineStr">
        <is>
          <t>Daily/ Weekly Vehicle Inspection</t>
        </is>
      </c>
      <c r="J3989" t="inlineStr">
        <is>
          <t>N/A</t>
        </is>
      </c>
      <c r="K3989" t="inlineStr">
        <is>
          <t>7186 Eastwoodbury Tree Services Ltd</t>
        </is>
      </c>
      <c r="L3989" t="inlineStr">
        <is>
          <t>13/04/2026 08:55</t>
        </is>
      </c>
      <c r="M3989" t="inlineStr">
        <is>
          <t>None</t>
        </is>
      </c>
      <c r="N3989" t="inlineStr">
        <is>
          <t>&lt;p&gt;&lt;/p&gt;</t>
        </is>
      </c>
      <c r="O3989" t="inlineStr"/>
      <c r="P3989" t="inlineStr">
        <is>
          <t>WF13 EKT , 4x4 , Land rover  , Defender</t>
        </is>
      </c>
      <c r="Q3989" t="inlineStr">
        <is>
          <t>UKPN</t>
        </is>
      </c>
      <c r="R3989" t="b">
        <v>0</v>
      </c>
    </row>
    <row r="3990">
      <c r="A3990" t="inlineStr">
        <is>
          <t>13 Apr 2026 / 7951 Austin Tree Care LTD</t>
        </is>
      </c>
      <c r="B3990" t="inlineStr">
        <is>
          <t>Infrastructure &amp; Utilities</t>
        </is>
      </c>
      <c r="C3990" t="inlineStr">
        <is>
          <t>UKPN</t>
        </is>
      </c>
      <c r="D3990" t="inlineStr">
        <is>
          <t>WG64HTT , 4x4 , Land Rover , Defender 110</t>
        </is>
      </c>
      <c r="E3990" t="inlineStr">
        <is>
          <t>WG64HTT , 4x4 , Land Rover , Defender 110</t>
        </is>
      </c>
      <c r="F3990" t="inlineStr">
        <is>
          <t>WG64HTT , 4x4 , Land Rover , Defender 110</t>
        </is>
      </c>
      <c r="G3990" t="inlineStr">
        <is>
          <t xml:space="preserve">Jack Austin </t>
        </is>
      </c>
      <c r="H3990" t="inlineStr">
        <is>
          <t>4x4</t>
        </is>
      </c>
      <c r="I3990" t="inlineStr">
        <is>
          <t>Daily/ Weekly Vehicle Inspection</t>
        </is>
      </c>
      <c r="J3990" t="inlineStr">
        <is>
          <t>N/A</t>
        </is>
      </c>
      <c r="K3990" t="inlineStr">
        <is>
          <t>7951 Austin Tree Care LTD</t>
        </is>
      </c>
      <c r="L3990" t="inlineStr">
        <is>
          <t>13/04/2026 08:56</t>
        </is>
      </c>
      <c r="M3990" t="inlineStr">
        <is>
          <t>None</t>
        </is>
      </c>
      <c r="N3990" t="inlineStr">
        <is>
          <t>&lt;p&gt;&lt;/p&gt;</t>
        </is>
      </c>
      <c r="O3990" t="inlineStr"/>
      <c r="P3990" t="inlineStr">
        <is>
          <t>WG64HTT , 4x4 , Land Rover , Defender 110</t>
        </is>
      </c>
      <c r="Q3990" t="inlineStr">
        <is>
          <t>UKPN</t>
        </is>
      </c>
      <c r="R3990" t="b">
        <v>0</v>
      </c>
    </row>
    <row r="3991">
      <c r="A3991" t="inlineStr">
        <is>
          <t>13 Apr 2026 / 7951 Austin Tree Care LTD 1</t>
        </is>
      </c>
      <c r="B3991" t="inlineStr">
        <is>
          <t>Infrastructure &amp; Utilities</t>
        </is>
      </c>
      <c r="C3991" t="inlineStr">
        <is>
          <t>UKPN</t>
        </is>
      </c>
      <c r="D3991" t="inlineStr">
        <is>
          <t>Kn58xuy , Tipper , VW  , Crafter</t>
        </is>
      </c>
      <c r="E3991" t="inlineStr">
        <is>
          <t>Kn58xuy , Tipper , VW  , Crafter</t>
        </is>
      </c>
      <c r="F3991" t="inlineStr">
        <is>
          <t>Kn58xuy , Tipper , VW  , Crafter</t>
        </is>
      </c>
      <c r="G3991" t="inlineStr">
        <is>
          <t xml:space="preserve">James Tasker </t>
        </is>
      </c>
      <c r="H3991" t="inlineStr">
        <is>
          <t>Tipper</t>
        </is>
      </c>
      <c r="I3991" t="inlineStr">
        <is>
          <t>Daily/ Weekly Vehicle Inspection</t>
        </is>
      </c>
      <c r="J3991" t="inlineStr">
        <is>
          <t>N/A</t>
        </is>
      </c>
      <c r="K3991" t="inlineStr">
        <is>
          <t>7951 Austin Tree Care LTD 1</t>
        </is>
      </c>
      <c r="L3991" t="inlineStr">
        <is>
          <t>13/04/2026 08:58</t>
        </is>
      </c>
      <c r="M3991" t="inlineStr">
        <is>
          <t>None</t>
        </is>
      </c>
      <c r="N3991" t="inlineStr">
        <is>
          <t>&lt;p&gt;&lt;/p&gt;</t>
        </is>
      </c>
      <c r="O3991" t="inlineStr"/>
      <c r="P3991" t="inlineStr">
        <is>
          <t>Kn58xuy , Tipper , VW  , Crafter</t>
        </is>
      </c>
      <c r="Q3991" t="inlineStr">
        <is>
          <t>UKPN</t>
        </is>
      </c>
      <c r="R3991" t="b">
        <v>0</v>
      </c>
    </row>
    <row r="3992">
      <c r="A3992" t="inlineStr">
        <is>
          <t>13 Apr 2026 / 6617 Ashdown Tree Limited</t>
        </is>
      </c>
      <c r="B3992" t="inlineStr">
        <is>
          <t>Infrastructure &amp; Utilities</t>
        </is>
      </c>
      <c r="C3992" t="inlineStr">
        <is>
          <t>UKPN</t>
        </is>
      </c>
      <c r="D3992" t="inlineStr">
        <is>
          <t>Tr55 app , 4x4 , Land Rover  , Discovery 4</t>
        </is>
      </c>
      <c r="E3992" t="inlineStr">
        <is>
          <t>Tr55 app , 4x4 , Land Rover  , Discovery 4</t>
        </is>
      </c>
      <c r="F3992" t="inlineStr">
        <is>
          <t>Tr55 app , 4x4 , Land Rover  , Discovery 4</t>
        </is>
      </c>
      <c r="G3992" t="inlineStr">
        <is>
          <t>A Horwood</t>
        </is>
      </c>
      <c r="H3992" t="inlineStr">
        <is>
          <t>4x4</t>
        </is>
      </c>
      <c r="I3992" t="inlineStr">
        <is>
          <t>Daily/ Weekly Vehicle Inspection</t>
        </is>
      </c>
      <c r="J3992" t="inlineStr">
        <is>
          <t>N/A</t>
        </is>
      </c>
      <c r="K3992" t="inlineStr">
        <is>
          <t>6617 Ashdown Tree Limited</t>
        </is>
      </c>
      <c r="L3992" t="inlineStr">
        <is>
          <t>13/04/2026 13:48</t>
        </is>
      </c>
      <c r="M3992" t="inlineStr">
        <is>
          <t>None</t>
        </is>
      </c>
      <c r="N3992" t="inlineStr">
        <is>
          <t>&lt;p&gt;&lt;/p&gt;</t>
        </is>
      </c>
      <c r="O3992" t="inlineStr"/>
      <c r="P3992" t="inlineStr">
        <is>
          <t>Tr55 app , 4x4 , Land Rover  , Discovery 4</t>
        </is>
      </c>
      <c r="Q3992" t="inlineStr">
        <is>
          <t>UKPN</t>
        </is>
      </c>
      <c r="R3992" t="b">
        <v>0</v>
      </c>
    </row>
    <row r="3993">
      <c r="A3993" t="inlineStr">
        <is>
          <t>13 Apr 2026 / 6617 Ashdown Tree Limited 1</t>
        </is>
      </c>
      <c r="B3993" t="inlineStr">
        <is>
          <t>Infrastructure &amp; Utilities</t>
        </is>
      </c>
      <c r="C3993" t="inlineStr">
        <is>
          <t>UKPN</t>
        </is>
      </c>
      <c r="D3993" t="inlineStr">
        <is>
          <t>TR55TUB , 4x4 , Land rover  , Defender mewp</t>
        </is>
      </c>
      <c r="E3993" t="inlineStr">
        <is>
          <t>TR55TUB , 4x4 , Land rover  , Defender mewp</t>
        </is>
      </c>
      <c r="F3993" t="inlineStr">
        <is>
          <t>TR55TUB , 4x4 , Land rover  , Defender mewp</t>
        </is>
      </c>
      <c r="G3993" t="inlineStr">
        <is>
          <t>Dan</t>
        </is>
      </c>
      <c r="H3993" t="inlineStr">
        <is>
          <t>4x4</t>
        </is>
      </c>
      <c r="I3993" t="inlineStr">
        <is>
          <t>Daily/ Weekly Vehicle Inspection</t>
        </is>
      </c>
      <c r="J3993" t="inlineStr">
        <is>
          <t>N/A</t>
        </is>
      </c>
      <c r="K3993" t="inlineStr">
        <is>
          <t>6617 Ashdown Tree Limited - Team 2</t>
        </is>
      </c>
      <c r="L3993" t="inlineStr">
        <is>
          <t>13/04/2026 14:48</t>
        </is>
      </c>
      <c r="M3993" t="inlineStr">
        <is>
          <t>None</t>
        </is>
      </c>
      <c r="N3993" t="inlineStr">
        <is>
          <t>&lt;p&gt;&lt;/p&gt;</t>
        </is>
      </c>
      <c r="O3993" t="inlineStr"/>
      <c r="P3993" t="inlineStr">
        <is>
          <t>TR55TUB , 4x4 , Land rover  , Defender mewp</t>
        </is>
      </c>
      <c r="Q3993" t="inlineStr">
        <is>
          <t>UKPN</t>
        </is>
      </c>
      <c r="R3993" t="b">
        <v>0</v>
      </c>
    </row>
    <row r="3994">
      <c r="A3994" t="inlineStr">
        <is>
          <t>13 Apr 2026 / 6617 Ashdown Tree Limited 1</t>
        </is>
      </c>
      <c r="B3994" t="inlineStr">
        <is>
          <t>Infrastructure &amp; Utilities</t>
        </is>
      </c>
      <c r="C3994" t="inlineStr">
        <is>
          <t>UKPN</t>
        </is>
      </c>
      <c r="D3994" t="inlineStr"/>
      <c r="E3994" t="inlineStr"/>
      <c r="F3994" t="inlineStr"/>
      <c r="G3994" t="inlineStr"/>
      <c r="H3994" t="inlineStr"/>
      <c r="I3994" t="inlineStr"/>
      <c r="J3994" t="inlineStr">
        <is>
          <t>N/A</t>
        </is>
      </c>
      <c r="K3994" t="inlineStr">
        <is>
          <t>6617 Ashdown Tree Limited - Team 2</t>
        </is>
      </c>
      <c r="L3994" t="inlineStr">
        <is>
          <t>13/04/2026 14:49</t>
        </is>
      </c>
      <c r="M3994" t="inlineStr">
        <is>
          <t>None</t>
        </is>
      </c>
      <c r="N3994" t="inlineStr">
        <is>
          <t>&lt;p&gt;&lt;/p&gt;</t>
        </is>
      </c>
      <c r="O3994" t="inlineStr"/>
      <c r="P3994" t="inlineStr"/>
      <c r="Q3994" t="inlineStr">
        <is>
          <t>UKPN</t>
        </is>
      </c>
      <c r="R3994" t="b">
        <v>0</v>
      </c>
    </row>
    <row r="3995">
      <c r="A3995" t="inlineStr">
        <is>
          <t>13 Apr 2026 / 7951 Austin Tree Care LTD</t>
        </is>
      </c>
      <c r="B3995" t="inlineStr">
        <is>
          <t>Infrastructure &amp; Utilities</t>
        </is>
      </c>
      <c r="C3995" t="inlineStr">
        <is>
          <t>UKPN</t>
        </is>
      </c>
      <c r="D3995" t="inlineStr">
        <is>
          <t>SA9ST6P0001283612 , Towed Chipper , Forst , ST6p</t>
        </is>
      </c>
      <c r="E3995" t="inlineStr">
        <is>
          <t>SA9ST6P0001283612 , Towed Chipper , Forst , ST6p</t>
        </is>
      </c>
      <c r="F3995" t="inlineStr">
        <is>
          <t>SA9ST6P0001283612 , Towed Chipper , Forst , ST6p</t>
        </is>
      </c>
      <c r="G3995" t="inlineStr">
        <is>
          <t xml:space="preserve">Jack Austin </t>
        </is>
      </c>
      <c r="H3995" t="inlineStr">
        <is>
          <t>Towed Chipper</t>
        </is>
      </c>
      <c r="I3995" t="inlineStr">
        <is>
          <t>Daily/ Weekly Vehicle Inspection</t>
        </is>
      </c>
      <c r="J3995" t="inlineStr">
        <is>
          <t>N/A</t>
        </is>
      </c>
      <c r="K3995" t="inlineStr">
        <is>
          <t>7951 Austin Tree Care LTD</t>
        </is>
      </c>
      <c r="L3995" t="inlineStr">
        <is>
          <t>13/04/2026 15:48</t>
        </is>
      </c>
      <c r="M3995" t="inlineStr">
        <is>
          <t>None</t>
        </is>
      </c>
      <c r="N3995" t="inlineStr">
        <is>
          <t>&lt;p&gt;&lt;/p&gt;</t>
        </is>
      </c>
      <c r="O3995" t="inlineStr"/>
      <c r="P3995" t="inlineStr">
        <is>
          <t>SA9ST6P0001283612 , Towed Chipper , Forst , ST6p</t>
        </is>
      </c>
      <c r="Q3995" t="inlineStr">
        <is>
          <t>UKPN</t>
        </is>
      </c>
      <c r="R3995" t="b">
        <v>0</v>
      </c>
    </row>
    <row r="3996">
      <c r="A3996" t="inlineStr">
        <is>
          <t>13 Apr 2026 / 7951 Austin Tree Care LTD</t>
        </is>
      </c>
      <c r="B3996" t="inlineStr">
        <is>
          <t>Infrastructure &amp; Utilities</t>
        </is>
      </c>
      <c r="C3996" t="inlineStr">
        <is>
          <t>UKPN</t>
        </is>
      </c>
      <c r="D3996" t="inlineStr">
        <is>
          <t>WG64HTT , 4x4 , Land Rover , Defender 110</t>
        </is>
      </c>
      <c r="E3996" t="inlineStr">
        <is>
          <t>WG64HTT , 4x4 , Land Rover , Defender 110</t>
        </is>
      </c>
      <c r="F3996" t="inlineStr">
        <is>
          <t>WG64HTT , 4x4 , Land Rover , Defender 110</t>
        </is>
      </c>
      <c r="G3996" t="inlineStr">
        <is>
          <t xml:space="preserve">Jack Austin </t>
        </is>
      </c>
      <c r="H3996" t="inlineStr">
        <is>
          <t>4x4</t>
        </is>
      </c>
      <c r="I3996" t="inlineStr">
        <is>
          <t>Daily/ Weekly Vehicle Inspection</t>
        </is>
      </c>
      <c r="J3996" t="inlineStr">
        <is>
          <t>N/A</t>
        </is>
      </c>
      <c r="K3996" t="inlineStr">
        <is>
          <t>7951 Austin Tree Care LTD</t>
        </is>
      </c>
      <c r="L3996" t="inlineStr">
        <is>
          <t>13/04/2026 15:49</t>
        </is>
      </c>
      <c r="M3996" t="inlineStr">
        <is>
          <t>None</t>
        </is>
      </c>
      <c r="N3996" t="inlineStr">
        <is>
          <t>&lt;p&gt;&lt;/p&gt;</t>
        </is>
      </c>
      <c r="O3996" t="inlineStr"/>
      <c r="P3996" t="inlineStr">
        <is>
          <t>WG64HTT , 4x4 , Land Rover , Defender 110</t>
        </is>
      </c>
      <c r="Q3996" t="inlineStr">
        <is>
          <t>UKPN</t>
        </is>
      </c>
      <c r="R3996" t="b">
        <v>0</v>
      </c>
    </row>
    <row r="3997">
      <c r="A3997" t="inlineStr">
        <is>
          <t>13 Apr 2026 / Ashley Hill</t>
        </is>
      </c>
      <c r="B3997" t="inlineStr">
        <is>
          <t>Infrastructure &amp; Utilities</t>
        </is>
      </c>
      <c r="C3997" t="inlineStr">
        <is>
          <t>NGED</t>
        </is>
      </c>
      <c r="D3997" t="inlineStr"/>
      <c r="E3997" t="inlineStr"/>
      <c r="F3997" t="inlineStr"/>
      <c r="G3997" t="inlineStr">
        <is>
          <t>Ashley Hill</t>
        </is>
      </c>
      <c r="H3997" t="inlineStr">
        <is>
          <t>Car - Petrol</t>
        </is>
      </c>
      <c r="I3997" t="inlineStr">
        <is>
          <t>Daily/ Weekly Vehicle Inspection</t>
        </is>
      </c>
      <c r="J3997" t="inlineStr">
        <is>
          <t>N/A</t>
        </is>
      </c>
      <c r="K3997" t="inlineStr">
        <is>
          <t>Ashley Hill</t>
        </is>
      </c>
      <c r="L3997" t="inlineStr">
        <is>
          <t>13/04/2026 15:49</t>
        </is>
      </c>
      <c r="M3997" t="inlineStr">
        <is>
          <t>None</t>
        </is>
      </c>
      <c r="N3997" t="inlineStr">
        <is>
          <t>&lt;p&gt;&lt;/p&gt;</t>
        </is>
      </c>
      <c r="O3997" t="inlineStr"/>
      <c r="P3997" t="inlineStr"/>
      <c r="Q3997" t="inlineStr">
        <is>
          <t>NGED</t>
        </is>
      </c>
      <c r="R3997" t="b">
        <v>0</v>
      </c>
    </row>
    <row r="3998">
      <c r="A3998" t="inlineStr">
        <is>
          <t>14 Apr 2026 / 7806 Optimum Tree Services Ltd</t>
        </is>
      </c>
      <c r="B3998" t="inlineStr">
        <is>
          <t>Infrastructure &amp; Utilities</t>
        </is>
      </c>
      <c r="C3998" t="inlineStr">
        <is>
          <t>UKPN</t>
        </is>
      </c>
      <c r="D3998" t="inlineStr">
        <is>
          <t>SA9st6p0001283093 , Towed Chipper , Forst  , St6pHD</t>
        </is>
      </c>
      <c r="E3998" t="inlineStr">
        <is>
          <t>SA9st6p0001283093 , Towed Chipper , Forst  , St6pHD</t>
        </is>
      </c>
      <c r="F3998" t="inlineStr">
        <is>
          <t>SA9st6p0001283093 , Towed Chipper , Forst  , St6pHD</t>
        </is>
      </c>
      <c r="G3998" t="inlineStr">
        <is>
          <t xml:space="preserve">Abraham Davies </t>
        </is>
      </c>
      <c r="H3998" t="inlineStr">
        <is>
          <t>Towed Chipper</t>
        </is>
      </c>
      <c r="I3998" t="inlineStr">
        <is>
          <t>Daily/ Weekly Vehicle Inspection</t>
        </is>
      </c>
      <c r="J3998" t="inlineStr">
        <is>
          <t>N/A</t>
        </is>
      </c>
      <c r="K3998" t="inlineStr">
        <is>
          <t>7806 Optimum Tree Services Ltd</t>
        </is>
      </c>
      <c r="L3998" t="inlineStr">
        <is>
          <t>14/04/2026 07:50</t>
        </is>
      </c>
      <c r="M3998" t="inlineStr">
        <is>
          <t>None</t>
        </is>
      </c>
      <c r="N3998" t="inlineStr">
        <is>
          <t>&lt;p&gt;&lt;/p&gt;</t>
        </is>
      </c>
      <c r="O3998" t="inlineStr"/>
      <c r="P3998" t="inlineStr">
        <is>
          <t>SA9st6p0001283093 , Towed Chipper , Forst  , St6pHD</t>
        </is>
      </c>
      <c r="Q3998" t="inlineStr">
        <is>
          <t>UKPN</t>
        </is>
      </c>
      <c r="R3998" t="b">
        <v>0</v>
      </c>
    </row>
    <row r="3999">
      <c r="A3999" t="inlineStr">
        <is>
          <t>14 Apr 2026 / Benet Jones</t>
        </is>
      </c>
      <c r="B3999" t="inlineStr">
        <is>
          <t>Infrastructure &amp; Utilities</t>
        </is>
      </c>
      <c r="C3999" t="inlineStr">
        <is>
          <t>NGED</t>
        </is>
      </c>
      <c r="D3999" t="inlineStr">
        <is>
          <t>GF71TXC , Car - Electric , Tesla , Model 3 Long Range AWD</t>
        </is>
      </c>
      <c r="E3999" t="inlineStr">
        <is>
          <t>GF71TXC , Car - Electric , Tesla , Model 3 Long Range AWD</t>
        </is>
      </c>
      <c r="F3999" t="inlineStr">
        <is>
          <t>GF71TXC , Car - Electric , Tesla , Model 3 Long Range AWD</t>
        </is>
      </c>
      <c r="G3999" t="inlineStr">
        <is>
          <t xml:space="preserve">Benet Jones </t>
        </is>
      </c>
      <c r="H3999" t="inlineStr">
        <is>
          <t>Car - Electric (GC Owned)</t>
        </is>
      </c>
      <c r="I3999" t="inlineStr">
        <is>
          <t>Daily/ Weekly Vehicle Inspection</t>
        </is>
      </c>
      <c r="J3999" t="inlineStr">
        <is>
          <t>N/A</t>
        </is>
      </c>
      <c r="K3999" t="inlineStr">
        <is>
          <t>Benet Jones</t>
        </is>
      </c>
      <c r="L3999" t="inlineStr">
        <is>
          <t>14/04/2026 07:52</t>
        </is>
      </c>
      <c r="M3999" t="inlineStr">
        <is>
          <t>None</t>
        </is>
      </c>
      <c r="N3999" t="inlineStr">
        <is>
          <t>&lt;p&gt;&lt;/p&gt;</t>
        </is>
      </c>
      <c r="O3999" t="inlineStr">
        <is>
          <t>Confirm that you have checked this vehicle as per the guidance document and the vehicle is safe and roadworthy:Car checked and fully serviceable
-</t>
        </is>
      </c>
      <c r="P3999" t="inlineStr">
        <is>
          <t>GF71TXC , Car - Electric , Tesla , Model 3 Long Range AWD</t>
        </is>
      </c>
      <c r="Q3999" t="inlineStr">
        <is>
          <t>NGED</t>
        </is>
      </c>
      <c r="R3999" t="b">
        <v>0</v>
      </c>
    </row>
    <row r="4000">
      <c r="A4000" t="inlineStr">
        <is>
          <t>14 Apr 2026 / 7806 Optimum Tree Services Ltd</t>
        </is>
      </c>
      <c r="B4000" t="inlineStr">
        <is>
          <t>Infrastructure &amp; Utilities</t>
        </is>
      </c>
      <c r="C4000" t="inlineStr">
        <is>
          <t>UKPN</t>
        </is>
      </c>
      <c r="D4000" t="inlineStr">
        <is>
          <t>Wd14evn , 4x4 , Landrover  , Defender</t>
        </is>
      </c>
      <c r="E4000" t="inlineStr">
        <is>
          <t>Wd14evn , 4x4 , Landrover  , Defender</t>
        </is>
      </c>
      <c r="F4000" t="inlineStr">
        <is>
          <t>Wd14evn , 4x4 , Landrover  , Defender</t>
        </is>
      </c>
      <c r="G4000" t="inlineStr">
        <is>
          <t xml:space="preserve">Abraham Davies </t>
        </is>
      </c>
      <c r="H4000" t="inlineStr">
        <is>
          <t>4x4</t>
        </is>
      </c>
      <c r="I4000" t="inlineStr">
        <is>
          <t>Daily/ Weekly Vehicle Inspection</t>
        </is>
      </c>
      <c r="J4000" t="inlineStr">
        <is>
          <t>N/A</t>
        </is>
      </c>
      <c r="K4000" t="inlineStr">
        <is>
          <t>7806 Optimum Tree Services Ltd</t>
        </is>
      </c>
      <c r="L4000" t="inlineStr">
        <is>
          <t>14/04/2026 07:53</t>
        </is>
      </c>
      <c r="M4000" t="inlineStr">
        <is>
          <t>None</t>
        </is>
      </c>
      <c r="N4000" t="inlineStr">
        <is>
          <t>&lt;p&gt;&lt;/p&gt;</t>
        </is>
      </c>
      <c r="O4000" t="inlineStr"/>
      <c r="P4000" t="inlineStr">
        <is>
          <t>Wd14evn , 4x4 , Landrover  , Defender</t>
        </is>
      </c>
      <c r="Q4000" t="inlineStr">
        <is>
          <t>UKPN</t>
        </is>
      </c>
      <c r="R4000" t="b">
        <v>0</v>
      </c>
    </row>
    <row r="4001">
      <c r="A4001" t="inlineStr">
        <is>
          <t>14 Apr 2026 / 7800 MAC Tree Surgery and Fencing Ltd</t>
        </is>
      </c>
      <c r="B4001" t="inlineStr">
        <is>
          <t>Utilities</t>
        </is>
      </c>
      <c r="C4001" t="inlineStr">
        <is>
          <t>UKPN</t>
        </is>
      </c>
      <c r="D4001" t="inlineStr">
        <is>
          <t>FG16LNT , Tipper , Ford transit  , Transit tipper</t>
        </is>
      </c>
      <c r="E4001" t="inlineStr">
        <is>
          <t>FG16LNT , Tipper , Ford transit  , Transit tipper</t>
        </is>
      </c>
      <c r="F4001" t="inlineStr">
        <is>
          <t>FG16LNT , Tipper , Ford transit  , Transit tipper</t>
        </is>
      </c>
      <c r="G4001" t="inlineStr">
        <is>
          <t>Patrick</t>
        </is>
      </c>
      <c r="H4001" t="inlineStr">
        <is>
          <t>Tipper</t>
        </is>
      </c>
      <c r="I4001" t="inlineStr">
        <is>
          <t>Daily/ Weekly Vehicle Inspection</t>
        </is>
      </c>
      <c r="J4001" t="inlineStr">
        <is>
          <t>N/A</t>
        </is>
      </c>
      <c r="K4001" t="inlineStr">
        <is>
          <t>7800 MAC Tree Surgery and Fencing Ltd</t>
        </is>
      </c>
      <c r="L4001" t="inlineStr">
        <is>
          <t>14/04/2026 07:53</t>
        </is>
      </c>
      <c r="M4001" t="inlineStr">
        <is>
          <t>None</t>
        </is>
      </c>
      <c r="N4001" t="inlineStr">
        <is>
          <t>&lt;p&gt;&lt;/p&gt;</t>
        </is>
      </c>
      <c r="O4001" t="inlineStr"/>
      <c r="P4001" t="inlineStr">
        <is>
          <t>FG16LNT , Tipper , Ford transit  , Transit tipper</t>
        </is>
      </c>
      <c r="Q4001" t="inlineStr">
        <is>
          <t>UKPN</t>
        </is>
      </c>
      <c r="R4001" t="b">
        <v>0</v>
      </c>
    </row>
    <row r="4002">
      <c r="A4002" t="inlineStr">
        <is>
          <t>14 Apr 2026 / 7800 MAC Tree Surgery and Fencing Ltd / Utilities / UKPN</t>
        </is>
      </c>
      <c r="B4002" t="inlineStr">
        <is>
          <t>Utilities</t>
        </is>
      </c>
      <c r="C4002" t="inlineStr">
        <is>
          <t>UKPN</t>
        </is>
      </c>
      <c r="D4002" t="inlineStr">
        <is>
          <t>Plant Trailer - Towmate - 2.8t - 0</t>
        </is>
      </c>
      <c r="E4002" t="inlineStr">
        <is>
          <t>Plant Trailer - Towmate - 2.8t - 0</t>
        </is>
      </c>
      <c r="F4002" t="inlineStr">
        <is>
          <t>Plant Trailer - Towmate - 2.8t - 0</t>
        </is>
      </c>
      <c r="G4002" t="inlineStr">
        <is>
          <t>Lewis mac</t>
        </is>
      </c>
      <c r="H4002" t="inlineStr">
        <is>
          <t>Plant Trailer</t>
        </is>
      </c>
      <c r="I4002" t="inlineStr">
        <is>
          <t>Daily/ Weekly Vehicle Inspection</t>
        </is>
      </c>
      <c r="J4002" t="inlineStr">
        <is>
          <t>N/A</t>
        </is>
      </c>
      <c r="K4002" t="inlineStr">
        <is>
          <t>7800 MAC Tree Surgery and Fencing Ltd</t>
        </is>
      </c>
      <c r="L4002" t="inlineStr">
        <is>
          <t>14/04/2026 07:54</t>
        </is>
      </c>
      <c r="M4002" t="inlineStr">
        <is>
          <t>None</t>
        </is>
      </c>
      <c r="N4002" t="inlineStr">
        <is>
          <t>&lt;p&gt;&lt;/p&gt;</t>
        </is>
      </c>
      <c r="O4002" t="inlineStr"/>
      <c r="P4002" t="inlineStr">
        <is>
          <t>Plant Trailer - Towmate - 2.8t - 0</t>
        </is>
      </c>
      <c r="Q4002" t="inlineStr">
        <is>
          <t>UKPN</t>
        </is>
      </c>
      <c r="R4002" t="b">
        <v>0</v>
      </c>
    </row>
    <row r="4003">
      <c r="A4003" t="inlineStr">
        <is>
          <t>14 Apr 2026 / 7800 MAC Tree Surgery and Fencing Ltd / Utilities / UKPN</t>
        </is>
      </c>
      <c r="B4003" t="inlineStr">
        <is>
          <t>Utilities</t>
        </is>
      </c>
      <c r="C4003" t="inlineStr">
        <is>
          <t>UKPN</t>
        </is>
      </c>
      <c r="D4003" t="inlineStr">
        <is>
          <t>AY68DAA , 4x4 , Izuzu , Dmax</t>
        </is>
      </c>
      <c r="E4003" t="inlineStr">
        <is>
          <t>AY68DAA , 4x4 , Izuzu , Dmax</t>
        </is>
      </c>
      <c r="F4003" t="inlineStr">
        <is>
          <t>AY68DAA , 4x4 , Izuzu , Dmax</t>
        </is>
      </c>
      <c r="G4003" t="inlineStr">
        <is>
          <t xml:space="preserve">Patrick O'Shea </t>
        </is>
      </c>
      <c r="H4003" t="inlineStr">
        <is>
          <t>4x4</t>
        </is>
      </c>
      <c r="I4003" t="inlineStr">
        <is>
          <t>Daily/ Weekly Vehicle Inspection</t>
        </is>
      </c>
      <c r="J4003" t="inlineStr">
        <is>
          <t>N/A</t>
        </is>
      </c>
      <c r="K4003" t="inlineStr">
        <is>
          <t>7800 MAC Tree Surgery and Fencing Ltd</t>
        </is>
      </c>
      <c r="L4003" t="inlineStr">
        <is>
          <t>14/04/2026 07:55</t>
        </is>
      </c>
      <c r="M4003" t="inlineStr">
        <is>
          <t>None</t>
        </is>
      </c>
      <c r="N4003" t="inlineStr">
        <is>
          <t>&lt;p&gt;&lt;/p&gt;</t>
        </is>
      </c>
      <c r="O4003" t="inlineStr"/>
      <c r="P4003" t="inlineStr">
        <is>
          <t>AY68DAA , 4x4 , Izuzu , Dmax</t>
        </is>
      </c>
      <c r="Q4003" t="inlineStr">
        <is>
          <t>UKPN</t>
        </is>
      </c>
      <c r="R4003" t="b">
        <v>0</v>
      </c>
    </row>
    <row r="4004">
      <c r="A4004" t="inlineStr">
        <is>
          <t>14 Apr 2026 / 7889 Tree Tech Suffolk Ltd</t>
        </is>
      </c>
      <c r="B4004" t="inlineStr">
        <is>
          <t>Utilities &amp; Inland Waterways</t>
        </is>
      </c>
      <c r="C4004" t="inlineStr">
        <is>
          <t>UKPN</t>
        </is>
      </c>
      <c r="D4004" t="inlineStr">
        <is>
          <t>Tipper - Mercedes - Sprinter - NS06TTS</t>
        </is>
      </c>
      <c r="E4004" t="inlineStr">
        <is>
          <t>Tipper - Mercedes - Sprinter - NS06TTS</t>
        </is>
      </c>
      <c r="F4004" t="inlineStr">
        <is>
          <t>Tipper - Mercedes - Sprinter - NS06TTS</t>
        </is>
      </c>
      <c r="G4004" t="inlineStr">
        <is>
          <t>Danny Appleby</t>
        </is>
      </c>
      <c r="H4004" t="inlineStr">
        <is>
          <t>Tipper</t>
        </is>
      </c>
      <c r="I4004" t="inlineStr">
        <is>
          <t>Daily/ Weekly Vehicle Inspection</t>
        </is>
      </c>
      <c r="J4004" t="inlineStr">
        <is>
          <t>N/A</t>
        </is>
      </c>
      <c r="K4004" t="inlineStr">
        <is>
          <t>7889 Tree Tech Suffolk Ltd</t>
        </is>
      </c>
      <c r="L4004" t="inlineStr">
        <is>
          <t>14/04/2026 07:55</t>
        </is>
      </c>
      <c r="M4004" t="inlineStr">
        <is>
          <t>None</t>
        </is>
      </c>
      <c r="N4004" t="inlineStr">
        <is>
          <t>&lt;p&gt;&lt;/p&gt;</t>
        </is>
      </c>
      <c r="O4004" t="inlineStr"/>
      <c r="P4004" t="inlineStr">
        <is>
          <t>Tipper - Mercedes - Sprinter - NS06TTS</t>
        </is>
      </c>
      <c r="Q4004" t="inlineStr">
        <is>
          <t>UKPN</t>
        </is>
      </c>
      <c r="R4004" t="b">
        <v>0</v>
      </c>
    </row>
    <row r="4005">
      <c r="A4005" t="inlineStr">
        <is>
          <t>14 Apr 2026 / 7186 Eastwoodbury Tree Services Ltd</t>
        </is>
      </c>
      <c r="B4005" t="inlineStr">
        <is>
          <t>Infrastructure &amp; Utilities</t>
        </is>
      </c>
      <c r="C4005" t="inlineStr">
        <is>
          <t>UKPN</t>
        </is>
      </c>
      <c r="D4005" t="inlineStr">
        <is>
          <t>WF13 EKT , 4x4 , Land rover  , Defender</t>
        </is>
      </c>
      <c r="E4005" t="inlineStr">
        <is>
          <t>WF13 EKT , 4x4 , Land rover  , Defender</t>
        </is>
      </c>
      <c r="F4005" t="inlineStr">
        <is>
          <t>WF13 EKT , 4x4 , Land rover  , Defender</t>
        </is>
      </c>
      <c r="G4005" t="inlineStr">
        <is>
          <t xml:space="preserve">Dan Gilbert </t>
        </is>
      </c>
      <c r="H4005" t="inlineStr">
        <is>
          <t>4x4</t>
        </is>
      </c>
      <c r="I4005" t="inlineStr">
        <is>
          <t>Daily/ Weekly Vehicle Inspection</t>
        </is>
      </c>
      <c r="J4005" t="inlineStr">
        <is>
          <t>N/A</t>
        </is>
      </c>
      <c r="K4005" t="inlineStr">
        <is>
          <t>7186 Eastwoodbury Tree Services Ltd</t>
        </is>
      </c>
      <c r="L4005" t="inlineStr">
        <is>
          <t>14/04/2026 07:56</t>
        </is>
      </c>
      <c r="M4005" t="inlineStr">
        <is>
          <t>None</t>
        </is>
      </c>
      <c r="N4005" t="inlineStr">
        <is>
          <t>&lt;p&gt;&lt;/p&gt;</t>
        </is>
      </c>
      <c r="O4005" t="inlineStr"/>
      <c r="P4005" t="inlineStr">
        <is>
          <t>WF13 EKT , 4x4 , Land rover  , Defender</t>
        </is>
      </c>
      <c r="Q4005" t="inlineStr">
        <is>
          <t>UKPN</t>
        </is>
      </c>
      <c r="R4005" t="b">
        <v>0</v>
      </c>
    </row>
    <row r="4006">
      <c r="A4006" t="inlineStr">
        <is>
          <t>14 Apr 2026 / 7186 Eastwoodbury Tree Services Ltd</t>
        </is>
      </c>
      <c r="B4006" t="inlineStr">
        <is>
          <t>Infrastructure &amp; Utilities</t>
        </is>
      </c>
      <c r="C4006" t="inlineStr">
        <is>
          <t>UKPN</t>
        </is>
      </c>
      <c r="D4006" t="inlineStr">
        <is>
          <t>FX14 XCV , 4x4 , Land Rover  , Defender</t>
        </is>
      </c>
      <c r="E4006" t="inlineStr">
        <is>
          <t>FX14 XCV , 4x4 , Land Rover  , Defender</t>
        </is>
      </c>
      <c r="F4006" t="inlineStr">
        <is>
          <t>FX14 XCV , 4x4 , Land Rover  , Defender</t>
        </is>
      </c>
      <c r="G4006" t="inlineStr">
        <is>
          <t xml:space="preserve">Luke Williams </t>
        </is>
      </c>
      <c r="H4006" t="inlineStr">
        <is>
          <t>4x4</t>
        </is>
      </c>
      <c r="I4006" t="inlineStr">
        <is>
          <t>Daily/ Weekly Vehicle Inspection</t>
        </is>
      </c>
      <c r="J4006" t="inlineStr">
        <is>
          <t>N/A</t>
        </is>
      </c>
      <c r="K4006" t="inlineStr">
        <is>
          <t>7186 Eastwoodbury Tree Services Ltd</t>
        </is>
      </c>
      <c r="L4006" t="inlineStr">
        <is>
          <t>14/04/2026 08:01</t>
        </is>
      </c>
      <c r="M4006" t="inlineStr">
        <is>
          <t>None</t>
        </is>
      </c>
      <c r="N4006" t="inlineStr">
        <is>
          <t>&lt;p&gt;&lt;/p&gt;</t>
        </is>
      </c>
      <c r="O4006" t="inlineStr">
        <is>
          <t>Confirm that you have checked this vehicle as per the guidance document and the vehicle is safe and roadworthy:Tow bar bent, waiting on repairs. Not being used till fixed
-</t>
        </is>
      </c>
      <c r="P4006" t="inlineStr">
        <is>
          <t>FX14 XCV , 4x4 , Land Rover  , Defender</t>
        </is>
      </c>
      <c r="Q4006" t="inlineStr">
        <is>
          <t>UKPN</t>
        </is>
      </c>
      <c r="R4006" t="b">
        <v>0</v>
      </c>
    </row>
    <row r="4007">
      <c r="A4007" t="inlineStr">
        <is>
          <t>14 Apr 2026 / Joe Lemar</t>
        </is>
      </c>
      <c r="B4007" t="inlineStr">
        <is>
          <t>Infrastructure &amp; Utilities</t>
        </is>
      </c>
      <c r="C4007" t="inlineStr">
        <is>
          <t>SSE</t>
        </is>
      </c>
      <c r="D4007" t="inlineStr">
        <is>
          <t>AK70TBV , Car - Electric , Tesla , Model 3 Long Range AWD</t>
        </is>
      </c>
      <c r="E4007" t="inlineStr">
        <is>
          <t>AK70TBV , Car - Electric , Tesla , Model 3 Long Range AWD</t>
        </is>
      </c>
      <c r="F4007" t="inlineStr">
        <is>
          <t>AK70TBV , Car - Electric , Tesla , Model 3 Long Range AWD</t>
        </is>
      </c>
      <c r="G4007" t="inlineStr">
        <is>
          <t>Joe lemar</t>
        </is>
      </c>
      <c r="H4007" t="inlineStr">
        <is>
          <t>Car - Electric (GC Owned)</t>
        </is>
      </c>
      <c r="I4007" t="inlineStr">
        <is>
          <t>Daily/ Weekly Vehicle Inspection</t>
        </is>
      </c>
      <c r="J4007" t="inlineStr">
        <is>
          <t>N/A</t>
        </is>
      </c>
      <c r="K4007" t="inlineStr">
        <is>
          <t>Joe Lemar</t>
        </is>
      </c>
      <c r="L4007" t="inlineStr">
        <is>
          <t>14/04/2026 08:02</t>
        </is>
      </c>
      <c r="M4007" t="inlineStr">
        <is>
          <t>None</t>
        </is>
      </c>
      <c r="N4007" t="inlineStr">
        <is>
          <t>&lt;p&gt;&lt;/p&gt;</t>
        </is>
      </c>
      <c r="O4007" t="inlineStr"/>
      <c r="P4007" t="inlineStr">
        <is>
          <t>AK70TBV , Car - Electric , Tesla , Model 3 Long Range AWD</t>
        </is>
      </c>
      <c r="Q4007" t="inlineStr">
        <is>
          <t>SSE</t>
        </is>
      </c>
      <c r="R4007" t="b">
        <v>0</v>
      </c>
    </row>
    <row r="4008">
      <c r="A4008" t="inlineStr">
        <is>
          <t>14 Apr 2026 / Dylan Bowler</t>
        </is>
      </c>
      <c r="B4008" t="inlineStr">
        <is>
          <t>Infrastructure &amp; Utilities</t>
        </is>
      </c>
      <c r="C4008" t="inlineStr">
        <is>
          <t>NGED</t>
        </is>
      </c>
      <c r="D4008" t="inlineStr"/>
      <c r="E4008" t="inlineStr"/>
      <c r="F4008" t="inlineStr"/>
      <c r="G4008" t="inlineStr">
        <is>
          <t>Dylan Bowler</t>
        </is>
      </c>
      <c r="H4008" t="inlineStr">
        <is>
          <t>Car - Electric (Greyfleet)</t>
        </is>
      </c>
      <c r="I4008" t="inlineStr">
        <is>
          <t>Daily/ Weekly Vehicle Inspection</t>
        </is>
      </c>
      <c r="J4008" t="inlineStr">
        <is>
          <t>N/A</t>
        </is>
      </c>
      <c r="K4008" t="inlineStr">
        <is>
          <t>Dylan Bowler</t>
        </is>
      </c>
      <c r="L4008" t="inlineStr">
        <is>
          <t>14/04/2026 08:58</t>
        </is>
      </c>
      <c r="M4008" t="inlineStr">
        <is>
          <t>None</t>
        </is>
      </c>
      <c r="N4008" t="inlineStr">
        <is>
          <t>&lt;p&gt;&lt;/p&gt;</t>
        </is>
      </c>
      <c r="O4008" t="inlineStr"/>
      <c r="P4008" t="inlineStr"/>
      <c r="Q4008" t="inlineStr">
        <is>
          <t>NGED</t>
        </is>
      </c>
      <c r="R4008" t="b">
        <v>0</v>
      </c>
    </row>
    <row r="4009">
      <c r="A4009" t="inlineStr">
        <is>
          <t>14 Apr 2026 / 7995 Green Net Eco Ltd 2</t>
        </is>
      </c>
      <c r="B4009" t="inlineStr">
        <is>
          <t>Infrastructure &amp; Utilities</t>
        </is>
      </c>
      <c r="C4009" t="inlineStr">
        <is>
          <t>UKPN</t>
        </is>
      </c>
      <c r="D4009" t="inlineStr">
        <is>
          <t>SA9ST800000283944 , Towed Chipper , Forst , ST8D - Towed</t>
        </is>
      </c>
      <c r="E4009" t="inlineStr">
        <is>
          <t>SA9ST800000283944 , Towed Chipper , Forst , ST8D - Towed</t>
        </is>
      </c>
      <c r="F4009" t="inlineStr">
        <is>
          <t>SA9ST800000283944 , Towed Chipper , Forst , ST8D - Towed</t>
        </is>
      </c>
      <c r="G4009" t="inlineStr">
        <is>
          <t xml:space="preserve">Thomas Playford </t>
        </is>
      </c>
      <c r="H4009" t="inlineStr">
        <is>
          <t>Towed Chipper</t>
        </is>
      </c>
      <c r="I4009" t="inlineStr">
        <is>
          <t>Daily/ Weekly Vehicle Inspection</t>
        </is>
      </c>
      <c r="J4009" t="inlineStr">
        <is>
          <t>N/A</t>
        </is>
      </c>
      <c r="K4009" t="inlineStr">
        <is>
          <t>7995 Green Net Eco Ltd 2</t>
        </is>
      </c>
      <c r="L4009" t="inlineStr">
        <is>
          <t>14/04/2026 09:00</t>
        </is>
      </c>
      <c r="M4009" t="inlineStr">
        <is>
          <t>None</t>
        </is>
      </c>
      <c r="N4009" t="inlineStr">
        <is>
          <t>&lt;p&gt;&lt;/p&gt;</t>
        </is>
      </c>
      <c r="O4009" t="inlineStr"/>
      <c r="P4009" t="inlineStr">
        <is>
          <t>SA9ST800000283944 , Towed Chipper , Forst , ST8D - Towed</t>
        </is>
      </c>
      <c r="Q4009" t="inlineStr">
        <is>
          <t>UKPN</t>
        </is>
      </c>
      <c r="R4009" t="b">
        <v>0</v>
      </c>
    </row>
    <row r="4010">
      <c r="A4010" t="inlineStr">
        <is>
          <t>14 Apr 2026 / 7995 Green Net Eco Ltd 2</t>
        </is>
      </c>
      <c r="B4010" t="inlineStr">
        <is>
          <t>Infrastructure &amp; Utilities</t>
        </is>
      </c>
      <c r="C4010" t="inlineStr">
        <is>
          <t>UKPN</t>
        </is>
      </c>
      <c r="D4010" t="inlineStr">
        <is>
          <t>LK15KRZ , 4x4 , Landrover , Defender</t>
        </is>
      </c>
      <c r="E4010" t="inlineStr">
        <is>
          <t>LK15KRZ , 4x4 , Landrover , Defender</t>
        </is>
      </c>
      <c r="F4010" t="inlineStr">
        <is>
          <t>LK15KRZ , 4x4 , Landrover , Defender</t>
        </is>
      </c>
      <c r="G4010" t="inlineStr">
        <is>
          <t xml:space="preserve">Thomas Playford </t>
        </is>
      </c>
      <c r="H4010" t="inlineStr">
        <is>
          <t>4x4</t>
        </is>
      </c>
      <c r="I4010" t="inlineStr">
        <is>
          <t>Daily/ Weekly Vehicle Inspection</t>
        </is>
      </c>
      <c r="J4010" t="inlineStr">
        <is>
          <t>N/A</t>
        </is>
      </c>
      <c r="K4010" t="inlineStr">
        <is>
          <t>7995 Green Net Eco Ltd 2</t>
        </is>
      </c>
      <c r="L4010" t="inlineStr">
        <is>
          <t>14/04/2026 09:01</t>
        </is>
      </c>
      <c r="M4010" t="inlineStr">
        <is>
          <t>None</t>
        </is>
      </c>
      <c r="N4010" t="inlineStr">
        <is>
          <t>&lt;p&gt;&lt;/p&gt;</t>
        </is>
      </c>
      <c r="O4010" t="inlineStr"/>
      <c r="P4010" t="inlineStr">
        <is>
          <t>LK15KRZ , 4x4 , Landrover , Defender</t>
        </is>
      </c>
      <c r="Q4010" t="inlineStr">
        <is>
          <t>UKPN</t>
        </is>
      </c>
      <c r="R4010" t="b">
        <v>0</v>
      </c>
    </row>
    <row r="4011">
      <c r="A4011" t="inlineStr">
        <is>
          <t>14 Apr 2026 / 8148 Hope Ground and Tree Care</t>
        </is>
      </c>
      <c r="B4011" t="inlineStr">
        <is>
          <t>Infrastructure &amp; Utilities</t>
        </is>
      </c>
      <c r="C4011" t="inlineStr">
        <is>
          <t>UKPN</t>
        </is>
      </c>
      <c r="D4011" t="inlineStr">
        <is>
          <t>S6 NWX , MEWP , Isuzu , D-Max</t>
        </is>
      </c>
      <c r="E4011" t="inlineStr">
        <is>
          <t>S6 NWX , MEWP , Isuzu , D-Max</t>
        </is>
      </c>
      <c r="F4011" t="inlineStr">
        <is>
          <t>S6 NWX , MEWP , Isuzu , D-Max</t>
        </is>
      </c>
      <c r="G4011" t="inlineStr">
        <is>
          <t>Hope</t>
        </is>
      </c>
      <c r="H4011" t="inlineStr">
        <is>
          <t>4x4</t>
        </is>
      </c>
      <c r="I4011" t="inlineStr">
        <is>
          <t>Daily/ Weekly Vehicle Inspection</t>
        </is>
      </c>
      <c r="J4011" t="inlineStr">
        <is>
          <t>N/A</t>
        </is>
      </c>
      <c r="K4011" t="inlineStr">
        <is>
          <t>8148 Hope Ground and Tree Care</t>
        </is>
      </c>
      <c r="L4011" t="inlineStr">
        <is>
          <t>14/04/2026 09:06</t>
        </is>
      </c>
      <c r="M4011" t="inlineStr">
        <is>
          <t>None</t>
        </is>
      </c>
      <c r="N4011" t="inlineStr">
        <is>
          <t>&lt;p&gt;&lt;/p&gt;</t>
        </is>
      </c>
      <c r="O4011" t="inlineStr"/>
      <c r="P4011" t="inlineStr">
        <is>
          <t>S6 NWX , MEWP , Isuzu , D-Max</t>
        </is>
      </c>
      <c r="Q4011" t="inlineStr">
        <is>
          <t>UKPN</t>
        </is>
      </c>
      <c r="R4011" t="b">
        <v>0</v>
      </c>
    </row>
    <row r="4012">
      <c r="A4012" t="inlineStr">
        <is>
          <t>14 Apr 2026 / Harry Bellis</t>
        </is>
      </c>
      <c r="B4012" t="inlineStr">
        <is>
          <t>Infrastructure &amp; Utilities</t>
        </is>
      </c>
      <c r="C4012" t="inlineStr">
        <is>
          <t>SSE</t>
        </is>
      </c>
      <c r="D4012" t="inlineStr">
        <is>
          <t>EO73KUG , Car - Electric , Kia , Niro</t>
        </is>
      </c>
      <c r="E4012" t="inlineStr">
        <is>
          <t>EO73KUG , Car - Electric , Kia , Niro</t>
        </is>
      </c>
      <c r="F4012" t="inlineStr">
        <is>
          <t>EO73KUG , Car - Electric , Kia , Niro</t>
        </is>
      </c>
      <c r="G4012" t="inlineStr">
        <is>
          <t>Harry Bellis</t>
        </is>
      </c>
      <c r="H4012" t="inlineStr">
        <is>
          <t>Car - Electric (GC Owned)</t>
        </is>
      </c>
      <c r="I4012" t="inlineStr">
        <is>
          <t>Daily/ Weekly Vehicle Inspection</t>
        </is>
      </c>
      <c r="J4012" t="inlineStr">
        <is>
          <t>N/A</t>
        </is>
      </c>
      <c r="K4012" t="inlineStr">
        <is>
          <t>Harry Bellis</t>
        </is>
      </c>
      <c r="L4012" t="inlineStr">
        <is>
          <t>14/04/2026 09:52</t>
        </is>
      </c>
      <c r="M4012" t="inlineStr">
        <is>
          <t>None</t>
        </is>
      </c>
      <c r="N4012" t="inlineStr">
        <is>
          <t>&lt;p&gt;&lt;/p&gt;</t>
        </is>
      </c>
      <c r="O4012" t="inlineStr">
        <is>
          <t>Confirm that you have checked this vehicle as per the guidance document and the vehicle is safe and roadworthy:Small chip on windshield
-</t>
        </is>
      </c>
      <c r="P4012" t="inlineStr">
        <is>
          <t>EO73KUG , Car - Electric , Kia , Niro</t>
        </is>
      </c>
      <c r="Q4012" t="inlineStr">
        <is>
          <t>SSE</t>
        </is>
      </c>
      <c r="R4012" t="b">
        <v>0</v>
      </c>
    </row>
    <row r="4013">
      <c r="A4013" t="inlineStr">
        <is>
          <t>15 Apr 2026 / 7995 Green Net Eco Ltd 2</t>
        </is>
      </c>
      <c r="B4013" t="inlineStr">
        <is>
          <t>Infrastructure &amp; Utilities</t>
        </is>
      </c>
      <c r="C4013" t="inlineStr">
        <is>
          <t>UKPN</t>
        </is>
      </c>
      <c r="D4013" t="inlineStr">
        <is>
          <t>SA9ST800000283944 , Towed Chipper , Forst , ST8D - Towed</t>
        </is>
      </c>
      <c r="E4013" t="inlineStr">
        <is>
          <t>SA9ST800000283944 , Towed Chipper , Forst , ST8D - Towed</t>
        </is>
      </c>
      <c r="F4013" t="inlineStr">
        <is>
          <t>SA9ST800000283944 , Towed Chipper , Forst , ST8D - Towed</t>
        </is>
      </c>
      <c r="G4013" t="inlineStr">
        <is>
          <t>Thomas Playford</t>
        </is>
      </c>
      <c r="H4013" t="inlineStr">
        <is>
          <t>Towed Chipper</t>
        </is>
      </c>
      <c r="I4013" t="inlineStr">
        <is>
          <t>Daily/ Weekly Vehicle Inspection</t>
        </is>
      </c>
      <c r="J4013" t="inlineStr">
        <is>
          <t>N/A</t>
        </is>
      </c>
      <c r="K4013" t="inlineStr">
        <is>
          <t>7995 Green Net Eco Ltd 2</t>
        </is>
      </c>
      <c r="L4013" t="inlineStr">
        <is>
          <t>15/04/2026 07:48</t>
        </is>
      </c>
      <c r="M4013" t="inlineStr">
        <is>
          <t>None</t>
        </is>
      </c>
      <c r="N4013" t="inlineStr">
        <is>
          <t>&lt;p&gt;&lt;/p&gt;</t>
        </is>
      </c>
      <c r="O4013" t="inlineStr"/>
      <c r="P4013" t="inlineStr">
        <is>
          <t>SA9ST800000283944 , Towed Chipper , Forst , ST8D - Towed</t>
        </is>
      </c>
      <c r="Q4013" t="inlineStr">
        <is>
          <t>UKPN</t>
        </is>
      </c>
      <c r="R4013" t="b">
        <v>0</v>
      </c>
    </row>
    <row r="4014">
      <c r="A4014" t="inlineStr">
        <is>
          <t>15 Apr 2026 / 7995 Green Net Eco Ltd 2</t>
        </is>
      </c>
      <c r="B4014" t="inlineStr">
        <is>
          <t>Infrastructure &amp; Utilities</t>
        </is>
      </c>
      <c r="C4014" t="inlineStr">
        <is>
          <t>UKPN</t>
        </is>
      </c>
      <c r="D4014" t="inlineStr">
        <is>
          <t>LK15KRZ , 4x4 , Landrover , Defender</t>
        </is>
      </c>
      <c r="E4014" t="inlineStr">
        <is>
          <t>LK15KRZ , 4x4 , Landrover , Defender</t>
        </is>
      </c>
      <c r="F4014" t="inlineStr">
        <is>
          <t>LK15KRZ , 4x4 , Landrover , Defender</t>
        </is>
      </c>
      <c r="G4014" t="inlineStr">
        <is>
          <t>Thomas Playford</t>
        </is>
      </c>
      <c r="H4014" t="inlineStr">
        <is>
          <t>4x4</t>
        </is>
      </c>
      <c r="I4014" t="inlineStr">
        <is>
          <t>Daily/ Weekly Vehicle Inspection</t>
        </is>
      </c>
      <c r="J4014" t="inlineStr">
        <is>
          <t>N/A</t>
        </is>
      </c>
      <c r="K4014" t="inlineStr">
        <is>
          <t>7995 Green Net Eco Ltd 2</t>
        </is>
      </c>
      <c r="L4014" t="inlineStr">
        <is>
          <t>15/04/2026 07:49</t>
        </is>
      </c>
      <c r="M4014" t="inlineStr">
        <is>
          <t>None</t>
        </is>
      </c>
      <c r="N4014" t="inlineStr">
        <is>
          <t>&lt;p&gt;&lt;/p&gt;</t>
        </is>
      </c>
      <c r="O4014" t="inlineStr"/>
      <c r="P4014" t="inlineStr">
        <is>
          <t>LK15KRZ , 4x4 , Landrover , Defender</t>
        </is>
      </c>
      <c r="Q4014" t="inlineStr">
        <is>
          <t>UKPN</t>
        </is>
      </c>
      <c r="R4014" t="b">
        <v>0</v>
      </c>
    </row>
    <row r="4015">
      <c r="A4015" t="inlineStr">
        <is>
          <t>15 Apr 2026 / 8040 S6 Tree specialists Ltd</t>
        </is>
      </c>
      <c r="B4015" t="inlineStr">
        <is>
          <t>Infrastructure &amp; Utilities</t>
        </is>
      </c>
      <c r="C4015" t="inlineStr">
        <is>
          <t>UKPN</t>
        </is>
      </c>
      <c r="D4015" t="inlineStr">
        <is>
          <t>Na , Towed Chipper , Timberwolf  , 190</t>
        </is>
      </c>
      <c r="E4015" t="inlineStr">
        <is>
          <t>Na , Towed Chipper , Timberwolf  , 190</t>
        </is>
      </c>
      <c r="F4015" t="inlineStr">
        <is>
          <t>Na , Towed Chipper , Timberwolf  , 190</t>
        </is>
      </c>
      <c r="G4015" t="inlineStr">
        <is>
          <t>Luke</t>
        </is>
      </c>
      <c r="H4015" t="inlineStr">
        <is>
          <t>Towed Chipper</t>
        </is>
      </c>
      <c r="I4015" t="inlineStr">
        <is>
          <t>Daily/ Weekly Vehicle Inspection</t>
        </is>
      </c>
      <c r="J4015" t="inlineStr">
        <is>
          <t>N/A</t>
        </is>
      </c>
      <c r="K4015" t="inlineStr">
        <is>
          <t>8040 S6 Tree specialists Ltd</t>
        </is>
      </c>
      <c r="L4015" t="inlineStr">
        <is>
          <t>15/04/2026 07:50</t>
        </is>
      </c>
      <c r="M4015" t="inlineStr">
        <is>
          <t>None</t>
        </is>
      </c>
      <c r="N4015" t="inlineStr">
        <is>
          <t>&lt;p&gt;&lt;/p&gt;</t>
        </is>
      </c>
      <c r="O4015" t="inlineStr"/>
      <c r="P4015" t="inlineStr">
        <is>
          <t>Na , Towed Chipper , Timberwolf  , 190</t>
        </is>
      </c>
      <c r="Q4015" t="inlineStr">
        <is>
          <t>UKPN</t>
        </is>
      </c>
      <c r="R4015" t="b">
        <v>0</v>
      </c>
    </row>
    <row r="4016">
      <c r="A4016" t="inlineStr">
        <is>
          <t>15 Apr 2026 / 8040 S6 Tree specialists Ltd</t>
        </is>
      </c>
      <c r="B4016" t="inlineStr">
        <is>
          <t>Infrastructure &amp; Utilities</t>
        </is>
      </c>
      <c r="C4016" t="inlineStr">
        <is>
          <t>UKPN</t>
        </is>
      </c>
      <c r="D4016" t="inlineStr">
        <is>
          <t>GY08 RVC , 4x4 MEWP , Land Rover , Defender</t>
        </is>
      </c>
      <c r="E4016" t="inlineStr">
        <is>
          <t>GY08 RVC , 4x4 MEWP , Land Rover , Defender</t>
        </is>
      </c>
      <c r="F4016" t="inlineStr">
        <is>
          <t>GY08 RVC , 4x4 MEWP , Land Rover , Defender</t>
        </is>
      </c>
      <c r="G4016" t="inlineStr">
        <is>
          <t>Luke</t>
        </is>
      </c>
      <c r="H4016" t="inlineStr">
        <is>
          <t>4x4</t>
        </is>
      </c>
      <c r="I4016" t="inlineStr">
        <is>
          <t>Daily/ Weekly Vehicle Inspection</t>
        </is>
      </c>
      <c r="J4016" t="inlineStr">
        <is>
          <t>N/A</t>
        </is>
      </c>
      <c r="K4016" t="inlineStr">
        <is>
          <t>8040 S6 Tree specialists Ltd</t>
        </is>
      </c>
      <c r="L4016" t="inlineStr">
        <is>
          <t>15/04/2026 07:51</t>
        </is>
      </c>
      <c r="M4016" t="inlineStr">
        <is>
          <t>None</t>
        </is>
      </c>
      <c r="N4016" t="inlineStr">
        <is>
          <t>&lt;p&gt;&lt;/p&gt;</t>
        </is>
      </c>
      <c r="O4016" t="inlineStr"/>
      <c r="P4016" t="inlineStr">
        <is>
          <t>GY08 RVC , 4x4 MEWP , Land Rover , Defender</t>
        </is>
      </c>
      <c r="Q4016" t="inlineStr">
        <is>
          <t>UKPN</t>
        </is>
      </c>
      <c r="R4016" t="b">
        <v>0</v>
      </c>
    </row>
    <row r="4017">
      <c r="A4017" t="inlineStr">
        <is>
          <t>15 Apr 2026 / Joshua Atkins</t>
        </is>
      </c>
      <c r="B4017" t="inlineStr">
        <is>
          <t>Infrastructure &amp; Utilities</t>
        </is>
      </c>
      <c r="C4017" t="inlineStr">
        <is>
          <t>UKPN</t>
        </is>
      </c>
      <c r="D4017" t="inlineStr">
        <is>
          <t>YX24TWG , Car - Electric , Kia , E-Niro</t>
        </is>
      </c>
      <c r="E4017" t="inlineStr">
        <is>
          <t>YX24TWG , Car - Electric , Kia , E-Niro</t>
        </is>
      </c>
      <c r="F4017" t="inlineStr">
        <is>
          <t>YX24TWG , Car - Electric , Kia , E-Niro</t>
        </is>
      </c>
      <c r="G4017" t="inlineStr">
        <is>
          <t>Josh Atkins</t>
        </is>
      </c>
      <c r="H4017" t="inlineStr">
        <is>
          <t>Car - Electric (GC Owned)</t>
        </is>
      </c>
      <c r="I4017" t="inlineStr">
        <is>
          <t>Daily/ Weekly Vehicle Inspection</t>
        </is>
      </c>
      <c r="J4017" t="inlineStr">
        <is>
          <t>N/A</t>
        </is>
      </c>
      <c r="K4017" t="inlineStr">
        <is>
          <t>Joshua Atkins</t>
        </is>
      </c>
      <c r="L4017" t="inlineStr">
        <is>
          <t>15/04/2026 07:53</t>
        </is>
      </c>
      <c r="M4017" t="inlineStr">
        <is>
          <t>None</t>
        </is>
      </c>
      <c r="N4017" t="inlineStr">
        <is>
          <t>&lt;p&gt;&lt;/p&gt;</t>
        </is>
      </c>
      <c r="O4017" t="inlineStr"/>
      <c r="P4017" t="inlineStr">
        <is>
          <t>YX24TWG , Car - Electric , Kia , E-Niro</t>
        </is>
      </c>
      <c r="Q4017" t="inlineStr">
        <is>
          <t>UKPN</t>
        </is>
      </c>
      <c r="R4017" t="b">
        <v>0</v>
      </c>
    </row>
    <row r="4018">
      <c r="A4018" t="inlineStr">
        <is>
          <t>15 Apr 2026 / 7186 Eastwoodbury Tree Services Ltd</t>
        </is>
      </c>
      <c r="B4018" t="inlineStr">
        <is>
          <t>Infrastructure &amp; Utilities</t>
        </is>
      </c>
      <c r="C4018" t="inlineStr">
        <is>
          <t>UKPN</t>
        </is>
      </c>
      <c r="D4018" t="inlineStr">
        <is>
          <t>FX14 XCV , 4x4 , Land Rover  , Defender</t>
        </is>
      </c>
      <c r="E4018" t="inlineStr">
        <is>
          <t>FX14 XCV , 4x4 , Land Rover  , Defender</t>
        </is>
      </c>
      <c r="F4018" t="inlineStr">
        <is>
          <t>FX14 XCV , 4x4 , Land Rover  , Defender</t>
        </is>
      </c>
      <c r="G4018" t="inlineStr">
        <is>
          <t xml:space="preserve">Luke Williams </t>
        </is>
      </c>
      <c r="H4018" t="inlineStr">
        <is>
          <t>4x4</t>
        </is>
      </c>
      <c r="I4018" t="inlineStr">
        <is>
          <t>Daily/ Weekly Vehicle Inspection</t>
        </is>
      </c>
      <c r="J4018" t="inlineStr">
        <is>
          <t>N/A</t>
        </is>
      </c>
      <c r="K4018" t="inlineStr">
        <is>
          <t>7186 Eastwoodbury Tree Services Ltd</t>
        </is>
      </c>
      <c r="L4018" t="inlineStr">
        <is>
          <t>15/04/2026 07:53</t>
        </is>
      </c>
      <c r="M4018" t="inlineStr">
        <is>
          <t>None</t>
        </is>
      </c>
      <c r="N4018" t="inlineStr">
        <is>
          <t>&lt;p&gt;&lt;/p&gt;</t>
        </is>
      </c>
      <c r="O4018" t="inlineStr"/>
      <c r="P4018" t="inlineStr">
        <is>
          <t>FX14 XCV , 4x4 , Land Rover  , Defender</t>
        </is>
      </c>
      <c r="Q4018" t="inlineStr">
        <is>
          <t>UKPN</t>
        </is>
      </c>
      <c r="R4018" t="b">
        <v>0</v>
      </c>
    </row>
    <row r="4019">
      <c r="A4019" t="inlineStr">
        <is>
          <t>15 Apr 2026 / 7186 Eastwoodbury Tree Services Ltd</t>
        </is>
      </c>
      <c r="B4019" t="inlineStr">
        <is>
          <t>Infrastructure &amp; Utilities</t>
        </is>
      </c>
      <c r="C4019" t="inlineStr">
        <is>
          <t>UKPN</t>
        </is>
      </c>
      <c r="D4019" t="inlineStr">
        <is>
          <t>WF13 EKT , 4x4 , Land rover  , Defender</t>
        </is>
      </c>
      <c r="E4019" t="inlineStr">
        <is>
          <t>WF13 EKT , 4x4 , Land rover  , Defender</t>
        </is>
      </c>
      <c r="F4019" t="inlineStr">
        <is>
          <t>WF13 EKT , 4x4 , Land rover  , Defender</t>
        </is>
      </c>
      <c r="G4019" t="inlineStr">
        <is>
          <t xml:space="preserve">Dan Gilbert </t>
        </is>
      </c>
      <c r="H4019" t="inlineStr">
        <is>
          <t>4x4</t>
        </is>
      </c>
      <c r="I4019" t="inlineStr">
        <is>
          <t>Daily/ Weekly Vehicle Inspection</t>
        </is>
      </c>
      <c r="J4019" t="inlineStr">
        <is>
          <t>N/A</t>
        </is>
      </c>
      <c r="K4019" t="inlineStr">
        <is>
          <t>7186 Eastwoodbury Tree Services Ltd</t>
        </is>
      </c>
      <c r="L4019" t="inlineStr">
        <is>
          <t>15/04/2026 07:54</t>
        </is>
      </c>
      <c r="M4019" t="inlineStr">
        <is>
          <t>None</t>
        </is>
      </c>
      <c r="N4019" t="inlineStr">
        <is>
          <t>&lt;p&gt;&lt;/p&gt;</t>
        </is>
      </c>
      <c r="O4019" t="inlineStr"/>
      <c r="P4019" t="inlineStr">
        <is>
          <t>WF13 EKT , 4x4 , Land rover  , Defender</t>
        </is>
      </c>
      <c r="Q4019" t="inlineStr">
        <is>
          <t>UKPN</t>
        </is>
      </c>
      <c r="R4019" t="b">
        <v>0</v>
      </c>
    </row>
    <row r="4020">
      <c r="A4020" t="inlineStr">
        <is>
          <t>15 Apr 2026 / 7806 Optimum Tree Services Ltd</t>
        </is>
      </c>
      <c r="B4020" t="inlineStr">
        <is>
          <t>Infrastructure &amp; Utilities</t>
        </is>
      </c>
      <c r="C4020" t="inlineStr">
        <is>
          <t>UKPN</t>
        </is>
      </c>
      <c r="D4020" t="inlineStr">
        <is>
          <t>SA9st6p0001283093 , Towed Chipper , Forst  , St6pHD</t>
        </is>
      </c>
      <c r="E4020" t="inlineStr">
        <is>
          <t>SA9st6p0001283093 , Towed Chipper , Forst  , St6pHD</t>
        </is>
      </c>
      <c r="F4020" t="inlineStr">
        <is>
          <t>SA9st6p0001283093 , Towed Chipper , Forst  , St6pHD</t>
        </is>
      </c>
      <c r="G4020" t="inlineStr">
        <is>
          <t xml:space="preserve">Abraham Davies </t>
        </is>
      </c>
      <c r="H4020" t="inlineStr">
        <is>
          <t>Towed Chipper</t>
        </is>
      </c>
      <c r="I4020" t="inlineStr">
        <is>
          <t>Daily/ Weekly Vehicle Inspection</t>
        </is>
      </c>
      <c r="J4020" t="inlineStr">
        <is>
          <t>N/A</t>
        </is>
      </c>
      <c r="K4020" t="inlineStr">
        <is>
          <t>7806 Optimum Tree Services Ltd</t>
        </is>
      </c>
      <c r="L4020" t="inlineStr">
        <is>
          <t>15/04/2026 07:55</t>
        </is>
      </c>
      <c r="M4020" t="inlineStr">
        <is>
          <t>None</t>
        </is>
      </c>
      <c r="N4020" t="inlineStr">
        <is>
          <t>&lt;p&gt;&lt;/p&gt;</t>
        </is>
      </c>
      <c r="O4020" t="inlineStr"/>
      <c r="P4020" t="inlineStr">
        <is>
          <t>SA9st6p0001283093 , Towed Chipper , Forst  , St6pHD</t>
        </is>
      </c>
      <c r="Q4020" t="inlineStr">
        <is>
          <t>UKPN</t>
        </is>
      </c>
      <c r="R4020" t="b">
        <v>0</v>
      </c>
    </row>
    <row r="4021">
      <c r="A4021" t="inlineStr">
        <is>
          <t>15 Apr 2026 / 7806 Optimum Tree Services Ltd</t>
        </is>
      </c>
      <c r="B4021" t="inlineStr">
        <is>
          <t>Infrastructure &amp; Utilities</t>
        </is>
      </c>
      <c r="C4021" t="inlineStr">
        <is>
          <t>UKPN</t>
        </is>
      </c>
      <c r="D4021" t="inlineStr">
        <is>
          <t>WD14EVB , MEWP , Land Rover , Defender</t>
        </is>
      </c>
      <c r="E4021" t="inlineStr">
        <is>
          <t>WD14EVB , MEWP , Land Rover , Defender</t>
        </is>
      </c>
      <c r="F4021" t="inlineStr">
        <is>
          <t>WD14EVB , MEWP , Land Rover , Defender</t>
        </is>
      </c>
      <c r="G4021" t="inlineStr">
        <is>
          <t xml:space="preserve">Abraham Davies </t>
        </is>
      </c>
      <c r="H4021" t="inlineStr">
        <is>
          <t>4x4</t>
        </is>
      </c>
      <c r="I4021" t="inlineStr">
        <is>
          <t>Daily/ Weekly Vehicle Inspection</t>
        </is>
      </c>
      <c r="J4021" t="inlineStr">
        <is>
          <t>N/A</t>
        </is>
      </c>
      <c r="K4021" t="inlineStr">
        <is>
          <t>7806 Optimum Tree Services Ltd</t>
        </is>
      </c>
      <c r="L4021" t="inlineStr">
        <is>
          <t>15/04/2026 07:56</t>
        </is>
      </c>
      <c r="M4021" t="inlineStr">
        <is>
          <t>None</t>
        </is>
      </c>
      <c r="N4021" t="inlineStr">
        <is>
          <t>&lt;p&gt;&lt;/p&gt;</t>
        </is>
      </c>
      <c r="O4021" t="inlineStr"/>
      <c r="P4021" t="inlineStr">
        <is>
          <t>WD14EVB , MEWP , Land Rover , Defender</t>
        </is>
      </c>
      <c r="Q4021" t="inlineStr">
        <is>
          <t>UKPN</t>
        </is>
      </c>
      <c r="R4021" t="b">
        <v>0</v>
      </c>
    </row>
    <row r="4022">
      <c r="A4022" t="inlineStr">
        <is>
          <t>15 Apr 2026 / 7806 Optimum Tree Services Ltd</t>
        </is>
      </c>
      <c r="B4022" t="inlineStr">
        <is>
          <t>Infrastructure &amp; Utilities</t>
        </is>
      </c>
      <c r="C4022" t="inlineStr">
        <is>
          <t>UKPN</t>
        </is>
      </c>
      <c r="D4022" t="inlineStr">
        <is>
          <t>Wd14evn , 4x4 , Landrover  , Defender</t>
        </is>
      </c>
      <c r="E4022" t="inlineStr">
        <is>
          <t>Wd14evn , 4x4 , Landrover  , Defender</t>
        </is>
      </c>
      <c r="F4022" t="inlineStr">
        <is>
          <t>Wd14evn , 4x4 , Landrover  , Defender</t>
        </is>
      </c>
      <c r="G4022" t="inlineStr">
        <is>
          <t xml:space="preserve">Abraham Davies </t>
        </is>
      </c>
      <c r="H4022" t="inlineStr">
        <is>
          <t>4x4</t>
        </is>
      </c>
      <c r="I4022" t="inlineStr">
        <is>
          <t>Daily/ Weekly Vehicle Inspection</t>
        </is>
      </c>
      <c r="J4022" t="inlineStr">
        <is>
          <t>N/A</t>
        </is>
      </c>
      <c r="K4022" t="inlineStr">
        <is>
          <t>7806 Optimum Tree Services Ltd</t>
        </is>
      </c>
      <c r="L4022" t="inlineStr">
        <is>
          <t>15/04/2026 07:56</t>
        </is>
      </c>
      <c r="M4022" t="inlineStr">
        <is>
          <t>None</t>
        </is>
      </c>
      <c r="N4022" t="inlineStr">
        <is>
          <t>&lt;p&gt;&lt;/p&gt;</t>
        </is>
      </c>
      <c r="O4022" t="inlineStr"/>
      <c r="P4022" t="inlineStr">
        <is>
          <t>Wd14evn , 4x4 , Landrover  , Defender</t>
        </is>
      </c>
      <c r="Q4022" t="inlineStr">
        <is>
          <t>UKPN</t>
        </is>
      </c>
      <c r="R4022" t="b">
        <v>0</v>
      </c>
    </row>
    <row r="4023">
      <c r="A4023" t="inlineStr">
        <is>
          <t>15 Apr 2026 / 7996 M G Tree Surgery Ltd 1</t>
        </is>
      </c>
      <c r="B4023" t="inlineStr">
        <is>
          <t>Infrastructure &amp; Utilities</t>
        </is>
      </c>
      <c r="C4023" t="inlineStr">
        <is>
          <t>UKPN</t>
        </is>
      </c>
      <c r="D4023" t="inlineStr"/>
      <c r="E4023" t="inlineStr"/>
      <c r="F4023" t="inlineStr"/>
      <c r="G4023" t="inlineStr">
        <is>
          <t xml:space="preserve">Anthony Gale </t>
        </is>
      </c>
      <c r="H4023" t="inlineStr">
        <is>
          <t>Towed Chipper</t>
        </is>
      </c>
      <c r="I4023" t="inlineStr">
        <is>
          <t>Daily/ Weekly Vehicle Inspection</t>
        </is>
      </c>
      <c r="J4023" t="inlineStr">
        <is>
          <t>N/A</t>
        </is>
      </c>
      <c r="K4023" t="inlineStr">
        <is>
          <t>7996 M G Tree Surgery Ltd 1</t>
        </is>
      </c>
      <c r="L4023" t="inlineStr">
        <is>
          <t>15/04/2026 07:57</t>
        </is>
      </c>
      <c r="M4023" t="inlineStr">
        <is>
          <t>None</t>
        </is>
      </c>
      <c r="N4023" t="inlineStr">
        <is>
          <t>&lt;p&gt;&lt;/p&gt;</t>
        </is>
      </c>
      <c r="O4023" t="inlineStr"/>
      <c r="P4023" t="inlineStr"/>
      <c r="Q4023" t="inlineStr">
        <is>
          <t>UKPN</t>
        </is>
      </c>
      <c r="R4023" t="b">
        <v>0</v>
      </c>
    </row>
    <row r="4024">
      <c r="A4024" t="inlineStr">
        <is>
          <t>15 Apr 2026 / 7996 M G Tree Surgery Ltd 1</t>
        </is>
      </c>
      <c r="B4024" t="inlineStr">
        <is>
          <t>Infrastructure &amp; Utilities</t>
        </is>
      </c>
      <c r="C4024" t="inlineStr">
        <is>
          <t>UKPN</t>
        </is>
      </c>
      <c r="D4024" t="inlineStr">
        <is>
          <t>KX20 BCE , Tipper , Isuzu , D-Max</t>
        </is>
      </c>
      <c r="E4024" t="inlineStr">
        <is>
          <t>KX20 BCE , Tipper , Isuzu , D-Max</t>
        </is>
      </c>
      <c r="F4024" t="inlineStr">
        <is>
          <t>KX20 BCE , Tipper , Isuzu , D-Max</t>
        </is>
      </c>
      <c r="G4024" t="inlineStr">
        <is>
          <t xml:space="preserve">Anthony Gale </t>
        </is>
      </c>
      <c r="H4024" t="inlineStr">
        <is>
          <t>Pickup Truck</t>
        </is>
      </c>
      <c r="I4024" t="inlineStr">
        <is>
          <t>Daily/ Weekly Vehicle Inspection</t>
        </is>
      </c>
      <c r="J4024" t="inlineStr">
        <is>
          <t>N/A</t>
        </is>
      </c>
      <c r="K4024" t="inlineStr">
        <is>
          <t>7996 M G Tree Surgery Ltd 1</t>
        </is>
      </c>
      <c r="L4024" t="inlineStr">
        <is>
          <t>15/04/2026 07:58</t>
        </is>
      </c>
      <c r="M4024" t="inlineStr">
        <is>
          <t>None</t>
        </is>
      </c>
      <c r="N4024" t="inlineStr">
        <is>
          <t>&lt;p&gt;&lt;/p&gt;</t>
        </is>
      </c>
      <c r="O4024" t="inlineStr"/>
      <c r="P4024" t="inlineStr">
        <is>
          <t>KX20 BCE , Tipper , Isuzu , D-Max</t>
        </is>
      </c>
      <c r="Q4024" t="inlineStr">
        <is>
          <t>UKPN</t>
        </is>
      </c>
      <c r="R4024" t="b">
        <v>0</v>
      </c>
    </row>
    <row r="4025">
      <c r="A4025" t="inlineStr">
        <is>
          <t>15 Apr 2026 / 8148 Hope Ground and Tree Care</t>
        </is>
      </c>
      <c r="B4025" t="inlineStr">
        <is>
          <t>Infrastructure &amp; Utilities</t>
        </is>
      </c>
      <c r="C4025" t="inlineStr">
        <is>
          <t>UKPN</t>
        </is>
      </c>
      <c r="D4025" t="inlineStr">
        <is>
          <t>S6 NWX , MEWP , Isuzu , D-Max</t>
        </is>
      </c>
      <c r="E4025" t="inlineStr">
        <is>
          <t>S6 NWX , MEWP , Isuzu , D-Max</t>
        </is>
      </c>
      <c r="F4025" t="inlineStr">
        <is>
          <t>S6 NWX , MEWP , Isuzu , D-Max</t>
        </is>
      </c>
      <c r="G4025" t="inlineStr">
        <is>
          <t xml:space="preserve">Hope </t>
        </is>
      </c>
      <c r="H4025" t="inlineStr">
        <is>
          <t>4x4</t>
        </is>
      </c>
      <c r="I4025" t="inlineStr">
        <is>
          <t>Daily/ Weekly Vehicle Inspection</t>
        </is>
      </c>
      <c r="J4025" t="inlineStr">
        <is>
          <t>N/A</t>
        </is>
      </c>
      <c r="K4025" t="inlineStr">
        <is>
          <t>8148 Hope Ground and Tree Care</t>
        </is>
      </c>
      <c r="L4025" t="inlineStr">
        <is>
          <t>15/04/2026 08:49</t>
        </is>
      </c>
      <c r="M4025" t="inlineStr">
        <is>
          <t>None</t>
        </is>
      </c>
      <c r="N4025" t="inlineStr">
        <is>
          <t>&lt;p&gt;&lt;/p&gt;</t>
        </is>
      </c>
      <c r="O4025" t="inlineStr"/>
      <c r="P4025" t="inlineStr">
        <is>
          <t>S6 NWX , MEWP , Isuzu , D-Max</t>
        </is>
      </c>
      <c r="Q4025" t="inlineStr">
        <is>
          <t>UKPN</t>
        </is>
      </c>
      <c r="R4025" t="b">
        <v>0</v>
      </c>
    </row>
    <row r="4026">
      <c r="A4026" t="inlineStr">
        <is>
          <t>15 Apr 2026 / 7951 Austin Tree Care LTD 1</t>
        </is>
      </c>
      <c r="B4026" t="inlineStr">
        <is>
          <t>Infrastructure &amp; Utilities</t>
        </is>
      </c>
      <c r="C4026" t="inlineStr">
        <is>
          <t>UKPN</t>
        </is>
      </c>
      <c r="D4026" t="inlineStr">
        <is>
          <t>WG64HTT , 4x4 , Land Rover , Defender 110</t>
        </is>
      </c>
      <c r="E4026" t="inlineStr">
        <is>
          <t>WG64HTT , 4x4 , Land Rover , Defender 110</t>
        </is>
      </c>
      <c r="F4026" t="inlineStr">
        <is>
          <t>WG64HTT , 4x4 , Land Rover , Defender 110</t>
        </is>
      </c>
      <c r="G4026" t="inlineStr">
        <is>
          <t xml:space="preserve">Jack Austin </t>
        </is>
      </c>
      <c r="H4026" t="inlineStr">
        <is>
          <t>Towed Chipper</t>
        </is>
      </c>
      <c r="I4026" t="inlineStr">
        <is>
          <t>Daily/ Weekly Vehicle Inspection</t>
        </is>
      </c>
      <c r="J4026" t="inlineStr">
        <is>
          <t>N/A</t>
        </is>
      </c>
      <c r="K4026" t="inlineStr">
        <is>
          <t>7951 Austin Tree Care LTD 1</t>
        </is>
      </c>
      <c r="L4026" t="inlineStr">
        <is>
          <t>15/04/2026 08:51</t>
        </is>
      </c>
      <c r="M4026" t="inlineStr">
        <is>
          <t>None</t>
        </is>
      </c>
      <c r="N4026" t="inlineStr">
        <is>
          <t>&lt;p&gt;&lt;/p&gt;</t>
        </is>
      </c>
      <c r="O4026" t="inlineStr"/>
      <c r="P4026" t="inlineStr">
        <is>
          <t>WG64HTT , 4x4 , Land Rover , Defender 110</t>
        </is>
      </c>
      <c r="Q4026" t="inlineStr">
        <is>
          <t>UKPN</t>
        </is>
      </c>
      <c r="R4026" t="b">
        <v>0</v>
      </c>
    </row>
    <row r="4027">
      <c r="A4027" t="inlineStr">
        <is>
          <t>15 Apr 2026 / Luke Power</t>
        </is>
      </c>
      <c r="B4027" t="inlineStr">
        <is>
          <t>Infrastructure &amp; Utilities</t>
        </is>
      </c>
      <c r="C4027" t="inlineStr">
        <is>
          <t>NGED</t>
        </is>
      </c>
      <c r="D4027" t="inlineStr"/>
      <c r="E4027" t="inlineStr"/>
      <c r="F4027" t="inlineStr"/>
      <c r="G4027" t="inlineStr">
        <is>
          <t>Luke power</t>
        </is>
      </c>
      <c r="H4027" t="inlineStr">
        <is>
          <t>Van</t>
        </is>
      </c>
      <c r="I4027" t="inlineStr">
        <is>
          <t>Daily/ Weekly Vehicle Inspection</t>
        </is>
      </c>
      <c r="J4027" t="inlineStr">
        <is>
          <t>N/A</t>
        </is>
      </c>
      <c r="K4027" t="inlineStr">
        <is>
          <t>Luke Power</t>
        </is>
      </c>
      <c r="L4027" t="inlineStr">
        <is>
          <t>15/04/2026 09:51</t>
        </is>
      </c>
      <c r="M4027" t="inlineStr">
        <is>
          <t>None</t>
        </is>
      </c>
      <c r="N4027" t="inlineStr">
        <is>
          <t>&lt;p&gt;&lt;/p&gt;</t>
        </is>
      </c>
      <c r="O4027" t="inlineStr">
        <is>
          <t>Is this a hired Vehicle?:Arnold clark
-</t>
        </is>
      </c>
      <c r="P4027" t="inlineStr"/>
      <c r="Q4027" t="inlineStr">
        <is>
          <t>NGED</t>
        </is>
      </c>
      <c r="R4027" t="b">
        <v>0</v>
      </c>
    </row>
    <row r="4028">
      <c r="A4028" t="inlineStr">
        <is>
          <t>15 Apr 2026 / Gerard Hendry</t>
        </is>
      </c>
      <c r="B4028" t="inlineStr">
        <is>
          <t>Infrastructure &amp; Utilities</t>
        </is>
      </c>
      <c r="C4028" t="inlineStr">
        <is>
          <t>SSE</t>
        </is>
      </c>
      <c r="D4028" t="inlineStr"/>
      <c r="E4028" t="inlineStr"/>
      <c r="F4028" t="inlineStr"/>
      <c r="G4028" t="inlineStr">
        <is>
          <t>Gerard Hendry</t>
        </is>
      </c>
      <c r="H4028" t="inlineStr">
        <is>
          <t>Car - Petrol</t>
        </is>
      </c>
      <c r="I4028" t="inlineStr">
        <is>
          <t>Daily/ Weekly Vehicle Inspection</t>
        </is>
      </c>
      <c r="J4028" t="inlineStr">
        <is>
          <t>N/A</t>
        </is>
      </c>
      <c r="K4028" t="inlineStr">
        <is>
          <t>Gerard Hendry</t>
        </is>
      </c>
      <c r="L4028" t="inlineStr">
        <is>
          <t>15/04/2026 09:52</t>
        </is>
      </c>
      <c r="M4028" t="inlineStr">
        <is>
          <t>None</t>
        </is>
      </c>
      <c r="N4028" t="inlineStr">
        <is>
          <t>&lt;p&gt;&lt;/p&gt;</t>
        </is>
      </c>
      <c r="O4028" t="inlineStr"/>
      <c r="P4028" t="inlineStr"/>
      <c r="Q4028" t="inlineStr">
        <is>
          <t>SSE</t>
        </is>
      </c>
      <c r="R4028" t="b">
        <v>0</v>
      </c>
    </row>
    <row r="4029">
      <c r="A4029" t="inlineStr">
        <is>
          <t>15 Apr 2026 / Richard Moses</t>
        </is>
      </c>
      <c r="B4029" t="inlineStr">
        <is>
          <t>Infrastructure &amp; Utilities</t>
        </is>
      </c>
      <c r="C4029" t="inlineStr">
        <is>
          <t>NGED</t>
        </is>
      </c>
      <c r="D4029" t="inlineStr">
        <is>
          <t>AK23YLM , Car - Electric , Tesla , Model Y Long Range</t>
        </is>
      </c>
      <c r="E4029" t="inlineStr">
        <is>
          <t>AK23YLM , Car - Electric , Tesla , Model Y Long Range</t>
        </is>
      </c>
      <c r="F4029" t="inlineStr">
        <is>
          <t>AK23YLM , Car - Electric , Tesla , Model Y Long Range</t>
        </is>
      </c>
      <c r="G4029" t="inlineStr">
        <is>
          <t>Moses</t>
        </is>
      </c>
      <c r="H4029" t="inlineStr">
        <is>
          <t>Car - Electric (GC Owned)</t>
        </is>
      </c>
      <c r="I4029" t="inlineStr">
        <is>
          <t>Daily/ Weekly Vehicle Inspection</t>
        </is>
      </c>
      <c r="J4029" t="inlineStr">
        <is>
          <t>N/A</t>
        </is>
      </c>
      <c r="K4029" t="inlineStr">
        <is>
          <t>Richard Moses</t>
        </is>
      </c>
      <c r="L4029" t="inlineStr">
        <is>
          <t>15/04/2026 12:52</t>
        </is>
      </c>
      <c r="M4029" t="inlineStr">
        <is>
          <t>None</t>
        </is>
      </c>
      <c r="N4029" t="inlineStr">
        <is>
          <t>&lt;p&gt;&lt;/p&gt;</t>
        </is>
      </c>
      <c r="O4029" t="inlineStr">
        <is>
          <t>Confirm that you have checked this vehicle as per the guidance document and the vehicle is safe and roadworthy:MOT booked following prompt by Holman
-</t>
        </is>
      </c>
      <c r="P4029" t="inlineStr">
        <is>
          <t>AK23YLM , Car - Electric , Tesla , Model Y Long Range</t>
        </is>
      </c>
      <c r="Q4029" t="inlineStr">
        <is>
          <t>NGED</t>
        </is>
      </c>
      <c r="R4029" t="b">
        <v>0</v>
      </c>
    </row>
    <row r="4030">
      <c r="A4030" t="inlineStr">
        <is>
          <t>15 Apr 2026 / Mike Jackson</t>
        </is>
      </c>
      <c r="B4030" t="inlineStr">
        <is>
          <t>Infrastructure &amp; Utilities</t>
        </is>
      </c>
      <c r="C4030" t="inlineStr">
        <is>
          <t>NGED</t>
        </is>
      </c>
      <c r="D4030" t="inlineStr">
        <is>
          <t>GL71KYX , Car - Electric , Tesla , Model 3 Long Range AWD</t>
        </is>
      </c>
      <c r="E4030" t="inlineStr">
        <is>
          <t>GL71KYX , Car - Electric , Tesla , Model 3 Long Range AWD</t>
        </is>
      </c>
      <c r="F4030" t="inlineStr">
        <is>
          <t>GL71KYX , Car - Electric , Tesla , Model 3 Long Range AWD</t>
        </is>
      </c>
      <c r="G4030" t="inlineStr">
        <is>
          <t xml:space="preserve">Mike Jackson </t>
        </is>
      </c>
      <c r="H4030" t="inlineStr">
        <is>
          <t>Car - Electric (GC Owned)</t>
        </is>
      </c>
      <c r="I4030" t="inlineStr">
        <is>
          <t>Daily/ Weekly Vehicle Inspection</t>
        </is>
      </c>
      <c r="J4030" t="inlineStr">
        <is>
          <t>N/A</t>
        </is>
      </c>
      <c r="K4030" t="inlineStr">
        <is>
          <t>Mike Jackson</t>
        </is>
      </c>
      <c r="L4030" t="inlineStr">
        <is>
          <t>15/04/2026 15:49</t>
        </is>
      </c>
      <c r="M4030" t="inlineStr">
        <is>
          <t xml:space="preserve">Confirm that you have checked this vehicle as per the guidance document and the vehicle is safe and roadworthy: Fail
</t>
        </is>
      </c>
      <c r="N4030" t="inlineStr">
        <is>
          <t>&lt;p&gt;&lt;/p&gt;</t>
        </is>
      </c>
      <c r="O4030" t="inlineStr">
        <is>
          <t>Confirm that you have checked this vehicle as per the guidance document and the vehicle is safe and roadworthy:Front tyres inner tread depth very low.
-Is this vehicle safe to drive &amp; road legal:MJ will arrange new front tyres asap.
-</t>
        </is>
      </c>
      <c r="P4030" t="inlineStr">
        <is>
          <t>GL71KYX , Car - Electric , Tesla , Model 3 Long Range AWD</t>
        </is>
      </c>
      <c r="Q4030" t="inlineStr">
        <is>
          <t>NGED</t>
        </is>
      </c>
      <c r="R4030" t="b">
        <v>0</v>
      </c>
    </row>
    <row r="4031">
      <c r="A4031" t="inlineStr">
        <is>
          <t>15 Apr 2026 / Ashley Taylor</t>
        </is>
      </c>
      <c r="B4031" t="inlineStr">
        <is>
          <t>Infrastructure &amp; Utilities</t>
        </is>
      </c>
      <c r="C4031" t="inlineStr">
        <is>
          <t>SSE</t>
        </is>
      </c>
      <c r="D4031" t="inlineStr">
        <is>
          <t>AF22XLX , Car - Electric , Tesla , Model 3 Long Range AWD</t>
        </is>
      </c>
      <c r="E4031" t="inlineStr">
        <is>
          <t>AF22XLX , Car - Electric , Tesla , Model 3 Long Range AWD</t>
        </is>
      </c>
      <c r="F4031" t="inlineStr">
        <is>
          <t>AF22XLX , Car - Electric , Tesla , Model 3 Long Range AWD</t>
        </is>
      </c>
      <c r="G4031" t="inlineStr">
        <is>
          <t xml:space="preserve">Ashley Taylor </t>
        </is>
      </c>
      <c r="H4031" t="inlineStr">
        <is>
          <t>Car - Electric (GC Owned)</t>
        </is>
      </c>
      <c r="I4031" t="inlineStr">
        <is>
          <t>Daily/ Weekly Vehicle Inspection</t>
        </is>
      </c>
      <c r="J4031" t="inlineStr">
        <is>
          <t>N/A</t>
        </is>
      </c>
      <c r="K4031" t="inlineStr">
        <is>
          <t>Ashley Taylor</t>
        </is>
      </c>
      <c r="L4031" t="inlineStr">
        <is>
          <t>15/04/2026 16:49</t>
        </is>
      </c>
      <c r="M4031" t="inlineStr">
        <is>
          <t>None</t>
        </is>
      </c>
      <c r="N4031" t="inlineStr">
        <is>
          <t>&lt;p&gt;&lt;/p&gt;</t>
        </is>
      </c>
      <c r="O4031" t="inlineStr"/>
      <c r="P4031" t="inlineStr">
        <is>
          <t>AF22XLX , Car - Electric , Tesla , Model 3 Long Range AWD</t>
        </is>
      </c>
      <c r="Q4031" t="inlineStr">
        <is>
          <t>SSE</t>
        </is>
      </c>
      <c r="R4031" t="b">
        <v>0</v>
      </c>
    </row>
    <row r="4032">
      <c r="A4032" t="inlineStr">
        <is>
          <t>15 Apr 2026 / Keil Cheung</t>
        </is>
      </c>
      <c r="B4032" t="inlineStr">
        <is>
          <t>Infrastructure &amp; Utilities</t>
        </is>
      </c>
      <c r="C4032" t="inlineStr">
        <is>
          <t>NGED</t>
        </is>
      </c>
      <c r="D4032" t="inlineStr">
        <is>
          <t>GJ71KHV , Car - Electric , Tesla , Model 3 Long Range AWD</t>
        </is>
      </c>
      <c r="E4032" t="inlineStr">
        <is>
          <t>GJ71KHV , Car - Electric , Tesla , Model 3 Long Range AWD</t>
        </is>
      </c>
      <c r="F4032" t="inlineStr">
        <is>
          <t>GJ71KHV , Car - Electric , Tesla , Model 3 Long Range AWD</t>
        </is>
      </c>
      <c r="G4032" t="inlineStr">
        <is>
          <t>Keil cheung</t>
        </is>
      </c>
      <c r="H4032" t="inlineStr">
        <is>
          <t>Car - Electric (GC Owned)</t>
        </is>
      </c>
      <c r="I4032" t="inlineStr">
        <is>
          <t>Daily/ Weekly Vehicle Inspection</t>
        </is>
      </c>
      <c r="J4032" t="inlineStr">
        <is>
          <t>N/A</t>
        </is>
      </c>
      <c r="K4032" t="inlineStr">
        <is>
          <t>Keil Cheung</t>
        </is>
      </c>
      <c r="L4032" t="inlineStr">
        <is>
          <t>15/04/2026 19:49</t>
        </is>
      </c>
      <c r="M4032" t="inlineStr">
        <is>
          <t>None</t>
        </is>
      </c>
      <c r="N4032" t="inlineStr">
        <is>
          <t>&lt;p&gt;&lt;/p&gt;</t>
        </is>
      </c>
      <c r="O4032" t="inlineStr"/>
      <c r="P4032" t="inlineStr">
        <is>
          <t>GJ71KHV , Car - Electric , Tesla , Model 3 Long Range AWD</t>
        </is>
      </c>
      <c r="Q4032" t="inlineStr">
        <is>
          <t>NGED</t>
        </is>
      </c>
      <c r="R4032" t="b">
        <v>0</v>
      </c>
    </row>
    <row r="4033">
      <c r="A4033" t="inlineStr">
        <is>
          <t>15 Apr 2026 / Kevin Miller</t>
        </is>
      </c>
      <c r="B4033" t="inlineStr">
        <is>
          <t>Infrastructure &amp; Utilities</t>
        </is>
      </c>
      <c r="C4033" t="inlineStr">
        <is>
          <t>UKPN</t>
        </is>
      </c>
      <c r="D4033" t="inlineStr">
        <is>
          <t>EO73KUF , Car - Electric , Kia , Niro</t>
        </is>
      </c>
      <c r="E4033" t="inlineStr">
        <is>
          <t>EO73KUF , Car - Electric , Kia , Niro</t>
        </is>
      </c>
      <c r="F4033" t="inlineStr">
        <is>
          <t>EO73KUF , Car - Electric , Kia , Niro</t>
        </is>
      </c>
      <c r="G4033" t="inlineStr">
        <is>
          <t xml:space="preserve">Kevin Miller </t>
        </is>
      </c>
      <c r="H4033" t="inlineStr">
        <is>
          <t>Car - Electric (GC Owned)</t>
        </is>
      </c>
      <c r="I4033" t="inlineStr">
        <is>
          <t>Daily/ Weekly Vehicle Inspection</t>
        </is>
      </c>
      <c r="J4033" t="inlineStr">
        <is>
          <t>N/A</t>
        </is>
      </c>
      <c r="K4033" t="inlineStr">
        <is>
          <t>Kevin Miller</t>
        </is>
      </c>
      <c r="L4033" t="inlineStr">
        <is>
          <t>15/04/2026 20:48</t>
        </is>
      </c>
      <c r="M4033" t="inlineStr">
        <is>
          <t>None</t>
        </is>
      </c>
      <c r="N4033" t="inlineStr">
        <is>
          <t>&lt;p&gt;&lt;/p&gt;</t>
        </is>
      </c>
      <c r="O4033" t="inlineStr"/>
      <c r="P4033" t="inlineStr">
        <is>
          <t>EO73KUF , Car - Electric , Kia , Niro</t>
        </is>
      </c>
      <c r="Q4033" t="inlineStr">
        <is>
          <t>UKPN</t>
        </is>
      </c>
      <c r="R4033" t="b">
        <v>0</v>
      </c>
    </row>
    <row r="4034">
      <c r="A4034" t="inlineStr">
        <is>
          <t>16 Apr 2026 / 7996 M G Tree Surgery Ltd</t>
        </is>
      </c>
      <c r="B4034" t="inlineStr">
        <is>
          <t>Infrastructure &amp; Utilities</t>
        </is>
      </c>
      <c r="C4034" t="inlineStr">
        <is>
          <t>UKPN</t>
        </is>
      </c>
      <c r="D4034" t="inlineStr">
        <is>
          <t>GU13 WNL , MEWP , Land Rover , Defender 130</t>
        </is>
      </c>
      <c r="E4034" t="inlineStr">
        <is>
          <t>GU13 WNL , MEWP , Land Rover , Defender 130</t>
        </is>
      </c>
      <c r="F4034" t="inlineStr">
        <is>
          <t>GU13 WNL , MEWP , Land Rover , Defender 130</t>
        </is>
      </c>
      <c r="G4034" t="inlineStr">
        <is>
          <t>Max</t>
        </is>
      </c>
      <c r="H4034" t="inlineStr">
        <is>
          <t>4x4</t>
        </is>
      </c>
      <c r="I4034" t="inlineStr">
        <is>
          <t>Daily/ Weekly Vehicle Inspection</t>
        </is>
      </c>
      <c r="J4034" t="inlineStr">
        <is>
          <t>N/A</t>
        </is>
      </c>
      <c r="K4034" t="inlineStr">
        <is>
          <t>7996 M G Tree Surgery Ltd</t>
        </is>
      </c>
      <c r="L4034" t="inlineStr">
        <is>
          <t>16/04/2026 07:49</t>
        </is>
      </c>
      <c r="M4034" t="inlineStr">
        <is>
          <t>None</t>
        </is>
      </c>
      <c r="N4034" t="inlineStr">
        <is>
          <t>&lt;p&gt;&lt;/p&gt;</t>
        </is>
      </c>
      <c r="O4034" t="inlineStr"/>
      <c r="P4034" t="inlineStr">
        <is>
          <t>GU13 WNL , MEWP , Land Rover , Defender 130</t>
        </is>
      </c>
      <c r="Q4034" t="inlineStr">
        <is>
          <t>UKPN</t>
        </is>
      </c>
      <c r="R4034" t="b">
        <v>0</v>
      </c>
    </row>
    <row r="4035">
      <c r="A4035" t="inlineStr">
        <is>
          <t>16 Apr 2026 / 7186 Eastwoodbury Tree Services Ltd</t>
        </is>
      </c>
      <c r="B4035" t="inlineStr">
        <is>
          <t>Infrastructure &amp; Utilities</t>
        </is>
      </c>
      <c r="C4035" t="inlineStr">
        <is>
          <t>UKPN</t>
        </is>
      </c>
      <c r="D4035" t="inlineStr">
        <is>
          <t>WF13 EKM , 4x4 , Land rover  , Defenders</t>
        </is>
      </c>
      <c r="E4035" t="inlineStr">
        <is>
          <t>WF13 EKM , 4x4 , Land rover  , Defenders</t>
        </is>
      </c>
      <c r="F4035" t="inlineStr">
        <is>
          <t>WF13 EKM , 4x4 , Land rover  , Defenders</t>
        </is>
      </c>
      <c r="G4035" t="inlineStr">
        <is>
          <t xml:space="preserve">Tom Price </t>
        </is>
      </c>
      <c r="H4035" t="inlineStr">
        <is>
          <t>4x4</t>
        </is>
      </c>
      <c r="I4035" t="inlineStr">
        <is>
          <t>Daily/ Weekly Vehicle Inspection</t>
        </is>
      </c>
      <c r="J4035" t="inlineStr">
        <is>
          <t>N/A</t>
        </is>
      </c>
      <c r="K4035" t="inlineStr">
        <is>
          <t>7186 Eastwoodbury Tree Services Ltd</t>
        </is>
      </c>
      <c r="L4035" t="inlineStr">
        <is>
          <t>16/04/2026 07:49</t>
        </is>
      </c>
      <c r="M4035" t="inlineStr">
        <is>
          <t>None</t>
        </is>
      </c>
      <c r="N4035" t="inlineStr">
        <is>
          <t>&lt;p&gt;&lt;/p&gt;</t>
        </is>
      </c>
      <c r="O4035" t="inlineStr"/>
      <c r="P4035" t="inlineStr">
        <is>
          <t>WF13 EKM , 4x4 , Land rover  , Defenders</t>
        </is>
      </c>
      <c r="Q4035" t="inlineStr">
        <is>
          <t>UKPN</t>
        </is>
      </c>
      <c r="R4035" t="b">
        <v>0</v>
      </c>
    </row>
    <row r="4036">
      <c r="A4036" t="inlineStr">
        <is>
          <t>16 Apr 2026 / 7186 Eastwoodbury Tree Services Ltd</t>
        </is>
      </c>
      <c r="B4036" t="inlineStr">
        <is>
          <t>Infrastructure &amp; Utilities</t>
        </is>
      </c>
      <c r="C4036" t="inlineStr">
        <is>
          <t>UKPN</t>
        </is>
      </c>
      <c r="D4036" t="inlineStr">
        <is>
          <t>WF13 EKM , 4x4 , Land rover  , Defenders</t>
        </is>
      </c>
      <c r="E4036" t="inlineStr">
        <is>
          <t>WF13 EKM , 4x4 , Land rover  , Defenders</t>
        </is>
      </c>
      <c r="F4036" t="inlineStr">
        <is>
          <t>WF13 EKM , 4x4 , Land rover  , Defenders</t>
        </is>
      </c>
      <c r="G4036" t="inlineStr">
        <is>
          <t xml:space="preserve">Tom Price </t>
        </is>
      </c>
      <c r="H4036" t="inlineStr">
        <is>
          <t>4x4</t>
        </is>
      </c>
      <c r="I4036" t="inlineStr">
        <is>
          <t>Daily/ Weekly Vehicle Inspection</t>
        </is>
      </c>
      <c r="J4036" t="inlineStr">
        <is>
          <t>N/A</t>
        </is>
      </c>
      <c r="K4036" t="inlineStr">
        <is>
          <t>7186 Eastwoodbury Tree Services Ltd</t>
        </is>
      </c>
      <c r="L4036" t="inlineStr">
        <is>
          <t>16/04/2026 07:50</t>
        </is>
      </c>
      <c r="M4036" t="inlineStr">
        <is>
          <t>None</t>
        </is>
      </c>
      <c r="N4036" t="inlineStr">
        <is>
          <t>&lt;p&gt;&lt;/p&gt;</t>
        </is>
      </c>
      <c r="O4036" t="inlineStr"/>
      <c r="P4036" t="inlineStr">
        <is>
          <t>WF13 EKM , 4x4 , Land rover  , Defenders</t>
        </is>
      </c>
      <c r="Q4036" t="inlineStr">
        <is>
          <t>UKPN</t>
        </is>
      </c>
      <c r="R4036" t="b">
        <v>0</v>
      </c>
    </row>
    <row r="4037">
      <c r="A4037" t="inlineStr">
        <is>
          <t>16 Apr 2026 / 7995 Green Net Eco Ltd 2</t>
        </is>
      </c>
      <c r="B4037" t="inlineStr">
        <is>
          <t>Infrastructure &amp; Utilities</t>
        </is>
      </c>
      <c r="C4037" t="inlineStr">
        <is>
          <t>UKPN</t>
        </is>
      </c>
      <c r="D4037" t="inlineStr">
        <is>
          <t>SCK80000075030058 , Flat Bed Trailer , IFOR Williams , LM187G3</t>
        </is>
      </c>
      <c r="E4037" t="inlineStr">
        <is>
          <t>SCK80000075030058 , Flat Bed Trailer , IFOR Williams , LM187G3</t>
        </is>
      </c>
      <c r="F4037" t="inlineStr">
        <is>
          <t>SCK80000075030058 , Flat Bed Trailer , IFOR Williams , LM187G3</t>
        </is>
      </c>
      <c r="G4037" t="inlineStr">
        <is>
          <t>Thomas Playford</t>
        </is>
      </c>
      <c r="H4037" t="inlineStr">
        <is>
          <t>Plant Trailer</t>
        </is>
      </c>
      <c r="I4037" t="inlineStr">
        <is>
          <t>Daily/ Weekly Vehicle Inspection</t>
        </is>
      </c>
      <c r="J4037" t="inlineStr">
        <is>
          <t>N/A</t>
        </is>
      </c>
      <c r="K4037" t="inlineStr">
        <is>
          <t>7995 Green Net Eco Ltd 2</t>
        </is>
      </c>
      <c r="L4037" t="inlineStr">
        <is>
          <t>16/04/2026 07:50</t>
        </is>
      </c>
      <c r="M4037" t="inlineStr">
        <is>
          <t>None</t>
        </is>
      </c>
      <c r="N4037" t="inlineStr">
        <is>
          <t>&lt;p&gt;&lt;/p&gt;</t>
        </is>
      </c>
      <c r="O4037" t="inlineStr"/>
      <c r="P4037" t="inlineStr">
        <is>
          <t>SCK80000075030058 , Flat Bed Trailer , IFOR Williams , LM187G3</t>
        </is>
      </c>
      <c r="Q4037" t="inlineStr">
        <is>
          <t>UKPN</t>
        </is>
      </c>
      <c r="R4037" t="b">
        <v>0</v>
      </c>
    </row>
    <row r="4038">
      <c r="A4038" t="inlineStr">
        <is>
          <t>16 Apr 2026 / 7951 Austin Tree Care LTD</t>
        </is>
      </c>
      <c r="B4038" t="inlineStr">
        <is>
          <t>Infrastructure &amp; Utilities</t>
        </is>
      </c>
      <c r="C4038" t="inlineStr">
        <is>
          <t>UKPN</t>
        </is>
      </c>
      <c r="D4038" t="inlineStr">
        <is>
          <t>SA9ST6P0001283612 , Towed Chipper , Forst , ST6p</t>
        </is>
      </c>
      <c r="E4038" t="inlineStr">
        <is>
          <t>SA9ST6P0001283612 , Towed Chipper , Forst , ST6p</t>
        </is>
      </c>
      <c r="F4038" t="inlineStr">
        <is>
          <t>SA9ST6P0001283612 , Towed Chipper , Forst , ST6p</t>
        </is>
      </c>
      <c r="G4038" t="inlineStr">
        <is>
          <t xml:space="preserve">Jack Austin </t>
        </is>
      </c>
      <c r="H4038" t="inlineStr">
        <is>
          <t>Towed Chipper</t>
        </is>
      </c>
      <c r="I4038" t="inlineStr">
        <is>
          <t>Daily/ Weekly Vehicle Inspection</t>
        </is>
      </c>
      <c r="J4038" t="inlineStr">
        <is>
          <t>N/A</t>
        </is>
      </c>
      <c r="K4038" t="inlineStr">
        <is>
          <t>7951 Austin Tree Care LTD</t>
        </is>
      </c>
      <c r="L4038" t="inlineStr">
        <is>
          <t>16/04/2026 07:51</t>
        </is>
      </c>
      <c r="M4038" t="inlineStr">
        <is>
          <t>None</t>
        </is>
      </c>
      <c r="N4038" t="inlineStr">
        <is>
          <t>&lt;p&gt;&lt;/p&gt;</t>
        </is>
      </c>
      <c r="O4038" t="inlineStr"/>
      <c r="P4038" t="inlineStr">
        <is>
          <t>SA9ST6P0001283612 , Towed Chipper , Forst , ST6p</t>
        </is>
      </c>
      <c r="Q4038" t="inlineStr">
        <is>
          <t>UKPN</t>
        </is>
      </c>
      <c r="R4038" t="b">
        <v>0</v>
      </c>
    </row>
    <row r="4039">
      <c r="A4039" t="inlineStr">
        <is>
          <t>16 Apr 2026 / 7951 Austin Tree Care LTD</t>
        </is>
      </c>
      <c r="B4039" t="inlineStr">
        <is>
          <t>Infrastructure &amp; Utilities</t>
        </is>
      </c>
      <c r="C4039" t="inlineStr">
        <is>
          <t>UKPN</t>
        </is>
      </c>
      <c r="D4039" t="inlineStr">
        <is>
          <t>WG64HTT , 4x4 , Land Rover , Defender 110</t>
        </is>
      </c>
      <c r="E4039" t="inlineStr">
        <is>
          <t>WG64HTT , 4x4 , Land Rover , Defender 110</t>
        </is>
      </c>
      <c r="F4039" t="inlineStr">
        <is>
          <t>WG64HTT , 4x4 , Land Rover , Defender 110</t>
        </is>
      </c>
      <c r="G4039" t="inlineStr">
        <is>
          <t xml:space="preserve">Jack Austin </t>
        </is>
      </c>
      <c r="H4039" t="inlineStr">
        <is>
          <t>4x4</t>
        </is>
      </c>
      <c r="I4039" t="inlineStr">
        <is>
          <t>Daily/ Weekly Vehicle Inspection</t>
        </is>
      </c>
      <c r="J4039" t="inlineStr">
        <is>
          <t>N/A</t>
        </is>
      </c>
      <c r="K4039" t="inlineStr">
        <is>
          <t>7951 Austin Tree Care LTD</t>
        </is>
      </c>
      <c r="L4039" t="inlineStr">
        <is>
          <t>16/04/2026 07:52</t>
        </is>
      </c>
      <c r="M4039" t="inlineStr">
        <is>
          <t>None</t>
        </is>
      </c>
      <c r="N4039" t="inlineStr">
        <is>
          <t>&lt;p&gt;&lt;/p&gt;</t>
        </is>
      </c>
      <c r="O4039" t="inlineStr"/>
      <c r="P4039" t="inlineStr">
        <is>
          <t>WG64HTT , 4x4 , Land Rover , Defender 110</t>
        </is>
      </c>
      <c r="Q4039" t="inlineStr">
        <is>
          <t>UKPN</t>
        </is>
      </c>
      <c r="R4039" t="b">
        <v>0</v>
      </c>
    </row>
    <row r="4040">
      <c r="A4040" t="inlineStr">
        <is>
          <t>16 Apr 2026 / 7995 Green Net Eco Ltd 2</t>
        </is>
      </c>
      <c r="B4040" t="inlineStr">
        <is>
          <t>Infrastructure &amp; Utilities</t>
        </is>
      </c>
      <c r="C4040" t="inlineStr">
        <is>
          <t>UKPN</t>
        </is>
      </c>
      <c r="D4040" t="inlineStr">
        <is>
          <t>LK15KRZ , 4x4 , Landrover , Defender</t>
        </is>
      </c>
      <c r="E4040" t="inlineStr">
        <is>
          <t>LK15KRZ , 4x4 , Landrover , Defender</t>
        </is>
      </c>
      <c r="F4040" t="inlineStr">
        <is>
          <t>LK15KRZ , 4x4 , Landrover , Defender</t>
        </is>
      </c>
      <c r="G4040" t="inlineStr">
        <is>
          <t>Thomas Playford</t>
        </is>
      </c>
      <c r="H4040" t="inlineStr">
        <is>
          <t>4x4</t>
        </is>
      </c>
      <c r="I4040" t="inlineStr">
        <is>
          <t>Daily/ Weekly Vehicle Inspection</t>
        </is>
      </c>
      <c r="J4040" t="inlineStr">
        <is>
          <t>N/A</t>
        </is>
      </c>
      <c r="K4040" t="inlineStr">
        <is>
          <t>7995 Green Net Eco Ltd 2</t>
        </is>
      </c>
      <c r="L4040" t="inlineStr">
        <is>
          <t>16/04/2026 07:52</t>
        </is>
      </c>
      <c r="M4040" t="inlineStr">
        <is>
          <t>None</t>
        </is>
      </c>
      <c r="N4040" t="inlineStr">
        <is>
          <t>&lt;p&gt;&lt;/p&gt;</t>
        </is>
      </c>
      <c r="O4040" t="inlineStr"/>
      <c r="P4040" t="inlineStr">
        <is>
          <t>LK15KRZ , 4x4 , Landrover , Defender</t>
        </is>
      </c>
      <c r="Q4040" t="inlineStr">
        <is>
          <t>UKPN</t>
        </is>
      </c>
      <c r="R4040" t="b">
        <v>0</v>
      </c>
    </row>
    <row r="4041">
      <c r="A4041" t="inlineStr">
        <is>
          <t>16 Apr 2026 / Gary England</t>
        </is>
      </c>
      <c r="B4041" t="inlineStr">
        <is>
          <t>Infrastructure &amp; Utilities</t>
        </is>
      </c>
      <c r="C4041" t="inlineStr">
        <is>
          <t>NGED</t>
        </is>
      </c>
      <c r="D4041" t="inlineStr">
        <is>
          <t>GJ71KAO , Car - Electric , Tesla , Model 3 Long Range AWD</t>
        </is>
      </c>
      <c r="E4041" t="inlineStr">
        <is>
          <t>GJ71KAO , Car - Electric , Tesla , Model 3 Long Range AWD</t>
        </is>
      </c>
      <c r="F4041" t="inlineStr">
        <is>
          <t>GJ71KAO , Car - Electric , Tesla , Model 3 Long Range AWD</t>
        </is>
      </c>
      <c r="G4041" t="inlineStr">
        <is>
          <t xml:space="preserve">Gary England </t>
        </is>
      </c>
      <c r="H4041" t="inlineStr">
        <is>
          <t>Car - Electric (GC Owned)</t>
        </is>
      </c>
      <c r="I4041" t="inlineStr">
        <is>
          <t>Daily/ Weekly Vehicle Inspection</t>
        </is>
      </c>
      <c r="J4041" t="inlineStr">
        <is>
          <t>N/A</t>
        </is>
      </c>
      <c r="K4041" t="inlineStr">
        <is>
          <t>Gary England</t>
        </is>
      </c>
      <c r="L4041" t="inlineStr">
        <is>
          <t>16/04/2026 07:53</t>
        </is>
      </c>
      <c r="M4041" t="inlineStr">
        <is>
          <t>None</t>
        </is>
      </c>
      <c r="N4041" t="inlineStr">
        <is>
          <t>&lt;p&gt;&lt;/p&gt;</t>
        </is>
      </c>
      <c r="O4041" t="inlineStr"/>
      <c r="P4041" t="inlineStr">
        <is>
          <t>GJ71KAO , Car - Electric , Tesla , Model 3 Long Range AWD</t>
        </is>
      </c>
      <c r="Q4041" t="inlineStr">
        <is>
          <t>NGED</t>
        </is>
      </c>
      <c r="R4041" t="b">
        <v>0</v>
      </c>
    </row>
    <row r="4042">
      <c r="A4042" t="inlineStr">
        <is>
          <t>16 Apr 2026 / 7806 Optimum Tree Services Ltd</t>
        </is>
      </c>
      <c r="B4042" t="inlineStr">
        <is>
          <t>Infrastructure &amp; Utilities</t>
        </is>
      </c>
      <c r="C4042" t="inlineStr">
        <is>
          <t>UKPN</t>
        </is>
      </c>
      <c r="D4042" t="inlineStr">
        <is>
          <t>NA10SYZ , Tipper , Ford , Transit</t>
        </is>
      </c>
      <c r="E4042" t="inlineStr">
        <is>
          <t>NA10SYZ , Tipper , Ford , Transit</t>
        </is>
      </c>
      <c r="F4042" t="inlineStr">
        <is>
          <t>NA10SYZ , Tipper , Ford , Transit</t>
        </is>
      </c>
      <c r="G4042" t="inlineStr">
        <is>
          <t xml:space="preserve">Abraham Davies </t>
        </is>
      </c>
      <c r="H4042" t="inlineStr">
        <is>
          <t>Tipper</t>
        </is>
      </c>
      <c r="I4042" t="inlineStr">
        <is>
          <t>Daily/ Weekly Vehicle Inspection</t>
        </is>
      </c>
      <c r="J4042" t="inlineStr">
        <is>
          <t>N/A</t>
        </is>
      </c>
      <c r="K4042" t="inlineStr">
        <is>
          <t>7806 Optimum Tree Services Ltd</t>
        </is>
      </c>
      <c r="L4042" t="inlineStr">
        <is>
          <t>16/04/2026 07:53</t>
        </is>
      </c>
      <c r="M4042" t="inlineStr">
        <is>
          <t>None</t>
        </is>
      </c>
      <c r="N4042" t="inlineStr">
        <is>
          <t>&lt;p&gt;&lt;/p&gt;</t>
        </is>
      </c>
      <c r="O4042" t="inlineStr"/>
      <c r="P4042" t="inlineStr">
        <is>
          <t>NA10SYZ , Tipper , Ford , Transit</t>
        </is>
      </c>
      <c r="Q4042" t="inlineStr">
        <is>
          <t>UKPN</t>
        </is>
      </c>
      <c r="R4042" t="b">
        <v>0</v>
      </c>
    </row>
    <row r="4043">
      <c r="A4043" t="inlineStr">
        <is>
          <t>16 Apr 2026 / 7806 Optimum Tree Services Ltd</t>
        </is>
      </c>
      <c r="B4043" t="inlineStr">
        <is>
          <t>Infrastructure &amp; Utilities</t>
        </is>
      </c>
      <c r="C4043" t="inlineStr">
        <is>
          <t>UKPN</t>
        </is>
      </c>
      <c r="D4043" t="inlineStr">
        <is>
          <t>SA9TAPLAF27414263 , Trailer , Tow Mate , Plant Trailer</t>
        </is>
      </c>
      <c r="E4043" t="inlineStr">
        <is>
          <t>SA9TAPLAF27414263 , Trailer , Tow Mate , Plant Trailer</t>
        </is>
      </c>
      <c r="F4043" t="inlineStr">
        <is>
          <t>SA9TAPLAF27414263 , Trailer , Tow Mate , Plant Trailer</t>
        </is>
      </c>
      <c r="G4043" t="inlineStr">
        <is>
          <t xml:space="preserve">Abraham Davies </t>
        </is>
      </c>
      <c r="H4043" t="inlineStr">
        <is>
          <t>Plant Trailer</t>
        </is>
      </c>
      <c r="I4043" t="inlineStr">
        <is>
          <t>Daily/ Weekly Vehicle Inspection</t>
        </is>
      </c>
      <c r="J4043" t="inlineStr">
        <is>
          <t>N/A</t>
        </is>
      </c>
      <c r="K4043" t="inlineStr">
        <is>
          <t>7806 Optimum Tree Services Ltd</t>
        </is>
      </c>
      <c r="L4043" t="inlineStr">
        <is>
          <t>16/04/2026 07:54</t>
        </is>
      </c>
      <c r="M4043" t="inlineStr">
        <is>
          <t>None</t>
        </is>
      </c>
      <c r="N4043" t="inlineStr">
        <is>
          <t>&lt;p&gt;&lt;/p&gt;</t>
        </is>
      </c>
      <c r="O4043" t="inlineStr"/>
      <c r="P4043" t="inlineStr">
        <is>
          <t>SA9TAPLAF27414263 , Trailer , Tow Mate , Plant Trailer</t>
        </is>
      </c>
      <c r="Q4043" t="inlineStr">
        <is>
          <t>UKPN</t>
        </is>
      </c>
      <c r="R4043" t="b">
        <v>0</v>
      </c>
    </row>
    <row r="4044">
      <c r="A4044" t="inlineStr">
        <is>
          <t>16 Apr 2026 / 7889 Tree Tech Suffolk Ltd</t>
        </is>
      </c>
      <c r="B4044" t="inlineStr">
        <is>
          <t>Utilities &amp; Inland Waterways</t>
        </is>
      </c>
      <c r="C4044" t="inlineStr">
        <is>
          <t>UKPN</t>
        </is>
      </c>
      <c r="D4044" t="inlineStr">
        <is>
          <t>4x4 - Isuzu - D-max - NS03 TTS</t>
        </is>
      </c>
      <c r="E4044" t="inlineStr">
        <is>
          <t>4x4 - Isuzu - D-max - NS03 TTS</t>
        </is>
      </c>
      <c r="F4044" t="inlineStr">
        <is>
          <t>4x4 - Isuzu - D-max - NS03 TTS</t>
        </is>
      </c>
      <c r="G4044" t="inlineStr">
        <is>
          <t>Danny Appleby</t>
        </is>
      </c>
      <c r="H4044" t="inlineStr">
        <is>
          <t>Tipper</t>
        </is>
      </c>
      <c r="I4044" t="inlineStr">
        <is>
          <t>Daily/ Weekly Vehicle Inspection</t>
        </is>
      </c>
      <c r="J4044" t="inlineStr">
        <is>
          <t>N/A</t>
        </is>
      </c>
      <c r="K4044" t="inlineStr">
        <is>
          <t>7889 Tree Tech Suffolk Ltd</t>
        </is>
      </c>
      <c r="L4044" t="inlineStr">
        <is>
          <t>16/04/2026 07:54</t>
        </is>
      </c>
      <c r="M4044" t="inlineStr">
        <is>
          <t>None</t>
        </is>
      </c>
      <c r="N4044" t="inlineStr">
        <is>
          <t>&lt;p&gt;&lt;/p&gt;</t>
        </is>
      </c>
      <c r="O4044" t="inlineStr"/>
      <c r="P4044" t="inlineStr">
        <is>
          <t>4x4 - Isuzu - D-max - NS03 TTS</t>
        </is>
      </c>
      <c r="Q4044" t="inlineStr">
        <is>
          <t>UKPN</t>
        </is>
      </c>
      <c r="R4044" t="b">
        <v>0</v>
      </c>
    </row>
    <row r="4045">
      <c r="A4045" t="inlineStr">
        <is>
          <t>16 Apr 2026 / 7996 M G Tree Surgery Ltd 1</t>
        </is>
      </c>
      <c r="B4045" t="inlineStr">
        <is>
          <t>Infrastructure &amp; Utilities</t>
        </is>
      </c>
      <c r="C4045" t="inlineStr">
        <is>
          <t>UKPN</t>
        </is>
      </c>
      <c r="D4045" t="inlineStr"/>
      <c r="E4045" t="inlineStr"/>
      <c r="F4045" t="inlineStr"/>
      <c r="G4045" t="inlineStr">
        <is>
          <t>Anthony Gale</t>
        </is>
      </c>
      <c r="H4045" t="inlineStr">
        <is>
          <t>Towed Chipper</t>
        </is>
      </c>
      <c r="I4045" t="inlineStr">
        <is>
          <t>Daily/ Weekly Vehicle Inspection</t>
        </is>
      </c>
      <c r="J4045" t="inlineStr">
        <is>
          <t>N/A</t>
        </is>
      </c>
      <c r="K4045" t="inlineStr">
        <is>
          <t>7996 M G Tree Surgery Ltd 1</t>
        </is>
      </c>
      <c r="L4045" t="inlineStr">
        <is>
          <t>16/04/2026 07:56</t>
        </is>
      </c>
      <c r="M4045" t="inlineStr">
        <is>
          <t>None</t>
        </is>
      </c>
      <c r="N4045" t="inlineStr">
        <is>
          <t>&lt;p&gt;&lt;/p&gt;</t>
        </is>
      </c>
      <c r="O4045" t="inlineStr"/>
      <c r="P4045" t="inlineStr"/>
      <c r="Q4045" t="inlineStr">
        <is>
          <t>UKPN</t>
        </is>
      </c>
      <c r="R4045" t="b">
        <v>0</v>
      </c>
    </row>
    <row r="4046">
      <c r="A4046" t="inlineStr">
        <is>
          <t>16 Apr 2026 / 7996 M G Tree Surgery Ltd 1</t>
        </is>
      </c>
      <c r="B4046" t="inlineStr">
        <is>
          <t>Infrastructure &amp; Utilities</t>
        </is>
      </c>
      <c r="C4046" t="inlineStr">
        <is>
          <t>UKPN</t>
        </is>
      </c>
      <c r="D4046" t="inlineStr">
        <is>
          <t>KX20 BCE , Tipper , Isuzu , D-Max</t>
        </is>
      </c>
      <c r="E4046" t="inlineStr">
        <is>
          <t>KX20 BCE , Tipper , Isuzu , D-Max</t>
        </is>
      </c>
      <c r="F4046" t="inlineStr">
        <is>
          <t>KX20 BCE , Tipper , Isuzu , D-Max</t>
        </is>
      </c>
      <c r="G4046" t="inlineStr">
        <is>
          <t>Anthony Gale</t>
        </is>
      </c>
      <c r="H4046" t="inlineStr">
        <is>
          <t>Pickup Truck</t>
        </is>
      </c>
      <c r="I4046" t="inlineStr">
        <is>
          <t>Daily/ Weekly Vehicle Inspection</t>
        </is>
      </c>
      <c r="J4046" t="inlineStr">
        <is>
          <t>N/A</t>
        </is>
      </c>
      <c r="K4046" t="inlineStr">
        <is>
          <t>7996 M G Tree Surgery Ltd 1</t>
        </is>
      </c>
      <c r="L4046" t="inlineStr">
        <is>
          <t>16/04/2026 07:56</t>
        </is>
      </c>
      <c r="M4046" t="inlineStr">
        <is>
          <t>None</t>
        </is>
      </c>
      <c r="N4046" t="inlineStr">
        <is>
          <t>&lt;p&gt;&lt;/p&gt;</t>
        </is>
      </c>
      <c r="O4046" t="inlineStr"/>
      <c r="P4046" t="inlineStr">
        <is>
          <t>KX20 BCE , Tipper , Isuzu , D-Max</t>
        </is>
      </c>
      <c r="Q4046" t="inlineStr">
        <is>
          <t>UKPN</t>
        </is>
      </c>
      <c r="R4046" t="b">
        <v>0</v>
      </c>
    </row>
    <row r="4047">
      <c r="A4047" t="inlineStr">
        <is>
          <t>16 Apr 2026 / Mark Davies</t>
        </is>
      </c>
      <c r="B4047" t="inlineStr">
        <is>
          <t>Infrastructure &amp; Utilities</t>
        </is>
      </c>
      <c r="C4047" t="inlineStr">
        <is>
          <t>NGED</t>
        </is>
      </c>
      <c r="D4047" t="inlineStr">
        <is>
          <t>GJ20USE , Car - Electric , Tesla , Model 3 Long Range AWD</t>
        </is>
      </c>
      <c r="E4047" t="inlineStr">
        <is>
          <t>GJ20USE , Car - Electric , Tesla , Model 3 Long Range AWD</t>
        </is>
      </c>
      <c r="F4047" t="inlineStr">
        <is>
          <t>GJ20USE , Car - Electric , Tesla , Model 3 Long Range AWD</t>
        </is>
      </c>
      <c r="G4047" t="inlineStr">
        <is>
          <t xml:space="preserve">Mark Davies </t>
        </is>
      </c>
      <c r="H4047" t="inlineStr">
        <is>
          <t>Car - Electric (GC Owned)</t>
        </is>
      </c>
      <c r="I4047" t="inlineStr">
        <is>
          <t>Daily/ Weekly Vehicle Inspection</t>
        </is>
      </c>
      <c r="J4047" t="inlineStr">
        <is>
          <t>N/A</t>
        </is>
      </c>
      <c r="K4047" t="inlineStr">
        <is>
          <t>Mark Davies</t>
        </is>
      </c>
      <c r="L4047" t="inlineStr">
        <is>
          <t>16/04/2026 08:49</t>
        </is>
      </c>
      <c r="M4047" t="inlineStr">
        <is>
          <t>None</t>
        </is>
      </c>
      <c r="N4047" t="inlineStr">
        <is>
          <t>&lt;p&gt;&lt;/p&gt;</t>
        </is>
      </c>
      <c r="O4047" t="inlineStr"/>
      <c r="P4047" t="inlineStr">
        <is>
          <t>GJ20USE , Car - Electric , Tesla , Model 3 Long Range AWD</t>
        </is>
      </c>
      <c r="Q4047" t="inlineStr">
        <is>
          <t>NGED</t>
        </is>
      </c>
      <c r="R4047" t="b">
        <v>0</v>
      </c>
    </row>
    <row r="4048">
      <c r="A4048" t="inlineStr">
        <is>
          <t>16 Apr 2026 / 8148 Hope Ground and Tree Care</t>
        </is>
      </c>
      <c r="B4048" t="inlineStr">
        <is>
          <t>Infrastructure &amp; Utilities</t>
        </is>
      </c>
      <c r="C4048" t="inlineStr">
        <is>
          <t>UKPN</t>
        </is>
      </c>
      <c r="D4048" t="inlineStr">
        <is>
          <t>S6 NWX , MEWP , Isuzu , D-Max</t>
        </is>
      </c>
      <c r="E4048" t="inlineStr">
        <is>
          <t>S6 NWX , MEWP , Isuzu , D-Max</t>
        </is>
      </c>
      <c r="F4048" t="inlineStr">
        <is>
          <t>S6 NWX , MEWP , Isuzu , D-Max</t>
        </is>
      </c>
      <c r="G4048" t="inlineStr">
        <is>
          <t>A Hope</t>
        </is>
      </c>
      <c r="H4048" t="inlineStr">
        <is>
          <t>4x4</t>
        </is>
      </c>
      <c r="I4048" t="inlineStr">
        <is>
          <t>Daily/ Weekly Vehicle Inspection</t>
        </is>
      </c>
      <c r="J4048" t="inlineStr">
        <is>
          <t>N/A</t>
        </is>
      </c>
      <c r="K4048" t="inlineStr">
        <is>
          <t>8148 Hope Ground and Tree Care</t>
        </is>
      </c>
      <c r="L4048" t="inlineStr">
        <is>
          <t>16/04/2026 08:50</t>
        </is>
      </c>
      <c r="M4048" t="inlineStr">
        <is>
          <t>None</t>
        </is>
      </c>
      <c r="N4048" t="inlineStr">
        <is>
          <t>&lt;p&gt;&lt;/p&gt;</t>
        </is>
      </c>
      <c r="O4048" t="inlineStr"/>
      <c r="P4048" t="inlineStr">
        <is>
          <t>S6 NWX , MEWP , Isuzu , D-Max</t>
        </is>
      </c>
      <c r="Q4048" t="inlineStr">
        <is>
          <t>UKPN</t>
        </is>
      </c>
      <c r="R4048" t="b">
        <v>0</v>
      </c>
    </row>
    <row r="4049">
      <c r="A4049" t="inlineStr">
        <is>
          <t>16 Apr 2026 / Christopher Simeoli</t>
        </is>
      </c>
      <c r="B4049" t="inlineStr">
        <is>
          <t>Infrastructure &amp; Utilities</t>
        </is>
      </c>
      <c r="C4049" t="inlineStr">
        <is>
          <t>NGED</t>
        </is>
      </c>
      <c r="D4049" t="inlineStr">
        <is>
          <t>EO73KVB , Car - Electric , Kia , Niro</t>
        </is>
      </c>
      <c r="E4049" t="inlineStr">
        <is>
          <t>EO73KVB , Car - Electric , Kia , Niro</t>
        </is>
      </c>
      <c r="F4049" t="inlineStr">
        <is>
          <t>EO73KVB , Car - Electric , Kia , Niro</t>
        </is>
      </c>
      <c r="G4049" t="inlineStr">
        <is>
          <t>Chris Simeoli</t>
        </is>
      </c>
      <c r="H4049" t="inlineStr">
        <is>
          <t>Car - Electric (GC Owned)</t>
        </is>
      </c>
      <c r="I4049" t="inlineStr">
        <is>
          <t>Daily/ Weekly Vehicle Inspection</t>
        </is>
      </c>
      <c r="J4049" t="inlineStr">
        <is>
          <t>N/A</t>
        </is>
      </c>
      <c r="K4049" t="inlineStr">
        <is>
          <t>Christopher Simeoli</t>
        </is>
      </c>
      <c r="L4049" t="inlineStr">
        <is>
          <t>16/04/2026 08:50</t>
        </is>
      </c>
      <c r="M4049" t="inlineStr">
        <is>
          <t>None</t>
        </is>
      </c>
      <c r="N4049" t="inlineStr">
        <is>
          <t>&lt;p&gt;&lt;/p&gt;</t>
        </is>
      </c>
      <c r="O4049" t="inlineStr"/>
      <c r="P4049" t="inlineStr">
        <is>
          <t>EO73KVB , Car - Electric , Kia , Niro</t>
        </is>
      </c>
      <c r="Q4049" t="inlineStr">
        <is>
          <t>NGED</t>
        </is>
      </c>
      <c r="R4049" t="b">
        <v>0</v>
      </c>
    </row>
    <row r="4050">
      <c r="A4050" t="inlineStr">
        <is>
          <t>16 Apr 2026 / Joshua Stones</t>
        </is>
      </c>
      <c r="B4050" t="inlineStr">
        <is>
          <t>Infrastructure &amp; Utilities</t>
        </is>
      </c>
      <c r="C4050" t="inlineStr">
        <is>
          <t>SSE</t>
        </is>
      </c>
      <c r="D4050" t="inlineStr"/>
      <c r="E4050" t="inlineStr"/>
      <c r="F4050" t="inlineStr"/>
      <c r="G4050" t="inlineStr">
        <is>
          <t>Joshua stones</t>
        </is>
      </c>
      <c r="H4050" t="inlineStr">
        <is>
          <t>Van</t>
        </is>
      </c>
      <c r="I4050" t="inlineStr">
        <is>
          <t>Daily/ Weekly Vehicle Inspection</t>
        </is>
      </c>
      <c r="J4050" t="inlineStr">
        <is>
          <t>N/A</t>
        </is>
      </c>
      <c r="K4050" t="inlineStr">
        <is>
          <t>Joshua Stones</t>
        </is>
      </c>
      <c r="L4050" t="inlineStr">
        <is>
          <t>16/04/2026 09:49</t>
        </is>
      </c>
      <c r="M4050" t="inlineStr">
        <is>
          <t>None</t>
        </is>
      </c>
      <c r="N4050" t="inlineStr">
        <is>
          <t>&lt;p&gt;&lt;/p&gt;</t>
        </is>
      </c>
      <c r="O4050" t="inlineStr"/>
      <c r="P4050" t="inlineStr"/>
      <c r="Q4050" t="inlineStr">
        <is>
          <t>SSE</t>
        </is>
      </c>
      <c r="R4050" t="b">
        <v>0</v>
      </c>
    </row>
    <row r="4051">
      <c r="A4051" t="inlineStr">
        <is>
          <t>16 Apr 2026 / 7951 Austin Tree Care LTD 1</t>
        </is>
      </c>
      <c r="B4051" t="inlineStr">
        <is>
          <t>Infrastructure &amp; Utilities</t>
        </is>
      </c>
      <c r="C4051" t="inlineStr">
        <is>
          <t>UKPN</t>
        </is>
      </c>
      <c r="D4051" t="inlineStr">
        <is>
          <t>Kn58xuy , Tipper , VW  , Crafter</t>
        </is>
      </c>
      <c r="E4051" t="inlineStr">
        <is>
          <t>Kn58xuy , Tipper , VW  , Crafter</t>
        </is>
      </c>
      <c r="F4051" t="inlineStr">
        <is>
          <t>Kn58xuy , Tipper , VW  , Crafter</t>
        </is>
      </c>
      <c r="G4051" t="inlineStr">
        <is>
          <t xml:space="preserve">James Tasker </t>
        </is>
      </c>
      <c r="H4051" t="inlineStr">
        <is>
          <t>Tipper</t>
        </is>
      </c>
      <c r="I4051" t="inlineStr">
        <is>
          <t>Daily/ Weekly Vehicle Inspection</t>
        </is>
      </c>
      <c r="J4051" t="inlineStr">
        <is>
          <t>N/A</t>
        </is>
      </c>
      <c r="K4051" t="inlineStr">
        <is>
          <t>7951 Austin Tree Care LTD 1</t>
        </is>
      </c>
      <c r="L4051" t="inlineStr">
        <is>
          <t>16/04/2026 09:49</t>
        </is>
      </c>
      <c r="M4051" t="inlineStr">
        <is>
          <t>None</t>
        </is>
      </c>
      <c r="N4051" t="inlineStr">
        <is>
          <t>&lt;p&gt;&lt;/p&gt;</t>
        </is>
      </c>
      <c r="O4051" t="inlineStr"/>
      <c r="P4051" t="inlineStr">
        <is>
          <t>Kn58xuy , Tipper , VW  , Crafter</t>
        </is>
      </c>
      <c r="Q4051" t="inlineStr">
        <is>
          <t>UKPN</t>
        </is>
      </c>
      <c r="R4051" t="b">
        <v>0</v>
      </c>
    </row>
    <row r="4052">
      <c r="A4052" t="inlineStr">
        <is>
          <t>16 Apr 2026 / 7951 Austin Tree Care LTD</t>
        </is>
      </c>
      <c r="B4052" t="inlineStr">
        <is>
          <t>Infrastructure &amp; Utilities</t>
        </is>
      </c>
      <c r="C4052" t="inlineStr">
        <is>
          <t>UKPN</t>
        </is>
      </c>
      <c r="D4052" t="inlineStr">
        <is>
          <t>SA9ST6P0001283612 , Towed Chipper , Forst , ST6p</t>
        </is>
      </c>
      <c r="E4052" t="inlineStr">
        <is>
          <t>SA9ST6P0001283612 , Towed Chipper , Forst , ST6p</t>
        </is>
      </c>
      <c r="F4052" t="inlineStr">
        <is>
          <t>SA9ST6P0001283612 , Towed Chipper , Forst , ST6p</t>
        </is>
      </c>
      <c r="G4052" t="inlineStr">
        <is>
          <t xml:space="preserve">Jack Austin </t>
        </is>
      </c>
      <c r="H4052" t="inlineStr">
        <is>
          <t>Towed Chipper</t>
        </is>
      </c>
      <c r="I4052" t="inlineStr">
        <is>
          <t>Daily/ Weekly Vehicle Inspection</t>
        </is>
      </c>
      <c r="J4052" t="inlineStr">
        <is>
          <t>N/A</t>
        </is>
      </c>
      <c r="K4052" t="inlineStr">
        <is>
          <t>7951 Austin Tree Care LTD</t>
        </is>
      </c>
      <c r="L4052" t="inlineStr">
        <is>
          <t>16/04/2026 09:50</t>
        </is>
      </c>
      <c r="M4052" t="inlineStr">
        <is>
          <t>None</t>
        </is>
      </c>
      <c r="N4052" t="inlineStr">
        <is>
          <t>&lt;p&gt;&lt;/p&gt;</t>
        </is>
      </c>
      <c r="O4052" t="inlineStr"/>
      <c r="P4052" t="inlineStr">
        <is>
          <t>SA9ST6P0001283612 , Towed Chipper , Forst , ST6p</t>
        </is>
      </c>
      <c r="Q4052" t="inlineStr">
        <is>
          <t>UKPN</t>
        </is>
      </c>
      <c r="R4052" t="b">
        <v>0</v>
      </c>
    </row>
    <row r="4053">
      <c r="A4053" t="inlineStr">
        <is>
          <t>16 Apr 2026 / Thomas Nandi</t>
        </is>
      </c>
      <c r="B4053" t="inlineStr">
        <is>
          <t>Infrastructure &amp; Utilities</t>
        </is>
      </c>
      <c r="C4053" t="inlineStr">
        <is>
          <t>SSE</t>
        </is>
      </c>
      <c r="D4053" t="inlineStr"/>
      <c r="E4053" t="inlineStr"/>
      <c r="F4053" t="inlineStr"/>
      <c r="G4053" t="inlineStr">
        <is>
          <t xml:space="preserve">Tom Nandi </t>
        </is>
      </c>
      <c r="H4053" t="inlineStr">
        <is>
          <t>Car - Petrol</t>
        </is>
      </c>
      <c r="I4053" t="inlineStr">
        <is>
          <t>Daily/ Weekly Vehicle Inspection</t>
        </is>
      </c>
      <c r="J4053" t="inlineStr">
        <is>
          <t>N/A</t>
        </is>
      </c>
      <c r="K4053" t="inlineStr">
        <is>
          <t>Thomas Nandi</t>
        </is>
      </c>
      <c r="L4053" t="inlineStr">
        <is>
          <t>16/04/2026 09:51</t>
        </is>
      </c>
      <c r="M4053" t="inlineStr">
        <is>
          <t>None</t>
        </is>
      </c>
      <c r="N4053" t="inlineStr">
        <is>
          <t>&lt;p&gt;&lt;/p&gt;</t>
        </is>
      </c>
      <c r="O4053" t="inlineStr"/>
      <c r="P4053" t="inlineStr"/>
      <c r="Q4053" t="inlineStr">
        <is>
          <t>SSE</t>
        </is>
      </c>
      <c r="R4053" t="b">
        <v>0</v>
      </c>
    </row>
    <row r="4054">
      <c r="A4054" t="inlineStr">
        <is>
          <t>16 Apr 2026 / 7800 MAC Tree Surgery and Fencing Ltd / Utilities / UKPN</t>
        </is>
      </c>
      <c r="B4054" t="inlineStr">
        <is>
          <t>Utilities</t>
        </is>
      </c>
      <c r="C4054" t="inlineStr">
        <is>
          <t>UKPN</t>
        </is>
      </c>
      <c r="D4054" t="inlineStr">
        <is>
          <t>Plant Trailer - Towmate - 2.8t - 0</t>
        </is>
      </c>
      <c r="E4054" t="inlineStr">
        <is>
          <t>Plant Trailer - Towmate - 2.8t - 0</t>
        </is>
      </c>
      <c r="F4054" t="inlineStr">
        <is>
          <t>Plant Trailer - Towmate - 2.8t - 0</t>
        </is>
      </c>
      <c r="G4054" t="inlineStr">
        <is>
          <t>Lewis mac</t>
        </is>
      </c>
      <c r="H4054" t="inlineStr">
        <is>
          <t>Plant Trailer</t>
        </is>
      </c>
      <c r="I4054" t="inlineStr">
        <is>
          <t>Daily/ Weekly Vehicle Inspection</t>
        </is>
      </c>
      <c r="J4054" t="inlineStr">
        <is>
          <t>N/A</t>
        </is>
      </c>
      <c r="K4054" t="inlineStr">
        <is>
          <t>7800 MAC Tree Surgery and Fencing Ltd</t>
        </is>
      </c>
      <c r="L4054" t="inlineStr">
        <is>
          <t>16/04/2026 09:51</t>
        </is>
      </c>
      <c r="M4054" t="inlineStr">
        <is>
          <t>None</t>
        </is>
      </c>
      <c r="N4054" t="inlineStr">
        <is>
          <t>&lt;p&gt;&lt;/p&gt;</t>
        </is>
      </c>
      <c r="O4054" t="inlineStr"/>
      <c r="P4054" t="inlineStr">
        <is>
          <t>Plant Trailer - Towmate - 2.8t - 0</t>
        </is>
      </c>
      <c r="Q4054" t="inlineStr">
        <is>
          <t>UKPN</t>
        </is>
      </c>
      <c r="R4054" t="b">
        <v>0</v>
      </c>
    </row>
    <row r="4055">
      <c r="A4055" t="inlineStr">
        <is>
          <t>16 Apr 2026 / 7800 MAC Tree Surgery and Fencing Ltd</t>
        </is>
      </c>
      <c r="B4055" t="inlineStr">
        <is>
          <t>Utilities</t>
        </is>
      </c>
      <c r="C4055" t="inlineStr">
        <is>
          <t>UKPN</t>
        </is>
      </c>
      <c r="D4055" t="inlineStr">
        <is>
          <t>FG16LNT , Tipper , Ford transit  , Transit tipper</t>
        </is>
      </c>
      <c r="E4055" t="inlineStr">
        <is>
          <t>FG16LNT , Tipper , Ford transit  , Transit tipper</t>
        </is>
      </c>
      <c r="F4055" t="inlineStr">
        <is>
          <t>FG16LNT , Tipper , Ford transit  , Transit tipper</t>
        </is>
      </c>
      <c r="G4055" t="inlineStr">
        <is>
          <t>Patrick</t>
        </is>
      </c>
      <c r="H4055" t="inlineStr">
        <is>
          <t>Tipper</t>
        </is>
      </c>
      <c r="I4055" t="inlineStr">
        <is>
          <t>Daily/ Weekly Vehicle Inspection</t>
        </is>
      </c>
      <c r="J4055" t="inlineStr">
        <is>
          <t>N/A</t>
        </is>
      </c>
      <c r="K4055" t="inlineStr">
        <is>
          <t>7800 MAC Tree Surgery and Fencing Ltd</t>
        </is>
      </c>
      <c r="L4055" t="inlineStr">
        <is>
          <t>16/04/2026 09:52</t>
        </is>
      </c>
      <c r="M4055" t="inlineStr">
        <is>
          <t>None</t>
        </is>
      </c>
      <c r="N4055" t="inlineStr">
        <is>
          <t>&lt;p&gt;&lt;/p&gt;</t>
        </is>
      </c>
      <c r="O4055" t="inlineStr"/>
      <c r="P4055" t="inlineStr">
        <is>
          <t>FG16LNT , Tipper , Ford transit  , Transit tipper</t>
        </is>
      </c>
      <c r="Q4055" t="inlineStr">
        <is>
          <t>UKPN</t>
        </is>
      </c>
      <c r="R4055" t="b">
        <v>0</v>
      </c>
    </row>
    <row r="4056">
      <c r="A4056" t="inlineStr">
        <is>
          <t>17 Apr 2026 / Benet Jones</t>
        </is>
      </c>
      <c r="B4056" t="inlineStr">
        <is>
          <t>Infrastructure &amp; Utilities</t>
        </is>
      </c>
      <c r="C4056" t="inlineStr">
        <is>
          <t>NGED</t>
        </is>
      </c>
      <c r="D4056" t="inlineStr">
        <is>
          <t>GF71TXC , Car - Electric , Tesla , Model 3 Long Range AWD</t>
        </is>
      </c>
      <c r="E4056" t="inlineStr">
        <is>
          <t>GF71TXC , Car - Electric , Tesla , Model 3 Long Range AWD</t>
        </is>
      </c>
      <c r="F4056" t="inlineStr">
        <is>
          <t>GF71TXC , Car - Electric , Tesla , Model 3 Long Range AWD</t>
        </is>
      </c>
      <c r="G4056" t="inlineStr">
        <is>
          <t xml:space="preserve">Benet Jones </t>
        </is>
      </c>
      <c r="H4056" t="inlineStr">
        <is>
          <t>Car - Electric (GC Owned)</t>
        </is>
      </c>
      <c r="I4056" t="inlineStr">
        <is>
          <t>Daily/ Weekly Vehicle Inspection</t>
        </is>
      </c>
      <c r="J4056" t="inlineStr">
        <is>
          <t>N/A</t>
        </is>
      </c>
      <c r="K4056" t="inlineStr">
        <is>
          <t>Benet Jones</t>
        </is>
      </c>
      <c r="L4056" t="inlineStr">
        <is>
          <t>17/04/2026 06:51</t>
        </is>
      </c>
      <c r="M4056" t="inlineStr">
        <is>
          <t>None</t>
        </is>
      </c>
      <c r="N4056" t="inlineStr">
        <is>
          <t>&lt;p&gt;&lt;/p&gt;</t>
        </is>
      </c>
      <c r="O4056" t="inlineStr">
        <is>
          <t>Confirm that you have checked this vehicle as per the guidance document and the vehicle is safe and roadworthy:Car checked and fully serviceable
-</t>
        </is>
      </c>
      <c r="P4056" t="inlineStr">
        <is>
          <t>GF71TXC , Car - Electric , Tesla , Model 3 Long Range AWD</t>
        </is>
      </c>
      <c r="Q4056" t="inlineStr">
        <is>
          <t>NGED</t>
        </is>
      </c>
      <c r="R4056" t="b">
        <v>0</v>
      </c>
    </row>
    <row r="4057">
      <c r="A4057" t="inlineStr">
        <is>
          <t>17 Apr 2026 / 7800 MAC Tree Surgery and Fencing Ltd / Utilities / UKPN</t>
        </is>
      </c>
      <c r="B4057" t="inlineStr">
        <is>
          <t>Utilities</t>
        </is>
      </c>
      <c r="C4057" t="inlineStr">
        <is>
          <t>UKPN</t>
        </is>
      </c>
      <c r="D4057" t="inlineStr">
        <is>
          <t>Plant Trailer - Towmate - 2.8t - 0</t>
        </is>
      </c>
      <c r="E4057" t="inlineStr">
        <is>
          <t>Plant Trailer - Towmate - 2.8t - 0</t>
        </is>
      </c>
      <c r="F4057" t="inlineStr">
        <is>
          <t>Plant Trailer - Towmate - 2.8t - 0</t>
        </is>
      </c>
      <c r="G4057" t="inlineStr">
        <is>
          <t>Lewis mac</t>
        </is>
      </c>
      <c r="H4057" t="inlineStr">
        <is>
          <t>Plant Trailer</t>
        </is>
      </c>
      <c r="I4057" t="inlineStr">
        <is>
          <t>Daily/ Weekly Vehicle Inspection</t>
        </is>
      </c>
      <c r="J4057" t="inlineStr">
        <is>
          <t>N/A</t>
        </is>
      </c>
      <c r="K4057" t="inlineStr">
        <is>
          <t>7800 MAC Tree Surgery and Fencing Ltd</t>
        </is>
      </c>
      <c r="L4057" t="inlineStr">
        <is>
          <t>17/04/2026 07:49</t>
        </is>
      </c>
      <c r="M4057" t="inlineStr">
        <is>
          <t>None</t>
        </is>
      </c>
      <c r="N4057" t="inlineStr">
        <is>
          <t>&lt;p&gt;&lt;/p&gt;</t>
        </is>
      </c>
      <c r="O4057" t="inlineStr"/>
      <c r="P4057" t="inlineStr">
        <is>
          <t>Plant Trailer - Towmate - 2.8t - 0</t>
        </is>
      </c>
      <c r="Q4057" t="inlineStr">
        <is>
          <t>UKPN</t>
        </is>
      </c>
      <c r="R4057" t="b">
        <v>0</v>
      </c>
    </row>
    <row r="4058">
      <c r="A4058" t="inlineStr">
        <is>
          <t>17 Apr 2026 / 7800 MAC Tree Surgery and Fencing Ltd / Utilities / UKPN</t>
        </is>
      </c>
      <c r="B4058" t="inlineStr">
        <is>
          <t>Utilities</t>
        </is>
      </c>
      <c r="C4058" t="inlineStr">
        <is>
          <t>UKPN</t>
        </is>
      </c>
      <c r="D4058" t="inlineStr">
        <is>
          <t>AY68DAA , 4x4 , Izuzu , Dmax</t>
        </is>
      </c>
      <c r="E4058" t="inlineStr">
        <is>
          <t>AY68DAA , 4x4 , Izuzu , Dmax</t>
        </is>
      </c>
      <c r="F4058" t="inlineStr">
        <is>
          <t>AY68DAA , 4x4 , Izuzu , Dmax</t>
        </is>
      </c>
      <c r="G4058" t="inlineStr">
        <is>
          <t xml:space="preserve">Patrick O'Shea </t>
        </is>
      </c>
      <c r="H4058" t="inlineStr">
        <is>
          <t>4x4</t>
        </is>
      </c>
      <c r="I4058" t="inlineStr">
        <is>
          <t>Daily/ Weekly Vehicle Inspection</t>
        </is>
      </c>
      <c r="J4058" t="inlineStr">
        <is>
          <t>N/A</t>
        </is>
      </c>
      <c r="K4058" t="inlineStr">
        <is>
          <t>7800 MAC Tree Surgery and Fencing Ltd</t>
        </is>
      </c>
      <c r="L4058" t="inlineStr">
        <is>
          <t>17/04/2026 07:50</t>
        </is>
      </c>
      <c r="M4058" t="inlineStr">
        <is>
          <t>None</t>
        </is>
      </c>
      <c r="N4058" t="inlineStr">
        <is>
          <t>&lt;p&gt;&lt;/p&gt;</t>
        </is>
      </c>
      <c r="O4058" t="inlineStr"/>
      <c r="P4058" t="inlineStr">
        <is>
          <t>AY68DAA , 4x4 , Izuzu , Dmax</t>
        </is>
      </c>
      <c r="Q4058" t="inlineStr">
        <is>
          <t>UKPN</t>
        </is>
      </c>
      <c r="R4058" t="b">
        <v>0</v>
      </c>
    </row>
    <row r="4059">
      <c r="A4059" t="inlineStr">
        <is>
          <t>17 Apr 2026 / Daniel Hackett</t>
        </is>
      </c>
      <c r="B4059" t="inlineStr">
        <is>
          <t>Infrastructure &amp; Utilities</t>
        </is>
      </c>
      <c r="C4059" t="inlineStr">
        <is>
          <t>NGED</t>
        </is>
      </c>
      <c r="D4059" t="inlineStr">
        <is>
          <t>AK70TKJ , Car - Electric , Tesla , Model 3 Long Range AWD</t>
        </is>
      </c>
      <c r="E4059" t="inlineStr">
        <is>
          <t>AK70TKJ , Car - Electric , Tesla , Model 3 Long Range AWD</t>
        </is>
      </c>
      <c r="F4059" t="inlineStr">
        <is>
          <t>AK70TKJ , Car - Electric , Tesla , Model 3 Long Range AWD</t>
        </is>
      </c>
      <c r="G4059" t="inlineStr">
        <is>
          <t xml:space="preserve">Dan Hackett </t>
        </is>
      </c>
      <c r="H4059" t="inlineStr">
        <is>
          <t>Car - Electric (GC Owned)</t>
        </is>
      </c>
      <c r="I4059" t="inlineStr">
        <is>
          <t>Daily/ Weekly Vehicle Inspection</t>
        </is>
      </c>
      <c r="J4059" t="inlineStr">
        <is>
          <t>N/A</t>
        </is>
      </c>
      <c r="K4059" t="inlineStr">
        <is>
          <t>Daniel Hackett</t>
        </is>
      </c>
      <c r="L4059" t="inlineStr">
        <is>
          <t>17/04/2026 07:51</t>
        </is>
      </c>
      <c r="M4059" t="inlineStr">
        <is>
          <t>None</t>
        </is>
      </c>
      <c r="N4059" t="inlineStr">
        <is>
          <t>&lt;p&gt;&lt;/p&gt;</t>
        </is>
      </c>
      <c r="O4059" t="inlineStr">
        <is>
          <t>Confirm that you have checked this vehicle as per the guidance document and the vehicle is safe and roadworthy:Still getting tyre monitor warning system fault.
-</t>
        </is>
      </c>
      <c r="P4059" t="inlineStr">
        <is>
          <t>AK70TKJ , Car - Electric , Tesla , Model 3 Long Range AWD</t>
        </is>
      </c>
      <c r="Q4059" t="inlineStr">
        <is>
          <t>NGED</t>
        </is>
      </c>
      <c r="R4059" t="b">
        <v>0</v>
      </c>
    </row>
    <row r="4060">
      <c r="A4060" t="inlineStr">
        <is>
          <t>17 Apr 2026 / 7806 Optimum Tree Services Ltd</t>
        </is>
      </c>
      <c r="B4060" t="inlineStr">
        <is>
          <t>Infrastructure &amp; Utilities</t>
        </is>
      </c>
      <c r="C4060" t="inlineStr">
        <is>
          <t>UKPN</t>
        </is>
      </c>
      <c r="D4060" t="inlineStr">
        <is>
          <t>SA9TAPLAF27414263 , Trailer , Tow Mate , Plant Trailer</t>
        </is>
      </c>
      <c r="E4060" t="inlineStr">
        <is>
          <t>SA9TAPLAF27414263 , Trailer , Tow Mate , Plant Trailer</t>
        </is>
      </c>
      <c r="F4060" t="inlineStr">
        <is>
          <t>SA9TAPLAF27414263 , Trailer , Tow Mate , Plant Trailer</t>
        </is>
      </c>
      <c r="G4060" t="inlineStr">
        <is>
          <t xml:space="preserve">Abraham Davies </t>
        </is>
      </c>
      <c r="H4060" t="inlineStr">
        <is>
          <t>Plant Trailer</t>
        </is>
      </c>
      <c r="I4060" t="inlineStr">
        <is>
          <t>Daily/ Weekly Vehicle Inspection</t>
        </is>
      </c>
      <c r="J4060" t="inlineStr">
        <is>
          <t>N/A</t>
        </is>
      </c>
      <c r="K4060" t="inlineStr">
        <is>
          <t>7806 Optimum Tree Services Ltd</t>
        </is>
      </c>
      <c r="L4060" t="inlineStr">
        <is>
          <t>17/04/2026 07:51</t>
        </is>
      </c>
      <c r="M4060" t="inlineStr">
        <is>
          <t>None</t>
        </is>
      </c>
      <c r="N4060" t="inlineStr">
        <is>
          <t>&lt;p&gt;&lt;/p&gt;</t>
        </is>
      </c>
      <c r="O4060" t="inlineStr"/>
      <c r="P4060" t="inlineStr">
        <is>
          <t>SA9TAPLAF27414263 , Trailer , Tow Mate , Plant Trailer</t>
        </is>
      </c>
      <c r="Q4060" t="inlineStr">
        <is>
          <t>UKPN</t>
        </is>
      </c>
      <c r="R4060" t="b">
        <v>0</v>
      </c>
    </row>
    <row r="4061">
      <c r="A4061" t="inlineStr">
        <is>
          <t>17 Apr 2026 / 7806 Optimum Tree Services Ltd</t>
        </is>
      </c>
      <c r="B4061" t="inlineStr">
        <is>
          <t>Infrastructure &amp; Utilities</t>
        </is>
      </c>
      <c r="C4061" t="inlineStr">
        <is>
          <t>UKPN</t>
        </is>
      </c>
      <c r="D4061" t="inlineStr">
        <is>
          <t>NA10SYZ , Tipper , Ford , Transit</t>
        </is>
      </c>
      <c r="E4061" t="inlineStr">
        <is>
          <t>NA10SYZ , Tipper , Ford , Transit</t>
        </is>
      </c>
      <c r="F4061" t="inlineStr">
        <is>
          <t>NA10SYZ , Tipper , Ford , Transit</t>
        </is>
      </c>
      <c r="G4061" t="inlineStr">
        <is>
          <t xml:space="preserve">Abraham Davies </t>
        </is>
      </c>
      <c r="H4061" t="inlineStr">
        <is>
          <t>Tipper</t>
        </is>
      </c>
      <c r="I4061" t="inlineStr">
        <is>
          <t>Daily/ Weekly Vehicle Inspection</t>
        </is>
      </c>
      <c r="J4061" t="inlineStr">
        <is>
          <t>N/A</t>
        </is>
      </c>
      <c r="K4061" t="inlineStr">
        <is>
          <t>7806 Optimum Tree Services Ltd</t>
        </is>
      </c>
      <c r="L4061" t="inlineStr">
        <is>
          <t>17/04/2026 07:52</t>
        </is>
      </c>
      <c r="M4061" t="inlineStr">
        <is>
          <t>None</t>
        </is>
      </c>
      <c r="N4061" t="inlineStr">
        <is>
          <t>&lt;p&gt;&lt;/p&gt;</t>
        </is>
      </c>
      <c r="O4061" t="inlineStr"/>
      <c r="P4061" t="inlineStr">
        <is>
          <t>NA10SYZ , Tipper , Ford , Transit</t>
        </is>
      </c>
      <c r="Q4061" t="inlineStr">
        <is>
          <t>UKPN</t>
        </is>
      </c>
      <c r="R4061" t="b">
        <v>0</v>
      </c>
    </row>
    <row r="4062">
      <c r="A4062" t="inlineStr">
        <is>
          <t>17 Apr 2026 / 6617 Ashdown Tree Limited 1</t>
        </is>
      </c>
      <c r="B4062" t="inlineStr">
        <is>
          <t>Infrastructure &amp; Utilities</t>
        </is>
      </c>
      <c r="C4062" t="inlineStr">
        <is>
          <t>UKPN</t>
        </is>
      </c>
      <c r="D4062" t="inlineStr">
        <is>
          <t>WG63OJS , 4x4 , Land rover  , defender</t>
        </is>
      </c>
      <c r="E4062" t="inlineStr">
        <is>
          <t>WG63OJS , 4x4 , Land rover  , defender</t>
        </is>
      </c>
      <c r="F4062" t="inlineStr">
        <is>
          <t>WG63OJS , 4x4 , Land rover  , defender</t>
        </is>
      </c>
      <c r="G4062" t="inlineStr">
        <is>
          <t>Dan</t>
        </is>
      </c>
      <c r="H4062" t="inlineStr">
        <is>
          <t>4x4</t>
        </is>
      </c>
      <c r="I4062" t="inlineStr">
        <is>
          <t>Daily/ Weekly Vehicle Inspection</t>
        </is>
      </c>
      <c r="J4062" t="inlineStr">
        <is>
          <t>N/A</t>
        </is>
      </c>
      <c r="K4062" t="inlineStr">
        <is>
          <t>6617 Ashdown Tree Limited - Team 2</t>
        </is>
      </c>
      <c r="L4062" t="inlineStr">
        <is>
          <t>17/04/2026 07:53</t>
        </is>
      </c>
      <c r="M4062" t="inlineStr">
        <is>
          <t>None</t>
        </is>
      </c>
      <c r="N4062" t="inlineStr">
        <is>
          <t>&lt;p&gt;&lt;/p&gt;</t>
        </is>
      </c>
      <c r="O4062" t="inlineStr"/>
      <c r="P4062" t="inlineStr">
        <is>
          <t>WG63OJS , 4x4 , Land rover  , defender</t>
        </is>
      </c>
      <c r="Q4062" t="inlineStr">
        <is>
          <t>UKPN</t>
        </is>
      </c>
      <c r="R4062" t="b">
        <v>0</v>
      </c>
    </row>
    <row r="4063">
      <c r="A4063" t="inlineStr">
        <is>
          <t>17 Apr 2026 / 8040 S6 Tree specialists Ltd</t>
        </is>
      </c>
      <c r="B4063" t="inlineStr">
        <is>
          <t>Infrastructure &amp; Utilities</t>
        </is>
      </c>
      <c r="C4063" t="inlineStr">
        <is>
          <t>UKPN</t>
        </is>
      </c>
      <c r="D4063" t="inlineStr">
        <is>
          <t>Na , Towed Chipper , Timberwolf  , 190</t>
        </is>
      </c>
      <c r="E4063" t="inlineStr">
        <is>
          <t>Na , Towed Chipper , Timberwolf  , 190</t>
        </is>
      </c>
      <c r="F4063" t="inlineStr">
        <is>
          <t>Na , Towed Chipper , Timberwolf  , 190</t>
        </is>
      </c>
      <c r="G4063" t="inlineStr">
        <is>
          <t xml:space="preserve">Luke </t>
        </is>
      </c>
      <c r="H4063" t="inlineStr">
        <is>
          <t>Towed Chipper</t>
        </is>
      </c>
      <c r="I4063" t="inlineStr">
        <is>
          <t>Daily/ Weekly Vehicle Inspection</t>
        </is>
      </c>
      <c r="J4063" t="inlineStr">
        <is>
          <t>N/A</t>
        </is>
      </c>
      <c r="K4063" t="inlineStr">
        <is>
          <t>8040 S6 Tree specialists Ltd</t>
        </is>
      </c>
      <c r="L4063" t="inlineStr">
        <is>
          <t>17/04/2026 07:54</t>
        </is>
      </c>
      <c r="M4063" t="inlineStr">
        <is>
          <t>None</t>
        </is>
      </c>
      <c r="N4063" t="inlineStr">
        <is>
          <t>&lt;p&gt;&lt;/p&gt;</t>
        </is>
      </c>
      <c r="O4063" t="inlineStr"/>
      <c r="P4063" t="inlineStr">
        <is>
          <t>Na , Towed Chipper , Timberwolf  , 190</t>
        </is>
      </c>
      <c r="Q4063" t="inlineStr">
        <is>
          <t>UKPN</t>
        </is>
      </c>
      <c r="R4063" t="b">
        <v>0</v>
      </c>
    </row>
    <row r="4064">
      <c r="A4064" t="inlineStr">
        <is>
          <t>17 Apr 2026 / 8040 S6 Tree specialists Ltd</t>
        </is>
      </c>
      <c r="B4064" t="inlineStr">
        <is>
          <t>Infrastructure &amp; Utilities</t>
        </is>
      </c>
      <c r="C4064" t="inlineStr">
        <is>
          <t>UKPN</t>
        </is>
      </c>
      <c r="D4064" t="inlineStr">
        <is>
          <t>GY08 RVC , 4x4 MEWP , Land Rover , Defender</t>
        </is>
      </c>
      <c r="E4064" t="inlineStr">
        <is>
          <t>GY08 RVC , 4x4 MEWP , Land Rover , Defender</t>
        </is>
      </c>
      <c r="F4064" t="inlineStr">
        <is>
          <t>GY08 RVC , 4x4 MEWP , Land Rover , Defender</t>
        </is>
      </c>
      <c r="G4064" t="inlineStr">
        <is>
          <t>Luke</t>
        </is>
      </c>
      <c r="H4064" t="inlineStr">
        <is>
          <t>4x4</t>
        </is>
      </c>
      <c r="I4064" t="inlineStr">
        <is>
          <t>Daily/ Weekly Vehicle Inspection</t>
        </is>
      </c>
      <c r="J4064" t="inlineStr">
        <is>
          <t>N/A</t>
        </is>
      </c>
      <c r="K4064" t="inlineStr">
        <is>
          <t>8040 S6 Tree specialists Ltd</t>
        </is>
      </c>
      <c r="L4064" t="inlineStr">
        <is>
          <t>17/04/2026 07:55</t>
        </is>
      </c>
      <c r="M4064" t="inlineStr">
        <is>
          <t>None</t>
        </is>
      </c>
      <c r="N4064" t="inlineStr">
        <is>
          <t>&lt;p&gt;&lt;/p&gt;</t>
        </is>
      </c>
      <c r="O4064" t="inlineStr"/>
      <c r="P4064" t="inlineStr">
        <is>
          <t>GY08 RVC , 4x4 MEWP , Land Rover , Defender</t>
        </is>
      </c>
      <c r="Q4064" t="inlineStr">
        <is>
          <t>UKPN</t>
        </is>
      </c>
      <c r="R4064" t="b">
        <v>0</v>
      </c>
    </row>
    <row r="4065">
      <c r="A4065" t="inlineStr">
        <is>
          <t>13 Apr 2026 / 6617 Ashdown Tree Limited 1</t>
        </is>
      </c>
      <c r="B4065" t="inlineStr">
        <is>
          <t>Infrastructure &amp; Utilities</t>
        </is>
      </c>
      <c r="C4065" t="inlineStr">
        <is>
          <t>UKPN</t>
        </is>
      </c>
      <c r="D4065" t="inlineStr">
        <is>
          <t>TR55TUB , 4x4 , Land rover  , Defender mewp</t>
        </is>
      </c>
      <c r="E4065" t="inlineStr">
        <is>
          <t>TR55TUB , 4x4 , Land rover  , Defender mewp</t>
        </is>
      </c>
      <c r="F4065" t="inlineStr">
        <is>
          <t>TR55TUB , 4x4 , Land rover  , Defender mewp</t>
        </is>
      </c>
      <c r="G4065" t="inlineStr">
        <is>
          <t>Dan</t>
        </is>
      </c>
      <c r="H4065" t="inlineStr">
        <is>
          <t>4x4</t>
        </is>
      </c>
      <c r="I4065" t="inlineStr">
        <is>
          <t>Daily/ Weekly Vehicle Inspection</t>
        </is>
      </c>
      <c r="J4065" t="inlineStr">
        <is>
          <t>N/A</t>
        </is>
      </c>
      <c r="K4065" t="inlineStr">
        <is>
          <t>6617 Ashdown Tree Limited - Team 2</t>
        </is>
      </c>
      <c r="L4065" t="inlineStr">
        <is>
          <t>17/04/2026 07:56</t>
        </is>
      </c>
      <c r="M4065" t="inlineStr">
        <is>
          <t>None</t>
        </is>
      </c>
      <c r="N4065" t="inlineStr">
        <is>
          <t>&lt;p&gt;&lt;/p&gt;</t>
        </is>
      </c>
      <c r="O4065" t="inlineStr"/>
      <c r="P4065" t="inlineStr">
        <is>
          <t>TR55TUB , 4x4 , Land rover  , Defender mewp</t>
        </is>
      </c>
      <c r="Q4065" t="inlineStr">
        <is>
          <t>UKPN</t>
        </is>
      </c>
      <c r="R4065" t="b">
        <v>0</v>
      </c>
    </row>
    <row r="4066">
      <c r="A4066" t="inlineStr">
        <is>
          <t>17 Apr 2026 / 7996 M G Tree Surgery Ltd 1</t>
        </is>
      </c>
      <c r="B4066" t="inlineStr">
        <is>
          <t>Infrastructure &amp; Utilities</t>
        </is>
      </c>
      <c r="C4066" t="inlineStr">
        <is>
          <t>UKPN</t>
        </is>
      </c>
      <c r="D4066" t="inlineStr"/>
      <c r="E4066" t="inlineStr"/>
      <c r="F4066" t="inlineStr"/>
      <c r="G4066" t="inlineStr">
        <is>
          <t>Anthony Gale</t>
        </is>
      </c>
      <c r="H4066" t="inlineStr">
        <is>
          <t>Pickup Truck</t>
        </is>
      </c>
      <c r="I4066" t="inlineStr">
        <is>
          <t>Daily/ Weekly Vehicle Inspection</t>
        </is>
      </c>
      <c r="J4066" t="inlineStr">
        <is>
          <t>N/A</t>
        </is>
      </c>
      <c r="K4066" t="inlineStr">
        <is>
          <t>7996 M G Tree Surgery Ltd 1</t>
        </is>
      </c>
      <c r="L4066" t="inlineStr">
        <is>
          <t>17/04/2026 07:56</t>
        </is>
      </c>
      <c r="M4066" t="inlineStr">
        <is>
          <t>None</t>
        </is>
      </c>
      <c r="N4066" t="inlineStr">
        <is>
          <t>&lt;p&gt;&lt;/p&gt;</t>
        </is>
      </c>
      <c r="O4066" t="inlineStr"/>
      <c r="P4066" t="inlineStr"/>
      <c r="Q4066" t="inlineStr">
        <is>
          <t>UKPN</t>
        </is>
      </c>
      <c r="R4066" t="b">
        <v>0</v>
      </c>
    </row>
    <row r="4067">
      <c r="A4067" t="inlineStr">
        <is>
          <t>17 Apr 2026 / 7996 M G Tree Surgery Ltd 1</t>
        </is>
      </c>
      <c r="B4067" t="inlineStr">
        <is>
          <t>Infrastructure &amp; Utilities</t>
        </is>
      </c>
      <c r="C4067" t="inlineStr">
        <is>
          <t>UKPN</t>
        </is>
      </c>
      <c r="D4067" t="inlineStr">
        <is>
          <t>KX20 BCE , Tipper , Isuzu , D-Max</t>
        </is>
      </c>
      <c r="E4067" t="inlineStr">
        <is>
          <t>KX20 BCE , Tipper , Isuzu , D-Max</t>
        </is>
      </c>
      <c r="F4067" t="inlineStr">
        <is>
          <t>KX20 BCE , Tipper , Isuzu , D-Max</t>
        </is>
      </c>
      <c r="G4067" t="inlineStr">
        <is>
          <t>Anthony Gale</t>
        </is>
      </c>
      <c r="H4067" t="inlineStr">
        <is>
          <t>Pickup Truck</t>
        </is>
      </c>
      <c r="I4067" t="inlineStr">
        <is>
          <t>Daily/ Weekly Vehicle Inspection</t>
        </is>
      </c>
      <c r="J4067" t="inlineStr">
        <is>
          <t>N/A</t>
        </is>
      </c>
      <c r="K4067" t="inlineStr">
        <is>
          <t>7996 M G Tree Surgery Ltd 1</t>
        </is>
      </c>
      <c r="L4067" t="inlineStr">
        <is>
          <t>17/04/2026 07:57</t>
        </is>
      </c>
      <c r="M4067" t="inlineStr">
        <is>
          <t>None</t>
        </is>
      </c>
      <c r="N4067" t="inlineStr">
        <is>
          <t>&lt;p&gt;&lt;/p&gt;</t>
        </is>
      </c>
      <c r="O4067" t="inlineStr"/>
      <c r="P4067" t="inlineStr">
        <is>
          <t>KX20 BCE , Tipper , Isuzu , D-Max</t>
        </is>
      </c>
      <c r="Q4067" t="inlineStr">
        <is>
          <t>UKPN</t>
        </is>
      </c>
      <c r="R4067" t="b">
        <v>0</v>
      </c>
    </row>
    <row r="4068">
      <c r="A4068" t="inlineStr">
        <is>
          <t>17 Apr 2026 / Alexander Damar</t>
        </is>
      </c>
      <c r="B4068" t="inlineStr">
        <is>
          <t>Infrastructure &amp; Utilities</t>
        </is>
      </c>
      <c r="C4068" t="inlineStr">
        <is>
          <t>UKPN</t>
        </is>
      </c>
      <c r="D4068" t="inlineStr"/>
      <c r="E4068" t="inlineStr"/>
      <c r="F4068" t="inlineStr"/>
      <c r="G4068" t="inlineStr">
        <is>
          <t>A damar</t>
        </is>
      </c>
      <c r="H4068" t="inlineStr">
        <is>
          <t>Car - Petrol</t>
        </is>
      </c>
      <c r="I4068" t="inlineStr">
        <is>
          <t>Daily/ Weekly Vehicle Inspection</t>
        </is>
      </c>
      <c r="J4068" t="inlineStr">
        <is>
          <t>N/A</t>
        </is>
      </c>
      <c r="K4068" t="inlineStr">
        <is>
          <t>Alexander Damar</t>
        </is>
      </c>
      <c r="L4068" t="inlineStr">
        <is>
          <t>17/04/2026 08:49</t>
        </is>
      </c>
      <c r="M4068" t="inlineStr">
        <is>
          <t>None</t>
        </is>
      </c>
      <c r="N4068" t="inlineStr">
        <is>
          <t>&lt;p&gt;&lt;/p&gt;</t>
        </is>
      </c>
      <c r="O4068" t="inlineStr"/>
      <c r="P4068" t="inlineStr"/>
      <c r="Q4068" t="inlineStr">
        <is>
          <t>UKPN</t>
        </is>
      </c>
      <c r="R4068" t="b">
        <v>0</v>
      </c>
    </row>
    <row r="4069">
      <c r="A4069" t="inlineStr">
        <is>
          <t>17 Apr 2026 / Mike Corran</t>
        </is>
      </c>
      <c r="B4069" t="inlineStr">
        <is>
          <t>Infrastructure &amp; Utilities</t>
        </is>
      </c>
      <c r="C4069" t="inlineStr">
        <is>
          <t>SSE</t>
        </is>
      </c>
      <c r="D4069" t="inlineStr">
        <is>
          <t>AJ72EWN , Car - Electric , Tesla , Y</t>
        </is>
      </c>
      <c r="E4069" t="inlineStr">
        <is>
          <t>AJ72EWN , Car - Electric , Tesla , Y</t>
        </is>
      </c>
      <c r="F4069" t="inlineStr">
        <is>
          <t>AJ72EWN , Car - Electric , Tesla , Y</t>
        </is>
      </c>
      <c r="G4069" t="inlineStr">
        <is>
          <t>Mike Corran</t>
        </is>
      </c>
      <c r="H4069" t="inlineStr">
        <is>
          <t>Car - Electric (GC Owned)</t>
        </is>
      </c>
      <c r="I4069" t="inlineStr">
        <is>
          <t>Daily/ Weekly Vehicle Inspection</t>
        </is>
      </c>
      <c r="J4069" t="inlineStr">
        <is>
          <t>N/A</t>
        </is>
      </c>
      <c r="K4069" t="inlineStr">
        <is>
          <t>Mike Corran</t>
        </is>
      </c>
      <c r="L4069" t="inlineStr">
        <is>
          <t>17/04/2026 08:51</t>
        </is>
      </c>
      <c r="M4069" t="inlineStr">
        <is>
          <t>None</t>
        </is>
      </c>
      <c r="N4069" t="inlineStr">
        <is>
          <t>&lt;p&gt;&lt;/p&gt;</t>
        </is>
      </c>
      <c r="O4069" t="inlineStr">
        <is>
          <t>Confirm that you have checked this vehicle as per the guidance document and the vehicle is safe and roadworthy:Rear tyres being changed today
-</t>
        </is>
      </c>
      <c r="P4069" t="inlineStr">
        <is>
          <t>AJ72EWN , Car - Electric , Tesla , Y</t>
        </is>
      </c>
      <c r="Q4069" t="inlineStr">
        <is>
          <t>SSE</t>
        </is>
      </c>
      <c r="R4069" t="b">
        <v>0</v>
      </c>
    </row>
    <row r="4070">
      <c r="A4070" t="inlineStr">
        <is>
          <t>17 Apr 2026 / 7995 Green Net Eco Ltd 2</t>
        </is>
      </c>
      <c r="B4070" t="inlineStr">
        <is>
          <t>Infrastructure &amp; Utilities</t>
        </is>
      </c>
      <c r="C4070" t="inlineStr">
        <is>
          <t>UKPN</t>
        </is>
      </c>
      <c r="D4070" t="inlineStr">
        <is>
          <t>SCK80000075030058 , Flat Bed Trailer , IFOR Williams , LM187G3</t>
        </is>
      </c>
      <c r="E4070" t="inlineStr">
        <is>
          <t>SCK80000075030058 , Flat Bed Trailer , IFOR Williams , LM187G3</t>
        </is>
      </c>
      <c r="F4070" t="inlineStr">
        <is>
          <t>SCK80000075030058 , Flat Bed Trailer , IFOR Williams , LM187G3</t>
        </is>
      </c>
      <c r="G4070" t="inlineStr">
        <is>
          <t>Thomas Playford</t>
        </is>
      </c>
      <c r="H4070" t="inlineStr">
        <is>
          <t>Plant Trailer</t>
        </is>
      </c>
      <c r="I4070" t="inlineStr">
        <is>
          <t>Daily/ Weekly Vehicle Inspection</t>
        </is>
      </c>
      <c r="J4070" t="inlineStr">
        <is>
          <t>N/A</t>
        </is>
      </c>
      <c r="K4070" t="inlineStr">
        <is>
          <t>7995 Green Net Eco Ltd 2</t>
        </is>
      </c>
      <c r="L4070" t="inlineStr">
        <is>
          <t>17/04/2026 08:54</t>
        </is>
      </c>
      <c r="M4070" t="inlineStr">
        <is>
          <t>None</t>
        </is>
      </c>
      <c r="N4070" t="inlineStr">
        <is>
          <t>&lt;p&gt;&lt;/p&gt;</t>
        </is>
      </c>
      <c r="O4070" t="inlineStr"/>
      <c r="P4070" t="inlineStr">
        <is>
          <t>SCK80000075030058 , Flat Bed Trailer , IFOR Williams , LM187G3</t>
        </is>
      </c>
      <c r="Q4070" t="inlineStr">
        <is>
          <t>UKPN</t>
        </is>
      </c>
      <c r="R4070" t="b">
        <v>0</v>
      </c>
    </row>
    <row r="4071">
      <c r="A4071" t="inlineStr">
        <is>
          <t>17 Apr 2026 / 7995 Green Net Eco Ltd 2</t>
        </is>
      </c>
      <c r="B4071" t="inlineStr">
        <is>
          <t>Infrastructure &amp; Utilities</t>
        </is>
      </c>
      <c r="C4071" t="inlineStr">
        <is>
          <t>UKPN</t>
        </is>
      </c>
      <c r="D4071" t="inlineStr">
        <is>
          <t>LK15KRZ , 4x4 , Landrover , Defender</t>
        </is>
      </c>
      <c r="E4071" t="inlineStr">
        <is>
          <t>LK15KRZ , 4x4 , Landrover , Defender</t>
        </is>
      </c>
      <c r="F4071" t="inlineStr">
        <is>
          <t>LK15KRZ , 4x4 , Landrover , Defender</t>
        </is>
      </c>
      <c r="G4071" t="inlineStr">
        <is>
          <t>Thomas Playford</t>
        </is>
      </c>
      <c r="H4071" t="inlineStr">
        <is>
          <t>4x4</t>
        </is>
      </c>
      <c r="I4071" t="inlineStr">
        <is>
          <t>Daily/ Weekly Vehicle Inspection</t>
        </is>
      </c>
      <c r="J4071" t="inlineStr">
        <is>
          <t>N/A</t>
        </is>
      </c>
      <c r="K4071" t="inlineStr">
        <is>
          <t>7995 Green Net Eco Ltd 2</t>
        </is>
      </c>
      <c r="L4071" t="inlineStr">
        <is>
          <t>17/04/2026 08:55</t>
        </is>
      </c>
      <c r="M4071" t="inlineStr">
        <is>
          <t>None</t>
        </is>
      </c>
      <c r="N4071" t="inlineStr">
        <is>
          <t>&lt;p&gt;&lt;/p&gt;</t>
        </is>
      </c>
      <c r="O4071" t="inlineStr"/>
      <c r="P4071" t="inlineStr">
        <is>
          <t>LK15KRZ , 4x4 , Landrover , Defender</t>
        </is>
      </c>
      <c r="Q4071" t="inlineStr">
        <is>
          <t>UKPN</t>
        </is>
      </c>
      <c r="R4071" t="b">
        <v>0</v>
      </c>
    </row>
    <row r="4072">
      <c r="A4072" t="inlineStr">
        <is>
          <t>17 Apr 2026 / Barry Bright</t>
        </is>
      </c>
      <c r="B4072" t="inlineStr">
        <is>
          <t>Infrastructure &amp; Utilities</t>
        </is>
      </c>
      <c r="C4072" t="inlineStr">
        <is>
          <t>UKPN</t>
        </is>
      </c>
      <c r="D4072" t="inlineStr">
        <is>
          <t>AK72YBM , Car - Electric , Tesla , Model Y Long Range</t>
        </is>
      </c>
      <c r="E4072" t="inlineStr">
        <is>
          <t>AK72YBM , Car - Electric , Tesla , Model Y Long Range</t>
        </is>
      </c>
      <c r="F4072" t="inlineStr">
        <is>
          <t>AK72YBM , Car - Electric , Tesla , Model Y Long Range</t>
        </is>
      </c>
      <c r="G4072" t="inlineStr">
        <is>
          <t xml:space="preserve">Barry Bright </t>
        </is>
      </c>
      <c r="H4072" t="inlineStr">
        <is>
          <t>Car - Electric (GC Owned)</t>
        </is>
      </c>
      <c r="I4072" t="inlineStr">
        <is>
          <t>Daily/ Weekly Vehicle Inspection</t>
        </is>
      </c>
      <c r="J4072" t="inlineStr">
        <is>
          <t>N/A</t>
        </is>
      </c>
      <c r="K4072" t="inlineStr">
        <is>
          <t>Barry Bright</t>
        </is>
      </c>
      <c r="L4072" t="inlineStr">
        <is>
          <t>17/04/2026 09:49</t>
        </is>
      </c>
      <c r="M4072" t="inlineStr">
        <is>
          <t>None</t>
        </is>
      </c>
      <c r="N4072" t="inlineStr">
        <is>
          <t>&lt;p&gt;&lt;/p&gt;</t>
        </is>
      </c>
      <c r="O4072" t="inlineStr"/>
      <c r="P4072" t="inlineStr">
        <is>
          <t>AK72YBM , Car - Electric , Tesla , Model Y Long Range</t>
        </is>
      </c>
      <c r="Q4072" t="inlineStr">
        <is>
          <t>UKPN</t>
        </is>
      </c>
      <c r="R4072" t="b">
        <v>0</v>
      </c>
    </row>
    <row r="4073">
      <c r="A4073" t="inlineStr">
        <is>
          <t>17 Apr 2026 / Jodie Bowen</t>
        </is>
      </c>
      <c r="B4073" t="inlineStr">
        <is>
          <t>Infrastructure &amp; Utilities</t>
        </is>
      </c>
      <c r="C4073" t="inlineStr">
        <is>
          <t>UKPN</t>
        </is>
      </c>
      <c r="D4073" t="inlineStr">
        <is>
          <t>AF22XRA , Car - Electric , Tesla , Model 3 Long Range AWD</t>
        </is>
      </c>
      <c r="E4073" t="inlineStr">
        <is>
          <t>AF22XRA , Car - Electric , Tesla , Model 3 Long Range AWD</t>
        </is>
      </c>
      <c r="F4073" t="inlineStr">
        <is>
          <t>AF22XRA , Car - Electric , Tesla , Model 3 Long Range AWD</t>
        </is>
      </c>
      <c r="G4073" t="inlineStr">
        <is>
          <t>Jodie Bowen</t>
        </is>
      </c>
      <c r="H4073" t="inlineStr">
        <is>
          <t>Car - Electric (GC Owned)</t>
        </is>
      </c>
      <c r="I4073" t="inlineStr">
        <is>
          <t>Daily/ Weekly Vehicle Inspection</t>
        </is>
      </c>
      <c r="J4073" t="inlineStr">
        <is>
          <t>N/A</t>
        </is>
      </c>
      <c r="K4073" t="inlineStr">
        <is>
          <t>Jodie Bowen</t>
        </is>
      </c>
      <c r="L4073" t="inlineStr">
        <is>
          <t>17/04/2026 09:50</t>
        </is>
      </c>
      <c r="M4073" t="inlineStr">
        <is>
          <t>None</t>
        </is>
      </c>
      <c r="N4073" t="inlineStr">
        <is>
          <t>&lt;p&gt;&lt;/p&gt;</t>
        </is>
      </c>
      <c r="O4073" t="inlineStr"/>
      <c r="P4073" t="inlineStr">
        <is>
          <t>AF22XRA , Car - Electric , Tesla , Model 3 Long Range AWD</t>
        </is>
      </c>
      <c r="Q4073" t="inlineStr">
        <is>
          <t>UKPN</t>
        </is>
      </c>
      <c r="R4073" t="b">
        <v>0</v>
      </c>
    </row>
    <row r="4074">
      <c r="A4074" t="inlineStr">
        <is>
          <t>17 Apr 2026 / 7951 Austin Tree Care LTD 1</t>
        </is>
      </c>
      <c r="B4074" t="inlineStr">
        <is>
          <t>Infrastructure &amp; Utilities</t>
        </is>
      </c>
      <c r="C4074" t="inlineStr">
        <is>
          <t>UKPN</t>
        </is>
      </c>
      <c r="D4074" t="inlineStr">
        <is>
          <t>WG64HTT , 4x4 , Land Rover , Defender 110</t>
        </is>
      </c>
      <c r="E4074" t="inlineStr">
        <is>
          <t>WG64HTT , 4x4 , Land Rover , Defender 110</t>
        </is>
      </c>
      <c r="F4074" t="inlineStr">
        <is>
          <t>WG64HTT , 4x4 , Land Rover , Defender 110</t>
        </is>
      </c>
      <c r="G4074" t="inlineStr">
        <is>
          <t xml:space="preserve">James Tasker </t>
        </is>
      </c>
      <c r="H4074" t="inlineStr">
        <is>
          <t>4x4</t>
        </is>
      </c>
      <c r="I4074" t="inlineStr">
        <is>
          <t>Daily/ Weekly Vehicle Inspection</t>
        </is>
      </c>
      <c r="J4074" t="inlineStr">
        <is>
          <t>N/A</t>
        </is>
      </c>
      <c r="K4074" t="inlineStr">
        <is>
          <t>7951 Austin Tree Care LTD 1</t>
        </is>
      </c>
      <c r="L4074" t="inlineStr">
        <is>
          <t>17/04/2026 09:51</t>
        </is>
      </c>
      <c r="M4074" t="inlineStr">
        <is>
          <t>None</t>
        </is>
      </c>
      <c r="N4074" t="inlineStr">
        <is>
          <t>&lt;p&gt;&lt;/p&gt;</t>
        </is>
      </c>
      <c r="O4074" t="inlineStr"/>
      <c r="P4074" t="inlineStr">
        <is>
          <t>WG64HTT , 4x4 , Land Rover , Defender 110</t>
        </is>
      </c>
      <c r="Q4074" t="inlineStr">
        <is>
          <t>UKPN</t>
        </is>
      </c>
      <c r="R4074" t="b">
        <v>0</v>
      </c>
    </row>
    <row r="4075">
      <c r="A4075" t="inlineStr">
        <is>
          <t>17 Apr 2026 / Chas Dell</t>
        </is>
      </c>
      <c r="B4075" t="inlineStr">
        <is>
          <t>Infrastructure &amp; Utilities</t>
        </is>
      </c>
      <c r="C4075" t="inlineStr">
        <is>
          <t>UKPN</t>
        </is>
      </c>
      <c r="D4075" t="inlineStr">
        <is>
          <t>EK73UOH , Car - Electric , Kia , Niro</t>
        </is>
      </c>
      <c r="E4075" t="inlineStr">
        <is>
          <t>EK73UOH , Car - Electric , Kia , Niro</t>
        </is>
      </c>
      <c r="F4075" t="inlineStr">
        <is>
          <t>EK73UOH , Car - Electric , Kia , Niro</t>
        </is>
      </c>
      <c r="G4075" t="inlineStr">
        <is>
          <t>chas dell</t>
        </is>
      </c>
      <c r="H4075" t="inlineStr">
        <is>
          <t>Car - Electric (GC Owned)</t>
        </is>
      </c>
      <c r="I4075" t="inlineStr">
        <is>
          <t>Daily/ Weekly Vehicle Inspection</t>
        </is>
      </c>
      <c r="J4075" t="inlineStr">
        <is>
          <t>N/A</t>
        </is>
      </c>
      <c r="K4075" t="inlineStr">
        <is>
          <t>Chas Dell</t>
        </is>
      </c>
      <c r="L4075" t="inlineStr">
        <is>
          <t>17/04/2026 10:50</t>
        </is>
      </c>
      <c r="M4075" t="inlineStr">
        <is>
          <t xml:space="preserve">Confirm that you have checked this vehicle as per the guidance document and the vehicle is safe and roadworthy: Fail
</t>
        </is>
      </c>
      <c r="N4075" t="inlineStr">
        <is>
          <t>&lt;p&gt;&lt;/p&gt;</t>
        </is>
      </c>
      <c r="O4075" t="inlineStr"/>
      <c r="P4075" t="inlineStr">
        <is>
          <t>EK73UOH , Car - Electric , Kia , Niro</t>
        </is>
      </c>
      <c r="Q4075" t="inlineStr">
        <is>
          <t>UKPN</t>
        </is>
      </c>
      <c r="R4075" t="b">
        <v>0</v>
      </c>
    </row>
    <row r="4076">
      <c r="A4076" t="inlineStr">
        <is>
          <t>17 Apr 2026 / Rodney Taylor</t>
        </is>
      </c>
      <c r="B4076" t="inlineStr">
        <is>
          <t>Infrastructure &amp; Utilities</t>
        </is>
      </c>
      <c r="C4076" t="inlineStr">
        <is>
          <t>NGED</t>
        </is>
      </c>
      <c r="D4076" t="inlineStr">
        <is>
          <t>EK73UOM , Car - Electric , Kia , Niro</t>
        </is>
      </c>
      <c r="E4076" t="inlineStr">
        <is>
          <t>EK73UOM , Car - Electric , Kia , Niro</t>
        </is>
      </c>
      <c r="F4076" t="inlineStr">
        <is>
          <t>EK73UOM , Car - Electric , Kia , Niro</t>
        </is>
      </c>
      <c r="G4076" t="inlineStr">
        <is>
          <t xml:space="preserve">Rod Taylor </t>
        </is>
      </c>
      <c r="H4076" t="inlineStr">
        <is>
          <t>Car - Electric (GC Owned)</t>
        </is>
      </c>
      <c r="I4076" t="inlineStr">
        <is>
          <t>Daily/ Weekly Vehicle Inspection</t>
        </is>
      </c>
      <c r="J4076" t="inlineStr">
        <is>
          <t>N/A</t>
        </is>
      </c>
      <c r="K4076" t="inlineStr">
        <is>
          <t>Rodney Taylor</t>
        </is>
      </c>
      <c r="L4076" t="inlineStr">
        <is>
          <t>17/04/2026 10:51</t>
        </is>
      </c>
      <c r="M4076" t="inlineStr">
        <is>
          <t>None</t>
        </is>
      </c>
      <c r="N4076" t="inlineStr">
        <is>
          <t>&lt;p&gt;&lt;/p&gt;</t>
        </is>
      </c>
      <c r="O4076" t="inlineStr"/>
      <c r="P4076" t="inlineStr">
        <is>
          <t>EK73UOM , Car - Electric , Kia , Niro</t>
        </is>
      </c>
      <c r="Q4076" t="inlineStr">
        <is>
          <t>NGED</t>
        </is>
      </c>
      <c r="R4076" t="b">
        <v>0</v>
      </c>
    </row>
    <row r="4077">
      <c r="A4077" t="inlineStr">
        <is>
          <t>20 Apr 2026 / Patryk Zietarski</t>
        </is>
      </c>
      <c r="B4077" t="inlineStr">
        <is>
          <t>Infrastructure &amp; Utilities</t>
        </is>
      </c>
      <c r="C4077" t="inlineStr">
        <is>
          <t>UKPN</t>
        </is>
      </c>
      <c r="D4077" t="inlineStr">
        <is>
          <t>YW73CWL , Car - Electric , Kia , eNiro</t>
        </is>
      </c>
      <c r="E4077" t="inlineStr">
        <is>
          <t>YW73CWL , Car - Electric , Kia , eNiro</t>
        </is>
      </c>
      <c r="F4077" t="inlineStr">
        <is>
          <t>YW73CWL , Car - Electric , Kia , eNiro</t>
        </is>
      </c>
      <c r="G4077" t="inlineStr">
        <is>
          <t xml:space="preserve">Patryk Zietarski </t>
        </is>
      </c>
      <c r="H4077" t="inlineStr">
        <is>
          <t>Car - Electric (GC Owned)</t>
        </is>
      </c>
      <c r="I4077" t="inlineStr">
        <is>
          <t>Daily/ Weekly Vehicle Inspection</t>
        </is>
      </c>
      <c r="J4077" t="inlineStr">
        <is>
          <t>N/A</t>
        </is>
      </c>
      <c r="K4077" t="inlineStr">
        <is>
          <t>Patryk Zietarski</t>
        </is>
      </c>
      <c r="L4077" t="inlineStr">
        <is>
          <t>20/04/2026 05:53</t>
        </is>
      </c>
      <c r="M4077" t="inlineStr">
        <is>
          <t>None</t>
        </is>
      </c>
      <c r="N4077" t="inlineStr">
        <is>
          <t>&lt;p&gt;&lt;/p&gt;</t>
        </is>
      </c>
      <c r="O4077" t="inlineStr"/>
      <c r="P4077" t="inlineStr">
        <is>
          <t>YW73CWL , Car - Electric , Kia , eNiro</t>
        </is>
      </c>
      <c r="Q4077" t="inlineStr">
        <is>
          <t>UKPN</t>
        </is>
      </c>
      <c r="R4077" t="b">
        <v>0</v>
      </c>
    </row>
    <row r="4078">
      <c r="A4078" t="inlineStr">
        <is>
          <t>20 Apr 2026 / 7186 Eastwoodbury Tree Services Ltd</t>
        </is>
      </c>
      <c r="B4078" t="inlineStr">
        <is>
          <t>Infrastructure &amp; Utilities</t>
        </is>
      </c>
      <c r="C4078" t="inlineStr">
        <is>
          <t>UKPN</t>
        </is>
      </c>
      <c r="D4078" t="inlineStr">
        <is>
          <t>WF13 EKM , 4x4 , Land rover  , Defenders</t>
        </is>
      </c>
      <c r="E4078" t="inlineStr">
        <is>
          <t>WF13 EKM , 4x4 , Land rover  , Defenders</t>
        </is>
      </c>
      <c r="F4078" t="inlineStr">
        <is>
          <t>WF13 EKM , 4x4 , Land rover  , Defenders</t>
        </is>
      </c>
      <c r="G4078" t="inlineStr">
        <is>
          <t xml:space="preserve">Luke Williams </t>
        </is>
      </c>
      <c r="H4078" t="inlineStr">
        <is>
          <t>4x4</t>
        </is>
      </c>
      <c r="I4078" t="inlineStr">
        <is>
          <t>Daily/ Weekly Vehicle Inspection</t>
        </is>
      </c>
      <c r="J4078" t="inlineStr">
        <is>
          <t>N/A</t>
        </is>
      </c>
      <c r="K4078" t="inlineStr">
        <is>
          <t>7186 Eastwoodbury Tree Services Ltd</t>
        </is>
      </c>
      <c r="L4078" t="inlineStr">
        <is>
          <t>20/04/2026 07:50</t>
        </is>
      </c>
      <c r="M4078" t="inlineStr">
        <is>
          <t>None</t>
        </is>
      </c>
      <c r="N4078" t="inlineStr">
        <is>
          <t>&lt;p&gt;&lt;/p&gt;</t>
        </is>
      </c>
      <c r="O4078" t="inlineStr"/>
      <c r="P4078" t="inlineStr">
        <is>
          <t>WF13 EKM , 4x4 , Land rover  , Defenders</t>
        </is>
      </c>
      <c r="Q4078" t="inlineStr">
        <is>
          <t>UKPN</t>
        </is>
      </c>
      <c r="R4078" t="b">
        <v>0</v>
      </c>
    </row>
    <row r="4079">
      <c r="A4079" t="inlineStr">
        <is>
          <t>20 Apr 2026 / 7186 Eastwoodbury Tree Services Ltd</t>
        </is>
      </c>
      <c r="B4079" t="inlineStr">
        <is>
          <t>Infrastructure &amp; Utilities</t>
        </is>
      </c>
      <c r="C4079" t="inlineStr">
        <is>
          <t>UKPN</t>
        </is>
      </c>
      <c r="D4079" t="inlineStr">
        <is>
          <t>WF13 EKT , 4x4 , Land rover  , Defender</t>
        </is>
      </c>
      <c r="E4079" t="inlineStr">
        <is>
          <t>WF13 EKT , 4x4 , Land rover  , Defender</t>
        </is>
      </c>
      <c r="F4079" t="inlineStr">
        <is>
          <t>WF13 EKT , 4x4 , Land rover  , Defender</t>
        </is>
      </c>
      <c r="G4079" t="inlineStr">
        <is>
          <t xml:space="preserve">Dan Gilbert </t>
        </is>
      </c>
      <c r="H4079" t="inlineStr">
        <is>
          <t>4x4</t>
        </is>
      </c>
      <c r="I4079" t="inlineStr">
        <is>
          <t>Daily/ Weekly Vehicle Inspection</t>
        </is>
      </c>
      <c r="J4079" t="inlineStr">
        <is>
          <t>N/A</t>
        </is>
      </c>
      <c r="K4079" t="inlineStr">
        <is>
          <t>7186 Eastwoodbury Tree Services Ltd</t>
        </is>
      </c>
      <c r="L4079" t="inlineStr">
        <is>
          <t>20/04/2026 07:51</t>
        </is>
      </c>
      <c r="M4079" t="inlineStr">
        <is>
          <t>None</t>
        </is>
      </c>
      <c r="N4079" t="inlineStr">
        <is>
          <t>&lt;p&gt;&lt;/p&gt;</t>
        </is>
      </c>
      <c r="O4079" t="inlineStr"/>
      <c r="P4079" t="inlineStr">
        <is>
          <t>WF13 EKT , 4x4 , Land rover  , Defender</t>
        </is>
      </c>
      <c r="Q4079" t="inlineStr">
        <is>
          <t>UKPN</t>
        </is>
      </c>
      <c r="R4079" t="b">
        <v>0</v>
      </c>
    </row>
    <row r="4080">
      <c r="A4080" t="inlineStr">
        <is>
          <t>20 Apr 2026 / Benet Jones</t>
        </is>
      </c>
      <c r="B4080" t="inlineStr">
        <is>
          <t>Infrastructure &amp; Utilities</t>
        </is>
      </c>
      <c r="C4080" t="inlineStr">
        <is>
          <t>NGED</t>
        </is>
      </c>
      <c r="D4080" t="inlineStr">
        <is>
          <t>GF71TXC , Car - Electric , Tesla , Model 3 Long Range AWD</t>
        </is>
      </c>
      <c r="E4080" t="inlineStr">
        <is>
          <t>GF71TXC , Car - Electric , Tesla , Model 3 Long Range AWD</t>
        </is>
      </c>
      <c r="F4080" t="inlineStr">
        <is>
          <t>GF71TXC , Car - Electric , Tesla , Model 3 Long Range AWD</t>
        </is>
      </c>
      <c r="G4080" t="inlineStr">
        <is>
          <t xml:space="preserve">Benet Jones </t>
        </is>
      </c>
      <c r="H4080" t="inlineStr">
        <is>
          <t>Car - Electric (GC Owned)</t>
        </is>
      </c>
      <c r="I4080" t="inlineStr">
        <is>
          <t>Daily/ Weekly Vehicle Inspection</t>
        </is>
      </c>
      <c r="J4080" t="inlineStr">
        <is>
          <t>N/A</t>
        </is>
      </c>
      <c r="K4080" t="inlineStr">
        <is>
          <t>Benet Jones</t>
        </is>
      </c>
      <c r="L4080" t="inlineStr">
        <is>
          <t>20/04/2026 07:52</t>
        </is>
      </c>
      <c r="M4080" t="inlineStr">
        <is>
          <t>None</t>
        </is>
      </c>
      <c r="N4080" t="inlineStr">
        <is>
          <t>&lt;p&gt;&lt;/p&gt;</t>
        </is>
      </c>
      <c r="O4080" t="inlineStr"/>
      <c r="P4080" t="inlineStr">
        <is>
          <t>GF71TXC , Car - Electric , Tesla , Model 3 Long Range AWD</t>
        </is>
      </c>
      <c r="Q4080" t="inlineStr">
        <is>
          <t>NGED</t>
        </is>
      </c>
      <c r="R4080" t="b">
        <v>0</v>
      </c>
    </row>
    <row r="4081">
      <c r="A4081" t="inlineStr">
        <is>
          <t>20 Apr 2026 / 7800 MAC Tree Surgery and Fencing Ltd</t>
        </is>
      </c>
      <c r="B4081" t="inlineStr">
        <is>
          <t>Infrastructure &amp; Utilities</t>
        </is>
      </c>
      <c r="C4081" t="inlineStr">
        <is>
          <t>UKPN</t>
        </is>
      </c>
      <c r="D4081" t="inlineStr">
        <is>
          <t>FG16LNT , Tipper , Ford transit  , Transit tipper</t>
        </is>
      </c>
      <c r="E4081" t="inlineStr">
        <is>
          <t>FG16LNT , Tipper , Ford transit  , Transit tipper</t>
        </is>
      </c>
      <c r="F4081" t="inlineStr">
        <is>
          <t>FG16LNT , Tipper , Ford transit  , Transit tipper</t>
        </is>
      </c>
      <c r="G4081" t="inlineStr">
        <is>
          <t xml:space="preserve">Patrick oshea </t>
        </is>
      </c>
      <c r="H4081" t="inlineStr">
        <is>
          <t>Tipper</t>
        </is>
      </c>
      <c r="I4081" t="inlineStr">
        <is>
          <t>Daily/ Weekly Vehicle Inspection</t>
        </is>
      </c>
      <c r="J4081" t="inlineStr">
        <is>
          <t>N/A</t>
        </is>
      </c>
      <c r="K4081" t="inlineStr">
        <is>
          <t>7800 MAC Tree Surgery and Fencing Ltd</t>
        </is>
      </c>
      <c r="L4081" t="inlineStr">
        <is>
          <t>20/04/2026 07:54</t>
        </is>
      </c>
      <c r="M4081" t="inlineStr">
        <is>
          <t>None</t>
        </is>
      </c>
      <c r="N4081" t="inlineStr">
        <is>
          <t>&lt;p&gt;&lt;/p&gt;</t>
        </is>
      </c>
      <c r="O4081" t="inlineStr"/>
      <c r="P4081" t="inlineStr">
        <is>
          <t>FG16LNT , Tipper , Ford transit  , Transit tipper</t>
        </is>
      </c>
      <c r="Q4081" t="inlineStr">
        <is>
          <t>UKPN</t>
        </is>
      </c>
      <c r="R4081" t="b">
        <v>0</v>
      </c>
    </row>
    <row r="4082">
      <c r="A4082" t="inlineStr">
        <is>
          <t>20 Apr 2026 / 7951 Austin Tree Care LTD</t>
        </is>
      </c>
      <c r="B4082" t="inlineStr">
        <is>
          <t>Infrastructure &amp; Utilities</t>
        </is>
      </c>
      <c r="C4082" t="inlineStr">
        <is>
          <t>UKPN</t>
        </is>
      </c>
      <c r="D4082" t="inlineStr">
        <is>
          <t>SA9ST6P0001283612 , Towed Chipper , Forst , ST6p</t>
        </is>
      </c>
      <c r="E4082" t="inlineStr">
        <is>
          <t>SA9ST6P0001283612 , Towed Chipper , Forst , ST6p</t>
        </is>
      </c>
      <c r="F4082" t="inlineStr">
        <is>
          <t>SA9ST6P0001283612 , Towed Chipper , Forst , ST6p</t>
        </is>
      </c>
      <c r="G4082" t="inlineStr">
        <is>
          <t xml:space="preserve">Jack Austin </t>
        </is>
      </c>
      <c r="H4082" t="inlineStr">
        <is>
          <t>Towed Chipper</t>
        </is>
      </c>
      <c r="I4082" t="inlineStr">
        <is>
          <t>Daily/ Weekly Vehicle Inspection</t>
        </is>
      </c>
      <c r="J4082" t="inlineStr">
        <is>
          <t>N/A</t>
        </is>
      </c>
      <c r="K4082" t="inlineStr">
        <is>
          <t>7951 Austin Tree Care LTD</t>
        </is>
      </c>
      <c r="L4082" t="inlineStr">
        <is>
          <t>20/04/2026 07:59</t>
        </is>
      </c>
      <c r="M4082" t="inlineStr">
        <is>
          <t>None</t>
        </is>
      </c>
      <c r="N4082" t="inlineStr">
        <is>
          <t>&lt;p&gt;&lt;/p&gt;</t>
        </is>
      </c>
      <c r="O4082" t="inlineStr"/>
      <c r="P4082" t="inlineStr">
        <is>
          <t>SA9ST6P0001283612 , Towed Chipper , Forst , ST6p</t>
        </is>
      </c>
      <c r="Q4082" t="inlineStr">
        <is>
          <t>UKPN</t>
        </is>
      </c>
      <c r="R4082" t="b">
        <v>0</v>
      </c>
    </row>
    <row r="4083">
      <c r="A4083" t="inlineStr">
        <is>
          <t>20 Apr 2026 / 7800 MAC Tree Surgery and Fencing Ltd</t>
        </is>
      </c>
      <c r="B4083" t="inlineStr">
        <is>
          <t>Infrastructure &amp; Utilities</t>
        </is>
      </c>
      <c r="C4083" t="inlineStr">
        <is>
          <t>UKPN</t>
        </is>
      </c>
      <c r="D4083" t="inlineStr">
        <is>
          <t>0 , Plant Trailer , Towmate , 2.8t</t>
        </is>
      </c>
      <c r="E4083" t="inlineStr">
        <is>
          <t>0 , Plant Trailer , Towmate , 2.8t</t>
        </is>
      </c>
      <c r="F4083" t="inlineStr">
        <is>
          <t>0 , Plant Trailer , Towmate , 2.8t</t>
        </is>
      </c>
      <c r="G4083" t="inlineStr">
        <is>
          <t xml:space="preserve">Patrick oshea </t>
        </is>
      </c>
      <c r="H4083" t="inlineStr">
        <is>
          <t>Plant Trailer</t>
        </is>
      </c>
      <c r="I4083" t="inlineStr">
        <is>
          <t>Daily/ Weekly Vehicle Inspection</t>
        </is>
      </c>
      <c r="J4083" t="inlineStr">
        <is>
          <t>N/A</t>
        </is>
      </c>
      <c r="K4083" t="inlineStr">
        <is>
          <t>7800 MAC Tree Surgery and Fencing Ltd</t>
        </is>
      </c>
      <c r="L4083" t="inlineStr">
        <is>
          <t>20/04/2026 08:08</t>
        </is>
      </c>
      <c r="M4083" t="inlineStr">
        <is>
          <t>None</t>
        </is>
      </c>
      <c r="N4083" t="inlineStr">
        <is>
          <t>&lt;p&gt;&lt;/p&gt;</t>
        </is>
      </c>
      <c r="O4083" t="inlineStr"/>
      <c r="P4083" t="inlineStr">
        <is>
          <t>0 , Plant Trailer , Towmate , 2.8t</t>
        </is>
      </c>
      <c r="Q4083" t="inlineStr">
        <is>
          <t>UKPN</t>
        </is>
      </c>
      <c r="R4083" t="b">
        <v>0</v>
      </c>
    </row>
    <row r="4084">
      <c r="A4084" t="inlineStr">
        <is>
          <t>20 Apr 2026 / 7951 Austin Tree Care LTD</t>
        </is>
      </c>
      <c r="B4084" t="inlineStr">
        <is>
          <t>Infrastructure &amp; Utilities</t>
        </is>
      </c>
      <c r="C4084" t="inlineStr">
        <is>
          <t>UKPN</t>
        </is>
      </c>
      <c r="D4084" t="inlineStr">
        <is>
          <t>WG64HTT , 4x4 , Land Rover , Defender 110</t>
        </is>
      </c>
      <c r="E4084" t="inlineStr">
        <is>
          <t>WG64HTT , 4x4 , Land Rover , Defender 110</t>
        </is>
      </c>
      <c r="F4084" t="inlineStr">
        <is>
          <t>WG64HTT , 4x4 , Land Rover , Defender 110</t>
        </is>
      </c>
      <c r="G4084" t="inlineStr">
        <is>
          <t xml:space="preserve">Jack Austin </t>
        </is>
      </c>
      <c r="H4084" t="inlineStr">
        <is>
          <t>4x4</t>
        </is>
      </c>
      <c r="I4084" t="inlineStr">
        <is>
          <t>Daily/ Weekly Vehicle Inspection</t>
        </is>
      </c>
      <c r="J4084" t="inlineStr">
        <is>
          <t>N/A</t>
        </is>
      </c>
      <c r="K4084" t="inlineStr">
        <is>
          <t>7951 Austin Tree Care LTD</t>
        </is>
      </c>
      <c r="L4084" t="inlineStr">
        <is>
          <t>20/04/2026 08:11</t>
        </is>
      </c>
      <c r="M4084" t="inlineStr">
        <is>
          <t>None</t>
        </is>
      </c>
      <c r="N4084" t="inlineStr">
        <is>
          <t>&lt;p&gt;&lt;/p&gt;</t>
        </is>
      </c>
      <c r="O4084" t="inlineStr"/>
      <c r="P4084" t="inlineStr">
        <is>
          <t>WG64HTT , 4x4 , Land Rover , Defender 110</t>
        </is>
      </c>
      <c r="Q4084" t="inlineStr">
        <is>
          <t>UKPN</t>
        </is>
      </c>
      <c r="R4084" t="b">
        <v>0</v>
      </c>
    </row>
    <row r="4085">
      <c r="A4085" t="inlineStr">
        <is>
          <t>20 Apr 2026 / 7996 M G Tree Surgery Ltd 1</t>
        </is>
      </c>
      <c r="B4085" t="inlineStr">
        <is>
          <t>Infrastructure &amp; Utilities</t>
        </is>
      </c>
      <c r="C4085" t="inlineStr">
        <is>
          <t>UKPN</t>
        </is>
      </c>
      <c r="D4085" t="inlineStr"/>
      <c r="E4085" t="inlineStr"/>
      <c r="F4085" t="inlineStr"/>
      <c r="G4085" t="inlineStr">
        <is>
          <t>Anthony Gale</t>
        </is>
      </c>
      <c r="H4085" t="inlineStr">
        <is>
          <t>Towed Chipper</t>
        </is>
      </c>
      <c r="I4085" t="inlineStr">
        <is>
          <t>Daily/ Weekly Vehicle Inspection</t>
        </is>
      </c>
      <c r="J4085" t="inlineStr">
        <is>
          <t>N/A</t>
        </is>
      </c>
      <c r="K4085" t="inlineStr">
        <is>
          <t>7996 M G Tree Surgery Ltd 1</t>
        </is>
      </c>
      <c r="L4085" t="inlineStr">
        <is>
          <t>20/04/2026 08:13</t>
        </is>
      </c>
      <c r="M4085" t="inlineStr">
        <is>
          <t>None</t>
        </is>
      </c>
      <c r="N4085" t="inlineStr">
        <is>
          <t>&lt;p&gt;&lt;/p&gt;</t>
        </is>
      </c>
      <c r="O4085" t="inlineStr"/>
      <c r="P4085" t="inlineStr"/>
      <c r="Q4085" t="inlineStr">
        <is>
          <t>UKPN</t>
        </is>
      </c>
      <c r="R4085" t="b">
        <v>0</v>
      </c>
    </row>
    <row r="4086">
      <c r="A4086" t="inlineStr">
        <is>
          <t>20 Apr 2026 / 7996 M G Tree Surgery Ltd 1</t>
        </is>
      </c>
      <c r="B4086" t="inlineStr">
        <is>
          <t>Infrastructure &amp; Utilities</t>
        </is>
      </c>
      <c r="C4086" t="inlineStr">
        <is>
          <t>UKPN</t>
        </is>
      </c>
      <c r="D4086" t="inlineStr">
        <is>
          <t>KX20 BCE , Tipper , Isuzu , D-Max</t>
        </is>
      </c>
      <c r="E4086" t="inlineStr">
        <is>
          <t>KX20 BCE , Tipper , Isuzu , D-Max</t>
        </is>
      </c>
      <c r="F4086" t="inlineStr">
        <is>
          <t>KX20 BCE , Tipper , Isuzu , D-Max</t>
        </is>
      </c>
      <c r="G4086" t="inlineStr">
        <is>
          <t>Anthony Gale</t>
        </is>
      </c>
      <c r="H4086" t="inlineStr">
        <is>
          <t>Pickup Truck</t>
        </is>
      </c>
      <c r="I4086" t="inlineStr">
        <is>
          <t>Daily/ Weekly Vehicle Inspection</t>
        </is>
      </c>
      <c r="J4086" t="inlineStr">
        <is>
          <t>N/A</t>
        </is>
      </c>
      <c r="K4086" t="inlineStr">
        <is>
          <t>7996 M G Tree Surgery Ltd 1</t>
        </is>
      </c>
      <c r="L4086" t="inlineStr">
        <is>
          <t>20/04/2026 08:14</t>
        </is>
      </c>
      <c r="M4086" t="inlineStr">
        <is>
          <t>None</t>
        </is>
      </c>
      <c r="N4086" t="inlineStr">
        <is>
          <t>&lt;p&gt;&lt;/p&gt;</t>
        </is>
      </c>
      <c r="O4086" t="inlineStr"/>
      <c r="P4086" t="inlineStr">
        <is>
          <t>KX20 BCE , Tipper , Isuzu , D-Max</t>
        </is>
      </c>
      <c r="Q4086" t="inlineStr">
        <is>
          <t>UKPN</t>
        </is>
      </c>
      <c r="R4086" t="b">
        <v>0</v>
      </c>
    </row>
    <row r="4087">
      <c r="A4087" t="inlineStr">
        <is>
          <t>20 Apr 2026 / 6617 Ashdown Tree Limited 1</t>
        </is>
      </c>
      <c r="B4087" t="inlineStr">
        <is>
          <t>Infrastructure &amp; Utilities</t>
        </is>
      </c>
      <c r="C4087" t="inlineStr">
        <is>
          <t>UKPN</t>
        </is>
      </c>
      <c r="D4087" t="inlineStr">
        <is>
          <t>FE11BUT , Tipper , Ford , Transit</t>
        </is>
      </c>
      <c r="E4087" t="inlineStr">
        <is>
          <t>FE11BUT , Tipper , Ford , Transit</t>
        </is>
      </c>
      <c r="F4087" t="inlineStr">
        <is>
          <t>FE11BUT , Tipper , Ford , Transit</t>
        </is>
      </c>
      <c r="G4087" t="inlineStr">
        <is>
          <t>Tony</t>
        </is>
      </c>
      <c r="H4087" t="inlineStr">
        <is>
          <t>Tipper</t>
        </is>
      </c>
      <c r="I4087" t="inlineStr">
        <is>
          <t>Daily/ Weekly Vehicle Inspection</t>
        </is>
      </c>
      <c r="J4087" t="inlineStr">
        <is>
          <t>N/A</t>
        </is>
      </c>
      <c r="K4087" t="inlineStr">
        <is>
          <t>6617 Ashdown Tree Limited - Team 2</t>
        </is>
      </c>
      <c r="L4087" t="inlineStr">
        <is>
          <t>20/04/2026 08:14</t>
        </is>
      </c>
      <c r="M4087" t="inlineStr">
        <is>
          <t>None</t>
        </is>
      </c>
      <c r="N4087" t="inlineStr">
        <is>
          <t>&lt;p&gt;&lt;/p&gt;</t>
        </is>
      </c>
      <c r="O4087" t="inlineStr"/>
      <c r="P4087" t="inlineStr">
        <is>
          <t>FE11BUT , Tipper , Ford , Transit</t>
        </is>
      </c>
      <c r="Q4087" t="inlineStr">
        <is>
          <t>UKPN</t>
        </is>
      </c>
      <c r="R4087" t="b">
        <v>0</v>
      </c>
    </row>
    <row r="4088">
      <c r="A4088" t="inlineStr">
        <is>
          <t>20 Apr 2026 / 6617 Ashdown Tree Limited 1</t>
        </is>
      </c>
      <c r="B4088" t="inlineStr">
        <is>
          <t>Infrastructure &amp; Utilities</t>
        </is>
      </c>
      <c r="C4088" t="inlineStr">
        <is>
          <t>UKPN</t>
        </is>
      </c>
      <c r="D4088" t="inlineStr">
        <is>
          <t>WG63OJS , 4x4 , Land rover  , defender</t>
        </is>
      </c>
      <c r="E4088" t="inlineStr">
        <is>
          <t>WG63OJS , 4x4 , Land rover  , defender</t>
        </is>
      </c>
      <c r="F4088" t="inlineStr">
        <is>
          <t>WG63OJS , 4x4 , Land rover  , defender</t>
        </is>
      </c>
      <c r="G4088" t="inlineStr">
        <is>
          <t>Dan</t>
        </is>
      </c>
      <c r="H4088" t="inlineStr">
        <is>
          <t>4x4</t>
        </is>
      </c>
      <c r="I4088" t="inlineStr">
        <is>
          <t>Daily/ Weekly Vehicle Inspection</t>
        </is>
      </c>
      <c r="J4088" t="inlineStr">
        <is>
          <t>N/A</t>
        </is>
      </c>
      <c r="K4088" t="inlineStr">
        <is>
          <t>6617 Ashdown Tree Limited - Team 2</t>
        </is>
      </c>
      <c r="L4088" t="inlineStr">
        <is>
          <t>20/04/2026 08:16</t>
        </is>
      </c>
      <c r="M4088" t="inlineStr">
        <is>
          <t>None</t>
        </is>
      </c>
      <c r="N4088" t="inlineStr">
        <is>
          <t>&lt;p&gt;&lt;/p&gt;</t>
        </is>
      </c>
      <c r="O4088" t="inlineStr"/>
      <c r="P4088" t="inlineStr">
        <is>
          <t>WG63OJS , 4x4 , Land rover  , defender</t>
        </is>
      </c>
      <c r="Q4088" t="inlineStr">
        <is>
          <t>UKPN</t>
        </is>
      </c>
      <c r="R4088" t="b">
        <v>0</v>
      </c>
    </row>
    <row r="4089">
      <c r="A4089" t="inlineStr">
        <is>
          <t>20 Apr 2026 / 7889 Tree Tech Suffolk Ltd</t>
        </is>
      </c>
      <c r="B4089" t="inlineStr">
        <is>
          <t>Utilities &amp; Inland Waterways</t>
        </is>
      </c>
      <c r="C4089" t="inlineStr">
        <is>
          <t>UKPN</t>
        </is>
      </c>
      <c r="D4089" t="inlineStr">
        <is>
          <t>Tipper - Nissan - Navara - NS02TTS</t>
        </is>
      </c>
      <c r="E4089" t="inlineStr">
        <is>
          <t>Tipper - Nissan - Navara - NS02TTS</t>
        </is>
      </c>
      <c r="F4089" t="inlineStr">
        <is>
          <t>Tipper - Nissan - Navara - NS02TTS</t>
        </is>
      </c>
      <c r="G4089" t="inlineStr">
        <is>
          <t>Danny Appleby</t>
        </is>
      </c>
      <c r="H4089" t="inlineStr">
        <is>
          <t>Tipper</t>
        </is>
      </c>
      <c r="I4089" t="inlineStr">
        <is>
          <t>Daily/ Weekly Vehicle Inspection</t>
        </is>
      </c>
      <c r="J4089" t="inlineStr">
        <is>
          <t>N/A</t>
        </is>
      </c>
      <c r="K4089" t="inlineStr">
        <is>
          <t>7889 Tree Tech Suffolk Ltd</t>
        </is>
      </c>
      <c r="L4089" t="inlineStr">
        <is>
          <t>20/04/2026 08:17</t>
        </is>
      </c>
      <c r="M4089" t="inlineStr">
        <is>
          <t>None</t>
        </is>
      </c>
      <c r="N4089" t="inlineStr">
        <is>
          <t>&lt;p&gt;&lt;/p&gt;</t>
        </is>
      </c>
      <c r="O4089" t="inlineStr"/>
      <c r="P4089" t="inlineStr">
        <is>
          <t>Tipper - Nissan - Navara - NS02TTS</t>
        </is>
      </c>
      <c r="Q4089" t="inlineStr">
        <is>
          <t>UKPN</t>
        </is>
      </c>
      <c r="R4089" t="b">
        <v>0</v>
      </c>
    </row>
    <row r="4090">
      <c r="A4090" t="inlineStr">
        <is>
          <t>20 Apr 2026 / 7806 Optimum Tree Services Ltd</t>
        </is>
      </c>
      <c r="B4090" t="inlineStr">
        <is>
          <t>Infrastructure &amp; Utilities</t>
        </is>
      </c>
      <c r="C4090" t="inlineStr">
        <is>
          <t>UKPN</t>
        </is>
      </c>
      <c r="D4090" t="inlineStr">
        <is>
          <t>SA9TAPLAF27414263 , Trailer , Tow Mate , Plant Trailer</t>
        </is>
      </c>
      <c r="E4090" t="inlineStr">
        <is>
          <t>SA9TAPLAF27414263 , Trailer , Tow Mate , Plant Trailer</t>
        </is>
      </c>
      <c r="F4090" t="inlineStr">
        <is>
          <t>SA9TAPLAF27414263 , Trailer , Tow Mate , Plant Trailer</t>
        </is>
      </c>
      <c r="G4090" t="inlineStr">
        <is>
          <t xml:space="preserve">Abraham Davies </t>
        </is>
      </c>
      <c r="H4090" t="inlineStr">
        <is>
          <t>Plant Trailer</t>
        </is>
      </c>
      <c r="I4090" t="inlineStr">
        <is>
          <t>Daily/ Weekly Vehicle Inspection</t>
        </is>
      </c>
      <c r="J4090" t="inlineStr">
        <is>
          <t>N/A</t>
        </is>
      </c>
      <c r="K4090" t="inlineStr">
        <is>
          <t>7806 Optimum Tree Services Ltd</t>
        </is>
      </c>
      <c r="L4090" t="inlineStr">
        <is>
          <t>20/04/2026 08:17</t>
        </is>
      </c>
      <c r="M4090" t="inlineStr">
        <is>
          <t>None</t>
        </is>
      </c>
      <c r="N4090" t="inlineStr">
        <is>
          <t>&lt;p&gt;&lt;/p&gt;</t>
        </is>
      </c>
      <c r="O4090" t="inlineStr"/>
      <c r="P4090" t="inlineStr">
        <is>
          <t>SA9TAPLAF27414263 , Trailer , Tow Mate , Plant Trailer</t>
        </is>
      </c>
      <c r="Q4090" t="inlineStr">
        <is>
          <t>UKPN</t>
        </is>
      </c>
      <c r="R4090" t="b">
        <v>0</v>
      </c>
    </row>
    <row r="4091">
      <c r="A4091" t="inlineStr">
        <is>
          <t>20 Apr 2026 / 7806 Optimum Tree Services Ltd</t>
        </is>
      </c>
      <c r="B4091" t="inlineStr">
        <is>
          <t>Infrastructure &amp; Utilities</t>
        </is>
      </c>
      <c r="C4091" t="inlineStr">
        <is>
          <t>UKPN</t>
        </is>
      </c>
      <c r="D4091" t="inlineStr">
        <is>
          <t>NA10SYZ , Tipper , Ford , Transit</t>
        </is>
      </c>
      <c r="E4091" t="inlineStr">
        <is>
          <t>NA10SYZ , Tipper , Ford , Transit</t>
        </is>
      </c>
      <c r="F4091" t="inlineStr">
        <is>
          <t>NA10SYZ , Tipper , Ford , Transit</t>
        </is>
      </c>
      <c r="G4091" t="inlineStr">
        <is>
          <t xml:space="preserve">Abraham Davies </t>
        </is>
      </c>
      <c r="H4091" t="inlineStr">
        <is>
          <t>Tipper</t>
        </is>
      </c>
      <c r="I4091" t="inlineStr">
        <is>
          <t>Daily/ Weekly Vehicle Inspection</t>
        </is>
      </c>
      <c r="J4091" t="inlineStr">
        <is>
          <t>N/A</t>
        </is>
      </c>
      <c r="K4091" t="inlineStr">
        <is>
          <t>7806 Optimum Tree Services Ltd</t>
        </is>
      </c>
      <c r="L4091" t="inlineStr">
        <is>
          <t>20/04/2026 08:19</t>
        </is>
      </c>
      <c r="M4091" t="inlineStr">
        <is>
          <t>None</t>
        </is>
      </c>
      <c r="N4091" t="inlineStr">
        <is>
          <t>&lt;p&gt;&lt;/p&gt;</t>
        </is>
      </c>
      <c r="O4091" t="inlineStr"/>
      <c r="P4091" t="inlineStr">
        <is>
          <t>NA10SYZ , Tipper , Ford , Transit</t>
        </is>
      </c>
      <c r="Q4091" t="inlineStr">
        <is>
          <t>UKPN</t>
        </is>
      </c>
      <c r="R4091" t="b">
        <v>0</v>
      </c>
    </row>
    <row r="4092">
      <c r="A4092" t="inlineStr">
        <is>
          <t>20 Apr 2026 / Christopher Simeoli</t>
        </is>
      </c>
      <c r="B4092" t="inlineStr">
        <is>
          <t>Infrastructure &amp; Utilities</t>
        </is>
      </c>
      <c r="C4092" t="inlineStr">
        <is>
          <t>NGED</t>
        </is>
      </c>
      <c r="D4092" t="inlineStr">
        <is>
          <t>EO73KVB , Car - Electric , Kia , Niro</t>
        </is>
      </c>
      <c r="E4092" t="inlineStr">
        <is>
          <t>EO73KVB , Car - Electric , Kia , Niro</t>
        </is>
      </c>
      <c r="F4092" t="inlineStr">
        <is>
          <t>EO73KVB , Car - Electric , Kia , Niro</t>
        </is>
      </c>
      <c r="G4092" t="inlineStr">
        <is>
          <t xml:space="preserve"> Chris Simeoli</t>
        </is>
      </c>
      <c r="H4092" t="inlineStr">
        <is>
          <t>Car - Electric (GC Owned)</t>
        </is>
      </c>
      <c r="I4092" t="inlineStr">
        <is>
          <t>Daily/ Weekly Vehicle Inspection</t>
        </is>
      </c>
      <c r="J4092" t="inlineStr">
        <is>
          <t>N/A</t>
        </is>
      </c>
      <c r="K4092" t="inlineStr">
        <is>
          <t>Christopher Simeoli</t>
        </is>
      </c>
      <c r="L4092" t="inlineStr">
        <is>
          <t>20/04/2026 08:50</t>
        </is>
      </c>
      <c r="M4092" t="inlineStr">
        <is>
          <t>None</t>
        </is>
      </c>
      <c r="N4092" t="inlineStr">
        <is>
          <t>&lt;p&gt;&lt;/p&gt;</t>
        </is>
      </c>
      <c r="O4092" t="inlineStr"/>
      <c r="P4092" t="inlineStr">
        <is>
          <t>EO73KVB , Car - Electric , Kia , Niro</t>
        </is>
      </c>
      <c r="Q4092" t="inlineStr">
        <is>
          <t>NGED</t>
        </is>
      </c>
      <c r="R4092" t="b">
        <v>0</v>
      </c>
    </row>
    <row r="4093">
      <c r="A4093" t="inlineStr">
        <is>
          <t>20 Apr 2026 / 7995 Green Net Eco Ltd 2</t>
        </is>
      </c>
      <c r="B4093" t="inlineStr">
        <is>
          <t>Infrastructure &amp; Utilities</t>
        </is>
      </c>
      <c r="C4093" t="inlineStr">
        <is>
          <t>UKPN</t>
        </is>
      </c>
      <c r="D4093" t="inlineStr">
        <is>
          <t>SA9ST800000283944 , Towed Chipper , Forst , ST8D - Towed</t>
        </is>
      </c>
      <c r="E4093" t="inlineStr">
        <is>
          <t>SA9ST800000283944 , Towed Chipper , Forst , ST8D - Towed</t>
        </is>
      </c>
      <c r="F4093" t="inlineStr">
        <is>
          <t>SA9ST800000283944 , Towed Chipper , Forst , ST8D - Towed</t>
        </is>
      </c>
      <c r="G4093" t="inlineStr">
        <is>
          <t>Thomas Playford</t>
        </is>
      </c>
      <c r="H4093" t="inlineStr">
        <is>
          <t>Towed Chipper</t>
        </is>
      </c>
      <c r="I4093" t="inlineStr">
        <is>
          <t>Daily/ Weekly Vehicle Inspection</t>
        </is>
      </c>
      <c r="J4093" t="inlineStr">
        <is>
          <t>N/A</t>
        </is>
      </c>
      <c r="K4093" t="inlineStr">
        <is>
          <t>7995 Green Net Eco Ltd 2</t>
        </is>
      </c>
      <c r="L4093" t="inlineStr">
        <is>
          <t>20/04/2026 08:55</t>
        </is>
      </c>
      <c r="M4093" t="inlineStr">
        <is>
          <t>None</t>
        </is>
      </c>
      <c r="N4093" t="inlineStr">
        <is>
          <t>&lt;p&gt;&lt;/p&gt;</t>
        </is>
      </c>
      <c r="O4093" t="inlineStr"/>
      <c r="P4093" t="inlineStr">
        <is>
          <t>SA9ST800000283944 , Towed Chipper , Forst , ST8D - Towed</t>
        </is>
      </c>
      <c r="Q4093" t="inlineStr">
        <is>
          <t>UKPN</t>
        </is>
      </c>
      <c r="R4093" t="b">
        <v>0</v>
      </c>
    </row>
    <row r="4094">
      <c r="A4094" t="inlineStr">
        <is>
          <t>20 Apr 2026 / 7995 Green Net Eco Ltd 2</t>
        </is>
      </c>
      <c r="B4094" t="inlineStr">
        <is>
          <t>Infrastructure &amp; Utilities</t>
        </is>
      </c>
      <c r="C4094" t="inlineStr">
        <is>
          <t>UKPN</t>
        </is>
      </c>
      <c r="D4094" t="inlineStr">
        <is>
          <t>LK15KRZ , 4x4 , Landrover , Defender</t>
        </is>
      </c>
      <c r="E4094" t="inlineStr">
        <is>
          <t>LK15KRZ , 4x4 , Landrover , Defender</t>
        </is>
      </c>
      <c r="F4094" t="inlineStr">
        <is>
          <t>LK15KRZ , 4x4 , Landrover , Defender</t>
        </is>
      </c>
      <c r="G4094" t="inlineStr">
        <is>
          <t>Thomas Playford</t>
        </is>
      </c>
      <c r="H4094" t="inlineStr">
        <is>
          <t>4x4</t>
        </is>
      </c>
      <c r="I4094" t="inlineStr">
        <is>
          <t>Daily/ Weekly Vehicle Inspection</t>
        </is>
      </c>
      <c r="J4094" t="inlineStr">
        <is>
          <t>N/A</t>
        </is>
      </c>
      <c r="K4094" t="inlineStr">
        <is>
          <t>7995 Green Net Eco Ltd 2</t>
        </is>
      </c>
      <c r="L4094" t="inlineStr">
        <is>
          <t>20/04/2026 08:56</t>
        </is>
      </c>
      <c r="M4094" t="inlineStr">
        <is>
          <t>None</t>
        </is>
      </c>
      <c r="N4094" t="inlineStr">
        <is>
          <t>&lt;p&gt;&lt;/p&gt;</t>
        </is>
      </c>
      <c r="O4094" t="inlineStr"/>
      <c r="P4094" t="inlineStr">
        <is>
          <t>LK15KRZ , 4x4 , Landrover , Defender</t>
        </is>
      </c>
      <c r="Q4094" t="inlineStr">
        <is>
          <t>UKPN</t>
        </is>
      </c>
      <c r="R4094" t="b">
        <v>0</v>
      </c>
    </row>
    <row r="4095">
      <c r="A4095" t="inlineStr">
        <is>
          <t>20 Apr 2026 / 8148 Hope Ground and Tree Care</t>
        </is>
      </c>
      <c r="B4095" t="inlineStr">
        <is>
          <t>Infrastructure &amp; Utilities</t>
        </is>
      </c>
      <c r="C4095" t="inlineStr">
        <is>
          <t>UKPN</t>
        </is>
      </c>
      <c r="D4095" t="inlineStr">
        <is>
          <t>S6 NWX , MEWP , Isuzu , D-Max</t>
        </is>
      </c>
      <c r="E4095" t="inlineStr">
        <is>
          <t>S6 NWX , MEWP , Isuzu , D-Max</t>
        </is>
      </c>
      <c r="F4095" t="inlineStr">
        <is>
          <t>S6 NWX , MEWP , Isuzu , D-Max</t>
        </is>
      </c>
      <c r="G4095" t="inlineStr">
        <is>
          <t xml:space="preserve">Hope </t>
        </is>
      </c>
      <c r="H4095" t="inlineStr">
        <is>
          <t>4x4</t>
        </is>
      </c>
      <c r="I4095" t="inlineStr">
        <is>
          <t>Daily/ Weekly Vehicle Inspection</t>
        </is>
      </c>
      <c r="J4095" t="inlineStr">
        <is>
          <t>N/A</t>
        </is>
      </c>
      <c r="K4095" t="inlineStr">
        <is>
          <t>8148 Hope Ground and Tree Care</t>
        </is>
      </c>
      <c r="L4095" t="inlineStr">
        <is>
          <t>20/04/2026 08:57</t>
        </is>
      </c>
      <c r="M4095" t="inlineStr">
        <is>
          <t>None</t>
        </is>
      </c>
      <c r="N4095" t="inlineStr">
        <is>
          <t>&lt;p&gt;&lt;/p&gt;</t>
        </is>
      </c>
      <c r="O4095" t="inlineStr"/>
      <c r="P4095" t="inlineStr">
        <is>
          <t>S6 NWX , MEWP , Isuzu , D-Max</t>
        </is>
      </c>
      <c r="Q4095" t="inlineStr">
        <is>
          <t>UKPN</t>
        </is>
      </c>
      <c r="R4095" t="b">
        <v>0</v>
      </c>
    </row>
    <row r="4096">
      <c r="A4096" t="inlineStr">
        <is>
          <t>20 Apr 2026 / Alexander Damar</t>
        </is>
      </c>
      <c r="B4096" t="inlineStr">
        <is>
          <t>Infrastructure &amp; Utilities</t>
        </is>
      </c>
      <c r="C4096" t="inlineStr">
        <is>
          <t>UKPN</t>
        </is>
      </c>
      <c r="D4096" t="inlineStr"/>
      <c r="E4096" t="inlineStr"/>
      <c r="F4096" t="inlineStr"/>
      <c r="G4096" t="inlineStr">
        <is>
          <t>A Damar</t>
        </is>
      </c>
      <c r="H4096" t="inlineStr">
        <is>
          <t>Car - Petrol</t>
        </is>
      </c>
      <c r="I4096" t="inlineStr">
        <is>
          <t>Daily/ Weekly Vehicle Inspection</t>
        </is>
      </c>
      <c r="J4096" t="inlineStr">
        <is>
          <t>N/A</t>
        </is>
      </c>
      <c r="K4096" t="inlineStr">
        <is>
          <t>Alexander Damar</t>
        </is>
      </c>
      <c r="L4096" t="inlineStr">
        <is>
          <t>20/04/2026 10:49</t>
        </is>
      </c>
      <c r="M4096" t="inlineStr">
        <is>
          <t>None</t>
        </is>
      </c>
      <c r="N4096" t="inlineStr">
        <is>
          <t>&lt;p&gt;&lt;/p&gt;</t>
        </is>
      </c>
      <c r="O4096" t="inlineStr"/>
      <c r="P4096" t="inlineStr"/>
      <c r="Q4096" t="inlineStr">
        <is>
          <t>UKPN</t>
        </is>
      </c>
      <c r="R4096" t="b">
        <v>0</v>
      </c>
    </row>
    <row r="4097">
      <c r="A4097" t="inlineStr">
        <is>
          <t>20 Apr 2026 / 7951 Austin Tree Care LTD</t>
        </is>
      </c>
      <c r="B4097" t="inlineStr">
        <is>
          <t>Infrastructure &amp; Utilities</t>
        </is>
      </c>
      <c r="C4097" t="inlineStr">
        <is>
          <t>UKPN</t>
        </is>
      </c>
      <c r="D4097" t="inlineStr">
        <is>
          <t>SA9ST6P0001283612 , Towed Chipper , Forst , ST6p</t>
        </is>
      </c>
      <c r="E4097" t="inlineStr">
        <is>
          <t>SA9ST6P0001283612 , Towed Chipper , Forst , ST6p</t>
        </is>
      </c>
      <c r="F4097" t="inlineStr">
        <is>
          <t>SA9ST6P0001283612 , Towed Chipper , Forst , ST6p</t>
        </is>
      </c>
      <c r="G4097" t="inlineStr">
        <is>
          <t xml:space="preserve">Jack Austin </t>
        </is>
      </c>
      <c r="H4097" t="inlineStr">
        <is>
          <t>Towed Chipper</t>
        </is>
      </c>
      <c r="I4097" t="inlineStr">
        <is>
          <t>Daily/ Weekly Vehicle Inspection</t>
        </is>
      </c>
      <c r="J4097" t="inlineStr">
        <is>
          <t>N/A</t>
        </is>
      </c>
      <c r="K4097" t="inlineStr">
        <is>
          <t>7951 Austin Tree Care LTD</t>
        </is>
      </c>
      <c r="L4097" t="inlineStr">
        <is>
          <t>20/04/2026 10:55</t>
        </is>
      </c>
      <c r="M4097" t="inlineStr">
        <is>
          <t>None</t>
        </is>
      </c>
      <c r="N4097" t="inlineStr">
        <is>
          <t>&lt;p&gt;&lt;/p&gt;</t>
        </is>
      </c>
      <c r="O4097" t="inlineStr"/>
      <c r="P4097" t="inlineStr">
        <is>
          <t>SA9ST6P0001283612 , Towed Chipper , Forst , ST6p</t>
        </is>
      </c>
      <c r="Q4097" t="inlineStr">
        <is>
          <t>UKPN</t>
        </is>
      </c>
      <c r="R4097" t="b">
        <v>0</v>
      </c>
    </row>
    <row r="4098">
      <c r="A4098" t="inlineStr">
        <is>
          <t>20 Apr 2026 / 7951 Austin Tree Care LTD</t>
        </is>
      </c>
      <c r="B4098" t="inlineStr">
        <is>
          <t>Infrastructure &amp; Utilities</t>
        </is>
      </c>
      <c r="C4098" t="inlineStr">
        <is>
          <t>UKPN</t>
        </is>
      </c>
      <c r="D4098" t="inlineStr">
        <is>
          <t>WG64HTT , 4x4 , Land Rover , Defender 110</t>
        </is>
      </c>
      <c r="E4098" t="inlineStr">
        <is>
          <t>WG64HTT , 4x4 , Land Rover , Defender 110</t>
        </is>
      </c>
      <c r="F4098" t="inlineStr">
        <is>
          <t>WG64HTT , 4x4 , Land Rover , Defender 110</t>
        </is>
      </c>
      <c r="G4098" t="inlineStr">
        <is>
          <t xml:space="preserve">Jack Austin </t>
        </is>
      </c>
      <c r="H4098" t="inlineStr">
        <is>
          <t>4x4</t>
        </is>
      </c>
      <c r="I4098" t="inlineStr">
        <is>
          <t>Daily/ Weekly Vehicle Inspection</t>
        </is>
      </c>
      <c r="J4098" t="inlineStr">
        <is>
          <t>N/A</t>
        </is>
      </c>
      <c r="K4098" t="inlineStr">
        <is>
          <t>7951 Austin Tree Care LTD</t>
        </is>
      </c>
      <c r="L4098" t="inlineStr">
        <is>
          <t>20/04/2026 10:56</t>
        </is>
      </c>
      <c r="M4098" t="inlineStr">
        <is>
          <t>None</t>
        </is>
      </c>
      <c r="N4098" t="inlineStr">
        <is>
          <t>&lt;p&gt;&lt;/p&gt;</t>
        </is>
      </c>
      <c r="O4098" t="inlineStr"/>
      <c r="P4098" t="inlineStr">
        <is>
          <t>WG64HTT , 4x4 , Land Rover , Defender 110</t>
        </is>
      </c>
      <c r="Q4098" t="inlineStr">
        <is>
          <t>UKPN</t>
        </is>
      </c>
      <c r="R4098" t="b">
        <v>0</v>
      </c>
    </row>
    <row r="4099">
      <c r="A4099" t="inlineStr">
        <is>
          <t>20 Apr 2026 / Thomas Nandi</t>
        </is>
      </c>
      <c r="B4099" t="inlineStr">
        <is>
          <t>Infrastructure &amp; Utilities</t>
        </is>
      </c>
      <c r="C4099" t="inlineStr">
        <is>
          <t>SSE</t>
        </is>
      </c>
      <c r="D4099" t="inlineStr"/>
      <c r="E4099" t="inlineStr"/>
      <c r="F4099" t="inlineStr"/>
      <c r="G4099" t="inlineStr">
        <is>
          <t xml:space="preserve">Tom Nandi </t>
        </is>
      </c>
      <c r="H4099" t="inlineStr">
        <is>
          <t>Car - Petrol</t>
        </is>
      </c>
      <c r="I4099" t="inlineStr">
        <is>
          <t>Daily/ Weekly Vehicle Inspection</t>
        </is>
      </c>
      <c r="J4099" t="inlineStr">
        <is>
          <t>N/A</t>
        </is>
      </c>
      <c r="K4099" t="inlineStr">
        <is>
          <t>Thomas Nandi</t>
        </is>
      </c>
      <c r="L4099" t="inlineStr">
        <is>
          <t>20/04/2026 11:51</t>
        </is>
      </c>
      <c r="M4099" t="inlineStr">
        <is>
          <t>None</t>
        </is>
      </c>
      <c r="N4099" t="inlineStr">
        <is>
          <t>&lt;p&gt;&lt;/p&gt;</t>
        </is>
      </c>
      <c r="O4099" t="inlineStr"/>
      <c r="P4099" t="inlineStr"/>
      <c r="Q4099" t="inlineStr">
        <is>
          <t>SSE</t>
        </is>
      </c>
      <c r="R4099" t="b">
        <v>0</v>
      </c>
    </row>
    <row r="4100">
      <c r="A4100" t="inlineStr">
        <is>
          <t>20 Apr 2026 / Joshua Stones</t>
        </is>
      </c>
      <c r="B4100" t="inlineStr">
        <is>
          <t>Infrastructure &amp; Utilities</t>
        </is>
      </c>
      <c r="C4100" t="inlineStr">
        <is>
          <t>SSE</t>
        </is>
      </c>
      <c r="D4100" t="inlineStr"/>
      <c r="E4100" t="inlineStr"/>
      <c r="F4100" t="inlineStr"/>
      <c r="G4100" t="inlineStr">
        <is>
          <t>Joshua stones</t>
        </is>
      </c>
      <c r="H4100" t="inlineStr">
        <is>
          <t>Van</t>
        </is>
      </c>
      <c r="I4100" t="inlineStr">
        <is>
          <t>Daily/ Weekly Vehicle Inspection</t>
        </is>
      </c>
      <c r="J4100" t="inlineStr">
        <is>
          <t>N/A</t>
        </is>
      </c>
      <c r="K4100" t="inlineStr">
        <is>
          <t>Joshua Stones</t>
        </is>
      </c>
      <c r="L4100" t="inlineStr">
        <is>
          <t>20/04/2026 16:49</t>
        </is>
      </c>
      <c r="M4100" t="inlineStr">
        <is>
          <t>None</t>
        </is>
      </c>
      <c r="N4100" t="inlineStr">
        <is>
          <t>&lt;p&gt;&lt;/p&gt;</t>
        </is>
      </c>
      <c r="O4100" t="inlineStr"/>
      <c r="P4100" t="inlineStr"/>
      <c r="Q4100" t="inlineStr">
        <is>
          <t>SSE</t>
        </is>
      </c>
      <c r="R4100" t="b">
        <v>0</v>
      </c>
    </row>
    <row r="4101">
      <c r="A4101" t="inlineStr">
        <is>
          <t>20 Apr 2026 / 8040 S6 Tree specialists Ltd</t>
        </is>
      </c>
      <c r="B4101" t="inlineStr">
        <is>
          <t>Infrastructure &amp; Utilities</t>
        </is>
      </c>
      <c r="C4101" t="inlineStr">
        <is>
          <t>UKPN</t>
        </is>
      </c>
      <c r="D4101" t="inlineStr">
        <is>
          <t>GY08 RVC , 4x4 MEWP , Land Rover , Defender</t>
        </is>
      </c>
      <c r="E4101" t="inlineStr">
        <is>
          <t>GY08 RVC , 4x4 MEWP , Land Rover , Defender</t>
        </is>
      </c>
      <c r="F4101" t="inlineStr">
        <is>
          <t>GY08 RVC , 4x4 MEWP , Land Rover , Defender</t>
        </is>
      </c>
      <c r="G4101" t="inlineStr">
        <is>
          <t>Luke</t>
        </is>
      </c>
      <c r="H4101" t="inlineStr">
        <is>
          <t>4x4</t>
        </is>
      </c>
      <c r="I4101" t="inlineStr">
        <is>
          <t>Daily/ Weekly Vehicle Inspection</t>
        </is>
      </c>
      <c r="J4101" t="inlineStr">
        <is>
          <t>N/A</t>
        </is>
      </c>
      <c r="K4101" t="inlineStr">
        <is>
          <t>8040 S6 Tree specialists Ltd</t>
        </is>
      </c>
      <c r="L4101" t="inlineStr">
        <is>
          <t>20/04/2026 23:49</t>
        </is>
      </c>
      <c r="M4101" t="inlineStr">
        <is>
          <t>None</t>
        </is>
      </c>
      <c r="N4101" t="inlineStr">
        <is>
          <t>&lt;p&gt;&lt;/p&gt;</t>
        </is>
      </c>
      <c r="O4101" t="inlineStr"/>
      <c r="P4101" t="inlineStr">
        <is>
          <t>GY08 RVC , 4x4 MEWP , Land Rover , Defender</t>
        </is>
      </c>
      <c r="Q4101" t="inlineStr">
        <is>
          <t>UKPN</t>
        </is>
      </c>
      <c r="R4101" t="b">
        <v>0</v>
      </c>
    </row>
    <row r="4102">
      <c r="A4102" t="inlineStr">
        <is>
          <t>20 Apr 2026 / 8040 S6 Tree specialists Ltd</t>
        </is>
      </c>
      <c r="B4102" t="inlineStr">
        <is>
          <t>Infrastructure &amp; Utilities</t>
        </is>
      </c>
      <c r="C4102" t="inlineStr">
        <is>
          <t>UKPN</t>
        </is>
      </c>
      <c r="D4102" t="inlineStr">
        <is>
          <t>Na , Towed Chipper , Timberwolf  , 190</t>
        </is>
      </c>
      <c r="E4102" t="inlineStr">
        <is>
          <t>Na , Towed Chipper , Timberwolf  , 190</t>
        </is>
      </c>
      <c r="F4102" t="inlineStr">
        <is>
          <t>Na , Towed Chipper , Timberwolf  , 190</t>
        </is>
      </c>
      <c r="G4102" t="inlineStr">
        <is>
          <t>Luke</t>
        </is>
      </c>
      <c r="H4102" t="inlineStr">
        <is>
          <t>Towed Chipper</t>
        </is>
      </c>
      <c r="I4102" t="inlineStr">
        <is>
          <t>Daily/ Weekly Vehicle Inspection</t>
        </is>
      </c>
      <c r="J4102" t="inlineStr">
        <is>
          <t>N/A</t>
        </is>
      </c>
      <c r="K4102" t="inlineStr">
        <is>
          <t>8040 S6 Tree specialists Ltd</t>
        </is>
      </c>
      <c r="L4102" t="inlineStr">
        <is>
          <t>21/04/2026 00:49</t>
        </is>
      </c>
      <c r="M4102" t="inlineStr">
        <is>
          <t>None</t>
        </is>
      </c>
      <c r="N4102" t="inlineStr">
        <is>
          <t>&lt;p&gt;&lt;/p&gt;</t>
        </is>
      </c>
      <c r="O4102" t="inlineStr"/>
      <c r="P4102" t="inlineStr">
        <is>
          <t>Na , Towed Chipper , Timberwolf  , 190</t>
        </is>
      </c>
      <c r="Q4102" t="inlineStr">
        <is>
          <t>UKPN</t>
        </is>
      </c>
      <c r="R4102" t="b">
        <v>0</v>
      </c>
    </row>
    <row r="4103">
      <c r="A4103" t="inlineStr">
        <is>
          <t>21 Apr 2026 / 7800 MAC Tree Surgery and Fencing Ltd / Utilities / UKPN</t>
        </is>
      </c>
      <c r="B4103" t="inlineStr">
        <is>
          <t>Utilities</t>
        </is>
      </c>
      <c r="C4103" t="inlineStr">
        <is>
          <t>UKPN</t>
        </is>
      </c>
      <c r="D4103" t="inlineStr">
        <is>
          <t>AY68DAA , 4x4 , Izuzu , Dmax</t>
        </is>
      </c>
      <c r="E4103" t="inlineStr">
        <is>
          <t>AY68DAA , 4x4 , Izuzu , Dmax</t>
        </is>
      </c>
      <c r="F4103" t="inlineStr">
        <is>
          <t>AY68DAA , 4x4 , Izuzu , Dmax</t>
        </is>
      </c>
      <c r="G4103" t="inlineStr">
        <is>
          <t xml:space="preserve">Patrick O'Shea </t>
        </is>
      </c>
      <c r="H4103" t="inlineStr">
        <is>
          <t>4x4</t>
        </is>
      </c>
      <c r="I4103" t="inlineStr">
        <is>
          <t>Daily/ Weekly Vehicle Inspection</t>
        </is>
      </c>
      <c r="J4103" t="inlineStr">
        <is>
          <t>N/A</t>
        </is>
      </c>
      <c r="K4103" t="inlineStr">
        <is>
          <t>7800 MAC Tree Surgery and Fencing Ltd</t>
        </is>
      </c>
      <c r="L4103" t="inlineStr">
        <is>
          <t>21/04/2026 07:49</t>
        </is>
      </c>
      <c r="M4103" t="inlineStr">
        <is>
          <t>None</t>
        </is>
      </c>
      <c r="N4103" t="inlineStr">
        <is>
          <t>&lt;p&gt;&lt;/p&gt;</t>
        </is>
      </c>
      <c r="O4103" t="inlineStr"/>
      <c r="P4103" t="inlineStr">
        <is>
          <t>AY68DAA , 4x4 , Izuzu , Dmax</t>
        </is>
      </c>
      <c r="Q4103" t="inlineStr">
        <is>
          <t>UKPN</t>
        </is>
      </c>
      <c r="R4103" t="b">
        <v>0</v>
      </c>
    </row>
    <row r="4104">
      <c r="A4104" t="inlineStr">
        <is>
          <t>21 Apr 2026 / 7800 MAC Tree Surgery and Fencing Ltd</t>
        </is>
      </c>
      <c r="B4104" t="inlineStr">
        <is>
          <t>Infrastructure &amp; Utilities</t>
        </is>
      </c>
      <c r="C4104" t="inlineStr">
        <is>
          <t>UKPN</t>
        </is>
      </c>
      <c r="D4104" t="inlineStr">
        <is>
          <t>0 , Plant Trailer , Towmate , 2.8t</t>
        </is>
      </c>
      <c r="E4104" t="inlineStr">
        <is>
          <t>0 , Plant Trailer , Towmate , 2.8t</t>
        </is>
      </c>
      <c r="F4104" t="inlineStr">
        <is>
          <t>0 , Plant Trailer , Towmate , 2.8t</t>
        </is>
      </c>
      <c r="G4104" t="inlineStr">
        <is>
          <t xml:space="preserve">Patrick oshea </t>
        </is>
      </c>
      <c r="H4104" t="inlineStr">
        <is>
          <t>Plant Trailer</t>
        </is>
      </c>
      <c r="I4104" t="inlineStr">
        <is>
          <t>Daily/ Weekly Vehicle Inspection</t>
        </is>
      </c>
      <c r="J4104" t="inlineStr">
        <is>
          <t>N/A</t>
        </is>
      </c>
      <c r="K4104" t="inlineStr">
        <is>
          <t>7800 MAC Tree Surgery and Fencing Ltd</t>
        </is>
      </c>
      <c r="L4104" t="inlineStr">
        <is>
          <t>21/04/2026 07:50</t>
        </is>
      </c>
      <c r="M4104" t="inlineStr">
        <is>
          <t>None</t>
        </is>
      </c>
      <c r="N4104" t="inlineStr">
        <is>
          <t>&lt;p&gt;&lt;/p&gt;</t>
        </is>
      </c>
      <c r="O4104" t="inlineStr"/>
      <c r="P4104" t="inlineStr">
        <is>
          <t>0 , Plant Trailer , Towmate , 2.8t</t>
        </is>
      </c>
      <c r="Q4104" t="inlineStr">
        <is>
          <t>UKPN</t>
        </is>
      </c>
      <c r="R4104" t="b">
        <v>0</v>
      </c>
    </row>
    <row r="4105">
      <c r="A4105" t="inlineStr">
        <is>
          <t>21 Apr 2026 / 7951 Austin Tree Care LTD</t>
        </is>
      </c>
      <c r="B4105" t="inlineStr">
        <is>
          <t>Infrastructure &amp; Utilities</t>
        </is>
      </c>
      <c r="C4105" t="inlineStr">
        <is>
          <t>UKPN</t>
        </is>
      </c>
      <c r="D4105" t="inlineStr">
        <is>
          <t>WG64HTT , 4x4 , Land Rover , Defender 110</t>
        </is>
      </c>
      <c r="E4105" t="inlineStr">
        <is>
          <t>WG64HTT , 4x4 , Land Rover , Defender 110</t>
        </is>
      </c>
      <c r="F4105" t="inlineStr">
        <is>
          <t>WG64HTT , 4x4 , Land Rover , Defender 110</t>
        </is>
      </c>
      <c r="G4105" t="inlineStr">
        <is>
          <t xml:space="preserve">James Tasker  </t>
        </is>
      </c>
      <c r="H4105" t="inlineStr">
        <is>
          <t>4x4</t>
        </is>
      </c>
      <c r="I4105" t="inlineStr">
        <is>
          <t>Daily/ Weekly Vehicle Inspection</t>
        </is>
      </c>
      <c r="J4105" t="inlineStr">
        <is>
          <t>N/A</t>
        </is>
      </c>
      <c r="K4105" t="inlineStr">
        <is>
          <t>7951 Austin Tree Care LTD</t>
        </is>
      </c>
      <c r="L4105" t="inlineStr">
        <is>
          <t>21/04/2026 07:51</t>
        </is>
      </c>
      <c r="M4105" t="inlineStr">
        <is>
          <t>None</t>
        </is>
      </c>
      <c r="N4105" t="inlineStr">
        <is>
          <t>&lt;p&gt;&lt;/p&gt;</t>
        </is>
      </c>
      <c r="O4105" t="inlineStr"/>
      <c r="P4105" t="inlineStr">
        <is>
          <t>WG64HTT , 4x4 , Land Rover , Defender 110</t>
        </is>
      </c>
      <c r="Q4105" t="inlineStr">
        <is>
          <t>UKPN</t>
        </is>
      </c>
      <c r="R4105" t="b">
        <v>0</v>
      </c>
    </row>
    <row r="4106">
      <c r="A4106" t="inlineStr">
        <is>
          <t>21 Apr 2026 / 7951 Austin Tree Care LTD</t>
        </is>
      </c>
      <c r="B4106" t="inlineStr">
        <is>
          <t>Infrastructure &amp; Utilities</t>
        </is>
      </c>
      <c r="C4106" t="inlineStr">
        <is>
          <t>UKPN</t>
        </is>
      </c>
      <c r="D4106" t="inlineStr">
        <is>
          <t>Kn58xuy , Tipper , VW  , Crafter</t>
        </is>
      </c>
      <c r="E4106" t="inlineStr">
        <is>
          <t>Kn58xuy , Tipper , VW  , Crafter</t>
        </is>
      </c>
      <c r="F4106" t="inlineStr">
        <is>
          <t>Kn58xuy , Tipper , VW  , Crafter</t>
        </is>
      </c>
      <c r="G4106" t="inlineStr">
        <is>
          <t xml:space="preserve">Jack Austin </t>
        </is>
      </c>
      <c r="H4106" t="inlineStr">
        <is>
          <t>Tipper</t>
        </is>
      </c>
      <c r="I4106" t="inlineStr">
        <is>
          <t>Daily/ Weekly Vehicle Inspection</t>
        </is>
      </c>
      <c r="J4106" t="inlineStr">
        <is>
          <t>N/A</t>
        </is>
      </c>
      <c r="K4106" t="inlineStr">
        <is>
          <t>7951 Austin Tree Care LTD</t>
        </is>
      </c>
      <c r="L4106" t="inlineStr">
        <is>
          <t>21/04/2026 07:52</t>
        </is>
      </c>
      <c r="M4106" t="inlineStr">
        <is>
          <t>None</t>
        </is>
      </c>
      <c r="N4106" t="inlineStr">
        <is>
          <t>&lt;p&gt;&lt;/p&gt;</t>
        </is>
      </c>
      <c r="O4106" t="inlineStr"/>
      <c r="P4106" t="inlineStr">
        <is>
          <t>Kn58xuy , Tipper , VW  , Crafter</t>
        </is>
      </c>
      <c r="Q4106" t="inlineStr">
        <is>
          <t>UKPN</t>
        </is>
      </c>
      <c r="R4106" t="b">
        <v>0</v>
      </c>
    </row>
    <row r="4107">
      <c r="A4107" t="inlineStr">
        <is>
          <t>21 Apr 2026 / 7951 Austin Tree Care LTD</t>
        </is>
      </c>
      <c r="B4107" t="inlineStr">
        <is>
          <t>Infrastructure &amp; Utilities</t>
        </is>
      </c>
      <c r="C4107" t="inlineStr">
        <is>
          <t>UKPN</t>
        </is>
      </c>
      <c r="D4107" t="inlineStr">
        <is>
          <t>SA9ST6P0001283612 , Towed Chipper , Forst , ST6p</t>
        </is>
      </c>
      <c r="E4107" t="inlineStr">
        <is>
          <t>SA9ST6P0001283612 , Towed Chipper , Forst , ST6p</t>
        </is>
      </c>
      <c r="F4107" t="inlineStr">
        <is>
          <t>SA9ST6P0001283612 , Towed Chipper , Forst , ST6p</t>
        </is>
      </c>
      <c r="G4107" t="inlineStr">
        <is>
          <t xml:space="preserve">Jack Austin </t>
        </is>
      </c>
      <c r="H4107" t="inlineStr">
        <is>
          <t>Towed Chipper</t>
        </is>
      </c>
      <c r="I4107" t="inlineStr">
        <is>
          <t>Daily/ Weekly Vehicle Inspection</t>
        </is>
      </c>
      <c r="J4107" t="inlineStr">
        <is>
          <t>N/A</t>
        </is>
      </c>
      <c r="K4107" t="inlineStr">
        <is>
          <t>7951 Austin Tree Care LTD</t>
        </is>
      </c>
      <c r="L4107" t="inlineStr">
        <is>
          <t>21/04/2026 07:52</t>
        </is>
      </c>
      <c r="M4107" t="inlineStr">
        <is>
          <t>None</t>
        </is>
      </c>
      <c r="N4107" t="inlineStr">
        <is>
          <t>&lt;p&gt;&lt;/p&gt;</t>
        </is>
      </c>
      <c r="O4107" t="inlineStr"/>
      <c r="P4107" t="inlineStr">
        <is>
          <t>SA9ST6P0001283612 , Towed Chipper , Forst , ST6p</t>
        </is>
      </c>
      <c r="Q4107" t="inlineStr">
        <is>
          <t>UKPN</t>
        </is>
      </c>
      <c r="R4107" t="b">
        <v>0</v>
      </c>
    </row>
    <row r="4108">
      <c r="A4108" t="inlineStr">
        <is>
          <t>21 Apr 2026 / Dylan Bowler</t>
        </is>
      </c>
      <c r="B4108" t="inlineStr">
        <is>
          <t>Infrastructure &amp; Utilities</t>
        </is>
      </c>
      <c r="C4108" t="inlineStr">
        <is>
          <t>NGED</t>
        </is>
      </c>
      <c r="D4108" t="inlineStr">
        <is>
          <t>YX24TXG , Car - Electric , Kia , Niro</t>
        </is>
      </c>
      <c r="E4108" t="inlineStr">
        <is>
          <t>YX24TXG , Car - Electric , Kia , Niro</t>
        </is>
      </c>
      <c r="F4108" t="inlineStr">
        <is>
          <t>YX24TXG , Car - Electric , Kia , Niro</t>
        </is>
      </c>
      <c r="G4108" t="inlineStr">
        <is>
          <t>Dylan</t>
        </is>
      </c>
      <c r="H4108" t="inlineStr">
        <is>
          <t>Car - Electric (GC Owned)</t>
        </is>
      </c>
      <c r="I4108" t="inlineStr">
        <is>
          <t>Daily/ Weekly Vehicle Inspection</t>
        </is>
      </c>
      <c r="J4108" t="inlineStr">
        <is>
          <t>N/A</t>
        </is>
      </c>
      <c r="K4108" t="inlineStr">
        <is>
          <t>Dylan Bowler</t>
        </is>
      </c>
      <c r="L4108" t="inlineStr">
        <is>
          <t>21/04/2026 07:53</t>
        </is>
      </c>
      <c r="M4108" t="inlineStr">
        <is>
          <t>None</t>
        </is>
      </c>
      <c r="N4108" t="inlineStr">
        <is>
          <t>&lt;p&gt;&lt;/p&gt;</t>
        </is>
      </c>
      <c r="O4108" t="inlineStr"/>
      <c r="P4108" t="inlineStr">
        <is>
          <t>YX24TXG , Car - Electric , Kia , Niro</t>
        </is>
      </c>
      <c r="Q4108" t="inlineStr">
        <is>
          <t>NGED</t>
        </is>
      </c>
      <c r="R4108" t="b">
        <v>0</v>
      </c>
    </row>
    <row r="4109">
      <c r="A4109" t="inlineStr">
        <is>
          <t>21 Apr 2026 / Joseph Pallot</t>
        </is>
      </c>
      <c r="B4109" t="inlineStr">
        <is>
          <t>Infrastructure &amp; Utilities</t>
        </is>
      </c>
      <c r="C4109" t="inlineStr">
        <is>
          <t>NGED</t>
        </is>
      </c>
      <c r="D4109" t="inlineStr">
        <is>
          <t>AK70VYS , Car - Electric , Tesla , Model 3 Long Range AWD</t>
        </is>
      </c>
      <c r="E4109" t="inlineStr">
        <is>
          <t>AK70VYS , Car - Electric , Tesla , Model 3 Long Range AWD</t>
        </is>
      </c>
      <c r="F4109" t="inlineStr">
        <is>
          <t>AK70VYS , Car - Electric , Tesla , Model 3 Long Range AWD</t>
        </is>
      </c>
      <c r="G4109" t="inlineStr">
        <is>
          <t>Joseph Pallot</t>
        </is>
      </c>
      <c r="H4109" t="inlineStr">
        <is>
          <t>Car - Electric (GC Owned)</t>
        </is>
      </c>
      <c r="I4109" t="inlineStr">
        <is>
          <t>Daily/ Weekly Vehicle Inspection</t>
        </is>
      </c>
      <c r="J4109" t="inlineStr">
        <is>
          <t>N/A</t>
        </is>
      </c>
      <c r="K4109" t="inlineStr">
        <is>
          <t>Joseph Pallot</t>
        </is>
      </c>
      <c r="L4109" t="inlineStr">
        <is>
          <t>21/04/2026 07:54</t>
        </is>
      </c>
      <c r="M4109" t="inlineStr">
        <is>
          <t>None</t>
        </is>
      </c>
      <c r="N4109" t="inlineStr">
        <is>
          <t>&lt;p&gt;&lt;/p&gt;</t>
        </is>
      </c>
      <c r="O4109" t="inlineStr"/>
      <c r="P4109" t="inlineStr">
        <is>
          <t>AK70VYS , Car - Electric , Tesla , Model 3 Long Range AWD</t>
        </is>
      </c>
      <c r="Q4109" t="inlineStr">
        <is>
          <t>NGED</t>
        </is>
      </c>
      <c r="R4109" t="b">
        <v>0</v>
      </c>
    </row>
    <row r="4110">
      <c r="A4110" t="inlineStr">
        <is>
          <t>21 Apr 2026 / 7186 Eastwoodbury Tree Services Ltd</t>
        </is>
      </c>
      <c r="B4110" t="inlineStr">
        <is>
          <t>Infrastructure &amp; Utilities</t>
        </is>
      </c>
      <c r="C4110" t="inlineStr">
        <is>
          <t>UKPN</t>
        </is>
      </c>
      <c r="D4110" t="inlineStr">
        <is>
          <t>DE53NKS , 4x4 , Ford , Ranger</t>
        </is>
      </c>
      <c r="E4110" t="inlineStr">
        <is>
          <t>DE53NKS , 4x4 , Ford , Ranger</t>
        </is>
      </c>
      <c r="F4110" t="inlineStr">
        <is>
          <t>DE53NKS , 4x4 , Ford , Ranger</t>
        </is>
      </c>
      <c r="G4110" t="inlineStr">
        <is>
          <t xml:space="preserve">Jay Denkmayer </t>
        </is>
      </c>
      <c r="H4110" t="inlineStr">
        <is>
          <t>4x4</t>
        </is>
      </c>
      <c r="I4110" t="inlineStr">
        <is>
          <t>Daily/ Weekly Vehicle Inspection</t>
        </is>
      </c>
      <c r="J4110" t="inlineStr">
        <is>
          <t>N/A</t>
        </is>
      </c>
      <c r="K4110" t="inlineStr">
        <is>
          <t>7186 Eastwoodbury Tree Services Ltd</t>
        </is>
      </c>
      <c r="L4110" t="inlineStr">
        <is>
          <t>21/04/2026 07:55</t>
        </is>
      </c>
      <c r="M4110" t="inlineStr">
        <is>
          <t>None</t>
        </is>
      </c>
      <c r="N4110" t="inlineStr">
        <is>
          <t>&lt;p&gt;&lt;/p&gt;</t>
        </is>
      </c>
      <c r="O4110" t="inlineStr"/>
      <c r="P4110" t="inlineStr">
        <is>
          <t>DE53NKS , 4x4 , Ford , Ranger</t>
        </is>
      </c>
      <c r="Q4110" t="inlineStr">
        <is>
          <t>UKPN</t>
        </is>
      </c>
      <c r="R4110" t="b">
        <v>0</v>
      </c>
    </row>
    <row r="4111">
      <c r="A4111" t="inlineStr">
        <is>
          <t>21 Apr 2026 / 7186 Eastwoodbury Tree Services Ltd</t>
        </is>
      </c>
      <c r="B4111" t="inlineStr">
        <is>
          <t>Infrastructure &amp; Utilities</t>
        </is>
      </c>
      <c r="C4111" t="inlineStr">
        <is>
          <t>UKPN</t>
        </is>
      </c>
      <c r="D4111" t="inlineStr">
        <is>
          <t>WF13 EKT , 4x4 , Land rover  , Defender</t>
        </is>
      </c>
      <c r="E4111" t="inlineStr">
        <is>
          <t>WF13 EKT , 4x4 , Land rover  , Defender</t>
        </is>
      </c>
      <c r="F4111" t="inlineStr">
        <is>
          <t>WF13 EKT , 4x4 , Land rover  , Defender</t>
        </is>
      </c>
      <c r="G4111" t="inlineStr">
        <is>
          <t xml:space="preserve">TOM price </t>
        </is>
      </c>
      <c r="H4111" t="inlineStr">
        <is>
          <t>4x4</t>
        </is>
      </c>
      <c r="I4111" t="inlineStr">
        <is>
          <t>Daily/ Weekly Vehicle Inspection</t>
        </is>
      </c>
      <c r="J4111" t="inlineStr">
        <is>
          <t>N/A</t>
        </is>
      </c>
      <c r="K4111" t="inlineStr">
        <is>
          <t>7186 Eastwoodbury Tree Services Ltd</t>
        </is>
      </c>
      <c r="L4111" t="inlineStr">
        <is>
          <t>21/04/2026 07:55</t>
        </is>
      </c>
      <c r="M4111" t="inlineStr">
        <is>
          <t>None</t>
        </is>
      </c>
      <c r="N4111" t="inlineStr">
        <is>
          <t>&lt;p&gt;&lt;/p&gt;</t>
        </is>
      </c>
      <c r="O4111" t="inlineStr"/>
      <c r="P4111" t="inlineStr">
        <is>
          <t>WF13 EKT , 4x4 , Land rover  , Defender</t>
        </is>
      </c>
      <c r="Q4111" t="inlineStr">
        <is>
          <t>UKPN</t>
        </is>
      </c>
      <c r="R4111" t="b">
        <v>0</v>
      </c>
    </row>
    <row r="4112">
      <c r="A4112" t="inlineStr">
        <is>
          <t>21 Apr 2026 / 7995 Green Net Eco Ltd 2</t>
        </is>
      </c>
      <c r="B4112" t="inlineStr">
        <is>
          <t>Infrastructure &amp; Utilities</t>
        </is>
      </c>
      <c r="C4112" t="inlineStr">
        <is>
          <t>UKPN</t>
        </is>
      </c>
      <c r="D4112" t="inlineStr">
        <is>
          <t>SA9ST800000283944 , Towed Chipper , Forst , ST8D - Towed</t>
        </is>
      </c>
      <c r="E4112" t="inlineStr">
        <is>
          <t>SA9ST800000283944 , Towed Chipper , Forst , ST8D - Towed</t>
        </is>
      </c>
      <c r="F4112" t="inlineStr">
        <is>
          <t>SA9ST800000283944 , Towed Chipper , Forst , ST8D - Towed</t>
        </is>
      </c>
      <c r="G4112" t="inlineStr">
        <is>
          <t>Thomas Playford</t>
        </is>
      </c>
      <c r="H4112" t="inlineStr">
        <is>
          <t>Towed Chipper</t>
        </is>
      </c>
      <c r="I4112" t="inlineStr">
        <is>
          <t>Daily/ Weekly Vehicle Inspection</t>
        </is>
      </c>
      <c r="J4112" t="inlineStr">
        <is>
          <t>N/A</t>
        </is>
      </c>
      <c r="K4112" t="inlineStr">
        <is>
          <t>7995 Green Net Eco Ltd 2</t>
        </is>
      </c>
      <c r="L4112" t="inlineStr">
        <is>
          <t>21/04/2026 07:56</t>
        </is>
      </c>
      <c r="M4112" t="inlineStr">
        <is>
          <t>None</t>
        </is>
      </c>
      <c r="N4112" t="inlineStr">
        <is>
          <t>&lt;p&gt;&lt;/p&gt;</t>
        </is>
      </c>
      <c r="O4112" t="inlineStr"/>
      <c r="P4112" t="inlineStr">
        <is>
          <t>SA9ST800000283944 , Towed Chipper , Forst , ST8D - Towed</t>
        </is>
      </c>
      <c r="Q4112" t="inlineStr">
        <is>
          <t>UKPN</t>
        </is>
      </c>
      <c r="R4112" t="b">
        <v>0</v>
      </c>
    </row>
    <row r="4113">
      <c r="A4113" t="inlineStr">
        <is>
          <t>21 Apr 2026 / 7995 Green Net Eco Ltd 2</t>
        </is>
      </c>
      <c r="B4113" t="inlineStr">
        <is>
          <t>Infrastructure &amp; Utilities</t>
        </is>
      </c>
      <c r="C4113" t="inlineStr">
        <is>
          <t>UKPN</t>
        </is>
      </c>
      <c r="D4113" t="inlineStr">
        <is>
          <t>LK15KRZ , 4x4 , Landrover , Defender</t>
        </is>
      </c>
      <c r="E4113" t="inlineStr">
        <is>
          <t>LK15KRZ , 4x4 , Landrover , Defender</t>
        </is>
      </c>
      <c r="F4113" t="inlineStr">
        <is>
          <t>LK15KRZ , 4x4 , Landrover , Defender</t>
        </is>
      </c>
      <c r="G4113" t="inlineStr">
        <is>
          <t>Thomas Playford</t>
        </is>
      </c>
      <c r="H4113" t="inlineStr">
        <is>
          <t>4x4</t>
        </is>
      </c>
      <c r="I4113" t="inlineStr">
        <is>
          <t>Daily/ Weekly Vehicle Inspection</t>
        </is>
      </c>
      <c r="J4113" t="inlineStr">
        <is>
          <t>N/A</t>
        </is>
      </c>
      <c r="K4113" t="inlineStr">
        <is>
          <t>7995 Green Net Eco Ltd 2</t>
        </is>
      </c>
      <c r="L4113" t="inlineStr">
        <is>
          <t>21/04/2026 07:57</t>
        </is>
      </c>
      <c r="M4113" t="inlineStr">
        <is>
          <t>None</t>
        </is>
      </c>
      <c r="N4113" t="inlineStr">
        <is>
          <t>&lt;p&gt;&lt;/p&gt;</t>
        </is>
      </c>
      <c r="O4113" t="inlineStr"/>
      <c r="P4113" t="inlineStr">
        <is>
          <t>LK15KRZ , 4x4 , Landrover , Defender</t>
        </is>
      </c>
      <c r="Q4113" t="inlineStr">
        <is>
          <t>UKPN</t>
        </is>
      </c>
      <c r="R4113" t="b">
        <v>0</v>
      </c>
    </row>
    <row r="4114">
      <c r="A4114" t="inlineStr">
        <is>
          <t>21 Apr 2026 / 8040 S6 Tree specialists Ltd</t>
        </is>
      </c>
      <c r="B4114" t="inlineStr">
        <is>
          <t>Infrastructure &amp; Utilities</t>
        </is>
      </c>
      <c r="C4114" t="inlineStr">
        <is>
          <t>UKPN</t>
        </is>
      </c>
      <c r="D4114" t="inlineStr">
        <is>
          <t>Na , Towed Chipper , Timberwolf  , 190</t>
        </is>
      </c>
      <c r="E4114" t="inlineStr">
        <is>
          <t>Na , Towed Chipper , Timberwolf  , 190</t>
        </is>
      </c>
      <c r="F4114" t="inlineStr">
        <is>
          <t>Na , Towed Chipper , Timberwolf  , 190</t>
        </is>
      </c>
      <c r="G4114" t="inlineStr">
        <is>
          <t>Luke</t>
        </is>
      </c>
      <c r="H4114" t="inlineStr">
        <is>
          <t>Towed Chipper</t>
        </is>
      </c>
      <c r="I4114" t="inlineStr">
        <is>
          <t>Daily/ Weekly Vehicle Inspection</t>
        </is>
      </c>
      <c r="J4114" t="inlineStr">
        <is>
          <t>N/A</t>
        </is>
      </c>
      <c r="K4114" t="inlineStr">
        <is>
          <t>8040 S6 Tree specialists Ltd</t>
        </is>
      </c>
      <c r="L4114" t="inlineStr">
        <is>
          <t>21/04/2026 07:58</t>
        </is>
      </c>
      <c r="M4114" t="inlineStr">
        <is>
          <t>None</t>
        </is>
      </c>
      <c r="N4114" t="inlineStr">
        <is>
          <t>&lt;p&gt;&lt;/p&gt;</t>
        </is>
      </c>
      <c r="O4114" t="inlineStr"/>
      <c r="P4114" t="inlineStr">
        <is>
          <t>Na , Towed Chipper , Timberwolf  , 190</t>
        </is>
      </c>
      <c r="Q4114" t="inlineStr">
        <is>
          <t>UKPN</t>
        </is>
      </c>
      <c r="R4114" t="b">
        <v>0</v>
      </c>
    </row>
    <row r="4115">
      <c r="A4115" t="inlineStr">
        <is>
          <t>21 Apr 2026 / Benet Jones</t>
        </is>
      </c>
      <c r="B4115" t="inlineStr">
        <is>
          <t>Infrastructure &amp; Utilities</t>
        </is>
      </c>
      <c r="C4115" t="inlineStr">
        <is>
          <t>NGED</t>
        </is>
      </c>
      <c r="D4115" t="inlineStr">
        <is>
          <t>GF71TXC , Car - Electric , Tesla , Model 3 Long Range AWD</t>
        </is>
      </c>
      <c r="E4115" t="inlineStr">
        <is>
          <t>GF71TXC , Car - Electric , Tesla , Model 3 Long Range AWD</t>
        </is>
      </c>
      <c r="F4115" t="inlineStr">
        <is>
          <t>GF71TXC , Car - Electric , Tesla , Model 3 Long Range AWD</t>
        </is>
      </c>
      <c r="G4115" t="inlineStr">
        <is>
          <t xml:space="preserve">Benet Jones </t>
        </is>
      </c>
      <c r="H4115" t="inlineStr">
        <is>
          <t>Car - Electric (GC Owned)</t>
        </is>
      </c>
      <c r="I4115" t="inlineStr">
        <is>
          <t>Daily/ Weekly Vehicle Inspection</t>
        </is>
      </c>
      <c r="J4115" t="inlineStr">
        <is>
          <t>N/A</t>
        </is>
      </c>
      <c r="K4115" t="inlineStr">
        <is>
          <t>Benet Jones</t>
        </is>
      </c>
      <c r="L4115" t="inlineStr">
        <is>
          <t>21/04/2026 08:01</t>
        </is>
      </c>
      <c r="M4115" t="inlineStr">
        <is>
          <t>None</t>
        </is>
      </c>
      <c r="N4115" t="inlineStr">
        <is>
          <t>&lt;p&gt;&lt;/p&gt;</t>
        </is>
      </c>
      <c r="O4115" t="inlineStr">
        <is>
          <t>Confirm that you have checked this vehicle as per the guidance document and the vehicle is safe and roadworthy:Car checked and fully serviceable
-</t>
        </is>
      </c>
      <c r="P4115" t="inlineStr">
        <is>
          <t>GF71TXC , Car - Electric , Tesla , Model 3 Long Range AWD</t>
        </is>
      </c>
      <c r="Q4115" t="inlineStr">
        <is>
          <t>NGED</t>
        </is>
      </c>
      <c r="R4115" t="b">
        <v>0</v>
      </c>
    </row>
    <row r="4116">
      <c r="A4116" t="inlineStr">
        <is>
          <t>21 Apr 2026 / 8040 S6 Tree specialists Ltd</t>
        </is>
      </c>
      <c r="B4116" t="inlineStr">
        <is>
          <t>Infrastructure &amp; Utilities</t>
        </is>
      </c>
      <c r="C4116" t="inlineStr">
        <is>
          <t>UKPN</t>
        </is>
      </c>
      <c r="D4116" t="inlineStr">
        <is>
          <t>GY08 RVC , 4x4 MEWP , Land Rover , Defender</t>
        </is>
      </c>
      <c r="E4116" t="inlineStr">
        <is>
          <t>GY08 RVC , 4x4 MEWP , Land Rover , Defender</t>
        </is>
      </c>
      <c r="F4116" t="inlineStr">
        <is>
          <t>GY08 RVC , 4x4 MEWP , Land Rover , Defender</t>
        </is>
      </c>
      <c r="G4116" t="inlineStr">
        <is>
          <t xml:space="preserve">Luke </t>
        </is>
      </c>
      <c r="H4116" t="inlineStr">
        <is>
          <t>4x4</t>
        </is>
      </c>
      <c r="I4116" t="inlineStr">
        <is>
          <t>Daily/ Weekly Vehicle Inspection</t>
        </is>
      </c>
      <c r="J4116" t="inlineStr">
        <is>
          <t>N/A</t>
        </is>
      </c>
      <c r="K4116" t="inlineStr">
        <is>
          <t>8040 S6 Tree specialists Ltd</t>
        </is>
      </c>
      <c r="L4116" t="inlineStr">
        <is>
          <t>21/04/2026 08:02</t>
        </is>
      </c>
      <c r="M4116" t="inlineStr">
        <is>
          <t>None</t>
        </is>
      </c>
      <c r="N4116" t="inlineStr">
        <is>
          <t>&lt;p&gt;&lt;/p&gt;</t>
        </is>
      </c>
      <c r="O4116" t="inlineStr"/>
      <c r="P4116" t="inlineStr">
        <is>
          <t>GY08 RVC , 4x4 MEWP , Land Rover , Defender</t>
        </is>
      </c>
      <c r="Q4116" t="inlineStr">
        <is>
          <t>UKPN</t>
        </is>
      </c>
      <c r="R4116" t="b">
        <v>0</v>
      </c>
    </row>
    <row r="4117">
      <c r="A4117" t="inlineStr">
        <is>
          <t>21 Apr 2026 / 7996 M G Tree Surgery Ltd 1</t>
        </is>
      </c>
      <c r="B4117" t="inlineStr">
        <is>
          <t>Infrastructure &amp; Utilities</t>
        </is>
      </c>
      <c r="C4117" t="inlineStr">
        <is>
          <t>UKPN</t>
        </is>
      </c>
      <c r="D4117" t="inlineStr"/>
      <c r="E4117" t="inlineStr"/>
      <c r="F4117" t="inlineStr"/>
      <c r="G4117" t="inlineStr">
        <is>
          <t>Anthony Gale</t>
        </is>
      </c>
      <c r="H4117" t="inlineStr">
        <is>
          <t>Towed Chipper</t>
        </is>
      </c>
      <c r="I4117" t="inlineStr">
        <is>
          <t>Daily/ Weekly Vehicle Inspection</t>
        </is>
      </c>
      <c r="J4117" t="inlineStr">
        <is>
          <t>N/A</t>
        </is>
      </c>
      <c r="K4117" t="inlineStr">
        <is>
          <t>7996 M G Tree Surgery Ltd 1</t>
        </is>
      </c>
      <c r="L4117" t="inlineStr">
        <is>
          <t>21/04/2026 08:03</t>
        </is>
      </c>
      <c r="M4117" t="inlineStr">
        <is>
          <t>None</t>
        </is>
      </c>
      <c r="N4117" t="inlineStr">
        <is>
          <t>&lt;p&gt;&lt;/p&gt;</t>
        </is>
      </c>
      <c r="O4117" t="inlineStr"/>
      <c r="P4117" t="inlineStr"/>
      <c r="Q4117" t="inlineStr">
        <is>
          <t>UKPN</t>
        </is>
      </c>
      <c r="R4117" t="b">
        <v>0</v>
      </c>
    </row>
    <row r="4118">
      <c r="A4118" t="inlineStr">
        <is>
          <t>21 Apr 2026 / 7996 M G Tree Surgery Ltd 1</t>
        </is>
      </c>
      <c r="B4118" t="inlineStr">
        <is>
          <t>Infrastructure &amp; Utilities</t>
        </is>
      </c>
      <c r="C4118" t="inlineStr">
        <is>
          <t>UKPN</t>
        </is>
      </c>
      <c r="D4118" t="inlineStr">
        <is>
          <t>KX20 BCE , Tipper , Isuzu , D-Max</t>
        </is>
      </c>
      <c r="E4118" t="inlineStr">
        <is>
          <t>KX20 BCE , Tipper , Isuzu , D-Max</t>
        </is>
      </c>
      <c r="F4118" t="inlineStr">
        <is>
          <t>KX20 BCE , Tipper , Isuzu , D-Max</t>
        </is>
      </c>
      <c r="G4118" t="inlineStr">
        <is>
          <t>Anthony Gale</t>
        </is>
      </c>
      <c r="H4118" t="inlineStr">
        <is>
          <t>Pickup Truck</t>
        </is>
      </c>
      <c r="I4118" t="inlineStr">
        <is>
          <t>Daily/ Weekly Vehicle Inspection</t>
        </is>
      </c>
      <c r="J4118" t="inlineStr">
        <is>
          <t>N/A</t>
        </is>
      </c>
      <c r="K4118" t="inlineStr">
        <is>
          <t>7996 M G Tree Surgery Ltd 1</t>
        </is>
      </c>
      <c r="L4118" t="inlineStr">
        <is>
          <t>21/04/2026 08:03</t>
        </is>
      </c>
      <c r="M4118" t="inlineStr">
        <is>
          <t>None</t>
        </is>
      </c>
      <c r="N4118" t="inlineStr">
        <is>
          <t>&lt;p&gt;&lt;/p&gt;</t>
        </is>
      </c>
      <c r="O4118" t="inlineStr"/>
      <c r="P4118" t="inlineStr">
        <is>
          <t>KX20 BCE , Tipper , Isuzu , D-Max</t>
        </is>
      </c>
      <c r="Q4118" t="inlineStr">
        <is>
          <t>UKPN</t>
        </is>
      </c>
      <c r="R4118" t="b">
        <v>0</v>
      </c>
    </row>
    <row r="4119">
      <c r="A4119" t="inlineStr">
        <is>
          <t>21 Apr 2026 / 7996 M G Tree Surgery Ltd</t>
        </is>
      </c>
      <c r="B4119" t="inlineStr">
        <is>
          <t>Infrastructure &amp; Utilities</t>
        </is>
      </c>
      <c r="C4119" t="inlineStr">
        <is>
          <t>UKPN</t>
        </is>
      </c>
      <c r="D4119" t="inlineStr">
        <is>
          <t>GU13 WNL , MEWP , Land Rover , Defender 130</t>
        </is>
      </c>
      <c r="E4119" t="inlineStr">
        <is>
          <t>GU13 WNL , MEWP , Land Rover , Defender 130</t>
        </is>
      </c>
      <c r="F4119" t="inlineStr">
        <is>
          <t>GU13 WNL , MEWP , Land Rover , Defender 130</t>
        </is>
      </c>
      <c r="G4119" t="inlineStr">
        <is>
          <t>Max</t>
        </is>
      </c>
      <c r="H4119" t="inlineStr">
        <is>
          <t>4x4</t>
        </is>
      </c>
      <c r="I4119" t="inlineStr">
        <is>
          <t>Daily/ Weekly Vehicle Inspection</t>
        </is>
      </c>
      <c r="J4119" t="inlineStr">
        <is>
          <t>N/A</t>
        </is>
      </c>
      <c r="K4119" t="inlineStr">
        <is>
          <t>7996 M G Tree Surgery Ltd</t>
        </is>
      </c>
      <c r="L4119" t="inlineStr">
        <is>
          <t>21/04/2026 08:05</t>
        </is>
      </c>
      <c r="M4119" t="inlineStr">
        <is>
          <t>None</t>
        </is>
      </c>
      <c r="N4119" t="inlineStr">
        <is>
          <t>&lt;p&gt;&lt;/p&gt;</t>
        </is>
      </c>
      <c r="O4119" t="inlineStr"/>
      <c r="P4119" t="inlineStr">
        <is>
          <t>GU13 WNL , MEWP , Land Rover , Defender 130</t>
        </is>
      </c>
      <c r="Q4119" t="inlineStr">
        <is>
          <t>UKPN</t>
        </is>
      </c>
      <c r="R4119" t="b">
        <v>0</v>
      </c>
    </row>
    <row r="4120">
      <c r="A4120" t="inlineStr">
        <is>
          <t>21 Apr 2026 / 7806 Optimum Tree Services Ltd</t>
        </is>
      </c>
      <c r="B4120" t="inlineStr">
        <is>
          <t>Infrastructure &amp; Utilities</t>
        </is>
      </c>
      <c r="C4120" t="inlineStr">
        <is>
          <t>UKPN</t>
        </is>
      </c>
      <c r="D4120" t="inlineStr">
        <is>
          <t>NA10SYZ , Tipper , Ford , Transit</t>
        </is>
      </c>
      <c r="E4120" t="inlineStr">
        <is>
          <t>NA10SYZ , Tipper , Ford , Transit</t>
        </is>
      </c>
      <c r="F4120" t="inlineStr">
        <is>
          <t>NA10SYZ , Tipper , Ford , Transit</t>
        </is>
      </c>
      <c r="G4120" t="inlineStr">
        <is>
          <t xml:space="preserve">Abraham Davies </t>
        </is>
      </c>
      <c r="H4120" t="inlineStr">
        <is>
          <t>Tipper</t>
        </is>
      </c>
      <c r="I4120" t="inlineStr">
        <is>
          <t>Daily/ Weekly Vehicle Inspection</t>
        </is>
      </c>
      <c r="J4120" t="inlineStr">
        <is>
          <t>N/A</t>
        </is>
      </c>
      <c r="K4120" t="inlineStr">
        <is>
          <t>7806 Optimum Tree Services Ltd</t>
        </is>
      </c>
      <c r="L4120" t="inlineStr">
        <is>
          <t>21/04/2026 08:06</t>
        </is>
      </c>
      <c r="M4120" t="inlineStr">
        <is>
          <t>None</t>
        </is>
      </c>
      <c r="N4120" t="inlineStr">
        <is>
          <t>&lt;p&gt;&lt;/p&gt;</t>
        </is>
      </c>
      <c r="O4120" t="inlineStr"/>
      <c r="P4120" t="inlineStr">
        <is>
          <t>NA10SYZ , Tipper , Ford , Transit</t>
        </is>
      </c>
      <c r="Q4120" t="inlineStr">
        <is>
          <t>UKPN</t>
        </is>
      </c>
      <c r="R4120" t="b">
        <v>0</v>
      </c>
    </row>
    <row r="4121">
      <c r="A4121" t="inlineStr">
        <is>
          <t>21 Apr 2026 / 7806 Optimum Tree Services Ltd</t>
        </is>
      </c>
      <c r="B4121" t="inlineStr">
        <is>
          <t>Infrastructure &amp; Utilities</t>
        </is>
      </c>
      <c r="C4121" t="inlineStr">
        <is>
          <t>UKPN</t>
        </is>
      </c>
      <c r="D4121" t="inlineStr">
        <is>
          <t>SA9TAPLAF27414263 , Trailer , Tow Mate , Plant Trailer</t>
        </is>
      </c>
      <c r="E4121" t="inlineStr">
        <is>
          <t>SA9TAPLAF27414263 , Trailer , Tow Mate , Plant Trailer</t>
        </is>
      </c>
      <c r="F4121" t="inlineStr">
        <is>
          <t>SA9TAPLAF27414263 , Trailer , Tow Mate , Plant Trailer</t>
        </is>
      </c>
      <c r="G4121" t="inlineStr">
        <is>
          <t xml:space="preserve">Abraham Davies </t>
        </is>
      </c>
      <c r="H4121" t="inlineStr">
        <is>
          <t>Plant Trailer</t>
        </is>
      </c>
      <c r="I4121" t="inlineStr">
        <is>
          <t>Daily/ Weekly Vehicle Inspection</t>
        </is>
      </c>
      <c r="J4121" t="inlineStr">
        <is>
          <t>N/A</t>
        </is>
      </c>
      <c r="K4121" t="inlineStr">
        <is>
          <t>7806 Optimum Tree Services Ltd</t>
        </is>
      </c>
      <c r="L4121" t="inlineStr">
        <is>
          <t>21/04/2026 08:07</t>
        </is>
      </c>
      <c r="M4121" t="inlineStr">
        <is>
          <t>None</t>
        </is>
      </c>
      <c r="N4121" t="inlineStr">
        <is>
          <t>&lt;p&gt;&lt;/p&gt;</t>
        </is>
      </c>
      <c r="O4121" t="inlineStr"/>
      <c r="P4121" t="inlineStr">
        <is>
          <t>SA9TAPLAF27414263 , Trailer , Tow Mate , Plant Trailer</t>
        </is>
      </c>
      <c r="Q4121" t="inlineStr">
        <is>
          <t>UKPN</t>
        </is>
      </c>
      <c r="R4121" t="b">
        <v>0</v>
      </c>
    </row>
    <row r="4122">
      <c r="A4122" t="inlineStr">
        <is>
          <t>21 Apr 2026 / 6617 Ashdown Tree Limited 1</t>
        </is>
      </c>
      <c r="B4122" t="inlineStr">
        <is>
          <t>Infrastructure &amp; Utilities</t>
        </is>
      </c>
      <c r="C4122" t="inlineStr">
        <is>
          <t>UKPN</t>
        </is>
      </c>
      <c r="D4122" t="inlineStr">
        <is>
          <t>WG63OJS , 4x4 , Land rover  , defender</t>
        </is>
      </c>
      <c r="E4122" t="inlineStr">
        <is>
          <t>WG63OJS , 4x4 , Land rover  , defender</t>
        </is>
      </c>
      <c r="F4122" t="inlineStr">
        <is>
          <t>WG63OJS , 4x4 , Land rover  , defender</t>
        </is>
      </c>
      <c r="G4122" t="inlineStr">
        <is>
          <t>Dan</t>
        </is>
      </c>
      <c r="H4122" t="inlineStr">
        <is>
          <t>4x4</t>
        </is>
      </c>
      <c r="I4122" t="inlineStr">
        <is>
          <t>Daily/ Weekly Vehicle Inspection</t>
        </is>
      </c>
      <c r="J4122" t="inlineStr">
        <is>
          <t>N/A</t>
        </is>
      </c>
      <c r="K4122" t="inlineStr">
        <is>
          <t>6617 Ashdown Tree Limited - Team 2</t>
        </is>
      </c>
      <c r="L4122" t="inlineStr">
        <is>
          <t>21/04/2026 08:09</t>
        </is>
      </c>
      <c r="M4122" t="inlineStr">
        <is>
          <t>None</t>
        </is>
      </c>
      <c r="N4122" t="inlineStr">
        <is>
          <t>&lt;p&gt;&lt;/p&gt;</t>
        </is>
      </c>
      <c r="O4122" t="inlineStr"/>
      <c r="P4122" t="inlineStr">
        <is>
          <t>WG63OJS , 4x4 , Land rover  , defender</t>
        </is>
      </c>
      <c r="Q4122" t="inlineStr">
        <is>
          <t>UKPN</t>
        </is>
      </c>
      <c r="R4122" t="b">
        <v>0</v>
      </c>
    </row>
    <row r="4123">
      <c r="A4123" t="inlineStr">
        <is>
          <t>21 Apr 2026 / James Heaton</t>
        </is>
      </c>
      <c r="B4123" t="inlineStr">
        <is>
          <t>Infrastructure &amp; Utilities</t>
        </is>
      </c>
      <c r="C4123" t="inlineStr">
        <is>
          <t>NGED</t>
        </is>
      </c>
      <c r="D4123" t="inlineStr">
        <is>
          <t>AJ23EKC , Car - Electric , Tesla , Model 3 Long Range AWD</t>
        </is>
      </c>
      <c r="E4123" t="inlineStr">
        <is>
          <t>AJ23EKC , Car - Electric , Tesla , Model 3 Long Range AWD</t>
        </is>
      </c>
      <c r="F4123" t="inlineStr">
        <is>
          <t>AJ23EKC , Car - Electric , Tesla , Model 3 Long Range AWD</t>
        </is>
      </c>
      <c r="G4123" t="inlineStr">
        <is>
          <t>James heaton</t>
        </is>
      </c>
      <c r="H4123" t="inlineStr">
        <is>
          <t>Car - Electric (GC Owned)</t>
        </is>
      </c>
      <c r="I4123" t="inlineStr">
        <is>
          <t>Daily/ Weekly Vehicle Inspection</t>
        </is>
      </c>
      <c r="J4123" t="inlineStr">
        <is>
          <t>N/A</t>
        </is>
      </c>
      <c r="K4123" t="inlineStr">
        <is>
          <t>James Heaton</t>
        </is>
      </c>
      <c r="L4123" t="inlineStr">
        <is>
          <t>21/04/2026 08:50</t>
        </is>
      </c>
      <c r="M4123" t="inlineStr">
        <is>
          <t>None</t>
        </is>
      </c>
      <c r="N4123" t="inlineStr">
        <is>
          <t>&lt;p&gt;&lt;/p&gt;</t>
        </is>
      </c>
      <c r="O4123" t="inlineStr"/>
      <c r="P4123" t="inlineStr">
        <is>
          <t>AJ23EKC , Car - Electric , Tesla , Model 3 Long Range AWD</t>
        </is>
      </c>
      <c r="Q4123" t="inlineStr">
        <is>
          <t>NGED</t>
        </is>
      </c>
      <c r="R4123" t="b">
        <v>0</v>
      </c>
    </row>
    <row r="4124">
      <c r="A4124" t="inlineStr">
        <is>
          <t>21 Apr 2026 / Jake Bolwell</t>
        </is>
      </c>
      <c r="B4124" t="inlineStr">
        <is>
          <t>Infrastructure &amp; Utilities</t>
        </is>
      </c>
      <c r="C4124" t="inlineStr">
        <is>
          <t>SSE</t>
        </is>
      </c>
      <c r="D4124" t="inlineStr">
        <is>
          <t>AK23YLP , Car - Electric , Tesla , Model Y Long Range</t>
        </is>
      </c>
      <c r="E4124" t="inlineStr">
        <is>
          <t>AK23YLP , Car - Electric , Tesla , Model Y Long Range</t>
        </is>
      </c>
      <c r="F4124" t="inlineStr">
        <is>
          <t>AK23YLP , Car - Electric , Tesla , Model Y Long Range</t>
        </is>
      </c>
      <c r="G4124" t="inlineStr">
        <is>
          <t>Jake Bolwell</t>
        </is>
      </c>
      <c r="H4124" t="inlineStr">
        <is>
          <t>Car - Electric (GC Owned)</t>
        </is>
      </c>
      <c r="I4124" t="inlineStr">
        <is>
          <t>Daily/ Weekly Vehicle Inspection</t>
        </is>
      </c>
      <c r="J4124" t="inlineStr">
        <is>
          <t>N/A</t>
        </is>
      </c>
      <c r="K4124" t="inlineStr">
        <is>
          <t>Jake Bolwell</t>
        </is>
      </c>
      <c r="L4124" t="inlineStr">
        <is>
          <t>21/04/2026 08:51</t>
        </is>
      </c>
      <c r="M4124" t="inlineStr">
        <is>
          <t>None</t>
        </is>
      </c>
      <c r="N4124" t="inlineStr">
        <is>
          <t>&lt;p&gt;&lt;/p&gt;</t>
        </is>
      </c>
      <c r="O4124" t="inlineStr"/>
      <c r="P4124" t="inlineStr">
        <is>
          <t>AK23YLP , Car - Electric , Tesla , Model Y Long Range</t>
        </is>
      </c>
      <c r="Q4124" t="inlineStr">
        <is>
          <t>SSE</t>
        </is>
      </c>
      <c r="R4124" t="b">
        <v>0</v>
      </c>
    </row>
    <row r="4125">
      <c r="A4125" t="inlineStr">
        <is>
          <t>21 Apr 2026 / 8148 Hope Ground and Tree Care</t>
        </is>
      </c>
      <c r="B4125" t="inlineStr">
        <is>
          <t>Infrastructure &amp; Utilities</t>
        </is>
      </c>
      <c r="C4125" t="inlineStr">
        <is>
          <t>UKPN</t>
        </is>
      </c>
      <c r="D4125" t="inlineStr">
        <is>
          <t>S6 NWX , MEWP , Isuzu , D-Max</t>
        </is>
      </c>
      <c r="E4125" t="inlineStr">
        <is>
          <t>S6 NWX , MEWP , Isuzu , D-Max</t>
        </is>
      </c>
      <c r="F4125" t="inlineStr">
        <is>
          <t>S6 NWX , MEWP , Isuzu , D-Max</t>
        </is>
      </c>
      <c r="G4125" t="inlineStr">
        <is>
          <t>Hope</t>
        </is>
      </c>
      <c r="H4125" t="inlineStr">
        <is>
          <t>4x4</t>
        </is>
      </c>
      <c r="I4125" t="inlineStr">
        <is>
          <t>Daily/ Weekly Vehicle Inspection</t>
        </is>
      </c>
      <c r="J4125" t="inlineStr">
        <is>
          <t>N/A</t>
        </is>
      </c>
      <c r="K4125" t="inlineStr">
        <is>
          <t>8148 Hope Ground and Tree Care</t>
        </is>
      </c>
      <c r="L4125" t="inlineStr">
        <is>
          <t>21/04/2026 08:52</t>
        </is>
      </c>
      <c r="M4125" t="inlineStr">
        <is>
          <t>None</t>
        </is>
      </c>
      <c r="N4125" t="inlineStr">
        <is>
          <t>&lt;p&gt;&lt;/p&gt;</t>
        </is>
      </c>
      <c r="O4125" t="inlineStr"/>
      <c r="P4125" t="inlineStr">
        <is>
          <t>S6 NWX , MEWP , Isuzu , D-Max</t>
        </is>
      </c>
      <c r="Q4125" t="inlineStr">
        <is>
          <t>UKPN</t>
        </is>
      </c>
      <c r="R4125" t="b">
        <v>0</v>
      </c>
    </row>
    <row r="4126">
      <c r="A4126" t="inlineStr">
        <is>
          <t>21 Apr 2026 / Ashley Taylor</t>
        </is>
      </c>
      <c r="B4126" t="inlineStr">
        <is>
          <t>Infrastructure &amp; Utilities</t>
        </is>
      </c>
      <c r="C4126" t="inlineStr">
        <is>
          <t>SSE</t>
        </is>
      </c>
      <c r="D4126" t="inlineStr">
        <is>
          <t>AF22XLX , Car - Electric , Tesla , Model 3 Long Range AWD</t>
        </is>
      </c>
      <c r="E4126" t="inlineStr">
        <is>
          <t>AF22XLX , Car - Electric , Tesla , Model 3 Long Range AWD</t>
        </is>
      </c>
      <c r="F4126" t="inlineStr">
        <is>
          <t>AF22XLX , Car - Electric , Tesla , Model 3 Long Range AWD</t>
        </is>
      </c>
      <c r="G4126" t="inlineStr">
        <is>
          <t xml:space="preserve">Ashley Taylor </t>
        </is>
      </c>
      <c r="H4126" t="inlineStr">
        <is>
          <t>Car - Electric (GC Owned)</t>
        </is>
      </c>
      <c r="I4126" t="inlineStr">
        <is>
          <t>Daily/ Weekly Vehicle Inspection</t>
        </is>
      </c>
      <c r="J4126" t="inlineStr">
        <is>
          <t>N/A</t>
        </is>
      </c>
      <c r="K4126" t="inlineStr">
        <is>
          <t>Ashley Taylor</t>
        </is>
      </c>
      <c r="L4126" t="inlineStr">
        <is>
          <t>21/04/2026 09:49</t>
        </is>
      </c>
      <c r="M4126" t="inlineStr">
        <is>
          <t>None</t>
        </is>
      </c>
      <c r="N4126" t="inlineStr">
        <is>
          <t>&lt;p&gt;&lt;/p&gt;</t>
        </is>
      </c>
      <c r="O4126" t="inlineStr"/>
      <c r="P4126" t="inlineStr">
        <is>
          <t>AF22XLX , Car - Electric , Tesla , Model 3 Long Range AWD</t>
        </is>
      </c>
      <c r="Q4126" t="inlineStr">
        <is>
          <t>SSE</t>
        </is>
      </c>
      <c r="R4126" t="b">
        <v>0</v>
      </c>
    </row>
    <row r="4127">
      <c r="A4127" t="inlineStr">
        <is>
          <t>21 Apr 2026 / Joe Lemar</t>
        </is>
      </c>
      <c r="B4127" t="inlineStr">
        <is>
          <t>Infrastructure &amp; Utilities</t>
        </is>
      </c>
      <c r="C4127" t="inlineStr">
        <is>
          <t>SSE</t>
        </is>
      </c>
      <c r="D4127" t="inlineStr">
        <is>
          <t>AK70TBV , Car - Electric , Tesla , Model 3 Long Range AWD</t>
        </is>
      </c>
      <c r="E4127" t="inlineStr">
        <is>
          <t>AK70TBV , Car - Electric , Tesla , Model 3 Long Range AWD</t>
        </is>
      </c>
      <c r="F4127" t="inlineStr">
        <is>
          <t>AK70TBV , Car - Electric , Tesla , Model 3 Long Range AWD</t>
        </is>
      </c>
      <c r="G4127" t="inlineStr">
        <is>
          <t xml:space="preserve">Joe lemar </t>
        </is>
      </c>
      <c r="H4127" t="inlineStr">
        <is>
          <t>Car - Electric (GC Owned)</t>
        </is>
      </c>
      <c r="I4127" t="inlineStr">
        <is>
          <t>Daily/ Weekly Vehicle Inspection</t>
        </is>
      </c>
      <c r="J4127" t="inlineStr">
        <is>
          <t>N/A</t>
        </is>
      </c>
      <c r="K4127" t="inlineStr">
        <is>
          <t>Joe Lemar</t>
        </is>
      </c>
      <c r="L4127" t="inlineStr">
        <is>
          <t>21/04/2026 09:50</t>
        </is>
      </c>
      <c r="M4127" t="inlineStr">
        <is>
          <t>None</t>
        </is>
      </c>
      <c r="N4127" t="inlineStr">
        <is>
          <t>&lt;p&gt;&lt;/p&gt;</t>
        </is>
      </c>
      <c r="O4127" t="inlineStr"/>
      <c r="P4127" t="inlineStr">
        <is>
          <t>AK70TBV , Car - Electric , Tesla , Model 3 Long Range AWD</t>
        </is>
      </c>
      <c r="Q4127" t="inlineStr">
        <is>
          <t>SSE</t>
        </is>
      </c>
      <c r="R4127" t="b">
        <v>0</v>
      </c>
    </row>
    <row r="4128">
      <c r="A4128" t="inlineStr">
        <is>
          <t>21 Apr 2026 / William Heneage</t>
        </is>
      </c>
      <c r="B4128" t="inlineStr">
        <is>
          <t>Infrastructure &amp; Utilities</t>
        </is>
      </c>
      <c r="C4128" t="inlineStr">
        <is>
          <t>SSE</t>
        </is>
      </c>
      <c r="D4128" t="inlineStr">
        <is>
          <t>YX24TWV , Car - Electric , Kia , E-Niro</t>
        </is>
      </c>
      <c r="E4128" t="inlineStr">
        <is>
          <t>YX24TWV , Car - Electric , Kia , E-Niro</t>
        </is>
      </c>
      <c r="F4128" t="inlineStr">
        <is>
          <t>YX24TWV , Car - Electric , Kia , E-Niro</t>
        </is>
      </c>
      <c r="G4128" t="inlineStr">
        <is>
          <t xml:space="preserve">Will Heneage </t>
        </is>
      </c>
      <c r="H4128" t="inlineStr">
        <is>
          <t>Car - Electric (GC Owned)</t>
        </is>
      </c>
      <c r="I4128" t="inlineStr">
        <is>
          <t>Daily/ Weekly Vehicle Inspection</t>
        </is>
      </c>
      <c r="J4128" t="inlineStr">
        <is>
          <t>N/A</t>
        </is>
      </c>
      <c r="K4128" t="inlineStr">
        <is>
          <t>William Heneage</t>
        </is>
      </c>
      <c r="L4128" t="inlineStr">
        <is>
          <t>21/04/2026 09:51</t>
        </is>
      </c>
      <c r="M4128" t="inlineStr">
        <is>
          <t>None</t>
        </is>
      </c>
      <c r="N4128" t="inlineStr">
        <is>
          <t>&lt;p&gt;&lt;/p&gt;</t>
        </is>
      </c>
      <c r="O4128" t="inlineStr"/>
      <c r="P4128" t="inlineStr">
        <is>
          <t>YX24TWV , Car - Electric , Kia , E-Niro</t>
        </is>
      </c>
      <c r="Q4128" t="inlineStr">
        <is>
          <t>SSE</t>
        </is>
      </c>
      <c r="R4128" t="b">
        <v>0</v>
      </c>
    </row>
    <row r="4129">
      <c r="A4129" t="inlineStr">
        <is>
          <t>21 Apr 2026 / Joshua Atkins</t>
        </is>
      </c>
      <c r="B4129" t="inlineStr">
        <is>
          <t>Infrastructure &amp; Utilities</t>
        </is>
      </c>
      <c r="C4129" t="inlineStr">
        <is>
          <t>UKPN</t>
        </is>
      </c>
      <c r="D4129" t="inlineStr">
        <is>
          <t>YX24TWG , Car - Electric , Kia , E-Niro</t>
        </is>
      </c>
      <c r="E4129" t="inlineStr">
        <is>
          <t>YX24TWG , Car - Electric , Kia , E-Niro</t>
        </is>
      </c>
      <c r="F4129" t="inlineStr">
        <is>
          <t>YX24TWG , Car - Electric , Kia , E-Niro</t>
        </is>
      </c>
      <c r="G4129" t="inlineStr">
        <is>
          <t>Josh Atkins</t>
        </is>
      </c>
      <c r="H4129" t="inlineStr">
        <is>
          <t>Car - Electric (GC Owned)</t>
        </is>
      </c>
      <c r="I4129" t="inlineStr">
        <is>
          <t>Daily/ Weekly Vehicle Inspection</t>
        </is>
      </c>
      <c r="J4129" t="inlineStr">
        <is>
          <t>N/A</t>
        </is>
      </c>
      <c r="K4129" t="inlineStr">
        <is>
          <t>Joshua Atkins</t>
        </is>
      </c>
      <c r="L4129" t="inlineStr">
        <is>
          <t>21/04/2026 09:52</t>
        </is>
      </c>
      <c r="M4129" t="inlineStr">
        <is>
          <t>None</t>
        </is>
      </c>
      <c r="N4129" t="inlineStr">
        <is>
          <t>&lt;p&gt;&lt;/p&gt;</t>
        </is>
      </c>
      <c r="O4129" t="inlineStr"/>
      <c r="P4129" t="inlineStr">
        <is>
          <t>YX24TWG , Car - Electric , Kia , E-Niro</t>
        </is>
      </c>
      <c r="Q4129" t="inlineStr">
        <is>
          <t>UKPN</t>
        </is>
      </c>
      <c r="R4129" t="b">
        <v>0</v>
      </c>
    </row>
    <row r="4130">
      <c r="A4130" t="inlineStr">
        <is>
          <t>21 Apr 2026 / Luke Power</t>
        </is>
      </c>
      <c r="B4130" t="inlineStr">
        <is>
          <t>Infrastructure &amp; Utilities</t>
        </is>
      </c>
      <c r="C4130" t="inlineStr">
        <is>
          <t>NGED</t>
        </is>
      </c>
      <c r="D4130" t="inlineStr"/>
      <c r="E4130" t="inlineStr"/>
      <c r="F4130" t="inlineStr"/>
      <c r="G4130" t="inlineStr">
        <is>
          <t>Luke power</t>
        </is>
      </c>
      <c r="H4130" t="inlineStr">
        <is>
          <t>Van</t>
        </is>
      </c>
      <c r="I4130" t="inlineStr">
        <is>
          <t>Daily/ Weekly Vehicle Inspection</t>
        </is>
      </c>
      <c r="J4130" t="inlineStr">
        <is>
          <t>N/A</t>
        </is>
      </c>
      <c r="K4130" t="inlineStr">
        <is>
          <t>Luke Power</t>
        </is>
      </c>
      <c r="L4130" t="inlineStr">
        <is>
          <t>21/04/2026 10:50</t>
        </is>
      </c>
      <c r="M4130" t="inlineStr">
        <is>
          <t>None</t>
        </is>
      </c>
      <c r="N4130" t="inlineStr">
        <is>
          <t>&lt;p&gt;&lt;/p&gt;</t>
        </is>
      </c>
      <c r="O4130" t="inlineStr">
        <is>
          <t>Vehicle Registration:Arnold clark</t>
        </is>
      </c>
      <c r="P4130" t="inlineStr"/>
      <c r="Q4130" t="inlineStr">
        <is>
          <t>NGED</t>
        </is>
      </c>
      <c r="R4130" t="b">
        <v>0</v>
      </c>
    </row>
    <row r="4131">
      <c r="A4131" t="inlineStr">
        <is>
          <t>21 Apr 2026 / Gerard Hendry</t>
        </is>
      </c>
      <c r="B4131" t="inlineStr">
        <is>
          <t>Infrastructure &amp; Utilities</t>
        </is>
      </c>
      <c r="C4131" t="inlineStr">
        <is>
          <t>SSE</t>
        </is>
      </c>
      <c r="D4131" t="inlineStr"/>
      <c r="E4131" t="inlineStr"/>
      <c r="F4131" t="inlineStr"/>
      <c r="G4131" t="inlineStr">
        <is>
          <t>Gerard Hendry</t>
        </is>
      </c>
      <c r="H4131" t="inlineStr">
        <is>
          <t>Car - Petrol</t>
        </is>
      </c>
      <c r="I4131" t="inlineStr">
        <is>
          <t>Daily/ Weekly Vehicle Inspection</t>
        </is>
      </c>
      <c r="J4131" t="inlineStr">
        <is>
          <t>N/A</t>
        </is>
      </c>
      <c r="K4131" t="inlineStr">
        <is>
          <t>Gerard Hendry</t>
        </is>
      </c>
      <c r="L4131" t="inlineStr">
        <is>
          <t>21/04/2026 11:51</t>
        </is>
      </c>
      <c r="M4131" t="inlineStr">
        <is>
          <t>None</t>
        </is>
      </c>
      <c r="N4131" t="inlineStr">
        <is>
          <t>&lt;p&gt;&lt;/p&gt;</t>
        </is>
      </c>
      <c r="O4131" t="inlineStr"/>
      <c r="P4131" t="inlineStr"/>
      <c r="Q4131" t="inlineStr">
        <is>
          <t>SSE</t>
        </is>
      </c>
      <c r="R4131" t="b">
        <v>0</v>
      </c>
    </row>
    <row r="4132">
      <c r="A4132" t="inlineStr">
        <is>
          <t>21 Apr 2026 / Mathew Dunn</t>
        </is>
      </c>
      <c r="B4132" t="inlineStr">
        <is>
          <t>Infrastructure &amp; Utilities</t>
        </is>
      </c>
      <c r="C4132" t="inlineStr">
        <is>
          <t>SSE</t>
        </is>
      </c>
      <c r="D4132" t="inlineStr">
        <is>
          <t>GN70XAU , Car - Electric , Tesla , Model 3 Long Range AWD</t>
        </is>
      </c>
      <c r="E4132" t="inlineStr">
        <is>
          <t>GN70XAU , Car - Electric , Tesla , Model 3 Long Range AWD</t>
        </is>
      </c>
      <c r="F4132" t="inlineStr">
        <is>
          <t>GN70XAU , Car - Electric , Tesla , Model 3 Long Range AWD</t>
        </is>
      </c>
      <c r="G4132" t="inlineStr">
        <is>
          <t xml:space="preserve">Mathew dunn </t>
        </is>
      </c>
      <c r="H4132" t="inlineStr">
        <is>
          <t>Car - Electric (GC Owned)</t>
        </is>
      </c>
      <c r="I4132" t="inlineStr">
        <is>
          <t>Monthly Vehicle Inspection</t>
        </is>
      </c>
      <c r="J4132" t="inlineStr">
        <is>
          <t>82995</t>
        </is>
      </c>
      <c r="K4132" t="inlineStr">
        <is>
          <t>Mathew Dunn</t>
        </is>
      </c>
      <c r="L4132" t="inlineStr">
        <is>
          <t>21/04/2026 12:51</t>
        </is>
      </c>
      <c r="M4132" t="inlineStr">
        <is>
          <t>None</t>
        </is>
      </c>
      <c r="N4132" t="inlineStr">
        <is>
          <t>&lt;p&gt;&lt;/p&gt;</t>
        </is>
      </c>
      <c r="O4132" t="inlineStr"/>
      <c r="P4132" t="inlineStr">
        <is>
          <t>GN70XAU , Car - Electric , Tesla , Model 3 Long Range AWD</t>
        </is>
      </c>
      <c r="Q4132" t="inlineStr">
        <is>
          <t>SSE</t>
        </is>
      </c>
      <c r="R4132" t="b">
        <v>0</v>
      </c>
    </row>
    <row r="4133">
      <c r="A4133" t="inlineStr">
        <is>
          <t>21 Apr 2026 / Ashley Hill</t>
        </is>
      </c>
      <c r="B4133" t="inlineStr">
        <is>
          <t>Infrastructure &amp; Utilities</t>
        </is>
      </c>
      <c r="C4133" t="inlineStr">
        <is>
          <t>NGED</t>
        </is>
      </c>
      <c r="D4133" t="inlineStr"/>
      <c r="E4133" t="inlineStr"/>
      <c r="F4133" t="inlineStr"/>
      <c r="G4133" t="inlineStr">
        <is>
          <t>Ashley hill</t>
        </is>
      </c>
      <c r="H4133" t="inlineStr">
        <is>
          <t>Car - Petrol</t>
        </is>
      </c>
      <c r="I4133" t="inlineStr">
        <is>
          <t>Daily/ Weekly Vehicle Inspection</t>
        </is>
      </c>
      <c r="J4133" t="inlineStr">
        <is>
          <t>N/A</t>
        </is>
      </c>
      <c r="K4133" t="inlineStr">
        <is>
          <t>Ashley Hill</t>
        </is>
      </c>
      <c r="L4133" t="inlineStr">
        <is>
          <t>21/04/2026 14:49</t>
        </is>
      </c>
      <c r="M4133" t="inlineStr">
        <is>
          <t>None</t>
        </is>
      </c>
      <c r="N4133" t="inlineStr">
        <is>
          <t>&lt;p&gt;&lt;/p&gt;</t>
        </is>
      </c>
      <c r="O4133" t="inlineStr"/>
      <c r="P4133" t="inlineStr"/>
      <c r="Q4133" t="inlineStr">
        <is>
          <t>NGED</t>
        </is>
      </c>
      <c r="R4133" t="b">
        <v>0</v>
      </c>
    </row>
    <row r="4134">
      <c r="A4134" t="inlineStr">
        <is>
          <t>21 Apr 2026 / Chas Dell</t>
        </is>
      </c>
      <c r="B4134" t="inlineStr">
        <is>
          <t>Infrastructure &amp; Utilities</t>
        </is>
      </c>
      <c r="C4134" t="inlineStr">
        <is>
          <t>UKPN</t>
        </is>
      </c>
      <c r="D4134" t="inlineStr">
        <is>
          <t>EK73UOH , Car - Electric , Kia , Niro</t>
        </is>
      </c>
      <c r="E4134" t="inlineStr">
        <is>
          <t>EK73UOH , Car - Electric , Kia , Niro</t>
        </is>
      </c>
      <c r="F4134" t="inlineStr">
        <is>
          <t>EK73UOH , Car - Electric , Kia , Niro</t>
        </is>
      </c>
      <c r="G4134" t="inlineStr">
        <is>
          <t>Chas dell</t>
        </is>
      </c>
      <c r="H4134" t="inlineStr">
        <is>
          <t>Car - Electric (GC Owned)</t>
        </is>
      </c>
      <c r="I4134" t="inlineStr">
        <is>
          <t>Daily/ Weekly Vehicle Inspection</t>
        </is>
      </c>
      <c r="J4134" t="inlineStr">
        <is>
          <t>N/A</t>
        </is>
      </c>
      <c r="K4134" t="inlineStr">
        <is>
          <t>Chas Dell</t>
        </is>
      </c>
      <c r="L4134" t="inlineStr">
        <is>
          <t>21/04/2026 16:49</t>
        </is>
      </c>
      <c r="M4134" t="inlineStr">
        <is>
          <t xml:space="preserve">Confirm that you have checked this vehicle as per the guidance document and the vehicle is safe and roadworthy: Fail
</t>
        </is>
      </c>
      <c r="N4134" t="inlineStr">
        <is>
          <t>&lt;p&gt;&lt;/p&gt;</t>
        </is>
      </c>
      <c r="O4134" t="inlineStr"/>
      <c r="P4134" t="inlineStr">
        <is>
          <t>EK73UOH , Car - Electric , Kia , Niro</t>
        </is>
      </c>
      <c r="Q4134" t="inlineStr">
        <is>
          <t>UKPN</t>
        </is>
      </c>
      <c r="R4134" t="b">
        <v>0</v>
      </c>
    </row>
    <row r="4135">
      <c r="A4135" t="inlineStr">
        <is>
          <t>21 Apr 2026 / 7951 Austin Tree Care LTD</t>
        </is>
      </c>
      <c r="B4135" t="inlineStr">
        <is>
          <t>Infrastructure &amp; Utilities</t>
        </is>
      </c>
      <c r="C4135" t="inlineStr">
        <is>
          <t>UKPN</t>
        </is>
      </c>
      <c r="D4135" t="inlineStr">
        <is>
          <t>WG64HTT , 4x4 , Land Rover , Defender 110</t>
        </is>
      </c>
      <c r="E4135" t="inlineStr">
        <is>
          <t>WG64HTT , 4x4 , Land Rover , Defender 110</t>
        </is>
      </c>
      <c r="F4135" t="inlineStr">
        <is>
          <t>WG64HTT , 4x4 , Land Rover , Defender 110</t>
        </is>
      </c>
      <c r="G4135" t="inlineStr">
        <is>
          <t xml:space="preserve">James Tasker  </t>
        </is>
      </c>
      <c r="H4135" t="inlineStr">
        <is>
          <t>4x4</t>
        </is>
      </c>
      <c r="I4135" t="inlineStr">
        <is>
          <t>Daily/ Weekly Vehicle Inspection</t>
        </is>
      </c>
      <c r="J4135" t="inlineStr">
        <is>
          <t>N/A</t>
        </is>
      </c>
      <c r="K4135" t="inlineStr">
        <is>
          <t>7951 Austin Tree Care LTD</t>
        </is>
      </c>
      <c r="L4135" t="inlineStr">
        <is>
          <t>21/04/2026 22:49</t>
        </is>
      </c>
      <c r="M4135" t="inlineStr">
        <is>
          <t>None</t>
        </is>
      </c>
      <c r="N4135" t="inlineStr">
        <is>
          <t>&lt;p&gt;&lt;/p&gt;</t>
        </is>
      </c>
      <c r="O4135" t="inlineStr"/>
      <c r="P4135" t="inlineStr">
        <is>
          <t>WG64HTT , 4x4 , Land Rover , Defender 110</t>
        </is>
      </c>
      <c r="Q4135" t="inlineStr">
        <is>
          <t>UKPN</t>
        </is>
      </c>
      <c r="R4135" t="b">
        <v>0</v>
      </c>
    </row>
    <row r="4136">
      <c r="A4136" t="inlineStr">
        <is>
          <t>21 Apr 2026 / 7951 Austin Tree Care LTD</t>
        </is>
      </c>
      <c r="B4136" t="inlineStr">
        <is>
          <t>Infrastructure &amp; Utilities</t>
        </is>
      </c>
      <c r="C4136" t="inlineStr">
        <is>
          <t>UKPN</t>
        </is>
      </c>
      <c r="D4136" t="inlineStr">
        <is>
          <t>SA9ST6P0001283612 , Towed Chipper , Forst , ST6p</t>
        </is>
      </c>
      <c r="E4136" t="inlineStr">
        <is>
          <t>SA9ST6P0001283612 , Towed Chipper , Forst , ST6p</t>
        </is>
      </c>
      <c r="F4136" t="inlineStr">
        <is>
          <t>SA9ST6P0001283612 , Towed Chipper , Forst , ST6p</t>
        </is>
      </c>
      <c r="G4136" t="inlineStr">
        <is>
          <t xml:space="preserve">Jack Austin </t>
        </is>
      </c>
      <c r="H4136" t="inlineStr">
        <is>
          <t>Towed Chipper</t>
        </is>
      </c>
      <c r="I4136" t="inlineStr">
        <is>
          <t>Daily/ Weekly Vehicle Inspection</t>
        </is>
      </c>
      <c r="J4136" t="inlineStr">
        <is>
          <t>N/A</t>
        </is>
      </c>
      <c r="K4136" t="inlineStr">
        <is>
          <t>7951 Austin Tree Care LTD</t>
        </is>
      </c>
      <c r="L4136" t="inlineStr">
        <is>
          <t>21/04/2026 22:50</t>
        </is>
      </c>
      <c r="M4136" t="inlineStr">
        <is>
          <t>None</t>
        </is>
      </c>
      <c r="N4136" t="inlineStr">
        <is>
          <t>&lt;p&gt;&lt;/p&gt;</t>
        </is>
      </c>
      <c r="O4136" t="inlineStr"/>
      <c r="P4136" t="inlineStr">
        <is>
          <t>SA9ST6P0001283612 , Towed Chipper , Forst , ST6p</t>
        </is>
      </c>
      <c r="Q4136" t="inlineStr">
        <is>
          <t>UKPN</t>
        </is>
      </c>
      <c r="R4136" t="b">
        <v>0</v>
      </c>
    </row>
    <row r="4137">
      <c r="A4137" t="inlineStr">
        <is>
          <t>22 Apr 2026 / Benet Jones</t>
        </is>
      </c>
      <c r="B4137" t="inlineStr">
        <is>
          <t>Infrastructure &amp; Utilities</t>
        </is>
      </c>
      <c r="C4137" t="inlineStr">
        <is>
          <t>NGED</t>
        </is>
      </c>
      <c r="D4137" t="inlineStr">
        <is>
          <t>GF71TXC , Car - Electric , Tesla , Model 3 Long Range AWD</t>
        </is>
      </c>
      <c r="E4137" t="inlineStr">
        <is>
          <t>GF71TXC , Car - Electric , Tesla , Model 3 Long Range AWD</t>
        </is>
      </c>
      <c r="F4137" t="inlineStr">
        <is>
          <t>GF71TXC , Car - Electric , Tesla , Model 3 Long Range AWD</t>
        </is>
      </c>
      <c r="G4137" t="inlineStr">
        <is>
          <t xml:space="preserve">Benet Jones </t>
        </is>
      </c>
      <c r="H4137" t="inlineStr">
        <is>
          <t>Car - Electric (GC Owned)</t>
        </is>
      </c>
      <c r="I4137" t="inlineStr">
        <is>
          <t>Daily/ Weekly Vehicle Inspection</t>
        </is>
      </c>
      <c r="J4137" t="inlineStr">
        <is>
          <t>N/A</t>
        </is>
      </c>
      <c r="K4137" t="inlineStr">
        <is>
          <t>Benet Jones</t>
        </is>
      </c>
      <c r="L4137" t="inlineStr">
        <is>
          <t>22/04/2026 06:51</t>
        </is>
      </c>
      <c r="M4137" t="inlineStr">
        <is>
          <t>None</t>
        </is>
      </c>
      <c r="N4137" t="inlineStr">
        <is>
          <t>&lt;p&gt;&lt;/p&gt;</t>
        </is>
      </c>
      <c r="O4137" t="inlineStr">
        <is>
          <t>Confirm that you have checked this vehicle as per the guidance document and the vehicle is safe and roadworthy:Car checked and fully serviceable
-</t>
        </is>
      </c>
      <c r="P4137" t="inlineStr">
        <is>
          <t>GF71TXC , Car - Electric , Tesla , Model 3 Long Range AWD</t>
        </is>
      </c>
      <c r="Q4137" t="inlineStr">
        <is>
          <t>NGED</t>
        </is>
      </c>
      <c r="R4137" t="b">
        <v>0</v>
      </c>
    </row>
    <row r="4138">
      <c r="A4138" t="inlineStr">
        <is>
          <t>22 Apr 2026 / 6617 Ashdown Tree Limited 1</t>
        </is>
      </c>
      <c r="B4138" t="inlineStr">
        <is>
          <t>Infrastructure &amp; Utilities</t>
        </is>
      </c>
      <c r="C4138" t="inlineStr">
        <is>
          <t>UKPN</t>
        </is>
      </c>
      <c r="D4138" t="inlineStr">
        <is>
          <t>WG63OJS , 4x4 , Land rover  , defender</t>
        </is>
      </c>
      <c r="E4138" t="inlineStr">
        <is>
          <t>WG63OJS , 4x4 , Land rover  , defender</t>
        </is>
      </c>
      <c r="F4138" t="inlineStr">
        <is>
          <t>WG63OJS , 4x4 , Land rover  , defender</t>
        </is>
      </c>
      <c r="G4138" t="inlineStr">
        <is>
          <t>Dan</t>
        </is>
      </c>
      <c r="H4138" t="inlineStr">
        <is>
          <t>4x4</t>
        </is>
      </c>
      <c r="I4138" t="inlineStr">
        <is>
          <t>Daily/ Weekly Vehicle Inspection</t>
        </is>
      </c>
      <c r="J4138" t="inlineStr">
        <is>
          <t>N/A</t>
        </is>
      </c>
      <c r="K4138" t="inlineStr">
        <is>
          <t>6617 Ashdown Tree Limited - Team 2</t>
        </is>
      </c>
      <c r="L4138" t="inlineStr">
        <is>
          <t>22/04/2026 06:52</t>
        </is>
      </c>
      <c r="M4138" t="inlineStr">
        <is>
          <t>None</t>
        </is>
      </c>
      <c r="N4138" t="inlineStr">
        <is>
          <t>&lt;p&gt;&lt;/p&gt;</t>
        </is>
      </c>
      <c r="O4138" t="inlineStr"/>
      <c r="P4138" t="inlineStr">
        <is>
          <t>WG63OJS , 4x4 , Land rover  , defender</t>
        </is>
      </c>
      <c r="Q4138" t="inlineStr">
        <is>
          <t>UKPN</t>
        </is>
      </c>
      <c r="R4138" t="b">
        <v>0</v>
      </c>
    </row>
    <row r="4139">
      <c r="A4139" t="inlineStr">
        <is>
          <t>22 Apr 2026 / 7996 M G Tree Surgery Ltd 1</t>
        </is>
      </c>
      <c r="B4139" t="inlineStr">
        <is>
          <t>Infrastructure &amp; Utilities</t>
        </is>
      </c>
      <c r="C4139" t="inlineStr">
        <is>
          <t>UKPN</t>
        </is>
      </c>
      <c r="D4139" t="inlineStr"/>
      <c r="E4139" t="inlineStr"/>
      <c r="F4139" t="inlineStr"/>
      <c r="G4139" t="inlineStr">
        <is>
          <t>Anthony Gale</t>
        </is>
      </c>
      <c r="H4139" t="inlineStr">
        <is>
          <t>Towed Chipper</t>
        </is>
      </c>
      <c r="I4139" t="inlineStr">
        <is>
          <t>Daily/ Weekly Vehicle Inspection</t>
        </is>
      </c>
      <c r="J4139" t="inlineStr">
        <is>
          <t>N/A</t>
        </is>
      </c>
      <c r="K4139" t="inlineStr">
        <is>
          <t>7996 M G Tree Surgery Ltd 1</t>
        </is>
      </c>
      <c r="L4139" t="inlineStr">
        <is>
          <t>22/04/2026 06:52</t>
        </is>
      </c>
      <c r="M4139" t="inlineStr">
        <is>
          <t>None</t>
        </is>
      </c>
      <c r="N4139" t="inlineStr">
        <is>
          <t>&lt;p&gt;&lt;/p&gt;</t>
        </is>
      </c>
      <c r="O4139" t="inlineStr"/>
      <c r="P4139" t="inlineStr"/>
      <c r="Q4139" t="inlineStr">
        <is>
          <t>UKPN</t>
        </is>
      </c>
      <c r="R4139" t="b">
        <v>0</v>
      </c>
    </row>
    <row r="4140">
      <c r="A4140" t="inlineStr">
        <is>
          <t>22 Apr 2026 / 7996 M G Tree Surgery Ltd 1</t>
        </is>
      </c>
      <c r="B4140" t="inlineStr">
        <is>
          <t>Infrastructure &amp; Utilities</t>
        </is>
      </c>
      <c r="C4140" t="inlineStr">
        <is>
          <t>UKPN</t>
        </is>
      </c>
      <c r="D4140" t="inlineStr">
        <is>
          <t>KX20 BCE , Tipper , Isuzu , D-Max</t>
        </is>
      </c>
      <c r="E4140" t="inlineStr">
        <is>
          <t>KX20 BCE , Tipper , Isuzu , D-Max</t>
        </is>
      </c>
      <c r="F4140" t="inlineStr">
        <is>
          <t>KX20 BCE , Tipper , Isuzu , D-Max</t>
        </is>
      </c>
      <c r="G4140" t="inlineStr">
        <is>
          <t>Anthony Gale</t>
        </is>
      </c>
      <c r="H4140" t="inlineStr">
        <is>
          <t>Pickup Truck</t>
        </is>
      </c>
      <c r="I4140" t="inlineStr">
        <is>
          <t>Daily/ Weekly Vehicle Inspection</t>
        </is>
      </c>
      <c r="J4140" t="inlineStr">
        <is>
          <t>N/A</t>
        </is>
      </c>
      <c r="K4140" t="inlineStr">
        <is>
          <t>7996 M G Tree Surgery Ltd 1</t>
        </is>
      </c>
      <c r="L4140" t="inlineStr">
        <is>
          <t>22/04/2026 06:53</t>
        </is>
      </c>
      <c r="M4140" t="inlineStr">
        <is>
          <t>None</t>
        </is>
      </c>
      <c r="N4140" t="inlineStr">
        <is>
          <t>&lt;p&gt;&lt;/p&gt;</t>
        </is>
      </c>
      <c r="O4140" t="inlineStr"/>
      <c r="P4140" t="inlineStr">
        <is>
          <t>KX20 BCE , Tipper , Isuzu , D-Max</t>
        </is>
      </c>
      <c r="Q4140" t="inlineStr">
        <is>
          <t>UKPN</t>
        </is>
      </c>
      <c r="R4140" t="b">
        <v>0</v>
      </c>
    </row>
    <row r="4141">
      <c r="A4141" t="inlineStr">
        <is>
          <t>22 Apr 2026 / 7951 Austin Tree Care LTD</t>
        </is>
      </c>
      <c r="B4141" t="inlineStr">
        <is>
          <t>Infrastructure &amp; Utilities</t>
        </is>
      </c>
      <c r="C4141" t="inlineStr">
        <is>
          <t>UKPN</t>
        </is>
      </c>
      <c r="D4141" t="inlineStr">
        <is>
          <t>WG64HTT , 4x4 , Land Rover , Defender 110</t>
        </is>
      </c>
      <c r="E4141" t="inlineStr">
        <is>
          <t>WG64HTT , 4x4 , Land Rover , Defender 110</t>
        </is>
      </c>
      <c r="F4141" t="inlineStr">
        <is>
          <t>WG64HTT , 4x4 , Land Rover , Defender 110</t>
        </is>
      </c>
      <c r="G4141" t="inlineStr">
        <is>
          <t xml:space="preserve">Jack Austin </t>
        </is>
      </c>
      <c r="H4141" t="inlineStr">
        <is>
          <t>4x4</t>
        </is>
      </c>
      <c r="I4141" t="inlineStr">
        <is>
          <t>Daily/ Weekly Vehicle Inspection</t>
        </is>
      </c>
      <c r="J4141" t="inlineStr">
        <is>
          <t>N/A</t>
        </is>
      </c>
      <c r="K4141" t="inlineStr">
        <is>
          <t>7951 Austin Tree Care LTD</t>
        </is>
      </c>
      <c r="L4141" t="inlineStr">
        <is>
          <t>22/04/2026 07:49</t>
        </is>
      </c>
      <c r="M4141" t="inlineStr">
        <is>
          <t>None</t>
        </is>
      </c>
      <c r="N4141" t="inlineStr">
        <is>
          <t>&lt;p&gt;&lt;/p&gt;</t>
        </is>
      </c>
      <c r="O4141" t="inlineStr"/>
      <c r="P4141" t="inlineStr">
        <is>
          <t>WG64HTT , 4x4 , Land Rover , Defender 110</t>
        </is>
      </c>
      <c r="Q4141" t="inlineStr">
        <is>
          <t>UKPN</t>
        </is>
      </c>
      <c r="R4141" t="b">
        <v>0</v>
      </c>
    </row>
    <row r="4142">
      <c r="A4142" t="inlineStr">
        <is>
          <t>22 Apr 2026 / 7951 Austin Tree Care LTD</t>
        </is>
      </c>
      <c r="B4142" t="inlineStr">
        <is>
          <t>Infrastructure &amp; Utilities</t>
        </is>
      </c>
      <c r="C4142" t="inlineStr">
        <is>
          <t>UKPN</t>
        </is>
      </c>
      <c r="D4142" t="inlineStr">
        <is>
          <t>SA9ST6P0001283612 , Towed Chipper , Forst , ST6p</t>
        </is>
      </c>
      <c r="E4142" t="inlineStr">
        <is>
          <t>SA9ST6P0001283612 , Towed Chipper , Forst , ST6p</t>
        </is>
      </c>
      <c r="F4142" t="inlineStr">
        <is>
          <t>SA9ST6P0001283612 , Towed Chipper , Forst , ST6p</t>
        </is>
      </c>
      <c r="G4142" t="inlineStr">
        <is>
          <t xml:space="preserve">Jack Austin </t>
        </is>
      </c>
      <c r="H4142" t="inlineStr">
        <is>
          <t>Towed Chipper</t>
        </is>
      </c>
      <c r="I4142" t="inlineStr">
        <is>
          <t>Daily/ Weekly Vehicle Inspection</t>
        </is>
      </c>
      <c r="J4142" t="inlineStr">
        <is>
          <t>N/A</t>
        </is>
      </c>
      <c r="K4142" t="inlineStr">
        <is>
          <t>7951 Austin Tree Care LTD</t>
        </is>
      </c>
      <c r="L4142" t="inlineStr">
        <is>
          <t>22/04/2026 07:50</t>
        </is>
      </c>
      <c r="M4142" t="inlineStr">
        <is>
          <t>None</t>
        </is>
      </c>
      <c r="N4142" t="inlineStr">
        <is>
          <t>&lt;p&gt;&lt;/p&gt;</t>
        </is>
      </c>
      <c r="O4142" t="inlineStr"/>
      <c r="P4142" t="inlineStr">
        <is>
          <t>SA9ST6P0001283612 , Towed Chipper , Forst , ST6p</t>
        </is>
      </c>
      <c r="Q4142" t="inlineStr">
        <is>
          <t>UKPN</t>
        </is>
      </c>
      <c r="R4142" t="b">
        <v>0</v>
      </c>
    </row>
    <row r="4143">
      <c r="A4143" t="inlineStr">
        <is>
          <t>22 Apr 2026 / Christopher Simeoli</t>
        </is>
      </c>
      <c r="B4143" t="inlineStr">
        <is>
          <t>Infrastructure &amp; Utilities</t>
        </is>
      </c>
      <c r="C4143" t="inlineStr">
        <is>
          <t>NGED</t>
        </is>
      </c>
      <c r="D4143" t="inlineStr">
        <is>
          <t>EO73KVB , Car - Electric , Kia , Niro</t>
        </is>
      </c>
      <c r="E4143" t="inlineStr">
        <is>
          <t>EO73KVB , Car - Electric , Kia , Niro</t>
        </is>
      </c>
      <c r="F4143" t="inlineStr">
        <is>
          <t>EO73KVB , Car - Electric , Kia , Niro</t>
        </is>
      </c>
      <c r="G4143" t="inlineStr">
        <is>
          <t>Chris Simeoli</t>
        </is>
      </c>
      <c r="H4143" t="inlineStr">
        <is>
          <t>Car - Electric (GC Owned)</t>
        </is>
      </c>
      <c r="I4143" t="inlineStr">
        <is>
          <t>Daily/ Weekly Vehicle Inspection</t>
        </is>
      </c>
      <c r="J4143" t="inlineStr">
        <is>
          <t>N/A</t>
        </is>
      </c>
      <c r="K4143" t="inlineStr">
        <is>
          <t>Christopher Simeoli</t>
        </is>
      </c>
      <c r="L4143" t="inlineStr">
        <is>
          <t>22/04/2026 07:51</t>
        </is>
      </c>
      <c r="M4143" t="inlineStr">
        <is>
          <t>None</t>
        </is>
      </c>
      <c r="N4143" t="inlineStr">
        <is>
          <t>&lt;p&gt;&lt;/p&gt;</t>
        </is>
      </c>
      <c r="O4143" t="inlineStr"/>
      <c r="P4143" t="inlineStr">
        <is>
          <t>EO73KVB , Car - Electric , Kia , Niro</t>
        </is>
      </c>
      <c r="Q4143" t="inlineStr">
        <is>
          <t>NGED</t>
        </is>
      </c>
      <c r="R4143" t="b">
        <v>0</v>
      </c>
    </row>
    <row r="4144">
      <c r="A4144" t="inlineStr">
        <is>
          <t>22 Apr 2026 / 7186 Eastwoodbury Tree Services Ltd</t>
        </is>
      </c>
      <c r="B4144" t="inlineStr">
        <is>
          <t>Infrastructure &amp; Utilities</t>
        </is>
      </c>
      <c r="C4144" t="inlineStr">
        <is>
          <t>UKPN</t>
        </is>
      </c>
      <c r="D4144" t="inlineStr">
        <is>
          <t>WF13 EKT , 4x4 , Land rover  , Defender</t>
        </is>
      </c>
      <c r="E4144" t="inlineStr">
        <is>
          <t>WF13 EKT , 4x4 , Land rover  , Defender</t>
        </is>
      </c>
      <c r="F4144" t="inlineStr">
        <is>
          <t>WF13 EKT , 4x4 , Land rover  , Defender</t>
        </is>
      </c>
      <c r="G4144" t="inlineStr">
        <is>
          <t xml:space="preserve">Dan Gilbert </t>
        </is>
      </c>
      <c r="H4144" t="inlineStr">
        <is>
          <t>4x4</t>
        </is>
      </c>
      <c r="I4144" t="inlineStr">
        <is>
          <t>Daily/ Weekly Vehicle Inspection</t>
        </is>
      </c>
      <c r="J4144" t="inlineStr">
        <is>
          <t>N/A</t>
        </is>
      </c>
      <c r="K4144" t="inlineStr">
        <is>
          <t>7186 Eastwoodbury Tree Services Ltd</t>
        </is>
      </c>
      <c r="L4144" t="inlineStr">
        <is>
          <t>22/04/2026 07:51</t>
        </is>
      </c>
      <c r="M4144" t="inlineStr">
        <is>
          <t>None</t>
        </is>
      </c>
      <c r="N4144" t="inlineStr">
        <is>
          <t>&lt;p&gt;&lt;/p&gt;</t>
        </is>
      </c>
      <c r="O4144" t="inlineStr"/>
      <c r="P4144" t="inlineStr">
        <is>
          <t>WF13 EKT , 4x4 , Land rover  , Defender</t>
        </is>
      </c>
      <c r="Q4144" t="inlineStr">
        <is>
          <t>UKPN</t>
        </is>
      </c>
      <c r="R4144" t="b">
        <v>0</v>
      </c>
    </row>
    <row r="4145">
      <c r="A4145" t="inlineStr">
        <is>
          <t>22 Apr 2026 / 7996 M G Tree Surgery Ltd</t>
        </is>
      </c>
      <c r="B4145" t="inlineStr">
        <is>
          <t>Infrastructure &amp; Utilities</t>
        </is>
      </c>
      <c r="C4145" t="inlineStr">
        <is>
          <t>UKPN</t>
        </is>
      </c>
      <c r="D4145" t="inlineStr">
        <is>
          <t>GU13 WNL , MEWP , Land Rover , Defender 130</t>
        </is>
      </c>
      <c r="E4145" t="inlineStr">
        <is>
          <t>GU13 WNL , MEWP , Land Rover , Defender 130</t>
        </is>
      </c>
      <c r="F4145" t="inlineStr">
        <is>
          <t>GU13 WNL , MEWP , Land Rover , Defender 130</t>
        </is>
      </c>
      <c r="G4145" t="inlineStr">
        <is>
          <t>Max</t>
        </is>
      </c>
      <c r="H4145" t="inlineStr">
        <is>
          <t>4x4</t>
        </is>
      </c>
      <c r="I4145" t="inlineStr">
        <is>
          <t>Daily/ Weekly Vehicle Inspection</t>
        </is>
      </c>
      <c r="J4145" t="inlineStr">
        <is>
          <t>N/A</t>
        </is>
      </c>
      <c r="K4145" t="inlineStr">
        <is>
          <t>7996 M G Tree Surgery Ltd</t>
        </is>
      </c>
      <c r="L4145" t="inlineStr">
        <is>
          <t>22/04/2026 07:52</t>
        </is>
      </c>
      <c r="M4145" t="inlineStr">
        <is>
          <t>None</t>
        </is>
      </c>
      <c r="N4145" t="inlineStr">
        <is>
          <t>&lt;p&gt;&lt;/p&gt;</t>
        </is>
      </c>
      <c r="O4145" t="inlineStr"/>
      <c r="P4145" t="inlineStr">
        <is>
          <t>GU13 WNL , MEWP , Land Rover , Defender 130</t>
        </is>
      </c>
      <c r="Q4145" t="inlineStr">
        <is>
          <t>UKPN</t>
        </is>
      </c>
      <c r="R4145" t="b">
        <v>0</v>
      </c>
    </row>
    <row r="4146">
      <c r="A4146" t="inlineStr">
        <is>
          <t>22 Apr 2026 / 7806 Optimum Tree Services Ltd</t>
        </is>
      </c>
      <c r="B4146" t="inlineStr">
        <is>
          <t>Infrastructure &amp; Utilities</t>
        </is>
      </c>
      <c r="C4146" t="inlineStr">
        <is>
          <t>UKPN</t>
        </is>
      </c>
      <c r="D4146" t="inlineStr">
        <is>
          <t>Wd14evn , 4x4 , Landrover  , Defender</t>
        </is>
      </c>
      <c r="E4146" t="inlineStr">
        <is>
          <t>Wd14evn , 4x4 , Landrover  , Defender</t>
        </is>
      </c>
      <c r="F4146" t="inlineStr">
        <is>
          <t>Wd14evn , 4x4 , Landrover  , Defender</t>
        </is>
      </c>
      <c r="G4146" t="inlineStr">
        <is>
          <t xml:space="preserve">Abraham Davies </t>
        </is>
      </c>
      <c r="H4146" t="inlineStr">
        <is>
          <t>4x4</t>
        </is>
      </c>
      <c r="I4146" t="inlineStr">
        <is>
          <t>Daily/ Weekly Vehicle Inspection</t>
        </is>
      </c>
      <c r="J4146" t="inlineStr">
        <is>
          <t>N/A</t>
        </is>
      </c>
      <c r="K4146" t="inlineStr">
        <is>
          <t>7806 Optimum Tree Services Ltd</t>
        </is>
      </c>
      <c r="L4146" t="inlineStr">
        <is>
          <t>22/04/2026 07:53</t>
        </is>
      </c>
      <c r="M4146" t="inlineStr">
        <is>
          <t>None</t>
        </is>
      </c>
      <c r="N4146" t="inlineStr">
        <is>
          <t>&lt;p&gt;&lt;/p&gt;</t>
        </is>
      </c>
      <c r="O4146" t="inlineStr"/>
      <c r="P4146" t="inlineStr">
        <is>
          <t>Wd14evn , 4x4 , Landrover  , Defender</t>
        </is>
      </c>
      <c r="Q4146" t="inlineStr">
        <is>
          <t>UKPN</t>
        </is>
      </c>
      <c r="R4146" t="b">
        <v>0</v>
      </c>
    </row>
    <row r="4147">
      <c r="A4147" t="inlineStr">
        <is>
          <t>22 Apr 2026 / 7806 Optimum Tree Services Ltd</t>
        </is>
      </c>
      <c r="B4147" t="inlineStr">
        <is>
          <t>Infrastructure &amp; Utilities</t>
        </is>
      </c>
      <c r="C4147" t="inlineStr">
        <is>
          <t>UKPN</t>
        </is>
      </c>
      <c r="D4147" t="inlineStr">
        <is>
          <t>SA9TAPLAF27414263 , Trailer , Tow Mate , Plant Trailer</t>
        </is>
      </c>
      <c r="E4147" t="inlineStr">
        <is>
          <t>SA9TAPLAF27414263 , Trailer , Tow Mate , Plant Trailer</t>
        </is>
      </c>
      <c r="F4147" t="inlineStr">
        <is>
          <t>SA9TAPLAF27414263 , Trailer , Tow Mate , Plant Trailer</t>
        </is>
      </c>
      <c r="G4147" t="inlineStr">
        <is>
          <t xml:space="preserve">Abraham Davies </t>
        </is>
      </c>
      <c r="H4147" t="inlineStr">
        <is>
          <t>Plant Trailer</t>
        </is>
      </c>
      <c r="I4147" t="inlineStr">
        <is>
          <t>Daily/ Weekly Vehicle Inspection</t>
        </is>
      </c>
      <c r="J4147" t="inlineStr">
        <is>
          <t>N/A</t>
        </is>
      </c>
      <c r="K4147" t="inlineStr">
        <is>
          <t>7806 Optimum Tree Services Ltd</t>
        </is>
      </c>
      <c r="L4147" t="inlineStr">
        <is>
          <t>22/04/2026 07:54</t>
        </is>
      </c>
      <c r="M4147" t="inlineStr">
        <is>
          <t>None</t>
        </is>
      </c>
      <c r="N4147" t="inlineStr">
        <is>
          <t>&lt;p&gt;&lt;/p&gt;</t>
        </is>
      </c>
      <c r="O4147" t="inlineStr"/>
      <c r="P4147" t="inlineStr">
        <is>
          <t>SA9TAPLAF27414263 , Trailer , Tow Mate , Plant Trailer</t>
        </is>
      </c>
      <c r="Q4147" t="inlineStr">
        <is>
          <t>UKPN</t>
        </is>
      </c>
      <c r="R4147" t="b">
        <v>0</v>
      </c>
    </row>
    <row r="4148">
      <c r="A4148" t="inlineStr">
        <is>
          <t>22 Apr 2026 / Joshua Stones</t>
        </is>
      </c>
      <c r="B4148" t="inlineStr">
        <is>
          <t>Infrastructure &amp; Utilities</t>
        </is>
      </c>
      <c r="C4148" t="inlineStr">
        <is>
          <t>SSE</t>
        </is>
      </c>
      <c r="D4148" t="inlineStr"/>
      <c r="E4148" t="inlineStr"/>
      <c r="F4148" t="inlineStr"/>
      <c r="G4148" t="inlineStr">
        <is>
          <t>Joshua stone</t>
        </is>
      </c>
      <c r="H4148" t="inlineStr">
        <is>
          <t>Van</t>
        </is>
      </c>
      <c r="I4148" t="inlineStr">
        <is>
          <t>Daily/ Weekly Vehicle Inspection</t>
        </is>
      </c>
      <c r="J4148" t="inlineStr">
        <is>
          <t>N/A</t>
        </is>
      </c>
      <c r="K4148" t="inlineStr">
        <is>
          <t>Joshua Stones</t>
        </is>
      </c>
      <c r="L4148" t="inlineStr">
        <is>
          <t>22/04/2026 08:50</t>
        </is>
      </c>
      <c r="M4148" t="inlineStr">
        <is>
          <t>None</t>
        </is>
      </c>
      <c r="N4148" t="inlineStr">
        <is>
          <t>&lt;p&gt;&lt;/p&gt;</t>
        </is>
      </c>
      <c r="O4148" t="inlineStr"/>
      <c r="P4148" t="inlineStr"/>
      <c r="Q4148" t="inlineStr">
        <is>
          <t>SSE</t>
        </is>
      </c>
      <c r="R4148" t="b">
        <v>0</v>
      </c>
    </row>
    <row r="4149">
      <c r="A4149" t="inlineStr">
        <is>
          <t>22 Apr 2026 / 3098 D &amp; R Landscapes</t>
        </is>
      </c>
      <c r="B4149" t="inlineStr">
        <is>
          <t>Infrastructure &amp; Utilities</t>
        </is>
      </c>
      <c r="C4149" t="inlineStr">
        <is>
          <t>UKPN</t>
        </is>
      </c>
      <c r="D4149" t="inlineStr">
        <is>
          <t>BT20 GNZ , Vehicle , Nissan , Navara</t>
        </is>
      </c>
      <c r="E4149" t="inlineStr">
        <is>
          <t>BT20 GNZ , Vehicle , Nissan , Navara</t>
        </is>
      </c>
      <c r="F4149" t="inlineStr">
        <is>
          <t>BT20 GNZ , Vehicle , Nissan , Navara</t>
        </is>
      </c>
      <c r="G4149" t="inlineStr">
        <is>
          <t>Jason</t>
        </is>
      </c>
      <c r="H4149" t="inlineStr">
        <is>
          <t>Pickup Truck</t>
        </is>
      </c>
      <c r="I4149" t="inlineStr">
        <is>
          <t>Daily/ Weekly Vehicle Inspection</t>
        </is>
      </c>
      <c r="J4149" t="inlineStr">
        <is>
          <t>N/A</t>
        </is>
      </c>
      <c r="K4149" t="inlineStr">
        <is>
          <t>3098 D &amp; R Landscapes</t>
        </is>
      </c>
      <c r="L4149" t="inlineStr">
        <is>
          <t>22/04/2026 08:51</t>
        </is>
      </c>
      <c r="M4149" t="inlineStr">
        <is>
          <t>None</t>
        </is>
      </c>
      <c r="N4149" t="inlineStr">
        <is>
          <t>&lt;p&gt;&lt;/p&gt;</t>
        </is>
      </c>
      <c r="O4149" t="inlineStr"/>
      <c r="P4149" t="inlineStr">
        <is>
          <t>BT20 GNZ , Vehicle , Nissan , Navara</t>
        </is>
      </c>
      <c r="Q4149" t="inlineStr">
        <is>
          <t>UKPN</t>
        </is>
      </c>
      <c r="R4149" t="b">
        <v>0</v>
      </c>
    </row>
    <row r="4150">
      <c r="A4150" t="inlineStr">
        <is>
          <t>22 Apr 2026 / Harry Bellis</t>
        </is>
      </c>
      <c r="B4150" t="inlineStr">
        <is>
          <t>Infrastructure &amp; Utilities</t>
        </is>
      </c>
      <c r="C4150" t="inlineStr">
        <is>
          <t>SSE</t>
        </is>
      </c>
      <c r="D4150" t="inlineStr">
        <is>
          <t>EO73KUG , Car - Electric , Kia , Niro</t>
        </is>
      </c>
      <c r="E4150" t="inlineStr">
        <is>
          <t>EO73KUG , Car - Electric , Kia , Niro</t>
        </is>
      </c>
      <c r="F4150" t="inlineStr">
        <is>
          <t>EO73KUG , Car - Electric , Kia , Niro</t>
        </is>
      </c>
      <c r="G4150" t="inlineStr">
        <is>
          <t>Harry Bellis</t>
        </is>
      </c>
      <c r="H4150" t="inlineStr">
        <is>
          <t>Car - Electric (GC Owned)</t>
        </is>
      </c>
      <c r="I4150" t="inlineStr">
        <is>
          <t>Daily/ Weekly Vehicle Inspection</t>
        </is>
      </c>
      <c r="J4150" t="inlineStr">
        <is>
          <t>N/A</t>
        </is>
      </c>
      <c r="K4150" t="inlineStr">
        <is>
          <t>Harry Bellis</t>
        </is>
      </c>
      <c r="L4150" t="inlineStr">
        <is>
          <t>22/04/2026 08:52</t>
        </is>
      </c>
      <c r="M4150" t="inlineStr">
        <is>
          <t>None</t>
        </is>
      </c>
      <c r="N4150" t="inlineStr">
        <is>
          <t>&lt;p&gt;&lt;/p&gt;</t>
        </is>
      </c>
      <c r="O4150" t="inlineStr"/>
      <c r="P4150" t="inlineStr">
        <is>
          <t>EO73KUG , Car - Electric , Kia , Niro</t>
        </is>
      </c>
      <c r="Q4150" t="inlineStr">
        <is>
          <t>SSE</t>
        </is>
      </c>
      <c r="R4150" t="b">
        <v>0</v>
      </c>
    </row>
    <row r="4151">
      <c r="A4151" t="inlineStr">
        <is>
          <t>22 Apr 2026 / 7186 Eastwoodbury Tree Services Ltd</t>
        </is>
      </c>
      <c r="B4151" t="inlineStr">
        <is>
          <t>Infrastructure &amp; Utilities</t>
        </is>
      </c>
      <c r="C4151" t="inlineStr">
        <is>
          <t>UKPN</t>
        </is>
      </c>
      <c r="D4151" t="inlineStr">
        <is>
          <t>WF13 EKM , 4x4 , Land rover  , Defenders</t>
        </is>
      </c>
      <c r="E4151" t="inlineStr">
        <is>
          <t>WF13 EKM , 4x4 , Land rover  , Defenders</t>
        </is>
      </c>
      <c r="F4151" t="inlineStr">
        <is>
          <t>WF13 EKM , 4x4 , Land rover  , Defenders</t>
        </is>
      </c>
      <c r="G4151" t="inlineStr">
        <is>
          <t xml:space="preserve">Luke Williams </t>
        </is>
      </c>
      <c r="H4151" t="inlineStr">
        <is>
          <t>4x4</t>
        </is>
      </c>
      <c r="I4151" t="inlineStr">
        <is>
          <t>Daily/ Weekly Vehicle Inspection</t>
        </is>
      </c>
      <c r="J4151" t="inlineStr">
        <is>
          <t>N/A</t>
        </is>
      </c>
      <c r="K4151" t="inlineStr">
        <is>
          <t>7186 Eastwoodbury Tree Services Ltd</t>
        </is>
      </c>
      <c r="L4151" t="inlineStr">
        <is>
          <t>22/04/2026 09:51</t>
        </is>
      </c>
      <c r="M4151" t="inlineStr">
        <is>
          <t>None</t>
        </is>
      </c>
      <c r="N4151" t="inlineStr">
        <is>
          <t>&lt;p&gt;&lt;/p&gt;</t>
        </is>
      </c>
      <c r="O4151" t="inlineStr"/>
      <c r="P4151" t="inlineStr">
        <is>
          <t>WF13 EKM , 4x4 , Land rover  , Defenders</t>
        </is>
      </c>
      <c r="Q4151" t="inlineStr">
        <is>
          <t>UKPN</t>
        </is>
      </c>
      <c r="R4151" t="b">
        <v>0</v>
      </c>
    </row>
    <row r="4152">
      <c r="A4152" t="inlineStr">
        <is>
          <t>12 Nov 2025 / 7806 Optimum Tree Services Ltd / Utilities / UKPN</t>
        </is>
      </c>
      <c r="B4152" t="inlineStr">
        <is>
          <t>Utilities</t>
        </is>
      </c>
      <c r="C4152" t="inlineStr">
        <is>
          <t>UKPN</t>
        </is>
      </c>
      <c r="D4152" t="inlineStr"/>
      <c r="E4152" t="inlineStr"/>
      <c r="F4152" t="inlineStr"/>
      <c r="G4152" t="inlineStr"/>
      <c r="H4152" t="inlineStr"/>
      <c r="I4152" t="inlineStr">
        <is>
          <t>Add to Vehicle to the GC Vehicle List</t>
        </is>
      </c>
      <c r="J4152" t="inlineStr">
        <is>
          <t>N/A</t>
        </is>
      </c>
      <c r="K4152" t="inlineStr">
        <is>
          <t>7806 Optimum Tree Services Ltd</t>
        </is>
      </c>
      <c r="L4152" t="inlineStr">
        <is>
          <t>22/04/2026 19:51</t>
        </is>
      </c>
      <c r="M4152" t="inlineStr">
        <is>
          <t>None</t>
        </is>
      </c>
      <c r="N4152" t="inlineStr">
        <is>
          <t>&lt;p&gt;&lt;/p&gt;</t>
        </is>
      </c>
      <c r="O4152" t="inlineStr"/>
      <c r="P4152" t="inlineStr"/>
      <c r="Q4152" t="inlineStr">
        <is>
          <t>UKPN</t>
        </is>
      </c>
      <c r="R4152" t="b">
        <v>0</v>
      </c>
    </row>
    <row r="4153">
      <c r="A4153" t="inlineStr">
        <is>
          <t>24 Nov 2025 / 7806 Optimum Tree Services Ltd / Utilities / UKPN</t>
        </is>
      </c>
      <c r="B4153" t="inlineStr">
        <is>
          <t>Utilities</t>
        </is>
      </c>
      <c r="C4153" t="inlineStr">
        <is>
          <t>UKPN</t>
        </is>
      </c>
      <c r="D4153" t="inlineStr">
        <is>
          <t>SA9TAPLAF27414263 , Trailer , Tow Mate , Plant Trailer</t>
        </is>
      </c>
      <c r="E4153" t="inlineStr">
        <is>
          <t>SA9TAPLAF27414263 , Trailer , Tow Mate , Plant Trailer</t>
        </is>
      </c>
      <c r="F4153" t="inlineStr">
        <is>
          <t>SA9TAPLAF27414263 , Trailer , Tow Mate , Plant Trailer</t>
        </is>
      </c>
      <c r="G4153" t="inlineStr">
        <is>
          <t xml:space="preserve">Abraham Davies </t>
        </is>
      </c>
      <c r="H4153" t="inlineStr">
        <is>
          <t>Plant Trailer</t>
        </is>
      </c>
      <c r="I4153" t="inlineStr">
        <is>
          <t>Daily/ Weekly Vehicle Inspection</t>
        </is>
      </c>
      <c r="J4153" t="inlineStr">
        <is>
          <t>N/A</t>
        </is>
      </c>
      <c r="K4153" t="inlineStr">
        <is>
          <t>7806 Optimum Tree Services Ltd</t>
        </is>
      </c>
      <c r="L4153" t="inlineStr">
        <is>
          <t>22/04/2026 19:52</t>
        </is>
      </c>
      <c r="M4153" t="inlineStr">
        <is>
          <t>None</t>
        </is>
      </c>
      <c r="N4153" t="inlineStr">
        <is>
          <t>&lt;p&gt;&lt;/p&gt;</t>
        </is>
      </c>
      <c r="O4153" t="inlineStr"/>
      <c r="P4153" t="inlineStr">
        <is>
          <t>SA9TAPLAF27414263 , Trailer , Tow Mate , Plant Trailer</t>
        </is>
      </c>
      <c r="Q4153" t="inlineStr">
        <is>
          <t>UKPN</t>
        </is>
      </c>
      <c r="R4153" t="b">
        <v>0</v>
      </c>
    </row>
    <row r="4154">
      <c r="A4154" t="inlineStr">
        <is>
          <t>11 Dec 2025 / 7806 Optimum Tree Services Ltd / Utilities / UKPN</t>
        </is>
      </c>
      <c r="B4154" t="inlineStr">
        <is>
          <t>Utilities</t>
        </is>
      </c>
      <c r="C4154" t="inlineStr">
        <is>
          <t>UKPN</t>
        </is>
      </c>
      <c r="D4154" t="inlineStr">
        <is>
          <t>WD14EVB , MEWP , Land Rover , Defender</t>
        </is>
      </c>
      <c r="E4154" t="inlineStr">
        <is>
          <t>WD14EVB , MEWP , Land Rover , Defender</t>
        </is>
      </c>
      <c r="F4154" t="inlineStr">
        <is>
          <t>WD14EVB , MEWP , Land Rover , Defender</t>
        </is>
      </c>
      <c r="G4154" t="inlineStr">
        <is>
          <t xml:space="preserve">Kenny Aldred </t>
        </is>
      </c>
      <c r="H4154" t="inlineStr">
        <is>
          <t>4x4</t>
        </is>
      </c>
      <c r="I4154" t="inlineStr">
        <is>
          <t>Daily/ Weekly Vehicle Inspection</t>
        </is>
      </c>
      <c r="J4154" t="inlineStr">
        <is>
          <t>N/A</t>
        </is>
      </c>
      <c r="K4154" t="inlineStr">
        <is>
          <t>7806 Optimum Tree Services Ltd</t>
        </is>
      </c>
      <c r="L4154" t="inlineStr">
        <is>
          <t>22/04/2026 19:52</t>
        </is>
      </c>
      <c r="M4154" t="inlineStr">
        <is>
          <t>None</t>
        </is>
      </c>
      <c r="N4154" t="inlineStr">
        <is>
          <t>&lt;p&gt;&lt;/p&gt;</t>
        </is>
      </c>
      <c r="O4154" t="inlineStr"/>
      <c r="P4154" t="inlineStr">
        <is>
          <t>WD14EVB , MEWP , Land Rover , Defender</t>
        </is>
      </c>
      <c r="Q4154" t="inlineStr">
        <is>
          <t>UKPN</t>
        </is>
      </c>
      <c r="R4154" t="b">
        <v>0</v>
      </c>
    </row>
    <row r="4155">
      <c r="A4155" t="inlineStr">
        <is>
          <t>11 Dec 2025 / 7806 Optimum Tree Services Ltd / Utilities / UKPN</t>
        </is>
      </c>
      <c r="B4155" t="inlineStr">
        <is>
          <t>Utilities</t>
        </is>
      </c>
      <c r="C4155" t="inlineStr">
        <is>
          <t>UKPN</t>
        </is>
      </c>
      <c r="D4155" t="inlineStr">
        <is>
          <t>SA9ST800000283069 , Chipper , Forst , ST 6P</t>
        </is>
      </c>
      <c r="E4155" t="inlineStr">
        <is>
          <t>SA9ST800000283069 , Chipper , Forst , ST 6P</t>
        </is>
      </c>
      <c r="F4155" t="inlineStr">
        <is>
          <t>SA9ST800000283069 , Chipper , Forst , ST 6P</t>
        </is>
      </c>
      <c r="G4155" t="inlineStr">
        <is>
          <t>Kenney</t>
        </is>
      </c>
      <c r="H4155" t="inlineStr">
        <is>
          <t>Towed Chipper</t>
        </is>
      </c>
      <c r="I4155" t="inlineStr">
        <is>
          <t>Daily/ Weekly Vehicle Inspection</t>
        </is>
      </c>
      <c r="J4155" t="inlineStr">
        <is>
          <t>N/A</t>
        </is>
      </c>
      <c r="K4155" t="inlineStr">
        <is>
          <t>7806 Optimum Tree Services Ltd</t>
        </is>
      </c>
      <c r="L4155" t="inlineStr">
        <is>
          <t>22/04/2026 19:53</t>
        </is>
      </c>
      <c r="M4155" t="inlineStr">
        <is>
          <t>None</t>
        </is>
      </c>
      <c r="N4155" t="inlineStr">
        <is>
          <t>&lt;p&gt;&lt;/p&gt;</t>
        </is>
      </c>
      <c r="O4155" t="inlineStr"/>
      <c r="P4155" t="inlineStr">
        <is>
          <t>SA9ST800000283069 , Chipper , Forst , ST 6P</t>
        </is>
      </c>
      <c r="Q4155" t="inlineStr">
        <is>
          <t>UKPN</t>
        </is>
      </c>
      <c r="R4155" t="b">
        <v>0</v>
      </c>
    </row>
    <row r="4156">
      <c r="A4156" t="inlineStr">
        <is>
          <t>18 Dec 2025 / 7806 Optimum Tree Services Ltd / Utilities / UKPN</t>
        </is>
      </c>
      <c r="B4156" t="inlineStr">
        <is>
          <t>Utilities</t>
        </is>
      </c>
      <c r="C4156" t="inlineStr">
        <is>
          <t>UKPN</t>
        </is>
      </c>
      <c r="D4156" t="inlineStr">
        <is>
          <t>Wd14evn , 4x4 , Landrover  , Defender</t>
        </is>
      </c>
      <c r="E4156" t="inlineStr">
        <is>
          <t>Wd14evn , 4x4 , Landrover  , Defender</t>
        </is>
      </c>
      <c r="F4156" t="inlineStr">
        <is>
          <t>Wd14evn , 4x4 , Landrover  , Defender</t>
        </is>
      </c>
      <c r="G4156" t="inlineStr">
        <is>
          <t xml:space="preserve">Kenny Aldred </t>
        </is>
      </c>
      <c r="H4156" t="inlineStr">
        <is>
          <t>4x4</t>
        </is>
      </c>
      <c r="I4156" t="inlineStr">
        <is>
          <t>Daily/ Weekly Vehicle Inspection</t>
        </is>
      </c>
      <c r="J4156" t="inlineStr">
        <is>
          <t>N/A</t>
        </is>
      </c>
      <c r="K4156" t="inlineStr">
        <is>
          <t>7806 Optimum Tree Services Ltd</t>
        </is>
      </c>
      <c r="L4156" t="inlineStr">
        <is>
          <t>22/04/2026 19:54</t>
        </is>
      </c>
      <c r="M4156" t="inlineStr">
        <is>
          <t>None</t>
        </is>
      </c>
      <c r="N4156" t="inlineStr">
        <is>
          <t>&lt;p&gt;&lt;/p&gt;</t>
        </is>
      </c>
      <c r="O4156" t="inlineStr"/>
      <c r="P4156" t="inlineStr">
        <is>
          <t>Wd14evn , 4x4 , Landrover  , Defender</t>
        </is>
      </c>
      <c r="Q4156" t="inlineStr">
        <is>
          <t>UKPN</t>
        </is>
      </c>
      <c r="R4156" t="b">
        <v>0</v>
      </c>
    </row>
    <row r="4157">
      <c r="A4157" t="inlineStr">
        <is>
          <t>15 Jan 2025 / 7806 Optimum Tree Services Ltd</t>
        </is>
      </c>
      <c r="B4157" t="inlineStr">
        <is>
          <t>Utilities &amp; Inland Waterways</t>
        </is>
      </c>
      <c r="C4157" t="inlineStr">
        <is>
          <t>UKPN</t>
        </is>
      </c>
      <c r="D4157" t="inlineStr">
        <is>
          <t>Tow Chipper - Forst - ST6P - SA9ST6P0000283840</t>
        </is>
      </c>
      <c r="E4157" t="inlineStr">
        <is>
          <t>Tow Chipper - Forst - ST6P - SA9ST6P0000283840</t>
        </is>
      </c>
      <c r="F4157" t="inlineStr">
        <is>
          <t>Tow Chipper - Forst - ST6P - SA9ST6P0000283840</t>
        </is>
      </c>
      <c r="G4157" t="inlineStr">
        <is>
          <t xml:space="preserve">Abraham Davies </t>
        </is>
      </c>
      <c r="H4157" t="inlineStr">
        <is>
          <t>4x4</t>
        </is>
      </c>
      <c r="I4157" t="inlineStr">
        <is>
          <t>Daily/ Weekly Vehicle Inspection</t>
        </is>
      </c>
      <c r="J4157" t="inlineStr">
        <is>
          <t>N/A</t>
        </is>
      </c>
      <c r="K4157" t="inlineStr">
        <is>
          <t>7806 Optimum Tree Services Ltd</t>
        </is>
      </c>
      <c r="L4157" t="inlineStr">
        <is>
          <t>22/04/2026 19:54</t>
        </is>
      </c>
      <c r="M4157" t="inlineStr">
        <is>
          <t>None</t>
        </is>
      </c>
      <c r="N4157" t="inlineStr">
        <is>
          <t>&lt;p&gt;&lt;/p&gt;</t>
        </is>
      </c>
      <c r="O4157" t="inlineStr"/>
      <c r="P4157" t="inlineStr">
        <is>
          <t>Tow Chipper - Forst - ST6P - SA9ST6P0000283840</t>
        </is>
      </c>
      <c r="Q4157" t="inlineStr">
        <is>
          <t>UKPN</t>
        </is>
      </c>
      <c r="R4157" t="b">
        <v>0</v>
      </c>
    </row>
    <row r="4158">
      <c r="A4158" t="inlineStr">
        <is>
          <t>15 Jan 2025 / 7806 Optimum Tree Services Ltd</t>
        </is>
      </c>
      <c r="B4158" t="inlineStr">
        <is>
          <t>Utilities &amp; Inland Waterways</t>
        </is>
      </c>
      <c r="C4158" t="inlineStr">
        <is>
          <t>UKPN</t>
        </is>
      </c>
      <c r="D4158" t="inlineStr">
        <is>
          <t>Tow Chipper - Forst - ST6P - SA9ST6P0000283840</t>
        </is>
      </c>
      <c r="E4158" t="inlineStr">
        <is>
          <t>Tow Chipper - Forst - ST6P - SA9ST6P0000283840</t>
        </is>
      </c>
      <c r="F4158" t="inlineStr">
        <is>
          <t>Tow Chipper - Forst - ST6P - SA9ST6P0000283840</t>
        </is>
      </c>
      <c r="G4158" t="inlineStr">
        <is>
          <t xml:space="preserve">Abraham Davies </t>
        </is>
      </c>
      <c r="H4158" t="inlineStr">
        <is>
          <t>Towed Chipper</t>
        </is>
      </c>
      <c r="I4158" t="inlineStr">
        <is>
          <t>Daily/ Weekly Vehicle Inspection</t>
        </is>
      </c>
      <c r="J4158" t="inlineStr">
        <is>
          <t>N/A</t>
        </is>
      </c>
      <c r="K4158" t="inlineStr">
        <is>
          <t>7806 Optimum Tree Services Ltd</t>
        </is>
      </c>
      <c r="L4158" t="inlineStr">
        <is>
          <t>22/04/2026 19:55</t>
        </is>
      </c>
      <c r="M4158" t="inlineStr">
        <is>
          <t>None</t>
        </is>
      </c>
      <c r="N4158" t="inlineStr">
        <is>
          <t>&lt;p&gt;&lt;/p&gt;</t>
        </is>
      </c>
      <c r="O4158" t="inlineStr"/>
      <c r="P4158" t="inlineStr">
        <is>
          <t>Tow Chipper - Forst - ST6P - SA9ST6P0000283840</t>
        </is>
      </c>
      <c r="Q4158" t="inlineStr">
        <is>
          <t>UKPN</t>
        </is>
      </c>
      <c r="R4158" t="b">
        <v>0</v>
      </c>
    </row>
    <row r="4159">
      <c r="A4159" t="inlineStr">
        <is>
          <t>15 Jan 2025 / 7806 Optimum Tree Services Ltd</t>
        </is>
      </c>
      <c r="B4159" t="inlineStr">
        <is>
          <t>Utilities &amp; Inland Waterways</t>
        </is>
      </c>
      <c r="C4159" t="inlineStr">
        <is>
          <t>UKPN</t>
        </is>
      </c>
      <c r="D4159" t="inlineStr">
        <is>
          <t>Tow Chipper - Forst - ST6P - SA9ST6P0000283840</t>
        </is>
      </c>
      <c r="E4159" t="inlineStr">
        <is>
          <t>Tow Chipper - Forst - ST6P - SA9ST6P0000283840</t>
        </is>
      </c>
      <c r="F4159" t="inlineStr">
        <is>
          <t>Tow Chipper - Forst - ST6P - SA9ST6P0000283840</t>
        </is>
      </c>
      <c r="G4159" t="inlineStr">
        <is>
          <t xml:space="preserve">Abraham </t>
        </is>
      </c>
      <c r="H4159" t="inlineStr">
        <is>
          <t>Towed Chipper</t>
        </is>
      </c>
      <c r="I4159" t="inlineStr">
        <is>
          <t>Daily/ Weekly Vehicle Inspection</t>
        </is>
      </c>
      <c r="J4159" t="inlineStr">
        <is>
          <t>N/A</t>
        </is>
      </c>
      <c r="K4159" t="inlineStr">
        <is>
          <t>7806 Optimum Tree Services Ltd</t>
        </is>
      </c>
      <c r="L4159" t="inlineStr">
        <is>
          <t>22/04/2026 19:55</t>
        </is>
      </c>
      <c r="M4159" t="inlineStr">
        <is>
          <t>None</t>
        </is>
      </c>
      <c r="N4159" t="inlineStr">
        <is>
          <t>&lt;p&gt;&lt;/p&gt;</t>
        </is>
      </c>
      <c r="O4159" t="inlineStr"/>
      <c r="P4159" t="inlineStr">
        <is>
          <t>Tow Chipper - Forst - ST6P - SA9ST6P0000283840</t>
        </is>
      </c>
      <c r="Q4159" t="inlineStr">
        <is>
          <t>UKPN</t>
        </is>
      </c>
      <c r="R4159" t="b">
        <v>0</v>
      </c>
    </row>
    <row r="4160">
      <c r="A4160" t="inlineStr">
        <is>
          <t>22 Apr 2026 / 7951 Austin Tree Care LTD</t>
        </is>
      </c>
      <c r="B4160" t="inlineStr">
        <is>
          <t>Infrastructure &amp; Utilities</t>
        </is>
      </c>
      <c r="C4160" t="inlineStr">
        <is>
          <t>UKPN</t>
        </is>
      </c>
      <c r="D4160" t="inlineStr">
        <is>
          <t>WG64HTT , 4x4 , Land Rover , Defender 110</t>
        </is>
      </c>
      <c r="E4160" t="inlineStr">
        <is>
          <t>WG64HTT , 4x4 , Land Rover , Defender 110</t>
        </is>
      </c>
      <c r="F4160" t="inlineStr">
        <is>
          <t>WG64HTT , 4x4 , Land Rover , Defender 110</t>
        </is>
      </c>
      <c r="G4160" t="inlineStr">
        <is>
          <t xml:space="preserve">Jack Austin </t>
        </is>
      </c>
      <c r="H4160" t="inlineStr">
        <is>
          <t>4x4</t>
        </is>
      </c>
      <c r="I4160" t="inlineStr">
        <is>
          <t>Daily/ Weekly Vehicle Inspection</t>
        </is>
      </c>
      <c r="J4160" t="inlineStr">
        <is>
          <t>N/A</t>
        </is>
      </c>
      <c r="K4160" t="inlineStr">
        <is>
          <t>7951 Austin Tree Care LTD</t>
        </is>
      </c>
      <c r="L4160" t="inlineStr">
        <is>
          <t>22/04/2026 22:49</t>
        </is>
      </c>
      <c r="M4160" t="inlineStr">
        <is>
          <t>None</t>
        </is>
      </c>
      <c r="N4160" t="inlineStr">
        <is>
          <t>&lt;p&gt;&lt;/p&gt;</t>
        </is>
      </c>
      <c r="O4160" t="inlineStr"/>
      <c r="P4160" t="inlineStr">
        <is>
          <t>WG64HTT , 4x4 , Land Rover , Defender 110</t>
        </is>
      </c>
      <c r="Q4160" t="inlineStr">
        <is>
          <t>UKPN</t>
        </is>
      </c>
      <c r="R4160" t="b">
        <v>0</v>
      </c>
    </row>
    <row r="4161">
      <c r="A4161" t="inlineStr">
        <is>
          <t>23 Apr 2026 / 7186 Eastwoodbury Tree Services Ltd 2</t>
        </is>
      </c>
      <c r="B4161" t="inlineStr">
        <is>
          <t>Infrastructure &amp; Utilities</t>
        </is>
      </c>
      <c r="C4161" t="inlineStr">
        <is>
          <t>UKPN</t>
        </is>
      </c>
      <c r="D4161" t="inlineStr">
        <is>
          <t>WF13 EKT , 4x4 , Land rover  , Defender</t>
        </is>
      </c>
      <c r="E4161" t="inlineStr">
        <is>
          <t>WF13 EKT , 4x4 , Land rover  , Defender</t>
        </is>
      </c>
      <c r="F4161" t="inlineStr">
        <is>
          <t>WF13 EKT , 4x4 , Land rover  , Defender</t>
        </is>
      </c>
      <c r="G4161" t="inlineStr">
        <is>
          <t xml:space="preserve">Dan Gilbert </t>
        </is>
      </c>
      <c r="H4161" t="inlineStr">
        <is>
          <t>4x4</t>
        </is>
      </c>
      <c r="I4161" t="inlineStr">
        <is>
          <t>Daily/ Weekly Vehicle Inspection</t>
        </is>
      </c>
      <c r="J4161" t="inlineStr">
        <is>
          <t>N/A</t>
        </is>
      </c>
      <c r="K4161" t="inlineStr">
        <is>
          <t>7186 Eastwoodbury Tree Services Ltd 2</t>
        </is>
      </c>
      <c r="L4161" t="inlineStr">
        <is>
          <t>23/04/2026 07:52</t>
        </is>
      </c>
      <c r="M4161" t="inlineStr">
        <is>
          <t>None</t>
        </is>
      </c>
      <c r="N4161" t="inlineStr">
        <is>
          <t>&lt;p&gt;&lt;/p&gt;</t>
        </is>
      </c>
      <c r="O4161" t="inlineStr"/>
      <c r="P4161" t="inlineStr">
        <is>
          <t>WF13 EKT , 4x4 , Land rover  , Defender</t>
        </is>
      </c>
      <c r="Q4161" t="inlineStr">
        <is>
          <t>UKPN</t>
        </is>
      </c>
      <c r="R4161" t="b">
        <v>0</v>
      </c>
    </row>
    <row r="4162">
      <c r="A4162" t="inlineStr">
        <is>
          <t>23 Apr 2026 / 7186 Eastwoodbury Tree Services Ltd 2</t>
        </is>
      </c>
      <c r="B4162" t="inlineStr">
        <is>
          <t>Infrastructure &amp; Utilities</t>
        </is>
      </c>
      <c r="C4162" t="inlineStr">
        <is>
          <t>UKPN</t>
        </is>
      </c>
      <c r="D4162" t="inlineStr">
        <is>
          <t>DE53NKS , 4x4 , Ford , Ranger</t>
        </is>
      </c>
      <c r="E4162" t="inlineStr">
        <is>
          <t>DE53NKS , 4x4 , Ford , Ranger</t>
        </is>
      </c>
      <c r="F4162" t="inlineStr">
        <is>
          <t>DE53NKS , 4x4 , Ford , Ranger</t>
        </is>
      </c>
      <c r="G4162" t="inlineStr">
        <is>
          <t xml:space="preserve">Jay Denkmayer </t>
        </is>
      </c>
      <c r="H4162" t="inlineStr">
        <is>
          <t>4x4</t>
        </is>
      </c>
      <c r="I4162" t="inlineStr">
        <is>
          <t>Daily/ Weekly Vehicle Inspection</t>
        </is>
      </c>
      <c r="J4162" t="inlineStr">
        <is>
          <t>N/A</t>
        </is>
      </c>
      <c r="K4162" t="inlineStr">
        <is>
          <t>7186 Eastwoodbury Tree Services Ltd 2</t>
        </is>
      </c>
      <c r="L4162" t="inlineStr">
        <is>
          <t>23/04/2026 07:53</t>
        </is>
      </c>
      <c r="M4162" t="inlineStr">
        <is>
          <t>None</t>
        </is>
      </c>
      <c r="N4162" t="inlineStr">
        <is>
          <t>&lt;p&gt;&lt;/p&gt;</t>
        </is>
      </c>
      <c r="O4162" t="inlineStr"/>
      <c r="P4162" t="inlineStr">
        <is>
          <t>DE53NKS , 4x4 , Ford , Ranger</t>
        </is>
      </c>
      <c r="Q4162" t="inlineStr">
        <is>
          <t>UKPN</t>
        </is>
      </c>
      <c r="R4162" t="b">
        <v>0</v>
      </c>
    </row>
    <row r="4163">
      <c r="A4163" t="inlineStr">
        <is>
          <t>23 Apr 2026 / Lyndon Taylor</t>
        </is>
      </c>
      <c r="B4163" t="inlineStr">
        <is>
          <t>Infrastructure &amp; Utilities</t>
        </is>
      </c>
      <c r="C4163" t="inlineStr">
        <is>
          <t>SSE</t>
        </is>
      </c>
      <c r="D4163" t="inlineStr">
        <is>
          <t>YW73CWV , Car - Electric , Kia , E-Niro</t>
        </is>
      </c>
      <c r="E4163" t="inlineStr">
        <is>
          <t>YW73CWV , Car - Electric , Kia , E-Niro</t>
        </is>
      </c>
      <c r="F4163" t="inlineStr">
        <is>
          <t>YW73CWV , Car - Electric , Kia , E-Niro</t>
        </is>
      </c>
      <c r="G4163" t="inlineStr">
        <is>
          <t>Lyndon Taylor</t>
        </is>
      </c>
      <c r="H4163" t="inlineStr">
        <is>
          <t>Car - Electric (GC Owned)</t>
        </is>
      </c>
      <c r="I4163" t="inlineStr">
        <is>
          <t>Daily/ Weekly Vehicle Inspection</t>
        </is>
      </c>
      <c r="J4163" t="inlineStr">
        <is>
          <t>N/A</t>
        </is>
      </c>
      <c r="K4163" t="inlineStr">
        <is>
          <t>Lyndon Taylor</t>
        </is>
      </c>
      <c r="L4163" t="inlineStr">
        <is>
          <t>23/04/2026 07:54</t>
        </is>
      </c>
      <c r="M4163" t="inlineStr">
        <is>
          <t>None</t>
        </is>
      </c>
      <c r="N4163" t="inlineStr">
        <is>
          <t>&lt;p&gt;&lt;/p&gt;</t>
        </is>
      </c>
      <c r="O4163" t="inlineStr"/>
      <c r="P4163" t="inlineStr">
        <is>
          <t>YW73CWV , Car - Electric , Kia , E-Niro</t>
        </is>
      </c>
      <c r="Q4163" t="inlineStr">
        <is>
          <t>SSE</t>
        </is>
      </c>
      <c r="R4163" t="b">
        <v>0</v>
      </c>
    </row>
    <row r="4164">
      <c r="A4164" t="inlineStr">
        <is>
          <t>23 Apr 2026 / Lyndon Taylor</t>
        </is>
      </c>
      <c r="B4164" t="inlineStr">
        <is>
          <t>Infrastructure &amp; Utilities</t>
        </is>
      </c>
      <c r="C4164" t="inlineStr">
        <is>
          <t>SSE</t>
        </is>
      </c>
      <c r="D4164" t="inlineStr"/>
      <c r="E4164" t="inlineStr"/>
      <c r="F4164" t="inlineStr"/>
      <c r="G4164" t="inlineStr">
        <is>
          <t>Lyndon Taylor</t>
        </is>
      </c>
      <c r="H4164" t="inlineStr">
        <is>
          <t>Car - Electric (Greyfleet)</t>
        </is>
      </c>
      <c r="I4164" t="inlineStr">
        <is>
          <t>Daily/ Weekly Vehicle Inspection</t>
        </is>
      </c>
      <c r="J4164" t="inlineStr">
        <is>
          <t>N/A</t>
        </is>
      </c>
      <c r="K4164" t="inlineStr">
        <is>
          <t>Lyndon Taylor</t>
        </is>
      </c>
      <c r="L4164" t="inlineStr">
        <is>
          <t>23/04/2026 07:55</t>
        </is>
      </c>
      <c r="M4164" t="inlineStr">
        <is>
          <t>None</t>
        </is>
      </c>
      <c r="N4164" t="inlineStr">
        <is>
          <t>&lt;p&gt;&lt;/p&gt;</t>
        </is>
      </c>
      <c r="O4164" t="inlineStr"/>
      <c r="P4164" t="inlineStr"/>
      <c r="Q4164" t="inlineStr">
        <is>
          <t>SSE</t>
        </is>
      </c>
      <c r="R4164" t="b">
        <v>0</v>
      </c>
    </row>
    <row r="4165">
      <c r="A4165" t="inlineStr">
        <is>
          <t>23 Apr 2026 / Benet Jones</t>
        </is>
      </c>
      <c r="B4165" t="inlineStr">
        <is>
          <t>Infrastructure &amp; Utilities</t>
        </is>
      </c>
      <c r="C4165" t="inlineStr">
        <is>
          <t>NGED</t>
        </is>
      </c>
      <c r="D4165" t="inlineStr">
        <is>
          <t>GF71TXC , Car - Electric , Tesla , Model 3 Long Range AWD</t>
        </is>
      </c>
      <c r="E4165" t="inlineStr">
        <is>
          <t>GF71TXC , Car - Electric , Tesla , Model 3 Long Range AWD</t>
        </is>
      </c>
      <c r="F4165" t="inlineStr">
        <is>
          <t>GF71TXC , Car - Electric , Tesla , Model 3 Long Range AWD</t>
        </is>
      </c>
      <c r="G4165" t="inlineStr">
        <is>
          <t xml:space="preserve">Benet Jones </t>
        </is>
      </c>
      <c r="H4165" t="inlineStr">
        <is>
          <t>Car - Electric (GC Owned)</t>
        </is>
      </c>
      <c r="I4165" t="inlineStr">
        <is>
          <t>Daily/ Weekly Vehicle Inspection</t>
        </is>
      </c>
      <c r="J4165" t="inlineStr">
        <is>
          <t>N/A</t>
        </is>
      </c>
      <c r="K4165" t="inlineStr">
        <is>
          <t>Benet Jones</t>
        </is>
      </c>
      <c r="L4165" t="inlineStr">
        <is>
          <t>23/04/2026 07:56</t>
        </is>
      </c>
      <c r="M4165" t="inlineStr">
        <is>
          <t>None</t>
        </is>
      </c>
      <c r="N4165" t="inlineStr">
        <is>
          <t>&lt;p&gt;&lt;/p&gt;</t>
        </is>
      </c>
      <c r="O4165" t="inlineStr">
        <is>
          <t>Confirm that you have checked this vehicle as per the guidance document and the vehicle is safe and roadworthy:Car checked and fully serviceable
-</t>
        </is>
      </c>
      <c r="P4165" t="inlineStr">
        <is>
          <t>GF71TXC , Car - Electric , Tesla , Model 3 Long Range AWD</t>
        </is>
      </c>
      <c r="Q4165" t="inlineStr">
        <is>
          <t>NGED</t>
        </is>
      </c>
      <c r="R4165" t="b">
        <v>0</v>
      </c>
    </row>
    <row r="4166">
      <c r="A4166" t="inlineStr">
        <is>
          <t>23 Apr 2026 / 7806 Optimum Tree Services Ltd</t>
        </is>
      </c>
      <c r="B4166" t="inlineStr">
        <is>
          <t>Infrastructure &amp; Utilities</t>
        </is>
      </c>
      <c r="C4166" t="inlineStr">
        <is>
          <t>UKPN</t>
        </is>
      </c>
      <c r="D4166" t="inlineStr">
        <is>
          <t>WD14EVB , MEWP , Land Rover , Defender</t>
        </is>
      </c>
      <c r="E4166" t="inlineStr">
        <is>
          <t>WD14EVB , MEWP , Land Rover , Defender</t>
        </is>
      </c>
      <c r="F4166" t="inlineStr">
        <is>
          <t>WD14EVB , MEWP , Land Rover , Defender</t>
        </is>
      </c>
      <c r="G4166" t="inlineStr">
        <is>
          <t xml:space="preserve">Abraham Davies </t>
        </is>
      </c>
      <c r="H4166" t="inlineStr">
        <is>
          <t>4x4</t>
        </is>
      </c>
      <c r="I4166" t="inlineStr">
        <is>
          <t>Daily/ Weekly Vehicle Inspection</t>
        </is>
      </c>
      <c r="J4166" t="inlineStr">
        <is>
          <t>N/A</t>
        </is>
      </c>
      <c r="K4166" t="inlineStr">
        <is>
          <t>7806 Optimum Tree Services Ltd</t>
        </is>
      </c>
      <c r="L4166" t="inlineStr">
        <is>
          <t>23/04/2026 07:56</t>
        </is>
      </c>
      <c r="M4166" t="inlineStr">
        <is>
          <t>None</t>
        </is>
      </c>
      <c r="N4166" t="inlineStr">
        <is>
          <t>&lt;p&gt;&lt;/p&gt;</t>
        </is>
      </c>
      <c r="O4166" t="inlineStr"/>
      <c r="P4166" t="inlineStr">
        <is>
          <t>WD14EVB , MEWP , Land Rover , Defender</t>
        </is>
      </c>
      <c r="Q4166" t="inlineStr">
        <is>
          <t>UKPN</t>
        </is>
      </c>
      <c r="R4166" t="b">
        <v>0</v>
      </c>
    </row>
    <row r="4167">
      <c r="A4167" t="inlineStr">
        <is>
          <t>23 Apr 2026 / 7951 Austin Tree Care LTD</t>
        </is>
      </c>
      <c r="B4167" t="inlineStr">
        <is>
          <t>Infrastructure &amp; Utilities</t>
        </is>
      </c>
      <c r="C4167" t="inlineStr">
        <is>
          <t>UKPN</t>
        </is>
      </c>
      <c r="D4167" t="inlineStr">
        <is>
          <t>SA9ST6P0001283612 , Towed Chipper , Forst , ST6p</t>
        </is>
      </c>
      <c r="E4167" t="inlineStr">
        <is>
          <t>SA9ST6P0001283612 , Towed Chipper , Forst , ST6p</t>
        </is>
      </c>
      <c r="F4167" t="inlineStr">
        <is>
          <t>SA9ST6P0001283612 , Towed Chipper , Forst , ST6p</t>
        </is>
      </c>
      <c r="G4167" t="inlineStr">
        <is>
          <t xml:space="preserve">Jack Austin </t>
        </is>
      </c>
      <c r="H4167" t="inlineStr">
        <is>
          <t>Towed Chipper</t>
        </is>
      </c>
      <c r="I4167" t="inlineStr">
        <is>
          <t>Daily/ Weekly Vehicle Inspection</t>
        </is>
      </c>
      <c r="J4167" t="inlineStr">
        <is>
          <t>N/A</t>
        </is>
      </c>
      <c r="K4167" t="inlineStr">
        <is>
          <t>7951 Austin Tree Care LTD</t>
        </is>
      </c>
      <c r="L4167" t="inlineStr">
        <is>
          <t>23/04/2026 07:57</t>
        </is>
      </c>
      <c r="M4167" t="inlineStr">
        <is>
          <t>None</t>
        </is>
      </c>
      <c r="N4167" t="inlineStr">
        <is>
          <t>&lt;p&gt;&lt;/p&gt;</t>
        </is>
      </c>
      <c r="O4167" t="inlineStr"/>
      <c r="P4167" t="inlineStr">
        <is>
          <t>SA9ST6P0001283612 , Towed Chipper , Forst , ST6p</t>
        </is>
      </c>
      <c r="Q4167" t="inlineStr">
        <is>
          <t>UKPN</t>
        </is>
      </c>
      <c r="R4167" t="b">
        <v>0</v>
      </c>
    </row>
    <row r="4168">
      <c r="A4168" t="inlineStr">
        <is>
          <t>23 Apr 2026 / 7806 Optimum Tree Services Ltd</t>
        </is>
      </c>
      <c r="B4168" t="inlineStr">
        <is>
          <t>Infrastructure &amp; Utilities</t>
        </is>
      </c>
      <c r="C4168" t="inlineStr">
        <is>
          <t>UKPN</t>
        </is>
      </c>
      <c r="D4168" t="inlineStr">
        <is>
          <t>SA9st6p0001283093 , Towed Chipper , Forst  , St6pHD</t>
        </is>
      </c>
      <c r="E4168" t="inlineStr">
        <is>
          <t>SA9st6p0001283093 , Towed Chipper , Forst  , St6pHD</t>
        </is>
      </c>
      <c r="F4168" t="inlineStr">
        <is>
          <t>SA9st6p0001283093 , Towed Chipper , Forst  , St6pHD</t>
        </is>
      </c>
      <c r="G4168" t="inlineStr">
        <is>
          <t xml:space="preserve">Abraham Davies </t>
        </is>
      </c>
      <c r="H4168" t="inlineStr">
        <is>
          <t>Towed Chipper</t>
        </is>
      </c>
      <c r="I4168" t="inlineStr">
        <is>
          <t>Daily/ Weekly Vehicle Inspection</t>
        </is>
      </c>
      <c r="J4168" t="inlineStr">
        <is>
          <t>N/A</t>
        </is>
      </c>
      <c r="K4168" t="inlineStr">
        <is>
          <t>7806 Optimum Tree Services Ltd</t>
        </is>
      </c>
      <c r="L4168" t="inlineStr">
        <is>
          <t>23/04/2026 07:59</t>
        </is>
      </c>
      <c r="M4168" t="inlineStr">
        <is>
          <t>None</t>
        </is>
      </c>
      <c r="N4168" t="inlineStr">
        <is>
          <t>&lt;p&gt;&lt;/p&gt;</t>
        </is>
      </c>
      <c r="O4168" t="inlineStr"/>
      <c r="P4168" t="inlineStr">
        <is>
          <t>SA9st6p0001283093 , Towed Chipper , Forst  , St6pHD</t>
        </is>
      </c>
      <c r="Q4168" t="inlineStr">
        <is>
          <t>UKPN</t>
        </is>
      </c>
      <c r="R4168" t="b">
        <v>0</v>
      </c>
    </row>
    <row r="4169">
      <c r="A4169" t="inlineStr">
        <is>
          <t>23 Apr 2026 / 7951 Austin Tree Care LTD</t>
        </is>
      </c>
      <c r="B4169" t="inlineStr">
        <is>
          <t>Infrastructure &amp; Utilities</t>
        </is>
      </c>
      <c r="C4169" t="inlineStr">
        <is>
          <t>UKPN</t>
        </is>
      </c>
      <c r="D4169" t="inlineStr">
        <is>
          <t>WG64HTT , 4x4 , Land Rover , Defender 110</t>
        </is>
      </c>
      <c r="E4169" t="inlineStr">
        <is>
          <t>WG64HTT , 4x4 , Land Rover , Defender 110</t>
        </is>
      </c>
      <c r="F4169" t="inlineStr">
        <is>
          <t>WG64HTT , 4x4 , Land Rover , Defender 110</t>
        </is>
      </c>
      <c r="G4169" t="inlineStr">
        <is>
          <t xml:space="preserve">Jack Austin </t>
        </is>
      </c>
      <c r="H4169" t="inlineStr">
        <is>
          <t>4x4</t>
        </is>
      </c>
      <c r="I4169" t="inlineStr">
        <is>
          <t>Daily/ Weekly Vehicle Inspection</t>
        </is>
      </c>
      <c r="J4169" t="inlineStr">
        <is>
          <t>N/A</t>
        </is>
      </c>
      <c r="K4169" t="inlineStr">
        <is>
          <t>7951 Austin Tree Care LTD</t>
        </is>
      </c>
      <c r="L4169" t="inlineStr">
        <is>
          <t>23/04/2026 08:00</t>
        </is>
      </c>
      <c r="M4169" t="inlineStr">
        <is>
          <t>None</t>
        </is>
      </c>
      <c r="N4169" t="inlineStr">
        <is>
          <t>&lt;p&gt;&lt;/p&gt;</t>
        </is>
      </c>
      <c r="O4169" t="inlineStr"/>
      <c r="P4169" t="inlineStr">
        <is>
          <t>WG64HTT , 4x4 , Land Rover , Defender 110</t>
        </is>
      </c>
      <c r="Q4169" t="inlineStr">
        <is>
          <t>UKPN</t>
        </is>
      </c>
      <c r="R4169" t="b">
        <v>0</v>
      </c>
    </row>
    <row r="4170">
      <c r="A4170" t="inlineStr">
        <is>
          <t>23 Apr 2026 / 7995 Green Net Eco Ltd 2</t>
        </is>
      </c>
      <c r="B4170" t="inlineStr">
        <is>
          <t>Infrastructure &amp; Utilities</t>
        </is>
      </c>
      <c r="C4170" t="inlineStr">
        <is>
          <t>UKPN</t>
        </is>
      </c>
      <c r="D4170" t="inlineStr">
        <is>
          <t>SA9ST800000283944 , Towed Chipper , Forst , ST8D - Towed</t>
        </is>
      </c>
      <c r="E4170" t="inlineStr">
        <is>
          <t>SA9ST800000283944 , Towed Chipper , Forst , ST8D - Towed</t>
        </is>
      </c>
      <c r="F4170" t="inlineStr">
        <is>
          <t>SA9ST800000283944 , Towed Chipper , Forst , ST8D - Towed</t>
        </is>
      </c>
      <c r="G4170" t="inlineStr">
        <is>
          <t>Thomas Playford</t>
        </is>
      </c>
      <c r="H4170" t="inlineStr">
        <is>
          <t>Towed Chipper</t>
        </is>
      </c>
      <c r="I4170" t="inlineStr">
        <is>
          <t>Daily/ Weekly Vehicle Inspection</t>
        </is>
      </c>
      <c r="J4170" t="inlineStr">
        <is>
          <t>N/A</t>
        </is>
      </c>
      <c r="K4170" t="inlineStr">
        <is>
          <t>7995 Green Net Eco Ltd 2</t>
        </is>
      </c>
      <c r="L4170" t="inlineStr">
        <is>
          <t>23/04/2026 08:01</t>
        </is>
      </c>
      <c r="M4170" t="inlineStr">
        <is>
          <t>None</t>
        </is>
      </c>
      <c r="N4170" t="inlineStr">
        <is>
          <t>&lt;p&gt;&lt;/p&gt;</t>
        </is>
      </c>
      <c r="O4170" t="inlineStr"/>
      <c r="P4170" t="inlineStr">
        <is>
          <t>SA9ST800000283944 , Towed Chipper , Forst , ST8D - Towed</t>
        </is>
      </c>
      <c r="Q4170" t="inlineStr">
        <is>
          <t>UKPN</t>
        </is>
      </c>
      <c r="R4170" t="b">
        <v>0</v>
      </c>
    </row>
    <row r="4171">
      <c r="A4171" t="inlineStr">
        <is>
          <t>23 Apr 2026 / 7995 Green Net Eco Ltd 2</t>
        </is>
      </c>
      <c r="B4171" t="inlineStr">
        <is>
          <t>Infrastructure &amp; Utilities</t>
        </is>
      </c>
      <c r="C4171" t="inlineStr">
        <is>
          <t>UKPN</t>
        </is>
      </c>
      <c r="D4171" t="inlineStr">
        <is>
          <t>LK15KRZ , 4x4 , Landrover , Defender</t>
        </is>
      </c>
      <c r="E4171" t="inlineStr">
        <is>
          <t>LK15KRZ , 4x4 , Landrover , Defender</t>
        </is>
      </c>
      <c r="F4171" t="inlineStr">
        <is>
          <t>LK15KRZ , 4x4 , Landrover , Defender</t>
        </is>
      </c>
      <c r="G4171" t="inlineStr">
        <is>
          <t>Thomas Playford</t>
        </is>
      </c>
      <c r="H4171" t="inlineStr">
        <is>
          <t>4x4</t>
        </is>
      </c>
      <c r="I4171" t="inlineStr">
        <is>
          <t>Daily/ Weekly Vehicle Inspection</t>
        </is>
      </c>
      <c r="J4171" t="inlineStr">
        <is>
          <t>N/A</t>
        </is>
      </c>
      <c r="K4171" t="inlineStr">
        <is>
          <t>7995 Green Net Eco Ltd 2</t>
        </is>
      </c>
      <c r="L4171" t="inlineStr">
        <is>
          <t>23/04/2026 08:01</t>
        </is>
      </c>
      <c r="M4171" t="inlineStr">
        <is>
          <t>None</t>
        </is>
      </c>
      <c r="N4171" t="inlineStr">
        <is>
          <t>&lt;p&gt;&lt;/p&gt;</t>
        </is>
      </c>
      <c r="O4171" t="inlineStr"/>
      <c r="P4171" t="inlineStr">
        <is>
          <t>LK15KRZ , 4x4 , Landrover , Defender</t>
        </is>
      </c>
      <c r="Q4171" t="inlineStr">
        <is>
          <t>UKPN</t>
        </is>
      </c>
      <c r="R4171" t="b">
        <v>0</v>
      </c>
    </row>
    <row r="4172">
      <c r="A4172" t="inlineStr">
        <is>
          <t>23 Apr 2026 / 6617 Ashdown Tree Limited 1</t>
        </is>
      </c>
      <c r="B4172" t="inlineStr">
        <is>
          <t>Infrastructure &amp; Utilities</t>
        </is>
      </c>
      <c r="C4172" t="inlineStr">
        <is>
          <t>UKPN</t>
        </is>
      </c>
      <c r="D4172" t="inlineStr">
        <is>
          <t>AV69 LVR , Tipper , Transit , Ford</t>
        </is>
      </c>
      <c r="E4172" t="inlineStr">
        <is>
          <t>AV69 LVR , Tipper , Transit , Ford</t>
        </is>
      </c>
      <c r="F4172" t="inlineStr">
        <is>
          <t>AV69 LVR , Tipper , Transit , Ford</t>
        </is>
      </c>
      <c r="G4172" t="inlineStr">
        <is>
          <t>Tony</t>
        </is>
      </c>
      <c r="H4172" t="inlineStr">
        <is>
          <t>Tipper</t>
        </is>
      </c>
      <c r="I4172" t="inlineStr">
        <is>
          <t>Daily/ Weekly Vehicle Inspection</t>
        </is>
      </c>
      <c r="J4172" t="inlineStr">
        <is>
          <t>N/A</t>
        </is>
      </c>
      <c r="K4172" t="inlineStr">
        <is>
          <t>6617 Ashdown Tree Limited - Team 2</t>
        </is>
      </c>
      <c r="L4172" t="inlineStr">
        <is>
          <t>23/04/2026 08:04</t>
        </is>
      </c>
      <c r="M4172" t="inlineStr">
        <is>
          <t>None</t>
        </is>
      </c>
      <c r="N4172" t="inlineStr">
        <is>
          <t>&lt;p&gt;&lt;/p&gt;</t>
        </is>
      </c>
      <c r="O4172" t="inlineStr"/>
      <c r="P4172" t="inlineStr">
        <is>
          <t>AV69 LVR , Tipper , Transit , Ford</t>
        </is>
      </c>
      <c r="Q4172" t="inlineStr">
        <is>
          <t>UKPN</t>
        </is>
      </c>
      <c r="R4172" t="b">
        <v>0</v>
      </c>
    </row>
    <row r="4173">
      <c r="A4173" t="inlineStr">
        <is>
          <t>23 Apr 2026 / 7996 M G Tree Surgery Ltd 1</t>
        </is>
      </c>
      <c r="B4173" t="inlineStr">
        <is>
          <t>Infrastructure &amp; Utilities</t>
        </is>
      </c>
      <c r="C4173" t="inlineStr">
        <is>
          <t>UKPN</t>
        </is>
      </c>
      <c r="D4173" t="inlineStr"/>
      <c r="E4173" t="inlineStr"/>
      <c r="F4173" t="inlineStr"/>
      <c r="G4173" t="inlineStr">
        <is>
          <t>Anthony Gale</t>
        </is>
      </c>
      <c r="H4173" t="inlineStr">
        <is>
          <t>Towed Chipper</t>
        </is>
      </c>
      <c r="I4173" t="inlineStr">
        <is>
          <t>Daily/ Weekly Vehicle Inspection</t>
        </is>
      </c>
      <c r="J4173" t="inlineStr">
        <is>
          <t>N/A</t>
        </is>
      </c>
      <c r="K4173" t="inlineStr">
        <is>
          <t>7996 M G Tree Surgery Ltd 1</t>
        </is>
      </c>
      <c r="L4173" t="inlineStr">
        <is>
          <t>23/04/2026 08:05</t>
        </is>
      </c>
      <c r="M4173" t="inlineStr">
        <is>
          <t>None</t>
        </is>
      </c>
      <c r="N4173" t="inlineStr">
        <is>
          <t>&lt;p&gt;&lt;/p&gt;</t>
        </is>
      </c>
      <c r="O4173" t="inlineStr"/>
      <c r="P4173" t="inlineStr"/>
      <c r="Q4173" t="inlineStr">
        <is>
          <t>UKPN</t>
        </is>
      </c>
      <c r="R4173" t="b">
        <v>0</v>
      </c>
    </row>
    <row r="4174">
      <c r="A4174" t="inlineStr">
        <is>
          <t>23 Apr 2026 / 7996 M G Tree Surgery Ltd 1</t>
        </is>
      </c>
      <c r="B4174" t="inlineStr">
        <is>
          <t>Infrastructure &amp; Utilities</t>
        </is>
      </c>
      <c r="C4174" t="inlineStr">
        <is>
          <t>UKPN</t>
        </is>
      </c>
      <c r="D4174" t="inlineStr">
        <is>
          <t>KX20 BCE , Tipper , Isuzu , D-Max</t>
        </is>
      </c>
      <c r="E4174" t="inlineStr">
        <is>
          <t>KX20 BCE , Tipper , Isuzu , D-Max</t>
        </is>
      </c>
      <c r="F4174" t="inlineStr">
        <is>
          <t>KX20 BCE , Tipper , Isuzu , D-Max</t>
        </is>
      </c>
      <c r="G4174" t="inlineStr">
        <is>
          <t>Anthony Gale</t>
        </is>
      </c>
      <c r="H4174" t="inlineStr">
        <is>
          <t>Pickup Truck</t>
        </is>
      </c>
      <c r="I4174" t="inlineStr">
        <is>
          <t>Daily/ Weekly Vehicle Inspection</t>
        </is>
      </c>
      <c r="J4174" t="inlineStr">
        <is>
          <t>N/A</t>
        </is>
      </c>
      <c r="K4174" t="inlineStr">
        <is>
          <t>7996 M G Tree Surgery Ltd 1</t>
        </is>
      </c>
      <c r="L4174" t="inlineStr">
        <is>
          <t>23/04/2026 08:06</t>
        </is>
      </c>
      <c r="M4174" t="inlineStr">
        <is>
          <t>None</t>
        </is>
      </c>
      <c r="N4174" t="inlineStr">
        <is>
          <t>&lt;p&gt;&lt;/p&gt;</t>
        </is>
      </c>
      <c r="O4174" t="inlineStr"/>
      <c r="P4174" t="inlineStr">
        <is>
          <t>KX20 BCE , Tipper , Isuzu , D-Max</t>
        </is>
      </c>
      <c r="Q4174" t="inlineStr">
        <is>
          <t>UKPN</t>
        </is>
      </c>
      <c r="R4174" t="b">
        <v>0</v>
      </c>
    </row>
    <row r="4175">
      <c r="A4175" t="inlineStr">
        <is>
          <t>23 Apr 2026 / 6617 Ashdown Tree Limited 1</t>
        </is>
      </c>
      <c r="B4175" t="inlineStr">
        <is>
          <t>Infrastructure &amp; Utilities</t>
        </is>
      </c>
      <c r="C4175" t="inlineStr">
        <is>
          <t>UKPN</t>
        </is>
      </c>
      <c r="D4175" t="inlineStr">
        <is>
          <t>WF11EJJ , Vehicle , Land Rover , Discovery</t>
        </is>
      </c>
      <c r="E4175" t="inlineStr">
        <is>
          <t>WF11EJJ , Vehicle , Land Rover , Discovery</t>
        </is>
      </c>
      <c r="F4175" t="inlineStr">
        <is>
          <t>WF11EJJ , Vehicle , Land Rover , Discovery</t>
        </is>
      </c>
      <c r="G4175" t="inlineStr">
        <is>
          <t>Dan</t>
        </is>
      </c>
      <c r="H4175" t="inlineStr">
        <is>
          <t>4x4</t>
        </is>
      </c>
      <c r="I4175" t="inlineStr">
        <is>
          <t>Daily/ Weekly Vehicle Inspection</t>
        </is>
      </c>
      <c r="J4175" t="inlineStr">
        <is>
          <t>N/A</t>
        </is>
      </c>
      <c r="K4175" t="inlineStr">
        <is>
          <t>6617 Ashdown Tree Limited - Team 2</t>
        </is>
      </c>
      <c r="L4175" t="inlineStr">
        <is>
          <t>23/04/2026 08:07</t>
        </is>
      </c>
      <c r="M4175" t="inlineStr">
        <is>
          <t>None</t>
        </is>
      </c>
      <c r="N4175" t="inlineStr">
        <is>
          <t>&lt;p&gt;&lt;/p&gt;</t>
        </is>
      </c>
      <c r="O4175" t="inlineStr"/>
      <c r="P4175" t="inlineStr">
        <is>
          <t>WF11EJJ , Vehicle , Land Rover , Discovery</t>
        </is>
      </c>
      <c r="Q4175" t="inlineStr">
        <is>
          <t>UKPN</t>
        </is>
      </c>
      <c r="R4175" t="b">
        <v>0</v>
      </c>
    </row>
    <row r="4176">
      <c r="A4176" t="inlineStr">
        <is>
          <t>23 Apr 2026 / 7889 Tree Tech Suffolk Ltd</t>
        </is>
      </c>
      <c r="B4176" t="inlineStr">
        <is>
          <t>Utilities &amp; Inland Waterways</t>
        </is>
      </c>
      <c r="C4176" t="inlineStr">
        <is>
          <t>UKPN</t>
        </is>
      </c>
      <c r="D4176" t="inlineStr">
        <is>
          <t>Tipper - Nissan - Navara - NS02TTS</t>
        </is>
      </c>
      <c r="E4176" t="inlineStr">
        <is>
          <t>Tipper - Nissan - Navara - NS02TTS</t>
        </is>
      </c>
      <c r="F4176" t="inlineStr">
        <is>
          <t>Tipper - Nissan - Navara - NS02TTS</t>
        </is>
      </c>
      <c r="G4176" t="inlineStr">
        <is>
          <t>Danny Appleby</t>
        </is>
      </c>
      <c r="H4176" t="inlineStr">
        <is>
          <t>Tipper</t>
        </is>
      </c>
      <c r="I4176" t="inlineStr">
        <is>
          <t>Daily/ Weekly Vehicle Inspection</t>
        </is>
      </c>
      <c r="J4176" t="inlineStr">
        <is>
          <t>N/A</t>
        </is>
      </c>
      <c r="K4176" t="inlineStr">
        <is>
          <t>7889 Tree Tech Suffolk Ltd</t>
        </is>
      </c>
      <c r="L4176" t="inlineStr">
        <is>
          <t>23/04/2026 08:08</t>
        </is>
      </c>
      <c r="M4176" t="inlineStr">
        <is>
          <t>None</t>
        </is>
      </c>
      <c r="N4176" t="inlineStr">
        <is>
          <t>&lt;p&gt;&lt;/p&gt;</t>
        </is>
      </c>
      <c r="O4176" t="inlineStr"/>
      <c r="P4176" t="inlineStr">
        <is>
          <t>Tipper - Nissan - Navara - NS02TTS</t>
        </is>
      </c>
      <c r="Q4176" t="inlineStr">
        <is>
          <t>UKPN</t>
        </is>
      </c>
      <c r="R4176" t="b">
        <v>0</v>
      </c>
    </row>
    <row r="4177">
      <c r="A4177" t="inlineStr">
        <is>
          <t>23 Apr 2026 / 8148 Hope Ground and Tree Care</t>
        </is>
      </c>
      <c r="B4177" t="inlineStr">
        <is>
          <t>Infrastructure &amp; Utilities</t>
        </is>
      </c>
      <c r="C4177" t="inlineStr">
        <is>
          <t>UKPN</t>
        </is>
      </c>
      <c r="D4177" t="inlineStr">
        <is>
          <t>S6 NWX , MEWP , Isuzu , D-Max</t>
        </is>
      </c>
      <c r="E4177" t="inlineStr">
        <is>
          <t>S6 NWX , MEWP , Isuzu , D-Max</t>
        </is>
      </c>
      <c r="F4177" t="inlineStr">
        <is>
          <t>S6 NWX , MEWP , Isuzu , D-Max</t>
        </is>
      </c>
      <c r="G4177" t="inlineStr">
        <is>
          <t>A Hope</t>
        </is>
      </c>
      <c r="H4177" t="inlineStr">
        <is>
          <t>4x4</t>
        </is>
      </c>
      <c r="I4177" t="inlineStr">
        <is>
          <t>Daily/ Weekly Vehicle Inspection</t>
        </is>
      </c>
      <c r="J4177" t="inlineStr">
        <is>
          <t>N/A</t>
        </is>
      </c>
      <c r="K4177" t="inlineStr">
        <is>
          <t>8148 Hope Ground and Tree Care</t>
        </is>
      </c>
      <c r="L4177" t="inlineStr">
        <is>
          <t>23/04/2026 08:50</t>
        </is>
      </c>
      <c r="M4177" t="inlineStr">
        <is>
          <t>None</t>
        </is>
      </c>
      <c r="N4177" t="inlineStr">
        <is>
          <t>&lt;p&gt;&lt;/p&gt;</t>
        </is>
      </c>
      <c r="O4177" t="inlineStr"/>
      <c r="P4177" t="inlineStr">
        <is>
          <t>S6 NWX , MEWP , Isuzu , D-Max</t>
        </is>
      </c>
      <c r="Q4177" t="inlineStr">
        <is>
          <t>UKPN</t>
        </is>
      </c>
      <c r="R4177" t="b">
        <v>0</v>
      </c>
    </row>
    <row r="4178">
      <c r="A4178" t="inlineStr">
        <is>
          <t>23 Apr 2026 / 8040 S6 Tree specialists Ltd</t>
        </is>
      </c>
      <c r="B4178" t="inlineStr">
        <is>
          <t>Infrastructure &amp; Utilities</t>
        </is>
      </c>
      <c r="C4178" t="inlineStr">
        <is>
          <t>UKPN</t>
        </is>
      </c>
      <c r="D4178" t="inlineStr">
        <is>
          <t>Na , Towed Chipper , Timberwolf  , 190</t>
        </is>
      </c>
      <c r="E4178" t="inlineStr">
        <is>
          <t>Na , Towed Chipper , Timberwolf  , 190</t>
        </is>
      </c>
      <c r="F4178" t="inlineStr">
        <is>
          <t>Na , Towed Chipper , Timberwolf  , 190</t>
        </is>
      </c>
      <c r="G4178" t="inlineStr">
        <is>
          <t>Luke</t>
        </is>
      </c>
      <c r="H4178" t="inlineStr">
        <is>
          <t>Towed Chipper</t>
        </is>
      </c>
      <c r="I4178" t="inlineStr">
        <is>
          <t>Daily/ Weekly Vehicle Inspection</t>
        </is>
      </c>
      <c r="J4178" t="inlineStr">
        <is>
          <t>N/A</t>
        </is>
      </c>
      <c r="K4178" t="inlineStr">
        <is>
          <t>8040 S6 Tree specialists Ltd</t>
        </is>
      </c>
      <c r="L4178" t="inlineStr">
        <is>
          <t>23/04/2026 09:50</t>
        </is>
      </c>
      <c r="M4178" t="inlineStr">
        <is>
          <t>None</t>
        </is>
      </c>
      <c r="N4178" t="inlineStr">
        <is>
          <t>&lt;p&gt;&lt;/p&gt;</t>
        </is>
      </c>
      <c r="O4178" t="inlineStr"/>
      <c r="P4178" t="inlineStr">
        <is>
          <t>Na , Towed Chipper , Timberwolf  , 190</t>
        </is>
      </c>
      <c r="Q4178" t="inlineStr">
        <is>
          <t>UKPN</t>
        </is>
      </c>
      <c r="R4178" t="b">
        <v>0</v>
      </c>
    </row>
    <row r="4179">
      <c r="A4179" t="inlineStr">
        <is>
          <t>23 Apr 2026 / 8040 S6 Tree specialists Ltd</t>
        </is>
      </c>
      <c r="B4179" t="inlineStr">
        <is>
          <t>Infrastructure &amp; Utilities</t>
        </is>
      </c>
      <c r="C4179" t="inlineStr">
        <is>
          <t>UKPN</t>
        </is>
      </c>
      <c r="D4179" t="inlineStr">
        <is>
          <t>GY08 RVC , 4x4 MEWP , Land Rover , Defender</t>
        </is>
      </c>
      <c r="E4179" t="inlineStr">
        <is>
          <t>GY08 RVC , 4x4 MEWP , Land Rover , Defender</t>
        </is>
      </c>
      <c r="F4179" t="inlineStr">
        <is>
          <t>GY08 RVC , 4x4 MEWP , Land Rover , Defender</t>
        </is>
      </c>
      <c r="G4179" t="inlineStr">
        <is>
          <t xml:space="preserve">Luke </t>
        </is>
      </c>
      <c r="H4179" t="inlineStr">
        <is>
          <t>4x4</t>
        </is>
      </c>
      <c r="I4179" t="inlineStr">
        <is>
          <t>Daily/ Weekly Vehicle Inspection</t>
        </is>
      </c>
      <c r="J4179" t="inlineStr">
        <is>
          <t>N/A</t>
        </is>
      </c>
      <c r="K4179" t="inlineStr">
        <is>
          <t>8040 S6 Tree specialists Ltd</t>
        </is>
      </c>
      <c r="L4179" t="inlineStr">
        <is>
          <t>23/04/2026 09:50</t>
        </is>
      </c>
      <c r="M4179" t="inlineStr">
        <is>
          <t>None</t>
        </is>
      </c>
      <c r="N4179" t="inlineStr">
        <is>
          <t>&lt;p&gt;&lt;/p&gt;</t>
        </is>
      </c>
      <c r="O4179" t="inlineStr"/>
      <c r="P4179" t="inlineStr">
        <is>
          <t>GY08 RVC , 4x4 MEWP , Land Rover , Defender</t>
        </is>
      </c>
      <c r="Q4179" t="inlineStr">
        <is>
          <t>UKPN</t>
        </is>
      </c>
      <c r="R4179" t="b">
        <v>0</v>
      </c>
    </row>
    <row r="4180">
      <c r="A4180" t="inlineStr">
        <is>
          <t>23 Apr 2026 / 7996 M G Tree Surgery Ltd</t>
        </is>
      </c>
      <c r="B4180" t="inlineStr">
        <is>
          <t>Infrastructure &amp; Utilities</t>
        </is>
      </c>
      <c r="C4180" t="inlineStr">
        <is>
          <t>UKPN</t>
        </is>
      </c>
      <c r="D4180" t="inlineStr">
        <is>
          <t>GU13 WNL , MEWP , Land Rover , Defender 130</t>
        </is>
      </c>
      <c r="E4180" t="inlineStr">
        <is>
          <t>GU13 WNL , MEWP , Land Rover , Defender 130</t>
        </is>
      </c>
      <c r="F4180" t="inlineStr">
        <is>
          <t>GU13 WNL , MEWP , Land Rover , Defender 130</t>
        </is>
      </c>
      <c r="G4180" t="inlineStr">
        <is>
          <t>Max</t>
        </is>
      </c>
      <c r="H4180" t="inlineStr">
        <is>
          <t>4x4</t>
        </is>
      </c>
      <c r="I4180" t="inlineStr">
        <is>
          <t>Daily/ Weekly Vehicle Inspection</t>
        </is>
      </c>
      <c r="J4180" t="inlineStr">
        <is>
          <t>N/A</t>
        </is>
      </c>
      <c r="K4180" t="inlineStr">
        <is>
          <t>7996 M G Tree Surgery Ltd</t>
        </is>
      </c>
      <c r="L4180" t="inlineStr">
        <is>
          <t>23/04/2026 09:51</t>
        </is>
      </c>
      <c r="M4180" t="inlineStr">
        <is>
          <t>None</t>
        </is>
      </c>
      <c r="N4180" t="inlineStr">
        <is>
          <t>&lt;p&gt;&lt;/p&gt;</t>
        </is>
      </c>
      <c r="O4180" t="inlineStr"/>
      <c r="P4180" t="inlineStr">
        <is>
          <t>GU13 WNL , MEWP , Land Rover , Defender 130</t>
        </is>
      </c>
      <c r="Q4180" t="inlineStr">
        <is>
          <t>UKPN</t>
        </is>
      </c>
      <c r="R4180" t="b">
        <v>0</v>
      </c>
    </row>
    <row r="4181">
      <c r="A4181" t="inlineStr">
        <is>
          <t>23 Apr 2026 / Ben Arnold</t>
        </is>
      </c>
      <c r="B4181" t="inlineStr">
        <is>
          <t>Infrastructure &amp; Utilities</t>
        </is>
      </c>
      <c r="C4181" t="inlineStr">
        <is>
          <t>UKPN</t>
        </is>
      </c>
      <c r="D4181" t="inlineStr">
        <is>
          <t>EX18DCY , 4x4 , Ford , Ranger</t>
        </is>
      </c>
      <c r="E4181" t="inlineStr">
        <is>
          <t>EX18DCY , 4x4 , Ford , Ranger</t>
        </is>
      </c>
      <c r="F4181" t="inlineStr">
        <is>
          <t>EX18DCY , 4x4 , Ford , Ranger</t>
        </is>
      </c>
      <c r="G4181" t="inlineStr">
        <is>
          <t>B ARnold</t>
        </is>
      </c>
      <c r="H4181" t="inlineStr">
        <is>
          <t>Pickup Truck</t>
        </is>
      </c>
      <c r="I4181" t="inlineStr">
        <is>
          <t>Daily/ Weekly Vehicle Inspection</t>
        </is>
      </c>
      <c r="J4181" t="inlineStr">
        <is>
          <t>N/A</t>
        </is>
      </c>
      <c r="K4181" t="inlineStr">
        <is>
          <t>Ben Arnold</t>
        </is>
      </c>
      <c r="L4181" t="inlineStr">
        <is>
          <t>23/04/2026 17:50</t>
        </is>
      </c>
      <c r="M4181" t="inlineStr">
        <is>
          <t>None</t>
        </is>
      </c>
      <c r="N4181" t="inlineStr">
        <is>
          <t>&lt;p&gt;&lt;/p&gt;</t>
        </is>
      </c>
      <c r="O4181" t="inlineStr"/>
      <c r="P4181" t="inlineStr">
        <is>
          <t>EX18DCY , 4x4 , Ford , Ranger</t>
        </is>
      </c>
      <c r="Q4181" t="inlineStr">
        <is>
          <t>UKPN</t>
        </is>
      </c>
      <c r="R4181" t="b">
        <v>0</v>
      </c>
    </row>
    <row r="4182">
      <c r="A4182" t="inlineStr">
        <is>
          <t>24 Apr 2026 / 6617 Ashdown Tree Limited 1</t>
        </is>
      </c>
      <c r="B4182" t="inlineStr">
        <is>
          <t>Infrastructure &amp; Utilities</t>
        </is>
      </c>
      <c r="C4182" t="inlineStr">
        <is>
          <t>UKPN</t>
        </is>
      </c>
      <c r="D4182" t="inlineStr">
        <is>
          <t>WG63OJS , 4x4 , Land rover  , defender</t>
        </is>
      </c>
      <c r="E4182" t="inlineStr">
        <is>
          <t>WG63OJS , 4x4 , Land rover  , defender</t>
        </is>
      </c>
      <c r="F4182" t="inlineStr">
        <is>
          <t>WG63OJS , 4x4 , Land rover  , defender</t>
        </is>
      </c>
      <c r="G4182" t="inlineStr">
        <is>
          <t>Dan</t>
        </is>
      </c>
      <c r="H4182" t="inlineStr">
        <is>
          <t>4x4</t>
        </is>
      </c>
      <c r="I4182" t="inlineStr">
        <is>
          <t>Daily/ Weekly Vehicle Inspection</t>
        </is>
      </c>
      <c r="J4182" t="inlineStr">
        <is>
          <t>N/A</t>
        </is>
      </c>
      <c r="K4182" t="inlineStr">
        <is>
          <t>6617 Ashdown Tree Limited - Team 2</t>
        </is>
      </c>
      <c r="L4182" t="inlineStr">
        <is>
          <t>24/04/2026 06:50</t>
        </is>
      </c>
      <c r="M4182" t="inlineStr">
        <is>
          <t>None</t>
        </is>
      </c>
      <c r="N4182" t="inlineStr">
        <is>
          <t>&lt;p&gt;&lt;/p&gt;</t>
        </is>
      </c>
      <c r="O4182" t="inlineStr"/>
      <c r="P4182" t="inlineStr">
        <is>
          <t>WG63OJS , 4x4 , Land rover  , defender</t>
        </is>
      </c>
      <c r="Q4182" t="inlineStr">
        <is>
          <t>UKPN</t>
        </is>
      </c>
      <c r="R4182" t="b">
        <v>0</v>
      </c>
    </row>
    <row r="4183">
      <c r="A4183" t="inlineStr">
        <is>
          <t>24 Apr 2026 / 7806 Optimum Tree Services Ltd</t>
        </is>
      </c>
      <c r="B4183" t="inlineStr">
        <is>
          <t>Infrastructure &amp; Utilities</t>
        </is>
      </c>
      <c r="C4183" t="inlineStr">
        <is>
          <t>UKPN</t>
        </is>
      </c>
      <c r="D4183" t="inlineStr">
        <is>
          <t>SA9st6p0001283093 , Towed Chipper , Forst  , St6pHD</t>
        </is>
      </c>
      <c r="E4183" t="inlineStr">
        <is>
          <t>SA9st6p0001283093 , Towed Chipper , Forst  , St6pHD</t>
        </is>
      </c>
      <c r="F4183" t="inlineStr">
        <is>
          <t>SA9st6p0001283093 , Towed Chipper , Forst  , St6pHD</t>
        </is>
      </c>
      <c r="G4183" t="inlineStr">
        <is>
          <t xml:space="preserve">Abraham Davies </t>
        </is>
      </c>
      <c r="H4183" t="inlineStr">
        <is>
          <t>Towed Chipper</t>
        </is>
      </c>
      <c r="I4183" t="inlineStr">
        <is>
          <t>Daily/ Weekly Vehicle Inspection</t>
        </is>
      </c>
      <c r="J4183" t="inlineStr">
        <is>
          <t>N/A</t>
        </is>
      </c>
      <c r="K4183" t="inlineStr">
        <is>
          <t>7806 Optimum Tree Services Ltd</t>
        </is>
      </c>
      <c r="L4183" t="inlineStr">
        <is>
          <t>24/04/2026 06:51</t>
        </is>
      </c>
      <c r="M4183" t="inlineStr">
        <is>
          <t>None</t>
        </is>
      </c>
      <c r="N4183" t="inlineStr">
        <is>
          <t>&lt;p&gt;&lt;/p&gt;</t>
        </is>
      </c>
      <c r="O4183" t="inlineStr"/>
      <c r="P4183" t="inlineStr">
        <is>
          <t>SA9st6p0001283093 , Towed Chipper , Forst  , St6pHD</t>
        </is>
      </c>
      <c r="Q4183" t="inlineStr">
        <is>
          <t>UKPN</t>
        </is>
      </c>
      <c r="R4183" t="b">
        <v>0</v>
      </c>
    </row>
    <row r="4184">
      <c r="A4184" t="inlineStr">
        <is>
          <t>24 Apr 2026 / 7806 Optimum Tree Services Ltd</t>
        </is>
      </c>
      <c r="B4184" t="inlineStr">
        <is>
          <t>Infrastructure &amp; Utilities</t>
        </is>
      </c>
      <c r="C4184" t="inlineStr">
        <is>
          <t>UKPN</t>
        </is>
      </c>
      <c r="D4184" t="inlineStr">
        <is>
          <t>WD14EVB , MEWP , Land Rover , Defender</t>
        </is>
      </c>
      <c r="E4184" t="inlineStr">
        <is>
          <t>WD14EVB , MEWP , Land Rover , Defender</t>
        </is>
      </c>
      <c r="F4184" t="inlineStr">
        <is>
          <t>WD14EVB , MEWP , Land Rover , Defender</t>
        </is>
      </c>
      <c r="G4184" t="inlineStr">
        <is>
          <t xml:space="preserve">Abraham Davies </t>
        </is>
      </c>
      <c r="H4184" t="inlineStr">
        <is>
          <t>4x4</t>
        </is>
      </c>
      <c r="I4184" t="inlineStr">
        <is>
          <t>Daily/ Weekly Vehicle Inspection</t>
        </is>
      </c>
      <c r="J4184" t="inlineStr">
        <is>
          <t>N/A</t>
        </is>
      </c>
      <c r="K4184" t="inlineStr">
        <is>
          <t>7806 Optimum Tree Services Ltd</t>
        </is>
      </c>
      <c r="L4184" t="inlineStr">
        <is>
          <t>24/04/2026 06:52</t>
        </is>
      </c>
      <c r="M4184" t="inlineStr">
        <is>
          <t>None</t>
        </is>
      </c>
      <c r="N4184" t="inlineStr">
        <is>
          <t>&lt;p&gt;&lt;/p&gt;</t>
        </is>
      </c>
      <c r="O4184" t="inlineStr"/>
      <c r="P4184" t="inlineStr">
        <is>
          <t>WD14EVB , MEWP , Land Rover , Defender</t>
        </is>
      </c>
      <c r="Q4184" t="inlineStr">
        <is>
          <t>UKPN</t>
        </is>
      </c>
      <c r="R4184" t="b">
        <v>0</v>
      </c>
    </row>
    <row r="4185">
      <c r="A4185" t="inlineStr">
        <is>
          <t>24 Apr 2026 / 7186 Eastwoodbury Tree Services Ltd 2</t>
        </is>
      </c>
      <c r="B4185" t="inlineStr">
        <is>
          <t>Infrastructure &amp; Utilities</t>
        </is>
      </c>
      <c r="C4185" t="inlineStr">
        <is>
          <t>UKPN</t>
        </is>
      </c>
      <c r="D4185" t="inlineStr">
        <is>
          <t>WF13 EKM , 4x4 , Land rover  , Defenders</t>
        </is>
      </c>
      <c r="E4185" t="inlineStr">
        <is>
          <t>WF13 EKM , 4x4 , Land rover  , Defenders</t>
        </is>
      </c>
      <c r="F4185" t="inlineStr">
        <is>
          <t>WF13 EKM , 4x4 , Land rover  , Defenders</t>
        </is>
      </c>
      <c r="G4185" t="inlineStr">
        <is>
          <t xml:space="preserve">Tom Price </t>
        </is>
      </c>
      <c r="H4185" t="inlineStr">
        <is>
          <t>4x4</t>
        </is>
      </c>
      <c r="I4185" t="inlineStr">
        <is>
          <t>Daily/ Weekly Vehicle Inspection</t>
        </is>
      </c>
      <c r="J4185" t="inlineStr">
        <is>
          <t>N/A</t>
        </is>
      </c>
      <c r="K4185" t="inlineStr">
        <is>
          <t>7186 Eastwoodbury Tree Services Ltd 2</t>
        </is>
      </c>
      <c r="L4185" t="inlineStr">
        <is>
          <t>24/04/2026 07:50</t>
        </is>
      </c>
      <c r="M4185" t="inlineStr">
        <is>
          <t>None</t>
        </is>
      </c>
      <c r="N4185" t="inlineStr">
        <is>
          <t>&lt;p&gt;&lt;/p&gt;</t>
        </is>
      </c>
      <c r="O4185" t="inlineStr"/>
      <c r="P4185" t="inlineStr">
        <is>
          <t>WF13 EKM , 4x4 , Land rover  , Defenders</t>
        </is>
      </c>
      <c r="Q4185" t="inlineStr">
        <is>
          <t>UKPN</t>
        </is>
      </c>
      <c r="R4185" t="b">
        <v>0</v>
      </c>
    </row>
    <row r="4186">
      <c r="A4186" t="inlineStr">
        <is>
          <t>24 Apr 2026 / 7186 Eastwoodbury Tree Services Ltd 2</t>
        </is>
      </c>
      <c r="B4186" t="inlineStr">
        <is>
          <t>Infrastructure &amp; Utilities</t>
        </is>
      </c>
      <c r="C4186" t="inlineStr">
        <is>
          <t>UKPN</t>
        </is>
      </c>
      <c r="D4186" t="inlineStr">
        <is>
          <t>WF13 EKT , 4x4 , Land rover  , Defender</t>
        </is>
      </c>
      <c r="E4186" t="inlineStr">
        <is>
          <t>WF13 EKT , 4x4 , Land rover  , Defender</t>
        </is>
      </c>
      <c r="F4186" t="inlineStr">
        <is>
          <t>WF13 EKT , 4x4 , Land rover  , Defender</t>
        </is>
      </c>
      <c r="G4186" t="inlineStr">
        <is>
          <t xml:space="preserve">Dan Gilbert </t>
        </is>
      </c>
      <c r="H4186" t="inlineStr">
        <is>
          <t>4x4</t>
        </is>
      </c>
      <c r="I4186" t="inlineStr">
        <is>
          <t>Daily/ Weekly Vehicle Inspection</t>
        </is>
      </c>
      <c r="J4186" t="inlineStr">
        <is>
          <t>N/A</t>
        </is>
      </c>
      <c r="K4186" t="inlineStr">
        <is>
          <t>7186 Eastwoodbury Tree Services Ltd 2</t>
        </is>
      </c>
      <c r="L4186" t="inlineStr">
        <is>
          <t>24/04/2026 07:51</t>
        </is>
      </c>
      <c r="M4186" t="inlineStr">
        <is>
          <t>None</t>
        </is>
      </c>
      <c r="N4186" t="inlineStr">
        <is>
          <t>&lt;p&gt;&lt;/p&gt;</t>
        </is>
      </c>
      <c r="O4186" t="inlineStr"/>
      <c r="P4186" t="inlineStr">
        <is>
          <t>WF13 EKT , 4x4 , Land rover  , Defender</t>
        </is>
      </c>
      <c r="Q4186" t="inlineStr">
        <is>
          <t>UKPN</t>
        </is>
      </c>
      <c r="R4186" t="b">
        <v>0</v>
      </c>
    </row>
    <row r="4187">
      <c r="A4187" t="inlineStr">
        <is>
          <t>24 Apr 2026 / 7995 Green Net Eco Ltd 2</t>
        </is>
      </c>
      <c r="B4187" t="inlineStr">
        <is>
          <t>Infrastructure &amp; Utilities</t>
        </is>
      </c>
      <c r="C4187" t="inlineStr">
        <is>
          <t>UKPN</t>
        </is>
      </c>
      <c r="D4187" t="inlineStr">
        <is>
          <t>SA9ST800000283944 , Towed Chipper , Forst , ST8D - Towed</t>
        </is>
      </c>
      <c r="E4187" t="inlineStr">
        <is>
          <t>SA9ST800000283944 , Towed Chipper , Forst , ST8D - Towed</t>
        </is>
      </c>
      <c r="F4187" t="inlineStr">
        <is>
          <t>SA9ST800000283944 , Towed Chipper , Forst , ST8D - Towed</t>
        </is>
      </c>
      <c r="G4187" t="inlineStr">
        <is>
          <t xml:space="preserve">Thomas Playford </t>
        </is>
      </c>
      <c r="H4187" t="inlineStr">
        <is>
          <t>Towed Chipper</t>
        </is>
      </c>
      <c r="I4187" t="inlineStr">
        <is>
          <t>Daily/ Weekly Vehicle Inspection</t>
        </is>
      </c>
      <c r="J4187" t="inlineStr">
        <is>
          <t>N/A</t>
        </is>
      </c>
      <c r="K4187" t="inlineStr">
        <is>
          <t>7995 Green Net Eco Ltd 2</t>
        </is>
      </c>
      <c r="L4187" t="inlineStr">
        <is>
          <t>24/04/2026 07:52</t>
        </is>
      </c>
      <c r="M4187" t="inlineStr">
        <is>
          <t>None</t>
        </is>
      </c>
      <c r="N4187" t="inlineStr">
        <is>
          <t>&lt;p&gt;&lt;/p&gt;</t>
        </is>
      </c>
      <c r="O4187" t="inlineStr"/>
      <c r="P4187" t="inlineStr">
        <is>
          <t>SA9ST800000283944 , Towed Chipper , Forst , ST8D - Towed</t>
        </is>
      </c>
      <c r="Q4187" t="inlineStr">
        <is>
          <t>UKPN</t>
        </is>
      </c>
      <c r="R4187" t="b">
        <v>0</v>
      </c>
    </row>
    <row r="4188">
      <c r="A4188" t="inlineStr">
        <is>
          <t>24 Apr 2026 / 7995 Green Net Eco Ltd 2</t>
        </is>
      </c>
      <c r="B4188" t="inlineStr">
        <is>
          <t>Infrastructure &amp; Utilities</t>
        </is>
      </c>
      <c r="C4188" t="inlineStr">
        <is>
          <t>UKPN</t>
        </is>
      </c>
      <c r="D4188" t="inlineStr">
        <is>
          <t>LK15KRZ , 4x4 , Landrover , Defender</t>
        </is>
      </c>
      <c r="E4188" t="inlineStr">
        <is>
          <t>LK15KRZ , 4x4 , Landrover , Defender</t>
        </is>
      </c>
      <c r="F4188" t="inlineStr">
        <is>
          <t>LK15KRZ , 4x4 , Landrover , Defender</t>
        </is>
      </c>
      <c r="G4188" t="inlineStr">
        <is>
          <t xml:space="preserve">Thomas Playford </t>
        </is>
      </c>
      <c r="H4188" t="inlineStr">
        <is>
          <t>4x4</t>
        </is>
      </c>
      <c r="I4188" t="inlineStr">
        <is>
          <t>Daily/ Weekly Vehicle Inspection</t>
        </is>
      </c>
      <c r="J4188" t="inlineStr">
        <is>
          <t>N/A</t>
        </is>
      </c>
      <c r="K4188" t="inlineStr">
        <is>
          <t>7995 Green Net Eco Ltd 2</t>
        </is>
      </c>
      <c r="L4188" t="inlineStr">
        <is>
          <t>24/04/2026 07:53</t>
        </is>
      </c>
      <c r="M4188" t="inlineStr">
        <is>
          <t>None</t>
        </is>
      </c>
      <c r="N4188" t="inlineStr">
        <is>
          <t>&lt;p&gt;&lt;/p&gt;</t>
        </is>
      </c>
      <c r="O4188" t="inlineStr"/>
      <c r="P4188" t="inlineStr">
        <is>
          <t>LK15KRZ , 4x4 , Landrover , Defender</t>
        </is>
      </c>
      <c r="Q4188" t="inlineStr">
        <is>
          <t>UKPN</t>
        </is>
      </c>
      <c r="R4188" t="b">
        <v>0</v>
      </c>
    </row>
    <row r="4189">
      <c r="A4189" t="inlineStr">
        <is>
          <t>24 Apr 2026 / 7951 Austin Tree Care LTD</t>
        </is>
      </c>
      <c r="B4189" t="inlineStr">
        <is>
          <t>Infrastructure &amp; Utilities</t>
        </is>
      </c>
      <c r="C4189" t="inlineStr">
        <is>
          <t>UKPN</t>
        </is>
      </c>
      <c r="D4189" t="inlineStr">
        <is>
          <t>SA9ST6P0001283612 , Towed Chipper , Forst , ST6p</t>
        </is>
      </c>
      <c r="E4189" t="inlineStr">
        <is>
          <t>SA9ST6P0001283612 , Towed Chipper , Forst , ST6p</t>
        </is>
      </c>
      <c r="F4189" t="inlineStr">
        <is>
          <t>SA9ST6P0001283612 , Towed Chipper , Forst , ST6p</t>
        </is>
      </c>
      <c r="G4189" t="inlineStr">
        <is>
          <t xml:space="preserve">Jack Austin </t>
        </is>
      </c>
      <c r="H4189" t="inlineStr">
        <is>
          <t>Towed Chipper</t>
        </is>
      </c>
      <c r="I4189" t="inlineStr">
        <is>
          <t>Daily/ Weekly Vehicle Inspection</t>
        </is>
      </c>
      <c r="J4189" t="inlineStr">
        <is>
          <t>N/A</t>
        </is>
      </c>
      <c r="K4189" t="inlineStr">
        <is>
          <t>7951 Austin Tree Care LTD</t>
        </is>
      </c>
      <c r="L4189" t="inlineStr">
        <is>
          <t>24/04/2026 07:56</t>
        </is>
      </c>
      <c r="M4189" t="inlineStr">
        <is>
          <t>None</t>
        </is>
      </c>
      <c r="N4189" t="inlineStr">
        <is>
          <t>&lt;p&gt;&lt;/p&gt;</t>
        </is>
      </c>
      <c r="O4189" t="inlineStr"/>
      <c r="P4189" t="inlineStr">
        <is>
          <t>SA9ST6P0001283612 , Towed Chipper , Forst , ST6p</t>
        </is>
      </c>
      <c r="Q4189" t="inlineStr">
        <is>
          <t>UKPN</t>
        </is>
      </c>
      <c r="R4189" t="b">
        <v>0</v>
      </c>
    </row>
    <row r="4190">
      <c r="A4190" t="inlineStr">
        <is>
          <t>24 Apr 2026 / 7951 Austin Tree Care LTD</t>
        </is>
      </c>
      <c r="B4190" t="inlineStr">
        <is>
          <t>Infrastructure &amp; Utilities</t>
        </is>
      </c>
      <c r="C4190" t="inlineStr">
        <is>
          <t>UKPN</t>
        </is>
      </c>
      <c r="D4190" t="inlineStr">
        <is>
          <t>WG64HTT , 4x4 , Land Rover , Defender 110</t>
        </is>
      </c>
      <c r="E4190" t="inlineStr">
        <is>
          <t>WG64HTT , 4x4 , Land Rover , Defender 110</t>
        </is>
      </c>
      <c r="F4190" t="inlineStr">
        <is>
          <t>WG64HTT , 4x4 , Land Rover , Defender 110</t>
        </is>
      </c>
      <c r="G4190" t="inlineStr">
        <is>
          <t xml:space="preserve">Jack Austin </t>
        </is>
      </c>
      <c r="H4190" t="inlineStr">
        <is>
          <t>4x4</t>
        </is>
      </c>
      <c r="I4190" t="inlineStr">
        <is>
          <t>Daily/ Weekly Vehicle Inspection</t>
        </is>
      </c>
      <c r="J4190" t="inlineStr">
        <is>
          <t>N/A</t>
        </is>
      </c>
      <c r="K4190" t="inlineStr">
        <is>
          <t>7951 Austin Tree Care LTD</t>
        </is>
      </c>
      <c r="L4190" t="inlineStr">
        <is>
          <t>24/04/2026 07:56</t>
        </is>
      </c>
      <c r="M4190" t="inlineStr">
        <is>
          <t>None</t>
        </is>
      </c>
      <c r="N4190" t="inlineStr">
        <is>
          <t>&lt;p&gt;&lt;/p&gt;</t>
        </is>
      </c>
      <c r="O4190" t="inlineStr"/>
      <c r="P4190" t="inlineStr">
        <is>
          <t>WG64HTT , 4x4 , Land Rover , Defender 110</t>
        </is>
      </c>
      <c r="Q4190" t="inlineStr">
        <is>
          <t>UKPN</t>
        </is>
      </c>
      <c r="R4190" t="b">
        <v>0</v>
      </c>
    </row>
    <row r="4191">
      <c r="A4191" t="inlineStr">
        <is>
          <t>24 Apr 2026 / 7889 Tree Tech Suffolk Ltd</t>
        </is>
      </c>
      <c r="B4191" t="inlineStr">
        <is>
          <t>Utilities &amp; Inland Waterways</t>
        </is>
      </c>
      <c r="C4191" t="inlineStr">
        <is>
          <t>UKPN</t>
        </is>
      </c>
      <c r="D4191" t="inlineStr">
        <is>
          <t>Tipper - Nissan - Navara - NS02TTS</t>
        </is>
      </c>
      <c r="E4191" t="inlineStr">
        <is>
          <t>Tipper - Nissan - Navara - NS02TTS</t>
        </is>
      </c>
      <c r="F4191" t="inlineStr">
        <is>
          <t>Tipper - Nissan - Navara - NS02TTS</t>
        </is>
      </c>
      <c r="G4191" t="inlineStr">
        <is>
          <t>Danny Appleby</t>
        </is>
      </c>
      <c r="H4191" t="inlineStr">
        <is>
          <t>Tipper</t>
        </is>
      </c>
      <c r="I4191" t="inlineStr">
        <is>
          <t>Daily/ Weekly Vehicle Inspection</t>
        </is>
      </c>
      <c r="J4191" t="inlineStr">
        <is>
          <t>N/A</t>
        </is>
      </c>
      <c r="K4191" t="inlineStr">
        <is>
          <t>7889 Tree Tech Suffolk Ltd</t>
        </is>
      </c>
      <c r="L4191" t="inlineStr">
        <is>
          <t>24/04/2026 07:57</t>
        </is>
      </c>
      <c r="M4191" t="inlineStr">
        <is>
          <t>None</t>
        </is>
      </c>
      <c r="N4191" t="inlineStr">
        <is>
          <t>&lt;p&gt;&lt;/p&gt;</t>
        </is>
      </c>
      <c r="O4191" t="inlineStr"/>
      <c r="P4191" t="inlineStr">
        <is>
          <t>Tipper - Nissan - Navara - NS02TTS</t>
        </is>
      </c>
      <c r="Q4191" t="inlineStr">
        <is>
          <t>UKPN</t>
        </is>
      </c>
      <c r="R4191" t="b">
        <v>0</v>
      </c>
    </row>
    <row r="4192">
      <c r="A4192" t="inlineStr">
        <is>
          <t>23 Apr 2026 / 7951 Austin Tree Care LTD</t>
        </is>
      </c>
      <c r="B4192" t="inlineStr">
        <is>
          <t>Infrastructure &amp; Utilities</t>
        </is>
      </c>
      <c r="C4192" t="inlineStr">
        <is>
          <t>UKPN</t>
        </is>
      </c>
      <c r="D4192" t="inlineStr">
        <is>
          <t>SA9ST6P0001283612 , Towed Chipper , Forst , ST6p</t>
        </is>
      </c>
      <c r="E4192" t="inlineStr">
        <is>
          <t>SA9ST6P0001283612 , Towed Chipper , Forst , ST6p</t>
        </is>
      </c>
      <c r="F4192" t="inlineStr">
        <is>
          <t>SA9ST6P0001283612 , Towed Chipper , Forst , ST6p</t>
        </is>
      </c>
      <c r="G4192" t="inlineStr">
        <is>
          <t xml:space="preserve">Jack Austin </t>
        </is>
      </c>
      <c r="H4192" t="inlineStr">
        <is>
          <t>Towed Chipper</t>
        </is>
      </c>
      <c r="I4192" t="inlineStr">
        <is>
          <t>Daily/ Weekly Vehicle Inspection</t>
        </is>
      </c>
      <c r="J4192" t="inlineStr">
        <is>
          <t>N/A</t>
        </is>
      </c>
      <c r="K4192" t="inlineStr">
        <is>
          <t>7951 Austin Tree Care LTD</t>
        </is>
      </c>
      <c r="L4192" t="inlineStr">
        <is>
          <t>24/04/2026 07:58</t>
        </is>
      </c>
      <c r="M4192" t="inlineStr">
        <is>
          <t>None</t>
        </is>
      </c>
      <c r="N4192" t="inlineStr">
        <is>
          <t>&lt;p&gt;&lt;/p&gt;</t>
        </is>
      </c>
      <c r="O4192" t="inlineStr"/>
      <c r="P4192" t="inlineStr">
        <is>
          <t>SA9ST6P0001283612 , Towed Chipper , Forst , ST6p</t>
        </is>
      </c>
      <c r="Q4192" t="inlineStr">
        <is>
          <t>UKPN</t>
        </is>
      </c>
      <c r="R4192" t="b">
        <v>0</v>
      </c>
    </row>
    <row r="4193">
      <c r="A4193" t="inlineStr">
        <is>
          <t>23 Apr 2026 / 7951 Austin Tree Care LTD</t>
        </is>
      </c>
      <c r="B4193" t="inlineStr">
        <is>
          <t>Infrastructure &amp; Utilities</t>
        </is>
      </c>
      <c r="C4193" t="inlineStr">
        <is>
          <t>UKPN</t>
        </is>
      </c>
      <c r="D4193" t="inlineStr">
        <is>
          <t>WG64HTT , 4x4 , Land Rover , Defender 110</t>
        </is>
      </c>
      <c r="E4193" t="inlineStr">
        <is>
          <t>WG64HTT , 4x4 , Land Rover , Defender 110</t>
        </is>
      </c>
      <c r="F4193" t="inlineStr">
        <is>
          <t>WG64HTT , 4x4 , Land Rover , Defender 110</t>
        </is>
      </c>
      <c r="G4193" t="inlineStr">
        <is>
          <t xml:space="preserve">Jack Austin </t>
        </is>
      </c>
      <c r="H4193" t="inlineStr">
        <is>
          <t>4x4</t>
        </is>
      </c>
      <c r="I4193" t="inlineStr">
        <is>
          <t>Daily/ Weekly Vehicle Inspection</t>
        </is>
      </c>
      <c r="J4193" t="inlineStr">
        <is>
          <t>N/A</t>
        </is>
      </c>
      <c r="K4193" t="inlineStr">
        <is>
          <t>7951 Austin Tree Care LTD</t>
        </is>
      </c>
      <c r="L4193" t="inlineStr">
        <is>
          <t>24/04/2026 07:58</t>
        </is>
      </c>
      <c r="M4193" t="inlineStr">
        <is>
          <t>None</t>
        </is>
      </c>
      <c r="N4193" t="inlineStr">
        <is>
          <t>&lt;p&gt;&lt;/p&gt;</t>
        </is>
      </c>
      <c r="O4193" t="inlineStr"/>
      <c r="P4193" t="inlineStr">
        <is>
          <t>WG64HTT , 4x4 , Land Rover , Defender 110</t>
        </is>
      </c>
      <c r="Q4193" t="inlineStr">
        <is>
          <t>UKPN</t>
        </is>
      </c>
      <c r="R4193" t="b">
        <v>0</v>
      </c>
    </row>
    <row r="4194">
      <c r="A4194" t="inlineStr">
        <is>
          <t>24 Apr 2026 / 7996 M G Tree Surgery Ltd 1</t>
        </is>
      </c>
      <c r="B4194" t="inlineStr">
        <is>
          <t>Infrastructure &amp; Utilities</t>
        </is>
      </c>
      <c r="C4194" t="inlineStr">
        <is>
          <t>UKPN</t>
        </is>
      </c>
      <c r="D4194" t="inlineStr"/>
      <c r="E4194" t="inlineStr"/>
      <c r="F4194" t="inlineStr"/>
      <c r="G4194" t="inlineStr">
        <is>
          <t>Anthony Gale</t>
        </is>
      </c>
      <c r="H4194" t="inlineStr">
        <is>
          <t>Towed Chipper</t>
        </is>
      </c>
      <c r="I4194" t="inlineStr">
        <is>
          <t>Daily/ Weekly Vehicle Inspection</t>
        </is>
      </c>
      <c r="J4194" t="inlineStr">
        <is>
          <t>N/A</t>
        </is>
      </c>
      <c r="K4194" t="inlineStr">
        <is>
          <t>7996 M G Tree Surgery Ltd 1</t>
        </is>
      </c>
      <c r="L4194" t="inlineStr">
        <is>
          <t>24/04/2026 07:59</t>
        </is>
      </c>
      <c r="M4194" t="inlineStr">
        <is>
          <t>None</t>
        </is>
      </c>
      <c r="N4194" t="inlineStr">
        <is>
          <t>&lt;p&gt;&lt;/p&gt;</t>
        </is>
      </c>
      <c r="O4194" t="inlineStr"/>
      <c r="P4194" t="inlineStr"/>
      <c r="Q4194" t="inlineStr">
        <is>
          <t>UKPN</t>
        </is>
      </c>
      <c r="R4194" t="b">
        <v>0</v>
      </c>
    </row>
    <row r="4195">
      <c r="A4195" t="inlineStr">
        <is>
          <t>24 Apr 2026 / 7996 M G Tree Surgery Ltd 1</t>
        </is>
      </c>
      <c r="B4195" t="inlineStr">
        <is>
          <t>Infrastructure &amp; Utilities</t>
        </is>
      </c>
      <c r="C4195" t="inlineStr">
        <is>
          <t>UKPN</t>
        </is>
      </c>
      <c r="D4195" t="inlineStr">
        <is>
          <t>KX20 BCE , Tipper , Isuzu , D-Max</t>
        </is>
      </c>
      <c r="E4195" t="inlineStr">
        <is>
          <t>KX20 BCE , Tipper , Isuzu , D-Max</t>
        </is>
      </c>
      <c r="F4195" t="inlineStr">
        <is>
          <t>KX20 BCE , Tipper , Isuzu , D-Max</t>
        </is>
      </c>
      <c r="G4195" t="inlineStr">
        <is>
          <t>Anthony Gale</t>
        </is>
      </c>
      <c r="H4195" t="inlineStr">
        <is>
          <t>Pickup Truck</t>
        </is>
      </c>
      <c r="I4195" t="inlineStr">
        <is>
          <t>Daily/ Weekly Vehicle Inspection</t>
        </is>
      </c>
      <c r="J4195" t="inlineStr">
        <is>
          <t>N/A</t>
        </is>
      </c>
      <c r="K4195" t="inlineStr">
        <is>
          <t>7996 M G Tree Surgery Ltd 1</t>
        </is>
      </c>
      <c r="L4195" t="inlineStr">
        <is>
          <t>24/04/2026 08:00</t>
        </is>
      </c>
      <c r="M4195" t="inlineStr">
        <is>
          <t>None</t>
        </is>
      </c>
      <c r="N4195" t="inlineStr">
        <is>
          <t>&lt;p&gt;&lt;/p&gt;</t>
        </is>
      </c>
      <c r="O4195" t="inlineStr"/>
      <c r="P4195" t="inlineStr">
        <is>
          <t>KX20 BCE , Tipper , Isuzu , D-Max</t>
        </is>
      </c>
      <c r="Q4195" t="inlineStr">
        <is>
          <t>UKPN</t>
        </is>
      </c>
      <c r="R4195" t="b">
        <v>0</v>
      </c>
    </row>
    <row r="4196">
      <c r="A4196" t="inlineStr">
        <is>
          <t>24 Apr 2026 / 8040 S6 Tree specialists Ltd</t>
        </is>
      </c>
      <c r="B4196" t="inlineStr">
        <is>
          <t>Infrastructure &amp; Utilities</t>
        </is>
      </c>
      <c r="C4196" t="inlineStr">
        <is>
          <t>UKPN</t>
        </is>
      </c>
      <c r="D4196" t="inlineStr">
        <is>
          <t>Na , Towed Chipper , Timberwolf  , 190</t>
        </is>
      </c>
      <c r="E4196" t="inlineStr">
        <is>
          <t>Na , Towed Chipper , Timberwolf  , 190</t>
        </is>
      </c>
      <c r="F4196" t="inlineStr">
        <is>
          <t>Na , Towed Chipper , Timberwolf  , 190</t>
        </is>
      </c>
      <c r="G4196" t="inlineStr">
        <is>
          <t>Luke</t>
        </is>
      </c>
      <c r="H4196" t="inlineStr">
        <is>
          <t>Towed Chipper</t>
        </is>
      </c>
      <c r="I4196" t="inlineStr">
        <is>
          <t>Daily/ Weekly Vehicle Inspection</t>
        </is>
      </c>
      <c r="J4196" t="inlineStr">
        <is>
          <t>N/A</t>
        </is>
      </c>
      <c r="K4196" t="inlineStr">
        <is>
          <t>8040 S6 Tree specialists Ltd</t>
        </is>
      </c>
      <c r="L4196" t="inlineStr">
        <is>
          <t>24/04/2026 08:01</t>
        </is>
      </c>
      <c r="M4196" t="inlineStr">
        <is>
          <t>None</t>
        </is>
      </c>
      <c r="N4196" t="inlineStr">
        <is>
          <t>&lt;p&gt;&lt;/p&gt;</t>
        </is>
      </c>
      <c r="O4196" t="inlineStr"/>
      <c r="P4196" t="inlineStr">
        <is>
          <t>Na , Towed Chipper , Timberwolf  , 190</t>
        </is>
      </c>
      <c r="Q4196" t="inlineStr">
        <is>
          <t>UKPN</t>
        </is>
      </c>
      <c r="R4196" t="b">
        <v>0</v>
      </c>
    </row>
    <row r="4197">
      <c r="A4197" t="inlineStr">
        <is>
          <t>24 Apr 2026 / 8040 S6 Tree specialists Ltd</t>
        </is>
      </c>
      <c r="B4197" t="inlineStr">
        <is>
          <t>Infrastructure &amp; Utilities</t>
        </is>
      </c>
      <c r="C4197" t="inlineStr">
        <is>
          <t>UKPN</t>
        </is>
      </c>
      <c r="D4197" t="inlineStr">
        <is>
          <t>GY08 RVC , 4x4 MEWP , Land Rover , Defender</t>
        </is>
      </c>
      <c r="E4197" t="inlineStr">
        <is>
          <t>GY08 RVC , 4x4 MEWP , Land Rover , Defender</t>
        </is>
      </c>
      <c r="F4197" t="inlineStr">
        <is>
          <t>GY08 RVC , 4x4 MEWP , Land Rover , Defender</t>
        </is>
      </c>
      <c r="G4197" t="inlineStr">
        <is>
          <t>Luke</t>
        </is>
      </c>
      <c r="H4197" t="inlineStr">
        <is>
          <t>4x4</t>
        </is>
      </c>
      <c r="I4197" t="inlineStr">
        <is>
          <t>Daily/ Weekly Vehicle Inspection</t>
        </is>
      </c>
      <c r="J4197" t="inlineStr">
        <is>
          <t>N/A</t>
        </is>
      </c>
      <c r="K4197" t="inlineStr">
        <is>
          <t>8040 S6 Tree specialists Ltd</t>
        </is>
      </c>
      <c r="L4197" t="inlineStr">
        <is>
          <t>24/04/2026 08:01</t>
        </is>
      </c>
      <c r="M4197" t="inlineStr">
        <is>
          <t>None</t>
        </is>
      </c>
      <c r="N4197" t="inlineStr">
        <is>
          <t>&lt;p&gt;&lt;/p&gt;</t>
        </is>
      </c>
      <c r="O4197" t="inlineStr"/>
      <c r="P4197" t="inlineStr">
        <is>
          <t>GY08 RVC , 4x4 MEWP , Land Rover , Defender</t>
        </is>
      </c>
      <c r="Q4197" t="inlineStr">
        <is>
          <t>UKPN</t>
        </is>
      </c>
      <c r="R4197" t="b">
        <v>0</v>
      </c>
    </row>
    <row r="4198">
      <c r="A4198" t="inlineStr">
        <is>
          <t>24 Apr 2026 / Barry Bright</t>
        </is>
      </c>
      <c r="B4198" t="inlineStr">
        <is>
          <t>Infrastructure &amp; Utilities</t>
        </is>
      </c>
      <c r="C4198" t="inlineStr">
        <is>
          <t>UKPN</t>
        </is>
      </c>
      <c r="D4198" t="inlineStr">
        <is>
          <t>AK72YBM , Car - Electric , Tesla , Model Y Long Range</t>
        </is>
      </c>
      <c r="E4198" t="inlineStr">
        <is>
          <t>AK72YBM , Car - Electric , Tesla , Model Y Long Range</t>
        </is>
      </c>
      <c r="F4198" t="inlineStr">
        <is>
          <t>AK72YBM , Car - Electric , Tesla , Model Y Long Range</t>
        </is>
      </c>
      <c r="G4198" t="inlineStr">
        <is>
          <t xml:space="preserve">Barry Bright </t>
        </is>
      </c>
      <c r="H4198" t="inlineStr">
        <is>
          <t>Car - Electric (GC Owned)</t>
        </is>
      </c>
      <c r="I4198" t="inlineStr">
        <is>
          <t>Daily/ Weekly Vehicle Inspection</t>
        </is>
      </c>
      <c r="J4198" t="inlineStr">
        <is>
          <t>N/A</t>
        </is>
      </c>
      <c r="K4198" t="inlineStr">
        <is>
          <t>Barry Bright</t>
        </is>
      </c>
      <c r="L4198" t="inlineStr">
        <is>
          <t>24/04/2026 08:02</t>
        </is>
      </c>
      <c r="M4198" t="inlineStr">
        <is>
          <t>None</t>
        </is>
      </c>
      <c r="N4198" t="inlineStr">
        <is>
          <t>&lt;p&gt;&lt;/p&gt;</t>
        </is>
      </c>
      <c r="O4198" t="inlineStr"/>
      <c r="P4198" t="inlineStr">
        <is>
          <t>AK72YBM , Car - Electric , Tesla , Model Y Long Range</t>
        </is>
      </c>
      <c r="Q4198" t="inlineStr">
        <is>
          <t>UKPN</t>
        </is>
      </c>
      <c r="R4198" t="b">
        <v>0</v>
      </c>
    </row>
    <row r="4199">
      <c r="A4199" t="inlineStr">
        <is>
          <t>24 Apr 2026 / Jake Bolwell</t>
        </is>
      </c>
      <c r="B4199" t="inlineStr">
        <is>
          <t>Infrastructure &amp; Utilities</t>
        </is>
      </c>
      <c r="C4199" t="inlineStr">
        <is>
          <t>SSE</t>
        </is>
      </c>
      <c r="D4199" t="inlineStr">
        <is>
          <t>AK23YLP , Car - Electric , Tesla , Model Y Long Range</t>
        </is>
      </c>
      <c r="E4199" t="inlineStr">
        <is>
          <t>AK23YLP , Car - Electric , Tesla , Model Y Long Range</t>
        </is>
      </c>
      <c r="F4199" t="inlineStr">
        <is>
          <t>AK23YLP , Car - Electric , Tesla , Model Y Long Range</t>
        </is>
      </c>
      <c r="G4199" t="inlineStr">
        <is>
          <t>Jake Bolwell</t>
        </is>
      </c>
      <c r="H4199" t="inlineStr">
        <is>
          <t>Car - Electric (GC Owned)</t>
        </is>
      </c>
      <c r="I4199" t="inlineStr">
        <is>
          <t>Daily/ Weekly Vehicle Inspection</t>
        </is>
      </c>
      <c r="J4199" t="inlineStr">
        <is>
          <t>N/A</t>
        </is>
      </c>
      <c r="K4199" t="inlineStr">
        <is>
          <t>Jake Bolwell</t>
        </is>
      </c>
      <c r="L4199" t="inlineStr">
        <is>
          <t>24/04/2026 13:50</t>
        </is>
      </c>
      <c r="M4199" t="inlineStr">
        <is>
          <t>None</t>
        </is>
      </c>
      <c r="N4199" t="inlineStr">
        <is>
          <t>&lt;p&gt;&lt;/p&gt;</t>
        </is>
      </c>
      <c r="O4199" t="inlineStr"/>
      <c r="P4199" t="inlineStr">
        <is>
          <t>AK23YLP , Car - Electric , Tesla , Model Y Long Range</t>
        </is>
      </c>
      <c r="Q4199" t="inlineStr">
        <is>
          <t>SSE</t>
        </is>
      </c>
      <c r="R4199" t="b">
        <v>0</v>
      </c>
    </row>
    <row r="4200">
      <c r="A4200" t="inlineStr">
        <is>
          <t>24 Apr 2026 / 7951 Austin Tree Care LTD</t>
        </is>
      </c>
      <c r="B4200" t="inlineStr">
        <is>
          <t>Infrastructure &amp; Utilities</t>
        </is>
      </c>
      <c r="C4200" t="inlineStr">
        <is>
          <t>UKPN</t>
        </is>
      </c>
      <c r="D4200" t="inlineStr">
        <is>
          <t>SA9ST6P0001283612 , Towed Chipper , Forst , ST6p</t>
        </is>
      </c>
      <c r="E4200" t="inlineStr">
        <is>
          <t>SA9ST6P0001283612 , Towed Chipper , Forst , ST6p</t>
        </is>
      </c>
      <c r="F4200" t="inlineStr">
        <is>
          <t>SA9ST6P0001283612 , Towed Chipper , Forst , ST6p</t>
        </is>
      </c>
      <c r="G4200" t="inlineStr">
        <is>
          <t xml:space="preserve">Jack Austin </t>
        </is>
      </c>
      <c r="H4200" t="inlineStr">
        <is>
          <t>Towed Chipper</t>
        </is>
      </c>
      <c r="I4200" t="inlineStr">
        <is>
          <t>Daily/ Weekly Vehicle Inspection</t>
        </is>
      </c>
      <c r="J4200" t="inlineStr">
        <is>
          <t>N/A</t>
        </is>
      </c>
      <c r="K4200" t="inlineStr">
        <is>
          <t>7951 Austin Tree Care LTD</t>
        </is>
      </c>
      <c r="L4200" t="inlineStr">
        <is>
          <t>25/04/2026 01:50</t>
        </is>
      </c>
      <c r="M4200" t="inlineStr">
        <is>
          <t>None</t>
        </is>
      </c>
      <c r="N4200" t="inlineStr">
        <is>
          <t>&lt;p&gt;&lt;/p&gt;</t>
        </is>
      </c>
      <c r="O4200" t="inlineStr"/>
      <c r="P4200" t="inlineStr">
        <is>
          <t>SA9ST6P0001283612 , Towed Chipper , Forst , ST6p</t>
        </is>
      </c>
      <c r="Q4200" t="inlineStr">
        <is>
          <t>UKPN</t>
        </is>
      </c>
      <c r="R4200" t="b">
        <v>0</v>
      </c>
    </row>
    <row r="4201">
      <c r="A4201" t="inlineStr">
        <is>
          <t>24 Apr 2026 / 7951 Austin Tree Care LTD</t>
        </is>
      </c>
      <c r="B4201" t="inlineStr">
        <is>
          <t>Infrastructure &amp; Utilities</t>
        </is>
      </c>
      <c r="C4201" t="inlineStr">
        <is>
          <t>UKPN</t>
        </is>
      </c>
      <c r="D4201" t="inlineStr">
        <is>
          <t>WG64HTT , 4x4 , Land Rover , Defender 110</t>
        </is>
      </c>
      <c r="E4201" t="inlineStr">
        <is>
          <t>WG64HTT , 4x4 , Land Rover , Defender 110</t>
        </is>
      </c>
      <c r="F4201" t="inlineStr">
        <is>
          <t>WG64HTT , 4x4 , Land Rover , Defender 110</t>
        </is>
      </c>
      <c r="G4201" t="inlineStr">
        <is>
          <t xml:space="preserve">Jack Austin </t>
        </is>
      </c>
      <c r="H4201" t="inlineStr">
        <is>
          <t>4x4</t>
        </is>
      </c>
      <c r="I4201" t="inlineStr">
        <is>
          <t>Daily/ Weekly Vehicle Inspection</t>
        </is>
      </c>
      <c r="J4201" t="inlineStr">
        <is>
          <t>N/A</t>
        </is>
      </c>
      <c r="K4201" t="inlineStr">
        <is>
          <t>7951 Austin Tree Care LTD</t>
        </is>
      </c>
      <c r="L4201" t="inlineStr">
        <is>
          <t>25/04/2026 01:50</t>
        </is>
      </c>
      <c r="M4201" t="inlineStr">
        <is>
          <t>None</t>
        </is>
      </c>
      <c r="N4201" t="inlineStr">
        <is>
          <t>&lt;p&gt;&lt;/p&gt;</t>
        </is>
      </c>
      <c r="O4201" t="inlineStr"/>
      <c r="P4201" t="inlineStr">
        <is>
          <t>WG64HTT , 4x4 , Land Rover , Defender 110</t>
        </is>
      </c>
      <c r="Q4201" t="inlineStr">
        <is>
          <t>UKPN</t>
        </is>
      </c>
      <c r="R4201" t="b">
        <v>0</v>
      </c>
    </row>
    <row r="4202">
      <c r="A4202" t="inlineStr">
        <is>
          <t>27 Apr 2026 / Benet Jones</t>
        </is>
      </c>
      <c r="B4202" t="inlineStr">
        <is>
          <t>Infrastructure &amp; Utilities</t>
        </is>
      </c>
      <c r="C4202" t="inlineStr">
        <is>
          <t>NGED</t>
        </is>
      </c>
      <c r="D4202" t="inlineStr">
        <is>
          <t>GF71TXC , Car - Electric , Tesla , Model 3 Long Range AWD</t>
        </is>
      </c>
      <c r="E4202" t="inlineStr">
        <is>
          <t>GF71TXC , Car - Electric , Tesla , Model 3 Long Range AWD</t>
        </is>
      </c>
      <c r="F4202" t="inlineStr">
        <is>
          <t>GF71TXC , Car - Electric , Tesla , Model 3 Long Range AWD</t>
        </is>
      </c>
      <c r="G4202" t="inlineStr">
        <is>
          <t xml:space="preserve">Benet Jones </t>
        </is>
      </c>
      <c r="H4202" t="inlineStr">
        <is>
          <t>Car - Electric (GC Owned)</t>
        </is>
      </c>
      <c r="I4202" t="inlineStr">
        <is>
          <t>Daily/ Weekly Vehicle Inspection</t>
        </is>
      </c>
      <c r="J4202" t="inlineStr">
        <is>
          <t>N/A</t>
        </is>
      </c>
      <c r="K4202" t="inlineStr">
        <is>
          <t>Benet Jones</t>
        </is>
      </c>
      <c r="L4202" t="inlineStr">
        <is>
          <t>27/04/2026 05:51</t>
        </is>
      </c>
      <c r="M4202" t="inlineStr">
        <is>
          <t>None</t>
        </is>
      </c>
      <c r="N4202" t="inlineStr">
        <is>
          <t>&lt;p&gt;&lt;/p&gt;</t>
        </is>
      </c>
      <c r="O4202" t="inlineStr">
        <is>
          <t>Confirm that you have checked this vehicle as per the guidance document and the vehicle is safe and roadworthy:Car checked and fully serviceable
-</t>
        </is>
      </c>
      <c r="P4202" t="inlineStr">
        <is>
          <t>GF71TXC , Car - Electric , Tesla , Model 3 Long Range AWD</t>
        </is>
      </c>
      <c r="Q4202" t="inlineStr">
        <is>
          <t>NGED</t>
        </is>
      </c>
      <c r="R4202" t="b">
        <v>0</v>
      </c>
    </row>
    <row r="4203">
      <c r="A4203" t="inlineStr">
        <is>
          <t>27 Apr 2026 / Keil Cheung</t>
        </is>
      </c>
      <c r="B4203" t="inlineStr">
        <is>
          <t>Infrastructure &amp; Utilities</t>
        </is>
      </c>
      <c r="C4203" t="inlineStr">
        <is>
          <t>NGED</t>
        </is>
      </c>
      <c r="D4203" t="inlineStr">
        <is>
          <t>GJ71KHV , Car - Electric , Tesla , Model 3 Long Range AWD</t>
        </is>
      </c>
      <c r="E4203" t="inlineStr">
        <is>
          <t>GJ71KHV , Car - Electric , Tesla , Model 3 Long Range AWD</t>
        </is>
      </c>
      <c r="F4203" t="inlineStr">
        <is>
          <t>GJ71KHV , Car - Electric , Tesla , Model 3 Long Range AWD</t>
        </is>
      </c>
      <c r="G4203" t="inlineStr">
        <is>
          <t>Keil cheung</t>
        </is>
      </c>
      <c r="H4203" t="inlineStr">
        <is>
          <t>Car - Electric (GC Owned)</t>
        </is>
      </c>
      <c r="I4203" t="inlineStr">
        <is>
          <t>Daily/ Weekly Vehicle Inspection</t>
        </is>
      </c>
      <c r="J4203" t="inlineStr">
        <is>
          <t>N/A</t>
        </is>
      </c>
      <c r="K4203" t="inlineStr">
        <is>
          <t>Keil Cheung</t>
        </is>
      </c>
      <c r="L4203" t="inlineStr">
        <is>
          <t>27/04/2026 06:52</t>
        </is>
      </c>
      <c r="M4203" t="inlineStr">
        <is>
          <t>None</t>
        </is>
      </c>
      <c r="N4203" t="inlineStr">
        <is>
          <t>&lt;p&gt;&lt;/p&gt;</t>
        </is>
      </c>
      <c r="O4203" t="inlineStr"/>
      <c r="P4203" t="inlineStr">
        <is>
          <t>GJ71KHV , Car - Electric , Tesla , Model 3 Long Range AWD</t>
        </is>
      </c>
      <c r="Q4203" t="inlineStr">
        <is>
          <t>NGED</t>
        </is>
      </c>
      <c r="R4203" t="b">
        <v>0</v>
      </c>
    </row>
    <row r="4204">
      <c r="A4204" t="inlineStr">
        <is>
          <t>27 Apr 2026 / 7186 Eastwoodbury Tree Services Ltd 2</t>
        </is>
      </c>
      <c r="B4204" t="inlineStr">
        <is>
          <t>Infrastructure &amp; Utilities</t>
        </is>
      </c>
      <c r="C4204" t="inlineStr">
        <is>
          <t>UKPN</t>
        </is>
      </c>
      <c r="D4204" t="inlineStr">
        <is>
          <t>WF13 EKM , 4x4 , Land rover  , Defenders</t>
        </is>
      </c>
      <c r="E4204" t="inlineStr">
        <is>
          <t>WF13 EKM , 4x4 , Land rover  , Defenders</t>
        </is>
      </c>
      <c r="F4204" t="inlineStr">
        <is>
          <t>WF13 EKM , 4x4 , Land rover  , Defenders</t>
        </is>
      </c>
      <c r="G4204" t="inlineStr">
        <is>
          <t xml:space="preserve">Luke Williams </t>
        </is>
      </c>
      <c r="H4204" t="inlineStr">
        <is>
          <t>4x4</t>
        </is>
      </c>
      <c r="I4204" t="inlineStr">
        <is>
          <t>Daily/ Weekly Vehicle Inspection</t>
        </is>
      </c>
      <c r="J4204" t="inlineStr">
        <is>
          <t>N/A</t>
        </is>
      </c>
      <c r="K4204" t="inlineStr">
        <is>
          <t>7186 Eastwoodbury Tree Services Ltd 2</t>
        </is>
      </c>
      <c r="L4204" t="inlineStr">
        <is>
          <t>27/04/2026 07:52</t>
        </is>
      </c>
      <c r="M4204" t="inlineStr">
        <is>
          <t>None</t>
        </is>
      </c>
      <c r="N4204" t="inlineStr">
        <is>
          <t>&lt;p&gt;&lt;/p&gt;</t>
        </is>
      </c>
      <c r="O4204" t="inlineStr"/>
      <c r="P4204" t="inlineStr">
        <is>
          <t>WF13 EKM , 4x4 , Land rover  , Defenders</t>
        </is>
      </c>
      <c r="Q4204" t="inlineStr">
        <is>
          <t>UKPN</t>
        </is>
      </c>
      <c r="R4204" t="b">
        <v>0</v>
      </c>
    </row>
    <row r="4205">
      <c r="A4205" t="inlineStr">
        <is>
          <t>27 Apr 2026 / 7186 Eastwoodbury Tree Services Ltd 2</t>
        </is>
      </c>
      <c r="B4205" t="inlineStr">
        <is>
          <t>Infrastructure &amp; Utilities</t>
        </is>
      </c>
      <c r="C4205" t="inlineStr">
        <is>
          <t>UKPN</t>
        </is>
      </c>
      <c r="D4205" t="inlineStr">
        <is>
          <t>WF13 EKT , 4x4 , Land rover  , Defender</t>
        </is>
      </c>
      <c r="E4205" t="inlineStr">
        <is>
          <t>WF13 EKT , 4x4 , Land rover  , Defender</t>
        </is>
      </c>
      <c r="F4205" t="inlineStr">
        <is>
          <t>WF13 EKT , 4x4 , Land rover  , Defender</t>
        </is>
      </c>
      <c r="G4205" t="inlineStr">
        <is>
          <t xml:space="preserve">Dan Gilbert </t>
        </is>
      </c>
      <c r="H4205" t="inlineStr">
        <is>
          <t>4x4</t>
        </is>
      </c>
      <c r="I4205" t="inlineStr">
        <is>
          <t>Daily/ Weekly Vehicle Inspection</t>
        </is>
      </c>
      <c r="J4205" t="inlineStr">
        <is>
          <t>N/A</t>
        </is>
      </c>
      <c r="K4205" t="inlineStr">
        <is>
          <t>7186 Eastwoodbury Tree Services Ltd 2</t>
        </is>
      </c>
      <c r="L4205" t="inlineStr">
        <is>
          <t>27/04/2026 07:54</t>
        </is>
      </c>
      <c r="M4205" t="inlineStr">
        <is>
          <t>None</t>
        </is>
      </c>
      <c r="N4205" t="inlineStr">
        <is>
          <t>&lt;p&gt;&lt;/p&gt;</t>
        </is>
      </c>
      <c r="O4205" t="inlineStr"/>
      <c r="P4205" t="inlineStr">
        <is>
          <t>WF13 EKT , 4x4 , Land rover  , Defender</t>
        </is>
      </c>
      <c r="Q4205" t="inlineStr">
        <is>
          <t>UKPN</t>
        </is>
      </c>
      <c r="R4205" t="b">
        <v>0</v>
      </c>
    </row>
    <row r="4206">
      <c r="A4206" t="inlineStr">
        <is>
          <t>27 Apr 2026 / Mark Davies</t>
        </is>
      </c>
      <c r="B4206" t="inlineStr">
        <is>
          <t>Infrastructure &amp; Utilities</t>
        </is>
      </c>
      <c r="C4206" t="inlineStr">
        <is>
          <t>NGED</t>
        </is>
      </c>
      <c r="D4206" t="inlineStr">
        <is>
          <t>GJ20USE , Car - Electric , Tesla , Model 3 Long Range AWD</t>
        </is>
      </c>
      <c r="E4206" t="inlineStr">
        <is>
          <t>GJ20USE , Car - Electric , Tesla , Model 3 Long Range AWD</t>
        </is>
      </c>
      <c r="F4206" t="inlineStr">
        <is>
          <t>GJ20USE , Car - Electric , Tesla , Model 3 Long Range AWD</t>
        </is>
      </c>
      <c r="G4206" t="inlineStr">
        <is>
          <t xml:space="preserve">Mark Davies </t>
        </is>
      </c>
      <c r="H4206" t="inlineStr">
        <is>
          <t>Car - Electric (GC Owned)</t>
        </is>
      </c>
      <c r="I4206" t="inlineStr">
        <is>
          <t>Daily/ Weekly Vehicle Inspection</t>
        </is>
      </c>
      <c r="J4206" t="inlineStr">
        <is>
          <t>N/A</t>
        </is>
      </c>
      <c r="K4206" t="inlineStr">
        <is>
          <t>Mark Davies</t>
        </is>
      </c>
      <c r="L4206" t="inlineStr">
        <is>
          <t>27/04/2026 07:56</t>
        </is>
      </c>
      <c r="M4206" t="inlineStr">
        <is>
          <t>None</t>
        </is>
      </c>
      <c r="N4206" t="inlineStr">
        <is>
          <t>&lt;p&gt;&lt;/p&gt;</t>
        </is>
      </c>
      <c r="O4206" t="inlineStr"/>
      <c r="P4206" t="inlineStr">
        <is>
          <t>GJ20USE , Car - Electric , Tesla , Model 3 Long Range AWD</t>
        </is>
      </c>
      <c r="Q4206" t="inlineStr">
        <is>
          <t>NGED</t>
        </is>
      </c>
      <c r="R4206" t="b">
        <v>0</v>
      </c>
    </row>
    <row r="4207">
      <c r="A4207" t="inlineStr">
        <is>
          <t>27 Apr 2026 / 7806 Optimum Tree Services Ltd</t>
        </is>
      </c>
      <c r="B4207" t="inlineStr">
        <is>
          <t>Infrastructure &amp; Utilities</t>
        </is>
      </c>
      <c r="C4207" t="inlineStr">
        <is>
          <t>UKPN</t>
        </is>
      </c>
      <c r="D4207" t="inlineStr">
        <is>
          <t>SA9st6p0001283093 , Towed Chipper , Forst  , St6pHD</t>
        </is>
      </c>
      <c r="E4207" t="inlineStr">
        <is>
          <t>SA9st6p0001283093 , Towed Chipper , Forst  , St6pHD</t>
        </is>
      </c>
      <c r="F4207" t="inlineStr">
        <is>
          <t>SA9st6p0001283093 , Towed Chipper , Forst  , St6pHD</t>
        </is>
      </c>
      <c r="G4207" t="inlineStr">
        <is>
          <t xml:space="preserve">Abraham Davies </t>
        </is>
      </c>
      <c r="H4207" t="inlineStr">
        <is>
          <t>Towed Chipper</t>
        </is>
      </c>
      <c r="I4207" t="inlineStr">
        <is>
          <t>Daily/ Weekly Vehicle Inspection</t>
        </is>
      </c>
      <c r="J4207" t="inlineStr">
        <is>
          <t>N/A</t>
        </is>
      </c>
      <c r="K4207" t="inlineStr">
        <is>
          <t>7806 Optimum Tree Services Ltd</t>
        </is>
      </c>
      <c r="L4207" t="inlineStr">
        <is>
          <t>27/04/2026 07:57</t>
        </is>
      </c>
      <c r="M4207" t="inlineStr">
        <is>
          <t>None</t>
        </is>
      </c>
      <c r="N4207" t="inlineStr">
        <is>
          <t>&lt;p&gt;&lt;/p&gt;</t>
        </is>
      </c>
      <c r="O4207" t="inlineStr"/>
      <c r="P4207" t="inlineStr">
        <is>
          <t>SA9st6p0001283093 , Towed Chipper , Forst  , St6pHD</t>
        </is>
      </c>
      <c r="Q4207" t="inlineStr">
        <is>
          <t>UKPN</t>
        </is>
      </c>
      <c r="R4207" t="b">
        <v>0</v>
      </c>
    </row>
    <row r="4208">
      <c r="A4208" t="inlineStr">
        <is>
          <t>27 Apr 2026 / 7951 Austin Tree Care LTD</t>
        </is>
      </c>
      <c r="B4208" t="inlineStr">
        <is>
          <t>Infrastructure &amp; Utilities</t>
        </is>
      </c>
      <c r="C4208" t="inlineStr">
        <is>
          <t>UKPN</t>
        </is>
      </c>
      <c r="D4208" t="inlineStr">
        <is>
          <t>WG64HTT , 4x4 , Land Rover , Defender 110</t>
        </is>
      </c>
      <c r="E4208" t="inlineStr">
        <is>
          <t>WG64HTT , 4x4 , Land Rover , Defender 110</t>
        </is>
      </c>
      <c r="F4208" t="inlineStr">
        <is>
          <t>WG64HTT , 4x4 , Land Rover , Defender 110</t>
        </is>
      </c>
      <c r="G4208" t="inlineStr">
        <is>
          <t xml:space="preserve">Jack Austin </t>
        </is>
      </c>
      <c r="H4208" t="inlineStr">
        <is>
          <t>4x4</t>
        </is>
      </c>
      <c r="I4208" t="inlineStr">
        <is>
          <t>Daily/ Weekly Vehicle Inspection</t>
        </is>
      </c>
      <c r="J4208" t="inlineStr">
        <is>
          <t>N/A</t>
        </is>
      </c>
      <c r="K4208" t="inlineStr">
        <is>
          <t>7951 Austin Tree Care LTD</t>
        </is>
      </c>
      <c r="L4208" t="inlineStr">
        <is>
          <t>27/04/2026 07:58</t>
        </is>
      </c>
      <c r="M4208" t="inlineStr">
        <is>
          <t>None</t>
        </is>
      </c>
      <c r="N4208" t="inlineStr">
        <is>
          <t>&lt;p&gt;&lt;/p&gt;</t>
        </is>
      </c>
      <c r="O4208" t="inlineStr"/>
      <c r="P4208" t="inlineStr">
        <is>
          <t>WG64HTT , 4x4 , Land Rover , Defender 110</t>
        </is>
      </c>
      <c r="Q4208" t="inlineStr">
        <is>
          <t>UKPN</t>
        </is>
      </c>
      <c r="R4208" t="b">
        <v>0</v>
      </c>
    </row>
    <row r="4209">
      <c r="A4209" t="inlineStr">
        <is>
          <t>27 Apr 2026 / 7951 Austin Tree Care LTD</t>
        </is>
      </c>
      <c r="B4209" t="inlineStr">
        <is>
          <t>Infrastructure &amp; Utilities</t>
        </is>
      </c>
      <c r="C4209" t="inlineStr">
        <is>
          <t>UKPN</t>
        </is>
      </c>
      <c r="D4209" t="inlineStr">
        <is>
          <t>SA9ST6P0001283612 , Towed Chipper , Forst , ST6p</t>
        </is>
      </c>
      <c r="E4209" t="inlineStr">
        <is>
          <t>SA9ST6P0001283612 , Towed Chipper , Forst , ST6p</t>
        </is>
      </c>
      <c r="F4209" t="inlineStr">
        <is>
          <t>SA9ST6P0001283612 , Towed Chipper , Forst , ST6p</t>
        </is>
      </c>
      <c r="G4209" t="inlineStr">
        <is>
          <t xml:space="preserve">Jack Austin </t>
        </is>
      </c>
      <c r="H4209" t="inlineStr">
        <is>
          <t>Towed Chipper</t>
        </is>
      </c>
      <c r="I4209" t="inlineStr">
        <is>
          <t>Daily/ Weekly Vehicle Inspection</t>
        </is>
      </c>
      <c r="J4209" t="inlineStr">
        <is>
          <t>N/A</t>
        </is>
      </c>
      <c r="K4209" t="inlineStr">
        <is>
          <t>7951 Austin Tree Care LTD</t>
        </is>
      </c>
      <c r="L4209" t="inlineStr">
        <is>
          <t>27/04/2026 07:59</t>
        </is>
      </c>
      <c r="M4209" t="inlineStr">
        <is>
          <t>None</t>
        </is>
      </c>
      <c r="N4209" t="inlineStr">
        <is>
          <t>&lt;p&gt;&lt;/p&gt;</t>
        </is>
      </c>
      <c r="O4209" t="inlineStr"/>
      <c r="P4209" t="inlineStr">
        <is>
          <t>SA9ST6P0001283612 , Towed Chipper , Forst , ST6p</t>
        </is>
      </c>
      <c r="Q4209" t="inlineStr">
        <is>
          <t>UKPN</t>
        </is>
      </c>
      <c r="R4209" t="b">
        <v>0</v>
      </c>
    </row>
    <row r="4210">
      <c r="A4210" t="inlineStr">
        <is>
          <t>27 Apr 2026 / 7806 Optimum Tree Services Ltd</t>
        </is>
      </c>
      <c r="B4210" t="inlineStr">
        <is>
          <t>Infrastructure &amp; Utilities</t>
        </is>
      </c>
      <c r="C4210" t="inlineStr">
        <is>
          <t>UKPN</t>
        </is>
      </c>
      <c r="D4210" t="inlineStr">
        <is>
          <t>WD14EVB , MEWP , Land Rover , Defender</t>
        </is>
      </c>
      <c r="E4210" t="inlineStr">
        <is>
          <t>WD14EVB , MEWP , Land Rover , Defender</t>
        </is>
      </c>
      <c r="F4210" t="inlineStr">
        <is>
          <t>WD14EVB , MEWP , Land Rover , Defender</t>
        </is>
      </c>
      <c r="G4210" t="inlineStr">
        <is>
          <t xml:space="preserve">Abraham Davies </t>
        </is>
      </c>
      <c r="H4210" t="inlineStr">
        <is>
          <t>4x4</t>
        </is>
      </c>
      <c r="I4210" t="inlineStr">
        <is>
          <t>Daily/ Weekly Vehicle Inspection</t>
        </is>
      </c>
      <c r="J4210" t="inlineStr">
        <is>
          <t>N/A</t>
        </is>
      </c>
      <c r="K4210" t="inlineStr">
        <is>
          <t>7806 Optimum Tree Services Ltd</t>
        </is>
      </c>
      <c r="L4210" t="inlineStr">
        <is>
          <t>27/04/2026 07:59</t>
        </is>
      </c>
      <c r="M4210" t="inlineStr">
        <is>
          <t>None</t>
        </is>
      </c>
      <c r="N4210" t="inlineStr">
        <is>
          <t>&lt;p&gt;&lt;/p&gt;</t>
        </is>
      </c>
      <c r="O4210" t="inlineStr"/>
      <c r="P4210" t="inlineStr">
        <is>
          <t>WD14EVB , MEWP , Land Rover , Defender</t>
        </is>
      </c>
      <c r="Q4210" t="inlineStr">
        <is>
          <t>UKPN</t>
        </is>
      </c>
      <c r="R4210" t="b">
        <v>0</v>
      </c>
    </row>
    <row r="4211">
      <c r="A4211" t="inlineStr">
        <is>
          <t>27 Apr 2026 / 7995 Green Net Eco Ltd 2</t>
        </is>
      </c>
      <c r="B4211" t="inlineStr">
        <is>
          <t>Infrastructure &amp; Utilities</t>
        </is>
      </c>
      <c r="C4211" t="inlineStr">
        <is>
          <t>UKPN</t>
        </is>
      </c>
      <c r="D4211" t="inlineStr">
        <is>
          <t>SA9ST800000283944 , Towed Chipper , Forst , ST8D - Towed</t>
        </is>
      </c>
      <c r="E4211" t="inlineStr">
        <is>
          <t>SA9ST800000283944 , Towed Chipper , Forst , ST8D - Towed</t>
        </is>
      </c>
      <c r="F4211" t="inlineStr">
        <is>
          <t>SA9ST800000283944 , Towed Chipper , Forst , ST8D - Towed</t>
        </is>
      </c>
      <c r="G4211" t="inlineStr">
        <is>
          <t xml:space="preserve">Thomas Playford </t>
        </is>
      </c>
      <c r="H4211" t="inlineStr">
        <is>
          <t>Towed Chipper</t>
        </is>
      </c>
      <c r="I4211" t="inlineStr">
        <is>
          <t>Daily/ Weekly Vehicle Inspection</t>
        </is>
      </c>
      <c r="J4211" t="inlineStr">
        <is>
          <t>N/A</t>
        </is>
      </c>
      <c r="K4211" t="inlineStr">
        <is>
          <t>7995 Green Net Eco Ltd 2</t>
        </is>
      </c>
      <c r="L4211" t="inlineStr">
        <is>
          <t>27/04/2026 08:00</t>
        </is>
      </c>
      <c r="M4211" t="inlineStr">
        <is>
          <t>None</t>
        </is>
      </c>
      <c r="N4211" t="inlineStr">
        <is>
          <t>&lt;p&gt;&lt;/p&gt;</t>
        </is>
      </c>
      <c r="O4211" t="inlineStr"/>
      <c r="P4211" t="inlineStr">
        <is>
          <t>SA9ST800000283944 , Towed Chipper , Forst , ST8D - Towed</t>
        </is>
      </c>
      <c r="Q4211" t="inlineStr">
        <is>
          <t>UKPN</t>
        </is>
      </c>
      <c r="R4211" t="b">
        <v>0</v>
      </c>
    </row>
    <row r="4212">
      <c r="A4212" t="inlineStr">
        <is>
          <t>27 Apr 2026 / 7995 Green Net Eco Ltd 2</t>
        </is>
      </c>
      <c r="B4212" t="inlineStr">
        <is>
          <t>Infrastructure &amp; Utilities</t>
        </is>
      </c>
      <c r="C4212" t="inlineStr">
        <is>
          <t>UKPN</t>
        </is>
      </c>
      <c r="D4212" t="inlineStr">
        <is>
          <t>LK15KRZ , 4x4 , Landrover , Defender</t>
        </is>
      </c>
      <c r="E4212" t="inlineStr">
        <is>
          <t>LK15KRZ , 4x4 , Landrover , Defender</t>
        </is>
      </c>
      <c r="F4212" t="inlineStr">
        <is>
          <t>LK15KRZ , 4x4 , Landrover , Defender</t>
        </is>
      </c>
      <c r="G4212" t="inlineStr">
        <is>
          <t>Thomas Playford</t>
        </is>
      </c>
      <c r="H4212" t="inlineStr">
        <is>
          <t>4x4</t>
        </is>
      </c>
      <c r="I4212" t="inlineStr">
        <is>
          <t>Daily/ Weekly Vehicle Inspection</t>
        </is>
      </c>
      <c r="J4212" t="inlineStr">
        <is>
          <t>N/A</t>
        </is>
      </c>
      <c r="K4212" t="inlineStr">
        <is>
          <t>7995 Green Net Eco Ltd 2</t>
        </is>
      </c>
      <c r="L4212" t="inlineStr">
        <is>
          <t>27/04/2026 08:01</t>
        </is>
      </c>
      <c r="M4212" t="inlineStr">
        <is>
          <t>None</t>
        </is>
      </c>
      <c r="N4212" t="inlineStr">
        <is>
          <t>&lt;p&gt;&lt;/p&gt;</t>
        </is>
      </c>
      <c r="O4212" t="inlineStr"/>
      <c r="P4212" t="inlineStr">
        <is>
          <t>LK15KRZ , 4x4 , Landrover , Defender</t>
        </is>
      </c>
      <c r="Q4212" t="inlineStr">
        <is>
          <t>UKPN</t>
        </is>
      </c>
      <c r="R4212" t="b">
        <v>0</v>
      </c>
    </row>
    <row r="4213">
      <c r="A4213" t="inlineStr">
        <is>
          <t>27 Apr 2026 / 7996 M G Tree Surgery Ltd 1</t>
        </is>
      </c>
      <c r="B4213" t="inlineStr">
        <is>
          <t>Infrastructure &amp; Utilities</t>
        </is>
      </c>
      <c r="C4213" t="inlineStr">
        <is>
          <t>UKPN</t>
        </is>
      </c>
      <c r="D4213" t="inlineStr"/>
      <c r="E4213" t="inlineStr"/>
      <c r="F4213" t="inlineStr"/>
      <c r="G4213" t="inlineStr">
        <is>
          <t>Anthony Gale</t>
        </is>
      </c>
      <c r="H4213" t="inlineStr">
        <is>
          <t>Towed Chipper</t>
        </is>
      </c>
      <c r="I4213" t="inlineStr">
        <is>
          <t>Daily/ Weekly Vehicle Inspection</t>
        </is>
      </c>
      <c r="J4213" t="inlineStr">
        <is>
          <t>N/A</t>
        </is>
      </c>
      <c r="K4213" t="inlineStr">
        <is>
          <t>7996 M G Tree Surgery Ltd 1</t>
        </is>
      </c>
      <c r="L4213" t="inlineStr">
        <is>
          <t>27/04/2026 08:03</t>
        </is>
      </c>
      <c r="M4213" t="inlineStr">
        <is>
          <t>None</t>
        </is>
      </c>
      <c r="N4213" t="inlineStr">
        <is>
          <t>&lt;p&gt;&lt;/p&gt;</t>
        </is>
      </c>
      <c r="O4213" t="inlineStr"/>
      <c r="P4213" t="inlineStr"/>
      <c r="Q4213" t="inlineStr">
        <is>
          <t>UKPN</t>
        </is>
      </c>
      <c r="R4213" t="b">
        <v>0</v>
      </c>
    </row>
    <row r="4214">
      <c r="A4214" t="inlineStr">
        <is>
          <t>27 Apr 2026 / 7889 Tree Tech Suffolk Ltd</t>
        </is>
      </c>
      <c r="B4214" t="inlineStr">
        <is>
          <t>Utilities &amp; Inland Waterways</t>
        </is>
      </c>
      <c r="C4214" t="inlineStr">
        <is>
          <t>UKPN</t>
        </is>
      </c>
      <c r="D4214" t="inlineStr">
        <is>
          <t>Tipper - Nissan - Navara - NS02TTS</t>
        </is>
      </c>
      <c r="E4214" t="inlineStr">
        <is>
          <t>Tipper - Nissan - Navara - NS02TTS</t>
        </is>
      </c>
      <c r="F4214" t="inlineStr">
        <is>
          <t>Tipper - Nissan - Navara - NS02TTS</t>
        </is>
      </c>
      <c r="G4214" t="inlineStr">
        <is>
          <t>Danny Appleby</t>
        </is>
      </c>
      <c r="H4214" t="inlineStr">
        <is>
          <t>Tipper</t>
        </is>
      </c>
      <c r="I4214" t="inlineStr">
        <is>
          <t>Daily/ Weekly Vehicle Inspection</t>
        </is>
      </c>
      <c r="J4214" t="inlineStr">
        <is>
          <t>N/A</t>
        </is>
      </c>
      <c r="K4214" t="inlineStr">
        <is>
          <t>7889 Tree Tech Suffolk Ltd</t>
        </is>
      </c>
      <c r="L4214" t="inlineStr">
        <is>
          <t>27/04/2026 08:04</t>
        </is>
      </c>
      <c r="M4214" t="inlineStr">
        <is>
          <t>None</t>
        </is>
      </c>
      <c r="N4214" t="inlineStr">
        <is>
          <t>&lt;p&gt;&lt;/p&gt;</t>
        </is>
      </c>
      <c r="O4214" t="inlineStr"/>
      <c r="P4214" t="inlineStr">
        <is>
          <t>Tipper - Nissan - Navara - NS02TTS</t>
        </is>
      </c>
      <c r="Q4214" t="inlineStr">
        <is>
          <t>UKPN</t>
        </is>
      </c>
      <c r="R4214" t="b">
        <v>0</v>
      </c>
    </row>
    <row r="4215">
      <c r="A4215" t="inlineStr">
        <is>
          <t>27 Apr 2026 / 7996 M G Tree Surgery Ltd 1</t>
        </is>
      </c>
      <c r="B4215" t="inlineStr">
        <is>
          <t>Infrastructure &amp; Utilities</t>
        </is>
      </c>
      <c r="C4215" t="inlineStr">
        <is>
          <t>UKPN</t>
        </is>
      </c>
      <c r="D4215" t="inlineStr">
        <is>
          <t>KX20 BCE , Tipper , Isuzu , D-Max</t>
        </is>
      </c>
      <c r="E4215" t="inlineStr">
        <is>
          <t>KX20 BCE , Tipper , Isuzu , D-Max</t>
        </is>
      </c>
      <c r="F4215" t="inlineStr">
        <is>
          <t>KX20 BCE , Tipper , Isuzu , D-Max</t>
        </is>
      </c>
      <c r="G4215" t="inlineStr">
        <is>
          <t>Anthony Gale</t>
        </is>
      </c>
      <c r="H4215" t="inlineStr">
        <is>
          <t>Pickup Truck</t>
        </is>
      </c>
      <c r="I4215" t="inlineStr">
        <is>
          <t>Daily/ Weekly Vehicle Inspection</t>
        </is>
      </c>
      <c r="J4215" t="inlineStr">
        <is>
          <t>N/A</t>
        </is>
      </c>
      <c r="K4215" t="inlineStr">
        <is>
          <t>7996 M G Tree Surgery Ltd 1</t>
        </is>
      </c>
      <c r="L4215" t="inlineStr">
        <is>
          <t>27/04/2026 08:04</t>
        </is>
      </c>
      <c r="M4215" t="inlineStr">
        <is>
          <t>None</t>
        </is>
      </c>
      <c r="N4215" t="inlineStr">
        <is>
          <t>&lt;p&gt;&lt;/p&gt;</t>
        </is>
      </c>
      <c r="O4215" t="inlineStr"/>
      <c r="P4215" t="inlineStr">
        <is>
          <t>KX20 BCE , Tipper , Isuzu , D-Max</t>
        </is>
      </c>
      <c r="Q4215" t="inlineStr">
        <is>
          <t>UKPN</t>
        </is>
      </c>
      <c r="R4215" t="b">
        <v>0</v>
      </c>
    </row>
    <row r="4216">
      <c r="A4216" t="inlineStr">
        <is>
          <t>27 Apr 2026 / 6617 Ashdown Tree Limited 1</t>
        </is>
      </c>
      <c r="B4216" t="inlineStr">
        <is>
          <t>Infrastructure &amp; Utilities</t>
        </is>
      </c>
      <c r="C4216" t="inlineStr">
        <is>
          <t>UKPN</t>
        </is>
      </c>
      <c r="D4216" t="inlineStr">
        <is>
          <t>WG63OJS , 4x4 , Land rover  , defender</t>
        </is>
      </c>
      <c r="E4216" t="inlineStr">
        <is>
          <t>WG63OJS , 4x4 , Land rover  , defender</t>
        </is>
      </c>
      <c r="F4216" t="inlineStr">
        <is>
          <t>WG63OJS , 4x4 , Land rover  , defender</t>
        </is>
      </c>
      <c r="G4216" t="inlineStr">
        <is>
          <t>Dan</t>
        </is>
      </c>
      <c r="H4216" t="inlineStr">
        <is>
          <t>4x4</t>
        </is>
      </c>
      <c r="I4216" t="inlineStr">
        <is>
          <t>Daily/ Weekly Vehicle Inspection</t>
        </is>
      </c>
      <c r="J4216" t="inlineStr">
        <is>
          <t>N/A</t>
        </is>
      </c>
      <c r="K4216" t="inlineStr">
        <is>
          <t>6617 Ashdown Tree Limited - Team 2</t>
        </is>
      </c>
      <c r="L4216" t="inlineStr">
        <is>
          <t>27/04/2026 08:06</t>
        </is>
      </c>
      <c r="M4216" t="inlineStr">
        <is>
          <t>None</t>
        </is>
      </c>
      <c r="N4216" t="inlineStr">
        <is>
          <t>&lt;p&gt;&lt;/p&gt;</t>
        </is>
      </c>
      <c r="O4216" t="inlineStr"/>
      <c r="P4216" t="inlineStr">
        <is>
          <t>WG63OJS , 4x4 , Land rover  , defender</t>
        </is>
      </c>
      <c r="Q4216" t="inlineStr">
        <is>
          <t>UKPN</t>
        </is>
      </c>
      <c r="R4216" t="b">
        <v>0</v>
      </c>
    </row>
    <row r="4217">
      <c r="A4217" t="inlineStr">
        <is>
          <t>27 Apr 2026 / Christopher Simeoli</t>
        </is>
      </c>
      <c r="B4217" t="inlineStr">
        <is>
          <t>Infrastructure &amp; Utilities</t>
        </is>
      </c>
      <c r="C4217" t="inlineStr">
        <is>
          <t>NGED</t>
        </is>
      </c>
      <c r="D4217" t="inlineStr">
        <is>
          <t>EO73KVB , Car - Electric , Kia , Niro</t>
        </is>
      </c>
      <c r="E4217" t="inlineStr">
        <is>
          <t>EO73KVB , Car - Electric , Kia , Niro</t>
        </is>
      </c>
      <c r="F4217" t="inlineStr">
        <is>
          <t>EO73KVB , Car - Electric , Kia , Niro</t>
        </is>
      </c>
      <c r="G4217" t="inlineStr">
        <is>
          <t>Chris Simeoli</t>
        </is>
      </c>
      <c r="H4217" t="inlineStr">
        <is>
          <t>Car - Electric (GC Owned)</t>
        </is>
      </c>
      <c r="I4217" t="inlineStr">
        <is>
          <t>Daily/ Weekly Vehicle Inspection</t>
        </is>
      </c>
      <c r="J4217" t="inlineStr">
        <is>
          <t>N/A</t>
        </is>
      </c>
      <c r="K4217" t="inlineStr">
        <is>
          <t>Christopher Simeoli</t>
        </is>
      </c>
      <c r="L4217" t="inlineStr">
        <is>
          <t>27/04/2026 08:07</t>
        </is>
      </c>
      <c r="M4217" t="inlineStr">
        <is>
          <t>None</t>
        </is>
      </c>
      <c r="N4217" t="inlineStr">
        <is>
          <t>&lt;p&gt;&lt;/p&gt;</t>
        </is>
      </c>
      <c r="O4217" t="inlineStr"/>
      <c r="P4217" t="inlineStr">
        <is>
          <t>EO73KVB , Car - Electric , Kia , Niro</t>
        </is>
      </c>
      <c r="Q4217" t="inlineStr">
        <is>
          <t>NGED</t>
        </is>
      </c>
      <c r="R4217" t="b">
        <v>0</v>
      </c>
    </row>
    <row r="4218">
      <c r="A4218" t="inlineStr">
        <is>
          <t>27 Apr 2026 / James Heaton</t>
        </is>
      </c>
      <c r="B4218" t="inlineStr">
        <is>
          <t>Infrastructure &amp; Utilities</t>
        </is>
      </c>
      <c r="C4218" t="inlineStr">
        <is>
          <t>NGED</t>
        </is>
      </c>
      <c r="D4218" t="inlineStr">
        <is>
          <t>AJ23EKC , Car - Electric , Tesla , Model 3 Long Range AWD</t>
        </is>
      </c>
      <c r="E4218" t="inlineStr">
        <is>
          <t>AJ23EKC , Car - Electric , Tesla , Model 3 Long Range AWD</t>
        </is>
      </c>
      <c r="F4218" t="inlineStr">
        <is>
          <t>AJ23EKC , Car - Electric , Tesla , Model 3 Long Range AWD</t>
        </is>
      </c>
      <c r="G4218" t="inlineStr">
        <is>
          <t>James heaton</t>
        </is>
      </c>
      <c r="H4218" t="inlineStr">
        <is>
          <t>Car - Electric (GC Owned)</t>
        </is>
      </c>
      <c r="I4218" t="inlineStr">
        <is>
          <t>Daily/ Weekly Vehicle Inspection</t>
        </is>
      </c>
      <c r="J4218" t="inlineStr">
        <is>
          <t>N/A</t>
        </is>
      </c>
      <c r="K4218" t="inlineStr">
        <is>
          <t>James Heaton</t>
        </is>
      </c>
      <c r="L4218" t="inlineStr">
        <is>
          <t>27/04/2026 08:52</t>
        </is>
      </c>
      <c r="M4218" t="inlineStr">
        <is>
          <t>None</t>
        </is>
      </c>
      <c r="N4218" t="inlineStr">
        <is>
          <t>&lt;p&gt;&lt;/p&gt;</t>
        </is>
      </c>
      <c r="O4218" t="inlineStr"/>
      <c r="P4218" t="inlineStr">
        <is>
          <t>AJ23EKC , Car - Electric , Tesla , Model 3 Long Range AWD</t>
        </is>
      </c>
      <c r="Q4218" t="inlineStr">
        <is>
          <t>NGED</t>
        </is>
      </c>
      <c r="R4218" t="b">
        <v>0</v>
      </c>
    </row>
    <row r="4219">
      <c r="A4219" t="inlineStr">
        <is>
          <t>27 Apr 2026 / Stephanie Manton</t>
        </is>
      </c>
      <c r="B4219" t="inlineStr">
        <is>
          <t>Infrastructure &amp; Utilities</t>
        </is>
      </c>
      <c r="C4219" t="inlineStr">
        <is>
          <t>NGED</t>
        </is>
      </c>
      <c r="D4219" t="inlineStr">
        <is>
          <t>GN71XPX , Car - Electric , Tesla , Model 3 Long Range AWD</t>
        </is>
      </c>
      <c r="E4219" t="inlineStr">
        <is>
          <t>GN71XPX , Car - Electric , Tesla , Model 3 Long Range AWD</t>
        </is>
      </c>
      <c r="F4219" t="inlineStr">
        <is>
          <t>GN71XPX , Car - Electric , Tesla , Model 3 Long Range AWD</t>
        </is>
      </c>
      <c r="G4219" t="inlineStr">
        <is>
          <t xml:space="preserve">Steph Manton </t>
        </is>
      </c>
      <c r="H4219" t="inlineStr">
        <is>
          <t>Car - Electric (GC Owned)</t>
        </is>
      </c>
      <c r="I4219" t="inlineStr">
        <is>
          <t>Daily/ Weekly Vehicle Inspection</t>
        </is>
      </c>
      <c r="J4219" t="inlineStr">
        <is>
          <t>N/A</t>
        </is>
      </c>
      <c r="K4219" t="inlineStr">
        <is>
          <t>Stephanie Manton</t>
        </is>
      </c>
      <c r="L4219" t="inlineStr">
        <is>
          <t>27/04/2026 08:56</t>
        </is>
      </c>
      <c r="M4219" t="inlineStr">
        <is>
          <t>None</t>
        </is>
      </c>
      <c r="N4219" t="inlineStr">
        <is>
          <t>&lt;p&gt;&lt;/p&gt;</t>
        </is>
      </c>
      <c r="O4219" t="inlineStr"/>
      <c r="P4219" t="inlineStr">
        <is>
          <t>GN71XPX , Car - Electric , Tesla , Model 3 Long Range AWD</t>
        </is>
      </c>
      <c r="Q4219" t="inlineStr">
        <is>
          <t>NGED</t>
        </is>
      </c>
      <c r="R4219" t="b">
        <v>0</v>
      </c>
    </row>
    <row r="4220">
      <c r="A4220" t="inlineStr">
        <is>
          <t>27 Apr 2026 / 7996 M G Tree Surgery Ltd</t>
        </is>
      </c>
      <c r="B4220" t="inlineStr">
        <is>
          <t>Infrastructure &amp; Utilities</t>
        </is>
      </c>
      <c r="C4220" t="inlineStr">
        <is>
          <t>UKPN</t>
        </is>
      </c>
      <c r="D4220" t="inlineStr">
        <is>
          <t>GU13 WNL , MEWP , Land Rover , Defender 130</t>
        </is>
      </c>
      <c r="E4220" t="inlineStr">
        <is>
          <t>GU13 WNL , MEWP , Land Rover , Defender 130</t>
        </is>
      </c>
      <c r="F4220" t="inlineStr">
        <is>
          <t>GU13 WNL , MEWP , Land Rover , Defender 130</t>
        </is>
      </c>
      <c r="G4220" t="inlineStr">
        <is>
          <t>Max</t>
        </is>
      </c>
      <c r="H4220" t="inlineStr">
        <is>
          <t>4x4</t>
        </is>
      </c>
      <c r="I4220" t="inlineStr">
        <is>
          <t>Daily/ Weekly Vehicle Inspection</t>
        </is>
      </c>
      <c r="J4220" t="inlineStr">
        <is>
          <t>N/A</t>
        </is>
      </c>
      <c r="K4220" t="inlineStr">
        <is>
          <t>7996 M G Tree Surgery Ltd</t>
        </is>
      </c>
      <c r="L4220" t="inlineStr">
        <is>
          <t>27/04/2026 08:57</t>
        </is>
      </c>
      <c r="M4220" t="inlineStr">
        <is>
          <t>None</t>
        </is>
      </c>
      <c r="N4220" t="inlineStr">
        <is>
          <t>&lt;p&gt;&lt;/p&gt;</t>
        </is>
      </c>
      <c r="O4220" t="inlineStr"/>
      <c r="P4220" t="inlineStr">
        <is>
          <t>GU13 WNL , MEWP , Land Rover , Defender 130</t>
        </is>
      </c>
      <c r="Q4220" t="inlineStr">
        <is>
          <t>UKPN</t>
        </is>
      </c>
      <c r="R4220" t="b">
        <v>0</v>
      </c>
    </row>
    <row r="4221">
      <c r="A4221" t="inlineStr">
        <is>
          <t>27 Apr 2026 / Lyndon Taylor</t>
        </is>
      </c>
      <c r="B4221" t="inlineStr">
        <is>
          <t>Infrastructure &amp; Utilities</t>
        </is>
      </c>
      <c r="C4221" t="inlineStr">
        <is>
          <t>SSE</t>
        </is>
      </c>
      <c r="D4221" t="inlineStr">
        <is>
          <t>YW73CWV , Car - Electric , Kia , E-Niro</t>
        </is>
      </c>
      <c r="E4221" t="inlineStr">
        <is>
          <t>YW73CWV , Car - Electric , Kia , E-Niro</t>
        </is>
      </c>
      <c r="F4221" t="inlineStr">
        <is>
          <t>YW73CWV , Car - Electric , Kia , E-Niro</t>
        </is>
      </c>
      <c r="G4221" t="inlineStr">
        <is>
          <t xml:space="preserve">Lyndon Taylor </t>
        </is>
      </c>
      <c r="H4221" t="inlineStr">
        <is>
          <t>Car - Electric (Greyfleet)</t>
        </is>
      </c>
      <c r="I4221" t="inlineStr">
        <is>
          <t>Daily/ Weekly Vehicle Inspection</t>
        </is>
      </c>
      <c r="J4221" t="inlineStr">
        <is>
          <t>N/A</t>
        </is>
      </c>
      <c r="K4221" t="inlineStr">
        <is>
          <t>Lyndon Taylor</t>
        </is>
      </c>
      <c r="L4221" t="inlineStr">
        <is>
          <t>27/04/2026 08:58</t>
        </is>
      </c>
      <c r="M4221" t="inlineStr">
        <is>
          <t>None</t>
        </is>
      </c>
      <c r="N4221" t="inlineStr">
        <is>
          <t>&lt;p&gt;&lt;/p&gt;</t>
        </is>
      </c>
      <c r="O4221" t="inlineStr"/>
      <c r="P4221" t="inlineStr">
        <is>
          <t>YW73CWV , Car - Electric , Kia , E-Niro</t>
        </is>
      </c>
      <c r="Q4221" t="inlineStr">
        <is>
          <t>SSE</t>
        </is>
      </c>
      <c r="R4221" t="b">
        <v>0</v>
      </c>
    </row>
    <row r="4222">
      <c r="A4222" t="inlineStr">
        <is>
          <t>27 Apr 2026 / Dylan Bowler</t>
        </is>
      </c>
      <c r="B4222" t="inlineStr">
        <is>
          <t>Infrastructure &amp; Utilities</t>
        </is>
      </c>
      <c r="C4222" t="inlineStr">
        <is>
          <t>NGED</t>
        </is>
      </c>
      <c r="D4222" t="inlineStr">
        <is>
          <t>YX24TXG , Car - Electric , Kia , Niro</t>
        </is>
      </c>
      <c r="E4222" t="inlineStr">
        <is>
          <t>YX24TXG , Car - Electric , Kia , Niro</t>
        </is>
      </c>
      <c r="F4222" t="inlineStr">
        <is>
          <t>YX24TXG , Car - Electric , Kia , Niro</t>
        </is>
      </c>
      <c r="G4222" t="inlineStr">
        <is>
          <t>Dylan Bowler</t>
        </is>
      </c>
      <c r="H4222" t="inlineStr">
        <is>
          <t>Car - Electric (GC Owned)</t>
        </is>
      </c>
      <c r="I4222" t="inlineStr">
        <is>
          <t>Daily/ Weekly Vehicle Inspection</t>
        </is>
      </c>
      <c r="J4222" t="inlineStr">
        <is>
          <t>N/A</t>
        </is>
      </c>
      <c r="K4222" t="inlineStr">
        <is>
          <t>Dylan Bowler</t>
        </is>
      </c>
      <c r="L4222" t="inlineStr">
        <is>
          <t>27/04/2026 08:59</t>
        </is>
      </c>
      <c r="M4222" t="inlineStr">
        <is>
          <t>None</t>
        </is>
      </c>
      <c r="N4222" t="inlineStr">
        <is>
          <t>&lt;p&gt;&lt;/p&gt;</t>
        </is>
      </c>
      <c r="O4222" t="inlineStr"/>
      <c r="P4222" t="inlineStr">
        <is>
          <t>YX24TXG , Car - Electric , Kia , Niro</t>
        </is>
      </c>
      <c r="Q4222" t="inlineStr">
        <is>
          <t>NGED</t>
        </is>
      </c>
      <c r="R4222" t="b">
        <v>0</v>
      </c>
    </row>
    <row r="4223">
      <c r="A4223" t="inlineStr">
        <is>
          <t>27 Apr 2026 / Ashley Taylor</t>
        </is>
      </c>
      <c r="B4223" t="inlineStr">
        <is>
          <t>Infrastructure &amp; Utilities</t>
        </is>
      </c>
      <c r="C4223" t="inlineStr">
        <is>
          <t>SSE</t>
        </is>
      </c>
      <c r="D4223" t="inlineStr">
        <is>
          <t>AF22XLX , Car - Electric , Tesla , Model 3 Long Range AWD</t>
        </is>
      </c>
      <c r="E4223" t="inlineStr">
        <is>
          <t>AF22XLX , Car - Electric , Tesla , Model 3 Long Range AWD</t>
        </is>
      </c>
      <c r="F4223" t="inlineStr">
        <is>
          <t>AF22XLX , Car - Electric , Tesla , Model 3 Long Range AWD</t>
        </is>
      </c>
      <c r="G4223" t="inlineStr">
        <is>
          <t>Ashley Taylor</t>
        </is>
      </c>
      <c r="H4223" t="inlineStr">
        <is>
          <t>Car - Electric (GC Owned)</t>
        </is>
      </c>
      <c r="I4223" t="inlineStr">
        <is>
          <t>Daily/ Weekly Vehicle Inspection</t>
        </is>
      </c>
      <c r="J4223" t="inlineStr">
        <is>
          <t>N/A</t>
        </is>
      </c>
      <c r="K4223" t="inlineStr">
        <is>
          <t>Ashley Taylor</t>
        </is>
      </c>
      <c r="L4223" t="inlineStr">
        <is>
          <t>27/04/2026 09:00</t>
        </is>
      </c>
      <c r="M4223" t="inlineStr">
        <is>
          <t>None</t>
        </is>
      </c>
      <c r="N4223" t="inlineStr">
        <is>
          <t>&lt;p&gt;&lt;/p&gt;</t>
        </is>
      </c>
      <c r="O4223" t="inlineStr"/>
      <c r="P4223" t="inlineStr">
        <is>
          <t>AF22XLX , Car - Electric , Tesla , Model 3 Long Range AWD</t>
        </is>
      </c>
      <c r="Q4223" t="inlineStr">
        <is>
          <t>SSE</t>
        </is>
      </c>
      <c r="R4223" t="b">
        <v>0</v>
      </c>
    </row>
    <row r="4224">
      <c r="A4224" t="inlineStr">
        <is>
          <t>27 Apr 2026 / Jake Bolwell</t>
        </is>
      </c>
      <c r="B4224" t="inlineStr">
        <is>
          <t>Infrastructure &amp; Utilities</t>
        </is>
      </c>
      <c r="C4224" t="inlineStr">
        <is>
          <t>SSE</t>
        </is>
      </c>
      <c r="D4224" t="inlineStr">
        <is>
          <t>AK23YLP , Car - Electric , Tesla , Model Y Long Range</t>
        </is>
      </c>
      <c r="E4224" t="inlineStr">
        <is>
          <t>AK23YLP , Car - Electric , Tesla , Model Y Long Range</t>
        </is>
      </c>
      <c r="F4224" t="inlineStr">
        <is>
          <t>AK23YLP , Car - Electric , Tesla , Model Y Long Range</t>
        </is>
      </c>
      <c r="G4224" t="inlineStr">
        <is>
          <t>Jake Bolwell</t>
        </is>
      </c>
      <c r="H4224" t="inlineStr">
        <is>
          <t>Car - Electric (GC Owned)</t>
        </is>
      </c>
      <c r="I4224" t="inlineStr">
        <is>
          <t>Daily/ Weekly Vehicle Inspection</t>
        </is>
      </c>
      <c r="J4224" t="inlineStr">
        <is>
          <t>N/A</t>
        </is>
      </c>
      <c r="K4224" t="inlineStr">
        <is>
          <t>Jake Bolwell</t>
        </is>
      </c>
      <c r="L4224" t="inlineStr">
        <is>
          <t>27/04/2026 09:55</t>
        </is>
      </c>
      <c r="M4224" t="inlineStr">
        <is>
          <t>None</t>
        </is>
      </c>
      <c r="N4224" t="inlineStr">
        <is>
          <t>&lt;p&gt;&lt;/p&gt;</t>
        </is>
      </c>
      <c r="O4224" t="inlineStr"/>
      <c r="P4224" t="inlineStr">
        <is>
          <t>AK23YLP , Car - Electric , Tesla , Model Y Long Range</t>
        </is>
      </c>
      <c r="Q4224" t="inlineStr">
        <is>
          <t>SSE</t>
        </is>
      </c>
      <c r="R4224" t="b">
        <v>0</v>
      </c>
    </row>
    <row r="4225">
      <c r="A4225" t="inlineStr">
        <is>
          <t>27 Apr 2026 / Joe Lemar</t>
        </is>
      </c>
      <c r="B4225" t="inlineStr">
        <is>
          <t>Infrastructure &amp; Utilities</t>
        </is>
      </c>
      <c r="C4225" t="inlineStr">
        <is>
          <t>SSE</t>
        </is>
      </c>
      <c r="D4225" t="inlineStr">
        <is>
          <t>AK70TBV , Car - Electric , Tesla , Model 3 Long Range AWD</t>
        </is>
      </c>
      <c r="E4225" t="inlineStr">
        <is>
          <t>AK70TBV , Car - Electric , Tesla , Model 3 Long Range AWD</t>
        </is>
      </c>
      <c r="F4225" t="inlineStr">
        <is>
          <t>AK70TBV , Car - Electric , Tesla , Model 3 Long Range AWD</t>
        </is>
      </c>
      <c r="G4225" t="inlineStr">
        <is>
          <t xml:space="preserve">Joe lemar </t>
        </is>
      </c>
      <c r="H4225" t="inlineStr">
        <is>
          <t>Car - Electric (GC Owned)</t>
        </is>
      </c>
      <c r="I4225" t="inlineStr">
        <is>
          <t>Daily/ Weekly Vehicle Inspection</t>
        </is>
      </c>
      <c r="J4225" t="inlineStr">
        <is>
          <t>N/A</t>
        </is>
      </c>
      <c r="K4225" t="inlineStr">
        <is>
          <t>Joe Lemar</t>
        </is>
      </c>
      <c r="L4225" t="inlineStr">
        <is>
          <t>27/04/2026 09:58</t>
        </is>
      </c>
      <c r="M4225" t="inlineStr">
        <is>
          <t>None</t>
        </is>
      </c>
      <c r="N4225" t="inlineStr">
        <is>
          <t>&lt;p&gt;&lt;/p&gt;</t>
        </is>
      </c>
      <c r="O4225" t="inlineStr"/>
      <c r="P4225" t="inlineStr">
        <is>
          <t>AK70TBV , Car - Electric , Tesla , Model 3 Long Range AWD</t>
        </is>
      </c>
      <c r="Q4225" t="inlineStr">
        <is>
          <t>SSE</t>
        </is>
      </c>
      <c r="R4225" t="b">
        <v>0</v>
      </c>
    </row>
    <row r="4226">
      <c r="A4226" t="inlineStr">
        <is>
          <t>27 Apr 2026 / Alexander Damar</t>
        </is>
      </c>
      <c r="B4226" t="inlineStr">
        <is>
          <t>Infrastructure &amp; Utilities</t>
        </is>
      </c>
      <c r="C4226" t="inlineStr">
        <is>
          <t>UKPN</t>
        </is>
      </c>
      <c r="D4226" t="inlineStr"/>
      <c r="E4226" t="inlineStr"/>
      <c r="F4226" t="inlineStr"/>
      <c r="G4226" t="inlineStr">
        <is>
          <t>A damar</t>
        </is>
      </c>
      <c r="H4226" t="inlineStr">
        <is>
          <t>Car - Petrol</t>
        </is>
      </c>
      <c r="I4226" t="inlineStr">
        <is>
          <t>Daily/ Weekly Vehicle Inspection</t>
        </is>
      </c>
      <c r="J4226" t="inlineStr">
        <is>
          <t>N/A</t>
        </is>
      </c>
      <c r="K4226" t="inlineStr">
        <is>
          <t>Alexander Damar</t>
        </is>
      </c>
      <c r="L4226" t="inlineStr">
        <is>
          <t>27/04/2026 10:51</t>
        </is>
      </c>
      <c r="M4226" t="inlineStr">
        <is>
          <t>None</t>
        </is>
      </c>
      <c r="N4226" t="inlineStr">
        <is>
          <t>&lt;p&gt;&lt;/p&gt;</t>
        </is>
      </c>
      <c r="O4226" t="inlineStr"/>
      <c r="P4226" t="inlineStr"/>
      <c r="Q4226" t="inlineStr">
        <is>
          <t>UKPN</t>
        </is>
      </c>
      <c r="R4226" t="b">
        <v>0</v>
      </c>
    </row>
    <row r="4227">
      <c r="A4227" t="inlineStr">
        <is>
          <t>27 Apr 2026 / Mathew Dunn</t>
        </is>
      </c>
      <c r="B4227" t="inlineStr">
        <is>
          <t>Infrastructure &amp; Utilities</t>
        </is>
      </c>
      <c r="C4227" t="inlineStr">
        <is>
          <t>SSE</t>
        </is>
      </c>
      <c r="D4227" t="inlineStr">
        <is>
          <t>GN72XRU , Car - Electric , Tesla , Y series Long Range</t>
        </is>
      </c>
      <c r="E4227" t="inlineStr">
        <is>
          <t>GN72XRU , Car - Electric , Tesla , Y series Long Range</t>
        </is>
      </c>
      <c r="F4227" t="inlineStr">
        <is>
          <t>GN72XRU , Car - Electric , Tesla , Y series Long Range</t>
        </is>
      </c>
      <c r="G4227" t="inlineStr">
        <is>
          <t>Mathew dunn</t>
        </is>
      </c>
      <c r="H4227" t="inlineStr">
        <is>
          <t>Car - Electric (GC Owned)</t>
        </is>
      </c>
      <c r="I4227" t="inlineStr">
        <is>
          <t>Daily/ Weekly Vehicle Inspection</t>
        </is>
      </c>
      <c r="J4227" t="inlineStr">
        <is>
          <t>N/A</t>
        </is>
      </c>
      <c r="K4227" t="inlineStr">
        <is>
          <t>Mathew Dunn</t>
        </is>
      </c>
      <c r="L4227" t="inlineStr">
        <is>
          <t>27/04/2026 10:58</t>
        </is>
      </c>
      <c r="M4227" t="inlineStr">
        <is>
          <t>None</t>
        </is>
      </c>
      <c r="N4227" t="inlineStr">
        <is>
          <t>&lt;p&gt;&lt;/p&gt;</t>
        </is>
      </c>
      <c r="O4227" t="inlineStr"/>
      <c r="P4227" t="inlineStr">
        <is>
          <t>GN72XRU , Car - Electric , Tesla , Y series Long Range</t>
        </is>
      </c>
      <c r="Q4227" t="inlineStr">
        <is>
          <t>SSE</t>
        </is>
      </c>
      <c r="R4227" t="b">
        <v>0</v>
      </c>
    </row>
    <row r="4228">
      <c r="A4228" t="inlineStr">
        <is>
          <t>27 Apr 2026 / Gary England</t>
        </is>
      </c>
      <c r="B4228" t="inlineStr">
        <is>
          <t>Infrastructure &amp; Utilities</t>
        </is>
      </c>
      <c r="C4228" t="inlineStr">
        <is>
          <t>NGED</t>
        </is>
      </c>
      <c r="D4228" t="inlineStr">
        <is>
          <t>GJ71KAO , Car - Electric , Tesla , Model 3 Long Range AWD</t>
        </is>
      </c>
      <c r="E4228" t="inlineStr">
        <is>
          <t>GJ71KAO , Car - Electric , Tesla , Model 3 Long Range AWD</t>
        </is>
      </c>
      <c r="F4228" t="inlineStr">
        <is>
          <t>GJ71KAO , Car - Electric , Tesla , Model 3 Long Range AWD</t>
        </is>
      </c>
      <c r="G4228" t="inlineStr">
        <is>
          <t xml:space="preserve">Gary England </t>
        </is>
      </c>
      <c r="H4228" t="inlineStr">
        <is>
          <t>Car - Electric (GC Owned)</t>
        </is>
      </c>
      <c r="I4228" t="inlineStr">
        <is>
          <t>Daily/ Weekly Vehicle Inspection</t>
        </is>
      </c>
      <c r="J4228" t="inlineStr">
        <is>
          <t>N/A</t>
        </is>
      </c>
      <c r="K4228" t="inlineStr">
        <is>
          <t>Gary England</t>
        </is>
      </c>
      <c r="L4228" t="inlineStr">
        <is>
          <t>27/04/2026 11:50</t>
        </is>
      </c>
      <c r="M4228" t="inlineStr">
        <is>
          <t>None</t>
        </is>
      </c>
      <c r="N4228" t="inlineStr">
        <is>
          <t>&lt;p&gt;&lt;/p&gt;</t>
        </is>
      </c>
      <c r="O4228" t="inlineStr"/>
      <c r="P4228" t="inlineStr">
        <is>
          <t>GJ71KAO , Car - Electric , Tesla , Model 3 Long Range AWD</t>
        </is>
      </c>
      <c r="Q4228" t="inlineStr">
        <is>
          <t>NGED</t>
        </is>
      </c>
      <c r="R4228" t="b">
        <v>0</v>
      </c>
    </row>
    <row r="4229">
      <c r="A4229" t="inlineStr">
        <is>
          <t>17 Apr 2026 / Chas Dell</t>
        </is>
      </c>
      <c r="B4229" t="inlineStr">
        <is>
          <t>Infrastructure &amp; Utilities</t>
        </is>
      </c>
      <c r="C4229" t="inlineStr">
        <is>
          <t>UKPN</t>
        </is>
      </c>
      <c r="D4229" t="inlineStr">
        <is>
          <t>EK73UOH , Car - Electric , Kia , Niro</t>
        </is>
      </c>
      <c r="E4229" t="inlineStr">
        <is>
          <t>EK73UOH , Car - Electric , Kia , Niro</t>
        </is>
      </c>
      <c r="F4229" t="inlineStr">
        <is>
          <t>EK73UOH , Car - Electric , Kia , Niro</t>
        </is>
      </c>
      <c r="G4229" t="inlineStr">
        <is>
          <t>Chas dell</t>
        </is>
      </c>
      <c r="H4229" t="inlineStr">
        <is>
          <t>Car - Electric (GC Owned)</t>
        </is>
      </c>
      <c r="I4229" t="inlineStr">
        <is>
          <t>Daily/ Weekly Vehicle Inspection</t>
        </is>
      </c>
      <c r="J4229" t="inlineStr">
        <is>
          <t>N/A</t>
        </is>
      </c>
      <c r="K4229" t="inlineStr">
        <is>
          <t>Chas Dell</t>
        </is>
      </c>
      <c r="L4229" t="inlineStr">
        <is>
          <t>27/04/2026 12:52</t>
        </is>
      </c>
      <c r="M4229" t="inlineStr">
        <is>
          <t xml:space="preserve">Confirm that you have checked this vehicle as per the guidance document and the vehicle is safe and roadworthy: Fail
</t>
        </is>
      </c>
      <c r="N4229" t="inlineStr">
        <is>
          <t>&lt;p&gt;&lt;/p&gt;</t>
        </is>
      </c>
      <c r="O4229" t="inlineStr"/>
      <c r="P4229" t="inlineStr">
        <is>
          <t>EK73UOH , Car - Electric , Kia , Niro</t>
        </is>
      </c>
      <c r="Q4229" t="inlineStr">
        <is>
          <t>UKPN</t>
        </is>
      </c>
      <c r="R4229" t="b">
        <v>0</v>
      </c>
    </row>
    <row r="4230">
      <c r="A4230" t="inlineStr">
        <is>
          <t>17 Apr 2026 / Chas Dell</t>
        </is>
      </c>
      <c r="B4230" t="inlineStr">
        <is>
          <t>Infrastructure &amp; Utilities</t>
        </is>
      </c>
      <c r="C4230" t="inlineStr">
        <is>
          <t>UKPN</t>
        </is>
      </c>
      <c r="D4230" t="inlineStr"/>
      <c r="E4230" t="inlineStr"/>
      <c r="F4230" t="inlineStr"/>
      <c r="G4230" t="inlineStr"/>
      <c r="H4230" t="inlineStr"/>
      <c r="I4230" t="inlineStr"/>
      <c r="J4230" t="inlineStr">
        <is>
          <t>N/A</t>
        </is>
      </c>
      <c r="K4230" t="inlineStr">
        <is>
          <t>Chas Dell</t>
        </is>
      </c>
      <c r="L4230" t="inlineStr">
        <is>
          <t>27/04/2026 12:52</t>
        </is>
      </c>
      <c r="M4230" t="inlineStr">
        <is>
          <t>None</t>
        </is>
      </c>
      <c r="N4230" t="inlineStr">
        <is>
          <t>&lt;p&gt;&lt;/p&gt;</t>
        </is>
      </c>
      <c r="O4230" t="inlineStr"/>
      <c r="P4230" t="inlineStr"/>
      <c r="Q4230" t="inlineStr">
        <is>
          <t>UKPN</t>
        </is>
      </c>
      <c r="R4230" t="b">
        <v>0</v>
      </c>
    </row>
    <row r="4231">
      <c r="A4231" t="inlineStr">
        <is>
          <t>27 Apr 2026 / Joshua Stones</t>
        </is>
      </c>
      <c r="B4231" t="inlineStr">
        <is>
          <t>Infrastructure &amp; Utilities</t>
        </is>
      </c>
      <c r="C4231" t="inlineStr">
        <is>
          <t>SSE</t>
        </is>
      </c>
      <c r="D4231" t="inlineStr"/>
      <c r="E4231" t="inlineStr"/>
      <c r="F4231" t="inlineStr"/>
      <c r="G4231" t="inlineStr">
        <is>
          <t>Joshua stones</t>
        </is>
      </c>
      <c r="H4231" t="inlineStr">
        <is>
          <t>Van</t>
        </is>
      </c>
      <c r="I4231" t="inlineStr">
        <is>
          <t>Monthly Vehicle Inspection</t>
        </is>
      </c>
      <c r="J4231" t="inlineStr">
        <is>
          <t>22222</t>
        </is>
      </c>
      <c r="K4231" t="inlineStr">
        <is>
          <t>Joshua Stones</t>
        </is>
      </c>
      <c r="L4231" t="inlineStr">
        <is>
          <t>27/04/2026 13:50</t>
        </is>
      </c>
      <c r="M4231" t="inlineStr">
        <is>
          <t xml:space="preserve">EXTERIOR &amp; GLASS
What to Check: 
Is the body of the vehicle in good condition (any dents or scratches)? 
Is the windscreen and all mirrors free of chips or cracks? 
Are the window wipers operational and fit for purpose? 
Is the boot lid &amp; doors secure &amp; operational? 
Is the number plate clean &amp; secure? 
Are access &amp; egress points safe &amp; secure (e.g., steps &amp; handrails)?
How: Inspect the vehicle's exterior for dents, scratches, or rust spots. Check the windscreen and mirrors for any chips or cracks that could impair visibility. Test the operation of window wipers and ensure they effectively clear the windscreen. Verify the security and functionality of doors, boot lid, and number plate. Check the condition of charging cables and ensure access &amp; egress points are stable and safe.
Why: A well-maintained exterior enhances the vehicle's appearance, ensures driver visibility, and prevents potential safety hazards. Functional wipers, secure doors, and clear visibility contribute to safe driving conditions.: Fail
</t>
        </is>
      </c>
      <c r="N4231" t="inlineStr">
        <is>
          <t>&lt;p&gt;&lt;a href="https&amp;#58;//apps.powerapps.com/play/2d567dc9-5d50-4629-a077-f7ccbff3e239?tenantId=3ef9f654-aa07-41b8-88ad-a411c62bd12c&amp;amp;Action=Open&amp;amp;Actionno=8968"&gt;A crack in the window&lt;/a&gt;&lt;br&gt;&lt;/p&gt;</t>
        </is>
      </c>
      <c r="O4231" t="inlineStr">
        <is>
          <t>TYRES &amp; TRACKS
What to Check: 
Are all tyres / tracks in good condition, at the correct pressure for the anticipated load
How: Inspect each tyre for tread depth, wear patterns, cuts, or bulges. Check tyre pressure using a gauge and adjust as per manufacturer recommendations. Ensure tracks (if applicable) are in good condition and properly aligned. Verify the presence of a spare tyre or puncture repair kit and its serviceability.
Why: Well-maintained tyres and tracks provide traction, stability, and safe handling of the vehicle. Proper tyre pressure extends tyre life, improves fuel efficiency, and reduces the risk of blowouts or accidents due to tyre failure.:Needs new tyers soon but still okay for now
-EXTERIOR &amp; GLASS
What to Check: 
Is the body of the vehicle in good condition (any dents or scratches)? 
Is the windscreen and all mirrors free of chips or cracks? 
Are the window wipers operational and fit for purpose? 
Is the boot lid &amp; doors secure &amp; operational? 
Is the number plate clean &amp; secure? 
Are access &amp; egress points safe &amp; secure (e.g., steps &amp; handrails)?
How: Inspect the vehicle's exterior for dents, scratches, or rust spots. Check the windscreen and mirrors for any chips or cracks that could impair visibility. Test the operation of window wipers and ensure they effectively clear the windscreen. Verify the security and functionality of doors, boot lid, and number plate. Check the condition of charging cables and ensure access &amp; egress points are stable and safe.
Why: A well-maintained exterior enhances the vehicle's appearance, ensures driver visibility, and prevents potential safety hazards. Functional wipers, secure doors, and clear visibility contribute to safe driving conditions.:A crack in the window
-</t>
        </is>
      </c>
      <c r="P4231" t="inlineStr"/>
      <c r="Q4231" t="inlineStr">
        <is>
          <t>SSE</t>
        </is>
      </c>
      <c r="R4231" t="b">
        <v>0</v>
      </c>
    </row>
    <row r="4232">
      <c r="A4232" t="inlineStr">
        <is>
          <t>27 Apr 2026 / William Heneage</t>
        </is>
      </c>
      <c r="B4232" t="inlineStr">
        <is>
          <t>Infrastructure &amp; Utilities</t>
        </is>
      </c>
      <c r="C4232" t="inlineStr">
        <is>
          <t>SSE</t>
        </is>
      </c>
      <c r="D4232" t="inlineStr">
        <is>
          <t>YX24TWV , Car - Electric , Kia , E-Niro</t>
        </is>
      </c>
      <c r="E4232" t="inlineStr">
        <is>
          <t>YX24TWV , Car - Electric , Kia , E-Niro</t>
        </is>
      </c>
      <c r="F4232" t="inlineStr">
        <is>
          <t>YX24TWV , Car - Electric , Kia , E-Niro</t>
        </is>
      </c>
      <c r="G4232" t="inlineStr">
        <is>
          <t xml:space="preserve">Will Heneage </t>
        </is>
      </c>
      <c r="H4232" t="inlineStr">
        <is>
          <t>Car - Electric (GC Owned)</t>
        </is>
      </c>
      <c r="I4232" t="inlineStr">
        <is>
          <t>Daily/ Weekly Vehicle Inspection</t>
        </is>
      </c>
      <c r="J4232" t="inlineStr">
        <is>
          <t>N/A</t>
        </is>
      </c>
      <c r="K4232" t="inlineStr">
        <is>
          <t>William Heneage</t>
        </is>
      </c>
      <c r="L4232" t="inlineStr">
        <is>
          <t>27/04/2026 14:52</t>
        </is>
      </c>
      <c r="M4232" t="inlineStr">
        <is>
          <t>None</t>
        </is>
      </c>
      <c r="N4232" t="inlineStr">
        <is>
          <t>&lt;p&gt;&lt;/p&gt;</t>
        </is>
      </c>
      <c r="O4232" t="inlineStr"/>
      <c r="P4232" t="inlineStr">
        <is>
          <t>YX24TWV , Car - Electric , Kia , E-Niro</t>
        </is>
      </c>
      <c r="Q4232" t="inlineStr">
        <is>
          <t>SSE</t>
        </is>
      </c>
      <c r="R4232" t="b">
        <v>0</v>
      </c>
    </row>
    <row r="4233">
      <c r="A4233" t="inlineStr">
        <is>
          <t>27 Apr 2026 / Christopher Simeoli</t>
        </is>
      </c>
      <c r="B4233" t="inlineStr">
        <is>
          <t>Infrastructure &amp; Utilities</t>
        </is>
      </c>
      <c r="C4233" t="inlineStr">
        <is>
          <t>NGED</t>
        </is>
      </c>
      <c r="D4233" t="inlineStr">
        <is>
          <t>EO73KVB , Car - Electric , Kia , Niro</t>
        </is>
      </c>
      <c r="E4233" t="inlineStr">
        <is>
          <t>EO73KVB , Car - Electric , Kia , Niro</t>
        </is>
      </c>
      <c r="F4233" t="inlineStr">
        <is>
          <t>EO73KVB , Car - Electric , Kia , Niro</t>
        </is>
      </c>
      <c r="G4233" t="inlineStr">
        <is>
          <t>Chris Simeoli</t>
        </is>
      </c>
      <c r="H4233" t="inlineStr">
        <is>
          <t>Car - Electric (GC Owned)</t>
        </is>
      </c>
      <c r="I4233" t="inlineStr">
        <is>
          <t>Daily/ Weekly Vehicle Inspection</t>
        </is>
      </c>
      <c r="J4233" t="inlineStr">
        <is>
          <t>N/A</t>
        </is>
      </c>
      <c r="K4233" t="inlineStr">
        <is>
          <t>Christopher Simeoli</t>
        </is>
      </c>
      <c r="L4233" t="inlineStr">
        <is>
          <t>27/04/2026 15:50</t>
        </is>
      </c>
      <c r="M4233" t="inlineStr">
        <is>
          <t>None</t>
        </is>
      </c>
      <c r="N4233" t="inlineStr">
        <is>
          <t>&lt;p&gt;&lt;/p&gt;</t>
        </is>
      </c>
      <c r="O4233" t="inlineStr"/>
      <c r="P4233" t="inlineStr">
        <is>
          <t>EO73KVB , Car - Electric , Kia , Niro</t>
        </is>
      </c>
      <c r="Q4233" t="inlineStr">
        <is>
          <t>NGED</t>
        </is>
      </c>
      <c r="R4233" t="b">
        <v>0</v>
      </c>
    </row>
    <row r="4234">
      <c r="A4234" t="inlineStr">
        <is>
          <t>27 Apr 2026 / Antonio Dixon</t>
        </is>
      </c>
      <c r="B4234" t="inlineStr">
        <is>
          <t>Infrastructure &amp; Utilities</t>
        </is>
      </c>
      <c r="C4234" t="inlineStr">
        <is>
          <t>NGED</t>
        </is>
      </c>
      <c r="D4234" t="inlineStr">
        <is>
          <t>YX24TXV , Car - Electric , Kia , E-Niro</t>
        </is>
      </c>
      <c r="E4234" t="inlineStr">
        <is>
          <t>YX24TXV , Car - Electric , Kia , E-Niro</t>
        </is>
      </c>
      <c r="F4234" t="inlineStr">
        <is>
          <t>YX24TXV , Car - Electric , Kia , E-Niro</t>
        </is>
      </c>
      <c r="G4234" t="inlineStr">
        <is>
          <t>Antonio Dixon</t>
        </is>
      </c>
      <c r="H4234" t="inlineStr">
        <is>
          <t>Car - Electric (GC Owned)</t>
        </is>
      </c>
      <c r="I4234" t="inlineStr">
        <is>
          <t>Daily/ Weekly Vehicle Inspection</t>
        </is>
      </c>
      <c r="J4234" t="inlineStr">
        <is>
          <t>N/A</t>
        </is>
      </c>
      <c r="K4234" t="inlineStr">
        <is>
          <t>Antonio Dixon</t>
        </is>
      </c>
      <c r="L4234" t="inlineStr">
        <is>
          <t>27/04/2026 16:50</t>
        </is>
      </c>
      <c r="M4234" t="inlineStr">
        <is>
          <t>None</t>
        </is>
      </c>
      <c r="N4234" t="inlineStr">
        <is>
          <t>&lt;p&gt;&lt;/p&gt;</t>
        </is>
      </c>
      <c r="O4234" t="inlineStr"/>
      <c r="P4234" t="inlineStr">
        <is>
          <t>YX24TXV , Car - Electric , Kia , E-Niro</t>
        </is>
      </c>
      <c r="Q4234" t="inlineStr">
        <is>
          <t>NGED</t>
        </is>
      </c>
      <c r="R4234" t="b">
        <v>0</v>
      </c>
    </row>
    <row r="4235">
      <c r="A4235" t="inlineStr">
        <is>
          <t>27 Apr 2026 / Joseph Pallot</t>
        </is>
      </c>
      <c r="B4235" t="inlineStr">
        <is>
          <t>Infrastructure &amp; Utilities</t>
        </is>
      </c>
      <c r="C4235" t="inlineStr">
        <is>
          <t>NGED</t>
        </is>
      </c>
      <c r="D4235" t="inlineStr">
        <is>
          <t>AK70VYS , Car - Electric , Tesla , Model 3 Long Range AWD</t>
        </is>
      </c>
      <c r="E4235" t="inlineStr">
        <is>
          <t>AK70VYS , Car - Electric , Tesla , Model 3 Long Range AWD</t>
        </is>
      </c>
      <c r="F4235" t="inlineStr">
        <is>
          <t>AK70VYS , Car - Electric , Tesla , Model 3 Long Range AWD</t>
        </is>
      </c>
      <c r="G4235" t="inlineStr">
        <is>
          <t>Joseph Pallot</t>
        </is>
      </c>
      <c r="H4235" t="inlineStr">
        <is>
          <t>Car - Electric (GC Owned)</t>
        </is>
      </c>
      <c r="I4235" t="inlineStr">
        <is>
          <t>Daily/ Weekly Vehicle Inspection</t>
        </is>
      </c>
      <c r="J4235" t="inlineStr">
        <is>
          <t>N/A</t>
        </is>
      </c>
      <c r="K4235" t="inlineStr">
        <is>
          <t>Joseph Pallot</t>
        </is>
      </c>
      <c r="L4235" t="inlineStr">
        <is>
          <t>27/04/2026 17:51</t>
        </is>
      </c>
      <c r="M4235" t="inlineStr">
        <is>
          <t>None</t>
        </is>
      </c>
      <c r="N4235" t="inlineStr">
        <is>
          <t>&lt;p&gt;&lt;/p&gt;</t>
        </is>
      </c>
      <c r="O4235" t="inlineStr"/>
      <c r="P4235" t="inlineStr">
        <is>
          <t>AK70VYS , Car - Electric , Tesla , Model 3 Long Range AWD</t>
        </is>
      </c>
      <c r="Q4235" t="inlineStr">
        <is>
          <t>NGED</t>
        </is>
      </c>
      <c r="R4235" t="b">
        <v>0</v>
      </c>
    </row>
    <row r="4236">
      <c r="A4236" t="inlineStr">
        <is>
          <t>28 Apr 2026 / Benet Jones</t>
        </is>
      </c>
      <c r="B4236" t="inlineStr">
        <is>
          <t>Infrastructure &amp; Utilities</t>
        </is>
      </c>
      <c r="C4236" t="inlineStr">
        <is>
          <t>NGED</t>
        </is>
      </c>
      <c r="D4236" t="inlineStr">
        <is>
          <t>GF71TXC , Car - Electric , Tesla , Model 3 Long Range AWD</t>
        </is>
      </c>
      <c r="E4236" t="inlineStr">
        <is>
          <t>GF71TXC , Car - Electric , Tesla , Model 3 Long Range AWD</t>
        </is>
      </c>
      <c r="F4236" t="inlineStr">
        <is>
          <t>GF71TXC , Car - Electric , Tesla , Model 3 Long Range AWD</t>
        </is>
      </c>
      <c r="G4236" t="inlineStr">
        <is>
          <t xml:space="preserve">Benet Jones </t>
        </is>
      </c>
      <c r="H4236" t="inlineStr">
        <is>
          <t>Car - Electric (GC Owned)</t>
        </is>
      </c>
      <c r="I4236" t="inlineStr">
        <is>
          <t>Daily/ Weekly Vehicle Inspection</t>
        </is>
      </c>
      <c r="J4236" t="inlineStr">
        <is>
          <t>N/A</t>
        </is>
      </c>
      <c r="K4236" t="inlineStr">
        <is>
          <t>Benet Jones</t>
        </is>
      </c>
      <c r="L4236" t="inlineStr">
        <is>
          <t>28/04/2026 05:50</t>
        </is>
      </c>
      <c r="M4236" t="inlineStr">
        <is>
          <t>None</t>
        </is>
      </c>
      <c r="N4236" t="inlineStr">
        <is>
          <t>&lt;p&gt;&lt;/p&gt;</t>
        </is>
      </c>
      <c r="O4236" t="inlineStr">
        <is>
          <t>Confirm that you have checked this vehicle as per the guidance document and the vehicle is safe and roadworthy:Car checked and fully serviceable
-</t>
        </is>
      </c>
      <c r="P4236" t="inlineStr">
        <is>
          <t>GF71TXC , Car - Electric , Tesla , Model 3 Long Range AWD</t>
        </is>
      </c>
      <c r="Q4236" t="inlineStr">
        <is>
          <t>NGED</t>
        </is>
      </c>
      <c r="R4236" t="b">
        <v>0</v>
      </c>
    </row>
    <row r="4237">
      <c r="A4237" t="inlineStr">
        <is>
          <t>28 Apr 2026 / 7889 Tree Tech Suffolk Ltd</t>
        </is>
      </c>
      <c r="B4237" t="inlineStr">
        <is>
          <t>Utilities &amp; Inland Waterways</t>
        </is>
      </c>
      <c r="C4237" t="inlineStr">
        <is>
          <t>UKPN</t>
        </is>
      </c>
      <c r="D4237" t="inlineStr">
        <is>
          <t>Tipper - Nissan - Navara - NS02TTS</t>
        </is>
      </c>
      <c r="E4237" t="inlineStr">
        <is>
          <t>Tipper - Nissan - Navara - NS02TTS</t>
        </is>
      </c>
      <c r="F4237" t="inlineStr">
        <is>
          <t>Tipper - Nissan - Navara - NS02TTS</t>
        </is>
      </c>
      <c r="G4237" t="inlineStr">
        <is>
          <t>Danny Appleby</t>
        </is>
      </c>
      <c r="H4237" t="inlineStr">
        <is>
          <t>Tipper</t>
        </is>
      </c>
      <c r="I4237" t="inlineStr">
        <is>
          <t>Daily/ Weekly Vehicle Inspection</t>
        </is>
      </c>
      <c r="J4237" t="inlineStr">
        <is>
          <t>N/A</t>
        </is>
      </c>
      <c r="K4237" t="inlineStr">
        <is>
          <t>7889 Tree Tech Suffolk Ltd</t>
        </is>
      </c>
      <c r="L4237" t="inlineStr">
        <is>
          <t>28/04/2026 06:50</t>
        </is>
      </c>
      <c r="M4237" t="inlineStr">
        <is>
          <t>None</t>
        </is>
      </c>
      <c r="N4237" t="inlineStr">
        <is>
          <t>&lt;p&gt;&lt;/p&gt;</t>
        </is>
      </c>
      <c r="O4237" t="inlineStr"/>
      <c r="P4237" t="inlineStr">
        <is>
          <t>Tipper - Nissan - Navara - NS02TTS</t>
        </is>
      </c>
      <c r="Q4237" t="inlineStr">
        <is>
          <t>UKPN</t>
        </is>
      </c>
      <c r="R4237" t="b">
        <v>0</v>
      </c>
    </row>
    <row r="4238">
      <c r="A4238" t="inlineStr">
        <is>
          <t>28 Apr 2026 / 6617 Ashdown Tree Limited 1</t>
        </is>
      </c>
      <c r="B4238" t="inlineStr">
        <is>
          <t>Infrastructure &amp; Utilities</t>
        </is>
      </c>
      <c r="C4238" t="inlineStr">
        <is>
          <t>UKPN</t>
        </is>
      </c>
      <c r="D4238" t="inlineStr">
        <is>
          <t>WG63OJS , 4x4 , Land rover  , defender</t>
        </is>
      </c>
      <c r="E4238" t="inlineStr">
        <is>
          <t>WG63OJS , 4x4 , Land rover  , defender</t>
        </is>
      </c>
      <c r="F4238" t="inlineStr">
        <is>
          <t>WG63OJS , 4x4 , Land rover  , defender</t>
        </is>
      </c>
      <c r="G4238" t="inlineStr">
        <is>
          <t>Dan</t>
        </is>
      </c>
      <c r="H4238" t="inlineStr">
        <is>
          <t>4x4</t>
        </is>
      </c>
      <c r="I4238" t="inlineStr">
        <is>
          <t>Daily/ Weekly Vehicle Inspection</t>
        </is>
      </c>
      <c r="J4238" t="inlineStr">
        <is>
          <t>N/A</t>
        </is>
      </c>
      <c r="K4238" t="inlineStr">
        <is>
          <t>6617 Ashdown Tree Limited - Team 2</t>
        </is>
      </c>
      <c r="L4238" t="inlineStr">
        <is>
          <t>28/04/2026 06:51</t>
        </is>
      </c>
      <c r="M4238" t="inlineStr">
        <is>
          <t>None</t>
        </is>
      </c>
      <c r="N4238" t="inlineStr">
        <is>
          <t>&lt;p&gt;&lt;/p&gt;</t>
        </is>
      </c>
      <c r="O4238" t="inlineStr"/>
      <c r="P4238" t="inlineStr">
        <is>
          <t>WG63OJS , 4x4 , Land rover  , defender</t>
        </is>
      </c>
      <c r="Q4238" t="inlineStr">
        <is>
          <t>UKPN</t>
        </is>
      </c>
      <c r="R4238" t="b">
        <v>0</v>
      </c>
    </row>
    <row r="4239">
      <c r="A4239" t="inlineStr">
        <is>
          <t>28 Apr 2026 / 7996 M G Tree Surgery Ltd</t>
        </is>
      </c>
      <c r="B4239" t="inlineStr">
        <is>
          <t>Infrastructure &amp; Utilities</t>
        </is>
      </c>
      <c r="C4239" t="inlineStr">
        <is>
          <t>UKPN</t>
        </is>
      </c>
      <c r="D4239" t="inlineStr">
        <is>
          <t>GU13 WNL , MEWP , Land Rover , Defender 130</t>
        </is>
      </c>
      <c r="E4239" t="inlineStr">
        <is>
          <t>GU13 WNL , MEWP , Land Rover , Defender 130</t>
        </is>
      </c>
      <c r="F4239" t="inlineStr">
        <is>
          <t>GU13 WNL , MEWP , Land Rover , Defender 130</t>
        </is>
      </c>
      <c r="G4239" t="inlineStr">
        <is>
          <t>Max</t>
        </is>
      </c>
      <c r="H4239" t="inlineStr">
        <is>
          <t>4x4</t>
        </is>
      </c>
      <c r="I4239" t="inlineStr">
        <is>
          <t>Daily/ Weekly Vehicle Inspection</t>
        </is>
      </c>
      <c r="J4239" t="inlineStr">
        <is>
          <t>N/A</t>
        </is>
      </c>
      <c r="K4239" t="inlineStr">
        <is>
          <t>7996 M G Tree Surgery Ltd</t>
        </is>
      </c>
      <c r="L4239" t="inlineStr">
        <is>
          <t>28/04/2026 07:50</t>
        </is>
      </c>
      <c r="M4239" t="inlineStr">
        <is>
          <t>None</t>
        </is>
      </c>
      <c r="N4239" t="inlineStr">
        <is>
          <t>&lt;p&gt;&lt;/p&gt;</t>
        </is>
      </c>
      <c r="O4239" t="inlineStr"/>
      <c r="P4239" t="inlineStr">
        <is>
          <t>GU13 WNL , MEWP , Land Rover , Defender 130</t>
        </is>
      </c>
      <c r="Q4239" t="inlineStr">
        <is>
          <t>UKPN</t>
        </is>
      </c>
      <c r="R4239" t="b">
        <v>0</v>
      </c>
    </row>
    <row r="4240">
      <c r="A4240" t="inlineStr">
        <is>
          <t>28 Apr 2026 / 7800 MAC Tree Surgery and Fencing Ltd / Utilities / UKPN</t>
        </is>
      </c>
      <c r="B4240" t="inlineStr">
        <is>
          <t>Utilities</t>
        </is>
      </c>
      <c r="C4240" t="inlineStr">
        <is>
          <t>UKPN</t>
        </is>
      </c>
      <c r="D4240" t="inlineStr">
        <is>
          <t>AY68DAA , 4x4 , Izuzu , Dmax</t>
        </is>
      </c>
      <c r="E4240" t="inlineStr">
        <is>
          <t>AY68DAA , 4x4 , Izuzu , Dmax</t>
        </is>
      </c>
      <c r="F4240" t="inlineStr">
        <is>
          <t>AY68DAA , 4x4 , Izuzu , Dmax</t>
        </is>
      </c>
      <c r="G4240" t="inlineStr">
        <is>
          <t xml:space="preserve">Lewis Mac </t>
        </is>
      </c>
      <c r="H4240" t="inlineStr">
        <is>
          <t>4x4</t>
        </is>
      </c>
      <c r="I4240" t="inlineStr">
        <is>
          <t>Daily/ Weekly Vehicle Inspection</t>
        </is>
      </c>
      <c r="J4240" t="inlineStr">
        <is>
          <t>N/A</t>
        </is>
      </c>
      <c r="K4240" t="inlineStr">
        <is>
          <t>7800 MAC Tree Surgery and Fencing Ltd</t>
        </is>
      </c>
      <c r="L4240" t="inlineStr">
        <is>
          <t>28/04/2026 07:53</t>
        </is>
      </c>
      <c r="M4240" t="inlineStr">
        <is>
          <t>None</t>
        </is>
      </c>
      <c r="N4240" t="inlineStr">
        <is>
          <t>&lt;p&gt;&lt;/p&gt;</t>
        </is>
      </c>
      <c r="O4240" t="inlineStr"/>
      <c r="P4240" t="inlineStr">
        <is>
          <t>AY68DAA , 4x4 , Izuzu , Dmax</t>
        </is>
      </c>
      <c r="Q4240" t="inlineStr">
        <is>
          <t>UKPN</t>
        </is>
      </c>
      <c r="R4240" t="b">
        <v>0</v>
      </c>
    </row>
    <row r="4241">
      <c r="A4241" t="inlineStr">
        <is>
          <t>28 Apr 2026 / 7800 MAC Tree Surgery and Fencing Ltd</t>
        </is>
      </c>
      <c r="B4241" t="inlineStr">
        <is>
          <t>Infrastructure &amp; Utilities</t>
        </is>
      </c>
      <c r="C4241" t="inlineStr">
        <is>
          <t>UKPN</t>
        </is>
      </c>
      <c r="D4241" t="inlineStr">
        <is>
          <t>0 , Plant Trailer , Towmate , 2.8t</t>
        </is>
      </c>
      <c r="E4241" t="inlineStr">
        <is>
          <t>0 , Plant Trailer , Towmate , 2.8t</t>
        </is>
      </c>
      <c r="F4241" t="inlineStr">
        <is>
          <t>0 , Plant Trailer , Towmate , 2.8t</t>
        </is>
      </c>
      <c r="G4241" t="inlineStr">
        <is>
          <t xml:space="preserve">Patrick oshea </t>
        </is>
      </c>
      <c r="H4241" t="inlineStr">
        <is>
          <t>Plant Trailer</t>
        </is>
      </c>
      <c r="I4241" t="inlineStr">
        <is>
          <t>Daily/ Weekly Vehicle Inspection</t>
        </is>
      </c>
      <c r="J4241" t="inlineStr">
        <is>
          <t>N/A</t>
        </is>
      </c>
      <c r="K4241" t="inlineStr">
        <is>
          <t>7800 MAC Tree Surgery and Fencing Ltd</t>
        </is>
      </c>
      <c r="L4241" t="inlineStr">
        <is>
          <t>28/04/2026 07:54</t>
        </is>
      </c>
      <c r="M4241" t="inlineStr">
        <is>
          <t>None</t>
        </is>
      </c>
      <c r="N4241" t="inlineStr">
        <is>
          <t>&lt;p&gt;&lt;/p&gt;</t>
        </is>
      </c>
      <c r="O4241" t="inlineStr"/>
      <c r="P4241" t="inlineStr">
        <is>
          <t>0 , Plant Trailer , Towmate , 2.8t</t>
        </is>
      </c>
      <c r="Q4241" t="inlineStr">
        <is>
          <t>UKPN</t>
        </is>
      </c>
      <c r="R4241" t="b">
        <v>0</v>
      </c>
    </row>
    <row r="4242">
      <c r="A4242" t="inlineStr">
        <is>
          <t>28 Apr 2026 / 7951 Austin Tree Care LTD</t>
        </is>
      </c>
      <c r="B4242" t="inlineStr">
        <is>
          <t>Infrastructure &amp; Utilities</t>
        </is>
      </c>
      <c r="C4242" t="inlineStr">
        <is>
          <t>UKPN</t>
        </is>
      </c>
      <c r="D4242" t="inlineStr">
        <is>
          <t>SA9ST6P0001283612 , Towed Chipper , Forst , ST6p</t>
        </is>
      </c>
      <c r="E4242" t="inlineStr">
        <is>
          <t>SA9ST6P0001283612 , Towed Chipper , Forst , ST6p</t>
        </is>
      </c>
      <c r="F4242" t="inlineStr">
        <is>
          <t>SA9ST6P0001283612 , Towed Chipper , Forst , ST6p</t>
        </is>
      </c>
      <c r="G4242" t="inlineStr">
        <is>
          <t xml:space="preserve">Jack Austin </t>
        </is>
      </c>
      <c r="H4242" t="inlineStr">
        <is>
          <t>Towed Chipper</t>
        </is>
      </c>
      <c r="I4242" t="inlineStr">
        <is>
          <t>Daily/ Weekly Vehicle Inspection</t>
        </is>
      </c>
      <c r="J4242" t="inlineStr">
        <is>
          <t>N/A</t>
        </is>
      </c>
      <c r="K4242" t="inlineStr">
        <is>
          <t>7951 Austin Tree Care LTD</t>
        </is>
      </c>
      <c r="L4242" t="inlineStr">
        <is>
          <t>28/04/2026 07:54</t>
        </is>
      </c>
      <c r="M4242" t="inlineStr">
        <is>
          <t>None</t>
        </is>
      </c>
      <c r="N4242" t="inlineStr">
        <is>
          <t>&lt;p&gt;&lt;/p&gt;</t>
        </is>
      </c>
      <c r="O4242" t="inlineStr"/>
      <c r="P4242" t="inlineStr">
        <is>
          <t>SA9ST6P0001283612 , Towed Chipper , Forst , ST6p</t>
        </is>
      </c>
      <c r="Q4242" t="inlineStr">
        <is>
          <t>UKPN</t>
        </is>
      </c>
      <c r="R4242" t="b">
        <v>0</v>
      </c>
    </row>
    <row r="4243">
      <c r="A4243" t="inlineStr">
        <is>
          <t>28 Apr 2026 / 7951 Austin Tree Care LTD</t>
        </is>
      </c>
      <c r="B4243" t="inlineStr">
        <is>
          <t>Infrastructure &amp; Utilities</t>
        </is>
      </c>
      <c r="C4243" t="inlineStr">
        <is>
          <t>UKPN</t>
        </is>
      </c>
      <c r="D4243" t="inlineStr">
        <is>
          <t>WG64HTT , 4x4 , Land Rover , Defender 110</t>
        </is>
      </c>
      <c r="E4243" t="inlineStr">
        <is>
          <t>WG64HTT , 4x4 , Land Rover , Defender 110</t>
        </is>
      </c>
      <c r="F4243" t="inlineStr">
        <is>
          <t>WG64HTT , 4x4 , Land Rover , Defender 110</t>
        </is>
      </c>
      <c r="G4243" t="inlineStr">
        <is>
          <t xml:space="preserve">Jack Austin </t>
        </is>
      </c>
      <c r="H4243" t="inlineStr">
        <is>
          <t>4x4</t>
        </is>
      </c>
      <c r="I4243" t="inlineStr">
        <is>
          <t>Daily/ Weekly Vehicle Inspection</t>
        </is>
      </c>
      <c r="J4243" t="inlineStr">
        <is>
          <t>N/A</t>
        </is>
      </c>
      <c r="K4243" t="inlineStr">
        <is>
          <t>7951 Austin Tree Care LTD</t>
        </is>
      </c>
      <c r="L4243" t="inlineStr">
        <is>
          <t>28/04/2026 07:55</t>
        </is>
      </c>
      <c r="M4243" t="inlineStr">
        <is>
          <t>None</t>
        </is>
      </c>
      <c r="N4243" t="inlineStr">
        <is>
          <t>&lt;p&gt;&lt;/p&gt;</t>
        </is>
      </c>
      <c r="O4243" t="inlineStr"/>
      <c r="P4243" t="inlineStr">
        <is>
          <t>WG64HTT , 4x4 , Land Rover , Defender 110</t>
        </is>
      </c>
      <c r="Q4243" t="inlineStr">
        <is>
          <t>UKPN</t>
        </is>
      </c>
      <c r="R4243" t="b">
        <v>0</v>
      </c>
    </row>
    <row r="4244">
      <c r="A4244" t="inlineStr">
        <is>
          <t>28 Apr 2026 / 7806 Optimum Tree Services Ltd</t>
        </is>
      </c>
      <c r="B4244" t="inlineStr">
        <is>
          <t>Infrastructure &amp; Utilities</t>
        </is>
      </c>
      <c r="C4244" t="inlineStr">
        <is>
          <t>UKPN</t>
        </is>
      </c>
      <c r="D4244" t="inlineStr">
        <is>
          <t>Wd14evn , 4x4 , Landrover  , Defender</t>
        </is>
      </c>
      <c r="E4244" t="inlineStr">
        <is>
          <t>Wd14evn , 4x4 , Landrover  , Defender</t>
        </is>
      </c>
      <c r="F4244" t="inlineStr">
        <is>
          <t>Wd14evn , 4x4 , Landrover  , Defender</t>
        </is>
      </c>
      <c r="G4244" t="inlineStr">
        <is>
          <t xml:space="preserve">Lewis Davies </t>
        </is>
      </c>
      <c r="H4244" t="inlineStr">
        <is>
          <t>4x4</t>
        </is>
      </c>
      <c r="I4244" t="inlineStr">
        <is>
          <t>Daily/ Weekly Vehicle Inspection</t>
        </is>
      </c>
      <c r="J4244" t="inlineStr">
        <is>
          <t>N/A</t>
        </is>
      </c>
      <c r="K4244" t="inlineStr">
        <is>
          <t>7806 Optimum Tree Services Ltd</t>
        </is>
      </c>
      <c r="L4244" t="inlineStr">
        <is>
          <t>28/04/2026 07:55</t>
        </is>
      </c>
      <c r="M4244" t="inlineStr">
        <is>
          <t>None</t>
        </is>
      </c>
      <c r="N4244" t="inlineStr">
        <is>
          <t>&lt;p&gt;&lt;/p&gt;</t>
        </is>
      </c>
      <c r="O4244" t="inlineStr"/>
      <c r="P4244" t="inlineStr">
        <is>
          <t>Wd14evn , 4x4 , Landrover  , Defender</t>
        </is>
      </c>
      <c r="Q4244" t="inlineStr">
        <is>
          <t>UKPN</t>
        </is>
      </c>
      <c r="R4244" t="b">
        <v>0</v>
      </c>
    </row>
    <row r="4245">
      <c r="A4245" t="inlineStr">
        <is>
          <t>28 Apr 2026 / 7806 Optimum Tree Services Ltd</t>
        </is>
      </c>
      <c r="B4245" t="inlineStr">
        <is>
          <t>Infrastructure &amp; Utilities</t>
        </is>
      </c>
      <c r="C4245" t="inlineStr">
        <is>
          <t>UKPN</t>
        </is>
      </c>
      <c r="D4245" t="inlineStr">
        <is>
          <t>SA9st6p0001283093 , Towed Chipper , Forst  , St6pHD</t>
        </is>
      </c>
      <c r="E4245" t="inlineStr">
        <is>
          <t>SA9st6p0001283093 , Towed Chipper , Forst  , St6pHD</t>
        </is>
      </c>
      <c r="F4245" t="inlineStr">
        <is>
          <t>SA9st6p0001283093 , Towed Chipper , Forst  , St6pHD</t>
        </is>
      </c>
      <c r="G4245" t="inlineStr">
        <is>
          <t xml:space="preserve">Abraham Davies </t>
        </is>
      </c>
      <c r="H4245" t="inlineStr">
        <is>
          <t>Towed Chipper</t>
        </is>
      </c>
      <c r="I4245" t="inlineStr">
        <is>
          <t>Daily/ Weekly Vehicle Inspection</t>
        </is>
      </c>
      <c r="J4245" t="inlineStr">
        <is>
          <t>N/A</t>
        </is>
      </c>
      <c r="K4245" t="inlineStr">
        <is>
          <t>7806 Optimum Tree Services Ltd</t>
        </is>
      </c>
      <c r="L4245" t="inlineStr">
        <is>
          <t>28/04/2026 07:56</t>
        </is>
      </c>
      <c r="M4245" t="inlineStr">
        <is>
          <t>None</t>
        </is>
      </c>
      <c r="N4245" t="inlineStr">
        <is>
          <t>&lt;p&gt;&lt;/p&gt;</t>
        </is>
      </c>
      <c r="O4245" t="inlineStr"/>
      <c r="P4245" t="inlineStr">
        <is>
          <t>SA9st6p0001283093 , Towed Chipper , Forst  , St6pHD</t>
        </is>
      </c>
      <c r="Q4245" t="inlineStr">
        <is>
          <t>UKPN</t>
        </is>
      </c>
      <c r="R4245" t="b">
        <v>0</v>
      </c>
    </row>
    <row r="4246">
      <c r="A4246" t="inlineStr">
        <is>
          <t>28 Apr 2026 / 7806 Optimum Tree Services Ltd</t>
        </is>
      </c>
      <c r="B4246" t="inlineStr">
        <is>
          <t>Infrastructure &amp; Utilities</t>
        </is>
      </c>
      <c r="C4246" t="inlineStr">
        <is>
          <t>UKPN</t>
        </is>
      </c>
      <c r="D4246" t="inlineStr">
        <is>
          <t>WD14EVB , MEWP , Land Rover , Defender</t>
        </is>
      </c>
      <c r="E4246" t="inlineStr">
        <is>
          <t>WD14EVB , MEWP , Land Rover , Defender</t>
        </is>
      </c>
      <c r="F4246" t="inlineStr">
        <is>
          <t>WD14EVB , MEWP , Land Rover , Defender</t>
        </is>
      </c>
      <c r="G4246" t="inlineStr">
        <is>
          <t xml:space="preserve">Abraham Davies </t>
        </is>
      </c>
      <c r="H4246" t="inlineStr">
        <is>
          <t>4x4</t>
        </is>
      </c>
      <c r="I4246" t="inlineStr">
        <is>
          <t>Daily/ Weekly Vehicle Inspection</t>
        </is>
      </c>
      <c r="J4246" t="inlineStr">
        <is>
          <t>N/A</t>
        </is>
      </c>
      <c r="K4246" t="inlineStr">
        <is>
          <t>7806 Optimum Tree Services Ltd</t>
        </is>
      </c>
      <c r="L4246" t="inlineStr">
        <is>
          <t>28/04/2026 07:57</t>
        </is>
      </c>
      <c r="M4246" t="inlineStr">
        <is>
          <t>None</t>
        </is>
      </c>
      <c r="N4246" t="inlineStr">
        <is>
          <t>&lt;p&gt;&lt;/p&gt;</t>
        </is>
      </c>
      <c r="O4246" t="inlineStr"/>
      <c r="P4246" t="inlineStr">
        <is>
          <t>WD14EVB , MEWP , Land Rover , Defender</t>
        </is>
      </c>
      <c r="Q4246" t="inlineStr">
        <is>
          <t>UKPN</t>
        </is>
      </c>
      <c r="R4246" t="b">
        <v>0</v>
      </c>
    </row>
    <row r="4247">
      <c r="A4247" t="inlineStr">
        <is>
          <t>28 Apr 2026 / 8040 S6 Tree specialists Ltd</t>
        </is>
      </c>
      <c r="B4247" t="inlineStr">
        <is>
          <t>Infrastructure &amp; Utilities</t>
        </is>
      </c>
      <c r="C4247" t="inlineStr">
        <is>
          <t>UKPN</t>
        </is>
      </c>
      <c r="D4247" t="inlineStr">
        <is>
          <t>GY08 RVC , 4x4 MEWP , Land Rover , Defender</t>
        </is>
      </c>
      <c r="E4247" t="inlineStr">
        <is>
          <t>GY08 RVC , 4x4 MEWP , Land Rover , Defender</t>
        </is>
      </c>
      <c r="F4247" t="inlineStr">
        <is>
          <t>GY08 RVC , 4x4 MEWP , Land Rover , Defender</t>
        </is>
      </c>
      <c r="G4247" t="inlineStr">
        <is>
          <t xml:space="preserve">Luke </t>
        </is>
      </c>
      <c r="H4247" t="inlineStr">
        <is>
          <t>4x4</t>
        </is>
      </c>
      <c r="I4247" t="inlineStr">
        <is>
          <t>Daily/ Weekly Vehicle Inspection</t>
        </is>
      </c>
      <c r="J4247" t="inlineStr">
        <is>
          <t>N/A</t>
        </is>
      </c>
      <c r="K4247" t="inlineStr">
        <is>
          <t>8040 S6 Tree specialists Ltd</t>
        </is>
      </c>
      <c r="L4247" t="inlineStr">
        <is>
          <t>28/04/2026 07:57</t>
        </is>
      </c>
      <c r="M4247" t="inlineStr">
        <is>
          <t>None</t>
        </is>
      </c>
      <c r="N4247" t="inlineStr">
        <is>
          <t>&lt;p&gt;&lt;/p&gt;</t>
        </is>
      </c>
      <c r="O4247" t="inlineStr"/>
      <c r="P4247" t="inlineStr">
        <is>
          <t>GY08 RVC , 4x4 MEWP , Land Rover , Defender</t>
        </is>
      </c>
      <c r="Q4247" t="inlineStr">
        <is>
          <t>UKPN</t>
        </is>
      </c>
      <c r="R4247" t="b">
        <v>0</v>
      </c>
    </row>
    <row r="4248">
      <c r="A4248" t="inlineStr">
        <is>
          <t>28 Apr 2026 / 7996 M G Tree Surgery Ltd 1</t>
        </is>
      </c>
      <c r="B4248" t="inlineStr">
        <is>
          <t>Infrastructure &amp; Utilities</t>
        </is>
      </c>
      <c r="C4248" t="inlineStr">
        <is>
          <t>UKPN</t>
        </is>
      </c>
      <c r="D4248" t="inlineStr"/>
      <c r="E4248" t="inlineStr"/>
      <c r="F4248" t="inlineStr"/>
      <c r="G4248" t="inlineStr">
        <is>
          <t>Anthony Gale</t>
        </is>
      </c>
      <c r="H4248" t="inlineStr">
        <is>
          <t>Towed Chipper</t>
        </is>
      </c>
      <c r="I4248" t="inlineStr">
        <is>
          <t>Daily/ Weekly Vehicle Inspection</t>
        </is>
      </c>
      <c r="J4248" t="inlineStr">
        <is>
          <t>N/A</t>
        </is>
      </c>
      <c r="K4248" t="inlineStr">
        <is>
          <t>7996 M G Tree Surgery Ltd 1</t>
        </is>
      </c>
      <c r="L4248" t="inlineStr">
        <is>
          <t>28/04/2026 07:58</t>
        </is>
      </c>
      <c r="M4248" t="inlineStr">
        <is>
          <t>None</t>
        </is>
      </c>
      <c r="N4248" t="inlineStr">
        <is>
          <t>&lt;p&gt;&lt;/p&gt;</t>
        </is>
      </c>
      <c r="O4248" t="inlineStr"/>
      <c r="P4248" t="inlineStr"/>
      <c r="Q4248" t="inlineStr">
        <is>
          <t>UKPN</t>
        </is>
      </c>
      <c r="R4248" t="b">
        <v>0</v>
      </c>
    </row>
    <row r="4249">
      <c r="A4249" t="inlineStr">
        <is>
          <t>28 Apr 2026 / 7186 Eastwoodbury Tree Services Ltd 2</t>
        </is>
      </c>
      <c r="B4249" t="inlineStr">
        <is>
          <t>Infrastructure &amp; Utilities</t>
        </is>
      </c>
      <c r="C4249" t="inlineStr">
        <is>
          <t>UKPN</t>
        </is>
      </c>
      <c r="D4249" t="inlineStr">
        <is>
          <t>WF13 EKT , 4x4 , Land rover  , Defender</t>
        </is>
      </c>
      <c r="E4249" t="inlineStr">
        <is>
          <t>WF13 EKT , 4x4 , Land rover  , Defender</t>
        </is>
      </c>
      <c r="F4249" t="inlineStr">
        <is>
          <t>WF13 EKT , 4x4 , Land rover  , Defender</t>
        </is>
      </c>
      <c r="G4249" t="inlineStr">
        <is>
          <t xml:space="preserve">Dan Gilbert </t>
        </is>
      </c>
      <c r="H4249" t="inlineStr">
        <is>
          <t>4x4</t>
        </is>
      </c>
      <c r="I4249" t="inlineStr">
        <is>
          <t>Daily/ Weekly Vehicle Inspection</t>
        </is>
      </c>
      <c r="J4249" t="inlineStr">
        <is>
          <t>N/A</t>
        </is>
      </c>
      <c r="K4249" t="inlineStr">
        <is>
          <t>7186 Eastwoodbury Tree Services Ltd 2</t>
        </is>
      </c>
      <c r="L4249" t="inlineStr">
        <is>
          <t>28/04/2026 07:59</t>
        </is>
      </c>
      <c r="M4249" t="inlineStr">
        <is>
          <t>None</t>
        </is>
      </c>
      <c r="N4249" t="inlineStr">
        <is>
          <t>&lt;p&gt;&lt;/p&gt;</t>
        </is>
      </c>
      <c r="O4249" t="inlineStr"/>
      <c r="P4249" t="inlineStr">
        <is>
          <t>WF13 EKT , 4x4 , Land rover  , Defender</t>
        </is>
      </c>
      <c r="Q4249" t="inlineStr">
        <is>
          <t>UKPN</t>
        </is>
      </c>
      <c r="R4249" t="b">
        <v>0</v>
      </c>
    </row>
    <row r="4250">
      <c r="A4250" t="inlineStr">
        <is>
          <t>28 Apr 2026 / 7996 M G Tree Surgery Ltd 1</t>
        </is>
      </c>
      <c r="B4250" t="inlineStr">
        <is>
          <t>Infrastructure &amp; Utilities</t>
        </is>
      </c>
      <c r="C4250" t="inlineStr">
        <is>
          <t>UKPN</t>
        </is>
      </c>
      <c r="D4250" t="inlineStr">
        <is>
          <t>KX20 BCE , Tipper , Isuzu , D-Max</t>
        </is>
      </c>
      <c r="E4250" t="inlineStr">
        <is>
          <t>KX20 BCE , Tipper , Isuzu , D-Max</t>
        </is>
      </c>
      <c r="F4250" t="inlineStr">
        <is>
          <t>KX20 BCE , Tipper , Isuzu , D-Max</t>
        </is>
      </c>
      <c r="G4250" t="inlineStr">
        <is>
          <t>Anthony Gale</t>
        </is>
      </c>
      <c r="H4250" t="inlineStr">
        <is>
          <t>Pickup Truck</t>
        </is>
      </c>
      <c r="I4250" t="inlineStr">
        <is>
          <t>Daily/ Weekly Vehicle Inspection</t>
        </is>
      </c>
      <c r="J4250" t="inlineStr">
        <is>
          <t>N/A</t>
        </is>
      </c>
      <c r="K4250" t="inlineStr">
        <is>
          <t>7996 M G Tree Surgery Ltd 1</t>
        </is>
      </c>
      <c r="L4250" t="inlineStr">
        <is>
          <t>28/04/2026 08:00</t>
        </is>
      </c>
      <c r="M4250" t="inlineStr">
        <is>
          <t>None</t>
        </is>
      </c>
      <c r="N4250" t="inlineStr">
        <is>
          <t>&lt;p&gt;&lt;/p&gt;</t>
        </is>
      </c>
      <c r="O4250" t="inlineStr"/>
      <c r="P4250" t="inlineStr">
        <is>
          <t>KX20 BCE , Tipper , Isuzu , D-Max</t>
        </is>
      </c>
      <c r="Q4250" t="inlineStr">
        <is>
          <t>UKPN</t>
        </is>
      </c>
      <c r="R4250" t="b">
        <v>0</v>
      </c>
    </row>
    <row r="4251">
      <c r="A4251" t="inlineStr">
        <is>
          <t>28 Apr 2026 / Jodie Bowen</t>
        </is>
      </c>
      <c r="B4251" t="inlineStr">
        <is>
          <t>Infrastructure &amp; Utilities</t>
        </is>
      </c>
      <c r="C4251" t="inlineStr">
        <is>
          <t>UKPN</t>
        </is>
      </c>
      <c r="D4251" t="inlineStr">
        <is>
          <t>AF22XRA , Car - Electric , Tesla , Model 3 Long Range AWD</t>
        </is>
      </c>
      <c r="E4251" t="inlineStr">
        <is>
          <t>AF22XRA , Car - Electric , Tesla , Model 3 Long Range AWD</t>
        </is>
      </c>
      <c r="F4251" t="inlineStr">
        <is>
          <t>AF22XRA , Car - Electric , Tesla , Model 3 Long Range AWD</t>
        </is>
      </c>
      <c r="G4251" t="inlineStr">
        <is>
          <t>Jodie Bowen</t>
        </is>
      </c>
      <c r="H4251" t="inlineStr">
        <is>
          <t>Car - Electric (GC Owned)</t>
        </is>
      </c>
      <c r="I4251" t="inlineStr">
        <is>
          <t>Daily/ Weekly Vehicle Inspection</t>
        </is>
      </c>
      <c r="J4251" t="inlineStr">
        <is>
          <t>N/A</t>
        </is>
      </c>
      <c r="K4251" t="inlineStr">
        <is>
          <t>Jodie Bowen</t>
        </is>
      </c>
      <c r="L4251" t="inlineStr">
        <is>
          <t>28/04/2026 09:50</t>
        </is>
      </c>
      <c r="M4251" t="inlineStr">
        <is>
          <t>None</t>
        </is>
      </c>
      <c r="N4251" t="inlineStr">
        <is>
          <t>&lt;p&gt;&lt;/p&gt;</t>
        </is>
      </c>
      <c r="O4251" t="inlineStr"/>
      <c r="P4251" t="inlineStr">
        <is>
          <t>AF22XRA , Car - Electric , Tesla , Model 3 Long Range AWD</t>
        </is>
      </c>
      <c r="Q4251" t="inlineStr">
        <is>
          <t>UKPN</t>
        </is>
      </c>
      <c r="R4251" t="b">
        <v>0</v>
      </c>
    </row>
    <row r="4252">
      <c r="A4252" t="inlineStr">
        <is>
          <t>28 Apr 2026 / Harry Bellis</t>
        </is>
      </c>
      <c r="B4252" t="inlineStr">
        <is>
          <t>Infrastructure &amp; Utilities</t>
        </is>
      </c>
      <c r="C4252" t="inlineStr">
        <is>
          <t>SSE</t>
        </is>
      </c>
      <c r="D4252" t="inlineStr">
        <is>
          <t>EO73KUG , Car - Electric , Kia , Niro</t>
        </is>
      </c>
      <c r="E4252" t="inlineStr">
        <is>
          <t>EO73KUG , Car - Electric , Kia , Niro</t>
        </is>
      </c>
      <c r="F4252" t="inlineStr">
        <is>
          <t>EO73KUG , Car - Electric , Kia , Niro</t>
        </is>
      </c>
      <c r="G4252" t="inlineStr">
        <is>
          <t>Harry Bellis</t>
        </is>
      </c>
      <c r="H4252" t="inlineStr">
        <is>
          <t>Car - Electric (GC Owned)</t>
        </is>
      </c>
      <c r="I4252" t="inlineStr">
        <is>
          <t>Daily/ Weekly Vehicle Inspection</t>
        </is>
      </c>
      <c r="J4252" t="inlineStr">
        <is>
          <t>N/A</t>
        </is>
      </c>
      <c r="K4252" t="inlineStr">
        <is>
          <t>Harry Bellis</t>
        </is>
      </c>
      <c r="L4252" t="inlineStr">
        <is>
          <t>28/04/2026 09:51</t>
        </is>
      </c>
      <c r="M4252" t="inlineStr">
        <is>
          <t>None</t>
        </is>
      </c>
      <c r="N4252" t="inlineStr">
        <is>
          <t>&lt;p&gt;&lt;/p&gt;</t>
        </is>
      </c>
      <c r="O4252" t="inlineStr"/>
      <c r="P4252" t="inlineStr">
        <is>
          <t>EO73KUG , Car - Electric , Kia , Niro</t>
        </is>
      </c>
      <c r="Q4252" t="inlineStr">
        <is>
          <t>SSE</t>
        </is>
      </c>
      <c r="R4252" t="b">
        <v>0</v>
      </c>
    </row>
    <row r="4253">
      <c r="A4253" t="inlineStr">
        <is>
          <t>28 Apr 2026 / Andrew Goode</t>
        </is>
      </c>
      <c r="B4253" t="inlineStr">
        <is>
          <t>Infrastructure &amp; Utilities</t>
        </is>
      </c>
      <c r="C4253" t="inlineStr">
        <is>
          <t>NGED</t>
        </is>
      </c>
      <c r="D4253" t="inlineStr"/>
      <c r="E4253" t="inlineStr"/>
      <c r="F4253" t="inlineStr"/>
      <c r="G4253" t="inlineStr"/>
      <c r="H4253" t="inlineStr"/>
      <c r="I4253" t="inlineStr">
        <is>
          <t>Add to Vehicle to the GC Vehicle List</t>
        </is>
      </c>
      <c r="J4253" t="inlineStr">
        <is>
          <t>N/A</t>
        </is>
      </c>
      <c r="K4253" t="inlineStr">
        <is>
          <t>Andrew Goode</t>
        </is>
      </c>
      <c r="L4253" t="inlineStr">
        <is>
          <t>28/04/2026 11:50</t>
        </is>
      </c>
      <c r="M4253" t="inlineStr">
        <is>
          <t>None</t>
        </is>
      </c>
      <c r="N4253" t="inlineStr">
        <is>
          <t>&lt;p&gt;&lt;/p&gt;</t>
        </is>
      </c>
      <c r="O4253" t="inlineStr"/>
      <c r="P4253" t="inlineStr"/>
      <c r="Q4253" t="inlineStr">
        <is>
          <t>NGED</t>
        </is>
      </c>
      <c r="R4253" t="b">
        <v>0</v>
      </c>
    </row>
    <row r="4254">
      <c r="A4254" t="inlineStr">
        <is>
          <t>28 Apr 2026 / Luke Power</t>
        </is>
      </c>
      <c r="B4254" t="inlineStr">
        <is>
          <t>Infrastructure &amp; Utilities</t>
        </is>
      </c>
      <c r="C4254" t="inlineStr">
        <is>
          <t>NGED</t>
        </is>
      </c>
      <c r="D4254" t="inlineStr"/>
      <c r="E4254" t="inlineStr"/>
      <c r="F4254" t="inlineStr"/>
      <c r="G4254" t="inlineStr">
        <is>
          <t>Luke power</t>
        </is>
      </c>
      <c r="H4254" t="inlineStr">
        <is>
          <t>Van</t>
        </is>
      </c>
      <c r="I4254" t="inlineStr">
        <is>
          <t>Daily/ Weekly Vehicle Inspection</t>
        </is>
      </c>
      <c r="J4254" t="inlineStr">
        <is>
          <t>N/A</t>
        </is>
      </c>
      <c r="K4254" t="inlineStr">
        <is>
          <t>Luke Power</t>
        </is>
      </c>
      <c r="L4254" t="inlineStr">
        <is>
          <t>28/04/2026 12:54</t>
        </is>
      </c>
      <c r="M4254" t="inlineStr">
        <is>
          <t>None</t>
        </is>
      </c>
      <c r="N4254" t="inlineStr">
        <is>
          <t>&lt;p&gt;&lt;/p&gt;</t>
        </is>
      </c>
      <c r="O4254" t="inlineStr">
        <is>
          <t>Is this a hired Vehicle?:Arnold clark
-</t>
        </is>
      </c>
      <c r="P4254" t="inlineStr"/>
      <c r="Q4254" t="inlineStr">
        <is>
          <t>NGED</t>
        </is>
      </c>
      <c r="R4254" t="b">
        <v>0</v>
      </c>
    </row>
    <row r="4255">
      <c r="A4255" t="inlineStr">
        <is>
          <t>28 Apr 2026 / 7951 Austin Tree Care LTD</t>
        </is>
      </c>
      <c r="B4255" t="inlineStr">
        <is>
          <t>Infrastructure &amp; Utilities</t>
        </is>
      </c>
      <c r="C4255" t="inlineStr">
        <is>
          <t>UKPN</t>
        </is>
      </c>
      <c r="D4255" t="inlineStr">
        <is>
          <t>SA9ST6P0001283612 , Towed Chipper , Forst , ST6p</t>
        </is>
      </c>
      <c r="E4255" t="inlineStr">
        <is>
          <t>SA9ST6P0001283612 , Towed Chipper , Forst , ST6p</t>
        </is>
      </c>
      <c r="F4255" t="inlineStr">
        <is>
          <t>SA9ST6P0001283612 , Towed Chipper , Forst , ST6p</t>
        </is>
      </c>
      <c r="G4255" t="inlineStr">
        <is>
          <t xml:space="preserve">Jack Austin </t>
        </is>
      </c>
      <c r="H4255" t="inlineStr">
        <is>
          <t>Towed Chipper</t>
        </is>
      </c>
      <c r="I4255" t="inlineStr">
        <is>
          <t>Daily/ Weekly Vehicle Inspection</t>
        </is>
      </c>
      <c r="J4255" t="inlineStr">
        <is>
          <t>N/A</t>
        </is>
      </c>
      <c r="K4255" t="inlineStr">
        <is>
          <t>7951 Austin Tree Care LTD</t>
        </is>
      </c>
      <c r="L4255" t="inlineStr">
        <is>
          <t>29/04/2026 00:50</t>
        </is>
      </c>
      <c r="M4255" t="inlineStr">
        <is>
          <t>None</t>
        </is>
      </c>
      <c r="N4255" t="inlineStr">
        <is>
          <t>&lt;p&gt;&lt;/p&gt;</t>
        </is>
      </c>
      <c r="O4255" t="inlineStr"/>
      <c r="P4255" t="inlineStr">
        <is>
          <t>SA9ST6P0001283612 , Towed Chipper , Forst , ST6p</t>
        </is>
      </c>
      <c r="Q4255" t="inlineStr">
        <is>
          <t>UKPN</t>
        </is>
      </c>
      <c r="R4255" t="b">
        <v>0</v>
      </c>
    </row>
    <row r="4256">
      <c r="A4256" t="inlineStr">
        <is>
          <t>28 Apr 2026 / 7951 Austin Tree Care LTD</t>
        </is>
      </c>
      <c r="B4256" t="inlineStr">
        <is>
          <t>Infrastructure &amp; Utilities</t>
        </is>
      </c>
      <c r="C4256" t="inlineStr">
        <is>
          <t>UKPN</t>
        </is>
      </c>
      <c r="D4256" t="inlineStr">
        <is>
          <t>SA9ST6P0001283612 , Towed Chipper , Forst , ST6p</t>
        </is>
      </c>
      <c r="E4256" t="inlineStr">
        <is>
          <t>SA9ST6P0001283612 , Towed Chipper , Forst , ST6p</t>
        </is>
      </c>
      <c r="F4256" t="inlineStr">
        <is>
          <t>SA9ST6P0001283612 , Towed Chipper , Forst , ST6p</t>
        </is>
      </c>
      <c r="G4256" t="inlineStr">
        <is>
          <t xml:space="preserve">Jack Austin </t>
        </is>
      </c>
      <c r="H4256" t="inlineStr">
        <is>
          <t>Towed Chipper</t>
        </is>
      </c>
      <c r="I4256" t="inlineStr">
        <is>
          <t>Daily/ Weekly Vehicle Inspection</t>
        </is>
      </c>
      <c r="J4256" t="inlineStr">
        <is>
          <t>N/A</t>
        </is>
      </c>
      <c r="K4256" t="inlineStr">
        <is>
          <t>7951 Austin Tree Care LTD</t>
        </is>
      </c>
      <c r="L4256" t="inlineStr">
        <is>
          <t>29/04/2026 01:51</t>
        </is>
      </c>
      <c r="M4256" t="inlineStr">
        <is>
          <t>None</t>
        </is>
      </c>
      <c r="N4256" t="inlineStr">
        <is>
          <t>&lt;p&gt;&lt;/p&gt;</t>
        </is>
      </c>
      <c r="O4256" t="inlineStr"/>
      <c r="P4256" t="inlineStr">
        <is>
          <t>SA9ST6P0001283612 , Towed Chipper , Forst , ST6p</t>
        </is>
      </c>
      <c r="Q4256" t="inlineStr">
        <is>
          <t>UKPN</t>
        </is>
      </c>
      <c r="R4256" t="b">
        <v>0</v>
      </c>
    </row>
    <row r="4257">
      <c r="A4257" t="inlineStr">
        <is>
          <t>29 Apr 2026 / Benet Jones</t>
        </is>
      </c>
      <c r="B4257" t="inlineStr">
        <is>
          <t>Infrastructure &amp; Utilities</t>
        </is>
      </c>
      <c r="C4257" t="inlineStr">
        <is>
          <t>NGED</t>
        </is>
      </c>
      <c r="D4257" t="inlineStr">
        <is>
          <t>GF71TXC , Car - Electric , Tesla , Model 3 Long Range AWD</t>
        </is>
      </c>
      <c r="E4257" t="inlineStr">
        <is>
          <t>GF71TXC , Car - Electric , Tesla , Model 3 Long Range AWD</t>
        </is>
      </c>
      <c r="F4257" t="inlineStr">
        <is>
          <t>GF71TXC , Car - Electric , Tesla , Model 3 Long Range AWD</t>
        </is>
      </c>
      <c r="G4257" t="inlineStr">
        <is>
          <t xml:space="preserve">Benet Jones </t>
        </is>
      </c>
      <c r="H4257" t="inlineStr">
        <is>
          <t>Car - Electric (GC Owned)</t>
        </is>
      </c>
      <c r="I4257" t="inlineStr">
        <is>
          <t>Daily/ Weekly Vehicle Inspection</t>
        </is>
      </c>
      <c r="J4257" t="inlineStr">
        <is>
          <t>N/A</t>
        </is>
      </c>
      <c r="K4257" t="inlineStr">
        <is>
          <t>Benet Jones</t>
        </is>
      </c>
      <c r="L4257" t="inlineStr">
        <is>
          <t>29/04/2026 06:52</t>
        </is>
      </c>
      <c r="M4257" t="inlineStr">
        <is>
          <t>None</t>
        </is>
      </c>
      <c r="N4257" t="inlineStr">
        <is>
          <t>&lt;p&gt;&lt;/p&gt;</t>
        </is>
      </c>
      <c r="O4257" t="inlineStr">
        <is>
          <t>Confirm that you have checked this vehicle as per the guidance document and the vehicle is safe and roadworthy:Car checked and fully serviceable
-</t>
        </is>
      </c>
      <c r="P4257" t="inlineStr">
        <is>
          <t>GF71TXC , Car - Electric , Tesla , Model 3 Long Range AWD</t>
        </is>
      </c>
      <c r="Q4257" t="inlineStr">
        <is>
          <t>NGED</t>
        </is>
      </c>
      <c r="R4257" t="b">
        <v>0</v>
      </c>
    </row>
    <row r="4258">
      <c r="A4258" t="inlineStr">
        <is>
          <t>29 Apr 2026 / 7800 MAC Tree Surgery and Fencing Ltd / Utilities / UKPN</t>
        </is>
      </c>
      <c r="B4258" t="inlineStr">
        <is>
          <t>Utilities</t>
        </is>
      </c>
      <c r="C4258" t="inlineStr">
        <is>
          <t>UKPN</t>
        </is>
      </c>
      <c r="D4258" t="inlineStr">
        <is>
          <t>AY68DAA , 4x4 , Izuzu , Dmax</t>
        </is>
      </c>
      <c r="E4258" t="inlineStr">
        <is>
          <t>AY68DAA , 4x4 , Izuzu , Dmax</t>
        </is>
      </c>
      <c r="F4258" t="inlineStr">
        <is>
          <t>AY68DAA , 4x4 , Izuzu , Dmax</t>
        </is>
      </c>
      <c r="G4258" t="inlineStr">
        <is>
          <t xml:space="preserve">Lewis Mac </t>
        </is>
      </c>
      <c r="H4258" t="inlineStr">
        <is>
          <t>4x4</t>
        </is>
      </c>
      <c r="I4258" t="inlineStr">
        <is>
          <t>Daily/ Weekly Vehicle Inspection</t>
        </is>
      </c>
      <c r="J4258" t="inlineStr">
        <is>
          <t>N/A</t>
        </is>
      </c>
      <c r="K4258" t="inlineStr">
        <is>
          <t>7800 MAC Tree Surgery and Fencing Ltd</t>
        </is>
      </c>
      <c r="L4258" t="inlineStr">
        <is>
          <t>29/04/2026 07:53</t>
        </is>
      </c>
      <c r="M4258" t="inlineStr">
        <is>
          <t>None</t>
        </is>
      </c>
      <c r="N4258" t="inlineStr">
        <is>
          <t>&lt;p&gt;&lt;/p&gt;</t>
        </is>
      </c>
      <c r="O4258" t="inlineStr"/>
      <c r="P4258" t="inlineStr">
        <is>
          <t>AY68DAA , 4x4 , Izuzu , Dmax</t>
        </is>
      </c>
      <c r="Q4258" t="inlineStr">
        <is>
          <t>UKPN</t>
        </is>
      </c>
      <c r="R4258" t="b">
        <v>0</v>
      </c>
    </row>
    <row r="4259">
      <c r="A4259" t="inlineStr">
        <is>
          <t>29 Apr 2026 / 7800 MAC Tree Surgery and Fencing Ltd</t>
        </is>
      </c>
      <c r="B4259" t="inlineStr">
        <is>
          <t>Infrastructure &amp; Utilities</t>
        </is>
      </c>
      <c r="C4259" t="inlineStr">
        <is>
          <t>UKPN</t>
        </is>
      </c>
      <c r="D4259" t="inlineStr">
        <is>
          <t>0 , Plant Trailer , Towmate , 2.8t</t>
        </is>
      </c>
      <c r="E4259" t="inlineStr">
        <is>
          <t>0 , Plant Trailer , Towmate , 2.8t</t>
        </is>
      </c>
      <c r="F4259" t="inlineStr">
        <is>
          <t>0 , Plant Trailer , Towmate , 2.8t</t>
        </is>
      </c>
      <c r="G4259" t="inlineStr">
        <is>
          <t xml:space="preserve">Patrick oshea </t>
        </is>
      </c>
      <c r="H4259" t="inlineStr">
        <is>
          <t>Plant Trailer</t>
        </is>
      </c>
      <c r="I4259" t="inlineStr">
        <is>
          <t>Daily/ Weekly Vehicle Inspection</t>
        </is>
      </c>
      <c r="J4259" t="inlineStr">
        <is>
          <t>N/A</t>
        </is>
      </c>
      <c r="K4259" t="inlineStr">
        <is>
          <t>7800 MAC Tree Surgery and Fencing Ltd</t>
        </is>
      </c>
      <c r="L4259" t="inlineStr">
        <is>
          <t>29/04/2026 07:53</t>
        </is>
      </c>
      <c r="M4259" t="inlineStr">
        <is>
          <t>None</t>
        </is>
      </c>
      <c r="N4259" t="inlineStr">
        <is>
          <t>&lt;p&gt;&lt;/p&gt;</t>
        </is>
      </c>
      <c r="O4259" t="inlineStr"/>
      <c r="P4259" t="inlineStr">
        <is>
          <t>0 , Plant Trailer , Towmate , 2.8t</t>
        </is>
      </c>
      <c r="Q4259" t="inlineStr">
        <is>
          <t>UKPN</t>
        </is>
      </c>
      <c r="R4259" t="b">
        <v>0</v>
      </c>
    </row>
    <row r="4260">
      <c r="A4260" t="inlineStr">
        <is>
          <t>29 Apr 2026 / 7951 Austin Tree Care LTD</t>
        </is>
      </c>
      <c r="B4260" t="inlineStr">
        <is>
          <t>Infrastructure &amp; Utilities</t>
        </is>
      </c>
      <c r="C4260" t="inlineStr">
        <is>
          <t>UKPN</t>
        </is>
      </c>
      <c r="D4260" t="inlineStr">
        <is>
          <t>SA9ST6P0001283612 , Towed Chipper , Forst , ST6p</t>
        </is>
      </c>
      <c r="E4260" t="inlineStr">
        <is>
          <t>SA9ST6P0001283612 , Towed Chipper , Forst , ST6p</t>
        </is>
      </c>
      <c r="F4260" t="inlineStr">
        <is>
          <t>SA9ST6P0001283612 , Towed Chipper , Forst , ST6p</t>
        </is>
      </c>
      <c r="G4260" t="inlineStr">
        <is>
          <t xml:space="preserve">Jack Austin </t>
        </is>
      </c>
      <c r="H4260" t="inlineStr">
        <is>
          <t>Towed Chipper</t>
        </is>
      </c>
      <c r="I4260" t="inlineStr">
        <is>
          <t>Daily/ Weekly Vehicle Inspection</t>
        </is>
      </c>
      <c r="J4260" t="inlineStr">
        <is>
          <t>N/A</t>
        </is>
      </c>
      <c r="K4260" t="inlineStr">
        <is>
          <t>7951 Austin Tree Care LTD</t>
        </is>
      </c>
      <c r="L4260" t="inlineStr">
        <is>
          <t>29/04/2026 07:54</t>
        </is>
      </c>
      <c r="M4260" t="inlineStr">
        <is>
          <t>None</t>
        </is>
      </c>
      <c r="N4260" t="inlineStr">
        <is>
          <t>&lt;p&gt;&lt;/p&gt;</t>
        </is>
      </c>
      <c r="O4260" t="inlineStr"/>
      <c r="P4260" t="inlineStr">
        <is>
          <t>SA9ST6P0001283612 , Towed Chipper , Forst , ST6p</t>
        </is>
      </c>
      <c r="Q4260" t="inlineStr">
        <is>
          <t>UKPN</t>
        </is>
      </c>
      <c r="R4260" t="b">
        <v>0</v>
      </c>
    </row>
    <row r="4261">
      <c r="A4261" t="inlineStr">
        <is>
          <t>29 Apr 2026 / 7951 Austin Tree Care LTD</t>
        </is>
      </c>
      <c r="B4261" t="inlineStr">
        <is>
          <t>Infrastructure &amp; Utilities</t>
        </is>
      </c>
      <c r="C4261" t="inlineStr">
        <is>
          <t>UKPN</t>
        </is>
      </c>
      <c r="D4261" t="inlineStr">
        <is>
          <t>WG64HTT , 4x4 , Land Rover , Defender 110</t>
        </is>
      </c>
      <c r="E4261" t="inlineStr">
        <is>
          <t>WG64HTT , 4x4 , Land Rover , Defender 110</t>
        </is>
      </c>
      <c r="F4261" t="inlineStr">
        <is>
          <t>WG64HTT , 4x4 , Land Rover , Defender 110</t>
        </is>
      </c>
      <c r="G4261" t="inlineStr">
        <is>
          <t xml:space="preserve">Jack Austin </t>
        </is>
      </c>
      <c r="H4261" t="inlineStr">
        <is>
          <t>4x4</t>
        </is>
      </c>
      <c r="I4261" t="inlineStr">
        <is>
          <t>Daily/ Weekly Vehicle Inspection</t>
        </is>
      </c>
      <c r="J4261" t="inlineStr">
        <is>
          <t>N/A</t>
        </is>
      </c>
      <c r="K4261" t="inlineStr">
        <is>
          <t>7951 Austin Tree Care LTD</t>
        </is>
      </c>
      <c r="L4261" t="inlineStr">
        <is>
          <t>29/04/2026 07:55</t>
        </is>
      </c>
      <c r="M4261" t="inlineStr">
        <is>
          <t>None</t>
        </is>
      </c>
      <c r="N4261" t="inlineStr">
        <is>
          <t>&lt;p&gt;&lt;/p&gt;</t>
        </is>
      </c>
      <c r="O4261" t="inlineStr"/>
      <c r="P4261" t="inlineStr">
        <is>
          <t>WG64HTT , 4x4 , Land Rover , Defender 110</t>
        </is>
      </c>
      <c r="Q4261" t="inlineStr">
        <is>
          <t>UKPN</t>
        </is>
      </c>
      <c r="R4261" t="b">
        <v>0</v>
      </c>
    </row>
    <row r="4262">
      <c r="A4262" t="inlineStr">
        <is>
          <t>29 Apr 2026 / 7186 Eastwoodbury Tree Services Ltd 2</t>
        </is>
      </c>
      <c r="B4262" t="inlineStr">
        <is>
          <t>Infrastructure &amp; Utilities</t>
        </is>
      </c>
      <c r="C4262" t="inlineStr">
        <is>
          <t>UKPN</t>
        </is>
      </c>
      <c r="D4262" t="inlineStr">
        <is>
          <t>WF13 EKT , 4x4 , Land rover  , Defender</t>
        </is>
      </c>
      <c r="E4262" t="inlineStr">
        <is>
          <t>WF13 EKT , 4x4 , Land rover  , Defender</t>
        </is>
      </c>
      <c r="F4262" t="inlineStr">
        <is>
          <t>WF13 EKT , 4x4 , Land rover  , Defender</t>
        </is>
      </c>
      <c r="G4262" t="inlineStr">
        <is>
          <t xml:space="preserve">Dan Gilbert </t>
        </is>
      </c>
      <c r="H4262" t="inlineStr">
        <is>
          <t>4x4</t>
        </is>
      </c>
      <c r="I4262" t="inlineStr">
        <is>
          <t>Daily/ Weekly Vehicle Inspection</t>
        </is>
      </c>
      <c r="J4262" t="inlineStr">
        <is>
          <t>N/A</t>
        </is>
      </c>
      <c r="K4262" t="inlineStr">
        <is>
          <t>7186 Eastwoodbury Tree Services Ltd 2</t>
        </is>
      </c>
      <c r="L4262" t="inlineStr">
        <is>
          <t>29/04/2026 07:55</t>
        </is>
      </c>
      <c r="M4262" t="inlineStr">
        <is>
          <t>None</t>
        </is>
      </c>
      <c r="N4262" t="inlineStr">
        <is>
          <t>&lt;p&gt;&lt;/p&gt;</t>
        </is>
      </c>
      <c r="O4262" t="inlineStr"/>
      <c r="P4262" t="inlineStr">
        <is>
          <t>WF13 EKT , 4x4 , Land rover  , Defender</t>
        </is>
      </c>
      <c r="Q4262" t="inlineStr">
        <is>
          <t>UKPN</t>
        </is>
      </c>
      <c r="R4262" t="b">
        <v>0</v>
      </c>
    </row>
    <row r="4263">
      <c r="A4263" t="inlineStr">
        <is>
          <t>29 Apr 2026 / 7186 Eastwoodbury Tree Services Ltd 2</t>
        </is>
      </c>
      <c r="B4263" t="inlineStr">
        <is>
          <t>Infrastructure &amp; Utilities</t>
        </is>
      </c>
      <c r="C4263" t="inlineStr">
        <is>
          <t>UKPN</t>
        </is>
      </c>
      <c r="D4263" t="inlineStr">
        <is>
          <t>WF13 EKM , 4x4 , Land rover  , Defenders</t>
        </is>
      </c>
      <c r="E4263" t="inlineStr">
        <is>
          <t>WF13 EKM , 4x4 , Land rover  , Defenders</t>
        </is>
      </c>
      <c r="F4263" t="inlineStr">
        <is>
          <t>WF13 EKM , 4x4 , Land rover  , Defenders</t>
        </is>
      </c>
      <c r="G4263" t="inlineStr">
        <is>
          <t xml:space="preserve">Luke Williams </t>
        </is>
      </c>
      <c r="H4263" t="inlineStr">
        <is>
          <t>4x4</t>
        </is>
      </c>
      <c r="I4263" t="inlineStr">
        <is>
          <t>Daily/ Weekly Vehicle Inspection</t>
        </is>
      </c>
      <c r="J4263" t="inlineStr">
        <is>
          <t>N/A</t>
        </is>
      </c>
      <c r="K4263" t="inlineStr">
        <is>
          <t>7186 Eastwoodbury Tree Services Ltd 2</t>
        </is>
      </c>
      <c r="L4263" t="inlineStr">
        <is>
          <t>29/04/2026 07:56</t>
        </is>
      </c>
      <c r="M4263" t="inlineStr">
        <is>
          <t>None</t>
        </is>
      </c>
      <c r="N4263" t="inlineStr">
        <is>
          <t>&lt;p&gt;&lt;/p&gt;</t>
        </is>
      </c>
      <c r="O4263" t="inlineStr"/>
      <c r="P4263" t="inlineStr">
        <is>
          <t>WF13 EKM , 4x4 , Land rover  , Defenders</t>
        </is>
      </c>
      <c r="Q4263" t="inlineStr">
        <is>
          <t>UKPN</t>
        </is>
      </c>
      <c r="R4263" t="b">
        <v>0</v>
      </c>
    </row>
    <row r="4264">
      <c r="A4264" t="inlineStr">
        <is>
          <t>28 Apr 2026 / 7186 Eastwoodbury Tree Services Ltd 2</t>
        </is>
      </c>
      <c r="B4264" t="inlineStr">
        <is>
          <t>Infrastructure &amp; Utilities</t>
        </is>
      </c>
      <c r="C4264" t="inlineStr">
        <is>
          <t>UKPN</t>
        </is>
      </c>
      <c r="D4264" t="inlineStr">
        <is>
          <t>WF13 EKM , 4x4 , Land rover  , Defenders</t>
        </is>
      </c>
      <c r="E4264" t="inlineStr">
        <is>
          <t>WF13 EKM , 4x4 , Land rover  , Defenders</t>
        </is>
      </c>
      <c r="F4264" t="inlineStr">
        <is>
          <t>WF13 EKM , 4x4 , Land rover  , Defenders</t>
        </is>
      </c>
      <c r="G4264" t="inlineStr">
        <is>
          <t xml:space="preserve">Luke Williams </t>
        </is>
      </c>
      <c r="H4264" t="inlineStr">
        <is>
          <t>4x4</t>
        </is>
      </c>
      <c r="I4264" t="inlineStr">
        <is>
          <t>Daily/ Weekly Vehicle Inspection</t>
        </is>
      </c>
      <c r="J4264" t="inlineStr">
        <is>
          <t>N/A</t>
        </is>
      </c>
      <c r="K4264" t="inlineStr">
        <is>
          <t>7186 Eastwoodbury Tree Services Ltd 2</t>
        </is>
      </c>
      <c r="L4264" t="inlineStr">
        <is>
          <t>29/04/2026 07:56</t>
        </is>
      </c>
      <c r="M4264" t="inlineStr">
        <is>
          <t>None</t>
        </is>
      </c>
      <c r="N4264" t="inlineStr">
        <is>
          <t>&lt;p&gt;&lt;/p&gt;</t>
        </is>
      </c>
      <c r="O4264" t="inlineStr"/>
      <c r="P4264" t="inlineStr">
        <is>
          <t>WF13 EKM , 4x4 , Land rover  , Defenders</t>
        </is>
      </c>
      <c r="Q4264" t="inlineStr">
        <is>
          <t>UKPN</t>
        </is>
      </c>
      <c r="R4264" t="b">
        <v>0</v>
      </c>
    </row>
    <row r="4265">
      <c r="A4265" t="inlineStr">
        <is>
          <t>29 Apr 2026 / 7806 Optimum Tree Services Ltd</t>
        </is>
      </c>
      <c r="B4265" t="inlineStr">
        <is>
          <t>Infrastructure &amp; Utilities</t>
        </is>
      </c>
      <c r="C4265" t="inlineStr">
        <is>
          <t>UKPN</t>
        </is>
      </c>
      <c r="D4265" t="inlineStr">
        <is>
          <t>NA10SYZ , Tipper , Ford , Transit</t>
        </is>
      </c>
      <c r="E4265" t="inlineStr">
        <is>
          <t>NA10SYZ , Tipper , Ford , Transit</t>
        </is>
      </c>
      <c r="F4265" t="inlineStr">
        <is>
          <t>NA10SYZ , Tipper , Ford , Transit</t>
        </is>
      </c>
      <c r="G4265" t="inlineStr">
        <is>
          <t xml:space="preserve">Abraham Davies </t>
        </is>
      </c>
      <c r="H4265" t="inlineStr">
        <is>
          <t>Tipper</t>
        </is>
      </c>
      <c r="I4265" t="inlineStr">
        <is>
          <t>Daily/ Weekly Vehicle Inspection</t>
        </is>
      </c>
      <c r="J4265" t="inlineStr">
        <is>
          <t>N/A</t>
        </is>
      </c>
      <c r="K4265" t="inlineStr">
        <is>
          <t>7806 Optimum Tree Services Ltd</t>
        </is>
      </c>
      <c r="L4265" t="inlineStr">
        <is>
          <t>29/04/2026 07:58</t>
        </is>
      </c>
      <c r="M4265" t="inlineStr">
        <is>
          <t>None</t>
        </is>
      </c>
      <c r="N4265" t="inlineStr">
        <is>
          <t>&lt;p&gt;&lt;/p&gt;</t>
        </is>
      </c>
      <c r="O4265" t="inlineStr"/>
      <c r="P4265" t="inlineStr">
        <is>
          <t>NA10SYZ , Tipper , Ford , Transit</t>
        </is>
      </c>
      <c r="Q4265" t="inlineStr">
        <is>
          <t>UKPN</t>
        </is>
      </c>
      <c r="R4265" t="b">
        <v>0</v>
      </c>
    </row>
    <row r="4266">
      <c r="A4266" t="inlineStr">
        <is>
          <t>29 Apr 2026 / 7996 M G Tree Surgery Ltd 1</t>
        </is>
      </c>
      <c r="B4266" t="inlineStr">
        <is>
          <t>Infrastructure &amp; Utilities</t>
        </is>
      </c>
      <c r="C4266" t="inlineStr">
        <is>
          <t>UKPN</t>
        </is>
      </c>
      <c r="D4266" t="inlineStr"/>
      <c r="E4266" t="inlineStr"/>
      <c r="F4266" t="inlineStr"/>
      <c r="G4266" t="inlineStr">
        <is>
          <t>Anthony Gale</t>
        </is>
      </c>
      <c r="H4266" t="inlineStr">
        <is>
          <t>Towed Chipper</t>
        </is>
      </c>
      <c r="I4266" t="inlineStr">
        <is>
          <t>Daily/ Weekly Vehicle Inspection</t>
        </is>
      </c>
      <c r="J4266" t="inlineStr">
        <is>
          <t>N/A</t>
        </is>
      </c>
      <c r="K4266" t="inlineStr">
        <is>
          <t>7996 M G Tree Surgery Ltd 1</t>
        </is>
      </c>
      <c r="L4266" t="inlineStr">
        <is>
          <t>29/04/2026 07:58</t>
        </is>
      </c>
      <c r="M4266" t="inlineStr">
        <is>
          <t>None</t>
        </is>
      </c>
      <c r="N4266" t="inlineStr">
        <is>
          <t>&lt;p&gt;&lt;/p&gt;</t>
        </is>
      </c>
      <c r="O4266" t="inlineStr"/>
      <c r="P4266" t="inlineStr"/>
      <c r="Q4266" t="inlineStr">
        <is>
          <t>UKPN</t>
        </is>
      </c>
      <c r="R4266" t="b">
        <v>0</v>
      </c>
    </row>
    <row r="4267">
      <c r="A4267" t="inlineStr">
        <is>
          <t>29 Apr 2026 / 7186 Eastwoodbury Tree Services Ltd</t>
        </is>
      </c>
      <c r="B4267" t="inlineStr">
        <is>
          <t>Infrastructure &amp; Utilities</t>
        </is>
      </c>
      <c r="C4267" t="inlineStr">
        <is>
          <t>UKPN</t>
        </is>
      </c>
      <c r="D4267" t="inlineStr">
        <is>
          <t>DE53NKS , 4x4 , Ford , Ranger</t>
        </is>
      </c>
      <c r="E4267" t="inlineStr">
        <is>
          <t>DE53NKS , 4x4 , Ford , Ranger</t>
        </is>
      </c>
      <c r="F4267" t="inlineStr">
        <is>
          <t>DE53NKS , 4x4 , Ford , Ranger</t>
        </is>
      </c>
      <c r="G4267" t="inlineStr">
        <is>
          <t xml:space="preserve">Jay denkmayer </t>
        </is>
      </c>
      <c r="H4267" t="inlineStr">
        <is>
          <t>4x4</t>
        </is>
      </c>
      <c r="I4267" t="inlineStr">
        <is>
          <t>Daily/ Weekly Vehicle Inspection</t>
        </is>
      </c>
      <c r="J4267" t="inlineStr">
        <is>
          <t>N/A</t>
        </is>
      </c>
      <c r="K4267" t="inlineStr">
        <is>
          <t>7186 Eastwoodbury Tree Services Ltd</t>
        </is>
      </c>
      <c r="L4267" t="inlineStr">
        <is>
          <t>29/04/2026 07:59</t>
        </is>
      </c>
      <c r="M4267" t="inlineStr">
        <is>
          <t>None</t>
        </is>
      </c>
      <c r="N4267" t="inlineStr">
        <is>
          <t>&lt;p&gt;&lt;/p&gt;</t>
        </is>
      </c>
      <c r="O4267" t="inlineStr"/>
      <c r="P4267" t="inlineStr">
        <is>
          <t>DE53NKS , 4x4 , Ford , Ranger</t>
        </is>
      </c>
      <c r="Q4267" t="inlineStr">
        <is>
          <t>UKPN</t>
        </is>
      </c>
      <c r="R4267" t="b">
        <v>0</v>
      </c>
    </row>
    <row r="4268">
      <c r="A4268" t="inlineStr">
        <is>
          <t>29 Apr 2026 / 7996 M G Tree Surgery Ltd 1</t>
        </is>
      </c>
      <c r="B4268" t="inlineStr">
        <is>
          <t>Infrastructure &amp; Utilities</t>
        </is>
      </c>
      <c r="C4268" t="inlineStr">
        <is>
          <t>UKPN</t>
        </is>
      </c>
      <c r="D4268" t="inlineStr">
        <is>
          <t>KX20 BCE , Tipper , Isuzu , D-Max</t>
        </is>
      </c>
      <c r="E4268" t="inlineStr">
        <is>
          <t>KX20 BCE , Tipper , Isuzu , D-Max</t>
        </is>
      </c>
      <c r="F4268" t="inlineStr">
        <is>
          <t>KX20 BCE , Tipper , Isuzu , D-Max</t>
        </is>
      </c>
      <c r="G4268" t="inlineStr">
        <is>
          <t xml:space="preserve">Anthony Gale </t>
        </is>
      </c>
      <c r="H4268" t="inlineStr">
        <is>
          <t>Pickup Truck</t>
        </is>
      </c>
      <c r="I4268" t="inlineStr">
        <is>
          <t>Daily/ Weekly Vehicle Inspection</t>
        </is>
      </c>
      <c r="J4268" t="inlineStr">
        <is>
          <t>N/A</t>
        </is>
      </c>
      <c r="K4268" t="inlineStr">
        <is>
          <t>7996 M G Tree Surgery Ltd 1</t>
        </is>
      </c>
      <c r="L4268" t="inlineStr">
        <is>
          <t>29/04/2026 08:00</t>
        </is>
      </c>
      <c r="M4268" t="inlineStr">
        <is>
          <t>None</t>
        </is>
      </c>
      <c r="N4268" t="inlineStr">
        <is>
          <t>&lt;p&gt;&lt;/p&gt;</t>
        </is>
      </c>
      <c r="O4268" t="inlineStr"/>
      <c r="P4268" t="inlineStr">
        <is>
          <t>KX20 BCE , Tipper , Isuzu , D-Max</t>
        </is>
      </c>
      <c r="Q4268" t="inlineStr">
        <is>
          <t>UKPN</t>
        </is>
      </c>
      <c r="R4268" t="b">
        <v>0</v>
      </c>
    </row>
    <row r="4269">
      <c r="A4269" t="inlineStr">
        <is>
          <t>29 Apr 2026 / 7889 Tree Tech Suffolk Ltd</t>
        </is>
      </c>
      <c r="B4269" t="inlineStr">
        <is>
          <t>Utilities &amp; Inland Waterways</t>
        </is>
      </c>
      <c r="C4269" t="inlineStr">
        <is>
          <t>UKPN</t>
        </is>
      </c>
      <c r="D4269" t="inlineStr">
        <is>
          <t>Tipper - Nissan - Navara - NS02TTS</t>
        </is>
      </c>
      <c r="E4269" t="inlineStr">
        <is>
          <t>Tipper - Nissan - Navara - NS02TTS</t>
        </is>
      </c>
      <c r="F4269" t="inlineStr">
        <is>
          <t>Tipper - Nissan - Navara - NS02TTS</t>
        </is>
      </c>
      <c r="G4269" t="inlineStr">
        <is>
          <t>Danny Appleby</t>
        </is>
      </c>
      <c r="H4269" t="inlineStr">
        <is>
          <t>Tipper</t>
        </is>
      </c>
      <c r="I4269" t="inlineStr">
        <is>
          <t>Daily/ Weekly Vehicle Inspection</t>
        </is>
      </c>
      <c r="J4269" t="inlineStr">
        <is>
          <t>N/A</t>
        </is>
      </c>
      <c r="K4269" t="inlineStr">
        <is>
          <t>7889 Tree Tech Suffolk Ltd</t>
        </is>
      </c>
      <c r="L4269" t="inlineStr">
        <is>
          <t>29/04/2026 08:00</t>
        </is>
      </c>
      <c r="M4269" t="inlineStr">
        <is>
          <t>None</t>
        </is>
      </c>
      <c r="N4269" t="inlineStr">
        <is>
          <t>&lt;p&gt;&lt;/p&gt;</t>
        </is>
      </c>
      <c r="O4269" t="inlineStr"/>
      <c r="P4269" t="inlineStr">
        <is>
          <t>Tipper - Nissan - Navara - NS02TTS</t>
        </is>
      </c>
      <c r="Q4269" t="inlineStr">
        <is>
          <t>UKPN</t>
        </is>
      </c>
      <c r="R4269" t="b">
        <v>0</v>
      </c>
    </row>
    <row r="4270">
      <c r="A4270" t="inlineStr">
        <is>
          <t>29 Apr 2026 / 6617 Ashdown Tree Limited 1</t>
        </is>
      </c>
      <c r="B4270" t="inlineStr">
        <is>
          <t>Infrastructure &amp; Utilities</t>
        </is>
      </c>
      <c r="C4270" t="inlineStr">
        <is>
          <t>UKPN</t>
        </is>
      </c>
      <c r="D4270" t="inlineStr">
        <is>
          <t>AV69 LVR , Tipper , Transit , Ford</t>
        </is>
      </c>
      <c r="E4270" t="inlineStr">
        <is>
          <t>AV69 LVR , Tipper , Transit , Ford</t>
        </is>
      </c>
      <c r="F4270" t="inlineStr">
        <is>
          <t>AV69 LVR , Tipper , Transit , Ford</t>
        </is>
      </c>
      <c r="G4270" t="inlineStr">
        <is>
          <t>Jamie</t>
        </is>
      </c>
      <c r="H4270" t="inlineStr">
        <is>
          <t>Tipper</t>
        </is>
      </c>
      <c r="I4270" t="inlineStr">
        <is>
          <t>Daily/ Weekly Vehicle Inspection</t>
        </is>
      </c>
      <c r="J4270" t="inlineStr">
        <is>
          <t>N/A</t>
        </is>
      </c>
      <c r="K4270" t="inlineStr">
        <is>
          <t>6617 Ashdown Tree Limited - Team 2</t>
        </is>
      </c>
      <c r="L4270" t="inlineStr">
        <is>
          <t>29/04/2026 08:01</t>
        </is>
      </c>
      <c r="M4270" t="inlineStr">
        <is>
          <t>None</t>
        </is>
      </c>
      <c r="N4270" t="inlineStr">
        <is>
          <t>&lt;p&gt;&lt;/p&gt;</t>
        </is>
      </c>
      <c r="O4270" t="inlineStr"/>
      <c r="P4270" t="inlineStr">
        <is>
          <t>AV69 LVR , Tipper , Transit , Ford</t>
        </is>
      </c>
      <c r="Q4270" t="inlineStr">
        <is>
          <t>UKPN</t>
        </is>
      </c>
      <c r="R4270" t="b">
        <v>0</v>
      </c>
    </row>
    <row r="4271">
      <c r="A4271" t="inlineStr">
        <is>
          <t>29 Apr 2026 / 6617 Ashdown Tree Limited 1</t>
        </is>
      </c>
      <c r="B4271" t="inlineStr">
        <is>
          <t>Infrastructure &amp; Utilities</t>
        </is>
      </c>
      <c r="C4271" t="inlineStr">
        <is>
          <t>UKPN</t>
        </is>
      </c>
      <c r="D4271" t="inlineStr">
        <is>
          <t>WG63OJS , 4x4 , Land rover  , defender</t>
        </is>
      </c>
      <c r="E4271" t="inlineStr">
        <is>
          <t>WG63OJS , 4x4 , Land rover  , defender</t>
        </is>
      </c>
      <c r="F4271" t="inlineStr">
        <is>
          <t>WG63OJS , 4x4 , Land rover  , defender</t>
        </is>
      </c>
      <c r="G4271" t="inlineStr">
        <is>
          <t>Dan</t>
        </is>
      </c>
      <c r="H4271" t="inlineStr">
        <is>
          <t>4x4</t>
        </is>
      </c>
      <c r="I4271" t="inlineStr">
        <is>
          <t>Daily/ Weekly Vehicle Inspection</t>
        </is>
      </c>
      <c r="J4271" t="inlineStr">
        <is>
          <t>N/A</t>
        </is>
      </c>
      <c r="K4271" t="inlineStr">
        <is>
          <t>6617 Ashdown Tree Limited - Team 2</t>
        </is>
      </c>
      <c r="L4271" t="inlineStr">
        <is>
          <t>29/04/2026 08:02</t>
        </is>
      </c>
      <c r="M4271" t="inlineStr">
        <is>
          <t>None</t>
        </is>
      </c>
      <c r="N4271" t="inlineStr">
        <is>
          <t>&lt;p&gt;&lt;/p&gt;</t>
        </is>
      </c>
      <c r="O4271" t="inlineStr"/>
      <c r="P4271" t="inlineStr">
        <is>
          <t>WG63OJS , 4x4 , Land rover  , defender</t>
        </is>
      </c>
      <c r="Q4271" t="inlineStr">
        <is>
          <t>UKPN</t>
        </is>
      </c>
      <c r="R4271" t="b">
        <v>0</v>
      </c>
    </row>
    <row r="4272">
      <c r="A4272" t="inlineStr">
        <is>
          <t>29 Apr 2026 / Jane Moore</t>
        </is>
      </c>
      <c r="B4272" t="inlineStr">
        <is>
          <t>Infrastructure &amp; Utilities</t>
        </is>
      </c>
      <c r="C4272" t="inlineStr">
        <is>
          <t>NGED</t>
        </is>
      </c>
      <c r="D4272" t="inlineStr">
        <is>
          <t>GL20TGZ , Car - Electric , Tesla , Model 3 Long Range AWD</t>
        </is>
      </c>
      <c r="E4272" t="inlineStr">
        <is>
          <t>GL20TGZ , Car - Electric , Tesla , Model 3 Long Range AWD</t>
        </is>
      </c>
      <c r="F4272" t="inlineStr">
        <is>
          <t>GL20TGZ , Car - Electric , Tesla , Model 3 Long Range AWD</t>
        </is>
      </c>
      <c r="G4272" t="inlineStr">
        <is>
          <t xml:space="preserve">Jane Moore </t>
        </is>
      </c>
      <c r="H4272" t="inlineStr">
        <is>
          <t>Car - Electric (GC Owned)</t>
        </is>
      </c>
      <c r="I4272" t="inlineStr">
        <is>
          <t>Daily/ Weekly Vehicle Inspection</t>
        </is>
      </c>
      <c r="J4272" t="inlineStr">
        <is>
          <t>N/A</t>
        </is>
      </c>
      <c r="K4272" t="inlineStr">
        <is>
          <t>Jane Moore</t>
        </is>
      </c>
      <c r="L4272" t="inlineStr">
        <is>
          <t>29/04/2026 09:51</t>
        </is>
      </c>
      <c r="M4272" t="inlineStr">
        <is>
          <t>None</t>
        </is>
      </c>
      <c r="N4272" t="inlineStr">
        <is>
          <t>&lt;p&gt;&lt;/p&gt;</t>
        </is>
      </c>
      <c r="O4272" t="inlineStr"/>
      <c r="P4272" t="inlineStr">
        <is>
          <t>GL20TGZ , Car - Electric , Tesla , Model 3 Long Range AWD</t>
        </is>
      </c>
      <c r="Q4272" t="inlineStr">
        <is>
          <t>NGED</t>
        </is>
      </c>
      <c r="R4272" t="b">
        <v>0</v>
      </c>
    </row>
    <row r="4273">
      <c r="A4273" t="inlineStr">
        <is>
          <t>29 Apr 2026 / Thomas Nandi</t>
        </is>
      </c>
      <c r="B4273" t="inlineStr">
        <is>
          <t>Infrastructure &amp; Utilities</t>
        </is>
      </c>
      <c r="C4273" t="inlineStr">
        <is>
          <t>SSE</t>
        </is>
      </c>
      <c r="D4273" t="inlineStr"/>
      <c r="E4273" t="inlineStr"/>
      <c r="F4273" t="inlineStr"/>
      <c r="G4273" t="inlineStr">
        <is>
          <t xml:space="preserve">Tom Nandi </t>
        </is>
      </c>
      <c r="H4273" t="inlineStr">
        <is>
          <t>Car - Petrol</t>
        </is>
      </c>
      <c r="I4273" t="inlineStr">
        <is>
          <t>Daily/ Weekly Vehicle Inspection</t>
        </is>
      </c>
      <c r="J4273" t="inlineStr">
        <is>
          <t>N/A</t>
        </is>
      </c>
      <c r="K4273" t="inlineStr">
        <is>
          <t>Thomas Nandi</t>
        </is>
      </c>
      <c r="L4273" t="inlineStr">
        <is>
          <t>29/04/2026 09:52</t>
        </is>
      </c>
      <c r="M4273" t="inlineStr">
        <is>
          <t>None</t>
        </is>
      </c>
      <c r="N4273" t="inlineStr">
        <is>
          <t>&lt;p&gt;&lt;/p&gt;</t>
        </is>
      </c>
      <c r="O4273" t="inlineStr"/>
      <c r="P4273" t="inlineStr"/>
      <c r="Q4273" t="inlineStr">
        <is>
          <t>SSE</t>
        </is>
      </c>
      <c r="R4273" t="b">
        <v>0</v>
      </c>
    </row>
    <row r="4274">
      <c r="A4274" t="inlineStr">
        <is>
          <t>29 Apr 2026 / Mathew Dunn</t>
        </is>
      </c>
      <c r="B4274" t="inlineStr">
        <is>
          <t>Infrastructure &amp; Utilities</t>
        </is>
      </c>
      <c r="C4274" t="inlineStr">
        <is>
          <t>SSE</t>
        </is>
      </c>
      <c r="D4274" t="inlineStr">
        <is>
          <t>GN70XAU , Car - Electric , Tesla , Model 3 Long Range AWD</t>
        </is>
      </c>
      <c r="E4274" t="inlineStr">
        <is>
          <t>GN70XAU , Car - Electric , Tesla , Model 3 Long Range AWD</t>
        </is>
      </c>
      <c r="F4274" t="inlineStr">
        <is>
          <t>GN70XAU , Car - Electric , Tesla , Model 3 Long Range AWD</t>
        </is>
      </c>
      <c r="G4274" t="inlineStr">
        <is>
          <t xml:space="preserve">Mathew dunn </t>
        </is>
      </c>
      <c r="H4274" t="inlineStr">
        <is>
          <t>Car - Electric (GC Owned)</t>
        </is>
      </c>
      <c r="I4274" t="inlineStr">
        <is>
          <t>Daily/ Weekly Vehicle Inspection</t>
        </is>
      </c>
      <c r="J4274" t="inlineStr">
        <is>
          <t>N/A</t>
        </is>
      </c>
      <c r="K4274" t="inlineStr">
        <is>
          <t>Mathew Dunn</t>
        </is>
      </c>
      <c r="L4274" t="inlineStr">
        <is>
          <t>29/04/2026 12:50</t>
        </is>
      </c>
      <c r="M4274" t="inlineStr">
        <is>
          <t>None</t>
        </is>
      </c>
      <c r="N4274" t="inlineStr">
        <is>
          <t>&lt;p&gt;&lt;/p&gt;</t>
        </is>
      </c>
      <c r="O4274" t="inlineStr"/>
      <c r="P4274" t="inlineStr">
        <is>
          <t>GN70XAU , Car - Electric , Tesla , Model 3 Long Range AWD</t>
        </is>
      </c>
      <c r="Q4274" t="inlineStr">
        <is>
          <t>SSE</t>
        </is>
      </c>
      <c r="R4274" t="b">
        <v>0</v>
      </c>
    </row>
    <row r="4275">
      <c r="A4275" t="inlineStr">
        <is>
          <t>29 Apr 2026 / Barry Bright</t>
        </is>
      </c>
      <c r="B4275" t="inlineStr">
        <is>
          <t>Infrastructure &amp; Utilities</t>
        </is>
      </c>
      <c r="C4275" t="inlineStr">
        <is>
          <t>UKPN</t>
        </is>
      </c>
      <c r="D4275" t="inlineStr">
        <is>
          <t>AK72YBM , Car - Electric , Tesla , Model Y Long Range</t>
        </is>
      </c>
      <c r="E4275" t="inlineStr">
        <is>
          <t>AK72YBM , Car - Electric , Tesla , Model Y Long Range</t>
        </is>
      </c>
      <c r="F4275" t="inlineStr">
        <is>
          <t>AK72YBM , Car - Electric , Tesla , Model Y Long Range</t>
        </is>
      </c>
      <c r="G4275" t="inlineStr">
        <is>
          <t xml:space="preserve">Barry Bright </t>
        </is>
      </c>
      <c r="H4275" t="inlineStr">
        <is>
          <t>Car - Electric (GC Owned)</t>
        </is>
      </c>
      <c r="I4275" t="inlineStr">
        <is>
          <t>Daily/ Weekly Vehicle Inspection</t>
        </is>
      </c>
      <c r="J4275" t="inlineStr">
        <is>
          <t>N/A</t>
        </is>
      </c>
      <c r="K4275" t="inlineStr">
        <is>
          <t>Barry Bright</t>
        </is>
      </c>
      <c r="L4275" t="inlineStr">
        <is>
          <t>29/04/2026 20:51</t>
        </is>
      </c>
      <c r="M4275" t="inlineStr">
        <is>
          <t>None</t>
        </is>
      </c>
      <c r="N4275" t="inlineStr">
        <is>
          <t>&lt;p&gt;&lt;/p&gt;</t>
        </is>
      </c>
      <c r="O4275" t="inlineStr"/>
      <c r="P4275" t="inlineStr">
        <is>
          <t>AK72YBM , Car - Electric , Tesla , Model Y Long Range</t>
        </is>
      </c>
      <c r="Q4275" t="inlineStr">
        <is>
          <t>UKPN</t>
        </is>
      </c>
      <c r="R4275" t="b">
        <v>0</v>
      </c>
    </row>
    <row r="4276">
      <c r="A4276" t="inlineStr">
        <is>
          <t>30 Apr 2026 / Benet Jones</t>
        </is>
      </c>
      <c r="B4276" t="inlineStr">
        <is>
          <t>Infrastructure &amp; Utilities</t>
        </is>
      </c>
      <c r="C4276" t="inlineStr">
        <is>
          <t>NGED</t>
        </is>
      </c>
      <c r="D4276" t="inlineStr">
        <is>
          <t>GF71TXC , Car - Electric , Tesla , Model 3 Long Range AWD</t>
        </is>
      </c>
      <c r="E4276" t="inlineStr">
        <is>
          <t>GF71TXC , Car - Electric , Tesla , Model 3 Long Range AWD</t>
        </is>
      </c>
      <c r="F4276" t="inlineStr">
        <is>
          <t>GF71TXC , Car - Electric , Tesla , Model 3 Long Range AWD</t>
        </is>
      </c>
      <c r="G4276" t="inlineStr">
        <is>
          <t xml:space="preserve">Benet Jones </t>
        </is>
      </c>
      <c r="H4276" t="inlineStr">
        <is>
          <t>Car - Electric (GC Owned)</t>
        </is>
      </c>
      <c r="I4276" t="inlineStr">
        <is>
          <t>Daily/ Weekly Vehicle Inspection</t>
        </is>
      </c>
      <c r="J4276" t="inlineStr">
        <is>
          <t>N/A</t>
        </is>
      </c>
      <c r="K4276" t="inlineStr">
        <is>
          <t>Benet Jones</t>
        </is>
      </c>
      <c r="L4276" t="inlineStr">
        <is>
          <t>30/04/2026 05:51</t>
        </is>
      </c>
      <c r="M4276" t="inlineStr">
        <is>
          <t>None</t>
        </is>
      </c>
      <c r="N4276" t="inlineStr">
        <is>
          <t>&lt;p&gt;&lt;/p&gt;</t>
        </is>
      </c>
      <c r="O4276" t="inlineStr">
        <is>
          <t>Confirm that you have checked this vehicle as per the guidance document and the vehicle is safe and roadworthy:Car checked and fully serviceable
-</t>
        </is>
      </c>
      <c r="P4276" t="inlineStr">
        <is>
          <t>GF71TXC , Car - Electric , Tesla , Model 3 Long Range AWD</t>
        </is>
      </c>
      <c r="Q4276" t="inlineStr">
        <is>
          <t>NGED</t>
        </is>
      </c>
      <c r="R4276" t="b">
        <v>0</v>
      </c>
    </row>
    <row r="4277">
      <c r="A4277" t="inlineStr">
        <is>
          <t>30 Apr 2026 / 6617 Ashdown Tree Limited 1</t>
        </is>
      </c>
      <c r="B4277" t="inlineStr">
        <is>
          <t>Infrastructure &amp; Utilities</t>
        </is>
      </c>
      <c r="C4277" t="inlineStr">
        <is>
          <t>UKPN</t>
        </is>
      </c>
      <c r="D4277" t="inlineStr">
        <is>
          <t>WG63OJS , 4x4 , Land rover  , defender</t>
        </is>
      </c>
      <c r="E4277" t="inlineStr">
        <is>
          <t>WG63OJS , 4x4 , Land rover  , defender</t>
        </is>
      </c>
      <c r="F4277" t="inlineStr">
        <is>
          <t>WG63OJS , 4x4 , Land rover  , defender</t>
        </is>
      </c>
      <c r="G4277" t="inlineStr">
        <is>
          <t>Dan</t>
        </is>
      </c>
      <c r="H4277" t="inlineStr">
        <is>
          <t>4x4</t>
        </is>
      </c>
      <c r="I4277" t="inlineStr">
        <is>
          <t>Daily/ Weekly Vehicle Inspection</t>
        </is>
      </c>
      <c r="J4277" t="inlineStr">
        <is>
          <t>N/A</t>
        </is>
      </c>
      <c r="K4277" t="inlineStr">
        <is>
          <t>6617 Ashdown Tree Limited - Team 2</t>
        </is>
      </c>
      <c r="L4277" t="inlineStr">
        <is>
          <t>30/04/2026 06:51</t>
        </is>
      </c>
      <c r="M4277" t="inlineStr">
        <is>
          <t>None</t>
        </is>
      </c>
      <c r="N4277" t="inlineStr">
        <is>
          <t>&lt;p&gt;&lt;/p&gt;</t>
        </is>
      </c>
      <c r="O4277" t="inlineStr"/>
      <c r="P4277" t="inlineStr">
        <is>
          <t>WG63OJS , 4x4 , Land rover  , defender</t>
        </is>
      </c>
      <c r="Q4277" t="inlineStr">
        <is>
          <t>UKPN</t>
        </is>
      </c>
      <c r="R4277" t="b">
        <v>0</v>
      </c>
    </row>
    <row r="4278">
      <c r="A4278" t="inlineStr">
        <is>
          <t>30 Apr 2026 / 7995 Green Net Eco Ltd 2</t>
        </is>
      </c>
      <c r="B4278" t="inlineStr">
        <is>
          <t>Infrastructure &amp; Utilities</t>
        </is>
      </c>
      <c r="C4278" t="inlineStr">
        <is>
          <t>UKPN</t>
        </is>
      </c>
      <c r="D4278" t="inlineStr">
        <is>
          <t>SA9ST800000283944 , Towed Chipper , Forst , ST8D - Towed</t>
        </is>
      </c>
      <c r="E4278" t="inlineStr">
        <is>
          <t>SA9ST800000283944 , Towed Chipper , Forst , ST8D - Towed</t>
        </is>
      </c>
      <c r="F4278" t="inlineStr">
        <is>
          <t>SA9ST800000283944 , Towed Chipper , Forst , ST8D - Towed</t>
        </is>
      </c>
      <c r="G4278" t="inlineStr">
        <is>
          <t>Jacob Oram</t>
        </is>
      </c>
      <c r="H4278" t="inlineStr">
        <is>
          <t>Towed Chipper</t>
        </is>
      </c>
      <c r="I4278" t="inlineStr">
        <is>
          <t>Daily/ Weekly Vehicle Inspection</t>
        </is>
      </c>
      <c r="J4278" t="inlineStr">
        <is>
          <t>N/A</t>
        </is>
      </c>
      <c r="K4278" t="inlineStr">
        <is>
          <t>7995 Green Net Eco Ltd 2</t>
        </is>
      </c>
      <c r="L4278" t="inlineStr">
        <is>
          <t>30/04/2026 07:51</t>
        </is>
      </c>
      <c r="M4278" t="inlineStr">
        <is>
          <t>None</t>
        </is>
      </c>
      <c r="N4278" t="inlineStr">
        <is>
          <t>&lt;p&gt;&lt;/p&gt;</t>
        </is>
      </c>
      <c r="O4278" t="inlineStr"/>
      <c r="P4278" t="inlineStr">
        <is>
          <t>SA9ST800000283944 , Towed Chipper , Forst , ST8D - Towed</t>
        </is>
      </c>
      <c r="Q4278" t="inlineStr">
        <is>
          <t>UKPN</t>
        </is>
      </c>
      <c r="R4278" t="b">
        <v>0</v>
      </c>
    </row>
    <row r="4279">
      <c r="A4279" t="inlineStr">
        <is>
          <t>30 Apr 2026 / 7995 Green Net Eco Ltd 2</t>
        </is>
      </c>
      <c r="B4279" t="inlineStr">
        <is>
          <t>Infrastructure &amp; Utilities</t>
        </is>
      </c>
      <c r="C4279" t="inlineStr">
        <is>
          <t>UKPN</t>
        </is>
      </c>
      <c r="D4279" t="inlineStr">
        <is>
          <t>WM72UNF , 4x4 , Ford , Ranger</t>
        </is>
      </c>
      <c r="E4279" t="inlineStr">
        <is>
          <t>WM72UNF , 4x4 , Ford , Ranger</t>
        </is>
      </c>
      <c r="F4279" t="inlineStr">
        <is>
          <t>WM72UNF , 4x4 , Ford , Ranger</t>
        </is>
      </c>
      <c r="G4279" t="inlineStr">
        <is>
          <t>Jacob Oram</t>
        </is>
      </c>
      <c r="H4279" t="inlineStr">
        <is>
          <t>4x4</t>
        </is>
      </c>
      <c r="I4279" t="inlineStr">
        <is>
          <t>Daily/ Weekly Vehicle Inspection</t>
        </is>
      </c>
      <c r="J4279" t="inlineStr">
        <is>
          <t>N/A</t>
        </is>
      </c>
      <c r="K4279" t="inlineStr">
        <is>
          <t>7995 Green Net Eco Ltd 2</t>
        </is>
      </c>
      <c r="L4279" t="inlineStr">
        <is>
          <t>30/04/2026 07:52</t>
        </is>
      </c>
      <c r="M4279" t="inlineStr">
        <is>
          <t>None</t>
        </is>
      </c>
      <c r="N4279" t="inlineStr">
        <is>
          <t>&lt;p&gt;&lt;/p&gt;</t>
        </is>
      </c>
      <c r="O4279" t="inlineStr"/>
      <c r="P4279" t="inlineStr">
        <is>
          <t>WM72UNF , 4x4 , Ford , Ranger</t>
        </is>
      </c>
      <c r="Q4279" t="inlineStr">
        <is>
          <t>UKPN</t>
        </is>
      </c>
      <c r="R4279" t="b">
        <v>0</v>
      </c>
    </row>
    <row r="4280">
      <c r="A4280" t="inlineStr">
        <is>
          <t>30 Apr 2026 / 7186 Eastwoodbury Tree Services Ltd 2</t>
        </is>
      </c>
      <c r="B4280" t="inlineStr">
        <is>
          <t>Infrastructure &amp; Utilities</t>
        </is>
      </c>
      <c r="C4280" t="inlineStr">
        <is>
          <t>UKPN</t>
        </is>
      </c>
      <c r="D4280" t="inlineStr">
        <is>
          <t>WF13 EKM , 4x4 , Land rover  , Defenders</t>
        </is>
      </c>
      <c r="E4280" t="inlineStr">
        <is>
          <t>WF13 EKM , 4x4 , Land rover  , Defenders</t>
        </is>
      </c>
      <c r="F4280" t="inlineStr">
        <is>
          <t>WF13 EKM , 4x4 , Land rover  , Defenders</t>
        </is>
      </c>
      <c r="G4280" t="inlineStr">
        <is>
          <t xml:space="preserve">Luke Williams </t>
        </is>
      </c>
      <c r="H4280" t="inlineStr">
        <is>
          <t>4x4</t>
        </is>
      </c>
      <c r="I4280" t="inlineStr">
        <is>
          <t>Daily/ Weekly Vehicle Inspection</t>
        </is>
      </c>
      <c r="J4280" t="inlineStr">
        <is>
          <t>N/A</t>
        </is>
      </c>
      <c r="K4280" t="inlineStr">
        <is>
          <t>7186 Eastwoodbury Tree Services Ltd 2</t>
        </is>
      </c>
      <c r="L4280" t="inlineStr">
        <is>
          <t>30/04/2026 07:53</t>
        </is>
      </c>
      <c r="M4280" t="inlineStr">
        <is>
          <t>None</t>
        </is>
      </c>
      <c r="N4280" t="inlineStr">
        <is>
          <t>&lt;p&gt;&lt;/p&gt;</t>
        </is>
      </c>
      <c r="O4280" t="inlineStr"/>
      <c r="P4280" t="inlineStr">
        <is>
          <t>WF13 EKM , 4x4 , Land rover  , Defenders</t>
        </is>
      </c>
      <c r="Q4280" t="inlineStr">
        <is>
          <t>UKPN</t>
        </is>
      </c>
      <c r="R4280" t="b">
        <v>0</v>
      </c>
    </row>
    <row r="4281">
      <c r="A4281" t="inlineStr">
        <is>
          <t>30 Apr 2026 / 7186 Eastwoodbury Tree Services Ltd 2</t>
        </is>
      </c>
      <c r="B4281" t="inlineStr">
        <is>
          <t>Infrastructure &amp; Utilities</t>
        </is>
      </c>
      <c r="C4281" t="inlineStr">
        <is>
          <t>UKPN</t>
        </is>
      </c>
      <c r="D4281" t="inlineStr">
        <is>
          <t>WF13 EKT , 4x4 , Land rover  , Defender</t>
        </is>
      </c>
      <c r="E4281" t="inlineStr">
        <is>
          <t>WF13 EKT , 4x4 , Land rover  , Defender</t>
        </is>
      </c>
      <c r="F4281" t="inlineStr">
        <is>
          <t>WF13 EKT , 4x4 , Land rover  , Defender</t>
        </is>
      </c>
      <c r="G4281" t="inlineStr">
        <is>
          <t xml:space="preserve">Dan Gilbert </t>
        </is>
      </c>
      <c r="H4281" t="inlineStr">
        <is>
          <t>4x4</t>
        </is>
      </c>
      <c r="I4281" t="inlineStr">
        <is>
          <t>Daily/ Weekly Vehicle Inspection</t>
        </is>
      </c>
      <c r="J4281" t="inlineStr">
        <is>
          <t>N/A</t>
        </is>
      </c>
      <c r="K4281" t="inlineStr">
        <is>
          <t>7186 Eastwoodbury Tree Services Ltd 2</t>
        </is>
      </c>
      <c r="L4281" t="inlineStr">
        <is>
          <t>30/04/2026 07:53</t>
        </is>
      </c>
      <c r="M4281" t="inlineStr">
        <is>
          <t>None</t>
        </is>
      </c>
      <c r="N4281" t="inlineStr">
        <is>
          <t>&lt;p&gt;&lt;/p&gt;</t>
        </is>
      </c>
      <c r="O4281" t="inlineStr"/>
      <c r="P4281" t="inlineStr">
        <is>
          <t>WF13 EKT , 4x4 , Land rover  , Defender</t>
        </is>
      </c>
      <c r="Q4281" t="inlineStr">
        <is>
          <t>UKPN</t>
        </is>
      </c>
      <c r="R4281" t="b">
        <v>0</v>
      </c>
    </row>
    <row r="4282">
      <c r="A4282" t="inlineStr">
        <is>
          <t>30 Apr 2026 / Daniel Hackett</t>
        </is>
      </c>
      <c r="B4282" t="inlineStr">
        <is>
          <t>Infrastructure &amp; Utilities</t>
        </is>
      </c>
      <c r="C4282" t="inlineStr">
        <is>
          <t>NGED</t>
        </is>
      </c>
      <c r="D4282" t="inlineStr">
        <is>
          <t>AK70TKJ , Car - Electric , Tesla , Model 3 Long Range AWD</t>
        </is>
      </c>
      <c r="E4282" t="inlineStr">
        <is>
          <t>AK70TKJ , Car - Electric , Tesla , Model 3 Long Range AWD</t>
        </is>
      </c>
      <c r="F4282" t="inlineStr">
        <is>
          <t>AK70TKJ , Car - Electric , Tesla , Model 3 Long Range AWD</t>
        </is>
      </c>
      <c r="G4282" t="inlineStr">
        <is>
          <t xml:space="preserve">Daniel Hackett </t>
        </is>
      </c>
      <c r="H4282" t="inlineStr">
        <is>
          <t>Car - Electric (GC Owned)</t>
        </is>
      </c>
      <c r="I4282" t="inlineStr">
        <is>
          <t>Daily/ Weekly Vehicle Inspection</t>
        </is>
      </c>
      <c r="J4282" t="inlineStr">
        <is>
          <t>N/A</t>
        </is>
      </c>
      <c r="K4282" t="inlineStr">
        <is>
          <t>Daniel Hackett</t>
        </is>
      </c>
      <c r="L4282" t="inlineStr">
        <is>
          <t>30/04/2026 07:55</t>
        </is>
      </c>
      <c r="M4282" t="inlineStr">
        <is>
          <t>None</t>
        </is>
      </c>
      <c r="N4282" t="inlineStr">
        <is>
          <t>&lt;p&gt;&lt;/p&gt;</t>
        </is>
      </c>
      <c r="O4282" t="inlineStr"/>
      <c r="P4282" t="inlineStr">
        <is>
          <t>AK70TKJ , Car - Electric , Tesla , Model 3 Long Range AWD</t>
        </is>
      </c>
      <c r="Q4282" t="inlineStr">
        <is>
          <t>NGED</t>
        </is>
      </c>
      <c r="R4282" t="b">
        <v>0</v>
      </c>
    </row>
    <row r="4283">
      <c r="A4283" t="inlineStr">
        <is>
          <t>30 Apr 2026 / 7996 M G Tree Surgery Ltd 1</t>
        </is>
      </c>
      <c r="B4283" t="inlineStr">
        <is>
          <t>Infrastructure &amp; Utilities</t>
        </is>
      </c>
      <c r="C4283" t="inlineStr">
        <is>
          <t>UKPN</t>
        </is>
      </c>
      <c r="D4283" t="inlineStr"/>
      <c r="E4283" t="inlineStr"/>
      <c r="F4283" t="inlineStr"/>
      <c r="G4283" t="inlineStr">
        <is>
          <t xml:space="preserve">Anthony Gale </t>
        </is>
      </c>
      <c r="H4283" t="inlineStr">
        <is>
          <t>Towed Chipper</t>
        </is>
      </c>
      <c r="I4283" t="inlineStr">
        <is>
          <t>Daily/ Weekly Vehicle Inspection</t>
        </is>
      </c>
      <c r="J4283" t="inlineStr">
        <is>
          <t>N/A</t>
        </is>
      </c>
      <c r="K4283" t="inlineStr">
        <is>
          <t>7996 M G Tree Surgery Ltd 1</t>
        </is>
      </c>
      <c r="L4283" t="inlineStr">
        <is>
          <t>30/04/2026 07:56</t>
        </is>
      </c>
      <c r="M4283" t="inlineStr">
        <is>
          <t>None</t>
        </is>
      </c>
      <c r="N4283" t="inlineStr">
        <is>
          <t>&lt;p&gt;&lt;/p&gt;</t>
        </is>
      </c>
      <c r="O4283" t="inlineStr"/>
      <c r="P4283" t="inlineStr"/>
      <c r="Q4283" t="inlineStr">
        <is>
          <t>UKPN</t>
        </is>
      </c>
      <c r="R4283" t="b">
        <v>0</v>
      </c>
    </row>
    <row r="4284">
      <c r="A4284" t="inlineStr">
        <is>
          <t>30 Apr 2026 / 7996 M G Tree Surgery Ltd 1</t>
        </is>
      </c>
      <c r="B4284" t="inlineStr">
        <is>
          <t>Infrastructure &amp; Utilities</t>
        </is>
      </c>
      <c r="C4284" t="inlineStr">
        <is>
          <t>UKPN</t>
        </is>
      </c>
      <c r="D4284" t="inlineStr">
        <is>
          <t>KX20 BCE , Tipper , Isuzu , D-Max</t>
        </is>
      </c>
      <c r="E4284" t="inlineStr">
        <is>
          <t>KX20 BCE , Tipper , Isuzu , D-Max</t>
        </is>
      </c>
      <c r="F4284" t="inlineStr">
        <is>
          <t>KX20 BCE , Tipper , Isuzu , D-Max</t>
        </is>
      </c>
      <c r="G4284" t="inlineStr">
        <is>
          <t>Anthony Gale</t>
        </is>
      </c>
      <c r="H4284" t="inlineStr">
        <is>
          <t>Pickup Truck</t>
        </is>
      </c>
      <c r="I4284" t="inlineStr">
        <is>
          <t>Daily/ Weekly Vehicle Inspection</t>
        </is>
      </c>
      <c r="J4284" t="inlineStr">
        <is>
          <t>N/A</t>
        </is>
      </c>
      <c r="K4284" t="inlineStr">
        <is>
          <t>7996 M G Tree Surgery Ltd 1</t>
        </is>
      </c>
      <c r="L4284" t="inlineStr">
        <is>
          <t>30/04/2026 07:56</t>
        </is>
      </c>
      <c r="M4284" t="inlineStr">
        <is>
          <t>None</t>
        </is>
      </c>
      <c r="N4284" t="inlineStr">
        <is>
          <t>&lt;p&gt;&lt;/p&gt;</t>
        </is>
      </c>
      <c r="O4284" t="inlineStr"/>
      <c r="P4284" t="inlineStr">
        <is>
          <t>KX20 BCE , Tipper , Isuzu , D-Max</t>
        </is>
      </c>
      <c r="Q4284" t="inlineStr">
        <is>
          <t>UKPN</t>
        </is>
      </c>
      <c r="R4284" t="b">
        <v>0</v>
      </c>
    </row>
    <row r="4285">
      <c r="A4285" t="inlineStr">
        <is>
          <t>30 Apr 2026 / 7800 MAC Tree Surgery and Fencing Ltd / Utilities / UKPN</t>
        </is>
      </c>
      <c r="B4285" t="inlineStr">
        <is>
          <t>Utilities</t>
        </is>
      </c>
      <c r="C4285" t="inlineStr">
        <is>
          <t>UKPN</t>
        </is>
      </c>
      <c r="D4285" t="inlineStr">
        <is>
          <t>AY68DAA , 4x4 , Izuzu , Dmax</t>
        </is>
      </c>
      <c r="E4285" t="inlineStr">
        <is>
          <t>AY68DAA , 4x4 , Izuzu , Dmax</t>
        </is>
      </c>
      <c r="F4285" t="inlineStr">
        <is>
          <t>AY68DAA , 4x4 , Izuzu , Dmax</t>
        </is>
      </c>
      <c r="G4285" t="inlineStr">
        <is>
          <t xml:space="preserve">Lewis Mac </t>
        </is>
      </c>
      <c r="H4285" t="inlineStr">
        <is>
          <t>4x4</t>
        </is>
      </c>
      <c r="I4285" t="inlineStr">
        <is>
          <t>Daily/ Weekly Vehicle Inspection</t>
        </is>
      </c>
      <c r="J4285" t="inlineStr">
        <is>
          <t>N/A</t>
        </is>
      </c>
      <c r="K4285" t="inlineStr">
        <is>
          <t>7800 MAC Tree Surgery and Fencing Ltd</t>
        </is>
      </c>
      <c r="L4285" t="inlineStr">
        <is>
          <t>30/04/2026 07:57</t>
        </is>
      </c>
      <c r="M4285" t="inlineStr">
        <is>
          <t>None</t>
        </is>
      </c>
      <c r="N4285" t="inlineStr">
        <is>
          <t>&lt;p&gt;&lt;/p&gt;</t>
        </is>
      </c>
      <c r="O4285" t="inlineStr"/>
      <c r="P4285" t="inlineStr">
        <is>
          <t>AY68DAA , 4x4 , Izuzu , Dmax</t>
        </is>
      </c>
      <c r="Q4285" t="inlineStr">
        <is>
          <t>UKPN</t>
        </is>
      </c>
      <c r="R4285" t="b">
        <v>0</v>
      </c>
    </row>
    <row r="4286">
      <c r="A4286" t="inlineStr">
        <is>
          <t>30 Apr 2026 / 7800 MAC Tree Surgery and Fencing Ltd</t>
        </is>
      </c>
      <c r="B4286" t="inlineStr">
        <is>
          <t>Infrastructure &amp; Utilities</t>
        </is>
      </c>
      <c r="C4286" t="inlineStr">
        <is>
          <t>UKPN</t>
        </is>
      </c>
      <c r="D4286" t="inlineStr">
        <is>
          <t>0 , Plant Trailer , Towmate , 2.8t</t>
        </is>
      </c>
      <c r="E4286" t="inlineStr">
        <is>
          <t>0 , Plant Trailer , Towmate , 2.8t</t>
        </is>
      </c>
      <c r="F4286" t="inlineStr">
        <is>
          <t>0 , Plant Trailer , Towmate , 2.8t</t>
        </is>
      </c>
      <c r="G4286" t="inlineStr">
        <is>
          <t xml:space="preserve">Patrick oshea </t>
        </is>
      </c>
      <c r="H4286" t="inlineStr">
        <is>
          <t>Plant Trailer</t>
        </is>
      </c>
      <c r="I4286" t="inlineStr">
        <is>
          <t>Daily/ Weekly Vehicle Inspection</t>
        </is>
      </c>
      <c r="J4286" t="inlineStr">
        <is>
          <t>N/A</t>
        </is>
      </c>
      <c r="K4286" t="inlineStr">
        <is>
          <t>7800 MAC Tree Surgery and Fencing Ltd</t>
        </is>
      </c>
      <c r="L4286" t="inlineStr">
        <is>
          <t>30/04/2026 07:58</t>
        </is>
      </c>
      <c r="M4286" t="inlineStr">
        <is>
          <t>None</t>
        </is>
      </c>
      <c r="N4286" t="inlineStr">
        <is>
          <t>&lt;p&gt;&lt;/p&gt;</t>
        </is>
      </c>
      <c r="O4286" t="inlineStr"/>
      <c r="P4286" t="inlineStr">
        <is>
          <t>0 , Plant Trailer , Towmate , 2.8t</t>
        </is>
      </c>
      <c r="Q4286" t="inlineStr">
        <is>
          <t>UKPN</t>
        </is>
      </c>
      <c r="R4286" t="b">
        <v>0</v>
      </c>
    </row>
    <row r="4287">
      <c r="A4287" t="inlineStr">
        <is>
          <t>30 Apr 2026 / 7806 Optimum Tree Services Ltd</t>
        </is>
      </c>
      <c r="B4287" t="inlineStr">
        <is>
          <t>Infrastructure &amp; Utilities</t>
        </is>
      </c>
      <c r="C4287" t="inlineStr">
        <is>
          <t>UKPN</t>
        </is>
      </c>
      <c r="D4287" t="inlineStr">
        <is>
          <t>SA9st6p0001283093 , Towed Chipper , Forst  , St6pHD</t>
        </is>
      </c>
      <c r="E4287" t="inlineStr">
        <is>
          <t>SA9st6p0001283093 , Towed Chipper , Forst  , St6pHD</t>
        </is>
      </c>
      <c r="F4287" t="inlineStr">
        <is>
          <t>SA9st6p0001283093 , Towed Chipper , Forst  , St6pHD</t>
        </is>
      </c>
      <c r="G4287" t="inlineStr">
        <is>
          <t xml:space="preserve">Abraham Davies </t>
        </is>
      </c>
      <c r="H4287" t="inlineStr">
        <is>
          <t>Towed Chipper</t>
        </is>
      </c>
      <c r="I4287" t="inlineStr">
        <is>
          <t>Daily/ Weekly Vehicle Inspection</t>
        </is>
      </c>
      <c r="J4287" t="inlineStr">
        <is>
          <t>N/A</t>
        </is>
      </c>
      <c r="K4287" t="inlineStr">
        <is>
          <t>7806 Optimum Tree Services Ltd</t>
        </is>
      </c>
      <c r="L4287" t="inlineStr">
        <is>
          <t>30/04/2026 07:58</t>
        </is>
      </c>
      <c r="M4287" t="inlineStr">
        <is>
          <t>None</t>
        </is>
      </c>
      <c r="N4287" t="inlineStr">
        <is>
          <t>&lt;p&gt;&lt;/p&gt;</t>
        </is>
      </c>
      <c r="O4287" t="inlineStr"/>
      <c r="P4287" t="inlineStr">
        <is>
          <t>SA9st6p0001283093 , Towed Chipper , Forst  , St6pHD</t>
        </is>
      </c>
      <c r="Q4287" t="inlineStr">
        <is>
          <t>UKPN</t>
        </is>
      </c>
      <c r="R4287" t="b">
        <v>0</v>
      </c>
    </row>
    <row r="4288">
      <c r="A4288" t="inlineStr">
        <is>
          <t>30 Apr 2026 / 7806 Optimum Tree Services Ltd</t>
        </is>
      </c>
      <c r="B4288" t="inlineStr">
        <is>
          <t>Infrastructure &amp; Utilities</t>
        </is>
      </c>
      <c r="C4288" t="inlineStr">
        <is>
          <t>UKPN</t>
        </is>
      </c>
      <c r="D4288" t="inlineStr">
        <is>
          <t>WD14EVB , MEWP , Land Rover , Defender</t>
        </is>
      </c>
      <c r="E4288" t="inlineStr">
        <is>
          <t>WD14EVB , MEWP , Land Rover , Defender</t>
        </is>
      </c>
      <c r="F4288" t="inlineStr">
        <is>
          <t>WD14EVB , MEWP , Land Rover , Defender</t>
        </is>
      </c>
      <c r="G4288" t="inlineStr">
        <is>
          <t xml:space="preserve">Abraham Davies </t>
        </is>
      </c>
      <c r="H4288" t="inlineStr">
        <is>
          <t>4x4</t>
        </is>
      </c>
      <c r="I4288" t="inlineStr">
        <is>
          <t>Daily/ Weekly Vehicle Inspection</t>
        </is>
      </c>
      <c r="J4288" t="inlineStr">
        <is>
          <t>N/A</t>
        </is>
      </c>
      <c r="K4288" t="inlineStr">
        <is>
          <t>7806 Optimum Tree Services Ltd</t>
        </is>
      </c>
      <c r="L4288" t="inlineStr">
        <is>
          <t>30/04/2026 07:59</t>
        </is>
      </c>
      <c r="M4288" t="inlineStr">
        <is>
          <t>None</t>
        </is>
      </c>
      <c r="N4288" t="inlineStr">
        <is>
          <t>&lt;p&gt;&lt;/p&gt;</t>
        </is>
      </c>
      <c r="O4288" t="inlineStr"/>
      <c r="P4288" t="inlineStr">
        <is>
          <t>WD14EVB , MEWP , Land Rover , Defender</t>
        </is>
      </c>
      <c r="Q4288" t="inlineStr">
        <is>
          <t>UKPN</t>
        </is>
      </c>
      <c r="R4288" t="b">
        <v>0</v>
      </c>
    </row>
    <row r="4289">
      <c r="A4289" t="inlineStr">
        <is>
          <t>30 Apr 2026 / 7889 Tree Tech Suffolk Ltd</t>
        </is>
      </c>
      <c r="B4289" t="inlineStr">
        <is>
          <t>Utilities &amp; Inland Waterways</t>
        </is>
      </c>
      <c r="C4289" t="inlineStr">
        <is>
          <t>UKPN</t>
        </is>
      </c>
      <c r="D4289" t="inlineStr">
        <is>
          <t>Tipper - Nissan - Navara - NS02TTS</t>
        </is>
      </c>
      <c r="E4289" t="inlineStr">
        <is>
          <t>Tipper - Nissan - Navara - NS02TTS</t>
        </is>
      </c>
      <c r="F4289" t="inlineStr">
        <is>
          <t>Tipper - Nissan - Navara - NS02TTS</t>
        </is>
      </c>
      <c r="G4289" t="inlineStr">
        <is>
          <t>Danny Appleby</t>
        </is>
      </c>
      <c r="H4289" t="inlineStr">
        <is>
          <t>Tipper</t>
        </is>
      </c>
      <c r="I4289" t="inlineStr">
        <is>
          <t>Daily/ Weekly Vehicle Inspection</t>
        </is>
      </c>
      <c r="J4289" t="inlineStr">
        <is>
          <t>N/A</t>
        </is>
      </c>
      <c r="K4289" t="inlineStr">
        <is>
          <t>7889 Tree Tech Suffolk Ltd</t>
        </is>
      </c>
      <c r="L4289" t="inlineStr">
        <is>
          <t>30/04/2026 08:00</t>
        </is>
      </c>
      <c r="M4289" t="inlineStr">
        <is>
          <t>None</t>
        </is>
      </c>
      <c r="N4289" t="inlineStr">
        <is>
          <t>&lt;p&gt;&lt;/p&gt;</t>
        </is>
      </c>
      <c r="O4289" t="inlineStr"/>
      <c r="P4289" t="inlineStr">
        <is>
          <t>Tipper - Nissan - Navara - NS02TTS</t>
        </is>
      </c>
      <c r="Q4289" t="inlineStr">
        <is>
          <t>UKPN</t>
        </is>
      </c>
      <c r="R4289" t="b">
        <v>0</v>
      </c>
    </row>
    <row r="4290">
      <c r="A4290" t="inlineStr">
        <is>
          <t>30 Apr 2026 / 8040 S6 Tree specialists Ltd</t>
        </is>
      </c>
      <c r="B4290" t="inlineStr">
        <is>
          <t>Infrastructure &amp; Utilities</t>
        </is>
      </c>
      <c r="C4290" t="inlineStr">
        <is>
          <t>UKPN</t>
        </is>
      </c>
      <c r="D4290" t="inlineStr">
        <is>
          <t>GY08 RVC , 4x4 MEWP , Land Rover , Defender</t>
        </is>
      </c>
      <c r="E4290" t="inlineStr">
        <is>
          <t>GY08 RVC , 4x4 MEWP , Land Rover , Defender</t>
        </is>
      </c>
      <c r="F4290" t="inlineStr">
        <is>
          <t>GY08 RVC , 4x4 MEWP , Land Rover , Defender</t>
        </is>
      </c>
      <c r="G4290" t="inlineStr">
        <is>
          <t>Luke</t>
        </is>
      </c>
      <c r="H4290" t="inlineStr">
        <is>
          <t>4x4</t>
        </is>
      </c>
      <c r="I4290" t="inlineStr">
        <is>
          <t>Daily/ Weekly Vehicle Inspection</t>
        </is>
      </c>
      <c r="J4290" t="inlineStr">
        <is>
          <t>N/A</t>
        </is>
      </c>
      <c r="K4290" t="inlineStr">
        <is>
          <t>8040 S6 Tree specialists Ltd</t>
        </is>
      </c>
      <c r="L4290" t="inlineStr">
        <is>
          <t>30/04/2026 08:00</t>
        </is>
      </c>
      <c r="M4290" t="inlineStr">
        <is>
          <t>None</t>
        </is>
      </c>
      <c r="N4290" t="inlineStr">
        <is>
          <t>&lt;p&gt;&lt;/p&gt;</t>
        </is>
      </c>
      <c r="O4290" t="inlineStr"/>
      <c r="P4290" t="inlineStr">
        <is>
          <t>GY08 RVC , 4x4 MEWP , Land Rover , Defender</t>
        </is>
      </c>
      <c r="Q4290" t="inlineStr">
        <is>
          <t>UKPN</t>
        </is>
      </c>
      <c r="R4290" t="b">
        <v>0</v>
      </c>
    </row>
    <row r="4291">
      <c r="A4291" t="inlineStr">
        <is>
          <t>30 Apr 2026 / 7996 M G Tree Surgery Ltd</t>
        </is>
      </c>
      <c r="B4291" t="inlineStr">
        <is>
          <t>Infrastructure &amp; Utilities</t>
        </is>
      </c>
      <c r="C4291" t="inlineStr">
        <is>
          <t>UKPN</t>
        </is>
      </c>
      <c r="D4291" t="inlineStr">
        <is>
          <t>GU13 WNL , MEWP , Land Rover , Defender 130</t>
        </is>
      </c>
      <c r="E4291" t="inlineStr">
        <is>
          <t>GU13 WNL , MEWP , Land Rover , Defender 130</t>
        </is>
      </c>
      <c r="F4291" t="inlineStr">
        <is>
          <t>GU13 WNL , MEWP , Land Rover , Defender 130</t>
        </is>
      </c>
      <c r="G4291" t="inlineStr">
        <is>
          <t>Max</t>
        </is>
      </c>
      <c r="H4291" t="inlineStr">
        <is>
          <t>4x4</t>
        </is>
      </c>
      <c r="I4291" t="inlineStr">
        <is>
          <t>Daily/ Weekly Vehicle Inspection</t>
        </is>
      </c>
      <c r="J4291" t="inlineStr">
        <is>
          <t>N/A</t>
        </is>
      </c>
      <c r="K4291" t="inlineStr">
        <is>
          <t>7996 M G Tree Surgery Ltd</t>
        </is>
      </c>
      <c r="L4291" t="inlineStr">
        <is>
          <t>30/04/2026 08:51</t>
        </is>
      </c>
      <c r="M4291" t="inlineStr">
        <is>
          <t>None</t>
        </is>
      </c>
      <c r="N4291" t="inlineStr">
        <is>
          <t>&lt;p&gt;&lt;/p&gt;</t>
        </is>
      </c>
      <c r="O4291" t="inlineStr"/>
      <c r="P4291" t="inlineStr">
        <is>
          <t>GU13 WNL , MEWP , Land Rover , Defender 130</t>
        </is>
      </c>
      <c r="Q4291" t="inlineStr">
        <is>
          <t>UKPN</t>
        </is>
      </c>
      <c r="R4291" t="b">
        <v>0</v>
      </c>
    </row>
    <row r="4292">
      <c r="A4292" t="inlineStr">
        <is>
          <t>30 Apr 2026 / 7951 Austin Tree Care LTD</t>
        </is>
      </c>
      <c r="B4292" t="inlineStr">
        <is>
          <t>Infrastructure &amp; Utilities</t>
        </is>
      </c>
      <c r="C4292" t="inlineStr">
        <is>
          <t>UKPN</t>
        </is>
      </c>
      <c r="D4292" t="inlineStr">
        <is>
          <t>SA9ST6P0001283612 , Towed Chipper , Forst , ST6p</t>
        </is>
      </c>
      <c r="E4292" t="inlineStr">
        <is>
          <t>SA9ST6P0001283612 , Towed Chipper , Forst , ST6p</t>
        </is>
      </c>
      <c r="F4292" t="inlineStr">
        <is>
          <t>SA9ST6P0001283612 , Towed Chipper , Forst , ST6p</t>
        </is>
      </c>
      <c r="G4292" t="inlineStr">
        <is>
          <t xml:space="preserve">Jack Austin </t>
        </is>
      </c>
      <c r="H4292" t="inlineStr">
        <is>
          <t>Towed Chipper</t>
        </is>
      </c>
      <c r="I4292" t="inlineStr">
        <is>
          <t>Daily/ Weekly Vehicle Inspection</t>
        </is>
      </c>
      <c r="J4292" t="inlineStr">
        <is>
          <t>N/A</t>
        </is>
      </c>
      <c r="K4292" t="inlineStr">
        <is>
          <t>7951 Austin Tree Care LTD</t>
        </is>
      </c>
      <c r="L4292" t="inlineStr">
        <is>
          <t>30/04/2026 10:51</t>
        </is>
      </c>
      <c r="M4292" t="inlineStr">
        <is>
          <t>None</t>
        </is>
      </c>
      <c r="N4292" t="inlineStr">
        <is>
          <t>&lt;p&gt;&lt;/p&gt;</t>
        </is>
      </c>
      <c r="O4292" t="inlineStr"/>
      <c r="P4292" t="inlineStr">
        <is>
          <t>SA9ST6P0001283612 , Towed Chipper , Forst , ST6p</t>
        </is>
      </c>
      <c r="Q4292" t="inlineStr">
        <is>
          <t>UKPN</t>
        </is>
      </c>
      <c r="R4292" t="b">
        <v>0</v>
      </c>
    </row>
    <row r="4293">
      <c r="A4293" t="inlineStr">
        <is>
          <t>30 Apr 2026 / 7951 Austin Tree Care LTD</t>
        </is>
      </c>
      <c r="B4293" t="inlineStr">
        <is>
          <t>Infrastructure &amp; Utilities</t>
        </is>
      </c>
      <c r="C4293" t="inlineStr">
        <is>
          <t>UKPN</t>
        </is>
      </c>
      <c r="D4293" t="inlineStr">
        <is>
          <t>WG64HTT , 4x4 , Land Rover , Defender 110</t>
        </is>
      </c>
      <c r="E4293" t="inlineStr">
        <is>
          <t>WG64HTT , 4x4 , Land Rover , Defender 110</t>
        </is>
      </c>
      <c r="F4293" t="inlineStr">
        <is>
          <t>WG64HTT , 4x4 , Land Rover , Defender 110</t>
        </is>
      </c>
      <c r="G4293" t="inlineStr">
        <is>
          <t xml:space="preserve">Jack Austin </t>
        </is>
      </c>
      <c r="H4293" t="inlineStr">
        <is>
          <t>4x4</t>
        </is>
      </c>
      <c r="I4293" t="inlineStr">
        <is>
          <t>Daily/ Weekly Vehicle Inspection</t>
        </is>
      </c>
      <c r="J4293" t="inlineStr">
        <is>
          <t>N/A</t>
        </is>
      </c>
      <c r="K4293" t="inlineStr">
        <is>
          <t>7951 Austin Tree Care LTD</t>
        </is>
      </c>
      <c r="L4293" t="inlineStr">
        <is>
          <t>30/04/2026 10:52</t>
        </is>
      </c>
      <c r="M4293" t="inlineStr">
        <is>
          <t>None</t>
        </is>
      </c>
      <c r="N4293" t="inlineStr">
        <is>
          <t>&lt;p&gt;&lt;/p&gt;</t>
        </is>
      </c>
      <c r="O4293" t="inlineStr"/>
      <c r="P4293" t="inlineStr">
        <is>
          <t>WG64HTT , 4x4 , Land Rover , Defender 110</t>
        </is>
      </c>
      <c r="Q4293" t="inlineStr">
        <is>
          <t>UKPN</t>
        </is>
      </c>
      <c r="R4293" t="b">
        <v>0</v>
      </c>
    </row>
    <row r="4294">
      <c r="A4294" t="inlineStr">
        <is>
          <t>30 Apr 2026 / Matt Jones</t>
        </is>
      </c>
      <c r="B4294" t="inlineStr">
        <is>
          <t>Infrastructure &amp; Utilities</t>
        </is>
      </c>
      <c r="C4294" t="inlineStr">
        <is>
          <t>NGED</t>
        </is>
      </c>
      <c r="D4294" t="inlineStr"/>
      <c r="E4294" t="inlineStr"/>
      <c r="F4294" t="inlineStr"/>
      <c r="G4294" t="inlineStr">
        <is>
          <t>Matt jones</t>
        </is>
      </c>
      <c r="H4294" t="inlineStr">
        <is>
          <t>Van</t>
        </is>
      </c>
      <c r="I4294" t="inlineStr">
        <is>
          <t>Daily/ Weekly Vehicle Inspection</t>
        </is>
      </c>
      <c r="J4294" t="inlineStr">
        <is>
          <t>N/A</t>
        </is>
      </c>
      <c r="K4294" t="inlineStr">
        <is>
          <t>Matt Jones</t>
        </is>
      </c>
      <c r="L4294" t="inlineStr">
        <is>
          <t>30/04/2026 11:51</t>
        </is>
      </c>
      <c r="M4294" t="inlineStr">
        <is>
          <t>None</t>
        </is>
      </c>
      <c r="N4294" t="inlineStr">
        <is>
          <t>&lt;p&gt;&lt;/p&gt;</t>
        </is>
      </c>
      <c r="O4294" t="inlineStr"/>
      <c r="P4294" t="inlineStr"/>
      <c r="Q4294" t="inlineStr">
        <is>
          <t>NGED</t>
        </is>
      </c>
      <c r="R4294" t="b">
        <v>0</v>
      </c>
    </row>
    <row r="4295">
      <c r="A4295" t="inlineStr">
        <is>
          <t>30 Apr 2026 / Richard Moses</t>
        </is>
      </c>
      <c r="B4295" t="inlineStr">
        <is>
          <t>Infrastructure &amp; Utilities</t>
        </is>
      </c>
      <c r="C4295" t="inlineStr">
        <is>
          <t>NGED</t>
        </is>
      </c>
      <c r="D4295" t="inlineStr">
        <is>
          <t>AK23YLM , Car - Electric , Tesla , Model Y Long Range</t>
        </is>
      </c>
      <c r="E4295" t="inlineStr">
        <is>
          <t>AK23YLM , Car - Electric , Tesla , Model Y Long Range</t>
        </is>
      </c>
      <c r="F4295" t="inlineStr">
        <is>
          <t>AK23YLM , Car - Electric , Tesla , Model Y Long Range</t>
        </is>
      </c>
      <c r="G4295" t="inlineStr">
        <is>
          <t>R Moses</t>
        </is>
      </c>
      <c r="H4295" t="inlineStr">
        <is>
          <t>Car - Electric (GC Owned)</t>
        </is>
      </c>
      <c r="I4295" t="inlineStr">
        <is>
          <t>Daily/ Weekly Vehicle Inspection</t>
        </is>
      </c>
      <c r="J4295" t="inlineStr">
        <is>
          <t>N/A</t>
        </is>
      </c>
      <c r="K4295" t="inlineStr">
        <is>
          <t>Richard Moses</t>
        </is>
      </c>
      <c r="L4295" t="inlineStr">
        <is>
          <t>30/04/2026 13:51</t>
        </is>
      </c>
      <c r="M4295" t="inlineStr">
        <is>
          <t>None</t>
        </is>
      </c>
      <c r="N4295" t="inlineStr">
        <is>
          <t>&lt;p&gt;&lt;/p&gt;</t>
        </is>
      </c>
      <c r="O4295" t="inlineStr"/>
      <c r="P4295" t="inlineStr">
        <is>
          <t>AK23YLM , Car - Electric , Tesla , Model Y Long Range</t>
        </is>
      </c>
      <c r="Q4295" t="inlineStr">
        <is>
          <t>NGED</t>
        </is>
      </c>
      <c r="R4295" t="b">
        <v>0</v>
      </c>
    </row>
    <row r="4296">
      <c r="A4296" t="inlineStr">
        <is>
          <t>1 May 2026 / Benet Jones</t>
        </is>
      </c>
      <c r="B4296" t="inlineStr">
        <is>
          <t>Infrastructure &amp; Utilities</t>
        </is>
      </c>
      <c r="C4296" t="inlineStr">
        <is>
          <t>NGED</t>
        </is>
      </c>
      <c r="D4296" t="inlineStr">
        <is>
          <t>GF71TXC , Car - Electric , Tesla , Model 3 Long Range AWD</t>
        </is>
      </c>
      <c r="E4296" t="inlineStr">
        <is>
          <t>GF71TXC , Car - Electric , Tesla , Model 3 Long Range AWD</t>
        </is>
      </c>
      <c r="F4296" t="inlineStr">
        <is>
          <t>GF71TXC , Car - Electric , Tesla , Model 3 Long Range AWD</t>
        </is>
      </c>
      <c r="G4296" t="inlineStr">
        <is>
          <t xml:space="preserve">Benet Jones </t>
        </is>
      </c>
      <c r="H4296" t="inlineStr">
        <is>
          <t>Car - Electric (GC Owned)</t>
        </is>
      </c>
      <c r="I4296" t="inlineStr">
        <is>
          <t>Daily/ Weekly Vehicle Inspection</t>
        </is>
      </c>
      <c r="J4296" t="inlineStr">
        <is>
          <t>N/A</t>
        </is>
      </c>
      <c r="K4296" t="inlineStr">
        <is>
          <t>Benet Jones</t>
        </is>
      </c>
      <c r="L4296" t="inlineStr">
        <is>
          <t>01/05/2026 05:51</t>
        </is>
      </c>
      <c r="M4296" t="inlineStr">
        <is>
          <t>None</t>
        </is>
      </c>
      <c r="N4296" t="inlineStr">
        <is>
          <t>&lt;p&gt;&lt;/p&gt;</t>
        </is>
      </c>
      <c r="O4296" t="inlineStr">
        <is>
          <t>Confirm that you have checked this vehicle as per the guidance document and the vehicle is safe and roadworthy:Car checked and fully serviceable
-</t>
        </is>
      </c>
      <c r="P4296" t="inlineStr">
        <is>
          <t>GF71TXC , Car - Electric , Tesla , Model 3 Long Range AWD</t>
        </is>
      </c>
      <c r="Q4296" t="inlineStr">
        <is>
          <t>NGED</t>
        </is>
      </c>
      <c r="R4296" t="b">
        <v>0</v>
      </c>
    </row>
    <row r="4297">
      <c r="A4297" t="inlineStr">
        <is>
          <t>1 May 2026 / 7889 Tree Tech Suffolk Ltd</t>
        </is>
      </c>
      <c r="B4297" t="inlineStr">
        <is>
          <t>Utilities &amp; Inland Waterways</t>
        </is>
      </c>
      <c r="C4297" t="inlineStr">
        <is>
          <t>UKPN</t>
        </is>
      </c>
      <c r="D4297" t="inlineStr">
        <is>
          <t>Tipper - Nissan - Navara - NS02TTS</t>
        </is>
      </c>
      <c r="E4297" t="inlineStr">
        <is>
          <t>Tipper - Nissan - Navara - NS02TTS</t>
        </is>
      </c>
      <c r="F4297" t="inlineStr">
        <is>
          <t>Tipper - Nissan - Navara - NS02TTS</t>
        </is>
      </c>
      <c r="G4297" t="inlineStr">
        <is>
          <t>Danny Appleby</t>
        </is>
      </c>
      <c r="H4297" t="inlineStr">
        <is>
          <t>Tipper</t>
        </is>
      </c>
      <c r="I4297" t="inlineStr">
        <is>
          <t>Daily/ Weekly Vehicle Inspection</t>
        </is>
      </c>
      <c r="J4297" t="inlineStr">
        <is>
          <t>N/A</t>
        </is>
      </c>
      <c r="K4297" t="inlineStr">
        <is>
          <t>7889 Tree Tech Suffolk Ltd</t>
        </is>
      </c>
      <c r="L4297" t="inlineStr">
        <is>
          <t>01/05/2026 06:51</t>
        </is>
      </c>
      <c r="M4297" t="inlineStr">
        <is>
          <t>None</t>
        </is>
      </c>
      <c r="N4297" t="inlineStr">
        <is>
          <t>&lt;p&gt;&lt;/p&gt;</t>
        </is>
      </c>
      <c r="O4297" t="inlineStr"/>
      <c r="P4297" t="inlineStr">
        <is>
          <t>Tipper - Nissan - Navara - NS02TTS</t>
        </is>
      </c>
      <c r="Q4297" t="inlineStr">
        <is>
          <t>UKPN</t>
        </is>
      </c>
      <c r="R4297" t="b">
        <v>0</v>
      </c>
    </row>
    <row r="4298">
      <c r="A4298" t="inlineStr">
        <is>
          <t>1 May 2026 / 7995 Green Net Eco Ltd 2</t>
        </is>
      </c>
      <c r="B4298" t="inlineStr">
        <is>
          <t>Infrastructure &amp; Utilities</t>
        </is>
      </c>
      <c r="C4298" t="inlineStr">
        <is>
          <t>UKPN</t>
        </is>
      </c>
      <c r="D4298" t="inlineStr">
        <is>
          <t>SA9ST800000283944 , Towed Chipper , Forst , ST8D - Towed</t>
        </is>
      </c>
      <c r="E4298" t="inlineStr">
        <is>
          <t>SA9ST800000283944 , Towed Chipper , Forst , ST8D - Towed</t>
        </is>
      </c>
      <c r="F4298" t="inlineStr">
        <is>
          <t>SA9ST800000283944 , Towed Chipper , Forst , ST8D - Towed</t>
        </is>
      </c>
      <c r="G4298" t="inlineStr">
        <is>
          <t>Jacob Oram</t>
        </is>
      </c>
      <c r="H4298" t="inlineStr">
        <is>
          <t>Towed Chipper</t>
        </is>
      </c>
      <c r="I4298" t="inlineStr">
        <is>
          <t>Daily/ Weekly Vehicle Inspection</t>
        </is>
      </c>
      <c r="J4298" t="inlineStr">
        <is>
          <t>N/A</t>
        </is>
      </c>
      <c r="K4298" t="inlineStr">
        <is>
          <t>7995 Green Net Eco Ltd 2</t>
        </is>
      </c>
      <c r="L4298" t="inlineStr">
        <is>
          <t>01/05/2026 07:51</t>
        </is>
      </c>
      <c r="M4298" t="inlineStr">
        <is>
          <t>None</t>
        </is>
      </c>
      <c r="N4298" t="inlineStr">
        <is>
          <t>&lt;p&gt;&lt;/p&gt;</t>
        </is>
      </c>
      <c r="O4298" t="inlineStr"/>
      <c r="P4298" t="inlineStr">
        <is>
          <t>SA9ST800000283944 , Towed Chipper , Forst , ST8D - Towed</t>
        </is>
      </c>
      <c r="Q4298" t="inlineStr">
        <is>
          <t>UKPN</t>
        </is>
      </c>
      <c r="R4298" t="b">
        <v>0</v>
      </c>
    </row>
    <row r="4299">
      <c r="A4299" t="inlineStr">
        <is>
          <t>1 May 2026 / 7995 Green Net Eco Ltd 2</t>
        </is>
      </c>
      <c r="B4299" t="inlineStr">
        <is>
          <t>Infrastructure &amp; Utilities</t>
        </is>
      </c>
      <c r="C4299" t="inlineStr">
        <is>
          <t>UKPN</t>
        </is>
      </c>
      <c r="D4299" t="inlineStr">
        <is>
          <t>WM72UNF , 4x4 , Ford , Ranger</t>
        </is>
      </c>
      <c r="E4299" t="inlineStr">
        <is>
          <t>WM72UNF , 4x4 , Ford , Ranger</t>
        </is>
      </c>
      <c r="F4299" t="inlineStr">
        <is>
          <t>WM72UNF , 4x4 , Ford , Ranger</t>
        </is>
      </c>
      <c r="G4299" t="inlineStr">
        <is>
          <t>Jacob Oram</t>
        </is>
      </c>
      <c r="H4299" t="inlineStr">
        <is>
          <t>4x4</t>
        </is>
      </c>
      <c r="I4299" t="inlineStr">
        <is>
          <t>Daily/ Weekly Vehicle Inspection</t>
        </is>
      </c>
      <c r="J4299" t="inlineStr">
        <is>
          <t>N/A</t>
        </is>
      </c>
      <c r="K4299" t="inlineStr">
        <is>
          <t>7995 Green Net Eco Ltd 2</t>
        </is>
      </c>
      <c r="L4299" t="inlineStr">
        <is>
          <t>01/05/2026 07:51</t>
        </is>
      </c>
      <c r="M4299" t="inlineStr">
        <is>
          <t>None</t>
        </is>
      </c>
      <c r="N4299" t="inlineStr">
        <is>
          <t>&lt;p&gt;&lt;/p&gt;</t>
        </is>
      </c>
      <c r="O4299" t="inlineStr"/>
      <c r="P4299" t="inlineStr">
        <is>
          <t>WM72UNF , 4x4 , Ford , Ranger</t>
        </is>
      </c>
      <c r="Q4299" t="inlineStr">
        <is>
          <t>UKPN</t>
        </is>
      </c>
      <c r="R4299" t="b">
        <v>0</v>
      </c>
    </row>
    <row r="4300">
      <c r="A4300" t="inlineStr">
        <is>
          <t>1 May 2026 / 7800 MAC Tree Surgery and Fencing Ltd</t>
        </is>
      </c>
      <c r="B4300" t="inlineStr">
        <is>
          <t>Utilities</t>
        </is>
      </c>
      <c r="C4300" t="inlineStr">
        <is>
          <t>UKPN</t>
        </is>
      </c>
      <c r="D4300" t="inlineStr">
        <is>
          <t>FG16LNT , Tipper , Ford transit  , Transit tipper</t>
        </is>
      </c>
      <c r="E4300" t="inlineStr">
        <is>
          <t>FG16LNT , Tipper , Ford transit  , Transit tipper</t>
        </is>
      </c>
      <c r="F4300" t="inlineStr">
        <is>
          <t>FG16LNT , Tipper , Ford transit  , Transit tipper</t>
        </is>
      </c>
      <c r="G4300" t="inlineStr">
        <is>
          <t>Patrick</t>
        </is>
      </c>
      <c r="H4300" t="inlineStr">
        <is>
          <t>Tipper</t>
        </is>
      </c>
      <c r="I4300" t="inlineStr">
        <is>
          <t>Daily/ Weekly Vehicle Inspection</t>
        </is>
      </c>
      <c r="J4300" t="inlineStr">
        <is>
          <t>N/A</t>
        </is>
      </c>
      <c r="K4300" t="inlineStr">
        <is>
          <t>7800 MAC Tree Surgery and Fencing Ltd</t>
        </is>
      </c>
      <c r="L4300" t="inlineStr">
        <is>
          <t>01/05/2026 07:52</t>
        </is>
      </c>
      <c r="M4300" t="inlineStr">
        <is>
          <t>None</t>
        </is>
      </c>
      <c r="N4300" t="inlineStr">
        <is>
          <t>&lt;p&gt;&lt;/p&gt;</t>
        </is>
      </c>
      <c r="O4300" t="inlineStr"/>
      <c r="P4300" t="inlineStr">
        <is>
          <t>FG16LNT , Tipper , Ford transit  , Transit tipper</t>
        </is>
      </c>
      <c r="Q4300" t="inlineStr">
        <is>
          <t>UKPN</t>
        </is>
      </c>
      <c r="R4300" t="b">
        <v>0</v>
      </c>
    </row>
    <row r="4301">
      <c r="A4301" t="inlineStr">
        <is>
          <t>1 May 2026 / 7800 MAC Tree Surgery and Fencing Ltd / Utilities / UKPN</t>
        </is>
      </c>
      <c r="B4301" t="inlineStr">
        <is>
          <t>Utilities</t>
        </is>
      </c>
      <c r="C4301" t="inlineStr">
        <is>
          <t>UKPN</t>
        </is>
      </c>
      <c r="D4301" t="inlineStr">
        <is>
          <t>Plant Trailer - Towmate - 2.8t - 0</t>
        </is>
      </c>
      <c r="E4301" t="inlineStr">
        <is>
          <t>Plant Trailer - Towmate - 2.8t - 0</t>
        </is>
      </c>
      <c r="F4301" t="inlineStr">
        <is>
          <t>Plant Trailer - Towmate - 2.8t - 0</t>
        </is>
      </c>
      <c r="G4301" t="inlineStr">
        <is>
          <t>Lewis mac</t>
        </is>
      </c>
      <c r="H4301" t="inlineStr">
        <is>
          <t>Plant Trailer</t>
        </is>
      </c>
      <c r="I4301" t="inlineStr">
        <is>
          <t>Daily/ Weekly Vehicle Inspection</t>
        </is>
      </c>
      <c r="J4301" t="inlineStr">
        <is>
          <t>N/A</t>
        </is>
      </c>
      <c r="K4301" t="inlineStr">
        <is>
          <t>7800 MAC Tree Surgery and Fencing Ltd</t>
        </is>
      </c>
      <c r="L4301" t="inlineStr">
        <is>
          <t>01/05/2026 07:52</t>
        </is>
      </c>
      <c r="M4301" t="inlineStr">
        <is>
          <t>None</t>
        </is>
      </c>
      <c r="N4301" t="inlineStr">
        <is>
          <t>&lt;p&gt;&lt;/p&gt;</t>
        </is>
      </c>
      <c r="O4301" t="inlineStr"/>
      <c r="P4301" t="inlineStr">
        <is>
          <t>Plant Trailer - Towmate - 2.8t - 0</t>
        </is>
      </c>
      <c r="Q4301" t="inlineStr">
        <is>
          <t>UKPN</t>
        </is>
      </c>
      <c r="R4301" t="b">
        <v>0</v>
      </c>
    </row>
    <row r="4302">
      <c r="A4302" t="inlineStr">
        <is>
          <t>1 May 2026 / 7800 MAC Tree Surgery and Fencing Ltd / Utilities / UKPN</t>
        </is>
      </c>
      <c r="B4302" t="inlineStr">
        <is>
          <t>Utilities</t>
        </is>
      </c>
      <c r="C4302" t="inlineStr">
        <is>
          <t>UKPN</t>
        </is>
      </c>
      <c r="D4302" t="inlineStr">
        <is>
          <t>AY68DAA , 4x4 , Izuzu , Dmax</t>
        </is>
      </c>
      <c r="E4302" t="inlineStr">
        <is>
          <t>AY68DAA , 4x4 , Izuzu , Dmax</t>
        </is>
      </c>
      <c r="F4302" t="inlineStr">
        <is>
          <t>AY68DAA , 4x4 , Izuzu , Dmax</t>
        </is>
      </c>
      <c r="G4302" t="inlineStr">
        <is>
          <t xml:space="preserve">Patrick O'Shea </t>
        </is>
      </c>
      <c r="H4302" t="inlineStr">
        <is>
          <t>4x4</t>
        </is>
      </c>
      <c r="I4302" t="inlineStr">
        <is>
          <t>Daily/ Weekly Vehicle Inspection</t>
        </is>
      </c>
      <c r="J4302" t="inlineStr">
        <is>
          <t>N/A</t>
        </is>
      </c>
      <c r="K4302" t="inlineStr">
        <is>
          <t>7800 MAC Tree Surgery and Fencing Ltd</t>
        </is>
      </c>
      <c r="L4302" t="inlineStr">
        <is>
          <t>01/05/2026 07:53</t>
        </is>
      </c>
      <c r="M4302" t="inlineStr">
        <is>
          <t>None</t>
        </is>
      </c>
      <c r="N4302" t="inlineStr">
        <is>
          <t>&lt;p&gt;&lt;/p&gt;</t>
        </is>
      </c>
      <c r="O4302" t="inlineStr"/>
      <c r="P4302" t="inlineStr">
        <is>
          <t>AY68DAA , 4x4 , Izuzu , Dmax</t>
        </is>
      </c>
      <c r="Q4302" t="inlineStr">
        <is>
          <t>UKPN</t>
        </is>
      </c>
      <c r="R4302" t="b">
        <v>0</v>
      </c>
    </row>
    <row r="4303">
      <c r="A4303" t="inlineStr">
        <is>
          <t>1 May 2026 / 7951 Austin Tree Care LTD</t>
        </is>
      </c>
      <c r="B4303" t="inlineStr">
        <is>
          <t>Infrastructure &amp; Utilities</t>
        </is>
      </c>
      <c r="C4303" t="inlineStr">
        <is>
          <t>UKPN</t>
        </is>
      </c>
      <c r="D4303" t="inlineStr">
        <is>
          <t>Kn58xuy , Tipper , VW  , Crafter</t>
        </is>
      </c>
      <c r="E4303" t="inlineStr">
        <is>
          <t>Kn58xuy , Tipper , VW  , Crafter</t>
        </is>
      </c>
      <c r="F4303" t="inlineStr">
        <is>
          <t>Kn58xuy , Tipper , VW  , Crafter</t>
        </is>
      </c>
      <c r="G4303" t="inlineStr">
        <is>
          <t xml:space="preserve">Jack Austin </t>
        </is>
      </c>
      <c r="H4303" t="inlineStr">
        <is>
          <t>Towed Chipper</t>
        </is>
      </c>
      <c r="I4303" t="inlineStr">
        <is>
          <t>Daily/ Weekly Vehicle Inspection</t>
        </is>
      </c>
      <c r="J4303" t="inlineStr">
        <is>
          <t>N/A</t>
        </is>
      </c>
      <c r="K4303" t="inlineStr">
        <is>
          <t>7951 Austin Tree Care LTD</t>
        </is>
      </c>
      <c r="L4303" t="inlineStr">
        <is>
          <t>01/05/2026 07:55</t>
        </is>
      </c>
      <c r="M4303" t="inlineStr">
        <is>
          <t>None</t>
        </is>
      </c>
      <c r="N4303" t="inlineStr">
        <is>
          <t>&lt;p&gt;&lt;/p&gt;</t>
        </is>
      </c>
      <c r="O4303" t="inlineStr"/>
      <c r="P4303" t="inlineStr">
        <is>
          <t>Kn58xuy , Tipper , VW  , Crafter</t>
        </is>
      </c>
      <c r="Q4303" t="inlineStr">
        <is>
          <t>UKPN</t>
        </is>
      </c>
      <c r="R4303" t="b">
        <v>0</v>
      </c>
    </row>
    <row r="4304">
      <c r="A4304" t="inlineStr">
        <is>
          <t>1 May 2026 / 7951 Austin Tree Care LTD</t>
        </is>
      </c>
      <c r="B4304" t="inlineStr">
        <is>
          <t>Infrastructure &amp; Utilities</t>
        </is>
      </c>
      <c r="C4304" t="inlineStr">
        <is>
          <t>UKPN</t>
        </is>
      </c>
      <c r="D4304" t="inlineStr">
        <is>
          <t>Kn58xuy , Tipper , VW  , Crafter</t>
        </is>
      </c>
      <c r="E4304" t="inlineStr">
        <is>
          <t>Kn58xuy , Tipper , VW  , Crafter</t>
        </is>
      </c>
      <c r="F4304" t="inlineStr">
        <is>
          <t>Kn58xuy , Tipper , VW  , Crafter</t>
        </is>
      </c>
      <c r="G4304" t="inlineStr">
        <is>
          <t xml:space="preserve">Jack Austin </t>
        </is>
      </c>
      <c r="H4304" t="inlineStr">
        <is>
          <t>Tipper</t>
        </is>
      </c>
      <c r="I4304" t="inlineStr">
        <is>
          <t>Daily/ Weekly Vehicle Inspection</t>
        </is>
      </c>
      <c r="J4304" t="inlineStr">
        <is>
          <t>N/A</t>
        </is>
      </c>
      <c r="K4304" t="inlineStr">
        <is>
          <t>7951 Austin Tree Care LTD</t>
        </is>
      </c>
      <c r="L4304" t="inlineStr">
        <is>
          <t>01/05/2026 07:56</t>
        </is>
      </c>
      <c r="M4304" t="inlineStr">
        <is>
          <t>None</t>
        </is>
      </c>
      <c r="N4304" t="inlineStr">
        <is>
          <t>&lt;p&gt;&lt;/p&gt;</t>
        </is>
      </c>
      <c r="O4304" t="inlineStr"/>
      <c r="P4304" t="inlineStr">
        <is>
          <t>Kn58xuy , Tipper , VW  , Crafter</t>
        </is>
      </c>
      <c r="Q4304" t="inlineStr">
        <is>
          <t>UKPN</t>
        </is>
      </c>
      <c r="R4304" t="b">
        <v>0</v>
      </c>
    </row>
    <row r="4305">
      <c r="A4305" t="inlineStr">
        <is>
          <t>1 May 2026 / 7951 Austin Tree Care LTD</t>
        </is>
      </c>
      <c r="B4305" t="inlineStr">
        <is>
          <t>Infrastructure &amp; Utilities</t>
        </is>
      </c>
      <c r="C4305" t="inlineStr">
        <is>
          <t>UKPN</t>
        </is>
      </c>
      <c r="D4305" t="inlineStr">
        <is>
          <t>WG64HTT , 4x4 , Land Rover , Defender 110</t>
        </is>
      </c>
      <c r="E4305" t="inlineStr">
        <is>
          <t>WG64HTT , 4x4 , Land Rover , Defender 110</t>
        </is>
      </c>
      <c r="F4305" t="inlineStr">
        <is>
          <t>WG64HTT , 4x4 , Land Rover , Defender 110</t>
        </is>
      </c>
      <c r="G4305" t="inlineStr">
        <is>
          <t xml:space="preserve">James Tasker  </t>
        </is>
      </c>
      <c r="H4305" t="inlineStr">
        <is>
          <t>4x4</t>
        </is>
      </c>
      <c r="I4305" t="inlineStr">
        <is>
          <t>Daily/ Weekly Vehicle Inspection</t>
        </is>
      </c>
      <c r="J4305" t="inlineStr">
        <is>
          <t>N/A</t>
        </is>
      </c>
      <c r="K4305" t="inlineStr">
        <is>
          <t>7951 Austin Tree Care LTD</t>
        </is>
      </c>
      <c r="L4305" t="inlineStr">
        <is>
          <t>01/05/2026 07:56</t>
        </is>
      </c>
      <c r="M4305" t="inlineStr">
        <is>
          <t>None</t>
        </is>
      </c>
      <c r="N4305" t="inlineStr">
        <is>
          <t>&lt;p&gt;&lt;/p&gt;</t>
        </is>
      </c>
      <c r="O4305" t="inlineStr"/>
      <c r="P4305" t="inlineStr">
        <is>
          <t>WG64HTT , 4x4 , Land Rover , Defender 110</t>
        </is>
      </c>
      <c r="Q4305" t="inlineStr">
        <is>
          <t>UKPN</t>
        </is>
      </c>
      <c r="R4305" t="b">
        <v>0</v>
      </c>
    </row>
    <row r="4306">
      <c r="A4306" t="inlineStr">
        <is>
          <t>1 May 2026 / 7806 Optimum Tree Services Ltd</t>
        </is>
      </c>
      <c r="B4306" t="inlineStr">
        <is>
          <t>Infrastructure &amp; Utilities</t>
        </is>
      </c>
      <c r="C4306" t="inlineStr">
        <is>
          <t>UKPN</t>
        </is>
      </c>
      <c r="D4306" t="inlineStr">
        <is>
          <t>SA9st6p0001283093 , Towed Chipper , Forst  , St6pHD</t>
        </is>
      </c>
      <c r="E4306" t="inlineStr">
        <is>
          <t>SA9st6p0001283093 , Towed Chipper , Forst  , St6pHD</t>
        </is>
      </c>
      <c r="F4306" t="inlineStr">
        <is>
          <t>SA9st6p0001283093 , Towed Chipper , Forst  , St6pHD</t>
        </is>
      </c>
      <c r="G4306" t="inlineStr">
        <is>
          <t xml:space="preserve">Abraham Davies </t>
        </is>
      </c>
      <c r="H4306" t="inlineStr">
        <is>
          <t>Towed Chipper</t>
        </is>
      </c>
      <c r="I4306" t="inlineStr">
        <is>
          <t>Daily/ Weekly Vehicle Inspection</t>
        </is>
      </c>
      <c r="J4306" t="inlineStr">
        <is>
          <t>N/A</t>
        </is>
      </c>
      <c r="K4306" t="inlineStr">
        <is>
          <t>7806 Optimum Tree Services Ltd</t>
        </is>
      </c>
      <c r="L4306" t="inlineStr">
        <is>
          <t>01/05/2026 07:57</t>
        </is>
      </c>
      <c r="M4306" t="inlineStr">
        <is>
          <t>None</t>
        </is>
      </c>
      <c r="N4306" t="inlineStr">
        <is>
          <t>&lt;p&gt;&lt;/p&gt;</t>
        </is>
      </c>
      <c r="O4306" t="inlineStr"/>
      <c r="P4306" t="inlineStr">
        <is>
          <t>SA9st6p0001283093 , Towed Chipper , Forst  , St6pHD</t>
        </is>
      </c>
      <c r="Q4306" t="inlineStr">
        <is>
          <t>UKPN</t>
        </is>
      </c>
      <c r="R4306" t="b">
        <v>0</v>
      </c>
    </row>
    <row r="4307">
      <c r="A4307" t="inlineStr">
        <is>
          <t>1 May 2026 / 7806 Optimum Tree Services Ltd</t>
        </is>
      </c>
      <c r="B4307" t="inlineStr">
        <is>
          <t>Infrastructure &amp; Utilities</t>
        </is>
      </c>
      <c r="C4307" t="inlineStr">
        <is>
          <t>UKPN</t>
        </is>
      </c>
      <c r="D4307" t="inlineStr">
        <is>
          <t>Xt12ees , Tipper , Ford  , Transit</t>
        </is>
      </c>
      <c r="E4307" t="inlineStr">
        <is>
          <t>Xt12ees , Tipper , Ford  , Transit</t>
        </is>
      </c>
      <c r="F4307" t="inlineStr">
        <is>
          <t>Xt12ees , Tipper , Ford  , Transit</t>
        </is>
      </c>
      <c r="G4307" t="inlineStr">
        <is>
          <t xml:space="preserve">Abraham Davies </t>
        </is>
      </c>
      <c r="H4307" t="inlineStr">
        <is>
          <t>Tipper</t>
        </is>
      </c>
      <c r="I4307" t="inlineStr">
        <is>
          <t>Daily/ Weekly Vehicle Inspection</t>
        </is>
      </c>
      <c r="J4307" t="inlineStr">
        <is>
          <t>N/A</t>
        </is>
      </c>
      <c r="K4307" t="inlineStr">
        <is>
          <t>7806 Optimum Tree Services Ltd</t>
        </is>
      </c>
      <c r="L4307" t="inlineStr">
        <is>
          <t>01/05/2026 07:58</t>
        </is>
      </c>
      <c r="M4307" t="inlineStr">
        <is>
          <t>None</t>
        </is>
      </c>
      <c r="N4307" t="inlineStr">
        <is>
          <t>&lt;p&gt;&lt;/p&gt;</t>
        </is>
      </c>
      <c r="O4307" t="inlineStr"/>
      <c r="P4307" t="inlineStr">
        <is>
          <t>Xt12ees , Tipper , Ford  , Transit</t>
        </is>
      </c>
      <c r="Q4307" t="inlineStr">
        <is>
          <t>UKPN</t>
        </is>
      </c>
      <c r="R4307" t="b">
        <v>0</v>
      </c>
    </row>
    <row r="4308">
      <c r="A4308" t="inlineStr">
        <is>
          <t>1 May 2026 / 7996 M G Tree Surgery Ltd 1</t>
        </is>
      </c>
      <c r="B4308" t="inlineStr">
        <is>
          <t>Infrastructure &amp; Utilities</t>
        </is>
      </c>
      <c r="C4308" t="inlineStr">
        <is>
          <t>UKPN</t>
        </is>
      </c>
      <c r="D4308" t="inlineStr">
        <is>
          <t>KX20 BCE , Tipper , Isuzu , D-Max</t>
        </is>
      </c>
      <c r="E4308" t="inlineStr">
        <is>
          <t>KX20 BCE , Tipper , Isuzu , D-Max</t>
        </is>
      </c>
      <c r="F4308" t="inlineStr">
        <is>
          <t>KX20 BCE , Tipper , Isuzu , D-Max</t>
        </is>
      </c>
      <c r="G4308" t="inlineStr">
        <is>
          <t>Anthony Gale</t>
        </is>
      </c>
      <c r="H4308" t="inlineStr">
        <is>
          <t>Pickup Truck</t>
        </is>
      </c>
      <c r="I4308" t="inlineStr">
        <is>
          <t>Daily/ Weekly Vehicle Inspection</t>
        </is>
      </c>
      <c r="J4308" t="inlineStr">
        <is>
          <t>N/A</t>
        </is>
      </c>
      <c r="K4308" t="inlineStr">
        <is>
          <t>7996 M G Tree Surgery Ltd 1</t>
        </is>
      </c>
      <c r="L4308" t="inlineStr">
        <is>
          <t>01/05/2026 07:59</t>
        </is>
      </c>
      <c r="M4308" t="inlineStr">
        <is>
          <t>None</t>
        </is>
      </c>
      <c r="N4308" t="inlineStr">
        <is>
          <t>&lt;p&gt;&lt;/p&gt;</t>
        </is>
      </c>
      <c r="O4308" t="inlineStr"/>
      <c r="P4308" t="inlineStr">
        <is>
          <t>KX20 BCE , Tipper , Isuzu , D-Max</t>
        </is>
      </c>
      <c r="Q4308" t="inlineStr">
        <is>
          <t>UKPN</t>
        </is>
      </c>
      <c r="R4308" t="b">
        <v>0</v>
      </c>
    </row>
    <row r="4309">
      <c r="A4309" t="inlineStr">
        <is>
          <t>1 May 2026 / Dylan Bowler</t>
        </is>
      </c>
      <c r="B4309" t="inlineStr">
        <is>
          <t>Infrastructure &amp; Utilities</t>
        </is>
      </c>
      <c r="C4309" t="inlineStr">
        <is>
          <t>NGED</t>
        </is>
      </c>
      <c r="D4309" t="inlineStr">
        <is>
          <t>YX24TXG , Car - Electric , Kia , Niro</t>
        </is>
      </c>
      <c r="E4309" t="inlineStr">
        <is>
          <t>YX24TXG , Car - Electric , Kia , Niro</t>
        </is>
      </c>
      <c r="F4309" t="inlineStr">
        <is>
          <t>YX24TXG , Car - Electric , Kia , Niro</t>
        </is>
      </c>
      <c r="G4309" t="inlineStr">
        <is>
          <t xml:space="preserve">Dylan </t>
        </is>
      </c>
      <c r="H4309" t="inlineStr">
        <is>
          <t>Car - Electric (GC Owned)</t>
        </is>
      </c>
      <c r="I4309" t="inlineStr">
        <is>
          <t>Daily/ Weekly Vehicle Inspection</t>
        </is>
      </c>
      <c r="J4309" t="inlineStr">
        <is>
          <t>N/A</t>
        </is>
      </c>
      <c r="K4309" t="inlineStr">
        <is>
          <t>Dylan Bowler</t>
        </is>
      </c>
      <c r="L4309" t="inlineStr">
        <is>
          <t>01/05/2026 08:55</t>
        </is>
      </c>
      <c r="M4309" t="inlineStr">
        <is>
          <t>None</t>
        </is>
      </c>
      <c r="N4309" t="inlineStr">
        <is>
          <t>&lt;p&gt;&lt;/p&gt;</t>
        </is>
      </c>
      <c r="O4309" t="inlineStr"/>
      <c r="P4309" t="inlineStr">
        <is>
          <t>YX24TXG , Car - Electric , Kia , Niro</t>
        </is>
      </c>
      <c r="Q4309" t="inlineStr">
        <is>
          <t>NGED</t>
        </is>
      </c>
      <c r="R4309" t="b">
        <v>0</v>
      </c>
    </row>
    <row r="4310">
      <c r="A4310" t="inlineStr">
        <is>
          <t>1 May 2026 / Kevin Miller</t>
        </is>
      </c>
      <c r="B4310" t="inlineStr">
        <is>
          <t>Infrastructure &amp; Utilities</t>
        </is>
      </c>
      <c r="C4310" t="inlineStr">
        <is>
          <t>UKPN</t>
        </is>
      </c>
      <c r="D4310" t="inlineStr">
        <is>
          <t>EO73KUF , Car - Electric , Kia , Niro</t>
        </is>
      </c>
      <c r="E4310" t="inlineStr">
        <is>
          <t>EO73KUF , Car - Electric , Kia , Niro</t>
        </is>
      </c>
      <c r="F4310" t="inlineStr">
        <is>
          <t>EO73KUF , Car - Electric , Kia , Niro</t>
        </is>
      </c>
      <c r="G4310" t="inlineStr">
        <is>
          <t xml:space="preserve">Kevin Miller </t>
        </is>
      </c>
      <c r="H4310" t="inlineStr">
        <is>
          <t>Car - Electric (GC Owned)</t>
        </is>
      </c>
      <c r="I4310" t="inlineStr">
        <is>
          <t>Daily/ Weekly Vehicle Inspection</t>
        </is>
      </c>
      <c r="J4310" t="inlineStr">
        <is>
          <t>N/A</t>
        </is>
      </c>
      <c r="K4310" t="inlineStr">
        <is>
          <t>Kevin Miller</t>
        </is>
      </c>
      <c r="L4310" t="inlineStr">
        <is>
          <t>01/05/2026 08:56</t>
        </is>
      </c>
      <c r="M4310" t="inlineStr">
        <is>
          <t>None</t>
        </is>
      </c>
      <c r="N4310" t="inlineStr">
        <is>
          <t>&lt;p&gt;&lt;/p&gt;</t>
        </is>
      </c>
      <c r="O4310" t="inlineStr"/>
      <c r="P4310" t="inlineStr">
        <is>
          <t>EO73KUF , Car - Electric , Kia , Niro</t>
        </is>
      </c>
      <c r="Q4310" t="inlineStr">
        <is>
          <t>UKPN</t>
        </is>
      </c>
      <c r="R4310" t="b">
        <v>0</v>
      </c>
    </row>
    <row r="4311">
      <c r="A4311" t="inlineStr">
        <is>
          <t>1 May 2026 / Jake Bolwell</t>
        </is>
      </c>
      <c r="B4311" t="inlineStr">
        <is>
          <t>Infrastructure &amp; Utilities</t>
        </is>
      </c>
      <c r="C4311" t="inlineStr">
        <is>
          <t>SSE</t>
        </is>
      </c>
      <c r="D4311" t="inlineStr">
        <is>
          <t>AK23YLP , Car - Electric , Tesla , Model Y Long Range</t>
        </is>
      </c>
      <c r="E4311" t="inlineStr">
        <is>
          <t>AK23YLP , Car - Electric , Tesla , Model Y Long Range</t>
        </is>
      </c>
      <c r="F4311" t="inlineStr">
        <is>
          <t>AK23YLP , Car - Electric , Tesla , Model Y Long Range</t>
        </is>
      </c>
      <c r="G4311" t="inlineStr">
        <is>
          <t>Jake Bolwell</t>
        </is>
      </c>
      <c r="H4311" t="inlineStr">
        <is>
          <t>Car - Electric (GC Owned)</t>
        </is>
      </c>
      <c r="I4311" t="inlineStr">
        <is>
          <t>Daily/ Weekly Vehicle Inspection</t>
        </is>
      </c>
      <c r="J4311" t="inlineStr">
        <is>
          <t>N/A</t>
        </is>
      </c>
      <c r="K4311" t="inlineStr">
        <is>
          <t>Jake Bolwell</t>
        </is>
      </c>
      <c r="L4311" t="inlineStr">
        <is>
          <t>01/05/2026 10:52</t>
        </is>
      </c>
      <c r="M4311" t="inlineStr">
        <is>
          <t>None</t>
        </is>
      </c>
      <c r="N4311" t="inlineStr">
        <is>
          <t>&lt;p&gt;&lt;/p&gt;</t>
        </is>
      </c>
      <c r="O4311" t="inlineStr"/>
      <c r="P4311" t="inlineStr">
        <is>
          <t>AK23YLP , Car - Electric , Tesla , Model Y Long Range</t>
        </is>
      </c>
      <c r="Q4311" t="inlineStr">
        <is>
          <t>SSE</t>
        </is>
      </c>
      <c r="R4311" t="b">
        <v>0</v>
      </c>
    </row>
    <row r="4312">
      <c r="A4312" t="inlineStr">
        <is>
          <t>1 May 2026 / Patryk Zietarski</t>
        </is>
      </c>
      <c r="B4312" t="inlineStr">
        <is>
          <t>Infrastructure &amp; Utilities</t>
        </is>
      </c>
      <c r="C4312" t="inlineStr">
        <is>
          <t>UKPN</t>
        </is>
      </c>
      <c r="D4312" t="inlineStr">
        <is>
          <t>YW73CWL , Car - Electric , Kia , eNiro</t>
        </is>
      </c>
      <c r="E4312" t="inlineStr">
        <is>
          <t>YW73CWL , Car - Electric , Kia , eNiro</t>
        </is>
      </c>
      <c r="F4312" t="inlineStr">
        <is>
          <t>YW73CWL , Car - Electric , Kia , eNiro</t>
        </is>
      </c>
      <c r="G4312" t="inlineStr">
        <is>
          <t xml:space="preserve">Patryk Zietarski </t>
        </is>
      </c>
      <c r="H4312" t="inlineStr">
        <is>
          <t>Car - Electric (GC Owned)</t>
        </is>
      </c>
      <c r="I4312" t="inlineStr">
        <is>
          <t>Daily/ Weekly Vehicle Inspection</t>
        </is>
      </c>
      <c r="J4312" t="inlineStr">
        <is>
          <t>N/A</t>
        </is>
      </c>
      <c r="K4312" t="inlineStr">
        <is>
          <t>Patryk Zietarski</t>
        </is>
      </c>
      <c r="L4312" t="inlineStr">
        <is>
          <t>01/05/2026 11:52</t>
        </is>
      </c>
      <c r="M4312" t="inlineStr">
        <is>
          <t>None</t>
        </is>
      </c>
      <c r="N4312" t="inlineStr">
        <is>
          <t>&lt;p&gt;&lt;/p&gt;</t>
        </is>
      </c>
      <c r="O4312" t="inlineStr"/>
      <c r="P4312" t="inlineStr">
        <is>
          <t>YW73CWL , Car - Electric , Kia , eNiro</t>
        </is>
      </c>
      <c r="Q4312" t="inlineStr">
        <is>
          <t>UKPN</t>
        </is>
      </c>
      <c r="R4312" t="b">
        <v>0</v>
      </c>
    </row>
    <row r="4313">
      <c r="A4313" t="inlineStr">
        <is>
          <t>1 May 2026 / Christopher Phillips</t>
        </is>
      </c>
      <c r="B4313" t="inlineStr">
        <is>
          <t>Infrastructure &amp; Utilities</t>
        </is>
      </c>
      <c r="C4313" t="inlineStr">
        <is>
          <t>NGED</t>
        </is>
      </c>
      <c r="D4313" t="inlineStr">
        <is>
          <t>SK69XHC , Car - Electric , Tesla , Model 3 Performance AWD</t>
        </is>
      </c>
      <c r="E4313" t="inlineStr">
        <is>
          <t>SK69XHC , Car - Electric , Tesla , Model 3 Performance AWD</t>
        </is>
      </c>
      <c r="F4313" t="inlineStr">
        <is>
          <t>SK69XHC , Car - Electric , Tesla , Model 3 Performance AWD</t>
        </is>
      </c>
      <c r="G4313" t="inlineStr">
        <is>
          <t xml:space="preserve">Chris Phillips </t>
        </is>
      </c>
      <c r="H4313" t="inlineStr">
        <is>
          <t>Car - Electric (GC Owned)</t>
        </is>
      </c>
      <c r="I4313" t="inlineStr">
        <is>
          <t>Daily/ Weekly Vehicle Inspection</t>
        </is>
      </c>
      <c r="J4313" t="inlineStr">
        <is>
          <t>N/A</t>
        </is>
      </c>
      <c r="K4313" t="inlineStr">
        <is>
          <t>Christopher Phillips</t>
        </is>
      </c>
      <c r="L4313" t="inlineStr">
        <is>
          <t>01/05/2026 11:55</t>
        </is>
      </c>
      <c r="M4313" t="inlineStr">
        <is>
          <t>None</t>
        </is>
      </c>
      <c r="N4313" t="inlineStr">
        <is>
          <t>&lt;p&gt;&lt;/p&gt;</t>
        </is>
      </c>
      <c r="O4313" t="inlineStr"/>
      <c r="P4313" t="inlineStr">
        <is>
          <t>SK69XHC , Car - Electric , Tesla , Model 3 Performance AWD</t>
        </is>
      </c>
      <c r="Q4313" t="inlineStr">
        <is>
          <t>NGED</t>
        </is>
      </c>
      <c r="R4313" t="b">
        <v>0</v>
      </c>
    </row>
    <row r="4314">
      <c r="A4314" t="inlineStr">
        <is>
          <t>1 May 2026 / Christopher Phillips</t>
        </is>
      </c>
      <c r="B4314" t="inlineStr">
        <is>
          <t>Infrastructure &amp; Utilities</t>
        </is>
      </c>
      <c r="C4314" t="inlineStr">
        <is>
          <t>NGED</t>
        </is>
      </c>
      <c r="D4314" t="inlineStr">
        <is>
          <t>SK69XHC , Car - Electric , Tesla , Model 3 Performance AWD</t>
        </is>
      </c>
      <c r="E4314" t="inlineStr">
        <is>
          <t>SK69XHC , Car - Electric , Tesla , Model 3 Performance AWD</t>
        </is>
      </c>
      <c r="F4314" t="inlineStr">
        <is>
          <t>SK69XHC , Car - Electric , Tesla , Model 3 Performance AWD</t>
        </is>
      </c>
      <c r="G4314" t="inlineStr">
        <is>
          <t xml:space="preserve">Chris Phillips </t>
        </is>
      </c>
      <c r="H4314" t="inlineStr">
        <is>
          <t>Car - Electric (GC Owned)</t>
        </is>
      </c>
      <c r="I4314" t="inlineStr">
        <is>
          <t>Monthly Vehicle Inspection</t>
        </is>
      </c>
      <c r="J4314" t="inlineStr">
        <is>
          <t>78263</t>
        </is>
      </c>
      <c r="K4314" t="inlineStr">
        <is>
          <t>Christopher Phillips</t>
        </is>
      </c>
      <c r="L4314" t="inlineStr">
        <is>
          <t>01/05/2026 11:56</t>
        </is>
      </c>
      <c r="M4314" t="inlineStr">
        <is>
          <t>None</t>
        </is>
      </c>
      <c r="N4314" t="inlineStr">
        <is>
          <t>&lt;p&gt;&lt;/p&gt;</t>
        </is>
      </c>
      <c r="O4314" t="inlineStr"/>
      <c r="P4314" t="inlineStr">
        <is>
          <t>SK69XHC , Car - Electric , Tesla , Model 3 Performance AWD</t>
        </is>
      </c>
      <c r="Q4314" t="inlineStr">
        <is>
          <t>NGED</t>
        </is>
      </c>
      <c r="R4314" t="b">
        <v>0</v>
      </c>
    </row>
    <row r="4315">
      <c r="A4315" t="inlineStr">
        <is>
          <t>1 May 2026 / 7951 Austin Tree Care LTD</t>
        </is>
      </c>
      <c r="B4315" t="inlineStr">
        <is>
          <t>Infrastructure &amp; Utilities</t>
        </is>
      </c>
      <c r="C4315" t="inlineStr">
        <is>
          <t>UKPN</t>
        </is>
      </c>
      <c r="D4315" t="inlineStr">
        <is>
          <t>WG64HTT , 4x4 , Land Rover , Defender 110</t>
        </is>
      </c>
      <c r="E4315" t="inlineStr">
        <is>
          <t>WG64HTT , 4x4 , Land Rover , Defender 110</t>
        </is>
      </c>
      <c r="F4315" t="inlineStr">
        <is>
          <t>WG64HTT , 4x4 , Land Rover , Defender 110</t>
        </is>
      </c>
      <c r="G4315" t="inlineStr">
        <is>
          <t xml:space="preserve">James Tasker  </t>
        </is>
      </c>
      <c r="H4315" t="inlineStr">
        <is>
          <t>4x4</t>
        </is>
      </c>
      <c r="I4315" t="inlineStr">
        <is>
          <t>Daily/ Weekly Vehicle Inspection</t>
        </is>
      </c>
      <c r="J4315" t="inlineStr">
        <is>
          <t>N/A</t>
        </is>
      </c>
      <c r="K4315" t="inlineStr">
        <is>
          <t>7951 Austin Tree Care LTD</t>
        </is>
      </c>
      <c r="L4315" t="inlineStr">
        <is>
          <t>01/05/2026 13:51</t>
        </is>
      </c>
      <c r="M4315" t="inlineStr">
        <is>
          <t>None</t>
        </is>
      </c>
      <c r="N4315" t="inlineStr">
        <is>
          <t>&lt;p&gt;&lt;/p&gt;</t>
        </is>
      </c>
      <c r="O4315" t="inlineStr"/>
      <c r="P4315" t="inlineStr">
        <is>
          <t>WG64HTT , 4x4 , Land Rover , Defender 110</t>
        </is>
      </c>
      <c r="Q4315" t="inlineStr">
        <is>
          <t>UKPN</t>
        </is>
      </c>
      <c r="R4315" t="b">
        <v>0</v>
      </c>
    </row>
    <row r="4316">
      <c r="A4316" t="inlineStr">
        <is>
          <t>1 May 2026 / 7951 Austin Tree Care LTD</t>
        </is>
      </c>
      <c r="B4316" t="inlineStr">
        <is>
          <t>Infrastructure &amp; Utilities</t>
        </is>
      </c>
      <c r="C4316" t="inlineStr">
        <is>
          <t>UKPN</t>
        </is>
      </c>
      <c r="D4316" t="inlineStr">
        <is>
          <t>Kn58xuy , Tipper , VW  , Crafter</t>
        </is>
      </c>
      <c r="E4316" t="inlineStr">
        <is>
          <t>Kn58xuy , Tipper , VW  , Crafter</t>
        </is>
      </c>
      <c r="F4316" t="inlineStr">
        <is>
          <t>Kn58xuy , Tipper , VW  , Crafter</t>
        </is>
      </c>
      <c r="G4316" t="inlineStr">
        <is>
          <t xml:space="preserve">Jack Austin </t>
        </is>
      </c>
      <c r="H4316" t="inlineStr">
        <is>
          <t>Towed Chipper</t>
        </is>
      </c>
      <c r="I4316" t="inlineStr">
        <is>
          <t>Daily/ Weekly Vehicle Inspection</t>
        </is>
      </c>
      <c r="J4316" t="inlineStr">
        <is>
          <t>N/A</t>
        </is>
      </c>
      <c r="K4316" t="inlineStr">
        <is>
          <t>7951 Austin Tree Care LTD</t>
        </is>
      </c>
      <c r="L4316" t="inlineStr">
        <is>
          <t>01/05/2026 13:51</t>
        </is>
      </c>
      <c r="M4316" t="inlineStr">
        <is>
          <t>None</t>
        </is>
      </c>
      <c r="N4316" t="inlineStr">
        <is>
          <t>&lt;p&gt;&lt;/p&gt;</t>
        </is>
      </c>
      <c r="O4316" t="inlineStr"/>
      <c r="P4316" t="inlineStr">
        <is>
          <t>Kn58xuy , Tipper , VW  , Crafter</t>
        </is>
      </c>
      <c r="Q4316" t="inlineStr">
        <is>
          <t>UKPN</t>
        </is>
      </c>
      <c r="R4316" t="b">
        <v>0</v>
      </c>
    </row>
    <row r="4317">
      <c r="A4317" t="inlineStr">
        <is>
          <t>1 May 2026 / Ashley Taylor</t>
        </is>
      </c>
      <c r="B4317" t="inlineStr">
        <is>
          <t>Infrastructure &amp; Utilities</t>
        </is>
      </c>
      <c r="C4317" t="inlineStr">
        <is>
          <t>SSE</t>
        </is>
      </c>
      <c r="D4317" t="inlineStr">
        <is>
          <t>AF22XLX , Car - Electric , Tesla , Model 3 Long Range AWD</t>
        </is>
      </c>
      <c r="E4317" t="inlineStr">
        <is>
          <t>AF22XLX , Car - Electric , Tesla , Model 3 Long Range AWD</t>
        </is>
      </c>
      <c r="F4317" t="inlineStr">
        <is>
          <t>AF22XLX , Car - Electric , Tesla , Model 3 Long Range AWD</t>
        </is>
      </c>
      <c r="G4317" t="inlineStr">
        <is>
          <t>Ashley Taylor</t>
        </is>
      </c>
      <c r="H4317" t="inlineStr">
        <is>
          <t>Car - Electric (GC Owned)</t>
        </is>
      </c>
      <c r="I4317" t="inlineStr">
        <is>
          <t>Daily/ Weekly Vehicle Inspection</t>
        </is>
      </c>
      <c r="J4317" t="inlineStr">
        <is>
          <t>N/A</t>
        </is>
      </c>
      <c r="K4317" t="inlineStr">
        <is>
          <t>Ashley Taylor</t>
        </is>
      </c>
      <c r="L4317" t="inlineStr">
        <is>
          <t>01/05/2026 14:53</t>
        </is>
      </c>
      <c r="M4317" t="inlineStr">
        <is>
          <t>None</t>
        </is>
      </c>
      <c r="N4317" t="inlineStr">
        <is>
          <t>&lt;p&gt;&lt;/p&gt;</t>
        </is>
      </c>
      <c r="O4317" t="inlineStr"/>
      <c r="P4317" t="inlineStr">
        <is>
          <t>AF22XLX , Car - Electric , Tesla , Model 3 Long Range AWD</t>
        </is>
      </c>
      <c r="Q4317" t="inlineStr">
        <is>
          <t>SSE</t>
        </is>
      </c>
      <c r="R4317" t="b">
        <v>0</v>
      </c>
    </row>
    <row r="4318">
      <c r="A4318" t="inlineStr">
        <is>
          <t>10 Apr 2026 / Ashley Taylor</t>
        </is>
      </c>
      <c r="B4318" t="inlineStr">
        <is>
          <t>Infrastructure &amp; Utilities</t>
        </is>
      </c>
      <c r="C4318" t="inlineStr">
        <is>
          <t>SSE</t>
        </is>
      </c>
      <c r="D4318" t="inlineStr">
        <is>
          <t>AF22XLX , Car - Electric , Tesla , Model 3 Long Range AWD</t>
        </is>
      </c>
      <c r="E4318" t="inlineStr">
        <is>
          <t>AF22XLX , Car - Electric , Tesla , Model 3 Long Range AWD</t>
        </is>
      </c>
      <c r="F4318" t="inlineStr">
        <is>
          <t>AF22XLX , Car - Electric , Tesla , Model 3 Long Range AWD</t>
        </is>
      </c>
      <c r="G4318" t="inlineStr">
        <is>
          <t xml:space="preserve">Ashley Taylor </t>
        </is>
      </c>
      <c r="H4318" t="inlineStr">
        <is>
          <t>Car - Electric (GC Owned)</t>
        </is>
      </c>
      <c r="I4318" t="inlineStr">
        <is>
          <t>Daily/ Weekly Vehicle Inspection</t>
        </is>
      </c>
      <c r="J4318" t="inlineStr">
        <is>
          <t>N/A</t>
        </is>
      </c>
      <c r="K4318" t="inlineStr">
        <is>
          <t>Ashley Taylor</t>
        </is>
      </c>
      <c r="L4318" t="inlineStr">
        <is>
          <t>01/05/2026 14:53</t>
        </is>
      </c>
      <c r="M4318" t="inlineStr">
        <is>
          <t>None</t>
        </is>
      </c>
      <c r="N4318" t="inlineStr">
        <is>
          <t>&lt;p&gt;&lt;/p&gt;</t>
        </is>
      </c>
      <c r="O4318" t="inlineStr"/>
      <c r="P4318" t="inlineStr">
        <is>
          <t>AF22XLX , Car - Electric , Tesla , Model 3 Long Range AWD</t>
        </is>
      </c>
      <c r="Q4318" t="inlineStr">
        <is>
          <t>SSE</t>
        </is>
      </c>
      <c r="R4318" t="b">
        <v>0</v>
      </c>
    </row>
    <row r="4319">
      <c r="A4319" t="inlineStr">
        <is>
          <t>20 Apr 2026 / Oliver Coyle</t>
        </is>
      </c>
      <c r="B4319" t="inlineStr">
        <is>
          <t>Infrastructure &amp; Utilities</t>
        </is>
      </c>
      <c r="C4319" t="inlineStr">
        <is>
          <t>NGED</t>
        </is>
      </c>
      <c r="D4319" t="inlineStr">
        <is>
          <t>GL20TSX , Car - Electric , Tesla , Model 3 Long Range AWD</t>
        </is>
      </c>
      <c r="E4319" t="inlineStr">
        <is>
          <t>GL20TSX , Car - Electric , Tesla , Model 3 Long Range AWD</t>
        </is>
      </c>
      <c r="F4319" t="inlineStr">
        <is>
          <t>GL20TSX , Car - Electric , Tesla , Model 3 Long Range AWD</t>
        </is>
      </c>
      <c r="G4319" t="inlineStr">
        <is>
          <t xml:space="preserve">Oliver Coyle </t>
        </is>
      </c>
      <c r="H4319" t="inlineStr">
        <is>
          <t>Car - Electric (GC Owned)</t>
        </is>
      </c>
      <c r="I4319" t="inlineStr">
        <is>
          <t>Daily/ Weekly Vehicle Inspection</t>
        </is>
      </c>
      <c r="J4319" t="inlineStr">
        <is>
          <t>N/A</t>
        </is>
      </c>
      <c r="K4319" t="inlineStr">
        <is>
          <t>Oliver Coyle</t>
        </is>
      </c>
      <c r="L4319" t="inlineStr">
        <is>
          <t>01/05/2026 15:51</t>
        </is>
      </c>
      <c r="M4319" t="inlineStr">
        <is>
          <t>None</t>
        </is>
      </c>
      <c r="N4319" t="inlineStr">
        <is>
          <t>&lt;p&gt;&lt;/p&gt;</t>
        </is>
      </c>
      <c r="O4319" t="inlineStr"/>
      <c r="P4319" t="inlineStr">
        <is>
          <t>GL20TSX , Car - Electric , Tesla , Model 3 Long Range AWD</t>
        </is>
      </c>
      <c r="Q4319" t="inlineStr">
        <is>
          <t>NGED</t>
        </is>
      </c>
      <c r="R4319" t="b">
        <v>0</v>
      </c>
    </row>
    <row r="4320">
      <c r="A4320" t="inlineStr">
        <is>
          <t>27 Apr 2026 / Oliver Coyle</t>
        </is>
      </c>
      <c r="B4320" t="inlineStr">
        <is>
          <t>Infrastructure &amp; Utilities</t>
        </is>
      </c>
      <c r="C4320" t="inlineStr">
        <is>
          <t>NGED</t>
        </is>
      </c>
      <c r="D4320" t="inlineStr">
        <is>
          <t>GL20TSX , Car - Electric , Tesla , Model 3 Long Range AWD</t>
        </is>
      </c>
      <c r="E4320" t="inlineStr">
        <is>
          <t>GL20TSX , Car - Electric , Tesla , Model 3 Long Range AWD</t>
        </is>
      </c>
      <c r="F4320" t="inlineStr">
        <is>
          <t>GL20TSX , Car - Electric , Tesla , Model 3 Long Range AWD</t>
        </is>
      </c>
      <c r="G4320" t="inlineStr">
        <is>
          <t>Oliver Coyle</t>
        </is>
      </c>
      <c r="H4320" t="inlineStr">
        <is>
          <t>Car - Electric (GC Owned)</t>
        </is>
      </c>
      <c r="I4320" t="inlineStr">
        <is>
          <t>Daily/ Weekly Vehicle Inspection</t>
        </is>
      </c>
      <c r="J4320" t="inlineStr">
        <is>
          <t>N/A</t>
        </is>
      </c>
      <c r="K4320" t="inlineStr">
        <is>
          <t>Oliver Coyle</t>
        </is>
      </c>
      <c r="L4320" t="inlineStr">
        <is>
          <t>01/05/2026 15:51</t>
        </is>
      </c>
      <c r="M4320" t="inlineStr">
        <is>
          <t>None</t>
        </is>
      </c>
      <c r="N4320" t="inlineStr">
        <is>
          <t>&lt;p&gt;&lt;/p&gt;</t>
        </is>
      </c>
      <c r="O4320" t="inlineStr"/>
      <c r="P4320" t="inlineStr">
        <is>
          <t>GL20TSX , Car - Electric , Tesla , Model 3 Long Range AWD</t>
        </is>
      </c>
      <c r="Q4320" t="inlineStr">
        <is>
          <t>NGED</t>
        </is>
      </c>
      <c r="R4320" t="b">
        <v>0</v>
      </c>
    </row>
    <row r="4321">
      <c r="A4321" t="inlineStr">
        <is>
          <t>13 Apr 2026 / Oliver Coyle</t>
        </is>
      </c>
      <c r="B4321" t="inlineStr">
        <is>
          <t>Infrastructure &amp; Utilities</t>
        </is>
      </c>
      <c r="C4321" t="inlineStr">
        <is>
          <t>NGED</t>
        </is>
      </c>
      <c r="D4321" t="inlineStr">
        <is>
          <t>GL20TSX , Car - Electric , Tesla , Model 3 Long Range AWD</t>
        </is>
      </c>
      <c r="E4321" t="inlineStr">
        <is>
          <t>GL20TSX , Car - Electric , Tesla , Model 3 Long Range AWD</t>
        </is>
      </c>
      <c r="F4321" t="inlineStr">
        <is>
          <t>GL20TSX , Car - Electric , Tesla , Model 3 Long Range AWD</t>
        </is>
      </c>
      <c r="G4321" t="inlineStr">
        <is>
          <t xml:space="preserve">Oliver Coyle </t>
        </is>
      </c>
      <c r="H4321" t="inlineStr">
        <is>
          <t>Car - Electric (GC Owned)</t>
        </is>
      </c>
      <c r="I4321" t="inlineStr">
        <is>
          <t>Daily/ Weekly Vehicle Inspection</t>
        </is>
      </c>
      <c r="J4321" t="inlineStr">
        <is>
          <t>N/A</t>
        </is>
      </c>
      <c r="K4321" t="inlineStr">
        <is>
          <t>Oliver Coyle</t>
        </is>
      </c>
      <c r="L4321" t="inlineStr">
        <is>
          <t>01/05/2026 15:52</t>
        </is>
      </c>
      <c r="M4321" t="inlineStr">
        <is>
          <t>None</t>
        </is>
      </c>
      <c r="N4321" t="inlineStr">
        <is>
          <t>&lt;p&gt;&lt;/p&gt;</t>
        </is>
      </c>
      <c r="O4321" t="inlineStr"/>
      <c r="P4321" t="inlineStr">
        <is>
          <t>GL20TSX , Car - Electric , Tesla , Model 3 Long Range AWD</t>
        </is>
      </c>
      <c r="Q4321" t="inlineStr">
        <is>
          <t>NGED</t>
        </is>
      </c>
      <c r="R4321" t="b">
        <v>0</v>
      </c>
    </row>
    <row r="4322">
      <c r="A4322" t="inlineStr">
        <is>
          <t>1 May 2026 / Gary England</t>
        </is>
      </c>
      <c r="B4322" t="inlineStr">
        <is>
          <t>Infrastructure &amp; Utilities</t>
        </is>
      </c>
      <c r="C4322" t="inlineStr">
        <is>
          <t>NGED</t>
        </is>
      </c>
      <c r="D4322" t="inlineStr">
        <is>
          <t>GJ71KAO , Car - Electric , Tesla , Model 3 Long Range AWD</t>
        </is>
      </c>
      <c r="E4322" t="inlineStr">
        <is>
          <t>GJ71KAO , Car - Electric , Tesla , Model 3 Long Range AWD</t>
        </is>
      </c>
      <c r="F4322" t="inlineStr">
        <is>
          <t>GJ71KAO , Car - Electric , Tesla , Model 3 Long Range AWD</t>
        </is>
      </c>
      <c r="G4322" t="inlineStr">
        <is>
          <t xml:space="preserve">Gary England </t>
        </is>
      </c>
      <c r="H4322" t="inlineStr">
        <is>
          <t>Car - Electric (GC Owned)</t>
        </is>
      </c>
      <c r="I4322" t="inlineStr">
        <is>
          <t>Daily/ Weekly Vehicle Inspection</t>
        </is>
      </c>
      <c r="J4322" t="inlineStr">
        <is>
          <t>N/A</t>
        </is>
      </c>
      <c r="K4322" t="inlineStr">
        <is>
          <t>Gary England</t>
        </is>
      </c>
      <c r="L4322" t="inlineStr">
        <is>
          <t>01/05/2026 16:51</t>
        </is>
      </c>
      <c r="M4322" t="inlineStr">
        <is>
          <t>None</t>
        </is>
      </c>
      <c r="N4322" t="inlineStr">
        <is>
          <t>&lt;p&gt;&lt;/p&gt;</t>
        </is>
      </c>
      <c r="O4322" t="inlineStr"/>
      <c r="P4322" t="inlineStr">
        <is>
          <t>GJ71KAO , Car - Electric , Tesla , Model 3 Long Range AWD</t>
        </is>
      </c>
      <c r="Q4322" t="inlineStr">
        <is>
          <t>NGED</t>
        </is>
      </c>
      <c r="R4322" t="b">
        <v>0</v>
      </c>
    </row>
    <row r="4323">
      <c r="A4323" t="inlineStr">
        <is>
          <t>1 May 2026 / Tom Blackman</t>
        </is>
      </c>
      <c r="B4323" t="inlineStr">
        <is>
          <t>Infrastructure &amp; Utilities</t>
        </is>
      </c>
      <c r="C4323" t="inlineStr">
        <is>
          <t>NGED</t>
        </is>
      </c>
      <c r="D4323" t="inlineStr">
        <is>
          <t>EO73KVV , Car - Electric , Kia , Niro</t>
        </is>
      </c>
      <c r="E4323" t="inlineStr">
        <is>
          <t>EO73KVV , Car - Electric , Kia , Niro</t>
        </is>
      </c>
      <c r="F4323" t="inlineStr">
        <is>
          <t>EO73KVV , Car - Electric , Kia , Niro</t>
        </is>
      </c>
      <c r="G4323" t="inlineStr">
        <is>
          <t>Tom Blackman</t>
        </is>
      </c>
      <c r="H4323" t="inlineStr">
        <is>
          <t>Car - Electric (GC Owned)</t>
        </is>
      </c>
      <c r="I4323" t="inlineStr">
        <is>
          <t>Daily/ Weekly Vehicle Inspection</t>
        </is>
      </c>
      <c r="J4323" t="inlineStr">
        <is>
          <t>N/A</t>
        </is>
      </c>
      <c r="K4323" t="inlineStr">
        <is>
          <t>Tom Blackman</t>
        </is>
      </c>
      <c r="L4323" t="inlineStr">
        <is>
          <t>01/05/2026 16:51</t>
        </is>
      </c>
      <c r="M4323" t="inlineStr">
        <is>
          <t>None</t>
        </is>
      </c>
      <c r="N4323" t="inlineStr">
        <is>
          <t>&lt;p&gt;&lt;/p&gt;</t>
        </is>
      </c>
      <c r="O4323" t="inlineStr"/>
      <c r="P4323" t="inlineStr">
        <is>
          <t>EO73KVV , Car - Electric , Kia , Niro</t>
        </is>
      </c>
      <c r="Q4323" t="inlineStr">
        <is>
          <t>NGED</t>
        </is>
      </c>
      <c r="R4323" t="b">
        <v>0</v>
      </c>
    </row>
    <row r="4324">
      <c r="A4324" t="inlineStr">
        <is>
          <t>1 May 2026 / Philip Shaw</t>
        </is>
      </c>
      <c r="B4324" t="inlineStr">
        <is>
          <t>Infrastructure &amp; Utilities</t>
        </is>
      </c>
      <c r="C4324" t="inlineStr">
        <is>
          <t>NGED</t>
        </is>
      </c>
      <c r="D4324" t="inlineStr">
        <is>
          <t>AF22TZO , Car - Electric , Tesla , Model 3 Long Range AWD</t>
        </is>
      </c>
      <c r="E4324" t="inlineStr">
        <is>
          <t>AF22TZO , Car - Electric , Tesla , Model 3 Long Range AWD</t>
        </is>
      </c>
      <c r="F4324" t="inlineStr">
        <is>
          <t>AF22TZO , Car - Electric , Tesla , Model 3 Long Range AWD</t>
        </is>
      </c>
      <c r="G4324" t="inlineStr">
        <is>
          <t xml:space="preserve">Phil shaw </t>
        </is>
      </c>
      <c r="H4324" t="inlineStr">
        <is>
          <t>Car - Electric (GC Owned)</t>
        </is>
      </c>
      <c r="I4324" t="inlineStr">
        <is>
          <t>Daily/ Weekly Vehicle Inspection</t>
        </is>
      </c>
      <c r="J4324" t="inlineStr">
        <is>
          <t>N/A</t>
        </is>
      </c>
      <c r="K4324" t="inlineStr">
        <is>
          <t>Philip Shaw</t>
        </is>
      </c>
      <c r="L4324" t="inlineStr">
        <is>
          <t>01/05/2026 16:52</t>
        </is>
      </c>
      <c r="M4324" t="inlineStr">
        <is>
          <t>None</t>
        </is>
      </c>
      <c r="N4324" t="inlineStr">
        <is>
          <t>&lt;p&gt;&lt;/p&gt;</t>
        </is>
      </c>
      <c r="O4324" t="inlineStr"/>
      <c r="P4324" t="inlineStr">
        <is>
          <t>AF22TZO , Car - Electric , Tesla , Model 3 Long Range AWD</t>
        </is>
      </c>
      <c r="Q4324" t="inlineStr">
        <is>
          <t>NGED</t>
        </is>
      </c>
      <c r="R4324" t="b">
        <v>0</v>
      </c>
    </row>
    <row r="4325">
      <c r="A4325" t="inlineStr">
        <is>
          <t>1 May 2026 / Joshua Harris</t>
        </is>
      </c>
      <c r="B4325" t="inlineStr">
        <is>
          <t>Infrastructure &amp; Utilities</t>
        </is>
      </c>
      <c r="C4325" t="inlineStr">
        <is>
          <t>NGED</t>
        </is>
      </c>
      <c r="D4325" t="inlineStr">
        <is>
          <t>GJ71KBK , Car - Electric , Tesla , Model 3 Long Range AWD</t>
        </is>
      </c>
      <c r="E4325" t="inlineStr">
        <is>
          <t>GJ71KBK , Car - Electric , Tesla , Model 3 Long Range AWD</t>
        </is>
      </c>
      <c r="F4325" t="inlineStr">
        <is>
          <t>GJ71KBK , Car - Electric , Tesla , Model 3 Long Range AWD</t>
        </is>
      </c>
      <c r="G4325" t="inlineStr">
        <is>
          <t>Josh Harris</t>
        </is>
      </c>
      <c r="H4325" t="inlineStr">
        <is>
          <t>Car - Electric (GC Owned)</t>
        </is>
      </c>
      <c r="I4325" t="inlineStr">
        <is>
          <t>Daily/ Weekly Vehicle Inspection</t>
        </is>
      </c>
      <c r="J4325" t="inlineStr">
        <is>
          <t>N/A</t>
        </is>
      </c>
      <c r="K4325" t="inlineStr">
        <is>
          <t>Joshua Harris</t>
        </is>
      </c>
      <c r="L4325" t="inlineStr">
        <is>
          <t>01/05/2026 16:53</t>
        </is>
      </c>
      <c r="M4325" t="inlineStr">
        <is>
          <t>None</t>
        </is>
      </c>
      <c r="N4325" t="inlineStr">
        <is>
          <t>&lt;p&gt;&lt;/p&gt;</t>
        </is>
      </c>
      <c r="O4325" t="inlineStr"/>
      <c r="P4325" t="inlineStr">
        <is>
          <t>GJ71KBK , Car - Electric , Tesla , Model 3 Long Range AWD</t>
        </is>
      </c>
      <c r="Q4325" t="inlineStr">
        <is>
          <t>NGED</t>
        </is>
      </c>
      <c r="R4325" t="b">
        <v>0</v>
      </c>
    </row>
    <row r="4326">
      <c r="A4326" t="inlineStr">
        <is>
          <t>1 May 2026 / Ashley Hill</t>
        </is>
      </c>
      <c r="B4326" t="inlineStr">
        <is>
          <t>Infrastructure &amp; Utilities</t>
        </is>
      </c>
      <c r="C4326" t="inlineStr">
        <is>
          <t>NGED</t>
        </is>
      </c>
      <c r="D4326" t="inlineStr"/>
      <c r="E4326" t="inlineStr"/>
      <c r="F4326" t="inlineStr"/>
      <c r="G4326" t="inlineStr">
        <is>
          <t>Ashley hill</t>
        </is>
      </c>
      <c r="H4326" t="inlineStr">
        <is>
          <t>Car - Petrol</t>
        </is>
      </c>
      <c r="I4326" t="inlineStr">
        <is>
          <t>Daily/ Weekly Vehicle Inspection</t>
        </is>
      </c>
      <c r="J4326" t="inlineStr">
        <is>
          <t>N/A</t>
        </is>
      </c>
      <c r="K4326" t="inlineStr">
        <is>
          <t>Ashley Hill</t>
        </is>
      </c>
      <c r="L4326" t="inlineStr">
        <is>
          <t>01/05/2026 16:53</t>
        </is>
      </c>
      <c r="M4326" t="inlineStr">
        <is>
          <t>None</t>
        </is>
      </c>
      <c r="N4326" t="inlineStr">
        <is>
          <t>&lt;p&gt;&lt;/p&gt;</t>
        </is>
      </c>
      <c r="O4326" t="inlineStr"/>
      <c r="P4326" t="inlineStr"/>
      <c r="Q4326" t="inlineStr">
        <is>
          <t>NGED</t>
        </is>
      </c>
      <c r="R4326" t="b">
        <v>0</v>
      </c>
    </row>
    <row r="4327">
      <c r="A4327" t="inlineStr">
        <is>
          <t>1 May 2026 / Joe Lemar</t>
        </is>
      </c>
      <c r="B4327" t="inlineStr">
        <is>
          <t>Infrastructure &amp; Utilities</t>
        </is>
      </c>
      <c r="C4327" t="inlineStr">
        <is>
          <t>SSE</t>
        </is>
      </c>
      <c r="D4327" t="inlineStr">
        <is>
          <t>AK70TBV , Car - Electric , Tesla , Model 3 Long Range AWD</t>
        </is>
      </c>
      <c r="E4327" t="inlineStr">
        <is>
          <t>AK70TBV , Car - Electric , Tesla , Model 3 Long Range AWD</t>
        </is>
      </c>
      <c r="F4327" t="inlineStr">
        <is>
          <t>AK70TBV , Car - Electric , Tesla , Model 3 Long Range AWD</t>
        </is>
      </c>
      <c r="G4327" t="inlineStr">
        <is>
          <t xml:space="preserve">Joe lemar </t>
        </is>
      </c>
      <c r="H4327" t="inlineStr">
        <is>
          <t>Car - Electric (GC Owned)</t>
        </is>
      </c>
      <c r="I4327" t="inlineStr">
        <is>
          <t>Daily/ Weekly Vehicle Inspection</t>
        </is>
      </c>
      <c r="J4327" t="inlineStr">
        <is>
          <t>N/A</t>
        </is>
      </c>
      <c r="K4327" t="inlineStr">
        <is>
          <t>Joe Lemar</t>
        </is>
      </c>
      <c r="L4327" t="inlineStr">
        <is>
          <t>01/05/2026 16:54</t>
        </is>
      </c>
      <c r="M4327" t="inlineStr">
        <is>
          <t>None</t>
        </is>
      </c>
      <c r="N4327" t="inlineStr">
        <is>
          <t>&lt;p&gt;&lt;/p&gt;</t>
        </is>
      </c>
      <c r="O4327" t="inlineStr"/>
      <c r="P4327" t="inlineStr">
        <is>
          <t>AK70TBV , Car - Electric , Tesla , Model 3 Long Range AWD</t>
        </is>
      </c>
      <c r="Q4327" t="inlineStr">
        <is>
          <t>SSE</t>
        </is>
      </c>
      <c r="R4327" t="b">
        <v>0</v>
      </c>
    </row>
    <row r="4328">
      <c r="A4328" t="inlineStr">
        <is>
          <t>1 May 2026 / Vance Ivins</t>
        </is>
      </c>
      <c r="B4328" t="inlineStr">
        <is>
          <t>Infrastructure &amp; Utilities</t>
        </is>
      </c>
      <c r="C4328" t="inlineStr">
        <is>
          <t>NGED</t>
        </is>
      </c>
      <c r="D4328" t="inlineStr">
        <is>
          <t>GM21BZJ , Car - Electric , Tesla , Model 3 Long Range AWD</t>
        </is>
      </c>
      <c r="E4328" t="inlineStr">
        <is>
          <t>GM21BZJ , Car - Electric , Tesla , Model 3 Long Range AWD</t>
        </is>
      </c>
      <c r="F4328" t="inlineStr">
        <is>
          <t>GM21BZJ , Car - Electric , Tesla , Model 3 Long Range AWD</t>
        </is>
      </c>
      <c r="G4328" t="inlineStr">
        <is>
          <t xml:space="preserve">Vance ivins </t>
        </is>
      </c>
      <c r="H4328" t="inlineStr">
        <is>
          <t>Car - Electric (GC Owned)</t>
        </is>
      </c>
      <c r="I4328" t="inlineStr">
        <is>
          <t>Monthly Vehicle Inspection</t>
        </is>
      </c>
      <c r="J4328" t="inlineStr">
        <is>
          <t>126189</t>
        </is>
      </c>
      <c r="K4328" t="inlineStr">
        <is>
          <t>Vance Ivins</t>
        </is>
      </c>
      <c r="L4328" t="inlineStr">
        <is>
          <t>01/05/2026 17:51</t>
        </is>
      </c>
      <c r="M4328" t="inlineStr">
        <is>
          <t>None</t>
        </is>
      </c>
      <c r="N4328" t="inlineStr">
        <is>
          <t>&lt;p&gt;&lt;/p&gt;</t>
        </is>
      </c>
      <c r="O4328" t="inlineStr"/>
      <c r="P4328" t="inlineStr">
        <is>
          <t>GM21BZJ , Car - Electric , Tesla , Model 3 Long Range AWD</t>
        </is>
      </c>
      <c r="Q4328" t="inlineStr">
        <is>
          <t>NGED</t>
        </is>
      </c>
      <c r="R4328" t="b">
        <v>0</v>
      </c>
    </row>
    <row r="4329">
      <c r="A4329" t="inlineStr">
        <is>
          <t>1 May 2026 / Keil Cheung</t>
        </is>
      </c>
      <c r="B4329" t="inlineStr">
        <is>
          <t>Infrastructure &amp; Utilities</t>
        </is>
      </c>
      <c r="C4329" t="inlineStr">
        <is>
          <t>NGED</t>
        </is>
      </c>
      <c r="D4329" t="inlineStr">
        <is>
          <t>GJ71KHV , Car - Electric , Tesla , Model 3 Long Range AWD</t>
        </is>
      </c>
      <c r="E4329" t="inlineStr">
        <is>
          <t>GJ71KHV , Car - Electric , Tesla , Model 3 Long Range AWD</t>
        </is>
      </c>
      <c r="F4329" t="inlineStr">
        <is>
          <t>GJ71KHV , Car - Electric , Tesla , Model 3 Long Range AWD</t>
        </is>
      </c>
      <c r="G4329" t="inlineStr">
        <is>
          <t>Keil cheung</t>
        </is>
      </c>
      <c r="H4329" t="inlineStr">
        <is>
          <t>Car - Electric (GC Owned)</t>
        </is>
      </c>
      <c r="I4329" t="inlineStr">
        <is>
          <t>Daily/ Weekly Vehicle Inspection</t>
        </is>
      </c>
      <c r="J4329" t="inlineStr">
        <is>
          <t>N/A</t>
        </is>
      </c>
      <c r="K4329" t="inlineStr">
        <is>
          <t>Keil Cheung</t>
        </is>
      </c>
      <c r="L4329" t="inlineStr">
        <is>
          <t>01/05/2026 18:51</t>
        </is>
      </c>
      <c r="M4329" t="inlineStr">
        <is>
          <t>None</t>
        </is>
      </c>
      <c r="N4329" t="inlineStr">
        <is>
          <t>&lt;p&gt;&lt;/p&gt;</t>
        </is>
      </c>
      <c r="O4329" t="inlineStr"/>
      <c r="P4329" t="inlineStr">
        <is>
          <t>GJ71KHV , Car - Electric , Tesla , Model 3 Long Range AWD</t>
        </is>
      </c>
      <c r="Q4329" t="inlineStr">
        <is>
          <t>NGED</t>
        </is>
      </c>
      <c r="R4329" t="b">
        <v>0</v>
      </c>
    </row>
    <row r="4330">
      <c r="A4330" t="inlineStr">
        <is>
          <t>1 May 2026 / 7996 M G Tree Surgery Ltd 1</t>
        </is>
      </c>
      <c r="B4330" t="inlineStr">
        <is>
          <t>Infrastructure &amp; Utilities</t>
        </is>
      </c>
      <c r="C4330" t="inlineStr">
        <is>
          <t>UKPN</t>
        </is>
      </c>
      <c r="D4330" t="inlineStr"/>
      <c r="E4330" t="inlineStr"/>
      <c r="F4330" t="inlineStr"/>
      <c r="G4330" t="inlineStr">
        <is>
          <t>Anthony Gale</t>
        </is>
      </c>
      <c r="H4330" t="inlineStr">
        <is>
          <t>Towed Chipper</t>
        </is>
      </c>
      <c r="I4330" t="inlineStr">
        <is>
          <t>Daily/ Weekly Vehicle Inspection</t>
        </is>
      </c>
      <c r="J4330" t="inlineStr">
        <is>
          <t>N/A</t>
        </is>
      </c>
      <c r="K4330" t="inlineStr">
        <is>
          <t>7996 M G Tree Surgery Ltd 1</t>
        </is>
      </c>
      <c r="L4330" t="inlineStr">
        <is>
          <t>02/05/2026 12:51</t>
        </is>
      </c>
      <c r="M4330" t="inlineStr">
        <is>
          <t>None</t>
        </is>
      </c>
      <c r="N4330" t="inlineStr">
        <is>
          <t>&lt;p&gt;&lt;/p&gt;</t>
        </is>
      </c>
      <c r="O4330" t="inlineStr"/>
      <c r="P4330" t="inlineStr"/>
      <c r="Q4330" t="inlineStr">
        <is>
          <t>UKPN</t>
        </is>
      </c>
      <c r="R4330" t="b">
        <v>0</v>
      </c>
    </row>
    <row r="4331">
      <c r="A4331" t="inlineStr">
        <is>
          <t>4 May 2026 / Dylan Bowler</t>
        </is>
      </c>
      <c r="B4331" t="inlineStr">
        <is>
          <t>Infrastructure &amp; Utilities</t>
        </is>
      </c>
      <c r="C4331" t="inlineStr">
        <is>
          <t>NGED</t>
        </is>
      </c>
      <c r="D4331" t="inlineStr">
        <is>
          <t>YX24TXG , Car - Electric , Kia , Niro</t>
        </is>
      </c>
      <c r="E4331" t="inlineStr">
        <is>
          <t>YX24TXG , Car - Electric , Kia , Niro</t>
        </is>
      </c>
      <c r="F4331" t="inlineStr">
        <is>
          <t>YX24TXG , Car - Electric , Kia , Niro</t>
        </is>
      </c>
      <c r="G4331" t="inlineStr">
        <is>
          <t>Dylan</t>
        </is>
      </c>
      <c r="H4331" t="inlineStr">
        <is>
          <t>Car - Electric (GC Owned)</t>
        </is>
      </c>
      <c r="I4331" t="inlineStr">
        <is>
          <t>Daily/ Weekly Vehicle Inspection</t>
        </is>
      </c>
      <c r="J4331" t="inlineStr">
        <is>
          <t>N/A</t>
        </is>
      </c>
      <c r="K4331" t="inlineStr">
        <is>
          <t>Dylan Bowler</t>
        </is>
      </c>
      <c r="L4331" t="inlineStr">
        <is>
          <t>04/05/2026 08:52</t>
        </is>
      </c>
      <c r="M4331" t="inlineStr">
        <is>
          <t>None</t>
        </is>
      </c>
      <c r="N4331" t="inlineStr">
        <is>
          <t>&lt;p&gt;&lt;/p&gt;</t>
        </is>
      </c>
      <c r="O4331" t="inlineStr"/>
      <c r="P4331" t="inlineStr">
        <is>
          <t>YX24TXG , Car - Electric , Kia , Niro</t>
        </is>
      </c>
      <c r="Q4331" t="inlineStr">
        <is>
          <t>NGED</t>
        </is>
      </c>
      <c r="R4331" t="b">
        <v>1</v>
      </c>
    </row>
    <row r="4332">
      <c r="A4332" t="inlineStr">
        <is>
          <t>4 May 2026 / Gary England</t>
        </is>
      </c>
      <c r="B4332" t="inlineStr">
        <is>
          <t>Infrastructure &amp; Utilities</t>
        </is>
      </c>
      <c r="C4332" t="inlineStr">
        <is>
          <t>NGED</t>
        </is>
      </c>
      <c r="D4332" t="inlineStr">
        <is>
          <t>GJ71KAO , Car - Electric , Tesla , Model 3 Long Range AWD</t>
        </is>
      </c>
      <c r="E4332" t="inlineStr">
        <is>
          <t>GJ71KAO , Car - Electric , Tesla , Model 3 Long Range AWD</t>
        </is>
      </c>
      <c r="F4332" t="inlineStr">
        <is>
          <t>GJ71KAO , Car - Electric , Tesla , Model 3 Long Range AWD</t>
        </is>
      </c>
      <c r="G4332" t="inlineStr">
        <is>
          <t xml:space="preserve">Gary England </t>
        </is>
      </c>
      <c r="H4332" t="inlineStr">
        <is>
          <t>Car - Electric (GC Owned)</t>
        </is>
      </c>
      <c r="I4332" t="inlineStr">
        <is>
          <t>Daily/ Weekly Vehicle Inspection</t>
        </is>
      </c>
      <c r="J4332" t="inlineStr">
        <is>
          <t>N/A</t>
        </is>
      </c>
      <c r="K4332" t="inlineStr">
        <is>
          <t>Gary England</t>
        </is>
      </c>
      <c r="L4332" t="inlineStr">
        <is>
          <t>04/05/2026 09:51</t>
        </is>
      </c>
      <c r="M4332" t="inlineStr">
        <is>
          <t>None</t>
        </is>
      </c>
      <c r="N4332" t="inlineStr">
        <is>
          <t>&lt;p&gt;&lt;/p&gt;</t>
        </is>
      </c>
      <c r="O4332" t="inlineStr"/>
      <c r="P4332" t="inlineStr">
        <is>
          <t>GJ71KAO , Car - Electric , Tesla , Model 3 Long Range AWD</t>
        </is>
      </c>
      <c r="Q4332" t="inlineStr">
        <is>
          <t>NGED</t>
        </is>
      </c>
      <c r="R4332" t="b">
        <v>1</v>
      </c>
    </row>
    <row r="4333">
      <c r="A4333" t="inlineStr">
        <is>
          <t>4 May 2026 / Ashley Marples</t>
        </is>
      </c>
      <c r="B4333" t="inlineStr">
        <is>
          <t>Infrastructure &amp; Utilities</t>
        </is>
      </c>
      <c r="C4333" t="inlineStr">
        <is>
          <t>NGED</t>
        </is>
      </c>
      <c r="D4333" t="inlineStr">
        <is>
          <t>GJ71KAU , Car - Electric , Tesla , Model 3 Long Range AWD</t>
        </is>
      </c>
      <c r="E4333" t="inlineStr">
        <is>
          <t>GJ71KAU , Car - Electric , Tesla , Model 3 Long Range AWD</t>
        </is>
      </c>
      <c r="F4333" t="inlineStr">
        <is>
          <t>GJ71KAU , Car - Electric , Tesla , Model 3 Long Range AWD</t>
        </is>
      </c>
      <c r="G4333" t="inlineStr">
        <is>
          <t xml:space="preserve">Ashley Marples </t>
        </is>
      </c>
      <c r="H4333" t="inlineStr">
        <is>
          <t>Car - Electric (GC Owned)</t>
        </is>
      </c>
      <c r="I4333" t="inlineStr">
        <is>
          <t>Daily/ Weekly Vehicle Inspection</t>
        </is>
      </c>
      <c r="J4333" t="inlineStr">
        <is>
          <t>N/A</t>
        </is>
      </c>
      <c r="K4333" t="inlineStr">
        <is>
          <t>Ashley Marples</t>
        </is>
      </c>
      <c r="L4333" t="inlineStr">
        <is>
          <t>04/05/2026 09:53</t>
        </is>
      </c>
      <c r="M4333" t="inlineStr">
        <is>
          <t>None</t>
        </is>
      </c>
      <c r="N4333" t="inlineStr">
        <is>
          <t>&lt;p&gt;&lt;/p&gt;</t>
        </is>
      </c>
      <c r="O4333" t="inlineStr">
        <is>
          <t>Confirm that you have checked this vehicle as per the guidance document and the vehicle is safe and roadworthy:Got slight damage to the side of car. Insurance company know about it but I don't have time to get it sorted at the moment.
-</t>
        </is>
      </c>
      <c r="P4333" t="inlineStr">
        <is>
          <t>GJ71KAU , Car - Electric , Tesla , Model 3 Long Range AWD</t>
        </is>
      </c>
      <c r="Q4333" t="inlineStr">
        <is>
          <t>NGED</t>
        </is>
      </c>
      <c r="R4333" t="b">
        <v>1</v>
      </c>
    </row>
    <row r="4334">
      <c r="A4334" t="inlineStr">
        <is>
          <t>4 May 2026 / Leigh Overton</t>
        </is>
      </c>
      <c r="B4334" t="inlineStr">
        <is>
          <t>Infrastructure &amp; Utilities</t>
        </is>
      </c>
      <c r="C4334" t="inlineStr">
        <is>
          <t>NGED</t>
        </is>
      </c>
      <c r="D4334" t="inlineStr">
        <is>
          <t>GN70XAT , Car - Electric , Tesla , Model 3 Long Range AWD</t>
        </is>
      </c>
      <c r="E4334" t="inlineStr">
        <is>
          <t>GN70XAT , Car - Electric , Tesla , Model 3 Long Range AWD</t>
        </is>
      </c>
      <c r="F4334" t="inlineStr">
        <is>
          <t>GN70XAT , Car - Electric , Tesla , Model 3 Long Range AWD</t>
        </is>
      </c>
      <c r="G4334" t="inlineStr">
        <is>
          <t>Leigh Overton</t>
        </is>
      </c>
      <c r="H4334" t="inlineStr">
        <is>
          <t>Car - Electric (GC Owned)</t>
        </is>
      </c>
      <c r="I4334" t="inlineStr">
        <is>
          <t>Daily/ Weekly Vehicle Inspection</t>
        </is>
      </c>
      <c r="J4334" t="inlineStr">
        <is>
          <t>N/A</t>
        </is>
      </c>
      <c r="K4334" t="inlineStr">
        <is>
          <t>Leigh Overton</t>
        </is>
      </c>
      <c r="L4334" t="inlineStr">
        <is>
          <t>04/05/2026 09:53</t>
        </is>
      </c>
      <c r="M4334" t="inlineStr">
        <is>
          <t>None</t>
        </is>
      </c>
      <c r="N4334" t="inlineStr">
        <is>
          <t>&lt;p&gt;&lt;/p&gt;</t>
        </is>
      </c>
      <c r="O4334" t="inlineStr"/>
      <c r="P4334" t="inlineStr">
        <is>
          <t>GN70XAT , Car - Electric , Tesla , Model 3 Long Range AWD</t>
        </is>
      </c>
      <c r="Q4334" t="inlineStr">
        <is>
          <t>NGED</t>
        </is>
      </c>
      <c r="R4334" t="b">
        <v>1</v>
      </c>
    </row>
    <row r="4335">
      <c r="A4335" t="inlineStr">
        <is>
          <t>4 May 2026 / Paul Shaw</t>
        </is>
      </c>
      <c r="B4335" t="inlineStr">
        <is>
          <t>Infrastructure &amp; Utilities</t>
        </is>
      </c>
      <c r="C4335" t="inlineStr">
        <is>
          <t>NGED</t>
        </is>
      </c>
      <c r="D4335" t="inlineStr">
        <is>
          <t>EY68HPC , 4x4 , Ford , Ranger</t>
        </is>
      </c>
      <c r="E4335" t="inlineStr">
        <is>
          <t>EY68HPC , 4x4 , Ford , Ranger</t>
        </is>
      </c>
      <c r="F4335" t="inlineStr">
        <is>
          <t>EY68HPC , 4x4 , Ford , Ranger</t>
        </is>
      </c>
      <c r="G4335" t="inlineStr">
        <is>
          <t>Paul shaw</t>
        </is>
      </c>
      <c r="H4335" t="inlineStr">
        <is>
          <t>4x4</t>
        </is>
      </c>
      <c r="I4335" t="inlineStr">
        <is>
          <t>Daily/ Weekly Vehicle Inspection</t>
        </is>
      </c>
      <c r="J4335" t="inlineStr">
        <is>
          <t>N/A</t>
        </is>
      </c>
      <c r="K4335" t="inlineStr">
        <is>
          <t>Paul Shaw</t>
        </is>
      </c>
      <c r="L4335" t="inlineStr">
        <is>
          <t>04/05/2026 09:54</t>
        </is>
      </c>
      <c r="M4335" t="inlineStr">
        <is>
          <t>None</t>
        </is>
      </c>
      <c r="N4335" t="inlineStr">
        <is>
          <t>&lt;p&gt;&lt;/p&gt;</t>
        </is>
      </c>
      <c r="O4335" t="inlineStr"/>
      <c r="P4335" t="inlineStr">
        <is>
          <t>EY68HPC , 4x4 , Ford , Ranger</t>
        </is>
      </c>
      <c r="Q4335" t="inlineStr">
        <is>
          <t>NGED</t>
        </is>
      </c>
      <c r="R4335" t="b">
        <v>1</v>
      </c>
    </row>
    <row r="4336">
      <c r="A4336" t="inlineStr">
        <is>
          <t>4 May 2026 / Ashley Taylor</t>
        </is>
      </c>
      <c r="B4336" t="inlineStr">
        <is>
          <t>Infrastructure &amp; Utilities</t>
        </is>
      </c>
      <c r="C4336" t="inlineStr">
        <is>
          <t>SSE</t>
        </is>
      </c>
      <c r="D4336" t="inlineStr">
        <is>
          <t>AF22XLX , Car - Electric , Tesla , Model 3 Long Range AWD</t>
        </is>
      </c>
      <c r="E4336" t="inlineStr">
        <is>
          <t>AF22XLX , Car - Electric , Tesla , Model 3 Long Range AWD</t>
        </is>
      </c>
      <c r="F4336" t="inlineStr">
        <is>
          <t>AF22XLX , Car - Electric , Tesla , Model 3 Long Range AWD</t>
        </is>
      </c>
      <c r="G4336" t="inlineStr">
        <is>
          <t xml:space="preserve">Ashley Taylor </t>
        </is>
      </c>
      <c r="H4336" t="inlineStr">
        <is>
          <t>Car - Electric (GC Owned)</t>
        </is>
      </c>
      <c r="I4336" t="inlineStr">
        <is>
          <t>Daily/ Weekly Vehicle Inspection</t>
        </is>
      </c>
      <c r="J4336" t="inlineStr">
        <is>
          <t>N/A</t>
        </is>
      </c>
      <c r="K4336" t="inlineStr">
        <is>
          <t>Ashley Taylor</t>
        </is>
      </c>
      <c r="L4336" t="inlineStr">
        <is>
          <t>04/05/2026 09:55</t>
        </is>
      </c>
      <c r="M4336" t="inlineStr">
        <is>
          <t>None</t>
        </is>
      </c>
      <c r="N4336" t="inlineStr">
        <is>
          <t>&lt;p&gt;&lt;/p&gt;</t>
        </is>
      </c>
      <c r="O4336" t="inlineStr"/>
      <c r="P4336" t="inlineStr">
        <is>
          <t>AF22XLX , Car - Electric , Tesla , Model 3 Long Range AWD</t>
        </is>
      </c>
      <c r="Q4336" t="inlineStr">
        <is>
          <t>SSE</t>
        </is>
      </c>
      <c r="R4336" t="b">
        <v>1</v>
      </c>
    </row>
    <row r="4337">
      <c r="A4337" t="inlineStr">
        <is>
          <t>4 May 2026 / Jodie Bowen</t>
        </is>
      </c>
      <c r="B4337" t="inlineStr">
        <is>
          <t>Infrastructure &amp; Utilities</t>
        </is>
      </c>
      <c r="C4337" t="inlineStr">
        <is>
          <t>UKPN</t>
        </is>
      </c>
      <c r="D4337" t="inlineStr">
        <is>
          <t>AF22XRA , Car - Electric , Tesla , Model 3 Long Range AWD</t>
        </is>
      </c>
      <c r="E4337" t="inlineStr">
        <is>
          <t>AF22XRA , Car - Electric , Tesla , Model 3 Long Range AWD</t>
        </is>
      </c>
      <c r="F4337" t="inlineStr">
        <is>
          <t>AF22XRA , Car - Electric , Tesla , Model 3 Long Range AWD</t>
        </is>
      </c>
      <c r="G4337" t="inlineStr">
        <is>
          <t>Jodie Bowen</t>
        </is>
      </c>
      <c r="H4337" t="inlineStr">
        <is>
          <t>Car - Electric (GC Owned)</t>
        </is>
      </c>
      <c r="I4337" t="inlineStr">
        <is>
          <t>Daily/ Weekly Vehicle Inspection</t>
        </is>
      </c>
      <c r="J4337" t="inlineStr">
        <is>
          <t>N/A</t>
        </is>
      </c>
      <c r="K4337" t="inlineStr">
        <is>
          <t>Jodie Bowen</t>
        </is>
      </c>
      <c r="L4337" t="inlineStr">
        <is>
          <t>04/05/2026 09:55</t>
        </is>
      </c>
      <c r="M4337" t="inlineStr">
        <is>
          <t>None</t>
        </is>
      </c>
      <c r="N4337" t="inlineStr">
        <is>
          <t>&lt;p&gt;&lt;/p&gt;</t>
        </is>
      </c>
      <c r="O4337" t="inlineStr"/>
      <c r="P4337" t="inlineStr">
        <is>
          <t>AF22XRA , Car - Electric , Tesla , Model 3 Long Range AWD</t>
        </is>
      </c>
      <c r="Q4337" t="inlineStr">
        <is>
          <t>UKPN</t>
        </is>
      </c>
      <c r="R4337" t="b">
        <v>1</v>
      </c>
    </row>
    <row r="4338">
      <c r="A4338" t="inlineStr">
        <is>
          <t>4 May 2026 / Chas Dell</t>
        </is>
      </c>
      <c r="B4338" t="inlineStr">
        <is>
          <t>Infrastructure &amp; Utilities</t>
        </is>
      </c>
      <c r="C4338" t="inlineStr">
        <is>
          <t>UKPN</t>
        </is>
      </c>
      <c r="D4338" t="inlineStr">
        <is>
          <t>EK73UOH , Car - Electric , Kia , Niro</t>
        </is>
      </c>
      <c r="E4338" t="inlineStr">
        <is>
          <t>EK73UOH , Car - Electric , Kia , Niro</t>
        </is>
      </c>
      <c r="F4338" t="inlineStr">
        <is>
          <t>EK73UOH , Car - Electric , Kia , Niro</t>
        </is>
      </c>
      <c r="G4338" t="inlineStr">
        <is>
          <t>Chas dell</t>
        </is>
      </c>
      <c r="H4338" t="inlineStr">
        <is>
          <t>Car - Electric (GC Owned)</t>
        </is>
      </c>
      <c r="I4338" t="inlineStr">
        <is>
          <t>Daily/ Weekly Vehicle Inspection</t>
        </is>
      </c>
      <c r="J4338" t="inlineStr">
        <is>
          <t>N/A</t>
        </is>
      </c>
      <c r="K4338" t="inlineStr">
        <is>
          <t>Chas Dell</t>
        </is>
      </c>
      <c r="L4338" t="inlineStr">
        <is>
          <t>04/05/2026 16:51</t>
        </is>
      </c>
      <c r="M4338" t="inlineStr">
        <is>
          <t xml:space="preserve">Confirm that you have checked this vehicle as per the guidance document and the vehicle is safe and roadworthy: Fail
</t>
        </is>
      </c>
      <c r="N4338" t="inlineStr">
        <is>
          <t>&lt;p&gt;&lt;/p&gt;</t>
        </is>
      </c>
      <c r="O4338" t="inlineStr"/>
      <c r="P4338" t="inlineStr">
        <is>
          <t>EK73UOH , Car - Electric , Kia , Niro</t>
        </is>
      </c>
      <c r="Q4338" t="inlineStr">
        <is>
          <t>UKPN</t>
        </is>
      </c>
      <c r="R4338" t="b">
        <v>1</v>
      </c>
    </row>
    <row r="4339">
      <c r="A4339" t="inlineStr">
        <is>
          <t>4 May 2026 / Christopher Phillips</t>
        </is>
      </c>
      <c r="B4339" t="inlineStr">
        <is>
          <t>Infrastructure &amp; Utilities</t>
        </is>
      </c>
      <c r="C4339" t="inlineStr">
        <is>
          <t>NGED</t>
        </is>
      </c>
      <c r="D4339" t="inlineStr">
        <is>
          <t>SK69XHC , Car - Electric , Tesla , Model 3 Performance AWD</t>
        </is>
      </c>
      <c r="E4339" t="inlineStr">
        <is>
          <t>SK69XHC , Car - Electric , Tesla , Model 3 Performance AWD</t>
        </is>
      </c>
      <c r="F4339" t="inlineStr">
        <is>
          <t>SK69XHC , Car - Electric , Tesla , Model 3 Performance AWD</t>
        </is>
      </c>
      <c r="G4339" t="inlineStr">
        <is>
          <t xml:space="preserve">Chris Phillips </t>
        </is>
      </c>
      <c r="H4339" t="inlineStr">
        <is>
          <t>Car - Electric (GC Owned)</t>
        </is>
      </c>
      <c r="I4339" t="inlineStr">
        <is>
          <t>Daily/ Weekly Vehicle Inspection</t>
        </is>
      </c>
      <c r="J4339" t="inlineStr">
        <is>
          <t>N/A</t>
        </is>
      </c>
      <c r="K4339" t="inlineStr">
        <is>
          <t>Christopher Phillips</t>
        </is>
      </c>
      <c r="L4339" t="inlineStr">
        <is>
          <t>04/05/2026 19:52</t>
        </is>
      </c>
      <c r="M4339" t="inlineStr">
        <is>
          <t>None</t>
        </is>
      </c>
      <c r="N4339" t="inlineStr">
        <is>
          <t>&lt;p&gt;&lt;/p&gt;</t>
        </is>
      </c>
      <c r="O4339" t="inlineStr"/>
      <c r="P4339" t="inlineStr">
        <is>
          <t>SK69XHC , Car - Electric , Tesla , Model 3 Performance AWD</t>
        </is>
      </c>
      <c r="Q4339" t="inlineStr">
        <is>
          <t>NGED</t>
        </is>
      </c>
      <c r="R4339" t="b">
        <v>1</v>
      </c>
    </row>
    <row r="4340">
      <c r="A4340" t="inlineStr">
        <is>
          <t>4 May 2026 / Keil Cheung</t>
        </is>
      </c>
      <c r="B4340" t="inlineStr">
        <is>
          <t>Infrastructure &amp; Utilities</t>
        </is>
      </c>
      <c r="C4340" t="inlineStr">
        <is>
          <t>NGED</t>
        </is>
      </c>
      <c r="D4340" t="inlineStr">
        <is>
          <t>GJ71KHV , Car - Electric , Tesla , Model 3 Long Range AWD</t>
        </is>
      </c>
      <c r="E4340" t="inlineStr">
        <is>
          <t>GJ71KHV , Car - Electric , Tesla , Model 3 Long Range AWD</t>
        </is>
      </c>
      <c r="F4340" t="inlineStr">
        <is>
          <t>GJ71KHV , Car - Electric , Tesla , Model 3 Long Range AWD</t>
        </is>
      </c>
      <c r="G4340" t="inlineStr">
        <is>
          <t>Keil cheung</t>
        </is>
      </c>
      <c r="H4340" t="inlineStr">
        <is>
          <t>Car - Electric (GC Owned)</t>
        </is>
      </c>
      <c r="I4340" t="inlineStr">
        <is>
          <t>Daily/ Weekly Vehicle Inspection</t>
        </is>
      </c>
      <c r="J4340" t="inlineStr">
        <is>
          <t>N/A</t>
        </is>
      </c>
      <c r="K4340" t="inlineStr">
        <is>
          <t>Keil Cheung</t>
        </is>
      </c>
      <c r="L4340" t="inlineStr">
        <is>
          <t>04/05/2026 22:51</t>
        </is>
      </c>
      <c r="M4340" t="inlineStr">
        <is>
          <t>None</t>
        </is>
      </c>
      <c r="N4340" t="inlineStr">
        <is>
          <t>&lt;p&gt;&lt;/p&gt;</t>
        </is>
      </c>
      <c r="O4340" t="inlineStr"/>
      <c r="P4340" t="inlineStr">
        <is>
          <t>GJ71KHV , Car - Electric , Tesla , Model 3 Long Range AWD</t>
        </is>
      </c>
      <c r="Q4340" t="inlineStr">
        <is>
          <t>NGED</t>
        </is>
      </c>
      <c r="R4340" t="b">
        <v>1</v>
      </c>
    </row>
    <row r="4341">
      <c r="A4341" t="inlineStr">
        <is>
          <t>5 May 2026 / Benet Jones</t>
        </is>
      </c>
      <c r="B4341" t="inlineStr">
        <is>
          <t>Infrastructure &amp; Utilities</t>
        </is>
      </c>
      <c r="C4341" t="inlineStr">
        <is>
          <t>NGED</t>
        </is>
      </c>
      <c r="D4341" t="inlineStr">
        <is>
          <t>GF71TXC , Car - Electric , Tesla , Model 3 Long Range AWD</t>
        </is>
      </c>
      <c r="E4341" t="inlineStr">
        <is>
          <t>GF71TXC , Car - Electric , Tesla , Model 3 Long Range AWD</t>
        </is>
      </c>
      <c r="F4341" t="inlineStr">
        <is>
          <t>GF71TXC , Car - Electric , Tesla , Model 3 Long Range AWD</t>
        </is>
      </c>
      <c r="G4341" t="inlineStr">
        <is>
          <t xml:space="preserve">Benet Jones </t>
        </is>
      </c>
      <c r="H4341" t="inlineStr">
        <is>
          <t>Car - Electric (GC Owned)</t>
        </is>
      </c>
      <c r="I4341" t="inlineStr">
        <is>
          <t>Daily/ Weekly Vehicle Inspection</t>
        </is>
      </c>
      <c r="J4341" t="inlineStr">
        <is>
          <t>N/A</t>
        </is>
      </c>
      <c r="K4341" t="inlineStr">
        <is>
          <t>Benet Jones</t>
        </is>
      </c>
      <c r="L4341" t="inlineStr">
        <is>
          <t>05/05/2026 05:51</t>
        </is>
      </c>
      <c r="M4341" t="inlineStr">
        <is>
          <t>None</t>
        </is>
      </c>
      <c r="N4341" t="inlineStr">
        <is>
          <t>&lt;p&gt;&lt;/p&gt;</t>
        </is>
      </c>
      <c r="O4341" t="inlineStr">
        <is>
          <t>Confirm that you have checked this vehicle as per the guidance document and the vehicle is safe and roadworthy:Car checked and fully serviceable
-</t>
        </is>
      </c>
      <c r="P4341" t="inlineStr">
        <is>
          <t>GF71TXC , Car - Electric , Tesla , Model 3 Long Range AWD</t>
        </is>
      </c>
      <c r="Q4341" t="inlineStr">
        <is>
          <t>NGED</t>
        </is>
      </c>
      <c r="R4341" t="b">
        <v>1</v>
      </c>
    </row>
    <row r="4342">
      <c r="A4342" t="inlineStr">
        <is>
          <t>5 May 2026 / Patryk Zietarski</t>
        </is>
      </c>
      <c r="B4342" t="inlineStr">
        <is>
          <t>Infrastructure &amp; Utilities</t>
        </is>
      </c>
      <c r="C4342" t="inlineStr">
        <is>
          <t>UKPN</t>
        </is>
      </c>
      <c r="D4342" t="inlineStr">
        <is>
          <t>YW73CWL , Car - Electric , Kia , eNiro</t>
        </is>
      </c>
      <c r="E4342" t="inlineStr">
        <is>
          <t>YW73CWL , Car - Electric , Kia , eNiro</t>
        </is>
      </c>
      <c r="F4342" t="inlineStr">
        <is>
          <t>YW73CWL , Car - Electric , Kia , eNiro</t>
        </is>
      </c>
      <c r="G4342" t="inlineStr">
        <is>
          <t xml:space="preserve">Patryk Zietarski </t>
        </is>
      </c>
      <c r="H4342" t="inlineStr">
        <is>
          <t>Car - Electric (GC Owned)</t>
        </is>
      </c>
      <c r="I4342" t="inlineStr">
        <is>
          <t>Daily/ Weekly Vehicle Inspection</t>
        </is>
      </c>
      <c r="J4342" t="inlineStr">
        <is>
          <t>N/A</t>
        </is>
      </c>
      <c r="K4342" t="inlineStr">
        <is>
          <t>Patryk Zietarski</t>
        </is>
      </c>
      <c r="L4342" t="inlineStr">
        <is>
          <t>05/05/2026 05:53</t>
        </is>
      </c>
      <c r="M4342" t="inlineStr">
        <is>
          <t>None</t>
        </is>
      </c>
      <c r="N4342" t="inlineStr">
        <is>
          <t>&lt;p&gt;&lt;/p&gt;</t>
        </is>
      </c>
      <c r="O4342" t="inlineStr"/>
      <c r="P4342" t="inlineStr">
        <is>
          <t>YW73CWL , Car - Electric , Kia , eNiro</t>
        </is>
      </c>
      <c r="Q4342" t="inlineStr">
        <is>
          <t>UKPN</t>
        </is>
      </c>
      <c r="R4342" t="b">
        <v>1</v>
      </c>
    </row>
    <row r="4343">
      <c r="A4343" t="inlineStr">
        <is>
          <t>5 May 2026 / 7996 M G Tree Surgery Ltd 1</t>
        </is>
      </c>
      <c r="B4343" t="inlineStr">
        <is>
          <t>Infrastructure &amp; Utilities</t>
        </is>
      </c>
      <c r="C4343" t="inlineStr">
        <is>
          <t>UKPN</t>
        </is>
      </c>
      <c r="D4343" t="inlineStr">
        <is>
          <t>KX20 BCE , Tipper , Isuzu , D-Max</t>
        </is>
      </c>
      <c r="E4343" t="inlineStr">
        <is>
          <t>KX20 BCE , Tipper , Isuzu , D-Max</t>
        </is>
      </c>
      <c r="F4343" t="inlineStr">
        <is>
          <t>KX20 BCE , Tipper , Isuzu , D-Max</t>
        </is>
      </c>
      <c r="G4343" t="inlineStr">
        <is>
          <t>Anthony Gale</t>
        </is>
      </c>
      <c r="H4343" t="inlineStr">
        <is>
          <t>Pickup Truck</t>
        </is>
      </c>
      <c r="I4343" t="inlineStr">
        <is>
          <t>Daily/ Weekly Vehicle Inspection</t>
        </is>
      </c>
      <c r="J4343" t="inlineStr">
        <is>
          <t>N/A</t>
        </is>
      </c>
      <c r="K4343" t="inlineStr">
        <is>
          <t>7996 M G Tree Surgery Ltd 1</t>
        </is>
      </c>
      <c r="L4343" t="inlineStr">
        <is>
          <t>05/05/2026 06:51</t>
        </is>
      </c>
      <c r="M4343" t="inlineStr">
        <is>
          <t>None</t>
        </is>
      </c>
      <c r="N4343" t="inlineStr">
        <is>
          <t>&lt;p&gt;&lt;/p&gt;</t>
        </is>
      </c>
      <c r="O4343" t="inlineStr"/>
      <c r="P4343" t="inlineStr">
        <is>
          <t>KX20 BCE , Tipper , Isuzu , D-Max</t>
        </is>
      </c>
      <c r="Q4343" t="inlineStr">
        <is>
          <t>UKPN</t>
        </is>
      </c>
      <c r="R4343" t="b">
        <v>1</v>
      </c>
    </row>
    <row r="4344">
      <c r="A4344" t="inlineStr">
        <is>
          <t>5 May 2026 / 6617 Ashdown Tree Limited 1</t>
        </is>
      </c>
      <c r="B4344" t="inlineStr">
        <is>
          <t>Infrastructure &amp; Utilities</t>
        </is>
      </c>
      <c r="C4344" t="inlineStr">
        <is>
          <t>UKPN</t>
        </is>
      </c>
      <c r="D4344" t="inlineStr">
        <is>
          <t>GU11LKD , 4x4 , Land Rover , Defender</t>
        </is>
      </c>
      <c r="E4344" t="inlineStr">
        <is>
          <t>GU11LKD , 4x4 , Land Rover , Defender</t>
        </is>
      </c>
      <c r="F4344" t="inlineStr">
        <is>
          <t>GU11LKD , 4x4 , Land Rover , Defender</t>
        </is>
      </c>
      <c r="G4344" t="inlineStr">
        <is>
          <t>Dan</t>
        </is>
      </c>
      <c r="H4344" t="inlineStr">
        <is>
          <t>4x4</t>
        </is>
      </c>
      <c r="I4344" t="inlineStr">
        <is>
          <t>Daily/ Weekly Vehicle Inspection</t>
        </is>
      </c>
      <c r="J4344" t="inlineStr">
        <is>
          <t>N/A</t>
        </is>
      </c>
      <c r="K4344" t="inlineStr">
        <is>
          <t>6617 Ashdown Tree Limited - Team 2</t>
        </is>
      </c>
      <c r="L4344" t="inlineStr">
        <is>
          <t>05/05/2026 06:52</t>
        </is>
      </c>
      <c r="M4344" t="inlineStr">
        <is>
          <t>None</t>
        </is>
      </c>
      <c r="N4344" t="inlineStr">
        <is>
          <t>&lt;p&gt;&lt;/p&gt;</t>
        </is>
      </c>
      <c r="O4344" t="inlineStr"/>
      <c r="P4344" t="inlineStr">
        <is>
          <t>GU11LKD , 4x4 , Land Rover , Defender</t>
        </is>
      </c>
      <c r="Q4344" t="inlineStr">
        <is>
          <t>UKPN</t>
        </is>
      </c>
      <c r="R4344" t="b">
        <v>1</v>
      </c>
    </row>
    <row r="4345">
      <c r="A4345" t="inlineStr">
        <is>
          <t>5 May 2026 / 7889 Tree Tech Suffolk Ltd</t>
        </is>
      </c>
      <c r="B4345" t="inlineStr">
        <is>
          <t>Utilities &amp; Inland Waterways</t>
        </is>
      </c>
      <c r="C4345" t="inlineStr">
        <is>
          <t>UKPN</t>
        </is>
      </c>
      <c r="D4345" t="inlineStr">
        <is>
          <t>Tipper - Nissan - Navara - NS02TTS</t>
        </is>
      </c>
      <c r="E4345" t="inlineStr">
        <is>
          <t>Tipper - Nissan - Navara - NS02TTS</t>
        </is>
      </c>
      <c r="F4345" t="inlineStr">
        <is>
          <t>Tipper - Nissan - Navara - NS02TTS</t>
        </is>
      </c>
      <c r="G4345" t="inlineStr">
        <is>
          <t>Danny Appleby</t>
        </is>
      </c>
      <c r="H4345" t="inlineStr">
        <is>
          <t>Tipper</t>
        </is>
      </c>
      <c r="I4345" t="inlineStr">
        <is>
          <t>Daily/ Weekly Vehicle Inspection</t>
        </is>
      </c>
      <c r="J4345" t="inlineStr">
        <is>
          <t>N/A</t>
        </is>
      </c>
      <c r="K4345" t="inlineStr">
        <is>
          <t>7889 Tree Tech Suffolk Ltd</t>
        </is>
      </c>
      <c r="L4345" t="inlineStr">
        <is>
          <t>05/05/2026 06:55</t>
        </is>
      </c>
      <c r="M4345" t="inlineStr">
        <is>
          <t>None</t>
        </is>
      </c>
      <c r="N4345" t="inlineStr">
        <is>
          <t>&lt;p&gt;&lt;/p&gt;</t>
        </is>
      </c>
      <c r="O4345" t="inlineStr"/>
      <c r="P4345" t="inlineStr">
        <is>
          <t>Tipper - Nissan - Navara - NS02TTS</t>
        </is>
      </c>
      <c r="Q4345" t="inlineStr">
        <is>
          <t>UKPN</t>
        </is>
      </c>
      <c r="R4345" t="b">
        <v>1</v>
      </c>
    </row>
    <row r="4346">
      <c r="A4346" t="inlineStr">
        <is>
          <t>5 May 2026 / 7186 Eastwoodbury Tree Services Ltd 1</t>
        </is>
      </c>
      <c r="B4346" t="inlineStr">
        <is>
          <t>Infrastructure &amp; Utilities</t>
        </is>
      </c>
      <c r="C4346" t="inlineStr">
        <is>
          <t>UKPN</t>
        </is>
      </c>
      <c r="D4346" t="inlineStr">
        <is>
          <t>WF13 EKM , 4x4 , Land rover  , Defenders</t>
        </is>
      </c>
      <c r="E4346" t="inlineStr">
        <is>
          <t>WF13 EKM , 4x4 , Land rover  , Defenders</t>
        </is>
      </c>
      <c r="F4346" t="inlineStr">
        <is>
          <t>WF13 EKM , 4x4 , Land rover  , Defenders</t>
        </is>
      </c>
      <c r="G4346" t="inlineStr">
        <is>
          <t xml:space="preserve">Tom Price </t>
        </is>
      </c>
      <c r="H4346" t="inlineStr">
        <is>
          <t>4x4</t>
        </is>
      </c>
      <c r="I4346" t="inlineStr">
        <is>
          <t>Daily/ Weekly Vehicle Inspection</t>
        </is>
      </c>
      <c r="J4346" t="inlineStr">
        <is>
          <t>N/A</t>
        </is>
      </c>
      <c r="K4346" t="inlineStr">
        <is>
          <t>7186 Eastwoodbury Tree Services Ltd 1</t>
        </is>
      </c>
      <c r="L4346" t="inlineStr">
        <is>
          <t>05/05/2026 07:52</t>
        </is>
      </c>
      <c r="M4346" t="inlineStr">
        <is>
          <t>None</t>
        </is>
      </c>
      <c r="N4346" t="inlineStr">
        <is>
          <t>&lt;p&gt;&lt;/p&gt;</t>
        </is>
      </c>
      <c r="O4346" t="inlineStr"/>
      <c r="P4346" t="inlineStr">
        <is>
          <t>WF13 EKM , 4x4 , Land rover  , Defenders</t>
        </is>
      </c>
      <c r="Q4346" t="inlineStr">
        <is>
          <t>UKPN</t>
        </is>
      </c>
      <c r="R4346" t="b">
        <v>1</v>
      </c>
    </row>
    <row r="4347">
      <c r="A4347" t="inlineStr">
        <is>
          <t>5 May 2026 / 7186 Eastwoodbury Tree Services Ltd 1</t>
        </is>
      </c>
      <c r="B4347" t="inlineStr">
        <is>
          <t>Infrastructure &amp; Utilities</t>
        </is>
      </c>
      <c r="C4347" t="inlineStr">
        <is>
          <t>UKPN</t>
        </is>
      </c>
      <c r="D4347" t="inlineStr">
        <is>
          <t>DE53NKS , 4x4 , Ford , Ranger</t>
        </is>
      </c>
      <c r="E4347" t="inlineStr">
        <is>
          <t>DE53NKS , 4x4 , Ford , Ranger</t>
        </is>
      </c>
      <c r="F4347" t="inlineStr">
        <is>
          <t>DE53NKS , 4x4 , Ford , Ranger</t>
        </is>
      </c>
      <c r="G4347" t="inlineStr">
        <is>
          <t xml:space="preserve">Jay denkmayer </t>
        </is>
      </c>
      <c r="H4347" t="inlineStr">
        <is>
          <t>4x4</t>
        </is>
      </c>
      <c r="I4347" t="inlineStr">
        <is>
          <t>Daily/ Weekly Vehicle Inspection</t>
        </is>
      </c>
      <c r="J4347" t="inlineStr">
        <is>
          <t>N/A</t>
        </is>
      </c>
      <c r="K4347" t="inlineStr">
        <is>
          <t>7186 Eastwoodbury Tree Services Ltd 1</t>
        </is>
      </c>
      <c r="L4347" t="inlineStr">
        <is>
          <t>05/05/2026 07:54</t>
        </is>
      </c>
      <c r="M4347" t="inlineStr">
        <is>
          <t>None</t>
        </is>
      </c>
      <c r="N4347" t="inlineStr">
        <is>
          <t>&lt;p&gt;&lt;/p&gt;</t>
        </is>
      </c>
      <c r="O4347" t="inlineStr"/>
      <c r="P4347" t="inlineStr">
        <is>
          <t>DE53NKS , 4x4 , Ford , Ranger</t>
        </is>
      </c>
      <c r="Q4347" t="inlineStr">
        <is>
          <t>UKPN</t>
        </is>
      </c>
      <c r="R4347" t="b">
        <v>1</v>
      </c>
    </row>
    <row r="4348">
      <c r="A4348" t="inlineStr">
        <is>
          <t>5 May 2026 / 7186 Eastwoodbury Tree Services Ltd 1</t>
        </is>
      </c>
      <c r="B4348" t="inlineStr">
        <is>
          <t>Infrastructure &amp; Utilities</t>
        </is>
      </c>
      <c r="C4348" t="inlineStr">
        <is>
          <t>UKPN</t>
        </is>
      </c>
      <c r="D4348" t="inlineStr">
        <is>
          <t>WF13 EKT , 4x4 , Land rover  , Defender</t>
        </is>
      </c>
      <c r="E4348" t="inlineStr">
        <is>
          <t>WF13 EKT , 4x4 , Land rover  , Defender</t>
        </is>
      </c>
      <c r="F4348" t="inlineStr">
        <is>
          <t>WF13 EKT , 4x4 , Land rover  , Defender</t>
        </is>
      </c>
      <c r="G4348" t="inlineStr">
        <is>
          <t xml:space="preserve">Luke Williams </t>
        </is>
      </c>
      <c r="H4348" t="inlineStr">
        <is>
          <t>4x4</t>
        </is>
      </c>
      <c r="I4348" t="inlineStr">
        <is>
          <t>Daily/ Weekly Vehicle Inspection</t>
        </is>
      </c>
      <c r="J4348" t="inlineStr">
        <is>
          <t>N/A</t>
        </is>
      </c>
      <c r="K4348" t="inlineStr">
        <is>
          <t>7186 Eastwoodbury Tree Services Ltd 1</t>
        </is>
      </c>
      <c r="L4348" t="inlineStr">
        <is>
          <t>05/05/2026 07:57</t>
        </is>
      </c>
      <c r="M4348" t="inlineStr">
        <is>
          <t>None</t>
        </is>
      </c>
      <c r="N4348" t="inlineStr">
        <is>
          <t>&lt;p&gt;&lt;/p&gt;</t>
        </is>
      </c>
      <c r="O4348" t="inlineStr"/>
      <c r="P4348" t="inlineStr">
        <is>
          <t>WF13 EKT , 4x4 , Land rover  , Defender</t>
        </is>
      </c>
      <c r="Q4348" t="inlineStr">
        <is>
          <t>UKPN</t>
        </is>
      </c>
      <c r="R4348" t="b">
        <v>1</v>
      </c>
    </row>
    <row r="4349">
      <c r="A4349" t="inlineStr">
        <is>
          <t>5 May 2026 / Philip Shaw</t>
        </is>
      </c>
      <c r="B4349" t="inlineStr">
        <is>
          <t>Infrastructure &amp; Utilities</t>
        </is>
      </c>
      <c r="C4349" t="inlineStr">
        <is>
          <t>NGED</t>
        </is>
      </c>
      <c r="D4349" t="inlineStr">
        <is>
          <t>AF22TZO , Car - Electric , Tesla , Model 3 Long Range AWD</t>
        </is>
      </c>
      <c r="E4349" t="inlineStr">
        <is>
          <t>AF22TZO , Car - Electric , Tesla , Model 3 Long Range AWD</t>
        </is>
      </c>
      <c r="F4349" t="inlineStr">
        <is>
          <t>AF22TZO , Car - Electric , Tesla , Model 3 Long Range AWD</t>
        </is>
      </c>
      <c r="G4349" t="inlineStr">
        <is>
          <t xml:space="preserve">Phil shaw </t>
        </is>
      </c>
      <c r="H4349" t="inlineStr">
        <is>
          <t>Car - Electric (GC Owned)</t>
        </is>
      </c>
      <c r="I4349" t="inlineStr">
        <is>
          <t>Daily/ Weekly Vehicle Inspection</t>
        </is>
      </c>
      <c r="J4349" t="inlineStr">
        <is>
          <t>N/A</t>
        </is>
      </c>
      <c r="K4349" t="inlineStr">
        <is>
          <t>Philip Shaw</t>
        </is>
      </c>
      <c r="L4349" t="inlineStr">
        <is>
          <t>05/05/2026 07:59</t>
        </is>
      </c>
      <c r="M4349" t="inlineStr">
        <is>
          <t>None</t>
        </is>
      </c>
      <c r="N4349" t="inlineStr">
        <is>
          <t>&lt;p&gt;&lt;/p&gt;</t>
        </is>
      </c>
      <c r="O4349" t="inlineStr"/>
      <c r="P4349" t="inlineStr">
        <is>
          <t>AF22TZO , Car - Electric , Tesla , Model 3 Long Range AWD</t>
        </is>
      </c>
      <c r="Q4349" t="inlineStr">
        <is>
          <t>NGED</t>
        </is>
      </c>
      <c r="R4349" t="b">
        <v>1</v>
      </c>
    </row>
    <row r="4350">
      <c r="A4350" t="inlineStr">
        <is>
          <t>5 May 2026 / 7806 Optimum Tree Services Ltd</t>
        </is>
      </c>
      <c r="B4350" t="inlineStr">
        <is>
          <t>Infrastructure &amp; Utilities</t>
        </is>
      </c>
      <c r="C4350" t="inlineStr">
        <is>
          <t>UKPN</t>
        </is>
      </c>
      <c r="D4350" t="inlineStr">
        <is>
          <t>SA9st6p0001283093 , Towed Chipper , Forst  , St6pHD</t>
        </is>
      </c>
      <c r="E4350" t="inlineStr">
        <is>
          <t>SA9st6p0001283093 , Towed Chipper , Forst  , St6pHD</t>
        </is>
      </c>
      <c r="F4350" t="inlineStr">
        <is>
          <t>SA9st6p0001283093 , Towed Chipper , Forst  , St6pHD</t>
        </is>
      </c>
      <c r="G4350" t="inlineStr">
        <is>
          <t xml:space="preserve">Abraham Davies </t>
        </is>
      </c>
      <c r="H4350" t="inlineStr">
        <is>
          <t>Towed Chipper</t>
        </is>
      </c>
      <c r="I4350" t="inlineStr">
        <is>
          <t>Daily/ Weekly Vehicle Inspection</t>
        </is>
      </c>
      <c r="J4350" t="inlineStr">
        <is>
          <t>N/A</t>
        </is>
      </c>
      <c r="K4350" t="inlineStr">
        <is>
          <t>7806 Optimum Tree Services Ltd</t>
        </is>
      </c>
      <c r="L4350" t="inlineStr">
        <is>
          <t>05/05/2026 08:03</t>
        </is>
      </c>
      <c r="M4350" t="inlineStr">
        <is>
          <t>None</t>
        </is>
      </c>
      <c r="N4350" t="inlineStr">
        <is>
          <t>&lt;p&gt;&lt;/p&gt;</t>
        </is>
      </c>
      <c r="O4350" t="inlineStr"/>
      <c r="P4350" t="inlineStr">
        <is>
          <t>SA9st6p0001283093 , Towed Chipper , Forst  , St6pHD</t>
        </is>
      </c>
      <c r="Q4350" t="inlineStr">
        <is>
          <t>UKPN</t>
        </is>
      </c>
      <c r="R4350" t="b">
        <v>1</v>
      </c>
    </row>
    <row r="4351">
      <c r="A4351" t="inlineStr">
        <is>
          <t>5 May 2026 / 7806 Optimum Tree Services Ltd</t>
        </is>
      </c>
      <c r="B4351" t="inlineStr">
        <is>
          <t>Infrastructure &amp; Utilities</t>
        </is>
      </c>
      <c r="C4351" t="inlineStr">
        <is>
          <t>UKPN</t>
        </is>
      </c>
      <c r="D4351" t="inlineStr">
        <is>
          <t>WD14EVB , MEWP , Land Rover , Defender</t>
        </is>
      </c>
      <c r="E4351" t="inlineStr">
        <is>
          <t>WD14EVB , MEWP , Land Rover , Defender</t>
        </is>
      </c>
      <c r="F4351" t="inlineStr">
        <is>
          <t>WD14EVB , MEWP , Land Rover , Defender</t>
        </is>
      </c>
      <c r="G4351" t="inlineStr">
        <is>
          <t xml:space="preserve">Abraham Davies </t>
        </is>
      </c>
      <c r="H4351" t="inlineStr">
        <is>
          <t>4x4</t>
        </is>
      </c>
      <c r="I4351" t="inlineStr">
        <is>
          <t>Daily/ Weekly Vehicle Inspection</t>
        </is>
      </c>
      <c r="J4351" t="inlineStr">
        <is>
          <t>N/A</t>
        </is>
      </c>
      <c r="K4351" t="inlineStr">
        <is>
          <t>7806 Optimum Tree Services Ltd</t>
        </is>
      </c>
      <c r="L4351" t="inlineStr">
        <is>
          <t>05/05/2026 08:06</t>
        </is>
      </c>
      <c r="M4351" t="inlineStr">
        <is>
          <t>None</t>
        </is>
      </c>
      <c r="N4351" t="inlineStr">
        <is>
          <t>&lt;p&gt;&lt;/p&gt;</t>
        </is>
      </c>
      <c r="O4351" t="inlineStr"/>
      <c r="P4351" t="inlineStr">
        <is>
          <t>WD14EVB , MEWP , Land Rover , Defender</t>
        </is>
      </c>
      <c r="Q4351" t="inlineStr">
        <is>
          <t>UKPN</t>
        </is>
      </c>
      <c r="R4351" t="b">
        <v>1</v>
      </c>
    </row>
    <row r="4352">
      <c r="A4352" t="inlineStr">
        <is>
          <t>5 May 2026 / 7995 Green Net Eco Ltd 2</t>
        </is>
      </c>
      <c r="B4352" t="inlineStr">
        <is>
          <t>Infrastructure &amp; Utilities</t>
        </is>
      </c>
      <c r="C4352" t="inlineStr">
        <is>
          <t>UKPN</t>
        </is>
      </c>
      <c r="D4352" t="inlineStr">
        <is>
          <t>SA9ST800000283944 , Towed Chipper , Forst , ST8D - Towed</t>
        </is>
      </c>
      <c r="E4352" t="inlineStr">
        <is>
          <t>SA9ST800000283944 , Towed Chipper , Forst , ST8D - Towed</t>
        </is>
      </c>
      <c r="F4352" t="inlineStr">
        <is>
          <t>SA9ST800000283944 , Towed Chipper , Forst , ST8D - Towed</t>
        </is>
      </c>
      <c r="G4352" t="inlineStr">
        <is>
          <t>Thomas Playford</t>
        </is>
      </c>
      <c r="H4352" t="inlineStr">
        <is>
          <t>Towed Chipper</t>
        </is>
      </c>
      <c r="I4352" t="inlineStr">
        <is>
          <t>Daily/ Weekly Vehicle Inspection</t>
        </is>
      </c>
      <c r="J4352" t="inlineStr">
        <is>
          <t>N/A</t>
        </is>
      </c>
      <c r="K4352" t="inlineStr">
        <is>
          <t>7995 Green Net Eco Ltd 2</t>
        </is>
      </c>
      <c r="L4352" t="inlineStr">
        <is>
          <t>05/05/2026 08:10</t>
        </is>
      </c>
      <c r="M4352" t="inlineStr">
        <is>
          <t>None</t>
        </is>
      </c>
      <c r="N4352" t="inlineStr">
        <is>
          <t>&lt;p&gt;&lt;/p&gt;</t>
        </is>
      </c>
      <c r="O4352" t="inlineStr"/>
      <c r="P4352" t="inlineStr">
        <is>
          <t>SA9ST800000283944 , Towed Chipper , Forst , ST8D - Towed</t>
        </is>
      </c>
      <c r="Q4352" t="inlineStr">
        <is>
          <t>UKPN</t>
        </is>
      </c>
      <c r="R4352" t="b">
        <v>1</v>
      </c>
    </row>
    <row r="4353">
      <c r="A4353" t="inlineStr">
        <is>
          <t>5 May 2026 / 7995 Green Net Eco Ltd 2</t>
        </is>
      </c>
      <c r="B4353" t="inlineStr">
        <is>
          <t>Infrastructure &amp; Utilities</t>
        </is>
      </c>
      <c r="C4353" t="inlineStr">
        <is>
          <t>UKPN</t>
        </is>
      </c>
      <c r="D4353" t="inlineStr">
        <is>
          <t>LK15KRZ , 4x4 , Landrover , Defender</t>
        </is>
      </c>
      <c r="E4353" t="inlineStr">
        <is>
          <t>LK15KRZ , 4x4 , Landrover , Defender</t>
        </is>
      </c>
      <c r="F4353" t="inlineStr">
        <is>
          <t>LK15KRZ , 4x4 , Landrover , Defender</t>
        </is>
      </c>
      <c r="G4353" t="inlineStr">
        <is>
          <t>Thomas Playford</t>
        </is>
      </c>
      <c r="H4353" t="inlineStr">
        <is>
          <t>4x4</t>
        </is>
      </c>
      <c r="I4353" t="inlineStr">
        <is>
          <t>Daily/ Weekly Vehicle Inspection</t>
        </is>
      </c>
      <c r="J4353" t="inlineStr">
        <is>
          <t>N/A</t>
        </is>
      </c>
      <c r="K4353" t="inlineStr">
        <is>
          <t>7995 Green Net Eco Ltd 2</t>
        </is>
      </c>
      <c r="L4353" t="inlineStr">
        <is>
          <t>05/05/2026 08:13</t>
        </is>
      </c>
      <c r="M4353" t="inlineStr">
        <is>
          <t>None</t>
        </is>
      </c>
      <c r="N4353" t="inlineStr">
        <is>
          <t>&lt;p&gt;&lt;/p&gt;</t>
        </is>
      </c>
      <c r="O4353" t="inlineStr"/>
      <c r="P4353" t="inlineStr">
        <is>
          <t>LK15KRZ , 4x4 , Landrover , Defender</t>
        </is>
      </c>
      <c r="Q4353" t="inlineStr">
        <is>
          <t>UKPN</t>
        </is>
      </c>
      <c r="R4353" t="b">
        <v>1</v>
      </c>
    </row>
    <row r="4354">
      <c r="A4354" t="inlineStr">
        <is>
          <t>5 May 2026 / 6617 Ashdown Tree Limited</t>
        </is>
      </c>
      <c r="B4354" t="inlineStr">
        <is>
          <t>Infrastructure &amp; Utilities</t>
        </is>
      </c>
      <c r="C4354" t="inlineStr">
        <is>
          <t>UKPN</t>
        </is>
      </c>
      <c r="D4354" t="inlineStr">
        <is>
          <t>Tr55 app , 4x4 , Land Rover  , Discovery 4</t>
        </is>
      </c>
      <c r="E4354" t="inlineStr">
        <is>
          <t>Tr55 app , 4x4 , Land Rover  , Discovery 4</t>
        </is>
      </c>
      <c r="F4354" t="inlineStr">
        <is>
          <t>Tr55 app , 4x4 , Land Rover  , Discovery 4</t>
        </is>
      </c>
      <c r="G4354" t="inlineStr">
        <is>
          <t xml:space="preserve">A Horwood </t>
        </is>
      </c>
      <c r="H4354" t="inlineStr">
        <is>
          <t>4x4</t>
        </is>
      </c>
      <c r="I4354" t="inlineStr">
        <is>
          <t>Daily/ Weekly Vehicle Inspection</t>
        </is>
      </c>
      <c r="J4354" t="inlineStr">
        <is>
          <t>N/A</t>
        </is>
      </c>
      <c r="K4354" t="inlineStr">
        <is>
          <t>6617 Ashdown Tree Limited</t>
        </is>
      </c>
      <c r="L4354" t="inlineStr">
        <is>
          <t>05/05/2026 08:20</t>
        </is>
      </c>
      <c r="M4354" t="inlineStr">
        <is>
          <t>None</t>
        </is>
      </c>
      <c r="N4354" t="inlineStr">
        <is>
          <t>&lt;p&gt;&lt;/p&gt;</t>
        </is>
      </c>
      <c r="O4354" t="inlineStr"/>
      <c r="P4354" t="inlineStr">
        <is>
          <t>Tr55 app , 4x4 , Land Rover  , Discovery 4</t>
        </is>
      </c>
      <c r="Q4354" t="inlineStr">
        <is>
          <t>UKPN</t>
        </is>
      </c>
      <c r="R4354" t="b">
        <v>1</v>
      </c>
    </row>
    <row r="4355">
      <c r="A4355" t="inlineStr">
        <is>
          <t>5 May 2026 / Oliver Coyle</t>
        </is>
      </c>
      <c r="B4355" t="inlineStr">
        <is>
          <t>Infrastructure &amp; Utilities</t>
        </is>
      </c>
      <c r="C4355" t="inlineStr">
        <is>
          <t>NGED</t>
        </is>
      </c>
      <c r="D4355" t="inlineStr">
        <is>
          <t>GL20TSX , Car - Electric , Tesla , Model 3 Long Range AWD</t>
        </is>
      </c>
      <c r="E4355" t="inlineStr">
        <is>
          <t>GL20TSX , Car - Electric , Tesla , Model 3 Long Range AWD</t>
        </is>
      </c>
      <c r="F4355" t="inlineStr">
        <is>
          <t>GL20TSX , Car - Electric , Tesla , Model 3 Long Range AWD</t>
        </is>
      </c>
      <c r="G4355" t="inlineStr">
        <is>
          <t xml:space="preserve">Oliver Coyle </t>
        </is>
      </c>
      <c r="H4355" t="inlineStr">
        <is>
          <t>Car - Electric (GC Owned)</t>
        </is>
      </c>
      <c r="I4355" t="inlineStr">
        <is>
          <t>Daily/ Weekly Vehicle Inspection</t>
        </is>
      </c>
      <c r="J4355" t="inlineStr">
        <is>
          <t>N/A</t>
        </is>
      </c>
      <c r="K4355" t="inlineStr">
        <is>
          <t>Oliver Coyle</t>
        </is>
      </c>
      <c r="L4355" t="inlineStr">
        <is>
          <t>05/05/2026 08:23</t>
        </is>
      </c>
      <c r="M4355" t="inlineStr">
        <is>
          <t>None</t>
        </is>
      </c>
      <c r="N4355" t="inlineStr">
        <is>
          <t>&lt;p&gt;&lt;/p&gt;</t>
        </is>
      </c>
      <c r="O4355" t="inlineStr"/>
      <c r="P4355" t="inlineStr">
        <is>
          <t>GL20TSX , Car - Electric , Tesla , Model 3 Long Range AWD</t>
        </is>
      </c>
      <c r="Q4355" t="inlineStr">
        <is>
          <t>NGED</t>
        </is>
      </c>
      <c r="R4355" t="b">
        <v>1</v>
      </c>
    </row>
    <row r="4356">
      <c r="A4356" t="inlineStr">
        <is>
          <t>5 May 2026 / 7996 M G Tree Surgery Ltd 1</t>
        </is>
      </c>
      <c r="B4356" t="inlineStr">
        <is>
          <t>Infrastructure &amp; Utilities</t>
        </is>
      </c>
      <c r="C4356" t="inlineStr">
        <is>
          <t>UKPN</t>
        </is>
      </c>
      <c r="D4356" t="inlineStr"/>
      <c r="E4356" t="inlineStr"/>
      <c r="F4356" t="inlineStr"/>
      <c r="G4356" t="inlineStr">
        <is>
          <t>Anthony Gale</t>
        </is>
      </c>
      <c r="H4356" t="inlineStr">
        <is>
          <t>Towed Chipper</t>
        </is>
      </c>
      <c r="I4356" t="inlineStr">
        <is>
          <t>Daily/ Weekly Vehicle Inspection</t>
        </is>
      </c>
      <c r="J4356" t="inlineStr">
        <is>
          <t>N/A</t>
        </is>
      </c>
      <c r="K4356" t="inlineStr">
        <is>
          <t>7996 M G Tree Surgery Ltd 1</t>
        </is>
      </c>
      <c r="L4356" t="inlineStr">
        <is>
          <t>05/05/2026 08:30</t>
        </is>
      </c>
      <c r="M4356" t="inlineStr">
        <is>
          <t>None</t>
        </is>
      </c>
      <c r="N4356" t="inlineStr">
        <is>
          <t>&lt;p&gt;&lt;/p&gt;</t>
        </is>
      </c>
      <c r="O4356" t="inlineStr"/>
      <c r="P4356" t="inlineStr"/>
      <c r="Q4356" t="inlineStr">
        <is>
          <t>UKPN</t>
        </is>
      </c>
      <c r="R4356" t="b">
        <v>1</v>
      </c>
    </row>
    <row r="4357">
      <c r="A4357" t="inlineStr">
        <is>
          <t>5 May 2026 / Joe Lemar</t>
        </is>
      </c>
      <c r="B4357" t="inlineStr">
        <is>
          <t>Infrastructure &amp; Utilities</t>
        </is>
      </c>
      <c r="C4357" t="inlineStr">
        <is>
          <t>SSE</t>
        </is>
      </c>
      <c r="D4357" t="inlineStr">
        <is>
          <t>AK70TBV , Car - Electric , Tesla , Model 3 Long Range AWD</t>
        </is>
      </c>
      <c r="E4357" t="inlineStr">
        <is>
          <t>AK70TBV , Car - Electric , Tesla , Model 3 Long Range AWD</t>
        </is>
      </c>
      <c r="F4357" t="inlineStr">
        <is>
          <t>AK70TBV , Car - Electric , Tesla , Model 3 Long Range AWD</t>
        </is>
      </c>
      <c r="G4357" t="inlineStr">
        <is>
          <t xml:space="preserve">Joe lemar </t>
        </is>
      </c>
      <c r="H4357" t="inlineStr">
        <is>
          <t>Car - Electric (GC Owned)</t>
        </is>
      </c>
      <c r="I4357" t="inlineStr">
        <is>
          <t>Daily/ Weekly Vehicle Inspection</t>
        </is>
      </c>
      <c r="J4357" t="inlineStr">
        <is>
          <t>N/A</t>
        </is>
      </c>
      <c r="K4357" t="inlineStr">
        <is>
          <t>Joe Lemar</t>
        </is>
      </c>
      <c r="L4357" t="inlineStr">
        <is>
          <t>05/05/2026 08:31</t>
        </is>
      </c>
      <c r="M4357" t="inlineStr">
        <is>
          <t>None</t>
        </is>
      </c>
      <c r="N4357" t="inlineStr">
        <is>
          <t>&lt;p&gt;&lt;/p&gt;</t>
        </is>
      </c>
      <c r="O4357" t="inlineStr"/>
      <c r="P4357" t="inlineStr">
        <is>
          <t>AK70TBV , Car - Electric , Tesla , Model 3 Long Range AWD</t>
        </is>
      </c>
      <c r="Q4357" t="inlineStr">
        <is>
          <t>SSE</t>
        </is>
      </c>
      <c r="R4357" t="b">
        <v>1</v>
      </c>
    </row>
    <row r="4358">
      <c r="A4358" t="inlineStr">
        <is>
          <t>5 May 2026 / 7800 MAC Tree Surgery and Fencing Ltd / Utilities / UKPN</t>
        </is>
      </c>
      <c r="B4358" t="inlineStr">
        <is>
          <t>Utilities</t>
        </is>
      </c>
      <c r="C4358" t="inlineStr">
        <is>
          <t>UKPN</t>
        </is>
      </c>
      <c r="D4358" t="inlineStr">
        <is>
          <t>AY68DAA , 4x4 , Izuzu , Dmax</t>
        </is>
      </c>
      <c r="E4358" t="inlineStr">
        <is>
          <t>AY68DAA , 4x4 , Izuzu , Dmax</t>
        </is>
      </c>
      <c r="F4358" t="inlineStr">
        <is>
          <t>AY68DAA , 4x4 , Izuzu , Dmax</t>
        </is>
      </c>
      <c r="G4358" t="inlineStr">
        <is>
          <t xml:space="preserve">Lewis Mac </t>
        </is>
      </c>
      <c r="H4358" t="inlineStr">
        <is>
          <t>4x4</t>
        </is>
      </c>
      <c r="I4358" t="inlineStr">
        <is>
          <t>Daily/ Weekly Vehicle Inspection</t>
        </is>
      </c>
      <c r="J4358" t="inlineStr">
        <is>
          <t>N/A</t>
        </is>
      </c>
      <c r="K4358" t="inlineStr">
        <is>
          <t>7800 MAC Tree Surgery and Fencing Ltd</t>
        </is>
      </c>
      <c r="L4358" t="inlineStr">
        <is>
          <t>05/05/2026 08:58</t>
        </is>
      </c>
      <c r="M4358" t="inlineStr">
        <is>
          <t>None</t>
        </is>
      </c>
      <c r="N4358" t="inlineStr">
        <is>
          <t>&lt;p&gt;&lt;/p&gt;</t>
        </is>
      </c>
      <c r="O4358" t="inlineStr"/>
      <c r="P4358" t="inlineStr">
        <is>
          <t>AY68DAA , 4x4 , Izuzu , Dmax</t>
        </is>
      </c>
      <c r="Q4358" t="inlineStr">
        <is>
          <t>UKPN</t>
        </is>
      </c>
      <c r="R4358" t="b">
        <v>1</v>
      </c>
    </row>
    <row r="4359">
      <c r="A4359" t="inlineStr">
        <is>
          <t>5 May 2026 / 7996 M G Tree Surgery Ltd</t>
        </is>
      </c>
      <c r="B4359" t="inlineStr">
        <is>
          <t>Infrastructure &amp; Utilities</t>
        </is>
      </c>
      <c r="C4359" t="inlineStr">
        <is>
          <t>UKPN</t>
        </is>
      </c>
      <c r="D4359" t="inlineStr">
        <is>
          <t>GU13 WNL , MEWP , Land Rover , Defender 130</t>
        </is>
      </c>
      <c r="E4359" t="inlineStr">
        <is>
          <t>GU13 WNL , MEWP , Land Rover , Defender 130</t>
        </is>
      </c>
      <c r="F4359" t="inlineStr">
        <is>
          <t>GU13 WNL , MEWP , Land Rover , Defender 130</t>
        </is>
      </c>
      <c r="G4359" t="inlineStr">
        <is>
          <t>Max</t>
        </is>
      </c>
      <c r="H4359" t="inlineStr">
        <is>
          <t>4x4</t>
        </is>
      </c>
      <c r="I4359" t="inlineStr">
        <is>
          <t>Daily/ Weekly Vehicle Inspection</t>
        </is>
      </c>
      <c r="J4359" t="inlineStr">
        <is>
          <t>N/A</t>
        </is>
      </c>
      <c r="K4359" t="inlineStr">
        <is>
          <t>7996 M G Tree Surgery Ltd</t>
        </is>
      </c>
      <c r="L4359" t="inlineStr">
        <is>
          <t>05/05/2026 08:59</t>
        </is>
      </c>
      <c r="M4359" t="inlineStr">
        <is>
          <t>None</t>
        </is>
      </c>
      <c r="N4359" t="inlineStr">
        <is>
          <t>&lt;p&gt;&lt;/p&gt;</t>
        </is>
      </c>
      <c r="O4359" t="inlineStr"/>
      <c r="P4359" t="inlineStr">
        <is>
          <t>GU13 WNL , MEWP , Land Rover , Defender 130</t>
        </is>
      </c>
      <c r="Q4359" t="inlineStr">
        <is>
          <t>UKPN</t>
        </is>
      </c>
      <c r="R4359" t="b">
        <v>1</v>
      </c>
    </row>
    <row r="4360">
      <c r="A4360" t="inlineStr">
        <is>
          <t>5 May 2026 / 7800 MAC Tree Surgery and Fencing Ltd</t>
        </is>
      </c>
      <c r="B4360" t="inlineStr">
        <is>
          <t>Infrastructure &amp; Utilities</t>
        </is>
      </c>
      <c r="C4360" t="inlineStr">
        <is>
          <t>UKPN</t>
        </is>
      </c>
      <c r="D4360" t="inlineStr">
        <is>
          <t>0 , Plant Trailer , Towmate , 2.8t</t>
        </is>
      </c>
      <c r="E4360" t="inlineStr">
        <is>
          <t>0 , Plant Trailer , Towmate , 2.8t</t>
        </is>
      </c>
      <c r="F4360" t="inlineStr">
        <is>
          <t>0 , Plant Trailer , Towmate , 2.8t</t>
        </is>
      </c>
      <c r="G4360" t="inlineStr">
        <is>
          <t xml:space="preserve">Patrick oshea </t>
        </is>
      </c>
      <c r="H4360" t="inlineStr">
        <is>
          <t>Plant Trailer</t>
        </is>
      </c>
      <c r="I4360" t="inlineStr">
        <is>
          <t>Daily/ Weekly Vehicle Inspection</t>
        </is>
      </c>
      <c r="J4360" t="inlineStr">
        <is>
          <t>N/A</t>
        </is>
      </c>
      <c r="K4360" t="inlineStr">
        <is>
          <t>7800 MAC Tree Surgery and Fencing Ltd</t>
        </is>
      </c>
      <c r="L4360" t="inlineStr">
        <is>
          <t>05/05/2026 08:59</t>
        </is>
      </c>
      <c r="M4360" t="inlineStr">
        <is>
          <t>None</t>
        </is>
      </c>
      <c r="N4360" t="inlineStr">
        <is>
          <t>&lt;p&gt;&lt;/p&gt;</t>
        </is>
      </c>
      <c r="O4360" t="inlineStr"/>
      <c r="P4360" t="inlineStr">
        <is>
          <t>0 , Plant Trailer , Towmate , 2.8t</t>
        </is>
      </c>
      <c r="Q4360" t="inlineStr">
        <is>
          <t>UKPN</t>
        </is>
      </c>
      <c r="R4360" t="b">
        <v>1</v>
      </c>
    </row>
    <row r="4361">
      <c r="A4361" t="inlineStr">
        <is>
          <t>5 May 2026 / Dylan Bowler</t>
        </is>
      </c>
      <c r="B4361" t="inlineStr">
        <is>
          <t>Infrastructure &amp; Utilities</t>
        </is>
      </c>
      <c r="C4361" t="inlineStr">
        <is>
          <t>NGED</t>
        </is>
      </c>
      <c r="D4361" t="inlineStr">
        <is>
          <t>YX24TXG , Car - Electric , Kia , Niro</t>
        </is>
      </c>
      <c r="E4361" t="inlineStr">
        <is>
          <t>YX24TXG , Car - Electric , Kia , Niro</t>
        </is>
      </c>
      <c r="F4361" t="inlineStr">
        <is>
          <t>YX24TXG , Car - Electric , Kia , Niro</t>
        </is>
      </c>
      <c r="G4361" t="inlineStr">
        <is>
          <t>Dylan</t>
        </is>
      </c>
      <c r="H4361" t="inlineStr">
        <is>
          <t>Car - Electric (GC Owned)</t>
        </is>
      </c>
      <c r="I4361" t="inlineStr">
        <is>
          <t>Daily/ Weekly Vehicle Inspection</t>
        </is>
      </c>
      <c r="J4361" t="inlineStr">
        <is>
          <t>N/A</t>
        </is>
      </c>
      <c r="K4361" t="inlineStr">
        <is>
          <t>Dylan Bowler</t>
        </is>
      </c>
      <c r="L4361" t="inlineStr">
        <is>
          <t>05/05/2026 09:02</t>
        </is>
      </c>
      <c r="M4361" t="inlineStr">
        <is>
          <t>None</t>
        </is>
      </c>
      <c r="N4361" t="inlineStr">
        <is>
          <t>&lt;p&gt;&lt;/p&gt;</t>
        </is>
      </c>
      <c r="O4361" t="inlineStr"/>
      <c r="P4361" t="inlineStr">
        <is>
          <t>YX24TXG , Car - Electric , Kia , Niro</t>
        </is>
      </c>
      <c r="Q4361" t="inlineStr">
        <is>
          <t>NGED</t>
        </is>
      </c>
      <c r="R4361" t="b">
        <v>1</v>
      </c>
    </row>
    <row r="4362">
      <c r="A4362" t="inlineStr">
        <is>
          <t>5 May 2026 / Joshua Stones</t>
        </is>
      </c>
      <c r="B4362" t="inlineStr">
        <is>
          <t>Infrastructure &amp; Utilities</t>
        </is>
      </c>
      <c r="C4362" t="inlineStr">
        <is>
          <t>SSE</t>
        </is>
      </c>
      <c r="D4362" t="inlineStr"/>
      <c r="E4362" t="inlineStr"/>
      <c r="F4362" t="inlineStr"/>
      <c r="G4362" t="inlineStr">
        <is>
          <t>Joshua stones</t>
        </is>
      </c>
      <c r="H4362" t="inlineStr">
        <is>
          <t>Van</t>
        </is>
      </c>
      <c r="I4362" t="inlineStr">
        <is>
          <t>Daily/ Weekly Vehicle Inspection</t>
        </is>
      </c>
      <c r="J4362" t="inlineStr">
        <is>
          <t>N/A</t>
        </is>
      </c>
      <c r="K4362" t="inlineStr">
        <is>
          <t>Joshua Stones</t>
        </is>
      </c>
      <c r="L4362" t="inlineStr">
        <is>
          <t>05/05/2026 09:51</t>
        </is>
      </c>
      <c r="M4362" t="inlineStr">
        <is>
          <t>None</t>
        </is>
      </c>
      <c r="N4362" t="inlineStr">
        <is>
          <t>&lt;p&gt;&lt;/p&gt;</t>
        </is>
      </c>
      <c r="O4362" t="inlineStr"/>
      <c r="P4362" t="inlineStr"/>
      <c r="Q4362" t="inlineStr">
        <is>
          <t>SSE</t>
        </is>
      </c>
      <c r="R4362" t="b">
        <v>1</v>
      </c>
    </row>
    <row r="4363">
      <c r="A4363" t="inlineStr">
        <is>
          <t>5 May 2026 / 6490 MJR Tree Works</t>
        </is>
      </c>
      <c r="B4363" t="inlineStr">
        <is>
          <t>Infrastructure &amp; Utilities</t>
        </is>
      </c>
      <c r="C4363" t="inlineStr">
        <is>
          <t>SSE</t>
        </is>
      </c>
      <c r="D4363" t="inlineStr">
        <is>
          <t>DX65XXS , Pickup Truck , Nissan  , NavaraVX25WHD , Pickup Truck , Isuzu , D Max</t>
        </is>
      </c>
      <c r="E4363" t="inlineStr">
        <is>
          <t>DX65XXS , Pickup Truck , Nissan  , NavaraVX25WHD , Pickup Truck , Isuzu , D Max</t>
        </is>
      </c>
      <c r="F4363" t="inlineStr">
        <is>
          <t>DX65XXS , Pickup Truck , Nissan  , NavaraVX25WHD , Pickup Truck , Isuzu , D Max</t>
        </is>
      </c>
      <c r="G4363" t="inlineStr">
        <is>
          <t xml:space="preserve">JoeMike </t>
        </is>
      </c>
      <c r="H4363" t="inlineStr">
        <is>
          <t>4x44x4</t>
        </is>
      </c>
      <c r="I4363" t="inlineStr">
        <is>
          <t>Monthly Vehicle Inspection</t>
        </is>
      </c>
      <c r="J4363" t="inlineStr">
        <is>
          <t>10050029000</t>
        </is>
      </c>
      <c r="K4363" t="inlineStr">
        <is>
          <t>6490 MJR Tree Works</t>
        </is>
      </c>
      <c r="L4363" t="inlineStr">
        <is>
          <t>05/05/2026 09:54</t>
        </is>
      </c>
      <c r="M4363" t="inlineStr">
        <is>
          <t>None</t>
        </is>
      </c>
      <c r="N4363" t="inlineStr">
        <is>
          <t>&lt;p&gt;&lt;/p&gt;</t>
        </is>
      </c>
      <c r="O4363" t="inlineStr"/>
      <c r="P4363" t="inlineStr">
        <is>
          <t>DX65XXS , Pickup Truck , Nissan  , NavaraVX25WHD , Pickup Truck , Isuzu , D Max</t>
        </is>
      </c>
      <c r="Q4363" t="inlineStr">
        <is>
          <t>SSE</t>
        </is>
      </c>
      <c r="R4363" t="b">
        <v>1</v>
      </c>
    </row>
    <row r="4364">
      <c r="A4364" t="inlineStr">
        <is>
          <t>5 May 2026 / Harry Bellis</t>
        </is>
      </c>
      <c r="B4364" t="inlineStr">
        <is>
          <t>Infrastructure &amp; Utilities</t>
        </is>
      </c>
      <c r="C4364" t="inlineStr">
        <is>
          <t>SSE</t>
        </is>
      </c>
      <c r="D4364" t="inlineStr">
        <is>
          <t>EO73KUG , Car - Electric , Kia , Niro</t>
        </is>
      </c>
      <c r="E4364" t="inlineStr">
        <is>
          <t>EO73KUG , Car - Electric , Kia , Niro</t>
        </is>
      </c>
      <c r="F4364" t="inlineStr">
        <is>
          <t>EO73KUG , Car - Electric , Kia , Niro</t>
        </is>
      </c>
      <c r="G4364" t="inlineStr">
        <is>
          <t>Harry Bellis</t>
        </is>
      </c>
      <c r="H4364" t="inlineStr">
        <is>
          <t>Car - Electric (GC Owned)</t>
        </is>
      </c>
      <c r="I4364" t="inlineStr">
        <is>
          <t>Daily/ Weekly Vehicle Inspection</t>
        </is>
      </c>
      <c r="J4364" t="inlineStr">
        <is>
          <t>N/A</t>
        </is>
      </c>
      <c r="K4364" t="inlineStr">
        <is>
          <t>Harry Bellis</t>
        </is>
      </c>
      <c r="L4364" t="inlineStr">
        <is>
          <t>05/05/2026 09:58</t>
        </is>
      </c>
      <c r="M4364" t="inlineStr">
        <is>
          <t>None</t>
        </is>
      </c>
      <c r="N4364" t="inlineStr">
        <is>
          <t>&lt;p&gt;&lt;/p&gt;</t>
        </is>
      </c>
      <c r="O4364" t="inlineStr"/>
      <c r="P4364" t="inlineStr">
        <is>
          <t>EO73KUG , Car - Electric , Kia , Niro</t>
        </is>
      </c>
      <c r="Q4364" t="inlineStr">
        <is>
          <t>SSE</t>
        </is>
      </c>
      <c r="R4364" t="b">
        <v>1</v>
      </c>
    </row>
    <row r="4365">
      <c r="A4365" t="inlineStr">
        <is>
          <t>5 May 2026 / 8148 Hope Ground and Tree Care</t>
        </is>
      </c>
      <c r="B4365" t="inlineStr">
        <is>
          <t>Infrastructure &amp; Utilities</t>
        </is>
      </c>
      <c r="C4365" t="inlineStr">
        <is>
          <t>UKPN</t>
        </is>
      </c>
      <c r="D4365" t="inlineStr">
        <is>
          <t>S6 NWX , MEWP , Isuzu , D-Max</t>
        </is>
      </c>
      <c r="E4365" t="inlineStr">
        <is>
          <t>S6 NWX , MEWP , Isuzu , D-Max</t>
        </is>
      </c>
      <c r="F4365" t="inlineStr">
        <is>
          <t>S6 NWX , MEWP , Isuzu , D-Max</t>
        </is>
      </c>
      <c r="G4365" t="inlineStr">
        <is>
          <t>A Hope</t>
        </is>
      </c>
      <c r="H4365" t="inlineStr">
        <is>
          <t>4x4</t>
        </is>
      </c>
      <c r="I4365" t="inlineStr">
        <is>
          <t>Daily/ Weekly Vehicle Inspection</t>
        </is>
      </c>
      <c r="J4365" t="inlineStr">
        <is>
          <t>N/A</t>
        </is>
      </c>
      <c r="K4365" t="inlineStr">
        <is>
          <t>8148 Hope Ground and Tree Care</t>
        </is>
      </c>
      <c r="L4365" t="inlineStr">
        <is>
          <t>05/05/2026 10:53</t>
        </is>
      </c>
      <c r="M4365" t="inlineStr">
        <is>
          <t>None</t>
        </is>
      </c>
      <c r="N4365" t="inlineStr">
        <is>
          <t>&lt;p&gt;&lt;/p&gt;</t>
        </is>
      </c>
      <c r="O4365" t="inlineStr"/>
      <c r="P4365" t="inlineStr">
        <is>
          <t>S6 NWX , MEWP , Isuzu , D-Max</t>
        </is>
      </c>
      <c r="Q4365" t="inlineStr">
        <is>
          <t>UKPN</t>
        </is>
      </c>
      <c r="R4365" t="b">
        <v>1</v>
      </c>
    </row>
    <row r="4366">
      <c r="A4366" t="inlineStr">
        <is>
          <t>5 May 2026 / William Heneage</t>
        </is>
      </c>
      <c r="B4366" t="inlineStr">
        <is>
          <t>Infrastructure &amp; Utilities</t>
        </is>
      </c>
      <c r="C4366" t="inlineStr">
        <is>
          <t>SSE</t>
        </is>
      </c>
      <c r="D4366" t="inlineStr">
        <is>
          <t>YX24TWV , Car - Electric , Kia , E-Niro</t>
        </is>
      </c>
      <c r="E4366" t="inlineStr">
        <is>
          <t>YX24TWV , Car - Electric , Kia , E-Niro</t>
        </is>
      </c>
      <c r="F4366" t="inlineStr">
        <is>
          <t>YX24TWV , Car - Electric , Kia , E-Niro</t>
        </is>
      </c>
      <c r="G4366" t="inlineStr">
        <is>
          <t>Will Heneage</t>
        </is>
      </c>
      <c r="H4366" t="inlineStr">
        <is>
          <t>Car - Electric (GC Owned)</t>
        </is>
      </c>
      <c r="I4366" t="inlineStr">
        <is>
          <t>Daily/ Weekly Vehicle Inspection</t>
        </is>
      </c>
      <c r="J4366" t="inlineStr">
        <is>
          <t>N/A</t>
        </is>
      </c>
      <c r="K4366" t="inlineStr">
        <is>
          <t>William Heneage</t>
        </is>
      </c>
      <c r="L4366" t="inlineStr">
        <is>
          <t>05/05/2026 10:53</t>
        </is>
      </c>
      <c r="M4366" t="inlineStr">
        <is>
          <t>None</t>
        </is>
      </c>
      <c r="N4366" t="inlineStr">
        <is>
          <t>&lt;p&gt;&lt;/p&gt;</t>
        </is>
      </c>
      <c r="O4366" t="inlineStr"/>
      <c r="P4366" t="inlineStr">
        <is>
          <t>YX24TWV , Car - Electric , Kia , E-Niro</t>
        </is>
      </c>
      <c r="Q4366" t="inlineStr">
        <is>
          <t>SSE</t>
        </is>
      </c>
      <c r="R4366" t="b">
        <v>1</v>
      </c>
    </row>
    <row r="4367">
      <c r="A4367" t="inlineStr">
        <is>
          <t>5 May 2026 / James Heaton</t>
        </is>
      </c>
      <c r="B4367" t="inlineStr">
        <is>
          <t>Infrastructure &amp; Utilities</t>
        </is>
      </c>
      <c r="C4367" t="inlineStr">
        <is>
          <t>NGED</t>
        </is>
      </c>
      <c r="D4367" t="inlineStr">
        <is>
          <t>AJ23EKC , Car - Electric , Tesla , Model 3 Long Range AWD</t>
        </is>
      </c>
      <c r="E4367" t="inlineStr">
        <is>
          <t>AJ23EKC , Car - Electric , Tesla , Model 3 Long Range AWD</t>
        </is>
      </c>
      <c r="F4367" t="inlineStr">
        <is>
          <t>AJ23EKC , Car - Electric , Tesla , Model 3 Long Range AWD</t>
        </is>
      </c>
      <c r="G4367" t="inlineStr">
        <is>
          <t>James heaton</t>
        </is>
      </c>
      <c r="H4367" t="inlineStr">
        <is>
          <t>Car - Electric (GC Owned)</t>
        </is>
      </c>
      <c r="I4367" t="inlineStr">
        <is>
          <t>Monthly Vehicle Inspection</t>
        </is>
      </c>
      <c r="J4367" t="inlineStr">
        <is>
          <t>38564</t>
        </is>
      </c>
      <c r="K4367" t="inlineStr">
        <is>
          <t>James Heaton</t>
        </is>
      </c>
      <c r="L4367" t="inlineStr">
        <is>
          <t>05/05/2026 10:55</t>
        </is>
      </c>
      <c r="M4367" t="inlineStr">
        <is>
          <t xml:space="preserve">GREEN ENERGY TARRIFF
Is there a green energy tariff in place at your primary residence?
Why: It is a policy requirement that all company car drivers maintain a green energy tariff at their main home address. As part of Ground Control’s overall Environmental Strategy, the company promotes the adoption of green energy solutions both during business operations and outside of working hours.: Fail
</t>
        </is>
      </c>
      <c r="N4367" t="inlineStr">
        <is>
          <t>&lt;p&gt;&lt;/p&gt;</t>
        </is>
      </c>
      <c r="O4367" t="inlineStr">
        <is>
          <t>Range at last full charge:At 73% currently (245miles)</t>
        </is>
      </c>
      <c r="P4367" t="inlineStr">
        <is>
          <t>AJ23EKC , Car - Electric , Tesla , Model 3 Long Range AWD</t>
        </is>
      </c>
      <c r="Q4367" t="inlineStr">
        <is>
          <t>NGED</t>
        </is>
      </c>
      <c r="R4367" t="b">
        <v>1</v>
      </c>
    </row>
    <row r="4368">
      <c r="A4368" t="inlineStr">
        <is>
          <t>5 May 2026 / Antonio Dixon</t>
        </is>
      </c>
      <c r="B4368" t="inlineStr">
        <is>
          <t>Infrastructure &amp; Utilities</t>
        </is>
      </c>
      <c r="C4368" t="inlineStr">
        <is>
          <t>NGED</t>
        </is>
      </c>
      <c r="D4368" t="inlineStr">
        <is>
          <t>YX24TXV , Car - Electric , Kia , E-Niro</t>
        </is>
      </c>
      <c r="E4368" t="inlineStr">
        <is>
          <t>YX24TXV , Car - Electric , Kia , E-Niro</t>
        </is>
      </c>
      <c r="F4368" t="inlineStr">
        <is>
          <t>YX24TXV , Car - Electric , Kia , E-Niro</t>
        </is>
      </c>
      <c r="G4368" t="inlineStr">
        <is>
          <t>Antonio Dixon</t>
        </is>
      </c>
      <c r="H4368" t="inlineStr">
        <is>
          <t>Car - Electric (GC Owned)</t>
        </is>
      </c>
      <c r="I4368" t="inlineStr">
        <is>
          <t>Daily/ Weekly Vehicle Inspection</t>
        </is>
      </c>
      <c r="J4368" t="inlineStr">
        <is>
          <t>N/A</t>
        </is>
      </c>
      <c r="K4368" t="inlineStr">
        <is>
          <t>Antonio Dixon</t>
        </is>
      </c>
      <c r="L4368" t="inlineStr">
        <is>
          <t>05/05/2026 11:51</t>
        </is>
      </c>
      <c r="M4368" t="inlineStr">
        <is>
          <t>None</t>
        </is>
      </c>
      <c r="N4368" t="inlineStr">
        <is>
          <t>&lt;p&gt;&lt;/p&gt;</t>
        </is>
      </c>
      <c r="O4368" t="inlineStr"/>
      <c r="P4368" t="inlineStr">
        <is>
          <t>YX24TXV , Car - Electric , Kia , E-Niro</t>
        </is>
      </c>
      <c r="Q4368" t="inlineStr">
        <is>
          <t>NGED</t>
        </is>
      </c>
      <c r="R4368" t="b">
        <v>1</v>
      </c>
    </row>
    <row r="4369">
      <c r="A4369" t="inlineStr">
        <is>
          <t>5 May 2026 / Finn Dobson</t>
        </is>
      </c>
      <c r="B4369" t="inlineStr">
        <is>
          <t>Infrastructure &amp; Utilities</t>
        </is>
      </c>
      <c r="C4369" t="inlineStr">
        <is>
          <t>UKPN</t>
        </is>
      </c>
      <c r="D4369" t="inlineStr">
        <is>
          <t>YW73CWR , Car - Electric , Kia , E-Niro</t>
        </is>
      </c>
      <c r="E4369" t="inlineStr">
        <is>
          <t>YW73CWR , Car - Electric , Kia , E-Niro</t>
        </is>
      </c>
      <c r="F4369" t="inlineStr">
        <is>
          <t>YW73CWR , Car - Electric , Kia , E-Niro</t>
        </is>
      </c>
      <c r="G4369" t="inlineStr">
        <is>
          <t>Finn Dobson</t>
        </is>
      </c>
      <c r="H4369" t="inlineStr">
        <is>
          <t>Car - Electric (GC Owned)</t>
        </is>
      </c>
      <c r="I4369" t="inlineStr">
        <is>
          <t>Daily/ Weekly Vehicle Inspection</t>
        </is>
      </c>
      <c r="J4369" t="inlineStr">
        <is>
          <t>N/A</t>
        </is>
      </c>
      <c r="K4369" t="inlineStr">
        <is>
          <t>Finn Dobson</t>
        </is>
      </c>
      <c r="L4369" t="inlineStr">
        <is>
          <t>05/05/2026 11:54</t>
        </is>
      </c>
      <c r="M4369" t="inlineStr">
        <is>
          <t>None</t>
        </is>
      </c>
      <c r="N4369" t="inlineStr">
        <is>
          <t>&lt;p&gt;&lt;/p&gt;</t>
        </is>
      </c>
      <c r="O4369" t="inlineStr"/>
      <c r="P4369" t="inlineStr">
        <is>
          <t>YW73CWR , Car - Electric , Kia , E-Niro</t>
        </is>
      </c>
      <c r="Q4369" t="inlineStr">
        <is>
          <t>UKPN</t>
        </is>
      </c>
      <c r="R4369" t="b">
        <v>1</v>
      </c>
    </row>
    <row r="4370">
      <c r="A4370" t="inlineStr">
        <is>
          <t>5 May 2026 / 6617 Ashdown Tree Limited 1</t>
        </is>
      </c>
      <c r="B4370" t="inlineStr">
        <is>
          <t>Infrastructure &amp; Utilities</t>
        </is>
      </c>
      <c r="C4370" t="inlineStr">
        <is>
          <t>UKPN</t>
        </is>
      </c>
      <c r="D4370" t="inlineStr">
        <is>
          <t>GU11LKD , 4x4 , Land Rover , Defender</t>
        </is>
      </c>
      <c r="E4370" t="inlineStr">
        <is>
          <t>GU11LKD , 4x4 , Land Rover , Defender</t>
        </is>
      </c>
      <c r="F4370" t="inlineStr">
        <is>
          <t>GU11LKD , 4x4 , Land Rover , Defender</t>
        </is>
      </c>
      <c r="G4370" t="inlineStr">
        <is>
          <t>Dan</t>
        </is>
      </c>
      <c r="H4370" t="inlineStr">
        <is>
          <t>4x4</t>
        </is>
      </c>
      <c r="I4370" t="inlineStr">
        <is>
          <t>Daily/ Weekly Vehicle Inspection</t>
        </is>
      </c>
      <c r="J4370" t="inlineStr">
        <is>
          <t>N/A</t>
        </is>
      </c>
      <c r="K4370" t="inlineStr">
        <is>
          <t>6617 Ashdown Tree Limited - Team 2</t>
        </is>
      </c>
      <c r="L4370" t="inlineStr">
        <is>
          <t>05/05/2026 13:51</t>
        </is>
      </c>
      <c r="M4370" t="inlineStr">
        <is>
          <t>None</t>
        </is>
      </c>
      <c r="N4370" t="inlineStr">
        <is>
          <t>&lt;p&gt;&lt;/p&gt;</t>
        </is>
      </c>
      <c r="O4370" t="inlineStr"/>
      <c r="P4370" t="inlineStr">
        <is>
          <t>GU11LKD , 4x4 , Land Rover , Defender</t>
        </is>
      </c>
      <c r="Q4370" t="inlineStr">
        <is>
          <t>UKPN</t>
        </is>
      </c>
      <c r="R4370" t="b">
        <v>1</v>
      </c>
    </row>
    <row r="4371">
      <c r="A4371" t="inlineStr">
        <is>
          <t>5 May 2026 / Christopher Simeoli</t>
        </is>
      </c>
      <c r="B4371" t="inlineStr">
        <is>
          <t>Infrastructure &amp; Utilities</t>
        </is>
      </c>
      <c r="C4371" t="inlineStr">
        <is>
          <t>NGED</t>
        </is>
      </c>
      <c r="D4371" t="inlineStr">
        <is>
          <t>EO73KVB , Car - Electric , Kia , Niro</t>
        </is>
      </c>
      <c r="E4371" t="inlineStr">
        <is>
          <t>EO73KVB , Car - Electric , Kia , Niro</t>
        </is>
      </c>
      <c r="F4371" t="inlineStr">
        <is>
          <t>EO73KVB , Car - Electric , Kia , Niro</t>
        </is>
      </c>
      <c r="G4371" t="inlineStr">
        <is>
          <t>Chris Simeoli</t>
        </is>
      </c>
      <c r="H4371" t="inlineStr">
        <is>
          <t>Car - Electric (GC Owned)</t>
        </is>
      </c>
      <c r="I4371" t="inlineStr">
        <is>
          <t>Daily/ Weekly Vehicle Inspection</t>
        </is>
      </c>
      <c r="J4371" t="inlineStr">
        <is>
          <t>N/A</t>
        </is>
      </c>
      <c r="K4371" t="inlineStr">
        <is>
          <t>Christopher Simeoli</t>
        </is>
      </c>
      <c r="L4371" t="inlineStr">
        <is>
          <t>05/05/2026 14:53</t>
        </is>
      </c>
      <c r="M4371" t="inlineStr">
        <is>
          <t>None</t>
        </is>
      </c>
      <c r="N4371" t="inlineStr">
        <is>
          <t>&lt;p&gt;&lt;/p&gt;</t>
        </is>
      </c>
      <c r="O4371" t="inlineStr"/>
      <c r="P4371" t="inlineStr">
        <is>
          <t>EO73KVB , Car - Electric , Kia , Niro</t>
        </is>
      </c>
      <c r="Q4371" t="inlineStr">
        <is>
          <t>NGED</t>
        </is>
      </c>
      <c r="R4371" t="b">
        <v>1</v>
      </c>
    </row>
    <row r="4372">
      <c r="A4372" t="inlineStr">
        <is>
          <t>5 May 2026 / Gerard Hendry</t>
        </is>
      </c>
      <c r="B4372" t="inlineStr">
        <is>
          <t>Infrastructure &amp; Utilities</t>
        </is>
      </c>
      <c r="C4372" t="inlineStr">
        <is>
          <t>SSE</t>
        </is>
      </c>
      <c r="D4372" t="inlineStr"/>
      <c r="E4372" t="inlineStr"/>
      <c r="F4372" t="inlineStr"/>
      <c r="G4372" t="inlineStr">
        <is>
          <t>Gerard Hendry</t>
        </is>
      </c>
      <c r="H4372" t="inlineStr">
        <is>
          <t>Car - Petrol</t>
        </is>
      </c>
      <c r="I4372" t="inlineStr">
        <is>
          <t>Daily/ Weekly Vehicle Inspection</t>
        </is>
      </c>
      <c r="J4372" t="inlineStr">
        <is>
          <t>N/A</t>
        </is>
      </c>
      <c r="K4372" t="inlineStr">
        <is>
          <t>Gerard Hendry</t>
        </is>
      </c>
      <c r="L4372" t="inlineStr">
        <is>
          <t>05/05/2026 16:51</t>
        </is>
      </c>
      <c r="M4372" t="inlineStr">
        <is>
          <t>None</t>
        </is>
      </c>
      <c r="N4372" t="inlineStr">
        <is>
          <t>&lt;p&gt;&lt;/p&gt;</t>
        </is>
      </c>
      <c r="O4372" t="inlineStr"/>
      <c r="P4372" t="inlineStr"/>
      <c r="Q4372" t="inlineStr">
        <is>
          <t>SSE</t>
        </is>
      </c>
      <c r="R4372" t="b">
        <v>1</v>
      </c>
    </row>
    <row r="4373">
      <c r="A4373" t="inlineStr">
        <is>
          <t>6 May 2026 / Benet Jones</t>
        </is>
      </c>
      <c r="B4373" t="inlineStr">
        <is>
          <t>Infrastructure &amp; Utilities</t>
        </is>
      </c>
      <c r="C4373" t="inlineStr">
        <is>
          <t>NGED</t>
        </is>
      </c>
      <c r="D4373" t="inlineStr">
        <is>
          <t>GF71TXC , Car - Electric , Tesla , Model 3 Long Range AWD</t>
        </is>
      </c>
      <c r="E4373" t="inlineStr">
        <is>
          <t>GF71TXC , Car - Electric , Tesla , Model 3 Long Range AWD</t>
        </is>
      </c>
      <c r="F4373" t="inlineStr">
        <is>
          <t>GF71TXC , Car - Electric , Tesla , Model 3 Long Range AWD</t>
        </is>
      </c>
      <c r="G4373" t="inlineStr">
        <is>
          <t xml:space="preserve">Benet Jones </t>
        </is>
      </c>
      <c r="H4373" t="inlineStr">
        <is>
          <t>Car - Electric (GC Owned)</t>
        </is>
      </c>
      <c r="I4373" t="inlineStr">
        <is>
          <t>Daily/ Weekly Vehicle Inspection</t>
        </is>
      </c>
      <c r="J4373" t="inlineStr">
        <is>
          <t>N/A</t>
        </is>
      </c>
      <c r="K4373" t="inlineStr">
        <is>
          <t>Benet Jones</t>
        </is>
      </c>
      <c r="L4373" t="inlineStr">
        <is>
          <t>06/05/2026 05:52</t>
        </is>
      </c>
      <c r="M4373" t="inlineStr">
        <is>
          <t>None</t>
        </is>
      </c>
      <c r="N4373" t="inlineStr">
        <is>
          <t>&lt;p&gt;&lt;/p&gt;</t>
        </is>
      </c>
      <c r="O4373" t="inlineStr"/>
      <c r="P4373" t="inlineStr">
        <is>
          <t>GF71TXC , Car - Electric , Tesla , Model 3 Long Range AWD</t>
        </is>
      </c>
      <c r="Q4373" t="inlineStr">
        <is>
          <t>NGED</t>
        </is>
      </c>
      <c r="R4373" t="b">
        <v>1</v>
      </c>
    </row>
    <row r="4374">
      <c r="A4374" t="inlineStr">
        <is>
          <t>6 May 2026 / Mark Davies</t>
        </is>
      </c>
      <c r="B4374" t="inlineStr">
        <is>
          <t>Infrastructure &amp; Utilities</t>
        </is>
      </c>
      <c r="C4374" t="inlineStr">
        <is>
          <t>NGED</t>
        </is>
      </c>
      <c r="D4374" t="inlineStr">
        <is>
          <t>GJ20USE , Car - Electric , Tesla , Model 3 Long Range AWD</t>
        </is>
      </c>
      <c r="E4374" t="inlineStr">
        <is>
          <t>GJ20USE , Car - Electric , Tesla , Model 3 Long Range AWD</t>
        </is>
      </c>
      <c r="F4374" t="inlineStr">
        <is>
          <t>GJ20USE , Car - Electric , Tesla , Model 3 Long Range AWD</t>
        </is>
      </c>
      <c r="G4374" t="inlineStr">
        <is>
          <t xml:space="preserve">Mark Davies </t>
        </is>
      </c>
      <c r="H4374" t="inlineStr">
        <is>
          <t>Car - Electric (GC Owned)</t>
        </is>
      </c>
      <c r="I4374" t="inlineStr">
        <is>
          <t>Daily/ Weekly Vehicle Inspection</t>
        </is>
      </c>
      <c r="J4374" t="inlineStr">
        <is>
          <t>N/A</t>
        </is>
      </c>
      <c r="K4374" t="inlineStr">
        <is>
          <t>Mark Davies</t>
        </is>
      </c>
      <c r="L4374" t="inlineStr">
        <is>
          <t>06/05/2026 06:51</t>
        </is>
      </c>
      <c r="M4374" t="inlineStr">
        <is>
          <t>None</t>
        </is>
      </c>
      <c r="N4374" t="inlineStr">
        <is>
          <t>&lt;p&gt;&lt;/p&gt;</t>
        </is>
      </c>
      <c r="O4374" t="inlineStr"/>
      <c r="P4374" t="inlineStr">
        <is>
          <t>GJ20USE , Car - Electric , Tesla , Model 3 Long Range AWD</t>
        </is>
      </c>
      <c r="Q4374" t="inlineStr">
        <is>
          <t>NGED</t>
        </is>
      </c>
      <c r="R4374" t="b">
        <v>1</v>
      </c>
    </row>
    <row r="4375">
      <c r="A4375" t="inlineStr">
        <is>
          <t>6 May 2026 / 7806 Optimum Tree Services Ltd</t>
        </is>
      </c>
      <c r="B4375" t="inlineStr">
        <is>
          <t>Infrastructure &amp; Utilities</t>
        </is>
      </c>
      <c r="C4375" t="inlineStr">
        <is>
          <t>UKPN</t>
        </is>
      </c>
      <c r="D4375" t="inlineStr">
        <is>
          <t>SA9st6p0001283093 , Towed Chipper , Forst  , St6pHD</t>
        </is>
      </c>
      <c r="E4375" t="inlineStr">
        <is>
          <t>SA9st6p0001283093 , Towed Chipper , Forst  , St6pHD</t>
        </is>
      </c>
      <c r="F4375" t="inlineStr">
        <is>
          <t>SA9st6p0001283093 , Towed Chipper , Forst  , St6pHD</t>
        </is>
      </c>
      <c r="G4375" t="inlineStr">
        <is>
          <t xml:space="preserve">Abraham Davies </t>
        </is>
      </c>
      <c r="H4375" t="inlineStr">
        <is>
          <t>Towed Chipper</t>
        </is>
      </c>
      <c r="I4375" t="inlineStr">
        <is>
          <t>Daily/ Weekly Vehicle Inspection</t>
        </is>
      </c>
      <c r="J4375" t="inlineStr">
        <is>
          <t>N/A</t>
        </is>
      </c>
      <c r="K4375" t="inlineStr">
        <is>
          <t>7806 Optimum Tree Services Ltd</t>
        </is>
      </c>
      <c r="L4375" t="inlineStr">
        <is>
          <t>06/05/2026 07:54</t>
        </is>
      </c>
      <c r="M4375" t="inlineStr">
        <is>
          <t>None</t>
        </is>
      </c>
      <c r="N4375" t="inlineStr">
        <is>
          <t>&lt;p&gt;&lt;/p&gt;</t>
        </is>
      </c>
      <c r="O4375" t="inlineStr"/>
      <c r="P4375" t="inlineStr">
        <is>
          <t>SA9st6p0001283093 , Towed Chipper , Forst  , St6pHD</t>
        </is>
      </c>
      <c r="Q4375" t="inlineStr">
        <is>
          <t>UKPN</t>
        </is>
      </c>
      <c r="R4375" t="b">
        <v>1</v>
      </c>
    </row>
    <row r="4376">
      <c r="A4376" t="inlineStr">
        <is>
          <t>6 May 2026 / 7995 Green Net Eco Ltd 2</t>
        </is>
      </c>
      <c r="B4376" t="inlineStr">
        <is>
          <t>Infrastructure &amp; Utilities</t>
        </is>
      </c>
      <c r="C4376" t="inlineStr">
        <is>
          <t>UKPN</t>
        </is>
      </c>
      <c r="D4376" t="inlineStr">
        <is>
          <t>SCK80000075030058 , Flat Bed Trailer , IFOR Williams , LM187G3</t>
        </is>
      </c>
      <c r="E4376" t="inlineStr">
        <is>
          <t>SCK80000075030058 , Flat Bed Trailer , IFOR Williams , LM187G3</t>
        </is>
      </c>
      <c r="F4376" t="inlineStr">
        <is>
          <t>SCK80000075030058 , Flat Bed Trailer , IFOR Williams , LM187G3</t>
        </is>
      </c>
      <c r="G4376" t="inlineStr">
        <is>
          <t>Thomas Playford</t>
        </is>
      </c>
      <c r="H4376" t="inlineStr">
        <is>
          <t>Flat Bed Trailer</t>
        </is>
      </c>
      <c r="I4376" t="inlineStr">
        <is>
          <t>Daily/ Weekly Vehicle Inspection</t>
        </is>
      </c>
      <c r="J4376" t="inlineStr">
        <is>
          <t>N/A</t>
        </is>
      </c>
      <c r="K4376" t="inlineStr">
        <is>
          <t>7995 Green Net Eco Ltd 2</t>
        </is>
      </c>
      <c r="L4376" t="inlineStr">
        <is>
          <t>06/05/2026 07:56</t>
        </is>
      </c>
      <c r="M4376" t="inlineStr">
        <is>
          <t>None</t>
        </is>
      </c>
      <c r="N4376" t="inlineStr">
        <is>
          <t>&lt;p&gt;&lt;/p&gt;</t>
        </is>
      </c>
      <c r="O4376" t="inlineStr"/>
      <c r="P4376" t="inlineStr">
        <is>
          <t>SCK80000075030058 , Flat Bed Trailer , IFOR Williams , LM187G3</t>
        </is>
      </c>
      <c r="Q4376" t="inlineStr">
        <is>
          <t>UKPN</t>
        </is>
      </c>
      <c r="R4376" t="b">
        <v>1</v>
      </c>
    </row>
    <row r="4377">
      <c r="A4377" t="inlineStr">
        <is>
          <t>6 May 2026 / 7806 Optimum Tree Services Ltd</t>
        </is>
      </c>
      <c r="B4377" t="inlineStr">
        <is>
          <t>Infrastructure &amp; Utilities</t>
        </is>
      </c>
      <c r="C4377" t="inlineStr">
        <is>
          <t>UKPN</t>
        </is>
      </c>
      <c r="D4377" t="inlineStr">
        <is>
          <t>WD14EVB , MEWP , Land Rover , Defender</t>
        </is>
      </c>
      <c r="E4377" t="inlineStr">
        <is>
          <t>WD14EVB , MEWP , Land Rover , Defender</t>
        </is>
      </c>
      <c r="F4377" t="inlineStr">
        <is>
          <t>WD14EVB , MEWP , Land Rover , Defender</t>
        </is>
      </c>
      <c r="G4377" t="inlineStr">
        <is>
          <t xml:space="preserve">Abraham Davies </t>
        </is>
      </c>
      <c r="H4377" t="inlineStr">
        <is>
          <t>4x4</t>
        </is>
      </c>
      <c r="I4377" t="inlineStr">
        <is>
          <t>Daily/ Weekly Vehicle Inspection</t>
        </is>
      </c>
      <c r="J4377" t="inlineStr">
        <is>
          <t>N/A</t>
        </is>
      </c>
      <c r="K4377" t="inlineStr">
        <is>
          <t>7806 Optimum Tree Services Ltd</t>
        </is>
      </c>
      <c r="L4377" t="inlineStr">
        <is>
          <t>06/05/2026 07:57</t>
        </is>
      </c>
      <c r="M4377" t="inlineStr">
        <is>
          <t>None</t>
        </is>
      </c>
      <c r="N4377" t="inlineStr">
        <is>
          <t>&lt;p&gt;&lt;/p&gt;</t>
        </is>
      </c>
      <c r="O4377" t="inlineStr"/>
      <c r="P4377" t="inlineStr">
        <is>
          <t>WD14EVB , MEWP , Land Rover , Defender</t>
        </is>
      </c>
      <c r="Q4377" t="inlineStr">
        <is>
          <t>UKPN</t>
        </is>
      </c>
      <c r="R4377" t="b">
        <v>1</v>
      </c>
    </row>
    <row r="4378">
      <c r="A4378" t="inlineStr">
        <is>
          <t>6 May 2026 / 7995 Green Net Eco Ltd 2</t>
        </is>
      </c>
      <c r="B4378" t="inlineStr">
        <is>
          <t>Infrastructure &amp; Utilities</t>
        </is>
      </c>
      <c r="C4378" t="inlineStr">
        <is>
          <t>UKPN</t>
        </is>
      </c>
      <c r="D4378" t="inlineStr">
        <is>
          <t>LK15KRZ , 4x4 , Landrover , Defender</t>
        </is>
      </c>
      <c r="E4378" t="inlineStr">
        <is>
          <t>LK15KRZ , 4x4 , Landrover , Defender</t>
        </is>
      </c>
      <c r="F4378" t="inlineStr">
        <is>
          <t>LK15KRZ , 4x4 , Landrover , Defender</t>
        </is>
      </c>
      <c r="G4378" t="inlineStr">
        <is>
          <t>Thomas Playford</t>
        </is>
      </c>
      <c r="H4378" t="inlineStr">
        <is>
          <t>4x4</t>
        </is>
      </c>
      <c r="I4378" t="inlineStr">
        <is>
          <t>Daily/ Weekly Vehicle Inspection</t>
        </is>
      </c>
      <c r="J4378" t="inlineStr">
        <is>
          <t>N/A</t>
        </is>
      </c>
      <c r="K4378" t="inlineStr">
        <is>
          <t>7995 Green Net Eco Ltd 2</t>
        </is>
      </c>
      <c r="L4378" t="inlineStr">
        <is>
          <t>06/05/2026 07:58</t>
        </is>
      </c>
      <c r="M4378" t="inlineStr">
        <is>
          <t>None</t>
        </is>
      </c>
      <c r="N4378" t="inlineStr">
        <is>
          <t>&lt;p&gt;&lt;/p&gt;</t>
        </is>
      </c>
      <c r="O4378" t="inlineStr"/>
      <c r="P4378" t="inlineStr">
        <is>
          <t>LK15KRZ , 4x4 , Landrover , Defender</t>
        </is>
      </c>
      <c r="Q4378" t="inlineStr">
        <is>
          <t>UKPN</t>
        </is>
      </c>
      <c r="R4378" t="b">
        <v>1</v>
      </c>
    </row>
    <row r="4379">
      <c r="A4379" t="inlineStr">
        <is>
          <t>6 May 2026 / 7800 MAC Tree Surgery and Fencing Ltd</t>
        </is>
      </c>
      <c r="B4379" t="inlineStr">
        <is>
          <t>Infrastructure &amp; Utilities</t>
        </is>
      </c>
      <c r="C4379" t="inlineStr">
        <is>
          <t>UKPN</t>
        </is>
      </c>
      <c r="D4379" t="inlineStr">
        <is>
          <t>0 , Plant Trailer , Towmate , 2.8t</t>
        </is>
      </c>
      <c r="E4379" t="inlineStr">
        <is>
          <t>0 , Plant Trailer , Towmate , 2.8t</t>
        </is>
      </c>
      <c r="F4379" t="inlineStr">
        <is>
          <t>0 , Plant Trailer , Towmate , 2.8t</t>
        </is>
      </c>
      <c r="G4379" t="inlineStr">
        <is>
          <t xml:space="preserve">Patrick oshea </t>
        </is>
      </c>
      <c r="H4379" t="inlineStr">
        <is>
          <t>Plant Trailer</t>
        </is>
      </c>
      <c r="I4379" t="inlineStr">
        <is>
          <t>Daily/ Weekly Vehicle Inspection</t>
        </is>
      </c>
      <c r="J4379" t="inlineStr">
        <is>
          <t>N/A</t>
        </is>
      </c>
      <c r="K4379" t="inlineStr">
        <is>
          <t>7800 MAC Tree Surgery and Fencing Ltd</t>
        </is>
      </c>
      <c r="L4379" t="inlineStr">
        <is>
          <t>06/05/2026 07:59</t>
        </is>
      </c>
      <c r="M4379" t="inlineStr">
        <is>
          <t>None</t>
        </is>
      </c>
      <c r="N4379" t="inlineStr">
        <is>
          <t>&lt;p&gt;&lt;/p&gt;</t>
        </is>
      </c>
      <c r="O4379" t="inlineStr"/>
      <c r="P4379" t="inlineStr">
        <is>
          <t>0 , Plant Trailer , Towmate , 2.8t</t>
        </is>
      </c>
      <c r="Q4379" t="inlineStr">
        <is>
          <t>UKPN</t>
        </is>
      </c>
      <c r="R4379" t="b">
        <v>1</v>
      </c>
    </row>
    <row r="4380">
      <c r="A4380" t="inlineStr">
        <is>
          <t>6 May 2026 / 7800 MAC Tree Surgery and Fencing Ltd / Utilities / UKPN</t>
        </is>
      </c>
      <c r="B4380" t="inlineStr">
        <is>
          <t>Utilities</t>
        </is>
      </c>
      <c r="C4380" t="inlineStr">
        <is>
          <t>UKPN</t>
        </is>
      </c>
      <c r="D4380" t="inlineStr">
        <is>
          <t>AY68DAA , 4x4 , Izuzu , Dmax</t>
        </is>
      </c>
      <c r="E4380" t="inlineStr">
        <is>
          <t>AY68DAA , 4x4 , Izuzu , Dmax</t>
        </is>
      </c>
      <c r="F4380" t="inlineStr">
        <is>
          <t>AY68DAA , 4x4 , Izuzu , Dmax</t>
        </is>
      </c>
      <c r="G4380" t="inlineStr">
        <is>
          <t xml:space="preserve">Lewis Mac </t>
        </is>
      </c>
      <c r="H4380" t="inlineStr">
        <is>
          <t>4x4</t>
        </is>
      </c>
      <c r="I4380" t="inlineStr">
        <is>
          <t>Daily/ Weekly Vehicle Inspection</t>
        </is>
      </c>
      <c r="J4380" t="inlineStr">
        <is>
          <t>N/A</t>
        </is>
      </c>
      <c r="K4380" t="inlineStr">
        <is>
          <t>7800 MAC Tree Surgery and Fencing Ltd</t>
        </is>
      </c>
      <c r="L4380" t="inlineStr">
        <is>
          <t>06/05/2026 08:00</t>
        </is>
      </c>
      <c r="M4380" t="inlineStr">
        <is>
          <t>None</t>
        </is>
      </c>
      <c r="N4380" t="inlineStr">
        <is>
          <t>&lt;p&gt;&lt;/p&gt;</t>
        </is>
      </c>
      <c r="O4380" t="inlineStr"/>
      <c r="P4380" t="inlineStr">
        <is>
          <t>AY68DAA , 4x4 , Izuzu , Dmax</t>
        </is>
      </c>
      <c r="Q4380" t="inlineStr">
        <is>
          <t>UKPN</t>
        </is>
      </c>
      <c r="R4380" t="b">
        <v>1</v>
      </c>
    </row>
    <row r="4381">
      <c r="A4381" t="inlineStr">
        <is>
          <t>6 May 2026 / 7889 Tree Tech Suffolk Ltd</t>
        </is>
      </c>
      <c r="B4381" t="inlineStr">
        <is>
          <t>Utilities &amp; Inland Waterways</t>
        </is>
      </c>
      <c r="C4381" t="inlineStr">
        <is>
          <t>UKPN</t>
        </is>
      </c>
      <c r="D4381" t="inlineStr">
        <is>
          <t>Tipper - Mercedes - Sprinter - NS06TTS4x4 - Isuzu - D-max - NS03 TTSTow Chipper - Jenson - A530L - 5521063948</t>
        </is>
      </c>
      <c r="E4381" t="inlineStr">
        <is>
          <t>Tipper - Mercedes - Sprinter - NS06TTS4x4 - Isuzu - D-max - NS03 TTSTow Chipper - Jenson - A530L - 5521063948</t>
        </is>
      </c>
      <c r="F4381" t="inlineStr">
        <is>
          <t>Tipper - Mercedes - Sprinter - NS06TTS4x4 - Isuzu - D-max - NS03 TTSTow Chipper - Jenson - A530L - 5521063948</t>
        </is>
      </c>
      <c r="G4381" t="inlineStr">
        <is>
          <t xml:space="preserve">Danny ApplebyDan brown Danny Appleby </t>
        </is>
      </c>
      <c r="H4381" t="inlineStr">
        <is>
          <t>Tipper4x4Towed Chipper</t>
        </is>
      </c>
      <c r="I4381" t="inlineStr">
        <is>
          <t>Daily/ Weekly Vehicle Inspection</t>
        </is>
      </c>
      <c r="J4381" t="inlineStr">
        <is>
          <t>N/A</t>
        </is>
      </c>
      <c r="K4381" t="inlineStr">
        <is>
          <t>7889 Tree Tech Suffolk Ltd</t>
        </is>
      </c>
      <c r="L4381" t="inlineStr">
        <is>
          <t>06/05/2026 08:02</t>
        </is>
      </c>
      <c r="M4381" t="inlineStr">
        <is>
          <t>None</t>
        </is>
      </c>
      <c r="N4381" t="inlineStr">
        <is>
          <t>&lt;p&gt;&lt;/p&gt;</t>
        </is>
      </c>
      <c r="O4381" t="inlineStr"/>
      <c r="P4381" t="inlineStr">
        <is>
          <t>Tipper - Mercedes - Sprinter - NS06TTS4x4 - Isuzu - D-max - NS03 TTSTow Chipper - Jenson - A530L - 5521063948</t>
        </is>
      </c>
      <c r="Q4381" t="inlineStr">
        <is>
          <t>UKPN</t>
        </is>
      </c>
      <c r="R4381" t="b">
        <v>1</v>
      </c>
    </row>
    <row r="4382">
      <c r="A4382" t="inlineStr">
        <is>
          <t>6 May 2026 / 6617 Ashdown Tree Limited</t>
        </is>
      </c>
      <c r="B4382" t="inlineStr">
        <is>
          <t>Infrastructure &amp; Utilities</t>
        </is>
      </c>
      <c r="C4382" t="inlineStr">
        <is>
          <t>UKPN</t>
        </is>
      </c>
      <c r="D4382" t="inlineStr">
        <is>
          <t>AV69 LVR , Tipper , Transit , Ford</t>
        </is>
      </c>
      <c r="E4382" t="inlineStr">
        <is>
          <t>AV69 LVR , Tipper , Transit , Ford</t>
        </is>
      </c>
      <c r="F4382" t="inlineStr">
        <is>
          <t>AV69 LVR , Tipper , Transit , Ford</t>
        </is>
      </c>
      <c r="G4382" t="inlineStr">
        <is>
          <t xml:space="preserve">Jamie copper </t>
        </is>
      </c>
      <c r="H4382" t="inlineStr">
        <is>
          <t>Tipper</t>
        </is>
      </c>
      <c r="I4382" t="inlineStr">
        <is>
          <t>Daily/ Weekly Vehicle Inspection</t>
        </is>
      </c>
      <c r="J4382" t="inlineStr">
        <is>
          <t>N/A</t>
        </is>
      </c>
      <c r="K4382" t="inlineStr">
        <is>
          <t>6617 Ashdown Tree Limited</t>
        </is>
      </c>
      <c r="L4382" t="inlineStr">
        <is>
          <t>06/05/2026 08:03</t>
        </is>
      </c>
      <c r="M4382" t="inlineStr">
        <is>
          <t>None</t>
        </is>
      </c>
      <c r="N4382" t="inlineStr">
        <is>
          <t>&lt;p&gt;&lt;/p&gt;</t>
        </is>
      </c>
      <c r="O4382" t="inlineStr"/>
      <c r="P4382" t="inlineStr">
        <is>
          <t>AV69 LVR , Tipper , Transit , Ford</t>
        </is>
      </c>
      <c r="Q4382" t="inlineStr">
        <is>
          <t>UKPN</t>
        </is>
      </c>
      <c r="R4382" t="b">
        <v>1</v>
      </c>
    </row>
    <row r="4383">
      <c r="A4383" t="inlineStr">
        <is>
          <t>6 May 2026 / 6617 Ashdown Tree Limited</t>
        </is>
      </c>
      <c r="B4383" t="inlineStr">
        <is>
          <t>Infrastructure &amp; Utilities</t>
        </is>
      </c>
      <c r="C4383" t="inlineStr">
        <is>
          <t>UKPN</t>
        </is>
      </c>
      <c r="D4383" t="inlineStr">
        <is>
          <t>Tr55 app , 4x4 , Land Rover  , Discovery 4</t>
        </is>
      </c>
      <c r="E4383" t="inlineStr">
        <is>
          <t>Tr55 app , 4x4 , Land Rover  , Discovery 4</t>
        </is>
      </c>
      <c r="F4383" t="inlineStr">
        <is>
          <t>Tr55 app , 4x4 , Land Rover  , Discovery 4</t>
        </is>
      </c>
      <c r="G4383" t="inlineStr">
        <is>
          <t>A Horwood</t>
        </is>
      </c>
      <c r="H4383" t="inlineStr">
        <is>
          <t>4x4</t>
        </is>
      </c>
      <c r="I4383" t="inlineStr">
        <is>
          <t>Daily/ Weekly Vehicle Inspection</t>
        </is>
      </c>
      <c r="J4383" t="inlineStr">
        <is>
          <t>N/A</t>
        </is>
      </c>
      <c r="K4383" t="inlineStr">
        <is>
          <t>6617 Ashdown Tree Limited</t>
        </is>
      </c>
      <c r="L4383" t="inlineStr">
        <is>
          <t>06/05/2026 08:04</t>
        </is>
      </c>
      <c r="M4383" t="inlineStr">
        <is>
          <t>None</t>
        </is>
      </c>
      <c r="N4383" t="inlineStr">
        <is>
          <t>&lt;p&gt;&lt;/p&gt;</t>
        </is>
      </c>
      <c r="O4383" t="inlineStr"/>
      <c r="P4383" t="inlineStr">
        <is>
          <t>Tr55 app , 4x4 , Land Rover  , Discovery 4</t>
        </is>
      </c>
      <c r="Q4383" t="inlineStr">
        <is>
          <t>UKPN</t>
        </is>
      </c>
      <c r="R4383" t="b">
        <v>1</v>
      </c>
    </row>
    <row r="4384">
      <c r="A4384" t="inlineStr">
        <is>
          <t>6 May 2026 / 7996 M G Tree Surgery Ltd 1</t>
        </is>
      </c>
      <c r="B4384" t="inlineStr">
        <is>
          <t>Infrastructure &amp; Utilities</t>
        </is>
      </c>
      <c r="C4384" t="inlineStr">
        <is>
          <t>UKPN</t>
        </is>
      </c>
      <c r="D4384" t="inlineStr"/>
      <c r="E4384" t="inlineStr"/>
      <c r="F4384" t="inlineStr"/>
      <c r="G4384" t="inlineStr">
        <is>
          <t>Anthony Gale</t>
        </is>
      </c>
      <c r="H4384" t="inlineStr">
        <is>
          <t>Towed Chipper</t>
        </is>
      </c>
      <c r="I4384" t="inlineStr">
        <is>
          <t>Daily/ Weekly Vehicle Inspection</t>
        </is>
      </c>
      <c r="J4384" t="inlineStr">
        <is>
          <t>N/A</t>
        </is>
      </c>
      <c r="K4384" t="inlineStr">
        <is>
          <t>7996 M G Tree Surgery Ltd 1</t>
        </is>
      </c>
      <c r="L4384" t="inlineStr">
        <is>
          <t>06/05/2026 08:05</t>
        </is>
      </c>
      <c r="M4384" t="inlineStr">
        <is>
          <t>None</t>
        </is>
      </c>
      <c r="N4384" t="inlineStr">
        <is>
          <t>&lt;p&gt;&lt;/p&gt;</t>
        </is>
      </c>
      <c r="O4384" t="inlineStr"/>
      <c r="P4384" t="inlineStr"/>
      <c r="Q4384" t="inlineStr">
        <is>
          <t>UKPN</t>
        </is>
      </c>
      <c r="R4384" t="b">
        <v>1</v>
      </c>
    </row>
    <row r="4385">
      <c r="A4385" t="inlineStr">
        <is>
          <t>6 May 2026 / 7996 M G Tree Surgery Ltd 1</t>
        </is>
      </c>
      <c r="B4385" t="inlineStr">
        <is>
          <t>Infrastructure &amp; Utilities</t>
        </is>
      </c>
      <c r="C4385" t="inlineStr">
        <is>
          <t>UKPN</t>
        </is>
      </c>
      <c r="D4385" t="inlineStr">
        <is>
          <t>KX20 BCE , Tipper , Isuzu , D-Max</t>
        </is>
      </c>
      <c r="E4385" t="inlineStr">
        <is>
          <t>KX20 BCE , Tipper , Isuzu , D-Max</t>
        </is>
      </c>
      <c r="F4385" t="inlineStr">
        <is>
          <t>KX20 BCE , Tipper , Isuzu , D-Max</t>
        </is>
      </c>
      <c r="G4385" t="inlineStr">
        <is>
          <t>Anthony Gale</t>
        </is>
      </c>
      <c r="H4385" t="inlineStr">
        <is>
          <t>Pickup Truck</t>
        </is>
      </c>
      <c r="I4385" t="inlineStr">
        <is>
          <t>Daily/ Weekly Vehicle Inspection</t>
        </is>
      </c>
      <c r="J4385" t="inlineStr">
        <is>
          <t>N/A</t>
        </is>
      </c>
      <c r="K4385" t="inlineStr">
        <is>
          <t>7996 M G Tree Surgery Ltd 1</t>
        </is>
      </c>
      <c r="L4385" t="inlineStr">
        <is>
          <t>06/05/2026 08:06</t>
        </is>
      </c>
      <c r="M4385" t="inlineStr">
        <is>
          <t>None</t>
        </is>
      </c>
      <c r="N4385" t="inlineStr">
        <is>
          <t>&lt;p&gt;&lt;/p&gt;</t>
        </is>
      </c>
      <c r="O4385" t="inlineStr"/>
      <c r="P4385" t="inlineStr">
        <is>
          <t>KX20 BCE , Tipper , Isuzu , D-Max</t>
        </is>
      </c>
      <c r="Q4385" t="inlineStr">
        <is>
          <t>UKPN</t>
        </is>
      </c>
      <c r="R4385" t="b">
        <v>1</v>
      </c>
    </row>
    <row r="4386">
      <c r="A4386" t="inlineStr">
        <is>
          <t>6 May 2026 / Daniel Hackett</t>
        </is>
      </c>
      <c r="B4386" t="inlineStr">
        <is>
          <t>Infrastructure &amp; Utilities</t>
        </is>
      </c>
      <c r="C4386" t="inlineStr">
        <is>
          <t>NGED</t>
        </is>
      </c>
      <c r="D4386" t="inlineStr">
        <is>
          <t>AK70TKJ , Car - Electric , Tesla , Model 3 Long Range AWD</t>
        </is>
      </c>
      <c r="E4386" t="inlineStr">
        <is>
          <t>AK70TKJ , Car - Electric , Tesla , Model 3 Long Range AWD</t>
        </is>
      </c>
      <c r="F4386" t="inlineStr">
        <is>
          <t>AK70TKJ , Car - Electric , Tesla , Model 3 Long Range AWD</t>
        </is>
      </c>
      <c r="G4386" t="inlineStr">
        <is>
          <t xml:space="preserve">Daniel Hackett </t>
        </is>
      </c>
      <c r="H4386" t="inlineStr">
        <is>
          <t>Car - Electric (GC Owned)</t>
        </is>
      </c>
      <c r="I4386" t="inlineStr">
        <is>
          <t>Daily/ Weekly Vehicle Inspection</t>
        </is>
      </c>
      <c r="J4386" t="inlineStr">
        <is>
          <t>N/A</t>
        </is>
      </c>
      <c r="K4386" t="inlineStr">
        <is>
          <t>Daniel Hackett</t>
        </is>
      </c>
      <c r="L4386" t="inlineStr">
        <is>
          <t>06/05/2026 08:53</t>
        </is>
      </c>
      <c r="M4386" t="inlineStr">
        <is>
          <t>None</t>
        </is>
      </c>
      <c r="N4386" t="inlineStr">
        <is>
          <t>&lt;p&gt;&lt;/p&gt;</t>
        </is>
      </c>
      <c r="O4386" t="inlineStr">
        <is>
          <t>Confirm that you have checked this vehicle as per the guidance document and the vehicle is safe and roadworthy:Still have tyre pressure monitor alarm. All pressures are fine and again reported to Tesla
-</t>
        </is>
      </c>
      <c r="P4386" t="inlineStr">
        <is>
          <t>AK70TKJ , Car - Electric , Tesla , Model 3 Long Range AWD</t>
        </is>
      </c>
      <c r="Q4386" t="inlineStr">
        <is>
          <t>NGED</t>
        </is>
      </c>
      <c r="R4386" t="b">
        <v>1</v>
      </c>
    </row>
    <row r="4387">
      <c r="A4387" t="inlineStr">
        <is>
          <t>6 May 2026 / Thomas Nandi</t>
        </is>
      </c>
      <c r="B4387" t="inlineStr">
        <is>
          <t>Infrastructure &amp; Utilities</t>
        </is>
      </c>
      <c r="C4387" t="inlineStr">
        <is>
          <t>SSE</t>
        </is>
      </c>
      <c r="D4387" t="inlineStr"/>
      <c r="E4387" t="inlineStr"/>
      <c r="F4387" t="inlineStr"/>
      <c r="G4387" t="inlineStr">
        <is>
          <t xml:space="preserve">Tom Nandi </t>
        </is>
      </c>
      <c r="H4387" t="inlineStr">
        <is>
          <t>Car - Petrol</t>
        </is>
      </c>
      <c r="I4387" t="inlineStr">
        <is>
          <t>Monthly Vehicle Inspection</t>
        </is>
      </c>
      <c r="J4387" t="inlineStr">
        <is>
          <t>4798</t>
        </is>
      </c>
      <c r="K4387" t="inlineStr">
        <is>
          <t>Thomas Nandi</t>
        </is>
      </c>
      <c r="L4387" t="inlineStr">
        <is>
          <t>06/05/2026 08:56</t>
        </is>
      </c>
      <c r="M4387" t="inlineStr">
        <is>
          <t>None</t>
        </is>
      </c>
      <c r="N4387" t="inlineStr">
        <is>
          <t>&lt;p&gt;&lt;a href="https&amp;#58;//apps.powerapps.com/play/2d567dc9-5d50-4629-a077-f7ccbff3e239?tenantId=3ef9f654-aa07-41b8-88ad-a411c62bd12c&amp;amp;Action=Open&amp;amp;Actionno=9131"&gt;Small nick notes in front left tyre. Doesn't appear to be deep. Get checked&lt;/a&gt;&lt;br&gt;&lt;/p&gt;</t>
        </is>
      </c>
      <c r="O4387" t="inlineStr">
        <is>
          <t>TYRES &amp; TRACKS
What to Check: 
Are all tyres / tracks in good condition, at the correct pressure for the anticipated load
How: Inspect each tyre for tread depth, wear patterns, cuts, or bulges. Check tyre pressure using a gauge and adjust as per manufacturer recommendations. Ensure tracks (if applicable) are in good condition and properly aligned. Verify the presence of a spare tyre or puncture repair kit and its serviceability.
Why: Well-maintained tyres and tracks provide traction, stability, and safe handling of the vehicle. Proper tyre pressure extends tyre life, improves fuel efficiency, and reduces the risk of blowouts or accidents due to tyre failure.:Small nick notes in front left tyre. Doesn't appear to be deep. Get checked
-</t>
        </is>
      </c>
      <c r="P4387" t="inlineStr"/>
      <c r="Q4387" t="inlineStr">
        <is>
          <t>SSE</t>
        </is>
      </c>
      <c r="R4387" t="b">
        <v>1</v>
      </c>
    </row>
    <row r="4388">
      <c r="A4388" t="inlineStr">
        <is>
          <t>6 May 2026 / Jake Bolwell</t>
        </is>
      </c>
      <c r="B4388" t="inlineStr">
        <is>
          <t>Infrastructure &amp; Utilities</t>
        </is>
      </c>
      <c r="C4388" t="inlineStr">
        <is>
          <t>SSE</t>
        </is>
      </c>
      <c r="D4388" t="inlineStr">
        <is>
          <t>AK23YLP , Car - Electric , Tesla , Model Y Long Range</t>
        </is>
      </c>
      <c r="E4388" t="inlineStr">
        <is>
          <t>AK23YLP , Car - Electric , Tesla , Model Y Long Range</t>
        </is>
      </c>
      <c r="F4388" t="inlineStr">
        <is>
          <t>AK23YLP , Car - Electric , Tesla , Model Y Long Range</t>
        </is>
      </c>
      <c r="G4388" t="inlineStr">
        <is>
          <t>Jake Bolwell</t>
        </is>
      </c>
      <c r="H4388" t="inlineStr">
        <is>
          <t>Car - Electric (GC Owned)</t>
        </is>
      </c>
      <c r="I4388" t="inlineStr">
        <is>
          <t>Daily/ Weekly Vehicle Inspection</t>
        </is>
      </c>
      <c r="J4388" t="inlineStr">
        <is>
          <t>N/A</t>
        </is>
      </c>
      <c r="K4388" t="inlineStr">
        <is>
          <t>Jake Bolwell</t>
        </is>
      </c>
      <c r="L4388" t="inlineStr">
        <is>
          <t>06/05/2026 09:56</t>
        </is>
      </c>
      <c r="M4388" t="inlineStr">
        <is>
          <t>None</t>
        </is>
      </c>
      <c r="N4388" t="inlineStr">
        <is>
          <t>&lt;p&gt;&lt;/p&gt;</t>
        </is>
      </c>
      <c r="O4388" t="inlineStr"/>
      <c r="P4388" t="inlineStr">
        <is>
          <t>AK23YLP , Car - Electric , Tesla , Model Y Long Range</t>
        </is>
      </c>
      <c r="Q4388" t="inlineStr">
        <is>
          <t>SSE</t>
        </is>
      </c>
      <c r="R4388" t="b">
        <v>1</v>
      </c>
    </row>
    <row r="4389">
      <c r="A4389" t="inlineStr">
        <is>
          <t>6 May 2026 / 7996 M G Tree Surgery Ltd</t>
        </is>
      </c>
      <c r="B4389" t="inlineStr">
        <is>
          <t>Infrastructure &amp; Utilities</t>
        </is>
      </c>
      <c r="C4389" t="inlineStr">
        <is>
          <t>UKPN</t>
        </is>
      </c>
      <c r="D4389" t="inlineStr">
        <is>
          <t>GU13 WNL , MEWP , Land Rover , Defender 130</t>
        </is>
      </c>
      <c r="E4389" t="inlineStr">
        <is>
          <t>GU13 WNL , MEWP , Land Rover , Defender 130</t>
        </is>
      </c>
      <c r="F4389" t="inlineStr">
        <is>
          <t>GU13 WNL , MEWP , Land Rover , Defender 130</t>
        </is>
      </c>
      <c r="G4389" t="inlineStr">
        <is>
          <t>Max</t>
        </is>
      </c>
      <c r="H4389" t="inlineStr">
        <is>
          <t>4x4</t>
        </is>
      </c>
      <c r="I4389" t="inlineStr">
        <is>
          <t>Daily/ Weekly Vehicle Inspection</t>
        </is>
      </c>
      <c r="J4389" t="inlineStr">
        <is>
          <t>N/A</t>
        </is>
      </c>
      <c r="K4389" t="inlineStr">
        <is>
          <t>7996 M G Tree Surgery Ltd</t>
        </is>
      </c>
      <c r="L4389" t="inlineStr">
        <is>
          <t>06/05/2026 13:02</t>
        </is>
      </c>
      <c r="M4389" t="inlineStr">
        <is>
          <t>None</t>
        </is>
      </c>
      <c r="N4389" t="inlineStr">
        <is>
          <t>&lt;p&gt;&lt;/p&gt;</t>
        </is>
      </c>
      <c r="O4389" t="inlineStr"/>
      <c r="P4389" t="inlineStr">
        <is>
          <t>GU13 WNL , MEWP , Land Rover , Defender 130</t>
        </is>
      </c>
      <c r="Q4389" t="inlineStr">
        <is>
          <t>UKPN</t>
        </is>
      </c>
      <c r="R4389" t="b">
        <v>1</v>
      </c>
    </row>
    <row r="4390">
      <c r="A4390" t="inlineStr">
        <is>
          <t>6 May 2026 / 7186 Eastwoodbury Tree Services Ltd 2</t>
        </is>
      </c>
      <c r="B4390" t="inlineStr">
        <is>
          <t>Infrastructure &amp; Utilities</t>
        </is>
      </c>
      <c r="C4390" t="inlineStr">
        <is>
          <t>UKPN</t>
        </is>
      </c>
      <c r="D4390" t="inlineStr">
        <is>
          <t>DE53NKS , 4x4 , Ford , Ranger</t>
        </is>
      </c>
      <c r="E4390" t="inlineStr">
        <is>
          <t>DE53NKS , 4x4 , Ford , Ranger</t>
        </is>
      </c>
      <c r="F4390" t="inlineStr">
        <is>
          <t>DE53NKS , 4x4 , Ford , Ranger</t>
        </is>
      </c>
      <c r="G4390" t="inlineStr">
        <is>
          <t xml:space="preserve">Jay Denkmayer </t>
        </is>
      </c>
      <c r="H4390" t="inlineStr">
        <is>
          <t>4x4</t>
        </is>
      </c>
      <c r="I4390" t="inlineStr">
        <is>
          <t>Daily/ Weekly Vehicle Inspection</t>
        </is>
      </c>
      <c r="J4390" t="inlineStr">
        <is>
          <t>N/A</t>
        </is>
      </c>
      <c r="K4390" t="inlineStr">
        <is>
          <t>7186 Eastwoodbury Tree Services Ltd 2</t>
        </is>
      </c>
      <c r="L4390" t="inlineStr">
        <is>
          <t>06/05/2026 13:03</t>
        </is>
      </c>
      <c r="M4390" t="inlineStr">
        <is>
          <t>None</t>
        </is>
      </c>
      <c r="N4390" t="inlineStr">
        <is>
          <t>&lt;p&gt;&lt;/p&gt;</t>
        </is>
      </c>
      <c r="O4390" t="inlineStr"/>
      <c r="P4390" t="inlineStr">
        <is>
          <t>DE53NKS , 4x4 , Ford , Ranger</t>
        </is>
      </c>
      <c r="Q4390" t="inlineStr">
        <is>
          <t>UKPN</t>
        </is>
      </c>
      <c r="R4390" t="b">
        <v>1</v>
      </c>
    </row>
    <row r="4391">
      <c r="A4391" t="inlineStr">
        <is>
          <t>6 May 2026 / 8148 Hope Ground and Tree Care</t>
        </is>
      </c>
      <c r="B4391" t="inlineStr">
        <is>
          <t>Infrastructure &amp; Utilities</t>
        </is>
      </c>
      <c r="C4391" t="inlineStr">
        <is>
          <t>UKPN</t>
        </is>
      </c>
      <c r="D4391" t="inlineStr">
        <is>
          <t>S6 NWX , MEWP , Isuzu , D-Max</t>
        </is>
      </c>
      <c r="E4391" t="inlineStr">
        <is>
          <t>S6 NWX , MEWP , Isuzu , D-Max</t>
        </is>
      </c>
      <c r="F4391" t="inlineStr">
        <is>
          <t>S6 NWX , MEWP , Isuzu , D-Max</t>
        </is>
      </c>
      <c r="G4391" t="inlineStr">
        <is>
          <t>A Hope</t>
        </is>
      </c>
      <c r="H4391" t="inlineStr">
        <is>
          <t>4x4</t>
        </is>
      </c>
      <c r="I4391" t="inlineStr">
        <is>
          <t>Daily/ Weekly Vehicle Inspection</t>
        </is>
      </c>
      <c r="J4391" t="inlineStr">
        <is>
          <t>N/A</t>
        </is>
      </c>
      <c r="K4391" t="inlineStr">
        <is>
          <t>8148 Hope Ground and Tree Care</t>
        </is>
      </c>
      <c r="L4391" t="inlineStr">
        <is>
          <t>06/05/2026 13:04</t>
        </is>
      </c>
      <c r="M4391" t="inlineStr">
        <is>
          <t>None</t>
        </is>
      </c>
      <c r="N4391" t="inlineStr">
        <is>
          <t>&lt;p&gt;&lt;/p&gt;</t>
        </is>
      </c>
      <c r="O4391" t="inlineStr"/>
      <c r="P4391" t="inlineStr">
        <is>
          <t>S6 NWX , MEWP , Isuzu , D-Max</t>
        </is>
      </c>
      <c r="Q4391" t="inlineStr">
        <is>
          <t>UKPN</t>
        </is>
      </c>
      <c r="R4391" t="b">
        <v>1</v>
      </c>
    </row>
    <row r="4392">
      <c r="A4392" t="inlineStr">
        <is>
          <t>6 May 2026 / Ashley Hill</t>
        </is>
      </c>
      <c r="B4392" t="inlineStr">
        <is>
          <t>Infrastructure &amp; Utilities</t>
        </is>
      </c>
      <c r="C4392" t="inlineStr">
        <is>
          <t>NGED</t>
        </is>
      </c>
      <c r="D4392" t="inlineStr"/>
      <c r="E4392" t="inlineStr"/>
      <c r="F4392" t="inlineStr"/>
      <c r="G4392" t="inlineStr">
        <is>
          <t>Ashley Hill</t>
        </is>
      </c>
      <c r="H4392" t="inlineStr">
        <is>
          <t>Car - Petrol</t>
        </is>
      </c>
      <c r="I4392" t="inlineStr">
        <is>
          <t>Daily/ Weekly Vehicle Inspection</t>
        </is>
      </c>
      <c r="J4392" t="inlineStr">
        <is>
          <t>N/A</t>
        </is>
      </c>
      <c r="K4392" t="inlineStr">
        <is>
          <t>Ashley Hill</t>
        </is>
      </c>
      <c r="L4392" t="inlineStr">
        <is>
          <t>06/05/2026 13:36</t>
        </is>
      </c>
      <c r="M4392" t="inlineStr">
        <is>
          <t>None</t>
        </is>
      </c>
      <c r="N4392" t="inlineStr">
        <is>
          <t>&lt;p&gt;&lt;/p&gt;</t>
        </is>
      </c>
      <c r="O4392" t="inlineStr"/>
      <c r="P4392" t="inlineStr"/>
      <c r="Q4392" t="inlineStr">
        <is>
          <t>NGED</t>
        </is>
      </c>
      <c r="R4392" t="b">
        <v>1</v>
      </c>
    </row>
    <row r="4393">
      <c r="A4393" t="inlineStr">
        <is>
          <t>7 May 2026 / Benet Jones</t>
        </is>
      </c>
      <c r="B4393" t="inlineStr">
        <is>
          <t>Infrastructure &amp; Utilities</t>
        </is>
      </c>
      <c r="C4393" t="inlineStr">
        <is>
          <t>NGED</t>
        </is>
      </c>
      <c r="D4393" t="inlineStr">
        <is>
          <t>GF71TXC , Car - Electric , Tesla , Model 3 Long Range AWD</t>
        </is>
      </c>
      <c r="E4393" t="inlineStr">
        <is>
          <t>GF71TXC , Car - Electric , Tesla , Model 3 Long Range AWD</t>
        </is>
      </c>
      <c r="F4393" t="inlineStr">
        <is>
          <t>GF71TXC , Car - Electric , Tesla , Model 3 Long Range AWD</t>
        </is>
      </c>
      <c r="G4393" t="inlineStr">
        <is>
          <t xml:space="preserve">Benet Jones </t>
        </is>
      </c>
      <c r="H4393" t="inlineStr">
        <is>
          <t>Car - Electric (GC Owned)</t>
        </is>
      </c>
      <c r="I4393" t="inlineStr">
        <is>
          <t>Daily/ Weekly Vehicle Inspection</t>
        </is>
      </c>
      <c r="J4393" t="inlineStr">
        <is>
          <t>N/A</t>
        </is>
      </c>
      <c r="K4393" t="inlineStr">
        <is>
          <t>Benet Jones</t>
        </is>
      </c>
      <c r="L4393" t="inlineStr">
        <is>
          <t>07/05/2026 05:52</t>
        </is>
      </c>
      <c r="M4393" t="inlineStr">
        <is>
          <t>None</t>
        </is>
      </c>
      <c r="N4393" t="inlineStr">
        <is>
          <t>&lt;p&gt;&lt;/p&gt;</t>
        </is>
      </c>
      <c r="O4393" t="inlineStr">
        <is>
          <t>Confirm that you have checked this vehicle as per the guidance document and the vehicle is safe and roadworthy:Car checked and fully serviceable
-</t>
        </is>
      </c>
      <c r="P4393" t="inlineStr">
        <is>
          <t>GF71TXC , Car - Electric , Tesla , Model 3 Long Range AWD</t>
        </is>
      </c>
      <c r="Q4393" t="inlineStr">
        <is>
          <t>NGED</t>
        </is>
      </c>
      <c r="R4393" t="b">
        <v>1</v>
      </c>
    </row>
    <row r="4394">
      <c r="A4394" t="inlineStr">
        <is>
          <t>7 May 2026 / 6617 Ashdown Tree Limited 1</t>
        </is>
      </c>
      <c r="B4394" t="inlineStr">
        <is>
          <t>Infrastructure &amp; Utilities</t>
        </is>
      </c>
      <c r="C4394" t="inlineStr">
        <is>
          <t>UKPN</t>
        </is>
      </c>
      <c r="D4394" t="inlineStr">
        <is>
          <t>GU11LKD , 4x4 , Land Rover , Defender</t>
        </is>
      </c>
      <c r="E4394" t="inlineStr">
        <is>
          <t>GU11LKD , 4x4 , Land Rover , Defender</t>
        </is>
      </c>
      <c r="F4394" t="inlineStr">
        <is>
          <t>GU11LKD , 4x4 , Land Rover , Defender</t>
        </is>
      </c>
      <c r="G4394" t="inlineStr">
        <is>
          <t>Dan</t>
        </is>
      </c>
      <c r="H4394" t="inlineStr">
        <is>
          <t>4x4</t>
        </is>
      </c>
      <c r="I4394" t="inlineStr">
        <is>
          <t>Daily/ Weekly Vehicle Inspection</t>
        </is>
      </c>
      <c r="J4394" t="inlineStr">
        <is>
          <t>N/A</t>
        </is>
      </c>
      <c r="K4394" t="inlineStr">
        <is>
          <t>6617 Ashdown Tree Limited - Team 2</t>
        </is>
      </c>
      <c r="L4394" t="inlineStr">
        <is>
          <t>07/05/2026 06:52</t>
        </is>
      </c>
      <c r="M4394" t="inlineStr">
        <is>
          <t>None</t>
        </is>
      </c>
      <c r="N4394" t="inlineStr">
        <is>
          <t>&lt;p&gt;&lt;/p&gt;</t>
        </is>
      </c>
      <c r="O4394" t="inlineStr"/>
      <c r="P4394" t="inlineStr">
        <is>
          <t>GU11LKD , 4x4 , Land Rover , Defender</t>
        </is>
      </c>
      <c r="Q4394" t="inlineStr">
        <is>
          <t>UKPN</t>
        </is>
      </c>
      <c r="R4394" t="b">
        <v>1</v>
      </c>
    </row>
    <row r="4395">
      <c r="A4395" t="inlineStr">
        <is>
          <t>7 May 2026 / 7995 Green Net Eco Ltd 2</t>
        </is>
      </c>
      <c r="B4395" t="inlineStr">
        <is>
          <t>Infrastructure &amp; Utilities</t>
        </is>
      </c>
      <c r="C4395" t="inlineStr">
        <is>
          <t>UKPN</t>
        </is>
      </c>
      <c r="D4395" t="inlineStr">
        <is>
          <t>SA9ST800000283944 , Towed Chipper , Forst , ST8D - Towed</t>
        </is>
      </c>
      <c r="E4395" t="inlineStr">
        <is>
          <t>SA9ST800000283944 , Towed Chipper , Forst , ST8D - Towed</t>
        </is>
      </c>
      <c r="F4395" t="inlineStr">
        <is>
          <t>SA9ST800000283944 , Towed Chipper , Forst , ST8D - Towed</t>
        </is>
      </c>
      <c r="G4395" t="inlineStr">
        <is>
          <t>Thomas Playford</t>
        </is>
      </c>
      <c r="H4395" t="inlineStr">
        <is>
          <t>Towed Chipper</t>
        </is>
      </c>
      <c r="I4395" t="inlineStr">
        <is>
          <t>Daily/ Weekly Vehicle Inspection</t>
        </is>
      </c>
      <c r="J4395" t="inlineStr">
        <is>
          <t>N/A</t>
        </is>
      </c>
      <c r="K4395" t="inlineStr">
        <is>
          <t>7995 Green Net Eco Ltd 2</t>
        </is>
      </c>
      <c r="L4395" t="inlineStr">
        <is>
          <t>07/05/2026 07:52</t>
        </is>
      </c>
      <c r="M4395" t="inlineStr">
        <is>
          <t>None</t>
        </is>
      </c>
      <c r="N4395" t="inlineStr">
        <is>
          <t>&lt;p&gt;&lt;/p&gt;</t>
        </is>
      </c>
      <c r="O4395" t="inlineStr"/>
      <c r="P4395" t="inlineStr">
        <is>
          <t>SA9ST800000283944 , Towed Chipper , Forst , ST8D - Towed</t>
        </is>
      </c>
      <c r="Q4395" t="inlineStr">
        <is>
          <t>UKPN</t>
        </is>
      </c>
      <c r="R4395" t="b">
        <v>1</v>
      </c>
    </row>
    <row r="4396">
      <c r="A4396" t="inlineStr">
        <is>
          <t>7 May 2026 / 7995 Green Net Eco Ltd 2</t>
        </is>
      </c>
      <c r="B4396" t="inlineStr">
        <is>
          <t>Infrastructure &amp; Utilities</t>
        </is>
      </c>
      <c r="C4396" t="inlineStr">
        <is>
          <t>UKPN</t>
        </is>
      </c>
      <c r="D4396" t="inlineStr">
        <is>
          <t>LK15KRZ , 4x4 , Landrover , Defender</t>
        </is>
      </c>
      <c r="E4396" t="inlineStr">
        <is>
          <t>LK15KRZ , 4x4 , Landrover , Defender</t>
        </is>
      </c>
      <c r="F4396" t="inlineStr">
        <is>
          <t>LK15KRZ , 4x4 , Landrover , Defender</t>
        </is>
      </c>
      <c r="G4396" t="inlineStr">
        <is>
          <t>Thomas Playford</t>
        </is>
      </c>
      <c r="H4396" t="inlineStr">
        <is>
          <t>4x4</t>
        </is>
      </c>
      <c r="I4396" t="inlineStr">
        <is>
          <t>Daily/ Weekly Vehicle Inspection</t>
        </is>
      </c>
      <c r="J4396" t="inlineStr">
        <is>
          <t>N/A</t>
        </is>
      </c>
      <c r="K4396" t="inlineStr">
        <is>
          <t>7995 Green Net Eco Ltd 2</t>
        </is>
      </c>
      <c r="L4396" t="inlineStr">
        <is>
          <t>07/05/2026 07:53</t>
        </is>
      </c>
      <c r="M4396" t="inlineStr">
        <is>
          <t>None</t>
        </is>
      </c>
      <c r="N4396" t="inlineStr">
        <is>
          <t>&lt;p&gt;&lt;/p&gt;</t>
        </is>
      </c>
      <c r="O4396" t="inlineStr"/>
      <c r="P4396" t="inlineStr">
        <is>
          <t>LK15KRZ , 4x4 , Landrover , Defender</t>
        </is>
      </c>
      <c r="Q4396" t="inlineStr">
        <is>
          <t>UKPN</t>
        </is>
      </c>
      <c r="R4396" t="b">
        <v>1</v>
      </c>
    </row>
    <row r="4397">
      <c r="A4397" t="inlineStr">
        <is>
          <t>7 May 2026 / 8148 Hope Ground and Tree Care</t>
        </is>
      </c>
      <c r="B4397" t="inlineStr">
        <is>
          <t>Infrastructure &amp; Utilities</t>
        </is>
      </c>
      <c r="C4397" t="inlineStr">
        <is>
          <t>UKPN</t>
        </is>
      </c>
      <c r="D4397" t="inlineStr">
        <is>
          <t>S6 NWX , MEWP , Isuzu , D-Max</t>
        </is>
      </c>
      <c r="E4397" t="inlineStr">
        <is>
          <t>S6 NWX , MEWP , Isuzu , D-Max</t>
        </is>
      </c>
      <c r="F4397" t="inlineStr">
        <is>
          <t>S6 NWX , MEWP , Isuzu , D-Max</t>
        </is>
      </c>
      <c r="G4397" t="inlineStr">
        <is>
          <t>A Hope</t>
        </is>
      </c>
      <c r="H4397" t="inlineStr">
        <is>
          <t>4x4</t>
        </is>
      </c>
      <c r="I4397" t="inlineStr">
        <is>
          <t>Daily/ Weekly Vehicle Inspection</t>
        </is>
      </c>
      <c r="J4397" t="inlineStr">
        <is>
          <t>N/A</t>
        </is>
      </c>
      <c r="K4397" t="inlineStr">
        <is>
          <t>8148 Hope Ground and Tree Care</t>
        </is>
      </c>
      <c r="L4397" t="inlineStr">
        <is>
          <t>07/05/2026 07:54</t>
        </is>
      </c>
      <c r="M4397" t="inlineStr">
        <is>
          <t>None</t>
        </is>
      </c>
      <c r="N4397" t="inlineStr">
        <is>
          <t>&lt;p&gt;&lt;/p&gt;</t>
        </is>
      </c>
      <c r="O4397" t="inlineStr"/>
      <c r="P4397" t="inlineStr">
        <is>
          <t>S6 NWX , MEWP , Isuzu , D-Max</t>
        </is>
      </c>
      <c r="Q4397" t="inlineStr">
        <is>
          <t>UKPN</t>
        </is>
      </c>
      <c r="R4397" t="b">
        <v>1</v>
      </c>
    </row>
    <row r="4398">
      <c r="A4398" t="inlineStr">
        <is>
          <t>7 May 2026 / 7800 MAC Tree Surgery and Fencing Ltd</t>
        </is>
      </c>
      <c r="B4398" t="inlineStr">
        <is>
          <t>Infrastructure &amp; Utilities</t>
        </is>
      </c>
      <c r="C4398" t="inlineStr">
        <is>
          <t>UKPN</t>
        </is>
      </c>
      <c r="D4398" t="inlineStr">
        <is>
          <t>0 , Plant Trailer , Towmate , 2.8t</t>
        </is>
      </c>
      <c r="E4398" t="inlineStr">
        <is>
          <t>0 , Plant Trailer , Towmate , 2.8t</t>
        </is>
      </c>
      <c r="F4398" t="inlineStr">
        <is>
          <t>0 , Plant Trailer , Towmate , 2.8t</t>
        </is>
      </c>
      <c r="G4398" t="inlineStr">
        <is>
          <t xml:space="preserve">Patrick oshea </t>
        </is>
      </c>
      <c r="H4398" t="inlineStr">
        <is>
          <t>Plant Trailer</t>
        </is>
      </c>
      <c r="I4398" t="inlineStr">
        <is>
          <t>Daily/ Weekly Vehicle Inspection</t>
        </is>
      </c>
      <c r="J4398" t="inlineStr">
        <is>
          <t>N/A</t>
        </is>
      </c>
      <c r="K4398" t="inlineStr">
        <is>
          <t>7800 MAC Tree Surgery and Fencing Ltd</t>
        </is>
      </c>
      <c r="L4398" t="inlineStr">
        <is>
          <t>07/05/2026 07:57</t>
        </is>
      </c>
      <c r="M4398" t="inlineStr">
        <is>
          <t>None</t>
        </is>
      </c>
      <c r="N4398" t="inlineStr">
        <is>
          <t>&lt;p&gt;&lt;/p&gt;</t>
        </is>
      </c>
      <c r="O4398" t="inlineStr"/>
      <c r="P4398" t="inlineStr">
        <is>
          <t>0 , Plant Trailer , Towmate , 2.8t</t>
        </is>
      </c>
      <c r="Q4398" t="inlineStr">
        <is>
          <t>UKPN</t>
        </is>
      </c>
      <c r="R4398" t="b">
        <v>1</v>
      </c>
    </row>
    <row r="4399">
      <c r="A4399" t="inlineStr">
        <is>
          <t>7 May 2026 / 7800 MAC Tree Surgery and Fencing Ltd / Utilities / UKPN</t>
        </is>
      </c>
      <c r="B4399" t="inlineStr">
        <is>
          <t>Utilities</t>
        </is>
      </c>
      <c r="C4399" t="inlineStr">
        <is>
          <t>UKPN</t>
        </is>
      </c>
      <c r="D4399" t="inlineStr">
        <is>
          <t>AY68DAA , 4x4 , Izuzu , Dmax</t>
        </is>
      </c>
      <c r="E4399" t="inlineStr">
        <is>
          <t>AY68DAA , 4x4 , Izuzu , Dmax</t>
        </is>
      </c>
      <c r="F4399" t="inlineStr">
        <is>
          <t>AY68DAA , 4x4 , Izuzu , Dmax</t>
        </is>
      </c>
      <c r="G4399" t="inlineStr">
        <is>
          <t xml:space="preserve">Lewis Mac </t>
        </is>
      </c>
      <c r="H4399" t="inlineStr">
        <is>
          <t>4x4</t>
        </is>
      </c>
      <c r="I4399" t="inlineStr">
        <is>
          <t>Daily/ Weekly Vehicle Inspection</t>
        </is>
      </c>
      <c r="J4399" t="inlineStr">
        <is>
          <t>N/A</t>
        </is>
      </c>
      <c r="K4399" t="inlineStr">
        <is>
          <t>7800 MAC Tree Surgery and Fencing Ltd</t>
        </is>
      </c>
      <c r="L4399" t="inlineStr">
        <is>
          <t>07/05/2026 07:58</t>
        </is>
      </c>
      <c r="M4399" t="inlineStr">
        <is>
          <t>None</t>
        </is>
      </c>
      <c r="N4399" t="inlineStr">
        <is>
          <t>&lt;p&gt;&lt;/p&gt;</t>
        </is>
      </c>
      <c r="O4399" t="inlineStr"/>
      <c r="P4399" t="inlineStr">
        <is>
          <t>AY68DAA , 4x4 , Izuzu , Dmax</t>
        </is>
      </c>
      <c r="Q4399" t="inlineStr">
        <is>
          <t>UKPN</t>
        </is>
      </c>
      <c r="R4399" t="b">
        <v>1</v>
      </c>
    </row>
    <row r="4400">
      <c r="A4400" t="inlineStr">
        <is>
          <t>7 May 2026 / 7806 Optimum Tree Services Ltd</t>
        </is>
      </c>
      <c r="B4400" t="inlineStr">
        <is>
          <t>Infrastructure &amp; Utilities</t>
        </is>
      </c>
      <c r="C4400" t="inlineStr">
        <is>
          <t>UKPN</t>
        </is>
      </c>
      <c r="D4400" t="inlineStr">
        <is>
          <t>Wd14evn , 4x4 , Landrover  , Defender</t>
        </is>
      </c>
      <c r="E4400" t="inlineStr">
        <is>
          <t>Wd14evn , 4x4 , Landrover  , Defender</t>
        </is>
      </c>
      <c r="F4400" t="inlineStr">
        <is>
          <t>Wd14evn , 4x4 , Landrover  , Defender</t>
        </is>
      </c>
      <c r="G4400" t="inlineStr">
        <is>
          <t xml:space="preserve">Lewis davies </t>
        </is>
      </c>
      <c r="H4400" t="inlineStr">
        <is>
          <t>4x4</t>
        </is>
      </c>
      <c r="I4400" t="inlineStr">
        <is>
          <t>Daily/ Weekly Vehicle Inspection</t>
        </is>
      </c>
      <c r="J4400" t="inlineStr">
        <is>
          <t>N/A</t>
        </is>
      </c>
      <c r="K4400" t="inlineStr">
        <is>
          <t>7806 Optimum Tree Services Ltd</t>
        </is>
      </c>
      <c r="L4400" t="inlineStr">
        <is>
          <t>07/05/2026 07:58</t>
        </is>
      </c>
      <c r="M4400" t="inlineStr">
        <is>
          <t>None</t>
        </is>
      </c>
      <c r="N4400" t="inlineStr">
        <is>
          <t>&lt;p&gt;&lt;/p&gt;</t>
        </is>
      </c>
      <c r="O4400" t="inlineStr"/>
      <c r="P4400" t="inlineStr">
        <is>
          <t>Wd14evn , 4x4 , Landrover  , Defender</t>
        </is>
      </c>
      <c r="Q4400" t="inlineStr">
        <is>
          <t>UKPN</t>
        </is>
      </c>
      <c r="R4400" t="b">
        <v>1</v>
      </c>
    </row>
    <row r="4401">
      <c r="A4401" t="inlineStr">
        <is>
          <t>7 May 2026 / 7806 Optimum Tree Services Ltd</t>
        </is>
      </c>
      <c r="B4401" t="inlineStr">
        <is>
          <t>Infrastructure &amp; Utilities</t>
        </is>
      </c>
      <c r="C4401" t="inlineStr">
        <is>
          <t>UKPN</t>
        </is>
      </c>
      <c r="D4401" t="inlineStr">
        <is>
          <t>SA9st6p0001283093 , Towed Chipper , Forst  , St6pHD</t>
        </is>
      </c>
      <c r="E4401" t="inlineStr">
        <is>
          <t>SA9st6p0001283093 , Towed Chipper , Forst  , St6pHD</t>
        </is>
      </c>
      <c r="F4401" t="inlineStr">
        <is>
          <t>SA9st6p0001283093 , Towed Chipper , Forst  , St6pHD</t>
        </is>
      </c>
      <c r="G4401" t="inlineStr">
        <is>
          <t xml:space="preserve">Abraham Davies </t>
        </is>
      </c>
      <c r="H4401" t="inlineStr">
        <is>
          <t>Towed Chipper</t>
        </is>
      </c>
      <c r="I4401" t="inlineStr">
        <is>
          <t>Daily/ Weekly Vehicle Inspection</t>
        </is>
      </c>
      <c r="J4401" t="inlineStr">
        <is>
          <t>N/A</t>
        </is>
      </c>
      <c r="K4401" t="inlineStr">
        <is>
          <t>7806 Optimum Tree Services Ltd</t>
        </is>
      </c>
      <c r="L4401" t="inlineStr">
        <is>
          <t>07/05/2026 08:00</t>
        </is>
      </c>
      <c r="M4401" t="inlineStr">
        <is>
          <t>None</t>
        </is>
      </c>
      <c r="N4401" t="inlineStr">
        <is>
          <t>&lt;p&gt;&lt;/p&gt;</t>
        </is>
      </c>
      <c r="O4401" t="inlineStr"/>
      <c r="P4401" t="inlineStr">
        <is>
          <t>SA9st6p0001283093 , Towed Chipper , Forst  , St6pHD</t>
        </is>
      </c>
      <c r="Q4401" t="inlineStr">
        <is>
          <t>UKPN</t>
        </is>
      </c>
      <c r="R4401" t="b">
        <v>1</v>
      </c>
    </row>
    <row r="4402">
      <c r="A4402" t="inlineStr">
        <is>
          <t>7 May 2026 / 7806 Optimum Tree Services Ltd</t>
        </is>
      </c>
      <c r="B4402" t="inlineStr">
        <is>
          <t>Infrastructure &amp; Utilities</t>
        </is>
      </c>
      <c r="C4402" t="inlineStr">
        <is>
          <t>UKPN</t>
        </is>
      </c>
      <c r="D4402" t="inlineStr">
        <is>
          <t>WD14EVB , MEWP , Land Rover , Defender</t>
        </is>
      </c>
      <c r="E4402" t="inlineStr">
        <is>
          <t>WD14EVB , MEWP , Land Rover , Defender</t>
        </is>
      </c>
      <c r="F4402" t="inlineStr">
        <is>
          <t>WD14EVB , MEWP , Land Rover , Defender</t>
        </is>
      </c>
      <c r="G4402" t="inlineStr">
        <is>
          <t xml:space="preserve">Abraham Davies </t>
        </is>
      </c>
      <c r="H4402" t="inlineStr">
        <is>
          <t>4x4</t>
        </is>
      </c>
      <c r="I4402" t="inlineStr">
        <is>
          <t>Daily/ Weekly Vehicle Inspection</t>
        </is>
      </c>
      <c r="J4402" t="inlineStr">
        <is>
          <t>N/A</t>
        </is>
      </c>
      <c r="K4402" t="inlineStr">
        <is>
          <t>7806 Optimum Tree Services Ltd</t>
        </is>
      </c>
      <c r="L4402" t="inlineStr">
        <is>
          <t>07/05/2026 08:04</t>
        </is>
      </c>
      <c r="M4402" t="inlineStr">
        <is>
          <t>None</t>
        </is>
      </c>
      <c r="N4402" t="inlineStr">
        <is>
          <t>&lt;p&gt;&lt;/p&gt;</t>
        </is>
      </c>
      <c r="O4402" t="inlineStr"/>
      <c r="P4402" t="inlineStr">
        <is>
          <t>WD14EVB , MEWP , Land Rover , Defender</t>
        </is>
      </c>
      <c r="Q4402" t="inlineStr">
        <is>
          <t>UKPN</t>
        </is>
      </c>
      <c r="R4402" t="b">
        <v>1</v>
      </c>
    </row>
    <row r="4403">
      <c r="A4403" t="inlineStr">
        <is>
          <t>7 May 2026 / 7996 M G Tree Surgery Ltd 1</t>
        </is>
      </c>
      <c r="B4403" t="inlineStr">
        <is>
          <t>Infrastructure &amp; Utilities</t>
        </is>
      </c>
      <c r="C4403" t="inlineStr">
        <is>
          <t>UKPN</t>
        </is>
      </c>
      <c r="D4403" t="inlineStr"/>
      <c r="E4403" t="inlineStr"/>
      <c r="F4403" t="inlineStr"/>
      <c r="G4403" t="inlineStr">
        <is>
          <t>Anthony Gale</t>
        </is>
      </c>
      <c r="H4403" t="inlineStr">
        <is>
          <t>Towed Chipper</t>
        </is>
      </c>
      <c r="I4403" t="inlineStr">
        <is>
          <t>Daily/ Weekly Vehicle Inspection</t>
        </is>
      </c>
      <c r="J4403" t="inlineStr">
        <is>
          <t>N/A</t>
        </is>
      </c>
      <c r="K4403" t="inlineStr">
        <is>
          <t>7996 M G Tree Surgery Ltd 1</t>
        </is>
      </c>
      <c r="L4403" t="inlineStr">
        <is>
          <t>07/05/2026 08:11</t>
        </is>
      </c>
      <c r="M4403" t="inlineStr">
        <is>
          <t>None</t>
        </is>
      </c>
      <c r="N4403" t="inlineStr">
        <is>
          <t>&lt;p&gt;&lt;/p&gt;</t>
        </is>
      </c>
      <c r="O4403" t="inlineStr"/>
      <c r="P4403" t="inlineStr"/>
      <c r="Q4403" t="inlineStr">
        <is>
          <t>UKPN</t>
        </is>
      </c>
      <c r="R4403" t="b">
        <v>1</v>
      </c>
    </row>
    <row r="4404">
      <c r="A4404" t="inlineStr">
        <is>
          <t>7 May 2026 / 7996 M G Tree Surgery Ltd 1</t>
        </is>
      </c>
      <c r="B4404" t="inlineStr">
        <is>
          <t>Infrastructure &amp; Utilities</t>
        </is>
      </c>
      <c r="C4404" t="inlineStr">
        <is>
          <t>UKPN</t>
        </is>
      </c>
      <c r="D4404" t="inlineStr">
        <is>
          <t>KX20 BCE , Tipper , Isuzu , D-Max</t>
        </is>
      </c>
      <c r="E4404" t="inlineStr">
        <is>
          <t>KX20 BCE , Tipper , Isuzu , D-Max</t>
        </is>
      </c>
      <c r="F4404" t="inlineStr">
        <is>
          <t>KX20 BCE , Tipper , Isuzu , D-Max</t>
        </is>
      </c>
      <c r="G4404" t="inlineStr">
        <is>
          <t>Anthony Gale</t>
        </is>
      </c>
      <c r="H4404" t="inlineStr">
        <is>
          <t>Pickup Truck</t>
        </is>
      </c>
      <c r="I4404" t="inlineStr">
        <is>
          <t>Daily/ Weekly Vehicle Inspection</t>
        </is>
      </c>
      <c r="J4404" t="inlineStr">
        <is>
          <t>N/A</t>
        </is>
      </c>
      <c r="K4404" t="inlineStr">
        <is>
          <t>7996 M G Tree Surgery Ltd 1</t>
        </is>
      </c>
      <c r="L4404" t="inlineStr">
        <is>
          <t>07/05/2026 08:12</t>
        </is>
      </c>
      <c r="M4404" t="inlineStr">
        <is>
          <t>None</t>
        </is>
      </c>
      <c r="N4404" t="inlineStr">
        <is>
          <t>&lt;p&gt;&lt;/p&gt;</t>
        </is>
      </c>
      <c r="O4404" t="inlineStr"/>
      <c r="P4404" t="inlineStr">
        <is>
          <t>KX20 BCE , Tipper , Isuzu , D-Max</t>
        </is>
      </c>
      <c r="Q4404" t="inlineStr">
        <is>
          <t>UKPN</t>
        </is>
      </c>
      <c r="R4404" t="b">
        <v>1</v>
      </c>
    </row>
    <row r="4405">
      <c r="A4405" t="inlineStr">
        <is>
          <t>7 May 2026 / 7889 Tree Tech Suffolk Ltd</t>
        </is>
      </c>
      <c r="B4405" t="inlineStr">
        <is>
          <t>Utilities &amp; Inland Waterways</t>
        </is>
      </c>
      <c r="C4405" t="inlineStr">
        <is>
          <t>UKPN</t>
        </is>
      </c>
      <c r="D4405" t="inlineStr">
        <is>
          <t>Tipper - Mercedes - Sprinter - NS06TTS4x4 - Isuzu - D-max - NS03 TTSTow Chipper - Jenson - A530L - 5521063948</t>
        </is>
      </c>
      <c r="E4405" t="inlineStr">
        <is>
          <t>Tipper - Mercedes - Sprinter - NS06TTS4x4 - Isuzu - D-max - NS03 TTSTow Chipper - Jenson - A530L - 5521063948</t>
        </is>
      </c>
      <c r="F4405" t="inlineStr">
        <is>
          <t>Tipper - Mercedes - Sprinter - NS06TTS4x4 - Isuzu - D-max - NS03 TTSTow Chipper - Jenson - A530L - 5521063948</t>
        </is>
      </c>
      <c r="G4405" t="inlineStr">
        <is>
          <t xml:space="preserve">Danny ApplebyDan brown Danny Appleby </t>
        </is>
      </c>
      <c r="H4405" t="inlineStr">
        <is>
          <t>Tipper4x4Towed Chipper</t>
        </is>
      </c>
      <c r="I4405" t="inlineStr">
        <is>
          <t>Daily/ Weekly Vehicle Inspection</t>
        </is>
      </c>
      <c r="J4405" t="inlineStr">
        <is>
          <t>N/A</t>
        </is>
      </c>
      <c r="K4405" t="inlineStr">
        <is>
          <t>7889 Tree Tech Suffolk Ltd</t>
        </is>
      </c>
      <c r="L4405" t="inlineStr">
        <is>
          <t>07/05/2026 08:14</t>
        </is>
      </c>
      <c r="M4405" t="inlineStr">
        <is>
          <t>None</t>
        </is>
      </c>
      <c r="N4405" t="inlineStr">
        <is>
          <t>&lt;p&gt;&lt;/p&gt;</t>
        </is>
      </c>
      <c r="O4405" t="inlineStr"/>
      <c r="P4405" t="inlineStr">
        <is>
          <t>Tipper - Mercedes - Sprinter - NS06TTS4x4 - Isuzu - D-max - NS03 TTSTow Chipper - Jenson - A530L - 5521063948</t>
        </is>
      </c>
      <c r="Q4405" t="inlineStr">
        <is>
          <t>UKPN</t>
        </is>
      </c>
      <c r="R4405" t="b">
        <v>1</v>
      </c>
    </row>
    <row r="4406">
      <c r="A4406" t="inlineStr">
        <is>
          <t>7 May 2026 / 7186 Eastwoodbury Tree Services Ltd 2</t>
        </is>
      </c>
      <c r="B4406" t="inlineStr">
        <is>
          <t>Infrastructure &amp; Utilities</t>
        </is>
      </c>
      <c r="C4406" t="inlineStr">
        <is>
          <t>UKPN</t>
        </is>
      </c>
      <c r="D4406" t="inlineStr">
        <is>
          <t>DE53NKS , 4x4 , Ford , Ranger</t>
        </is>
      </c>
      <c r="E4406" t="inlineStr">
        <is>
          <t>DE53NKS , 4x4 , Ford , Ranger</t>
        </is>
      </c>
      <c r="F4406" t="inlineStr">
        <is>
          <t>DE53NKS , 4x4 , Ford , Ranger</t>
        </is>
      </c>
      <c r="G4406" t="inlineStr">
        <is>
          <t xml:space="preserve">Jay Denkmayer </t>
        </is>
      </c>
      <c r="H4406" t="inlineStr">
        <is>
          <t>4x4</t>
        </is>
      </c>
      <c r="I4406" t="inlineStr">
        <is>
          <t>Daily/ Weekly Vehicle Inspection</t>
        </is>
      </c>
      <c r="J4406" t="inlineStr">
        <is>
          <t>N/A</t>
        </is>
      </c>
      <c r="K4406" t="inlineStr">
        <is>
          <t>7186 Eastwoodbury Tree Services Ltd 2</t>
        </is>
      </c>
      <c r="L4406" t="inlineStr">
        <is>
          <t>07/05/2026 08:54</t>
        </is>
      </c>
      <c r="M4406" t="inlineStr">
        <is>
          <t>None</t>
        </is>
      </c>
      <c r="N4406" t="inlineStr">
        <is>
          <t>&lt;p&gt;&lt;/p&gt;</t>
        </is>
      </c>
      <c r="O4406" t="inlineStr"/>
      <c r="P4406" t="inlineStr">
        <is>
          <t>DE53NKS , 4x4 , Ford , Ranger</t>
        </is>
      </c>
      <c r="Q4406" t="inlineStr">
        <is>
          <t>UKPN</t>
        </is>
      </c>
      <c r="R4406" t="b">
        <v>1</v>
      </c>
    </row>
    <row r="4407">
      <c r="A4407" t="inlineStr">
        <is>
          <t>7 May 2026 / 7186 Eastwoodbury Tree Services Ltd 2</t>
        </is>
      </c>
      <c r="B4407" t="inlineStr">
        <is>
          <t>Infrastructure &amp; Utilities</t>
        </is>
      </c>
      <c r="C4407" t="inlineStr">
        <is>
          <t>UKPN</t>
        </is>
      </c>
      <c r="D4407" t="inlineStr">
        <is>
          <t>WF13 EKT , 4x4 , Land rover  , Defender</t>
        </is>
      </c>
      <c r="E4407" t="inlineStr">
        <is>
          <t>WF13 EKT , 4x4 , Land rover  , Defender</t>
        </is>
      </c>
      <c r="F4407" t="inlineStr">
        <is>
          <t>WF13 EKT , 4x4 , Land rover  , Defender</t>
        </is>
      </c>
      <c r="G4407" t="inlineStr">
        <is>
          <t xml:space="preserve">Reece </t>
        </is>
      </c>
      <c r="H4407" t="inlineStr">
        <is>
          <t>4x4</t>
        </is>
      </c>
      <c r="I4407" t="inlineStr">
        <is>
          <t>Daily/ Weekly Vehicle Inspection</t>
        </is>
      </c>
      <c r="J4407" t="inlineStr">
        <is>
          <t>N/A</t>
        </is>
      </c>
      <c r="K4407" t="inlineStr">
        <is>
          <t>7186 Eastwoodbury Tree Services Ltd 2</t>
        </is>
      </c>
      <c r="L4407" t="inlineStr">
        <is>
          <t>07/05/2026 08:55</t>
        </is>
      </c>
      <c r="M4407" t="inlineStr">
        <is>
          <t>None</t>
        </is>
      </c>
      <c r="N4407" t="inlineStr">
        <is>
          <t>&lt;p&gt;&lt;/p&gt;</t>
        </is>
      </c>
      <c r="O4407" t="inlineStr"/>
      <c r="P4407" t="inlineStr">
        <is>
          <t>WF13 EKT , 4x4 , Land rover  , Defender</t>
        </is>
      </c>
      <c r="Q4407" t="inlineStr">
        <is>
          <t>UKPN</t>
        </is>
      </c>
      <c r="R4407" t="b">
        <v>1</v>
      </c>
    </row>
    <row r="4408">
      <c r="A4408" t="inlineStr">
        <is>
          <t>7 May 2026 / 7186 Eastwoodbury Tree Services Ltd 2</t>
        </is>
      </c>
      <c r="B4408" t="inlineStr">
        <is>
          <t>Infrastructure &amp; Utilities</t>
        </is>
      </c>
      <c r="C4408" t="inlineStr">
        <is>
          <t>UKPN</t>
        </is>
      </c>
      <c r="D4408" t="inlineStr">
        <is>
          <t>FX14 XCV , 4x4 , Land Rover  , Defender</t>
        </is>
      </c>
      <c r="E4408" t="inlineStr">
        <is>
          <t>FX14 XCV , 4x4 , Land Rover  , Defender</t>
        </is>
      </c>
      <c r="F4408" t="inlineStr">
        <is>
          <t>FX14 XCV , 4x4 , Land Rover  , Defender</t>
        </is>
      </c>
      <c r="G4408" t="inlineStr">
        <is>
          <t xml:space="preserve">Luke Williams </t>
        </is>
      </c>
      <c r="H4408" t="inlineStr">
        <is>
          <t>4x4</t>
        </is>
      </c>
      <c r="I4408" t="inlineStr">
        <is>
          <t>Daily/ Weekly Vehicle Inspection</t>
        </is>
      </c>
      <c r="J4408" t="inlineStr">
        <is>
          <t>N/A</t>
        </is>
      </c>
      <c r="K4408" t="inlineStr">
        <is>
          <t>7186 Eastwoodbury Tree Services Ltd 2</t>
        </is>
      </c>
      <c r="L4408" t="inlineStr">
        <is>
          <t>07/05/2026 08:56</t>
        </is>
      </c>
      <c r="M4408" t="inlineStr">
        <is>
          <t>None</t>
        </is>
      </c>
      <c r="N4408" t="inlineStr">
        <is>
          <t>&lt;p&gt;&lt;/p&gt;</t>
        </is>
      </c>
      <c r="O4408" t="inlineStr"/>
      <c r="P4408" t="inlineStr">
        <is>
          <t>FX14 XCV , 4x4 , Land Rover  , Defender</t>
        </is>
      </c>
      <c r="Q4408" t="inlineStr">
        <is>
          <t>UKPN</t>
        </is>
      </c>
      <c r="R4408" t="b">
        <v>1</v>
      </c>
    </row>
    <row r="4409">
      <c r="A4409" t="inlineStr">
        <is>
          <t>7 May 2026 / Joshua Stones</t>
        </is>
      </c>
      <c r="B4409" t="inlineStr">
        <is>
          <t>Infrastructure &amp; Utilities</t>
        </is>
      </c>
      <c r="C4409" t="inlineStr">
        <is>
          <t>SSE</t>
        </is>
      </c>
      <c r="D4409" t="inlineStr"/>
      <c r="E4409" t="inlineStr"/>
      <c r="F4409" t="inlineStr"/>
      <c r="G4409" t="inlineStr">
        <is>
          <t>Joshya stobes</t>
        </is>
      </c>
      <c r="H4409" t="inlineStr">
        <is>
          <t>Van</t>
        </is>
      </c>
      <c r="I4409" t="inlineStr">
        <is>
          <t>Daily/ Weekly Vehicle Inspection</t>
        </is>
      </c>
      <c r="J4409" t="inlineStr">
        <is>
          <t>N/A</t>
        </is>
      </c>
      <c r="K4409" t="inlineStr">
        <is>
          <t>Joshua Stones</t>
        </is>
      </c>
      <c r="L4409" t="inlineStr">
        <is>
          <t>07/05/2026 10:52</t>
        </is>
      </c>
      <c r="M4409" t="inlineStr">
        <is>
          <t>None</t>
        </is>
      </c>
      <c r="N4409" t="inlineStr">
        <is>
          <t>&lt;p&gt;&lt;/p&gt;</t>
        </is>
      </c>
      <c r="O4409" t="inlineStr"/>
      <c r="P4409" t="inlineStr"/>
      <c r="Q4409" t="inlineStr">
        <is>
          <t>SSE</t>
        </is>
      </c>
      <c r="R4409" t="b">
        <v>1</v>
      </c>
    </row>
    <row r="4410">
      <c r="A4410" t="inlineStr">
        <is>
          <t>7 May 2026 / Joshua Stones</t>
        </is>
      </c>
      <c r="B4410" t="inlineStr">
        <is>
          <t>Infrastructure &amp; Utilities</t>
        </is>
      </c>
      <c r="C4410" t="inlineStr">
        <is>
          <t>SSE</t>
        </is>
      </c>
      <c r="D4410" t="inlineStr"/>
      <c r="E4410" t="inlineStr"/>
      <c r="F4410" t="inlineStr"/>
      <c r="G4410" t="inlineStr">
        <is>
          <t>Nosgua stonez</t>
        </is>
      </c>
      <c r="H4410" t="inlineStr">
        <is>
          <t>Van</t>
        </is>
      </c>
      <c r="I4410" t="inlineStr">
        <is>
          <t>Monthly Vehicle Inspection</t>
        </is>
      </c>
      <c r="J4410" t="inlineStr">
        <is>
          <t>24000</t>
        </is>
      </c>
      <c r="K4410" t="inlineStr">
        <is>
          <t>Joshua Stones</t>
        </is>
      </c>
      <c r="L4410" t="inlineStr">
        <is>
          <t>07/05/2026 10:53</t>
        </is>
      </c>
      <c r="M4410" t="inlineStr">
        <is>
          <t>None</t>
        </is>
      </c>
      <c r="N4410" t="inlineStr">
        <is>
          <t>&lt;p&gt;&lt;/p&gt;</t>
        </is>
      </c>
      <c r="O4410" t="inlineStr"/>
      <c r="P4410" t="inlineStr"/>
      <c r="Q4410" t="inlineStr">
        <is>
          <t>SSE</t>
        </is>
      </c>
      <c r="R4410" t="b">
        <v>1</v>
      </c>
    </row>
    <row r="4411">
      <c r="A4411" t="inlineStr">
        <is>
          <t>7 May 2026 / Matt Jones</t>
        </is>
      </c>
      <c r="B4411" t="inlineStr">
        <is>
          <t>Infrastructure &amp; Utilities</t>
        </is>
      </c>
      <c r="C4411" t="inlineStr">
        <is>
          <t>NGED</t>
        </is>
      </c>
      <c r="D4411" t="inlineStr"/>
      <c r="E4411" t="inlineStr"/>
      <c r="F4411" t="inlineStr"/>
      <c r="G4411" t="inlineStr">
        <is>
          <t>Matt jones</t>
        </is>
      </c>
      <c r="H4411" t="inlineStr">
        <is>
          <t>Van</t>
        </is>
      </c>
      <c r="I4411" t="inlineStr">
        <is>
          <t>Daily/ Weekly Vehicle Inspection</t>
        </is>
      </c>
      <c r="J4411" t="inlineStr">
        <is>
          <t>N/A</t>
        </is>
      </c>
      <c r="K4411" t="inlineStr">
        <is>
          <t>Matt Jones</t>
        </is>
      </c>
      <c r="L4411" t="inlineStr">
        <is>
          <t>07/05/2026 17:41</t>
        </is>
      </c>
      <c r="M4411" t="inlineStr">
        <is>
          <t>None</t>
        </is>
      </c>
      <c r="N4411" t="inlineStr">
        <is>
          <t>&lt;p&gt;&lt;/p&gt;</t>
        </is>
      </c>
      <c r="O4411" t="inlineStr"/>
      <c r="P4411" t="inlineStr"/>
      <c r="Q4411" t="inlineStr">
        <is>
          <t>NGED</t>
        </is>
      </c>
      <c r="R4411" t="b">
        <v>1</v>
      </c>
    </row>
    <row r="4412">
      <c r="A4412" t="inlineStr">
        <is>
          <t>7 May 2026 / Jane Moore</t>
        </is>
      </c>
      <c r="B4412" t="inlineStr">
        <is>
          <t>Infrastructure &amp; Utilities</t>
        </is>
      </c>
      <c r="C4412" t="inlineStr">
        <is>
          <t>NGED</t>
        </is>
      </c>
      <c r="D4412" t="inlineStr">
        <is>
          <t>GL20TGZ , Car - Electric , Tesla , Model 3 Long Range AWD</t>
        </is>
      </c>
      <c r="E4412" t="inlineStr">
        <is>
          <t>GL20TGZ , Car - Electric , Tesla , Model 3 Long Range AWD</t>
        </is>
      </c>
      <c r="F4412" t="inlineStr">
        <is>
          <t>GL20TGZ , Car - Electric , Tesla , Model 3 Long Range AWD</t>
        </is>
      </c>
      <c r="G4412" t="inlineStr">
        <is>
          <t xml:space="preserve">Jane Moore </t>
        </is>
      </c>
      <c r="H4412" t="inlineStr">
        <is>
          <t>Car - Electric (GC Owned)</t>
        </is>
      </c>
      <c r="I4412" t="inlineStr">
        <is>
          <t>Daily/ Weekly Vehicle Inspection</t>
        </is>
      </c>
      <c r="J4412" t="inlineStr">
        <is>
          <t>N/A</t>
        </is>
      </c>
      <c r="K4412" t="inlineStr">
        <is>
          <t>Jane Moore</t>
        </is>
      </c>
      <c r="L4412" t="inlineStr">
        <is>
          <t>07/05/2026 18:52</t>
        </is>
      </c>
      <c r="M4412" t="inlineStr">
        <is>
          <t>None</t>
        </is>
      </c>
      <c r="N4412" t="inlineStr">
        <is>
          <t>&lt;p&gt;&lt;/p&gt;</t>
        </is>
      </c>
      <c r="O4412" t="inlineStr"/>
      <c r="P4412" t="inlineStr">
        <is>
          <t>GL20TGZ , Car - Electric , Tesla , Model 3 Long Range AWD</t>
        </is>
      </c>
      <c r="Q4412" t="inlineStr">
        <is>
          <t>NGED</t>
        </is>
      </c>
      <c r="R4412" t="b">
        <v>1</v>
      </c>
    </row>
    <row r="4413">
      <c r="A4413" t="inlineStr">
        <is>
          <t>8 May 2026 / 6617 Ashdown Tree Limited 1</t>
        </is>
      </c>
      <c r="B4413" t="inlineStr">
        <is>
          <t>Infrastructure &amp; Utilities</t>
        </is>
      </c>
      <c r="C4413" t="inlineStr">
        <is>
          <t>UKPN</t>
        </is>
      </c>
      <c r="D4413" t="inlineStr">
        <is>
          <t>GU11LKD , 4x4 , Land Rover , Defender</t>
        </is>
      </c>
      <c r="E4413" t="inlineStr">
        <is>
          <t>GU11LKD , 4x4 , Land Rover , Defender</t>
        </is>
      </c>
      <c r="F4413" t="inlineStr">
        <is>
          <t>GU11LKD , 4x4 , Land Rover , Defender</t>
        </is>
      </c>
      <c r="G4413" t="inlineStr">
        <is>
          <t>Dan</t>
        </is>
      </c>
      <c r="H4413" t="inlineStr">
        <is>
          <t>4x4</t>
        </is>
      </c>
      <c r="I4413" t="inlineStr">
        <is>
          <t>Daily/ Weekly Vehicle Inspection</t>
        </is>
      </c>
      <c r="J4413" t="inlineStr">
        <is>
          <t>N/A</t>
        </is>
      </c>
      <c r="K4413" t="inlineStr">
        <is>
          <t>6617 Ashdown Tree Limited - Team 2</t>
        </is>
      </c>
      <c r="L4413" t="inlineStr">
        <is>
          <t>08/05/2026 06:52</t>
        </is>
      </c>
      <c r="M4413" t="inlineStr">
        <is>
          <t>None</t>
        </is>
      </c>
      <c r="N4413" t="inlineStr">
        <is>
          <t>&lt;p&gt;&lt;/p&gt;</t>
        </is>
      </c>
      <c r="O4413" t="inlineStr"/>
      <c r="P4413" t="inlineStr">
        <is>
          <t>GU11LKD , 4x4 , Land Rover , Defender</t>
        </is>
      </c>
      <c r="Q4413" t="inlineStr">
        <is>
          <t>UKPN</t>
        </is>
      </c>
      <c r="R4413" t="b">
        <v>1</v>
      </c>
    </row>
    <row r="4414">
      <c r="A4414" t="inlineStr">
        <is>
          <t>8 May 2026 / Barry Bright</t>
        </is>
      </c>
      <c r="B4414" t="inlineStr">
        <is>
          <t>Infrastructure &amp; Utilities</t>
        </is>
      </c>
      <c r="C4414" t="inlineStr">
        <is>
          <t>UKPN</t>
        </is>
      </c>
      <c r="D4414" t="inlineStr">
        <is>
          <t>AK72YBM , Car - Electric , Tesla , Model Y Long Range</t>
        </is>
      </c>
      <c r="E4414" t="inlineStr">
        <is>
          <t>AK72YBM , Car - Electric , Tesla , Model Y Long Range</t>
        </is>
      </c>
      <c r="F4414" t="inlineStr">
        <is>
          <t>AK72YBM , Car - Electric , Tesla , Model Y Long Range</t>
        </is>
      </c>
      <c r="G4414" t="inlineStr">
        <is>
          <t xml:space="preserve">Barry Bright </t>
        </is>
      </c>
      <c r="H4414" t="inlineStr">
        <is>
          <t>Car - Electric (GC Owned)</t>
        </is>
      </c>
      <c r="I4414" t="inlineStr">
        <is>
          <t>Daily/ Weekly Vehicle Inspection</t>
        </is>
      </c>
      <c r="J4414" t="inlineStr">
        <is>
          <t>N/A</t>
        </is>
      </c>
      <c r="K4414" t="inlineStr">
        <is>
          <t>Barry Bright</t>
        </is>
      </c>
      <c r="L4414" t="inlineStr">
        <is>
          <t>08/05/2026 07:52</t>
        </is>
      </c>
      <c r="M4414" t="inlineStr">
        <is>
          <t>None</t>
        </is>
      </c>
      <c r="N4414" t="inlineStr">
        <is>
          <t>&lt;p&gt;&lt;/p&gt;</t>
        </is>
      </c>
      <c r="O4414" t="inlineStr"/>
      <c r="P4414" t="inlineStr">
        <is>
          <t>AK72YBM , Car - Electric , Tesla , Model Y Long Range</t>
        </is>
      </c>
      <c r="Q4414" t="inlineStr">
        <is>
          <t>UKPN</t>
        </is>
      </c>
      <c r="R4414" t="b">
        <v>1</v>
      </c>
    </row>
    <row r="4415">
      <c r="A4415" t="inlineStr">
        <is>
          <t>8 May 2026 / Joshua Stones</t>
        </is>
      </c>
      <c r="B4415" t="inlineStr">
        <is>
          <t>Infrastructure &amp; Utilities</t>
        </is>
      </c>
      <c r="C4415" t="inlineStr">
        <is>
          <t>SSE</t>
        </is>
      </c>
      <c r="D4415" t="inlineStr"/>
      <c r="E4415" t="inlineStr"/>
      <c r="F4415" t="inlineStr"/>
      <c r="G4415" t="inlineStr">
        <is>
          <t>Joshua syones</t>
        </is>
      </c>
      <c r="H4415" t="inlineStr">
        <is>
          <t>Van</t>
        </is>
      </c>
      <c r="I4415" t="inlineStr">
        <is>
          <t>Daily/ Weekly Vehicle Inspection</t>
        </is>
      </c>
      <c r="J4415" t="inlineStr">
        <is>
          <t>N/A</t>
        </is>
      </c>
      <c r="K4415" t="inlineStr">
        <is>
          <t>Joshua Stones</t>
        </is>
      </c>
      <c r="L4415" t="inlineStr">
        <is>
          <t>08/05/2026 07:53</t>
        </is>
      </c>
      <c r="M4415" t="inlineStr">
        <is>
          <t>None</t>
        </is>
      </c>
      <c r="N4415" t="inlineStr">
        <is>
          <t>&lt;p&gt;&lt;/p&gt;</t>
        </is>
      </c>
      <c r="O4415" t="inlineStr"/>
      <c r="P4415" t="inlineStr"/>
      <c r="Q4415" t="inlineStr">
        <is>
          <t>SSE</t>
        </is>
      </c>
      <c r="R4415" t="b">
        <v>1</v>
      </c>
    </row>
    <row r="4416">
      <c r="A4416" t="inlineStr">
        <is>
          <t>8 May 2026 / 7800 MAC Tree Surgery and Fencing Ltd</t>
        </is>
      </c>
      <c r="B4416" t="inlineStr">
        <is>
          <t>Infrastructure &amp; Utilities</t>
        </is>
      </c>
      <c r="C4416" t="inlineStr">
        <is>
          <t>UKPN</t>
        </is>
      </c>
      <c r="D4416" t="inlineStr">
        <is>
          <t>0 , Plant Trailer , Towmate , 2.8t</t>
        </is>
      </c>
      <c r="E4416" t="inlineStr">
        <is>
          <t>0 , Plant Trailer , Towmate , 2.8t</t>
        </is>
      </c>
      <c r="F4416" t="inlineStr">
        <is>
          <t>0 , Plant Trailer , Towmate , 2.8t</t>
        </is>
      </c>
      <c r="G4416" t="inlineStr">
        <is>
          <t xml:space="preserve">Patrick oshea </t>
        </is>
      </c>
      <c r="H4416" t="inlineStr">
        <is>
          <t>Plant Trailer</t>
        </is>
      </c>
      <c r="I4416" t="inlineStr">
        <is>
          <t>Daily/ Weekly Vehicle Inspection</t>
        </is>
      </c>
      <c r="J4416" t="inlineStr">
        <is>
          <t>N/A</t>
        </is>
      </c>
      <c r="K4416" t="inlineStr">
        <is>
          <t>7800 MAC Tree Surgery and Fencing Ltd</t>
        </is>
      </c>
      <c r="L4416" t="inlineStr">
        <is>
          <t>08/05/2026 07:55</t>
        </is>
      </c>
      <c r="M4416" t="inlineStr">
        <is>
          <t>None</t>
        </is>
      </c>
      <c r="N4416" t="inlineStr">
        <is>
          <t>&lt;p&gt;&lt;/p&gt;</t>
        </is>
      </c>
      <c r="O4416" t="inlineStr"/>
      <c r="P4416" t="inlineStr">
        <is>
          <t>0 , Plant Trailer , Towmate , 2.8t</t>
        </is>
      </c>
      <c r="Q4416" t="inlineStr">
        <is>
          <t>UKPN</t>
        </is>
      </c>
      <c r="R4416" t="b">
        <v>1</v>
      </c>
    </row>
    <row r="4417">
      <c r="A4417" t="inlineStr">
        <is>
          <t>8 May 2026 / 7800 MAC Tree Surgery and Fencing Ltd / Utilities / UKPN</t>
        </is>
      </c>
      <c r="B4417" t="inlineStr">
        <is>
          <t>Utilities</t>
        </is>
      </c>
      <c r="C4417" t="inlineStr">
        <is>
          <t>UKPN</t>
        </is>
      </c>
      <c r="D4417" t="inlineStr">
        <is>
          <t>AY68DAA , 4x4 , Izuzu , Dmax</t>
        </is>
      </c>
      <c r="E4417" t="inlineStr">
        <is>
          <t>AY68DAA , 4x4 , Izuzu , Dmax</t>
        </is>
      </c>
      <c r="F4417" t="inlineStr">
        <is>
          <t>AY68DAA , 4x4 , Izuzu , Dmax</t>
        </is>
      </c>
      <c r="G4417" t="inlineStr">
        <is>
          <t xml:space="preserve">Lewis Mac </t>
        </is>
      </c>
      <c r="H4417" t="inlineStr">
        <is>
          <t>4x4</t>
        </is>
      </c>
      <c r="I4417" t="inlineStr">
        <is>
          <t>Daily/ Weekly Vehicle Inspection</t>
        </is>
      </c>
      <c r="J4417" t="inlineStr">
        <is>
          <t>N/A</t>
        </is>
      </c>
      <c r="K4417" t="inlineStr">
        <is>
          <t>7800 MAC Tree Surgery and Fencing Ltd</t>
        </is>
      </c>
      <c r="L4417" t="inlineStr">
        <is>
          <t>08/05/2026 07:55</t>
        </is>
      </c>
      <c r="M4417" t="inlineStr">
        <is>
          <t>None</t>
        </is>
      </c>
      <c r="N4417" t="inlineStr">
        <is>
          <t>&lt;p&gt;&lt;/p&gt;</t>
        </is>
      </c>
      <c r="O4417" t="inlineStr"/>
      <c r="P4417" t="inlineStr">
        <is>
          <t>AY68DAA , 4x4 , Izuzu , Dmax</t>
        </is>
      </c>
      <c r="Q4417" t="inlineStr">
        <is>
          <t>UKPN</t>
        </is>
      </c>
      <c r="R4417" t="b">
        <v>1</v>
      </c>
    </row>
    <row r="4418">
      <c r="A4418" t="inlineStr">
        <is>
          <t>8 May 2026 / 7806 Optimum Tree Services Ltd</t>
        </is>
      </c>
      <c r="B4418" t="inlineStr">
        <is>
          <t>Infrastructure &amp; Utilities</t>
        </is>
      </c>
      <c r="C4418" t="inlineStr">
        <is>
          <t>UKPN</t>
        </is>
      </c>
      <c r="D4418" t="inlineStr">
        <is>
          <t>SA9st6p0001283093 , Towed Chipper , Forst  , St6pHD</t>
        </is>
      </c>
      <c r="E4418" t="inlineStr">
        <is>
          <t>SA9st6p0001283093 , Towed Chipper , Forst  , St6pHD</t>
        </is>
      </c>
      <c r="F4418" t="inlineStr">
        <is>
          <t>SA9st6p0001283093 , Towed Chipper , Forst  , St6pHD</t>
        </is>
      </c>
      <c r="G4418" t="inlineStr">
        <is>
          <t xml:space="preserve">Abraham Davies </t>
        </is>
      </c>
      <c r="H4418" t="inlineStr">
        <is>
          <t>Towed Chipper</t>
        </is>
      </c>
      <c r="I4418" t="inlineStr">
        <is>
          <t>Daily/ Weekly Vehicle Inspection</t>
        </is>
      </c>
      <c r="J4418" t="inlineStr">
        <is>
          <t>N/A</t>
        </is>
      </c>
      <c r="K4418" t="inlineStr">
        <is>
          <t>7806 Optimum Tree Services Ltd</t>
        </is>
      </c>
      <c r="L4418" t="inlineStr">
        <is>
          <t>08/05/2026 07:57</t>
        </is>
      </c>
      <c r="M4418" t="inlineStr">
        <is>
          <t>None</t>
        </is>
      </c>
      <c r="N4418" t="inlineStr">
        <is>
          <t>&lt;p&gt;&lt;/p&gt;</t>
        </is>
      </c>
      <c r="O4418" t="inlineStr"/>
      <c r="P4418" t="inlineStr">
        <is>
          <t>SA9st6p0001283093 , Towed Chipper , Forst  , St6pHD</t>
        </is>
      </c>
      <c r="Q4418" t="inlineStr">
        <is>
          <t>UKPN</t>
        </is>
      </c>
      <c r="R4418" t="b">
        <v>1</v>
      </c>
    </row>
    <row r="4419">
      <c r="A4419" t="inlineStr">
        <is>
          <t>8 May 2026 / 7806 Optimum Tree Services Ltd</t>
        </is>
      </c>
      <c r="B4419" t="inlineStr">
        <is>
          <t>Infrastructure &amp; Utilities</t>
        </is>
      </c>
      <c r="C4419" t="inlineStr">
        <is>
          <t>UKPN</t>
        </is>
      </c>
      <c r="D4419" t="inlineStr">
        <is>
          <t>WD14EVB , MEWP , Land Rover , Defender</t>
        </is>
      </c>
      <c r="E4419" t="inlineStr">
        <is>
          <t>WD14EVB , MEWP , Land Rover , Defender</t>
        </is>
      </c>
      <c r="F4419" t="inlineStr">
        <is>
          <t>WD14EVB , MEWP , Land Rover , Defender</t>
        </is>
      </c>
      <c r="G4419" t="inlineStr">
        <is>
          <t xml:space="preserve">Abraham Davies </t>
        </is>
      </c>
      <c r="H4419" t="inlineStr">
        <is>
          <t>4x4</t>
        </is>
      </c>
      <c r="I4419" t="inlineStr">
        <is>
          <t>Daily/ Weekly Vehicle Inspection</t>
        </is>
      </c>
      <c r="J4419" t="inlineStr">
        <is>
          <t>N/A</t>
        </is>
      </c>
      <c r="K4419" t="inlineStr">
        <is>
          <t>7806 Optimum Tree Services Ltd</t>
        </is>
      </c>
      <c r="L4419" t="inlineStr">
        <is>
          <t>08/05/2026 07:59</t>
        </is>
      </c>
      <c r="M4419" t="inlineStr">
        <is>
          <t>None</t>
        </is>
      </c>
      <c r="N4419" t="inlineStr">
        <is>
          <t>&lt;p&gt;&lt;/p&gt;</t>
        </is>
      </c>
      <c r="O4419" t="inlineStr"/>
      <c r="P4419" t="inlineStr">
        <is>
          <t>WD14EVB , MEWP , Land Rover , Defender</t>
        </is>
      </c>
      <c r="Q4419" t="inlineStr">
        <is>
          <t>UKPN</t>
        </is>
      </c>
      <c r="R4419" t="b">
        <v>1</v>
      </c>
    </row>
    <row r="4420">
      <c r="A4420" t="inlineStr">
        <is>
          <t>8 May 2026 / 7996 M G Tree Surgery Ltd 1</t>
        </is>
      </c>
      <c r="B4420" t="inlineStr">
        <is>
          <t>Infrastructure &amp; Utilities</t>
        </is>
      </c>
      <c r="C4420" t="inlineStr">
        <is>
          <t>UKPN</t>
        </is>
      </c>
      <c r="D4420" t="inlineStr"/>
      <c r="E4420" t="inlineStr"/>
      <c r="F4420" t="inlineStr"/>
      <c r="G4420" t="inlineStr">
        <is>
          <t>Anthony Gale</t>
        </is>
      </c>
      <c r="H4420" t="inlineStr">
        <is>
          <t>Towed Chipper</t>
        </is>
      </c>
      <c r="I4420" t="inlineStr">
        <is>
          <t>Daily/ Weekly Vehicle Inspection</t>
        </is>
      </c>
      <c r="J4420" t="inlineStr">
        <is>
          <t>N/A</t>
        </is>
      </c>
      <c r="K4420" t="inlineStr">
        <is>
          <t>7996 M G Tree Surgery Ltd 1</t>
        </is>
      </c>
      <c r="L4420" t="inlineStr">
        <is>
          <t>08/05/2026 08:01</t>
        </is>
      </c>
      <c r="M4420" t="inlineStr">
        <is>
          <t>None</t>
        </is>
      </c>
      <c r="N4420" t="inlineStr">
        <is>
          <t>&lt;p&gt;&lt;/p&gt;</t>
        </is>
      </c>
      <c r="O4420" t="inlineStr"/>
      <c r="P4420" t="inlineStr"/>
      <c r="Q4420" t="inlineStr">
        <is>
          <t>UKPN</t>
        </is>
      </c>
      <c r="R4420" t="b">
        <v>1</v>
      </c>
    </row>
    <row r="4421">
      <c r="A4421" t="inlineStr">
        <is>
          <t>8 May 2026 / 7996 M G Tree Surgery Ltd 1</t>
        </is>
      </c>
      <c r="B4421" t="inlineStr">
        <is>
          <t>Infrastructure &amp; Utilities</t>
        </is>
      </c>
      <c r="C4421" t="inlineStr">
        <is>
          <t>UKPN</t>
        </is>
      </c>
      <c r="D4421" t="inlineStr">
        <is>
          <t>KX20 BCE , Tipper , Isuzu , D-Max</t>
        </is>
      </c>
      <c r="E4421" t="inlineStr">
        <is>
          <t>KX20 BCE , Tipper , Isuzu , D-Max</t>
        </is>
      </c>
      <c r="F4421" t="inlineStr">
        <is>
          <t>KX20 BCE , Tipper , Isuzu , D-Max</t>
        </is>
      </c>
      <c r="G4421" t="inlineStr">
        <is>
          <t>Anthony Gale</t>
        </is>
      </c>
      <c r="H4421" t="inlineStr">
        <is>
          <t>Pickup Truck</t>
        </is>
      </c>
      <c r="I4421" t="inlineStr">
        <is>
          <t>Daily/ Weekly Vehicle Inspection</t>
        </is>
      </c>
      <c r="J4421" t="inlineStr">
        <is>
          <t>N/A</t>
        </is>
      </c>
      <c r="K4421" t="inlineStr">
        <is>
          <t>7996 M G Tree Surgery Ltd 1</t>
        </is>
      </c>
      <c r="L4421" t="inlineStr">
        <is>
          <t>08/05/2026 08:02</t>
        </is>
      </c>
      <c r="M4421" t="inlineStr">
        <is>
          <t>None</t>
        </is>
      </c>
      <c r="N4421" t="inlineStr">
        <is>
          <t>&lt;p&gt;&lt;/p&gt;</t>
        </is>
      </c>
      <c r="O4421" t="inlineStr"/>
      <c r="P4421" t="inlineStr">
        <is>
          <t>KX20 BCE , Tipper , Isuzu , D-Max</t>
        </is>
      </c>
      <c r="Q4421" t="inlineStr">
        <is>
          <t>UKPN</t>
        </is>
      </c>
      <c r="R4421" t="b">
        <v>1</v>
      </c>
    </row>
    <row r="4422">
      <c r="A4422" t="inlineStr">
        <is>
          <t>8 May 2026 / Tom Blackman</t>
        </is>
      </c>
      <c r="B4422" t="inlineStr">
        <is>
          <t>Infrastructure &amp; Utilities</t>
        </is>
      </c>
      <c r="C4422" t="inlineStr">
        <is>
          <t>NGED</t>
        </is>
      </c>
      <c r="D4422" t="inlineStr">
        <is>
          <t>EO73KVV , Car - Electric , Kia , Niro</t>
        </is>
      </c>
      <c r="E4422" t="inlineStr">
        <is>
          <t>EO73KVV , Car - Electric , Kia , Niro</t>
        </is>
      </c>
      <c r="F4422" t="inlineStr">
        <is>
          <t>EO73KVV , Car - Electric , Kia , Niro</t>
        </is>
      </c>
      <c r="G4422" t="inlineStr">
        <is>
          <t>Tom Blackman</t>
        </is>
      </c>
      <c r="H4422" t="inlineStr">
        <is>
          <t>Car - Electric (GC Owned)</t>
        </is>
      </c>
      <c r="I4422" t="inlineStr">
        <is>
          <t>Daily/ Weekly Vehicle Inspection</t>
        </is>
      </c>
      <c r="J4422" t="inlineStr">
        <is>
          <t>N/A</t>
        </is>
      </c>
      <c r="K4422" t="inlineStr">
        <is>
          <t>Tom Blackman</t>
        </is>
      </c>
      <c r="L4422" t="inlineStr">
        <is>
          <t>08/05/2026 16:52</t>
        </is>
      </c>
      <c r="M4422" t="inlineStr">
        <is>
          <t>None</t>
        </is>
      </c>
      <c r="N4422" t="inlineStr">
        <is>
          <t>&lt;p&gt;&lt;/p&gt;</t>
        </is>
      </c>
      <c r="O4422" t="inlineStr"/>
      <c r="P4422" t="inlineStr">
        <is>
          <t>EO73KVV , Car - Electric , Kia , Niro</t>
        </is>
      </c>
      <c r="Q4422" t="inlineStr">
        <is>
          <t>NGED</t>
        </is>
      </c>
      <c r="R4422" t="b">
        <v>1</v>
      </c>
    </row>
    <row r="4423">
      <c r="A4423" t="inlineStr">
        <is>
          <t>8 May 2026 / Mathew Dunn</t>
        </is>
      </c>
      <c r="B4423" t="inlineStr">
        <is>
          <t>Infrastructure &amp; Utilities</t>
        </is>
      </c>
      <c r="C4423" t="inlineStr">
        <is>
          <t>SSE</t>
        </is>
      </c>
      <c r="D4423" t="inlineStr">
        <is>
          <t>GN70XAU , Car - Electric , Tesla , Model 3 Long Range AWD</t>
        </is>
      </c>
      <c r="E4423" t="inlineStr">
        <is>
          <t>GN70XAU , Car - Electric , Tesla , Model 3 Long Range AWD</t>
        </is>
      </c>
      <c r="F4423" t="inlineStr">
        <is>
          <t>GN70XAU , Car - Electric , Tesla , Model 3 Long Range AWD</t>
        </is>
      </c>
      <c r="G4423" t="inlineStr">
        <is>
          <t>Mathew dunn</t>
        </is>
      </c>
      <c r="H4423" t="inlineStr">
        <is>
          <t>Car - Electric (GC Owned)</t>
        </is>
      </c>
      <c r="I4423" t="inlineStr">
        <is>
          <t>Daily/ Weekly Vehicle Inspection</t>
        </is>
      </c>
      <c r="J4423" t="inlineStr">
        <is>
          <t>N/A</t>
        </is>
      </c>
      <c r="K4423" t="inlineStr">
        <is>
          <t>Mathew Dunn</t>
        </is>
      </c>
      <c r="L4423" t="inlineStr">
        <is>
          <t>08/05/2026 16:52</t>
        </is>
      </c>
      <c r="M4423" t="inlineStr">
        <is>
          <t>None</t>
        </is>
      </c>
      <c r="N4423" t="inlineStr">
        <is>
          <t>&lt;p&gt;&lt;/p&gt;</t>
        </is>
      </c>
      <c r="O4423" t="inlineStr"/>
      <c r="P4423" t="inlineStr">
        <is>
          <t>GN70XAU , Car - Electric , Tesla , Model 3 Long Range AWD</t>
        </is>
      </c>
      <c r="Q4423" t="inlineStr">
        <is>
          <t>SSE</t>
        </is>
      </c>
      <c r="R4423" t="b">
        <v>1</v>
      </c>
    </row>
    <row r="4424">
      <c r="A4424" t="inlineStr">
        <is>
          <t>11 May 2026 / Christopher Simeoli</t>
        </is>
      </c>
      <c r="B4424" t="inlineStr">
        <is>
          <t>Infrastructure &amp; Utilities</t>
        </is>
      </c>
      <c r="C4424" t="inlineStr">
        <is>
          <t>NGED</t>
        </is>
      </c>
      <c r="D4424" t="inlineStr"/>
      <c r="E4424" t="inlineStr"/>
      <c r="F4424" t="inlineStr"/>
      <c r="G4424" t="inlineStr"/>
      <c r="H4424" t="inlineStr"/>
      <c r="I4424" t="inlineStr"/>
      <c r="J4424" t="inlineStr">
        <is>
          <t>N/A</t>
        </is>
      </c>
      <c r="K4424" t="inlineStr">
        <is>
          <t>Christopher Simeoli</t>
        </is>
      </c>
      <c r="L4424" t="inlineStr">
        <is>
          <t>11/05/2026 06:54</t>
        </is>
      </c>
      <c r="M4424" t="inlineStr">
        <is>
          <t>None</t>
        </is>
      </c>
      <c r="N4424" t="inlineStr">
        <is>
          <t>&lt;p&gt;&lt;/p&gt;</t>
        </is>
      </c>
      <c r="O4424" t="inlineStr"/>
      <c r="P4424" t="inlineStr"/>
      <c r="Q4424" t="inlineStr">
        <is>
          <t>NGED</t>
        </is>
      </c>
      <c r="R4424" t="b">
        <v>0</v>
      </c>
    </row>
    <row r="4425">
      <c r="A4425" t="inlineStr">
        <is>
          <t>11 May 2026 / 7995 Green Net Eco Ltd 2</t>
        </is>
      </c>
      <c r="B4425" t="inlineStr">
        <is>
          <t>Infrastructure &amp; Utilities</t>
        </is>
      </c>
      <c r="C4425" t="inlineStr">
        <is>
          <t>UKPN</t>
        </is>
      </c>
      <c r="D4425" t="inlineStr">
        <is>
          <t>SA9ST800000283944 , Towed Chipper , Forst , ST8D - Towed</t>
        </is>
      </c>
      <c r="E4425" t="inlineStr">
        <is>
          <t>SA9ST800000283944 , Towed Chipper , Forst , ST8D - Towed</t>
        </is>
      </c>
      <c r="F4425" t="inlineStr">
        <is>
          <t>SA9ST800000283944 , Towed Chipper , Forst , ST8D - Towed</t>
        </is>
      </c>
      <c r="G4425" t="inlineStr">
        <is>
          <t>Thomas Playford</t>
        </is>
      </c>
      <c r="H4425" t="inlineStr">
        <is>
          <t>Towed Chipper</t>
        </is>
      </c>
      <c r="I4425" t="inlineStr">
        <is>
          <t>Daily/ Weekly Vehicle Inspection</t>
        </is>
      </c>
      <c r="J4425" t="inlineStr">
        <is>
          <t>N/A</t>
        </is>
      </c>
      <c r="K4425" t="inlineStr">
        <is>
          <t>7995 Green Net Eco Ltd 2</t>
        </is>
      </c>
      <c r="L4425" t="inlineStr">
        <is>
          <t>11/05/2026 07:52</t>
        </is>
      </c>
      <c r="M4425" t="inlineStr">
        <is>
          <t>None</t>
        </is>
      </c>
      <c r="N4425" t="inlineStr">
        <is>
          <t>&lt;p&gt;&lt;/p&gt;</t>
        </is>
      </c>
      <c r="O4425" t="inlineStr"/>
      <c r="P4425" t="inlineStr">
        <is>
          <t>SA9ST800000283944 , Towed Chipper , Forst , ST8D - Towed</t>
        </is>
      </c>
      <c r="Q4425" t="inlineStr">
        <is>
          <t>UKPN</t>
        </is>
      </c>
      <c r="R4425" t="b">
        <v>0</v>
      </c>
    </row>
    <row r="4426">
      <c r="A4426" t="inlineStr">
        <is>
          <t>11 May 2026 / 7995 Green Net Eco Ltd 2</t>
        </is>
      </c>
      <c r="B4426" t="inlineStr">
        <is>
          <t>Infrastructure &amp; Utilities</t>
        </is>
      </c>
      <c r="C4426" t="inlineStr">
        <is>
          <t>UKPN</t>
        </is>
      </c>
      <c r="D4426" t="inlineStr">
        <is>
          <t>LK15KRZ , 4x4 , Landrover , Defender</t>
        </is>
      </c>
      <c r="E4426" t="inlineStr">
        <is>
          <t>LK15KRZ , 4x4 , Landrover , Defender</t>
        </is>
      </c>
      <c r="F4426" t="inlineStr">
        <is>
          <t>LK15KRZ , 4x4 , Landrover , Defender</t>
        </is>
      </c>
      <c r="G4426" t="inlineStr">
        <is>
          <t>Thomas Playford</t>
        </is>
      </c>
      <c r="H4426" t="inlineStr">
        <is>
          <t>4x4</t>
        </is>
      </c>
      <c r="I4426" t="inlineStr">
        <is>
          <t>Daily/ Weekly Vehicle Inspection</t>
        </is>
      </c>
      <c r="J4426" t="inlineStr">
        <is>
          <t>N/A</t>
        </is>
      </c>
      <c r="K4426" t="inlineStr">
        <is>
          <t>7995 Green Net Eco Ltd 2</t>
        </is>
      </c>
      <c r="L4426" t="inlineStr">
        <is>
          <t>11/05/2026 07:53</t>
        </is>
      </c>
      <c r="M4426" t="inlineStr">
        <is>
          <t>None</t>
        </is>
      </c>
      <c r="N4426" t="inlineStr">
        <is>
          <t>&lt;p&gt;&lt;/p&gt;</t>
        </is>
      </c>
      <c r="O4426" t="inlineStr"/>
      <c r="P4426" t="inlineStr">
        <is>
          <t>LK15KRZ , 4x4 , Landrover , Defender</t>
        </is>
      </c>
      <c r="Q4426" t="inlineStr">
        <is>
          <t>UKPN</t>
        </is>
      </c>
      <c r="R4426" t="b">
        <v>0</v>
      </c>
    </row>
    <row r="4427">
      <c r="A4427" t="inlineStr">
        <is>
          <t>11 May 2026 / 7889 Tree Tech Suffolk Ltd</t>
        </is>
      </c>
      <c r="B4427" t="inlineStr">
        <is>
          <t>Utilities &amp; Inland Waterways</t>
        </is>
      </c>
      <c r="C4427" t="inlineStr">
        <is>
          <t>UKPN</t>
        </is>
      </c>
      <c r="D4427" t="inlineStr">
        <is>
          <t>Tipper - Mercedes - Sprinter - NS06TTSTow Chipper - Jenson - A530L - 5521063948</t>
        </is>
      </c>
      <c r="E4427" t="inlineStr">
        <is>
          <t>Tipper - Mercedes - Sprinter - NS06TTSTow Chipper - Jenson - A530L - 5521063948</t>
        </is>
      </c>
      <c r="F4427" t="inlineStr">
        <is>
          <t>Tipper - Mercedes - Sprinter - NS06TTSTow Chipper - Jenson - A530L - 5521063948</t>
        </is>
      </c>
      <c r="G4427" t="inlineStr">
        <is>
          <t xml:space="preserve">Danny ApplebyDanny Appleby </t>
        </is>
      </c>
      <c r="H4427" t="inlineStr">
        <is>
          <t>TipperTowed Chipper</t>
        </is>
      </c>
      <c r="I4427" t="inlineStr">
        <is>
          <t>Daily/ Weekly Vehicle Inspection</t>
        </is>
      </c>
      <c r="J4427" t="inlineStr">
        <is>
          <t>N/A</t>
        </is>
      </c>
      <c r="K4427" t="inlineStr">
        <is>
          <t>7889 Tree Tech Suffolk Ltd</t>
        </is>
      </c>
      <c r="L4427" t="inlineStr">
        <is>
          <t>11/05/2026 07:55</t>
        </is>
      </c>
      <c r="M4427" t="inlineStr">
        <is>
          <t>None</t>
        </is>
      </c>
      <c r="N4427" t="inlineStr">
        <is>
          <t>&lt;p&gt;&lt;/p&gt;</t>
        </is>
      </c>
      <c r="O4427" t="inlineStr"/>
      <c r="P4427" t="inlineStr">
        <is>
          <t>Tipper - Mercedes - Sprinter - NS06TTSTow Chipper - Jenson - A530L - 5521063948</t>
        </is>
      </c>
      <c r="Q4427" t="inlineStr">
        <is>
          <t>UKPN</t>
        </is>
      </c>
      <c r="R4427" t="b">
        <v>0</v>
      </c>
    </row>
    <row r="4428">
      <c r="A4428" t="inlineStr">
        <is>
          <t>11 May 2026 / 7186 Eastwoodbury Tree Services Ltd 2</t>
        </is>
      </c>
      <c r="B4428" t="inlineStr">
        <is>
          <t>Infrastructure &amp; Utilities</t>
        </is>
      </c>
      <c r="C4428" t="inlineStr">
        <is>
          <t>UKPN</t>
        </is>
      </c>
      <c r="D4428" t="inlineStr">
        <is>
          <t>DE53NKS , 4x4 , Ford , Ranger</t>
        </is>
      </c>
      <c r="E4428" t="inlineStr">
        <is>
          <t>DE53NKS , 4x4 , Ford , Ranger</t>
        </is>
      </c>
      <c r="F4428" t="inlineStr">
        <is>
          <t>DE53NKS , 4x4 , Ford , Ranger</t>
        </is>
      </c>
      <c r="G4428" t="inlineStr">
        <is>
          <t xml:space="preserve">Jay Denkmayer </t>
        </is>
      </c>
      <c r="H4428" t="inlineStr">
        <is>
          <t>4x4</t>
        </is>
      </c>
      <c r="I4428" t="inlineStr">
        <is>
          <t>Daily/ Weekly Vehicle Inspection</t>
        </is>
      </c>
      <c r="J4428" t="inlineStr">
        <is>
          <t>N/A</t>
        </is>
      </c>
      <c r="K4428" t="inlineStr">
        <is>
          <t>7186 Eastwoodbury Tree Services Ltd 2</t>
        </is>
      </c>
      <c r="L4428" t="inlineStr">
        <is>
          <t>11/05/2026 07:56</t>
        </is>
      </c>
      <c r="M4428" t="inlineStr">
        <is>
          <t>None</t>
        </is>
      </c>
      <c r="N4428" t="inlineStr">
        <is>
          <t>&lt;p&gt;&lt;/p&gt;</t>
        </is>
      </c>
      <c r="O4428" t="inlineStr"/>
      <c r="P4428" t="inlineStr">
        <is>
          <t>DE53NKS , 4x4 , Ford , Ranger</t>
        </is>
      </c>
      <c r="Q4428" t="inlineStr">
        <is>
          <t>UKPN</t>
        </is>
      </c>
      <c r="R4428" t="b">
        <v>0</v>
      </c>
    </row>
    <row r="4429">
      <c r="A4429" t="inlineStr">
        <is>
          <t>11 May 2026 / 7186 Eastwoodbury Tree Services Ltd 2</t>
        </is>
      </c>
      <c r="B4429" t="inlineStr">
        <is>
          <t>Infrastructure &amp; Utilities</t>
        </is>
      </c>
      <c r="C4429" t="inlineStr">
        <is>
          <t>UKPN</t>
        </is>
      </c>
      <c r="D4429" t="inlineStr">
        <is>
          <t>FX14 XCV , 4x4 , Land Rover  , Defender</t>
        </is>
      </c>
      <c r="E4429" t="inlineStr">
        <is>
          <t>FX14 XCV , 4x4 , Land Rover  , Defender</t>
        </is>
      </c>
      <c r="F4429" t="inlineStr">
        <is>
          <t>FX14 XCV , 4x4 , Land Rover  , Defender</t>
        </is>
      </c>
      <c r="G4429" t="inlineStr">
        <is>
          <t xml:space="preserve">Tom price </t>
        </is>
      </c>
      <c r="H4429" t="inlineStr">
        <is>
          <t>4x4</t>
        </is>
      </c>
      <c r="I4429" t="inlineStr">
        <is>
          <t>Daily/ Weekly Vehicle Inspection</t>
        </is>
      </c>
      <c r="J4429" t="inlineStr">
        <is>
          <t>N/A</t>
        </is>
      </c>
      <c r="K4429" t="inlineStr">
        <is>
          <t>7186 Eastwoodbury Tree Services Ltd 2</t>
        </is>
      </c>
      <c r="L4429" t="inlineStr">
        <is>
          <t>11/05/2026 07:56</t>
        </is>
      </c>
      <c r="M4429" t="inlineStr">
        <is>
          <t>None</t>
        </is>
      </c>
      <c r="N4429" t="inlineStr">
        <is>
          <t>&lt;p&gt;&lt;/p&gt;</t>
        </is>
      </c>
      <c r="O4429" t="inlineStr"/>
      <c r="P4429" t="inlineStr">
        <is>
          <t>FX14 XCV , 4x4 , Land Rover  , Defender</t>
        </is>
      </c>
      <c r="Q4429" t="inlineStr">
        <is>
          <t>UKPN</t>
        </is>
      </c>
      <c r="R4429" t="b">
        <v>0</v>
      </c>
    </row>
    <row r="4430">
      <c r="A4430" t="inlineStr">
        <is>
          <t>11 May 2026 / 7951 Austin Tree Care LTD</t>
        </is>
      </c>
      <c r="B4430" t="inlineStr">
        <is>
          <t>Infrastructure &amp; Utilities</t>
        </is>
      </c>
      <c r="C4430" t="inlineStr">
        <is>
          <t>UKPN</t>
        </is>
      </c>
      <c r="D4430" t="inlineStr">
        <is>
          <t>WG64HTT , 4x4 , Land Rover , Defender 110</t>
        </is>
      </c>
      <c r="E4430" t="inlineStr">
        <is>
          <t>WG64HTT , 4x4 , Land Rover , Defender 110</t>
        </is>
      </c>
      <c r="F4430" t="inlineStr">
        <is>
          <t>WG64HTT , 4x4 , Land Rover , Defender 110</t>
        </is>
      </c>
      <c r="G4430" t="inlineStr">
        <is>
          <t xml:space="preserve">Jack Austin </t>
        </is>
      </c>
      <c r="H4430" t="inlineStr">
        <is>
          <t>4x4</t>
        </is>
      </c>
      <c r="I4430" t="inlineStr">
        <is>
          <t>Daily/ Weekly Vehicle Inspection</t>
        </is>
      </c>
      <c r="J4430" t="inlineStr">
        <is>
          <t>N/A</t>
        </is>
      </c>
      <c r="K4430" t="inlineStr">
        <is>
          <t>7951 Austin Tree Care LTD</t>
        </is>
      </c>
      <c r="L4430" t="inlineStr">
        <is>
          <t>11/05/2026 07:58</t>
        </is>
      </c>
      <c r="M4430" t="inlineStr">
        <is>
          <t>None</t>
        </is>
      </c>
      <c r="N4430" t="inlineStr">
        <is>
          <t>&lt;p&gt;&lt;/p&gt;</t>
        </is>
      </c>
      <c r="O4430" t="inlineStr"/>
      <c r="P4430" t="inlineStr">
        <is>
          <t>WG64HTT , 4x4 , Land Rover , Defender 110</t>
        </is>
      </c>
      <c r="Q4430" t="inlineStr">
        <is>
          <t>UKPN</t>
        </is>
      </c>
      <c r="R4430" t="b">
        <v>0</v>
      </c>
    </row>
    <row r="4431">
      <c r="A4431" t="inlineStr">
        <is>
          <t>11 May 2026 / 7951 Austin Tree Care LTD</t>
        </is>
      </c>
      <c r="B4431" t="inlineStr">
        <is>
          <t>Infrastructure &amp; Utilities</t>
        </is>
      </c>
      <c r="C4431" t="inlineStr">
        <is>
          <t>UKPN</t>
        </is>
      </c>
      <c r="D4431" t="inlineStr">
        <is>
          <t>SA9ST6P0001283612 , Towed Chipper , Forst , ST6p</t>
        </is>
      </c>
      <c r="E4431" t="inlineStr">
        <is>
          <t>SA9ST6P0001283612 , Towed Chipper , Forst , ST6p</t>
        </is>
      </c>
      <c r="F4431" t="inlineStr">
        <is>
          <t>SA9ST6P0001283612 , Towed Chipper , Forst , ST6p</t>
        </is>
      </c>
      <c r="G4431" t="inlineStr">
        <is>
          <t xml:space="preserve">Jack Austin </t>
        </is>
      </c>
      <c r="H4431" t="inlineStr">
        <is>
          <t>Towed Chipper</t>
        </is>
      </c>
      <c r="I4431" t="inlineStr">
        <is>
          <t>Daily/ Weekly Vehicle Inspection</t>
        </is>
      </c>
      <c r="J4431" t="inlineStr">
        <is>
          <t>N/A</t>
        </is>
      </c>
      <c r="K4431" t="inlineStr">
        <is>
          <t>7951 Austin Tree Care LTD</t>
        </is>
      </c>
      <c r="L4431" t="inlineStr">
        <is>
          <t>11/05/2026 07:58</t>
        </is>
      </c>
      <c r="M4431" t="inlineStr">
        <is>
          <t>None</t>
        </is>
      </c>
      <c r="N4431" t="inlineStr">
        <is>
          <t>&lt;p&gt;&lt;/p&gt;</t>
        </is>
      </c>
      <c r="O4431" t="inlineStr"/>
      <c r="P4431" t="inlineStr">
        <is>
          <t>SA9ST6P0001283612 , Towed Chipper , Forst , ST6p</t>
        </is>
      </c>
      <c r="Q4431" t="inlineStr">
        <is>
          <t>UKPN</t>
        </is>
      </c>
      <c r="R4431" t="b">
        <v>0</v>
      </c>
    </row>
    <row r="4432">
      <c r="A4432" t="inlineStr">
        <is>
          <t>11 May 2026 / 7806 Optimum Tree Services Ltd</t>
        </is>
      </c>
      <c r="B4432" t="inlineStr">
        <is>
          <t>Infrastructure &amp; Utilities</t>
        </is>
      </c>
      <c r="C4432" t="inlineStr">
        <is>
          <t>UKPN</t>
        </is>
      </c>
      <c r="D4432" t="inlineStr">
        <is>
          <t>SA9st6p0001283093 , Towed Chipper , Forst  , St6pHD</t>
        </is>
      </c>
      <c r="E4432" t="inlineStr">
        <is>
          <t>SA9st6p0001283093 , Towed Chipper , Forst  , St6pHD</t>
        </is>
      </c>
      <c r="F4432" t="inlineStr">
        <is>
          <t>SA9st6p0001283093 , Towed Chipper , Forst  , St6pHD</t>
        </is>
      </c>
      <c r="G4432" t="inlineStr">
        <is>
          <t xml:space="preserve">Abraham Davies </t>
        </is>
      </c>
      <c r="H4432" t="inlineStr">
        <is>
          <t>Towed Chipper</t>
        </is>
      </c>
      <c r="I4432" t="inlineStr">
        <is>
          <t>Daily/ Weekly Vehicle Inspection</t>
        </is>
      </c>
      <c r="J4432" t="inlineStr">
        <is>
          <t>N/A</t>
        </is>
      </c>
      <c r="K4432" t="inlineStr">
        <is>
          <t>7806 Optimum Tree Services Ltd</t>
        </is>
      </c>
      <c r="L4432" t="inlineStr">
        <is>
          <t>11/05/2026 08:01</t>
        </is>
      </c>
      <c r="M4432" t="inlineStr">
        <is>
          <t>None</t>
        </is>
      </c>
      <c r="N4432" t="inlineStr">
        <is>
          <t>&lt;p&gt;&lt;/p&gt;</t>
        </is>
      </c>
      <c r="O4432" t="inlineStr"/>
      <c r="P4432" t="inlineStr">
        <is>
          <t>SA9st6p0001283093 , Towed Chipper , Forst  , St6pHD</t>
        </is>
      </c>
      <c r="Q4432" t="inlineStr">
        <is>
          <t>UKPN</t>
        </is>
      </c>
      <c r="R4432" t="b">
        <v>0</v>
      </c>
    </row>
    <row r="4433">
      <c r="A4433" t="inlineStr">
        <is>
          <t>11 May 2026 / 7806 Optimum Tree Services Ltd</t>
        </is>
      </c>
      <c r="B4433" t="inlineStr">
        <is>
          <t>Infrastructure &amp; Utilities</t>
        </is>
      </c>
      <c r="C4433" t="inlineStr">
        <is>
          <t>UKPN</t>
        </is>
      </c>
      <c r="D4433" t="inlineStr">
        <is>
          <t>WD14EVB , MEWP , Land Rover , Defender</t>
        </is>
      </c>
      <c r="E4433" t="inlineStr">
        <is>
          <t>WD14EVB , MEWP , Land Rover , Defender</t>
        </is>
      </c>
      <c r="F4433" t="inlineStr">
        <is>
          <t>WD14EVB , MEWP , Land Rover , Defender</t>
        </is>
      </c>
      <c r="G4433" t="inlineStr">
        <is>
          <t xml:space="preserve">Abraham Davies </t>
        </is>
      </c>
      <c r="H4433" t="inlineStr">
        <is>
          <t>4x4</t>
        </is>
      </c>
      <c r="I4433" t="inlineStr">
        <is>
          <t>Daily/ Weekly Vehicle Inspection</t>
        </is>
      </c>
      <c r="J4433" t="inlineStr">
        <is>
          <t>N/A</t>
        </is>
      </c>
      <c r="K4433" t="inlineStr">
        <is>
          <t>7806 Optimum Tree Services Ltd</t>
        </is>
      </c>
      <c r="L4433" t="inlineStr">
        <is>
          <t>11/05/2026 08:02</t>
        </is>
      </c>
      <c r="M4433" t="inlineStr">
        <is>
          <t>None</t>
        </is>
      </c>
      <c r="N4433" t="inlineStr">
        <is>
          <t>&lt;p&gt;&lt;/p&gt;</t>
        </is>
      </c>
      <c r="O4433" t="inlineStr"/>
      <c r="P4433" t="inlineStr">
        <is>
          <t>WD14EVB , MEWP , Land Rover , Defender</t>
        </is>
      </c>
      <c r="Q4433" t="inlineStr">
        <is>
          <t>UKPN</t>
        </is>
      </c>
      <c r="R4433" t="b">
        <v>0</v>
      </c>
    </row>
    <row r="4434">
      <c r="A4434" t="inlineStr">
        <is>
          <t>11 May 2026 / Philip Shaw</t>
        </is>
      </c>
      <c r="B4434" t="inlineStr">
        <is>
          <t>Infrastructure &amp; Utilities</t>
        </is>
      </c>
      <c r="C4434" t="inlineStr">
        <is>
          <t>NGED</t>
        </is>
      </c>
      <c r="D4434" t="inlineStr">
        <is>
          <t>AF22TZO , Car - Electric , Tesla , Model 3 Long Range AWD</t>
        </is>
      </c>
      <c r="E4434" t="inlineStr">
        <is>
          <t>AF22TZO , Car - Electric , Tesla , Model 3 Long Range AWD</t>
        </is>
      </c>
      <c r="F4434" t="inlineStr">
        <is>
          <t>AF22TZO , Car - Electric , Tesla , Model 3 Long Range AWD</t>
        </is>
      </c>
      <c r="G4434" t="inlineStr">
        <is>
          <t xml:space="preserve">Phil shaw </t>
        </is>
      </c>
      <c r="H4434" t="inlineStr">
        <is>
          <t>Car - Electric (GC Owned)</t>
        </is>
      </c>
      <c r="I4434" t="inlineStr">
        <is>
          <t>Daily/ Weekly Vehicle Inspection</t>
        </is>
      </c>
      <c r="J4434" t="inlineStr">
        <is>
          <t>N/A</t>
        </is>
      </c>
      <c r="K4434" t="inlineStr">
        <is>
          <t>Philip Shaw</t>
        </is>
      </c>
      <c r="L4434" t="inlineStr">
        <is>
          <t>11/05/2026 08:03</t>
        </is>
      </c>
      <c r="M4434" t="inlineStr">
        <is>
          <t>None</t>
        </is>
      </c>
      <c r="N4434" t="inlineStr">
        <is>
          <t>&lt;p&gt;&lt;/p&gt;</t>
        </is>
      </c>
      <c r="O4434" t="inlineStr"/>
      <c r="P4434" t="inlineStr">
        <is>
          <t>AF22TZO , Car - Electric , Tesla , Model 3 Long Range AWD</t>
        </is>
      </c>
      <c r="Q4434" t="inlineStr">
        <is>
          <t>NGED</t>
        </is>
      </c>
      <c r="R4434" t="b">
        <v>0</v>
      </c>
    </row>
    <row r="4435">
      <c r="A4435" t="inlineStr">
        <is>
          <t>11 May 2026 / Keil Cheung</t>
        </is>
      </c>
      <c r="B4435" t="inlineStr">
        <is>
          <t>Infrastructure &amp; Utilities</t>
        </is>
      </c>
      <c r="C4435" t="inlineStr">
        <is>
          <t>NGED</t>
        </is>
      </c>
      <c r="D4435" t="inlineStr">
        <is>
          <t>GJ71KHV , Car - Electric , Tesla , Model 3 Long Range AWD</t>
        </is>
      </c>
      <c r="E4435" t="inlineStr">
        <is>
          <t>GJ71KHV , Car - Electric , Tesla , Model 3 Long Range AWD</t>
        </is>
      </c>
      <c r="F4435" t="inlineStr">
        <is>
          <t>GJ71KHV , Car - Electric , Tesla , Model 3 Long Range AWD</t>
        </is>
      </c>
      <c r="G4435" t="inlineStr">
        <is>
          <t>Keil cheung</t>
        </is>
      </c>
      <c r="H4435" t="inlineStr">
        <is>
          <t>Car - Electric (GC Owned)</t>
        </is>
      </c>
      <c r="I4435" t="inlineStr">
        <is>
          <t>Daily/ Weekly Vehicle Inspection</t>
        </is>
      </c>
      <c r="J4435" t="inlineStr">
        <is>
          <t>N/A</t>
        </is>
      </c>
      <c r="K4435" t="inlineStr">
        <is>
          <t>Keil Cheung</t>
        </is>
      </c>
      <c r="L4435" t="inlineStr">
        <is>
          <t>11/05/2026 08:04</t>
        </is>
      </c>
      <c r="M4435" t="inlineStr">
        <is>
          <t>None</t>
        </is>
      </c>
      <c r="N4435" t="inlineStr">
        <is>
          <t>&lt;p&gt;&lt;/p&gt;</t>
        </is>
      </c>
      <c r="O4435" t="inlineStr"/>
      <c r="P4435" t="inlineStr">
        <is>
          <t>GJ71KHV , Car - Electric , Tesla , Model 3 Long Range AWD</t>
        </is>
      </c>
      <c r="Q4435" t="inlineStr">
        <is>
          <t>NGED</t>
        </is>
      </c>
      <c r="R4435" t="b">
        <v>0</v>
      </c>
    </row>
    <row r="4436">
      <c r="A4436" t="inlineStr">
        <is>
          <t>11 May 2026 / 6617 Ashdown Tree Limited 1</t>
        </is>
      </c>
      <c r="B4436" t="inlineStr">
        <is>
          <t>Infrastructure &amp; Utilities</t>
        </is>
      </c>
      <c r="C4436" t="inlineStr">
        <is>
          <t>UKPN</t>
        </is>
      </c>
      <c r="D4436" t="inlineStr">
        <is>
          <t>GU11LKD , 4x4 , Land Rover , Defender</t>
        </is>
      </c>
      <c r="E4436" t="inlineStr">
        <is>
          <t>GU11LKD , 4x4 , Land Rover , Defender</t>
        </is>
      </c>
      <c r="F4436" t="inlineStr">
        <is>
          <t>GU11LKD , 4x4 , Land Rover , Defender</t>
        </is>
      </c>
      <c r="G4436" t="inlineStr">
        <is>
          <t>Dan</t>
        </is>
      </c>
      <c r="H4436" t="inlineStr">
        <is>
          <t>4x4</t>
        </is>
      </c>
      <c r="I4436" t="inlineStr">
        <is>
          <t>Daily/ Weekly Vehicle Inspection</t>
        </is>
      </c>
      <c r="J4436" t="inlineStr">
        <is>
          <t>N/A</t>
        </is>
      </c>
      <c r="K4436" t="inlineStr">
        <is>
          <t>6617 Ashdown Tree Limited - Team 2</t>
        </is>
      </c>
      <c r="L4436" t="inlineStr">
        <is>
          <t>11/05/2026 08:06</t>
        </is>
      </c>
      <c r="M4436" t="inlineStr">
        <is>
          <t>None</t>
        </is>
      </c>
      <c r="N4436" t="inlineStr">
        <is>
          <t>&lt;p&gt;&lt;/p&gt;</t>
        </is>
      </c>
      <c r="O4436" t="inlineStr"/>
      <c r="P4436" t="inlineStr">
        <is>
          <t>GU11LKD , 4x4 , Land Rover , Defender</t>
        </is>
      </c>
      <c r="Q4436" t="inlineStr">
        <is>
          <t>UKPN</t>
        </is>
      </c>
      <c r="R4436" t="b">
        <v>0</v>
      </c>
    </row>
    <row r="4437">
      <c r="A4437" t="inlineStr">
        <is>
          <t>11 May 2026 / James Heaton</t>
        </is>
      </c>
      <c r="B4437" t="inlineStr">
        <is>
          <t>Infrastructure &amp; Utilities</t>
        </is>
      </c>
      <c r="C4437" t="inlineStr">
        <is>
          <t>NGED</t>
        </is>
      </c>
      <c r="D4437" t="inlineStr">
        <is>
          <t>AJ23EKC , Car - Electric , Tesla , Model 3 Long Range AWD</t>
        </is>
      </c>
      <c r="E4437" t="inlineStr">
        <is>
          <t>AJ23EKC , Car - Electric , Tesla , Model 3 Long Range AWD</t>
        </is>
      </c>
      <c r="F4437" t="inlineStr">
        <is>
          <t>AJ23EKC , Car - Electric , Tesla , Model 3 Long Range AWD</t>
        </is>
      </c>
      <c r="G4437" t="inlineStr">
        <is>
          <t>James heaton</t>
        </is>
      </c>
      <c r="H4437" t="inlineStr">
        <is>
          <t>Car - Electric (GC Owned)</t>
        </is>
      </c>
      <c r="I4437" t="inlineStr">
        <is>
          <t>Daily/ Weekly Vehicle Inspection</t>
        </is>
      </c>
      <c r="J4437" t="inlineStr">
        <is>
          <t>N/A</t>
        </is>
      </c>
      <c r="K4437" t="inlineStr">
        <is>
          <t>James Heaton</t>
        </is>
      </c>
      <c r="L4437" t="inlineStr">
        <is>
          <t>11/05/2026 08:52</t>
        </is>
      </c>
      <c r="M4437" t="inlineStr">
        <is>
          <t>None</t>
        </is>
      </c>
      <c r="N4437" t="inlineStr">
        <is>
          <t>&lt;p&gt;&lt;/p&gt;</t>
        </is>
      </c>
      <c r="O4437" t="inlineStr"/>
      <c r="P4437" t="inlineStr">
        <is>
          <t>AJ23EKC , Car - Electric , Tesla , Model 3 Long Range AWD</t>
        </is>
      </c>
      <c r="Q4437" t="inlineStr">
        <is>
          <t>NGED</t>
        </is>
      </c>
      <c r="R4437" t="b">
        <v>0</v>
      </c>
    </row>
    <row r="4438">
      <c r="A4438" t="inlineStr">
        <is>
          <t>11 May 2026 / Chas Dell</t>
        </is>
      </c>
      <c r="B4438" t="inlineStr">
        <is>
          <t>Infrastructure &amp; Utilities</t>
        </is>
      </c>
      <c r="C4438" t="inlineStr">
        <is>
          <t>UKPN</t>
        </is>
      </c>
      <c r="D4438" t="inlineStr">
        <is>
          <t>GF70AZN , Car - Electric , Tesla , Model 3 Long Range AWD</t>
        </is>
      </c>
      <c r="E4438" t="inlineStr">
        <is>
          <t>GF70AZN , Car - Electric , Tesla , Model 3 Long Range AWD</t>
        </is>
      </c>
      <c r="F4438" t="inlineStr">
        <is>
          <t>GF70AZN , Car - Electric , Tesla , Model 3 Long Range AWD</t>
        </is>
      </c>
      <c r="G4438" t="inlineStr">
        <is>
          <t>Chas dell</t>
        </is>
      </c>
      <c r="H4438" t="inlineStr">
        <is>
          <t>Car - Electric (GC Owned)</t>
        </is>
      </c>
      <c r="I4438" t="inlineStr">
        <is>
          <t>Daily/ Weekly Vehicle Inspection</t>
        </is>
      </c>
      <c r="J4438" t="inlineStr">
        <is>
          <t>N/A</t>
        </is>
      </c>
      <c r="K4438" t="inlineStr">
        <is>
          <t>Chas Dell</t>
        </is>
      </c>
      <c r="L4438" t="inlineStr">
        <is>
          <t>11/05/2026 08:55</t>
        </is>
      </c>
      <c r="M4438" t="inlineStr">
        <is>
          <t>None</t>
        </is>
      </c>
      <c r="N4438" t="inlineStr">
        <is>
          <t>&lt;p&gt;&lt;/p&gt;</t>
        </is>
      </c>
      <c r="O4438" t="inlineStr"/>
      <c r="P4438" t="inlineStr">
        <is>
          <t>GF70AZN , Car - Electric , Tesla , Model 3 Long Range AWD</t>
        </is>
      </c>
      <c r="Q4438" t="inlineStr">
        <is>
          <t>UKPN</t>
        </is>
      </c>
      <c r="R4438" t="b">
        <v>0</v>
      </c>
    </row>
    <row r="4439">
      <c r="A4439" t="inlineStr">
        <is>
          <t>11 May 2026 / Patryk Zietarski</t>
        </is>
      </c>
      <c r="B4439" t="inlineStr">
        <is>
          <t>Infrastructure &amp; Utilities</t>
        </is>
      </c>
      <c r="C4439" t="inlineStr">
        <is>
          <t>UKPN</t>
        </is>
      </c>
      <c r="D4439" t="inlineStr">
        <is>
          <t>YW73CWL , Car - Electric , Kia , eNiro</t>
        </is>
      </c>
      <c r="E4439" t="inlineStr">
        <is>
          <t>YW73CWL , Car - Electric , Kia , eNiro</t>
        </is>
      </c>
      <c r="F4439" t="inlineStr">
        <is>
          <t>YW73CWL , Car - Electric , Kia , eNiro</t>
        </is>
      </c>
      <c r="G4439" t="inlineStr">
        <is>
          <t xml:space="preserve">Patryk Zietarski </t>
        </is>
      </c>
      <c r="H4439" t="inlineStr">
        <is>
          <t>Car - Electric (GC Owned)</t>
        </is>
      </c>
      <c r="I4439" t="inlineStr">
        <is>
          <t>Daily/ Weekly Vehicle Inspection</t>
        </is>
      </c>
      <c r="J4439" t="inlineStr">
        <is>
          <t>N/A</t>
        </is>
      </c>
      <c r="K4439" t="inlineStr">
        <is>
          <t>Patryk Zietarski</t>
        </is>
      </c>
      <c r="L4439" t="inlineStr">
        <is>
          <t>11/05/2026 08:55</t>
        </is>
      </c>
      <c r="M4439" t="inlineStr">
        <is>
          <t>None</t>
        </is>
      </c>
      <c r="N4439" t="inlineStr">
        <is>
          <t>&lt;p&gt;&lt;/p&gt;</t>
        </is>
      </c>
      <c r="O4439" t="inlineStr"/>
      <c r="P4439" t="inlineStr">
        <is>
          <t>YW73CWL , Car - Electric , Kia , eNiro</t>
        </is>
      </c>
      <c r="Q4439" t="inlineStr">
        <is>
          <t>UKPN</t>
        </is>
      </c>
      <c r="R4439" t="b">
        <v>0</v>
      </c>
    </row>
    <row r="4440">
      <c r="A4440" t="inlineStr">
        <is>
          <t>11 May 2026 / 8148 Hope Ground and Tree Care</t>
        </is>
      </c>
      <c r="B4440" t="inlineStr">
        <is>
          <t>Infrastructure &amp; Utilities</t>
        </is>
      </c>
      <c r="C4440" t="inlineStr">
        <is>
          <t>UKPN</t>
        </is>
      </c>
      <c r="D4440" t="inlineStr">
        <is>
          <t>S6 NWX , MEWP , Isuzu , D-Max</t>
        </is>
      </c>
      <c r="E4440" t="inlineStr">
        <is>
          <t>S6 NWX , MEWP , Isuzu , D-Max</t>
        </is>
      </c>
      <c r="F4440" t="inlineStr">
        <is>
          <t>S6 NWX , MEWP , Isuzu , D-Max</t>
        </is>
      </c>
      <c r="G4440" t="inlineStr">
        <is>
          <t>A Hope</t>
        </is>
      </c>
      <c r="H4440" t="inlineStr">
        <is>
          <t>4x4</t>
        </is>
      </c>
      <c r="I4440" t="inlineStr">
        <is>
          <t>Daily/ Weekly Vehicle Inspection</t>
        </is>
      </c>
      <c r="J4440" t="inlineStr">
        <is>
          <t>N/A</t>
        </is>
      </c>
      <c r="K4440" t="inlineStr">
        <is>
          <t>8148 Hope Ground and Tree Care</t>
        </is>
      </c>
      <c r="L4440" t="inlineStr">
        <is>
          <t>11/05/2026 08:57</t>
        </is>
      </c>
      <c r="M4440" t="inlineStr">
        <is>
          <t>None</t>
        </is>
      </c>
      <c r="N4440" t="inlineStr">
        <is>
          <t>&lt;p&gt;&lt;/p&gt;</t>
        </is>
      </c>
      <c r="O4440" t="inlineStr"/>
      <c r="P4440" t="inlineStr">
        <is>
          <t>S6 NWX , MEWP , Isuzu , D-Max</t>
        </is>
      </c>
      <c r="Q4440" t="inlineStr">
        <is>
          <t>UKPN</t>
        </is>
      </c>
      <c r="R4440" t="b">
        <v>0</v>
      </c>
    </row>
    <row r="4441">
      <c r="A4441" t="inlineStr">
        <is>
          <t>11 May 2026 / Christopher Phillips</t>
        </is>
      </c>
      <c r="B4441" t="inlineStr">
        <is>
          <t>Infrastructure &amp; Utilities</t>
        </is>
      </c>
      <c r="C4441" t="inlineStr">
        <is>
          <t>NGED</t>
        </is>
      </c>
      <c r="D4441" t="inlineStr">
        <is>
          <t>SK69XHC , Car - Electric , Tesla , Model 3 Performance AWD</t>
        </is>
      </c>
      <c r="E4441" t="inlineStr">
        <is>
          <t>SK69XHC , Car - Electric , Tesla , Model 3 Performance AWD</t>
        </is>
      </c>
      <c r="F4441" t="inlineStr">
        <is>
          <t>SK69XHC , Car - Electric , Tesla , Model 3 Performance AWD</t>
        </is>
      </c>
      <c r="G4441" t="inlineStr">
        <is>
          <t>Chris Phillips</t>
        </is>
      </c>
      <c r="H4441" t="inlineStr">
        <is>
          <t>Car - Electric (GC Owned)</t>
        </is>
      </c>
      <c r="I4441" t="inlineStr">
        <is>
          <t>Daily/ Weekly Vehicle Inspection</t>
        </is>
      </c>
      <c r="J4441" t="inlineStr">
        <is>
          <t>N/A</t>
        </is>
      </c>
      <c r="K4441" t="inlineStr">
        <is>
          <t>Christopher Phillips</t>
        </is>
      </c>
      <c r="L4441" t="inlineStr">
        <is>
          <t>11/05/2026 09:52</t>
        </is>
      </c>
      <c r="M4441" t="inlineStr">
        <is>
          <t>None</t>
        </is>
      </c>
      <c r="N4441" t="inlineStr">
        <is>
          <t>&lt;p&gt;&lt;/p&gt;</t>
        </is>
      </c>
      <c r="O4441" t="inlineStr"/>
      <c r="P4441" t="inlineStr">
        <is>
          <t>SK69XHC , Car - Electric , Tesla , Model 3 Performance AWD</t>
        </is>
      </c>
      <c r="Q4441" t="inlineStr">
        <is>
          <t>NGED</t>
        </is>
      </c>
      <c r="R4441" t="b">
        <v>0</v>
      </c>
    </row>
    <row r="4442">
      <c r="A4442" t="inlineStr">
        <is>
          <t>11 May 2026 / Christopher Simeoli</t>
        </is>
      </c>
      <c r="B4442" t="inlineStr">
        <is>
          <t>Infrastructure &amp; Utilities</t>
        </is>
      </c>
      <c r="C4442" t="inlineStr">
        <is>
          <t>NGED</t>
        </is>
      </c>
      <c r="D4442" t="inlineStr">
        <is>
          <t>EO73KVB , Car - Electric , Kia , Niro</t>
        </is>
      </c>
      <c r="E4442" t="inlineStr">
        <is>
          <t>EO73KVB , Car - Electric , Kia , Niro</t>
        </is>
      </c>
      <c r="F4442" t="inlineStr">
        <is>
          <t>EO73KVB , Car - Electric , Kia , Niro</t>
        </is>
      </c>
      <c r="G4442" t="inlineStr">
        <is>
          <t>Chris Simeoli</t>
        </is>
      </c>
      <c r="H4442" t="inlineStr">
        <is>
          <t>Car - Electric (GC Owned)</t>
        </is>
      </c>
      <c r="I4442" t="inlineStr">
        <is>
          <t>Daily/ Weekly Vehicle Inspection</t>
        </is>
      </c>
      <c r="J4442" t="inlineStr">
        <is>
          <t>N/A</t>
        </is>
      </c>
      <c r="K4442" t="inlineStr">
        <is>
          <t>Christopher Simeoli</t>
        </is>
      </c>
      <c r="L4442" t="inlineStr">
        <is>
          <t>11/05/2026 09:53</t>
        </is>
      </c>
      <c r="M4442" t="inlineStr">
        <is>
          <t>None</t>
        </is>
      </c>
      <c r="N4442" t="inlineStr">
        <is>
          <t>&lt;p&gt;&lt;/p&gt;</t>
        </is>
      </c>
      <c r="O4442" t="inlineStr"/>
      <c r="P4442" t="inlineStr">
        <is>
          <t>EO73KVB , Car - Electric , Kia , Niro</t>
        </is>
      </c>
      <c r="Q4442" t="inlineStr">
        <is>
          <t>NGED</t>
        </is>
      </c>
      <c r="R4442" t="b">
        <v>0</v>
      </c>
    </row>
    <row r="4443">
      <c r="A4443" t="inlineStr">
        <is>
          <t>11 May 2026 / Finn Dobson</t>
        </is>
      </c>
      <c r="B4443" t="inlineStr">
        <is>
          <t>Infrastructure &amp; Utilities</t>
        </is>
      </c>
      <c r="C4443" t="inlineStr">
        <is>
          <t>UKPN</t>
        </is>
      </c>
      <c r="D4443" t="inlineStr">
        <is>
          <t>YW73CWR , Car - Electric , Kia , E-Niro</t>
        </is>
      </c>
      <c r="E4443" t="inlineStr">
        <is>
          <t>YW73CWR , Car - Electric , Kia , E-Niro</t>
        </is>
      </c>
      <c r="F4443" t="inlineStr">
        <is>
          <t>YW73CWR , Car - Electric , Kia , E-Niro</t>
        </is>
      </c>
      <c r="G4443" t="inlineStr">
        <is>
          <t>Finn Dobson</t>
        </is>
      </c>
      <c r="H4443" t="inlineStr">
        <is>
          <t>Car - Electric (GC Owned)</t>
        </is>
      </c>
      <c r="I4443" t="inlineStr">
        <is>
          <t>Daily/ Weekly Vehicle Inspection</t>
        </is>
      </c>
      <c r="J4443" t="inlineStr">
        <is>
          <t>N/A</t>
        </is>
      </c>
      <c r="K4443" t="inlineStr">
        <is>
          <t>Finn Dobson</t>
        </is>
      </c>
      <c r="L4443" t="inlineStr">
        <is>
          <t>11/05/2026 09:55</t>
        </is>
      </c>
      <c r="M4443" t="inlineStr">
        <is>
          <t>None</t>
        </is>
      </c>
      <c r="N4443" t="inlineStr">
        <is>
          <t>&lt;p&gt;&lt;/p&gt;</t>
        </is>
      </c>
      <c r="O4443" t="inlineStr"/>
      <c r="P4443" t="inlineStr">
        <is>
          <t>YW73CWR , Car - Electric , Kia , E-Niro</t>
        </is>
      </c>
      <c r="Q4443" t="inlineStr">
        <is>
          <t>UKPN</t>
        </is>
      </c>
      <c r="R4443" t="b">
        <v>0</v>
      </c>
    </row>
    <row r="4444">
      <c r="A4444" t="inlineStr">
        <is>
          <t>11 May 2026 / Ashley Marples</t>
        </is>
      </c>
      <c r="B4444" t="inlineStr">
        <is>
          <t>Infrastructure &amp; Utilities</t>
        </is>
      </c>
      <c r="C4444" t="inlineStr">
        <is>
          <t>NGED</t>
        </is>
      </c>
      <c r="D4444" t="inlineStr">
        <is>
          <t>GJ71KAU , Car - Electric , Tesla , Model 3 Long Range AWD</t>
        </is>
      </c>
      <c r="E4444" t="inlineStr">
        <is>
          <t>GJ71KAU , Car - Electric , Tesla , Model 3 Long Range AWD</t>
        </is>
      </c>
      <c r="F4444" t="inlineStr">
        <is>
          <t>GJ71KAU , Car - Electric , Tesla , Model 3 Long Range AWD</t>
        </is>
      </c>
      <c r="G4444" t="inlineStr">
        <is>
          <t xml:space="preserve">Ashley Marples </t>
        </is>
      </c>
      <c r="H4444" t="inlineStr">
        <is>
          <t>Car - Electric (GC Owned)</t>
        </is>
      </c>
      <c r="I4444" t="inlineStr">
        <is>
          <t>Daily/ Weekly Vehicle Inspection</t>
        </is>
      </c>
      <c r="J4444" t="inlineStr">
        <is>
          <t>N/A</t>
        </is>
      </c>
      <c r="K4444" t="inlineStr">
        <is>
          <t>Ashley Marples</t>
        </is>
      </c>
      <c r="L4444" t="inlineStr">
        <is>
          <t>11/05/2026 09:58</t>
        </is>
      </c>
      <c r="M4444" t="inlineStr">
        <is>
          <t>None</t>
        </is>
      </c>
      <c r="N4444" t="inlineStr">
        <is>
          <t>&lt;p&gt;&lt;/p&gt;</t>
        </is>
      </c>
      <c r="O4444" t="inlineStr">
        <is>
          <t>Confirm that you have checked this vehicle as per the guidance document and the vehicle is safe and roadworthy:Damage on passenger side. Been told tk wait till after servey push. Insurance company know about it
-</t>
        </is>
      </c>
      <c r="P4444" t="inlineStr">
        <is>
          <t>GJ71KAU , Car - Electric , Tesla , Model 3 Long Range AWD</t>
        </is>
      </c>
      <c r="Q4444" t="inlineStr">
        <is>
          <t>NGED</t>
        </is>
      </c>
      <c r="R4444" t="b">
        <v>0</v>
      </c>
    </row>
    <row r="4445">
      <c r="A4445" t="inlineStr">
        <is>
          <t>11 May 2026 / Gary England</t>
        </is>
      </c>
      <c r="B4445" t="inlineStr">
        <is>
          <t>Infrastructure &amp; Utilities</t>
        </is>
      </c>
      <c r="C4445" t="inlineStr">
        <is>
          <t>NGED</t>
        </is>
      </c>
      <c r="D4445" t="inlineStr">
        <is>
          <t>GJ71KAO , Car - Electric , Tesla , Model 3 Long Range AWD</t>
        </is>
      </c>
      <c r="E4445" t="inlineStr">
        <is>
          <t>GJ71KAO , Car - Electric , Tesla , Model 3 Long Range AWD</t>
        </is>
      </c>
      <c r="F4445" t="inlineStr">
        <is>
          <t>GJ71KAO , Car - Electric , Tesla , Model 3 Long Range AWD</t>
        </is>
      </c>
      <c r="G4445" t="inlineStr">
        <is>
          <t xml:space="preserve">Gary England </t>
        </is>
      </c>
      <c r="H4445" t="inlineStr">
        <is>
          <t>Car - Electric (GC Owned)</t>
        </is>
      </c>
      <c r="I4445" t="inlineStr">
        <is>
          <t>Daily/ Weekly Vehicle Inspection</t>
        </is>
      </c>
      <c r="J4445" t="inlineStr">
        <is>
          <t>N/A</t>
        </is>
      </c>
      <c r="K4445" t="inlineStr">
        <is>
          <t>Gary England</t>
        </is>
      </c>
      <c r="L4445" t="inlineStr">
        <is>
          <t>11/05/2026 09:59</t>
        </is>
      </c>
      <c r="M4445" t="inlineStr">
        <is>
          <t>None</t>
        </is>
      </c>
      <c r="N4445" t="inlineStr">
        <is>
          <t>&lt;p&gt;&lt;/p&gt;</t>
        </is>
      </c>
      <c r="O4445" t="inlineStr"/>
      <c r="P4445" t="inlineStr">
        <is>
          <t>GJ71KAO , Car - Electric , Tesla , Model 3 Long Range AWD</t>
        </is>
      </c>
      <c r="Q4445" t="inlineStr">
        <is>
          <t>NGED</t>
        </is>
      </c>
      <c r="R4445" t="b">
        <v>0</v>
      </c>
    </row>
    <row r="4446">
      <c r="A4446" t="inlineStr">
        <is>
          <t>11 May 2026 / Joshua Harris</t>
        </is>
      </c>
      <c r="B4446" t="inlineStr">
        <is>
          <t>Infrastructure &amp; Utilities</t>
        </is>
      </c>
      <c r="C4446" t="inlineStr">
        <is>
          <t>NGED</t>
        </is>
      </c>
      <c r="D4446" t="inlineStr">
        <is>
          <t>GJ71KBK  , Car - Electric , Tesla  , Long range</t>
        </is>
      </c>
      <c r="E4446" t="inlineStr">
        <is>
          <t>GJ71KBK  , Car - Electric , Tesla  , Long range</t>
        </is>
      </c>
      <c r="F4446" t="inlineStr">
        <is>
          <t>GJ71KBK  , Car - Electric , Tesla  , Long range</t>
        </is>
      </c>
      <c r="G4446" t="inlineStr">
        <is>
          <t>Josh Harris</t>
        </is>
      </c>
      <c r="H4446" t="inlineStr">
        <is>
          <t>Car - Electric (GC Owned)</t>
        </is>
      </c>
      <c r="I4446" t="inlineStr">
        <is>
          <t>Daily/ Weekly Vehicle Inspection</t>
        </is>
      </c>
      <c r="J4446" t="inlineStr">
        <is>
          <t>N/A</t>
        </is>
      </c>
      <c r="K4446" t="inlineStr">
        <is>
          <t>Joshua Harris</t>
        </is>
      </c>
      <c r="L4446" t="inlineStr">
        <is>
          <t>11/05/2026 09:59</t>
        </is>
      </c>
      <c r="M4446" t="inlineStr">
        <is>
          <t>None</t>
        </is>
      </c>
      <c r="N4446" t="inlineStr">
        <is>
          <t>&lt;p&gt;&lt;/p&gt;</t>
        </is>
      </c>
      <c r="O4446" t="inlineStr"/>
      <c r="P4446" t="inlineStr">
        <is>
          <t>GJ71KBK  , Car - Electric , Tesla  , Long range</t>
        </is>
      </c>
      <c r="Q4446" t="inlineStr">
        <is>
          <t>NGED</t>
        </is>
      </c>
      <c r="R4446" t="b">
        <v>0</v>
      </c>
    </row>
    <row r="4447">
      <c r="A4447" t="inlineStr">
        <is>
          <t>11 May 2026 / Dylan Bowler</t>
        </is>
      </c>
      <c r="B4447" t="inlineStr">
        <is>
          <t>Infrastructure &amp; Utilities</t>
        </is>
      </c>
      <c r="C4447" t="inlineStr">
        <is>
          <t>NGED</t>
        </is>
      </c>
      <c r="D4447" t="inlineStr">
        <is>
          <t>YX24TXG , Car - Electric , Kia , Niro</t>
        </is>
      </c>
      <c r="E4447" t="inlineStr">
        <is>
          <t>YX24TXG , Car - Electric , Kia , Niro</t>
        </is>
      </c>
      <c r="F4447" t="inlineStr">
        <is>
          <t>YX24TXG , Car - Electric , Kia , Niro</t>
        </is>
      </c>
      <c r="G4447" t="inlineStr">
        <is>
          <t>Dylan</t>
        </is>
      </c>
      <c r="H4447" t="inlineStr">
        <is>
          <t>Car - Electric (GC Owned)</t>
        </is>
      </c>
      <c r="I4447" t="inlineStr">
        <is>
          <t>Daily/ Weekly Vehicle Inspection</t>
        </is>
      </c>
      <c r="J4447" t="inlineStr">
        <is>
          <t>N/A</t>
        </is>
      </c>
      <c r="K4447" t="inlineStr">
        <is>
          <t>Dylan Bowler</t>
        </is>
      </c>
      <c r="L4447" t="inlineStr">
        <is>
          <t>11/05/2026 10:02</t>
        </is>
      </c>
      <c r="M4447" t="inlineStr">
        <is>
          <t>None</t>
        </is>
      </c>
      <c r="N4447" t="inlineStr">
        <is>
          <t>&lt;p&gt;&lt;/p&gt;</t>
        </is>
      </c>
      <c r="O4447" t="inlineStr"/>
      <c r="P4447" t="inlineStr">
        <is>
          <t>YX24TXG , Car - Electric , Kia , Niro</t>
        </is>
      </c>
      <c r="Q4447" t="inlineStr">
        <is>
          <t>NGED</t>
        </is>
      </c>
      <c r="R4447" t="b">
        <v>0</v>
      </c>
    </row>
    <row r="4448">
      <c r="A4448" t="inlineStr">
        <is>
          <t>11 May 2026 / Alexander Damar</t>
        </is>
      </c>
      <c r="B4448" t="inlineStr">
        <is>
          <t>Infrastructure &amp; Utilities</t>
        </is>
      </c>
      <c r="C4448" t="inlineStr">
        <is>
          <t>UKPN</t>
        </is>
      </c>
      <c r="D4448" t="inlineStr"/>
      <c r="E4448" t="inlineStr"/>
      <c r="F4448" t="inlineStr"/>
      <c r="G4448" t="inlineStr">
        <is>
          <t>A damar</t>
        </is>
      </c>
      <c r="H4448" t="inlineStr">
        <is>
          <t>Car - Petrol</t>
        </is>
      </c>
      <c r="I4448" t="inlineStr">
        <is>
          <t>Daily/ Weekly Vehicle Inspection</t>
        </is>
      </c>
      <c r="J4448" t="inlineStr">
        <is>
          <t>N/A</t>
        </is>
      </c>
      <c r="K4448" t="inlineStr">
        <is>
          <t>Alexander Damar</t>
        </is>
      </c>
      <c r="L4448" t="inlineStr">
        <is>
          <t>11/05/2026 10:03</t>
        </is>
      </c>
      <c r="M4448" t="inlineStr">
        <is>
          <t>None</t>
        </is>
      </c>
      <c r="N4448" t="inlineStr">
        <is>
          <t>&lt;p&gt;&lt;/p&gt;</t>
        </is>
      </c>
      <c r="O4448" t="inlineStr"/>
      <c r="P4448" t="inlineStr"/>
      <c r="Q4448" t="inlineStr">
        <is>
          <t>UKPN</t>
        </is>
      </c>
      <c r="R4448" t="b">
        <v>0</v>
      </c>
    </row>
    <row r="4449">
      <c r="A4449" t="inlineStr">
        <is>
          <t>11 May 2026 / Lyndon Taylor</t>
        </is>
      </c>
      <c r="B4449" t="inlineStr">
        <is>
          <t>Infrastructure &amp; Utilities</t>
        </is>
      </c>
      <c r="C4449" t="inlineStr">
        <is>
          <t>SSE</t>
        </is>
      </c>
      <c r="D4449" t="inlineStr">
        <is>
          <t>YW73CWV , Car - Electric , Kia , E-Niro</t>
        </is>
      </c>
      <c r="E4449" t="inlineStr">
        <is>
          <t>YW73CWV , Car - Electric , Kia , E-Niro</t>
        </is>
      </c>
      <c r="F4449" t="inlineStr">
        <is>
          <t>YW73CWV , Car - Electric , Kia , E-Niro</t>
        </is>
      </c>
      <c r="G4449" t="inlineStr">
        <is>
          <t>Lyndon taylor</t>
        </is>
      </c>
      <c r="H4449" t="inlineStr">
        <is>
          <t>Car - Electric (Greyfleet)</t>
        </is>
      </c>
      <c r="I4449" t="inlineStr">
        <is>
          <t>Daily/ Weekly Vehicle Inspection</t>
        </is>
      </c>
      <c r="J4449" t="inlineStr">
        <is>
          <t>N/A</t>
        </is>
      </c>
      <c r="K4449" t="inlineStr">
        <is>
          <t>Lyndon Taylor</t>
        </is>
      </c>
      <c r="L4449" t="inlineStr">
        <is>
          <t>11/05/2026 10:04</t>
        </is>
      </c>
      <c r="M4449" t="inlineStr">
        <is>
          <t>None</t>
        </is>
      </c>
      <c r="N4449" t="inlineStr">
        <is>
          <t>&lt;p&gt;&lt;/p&gt;</t>
        </is>
      </c>
      <c r="O4449" t="inlineStr"/>
      <c r="P4449" t="inlineStr">
        <is>
          <t>YW73CWV , Car - Electric , Kia , E-Niro</t>
        </is>
      </c>
      <c r="Q4449" t="inlineStr">
        <is>
          <t>SSE</t>
        </is>
      </c>
      <c r="R4449" t="b">
        <v>0</v>
      </c>
    </row>
    <row r="4450">
      <c r="A4450" t="inlineStr">
        <is>
          <t>11 May 2026 / Joe Lemar</t>
        </is>
      </c>
      <c r="B4450" t="inlineStr">
        <is>
          <t>Infrastructure &amp; Utilities</t>
        </is>
      </c>
      <c r="C4450" t="inlineStr">
        <is>
          <t>SSE</t>
        </is>
      </c>
      <c r="D4450" t="inlineStr">
        <is>
          <t>AK70TBV , Car - Electric , Tesla , Model 3 Long Range AWD</t>
        </is>
      </c>
      <c r="E4450" t="inlineStr">
        <is>
          <t>AK70TBV , Car - Electric , Tesla , Model 3 Long Range AWD</t>
        </is>
      </c>
      <c r="F4450" t="inlineStr">
        <is>
          <t>AK70TBV , Car - Electric , Tesla , Model 3 Long Range AWD</t>
        </is>
      </c>
      <c r="G4450" t="inlineStr">
        <is>
          <t xml:space="preserve">Joe lemar </t>
        </is>
      </c>
      <c r="H4450" t="inlineStr">
        <is>
          <t>Car - Electric (GC Owned)</t>
        </is>
      </c>
      <c r="I4450" t="inlineStr">
        <is>
          <t>Daily/ Weekly Vehicle Inspection</t>
        </is>
      </c>
      <c r="J4450" t="inlineStr">
        <is>
          <t>N/A</t>
        </is>
      </c>
      <c r="K4450" t="inlineStr">
        <is>
          <t>Joe Lemar</t>
        </is>
      </c>
      <c r="L4450" t="inlineStr">
        <is>
          <t>11/05/2026 10:05</t>
        </is>
      </c>
      <c r="M4450" t="inlineStr">
        <is>
          <t>None</t>
        </is>
      </c>
      <c r="N4450" t="inlineStr">
        <is>
          <t>&lt;p&gt;&lt;/p&gt;</t>
        </is>
      </c>
      <c r="O4450" t="inlineStr"/>
      <c r="P4450" t="inlineStr">
        <is>
          <t>AK70TBV , Car - Electric , Tesla , Model 3 Long Range AWD</t>
        </is>
      </c>
      <c r="Q4450" t="inlineStr">
        <is>
          <t>SSE</t>
        </is>
      </c>
      <c r="R4450" t="b">
        <v>0</v>
      </c>
    </row>
    <row r="4451">
      <c r="A4451" t="inlineStr">
        <is>
          <t>11 May 2026 / Rodney Taylor</t>
        </is>
      </c>
      <c r="B4451" t="inlineStr">
        <is>
          <t>Infrastructure &amp; Utilities</t>
        </is>
      </c>
      <c r="C4451" t="inlineStr">
        <is>
          <t>NGED</t>
        </is>
      </c>
      <c r="D4451" t="inlineStr">
        <is>
          <t>EK73UOM , Car - Electric , Kia , Niro</t>
        </is>
      </c>
      <c r="E4451" t="inlineStr">
        <is>
          <t>EK73UOM , Car - Electric , Kia , Niro</t>
        </is>
      </c>
      <c r="F4451" t="inlineStr">
        <is>
          <t>EK73UOM , Car - Electric , Kia , Niro</t>
        </is>
      </c>
      <c r="G4451" t="inlineStr">
        <is>
          <t xml:space="preserve">Rod Taylor </t>
        </is>
      </c>
      <c r="H4451" t="inlineStr">
        <is>
          <t>Car - Electric (GC Owned)</t>
        </is>
      </c>
      <c r="I4451" t="inlineStr">
        <is>
          <t>Daily/ Weekly Vehicle Inspection</t>
        </is>
      </c>
      <c r="J4451" t="inlineStr">
        <is>
          <t>N/A</t>
        </is>
      </c>
      <c r="K4451" t="inlineStr">
        <is>
          <t>Rodney Taylor</t>
        </is>
      </c>
      <c r="L4451" t="inlineStr">
        <is>
          <t>11/05/2026 10:52</t>
        </is>
      </c>
      <c r="M4451" t="inlineStr">
        <is>
          <t>None</t>
        </is>
      </c>
      <c r="N4451" t="inlineStr">
        <is>
          <t>&lt;p&gt;&lt;/p&gt;</t>
        </is>
      </c>
      <c r="O4451" t="inlineStr"/>
      <c r="P4451" t="inlineStr">
        <is>
          <t>EK73UOM , Car - Electric , Kia , Niro</t>
        </is>
      </c>
      <c r="Q4451" t="inlineStr">
        <is>
          <t>NGED</t>
        </is>
      </c>
      <c r="R4451" t="b">
        <v>0</v>
      </c>
    </row>
    <row r="4452">
      <c r="A4452" t="inlineStr">
        <is>
          <t>11 May 2026 / Chas Dell</t>
        </is>
      </c>
      <c r="B4452" t="inlineStr">
        <is>
          <t>Infrastructure &amp; Utilities</t>
        </is>
      </c>
      <c r="C4452" t="inlineStr">
        <is>
          <t>UKPN</t>
        </is>
      </c>
      <c r="D4452" t="inlineStr">
        <is>
          <t>GF70AZN , Car - Electric , Tesla , Model 3 Long Range AWD</t>
        </is>
      </c>
      <c r="E4452" t="inlineStr">
        <is>
          <t>GF70AZN , Car - Electric , Tesla , Model 3 Long Range AWD</t>
        </is>
      </c>
      <c r="F4452" t="inlineStr">
        <is>
          <t>GF70AZN , Car - Electric , Tesla , Model 3 Long Range AWD</t>
        </is>
      </c>
      <c r="G4452" t="inlineStr">
        <is>
          <t>Chas dell</t>
        </is>
      </c>
      <c r="H4452" t="inlineStr">
        <is>
          <t>Car - Electric (GC Owned)</t>
        </is>
      </c>
      <c r="I4452" t="inlineStr">
        <is>
          <t>Daily/ Weekly Vehicle Inspection</t>
        </is>
      </c>
      <c r="J4452" t="inlineStr">
        <is>
          <t>N/A</t>
        </is>
      </c>
      <c r="K4452" t="inlineStr">
        <is>
          <t>Chas Dell</t>
        </is>
      </c>
      <c r="L4452" t="inlineStr">
        <is>
          <t>11/05/2026 10:53</t>
        </is>
      </c>
      <c r="M4452" t="inlineStr">
        <is>
          <t>None</t>
        </is>
      </c>
      <c r="N4452" t="inlineStr">
        <is>
          <t>&lt;p&gt;&lt;/p&gt;</t>
        </is>
      </c>
      <c r="O4452" t="inlineStr"/>
      <c r="P4452" t="inlineStr">
        <is>
          <t>GF70AZN , Car - Electric , Tesla , Model 3 Long Range AWD</t>
        </is>
      </c>
      <c r="Q4452" t="inlineStr">
        <is>
          <t>UKPN</t>
        </is>
      </c>
      <c r="R4452" t="b">
        <v>0</v>
      </c>
    </row>
    <row r="4453">
      <c r="A4453" t="inlineStr">
        <is>
          <t>11 May 2026 / Christopher Simeoli</t>
        </is>
      </c>
      <c r="B4453" t="inlineStr">
        <is>
          <t>Infrastructure &amp; Utilities</t>
        </is>
      </c>
      <c r="C4453" t="inlineStr">
        <is>
          <t>NGED</t>
        </is>
      </c>
      <c r="D4453" t="inlineStr">
        <is>
          <t>EO73KVB , Car - Electric , Kia , Niro</t>
        </is>
      </c>
      <c r="E4453" t="inlineStr">
        <is>
          <t>EO73KVB , Car - Electric , Kia , Niro</t>
        </is>
      </c>
      <c r="F4453" t="inlineStr">
        <is>
          <t>EO73KVB , Car - Electric , Kia , Niro</t>
        </is>
      </c>
      <c r="G4453" t="inlineStr">
        <is>
          <t>Chris Simeoli</t>
        </is>
      </c>
      <c r="H4453" t="inlineStr">
        <is>
          <t>Car - Electric (GC Owned)</t>
        </is>
      </c>
      <c r="I4453" t="inlineStr">
        <is>
          <t>Daily/ Weekly Vehicle Inspection</t>
        </is>
      </c>
      <c r="J4453" t="inlineStr">
        <is>
          <t>N/A</t>
        </is>
      </c>
      <c r="K4453" t="inlineStr">
        <is>
          <t>Christopher Simeoli</t>
        </is>
      </c>
      <c r="L4453" t="inlineStr">
        <is>
          <t>11/05/2026 11:54</t>
        </is>
      </c>
      <c r="M4453" t="inlineStr">
        <is>
          <t>None</t>
        </is>
      </c>
      <c r="N4453" t="inlineStr">
        <is>
          <t>&lt;p&gt;&lt;/p&gt;</t>
        </is>
      </c>
      <c r="O4453" t="inlineStr"/>
      <c r="P4453" t="inlineStr">
        <is>
          <t>EO73KVB , Car - Electric , Kia , Niro</t>
        </is>
      </c>
      <c r="Q4453" t="inlineStr">
        <is>
          <t>NGED</t>
        </is>
      </c>
      <c r="R4453" t="b">
        <v>0</v>
      </c>
    </row>
    <row r="4454">
      <c r="A4454" t="inlineStr">
        <is>
          <t>11 May 2026 / Joshua Stones</t>
        </is>
      </c>
      <c r="B4454" t="inlineStr">
        <is>
          <t>Infrastructure &amp; Utilities</t>
        </is>
      </c>
      <c r="C4454" t="inlineStr">
        <is>
          <t>SSE</t>
        </is>
      </c>
      <c r="D4454" t="inlineStr"/>
      <c r="E4454" t="inlineStr"/>
      <c r="F4454" t="inlineStr"/>
      <c r="G4454" t="inlineStr">
        <is>
          <t>Joshua stones</t>
        </is>
      </c>
      <c r="H4454" t="inlineStr">
        <is>
          <t>Van</t>
        </is>
      </c>
      <c r="I4454" t="inlineStr">
        <is>
          <t>Daily/ Weekly Vehicle Inspection</t>
        </is>
      </c>
      <c r="J4454" t="inlineStr">
        <is>
          <t>N/A</t>
        </is>
      </c>
      <c r="K4454" t="inlineStr">
        <is>
          <t>Joshua Stones</t>
        </is>
      </c>
      <c r="L4454" t="inlineStr">
        <is>
          <t>11/05/2026 12:55</t>
        </is>
      </c>
      <c r="M4454" t="inlineStr">
        <is>
          <t>None</t>
        </is>
      </c>
      <c r="N4454" t="inlineStr">
        <is>
          <t>&lt;p&gt;&lt;/p&gt;</t>
        </is>
      </c>
      <c r="O4454" t="inlineStr"/>
      <c r="P4454" t="inlineStr"/>
      <c r="Q4454" t="inlineStr">
        <is>
          <t>SSE</t>
        </is>
      </c>
      <c r="R4454" t="b">
        <v>0</v>
      </c>
    </row>
    <row r="4455">
      <c r="A4455" t="inlineStr">
        <is>
          <t>11 May 2026 / Joseph Pallot</t>
        </is>
      </c>
      <c r="B4455" t="inlineStr">
        <is>
          <t>Infrastructure &amp; Utilities</t>
        </is>
      </c>
      <c r="C4455" t="inlineStr">
        <is>
          <t>NGED</t>
        </is>
      </c>
      <c r="D4455" t="inlineStr">
        <is>
          <t>AK70VYS , Car - Electric , Tesla , Model 3 Long Range AWD</t>
        </is>
      </c>
      <c r="E4455" t="inlineStr">
        <is>
          <t>AK70VYS , Car - Electric , Tesla , Model 3 Long Range AWD</t>
        </is>
      </c>
      <c r="F4455" t="inlineStr">
        <is>
          <t>AK70VYS , Car - Electric , Tesla , Model 3 Long Range AWD</t>
        </is>
      </c>
      <c r="G4455" t="inlineStr">
        <is>
          <t>Joseph Pallot</t>
        </is>
      </c>
      <c r="H4455" t="inlineStr">
        <is>
          <t>Car - Electric (GC Owned)</t>
        </is>
      </c>
      <c r="I4455" t="inlineStr">
        <is>
          <t>Daily/ Weekly Vehicle Inspection</t>
        </is>
      </c>
      <c r="J4455" t="inlineStr">
        <is>
          <t>N/A</t>
        </is>
      </c>
      <c r="K4455" t="inlineStr">
        <is>
          <t>Joseph Pallot</t>
        </is>
      </c>
      <c r="L4455" t="inlineStr">
        <is>
          <t>11/05/2026 12:56</t>
        </is>
      </c>
      <c r="M4455" t="inlineStr">
        <is>
          <t>None</t>
        </is>
      </c>
      <c r="N4455" t="inlineStr">
        <is>
          <t>&lt;p&gt;&lt;/p&gt;</t>
        </is>
      </c>
      <c r="O4455" t="inlineStr"/>
      <c r="P4455" t="inlineStr">
        <is>
          <t>AK70VYS , Car - Electric , Tesla , Model 3 Long Range AWD</t>
        </is>
      </c>
      <c r="Q4455" t="inlineStr">
        <is>
          <t>NGED</t>
        </is>
      </c>
      <c r="R4455" t="b">
        <v>0</v>
      </c>
    </row>
    <row r="4456">
      <c r="A4456" t="inlineStr">
        <is>
          <t>11 May 2026 / Ashley Taylor</t>
        </is>
      </c>
      <c r="B4456" t="inlineStr">
        <is>
          <t>Infrastructure &amp; Utilities</t>
        </is>
      </c>
      <c r="C4456" t="inlineStr">
        <is>
          <t>SSE</t>
        </is>
      </c>
      <c r="D4456" t="inlineStr">
        <is>
          <t>AF22XLX , Car - Electric , Tesla , Model 3 Long Range AWD</t>
        </is>
      </c>
      <c r="E4456" t="inlineStr">
        <is>
          <t>AF22XLX , Car - Electric , Tesla , Model 3 Long Range AWD</t>
        </is>
      </c>
      <c r="F4456" t="inlineStr">
        <is>
          <t>AF22XLX , Car - Electric , Tesla , Model 3 Long Range AWD</t>
        </is>
      </c>
      <c r="G4456" t="inlineStr">
        <is>
          <t>Ashley Taylor</t>
        </is>
      </c>
      <c r="H4456" t="inlineStr">
        <is>
          <t>Car - Electric (GC Owned)</t>
        </is>
      </c>
      <c r="I4456" t="inlineStr">
        <is>
          <t>Daily/ Weekly Vehicle Inspection</t>
        </is>
      </c>
      <c r="J4456" t="inlineStr">
        <is>
          <t>N/A</t>
        </is>
      </c>
      <c r="K4456" t="inlineStr">
        <is>
          <t>Ashley Taylor</t>
        </is>
      </c>
      <c r="L4456" t="inlineStr">
        <is>
          <t>11/05/2026 13:52</t>
        </is>
      </c>
      <c r="M4456" t="inlineStr">
        <is>
          <t>None</t>
        </is>
      </c>
      <c r="N4456" t="inlineStr">
        <is>
          <t>&lt;p&gt;&lt;/p&gt;</t>
        </is>
      </c>
      <c r="O4456" t="inlineStr"/>
      <c r="P4456" t="inlineStr">
        <is>
          <t>AF22XLX , Car - Electric , Tesla , Model 3 Long Range AWD</t>
        </is>
      </c>
      <c r="Q4456" t="inlineStr">
        <is>
          <t>SSE</t>
        </is>
      </c>
      <c r="R4456" t="b">
        <v>0</v>
      </c>
    </row>
    <row r="4457">
      <c r="A4457" t="inlineStr">
        <is>
          <t>11 May 2026 / Leigh Overton</t>
        </is>
      </c>
      <c r="B4457" t="inlineStr">
        <is>
          <t>Infrastructure &amp; Utilities</t>
        </is>
      </c>
      <c r="C4457" t="inlineStr">
        <is>
          <t>NGED</t>
        </is>
      </c>
      <c r="D4457" t="inlineStr">
        <is>
          <t>GN70XAT , Car - Electric , Tesla , Model 3 Long Range AWD</t>
        </is>
      </c>
      <c r="E4457" t="inlineStr">
        <is>
          <t>GN70XAT , Car - Electric , Tesla , Model 3 Long Range AWD</t>
        </is>
      </c>
      <c r="F4457" t="inlineStr">
        <is>
          <t>GN70XAT , Car - Electric , Tesla , Model 3 Long Range AWD</t>
        </is>
      </c>
      <c r="G4457" t="inlineStr">
        <is>
          <t>Leigh Overton</t>
        </is>
      </c>
      <c r="H4457" t="inlineStr">
        <is>
          <t>Car - Electric (GC Owned)</t>
        </is>
      </c>
      <c r="I4457" t="inlineStr">
        <is>
          <t>Daily/ Weekly Vehicle Inspection</t>
        </is>
      </c>
      <c r="J4457" t="inlineStr">
        <is>
          <t>N/A</t>
        </is>
      </c>
      <c r="K4457" t="inlineStr">
        <is>
          <t>Leigh Overton</t>
        </is>
      </c>
      <c r="L4457" t="inlineStr">
        <is>
          <t>11/05/2026 13:53</t>
        </is>
      </c>
      <c r="M4457" t="inlineStr">
        <is>
          <t>None</t>
        </is>
      </c>
      <c r="N4457" t="inlineStr">
        <is>
          <t>&lt;p&gt;&lt;/p&gt;</t>
        </is>
      </c>
      <c r="O4457" t="inlineStr"/>
      <c r="P4457" t="inlineStr">
        <is>
          <t>GN70XAT , Car - Electric , Tesla , Model 3 Long Range AWD</t>
        </is>
      </c>
      <c r="Q4457" t="inlineStr">
        <is>
          <t>NGED</t>
        </is>
      </c>
      <c r="R445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2026-04-29T09:50:32Z</dcterms:created>
  <dcterms:modified xmlns:dcterms="http://purl.org/dc/terms/" xmlns:xsi="http://www.w3.org/2001/XMLSchema-instance" xsi:type="dcterms:W3CDTF">2026-05-11T13:55:40Z</dcterms:modified>
  <cp:lastModifiedBy>James Angus</cp:lastModifiedBy>
  <cp:revision>0</cp:revision>
</cp:coreProperties>
</file>

<file path=docProps/custom.xml><?xml version="1.0" encoding="utf-8"?>
<Properties xmlns="http://schemas.openxmlformats.org/officeDocument/2006/custom-properties">
  <property name="MSIP_Label_0ab0f841-d90f-4ed9-b11e-502f26da33c0_Enabled" fmtid="{D5CDD505-2E9C-101B-9397-08002B2CF9AE}" pid="2">
    <vt:lpwstr xmlns:vt="http://schemas.openxmlformats.org/officeDocument/2006/docPropsVTypes">true</vt:lpwstr>
  </property>
  <property name="MSIP_Label_0ab0f841-d90f-4ed9-b11e-502f26da33c0_SetDate" fmtid="{D5CDD505-2E9C-101B-9397-08002B2CF9AE}" pid="3">
    <vt:lpwstr xmlns:vt="http://schemas.openxmlformats.org/officeDocument/2006/docPropsVTypes">2026-05-01T14:17:01Z</vt:lpwstr>
  </property>
  <property name="MSIP_Label_0ab0f841-d90f-4ed9-b11e-502f26da33c0_Method" fmtid="{D5CDD505-2E9C-101B-9397-08002B2CF9AE}" pid="4">
    <vt:lpwstr xmlns:vt="http://schemas.openxmlformats.org/officeDocument/2006/docPropsVTypes">Standard</vt:lpwstr>
  </property>
  <property name="MSIP_Label_0ab0f841-d90f-4ed9-b11e-502f26da33c0_Name" fmtid="{D5CDD505-2E9C-101B-9397-08002B2CF9AE}" pid="5">
    <vt:lpwstr xmlns:vt="http://schemas.openxmlformats.org/officeDocument/2006/docPropsVTypes">Internal</vt:lpwstr>
  </property>
  <property name="MSIP_Label_0ab0f841-d90f-4ed9-b11e-502f26da33c0_SiteId" fmtid="{D5CDD505-2E9C-101B-9397-08002B2CF9AE}" pid="6">
    <vt:lpwstr xmlns:vt="http://schemas.openxmlformats.org/officeDocument/2006/docPropsVTypes">3ef9f654-aa07-41b8-88ad-a411c62bd12c</vt:lpwstr>
  </property>
  <property name="MSIP_Label_0ab0f841-d90f-4ed9-b11e-502f26da33c0_ActionId" fmtid="{D5CDD505-2E9C-101B-9397-08002B2CF9AE}" pid="7">
    <vt:lpwstr xmlns:vt="http://schemas.openxmlformats.org/officeDocument/2006/docPropsVTypes">9087ff3c-a7c5-4cc0-8aa4-1c8cb34bf298</vt:lpwstr>
  </property>
  <property name="MSIP_Label_0ab0f841-d90f-4ed9-b11e-502f26da33c0_ContentBits" fmtid="{D5CDD505-2E9C-101B-9397-08002B2CF9AE}" pid="8">
    <vt:lpwstr xmlns:vt="http://schemas.openxmlformats.org/officeDocument/2006/docPropsVTypes">0</vt:lpwstr>
  </property>
</Properties>
</file>